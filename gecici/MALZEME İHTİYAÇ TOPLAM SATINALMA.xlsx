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slicerCaches/slicerCache1.xml" ContentType="application/vnd.ms-excel.slicerCache+xml"/>
  <Override PartName="/xl/slicerCaches/slicerCache2.xml" ContentType="application/vnd.ms-excel.slicerCache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xl/drawings/drawing1.xml" ContentType="application/vnd.openxmlformats-officedocument.drawing+xml"/>
  <Override PartName="/xl/slicers/slicer1.xml" ContentType="application/vnd.ms-excel.slicer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codeName="BuÇalışmaKitabı" hidePivotFieldList="1"/>
  <mc:AlternateContent xmlns:mc="http://schemas.openxmlformats.org/markup-compatibility/2006">
    <mc:Choice Requires="x15">
      <x15ac:absPath xmlns:x15ac="http://schemas.microsoft.com/office/spreadsheetml/2010/11/ac" url="C:\Vs Code Proje\Satınalma\gecici\"/>
    </mc:Choice>
  </mc:AlternateContent>
  <xr:revisionPtr revIDLastSave="0" documentId="13_ncr:1_{A5E96090-2871-4254-84E5-2023A3B08626}" xr6:coauthVersionLast="47" xr6:coauthVersionMax="47" xr10:uidLastSave="{00000000-0000-0000-0000-000000000000}"/>
  <bookViews>
    <workbookView xWindow="-120" yWindow="-120" windowWidth="29040" windowHeight="15720" tabRatio="784" activeTab="3" xr2:uid="{00000000-000D-0000-FFFF-FFFF00000000}"/>
  </bookViews>
  <sheets>
    <sheet name="ÖRNEK PİVOT" sheetId="10" r:id="rId1"/>
    <sheet name="ÜRETİM İHTİYAÇ RAPORU" sheetId="6" r:id="rId2"/>
    <sheet name="PROJE MALİYET" sheetId="5" r:id="rId3"/>
    <sheet name="SATINALMA" sheetId="4" r:id="rId4"/>
  </sheets>
  <definedNames>
    <definedName name="_xlnm._FilterDatabase" localSheetId="3" hidden="1">SATINALMA!$A$11:$L$663</definedName>
    <definedName name="DışVeri_3" localSheetId="1" hidden="1">'ÜRETİM İHTİYAÇ RAPORU'!$A$1:$Q$5975</definedName>
    <definedName name="Dilimleyici_ALTSTOKGRUPKODU">#N/A</definedName>
    <definedName name="Dilimleyici_SON_SATINALMA_CARİ_ÜNVANI">#N/A</definedName>
    <definedName name="ÜRETİM">#REF!</definedName>
    <definedName name="_xlnm.Print_Area" localSheetId="3">SATINALMA!$A$11:$I$76</definedName>
  </definedNames>
  <calcPr calcId="191029"/>
  <pivotCaches>
    <pivotCache cacheId="27" r:id="rId5"/>
  </pivotCaches>
  <extLst>
    <ext xmlns:x14="http://schemas.microsoft.com/office/spreadsheetml/2009/9/main" uri="{BBE1A952-AA13-448e-AADC-164F8A28A991}">
      <x14:slicerCaches>
        <x14:slicerCache r:id="rId6"/>
        <x14:slicerCache r:id="rId7"/>
      </x14:slicerCaches>
    </ext>
    <ext xmlns:x14="http://schemas.microsoft.com/office/spreadsheetml/2009/9/main" uri="{79F54976-1DA5-4618-B147-4CDE4B953A38}">
      <x14:workbookPr/>
    </ex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K2" i="6" l="1"/>
  <c r="K3" i="6"/>
  <c r="K4" i="6"/>
  <c r="K5" i="6"/>
  <c r="K6" i="6"/>
  <c r="K7" i="6"/>
  <c r="K8" i="6"/>
  <c r="K9" i="6"/>
  <c r="K10" i="6"/>
  <c r="K11" i="6"/>
  <c r="K12" i="6"/>
  <c r="K13" i="6"/>
  <c r="K14" i="6"/>
  <c r="K15" i="6"/>
  <c r="K16" i="6"/>
  <c r="K17" i="6"/>
  <c r="K18" i="6"/>
  <c r="K19" i="6"/>
  <c r="K20" i="6"/>
  <c r="K21" i="6"/>
  <c r="K22" i="6"/>
  <c r="K23" i="6"/>
  <c r="K24" i="6"/>
  <c r="K25" i="6"/>
  <c r="K26" i="6"/>
  <c r="K27" i="6"/>
  <c r="K28" i="6"/>
  <c r="K29" i="6"/>
  <c r="K30" i="6"/>
  <c r="K31" i="6"/>
  <c r="K32" i="6"/>
  <c r="K33" i="6"/>
  <c r="K34" i="6"/>
  <c r="K35" i="6"/>
  <c r="K36" i="6"/>
  <c r="K37" i="6"/>
  <c r="K38" i="6"/>
  <c r="K39" i="6"/>
  <c r="K40" i="6"/>
  <c r="K41" i="6"/>
  <c r="K42" i="6"/>
  <c r="K43" i="6"/>
  <c r="K44" i="6"/>
  <c r="K45" i="6"/>
  <c r="K46" i="6"/>
  <c r="K47" i="6"/>
  <c r="K48" i="6"/>
  <c r="K49" i="6"/>
  <c r="K50" i="6"/>
  <c r="K51" i="6"/>
  <c r="K52" i="6"/>
  <c r="K53" i="6"/>
  <c r="K54" i="6"/>
  <c r="K55" i="6"/>
  <c r="K56" i="6"/>
  <c r="K57" i="6"/>
  <c r="K58" i="6"/>
  <c r="K59" i="6"/>
  <c r="K60" i="6"/>
  <c r="K61" i="6"/>
  <c r="K62" i="6"/>
  <c r="K63" i="6"/>
  <c r="K64" i="6"/>
  <c r="K65" i="6"/>
  <c r="K66" i="6"/>
  <c r="K67" i="6"/>
  <c r="K68" i="6"/>
  <c r="K69" i="6"/>
  <c r="K70" i="6"/>
  <c r="K71" i="6"/>
  <c r="K72" i="6"/>
  <c r="K73" i="6"/>
  <c r="K74" i="6"/>
  <c r="K75" i="6"/>
  <c r="K76" i="6"/>
  <c r="K77" i="6"/>
  <c r="K78" i="6"/>
  <c r="K79" i="6"/>
  <c r="K80" i="6"/>
  <c r="K81" i="6"/>
  <c r="K82" i="6"/>
  <c r="K83" i="6"/>
  <c r="K84" i="6"/>
  <c r="K85" i="6"/>
  <c r="K86" i="6"/>
  <c r="K87" i="6"/>
  <c r="K88" i="6"/>
  <c r="K89" i="6"/>
  <c r="K90" i="6"/>
  <c r="K91" i="6"/>
  <c r="K92" i="6"/>
  <c r="K93" i="6"/>
  <c r="K94" i="6"/>
  <c r="K95" i="6"/>
  <c r="K96" i="6"/>
  <c r="K97" i="6"/>
  <c r="K98" i="6"/>
  <c r="K99" i="6"/>
  <c r="K100" i="6"/>
  <c r="K101" i="6"/>
  <c r="K102" i="6"/>
  <c r="K103" i="6"/>
  <c r="K104" i="6"/>
  <c r="K105" i="6"/>
  <c r="K106" i="6"/>
  <c r="K107" i="6"/>
  <c r="K108" i="6"/>
  <c r="K109" i="6"/>
  <c r="K110" i="6"/>
  <c r="K111" i="6"/>
  <c r="K112" i="6"/>
  <c r="K113" i="6"/>
  <c r="K114" i="6"/>
  <c r="K115" i="6"/>
  <c r="K116" i="6"/>
  <c r="K117" i="6"/>
  <c r="K118" i="6"/>
  <c r="K119" i="6"/>
  <c r="K120" i="6"/>
  <c r="K121" i="6"/>
  <c r="K122" i="6"/>
  <c r="K123" i="6"/>
  <c r="K124" i="6"/>
  <c r="K125" i="6"/>
  <c r="K126" i="6"/>
  <c r="K127" i="6"/>
  <c r="K128" i="6"/>
  <c r="K129" i="6"/>
  <c r="K130" i="6"/>
  <c r="K131" i="6"/>
  <c r="K132" i="6"/>
  <c r="K133" i="6"/>
  <c r="K134" i="6"/>
  <c r="K135" i="6"/>
  <c r="K136" i="6"/>
  <c r="K137" i="6"/>
  <c r="K138" i="6"/>
  <c r="K139" i="6"/>
  <c r="K140" i="6"/>
  <c r="K141" i="6"/>
  <c r="K142" i="6"/>
  <c r="K143" i="6"/>
  <c r="K144" i="6"/>
  <c r="K145" i="6"/>
  <c r="K146" i="6"/>
  <c r="K147" i="6"/>
  <c r="K148" i="6"/>
  <c r="K149" i="6"/>
  <c r="K150" i="6"/>
  <c r="K151" i="6"/>
  <c r="K152" i="6"/>
  <c r="K153" i="6"/>
  <c r="K154" i="6"/>
  <c r="K155" i="6"/>
  <c r="K156" i="6"/>
  <c r="K157" i="6"/>
  <c r="K158" i="6"/>
  <c r="K159" i="6"/>
  <c r="K160" i="6"/>
  <c r="K161" i="6"/>
  <c r="K162" i="6"/>
  <c r="K163" i="6"/>
  <c r="K164" i="6"/>
  <c r="K165" i="6"/>
  <c r="K166" i="6"/>
  <c r="K167" i="6"/>
  <c r="K168" i="6"/>
  <c r="K169" i="6"/>
  <c r="K170" i="6"/>
  <c r="K171" i="6"/>
  <c r="K172" i="6"/>
  <c r="K173" i="6"/>
  <c r="K174" i="6"/>
  <c r="K175" i="6"/>
  <c r="K176" i="6"/>
  <c r="K177" i="6"/>
  <c r="K178" i="6"/>
  <c r="K179" i="6"/>
  <c r="K180" i="6"/>
  <c r="K181" i="6"/>
  <c r="K182" i="6"/>
  <c r="K183" i="6"/>
  <c r="K184" i="6"/>
  <c r="K185" i="6"/>
  <c r="K186" i="6"/>
  <c r="K187" i="6"/>
  <c r="K188" i="6"/>
  <c r="K189" i="6"/>
  <c r="K190" i="6"/>
  <c r="K191" i="6"/>
  <c r="K192" i="6"/>
  <c r="K193" i="6"/>
  <c r="K194" i="6"/>
  <c r="K195" i="6"/>
  <c r="K196" i="6"/>
  <c r="K197" i="6"/>
  <c r="K198" i="6"/>
  <c r="K199" i="6"/>
  <c r="K200" i="6"/>
  <c r="K201" i="6"/>
  <c r="K202" i="6"/>
  <c r="K203" i="6"/>
  <c r="K204" i="6"/>
  <c r="K205" i="6"/>
  <c r="K206" i="6"/>
  <c r="K207" i="6"/>
  <c r="K208" i="6"/>
  <c r="K209" i="6"/>
  <c r="K210" i="6"/>
  <c r="K211" i="6"/>
  <c r="K212" i="6"/>
  <c r="K213" i="6"/>
  <c r="K214" i="6"/>
  <c r="K215" i="6"/>
  <c r="K216" i="6"/>
  <c r="K217" i="6"/>
  <c r="K218" i="6"/>
  <c r="K219" i="6"/>
  <c r="K220" i="6"/>
  <c r="K221" i="6"/>
  <c r="K222" i="6"/>
  <c r="K223" i="6"/>
  <c r="K224" i="6"/>
  <c r="K225" i="6"/>
  <c r="K226" i="6"/>
  <c r="K227" i="6"/>
  <c r="K228" i="6"/>
  <c r="K229" i="6"/>
  <c r="K230" i="6"/>
  <c r="K231" i="6"/>
  <c r="K232" i="6"/>
  <c r="K233" i="6"/>
  <c r="K234" i="6"/>
  <c r="K235" i="6"/>
  <c r="K236" i="6"/>
  <c r="K237" i="6"/>
  <c r="K238" i="6"/>
  <c r="K239" i="6"/>
  <c r="K240" i="6"/>
  <c r="K241" i="6"/>
  <c r="K242" i="6"/>
  <c r="K243" i="6"/>
  <c r="K244" i="6"/>
  <c r="K245" i="6"/>
  <c r="K246" i="6"/>
  <c r="K247" i="6"/>
  <c r="K248" i="6"/>
  <c r="K249" i="6"/>
  <c r="K250" i="6"/>
  <c r="K251" i="6"/>
  <c r="K252" i="6"/>
  <c r="K253" i="6"/>
  <c r="K254" i="6"/>
  <c r="K255" i="6"/>
  <c r="K256" i="6"/>
  <c r="K257" i="6"/>
  <c r="K258" i="6"/>
  <c r="K259" i="6"/>
  <c r="K260" i="6"/>
  <c r="K261" i="6"/>
  <c r="K262" i="6"/>
  <c r="K263" i="6"/>
  <c r="K264" i="6"/>
  <c r="K265" i="6"/>
  <c r="K266" i="6"/>
  <c r="K267" i="6"/>
  <c r="K268" i="6"/>
  <c r="K269" i="6"/>
  <c r="K270" i="6"/>
  <c r="K271" i="6"/>
  <c r="K272" i="6"/>
  <c r="K273" i="6"/>
  <c r="K274" i="6"/>
  <c r="K275" i="6"/>
  <c r="K276" i="6"/>
  <c r="K277" i="6"/>
  <c r="K278" i="6"/>
  <c r="K279" i="6"/>
  <c r="K280" i="6"/>
  <c r="K281" i="6"/>
  <c r="K282" i="6"/>
  <c r="K283" i="6"/>
  <c r="K284" i="6"/>
  <c r="K285" i="6"/>
  <c r="K286" i="6"/>
  <c r="K287" i="6"/>
  <c r="K288" i="6"/>
  <c r="K289" i="6"/>
  <c r="K290" i="6"/>
  <c r="K291" i="6"/>
  <c r="K292" i="6"/>
  <c r="K293" i="6"/>
  <c r="K294" i="6"/>
  <c r="K295" i="6"/>
  <c r="K296" i="6"/>
  <c r="K297" i="6"/>
  <c r="K298" i="6"/>
  <c r="K299" i="6"/>
  <c r="K300" i="6"/>
  <c r="K301" i="6"/>
  <c r="K302" i="6"/>
  <c r="K303" i="6"/>
  <c r="K304" i="6"/>
  <c r="K305" i="6"/>
  <c r="K306" i="6"/>
  <c r="K307" i="6"/>
  <c r="K308" i="6"/>
  <c r="K309" i="6"/>
  <c r="K310" i="6"/>
  <c r="K311" i="6"/>
  <c r="K312" i="6"/>
  <c r="K313" i="6"/>
  <c r="K314" i="6"/>
  <c r="K315" i="6"/>
  <c r="K316" i="6"/>
  <c r="K317" i="6"/>
  <c r="K318" i="6"/>
  <c r="K319" i="6"/>
  <c r="K320" i="6"/>
  <c r="K321" i="6"/>
  <c r="K322" i="6"/>
  <c r="K323" i="6"/>
  <c r="K324" i="6"/>
  <c r="K325" i="6"/>
  <c r="K326" i="6"/>
  <c r="K327" i="6"/>
  <c r="K328" i="6"/>
  <c r="K329" i="6"/>
  <c r="K330" i="6"/>
  <c r="K331" i="6"/>
  <c r="K332" i="6"/>
  <c r="K333" i="6"/>
  <c r="K334" i="6"/>
  <c r="K335" i="6"/>
  <c r="K336" i="6"/>
  <c r="K337" i="6"/>
  <c r="K338" i="6"/>
  <c r="K339" i="6"/>
  <c r="K340" i="6"/>
  <c r="K341" i="6"/>
  <c r="K342" i="6"/>
  <c r="K343" i="6"/>
  <c r="K344" i="6"/>
  <c r="K345" i="6"/>
  <c r="K346" i="6"/>
  <c r="K347" i="6"/>
  <c r="K348" i="6"/>
  <c r="K349" i="6"/>
  <c r="K350" i="6"/>
  <c r="K351" i="6"/>
  <c r="K352" i="6"/>
  <c r="K353" i="6"/>
  <c r="K354" i="6"/>
  <c r="K355" i="6"/>
  <c r="K356" i="6"/>
  <c r="K357" i="6"/>
  <c r="K358" i="6"/>
  <c r="K359" i="6"/>
  <c r="K360" i="6"/>
  <c r="K361" i="6"/>
  <c r="K362" i="6"/>
  <c r="K363" i="6"/>
  <c r="K364" i="6"/>
  <c r="K365" i="6"/>
  <c r="K366" i="6"/>
  <c r="K367" i="6"/>
  <c r="K368" i="6"/>
  <c r="K369" i="6"/>
  <c r="K370" i="6"/>
  <c r="K371" i="6"/>
  <c r="K372" i="6"/>
  <c r="K373" i="6"/>
  <c r="K374" i="6"/>
  <c r="K375" i="6"/>
  <c r="K376" i="6"/>
  <c r="K377" i="6"/>
  <c r="K378" i="6"/>
  <c r="K379" i="6"/>
  <c r="K380" i="6"/>
  <c r="K381" i="6"/>
  <c r="K382" i="6"/>
  <c r="K383" i="6"/>
  <c r="K384" i="6"/>
  <c r="K385" i="6"/>
  <c r="K386" i="6"/>
  <c r="K387" i="6"/>
  <c r="K388" i="6"/>
  <c r="K389" i="6"/>
  <c r="K390" i="6"/>
  <c r="K391" i="6"/>
  <c r="K392" i="6"/>
  <c r="K393" i="6"/>
  <c r="K394" i="6"/>
  <c r="K395" i="6"/>
  <c r="K396" i="6"/>
  <c r="K397" i="6"/>
  <c r="K398" i="6"/>
  <c r="K399" i="6"/>
  <c r="K400" i="6"/>
  <c r="K401" i="6"/>
  <c r="K402" i="6"/>
  <c r="K403" i="6"/>
  <c r="K404" i="6"/>
  <c r="K405" i="6"/>
  <c r="K406" i="6"/>
  <c r="K407" i="6"/>
  <c r="K408" i="6"/>
  <c r="K409" i="6"/>
  <c r="K410" i="6"/>
  <c r="K411" i="6"/>
  <c r="K412" i="6"/>
  <c r="K413" i="6"/>
  <c r="K414" i="6"/>
  <c r="K415" i="6"/>
  <c r="K416" i="6"/>
  <c r="K417" i="6"/>
  <c r="K418" i="6"/>
  <c r="K419" i="6"/>
  <c r="K420" i="6"/>
  <c r="K421" i="6"/>
  <c r="K422" i="6"/>
  <c r="K423" i="6"/>
  <c r="K424" i="6"/>
  <c r="K425" i="6"/>
  <c r="K426" i="6"/>
  <c r="K427" i="6"/>
  <c r="K428" i="6"/>
  <c r="K429" i="6"/>
  <c r="K430" i="6"/>
  <c r="K431" i="6"/>
  <c r="K432" i="6"/>
  <c r="K433" i="6"/>
  <c r="K434" i="6"/>
  <c r="K435" i="6"/>
  <c r="K436" i="6"/>
  <c r="K437" i="6"/>
  <c r="K438" i="6"/>
  <c r="K439" i="6"/>
  <c r="K440" i="6"/>
  <c r="K441" i="6"/>
  <c r="K442" i="6"/>
  <c r="K443" i="6"/>
  <c r="K444" i="6"/>
  <c r="K445" i="6"/>
  <c r="K446" i="6"/>
  <c r="K447" i="6"/>
  <c r="K448" i="6"/>
  <c r="K449" i="6"/>
  <c r="K450" i="6"/>
  <c r="K451" i="6"/>
  <c r="K452" i="6"/>
  <c r="K453" i="6"/>
  <c r="K454" i="6"/>
  <c r="K455" i="6"/>
  <c r="K456" i="6"/>
  <c r="K457" i="6"/>
  <c r="K458" i="6"/>
  <c r="K459" i="6"/>
  <c r="K460" i="6"/>
  <c r="K461" i="6"/>
  <c r="K462" i="6"/>
  <c r="K463" i="6"/>
  <c r="K464" i="6"/>
  <c r="K465" i="6"/>
  <c r="K466" i="6"/>
  <c r="K467" i="6"/>
  <c r="K468" i="6"/>
  <c r="K469" i="6"/>
  <c r="K470" i="6"/>
  <c r="K471" i="6"/>
  <c r="K472" i="6"/>
  <c r="K473" i="6"/>
  <c r="K474" i="6"/>
  <c r="K475" i="6"/>
  <c r="K476" i="6"/>
  <c r="K477" i="6"/>
  <c r="K478" i="6"/>
  <c r="K479" i="6"/>
  <c r="K480" i="6"/>
  <c r="K481" i="6"/>
  <c r="K482" i="6"/>
  <c r="K483" i="6"/>
  <c r="K484" i="6"/>
  <c r="K485" i="6"/>
  <c r="K486" i="6"/>
  <c r="K487" i="6"/>
  <c r="K488" i="6"/>
  <c r="K489" i="6"/>
  <c r="K490" i="6"/>
  <c r="K491" i="6"/>
  <c r="K492" i="6"/>
  <c r="K493" i="6"/>
  <c r="K494" i="6"/>
  <c r="K495" i="6"/>
  <c r="K496" i="6"/>
  <c r="K497" i="6"/>
  <c r="K498" i="6"/>
  <c r="K499" i="6"/>
  <c r="K500" i="6"/>
  <c r="K501" i="6"/>
  <c r="K502" i="6"/>
  <c r="K503" i="6"/>
  <c r="K504" i="6"/>
  <c r="K505" i="6"/>
  <c r="K506" i="6"/>
  <c r="K507" i="6"/>
  <c r="K508" i="6"/>
  <c r="K509" i="6"/>
  <c r="K510" i="6"/>
  <c r="K511" i="6"/>
  <c r="K512" i="6"/>
  <c r="K513" i="6"/>
  <c r="K514" i="6"/>
  <c r="K515" i="6"/>
  <c r="K516" i="6"/>
  <c r="K517" i="6"/>
  <c r="K518" i="6"/>
  <c r="K519" i="6"/>
  <c r="K520" i="6"/>
  <c r="K521" i="6"/>
  <c r="K522" i="6"/>
  <c r="K523" i="6"/>
  <c r="K524" i="6"/>
  <c r="K525" i="6"/>
  <c r="K526" i="6"/>
  <c r="K527" i="6"/>
  <c r="K528" i="6"/>
  <c r="K529" i="6"/>
  <c r="K530" i="6"/>
  <c r="K531" i="6"/>
  <c r="K532" i="6"/>
  <c r="K533" i="6"/>
  <c r="K534" i="6"/>
  <c r="K535" i="6"/>
  <c r="K536" i="6"/>
  <c r="K537" i="6"/>
  <c r="K538" i="6"/>
  <c r="K539" i="6"/>
  <c r="K540" i="6"/>
  <c r="K541" i="6"/>
  <c r="K542" i="6"/>
  <c r="K543" i="6"/>
  <c r="K544" i="6"/>
  <c r="K545" i="6"/>
  <c r="K546" i="6"/>
  <c r="K547" i="6"/>
  <c r="K548" i="6"/>
  <c r="K549" i="6"/>
  <c r="K550" i="6"/>
  <c r="K551" i="6"/>
  <c r="K552" i="6"/>
  <c r="K553" i="6"/>
  <c r="K554" i="6"/>
  <c r="K555" i="6"/>
  <c r="K556" i="6"/>
  <c r="K557" i="6"/>
  <c r="K558" i="6"/>
  <c r="K559" i="6"/>
  <c r="K560" i="6"/>
  <c r="K561" i="6"/>
  <c r="K562" i="6"/>
  <c r="K563" i="6"/>
  <c r="K564" i="6"/>
  <c r="K565" i="6"/>
  <c r="K566" i="6"/>
  <c r="K567" i="6"/>
  <c r="K568" i="6"/>
  <c r="K569" i="6"/>
  <c r="K570" i="6"/>
  <c r="K571" i="6"/>
  <c r="K572" i="6"/>
  <c r="K573" i="6"/>
  <c r="K574" i="6"/>
  <c r="K575" i="6"/>
  <c r="K576" i="6"/>
  <c r="K577" i="6"/>
  <c r="K578" i="6"/>
  <c r="K579" i="6"/>
  <c r="K580" i="6"/>
  <c r="K581" i="6"/>
  <c r="K582" i="6"/>
  <c r="K583" i="6"/>
  <c r="K584" i="6"/>
  <c r="K585" i="6"/>
  <c r="K586" i="6"/>
  <c r="K587" i="6"/>
  <c r="K588" i="6"/>
  <c r="K589" i="6"/>
  <c r="K590" i="6"/>
  <c r="K591" i="6"/>
  <c r="K592" i="6"/>
  <c r="K593" i="6"/>
  <c r="K594" i="6"/>
  <c r="K595" i="6"/>
  <c r="K596" i="6"/>
  <c r="K597" i="6"/>
  <c r="K598" i="6"/>
  <c r="K599" i="6"/>
  <c r="K600" i="6"/>
  <c r="K601" i="6"/>
  <c r="K602" i="6"/>
  <c r="K603" i="6"/>
  <c r="K604" i="6"/>
  <c r="K605" i="6"/>
  <c r="K606" i="6"/>
  <c r="K607" i="6"/>
  <c r="K608" i="6"/>
  <c r="K609" i="6"/>
  <c r="K610" i="6"/>
  <c r="K611" i="6"/>
  <c r="K612" i="6"/>
  <c r="K613" i="6"/>
  <c r="K614" i="6"/>
  <c r="K615" i="6"/>
  <c r="K616" i="6"/>
  <c r="K617" i="6"/>
  <c r="K618" i="6"/>
  <c r="K619" i="6"/>
  <c r="K620" i="6"/>
  <c r="K621" i="6"/>
  <c r="K622" i="6"/>
  <c r="K623" i="6"/>
  <c r="K624" i="6"/>
  <c r="K625" i="6"/>
  <c r="K626" i="6"/>
  <c r="K627" i="6"/>
  <c r="K628" i="6"/>
  <c r="K629" i="6"/>
  <c r="K630" i="6"/>
  <c r="K631" i="6"/>
  <c r="K632" i="6"/>
  <c r="K633" i="6"/>
  <c r="K634" i="6"/>
  <c r="K635" i="6"/>
  <c r="K636" i="6"/>
  <c r="K637" i="6"/>
  <c r="K638" i="6"/>
  <c r="K639" i="6"/>
  <c r="K640" i="6"/>
  <c r="K641" i="6"/>
  <c r="K642" i="6"/>
  <c r="K643" i="6"/>
  <c r="K644" i="6"/>
  <c r="K645" i="6"/>
  <c r="K646" i="6"/>
  <c r="K647" i="6"/>
  <c r="K648" i="6"/>
  <c r="K649" i="6"/>
  <c r="K650" i="6"/>
  <c r="K651" i="6"/>
  <c r="K652" i="6"/>
  <c r="K653" i="6"/>
  <c r="K654" i="6"/>
  <c r="K655" i="6"/>
  <c r="K656" i="6"/>
  <c r="K657" i="6"/>
  <c r="K658" i="6"/>
  <c r="K659" i="6"/>
  <c r="K660" i="6"/>
  <c r="K661" i="6"/>
  <c r="K662" i="6"/>
  <c r="K663" i="6"/>
  <c r="K664" i="6"/>
  <c r="K665" i="6"/>
  <c r="K666" i="6"/>
  <c r="K667" i="6"/>
  <c r="K668" i="6"/>
  <c r="K669" i="6"/>
  <c r="K670" i="6"/>
  <c r="K671" i="6"/>
  <c r="K672" i="6"/>
  <c r="K673" i="6"/>
  <c r="K674" i="6"/>
  <c r="K675" i="6"/>
  <c r="K676" i="6"/>
  <c r="K677" i="6"/>
  <c r="K678" i="6"/>
  <c r="K679" i="6"/>
  <c r="K680" i="6"/>
  <c r="K681" i="6"/>
  <c r="K682" i="6"/>
  <c r="K683" i="6"/>
  <c r="K684" i="6"/>
  <c r="K685" i="6"/>
  <c r="K686" i="6"/>
  <c r="K687" i="6"/>
  <c r="K688" i="6"/>
  <c r="K689" i="6"/>
  <c r="K690" i="6"/>
  <c r="K691" i="6"/>
  <c r="K692" i="6"/>
  <c r="K693" i="6"/>
  <c r="K694" i="6"/>
  <c r="K695" i="6"/>
  <c r="K696" i="6"/>
  <c r="K697" i="6"/>
  <c r="K698" i="6"/>
  <c r="K699" i="6"/>
  <c r="K700" i="6"/>
  <c r="K701" i="6"/>
  <c r="K702" i="6"/>
  <c r="K703" i="6"/>
  <c r="K704" i="6"/>
  <c r="K705" i="6"/>
  <c r="K706" i="6"/>
  <c r="K707" i="6"/>
  <c r="K708" i="6"/>
  <c r="K709" i="6"/>
  <c r="K710" i="6"/>
  <c r="K711" i="6"/>
  <c r="K712" i="6"/>
  <c r="K713" i="6"/>
  <c r="K714" i="6"/>
  <c r="K715" i="6"/>
  <c r="K716" i="6"/>
  <c r="K717" i="6"/>
  <c r="K718" i="6"/>
  <c r="K719" i="6"/>
  <c r="K720" i="6"/>
  <c r="K721" i="6"/>
  <c r="K722" i="6"/>
  <c r="K723" i="6"/>
  <c r="K724" i="6"/>
  <c r="K725" i="6"/>
  <c r="K726" i="6"/>
  <c r="K727" i="6"/>
  <c r="K728" i="6"/>
  <c r="K729" i="6"/>
  <c r="K730" i="6"/>
  <c r="K731" i="6"/>
  <c r="K732" i="6"/>
  <c r="K733" i="6"/>
  <c r="K734" i="6"/>
  <c r="K735" i="6"/>
  <c r="K736" i="6"/>
  <c r="K737" i="6"/>
  <c r="K738" i="6"/>
  <c r="K739" i="6"/>
  <c r="K740" i="6"/>
  <c r="K741" i="6"/>
  <c r="K742" i="6"/>
  <c r="K743" i="6"/>
  <c r="K744" i="6"/>
  <c r="K745" i="6"/>
  <c r="K746" i="6"/>
  <c r="K747" i="6"/>
  <c r="K748" i="6"/>
  <c r="K749" i="6"/>
  <c r="K750" i="6"/>
  <c r="K751" i="6"/>
  <c r="K752" i="6"/>
  <c r="K753" i="6"/>
  <c r="K754" i="6"/>
  <c r="K755" i="6"/>
  <c r="K756" i="6"/>
  <c r="K757" i="6"/>
  <c r="K758" i="6"/>
  <c r="K759" i="6"/>
  <c r="K760" i="6"/>
  <c r="K761" i="6"/>
  <c r="K762" i="6"/>
  <c r="K763" i="6"/>
  <c r="K764" i="6"/>
  <c r="K765" i="6"/>
  <c r="K766" i="6"/>
  <c r="K767" i="6"/>
  <c r="K768" i="6"/>
  <c r="K769" i="6"/>
  <c r="K770" i="6"/>
  <c r="K771" i="6"/>
  <c r="K772" i="6"/>
  <c r="K773" i="6"/>
  <c r="K774" i="6"/>
  <c r="K775" i="6"/>
  <c r="K776" i="6"/>
  <c r="K777" i="6"/>
  <c r="K778" i="6"/>
  <c r="K779" i="6"/>
  <c r="K780" i="6"/>
  <c r="K781" i="6"/>
  <c r="K782" i="6"/>
  <c r="K783" i="6"/>
  <c r="K784" i="6"/>
  <c r="K785" i="6"/>
  <c r="K786" i="6"/>
  <c r="K787" i="6"/>
  <c r="K788" i="6"/>
  <c r="K789" i="6"/>
  <c r="K790" i="6"/>
  <c r="K791" i="6"/>
  <c r="K792" i="6"/>
  <c r="K793" i="6"/>
  <c r="K794" i="6"/>
  <c r="K795" i="6"/>
  <c r="K796" i="6"/>
  <c r="K797" i="6"/>
  <c r="K798" i="6"/>
  <c r="K799" i="6"/>
  <c r="K800" i="6"/>
  <c r="K801" i="6"/>
  <c r="K802" i="6"/>
  <c r="K803" i="6"/>
  <c r="K804" i="6"/>
  <c r="K805" i="6"/>
  <c r="K806" i="6"/>
  <c r="K807" i="6"/>
  <c r="K808" i="6"/>
  <c r="K809" i="6"/>
  <c r="K810" i="6"/>
  <c r="K811" i="6"/>
  <c r="K812" i="6"/>
  <c r="K813" i="6"/>
  <c r="K814" i="6"/>
  <c r="K815" i="6"/>
  <c r="K816" i="6"/>
  <c r="K817" i="6"/>
  <c r="K818" i="6"/>
  <c r="K819" i="6"/>
  <c r="K820" i="6"/>
  <c r="K821" i="6"/>
  <c r="K822" i="6"/>
  <c r="K823" i="6"/>
  <c r="K824" i="6"/>
  <c r="K825" i="6"/>
  <c r="K826" i="6"/>
  <c r="K827" i="6"/>
  <c r="K828" i="6"/>
  <c r="K829" i="6"/>
  <c r="K830" i="6"/>
  <c r="K831" i="6"/>
  <c r="K832" i="6"/>
  <c r="K833" i="6"/>
  <c r="K834" i="6"/>
  <c r="K835" i="6"/>
  <c r="K836" i="6"/>
  <c r="K837" i="6"/>
  <c r="K838" i="6"/>
  <c r="K839" i="6"/>
  <c r="K840" i="6"/>
  <c r="K841" i="6"/>
  <c r="K842" i="6"/>
  <c r="K843" i="6"/>
  <c r="K844" i="6"/>
  <c r="K845" i="6"/>
  <c r="K846" i="6"/>
  <c r="K847" i="6"/>
  <c r="K848" i="6"/>
  <c r="K849" i="6"/>
  <c r="K850" i="6"/>
  <c r="K851" i="6"/>
  <c r="K852" i="6"/>
  <c r="K853" i="6"/>
  <c r="K854" i="6"/>
  <c r="K855" i="6"/>
  <c r="K856" i="6"/>
  <c r="K857" i="6"/>
  <c r="K858" i="6"/>
  <c r="K859" i="6"/>
  <c r="K860" i="6"/>
  <c r="K861" i="6"/>
  <c r="K862" i="6"/>
  <c r="K863" i="6"/>
  <c r="K864" i="6"/>
  <c r="K865" i="6"/>
  <c r="K866" i="6"/>
  <c r="K867" i="6"/>
  <c r="K868" i="6"/>
  <c r="K869" i="6"/>
  <c r="K870" i="6"/>
  <c r="K871" i="6"/>
  <c r="K872" i="6"/>
  <c r="K873" i="6"/>
  <c r="K874" i="6"/>
  <c r="K875" i="6"/>
  <c r="K876" i="6"/>
  <c r="K877" i="6"/>
  <c r="K878" i="6"/>
  <c r="K879" i="6"/>
  <c r="K880" i="6"/>
  <c r="K881" i="6"/>
  <c r="K882" i="6"/>
  <c r="K883" i="6"/>
  <c r="K884" i="6"/>
  <c r="K885" i="6"/>
  <c r="K886" i="6"/>
  <c r="K887" i="6"/>
  <c r="K888" i="6"/>
  <c r="K889" i="6"/>
  <c r="K890" i="6"/>
  <c r="K891" i="6"/>
  <c r="K892" i="6"/>
  <c r="K893" i="6"/>
  <c r="K894" i="6"/>
  <c r="K895" i="6"/>
  <c r="K896" i="6"/>
  <c r="K897" i="6"/>
  <c r="K898" i="6"/>
  <c r="K899" i="6"/>
  <c r="K900" i="6"/>
  <c r="K901" i="6"/>
  <c r="K902" i="6"/>
  <c r="K903" i="6"/>
  <c r="K904" i="6"/>
  <c r="K905" i="6"/>
  <c r="K906" i="6"/>
  <c r="K907" i="6"/>
  <c r="K908" i="6"/>
  <c r="K909" i="6"/>
  <c r="K910" i="6"/>
  <c r="K911" i="6"/>
  <c r="K912" i="6"/>
  <c r="K913" i="6"/>
  <c r="K914" i="6"/>
  <c r="K915" i="6"/>
  <c r="K916" i="6"/>
  <c r="K917" i="6"/>
  <c r="K918" i="6"/>
  <c r="K919" i="6"/>
  <c r="K920" i="6"/>
  <c r="K921" i="6"/>
  <c r="K922" i="6"/>
  <c r="K923" i="6"/>
  <c r="K924" i="6"/>
  <c r="K925" i="6"/>
  <c r="K926" i="6"/>
  <c r="K927" i="6"/>
  <c r="K928" i="6"/>
  <c r="K929" i="6"/>
  <c r="K930" i="6"/>
  <c r="K931" i="6"/>
  <c r="K932" i="6"/>
  <c r="K933" i="6"/>
  <c r="K934" i="6"/>
  <c r="K935" i="6"/>
  <c r="K936" i="6"/>
  <c r="K937" i="6"/>
  <c r="K938" i="6"/>
  <c r="K939" i="6"/>
  <c r="K940" i="6"/>
  <c r="K941" i="6"/>
  <c r="K942" i="6"/>
  <c r="K943" i="6"/>
  <c r="K944" i="6"/>
  <c r="K945" i="6"/>
  <c r="K946" i="6"/>
  <c r="K947" i="6"/>
  <c r="K948" i="6"/>
  <c r="K949" i="6"/>
  <c r="K950" i="6"/>
  <c r="K951" i="6"/>
  <c r="K952" i="6"/>
  <c r="K953" i="6"/>
  <c r="K954" i="6"/>
  <c r="K955" i="6"/>
  <c r="K956" i="6"/>
  <c r="K957" i="6"/>
  <c r="K958" i="6"/>
  <c r="K959" i="6"/>
  <c r="K960" i="6"/>
  <c r="K961" i="6"/>
  <c r="K962" i="6"/>
  <c r="K963" i="6"/>
  <c r="K964" i="6"/>
  <c r="K965" i="6"/>
  <c r="K966" i="6"/>
  <c r="K967" i="6"/>
  <c r="K968" i="6"/>
  <c r="K969" i="6"/>
  <c r="K970" i="6"/>
  <c r="K971" i="6"/>
  <c r="K972" i="6"/>
  <c r="K973" i="6"/>
  <c r="K974" i="6"/>
  <c r="K975" i="6"/>
  <c r="K976" i="6"/>
  <c r="K977" i="6"/>
  <c r="K978" i="6"/>
  <c r="K979" i="6"/>
  <c r="K980" i="6"/>
  <c r="K981" i="6"/>
  <c r="K982" i="6"/>
  <c r="K983" i="6"/>
  <c r="K984" i="6"/>
  <c r="K985" i="6"/>
  <c r="K986" i="6"/>
  <c r="K987" i="6"/>
  <c r="K988" i="6"/>
  <c r="K989" i="6"/>
  <c r="K990" i="6"/>
  <c r="K991" i="6"/>
  <c r="K992" i="6"/>
  <c r="K993" i="6"/>
  <c r="K994" i="6"/>
  <c r="K995" i="6"/>
  <c r="K996" i="6"/>
  <c r="K997" i="6"/>
  <c r="K998" i="6"/>
  <c r="K999" i="6"/>
  <c r="K1000" i="6"/>
  <c r="K1001" i="6"/>
  <c r="K1002" i="6"/>
  <c r="K1003" i="6"/>
  <c r="K1004" i="6"/>
  <c r="K1005" i="6"/>
  <c r="K1006" i="6"/>
  <c r="K1007" i="6"/>
  <c r="K1008" i="6"/>
  <c r="K1009" i="6"/>
  <c r="K1010" i="6"/>
  <c r="K1011" i="6"/>
  <c r="K1012" i="6"/>
  <c r="K1013" i="6"/>
  <c r="K1014" i="6"/>
  <c r="K1015" i="6"/>
  <c r="K1016" i="6"/>
  <c r="K1017" i="6"/>
  <c r="K1018" i="6"/>
  <c r="K1019" i="6"/>
  <c r="K1020" i="6"/>
  <c r="K1021" i="6"/>
  <c r="K1022" i="6"/>
  <c r="K1023" i="6"/>
  <c r="K1024" i="6"/>
  <c r="K1025" i="6"/>
  <c r="K1026" i="6"/>
  <c r="K1027" i="6"/>
  <c r="K1028" i="6"/>
  <c r="K1029" i="6"/>
  <c r="K1030" i="6"/>
  <c r="K1031" i="6"/>
  <c r="K1032" i="6"/>
  <c r="K1033" i="6"/>
  <c r="K1034" i="6"/>
  <c r="K1035" i="6"/>
  <c r="K1036" i="6"/>
  <c r="K1037" i="6"/>
  <c r="K1038" i="6"/>
  <c r="K1039" i="6"/>
  <c r="K1040" i="6"/>
  <c r="K1041" i="6"/>
  <c r="K1042" i="6"/>
  <c r="K1043" i="6"/>
  <c r="K1044" i="6"/>
  <c r="K1045" i="6"/>
  <c r="K1046" i="6"/>
  <c r="K1047" i="6"/>
  <c r="K1048" i="6"/>
  <c r="K1049" i="6"/>
  <c r="K1050" i="6"/>
  <c r="K1051" i="6"/>
  <c r="K1052" i="6"/>
  <c r="K1053" i="6"/>
  <c r="K1054" i="6"/>
  <c r="K1055" i="6"/>
  <c r="K1056" i="6"/>
  <c r="K1057" i="6"/>
  <c r="K1058" i="6"/>
  <c r="K1059" i="6"/>
  <c r="K1060" i="6"/>
  <c r="K1061" i="6"/>
  <c r="K1062" i="6"/>
  <c r="K1063" i="6"/>
  <c r="K1064" i="6"/>
  <c r="K1065" i="6"/>
  <c r="K1066" i="6"/>
  <c r="K1067" i="6"/>
  <c r="K1068" i="6"/>
  <c r="K1069" i="6"/>
  <c r="K1070" i="6"/>
  <c r="K1071" i="6"/>
  <c r="K1072" i="6"/>
  <c r="K1073" i="6"/>
  <c r="K1074" i="6"/>
  <c r="K1075" i="6"/>
  <c r="K1076" i="6"/>
  <c r="K1077" i="6"/>
  <c r="K1078" i="6"/>
  <c r="K1079" i="6"/>
  <c r="K1080" i="6"/>
  <c r="K1081" i="6"/>
  <c r="K1082" i="6"/>
  <c r="K1083" i="6"/>
  <c r="K1084" i="6"/>
  <c r="K1085" i="6"/>
  <c r="K1086" i="6"/>
  <c r="K1087" i="6"/>
  <c r="K1088" i="6"/>
  <c r="K1089" i="6"/>
  <c r="K1090" i="6"/>
  <c r="K1091" i="6"/>
  <c r="K1092" i="6"/>
  <c r="K1093" i="6"/>
  <c r="K1094" i="6"/>
  <c r="K1095" i="6"/>
  <c r="K1096" i="6"/>
  <c r="K1097" i="6"/>
  <c r="K1098" i="6"/>
  <c r="K1099" i="6"/>
  <c r="K1100" i="6"/>
  <c r="K1101" i="6"/>
  <c r="K1102" i="6"/>
  <c r="K1103" i="6"/>
  <c r="K1104" i="6"/>
  <c r="K1105" i="6"/>
  <c r="K1106" i="6"/>
  <c r="K1107" i="6"/>
  <c r="K1108" i="6"/>
  <c r="K1109" i="6"/>
  <c r="K1110" i="6"/>
  <c r="K1111" i="6"/>
  <c r="K1112" i="6"/>
  <c r="K1113" i="6"/>
  <c r="K1114" i="6"/>
  <c r="K1115" i="6"/>
  <c r="K1116" i="6"/>
  <c r="K1117" i="6"/>
  <c r="K1118" i="6"/>
  <c r="K1119" i="6"/>
  <c r="K1120" i="6"/>
  <c r="K1121" i="6"/>
  <c r="K1122" i="6"/>
  <c r="K1123" i="6"/>
  <c r="K1124" i="6"/>
  <c r="K1125" i="6"/>
  <c r="K1126" i="6"/>
  <c r="K1127" i="6"/>
  <c r="K1128" i="6"/>
  <c r="K1129" i="6"/>
  <c r="K1130" i="6"/>
  <c r="K1131" i="6"/>
  <c r="K1132" i="6"/>
  <c r="K1133" i="6"/>
  <c r="K1134" i="6"/>
  <c r="K1135" i="6"/>
  <c r="K1136" i="6"/>
  <c r="K1137" i="6"/>
  <c r="K1138" i="6"/>
  <c r="K1139" i="6"/>
  <c r="K1140" i="6"/>
  <c r="K1141" i="6"/>
  <c r="K1142" i="6"/>
  <c r="K1143" i="6"/>
  <c r="K1144" i="6"/>
  <c r="K1145" i="6"/>
  <c r="K1146" i="6"/>
  <c r="K1147" i="6"/>
  <c r="K1148" i="6"/>
  <c r="K1149" i="6"/>
  <c r="K1150" i="6"/>
  <c r="K1151" i="6"/>
  <c r="K1152" i="6"/>
  <c r="K1153" i="6"/>
  <c r="K1154" i="6"/>
  <c r="K1155" i="6"/>
  <c r="K1156" i="6"/>
  <c r="K1157" i="6"/>
  <c r="K1158" i="6"/>
  <c r="K1159" i="6"/>
  <c r="K1160" i="6"/>
  <c r="K1161" i="6"/>
  <c r="K1162" i="6"/>
  <c r="K1163" i="6"/>
  <c r="K1164" i="6"/>
  <c r="K1165" i="6"/>
  <c r="K1166" i="6"/>
  <c r="K1167" i="6"/>
  <c r="K1168" i="6"/>
  <c r="K1169" i="6"/>
  <c r="K1170" i="6"/>
  <c r="K1171" i="6"/>
  <c r="K1172" i="6"/>
  <c r="K1173" i="6"/>
  <c r="K1174" i="6"/>
  <c r="K1175" i="6"/>
  <c r="K1176" i="6"/>
  <c r="K1177" i="6"/>
  <c r="K1178" i="6"/>
  <c r="K1179" i="6"/>
  <c r="K1180" i="6"/>
  <c r="K1181" i="6"/>
  <c r="K1182" i="6"/>
  <c r="K1183" i="6"/>
  <c r="K1184" i="6"/>
  <c r="K1185" i="6"/>
  <c r="K1186" i="6"/>
  <c r="K1187" i="6"/>
  <c r="K1188" i="6"/>
  <c r="K1189" i="6"/>
  <c r="K1190" i="6"/>
  <c r="K1191" i="6"/>
  <c r="K1192" i="6"/>
  <c r="K1193" i="6"/>
  <c r="K1194" i="6"/>
  <c r="K1195" i="6"/>
  <c r="K1196" i="6"/>
  <c r="K1197" i="6"/>
  <c r="K1198" i="6"/>
  <c r="K1199" i="6"/>
  <c r="K1200" i="6"/>
  <c r="K1201" i="6"/>
  <c r="K1202" i="6"/>
  <c r="K1203" i="6"/>
  <c r="K1204" i="6"/>
  <c r="K1205" i="6"/>
  <c r="K1206" i="6"/>
  <c r="K1207" i="6"/>
  <c r="K1208" i="6"/>
  <c r="K1209" i="6"/>
  <c r="K1210" i="6"/>
  <c r="K1211" i="6"/>
  <c r="K1212" i="6"/>
  <c r="K1213" i="6"/>
  <c r="K1214" i="6"/>
  <c r="K1215" i="6"/>
  <c r="K1216" i="6"/>
  <c r="K1217" i="6"/>
  <c r="K1218" i="6"/>
  <c r="K1219" i="6"/>
  <c r="K1220" i="6"/>
  <c r="K1221" i="6"/>
  <c r="K1222" i="6"/>
  <c r="K1223" i="6"/>
  <c r="K1224" i="6"/>
  <c r="K1225" i="6"/>
  <c r="K1226" i="6"/>
  <c r="K1227" i="6"/>
  <c r="K1228" i="6"/>
  <c r="K1229" i="6"/>
  <c r="K1230" i="6"/>
  <c r="K1231" i="6"/>
  <c r="K1232" i="6"/>
  <c r="K1233" i="6"/>
  <c r="K1234" i="6"/>
  <c r="K1235" i="6"/>
  <c r="K1236" i="6"/>
  <c r="K1237" i="6"/>
  <c r="K1238" i="6"/>
  <c r="K1239" i="6"/>
  <c r="K1240" i="6"/>
  <c r="K1241" i="6"/>
  <c r="K1242" i="6"/>
  <c r="K1243" i="6"/>
  <c r="K1244" i="6"/>
  <c r="K1245" i="6"/>
  <c r="K1246" i="6"/>
  <c r="K1247" i="6"/>
  <c r="K1248" i="6"/>
  <c r="K1249" i="6"/>
  <c r="K1250" i="6"/>
  <c r="K1251" i="6"/>
  <c r="K1252" i="6"/>
  <c r="K1253" i="6"/>
  <c r="K1254" i="6"/>
  <c r="K1255" i="6"/>
  <c r="K1256" i="6"/>
  <c r="K1257" i="6"/>
  <c r="K1258" i="6"/>
  <c r="K1259" i="6"/>
  <c r="K1260" i="6"/>
  <c r="K1261" i="6"/>
  <c r="K1262" i="6"/>
  <c r="K1263" i="6"/>
  <c r="K1264" i="6"/>
  <c r="K1265" i="6"/>
  <c r="K1266" i="6"/>
  <c r="K1267" i="6"/>
  <c r="K1268" i="6"/>
  <c r="K1269" i="6"/>
  <c r="K1270" i="6"/>
  <c r="K1271" i="6"/>
  <c r="K1272" i="6"/>
  <c r="K1273" i="6"/>
  <c r="K1274" i="6"/>
  <c r="K1275" i="6"/>
  <c r="K1276" i="6"/>
  <c r="K1277" i="6"/>
  <c r="K1278" i="6"/>
  <c r="K1279" i="6"/>
  <c r="K1280" i="6"/>
  <c r="K1281" i="6"/>
  <c r="K1282" i="6"/>
  <c r="K1283" i="6"/>
  <c r="K1284" i="6"/>
  <c r="K1285" i="6"/>
  <c r="K1286" i="6"/>
  <c r="K1287" i="6"/>
  <c r="K1288" i="6"/>
  <c r="K1289" i="6"/>
  <c r="K1290" i="6"/>
  <c r="K1291" i="6"/>
  <c r="K1292" i="6"/>
  <c r="K1293" i="6"/>
  <c r="K1294" i="6"/>
  <c r="K1295" i="6"/>
  <c r="K1296" i="6"/>
  <c r="K1297" i="6"/>
  <c r="K1298" i="6"/>
  <c r="K1299" i="6"/>
  <c r="K1300" i="6"/>
  <c r="K1301" i="6"/>
  <c r="K1302" i="6"/>
  <c r="K1303" i="6"/>
  <c r="K1304" i="6"/>
  <c r="K1305" i="6"/>
  <c r="K1306" i="6"/>
  <c r="K1307" i="6"/>
  <c r="K1308" i="6"/>
  <c r="K1309" i="6"/>
  <c r="K1310" i="6"/>
  <c r="K1311" i="6"/>
  <c r="K1312" i="6"/>
  <c r="K1313" i="6"/>
  <c r="K1314" i="6"/>
  <c r="K1315" i="6"/>
  <c r="K1316" i="6"/>
  <c r="K1317" i="6"/>
  <c r="K1318" i="6"/>
  <c r="K1319" i="6"/>
  <c r="K1320" i="6"/>
  <c r="K1321" i="6"/>
  <c r="K1322" i="6"/>
  <c r="K1323" i="6"/>
  <c r="K1324" i="6"/>
  <c r="K1325" i="6"/>
  <c r="K1326" i="6"/>
  <c r="K1327" i="6"/>
  <c r="K1328" i="6"/>
  <c r="K1329" i="6"/>
  <c r="K1330" i="6"/>
  <c r="K1331" i="6"/>
  <c r="K1332" i="6"/>
  <c r="K1333" i="6"/>
  <c r="K1334" i="6"/>
  <c r="K1335" i="6"/>
  <c r="K1336" i="6"/>
  <c r="K1337" i="6"/>
  <c r="K1338" i="6"/>
  <c r="K1339" i="6"/>
  <c r="K1340" i="6"/>
  <c r="K1341" i="6"/>
  <c r="K1342" i="6"/>
  <c r="K1343" i="6"/>
  <c r="K1344" i="6"/>
  <c r="K1345" i="6"/>
  <c r="K1346" i="6"/>
  <c r="K1347" i="6"/>
  <c r="K1348" i="6"/>
  <c r="K1349" i="6"/>
  <c r="K1350" i="6"/>
  <c r="K1351" i="6"/>
  <c r="K1352" i="6"/>
  <c r="K1353" i="6"/>
  <c r="K1354" i="6"/>
  <c r="K1355" i="6"/>
  <c r="K1356" i="6"/>
  <c r="K1357" i="6"/>
  <c r="K1358" i="6"/>
  <c r="K1359" i="6"/>
  <c r="K1360" i="6"/>
  <c r="K1361" i="6"/>
  <c r="K1362" i="6"/>
  <c r="K1363" i="6"/>
  <c r="K1364" i="6"/>
  <c r="K1365" i="6"/>
  <c r="K1366" i="6"/>
  <c r="K1367" i="6"/>
  <c r="K1368" i="6"/>
  <c r="K1369" i="6"/>
  <c r="K1370" i="6"/>
  <c r="K1371" i="6"/>
  <c r="K1372" i="6"/>
  <c r="K1373" i="6"/>
  <c r="K1374" i="6"/>
  <c r="K1375" i="6"/>
  <c r="K1376" i="6"/>
  <c r="K1377" i="6"/>
  <c r="K1378" i="6"/>
  <c r="K1379" i="6"/>
  <c r="K1380" i="6"/>
  <c r="K1381" i="6"/>
  <c r="K1382" i="6"/>
  <c r="K1383" i="6"/>
  <c r="K1384" i="6"/>
  <c r="K1385" i="6"/>
  <c r="K1386" i="6"/>
  <c r="K1387" i="6"/>
  <c r="K1388" i="6"/>
  <c r="K1389" i="6"/>
  <c r="K1390" i="6"/>
  <c r="K1391" i="6"/>
  <c r="K1392" i="6"/>
  <c r="K1393" i="6"/>
  <c r="K1394" i="6"/>
  <c r="K1395" i="6"/>
  <c r="K1396" i="6"/>
  <c r="K1397" i="6"/>
  <c r="K1398" i="6"/>
  <c r="K1399" i="6"/>
  <c r="K1400" i="6"/>
  <c r="K1401" i="6"/>
  <c r="K1402" i="6"/>
  <c r="K1403" i="6"/>
  <c r="K1404" i="6"/>
  <c r="K1405" i="6"/>
  <c r="K1406" i="6"/>
  <c r="K1407" i="6"/>
  <c r="K1408" i="6"/>
  <c r="K1409" i="6"/>
  <c r="K1410" i="6"/>
  <c r="K1411" i="6"/>
  <c r="K1412" i="6"/>
  <c r="K1413" i="6"/>
  <c r="K1414" i="6"/>
  <c r="K1415" i="6"/>
  <c r="K1416" i="6"/>
  <c r="K1417" i="6"/>
  <c r="K1418" i="6"/>
  <c r="K1419" i="6"/>
  <c r="K1420" i="6"/>
  <c r="K1421" i="6"/>
  <c r="K1422" i="6"/>
  <c r="K1423" i="6"/>
  <c r="K1424" i="6"/>
  <c r="K1425" i="6"/>
  <c r="K1426" i="6"/>
  <c r="K1427" i="6"/>
  <c r="K1428" i="6"/>
  <c r="K1429" i="6"/>
  <c r="K1430" i="6"/>
  <c r="K1431" i="6"/>
  <c r="K1432" i="6"/>
  <c r="K1433" i="6"/>
  <c r="K1434" i="6"/>
  <c r="K1435" i="6"/>
  <c r="K1436" i="6"/>
  <c r="K1437" i="6"/>
  <c r="K1438" i="6"/>
  <c r="K1439" i="6"/>
  <c r="K1440" i="6"/>
  <c r="K1441" i="6"/>
  <c r="K1442" i="6"/>
  <c r="K1443" i="6"/>
  <c r="K1444" i="6"/>
  <c r="K1445" i="6"/>
  <c r="K1446" i="6"/>
  <c r="K1447" i="6"/>
  <c r="K1448" i="6"/>
  <c r="K1449" i="6"/>
  <c r="K1450" i="6"/>
  <c r="K1451" i="6"/>
  <c r="K1452" i="6"/>
  <c r="K1453" i="6"/>
  <c r="K1454" i="6"/>
  <c r="K1455" i="6"/>
  <c r="K1456" i="6"/>
  <c r="K1457" i="6"/>
  <c r="K1458" i="6"/>
  <c r="K1459" i="6"/>
  <c r="K1460" i="6"/>
  <c r="K1461" i="6"/>
  <c r="K1462" i="6"/>
  <c r="K1463" i="6"/>
  <c r="K1464" i="6"/>
  <c r="K1465" i="6"/>
  <c r="K1466" i="6"/>
  <c r="K1467" i="6"/>
  <c r="K1468" i="6"/>
  <c r="K1469" i="6"/>
  <c r="K1470" i="6"/>
  <c r="K1471" i="6"/>
  <c r="K1472" i="6"/>
  <c r="K1473" i="6"/>
  <c r="K1474" i="6"/>
  <c r="K1475" i="6"/>
  <c r="K1476" i="6"/>
  <c r="K1477" i="6"/>
  <c r="K1478" i="6"/>
  <c r="K1479" i="6"/>
  <c r="K1480" i="6"/>
  <c r="K1481" i="6"/>
  <c r="K1482" i="6"/>
  <c r="K1483" i="6"/>
  <c r="K1484" i="6"/>
  <c r="K1485" i="6"/>
  <c r="K1486" i="6"/>
  <c r="K1487" i="6"/>
  <c r="K1488" i="6"/>
  <c r="K1489" i="6"/>
  <c r="K1490" i="6"/>
  <c r="K1491" i="6"/>
  <c r="K1492" i="6"/>
  <c r="K1493" i="6"/>
  <c r="K1494" i="6"/>
  <c r="K1495" i="6"/>
  <c r="K1496" i="6"/>
  <c r="K1497" i="6"/>
  <c r="K1498" i="6"/>
  <c r="K1499" i="6"/>
  <c r="K1500" i="6"/>
  <c r="K1501" i="6"/>
  <c r="K1502" i="6"/>
  <c r="K1503" i="6"/>
  <c r="K1504" i="6"/>
  <c r="K1505" i="6"/>
  <c r="K1506" i="6"/>
  <c r="K1507" i="6"/>
  <c r="K1508" i="6"/>
  <c r="K1509" i="6"/>
  <c r="K1510" i="6"/>
  <c r="K1511" i="6"/>
  <c r="K1512" i="6"/>
  <c r="K1513" i="6"/>
  <c r="K1514" i="6"/>
  <c r="K1515" i="6"/>
  <c r="K1516" i="6"/>
  <c r="K1517" i="6"/>
  <c r="K1518" i="6"/>
  <c r="K1519" i="6"/>
  <c r="K1520" i="6"/>
  <c r="K1521" i="6"/>
  <c r="K1522" i="6"/>
  <c r="K1523" i="6"/>
  <c r="K1524" i="6"/>
  <c r="K1525" i="6"/>
  <c r="K1526" i="6"/>
  <c r="K1527" i="6"/>
  <c r="K1528" i="6"/>
  <c r="K1529" i="6"/>
  <c r="K1530" i="6"/>
  <c r="K1531" i="6"/>
  <c r="K1532" i="6"/>
  <c r="K1533" i="6"/>
  <c r="K1534" i="6"/>
  <c r="K1535" i="6"/>
  <c r="K1536" i="6"/>
  <c r="K1537" i="6"/>
  <c r="K1538" i="6"/>
  <c r="K1539" i="6"/>
  <c r="K1540" i="6"/>
  <c r="K1541" i="6"/>
  <c r="K1542" i="6"/>
  <c r="K1543" i="6"/>
  <c r="K1544" i="6"/>
  <c r="K1545" i="6"/>
  <c r="K1546" i="6"/>
  <c r="K1547" i="6"/>
  <c r="K1548" i="6"/>
  <c r="K1549" i="6"/>
  <c r="K1550" i="6"/>
  <c r="K1551" i="6"/>
  <c r="K1552" i="6"/>
  <c r="K1553" i="6"/>
  <c r="K1554" i="6"/>
  <c r="K1555" i="6"/>
  <c r="K1556" i="6"/>
  <c r="K1557" i="6"/>
  <c r="K1558" i="6"/>
  <c r="K1559" i="6"/>
  <c r="K1560" i="6"/>
  <c r="K1561" i="6"/>
  <c r="K1562" i="6"/>
  <c r="K1563" i="6"/>
  <c r="K1564" i="6"/>
  <c r="K1565" i="6"/>
  <c r="K1566" i="6"/>
  <c r="K1567" i="6"/>
  <c r="K1568" i="6"/>
  <c r="K1569" i="6"/>
  <c r="K1570" i="6"/>
  <c r="K1571" i="6"/>
  <c r="K1572" i="6"/>
  <c r="K1573" i="6"/>
  <c r="K1574" i="6"/>
  <c r="K1575" i="6"/>
  <c r="K1576" i="6"/>
  <c r="K1577" i="6"/>
  <c r="K1578" i="6"/>
  <c r="K1579" i="6"/>
  <c r="K1580" i="6"/>
  <c r="K1581" i="6"/>
  <c r="K1582" i="6"/>
  <c r="K1583" i="6"/>
  <c r="K1584" i="6"/>
  <c r="K1585" i="6"/>
  <c r="K1586" i="6"/>
  <c r="K1587" i="6"/>
  <c r="K1588" i="6"/>
  <c r="K1589" i="6"/>
  <c r="K1590" i="6"/>
  <c r="K1591" i="6"/>
  <c r="K1592" i="6"/>
  <c r="K1593" i="6"/>
  <c r="K1594" i="6"/>
  <c r="K1595" i="6"/>
  <c r="K1596" i="6"/>
  <c r="K1597" i="6"/>
  <c r="K1598" i="6"/>
  <c r="K1599" i="6"/>
  <c r="K1600" i="6"/>
  <c r="K1601" i="6"/>
  <c r="K1602" i="6"/>
  <c r="K1603" i="6"/>
  <c r="K1604" i="6"/>
  <c r="K1605" i="6"/>
  <c r="K1606" i="6"/>
  <c r="K1607" i="6"/>
  <c r="K1608" i="6"/>
  <c r="K1609" i="6"/>
  <c r="K1610" i="6"/>
  <c r="K1611" i="6"/>
  <c r="K1612" i="6"/>
  <c r="K1613" i="6"/>
  <c r="K1614" i="6"/>
  <c r="K1615" i="6"/>
  <c r="K1616" i="6"/>
  <c r="K1617" i="6"/>
  <c r="K1618" i="6"/>
  <c r="K1619" i="6"/>
  <c r="K1620" i="6"/>
  <c r="K1621" i="6"/>
  <c r="K1622" i="6"/>
  <c r="K1623" i="6"/>
  <c r="K1624" i="6"/>
  <c r="K1625" i="6"/>
  <c r="K1626" i="6"/>
  <c r="K1627" i="6"/>
  <c r="K1628" i="6"/>
  <c r="K1629" i="6"/>
  <c r="K1630" i="6"/>
  <c r="K1631" i="6"/>
  <c r="K1632" i="6"/>
  <c r="K1633" i="6"/>
  <c r="K1634" i="6"/>
  <c r="K1635" i="6"/>
  <c r="K1636" i="6"/>
  <c r="K1637" i="6"/>
  <c r="K1638" i="6"/>
  <c r="K1639" i="6"/>
  <c r="K1640" i="6"/>
  <c r="K1641" i="6"/>
  <c r="K1642" i="6"/>
  <c r="K1643" i="6"/>
  <c r="K1644" i="6"/>
  <c r="K1645" i="6"/>
  <c r="K1646" i="6"/>
  <c r="K1647" i="6"/>
  <c r="K1648" i="6"/>
  <c r="K1649" i="6"/>
  <c r="K1650" i="6"/>
  <c r="K1651" i="6"/>
  <c r="K1652" i="6"/>
  <c r="K1653" i="6"/>
  <c r="K1654" i="6"/>
  <c r="K1655" i="6"/>
  <c r="K1656" i="6"/>
  <c r="K1657" i="6"/>
  <c r="K1658" i="6"/>
  <c r="K1659" i="6"/>
  <c r="K1660" i="6"/>
  <c r="K1661" i="6"/>
  <c r="K1662" i="6"/>
  <c r="K1663" i="6"/>
  <c r="K1664" i="6"/>
  <c r="K1665" i="6"/>
  <c r="K1666" i="6"/>
  <c r="K1667" i="6"/>
  <c r="K1668" i="6"/>
  <c r="K1669" i="6"/>
  <c r="K1670" i="6"/>
  <c r="K1671" i="6"/>
  <c r="K1672" i="6"/>
  <c r="K1673" i="6"/>
  <c r="K1674" i="6"/>
  <c r="K1675" i="6"/>
  <c r="K1676" i="6"/>
  <c r="K1677" i="6"/>
  <c r="K1678" i="6"/>
  <c r="K1679" i="6"/>
  <c r="K1680" i="6"/>
  <c r="K1681" i="6"/>
  <c r="K1682" i="6"/>
  <c r="K1683" i="6"/>
  <c r="K1684" i="6"/>
  <c r="K1685" i="6"/>
  <c r="K1686" i="6"/>
  <c r="K1687" i="6"/>
  <c r="K1688" i="6"/>
  <c r="K1689" i="6"/>
  <c r="K1690" i="6"/>
  <c r="K1691" i="6"/>
  <c r="K1692" i="6"/>
  <c r="K1693" i="6"/>
  <c r="K1694" i="6"/>
  <c r="K1695" i="6"/>
  <c r="K1696" i="6"/>
  <c r="K1697" i="6"/>
  <c r="K1698" i="6"/>
  <c r="K1699" i="6"/>
  <c r="K1700" i="6"/>
  <c r="K1701" i="6"/>
  <c r="K1702" i="6"/>
  <c r="K1703" i="6"/>
  <c r="K1704" i="6"/>
  <c r="K1705" i="6"/>
  <c r="K1706" i="6"/>
  <c r="K1707" i="6"/>
  <c r="K1708" i="6"/>
  <c r="K1709" i="6"/>
  <c r="K1710" i="6"/>
  <c r="K1711" i="6"/>
  <c r="K1712" i="6"/>
  <c r="K1713" i="6"/>
  <c r="K1714" i="6"/>
  <c r="K1715" i="6"/>
  <c r="K1716" i="6"/>
  <c r="K1717" i="6"/>
  <c r="K1718" i="6"/>
  <c r="K1719" i="6"/>
  <c r="K1720" i="6"/>
  <c r="K1721" i="6"/>
  <c r="K1722" i="6"/>
  <c r="K1723" i="6"/>
  <c r="K1724" i="6"/>
  <c r="K1725" i="6"/>
  <c r="K1726" i="6"/>
  <c r="K1727" i="6"/>
  <c r="K1728" i="6"/>
  <c r="K1729" i="6"/>
  <c r="K1730" i="6"/>
  <c r="K1731" i="6"/>
  <c r="K1732" i="6"/>
  <c r="K1733" i="6"/>
  <c r="K1734" i="6"/>
  <c r="K1735" i="6"/>
  <c r="K1736" i="6"/>
  <c r="K1737" i="6"/>
  <c r="K1738" i="6"/>
  <c r="K1739" i="6"/>
  <c r="K1740" i="6"/>
  <c r="K1741" i="6"/>
  <c r="K1742" i="6"/>
  <c r="K1743" i="6"/>
  <c r="K1744" i="6"/>
  <c r="K1745" i="6"/>
  <c r="K1746" i="6"/>
  <c r="K1747" i="6"/>
  <c r="K1748" i="6"/>
  <c r="K1749" i="6"/>
  <c r="K1750" i="6"/>
  <c r="K1751" i="6"/>
  <c r="K1752" i="6"/>
  <c r="K1753" i="6"/>
  <c r="K1754" i="6"/>
  <c r="K1755" i="6"/>
  <c r="K1756" i="6"/>
  <c r="K1757" i="6"/>
  <c r="K1758" i="6"/>
  <c r="K1759" i="6"/>
  <c r="K1760" i="6"/>
  <c r="K1761" i="6"/>
  <c r="K1762" i="6"/>
  <c r="K1763" i="6"/>
  <c r="K1764" i="6"/>
  <c r="K1765" i="6"/>
  <c r="K1766" i="6"/>
  <c r="K1767" i="6"/>
  <c r="K1768" i="6"/>
  <c r="K1769" i="6"/>
  <c r="K1770" i="6"/>
  <c r="K1771" i="6"/>
  <c r="K1772" i="6"/>
  <c r="K1773" i="6"/>
  <c r="K1774" i="6"/>
  <c r="K1775" i="6"/>
  <c r="K1776" i="6"/>
  <c r="K1777" i="6"/>
  <c r="K1778" i="6"/>
  <c r="K1779" i="6"/>
  <c r="K1780" i="6"/>
  <c r="K1781" i="6"/>
  <c r="K1782" i="6"/>
  <c r="K1783" i="6"/>
  <c r="K1784" i="6"/>
  <c r="K1785" i="6"/>
  <c r="K1786" i="6"/>
  <c r="K1787" i="6"/>
  <c r="K1788" i="6"/>
  <c r="K1789" i="6"/>
  <c r="K1790" i="6"/>
  <c r="K1791" i="6"/>
  <c r="K1792" i="6"/>
  <c r="K1793" i="6"/>
  <c r="K1794" i="6"/>
  <c r="K1795" i="6"/>
  <c r="K1796" i="6"/>
  <c r="K1797" i="6"/>
  <c r="K1798" i="6"/>
  <c r="K1799" i="6"/>
  <c r="K1800" i="6"/>
  <c r="K1801" i="6"/>
  <c r="K1802" i="6"/>
  <c r="K1803" i="6"/>
  <c r="K1804" i="6"/>
  <c r="K1805" i="6"/>
  <c r="K1806" i="6"/>
  <c r="K1807" i="6"/>
  <c r="K1808" i="6"/>
  <c r="K1809" i="6"/>
  <c r="K1810" i="6"/>
  <c r="K1811" i="6"/>
  <c r="K1812" i="6"/>
  <c r="K1813" i="6"/>
  <c r="K1814" i="6"/>
  <c r="K1815" i="6"/>
  <c r="K1816" i="6"/>
  <c r="K1817" i="6"/>
  <c r="K1818" i="6"/>
  <c r="K1819" i="6"/>
  <c r="K1820" i="6"/>
  <c r="K1821" i="6"/>
  <c r="K1822" i="6"/>
  <c r="K1823" i="6"/>
  <c r="K1824" i="6"/>
  <c r="K1825" i="6"/>
  <c r="K1826" i="6"/>
  <c r="K1827" i="6"/>
  <c r="K1828" i="6"/>
  <c r="K1829" i="6"/>
  <c r="K1830" i="6"/>
  <c r="K1831" i="6"/>
  <c r="K1832" i="6"/>
  <c r="K1833" i="6"/>
  <c r="K1834" i="6"/>
  <c r="K1835" i="6"/>
  <c r="K1836" i="6"/>
  <c r="K1837" i="6"/>
  <c r="K1838" i="6"/>
  <c r="K1839" i="6"/>
  <c r="K1840" i="6"/>
  <c r="K1841" i="6"/>
  <c r="K1842" i="6"/>
  <c r="K1843" i="6"/>
  <c r="K1844" i="6"/>
  <c r="K1845" i="6"/>
  <c r="K1846" i="6"/>
  <c r="K1847" i="6"/>
  <c r="K1848" i="6"/>
  <c r="K1849" i="6"/>
  <c r="K1850" i="6"/>
  <c r="K1851" i="6"/>
  <c r="K1852" i="6"/>
  <c r="K1853" i="6"/>
  <c r="K1854" i="6"/>
  <c r="K1855" i="6"/>
  <c r="K1856" i="6"/>
  <c r="K1857" i="6"/>
  <c r="K1858" i="6"/>
  <c r="K1859" i="6"/>
  <c r="K1860" i="6"/>
  <c r="K1861" i="6"/>
  <c r="K1862" i="6"/>
  <c r="K1863" i="6"/>
  <c r="K1864" i="6"/>
  <c r="K1865" i="6"/>
  <c r="K1866" i="6"/>
  <c r="K1867" i="6"/>
  <c r="K1868" i="6"/>
  <c r="K1869" i="6"/>
  <c r="K1870" i="6"/>
  <c r="K1871" i="6"/>
  <c r="K1872" i="6"/>
  <c r="K1873" i="6"/>
  <c r="K1874" i="6"/>
  <c r="K1875" i="6"/>
  <c r="K1876" i="6"/>
  <c r="K1877" i="6"/>
  <c r="K1878" i="6"/>
  <c r="K1879" i="6"/>
  <c r="K1880" i="6"/>
  <c r="K1881" i="6"/>
  <c r="K1882" i="6"/>
  <c r="K1883" i="6"/>
  <c r="K1884" i="6"/>
  <c r="K1885" i="6"/>
  <c r="K1886" i="6"/>
  <c r="K1887" i="6"/>
  <c r="K1888" i="6"/>
  <c r="K1889" i="6"/>
  <c r="K1890" i="6"/>
  <c r="K1891" i="6"/>
  <c r="K1892" i="6"/>
  <c r="K1893" i="6"/>
  <c r="K1894" i="6"/>
  <c r="K1895" i="6"/>
  <c r="K1896" i="6"/>
  <c r="K1897" i="6"/>
  <c r="K1898" i="6"/>
  <c r="K1899" i="6"/>
  <c r="K1900" i="6"/>
  <c r="K1901" i="6"/>
  <c r="K1902" i="6"/>
  <c r="K1903" i="6"/>
  <c r="K1904" i="6"/>
  <c r="K1905" i="6"/>
  <c r="K1906" i="6"/>
  <c r="K1907" i="6"/>
  <c r="K1908" i="6"/>
  <c r="K1909" i="6"/>
  <c r="K1910" i="6"/>
  <c r="K1911" i="6"/>
  <c r="K1912" i="6"/>
  <c r="K1913" i="6"/>
  <c r="K1914" i="6"/>
  <c r="K1915" i="6"/>
  <c r="K1916" i="6"/>
  <c r="K1917" i="6"/>
  <c r="K1918" i="6"/>
  <c r="K1919" i="6"/>
  <c r="K1920" i="6"/>
  <c r="K1921" i="6"/>
  <c r="K1922" i="6"/>
  <c r="K1923" i="6"/>
  <c r="K1924" i="6"/>
  <c r="K1925" i="6"/>
  <c r="K1926" i="6"/>
  <c r="K1927" i="6"/>
  <c r="K1928" i="6"/>
  <c r="K1929" i="6"/>
  <c r="K1930" i="6"/>
  <c r="K1931" i="6"/>
  <c r="K1932" i="6"/>
  <c r="K1933" i="6"/>
  <c r="K1934" i="6"/>
  <c r="K1935" i="6"/>
  <c r="K1936" i="6"/>
  <c r="K1937" i="6"/>
  <c r="K1938" i="6"/>
  <c r="K1939" i="6"/>
  <c r="K1940" i="6"/>
  <c r="K1941" i="6"/>
  <c r="K1942" i="6"/>
  <c r="K1943" i="6"/>
  <c r="K1944" i="6"/>
  <c r="K1945" i="6"/>
  <c r="K1946" i="6"/>
  <c r="K1947" i="6"/>
  <c r="K1948" i="6"/>
  <c r="K1949" i="6"/>
  <c r="K1950" i="6"/>
  <c r="K1951" i="6"/>
  <c r="K1952" i="6"/>
  <c r="K1953" i="6"/>
  <c r="K1954" i="6"/>
  <c r="K1955" i="6"/>
  <c r="K1956" i="6"/>
  <c r="K1957" i="6"/>
  <c r="K1958" i="6"/>
  <c r="K1959" i="6"/>
  <c r="K1960" i="6"/>
  <c r="K1961" i="6"/>
  <c r="K1962" i="6"/>
  <c r="K1963" i="6"/>
  <c r="K1964" i="6"/>
  <c r="K1965" i="6"/>
  <c r="K1966" i="6"/>
  <c r="K1967" i="6"/>
  <c r="K1968" i="6"/>
  <c r="K1969" i="6"/>
  <c r="K1970" i="6"/>
  <c r="K1971" i="6"/>
  <c r="K1972" i="6"/>
  <c r="K1973" i="6"/>
  <c r="K1974" i="6"/>
  <c r="K1975" i="6"/>
  <c r="K1976" i="6"/>
  <c r="K1977" i="6"/>
  <c r="K1978" i="6"/>
  <c r="K1979" i="6"/>
  <c r="K1980" i="6"/>
  <c r="K1981" i="6"/>
  <c r="K1982" i="6"/>
  <c r="K1983" i="6"/>
  <c r="K1984" i="6"/>
  <c r="K1985" i="6"/>
  <c r="K1986" i="6"/>
  <c r="K1987" i="6"/>
  <c r="K1988" i="6"/>
  <c r="K1989" i="6"/>
  <c r="K1990" i="6"/>
  <c r="K1991" i="6"/>
  <c r="K1992" i="6"/>
  <c r="K1993" i="6"/>
  <c r="K1994" i="6"/>
  <c r="K1995" i="6"/>
  <c r="K1996" i="6"/>
  <c r="K1997" i="6"/>
  <c r="K1998" i="6"/>
  <c r="K1999" i="6"/>
  <c r="K2000" i="6"/>
  <c r="K2001" i="6"/>
  <c r="K2002" i="6"/>
  <c r="K2003" i="6"/>
  <c r="K2004" i="6"/>
  <c r="K2005" i="6"/>
  <c r="K2006" i="6"/>
  <c r="K2007" i="6"/>
  <c r="K2008" i="6"/>
  <c r="K2009" i="6"/>
  <c r="K2010" i="6"/>
  <c r="K2011" i="6"/>
  <c r="K2012" i="6"/>
  <c r="K2013" i="6"/>
  <c r="K2014" i="6"/>
  <c r="K2015" i="6"/>
  <c r="K2016" i="6"/>
  <c r="K2017" i="6"/>
  <c r="K2018" i="6"/>
  <c r="K2019" i="6"/>
  <c r="K2020" i="6"/>
  <c r="K2021" i="6"/>
  <c r="K2022" i="6"/>
  <c r="K2023" i="6"/>
  <c r="K2024" i="6"/>
  <c r="K2025" i="6"/>
  <c r="K2026" i="6"/>
  <c r="K2027" i="6"/>
  <c r="K2028" i="6"/>
  <c r="K2029" i="6"/>
  <c r="K2030" i="6"/>
  <c r="K2031" i="6"/>
  <c r="K2032" i="6"/>
  <c r="K2033" i="6"/>
  <c r="K2034" i="6"/>
  <c r="K2035" i="6"/>
  <c r="K2036" i="6"/>
  <c r="K2037" i="6"/>
  <c r="K2038" i="6"/>
  <c r="K2039" i="6"/>
  <c r="K2040" i="6"/>
  <c r="K2041" i="6"/>
  <c r="K2042" i="6"/>
  <c r="K2043" i="6"/>
  <c r="K2044" i="6"/>
  <c r="K2045" i="6"/>
  <c r="K2046" i="6"/>
  <c r="K2047" i="6"/>
  <c r="K2048" i="6"/>
  <c r="K2049" i="6"/>
  <c r="K2050" i="6"/>
  <c r="K2051" i="6"/>
  <c r="K2052" i="6"/>
  <c r="K2053" i="6"/>
  <c r="K2054" i="6"/>
  <c r="K2055" i="6"/>
  <c r="K2056" i="6"/>
  <c r="K2057" i="6"/>
  <c r="K2058" i="6"/>
  <c r="K2059" i="6"/>
  <c r="K2060" i="6"/>
  <c r="K2061" i="6"/>
  <c r="K2062" i="6"/>
  <c r="K2063" i="6"/>
  <c r="K2064" i="6"/>
  <c r="K2065" i="6"/>
  <c r="K2066" i="6"/>
  <c r="K2067" i="6"/>
  <c r="K2068" i="6"/>
  <c r="K2069" i="6"/>
  <c r="K2070" i="6"/>
  <c r="K2071" i="6"/>
  <c r="K2072" i="6"/>
  <c r="K2073" i="6"/>
  <c r="K2074" i="6"/>
  <c r="K2075" i="6"/>
  <c r="K2076" i="6"/>
  <c r="K2077" i="6"/>
  <c r="K2078" i="6"/>
  <c r="K2079" i="6"/>
  <c r="K2080" i="6"/>
  <c r="K2081" i="6"/>
  <c r="K2082" i="6"/>
  <c r="K2083" i="6"/>
  <c r="K2084" i="6"/>
  <c r="K2085" i="6"/>
  <c r="K2086" i="6"/>
  <c r="K2087" i="6"/>
  <c r="K2088" i="6"/>
  <c r="K2089" i="6"/>
  <c r="K2090" i="6"/>
  <c r="K2091" i="6"/>
  <c r="K2092" i="6"/>
  <c r="K2093" i="6"/>
  <c r="K2094" i="6"/>
  <c r="K2095" i="6"/>
  <c r="K2096" i="6"/>
  <c r="K2097" i="6"/>
  <c r="K2098" i="6"/>
  <c r="K2099" i="6"/>
  <c r="K2100" i="6"/>
  <c r="K2101" i="6"/>
  <c r="K2102" i="6"/>
  <c r="K2103" i="6"/>
  <c r="K2104" i="6"/>
  <c r="K2105" i="6"/>
  <c r="K2106" i="6"/>
  <c r="K2107" i="6"/>
  <c r="K2108" i="6"/>
  <c r="K2109" i="6"/>
  <c r="K2110" i="6"/>
  <c r="K2111" i="6"/>
  <c r="K2112" i="6"/>
  <c r="K2113" i="6"/>
  <c r="K2114" i="6"/>
  <c r="K2115" i="6"/>
  <c r="K2116" i="6"/>
  <c r="K2117" i="6"/>
  <c r="K2118" i="6"/>
  <c r="K2119" i="6"/>
  <c r="K2120" i="6"/>
  <c r="K2121" i="6"/>
  <c r="K2122" i="6"/>
  <c r="K2123" i="6"/>
  <c r="K2124" i="6"/>
  <c r="K2125" i="6"/>
  <c r="K2126" i="6"/>
  <c r="K2127" i="6"/>
  <c r="K2128" i="6"/>
  <c r="K2129" i="6"/>
  <c r="K2130" i="6"/>
  <c r="K2131" i="6"/>
  <c r="K2132" i="6"/>
  <c r="K2133" i="6"/>
  <c r="K2134" i="6"/>
  <c r="K2135" i="6"/>
  <c r="K2136" i="6"/>
  <c r="K2137" i="6"/>
  <c r="K2138" i="6"/>
  <c r="K2139" i="6"/>
  <c r="K2140" i="6"/>
  <c r="K2141" i="6"/>
  <c r="K2142" i="6"/>
  <c r="K2143" i="6"/>
  <c r="K2144" i="6"/>
  <c r="K2145" i="6"/>
  <c r="K2146" i="6"/>
  <c r="K2147" i="6"/>
  <c r="K2148" i="6"/>
  <c r="K2149" i="6"/>
  <c r="K2150" i="6"/>
  <c r="K2151" i="6"/>
  <c r="K2152" i="6"/>
  <c r="K2153" i="6"/>
  <c r="K2154" i="6"/>
  <c r="K2155" i="6"/>
  <c r="K2156" i="6"/>
  <c r="K2157" i="6"/>
  <c r="K2158" i="6"/>
  <c r="K2159" i="6"/>
  <c r="K2160" i="6"/>
  <c r="K2161" i="6"/>
  <c r="K2162" i="6"/>
  <c r="K2163" i="6"/>
  <c r="K2164" i="6"/>
  <c r="K2165" i="6"/>
  <c r="K2166" i="6"/>
  <c r="K2167" i="6"/>
  <c r="K2168" i="6"/>
  <c r="K2169" i="6"/>
  <c r="K2170" i="6"/>
  <c r="K2171" i="6"/>
  <c r="K2172" i="6"/>
  <c r="K2173" i="6"/>
  <c r="K2174" i="6"/>
  <c r="K2175" i="6"/>
  <c r="K2176" i="6"/>
  <c r="K2177" i="6"/>
  <c r="K2178" i="6"/>
  <c r="K2179" i="6"/>
  <c r="K2180" i="6"/>
  <c r="K2181" i="6"/>
  <c r="K2182" i="6"/>
  <c r="K2183" i="6"/>
  <c r="K2184" i="6"/>
  <c r="K2185" i="6"/>
  <c r="K2186" i="6"/>
  <c r="K2187" i="6"/>
  <c r="K2188" i="6"/>
  <c r="K2189" i="6"/>
  <c r="K2190" i="6"/>
  <c r="K2191" i="6"/>
  <c r="K2192" i="6"/>
  <c r="K2193" i="6"/>
  <c r="K2194" i="6"/>
  <c r="K2195" i="6"/>
  <c r="K2196" i="6"/>
  <c r="K2197" i="6"/>
  <c r="K2198" i="6"/>
  <c r="K2199" i="6"/>
  <c r="K2200" i="6"/>
  <c r="K2201" i="6"/>
  <c r="K2202" i="6"/>
  <c r="K2203" i="6"/>
  <c r="K2204" i="6"/>
  <c r="K2205" i="6"/>
  <c r="K2206" i="6"/>
  <c r="K2207" i="6"/>
  <c r="K2208" i="6"/>
  <c r="K2209" i="6"/>
  <c r="K2210" i="6"/>
  <c r="K2211" i="6"/>
  <c r="K2212" i="6"/>
  <c r="K2213" i="6"/>
  <c r="K2214" i="6"/>
  <c r="K2215" i="6"/>
  <c r="K2216" i="6"/>
  <c r="K2217" i="6"/>
  <c r="K2218" i="6"/>
  <c r="K2219" i="6"/>
  <c r="K2220" i="6"/>
  <c r="K2221" i="6"/>
  <c r="K2222" i="6"/>
  <c r="K2223" i="6"/>
  <c r="K2224" i="6"/>
  <c r="K2225" i="6"/>
  <c r="K2226" i="6"/>
  <c r="K2227" i="6"/>
  <c r="K2228" i="6"/>
  <c r="K2229" i="6"/>
  <c r="K2230" i="6"/>
  <c r="K2231" i="6"/>
  <c r="K2232" i="6"/>
  <c r="K2233" i="6"/>
  <c r="K2234" i="6"/>
  <c r="K2235" i="6"/>
  <c r="K2236" i="6"/>
  <c r="K2237" i="6"/>
  <c r="K2238" i="6"/>
  <c r="K2239" i="6"/>
  <c r="K2240" i="6"/>
  <c r="K2241" i="6"/>
  <c r="K2242" i="6"/>
  <c r="K2243" i="6"/>
  <c r="K2244" i="6"/>
  <c r="K2245" i="6"/>
  <c r="K2246" i="6"/>
  <c r="K2247" i="6"/>
  <c r="K2248" i="6"/>
  <c r="K2249" i="6"/>
  <c r="K2250" i="6"/>
  <c r="K2251" i="6"/>
  <c r="K2252" i="6"/>
  <c r="K2253" i="6"/>
  <c r="K2254" i="6"/>
  <c r="K2255" i="6"/>
  <c r="K2256" i="6"/>
  <c r="K2257" i="6"/>
  <c r="K2258" i="6"/>
  <c r="K2259" i="6"/>
  <c r="K2260" i="6"/>
  <c r="K2261" i="6"/>
  <c r="K2262" i="6"/>
  <c r="K2263" i="6"/>
  <c r="K2264" i="6"/>
  <c r="K2265" i="6"/>
  <c r="K2266" i="6"/>
  <c r="K2267" i="6"/>
  <c r="K2268" i="6"/>
  <c r="K2269" i="6"/>
  <c r="K2270" i="6"/>
  <c r="K2271" i="6"/>
  <c r="K2272" i="6"/>
  <c r="K2273" i="6"/>
  <c r="K2274" i="6"/>
  <c r="K2275" i="6"/>
  <c r="K2276" i="6"/>
  <c r="K2277" i="6"/>
  <c r="K2278" i="6"/>
  <c r="K2279" i="6"/>
  <c r="K2280" i="6"/>
  <c r="K2281" i="6"/>
  <c r="K2282" i="6"/>
  <c r="K2283" i="6"/>
  <c r="K2284" i="6"/>
  <c r="K2285" i="6"/>
  <c r="K2286" i="6"/>
  <c r="K2287" i="6"/>
  <c r="K2288" i="6"/>
  <c r="K2289" i="6"/>
  <c r="K2290" i="6"/>
  <c r="K2291" i="6"/>
  <c r="K2292" i="6"/>
  <c r="K2293" i="6"/>
  <c r="K2294" i="6"/>
  <c r="K2295" i="6"/>
  <c r="K2296" i="6"/>
  <c r="K2297" i="6"/>
  <c r="K2298" i="6"/>
  <c r="K2299" i="6"/>
  <c r="K2300" i="6"/>
  <c r="K2301" i="6"/>
  <c r="K2302" i="6"/>
  <c r="K2303" i="6"/>
  <c r="K2304" i="6"/>
  <c r="K2305" i="6"/>
  <c r="K2306" i="6"/>
  <c r="K2307" i="6"/>
  <c r="K2308" i="6"/>
  <c r="K2309" i="6"/>
  <c r="K2310" i="6"/>
  <c r="K2311" i="6"/>
  <c r="K2312" i="6"/>
  <c r="K2313" i="6"/>
  <c r="K2314" i="6"/>
  <c r="K2315" i="6"/>
  <c r="K2316" i="6"/>
  <c r="K2317" i="6"/>
  <c r="K2318" i="6"/>
  <c r="K2319" i="6"/>
  <c r="K2320" i="6"/>
  <c r="K2321" i="6"/>
  <c r="K2322" i="6"/>
  <c r="K2323" i="6"/>
  <c r="K2324" i="6"/>
  <c r="K2325" i="6"/>
  <c r="K2326" i="6"/>
  <c r="K2327" i="6"/>
  <c r="K2328" i="6"/>
  <c r="K2329" i="6"/>
  <c r="K2330" i="6"/>
  <c r="K2331" i="6"/>
  <c r="K2332" i="6"/>
  <c r="K2333" i="6"/>
  <c r="K2334" i="6"/>
  <c r="K2335" i="6"/>
  <c r="K2336" i="6"/>
  <c r="K2337" i="6"/>
  <c r="K2338" i="6"/>
  <c r="K2339" i="6"/>
  <c r="K2340" i="6"/>
  <c r="K2341" i="6"/>
  <c r="K2342" i="6"/>
  <c r="K2343" i="6"/>
  <c r="K2344" i="6"/>
  <c r="K2345" i="6"/>
  <c r="K2346" i="6"/>
  <c r="K2347" i="6"/>
  <c r="K2348" i="6"/>
  <c r="K2349" i="6"/>
  <c r="K2350" i="6"/>
  <c r="K2351" i="6"/>
  <c r="K2352" i="6"/>
  <c r="K2353" i="6"/>
  <c r="K2354" i="6"/>
  <c r="K2355" i="6"/>
  <c r="K2356" i="6"/>
  <c r="K2357" i="6"/>
  <c r="K2358" i="6"/>
  <c r="K2359" i="6"/>
  <c r="K2360" i="6"/>
  <c r="K2361" i="6"/>
  <c r="K2362" i="6"/>
  <c r="K2363" i="6"/>
  <c r="K2364" i="6"/>
  <c r="K2365" i="6"/>
  <c r="K2366" i="6"/>
  <c r="K2367" i="6"/>
  <c r="K2368" i="6"/>
  <c r="K2369" i="6"/>
  <c r="K2370" i="6"/>
  <c r="K2371" i="6"/>
  <c r="K2372" i="6"/>
  <c r="K2373" i="6"/>
  <c r="K2374" i="6"/>
  <c r="K2375" i="6"/>
  <c r="K2376" i="6"/>
  <c r="K2377" i="6"/>
  <c r="K2378" i="6"/>
  <c r="K2379" i="6"/>
  <c r="K2380" i="6"/>
  <c r="K2381" i="6"/>
  <c r="K2382" i="6"/>
  <c r="K2383" i="6"/>
  <c r="K2384" i="6"/>
  <c r="K2385" i="6"/>
  <c r="K2386" i="6"/>
  <c r="K2387" i="6"/>
  <c r="K2388" i="6"/>
  <c r="K2389" i="6"/>
  <c r="K2390" i="6"/>
  <c r="K2391" i="6"/>
  <c r="K2392" i="6"/>
  <c r="K2393" i="6"/>
  <c r="K2394" i="6"/>
  <c r="K2395" i="6"/>
  <c r="K2396" i="6"/>
  <c r="K2397" i="6"/>
  <c r="K2398" i="6"/>
  <c r="K2399" i="6"/>
  <c r="K2400" i="6"/>
  <c r="K2401" i="6"/>
  <c r="K2402" i="6"/>
  <c r="K2403" i="6"/>
  <c r="K2404" i="6"/>
  <c r="K2405" i="6"/>
  <c r="K2406" i="6"/>
  <c r="K2407" i="6"/>
  <c r="K2408" i="6"/>
  <c r="K2409" i="6"/>
  <c r="K2410" i="6"/>
  <c r="K2411" i="6"/>
  <c r="K2412" i="6"/>
  <c r="K2413" i="6"/>
  <c r="K2414" i="6"/>
  <c r="K2415" i="6"/>
  <c r="K2416" i="6"/>
  <c r="K2417" i="6"/>
  <c r="K2418" i="6"/>
  <c r="K2419" i="6"/>
  <c r="K2420" i="6"/>
  <c r="K2421" i="6"/>
  <c r="K2422" i="6"/>
  <c r="K2423" i="6"/>
  <c r="K2424" i="6"/>
  <c r="K2425" i="6"/>
  <c r="K2426" i="6"/>
  <c r="K2427" i="6"/>
  <c r="K2428" i="6"/>
  <c r="K2429" i="6"/>
  <c r="K2430" i="6"/>
  <c r="K2431" i="6"/>
  <c r="K2432" i="6"/>
  <c r="K2433" i="6"/>
  <c r="K2434" i="6"/>
  <c r="K2435" i="6"/>
  <c r="K2436" i="6"/>
  <c r="K2437" i="6"/>
  <c r="K2438" i="6"/>
  <c r="K2439" i="6"/>
  <c r="K2440" i="6"/>
  <c r="K2441" i="6"/>
  <c r="K2442" i="6"/>
  <c r="K2443" i="6"/>
  <c r="K2444" i="6"/>
  <c r="K2445" i="6"/>
  <c r="K2446" i="6"/>
  <c r="K2447" i="6"/>
  <c r="K2448" i="6"/>
  <c r="K2449" i="6"/>
  <c r="K2450" i="6"/>
  <c r="K2451" i="6"/>
  <c r="K2452" i="6"/>
  <c r="K2453" i="6"/>
  <c r="K2454" i="6"/>
  <c r="K2455" i="6"/>
  <c r="K2456" i="6"/>
  <c r="K2457" i="6"/>
  <c r="K2458" i="6"/>
  <c r="K2459" i="6"/>
  <c r="K2460" i="6"/>
  <c r="K2461" i="6"/>
  <c r="K2462" i="6"/>
  <c r="K2463" i="6"/>
  <c r="K2464" i="6"/>
  <c r="K2465" i="6"/>
  <c r="K2466" i="6"/>
  <c r="K2467" i="6"/>
  <c r="K2468" i="6"/>
  <c r="K2469" i="6"/>
  <c r="K2470" i="6"/>
  <c r="K2471" i="6"/>
  <c r="K2472" i="6"/>
  <c r="K2473" i="6"/>
  <c r="K2474" i="6"/>
  <c r="K2475" i="6"/>
  <c r="K2476" i="6"/>
  <c r="K2477" i="6"/>
  <c r="K2478" i="6"/>
  <c r="K2479" i="6"/>
  <c r="K2480" i="6"/>
  <c r="K2481" i="6"/>
  <c r="K2482" i="6"/>
  <c r="K2483" i="6"/>
  <c r="K2484" i="6"/>
  <c r="K2485" i="6"/>
  <c r="K2486" i="6"/>
  <c r="K2487" i="6"/>
  <c r="K2488" i="6"/>
  <c r="K2489" i="6"/>
  <c r="K2490" i="6"/>
  <c r="K2491" i="6"/>
  <c r="K2492" i="6"/>
  <c r="K2493" i="6"/>
  <c r="K2494" i="6"/>
  <c r="K2495" i="6"/>
  <c r="K2496" i="6"/>
  <c r="K2497" i="6"/>
  <c r="K2498" i="6"/>
  <c r="K2499" i="6"/>
  <c r="K2500" i="6"/>
  <c r="K2501" i="6"/>
  <c r="K2502" i="6"/>
  <c r="K2503" i="6"/>
  <c r="K2504" i="6"/>
  <c r="K2505" i="6"/>
  <c r="K2506" i="6"/>
  <c r="K2507" i="6"/>
  <c r="K2508" i="6"/>
  <c r="K2509" i="6"/>
  <c r="K2510" i="6"/>
  <c r="K2511" i="6"/>
  <c r="K2512" i="6"/>
  <c r="K2513" i="6"/>
  <c r="K2514" i="6"/>
  <c r="K2515" i="6"/>
  <c r="K2516" i="6"/>
  <c r="K2517" i="6"/>
  <c r="K2518" i="6"/>
  <c r="K2519" i="6"/>
  <c r="K2520" i="6"/>
  <c r="K2521" i="6"/>
  <c r="K2522" i="6"/>
  <c r="K2523" i="6"/>
  <c r="K2524" i="6"/>
  <c r="K2525" i="6"/>
  <c r="K2526" i="6"/>
  <c r="K2527" i="6"/>
  <c r="K2528" i="6"/>
  <c r="K2529" i="6"/>
  <c r="K2530" i="6"/>
  <c r="K2531" i="6"/>
  <c r="K2532" i="6"/>
  <c r="K2533" i="6"/>
  <c r="K2534" i="6"/>
  <c r="K2535" i="6"/>
  <c r="K2536" i="6"/>
  <c r="K2537" i="6"/>
  <c r="K2538" i="6"/>
  <c r="K2539" i="6"/>
  <c r="K2540" i="6"/>
  <c r="K2541" i="6"/>
  <c r="K2542" i="6"/>
  <c r="K2543" i="6"/>
  <c r="K2544" i="6"/>
  <c r="K2545" i="6"/>
  <c r="K2546" i="6"/>
  <c r="K2547" i="6"/>
  <c r="K2548" i="6"/>
  <c r="K2549" i="6"/>
  <c r="K2550" i="6"/>
  <c r="K2551" i="6"/>
  <c r="K2552" i="6"/>
  <c r="K2553" i="6"/>
  <c r="K2554" i="6"/>
  <c r="K2555" i="6"/>
  <c r="K2556" i="6"/>
  <c r="K2557" i="6"/>
  <c r="K2558" i="6"/>
  <c r="K2559" i="6"/>
  <c r="K2560" i="6"/>
  <c r="K2561" i="6"/>
  <c r="K2562" i="6"/>
  <c r="K2563" i="6"/>
  <c r="K2564" i="6"/>
  <c r="K2565" i="6"/>
  <c r="K2566" i="6"/>
  <c r="K2567" i="6"/>
  <c r="K2568" i="6"/>
  <c r="K2569" i="6"/>
  <c r="K2570" i="6"/>
  <c r="K2571" i="6"/>
  <c r="K2572" i="6"/>
  <c r="K2573" i="6"/>
  <c r="K2574" i="6"/>
  <c r="K2575" i="6"/>
  <c r="K2576" i="6"/>
  <c r="K2577" i="6"/>
  <c r="K2578" i="6"/>
  <c r="K2579" i="6"/>
  <c r="K2580" i="6"/>
  <c r="K2581" i="6"/>
  <c r="K2582" i="6"/>
  <c r="K2583" i="6"/>
  <c r="K2584" i="6"/>
  <c r="K2585" i="6"/>
  <c r="K2586" i="6"/>
  <c r="K2587" i="6"/>
  <c r="K2588" i="6"/>
  <c r="K2589" i="6"/>
  <c r="K2590" i="6"/>
  <c r="K2591" i="6"/>
  <c r="K2592" i="6"/>
  <c r="K2593" i="6"/>
  <c r="K2594" i="6"/>
  <c r="K2595" i="6"/>
  <c r="K2596" i="6"/>
  <c r="K2597" i="6"/>
  <c r="K2598" i="6"/>
  <c r="K2599" i="6"/>
  <c r="K2600" i="6"/>
  <c r="K2601" i="6"/>
  <c r="K2602" i="6"/>
  <c r="K2603" i="6"/>
  <c r="K2604" i="6"/>
  <c r="K2605" i="6"/>
  <c r="K2606" i="6"/>
  <c r="K2607" i="6"/>
  <c r="K2608" i="6"/>
  <c r="K2609" i="6"/>
  <c r="K2610" i="6"/>
  <c r="K2611" i="6"/>
  <c r="K2612" i="6"/>
  <c r="K2613" i="6"/>
  <c r="K2614" i="6"/>
  <c r="K2615" i="6"/>
  <c r="K2616" i="6"/>
  <c r="K2617" i="6"/>
  <c r="K2618" i="6"/>
  <c r="K2619" i="6"/>
  <c r="K2620" i="6"/>
  <c r="K2621" i="6"/>
  <c r="K2622" i="6"/>
  <c r="K2623" i="6"/>
  <c r="K2624" i="6"/>
  <c r="K2625" i="6"/>
  <c r="K2626" i="6"/>
  <c r="K2627" i="6"/>
  <c r="K2628" i="6"/>
  <c r="K2629" i="6"/>
  <c r="K2630" i="6"/>
  <c r="K2631" i="6"/>
  <c r="K2632" i="6"/>
  <c r="K2633" i="6"/>
  <c r="K2634" i="6"/>
  <c r="K2635" i="6"/>
  <c r="K2636" i="6"/>
  <c r="K2637" i="6"/>
  <c r="K2638" i="6"/>
  <c r="K2639" i="6"/>
  <c r="K2640" i="6"/>
  <c r="K2641" i="6"/>
  <c r="K2642" i="6"/>
  <c r="K2643" i="6"/>
  <c r="K2644" i="6"/>
  <c r="K2645" i="6"/>
  <c r="K2646" i="6"/>
  <c r="K2647" i="6"/>
  <c r="K2648" i="6"/>
  <c r="K2649" i="6"/>
  <c r="K2650" i="6"/>
  <c r="K2651" i="6"/>
  <c r="K2652" i="6"/>
  <c r="K2653" i="6"/>
  <c r="K2654" i="6"/>
  <c r="K2655" i="6"/>
  <c r="K2656" i="6"/>
  <c r="K2657" i="6"/>
  <c r="K2658" i="6"/>
  <c r="K2659" i="6"/>
  <c r="K2660" i="6"/>
  <c r="K2661" i="6"/>
  <c r="K2662" i="6"/>
  <c r="K2663" i="6"/>
  <c r="K2664" i="6"/>
  <c r="K2665" i="6"/>
  <c r="K2666" i="6"/>
  <c r="K2667" i="6"/>
  <c r="K2668" i="6"/>
  <c r="K2669" i="6"/>
  <c r="K2670" i="6"/>
  <c r="K2671" i="6"/>
  <c r="K2672" i="6"/>
  <c r="K2673" i="6"/>
  <c r="K2674" i="6"/>
  <c r="K2675" i="6"/>
  <c r="K2676" i="6"/>
  <c r="K2677" i="6"/>
  <c r="K2678" i="6"/>
  <c r="K2679" i="6"/>
  <c r="K2680" i="6"/>
  <c r="K2681" i="6"/>
  <c r="K2682" i="6"/>
  <c r="K2683" i="6"/>
  <c r="K2684" i="6"/>
  <c r="K2685" i="6"/>
  <c r="K2686" i="6"/>
  <c r="K2687" i="6"/>
  <c r="K2688" i="6"/>
  <c r="K2689" i="6"/>
  <c r="K2690" i="6"/>
  <c r="K2691" i="6"/>
  <c r="K2692" i="6"/>
  <c r="K2693" i="6"/>
  <c r="K2694" i="6"/>
  <c r="K2695" i="6"/>
  <c r="K2696" i="6"/>
  <c r="K2697" i="6"/>
  <c r="K2698" i="6"/>
  <c r="K2699" i="6"/>
  <c r="K2700" i="6"/>
  <c r="K2701" i="6"/>
  <c r="K2702" i="6"/>
  <c r="K2703" i="6"/>
  <c r="K2704" i="6"/>
  <c r="K2705" i="6"/>
  <c r="K2706" i="6"/>
  <c r="K2707" i="6"/>
  <c r="K2708" i="6"/>
  <c r="K2709" i="6"/>
  <c r="K2710" i="6"/>
  <c r="K2711" i="6"/>
  <c r="K2712" i="6"/>
  <c r="K2713" i="6"/>
  <c r="K2714" i="6"/>
  <c r="K2715" i="6"/>
  <c r="K2716" i="6"/>
  <c r="K2717" i="6"/>
  <c r="K2718" i="6"/>
  <c r="K2719" i="6"/>
  <c r="K2720" i="6"/>
  <c r="K2721" i="6"/>
  <c r="K2722" i="6"/>
  <c r="K2723" i="6"/>
  <c r="K2724" i="6"/>
  <c r="K2725" i="6"/>
  <c r="K2726" i="6"/>
  <c r="K2727" i="6"/>
  <c r="K2728" i="6"/>
  <c r="K2729" i="6"/>
  <c r="K2730" i="6"/>
  <c r="K2731" i="6"/>
  <c r="K2732" i="6"/>
  <c r="K2733" i="6"/>
  <c r="K2734" i="6"/>
  <c r="K2735" i="6"/>
  <c r="K2736" i="6"/>
  <c r="K2737" i="6"/>
  <c r="K2738" i="6"/>
  <c r="K2739" i="6"/>
  <c r="K2740" i="6"/>
  <c r="K2741" i="6"/>
  <c r="K2742" i="6"/>
  <c r="K2743" i="6"/>
  <c r="K2744" i="6"/>
  <c r="K2745" i="6"/>
  <c r="K2746" i="6"/>
  <c r="K2747" i="6"/>
  <c r="K2748" i="6"/>
  <c r="K2749" i="6"/>
  <c r="K2750" i="6"/>
  <c r="K2751" i="6"/>
  <c r="K2752" i="6"/>
  <c r="K2753" i="6"/>
  <c r="K2754" i="6"/>
  <c r="K2755" i="6"/>
  <c r="K2756" i="6"/>
  <c r="K2757" i="6"/>
  <c r="K2758" i="6"/>
  <c r="K2759" i="6"/>
  <c r="K2760" i="6"/>
  <c r="K2761" i="6"/>
  <c r="K2762" i="6"/>
  <c r="K2763" i="6"/>
  <c r="K2764" i="6"/>
  <c r="K2765" i="6"/>
  <c r="K2766" i="6"/>
  <c r="K2767" i="6"/>
  <c r="K2768" i="6"/>
  <c r="K2769" i="6"/>
  <c r="K2770" i="6"/>
  <c r="K2771" i="6"/>
  <c r="K2772" i="6"/>
  <c r="K2773" i="6"/>
  <c r="K2774" i="6"/>
  <c r="K2775" i="6"/>
  <c r="K2776" i="6"/>
  <c r="K2777" i="6"/>
  <c r="K2778" i="6"/>
  <c r="K2779" i="6"/>
  <c r="K2780" i="6"/>
  <c r="K2781" i="6"/>
  <c r="K2782" i="6"/>
  <c r="K2783" i="6"/>
  <c r="K2784" i="6"/>
  <c r="K2785" i="6"/>
  <c r="K2786" i="6"/>
  <c r="K2787" i="6"/>
  <c r="K2788" i="6"/>
  <c r="K2789" i="6"/>
  <c r="K2790" i="6"/>
  <c r="K2791" i="6"/>
  <c r="K2792" i="6"/>
  <c r="K2793" i="6"/>
  <c r="K2794" i="6"/>
  <c r="K2795" i="6"/>
  <c r="K2796" i="6"/>
  <c r="K2797" i="6"/>
  <c r="K2798" i="6"/>
  <c r="K2799" i="6"/>
  <c r="K2800" i="6"/>
  <c r="K2801" i="6"/>
  <c r="K2802" i="6"/>
  <c r="K2803" i="6"/>
  <c r="K2804" i="6"/>
  <c r="K2805" i="6"/>
  <c r="K2806" i="6"/>
  <c r="K2807" i="6"/>
  <c r="K2808" i="6"/>
  <c r="K2809" i="6"/>
  <c r="K2810" i="6"/>
  <c r="K2811" i="6"/>
  <c r="K2812" i="6"/>
  <c r="K2813" i="6"/>
  <c r="K2814" i="6"/>
  <c r="K2815" i="6"/>
  <c r="K2816" i="6"/>
  <c r="K2817" i="6"/>
  <c r="K2818" i="6"/>
  <c r="K2819" i="6"/>
  <c r="K2820" i="6"/>
  <c r="K2821" i="6"/>
  <c r="K2822" i="6"/>
  <c r="K2823" i="6"/>
  <c r="K2824" i="6"/>
  <c r="K2825" i="6"/>
  <c r="K2826" i="6"/>
  <c r="K2827" i="6"/>
  <c r="K2828" i="6"/>
  <c r="K2829" i="6"/>
  <c r="K2830" i="6"/>
  <c r="K2831" i="6"/>
  <c r="K2832" i="6"/>
  <c r="K2833" i="6"/>
  <c r="K2834" i="6"/>
  <c r="K2835" i="6"/>
  <c r="K2836" i="6"/>
  <c r="K2837" i="6"/>
  <c r="K2838" i="6"/>
  <c r="K2839" i="6"/>
  <c r="K2840" i="6"/>
  <c r="K2841" i="6"/>
  <c r="K2842" i="6"/>
  <c r="K2843" i="6"/>
  <c r="K2844" i="6"/>
  <c r="K2845" i="6"/>
  <c r="K2846" i="6"/>
  <c r="K2847" i="6"/>
  <c r="K2848" i="6"/>
  <c r="K2849" i="6"/>
  <c r="K2850" i="6"/>
  <c r="K2851" i="6"/>
  <c r="K2852" i="6"/>
  <c r="K2853" i="6"/>
  <c r="K2854" i="6"/>
  <c r="K2855" i="6"/>
  <c r="K2856" i="6"/>
  <c r="K2857" i="6"/>
  <c r="K2858" i="6"/>
  <c r="K2859" i="6"/>
  <c r="K2860" i="6"/>
  <c r="K2861" i="6"/>
  <c r="K2862" i="6"/>
  <c r="K2863" i="6"/>
  <c r="K2864" i="6"/>
  <c r="K2865" i="6"/>
  <c r="K2866" i="6"/>
  <c r="K2867" i="6"/>
  <c r="K2868" i="6"/>
  <c r="K2869" i="6"/>
  <c r="K2870" i="6"/>
  <c r="K2871" i="6"/>
  <c r="K2872" i="6"/>
  <c r="K2873" i="6"/>
  <c r="K2874" i="6"/>
  <c r="K2875" i="6"/>
  <c r="K2876" i="6"/>
  <c r="K2877" i="6"/>
  <c r="K2878" i="6"/>
  <c r="K2879" i="6"/>
  <c r="K2880" i="6"/>
  <c r="K2881" i="6"/>
  <c r="K2882" i="6"/>
  <c r="K2883" i="6"/>
  <c r="K2884" i="6"/>
  <c r="K2885" i="6"/>
  <c r="K2886" i="6"/>
  <c r="K2887" i="6"/>
  <c r="K2888" i="6"/>
  <c r="K2889" i="6"/>
  <c r="K2890" i="6"/>
  <c r="K2891" i="6"/>
  <c r="K2892" i="6"/>
  <c r="K2893" i="6"/>
  <c r="K2894" i="6"/>
  <c r="K2895" i="6"/>
  <c r="K2896" i="6"/>
  <c r="K2897" i="6"/>
  <c r="K2898" i="6"/>
  <c r="K2899" i="6"/>
  <c r="K2900" i="6"/>
  <c r="K2901" i="6"/>
  <c r="K2902" i="6"/>
  <c r="K2903" i="6"/>
  <c r="K2904" i="6"/>
  <c r="K2905" i="6"/>
  <c r="K2906" i="6"/>
  <c r="K2907" i="6"/>
  <c r="K2908" i="6"/>
  <c r="K2909" i="6"/>
  <c r="K2910" i="6"/>
  <c r="K2911" i="6"/>
  <c r="K2912" i="6"/>
  <c r="K2913" i="6"/>
  <c r="K2914" i="6"/>
  <c r="K2915" i="6"/>
  <c r="K2916" i="6"/>
  <c r="K2917" i="6"/>
  <c r="K2918" i="6"/>
  <c r="K2919" i="6"/>
  <c r="K2920" i="6"/>
  <c r="K2921" i="6"/>
  <c r="K2922" i="6"/>
  <c r="K2923" i="6"/>
  <c r="K2924" i="6"/>
  <c r="K2925" i="6"/>
  <c r="K2926" i="6"/>
  <c r="K2927" i="6"/>
  <c r="K2928" i="6"/>
  <c r="K2929" i="6"/>
  <c r="K2930" i="6"/>
  <c r="K2931" i="6"/>
  <c r="K2932" i="6"/>
  <c r="K2933" i="6"/>
  <c r="K2934" i="6"/>
  <c r="K2935" i="6"/>
  <c r="K2936" i="6"/>
  <c r="K2937" i="6"/>
  <c r="K2938" i="6"/>
  <c r="K2939" i="6"/>
  <c r="K2940" i="6"/>
  <c r="K2941" i="6"/>
  <c r="K2942" i="6"/>
  <c r="K2943" i="6"/>
  <c r="K2944" i="6"/>
  <c r="K2945" i="6"/>
  <c r="K2946" i="6"/>
  <c r="K2947" i="6"/>
  <c r="K2948" i="6"/>
  <c r="K2949" i="6"/>
  <c r="K2950" i="6"/>
  <c r="K2951" i="6"/>
  <c r="K2952" i="6"/>
  <c r="K2953" i="6"/>
  <c r="K2954" i="6"/>
  <c r="K2955" i="6"/>
  <c r="K2956" i="6"/>
  <c r="K2957" i="6"/>
  <c r="K2958" i="6"/>
  <c r="K2959" i="6"/>
  <c r="K2960" i="6"/>
  <c r="K2961" i="6"/>
  <c r="K2962" i="6"/>
  <c r="K2963" i="6"/>
  <c r="K2964" i="6"/>
  <c r="K2965" i="6"/>
  <c r="K2966" i="6"/>
  <c r="K2967" i="6"/>
  <c r="K2968" i="6"/>
  <c r="K2969" i="6"/>
  <c r="K2970" i="6"/>
  <c r="K2971" i="6"/>
  <c r="K2972" i="6"/>
  <c r="K2973" i="6"/>
  <c r="K2974" i="6"/>
  <c r="K2975" i="6"/>
  <c r="K2976" i="6"/>
  <c r="K2977" i="6"/>
  <c r="K2978" i="6"/>
  <c r="K2979" i="6"/>
  <c r="K2980" i="6"/>
  <c r="K2981" i="6"/>
  <c r="K2982" i="6"/>
  <c r="K2983" i="6"/>
  <c r="K2984" i="6"/>
  <c r="K2985" i="6"/>
  <c r="K2986" i="6"/>
  <c r="K2987" i="6"/>
  <c r="K2988" i="6"/>
  <c r="K2989" i="6"/>
  <c r="K2990" i="6"/>
  <c r="K2991" i="6"/>
  <c r="K2992" i="6"/>
  <c r="K2993" i="6"/>
  <c r="K2994" i="6"/>
  <c r="K2995" i="6"/>
  <c r="K2996" i="6"/>
  <c r="K2997" i="6"/>
  <c r="K2998" i="6"/>
  <c r="K2999" i="6"/>
  <c r="K3000" i="6"/>
  <c r="K3001" i="6"/>
  <c r="K3002" i="6"/>
  <c r="K3003" i="6"/>
  <c r="K3004" i="6"/>
  <c r="K3005" i="6"/>
  <c r="K3006" i="6"/>
  <c r="K3007" i="6"/>
  <c r="K3008" i="6"/>
  <c r="K3009" i="6"/>
  <c r="K3010" i="6"/>
  <c r="K3011" i="6"/>
  <c r="K3012" i="6"/>
  <c r="K3013" i="6"/>
  <c r="K3014" i="6"/>
  <c r="K3015" i="6"/>
  <c r="K3016" i="6"/>
  <c r="K3017" i="6"/>
  <c r="K3018" i="6"/>
  <c r="K3019" i="6"/>
  <c r="K3020" i="6"/>
  <c r="K3021" i="6"/>
  <c r="K3022" i="6"/>
  <c r="K3023" i="6"/>
  <c r="K3024" i="6"/>
  <c r="K3025" i="6"/>
  <c r="K3026" i="6"/>
  <c r="K3027" i="6"/>
  <c r="K3028" i="6"/>
  <c r="K3029" i="6"/>
  <c r="K3030" i="6"/>
  <c r="K3031" i="6"/>
  <c r="K3032" i="6"/>
  <c r="K3033" i="6"/>
  <c r="K3034" i="6"/>
  <c r="K3035" i="6"/>
  <c r="K3036" i="6"/>
  <c r="K3037" i="6"/>
  <c r="K3038" i="6"/>
  <c r="K3039" i="6"/>
  <c r="K3040" i="6"/>
  <c r="K3041" i="6"/>
  <c r="K3042" i="6"/>
  <c r="K3043" i="6"/>
  <c r="K3044" i="6"/>
  <c r="K3045" i="6"/>
  <c r="K3046" i="6"/>
  <c r="K3047" i="6"/>
  <c r="K3048" i="6"/>
  <c r="K3049" i="6"/>
  <c r="K3050" i="6"/>
  <c r="K3051" i="6"/>
  <c r="K3052" i="6"/>
  <c r="K3053" i="6"/>
  <c r="K3054" i="6"/>
  <c r="K3055" i="6"/>
  <c r="K3056" i="6"/>
  <c r="K3057" i="6"/>
  <c r="K3058" i="6"/>
  <c r="K3059" i="6"/>
  <c r="K3060" i="6"/>
  <c r="K3061" i="6"/>
  <c r="K3062" i="6"/>
  <c r="K3063" i="6"/>
  <c r="K3064" i="6"/>
  <c r="K3065" i="6"/>
  <c r="K3066" i="6"/>
  <c r="K3067" i="6"/>
  <c r="K3068" i="6"/>
  <c r="K3069" i="6"/>
  <c r="K3070" i="6"/>
  <c r="K3071" i="6"/>
  <c r="K3072" i="6"/>
  <c r="K3073" i="6"/>
  <c r="K3074" i="6"/>
  <c r="K3075" i="6"/>
  <c r="K3076" i="6"/>
  <c r="K3077" i="6"/>
  <c r="K3078" i="6"/>
  <c r="K3079" i="6"/>
  <c r="K3080" i="6"/>
  <c r="K3081" i="6"/>
  <c r="K3082" i="6"/>
  <c r="K3083" i="6"/>
  <c r="K3084" i="6"/>
  <c r="K3085" i="6"/>
  <c r="K3086" i="6"/>
  <c r="K3087" i="6"/>
  <c r="K3088" i="6"/>
  <c r="K3089" i="6"/>
  <c r="K3090" i="6"/>
  <c r="K3091" i="6"/>
  <c r="K3092" i="6"/>
  <c r="K3093" i="6"/>
  <c r="K3094" i="6"/>
  <c r="K3095" i="6"/>
  <c r="K3096" i="6"/>
  <c r="K3097" i="6"/>
  <c r="K3098" i="6"/>
  <c r="K3099" i="6"/>
  <c r="K3100" i="6"/>
  <c r="K3101" i="6"/>
  <c r="K3102" i="6"/>
  <c r="K3103" i="6"/>
  <c r="K3104" i="6"/>
  <c r="K3105" i="6"/>
  <c r="K3106" i="6"/>
  <c r="K3107" i="6"/>
  <c r="K3108" i="6"/>
  <c r="K3109" i="6"/>
  <c r="K3110" i="6"/>
  <c r="K3111" i="6"/>
  <c r="K3112" i="6"/>
  <c r="K3113" i="6"/>
  <c r="K3114" i="6"/>
  <c r="K3115" i="6"/>
  <c r="K3116" i="6"/>
  <c r="K3117" i="6"/>
  <c r="K3118" i="6"/>
  <c r="K3119" i="6"/>
  <c r="K3120" i="6"/>
  <c r="K3121" i="6"/>
  <c r="K3122" i="6"/>
  <c r="K3123" i="6"/>
  <c r="K3124" i="6"/>
  <c r="K3125" i="6"/>
  <c r="K3126" i="6"/>
  <c r="K3127" i="6"/>
  <c r="K3128" i="6"/>
  <c r="K3129" i="6"/>
  <c r="K3130" i="6"/>
  <c r="K3131" i="6"/>
  <c r="K3132" i="6"/>
  <c r="K3133" i="6"/>
  <c r="K3134" i="6"/>
  <c r="K3135" i="6"/>
  <c r="K3136" i="6"/>
  <c r="K3137" i="6"/>
  <c r="K3138" i="6"/>
  <c r="K3139" i="6"/>
  <c r="K3140" i="6"/>
  <c r="K3141" i="6"/>
  <c r="K3142" i="6"/>
  <c r="K3143" i="6"/>
  <c r="K3144" i="6"/>
  <c r="K3145" i="6"/>
  <c r="K3146" i="6"/>
  <c r="K3147" i="6"/>
  <c r="K3148" i="6"/>
  <c r="K3149" i="6"/>
  <c r="K3150" i="6"/>
  <c r="K3151" i="6"/>
  <c r="K3152" i="6"/>
  <c r="K3153" i="6"/>
  <c r="K3154" i="6"/>
  <c r="K3155" i="6"/>
  <c r="K3156" i="6"/>
  <c r="K3157" i="6"/>
  <c r="K3158" i="6"/>
  <c r="K3159" i="6"/>
  <c r="K3160" i="6"/>
  <c r="K3161" i="6"/>
  <c r="K3162" i="6"/>
  <c r="K3163" i="6"/>
  <c r="K3164" i="6"/>
  <c r="K3165" i="6"/>
  <c r="K3166" i="6"/>
  <c r="K3167" i="6"/>
  <c r="K3168" i="6"/>
  <c r="K3169" i="6"/>
  <c r="K3170" i="6"/>
  <c r="K3171" i="6"/>
  <c r="K3172" i="6"/>
  <c r="K3173" i="6"/>
  <c r="K3174" i="6"/>
  <c r="K3175" i="6"/>
  <c r="K3176" i="6"/>
  <c r="K3177" i="6"/>
  <c r="K3178" i="6"/>
  <c r="K3179" i="6"/>
  <c r="K3180" i="6"/>
  <c r="K3181" i="6"/>
  <c r="K3182" i="6"/>
  <c r="K3183" i="6"/>
  <c r="K3184" i="6"/>
  <c r="K3185" i="6"/>
  <c r="K3186" i="6"/>
  <c r="K3187" i="6"/>
  <c r="K3188" i="6"/>
  <c r="K3189" i="6"/>
  <c r="K3190" i="6"/>
  <c r="K3191" i="6"/>
  <c r="K3192" i="6"/>
  <c r="K3193" i="6"/>
  <c r="K3194" i="6"/>
  <c r="K3195" i="6"/>
  <c r="K3196" i="6"/>
  <c r="K3197" i="6"/>
  <c r="K3198" i="6"/>
  <c r="K3199" i="6"/>
  <c r="K3200" i="6"/>
  <c r="K3201" i="6"/>
  <c r="K3202" i="6"/>
  <c r="K3203" i="6"/>
  <c r="K3204" i="6"/>
  <c r="K3205" i="6"/>
  <c r="K3206" i="6"/>
  <c r="K3207" i="6"/>
  <c r="K3208" i="6"/>
  <c r="K3209" i="6"/>
  <c r="K3210" i="6"/>
  <c r="K3211" i="6"/>
  <c r="K3212" i="6"/>
  <c r="K3213" i="6"/>
  <c r="K3214" i="6"/>
  <c r="K3215" i="6"/>
  <c r="K3216" i="6"/>
  <c r="K3217" i="6"/>
  <c r="K3218" i="6"/>
  <c r="K3219" i="6"/>
  <c r="K3220" i="6"/>
  <c r="K3221" i="6"/>
  <c r="K3222" i="6"/>
  <c r="K3223" i="6"/>
  <c r="K3224" i="6"/>
  <c r="K3225" i="6"/>
  <c r="K3226" i="6"/>
  <c r="K3227" i="6"/>
  <c r="K3228" i="6"/>
  <c r="K3229" i="6"/>
  <c r="K3230" i="6"/>
  <c r="K3231" i="6"/>
  <c r="K3232" i="6"/>
  <c r="K3233" i="6"/>
  <c r="K3234" i="6"/>
  <c r="K3235" i="6"/>
  <c r="K3236" i="6"/>
  <c r="K3237" i="6"/>
  <c r="K3238" i="6"/>
  <c r="K3239" i="6"/>
  <c r="K3240" i="6"/>
  <c r="K3241" i="6"/>
  <c r="K3242" i="6"/>
  <c r="K3243" i="6"/>
  <c r="K3244" i="6"/>
  <c r="K3245" i="6"/>
  <c r="K3246" i="6"/>
  <c r="K3247" i="6"/>
  <c r="K3248" i="6"/>
  <c r="K3249" i="6"/>
  <c r="K3250" i="6"/>
  <c r="K3251" i="6"/>
  <c r="K3252" i="6"/>
  <c r="K3253" i="6"/>
  <c r="K3254" i="6"/>
  <c r="K3255" i="6"/>
  <c r="K3256" i="6"/>
  <c r="K3257" i="6"/>
  <c r="K3258" i="6"/>
  <c r="K3259" i="6"/>
  <c r="K3260" i="6"/>
  <c r="K3261" i="6"/>
  <c r="K3262" i="6"/>
  <c r="K3263" i="6"/>
  <c r="K3264" i="6"/>
  <c r="K3265" i="6"/>
  <c r="K3266" i="6"/>
  <c r="K3267" i="6"/>
  <c r="K3268" i="6"/>
  <c r="K3269" i="6"/>
  <c r="K3270" i="6"/>
  <c r="K3271" i="6"/>
  <c r="K3272" i="6"/>
  <c r="K3273" i="6"/>
  <c r="K3274" i="6"/>
  <c r="K3275" i="6"/>
  <c r="K3276" i="6"/>
  <c r="K3277" i="6"/>
  <c r="K3278" i="6"/>
  <c r="K3279" i="6"/>
  <c r="K3280" i="6"/>
  <c r="K3281" i="6"/>
  <c r="K3282" i="6"/>
  <c r="K3283" i="6"/>
  <c r="K3284" i="6"/>
  <c r="K3285" i="6"/>
  <c r="K3286" i="6"/>
  <c r="K3287" i="6"/>
  <c r="K3288" i="6"/>
  <c r="K3289" i="6"/>
  <c r="K3290" i="6"/>
  <c r="K3291" i="6"/>
  <c r="K3292" i="6"/>
  <c r="K3293" i="6"/>
  <c r="K3294" i="6"/>
  <c r="K3295" i="6"/>
  <c r="K3296" i="6"/>
  <c r="K3297" i="6"/>
  <c r="K3298" i="6"/>
  <c r="K3299" i="6"/>
  <c r="K3300" i="6"/>
  <c r="K3301" i="6"/>
  <c r="K3302" i="6"/>
  <c r="K3303" i="6"/>
  <c r="K3304" i="6"/>
  <c r="K3305" i="6"/>
  <c r="K3306" i="6"/>
  <c r="K3307" i="6"/>
  <c r="K3308" i="6"/>
  <c r="K3309" i="6"/>
  <c r="K3310" i="6"/>
  <c r="K3311" i="6"/>
  <c r="K3312" i="6"/>
  <c r="K3313" i="6"/>
  <c r="K3314" i="6"/>
  <c r="K3315" i="6"/>
  <c r="K3316" i="6"/>
  <c r="K3317" i="6"/>
  <c r="K3318" i="6"/>
  <c r="K3319" i="6"/>
  <c r="K3320" i="6"/>
  <c r="K3321" i="6"/>
  <c r="K3322" i="6"/>
  <c r="K3323" i="6"/>
  <c r="K3324" i="6"/>
  <c r="K3325" i="6"/>
  <c r="K3326" i="6"/>
  <c r="K3327" i="6"/>
  <c r="K3328" i="6"/>
  <c r="K3329" i="6"/>
  <c r="K3330" i="6"/>
  <c r="K3331" i="6"/>
  <c r="K3332" i="6"/>
  <c r="K3333" i="6"/>
  <c r="K3334" i="6"/>
  <c r="K3335" i="6"/>
  <c r="K3336" i="6"/>
  <c r="K3337" i="6"/>
  <c r="K3338" i="6"/>
  <c r="K3339" i="6"/>
  <c r="K3340" i="6"/>
  <c r="K3341" i="6"/>
  <c r="K3342" i="6"/>
  <c r="K3343" i="6"/>
  <c r="K3344" i="6"/>
  <c r="K3345" i="6"/>
  <c r="K3346" i="6"/>
  <c r="K3347" i="6"/>
  <c r="K3348" i="6"/>
  <c r="K3349" i="6"/>
  <c r="K3350" i="6"/>
  <c r="K3351" i="6"/>
  <c r="K3352" i="6"/>
  <c r="K3353" i="6"/>
  <c r="K3354" i="6"/>
  <c r="K3355" i="6"/>
  <c r="K3356" i="6"/>
  <c r="K3357" i="6"/>
  <c r="K3358" i="6"/>
  <c r="K3359" i="6"/>
  <c r="K3360" i="6"/>
  <c r="K3361" i="6"/>
  <c r="K3362" i="6"/>
  <c r="K3363" i="6"/>
  <c r="K3364" i="6"/>
  <c r="K3365" i="6"/>
  <c r="K3366" i="6"/>
  <c r="K3367" i="6"/>
  <c r="K3368" i="6"/>
  <c r="K3369" i="6"/>
  <c r="K3370" i="6"/>
  <c r="K3371" i="6"/>
  <c r="K3372" i="6"/>
  <c r="K3373" i="6"/>
  <c r="K3374" i="6"/>
  <c r="K3375" i="6"/>
  <c r="K3376" i="6"/>
  <c r="K3377" i="6"/>
  <c r="K3378" i="6"/>
  <c r="K3379" i="6"/>
  <c r="K3380" i="6"/>
  <c r="K3381" i="6"/>
  <c r="K3382" i="6"/>
  <c r="K3383" i="6"/>
  <c r="K3384" i="6"/>
  <c r="K3385" i="6"/>
  <c r="K3386" i="6"/>
  <c r="K3387" i="6"/>
  <c r="K3388" i="6"/>
  <c r="K3389" i="6"/>
  <c r="K3390" i="6"/>
  <c r="K3391" i="6"/>
  <c r="K3392" i="6"/>
  <c r="K3393" i="6"/>
  <c r="K3394" i="6"/>
  <c r="K3395" i="6"/>
  <c r="K3396" i="6"/>
  <c r="K3397" i="6"/>
  <c r="K3398" i="6"/>
  <c r="K3399" i="6"/>
  <c r="K3400" i="6"/>
  <c r="K3401" i="6"/>
  <c r="K3402" i="6"/>
  <c r="K3403" i="6"/>
  <c r="K3404" i="6"/>
  <c r="K3405" i="6"/>
  <c r="K3406" i="6"/>
  <c r="K3407" i="6"/>
  <c r="K3408" i="6"/>
  <c r="K3409" i="6"/>
  <c r="K3410" i="6"/>
  <c r="K3411" i="6"/>
  <c r="K3412" i="6"/>
  <c r="K3413" i="6"/>
  <c r="K3414" i="6"/>
  <c r="K3415" i="6"/>
  <c r="K3416" i="6"/>
  <c r="K3417" i="6"/>
  <c r="K3418" i="6"/>
  <c r="K3419" i="6"/>
  <c r="K3420" i="6"/>
  <c r="K3421" i="6"/>
  <c r="K3422" i="6"/>
  <c r="K3423" i="6"/>
  <c r="K3424" i="6"/>
  <c r="K3425" i="6"/>
  <c r="K3426" i="6"/>
  <c r="K3427" i="6"/>
  <c r="K3428" i="6"/>
  <c r="K3429" i="6"/>
  <c r="K3430" i="6"/>
  <c r="K3431" i="6"/>
  <c r="K3432" i="6"/>
  <c r="K3433" i="6"/>
  <c r="K3434" i="6"/>
  <c r="K3435" i="6"/>
  <c r="K3436" i="6"/>
  <c r="K3437" i="6"/>
  <c r="K3438" i="6"/>
  <c r="K3439" i="6"/>
  <c r="K3440" i="6"/>
  <c r="K3441" i="6"/>
  <c r="K3442" i="6"/>
  <c r="K3443" i="6"/>
  <c r="K3444" i="6"/>
  <c r="K3445" i="6"/>
  <c r="K3446" i="6"/>
  <c r="K3447" i="6"/>
  <c r="K3448" i="6"/>
  <c r="K3449" i="6"/>
  <c r="K3450" i="6"/>
  <c r="K3451" i="6"/>
  <c r="K3452" i="6"/>
  <c r="K3453" i="6"/>
  <c r="K3454" i="6"/>
  <c r="K3455" i="6"/>
  <c r="K3456" i="6"/>
  <c r="K3457" i="6"/>
  <c r="K3458" i="6"/>
  <c r="K3459" i="6"/>
  <c r="K3460" i="6"/>
  <c r="K3461" i="6"/>
  <c r="K3462" i="6"/>
  <c r="K3463" i="6"/>
  <c r="K3464" i="6"/>
  <c r="K3465" i="6"/>
  <c r="K3466" i="6"/>
  <c r="K3467" i="6"/>
  <c r="K3468" i="6"/>
  <c r="K3469" i="6"/>
  <c r="K3470" i="6"/>
  <c r="K3471" i="6"/>
  <c r="K3472" i="6"/>
  <c r="K3473" i="6"/>
  <c r="K3474" i="6"/>
  <c r="K3475" i="6"/>
  <c r="K3476" i="6"/>
  <c r="K3477" i="6"/>
  <c r="K3478" i="6"/>
  <c r="K3479" i="6"/>
  <c r="K3480" i="6"/>
  <c r="K3481" i="6"/>
  <c r="K3482" i="6"/>
  <c r="K3483" i="6"/>
  <c r="K3484" i="6"/>
  <c r="K3485" i="6"/>
  <c r="K3486" i="6"/>
  <c r="K3487" i="6"/>
  <c r="K3488" i="6"/>
  <c r="K3489" i="6"/>
  <c r="K3490" i="6"/>
  <c r="K3491" i="6"/>
  <c r="K3492" i="6"/>
  <c r="K3493" i="6"/>
  <c r="K3494" i="6"/>
  <c r="K3495" i="6"/>
  <c r="K3496" i="6"/>
  <c r="K3497" i="6"/>
  <c r="K3498" i="6"/>
  <c r="K3499" i="6"/>
  <c r="K3500" i="6"/>
  <c r="K3501" i="6"/>
  <c r="K3502" i="6"/>
  <c r="K3503" i="6"/>
  <c r="K3504" i="6"/>
  <c r="K3505" i="6"/>
  <c r="K3506" i="6"/>
  <c r="K3507" i="6"/>
  <c r="K3508" i="6"/>
  <c r="K3509" i="6"/>
  <c r="K3510" i="6"/>
  <c r="K3511" i="6"/>
  <c r="K3512" i="6"/>
  <c r="K3513" i="6"/>
  <c r="K3514" i="6"/>
  <c r="K3515" i="6"/>
  <c r="K3516" i="6"/>
  <c r="K3517" i="6"/>
  <c r="K3518" i="6"/>
  <c r="K3519" i="6"/>
  <c r="K3520" i="6"/>
  <c r="K3521" i="6"/>
  <c r="K3522" i="6"/>
  <c r="K3523" i="6"/>
  <c r="K3524" i="6"/>
  <c r="K3525" i="6"/>
  <c r="K3526" i="6"/>
  <c r="K3527" i="6"/>
  <c r="K3528" i="6"/>
  <c r="K3529" i="6"/>
  <c r="K3530" i="6"/>
  <c r="K3531" i="6"/>
  <c r="K3532" i="6"/>
  <c r="K3533" i="6"/>
  <c r="K3534" i="6"/>
  <c r="K3535" i="6"/>
  <c r="K3536" i="6"/>
  <c r="K3537" i="6"/>
  <c r="K3538" i="6"/>
  <c r="K3539" i="6"/>
  <c r="K3540" i="6"/>
  <c r="K3541" i="6"/>
  <c r="K3542" i="6"/>
  <c r="K3543" i="6"/>
  <c r="K3544" i="6"/>
  <c r="K3545" i="6"/>
  <c r="K3546" i="6"/>
  <c r="K3547" i="6"/>
  <c r="K3548" i="6"/>
  <c r="K3549" i="6"/>
  <c r="K3550" i="6"/>
  <c r="K3551" i="6"/>
  <c r="K3552" i="6"/>
  <c r="K3553" i="6"/>
  <c r="K3554" i="6"/>
  <c r="K3555" i="6"/>
  <c r="K3556" i="6"/>
  <c r="K3557" i="6"/>
  <c r="K3558" i="6"/>
  <c r="K3559" i="6"/>
  <c r="K3560" i="6"/>
  <c r="K3561" i="6"/>
  <c r="K3562" i="6"/>
  <c r="K3563" i="6"/>
  <c r="K3564" i="6"/>
  <c r="K3565" i="6"/>
  <c r="K3566" i="6"/>
  <c r="K3567" i="6"/>
  <c r="K3568" i="6"/>
  <c r="K3569" i="6"/>
  <c r="K3570" i="6"/>
  <c r="K3571" i="6"/>
  <c r="K3572" i="6"/>
  <c r="K3573" i="6"/>
  <c r="K3574" i="6"/>
  <c r="K3575" i="6"/>
  <c r="K3576" i="6"/>
  <c r="K3577" i="6"/>
  <c r="K3578" i="6"/>
  <c r="K3579" i="6"/>
  <c r="K3580" i="6"/>
  <c r="K3581" i="6"/>
  <c r="K3582" i="6"/>
  <c r="K3583" i="6"/>
  <c r="K3584" i="6"/>
  <c r="K3585" i="6"/>
  <c r="K3586" i="6"/>
  <c r="K3587" i="6"/>
  <c r="K3588" i="6"/>
  <c r="K3589" i="6"/>
  <c r="K3590" i="6"/>
  <c r="K3591" i="6"/>
  <c r="K3592" i="6"/>
  <c r="K3593" i="6"/>
  <c r="K3594" i="6"/>
  <c r="K3595" i="6"/>
  <c r="K3596" i="6"/>
  <c r="K3597" i="6"/>
  <c r="K3598" i="6"/>
  <c r="K3599" i="6"/>
  <c r="K3600" i="6"/>
  <c r="K3601" i="6"/>
  <c r="K3602" i="6"/>
  <c r="K3603" i="6"/>
  <c r="K3604" i="6"/>
  <c r="K3605" i="6"/>
  <c r="K3606" i="6"/>
  <c r="K3607" i="6"/>
  <c r="K3608" i="6"/>
  <c r="K3609" i="6"/>
  <c r="K3610" i="6"/>
  <c r="K3611" i="6"/>
  <c r="K3612" i="6"/>
  <c r="K3613" i="6"/>
  <c r="K3614" i="6"/>
  <c r="K3615" i="6"/>
  <c r="K3616" i="6"/>
  <c r="K3617" i="6"/>
  <c r="K3618" i="6"/>
  <c r="K3619" i="6"/>
  <c r="K3620" i="6"/>
  <c r="K3621" i="6"/>
  <c r="K3622" i="6"/>
  <c r="K3623" i="6"/>
  <c r="K3624" i="6"/>
  <c r="K3625" i="6"/>
  <c r="K3626" i="6"/>
  <c r="K3627" i="6"/>
  <c r="K3628" i="6"/>
  <c r="K3629" i="6"/>
  <c r="K3630" i="6"/>
  <c r="K3631" i="6"/>
  <c r="K3632" i="6"/>
  <c r="K3633" i="6"/>
  <c r="K3634" i="6"/>
  <c r="K3635" i="6"/>
  <c r="K3636" i="6"/>
  <c r="K3637" i="6"/>
  <c r="K3638" i="6"/>
  <c r="K3639" i="6"/>
  <c r="K3640" i="6"/>
  <c r="K3641" i="6"/>
  <c r="K3642" i="6"/>
  <c r="K3643" i="6"/>
  <c r="K3644" i="6"/>
  <c r="K3645" i="6"/>
  <c r="K3646" i="6"/>
  <c r="K3647" i="6"/>
  <c r="K3648" i="6"/>
  <c r="K3649" i="6"/>
  <c r="K3650" i="6"/>
  <c r="K3651" i="6"/>
  <c r="K3652" i="6"/>
  <c r="K3653" i="6"/>
  <c r="K3654" i="6"/>
  <c r="K3655" i="6"/>
  <c r="K3656" i="6"/>
  <c r="K3657" i="6"/>
  <c r="K3658" i="6"/>
  <c r="K3659" i="6"/>
  <c r="K3660" i="6"/>
  <c r="K3661" i="6"/>
  <c r="K3662" i="6"/>
  <c r="K3663" i="6"/>
  <c r="K3664" i="6"/>
  <c r="K3665" i="6"/>
  <c r="K3666" i="6"/>
  <c r="K3667" i="6"/>
  <c r="K3668" i="6"/>
  <c r="K3669" i="6"/>
  <c r="K3670" i="6"/>
  <c r="K3671" i="6"/>
  <c r="K3672" i="6"/>
  <c r="K3673" i="6"/>
  <c r="K3674" i="6"/>
  <c r="K3675" i="6"/>
  <c r="K3676" i="6"/>
  <c r="K3677" i="6"/>
  <c r="K3678" i="6"/>
  <c r="K3679" i="6"/>
  <c r="K3680" i="6"/>
  <c r="K3681" i="6"/>
  <c r="K3682" i="6"/>
  <c r="K3683" i="6"/>
  <c r="K3684" i="6"/>
  <c r="K3685" i="6"/>
  <c r="K3686" i="6"/>
  <c r="K3687" i="6"/>
  <c r="K3688" i="6"/>
  <c r="K3689" i="6"/>
  <c r="K3690" i="6"/>
  <c r="K3691" i="6"/>
  <c r="K3692" i="6"/>
  <c r="K3693" i="6"/>
  <c r="K3694" i="6"/>
  <c r="K3695" i="6"/>
  <c r="K3696" i="6"/>
  <c r="K3697" i="6"/>
  <c r="K3698" i="6"/>
  <c r="K3699" i="6"/>
  <c r="K3700" i="6"/>
  <c r="K3701" i="6"/>
  <c r="K3702" i="6"/>
  <c r="K3703" i="6"/>
  <c r="K3704" i="6"/>
  <c r="K3705" i="6"/>
  <c r="K3706" i="6"/>
  <c r="K3707" i="6"/>
  <c r="K3708" i="6"/>
  <c r="K3709" i="6"/>
  <c r="K3710" i="6"/>
  <c r="K3711" i="6"/>
  <c r="K3712" i="6"/>
  <c r="K3713" i="6"/>
  <c r="K3714" i="6"/>
  <c r="K3715" i="6"/>
  <c r="K3716" i="6"/>
  <c r="K3717" i="6"/>
  <c r="K3718" i="6"/>
  <c r="K3719" i="6"/>
  <c r="K3720" i="6"/>
  <c r="K3721" i="6"/>
  <c r="K3722" i="6"/>
  <c r="K3723" i="6"/>
  <c r="K3724" i="6"/>
  <c r="K3725" i="6"/>
  <c r="K3726" i="6"/>
  <c r="K3727" i="6"/>
  <c r="K3728" i="6"/>
  <c r="K3729" i="6"/>
  <c r="K3730" i="6"/>
  <c r="K3731" i="6"/>
  <c r="K3732" i="6"/>
  <c r="K3733" i="6"/>
  <c r="K3734" i="6"/>
  <c r="K3735" i="6"/>
  <c r="K3736" i="6"/>
  <c r="K3737" i="6"/>
  <c r="K3738" i="6"/>
  <c r="K3739" i="6"/>
  <c r="K3740" i="6"/>
  <c r="K3741" i="6"/>
  <c r="K3742" i="6"/>
  <c r="K3743" i="6"/>
  <c r="K3744" i="6"/>
  <c r="K3745" i="6"/>
  <c r="K3746" i="6"/>
  <c r="K3747" i="6"/>
  <c r="K3748" i="6"/>
  <c r="K3749" i="6"/>
  <c r="K3750" i="6"/>
  <c r="K3751" i="6"/>
  <c r="K3752" i="6"/>
  <c r="K3753" i="6"/>
  <c r="K3754" i="6"/>
  <c r="K3755" i="6"/>
  <c r="K3756" i="6"/>
  <c r="K3757" i="6"/>
  <c r="K3758" i="6"/>
  <c r="K3759" i="6"/>
  <c r="K3760" i="6"/>
  <c r="K3761" i="6"/>
  <c r="K3762" i="6"/>
  <c r="K3763" i="6"/>
  <c r="K3764" i="6"/>
  <c r="K3765" i="6"/>
  <c r="K3766" i="6"/>
  <c r="K3767" i="6"/>
  <c r="K3768" i="6"/>
  <c r="K3769" i="6"/>
  <c r="K3770" i="6"/>
  <c r="K3771" i="6"/>
  <c r="K3772" i="6"/>
  <c r="K3773" i="6"/>
  <c r="K3774" i="6"/>
  <c r="K3775" i="6"/>
  <c r="K3776" i="6"/>
  <c r="K3777" i="6"/>
  <c r="K3778" i="6"/>
  <c r="K3779" i="6"/>
  <c r="K3780" i="6"/>
  <c r="K3781" i="6"/>
  <c r="K3782" i="6"/>
  <c r="K3783" i="6"/>
  <c r="K3784" i="6"/>
  <c r="K3785" i="6"/>
  <c r="K3786" i="6"/>
  <c r="K3787" i="6"/>
  <c r="K3788" i="6"/>
  <c r="K3789" i="6"/>
  <c r="K3790" i="6"/>
  <c r="K3791" i="6"/>
  <c r="K3792" i="6"/>
  <c r="K3793" i="6"/>
  <c r="K3794" i="6"/>
  <c r="K3795" i="6"/>
  <c r="K3796" i="6"/>
  <c r="K3797" i="6"/>
  <c r="K3798" i="6"/>
  <c r="K3799" i="6"/>
  <c r="K3800" i="6"/>
  <c r="K3801" i="6"/>
  <c r="K3802" i="6"/>
  <c r="K3803" i="6"/>
  <c r="K3804" i="6"/>
  <c r="K3805" i="6"/>
  <c r="K3806" i="6"/>
  <c r="K3807" i="6"/>
  <c r="K3808" i="6"/>
  <c r="K3809" i="6"/>
  <c r="K3810" i="6"/>
  <c r="K3811" i="6"/>
  <c r="K3812" i="6"/>
  <c r="K3813" i="6"/>
  <c r="K3814" i="6"/>
  <c r="K3815" i="6"/>
  <c r="K3816" i="6"/>
  <c r="K3817" i="6"/>
  <c r="K3818" i="6"/>
  <c r="K3819" i="6"/>
  <c r="K3820" i="6"/>
  <c r="K3821" i="6"/>
  <c r="K3822" i="6"/>
  <c r="K3823" i="6"/>
  <c r="K3824" i="6"/>
  <c r="K3825" i="6"/>
  <c r="K3826" i="6"/>
  <c r="K3827" i="6"/>
  <c r="K3828" i="6"/>
  <c r="K3829" i="6"/>
  <c r="K3830" i="6"/>
  <c r="K3831" i="6"/>
  <c r="K3832" i="6"/>
  <c r="K3833" i="6"/>
  <c r="K3834" i="6"/>
  <c r="K3835" i="6"/>
  <c r="K3836" i="6"/>
  <c r="K3837" i="6"/>
  <c r="K3838" i="6"/>
  <c r="K3839" i="6"/>
  <c r="K3840" i="6"/>
  <c r="K3841" i="6"/>
  <c r="K3842" i="6"/>
  <c r="K3843" i="6"/>
  <c r="K3844" i="6"/>
  <c r="K3845" i="6"/>
  <c r="K3846" i="6"/>
  <c r="K3847" i="6"/>
  <c r="K3848" i="6"/>
  <c r="K3849" i="6"/>
  <c r="K3850" i="6"/>
  <c r="K3851" i="6"/>
  <c r="K3852" i="6"/>
  <c r="K3853" i="6"/>
  <c r="K3854" i="6"/>
  <c r="K3855" i="6"/>
  <c r="K3856" i="6"/>
  <c r="K3857" i="6"/>
  <c r="K3858" i="6"/>
  <c r="K3859" i="6"/>
  <c r="K3860" i="6"/>
  <c r="K3861" i="6"/>
  <c r="K3862" i="6"/>
  <c r="K3863" i="6"/>
  <c r="K3864" i="6"/>
  <c r="K3865" i="6"/>
  <c r="K3866" i="6"/>
  <c r="K3867" i="6"/>
  <c r="K3868" i="6"/>
  <c r="K3869" i="6"/>
  <c r="K3870" i="6"/>
  <c r="K3871" i="6"/>
  <c r="K3872" i="6"/>
  <c r="K3873" i="6"/>
  <c r="K3874" i="6"/>
  <c r="K3875" i="6"/>
  <c r="K3876" i="6"/>
  <c r="K3877" i="6"/>
  <c r="K3878" i="6"/>
  <c r="K3879" i="6"/>
  <c r="K3880" i="6"/>
  <c r="K3881" i="6"/>
  <c r="K3882" i="6"/>
  <c r="K3883" i="6"/>
  <c r="K3884" i="6"/>
  <c r="K3885" i="6"/>
  <c r="K3886" i="6"/>
  <c r="K3887" i="6"/>
  <c r="K3888" i="6"/>
  <c r="K3889" i="6"/>
  <c r="K3890" i="6"/>
  <c r="K3891" i="6"/>
  <c r="K3892" i="6"/>
  <c r="K3893" i="6"/>
  <c r="K3894" i="6"/>
  <c r="K3895" i="6"/>
  <c r="K3896" i="6"/>
  <c r="K3897" i="6"/>
  <c r="K3898" i="6"/>
  <c r="K3899" i="6"/>
  <c r="K3900" i="6"/>
  <c r="K3901" i="6"/>
  <c r="K3902" i="6"/>
  <c r="K3903" i="6"/>
  <c r="K3904" i="6"/>
  <c r="K3905" i="6"/>
  <c r="K3906" i="6"/>
  <c r="K3907" i="6"/>
  <c r="K3908" i="6"/>
  <c r="K3909" i="6"/>
  <c r="K3910" i="6"/>
  <c r="K3911" i="6"/>
  <c r="K3912" i="6"/>
  <c r="K3913" i="6"/>
  <c r="K3914" i="6"/>
  <c r="K3915" i="6"/>
  <c r="K3916" i="6"/>
  <c r="K3917" i="6"/>
  <c r="K3918" i="6"/>
  <c r="K3919" i="6"/>
  <c r="K3920" i="6"/>
  <c r="K3921" i="6"/>
  <c r="K3922" i="6"/>
  <c r="K3923" i="6"/>
  <c r="K3924" i="6"/>
  <c r="K3925" i="6"/>
  <c r="K3926" i="6"/>
  <c r="K3927" i="6"/>
  <c r="K3928" i="6"/>
  <c r="K3929" i="6"/>
  <c r="K3930" i="6"/>
  <c r="K3931" i="6"/>
  <c r="K3932" i="6"/>
  <c r="K3933" i="6"/>
  <c r="K3934" i="6"/>
  <c r="K3935" i="6"/>
  <c r="K3936" i="6"/>
  <c r="K3937" i="6"/>
  <c r="K3938" i="6"/>
  <c r="K3939" i="6"/>
  <c r="K3940" i="6"/>
  <c r="K3941" i="6"/>
  <c r="K3942" i="6"/>
  <c r="K3943" i="6"/>
  <c r="K3944" i="6"/>
  <c r="K3945" i="6"/>
  <c r="K3946" i="6"/>
  <c r="K3947" i="6"/>
  <c r="K3948" i="6"/>
  <c r="K3949" i="6"/>
  <c r="K3950" i="6"/>
  <c r="K3951" i="6"/>
  <c r="K3952" i="6"/>
  <c r="K3953" i="6"/>
  <c r="K3954" i="6"/>
  <c r="K3955" i="6"/>
  <c r="K3956" i="6"/>
  <c r="K3957" i="6"/>
  <c r="K3958" i="6"/>
  <c r="K3959" i="6"/>
  <c r="K3960" i="6"/>
  <c r="K3961" i="6"/>
  <c r="K3962" i="6"/>
  <c r="K3963" i="6"/>
  <c r="K3964" i="6"/>
  <c r="K3965" i="6"/>
  <c r="K3966" i="6"/>
  <c r="K3967" i="6"/>
  <c r="K3968" i="6"/>
  <c r="K3969" i="6"/>
  <c r="K3970" i="6"/>
  <c r="K3971" i="6"/>
  <c r="K3972" i="6"/>
  <c r="K3973" i="6"/>
  <c r="K3974" i="6"/>
  <c r="K3975" i="6"/>
  <c r="K3976" i="6"/>
  <c r="K3977" i="6"/>
  <c r="K3978" i="6"/>
  <c r="K3979" i="6"/>
  <c r="K3980" i="6"/>
  <c r="K3981" i="6"/>
  <c r="K3982" i="6"/>
  <c r="K3983" i="6"/>
  <c r="K3984" i="6"/>
  <c r="K3985" i="6"/>
  <c r="K3986" i="6"/>
  <c r="K3987" i="6"/>
  <c r="K3988" i="6"/>
  <c r="K3989" i="6"/>
  <c r="K3990" i="6"/>
  <c r="K3991" i="6"/>
  <c r="K3992" i="6"/>
  <c r="K3993" i="6"/>
  <c r="K3994" i="6"/>
  <c r="K3995" i="6"/>
  <c r="K3996" i="6"/>
  <c r="K3997" i="6"/>
  <c r="K3998" i="6"/>
  <c r="K3999" i="6"/>
  <c r="K4000" i="6"/>
  <c r="K4001" i="6"/>
  <c r="K4002" i="6"/>
  <c r="K4003" i="6"/>
  <c r="K4004" i="6"/>
  <c r="K4005" i="6"/>
  <c r="K4006" i="6"/>
  <c r="K4007" i="6"/>
  <c r="K4008" i="6"/>
  <c r="K4009" i="6"/>
  <c r="K4010" i="6"/>
  <c r="K4011" i="6"/>
  <c r="K4012" i="6"/>
  <c r="K4013" i="6"/>
  <c r="K4014" i="6"/>
  <c r="K4015" i="6"/>
  <c r="K4016" i="6"/>
  <c r="K4017" i="6"/>
  <c r="K4018" i="6"/>
  <c r="K4019" i="6"/>
  <c r="K4020" i="6"/>
  <c r="K4021" i="6"/>
  <c r="K4022" i="6"/>
  <c r="K4023" i="6"/>
  <c r="K4024" i="6"/>
  <c r="K4025" i="6"/>
  <c r="K4026" i="6"/>
  <c r="K4027" i="6"/>
  <c r="K4028" i="6"/>
  <c r="K4029" i="6"/>
  <c r="K4030" i="6"/>
  <c r="K4031" i="6"/>
  <c r="K4032" i="6"/>
  <c r="K4033" i="6"/>
  <c r="K4034" i="6"/>
  <c r="K4035" i="6"/>
  <c r="K4036" i="6"/>
  <c r="K4037" i="6"/>
  <c r="K4038" i="6"/>
  <c r="K4039" i="6"/>
  <c r="K4040" i="6"/>
  <c r="K4041" i="6"/>
  <c r="K4042" i="6"/>
  <c r="K4043" i="6"/>
  <c r="K4044" i="6"/>
  <c r="K4045" i="6"/>
  <c r="K4046" i="6"/>
  <c r="K4047" i="6"/>
  <c r="K4048" i="6"/>
  <c r="K4049" i="6"/>
  <c r="K4050" i="6"/>
  <c r="K4051" i="6"/>
  <c r="K4052" i="6"/>
  <c r="K4053" i="6"/>
  <c r="K4054" i="6"/>
  <c r="K4055" i="6"/>
  <c r="K4056" i="6"/>
  <c r="K4057" i="6"/>
  <c r="K4058" i="6"/>
  <c r="K4059" i="6"/>
  <c r="K4060" i="6"/>
  <c r="K4061" i="6"/>
  <c r="K4062" i="6"/>
  <c r="K4063" i="6"/>
  <c r="K4064" i="6"/>
  <c r="K4065" i="6"/>
  <c r="K4066" i="6"/>
  <c r="K4067" i="6"/>
  <c r="K4068" i="6"/>
  <c r="K4069" i="6"/>
  <c r="K4070" i="6"/>
  <c r="K4071" i="6"/>
  <c r="K4072" i="6"/>
  <c r="K4073" i="6"/>
  <c r="K4074" i="6"/>
  <c r="K4075" i="6"/>
  <c r="K4076" i="6"/>
  <c r="K4077" i="6"/>
  <c r="K4078" i="6"/>
  <c r="K4079" i="6"/>
  <c r="K4080" i="6"/>
  <c r="K4081" i="6"/>
  <c r="K4082" i="6"/>
  <c r="K4083" i="6"/>
  <c r="K4084" i="6"/>
  <c r="K4085" i="6"/>
  <c r="K4086" i="6"/>
  <c r="K4087" i="6"/>
  <c r="K4088" i="6"/>
  <c r="K4089" i="6"/>
  <c r="K4090" i="6"/>
  <c r="K4091" i="6"/>
  <c r="K4092" i="6"/>
  <c r="K4093" i="6"/>
  <c r="K4094" i="6"/>
  <c r="K4095" i="6"/>
  <c r="K4096" i="6"/>
  <c r="K4097" i="6"/>
  <c r="K4098" i="6"/>
  <c r="K4099" i="6"/>
  <c r="K4100" i="6"/>
  <c r="K4101" i="6"/>
  <c r="K4102" i="6"/>
  <c r="K4103" i="6"/>
  <c r="K4104" i="6"/>
  <c r="K4105" i="6"/>
  <c r="K4106" i="6"/>
  <c r="K4107" i="6"/>
  <c r="K4108" i="6"/>
  <c r="K4109" i="6"/>
  <c r="K4110" i="6"/>
  <c r="K4111" i="6"/>
  <c r="K4112" i="6"/>
  <c r="K4113" i="6"/>
  <c r="K4114" i="6"/>
  <c r="K4115" i="6"/>
  <c r="K4116" i="6"/>
  <c r="K4117" i="6"/>
  <c r="K4118" i="6"/>
  <c r="K4119" i="6"/>
  <c r="K4120" i="6"/>
  <c r="K4121" i="6"/>
  <c r="K4122" i="6"/>
  <c r="K4123" i="6"/>
  <c r="K4124" i="6"/>
  <c r="K4125" i="6"/>
  <c r="K4126" i="6"/>
  <c r="K4127" i="6"/>
  <c r="K4128" i="6"/>
  <c r="K4129" i="6"/>
  <c r="K4130" i="6"/>
  <c r="K4131" i="6"/>
  <c r="K4132" i="6"/>
  <c r="K4133" i="6"/>
  <c r="K4134" i="6"/>
  <c r="K4135" i="6"/>
  <c r="K4136" i="6"/>
  <c r="K4137" i="6"/>
  <c r="K4138" i="6"/>
  <c r="K4139" i="6"/>
  <c r="K4140" i="6"/>
  <c r="K4141" i="6"/>
  <c r="K4142" i="6"/>
  <c r="K4143" i="6"/>
  <c r="K4144" i="6"/>
  <c r="K4145" i="6"/>
  <c r="K4146" i="6"/>
  <c r="K4147" i="6"/>
  <c r="K4148" i="6"/>
  <c r="K4149" i="6"/>
  <c r="K4150" i="6"/>
  <c r="K4151" i="6"/>
  <c r="K4152" i="6"/>
  <c r="K4153" i="6"/>
  <c r="K4154" i="6"/>
  <c r="K4155" i="6"/>
  <c r="K4156" i="6"/>
  <c r="K4157" i="6"/>
  <c r="K4158" i="6"/>
  <c r="K4159" i="6"/>
  <c r="K4160" i="6"/>
  <c r="K4161" i="6"/>
  <c r="K4162" i="6"/>
  <c r="K4163" i="6"/>
  <c r="K4164" i="6"/>
  <c r="K4165" i="6"/>
  <c r="K4166" i="6"/>
  <c r="K4167" i="6"/>
  <c r="K4168" i="6"/>
  <c r="K4169" i="6"/>
  <c r="K4170" i="6"/>
  <c r="K4171" i="6"/>
  <c r="K4172" i="6"/>
  <c r="K4173" i="6"/>
  <c r="K4174" i="6"/>
  <c r="K4175" i="6"/>
  <c r="K4176" i="6"/>
  <c r="K4177" i="6"/>
  <c r="K4178" i="6"/>
  <c r="K4179" i="6"/>
  <c r="K4180" i="6"/>
  <c r="K4181" i="6"/>
  <c r="K4182" i="6"/>
  <c r="K4183" i="6"/>
  <c r="K4184" i="6"/>
  <c r="K4185" i="6"/>
  <c r="K4186" i="6"/>
  <c r="K4187" i="6"/>
  <c r="K4188" i="6"/>
  <c r="K4189" i="6"/>
  <c r="K4190" i="6"/>
  <c r="K4191" i="6"/>
  <c r="K4192" i="6"/>
  <c r="K4193" i="6"/>
  <c r="K4194" i="6"/>
  <c r="K4195" i="6"/>
  <c r="K4196" i="6"/>
  <c r="K4197" i="6"/>
  <c r="K4198" i="6"/>
  <c r="K4199" i="6"/>
  <c r="K4200" i="6"/>
  <c r="K4201" i="6"/>
  <c r="K4202" i="6"/>
  <c r="K4203" i="6"/>
  <c r="K4204" i="6"/>
  <c r="K4205" i="6"/>
  <c r="K4206" i="6"/>
  <c r="K4207" i="6"/>
  <c r="K4208" i="6"/>
  <c r="K4209" i="6"/>
  <c r="K4210" i="6"/>
  <c r="K4211" i="6"/>
  <c r="K4212" i="6"/>
  <c r="K4213" i="6"/>
  <c r="K4214" i="6"/>
  <c r="K4215" i="6"/>
  <c r="K4216" i="6"/>
  <c r="K4217" i="6"/>
  <c r="K4218" i="6"/>
  <c r="K4219" i="6"/>
  <c r="K4220" i="6"/>
  <c r="K4221" i="6"/>
  <c r="K4222" i="6"/>
  <c r="K4223" i="6"/>
  <c r="K4224" i="6"/>
  <c r="K4225" i="6"/>
  <c r="K4226" i="6"/>
  <c r="K4227" i="6"/>
  <c r="K4228" i="6"/>
  <c r="K4229" i="6"/>
  <c r="K4230" i="6"/>
  <c r="K4231" i="6"/>
  <c r="K4232" i="6"/>
  <c r="K4233" i="6"/>
  <c r="K4234" i="6"/>
  <c r="K4235" i="6"/>
  <c r="K4236" i="6"/>
  <c r="K4237" i="6"/>
  <c r="K4238" i="6"/>
  <c r="K4239" i="6"/>
  <c r="K4240" i="6"/>
  <c r="K4241" i="6"/>
  <c r="K4242" i="6"/>
  <c r="K4243" i="6"/>
  <c r="K4244" i="6"/>
  <c r="K4245" i="6"/>
  <c r="K4246" i="6"/>
  <c r="K4247" i="6"/>
  <c r="K4248" i="6"/>
  <c r="K4249" i="6"/>
  <c r="K4250" i="6"/>
  <c r="K4251" i="6"/>
  <c r="K4252" i="6"/>
  <c r="K4253" i="6"/>
  <c r="K4254" i="6"/>
  <c r="K4255" i="6"/>
  <c r="K4256" i="6"/>
  <c r="K4257" i="6"/>
  <c r="K4258" i="6"/>
  <c r="K4259" i="6"/>
  <c r="K4260" i="6"/>
  <c r="K4261" i="6"/>
  <c r="K4262" i="6"/>
  <c r="K4263" i="6"/>
  <c r="K4264" i="6"/>
  <c r="K4265" i="6"/>
  <c r="K4266" i="6"/>
  <c r="K4267" i="6"/>
  <c r="K4268" i="6"/>
  <c r="K4269" i="6"/>
  <c r="K4270" i="6"/>
  <c r="K4271" i="6"/>
  <c r="K4272" i="6"/>
  <c r="K4273" i="6"/>
  <c r="K4274" i="6"/>
  <c r="K4275" i="6"/>
  <c r="K4276" i="6"/>
  <c r="K4277" i="6"/>
  <c r="K4278" i="6"/>
  <c r="K4279" i="6"/>
  <c r="K4280" i="6"/>
  <c r="K4281" i="6"/>
  <c r="K4282" i="6"/>
  <c r="K4283" i="6"/>
  <c r="K4284" i="6"/>
  <c r="K4285" i="6"/>
  <c r="K4286" i="6"/>
  <c r="K4287" i="6"/>
  <c r="K4288" i="6"/>
  <c r="K4289" i="6"/>
  <c r="K4290" i="6"/>
  <c r="K4291" i="6"/>
  <c r="K4292" i="6"/>
  <c r="K4293" i="6"/>
  <c r="K4294" i="6"/>
  <c r="K4295" i="6"/>
  <c r="K4296" i="6"/>
  <c r="K4297" i="6"/>
  <c r="K4298" i="6"/>
  <c r="K4299" i="6"/>
  <c r="K4300" i="6"/>
  <c r="K4301" i="6"/>
  <c r="K4302" i="6"/>
  <c r="K4303" i="6"/>
  <c r="K4304" i="6"/>
  <c r="K4305" i="6"/>
  <c r="K4306" i="6"/>
  <c r="K4307" i="6"/>
  <c r="K4308" i="6"/>
  <c r="K4309" i="6"/>
  <c r="K4310" i="6"/>
  <c r="K4311" i="6"/>
  <c r="K4312" i="6"/>
  <c r="K4313" i="6"/>
  <c r="K4314" i="6"/>
  <c r="K4315" i="6"/>
  <c r="K4316" i="6"/>
  <c r="K4317" i="6"/>
  <c r="K4318" i="6"/>
  <c r="K4319" i="6"/>
  <c r="K4320" i="6"/>
  <c r="K4321" i="6"/>
  <c r="K4322" i="6"/>
  <c r="K4323" i="6"/>
  <c r="K4324" i="6"/>
  <c r="K4325" i="6"/>
  <c r="K4326" i="6"/>
  <c r="K4327" i="6"/>
  <c r="K4328" i="6"/>
  <c r="K4329" i="6"/>
  <c r="K4330" i="6"/>
  <c r="K4331" i="6"/>
  <c r="K4332" i="6"/>
  <c r="K4333" i="6"/>
  <c r="K4334" i="6"/>
  <c r="K4335" i="6"/>
  <c r="K4336" i="6"/>
  <c r="K4337" i="6"/>
  <c r="K4338" i="6"/>
  <c r="K4339" i="6"/>
  <c r="K4340" i="6"/>
  <c r="K4341" i="6"/>
  <c r="K4342" i="6"/>
  <c r="K4343" i="6"/>
  <c r="K4344" i="6"/>
  <c r="K4345" i="6"/>
  <c r="K4346" i="6"/>
  <c r="K4347" i="6"/>
  <c r="K4348" i="6"/>
  <c r="K4349" i="6"/>
  <c r="K4350" i="6"/>
  <c r="K4351" i="6"/>
  <c r="K4352" i="6"/>
  <c r="K4353" i="6"/>
  <c r="K4354" i="6"/>
  <c r="K4355" i="6"/>
  <c r="K4356" i="6"/>
  <c r="K4357" i="6"/>
  <c r="K4358" i="6"/>
  <c r="K4359" i="6"/>
  <c r="K4360" i="6"/>
  <c r="K4361" i="6"/>
  <c r="K4362" i="6"/>
  <c r="K4363" i="6"/>
  <c r="K4364" i="6"/>
  <c r="K4365" i="6"/>
  <c r="K4366" i="6"/>
  <c r="K4367" i="6"/>
  <c r="K4368" i="6"/>
  <c r="K4369" i="6"/>
  <c r="K4370" i="6"/>
  <c r="K4371" i="6"/>
  <c r="K4372" i="6"/>
  <c r="K4373" i="6"/>
  <c r="K4374" i="6"/>
  <c r="K4375" i="6"/>
  <c r="K4376" i="6"/>
  <c r="K4377" i="6"/>
  <c r="K4378" i="6"/>
  <c r="K4379" i="6"/>
  <c r="K4380" i="6"/>
  <c r="K4381" i="6"/>
  <c r="K4382" i="6"/>
  <c r="K4383" i="6"/>
  <c r="K4384" i="6"/>
  <c r="K4385" i="6"/>
  <c r="K4386" i="6"/>
  <c r="K4387" i="6"/>
  <c r="K4388" i="6"/>
  <c r="K4389" i="6"/>
  <c r="K4390" i="6"/>
  <c r="K4391" i="6"/>
  <c r="K4392" i="6"/>
  <c r="K4393" i="6"/>
  <c r="K4394" i="6"/>
  <c r="K4395" i="6"/>
  <c r="K4396" i="6"/>
  <c r="K4397" i="6"/>
  <c r="K4398" i="6"/>
  <c r="K4399" i="6"/>
  <c r="K4400" i="6"/>
  <c r="K4401" i="6"/>
  <c r="K4402" i="6"/>
  <c r="K4403" i="6"/>
  <c r="K4404" i="6"/>
  <c r="K4405" i="6"/>
  <c r="K4406" i="6"/>
  <c r="K4407" i="6"/>
  <c r="K4408" i="6"/>
  <c r="K4409" i="6"/>
  <c r="K4410" i="6"/>
  <c r="K4411" i="6"/>
  <c r="K4412" i="6"/>
  <c r="K4413" i="6"/>
  <c r="K4414" i="6"/>
  <c r="K4415" i="6"/>
  <c r="K4416" i="6"/>
  <c r="K4417" i="6"/>
  <c r="K4418" i="6"/>
  <c r="K4419" i="6"/>
  <c r="K4420" i="6"/>
  <c r="K4421" i="6"/>
  <c r="K4422" i="6"/>
  <c r="K4423" i="6"/>
  <c r="K4424" i="6"/>
  <c r="K4425" i="6"/>
  <c r="K4426" i="6"/>
  <c r="K4427" i="6"/>
  <c r="K4428" i="6"/>
  <c r="K4429" i="6"/>
  <c r="K4430" i="6"/>
  <c r="K4431" i="6"/>
  <c r="K4432" i="6"/>
  <c r="K4433" i="6"/>
  <c r="K4434" i="6"/>
  <c r="K4435" i="6"/>
  <c r="K4436" i="6"/>
  <c r="K4437" i="6"/>
  <c r="K4438" i="6"/>
  <c r="K4439" i="6"/>
  <c r="K4440" i="6"/>
  <c r="K4441" i="6"/>
  <c r="K4442" i="6"/>
  <c r="K4443" i="6"/>
  <c r="K4444" i="6"/>
  <c r="K4445" i="6"/>
  <c r="K4446" i="6"/>
  <c r="K4447" i="6"/>
  <c r="K4448" i="6"/>
  <c r="K4449" i="6"/>
  <c r="K4450" i="6"/>
  <c r="K4451" i="6"/>
  <c r="K4452" i="6"/>
  <c r="K4453" i="6"/>
  <c r="K4454" i="6"/>
  <c r="K4455" i="6"/>
  <c r="K4456" i="6"/>
  <c r="K4457" i="6"/>
  <c r="K4458" i="6"/>
  <c r="K4459" i="6"/>
  <c r="K4460" i="6"/>
  <c r="K4461" i="6"/>
  <c r="K4462" i="6"/>
  <c r="K4463" i="6"/>
  <c r="K4464" i="6"/>
  <c r="K4465" i="6"/>
  <c r="K4466" i="6"/>
  <c r="K4467" i="6"/>
  <c r="K4468" i="6"/>
  <c r="K4469" i="6"/>
  <c r="K4470" i="6"/>
  <c r="K4471" i="6"/>
  <c r="K4472" i="6"/>
  <c r="K4473" i="6"/>
  <c r="K4474" i="6"/>
  <c r="K4475" i="6"/>
  <c r="K4476" i="6"/>
  <c r="K4477" i="6"/>
  <c r="K4478" i="6"/>
  <c r="K4479" i="6"/>
  <c r="K4480" i="6"/>
  <c r="K4481" i="6"/>
  <c r="K4482" i="6"/>
  <c r="K4483" i="6"/>
  <c r="K4484" i="6"/>
  <c r="K4485" i="6"/>
  <c r="K4486" i="6"/>
  <c r="K4487" i="6"/>
  <c r="K4488" i="6"/>
  <c r="K4489" i="6"/>
  <c r="K4490" i="6"/>
  <c r="K4491" i="6"/>
  <c r="K4492" i="6"/>
  <c r="K4493" i="6"/>
  <c r="K4494" i="6"/>
  <c r="K4495" i="6"/>
  <c r="K4496" i="6"/>
  <c r="K4497" i="6"/>
  <c r="K4498" i="6"/>
  <c r="K4499" i="6"/>
  <c r="K4500" i="6"/>
  <c r="K4501" i="6"/>
  <c r="K4502" i="6"/>
  <c r="K4503" i="6"/>
  <c r="K4504" i="6"/>
  <c r="K4505" i="6"/>
  <c r="K4506" i="6"/>
  <c r="K4507" i="6"/>
  <c r="K4508" i="6"/>
  <c r="K4509" i="6"/>
  <c r="K4510" i="6"/>
  <c r="K4511" i="6"/>
  <c r="K4512" i="6"/>
  <c r="K4513" i="6"/>
  <c r="K4514" i="6"/>
  <c r="K4515" i="6"/>
  <c r="K4516" i="6"/>
  <c r="K4517" i="6"/>
  <c r="K4518" i="6"/>
  <c r="K4519" i="6"/>
  <c r="K4520" i="6"/>
  <c r="K4521" i="6"/>
  <c r="K4522" i="6"/>
  <c r="K4523" i="6"/>
  <c r="K4524" i="6"/>
  <c r="K4525" i="6"/>
  <c r="K4526" i="6"/>
  <c r="K4527" i="6"/>
  <c r="K4528" i="6"/>
  <c r="K4529" i="6"/>
  <c r="K4530" i="6"/>
  <c r="K4531" i="6"/>
  <c r="K4532" i="6"/>
  <c r="K4533" i="6"/>
  <c r="K4534" i="6"/>
  <c r="K4535" i="6"/>
  <c r="K4536" i="6"/>
  <c r="K4537" i="6"/>
  <c r="K4538" i="6"/>
  <c r="K4539" i="6"/>
  <c r="K4540" i="6"/>
  <c r="K4541" i="6"/>
  <c r="K4542" i="6"/>
  <c r="K4543" i="6"/>
  <c r="K4544" i="6"/>
  <c r="K4545" i="6"/>
  <c r="K4546" i="6"/>
  <c r="K4547" i="6"/>
  <c r="K4548" i="6"/>
  <c r="K4549" i="6"/>
  <c r="K4550" i="6"/>
  <c r="K4551" i="6"/>
  <c r="K4552" i="6"/>
  <c r="K4553" i="6"/>
  <c r="K4554" i="6"/>
  <c r="K4555" i="6"/>
  <c r="K4556" i="6"/>
  <c r="K4557" i="6"/>
  <c r="K4558" i="6"/>
  <c r="K4559" i="6"/>
  <c r="K4560" i="6"/>
  <c r="K4561" i="6"/>
  <c r="K4562" i="6"/>
  <c r="K4563" i="6"/>
  <c r="K4564" i="6"/>
  <c r="K4565" i="6"/>
  <c r="K4566" i="6"/>
  <c r="K4567" i="6"/>
  <c r="K4568" i="6"/>
  <c r="K4569" i="6"/>
  <c r="K4570" i="6"/>
  <c r="K4571" i="6"/>
  <c r="K4572" i="6"/>
  <c r="K4573" i="6"/>
  <c r="K4574" i="6"/>
  <c r="K4575" i="6"/>
  <c r="K4576" i="6"/>
  <c r="K4577" i="6"/>
  <c r="K4578" i="6"/>
  <c r="K4579" i="6"/>
  <c r="K4580" i="6"/>
  <c r="K4581" i="6"/>
  <c r="K4582" i="6"/>
  <c r="K4583" i="6"/>
  <c r="K4584" i="6"/>
  <c r="K4585" i="6"/>
  <c r="K4586" i="6"/>
  <c r="K4587" i="6"/>
  <c r="K4588" i="6"/>
  <c r="K4589" i="6"/>
  <c r="K4590" i="6"/>
  <c r="K4591" i="6"/>
  <c r="K4592" i="6"/>
  <c r="K4593" i="6"/>
  <c r="K4594" i="6"/>
  <c r="K4595" i="6"/>
  <c r="K4596" i="6"/>
  <c r="K4597" i="6"/>
  <c r="K4598" i="6"/>
  <c r="K4599" i="6"/>
  <c r="K4600" i="6"/>
  <c r="K4601" i="6"/>
  <c r="K4602" i="6"/>
  <c r="K4603" i="6"/>
  <c r="K4604" i="6"/>
  <c r="K4605" i="6"/>
  <c r="K4606" i="6"/>
  <c r="K4607" i="6"/>
  <c r="K4608" i="6"/>
  <c r="K4609" i="6"/>
  <c r="K4610" i="6"/>
  <c r="K4611" i="6"/>
  <c r="K4612" i="6"/>
  <c r="K4613" i="6"/>
  <c r="K4614" i="6"/>
  <c r="K4615" i="6"/>
  <c r="K4616" i="6"/>
  <c r="K4617" i="6"/>
  <c r="K4618" i="6"/>
  <c r="K4619" i="6"/>
  <c r="K4620" i="6"/>
  <c r="K4621" i="6"/>
  <c r="K4622" i="6"/>
  <c r="K4623" i="6"/>
  <c r="K4624" i="6"/>
  <c r="K4625" i="6"/>
  <c r="K4626" i="6"/>
  <c r="K4627" i="6"/>
  <c r="K4628" i="6"/>
  <c r="K4629" i="6"/>
  <c r="K4630" i="6"/>
  <c r="K4631" i="6"/>
  <c r="K4632" i="6"/>
  <c r="K4633" i="6"/>
  <c r="K4634" i="6"/>
  <c r="K4635" i="6"/>
  <c r="K4636" i="6"/>
  <c r="K4637" i="6"/>
  <c r="K4638" i="6"/>
  <c r="K4639" i="6"/>
  <c r="K4640" i="6"/>
  <c r="K4641" i="6"/>
  <c r="K4642" i="6"/>
  <c r="K4643" i="6"/>
  <c r="K4644" i="6"/>
  <c r="K4645" i="6"/>
  <c r="K4646" i="6"/>
  <c r="K4647" i="6"/>
  <c r="K4648" i="6"/>
  <c r="K4649" i="6"/>
  <c r="K4650" i="6"/>
  <c r="K4651" i="6"/>
  <c r="K4652" i="6"/>
  <c r="K4653" i="6"/>
  <c r="K4654" i="6"/>
  <c r="K4655" i="6"/>
  <c r="K4656" i="6"/>
  <c r="K4657" i="6"/>
  <c r="K4658" i="6"/>
  <c r="K4659" i="6"/>
  <c r="K4660" i="6"/>
  <c r="K4661" i="6"/>
  <c r="K4662" i="6"/>
  <c r="K4663" i="6"/>
  <c r="K4664" i="6"/>
  <c r="K4665" i="6"/>
  <c r="K4666" i="6"/>
  <c r="K4667" i="6"/>
  <c r="K4668" i="6"/>
  <c r="K4669" i="6"/>
  <c r="K4670" i="6"/>
  <c r="K4671" i="6"/>
  <c r="K4672" i="6"/>
  <c r="K4673" i="6"/>
  <c r="K4674" i="6"/>
  <c r="K4675" i="6"/>
  <c r="K4676" i="6"/>
  <c r="K4677" i="6"/>
  <c r="K4678" i="6"/>
  <c r="K4679" i="6"/>
  <c r="K4680" i="6"/>
  <c r="K4681" i="6"/>
  <c r="K4682" i="6"/>
  <c r="K4683" i="6"/>
  <c r="K4684" i="6"/>
  <c r="K4685" i="6"/>
  <c r="K4686" i="6"/>
  <c r="K4687" i="6"/>
  <c r="K4688" i="6"/>
  <c r="K4689" i="6"/>
  <c r="K4690" i="6"/>
  <c r="K4691" i="6"/>
  <c r="K4692" i="6"/>
  <c r="K4693" i="6"/>
  <c r="K4694" i="6"/>
  <c r="K4695" i="6"/>
  <c r="K4696" i="6"/>
  <c r="K4697" i="6"/>
  <c r="K4698" i="6"/>
  <c r="K4699" i="6"/>
  <c r="K4700" i="6"/>
  <c r="K4701" i="6"/>
  <c r="K4702" i="6"/>
  <c r="K4703" i="6"/>
  <c r="K4704" i="6"/>
  <c r="K4705" i="6"/>
  <c r="K4706" i="6"/>
  <c r="K4707" i="6"/>
  <c r="K4708" i="6"/>
  <c r="K4709" i="6"/>
  <c r="K4710" i="6"/>
  <c r="K4711" i="6"/>
  <c r="K4712" i="6"/>
  <c r="K4713" i="6"/>
  <c r="K4714" i="6"/>
  <c r="K4715" i="6"/>
  <c r="K4716" i="6"/>
  <c r="K4717" i="6"/>
  <c r="K4718" i="6"/>
  <c r="K4719" i="6"/>
  <c r="K4720" i="6"/>
  <c r="K4721" i="6"/>
  <c r="K4722" i="6"/>
  <c r="K4723" i="6"/>
  <c r="K4724" i="6"/>
  <c r="K4725" i="6"/>
  <c r="K4726" i="6"/>
  <c r="K4727" i="6"/>
  <c r="K4728" i="6"/>
  <c r="K4729" i="6"/>
  <c r="K4730" i="6"/>
  <c r="K4731" i="6"/>
  <c r="K4732" i="6"/>
  <c r="K4733" i="6"/>
  <c r="K4734" i="6"/>
  <c r="K4735" i="6"/>
  <c r="K4736" i="6"/>
  <c r="K4737" i="6"/>
  <c r="K4738" i="6"/>
  <c r="K4739" i="6"/>
  <c r="K4740" i="6"/>
  <c r="K4741" i="6"/>
  <c r="K4742" i="6"/>
  <c r="K4743" i="6"/>
  <c r="K4744" i="6"/>
  <c r="K4745" i="6"/>
  <c r="K4746" i="6"/>
  <c r="K4747" i="6"/>
  <c r="K4748" i="6"/>
  <c r="K4749" i="6"/>
  <c r="K4750" i="6"/>
  <c r="K4751" i="6"/>
  <c r="K4752" i="6"/>
  <c r="K4753" i="6"/>
  <c r="K4754" i="6"/>
  <c r="K4755" i="6"/>
  <c r="K4756" i="6"/>
  <c r="K4757" i="6"/>
  <c r="K4758" i="6"/>
  <c r="K4759" i="6"/>
  <c r="K4760" i="6"/>
  <c r="K4761" i="6"/>
  <c r="K4762" i="6"/>
  <c r="K4763" i="6"/>
  <c r="K4764" i="6"/>
  <c r="K4765" i="6"/>
  <c r="K4766" i="6"/>
  <c r="K4767" i="6"/>
  <c r="K4768" i="6"/>
  <c r="K4769" i="6"/>
  <c r="K4770" i="6"/>
  <c r="K4771" i="6"/>
  <c r="K4772" i="6"/>
  <c r="K4773" i="6"/>
  <c r="K4774" i="6"/>
  <c r="K4775" i="6"/>
  <c r="K4776" i="6"/>
  <c r="K4777" i="6"/>
  <c r="K4778" i="6"/>
  <c r="K4779" i="6"/>
  <c r="K4780" i="6"/>
  <c r="K4781" i="6"/>
  <c r="K4782" i="6"/>
  <c r="K4783" i="6"/>
  <c r="K4784" i="6"/>
  <c r="K4785" i="6"/>
  <c r="K4786" i="6"/>
  <c r="K4787" i="6"/>
  <c r="K4788" i="6"/>
  <c r="K4789" i="6"/>
  <c r="K4790" i="6"/>
  <c r="K4791" i="6"/>
  <c r="K4792" i="6"/>
  <c r="K4793" i="6"/>
  <c r="K4794" i="6"/>
  <c r="K4795" i="6"/>
  <c r="K4796" i="6"/>
  <c r="K4797" i="6"/>
  <c r="K4798" i="6"/>
  <c r="K4799" i="6"/>
  <c r="K4800" i="6"/>
  <c r="K4801" i="6"/>
  <c r="K4802" i="6"/>
  <c r="K4803" i="6"/>
  <c r="K4804" i="6"/>
  <c r="K4805" i="6"/>
  <c r="K4806" i="6"/>
  <c r="K4807" i="6"/>
  <c r="K4808" i="6"/>
  <c r="K4809" i="6"/>
  <c r="K4810" i="6"/>
  <c r="K4811" i="6"/>
  <c r="K4812" i="6"/>
  <c r="K4813" i="6"/>
  <c r="K4814" i="6"/>
  <c r="K4815" i="6"/>
  <c r="K4816" i="6"/>
  <c r="K4817" i="6"/>
  <c r="K4818" i="6"/>
  <c r="K4819" i="6"/>
  <c r="K4820" i="6"/>
  <c r="K4821" i="6"/>
  <c r="K4822" i="6"/>
  <c r="K4823" i="6"/>
  <c r="K4824" i="6"/>
  <c r="K4825" i="6"/>
  <c r="K4826" i="6"/>
  <c r="K4827" i="6"/>
  <c r="K4828" i="6"/>
  <c r="K4829" i="6"/>
  <c r="K4830" i="6"/>
  <c r="K4831" i="6"/>
  <c r="K4832" i="6"/>
  <c r="K4833" i="6"/>
  <c r="K4834" i="6"/>
  <c r="K4835" i="6"/>
  <c r="K4836" i="6"/>
  <c r="K4837" i="6"/>
  <c r="K4838" i="6"/>
  <c r="K4839" i="6"/>
  <c r="K4840" i="6"/>
  <c r="K4841" i="6"/>
  <c r="K4842" i="6"/>
  <c r="K4843" i="6"/>
  <c r="K4844" i="6"/>
  <c r="K4845" i="6"/>
  <c r="K4846" i="6"/>
  <c r="K4847" i="6"/>
  <c r="K4848" i="6"/>
  <c r="K4849" i="6"/>
  <c r="K4850" i="6"/>
  <c r="K4851" i="6"/>
  <c r="K4852" i="6"/>
  <c r="K4853" i="6"/>
  <c r="K4854" i="6"/>
  <c r="K4855" i="6"/>
  <c r="K4856" i="6"/>
  <c r="K4857" i="6"/>
  <c r="K4858" i="6"/>
  <c r="K4859" i="6"/>
  <c r="K4860" i="6"/>
  <c r="K4861" i="6"/>
  <c r="K4862" i="6"/>
  <c r="K4863" i="6"/>
  <c r="K4864" i="6"/>
  <c r="K4865" i="6"/>
  <c r="K4866" i="6"/>
  <c r="K4867" i="6"/>
  <c r="K4868" i="6"/>
  <c r="K4869" i="6"/>
  <c r="K4870" i="6"/>
  <c r="K4871" i="6"/>
  <c r="K4872" i="6"/>
  <c r="K4873" i="6"/>
  <c r="K4874" i="6"/>
  <c r="K4875" i="6"/>
  <c r="K4876" i="6"/>
  <c r="K4877" i="6"/>
  <c r="K4878" i="6"/>
  <c r="K4879" i="6"/>
  <c r="K4880" i="6"/>
  <c r="K4881" i="6"/>
  <c r="K4882" i="6"/>
  <c r="K4883" i="6"/>
  <c r="K4884" i="6"/>
  <c r="K4885" i="6"/>
  <c r="K4886" i="6"/>
  <c r="K4887" i="6"/>
  <c r="K4888" i="6"/>
  <c r="K4889" i="6"/>
  <c r="K4890" i="6"/>
  <c r="K4891" i="6"/>
  <c r="K4892" i="6"/>
  <c r="K4893" i="6"/>
  <c r="K4894" i="6"/>
  <c r="K4895" i="6"/>
  <c r="K4896" i="6"/>
  <c r="K4897" i="6"/>
  <c r="K4898" i="6"/>
  <c r="K4899" i="6"/>
  <c r="K4900" i="6"/>
  <c r="K4901" i="6"/>
  <c r="K4902" i="6"/>
  <c r="K4903" i="6"/>
  <c r="K4904" i="6"/>
  <c r="K4905" i="6"/>
  <c r="K4906" i="6"/>
  <c r="K4907" i="6"/>
  <c r="K4908" i="6"/>
  <c r="K4909" i="6"/>
  <c r="K4910" i="6"/>
  <c r="K4911" i="6"/>
  <c r="K4912" i="6"/>
  <c r="K4913" i="6"/>
  <c r="K4914" i="6"/>
  <c r="K4915" i="6"/>
  <c r="K4916" i="6"/>
  <c r="K4917" i="6"/>
  <c r="K4918" i="6"/>
  <c r="K4919" i="6"/>
  <c r="K4920" i="6"/>
  <c r="K4921" i="6"/>
  <c r="K4922" i="6"/>
  <c r="K4923" i="6"/>
  <c r="K4924" i="6"/>
  <c r="K4925" i="6"/>
  <c r="K4926" i="6"/>
  <c r="K4927" i="6"/>
  <c r="K4928" i="6"/>
  <c r="K4929" i="6"/>
  <c r="K4930" i="6"/>
  <c r="K4931" i="6"/>
  <c r="K4932" i="6"/>
  <c r="K4933" i="6"/>
  <c r="K4934" i="6"/>
  <c r="K4935" i="6"/>
  <c r="K4936" i="6"/>
  <c r="K4937" i="6"/>
  <c r="K4938" i="6"/>
  <c r="K4939" i="6"/>
  <c r="K4940" i="6"/>
  <c r="K4941" i="6"/>
  <c r="K4942" i="6"/>
  <c r="K4943" i="6"/>
  <c r="K4944" i="6"/>
  <c r="K4945" i="6"/>
  <c r="K4946" i="6"/>
  <c r="K4947" i="6"/>
  <c r="K4948" i="6"/>
  <c r="K4949" i="6"/>
  <c r="K4950" i="6"/>
  <c r="K4951" i="6"/>
  <c r="K4952" i="6"/>
  <c r="K4953" i="6"/>
  <c r="K4954" i="6"/>
  <c r="K4955" i="6"/>
  <c r="K4956" i="6"/>
  <c r="K4957" i="6"/>
  <c r="K4958" i="6"/>
  <c r="K4959" i="6"/>
  <c r="K4960" i="6"/>
  <c r="K4961" i="6"/>
  <c r="K4962" i="6"/>
  <c r="K4963" i="6"/>
  <c r="K4964" i="6"/>
  <c r="K4965" i="6"/>
  <c r="K4966" i="6"/>
  <c r="K4967" i="6"/>
  <c r="K4968" i="6"/>
  <c r="K4969" i="6"/>
  <c r="K4970" i="6"/>
  <c r="K4971" i="6"/>
  <c r="K4972" i="6"/>
  <c r="K4973" i="6"/>
  <c r="K4974" i="6"/>
  <c r="K4975" i="6"/>
  <c r="K4976" i="6"/>
  <c r="K4977" i="6"/>
  <c r="K4978" i="6"/>
  <c r="K4979" i="6"/>
  <c r="K4980" i="6"/>
  <c r="K4981" i="6"/>
  <c r="K4982" i="6"/>
  <c r="K4983" i="6"/>
  <c r="K4984" i="6"/>
  <c r="K4985" i="6"/>
  <c r="K4986" i="6"/>
  <c r="K4987" i="6"/>
  <c r="K4988" i="6"/>
  <c r="K4989" i="6"/>
  <c r="K4990" i="6"/>
  <c r="K4991" i="6"/>
  <c r="K4992" i="6"/>
  <c r="K4993" i="6"/>
  <c r="K4994" i="6"/>
  <c r="K4995" i="6"/>
  <c r="K4996" i="6"/>
  <c r="K4997" i="6"/>
  <c r="K4998" i="6"/>
  <c r="K4999" i="6"/>
  <c r="K5000" i="6"/>
  <c r="K5001" i="6"/>
  <c r="K5002" i="6"/>
  <c r="K5003" i="6"/>
  <c r="K5004" i="6"/>
  <c r="K5005" i="6"/>
  <c r="K5006" i="6"/>
  <c r="K5007" i="6"/>
  <c r="K5008" i="6"/>
  <c r="K5009" i="6"/>
  <c r="K5010" i="6"/>
  <c r="K5011" i="6"/>
  <c r="K5012" i="6"/>
  <c r="K5013" i="6"/>
  <c r="K5014" i="6"/>
  <c r="K5015" i="6"/>
  <c r="K5016" i="6"/>
  <c r="K5017" i="6"/>
  <c r="K5018" i="6"/>
  <c r="K5019" i="6"/>
  <c r="K5020" i="6"/>
  <c r="K5021" i="6"/>
  <c r="K5022" i="6"/>
  <c r="K5023" i="6"/>
  <c r="K5024" i="6"/>
  <c r="K5025" i="6"/>
  <c r="K5026" i="6"/>
  <c r="K5027" i="6"/>
  <c r="K5028" i="6"/>
  <c r="K5029" i="6"/>
  <c r="K5030" i="6"/>
  <c r="K5031" i="6"/>
  <c r="K5032" i="6"/>
  <c r="K5033" i="6"/>
  <c r="K5034" i="6"/>
  <c r="K5035" i="6"/>
  <c r="K5036" i="6"/>
  <c r="K5037" i="6"/>
  <c r="K5038" i="6"/>
  <c r="K5039" i="6"/>
  <c r="K5040" i="6"/>
  <c r="K5041" i="6"/>
  <c r="K5042" i="6"/>
  <c r="K5043" i="6"/>
  <c r="K5044" i="6"/>
  <c r="K5045" i="6"/>
  <c r="K5046" i="6"/>
  <c r="K5047" i="6"/>
  <c r="K5048" i="6"/>
  <c r="K5049" i="6"/>
  <c r="K5050" i="6"/>
  <c r="K5051" i="6"/>
  <c r="K5052" i="6"/>
  <c r="K5053" i="6"/>
  <c r="K5054" i="6"/>
  <c r="K5055" i="6"/>
  <c r="K5056" i="6"/>
  <c r="K5057" i="6"/>
  <c r="K5058" i="6"/>
  <c r="K5059" i="6"/>
  <c r="K5060" i="6"/>
  <c r="K5061" i="6"/>
  <c r="K5062" i="6"/>
  <c r="K5063" i="6"/>
  <c r="K5064" i="6"/>
  <c r="K5065" i="6"/>
  <c r="K5066" i="6"/>
  <c r="K5067" i="6"/>
  <c r="K5068" i="6"/>
  <c r="K5069" i="6"/>
  <c r="K5070" i="6"/>
  <c r="K5071" i="6"/>
  <c r="K5072" i="6"/>
  <c r="K5073" i="6"/>
  <c r="K5074" i="6"/>
  <c r="K5075" i="6"/>
  <c r="K5076" i="6"/>
  <c r="K5077" i="6"/>
  <c r="K5078" i="6"/>
  <c r="K5079" i="6"/>
  <c r="K5080" i="6"/>
  <c r="K5081" i="6"/>
  <c r="K5082" i="6"/>
  <c r="K5083" i="6"/>
  <c r="K5084" i="6"/>
  <c r="K5085" i="6"/>
  <c r="K5086" i="6"/>
  <c r="K5087" i="6"/>
  <c r="K5088" i="6"/>
  <c r="K5089" i="6"/>
  <c r="K5090" i="6"/>
  <c r="K5091" i="6"/>
  <c r="K5092" i="6"/>
  <c r="K5093" i="6"/>
  <c r="K5094" i="6"/>
  <c r="K5095" i="6"/>
  <c r="K5096" i="6"/>
  <c r="K5097" i="6"/>
  <c r="K5098" i="6"/>
  <c r="K5099" i="6"/>
  <c r="K5100" i="6"/>
  <c r="K5101" i="6"/>
  <c r="K5102" i="6"/>
  <c r="K5103" i="6"/>
  <c r="K5104" i="6"/>
  <c r="K5105" i="6"/>
  <c r="K5106" i="6"/>
  <c r="K5107" i="6"/>
  <c r="K5108" i="6"/>
  <c r="K5109" i="6"/>
  <c r="K5110" i="6"/>
  <c r="K5111" i="6"/>
  <c r="K5112" i="6"/>
  <c r="K5113" i="6"/>
  <c r="K5114" i="6"/>
  <c r="K5115" i="6"/>
  <c r="K5116" i="6"/>
  <c r="K5117" i="6"/>
  <c r="K5118" i="6"/>
  <c r="K5119" i="6"/>
  <c r="K5120" i="6"/>
  <c r="K5121" i="6"/>
  <c r="K5122" i="6"/>
  <c r="K5123" i="6"/>
  <c r="K5124" i="6"/>
  <c r="K5125" i="6"/>
  <c r="K5126" i="6"/>
  <c r="K5127" i="6"/>
  <c r="K5128" i="6"/>
  <c r="K5129" i="6"/>
  <c r="K5130" i="6"/>
  <c r="K5131" i="6"/>
  <c r="K5132" i="6"/>
  <c r="K5133" i="6"/>
  <c r="K5134" i="6"/>
  <c r="K5135" i="6"/>
  <c r="K5136" i="6"/>
  <c r="K5137" i="6"/>
  <c r="K5138" i="6"/>
  <c r="K5139" i="6"/>
  <c r="K5140" i="6"/>
  <c r="K5141" i="6"/>
  <c r="K5142" i="6"/>
  <c r="K5143" i="6"/>
  <c r="K5144" i="6"/>
  <c r="K5145" i="6"/>
  <c r="K5146" i="6"/>
  <c r="K5147" i="6"/>
  <c r="K5148" i="6"/>
  <c r="K5149" i="6"/>
  <c r="K5150" i="6"/>
  <c r="K5151" i="6"/>
  <c r="K5152" i="6"/>
  <c r="K5153" i="6"/>
  <c r="K5154" i="6"/>
  <c r="K5155" i="6"/>
  <c r="K5156" i="6"/>
  <c r="K5157" i="6"/>
  <c r="K5158" i="6"/>
  <c r="K5159" i="6"/>
  <c r="K5160" i="6"/>
  <c r="K5161" i="6"/>
  <c r="K5162" i="6"/>
  <c r="K5163" i="6"/>
  <c r="K5164" i="6"/>
  <c r="K5165" i="6"/>
  <c r="K5166" i="6"/>
  <c r="K5167" i="6"/>
  <c r="K5168" i="6"/>
  <c r="K5169" i="6"/>
  <c r="K5170" i="6"/>
  <c r="K5171" i="6"/>
  <c r="K5172" i="6"/>
  <c r="K5173" i="6"/>
  <c r="K5174" i="6"/>
  <c r="K5175" i="6"/>
  <c r="K5176" i="6"/>
  <c r="K5177" i="6"/>
  <c r="K5178" i="6"/>
  <c r="K5179" i="6"/>
  <c r="K5180" i="6"/>
  <c r="K5181" i="6"/>
  <c r="K5182" i="6"/>
  <c r="K5183" i="6"/>
  <c r="K5184" i="6"/>
  <c r="K5185" i="6"/>
  <c r="K5186" i="6"/>
  <c r="K5187" i="6"/>
  <c r="K5188" i="6"/>
  <c r="K5189" i="6"/>
  <c r="K5190" i="6"/>
  <c r="K5191" i="6"/>
  <c r="K5192" i="6"/>
  <c r="K5193" i="6"/>
  <c r="K5194" i="6"/>
  <c r="K5195" i="6"/>
  <c r="K5196" i="6"/>
  <c r="K5197" i="6"/>
  <c r="K5198" i="6"/>
  <c r="K5199" i="6"/>
  <c r="K5200" i="6"/>
  <c r="K5201" i="6"/>
  <c r="K5202" i="6"/>
  <c r="K5203" i="6"/>
  <c r="K5204" i="6"/>
  <c r="K5205" i="6"/>
  <c r="K5206" i="6"/>
  <c r="K5207" i="6"/>
  <c r="K5208" i="6"/>
  <c r="K5209" i="6"/>
  <c r="K5210" i="6"/>
  <c r="K5211" i="6"/>
  <c r="K5212" i="6"/>
  <c r="K5213" i="6"/>
  <c r="K5214" i="6"/>
  <c r="K5215" i="6"/>
  <c r="K5216" i="6"/>
  <c r="K5217" i="6"/>
  <c r="K5218" i="6"/>
  <c r="K5219" i="6"/>
  <c r="K5220" i="6"/>
  <c r="K5221" i="6"/>
  <c r="K5222" i="6"/>
  <c r="K5223" i="6"/>
  <c r="K5224" i="6"/>
  <c r="K5225" i="6"/>
  <c r="K5226" i="6"/>
  <c r="K5227" i="6"/>
  <c r="K5228" i="6"/>
  <c r="K5229" i="6"/>
  <c r="K5230" i="6"/>
  <c r="K5231" i="6"/>
  <c r="K5232" i="6"/>
  <c r="K5233" i="6"/>
  <c r="K5234" i="6"/>
  <c r="K5235" i="6"/>
  <c r="K5236" i="6"/>
  <c r="K5237" i="6"/>
  <c r="K5238" i="6"/>
  <c r="K5239" i="6"/>
  <c r="K5240" i="6"/>
  <c r="K5241" i="6"/>
  <c r="K5242" i="6"/>
  <c r="K5243" i="6"/>
  <c r="K5244" i="6"/>
  <c r="K5245" i="6"/>
  <c r="K5246" i="6"/>
  <c r="K5247" i="6"/>
  <c r="K5248" i="6"/>
  <c r="K5249" i="6"/>
  <c r="K5250" i="6"/>
  <c r="K5251" i="6"/>
  <c r="K5252" i="6"/>
  <c r="K5253" i="6"/>
  <c r="K5254" i="6"/>
  <c r="K5255" i="6"/>
  <c r="K5256" i="6"/>
  <c r="K5257" i="6"/>
  <c r="K5258" i="6"/>
  <c r="K5259" i="6"/>
  <c r="K5260" i="6"/>
  <c r="K5261" i="6"/>
  <c r="K5262" i="6"/>
  <c r="K5263" i="6"/>
  <c r="K5264" i="6"/>
  <c r="K5265" i="6"/>
  <c r="K5266" i="6"/>
  <c r="K5267" i="6"/>
  <c r="K5268" i="6"/>
  <c r="K5269" i="6"/>
  <c r="K5270" i="6"/>
  <c r="K5271" i="6"/>
  <c r="K5272" i="6"/>
  <c r="K5273" i="6"/>
  <c r="K5274" i="6"/>
  <c r="K5275" i="6"/>
  <c r="K5276" i="6"/>
  <c r="K5277" i="6"/>
  <c r="K5278" i="6"/>
  <c r="K5279" i="6"/>
  <c r="K5280" i="6"/>
  <c r="K5281" i="6"/>
  <c r="K5282" i="6"/>
  <c r="K5283" i="6"/>
  <c r="K5284" i="6"/>
  <c r="K5285" i="6"/>
  <c r="K5286" i="6"/>
  <c r="K5287" i="6"/>
  <c r="K5288" i="6"/>
  <c r="K5289" i="6"/>
  <c r="K5290" i="6"/>
  <c r="K5291" i="6"/>
  <c r="K5292" i="6"/>
  <c r="K5293" i="6"/>
  <c r="K5294" i="6"/>
  <c r="K5295" i="6"/>
  <c r="K5296" i="6"/>
  <c r="K5297" i="6"/>
  <c r="K5298" i="6"/>
  <c r="K5299" i="6"/>
  <c r="K5300" i="6"/>
  <c r="K5301" i="6"/>
  <c r="K5302" i="6"/>
  <c r="K5303" i="6"/>
  <c r="K5304" i="6"/>
  <c r="K5305" i="6"/>
  <c r="K5306" i="6"/>
  <c r="K5307" i="6"/>
  <c r="K5308" i="6"/>
  <c r="K5309" i="6"/>
  <c r="K5310" i="6"/>
  <c r="K5311" i="6"/>
  <c r="K5312" i="6"/>
  <c r="K5313" i="6"/>
  <c r="K5314" i="6"/>
  <c r="K5315" i="6"/>
  <c r="K5316" i="6"/>
  <c r="K5317" i="6"/>
  <c r="K5318" i="6"/>
  <c r="K5319" i="6"/>
  <c r="K5320" i="6"/>
  <c r="K5321" i="6"/>
  <c r="K5322" i="6"/>
  <c r="K5323" i="6"/>
  <c r="K5324" i="6"/>
  <c r="K5325" i="6"/>
  <c r="K5326" i="6"/>
  <c r="K5327" i="6"/>
  <c r="K5328" i="6"/>
  <c r="K5329" i="6"/>
  <c r="K5330" i="6"/>
  <c r="K5331" i="6"/>
  <c r="K5332" i="6"/>
  <c r="K5333" i="6"/>
  <c r="K5334" i="6"/>
  <c r="K5335" i="6"/>
  <c r="K5336" i="6"/>
  <c r="K5337" i="6"/>
  <c r="K5338" i="6"/>
  <c r="K5339" i="6"/>
  <c r="K5340" i="6"/>
  <c r="K5341" i="6"/>
  <c r="K5342" i="6"/>
  <c r="K5343" i="6"/>
  <c r="K5344" i="6"/>
  <c r="K5345" i="6"/>
  <c r="K5346" i="6"/>
  <c r="K5347" i="6"/>
  <c r="K5348" i="6"/>
  <c r="K5349" i="6"/>
  <c r="K5350" i="6"/>
  <c r="K5351" i="6"/>
  <c r="K5352" i="6"/>
  <c r="K5353" i="6"/>
  <c r="K5354" i="6"/>
  <c r="K5355" i="6"/>
  <c r="K5356" i="6"/>
  <c r="K5357" i="6"/>
  <c r="K5358" i="6"/>
  <c r="K5359" i="6"/>
  <c r="K5360" i="6"/>
  <c r="K5361" i="6"/>
  <c r="K5362" i="6"/>
  <c r="K5363" i="6"/>
  <c r="M5363" i="6" s="1"/>
  <c r="K5364" i="6"/>
  <c r="K5365" i="6"/>
  <c r="K5366" i="6"/>
  <c r="K5367" i="6"/>
  <c r="K5368" i="6"/>
  <c r="K5369" i="6"/>
  <c r="K5370" i="6"/>
  <c r="K5371" i="6"/>
  <c r="K5372" i="6"/>
  <c r="K5373" i="6"/>
  <c r="K5374" i="6"/>
  <c r="K5375" i="6"/>
  <c r="K5376" i="6"/>
  <c r="K5377" i="6"/>
  <c r="K5378" i="6"/>
  <c r="K5379" i="6"/>
  <c r="K5380" i="6"/>
  <c r="K5381" i="6"/>
  <c r="K5382" i="6"/>
  <c r="K5383" i="6"/>
  <c r="M5383" i="6" s="1"/>
  <c r="K5384" i="6"/>
  <c r="K5385" i="6"/>
  <c r="K5386" i="6"/>
  <c r="K5387" i="6"/>
  <c r="K5388" i="6"/>
  <c r="K5389" i="6"/>
  <c r="K5390" i="6"/>
  <c r="K5391" i="6"/>
  <c r="K5392" i="6"/>
  <c r="K5393" i="6"/>
  <c r="K5394" i="6"/>
  <c r="K5395" i="6"/>
  <c r="K5396" i="6"/>
  <c r="K5397" i="6"/>
  <c r="K5398" i="6"/>
  <c r="K5399" i="6"/>
  <c r="K5400" i="6"/>
  <c r="K5401" i="6"/>
  <c r="K5402" i="6"/>
  <c r="K5403" i="6"/>
  <c r="M5403" i="6" s="1"/>
  <c r="K5404" i="6"/>
  <c r="K5405" i="6"/>
  <c r="K5406" i="6"/>
  <c r="K5407" i="6"/>
  <c r="K5408" i="6"/>
  <c r="K5409" i="6"/>
  <c r="K5410" i="6"/>
  <c r="K5411" i="6"/>
  <c r="K5412" i="6"/>
  <c r="K5413" i="6"/>
  <c r="K5414" i="6"/>
  <c r="K5415" i="6"/>
  <c r="K5416" i="6"/>
  <c r="K5417" i="6"/>
  <c r="K5418" i="6"/>
  <c r="K5419" i="6"/>
  <c r="K5420" i="6"/>
  <c r="K5421" i="6"/>
  <c r="K5422" i="6"/>
  <c r="K5423" i="6"/>
  <c r="M5423" i="6" s="1"/>
  <c r="K5424" i="6"/>
  <c r="K5425" i="6"/>
  <c r="K5426" i="6"/>
  <c r="K5427" i="6"/>
  <c r="K5428" i="6"/>
  <c r="K5429" i="6"/>
  <c r="K5430" i="6"/>
  <c r="K5431" i="6"/>
  <c r="K5432" i="6"/>
  <c r="K5433" i="6"/>
  <c r="K5434" i="6"/>
  <c r="K5435" i="6"/>
  <c r="K5436" i="6"/>
  <c r="K5437" i="6"/>
  <c r="K5438" i="6"/>
  <c r="K5439" i="6"/>
  <c r="K5440" i="6"/>
  <c r="K5441" i="6"/>
  <c r="K5442" i="6"/>
  <c r="K5443" i="6"/>
  <c r="M5443" i="6" s="1"/>
  <c r="K5444" i="6"/>
  <c r="K5445" i="6"/>
  <c r="K5446" i="6"/>
  <c r="K5447" i="6"/>
  <c r="K5448" i="6"/>
  <c r="K5449" i="6"/>
  <c r="K5450" i="6"/>
  <c r="K5451" i="6"/>
  <c r="K5452" i="6"/>
  <c r="K5453" i="6"/>
  <c r="K5454" i="6"/>
  <c r="K5455" i="6"/>
  <c r="K5456" i="6"/>
  <c r="K5457" i="6"/>
  <c r="K5458" i="6"/>
  <c r="K5459" i="6"/>
  <c r="K5460" i="6"/>
  <c r="K5461" i="6"/>
  <c r="K5462" i="6"/>
  <c r="K5463" i="6"/>
  <c r="M5463" i="6" s="1"/>
  <c r="K5464" i="6"/>
  <c r="K5465" i="6"/>
  <c r="M5465" i="6" s="1"/>
  <c r="K5466" i="6"/>
  <c r="K5467" i="6"/>
  <c r="K5468" i="6"/>
  <c r="K5469" i="6"/>
  <c r="K5470" i="6"/>
  <c r="K5471" i="6"/>
  <c r="K5472" i="6"/>
  <c r="K5473" i="6"/>
  <c r="K5474" i="6"/>
  <c r="K5475" i="6"/>
  <c r="K5476" i="6"/>
  <c r="K5477" i="6"/>
  <c r="K5478" i="6"/>
  <c r="K5479" i="6"/>
  <c r="K5480" i="6"/>
  <c r="K5481" i="6"/>
  <c r="K5482" i="6"/>
  <c r="K5483" i="6"/>
  <c r="M5483" i="6" s="1"/>
  <c r="K5484" i="6"/>
  <c r="K5485" i="6"/>
  <c r="K5486" i="6"/>
  <c r="K5487" i="6"/>
  <c r="K5488" i="6"/>
  <c r="K5489" i="6"/>
  <c r="K5490" i="6"/>
  <c r="K5491" i="6"/>
  <c r="K5492" i="6"/>
  <c r="K5493" i="6"/>
  <c r="K5494" i="6"/>
  <c r="K5495" i="6"/>
  <c r="K5496" i="6"/>
  <c r="K5497" i="6"/>
  <c r="K5498" i="6"/>
  <c r="K5499" i="6"/>
  <c r="K5500" i="6"/>
  <c r="K5501" i="6"/>
  <c r="K5502" i="6"/>
  <c r="K5503" i="6"/>
  <c r="M5503" i="6" s="1"/>
  <c r="K5504" i="6"/>
  <c r="K5505" i="6"/>
  <c r="K5506" i="6"/>
  <c r="K5507" i="6"/>
  <c r="K5508" i="6"/>
  <c r="K5509" i="6"/>
  <c r="K5510" i="6"/>
  <c r="K5511" i="6"/>
  <c r="K5512" i="6"/>
  <c r="K5513" i="6"/>
  <c r="K5514" i="6"/>
  <c r="K5515" i="6"/>
  <c r="K5516" i="6"/>
  <c r="K5517" i="6"/>
  <c r="K5518" i="6"/>
  <c r="K5519" i="6"/>
  <c r="K5520" i="6"/>
  <c r="K5521" i="6"/>
  <c r="K5522" i="6"/>
  <c r="K5523" i="6"/>
  <c r="M5523" i="6" s="1"/>
  <c r="K5524" i="6"/>
  <c r="K5525" i="6"/>
  <c r="M5525" i="6" s="1"/>
  <c r="K5526" i="6"/>
  <c r="K5527" i="6"/>
  <c r="K5528" i="6"/>
  <c r="K5529" i="6"/>
  <c r="K5530" i="6"/>
  <c r="K5531" i="6"/>
  <c r="K5532" i="6"/>
  <c r="K5533" i="6"/>
  <c r="K5534" i="6"/>
  <c r="K5535" i="6"/>
  <c r="K5536" i="6"/>
  <c r="K5537" i="6"/>
  <c r="K5538" i="6"/>
  <c r="K5539" i="6"/>
  <c r="K5540" i="6"/>
  <c r="K5541" i="6"/>
  <c r="K5542" i="6"/>
  <c r="K5543" i="6"/>
  <c r="M5543" i="6" s="1"/>
  <c r="K5544" i="6"/>
  <c r="K5545" i="6"/>
  <c r="M5545" i="6" s="1"/>
  <c r="K5546" i="6"/>
  <c r="K5547" i="6"/>
  <c r="K5548" i="6"/>
  <c r="K5549" i="6"/>
  <c r="K5550" i="6"/>
  <c r="K5551" i="6"/>
  <c r="K5552" i="6"/>
  <c r="K5553" i="6"/>
  <c r="K5554" i="6"/>
  <c r="K5555" i="6"/>
  <c r="K5556" i="6"/>
  <c r="K5557" i="6"/>
  <c r="K5558" i="6"/>
  <c r="K5559" i="6"/>
  <c r="K5560" i="6"/>
  <c r="K5561" i="6"/>
  <c r="K5562" i="6"/>
  <c r="K5563" i="6"/>
  <c r="M5563" i="6" s="1"/>
  <c r="K5564" i="6"/>
  <c r="K5565" i="6"/>
  <c r="M5565" i="6" s="1"/>
  <c r="K5566" i="6"/>
  <c r="K5567" i="6"/>
  <c r="K5568" i="6"/>
  <c r="K5569" i="6"/>
  <c r="K5570" i="6"/>
  <c r="K5571" i="6"/>
  <c r="K5572" i="6"/>
  <c r="K5573" i="6"/>
  <c r="K5574" i="6"/>
  <c r="K5575" i="6"/>
  <c r="K5576" i="6"/>
  <c r="K5577" i="6"/>
  <c r="K5578" i="6"/>
  <c r="K5579" i="6"/>
  <c r="K5580" i="6"/>
  <c r="K5581" i="6"/>
  <c r="K5582" i="6"/>
  <c r="K5583" i="6"/>
  <c r="M5583" i="6" s="1"/>
  <c r="K5584" i="6"/>
  <c r="K5585" i="6"/>
  <c r="K5586" i="6"/>
  <c r="K5587" i="6"/>
  <c r="K5588" i="6"/>
  <c r="K5589" i="6"/>
  <c r="K5590" i="6"/>
  <c r="M5590" i="6" s="1"/>
  <c r="K5591" i="6"/>
  <c r="K5592" i="6"/>
  <c r="K5593" i="6"/>
  <c r="K5594" i="6"/>
  <c r="K5595" i="6"/>
  <c r="K5596" i="6"/>
  <c r="K5597" i="6"/>
  <c r="K5598" i="6"/>
  <c r="K5599" i="6"/>
  <c r="K5600" i="6"/>
  <c r="K5601" i="6"/>
  <c r="K5602" i="6"/>
  <c r="K5603" i="6"/>
  <c r="M5603" i="6" s="1"/>
  <c r="K5604" i="6"/>
  <c r="K5605" i="6"/>
  <c r="K5606" i="6"/>
  <c r="K5607" i="6"/>
  <c r="K5608" i="6"/>
  <c r="K5609" i="6"/>
  <c r="K5610" i="6"/>
  <c r="M5610" i="6" s="1"/>
  <c r="K5611" i="6"/>
  <c r="K5612" i="6"/>
  <c r="K5613" i="6"/>
  <c r="K5614" i="6"/>
  <c r="K5615" i="6"/>
  <c r="K5616" i="6"/>
  <c r="K5617" i="6"/>
  <c r="K5618" i="6"/>
  <c r="K5619" i="6"/>
  <c r="K5620" i="6"/>
  <c r="K5621" i="6"/>
  <c r="K5622" i="6"/>
  <c r="K5623" i="6"/>
  <c r="M5623" i="6" s="1"/>
  <c r="K5624" i="6"/>
  <c r="K5625" i="6"/>
  <c r="K5626" i="6"/>
  <c r="K5627" i="6"/>
  <c r="K5628" i="6"/>
  <c r="K5629" i="6"/>
  <c r="K5630" i="6"/>
  <c r="M5630" i="6" s="1"/>
  <c r="K5631" i="6"/>
  <c r="K5632" i="6"/>
  <c r="K5633" i="6"/>
  <c r="K5634" i="6"/>
  <c r="K5635" i="6"/>
  <c r="K5636" i="6"/>
  <c r="K5637" i="6"/>
  <c r="K5638" i="6"/>
  <c r="K5639" i="6"/>
  <c r="K5640" i="6"/>
  <c r="K5641" i="6"/>
  <c r="K5642" i="6"/>
  <c r="K5643" i="6"/>
  <c r="M5643" i="6" s="1"/>
  <c r="K5644" i="6"/>
  <c r="K5645" i="6"/>
  <c r="K5646" i="6"/>
  <c r="K5647" i="6"/>
  <c r="K5648" i="6"/>
  <c r="K5649" i="6"/>
  <c r="K5650" i="6"/>
  <c r="M5650" i="6" s="1"/>
  <c r="K5651" i="6"/>
  <c r="K5652" i="6"/>
  <c r="K5653" i="6"/>
  <c r="K5654" i="6"/>
  <c r="K5655" i="6"/>
  <c r="K5656" i="6"/>
  <c r="K5657" i="6"/>
  <c r="K5658" i="6"/>
  <c r="K5659" i="6"/>
  <c r="K5660" i="6"/>
  <c r="K5661" i="6"/>
  <c r="K5662" i="6"/>
  <c r="K5663" i="6"/>
  <c r="M5663" i="6" s="1"/>
  <c r="K5664" i="6"/>
  <c r="K5665" i="6"/>
  <c r="M5665" i="6" s="1"/>
  <c r="K5666" i="6"/>
  <c r="K5667" i="6"/>
  <c r="K5668" i="6"/>
  <c r="K5669" i="6"/>
  <c r="K5670" i="6"/>
  <c r="M5670" i="6" s="1"/>
  <c r="K5671" i="6"/>
  <c r="K5672" i="6"/>
  <c r="K5673" i="6"/>
  <c r="K5674" i="6"/>
  <c r="K5675" i="6"/>
  <c r="K5676" i="6"/>
  <c r="K5677" i="6"/>
  <c r="K5678" i="6"/>
  <c r="K5679" i="6"/>
  <c r="K5680" i="6"/>
  <c r="M5680" i="6" s="1"/>
  <c r="K5681" i="6"/>
  <c r="K5682" i="6"/>
  <c r="K5683" i="6"/>
  <c r="M5683" i="6" s="1"/>
  <c r="K5684" i="6"/>
  <c r="K5685" i="6"/>
  <c r="M5685" i="6" s="1"/>
  <c r="K5686" i="6"/>
  <c r="K5687" i="6"/>
  <c r="K5688" i="6"/>
  <c r="K5689" i="6"/>
  <c r="K5690" i="6"/>
  <c r="M5690" i="6" s="1"/>
  <c r="K5691" i="6"/>
  <c r="K5692" i="6"/>
  <c r="K5693" i="6"/>
  <c r="K5694" i="6"/>
  <c r="K5695" i="6"/>
  <c r="K5696" i="6"/>
  <c r="K5697" i="6"/>
  <c r="K5698" i="6"/>
  <c r="K5699" i="6"/>
  <c r="K5700" i="6"/>
  <c r="M5700" i="6" s="1"/>
  <c r="K5701" i="6"/>
  <c r="M5701" i="6" s="1"/>
  <c r="K5702" i="6"/>
  <c r="K5703" i="6"/>
  <c r="M5703" i="6" s="1"/>
  <c r="K5704" i="6"/>
  <c r="K5705" i="6"/>
  <c r="M5705" i="6" s="1"/>
  <c r="K5706" i="6"/>
  <c r="K5707" i="6"/>
  <c r="K5708" i="6"/>
  <c r="K5709" i="6"/>
  <c r="K5710" i="6"/>
  <c r="M5710" i="6" s="1"/>
  <c r="K5711" i="6"/>
  <c r="K5712" i="6"/>
  <c r="K5713" i="6"/>
  <c r="K5714" i="6"/>
  <c r="K5715" i="6"/>
  <c r="K5716" i="6"/>
  <c r="K5717" i="6"/>
  <c r="K5718" i="6"/>
  <c r="K5719" i="6"/>
  <c r="K5720" i="6"/>
  <c r="M5720" i="6" s="1"/>
  <c r="K5721" i="6"/>
  <c r="K5722" i="6"/>
  <c r="K5723" i="6"/>
  <c r="M5723" i="6" s="1"/>
  <c r="K5724" i="6"/>
  <c r="K5725" i="6"/>
  <c r="M5725" i="6" s="1"/>
  <c r="K5726" i="6"/>
  <c r="K5727" i="6"/>
  <c r="K5728" i="6"/>
  <c r="K5729" i="6"/>
  <c r="K5730" i="6"/>
  <c r="M5730" i="6" s="1"/>
  <c r="K5731" i="6"/>
  <c r="K5732" i="6"/>
  <c r="K5733" i="6"/>
  <c r="K5734" i="6"/>
  <c r="K5735" i="6"/>
  <c r="K5736" i="6"/>
  <c r="K5737" i="6"/>
  <c r="K5738" i="6"/>
  <c r="K5739" i="6"/>
  <c r="K5740" i="6"/>
  <c r="M5740" i="6" s="1"/>
  <c r="K5741" i="6"/>
  <c r="M5741" i="6" s="1"/>
  <c r="K5742" i="6"/>
  <c r="K5743" i="6"/>
  <c r="M5743" i="6" s="1"/>
  <c r="K5744" i="6"/>
  <c r="K5745" i="6"/>
  <c r="K5746" i="6"/>
  <c r="K5747" i="6"/>
  <c r="K5748" i="6"/>
  <c r="K5749" i="6"/>
  <c r="K5750" i="6"/>
  <c r="M5750" i="6" s="1"/>
  <c r="K5751" i="6"/>
  <c r="K5752" i="6"/>
  <c r="K5753" i="6"/>
  <c r="K5754" i="6"/>
  <c r="K5755" i="6"/>
  <c r="K5756" i="6"/>
  <c r="K5757" i="6"/>
  <c r="K5758" i="6"/>
  <c r="K5759" i="6"/>
  <c r="K5760" i="6"/>
  <c r="M5760" i="6" s="1"/>
  <c r="K5761" i="6"/>
  <c r="M5761" i="6" s="1"/>
  <c r="K5762" i="6"/>
  <c r="K5763" i="6"/>
  <c r="M5763" i="6" s="1"/>
  <c r="K5764" i="6"/>
  <c r="K5765" i="6"/>
  <c r="M5765" i="6" s="1"/>
  <c r="K5766" i="6"/>
  <c r="K5767" i="6"/>
  <c r="K5768" i="6"/>
  <c r="K5769" i="6"/>
  <c r="K5770" i="6"/>
  <c r="M5770" i="6" s="1"/>
  <c r="K5771" i="6"/>
  <c r="M5771" i="6" s="1"/>
  <c r="K5772" i="6"/>
  <c r="M5772" i="6" s="1"/>
  <c r="K5773" i="6"/>
  <c r="K5774" i="6"/>
  <c r="M5774" i="6" s="1"/>
  <c r="K5775" i="6"/>
  <c r="K5776" i="6"/>
  <c r="K5777" i="6"/>
  <c r="K5778" i="6"/>
  <c r="K5779" i="6"/>
  <c r="K5780" i="6"/>
  <c r="M5780" i="6" s="1"/>
  <c r="K5781" i="6"/>
  <c r="M5781" i="6" s="1"/>
  <c r="K5782" i="6"/>
  <c r="K5783" i="6"/>
  <c r="M5783" i="6" s="1"/>
  <c r="K5784" i="6"/>
  <c r="K5785" i="6"/>
  <c r="M5785" i="6" s="1"/>
  <c r="K5786" i="6"/>
  <c r="K5787" i="6"/>
  <c r="K5788" i="6"/>
  <c r="K5789" i="6"/>
  <c r="K5790" i="6"/>
  <c r="M5790" i="6" s="1"/>
  <c r="K5791" i="6"/>
  <c r="K5792" i="6"/>
  <c r="M5792" i="6" s="1"/>
  <c r="K5793" i="6"/>
  <c r="K5794" i="6"/>
  <c r="K5795" i="6"/>
  <c r="K5796" i="6"/>
  <c r="M5796" i="6" s="1"/>
  <c r="K5797" i="6"/>
  <c r="K5798" i="6"/>
  <c r="M5798" i="6" s="1"/>
  <c r="K5799" i="6"/>
  <c r="K5800" i="6"/>
  <c r="M5800" i="6" s="1"/>
  <c r="K5801" i="6"/>
  <c r="M5801" i="6" s="1"/>
  <c r="K5802" i="6"/>
  <c r="K5803" i="6"/>
  <c r="M5803" i="6" s="1"/>
  <c r="K5804" i="6"/>
  <c r="K5805" i="6"/>
  <c r="M5805" i="6" s="1"/>
  <c r="K5806" i="6"/>
  <c r="K5807" i="6"/>
  <c r="K5808" i="6"/>
  <c r="K5809" i="6"/>
  <c r="K5810" i="6"/>
  <c r="M5810" i="6" s="1"/>
  <c r="K5811" i="6"/>
  <c r="K5812" i="6"/>
  <c r="M5812" i="6" s="1"/>
  <c r="K5813" i="6"/>
  <c r="K5814" i="6"/>
  <c r="K5815" i="6"/>
  <c r="K5816" i="6"/>
  <c r="M5816" i="6" s="1"/>
  <c r="K5817" i="6"/>
  <c r="K5818" i="6"/>
  <c r="K5819" i="6"/>
  <c r="K5820" i="6"/>
  <c r="M5820" i="6" s="1"/>
  <c r="K5821" i="6"/>
  <c r="M5821" i="6" s="1"/>
  <c r="K5822" i="6"/>
  <c r="K5823" i="6"/>
  <c r="M5823" i="6" s="1"/>
  <c r="K5824" i="6"/>
  <c r="K5825" i="6"/>
  <c r="M5825" i="6" s="1"/>
  <c r="K5826" i="6"/>
  <c r="K5827" i="6"/>
  <c r="M5827" i="6" s="1"/>
  <c r="K5828" i="6"/>
  <c r="K5829" i="6"/>
  <c r="K5830" i="6"/>
  <c r="M5830" i="6" s="1"/>
  <c r="K5831" i="6"/>
  <c r="K5832" i="6"/>
  <c r="M5832" i="6" s="1"/>
  <c r="K5833" i="6"/>
  <c r="K5834" i="6"/>
  <c r="K5835" i="6"/>
  <c r="K5836" i="6"/>
  <c r="M5836" i="6" s="1"/>
  <c r="K5837" i="6"/>
  <c r="K5838" i="6"/>
  <c r="M5838" i="6" s="1"/>
  <c r="K5839" i="6"/>
  <c r="K5840" i="6"/>
  <c r="M5840" i="6" s="1"/>
  <c r="K5841" i="6"/>
  <c r="M5841" i="6" s="1"/>
  <c r="K5842" i="6"/>
  <c r="K5843" i="6"/>
  <c r="M5843" i="6" s="1"/>
  <c r="K5844" i="6"/>
  <c r="K5845" i="6"/>
  <c r="M5845" i="6" s="1"/>
  <c r="K5846" i="6"/>
  <c r="K5847" i="6"/>
  <c r="K5848" i="6"/>
  <c r="K5849" i="6"/>
  <c r="K5850" i="6"/>
  <c r="M5850" i="6" s="1"/>
  <c r="K5851" i="6"/>
  <c r="K5852" i="6"/>
  <c r="M5852" i="6" s="1"/>
  <c r="K5853" i="6"/>
  <c r="K5854" i="6"/>
  <c r="M5854" i="6" s="1"/>
  <c r="K5855" i="6"/>
  <c r="M5855" i="6" s="1"/>
  <c r="K5856" i="6"/>
  <c r="M5856" i="6" s="1"/>
  <c r="K5857" i="6"/>
  <c r="K5858" i="6"/>
  <c r="K5859" i="6"/>
  <c r="K5860" i="6"/>
  <c r="M5860" i="6" s="1"/>
  <c r="K5861" i="6"/>
  <c r="M5861" i="6" s="1"/>
  <c r="K5862" i="6"/>
  <c r="K5863" i="6"/>
  <c r="M5863" i="6" s="1"/>
  <c r="K5864" i="6"/>
  <c r="K5865" i="6"/>
  <c r="M5865" i="6" s="1"/>
  <c r="K5866" i="6"/>
  <c r="K5867" i="6"/>
  <c r="M5867" i="6" s="1"/>
  <c r="K5868" i="6"/>
  <c r="K5869" i="6"/>
  <c r="K5870" i="6"/>
  <c r="M5870" i="6" s="1"/>
  <c r="K5871" i="6"/>
  <c r="M5871" i="6" s="1"/>
  <c r="K5872" i="6"/>
  <c r="M5872" i="6" s="1"/>
  <c r="K5873" i="6"/>
  <c r="M5873" i="6" s="1"/>
  <c r="K5874" i="6"/>
  <c r="K5875" i="6"/>
  <c r="K5876" i="6"/>
  <c r="M5876" i="6" s="1"/>
  <c r="K5877" i="6"/>
  <c r="K5878" i="6"/>
  <c r="K5879" i="6"/>
  <c r="M5879" i="6" s="1"/>
  <c r="K5880" i="6"/>
  <c r="M5880" i="6" s="1"/>
  <c r="K5881" i="6"/>
  <c r="M5881" i="6" s="1"/>
  <c r="K5882" i="6"/>
  <c r="K5883" i="6"/>
  <c r="M5883" i="6" s="1"/>
  <c r="K5884" i="6"/>
  <c r="K5885" i="6"/>
  <c r="M5885" i="6" s="1"/>
  <c r="K5886" i="6"/>
  <c r="M5886" i="6" s="1"/>
  <c r="K5887" i="6"/>
  <c r="M5887" i="6" s="1"/>
  <c r="K5888" i="6"/>
  <c r="K5889" i="6"/>
  <c r="K5890" i="6"/>
  <c r="M5890" i="6" s="1"/>
  <c r="K5891" i="6"/>
  <c r="M5891" i="6" s="1"/>
  <c r="K5892" i="6"/>
  <c r="M5892" i="6" s="1"/>
  <c r="K5893" i="6"/>
  <c r="M5893" i="6" s="1"/>
  <c r="K5894" i="6"/>
  <c r="M5894" i="6" s="1"/>
  <c r="K5895" i="6"/>
  <c r="M5895" i="6" s="1"/>
  <c r="K5896" i="6"/>
  <c r="M5896" i="6" s="1"/>
  <c r="K5897" i="6"/>
  <c r="K5898" i="6"/>
  <c r="K5899" i="6"/>
  <c r="K5900" i="6"/>
  <c r="M5900" i="6" s="1"/>
  <c r="K5901" i="6"/>
  <c r="M5901" i="6" s="1"/>
  <c r="K5902" i="6"/>
  <c r="M5902" i="6" s="1"/>
  <c r="K5903" i="6"/>
  <c r="M5903" i="6" s="1"/>
  <c r="K5904" i="6"/>
  <c r="K5905" i="6"/>
  <c r="M5905" i="6" s="1"/>
  <c r="K5906" i="6"/>
  <c r="K5907" i="6"/>
  <c r="K5908" i="6"/>
  <c r="K5909" i="6"/>
  <c r="K5910" i="6"/>
  <c r="M5910" i="6" s="1"/>
  <c r="K5911" i="6"/>
  <c r="M5911" i="6" s="1"/>
  <c r="K5912" i="6"/>
  <c r="M5912" i="6" s="1"/>
  <c r="K5913" i="6"/>
  <c r="M5913" i="6" s="1"/>
  <c r="K5914" i="6"/>
  <c r="M5914" i="6" s="1"/>
  <c r="K5915" i="6"/>
  <c r="M5915" i="6" s="1"/>
  <c r="K5916" i="6"/>
  <c r="M5916" i="6" s="1"/>
  <c r="K5917" i="6"/>
  <c r="K5918" i="6"/>
  <c r="K5919" i="6"/>
  <c r="K5920" i="6"/>
  <c r="M5920" i="6" s="1"/>
  <c r="K5921" i="6"/>
  <c r="M5921" i="6" s="1"/>
  <c r="K5922" i="6"/>
  <c r="M5922" i="6" s="1"/>
  <c r="K5923" i="6"/>
  <c r="M5923" i="6" s="1"/>
  <c r="K5924" i="6"/>
  <c r="K5925" i="6"/>
  <c r="M5925" i="6" s="1"/>
  <c r="K5926" i="6"/>
  <c r="M5926" i="6" s="1"/>
  <c r="K5927" i="6"/>
  <c r="M5927" i="6" s="1"/>
  <c r="K5928" i="6"/>
  <c r="K5929" i="6"/>
  <c r="K5930" i="6"/>
  <c r="M5930" i="6" s="1"/>
  <c r="K5931" i="6"/>
  <c r="M5931" i="6" s="1"/>
  <c r="K5932" i="6"/>
  <c r="M5932" i="6" s="1"/>
  <c r="K5933" i="6"/>
  <c r="M5933" i="6" s="1"/>
  <c r="K5934" i="6"/>
  <c r="K5935" i="6"/>
  <c r="M5935" i="6" s="1"/>
  <c r="K5936" i="6"/>
  <c r="M5936" i="6" s="1"/>
  <c r="K5937" i="6"/>
  <c r="K5938" i="6"/>
  <c r="M5938" i="6" s="1"/>
  <c r="K5939" i="6"/>
  <c r="M5939" i="6" s="1"/>
  <c r="K5940" i="6"/>
  <c r="M5940" i="6" s="1"/>
  <c r="K5941" i="6"/>
  <c r="M5941" i="6" s="1"/>
  <c r="K5942" i="6"/>
  <c r="K5943" i="6"/>
  <c r="M5943" i="6" s="1"/>
  <c r="K5944" i="6"/>
  <c r="K5945" i="6"/>
  <c r="M5945" i="6" s="1"/>
  <c r="K5946" i="6"/>
  <c r="M5946" i="6" s="1"/>
  <c r="K5947" i="6"/>
  <c r="M5947" i="6" s="1"/>
  <c r="K5948" i="6"/>
  <c r="K5949" i="6"/>
  <c r="K5950" i="6"/>
  <c r="M5950" i="6" s="1"/>
  <c r="K5951" i="6"/>
  <c r="M5951" i="6" s="1"/>
  <c r="K5952" i="6"/>
  <c r="M5952" i="6" s="1"/>
  <c r="K5953" i="6"/>
  <c r="M5953" i="6" s="1"/>
  <c r="K5954" i="6"/>
  <c r="K5955" i="6"/>
  <c r="M5955" i="6" s="1"/>
  <c r="K5956" i="6"/>
  <c r="M5956" i="6" s="1"/>
  <c r="K5957" i="6"/>
  <c r="K5958" i="6"/>
  <c r="K5959" i="6"/>
  <c r="M5959" i="6" s="1"/>
  <c r="K5960" i="6"/>
  <c r="M5960" i="6" s="1"/>
  <c r="K5961" i="6"/>
  <c r="M5961" i="6" s="1"/>
  <c r="K5962" i="6"/>
  <c r="M5962" i="6" s="1"/>
  <c r="K5963" i="6"/>
  <c r="M5963" i="6" s="1"/>
  <c r="K5964" i="6"/>
  <c r="K5965" i="6"/>
  <c r="M5965" i="6" s="1"/>
  <c r="K5966" i="6"/>
  <c r="M5966" i="6" s="1"/>
  <c r="K5967" i="6"/>
  <c r="M5967" i="6" s="1"/>
  <c r="K5968" i="6"/>
  <c r="K5969" i="6"/>
  <c r="K5970" i="6"/>
  <c r="M5970" i="6" s="1"/>
  <c r="K5971" i="6"/>
  <c r="M5971" i="6" s="1"/>
  <c r="K5972" i="6"/>
  <c r="M5972" i="6" s="1"/>
  <c r="K5973" i="6"/>
  <c r="M5973" i="6" s="1"/>
  <c r="K5974" i="6"/>
  <c r="K5975" i="6"/>
  <c r="M5975" i="6" s="1"/>
  <c r="M2" i="6"/>
  <c r="M3" i="6"/>
  <c r="M4" i="6"/>
  <c r="M5" i="6"/>
  <c r="M6" i="6"/>
  <c r="M7" i="6"/>
  <c r="M8" i="6"/>
  <c r="M9" i="6"/>
  <c r="M10" i="6"/>
  <c r="M11" i="6"/>
  <c r="M12" i="6"/>
  <c r="M13" i="6"/>
  <c r="M14" i="6"/>
  <c r="M15" i="6"/>
  <c r="M16" i="6"/>
  <c r="M17" i="6"/>
  <c r="M18" i="6"/>
  <c r="M19" i="6"/>
  <c r="M20" i="6"/>
  <c r="M21" i="6"/>
  <c r="M22" i="6"/>
  <c r="M23" i="6"/>
  <c r="M24" i="6"/>
  <c r="M25" i="6"/>
  <c r="M26" i="6"/>
  <c r="M27" i="6"/>
  <c r="M28" i="6"/>
  <c r="M29" i="6"/>
  <c r="M30" i="6"/>
  <c r="M31" i="6"/>
  <c r="M32" i="6"/>
  <c r="M33" i="6"/>
  <c r="M34" i="6"/>
  <c r="M35" i="6"/>
  <c r="M36" i="6"/>
  <c r="M37" i="6"/>
  <c r="M38" i="6"/>
  <c r="M39" i="6"/>
  <c r="M40" i="6"/>
  <c r="M41" i="6"/>
  <c r="M42" i="6"/>
  <c r="M43" i="6"/>
  <c r="M44" i="6"/>
  <c r="M45" i="6"/>
  <c r="M46" i="6"/>
  <c r="M47" i="6"/>
  <c r="M48" i="6"/>
  <c r="M49" i="6"/>
  <c r="M50" i="6"/>
  <c r="M51" i="6"/>
  <c r="M52" i="6"/>
  <c r="M53" i="6"/>
  <c r="M54" i="6"/>
  <c r="M55" i="6"/>
  <c r="M56" i="6"/>
  <c r="M57" i="6"/>
  <c r="M58" i="6"/>
  <c r="M59" i="6"/>
  <c r="M60" i="6"/>
  <c r="M61" i="6"/>
  <c r="M62" i="6"/>
  <c r="M63" i="6"/>
  <c r="M64" i="6"/>
  <c r="M65" i="6"/>
  <c r="M66" i="6"/>
  <c r="M67" i="6"/>
  <c r="M68" i="6"/>
  <c r="M69" i="6"/>
  <c r="M70" i="6"/>
  <c r="M71" i="6"/>
  <c r="M72" i="6"/>
  <c r="M73" i="6"/>
  <c r="M74" i="6"/>
  <c r="M75" i="6"/>
  <c r="M76" i="6"/>
  <c r="M77" i="6"/>
  <c r="M78" i="6"/>
  <c r="M79" i="6"/>
  <c r="M80" i="6"/>
  <c r="M81" i="6"/>
  <c r="M82" i="6"/>
  <c r="M83" i="6"/>
  <c r="M84" i="6"/>
  <c r="M85" i="6"/>
  <c r="M86" i="6"/>
  <c r="M87" i="6"/>
  <c r="M88" i="6"/>
  <c r="M89" i="6"/>
  <c r="M90" i="6"/>
  <c r="M91" i="6"/>
  <c r="M92" i="6"/>
  <c r="M93" i="6"/>
  <c r="M94" i="6"/>
  <c r="M95" i="6"/>
  <c r="M96" i="6"/>
  <c r="M97" i="6"/>
  <c r="M98" i="6"/>
  <c r="M99" i="6"/>
  <c r="M100" i="6"/>
  <c r="M101" i="6"/>
  <c r="M102" i="6"/>
  <c r="M103" i="6"/>
  <c r="M104" i="6"/>
  <c r="M105" i="6"/>
  <c r="M106" i="6"/>
  <c r="M107" i="6"/>
  <c r="M108" i="6"/>
  <c r="M109" i="6"/>
  <c r="M110" i="6"/>
  <c r="M111" i="6"/>
  <c r="M112" i="6"/>
  <c r="M113" i="6"/>
  <c r="M114" i="6"/>
  <c r="M115" i="6"/>
  <c r="M116" i="6"/>
  <c r="M117" i="6"/>
  <c r="M118" i="6"/>
  <c r="M119" i="6"/>
  <c r="M120" i="6"/>
  <c r="M121" i="6"/>
  <c r="M122" i="6"/>
  <c r="M123" i="6"/>
  <c r="M124" i="6"/>
  <c r="M125" i="6"/>
  <c r="M126" i="6"/>
  <c r="M127" i="6"/>
  <c r="M128" i="6"/>
  <c r="M129" i="6"/>
  <c r="M130" i="6"/>
  <c r="M131" i="6"/>
  <c r="M132" i="6"/>
  <c r="M133" i="6"/>
  <c r="M134" i="6"/>
  <c r="M135" i="6"/>
  <c r="M136" i="6"/>
  <c r="M137" i="6"/>
  <c r="M138" i="6"/>
  <c r="M139" i="6"/>
  <c r="M140" i="6"/>
  <c r="M141" i="6"/>
  <c r="M142" i="6"/>
  <c r="M143" i="6"/>
  <c r="M144" i="6"/>
  <c r="M145" i="6"/>
  <c r="M146" i="6"/>
  <c r="M147" i="6"/>
  <c r="M148" i="6"/>
  <c r="M149" i="6"/>
  <c r="M150" i="6"/>
  <c r="M151" i="6"/>
  <c r="M152" i="6"/>
  <c r="M153" i="6"/>
  <c r="M154" i="6"/>
  <c r="M155" i="6"/>
  <c r="M156" i="6"/>
  <c r="M157" i="6"/>
  <c r="M158" i="6"/>
  <c r="M159" i="6"/>
  <c r="M160" i="6"/>
  <c r="M161" i="6"/>
  <c r="M162" i="6"/>
  <c r="M163" i="6"/>
  <c r="M164" i="6"/>
  <c r="M165" i="6"/>
  <c r="M166" i="6"/>
  <c r="M167" i="6"/>
  <c r="M168" i="6"/>
  <c r="M169" i="6"/>
  <c r="M170" i="6"/>
  <c r="M171" i="6"/>
  <c r="M172" i="6"/>
  <c r="M173" i="6"/>
  <c r="M174" i="6"/>
  <c r="M175" i="6"/>
  <c r="M176" i="6"/>
  <c r="M177" i="6"/>
  <c r="M178" i="6"/>
  <c r="M179" i="6"/>
  <c r="M180" i="6"/>
  <c r="M181" i="6"/>
  <c r="M182" i="6"/>
  <c r="M183" i="6"/>
  <c r="M184" i="6"/>
  <c r="M185" i="6"/>
  <c r="M186" i="6"/>
  <c r="M187" i="6"/>
  <c r="M188" i="6"/>
  <c r="M189" i="6"/>
  <c r="M190" i="6"/>
  <c r="M191" i="6"/>
  <c r="M192" i="6"/>
  <c r="M193" i="6"/>
  <c r="M194" i="6"/>
  <c r="M195" i="6"/>
  <c r="M196" i="6"/>
  <c r="M197" i="6"/>
  <c r="M198" i="6"/>
  <c r="M199" i="6"/>
  <c r="M200" i="6"/>
  <c r="M201" i="6"/>
  <c r="M202" i="6"/>
  <c r="M203" i="6"/>
  <c r="M204" i="6"/>
  <c r="M205" i="6"/>
  <c r="M206" i="6"/>
  <c r="M207" i="6"/>
  <c r="M208" i="6"/>
  <c r="M209" i="6"/>
  <c r="M210" i="6"/>
  <c r="M211" i="6"/>
  <c r="M212" i="6"/>
  <c r="M213" i="6"/>
  <c r="M214" i="6"/>
  <c r="M215" i="6"/>
  <c r="M216" i="6"/>
  <c r="M217" i="6"/>
  <c r="M218" i="6"/>
  <c r="M219" i="6"/>
  <c r="M220" i="6"/>
  <c r="M221" i="6"/>
  <c r="M222" i="6"/>
  <c r="M223" i="6"/>
  <c r="M224" i="6"/>
  <c r="M225" i="6"/>
  <c r="M226" i="6"/>
  <c r="M227" i="6"/>
  <c r="M228" i="6"/>
  <c r="M229" i="6"/>
  <c r="M230" i="6"/>
  <c r="M231" i="6"/>
  <c r="M232" i="6"/>
  <c r="M233" i="6"/>
  <c r="M234" i="6"/>
  <c r="M235" i="6"/>
  <c r="M236" i="6"/>
  <c r="M237" i="6"/>
  <c r="M238" i="6"/>
  <c r="M239" i="6"/>
  <c r="M240" i="6"/>
  <c r="M241" i="6"/>
  <c r="M242" i="6"/>
  <c r="M243" i="6"/>
  <c r="M244" i="6"/>
  <c r="M245" i="6"/>
  <c r="M246" i="6"/>
  <c r="M247" i="6"/>
  <c r="M248" i="6"/>
  <c r="M249" i="6"/>
  <c r="M250" i="6"/>
  <c r="M251" i="6"/>
  <c r="M252" i="6"/>
  <c r="M253" i="6"/>
  <c r="M254" i="6"/>
  <c r="M255" i="6"/>
  <c r="M256" i="6"/>
  <c r="M257" i="6"/>
  <c r="M258" i="6"/>
  <c r="M259" i="6"/>
  <c r="M260" i="6"/>
  <c r="M261" i="6"/>
  <c r="M262" i="6"/>
  <c r="M263" i="6"/>
  <c r="M264" i="6"/>
  <c r="M265" i="6"/>
  <c r="M266" i="6"/>
  <c r="M267" i="6"/>
  <c r="M268" i="6"/>
  <c r="M269" i="6"/>
  <c r="M270" i="6"/>
  <c r="M271" i="6"/>
  <c r="M272" i="6"/>
  <c r="M273" i="6"/>
  <c r="M274" i="6"/>
  <c r="M275" i="6"/>
  <c r="M276" i="6"/>
  <c r="M277" i="6"/>
  <c r="M278" i="6"/>
  <c r="M279" i="6"/>
  <c r="M280" i="6"/>
  <c r="M281" i="6"/>
  <c r="M282" i="6"/>
  <c r="M283" i="6"/>
  <c r="M284" i="6"/>
  <c r="M285" i="6"/>
  <c r="M286" i="6"/>
  <c r="M287" i="6"/>
  <c r="M288" i="6"/>
  <c r="M289" i="6"/>
  <c r="M290" i="6"/>
  <c r="M291" i="6"/>
  <c r="M292" i="6"/>
  <c r="M293" i="6"/>
  <c r="M294" i="6"/>
  <c r="M295" i="6"/>
  <c r="M296" i="6"/>
  <c r="M297" i="6"/>
  <c r="M298" i="6"/>
  <c r="M299" i="6"/>
  <c r="M300" i="6"/>
  <c r="M301" i="6"/>
  <c r="M302" i="6"/>
  <c r="M303" i="6"/>
  <c r="M304" i="6"/>
  <c r="M305" i="6"/>
  <c r="M306" i="6"/>
  <c r="M307" i="6"/>
  <c r="M308" i="6"/>
  <c r="M309" i="6"/>
  <c r="M310" i="6"/>
  <c r="M311" i="6"/>
  <c r="M312" i="6"/>
  <c r="M313" i="6"/>
  <c r="M314" i="6"/>
  <c r="M315" i="6"/>
  <c r="M316" i="6"/>
  <c r="M317" i="6"/>
  <c r="M318" i="6"/>
  <c r="M319" i="6"/>
  <c r="M320" i="6"/>
  <c r="M321" i="6"/>
  <c r="M322" i="6"/>
  <c r="M323" i="6"/>
  <c r="M324" i="6"/>
  <c r="M325" i="6"/>
  <c r="M326" i="6"/>
  <c r="M327" i="6"/>
  <c r="M328" i="6"/>
  <c r="M329" i="6"/>
  <c r="M330" i="6"/>
  <c r="M331" i="6"/>
  <c r="M332" i="6"/>
  <c r="M333" i="6"/>
  <c r="M334" i="6"/>
  <c r="M335" i="6"/>
  <c r="M336" i="6"/>
  <c r="M337" i="6"/>
  <c r="M338" i="6"/>
  <c r="M339" i="6"/>
  <c r="M340" i="6"/>
  <c r="M341" i="6"/>
  <c r="M342" i="6"/>
  <c r="M343" i="6"/>
  <c r="M344" i="6"/>
  <c r="M345" i="6"/>
  <c r="M346" i="6"/>
  <c r="M347" i="6"/>
  <c r="M348" i="6"/>
  <c r="M349" i="6"/>
  <c r="M350" i="6"/>
  <c r="M351" i="6"/>
  <c r="M352" i="6"/>
  <c r="M353" i="6"/>
  <c r="M354" i="6"/>
  <c r="M355" i="6"/>
  <c r="M356" i="6"/>
  <c r="M357" i="6"/>
  <c r="M358" i="6"/>
  <c r="M359" i="6"/>
  <c r="M360" i="6"/>
  <c r="M361" i="6"/>
  <c r="M362" i="6"/>
  <c r="M363" i="6"/>
  <c r="M364" i="6"/>
  <c r="M365" i="6"/>
  <c r="M366" i="6"/>
  <c r="M367" i="6"/>
  <c r="M368" i="6"/>
  <c r="M369" i="6"/>
  <c r="M370" i="6"/>
  <c r="M371" i="6"/>
  <c r="M372" i="6"/>
  <c r="M373" i="6"/>
  <c r="M374" i="6"/>
  <c r="M375" i="6"/>
  <c r="M376" i="6"/>
  <c r="M377" i="6"/>
  <c r="M378" i="6"/>
  <c r="M379" i="6"/>
  <c r="M380" i="6"/>
  <c r="M381" i="6"/>
  <c r="M382" i="6"/>
  <c r="M383" i="6"/>
  <c r="M384" i="6"/>
  <c r="M385" i="6"/>
  <c r="M386" i="6"/>
  <c r="M387" i="6"/>
  <c r="M388" i="6"/>
  <c r="M389" i="6"/>
  <c r="M390" i="6"/>
  <c r="M391" i="6"/>
  <c r="M392" i="6"/>
  <c r="M393" i="6"/>
  <c r="M394" i="6"/>
  <c r="M395" i="6"/>
  <c r="M396" i="6"/>
  <c r="M397" i="6"/>
  <c r="M398" i="6"/>
  <c r="M399" i="6"/>
  <c r="M400" i="6"/>
  <c r="M401" i="6"/>
  <c r="M402" i="6"/>
  <c r="M403" i="6"/>
  <c r="M404" i="6"/>
  <c r="M405" i="6"/>
  <c r="M406" i="6"/>
  <c r="M407" i="6"/>
  <c r="M408" i="6"/>
  <c r="M409" i="6"/>
  <c r="M410" i="6"/>
  <c r="M411" i="6"/>
  <c r="M412" i="6"/>
  <c r="M413" i="6"/>
  <c r="M414" i="6"/>
  <c r="M415" i="6"/>
  <c r="M416" i="6"/>
  <c r="M417" i="6"/>
  <c r="M418" i="6"/>
  <c r="M419" i="6"/>
  <c r="M420" i="6"/>
  <c r="M421" i="6"/>
  <c r="M422" i="6"/>
  <c r="M423" i="6"/>
  <c r="M424" i="6"/>
  <c r="M425" i="6"/>
  <c r="M426" i="6"/>
  <c r="M427" i="6"/>
  <c r="M428" i="6"/>
  <c r="M429" i="6"/>
  <c r="M430" i="6"/>
  <c r="M431" i="6"/>
  <c r="M432" i="6"/>
  <c r="M433" i="6"/>
  <c r="M434" i="6"/>
  <c r="M435" i="6"/>
  <c r="M436" i="6"/>
  <c r="M437" i="6"/>
  <c r="M438" i="6"/>
  <c r="M439" i="6"/>
  <c r="M440" i="6"/>
  <c r="M441" i="6"/>
  <c r="M442" i="6"/>
  <c r="M443" i="6"/>
  <c r="M444" i="6"/>
  <c r="M445" i="6"/>
  <c r="M446" i="6"/>
  <c r="M447" i="6"/>
  <c r="M448" i="6"/>
  <c r="M449" i="6"/>
  <c r="M450" i="6"/>
  <c r="M451" i="6"/>
  <c r="M452" i="6"/>
  <c r="M453" i="6"/>
  <c r="M454" i="6"/>
  <c r="M455" i="6"/>
  <c r="M456" i="6"/>
  <c r="M457" i="6"/>
  <c r="M458" i="6"/>
  <c r="M459" i="6"/>
  <c r="M460" i="6"/>
  <c r="M461" i="6"/>
  <c r="M462" i="6"/>
  <c r="M463" i="6"/>
  <c r="M464" i="6"/>
  <c r="M465" i="6"/>
  <c r="M466" i="6"/>
  <c r="M467" i="6"/>
  <c r="M468" i="6"/>
  <c r="M469" i="6"/>
  <c r="M470" i="6"/>
  <c r="M471" i="6"/>
  <c r="M472" i="6"/>
  <c r="M473" i="6"/>
  <c r="M474" i="6"/>
  <c r="M475" i="6"/>
  <c r="M476" i="6"/>
  <c r="M477" i="6"/>
  <c r="M478" i="6"/>
  <c r="M479" i="6"/>
  <c r="M480" i="6"/>
  <c r="M481" i="6"/>
  <c r="M482" i="6"/>
  <c r="M483" i="6"/>
  <c r="M484" i="6"/>
  <c r="M485" i="6"/>
  <c r="M486" i="6"/>
  <c r="M487" i="6"/>
  <c r="M488" i="6"/>
  <c r="M489" i="6"/>
  <c r="M490" i="6"/>
  <c r="M491" i="6"/>
  <c r="M492" i="6"/>
  <c r="M493" i="6"/>
  <c r="M494" i="6"/>
  <c r="M495" i="6"/>
  <c r="M496" i="6"/>
  <c r="M497" i="6"/>
  <c r="M498" i="6"/>
  <c r="M499" i="6"/>
  <c r="M500" i="6"/>
  <c r="M501" i="6"/>
  <c r="M502" i="6"/>
  <c r="M503" i="6"/>
  <c r="M504" i="6"/>
  <c r="M505" i="6"/>
  <c r="M506" i="6"/>
  <c r="M507" i="6"/>
  <c r="M508" i="6"/>
  <c r="M509" i="6"/>
  <c r="M510" i="6"/>
  <c r="M511" i="6"/>
  <c r="M512" i="6"/>
  <c r="M513" i="6"/>
  <c r="M514" i="6"/>
  <c r="M515" i="6"/>
  <c r="M516" i="6"/>
  <c r="M517" i="6"/>
  <c r="M518" i="6"/>
  <c r="M519" i="6"/>
  <c r="M520" i="6"/>
  <c r="M521" i="6"/>
  <c r="M522" i="6"/>
  <c r="M523" i="6"/>
  <c r="M524" i="6"/>
  <c r="M525" i="6"/>
  <c r="M526" i="6"/>
  <c r="M527" i="6"/>
  <c r="M528" i="6"/>
  <c r="M529" i="6"/>
  <c r="M530" i="6"/>
  <c r="M531" i="6"/>
  <c r="M532" i="6"/>
  <c r="M533" i="6"/>
  <c r="M534" i="6"/>
  <c r="M535" i="6"/>
  <c r="M536" i="6"/>
  <c r="M537" i="6"/>
  <c r="M538" i="6"/>
  <c r="M539" i="6"/>
  <c r="M540" i="6"/>
  <c r="M541" i="6"/>
  <c r="M542" i="6"/>
  <c r="M543" i="6"/>
  <c r="M544" i="6"/>
  <c r="M545" i="6"/>
  <c r="M546" i="6"/>
  <c r="M547" i="6"/>
  <c r="M548" i="6"/>
  <c r="M549" i="6"/>
  <c r="M550" i="6"/>
  <c r="M551" i="6"/>
  <c r="M552" i="6"/>
  <c r="M553" i="6"/>
  <c r="M554" i="6"/>
  <c r="M555" i="6"/>
  <c r="M556" i="6"/>
  <c r="M557" i="6"/>
  <c r="M558" i="6"/>
  <c r="M559" i="6"/>
  <c r="M560" i="6"/>
  <c r="M561" i="6"/>
  <c r="M562" i="6"/>
  <c r="M563" i="6"/>
  <c r="M564" i="6"/>
  <c r="M565" i="6"/>
  <c r="M566" i="6"/>
  <c r="M567" i="6"/>
  <c r="M568" i="6"/>
  <c r="M569" i="6"/>
  <c r="M570" i="6"/>
  <c r="M571" i="6"/>
  <c r="M572" i="6"/>
  <c r="M573" i="6"/>
  <c r="M574" i="6"/>
  <c r="M575" i="6"/>
  <c r="M576" i="6"/>
  <c r="M577" i="6"/>
  <c r="M578" i="6"/>
  <c r="M579" i="6"/>
  <c r="M580" i="6"/>
  <c r="M581" i="6"/>
  <c r="M582" i="6"/>
  <c r="M583" i="6"/>
  <c r="M584" i="6"/>
  <c r="M585" i="6"/>
  <c r="M586" i="6"/>
  <c r="M587" i="6"/>
  <c r="M588" i="6"/>
  <c r="M589" i="6"/>
  <c r="M590" i="6"/>
  <c r="M591" i="6"/>
  <c r="M592" i="6"/>
  <c r="M593" i="6"/>
  <c r="M594" i="6"/>
  <c r="M595" i="6"/>
  <c r="M596" i="6"/>
  <c r="M597" i="6"/>
  <c r="M598" i="6"/>
  <c r="M599" i="6"/>
  <c r="M600" i="6"/>
  <c r="M601" i="6"/>
  <c r="M602" i="6"/>
  <c r="M603" i="6"/>
  <c r="M604" i="6"/>
  <c r="M605" i="6"/>
  <c r="M606" i="6"/>
  <c r="M607" i="6"/>
  <c r="M608" i="6"/>
  <c r="M609" i="6"/>
  <c r="M610" i="6"/>
  <c r="M611" i="6"/>
  <c r="M612" i="6"/>
  <c r="M613" i="6"/>
  <c r="M614" i="6"/>
  <c r="M615" i="6"/>
  <c r="M616" i="6"/>
  <c r="M617" i="6"/>
  <c r="M618" i="6"/>
  <c r="M619" i="6"/>
  <c r="M620" i="6"/>
  <c r="M621" i="6"/>
  <c r="M622" i="6"/>
  <c r="M623" i="6"/>
  <c r="M624" i="6"/>
  <c r="M625" i="6"/>
  <c r="M626" i="6"/>
  <c r="M627" i="6"/>
  <c r="M628" i="6"/>
  <c r="M629" i="6"/>
  <c r="M630" i="6"/>
  <c r="M631" i="6"/>
  <c r="M632" i="6"/>
  <c r="M633" i="6"/>
  <c r="M634" i="6"/>
  <c r="M635" i="6"/>
  <c r="M636" i="6"/>
  <c r="M637" i="6"/>
  <c r="M638" i="6"/>
  <c r="M639" i="6"/>
  <c r="M640" i="6"/>
  <c r="M641" i="6"/>
  <c r="M642" i="6"/>
  <c r="M643" i="6"/>
  <c r="M644" i="6"/>
  <c r="M645" i="6"/>
  <c r="M646" i="6"/>
  <c r="M647" i="6"/>
  <c r="M648" i="6"/>
  <c r="M649" i="6"/>
  <c r="M650" i="6"/>
  <c r="M651" i="6"/>
  <c r="M652" i="6"/>
  <c r="M653" i="6"/>
  <c r="M654" i="6"/>
  <c r="M655" i="6"/>
  <c r="M656" i="6"/>
  <c r="M657" i="6"/>
  <c r="M658" i="6"/>
  <c r="M659" i="6"/>
  <c r="M660" i="6"/>
  <c r="M661" i="6"/>
  <c r="M662" i="6"/>
  <c r="M663" i="6"/>
  <c r="M664" i="6"/>
  <c r="M665" i="6"/>
  <c r="M666" i="6"/>
  <c r="M667" i="6"/>
  <c r="M668" i="6"/>
  <c r="M669" i="6"/>
  <c r="M670" i="6"/>
  <c r="M671" i="6"/>
  <c r="M672" i="6"/>
  <c r="M673" i="6"/>
  <c r="M674" i="6"/>
  <c r="M675" i="6"/>
  <c r="M676" i="6"/>
  <c r="M677" i="6"/>
  <c r="M678" i="6"/>
  <c r="M679" i="6"/>
  <c r="M680" i="6"/>
  <c r="M681" i="6"/>
  <c r="M682" i="6"/>
  <c r="M683" i="6"/>
  <c r="M684" i="6"/>
  <c r="M685" i="6"/>
  <c r="M686" i="6"/>
  <c r="M687" i="6"/>
  <c r="M688" i="6"/>
  <c r="M689" i="6"/>
  <c r="M690" i="6"/>
  <c r="M691" i="6"/>
  <c r="M692" i="6"/>
  <c r="M693" i="6"/>
  <c r="M694" i="6"/>
  <c r="M695" i="6"/>
  <c r="M696" i="6"/>
  <c r="M697" i="6"/>
  <c r="M698" i="6"/>
  <c r="M699" i="6"/>
  <c r="M700" i="6"/>
  <c r="M701" i="6"/>
  <c r="M702" i="6"/>
  <c r="M703" i="6"/>
  <c r="M704" i="6"/>
  <c r="M705" i="6"/>
  <c r="M706" i="6"/>
  <c r="M707" i="6"/>
  <c r="M708" i="6"/>
  <c r="M709" i="6"/>
  <c r="M710" i="6"/>
  <c r="M711" i="6"/>
  <c r="M712" i="6"/>
  <c r="M713" i="6"/>
  <c r="M714" i="6"/>
  <c r="M715" i="6"/>
  <c r="M716" i="6"/>
  <c r="M717" i="6"/>
  <c r="M718" i="6"/>
  <c r="M719" i="6"/>
  <c r="M720" i="6"/>
  <c r="M721" i="6"/>
  <c r="M722" i="6"/>
  <c r="M723" i="6"/>
  <c r="M724" i="6"/>
  <c r="M725" i="6"/>
  <c r="M726" i="6"/>
  <c r="M727" i="6"/>
  <c r="M728" i="6"/>
  <c r="M729" i="6"/>
  <c r="M730" i="6"/>
  <c r="M731" i="6"/>
  <c r="M732" i="6"/>
  <c r="M733" i="6"/>
  <c r="M734" i="6"/>
  <c r="M735" i="6"/>
  <c r="M736" i="6"/>
  <c r="M737" i="6"/>
  <c r="M738" i="6"/>
  <c r="M739" i="6"/>
  <c r="M740" i="6"/>
  <c r="M741" i="6"/>
  <c r="M742" i="6"/>
  <c r="M743" i="6"/>
  <c r="M744" i="6"/>
  <c r="M745" i="6"/>
  <c r="M746" i="6"/>
  <c r="M747" i="6"/>
  <c r="M748" i="6"/>
  <c r="M749" i="6"/>
  <c r="M750" i="6"/>
  <c r="M751" i="6"/>
  <c r="M752" i="6"/>
  <c r="M753" i="6"/>
  <c r="M754" i="6"/>
  <c r="M755" i="6"/>
  <c r="M756" i="6"/>
  <c r="M757" i="6"/>
  <c r="M758" i="6"/>
  <c r="M759" i="6"/>
  <c r="M760" i="6"/>
  <c r="M761" i="6"/>
  <c r="M762" i="6"/>
  <c r="M763" i="6"/>
  <c r="M764" i="6"/>
  <c r="M765" i="6"/>
  <c r="M766" i="6"/>
  <c r="M767" i="6"/>
  <c r="M768" i="6"/>
  <c r="M769" i="6"/>
  <c r="M770" i="6"/>
  <c r="M771" i="6"/>
  <c r="M772" i="6"/>
  <c r="M773" i="6"/>
  <c r="M774" i="6"/>
  <c r="M775" i="6"/>
  <c r="M776" i="6"/>
  <c r="M777" i="6"/>
  <c r="M778" i="6"/>
  <c r="M779" i="6"/>
  <c r="M780" i="6"/>
  <c r="M781" i="6"/>
  <c r="M782" i="6"/>
  <c r="M783" i="6"/>
  <c r="M784" i="6"/>
  <c r="M785" i="6"/>
  <c r="M786" i="6"/>
  <c r="M787" i="6"/>
  <c r="M788" i="6"/>
  <c r="M789" i="6"/>
  <c r="M790" i="6"/>
  <c r="M791" i="6"/>
  <c r="M792" i="6"/>
  <c r="M793" i="6"/>
  <c r="M794" i="6"/>
  <c r="M795" i="6"/>
  <c r="M796" i="6"/>
  <c r="M797" i="6"/>
  <c r="M798" i="6"/>
  <c r="M799" i="6"/>
  <c r="M800" i="6"/>
  <c r="M801" i="6"/>
  <c r="M802" i="6"/>
  <c r="M803" i="6"/>
  <c r="M804" i="6"/>
  <c r="M805" i="6"/>
  <c r="M806" i="6"/>
  <c r="M807" i="6"/>
  <c r="M808" i="6"/>
  <c r="M809" i="6"/>
  <c r="M810" i="6"/>
  <c r="M811" i="6"/>
  <c r="M812" i="6"/>
  <c r="M813" i="6"/>
  <c r="M814" i="6"/>
  <c r="M815" i="6"/>
  <c r="M816" i="6"/>
  <c r="M817" i="6"/>
  <c r="M818" i="6"/>
  <c r="M819" i="6"/>
  <c r="M820" i="6"/>
  <c r="M821" i="6"/>
  <c r="M822" i="6"/>
  <c r="M823" i="6"/>
  <c r="M824" i="6"/>
  <c r="M825" i="6"/>
  <c r="M826" i="6"/>
  <c r="M827" i="6"/>
  <c r="M828" i="6"/>
  <c r="M829" i="6"/>
  <c r="M830" i="6"/>
  <c r="M831" i="6"/>
  <c r="M832" i="6"/>
  <c r="M833" i="6"/>
  <c r="M834" i="6"/>
  <c r="M835" i="6"/>
  <c r="M836" i="6"/>
  <c r="M837" i="6"/>
  <c r="M838" i="6"/>
  <c r="M839" i="6"/>
  <c r="M840" i="6"/>
  <c r="M841" i="6"/>
  <c r="M842" i="6"/>
  <c r="M843" i="6"/>
  <c r="M844" i="6"/>
  <c r="M845" i="6"/>
  <c r="M846" i="6"/>
  <c r="M847" i="6"/>
  <c r="M848" i="6"/>
  <c r="M849" i="6"/>
  <c r="M850" i="6"/>
  <c r="M851" i="6"/>
  <c r="M852" i="6"/>
  <c r="M853" i="6"/>
  <c r="M854" i="6"/>
  <c r="M855" i="6"/>
  <c r="M856" i="6"/>
  <c r="M857" i="6"/>
  <c r="M858" i="6"/>
  <c r="M859" i="6"/>
  <c r="M860" i="6"/>
  <c r="M861" i="6"/>
  <c r="M862" i="6"/>
  <c r="M863" i="6"/>
  <c r="M864" i="6"/>
  <c r="M865" i="6"/>
  <c r="M866" i="6"/>
  <c r="M867" i="6"/>
  <c r="M868" i="6"/>
  <c r="M869" i="6"/>
  <c r="M870" i="6"/>
  <c r="M871" i="6"/>
  <c r="M872" i="6"/>
  <c r="M873" i="6"/>
  <c r="M874" i="6"/>
  <c r="M875" i="6"/>
  <c r="M876" i="6"/>
  <c r="M877" i="6"/>
  <c r="M878" i="6"/>
  <c r="M879" i="6"/>
  <c r="M880" i="6"/>
  <c r="M881" i="6"/>
  <c r="M882" i="6"/>
  <c r="M883" i="6"/>
  <c r="M884" i="6"/>
  <c r="M885" i="6"/>
  <c r="M886" i="6"/>
  <c r="M887" i="6"/>
  <c r="M888" i="6"/>
  <c r="M889" i="6"/>
  <c r="M890" i="6"/>
  <c r="M891" i="6"/>
  <c r="M892" i="6"/>
  <c r="M893" i="6"/>
  <c r="M894" i="6"/>
  <c r="M895" i="6"/>
  <c r="M896" i="6"/>
  <c r="M897" i="6"/>
  <c r="M898" i="6"/>
  <c r="M899" i="6"/>
  <c r="M900" i="6"/>
  <c r="M901" i="6"/>
  <c r="M902" i="6"/>
  <c r="M903" i="6"/>
  <c r="M904" i="6"/>
  <c r="M905" i="6"/>
  <c r="M906" i="6"/>
  <c r="M907" i="6"/>
  <c r="M908" i="6"/>
  <c r="M909" i="6"/>
  <c r="M910" i="6"/>
  <c r="M911" i="6"/>
  <c r="M912" i="6"/>
  <c r="M913" i="6"/>
  <c r="M914" i="6"/>
  <c r="M915" i="6"/>
  <c r="M916" i="6"/>
  <c r="M917" i="6"/>
  <c r="M918" i="6"/>
  <c r="M919" i="6"/>
  <c r="M920" i="6"/>
  <c r="M921" i="6"/>
  <c r="M922" i="6"/>
  <c r="M923" i="6"/>
  <c r="M924" i="6"/>
  <c r="M925" i="6"/>
  <c r="M926" i="6"/>
  <c r="M927" i="6"/>
  <c r="M928" i="6"/>
  <c r="M929" i="6"/>
  <c r="M930" i="6"/>
  <c r="M931" i="6"/>
  <c r="M932" i="6"/>
  <c r="M933" i="6"/>
  <c r="M934" i="6"/>
  <c r="M935" i="6"/>
  <c r="M936" i="6"/>
  <c r="M937" i="6"/>
  <c r="M938" i="6"/>
  <c r="M939" i="6"/>
  <c r="M940" i="6"/>
  <c r="M941" i="6"/>
  <c r="M942" i="6"/>
  <c r="M943" i="6"/>
  <c r="M944" i="6"/>
  <c r="M945" i="6"/>
  <c r="M946" i="6"/>
  <c r="M947" i="6"/>
  <c r="M948" i="6"/>
  <c r="M949" i="6"/>
  <c r="M950" i="6"/>
  <c r="M951" i="6"/>
  <c r="M952" i="6"/>
  <c r="M953" i="6"/>
  <c r="M954" i="6"/>
  <c r="M955" i="6"/>
  <c r="M956" i="6"/>
  <c r="M957" i="6"/>
  <c r="M958" i="6"/>
  <c r="M959" i="6"/>
  <c r="M960" i="6"/>
  <c r="M961" i="6"/>
  <c r="M962" i="6"/>
  <c r="M963" i="6"/>
  <c r="M964" i="6"/>
  <c r="M965" i="6"/>
  <c r="M966" i="6"/>
  <c r="M967" i="6"/>
  <c r="M968" i="6"/>
  <c r="M969" i="6"/>
  <c r="M970" i="6"/>
  <c r="M971" i="6"/>
  <c r="M972" i="6"/>
  <c r="M973" i="6"/>
  <c r="M974" i="6"/>
  <c r="M975" i="6"/>
  <c r="M976" i="6"/>
  <c r="M977" i="6"/>
  <c r="M978" i="6"/>
  <c r="M979" i="6"/>
  <c r="M980" i="6"/>
  <c r="M981" i="6"/>
  <c r="M982" i="6"/>
  <c r="M983" i="6"/>
  <c r="M984" i="6"/>
  <c r="M985" i="6"/>
  <c r="M986" i="6"/>
  <c r="M987" i="6"/>
  <c r="M988" i="6"/>
  <c r="M989" i="6"/>
  <c r="M990" i="6"/>
  <c r="M991" i="6"/>
  <c r="M992" i="6"/>
  <c r="M993" i="6"/>
  <c r="M994" i="6"/>
  <c r="M995" i="6"/>
  <c r="M996" i="6"/>
  <c r="M997" i="6"/>
  <c r="M998" i="6"/>
  <c r="M999" i="6"/>
  <c r="M1000" i="6"/>
  <c r="M1001" i="6"/>
  <c r="M1002" i="6"/>
  <c r="M1003" i="6"/>
  <c r="M1004" i="6"/>
  <c r="M1005" i="6"/>
  <c r="M1006" i="6"/>
  <c r="M1007" i="6"/>
  <c r="M1008" i="6"/>
  <c r="M1009" i="6"/>
  <c r="M1010" i="6"/>
  <c r="M1011" i="6"/>
  <c r="M1012" i="6"/>
  <c r="M1013" i="6"/>
  <c r="M1014" i="6"/>
  <c r="M1015" i="6"/>
  <c r="M1016" i="6"/>
  <c r="M1017" i="6"/>
  <c r="M1018" i="6"/>
  <c r="M1019" i="6"/>
  <c r="M1020" i="6"/>
  <c r="M1021" i="6"/>
  <c r="M1022" i="6"/>
  <c r="M1023" i="6"/>
  <c r="M1024" i="6"/>
  <c r="M1025" i="6"/>
  <c r="M1026" i="6"/>
  <c r="M1027" i="6"/>
  <c r="M1028" i="6"/>
  <c r="M1029" i="6"/>
  <c r="M1030" i="6"/>
  <c r="M1031" i="6"/>
  <c r="M1032" i="6"/>
  <c r="M1033" i="6"/>
  <c r="M1034" i="6"/>
  <c r="M1035" i="6"/>
  <c r="M1036" i="6"/>
  <c r="M1037" i="6"/>
  <c r="M1038" i="6"/>
  <c r="M1039" i="6"/>
  <c r="M1040" i="6"/>
  <c r="M1041" i="6"/>
  <c r="M1042" i="6"/>
  <c r="M1043" i="6"/>
  <c r="M1044" i="6"/>
  <c r="M1045" i="6"/>
  <c r="M1046" i="6"/>
  <c r="M1047" i="6"/>
  <c r="M1048" i="6"/>
  <c r="M1049" i="6"/>
  <c r="M1050" i="6"/>
  <c r="M1051" i="6"/>
  <c r="M1052" i="6"/>
  <c r="M1053" i="6"/>
  <c r="M1054" i="6"/>
  <c r="M1055" i="6"/>
  <c r="M1056" i="6"/>
  <c r="M1057" i="6"/>
  <c r="M1058" i="6"/>
  <c r="M1059" i="6"/>
  <c r="M1060" i="6"/>
  <c r="M1061" i="6"/>
  <c r="M1062" i="6"/>
  <c r="M1063" i="6"/>
  <c r="M1064" i="6"/>
  <c r="M1065" i="6"/>
  <c r="M1066" i="6"/>
  <c r="M1067" i="6"/>
  <c r="M1068" i="6"/>
  <c r="M1069" i="6"/>
  <c r="M1070" i="6"/>
  <c r="M1071" i="6"/>
  <c r="M1072" i="6"/>
  <c r="M1073" i="6"/>
  <c r="M1074" i="6"/>
  <c r="M1075" i="6"/>
  <c r="M1076" i="6"/>
  <c r="M1077" i="6"/>
  <c r="M1078" i="6"/>
  <c r="M1079" i="6"/>
  <c r="M1080" i="6"/>
  <c r="M1081" i="6"/>
  <c r="M1082" i="6"/>
  <c r="M1083" i="6"/>
  <c r="M1084" i="6"/>
  <c r="M1085" i="6"/>
  <c r="M1086" i="6"/>
  <c r="M1087" i="6"/>
  <c r="M1088" i="6"/>
  <c r="M1089" i="6"/>
  <c r="M1090" i="6"/>
  <c r="M1091" i="6"/>
  <c r="M1092" i="6"/>
  <c r="M1093" i="6"/>
  <c r="M1094" i="6"/>
  <c r="M1095" i="6"/>
  <c r="M1096" i="6"/>
  <c r="M1097" i="6"/>
  <c r="M1098" i="6"/>
  <c r="M1099" i="6"/>
  <c r="M1100" i="6"/>
  <c r="M1101" i="6"/>
  <c r="M1102" i="6"/>
  <c r="M1103" i="6"/>
  <c r="M1104" i="6"/>
  <c r="M1105" i="6"/>
  <c r="M1106" i="6"/>
  <c r="M1107" i="6"/>
  <c r="M1108" i="6"/>
  <c r="M1109" i="6"/>
  <c r="M1110" i="6"/>
  <c r="M1111" i="6"/>
  <c r="M1112" i="6"/>
  <c r="M1113" i="6"/>
  <c r="M1114" i="6"/>
  <c r="M1115" i="6"/>
  <c r="M1116" i="6"/>
  <c r="M1117" i="6"/>
  <c r="M1118" i="6"/>
  <c r="M1119" i="6"/>
  <c r="M1120" i="6"/>
  <c r="M1121" i="6"/>
  <c r="M1122" i="6"/>
  <c r="M1123" i="6"/>
  <c r="M1124" i="6"/>
  <c r="M1125" i="6"/>
  <c r="M1126" i="6"/>
  <c r="M1127" i="6"/>
  <c r="M1128" i="6"/>
  <c r="M1129" i="6"/>
  <c r="M1130" i="6"/>
  <c r="M1131" i="6"/>
  <c r="M1132" i="6"/>
  <c r="M1133" i="6"/>
  <c r="M1134" i="6"/>
  <c r="M1135" i="6"/>
  <c r="M1136" i="6"/>
  <c r="M1137" i="6"/>
  <c r="M1138" i="6"/>
  <c r="M1139" i="6"/>
  <c r="M1140" i="6"/>
  <c r="M1141" i="6"/>
  <c r="M1142" i="6"/>
  <c r="M1143" i="6"/>
  <c r="M1144" i="6"/>
  <c r="M1145" i="6"/>
  <c r="M1146" i="6"/>
  <c r="M1147" i="6"/>
  <c r="M1148" i="6"/>
  <c r="M1149" i="6"/>
  <c r="M1150" i="6"/>
  <c r="M1151" i="6"/>
  <c r="M1152" i="6"/>
  <c r="M1153" i="6"/>
  <c r="M1154" i="6"/>
  <c r="M1155" i="6"/>
  <c r="M1156" i="6"/>
  <c r="M1157" i="6"/>
  <c r="M1158" i="6"/>
  <c r="M1159" i="6"/>
  <c r="M1160" i="6"/>
  <c r="M1161" i="6"/>
  <c r="M1162" i="6"/>
  <c r="M1163" i="6"/>
  <c r="M1164" i="6"/>
  <c r="M1165" i="6"/>
  <c r="M1166" i="6"/>
  <c r="M1167" i="6"/>
  <c r="M1168" i="6"/>
  <c r="M1169" i="6"/>
  <c r="M1170" i="6"/>
  <c r="M1171" i="6"/>
  <c r="M1172" i="6"/>
  <c r="M1173" i="6"/>
  <c r="M1174" i="6"/>
  <c r="M1175" i="6"/>
  <c r="M1176" i="6"/>
  <c r="M1177" i="6"/>
  <c r="M1178" i="6"/>
  <c r="M1179" i="6"/>
  <c r="M1180" i="6"/>
  <c r="M1181" i="6"/>
  <c r="M1182" i="6"/>
  <c r="M1183" i="6"/>
  <c r="M1184" i="6"/>
  <c r="M1185" i="6"/>
  <c r="M1186" i="6"/>
  <c r="M1187" i="6"/>
  <c r="M1188" i="6"/>
  <c r="M1189" i="6"/>
  <c r="M1190" i="6"/>
  <c r="M1191" i="6"/>
  <c r="M1192" i="6"/>
  <c r="M1193" i="6"/>
  <c r="M1194" i="6"/>
  <c r="M1195" i="6"/>
  <c r="M1196" i="6"/>
  <c r="M1197" i="6"/>
  <c r="M1198" i="6"/>
  <c r="M1199" i="6"/>
  <c r="M1200" i="6"/>
  <c r="M1201" i="6"/>
  <c r="M1202" i="6"/>
  <c r="M1203" i="6"/>
  <c r="M1204" i="6"/>
  <c r="M1205" i="6"/>
  <c r="M1206" i="6"/>
  <c r="M1207" i="6"/>
  <c r="M1208" i="6"/>
  <c r="M1209" i="6"/>
  <c r="M1210" i="6"/>
  <c r="M1211" i="6"/>
  <c r="M1212" i="6"/>
  <c r="M1213" i="6"/>
  <c r="M1214" i="6"/>
  <c r="M1215" i="6"/>
  <c r="M1216" i="6"/>
  <c r="M1217" i="6"/>
  <c r="M1218" i="6"/>
  <c r="M1219" i="6"/>
  <c r="M1220" i="6"/>
  <c r="M1221" i="6"/>
  <c r="M1222" i="6"/>
  <c r="M1223" i="6"/>
  <c r="M1224" i="6"/>
  <c r="M1225" i="6"/>
  <c r="M1226" i="6"/>
  <c r="M1227" i="6"/>
  <c r="M1228" i="6"/>
  <c r="M1229" i="6"/>
  <c r="M1230" i="6"/>
  <c r="M1231" i="6"/>
  <c r="M1232" i="6"/>
  <c r="M1233" i="6"/>
  <c r="M1234" i="6"/>
  <c r="M1235" i="6"/>
  <c r="M1236" i="6"/>
  <c r="M1237" i="6"/>
  <c r="M1238" i="6"/>
  <c r="M1239" i="6"/>
  <c r="M1240" i="6"/>
  <c r="M1241" i="6"/>
  <c r="M1242" i="6"/>
  <c r="M1243" i="6"/>
  <c r="M1244" i="6"/>
  <c r="M1245" i="6"/>
  <c r="M1246" i="6"/>
  <c r="M1247" i="6"/>
  <c r="M1248" i="6"/>
  <c r="M1249" i="6"/>
  <c r="M1250" i="6"/>
  <c r="M1251" i="6"/>
  <c r="M1252" i="6"/>
  <c r="M1253" i="6"/>
  <c r="M1254" i="6"/>
  <c r="M1255" i="6"/>
  <c r="M1256" i="6"/>
  <c r="M1257" i="6"/>
  <c r="M1258" i="6"/>
  <c r="M1259" i="6"/>
  <c r="M1260" i="6"/>
  <c r="M1261" i="6"/>
  <c r="M1262" i="6"/>
  <c r="M1263" i="6"/>
  <c r="M1264" i="6"/>
  <c r="M1265" i="6"/>
  <c r="M1266" i="6"/>
  <c r="M1267" i="6"/>
  <c r="M1268" i="6"/>
  <c r="M1269" i="6"/>
  <c r="M1270" i="6"/>
  <c r="M1271" i="6"/>
  <c r="M1272" i="6"/>
  <c r="M1273" i="6"/>
  <c r="M1274" i="6"/>
  <c r="M1275" i="6"/>
  <c r="M1276" i="6"/>
  <c r="M1277" i="6"/>
  <c r="M1278" i="6"/>
  <c r="M1279" i="6"/>
  <c r="M1280" i="6"/>
  <c r="M1281" i="6"/>
  <c r="M1282" i="6"/>
  <c r="M1283" i="6"/>
  <c r="M1284" i="6"/>
  <c r="M1285" i="6"/>
  <c r="M1286" i="6"/>
  <c r="M1287" i="6"/>
  <c r="M1288" i="6"/>
  <c r="M1289" i="6"/>
  <c r="M1290" i="6"/>
  <c r="M1291" i="6"/>
  <c r="M1292" i="6"/>
  <c r="M1293" i="6"/>
  <c r="M1294" i="6"/>
  <c r="M1295" i="6"/>
  <c r="M1296" i="6"/>
  <c r="M1297" i="6"/>
  <c r="M1298" i="6"/>
  <c r="M1299" i="6"/>
  <c r="M1300" i="6"/>
  <c r="M1301" i="6"/>
  <c r="M1302" i="6"/>
  <c r="M1303" i="6"/>
  <c r="M1304" i="6"/>
  <c r="M1305" i="6"/>
  <c r="M1306" i="6"/>
  <c r="M1307" i="6"/>
  <c r="M1308" i="6"/>
  <c r="M1309" i="6"/>
  <c r="M1310" i="6"/>
  <c r="M1311" i="6"/>
  <c r="M1312" i="6"/>
  <c r="M1313" i="6"/>
  <c r="M1314" i="6"/>
  <c r="M1315" i="6"/>
  <c r="M1316" i="6"/>
  <c r="M1317" i="6"/>
  <c r="M1318" i="6"/>
  <c r="M1319" i="6"/>
  <c r="M1320" i="6"/>
  <c r="M1321" i="6"/>
  <c r="M1322" i="6"/>
  <c r="M1323" i="6"/>
  <c r="M1324" i="6"/>
  <c r="M1325" i="6"/>
  <c r="M1326" i="6"/>
  <c r="M1327" i="6"/>
  <c r="M1328" i="6"/>
  <c r="M1329" i="6"/>
  <c r="M1330" i="6"/>
  <c r="M1331" i="6"/>
  <c r="M1332" i="6"/>
  <c r="M1333" i="6"/>
  <c r="M1334" i="6"/>
  <c r="M1335" i="6"/>
  <c r="M1336" i="6"/>
  <c r="M1337" i="6"/>
  <c r="M1338" i="6"/>
  <c r="M1339" i="6"/>
  <c r="M1340" i="6"/>
  <c r="M1341" i="6"/>
  <c r="M1342" i="6"/>
  <c r="M1343" i="6"/>
  <c r="M1344" i="6"/>
  <c r="M1345" i="6"/>
  <c r="M1346" i="6"/>
  <c r="M1347" i="6"/>
  <c r="M1348" i="6"/>
  <c r="M1349" i="6"/>
  <c r="M1350" i="6"/>
  <c r="M1351" i="6"/>
  <c r="M1352" i="6"/>
  <c r="M1353" i="6"/>
  <c r="M1354" i="6"/>
  <c r="M1355" i="6"/>
  <c r="M1356" i="6"/>
  <c r="M1357" i="6"/>
  <c r="M1358" i="6"/>
  <c r="M1359" i="6"/>
  <c r="M1360" i="6"/>
  <c r="M1361" i="6"/>
  <c r="M1362" i="6"/>
  <c r="M1363" i="6"/>
  <c r="M1364" i="6"/>
  <c r="M1365" i="6"/>
  <c r="M1366" i="6"/>
  <c r="M1367" i="6"/>
  <c r="M1368" i="6"/>
  <c r="M1369" i="6"/>
  <c r="M1370" i="6"/>
  <c r="M1371" i="6"/>
  <c r="M1372" i="6"/>
  <c r="M1373" i="6"/>
  <c r="M1374" i="6"/>
  <c r="M1375" i="6"/>
  <c r="M1376" i="6"/>
  <c r="M1377" i="6"/>
  <c r="M1378" i="6"/>
  <c r="M1379" i="6"/>
  <c r="M1380" i="6"/>
  <c r="M1381" i="6"/>
  <c r="M1382" i="6"/>
  <c r="M1383" i="6"/>
  <c r="M1384" i="6"/>
  <c r="M1385" i="6"/>
  <c r="M1386" i="6"/>
  <c r="M1387" i="6"/>
  <c r="M1388" i="6"/>
  <c r="M1389" i="6"/>
  <c r="M1390" i="6"/>
  <c r="M1391" i="6"/>
  <c r="M1392" i="6"/>
  <c r="M1393" i="6"/>
  <c r="M1394" i="6"/>
  <c r="M1395" i="6"/>
  <c r="M1396" i="6"/>
  <c r="M1397" i="6"/>
  <c r="M1398" i="6"/>
  <c r="M1399" i="6"/>
  <c r="M1400" i="6"/>
  <c r="M1401" i="6"/>
  <c r="M1402" i="6"/>
  <c r="M1403" i="6"/>
  <c r="M1404" i="6"/>
  <c r="M1405" i="6"/>
  <c r="M1406" i="6"/>
  <c r="M1407" i="6"/>
  <c r="M1408" i="6"/>
  <c r="M1409" i="6"/>
  <c r="M1410" i="6"/>
  <c r="M1411" i="6"/>
  <c r="M1412" i="6"/>
  <c r="M1413" i="6"/>
  <c r="M1414" i="6"/>
  <c r="M1415" i="6"/>
  <c r="M1416" i="6"/>
  <c r="M1417" i="6"/>
  <c r="M1418" i="6"/>
  <c r="M1419" i="6"/>
  <c r="M1420" i="6"/>
  <c r="M1421" i="6"/>
  <c r="M1422" i="6"/>
  <c r="M1423" i="6"/>
  <c r="M1424" i="6"/>
  <c r="M1425" i="6"/>
  <c r="M1426" i="6"/>
  <c r="M1427" i="6"/>
  <c r="M1428" i="6"/>
  <c r="M1429" i="6"/>
  <c r="M1430" i="6"/>
  <c r="M1431" i="6"/>
  <c r="M1432" i="6"/>
  <c r="M1433" i="6"/>
  <c r="M1434" i="6"/>
  <c r="M1435" i="6"/>
  <c r="M1436" i="6"/>
  <c r="M1437" i="6"/>
  <c r="M1438" i="6"/>
  <c r="M1439" i="6"/>
  <c r="M1440" i="6"/>
  <c r="M1441" i="6"/>
  <c r="M1442" i="6"/>
  <c r="M1443" i="6"/>
  <c r="M1444" i="6"/>
  <c r="M1445" i="6"/>
  <c r="M1446" i="6"/>
  <c r="M1447" i="6"/>
  <c r="M1448" i="6"/>
  <c r="M1449" i="6"/>
  <c r="M1450" i="6"/>
  <c r="M1451" i="6"/>
  <c r="M1452" i="6"/>
  <c r="M1453" i="6"/>
  <c r="M1454" i="6"/>
  <c r="M1455" i="6"/>
  <c r="M1456" i="6"/>
  <c r="M1457" i="6"/>
  <c r="M1458" i="6"/>
  <c r="M1459" i="6"/>
  <c r="M1460" i="6"/>
  <c r="M1461" i="6"/>
  <c r="M1462" i="6"/>
  <c r="M1463" i="6"/>
  <c r="M1464" i="6"/>
  <c r="M1465" i="6"/>
  <c r="M1466" i="6"/>
  <c r="M1467" i="6"/>
  <c r="M1468" i="6"/>
  <c r="M1469" i="6"/>
  <c r="M1470" i="6"/>
  <c r="M1471" i="6"/>
  <c r="M1472" i="6"/>
  <c r="M1473" i="6"/>
  <c r="M1474" i="6"/>
  <c r="M1475" i="6"/>
  <c r="M1476" i="6"/>
  <c r="M1477" i="6"/>
  <c r="M1478" i="6"/>
  <c r="M1479" i="6"/>
  <c r="M1480" i="6"/>
  <c r="M1481" i="6"/>
  <c r="M1482" i="6"/>
  <c r="M1483" i="6"/>
  <c r="M1484" i="6"/>
  <c r="M1485" i="6"/>
  <c r="M1486" i="6"/>
  <c r="M1487" i="6"/>
  <c r="M1488" i="6"/>
  <c r="M1489" i="6"/>
  <c r="M1490" i="6"/>
  <c r="M1491" i="6"/>
  <c r="M1492" i="6"/>
  <c r="M1493" i="6"/>
  <c r="M1494" i="6"/>
  <c r="M1495" i="6"/>
  <c r="M1496" i="6"/>
  <c r="M1497" i="6"/>
  <c r="M1498" i="6"/>
  <c r="M1499" i="6"/>
  <c r="M1500" i="6"/>
  <c r="M1501" i="6"/>
  <c r="M1502" i="6"/>
  <c r="M1503" i="6"/>
  <c r="M1504" i="6"/>
  <c r="M1505" i="6"/>
  <c r="M1506" i="6"/>
  <c r="M1507" i="6"/>
  <c r="M1508" i="6"/>
  <c r="M1509" i="6"/>
  <c r="M1510" i="6"/>
  <c r="M1511" i="6"/>
  <c r="M1512" i="6"/>
  <c r="M1513" i="6"/>
  <c r="M1514" i="6"/>
  <c r="M1515" i="6"/>
  <c r="M1516" i="6"/>
  <c r="M1517" i="6"/>
  <c r="M1518" i="6"/>
  <c r="M1519" i="6"/>
  <c r="M1520" i="6"/>
  <c r="M1521" i="6"/>
  <c r="M1522" i="6"/>
  <c r="M1523" i="6"/>
  <c r="M1524" i="6"/>
  <c r="M1525" i="6"/>
  <c r="M1526" i="6"/>
  <c r="M1527" i="6"/>
  <c r="M1528" i="6"/>
  <c r="M1529" i="6"/>
  <c r="M1530" i="6"/>
  <c r="M1531" i="6"/>
  <c r="M1532" i="6"/>
  <c r="M1533" i="6"/>
  <c r="M1534" i="6"/>
  <c r="M1535" i="6"/>
  <c r="M1536" i="6"/>
  <c r="M1537" i="6"/>
  <c r="M1538" i="6"/>
  <c r="M1539" i="6"/>
  <c r="M1540" i="6"/>
  <c r="M1541" i="6"/>
  <c r="M1542" i="6"/>
  <c r="M1543" i="6"/>
  <c r="M1544" i="6"/>
  <c r="M1545" i="6"/>
  <c r="M1546" i="6"/>
  <c r="M1547" i="6"/>
  <c r="M1548" i="6"/>
  <c r="M1549" i="6"/>
  <c r="M1550" i="6"/>
  <c r="M1551" i="6"/>
  <c r="M1552" i="6"/>
  <c r="M1553" i="6"/>
  <c r="M1554" i="6"/>
  <c r="M1555" i="6"/>
  <c r="M1556" i="6"/>
  <c r="M1557" i="6"/>
  <c r="M1558" i="6"/>
  <c r="M1559" i="6"/>
  <c r="M1560" i="6"/>
  <c r="M1561" i="6"/>
  <c r="M1562" i="6"/>
  <c r="M1563" i="6"/>
  <c r="M1564" i="6"/>
  <c r="M1565" i="6"/>
  <c r="M1566" i="6"/>
  <c r="M1567" i="6"/>
  <c r="M1568" i="6"/>
  <c r="M1569" i="6"/>
  <c r="M1570" i="6"/>
  <c r="M1571" i="6"/>
  <c r="M1572" i="6"/>
  <c r="M1573" i="6"/>
  <c r="M1574" i="6"/>
  <c r="M1575" i="6"/>
  <c r="M1576" i="6"/>
  <c r="M1577" i="6"/>
  <c r="M1578" i="6"/>
  <c r="M1579" i="6"/>
  <c r="M1580" i="6"/>
  <c r="M1581" i="6"/>
  <c r="M1582" i="6"/>
  <c r="M1583" i="6"/>
  <c r="M1584" i="6"/>
  <c r="M1585" i="6"/>
  <c r="M1586" i="6"/>
  <c r="M1587" i="6"/>
  <c r="M1588" i="6"/>
  <c r="M1589" i="6"/>
  <c r="M1590" i="6"/>
  <c r="M1591" i="6"/>
  <c r="M1592" i="6"/>
  <c r="M1593" i="6"/>
  <c r="M1594" i="6"/>
  <c r="M1595" i="6"/>
  <c r="M1596" i="6"/>
  <c r="M1597" i="6"/>
  <c r="M1598" i="6"/>
  <c r="M1599" i="6"/>
  <c r="M1600" i="6"/>
  <c r="M1601" i="6"/>
  <c r="M1602" i="6"/>
  <c r="M1603" i="6"/>
  <c r="M1604" i="6"/>
  <c r="M1605" i="6"/>
  <c r="M1606" i="6"/>
  <c r="M1607" i="6"/>
  <c r="M1608" i="6"/>
  <c r="M1609" i="6"/>
  <c r="M1610" i="6"/>
  <c r="M1611" i="6"/>
  <c r="M1612" i="6"/>
  <c r="M1613" i="6"/>
  <c r="M1614" i="6"/>
  <c r="M1615" i="6"/>
  <c r="M1616" i="6"/>
  <c r="M1617" i="6"/>
  <c r="M1618" i="6"/>
  <c r="M1619" i="6"/>
  <c r="M1620" i="6"/>
  <c r="M1621" i="6"/>
  <c r="M1622" i="6"/>
  <c r="M1623" i="6"/>
  <c r="M1624" i="6"/>
  <c r="M1625" i="6"/>
  <c r="M1626" i="6"/>
  <c r="M1627" i="6"/>
  <c r="M1628" i="6"/>
  <c r="M1629" i="6"/>
  <c r="M1630" i="6"/>
  <c r="M1631" i="6"/>
  <c r="M1632" i="6"/>
  <c r="M1633" i="6"/>
  <c r="M1634" i="6"/>
  <c r="M1635" i="6"/>
  <c r="M1636" i="6"/>
  <c r="M1637" i="6"/>
  <c r="M1638" i="6"/>
  <c r="M1639" i="6"/>
  <c r="M1640" i="6"/>
  <c r="M1641" i="6"/>
  <c r="M1642" i="6"/>
  <c r="M1643" i="6"/>
  <c r="M1644" i="6"/>
  <c r="M1645" i="6"/>
  <c r="M1646" i="6"/>
  <c r="M1647" i="6"/>
  <c r="M1648" i="6"/>
  <c r="M1649" i="6"/>
  <c r="M1650" i="6"/>
  <c r="M1651" i="6"/>
  <c r="M1652" i="6"/>
  <c r="M1653" i="6"/>
  <c r="M1654" i="6"/>
  <c r="M1655" i="6"/>
  <c r="M1656" i="6"/>
  <c r="M1657" i="6"/>
  <c r="M1658" i="6"/>
  <c r="M1659" i="6"/>
  <c r="M1660" i="6"/>
  <c r="M1661" i="6"/>
  <c r="M1662" i="6"/>
  <c r="M1663" i="6"/>
  <c r="M1664" i="6"/>
  <c r="M1665" i="6"/>
  <c r="M1666" i="6"/>
  <c r="M1667" i="6"/>
  <c r="M1668" i="6"/>
  <c r="M1669" i="6"/>
  <c r="M1670" i="6"/>
  <c r="M1671" i="6"/>
  <c r="M1672" i="6"/>
  <c r="M1673" i="6"/>
  <c r="M1674" i="6"/>
  <c r="M1675" i="6"/>
  <c r="M1676" i="6"/>
  <c r="M1677" i="6"/>
  <c r="M1678" i="6"/>
  <c r="M1679" i="6"/>
  <c r="M1680" i="6"/>
  <c r="M1681" i="6"/>
  <c r="M1682" i="6"/>
  <c r="M1683" i="6"/>
  <c r="M1684" i="6"/>
  <c r="M1685" i="6"/>
  <c r="M1686" i="6"/>
  <c r="M1687" i="6"/>
  <c r="M1688" i="6"/>
  <c r="M1689" i="6"/>
  <c r="M1690" i="6"/>
  <c r="M1691" i="6"/>
  <c r="M1692" i="6"/>
  <c r="M1693" i="6"/>
  <c r="M1694" i="6"/>
  <c r="M1695" i="6"/>
  <c r="M1696" i="6"/>
  <c r="M1697" i="6"/>
  <c r="M1698" i="6"/>
  <c r="M1699" i="6"/>
  <c r="M1700" i="6"/>
  <c r="M1701" i="6"/>
  <c r="M1702" i="6"/>
  <c r="M1703" i="6"/>
  <c r="M1704" i="6"/>
  <c r="M1705" i="6"/>
  <c r="M1706" i="6"/>
  <c r="M1707" i="6"/>
  <c r="M1708" i="6"/>
  <c r="M1709" i="6"/>
  <c r="M1710" i="6"/>
  <c r="M1711" i="6"/>
  <c r="M1712" i="6"/>
  <c r="M1713" i="6"/>
  <c r="M1714" i="6"/>
  <c r="M1715" i="6"/>
  <c r="M1716" i="6"/>
  <c r="M1717" i="6"/>
  <c r="M1718" i="6"/>
  <c r="M1719" i="6"/>
  <c r="M1720" i="6"/>
  <c r="M1721" i="6"/>
  <c r="M1722" i="6"/>
  <c r="M1723" i="6"/>
  <c r="M1724" i="6"/>
  <c r="M1725" i="6"/>
  <c r="M1726" i="6"/>
  <c r="M1727" i="6"/>
  <c r="M1728" i="6"/>
  <c r="M1729" i="6"/>
  <c r="M1730" i="6"/>
  <c r="M1731" i="6"/>
  <c r="M1732" i="6"/>
  <c r="M1733" i="6"/>
  <c r="M1734" i="6"/>
  <c r="M1735" i="6"/>
  <c r="M1736" i="6"/>
  <c r="M1737" i="6"/>
  <c r="M1738" i="6"/>
  <c r="M1739" i="6"/>
  <c r="M1740" i="6"/>
  <c r="M1741" i="6"/>
  <c r="M1742" i="6"/>
  <c r="M1743" i="6"/>
  <c r="M1744" i="6"/>
  <c r="M1745" i="6"/>
  <c r="M1746" i="6"/>
  <c r="M1747" i="6"/>
  <c r="M1748" i="6"/>
  <c r="M1749" i="6"/>
  <c r="M1750" i="6"/>
  <c r="M1751" i="6"/>
  <c r="M1752" i="6"/>
  <c r="M1753" i="6"/>
  <c r="M1754" i="6"/>
  <c r="M1755" i="6"/>
  <c r="M1756" i="6"/>
  <c r="M1757" i="6"/>
  <c r="M1758" i="6"/>
  <c r="M1759" i="6"/>
  <c r="M1760" i="6"/>
  <c r="M1761" i="6"/>
  <c r="M1762" i="6"/>
  <c r="M1763" i="6"/>
  <c r="M1764" i="6"/>
  <c r="M1765" i="6"/>
  <c r="M1766" i="6"/>
  <c r="M1767" i="6"/>
  <c r="M1768" i="6"/>
  <c r="M1769" i="6"/>
  <c r="M1770" i="6"/>
  <c r="M1771" i="6"/>
  <c r="M1772" i="6"/>
  <c r="M1773" i="6"/>
  <c r="M1774" i="6"/>
  <c r="M1775" i="6"/>
  <c r="M1776" i="6"/>
  <c r="M1777" i="6"/>
  <c r="M1778" i="6"/>
  <c r="M1779" i="6"/>
  <c r="M1780" i="6"/>
  <c r="M1781" i="6"/>
  <c r="M1782" i="6"/>
  <c r="M1783" i="6"/>
  <c r="M1784" i="6"/>
  <c r="M1785" i="6"/>
  <c r="M1786" i="6"/>
  <c r="M1787" i="6"/>
  <c r="M1788" i="6"/>
  <c r="M1789" i="6"/>
  <c r="M1790" i="6"/>
  <c r="M1791" i="6"/>
  <c r="M1792" i="6"/>
  <c r="M1793" i="6"/>
  <c r="M1794" i="6"/>
  <c r="M1795" i="6"/>
  <c r="M1796" i="6"/>
  <c r="M1797" i="6"/>
  <c r="M1798" i="6"/>
  <c r="M1799" i="6"/>
  <c r="M1800" i="6"/>
  <c r="M1801" i="6"/>
  <c r="M1802" i="6"/>
  <c r="M1803" i="6"/>
  <c r="M1804" i="6"/>
  <c r="M1805" i="6"/>
  <c r="M1806" i="6"/>
  <c r="M1807" i="6"/>
  <c r="M1808" i="6"/>
  <c r="M1809" i="6"/>
  <c r="M1810" i="6"/>
  <c r="M1811" i="6"/>
  <c r="M1812" i="6"/>
  <c r="M1813" i="6"/>
  <c r="M1814" i="6"/>
  <c r="M1815" i="6"/>
  <c r="M1816" i="6"/>
  <c r="M1817" i="6"/>
  <c r="M1818" i="6"/>
  <c r="M1819" i="6"/>
  <c r="M1820" i="6"/>
  <c r="M1821" i="6"/>
  <c r="M1822" i="6"/>
  <c r="M1823" i="6"/>
  <c r="M1824" i="6"/>
  <c r="M1825" i="6"/>
  <c r="M1826" i="6"/>
  <c r="M1827" i="6"/>
  <c r="M1828" i="6"/>
  <c r="M1829" i="6"/>
  <c r="M1830" i="6"/>
  <c r="M1831" i="6"/>
  <c r="M1832" i="6"/>
  <c r="M1833" i="6"/>
  <c r="M1834" i="6"/>
  <c r="M1835" i="6"/>
  <c r="M1836" i="6"/>
  <c r="M1837" i="6"/>
  <c r="M1838" i="6"/>
  <c r="M1839" i="6"/>
  <c r="M1840" i="6"/>
  <c r="M1841" i="6"/>
  <c r="M1842" i="6"/>
  <c r="M1843" i="6"/>
  <c r="M1844" i="6"/>
  <c r="M1845" i="6"/>
  <c r="M1846" i="6"/>
  <c r="M1847" i="6"/>
  <c r="M1848" i="6"/>
  <c r="M1849" i="6"/>
  <c r="M1850" i="6"/>
  <c r="M1851" i="6"/>
  <c r="M1852" i="6"/>
  <c r="M1853" i="6"/>
  <c r="M1854" i="6"/>
  <c r="M1855" i="6"/>
  <c r="M1856" i="6"/>
  <c r="M1857" i="6"/>
  <c r="M1858" i="6"/>
  <c r="M1859" i="6"/>
  <c r="M1860" i="6"/>
  <c r="M1861" i="6"/>
  <c r="M1862" i="6"/>
  <c r="M1863" i="6"/>
  <c r="M1864" i="6"/>
  <c r="M1865" i="6"/>
  <c r="M1866" i="6"/>
  <c r="M1867" i="6"/>
  <c r="M1868" i="6"/>
  <c r="M1869" i="6"/>
  <c r="M1870" i="6"/>
  <c r="M1871" i="6"/>
  <c r="M1872" i="6"/>
  <c r="M1873" i="6"/>
  <c r="M1874" i="6"/>
  <c r="M1875" i="6"/>
  <c r="M1876" i="6"/>
  <c r="M1877" i="6"/>
  <c r="M1878" i="6"/>
  <c r="M1879" i="6"/>
  <c r="M1880" i="6"/>
  <c r="M1881" i="6"/>
  <c r="M1882" i="6"/>
  <c r="M1883" i="6"/>
  <c r="M1884" i="6"/>
  <c r="M1885" i="6"/>
  <c r="M1886" i="6"/>
  <c r="M1887" i="6"/>
  <c r="M1888" i="6"/>
  <c r="M1889" i="6"/>
  <c r="M1890" i="6"/>
  <c r="M1891" i="6"/>
  <c r="M1892" i="6"/>
  <c r="M1893" i="6"/>
  <c r="M1894" i="6"/>
  <c r="M1895" i="6"/>
  <c r="M1896" i="6"/>
  <c r="M1897" i="6"/>
  <c r="M1898" i="6"/>
  <c r="M1899" i="6"/>
  <c r="M1900" i="6"/>
  <c r="M1901" i="6"/>
  <c r="M1902" i="6"/>
  <c r="M1903" i="6"/>
  <c r="M1904" i="6"/>
  <c r="M1905" i="6"/>
  <c r="M1906" i="6"/>
  <c r="M1907" i="6"/>
  <c r="M1908" i="6"/>
  <c r="M1909" i="6"/>
  <c r="M1910" i="6"/>
  <c r="M1911" i="6"/>
  <c r="M1912" i="6"/>
  <c r="M1913" i="6"/>
  <c r="M1914" i="6"/>
  <c r="M1915" i="6"/>
  <c r="M1916" i="6"/>
  <c r="M1917" i="6"/>
  <c r="M1918" i="6"/>
  <c r="M1919" i="6"/>
  <c r="M1920" i="6"/>
  <c r="M1921" i="6"/>
  <c r="M1922" i="6"/>
  <c r="M1923" i="6"/>
  <c r="M1924" i="6"/>
  <c r="M1925" i="6"/>
  <c r="M1926" i="6"/>
  <c r="M1927" i="6"/>
  <c r="M1928" i="6"/>
  <c r="M1929" i="6"/>
  <c r="M1930" i="6"/>
  <c r="M1931" i="6"/>
  <c r="M1932" i="6"/>
  <c r="M1933" i="6"/>
  <c r="M1934" i="6"/>
  <c r="M1935" i="6"/>
  <c r="M1936" i="6"/>
  <c r="M1937" i="6"/>
  <c r="M1938" i="6"/>
  <c r="M1939" i="6"/>
  <c r="M1940" i="6"/>
  <c r="M1941" i="6"/>
  <c r="M1942" i="6"/>
  <c r="M1943" i="6"/>
  <c r="M1944" i="6"/>
  <c r="M1945" i="6"/>
  <c r="M1946" i="6"/>
  <c r="M1947" i="6"/>
  <c r="M1948" i="6"/>
  <c r="M1949" i="6"/>
  <c r="M1950" i="6"/>
  <c r="M1951" i="6"/>
  <c r="M1952" i="6"/>
  <c r="M1953" i="6"/>
  <c r="M1954" i="6"/>
  <c r="M1955" i="6"/>
  <c r="M1956" i="6"/>
  <c r="M1957" i="6"/>
  <c r="M1958" i="6"/>
  <c r="M1959" i="6"/>
  <c r="M1960" i="6"/>
  <c r="M1961" i="6"/>
  <c r="M1962" i="6"/>
  <c r="M1963" i="6"/>
  <c r="M1964" i="6"/>
  <c r="M1965" i="6"/>
  <c r="M1966" i="6"/>
  <c r="M1967" i="6"/>
  <c r="M1968" i="6"/>
  <c r="M1969" i="6"/>
  <c r="M1970" i="6"/>
  <c r="M1971" i="6"/>
  <c r="M1972" i="6"/>
  <c r="M1973" i="6"/>
  <c r="M1974" i="6"/>
  <c r="M1975" i="6"/>
  <c r="M1976" i="6"/>
  <c r="M1977" i="6"/>
  <c r="M1978" i="6"/>
  <c r="M1979" i="6"/>
  <c r="M1980" i="6"/>
  <c r="M1981" i="6"/>
  <c r="M1982" i="6"/>
  <c r="M1983" i="6"/>
  <c r="M1984" i="6"/>
  <c r="M1985" i="6"/>
  <c r="M1986" i="6"/>
  <c r="M1987" i="6"/>
  <c r="M1988" i="6"/>
  <c r="M1989" i="6"/>
  <c r="M1990" i="6"/>
  <c r="M1991" i="6"/>
  <c r="M1992" i="6"/>
  <c r="M1993" i="6"/>
  <c r="M1994" i="6"/>
  <c r="M1995" i="6"/>
  <c r="M1996" i="6"/>
  <c r="M1997" i="6"/>
  <c r="M1998" i="6"/>
  <c r="M1999" i="6"/>
  <c r="M2000" i="6"/>
  <c r="M2001" i="6"/>
  <c r="M2002" i="6"/>
  <c r="M2003" i="6"/>
  <c r="M2004" i="6"/>
  <c r="M2005" i="6"/>
  <c r="M2006" i="6"/>
  <c r="M2007" i="6"/>
  <c r="M2008" i="6"/>
  <c r="M2009" i="6"/>
  <c r="M2010" i="6"/>
  <c r="M2011" i="6"/>
  <c r="M2012" i="6"/>
  <c r="M2013" i="6"/>
  <c r="M2014" i="6"/>
  <c r="M2015" i="6"/>
  <c r="M2016" i="6"/>
  <c r="M2017" i="6"/>
  <c r="M2018" i="6"/>
  <c r="M2019" i="6"/>
  <c r="M2020" i="6"/>
  <c r="M2021" i="6"/>
  <c r="M2022" i="6"/>
  <c r="M2023" i="6"/>
  <c r="M2024" i="6"/>
  <c r="M2025" i="6"/>
  <c r="M2026" i="6"/>
  <c r="M2027" i="6"/>
  <c r="M2028" i="6"/>
  <c r="M2029" i="6"/>
  <c r="M2030" i="6"/>
  <c r="M2031" i="6"/>
  <c r="M2032" i="6"/>
  <c r="M2033" i="6"/>
  <c r="M2034" i="6"/>
  <c r="M2035" i="6"/>
  <c r="M2036" i="6"/>
  <c r="M2037" i="6"/>
  <c r="M2038" i="6"/>
  <c r="M2039" i="6"/>
  <c r="M2040" i="6"/>
  <c r="M2041" i="6"/>
  <c r="M2042" i="6"/>
  <c r="M2043" i="6"/>
  <c r="M2044" i="6"/>
  <c r="M2045" i="6"/>
  <c r="M2046" i="6"/>
  <c r="M2047" i="6"/>
  <c r="M2048" i="6"/>
  <c r="M2049" i="6"/>
  <c r="M2050" i="6"/>
  <c r="M2051" i="6"/>
  <c r="M2052" i="6"/>
  <c r="M2053" i="6"/>
  <c r="M2054" i="6"/>
  <c r="M2055" i="6"/>
  <c r="M2056" i="6"/>
  <c r="M2057" i="6"/>
  <c r="M2058" i="6"/>
  <c r="M2059" i="6"/>
  <c r="M2060" i="6"/>
  <c r="M2061" i="6"/>
  <c r="M2062" i="6"/>
  <c r="M2063" i="6"/>
  <c r="M2064" i="6"/>
  <c r="M2065" i="6"/>
  <c r="M2066" i="6"/>
  <c r="M2067" i="6"/>
  <c r="M2068" i="6"/>
  <c r="M2069" i="6"/>
  <c r="M2070" i="6"/>
  <c r="M2071" i="6"/>
  <c r="M2072" i="6"/>
  <c r="M2073" i="6"/>
  <c r="M2074" i="6"/>
  <c r="M2075" i="6"/>
  <c r="M2076" i="6"/>
  <c r="M2077" i="6"/>
  <c r="M2078" i="6"/>
  <c r="M2079" i="6"/>
  <c r="M2080" i="6"/>
  <c r="M2081" i="6"/>
  <c r="M2082" i="6"/>
  <c r="M2083" i="6"/>
  <c r="M2084" i="6"/>
  <c r="M2085" i="6"/>
  <c r="M2086" i="6"/>
  <c r="M2087" i="6"/>
  <c r="M2088" i="6"/>
  <c r="M2089" i="6"/>
  <c r="M2090" i="6"/>
  <c r="M2091" i="6"/>
  <c r="M2092" i="6"/>
  <c r="M2093" i="6"/>
  <c r="M2094" i="6"/>
  <c r="M2095" i="6"/>
  <c r="M2096" i="6"/>
  <c r="M2097" i="6"/>
  <c r="M2098" i="6"/>
  <c r="M2099" i="6"/>
  <c r="M2100" i="6"/>
  <c r="M2101" i="6"/>
  <c r="M2102" i="6"/>
  <c r="M2103" i="6"/>
  <c r="M2104" i="6"/>
  <c r="M2105" i="6"/>
  <c r="M2106" i="6"/>
  <c r="M2107" i="6"/>
  <c r="M2108" i="6"/>
  <c r="M2109" i="6"/>
  <c r="M2110" i="6"/>
  <c r="M2111" i="6"/>
  <c r="M2112" i="6"/>
  <c r="M2113" i="6"/>
  <c r="M2114" i="6"/>
  <c r="M2115" i="6"/>
  <c r="M2116" i="6"/>
  <c r="M2117" i="6"/>
  <c r="M2118" i="6"/>
  <c r="M2119" i="6"/>
  <c r="M2120" i="6"/>
  <c r="M2121" i="6"/>
  <c r="M2122" i="6"/>
  <c r="M2123" i="6"/>
  <c r="M2124" i="6"/>
  <c r="M2125" i="6"/>
  <c r="M2126" i="6"/>
  <c r="M2127" i="6"/>
  <c r="M2128" i="6"/>
  <c r="M2129" i="6"/>
  <c r="M2130" i="6"/>
  <c r="M2131" i="6"/>
  <c r="M2132" i="6"/>
  <c r="M2133" i="6"/>
  <c r="M2134" i="6"/>
  <c r="M2135" i="6"/>
  <c r="M2136" i="6"/>
  <c r="M2137" i="6"/>
  <c r="M2138" i="6"/>
  <c r="M2139" i="6"/>
  <c r="M2140" i="6"/>
  <c r="M2141" i="6"/>
  <c r="M2142" i="6"/>
  <c r="M2143" i="6"/>
  <c r="M2144" i="6"/>
  <c r="M2145" i="6"/>
  <c r="M2146" i="6"/>
  <c r="M2147" i="6"/>
  <c r="M2148" i="6"/>
  <c r="M2149" i="6"/>
  <c r="M2150" i="6"/>
  <c r="M2151" i="6"/>
  <c r="M2152" i="6"/>
  <c r="M2153" i="6"/>
  <c r="M2154" i="6"/>
  <c r="M2155" i="6"/>
  <c r="M2156" i="6"/>
  <c r="M2157" i="6"/>
  <c r="M2158" i="6"/>
  <c r="M2159" i="6"/>
  <c r="M2160" i="6"/>
  <c r="M2161" i="6"/>
  <c r="M2162" i="6"/>
  <c r="M2163" i="6"/>
  <c r="M2164" i="6"/>
  <c r="M2165" i="6"/>
  <c r="M2166" i="6"/>
  <c r="M2167" i="6"/>
  <c r="M2168" i="6"/>
  <c r="M2169" i="6"/>
  <c r="M2170" i="6"/>
  <c r="M2171" i="6"/>
  <c r="M2172" i="6"/>
  <c r="M2173" i="6"/>
  <c r="M2174" i="6"/>
  <c r="M2175" i="6"/>
  <c r="M2176" i="6"/>
  <c r="M2177" i="6"/>
  <c r="M2178" i="6"/>
  <c r="M2179" i="6"/>
  <c r="M2180" i="6"/>
  <c r="M2181" i="6"/>
  <c r="M2182" i="6"/>
  <c r="M2183" i="6"/>
  <c r="M2184" i="6"/>
  <c r="M2185" i="6"/>
  <c r="M2186" i="6"/>
  <c r="M2187" i="6"/>
  <c r="M2188" i="6"/>
  <c r="M2189" i="6"/>
  <c r="M2190" i="6"/>
  <c r="M2191" i="6"/>
  <c r="M2192" i="6"/>
  <c r="M2193" i="6"/>
  <c r="M2194" i="6"/>
  <c r="M2195" i="6"/>
  <c r="M2196" i="6"/>
  <c r="M2197" i="6"/>
  <c r="M2198" i="6"/>
  <c r="M2199" i="6"/>
  <c r="M2200" i="6"/>
  <c r="M2201" i="6"/>
  <c r="M2202" i="6"/>
  <c r="M2203" i="6"/>
  <c r="M2204" i="6"/>
  <c r="M2205" i="6"/>
  <c r="M2206" i="6"/>
  <c r="M2207" i="6"/>
  <c r="M2208" i="6"/>
  <c r="M2209" i="6"/>
  <c r="M2210" i="6"/>
  <c r="M2211" i="6"/>
  <c r="M2212" i="6"/>
  <c r="M2213" i="6"/>
  <c r="M2214" i="6"/>
  <c r="M2215" i="6"/>
  <c r="M2216" i="6"/>
  <c r="M2217" i="6"/>
  <c r="M2218" i="6"/>
  <c r="M2219" i="6"/>
  <c r="M2220" i="6"/>
  <c r="M2221" i="6"/>
  <c r="M2222" i="6"/>
  <c r="M2223" i="6"/>
  <c r="M2224" i="6"/>
  <c r="M2225" i="6"/>
  <c r="M2226" i="6"/>
  <c r="M2227" i="6"/>
  <c r="M2228" i="6"/>
  <c r="M2229" i="6"/>
  <c r="M2230" i="6"/>
  <c r="M2231" i="6"/>
  <c r="M2232" i="6"/>
  <c r="M2233" i="6"/>
  <c r="M2234" i="6"/>
  <c r="M2235" i="6"/>
  <c r="M2236" i="6"/>
  <c r="M2237" i="6"/>
  <c r="M2238" i="6"/>
  <c r="M2239" i="6"/>
  <c r="M2240" i="6"/>
  <c r="M2241" i="6"/>
  <c r="M2242" i="6"/>
  <c r="M2243" i="6"/>
  <c r="M2244" i="6"/>
  <c r="M2245" i="6"/>
  <c r="M2246" i="6"/>
  <c r="M2247" i="6"/>
  <c r="M2248" i="6"/>
  <c r="M2249" i="6"/>
  <c r="M2250" i="6"/>
  <c r="M2251" i="6"/>
  <c r="M2252" i="6"/>
  <c r="M2253" i="6"/>
  <c r="M2254" i="6"/>
  <c r="M2255" i="6"/>
  <c r="M2256" i="6"/>
  <c r="M2257" i="6"/>
  <c r="M2258" i="6"/>
  <c r="M2259" i="6"/>
  <c r="M2260" i="6"/>
  <c r="M2261" i="6"/>
  <c r="M2262" i="6"/>
  <c r="M2263" i="6"/>
  <c r="M2264" i="6"/>
  <c r="M2265" i="6"/>
  <c r="M2266" i="6"/>
  <c r="M2267" i="6"/>
  <c r="M2268" i="6"/>
  <c r="M2269" i="6"/>
  <c r="M2270" i="6"/>
  <c r="M2271" i="6"/>
  <c r="M2272" i="6"/>
  <c r="M2273" i="6"/>
  <c r="M2274" i="6"/>
  <c r="M2275" i="6"/>
  <c r="M2276" i="6"/>
  <c r="M2277" i="6"/>
  <c r="M2278" i="6"/>
  <c r="M2279" i="6"/>
  <c r="M2280" i="6"/>
  <c r="M2281" i="6"/>
  <c r="M2282" i="6"/>
  <c r="M2283" i="6"/>
  <c r="M2284" i="6"/>
  <c r="M2285" i="6"/>
  <c r="M2286" i="6"/>
  <c r="M2287" i="6"/>
  <c r="M2288" i="6"/>
  <c r="M2289" i="6"/>
  <c r="M2290" i="6"/>
  <c r="M2291" i="6"/>
  <c r="M2292" i="6"/>
  <c r="M2293" i="6"/>
  <c r="M2294" i="6"/>
  <c r="M2295" i="6"/>
  <c r="M2296" i="6"/>
  <c r="M2297" i="6"/>
  <c r="M2298" i="6"/>
  <c r="M2299" i="6"/>
  <c r="M2300" i="6"/>
  <c r="M2301" i="6"/>
  <c r="M2302" i="6"/>
  <c r="M2303" i="6"/>
  <c r="M2304" i="6"/>
  <c r="M2305" i="6"/>
  <c r="M2306" i="6"/>
  <c r="M2307" i="6"/>
  <c r="M2308" i="6"/>
  <c r="M2309" i="6"/>
  <c r="M2310" i="6"/>
  <c r="M2311" i="6"/>
  <c r="M2312" i="6"/>
  <c r="M2313" i="6"/>
  <c r="M2314" i="6"/>
  <c r="M2315" i="6"/>
  <c r="M2316" i="6"/>
  <c r="M2317" i="6"/>
  <c r="M2318" i="6"/>
  <c r="M2319" i="6"/>
  <c r="M2320" i="6"/>
  <c r="M2321" i="6"/>
  <c r="M2322" i="6"/>
  <c r="M2323" i="6"/>
  <c r="M2324" i="6"/>
  <c r="M2325" i="6"/>
  <c r="M2326" i="6"/>
  <c r="M2327" i="6"/>
  <c r="M2328" i="6"/>
  <c r="M2329" i="6"/>
  <c r="M2330" i="6"/>
  <c r="M2331" i="6"/>
  <c r="M2332" i="6"/>
  <c r="M2333" i="6"/>
  <c r="M2334" i="6"/>
  <c r="M2335" i="6"/>
  <c r="M2336" i="6"/>
  <c r="M2337" i="6"/>
  <c r="M2338" i="6"/>
  <c r="M2339" i="6"/>
  <c r="M2340" i="6"/>
  <c r="M2341" i="6"/>
  <c r="M2342" i="6"/>
  <c r="M2343" i="6"/>
  <c r="M2344" i="6"/>
  <c r="M2345" i="6"/>
  <c r="M2346" i="6"/>
  <c r="M2347" i="6"/>
  <c r="M2348" i="6"/>
  <c r="M2349" i="6"/>
  <c r="M2350" i="6"/>
  <c r="M2351" i="6"/>
  <c r="M2352" i="6"/>
  <c r="M2353" i="6"/>
  <c r="M2354" i="6"/>
  <c r="M2355" i="6"/>
  <c r="M2356" i="6"/>
  <c r="M2357" i="6"/>
  <c r="M2358" i="6"/>
  <c r="M2359" i="6"/>
  <c r="M2360" i="6"/>
  <c r="M2361" i="6"/>
  <c r="M2362" i="6"/>
  <c r="M2363" i="6"/>
  <c r="M2364" i="6"/>
  <c r="M2365" i="6"/>
  <c r="M2366" i="6"/>
  <c r="M2367" i="6"/>
  <c r="M2368" i="6"/>
  <c r="M2369" i="6"/>
  <c r="M2370" i="6"/>
  <c r="M2371" i="6"/>
  <c r="M2372" i="6"/>
  <c r="M2373" i="6"/>
  <c r="M2374" i="6"/>
  <c r="M2375" i="6"/>
  <c r="M2376" i="6"/>
  <c r="M2377" i="6"/>
  <c r="M2378" i="6"/>
  <c r="M2379" i="6"/>
  <c r="M2380" i="6"/>
  <c r="M2381" i="6"/>
  <c r="M2382" i="6"/>
  <c r="M2383" i="6"/>
  <c r="M2384" i="6"/>
  <c r="M2385" i="6"/>
  <c r="M2386" i="6"/>
  <c r="M2387" i="6"/>
  <c r="M2388" i="6"/>
  <c r="M2389" i="6"/>
  <c r="M2390" i="6"/>
  <c r="M2391" i="6"/>
  <c r="M2392" i="6"/>
  <c r="M2393" i="6"/>
  <c r="M2394" i="6"/>
  <c r="M2395" i="6"/>
  <c r="M2396" i="6"/>
  <c r="M2397" i="6"/>
  <c r="M2398" i="6"/>
  <c r="M2399" i="6"/>
  <c r="M2400" i="6"/>
  <c r="M2401" i="6"/>
  <c r="M2402" i="6"/>
  <c r="M2403" i="6"/>
  <c r="M2404" i="6"/>
  <c r="M2405" i="6"/>
  <c r="M2406" i="6"/>
  <c r="M2407" i="6"/>
  <c r="M2408" i="6"/>
  <c r="M2409" i="6"/>
  <c r="M2410" i="6"/>
  <c r="M2411" i="6"/>
  <c r="M2412" i="6"/>
  <c r="M2413" i="6"/>
  <c r="M2414" i="6"/>
  <c r="M2415" i="6"/>
  <c r="M2416" i="6"/>
  <c r="M2417" i="6"/>
  <c r="M2418" i="6"/>
  <c r="M2419" i="6"/>
  <c r="M2420" i="6"/>
  <c r="M2421" i="6"/>
  <c r="M2422" i="6"/>
  <c r="M2423" i="6"/>
  <c r="M2424" i="6"/>
  <c r="M2425" i="6"/>
  <c r="M2426" i="6"/>
  <c r="M2427" i="6"/>
  <c r="M2428" i="6"/>
  <c r="M2429" i="6"/>
  <c r="M2430" i="6"/>
  <c r="M2431" i="6"/>
  <c r="M2432" i="6"/>
  <c r="M2433" i="6"/>
  <c r="M2434" i="6"/>
  <c r="M2435" i="6"/>
  <c r="M2436" i="6"/>
  <c r="M2437" i="6"/>
  <c r="M2438" i="6"/>
  <c r="M2439" i="6"/>
  <c r="M2440" i="6"/>
  <c r="M2441" i="6"/>
  <c r="M2442" i="6"/>
  <c r="M2443" i="6"/>
  <c r="M2444" i="6"/>
  <c r="M2445" i="6"/>
  <c r="M2446" i="6"/>
  <c r="M2447" i="6"/>
  <c r="M2448" i="6"/>
  <c r="M2449" i="6"/>
  <c r="M2450" i="6"/>
  <c r="M2451" i="6"/>
  <c r="M2452" i="6"/>
  <c r="M2453" i="6"/>
  <c r="M2454" i="6"/>
  <c r="M2455" i="6"/>
  <c r="M2456" i="6"/>
  <c r="M2457" i="6"/>
  <c r="M2458" i="6"/>
  <c r="M2459" i="6"/>
  <c r="M2460" i="6"/>
  <c r="M2461" i="6"/>
  <c r="M2462" i="6"/>
  <c r="M2463" i="6"/>
  <c r="M2464" i="6"/>
  <c r="M2465" i="6"/>
  <c r="M2466" i="6"/>
  <c r="M2467" i="6"/>
  <c r="M2468" i="6"/>
  <c r="M2469" i="6"/>
  <c r="M2470" i="6"/>
  <c r="M2471" i="6"/>
  <c r="M2472" i="6"/>
  <c r="M2473" i="6"/>
  <c r="M2474" i="6"/>
  <c r="M2475" i="6"/>
  <c r="M2476" i="6"/>
  <c r="M2477" i="6"/>
  <c r="M2478" i="6"/>
  <c r="M2479" i="6"/>
  <c r="M2480" i="6"/>
  <c r="M2481" i="6"/>
  <c r="M2482" i="6"/>
  <c r="M2483" i="6"/>
  <c r="M2484" i="6"/>
  <c r="M2485" i="6"/>
  <c r="M2486" i="6"/>
  <c r="M2487" i="6"/>
  <c r="M2488" i="6"/>
  <c r="M2489" i="6"/>
  <c r="M2490" i="6"/>
  <c r="M2491" i="6"/>
  <c r="M2492" i="6"/>
  <c r="M2493" i="6"/>
  <c r="M2494" i="6"/>
  <c r="M2495" i="6"/>
  <c r="M2496" i="6"/>
  <c r="M2497" i="6"/>
  <c r="M2498" i="6"/>
  <c r="M2499" i="6"/>
  <c r="M2500" i="6"/>
  <c r="M2501" i="6"/>
  <c r="M2502" i="6"/>
  <c r="M2503" i="6"/>
  <c r="M2504" i="6"/>
  <c r="M2505" i="6"/>
  <c r="M2506" i="6"/>
  <c r="M2507" i="6"/>
  <c r="M2508" i="6"/>
  <c r="M2509" i="6"/>
  <c r="M2510" i="6"/>
  <c r="M2511" i="6"/>
  <c r="M2512" i="6"/>
  <c r="M2513" i="6"/>
  <c r="M2514" i="6"/>
  <c r="M2515" i="6"/>
  <c r="M2516" i="6"/>
  <c r="M2517" i="6"/>
  <c r="M2518" i="6"/>
  <c r="M2519" i="6"/>
  <c r="M2520" i="6"/>
  <c r="M2521" i="6"/>
  <c r="M2522" i="6"/>
  <c r="M2523" i="6"/>
  <c r="M2524" i="6"/>
  <c r="M2525" i="6"/>
  <c r="M2526" i="6"/>
  <c r="M2527" i="6"/>
  <c r="M2528" i="6"/>
  <c r="M2529" i="6"/>
  <c r="M2530" i="6"/>
  <c r="M2531" i="6"/>
  <c r="M2532" i="6"/>
  <c r="M2533" i="6"/>
  <c r="M2534" i="6"/>
  <c r="M2535" i="6"/>
  <c r="M2536" i="6"/>
  <c r="M2537" i="6"/>
  <c r="M2538" i="6"/>
  <c r="M2539" i="6"/>
  <c r="M2540" i="6"/>
  <c r="M2541" i="6"/>
  <c r="M2542" i="6"/>
  <c r="M2543" i="6"/>
  <c r="M2544" i="6"/>
  <c r="M2545" i="6"/>
  <c r="M2546" i="6"/>
  <c r="M2547" i="6"/>
  <c r="M2548" i="6"/>
  <c r="M2549" i="6"/>
  <c r="M2550" i="6"/>
  <c r="M2551" i="6"/>
  <c r="M2552" i="6"/>
  <c r="M2553" i="6"/>
  <c r="M2554" i="6"/>
  <c r="M2555" i="6"/>
  <c r="M2556" i="6"/>
  <c r="M2557" i="6"/>
  <c r="M2558" i="6"/>
  <c r="M2559" i="6"/>
  <c r="M2560" i="6"/>
  <c r="M2561" i="6"/>
  <c r="M2562" i="6"/>
  <c r="M2563" i="6"/>
  <c r="M2564" i="6"/>
  <c r="M2565" i="6"/>
  <c r="M2566" i="6"/>
  <c r="M2567" i="6"/>
  <c r="M2568" i="6"/>
  <c r="M2569" i="6"/>
  <c r="M2570" i="6"/>
  <c r="M2571" i="6"/>
  <c r="M2572" i="6"/>
  <c r="M2573" i="6"/>
  <c r="M2574" i="6"/>
  <c r="M2575" i="6"/>
  <c r="M2576" i="6"/>
  <c r="M2577" i="6"/>
  <c r="M2578" i="6"/>
  <c r="M2579" i="6"/>
  <c r="M2580" i="6"/>
  <c r="M2581" i="6"/>
  <c r="M2582" i="6"/>
  <c r="M2583" i="6"/>
  <c r="M2584" i="6"/>
  <c r="M2585" i="6"/>
  <c r="M2586" i="6"/>
  <c r="M2587" i="6"/>
  <c r="M2588" i="6"/>
  <c r="M2589" i="6"/>
  <c r="M2590" i="6"/>
  <c r="M2591" i="6"/>
  <c r="M2592" i="6"/>
  <c r="M2593" i="6"/>
  <c r="M2594" i="6"/>
  <c r="M2595" i="6"/>
  <c r="M2596" i="6"/>
  <c r="M2597" i="6"/>
  <c r="M2598" i="6"/>
  <c r="M2599" i="6"/>
  <c r="M2600" i="6"/>
  <c r="M2601" i="6"/>
  <c r="M2602" i="6"/>
  <c r="M2603" i="6"/>
  <c r="M2604" i="6"/>
  <c r="M2605" i="6"/>
  <c r="M2606" i="6"/>
  <c r="M2607" i="6"/>
  <c r="M2608" i="6"/>
  <c r="M2609" i="6"/>
  <c r="M2610" i="6"/>
  <c r="M2611" i="6"/>
  <c r="M2612" i="6"/>
  <c r="M2613" i="6"/>
  <c r="M2614" i="6"/>
  <c r="M2615" i="6"/>
  <c r="M2616" i="6"/>
  <c r="M2617" i="6"/>
  <c r="M2618" i="6"/>
  <c r="M2619" i="6"/>
  <c r="M2620" i="6"/>
  <c r="M2621" i="6"/>
  <c r="M2622" i="6"/>
  <c r="M2623" i="6"/>
  <c r="M2624" i="6"/>
  <c r="M2625" i="6"/>
  <c r="M2626" i="6"/>
  <c r="M2627" i="6"/>
  <c r="M2628" i="6"/>
  <c r="M2629" i="6"/>
  <c r="M2630" i="6"/>
  <c r="M2631" i="6"/>
  <c r="M2632" i="6"/>
  <c r="M2633" i="6"/>
  <c r="M2634" i="6"/>
  <c r="M2635" i="6"/>
  <c r="M2636" i="6"/>
  <c r="M2637" i="6"/>
  <c r="M2638" i="6"/>
  <c r="M2639" i="6"/>
  <c r="M2640" i="6"/>
  <c r="M2641" i="6"/>
  <c r="M2642" i="6"/>
  <c r="M2643" i="6"/>
  <c r="M2644" i="6"/>
  <c r="M2645" i="6"/>
  <c r="M2646" i="6"/>
  <c r="M2647" i="6"/>
  <c r="M2648" i="6"/>
  <c r="M2649" i="6"/>
  <c r="M2650" i="6"/>
  <c r="M2651" i="6"/>
  <c r="M2652" i="6"/>
  <c r="M2653" i="6"/>
  <c r="M2654" i="6"/>
  <c r="M2655" i="6"/>
  <c r="M2656" i="6"/>
  <c r="M2657" i="6"/>
  <c r="M2658" i="6"/>
  <c r="M2659" i="6"/>
  <c r="M2660" i="6"/>
  <c r="M2661" i="6"/>
  <c r="M2662" i="6"/>
  <c r="M2663" i="6"/>
  <c r="M2664" i="6"/>
  <c r="M2665" i="6"/>
  <c r="M2666" i="6"/>
  <c r="M2667" i="6"/>
  <c r="M2668" i="6"/>
  <c r="M2669" i="6"/>
  <c r="M2670" i="6"/>
  <c r="M2671" i="6"/>
  <c r="M2672" i="6"/>
  <c r="M2673" i="6"/>
  <c r="M2674" i="6"/>
  <c r="M2675" i="6"/>
  <c r="M2676" i="6"/>
  <c r="M2677" i="6"/>
  <c r="M2678" i="6"/>
  <c r="M2679" i="6"/>
  <c r="M2680" i="6"/>
  <c r="M2681" i="6"/>
  <c r="M2682" i="6"/>
  <c r="M2683" i="6"/>
  <c r="M2684" i="6"/>
  <c r="M2685" i="6"/>
  <c r="M2686" i="6"/>
  <c r="M2687" i="6"/>
  <c r="M2688" i="6"/>
  <c r="M2689" i="6"/>
  <c r="M2690" i="6"/>
  <c r="M2691" i="6"/>
  <c r="M2692" i="6"/>
  <c r="M2693" i="6"/>
  <c r="M2694" i="6"/>
  <c r="M2695" i="6"/>
  <c r="M2696" i="6"/>
  <c r="M2697" i="6"/>
  <c r="M2698" i="6"/>
  <c r="M2699" i="6"/>
  <c r="M2700" i="6"/>
  <c r="M2701" i="6"/>
  <c r="M2702" i="6"/>
  <c r="M2703" i="6"/>
  <c r="M2704" i="6"/>
  <c r="M2705" i="6"/>
  <c r="M2706" i="6"/>
  <c r="M2707" i="6"/>
  <c r="M2708" i="6"/>
  <c r="M2709" i="6"/>
  <c r="M2710" i="6"/>
  <c r="M2711" i="6"/>
  <c r="M2712" i="6"/>
  <c r="M2713" i="6"/>
  <c r="M2714" i="6"/>
  <c r="M2715" i="6"/>
  <c r="M2716" i="6"/>
  <c r="M2717" i="6"/>
  <c r="M2718" i="6"/>
  <c r="M2719" i="6"/>
  <c r="M2720" i="6"/>
  <c r="M2721" i="6"/>
  <c r="M2722" i="6"/>
  <c r="M2723" i="6"/>
  <c r="M2724" i="6"/>
  <c r="M2725" i="6"/>
  <c r="M2726" i="6"/>
  <c r="M2727" i="6"/>
  <c r="M2728" i="6"/>
  <c r="M2729" i="6"/>
  <c r="M2730" i="6"/>
  <c r="M2731" i="6"/>
  <c r="M2732" i="6"/>
  <c r="M2733" i="6"/>
  <c r="M2734" i="6"/>
  <c r="M2735" i="6"/>
  <c r="M2736" i="6"/>
  <c r="M2737" i="6"/>
  <c r="M2738" i="6"/>
  <c r="M2739" i="6"/>
  <c r="M2740" i="6"/>
  <c r="M2741" i="6"/>
  <c r="M2742" i="6"/>
  <c r="M2743" i="6"/>
  <c r="M2744" i="6"/>
  <c r="M2745" i="6"/>
  <c r="M2746" i="6"/>
  <c r="M2747" i="6"/>
  <c r="M2748" i="6"/>
  <c r="M2749" i="6"/>
  <c r="M2750" i="6"/>
  <c r="M2751" i="6"/>
  <c r="M2752" i="6"/>
  <c r="M2753" i="6"/>
  <c r="M2754" i="6"/>
  <c r="M2755" i="6"/>
  <c r="M2756" i="6"/>
  <c r="M2757" i="6"/>
  <c r="M2758" i="6"/>
  <c r="M2759" i="6"/>
  <c r="M2760" i="6"/>
  <c r="M2761" i="6"/>
  <c r="M2762" i="6"/>
  <c r="M2763" i="6"/>
  <c r="M2764" i="6"/>
  <c r="M2765" i="6"/>
  <c r="M2766" i="6"/>
  <c r="M2767" i="6"/>
  <c r="M2768" i="6"/>
  <c r="M2769" i="6"/>
  <c r="M2770" i="6"/>
  <c r="M2771" i="6"/>
  <c r="M2772" i="6"/>
  <c r="M2773" i="6"/>
  <c r="M2774" i="6"/>
  <c r="M2775" i="6"/>
  <c r="M2776" i="6"/>
  <c r="M2777" i="6"/>
  <c r="M2778" i="6"/>
  <c r="M2779" i="6"/>
  <c r="M2780" i="6"/>
  <c r="M2781" i="6"/>
  <c r="M2782" i="6"/>
  <c r="M2783" i="6"/>
  <c r="M2784" i="6"/>
  <c r="M2785" i="6"/>
  <c r="M2786" i="6"/>
  <c r="M2787" i="6"/>
  <c r="M2788" i="6"/>
  <c r="M2789" i="6"/>
  <c r="M2790" i="6"/>
  <c r="M2791" i="6"/>
  <c r="M2792" i="6"/>
  <c r="M2793" i="6"/>
  <c r="M2794" i="6"/>
  <c r="M2795" i="6"/>
  <c r="M2796" i="6"/>
  <c r="M2797" i="6"/>
  <c r="M2798" i="6"/>
  <c r="M2799" i="6"/>
  <c r="M2800" i="6"/>
  <c r="M2801" i="6"/>
  <c r="M2802" i="6"/>
  <c r="M2803" i="6"/>
  <c r="M2804" i="6"/>
  <c r="M2805" i="6"/>
  <c r="M2806" i="6"/>
  <c r="M2807" i="6"/>
  <c r="M2808" i="6"/>
  <c r="M2809" i="6"/>
  <c r="M2810" i="6"/>
  <c r="M2811" i="6"/>
  <c r="M2812" i="6"/>
  <c r="M2813" i="6"/>
  <c r="M2814" i="6"/>
  <c r="M2815" i="6"/>
  <c r="M2816" i="6"/>
  <c r="M2817" i="6"/>
  <c r="M2818" i="6"/>
  <c r="M2819" i="6"/>
  <c r="M2820" i="6"/>
  <c r="M2821" i="6"/>
  <c r="M2822" i="6"/>
  <c r="M2823" i="6"/>
  <c r="M2824" i="6"/>
  <c r="M2825" i="6"/>
  <c r="M2826" i="6"/>
  <c r="M2827" i="6"/>
  <c r="M2828" i="6"/>
  <c r="M2829" i="6"/>
  <c r="M2830" i="6"/>
  <c r="M2831" i="6"/>
  <c r="M2832" i="6"/>
  <c r="M2833" i="6"/>
  <c r="M2834" i="6"/>
  <c r="M2835" i="6"/>
  <c r="M2836" i="6"/>
  <c r="M2837" i="6"/>
  <c r="M2838" i="6"/>
  <c r="M2839" i="6"/>
  <c r="M2840" i="6"/>
  <c r="M2841" i="6"/>
  <c r="M2842" i="6"/>
  <c r="M2843" i="6"/>
  <c r="M2844" i="6"/>
  <c r="M2845" i="6"/>
  <c r="M2846" i="6"/>
  <c r="M2847" i="6"/>
  <c r="M2848" i="6"/>
  <c r="M2849" i="6"/>
  <c r="M2850" i="6"/>
  <c r="M2851" i="6"/>
  <c r="M2852" i="6"/>
  <c r="M2853" i="6"/>
  <c r="M2854" i="6"/>
  <c r="M2855" i="6"/>
  <c r="M2856" i="6"/>
  <c r="M2857" i="6"/>
  <c r="M2858" i="6"/>
  <c r="M2859" i="6"/>
  <c r="M2860" i="6"/>
  <c r="M2861" i="6"/>
  <c r="M2862" i="6"/>
  <c r="M2863" i="6"/>
  <c r="M2864" i="6"/>
  <c r="M2865" i="6"/>
  <c r="M2866" i="6"/>
  <c r="M2867" i="6"/>
  <c r="M2868" i="6"/>
  <c r="M2869" i="6"/>
  <c r="M2870" i="6"/>
  <c r="M2871" i="6"/>
  <c r="M2872" i="6"/>
  <c r="M2873" i="6"/>
  <c r="M2874" i="6"/>
  <c r="M2875" i="6"/>
  <c r="M2876" i="6"/>
  <c r="M2877" i="6"/>
  <c r="M2878" i="6"/>
  <c r="M2879" i="6"/>
  <c r="M2880" i="6"/>
  <c r="M2881" i="6"/>
  <c r="M2882" i="6"/>
  <c r="M2883" i="6"/>
  <c r="M2884" i="6"/>
  <c r="M2885" i="6"/>
  <c r="M2886" i="6"/>
  <c r="M2887" i="6"/>
  <c r="M2888" i="6"/>
  <c r="M2889" i="6"/>
  <c r="M2890" i="6"/>
  <c r="M2891" i="6"/>
  <c r="M2892" i="6"/>
  <c r="M2893" i="6"/>
  <c r="M2894" i="6"/>
  <c r="M2895" i="6"/>
  <c r="M2896" i="6"/>
  <c r="M2897" i="6"/>
  <c r="M2898" i="6"/>
  <c r="M2899" i="6"/>
  <c r="M2900" i="6"/>
  <c r="M2901" i="6"/>
  <c r="M2902" i="6"/>
  <c r="M2903" i="6"/>
  <c r="M2904" i="6"/>
  <c r="M2905" i="6"/>
  <c r="M2906" i="6"/>
  <c r="M2907" i="6"/>
  <c r="M2908" i="6"/>
  <c r="M2909" i="6"/>
  <c r="M2910" i="6"/>
  <c r="M2911" i="6"/>
  <c r="M2912" i="6"/>
  <c r="M2913" i="6"/>
  <c r="M2914" i="6"/>
  <c r="M2915" i="6"/>
  <c r="M2916" i="6"/>
  <c r="M2917" i="6"/>
  <c r="M2918" i="6"/>
  <c r="M2919" i="6"/>
  <c r="M2920" i="6"/>
  <c r="M2921" i="6"/>
  <c r="M2922" i="6"/>
  <c r="M2923" i="6"/>
  <c r="M2924" i="6"/>
  <c r="M2925" i="6"/>
  <c r="M2926" i="6"/>
  <c r="M2927" i="6"/>
  <c r="M2928" i="6"/>
  <c r="M2929" i="6"/>
  <c r="M2930" i="6"/>
  <c r="M2931" i="6"/>
  <c r="M2932" i="6"/>
  <c r="M2933" i="6"/>
  <c r="M2934" i="6"/>
  <c r="M2935" i="6"/>
  <c r="M2936" i="6"/>
  <c r="M2937" i="6"/>
  <c r="M2938" i="6"/>
  <c r="M2939" i="6"/>
  <c r="M2940" i="6"/>
  <c r="M2941" i="6"/>
  <c r="M2942" i="6"/>
  <c r="M2943" i="6"/>
  <c r="M2944" i="6"/>
  <c r="M2945" i="6"/>
  <c r="M2946" i="6"/>
  <c r="M2947" i="6"/>
  <c r="M2948" i="6"/>
  <c r="M2949" i="6"/>
  <c r="M2950" i="6"/>
  <c r="M2951" i="6"/>
  <c r="M2952" i="6"/>
  <c r="M2953" i="6"/>
  <c r="M2954" i="6"/>
  <c r="M2955" i="6"/>
  <c r="M2956" i="6"/>
  <c r="M2957" i="6"/>
  <c r="M2958" i="6"/>
  <c r="M2959" i="6"/>
  <c r="M2960" i="6"/>
  <c r="M2961" i="6"/>
  <c r="M2962" i="6"/>
  <c r="M2963" i="6"/>
  <c r="M2964" i="6"/>
  <c r="M2965" i="6"/>
  <c r="M2966" i="6"/>
  <c r="M2967" i="6"/>
  <c r="M2968" i="6"/>
  <c r="M2969" i="6"/>
  <c r="M2970" i="6"/>
  <c r="M2971" i="6"/>
  <c r="M2972" i="6"/>
  <c r="M2973" i="6"/>
  <c r="M2974" i="6"/>
  <c r="M2975" i="6"/>
  <c r="M2976" i="6"/>
  <c r="M2977" i="6"/>
  <c r="M2978" i="6"/>
  <c r="M2979" i="6"/>
  <c r="M2980" i="6"/>
  <c r="M2981" i="6"/>
  <c r="M2982" i="6"/>
  <c r="M2983" i="6"/>
  <c r="M2984" i="6"/>
  <c r="M2985" i="6"/>
  <c r="M2986" i="6"/>
  <c r="M2987" i="6"/>
  <c r="M2988" i="6"/>
  <c r="M2989" i="6"/>
  <c r="M2990" i="6"/>
  <c r="M2991" i="6"/>
  <c r="M2992" i="6"/>
  <c r="M2993" i="6"/>
  <c r="M2994" i="6"/>
  <c r="M2995" i="6"/>
  <c r="M2996" i="6"/>
  <c r="M2997" i="6"/>
  <c r="M2998" i="6"/>
  <c r="M2999" i="6"/>
  <c r="M3000" i="6"/>
  <c r="M3001" i="6"/>
  <c r="M3002" i="6"/>
  <c r="M3003" i="6"/>
  <c r="M3004" i="6"/>
  <c r="M3005" i="6"/>
  <c r="M3006" i="6"/>
  <c r="M3007" i="6"/>
  <c r="M3008" i="6"/>
  <c r="M3009" i="6"/>
  <c r="M3010" i="6"/>
  <c r="M3011" i="6"/>
  <c r="M3012" i="6"/>
  <c r="M3013" i="6"/>
  <c r="M3014" i="6"/>
  <c r="M3015" i="6"/>
  <c r="M3016" i="6"/>
  <c r="M3017" i="6"/>
  <c r="M3018" i="6"/>
  <c r="M3019" i="6"/>
  <c r="M3020" i="6"/>
  <c r="M3021" i="6"/>
  <c r="M3022" i="6"/>
  <c r="M3023" i="6"/>
  <c r="M3024" i="6"/>
  <c r="M3025" i="6"/>
  <c r="M3026" i="6"/>
  <c r="M3027" i="6"/>
  <c r="M3028" i="6"/>
  <c r="M3029" i="6"/>
  <c r="M3030" i="6"/>
  <c r="M3031" i="6"/>
  <c r="M3032" i="6"/>
  <c r="M3033" i="6"/>
  <c r="M3034" i="6"/>
  <c r="M3035" i="6"/>
  <c r="M3036" i="6"/>
  <c r="M3037" i="6"/>
  <c r="M3038" i="6"/>
  <c r="M3039" i="6"/>
  <c r="M3040" i="6"/>
  <c r="M3041" i="6"/>
  <c r="M3042" i="6"/>
  <c r="M3043" i="6"/>
  <c r="M3044" i="6"/>
  <c r="M3045" i="6"/>
  <c r="M3046" i="6"/>
  <c r="M3047" i="6"/>
  <c r="M3048" i="6"/>
  <c r="M3049" i="6"/>
  <c r="M3050" i="6"/>
  <c r="M3051" i="6"/>
  <c r="M3052" i="6"/>
  <c r="M3053" i="6"/>
  <c r="M3054" i="6"/>
  <c r="M3055" i="6"/>
  <c r="M3056" i="6"/>
  <c r="M3057" i="6"/>
  <c r="M3058" i="6"/>
  <c r="M3059" i="6"/>
  <c r="M3060" i="6"/>
  <c r="M3061" i="6"/>
  <c r="M3062" i="6"/>
  <c r="M3063" i="6"/>
  <c r="M3064" i="6"/>
  <c r="M3065" i="6"/>
  <c r="M3066" i="6"/>
  <c r="M3067" i="6"/>
  <c r="M3068" i="6"/>
  <c r="M3069" i="6"/>
  <c r="M3070" i="6"/>
  <c r="M3071" i="6"/>
  <c r="M3072" i="6"/>
  <c r="M3073" i="6"/>
  <c r="M3074" i="6"/>
  <c r="M3075" i="6"/>
  <c r="M3076" i="6"/>
  <c r="M3077" i="6"/>
  <c r="M3078" i="6"/>
  <c r="M3079" i="6"/>
  <c r="M3080" i="6"/>
  <c r="M3081" i="6"/>
  <c r="M3082" i="6"/>
  <c r="M3083" i="6"/>
  <c r="M3084" i="6"/>
  <c r="M3085" i="6"/>
  <c r="M3086" i="6"/>
  <c r="M3087" i="6"/>
  <c r="M3088" i="6"/>
  <c r="M3089" i="6"/>
  <c r="M3090" i="6"/>
  <c r="M3091" i="6"/>
  <c r="M3092" i="6"/>
  <c r="M3093" i="6"/>
  <c r="M3094" i="6"/>
  <c r="M3095" i="6"/>
  <c r="M3096" i="6"/>
  <c r="M3097" i="6"/>
  <c r="M3098" i="6"/>
  <c r="M3099" i="6"/>
  <c r="M3100" i="6"/>
  <c r="M3101" i="6"/>
  <c r="M3102" i="6"/>
  <c r="M3103" i="6"/>
  <c r="M3104" i="6"/>
  <c r="M3105" i="6"/>
  <c r="M3106" i="6"/>
  <c r="M3107" i="6"/>
  <c r="M3108" i="6"/>
  <c r="M3109" i="6"/>
  <c r="M3110" i="6"/>
  <c r="M3111" i="6"/>
  <c r="M3112" i="6"/>
  <c r="M3113" i="6"/>
  <c r="M3114" i="6"/>
  <c r="M3115" i="6"/>
  <c r="M3116" i="6"/>
  <c r="M3117" i="6"/>
  <c r="M3118" i="6"/>
  <c r="M3119" i="6"/>
  <c r="M3120" i="6"/>
  <c r="M3121" i="6"/>
  <c r="M3122" i="6"/>
  <c r="M3123" i="6"/>
  <c r="M3124" i="6"/>
  <c r="M3125" i="6"/>
  <c r="M3126" i="6"/>
  <c r="M3127" i="6"/>
  <c r="M3128" i="6"/>
  <c r="M3129" i="6"/>
  <c r="M3130" i="6"/>
  <c r="M3131" i="6"/>
  <c r="M3132" i="6"/>
  <c r="M3133" i="6"/>
  <c r="M3134" i="6"/>
  <c r="M3135" i="6"/>
  <c r="M3136" i="6"/>
  <c r="M3137" i="6"/>
  <c r="M3138" i="6"/>
  <c r="M3139" i="6"/>
  <c r="M3140" i="6"/>
  <c r="M3141" i="6"/>
  <c r="M3142" i="6"/>
  <c r="M3143" i="6"/>
  <c r="M3144" i="6"/>
  <c r="M3145" i="6"/>
  <c r="M3146" i="6"/>
  <c r="M3147" i="6"/>
  <c r="M3148" i="6"/>
  <c r="M3149" i="6"/>
  <c r="M3150" i="6"/>
  <c r="M3151" i="6"/>
  <c r="M3152" i="6"/>
  <c r="M3153" i="6"/>
  <c r="M3154" i="6"/>
  <c r="M3155" i="6"/>
  <c r="M3156" i="6"/>
  <c r="M3157" i="6"/>
  <c r="M3158" i="6"/>
  <c r="M3159" i="6"/>
  <c r="M3160" i="6"/>
  <c r="M3161" i="6"/>
  <c r="M3162" i="6"/>
  <c r="M3163" i="6"/>
  <c r="M3164" i="6"/>
  <c r="M3165" i="6"/>
  <c r="M3166" i="6"/>
  <c r="M3167" i="6"/>
  <c r="M3168" i="6"/>
  <c r="M3169" i="6"/>
  <c r="M3170" i="6"/>
  <c r="M3171" i="6"/>
  <c r="M3172" i="6"/>
  <c r="M3173" i="6"/>
  <c r="M3174" i="6"/>
  <c r="M3175" i="6"/>
  <c r="M3176" i="6"/>
  <c r="M3177" i="6"/>
  <c r="M3178" i="6"/>
  <c r="M3179" i="6"/>
  <c r="M3180" i="6"/>
  <c r="M3181" i="6"/>
  <c r="M3182" i="6"/>
  <c r="M3183" i="6"/>
  <c r="M3184" i="6"/>
  <c r="M3185" i="6"/>
  <c r="M3186" i="6"/>
  <c r="M3187" i="6"/>
  <c r="M3188" i="6"/>
  <c r="M3189" i="6"/>
  <c r="M3190" i="6"/>
  <c r="M3191" i="6"/>
  <c r="M3192" i="6"/>
  <c r="M3193" i="6"/>
  <c r="M3194" i="6"/>
  <c r="M3195" i="6"/>
  <c r="M3196" i="6"/>
  <c r="M3197" i="6"/>
  <c r="M3198" i="6"/>
  <c r="M3199" i="6"/>
  <c r="M3200" i="6"/>
  <c r="M3201" i="6"/>
  <c r="M3202" i="6"/>
  <c r="M3203" i="6"/>
  <c r="M3204" i="6"/>
  <c r="M3205" i="6"/>
  <c r="M3206" i="6"/>
  <c r="M3207" i="6"/>
  <c r="M3208" i="6"/>
  <c r="M3209" i="6"/>
  <c r="M3210" i="6"/>
  <c r="M3211" i="6"/>
  <c r="M3212" i="6"/>
  <c r="M3213" i="6"/>
  <c r="M3214" i="6"/>
  <c r="M3215" i="6"/>
  <c r="M3216" i="6"/>
  <c r="M3217" i="6"/>
  <c r="M3218" i="6"/>
  <c r="M3219" i="6"/>
  <c r="M3220" i="6"/>
  <c r="M3221" i="6"/>
  <c r="M3222" i="6"/>
  <c r="M3223" i="6"/>
  <c r="M3224" i="6"/>
  <c r="M3225" i="6"/>
  <c r="M3226" i="6"/>
  <c r="M3227" i="6"/>
  <c r="M3228" i="6"/>
  <c r="M3229" i="6"/>
  <c r="M3230" i="6"/>
  <c r="M3231" i="6"/>
  <c r="M3232" i="6"/>
  <c r="M3233" i="6"/>
  <c r="M3234" i="6"/>
  <c r="M3235" i="6"/>
  <c r="M3236" i="6"/>
  <c r="M3237" i="6"/>
  <c r="M3238" i="6"/>
  <c r="M3239" i="6"/>
  <c r="M3240" i="6"/>
  <c r="M3241" i="6"/>
  <c r="M3242" i="6"/>
  <c r="M3243" i="6"/>
  <c r="M3244" i="6"/>
  <c r="M3245" i="6"/>
  <c r="M3246" i="6"/>
  <c r="M3247" i="6"/>
  <c r="M3248" i="6"/>
  <c r="M3249" i="6"/>
  <c r="M3250" i="6"/>
  <c r="M3251" i="6"/>
  <c r="M3252" i="6"/>
  <c r="M3253" i="6"/>
  <c r="M3254" i="6"/>
  <c r="M3255" i="6"/>
  <c r="M3256" i="6"/>
  <c r="M3257" i="6"/>
  <c r="M3258" i="6"/>
  <c r="M3259" i="6"/>
  <c r="M3260" i="6"/>
  <c r="M3261" i="6"/>
  <c r="M3262" i="6"/>
  <c r="M3263" i="6"/>
  <c r="M3264" i="6"/>
  <c r="M3265" i="6"/>
  <c r="M3266" i="6"/>
  <c r="M3267" i="6"/>
  <c r="M3268" i="6"/>
  <c r="M3269" i="6"/>
  <c r="M3270" i="6"/>
  <c r="M3271" i="6"/>
  <c r="M3272" i="6"/>
  <c r="M3273" i="6"/>
  <c r="M3274" i="6"/>
  <c r="M3275" i="6"/>
  <c r="M3276" i="6"/>
  <c r="M3277" i="6"/>
  <c r="M3278" i="6"/>
  <c r="M3279" i="6"/>
  <c r="M3280" i="6"/>
  <c r="M3281" i="6"/>
  <c r="M3282" i="6"/>
  <c r="M3283" i="6"/>
  <c r="M3284" i="6"/>
  <c r="M3285" i="6"/>
  <c r="M3286" i="6"/>
  <c r="M3287" i="6"/>
  <c r="M3288" i="6"/>
  <c r="M3289" i="6"/>
  <c r="M3290" i="6"/>
  <c r="M3291" i="6"/>
  <c r="M3292" i="6"/>
  <c r="M3293" i="6"/>
  <c r="M3294" i="6"/>
  <c r="M3295" i="6"/>
  <c r="M3296" i="6"/>
  <c r="M3297" i="6"/>
  <c r="M3298" i="6"/>
  <c r="M3299" i="6"/>
  <c r="M3300" i="6"/>
  <c r="M3301" i="6"/>
  <c r="M3302" i="6"/>
  <c r="M3303" i="6"/>
  <c r="M3304" i="6"/>
  <c r="M3305" i="6"/>
  <c r="M3306" i="6"/>
  <c r="M3307" i="6"/>
  <c r="M3308" i="6"/>
  <c r="M3309" i="6"/>
  <c r="M3310" i="6"/>
  <c r="M3311" i="6"/>
  <c r="M3312" i="6"/>
  <c r="M3313" i="6"/>
  <c r="M3314" i="6"/>
  <c r="M3315" i="6"/>
  <c r="M3316" i="6"/>
  <c r="M3317" i="6"/>
  <c r="M3318" i="6"/>
  <c r="M3319" i="6"/>
  <c r="M3320" i="6"/>
  <c r="M3321" i="6"/>
  <c r="M3322" i="6"/>
  <c r="M3323" i="6"/>
  <c r="M3324" i="6"/>
  <c r="M3325" i="6"/>
  <c r="M3326" i="6"/>
  <c r="M3327" i="6"/>
  <c r="M3328" i="6"/>
  <c r="M3329" i="6"/>
  <c r="M3330" i="6"/>
  <c r="M3331" i="6"/>
  <c r="M3332" i="6"/>
  <c r="M3333" i="6"/>
  <c r="M3334" i="6"/>
  <c r="M3335" i="6"/>
  <c r="M3336" i="6"/>
  <c r="M3337" i="6"/>
  <c r="M3338" i="6"/>
  <c r="M3339" i="6"/>
  <c r="M3340" i="6"/>
  <c r="M3341" i="6"/>
  <c r="M3342" i="6"/>
  <c r="M3343" i="6"/>
  <c r="M3344" i="6"/>
  <c r="M3345" i="6"/>
  <c r="M3346" i="6"/>
  <c r="M3347" i="6"/>
  <c r="M3348" i="6"/>
  <c r="M3349" i="6"/>
  <c r="M3350" i="6"/>
  <c r="M3351" i="6"/>
  <c r="M3352" i="6"/>
  <c r="M3353" i="6"/>
  <c r="M3354" i="6"/>
  <c r="M3355" i="6"/>
  <c r="M3356" i="6"/>
  <c r="M3357" i="6"/>
  <c r="M3358" i="6"/>
  <c r="M3359" i="6"/>
  <c r="M3360" i="6"/>
  <c r="M3361" i="6"/>
  <c r="M3362" i="6"/>
  <c r="M3363" i="6"/>
  <c r="M3364" i="6"/>
  <c r="M3365" i="6"/>
  <c r="M3366" i="6"/>
  <c r="M3367" i="6"/>
  <c r="M3368" i="6"/>
  <c r="M3369" i="6"/>
  <c r="M3370" i="6"/>
  <c r="M3371" i="6"/>
  <c r="M3372" i="6"/>
  <c r="M3373" i="6"/>
  <c r="M3374" i="6"/>
  <c r="M3375" i="6"/>
  <c r="M3376" i="6"/>
  <c r="M3377" i="6"/>
  <c r="M3378" i="6"/>
  <c r="M3379" i="6"/>
  <c r="M3380" i="6"/>
  <c r="M3381" i="6"/>
  <c r="M3382" i="6"/>
  <c r="M3383" i="6"/>
  <c r="M3384" i="6"/>
  <c r="M3385" i="6"/>
  <c r="M3386" i="6"/>
  <c r="M3387" i="6"/>
  <c r="M3388" i="6"/>
  <c r="M3389" i="6"/>
  <c r="M3390" i="6"/>
  <c r="M3391" i="6"/>
  <c r="M3392" i="6"/>
  <c r="M3393" i="6"/>
  <c r="M3394" i="6"/>
  <c r="M3395" i="6"/>
  <c r="M3396" i="6"/>
  <c r="M3397" i="6"/>
  <c r="M3398" i="6"/>
  <c r="M3399" i="6"/>
  <c r="M3400" i="6"/>
  <c r="M3401" i="6"/>
  <c r="M3402" i="6"/>
  <c r="M3403" i="6"/>
  <c r="M3404" i="6"/>
  <c r="M3405" i="6"/>
  <c r="M3406" i="6"/>
  <c r="M3407" i="6"/>
  <c r="M3408" i="6"/>
  <c r="M3409" i="6"/>
  <c r="M3410" i="6"/>
  <c r="M3411" i="6"/>
  <c r="M3412" i="6"/>
  <c r="M3413" i="6"/>
  <c r="M3414" i="6"/>
  <c r="M3415" i="6"/>
  <c r="M3416" i="6"/>
  <c r="M3417" i="6"/>
  <c r="M3418" i="6"/>
  <c r="M3419" i="6"/>
  <c r="M3420" i="6"/>
  <c r="M3421" i="6"/>
  <c r="M3422" i="6"/>
  <c r="M3423" i="6"/>
  <c r="M3424" i="6"/>
  <c r="M3425" i="6"/>
  <c r="M3426" i="6"/>
  <c r="M3427" i="6"/>
  <c r="M3428" i="6"/>
  <c r="M3429" i="6"/>
  <c r="M3430" i="6"/>
  <c r="M3431" i="6"/>
  <c r="M3432" i="6"/>
  <c r="M3433" i="6"/>
  <c r="M3434" i="6"/>
  <c r="M3435" i="6"/>
  <c r="M3436" i="6"/>
  <c r="M3437" i="6"/>
  <c r="M3438" i="6"/>
  <c r="M3439" i="6"/>
  <c r="M3440" i="6"/>
  <c r="M3441" i="6"/>
  <c r="M3442" i="6"/>
  <c r="M3443" i="6"/>
  <c r="M3444" i="6"/>
  <c r="M3445" i="6"/>
  <c r="M3446" i="6"/>
  <c r="M3447" i="6"/>
  <c r="M3448" i="6"/>
  <c r="M3449" i="6"/>
  <c r="M3450" i="6"/>
  <c r="M3451" i="6"/>
  <c r="M3452" i="6"/>
  <c r="M3453" i="6"/>
  <c r="M3454" i="6"/>
  <c r="M3455" i="6"/>
  <c r="M3456" i="6"/>
  <c r="M3457" i="6"/>
  <c r="M3458" i="6"/>
  <c r="M3459" i="6"/>
  <c r="M3460" i="6"/>
  <c r="M3461" i="6"/>
  <c r="M3462" i="6"/>
  <c r="M3463" i="6"/>
  <c r="M3464" i="6"/>
  <c r="M3465" i="6"/>
  <c r="M3466" i="6"/>
  <c r="M3467" i="6"/>
  <c r="M3468" i="6"/>
  <c r="M3469" i="6"/>
  <c r="M3470" i="6"/>
  <c r="M3471" i="6"/>
  <c r="M3472" i="6"/>
  <c r="M3473" i="6"/>
  <c r="M3474" i="6"/>
  <c r="M3475" i="6"/>
  <c r="M3476" i="6"/>
  <c r="M3477" i="6"/>
  <c r="M3478" i="6"/>
  <c r="M3479" i="6"/>
  <c r="M3480" i="6"/>
  <c r="M3481" i="6"/>
  <c r="M3482" i="6"/>
  <c r="M3483" i="6"/>
  <c r="M3484" i="6"/>
  <c r="M3485" i="6"/>
  <c r="M3486" i="6"/>
  <c r="M3487" i="6"/>
  <c r="M3488" i="6"/>
  <c r="M3489" i="6"/>
  <c r="M3490" i="6"/>
  <c r="M3491" i="6"/>
  <c r="M3492" i="6"/>
  <c r="M3493" i="6"/>
  <c r="M3494" i="6"/>
  <c r="M3495" i="6"/>
  <c r="M3496" i="6"/>
  <c r="M3497" i="6"/>
  <c r="M3498" i="6"/>
  <c r="M3499" i="6"/>
  <c r="M3500" i="6"/>
  <c r="M3501" i="6"/>
  <c r="M3502" i="6"/>
  <c r="M3503" i="6"/>
  <c r="M3504" i="6"/>
  <c r="M3505" i="6"/>
  <c r="M3506" i="6"/>
  <c r="M3507" i="6"/>
  <c r="M3508" i="6"/>
  <c r="M3509" i="6"/>
  <c r="M3510" i="6"/>
  <c r="M3511" i="6"/>
  <c r="M3512" i="6"/>
  <c r="M3513" i="6"/>
  <c r="M3514" i="6"/>
  <c r="M3515" i="6"/>
  <c r="M3516" i="6"/>
  <c r="M3517" i="6"/>
  <c r="M3518" i="6"/>
  <c r="M3519" i="6"/>
  <c r="M3520" i="6"/>
  <c r="M3521" i="6"/>
  <c r="M3522" i="6"/>
  <c r="M3523" i="6"/>
  <c r="M3524" i="6"/>
  <c r="M3525" i="6"/>
  <c r="M3526" i="6"/>
  <c r="M3527" i="6"/>
  <c r="M3528" i="6"/>
  <c r="M3529" i="6"/>
  <c r="M3530" i="6"/>
  <c r="M3531" i="6"/>
  <c r="M3532" i="6"/>
  <c r="M3533" i="6"/>
  <c r="M3534" i="6"/>
  <c r="M3535" i="6"/>
  <c r="M3536" i="6"/>
  <c r="M3537" i="6"/>
  <c r="M3538" i="6"/>
  <c r="M3539" i="6"/>
  <c r="M3540" i="6"/>
  <c r="M3541" i="6"/>
  <c r="M3542" i="6"/>
  <c r="M3543" i="6"/>
  <c r="M3544" i="6"/>
  <c r="M3545" i="6"/>
  <c r="M3546" i="6"/>
  <c r="M3547" i="6"/>
  <c r="M3548" i="6"/>
  <c r="M3549" i="6"/>
  <c r="M3550" i="6"/>
  <c r="M3551" i="6"/>
  <c r="M3552" i="6"/>
  <c r="M3553" i="6"/>
  <c r="M3554" i="6"/>
  <c r="M3555" i="6"/>
  <c r="M3556" i="6"/>
  <c r="M3557" i="6"/>
  <c r="M3558" i="6"/>
  <c r="M3559" i="6"/>
  <c r="M3560" i="6"/>
  <c r="M3561" i="6"/>
  <c r="M3562" i="6"/>
  <c r="M3563" i="6"/>
  <c r="M3564" i="6"/>
  <c r="M3565" i="6"/>
  <c r="M3566" i="6"/>
  <c r="M3567" i="6"/>
  <c r="M3568" i="6"/>
  <c r="M3569" i="6"/>
  <c r="M3570" i="6"/>
  <c r="M3571" i="6"/>
  <c r="M3572" i="6"/>
  <c r="M3573" i="6"/>
  <c r="M3574" i="6"/>
  <c r="M3575" i="6"/>
  <c r="M3576" i="6"/>
  <c r="M3577" i="6"/>
  <c r="M3578" i="6"/>
  <c r="M3579" i="6"/>
  <c r="M3580" i="6"/>
  <c r="M3581" i="6"/>
  <c r="M3582" i="6"/>
  <c r="M3583" i="6"/>
  <c r="M3584" i="6"/>
  <c r="M3585" i="6"/>
  <c r="M3586" i="6"/>
  <c r="M3587" i="6"/>
  <c r="M3588" i="6"/>
  <c r="M3589" i="6"/>
  <c r="M3590" i="6"/>
  <c r="M3591" i="6"/>
  <c r="M3592" i="6"/>
  <c r="M3593" i="6"/>
  <c r="M3594" i="6"/>
  <c r="M3595" i="6"/>
  <c r="M3596" i="6"/>
  <c r="M3597" i="6"/>
  <c r="M3598" i="6"/>
  <c r="M3599" i="6"/>
  <c r="M3600" i="6"/>
  <c r="M3601" i="6"/>
  <c r="M3602" i="6"/>
  <c r="M3603" i="6"/>
  <c r="M3604" i="6"/>
  <c r="M3605" i="6"/>
  <c r="M3606" i="6"/>
  <c r="M3607" i="6"/>
  <c r="M3608" i="6"/>
  <c r="M3609" i="6"/>
  <c r="M3610" i="6"/>
  <c r="M3611" i="6"/>
  <c r="M3612" i="6"/>
  <c r="M3613" i="6"/>
  <c r="M3614" i="6"/>
  <c r="M3615" i="6"/>
  <c r="M3616" i="6"/>
  <c r="M3617" i="6"/>
  <c r="M3618" i="6"/>
  <c r="M3619" i="6"/>
  <c r="M3620" i="6"/>
  <c r="M3621" i="6"/>
  <c r="M3622" i="6"/>
  <c r="M3623" i="6"/>
  <c r="M3624" i="6"/>
  <c r="M3625" i="6"/>
  <c r="M3626" i="6"/>
  <c r="M3627" i="6"/>
  <c r="M3628" i="6"/>
  <c r="M3629" i="6"/>
  <c r="M3630" i="6"/>
  <c r="M3631" i="6"/>
  <c r="M3632" i="6"/>
  <c r="M3633" i="6"/>
  <c r="M3634" i="6"/>
  <c r="M3635" i="6"/>
  <c r="M3636" i="6"/>
  <c r="M3637" i="6"/>
  <c r="M3638" i="6"/>
  <c r="M3639" i="6"/>
  <c r="M3640" i="6"/>
  <c r="M3641" i="6"/>
  <c r="M3642" i="6"/>
  <c r="M3643" i="6"/>
  <c r="M3644" i="6"/>
  <c r="M3645" i="6"/>
  <c r="M3646" i="6"/>
  <c r="M3647" i="6"/>
  <c r="M3648" i="6"/>
  <c r="M3649" i="6"/>
  <c r="M3650" i="6"/>
  <c r="M3651" i="6"/>
  <c r="M3652" i="6"/>
  <c r="M3653" i="6"/>
  <c r="M3654" i="6"/>
  <c r="M3655" i="6"/>
  <c r="M3656" i="6"/>
  <c r="M3657" i="6"/>
  <c r="M3658" i="6"/>
  <c r="M3659" i="6"/>
  <c r="M3660" i="6"/>
  <c r="M3661" i="6"/>
  <c r="M3662" i="6"/>
  <c r="M3663" i="6"/>
  <c r="M3664" i="6"/>
  <c r="M3665" i="6"/>
  <c r="M3666" i="6"/>
  <c r="M3667" i="6"/>
  <c r="M3668" i="6"/>
  <c r="M3669" i="6"/>
  <c r="M3670" i="6"/>
  <c r="M3671" i="6"/>
  <c r="M3672" i="6"/>
  <c r="M3673" i="6"/>
  <c r="M3674" i="6"/>
  <c r="M3675" i="6"/>
  <c r="M3676" i="6"/>
  <c r="M3677" i="6"/>
  <c r="M3678" i="6"/>
  <c r="M3679" i="6"/>
  <c r="M3680" i="6"/>
  <c r="M3681" i="6"/>
  <c r="M3682" i="6"/>
  <c r="M3683" i="6"/>
  <c r="M3684" i="6"/>
  <c r="M3685" i="6"/>
  <c r="M3686" i="6"/>
  <c r="M3687" i="6"/>
  <c r="M3688" i="6"/>
  <c r="M3689" i="6"/>
  <c r="M3690" i="6"/>
  <c r="M3691" i="6"/>
  <c r="M3692" i="6"/>
  <c r="M3693" i="6"/>
  <c r="M3694" i="6"/>
  <c r="M3695" i="6"/>
  <c r="M3696" i="6"/>
  <c r="M3697" i="6"/>
  <c r="M3698" i="6"/>
  <c r="M3699" i="6"/>
  <c r="M3700" i="6"/>
  <c r="M3701" i="6"/>
  <c r="M3702" i="6"/>
  <c r="M3703" i="6"/>
  <c r="M3704" i="6"/>
  <c r="M3705" i="6"/>
  <c r="M3706" i="6"/>
  <c r="M3707" i="6"/>
  <c r="M3708" i="6"/>
  <c r="M3709" i="6"/>
  <c r="M3710" i="6"/>
  <c r="M3711" i="6"/>
  <c r="M3712" i="6"/>
  <c r="M3713" i="6"/>
  <c r="M3714" i="6"/>
  <c r="M3715" i="6"/>
  <c r="M3716" i="6"/>
  <c r="M3717" i="6"/>
  <c r="M3718" i="6"/>
  <c r="M3719" i="6"/>
  <c r="M3720" i="6"/>
  <c r="M3721" i="6"/>
  <c r="M3722" i="6"/>
  <c r="M3723" i="6"/>
  <c r="M3724" i="6"/>
  <c r="M3725" i="6"/>
  <c r="M3726" i="6"/>
  <c r="M3727" i="6"/>
  <c r="M3728" i="6"/>
  <c r="M3729" i="6"/>
  <c r="M3730" i="6"/>
  <c r="M3731" i="6"/>
  <c r="M3732" i="6"/>
  <c r="M3733" i="6"/>
  <c r="M3734" i="6"/>
  <c r="M3735" i="6"/>
  <c r="M3736" i="6"/>
  <c r="M3737" i="6"/>
  <c r="M3738" i="6"/>
  <c r="M3739" i="6"/>
  <c r="M3740" i="6"/>
  <c r="M3741" i="6"/>
  <c r="M3742" i="6"/>
  <c r="M3743" i="6"/>
  <c r="M3744" i="6"/>
  <c r="M3745" i="6"/>
  <c r="M3746" i="6"/>
  <c r="M3747" i="6"/>
  <c r="M3748" i="6"/>
  <c r="M3749" i="6"/>
  <c r="M3750" i="6"/>
  <c r="M3751" i="6"/>
  <c r="M3752" i="6"/>
  <c r="M3753" i="6"/>
  <c r="M3754" i="6"/>
  <c r="M3755" i="6"/>
  <c r="M3756" i="6"/>
  <c r="M3757" i="6"/>
  <c r="M3758" i="6"/>
  <c r="M3759" i="6"/>
  <c r="M3760" i="6"/>
  <c r="M3761" i="6"/>
  <c r="M3762" i="6"/>
  <c r="M3763" i="6"/>
  <c r="M3764" i="6"/>
  <c r="M3765" i="6"/>
  <c r="M3766" i="6"/>
  <c r="M3767" i="6"/>
  <c r="M3768" i="6"/>
  <c r="M3769" i="6"/>
  <c r="M3770" i="6"/>
  <c r="M3771" i="6"/>
  <c r="M3772" i="6"/>
  <c r="M3773" i="6"/>
  <c r="M3774" i="6"/>
  <c r="M3775" i="6"/>
  <c r="M3776" i="6"/>
  <c r="M3777" i="6"/>
  <c r="M3778" i="6"/>
  <c r="M3779" i="6"/>
  <c r="M3780" i="6"/>
  <c r="M3781" i="6"/>
  <c r="M3782" i="6"/>
  <c r="M3783" i="6"/>
  <c r="M3784" i="6"/>
  <c r="M3785" i="6"/>
  <c r="M3786" i="6"/>
  <c r="M3787" i="6"/>
  <c r="M3788" i="6"/>
  <c r="M3789" i="6"/>
  <c r="M3790" i="6"/>
  <c r="M3791" i="6"/>
  <c r="M3792" i="6"/>
  <c r="M3793" i="6"/>
  <c r="M3794" i="6"/>
  <c r="M3795" i="6"/>
  <c r="M3796" i="6"/>
  <c r="M3797" i="6"/>
  <c r="M3798" i="6"/>
  <c r="M3799" i="6"/>
  <c r="M3800" i="6"/>
  <c r="M3801" i="6"/>
  <c r="M3802" i="6"/>
  <c r="M3803" i="6"/>
  <c r="M3804" i="6"/>
  <c r="M3805" i="6"/>
  <c r="M3806" i="6"/>
  <c r="M3807" i="6"/>
  <c r="M3808" i="6"/>
  <c r="M3809" i="6"/>
  <c r="M3810" i="6"/>
  <c r="M3811" i="6"/>
  <c r="M3812" i="6"/>
  <c r="M3813" i="6"/>
  <c r="M3814" i="6"/>
  <c r="M3815" i="6"/>
  <c r="M3816" i="6"/>
  <c r="M3817" i="6"/>
  <c r="M3818" i="6"/>
  <c r="M3819" i="6"/>
  <c r="M3820" i="6"/>
  <c r="M3821" i="6"/>
  <c r="M3822" i="6"/>
  <c r="M3823" i="6"/>
  <c r="M3824" i="6"/>
  <c r="M3825" i="6"/>
  <c r="M3826" i="6"/>
  <c r="M3827" i="6"/>
  <c r="M3828" i="6"/>
  <c r="M3829" i="6"/>
  <c r="M3830" i="6"/>
  <c r="M3831" i="6"/>
  <c r="M3832" i="6"/>
  <c r="M3833" i="6"/>
  <c r="M3834" i="6"/>
  <c r="M3835" i="6"/>
  <c r="M3836" i="6"/>
  <c r="M3837" i="6"/>
  <c r="M3838" i="6"/>
  <c r="M3839" i="6"/>
  <c r="M3840" i="6"/>
  <c r="M3841" i="6"/>
  <c r="M3842" i="6"/>
  <c r="M3843" i="6"/>
  <c r="M3844" i="6"/>
  <c r="M3845" i="6"/>
  <c r="M3846" i="6"/>
  <c r="M3847" i="6"/>
  <c r="M3848" i="6"/>
  <c r="M3849" i="6"/>
  <c r="M3850" i="6"/>
  <c r="M3851" i="6"/>
  <c r="M3852" i="6"/>
  <c r="M3853" i="6"/>
  <c r="M3854" i="6"/>
  <c r="M3855" i="6"/>
  <c r="M3856" i="6"/>
  <c r="M3857" i="6"/>
  <c r="M3858" i="6"/>
  <c r="M3859" i="6"/>
  <c r="M3860" i="6"/>
  <c r="M3861" i="6"/>
  <c r="M3862" i="6"/>
  <c r="M3863" i="6"/>
  <c r="M3864" i="6"/>
  <c r="M3865" i="6"/>
  <c r="M3866" i="6"/>
  <c r="M3867" i="6"/>
  <c r="M3868" i="6"/>
  <c r="M3869" i="6"/>
  <c r="M3870" i="6"/>
  <c r="M3871" i="6"/>
  <c r="M3872" i="6"/>
  <c r="M3873" i="6"/>
  <c r="M3874" i="6"/>
  <c r="M3875" i="6"/>
  <c r="M3876" i="6"/>
  <c r="M3877" i="6"/>
  <c r="M3878" i="6"/>
  <c r="M3879" i="6"/>
  <c r="M3880" i="6"/>
  <c r="M3881" i="6"/>
  <c r="M3882" i="6"/>
  <c r="M3883" i="6"/>
  <c r="M3884" i="6"/>
  <c r="M3885" i="6"/>
  <c r="M3886" i="6"/>
  <c r="M3887" i="6"/>
  <c r="M3888" i="6"/>
  <c r="M3889" i="6"/>
  <c r="M3890" i="6"/>
  <c r="M3891" i="6"/>
  <c r="M3892" i="6"/>
  <c r="M3893" i="6"/>
  <c r="M3894" i="6"/>
  <c r="M3895" i="6"/>
  <c r="M3896" i="6"/>
  <c r="M3897" i="6"/>
  <c r="M3898" i="6"/>
  <c r="M3899" i="6"/>
  <c r="M3900" i="6"/>
  <c r="M3901" i="6"/>
  <c r="M3902" i="6"/>
  <c r="M3903" i="6"/>
  <c r="M3904" i="6"/>
  <c r="M3905" i="6"/>
  <c r="M3906" i="6"/>
  <c r="M3907" i="6"/>
  <c r="M3908" i="6"/>
  <c r="M3909" i="6"/>
  <c r="M3910" i="6"/>
  <c r="M3911" i="6"/>
  <c r="M3912" i="6"/>
  <c r="M3913" i="6"/>
  <c r="M3914" i="6"/>
  <c r="M3915" i="6"/>
  <c r="M3916" i="6"/>
  <c r="M3917" i="6"/>
  <c r="M3918" i="6"/>
  <c r="M3919" i="6"/>
  <c r="M3920" i="6"/>
  <c r="M3921" i="6"/>
  <c r="M3922" i="6"/>
  <c r="M3923" i="6"/>
  <c r="M3924" i="6"/>
  <c r="M3925" i="6"/>
  <c r="M3926" i="6"/>
  <c r="M3927" i="6"/>
  <c r="M3928" i="6"/>
  <c r="M3929" i="6"/>
  <c r="M3930" i="6"/>
  <c r="M3931" i="6"/>
  <c r="M3932" i="6"/>
  <c r="M3933" i="6"/>
  <c r="M3934" i="6"/>
  <c r="M3935" i="6"/>
  <c r="M3936" i="6"/>
  <c r="M3937" i="6"/>
  <c r="M3938" i="6"/>
  <c r="M3939" i="6"/>
  <c r="M3940" i="6"/>
  <c r="M3941" i="6"/>
  <c r="M3942" i="6"/>
  <c r="M3943" i="6"/>
  <c r="M3944" i="6"/>
  <c r="M3945" i="6"/>
  <c r="M3946" i="6"/>
  <c r="M3947" i="6"/>
  <c r="M3948" i="6"/>
  <c r="M3949" i="6"/>
  <c r="M3950" i="6"/>
  <c r="M3951" i="6"/>
  <c r="M3952" i="6"/>
  <c r="M3953" i="6"/>
  <c r="M3954" i="6"/>
  <c r="M3955" i="6"/>
  <c r="M3956" i="6"/>
  <c r="M3957" i="6"/>
  <c r="M3958" i="6"/>
  <c r="M3959" i="6"/>
  <c r="M3960" i="6"/>
  <c r="M3961" i="6"/>
  <c r="M3962" i="6"/>
  <c r="M3963" i="6"/>
  <c r="M3964" i="6"/>
  <c r="M3965" i="6"/>
  <c r="M3966" i="6"/>
  <c r="M3967" i="6"/>
  <c r="M3968" i="6"/>
  <c r="M3969" i="6"/>
  <c r="M3970" i="6"/>
  <c r="M3971" i="6"/>
  <c r="M3972" i="6"/>
  <c r="M3973" i="6"/>
  <c r="M3974" i="6"/>
  <c r="M3975" i="6"/>
  <c r="M3976" i="6"/>
  <c r="M3977" i="6"/>
  <c r="M3978" i="6"/>
  <c r="M3979" i="6"/>
  <c r="M3980" i="6"/>
  <c r="M3981" i="6"/>
  <c r="M3982" i="6"/>
  <c r="M3983" i="6"/>
  <c r="M3984" i="6"/>
  <c r="M3985" i="6"/>
  <c r="M3986" i="6"/>
  <c r="M3987" i="6"/>
  <c r="M3988" i="6"/>
  <c r="M3989" i="6"/>
  <c r="M3990" i="6"/>
  <c r="M3991" i="6"/>
  <c r="M3992" i="6"/>
  <c r="M3993" i="6"/>
  <c r="M3994" i="6"/>
  <c r="M3995" i="6"/>
  <c r="M3996" i="6"/>
  <c r="M3997" i="6"/>
  <c r="M3998" i="6"/>
  <c r="M3999" i="6"/>
  <c r="M4000" i="6"/>
  <c r="M4001" i="6"/>
  <c r="M4002" i="6"/>
  <c r="M4003" i="6"/>
  <c r="M4004" i="6"/>
  <c r="M4005" i="6"/>
  <c r="M4006" i="6"/>
  <c r="M4007" i="6"/>
  <c r="M4008" i="6"/>
  <c r="M4009" i="6"/>
  <c r="M4010" i="6"/>
  <c r="M4011" i="6"/>
  <c r="M4012" i="6"/>
  <c r="M4013" i="6"/>
  <c r="M4014" i="6"/>
  <c r="M4015" i="6"/>
  <c r="M4016" i="6"/>
  <c r="M4017" i="6"/>
  <c r="M4018" i="6"/>
  <c r="M4019" i="6"/>
  <c r="M4020" i="6"/>
  <c r="M4021" i="6"/>
  <c r="M4022" i="6"/>
  <c r="M4023" i="6"/>
  <c r="M4024" i="6"/>
  <c r="M4025" i="6"/>
  <c r="M4026" i="6"/>
  <c r="M4027" i="6"/>
  <c r="M4028" i="6"/>
  <c r="M4029" i="6"/>
  <c r="M4030" i="6"/>
  <c r="M4031" i="6"/>
  <c r="M4032" i="6"/>
  <c r="M4033" i="6"/>
  <c r="M4034" i="6"/>
  <c r="M4035" i="6"/>
  <c r="M4036" i="6"/>
  <c r="M4037" i="6"/>
  <c r="M4038" i="6"/>
  <c r="M4039" i="6"/>
  <c r="M4040" i="6"/>
  <c r="M4041" i="6"/>
  <c r="M4042" i="6"/>
  <c r="M4043" i="6"/>
  <c r="M4044" i="6"/>
  <c r="M4045" i="6"/>
  <c r="M4046" i="6"/>
  <c r="M4047" i="6"/>
  <c r="M4048" i="6"/>
  <c r="M4049" i="6"/>
  <c r="M4050" i="6"/>
  <c r="M4051" i="6"/>
  <c r="M4052" i="6"/>
  <c r="M4053" i="6"/>
  <c r="M4054" i="6"/>
  <c r="M4055" i="6"/>
  <c r="M4056" i="6"/>
  <c r="M4057" i="6"/>
  <c r="M4058" i="6"/>
  <c r="M4059" i="6"/>
  <c r="M4060" i="6"/>
  <c r="M4061" i="6"/>
  <c r="M4062" i="6"/>
  <c r="M4063" i="6"/>
  <c r="M4064" i="6"/>
  <c r="M4065" i="6"/>
  <c r="M4066" i="6"/>
  <c r="M4067" i="6"/>
  <c r="M4068" i="6"/>
  <c r="M4069" i="6"/>
  <c r="M4070" i="6"/>
  <c r="M4071" i="6"/>
  <c r="M4072" i="6"/>
  <c r="M4073" i="6"/>
  <c r="M4074" i="6"/>
  <c r="M4075" i="6"/>
  <c r="M4076" i="6"/>
  <c r="M4077" i="6"/>
  <c r="M4078" i="6"/>
  <c r="M4079" i="6"/>
  <c r="M4080" i="6"/>
  <c r="M4081" i="6"/>
  <c r="M4082" i="6"/>
  <c r="M4083" i="6"/>
  <c r="M4084" i="6"/>
  <c r="M4085" i="6"/>
  <c r="M4086" i="6"/>
  <c r="M4087" i="6"/>
  <c r="M4088" i="6"/>
  <c r="M4089" i="6"/>
  <c r="M4090" i="6"/>
  <c r="M4091" i="6"/>
  <c r="M4092" i="6"/>
  <c r="M4093" i="6"/>
  <c r="M4094" i="6"/>
  <c r="M4095" i="6"/>
  <c r="M4096" i="6"/>
  <c r="M4097" i="6"/>
  <c r="M4098" i="6"/>
  <c r="M4099" i="6"/>
  <c r="M4100" i="6"/>
  <c r="M4101" i="6"/>
  <c r="M4102" i="6"/>
  <c r="M4103" i="6"/>
  <c r="M4104" i="6"/>
  <c r="M4105" i="6"/>
  <c r="M4106" i="6"/>
  <c r="M4107" i="6"/>
  <c r="M4108" i="6"/>
  <c r="M4109" i="6"/>
  <c r="M4110" i="6"/>
  <c r="M4111" i="6"/>
  <c r="M4112" i="6"/>
  <c r="M4113" i="6"/>
  <c r="M4114" i="6"/>
  <c r="M4115" i="6"/>
  <c r="M4116" i="6"/>
  <c r="M4117" i="6"/>
  <c r="M4118" i="6"/>
  <c r="M4119" i="6"/>
  <c r="M4120" i="6"/>
  <c r="M4121" i="6"/>
  <c r="M4122" i="6"/>
  <c r="M4123" i="6"/>
  <c r="M4124" i="6"/>
  <c r="M4125" i="6"/>
  <c r="M4126" i="6"/>
  <c r="M4127" i="6"/>
  <c r="M4128" i="6"/>
  <c r="M4129" i="6"/>
  <c r="M4130" i="6"/>
  <c r="M4131" i="6"/>
  <c r="M4132" i="6"/>
  <c r="M4133" i="6"/>
  <c r="M4134" i="6"/>
  <c r="M4135" i="6"/>
  <c r="M4136" i="6"/>
  <c r="M4137" i="6"/>
  <c r="M4138" i="6"/>
  <c r="M4139" i="6"/>
  <c r="M4140" i="6"/>
  <c r="M4141" i="6"/>
  <c r="M4142" i="6"/>
  <c r="M4143" i="6"/>
  <c r="M4144" i="6"/>
  <c r="M4145" i="6"/>
  <c r="M4146" i="6"/>
  <c r="M4147" i="6"/>
  <c r="M4148" i="6"/>
  <c r="M4149" i="6"/>
  <c r="M4150" i="6"/>
  <c r="M4151" i="6"/>
  <c r="M4152" i="6"/>
  <c r="M4153" i="6"/>
  <c r="M4154" i="6"/>
  <c r="M4155" i="6"/>
  <c r="M4156" i="6"/>
  <c r="M4157" i="6"/>
  <c r="M4158" i="6"/>
  <c r="M4159" i="6"/>
  <c r="M4160" i="6"/>
  <c r="M4161" i="6"/>
  <c r="M4162" i="6"/>
  <c r="M4163" i="6"/>
  <c r="M4164" i="6"/>
  <c r="M4165" i="6"/>
  <c r="M4166" i="6"/>
  <c r="M4167" i="6"/>
  <c r="M4168" i="6"/>
  <c r="M4169" i="6"/>
  <c r="M4170" i="6"/>
  <c r="M4171" i="6"/>
  <c r="M4172" i="6"/>
  <c r="M4173" i="6"/>
  <c r="M4174" i="6"/>
  <c r="M4175" i="6"/>
  <c r="M4176" i="6"/>
  <c r="M4177" i="6"/>
  <c r="M4178" i="6"/>
  <c r="M4179" i="6"/>
  <c r="M4180" i="6"/>
  <c r="M4181" i="6"/>
  <c r="M4182" i="6"/>
  <c r="M4183" i="6"/>
  <c r="M4184" i="6"/>
  <c r="M4185" i="6"/>
  <c r="M4186" i="6"/>
  <c r="M4187" i="6"/>
  <c r="M4188" i="6"/>
  <c r="M4189" i="6"/>
  <c r="M4190" i="6"/>
  <c r="M4191" i="6"/>
  <c r="M4192" i="6"/>
  <c r="M4193" i="6"/>
  <c r="M4194" i="6"/>
  <c r="M4195" i="6"/>
  <c r="M4196" i="6"/>
  <c r="M4197" i="6"/>
  <c r="M4198" i="6"/>
  <c r="M4199" i="6"/>
  <c r="M4200" i="6"/>
  <c r="M4201" i="6"/>
  <c r="M4202" i="6"/>
  <c r="M4203" i="6"/>
  <c r="M4204" i="6"/>
  <c r="M4205" i="6"/>
  <c r="M4206" i="6"/>
  <c r="M4207" i="6"/>
  <c r="M4208" i="6"/>
  <c r="M4209" i="6"/>
  <c r="M4210" i="6"/>
  <c r="M4211" i="6"/>
  <c r="M4212" i="6"/>
  <c r="M4213" i="6"/>
  <c r="M4214" i="6"/>
  <c r="M4215" i="6"/>
  <c r="M4216" i="6"/>
  <c r="M4217" i="6"/>
  <c r="M4218" i="6"/>
  <c r="M4219" i="6"/>
  <c r="M4220" i="6"/>
  <c r="M4221" i="6"/>
  <c r="M4222" i="6"/>
  <c r="M4223" i="6"/>
  <c r="M4224" i="6"/>
  <c r="M4225" i="6"/>
  <c r="M4226" i="6"/>
  <c r="M4227" i="6"/>
  <c r="M4228" i="6"/>
  <c r="M4229" i="6"/>
  <c r="M4230" i="6"/>
  <c r="M4231" i="6"/>
  <c r="M4232" i="6"/>
  <c r="M4233" i="6"/>
  <c r="M4234" i="6"/>
  <c r="M4235" i="6"/>
  <c r="M4236" i="6"/>
  <c r="M4237" i="6"/>
  <c r="M4238" i="6"/>
  <c r="M4239" i="6"/>
  <c r="M4240" i="6"/>
  <c r="M4241" i="6"/>
  <c r="M4242" i="6"/>
  <c r="M4243" i="6"/>
  <c r="M4244" i="6"/>
  <c r="M4245" i="6"/>
  <c r="M4246" i="6"/>
  <c r="M4247" i="6"/>
  <c r="M4248" i="6"/>
  <c r="M4249" i="6"/>
  <c r="M4250" i="6"/>
  <c r="M4251" i="6"/>
  <c r="M4252" i="6"/>
  <c r="M4253" i="6"/>
  <c r="M4254" i="6"/>
  <c r="M4255" i="6"/>
  <c r="M4256" i="6"/>
  <c r="M4257" i="6"/>
  <c r="M4258" i="6"/>
  <c r="M4259" i="6"/>
  <c r="M4260" i="6"/>
  <c r="M4261" i="6"/>
  <c r="M4262" i="6"/>
  <c r="M4263" i="6"/>
  <c r="M4264" i="6"/>
  <c r="M4265" i="6"/>
  <c r="M4266" i="6"/>
  <c r="M4267" i="6"/>
  <c r="M4268" i="6"/>
  <c r="M4269" i="6"/>
  <c r="M4270" i="6"/>
  <c r="M4271" i="6"/>
  <c r="M4272" i="6"/>
  <c r="M4273" i="6"/>
  <c r="M4274" i="6"/>
  <c r="M4275" i="6"/>
  <c r="M4276" i="6"/>
  <c r="M4277" i="6"/>
  <c r="M4278" i="6"/>
  <c r="M4279" i="6"/>
  <c r="M4280" i="6"/>
  <c r="M4281" i="6"/>
  <c r="M4282" i="6"/>
  <c r="M4283" i="6"/>
  <c r="M4284" i="6"/>
  <c r="M4285" i="6"/>
  <c r="M4286" i="6"/>
  <c r="M4287" i="6"/>
  <c r="M4288" i="6"/>
  <c r="M4289" i="6"/>
  <c r="M4290" i="6"/>
  <c r="M4291" i="6"/>
  <c r="M4292" i="6"/>
  <c r="M4293" i="6"/>
  <c r="M4294" i="6"/>
  <c r="M4295" i="6"/>
  <c r="M4296" i="6"/>
  <c r="M4297" i="6"/>
  <c r="M4298" i="6"/>
  <c r="M4299" i="6"/>
  <c r="M4300" i="6"/>
  <c r="M4301" i="6"/>
  <c r="M4302" i="6"/>
  <c r="M4303" i="6"/>
  <c r="M4304" i="6"/>
  <c r="M4305" i="6"/>
  <c r="M4306" i="6"/>
  <c r="M4307" i="6"/>
  <c r="M4308" i="6"/>
  <c r="M4309" i="6"/>
  <c r="M4310" i="6"/>
  <c r="M4311" i="6"/>
  <c r="M4312" i="6"/>
  <c r="M4313" i="6"/>
  <c r="M4314" i="6"/>
  <c r="M4315" i="6"/>
  <c r="M4316" i="6"/>
  <c r="M4317" i="6"/>
  <c r="M4318" i="6"/>
  <c r="M4319" i="6"/>
  <c r="M4320" i="6"/>
  <c r="M4321" i="6"/>
  <c r="M4322" i="6"/>
  <c r="M4323" i="6"/>
  <c r="M4324" i="6"/>
  <c r="M4325" i="6"/>
  <c r="M4326" i="6"/>
  <c r="M4327" i="6"/>
  <c r="M4328" i="6"/>
  <c r="M4329" i="6"/>
  <c r="M4330" i="6"/>
  <c r="M4331" i="6"/>
  <c r="M4332" i="6"/>
  <c r="M4333" i="6"/>
  <c r="M4334" i="6"/>
  <c r="M4335" i="6"/>
  <c r="M4336" i="6"/>
  <c r="M4337" i="6"/>
  <c r="M4338" i="6"/>
  <c r="M4339" i="6"/>
  <c r="M4340" i="6"/>
  <c r="M4341" i="6"/>
  <c r="M4342" i="6"/>
  <c r="M4343" i="6"/>
  <c r="M4344" i="6"/>
  <c r="M4345" i="6"/>
  <c r="M4346" i="6"/>
  <c r="M4347" i="6"/>
  <c r="M4348" i="6"/>
  <c r="M4349" i="6"/>
  <c r="M4350" i="6"/>
  <c r="M4351" i="6"/>
  <c r="M4352" i="6"/>
  <c r="M4353" i="6"/>
  <c r="M4354" i="6"/>
  <c r="M4355" i="6"/>
  <c r="M4356" i="6"/>
  <c r="M4357" i="6"/>
  <c r="M4358" i="6"/>
  <c r="M4359" i="6"/>
  <c r="M4360" i="6"/>
  <c r="M4361" i="6"/>
  <c r="M4362" i="6"/>
  <c r="M4363" i="6"/>
  <c r="M4364" i="6"/>
  <c r="M4365" i="6"/>
  <c r="M4366" i="6"/>
  <c r="M4367" i="6"/>
  <c r="M4368" i="6"/>
  <c r="M4369" i="6"/>
  <c r="M4370" i="6"/>
  <c r="M4371" i="6"/>
  <c r="M4372" i="6"/>
  <c r="M4373" i="6"/>
  <c r="M4374" i="6"/>
  <c r="M4375" i="6"/>
  <c r="M4376" i="6"/>
  <c r="M4377" i="6"/>
  <c r="M4378" i="6"/>
  <c r="M4379" i="6"/>
  <c r="M4380" i="6"/>
  <c r="M4381" i="6"/>
  <c r="M4382" i="6"/>
  <c r="M4383" i="6"/>
  <c r="M4384" i="6"/>
  <c r="M4385" i="6"/>
  <c r="M4386" i="6"/>
  <c r="M4387" i="6"/>
  <c r="M4388" i="6"/>
  <c r="M4389" i="6"/>
  <c r="M4390" i="6"/>
  <c r="M4391" i="6"/>
  <c r="M4392" i="6"/>
  <c r="M4393" i="6"/>
  <c r="M4394" i="6"/>
  <c r="M4395" i="6"/>
  <c r="M4396" i="6"/>
  <c r="M4397" i="6"/>
  <c r="M4398" i="6"/>
  <c r="M4399" i="6"/>
  <c r="M4400" i="6"/>
  <c r="M4401" i="6"/>
  <c r="M4402" i="6"/>
  <c r="M4403" i="6"/>
  <c r="M4404" i="6"/>
  <c r="M4405" i="6"/>
  <c r="M4406" i="6"/>
  <c r="M4407" i="6"/>
  <c r="M4408" i="6"/>
  <c r="M4409" i="6"/>
  <c r="M4410" i="6"/>
  <c r="M4411" i="6"/>
  <c r="M4412" i="6"/>
  <c r="M4413" i="6"/>
  <c r="M4414" i="6"/>
  <c r="M4415" i="6"/>
  <c r="M4416" i="6"/>
  <c r="M4417" i="6"/>
  <c r="M4418" i="6"/>
  <c r="M4419" i="6"/>
  <c r="M4420" i="6"/>
  <c r="M4421" i="6"/>
  <c r="M4422" i="6"/>
  <c r="M4423" i="6"/>
  <c r="M4424" i="6"/>
  <c r="M4425" i="6"/>
  <c r="M4426" i="6"/>
  <c r="M4427" i="6"/>
  <c r="M4428" i="6"/>
  <c r="M4429" i="6"/>
  <c r="M4430" i="6"/>
  <c r="M4431" i="6"/>
  <c r="M4432" i="6"/>
  <c r="M4433" i="6"/>
  <c r="M4434" i="6"/>
  <c r="M4435" i="6"/>
  <c r="M4436" i="6"/>
  <c r="M4437" i="6"/>
  <c r="M4438" i="6"/>
  <c r="M4439" i="6"/>
  <c r="M4440" i="6"/>
  <c r="M4441" i="6"/>
  <c r="M4442" i="6"/>
  <c r="M4443" i="6"/>
  <c r="M4444" i="6"/>
  <c r="M4445" i="6"/>
  <c r="M4446" i="6"/>
  <c r="M4447" i="6"/>
  <c r="M4448" i="6"/>
  <c r="M4449" i="6"/>
  <c r="M4450" i="6"/>
  <c r="M4451" i="6"/>
  <c r="M4452" i="6"/>
  <c r="M4453" i="6"/>
  <c r="M4454" i="6"/>
  <c r="M4455" i="6"/>
  <c r="M4456" i="6"/>
  <c r="M4457" i="6"/>
  <c r="M4458" i="6"/>
  <c r="M4459" i="6"/>
  <c r="M4460" i="6"/>
  <c r="M4461" i="6"/>
  <c r="M4462" i="6"/>
  <c r="M4463" i="6"/>
  <c r="M4464" i="6"/>
  <c r="M4465" i="6"/>
  <c r="M4466" i="6"/>
  <c r="M4467" i="6"/>
  <c r="M4468" i="6"/>
  <c r="M4469" i="6"/>
  <c r="M4470" i="6"/>
  <c r="M4471" i="6"/>
  <c r="M4472" i="6"/>
  <c r="M4473" i="6"/>
  <c r="M4474" i="6"/>
  <c r="M4475" i="6"/>
  <c r="M4476" i="6"/>
  <c r="M4477" i="6"/>
  <c r="M4478" i="6"/>
  <c r="M4479" i="6"/>
  <c r="M4480" i="6"/>
  <c r="M4481" i="6"/>
  <c r="M4482" i="6"/>
  <c r="M4483" i="6"/>
  <c r="M4484" i="6"/>
  <c r="M4485" i="6"/>
  <c r="M4486" i="6"/>
  <c r="M4487" i="6"/>
  <c r="M4488" i="6"/>
  <c r="M4489" i="6"/>
  <c r="M4490" i="6"/>
  <c r="M4491" i="6"/>
  <c r="M4492" i="6"/>
  <c r="M4493" i="6"/>
  <c r="M4494" i="6"/>
  <c r="M4495" i="6"/>
  <c r="M4496" i="6"/>
  <c r="M4497" i="6"/>
  <c r="M4498" i="6"/>
  <c r="M4499" i="6"/>
  <c r="M4500" i="6"/>
  <c r="M4501" i="6"/>
  <c r="M4502" i="6"/>
  <c r="M4503" i="6"/>
  <c r="M4504" i="6"/>
  <c r="M4505" i="6"/>
  <c r="M4506" i="6"/>
  <c r="M4507" i="6"/>
  <c r="M4508" i="6"/>
  <c r="M4509" i="6"/>
  <c r="M4510" i="6"/>
  <c r="M4511" i="6"/>
  <c r="M4512" i="6"/>
  <c r="M4513" i="6"/>
  <c r="M4514" i="6"/>
  <c r="M4515" i="6"/>
  <c r="M4516" i="6"/>
  <c r="M4517" i="6"/>
  <c r="M4518" i="6"/>
  <c r="M4519" i="6"/>
  <c r="M4520" i="6"/>
  <c r="M4521" i="6"/>
  <c r="M4522" i="6"/>
  <c r="M4523" i="6"/>
  <c r="M4524" i="6"/>
  <c r="M4525" i="6"/>
  <c r="M4526" i="6"/>
  <c r="M4527" i="6"/>
  <c r="M4528" i="6"/>
  <c r="M4529" i="6"/>
  <c r="M4530" i="6"/>
  <c r="M4531" i="6"/>
  <c r="M4532" i="6"/>
  <c r="M4533" i="6"/>
  <c r="M4534" i="6"/>
  <c r="M4535" i="6"/>
  <c r="M4536" i="6"/>
  <c r="M4537" i="6"/>
  <c r="M4538" i="6"/>
  <c r="M4539" i="6"/>
  <c r="M4540" i="6"/>
  <c r="M4541" i="6"/>
  <c r="M4542" i="6"/>
  <c r="M4543" i="6"/>
  <c r="M4544" i="6"/>
  <c r="M4545" i="6"/>
  <c r="M4546" i="6"/>
  <c r="M4547" i="6"/>
  <c r="M4548" i="6"/>
  <c r="M4549" i="6"/>
  <c r="M4550" i="6"/>
  <c r="M4551" i="6"/>
  <c r="M4552" i="6"/>
  <c r="M4553" i="6"/>
  <c r="M4554" i="6"/>
  <c r="M4555" i="6"/>
  <c r="M4556" i="6"/>
  <c r="M4557" i="6"/>
  <c r="M4558" i="6"/>
  <c r="M4559" i="6"/>
  <c r="M4560" i="6"/>
  <c r="M4561" i="6"/>
  <c r="M4562" i="6"/>
  <c r="M4563" i="6"/>
  <c r="M4564" i="6"/>
  <c r="M4565" i="6"/>
  <c r="M4566" i="6"/>
  <c r="M4567" i="6"/>
  <c r="M4568" i="6"/>
  <c r="M4569" i="6"/>
  <c r="M4570" i="6"/>
  <c r="M4571" i="6"/>
  <c r="M4572" i="6"/>
  <c r="M4573" i="6"/>
  <c r="M4574" i="6"/>
  <c r="M4575" i="6"/>
  <c r="M4576" i="6"/>
  <c r="M4577" i="6"/>
  <c r="M4578" i="6"/>
  <c r="M4579" i="6"/>
  <c r="M4580" i="6"/>
  <c r="M4581" i="6"/>
  <c r="M4582" i="6"/>
  <c r="M4583" i="6"/>
  <c r="M4584" i="6"/>
  <c r="M4585" i="6"/>
  <c r="M4586" i="6"/>
  <c r="M4587" i="6"/>
  <c r="M4588" i="6"/>
  <c r="M4589" i="6"/>
  <c r="M4590" i="6"/>
  <c r="M4591" i="6"/>
  <c r="M4592" i="6"/>
  <c r="M4593" i="6"/>
  <c r="M4594" i="6"/>
  <c r="M4595" i="6"/>
  <c r="M4596" i="6"/>
  <c r="M4597" i="6"/>
  <c r="M4598" i="6"/>
  <c r="M4599" i="6"/>
  <c r="M4600" i="6"/>
  <c r="M4601" i="6"/>
  <c r="M4602" i="6"/>
  <c r="M4603" i="6"/>
  <c r="M4604" i="6"/>
  <c r="M4605" i="6"/>
  <c r="M4606" i="6"/>
  <c r="M4607" i="6"/>
  <c r="M4608" i="6"/>
  <c r="M4609" i="6"/>
  <c r="M4610" i="6"/>
  <c r="M4611" i="6"/>
  <c r="M4612" i="6"/>
  <c r="M4613" i="6"/>
  <c r="M4614" i="6"/>
  <c r="M4615" i="6"/>
  <c r="M4616" i="6"/>
  <c r="M4617" i="6"/>
  <c r="M4618" i="6"/>
  <c r="M4619" i="6"/>
  <c r="M4620" i="6"/>
  <c r="M4621" i="6"/>
  <c r="M4622" i="6"/>
  <c r="M4623" i="6"/>
  <c r="M4624" i="6"/>
  <c r="M4625" i="6"/>
  <c r="M4626" i="6"/>
  <c r="M4627" i="6"/>
  <c r="M4628" i="6"/>
  <c r="M4629" i="6"/>
  <c r="M4630" i="6"/>
  <c r="M4631" i="6"/>
  <c r="M4632" i="6"/>
  <c r="M4633" i="6"/>
  <c r="M4634" i="6"/>
  <c r="M4635" i="6"/>
  <c r="M4636" i="6"/>
  <c r="M4637" i="6"/>
  <c r="M4638" i="6"/>
  <c r="M4639" i="6"/>
  <c r="M4640" i="6"/>
  <c r="M4641" i="6"/>
  <c r="M4642" i="6"/>
  <c r="M4643" i="6"/>
  <c r="M4644" i="6"/>
  <c r="M4645" i="6"/>
  <c r="M4646" i="6"/>
  <c r="M4647" i="6"/>
  <c r="M4648" i="6"/>
  <c r="M4649" i="6"/>
  <c r="M4650" i="6"/>
  <c r="M4651" i="6"/>
  <c r="M4652" i="6"/>
  <c r="M4653" i="6"/>
  <c r="M4654" i="6"/>
  <c r="M4655" i="6"/>
  <c r="M4656" i="6"/>
  <c r="M4657" i="6"/>
  <c r="M4658" i="6"/>
  <c r="M4659" i="6"/>
  <c r="M4660" i="6"/>
  <c r="M4661" i="6"/>
  <c r="M4662" i="6"/>
  <c r="M4663" i="6"/>
  <c r="M4664" i="6"/>
  <c r="M4665" i="6"/>
  <c r="M4666" i="6"/>
  <c r="M4667" i="6"/>
  <c r="M4668" i="6"/>
  <c r="M4669" i="6"/>
  <c r="M4670" i="6"/>
  <c r="M4671" i="6"/>
  <c r="M4672" i="6"/>
  <c r="M4673" i="6"/>
  <c r="M4674" i="6"/>
  <c r="M4675" i="6"/>
  <c r="M4676" i="6"/>
  <c r="M4677" i="6"/>
  <c r="M4678" i="6"/>
  <c r="M4679" i="6"/>
  <c r="M4680" i="6"/>
  <c r="M4681" i="6"/>
  <c r="M4682" i="6"/>
  <c r="M4683" i="6"/>
  <c r="M4684" i="6"/>
  <c r="M4685" i="6"/>
  <c r="M4686" i="6"/>
  <c r="M4687" i="6"/>
  <c r="M4688" i="6"/>
  <c r="M4689" i="6"/>
  <c r="M4690" i="6"/>
  <c r="M4691" i="6"/>
  <c r="M4692" i="6"/>
  <c r="M4693" i="6"/>
  <c r="M4694" i="6"/>
  <c r="M4695" i="6"/>
  <c r="M4696" i="6"/>
  <c r="M4697" i="6"/>
  <c r="M4698" i="6"/>
  <c r="M4699" i="6"/>
  <c r="M4700" i="6"/>
  <c r="M4701" i="6"/>
  <c r="M4702" i="6"/>
  <c r="M4703" i="6"/>
  <c r="M4704" i="6"/>
  <c r="M4705" i="6"/>
  <c r="M4706" i="6"/>
  <c r="M4707" i="6"/>
  <c r="M4708" i="6"/>
  <c r="M4709" i="6"/>
  <c r="M4710" i="6"/>
  <c r="M4711" i="6"/>
  <c r="M4712" i="6"/>
  <c r="M4713" i="6"/>
  <c r="M4714" i="6"/>
  <c r="M4715" i="6"/>
  <c r="M4716" i="6"/>
  <c r="M4717" i="6"/>
  <c r="M4718" i="6"/>
  <c r="M4719" i="6"/>
  <c r="M4720" i="6"/>
  <c r="M4721" i="6"/>
  <c r="M4722" i="6"/>
  <c r="M4723" i="6"/>
  <c r="M4724" i="6"/>
  <c r="M4725" i="6"/>
  <c r="M4726" i="6"/>
  <c r="M4727" i="6"/>
  <c r="M4728" i="6"/>
  <c r="M4729" i="6"/>
  <c r="M4730" i="6"/>
  <c r="M4731" i="6"/>
  <c r="M4732" i="6"/>
  <c r="M4733" i="6"/>
  <c r="M4734" i="6"/>
  <c r="M4735" i="6"/>
  <c r="M4736" i="6"/>
  <c r="M4737" i="6"/>
  <c r="M4738" i="6"/>
  <c r="M4739" i="6"/>
  <c r="M4740" i="6"/>
  <c r="M4741" i="6"/>
  <c r="M4742" i="6"/>
  <c r="M4743" i="6"/>
  <c r="M4744" i="6"/>
  <c r="M4745" i="6"/>
  <c r="M4746" i="6"/>
  <c r="M4747" i="6"/>
  <c r="M4748" i="6"/>
  <c r="M4749" i="6"/>
  <c r="M4750" i="6"/>
  <c r="M4751" i="6"/>
  <c r="M4752" i="6"/>
  <c r="M4753" i="6"/>
  <c r="M4754" i="6"/>
  <c r="M4755" i="6"/>
  <c r="M4756" i="6"/>
  <c r="M4757" i="6"/>
  <c r="M4758" i="6"/>
  <c r="M4759" i="6"/>
  <c r="M4760" i="6"/>
  <c r="M4761" i="6"/>
  <c r="M4762" i="6"/>
  <c r="M4763" i="6"/>
  <c r="M4764" i="6"/>
  <c r="M4765" i="6"/>
  <c r="M4766" i="6"/>
  <c r="M4767" i="6"/>
  <c r="M4768" i="6"/>
  <c r="M4769" i="6"/>
  <c r="M4770" i="6"/>
  <c r="M4771" i="6"/>
  <c r="M4772" i="6"/>
  <c r="M4773" i="6"/>
  <c r="M4774" i="6"/>
  <c r="M4775" i="6"/>
  <c r="M4776" i="6"/>
  <c r="M4777" i="6"/>
  <c r="M4778" i="6"/>
  <c r="M4779" i="6"/>
  <c r="M4780" i="6"/>
  <c r="M4781" i="6"/>
  <c r="M4782" i="6"/>
  <c r="M4783" i="6"/>
  <c r="M4784" i="6"/>
  <c r="M4785" i="6"/>
  <c r="M4786" i="6"/>
  <c r="M4787" i="6"/>
  <c r="M4788" i="6"/>
  <c r="M4789" i="6"/>
  <c r="M4790" i="6"/>
  <c r="M4791" i="6"/>
  <c r="M4792" i="6"/>
  <c r="M4793" i="6"/>
  <c r="M4794" i="6"/>
  <c r="M4795" i="6"/>
  <c r="M4796" i="6"/>
  <c r="M4797" i="6"/>
  <c r="M4798" i="6"/>
  <c r="M4799" i="6"/>
  <c r="M4800" i="6"/>
  <c r="M4801" i="6"/>
  <c r="M4802" i="6"/>
  <c r="M4803" i="6"/>
  <c r="M4804" i="6"/>
  <c r="M4805" i="6"/>
  <c r="M4806" i="6"/>
  <c r="M4807" i="6"/>
  <c r="M4808" i="6"/>
  <c r="M4809" i="6"/>
  <c r="M4810" i="6"/>
  <c r="M4811" i="6"/>
  <c r="M4812" i="6"/>
  <c r="M4813" i="6"/>
  <c r="M4814" i="6"/>
  <c r="M4815" i="6"/>
  <c r="M4816" i="6"/>
  <c r="M4817" i="6"/>
  <c r="M4818" i="6"/>
  <c r="M4819" i="6"/>
  <c r="M4820" i="6"/>
  <c r="M4821" i="6"/>
  <c r="M4822" i="6"/>
  <c r="M4823" i="6"/>
  <c r="M4824" i="6"/>
  <c r="M4825" i="6"/>
  <c r="M4826" i="6"/>
  <c r="M4827" i="6"/>
  <c r="M4828" i="6"/>
  <c r="M4829" i="6"/>
  <c r="M4830" i="6"/>
  <c r="M4831" i="6"/>
  <c r="M4832" i="6"/>
  <c r="M4833" i="6"/>
  <c r="M4834" i="6"/>
  <c r="M4835" i="6"/>
  <c r="M4836" i="6"/>
  <c r="M4837" i="6"/>
  <c r="M4838" i="6"/>
  <c r="M4839" i="6"/>
  <c r="M4840" i="6"/>
  <c r="M4841" i="6"/>
  <c r="M4842" i="6"/>
  <c r="M4843" i="6"/>
  <c r="M4844" i="6"/>
  <c r="M4845" i="6"/>
  <c r="M4846" i="6"/>
  <c r="M4847" i="6"/>
  <c r="M4848" i="6"/>
  <c r="M4849" i="6"/>
  <c r="M4850" i="6"/>
  <c r="M4851" i="6"/>
  <c r="M4852" i="6"/>
  <c r="M4853" i="6"/>
  <c r="M4854" i="6"/>
  <c r="M4855" i="6"/>
  <c r="M4856" i="6"/>
  <c r="M4857" i="6"/>
  <c r="M4858" i="6"/>
  <c r="M4859" i="6"/>
  <c r="M4860" i="6"/>
  <c r="M4861" i="6"/>
  <c r="M4862" i="6"/>
  <c r="M4863" i="6"/>
  <c r="M4864" i="6"/>
  <c r="M4865" i="6"/>
  <c r="M4866" i="6"/>
  <c r="M4867" i="6"/>
  <c r="M4868" i="6"/>
  <c r="M4869" i="6"/>
  <c r="M4870" i="6"/>
  <c r="M4871" i="6"/>
  <c r="M4872" i="6"/>
  <c r="M4873" i="6"/>
  <c r="M4874" i="6"/>
  <c r="M4875" i="6"/>
  <c r="M4876" i="6"/>
  <c r="M4877" i="6"/>
  <c r="M4878" i="6"/>
  <c r="M4879" i="6"/>
  <c r="M4880" i="6"/>
  <c r="M4881" i="6"/>
  <c r="M4882" i="6"/>
  <c r="M4883" i="6"/>
  <c r="M4884" i="6"/>
  <c r="M4885" i="6"/>
  <c r="M4886" i="6"/>
  <c r="M4887" i="6"/>
  <c r="M4888" i="6"/>
  <c r="M4889" i="6"/>
  <c r="M4890" i="6"/>
  <c r="M4891" i="6"/>
  <c r="M4892" i="6"/>
  <c r="M4893" i="6"/>
  <c r="M4894" i="6"/>
  <c r="M4895" i="6"/>
  <c r="M4896" i="6"/>
  <c r="M4897" i="6"/>
  <c r="M4898" i="6"/>
  <c r="M4899" i="6"/>
  <c r="M4900" i="6"/>
  <c r="M4901" i="6"/>
  <c r="M4902" i="6"/>
  <c r="M4903" i="6"/>
  <c r="M4904" i="6"/>
  <c r="M4905" i="6"/>
  <c r="M4906" i="6"/>
  <c r="M4907" i="6"/>
  <c r="M4908" i="6"/>
  <c r="M4909" i="6"/>
  <c r="M4910" i="6"/>
  <c r="M4911" i="6"/>
  <c r="M4912" i="6"/>
  <c r="M4913" i="6"/>
  <c r="M4914" i="6"/>
  <c r="M4915" i="6"/>
  <c r="M4916" i="6"/>
  <c r="M4917" i="6"/>
  <c r="M4918" i="6"/>
  <c r="M4919" i="6"/>
  <c r="M4920" i="6"/>
  <c r="M4921" i="6"/>
  <c r="M4922" i="6"/>
  <c r="M4923" i="6"/>
  <c r="M4924" i="6"/>
  <c r="M4925" i="6"/>
  <c r="M4926" i="6"/>
  <c r="M4927" i="6"/>
  <c r="M4928" i="6"/>
  <c r="M4929" i="6"/>
  <c r="M4930" i="6"/>
  <c r="M4931" i="6"/>
  <c r="M4932" i="6"/>
  <c r="M4933" i="6"/>
  <c r="M4934" i="6"/>
  <c r="M4935" i="6"/>
  <c r="M4936" i="6"/>
  <c r="M4937" i="6"/>
  <c r="M4938" i="6"/>
  <c r="M4939" i="6"/>
  <c r="M4940" i="6"/>
  <c r="M4941" i="6"/>
  <c r="M4942" i="6"/>
  <c r="M4943" i="6"/>
  <c r="M4944" i="6"/>
  <c r="M4945" i="6"/>
  <c r="M4946" i="6"/>
  <c r="M4947" i="6"/>
  <c r="M4948" i="6"/>
  <c r="M4949" i="6"/>
  <c r="M4950" i="6"/>
  <c r="M4951" i="6"/>
  <c r="M4952" i="6"/>
  <c r="M4953" i="6"/>
  <c r="M4954" i="6"/>
  <c r="M4955" i="6"/>
  <c r="M4956" i="6"/>
  <c r="M4957" i="6"/>
  <c r="M4958" i="6"/>
  <c r="M4959" i="6"/>
  <c r="M4960" i="6"/>
  <c r="M4961" i="6"/>
  <c r="M4962" i="6"/>
  <c r="M4963" i="6"/>
  <c r="M4964" i="6"/>
  <c r="M4965" i="6"/>
  <c r="M4966" i="6"/>
  <c r="M4967" i="6"/>
  <c r="M4968" i="6"/>
  <c r="M4969" i="6"/>
  <c r="M4970" i="6"/>
  <c r="M4971" i="6"/>
  <c r="M4972" i="6"/>
  <c r="M4973" i="6"/>
  <c r="M4974" i="6"/>
  <c r="M4975" i="6"/>
  <c r="M4976" i="6"/>
  <c r="M4977" i="6"/>
  <c r="M4978" i="6"/>
  <c r="M4979" i="6"/>
  <c r="M4980" i="6"/>
  <c r="M4981" i="6"/>
  <c r="M4982" i="6"/>
  <c r="M4983" i="6"/>
  <c r="M4984" i="6"/>
  <c r="M4985" i="6"/>
  <c r="M4986" i="6"/>
  <c r="M4987" i="6"/>
  <c r="M4988" i="6"/>
  <c r="M4989" i="6"/>
  <c r="M4990" i="6"/>
  <c r="M4991" i="6"/>
  <c r="M4992" i="6"/>
  <c r="M4993" i="6"/>
  <c r="M4994" i="6"/>
  <c r="M4995" i="6"/>
  <c r="M4996" i="6"/>
  <c r="M4997" i="6"/>
  <c r="M4998" i="6"/>
  <c r="M4999" i="6"/>
  <c r="M5000" i="6"/>
  <c r="M5001" i="6"/>
  <c r="M5002" i="6"/>
  <c r="M5003" i="6"/>
  <c r="M5004" i="6"/>
  <c r="M5005" i="6"/>
  <c r="M5006" i="6"/>
  <c r="M5007" i="6"/>
  <c r="M5008" i="6"/>
  <c r="M5009" i="6"/>
  <c r="M5010" i="6"/>
  <c r="M5011" i="6"/>
  <c r="M5012" i="6"/>
  <c r="M5013" i="6"/>
  <c r="M5014" i="6"/>
  <c r="M5015" i="6"/>
  <c r="M5016" i="6"/>
  <c r="M5017" i="6"/>
  <c r="M5018" i="6"/>
  <c r="M5019" i="6"/>
  <c r="M5020" i="6"/>
  <c r="M5021" i="6"/>
  <c r="M5022" i="6"/>
  <c r="M5023" i="6"/>
  <c r="M5024" i="6"/>
  <c r="M5025" i="6"/>
  <c r="M5026" i="6"/>
  <c r="M5027" i="6"/>
  <c r="M5028" i="6"/>
  <c r="M5029" i="6"/>
  <c r="M5030" i="6"/>
  <c r="M5031" i="6"/>
  <c r="M5032" i="6"/>
  <c r="M5033" i="6"/>
  <c r="M5034" i="6"/>
  <c r="M5035" i="6"/>
  <c r="M5036" i="6"/>
  <c r="M5037" i="6"/>
  <c r="M5038" i="6"/>
  <c r="M5039" i="6"/>
  <c r="M5040" i="6"/>
  <c r="M5041" i="6"/>
  <c r="M5042" i="6"/>
  <c r="M5043" i="6"/>
  <c r="M5044" i="6"/>
  <c r="M5045" i="6"/>
  <c r="M5046" i="6"/>
  <c r="M5047" i="6"/>
  <c r="M5048" i="6"/>
  <c r="M5049" i="6"/>
  <c r="M5050" i="6"/>
  <c r="M5051" i="6"/>
  <c r="M5052" i="6"/>
  <c r="M5053" i="6"/>
  <c r="M5054" i="6"/>
  <c r="M5055" i="6"/>
  <c r="M5056" i="6"/>
  <c r="M5057" i="6"/>
  <c r="M5058" i="6"/>
  <c r="M5059" i="6"/>
  <c r="M5060" i="6"/>
  <c r="M5061" i="6"/>
  <c r="M5062" i="6"/>
  <c r="M5063" i="6"/>
  <c r="M5064" i="6"/>
  <c r="M5065" i="6"/>
  <c r="M5066" i="6"/>
  <c r="M5067" i="6"/>
  <c r="M5068" i="6"/>
  <c r="M5069" i="6"/>
  <c r="M5070" i="6"/>
  <c r="M5071" i="6"/>
  <c r="M5072" i="6"/>
  <c r="M5073" i="6"/>
  <c r="M5074" i="6"/>
  <c r="M5075" i="6"/>
  <c r="M5076" i="6"/>
  <c r="M5077" i="6"/>
  <c r="M5078" i="6"/>
  <c r="M5079" i="6"/>
  <c r="M5080" i="6"/>
  <c r="M5081" i="6"/>
  <c r="M5082" i="6"/>
  <c r="M5083" i="6"/>
  <c r="M5084" i="6"/>
  <c r="M5085" i="6"/>
  <c r="M5086" i="6"/>
  <c r="M5087" i="6"/>
  <c r="M5088" i="6"/>
  <c r="M5089" i="6"/>
  <c r="M5090" i="6"/>
  <c r="M5091" i="6"/>
  <c r="M5092" i="6"/>
  <c r="M5093" i="6"/>
  <c r="M5094" i="6"/>
  <c r="M5095" i="6"/>
  <c r="M5096" i="6"/>
  <c r="M5097" i="6"/>
  <c r="M5098" i="6"/>
  <c r="M5099" i="6"/>
  <c r="M5100" i="6"/>
  <c r="M5101" i="6"/>
  <c r="M5102" i="6"/>
  <c r="M5103" i="6"/>
  <c r="M5104" i="6"/>
  <c r="M5105" i="6"/>
  <c r="M5106" i="6"/>
  <c r="M5107" i="6"/>
  <c r="M5108" i="6"/>
  <c r="M5109" i="6"/>
  <c r="M5110" i="6"/>
  <c r="M5111" i="6"/>
  <c r="M5112" i="6"/>
  <c r="M5113" i="6"/>
  <c r="M5114" i="6"/>
  <c r="M5115" i="6"/>
  <c r="M5116" i="6"/>
  <c r="M5117" i="6"/>
  <c r="M5118" i="6"/>
  <c r="M5119" i="6"/>
  <c r="M5120" i="6"/>
  <c r="M5121" i="6"/>
  <c r="M5122" i="6"/>
  <c r="M5123" i="6"/>
  <c r="M5124" i="6"/>
  <c r="M5125" i="6"/>
  <c r="M5126" i="6"/>
  <c r="M5127" i="6"/>
  <c r="M5128" i="6"/>
  <c r="M5129" i="6"/>
  <c r="M5130" i="6"/>
  <c r="M5131" i="6"/>
  <c r="M5132" i="6"/>
  <c r="M5133" i="6"/>
  <c r="M5134" i="6"/>
  <c r="M5135" i="6"/>
  <c r="M5136" i="6"/>
  <c r="M5137" i="6"/>
  <c r="M5138" i="6"/>
  <c r="M5139" i="6"/>
  <c r="M5140" i="6"/>
  <c r="M5141" i="6"/>
  <c r="M5142" i="6"/>
  <c r="M5143" i="6"/>
  <c r="M5144" i="6"/>
  <c r="M5145" i="6"/>
  <c r="M5146" i="6"/>
  <c r="M5147" i="6"/>
  <c r="M5148" i="6"/>
  <c r="M5149" i="6"/>
  <c r="M5150" i="6"/>
  <c r="M5151" i="6"/>
  <c r="M5152" i="6"/>
  <c r="M5153" i="6"/>
  <c r="M5154" i="6"/>
  <c r="M5155" i="6"/>
  <c r="M5156" i="6"/>
  <c r="M5157" i="6"/>
  <c r="M5158" i="6"/>
  <c r="M5159" i="6"/>
  <c r="M5160" i="6"/>
  <c r="M5161" i="6"/>
  <c r="M5162" i="6"/>
  <c r="M5163" i="6"/>
  <c r="M5164" i="6"/>
  <c r="M5165" i="6"/>
  <c r="M5166" i="6"/>
  <c r="M5167" i="6"/>
  <c r="M5168" i="6"/>
  <c r="M5169" i="6"/>
  <c r="M5170" i="6"/>
  <c r="M5171" i="6"/>
  <c r="M5172" i="6"/>
  <c r="M5173" i="6"/>
  <c r="M5174" i="6"/>
  <c r="M5175" i="6"/>
  <c r="M5176" i="6"/>
  <c r="M5177" i="6"/>
  <c r="M5178" i="6"/>
  <c r="M5179" i="6"/>
  <c r="M5180" i="6"/>
  <c r="M5181" i="6"/>
  <c r="M5182" i="6"/>
  <c r="M5183" i="6"/>
  <c r="M5184" i="6"/>
  <c r="M5185" i="6"/>
  <c r="M5186" i="6"/>
  <c r="M5187" i="6"/>
  <c r="M5188" i="6"/>
  <c r="M5189" i="6"/>
  <c r="M5190" i="6"/>
  <c r="M5191" i="6"/>
  <c r="M5192" i="6"/>
  <c r="M5193" i="6"/>
  <c r="M5194" i="6"/>
  <c r="M5195" i="6"/>
  <c r="M5196" i="6"/>
  <c r="M5197" i="6"/>
  <c r="M5198" i="6"/>
  <c r="M5199" i="6"/>
  <c r="M5200" i="6"/>
  <c r="M5201" i="6"/>
  <c r="M5202" i="6"/>
  <c r="M5203" i="6"/>
  <c r="M5204" i="6"/>
  <c r="M5205" i="6"/>
  <c r="M5206" i="6"/>
  <c r="M5207" i="6"/>
  <c r="M5208" i="6"/>
  <c r="M5209" i="6"/>
  <c r="M5210" i="6"/>
  <c r="M5211" i="6"/>
  <c r="M5212" i="6"/>
  <c r="M5213" i="6"/>
  <c r="M5214" i="6"/>
  <c r="M5215" i="6"/>
  <c r="M5216" i="6"/>
  <c r="M5217" i="6"/>
  <c r="M5218" i="6"/>
  <c r="M5219" i="6"/>
  <c r="M5220" i="6"/>
  <c r="M5221" i="6"/>
  <c r="M5222" i="6"/>
  <c r="M5223" i="6"/>
  <c r="M5224" i="6"/>
  <c r="M5225" i="6"/>
  <c r="M5226" i="6"/>
  <c r="M5227" i="6"/>
  <c r="M5228" i="6"/>
  <c r="M5229" i="6"/>
  <c r="M5230" i="6"/>
  <c r="M5231" i="6"/>
  <c r="M5232" i="6"/>
  <c r="M5233" i="6"/>
  <c r="M5234" i="6"/>
  <c r="M5235" i="6"/>
  <c r="M5236" i="6"/>
  <c r="M5237" i="6"/>
  <c r="M5238" i="6"/>
  <c r="M5239" i="6"/>
  <c r="M5240" i="6"/>
  <c r="M5241" i="6"/>
  <c r="M5242" i="6"/>
  <c r="M5243" i="6"/>
  <c r="M5244" i="6"/>
  <c r="M5245" i="6"/>
  <c r="M5246" i="6"/>
  <c r="M5247" i="6"/>
  <c r="M5248" i="6"/>
  <c r="M5249" i="6"/>
  <c r="M5250" i="6"/>
  <c r="M5251" i="6"/>
  <c r="M5252" i="6"/>
  <c r="M5253" i="6"/>
  <c r="M5254" i="6"/>
  <c r="M5255" i="6"/>
  <c r="M5256" i="6"/>
  <c r="M5257" i="6"/>
  <c r="M5258" i="6"/>
  <c r="M5259" i="6"/>
  <c r="M5260" i="6"/>
  <c r="M5261" i="6"/>
  <c r="M5262" i="6"/>
  <c r="M5263" i="6"/>
  <c r="M5264" i="6"/>
  <c r="M5265" i="6"/>
  <c r="M5266" i="6"/>
  <c r="M5267" i="6"/>
  <c r="M5268" i="6"/>
  <c r="M5269" i="6"/>
  <c r="M5270" i="6"/>
  <c r="M5271" i="6"/>
  <c r="M5272" i="6"/>
  <c r="M5273" i="6"/>
  <c r="M5274" i="6"/>
  <c r="M5275" i="6"/>
  <c r="M5276" i="6"/>
  <c r="M5277" i="6"/>
  <c r="M5278" i="6"/>
  <c r="M5279" i="6"/>
  <c r="M5280" i="6"/>
  <c r="M5281" i="6"/>
  <c r="M5282" i="6"/>
  <c r="M5283" i="6"/>
  <c r="M5284" i="6"/>
  <c r="M5285" i="6"/>
  <c r="M5286" i="6"/>
  <c r="M5287" i="6"/>
  <c r="M5288" i="6"/>
  <c r="M5289" i="6"/>
  <c r="M5290" i="6"/>
  <c r="M5291" i="6"/>
  <c r="M5292" i="6"/>
  <c r="M5293" i="6"/>
  <c r="M5294" i="6"/>
  <c r="M5295" i="6"/>
  <c r="M5296" i="6"/>
  <c r="M5297" i="6"/>
  <c r="M5298" i="6"/>
  <c r="M5299" i="6"/>
  <c r="M5300" i="6"/>
  <c r="M5301" i="6"/>
  <c r="M5302" i="6"/>
  <c r="M5303" i="6"/>
  <c r="M5304" i="6"/>
  <c r="M5305" i="6"/>
  <c r="M5306" i="6"/>
  <c r="M5307" i="6"/>
  <c r="M5308" i="6"/>
  <c r="M5309" i="6"/>
  <c r="M5310" i="6"/>
  <c r="M5311" i="6"/>
  <c r="M5312" i="6"/>
  <c r="M5313" i="6"/>
  <c r="M5314" i="6"/>
  <c r="M5315" i="6"/>
  <c r="M5316" i="6"/>
  <c r="M5317" i="6"/>
  <c r="M5318" i="6"/>
  <c r="M5319" i="6"/>
  <c r="M5320" i="6"/>
  <c r="M5321" i="6"/>
  <c r="M5322" i="6"/>
  <c r="M5323" i="6"/>
  <c r="M5324" i="6"/>
  <c r="M5325" i="6"/>
  <c r="M5326" i="6"/>
  <c r="M5327" i="6"/>
  <c r="M5328" i="6"/>
  <c r="M5329" i="6"/>
  <c r="M5330" i="6"/>
  <c r="M5331" i="6"/>
  <c r="M5332" i="6"/>
  <c r="M5333" i="6"/>
  <c r="M5334" i="6"/>
  <c r="M5335" i="6"/>
  <c r="M5336" i="6"/>
  <c r="M5337" i="6"/>
  <c r="M5338" i="6"/>
  <c r="M5339" i="6"/>
  <c r="M5340" i="6"/>
  <c r="M5341" i="6"/>
  <c r="M5342" i="6"/>
  <c r="M5343" i="6"/>
  <c r="M5344" i="6"/>
  <c r="M5345" i="6"/>
  <c r="M5346" i="6"/>
  <c r="M5347" i="6"/>
  <c r="M5348" i="6"/>
  <c r="M5349" i="6"/>
  <c r="M5350" i="6"/>
  <c r="M5351" i="6"/>
  <c r="M5352" i="6"/>
  <c r="M5353" i="6"/>
  <c r="M5354" i="6"/>
  <c r="M5355" i="6"/>
  <c r="M5356" i="6"/>
  <c r="M5357" i="6"/>
  <c r="M5358" i="6"/>
  <c r="M5359" i="6"/>
  <c r="M5360" i="6"/>
  <c r="M5361" i="6"/>
  <c r="M5362" i="6"/>
  <c r="M5364" i="6"/>
  <c r="M5365" i="6"/>
  <c r="M5366" i="6"/>
  <c r="M5367" i="6"/>
  <c r="M5368" i="6"/>
  <c r="M5369" i="6"/>
  <c r="M5370" i="6"/>
  <c r="M5371" i="6"/>
  <c r="M5372" i="6"/>
  <c r="M5373" i="6"/>
  <c r="M5374" i="6"/>
  <c r="M5375" i="6"/>
  <c r="M5376" i="6"/>
  <c r="M5377" i="6"/>
  <c r="M5378" i="6"/>
  <c r="M5379" i="6"/>
  <c r="M5380" i="6"/>
  <c r="M5381" i="6"/>
  <c r="M5382" i="6"/>
  <c r="M5384" i="6"/>
  <c r="M5385" i="6"/>
  <c r="M5386" i="6"/>
  <c r="M5387" i="6"/>
  <c r="M5388" i="6"/>
  <c r="M5389" i="6"/>
  <c r="M5390" i="6"/>
  <c r="M5391" i="6"/>
  <c r="M5392" i="6"/>
  <c r="M5393" i="6"/>
  <c r="M5394" i="6"/>
  <c r="M5395" i="6"/>
  <c r="M5396" i="6"/>
  <c r="M5397" i="6"/>
  <c r="M5398" i="6"/>
  <c r="M5399" i="6"/>
  <c r="M5400" i="6"/>
  <c r="M5401" i="6"/>
  <c r="M5402" i="6"/>
  <c r="M5404" i="6"/>
  <c r="M5405" i="6"/>
  <c r="M5406" i="6"/>
  <c r="M5407" i="6"/>
  <c r="M5408" i="6"/>
  <c r="M5409" i="6"/>
  <c r="M5410" i="6"/>
  <c r="M5411" i="6"/>
  <c r="M5412" i="6"/>
  <c r="M5413" i="6"/>
  <c r="M5414" i="6"/>
  <c r="M5415" i="6"/>
  <c r="M5416" i="6"/>
  <c r="M5417" i="6"/>
  <c r="M5418" i="6"/>
  <c r="M5419" i="6"/>
  <c r="M5420" i="6"/>
  <c r="M5421" i="6"/>
  <c r="M5422" i="6"/>
  <c r="M5424" i="6"/>
  <c r="M5425" i="6"/>
  <c r="M5426" i="6"/>
  <c r="M5427" i="6"/>
  <c r="M5428" i="6"/>
  <c r="M5429" i="6"/>
  <c r="M5430" i="6"/>
  <c r="M5431" i="6"/>
  <c r="M5432" i="6"/>
  <c r="M5433" i="6"/>
  <c r="M5434" i="6"/>
  <c r="M5435" i="6"/>
  <c r="M5436" i="6"/>
  <c r="M5437" i="6"/>
  <c r="M5438" i="6"/>
  <c r="M5439" i="6"/>
  <c r="M5440" i="6"/>
  <c r="M5441" i="6"/>
  <c r="M5442" i="6"/>
  <c r="M5444" i="6"/>
  <c r="M5445" i="6"/>
  <c r="M5446" i="6"/>
  <c r="M5447" i="6"/>
  <c r="M5448" i="6"/>
  <c r="M5449" i="6"/>
  <c r="M5450" i="6"/>
  <c r="M5451" i="6"/>
  <c r="M5452" i="6"/>
  <c r="M5453" i="6"/>
  <c r="M5454" i="6"/>
  <c r="M5455" i="6"/>
  <c r="M5456" i="6"/>
  <c r="M5457" i="6"/>
  <c r="M5458" i="6"/>
  <c r="M5459" i="6"/>
  <c r="M5460" i="6"/>
  <c r="M5461" i="6"/>
  <c r="M5462" i="6"/>
  <c r="M5464" i="6"/>
  <c r="M5466" i="6"/>
  <c r="M5467" i="6"/>
  <c r="M5468" i="6"/>
  <c r="M5469" i="6"/>
  <c r="M5470" i="6"/>
  <c r="M5471" i="6"/>
  <c r="M5472" i="6"/>
  <c r="M5473" i="6"/>
  <c r="M5474" i="6"/>
  <c r="M5475" i="6"/>
  <c r="M5476" i="6"/>
  <c r="M5477" i="6"/>
  <c r="M5478" i="6"/>
  <c r="M5479" i="6"/>
  <c r="M5480" i="6"/>
  <c r="M5481" i="6"/>
  <c r="M5482" i="6"/>
  <c r="M5484" i="6"/>
  <c r="M5485" i="6"/>
  <c r="M5486" i="6"/>
  <c r="M5487" i="6"/>
  <c r="M5488" i="6"/>
  <c r="M5489" i="6"/>
  <c r="M5490" i="6"/>
  <c r="M5491" i="6"/>
  <c r="M5492" i="6"/>
  <c r="M5493" i="6"/>
  <c r="M5494" i="6"/>
  <c r="M5495" i="6"/>
  <c r="M5496" i="6"/>
  <c r="M5497" i="6"/>
  <c r="M5498" i="6"/>
  <c r="M5499" i="6"/>
  <c r="M5500" i="6"/>
  <c r="M5501" i="6"/>
  <c r="M5502" i="6"/>
  <c r="M5504" i="6"/>
  <c r="M5505" i="6"/>
  <c r="M5506" i="6"/>
  <c r="M5507" i="6"/>
  <c r="M5508" i="6"/>
  <c r="M5509" i="6"/>
  <c r="M5510" i="6"/>
  <c r="M5511" i="6"/>
  <c r="M5512" i="6"/>
  <c r="M5513" i="6"/>
  <c r="M5514" i="6"/>
  <c r="M5515" i="6"/>
  <c r="M5516" i="6"/>
  <c r="M5517" i="6"/>
  <c r="M5518" i="6"/>
  <c r="M5519" i="6"/>
  <c r="M5520" i="6"/>
  <c r="M5521" i="6"/>
  <c r="M5522" i="6"/>
  <c r="M5524" i="6"/>
  <c r="M5526" i="6"/>
  <c r="M5527" i="6"/>
  <c r="M5528" i="6"/>
  <c r="M5529" i="6"/>
  <c r="M5530" i="6"/>
  <c r="M5531" i="6"/>
  <c r="M5532" i="6"/>
  <c r="M5533" i="6"/>
  <c r="M5534" i="6"/>
  <c r="M5535" i="6"/>
  <c r="M5536" i="6"/>
  <c r="M5537" i="6"/>
  <c r="M5538" i="6"/>
  <c r="M5539" i="6"/>
  <c r="M5540" i="6"/>
  <c r="M5541" i="6"/>
  <c r="M5542" i="6"/>
  <c r="M5544" i="6"/>
  <c r="M5546" i="6"/>
  <c r="M5547" i="6"/>
  <c r="M5548" i="6"/>
  <c r="M5549" i="6"/>
  <c r="M5550" i="6"/>
  <c r="M5551" i="6"/>
  <c r="M5552" i="6"/>
  <c r="M5553" i="6"/>
  <c r="M5554" i="6"/>
  <c r="M5555" i="6"/>
  <c r="M5556" i="6"/>
  <c r="M5557" i="6"/>
  <c r="M5558" i="6"/>
  <c r="M5559" i="6"/>
  <c r="M5560" i="6"/>
  <c r="M5561" i="6"/>
  <c r="M5562" i="6"/>
  <c r="M5564" i="6"/>
  <c r="M5566" i="6"/>
  <c r="M5567" i="6"/>
  <c r="M5568" i="6"/>
  <c r="M5569" i="6"/>
  <c r="M5570" i="6"/>
  <c r="M5571" i="6"/>
  <c r="M5572" i="6"/>
  <c r="M5573" i="6"/>
  <c r="M5574" i="6"/>
  <c r="M5575" i="6"/>
  <c r="M5576" i="6"/>
  <c r="M5577" i="6"/>
  <c r="M5578" i="6"/>
  <c r="M5579" i="6"/>
  <c r="M5580" i="6"/>
  <c r="M5581" i="6"/>
  <c r="M5582" i="6"/>
  <c r="M5584" i="6"/>
  <c r="M5585" i="6"/>
  <c r="M5586" i="6"/>
  <c r="M5587" i="6"/>
  <c r="M5588" i="6"/>
  <c r="M5589" i="6"/>
  <c r="M5591" i="6"/>
  <c r="M5592" i="6"/>
  <c r="M5593" i="6"/>
  <c r="M5594" i="6"/>
  <c r="M5595" i="6"/>
  <c r="M5596" i="6"/>
  <c r="M5597" i="6"/>
  <c r="M5598" i="6"/>
  <c r="M5599" i="6"/>
  <c r="M5600" i="6"/>
  <c r="M5601" i="6"/>
  <c r="M5602" i="6"/>
  <c r="M5604" i="6"/>
  <c r="M5605" i="6"/>
  <c r="M5606" i="6"/>
  <c r="M5607" i="6"/>
  <c r="M5608" i="6"/>
  <c r="M5609" i="6"/>
  <c r="M5611" i="6"/>
  <c r="M5612" i="6"/>
  <c r="M5613" i="6"/>
  <c r="M5614" i="6"/>
  <c r="M5615" i="6"/>
  <c r="M5616" i="6"/>
  <c r="M5617" i="6"/>
  <c r="M5618" i="6"/>
  <c r="M5619" i="6"/>
  <c r="M5620" i="6"/>
  <c r="M5621" i="6"/>
  <c r="M5622" i="6"/>
  <c r="M5624" i="6"/>
  <c r="M5625" i="6"/>
  <c r="M5626" i="6"/>
  <c r="M5627" i="6"/>
  <c r="M5628" i="6"/>
  <c r="M5629" i="6"/>
  <c r="M5631" i="6"/>
  <c r="M5632" i="6"/>
  <c r="M5633" i="6"/>
  <c r="M5634" i="6"/>
  <c r="M5635" i="6"/>
  <c r="M5636" i="6"/>
  <c r="M5637" i="6"/>
  <c r="M5638" i="6"/>
  <c r="M5639" i="6"/>
  <c r="M5640" i="6"/>
  <c r="M5641" i="6"/>
  <c r="M5642" i="6"/>
  <c r="M5644" i="6"/>
  <c r="M5645" i="6"/>
  <c r="M5646" i="6"/>
  <c r="M5647" i="6"/>
  <c r="M5648" i="6"/>
  <c r="M5649" i="6"/>
  <c r="M5651" i="6"/>
  <c r="M5652" i="6"/>
  <c r="M5653" i="6"/>
  <c r="M5654" i="6"/>
  <c r="M5655" i="6"/>
  <c r="M5656" i="6"/>
  <c r="M5657" i="6"/>
  <c r="M5658" i="6"/>
  <c r="M5659" i="6"/>
  <c r="M5660" i="6"/>
  <c r="M5661" i="6"/>
  <c r="M5662" i="6"/>
  <c r="M5664" i="6"/>
  <c r="M5666" i="6"/>
  <c r="M5667" i="6"/>
  <c r="M5668" i="6"/>
  <c r="M5669" i="6"/>
  <c r="M5671" i="6"/>
  <c r="M5672" i="6"/>
  <c r="M5673" i="6"/>
  <c r="M5674" i="6"/>
  <c r="M5675" i="6"/>
  <c r="M5676" i="6"/>
  <c r="M5677" i="6"/>
  <c r="M5678" i="6"/>
  <c r="M5679" i="6"/>
  <c r="M5681" i="6"/>
  <c r="M5682" i="6"/>
  <c r="M5684" i="6"/>
  <c r="M5686" i="6"/>
  <c r="M5687" i="6"/>
  <c r="M5688" i="6"/>
  <c r="M5689" i="6"/>
  <c r="M5691" i="6"/>
  <c r="M5692" i="6"/>
  <c r="M5693" i="6"/>
  <c r="M5694" i="6"/>
  <c r="M5695" i="6"/>
  <c r="M5696" i="6"/>
  <c r="M5697" i="6"/>
  <c r="M5698" i="6"/>
  <c r="M5699" i="6"/>
  <c r="M5702" i="6"/>
  <c r="M5704" i="6"/>
  <c r="M5706" i="6"/>
  <c r="M5707" i="6"/>
  <c r="M5708" i="6"/>
  <c r="M5709" i="6"/>
  <c r="M5711" i="6"/>
  <c r="M5712" i="6"/>
  <c r="M5713" i="6"/>
  <c r="M5714" i="6"/>
  <c r="M5715" i="6"/>
  <c r="M5716" i="6"/>
  <c r="M5717" i="6"/>
  <c r="M5718" i="6"/>
  <c r="M5719" i="6"/>
  <c r="M5721" i="6"/>
  <c r="M5722" i="6"/>
  <c r="M5724" i="6"/>
  <c r="M5726" i="6"/>
  <c r="M5727" i="6"/>
  <c r="M5728" i="6"/>
  <c r="M5729" i="6"/>
  <c r="M5731" i="6"/>
  <c r="M5732" i="6"/>
  <c r="M5733" i="6"/>
  <c r="M5734" i="6"/>
  <c r="M5735" i="6"/>
  <c r="M5736" i="6"/>
  <c r="M5737" i="6"/>
  <c r="M5738" i="6"/>
  <c r="M5739" i="6"/>
  <c r="M5742" i="6"/>
  <c r="M5744" i="6"/>
  <c r="M5745" i="6"/>
  <c r="M5746" i="6"/>
  <c r="M5747" i="6"/>
  <c r="M5748" i="6"/>
  <c r="M5749" i="6"/>
  <c r="M5751" i="6"/>
  <c r="M5752" i="6"/>
  <c r="M5753" i="6"/>
  <c r="M5754" i="6"/>
  <c r="M5755" i="6"/>
  <c r="M5756" i="6"/>
  <c r="M5757" i="6"/>
  <c r="M5758" i="6"/>
  <c r="M5759" i="6"/>
  <c r="M5762" i="6"/>
  <c r="M5764" i="6"/>
  <c r="M5766" i="6"/>
  <c r="M5767" i="6"/>
  <c r="M5768" i="6"/>
  <c r="M5769" i="6"/>
  <c r="M5773" i="6"/>
  <c r="M5775" i="6"/>
  <c r="M5776" i="6"/>
  <c r="M5777" i="6"/>
  <c r="M5778" i="6"/>
  <c r="M5779" i="6"/>
  <c r="M5782" i="6"/>
  <c r="M5784" i="6"/>
  <c r="M5786" i="6"/>
  <c r="M5787" i="6"/>
  <c r="M5788" i="6"/>
  <c r="M5789" i="6"/>
  <c r="M5791" i="6"/>
  <c r="M5793" i="6"/>
  <c r="M5794" i="6"/>
  <c r="M5795" i="6"/>
  <c r="M5797" i="6"/>
  <c r="M5799" i="6"/>
  <c r="M5802" i="6"/>
  <c r="M5804" i="6"/>
  <c r="M5806" i="6"/>
  <c r="M5807" i="6"/>
  <c r="M5808" i="6"/>
  <c r="M5809" i="6"/>
  <c r="M5811" i="6"/>
  <c r="M5813" i="6"/>
  <c r="M5814" i="6"/>
  <c r="M5815" i="6"/>
  <c r="M5817" i="6"/>
  <c r="M5818" i="6"/>
  <c r="M5819" i="6"/>
  <c r="M5822" i="6"/>
  <c r="M5824" i="6"/>
  <c r="M5826" i="6"/>
  <c r="M5828" i="6"/>
  <c r="M5829" i="6"/>
  <c r="M5831" i="6"/>
  <c r="M5833" i="6"/>
  <c r="M5834" i="6"/>
  <c r="M5835" i="6"/>
  <c r="M5837" i="6"/>
  <c r="M5839" i="6"/>
  <c r="M5842" i="6"/>
  <c r="M5844" i="6"/>
  <c r="M5846" i="6"/>
  <c r="M5847" i="6"/>
  <c r="M5848" i="6"/>
  <c r="M5849" i="6"/>
  <c r="M5851" i="6"/>
  <c r="M5853" i="6"/>
  <c r="M5857" i="6"/>
  <c r="M5858" i="6"/>
  <c r="M5859" i="6"/>
  <c r="M5862" i="6"/>
  <c r="M5864" i="6"/>
  <c r="M5866" i="6"/>
  <c r="M5868" i="6"/>
  <c r="M5869" i="6"/>
  <c r="M5874" i="6"/>
  <c r="M5875" i="6"/>
  <c r="M5877" i="6"/>
  <c r="M5878" i="6"/>
  <c r="M5882" i="6"/>
  <c r="M5884" i="6"/>
  <c r="M5888" i="6"/>
  <c r="M5889" i="6"/>
  <c r="M5897" i="6"/>
  <c r="M5898" i="6"/>
  <c r="M5899" i="6"/>
  <c r="M5904" i="6"/>
  <c r="M5906" i="6"/>
  <c r="M5907" i="6"/>
  <c r="M5908" i="6"/>
  <c r="M5909" i="6"/>
  <c r="M5917" i="6"/>
  <c r="M5918" i="6"/>
  <c r="M5919" i="6"/>
  <c r="M5924" i="6"/>
  <c r="M5928" i="6"/>
  <c r="M5929" i="6"/>
  <c r="M5934" i="6"/>
  <c r="M5937" i="6"/>
  <c r="M5942" i="6"/>
  <c r="M5944" i="6"/>
  <c r="M5948" i="6"/>
  <c r="M5949" i="6"/>
  <c r="M5954" i="6"/>
  <c r="M5957" i="6"/>
  <c r="M5958" i="6"/>
  <c r="M5964" i="6"/>
  <c r="M5968" i="6"/>
  <c r="M5969" i="6"/>
  <c r="M5974" i="6"/>
  <c r="L13" i="4" l="1"/>
  <c r="L14" i="4"/>
  <c r="L15" i="4"/>
  <c r="L16" i="4"/>
  <c r="L17" i="4"/>
  <c r="L18" i="4"/>
  <c r="L19" i="4"/>
  <c r="L20" i="4"/>
  <c r="L21" i="4"/>
  <c r="L22" i="4"/>
  <c r="L23" i="4"/>
  <c r="L24" i="4"/>
  <c r="L25" i="4"/>
  <c r="L26" i="4"/>
  <c r="L27" i="4"/>
  <c r="L28" i="4"/>
  <c r="L29" i="4"/>
  <c r="L30" i="4"/>
  <c r="L31" i="4"/>
  <c r="L32" i="4"/>
  <c r="L33" i="4"/>
  <c r="L34" i="4"/>
  <c r="L35" i="4"/>
  <c r="L36" i="4"/>
  <c r="L37" i="4"/>
  <c r="L38" i="4"/>
  <c r="L39" i="4"/>
  <c r="L40" i="4"/>
  <c r="L41" i="4"/>
  <c r="L42" i="4"/>
  <c r="L43" i="4"/>
  <c r="L44" i="4"/>
  <c r="L45" i="4"/>
  <c r="L46" i="4"/>
  <c r="L47" i="4"/>
  <c r="L48" i="4"/>
  <c r="L49" i="4"/>
  <c r="L50" i="4"/>
  <c r="L51" i="4"/>
  <c r="L52" i="4"/>
  <c r="L53" i="4"/>
  <c r="L54" i="4"/>
  <c r="L55" i="4"/>
  <c r="L56" i="4"/>
  <c r="L57" i="4"/>
  <c r="L58" i="4"/>
  <c r="L59" i="4"/>
  <c r="L60" i="4"/>
  <c r="L61" i="4"/>
  <c r="L62" i="4"/>
  <c r="L63" i="4"/>
  <c r="L64" i="4"/>
  <c r="L65" i="4"/>
  <c r="L66" i="4"/>
  <c r="L67" i="4"/>
  <c r="L68" i="4"/>
  <c r="L69" i="4"/>
  <c r="L70" i="4"/>
  <c r="L71" i="4"/>
  <c r="L72" i="4"/>
  <c r="L73" i="4"/>
  <c r="L74" i="4"/>
  <c r="L75" i="4"/>
  <c r="L76" i="4"/>
  <c r="L77" i="4"/>
  <c r="L78" i="4"/>
  <c r="L79" i="4"/>
  <c r="L80" i="4"/>
  <c r="L81" i="4"/>
  <c r="L82" i="4"/>
  <c r="L83" i="4"/>
  <c r="L84" i="4"/>
  <c r="L85" i="4"/>
  <c r="L86" i="4"/>
  <c r="L87" i="4"/>
  <c r="L88" i="4"/>
  <c r="L89" i="4"/>
  <c r="L90" i="4"/>
  <c r="L91" i="4"/>
  <c r="L92" i="4"/>
  <c r="L93" i="4"/>
  <c r="L94" i="4"/>
  <c r="L95" i="4"/>
  <c r="L96" i="4"/>
  <c r="L97" i="4"/>
  <c r="L98" i="4"/>
  <c r="L99" i="4"/>
  <c r="L100" i="4"/>
  <c r="L101" i="4"/>
  <c r="L102" i="4"/>
  <c r="L103" i="4"/>
  <c r="L104" i="4"/>
  <c r="L105" i="4"/>
  <c r="L106" i="4"/>
  <c r="L107" i="4"/>
  <c r="L108" i="4"/>
  <c r="L109" i="4"/>
  <c r="L110" i="4"/>
  <c r="L111" i="4"/>
  <c r="L112" i="4"/>
  <c r="L113" i="4"/>
  <c r="L114" i="4"/>
  <c r="L115" i="4"/>
  <c r="L116" i="4"/>
  <c r="L117" i="4"/>
  <c r="L118" i="4"/>
  <c r="L119" i="4"/>
  <c r="L120" i="4"/>
  <c r="L121" i="4"/>
  <c r="L122" i="4"/>
  <c r="L123" i="4"/>
  <c r="L124" i="4"/>
  <c r="L125" i="4"/>
  <c r="L126" i="4"/>
  <c r="L127" i="4"/>
  <c r="L128" i="4"/>
  <c r="L129" i="4"/>
  <c r="L130" i="4"/>
  <c r="L131" i="4"/>
  <c r="L132" i="4"/>
  <c r="L133" i="4"/>
  <c r="L134" i="4"/>
  <c r="L135" i="4"/>
  <c r="L136" i="4"/>
  <c r="L137" i="4"/>
  <c r="L138" i="4"/>
  <c r="L139" i="4"/>
  <c r="L140" i="4"/>
  <c r="L141" i="4"/>
  <c r="L142" i="4"/>
  <c r="L143" i="4"/>
  <c r="L144" i="4"/>
  <c r="L145" i="4"/>
  <c r="L146" i="4"/>
  <c r="L147" i="4"/>
  <c r="L148" i="4"/>
  <c r="L149" i="4"/>
  <c r="L150" i="4"/>
  <c r="L151" i="4"/>
  <c r="L152" i="4"/>
  <c r="L153" i="4"/>
  <c r="L154" i="4"/>
  <c r="L155" i="4"/>
  <c r="L156" i="4"/>
  <c r="L157" i="4"/>
  <c r="L158" i="4"/>
  <c r="L159" i="4"/>
  <c r="L160" i="4"/>
  <c r="L161" i="4"/>
  <c r="L162" i="4"/>
  <c r="L163" i="4"/>
  <c r="L164" i="4"/>
  <c r="L165" i="4"/>
  <c r="L166" i="4"/>
  <c r="L167" i="4"/>
  <c r="L168" i="4"/>
  <c r="L169" i="4"/>
  <c r="L170" i="4"/>
  <c r="L171" i="4"/>
  <c r="L172" i="4"/>
  <c r="L173" i="4"/>
  <c r="L174" i="4"/>
  <c r="L175" i="4"/>
  <c r="L176" i="4"/>
  <c r="L177" i="4"/>
  <c r="L178" i="4"/>
  <c r="L179" i="4"/>
  <c r="L180" i="4"/>
  <c r="L181" i="4"/>
  <c r="L182" i="4"/>
  <c r="L183" i="4"/>
  <c r="L184" i="4"/>
  <c r="L185" i="4"/>
  <c r="L186" i="4"/>
  <c r="L187" i="4"/>
  <c r="L188" i="4"/>
  <c r="L189" i="4"/>
  <c r="L190" i="4"/>
  <c r="L191" i="4"/>
  <c r="L192" i="4"/>
  <c r="L193" i="4"/>
  <c r="L194" i="4"/>
  <c r="L195" i="4"/>
  <c r="L196" i="4"/>
  <c r="L197" i="4"/>
  <c r="L198" i="4"/>
  <c r="L199" i="4"/>
  <c r="L200" i="4"/>
  <c r="L201" i="4"/>
  <c r="L202" i="4"/>
  <c r="L203" i="4"/>
  <c r="L204" i="4"/>
  <c r="L205" i="4"/>
  <c r="L206" i="4"/>
  <c r="L207" i="4"/>
  <c r="L208" i="4"/>
  <c r="L209" i="4"/>
  <c r="L210" i="4"/>
  <c r="L211" i="4"/>
  <c r="L212" i="4"/>
  <c r="L213" i="4"/>
  <c r="L214" i="4"/>
  <c r="L215" i="4"/>
  <c r="L216" i="4"/>
  <c r="L217" i="4"/>
  <c r="L218" i="4"/>
  <c r="L219" i="4"/>
  <c r="L220" i="4"/>
  <c r="L221" i="4"/>
  <c r="L222" i="4"/>
  <c r="L223" i="4"/>
  <c r="L224" i="4"/>
  <c r="L225" i="4"/>
  <c r="L226" i="4"/>
  <c r="L227" i="4"/>
  <c r="L228" i="4"/>
  <c r="L229" i="4"/>
  <c r="L230" i="4"/>
  <c r="L231" i="4"/>
  <c r="L232" i="4"/>
  <c r="L233" i="4"/>
  <c r="L234" i="4"/>
  <c r="L235" i="4"/>
  <c r="L236" i="4"/>
  <c r="L237" i="4"/>
  <c r="L238" i="4"/>
  <c r="L239" i="4"/>
  <c r="L240" i="4"/>
  <c r="L241" i="4"/>
  <c r="L242" i="4"/>
  <c r="L243" i="4"/>
  <c r="L244" i="4"/>
  <c r="L245" i="4"/>
  <c r="L246" i="4"/>
  <c r="L247" i="4"/>
  <c r="L248" i="4"/>
  <c r="L249" i="4"/>
  <c r="L250" i="4"/>
  <c r="L251" i="4"/>
  <c r="L252" i="4"/>
  <c r="L253" i="4"/>
  <c r="L254" i="4"/>
  <c r="L255" i="4"/>
  <c r="L256" i="4"/>
  <c r="L257" i="4"/>
  <c r="L258" i="4"/>
  <c r="L259" i="4"/>
  <c r="L260" i="4"/>
  <c r="L261" i="4"/>
  <c r="L262" i="4"/>
  <c r="L263" i="4"/>
  <c r="L264" i="4"/>
  <c r="L265" i="4"/>
  <c r="L266" i="4"/>
  <c r="L267" i="4"/>
  <c r="L268" i="4"/>
  <c r="L269" i="4"/>
  <c r="L270" i="4"/>
  <c r="L271" i="4"/>
  <c r="L272" i="4"/>
  <c r="L273" i="4"/>
  <c r="L274" i="4"/>
  <c r="L275" i="4"/>
  <c r="L276" i="4"/>
  <c r="L277" i="4"/>
  <c r="L278" i="4"/>
  <c r="L279" i="4"/>
  <c r="L280" i="4"/>
  <c r="L281" i="4"/>
  <c r="L282" i="4"/>
  <c r="L283" i="4"/>
  <c r="L284" i="4"/>
  <c r="L285" i="4"/>
  <c r="L286" i="4"/>
  <c r="L287" i="4"/>
  <c r="L288" i="4"/>
  <c r="L289" i="4"/>
  <c r="L290" i="4"/>
  <c r="L291" i="4"/>
  <c r="L292" i="4"/>
  <c r="L293" i="4"/>
  <c r="L294" i="4"/>
  <c r="L295" i="4"/>
  <c r="L296" i="4"/>
  <c r="L297" i="4"/>
  <c r="L298" i="4"/>
  <c r="L299" i="4"/>
  <c r="L300" i="4"/>
  <c r="L301" i="4"/>
  <c r="L302" i="4"/>
  <c r="L303" i="4"/>
  <c r="L304" i="4"/>
  <c r="L305" i="4"/>
  <c r="L306" i="4"/>
  <c r="L307" i="4"/>
  <c r="L308" i="4"/>
  <c r="L309" i="4"/>
  <c r="L310" i="4"/>
  <c r="L311" i="4"/>
  <c r="L312" i="4"/>
  <c r="L313" i="4"/>
  <c r="L314" i="4"/>
  <c r="L315" i="4"/>
  <c r="L316" i="4"/>
  <c r="L317" i="4"/>
  <c r="L318" i="4"/>
  <c r="L319" i="4"/>
  <c r="L320" i="4"/>
  <c r="L321" i="4"/>
  <c r="L322" i="4"/>
  <c r="L323" i="4"/>
  <c r="L324" i="4"/>
  <c r="L325" i="4"/>
  <c r="L326" i="4"/>
  <c r="L327" i="4"/>
  <c r="L328" i="4"/>
  <c r="L329" i="4"/>
  <c r="L330" i="4"/>
  <c r="L331" i="4"/>
  <c r="L332" i="4"/>
  <c r="L333" i="4"/>
  <c r="L334" i="4"/>
  <c r="L335" i="4"/>
  <c r="L336" i="4"/>
  <c r="L337" i="4"/>
  <c r="L338" i="4"/>
  <c r="L339" i="4"/>
  <c r="L340" i="4"/>
  <c r="L341" i="4"/>
  <c r="L342" i="4"/>
  <c r="L343" i="4"/>
  <c r="L344" i="4"/>
  <c r="L345" i="4"/>
  <c r="L346" i="4"/>
  <c r="L347" i="4"/>
  <c r="L348" i="4"/>
  <c r="L349" i="4"/>
  <c r="L350" i="4"/>
  <c r="L351" i="4"/>
  <c r="L352" i="4"/>
  <c r="L353" i="4"/>
  <c r="L354" i="4"/>
  <c r="L355" i="4"/>
  <c r="L356" i="4"/>
  <c r="L357" i="4"/>
  <c r="L358" i="4"/>
  <c r="L359" i="4"/>
  <c r="L360" i="4"/>
  <c r="L361" i="4"/>
  <c r="L362" i="4"/>
  <c r="L363" i="4"/>
  <c r="L364" i="4"/>
  <c r="L365" i="4"/>
  <c r="L366" i="4"/>
  <c r="L367" i="4"/>
  <c r="L368" i="4"/>
  <c r="L369" i="4"/>
  <c r="L370" i="4"/>
  <c r="L371" i="4"/>
  <c r="L372" i="4"/>
  <c r="L373" i="4"/>
  <c r="L374" i="4"/>
  <c r="L375" i="4"/>
  <c r="L376" i="4"/>
  <c r="L377" i="4"/>
  <c r="L378" i="4"/>
  <c r="L379" i="4"/>
  <c r="L380" i="4"/>
  <c r="L381" i="4"/>
  <c r="L382" i="4"/>
  <c r="L383" i="4"/>
  <c r="L384" i="4"/>
  <c r="L385" i="4"/>
  <c r="L386" i="4"/>
  <c r="L387" i="4"/>
  <c r="L388" i="4"/>
  <c r="L389" i="4"/>
  <c r="L390" i="4"/>
  <c r="L391" i="4"/>
  <c r="L392" i="4"/>
  <c r="L393" i="4"/>
  <c r="L394" i="4"/>
  <c r="L395" i="4"/>
  <c r="L396" i="4"/>
  <c r="L397" i="4"/>
  <c r="L398" i="4"/>
  <c r="L399" i="4"/>
  <c r="L400" i="4"/>
  <c r="L401" i="4"/>
  <c r="L402" i="4"/>
  <c r="L403" i="4"/>
  <c r="L404" i="4"/>
  <c r="L405" i="4"/>
  <c r="L406" i="4"/>
  <c r="L407" i="4"/>
  <c r="L408" i="4"/>
  <c r="L409" i="4"/>
  <c r="L410" i="4"/>
  <c r="L411" i="4"/>
  <c r="L412" i="4"/>
  <c r="L413" i="4"/>
  <c r="L414" i="4"/>
  <c r="L415" i="4"/>
  <c r="L416" i="4"/>
  <c r="L417" i="4"/>
  <c r="L418" i="4"/>
  <c r="L419" i="4"/>
  <c r="L420" i="4"/>
  <c r="L421" i="4"/>
  <c r="L422" i="4"/>
  <c r="L423" i="4"/>
  <c r="L424" i="4"/>
  <c r="L425" i="4"/>
  <c r="L426" i="4"/>
  <c r="L427" i="4"/>
  <c r="L428" i="4"/>
  <c r="L429" i="4"/>
  <c r="L430" i="4"/>
  <c r="L431" i="4"/>
  <c r="L432" i="4"/>
  <c r="L433" i="4"/>
  <c r="L434" i="4"/>
  <c r="L435" i="4"/>
  <c r="L436" i="4"/>
  <c r="L437" i="4"/>
  <c r="L438" i="4"/>
  <c r="L439" i="4"/>
  <c r="L440" i="4"/>
  <c r="L441" i="4"/>
  <c r="L442" i="4"/>
  <c r="L443" i="4"/>
  <c r="L444" i="4"/>
  <c r="L445" i="4"/>
  <c r="L446" i="4"/>
  <c r="L447" i="4"/>
  <c r="L448" i="4"/>
  <c r="L449" i="4"/>
  <c r="L450" i="4"/>
  <c r="L451" i="4"/>
  <c r="L452" i="4"/>
  <c r="L453" i="4"/>
  <c r="L454" i="4"/>
  <c r="L455" i="4"/>
  <c r="L456" i="4"/>
  <c r="L457" i="4"/>
  <c r="L458" i="4"/>
  <c r="L459" i="4"/>
  <c r="L460" i="4"/>
  <c r="L461" i="4"/>
  <c r="L462" i="4"/>
  <c r="L463" i="4"/>
  <c r="L464" i="4"/>
  <c r="L465" i="4"/>
  <c r="L466" i="4"/>
  <c r="L467" i="4"/>
  <c r="L468" i="4"/>
  <c r="L469" i="4"/>
  <c r="L470" i="4"/>
  <c r="L471" i="4"/>
  <c r="L472" i="4"/>
  <c r="L473" i="4"/>
  <c r="L474" i="4"/>
  <c r="L475" i="4"/>
  <c r="L476" i="4"/>
  <c r="L477" i="4"/>
  <c r="L478" i="4"/>
  <c r="L479" i="4"/>
  <c r="L480" i="4"/>
  <c r="L481" i="4"/>
  <c r="L482" i="4"/>
  <c r="L483" i="4"/>
  <c r="L484" i="4"/>
  <c r="L485" i="4"/>
  <c r="L486" i="4"/>
  <c r="L487" i="4"/>
  <c r="L488" i="4"/>
  <c r="L489" i="4"/>
  <c r="L490" i="4"/>
  <c r="L491" i="4"/>
  <c r="L492" i="4"/>
  <c r="L493" i="4"/>
  <c r="L494" i="4"/>
  <c r="L495" i="4"/>
  <c r="L496" i="4"/>
  <c r="L497" i="4"/>
  <c r="L498" i="4"/>
  <c r="L499" i="4"/>
  <c r="L500" i="4"/>
  <c r="L501" i="4"/>
  <c r="L502" i="4"/>
  <c r="L503" i="4"/>
  <c r="L504" i="4"/>
  <c r="L505" i="4"/>
  <c r="L506" i="4"/>
  <c r="L507" i="4"/>
  <c r="L508" i="4"/>
  <c r="L509" i="4"/>
  <c r="L510" i="4"/>
  <c r="L511" i="4"/>
  <c r="L512" i="4"/>
  <c r="L513" i="4"/>
  <c r="L514" i="4"/>
  <c r="L515" i="4"/>
  <c r="L516" i="4"/>
  <c r="L517" i="4"/>
  <c r="L518" i="4"/>
  <c r="L519" i="4"/>
  <c r="L520" i="4"/>
  <c r="L521" i="4"/>
  <c r="L522" i="4"/>
  <c r="L523" i="4"/>
  <c r="L524" i="4"/>
  <c r="L525" i="4"/>
  <c r="L526" i="4"/>
  <c r="L527" i="4"/>
  <c r="L528" i="4"/>
  <c r="L529" i="4"/>
  <c r="L530" i="4"/>
  <c r="L531" i="4"/>
  <c r="L532" i="4"/>
  <c r="L533" i="4"/>
  <c r="L534" i="4"/>
  <c r="L535" i="4"/>
  <c r="L536" i="4"/>
  <c r="L537" i="4"/>
  <c r="L538" i="4"/>
  <c r="L539" i="4"/>
  <c r="L540" i="4"/>
  <c r="L541" i="4"/>
  <c r="L542" i="4"/>
  <c r="L543" i="4"/>
  <c r="L544" i="4"/>
  <c r="L545" i="4"/>
  <c r="L546" i="4"/>
  <c r="L547" i="4"/>
  <c r="L548" i="4"/>
  <c r="L549" i="4"/>
  <c r="L550" i="4"/>
  <c r="L551" i="4"/>
  <c r="L552" i="4"/>
  <c r="L553" i="4"/>
  <c r="L554" i="4"/>
  <c r="L555" i="4"/>
  <c r="L556" i="4"/>
  <c r="L557" i="4"/>
  <c r="L558" i="4"/>
  <c r="L559" i="4"/>
  <c r="L560" i="4"/>
  <c r="L561" i="4"/>
  <c r="L562" i="4"/>
  <c r="L563" i="4"/>
  <c r="L564" i="4"/>
  <c r="L565" i="4"/>
  <c r="L566" i="4"/>
  <c r="L567" i="4"/>
  <c r="L568" i="4"/>
  <c r="L569" i="4"/>
  <c r="L570" i="4"/>
  <c r="L571" i="4"/>
  <c r="L572" i="4"/>
  <c r="L573" i="4"/>
  <c r="L574" i="4"/>
  <c r="L12" i="4"/>
  <c r="K7" i="4" l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Ugur Aydin</author>
  </authors>
  <commentList>
    <comment ref="L11" authorId="0" shapeId="0" xr:uid="{9125555A-DF62-4420-80E3-F57B6790C894}">
      <text>
        <r>
          <rPr>
            <sz val="9"/>
            <color indexed="81"/>
            <rFont val="Tahoma"/>
            <family val="2"/>
            <charset val="162"/>
          </rPr>
          <t xml:space="preserve">ÜMİT BEY'İN DİKKATİNE
</t>
        </r>
      </text>
    </comment>
  </commentList>
</comments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0E59072A-ADFC-4BD2-A5DE-3FF2C84330BD}" keepAlive="1" name="Sorgu - DST_123_ÜRETİM_İHTİYAÇ_RAPORU_BURAK_YENI1309" description="Çalışma kitabındaki 'DST_123_ÜRETİM_İHTİYAÇ_RAPORU_BURAK_YENI1309' sorgusuna yönelik bağlantı." type="5" refreshedVersion="8" saveData="1">
    <dbPr connection="Provider=Microsoft.Mashup.OleDb.1;Data Source=$Workbook$;Location=DST_123_ÜRETİM_İHTİYAÇ_RAPORU_BURAK_YENI1309;Extended Properties=&quot;&quot;" command="SELECT * FROM [DST_123_ÜRETİM_İHTİYAÇ_RAPORU_BURAK_YENI1309]"/>
  </connection>
</connections>
</file>

<file path=xl/sharedStrings.xml><?xml version="1.0" encoding="utf-8"?>
<sst xmlns="http://schemas.openxmlformats.org/spreadsheetml/2006/main" count="49195" uniqueCount="1231">
  <si>
    <t>ELTS0099H013</t>
  </si>
  <si>
    <t>AYDINLATMA DOKUNMATİK GRİ - BEYAZ IŞIK</t>
  </si>
  <si>
    <t>ELSF0099H006</t>
  </si>
  <si>
    <t>DSXX0099H020</t>
  </si>
  <si>
    <t>KUMAŞ PELUŞ GRİ</t>
  </si>
  <si>
    <t>ELSF0099H034</t>
  </si>
  <si>
    <t>KABLO TELLİ 16MM SİYAH</t>
  </si>
  <si>
    <t>ELTS0099H045</t>
  </si>
  <si>
    <t>MPPT ŞARJ 20A</t>
  </si>
  <si>
    <t>ELSF0099H085</t>
  </si>
  <si>
    <t>SOLAR MONTAJ KÖŞE BRAKET</t>
  </si>
  <si>
    <t>ELTS0099H060</t>
  </si>
  <si>
    <t>USB 12V 2Lİ SİYAH</t>
  </si>
  <si>
    <t>ELSF0099H093</t>
  </si>
  <si>
    <t xml:space="preserve">KABLO 3X1,5 </t>
  </si>
  <si>
    <t>ELTS0099H022</t>
  </si>
  <si>
    <t>EBERSPAECHER DİJİTAL SAAT HYD HS3</t>
  </si>
  <si>
    <t>ELTS0099H026</t>
  </si>
  <si>
    <t>GAZ SENSÖRÜ</t>
  </si>
  <si>
    <t>ELSF0099H026</t>
  </si>
  <si>
    <t>KABLO KORUMA KAPAK GÜNEŞ PANELİ SİYAH</t>
  </si>
  <si>
    <t>ELSF0099H033</t>
  </si>
  <si>
    <t>KABLO TELLİ 16MM KIRMIZI</t>
  </si>
  <si>
    <t>ELSF0099H054</t>
  </si>
  <si>
    <t>HRXX0099H095</t>
  </si>
  <si>
    <t>KİLİT ŞİFRELİ ASMA</t>
  </si>
  <si>
    <t>HRXX0099H120</t>
  </si>
  <si>
    <t>TUTAMAK ARKA</t>
  </si>
  <si>
    <t>HRXX0099H127</t>
  </si>
  <si>
    <t>VİDA KÖŞE BAĞLANTI PLASTİK ŞEFFAF</t>
  </si>
  <si>
    <t>HRXX0099H161</t>
  </si>
  <si>
    <t>VİDALI KROŞE BEYAZ EK02</t>
  </si>
  <si>
    <t>DSXX28DNH035</t>
  </si>
  <si>
    <t>SÜNGER 1.40x2.40 28 DNS 8LİK</t>
  </si>
  <si>
    <t>ELTS0099H036</t>
  </si>
  <si>
    <t>KONNEKTÖR GÜNEŞ PANEL</t>
  </si>
  <si>
    <t>ELTS0099H042</t>
  </si>
  <si>
    <t>LEDLİ ÇEVRE AYDINLATMA SİYAH 10CM</t>
  </si>
  <si>
    <t>ELSF0099H086</t>
  </si>
  <si>
    <t>SPOT 12V 25MM METAL</t>
  </si>
  <si>
    <t>HRXX0099H099</t>
  </si>
  <si>
    <t>MENTEŞE LALE MAKAS</t>
  </si>
  <si>
    <t>HRXX0099H130</t>
  </si>
  <si>
    <t>VİDA SUNTA 3,5X13</t>
  </si>
  <si>
    <t>HRXX0099H165</t>
  </si>
  <si>
    <t>KELEPÇE  PASLANMAZ 12X22</t>
  </si>
  <si>
    <t>HRXX0099H181</t>
  </si>
  <si>
    <t xml:space="preserve">SPANZET 35MM </t>
  </si>
  <si>
    <t>HRXX0099H183</t>
  </si>
  <si>
    <t>SPANZET MINI</t>
  </si>
  <si>
    <t>ELTS0099H023</t>
  </si>
  <si>
    <t>EBERSPAECHER KIT</t>
  </si>
  <si>
    <t>ELTS0099H024</t>
  </si>
  <si>
    <t>EBERSPAECHER KOMPLE ISITICI D2L 12V</t>
  </si>
  <si>
    <t>ELTS0099H025</t>
  </si>
  <si>
    <t>EGSOZT UCU PAZLANMAZ ÇIKIŞI</t>
  </si>
  <si>
    <t>ELSF0099H022</t>
  </si>
  <si>
    <t>KABLO KANAL 40X16</t>
  </si>
  <si>
    <t>ELTS0099H030</t>
  </si>
  <si>
    <t>KAÇAK AKIM ROLESİ 25 AMPER</t>
  </si>
  <si>
    <t>ELSF0099H083</t>
  </si>
  <si>
    <t>SİGORTA 16 AH 220 W</t>
  </si>
  <si>
    <t>HRXX0099H158</t>
  </si>
  <si>
    <t>KABLO KANAL 12X12</t>
  </si>
  <si>
    <t>HRXX0099H173</t>
  </si>
  <si>
    <t xml:space="preserve">SİFON LAVABO KÖRÜKLÜ PLASTİK </t>
  </si>
  <si>
    <t>HRXX0099H212</t>
  </si>
  <si>
    <t>KRXX0099H108</t>
  </si>
  <si>
    <t>KMIZ0099H001</t>
  </si>
  <si>
    <t xml:space="preserve">ELYAF E MAT 300 CAM </t>
  </si>
  <si>
    <t>KMPY0099H011</t>
  </si>
  <si>
    <t>KMIZ0099H013</t>
  </si>
  <si>
    <t>MKTS0099H009</t>
  </si>
  <si>
    <t>THERME SU ISITICI (220 V) 5LT</t>
  </si>
  <si>
    <t>MKSF0099H026</t>
  </si>
  <si>
    <t>HORTUM UCU 1 PARMAK SİYAH</t>
  </si>
  <si>
    <t>MKSF0099H033</t>
  </si>
  <si>
    <t>POLİETİLEN BURÇ BÜYÜK</t>
  </si>
  <si>
    <t>MKSF0099H039</t>
  </si>
  <si>
    <t>SARI DİRSEK KUYRUKLU 1 PARMAK</t>
  </si>
  <si>
    <t>MBAP0099H009</t>
  </si>
  <si>
    <t>KONTRA KAVAK 4 MM-170X220</t>
  </si>
  <si>
    <t>MBAP1001H018</t>
  </si>
  <si>
    <t>LAMİNANT RULO 1001 ANTRASİT</t>
  </si>
  <si>
    <t>KRXX0099H001</t>
  </si>
  <si>
    <t>BALTA KÜREK MONTAJ SETİ</t>
  </si>
  <si>
    <t>KMIZ0099H029</t>
  </si>
  <si>
    <t>YAPIŞTIRICI HIZLI XXX GR</t>
  </si>
  <si>
    <t>MKSF0099H020</t>
  </si>
  <si>
    <t xml:space="preserve">HORTUM  TELLİ ŞEFAF 16 MM </t>
  </si>
  <si>
    <t>MKTS0099H032</t>
  </si>
  <si>
    <t>MUSLUK  SOĞUK-SICAK ÇİFT GÖZ</t>
  </si>
  <si>
    <t>MKSF0099H043</t>
  </si>
  <si>
    <t>SARI KUYRUKLU DİRSEK 1/2</t>
  </si>
  <si>
    <t>KRXX0099H039</t>
  </si>
  <si>
    <t>KUM PALETİ SİYAH</t>
  </si>
  <si>
    <t>KRXX0099H041</t>
  </si>
  <si>
    <t>KUM-BALTA X7</t>
  </si>
  <si>
    <t>KRXX0099H114</t>
  </si>
  <si>
    <t>KMIZ0099H002</t>
  </si>
  <si>
    <t xml:space="preserve">ELYAF E MAT 450 CAM </t>
  </si>
  <si>
    <t>KMPY0099H010</t>
  </si>
  <si>
    <t>POLYESTER ÇELİK MACUN</t>
  </si>
  <si>
    <t>KMIZ0099H012</t>
  </si>
  <si>
    <t>MKSF0099H034</t>
  </si>
  <si>
    <t>POLİETİLEN BURÇ KÜÇÜK</t>
  </si>
  <si>
    <t>MKTS0099H039</t>
  </si>
  <si>
    <t>SİNTİNE POMPASI 750 BASINC</t>
  </si>
  <si>
    <t>MBAP0099H006</t>
  </si>
  <si>
    <t>KONTRA KAVAK 12 MM-170X220</t>
  </si>
  <si>
    <t>KRXX0099H042</t>
  </si>
  <si>
    <t>KUM-KÜREK</t>
  </si>
  <si>
    <t>KRXX0099H059</t>
  </si>
  <si>
    <t>TENTE ALBİNA 2.2 SİYAH</t>
  </si>
  <si>
    <t>KMPY0099H006</t>
  </si>
  <si>
    <t>MEK PEROKSİT-DONDURUCU M50</t>
  </si>
  <si>
    <t>KMPY0099H008</t>
  </si>
  <si>
    <t>POLYESTER</t>
  </si>
  <si>
    <t>MKSF0099H027</t>
  </si>
  <si>
    <t>HORTUM UCU 1/2  PARMAK SİYAH</t>
  </si>
  <si>
    <t>KMIZ0099H028</t>
  </si>
  <si>
    <t>DSXX0099H047</t>
  </si>
  <si>
    <t>KUMAŞ PELUŞ KREM</t>
  </si>
  <si>
    <t>ELSF0099H106</t>
  </si>
  <si>
    <t>KMBY0099H053</t>
  </si>
  <si>
    <t>POLİÜRETAN MDİ</t>
  </si>
  <si>
    <t>MBAP0099H042</t>
  </si>
  <si>
    <t>PVC BANT MEŞE 22MM TORTANA</t>
  </si>
  <si>
    <t>KMBY0099H052</t>
  </si>
  <si>
    <t>POLİÜRETAN HAMMADDE 1030</t>
  </si>
  <si>
    <t>HRXX0099H336</t>
  </si>
  <si>
    <t>VİDA PASLANMAZ 4,2X25</t>
  </si>
  <si>
    <t>PABUÇ SKP 16-6</t>
  </si>
  <si>
    <t>ELSF0099H137</t>
  </si>
  <si>
    <t>DSXX0099H064</t>
  </si>
  <si>
    <t>KUMAŞ ELYAF 120 GR</t>
  </si>
  <si>
    <t>PABUÇ SKP 6-6</t>
  </si>
  <si>
    <t>ELSF0099H131</t>
  </si>
  <si>
    <t>SOLAR MONTAJ ORTA BRAKET</t>
  </si>
  <si>
    <t>DSXX0099H060</t>
  </si>
  <si>
    <t>SÜNGER 1.40x2.40 28 DNS 5LİK</t>
  </si>
  <si>
    <t>DSXX0099H062</t>
  </si>
  <si>
    <t>CIRT YUVARLAK</t>
  </si>
  <si>
    <t>ELTS0099H086</t>
  </si>
  <si>
    <t>PABUÇ SKP 16-8</t>
  </si>
  <si>
    <t>MBAP0099H010</t>
  </si>
  <si>
    <t>KONTRA KAVAK 8 MM-170X220</t>
  </si>
  <si>
    <t>ELTS0099H070</t>
  </si>
  <si>
    <t>SOLAR PANEL 205W</t>
  </si>
  <si>
    <t>DSXX0099H061</t>
  </si>
  <si>
    <t>SÜNGER 1.40x2.40 28 DNS 3LÜK</t>
  </si>
  <si>
    <t>HRXX0099H385</t>
  </si>
  <si>
    <t>KABLO BAĞI CİRT 3.60X200</t>
  </si>
  <si>
    <t>HRXX0099H421</t>
  </si>
  <si>
    <t>PUSH BUTON BL06-160-CH KROM PARLAK</t>
  </si>
  <si>
    <t>ELSF0099H149</t>
  </si>
  <si>
    <t>KABLO 1X1,5 BEYAZ</t>
  </si>
  <si>
    <t>MKTS0099H080</t>
  </si>
  <si>
    <t>ARA NİPEL 10-1/2 MM</t>
  </si>
  <si>
    <t>MKTS0099H079</t>
  </si>
  <si>
    <t>BAKIR BORU 10MM</t>
  </si>
  <si>
    <t>ELTS0099H095</t>
  </si>
  <si>
    <t>İNVERTÖR 1000W TAM SİNÜS</t>
  </si>
  <si>
    <t>PROJE_KODU</t>
  </si>
  <si>
    <t>KARAVAN_ADI</t>
  </si>
  <si>
    <t>ALT_KOD_TÜR</t>
  </si>
  <si>
    <t>ALT_KOD</t>
  </si>
  <si>
    <t>ALT_ADI</t>
  </si>
  <si>
    <t>MIKTAR</t>
  </si>
  <si>
    <t>BIRIM</t>
  </si>
  <si>
    <t>ELDE_KALAN</t>
  </si>
  <si>
    <t>AÇIK_SATINALMA_SİPARİŞLERİ</t>
  </si>
  <si>
    <t>BIRIM_FIYATLAR</t>
  </si>
  <si>
    <t>TUTAR</t>
  </si>
  <si>
    <t>ALTSTOKGRUPKODU</t>
  </si>
  <si>
    <t>Hammadde</t>
  </si>
  <si>
    <t>ADET</t>
  </si>
  <si>
    <t>KARAVAN EKİPMAN</t>
  </si>
  <si>
    <t>MEKANİK</t>
  </si>
  <si>
    <t>METRE</t>
  </si>
  <si>
    <t>HIRDAVAT</t>
  </si>
  <si>
    <t>MOBİLYA</t>
  </si>
  <si>
    <t>M2</t>
  </si>
  <si>
    <t>KİMYASAL</t>
  </si>
  <si>
    <t>DÖŞEME</t>
  </si>
  <si>
    <t>KG</t>
  </si>
  <si>
    <t>M3</t>
  </si>
  <si>
    <t>SATINALMA</t>
  </si>
  <si>
    <t>TOPLAM</t>
  </si>
  <si>
    <t>Birim Fiyat</t>
  </si>
  <si>
    <t>Toplam Maliyet</t>
  </si>
  <si>
    <t>Toplam İhtiyaç</t>
  </si>
  <si>
    <t>Açık Siparişler</t>
  </si>
  <si>
    <t>Depo Stok</t>
  </si>
  <si>
    <t>Toplam Satınalma</t>
  </si>
  <si>
    <t>Satır Etiketleri</t>
  </si>
  <si>
    <t>Genel Toplam</t>
  </si>
  <si>
    <t>Ticarimal</t>
  </si>
  <si>
    <t>KRXX0099H086</t>
  </si>
  <si>
    <t>BUZDOLABI İNDEL B-CRUİSE 42 LT</t>
  </si>
  <si>
    <t>PROJELERE_ÇIKIŞLAR_YENI</t>
  </si>
  <si>
    <t>ELTS0099H001</t>
  </si>
  <si>
    <t>ELSF0099H071</t>
  </si>
  <si>
    <t>MAKARON 16 MM </t>
  </si>
  <si>
    <t>HRXX0099H001</t>
  </si>
  <si>
    <t>BANT BEZ TÜYLÜ</t>
  </si>
  <si>
    <t>HRXX0099H019</t>
  </si>
  <si>
    <t>HRXX0099H020</t>
  </si>
  <si>
    <t>HRXX0099H144</t>
  </si>
  <si>
    <t>ELSF0099H132</t>
  </si>
  <si>
    <t>KRXX0099H249</t>
  </si>
  <si>
    <t>PLASTIK KONTROL KAPAGI-IC CAP 165MM</t>
  </si>
  <si>
    <t>ÜRETİM DEPO</t>
  </si>
  <si>
    <t>SON SATINALMA CARİ ÜNVANI</t>
  </si>
  <si>
    <t>FERMİL MOBİL SİSTEMLERİ A.Ş.</t>
  </si>
  <si>
    <t>AÇSA OTOMOTİV BİLGİSAYAR VE TEKSTİL SANAYİ VE TİC. LTD. ŞTİ.</t>
  </si>
  <si>
    <t>MS YILDIZ TEKNİK YAPI HIRDAVAT İNŞAAT MAKİNE SANAYİ VE TİC. LTD. ŞTİ.</t>
  </si>
  <si>
    <t>ECK MARİNE ELEKTRİK SAN. VE TİC. LTD. ŞTİ</t>
  </si>
  <si>
    <t>ELSF0099H183</t>
  </si>
  <si>
    <t>BICAK SİGORTA 30 A</t>
  </si>
  <si>
    <t>OTO SÜNER OTOMOTİV İNŞ. TURİZM PAZ. SAN. VE TİC. LTD. ŞTİ.</t>
  </si>
  <si>
    <t>ELEKTRİK</t>
  </si>
  <si>
    <t>ÇADIR</t>
  </si>
  <si>
    <t>TÜM ORMAN ÜRÜNLERİ MOBİLYA SANAYİ VE TİC. LTD. ŞTİ.</t>
  </si>
  <si>
    <t>GÜLKAN DÖŞEME MALZEMELERİ LİMİTED ŞİRKETİ</t>
  </si>
  <si>
    <t>LED DOLAP İÇİ AYDINLATMA BEYAZ</t>
  </si>
  <si>
    <t>MİMAKS AKSESUAR MOBİLYA SANAYİ VE TİCARET LTD.ŞTİ.</t>
  </si>
  <si>
    <t>ELECTRO ZİRVE ENERJİ BİLİŞİM SANAYİ VE DIŞ TİCARET LİMİTED ŞİRKETİ</t>
  </si>
  <si>
    <t>UTKU ELEKTRİK SAN. VE TİC. LTD. ŞTİ.</t>
  </si>
  <si>
    <t>ELSF0099H007</t>
  </si>
  <si>
    <t>BICAK SİGORTA 10 A</t>
  </si>
  <si>
    <t>ELSF0099H008</t>
  </si>
  <si>
    <t>BICAK SİGORTA 15 A</t>
  </si>
  <si>
    <t>ELSF0099H009</t>
  </si>
  <si>
    <t>BICAK SİGORTA 20 A</t>
  </si>
  <si>
    <t>KORONA ENDÜSTRİYEL ELEKTRİK MÜHENDİSLİK SANAYİ VE TİCARET A.Ş.</t>
  </si>
  <si>
    <t>ELSF0099H078</t>
  </si>
  <si>
    <t>ELSF0099H081</t>
  </si>
  <si>
    <t>HRXX0099H013</t>
  </si>
  <si>
    <t>BEZ HURDA</t>
  </si>
  <si>
    <t>ENSAN ENDÜSTRİ MALZEMELERİ NAKLİYAT TİCARET VE SAN. LTD. ŞTİ.</t>
  </si>
  <si>
    <t>HRXX0099H021</t>
  </si>
  <si>
    <t>FIRÇA AHŞAP SAPLI 3 NUMARA</t>
  </si>
  <si>
    <t>HRXX0099H097</t>
  </si>
  <si>
    <t xml:space="preserve">MENFEZ ALİMİNYUM 30X7 </t>
  </si>
  <si>
    <t>ÜNVER ÇELİK HALAT HIR DENİZ MAL SAN VE TİC LTD ŞTİ</t>
  </si>
  <si>
    <t>GEBZE KARTAL CAM AKSESUAR İNŞ.SAN. VE TİC.LTD.ŞTİ.</t>
  </si>
  <si>
    <t>AVC ARAZİ TAŞITI AKSESUARLARI OTO VE KAMP LTD. ŞTİ.</t>
  </si>
  <si>
    <t>KAUÇUK TAKOZ CİVATALI 9CM</t>
  </si>
  <si>
    <t>SİKA MASTİK SOSİS SİYAH SOTAŞ</t>
  </si>
  <si>
    <t>SOTAŞ KİMYEVİ MADDELER SAN. TİC. A.Ş.</t>
  </si>
  <si>
    <t>GÜLTEKİN PRES DÖKÜM SU ARMATÖRLERİ METAL KAPLAMA SANAYİ VE TİC. LTD. ŞTİ.</t>
  </si>
  <si>
    <t>NEXON POLIMER KIMYA SANAYI VE TICARET A.Ş.</t>
  </si>
  <si>
    <t>EGE DUVAR VE ZEMİN KAPLAMA SİSTEMLERİ SAN.TİC.LTD.ŞTİ</t>
  </si>
  <si>
    <t>STAR ALÜMİNYUM PAZARLAMA SANAYİ VE TİCARET ANONİM ŞİRKETİ</t>
  </si>
  <si>
    <t>ELSF0099H119</t>
  </si>
  <si>
    <t>KMIZ0099H037</t>
  </si>
  <si>
    <t>SİLİKON ÇİVİ TÜP</t>
  </si>
  <si>
    <t>KARADENİZ YAPIŞTIRICILAR VE ENDÜSTRİYEL ÜRÜN. SAN. TİC. LTD.ŞTİ.</t>
  </si>
  <si>
    <t>DSXX0099H048</t>
  </si>
  <si>
    <t>SPREY S1 YAPIŞTIRICI 15LT</t>
  </si>
  <si>
    <t>MARMARA MALZEMECİLİK MOBİLYA SAN. VE TİC. A.Ş</t>
  </si>
  <si>
    <t>AGUS KARAVAN TİC. LTD. ŞTİ.</t>
  </si>
  <si>
    <t>ELTS0099H096</t>
  </si>
  <si>
    <t>KRXX0099H218</t>
  </si>
  <si>
    <t>REİCH DIŞ DUŞ JAKLI SİYAH</t>
  </si>
  <si>
    <t>HRXX0099H521</t>
  </si>
  <si>
    <t>ÇITÇIT METAL PASLANMAZ</t>
  </si>
  <si>
    <t>KRXX0099H232</t>
  </si>
  <si>
    <t>ELTS0099H101</t>
  </si>
  <si>
    <t>BIÇAK SİGORTA KUTUSU 4LÜ</t>
  </si>
  <si>
    <t>MKTS0099H097</t>
  </si>
  <si>
    <t>MKTS0099H098</t>
  </si>
  <si>
    <t>MKTS0099H118</t>
  </si>
  <si>
    <t>SU DOLUM AĞZI BERHİMİ SİYAH</t>
  </si>
  <si>
    <t>KAMPERSAN OTOMOTİV KARAVAN EKİPMANLARI SANAYİ TİCARET ANONİM ŞİRKETİ</t>
  </si>
  <si>
    <t>MKTS0099H119</t>
  </si>
  <si>
    <t>MKTS0099H120</t>
  </si>
  <si>
    <t>MKTS0099H121</t>
  </si>
  <si>
    <t>MKTS0099H122</t>
  </si>
  <si>
    <t>ELDİVEN MUAYENE PUDRALI</t>
  </si>
  <si>
    <t>ELDİVEN NİTRİL</t>
  </si>
  <si>
    <t>HRXX0099H084</t>
  </si>
  <si>
    <t>DEGOBAJ UCU T118A</t>
  </si>
  <si>
    <t xml:space="preserve">VİDA SUNTA 5X25 </t>
  </si>
  <si>
    <t>KMPY0099H001</t>
  </si>
  <si>
    <t>AEROSİL</t>
  </si>
  <si>
    <t>POLYESTER TEMİZLEYİCİ ASETON</t>
  </si>
  <si>
    <t>SİKA MASTİK SOSİS BEYAZ SOTAŞ</t>
  </si>
  <si>
    <t>HAYRİOĞLU POLYESTER İNŞAAT YAPI ÜRÜNLERİ SANAYİ VE TİC. LTD. ŞTİ.</t>
  </si>
  <si>
    <t>HRXX0099H338</t>
  </si>
  <si>
    <t>DÜZ DEMİR BAĞLANTI</t>
  </si>
  <si>
    <t>İzoleli Kablo Yüksüğü 1,5MM</t>
  </si>
  <si>
    <t>HRXX0099H345</t>
  </si>
  <si>
    <t>ELSF0099H024</t>
  </si>
  <si>
    <t>KABLO KANALI 25X16</t>
  </si>
  <si>
    <t>AKRİDA TEKSTİL SAN. İÇ VE DIŞ TİC. LTD.ŞTİ.</t>
  </si>
  <si>
    <t>ÜRETİM_DEPO</t>
  </si>
  <si>
    <t>PROJELERE_ÇIKIŞLAR</t>
  </si>
  <si>
    <t>KMIZ0099H054</t>
  </si>
  <si>
    <t>SİKA MASTİK SOSİS NP1</t>
  </si>
  <si>
    <t>(Tümü)</t>
  </si>
  <si>
    <t>(Birden Çok Öğe)</t>
  </si>
  <si>
    <t>Toplam MIKTAR</t>
  </si>
  <si>
    <t>FİŞ ERKEK 1X16 TOPRAKLI DÜZ</t>
  </si>
  <si>
    <t>TEKLİ ÇERÇEVE SİYAH</t>
  </si>
  <si>
    <t>TOPRAKLI PRİZ Ç.K. KAPAKLI SIYAH</t>
  </si>
  <si>
    <t>MKSF0099H032</t>
  </si>
  <si>
    <t>MENFEZ KROM YUVARLAK 35X43</t>
  </si>
  <si>
    <t>TOPRAKLI PRİZ MEKANIZMA Ç.B.</t>
  </si>
  <si>
    <t>FİŞ DİŞİ 3X16 KAPAKLI</t>
  </si>
  <si>
    <t>TUTKAL DENİZ MAGNETO 500GR</t>
  </si>
  <si>
    <t>MKSF0099H021</t>
  </si>
  <si>
    <t xml:space="preserve">HORTUM  TELLİ ŞEFAF 25 MM </t>
  </si>
  <si>
    <t>TUZLA HORTUM SANAYİ TİCARET A.Ş.</t>
  </si>
  <si>
    <t>GLADiATOR AYAK SAĞ ARKA NO.3 TRİM</t>
  </si>
  <si>
    <t>GLADiATOR AYAK SAĞ ÖN NO.4 TRİM</t>
  </si>
  <si>
    <t>GLADiATOR AYAK SOL ARKA NO.1 TRİM</t>
  </si>
  <si>
    <t>GLADiATOR AYAK SOL ÖN NO.2 TRİM</t>
  </si>
  <si>
    <t>MBAP0099H018</t>
  </si>
  <si>
    <t>KERESTE DEK LADİN</t>
  </si>
  <si>
    <t>HRXX0099H033</t>
  </si>
  <si>
    <t>RULO PARMAK 10MM YEDEK İÇ</t>
  </si>
  <si>
    <t>LEHİM TELİ 1,2 MM</t>
  </si>
  <si>
    <t>MKTS0099H054</t>
  </si>
  <si>
    <t>POLİETİLEN TABAKA 8MM</t>
  </si>
  <si>
    <t>BURÇMETAL PLASTİK ÇELİK A.Ş.</t>
  </si>
  <si>
    <t>HRXX0099H213</t>
  </si>
  <si>
    <t>LOCTİTE 243 CONTA YAPIŞTIRICI 50 ML</t>
  </si>
  <si>
    <t>HRXX0099H011</t>
  </si>
  <si>
    <t>BANT TEFLON</t>
  </si>
  <si>
    <t>HRXX0099H299</t>
  </si>
  <si>
    <t>KLİNGRİT CONTA 1/2</t>
  </si>
  <si>
    <t>HRXX0099H121</t>
  </si>
  <si>
    <t>VAKUMLU DUŞ BAŞLIĞI TUTUCUSU</t>
  </si>
  <si>
    <t>MKTS0099H123</t>
  </si>
  <si>
    <t>MKTS0099H124</t>
  </si>
  <si>
    <t>PİLESAN ALÜMİNYUM YAPI MALZEMELERİ İNŞAAT SANAYİ VE DIŞ TİCARET LİMİTED ŞİRKETİ</t>
  </si>
  <si>
    <t>KMIZ0099H059</t>
  </si>
  <si>
    <t>ÖRGÜ KEÇE ELYAF 600/225</t>
  </si>
  <si>
    <t>HRXX0099H028</t>
  </si>
  <si>
    <t>MASKE TOZ</t>
  </si>
  <si>
    <t>KMIZ0099H058</t>
  </si>
  <si>
    <t>SİKAFLEX 100 AKTİVATÖR 1000ML</t>
  </si>
  <si>
    <t>HRXX0099H067</t>
  </si>
  <si>
    <t>FIRÇA PRİMER</t>
  </si>
  <si>
    <t>SÜLEYMAN ÜÇDAL   [ GÜÇLAS KAUÇUK ]</t>
  </si>
  <si>
    <t>KMIZ0099H057</t>
  </si>
  <si>
    <t>SİKAFLEX 206 PRİMER 1000ML</t>
  </si>
  <si>
    <t>KMIZ0099H015</t>
  </si>
  <si>
    <t>SİLİKON AYNA</t>
  </si>
  <si>
    <t>HRXX0099H133</t>
  </si>
  <si>
    <t>VİDA SUNTA 3,5X25</t>
  </si>
  <si>
    <t>HRXX0099H217</t>
  </si>
  <si>
    <t>CİVATA PASLANMAZ  M10X60</t>
  </si>
  <si>
    <t>HRXX0099H197</t>
  </si>
  <si>
    <t>PUL ŞAŞE GALVANİZ M10</t>
  </si>
  <si>
    <t>HRXX0099H175</t>
  </si>
  <si>
    <t>SOMUN PASLANMAZ FİBERLİ M8</t>
  </si>
  <si>
    <t>HRXX0099H138</t>
  </si>
  <si>
    <t>VİDA SUNTA 3X13</t>
  </si>
  <si>
    <t>MKSF0099H025</t>
  </si>
  <si>
    <t>HORTUM OKSİJEN MAVİ 10MM</t>
  </si>
  <si>
    <t>MKSF0099H024</t>
  </si>
  <si>
    <t>HORTUM OKSİJEN KIRMIZI 10MM</t>
  </si>
  <si>
    <t>HRXX0099H143</t>
  </si>
  <si>
    <t>VİDA SUNTA 5X20</t>
  </si>
  <si>
    <t>HRXX0099H320</t>
  </si>
  <si>
    <t>KELEPÇE PASLANMAZ 10X16</t>
  </si>
  <si>
    <t>İBRAHİM YAMAÇ   [ YAMAÇ OTOMOTİV ]</t>
  </si>
  <si>
    <t>HRXX0099H166</t>
  </si>
  <si>
    <t>KELEPÇE  PASLANMAZ 22X36</t>
  </si>
  <si>
    <t>MKSF0099H037</t>
  </si>
  <si>
    <t>SARI HORTUM  TE 10 MM</t>
  </si>
  <si>
    <t>HRXX0099H203</t>
  </si>
  <si>
    <t>SARI HORTUM REKORU 10MM 3/8 DIŞ DİŞLİ</t>
  </si>
  <si>
    <t>MKSF0099H035</t>
  </si>
  <si>
    <t>SARI 1/2 DEPO KOVANI</t>
  </si>
  <si>
    <t>MKSF0099H038</t>
  </si>
  <si>
    <t>SARI DİRSEK 1/2</t>
  </si>
  <si>
    <t>MKSF0099H001</t>
  </si>
  <si>
    <t>BORU CELİK GAZ 8MM</t>
  </si>
  <si>
    <t>MKSF0099H056</t>
  </si>
  <si>
    <t>SARI REKOR 12 MM 1/2</t>
  </si>
  <si>
    <t>HRXX0099H224</t>
  </si>
  <si>
    <t>L DEMİR ÇEKTİRME</t>
  </si>
  <si>
    <t>MBAP6004H064</t>
  </si>
  <si>
    <t>HRXX0099H137</t>
  </si>
  <si>
    <t>VİDA SUNTA 3,5X50</t>
  </si>
  <si>
    <t>MKSF0099H006</t>
  </si>
  <si>
    <t>CİVATA PASLANMAZ M8X50</t>
  </si>
  <si>
    <t>MBAP0099H019</t>
  </si>
  <si>
    <t>KONTRA FALCATA 12 MM 122X250</t>
  </si>
  <si>
    <t>BOĞAZİÇİ BAKIM KORUMA KİMYASALLARI VE DIŞ TİC. LTD. ŞTİ.</t>
  </si>
  <si>
    <t>KMIZ0099H016</t>
  </si>
  <si>
    <t>SİLİKON DOLAP TOPLAMA KİTİ</t>
  </si>
  <si>
    <t>HRXX0099H132</t>
  </si>
  <si>
    <t>VİDA SUNTA 3,5X20</t>
  </si>
  <si>
    <t>KMIZ0099H008</t>
  </si>
  <si>
    <t>MACUN ANTRASİT</t>
  </si>
  <si>
    <t>ELSF0099H141</t>
  </si>
  <si>
    <t>AKÜ KUTUP BAŞI KORUMA KILIFI SİYAH</t>
  </si>
  <si>
    <t>ELSF0099H069</t>
  </si>
  <si>
    <t>AKÜ KUTUP BAŞI KORUMA KILIFI KIRMIZI</t>
  </si>
  <si>
    <t>ELSF0099H088</t>
  </si>
  <si>
    <t>WAGO 2LÜ</t>
  </si>
  <si>
    <t>ELSF0099H090</t>
  </si>
  <si>
    <t>WAGO 5 LÜ</t>
  </si>
  <si>
    <t>ELSF0099H175</t>
  </si>
  <si>
    <t>SF2D KABLO UCU DİŞİ TERMİNAL + KILIF</t>
  </si>
  <si>
    <t>HRXX0099H526</t>
  </si>
  <si>
    <t>LEHİM PASTASI</t>
  </si>
  <si>
    <t>GR</t>
  </si>
  <si>
    <t>ELSF0099H074</t>
  </si>
  <si>
    <t>ELSF0099H129</t>
  </si>
  <si>
    <t>MAKARON 25,4 MM</t>
  </si>
  <si>
    <t>HRXX0099H134</t>
  </si>
  <si>
    <t>VİDA SUNTA 3,5X35</t>
  </si>
  <si>
    <t>HRXX0099H103</t>
  </si>
  <si>
    <t>CHARGER 25A (110V-230V)</t>
  </si>
  <si>
    <t>DSXX0099H055</t>
  </si>
  <si>
    <t>STEP 201 KREM</t>
  </si>
  <si>
    <t>AVİSTA GLOBAL TEKSTİL İNŞAAT TURİZM SANAYİ VE TİCARET A.Ş.</t>
  </si>
  <si>
    <t>BARA VİDALI 6LI 150 A</t>
  </si>
  <si>
    <t>ELSF0099H146</t>
  </si>
  <si>
    <t>SİGORTA MEGAVAL 100A 3 AYAKLI</t>
  </si>
  <si>
    <t>ELTS0099H100</t>
  </si>
  <si>
    <t>SOLAR PANEL DEVRE KESİCİ BUTON</t>
  </si>
  <si>
    <t>DMR TABELA SİSTEMLERİ SERİGRAFİ MATBAA REKLAM SAN. TİC. LTD. ŞTİ.</t>
  </si>
  <si>
    <t>MKTS0099H128</t>
  </si>
  <si>
    <t>GLADİATOR XL AYAK GÖVDE BAĞLANTISI SOL ARKA NO.1</t>
  </si>
  <si>
    <t>MKTS0099H129</t>
  </si>
  <si>
    <t>GLADİATOR XL AYAK GÖVDE BAĞLANTISI SOL ÖN NO.2</t>
  </si>
  <si>
    <t>MKTS0099H130</t>
  </si>
  <si>
    <t>GLADİATOR XL AYAK GÖVDE BAĞLANTISI SAĞ ARKA NO.3</t>
  </si>
  <si>
    <t>MKTS0099H131</t>
  </si>
  <si>
    <t>GLADİATOR XL AYAK GÖVDE BAĞLANTISI SAĞ ÖN NO.4</t>
  </si>
  <si>
    <t>MKTS0099H133</t>
  </si>
  <si>
    <t>GLADiATOR XL AYAK SOL ARKA NO.1 TRİM</t>
  </si>
  <si>
    <t>MKTS0099H134</t>
  </si>
  <si>
    <t>GLADiATOR XL AYAK SOL ÖN NO.2 TRİM</t>
  </si>
  <si>
    <t>MKTS0099H135</t>
  </si>
  <si>
    <t>GLADiATOR XL AYAK SAĞ ARKA NO.3 TRİM</t>
  </si>
  <si>
    <t>MKTS0099H136</t>
  </si>
  <si>
    <t>GLADiATOR XL AYAK SAĞ ÖN NO.4 TRİM</t>
  </si>
  <si>
    <t>HRXX0099H555</t>
  </si>
  <si>
    <t>HRXX0099H556</t>
  </si>
  <si>
    <t>RAY 35 LİK TELESKOBİK FRENLİ</t>
  </si>
  <si>
    <t>ELTS0099H068</t>
  </si>
  <si>
    <t>CHARGER GÜÇ (POWER) BESLEME KABLOSU</t>
  </si>
  <si>
    <t>MKTS0099H146</t>
  </si>
  <si>
    <t>MKTS0099H147</t>
  </si>
  <si>
    <t>SU BASINÇ DÜŞÜRÜCÜ VALF PİSTONLU 1/2</t>
  </si>
  <si>
    <t>ÇALIŞKANLAR İNŞAAT TURİZM SAN.VE TİC.LTD.ŞTİ</t>
  </si>
  <si>
    <t>HRXX0099H081</t>
  </si>
  <si>
    <t>ÇITCIT PİRİNÇ METAL 7MM</t>
  </si>
  <si>
    <t>HRXX0099H189</t>
  </si>
  <si>
    <t>VİDA PASLANMAZ MERCİMEK BAŞLI 4,2X25</t>
  </si>
  <si>
    <t>KMIZ0099H024</t>
  </si>
  <si>
    <t xml:space="preserve">SİLİKON SICAK </t>
  </si>
  <si>
    <t>HRXX0099H241</t>
  </si>
  <si>
    <t>SIVA SÜNGERİ</t>
  </si>
  <si>
    <t>KMPY0099H015</t>
  </si>
  <si>
    <t>KALIP AYIRICI PROVAKS</t>
  </si>
  <si>
    <t>MKSF0099H063</t>
  </si>
  <si>
    <t>KELEPÇE GAZ DEVRESİ P KLİPS</t>
  </si>
  <si>
    <t>HRXX0099H386</t>
  </si>
  <si>
    <t>KABLO BAĞI CİRT 3.60X300</t>
  </si>
  <si>
    <t>KMPY0099H019</t>
  </si>
  <si>
    <t>MKSF0099H081</t>
  </si>
  <si>
    <t>ARA NİPEL 8-10 MM GAZ DEVRESİ</t>
  </si>
  <si>
    <t>HRXX0099H483</t>
  </si>
  <si>
    <t>CİVATA M10X90 8,8 GALVANİZ</t>
  </si>
  <si>
    <t>HRXX0099H484</t>
  </si>
  <si>
    <t>SOMUN FİBERLİ M10 GALVANİZ</t>
  </si>
  <si>
    <t>HRXX0099H490</t>
  </si>
  <si>
    <t>CAM ALTLIK SES STOPERİ</t>
  </si>
  <si>
    <t>HRXX0099H491</t>
  </si>
  <si>
    <t>HRXX0099H551</t>
  </si>
  <si>
    <t>PUL 4,3X12X1 PASLANMAZ</t>
  </si>
  <si>
    <t>HRXX0099H564</t>
  </si>
  <si>
    <t>CİVATA PASLANMAZ M10X50 ALTIGEN BAŞ</t>
  </si>
  <si>
    <t>TM2 BİLİŞİM OTOMOTİV TİCARET LİMİTED ŞİRKETİ</t>
  </si>
  <si>
    <t>3D-BASKI</t>
  </si>
  <si>
    <t>3DBK0099H004</t>
  </si>
  <si>
    <t>MERDİVEN AYAK</t>
  </si>
  <si>
    <t>3DBK0099H005</t>
  </si>
  <si>
    <t>MERDİVEN DESTEK</t>
  </si>
  <si>
    <t>3DBK0099H006</t>
  </si>
  <si>
    <t>THULE KAPAK</t>
  </si>
  <si>
    <t>OMNİS KOMPOZİT SANAYİ VE TİCARET LİMİTED ŞİRKETİ</t>
  </si>
  <si>
    <t>DSXX0099H004</t>
  </si>
  <si>
    <t>İPLİK KAYTAN</t>
  </si>
  <si>
    <t>DSXX0099H106</t>
  </si>
  <si>
    <t>SOFTSHELL MEMBRANLI KUMAS</t>
  </si>
  <si>
    <t>MT</t>
  </si>
  <si>
    <t>ECTURB100002</t>
  </si>
  <si>
    <t>URBAN BADGER BENZİN BİDONU</t>
  </si>
  <si>
    <t>ECTURB100003</t>
  </si>
  <si>
    <t>URBAN BADGER BENZİN BİDONU ANAHTAR</t>
  </si>
  <si>
    <t>ELSF0099H140</t>
  </si>
  <si>
    <t>KABLO SPRAL BORU YARIKLI PG25</t>
  </si>
  <si>
    <t>ELSF0099H188</t>
  </si>
  <si>
    <t>DİYOT 1N4007</t>
  </si>
  <si>
    <t>İNFOTEK ELEKTRONİK SANAYİ VE TİCARET ANONİM ŞİRKETİ</t>
  </si>
  <si>
    <t>ELSF0099H189</t>
  </si>
  <si>
    <t>SİGORTA KUTUSU 6 LI SİYAH KAPAKLI</t>
  </si>
  <si>
    <t>VENTA ENERJİ LİMİTED ŞİRKETİ</t>
  </si>
  <si>
    <t>ELTS0099H129</t>
  </si>
  <si>
    <t>TRANSFER SWİTCH 63A</t>
  </si>
  <si>
    <t>ELTS0099H131</t>
  </si>
  <si>
    <t>PABUÇ SKP 16-10</t>
  </si>
  <si>
    <t>ELTS0099H132</t>
  </si>
  <si>
    <t>VERONA ESNEK OKUMA LAMBASI-SIYAH</t>
  </si>
  <si>
    <t>HRXX0099H009</t>
  </si>
  <si>
    <t>BANT MASKELEME MAVİ 25 MM</t>
  </si>
  <si>
    <t>HRXX0099H010</t>
  </si>
  <si>
    <t>BANT MASKELEME MAVİ 50 MM</t>
  </si>
  <si>
    <t>HRXX0099H029</t>
  </si>
  <si>
    <t>MAŞRAPA ÖLÇEKLİ</t>
  </si>
  <si>
    <t>HRXX0099H054</t>
  </si>
  <si>
    <t>ZIMPARA ORBİTAL 320</t>
  </si>
  <si>
    <t>HRXX0099H055</t>
  </si>
  <si>
    <t>ZIMPARA ORBİTAL 40</t>
  </si>
  <si>
    <t>HRXX0099H059</t>
  </si>
  <si>
    <t>ZIMPARA ORBİTAL 80</t>
  </si>
  <si>
    <t>HRXX0099H070</t>
  </si>
  <si>
    <t>ALÜMİNYUM KÖŞE PROFİL KROM 1X1</t>
  </si>
  <si>
    <t>HRXX0099H142</t>
  </si>
  <si>
    <t>VİDA SUNTA 4X70</t>
  </si>
  <si>
    <t>HRXX0099H149</t>
  </si>
  <si>
    <t>ZIMBA TELİ 80/14</t>
  </si>
  <si>
    <t>HRXX0099H153</t>
  </si>
  <si>
    <t>FERMUAR SİYAH</t>
  </si>
  <si>
    <t>HRXX0099H177</t>
  </si>
  <si>
    <t>SOMUN PASLANMAZ KÖR M8</t>
  </si>
  <si>
    <t>HRXX0099H184</t>
  </si>
  <si>
    <t>VİDA PASLANMAZ HAVŞA 3,9X16</t>
  </si>
  <si>
    <t>HRXX0099H301</t>
  </si>
  <si>
    <t>PUL ŞASE 3/8</t>
  </si>
  <si>
    <t>HRXX0099H312</t>
  </si>
  <si>
    <t>PERÇİN 4X15</t>
  </si>
  <si>
    <t>HRXX0099H330</t>
  </si>
  <si>
    <t>TAPA ANTRASİT 14 MM</t>
  </si>
  <si>
    <t>HRXX0099H342</t>
  </si>
  <si>
    <t>VİDA SUNTA 5X40</t>
  </si>
  <si>
    <t>HRXX0099H373</t>
  </si>
  <si>
    <t>PUSH BUTON BL03-GB AY FÜME</t>
  </si>
  <si>
    <t>HRXX0099H396</t>
  </si>
  <si>
    <t>ZIMPARA ORBİTAL 180</t>
  </si>
  <si>
    <t>HRXX0099H410</t>
  </si>
  <si>
    <t>POST RULO- 10luk POLYESTER YEDEK</t>
  </si>
  <si>
    <t>HRXX0099H417</t>
  </si>
  <si>
    <t>ZIMBA TELİ EF15 5000Lİ</t>
  </si>
  <si>
    <t>HRXX0099H418</t>
  </si>
  <si>
    <t>VİDA SUNTA 5x60</t>
  </si>
  <si>
    <t>HRXX0099H424</t>
  </si>
  <si>
    <t>GÖZLÜK ŞEFFAF</t>
  </si>
  <si>
    <t>HRXX0099H428</t>
  </si>
  <si>
    <t>BANT MASKELEME DAYSON 48 MM</t>
  </si>
  <si>
    <t>HRXX0099H429</t>
  </si>
  <si>
    <t>BANT MASKELEME DAYSON 24 MM</t>
  </si>
  <si>
    <t>HRXX0099H457</t>
  </si>
  <si>
    <t>VİDA YHB 3,9x38</t>
  </si>
  <si>
    <t>FIBER DISK ZIMPARA 40LIK</t>
  </si>
  <si>
    <t>HRXX0099H523</t>
  </si>
  <si>
    <t>KAPI ALTI SÜNGER</t>
  </si>
  <si>
    <t>HRXX0099H558</t>
  </si>
  <si>
    <t>SAC VİDASI 4,2X16 YSB</t>
  </si>
  <si>
    <t>HRXX0099H566</t>
  </si>
  <si>
    <t>VİDA PASLANMAZ 4,8X25 YHB</t>
  </si>
  <si>
    <t>HRXX0099H604</t>
  </si>
  <si>
    <t>PENCERE FİTİLİ BEYAZ</t>
  </si>
  <si>
    <t>KMIZ0099H006</t>
  </si>
  <si>
    <t xml:space="preserve">KÖPÜK SPREY POLİURETAN  </t>
  </si>
  <si>
    <t>KMIZ0099H072</t>
  </si>
  <si>
    <t>KODIPLAST BUTIL 570ML</t>
  </si>
  <si>
    <t>KMPY0099H013</t>
  </si>
  <si>
    <t>KALIP AYIRICI SIVI PVA</t>
  </si>
  <si>
    <t>SOLVENT MONTAJ TEMİZLEME 1  NUMARA</t>
  </si>
  <si>
    <t>KMPY0099H023</t>
  </si>
  <si>
    <t>POLİYA POLİJEL F 209 Z GRİ</t>
  </si>
  <si>
    <t>KMPY9016H026</t>
  </si>
  <si>
    <t>POLİYA POLİJEL F 215 BEYAZ (RAL-9016)</t>
  </si>
  <si>
    <t>KENAN SÖNMEZ ( ALBİNA TENTE )</t>
  </si>
  <si>
    <t>MERDİVEN 3+1 BASAMAKLI ALÜMİNYUM</t>
  </si>
  <si>
    <t>KRXX0099H130</t>
  </si>
  <si>
    <t>ARAÇ BİLGİ ETİKETİ - STANDART</t>
  </si>
  <si>
    <t>OCTOOPİ 7İNC</t>
  </si>
  <si>
    <t>OCTOOPİ TEKNOLOJİ A.Ş.</t>
  </si>
  <si>
    <t>KRXX0099H315</t>
  </si>
  <si>
    <t>ATIK SU TAHLİYESİ JAKLI</t>
  </si>
  <si>
    <t>TAMSAN BAĞLANTI ELEMANLARI YEDEK PARÇA VE MAKİNE EKİPMANLARI TURİZM İNŞAAT SANAYİ VE TİCARET ANONİM ŞİRKETİ</t>
  </si>
  <si>
    <t>KRXX0099H329</t>
  </si>
  <si>
    <t>AYAK İÇ BAĞLANTI-ARA GÖVDE</t>
  </si>
  <si>
    <t>KRXX0099H333</t>
  </si>
  <si>
    <t>TÜP TAŞIYICI DIŞ YENİT TİP KÜÇÜK</t>
  </si>
  <si>
    <t>KRXX0099H348</t>
  </si>
  <si>
    <t>HAREKETLI SPANZET BAGLANTI</t>
  </si>
  <si>
    <t>KRXX0099H349</t>
  </si>
  <si>
    <t>HAREKETLI SPANZET BAGLANTI APARATI</t>
  </si>
  <si>
    <t>KRXX0099H350</t>
  </si>
  <si>
    <t>HAREKETLI SPANZET DESTEK SACI</t>
  </si>
  <si>
    <t>KRXX0099H351</t>
  </si>
  <si>
    <t>HAREKETLI SPANZET BAGLANTI IC TRIM</t>
  </si>
  <si>
    <t>KRXX0099H352</t>
  </si>
  <si>
    <t>HAREKETLI SPANZET BAGLANTI APARATI IC TRIM</t>
  </si>
  <si>
    <t>KRXX0099H355</t>
  </si>
  <si>
    <t>TENTE ALBINA IC TRIM</t>
  </si>
  <si>
    <t>MBAP0099H007</t>
  </si>
  <si>
    <t>KONTRA KAVAK 15 MM-170X220</t>
  </si>
  <si>
    <t>MBAP4236H027</t>
  </si>
  <si>
    <t>LAMİNANT RULO 3204 YENİ MEŞE</t>
  </si>
  <si>
    <t>ASD LAMİNAT 6004 MET\ METALİK 1300x3050x0,5</t>
  </si>
  <si>
    <t>MBSF0099H006</t>
  </si>
  <si>
    <t>PVC YAPIŞTIRICI</t>
  </si>
  <si>
    <t>MKSF0099H047</t>
  </si>
  <si>
    <t xml:space="preserve">TAPA KÖR PLASTİK 1 PARMAK </t>
  </si>
  <si>
    <t>MKSF0099H080</t>
  </si>
  <si>
    <t>METAL PLASTİK SAN.TİC.LTD.ŞTİ.</t>
  </si>
  <si>
    <t>GLADİATOR AYAK GÖVDE BAĞLANTISI NO.4 SAĞ ÖN</t>
  </si>
  <si>
    <t>GLADİATOR AYAK GÖVDE BAĞLANTISI NO.3 SAĞ ARKA</t>
  </si>
  <si>
    <t xml:space="preserve">GLADİATOR AYAK GÖVDE BAĞLANTISI NO.2 SOL ÖN </t>
  </si>
  <si>
    <t xml:space="preserve">GLADİATOR AYAK GÖVDE BAĞLANTISI NO.1 SOL ARKA </t>
  </si>
  <si>
    <t>GLADIATOR AYAK BLUEMAC ON</t>
  </si>
  <si>
    <t>BLUEMAC MAKİNE KALIP İMALAT ELEKTRİK DANIŞMANLIK SAN VE TİC LTD ŞTİ</t>
  </si>
  <si>
    <t>MKTS0099H172</t>
  </si>
  <si>
    <t>GLADIATOR AYAK BLUEMAC ARKA</t>
  </si>
  <si>
    <t>YILDIZ ORMAN ÜRÜNLERİ İNŞAAT TURİZM NAKLİYAT VE DIŞ TİC. SAN. LTD. ŞTİ.</t>
  </si>
  <si>
    <t xml:space="preserve">HAFELE FRENLİ CH300 DOLAP MENTEŞESİ </t>
  </si>
  <si>
    <t>HRXX0099H631</t>
  </si>
  <si>
    <t>SUNTA VIDA HAVSA BASLI 3,5 x 15 MM</t>
  </si>
  <si>
    <t>MAPAŞ HIRDAVATÇILIK İTHALAT PAZARLAMA A.Ş.</t>
  </si>
  <si>
    <t>MAKARON 3.2 MM SİYAH</t>
  </si>
  <si>
    <t>EREN ERTEĞİ €</t>
  </si>
  <si>
    <t>BİRTEK ELEKTRİK TEDARİK İNŞAAT TURİZM SANAYİ VE TİC. LTD.ŞTİ</t>
  </si>
  <si>
    <t>KBS MAĞAZA MOBİLYALARI TASARIM VE ÜRETİM A.Ş.</t>
  </si>
  <si>
    <t>DSXX0099H110</t>
  </si>
  <si>
    <t>CRAFT EVRAK CANTASI</t>
  </si>
  <si>
    <t>ÜMİT KOÇER</t>
  </si>
  <si>
    <t>DOSEME</t>
  </si>
  <si>
    <t>MEKANIK</t>
  </si>
  <si>
    <t>KRXX0099H391</t>
  </si>
  <si>
    <t>KARAVAN CAM 300X500 EINSTEIN</t>
  </si>
  <si>
    <t>KARAVAN CAM 300X700 EINSTEIN</t>
  </si>
  <si>
    <t>MKTS0099H187</t>
  </si>
  <si>
    <t>HIDROFOR 7,5LT 2,1 BAR SUGA</t>
  </si>
  <si>
    <t>EVACOOL SOĞUTMA ELEKTRONİK PLASTİK İNŞAAT SANAYİ VE TİCARET LİMİTED ŞİRKETİ</t>
  </si>
  <si>
    <t>ÜLKER BOYA SANAYİ VE TİCARET LTD. ŞTİ.</t>
  </si>
  <si>
    <t>KMBY5004H013</t>
  </si>
  <si>
    <t>RAPTOR LİNER TİNTABLE SERTLEŞTİRİCİ</t>
  </si>
  <si>
    <t>HRXX0099H219</t>
  </si>
  <si>
    <t>ŞASE PULU PASLANMAZ M10</t>
  </si>
  <si>
    <t>KMPY0099H005</t>
  </si>
  <si>
    <t>MACUN MODEL</t>
  </si>
  <si>
    <t>ELSF0099H185</t>
  </si>
  <si>
    <t>BICAK SİGORTA 5A MTA</t>
  </si>
  <si>
    <t>MOBILYA</t>
  </si>
  <si>
    <t>HRXX0099H170</t>
  </si>
  <si>
    <t>KESME TAŞI 115 CAP 1.0 KALINLIK</t>
  </si>
  <si>
    <t>KMIZ0099H052</t>
  </si>
  <si>
    <t>KENAR BANT TUTKALI</t>
  </si>
  <si>
    <t>KMBY5004H011</t>
  </si>
  <si>
    <t>RAPTOR LİNER TİNTABLE(RAL 9005)</t>
  </si>
  <si>
    <t>MAKARON 6,4 MM SİYAH</t>
  </si>
  <si>
    <t>ELTS0099H069</t>
  </si>
  <si>
    <t>AKÜ LİTYUM 200 AH</t>
  </si>
  <si>
    <t>MAPA MOBİLYA VE AKSESUAR PAZARLAMA A.Ş.</t>
  </si>
  <si>
    <t>KRXX0099H056</t>
  </si>
  <si>
    <t>SİNEKLİK 610X1795</t>
  </si>
  <si>
    <t>KRXX0099H111</t>
  </si>
  <si>
    <t>KARAVAN KAPISI 60X181</t>
  </si>
  <si>
    <t>BALSAN DİNLENCE VE METAL ÜRÜNLER SANAYİ VE TİCARET LİMİTED ŞİRKETİ</t>
  </si>
  <si>
    <t>HRXX0099H102</t>
  </si>
  <si>
    <t>MENTEŞE TAS FRENSİZ SÜPER DEVE</t>
  </si>
  <si>
    <t>HRXX0099H445</t>
  </si>
  <si>
    <t>ALÜMİNYUM KÖŞE PROFİL 2 AYAK</t>
  </si>
  <si>
    <t>KARAVAN</t>
  </si>
  <si>
    <t>HRXX0099H202</t>
  </si>
  <si>
    <t>VİDA KAPAK 15MM SİYAH</t>
  </si>
  <si>
    <t>HRXX0099H474</t>
  </si>
  <si>
    <t>AYNA GLADİATOR XL 625X610</t>
  </si>
  <si>
    <t>KRXX0099H141</t>
  </si>
  <si>
    <t>ALBİNA TENTE ÇITASI SİYAH</t>
  </si>
  <si>
    <t>KRXX0099H147</t>
  </si>
  <si>
    <t>ALBİNA TENTE ÇEVİRME KOLU BEYAZ</t>
  </si>
  <si>
    <t>KRXX0099H178</t>
  </si>
  <si>
    <t>CASTAGNARİ OCRİTECH YARI-OVAL MAT BEYAZ LAVABO</t>
  </si>
  <si>
    <t>CASTAGNARI SRL.</t>
  </si>
  <si>
    <t>KRXX0099H405</t>
  </si>
  <si>
    <t>SERVIS KAPISI 3 SIYAH SANJO</t>
  </si>
  <si>
    <t>JIANGSU SANJO INTELLIGENT</t>
  </si>
  <si>
    <t>MBAP0099H017</t>
  </si>
  <si>
    <t>LAMİNANT PLAKA HIGH GLASS 3103 PARLAK</t>
  </si>
  <si>
    <t>MBSF0099H005</t>
  </si>
  <si>
    <t>AKORDİYON MENTEŞE 70MM</t>
  </si>
  <si>
    <t>KELEŞOĞLU İNŞ.İHT.MAL.GIDA PETR.MAD.TUR.SAN VE TİC.LTD.ŞTİ.</t>
  </si>
  <si>
    <t>MKTS0099H030</t>
  </si>
  <si>
    <t>BATARYA ÇEKİÇ FREEDOM-REVİVA BANYO</t>
  </si>
  <si>
    <t>ELSF0099H184</t>
  </si>
  <si>
    <t>SİGORTA MEGAVAL 125A 3 AYAKLI</t>
  </si>
  <si>
    <t>ELSF0099H202</t>
  </si>
  <si>
    <t>TEK  GİRİŞLİ YÜKSÜK 10 MM KAHVERENGİ</t>
  </si>
  <si>
    <t>ELSF0099H203</t>
  </si>
  <si>
    <t>TEK GİRİŞLİ YÜKSÜK 6 MM YEŞİL</t>
  </si>
  <si>
    <t>HRXX0099H145</t>
  </si>
  <si>
    <t>VİDA SUNTA 5X30</t>
  </si>
  <si>
    <t>ACY STORE MEFRUŞAT İÇ VE DIŞ TİCARET LİMİTED ŞİRKETİ</t>
  </si>
  <si>
    <t>ELSF0099H023</t>
  </si>
  <si>
    <t>KABLO KANALI 16X16</t>
  </si>
  <si>
    <t>KRXX0099H211</t>
  </si>
  <si>
    <t>HEKİ 50X70 HAVALANDIRMALI BEYAZ DOMETİC</t>
  </si>
  <si>
    <t>ELTESAN MOBİL TEKNOLOJİLERİ SİSTEMLERİ SAN. VE TİC. A.Ş.</t>
  </si>
  <si>
    <t>CHONGQING LIDONG TECHNOLOGY CO LTD</t>
  </si>
  <si>
    <t>ELTS0099H150</t>
  </si>
  <si>
    <t>EBERSPAECHER KAPAKLI DISLI DUZ MENFEZ SET</t>
  </si>
  <si>
    <t>ELSF0099H197</t>
  </si>
  <si>
    <t>MAKARON 3.2 MM KIRMIZI</t>
  </si>
  <si>
    <t>KRXX0099H400</t>
  </si>
  <si>
    <t>OCTOOPİ  HARNESS  GLADIATOR XL</t>
  </si>
  <si>
    <t>HRXX0099H056</t>
  </si>
  <si>
    <t>ZIMPARA ORBİTAL 400</t>
  </si>
  <si>
    <t>HRXX0099H222</t>
  </si>
  <si>
    <t>PASLANMAZ PUL M8</t>
  </si>
  <si>
    <t>MKSF0099H022</t>
  </si>
  <si>
    <t>HORTUM BAĞLANTI TURUNCU T ŞEKLİ  1PARMAK</t>
  </si>
  <si>
    <t>MKTS0099H034</t>
  </si>
  <si>
    <t xml:space="preserve">ÇİFT GÖZ OCAK KOMBİNASYONLU </t>
  </si>
  <si>
    <t>MBAP0099H049</t>
  </si>
  <si>
    <t>PVC BANT MEŞE 40MM TORTANA</t>
  </si>
  <si>
    <t>ELSF0099H186</t>
  </si>
  <si>
    <t>BICAK SİGORTA 25A MTA</t>
  </si>
  <si>
    <t>KMBY5004H009</t>
  </si>
  <si>
    <t>RAPTOR LİNER TİNTABLE(RAL 7016)</t>
  </si>
  <si>
    <t>KRXX0099H417</t>
  </si>
  <si>
    <t>ORGANIZATOR PANO 36x56  SIYAH</t>
  </si>
  <si>
    <t>KRXX0099H418</t>
  </si>
  <si>
    <t>ORGANİZATOR PANO 3LU KUTU SET BEYAZ</t>
  </si>
  <si>
    <t>KRXX0099H420</t>
  </si>
  <si>
    <t>ORGANİZATOR PANO KALEMLIK KUTU SIYAH</t>
  </si>
  <si>
    <t>KRXX0099H421</t>
  </si>
  <si>
    <t>ORGANİZATOR PANO  TUTTURUCU BEYAZ</t>
  </si>
  <si>
    <t>YUSUF ELYASA ÖZTÜRK MARİNE</t>
  </si>
  <si>
    <t>DSXX0099H029</t>
  </si>
  <si>
    <t>KUMAŞ SUNİ DERİ İNCE SİYAH</t>
  </si>
  <si>
    <t>AŞANTEKS TEKSTİL SANAYİ VE TİCARET A.Ş.</t>
  </si>
  <si>
    <t>HRXX0099H098</t>
  </si>
  <si>
    <t>MENTEŞE 7X4.5 CM KROM</t>
  </si>
  <si>
    <t>HRXX0099H176</t>
  </si>
  <si>
    <t>SOMUN PASLANMAZ KELEBEK M8</t>
  </si>
  <si>
    <t>HRXX0099H258</t>
  </si>
  <si>
    <t>VİDA MERCİMEK BAŞLI PASLANMAZ M4X25</t>
  </si>
  <si>
    <t>KRXX0099H061</t>
  </si>
  <si>
    <t>TENTE ALBİNA 2.4 SİYAH</t>
  </si>
  <si>
    <t>KRXX0099H087</t>
  </si>
  <si>
    <t>BUZDOLABI İNDEL B-CRUİSE 90 LT</t>
  </si>
  <si>
    <t>KRXX0099H132</t>
  </si>
  <si>
    <t>KUM-BALTA X10</t>
  </si>
  <si>
    <t>KRXX0099H202</t>
  </si>
  <si>
    <t>TELESKOPİK MASA AYAK RANGER90 REVİVA</t>
  </si>
  <si>
    <t/>
  </si>
  <si>
    <t>HİDROÇÖZÜM HİDROLİK PNÖMATİK SANAYİ TİCARET LİMİTED ŞİRKETİ</t>
  </si>
  <si>
    <t>KURUOĞLU KERESTECİLİK VE DIŞ TİC. A.Ş.</t>
  </si>
  <si>
    <t>ELTS0099H158</t>
  </si>
  <si>
    <t>AKÜ ŞALTERİ DEVRE KESİCİ 12V-24V 275A</t>
  </si>
  <si>
    <t>ADAM ONLINE OTO YEDEK PARÇA TİCARET LİMİTED ŞİRKETİ</t>
  </si>
  <si>
    <t>ELSF0099H178</t>
  </si>
  <si>
    <t>FİŞ KILIFI RENKLİ 6.3</t>
  </si>
  <si>
    <t>ELSF0099H180</t>
  </si>
  <si>
    <t>STANDART DİŞİ FİŞ</t>
  </si>
  <si>
    <t>ELSF0099H181</t>
  </si>
  <si>
    <t>UZUN ERKEK FİŞ</t>
  </si>
  <si>
    <t>KRXX0099H332</t>
  </si>
  <si>
    <t>KUM PALETİ ASKI HAZIRLIĞI YENİ TİP</t>
  </si>
  <si>
    <t>MBAP0099H070</t>
  </si>
  <si>
    <t>MINEFLO ZEMIN KAPLAMA MEDIUM GREY CEMENT</t>
  </si>
  <si>
    <t>KRXX0099H024</t>
  </si>
  <si>
    <t>HEKİ FANLI 28X28 BEYAZ</t>
  </si>
  <si>
    <t>ELTS0099H161</t>
  </si>
  <si>
    <t>KRXX0099H287</t>
  </si>
  <si>
    <t>OCTOOPİ ŞAMANDIRA 25 CM</t>
  </si>
  <si>
    <t>MKTS0099H205</t>
  </si>
  <si>
    <t>GLADİATOR-GXLD TEMİZ SU TANKI 55LT BEYAZ YENI</t>
  </si>
  <si>
    <t>MKTS0099H206</t>
  </si>
  <si>
    <t>GLADİATOR-GXLD PİS SU TANKI 21LT SİYAH YENI</t>
  </si>
  <si>
    <t>CAMPERMEN KAMP VE SPOR MALZEMELERI SANAYİ TİCARET LİMİTED ŞİRKETİ</t>
  </si>
  <si>
    <t>ELSF0099H136</t>
  </si>
  <si>
    <t xml:space="preserve">KABLO 3X2,5 </t>
  </si>
  <si>
    <t>ELTS0099H046</t>
  </si>
  <si>
    <t>MPPT ŞARJ 30A</t>
  </si>
  <si>
    <t>ELTS0099H064</t>
  </si>
  <si>
    <t>ÇAKIR TEKNİK ELEKTRİK İNŞAAT SANAYİ TİCARET LİMİTED ŞİRKETİ</t>
  </si>
  <si>
    <t>ELTS0099H160</t>
  </si>
  <si>
    <t>GYSC0099T001</t>
  </si>
  <si>
    <t>GIPSY SHOWER CABIN ANTRASİT</t>
  </si>
  <si>
    <t>ARZU GÜRANÇ  ( GİPSY KAMP )</t>
  </si>
  <si>
    <t>HRXX0099H050</t>
  </si>
  <si>
    <t>ZIMPARA ORBİTAL 120</t>
  </si>
  <si>
    <t>HRXX0099H053</t>
  </si>
  <si>
    <t>ZIMPARA ORBİTAL 220</t>
  </si>
  <si>
    <t>HRXX0099H058</t>
  </si>
  <si>
    <t>ZIMPARA ORBİTAL 600</t>
  </si>
  <si>
    <t>HRXX0099H654</t>
  </si>
  <si>
    <t>HRXX0099H656</t>
  </si>
  <si>
    <t>AYNA GLADİATOR GSM 390x690</t>
  </si>
  <si>
    <t>KRXX0099H045</t>
  </si>
  <si>
    <t>MASA AYAK UZUN KROM</t>
  </si>
  <si>
    <t>KRXX0099H047</t>
  </si>
  <si>
    <t>MASA KATLANIR AYAK</t>
  </si>
  <si>
    <t>MKSF0099H004</t>
  </si>
  <si>
    <t>CİVATA PASLANMAZ M8X40</t>
  </si>
  <si>
    <t>MKSF0099H009</t>
  </si>
  <si>
    <t>CİVATA PASLANMAZ M8X65</t>
  </si>
  <si>
    <t>MKTS0099H012</t>
  </si>
  <si>
    <t>DEDANTÖR AYGAZ</t>
  </si>
  <si>
    <t>MKTS0099H085</t>
  </si>
  <si>
    <t>MİNİ TÜP 2KG RXL,FRE,GLA</t>
  </si>
  <si>
    <t>MKTS0099H086</t>
  </si>
  <si>
    <t>MİNİ TÜP ALTLIK RXL,FRE,GLA</t>
  </si>
  <si>
    <t>HRXX0099H595</t>
  </si>
  <si>
    <t>BALDACCİ BAS ÇEK KİLİT KROM - PARLAK</t>
  </si>
  <si>
    <t>GNC HİDROLİK PNÖMATİK OTOMASYON SİSTEMLERİ SANAYİ VE TİCARET LİMİTED ŞİRKETİ</t>
  </si>
  <si>
    <t xml:space="preserve">SİYAH DIŞ MENFEZ </t>
  </si>
  <si>
    <t>MKSF0099H003</t>
  </si>
  <si>
    <t>CİVATA PASLANMAZ M8X70</t>
  </si>
  <si>
    <t>ÖZİPEK KAUÇUK VE LASTİK MALZEME SANAYİ TİC. LTD. ŞTİ.</t>
  </si>
  <si>
    <t>YILPAR AYDINLATMA ELEKTRİK LTD. ŞTİ.</t>
  </si>
  <si>
    <t>ARA NIPEL CIFT YUKSUKLU M8</t>
  </si>
  <si>
    <t>FLEX LED GUN ISIGI</t>
  </si>
  <si>
    <t>FATMA USANIR</t>
  </si>
  <si>
    <t>DSXX0099H044</t>
  </si>
  <si>
    <t>YATAK KUMAŞI BEYAZ</t>
  </si>
  <si>
    <t>FERZAN MENSUCAT SANAYİ VE TİCARET LİMİTED ŞİRKETİ</t>
  </si>
  <si>
    <t>DSXX0099H050</t>
  </si>
  <si>
    <t>CIRT İLMİK</t>
  </si>
  <si>
    <t>YUSUF YAVUZ</t>
  </si>
  <si>
    <t>DSXX0099H073</t>
  </si>
  <si>
    <t>İPLİK BEYAZ</t>
  </si>
  <si>
    <t>ELSF0099H127</t>
  </si>
  <si>
    <t>MAKARON 4,8 MM</t>
  </si>
  <si>
    <t>HRXX0099H406</t>
  </si>
  <si>
    <t>FERMUAR KREM</t>
  </si>
  <si>
    <t>KRXX0099H431</t>
  </si>
  <si>
    <t>ORGANIZATOR PANO 56x56  SIYAH</t>
  </si>
  <si>
    <t>KRXX0099H436</t>
  </si>
  <si>
    <t>HOTOMOBİL PASLANMAZ PLAKALIK</t>
  </si>
  <si>
    <t>MBAP0099H003</t>
  </si>
  <si>
    <t>MİNEFLO ZEMİN KAPLAMA FORBO WOOD 13412</t>
  </si>
  <si>
    <t>ELTS0099H152</t>
  </si>
  <si>
    <t>PIL KALEM AAA</t>
  </si>
  <si>
    <t>HRXX0099H227</t>
  </si>
  <si>
    <t>METAL MATKAP UCU 3MM</t>
  </si>
  <si>
    <t>HRXX0099H303</t>
  </si>
  <si>
    <t>ŞASE PULU PASLANMAZ M8</t>
  </si>
  <si>
    <t>HRXX0099H560</t>
  </si>
  <si>
    <t>RAY TELESKOPİK 30 LUK FRENLİ</t>
  </si>
  <si>
    <t>HRXX0099H644</t>
  </si>
  <si>
    <t>AYNA GLADİATOR SH 300x420</t>
  </si>
  <si>
    <t>HRXX0099H657</t>
  </si>
  <si>
    <t>CİVATA PASLANMAZ FLANŞLI M10X30</t>
  </si>
  <si>
    <t>PLATİN CİVATA BAĞLANTI ELEMANLARI HIRDAVAT ALUMİNYUM SANAYİ VE TİCARET LTD. ŞTİ.</t>
  </si>
  <si>
    <t>HRXX0099H658</t>
  </si>
  <si>
    <t>SOMUN PASLANMAZ FLANŞLI M10</t>
  </si>
  <si>
    <t>KRXX0099H392</t>
  </si>
  <si>
    <t>KARAVAN CAM 450X500 EINSTEIN</t>
  </si>
  <si>
    <t>KRXX0099H394</t>
  </si>
  <si>
    <t>MKSF0099H005</t>
  </si>
  <si>
    <t>CİVATA PASLANMAZ M8X45</t>
  </si>
  <si>
    <t>MKSF0099H015</t>
  </si>
  <si>
    <t>CİVATA PASLANMAZ M10X80</t>
  </si>
  <si>
    <t>MKTS0099H174</t>
  </si>
  <si>
    <t xml:space="preserve">ELEKTRIKLI GLADIATOR AYAK </t>
  </si>
  <si>
    <t>ZHONGSHAN ROTON INTE</t>
  </si>
  <si>
    <t>MKTS0099H175</t>
  </si>
  <si>
    <t>ELEKTRIKLI AYAK KONTROL SISTEMI</t>
  </si>
  <si>
    <t>MKTS0099H182</t>
  </si>
  <si>
    <t>ELEKTRİKLİ AYAK GÖVDE ARA BAĞLANTI ÖN</t>
  </si>
  <si>
    <t>MKTS0099H189</t>
  </si>
  <si>
    <t>ELEKTRİKLİ AYAK GÖVDE ARA BAĞLANTI ARKA</t>
  </si>
  <si>
    <t>ELTS0099H163</t>
  </si>
  <si>
    <t>KARAVAN DIŞ 220V ERKEK GİRİŞ SİYAH BEMIS</t>
  </si>
  <si>
    <t>OPA ELEKTRİK İNŞAAT DIŞ TİCARET LİMİTED ŞİRKETİ</t>
  </si>
  <si>
    <t>KROM ENDÜSTRİ ÜRÜNLERİ ANONİM ŞİRKETİ</t>
  </si>
  <si>
    <t>MBAP0099H035</t>
  </si>
  <si>
    <t>PVC BANT ANTRASİT 2878GB-ROMA MARKA GENİŞ</t>
  </si>
  <si>
    <t>MBAP0099H075</t>
  </si>
  <si>
    <t>PVC BANT 22X0,80 ANTRASİT PARLAK</t>
  </si>
  <si>
    <t>MİMAKS AKSESUAR</t>
  </si>
  <si>
    <t>HRXX0099H135</t>
  </si>
  <si>
    <t xml:space="preserve">VİDA SUNTA 3,5X40 </t>
  </si>
  <si>
    <t>HRXX0099H174</t>
  </si>
  <si>
    <t>SOMUN  M8</t>
  </si>
  <si>
    <t>HRXX0099H590</t>
  </si>
  <si>
    <t>HORTUM KALORİFER 16MM LONG TİPİ</t>
  </si>
  <si>
    <t>KMIZ0099H036</t>
  </si>
  <si>
    <t>MACUN MEŞE</t>
  </si>
  <si>
    <t>KMBY0099H045</t>
  </si>
  <si>
    <t>VERNİK AHŞAP KORUYUCU</t>
  </si>
  <si>
    <t>LEGNO ENTEGRE AĞAÇ SANAYİ VE TİCARET LİMİTED ŞİRKETİ</t>
  </si>
  <si>
    <t>KMBY0099H059</t>
  </si>
  <si>
    <t>RÖTÜŞ KALEM MEŞE</t>
  </si>
  <si>
    <t>SABRİ KELEŞ</t>
  </si>
  <si>
    <t>HRXX0099H266</t>
  </si>
  <si>
    <t>CİVATA PASLANMAZ M8X100</t>
  </si>
  <si>
    <t>HRXX0099H589</t>
  </si>
  <si>
    <t>DUVAR ASKILIK MAT KROM</t>
  </si>
  <si>
    <t>HRXX0099H172</t>
  </si>
  <si>
    <t>SİFON 90 DERECE</t>
  </si>
  <si>
    <t>MEG KARAVAN VE KAMPİNG İŞLETMECİLİĞİ SANAYİ VE TİCARET LİMİTED ŞİRKETİ</t>
  </si>
  <si>
    <t>HRXX0099H147</t>
  </si>
  <si>
    <t>VİDA SUNTA 5X70</t>
  </si>
  <si>
    <t>HRXX0099H131</t>
  </si>
  <si>
    <t>VİDA SUNTA 3,5X16</t>
  </si>
  <si>
    <t>ELSF0099H032</t>
  </si>
  <si>
    <t>KABLO TELLİ 10MM SİYAH</t>
  </si>
  <si>
    <t>ELSF0099H031</t>
  </si>
  <si>
    <t>KABLO TELLİ 10MM KIRMIZI</t>
  </si>
  <si>
    <t>KRXX0099H048</t>
  </si>
  <si>
    <t>MERDİVEN UZUN ARKA</t>
  </si>
  <si>
    <t>ELTS0099H127</t>
  </si>
  <si>
    <t>İNVERTÖR 3000W TAM SİNÜS</t>
  </si>
  <si>
    <t>DSXXRM10H027</t>
  </si>
  <si>
    <t>KUMAŞ ROMA 10 YEŞİLİMSİ</t>
  </si>
  <si>
    <t>ELSF0099H105</t>
  </si>
  <si>
    <t>KABLO SPRAL YARIKLI PG7</t>
  </si>
  <si>
    <t>ELSF0099H038</t>
  </si>
  <si>
    <t>KABLO TELLİ 1X1 MAVİ</t>
  </si>
  <si>
    <t>HRXX0099H328</t>
  </si>
  <si>
    <t>TAPA MEŞE NEBRASKA PC2122 14 MM</t>
  </si>
  <si>
    <t>KRXX0099H128</t>
  </si>
  <si>
    <t>ORGANİZATÖR FİLE</t>
  </si>
  <si>
    <t>WEBSELCO GRUP DİJİTAL İLETİŞİM KARAVAN TEKNE YAT MALZEMELERİ LİMİTED ŞİRKETİ</t>
  </si>
  <si>
    <t>MBAP1091H020</t>
  </si>
  <si>
    <t>LAMİNANT RULO 1091 HAKİ</t>
  </si>
  <si>
    <t>ELTS0099H048</t>
  </si>
  <si>
    <t>OKUMA LAMBASI SİYAH</t>
  </si>
  <si>
    <t>HRXX0099H547</t>
  </si>
  <si>
    <t xml:space="preserve">HORTUM ŞEFFAF 4X8 MM </t>
  </si>
  <si>
    <t>UBAU0099H013</t>
  </si>
  <si>
    <t>URBAN BADGER DAMLA STİCKER</t>
  </si>
  <si>
    <t>DES ETİKET SANAYİ VE TİCARET LİMİTED ŞİRKETİ</t>
  </si>
  <si>
    <t>ELTS0099H057</t>
  </si>
  <si>
    <t>SOLAR PANEL ESNEK 110W</t>
  </si>
  <si>
    <t>KMIZ0099H045</t>
  </si>
  <si>
    <t>SİLİKONİZE AKRİLİK MASTİK ALTINMEŞE</t>
  </si>
  <si>
    <t>HRXX0099H305</t>
  </si>
  <si>
    <t>VİDA SUNTA 5X100</t>
  </si>
  <si>
    <t>ELTS0099H052</t>
  </si>
  <si>
    <t>DC-DC 20A CHARGER TEK YÖN</t>
  </si>
  <si>
    <t>KRXX0099H257</t>
  </si>
  <si>
    <t>TUVALET PORTATİF 165</t>
  </si>
  <si>
    <t>HRXX0099H512</t>
  </si>
  <si>
    <t>SOMUN KÖR PASLANMAZ M6 ÇADIR</t>
  </si>
  <si>
    <t>MKTS0099H125</t>
  </si>
  <si>
    <t>GLADİATOR AYAK GÖVDE BAĞLANTI YAZISI</t>
  </si>
  <si>
    <t>KRXX0099H294</t>
  </si>
  <si>
    <t xml:space="preserve">HYDRONIC S3 </t>
  </si>
  <si>
    <t>ELTS0099H105</t>
  </si>
  <si>
    <t>İNVERTÖR 2000W TAM SİNÜS</t>
  </si>
  <si>
    <t>HRXX0099H104</t>
  </si>
  <si>
    <t>MENTEŞE YAPRAK OVAL 6.5CM KROM</t>
  </si>
  <si>
    <t>KRXX0099H234</t>
  </si>
  <si>
    <t>TELESKOBİK MERDİVEN TEK AYAKLI 2,60M</t>
  </si>
  <si>
    <t>HRXX0099H105</t>
  </si>
  <si>
    <t>MENTEŞE YAPRAK OVAL 9.5CM KROM</t>
  </si>
  <si>
    <t>MKTS0099H035</t>
  </si>
  <si>
    <t>OCAK VE EVYE TEK GÖZLÜ KOMBİNASYONLU (SOL OCAK SAĞ</t>
  </si>
  <si>
    <t>HRXX0099H565</t>
  </si>
  <si>
    <t>STREÇ ŞEFFAF 17 MİKRON</t>
  </si>
  <si>
    <t>AYİNE KALİTE KONTROL ORGANİZASYON VE TİCARET LİMİTED ŞİRKETİ</t>
  </si>
  <si>
    <t>MBAP1001H063</t>
  </si>
  <si>
    <t>KOMPAKT LAMINAT ANTRASİT 3,05X1,30 06MM</t>
  </si>
  <si>
    <t>MKSF0099H105</t>
  </si>
  <si>
    <t xml:space="preserve">SICAK SU HORTUMU SİYAH KAUÇUK 19 MM </t>
  </si>
  <si>
    <t>HRXX0099H471</t>
  </si>
  <si>
    <t>CIRT ZIMPARA DELİKLİ 60</t>
  </si>
  <si>
    <t>MBAP0099H071</t>
  </si>
  <si>
    <t>KAVAK MARIN KONTRPLAK CIZGILI ALMAN MESE 6MM</t>
  </si>
  <si>
    <t>İZMİRYILDIZ ORMAN ÜRÜNLERİ İNŞ.TAAH.MAK.VE SAN.VE TİC.LTD.ŞTİ</t>
  </si>
  <si>
    <t>HRXX0099H004</t>
  </si>
  <si>
    <t>BANT İZOLE</t>
  </si>
  <si>
    <t>KRXX0099H404</t>
  </si>
  <si>
    <t>360 DERECE MASA AYAK GXL DODGE RAM EDİTİON PALOMA</t>
  </si>
  <si>
    <t>SARAY DENİZ MALZEMELERİ VE YATÇILIK SANAYİ VE TİCARET LİMİTED ŞİRKETİ</t>
  </si>
  <si>
    <t>KMMK0099H001</t>
  </si>
  <si>
    <t>ANTİFİRİZ S3</t>
  </si>
  <si>
    <t>KMIZ0099H070</t>
  </si>
  <si>
    <t>METYX XL800 MULTİAXİAL CAM ELYAF</t>
  </si>
  <si>
    <t>UBAU0099H043</t>
  </si>
  <si>
    <t>URBAN BADGER ARAÇ ÜSTÜ ÇADIR GÖVDE PÜTÜRLÜ</t>
  </si>
  <si>
    <t>MKSF0099H023</t>
  </si>
  <si>
    <t>HORTUM GAZ 10MM</t>
  </si>
  <si>
    <t>HRXX0099H185</t>
  </si>
  <si>
    <t>VİDA PASLANMAZ HAVŞA 3,5X25</t>
  </si>
  <si>
    <t>KRXX0099H014</t>
  </si>
  <si>
    <t>DUŞ PERDESİ</t>
  </si>
  <si>
    <t>MKTS0099H006</t>
  </si>
  <si>
    <t>BATARYA GLADİATOR BANYO</t>
  </si>
  <si>
    <t>HRXX0099H113</t>
  </si>
  <si>
    <t>STORE KAPI SALYANGOZ YUVASI</t>
  </si>
  <si>
    <t>HRXX0099H296</t>
  </si>
  <si>
    <t>STOR U PROFİLİ KAP. KROM</t>
  </si>
  <si>
    <t>HRXX0099H112</t>
  </si>
  <si>
    <t>STORE KAPI KROM 1735x 750mm</t>
  </si>
  <si>
    <t>ÜNMAR İÇ VE DIŞ TİCARET SAN. LTD. ŞTİ.</t>
  </si>
  <si>
    <t>HRXX0099H614</t>
  </si>
  <si>
    <t>MOBİLYA TEZGAH AYAĞI AYARLANABİLİR 13x19CM</t>
  </si>
  <si>
    <t>HÜMA E-TİCARET OTOMOTİV SANAYİ VE TİCARET LİMİTED ŞİRKETİ</t>
  </si>
  <si>
    <t>HRXX0099H359</t>
  </si>
  <si>
    <t>STOR ÖN YÜZ PROFİLİ</t>
  </si>
  <si>
    <t>HRXX0099H603</t>
  </si>
  <si>
    <t>RAY TELESKOBİK BİLYALI 53MMX50CM KİLİTLİ</t>
  </si>
  <si>
    <t>STARWOOD YAPI MARKETLERİ-YAPI MALZEMELERİ SANAYİ VE TİCARET ANONİM ŞİRKETİ</t>
  </si>
  <si>
    <t>HRXX0099H579</t>
  </si>
  <si>
    <t>AYNA GLADİATOR 720x560 GS</t>
  </si>
  <si>
    <t>HRXX0099H645</t>
  </si>
  <si>
    <t xml:space="preserve">RAY 50 LIK TELESKOPIK FRENSIZ </t>
  </si>
  <si>
    <t>KRXX0099H356</t>
  </si>
  <si>
    <t>ORYANTAL RAY - DUS PERDESI RAYI</t>
  </si>
  <si>
    <t>ÖZGÜR KIZILTOPRAK ORT.</t>
  </si>
  <si>
    <t>(boş)</t>
  </si>
  <si>
    <t>KROM ENDÜSTRİ ÜRÜNLERİ ANONİM ŞİRKETİ2</t>
  </si>
  <si>
    <t>ZE TEKNİK METAL BOYA SANAYİ VE TİCARET ANONİM ŞİRKETİ</t>
  </si>
  <si>
    <t>HRXX0099H255</t>
  </si>
  <si>
    <t>PUL 9X4.5</t>
  </si>
  <si>
    <t>HRXX0099H259</t>
  </si>
  <si>
    <t xml:space="preserve">SOMUN FİBERLİ M3 </t>
  </si>
  <si>
    <t>HRXX0099H311</t>
  </si>
  <si>
    <t>CİVATA PASLANMAZ  M8X20</t>
  </si>
  <si>
    <t>MURATHAN PUL CIVATA SAN.LTD.ŞTİ.</t>
  </si>
  <si>
    <t>KMIZ0099H027</t>
  </si>
  <si>
    <t xml:space="preserve">STRAFOR KÖPÜK 2 CM </t>
  </si>
  <si>
    <t>MKTS0099H142</t>
  </si>
  <si>
    <t>GLADiATOR GÖVDE MASA AYAĞI SABİT KOL SOL</t>
  </si>
  <si>
    <t>ÖZÇELİK TORNA MAKİNA GEMİ ALMY DEMİR ÇELİK İNŞ SAN TİC LTD ŞTİ</t>
  </si>
  <si>
    <t>MKSF0099H109</t>
  </si>
  <si>
    <t>GLADIATOR GAZ HORTUM  ÇAKTIRMA 60 CM</t>
  </si>
  <si>
    <t>MKTS0099H139</t>
  </si>
  <si>
    <t>GLADiATOR GÖVDE MASA AYAĞI OYNAR KOL SAĞ</t>
  </si>
  <si>
    <t>MKTS0099H138</t>
  </si>
  <si>
    <t>GLADiATOR GÖVDE MASA AYAĞI SABİT KOL SAĞ</t>
  </si>
  <si>
    <t>MKTS0099H140</t>
  </si>
  <si>
    <t>GLADiATOR GÖVDE MASA AYAĞI TAŞIYICI KOL SAĞ</t>
  </si>
  <si>
    <t>MKTS0099H141</t>
  </si>
  <si>
    <t>GLADiATOR GÖVDE MASA AYAĞI OYNAR KOL SOL</t>
  </si>
  <si>
    <t>MKTS0099H143</t>
  </si>
  <si>
    <t>GLADiATOR GÖVDE MASA AYAĞI TAŞIYICI KOL SOL</t>
  </si>
  <si>
    <t>HRXX0099H215</t>
  </si>
  <si>
    <t>GÖMME KULP</t>
  </si>
  <si>
    <t>HRXX0099H223</t>
  </si>
  <si>
    <t>3X20 VİDA</t>
  </si>
  <si>
    <t>KRXX0099H336</t>
  </si>
  <si>
    <t>TUVALET KASETLİ C 200-CS (SIRTLI)</t>
  </si>
  <si>
    <t>DAİMER MERDİVEN İSKELE HIRDAVAT SANAYİ VE TİCARET LİMİTED ŞİRKETİ</t>
  </si>
  <si>
    <t>CW ENERJİ MÜHENDİSLİK TİCARET VE SANAYİ ANONİM ŞİRKETİ</t>
  </si>
  <si>
    <t>Laurent MONTAGNER</t>
  </si>
  <si>
    <t>Matteo Giolo</t>
  </si>
  <si>
    <t>GS0532</t>
  </si>
  <si>
    <t>Stefan Zaugg</t>
  </si>
  <si>
    <t>GS0533</t>
  </si>
  <si>
    <t>GSM0534</t>
  </si>
  <si>
    <t>Volkan Batkan</t>
  </si>
  <si>
    <t>KRXX0099H399</t>
  </si>
  <si>
    <t>OCTOOPİ  HARNESS  GLADIATOR</t>
  </si>
  <si>
    <t>GXLE0149</t>
  </si>
  <si>
    <t>ELSF0099H125</t>
  </si>
  <si>
    <t>MAKARON 2 MM</t>
  </si>
  <si>
    <t>ELSF0099H196</t>
  </si>
  <si>
    <t>KABLO SPRAL BORU YARIKLI PG7</t>
  </si>
  <si>
    <t>HRXX0099H204</t>
  </si>
  <si>
    <t>VİDA SUNTA 3,5X18</t>
  </si>
  <si>
    <t>KMBY0099H058</t>
  </si>
  <si>
    <t>RÖTÜŞ KALEM ANTRASİT</t>
  </si>
  <si>
    <t>BAYRAM YILMAZ - BAHÇIVAN İNŞAAT HIRDAVAT VE MAKİNE</t>
  </si>
  <si>
    <t>KRXX0099H393</t>
  </si>
  <si>
    <t>KARAVAN CAM 500X900 EINSTEIN</t>
  </si>
  <si>
    <t>KRXX0099H446</t>
  </si>
  <si>
    <t>ARAÇ BİLGİ ETİKETLERİ-İNGİLİZCE</t>
  </si>
  <si>
    <t>MKTS0099H207</t>
  </si>
  <si>
    <t>FROST CONTROL-TAMSAN</t>
  </si>
  <si>
    <t>MKTS0099H209</t>
  </si>
  <si>
    <t>GXLE TEMİZ SU TANKI 90LT BEYAZ YENI 48X75X27</t>
  </si>
  <si>
    <t>MKTS0099H226</t>
  </si>
  <si>
    <t>TAMSAN FROST KONTROL ERKEK VİDALI HORTUM NİPELİ</t>
  </si>
  <si>
    <t>KRXX0099H449</t>
  </si>
  <si>
    <t>PLASTIK KONTROL KAPAGI-DIŞ ÇAP 150 MM BEYAZ</t>
  </si>
  <si>
    <t>GERÇEK SATINALMA</t>
  </si>
  <si>
    <t>ELTS0099H058</t>
  </si>
  <si>
    <t>SOLAR PANEL ESNEK 170w</t>
  </si>
  <si>
    <t>TAUSS KİMYA SANAYİ VE TİCARET LİMİTED ŞİRKETİ</t>
  </si>
  <si>
    <t>ELTS0099H166</t>
  </si>
  <si>
    <t>ASKERİ TİP KONNEKTÖR 80 A 3 PİN</t>
  </si>
  <si>
    <t>SARAL ELEKTRİK (BİLGİN AKMAN)</t>
  </si>
  <si>
    <t>KRXX0099H451</t>
  </si>
  <si>
    <t>KLIMA DOMETIC TAVAN TIP</t>
  </si>
  <si>
    <t>GL0154</t>
  </si>
  <si>
    <t>Stina Alm</t>
  </si>
  <si>
    <t>GXLE0152</t>
  </si>
  <si>
    <t>GL0153</t>
  </si>
  <si>
    <t>GSE0151</t>
  </si>
  <si>
    <t>GS0535</t>
  </si>
  <si>
    <t>GSH0150</t>
  </si>
  <si>
    <t>Murat Taşdemir</t>
  </si>
  <si>
    <t>DSXXRM01H023</t>
  </si>
  <si>
    <t>KUMAŞ ROMA 01 GRİMSİ</t>
  </si>
  <si>
    <t>KMIZ0099H011</t>
  </si>
  <si>
    <t xml:space="preserve">PRİMER </t>
  </si>
  <si>
    <t>MBAP1098H021</t>
  </si>
  <si>
    <t>LAMİNANT RULO 1098 MANDALİN</t>
  </si>
  <si>
    <t>KMBY0099H057</t>
  </si>
  <si>
    <t>RÖTÜŞ KALEM CEVİZ</t>
  </si>
  <si>
    <t>HRXX0099H329</t>
  </si>
  <si>
    <t>TAPA CEVİZ 14 MM</t>
  </si>
  <si>
    <t>MBAP0099H040</t>
  </si>
  <si>
    <t>PVC BANT CEVİZ 22MM ANTİK DARK</t>
  </si>
  <si>
    <t>MBAP1039H067</t>
  </si>
  <si>
    <t>ASD LAMİNAT 1039 PRL\KREM 1300x3050x0,7</t>
  </si>
  <si>
    <t>MBAP6008H065</t>
  </si>
  <si>
    <t>ASD LAMİNAT 6008 MET\BAKIR 1300x3050x0,7</t>
  </si>
  <si>
    <t>MBAP0099H041</t>
  </si>
  <si>
    <t>PVC BANT CEVİZ 40MM ANTİK DARK</t>
  </si>
  <si>
    <t>KMPY0657H025</t>
  </si>
  <si>
    <t>JELKOT POLİYA POLİJEL 215 43 SİYAH</t>
  </si>
  <si>
    <t>KRXX0099H187</t>
  </si>
  <si>
    <t>GLADİATOR XL UZUN ARKA MERDİVENİ</t>
  </si>
  <si>
    <t>MBAP3080H069</t>
  </si>
  <si>
    <t>ASD LAMİNAT 3080 BTE/FUJİ 1300x100000Rx0,6</t>
  </si>
  <si>
    <t>DSXX0099H104</t>
  </si>
  <si>
    <t>KUMAŞ SUNİ DERİ KAHVERENGİ</t>
  </si>
  <si>
    <t>HRXX0099H592</t>
  </si>
  <si>
    <t>FİBER DİSK ZIMPARA 80LİK</t>
  </si>
  <si>
    <t>ELTS0099H124</t>
  </si>
  <si>
    <t>SOLAR PANEL ESNEK 175w</t>
  </si>
  <si>
    <t>KRXX0099H322</t>
  </si>
  <si>
    <t>TENTE DOMETİC 2.60M ANTRASİT</t>
  </si>
  <si>
    <t>İMA KIRTASİYE PAZARLAMA TİCARET A.Ş.</t>
  </si>
  <si>
    <t>HRXX0099H591</t>
  </si>
  <si>
    <t>FİBER DİSK ZIMPARA 60LIK</t>
  </si>
  <si>
    <t>MKTS0099H184</t>
  </si>
  <si>
    <t>GLADİATÖR TENTE BRAKETİ XL</t>
  </si>
  <si>
    <t>KRXX0099H448</t>
  </si>
  <si>
    <t>ARAÇ BİLGİ ETİKETLERİ-TÜRKÇE</t>
  </si>
  <si>
    <t>GSM0541</t>
  </si>
  <si>
    <t>GXL0156</t>
  </si>
  <si>
    <t>GSM0537</t>
  </si>
  <si>
    <t>Jan Urbanek</t>
  </si>
  <si>
    <t>GSM0536</t>
  </si>
  <si>
    <t>GSM0540</t>
  </si>
  <si>
    <t>GL0155</t>
  </si>
  <si>
    <t>GSM0539</t>
  </si>
  <si>
    <t>GSM0538</t>
  </si>
  <si>
    <t>AHMET SAYIN</t>
  </si>
  <si>
    <t>TECHNOMAC MAKİNE SANAYİ VE TİCARET LİMİTED ŞİRKETİ</t>
  </si>
  <si>
    <t>HRXX0099H003</t>
  </si>
  <si>
    <t>BANT ÇİFT TARAFLI 25x38 mm</t>
  </si>
  <si>
    <t>ELSF0099H200</t>
  </si>
  <si>
    <t>ÇİFT GİRİŞLİ YÜKSÜK 6 MM YEŞİL</t>
  </si>
  <si>
    <t>HRXX0099H466</t>
  </si>
  <si>
    <t>VİDA MERCİMEK BAŞLI 3,5X16</t>
  </si>
  <si>
    <t>HRXX0099H615</t>
  </si>
  <si>
    <t>VİDA PASLANMAZ MERCİMEK BAŞLI M2.9X22 SİYAH</t>
  </si>
  <si>
    <t>ELSF0099H213</t>
  </si>
  <si>
    <t>ÇİFT GİRİŞLİ YÜKSÜK 6 MM SİYAH</t>
  </si>
  <si>
    <t>ELSF0099H210</t>
  </si>
  <si>
    <t>ÇİFT GİRİŞLİ YÜKSÜK 1 MM KIRMIZI</t>
  </si>
  <si>
    <t>ELSF0099H209</t>
  </si>
  <si>
    <t>TEK GİRİŞLİ YÜKSÜK 1 MM KIRMIZI</t>
  </si>
  <si>
    <t>ELSF0099H211</t>
  </si>
  <si>
    <t>ÇİFT GİRİŞLİ YÜKSÜK 1 MM SARI</t>
  </si>
  <si>
    <t>ELSF0099H208</t>
  </si>
  <si>
    <t>ÇİFT GİRİŞLİ YÜKSÜK 2,5 MM GRİ</t>
  </si>
  <si>
    <t>KMBY5004H008</t>
  </si>
  <si>
    <t>RAPTOR LİNER TİNTABLE(RAL 1001)</t>
  </si>
  <si>
    <t>KRXX0099H291</t>
  </si>
  <si>
    <t>TAHARET MUSLUĞU PİRİNÇ</t>
  </si>
  <si>
    <t>ELSF0099H207</t>
  </si>
  <si>
    <t>TEK GİRİŞLİ YÜKSÜK 4 MM TURUNCU</t>
  </si>
  <si>
    <t>ELSF0099H212</t>
  </si>
  <si>
    <t>TEK GİRİŞLİ YÜKSÜK 2,5 MM GRİ</t>
  </si>
  <si>
    <t>RV073</t>
  </si>
  <si>
    <t>Hayriye Güven</t>
  </si>
  <si>
    <t>MKTS0099H053</t>
  </si>
  <si>
    <t>REVİVA PİS SU TANKI SİYAH 65 LT</t>
  </si>
  <si>
    <t>BARIŞ GÜNGÖR   [ EFE MÜHENDİSLİK ]</t>
  </si>
  <si>
    <t>MKTS0099H010</t>
  </si>
  <si>
    <t>BOILER TRUMA GAZLI SU ISITMA BG 10 10LT</t>
  </si>
  <si>
    <t>TERMOSA MOBİL SİSTEMLERİ ANONİM ŞİRKETİ</t>
  </si>
  <si>
    <t>KMPY0099H004</t>
  </si>
  <si>
    <t xml:space="preserve">JELKOT ŞEFFAF </t>
  </si>
  <si>
    <t>KRXX0099H169</t>
  </si>
  <si>
    <t>TENTE THULE 4MT SİYAH</t>
  </si>
  <si>
    <t>KMBY0099H040</t>
  </si>
  <si>
    <t>TİNER SELÜLOZİK - BOYA</t>
  </si>
  <si>
    <t>ADIGÜZEL BOYA OTOMOTİV SERVİS HİZMETLERİ SANAYİ VE TİC. LTD. ŞTİ.</t>
  </si>
  <si>
    <t>Emre Kain</t>
  </si>
  <si>
    <t>2K KAMP KARAVAN MARKET SANAYİ TİCARET LİMİTED ŞİRKETİ</t>
  </si>
  <si>
    <t>GSM0542</t>
  </si>
  <si>
    <t>Soner Kayıkçı</t>
  </si>
  <si>
    <t>MKSF0099H086</t>
  </si>
  <si>
    <t>CİVATA PASLANMAZ M8X70 SEKMANLI</t>
  </si>
  <si>
    <t>KMPY9016H003</t>
  </si>
  <si>
    <t>JELKOT 9016 BEYAZ</t>
  </si>
  <si>
    <t>MKTS0099H019</t>
  </si>
  <si>
    <t xml:space="preserve">REVİVA TEMİZ SU TANKI 150LT TEKER ÜSTÜ </t>
  </si>
  <si>
    <t>ELTS0099H134</t>
  </si>
  <si>
    <t>ÇAKMAKLIK 12V</t>
  </si>
  <si>
    <t>HASAN TOKTOK</t>
  </si>
  <si>
    <t>KMBY0099H063</t>
  </si>
  <si>
    <t>PİGMENT RAL 9005 SİYAH</t>
  </si>
  <si>
    <t>KRXX0099H452</t>
  </si>
  <si>
    <t>BUZDOLABI İNDEL B-CRUİSE 140 LT</t>
  </si>
  <si>
    <t>ATLS0099H002</t>
  </si>
  <si>
    <t>TAVAN ÇITASI SIYAH</t>
  </si>
  <si>
    <t>EHİLTEK KALIP TASARIM OTOMOTİV SANAYİ VE TİCARET LİMİTED ŞİRKETİ</t>
  </si>
  <si>
    <t>KMBY9005H009</t>
  </si>
  <si>
    <t>BOYA AKRİLİK TENEKE 9005 MAT SİYAH</t>
  </si>
  <si>
    <t>ELTS0099H006</t>
  </si>
  <si>
    <t>AKÜ 150 AH</t>
  </si>
  <si>
    <t>ELTS0099H154</t>
  </si>
  <si>
    <t>MPPT ŞARJ 40A</t>
  </si>
  <si>
    <t>DÜKKANÖNÜ E-TİCARET SANAYİ VE TİCARET LİMİTED ŞİRKETİ</t>
  </si>
  <si>
    <t>MENTEŞE TAS FRENSİZ YARIM DEVE-MİNİ</t>
  </si>
  <si>
    <t>MAKE SÜNGER VE DÖŞEME MALZEMELERİ MOBİLYA MEDİKAL ÜRÜNLERİ TİCARET ANONİM ŞİRKETİ</t>
  </si>
  <si>
    <t>KRXX0099H029</t>
  </si>
  <si>
    <t>KARAVAN CAM 300X700 BERHIMI</t>
  </si>
  <si>
    <t>KRXX0099H027</t>
  </si>
  <si>
    <t>KARAVAN CAM 300X500 BERHIMI</t>
  </si>
  <si>
    <t>MKTS0099H033</t>
  </si>
  <si>
    <t>MUSLUK  SOĞUK-SICAK TEK GÖZ</t>
  </si>
  <si>
    <t>1/2 DIŞ DİŞLİ SARI HORTUM UCU 10 mm</t>
  </si>
  <si>
    <t>EDS ELEKTRONİK DESTEK SANAYİ VE TİCARET LİMİTED ŞİRKETİ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</si>
</sst>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-&quot;₺&quot;* #,##0.00_-;\-&quot;₺&quot;* #,##0.00_-;_-&quot;₺&quot;* &quot;-&quot;??_-;_-@_-"/>
    <numFmt numFmtId="164" formatCode="_-[$₺-41F]* #,##0.00_-;\-[$₺-41F]* #,##0.00_-;_-[$₺-41F]* &quot;-&quot;??_-;_-@_-"/>
  </numFmts>
  <fonts count="5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8"/>
      <name val="Calibri"/>
      <family val="2"/>
      <scheme val="minor"/>
    </font>
    <font>
      <sz val="11"/>
      <color theme="0"/>
      <name val="Calibri"/>
      <family val="2"/>
      <scheme val="minor"/>
    </font>
    <font>
      <sz val="9"/>
      <color indexed="81"/>
      <name val="Tahoma"/>
      <family val="2"/>
      <charset val="162"/>
    </font>
  </fonts>
  <fills count="7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rgb="FFE0E0E0"/>
        <bgColor indexed="64"/>
      </patternFill>
    </fill>
  </fills>
  <borders count="1">
    <border>
      <left/>
      <right/>
      <top/>
      <bottom/>
      <diagonal/>
    </border>
  </borders>
  <cellStyleXfs count="3">
    <xf numFmtId="0" fontId="0" fillId="0" borderId="0"/>
    <xf numFmtId="44" fontId="1" fillId="0" borderId="0" applyFont="0" applyFill="0" applyBorder="0" applyAlignment="0" applyProtection="0"/>
    <xf numFmtId="0" fontId="1" fillId="0" borderId="0"/>
  </cellStyleXfs>
  <cellXfs count="25">
    <xf numFmtId="0" fontId="0" fillId="0" borderId="0" xfId="0"/>
    <xf numFmtId="0" fontId="0" fillId="0" borderId="0" xfId="0" pivotButton="1" applyAlignment="1">
      <alignment vertical="center"/>
    </xf>
    <xf numFmtId="0" fontId="0" fillId="0" borderId="0" xfId="0" applyAlignment="1">
      <alignment vertical="center"/>
    </xf>
    <xf numFmtId="0" fontId="0" fillId="0" borderId="0" xfId="0" applyAlignment="1">
      <alignment horizontal="center" vertical="center"/>
    </xf>
    <xf numFmtId="164" fontId="0" fillId="0" borderId="0" xfId="0" applyNumberFormat="1" applyAlignment="1">
      <alignment horizontal="center" vertical="center"/>
    </xf>
    <xf numFmtId="44" fontId="0" fillId="0" borderId="0" xfId="1" applyFont="1" applyAlignment="1">
      <alignment vertical="center"/>
    </xf>
    <xf numFmtId="0" fontId="0" fillId="0" borderId="0" xfId="0" pivotButton="1"/>
    <xf numFmtId="0" fontId="0" fillId="0" borderId="0" xfId="0" applyAlignment="1">
      <alignment horizontal="left"/>
    </xf>
    <xf numFmtId="164" fontId="0" fillId="0" borderId="0" xfId="0" applyNumberFormat="1"/>
    <xf numFmtId="164" fontId="0" fillId="0" borderId="0" xfId="1" applyNumberFormat="1" applyFont="1" applyAlignment="1">
      <alignment vertical="center"/>
    </xf>
    <xf numFmtId="2" fontId="0" fillId="0" borderId="0" xfId="0" applyNumberFormat="1"/>
    <xf numFmtId="1" fontId="0" fillId="0" borderId="0" xfId="0" applyNumberFormat="1" applyAlignment="1">
      <alignment horizontal="center" vertical="center"/>
    </xf>
    <xf numFmtId="164" fontId="0" fillId="0" borderId="0" xfId="0" applyNumberFormat="1" applyAlignment="1">
      <alignment vertical="center"/>
    </xf>
    <xf numFmtId="0" fontId="0" fillId="2" borderId="0" xfId="0" applyFill="1"/>
    <xf numFmtId="0" fontId="0" fillId="3" borderId="0" xfId="0" applyFill="1"/>
    <xf numFmtId="2" fontId="0" fillId="3" borderId="0" xfId="0" applyNumberFormat="1" applyFill="1"/>
    <xf numFmtId="0" fontId="0" fillId="4" borderId="0" xfId="0" applyFill="1" applyAlignment="1">
      <alignment vertical="center"/>
    </xf>
    <xf numFmtId="0" fontId="0" fillId="0" borderId="0" xfId="0" pivotButton="1" applyAlignment="1">
      <alignment horizontal="center" vertical="center"/>
    </xf>
    <xf numFmtId="0" fontId="0" fillId="2" borderId="0" xfId="0" applyFill="1" applyAlignment="1">
      <alignment vertical="center"/>
    </xf>
    <xf numFmtId="0" fontId="3" fillId="5" borderId="0" xfId="0" applyFont="1" applyFill="1" applyAlignment="1">
      <alignment horizontal="center" vertical="center"/>
    </xf>
    <xf numFmtId="1" fontId="0" fillId="6" borderId="0" xfId="0" applyNumberFormat="1" applyFill="1" applyAlignment="1">
      <alignment vertical="center"/>
    </xf>
    <xf numFmtId="1" fontId="0" fillId="2" borderId="0" xfId="0" applyNumberFormat="1" applyFill="1" applyAlignment="1">
      <alignment horizontal="center" vertical="center"/>
    </xf>
    <xf numFmtId="164" fontId="0" fillId="2" borderId="0" xfId="0" applyNumberFormat="1" applyFill="1" applyAlignment="1">
      <alignment horizontal="center" vertical="center"/>
    </xf>
    <xf numFmtId="0" fontId="0" fillId="0" borderId="0" xfId="0" applyNumberFormat="1" applyAlignment="1">
      <alignment horizontal="center" vertical="center"/>
    </xf>
    <xf numFmtId="0" fontId="0" fillId="2" borderId="0" xfId="0" applyNumberFormat="1" applyFill="1" applyAlignment="1">
      <alignment horizontal="center" vertical="center"/>
    </xf>
  </cellXfs>
  <cellStyles count="3">
    <cellStyle name="Normal" xfId="0" builtinId="0"/>
    <cellStyle name="Normal 2" xfId="2" xr:uid="{893F4F63-B20C-49E1-AD0C-AEA4053E22E2}"/>
    <cellStyle name="ParaBirimi" xfId="1" builtinId="4"/>
  </cellStyles>
  <dxfs count="383">
    <dxf>
      <numFmt numFmtId="2" formatCode="0.00"/>
    </dxf>
    <dxf>
      <numFmt numFmtId="2" formatCode="0.00"/>
    </dxf>
    <dxf>
      <numFmt numFmtId="164" formatCode="_-[$₺-41F]* #,##0.00_-;\-[$₺-41F]* #,##0.00_-;_-[$₺-41F]* &quot;-&quot;??_-;_-@_-"/>
    </dxf>
    <dxf>
      <numFmt numFmtId="164" formatCode="_-[$₺-41F]* #,##0.00_-;\-[$₺-41F]* #,##0.00_-;_-[$₺-41F]* &quot;-&quot;??_-;_-@_-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theme="7" tint="0.79998168889431442"/>
        </patternFill>
      </fill>
    </dxf>
    <dxf>
      <fill>
        <patternFill patternType="solid">
          <bgColor theme="7" tint="0.79998168889431442"/>
        </patternFill>
      </fill>
    </dxf>
    <dxf>
      <fill>
        <patternFill patternType="solid">
          <bgColor theme="7" tint="0.79998168889431442"/>
        </patternFill>
      </fill>
    </dxf>
    <dxf>
      <fill>
        <patternFill patternType="solid">
          <bgColor theme="7" tint="0.79998168889431442"/>
        </patternFill>
      </fill>
    </dxf>
    <dxf>
      <fill>
        <patternFill patternType="solid">
          <bgColor theme="7" tint="0.79998168889431442"/>
        </patternFill>
      </fill>
    </dxf>
    <dxf>
      <fill>
        <patternFill patternType="solid">
          <bgColor theme="7" tint="0.79998168889431442"/>
        </patternFill>
      </fill>
    </dxf>
    <dxf>
      <fill>
        <patternFill patternType="solid">
          <bgColor theme="7" tint="0.79998168889431442"/>
        </patternFill>
      </fill>
    </dxf>
    <dxf>
      <fill>
        <patternFill patternType="solid">
          <bgColor theme="7" tint="0.79998168889431442"/>
        </patternFill>
      </fill>
    </dxf>
    <dxf>
      <fill>
        <patternFill patternType="solid">
          <bgColor theme="7" tint="0.79998168889431442"/>
        </patternFill>
      </fill>
    </dxf>
    <dxf>
      <fill>
        <patternFill patternType="solid">
          <bgColor theme="7" tint="0.79998168889431442"/>
        </patternFill>
      </fill>
    </dxf>
    <dxf>
      <fill>
        <patternFill patternType="solid">
          <bgColor theme="7" tint="0.79998168889431442"/>
        </patternFill>
      </fill>
    </dxf>
    <dxf>
      <fill>
        <patternFill patternType="solid">
          <bgColor theme="7" tint="0.79998168889431442"/>
        </patternFill>
      </fill>
    </dxf>
    <dxf>
      <fill>
        <patternFill patternType="solid">
          <bgColor theme="7" tint="0.79998168889431442"/>
        </patternFill>
      </fill>
    </dxf>
    <dxf>
      <fill>
        <patternFill patternType="solid">
          <bgColor theme="7" tint="0.79998168889431442"/>
        </patternFill>
      </fill>
    </dxf>
    <dxf>
      <fill>
        <patternFill patternType="solid">
          <bgColor theme="7" tint="0.79998168889431442"/>
        </patternFill>
      </fill>
    </dxf>
    <dxf>
      <fill>
        <patternFill patternType="solid">
          <bgColor theme="7" tint="0.79998168889431442"/>
        </patternFill>
      </fill>
    </dxf>
    <dxf>
      <fill>
        <patternFill patternType="solid">
          <bgColor theme="7" tint="0.79998168889431442"/>
        </patternFill>
      </fill>
    </dxf>
    <dxf>
      <fill>
        <patternFill patternType="solid">
          <bgColor theme="7" tint="0.79998168889431442"/>
        </patternFill>
      </fill>
    </dxf>
    <dxf>
      <fill>
        <patternFill patternType="solid">
          <bgColor theme="7" tint="0.79998168889431442"/>
        </patternFill>
      </fill>
    </dxf>
    <dxf>
      <fill>
        <patternFill patternType="solid">
          <bgColor theme="7" tint="0.79998168889431442"/>
        </patternFill>
      </fill>
    </dxf>
    <dxf>
      <fill>
        <patternFill patternType="solid">
          <bgColor theme="7" tint="0.79998168889431442"/>
        </patternFill>
      </fill>
    </dxf>
    <dxf>
      <fill>
        <patternFill patternType="solid">
          <bgColor theme="7" tint="0.79998168889431442"/>
        </patternFill>
      </fill>
    </dxf>
    <dxf>
      <fill>
        <patternFill patternType="solid">
          <bgColor theme="7" tint="0.79998168889431442"/>
        </patternFill>
      </fill>
    </dxf>
    <dxf>
      <fill>
        <patternFill patternType="solid">
          <bgColor theme="7" tint="0.79998168889431442"/>
        </patternFill>
      </fill>
    </dxf>
    <dxf>
      <fill>
        <patternFill patternType="solid">
          <bgColor theme="7" tint="0.79998168889431442"/>
        </patternFill>
      </fill>
    </dxf>
    <dxf>
      <fill>
        <patternFill patternType="solid">
          <bgColor theme="7" tint="0.79998168889431442"/>
        </patternFill>
      </fill>
    </dxf>
    <dxf>
      <fill>
        <patternFill patternType="solid">
          <bgColor rgb="FFFFFF00"/>
        </patternFill>
      </fill>
    </dxf>
    <dxf>
      <numFmt numFmtId="1" formatCode="0"/>
    </dxf>
    <dxf>
      <numFmt numFmtId="164" formatCode="_-[$₺-41F]* #,##0.00_-;\-[$₺-41F]* #,##0.00_-;_-[$₺-41F]* &quot;-&quot;??_-;_-@_-"/>
    </dxf>
    <dxf>
      <numFmt numFmtId="164" formatCode="_-[$₺-41F]* #,##0.00_-;\-[$₺-41F]* #,##0.00_-;_-[$₺-41F]* &quot;-&quot;??_-;_-@_-"/>
    </dxf>
    <dxf>
      <numFmt numFmtId="165" formatCode="&quot;₺&quot;#,##0.00"/>
    </dxf>
    <dxf>
      <alignment horizontal="center"/>
    </dxf>
    <dxf>
      <alignment horizontal="center"/>
    </dxf>
    <dxf>
      <alignment horizontal="center"/>
    </dxf>
    <dxf>
      <alignment vertical="center"/>
    </dxf>
    <dxf>
      <alignment vertical="center"/>
    </dxf>
    <dxf>
      <alignment vertical="center"/>
    </dxf>
    <dxf>
      <numFmt numFmtId="164" formatCode="_-[$₺-41F]* #,##0.00_-;\-[$₺-41F]* #,##0.00_-;_-[$₺-41F]* &quot;-&quot;??_-;_-@_-"/>
    </dxf>
    <dxf>
      <numFmt numFmtId="164" formatCode="_-[$₺-41F]* #,##0.00_-;\-[$₺-41F]* #,##0.00_-;_-[$₺-41F]* &quot;-&quot;??_-;_-@_-"/>
    </dxf>
    <dxf>
      <alignment horizontal="center"/>
    </dxf>
    <dxf>
      <alignment horizont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</dxfs>
  <tableStyles count="0" defaultTableStyle="TableStyleMedium2" defaultPivotStyle="PivotStyleLight16"/>
  <colors>
    <mruColors>
      <color rgb="FFE0E0E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13" Type="http://schemas.openxmlformats.org/officeDocument/2006/relationships/customXml" Target="../customXml/item1.xml"/><Relationship Id="rId3" Type="http://schemas.openxmlformats.org/officeDocument/2006/relationships/worksheet" Target="worksheets/sheet3.xml"/><Relationship Id="rId7" Type="http://schemas.microsoft.com/office/2007/relationships/slicerCache" Target="slicerCaches/slicerCache2.xml"/><Relationship Id="rId12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microsoft.com/office/2007/relationships/slicerCache" Target="slicerCaches/slicerCache1.xml"/><Relationship Id="rId11" Type="http://schemas.openxmlformats.org/officeDocument/2006/relationships/sharedStrings" Target="sharedStrings.xml"/><Relationship Id="rId5" Type="http://schemas.openxmlformats.org/officeDocument/2006/relationships/pivotCacheDefinition" Target="pivotCache/pivotCacheDefinition1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connections" Target="connections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6</xdr:col>
      <xdr:colOff>1002143</xdr:colOff>
      <xdr:row>6</xdr:row>
      <xdr:rowOff>60435</xdr:rowOff>
    </xdr:to>
    <mc:AlternateContent xmlns:mc="http://schemas.openxmlformats.org/markup-compatibility/2006" xmlns:a14="http://schemas.microsoft.com/office/drawing/2010/main">
      <mc:Choice Requires="a14">
        <xdr:graphicFrame macro="">
          <xdr:nvGraphicFramePr>
            <xdr:cNvPr id="2" name="SON SATINALMA CARİ ÜNVANI">
              <a:extLst>
                <a:ext uri="{FF2B5EF4-FFF2-40B4-BE49-F238E27FC236}">
                  <a16:creationId xmlns:a16="http://schemas.microsoft.com/office/drawing/2014/main" id="{57F8E776-EE90-9C68-FB99-D2A059BAA4DF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SON SATINALMA CARİ ÜNVANI"/>
            </a:graphicData>
          </a:graphic>
        </xdr:graphicFrame>
      </mc:Choice>
      <mc:Fallback xmlns=""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0" y="0"/>
              <a:ext cx="17280000" cy="1152000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tr-TR" sz="1100"/>
                <a:t>Bu şekil bir dilimleyiciyi gösterir. Dilimleyiciler Excel 2010 ve sonraki sürümlerde desteklenir.
Şekil daha önceki bir Excel sürümünde değiştirildiyse veya çalışma kitabı Excel 2003 veya önceki sürümünde kaydedildiyse, dilimleyici kullanılamaz.</a:t>
              </a:r>
            </a:p>
          </xdr:txBody>
        </xdr:sp>
      </mc:Fallback>
    </mc:AlternateContent>
    <xdr:clientData/>
  </xdr:twoCellAnchor>
  <xdr:twoCellAnchor editAs="oneCell">
    <xdr:from>
      <xdr:col>0</xdr:col>
      <xdr:colOff>0</xdr:colOff>
      <xdr:row>6</xdr:row>
      <xdr:rowOff>117438</xdr:rowOff>
    </xdr:from>
    <xdr:to>
      <xdr:col>6</xdr:col>
      <xdr:colOff>1002143</xdr:colOff>
      <xdr:row>9</xdr:row>
      <xdr:rowOff>186513</xdr:rowOff>
    </xdr:to>
    <mc:AlternateContent xmlns:mc="http://schemas.openxmlformats.org/markup-compatibility/2006" xmlns:a14="http://schemas.microsoft.com/office/drawing/2010/main">
      <mc:Choice Requires="a14">
        <xdr:graphicFrame macro="">
          <xdr:nvGraphicFramePr>
            <xdr:cNvPr id="3" name="ALTSTOKGRUPKODU">
              <a:extLst>
                <a:ext uri="{FF2B5EF4-FFF2-40B4-BE49-F238E27FC236}">
                  <a16:creationId xmlns:a16="http://schemas.microsoft.com/office/drawing/2014/main" id="{886EFFBB-CED2-DCB5-1EAB-3AF4642DFFD4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ALTSTOKGRUPKODU"/>
            </a:graphicData>
          </a:graphic>
        </xdr:graphicFrame>
      </mc:Choice>
      <mc:Fallback xmlns=""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0" y="1260438"/>
              <a:ext cx="16834453" cy="640575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tr-TR" sz="1100"/>
                <a:t>Bu şekil bir dilimleyiciyi gösterir. Dilimleyiciler Excel 2010 ve sonraki sürümlerde desteklenir.
Şekil daha önceki bir Excel sürümünde değiştirildiyse veya çalışma kitabı Excel 2003 veya önceki sürümünde kaydedildiyse, dilimleyici kullanılamaz.</a:t>
              </a:r>
            </a:p>
          </xdr:txBody>
        </xdr:sp>
      </mc:Fallback>
    </mc:AlternateContent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Osman Ertugral" refreshedDate="46128.602326504631" createdVersion="8" refreshedVersion="8" minRefreshableVersion="3" recordCount="5974" xr:uid="{FF356FC9-4CC3-4D7C-8607-E25232C6FE52}">
  <cacheSource type="worksheet">
    <worksheetSource name="DST_123_ÜRETİM_İHTİYAÇ_RAPORU_BURAK_YENI1309"/>
  </cacheSource>
  <cacheFields count="17">
    <cacheField name="PROJE_KODU" numFmtId="0">
      <sharedItems count="369">
        <s v="GSM0542"/>
        <s v="GL0153"/>
        <s v="GSE0151"/>
        <s v="GL0154"/>
        <s v="GS0533"/>
        <s v="GXL0156"/>
        <s v="GXLE0149"/>
        <s v="GXLE0152"/>
        <s v="GSM0536"/>
        <s v="GSM0537"/>
        <s v="GSM0539"/>
        <s v="GSM0538"/>
        <s v="GSM0541"/>
        <s v="GL0155"/>
        <s v="GS0535"/>
        <s v="GSM0540"/>
        <s v="GS0532"/>
        <s v="GSH0150"/>
        <s v="RV073"/>
        <s v="GSM0534"/>
        <s v="GS0529" u="1"/>
        <s v="GSM0524" u="1"/>
        <s v="GS0530" u="1"/>
        <s v="GSM0531" u="1"/>
        <s v="GL0148" u="1"/>
        <s v="GS0527" u="1"/>
        <s v="GS0528" u="1"/>
        <s v="GS0526" u="1"/>
        <s v="GS0522" u="1"/>
        <s v="GSH0144" u="1"/>
        <s v="GSM0520" u="1"/>
        <s v="GSM0523" u="1"/>
        <s v="GSM0525" u="1"/>
        <s v="ATLAS006" u="1"/>
        <s v="GSE0145" u="1"/>
        <s v="GSE0147" u="1"/>
        <s v="GSH0146" u="1"/>
        <s v="GSM0521" u="1"/>
        <s v="GSM0516" u="1"/>
        <s v="GSM0519" u="1"/>
        <s v="GXLE0141" u="1"/>
        <s v="GSE0142" u="1"/>
        <s v="GSE0143" u="1"/>
        <s v="GSM0508" u="1"/>
        <s v="GL0139" u="1"/>
        <s v="GS0506" u="1"/>
        <s v="GSM0505" u="1"/>
        <s v="GSM0509" u="1"/>
        <s v="GSM0515" u="1"/>
        <s v="GSM0517" u="1"/>
        <s v="ATLAS005" u="1"/>
        <s v="GSM0518" u="1"/>
        <s v="GS0514" u="1"/>
        <s v="GS0510" u="1"/>
        <s v="GS0512" u="1"/>
        <s v="GS0513" u="1"/>
        <s v="GSE0140" u="1"/>
        <s v="GSM0511" u="1"/>
        <s v="d" u="1"/>
        <s v="GL0136" u="1"/>
        <s v="GS0504" u="1"/>
        <s v="GSM0502" u="1"/>
        <s v="GXL0138" u="1"/>
        <s v="GL0135" u="1"/>
        <s v="GSE0134" u="1"/>
        <s v="GSM0507" u="1"/>
        <s v="GXLE0137" u="1"/>
        <s v="ATLAS003" u="1"/>
        <s v="ATLAS004" u="1"/>
        <s v="GL0133" u="1"/>
        <s v="GS0500" u="1"/>
        <s v="GS0501" u="1"/>
        <s v="GS0503" u="1"/>
        <s v="GSM0498" u="1"/>
        <s v="ATLAS002" u="1"/>
        <s v="GS0497" u="1"/>
        <s v="GS0499" u="1"/>
        <s v="GS0491" u="1"/>
        <s v="GSM0492" u="1"/>
        <s v="GS0489" u="1"/>
        <s v="GS0493" u="1"/>
        <s v="GS0494" u="1"/>
        <s v="GS0496" u="1"/>
        <s v="GS0495" u="1"/>
        <s v="GS0481" u="1"/>
        <s v="CYBERG02" u="1"/>
        <s v="GS0484" u="1"/>
        <s v="GS0486" u="1"/>
        <s v="GSE0131" u="1"/>
        <s v="GS0480" u="1"/>
        <s v="GSE0130" u="1"/>
        <s v="GS0487" u="1"/>
        <s v="GS0483" u="1"/>
        <s v="GS0490" u="1"/>
        <s v="GSH0132" u="1"/>
        <s v="GS0485" u="1"/>
        <s v="G0133" u="1"/>
        <s v="GSM0482" u="1"/>
        <s v="GXL0129" u="1"/>
        <s v="GS0463" u="1"/>
        <s v="GS0479" u="1"/>
        <s v="GS0488" u="1"/>
        <s v="GSE0122" u="1"/>
        <s v="GSE0127" u="1"/>
        <s v="GSH0125" u="1"/>
        <s v="GL0126" u="1"/>
        <s v="GXL0121" u="1"/>
        <s v="GL0119" u="1"/>
        <s v="GL0120" u="1"/>
        <s v="GXLE063" u="1"/>
        <s v="GSE0103" u="1"/>
        <s v="GL0104" u="1"/>
        <s v="GXLE0107" u="1"/>
        <s v="GS0467" u="1"/>
        <s v="GS0460" u="1"/>
        <s v="GS0477" u="1"/>
        <s v="GL0124" u="1"/>
        <s v="GXL0123" u="1"/>
        <s v="GS0464" u="1"/>
        <s v="GXL0118" u="1"/>
        <s v="GXLE0110" u="1"/>
        <s v="GXLE0112" u="1"/>
        <s v="GL0108" u="1"/>
        <s v="GS0468" u="1"/>
        <s v="GXLE0115" u="1"/>
        <s v="GSH0109" u="1"/>
        <s v="GS0478" u="1"/>
        <s v="GL0117" u="1"/>
        <s v="GXL0111" u="1"/>
        <s v="GS0456" u="1"/>
        <s v="GS0473" u="1"/>
        <s v="GS0469" u="1"/>
        <s v="GS0470" u="1"/>
        <s v="GS0472" u="1"/>
        <s v="GS0471" u="1"/>
        <s v="GS0461" u="1"/>
        <s v="GSH0116" u="1"/>
        <s v="GS0475" u="1"/>
        <s v="GS0476" u="1"/>
        <s v="GXL089" u="1"/>
        <s v="GS0458" u="1"/>
        <s v="GSE094" u="1"/>
        <s v="GL095" u="1"/>
        <s v="GS0453" u="1"/>
        <s v="GS0454" u="1"/>
        <s v="GXL0114" u="1"/>
        <s v="GXLE097" u="1"/>
        <s v="GXLE0102" u="1"/>
        <s v="GSE096" u="1"/>
        <s v="GXL0106" u="1"/>
        <s v="GS0462" u="1"/>
        <s v="GSE100" u="1"/>
        <s v="GS0465" u="1"/>
        <s v="GXL0105" u="1"/>
        <s v="GS0466" u="1"/>
        <s v="GS0474" u="1"/>
        <s v="GSE092" u="1"/>
        <s v="GXL098" u="1"/>
        <s v="GSE101" u="1"/>
        <s v="GXLE091" u="1"/>
        <s v="GL0113" u="1"/>
        <s v="GSE099" u="1"/>
        <s v="GL093" u="1"/>
        <s v="GS0457" u="1"/>
        <s v="GSH084" u="1"/>
        <s v="GS0459" u="1"/>
        <s v="GS0452" u="1"/>
        <s v="URB073" u="1"/>
        <s v="GS0455" u="1"/>
        <s v="GS0450" u="1"/>
        <s v="G0431" u="1"/>
        <s v="G0432" u="1"/>
        <s v="GL074" u="1"/>
        <s v="GL078" u="1"/>
        <s v="GM0424" u="1"/>
        <s v="GS0436" u="1"/>
        <s v="GS0437" u="1"/>
        <s v="GS0438" u="1"/>
        <s v="GS0439" u="1"/>
        <s v="GS0440" u="1"/>
        <s v="GS0441" u="1"/>
        <s v="GS0442" u="1"/>
        <s v="GS0443" u="1"/>
        <s v="GS0444" u="1"/>
        <s v="GS0445" u="1"/>
        <s v="GS0446" u="1"/>
        <s v="GS0447" u="1"/>
        <s v="GS0448" u="1"/>
        <s v="GSE083" u="1"/>
        <s v="GSE085" u="1"/>
        <s v="GSE087" u="1"/>
        <s v="GSH090" u="1"/>
        <s v="GXL080" u="1"/>
        <s v="GXL081" u="1"/>
        <s v="GXLD067" u="1"/>
        <s v="GXLE072" u="1"/>
        <s v="GXLE076" u="1"/>
        <s v="GXLE077" u="1"/>
        <s v="GXLS060" u="1"/>
        <s v="GXLS061" u="1"/>
        <s v="GXLS062" u="1"/>
        <s v="GXLS068" u="1"/>
        <s v="GXLS069" u="1"/>
        <s v="GXLS070" u="1"/>
        <s v="GXLS071" u="1"/>
        <s v="GXLS073" u="1"/>
        <s v="GS0449" u="1"/>
        <s v="GSE086" u="1"/>
        <s v="RV070" u="1"/>
        <s v="URB053" u="1"/>
        <s v="URB054" u="1"/>
        <s v="GXLD039" u="1"/>
        <s v="GXLD038" u="1"/>
        <s v="GXLE036" u="1"/>
        <s v="G0369" u="1"/>
        <s v="G0370" u="1"/>
        <s v="G0376" u="1"/>
        <s v="G0360" u="1"/>
        <s v="G0361" u="1"/>
        <s v="G0371" u="1"/>
        <s v="G0375" u="1"/>
        <s v="G0373" u="1"/>
        <s v="G0374" u="1"/>
        <s v="G0372" u="1"/>
        <s v="GXLS040" u="1"/>
        <s v="G0359" u="1"/>
        <s v="GXLS035" u="1"/>
        <s v="F025" u="1"/>
        <s v="URB031" u="1"/>
        <s v="G0356" u="1"/>
        <s v="URB036" u="1"/>
        <s v="G0357" u="1"/>
        <s v="G0358" u="1"/>
        <s v="GXLE034" u="1"/>
        <s v="GXLE032" u="1"/>
        <s v="GXLD033" u="1"/>
        <s v="RXL068" u="1"/>
        <s v="RV052" u="1"/>
        <s v="RV055" u="1"/>
        <s v="URB033" u="1"/>
        <s v="URB034" u="1"/>
        <s v="URB035" u="1"/>
        <s v="G0302" u="1"/>
        <s v="G0304" u="1"/>
        <s v="G0305" u="1"/>
        <s v="G0310" u="1"/>
        <s v="RV053" u="1"/>
        <s v="G0349" u="1"/>
        <s v="G0351" u="1"/>
        <s v="G0352" u="1"/>
        <s v="G0354" u="1"/>
        <s v="G0355" u="1"/>
        <s v="G0363" u="1"/>
        <s v="URB043" u="1"/>
        <s v="G0362" u="1"/>
        <s v="GXLE031" u="1"/>
        <s v="G0364" u="1"/>
        <s v="G0365" u="1"/>
        <s v="G0366" u="1"/>
        <s v="G0367" u="1"/>
        <s v="G0368" u="1"/>
        <s v="URB044" u="1"/>
        <s v="URB045" u="1"/>
        <s v="URB046" u="1"/>
        <s v="URB047" u="1"/>
        <s v="G0311" u="1"/>
        <s v="G0350" u="1"/>
        <s v="G0353" u="1"/>
        <s v="G0347" u="1"/>
        <s v="RV050" u="1"/>
        <s v="GXLE029" u="1"/>
        <s v="G0342" u="1"/>
        <s v="G0343" u="1"/>
        <s v="G0344" u="1"/>
        <s v="G0345" u="1"/>
        <s v="G0346" u="1"/>
        <s v="F029" u="1"/>
        <s v="GXLE030" u="1"/>
        <s v="GXLS023" u="1"/>
        <s v="RV054" u="1"/>
        <s v="URB041" u="1"/>
        <s v="URB042" u="1"/>
        <s v="URB037" u="1"/>
        <s v="URB038" u="1"/>
        <s v="URB039" u="1"/>
        <s v="URB040" u="1"/>
        <s v="URB030" u="1"/>
        <s v="URB032" u="1"/>
        <s v="G0297" u="1"/>
        <s v="G0332" u="1"/>
        <s v="G0333" u="1"/>
        <s v="G0334" u="1"/>
        <s v="G0335" u="1"/>
        <s v="G0348" u="1"/>
        <s v="G0336" u="1"/>
        <s v="G0337" u="1"/>
        <s v="G0338" u="1"/>
        <s v="G0339" u="1"/>
        <s v="G0341" u="1"/>
        <s v="GXLE017" u="1"/>
        <s v="GXLS028" u="1"/>
        <s v="GXLE027" u="1"/>
        <s v="GXL025" u="1"/>
        <s v="GXL020" u="1"/>
        <s v="GXL017" u="1"/>
        <s v="G0323" u="1"/>
        <s v="G0324" u="1"/>
        <s v="G0325" u="1"/>
        <s v="G0327" u="1"/>
        <s v="G0340" u="1"/>
        <s v="GXL023" u="1"/>
        <s v="G0329" u="1"/>
        <s v="G0330" u="1"/>
        <s v="G0328" u="1"/>
        <s v="G0312" u="1"/>
        <s v="G0331" u="1"/>
        <s v="URB024" u="1"/>
        <s v="URB026" u="1"/>
        <s v="URB027" u="1"/>
        <s v="URB029" u="1"/>
        <s v="URB025" u="1"/>
        <s v="G0294" u="1"/>
        <s v="GXL008" u="1"/>
        <s v="GXL009" u="1"/>
        <s v="GXL018" u="1"/>
        <s v="GXL019" u="1"/>
        <s v="G0319" u="1"/>
        <s v="G0320" u="1"/>
        <s v="GXL026" u="1"/>
        <s v="G0317" u="1"/>
        <s v="G0321" u="1"/>
        <s v="G0322" u="1"/>
        <s v="G0326" u="1"/>
        <s v="G0313" u="1"/>
        <s v="F026" u="1"/>
        <s v="F027" u="1"/>
        <s v="URB003" u="1"/>
        <s v="URB004" u="1"/>
        <s v="URB005" u="1"/>
        <s v="URB006" u="1"/>
        <s v="URB007" u="1"/>
        <s v="URB008" u="1"/>
        <s v="URB021" u="1"/>
        <s v="URB022" u="1"/>
        <s v="URB023" u="1"/>
        <s v="URB015" u="1"/>
        <s v="URB016" u="1"/>
        <s v="URB017" u="1"/>
        <s v="URB018" u="1"/>
        <s v="URB019" u="1"/>
        <s v="URB020" u="1"/>
        <s v="URB009" u="1"/>
        <s v="URB010" u="1"/>
        <s v="URB011" u="1"/>
        <s v="URB012" u="1"/>
        <s v="URB013" u="1"/>
        <s v="URB014" u="1"/>
        <s v="URB028" u="1"/>
        <s v="GXL024" u="1"/>
        <s v="G0301" u="1"/>
        <s v="GXL022" u="1"/>
        <s v="RV046" u="1"/>
        <s v="RV048" u="1"/>
        <s v="RV049" u="1"/>
        <s v="RV062" u="1"/>
        <s v="RV059" u="1"/>
        <s v="F028" u="1"/>
        <s v="RV051" u="1"/>
        <s v="RV060" u="1"/>
      </sharedItems>
    </cacheField>
    <cacheField name="KARAVAN_ADI" numFmtId="0">
      <sharedItems/>
    </cacheField>
    <cacheField name="ALT_KOD_TÜR" numFmtId="0">
      <sharedItems count="4">
        <s v="Hammadde"/>
        <s v="Ticarimal"/>
        <s v="Yarımamül" u="1"/>
        <s v="Mamül" u="1"/>
      </sharedItems>
    </cacheField>
    <cacheField name="ALT_KOD" numFmtId="0">
      <sharedItems count="1435">
        <s v="3DBK0099H005"/>
        <s v="ECTURB100003"/>
        <s v="HRXX0099H121"/>
        <s v="KMIZ0099H002"/>
        <s v="MKSF0099H086"/>
        <s v="HRXX0099H135"/>
        <s v="DSXX0099H020"/>
        <s v="KRXX0099H041"/>
        <s v="HRXX0099H189"/>
        <s v="KRXX0099H059"/>
        <s v="KMPY0099H005"/>
        <s v="KMPY0099H006"/>
        <s v="HRXX0099H138"/>
        <s v="HRXX0099H212"/>
        <s v="KRXX0099H042"/>
        <s v="KRXX0099H111"/>
        <s v="DSXX28DNH035"/>
        <s v="ELTS0099H036"/>
        <s v="HRXX0099H132"/>
        <s v="HRXX0099H147"/>
        <s v="HRXX0099H131"/>
        <s v="ELSF0099H031"/>
        <s v="HRXX0099H130"/>
        <s v="HRXX0099H165"/>
        <s v="HRXX0099H183"/>
        <s v="HRXX0099H197"/>
        <s v="HRXX0099H219"/>
        <s v="HRXX0099H149"/>
        <s v="HRXX0099H166"/>
        <s v="HRXX0099H181"/>
        <s v="HRXX0099H222"/>
        <s v="ELTS0099H026"/>
        <s v="ELSF0099H033"/>
        <s v="HRXX0099H161"/>
        <s v="HRXX0099H591"/>
        <s v="HRXX0099H145"/>
        <s v="DSXX0099H004"/>
        <s v="ELTS0099H022"/>
        <s v="ELSF0099H008"/>
        <s v="HRXX0099H127"/>
        <s v="3DBK0099H004"/>
        <s v="KRXX0099H108"/>
        <s v="KMPY0099H001"/>
        <s v="MKSF0099H001"/>
        <s v="KMIZ0099H001"/>
        <s v="MKTS0099H009"/>
        <s v="KMBY0099H045"/>
        <s v="HRXX0099H224"/>
        <s v="ECTURB100002"/>
        <s v="HRXX0099H134"/>
        <s v="HRXX0099H170"/>
        <s v="HRXX0099H177"/>
        <s v="KRXX0099H024"/>
        <s v="KMBY9005H009"/>
        <s v="MKSF0099H024"/>
        <s v="HRXX0099H227"/>
        <s v="KMIZ0099H011"/>
        <s v="HRXX0099H184"/>
        <s v="KMIZ0099H013"/>
        <s v="KMIZ0099H027"/>
        <s v="DSXXRM01H023"/>
        <s v="KRXX0099H056"/>
        <s v="KRXX0099H047"/>
        <s v="KMPY0099H011"/>
        <s v="HRXX0099H213"/>
        <s v="KRXX0099H045"/>
        <s v="HRXX0099H172"/>
        <s v="KMPY0099H004"/>
        <s v="KMPY0099H008"/>
        <s v="KMIZ0099H024"/>
        <s v="MKSF0099H027"/>
        <s v="HRXX0099H595"/>
        <s v="HRXX0099H175"/>
        <s v="HRXX0099H174"/>
        <s v="HRXX0099H590"/>
        <s v="KMIZ0099H006"/>
        <s v="ELSF0099H026"/>
        <s v="HRXX0099H143"/>
        <s v="3DBK0099H006"/>
        <s v="HRXX0099H203"/>
        <s v="HRXX0099H142"/>
        <s v="HRXX0099H173"/>
        <s v="KRXX0099H061"/>
        <s v="KMIZ0099H008"/>
        <s v="KMBY0099H040"/>
        <s v="KMIZ0099H015"/>
        <s v="KMIZ0099H029"/>
        <s v="HRXX0099H158"/>
        <s v="KRXX0099H029"/>
        <s v="MKTS0099H006"/>
        <s v="ELSF0099H032"/>
        <s v="KMIZ0099H016"/>
        <s v="MKSF0099H004"/>
        <s v="MKSF0099H020"/>
        <s v="MKTS0099H032"/>
        <s v="HRXX0099H299"/>
        <s v="KRXX0099H001"/>
        <s v="KRXX0099H086"/>
        <s v="MKSF0099H032"/>
        <s v="KMPY0099H013"/>
        <s v="HRXX0099H223"/>
        <s v="HRXX0099H133"/>
        <s v="MKSF0099H005"/>
        <s v="MKSF0099H063"/>
        <s v="DSXX0099H048"/>
        <s v="MKSF0099H006"/>
        <s v="MKSF0099H021"/>
        <s v="MKSF0099H003"/>
        <s v="MKTS0099H012"/>
        <s v="KRXX0099H087"/>
        <s v="MKTS0099H054"/>
        <s v="DSXX0099H061"/>
        <s v="ELSF0099H009"/>
        <s v="HRXX0099H137"/>
        <s v="KRXX0099H114"/>
        <s v="KRXX0099H322"/>
        <s v="KMPY0099H010"/>
        <s v="HRXX0099H185"/>
        <s v="HRXX0099H204"/>
        <s v="ELTS0099H006"/>
        <s v="HRXX0099H153"/>
        <s v="HRXX0099H217"/>
        <s v="DSXX0099H029"/>
        <s v="HRXX0099H144"/>
        <s v="HRXX0099H176"/>
        <s v="KRXX0099H039"/>
        <s v="ELTS0099H127"/>
        <s v="HRXX0099H604"/>
        <s v="HRXX0099H215"/>
        <s v="KMPY0099H019"/>
        <s v="MKSF0099H015"/>
        <s v="ELSF0099H127"/>
        <s v="ELSF0099H054"/>
        <s v="ELSF0099H074"/>
        <s v="ELSF0099H081"/>
        <s v="HRXX0099H320"/>
        <s v="ELSF0099H149"/>
        <s v="ELSF0099H088"/>
        <s v="HRXX0099H266"/>
        <s v="KMIZ0099H036"/>
        <s v="KMBY0099H059"/>
        <s v="HRXX0099H342"/>
        <s v="KRXX0099H130"/>
        <s v="KMPY0099H015"/>
        <s v="ELTS0099H070"/>
        <s v="ELTS0099H024"/>
        <s v="ELSF0099H038"/>
        <s v="MKTS0099H019"/>
        <s v="ELSF0099H007"/>
        <s v="ELTS0099H013"/>
        <s v="ELTS0099H025"/>
        <s v="ELSF0099H129"/>
        <s v="ELSF0099H180"/>
        <s v="HRXX0099H033"/>
        <s v="DSXXRM10H027"/>
        <s v="ELTS0099H023"/>
        <s v="KMBY0099H058"/>
        <s v="HRXX0099H336"/>
        <s v="KMBY0099H053"/>
        <s v="KRXX0099H218"/>
        <s v="ELSF0099H181"/>
        <s v="HRXX0099H338"/>
        <s v="MKSF0099H022"/>
        <s v="ELTS0099H064"/>
        <s v="HRXX0099H098"/>
        <s v="MKSF0099H043"/>
        <s v="MBAP0099H003"/>
        <s v="ELTS0099H101"/>
        <s v="HRXX0099H466"/>
        <s v="KRXX0099H027"/>
        <s v="ELTS0099H001"/>
        <s v="ELTS0099H124"/>
        <s v="KMBY0099H052"/>
        <s v="DSXX0099H050"/>
        <s v="MKSF0099H037"/>
        <s v="ELSF0099H006"/>
        <s v="ELSF0099H106"/>
        <s v="ELSF0099H137"/>
        <s v="HRXX0099H013"/>
        <s v="ELTS0099H042"/>
        <s v="MBAP0099H035"/>
        <s v="ELTS0099H057"/>
        <s v="HRXX0099H359"/>
        <s v="ELTS0099H030"/>
        <s v="MKSF0099H035"/>
        <s v="HRXX0099H445"/>
        <s v="ELSF0099H022"/>
        <s v="ELSF0099H086"/>
        <s v="ELTS0099H100"/>
        <s v="ELSF0099H023"/>
        <s v="HRXX0099H396"/>
        <s v="KMIZ0099H012"/>
        <s v="KMIZ0099H037"/>
        <s v="ELTS0099H069"/>
        <s v="ELSF0099H034"/>
        <s v="MBAP0099H042"/>
        <s v="MKSF0099H009"/>
        <s v="MKSF0099H025"/>
        <s v="ELSF0099H024"/>
        <s v="HRXX0099H521"/>
        <s v="MKSF0099H047"/>
        <s v="MKTS0099H086"/>
        <s v="MBAP0099H049"/>
        <s v="KRXX0099H234"/>
        <s v="HRXX0099H050"/>
        <s v="HRXX0099H202"/>
        <s v="KRXX0099H132"/>
        <s v="HRXX0099H523"/>
        <s v="HRXX0099H330"/>
        <s v="ELTS0099H045"/>
        <s v="KRXX0099H128"/>
        <s v="HRXX0099H417"/>
        <s v="HRXX0099H429"/>
        <s v="HRXX0099H311"/>
        <s v="HRXX0099H329"/>
        <s v="ELSF0099H125"/>
        <s v="HRXX0099H004"/>
        <s v="ELSF0099H085"/>
        <s v="ELTS0099H060"/>
        <s v="HRXX0099H001"/>
        <s v="HRXX0099H019"/>
        <s v="HRXX0099H067"/>
        <s v="HRXX0099H103"/>
        <s v="KMPY9016H003"/>
        <s v="MKSF0099H034"/>
        <s v="HRXX0099H097"/>
        <s v="ELTS0099H046"/>
        <s v="ELSF0099H132"/>
        <s v="MKTS0099H079"/>
        <s v="MKSF0099H038"/>
        <s v="HRXX0099H312"/>
        <s v="DSXX0099H055"/>
        <s v="HRXX0099H305"/>
        <s v="MKTS0099H010"/>
        <s v="HRXX0099H010"/>
        <s v="ELSF0099H131"/>
        <s v="ELSF0099H071"/>
        <s v="MKSF0099H056"/>
        <s v="HRXX0099H003"/>
        <s v="ELSF0099H119"/>
        <s v="KRXX0099H187"/>
        <s v="HRXX0099H328"/>
        <s v="MBAP0099H040"/>
        <s v="HRXX0099H592"/>
        <s v="HRXX0099H301"/>
        <s v="HRXX0099H303"/>
        <s v="HRXX0099H028"/>
        <s v="HRXX0099H053"/>
        <s v="ELSF0099H175"/>
        <s v="HRXX0099H009"/>
        <s v="HRXX0099H020"/>
        <s v="HRXX0099H095"/>
        <s v="HRXX0099H296"/>
        <s v="MKTS0099H039"/>
        <s v="MKTS0099H035"/>
        <s v="MKTS0099H030"/>
        <s v="HRXX0099H011"/>
        <s v="HRXX0099H029"/>
        <s v="HRXX0099H054"/>
        <s v="ELTS0099H058"/>
        <s v="MBAP0099H006"/>
        <s v="DSXX0099H047"/>
        <s v="HRXX0099H474"/>
        <s v="MBSF0099H005"/>
        <s v="ELSF0099H093"/>
        <s v="ELTS0099H048"/>
        <s v="KRXX0099H249"/>
        <s v="MKTS0099H053"/>
        <s v="MKSF0099H023"/>
        <s v="MBAP0099H041"/>
        <s v="HRXX0099H424"/>
        <s v="HRXX0099H081"/>
        <s v="HRXX0099H099"/>
        <s v="MKTS0099H033"/>
        <s v="ELTS0099H105"/>
        <s v="KMIZ0099H072"/>
        <s v="MKSF0099H039"/>
        <s v="MKSF0099H033"/>
        <s v="HRXX0099H120"/>
        <s v="MKTS0099H034"/>
        <s v="HRXX0099H070"/>
        <s v="HRXX0099H102"/>
        <s v="HRXX0099H059"/>
        <s v="MBAP0099H007"/>
        <s v="HRXX0099H084"/>
        <s v="HRXX0099H241"/>
        <s v="KMIZ0099H052"/>
        <s v="HRXX0099H457"/>
        <s v="HRXX0099H556"/>
        <s v="MKSF0099H026"/>
        <s v="MBAP0099H009"/>
        <s v="ELSF0099H136"/>
        <s v="HRXX0099H104"/>
        <s v="MKTS0099H085"/>
        <s v="ELSF0099H069"/>
        <s v="KRXX0099H232"/>
        <s v="MBAP1001H018"/>
        <s v="HRXX0099H259"/>
        <s v="KRXX0099H141"/>
        <s v="KRXX0099H147"/>
        <s v="MKSF0099H081"/>
        <s v="MKTS0099H124"/>
        <s v="HRXX0099H345"/>
        <s v="HRXX0099H421"/>
        <s v="HRXX0099H483"/>
        <s v="HRXX0099H258"/>
        <s v="HRXX0099H385"/>
        <s v="ELSF0099H105"/>
        <s v="MBAP1091H020"/>
        <s v="ELSF0099H183"/>
        <s v="KRXX0099H202"/>
        <s v="DSXX0099H106"/>
        <s v="GYSC0099T001"/>
        <s v="DSXX0099H062"/>
        <s v="MBAP0099H017"/>
        <s v="KMIZ0099H045"/>
        <s v="ELSF0099H140"/>
        <s v="HRXX0099H410"/>
        <s v="MKTS0099H118"/>
        <s v="KMBY5004H013"/>
        <s v="HRXX0099H526"/>
        <s v="MKTS0099H135"/>
        <s v="HRXX0099H386"/>
        <s v="HRXX0099H428"/>
        <s v="MKTS0099H133"/>
        <s v="MBAP6008H065"/>
        <s v="KRXX0099H349"/>
        <s v="MKTS0099H187"/>
        <s v="ELSF0099H210"/>
        <s v="HRXX0099H512"/>
        <s v="KRXX0099H257"/>
        <s v="MBAP1039H067"/>
        <s v="KRXX0099H332"/>
        <s v="HRXX0099H657"/>
        <s v="HRXX0099H406"/>
        <s v="HRXX0099H631"/>
        <s v="MKTS0099H146"/>
        <s v="MKTS0099H134"/>
        <s v="MKTS0099H136"/>
        <s v="HRXX0099H547"/>
        <s v="KMIZ0099H028"/>
        <s v="ELSF0099H178"/>
        <s v="DSXX0099H060"/>
        <s v="MBAP0099H010"/>
        <s v="ELTS0099H086"/>
        <s v="HRXX0099H558"/>
        <s v="ELSF0099H202"/>
        <s v="KRXX0099H350"/>
        <s v="ELTS0099H150"/>
        <s v="KRXX0099H391"/>
        <s v="ELSF0099H209"/>
        <s v="KRXX0099H421"/>
        <s v="ELTS0099H152"/>
        <s v="KRXX0099H348"/>
        <s v="DSXX0099H073"/>
        <s v="MKTS0099H125"/>
        <s v="MBAP0099H018"/>
        <s v="KMBY0099H057"/>
        <s v="KRXX0099H294"/>
        <s v="KRXX0099H333"/>
        <s v="MBAP0099H075"/>
        <s v="ELSF0099H208"/>
        <s v="ELSF0099H211"/>
        <s v="KMPY0657H025"/>
        <s v="MBAP0099H070"/>
        <s v="HRXX0099H418"/>
        <s v="HRXX0099H255"/>
        <s v="MKTS0099H131"/>
        <s v="HRXX0099H055"/>
        <s v="ELSF0099H141"/>
        <s v="HRXX0099H491"/>
        <s v="MBAP6004H064"/>
        <s v="MBAP3080H069"/>
        <s v="MKTS0099H130"/>
        <s v="HRXX0099H551"/>
        <s v="MBSF0099H006"/>
        <s v="HRXX0099H484"/>
        <s v="KRXX0099H356"/>
        <s v="MKTS0099H123"/>
        <s v="KRXX0099H400"/>
        <s v="ELTS0099H163"/>
        <s v="HRXX0099H565"/>
        <s v="HRXX0099H566"/>
        <s v="MKTS0099H143"/>
        <s v="HRXX0099H490"/>
        <s v="ELTS0099H096"/>
        <s v="DSXX0099H064"/>
        <s v="KRXX0099H394"/>
        <s v="MKTS0099H147"/>
        <s v="KRXX0099H315"/>
        <s v="ELSF0099H185"/>
        <s v="ELSF0099H189"/>
        <s v="KMPY9016H026"/>
        <s v="ELSF0099H078"/>
        <s v="HRXX0099H564"/>
        <s v="MBAP1001H063"/>
        <s v="KRXX0099H336"/>
        <s v="KMBY5004H009"/>
        <s v="KRXX0099H355"/>
        <s v="ELTS0099H068"/>
        <s v="MKTS0099H122"/>
        <s v="MKTS0099H129"/>
        <s v="ELSF0099H184"/>
        <s v="MKTS0099H119"/>
        <s v="KRXX0099H405"/>
        <s v="KMPY0099H023"/>
        <s v="KRXX0099H449"/>
        <s v="ELTS0099H095"/>
        <s v="KRXX0099H329"/>
        <s v="ELSF0099H203"/>
        <s v="KRXX0099H352"/>
        <s v="HRXX0099H658"/>
        <s v="MKTS0099H206"/>
        <s v="MKTS0099H207"/>
        <s v="MKTS0099H226"/>
        <s v="ELSF0099H090"/>
        <s v="ELSF0099H083"/>
        <s v="KRXX0099H178"/>
        <s v="ELSF0099H186"/>
        <s v="KRXX0099H404"/>
        <s v="DSXX0099H104"/>
        <s v="HRXX0099H654"/>
        <s v="KRXX0099H418"/>
        <s v="MKTS0099H098"/>
        <s v="MKSF0099H080"/>
        <s v="HRXX0099H471"/>
        <s v="KMIZ0099H054"/>
        <s v="KMIZ0099H059"/>
        <s v="MBAP0099H019"/>
        <s v="ELTS0099H129"/>
        <s v="ELTS0099H132"/>
        <s v="ELTS0099H160"/>
        <s v="KRXX0099H451"/>
        <s v="UBAU0099H013"/>
        <s v="HRXX0099H615"/>
        <s v="ELSF0099H213"/>
        <s v="KRXX0099H417"/>
        <s v="ELTS0099H158"/>
        <s v="MBAP4236H027"/>
        <s v="ELSF0099H200"/>
        <s v="HRXX0099H056"/>
        <s v="KRXX0099H211"/>
        <s v="MKTS0099H175"/>
        <s v="MKTS0099H128"/>
        <s v="KMIZ0099H057"/>
        <s v="KMIZ0099H058"/>
        <s v="ELSF0099H188"/>
        <s v="ELTS0099H131"/>
        <s v="MKTS0099H172"/>
        <s v="MKTS0099H174"/>
        <s v="HRXX0099H021"/>
        <s v="MKTS0099H080"/>
        <s v="MKTS0099H120"/>
        <s v="MKTS0099H121"/>
        <s v="HRXX0099H555"/>
        <s v="DSXX0099H110"/>
        <s v="DSXX0099H044"/>
        <s v="MKSF0099H109"/>
        <s v="KRXX0099H287"/>
        <s v="HRXX0099H058"/>
        <s v="KRXX0099H351"/>
        <s v="ELSF0099H196"/>
        <s v="KRXX0099H420"/>
        <s v="MKTS0099H205"/>
        <s v="ELSF0099H197"/>
        <s v="KMIZ0099H070"/>
        <s v="MKSF0099H105"/>
        <s v="HRXX0099H105"/>
        <s v="KMMK0099H001"/>
        <s v="MKTS0099H184"/>
        <s v="ELSF0099H207"/>
        <s v="ELSF0099H212"/>
        <s v="KRXX0099H436"/>
        <s v="KRXX0099H446"/>
        <s v="HRXX0099H656"/>
        <s v="ELTS0099H052"/>
        <s v="KRXX0099H392"/>
        <s v="ELTS0099H161"/>
        <s v="MKTS0099H097"/>
        <s v="KRXX0099H169"/>
        <s v="KRXX0099H448"/>
        <s v="KMBY5004H011"/>
        <s v="ELTS0099H166"/>
        <s v="HRXX0099H589"/>
        <s v="UBAU0099H043"/>
        <s v="HRXX0099H112"/>
        <s v="MKTS0099H182"/>
        <s v="KMBY5004H008"/>
        <s v="MKTS0099H189"/>
        <s v="ELTS0099H134"/>
        <s v="ELTS0099H154"/>
        <s v="MBAP0099H071"/>
        <s v="ELSF0099H146"/>
        <s v="HRXX0099H373"/>
        <s v="HRXX0099H579"/>
        <s v="KRXX0099H014"/>
        <s v="MKTS0099H142"/>
        <s v="HRXX0099H614"/>
        <s v="KRXX0099H431"/>
        <s v="HRXX0099H113"/>
        <s v="MKTS0099H139"/>
        <s v="KRXX0099H399"/>
        <s v="MKTS0099H138"/>
        <s v="KRXX0099H048"/>
        <s v="HRXX0099H645"/>
        <s v="MKTS0099H209"/>
        <s v="KRXX0099H393"/>
        <s v="MKTS0099H140"/>
        <s v="MBAP1098H021"/>
        <s v="HRXX0099H560"/>
        <s v="KRXX0099H291"/>
        <s v="HRXX0099H644"/>
        <s v="KMBY0099H063"/>
        <s v="KRXX0099H452"/>
        <s v="HRXX0099H603"/>
        <s v="ATLS0099H002"/>
        <s v="MKTS0099H141"/>
        <s v="KRXX0099H371" u="1"/>
        <s v="HRXX0099H543" u="1"/>
        <s v="GLGH0099Y001" u="1"/>
        <s v="MKTS0099H031" u="1"/>
        <s v="NMN441" u="1"/>
        <s v="HRXX0099H214" u="1"/>
        <s v="HRXX0099H163" u="1"/>
        <s v="HRXX0099H186" u="1"/>
        <s v="MKTS0099H158" u="1"/>
        <s v="KRXX0099H074" u="1"/>
        <s v="KRXX0099H305" u="1"/>
        <s v="HRXX0099H162" u="1"/>
        <s v="MKSF0099H040" u="1"/>
        <s v="HRXX0099H156" u="1"/>
        <s v="ELTS0099H126" u="1"/>
        <s v="MBSF0099H007" u="1"/>
        <s v="KRXX0099H107" u="1"/>
        <s v="HRXX0099H576" u="1"/>
        <s v="HRXX0099H146" u="1"/>
        <s v="HRXX0099H179" u="1"/>
        <s v="KMPY0099H009" u="1"/>
        <s v="KRXX0099H302" u="1"/>
        <s v="ELTS0099H012" u="1"/>
        <s v="HRXX0099H139" u="1"/>
        <s v="KRXX0099H053" u="1"/>
        <s v="KRXX0099H034" u="1"/>
        <s v="KRXX0099H301" u="1"/>
        <s v="HRXX0099H190" u="1"/>
        <s v="ELSF0099H042" u="1"/>
        <s v="MKSF0099H014" u="1"/>
        <s v="MKTS0099H028" u="1"/>
        <s v="KMPY0099H012" u="1"/>
        <s v="KRXX0099H090" u="1"/>
        <s v="ELSF0099H044" u="1"/>
        <s v="MKSF0099H002" u="1"/>
        <s v="MKSF0099H028" u="1"/>
        <s v="KMIZ0099H034" u="1"/>
        <s v="MBAP0099H038" u="1"/>
        <s v="MKSF0099H068" u="1"/>
        <s v="ELSF0099H117" u="1"/>
        <s v="HRXX0099H478" u="1"/>
        <s v="ELTS0099H041" u="1"/>
        <s v="ELTS0099H040" u="1"/>
        <s v="HRXX0099H310" u="1"/>
        <s v="ELTS0099H085" u="1"/>
        <s v="MKSF0099H050" u="1"/>
        <s v="KRXX0099H135" u="1"/>
        <s v="MKTS0099H022" u="1"/>
        <s v="ELSF0099H052" u="1"/>
        <s v="ELSF0099H104" u="1"/>
        <s v="ELSF0099H037" u="1"/>
        <s v="ELSF0099H053" u="1"/>
        <s v="ELSF0099H045" u="1"/>
        <s v="MKSF0099H083" u="1"/>
        <s v="ELSF0099H118" u="1"/>
        <s v="ELSF0099H039" u="1"/>
        <s v="MKTS0099H027" u="1"/>
        <s v="ELSF0099H040" u="1"/>
        <s v="ELSF0099H021" u="1"/>
        <s v="ELSF0099H041" u="1"/>
        <s v="MBAP0099H045" u="1"/>
        <s v="KRXX0099H120" u="1"/>
        <s v="KRXX0099H116" u="1"/>
        <s v="HRXX0099H370" u="1"/>
        <s v="HRXX0099H101" u="1"/>
        <s v="MBAP0099H011" u="1"/>
        <s v="MKSF0099H046" u="1"/>
        <s v="HRXX0099H307" u="1"/>
        <s v="HRXX0099H630" u="1"/>
        <s v="HRXX0099H290" u="1"/>
        <s v="MKTS0099H083" u="1"/>
        <s v="HRXX0099H110" u="1"/>
        <s v="UBAU0099H040" u="1"/>
        <s v="ELSF0099H036" u="1"/>
        <s v="MKTS0099H082" u="1"/>
        <s v="ELTS0099H087" u="1"/>
        <s v="KRXX0099H254" u="1"/>
        <s v="KRXX0099H256" u="1"/>
        <s v="KRXX0099H265" u="1"/>
        <s v="MBAP0099H020" u="1"/>
        <s v="KRXX0099H270" u="1"/>
        <s v="ELTS0099H119" u="1"/>
        <s v="KRXX0099H293" u="1"/>
        <s v="DSXX0099H102" u="1"/>
        <s v="MKTS0099H201" u="1"/>
        <s v="HRXX0099H393" u="1"/>
        <s v="MKTS0099H202" u="1"/>
        <s v="HRXX0099H005" u="1"/>
        <s v="HRXX0099H073" u="1"/>
        <s v="ELSF0099H182" u="1"/>
        <s v="HRXX0099H531" u="1"/>
        <s v="MKTS0099H117" u="1"/>
        <s v="KRXX0099H408" u="1"/>
        <s v="HRXX0099H006" u="1"/>
        <s v="KRXX0099H247" u="1"/>
        <s v="HRXX0099H518" u="1"/>
        <s v="MBAP3080H072" u="1"/>
        <s v="HRXX0099H371" u="1"/>
        <s v="MBSF0099H004" u="1"/>
        <s v="KRXX0099H409" u="1"/>
        <s v="HRXX0099H583" u="1"/>
        <s v="KRXX0099H273" u="1"/>
        <s v="MKSF0099H111" u="1"/>
        <s v="MKTS0099H060" u="1"/>
        <s v="KMPY0099H018" u="1"/>
        <s v="ELTS0099H130" u="1"/>
        <s v="KDMK0099Y001" u="1"/>
        <s v="KRXX0099H284" u="1"/>
        <s v="MKTS0099H180" u="1"/>
        <s v="NMN456" u="1"/>
        <s v="KRXX0099H140" u="1"/>
        <s v="MKTS0099H178" u="1"/>
        <s v="KRXX0099H383" u="1"/>
        <s v="MKTS0099H068" u="1"/>
        <s v="ELSF0099H138" u="1"/>
        <s v="KMIZ0099H061" u="1"/>
        <s v="MBAP0099H065" u="1"/>
        <s v="MKSF0099H108" u="1"/>
        <s v="KRXX0099H309" u="1"/>
        <s v="MKTS0099H113" u="1"/>
        <s v="ELTS0099H084" u="1"/>
        <s v="DSXX0099H100" u="1"/>
        <s v="KRXX0099H240" u="1"/>
        <s v="MBAP0099H067" u="1"/>
        <s v="KMBY5004H010" u="1"/>
        <s v="ELSF0099H204" u="1"/>
        <s v="HRXX0099H578" u="1"/>
        <s v="KMIZ0099H062" u="1"/>
        <s v="DSXX0099H101" u="1"/>
        <s v="MKXX0099H002" u="1"/>
        <s v="MKTS0099H179" u="1"/>
        <s v="MBAP0099H053" u="1"/>
        <s v="KRXX0099H407" u="1"/>
        <s v="MKTS0099H170" u="1"/>
        <s v="KRXX0099H292" u="1"/>
        <s v="MBAP3080H070" u="1"/>
        <s v="KRXX0099H286" u="1"/>
        <s v="ELTS0099H133" u="1"/>
        <s v="ATLS0099H010" u="1"/>
        <s v="KRXX0099H410" u="1"/>
        <s v="MKSF0099H110" u="1"/>
        <s v="MKSF0099H112" u="1"/>
        <s v="MKSF0099H041" u="1"/>
        <s v="KRXX0099H368" u="1"/>
        <s v="KRXX0099H412" u="1"/>
        <s v="KRXX0099H406" u="1"/>
        <s v="KRXX0099H411" u="1"/>
        <s v="ELTS0099H067" u="1"/>
        <s v="HRXX0099H610" u="1"/>
        <s v="HRXX0099H525" u="1"/>
        <s v="3DBK0099H012" u="1"/>
        <s v="ATLS0099H007" u="1"/>
        <s v="ATLS0099H009" u="1"/>
        <s v="ATLS0099H015" u="1"/>
        <s v="ATLS0099H029" u="1"/>
        <s v="DSXX0099H001" u="1"/>
        <s v="DSXX0099H043" u="1"/>
        <s v="ELTS0099H035" u="1"/>
        <s v="HRXX0099H031" u="1"/>
        <s v="HRXX0099H049" u="1"/>
        <s v="HRXX0099H052" u="1"/>
        <s v="HRXX0099H060" u="1"/>
        <s v="HRXX0099H062" u="1"/>
        <s v="HRXX0099H065" u="1"/>
        <s v="HRXX0099H178" u="1"/>
        <s v="HRXX0099H237" u="1"/>
        <s v="HRXX0099H394" u="1"/>
        <s v="HRXX0099H443" u="1"/>
        <s v="HRXX0099H444" u="1"/>
        <s v="HRXX0099H448" u="1"/>
        <s v="HRXX0099H586" u="1"/>
        <s v="KMBY0099H070" u="1"/>
        <s v="KMBY0099H092" u="1"/>
        <s v="KMBY5004H016" u="1"/>
        <s v="KRXX0099H026" u="1"/>
        <s v="KRXX0099H076" u="1"/>
        <s v="KRXX0099H263" u="1"/>
        <s v="KRXX0099H283" u="1"/>
        <s v="KRXX0099H419" u="1"/>
        <s v="KRXX0099H422" u="1"/>
        <s v="MBAP0099H044" u="1"/>
        <s v="MKTS0099H200" u="1"/>
        <s v="PRC019" u="1"/>
        <s v="PRC020" u="1"/>
        <s v="UBAU0099H009" u="1"/>
        <s v="MKTS0099H185" u="1"/>
        <s v="ELTS0099H137" u="1"/>
        <s v="ELTS0099H138" u="1"/>
        <s v="HRXX0099H352" u="1"/>
        <s v="KRXX0099H038" u="1"/>
        <s v="KRXX0099H073" u="1"/>
        <s v="KRXX0099H093" u="1"/>
        <s v="KRXX0099H117" u="1"/>
        <s v="KRXX0099H118" u="1"/>
        <s v="KRXX0099H369" u="1"/>
        <s v="KRXX0099H146" u="1"/>
        <s v="ELTS0099H147" u="1"/>
        <s v="HRXX0099H392" u="1"/>
        <s v="HRXX0099H629" u="1"/>
        <s v="UBAU0099H042" u="1"/>
        <s v="DSXX0099H079" u="1"/>
        <s v="DSXXRM13H044" u="1"/>
        <s v="ELSF0099H013" u="1"/>
        <s v="ELSF0099H015" u="1"/>
        <s v="ELSF0099H017" u="1"/>
        <s v="ELSF0099H027" u="1"/>
        <s v="ELSF0099H028" u="1"/>
        <s v="ELSF0099H029" u="1"/>
        <s v="ELSF0099H113" u="1"/>
        <s v="ELSF0099H172" u="1"/>
        <s v="ELSF0099H173" u="1"/>
        <s v="ELSF0099H174" u="1"/>
        <s v="HRXX0099H188" u="1"/>
        <s v="HRXX0099H326" u="1"/>
        <s v="HRXX0099H542" u="1"/>
        <s v="HRXX0099H582" u="1"/>
        <s v="KMIZ0099H051" u="1"/>
        <s v="KRXX0099H268" u="1"/>
        <s v="KRXX0099H427" u="1"/>
        <s v="KRXX0099H429" u="1"/>
        <s v="MBSF0099H010" u="1"/>
        <s v="UBAU0099H022" u="1"/>
        <s v="ELSF0099H014" u="1"/>
        <s v="ELTS0099H039" u="1"/>
        <s v="DSXX0099H068" u="1"/>
        <s v="ABSR0099H005" u="1"/>
        <s v="ABSR0099H006" u="1"/>
        <s v="HRXX0099H187" u="1"/>
        <s v="HRXX0099H327" u="1"/>
        <s v="ELSF0099H019" u="1"/>
        <s v="ELTS0099H071" u="1"/>
        <s v="HRXX0099H380" u="1"/>
        <s v="ELSF0099H112" u="1"/>
        <s v="ELSF0099H016" u="1"/>
        <s v="HRXX0099H257" u="1"/>
        <s v="MBAP1076H019" u="1"/>
        <s v="HRXX0099H015" u="1"/>
        <s v="KRXX0099H401" u="1"/>
        <s v="KRXX0099H389" u="1"/>
        <s v="KMIZ0099H071" u="1"/>
        <s v="KRXX0099H430" u="1"/>
        <s v="HRXX0099H540" u="1"/>
        <s v="MKSF0099H008" u="1"/>
        <s v="ATLS0099H004" u="1"/>
        <s v="ATLS0099H008" u="1"/>
        <s v="ATLS0099H011" u="1"/>
        <s v="ATLS0099H012" u="1"/>
        <s v="ATLS0099H013" u="1"/>
        <s v="ATLS0099H016" u="1"/>
        <s v="ATLS0099H018" u="1"/>
        <s v="DSXXRM02H024" u="1"/>
        <s v="ECTURB100001" u="1"/>
        <s v="ELTS0099H002" u="1"/>
        <s v="HRXX0099H074" u="1"/>
        <s v="HRXX0099H076" u="1"/>
        <s v="HRXX0099H210" u="1"/>
        <s v="HRXX0099H218" u="1"/>
        <s v="HRXX0099H539" u="1"/>
        <s v="HRXX0099H659" u="1"/>
        <s v="KMBY7016H001" u="1"/>
        <s v="KMIZ0099H042" u="1"/>
        <s v="KMIZ0099H075" u="1"/>
        <s v="KRXX0099H297" u="1"/>
        <s v="KRXX0099H432" u="1"/>
        <s v="KRXX0099H435" u="1"/>
        <s v="MBAP0099H008" u="1"/>
        <s v="MBSF0099H009" u="1"/>
        <s v="MKSF0099H036" u="1"/>
        <s v="MKTS0099H014" u="1"/>
        <s v="MKTS0099H016" u="1"/>
        <s v="MKTS0099H203" u="1"/>
        <s v="MKTS0099H204" u="1"/>
        <s v="NMN491" u="1"/>
        <s v="ORCAMP046-Y" u="1"/>
        <s v="PRS2022005" u="1"/>
        <s v="DSXXRM04H025" u="1"/>
        <s v="ELSF0099H051" u="1"/>
        <s v="HRXX0099H419" u="1"/>
        <s v="HRXX0099H624" u="1"/>
        <s v="HRXX0099H625" u="1"/>
        <s v="KRXX0099H031" u="1"/>
        <s v="DSXX0099H007" u="1"/>
        <s v="ELTS0099H063" u="1"/>
        <s v="MKTS0099H017" u="1"/>
        <s v="ATLS0099H017" u="1"/>
        <s v="ATLS0099H019" u="1"/>
        <s v="ELTS0099H159" u="1"/>
        <s v="HRXX0099H354" u="1"/>
        <s v="HRXX0099H609" u="1"/>
        <s v="ORCAMP111-KI" u="1"/>
        <s v="KRXX0099H151" u="1"/>
        <s v="KRXX0099H359" u="1"/>
        <s v="KRXX0099H361" u="1"/>
        <s v="KRXX0099H206" u="1"/>
        <s v="ELTS0099H139" u="1"/>
        <s v="KRXX0099H363" u="1"/>
        <s v="KRXX0099H281" u="1"/>
        <s v="KMBY6013H006" u="1"/>
        <s v="3DBK0099H011" u="1"/>
        <s v="KRXX0099H084" u="1"/>
        <s v="MKSF0099H010" u="1"/>
        <s v="ELTS0099H050" u="1"/>
        <s v="ELSF0099H096" u="1"/>
        <s v="HRXX0099H051" u="1"/>
        <s v="HRXX0099H057" u="1"/>
        <s v="KRXX0099H098" u="1"/>
        <s v="KMPY0099H007" u="1"/>
        <s v="KMIZ0099H009" u="1"/>
        <s v="ELTS0099H062" u="1"/>
        <s v="HRXX0099H377" u="1"/>
        <s v="HRXX0099H379" u="1"/>
        <s v="KMBY0099H064" u="1"/>
        <s v="KRXX0099H233" u="1"/>
        <s v="NMN223" u="1"/>
        <s v="ABSR0099H011" u="1"/>
        <s v="KMPY0099H022" u="1"/>
        <s v="KRXX0099H344" u="1"/>
        <s v="KRXX0099H372" u="1"/>
        <s v="KRXX0099H384" u="1"/>
        <s v="KRXX0099H366" u="1"/>
        <s v="KRXX0099H385" u="1"/>
        <s v="ELTS0099H003" u="1"/>
        <s v="ABSR0099H002" u="1"/>
        <s v="ELTS0099H051" u="1"/>
        <s v="ELXX0099H001" u="1"/>
        <s v="HRXX0099H637" u="1"/>
        <s v="MKTS0099H177" u="1"/>
        <s v="ELTS0099H144" u="1"/>
        <s v="ELXX0099H002" u="1"/>
        <s v="KRXX0099H180" u="1"/>
        <s v="KRXX0099H142" u="1"/>
        <s v="KRXX0099H373" u="1"/>
        <s v="NMN440" u="1"/>
        <s v="ELSF0099H075" u="1"/>
        <s v="ELSF0099H193" u="1"/>
        <s v="ELSF0099H194" u="1"/>
        <s v="ELSF0099H205" u="1"/>
        <s v="ELTS0099H145" u="1"/>
        <s v="ELTS0099H146" u="1"/>
        <s v="HRXX0099H500" u="1"/>
        <s v="KRXX0099H079" u="1"/>
        <s v="KRXX0099H382" u="1"/>
        <s v="NMN449" u="1"/>
        <s v="ELTS0099H072" u="1"/>
        <s v="KRXX0099H353" u="1"/>
        <s v="ELTS0099H148" u="1"/>
        <s v="HRXX0099H064" u="1"/>
        <s v="HRXX0099H207" u="1"/>
        <s v="KMBY0099H060" u="1"/>
        <s v="KMIZ0099H004" u="1"/>
        <s v="KRXX0099H054" u="1"/>
        <s v="MBAP0099H032" u="1"/>
        <s v="KMBY5004H012" u="1"/>
        <s v="KRXX0099H282" u="1"/>
        <s v="3DBK0099H001" u="1"/>
        <s v="3DBK0099H002" u="1"/>
        <s v="3DBK0099H007" u="1"/>
        <s v="3DBK0099H013" u="1"/>
        <s v="3DBK0099H015" u="1"/>
        <s v="ABSR0099H003" u="1"/>
        <s v="ELSF0099H084" u="1"/>
        <s v="ELTS0099H047" u="1"/>
        <s v="ELTS0099H104" u="1"/>
        <s v="ELTS0099H108" u="1"/>
        <s v="GBZK0099Y002" u="1"/>
        <s v="GLCM0099Y001" u="1"/>
        <s v="GLCM0099Y002" u="1"/>
        <s v="GLDA0099Y001" u="1"/>
        <s v="GLKI0099Y001" u="1"/>
        <s v="GLXL0099Y003" u="1"/>
        <s v="GLYA0099Y001" u="1"/>
        <s v="HRXX0099H580" u="1"/>
        <s v="KMBY9016H002" u="1"/>
        <s v="KRXX0099H091" u="1"/>
        <s v="KRXX0099H319" u="1"/>
        <s v="MKSF0099H089" u="1"/>
        <s v="MKTS0099H042" u="1"/>
        <s v="MKTS0099H049" u="1"/>
        <s v="MKTS0099H153" u="1"/>
        <s v="MKTS0099H159" u="1"/>
        <s v="SESM0110Y002" u="1"/>
        <s v="UBCD0099Y001" u="1"/>
        <s v="XLDK0099Y002" u="1"/>
        <s v="XLKD0099Y001" u="1"/>
        <s v="XLMB0099Y005" u="1"/>
        <s v="XLMT0099Y002" u="1"/>
        <s v="XLPT0099Y002" u="1"/>
        <s v="XLSF0099Y003" u="1"/>
        <s v="XLTT0099Y002" u="1"/>
        <s v="XLYT0099Y001" u="1"/>
        <s v="KMIZ0099H031" u="1"/>
        <s v="HRXX0099H082" u="1"/>
        <s v="UBAU0099H023" u="1"/>
        <s v="HRXX0099H037" u="1"/>
        <s v="HRXX0099H032" u="1"/>
        <s v="KMBY0099H037" u="1"/>
        <s v="KMBY0099H050" u="1"/>
        <s v="KMBY0099H051" u="1"/>
        <s v="HRXX0099H129" u="1"/>
        <s v="HRXX0099H002" u="1"/>
        <s v="HRXX0099H493" u="1"/>
        <s v="MKSF0099H061" u="1"/>
        <s v="MKSF0099H012" u="1"/>
        <s v="ARGE0099H109" u="1"/>
        <s v="ARGE0099H111" u="1"/>
        <s v="ARGE0099H112" u="1"/>
        <s v="ARGE0099H114" u="1"/>
        <s v="ARGE0099H110" u="1"/>
        <s v="202X1253" u="1"/>
        <s v="KMBY0099H041" u="1"/>
        <s v="HRXX0099H337" u="1"/>
        <s v="HRXX0099H460" u="1"/>
        <s v="ELTS0099H103" u="1"/>
        <s v="KRXX0099H239" u="1"/>
        <s v="KRXX0099H342" u="1"/>
        <s v="ARGE0099H113" u="1"/>
        <s v="KRXX0099H354" u="1"/>
        <s v="153-KMBY9005H009" u="1"/>
        <s v="ELSF0099H201" u="1"/>
        <s v="ELTS0099H123" u="1"/>
        <s v="KRXX0099H377" u="1"/>
        <s v="KRXX0099H378" u="1"/>
        <s v="KRXX0099H379" u="1"/>
        <s v="NMN362" u="1"/>
        <s v="DSXX0099H063" u="1"/>
        <s v="HRXX0099H045" u="1"/>
        <s v="ELSF0099H065" u="1"/>
        <s v="HRXX0099H431" u="1"/>
        <s v="ECTURB100004" u="1"/>
        <s v="XLTT0099Y001" u="1"/>
        <s v="GLXL0099Y004" u="1"/>
        <s v="XLPT0099Y001" u="1"/>
        <s v="SESM0205Y001" u="1"/>
        <s v="ELSF0099H066" u="1"/>
        <s v="XLDK0099Y001" u="1"/>
        <s v="XLMB0099Y002" u="1"/>
        <s v="KMIZ0099H066" u="1"/>
        <s v="XLSF0099Y001" u="1"/>
        <s v="ELSF0099H108" u="1"/>
        <s v="153-GLGH0099Y001" u="1"/>
        <s v="HRXX0099H411" u="1"/>
        <s v="153-ELTS0099H100" u="1"/>
        <s v="HRXX0099H168" u="1"/>
        <s v="153-ELSF0099H146" u="1"/>
        <s v="KRXX0099H008" u="1"/>
        <s v="KRXX0099H390" u="1"/>
        <s v="UBAU0099H036" u="1"/>
        <s v="ELTS0099H073" u="1"/>
        <s v="HRXX0099H465" u="1"/>
        <s v="GLPT0099Y001" u="1"/>
        <s v="MKTS0099H015" u="1"/>
        <s v="UBAU0099H037" u="1"/>
        <s v="GLTT0099Y001" u="1"/>
        <s v="MKTS0099H154" u="1"/>
        <s v="3DPT0099Y014" u="1"/>
        <s v="153-KMIZ0099H062" u="1"/>
        <s v="HRXX0099H182" u="1"/>
        <s v="UBAU0099H033" u="1"/>
        <s v="3DPT0099Y013" u="1"/>
        <s v="UBAU0099H034" u="1"/>
        <s v="HRXX0099H623" u="1"/>
        <s v="UBAU0099H035" u="1"/>
        <s v="MKTS0099H173" u="1"/>
        <s v="KMBY1001H004" u="1"/>
        <s v="DSXX0099H099" u="1"/>
        <s v="UBAU0099H011" u="1"/>
        <s v="DSXX0099H069" u="1"/>
        <s v="DSXXRM05H026" u="1"/>
        <s v="UBAU0099H007" u="1"/>
        <s v="NMN138" u="1"/>
        <s v="KMPY5011H024" u="1"/>
        <s v="KMBY5011H088" u="1"/>
        <s v="NMN335" u="1"/>
        <s v="ARGE0099H088" u="1"/>
        <s v="HRXX0099H108" u="1"/>
        <s v="KMBY0099H055" u="1"/>
        <s v="KMBY0099H054" u="1"/>
        <s v="KMBY0099H066" u="1"/>
        <s v="DSXX0099H070" u="1"/>
        <s v="ECTURB100043" u="1"/>
        <s v="ELSF0099H003" u="1"/>
        <s v="ELSF0099H005" u="1"/>
        <s v="ELSF0099H133" u="1"/>
        <s v="ELSF0099H135" u="1"/>
        <s v="ELTS0099H034" u="1"/>
        <s v="ELTS0099H107" u="1"/>
        <s v="ELTS0099H120" u="1"/>
        <s v="ELTS0099H121" u="1"/>
        <s v="ELTS0099H122" u="1"/>
        <s v="GBZK0099Y001" u="1"/>
        <s v="GLAP0099Y001" u="1"/>
        <s v="GLAT0099Y001" u="1"/>
        <s v="GLBK0099Y003" u="1"/>
        <s v="GLBK0099Y004" u="1"/>
        <s v="GLBO0099Y001" u="1"/>
        <s v="GLBZ0099Y001" u="1"/>
        <s v="GLBZ0099Y002" u="1"/>
        <s v="GLBZ0099Y003" u="1"/>
        <s v="GLDK0099Y001" u="1"/>
        <s v="GLDP0099Y001" u="1"/>
        <s v="GLEA0099Y001" u="1"/>
        <s v="GLKD0099Y001" u="1"/>
        <s v="GLKL0099Y001" u="1"/>
        <s v="GLKM0099Y001" u="1"/>
        <s v="GLKS1001Y001" u="1"/>
        <s v="GLKS1001Y002" u="1"/>
        <s v="GLKS1091Y001" u="1"/>
        <s v="GLMB0099Y001" u="1"/>
        <s v="GLMB0099Y002" u="1"/>
        <s v="GLMB0099Y003" u="1"/>
        <s v="GLMB0099Y004" u="1"/>
        <s v="GLMB0099Y005" u="1"/>
        <s v="GLMB0099Y006" u="1"/>
        <s v="GLMT0099Y001" u="1"/>
        <s v="GLMT0099Y002" u="1"/>
        <s v="GLMT0099Y003" u="1"/>
        <s v="GLSF0099Y001" u="1"/>
        <s v="GLSF0099Y002" u="1"/>
        <s v="GLTM0099Y001" u="1"/>
        <s v="GLXL0099Y005" u="1"/>
        <s v="GLXL0099Y009" u="1"/>
        <s v="GLYT0099Y001" u="1"/>
        <s v="GLYT0099Y002" u="1"/>
        <s v="HRXX0099H501" u="1"/>
        <s v="HRXX0099H502" u="1"/>
        <s v="HRXX0099H573" u="1"/>
        <s v="HRXX0099H574" u="1"/>
        <s v="KMBY9016H010" u="1"/>
        <s v="KMIZ0099H030" u="1"/>
        <s v="KRXX0099H015" u="1"/>
        <s v="KRXX0099H066" u="1"/>
        <s v="KRXX0099H083" u="1"/>
        <s v="KRXX0099H127" u="1"/>
        <s v="KRXX0099H209" u="1"/>
        <s v="KRXX0099H219" u="1"/>
        <s v="KRXX0099H228" u="1"/>
        <s v="KRXX0099H235" u="1"/>
        <s v="KRXX0099H236" u="1"/>
        <s v="KRXX0099H248" u="1"/>
        <s v="KRXX0099H264" u="1"/>
        <s v="KRXX0099H269" u="1"/>
        <s v="KRXX0099H275" u="1"/>
        <s v="KRXX0099H277" u="1"/>
        <s v="KRXX0099H278" u="1"/>
        <s v="KRXX0099H288" u="1"/>
        <s v="KRXX0099H299" u="1"/>
        <s v="KRXX0099H306" u="1"/>
        <s v="KRXX0099H307" u="1"/>
        <s v="KRXX0099H308" u="1"/>
        <s v="KRXX0099H316" u="1"/>
        <s v="KRXX0099H343" u="1"/>
        <s v="MKTS0099H062" u="1"/>
        <s v="MKTS0099H152" u="1"/>
        <s v="MKTS0099H161" u="1"/>
        <s v="MKTS0099H162" u="1"/>
        <s v="RVMB0099Y003" u="1"/>
        <s v="RVSF0099Y001" u="1"/>
        <s v="SESM0170Y003" u="1"/>
        <s v="UBAU0099Y005" u="1"/>
        <s v="XLDK0099Y003" u="1"/>
        <s v="XLMB0099Y001" u="1"/>
        <s v="XLMB0099Y003" u="1"/>
        <s v="XLMB0099Y006" u="1"/>
        <s v="XLMB0099Y007" u="1"/>
        <s v="XLMB0099Y009" u="1"/>
        <s v="XLMB0099Y010" u="1"/>
        <s v="XLMT0099Y001" u="1"/>
        <s v="XLMT0099Y003" u="1"/>
        <s v="XLPT0099Y003" u="1"/>
        <s v="XLSF0099Y002" u="1"/>
        <s v="XLTT0099Y003" u="1"/>
        <s v="HRXX0099H115" u="1"/>
        <s v="KMIZ0099H033" u="1"/>
        <s v="KMPY0657H022" u="1"/>
        <s v="GLXL0099Y008" u="1"/>
        <s v="DSXX0099H031" u="1"/>
        <s v="ELTS0099H014" u="1"/>
        <s v="ELTS0099H015" u="1"/>
        <s v="ELTS0099H019" u="1"/>
        <s v="ELTS0099H020" u="1"/>
        <s v="ELTS0099H031" u="1"/>
        <s v="ELTS0099H033" u="1"/>
        <s v="ELSF0099H061" u="1"/>
        <s v="ELTS0099H049" u="1"/>
        <s v="ELSF0099H082" u="1"/>
        <s v="HRXX0099H106" u="1"/>
        <s v="HRXX0099H107" u="1"/>
        <s v="HRXX0099H111" u="1"/>
        <s v="HRXX0099H171" u="1"/>
        <s v="HRXX0099H192" u="1"/>
        <s v="KRXX0099H020" u="1"/>
        <s v="KRXX0099H032" u="1"/>
        <s v="KRXX0099H055" u="1"/>
        <s v="KRXX0099H057" u="1"/>
        <s v="KRXX0099H064" u="1"/>
        <s v="KRXX0099H068" u="1"/>
        <s v="KRXX0099H070" u="1"/>
        <s v="KRXX0099H071" u="1"/>
        <s v="KRXX0099H082" u="1"/>
        <s v="KRXX0099H085" u="1"/>
        <s v="KRXX0099H096" u="1"/>
        <s v="KRXX0099H101" u="1"/>
        <s v="KRXX0099H109" u="1"/>
        <s v="KMIZ0099H022" u="1"/>
        <s v="MKTS0099H001" u="1"/>
        <s v="MKTS0099H002" u="1"/>
        <s v="MKTS0099H004" u="1"/>
        <s v="MKTS0099H020" u="1"/>
        <s v="MKTS0099H021" u="1"/>
        <s v="MKTS0099H029" u="1"/>
        <s v="MKTS0099H037" u="1"/>
        <s v="MBAP4236H026" u="1"/>
        <s v="DSXX0099H041" u="1"/>
        <s v="MBAP0099H039" u="1"/>
        <s v="KRXX0099H123" u="1"/>
        <s v="HRXX0099H339" u="1"/>
        <s v="MKTS0099H056" u="1"/>
        <s v="HRXX0099H372" u="1"/>
        <s v="ELTS0099H075" u="1"/>
        <s v="ELSF0099H144" u="1"/>
        <s v="MBAP0099H055" u="1"/>
        <s v="GLBK0099Y002" u="1"/>
        <s v="FRTT0099Y001" u="1"/>
        <s v="FRPT0099Y001" u="1"/>
        <s v="RVTT0099Y001" u="1"/>
        <s v="RVPT0099Y001" u="1"/>
        <s v="DSXX0099H065" u="1"/>
        <s v="UBAU0099H012" u="1"/>
        <s v="UBAU0099H029" u="1"/>
        <s v="KMBY0099H076" u="1"/>
        <s v="KRXX0099H186" u="1"/>
        <s v="KRXX0099H191" u="1"/>
        <s v="DSXX0099H096" u="1"/>
        <s v="RNKD0099Y001" u="1"/>
        <s v="KRXX0099H210" u="1"/>
        <s v="DSXX0099H097" u="1"/>
        <s v="MKTS0099H087" u="1"/>
        <s v="MKTS0099H090" u="1"/>
        <s v="FRGD0099Y001" u="1"/>
        <s v="UBAU0099H002" u="1"/>
        <s v="MKTS0099H092" u="1"/>
        <s v="MKTS0099H093" u="1"/>
        <s v="MKTS0099H094" u="1"/>
        <s v="MKTS0099H095" u="1"/>
        <s v="MKTS0099H096" u="1"/>
        <s v="MKTS0099H099" u="1"/>
        <s v="MKTS0099H100" u="1"/>
        <s v="MKTS0099H101" u="1"/>
        <s v="MKTS0099H102" u="1"/>
        <s v="MKTS0099H109" u="1"/>
        <s v="MKTS0099H110" u="1"/>
        <s v="MKTS0099H111" u="1"/>
        <s v="MKTS0099H112" u="1"/>
        <s v="HRXX0099H541" u="1"/>
        <s v="UBAU0099H021" u="1"/>
        <s v="UBAU0099H010" u="1"/>
        <s v="UBAU0099Y001" u="1"/>
        <s v="UBAU0099Y002" u="1"/>
        <s v="UBAU0099Y004" u="1"/>
        <s v="KRXX0099H253" u="1"/>
        <s v="KRXX0099H181" u="1"/>
        <s v="MKTS0099H127" u="1"/>
        <s v="MKTS0099H132" u="1"/>
        <s v="KRXX0099H259" u="1"/>
        <s v="URB031" u="1"/>
        <s v="KRXX0099H267" u="1"/>
        <s v="ARGE0099H012" u="1"/>
        <s v="GLZK0099Y001" u="1"/>
        <s v="MKTS0099H041" u="1"/>
        <s v="XLMB0099Y004" u="1"/>
        <s v="MKTS0099H144" u="1"/>
        <s v="ARGE0099H043" u="1"/>
        <s v="ARGE0099H044" u="1"/>
        <s v="ARGE0099H045" u="1"/>
        <s v="ARGE0099H046" u="1"/>
        <s v="ARGE0099H049" u="1"/>
        <s v="URB047" u="1"/>
        <s v="KRXX0099H276" u="1"/>
        <s v="MKTS0099H145" u="1"/>
        <s v="RVMB0099Y001" u="1"/>
        <s v="KRXX0099H289" u="1"/>
        <s v="KRXX0099H290" u="1"/>
        <s v="GLSI0099Y001" u="1"/>
        <s v="ELSF0099H058" u="1"/>
        <s v="ELSF0099H062" u="1"/>
        <s v="ELSF0099H063" u="1"/>
        <s v="ELSF0099H064" u="1"/>
        <s v="ELSF0099H101" u="1"/>
        <s v="HRXX0099H025" u="1"/>
        <s v="KMPY0099H002" u="1"/>
        <s v="MKTS0099H013" u="1"/>
        <s v="MKTS0099H018" u="1"/>
        <s v="MBAP3152H025" u="1"/>
        <s v="MBSF0099H001" u="1"/>
        <s v="MKTS0099H069" u="1"/>
        <s v="UBAU0099H001" u="1"/>
        <s v="UBAU0099H027" u="1"/>
        <s v="MKTS0099H126" u="1"/>
        <s v="KMPY1021H004" u="1"/>
        <s v="KMPY5011H005" u="1"/>
        <s v="GLAC1001Y001" u="1"/>
        <s v="GLAM1001Y001" u="1"/>
        <s v="GLBA1001Y001" u="1"/>
        <s v="GLBD1001Y001" u="1"/>
        <s v="GLBK1001Y001" u="1"/>
        <s v="GLBL1001Y001" u="1"/>
        <s v="GLBN3152Y001" u="1"/>
        <s v="GLBU1001Y001" u="1"/>
        <s v="GLCT1001Y001" u="1"/>
        <s v="GLDK3152Y001" u="1"/>
        <s v="GLDO1001Y001" u="1"/>
        <s v="GLKA1001Y001" u="1"/>
        <s v="GLKK1001Y001" u="1"/>
        <s v="GLKK1001Y003" u="1"/>
        <s v="GLKO1001Y001" u="1"/>
        <s v="GLLK1001Y001" u="1"/>
        <s v="GLMA3197Y001" u="1"/>
        <s v="GLMC1001Y001" u="1"/>
        <s v="GLMD1001Y001" u="1"/>
        <s v="GLMK3152Y001" u="1"/>
        <s v="GLMR1001Y001" u="1"/>
        <s v="GLMT3197Y001" u="1"/>
        <s v="GLMU1001Y001" u="1"/>
        <s v="GLSC3103Y001" u="1"/>
        <s v="GLSP0099Y003" u="1"/>
        <s v="GLWK1001Y001" u="1"/>
        <s v="HRXX0099H238" u="1"/>
        <s v="KRXX0099H104" u="1"/>
        <s v="KRXX0099H113" u="1"/>
        <s v="MBAP0099H001" u="1"/>
        <s v="MKSF0099H019" u="1"/>
        <s v="MKTS0099H005" u="1"/>
        <s v="MKTS0099H041-HATALI" u="1"/>
        <s v="BZAD1001Y001" u="1"/>
        <s v="BZAD1001Y003" u="1"/>
        <s v="BZAK3152Y001" u="1"/>
        <s v="BZBK3152Y001" u="1"/>
        <s v="BZBT3152Y001" u="1"/>
        <s v="BZBY1001Y001" u="1"/>
        <s v="BZBY1001Y003" u="1"/>
        <s v="BZCT1001Y001" u="1"/>
        <s v="BZGD1001Y001" u="1"/>
        <s v="BZKA1001Y001" u="1"/>
        <s v="BZKD1001Y001" u="1"/>
        <s v="BZKK1001Y001" u="1"/>
        <s v="BZKO1001Y001" u="1"/>
        <s v="BZSK1001Y001" u="1"/>
        <s v="KMBY5004H005" u="1"/>
        <s v="KRXX0099H153" u="1"/>
        <s v="MKTS0099H026" u="1"/>
        <s v="KRXX0099H043" u="1"/>
        <s v="ELSF0099H055" u="1"/>
        <s v="GLDB1001Y001" u="1"/>
        <s v="GLKL1001Y001" u="1"/>
        <s v="KRXX0099H077" u="1"/>
        <s v="MKTS0099H065" u="1"/>
        <s v="URB045" u="1"/>
        <s v="BZAD1091Y001" u="1"/>
        <s v="BZAD1091Y002" u="1"/>
        <s v="BZBY1091Y001" u="1"/>
        <s v="BZBY1091Y002" u="1"/>
        <s v="BZCT1091Y001" u="1"/>
        <s v="BZGD1091Y001" u="1"/>
        <s v="BZKA1091Y001" u="1"/>
        <s v="BZKD1091Y001" u="1"/>
        <s v="BZKK1091Y001" u="1"/>
        <s v="BZKO1091Y001" u="1"/>
        <s v="BZSK1091Y001" u="1"/>
        <s v="GLAC1091Y001" u="1"/>
        <s v="GLAM1091Y001" u="1"/>
        <s v="GLDK1091Y001" u="1"/>
        <s v="GLDO1091Y001" u="1"/>
        <s v="GLKA1091Y001" u="1"/>
        <s v="GLKK1091Y001" u="1"/>
        <s v="GLKO1091Y001" u="1"/>
        <s v="GLMC1091Y001" u="1"/>
        <s v="GLMD1091Y001" u="1"/>
        <s v="GLMR1091Y001" u="1"/>
        <s v="GLMU1091Y001" u="1"/>
        <s v="URB043" u="1"/>
        <s v="KRXX0099H072" u="1"/>
        <s v="KRXX0099H040" u="1"/>
        <s v="URB046" u="1"/>
        <s v="UBAU0099Y003" u="1"/>
        <s v="UBAU0099H008" u="1"/>
        <s v="UBAU0099H031" u="1"/>
        <s v="UBAU0099H026" u="1"/>
        <s v="UBAU0099H003" u="1"/>
        <s v="UBAU0099H005" u="1"/>
        <s v="UBAU0099H015" u="1"/>
        <s v="HRXX0099H389" u="1"/>
        <s v="MBAP0099H056" u="1"/>
        <s v="MBAP3103H023" u="1"/>
        <s v="MBAP0099H050" u="1"/>
        <s v="HRXX0099H157" u="1"/>
        <s v="HRXX0099H034" u="1"/>
        <s v="HRXX0099H096" u="1"/>
        <s v="ELTS0099H007" u="1"/>
        <s v="GLBD1091Y001" u="1"/>
        <s v="GLKL1091Y001" u="1"/>
        <s v="GLWK1091Y001" u="1"/>
        <s v="GLDB1091Y001" u="1"/>
        <s v="GLBA1091Y001" u="1"/>
        <s v="GLBU1091Y001" u="1"/>
        <s v="GLBN1091Y001" u="1"/>
        <s v="GLMA3197Y002" u="1"/>
        <s v="GLBL1091Y001" u="1"/>
        <s v="GLLK1091Y001" u="1"/>
        <s v="GLKK1091Y002" u="1"/>
        <s v="GLBK1091Y001" u="1"/>
        <s v="GLCT1091Y001" u="1"/>
        <s v="KRXX0099H237" u="1"/>
        <s v="KRXX0099H255" u="1"/>
        <s v="GLSP0099Y004" u="1"/>
        <s v="KRXX0099H250" u="1"/>
        <s v="ELTS0099H044" u="1"/>
        <s v="KRXX0099H004" u="1"/>
        <s v="KRXX0099H044" u="1"/>
        <s v="KRXX0099H129" u="1"/>
        <s v="MBAP0099H057" u="1"/>
        <s v="GLXL0099Y001" u="1"/>
        <s v="KRXX0099H183" u="1"/>
        <s v="URB034" u="1"/>
        <s v="URB035" u="1"/>
        <s v="URB036" u="1"/>
        <s v="URB037" u="1"/>
        <s v="URB038" u="1"/>
        <s v="URB039" u="1"/>
        <s v="URB040" u="1"/>
        <s v="URB041" u="1"/>
        <s v="URB042" u="1"/>
        <s v="DSXX0099H040" u="1"/>
        <s v="KRXX0099H143" u="1"/>
        <s v="KRXX0099H144" u="1"/>
        <s v="KRXX0099H184" u="1"/>
        <s v="KRXX0099H196" u="1"/>
        <s v="GLXL0099Y002" u="1"/>
        <s v="URB030" u="1"/>
        <s v="URB032" u="1"/>
        <s v="DSXX0099H038" u="1"/>
        <s v="HRXX0099H048" u="1"/>
        <s v="GLKM0099H001" u="1"/>
        <s v="MBAP0099H004" u="1"/>
        <s v="GLBK0099Y001" u="1"/>
        <s v="KMBY6013H087" u="1"/>
        <s v="KMBY6013H030" u="1"/>
        <s v="ELSF0099H012" u="1"/>
        <s v="HRXX0099H047" u="1"/>
        <s v="KRXX0099H025" u="1"/>
        <s v="ELSF0099H102" u="1"/>
        <s v="ELSF0099H001" u="1"/>
        <s v="ELSF0099H002" u="1"/>
        <s v="ELTS0099H027" u="1"/>
        <s v="ELSF0099H079" u="1"/>
        <s v="HRXX0099H114" u="1"/>
        <s v="KRXX0099H018" u="1"/>
        <s v="GLMK1098Y001" u="1"/>
        <s v="GLMD1001Y002" u="1"/>
        <s v="GLBD1001Y002" u="1"/>
        <s v="GLMR1001Y002" u="1"/>
        <s v="GLAM1001Y002" u="1"/>
        <s v="GLAC1001Y002" u="1"/>
        <s v="GLBL1001Y002" u="1"/>
        <s v="GLLK1001Y002" u="1"/>
        <s v="GLKK1001Y002" u="1"/>
        <s v="GLKK1001Y004" u="1"/>
        <s v="GLKA1001Y002" u="1"/>
        <s v="GLKO1001Y002" u="1"/>
        <s v="GLDO1001Y002" u="1"/>
        <s v="GLMU1001Y002" u="1"/>
        <s v="GLDK1098Y001" u="1"/>
        <s v="GLMC1001Y002" u="1"/>
        <s v="GLBA1001Y002" u="1"/>
        <s v="GLBU1001Y002" u="1"/>
        <s v="GLBN1001Y001" u="1"/>
        <s v="BZSK1001Y002" u="1"/>
        <s v="BZBY1001Y002" u="1"/>
        <s v="BZBY1001Y004" u="1"/>
        <s v="BZAD1001Y002" u="1"/>
        <s v="BZKA1001Y002" u="1"/>
        <s v="BZKD1001Y002" u="1"/>
        <s v="BZKO1001Y002" u="1"/>
        <s v="BZGD1001Y002" u="1"/>
        <s v="BZAD1001Y004" u="1"/>
        <s v="BZKK1001Y002" u="1"/>
        <s v="BZAK1098Y001" u="1"/>
        <s v="BZBT3197Y001" u="1"/>
        <s v="BZBK1098Y001" u="1"/>
        <s v="KRXX0099H203" u="1"/>
        <s v="KMBY1021H075" u="1"/>
        <s v="KMBY7012H031" u="1"/>
        <s v="KMBY0099H086" u="1"/>
        <s v="UBAU0099H004" u="1"/>
        <s v="DSXX1528H030" u="1"/>
        <s v="KRXX0099H036" u="1"/>
        <s v="KRXX0099H058" u="1"/>
        <s v="UBAU0099H030" u="1"/>
        <s v="UBCD0099M001-ESKİ" u="1"/>
        <s v="UBAU0099H006" u="1"/>
        <s v="UBAU0099H014" u="1"/>
        <s v="UBAU0099H018" u="1"/>
        <s v="UBAU0099H019" u="1"/>
        <s v="UBAU0099H020" u="1"/>
        <s v="KRXX0099H182" u="1"/>
        <s v="ELTS0099H028" u="1"/>
        <s v="NMN205" u="1"/>
        <s v="UBAU0099H016" u="1"/>
        <s v="UBAU0099H017" u="1"/>
        <s v="UBCD0099M001" u="1"/>
        <s v="KMIZ0099H020" u="1"/>
        <s v="KMIZ0099H021" u="1"/>
        <s v="MKSF0099H016" u="1"/>
        <s v="HRXX0099H520" u="1"/>
        <s v="KRXX0099H126" u="1"/>
        <s v="KRXX0099H208" u="1"/>
        <s v="NMN254" u="1"/>
        <s v="MBAP7104H068" u="1"/>
        <s v="NMN244" u="1"/>
      </sharedItems>
    </cacheField>
    <cacheField name="ALT_ADI" numFmtId="0">
      <sharedItems count="1530">
        <s v="MERDİVEN DESTEK"/>
        <s v="URBAN BADGER BENZİN BİDONU ANAHTAR"/>
        <s v="VAKUMLU DUŞ BAŞLIĞI TUTUCUSU"/>
        <s v="ELYAF E MAT 450 CAM "/>
        <s v="CİVATA PASLANMAZ M8X70 SEKMANLI"/>
        <s v="VİDA SUNTA 3,5X40 "/>
        <s v="KUMAŞ PELUŞ GRİ"/>
        <s v="KUM-BALTA X7"/>
        <s v="VİDA PASLANMAZ MERCİMEK BAŞLI 4,2X25"/>
        <s v="TENTE ALBİNA 2.2 SİYAH"/>
        <s v="MACUN MODEL"/>
        <s v="MEK PEROKSİT-DONDURUCU M50"/>
        <s v="VİDA SUNTA 3X13"/>
        <s v="1/2 DIŞ DİŞLİ SARI HORTUM UCU 10 mm"/>
        <s v="KUM-KÜREK"/>
        <s v="KARAVAN KAPISI 60X181"/>
        <s v="SÜNGER 1.40x2.40 28 DNS 8LİK"/>
        <s v="KONNEKTÖR GÜNEŞ PANEL"/>
        <s v="VİDA SUNTA 3,5X20"/>
        <s v="VİDA SUNTA 5X70"/>
        <s v="VİDA SUNTA 3,5X16"/>
        <s v="KABLO TELLİ 10MM KIRMIZI"/>
        <s v="VİDA SUNTA 3,5X13"/>
        <s v="KELEPÇE  PASLANMAZ 12X22"/>
        <s v="SPANZET MINI"/>
        <s v="PUL ŞAŞE GALVANİZ M10"/>
        <s v="ŞASE PULU PASLANMAZ M10"/>
        <s v="ZIMBA TELİ 80/14"/>
        <s v="KELEPÇE  PASLANMAZ 22X36"/>
        <s v="SPANZET 35MM "/>
        <s v="PASLANMAZ PUL M8"/>
        <s v="GAZ SENSÖRÜ"/>
        <s v="KABLO TELLİ 16MM KIRMIZI"/>
        <s v="VİDALI KROŞE BEYAZ EK02"/>
        <s v="FİBER DİSK ZIMPARA 60LIK"/>
        <s v="VİDA SUNTA 5X30"/>
        <s v="İPLİK KAYTAN"/>
        <s v="EBERSPAECHER DİJİTAL SAAT HYD HS3"/>
        <s v="BICAK SİGORTA 15 A"/>
        <s v="VİDA KÖŞE BAĞLANTI PLASTİK ŞEFFAF"/>
        <s v="MERDİVEN AYAK"/>
        <s v="MERDİVEN 3+1 BASAMAKLI ALÜMİNYUM"/>
        <s v="AEROSİL"/>
        <s v="BORU CELİK GAZ 8MM"/>
        <s v="ELYAF E MAT 300 CAM "/>
        <s v="THERME SU ISITICI (220 V) 5LT"/>
        <s v="VERNİK AHŞAP KORUYUCU"/>
        <s v="L DEMİR ÇEKTİRME"/>
        <s v="URBAN BADGER BENZİN BİDONU"/>
        <s v="VİDA SUNTA 3,5X35"/>
        <s v="KESME TAŞI 115 CAP 1.0 KALINLIK"/>
        <s v="SOMUN PASLANMAZ KÖR M8"/>
        <s v="HEKİ FANLI 28X28 BEYAZ"/>
        <s v="BOYA AKRİLİK TENEKE 9005 MAT SİYAH"/>
        <s v="HORTUM OKSİJEN KIRMIZI 10MM"/>
        <s v="METAL MATKAP UCU 3MM"/>
        <s v="PRİMER "/>
        <s v="VİDA PASLANMAZ HAVŞA 3,9X16"/>
        <s v="SİKA MASTİK SOSİS SİYAH SOTAŞ"/>
        <s v="STRAFOR KÖPÜK 2 CM "/>
        <s v="KUMAŞ ROMA 01 GRİMSİ"/>
        <s v="SİNEKLİK 610X1795"/>
        <s v="MASA KATLANIR AYAK"/>
        <s v="POLYESTER TEMİZLEYİCİ ASETON"/>
        <s v="LOCTİTE 243 CONTA YAPIŞTIRICI 50 ML"/>
        <s v="MASA AYAK UZUN KROM"/>
        <s v="SİFON 90 DERECE"/>
        <s v="JELKOT ŞEFFAF "/>
        <s v="POLYESTER"/>
        <s v="SİLİKON SICAK "/>
        <s v="HORTUM UCU 1/2  PARMAK SİYAH"/>
        <s v="BALDACCİ BAS ÇEK KİLİT KROM - PARLAK"/>
        <s v="SOMUN PASLANMAZ FİBERLİ M8"/>
        <s v="SOMUN  M8"/>
        <s v="HORTUM KALORİFER 16MM LONG TİPİ"/>
        <s v="KÖPÜK SPREY POLİURETAN  "/>
        <s v="KABLO KORUMA KAPAK GÜNEŞ PANELİ SİYAH"/>
        <s v="VİDA SUNTA 5X20"/>
        <s v="THULE KAPAK"/>
        <s v="SARI HORTUM REKORU 10MM 3/8 DIŞ DİŞLİ"/>
        <s v="VİDA SUNTA 4X70"/>
        <s v="SİFON LAVABO KÖRÜKLÜ PLASTİK "/>
        <s v="TENTE ALBİNA 2.4 SİYAH"/>
        <s v="MACUN ANTRASİT"/>
        <s v="TİNER SELÜLOZİK - BOYA"/>
        <s v="SİLİKON AYNA"/>
        <s v="YAPIŞTIRICI HIZLI XXX GR"/>
        <s v="KABLO KANAL 12X12"/>
        <s v="KARAVAN CAM 300X700 BERHIMI"/>
        <s v="BATARYA GLADİATOR BANYO"/>
        <s v="KABLO TELLİ 10MM SİYAH"/>
        <s v="SİLİKON DOLAP TOPLAMA KİTİ"/>
        <s v="CİVATA PASLANMAZ M8X40"/>
        <s v="HORTUM  TELLİ ŞEFAF 16 MM "/>
        <s v="MUSLUK  SOĞUK-SICAK ÇİFT GÖZ"/>
        <s v="KLİNGRİT CONTA 1/2"/>
        <s v="BALTA KÜREK MONTAJ SETİ"/>
        <s v="BUZDOLABI İNDEL B-CRUİSE 42 LT"/>
        <s v="MENFEZ KROM YUVARLAK 35X43"/>
        <s v="KALIP AYIRICI SIVI PVA"/>
        <s v="3X20 VİDA"/>
        <s v="VİDA SUNTA 3,5X25"/>
        <s v="CİVATA PASLANMAZ M8X45"/>
        <s v="KELEPÇE GAZ DEVRESİ P KLİPS"/>
        <s v="SPREY S1 YAPIŞTIRICI 15LT"/>
        <s v="CİVATA PASLANMAZ M8X50"/>
        <s v="HORTUM  TELLİ ŞEFAF 25 MM "/>
        <s v="CİVATA PASLANMAZ M8X70"/>
        <s v="DEDANTÖR AYGAZ"/>
        <s v="BUZDOLABI İNDEL B-CRUİSE 90 LT"/>
        <s v="POLİETİLEN TABAKA 8MM"/>
        <s v="SÜNGER 1.40x2.40 28 DNS 3LÜK"/>
        <s v="BICAK SİGORTA 20 A"/>
        <s v="VİDA SUNTA 3,5X50"/>
        <s v="KAUÇUK TAKOZ CİVATALI 9CM"/>
        <s v="TENTE DOMETİC 2.60M ANTRASİT"/>
        <s v="POLYESTER ÇELİK MACUN"/>
        <s v="VİDA PASLANMAZ HAVŞA 3,5X25"/>
        <s v="VİDA SUNTA 3,5X18"/>
        <s v="AKÜ 150 AH"/>
        <s v="FERMUAR SİYAH"/>
        <s v="CİVATA PASLANMAZ  M10X60"/>
        <s v="KUMAŞ SUNİ DERİ İNCE SİYAH"/>
        <s v="VİDA SUNTA 5X25 "/>
        <s v="SOMUN PASLANMAZ KELEBEK M8"/>
        <s v="KUM PALETİ SİYAH"/>
        <s v="İNVERTÖR 3000W TAM SİNÜS"/>
        <s v="PENCERE FİTİLİ BEYAZ"/>
        <s v="GÖMME KULP"/>
        <s v="SOLVENT MONTAJ TEMİZLEME 1  NUMARA"/>
        <s v="CİVATA PASLANMAZ M10X80"/>
        <s v="MAKARON 4,8 MM"/>
        <s v="FİŞ ERKEK 1X16 TOPRAKLI DÜZ"/>
        <s v="MAKARON 6,4 MM SİYAH"/>
        <s v="TOPRAKLI PRİZ Ç.K. KAPAKLI SIYAH"/>
        <s v="KELEPÇE PASLANMAZ 10X16"/>
        <s v="KABLO 1X1,5 BEYAZ"/>
        <s v="WAGO 2LÜ"/>
        <s v="CİVATA PASLANMAZ M8X100"/>
        <s v="MACUN MEŞE"/>
        <s v="RÖTÜŞ KALEM MEŞE"/>
        <s v="VİDA SUNTA 5X40"/>
        <s v="ARAÇ BİLGİ ETİKETİ - STANDART"/>
        <s v="KALIP AYIRICI PROVAKS"/>
        <s v="SOLAR PANEL 205W"/>
        <s v="EBERSPAECHER KOMPLE ISITICI D2L 12V"/>
        <s v="KABLO TELLİ 1X1 MAVİ"/>
        <s v="REVİVA TEMİZ SU TANKI 150LT TEKER ÜSTÜ "/>
        <s v="BICAK SİGORTA 10 A"/>
        <s v="AYDINLATMA DOKUNMATİK GRİ - BEYAZ IŞIK"/>
        <s v="EGSOZT UCU PAZLANMAZ ÇIKIŞI"/>
        <s v="MAKARON 25,4 MM"/>
        <s v="STANDART DİŞİ FİŞ"/>
        <s v="RULO PARMAK 10MM YEDEK İÇ"/>
        <s v="KUMAŞ ROMA 10 YEŞİLİMSİ"/>
        <s v="EBERSPAECHER KIT"/>
        <s v="RÖTÜŞ KALEM ANTRASİT"/>
        <s v="VİDA PASLANMAZ 4,2X25"/>
        <s v="POLİÜRETAN MDİ"/>
        <s v="REİCH DIŞ DUŞ JAKLI SİYAH"/>
        <s v="UZUN ERKEK FİŞ"/>
        <s v="DÜZ DEMİR BAĞLANTI"/>
        <s v="HORTUM BAĞLANTI TURUNCU T ŞEKLİ  1PARMAK"/>
        <s v="FLEX LED GUN ISIGI"/>
        <s v="MENTEŞE 7X4.5 CM KROM"/>
        <s v="SARI KUYRUKLU DİRSEK 1/2"/>
        <s v="MİNEFLO ZEMİN KAPLAMA FORBO WOOD 13412"/>
        <s v="BIÇAK SİGORTA KUTUSU 4LÜ"/>
        <s v="VİDA MERCİMEK BAŞLI 3,5X16"/>
        <s v="KARAVAN CAM 300X500 BERHIMI"/>
        <s v="LED DOLAP İÇİ AYDINLATMA BEYAZ"/>
        <s v="SOLAR PANEL ESNEK 175w"/>
        <s v="POLİÜRETAN HAMMADDE 1030"/>
        <s v="CIRT İLMİK"/>
        <s v="SARI HORTUM  TE 10 MM"/>
        <s v="BARA VİDALI 6LI 150 A"/>
        <s v="MAKARON 3.2 MM SİYAH"/>
        <s v="FİŞ DİŞİ 3X16 KAPAKLI"/>
        <s v="BEZ HURDA"/>
        <s v="LEDLİ ÇEVRE AYDINLATMA SİYAH 10CM"/>
        <s v="PVC BANT ANTRASİT 2878GB-ROMA MARKA GENİŞ"/>
        <s v="SOLAR PANEL ESNEK 110W"/>
        <s v="STOR ÖN YÜZ PROFİLİ"/>
        <s v="KAÇAK AKIM ROLESİ 25 AMPER"/>
        <s v="SARI 1/2 DEPO KOVANI"/>
        <s v="ALÜMİNYUM KÖŞE PROFİL 2 AYAK"/>
        <s v="KABLO KANAL 40X16"/>
        <s v="SPOT 12V 25MM METAL"/>
        <s v="SOLAR PANEL DEVRE KESİCİ BUTON"/>
        <s v="KABLO KANALI 16X16"/>
        <s v="ZIMPARA ORBİTAL 180"/>
        <s v="SİKA MASTİK SOSİS BEYAZ SOTAŞ"/>
        <s v="SİLİKON ÇİVİ TÜP"/>
        <s v="AKÜ LİTYUM 200 AH"/>
        <s v="KABLO TELLİ 16MM SİYAH"/>
        <s v="PVC BANT MEŞE 22MM TORTANA"/>
        <s v="CİVATA PASLANMAZ M8X65"/>
        <s v="HORTUM OKSİJEN MAVİ 10MM"/>
        <s v="KABLO KANALI 25X16"/>
        <s v="ÇITÇIT METAL PASLANMAZ"/>
        <s v="TAPA KÖR PLASTİK 1 PARMAK "/>
        <s v="MİNİ TÜP ALTLIK RXL,FRE,GLA"/>
        <s v="PVC BANT MEŞE 40MM TORTANA"/>
        <s v="TELESKOBİK MERDİVEN TEK AYAKLI 2,60M"/>
        <s v="ZIMPARA ORBİTAL 120"/>
        <s v="VİDA KAPAK 15MM SİYAH"/>
        <s v="KUM-BALTA X10"/>
        <s v="KAPI ALTI SÜNGER"/>
        <s v="TAPA ANTRASİT 14 MM"/>
        <s v="MPPT ŞARJ 20A"/>
        <s v="ORGANİZATÖR FİLE"/>
        <s v="ZIMBA TELİ EF15 5000Lİ"/>
        <s v="BANT MASKELEME DAYSON 24 MM"/>
        <s v="CİVATA PASLANMAZ  M8X20"/>
        <s v="TAPA CEVİZ 14 MM"/>
        <s v="MAKARON 2 MM"/>
        <s v="BANT İZOLE"/>
        <s v="SOLAR MONTAJ KÖŞE BRAKET"/>
        <s v="USB 12V 2Lİ SİYAH"/>
        <s v="BANT BEZ TÜYLÜ"/>
        <s v="ELDİVEN MUAYENE PUDRALI"/>
        <s v="FIRÇA PRİMER"/>
        <s v="MENTEŞE TAS FRENSİZ YARIM DEVE-MİNİ"/>
        <s v="JELKOT 9016 BEYAZ"/>
        <s v="POLİETİLEN BURÇ KÜÇÜK"/>
        <s v="MENFEZ ALİMİNYUM 30X7 "/>
        <s v="MPPT ŞARJ 30A"/>
        <s v="İzoleli Kablo Yüksüğü 1,5MM"/>
        <s v="BAKIR BORU 10MM"/>
        <s v="SARI DİRSEK 1/2"/>
        <s v="PERÇİN 4X15"/>
        <s v="STEP 201 KREM"/>
        <s v="VİDA SUNTA 5X100"/>
        <s v="BOILER TRUMA GAZLI SU ISITMA BG 10 10LT"/>
        <s v="BANT MASKELEME MAVİ 50 MM"/>
        <s v="SOLAR MONTAJ ORTA BRAKET"/>
        <s v="MAKARON 16 MM "/>
        <s v="SARI REKOR 12 MM 1/2"/>
        <s v="BANT ÇİFT TARAFLI 25x38 mm"/>
        <s v="TOPRAKLI PRİZ MEKANIZMA Ç.B."/>
        <s v="GLADİATOR XL UZUN ARKA MERDİVENİ"/>
        <s v="TAPA MEŞE NEBRASKA PC2122 14 MM"/>
        <s v="PVC BANT CEVİZ 22MM ANTİK DARK"/>
        <s v="FİBER DİSK ZIMPARA 80LİK"/>
        <s v="PUL ŞASE 3/8"/>
        <s v="ŞASE PULU PASLANMAZ M8"/>
        <s v="MASKE TOZ"/>
        <s v="ZIMPARA ORBİTAL 220"/>
        <s v="SF2D KABLO UCU DİŞİ TERMİNAL + KILIF"/>
        <s v="BANT MASKELEME MAVİ 25 MM"/>
        <s v="ELDİVEN NİTRİL"/>
        <s v="KİLİT ŞİFRELİ ASMA"/>
        <s v="STOR U PROFİLİ KAP. KROM"/>
        <s v="SİNTİNE POMPASI 750 BASINC"/>
        <s v="OCAK VE EVYE TEK GÖZLÜ KOMBİNASYONLU (SOL OCAK SAĞ"/>
        <s v="BATARYA ÇEKİÇ FREEDOM-REVİVA BANYO"/>
        <s v="BANT TEFLON"/>
        <s v="MAŞRAPA ÖLÇEKLİ"/>
        <s v="ZIMPARA ORBİTAL 320"/>
        <s v="SOLAR PANEL ESNEK 170w"/>
        <s v="KONTRA KAVAK 12 MM-170X220"/>
        <s v="KUMAŞ PELUŞ KREM"/>
        <s v="AYNA GLADİATOR XL 625X610"/>
        <s v="AKORDİYON MENTEŞE 70MM"/>
        <s v="KABLO 3X1,5 "/>
        <s v="OKUMA LAMBASI SİYAH"/>
        <s v="PLASTIK KONTROL KAPAGI-IC CAP 165MM"/>
        <s v="REVİVA PİS SU TANKI SİYAH 65 LT"/>
        <s v="HORTUM GAZ 10MM"/>
        <s v="PVC BANT CEVİZ 40MM ANTİK DARK"/>
        <s v="GÖZLÜK ŞEFFAF"/>
        <s v="ÇITCIT PİRİNÇ METAL 7MM"/>
        <s v="MENTEŞE LALE MAKAS"/>
        <s v="MUSLUK  SOĞUK-SICAK TEK GÖZ"/>
        <s v="İNVERTÖR 2000W TAM SİNÜS"/>
        <s v="KODIPLAST BUTIL 570ML"/>
        <s v="SARI DİRSEK KUYRUKLU 1 PARMAK"/>
        <s v="POLİETİLEN BURÇ BÜYÜK"/>
        <s v="TUTAMAK ARKA"/>
        <s v="ÇİFT GÖZ OCAK KOMBİNASYONLU "/>
        <s v="ALÜMİNYUM KÖŞE PROFİL KROM 1X1"/>
        <s v="MENTEŞE TAS FRENSİZ SÜPER DEVE"/>
        <s v="ZIMPARA ORBİTAL 80"/>
        <s v="KONTRA KAVAK 15 MM-170X220"/>
        <s v="DEGOBAJ UCU T118A"/>
        <s v="SIVA SÜNGERİ"/>
        <s v="KENAR BANT TUTKALI"/>
        <s v="VİDA YHB 3,9x38"/>
        <s v="RAY 35 LİK TELESKOBİK FRENLİ"/>
        <s v="HORTUM UCU 1 PARMAK SİYAH"/>
        <s v="KONTRA KAVAK 4 MM-170X220"/>
        <s v="KABLO 3X2,5 "/>
        <s v="MENTEŞE YAPRAK OVAL 6.5CM KROM"/>
        <s v="MİNİ TÜP 2KG RXL,FRE,GLA"/>
        <s v="AKÜ KUTUP BAŞI KORUMA KILIFI KIRMIZI"/>
        <s v="OCTOOPİ 7İNC"/>
        <s v="LAMİNANT RULO 1001 ANTRASİT"/>
        <s v="SOMUN FİBERLİ M3 "/>
        <s v="ALBİNA TENTE ÇITASI SİYAH"/>
        <s v="ALBİNA TENTE ÇEVİRME KOLU BEYAZ"/>
        <s v="ARA NİPEL 8-10 MM GAZ DEVRESİ"/>
        <s v="GLADİATOR AYAK GÖVDE BAĞLANTISI NO.1 SOL ARKA "/>
        <s v="LEHİM TELİ 1,2 MM"/>
        <s v="PUSH BUTON BL06-160-CH KROM PARLAK"/>
        <s v="CİVATA M10X90 8,8 GALVANİZ"/>
        <s v="VİDA MERCİMEK BAŞLI PASLANMAZ M4X25"/>
        <s v="KABLO BAĞI CİRT 3.60X200"/>
        <s v="KABLO SPRAL YARIKLI PG7"/>
        <s v="LAMİNANT RULO 1091 HAKİ"/>
        <s v="BICAK SİGORTA 30 A"/>
        <s v="TELESKOPİK MASA AYAK RANGER90 REVİVA"/>
        <s v="SOFTSHELL MEMBRANLI KUMAS"/>
        <s v="GIPSY SHOWER CABIN ANTRASİT"/>
        <s v="CIRT YUVARLAK"/>
        <s v="LAMİNANT PLAKA HIGH GLASS 3103 PARLAK"/>
        <s v="SİLİKONİZE AKRİLİK MASTİK ALTINMEŞE"/>
        <s v="KABLO SPRAL BORU YARIKLI PG25"/>
        <s v="POST RULO- 10luk POLYESTER YEDEK"/>
        <s v="SU DOLUM AĞZI BERHİMİ SİYAH"/>
        <s v="RAPTOR LİNER TİNTABLE SERTLEŞTİRİCİ"/>
        <s v="LEHİM PASTASI"/>
        <s v="GLADiATOR XL AYAK SAĞ ARKA NO.3 TRİM"/>
        <s v="KABLO BAĞI CİRT 3.60X300"/>
        <s v="BANT MASKELEME DAYSON 48 MM"/>
        <s v="GLADiATOR XL AYAK SOL ARKA NO.1 TRİM"/>
        <s v="ASD LAMİNAT 6008 MET\BAKIR 1300x3050x0,7"/>
        <s v="HAREKETLI SPANZET BAGLANTI APARATI"/>
        <s v="HIDROFOR 7,5LT 2,1 BAR SUGA"/>
        <s v="ÇİFT GİRİŞLİ YÜKSÜK 1 MM KIRMIZI"/>
        <s v="SOMUN KÖR PASLANMAZ M6 ÇADIR"/>
        <s v="TUVALET PORTATİF 165"/>
        <s v="ASD LAMİNAT 1039 PRL\KREM 1300x3050x0,7"/>
        <s v="KUM PALETİ ASKI HAZIRLIĞI YENİ TİP"/>
        <s v="CİVATA PASLANMAZ FLANŞLI M10X30"/>
        <s v="FERMUAR KREM"/>
        <s v="SUNTA VIDA HAVSA BASLI 3,5 x 15 MM"/>
        <s v="GLADIATOR AYAK BLUEMAC ON"/>
        <s v="GLADiATOR XL AYAK SOL ÖN NO.2 TRİM"/>
        <s v="GLADiATOR XL AYAK SAĞ ÖN NO.4 TRİM"/>
        <s v="HORTUM ŞEFFAF 4X8 MM "/>
        <s v="TUTKAL DENİZ MAGNETO 500GR"/>
        <s v="FİŞ KILIFI RENKLİ 6.3"/>
        <s v="SÜNGER 1.40x2.40 28 DNS 5LİK"/>
        <s v="KONTRA KAVAK 8 MM-170X220"/>
        <s v="PABUÇ SKP 16-8"/>
        <s v="SAC VİDASI 4,2X16 YSB"/>
        <s v="TEK  GİRİŞLİ YÜKSÜK 10 MM KAHVERENGİ"/>
        <s v="HAREKETLI SPANZET DESTEK SACI"/>
        <s v="EBERSPAECHER KAPAKLI DISLI DUZ MENFEZ SET"/>
        <s v="KARAVAN CAM 300X500 EINSTEIN"/>
        <s v="TEK GİRİŞLİ YÜKSÜK 1 MM KIRMIZI"/>
        <s v="ORGANİZATOR PANO  TUTTURUCU BEYAZ"/>
        <s v="PIL KALEM AAA"/>
        <s v="HAREKETLI SPANZET BAGLANTI"/>
        <s v="İPLİK BEYAZ"/>
        <s v="GLADİATOR AYAK GÖVDE BAĞLANTI YAZISI"/>
        <s v="KERESTE DEK LADİN"/>
        <s v="RÖTÜŞ KALEM CEVİZ"/>
        <s v="HYDRONIC S3 "/>
        <s v="TÜP TAŞIYICI DIŞ YENİT TİP KÜÇÜK"/>
        <s v="PVC BANT 22X0,80 ANTRASİT PARLAK"/>
        <s v="ÇİFT GİRİŞLİ YÜKSÜK 2,5 MM GRİ"/>
        <s v="ÇİFT GİRİŞLİ YÜKSÜK 1 MM SARI"/>
        <s v="JELKOT POLİYA POLİJEL 215 43 SİYAH"/>
        <s v="MINEFLO ZEMIN KAPLAMA MEDIUM GREY CEMENT"/>
        <s v="VİDA SUNTA 5x60"/>
        <s v="PUL 9X4.5"/>
        <s v="GLADİATOR XL AYAK GÖVDE BAĞLANTISI SAĞ ÖN NO.4"/>
        <s v="ZIMPARA ORBİTAL 40"/>
        <s v="AKÜ KUTUP BAŞI KORUMA KILIFI SİYAH"/>
        <s v="FIBER DISK ZIMPARA 40LIK"/>
        <s v="ASD LAMİNAT 6004 MET\ METALİK 1300x3050x0,5"/>
        <s v="ASD LAMİNAT 3080 BTE/FUJİ 1300x100000Rx0,6"/>
        <s v="GLADİATOR XL AYAK GÖVDE BAĞLANTISI SAĞ ARKA NO.3"/>
        <s v="PUL 4,3X12X1 PASLANMAZ"/>
        <s v="PVC YAPIŞTIRICI"/>
        <s v="SOMUN FİBERLİ M10 GALVANİZ"/>
        <s v="ORYANTAL RAY - DUS PERDESI RAYI"/>
        <s v="GLADİATOR AYAK GÖVDE BAĞLANTISI NO.2 SOL ÖN "/>
        <s v="OCTOOPİ  HARNESS  GLADIATOR XL"/>
        <s v="KARAVAN DIŞ 220V ERKEK GİRİŞ SİYAH BEMIS"/>
        <s v="STREÇ ŞEFFAF 17 MİKRON"/>
        <s v="VİDA PASLANMAZ 4,8X25 YHB"/>
        <s v="GLADiATOR GÖVDE MASA AYAĞI TAŞIYICI KOL SOL"/>
        <s v="CAM ALTLIK SES STOPERİ"/>
        <s v="CHARGER 25A (110V-230V)"/>
        <s v="KUMAŞ ELYAF 120 GR"/>
        <s v="KARAVAN CAM 300X700 EINSTEIN"/>
        <s v="SU BASINÇ DÜŞÜRÜCÜ VALF PİSTONLU 1/2"/>
        <s v="ATIK SU TAHLİYESİ JAKLI"/>
        <s v="BICAK SİGORTA 5A MTA"/>
        <s v="SİGORTA KUTUSU 6 LI SİYAH KAPAKLI"/>
        <s v="POLİYA POLİJEL F 215 BEYAZ (RAL-9016)"/>
        <s v="TEKLİ ÇERÇEVE SİYAH"/>
        <s v="CİVATA PASLANMAZ M10X50 ALTIGEN BAŞ"/>
        <s v="KOMPAKT LAMINAT ANTRASİT 3,05X1,30 06MM"/>
        <s v="TUVALET KASETLİ C 200-CS (SIRTLI)"/>
        <s v="RAPTOR LİNER TİNTABLE(RAL 7016)"/>
        <s v="TENTE ALBINA IC TRIM"/>
        <s v="CHARGER GÜÇ (POWER) BESLEME KABLOSU"/>
        <s v="GLADiATOR AYAK SOL ÖN NO.2 TRİM"/>
        <s v="GLADİATOR XL AYAK GÖVDE BAĞLANTISI SOL ÖN NO.2"/>
        <s v="SİGORTA MEGAVAL 125A 3 AYAKLI"/>
        <s v="GLADiATOR AYAK SAĞ ARKA NO.3 TRİM"/>
        <s v="SERVIS KAPISI 3 SIYAH SANJO"/>
        <s v="POLİYA POLİJEL F 209 Z GRİ"/>
        <s v="PLASTIK KONTROL KAPAGI-DIŞ ÇAP 150 MM BEYAZ"/>
        <s v="İNVERTÖR 1000W TAM SİNÜS"/>
        <s v="AYAK İÇ BAĞLANTI-ARA GÖVDE"/>
        <s v="TEK GİRİŞLİ YÜKSÜK 6 MM YEŞİL"/>
        <s v="HAREKETLI SPANZET BAGLANTI APARATI IC TRIM"/>
        <s v="SOMUN PASLANMAZ FLANŞLI M10"/>
        <s v="GLADİATOR-GXLD PİS SU TANKI 21LT SİYAH YENI"/>
        <s v="FROST CONTROL-TAMSAN"/>
        <s v="TAMSAN FROST KONTROL ERKEK VİDALI HORTUM NİPELİ"/>
        <s v="WAGO 5 LÜ"/>
        <s v="SİGORTA 16 AH 220 W"/>
        <s v="CASTAGNARİ OCRİTECH YARI-OVAL MAT BEYAZ LAVABO"/>
        <s v="BICAK SİGORTA 25A MTA"/>
        <s v="360 DERECE MASA AYAK GXL DODGE RAM EDİTİON PALOMA"/>
        <s v="KUMAŞ SUNİ DERİ KAHVERENGİ"/>
        <s v="SİYAH DIŞ MENFEZ "/>
        <s v="ORGANİZATOR PANO 3LU KUTU SET BEYAZ"/>
        <s v="GLADİATOR AYAK GÖVDE BAĞLANTISI NO.3 SAĞ ARKA"/>
        <s v="ARA NIPEL CIFT YUKSUKLU M8"/>
        <s v="CIRT ZIMPARA DELİKLİ 60"/>
        <s v="SİKA MASTİK SOSİS NP1"/>
        <s v="ÖRGÜ KEÇE ELYAF 600/225"/>
        <s v="KONTRA FALCATA 12 MM 122X250"/>
        <s v="TRANSFER SWİTCH 63A"/>
        <s v="VERONA ESNEK OKUMA LAMBASI-SIYAH"/>
        <s v="PABUÇ SKP 6-6"/>
        <s v="KLIMA DOMETIC TAVAN TIP"/>
        <s v="URBAN BADGER DAMLA STİCKER"/>
        <s v="VİDA PASLANMAZ MERCİMEK BAŞLI M2.9X22 SİYAH"/>
        <s v="ÇİFT GİRİŞLİ YÜKSÜK 6 MM SİYAH"/>
        <s v="ORGANIZATOR PANO 36x56  SIYAH"/>
        <s v="AKÜ ŞALTERİ DEVRE KESİCİ 12V-24V 275A"/>
        <s v="LAMİNANT RULO 3204 YENİ MEŞE"/>
        <s v="ÇİFT GİRİŞLİ YÜKSÜK 6 MM YEŞİL"/>
        <s v="ZIMPARA ORBİTAL 400"/>
        <s v="HEKİ 50X70 HAVALANDIRMALI BEYAZ DOMETİC"/>
        <s v="ELEKTRIKLI AYAK KONTROL SISTEMI"/>
        <s v="GLADİATOR XL AYAK GÖVDE BAĞLANTISI SOL ARKA NO.1"/>
        <s v="SİKAFLEX 206 PRİMER 1000ML"/>
        <s v="SİKAFLEX 100 AKTİVATÖR 1000ML"/>
        <s v="DİYOT 1N4007"/>
        <s v="PABUÇ SKP 16-10"/>
        <s v="GLADIATOR AYAK BLUEMAC ARKA"/>
        <s v="ELEKTRIKLI GLADIATOR AYAK "/>
        <s v="FIRÇA AHŞAP SAPLI 3 NUMARA"/>
        <s v="ARA NİPEL 10-1/2 MM"/>
        <s v="GLADiATOR AYAK SAĞ ÖN NO.4 TRİM"/>
        <s v="GLADiATOR AYAK SOL ARKA NO.1 TRİM"/>
        <s v="HAFELE FRENLİ CH300 DOLAP MENTEŞESİ "/>
        <s v="CRAFT EVRAK CANTASI"/>
        <s v="YATAK KUMAŞI BEYAZ"/>
        <s v="GLADIATOR GAZ HORTUM  ÇAKTIRMA 60 CM"/>
        <s v="OCTOOPİ ŞAMANDIRA 25 CM"/>
        <s v="ZIMPARA ORBİTAL 600"/>
        <s v="HAREKETLI SPANZET BAGLANTI IC TRIM"/>
        <s v="KABLO SPRAL BORU YARIKLI PG7"/>
        <s v="ORGANİZATOR PANO KALEMLIK KUTU SIYAH"/>
        <s v="GLADİATOR-GXLD TEMİZ SU TANKI 55LT BEYAZ YENI"/>
        <s v="MAKARON 3.2 MM KIRMIZI"/>
        <s v="METYX XL800 MULTİAXİAL CAM ELYAF"/>
        <s v="SICAK SU HORTUMU SİYAH KAUÇUK 19 MM "/>
        <s v="MENTEŞE YAPRAK OVAL 9.5CM KROM"/>
        <s v="ANTİFİRİZ S3"/>
        <s v="GLADİATÖR TENTE BRAKETİ XL"/>
        <s v="TEK GİRİŞLİ YÜKSÜK 4 MM TURUNCU"/>
        <s v="TEK GİRİŞLİ YÜKSÜK 2,5 MM GRİ"/>
        <s v="HOTOMOBİL PASLANMAZ PLAKALIK"/>
        <s v="ARAÇ BİLGİ ETİKETLERİ-İNGİLİZCE"/>
        <s v="AYNA GLADİATOR GSM 390x690"/>
        <s v="DC-DC 20A CHARGER TEK YÖN"/>
        <s v="KARAVAN CAM 450X500 EINSTEIN"/>
        <s v="PABUÇ SKP 16-6"/>
        <s v="GLADİATOR AYAK GÖVDE BAĞLANTISI NO.4 SAĞ ÖN"/>
        <s v="TENTE THULE 4MT SİYAH"/>
        <s v="ARAÇ BİLGİ ETİKETLERİ-TÜRKÇE"/>
        <s v="RAPTOR LİNER TİNTABLE(RAL 9005)"/>
        <s v="ASKERİ TİP KONNEKTÖR 80 A 3 PİN"/>
        <s v="DUVAR ASKILIK MAT KROM"/>
        <s v="URBAN BADGER ARAÇ ÜSTÜ ÇADIR GÖVDE PÜTÜRLÜ"/>
        <s v="STORE KAPI KROM 1735x 750mm"/>
        <s v="ELEKTRİKLİ AYAK GÖVDE ARA BAĞLANTI ÖN"/>
        <s v="RAPTOR LİNER TİNTABLE(RAL 1001)"/>
        <s v="ELEKTRİKLİ AYAK GÖVDE ARA BAĞLANTI ARKA"/>
        <s v="ÇAKMAKLIK 12V"/>
        <s v="MPPT ŞARJ 40A"/>
        <s v="KAVAK MARIN KONTRPLAK CIZGILI ALMAN MESE 6MM"/>
        <s v="SİGORTA MEGAVAL 100A 3 AYAKLI"/>
        <s v="PUSH BUTON BL03-GB AY FÜME"/>
        <s v="AYNA GLADİATOR 720x560 GS"/>
        <s v="DUŞ PERDESİ"/>
        <s v="GLADiATOR GÖVDE MASA AYAĞI SABİT KOL SOL"/>
        <s v="MOBİLYA TEZGAH AYAĞI AYARLANABİLİR 13x19CM"/>
        <s v="ORGANIZATOR PANO 56x56  SIYAH"/>
        <s v="STORE KAPI SALYANGOZ YUVASI"/>
        <s v="GLADiATOR GÖVDE MASA AYAĞI OYNAR KOL SAĞ"/>
        <s v="OCTOOPİ  HARNESS  GLADIATOR"/>
        <s v="GLADiATOR GÖVDE MASA AYAĞI SABİT KOL SAĞ"/>
        <s v="MERDİVEN UZUN ARKA"/>
        <s v="RAY 50 LIK TELESKOPIK FRENSIZ "/>
        <s v="GXLE TEMİZ SU TANKI 90LT BEYAZ YENI 48X75X27"/>
        <s v="KARAVAN CAM 500X900 EINSTEIN"/>
        <s v="GLADiATOR GÖVDE MASA AYAĞI TAŞIYICI KOL SAĞ"/>
        <s v="LAMİNANT RULO 1098 MANDALİN"/>
        <s v="RAY TELESKOPİK 30 LUK FRENLİ"/>
        <s v="TAHARET MUSLUĞU PİRİNÇ"/>
        <s v="AYNA GLADİATOR SH 300x420"/>
        <s v="PİGMENT RAL 9005 SİYAH"/>
        <s v="BUZDOLABI İNDEL B-CRUİSE 140 LT"/>
        <s v="RAY TELESKOBİK BİLYALI 53MMX50CM KİLİTLİ"/>
        <s v="TAVAN ÇITASI SIYAH"/>
        <s v="GLADiATOR GÖVDE MASA AYAĞI OYNAR KOL SOL"/>
        <s v="1/2 DIŞ DİŞLİ SARI HORTUM UCU" u="1"/>
        <s v="1700,5X580 HARTAL KAPI SİNEKLİK " u="1"/>
        <s v="MENTEŞE TAS FRENSİZ YARIM DEVE" u="1"/>
        <s v="VİDA 3,5X40 MERCİMEK BAŞLI SİYAH" u="1"/>
        <s v="HORTUM GAZ 10MM REKORLU" u="1"/>
        <s v="FROST CONTROL" u="1"/>
        <s v="HİDROFOR 7,5LT 2,1 BAR SUGA" u="1"/>
        <s v="MATKAP UCU 2,5 MM" u="1"/>
        <s v="İZOLASYON KAUÇUK 18 MM" u="1"/>
        <s v="VİDA PASLANMAZ HAVŞA 3,9X25" u="1"/>
        <s v="GAZ REGÜLATÖRÜ MONOCONTROL CS SET" u="1"/>
        <s v="TUVALET KASETLİ C 223-S" u="1"/>
        <s v="YANDAN RAYLI MUTFAK DOLAP ALTI ŞİŞELİK 20 LİK" u="1"/>
        <s v="İZOLASYON KAUÇUK 9 MM" u="1"/>
        <s v="SARI HORTUM REKORU 10MM 1/2 İÇ DISLI" u="1"/>
        <s v="KABLO BAĞI CİRT 3.60X150" u="1"/>
        <s v="WESTACC PSA KABİN ARA LAMBASI " u="1"/>
        <s v="WÜRTH BEYAZ AHSAP TUTKALI" u="1"/>
        <s v="KOLTUK MEKANİZMASI DÖNER" u="1"/>
        <s v="MIKNATISLI KÜÇÜK BAS-AÇ" u="1"/>
        <s v="VİDA SUNTA 5X35" u="1"/>
        <s v="SOMUN PASLANMAZ M10 FİBERLİ" u="1"/>
        <s v="POLYESTER  İNCELTİCİ STREN" u="1"/>
        <s v="HAFELE DRESS LINE ELBISE ASKI RAYI 350MM" u="1"/>
        <s v="AKÜ LİTYUM 100 AH" u="1"/>
        <s v="VİDA SUNTA 3X25" u="1"/>
        <s v="SERVİS KAPISI 3 BEYAZ" u="1"/>
        <s v="KARAVAN CAM 500X900 BERHIMI" u="1"/>
        <s v="HAFELE CITY 2 ÇÖP KUTUSU P.ÇELIK 40CM 11LT" u="1"/>
        <s v="VİDA TRAPEZ 5,5x32 MM" u="1"/>
        <s v="KABLO TELLİ 1X1 TURUNUCU" u="1"/>
        <s v="CİVATA PASLANMAZ M10X70" u="1"/>
        <s v="DUCATO REVIVA KOLTUK SASESI" u="1"/>
        <s v="WAX POLYESTER SV6" u="1"/>
        <s v="BUZDOLABI THETFORD 152 LT" u="1"/>
        <s v="KABLO TELLİ 6MM KIRMIZI" u="1"/>
        <s v="CİVATA  PASLANMAZ M8X25" u="1"/>
        <s v="HORTUM VANA KÜRESEL 1/2 METAL MAVİ" u="1"/>
        <s v="TUTKAL KONTAK PRES İÇİN" u="1"/>
        <s v="PVC BANT OPAK 0,8mm" u="1"/>
        <s v="BORU OPTİFLEX 42/13 MM" u="1"/>
        <s v="LİGHT DÜĞME SİYAH" u="1"/>
        <s v="SAC VİDASI 4,2X16 RYSB" u="1"/>
        <s v="LEDLİ ÇEVRE AYDINLATMA GRİ 10 CM" u="1"/>
        <s v="LEDLİ ÇEVRE AYDINLATMA BEYAZ 70CM" u="1"/>
        <s v="VİDA YHB 3,9X16" u="1"/>
        <s v="PSA GRUBU-KİRLİ SU DEPOSU-BAĞLANTI AYAĞI" u="1"/>
        <s v="SÜNGER İKİLİ KOLTUK TAKIM" u="1"/>
        <s v="DUŞ TAVASI-ELEKTRİKLİ SU ATIK TAHLİYESİ" u="1"/>
        <s v="KABLO YASSI 2X1,5MM SİYAH" u="1"/>
        <s v="KABLO SPRAL YARIKLI PG21" u="1"/>
        <s v="KABLO TELLİ 1X1 KIRMIZI" u="1"/>
        <s v="KABLO YASSI 2X2,5MM SİYAH" u="1"/>
        <s v="KABLO TELLİ 6MM SİYAH" u="1"/>
        <s v="ARA NIPEL DIRSEK 8 MM CIFT YUKSUK" u="1"/>
        <s v="LİGHT MEKANIZMA  Ç.B." u="1"/>
        <s v="KABLO TELLİ 1X1 MOR" u="1"/>
        <s v="KOLTUK  PSA TEKLİ" u="1"/>
        <s v="KABLO TELLİ 1X1 SARI" u="1"/>
        <s v="KABLO ANTİGRON 4X0,75 " u="1"/>
        <s v="KABLO TELLİ 1X1 SİYAH" u="1"/>
        <s v="MİNEFLO ZEMİN KAPLAMA ANTRASİT FORBO ETERNAL" u="1"/>
        <s v="SİNEKLİK DOMETİC FLY TEC FT200" u="1"/>
        <s v="THULE TENTE ÇATI BRAKETİ" u="1"/>
        <s v="BL11-PC KAPI KOLU MAT" u="1"/>
        <s v="MENTEŞE TAS FRENSİZ DÜZ " u="1"/>
        <s v="KONTRA KAVAK ESNEK 4 MM-122X244 SUYUNA" u="1"/>
        <s v="TAPA  KÖR PLASTİK 1/2 " u="1"/>
        <s v="VİDA SUNTA 3,5X30" u="1"/>
        <s v="CIVATA PASLANMAZ M8X130" u="1"/>
        <s v="WD 40 YAĞ SÖKÜCÜ 400 ML" u="1"/>
        <s v="MAXİ TÜP ALTLIK REVİVA" u="1"/>
        <s v="RAY TELESKOPİK 40 LIK BAS-AÇ" u="1"/>
        <s v="YUVARLAK NOKTA IŞIKLI ON-OFF ANAHTAR 12V" u="1"/>
        <s v="KABLO TELLİ 1X1 KAHVERENGİ" u="1"/>
        <s v="MAXİ TÜP 12KG GAZ REVİVA" u="1"/>
        <s v="KARAVAN CAM 500x300 DİK BUZLU" u="1"/>
        <s v="POP-UP SCA214 DUCATO" u="1"/>
        <s v="REVİVA İKİLİ KOLTUK BAŞLIĞI" u="1"/>
        <s v="KONTRA FALCATA 8 MM 122X250" u="1"/>
        <s v="PASLANMAZ KOLTUK KAFALIK" u="1"/>
        <s v="AKÜ 110 AH" u="1"/>
        <s v="TAHARET MUSLUĞU AÇ-KAPA" u="1"/>
        <s v="KUMAŞ RİVA 340 BAKALAVA" u="1"/>
        <s v="LAVABO LAVANDA " u="1"/>
        <s v="VALF MANIFOLD (VK 2-8)" u="1"/>
        <s v="MUSLUK LAVANDA " u="1"/>
        <s v="BANT KAĞIT 25MM" u="1"/>
        <s v="ALÜMİNYUM KÖŞE PROFİL SİYAH 2X2" u="1"/>
        <s v="SİGORTA KUTUSU MEGAVAL" u="1"/>
        <s v="ALÇIPAN VİDASI 3,5X35" u="1"/>
        <s v="SU DOLUM AĞZI BERHİMİ BEYAZ" u="1"/>
        <s v="04519HGF19 POMPA JAKI DİŞİ" u="1"/>
        <s v="BANT KAĞIT 50" u="1"/>
        <s v="AKRİLİK LAVABOLU TEZGAH CRAFTER CAN 1336" u="1"/>
        <s v="MIKNATIS STOR KAPI SABİTLEME" u="1"/>
        <s v="PVC BANT 22X080 HG WENGE SKALA 3080 PARLAK" u="1"/>
        <s v="PUSH BUTTON MİNİ BL02N-WC YUVARLAK KROM PARLAK" u="1"/>
        <s v="PVC EĞRİ KENAR BONCUK TUTKAL" u="1"/>
        <s v="076UTK26S TOZ KAPAĞI" u="1"/>
        <s v="KAPI STOPERİ" u="1"/>
        <s v="REVİVA DUCATO KUŞ TÜYÜ YAYLI YATAK DOUBLE COMFORT" u="1"/>
        <s v="SARI NİPEL 1 1/2" u="1"/>
        <s v="REVİVA TEMİZ SU TANKI BEYAZ HOTOMOBİL" u="1"/>
        <s v="SOLVENT MOBİLYA TUTKAL TEMİZLEME 3 NUMARA" u="1"/>
        <s v="AKÜ ŞALTERİ DEVRE KESİCİ 12V-24V 300A" u="1"/>
        <s v="KOLTUK POLYESTER KAPAMA" u="1"/>
        <s v="OCTOOPİ ŞAMANDIRA 50 CM" u="1"/>
        <s v="PSA GRUBU-DUŞ TAVASI-BAĞLANTI AYAK 03" u="1"/>
        <s v="DUVAR DUŞ SETİ" u="1"/>
        <s v="TENTE FİAMMA 2.60 SİYAH" u="1"/>
        <s v="PSA GRUBU-DUŞ TAVASI-BAĞLANTI AYAK 01" u="1"/>
        <s v="ELEKTRIKLI BASAMAK LEDLI 400MM" u="1"/>
        <s v="BATARYA FREEDOM-REVİVA MUTFAK" u="1"/>
        <s v="KABLO SPRAL BORU YARIKLI PG12" u="1"/>
        <s v="SİKAFLEX 252 BEYAZ KARTUŞ 300ML" u="1"/>
        <s v="PVC BANT 40X08 7104 WENGE 3080 MAT" u="1"/>
        <s v="SARI REKOR 1 1/2 40 mm" u="1"/>
        <s v="DÖNER BANYO MEKANİZMASI" u="1"/>
        <s v="KEMER EMNİYET 3 NOKTA KREM" u="1"/>
        <s v="MİNİ ROLE 12V DİYOTLU 40A" u="1"/>
        <s v="KUMAŞ KREM STEP 20" u="1"/>
        <s v="ÇİFT GÖZLÜ CAN OCAK 1336" u="1"/>
        <s v="MİNEFLO ZEMİN KAPLAMA FORBO SARLON PREMIO" u="1"/>
        <s v="RAPTOR LİNER TİNTABLE(RAL 6013)" u="1"/>
        <s v="MONITOR KAMERA AHD KABLOSUZ KAMERA SETI" u="1"/>
        <s v="CİVATA IMBUS M6x40 SİYAH" u="1"/>
        <s v="KARTUŞ DEK-6252034 DEKASYL MS-2 SİYAH" u="1"/>
        <s v="KUMAŞ RİVA 340" u="1"/>
        <s v="HIDROFOR 12V 10 LITRE 2.1 BAR" u="1"/>
        <s v="PSA GRUBU-DUŞ TAVASI-BAĞLANTI AYAK 02" u="1"/>
        <s v="KONTRA KAVAK 14 MM-170X220" u="1"/>
        <s v="04519DU26 POMPA JAKI ERKEK" u="1"/>
        <s v="REVİVA FORD SOL KÖŞE ÇEKMECE RAF SİPERLİK" u="1"/>
        <s v="FLEXİ KLOZET BAĞLANTI HORTUMU DİŞİ 3,8X3,8 70CM" u="1"/>
        <s v="ASD LAMİNAT 3080 PARLAK/FUJİ 1300x100000Rx0,6" u="1"/>
        <s v="OCTOOPİ ŞAMANDIRA 20 CM" u="1"/>
        <s v="DC-DC 40A CHARGER TEK YÖN" u="1"/>
        <s v="TAVAN ÇITASI GUMUS" u="1"/>
        <s v="POMPA JAKI CONTA" u="1"/>
        <s v="SARI DİRSEK 1 1/2" u="1"/>
        <s v="SARI MANŞON 1 1/2" u="1"/>
        <s v="SARI HORTUM REKORU 10MM 3/8 İÇ DİŞLİ" u="1"/>
        <s v="U-FRİGO 12 V TAVAN KLİMASI" u="1"/>
        <s v="F45 S MOTOR KIT COMPACT" u="1"/>
        <s v="MACERATÖR POMPA JOHNSON TA3P10-19 12V" u="1"/>
        <s v="HLOK19S­20 MACERATÖR POMPA HORTUM" u="1"/>
        <s v="AKÜ LİTYUM 150 AH" u="1"/>
        <s v="AYARLANABİLİR KAŞIKLIK 35,5-31cmX52-35,5cm" u="1"/>
        <s v="VİMAR AMERİKAN TİP PRİZ" u="1"/>
        <s v="ÇADIR MAKAS KAPAĞI" u="1"/>
        <s v="25X125 A4 İNOX SÜRGÜ " u="1"/>
        <s v="SİYAH PLASTİK TUTAMAK" u="1"/>
        <s v="PASLANMAZ MİL ÇAP 5" u="1"/>
        <s v="YUMA 50 MM ŞİFRELİ ASMA KİLİT" u="1"/>
        <s v="BASKILI ASTAR TELA" u="1"/>
        <s v="ATLAS ÇADIR KUMAŞI " u="1"/>
        <s v="KARAVAN DIŞ 220V ERKEK GİRİŞ SİYAH ABL" u="1"/>
        <s v="PASTA SÜNGERİ" u="1"/>
        <s v="ZIMPARA ORBİTAL 1000" u="1"/>
        <s v="ZIMPARA ORBİTAL 1500" u="1"/>
        <s v="ZIMPARA ORBİTAL 800" u="1"/>
        <s v="ZIMPARA SU 2000" u="1"/>
        <s v="ZIMPARA SU 1500" u="1"/>
        <s v="SOMUN PASLANMAZ M10 " u="1"/>
        <s v="ÖRTÜ HIŞIR" u="1"/>
        <s v="POST RULO- 10luk POLYESTER" u="1"/>
        <s v="ZIMPARA SU 1000" u="1"/>
        <s v="ZIMPARA SU 2500" u="1"/>
        <s v="MENTEŞE 5X5 SİYAH" u="1"/>
        <s v="ORBİTAL ZIMPARA 3000" u="1"/>
        <s v="PASTA SARI SÜNGER" u="1"/>
        <s v="3M 9374 KALIN  PASTA 1 LT" u="1"/>
        <s v="RAPTOR LINER TINTABLE (KİT)  MAT SİYAH(RAL9005)" u="1"/>
        <s v="KAPI MOHİKAN" u="1"/>
        <s v="TUVALET PORTATİF 565 E-ELEKTRİKLİ" u="1"/>
        <s v="GLA-GLA XL &quot;HOTOMOBİL&quot; KABARTMA LOGO 60CM" u="1"/>
        <s v="GAZ HAVALANDIRMA ÇAP 75MM" u="1"/>
        <s v="ORGANİZATOR PANO ANAHTARLIK BEYAZ" u="1"/>
        <s v="ORGANİZATOR PANO  LASTIK BEYAZ" u="1"/>
        <s v="MİNEFLO ZEMİN KAPLAMA NOVA AKUSTİK" u="1"/>
        <s v="GÖVDE BAĞLANTI YÜK KANCASI" u="1"/>
        <s v="EBERSPACHER EGZOZ  SUSTURUCU" u="1"/>
        <s v="EBERSPACHER EGZOZ KELEPÇESİ 26-28 MM" u="1"/>
        <s v="ÇADIR YAPRAK MENTEŞE SİYAH HAFELE 102X76X3" u="1"/>
        <s v="EUROPE 13 PIN TRAILER PLUG (SOKET)" u="1"/>
        <s v="EUROPE 13 PIN TRAILER CONNECTOR(FIS)" u="1"/>
        <s v="DEMİR LAMA 5MM" u="1"/>
        <s v="KUM PALETİ ASKI HAZIRLIĞI" u="1"/>
        <s v="TUVALET KASETLİ C 223-CS (SIRTLI)" u="1"/>
        <s v="KLİMA AVENTA COMPACT PLUS" u="1"/>
        <s v="KARAVAN KAPISI HARTAL MODEL1 1754X580mm" u="1"/>
        <s v="KARAVAN KAPISI HARTAL MODEL2 1718X550mm" u="1"/>
        <s v="1754X580 HARTAL KAPI SİNEKLİK " u="1"/>
        <s v="ALBİNA TENTE ÇITASI BEYAZ" u="1"/>
        <s v="FLEX LED" u="1"/>
        <s v="SOMUN PASLANMAZ KÖR M10" u="1"/>
        <s v="HARTAL KAPI FİTİLİ SİYAH" u="1"/>
        <s v="URBAN BADGER ARAÇ ÜSTÜ ÇADIR GÖVDE" u="1"/>
        <s v="SİYAH TELA 70GR" u="1"/>
        <s v="KUMAŞ ROMA 13 MAVİMSİ" u="1"/>
        <s v="İZOLELİ KABLO YÜKSÜĞÜ 1MM SİYAH" u="1"/>
        <s v="İzoleli Kablo Yüksüğü 2,5 MM SİYAH" u="1"/>
        <s v="İZOLELİ KABLO YÜKSÜĞÜ 6 MM SİYAH" u="1"/>
        <s v="KABLO SPRAL BORU YARIKLI PG11" u="1"/>
        <s v="KABLO SPRAL BORU YARIKLI PG13,5" u="1"/>
        <s v="KABLO SPRAL BORU YARIKLI PG19" u="1"/>
        <s v="KABLO SPRAL BORU YARIKLI 10 LUK PG9 " u="1"/>
        <s v="KABLO SPİRAL BORU YARIKLI PG5" u="1"/>
        <s v="KABLO SPİRAL BORU YARIKLI PG16" u="1"/>
        <s v="KABLO SPİRAL BORU YARIKLI PG29" u="1"/>
        <s v="VİDA PASLANMAZ MERCİMEK 3,5X25" u="1"/>
        <s v="TAPA BEYAZ 14 MM" u="1"/>
        <s v="VİDA 3,5X35 MERCİMEK BAŞLI SİYAH" u="1"/>
        <s v="3M PETEKLİ REFLEKTİF BANT 50MMX5M BEYAZ" u="1"/>
        <s v="SİLİKONİZE AKRİLİK MASTİK GRİ" u="1"/>
        <s v="GLA-GLA XL &quot;HOTOMOBİL&quot; KABARTMA LOGO 30CM" u="1"/>
        <s v="PROTEBIL WRP BEYAZ AHSAP TUTKALI" u="1"/>
        <s v="MAKARON 10MM " u="1"/>
        <s v="İzoleli Kablo Yüksüğü 2,5 MM KIRMIZI" u="1"/>
        <s v="LED ŞERİT GÜN IŞIĞI" u="1"/>
        <s v="SUNİ DERİ DUCATİ 316 TABA" u="1"/>
        <s v="USA 7 PİN TRAİLER PLUG" u="1"/>
        <s v="USA 7 PİN MALE TRAİLER CONNECTOR SOCKET" u="1"/>
        <s v="VİDA PASLANMAZ MERCİMEK 3,5X19" u="1"/>
        <s v="TAPA SİYAH 14 MM" u="1"/>
        <s v="KABLO 3X25 MM TTR SİYAH Pvc Enerji Kablosu" u="1"/>
        <s v="L DEMİR EBERSPACHER" u="1"/>
        <s v="VİDA PASLANMAZ 3.9X13" u="1"/>
        <s v="KABLO SPRAL BORU YARIKLI PG18" u="1"/>
        <s v="İzoleli Kablo Yüksüğü 6 MM KIRMIZI" u="1"/>
        <s v="VİDA HAVŞA BAŞLI  M4X25" u="1"/>
        <s v="LAMİNANT RULO PARKE DESEN 3197" u="1"/>
        <s v="BOYA TULUMU BEYAZ (TK)" u="1"/>
        <s v="HEKİ FANLI 28X28 BEYAZ EINSTEIN" u="1"/>
        <s v="BALDACCI BAS CEK KILIT SIYAH" u="1"/>
        <s v="METYX Q625 MULTİAXİAL CAM ELYAF" u="1"/>
        <s v="BALDACCI BAS CEK KILIT BEYAZ" u="1"/>
        <s v="L DEMİR 50X50" u="1"/>
        <s v="CİVATA PASLANMAZ M8X60" u="1"/>
        <s v="ŞARJLI OTOMATİK DAMACANA SU POMPASI" u="1"/>
        <s v="HALKA KÖPRÜ NO 1-20553" u="1"/>
        <s v="GERGI KILITI M8427" u="1"/>
        <s v="TAVAN ÇITASI SIYAH ARA ATKI" u="1"/>
        <s v="KANCALI BAGAJ LASTIGI 100CM" u="1"/>
        <s v="LASTİK PENCERE FİTİLİ" u="1"/>
        <s v="SİYAH PANO DOLAP KİLİDİ" u="1"/>
        <s v="KUMAŞ ROMA 02" u="1"/>
        <s v="URBAN BADGER TELESKOPIK MERDIVEN 3.2M" u="1"/>
        <s v="LED KANALI KROM 2.5X1" u="1"/>
        <s v="ALÜMİNYUM KÖŞE PROFİL SİYAH 2X4" u="1"/>
        <s v="ÇEKTİRME PLASTİK BEYAZ" u="1"/>
        <s v="VİDA 3X50 MERCİMEK BAŞLI" u="1"/>
        <s v="UFAK PUL PASLANMAZ M10" u="1"/>
        <s v="CİVATA M6X120 ALTIGEN BAŞLI" u="1"/>
        <s v="POP PERÇİN 4,8X25" u="1"/>
        <s v="BOYA AKRİLİK  TENEKE 7016 KOYU GRİ" u="1"/>
        <s v="SİLİKON ANTRASİT" u="1"/>
        <s v="PE KÖPÜK 1000x2000x30" u="1"/>
        <s v="360 DERECE MASA AYAK GXL DODGE RAM EDİTİON" u="1"/>
        <s v="TAM AÇILIM 120 CM MAFSALLI AMORTİSÖR" u="1"/>
        <s v="EVACOOL 12 V TAVAN KLİMASI" u="1"/>
        <s v="KONTRA KAVAK 5 MM-170X220 " u="1"/>
        <s v="PROTEBİL WRP BEYAZ AHŞAP TUTKALI" u="1"/>
        <s v="SARI 1/2 DIŞ DİŞLİ REKOR 10 MM" u="1"/>
        <s v="GLADİATOR-GXLD PİS SU TANKI 18LT SİYAH 16X56X25" u="1"/>
        <s v="GLADİATOR-GXLD TEMİZ SU TANKI 47LT BEYAZ 40X56X25" u="1"/>
        <s v="SU BİDONU BEYAZ 20 LT" u="1"/>
        <s v="SU BİDONU GRİ 20 LT" u="1"/>
        <s v="AKU SLIM 150 LIFEP04" u="1"/>
        <s v="ORCAMP MİNİ ÇANTALI KAMP OCAĞI" u="1"/>
        <s v="CERRAHİ ELDİVEN" u="1"/>
        <s v="KUMAŞ ROMA 04 AÇIK KAHVE" u="1"/>
        <s v="KABLO YASSI 2X0,75 MM SİYAH" u="1"/>
        <s v="MENFEZ PLASTİK 12x12" u="1"/>
        <s v="RAY TELESKOBİK BİLYALI 53MMX45CM KİLİTLİ" u="1"/>
        <s v="RAY 45 LIK TELESKOPIK FRENSIZ " u="1"/>
        <s v="KARAVAN CAM 450X500 BERHIMI" u="1"/>
        <s v="ARA NİPEL 8 MM GAZ DEVRESİ" u="1"/>
        <s v="KUMAŞ ALCANTARA GRİ" u="1"/>
        <s v="KARAVAN DIŞ 220V ERKEK GİRİŞ SİYAH" u="1"/>
        <s v="KAÇAK AKIM ROLESİ 40 AMPER" u="1"/>
        <s v="RONİN-GXLE TEMİZ SU TANKI 77LT BEYAZ 48X75X21" u="1"/>
        <s v="PLASTİK SİYAH KUYRUKLU MENTEŞE" u="1"/>
        <s v="PİSTON 400 NEWTON" u="1"/>
        <s v="MENTEŞE 70x45 SİYAH" u="1"/>
        <s v="PUL GALVANİZ M10" u="1"/>
        <s v="İKİLİ SİYAH DIŞ MENFEZ " u="1"/>
        <s v="Tekli Portatif Ocak Köşeli" u="1"/>
        <s v="AYNA GLADİATOR 360x380" u="1"/>
        <s v="TAHARET MUSLUĞU AÇ-KAPA UZATMA 1/2 2CM" u="1"/>
        <s v="KLIMA SUGA 12V" u="1"/>
        <s v="KLİMA MAXXAİR 2,4KW 103X66X26" u="1"/>
        <s v="AYNA GLADİATOR GSM" u="1"/>
        <s v="INVERTOR 1500W TAM SINUS" u="1"/>
        <s v="BERHIMI BRAKET OZEL URETIM" u="1"/>
        <s v="TENTE BERHİMİ 2,5M SİYAH" u="1"/>
        <s v="BOYA AKRİLİK TENEKE 6013 HAKİ" u="1"/>
        <s v="ÇADIR MENTEŞE KAPAĞI" u="1"/>
        <s v="BUZDOLABI BERHİMİ 85 LT " u="1"/>
        <s v="CİVATA PASLANMAZ M8X80" u="1"/>
        <s v="AYNA GLADİATOR 720x560 USA" u="1"/>
        <s v="PARK LAMBASI KIRMIZI" u="1"/>
        <s v="SF2D DISI TERMINAL FIS KILIFI" u="1"/>
        <s v="ZIMPARA ORBİTAL 1200" u="1"/>
        <s v="ZIMPARA ORBİTAL 60" u="1"/>
        <s v="TV ASKISI VE HAZIRLIĞI METAL SİYAH" u="1"/>
        <s v="PARAFİN ÇÖZELTİCİ" u="1"/>
        <s v="MACUN BEYAZ" u="1"/>
        <s v="SİGORTA 30AH 220W" u="1"/>
        <s v="VİDA PASLANMAZ 3X8" u="1"/>
        <s v="VİDA PASLANMAZ 4X20" u="1"/>
        <s v="BOYA AKRILIK TENEKE 9016 MAT BEYAZ" u="1"/>
        <s v="OCTOOPİ 4,3İNC" u="1"/>
        <s v="KÖDİPLAST BUTİL 570ML" u="1"/>
        <s v="USA KABLO UCU DİŞİ FİŞ" u="1"/>
        <s v="POLİKOR POLİFİBRO MİKRO FİBER MACUN 500GR" u="1"/>
        <s v="ARAÇ BİLGİ ETİKETİ - USA" u="1"/>
        <s v="KARAVAN CAM 300X700 SUGA" u="1"/>
        <s v="ELEKTRIKLI ISITICI 1500W 110V" u="1"/>
        <s v="KARAVAN CAM 450X1100 SUGA" u="1"/>
        <s v="ELEKTRIKLI OCAK 1200W 110V" u="1"/>
        <s v="AKÜ 100 AH" u="1"/>
        <s v="USA 125V PASLANMAZ ÇELİK GÜÇ GİRİŞİ 30A" u="1"/>
        <s v="PARK LAMBASI SARI" u="1"/>
        <s v="LED ARAC USTU 12V 150W 78CM" u="1"/>
        <s v="VİMAR AMERİKAN TİP 3 LÜ ANAHTAR VE PRİZ SETİ" u="1"/>
        <s v="ÇAP 90X75 MM KROM MAVLİ LEDLİ BARDAK TUTUCU" u="1"/>
        <s v="INVERTÖR 3000W 110V" u="1"/>
        <s v="DIS PRIZ SIVA USTU 110V 20A" u="1"/>
        <s v="TELEVIZYON ANDROID 24INC AKILLI TV" u="1"/>
        <s v="ALBİNA TENTE ÇEVİRME KOLU SİYAH" u="1"/>
        <s v="KARAVAN CAM 450X900 SUGA" u="1"/>
        <s v="WERD ELEKTRİKLİ SU ISITICI BOİLER 12 V" u="1"/>
        <s v="MAKARON 9,5 MM KIRMIZI" u="1"/>
        <s v="KABLO NYAF 25 MM KIRMIZI" u="1"/>
        <s v="KABLO NYAF 25 MM SİYAH" u="1"/>
        <s v="MAKARON 10  MM SİYAH" u="1"/>
        <s v="EUROPE 13 PIN TRAILER PLUG" u="1"/>
        <s v="EUROPE 13 PIN TRAILER CONNECTOR" u="1"/>
        <s v="PABUÇ SKP 25-6" u="1"/>
        <s v="PABUÇ SKP 25-8" u="1"/>
        <s v="TELESKOBİK RAY 40 LIK FRENSİZ" u="1"/>
        <s v="ANDROID BOX" u="1"/>
        <s v="TELEVİZYON 20 ''" u="1"/>
        <s v="GLADİATÖR TENTE BRAKETİ" u="1"/>
        <s v="SOLAR PANEL 155W" u="1"/>
        <s v="KARAVAN DIŞ 220V ERKEK GİRİŞ SİYAH WESTACC" u="1"/>
        <s v="DC-DC 30A CHARGER TEK YÖN" u="1"/>
        <s v="ZIMPARA SU 1200" u="1"/>
        <s v="VİDA SUNTA 4X60" u="1"/>
        <s v="PASTA OTO" u="1"/>
        <s v="KORTEL-ELYAF TÜLÜ" u="1"/>
        <s v="SERVİS KAPISI 3 SİYAH" u="1"/>
        <s v="PVC BANT 22X0,80 ANTRASİT 5024 ROMA MARKA 22X0,80" u="1"/>
        <s v="RAPTOR LİNER TİNTABLE(RAL 9016)" u="1"/>
        <s v="KARAVAN TUVALET TAHARET MUSLUĞU" u="1"/>
        <s v="DUŞLUK 40X60 BOĞAZ" u="1"/>
        <s v="DUŞLUK KARE ÇERÇEVE" u="1"/>
        <s v="OKUMA LAMBA TUTUCU" u="1"/>
        <s v="BARA KAPAĞI" u="1"/>
        <s v="GİDER KAPAĞI" u="1"/>
        <s v="USA 30A 110V KARAVAN ŞARJI İÇİN ERKEK UÇ" u="1"/>
        <s v="SİGORTA KUTUSU 3/4 KAPAKLI" u="1"/>
        <s v="OKUMA LAMBASI 12V DOMETİC" u="1"/>
        <s v="OTOMAT B1X32A" u="1"/>
        <s v="İNVERTÖR 2000W 110V" u="1"/>
        <s v="GXL SHORT  BANYO ZEMİNİ KOMPAKT" u="1"/>
        <s v="SİNEKLİKLİ GÜNEŞLİKLİ  MUTFAK CAM OPSİYON SARFI" u="1"/>
        <s v="SİNEKLİKLİ GÜNEŞLİKLİ  YATAK ÖN CAM OPSİYON SARFI" u="1"/>
        <s v="DIŞ AYDINLATMA PAKETİ OPSİYON SARFI" u="1"/>
        <s v="KABİN ISITMA SİSTEMİ OPSİYON SARFI" u="1"/>
        <s v="GLADİATOR XL EXTENDED GÖVDE STANDART BEYAZ" u="1"/>
        <s v="GLA - GXL YÜKLEME AYAĞI OPSİYON SARFI" u="1"/>
        <s v="AYNA GLADİATOR XL 480x540 USA" u="1"/>
        <s v="BOYA AKRİLİK SPREY 9016 MAT BEYAZ" u="1"/>
        <s v="KARAVAN CAM 300X700" u="1"/>
        <s v="KARAVAN CAM 500X900" u="1"/>
        <s v="THETFORD 90 LT BUZDOLABI  T-2090-C" u="1"/>
        <s v="OCTOOPİ HABERLEŞME KABLOSU 8M" u="1"/>
        <s v="TAPA PURJÖR" u="1"/>
        <s v="TÜP TAŞIYICI DIŞ" u="1"/>
        <s v="HİDRAFOR 1.9" u="1"/>
        <s v="GXLE PİS SU TANKI 75LT SİYAH 48X75X21" u="1"/>
        <s v="GLADIATOR AYAK VK10-SH-X" u="1"/>
        <s v="SOLAR ENERJİ SİSTEMİ 110W OPSİYON SARFI" u="1"/>
        <s v="URBAN BADGER ARAÇ ÜSTÜ ÇADIR SARFI" u="1"/>
        <s v="GLAİDİATOR XL EXTENDED DIŞ KORUYUCU MAT KAPLAMA" u="1"/>
        <s v="GLADİATOR XL KABLO DEMETİ" u="1"/>
        <s v="GLADİATOR XL EXTENDED MOBİLYA TAKIMI DELUXE" u="1"/>
        <s v="GLADİATOR XL MİNDER TAKIMI DELUXE" u="1"/>
        <s v="GLADİATOR XL EXTENDED PİS SU TANKI YARI MAMÜL" u="1"/>
        <s v="GLADİATOR XL EXTENDED SARF" u="1"/>
        <s v="GLADİATOR XL EXTENDED TEMİZ SU TANKI YARI MAMÜL" u="1"/>
        <s v="GLADİATOR XL YATAK" u="1"/>
        <s v="SİKAFLEX 291İ SİYAH KARTUŞ" u="1"/>
        <s v="ÇİVİ TABANCA 15 MM" u="1"/>
        <s v="IMBUS CIVATA HAVSA BAS M6X16 SİYAH ÇADIR" u="1"/>
        <s v="SÜZGEÇ KAĞIT " u="1"/>
        <s v="POST RULO- 20LİK POLYESTER" u="1"/>
        <s v="SERTLEŞTİRİCİ AKRİLİK SON KAT HIZLI" u="1"/>
        <s v="POLYUERA HAMMADDE PR-820" u="1"/>
        <s v="POLYUERA ISO" u="1"/>
        <s v="VİDA PAZLANMAZ 4X25 " u="1"/>
        <s v="BANT CAM SABİTLEME" u="1"/>
        <s v="MENTEŞE-PİSTON 80LIK" u="1"/>
        <s v="MAŞON 8MM GAZ DEVRESİ" u="1"/>
        <s v="CİVATA PASLANMAZ  M 10X50  " u="1"/>
        <s v="MİNEFLO ZEMİN KAPLAMA ANTRASİT FROBO ETERNAL" u="1"/>
        <s v="MAKARON 6,4 MM " u="1"/>
        <s v="RAPTOR LINER TINTABLE (KİT) MAT BEYAZ(RAL9016)" u="1"/>
        <s v="RAPTOR LINER TINTABLE (KİT)  GRİ RAL(RAL7016)" u="1"/>
        <s v="RAPTOR 2K BEDLINER SPREY MAT SIYAH(RAL 9005)–400ML" u="1"/>
        <s v="RAPTOR LINER TINTABLE (KİT)  HAKİ(RAL6013)" u="1"/>
        <s v="KOMBİNE ANAHTAR" u="1"/>
        <s v="KARAVAN CAM 450X500" u="1"/>
        <s v="TİNER SELÜLOZİK - SÜPER" u="1"/>
        <s v="VİDA PASLANMAZ 3,5X15" u="1"/>
        <s v="RAY 30 LUK TELESKOBİK FRENSİZ" u="1"/>
        <s v="KAÇAK AKIM RÖLESİ 1X40 30MA" u="1"/>
        <s v="KARAVAN KAPISI 58X181" u="1"/>
        <s v="KARAVAN CAM 300X500 JARUP" u="1"/>
        <s v="RAPTOR LINER TINTABLE (KİT)  ÇÖL RAL(RAL1001)" u="1"/>
        <s v="TENTE DOMETİC 3M ANTRASİT" u="1"/>
        <s v="ÇİFT GİRİŞLİ YÜKSÜK 10 MM KAHVERENGİ" u="1"/>
        <s v="İNVERTÖR 1000W 110V" u="1"/>
        <s v="KARAVAN CAM 300X700 JARUP" u="1"/>
        <s v="KARAVAN CAM 500X900 JARUP" u="1"/>
        <s v="KARAVAN CAM 300X500" u="1"/>
        <s v="KARAVAN CAM 450X500 JARUP" u="1"/>
        <s v="KARTUŞ DEK-6250112 DEKASEAL 8936  ANTRASİT" u="1"/>
        <s v="ZIMPARA KUM 40" u="1"/>
        <s v="KONNEKTÖR TAKIMI SU GECİRMEZ OVAL 2 PİN" u="1"/>
        <s v="VİDA SUNTA 4x50" u="1"/>
        <s v="URBAN BADGER KUM PALETİ SİYAH" u="1"/>
        <s v="GLADİATOR XL SHORT TEMİZ SU TANKI YARI MAMÜL" u="1"/>
        <s v="GLADİATOR XL SHORT GÖVDE STANDART BEYAZ" u="1"/>
        <s v="GLADİATOR XL SHORT PİS SU TANKI YARI MAMÜL" u="1"/>
        <s v="SOLAR ENERJİ SİSTEMİ 205W OPSİYON SARFI" u="1"/>
        <s v="KONNEKTÖR TAKIMI SU GECİRMEZ OVAL 3 PİN" u="1"/>
        <s v="GLAİDİATOR XL SHORT DIŞ KORUYUCU MAT KAPLAMA" u="1"/>
        <s v="GLADİATOR XL SHORT MOBİLYA TAKIMI DELUXE" u="1"/>
        <s v="GLADİATOR XL SHORT SARF" u="1"/>
        <s v="KONNEKTÖR TAKIMI 1K001E SOKET 1 PİN" u="1"/>
        <s v="VİDALI KROŞE BEYAZ EK06" u="1"/>
        <s v="KELEPCE PASLANAMAZ 10-16" u="1"/>
        <s v="BIÇAK SİGORTA 3 AYAKLI" u="1"/>
        <s v="ÇİN HEKİ 28X28 SİYAH" u="1"/>
        <s v="USA 125V PASLANMAZ CELIK GUC GIRISI 50A" u="1"/>
        <s v="ÇADIR M8X10 CM SAPLAMA FORD" u="1"/>
        <s v="SOLAR PANEL KONNEKTOR Y TİPİ 2Lİ" u="1"/>
        <s v="VİDA PASLANMAZ 4X16 MERCİMEK BAŞLI" u="1"/>
        <s v="GLADİATOR PİS SU TANKI YARI MAMÜL" u="1"/>
        <s v="RONİN-GXLS PİS SU TANKI 50LT SİYAH 48X48X22" u="1"/>
        <s v="ÇADIR M8X7 CM SAPLAMA" u="1"/>
        <s v="GLADİATOR TEMİZ SU TANKI YARI MAMÜL" u="1"/>
        <s v="GXLS TEMİZ SU TANKI 50LT BEYAZ 48X48X22" u="1"/>
        <s v="3D BASKI ÇADIR MAKAS KAPAĞI" u="1"/>
        <s v="SPANZET KAYIŞI" u="1"/>
        <s v="ÇADIR BAĞLANTI BRAKETİ" u="1"/>
        <s v="3D BASKI ÇADIR MENTEŞE KAPAĞI" u="1"/>
        <s v="ÇADIR T SOMUN (KAYAR SOMUN)" u="1"/>
        <s v="VıDA PASLANMAz HAVSA BAS M3X20" u="1"/>
        <s v="ÇADIR M8 KÖŞE FLANŞLI SOMUN" u="1"/>
        <s v="CIFT GOZ OCAK KOMBINASYONLU IZGARALI" u="1"/>
        <s v="BOYA AKRİLİK TENEKE 1001 ÇÖL" u="1"/>
        <s v="KEÇE YATAK ZEUGMA V-143" u="1"/>
        <s v="ALUMINYUM ÇADIR RAYI" u="1"/>
        <s v="SUNİ DERİ DUCATİ 901 SİYAH" u="1"/>
        <s v="KUMAŞ ROMA 05 SARIMSI" u="1"/>
        <s v="URBAN BADGER ARAÇ ÜSTÜ ÇADIR KOLİ" u="1"/>
        <s v="HARTAL KARAVAN KAPISI MODEL 2 SAĞ(1718X550)" u="1"/>
        <s v="USA 125V PASLANMAZ ÇELİK GÜÇ GİRİŞİ" u="1"/>
        <s v="KÜÇÜK KÜREK KELEPÇESİ-SR1635" u="1"/>
        <s v="MAKARON 3.2" u="1"/>
        <s v="USA 110V PASLANMAZ ÇELİK GÜÇ GİRİŞİ" u="1"/>
        <s v="HAFELE CH300 DOLAP MENTEŞESİ" u="1"/>
        <s v="POLİYA POLİJEL F 215 LACİVERT (RAL-5011)" u="1"/>
        <s v="BOYA AKRİLİK TENEKE 5011 LACİVERT" u="1"/>
        <s v="KARTUŞ DEK-6252434 DEKASYL MS-5 SİYAH" u="1"/>
        <s v="POLİYA POLİJEL 215 (LACİVERT RAL-5011)" u="1"/>
        <s v="RAY 35 LİK" u="1"/>
        <s v="RÖTÜŞ KALEM SİYAH" u="1"/>
        <s v="RÖTÜŞ KALEM BEYAZ" u="1"/>
        <s v="SERTLEŞTİRİCİ AKRİLİK SON KAT" u="1"/>
        <s v="KUMAŞ SUNİ DERİ İNCE KREM" u="1"/>
        <s v="URBAN BADGER KUM PALETİ TURUNCU" u="1"/>
        <s v="ANAHTAR DÜĞME SİYAH" u="1"/>
        <s v="KOMÜTATOR VAVİEN DÜĞME SİYAH" u="1"/>
        <s v="KOMÜTATÖR VAVİEN MEKANİZMA Ç.B." u="1"/>
        <s v="ANAHTAR MEKANİZMA  Ç.B." u="1"/>
        <s v="Karavan Dış 220V Erkek Giriş BEYAZ" u="1"/>
        <s v="TRANSFER SWİTCH 20A" u="1"/>
        <s v="FLEX LED DOLAP SENSÖRÜ" u="1"/>
        <s v="AKÜ LİTYUM 300 AH" u="1"/>
        <s v="JOKON DIŞ AYDINLATMA WW 350" u="1"/>
        <s v="GLA BANYO ZEMİNİ KOMPAKT" u="1"/>
        <s v="ADVENTURE PAKET OPSİYON SARFI" u="1"/>
        <s v="GLADİATOR TENTE OPSİYON SARFI" u="1"/>
        <s v="GLADİATOR GÖVDE BANYOSUZ STANDART BEYAZ" u="1"/>
        <s v="GLADİATOR GÖVDE BANYOLU STANDART BEYAZ" u="1"/>
        <s v="BUZDOLABI OPSİYON SARFI" u="1"/>
        <s v="GLADİATOR BANYOSUZ MİNDER TAKIMI SİS" u="1"/>
        <s v="GLADİATOR BANYOSUZ MİNDER TAKIMI MANDARİN" u="1"/>
        <s v="GLADİATOR BANYOSUZ MİNDER TAKIMI SEDEF" u="1"/>
        <s v="GLAİDİATOR DIŞ KORUYUCU MAT KAPLAMA" u="1"/>
        <s v="DIŞ DUŞ PERDESİ OPSİYON SARFI" u="1"/>
        <s v="EK AKÜ OPSİYON SARFI" u="1"/>
        <s v="GLADİATOR KABLO DEMETİ" u="1"/>
        <s v="KLİMA MAXXAİR-AVENTA OPSİYON SARFI" u="1"/>
        <s v="DIŞA AÇILIR MASA OPSİYON SARFI" u="1"/>
        <s v="KİNG SİZE YATAK SİS" u="1"/>
        <s v="KİNG SİZE YATAK MANDALİN" u="1"/>
        <s v="KİNG SİZE YATAK SEDEF" u="1"/>
        <s v="GLADİATOR BANYOLU MOBİLYA TAKIMI SİS" u="1"/>
        <s v="GLADİATOR BANYOLU MOBİLYA TAKIMI SEDEF" u="1"/>
        <s v="GLADİATOR BANYOLU MOBİLYA TAKIMI MANDARİN" u="1"/>
        <s v="GLADİATOR BANYOSUZ MOBİLYA TAKIMI SİS" u="1"/>
        <s v="GLADİATOR BANYOSUZ MOBİLYA TAKIMI SEDEF" u="1"/>
        <s v="GLADİATOR BANYOSUZ MOBİLYA TAKIMI MANDARİN" u="1"/>
        <s v="GLADİATOR BANYOLU MİNDER TAKIMI SİS" u="1"/>
        <s v="GLADİATOR BANYOLU MİNDER TAKIMI MANDARİN" u="1"/>
        <s v="GLADİATOR BANYOLU MİNDER TAKIMI SEDEF" u="1"/>
        <s v="GLADİATOR BANYOLU SARF" u="1"/>
        <s v="GLADİATOR BANYOSUZ SARF" u="1"/>
        <s v="UZUN TAVAN MERDİVENİ OPSİYON SARFI" u="1"/>
        <s v="GLADİATOR XL SHORT GÖVDE JELKOT LACİVERT" u="1"/>
        <s v="GLADİATOR XL DODGE RAM GÖVDE STANDART BEYAZ" u="1"/>
        <s v="GLADİATOR YATAK" u="1"/>
        <s v="GLADİATOR YATAK KİNG SİZE EK" u="1"/>
        <s v="PUSH BUTTON MİNİ BL02N-WPC YUVARLAK KROM MAT" u="1"/>
        <s v="PUSH BUTTON BL01N-BPC YUVALAR KROM MAT" u="1"/>
        <s v="VİDA SUNTA 4X80" u="1"/>
        <s v="VİDA SUNTA 4X100" u="1"/>
        <s v="BOYA AKRİLİK TENEKE 9016 PARLAK BEYAZ" u="1"/>
        <s v="SİKAFLEX 291İ BEYAZ KARTUŞ" u="1"/>
        <s v="ELEKTRİKLİ BASAMAK HOTOMOBİL" u="1"/>
        <s v="TENTE FİAMMA 4MT BEYAZ" u="1"/>
        <s v="BUZDOLABI BERHİMİ 49 LT " u="1"/>
        <s v="AYNA REVİVA-FREEDOM ŞEKİLLİ 460x770" u="1"/>
        <s v="FİAMMA TENTE ÇATI BRAKETİ" u="1"/>
        <s v="REİCH DIŞ DUŞ JAKLI BEYAZ" u="1"/>
        <s v="YAVRU MASA MEKANİZMASI YERLİ" u="1"/>
        <s v="REVİVA ARKA ETİKET DAMLA 600X45 MM" u="1"/>
        <s v="REVİVA ÖN ETİKET DAMLA 690X52 MM" u="1"/>
        <s v="REVİVA PLEKSİ MUTFAK YAN PANEL 106X50" u="1"/>
        <s v="OCTOOPİ 7İNC GLADİATOR XL" u="1"/>
        <s v="DUVAR TİPİ SICAK-SOĞUK MUSLUK KROM COMET" u="1"/>
        <s v="DOMETIC CIFT GOZLU OCAK HBG 2335" u="1"/>
        <s v="GLADİATOR XL FOLYO STİCKER UYGULAMA" u="1"/>
        <s v="REVİVA FOLYO STİCKER UYGULAMA" u="1"/>
        <s v="KOLTUK MEKANİZMASI DÖNER DUCATO" u="1"/>
        <s v="REVİVA FOLYO STİCKER UYGULAMA YENİ TASARIM" u="1"/>
        <s v="NESORESSO MAKİNA MEKANİZMA" u="1"/>
        <s v="NESPRESSO MAKİNA MEKANİZMA (ALÜMİNYUM)" u="1"/>
        <s v="NESPRESSO ALT SAÇ (ALMG) LAZER KESİM BÜKÜM" u="1"/>
        <s v="AKRİLİK HAREKETSİZ LAVABOLU TEZGAH DOMETİC2335" u="1"/>
        <s v="REVİVA CRAFTER KUŞ TÜYÜ YAYLI YATAK DOUBLE COMFORT" u="1"/>
        <s v="GAZ REGÜLATÖRÜ MONOCONTROL CS" u="1"/>
        <s v="EL DUŞ TAKIMI" u="1"/>
        <s v="MAVİ KOLLEKTÖR 7 Lİ 1/2 GİRİŞ-ÇIKIŞ" u="1"/>
        <s v="KIRMIZI KOLLEKTÖR 4 LÜ 1/2 GİRİŞ-ÇIKIŞ" u="1"/>
        <s v="REVİVA MOBİLYA TAKIMI DELUXE" u="1"/>
        <s v="REVİVA SARF" u="1"/>
        <s v="SOLAR ENERJİ SİSTEMİ 170W OPSİYON SARFI" u="1"/>
        <s v="URBAN BADGER ÇADIR YATAK" u="1"/>
        <s v="GLAİDİATOR XL DODGE RAM DIŞ KORUYUCU MAT KAPLAMA" u="1"/>
        <s v="GLADİATOR XL SHORT MOBİLYA TAKIMI SİS" u="1"/>
        <s v="GLADİATOR XL SHORT MOBİLYA TAKIMI ROYAL" u="1"/>
        <s v="GLADİATOR XL EXTENDED MOBİLYA TAKIMI ROYAL" u="1"/>
        <s v="GLADİATOR XL DODGE RAM MOBİLYA TAKIMI SİS" u="1"/>
        <s v="GLADİATOR XL DODGE RAM MOBİLYA TAKIMI ROYAL" u="1"/>
        <s v="GLADİATOR M  MOBİLYA TAKIMI FİRST CLASS" u="1"/>
        <s v="GLADİATOR XL MİNDER TAKIMI SİS" u="1"/>
        <s v="GLADİATOR XL MİNDER TAKIMI ROYAL" u="1"/>
        <s v="GLADİATOR XL DODGE RAM PİS SU TANKI YARI MAMÜL" u="1"/>
        <s v="GLADİATOR XL DODGE RAM SARF" u="1"/>
        <s v="GLADİATOR XL DODGE RAM TEMİZ SU TANKI YARI MAMÜL" u="1"/>
        <s v="TUTKAL YÜZEY PRES İÇİN" u="1"/>
        <s v="JELKOT POLİYA POLİJEL 215 (657 PARLİAMENT MAVİ)" u="1"/>
        <s v="PVC BANT ANTRASİT 5024 ROMA MARKA 22X0,80" u="1"/>
        <s v="ARA NİPEL DİRSEK 8MM GAZ DEVRESİ" u="1"/>
        <s v="GLADİATOR XL DODGE RAM GÖVDE JELKOT LACİVERT" u="1"/>
        <s v="KUMAŞ SUNİ DERİ SİYAH 1503" u="1"/>
        <s v="CBE PC 100" u="1"/>
        <s v="CBE PC 180" u="1"/>
        <s v="CBE ŞARJ CİHAZI 21A" u="1"/>
        <s v="CBE ŞARJ CİHAZI 22A" u="1"/>
        <s v="KAMERA DCT" u="1"/>
        <s v="MONİTÖR DİKİZ AYNASI" u="1"/>
        <s v="KONNEKTÖR TAKIMI SU GECİRMEZ KARE 2 PİN" u="1"/>
        <s v="PARK LAMBASI BEYAZ" u="1"/>
        <s v="SİGORTA 12V 80 AMPER" u="1"/>
        <s v="MENTEŞE-PİSTON 60LIK" u="1"/>
        <s v="PUSH BUTTON BL01N-BC YUVARLAK KROM PARLAK" u="1"/>
        <s v="STOR KANALI ALÜMİNYUM" u="1"/>
        <s v="KİRİKO CEVİRME KOLU" u="1"/>
        <s v="AYNA GLADİATOR 740x96" u="1"/>
        <s v="HEKİ 50X70 IŞIKLI BEYAZ" u="1"/>
        <s v="KARAVAN CAM 500X1200" u="1"/>
        <s v="SERVİS KAPISI 7 BEYAZ" u="1"/>
        <s v="TENTE ALBİNA 1.90 M SİYAH" u="1"/>
        <s v="TENTE FİAMMA 2.60 BEYAZ" u="1"/>
        <s v="TENTE THULE 2.60 BEYAZ" u="1"/>
        <s v="TENTE THULE 4 MT BEYAZ" u="1"/>
        <s v="TUVALET 345 PORTİPPOTTİ" u="1"/>
        <s v="BLUETOOTH SES SİSTEMİ" u="1"/>
        <s v="BUZDOLABI ENGEL 47 LT" u="1"/>
        <s v="TELEVİZYON 22 İNC''" u="1"/>
        <s v="EVYE KROM DİKDÖRTGEN" u="1"/>
        <s v="MERDİVEN  SİYAH  2Lİ" u="1"/>
        <s v="OCAK GAZLI ARKAYA AÇILIR (2 GÖZLÜ) (HOB165)" u="1"/>
        <s v="SİLİKON NP1 SİYAH" u="1"/>
        <s v="BENZİN BİDON TAŞIYICI" u="1"/>
        <s v="BENZİN BİDONU 10LT" u="1"/>
        <s v="AD BLUE KAPAK" u="1"/>
        <s v="GLADİATOR PİS SU TANKI 30LT 24X16X56" u="1"/>
        <s v="RONİN PİS SU TANKI 50LT 21X48X48" u="1"/>
        <s v="GLADİATOR TEMİZ SU TANKI 55LT 24X56X40" u="1"/>
        <s v="RONİN TEMİZ SU TANKI 75LT 48X21X75" u="1"/>
        <s v="DIŞ DUŞ SICAK/SOĞUK BEYAZ" u="1"/>
        <s v="DOLUM AĞZI BEYAZ" u="1"/>
        <s v="KOLTUK T5 TEKLİ" u="1"/>
        <s v="OCAK VE EVYE ÇİFT GÖZLÜ KOMBİNASYONLU  OCAK" u="1"/>
        <s v="ŞASE FREDOOM" u="1"/>
        <s v="LAMİNANT RULO 4236 MEŞE" u="1"/>
        <s v="SÜNGER ASTARLI 1LİK" u="1"/>
        <s v="PVC BANT OPAK 1mm" u="1"/>
        <s v="FREEDOM SKY WINDOW ALKOVEN  YATAK ÜSTÜ" u="1"/>
        <s v="DEVE MENTEŞE BAĞLANTI APARATI" u="1"/>
        <s v="KEMER EMNİYET 3 NOKTA SİYAH" u="1"/>
        <s v="PUSH BUTTON BL03-SN AY MAT" u="1"/>
        <s v="CHARGER 40A (110W-230W)" u="1"/>
        <s v="BICAK SİGORTA 80 A" u="1"/>
        <s v="KONTRA KAVAK 122x250  12mm OKİME" u="1"/>
        <s v="GLADİATOR GÖVDE BANYOLU JELKOT SARI" u="1"/>
        <s v="FREEDOM TEMİZ SU TANKI YARI MAMÜL" u="1"/>
        <s v="FREEDOM PİS SU TANKI YARI MAMÜL" u="1"/>
        <s v="REVİVA TEMİZ SU TANKI YARI MAMÜL" u="1"/>
        <s v="REVİVA PİS SU TANKI YARI MAMÜL" u="1"/>
        <s v="SÜNGER ASTARLI 1/2LİK" u="1"/>
        <s v="CADIR AMORTISOR 400 NEWTON" u="1"/>
        <s v="ÇADIR AYARLI GERGİ KİLİDİ 85X95" u="1"/>
        <s v="PİGMENT RAL 7016 KOYU GRİ" u="1"/>
        <s v="AKRİLİK HAREKETLİ LAVABOLU TEZGAH DOMETİC2335" u="1"/>
        <s v="ÇİFT GÖZ SERAMİK OCAK YERLİ" u="1"/>
        <s v="YATAK SÜNGERİ VİSCO 160X200" u="1"/>
        <s v="RONİN XL KABLO DEMETİ" u="1"/>
        <s v="TELESKOBİK MASA AYAK NUOVA 360 FREEDOM-RXL" u="1"/>
        <s v="KUMAŞ TAVAN AŞANTEKS MOOKA 010 IVORY" u="1"/>
        <s v="MİNİ TÜP DEPOZİTO RXL,FRE,GLA" u="1"/>
        <s v="OCTOOPİ 7İNC GLADİATOR" u="1"/>
        <s v="OCTOOPİ 4,3İNC GLADİATOR" u="1"/>
        <s v="ÇİFT GÖZLÜ KOMBİNASYONLU OCAK DOMETİC" u="1"/>
        <s v="FREEDOM GÖVDE" u="1"/>
        <s v="ARAÇ ÜSTÜ ÇADIR MAKASI" u="1"/>
        <s v="VW TRANSPORTER YAY" u="1"/>
        <s v="GLADİATOR AYAK SAĞ ARKA NO.3" u="1"/>
        <s v="GLADİATOR AYAK SAĞ ÖN NO.4" u="1"/>
        <s v="GLADİATOR AYAK SOL ARKA NO.1" u="1"/>
        <s v="GLADİATOR AYAK SOL ÖN NO.2" u="1"/>
        <s v="GLADİATOR AYAK GÖVDE BAĞLANTISI SAĞ ÖN NO.4" u="1"/>
        <s v="GLADİATOR AYAK GÖVDE BAĞLANTISI SAĞ ARKA NO.3" u="1"/>
        <s v="GLADİATOR AYAK SAĞ ARKA DESTEK NO.3" u="1"/>
        <s v="GLADİATOR AYAK SAĞ ÖN DESTEK NO.4" u="1"/>
        <s v="GLADİATOR AYAK SOL ARKA DESTEK NO.1" u="1"/>
        <s v="GLADİATOR AYAK SOL ÖN DESTEK NO.2" u="1"/>
        <s v="GLADİATOR AYAK SAĞ ARKA İÇ NO.3" u="1"/>
        <s v="GLADİATOR AYAK SAĞ ÖN İÇ NO.4" u="1"/>
        <s v="GLADİATOR AYAK SOL ARKA İÇ NO.1" u="1"/>
        <s v="GLADİATOR AYAK SOL ÖN İÇ NO.2" u="1"/>
        <s v="BASÇEK KİLİT VS1614 BALDACCİ" u="1"/>
        <s v="AKRİLİK LAVABOLU TEZGAH CAN 1336" u="1"/>
        <s v="MERDİVEN ASKI KANCASI" u="1"/>
        <s v="ÇADIR MERDIVEN AYAGI" u="1"/>
        <s v="ÇADIR POLYESTER MACUNU" u="1"/>
        <s v="ÇADIR KUMAŞ YARI MAMÜL" u="1"/>
        <s v="ENERJİ PAKET 110W" u="1"/>
        <s v="KARAVAN CAM 300X500 SİYAH" u="1"/>
        <s v="YILDIZ TAVAN" u="1"/>
        <s v="GLADİATOR AYAK GÖVDE BAĞLANTISI SOL ÖN NO.2" u="1"/>
        <s v="GLADİATOR AYAK GÖVDE BAĞLANTISI SOL ARKA NO.1" u="1"/>
        <s v="URBAN BADGER ARAÇ ÜSTÜ ÇADIR" u="1"/>
        <s v="LİFTİN U UÇLU" u="1"/>
        <s v="HİDRAFOR AQUA 10LT" u="1"/>
        <s v="OCTOOPİ 7İNC REVİVA" u="1"/>
        <s v="G0357 HAYATTA İYİLİK VAR BANYOSUZ" u="1"/>
        <s v="REİCH DIŞ DUŞ JAKLI BEYAZ - CİTY WATER" u="1"/>
        <s v="GLADİATOR ZEMİN KAPLAMA" u="1"/>
        <s v="NEWARC AQUA EL DUŞ TAKIMI" u="1"/>
        <s v="GLADİATOR XL EXTENDED MOBİLYA TAKIMI SİS" u="1"/>
        <s v="REVİVA MUTFAK KATLANIR SICAK SOĞUK KROM MUSLUK" u="1"/>
        <s v="REVİVA KUŞ TÜYÜ YAYLI YATAK" u="1"/>
        <s v="HAFELE DRESS LİNE ELBİSE ASKI RAYI 350MM" u="1"/>
        <s v="HAFELE SMART ÇATAL KAŞIKLIK GÜMÜŞ GRİ 40CM" u="1"/>
        <s v="HAFELE CİTY 2 ÇÖP KUTUSU P.ÇELİK 40CM 11LT" u="1"/>
        <s v="GXLE032 ÖMER HAYAL" u="1"/>
        <s v="GLADİATOR FOLYO STİCKER UYGULAMA" u="1"/>
        <s v="HİDRAFOR 1.7" u="1"/>
        <s v="OCTOOPİ ŞAMANDIRA 55 CM" u="1"/>
        <s v="2C GLADİATOR AYAK SERİ 1 " u="1"/>
        <s v="REVİVA MOBİLYA TAKIMI FİRST CLASS" u="1"/>
        <s v="LİPPERT STLA FLEX YATAK SÜSPANSİYONU" u="1"/>
        <s v="LİPPERT STLA FLEX YATAK SÜSPANSİYONU MONTAJ APARAT" u="1"/>
        <s v="SU ISITMA SİSTEMİ THERME OPSİYON SARFI" u="1"/>
        <s v="KONNEKTÖR TAKIMI SU GECİRMEZ 10 PİN" u="1"/>
        <s v="KONNEKTÖR TAKIMI SU GECİRMEZ KARE 4 PİN" u="1"/>
        <s v="KONNEKTÖR TAKIMI SU GECİRMEZ KARE 6 PİN" u="1"/>
        <s v="KONNEKTÖR TAKIMI SU GECİRMEZ KARE 8 PİN" u="1"/>
        <s v="LED KAPAĞI ŞEFFAF 2.5X1" u="1"/>
        <s v="FIRÇA RÖTÜŞ 3 NUMARA" u="1"/>
        <s v="COBALT" u="1"/>
        <s v="FREEDOM TEMİZ SU TANKI 125LT 33X51X72" u="1"/>
        <s v="FREEDOM PİS SU TANKI 80LT 33X71X33" u="1"/>
        <s v="LAMİNANT RULO 3152 SOĞUK MEŞE" u="1"/>
        <s v="YAPIŞKAN PVC " u="1"/>
        <s v="TEMİZLEYİCİ SOLVENT" u="1"/>
        <s v="TEMİZLEYİCİ SOLVENT ALKOL BAZLI" u="1"/>
        <s v="REVİVA TEMİZ SU TANKI BEYAZ 65 LT" u="1"/>
        <s v="FİBER DİSK ZIMPARA 24 KUM" u="1"/>
        <s v="LAMİNAT 6004 MET/ZMP 1300x3050x0,5" u="1"/>
        <s v="LAMİNAT 1039 PRL/ZMP 1300x3050x0,7" u="1"/>
        <s v="ASD LAMİNAT 3080 BTE/ZMP 1300x100000Rx0,6" u="1"/>
        <s v="ASD LAMİNAT 3080 PARLAK/ZMP 1300x100000Rx0,6" u="1"/>
        <s v="ÇADIR KUMAŞ" u="1"/>
        <s v="ÇADIR KUMAŞ KESİM" u="1"/>
        <s v="PASLANMAZ GÖZLÜ CİVATA M6" u="1"/>
        <s v="JELKOT 1021 SARI" u="1"/>
        <s v="JELKOT 5011 LACİVERT" u="1"/>
        <s v="ALKOVEN LED ÇITASI SİS" u="1"/>
        <s v="ALKOVEN MODÜLÜ SİS" u="1"/>
        <s v="BANYO DOLABI SİS" u="1"/>
        <s v="BANYO DIKME SİS" u="1"/>
        <s v="GLADİATOR GÖVDE BANYOLU" u="1"/>
        <s v="BUZDOLABI KABİN AYAK SİS-MANDALİN" u="1"/>
        <s v="BANYO LAVABOSU SİS" u="1"/>
        <s v="BANYO DOLABI KAPAKLARI SİS" u="1"/>
        <s v="BUZDOLABI KABİN SİS" u="1"/>
        <s v="ÇITA TAKIMI SİS-MANDALİN" u="1"/>
        <s v="MUTFAK DOLABI ALT KAPAK SİS" u="1"/>
        <s v="DEPO ÖNÜ SİS" u="1"/>
        <s v="KOLTUK  ALTI SİS" u="1"/>
        <s v="SAĞ KOLTUK  KAPAĞI SİS" u="1"/>
        <s v="SOL KOLTUK KAPAĞI SİS" u="1"/>
        <s v="KOLTUK ÖNÜ SİS" u="1"/>
        <s v="LAVOBO ÖN KAPAMASI SİS" u="1"/>
        <s v="MASA SİS-MANDALİN" u="1"/>
        <s v="MUTFAK ÇEKMECE SİS" u="1"/>
        <s v="MUTFAK YAN DİKME SİS" u="1"/>
        <s v="MUTFAK ÜST KAPAK SİS-SEDEF" u="1"/>
        <s v="MUTFAK ÜST RAF SİS" u="1"/>
        <s v="GLADİATOR MİNDER TAKIMI SİS" u="1"/>
        <s v="MUTFAK TEZGAH SİS-SEDEF-MANDALİN" u="1"/>
        <s v="MUTFAK DOLABI SİS" u="1"/>
        <s v="SİNEKLİK ÇITASI SİS-SEDEF-MANDALİN" u="1"/>
        <s v="GLADİATOR SİSTEM PANOSU CBE 100 MPPT 20A" u="1"/>
        <s v="WEBOSTO KABİNİ SİS-MANDALİN" u="1"/>
        <s v="FİLE EŞYA DÜZENLEYİCİ CEPLİK 18X33CM " u="1"/>
        <s v="GLADİATOR AYAK PROFİL 132CM" u="1"/>
        <s v="ALKO AYAK" u="1"/>
        <s v="BANYO ZEMİNİ AHŞAP GLADİATOR" u="1"/>
        <s v="HİDRAFOR FİLTRE" u="1"/>
        <s v="AYAK -GÖVDE BAĞLANTISI" u="1"/>
        <s v="TAKOZ CİVATALI" u="1"/>
        <s v="BANYOSUZ ALT DİKME SİS" u="1"/>
        <s v="BANYOSUZ ARA DİKME SİS" u="1"/>
        <s v="BANYOSUZ ALT KAPAK SİS-SEDEF" u="1"/>
        <s v="BANYOSUZ BUZDOLABI MODÜL ALT KAPAK SİS-SEDEF" u="1"/>
        <s v="BANYOSUZ BUZDOLABI MODÜL ÜST TABLA SİS-SEDEF" u="1"/>
        <s v="BANYOSUZ BUZDOLABI SAĞ YAN SİS" u="1"/>
        <s v="BANYOSUZ BUZDOLABI SOL YAN SİS" u="1"/>
        <s v="BANYOSUZ ÇITA TAKIMI SİS-MANDALİN" u="1"/>
        <s v="BANYOSUZ  ARA DİKME GENİŞ SİS" u="1"/>
        <s v="BANYOSUZ KOLTUK ALTI  SİS" u="1"/>
        <s v="BANYOSUZ KOLTUK ALTI DİKME SİS" u="1"/>
        <s v="BANYOSUZ  KÖŞE KAPAMA SİS" u="1"/>
        <s v="BANYOSUZ KOLTUK ÖNÜ SİS" u="1"/>
        <s v="BANYOSUZ SOL KOLTUK SİS" u="1"/>
        <s v="BARA VİDALI 6LI" u="1"/>
        <s v="SOLAR ENERJİ SİSTEMİ 205W" u="1"/>
        <s v="BOYA AKRİLİK TENEKE 5004 LACİVERT" u="1"/>
        <s v="TRİM GÖVDE BAĞLANTISI BRAKETİ" u="1"/>
        <s v="HİDRAFOR 2.9 " u="1"/>
        <s v="MASA AYAK ORTADAN MENTEŞELİ" u="1"/>
        <s v="KAUCUK FİŞ 3X16" u="1"/>
        <s v="MUTFAK DOLAP BAZASI SİS" u="1"/>
        <s v="KOLTUK ALTI KLAPA SİS" u="1"/>
        <s v="GLADİATOR KAMP MASASI YARI MAMÜL" u="1"/>
        <s v="TUVALET PORTATİF 565 P" u="1"/>
        <s v="HİDRAFOR AQUA 7LT" u="1"/>
        <s v="G0349 ROKS OTOMOTİV" u="1"/>
        <s v="BANYOSUZ ALT DİKME SEDEF" u="1"/>
        <s v="BANYOSUZ ARA DİKME SEDEF" u="1"/>
        <s v="BANYOSUZ BUZDOLABI SAĞ YAN SEDEF" u="1"/>
        <s v="BANYOSUZ BUZDOLABI SOL YAN SEDEF" u="1"/>
        <s v="BANYOSUZ ÇITA TAKIMI SEDEF" u="1"/>
        <s v="BANYOSUZ  ARA DİKME GENİŞ SEDEF" u="1"/>
        <s v="BANYOSUZ KOLTUK ALTI  SEDEF" u="1"/>
        <s v="BANYOSUZ KOLTUK ALTI DİKME SEDEF" u="1"/>
        <s v="BANYOSUZ  KÖŞE KAPAMA  SEDEF" u="1"/>
        <s v="BANYOSUZ KOLTUK ÖNÜ SEDEF" u="1"/>
        <s v="BANYOSUZ SOL KOLTUK SEDEF" u="1"/>
        <s v="ALKOVEN LED ÇITASI SEDEF" u="1"/>
        <s v="ALKOVEN MODÜLÜ SEDEF" u="1"/>
        <s v="MUTFAK DOLABI ALT KAPAK SEDEF" u="1"/>
        <s v="DEPO ÖNÜ SEDEF" u="1"/>
        <s v="KOLTUK ALTI SEDEF" u="1"/>
        <s v="SAĞ KOLTUK KAPAĞI SEDEF" u="1"/>
        <s v="KOLTUK ÖNÜ SEDEF" u="1"/>
        <s v="MUTFAK ÇEKMECE SEDEF" u="1"/>
        <s v="MUTFAK YAN DİKME SEDEF" u="1"/>
        <s v="MUTFAK ÜST RAF SEDEF" u="1"/>
        <s v="MUTFAK DOLABI SEDEF" u="1"/>
        <s v="GLADİATOR MİNDER TAKIMI SEDEF" u="1"/>
        <s v="SİGORTA KUTUSU MIDI TEKLİ LEVHA SİGORTA İÇİN" u="1"/>
        <s v="G0363 MARTA TOMAS BANYOLU" u="1"/>
        <s v="KONTRA KAVAK ESNEK 4 MM-122X244" u="1"/>
        <s v="TUVALET 365 PORTİPPOTTİ" u="1"/>
        <s v="KUM PALETİ TURUNCU" u="1"/>
        <s v="GLADİATOR XL SARF" u="1"/>
        <s v="GLADİATOR XL EXT GÖVDE STANDART BEYAZ" u="1"/>
        <s v="G0368 NİELS" u="1"/>
        <s v="ENERJİ PAKET 15W" u="1"/>
        <s v="YEELİGHT MOTİON SENSOR 40CM" u="1"/>
        <s v="YEELİGHT LED SENSÖRLÜ ÇEKMECE LAMBASI" u="1"/>
        <s v="KABLO REKORU PLASTİK PG9" u="1"/>
        <s v="TOMMATECH 15WP MOBİL SOLAR SARJ PANELİ" u="1"/>
        <s v="POWERBANK 12V 2A" u="1"/>
        <s v="KABLO TYPE-C 2M SİYAH" u="1"/>
        <s v="GLADİATOR MİNDER TAKIMI MANDARİN" u="1"/>
        <s v="SOLAR ENERJİ SİSTEMİ 170W( ESNEK PANEL)" u="1"/>
        <s v="MENTEŞE 7X4.5 CM SATEN" u="1"/>
        <s v="PVC BANT TEAK KAHVE" u="1"/>
        <s v="LAMİNANT RULO 3103 ULTRA WHİTE DOĞAL" u="1"/>
        <s v="LAMİNANT RULO 3159 MOCHA GENTAS HATALI" u="1"/>
        <s v="KABLO BAĞI CİRT 4.8 " u="1"/>
        <s v="RULO PARMAK 15MM YEDEK İÇ" u="1"/>
        <s v="MENFEZ  ALİMİNYUM 25X7 " u="1"/>
        <s v="CHARGER 25A (110W-230W)" u="1"/>
        <s v="AKÜ 200 AH" u="1"/>
        <s v="BANYO DIKME SEDEF" u="1"/>
        <s v="KOLTUK ALTI KLAPA SEDEF" u="1"/>
        <s v="WEBOSTO KABİNİ SEDEF" u="1"/>
        <s v="MUTFAK DOLAP BAZASI SEDEF" u="1"/>
        <s v="BANYO DOLABI SEDEF" u="1"/>
        <s v="BUZDOLABI KABİN SEDEF" u="1"/>
        <s v="BANYO DOLABI KAPAKLARI SEDEF" u="1"/>
        <s v="MASA SEDEF" u="1"/>
        <s v="BANYO LAVABOSU SEDEF" u="1"/>
        <s v="LAVOBO ÖN KAPAMASI SEDEF" u="1"/>
        <s v="SOL KOLTUK KAPAĞI SEDEF" u="1"/>
        <s v="BUZDOLABI KABİN AYAK SEDEF" u="1"/>
        <s v="ÇITA TAKIMI SEDEF" u="1"/>
        <s v="DOMETİC DUCATO, BOXER, JUMPER ÖN CAM GÜNEŞLİĞİ" u="1"/>
        <s v="AMAZON ECHO DOT ALEXA" u="1"/>
        <s v="GLADİATOR SİSTEM PANOSU CBE 180 MPPT 20A" u="1"/>
        <s v="THETFORD 90 LT BUZDOLABI-T2090-E" u="1"/>
        <s v="MPPT KONTROL PANELİ 20 AH" u="1"/>
        <s v="DUCATO, BOXER, JUMPER ÖN CAM GÜNEŞLİĞİ LIPPERT" u="1"/>
        <s v="MASA AYAK TELESKOPİK METAL " u="1"/>
        <s v="YATAK MEKANİZMA KATLANIR" u="1"/>
        <s v="KONTRA KAVAK 122X250  15mm OKİME" u="1"/>
        <s v="GLADİATOR XL EXT GÖVDE" u="1"/>
        <s v="DUCATO,BOXER,JUMPER SAĞ KAPI CAM GÜNEŞLİĞİ LIPPERT" u="1"/>
        <s v="GLADİATOR XL PİS SU TANKI YARI MAMÜL" u="1"/>
        <s v="GLADİATOR XL TEMİZ SU TANKI YARI MAMÜL" u="1"/>
        <s v="G0353 CELCAMP BANYOLU" u="1"/>
        <s v="G0354 CELCAMP BANYOLU" u="1"/>
        <s v="G0355 CELCAMP BANYOLU" u="1"/>
        <s v="G0356 CELCAMP BANYOLU" u="1"/>
        <s v="G0357 CELCAMP BANYOLU" u="1"/>
        <s v="G0358 CELCAMP BANYOSUZ" u="1"/>
        <s v="G0359 CELCAMP BANYOSUZ" u="1"/>
        <s v="G0360 CELCAMP BANYOSUZ" u="1"/>
        <s v="G0361 CELCAMP BANYOSUZ" u="1"/>
        <s v="YATAK SÜNGER KATLANIR 3 PARÇA" u="1"/>
        <s v="GLADİATOR AYAĞI YENİ" u="1"/>
        <s v="GLADİATOR AYAK BAĞLANTISI YENİ" u="1"/>
        <s v="DUCATO,BOXER,JUMPER SOL KAPI CAM GÜNEŞLİĞİ LIPPERT" u="1"/>
        <s v="KAUÇUK TAKOZ CİVATALI 2,5CM" u="1"/>
        <s v="GLADİATOR XL SHORT GÖVDE" u="1"/>
        <s v="G0346 TUYAP 2024 BANYOSUZ" u="1"/>
        <s v="G0350 CELCAMP BANYOLU" u="1"/>
        <s v="G0351 CELCAMP BANYOLU" u="1"/>
        <s v="TELA DERİ ALTI" u="1"/>
        <s v="ZIMPARA KUM 80" u="1"/>
        <s v="GLADİATOR GÖVDE MASA AYAĞI" u="1"/>
        <s v="KERESTE DEK 1. SINIF" u="1"/>
        <s v="GLADİATOR GÖVDE BANYOSUZ" u="1"/>
        <s v="PİGMENT RAL1001 ÇÖL" u="1"/>
        <s v="PİGMENT RAL 6013 HAKİ" u="1"/>
        <s v="İZOLELİ KABLO YÜKSÜĞÜ 1MM KIRMIZI" u="1"/>
        <s v="ZIMPARA KUM 60" u="1"/>
        <s v="KAMP ÇADIRI BROTERHS 2 KİŞİLİK" u="1"/>
        <s v="MODÜLER TOPRAKLI PRİZ ÇERÇEVE" u="1"/>
        <s v="ANAHTAR CERCEVE TEKLİ SİYAH" u="1"/>
        <s v="ANAHTAR CİFT SİYAH" u="1"/>
        <s v="İNVERTER 600W/12 V " u="1"/>
        <s v="MODÜLER TOPRAKLI PRİZ" u="1"/>
        <s v="STORE KAPI SİYAH 1735x 750mm" u="1"/>
        <s v="HEKİ 40X40 BEYAZ DOMETIC " u="1"/>
        <s v="BUZDOLABI THETFORD 90 LT" u="1"/>
        <s v="MUTFAK ÜST KAPAK MANDALİN" u="1"/>
        <s v="MUTFAK YAN DİKME MANDARİN" u="1"/>
        <s v="BANYO DIKME MANDARİN" u="1"/>
        <s v="MUTFAK ÜST RAF MANDARİN" u="1"/>
        <s v="ALKOVEN MODÜLÜ MANDARİN" u="1"/>
        <s v="ALKOVEN LED ÇITASI MANDARİN" u="1"/>
        <s v="BANYO LAVABOSU MANDARİN" u="1"/>
        <s v="LAVOBO ÖN KAPAMASI MANDARİN" u="1"/>
        <s v="SAĞ KOLTUK KAPAPI MANDARİN" u="1"/>
        <s v="SOL KOLTUK KAPAPI MANDARİN" u="1"/>
        <s v="KOLTUK ALTI MANDARİN" u="1"/>
        <s v="KOLTUK ÖNÜ MANDARİN" u="1"/>
        <s v="DEPO ÖNÜ MANDARİN" u="1"/>
        <s v="MUTFAK DOLABI MANDALİN" u="1"/>
        <s v="MUTFAK DOLABI ALT KAPAK MANDALİN" u="1"/>
        <s v="MUTFAK ÇEKMECE MANDALİN" u="1"/>
        <s v="BANYO DOLABI MANDALİN" u="1"/>
        <s v="BUZDOLABI KABİN MANDALİN" u="1"/>
        <s v="BANYO DOLABI KAPAKLARI MANDALİN" u="1"/>
        <s v="BANYOSUZ SOL KOLTUK MANDALİN" u="1"/>
        <s v="BANYOSUZ BUZDOLABI SAĞ YAN MANDALİN" u="1"/>
        <s v="BANYOSUZ BUZDOLABI SOL YAN MANDALİN" u="1"/>
        <s v="BANYOSUZ ALT DİKME MANDALİN" u="1"/>
        <s v="BANYOSUZ KOLTUK ALTI  MANDALİN" u="1"/>
        <s v="BANYOSUZ KOLTUK ALTI DİKME MANDALİN" u="1"/>
        <s v="BANYOSUZ KOLTUK ÖNÜ MANDALİN" u="1"/>
        <s v="BANYOSUZ ARA DİKME GENİŞ MANDALİN" u="1"/>
        <s v="BANYOSUZ ARA DİKME MANDALİN" u="1"/>
        <s v="BANYOSUZ KÖŞE KAPAMA  MANDALİN" u="1"/>
        <s v="BANYOSUZ ALT KAPAK MANDARİN" u="1"/>
        <s v="BANYOSUZ BUZDOLABI MODÜL ÜST TABLA MANDALİN" u="1"/>
        <s v="BANYOSUZ BUZDOLABI MODÜL ALT KAPAK MANDALİN" u="1"/>
        <s v="PORTATİF TUVALET BERHİMİ PRO 6000" u="1"/>
        <s v="PİGMENT RAL 1021 SARI" u="1"/>
        <s v="LEHİM TELİ 0,75 MM" u="1"/>
        <s v="PİGMENT 7012 AÇIK GRİ" u="1"/>
        <s v="AKRİLİK VERNİK MAT" u="1"/>
        <s v="TELEVIZYON ANDROID 24INC SUNNY" u="1"/>
        <s v="POLIURETAN TABAKA 120X220" u="1"/>
        <s v="KUMAŞ SUNİ DERİ KREM 1528" u="1"/>
        <s v="KARAVAN CAM 520X500" u="1"/>
        <s v="TENTE ALBİNA 2.2 BEYAZ" u="1"/>
        <s v="ÇADIR PERÇİN 4,8X20 MULTİGRİP AL/ST" u="1"/>
        <s v="AKRİLİK LAVABOLU TEZGAH HOB165" u="1"/>
        <s v="FİTİL GEÇME SACLI ÇADIR" u="1"/>
        <s v="ALUMINYUM ÇITA" u="1"/>
        <s v="IMBUS CIVATA 6X20 SİYAH-ÇADIR" u="1"/>
        <s v="IMBUS CIVATA 6X25 SİYAH-ÇADIR" u="1"/>
        <s v="IMBUS CIVATA 8X16 SİYAH-ÇADIR" u="1"/>
        <s v="OCTOOPİ 4,3İNC VAN B 4301" u="1"/>
        <s v="SİGORTA KUTUSU 3/4" u="1"/>
        <s v="BUZDOLABI BEKO 25LT 12V" u="1"/>
        <s v="GLADIATOR AYAK SAG ARKA NO.1 TRİL" u="1"/>
        <s v="GLADIATOR AYAK SAG ÖN NO.2 TRİL" u="1"/>
        <s v="GLADIATOR AYAK SOL ARKA NO.3 TRİL" u="1"/>
        <s v="GLADIATOR AYAK SOL ÖN NO.4 TRİL" u="1"/>
        <s v="SİKAFLEXS SİYAH KARTUŞ" u="1"/>
        <s v="PİGMENT RENK PASTASI SİYAH" u="1"/>
        <s v="OCTOOPİ 7İNC VAN B 7001 " u="1"/>
        <s v="VİDA PASLANMAZ 4X16" u="1"/>
        <s v="İNVERTÖR 1000W MODİFİYE " u="1"/>
        <s v="TUTKAL DENİZ" u="1"/>
        <s v="LAMİNANT PLAKA HIGH GLASS 3103" u="1"/>
        <s v="BEKO OTO BUZDOLABI 12 VOLT 25 LT" u="1"/>
        <s v="LAMİNANT PLAKA HIGH GLASS" u="1"/>
        <s v="ANAHTAR TEK SİYAH" u="1"/>
        <s v="KAMERALI MONİTÖR" u="1"/>
        <s v="KAUCUK FİŞ 1X16" u="1"/>
        <s v="MODÜLER ÇERÇEVE" u="1"/>
        <s v="PRİZ TOPRAKLI KAPAKLI SİYAH" u="1"/>
        <s v="ANAHTAR DÜĞME LIGHT" u="1"/>
        <s v="ANAHTAR MEKANİZMA LIGHT" u="1"/>
        <s v="MEKANİZMA TOPRAKLI PRİZ" u="1"/>
        <s v="KAUCUK FİŞ DİŞİ 3X16" u="1"/>
        <s v="TELEVİZYON ANDROİD 24İNC AXEN" u="1"/>
        <s v="MENTEŞE LAZER KARŞILIKLARI" u="1"/>
        <s v="MENTEŞE TAKOZLARI" u="1"/>
        <s v="GLADİATOR AYAK SAĞ ARKA NO.1" u="1"/>
        <s v="GLADİATOR AYAK SAĞ ÖN NO.2" u="1"/>
        <s v="GLADİATOR AYAK SOL ARKA NO.3" u="1"/>
        <s v="GLADİATOR AYAK SOL ÖN NO.4" u="1"/>
        <s v="GLADİATOR AYAK GÖVDE BAĞLANTISI SAĞ" u="1"/>
        <s v="GLADİATOR AYAK GÖVDE BAĞLANTISI SOL" u="1"/>
        <s v="GLADİATOR AYAK SAĞ ARKA DESTEK NO.1" u="1"/>
        <s v="GLADİATOR AYAK SAĞ ÖN DESTEK NO.2" u="1"/>
        <s v="GLADİATOR AYAK SOL ARKA DESTEK NO.3" u="1"/>
        <s v="GLADİATOR AYAK SOL ÖN DESTEK NO.4" u="1"/>
        <s v="GLADİATOR AYAK SAĞ ARKA MEKANİZMA NO.1" u="1"/>
        <s v="GLADİATOR AYAK SAĞ ÖN MEKANİZMA NO.2" u="1"/>
        <s v="GLADİATOR AYAK SOL ARKA MEKANİZMA NO.3" u="1"/>
        <s v="GLADİATOR AYAK SOL ÖN MEKANİZMA NO.4" u="1"/>
        <s v="BÜYÜK ŞASE PULU PASLANMAZ M10" u="1"/>
        <s v="SİLİKON NP1 BEYAZ" u="1"/>
        <s v="SİLİKON NP1 GRİ" u="1"/>
        <s v="CİVATA PASLANMAZ M10X90" u="1"/>
        <s v="HORTUM DEDANTÖR SARI  10MM" u="1"/>
        <s v="TAPA KÖR METAL 1 PARMAK " u="1"/>
        <s v="KAUÇUK TAKOZ ÇİVİLİ" u="1"/>
        <s v="KAUÇUK TAKOZ ÇİVİLİ 2,5CM" u="1"/>
        <s v="TENTE FİAMMA 4MT SİYAH" u="1"/>
        <s v="TRUMA COMBİ 4E İNET X PANEL" u="1"/>
        <s v="Konnektör Takı SU GECİRMEZ OVAL 2 PİN" u="1"/>
        <s v="İzoleli Kablo Yüksüğü 1MM KIRMIZI" u="1"/>
        <s v="SİKA MASTİK SOSİS BEYAZ " u="1"/>
        <s v="İzoleli Kablo Yüksüğü 1MM SİYAH" u="1"/>
        <s v="MAKARON 10 MM " u="1"/>
        <s v="POLYESTER TEMİZLEYİCİ ASETON-STREN" u="1"/>
        <s v="SİKA MASTİK SOSİS SİYAH" u="1"/>
        <s v="ANTRASİT PVC YER KAPLAMA FORBO ETERNAL" u="1"/>
        <s v="PVC BANT 22X08 7104 WENGE 3080 MAT" u="1"/>
        <s v="KARAVAN PENCERE 500*300 DİKEY-BUZLU" u="1"/>
      </sharedItems>
    </cacheField>
    <cacheField name="MIKTAR" numFmtId="0">
      <sharedItems containsSemiMixedTypes="0" containsString="0" containsNumber="1" minValue="0.01" maxValue="562"/>
    </cacheField>
    <cacheField name="BIRIM" numFmtId="0">
      <sharedItems/>
    </cacheField>
    <cacheField name="PROJELERE_ÇIKIŞLAR_YENI" numFmtId="0">
      <sharedItems containsSemiMixedTypes="0" containsString="0" containsNumber="1" minValue="0" maxValue="125.66"/>
    </cacheField>
    <cacheField name="ELDE_KALAN" numFmtId="0">
      <sharedItems containsSemiMixedTypes="0" containsString="0" containsNumber="1" minValue="-690" maxValue="14472"/>
    </cacheField>
    <cacheField name="ÜRETİM DEPO" numFmtId="2">
      <sharedItems containsSemiMixedTypes="0" containsString="0" containsNumber="1" minValue="-2.2026824808563106E-13" maxValue="11449"/>
    </cacheField>
    <cacheField name="SATINALMA" numFmtId="2">
      <sharedItems containsSemiMixedTypes="0" containsString="0" containsNumber="1" minValue="-14340" maxValue="1819.8699999999994"/>
    </cacheField>
    <cacheField name="AÇIK_SATINALMA_SİPARİŞLERİ" numFmtId="0">
      <sharedItems containsSemiMixedTypes="0" containsString="0" containsNumber="1" minValue="0" maxValue="400"/>
    </cacheField>
    <cacheField name="TOPLAM" numFmtId="0">
      <sharedItems containsSemiMixedTypes="0" containsString="0" containsNumber="1" minValue="0" maxValue="261099.48240000007"/>
    </cacheField>
    <cacheField name="BIRIM_FIYATLAR" numFmtId="0">
      <sharedItems containsString="0" containsBlank="1" containsNumber="1" minValue="0" maxValue="65075.75"/>
    </cacheField>
    <cacheField name="SON SATINALMA CARİ ÜNVANI" numFmtId="0">
      <sharedItems containsBlank="1" count="300">
        <s v="TAUSS KİMYA SANAYİ VE TİCARET LİMİTED ŞİRKETİ"/>
        <s v="CHONGQING LIDONG TECHNOLOGY CO LTD"/>
        <s v="MİMAKS AKSESUAR MOBİLYA SANAYİ VE TİCARET LTD.ŞTİ."/>
        <s v="OMNİS KOMPOZİT SANAYİ VE TİCARET LİMİTED ŞİRKETİ"/>
        <s v="HİDROÇÖZÜM HİDROLİK PNÖMATİK SANAYİ TİCARET LİMİTED ŞİRKETİ"/>
        <m/>
        <s v="AHMET SAYIN"/>
        <s v="MAPAŞ HIRDAVATÇILIK İTHALAT PAZARLAMA A.Ş."/>
        <s v="KROM ENDÜSTRİ ÜRÜNLERİ ANONİM ŞİRKETİ"/>
        <s v="KENAN SÖNMEZ ( ALBİNA TENTE )"/>
        <s v="GNC HİDROLİK PNÖMATİK OTOMASYON SİSTEMLERİ SANAYİ VE TİCARET LİMİTED ŞİRKETİ"/>
        <s v="FERMİL MOBİL SİSTEMLERİ A.Ş."/>
        <s v="MAKE SÜNGER VE DÖŞEME MALZEMELERİ MOBİLYA MEDİKAL ÜRÜNLERİ TİCARET ANONİM ŞİRKETİ"/>
        <s v="ELECTRO ZİRVE ENERJİ BİLİŞİM SANAYİ VE DIŞ TİCARET LİMİTED ŞİRKETİ"/>
        <s v="ENSAN ENDÜSTRİ MALZEMELERİ NAKLİYAT TİCARET VE SAN. LTD. ŞTİ."/>
        <s v="YILPAR AYDINLATMA ELEKTRİK LTD. ŞTİ."/>
        <s v="ÜNVER ÇELİK HALAT HIR DENİZ MAL SAN VE TİC LTD ŞTİ"/>
        <s v="EDS ELEKTRONİK DESTEK SANAYİ VE TİCARET LİMİTED ŞİRKETİ"/>
        <s v="ACY STORE MEFRUŞAT İÇ VE DIŞ TİCARET LİMİTED ŞİRKETİ"/>
        <s v="AÇSA OTOMOTİV BİLGİSAYAR VE TEKSTİL SANAYİ VE TİC. LTD. ŞTİ."/>
        <s v="OTO SÜNER OTOMOTİV İNŞ. TURİZM PAZ. SAN. VE TİC. LTD. ŞTİ."/>
        <s v="YILDIZ ORMAN ÜRÜNLERİ İNŞAAT TURİZM NAKLİYAT VE DIŞ TİC. SAN. LTD. ŞTİ."/>
        <s v="TM2 BİLİŞİM OTOMOTİV TİCARET LİMİTED ŞİRKETİ"/>
        <s v="DAİMER MERDİVEN İSKELE HIRDAVAT SANAYİ VE TİCARET LİMİTED ŞİRKETİ"/>
        <s v="EREN ERTEĞİ €"/>
        <s v="LEGNO ENTEGRE AĞAÇ SANAYİ VE TİCARET LİMİTED ŞİRKETİ"/>
        <s v="ADIGÜZEL BOYA OTOMOTİV SERVİS HİZMETLERİ SANAYİ VE TİC. LTD. ŞTİ."/>
        <s v="TUZLA HORTUM SANAYİ TİCARET A.Ş."/>
        <s v="SÜLEYMAN ÜÇDAL   [ GÜÇLAS KAUÇUK ]"/>
        <s v="SOTAŞ KİMYEVİ MADDELER SAN. TİC. A.Ş."/>
        <s v="ÇALIŞKANLAR İNŞAAT TURİZM SAN.VE TİC.LTD.ŞTİ"/>
        <s v="PİLESAN ALÜMİNYUM YAPI MALZEMELERİ İNŞAAT SANAYİ VE DIŞ TİCARET LİMİTED ŞİRKETİ"/>
        <s v="MEG KARAVAN VE KAMPİNG İŞLETMECİLİĞİ SANAYİ VE TİCARET LİMİTED ŞİRKETİ"/>
        <s v="MS YILDIZ TEKNİK YAPI HIRDAVAT İNŞAAT MAKİNE SANAYİ VE TİC. LTD. ŞTİ."/>
        <s v="KAMPERSAN OTOMOTİV KARAVAN EKİPMANLARI SANAYİ TİCARET ANONİM ŞİRKETİ"/>
        <s v="ECK MARİNE ELEKTRİK SAN. VE TİC. LTD. ŞTİ"/>
        <s v="GÜLTEKİN PRES DÖKÜM SU ARMATÖRLERİ METAL KAPLAMA SANAYİ VE TİC. LTD. ŞTİ."/>
        <s v="AVC ARAZİ TAŞITI AKSESUARLARI OTO VE KAMP LTD. ŞTİ."/>
        <s v="MARMARA MALZEMECİLİK MOBİLYA SAN. VE TİC. A.Ş"/>
        <s v="KELEŞOĞLU İNŞ.İHT.MAL.GIDA PETR.MAD.TUR.SAN VE TİC.LTD.ŞTİ."/>
        <s v="BURÇMETAL PLASTİK ÇELİK A.Ş."/>
        <s v="BALSAN DİNLENCE VE METAL ÜRÜNLER SANAYİ VE TİCARET LİMİTED ŞİRKETİ"/>
        <s v="ÖZİPEK KAUÇUK VE LASTİK MALZEME SANAYİ TİC. LTD. ŞTİ."/>
        <s v="ELTESAN MOBİL TEKNOLOJİLERİ SİSTEMLERİ SAN. VE TİC. A.Ş."/>
        <s v="FATMA USANIR"/>
        <s v="GÜLKAN DÖŞEME MALZEMELERİ LİMİTED ŞİRKETİ"/>
        <s v="AŞANTEKS TEKSTİL SANAYİ VE TİCARET A.Ş."/>
        <s v="VENTA ENERJİ LİMİTED ŞİRKETİ"/>
        <s v="BOĞAZİÇİ BAKIM KORUMA KİMYASALLARI VE DIŞ TİC. LTD. ŞTİ."/>
        <s v="BİRTEK ELEKTRİK TEDARİK İNŞAAT TURİZM SANAYİ VE TİC. LTD.ŞTİ"/>
        <s v="İBRAHİM YAMAÇ   [ YAMAÇ OTOMOTİV ]"/>
        <s v="SABRİ KELEŞ"/>
        <s v="DMR TABELA SİSTEMLERİ SERİGRAFİ MATBAA REKLAM SAN. TİC. LTD. ŞTİ."/>
        <s v="HAYRİOĞLU POLYESTER İNŞAAT YAPI ÜRÜNLERİ SANAYİ VE TİC. LTD. ŞTİ."/>
        <s v="NEXON POLIMER KIMYA SANAYI VE TICARET A.Ş."/>
        <s v="ÇAKIR TEKNİK ELEKTRİK İNŞAAT SANAYİ TİCARET LİMİTED ŞİRKETİ"/>
        <s v="EGE DUVAR VE ZEMİN KAPLAMA SİSTEMLERİ SAN.TİC.LTD.ŞTİ"/>
        <s v="İNFOTEK ELEKTRONİK SANAYİ VE TİCARET ANONİM ŞİRKETİ"/>
        <s v="YUSUF YAVUZ"/>
        <s v="DÜKKANÖNÜ E-TİCARET SANAYİ VE TİCARET LİMİTED ŞİRKETİ"/>
        <s v="CW ENERJİ MÜHENDİSLİK TİCARET VE SANAYİ ANONİM ŞİRKETİ"/>
        <s v="STAR ALÜMİNYUM PAZARLAMA SANAYİ VE TİCARET ANONİM ŞİRKETİ"/>
        <s v="KARADENİZ YAPIŞTIRICILAR VE ENDÜSTRİYEL ÜRÜN. SAN. TİC. LTD.ŞTİ."/>
        <s v="TÜM ORMAN ÜRÜNLERİ MOBİLYA SANAYİ VE TİC. LTD. ŞTİ."/>
        <s v="BAYRAM YILMAZ - BAHÇIVAN İNŞAAT HIRDAVAT VE MAKİNE"/>
        <s v="WEBSELCO GRUP DİJİTAL İLETİŞİM KARAVAN TEKNE YAT MALZEMELERİ LİMİTED ŞİRKETİ"/>
        <s v="MURATHAN PUL CIVATA SAN.LTD.ŞTİ."/>
        <s v="OCTOOPİ TEKNOLOJİ A.Ş."/>
        <s v="BLUEMAC MAKİNE KALIP İMALAT ELEKTRİK DANIŞMANLIK SAN VE TİC LTD ŞTİ"/>
        <s v="UTKU ELEKTRİK SAN. VE TİC. LTD. ŞTİ."/>
        <s v="METAL PLASTİK SAN.TİC.LTD.ŞTİ."/>
        <s v="AVİSTA GLOBAL TEKSTİL İNŞAAT TURİZM SANAYİ VE TİCARET A.Ş."/>
        <s v="TERMOSA MOBİL SİSTEMLERİ ANONİM ŞİRKETİ"/>
        <s v="KORONA ENDÜSTRİYEL ELEKTRİK MÜHENDİSLİK SANAYİ VE TİCARET A.Ş."/>
        <s v="KBS MAĞAZA MOBİLYALARI TASARIM VE ÜRETİM A.Ş."/>
        <s v="GEBZE KARTAL CAM AKSESUAR İNŞ.SAN. VE TİC.LTD.ŞTİ."/>
        <s v="BARIŞ GÜNGÖR   [ EFE MÜHENDİSLİK ]"/>
        <s v="TECHNOMAC MAKİNE SANAYİ VE TİCARET LİMİTED ŞİRKETİ"/>
        <s v="AKRİDA TEKSTİL SAN. İÇ VE DIŞ TİC. LTD.ŞTİ."/>
        <s v="ARZU GÜRANÇ  ( GİPSY KAMP )"/>
        <s v="YUSUF ELYASA ÖZTÜRK MARİNE"/>
        <s v="ÜLKER BOYA SANAYİ VE TİCARET LTD. ŞTİ."/>
        <s v="AGUS KARAVAN TİC. LTD. ŞTİ."/>
        <s v="PLATİN CİVATA BAĞLANTI ELEMANLARI HIRDAVAT ALUMİNYUM SANAYİ VE TİCARET LTD. ŞTİ."/>
        <s v="EVACOOL SOĞUTMA ELEKTRONİK PLASTİK İNŞAAT SANAYİ VE TİCARET LİMİTED ŞİRKETİ"/>
        <s v="MAPA MOBİLYA VE AKSESUAR PAZARLAMA A.Ş."/>
        <s v="İMA KIRTASİYE PAZARLAMA TİCARET A.Ş."/>
        <s v="KURUOĞLU KERESTECİLİK VE DIŞ TİC. A.Ş."/>
        <s v="ÖZGÜR KIZILTOPRAK ORT."/>
        <s v="OPA ELEKTRİK İNŞAAT DIŞ TİCARET LİMİTED ŞİRKETİ"/>
        <s v="AYİNE KALİTE KONTROL ORGANİZASYON VE TİCARET LİMİTED ŞİRKETİ"/>
        <s v="ÖZÇELİK TORNA MAKİNA GEMİ ALMY DEMİR ÇELİK İNŞ SAN TİC LTD ŞTİ"/>
        <s v="TAMSAN BAĞLANTI ELEMANLARI YEDEK PARÇA VE MAKİNE EKİPMANLARI TURİZM İNŞAAT SANAYİ VE TİCARET ANONİM ŞİRKETİ"/>
        <s v="JIANGSU SANJO INTELLIGENT"/>
        <s v="CASTAGNARI SRL."/>
        <s v="SARAY DENİZ MALZEMELERİ VE YATÇILIK SANAYİ VE TİCARET LİMİTED ŞİRKETİ"/>
        <s v="DES ETİKET SANAYİ VE TİCARET LİMİTED ŞİRKETİ"/>
        <s v="ADAM ONLINE OTO YEDEK PARÇA TİCARET LİMİTED ŞİRKETİ"/>
        <s v="2K KAMP KARAVAN MARKET SANAYİ TİCARET LİMİTED ŞİRKETİ"/>
        <s v="ZHONGSHAN ROTON INTE"/>
        <s v="ÜMİT KOÇER"/>
        <s v="FERZAN MENSUCAT SANAYİ VE TİCARET LİMİTED ŞİRKETİ"/>
        <s v="Emre Kain"/>
        <s v="SARAL ELEKTRİK (BİLGİN AKMAN)"/>
        <s v="CAMPERMEN KAMP VE SPOR MALZEMELERI SANAYİ TİCARET LİMİTED ŞİRKETİ"/>
        <s v="ÜNMAR İÇ VE DIŞ TİCARET SAN. LTD. ŞTİ."/>
        <s v="HASAN TOKTOK"/>
        <s v="İZMİRYILDIZ ORMAN ÜRÜNLERİ İNŞ.TAAH.MAK.VE SAN.VE TİC.LTD.ŞTİ"/>
        <s v="HÜMA E-TİCARET OTOMOTİV SANAYİ VE TİCARET LİMİTED ŞİRKETİ"/>
        <s v="ZE TEKNİK METAL BOYA SANAYİ VE TİCARET ANONİM ŞİRKETİ"/>
        <s v="STARWOOD YAPI MARKETLERİ-YAPI MALZEMELERİ SANAYİ VE TİCARET ANONİM ŞİRKETİ"/>
        <s v="EHİLTEK KALIP TASARIM OTOMOTİV SANAYİ VE TİCARET LİMİTED ŞİRKETİ"/>
        <s v="MAVİLİM ELEKTRONİK GÜV.TEKNOLO.BİLG.SİST.TAAHHÜT SAN.TİC.LTD.ŞTİ." u="1"/>
        <s v="ERİM BURKUCU   [ ERM TECHNOLOGİES ]" u="1"/>
        <s v="ŞANLIOĞLU ORMAN ÜRÜNLERİ VE İNŞAAT MALZEMELERİ SAN.TİC.LTD.ŞTİ" u="1"/>
        <s v="HÜSEYİN YILDIZ " u="1"/>
        <s v="ÖZGÜVEN İNŞ DEK ALÜM PLAS DOĞ GIDA SAN VE TİC LTD ŞTİ" u="1"/>
        <s v="AKYIL END. MLZ. TAAH. İNŞ. TEK. SAN. TİC. LTD. ŞTİ." u="1"/>
        <s v="WÜRTH SANAYİ ÜRÜNLERİ TİC. LTD. ŞTİ." u="1"/>
        <s v="  MEHMET AKİF YEĞİNER" u="1"/>
        <s v="ELEGANT OTO DERİ VE AKSESUAR HİZMETLERİ SANAYİ TİC. LTD. ŞTİ." u="1"/>
        <s v="HİDROPARK HİDROLİK PNÖMATİK SAN. TİC. LTD. ŞTİ." u="1"/>
        <s v="BAŞKENT GÜNGÖR OTOMOTİV İTHALAT İHRACAT SANAYİ VE TİCARET LİMİTED ŞİRKETİ" u="1"/>
        <s v="INT-EL INTERNATİONAL ELEKTRONİK SANAYİ VE TİCARET LİMİTED ŞİRKETİ" u="1"/>
        <s v="C.F.MAİER POLİMER TEKNİK LİMİTED ŞİRKETİ" u="1"/>
        <s v="MASKOT REKLAM SANAYİ VE TİCARET LİMİTED ŞİRKETİ" u="1"/>
        <s v="ZHONGSHAN LAVANDA OUTDOORACAMP CO LTD" u="1"/>
        <s v="VOLDEM DİZAYN AKRİLİK MOBİLYA MİMARLIK İNŞAAT DIŞ TİCARET LİMİTED ŞİRKETİ" u="1"/>
        <s v="SKALA PVC EDGE BANDS MOBİLYA İNŞ.SAN.TİC.LTD.ŞTİ." u="1"/>
        <s v="UNO TECNİCA ELEKTRONİK YAZILIM MÜHENDİSLİK SANAYİ VE TİCARET LİMİTED ŞİRKETİ" u="1"/>
        <s v="PEKA ELEKTRONİK TİCARET VE BİLİŞİM HİZMETLERİ LİMİTED ŞİRKETİ" u="1"/>
        <s v="ALKO TEKNOLOJİ VE ARAÇ LTD.ŞTİ." u="1"/>
        <s v="GENADOOR MAKİNA OTOMOTİV SANAYİ VE TİCARET LİMİTED ŞİRKETİ €" u="1"/>
        <s v="Kalyon Teknik San. Ve Tic. Ltd. Şti." u="1"/>
        <s v="CEMİL TURAN" u="1"/>
        <s v="MARKAJ TEKNOLOJİ ANONİM ŞİRKETİ" u="1"/>
        <s v="OMSA OTOMOTİV AKSESUARLARI YEDEK PARÇA SANAYİ VE TİCARET ANONİM ŞİRKETİ" u="1"/>
        <s v="UYGAR MARİNE KARAVAN İÇ VE DIŞ TİCARET LİMİTED ŞİRKETİ" u="1"/>
        <s v="REİMO ALLES FÜR CAMPER REİSEMOBİLE UND CARAVANS SEİT 1980" u="1"/>
        <s v="CSY MARİNE DENİZCİLİK TURİZM ELEKTRİK AKSESUARLARI TİC. LTD. ŞTİ." u="1"/>
        <s v="DORELİNE E-TİCARET LİMİTED ŞİRKETİ" u="1"/>
        <s v="ŞEN ELEKTRİK ROBERT HALFON VE ORTAKLARI KOLLEKTİF ŞİRKETİ" u="1"/>
        <s v="ASAF ARSLAN" u="1"/>
        <s v="NAİL YAYLALI" u="1"/>
        <s v="YLZ TABELA SİSTEMLERİ SERİGRAFİ MATBAA REKLAM TURİZM OTOMOTİV İNŞAAT SANAYİ VE TİCARET LTD.ŞTİ." u="1"/>
        <s v="VEFA TENTE BRANDA ÜSTYAPI SİSTEMLERİ İÇ VE DIŞ TİCARET LİMİTED ŞİRKETİ" u="1"/>
        <s v="AHMET SAYIN  [AHMET TİC. OTO DÖŞEME MALZ.]" u="1"/>
        <s v="DC FİBER PANEL SİSTEMLERİ SANAYİ VE TİC. LTD. ŞTİ." u="1"/>
        <s v="KZY OFİS KIRTASİYE TEM. HIRD. REK.GIDA ÜRÜN. SAN.ve TİC. LTD. ŞTİ." u="1"/>
        <s v="TECER METAL SAÇ SANAYI VE TICARET LIMITED STI." u="1"/>
        <s v="ADORE TUR TURİZM İNŞAAT OTOMOTİV İTHALAT İHRACAT TİC LTD ŞTİ €" u="1"/>
        <s v="GÜVEN PASLANMAZ DEMİR ÇELİK ÜRÜNLERİ SAN.TİC.LTD.ŞTİ" u="1"/>
        <s v="AHMET ŞAH KOLAN" u="1"/>
        <s v="HİDROPARK ENDÜSTRİ ÜRÜNLERİ SATIŞ VE PAZARLAMA ANONİM ŞİRKETİ" u="1"/>
        <s v="MUHAMMET HÜSEYİN GÜLYOL   [ GÜLYOL PLASTİK ]" u="1"/>
        <s v="BAYKAR ELEKTRİK İNŞAAT OTOMOTİV TİCARET LİMİTED ŞİRKETİ" u="1"/>
        <s v="AYİNE PLASTİK VE TİCARET LİMİTED ŞİRKETİ" u="1"/>
        <s v="ÖZEMEK PLASTİK PROFİL VE KALIP SAN. TİC. LTD. ŞTİ." u="1"/>
        <s v="ÖZAY KARAHAN" u="1"/>
        <s v="NURCİVAN ENDÜSTRİYEL AMBALAJ SİSTEMLERİ SANAYİ VE DIŞ TİCARET LİMİTED ŞİRKETİ" u="1"/>
        <s v="TUNCAY ÖZÇELİK" u="1"/>
        <s v="NORMHOSE HİDROLİK BAĞLANTI TEKNOLOJİLERİ ANONİM ŞİRKETİ" u="1"/>
        <s v="ŞEREF ARAS" u="1"/>
        <s v="YAPIBAHÇE ENERJİ VE DİJİTAL MAĞAZACILIK TİCARET LTD.ŞTİ." u="1"/>
        <s v="ÖMER ARAS  [ Mert Cam Ayna Tasarım ]" u="1"/>
        <s v="FIRAT OTOMOTİV İNŞAAT GIDA SANAYİ TİCARET A.Ş." u="1"/>
        <s v="SHENZHENSHİ RONGTAO $" u="1"/>
        <s v="OSMAN ERTUĞRAL" u="1"/>
        <s v="ROSETTİ MOBİLYA AKSESUAR HIRDAVAT İNŞAAT İTHALAT İHRACAT SANAYİ TİCARET LİMİTED ŞİRKETİ" u="1"/>
        <s v="AKSANAL MARKET HIRDAVAT HEDİYELİK EŞYA DAYANIKLI TÜKETİM MALLARI SANAYİ VE TİCARET LİMİTED ŞİRKETİ" u="1"/>
        <s v="MERİÇ ELEKTRONİK İTHALAT İHRACAT ANONİM ŞİRKETİ" u="1"/>
        <s v="NECATİ YUVA İTHALAT-İHRACAT-İNTERNET" u="1"/>
        <s v="SAYAN OTOMOTİV SAN.VE TİC.LTD.ŞTİ." u="1"/>
        <s v="ZEKERİYA KAYACI" u="1"/>
        <s v="E-LINK INTERNATİONAL" u="1"/>
        <s v="Krom Endüstri Ürünleri Anonim Şirketi" u="1"/>
        <s v="BANER ENDÜSTRİYEL AMBALAJLAMA ÇÖZÜMLERİ SAN. VE TİC. LTD. ŞTİ." u="1"/>
        <s v="AYHAN   KARABAK" u="1"/>
        <s v="MENZİL AMBALAJ SANAYİ VE TİCARET LİMİTED ŞİRKETİ" u="1"/>
        <s v="ORTAKLAR KAMP EKİPMANLARI VE EV ALETLERİ SANAYİ TİCARET LİMİTED ŞİRKETİ" u="1"/>
        <s v="KRALLEN OTOMOTİV SANAYİ VE TİCARET ANONİM ŞİRKETİ" u="1"/>
        <s v="Aksanal Market Hırdavat Hediyelik Eşya Dayanıklı Tüketim MallarıSanayiveTic" u="1"/>
        <s v="YILPAR AYDINLATMA ELEKTRİK TAAHHÜT SANAYİ VE TİC. LTD. ŞTİ." u="1"/>
        <s v="Saray Deniz Malzemeleri ve Yatçılı San. ve Tic.Ltd.Şti." u="1"/>
        <s v="ÖZPAR KALIP VE KAUÇUK SANAYİ VE TİCARET LİMİTED ŞİRKETİ" u="1"/>
        <s v="YAVUZLAR ALÜMİNYUM ANONİM ŞİRKETİ" u="1"/>
        <s v="CEMİL ŞENTÜRK               (şentürk denizcilik )" u="1"/>
        <s v="MT RULMAN HIRDAVAT DIŞ TİC. LTD. ŞTİ." u="1"/>
        <s v="YAVUZER KARAVAN OTO YEDEK PARCA TİCARET LİMİTED ŞİRKETİ" u="1"/>
        <s v="OSMAN YILDIRIM CİVATA HIRDAVAT VE YAT AKSESUARLARI SANAYİ VE TİC. LTD. ŞTİ." u="1"/>
        <s v="PARS OUTDOOR OTOMOTİV SAN.A.Ş" u="1"/>
        <s v="TÜRKMEN ORM.ÜR.VE İNŞ.SAN.TİC.A.Ş." u="1"/>
        <s v="Teknovasyon ARGE Bilişim Danışmanlık Ltd. Şti." u="1"/>
        <s v="KENT AHŞAP ORMAN ÜRÜNLERİ İNŞAAT SANAYİ TİC. LTD. ŞTİ." u="1"/>
        <s v="DC FİBER PANEL SİSTEMLERİ SANAYİ VE TİCARET LİMİTED ŞİRKETİ" u="1"/>
        <s v="TUZLA CİVATA HIRDAVAT VE İNŞ.SAN.TİC.LTD.ŞTİ." u="1"/>
        <s v="YUSUF ELYASA ÖZTÜRK" u="1"/>
        <s v="ŞENEL ELEKTRONİK TİCARET VE SANAYİ LİMİTED ŞİRKETİ" u="1"/>
        <s v="BAŞARI ERBAŞ" u="1"/>
        <s v="PINAR KAMÇI" u="1"/>
        <s v="Cemil  ŞENTÜRK              ( ŞENTÜRK ELEKTRİK )" u="1"/>
        <s v="HASAN BAŞARAN" u="1"/>
        <s v="PALA ELEKTRONİK TİC. LTD. ŞTİ." u="1"/>
        <s v="EROL KULAOĞLU" u="1"/>
        <s v="TWOGO ELEKTRONİK SANAYİ VE TİC. LTD. ŞTİ." u="1"/>
        <s v="ALPDİNAMİK LİNEER MAKİNA SİSTEMLERİ SANAYİ TİCARET LİMİTED ŞİRKETİ" u="1"/>
        <s v="FATİH ERCAN" u="1"/>
        <s v="BALSAN DİNLENCE VE METAL ÜRÜNLER SANAYİ VE TİC. LTD. ŞTİ." u="1"/>
        <s v="HOTOMOBIL GMBH    [ Almanya ]" u="1"/>
        <s v="GENCER KARAVAN SANAYİ TİCARET ANONİM ŞİRKETİ" u="1"/>
        <s v="MIL ENERJI SAN VE TIC LTD ŞTI" u="1"/>
        <s v="ARTI MARİN MOBİL ENERJİ SİSTEMLERİ A.Ş." u="1"/>
        <s v="HAN CİVATA MAKİNA HIRDAVAT SANAYİ VE TİCARET LTD.ŞTİ." u="1"/>
        <s v="İSMAİL AKTEN" u="1"/>
        <s v="TEBA ELEKTRİK - ESRA KAÇAR" u="1"/>
        <s v="SUAT KARAOSMAN DİZEL TİCARET VE SANAYİ ANONİM ŞİRKETİ" u="1"/>
        <s v="İMPRO YAPI KİMYASALLARI DIŞ TİC.LTD.ŞTİ." u="1"/>
        <s v="CAN ALÜMİNYUM SANAYİ VE TİCARET ANONİM ŞİRKETİ" u="1"/>
        <s v="ANİTTA ENDÜSTRİYEL AMBALAJ VE PAKETLEME MÜHENDİSLİK HİZMETLERİ TİCARET LİMİTED ŞİRKETİ" u="1"/>
        <s v="NERMİN YILDIZ" u="1"/>
        <s v="KEBAN ELEKTRİK MÜHENDİSLİK LİMİTED ŞİRKETİ" u="1"/>
        <s v="Yusuf Elyesa Öztürk" u="1"/>
        <s v="EREN ERTEĞİ" u="1"/>
        <s v="YAZICIOĞLU İNŞ.MALZ.SAN.TİC.LTD.ŞTİ." u="1"/>
        <s v="HUNTER NATURE KARAVAN İMALAT SAN.ve TİC. LTD. ŞTİ." u="1"/>
        <s v="TEKNİK GÜBRE TARIM PEYZAJ İNŞAAT SANAYİ VE TİCARET LİMİTED ŞİRKETİ" u="1"/>
        <s v="Remta Makina İth.İhr.San ve Tic.Ltd.Şti." u="1"/>
        <s v="GÜRHAN KAPLAN" u="1"/>
        <s v="MEKTAŞ MAKİNA ELEKTRİK KİMYA TİC VESAN A.Ş. EURO" u="1"/>
        <s v="LAHUR MARİNE DENİZ VE YAT MALZ. TEKS. SAN. TİC. LTD. ŞTİ." u="1"/>
        <s v="KARAVANİST MOBİL ÇÖZÜMLER SANAYİ VE TİC. LTD. ŞTİ." u="1"/>
        <s v="EZS KAMP KARAVAN VE DOĞA SPORLARI SANAYİ TİCARET LİMİTED ŞİR" u="1"/>
        <s v="AYTUNÇ KESKİNEL" u="1"/>
        <s v="MAKRO AKSESUAR HIRDAVAT SANAYİ VE TİCARET LİMİTED ŞİRKETİ" u="1"/>
        <s v="VELDO TEKNOLOJİ MAKİNE ÜRETİM SANAYİ VE TİCARET A.Ş." u="1"/>
        <s v="ERCAN KARAKAŞ (SOFA MEKANİZMA SİSTEMLERİ)" u="1"/>
        <s v="İBRAHİM KOÇAK ( CİHAN DİZAYN)" u="1"/>
        <s v="ÖMER DEMİRBAŞ     [ CARETTA REKLAM AJANSI ]" u="1"/>
        <s v="MEHMET AKİF YEĞİNER" u="1"/>
        <s v="CAMPERMEN KAMP VE SPOR MALZEMELERİ SANAYİ TİCARET LİMİTED ŞİRKETİ" u="1"/>
        <s v="TUZLAM MARİN YAT TEKNE VE DENİZ MALZ. SAN.TİC.LTD.ŞTİ." u="1"/>
        <s v="ESRA KAÇAR ( TEBA ELEKTRİK )" u="1"/>
        <s v="CENAP BORA ELEKTRONİK İTH İRC.SAN TİC LTD ŞTİ" u="1"/>
        <s v="TEMA ALÜMİNYUM SANAYİ VE TİCARET LTD.ŞTİ." u="1"/>
        <s v="KENAN SÖNMEZ   [ ALBİNA TENTE ]" u="1"/>
        <s v="SEZER OTO KOLTUK İMAL. VE İNŞ. SAN TİC LTD ŞTİ." u="1"/>
        <s v="ATERSAN İTHALAT MAKİNA İNŞAAT TEKNİK MALZEME SANAYİ VE TİCARET A.Ş." u="1"/>
        <s v="ERTUĞRUL ÇATAK    ( KAMPERSAN KARAVAN EKİPMANLARI )" u="1"/>
        <s v="ARK PRES EMNİYET KEMERİ SANAYİ VE TİCARET A.Ş." u="1"/>
        <s v="İNTER POLİÜRETAN SÜNGER SANAYİ VE TİCARET ANONİM ŞİRKETİ" u="1"/>
        <s v="TEZPAR NAKLIYE KONF. TEKS. OTOMOTIV YEDEK PARÇA PAZ. SAN.TIC LTD ŞTI" u="1"/>
        <s v="AHMET SUER" u="1"/>
        <s v="CONFIDENCE DAYANIKLI TÜKETİM MAL SAN VE TİC LTD ŞTİ" u="1"/>
        <s v="OCTOOPİ TEKNOLOJİ A.Ş. US " u="1"/>
        <s v="ŞEREFCAN KATIK" u="1"/>
        <s v="Güney Çelik Halat İth. İhr. San. Tci. Ltd. Şti." u="1"/>
        <s v="ÖMER TAHA BOSTANCIER / ETİK BİLGİSAYAR" u="1"/>
        <s v="İlyas KARABIYIK" u="1"/>
        <s v="MEHMET ALTUNCU [ YN ALTUNCU YAPI VE HIRDAVAT MALZEMELERİ ]" u="1"/>
        <s v="FSM TASARIM VE ENDÜSTRİYEL ÜRÜNLER SANAYİ TİCARET LİMİTED ŞİRKETİ" u="1"/>
        <s v="HAFELE MOBİLYA VE İNŞAAT DONANIMLARI SANAYİ VE TİC. A.Ş." u="1"/>
        <s v="2C ENDÜSTRİ MAKİNELERİ VE İTH. İHR. TİC. LTD. ŞTİ." u="1"/>
        <s v="AYŞE İLGAR" u="1"/>
        <s v="OMNİS KOMPOZİT SAN. VE TİC.LTD.ŞTİ." u="1"/>
        <s v="DÖNDÜ EREL" u="1"/>
        <s v="Gülplast Plasti?k İ?malat San.ve Ti?c.ltd.şti?." u="1"/>
        <s v="ARTES ORMAN ÜRÜNLERİ SANAYİ VE TİCARET A.Ş." u="1"/>
        <s v="SEBAT METAL SANAYİ TİCARET LİMİTED ŞİRKETİ" u="1"/>
        <s v="THRONE OTOMOTİV SAN.TİC.LTD.ŞTİ." u="1"/>
        <s v="TBM OTOMOTİV GIDA KOZMETİK SANAYİ TİC.LTD. ŞTİ" u="1"/>
        <s v="VAB DESİNG AKRİLİK MOBİLYA MİMARLIK İNŞAAT DIŞ TİCARET LİMİTED ŞİRKETİ" u="1"/>
        <s v="VG HIRDAVAT RULMAN VE ENDÜSTRİYEL MALZEMELER SANAYİ VE TİCARET LİMİTED ŞİRKETİ" u="1"/>
        <s v="GÜLİZ  ÖRENTEL" u="1"/>
        <s v="DRK ELEKTRONİK VE TEK.HİZ.SAN.VE TİC.A.Ş." u="1"/>
        <s v="SAM DIŞ TİCARET PAZARLAMA LİMİTED ŞİRKETİ" u="1"/>
        <s v="FIRAT ÇİFTÇİOĞLU" u="1"/>
        <s v="OK KABLO ELEKTRONİK ELEKTRİK SANAYİ İÇ VE DIŞ TİCARET A.Ş." u="1"/>
        <s v="GÜLPLAST PLASTİK İMALAT SAN.VE TİC.LTD.ŞTİ." u="1"/>
        <s v="ALİZE İNŞAAT MALZEMELERİ TURİZM PETROLCÜLÜK LTD.ŞTİ." u="1"/>
        <s v="DOP DANIŞMA ORGANİZASYON PAZARLAMA YAYINCILIK SANAYİ VE TİCARET ANONİM ŞİRKETİ" u="1"/>
        <s v="GENÇLER İLETİŞİM ELEKT.TUR.VE TEKS.SAN.TİC.LTD.ŞTİ." u="1"/>
        <s v="ŞENAY ŞAHİN   [  BY PLİSE ]" u="1"/>
        <s v="ÇAYIROVA OTOMOTİV SANAYİ VE TİCARET A.Ş." u="1"/>
        <s v="VAB DESİNG AKRİLİK MOB.MİMAR.İNŞ. DIŞ TİC.LTD.ŞTİ." u="1"/>
        <s v="KOYUNCUOĞLU AHŞAP SANAYİ TİCARET A.Ş." u="1"/>
        <s v="BROTHERS CARAVAN OTOMOTİV İMALAT SANAYİ VE TİCARET LİMİTED ŞİRKETİ" u="1"/>
        <s v="SAMSUN SÜNGER POLİÜRETAN SANAYİ VE TİC. LTD. ŞTİ." u="1"/>
        <s v="GİPSY KAMP ARZU GÜRANÇ" u="1"/>
        <s v="ARİEL ALP LEVİ   [ Alp Elektrik ]" u="1"/>
        <s v="ALATAŞ MONTAJ TEKNOLOJİLERİ END. EKİP. SAN. TİC. LTD. ŞTİ." u="1"/>
        <s v="YILDIZPAN ORMAN ÜRÜNLERİ SANAYİ VE TİC. LTD. ŞTİ." u="1"/>
        <s v="MERTECH AUTOMOTİVE ELEKTRONİK SAN. VE TİC. LTD. ŞTİ." u="1"/>
        <s v="YAĞIZ ULUSLARARASI İLETİŞİM TELEKOMÜNİKASYON BİLİŞİM SANAYİ VE TİCARET LİMİTED ŞİRKETİ" u="1"/>
        <s v="HAKAN EREL VE ORTAKLARI" u="1"/>
        <s v="BOREASTEKNİK HIRD.GEMİ İNŞ. TAAH. SAN.TİC LTD.ŞTİ." u="1"/>
        <s v="PİRANLAR BİLİŞİM BEYAZ EŞYA SAN. TİC. LTD. ŞTİ." u="1"/>
        <s v="YILDIZPAN ORMAN ÜRÜNLERİ SANAYİ VE TİCARET LİMİTED ŞİRKETİ" u="1"/>
        <s v="AYKOÇLAR DAYANIKLI TÜKETİM MALLARI MOBİLYA TEKSTİL SANAYİ VE DIŞ TİCARET LİMİTED ŞİRKETİ" u="1"/>
        <s v="SİNEKA SİNEKLİK SİSTEMLERİ SANAYİ VE TİC. LTD. ŞTİ." u="1"/>
        <s v="DRK AKSESUAR VE İLETİŞİM HİZMETLERİ SAN. VE TİC. A.Ş." u="1"/>
      </sharedItems>
    </cacheField>
    <cacheField name="TUTAR" numFmtId="0">
      <sharedItems containsString="0" containsBlank="1" containsNumber="1" minValue="0" maxValue="65075.75"/>
    </cacheField>
    <cacheField name="ALTSTOKGRUPKODU" numFmtId="0">
      <sharedItems count="22">
        <s v="3D-BASKI"/>
        <s v=""/>
        <s v="HIRDAVAT"/>
        <s v="KİMYASAL"/>
        <s v="MEKANİK"/>
        <s v="DÖŞEME"/>
        <s v="KARAVAN EKİPMAN"/>
        <s v="ELEKTRİK"/>
        <s v="MOBİLYA"/>
        <s v="MEKANIK"/>
        <s v="MOBILYA"/>
        <s v="ÇADIR"/>
        <s v="KARAVAN"/>
        <s v="DOSEME"/>
        <s v="YARIMAMÜL" u="1"/>
        <s v="ELEKTRIK" u="1"/>
        <s v="YEDEK PARÇA" u="1"/>
        <s v="ARGE" u="1"/>
        <s v="BAŞARI" u="1"/>
        <s v="NUMUNE" u="1"/>
        <s v="ETİCARET" u="1"/>
        <s v="ELEKTİRİK" u="1"/>
      </sharedItems>
    </cacheField>
  </cacheFields>
  <extLst>
    <ext xmlns:x14="http://schemas.microsoft.com/office/spreadsheetml/2009/9/main" uri="{725AE2AE-9491-48be-B2B4-4EB974FC3084}">
      <x14:pivotCacheDefinition pivotCacheId="1818920627"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5974">
  <r>
    <x v="0"/>
    <s v="Soner Kayıkçı"/>
    <x v="0"/>
    <x v="0"/>
    <x v="0"/>
    <n v="2"/>
    <s v="ADET"/>
    <n v="0"/>
    <n v="20"/>
    <n v="34"/>
    <n v="18"/>
    <n v="0"/>
    <n v="1476"/>
    <n v="82"/>
    <x v="0"/>
    <n v="164"/>
    <x v="0"/>
  </r>
  <r>
    <x v="1"/>
    <s v="Stina Alm"/>
    <x v="0"/>
    <x v="0"/>
    <x v="0"/>
    <n v="2"/>
    <s v="ADET"/>
    <n v="0"/>
    <n v="20"/>
    <n v="34"/>
    <n v="18"/>
    <n v="0"/>
    <n v="1476"/>
    <n v="82"/>
    <x v="0"/>
    <n v="164"/>
    <x v="0"/>
  </r>
  <r>
    <x v="2"/>
    <s v="Laurent MONTAGNER"/>
    <x v="0"/>
    <x v="0"/>
    <x v="0"/>
    <n v="2"/>
    <s v="ADET"/>
    <n v="0"/>
    <n v="20"/>
    <n v="34"/>
    <n v="18"/>
    <n v="0"/>
    <n v="1476"/>
    <n v="82"/>
    <x v="0"/>
    <n v="164"/>
    <x v="0"/>
  </r>
  <r>
    <x v="0"/>
    <s v="Soner Kayıkçı"/>
    <x v="1"/>
    <x v="1"/>
    <x v="1"/>
    <n v="1"/>
    <s v="ADET"/>
    <n v="0"/>
    <n v="10"/>
    <n v="9"/>
    <n v="2"/>
    <n v="0"/>
    <n v="0"/>
    <m/>
    <x v="1"/>
    <m/>
    <x v="1"/>
  </r>
  <r>
    <x v="1"/>
    <s v="Stina Alm"/>
    <x v="1"/>
    <x v="1"/>
    <x v="1"/>
    <n v="1"/>
    <s v="ADET"/>
    <n v="0"/>
    <n v="10"/>
    <n v="9"/>
    <n v="2"/>
    <n v="0"/>
    <n v="0"/>
    <m/>
    <x v="1"/>
    <m/>
    <x v="1"/>
  </r>
  <r>
    <x v="1"/>
    <s v="Stina Alm"/>
    <x v="0"/>
    <x v="2"/>
    <x v="2"/>
    <n v="1"/>
    <s v="ADET"/>
    <n v="0"/>
    <n v="25"/>
    <n v="18"/>
    <n v="-6"/>
    <n v="0"/>
    <n v="0"/>
    <n v="225"/>
    <x v="2"/>
    <n v="225"/>
    <x v="2"/>
  </r>
  <r>
    <x v="0"/>
    <s v="Soner Kayıkçı"/>
    <x v="0"/>
    <x v="3"/>
    <x v="3"/>
    <n v="35.28"/>
    <s v="KG"/>
    <n v="0"/>
    <n v="0"/>
    <n v="437.82000000000016"/>
    <n v="348.62999999999988"/>
    <n v="0"/>
    <n v="33597.473099999988"/>
    <n v="96.37"/>
    <x v="3"/>
    <n v="3399.9336000000003"/>
    <x v="3"/>
  </r>
  <r>
    <x v="2"/>
    <s v="Laurent MONTAGNER"/>
    <x v="0"/>
    <x v="3"/>
    <x v="3"/>
    <n v="32.92"/>
    <s v="KG"/>
    <n v="32.92"/>
    <n v="0"/>
    <n v="437.82000000000016"/>
    <n v="348.62999999999988"/>
    <n v="0"/>
    <n v="33597.473099999988"/>
    <n v="96.37"/>
    <x v="3"/>
    <n v="3172.5004000000004"/>
    <x v="3"/>
  </r>
  <r>
    <x v="3"/>
    <s v="Stina Alm"/>
    <x v="0"/>
    <x v="0"/>
    <x v="0"/>
    <n v="2"/>
    <s v="ADET"/>
    <n v="0"/>
    <n v="20"/>
    <n v="34"/>
    <n v="18"/>
    <n v="0"/>
    <n v="1476"/>
    <n v="82"/>
    <x v="0"/>
    <n v="164"/>
    <x v="0"/>
  </r>
  <r>
    <x v="4"/>
    <s v="Stefan Zaugg"/>
    <x v="0"/>
    <x v="4"/>
    <x v="4"/>
    <n v="8"/>
    <s v="ADET"/>
    <n v="0"/>
    <n v="113"/>
    <n v="0"/>
    <n v="-97"/>
    <n v="0"/>
    <n v="0"/>
    <n v="75"/>
    <x v="4"/>
    <n v="600"/>
    <x v="4"/>
  </r>
  <r>
    <x v="4"/>
    <s v="Stefan Zaugg"/>
    <x v="0"/>
    <x v="2"/>
    <x v="2"/>
    <n v="1"/>
    <s v="ADET"/>
    <n v="0"/>
    <n v="25"/>
    <n v="18"/>
    <n v="-6"/>
    <n v="0"/>
    <n v="0"/>
    <n v="225"/>
    <x v="2"/>
    <n v="225"/>
    <x v="2"/>
  </r>
  <r>
    <x v="5"/>
    <s v="Matteo Giolo"/>
    <x v="0"/>
    <x v="2"/>
    <x v="2"/>
    <n v="1"/>
    <s v="ADET"/>
    <n v="0"/>
    <n v="25"/>
    <n v="18"/>
    <n v="-6"/>
    <n v="0"/>
    <n v="0"/>
    <n v="225"/>
    <x v="2"/>
    <n v="225"/>
    <x v="2"/>
  </r>
  <r>
    <x v="4"/>
    <s v="Stefan Zaugg"/>
    <x v="0"/>
    <x v="5"/>
    <x v="5"/>
    <n v="25"/>
    <s v="ADET"/>
    <n v="0"/>
    <n v="5200"/>
    <n v="0"/>
    <n v="-5125"/>
    <n v="0"/>
    <n v="0"/>
    <n v="0.08"/>
    <x v="5"/>
    <n v="2"/>
    <x v="2"/>
  </r>
  <r>
    <x v="2"/>
    <s v="Laurent MONTAGNER"/>
    <x v="1"/>
    <x v="1"/>
    <x v="1"/>
    <n v="1"/>
    <s v="ADET"/>
    <n v="0"/>
    <n v="10"/>
    <n v="9"/>
    <n v="2"/>
    <n v="0"/>
    <n v="0"/>
    <m/>
    <x v="1"/>
    <m/>
    <x v="1"/>
  </r>
  <r>
    <x v="0"/>
    <s v="Soner Kayıkçı"/>
    <x v="0"/>
    <x v="2"/>
    <x v="2"/>
    <n v="1"/>
    <s v="ADET"/>
    <n v="0"/>
    <n v="25"/>
    <n v="18"/>
    <n v="-6"/>
    <n v="0"/>
    <n v="0"/>
    <n v="225"/>
    <x v="2"/>
    <n v="225"/>
    <x v="2"/>
  </r>
  <r>
    <x v="6"/>
    <s v="Laurent MONTAGNER"/>
    <x v="0"/>
    <x v="3"/>
    <x v="3"/>
    <n v="36.03"/>
    <s v="KG"/>
    <n v="36.03"/>
    <n v="0"/>
    <n v="437.82000000000016"/>
    <n v="348.62999999999988"/>
    <n v="0"/>
    <n v="33597.473099999988"/>
    <n v="96.37"/>
    <x v="3"/>
    <n v="3472.2111000000004"/>
    <x v="3"/>
  </r>
  <r>
    <x v="1"/>
    <s v="Stina Alm"/>
    <x v="0"/>
    <x v="3"/>
    <x v="3"/>
    <n v="30.519999999999996"/>
    <s v="KG"/>
    <n v="0"/>
    <n v="0"/>
    <n v="437.82000000000016"/>
    <n v="348.62999999999988"/>
    <n v="0"/>
    <n v="33597.473099999988"/>
    <n v="96.37"/>
    <x v="3"/>
    <n v="2941.2123999999999"/>
    <x v="3"/>
  </r>
  <r>
    <x v="4"/>
    <s v="Stefan Zaugg"/>
    <x v="0"/>
    <x v="6"/>
    <x v="6"/>
    <n v="21"/>
    <s v="METRE"/>
    <n v="0"/>
    <n v="150"/>
    <n v="0"/>
    <n v="-76"/>
    <n v="0"/>
    <n v="0"/>
    <n v="320"/>
    <x v="6"/>
    <n v="6720"/>
    <x v="5"/>
  </r>
  <r>
    <x v="5"/>
    <s v="Matteo Giolo"/>
    <x v="0"/>
    <x v="0"/>
    <x v="0"/>
    <n v="2"/>
    <s v="ADET"/>
    <n v="0"/>
    <n v="20"/>
    <n v="34"/>
    <n v="18"/>
    <n v="0"/>
    <n v="1476"/>
    <n v="82"/>
    <x v="0"/>
    <n v="164"/>
    <x v="0"/>
  </r>
  <r>
    <x v="4"/>
    <s v="Stefan Zaugg"/>
    <x v="0"/>
    <x v="0"/>
    <x v="0"/>
    <n v="2"/>
    <s v="ADET"/>
    <n v="0"/>
    <n v="20"/>
    <n v="34"/>
    <n v="18"/>
    <n v="0"/>
    <n v="1476"/>
    <n v="82"/>
    <x v="0"/>
    <n v="164"/>
    <x v="0"/>
  </r>
  <r>
    <x v="7"/>
    <s v="Laurent MONTAGNER"/>
    <x v="1"/>
    <x v="1"/>
    <x v="1"/>
    <n v="1"/>
    <s v="ADET"/>
    <n v="1"/>
    <n v="10"/>
    <n v="9"/>
    <n v="2"/>
    <n v="0"/>
    <n v="0"/>
    <m/>
    <x v="1"/>
    <m/>
    <x v="1"/>
  </r>
  <r>
    <x v="7"/>
    <s v="Laurent MONTAGNER"/>
    <x v="0"/>
    <x v="2"/>
    <x v="2"/>
    <n v="1"/>
    <s v="ADET"/>
    <n v="0"/>
    <n v="25"/>
    <n v="18"/>
    <n v="-6"/>
    <n v="0"/>
    <n v="0"/>
    <n v="225"/>
    <x v="2"/>
    <n v="225"/>
    <x v="2"/>
  </r>
  <r>
    <x v="3"/>
    <s v="Stina Alm"/>
    <x v="0"/>
    <x v="2"/>
    <x v="2"/>
    <n v="1"/>
    <s v="ADET"/>
    <n v="0"/>
    <n v="25"/>
    <n v="18"/>
    <n v="-6"/>
    <n v="0"/>
    <n v="0"/>
    <n v="225"/>
    <x v="2"/>
    <n v="225"/>
    <x v="2"/>
  </r>
  <r>
    <x v="8"/>
    <s v="Jan Urbanek"/>
    <x v="0"/>
    <x v="0"/>
    <x v="0"/>
    <n v="2"/>
    <s v="ADET"/>
    <n v="0"/>
    <n v="20"/>
    <n v="34"/>
    <n v="18"/>
    <n v="0"/>
    <n v="1476"/>
    <n v="82"/>
    <x v="0"/>
    <n v="164"/>
    <x v="0"/>
  </r>
  <r>
    <x v="9"/>
    <s v="Jan Urbanek"/>
    <x v="0"/>
    <x v="0"/>
    <x v="0"/>
    <n v="2"/>
    <s v="ADET"/>
    <n v="0"/>
    <n v="20"/>
    <n v="34"/>
    <n v="18"/>
    <n v="0"/>
    <n v="1476"/>
    <n v="82"/>
    <x v="0"/>
    <n v="164"/>
    <x v="0"/>
  </r>
  <r>
    <x v="10"/>
    <s v="Jan Urbanek"/>
    <x v="0"/>
    <x v="2"/>
    <x v="2"/>
    <n v="1"/>
    <s v="ADET"/>
    <n v="0"/>
    <n v="25"/>
    <n v="18"/>
    <n v="-6"/>
    <n v="0"/>
    <n v="0"/>
    <n v="225"/>
    <x v="2"/>
    <n v="225"/>
    <x v="2"/>
  </r>
  <r>
    <x v="9"/>
    <s v="Jan Urbanek"/>
    <x v="0"/>
    <x v="2"/>
    <x v="2"/>
    <n v="1"/>
    <s v="ADET"/>
    <n v="0"/>
    <n v="25"/>
    <n v="18"/>
    <n v="-6"/>
    <n v="0"/>
    <n v="0"/>
    <n v="225"/>
    <x v="2"/>
    <n v="225"/>
    <x v="2"/>
  </r>
  <r>
    <x v="8"/>
    <s v="Jan Urbanek"/>
    <x v="0"/>
    <x v="2"/>
    <x v="2"/>
    <n v="1"/>
    <s v="ADET"/>
    <n v="0"/>
    <n v="25"/>
    <n v="18"/>
    <n v="-6"/>
    <n v="0"/>
    <n v="0"/>
    <n v="225"/>
    <x v="2"/>
    <n v="225"/>
    <x v="2"/>
  </r>
  <r>
    <x v="10"/>
    <s v="Jan Urbanek"/>
    <x v="0"/>
    <x v="7"/>
    <x v="7"/>
    <n v="1"/>
    <s v="ADET"/>
    <n v="0"/>
    <n v="0"/>
    <n v="5"/>
    <n v="0"/>
    <n v="7"/>
    <n v="0"/>
    <n v="1491.67"/>
    <x v="7"/>
    <n v="1491.67"/>
    <x v="6"/>
  </r>
  <r>
    <x v="9"/>
    <s v="Jan Urbanek"/>
    <x v="0"/>
    <x v="8"/>
    <x v="8"/>
    <n v="78"/>
    <s v="ADET"/>
    <n v="0"/>
    <n v="3000"/>
    <n v="1138"/>
    <n v="-1738"/>
    <n v="0"/>
    <n v="0"/>
    <n v="0.93"/>
    <x v="8"/>
    <n v="72.540000000000006"/>
    <x v="2"/>
  </r>
  <r>
    <x v="8"/>
    <s v="Jan Urbanek"/>
    <x v="0"/>
    <x v="8"/>
    <x v="8"/>
    <n v="78"/>
    <s v="ADET"/>
    <n v="0"/>
    <n v="3000"/>
    <n v="1138"/>
    <n v="-1738"/>
    <n v="0"/>
    <n v="0"/>
    <n v="0.93"/>
    <x v="8"/>
    <n v="72.540000000000006"/>
    <x v="2"/>
  </r>
  <r>
    <x v="8"/>
    <s v="Jan Urbanek"/>
    <x v="0"/>
    <x v="9"/>
    <x v="9"/>
    <n v="1"/>
    <s v="ADET"/>
    <n v="0"/>
    <n v="2"/>
    <n v="4"/>
    <n v="5"/>
    <n v="0"/>
    <n v="37250"/>
    <n v="7450"/>
    <x v="9"/>
    <n v="7450"/>
    <x v="6"/>
  </r>
  <r>
    <x v="9"/>
    <s v="Jan Urbanek"/>
    <x v="0"/>
    <x v="9"/>
    <x v="9"/>
    <n v="1"/>
    <s v="ADET"/>
    <n v="0"/>
    <n v="2"/>
    <n v="4"/>
    <n v="5"/>
    <n v="0"/>
    <n v="37250"/>
    <n v="7450"/>
    <x v="9"/>
    <n v="7450"/>
    <x v="6"/>
  </r>
  <r>
    <x v="11"/>
    <s v="Jan Urbanek"/>
    <x v="0"/>
    <x v="10"/>
    <x v="10"/>
    <n v="0.05"/>
    <s v="KG"/>
    <n v="0"/>
    <n v="0"/>
    <n v="2.6000000000000014"/>
    <n v="0.29999999999999982"/>
    <n v="0"/>
    <n v="193.70099999999988"/>
    <n v="645.66999999999996"/>
    <x v="3"/>
    <n v="32.283499999999997"/>
    <x v="3"/>
  </r>
  <r>
    <x v="11"/>
    <s v="Jan Urbanek"/>
    <x v="0"/>
    <x v="11"/>
    <x v="11"/>
    <n v="1.504"/>
    <s v="KG"/>
    <n v="0"/>
    <n v="0"/>
    <n v="65.03100000000002"/>
    <n v="17.948"/>
    <n v="0"/>
    <n v="6991.2844399999994"/>
    <n v="389.53"/>
    <x v="3"/>
    <n v="585.85311999999999"/>
    <x v="3"/>
  </r>
  <r>
    <x v="5"/>
    <s v="Matteo Giolo"/>
    <x v="0"/>
    <x v="8"/>
    <x v="8"/>
    <n v="74"/>
    <s v="ADET"/>
    <n v="0"/>
    <n v="3000"/>
    <n v="1138"/>
    <n v="-1738"/>
    <n v="0"/>
    <n v="0"/>
    <n v="0.93"/>
    <x v="8"/>
    <n v="68.820000000000007"/>
    <x v="2"/>
  </r>
  <r>
    <x v="4"/>
    <s v="Stefan Zaugg"/>
    <x v="0"/>
    <x v="8"/>
    <x v="8"/>
    <n v="58"/>
    <s v="ADET"/>
    <n v="0"/>
    <n v="3000"/>
    <n v="1138"/>
    <n v="-1738"/>
    <n v="0"/>
    <n v="0"/>
    <n v="0.93"/>
    <x v="8"/>
    <n v="53.940000000000005"/>
    <x v="2"/>
  </r>
  <r>
    <x v="4"/>
    <s v="Stefan Zaugg"/>
    <x v="0"/>
    <x v="9"/>
    <x v="9"/>
    <n v="1"/>
    <s v="ADET"/>
    <n v="1"/>
    <n v="2"/>
    <n v="4"/>
    <n v="5"/>
    <n v="0"/>
    <n v="37250"/>
    <n v="7450"/>
    <x v="9"/>
    <n v="7450"/>
    <x v="6"/>
  </r>
  <r>
    <x v="9"/>
    <s v="Jan Urbanek"/>
    <x v="0"/>
    <x v="12"/>
    <x v="12"/>
    <n v="2"/>
    <s v="ADET"/>
    <n v="0"/>
    <n v="14472"/>
    <n v="3376"/>
    <n v="-14340"/>
    <n v="0"/>
    <n v="0"/>
    <n v="0.04"/>
    <x v="5"/>
    <n v="0.08"/>
    <x v="2"/>
  </r>
  <r>
    <x v="8"/>
    <s v="Jan Urbanek"/>
    <x v="0"/>
    <x v="12"/>
    <x v="12"/>
    <n v="2"/>
    <s v="ADET"/>
    <n v="0"/>
    <n v="14472"/>
    <n v="3376"/>
    <n v="-14340"/>
    <n v="0"/>
    <n v="0"/>
    <n v="0.04"/>
    <x v="5"/>
    <n v="0.08"/>
    <x v="2"/>
  </r>
  <r>
    <x v="10"/>
    <s v="Jan Urbanek"/>
    <x v="0"/>
    <x v="8"/>
    <x v="8"/>
    <n v="78"/>
    <s v="ADET"/>
    <n v="0"/>
    <n v="3000"/>
    <n v="1138"/>
    <n v="-1738"/>
    <n v="0"/>
    <n v="0"/>
    <n v="0.93"/>
    <x v="8"/>
    <n v="72.540000000000006"/>
    <x v="2"/>
  </r>
  <r>
    <x v="9"/>
    <s v="Jan Urbanek"/>
    <x v="0"/>
    <x v="13"/>
    <x v="13"/>
    <n v="3"/>
    <s v="ADET"/>
    <n v="0"/>
    <n v="0"/>
    <n v="128"/>
    <n v="70"/>
    <n v="40"/>
    <n v="4200"/>
    <n v="60"/>
    <x v="10"/>
    <n v="180"/>
    <x v="2"/>
  </r>
  <r>
    <x v="8"/>
    <s v="Jan Urbanek"/>
    <x v="0"/>
    <x v="13"/>
    <x v="13"/>
    <n v="3"/>
    <s v="ADET"/>
    <n v="0"/>
    <n v="0"/>
    <n v="128"/>
    <n v="70"/>
    <n v="40"/>
    <n v="4200"/>
    <n v="60"/>
    <x v="10"/>
    <n v="180"/>
    <x v="2"/>
  </r>
  <r>
    <x v="10"/>
    <s v="Jan Urbanek"/>
    <x v="0"/>
    <x v="14"/>
    <x v="14"/>
    <n v="1"/>
    <s v="ADET"/>
    <n v="0"/>
    <n v="0"/>
    <n v="10"/>
    <n v="0"/>
    <n v="11"/>
    <n v="0"/>
    <n v="675"/>
    <x v="7"/>
    <n v="675"/>
    <x v="6"/>
  </r>
  <r>
    <x v="9"/>
    <s v="Jan Urbanek"/>
    <x v="0"/>
    <x v="14"/>
    <x v="14"/>
    <n v="1"/>
    <s v="ADET"/>
    <n v="0"/>
    <n v="0"/>
    <n v="10"/>
    <n v="0"/>
    <n v="11"/>
    <n v="0"/>
    <n v="675"/>
    <x v="7"/>
    <n v="675"/>
    <x v="6"/>
  </r>
  <r>
    <x v="8"/>
    <s v="Jan Urbanek"/>
    <x v="0"/>
    <x v="14"/>
    <x v="14"/>
    <n v="1"/>
    <s v="ADET"/>
    <n v="0"/>
    <n v="0"/>
    <n v="10"/>
    <n v="0"/>
    <n v="11"/>
    <n v="0"/>
    <n v="675"/>
    <x v="7"/>
    <n v="675"/>
    <x v="6"/>
  </r>
  <r>
    <x v="10"/>
    <s v="Jan Urbanek"/>
    <x v="0"/>
    <x v="9"/>
    <x v="9"/>
    <n v="1"/>
    <s v="ADET"/>
    <n v="0"/>
    <n v="2"/>
    <n v="4"/>
    <n v="5"/>
    <n v="0"/>
    <n v="37250"/>
    <n v="7450"/>
    <x v="9"/>
    <n v="7450"/>
    <x v="6"/>
  </r>
  <r>
    <x v="10"/>
    <s v="Jan Urbanek"/>
    <x v="0"/>
    <x v="15"/>
    <x v="15"/>
    <n v="1"/>
    <s v="ADET"/>
    <n v="0"/>
    <n v="12"/>
    <n v="13"/>
    <n v="-5"/>
    <n v="0"/>
    <n v="0"/>
    <n v="28339.38"/>
    <x v="11"/>
    <n v="28339.38"/>
    <x v="6"/>
  </r>
  <r>
    <x v="9"/>
    <s v="Jan Urbanek"/>
    <x v="0"/>
    <x v="10"/>
    <x v="10"/>
    <n v="0.05"/>
    <s v="KG"/>
    <n v="0"/>
    <n v="0"/>
    <n v="2.6000000000000014"/>
    <n v="0.29999999999999982"/>
    <n v="0"/>
    <n v="193.70099999999988"/>
    <n v="645.66999999999996"/>
    <x v="3"/>
    <n v="32.283499999999997"/>
    <x v="3"/>
  </r>
  <r>
    <x v="12"/>
    <s v="Matteo Giolo"/>
    <x v="0"/>
    <x v="12"/>
    <x v="12"/>
    <n v="2"/>
    <s v="ADET"/>
    <n v="0"/>
    <n v="14472"/>
    <n v="3376"/>
    <n v="-14340"/>
    <n v="0"/>
    <n v="0"/>
    <n v="0.04"/>
    <x v="5"/>
    <n v="0.08"/>
    <x v="2"/>
  </r>
  <r>
    <x v="7"/>
    <s v="Laurent MONTAGNER"/>
    <x v="0"/>
    <x v="8"/>
    <x v="8"/>
    <n v="70"/>
    <s v="ADET"/>
    <n v="0"/>
    <n v="3000"/>
    <n v="1138"/>
    <n v="-1738"/>
    <n v="0"/>
    <n v="0"/>
    <n v="0.93"/>
    <x v="8"/>
    <n v="65.100000000000009"/>
    <x v="2"/>
  </r>
  <r>
    <x v="12"/>
    <s v="Matteo Giolo"/>
    <x v="0"/>
    <x v="13"/>
    <x v="13"/>
    <n v="3"/>
    <s v="ADET"/>
    <n v="0"/>
    <n v="0"/>
    <n v="128"/>
    <n v="70"/>
    <n v="40"/>
    <n v="4200"/>
    <n v="60"/>
    <x v="10"/>
    <n v="180"/>
    <x v="2"/>
  </r>
  <r>
    <x v="12"/>
    <s v="Matteo Giolo"/>
    <x v="0"/>
    <x v="14"/>
    <x v="14"/>
    <n v="1"/>
    <s v="ADET"/>
    <n v="0"/>
    <n v="0"/>
    <n v="10"/>
    <n v="0"/>
    <n v="11"/>
    <n v="0"/>
    <n v="675"/>
    <x v="7"/>
    <n v="675"/>
    <x v="6"/>
  </r>
  <r>
    <x v="7"/>
    <s v="Laurent MONTAGNER"/>
    <x v="0"/>
    <x v="15"/>
    <x v="15"/>
    <n v="1"/>
    <s v="ADET"/>
    <n v="1"/>
    <n v="12"/>
    <n v="13"/>
    <n v="-5"/>
    <n v="0"/>
    <n v="0"/>
    <n v="28339.38"/>
    <x v="11"/>
    <n v="28339.38"/>
    <x v="6"/>
  </r>
  <r>
    <x v="6"/>
    <s v="Laurent MONTAGNER"/>
    <x v="0"/>
    <x v="12"/>
    <x v="12"/>
    <n v="6"/>
    <s v="ADET"/>
    <n v="0"/>
    <n v="14472"/>
    <n v="3376"/>
    <n v="-14340"/>
    <n v="0"/>
    <n v="0"/>
    <n v="0.04"/>
    <x v="5"/>
    <n v="0.24"/>
    <x v="2"/>
  </r>
  <r>
    <x v="11"/>
    <s v="Jan Urbanek"/>
    <x v="0"/>
    <x v="13"/>
    <x v="13"/>
    <n v="3"/>
    <s v="ADET"/>
    <n v="0"/>
    <n v="0"/>
    <n v="128"/>
    <n v="70"/>
    <n v="40"/>
    <n v="4200"/>
    <n v="60"/>
    <x v="10"/>
    <n v="180"/>
    <x v="2"/>
  </r>
  <r>
    <x v="11"/>
    <s v="Jan Urbanek"/>
    <x v="0"/>
    <x v="14"/>
    <x v="14"/>
    <n v="1"/>
    <s v="ADET"/>
    <n v="0"/>
    <n v="0"/>
    <n v="10"/>
    <n v="0"/>
    <n v="11"/>
    <n v="0"/>
    <n v="675"/>
    <x v="7"/>
    <n v="675"/>
    <x v="6"/>
  </r>
  <r>
    <x v="12"/>
    <s v="Matteo Giolo"/>
    <x v="0"/>
    <x v="16"/>
    <x v="16"/>
    <n v="1"/>
    <s v="ADET"/>
    <n v="0"/>
    <n v="0"/>
    <n v="16"/>
    <n v="4"/>
    <n v="20"/>
    <n v="10905.68"/>
    <n v="2726.42"/>
    <x v="12"/>
    <n v="2726.42"/>
    <x v="5"/>
  </r>
  <r>
    <x v="12"/>
    <s v="Matteo Giolo"/>
    <x v="0"/>
    <x v="17"/>
    <x v="17"/>
    <n v="2"/>
    <s v="ADET"/>
    <n v="0"/>
    <n v="17"/>
    <n v="8"/>
    <n v="-1"/>
    <n v="0"/>
    <n v="0"/>
    <n v="33.340000000000003"/>
    <x v="13"/>
    <n v="66.680000000000007"/>
    <x v="7"/>
  </r>
  <r>
    <x v="11"/>
    <s v="Jan Urbanek"/>
    <x v="0"/>
    <x v="16"/>
    <x v="16"/>
    <n v="1"/>
    <s v="ADET"/>
    <n v="0"/>
    <n v="0"/>
    <n v="16"/>
    <n v="4"/>
    <n v="20"/>
    <n v="10905.68"/>
    <n v="2726.42"/>
    <x v="12"/>
    <n v="2726.42"/>
    <x v="5"/>
  </r>
  <r>
    <x v="11"/>
    <s v="Jan Urbanek"/>
    <x v="0"/>
    <x v="17"/>
    <x v="17"/>
    <n v="1"/>
    <s v="ADET"/>
    <n v="0"/>
    <n v="17"/>
    <n v="8"/>
    <n v="-1"/>
    <n v="0"/>
    <n v="0"/>
    <n v="33.340000000000003"/>
    <x v="13"/>
    <n v="33.340000000000003"/>
    <x v="7"/>
  </r>
  <r>
    <x v="10"/>
    <s v="Jan Urbanek"/>
    <x v="0"/>
    <x v="18"/>
    <x v="18"/>
    <n v="31"/>
    <s v="ADET"/>
    <n v="0"/>
    <n v="2000"/>
    <n v="7604"/>
    <n v="-1531"/>
    <n v="0"/>
    <n v="0"/>
    <n v="0.3"/>
    <x v="14"/>
    <n v="9.2999999999999989"/>
    <x v="2"/>
  </r>
  <r>
    <x v="12"/>
    <s v="Matteo Giolo"/>
    <x v="0"/>
    <x v="18"/>
    <x v="18"/>
    <n v="31"/>
    <s v="ADET"/>
    <n v="0"/>
    <n v="2000"/>
    <n v="7604"/>
    <n v="-1531"/>
    <n v="0"/>
    <n v="0"/>
    <n v="0.3"/>
    <x v="14"/>
    <n v="9.2999999999999989"/>
    <x v="2"/>
  </r>
  <r>
    <x v="7"/>
    <s v="Laurent MONTAGNER"/>
    <x v="0"/>
    <x v="18"/>
    <x v="18"/>
    <n v="10"/>
    <s v="ADET"/>
    <n v="0"/>
    <n v="2000"/>
    <n v="7604"/>
    <n v="-1531"/>
    <n v="0"/>
    <n v="0"/>
    <n v="0.3"/>
    <x v="14"/>
    <n v="3"/>
    <x v="2"/>
  </r>
  <r>
    <x v="5"/>
    <s v="Matteo Giolo"/>
    <x v="0"/>
    <x v="19"/>
    <x v="19"/>
    <n v="6"/>
    <s v="ADET"/>
    <n v="0"/>
    <n v="0"/>
    <n v="106"/>
    <n v="6"/>
    <n v="0"/>
    <n v="1.7399999999999998"/>
    <n v="0.28999999999999998"/>
    <x v="5"/>
    <n v="1.7399999999999998"/>
    <x v="2"/>
  </r>
  <r>
    <x v="10"/>
    <s v="Jan Urbanek"/>
    <x v="0"/>
    <x v="17"/>
    <x v="17"/>
    <n v="1"/>
    <s v="ADET"/>
    <n v="0"/>
    <n v="17"/>
    <n v="8"/>
    <n v="-1"/>
    <n v="0"/>
    <n v="0"/>
    <n v="33.340000000000003"/>
    <x v="13"/>
    <n v="33.340000000000003"/>
    <x v="7"/>
  </r>
  <r>
    <x v="9"/>
    <s v="Jan Urbanek"/>
    <x v="0"/>
    <x v="18"/>
    <x v="18"/>
    <n v="31"/>
    <s v="ADET"/>
    <n v="0"/>
    <n v="2000"/>
    <n v="7604"/>
    <n v="-1531"/>
    <n v="0"/>
    <n v="0"/>
    <n v="0.3"/>
    <x v="14"/>
    <n v="9.2999999999999989"/>
    <x v="2"/>
  </r>
  <r>
    <x v="8"/>
    <s v="Jan Urbanek"/>
    <x v="0"/>
    <x v="18"/>
    <x v="18"/>
    <n v="31"/>
    <s v="ADET"/>
    <n v="0"/>
    <n v="2000"/>
    <n v="7604"/>
    <n v="-1531"/>
    <n v="0"/>
    <n v="0"/>
    <n v="0.3"/>
    <x v="14"/>
    <n v="9.2999999999999989"/>
    <x v="2"/>
  </r>
  <r>
    <x v="1"/>
    <s v="Stina Alm"/>
    <x v="0"/>
    <x v="16"/>
    <x v="16"/>
    <n v="1"/>
    <s v="ADET"/>
    <n v="0"/>
    <n v="0"/>
    <n v="16"/>
    <n v="4"/>
    <n v="20"/>
    <n v="10905.68"/>
    <n v="2726.42"/>
    <x v="12"/>
    <n v="2726.42"/>
    <x v="5"/>
  </r>
  <r>
    <x v="3"/>
    <s v="Stina Alm"/>
    <x v="0"/>
    <x v="16"/>
    <x v="16"/>
    <n v="1"/>
    <s v="ADET"/>
    <n v="0"/>
    <n v="0"/>
    <n v="16"/>
    <n v="4"/>
    <n v="20"/>
    <n v="10905.68"/>
    <n v="2726.42"/>
    <x v="12"/>
    <n v="2726.42"/>
    <x v="5"/>
  </r>
  <r>
    <x v="4"/>
    <s v="Stefan Zaugg"/>
    <x v="0"/>
    <x v="16"/>
    <x v="16"/>
    <n v="1"/>
    <s v="ADET"/>
    <n v="0"/>
    <n v="0"/>
    <n v="16"/>
    <n v="4"/>
    <n v="20"/>
    <n v="10905.68"/>
    <n v="2726.42"/>
    <x v="12"/>
    <n v="2726.42"/>
    <x v="5"/>
  </r>
  <r>
    <x v="7"/>
    <s v="Laurent MONTAGNER"/>
    <x v="0"/>
    <x v="16"/>
    <x v="16"/>
    <n v="2.5"/>
    <s v="ADET"/>
    <n v="0"/>
    <n v="0"/>
    <n v="16"/>
    <n v="4"/>
    <n v="20"/>
    <n v="10905.68"/>
    <n v="2726.42"/>
    <x v="12"/>
    <n v="6816.05"/>
    <x v="5"/>
  </r>
  <r>
    <x v="5"/>
    <s v="Matteo Giolo"/>
    <x v="0"/>
    <x v="16"/>
    <x v="16"/>
    <n v="2"/>
    <s v="ADET"/>
    <n v="0"/>
    <n v="0"/>
    <n v="16"/>
    <n v="4"/>
    <n v="20"/>
    <n v="10905.68"/>
    <n v="2726.42"/>
    <x v="12"/>
    <n v="5452.84"/>
    <x v="5"/>
  </r>
  <r>
    <x v="5"/>
    <s v="Matteo Giolo"/>
    <x v="0"/>
    <x v="17"/>
    <x v="17"/>
    <n v="2"/>
    <s v="ADET"/>
    <n v="0"/>
    <n v="17"/>
    <n v="8"/>
    <n v="-1"/>
    <n v="0"/>
    <n v="0"/>
    <n v="33.340000000000003"/>
    <x v="13"/>
    <n v="66.680000000000007"/>
    <x v="7"/>
  </r>
  <r>
    <x v="5"/>
    <s v="Matteo Giolo"/>
    <x v="0"/>
    <x v="20"/>
    <x v="20"/>
    <n v="16"/>
    <s v="ADET"/>
    <n v="0"/>
    <n v="1000"/>
    <n v="0"/>
    <n v="-936"/>
    <n v="0"/>
    <n v="0"/>
    <n v="0.15"/>
    <x v="14"/>
    <n v="2.4"/>
    <x v="2"/>
  </r>
  <r>
    <x v="5"/>
    <s v="Matteo Giolo"/>
    <x v="0"/>
    <x v="18"/>
    <x v="18"/>
    <n v="30"/>
    <s v="ADET"/>
    <n v="0"/>
    <n v="2000"/>
    <n v="7604"/>
    <n v="-1531"/>
    <n v="0"/>
    <n v="0"/>
    <n v="0.3"/>
    <x v="14"/>
    <n v="9"/>
    <x v="2"/>
  </r>
  <r>
    <x v="8"/>
    <s v="Jan Urbanek"/>
    <x v="0"/>
    <x v="16"/>
    <x v="16"/>
    <n v="1"/>
    <s v="ADET"/>
    <n v="0"/>
    <n v="0"/>
    <n v="16"/>
    <n v="4"/>
    <n v="20"/>
    <n v="10905.68"/>
    <n v="2726.42"/>
    <x v="12"/>
    <n v="2726.42"/>
    <x v="5"/>
  </r>
  <r>
    <x v="9"/>
    <s v="Jan Urbanek"/>
    <x v="0"/>
    <x v="16"/>
    <x v="16"/>
    <n v="1"/>
    <s v="ADET"/>
    <n v="0"/>
    <n v="0"/>
    <n v="16"/>
    <n v="4"/>
    <n v="20"/>
    <n v="10905.68"/>
    <n v="2726.42"/>
    <x v="12"/>
    <n v="2726.42"/>
    <x v="5"/>
  </r>
  <r>
    <x v="9"/>
    <s v="Jan Urbanek"/>
    <x v="0"/>
    <x v="17"/>
    <x v="17"/>
    <n v="1"/>
    <s v="ADET"/>
    <n v="0"/>
    <n v="17"/>
    <n v="8"/>
    <n v="-1"/>
    <n v="0"/>
    <n v="0"/>
    <n v="33.340000000000003"/>
    <x v="13"/>
    <n v="33.340000000000003"/>
    <x v="7"/>
  </r>
  <r>
    <x v="6"/>
    <s v="Laurent MONTAGNER"/>
    <x v="0"/>
    <x v="16"/>
    <x v="16"/>
    <n v="2.5"/>
    <s v="ADET"/>
    <n v="0"/>
    <n v="0"/>
    <n v="16"/>
    <n v="4"/>
    <n v="20"/>
    <n v="10905.68"/>
    <n v="2726.42"/>
    <x v="12"/>
    <n v="6816.05"/>
    <x v="5"/>
  </r>
  <r>
    <x v="1"/>
    <s v="Stina Alm"/>
    <x v="0"/>
    <x v="17"/>
    <x v="17"/>
    <n v="2"/>
    <s v="ADET"/>
    <n v="0"/>
    <n v="17"/>
    <n v="8"/>
    <n v="-1"/>
    <n v="0"/>
    <n v="0"/>
    <n v="33.340000000000003"/>
    <x v="13"/>
    <n v="66.680000000000007"/>
    <x v="7"/>
  </r>
  <r>
    <x v="3"/>
    <s v="Stina Alm"/>
    <x v="0"/>
    <x v="17"/>
    <x v="17"/>
    <n v="2"/>
    <s v="ADET"/>
    <n v="0"/>
    <n v="17"/>
    <n v="8"/>
    <n v="-1"/>
    <n v="0"/>
    <n v="0"/>
    <n v="33.340000000000003"/>
    <x v="13"/>
    <n v="66.680000000000007"/>
    <x v="7"/>
  </r>
  <r>
    <x v="3"/>
    <s v="Stina Alm"/>
    <x v="0"/>
    <x v="20"/>
    <x v="20"/>
    <n v="16"/>
    <s v="ADET"/>
    <n v="0"/>
    <n v="1000"/>
    <n v="0"/>
    <n v="-936"/>
    <n v="0"/>
    <n v="0"/>
    <n v="0.15"/>
    <x v="14"/>
    <n v="2.4"/>
    <x v="2"/>
  </r>
  <r>
    <x v="10"/>
    <s v="Jan Urbanek"/>
    <x v="0"/>
    <x v="11"/>
    <x v="11"/>
    <n v="1.4909999999999999"/>
    <s v="KG"/>
    <n v="0"/>
    <n v="0"/>
    <n v="65.03100000000002"/>
    <n v="17.948"/>
    <n v="0"/>
    <n v="6991.2844399999994"/>
    <n v="389.53"/>
    <x v="3"/>
    <n v="580.78922999999986"/>
    <x v="3"/>
  </r>
  <r>
    <x v="4"/>
    <s v="Stefan Zaugg"/>
    <x v="0"/>
    <x v="21"/>
    <x v="21"/>
    <n v="3"/>
    <s v="METRE"/>
    <n v="0"/>
    <n v="100"/>
    <n v="26"/>
    <n v="-85"/>
    <n v="0"/>
    <n v="0"/>
    <n v="49.1"/>
    <x v="15"/>
    <n v="147.30000000000001"/>
    <x v="7"/>
  </r>
  <r>
    <x v="4"/>
    <s v="Stefan Zaugg"/>
    <x v="0"/>
    <x v="22"/>
    <x v="22"/>
    <n v="143"/>
    <s v="ADET"/>
    <n v="0"/>
    <n v="2800"/>
    <n v="2439"/>
    <n v="-1645"/>
    <n v="0"/>
    <n v="0"/>
    <n v="0.18"/>
    <x v="14"/>
    <n v="25.74"/>
    <x v="2"/>
  </r>
  <r>
    <x v="3"/>
    <s v="Stina Alm"/>
    <x v="0"/>
    <x v="23"/>
    <x v="23"/>
    <n v="18"/>
    <s v="ADET"/>
    <n v="0"/>
    <n v="170"/>
    <n v="18"/>
    <n v="124"/>
    <n v="0"/>
    <n v="2046"/>
    <n v="16.5"/>
    <x v="14"/>
    <n v="297"/>
    <x v="2"/>
  </r>
  <r>
    <x v="4"/>
    <s v="Stefan Zaugg"/>
    <x v="0"/>
    <x v="23"/>
    <x v="23"/>
    <n v="14"/>
    <s v="ADET"/>
    <n v="0"/>
    <n v="170"/>
    <n v="18"/>
    <n v="124"/>
    <n v="0"/>
    <n v="2046"/>
    <n v="16.5"/>
    <x v="14"/>
    <n v="231"/>
    <x v="2"/>
  </r>
  <r>
    <x v="5"/>
    <s v="Matteo Giolo"/>
    <x v="0"/>
    <x v="24"/>
    <x v="24"/>
    <n v="4"/>
    <s v="ADET"/>
    <n v="0"/>
    <n v="21"/>
    <n v="30"/>
    <n v="1"/>
    <n v="0"/>
    <n v="42"/>
    <n v="42"/>
    <x v="16"/>
    <n v="168"/>
    <x v="2"/>
  </r>
  <r>
    <x v="8"/>
    <s v="Jan Urbanek"/>
    <x v="0"/>
    <x v="22"/>
    <x v="22"/>
    <n v="33"/>
    <s v="ADET"/>
    <n v="0"/>
    <n v="2800"/>
    <n v="2439"/>
    <n v="-1645"/>
    <n v="0"/>
    <n v="0"/>
    <n v="0.18"/>
    <x v="14"/>
    <n v="5.9399999999999995"/>
    <x v="2"/>
  </r>
  <r>
    <x v="9"/>
    <s v="Jan Urbanek"/>
    <x v="0"/>
    <x v="22"/>
    <x v="22"/>
    <n v="33"/>
    <s v="ADET"/>
    <n v="0"/>
    <n v="2800"/>
    <n v="2439"/>
    <n v="-1645"/>
    <n v="0"/>
    <n v="0"/>
    <n v="0.18"/>
    <x v="14"/>
    <n v="5.9399999999999995"/>
    <x v="2"/>
  </r>
  <r>
    <x v="9"/>
    <s v="Jan Urbanek"/>
    <x v="0"/>
    <x v="23"/>
    <x v="23"/>
    <n v="14"/>
    <s v="ADET"/>
    <n v="0"/>
    <n v="170"/>
    <n v="18"/>
    <n v="124"/>
    <n v="0"/>
    <n v="2046"/>
    <n v="16.5"/>
    <x v="14"/>
    <n v="231"/>
    <x v="2"/>
  </r>
  <r>
    <x v="8"/>
    <s v="Jan Urbanek"/>
    <x v="0"/>
    <x v="23"/>
    <x v="23"/>
    <n v="14"/>
    <s v="ADET"/>
    <n v="0"/>
    <n v="170"/>
    <n v="18"/>
    <n v="124"/>
    <n v="0"/>
    <n v="2046"/>
    <n v="16.5"/>
    <x v="14"/>
    <n v="231"/>
    <x v="2"/>
  </r>
  <r>
    <x v="8"/>
    <s v="Jan Urbanek"/>
    <x v="0"/>
    <x v="24"/>
    <x v="24"/>
    <n v="2"/>
    <s v="ADET"/>
    <n v="0"/>
    <n v="21"/>
    <n v="30"/>
    <n v="1"/>
    <n v="0"/>
    <n v="42"/>
    <n v="42"/>
    <x v="16"/>
    <n v="84"/>
    <x v="2"/>
  </r>
  <r>
    <x v="9"/>
    <s v="Jan Urbanek"/>
    <x v="0"/>
    <x v="24"/>
    <x v="24"/>
    <n v="2"/>
    <s v="ADET"/>
    <n v="0"/>
    <n v="21"/>
    <n v="30"/>
    <n v="1"/>
    <n v="0"/>
    <n v="42"/>
    <n v="42"/>
    <x v="16"/>
    <n v="84"/>
    <x v="2"/>
  </r>
  <r>
    <x v="8"/>
    <s v="Jan Urbanek"/>
    <x v="0"/>
    <x v="25"/>
    <x v="25"/>
    <n v="16"/>
    <s v="ADET"/>
    <n v="0"/>
    <n v="4822"/>
    <n v="811"/>
    <n v="-4638"/>
    <n v="0"/>
    <n v="0"/>
    <n v="0.3"/>
    <x v="14"/>
    <n v="4.8"/>
    <x v="2"/>
  </r>
  <r>
    <x v="3"/>
    <s v="Stina Alm"/>
    <x v="0"/>
    <x v="22"/>
    <x v="22"/>
    <n v="83"/>
    <s v="ADET"/>
    <n v="0"/>
    <n v="2800"/>
    <n v="2439"/>
    <n v="-1645"/>
    <n v="0"/>
    <n v="0"/>
    <n v="0.18"/>
    <x v="14"/>
    <n v="14.94"/>
    <x v="2"/>
  </r>
  <r>
    <x v="3"/>
    <s v="Stina Alm"/>
    <x v="0"/>
    <x v="25"/>
    <x v="25"/>
    <n v="16"/>
    <s v="ADET"/>
    <n v="0"/>
    <n v="4822"/>
    <n v="811"/>
    <n v="-4638"/>
    <n v="0"/>
    <n v="0"/>
    <n v="0.3"/>
    <x v="14"/>
    <n v="4.8"/>
    <x v="2"/>
  </r>
  <r>
    <x v="11"/>
    <s v="Jan Urbanek"/>
    <x v="0"/>
    <x v="22"/>
    <x v="22"/>
    <n v="33"/>
    <s v="ADET"/>
    <n v="0"/>
    <n v="2800"/>
    <n v="2439"/>
    <n v="-1645"/>
    <n v="0"/>
    <n v="0"/>
    <n v="0.18"/>
    <x v="14"/>
    <n v="5.9399999999999995"/>
    <x v="2"/>
  </r>
  <r>
    <x v="11"/>
    <s v="Jan Urbanek"/>
    <x v="0"/>
    <x v="23"/>
    <x v="23"/>
    <n v="14"/>
    <s v="ADET"/>
    <n v="0"/>
    <n v="170"/>
    <n v="18"/>
    <n v="124"/>
    <n v="0"/>
    <n v="2046"/>
    <n v="16.5"/>
    <x v="14"/>
    <n v="231"/>
    <x v="2"/>
  </r>
  <r>
    <x v="11"/>
    <s v="Jan Urbanek"/>
    <x v="0"/>
    <x v="26"/>
    <x v="26"/>
    <n v="31"/>
    <s v="ADET"/>
    <n v="0"/>
    <n v="776"/>
    <n v="367"/>
    <n v="-308"/>
    <n v="0"/>
    <n v="0"/>
    <n v="3.46"/>
    <x v="8"/>
    <n v="107.26"/>
    <x v="2"/>
  </r>
  <r>
    <x v="0"/>
    <s v="Soner Kayıkçı"/>
    <x v="0"/>
    <x v="21"/>
    <x v="21"/>
    <n v="3"/>
    <s v="METRE"/>
    <n v="0"/>
    <n v="100"/>
    <n v="26"/>
    <n v="-85"/>
    <n v="0"/>
    <n v="0"/>
    <n v="49.1"/>
    <x v="15"/>
    <n v="147.30000000000001"/>
    <x v="7"/>
  </r>
  <r>
    <x v="0"/>
    <s v="Soner Kayıkçı"/>
    <x v="0"/>
    <x v="22"/>
    <x v="22"/>
    <n v="33"/>
    <s v="ADET"/>
    <n v="0"/>
    <n v="2800"/>
    <n v="2439"/>
    <n v="-1645"/>
    <n v="0"/>
    <n v="0"/>
    <n v="0.18"/>
    <x v="14"/>
    <n v="5.9399999999999995"/>
    <x v="2"/>
  </r>
  <r>
    <x v="1"/>
    <s v="Stina Alm"/>
    <x v="0"/>
    <x v="22"/>
    <x v="22"/>
    <n v="83"/>
    <s v="ADET"/>
    <n v="0"/>
    <n v="2800"/>
    <n v="2439"/>
    <n v="-1645"/>
    <n v="0"/>
    <n v="0"/>
    <n v="0.18"/>
    <x v="14"/>
    <n v="14.94"/>
    <x v="2"/>
  </r>
  <r>
    <x v="0"/>
    <s v="Soner Kayıkçı"/>
    <x v="0"/>
    <x v="23"/>
    <x v="23"/>
    <n v="15"/>
    <s v="ADET"/>
    <n v="0"/>
    <n v="170"/>
    <n v="18"/>
    <n v="124"/>
    <n v="0"/>
    <n v="2046"/>
    <n v="16.5"/>
    <x v="14"/>
    <n v="247.5"/>
    <x v="2"/>
  </r>
  <r>
    <x v="2"/>
    <s v="Laurent MONTAGNER"/>
    <x v="0"/>
    <x v="23"/>
    <x v="23"/>
    <n v="16"/>
    <s v="ADET"/>
    <n v="0"/>
    <n v="170"/>
    <n v="18"/>
    <n v="124"/>
    <n v="0"/>
    <n v="2046"/>
    <n v="16.5"/>
    <x v="14"/>
    <n v="264"/>
    <x v="2"/>
  </r>
  <r>
    <x v="7"/>
    <s v="Laurent MONTAGNER"/>
    <x v="0"/>
    <x v="22"/>
    <x v="22"/>
    <n v="68"/>
    <s v="ADET"/>
    <n v="0"/>
    <n v="2800"/>
    <n v="2439"/>
    <n v="-1645"/>
    <n v="0"/>
    <n v="0"/>
    <n v="0.18"/>
    <x v="14"/>
    <n v="12.24"/>
    <x v="2"/>
  </r>
  <r>
    <x v="12"/>
    <s v="Matteo Giolo"/>
    <x v="0"/>
    <x v="24"/>
    <x v="24"/>
    <n v="2"/>
    <s v="ADET"/>
    <n v="0"/>
    <n v="21"/>
    <n v="30"/>
    <n v="1"/>
    <n v="0"/>
    <n v="42"/>
    <n v="42"/>
    <x v="16"/>
    <n v="84"/>
    <x v="2"/>
  </r>
  <r>
    <x v="11"/>
    <s v="Jan Urbanek"/>
    <x v="0"/>
    <x v="24"/>
    <x v="24"/>
    <n v="2"/>
    <s v="ADET"/>
    <n v="0"/>
    <n v="21"/>
    <n v="30"/>
    <n v="1"/>
    <n v="0"/>
    <n v="42"/>
    <n v="42"/>
    <x v="16"/>
    <n v="84"/>
    <x v="2"/>
  </r>
  <r>
    <x v="11"/>
    <s v="Jan Urbanek"/>
    <x v="0"/>
    <x v="25"/>
    <x v="25"/>
    <n v="16"/>
    <s v="ADET"/>
    <n v="0"/>
    <n v="4822"/>
    <n v="811"/>
    <n v="-4638"/>
    <n v="0"/>
    <n v="0"/>
    <n v="0.3"/>
    <x v="14"/>
    <n v="4.8"/>
    <x v="2"/>
  </r>
  <r>
    <x v="7"/>
    <s v="Laurent MONTAGNER"/>
    <x v="0"/>
    <x v="27"/>
    <x v="27"/>
    <n v="0.25"/>
    <s v="ADET"/>
    <n v="0"/>
    <n v="5"/>
    <n v="9.7999999999999954"/>
    <n v="0.19999999999999929"/>
    <n v="0"/>
    <n v="7.599999999999973"/>
    <n v="38"/>
    <x v="14"/>
    <n v="9.5"/>
    <x v="2"/>
  </r>
  <r>
    <x v="5"/>
    <s v="Matteo Giolo"/>
    <x v="0"/>
    <x v="27"/>
    <x v="27"/>
    <n v="0.25"/>
    <s v="ADET"/>
    <n v="0"/>
    <n v="5"/>
    <n v="9.7999999999999954"/>
    <n v="0.19999999999999929"/>
    <n v="0"/>
    <n v="7.599999999999973"/>
    <n v="38"/>
    <x v="14"/>
    <n v="9.5"/>
    <x v="2"/>
  </r>
  <r>
    <x v="7"/>
    <s v="Laurent MONTAGNER"/>
    <x v="0"/>
    <x v="28"/>
    <x v="28"/>
    <n v="14"/>
    <s v="ADET"/>
    <n v="0"/>
    <n v="166"/>
    <n v="61"/>
    <n v="48"/>
    <n v="0"/>
    <n v="960"/>
    <n v="20"/>
    <x v="14"/>
    <n v="280"/>
    <x v="2"/>
  </r>
  <r>
    <x v="3"/>
    <s v="Stina Alm"/>
    <x v="0"/>
    <x v="28"/>
    <x v="28"/>
    <n v="14"/>
    <s v="ADET"/>
    <n v="0"/>
    <n v="166"/>
    <n v="61"/>
    <n v="48"/>
    <n v="0"/>
    <n v="960"/>
    <n v="20"/>
    <x v="14"/>
    <n v="280"/>
    <x v="2"/>
  </r>
  <r>
    <x v="4"/>
    <s v="Stefan Zaugg"/>
    <x v="0"/>
    <x v="28"/>
    <x v="28"/>
    <n v="10"/>
    <s v="ADET"/>
    <n v="0"/>
    <n v="166"/>
    <n v="61"/>
    <n v="48"/>
    <n v="0"/>
    <n v="960"/>
    <n v="20"/>
    <x v="14"/>
    <n v="200"/>
    <x v="2"/>
  </r>
  <r>
    <x v="5"/>
    <s v="Matteo Giolo"/>
    <x v="0"/>
    <x v="28"/>
    <x v="28"/>
    <n v="14"/>
    <s v="ADET"/>
    <n v="0"/>
    <n v="166"/>
    <n v="61"/>
    <n v="48"/>
    <n v="0"/>
    <n v="960"/>
    <n v="20"/>
    <x v="14"/>
    <n v="280"/>
    <x v="2"/>
  </r>
  <r>
    <x v="5"/>
    <s v="Matteo Giolo"/>
    <x v="0"/>
    <x v="29"/>
    <x v="29"/>
    <n v="4"/>
    <s v="ADET"/>
    <n v="0"/>
    <n v="75"/>
    <n v="60"/>
    <n v="-31"/>
    <n v="0"/>
    <n v="0"/>
    <n v="170"/>
    <x v="16"/>
    <n v="680"/>
    <x v="2"/>
  </r>
  <r>
    <x v="10"/>
    <s v="Jan Urbanek"/>
    <x v="0"/>
    <x v="27"/>
    <x v="27"/>
    <n v="0.35"/>
    <s v="ADET"/>
    <n v="0"/>
    <n v="5"/>
    <n v="9.7999999999999954"/>
    <n v="0.19999999999999929"/>
    <n v="0"/>
    <n v="7.599999999999973"/>
    <n v="38"/>
    <x v="14"/>
    <n v="13.299999999999999"/>
    <x v="2"/>
  </r>
  <r>
    <x v="8"/>
    <s v="Jan Urbanek"/>
    <x v="0"/>
    <x v="27"/>
    <x v="27"/>
    <n v="0.35"/>
    <s v="ADET"/>
    <n v="0"/>
    <n v="5"/>
    <n v="9.7999999999999954"/>
    <n v="0.19999999999999929"/>
    <n v="0"/>
    <n v="7.599999999999973"/>
    <n v="38"/>
    <x v="14"/>
    <n v="13.299999999999999"/>
    <x v="2"/>
  </r>
  <r>
    <x v="8"/>
    <s v="Jan Urbanek"/>
    <x v="0"/>
    <x v="28"/>
    <x v="28"/>
    <n v="10"/>
    <s v="ADET"/>
    <n v="0"/>
    <n v="166"/>
    <n v="61"/>
    <n v="48"/>
    <n v="0"/>
    <n v="960"/>
    <n v="20"/>
    <x v="14"/>
    <n v="200"/>
    <x v="2"/>
  </r>
  <r>
    <x v="9"/>
    <s v="Jan Urbanek"/>
    <x v="0"/>
    <x v="28"/>
    <x v="28"/>
    <n v="10"/>
    <s v="ADET"/>
    <n v="0"/>
    <n v="166"/>
    <n v="61"/>
    <n v="48"/>
    <n v="0"/>
    <n v="960"/>
    <n v="20"/>
    <x v="14"/>
    <n v="200"/>
    <x v="2"/>
  </r>
  <r>
    <x v="3"/>
    <s v="Stina Alm"/>
    <x v="0"/>
    <x v="27"/>
    <x v="27"/>
    <n v="0.25"/>
    <s v="ADET"/>
    <n v="0"/>
    <n v="5"/>
    <n v="9.7999999999999954"/>
    <n v="0.19999999999999929"/>
    <n v="0"/>
    <n v="7.599999999999973"/>
    <n v="38"/>
    <x v="14"/>
    <n v="9.5"/>
    <x v="2"/>
  </r>
  <r>
    <x v="3"/>
    <s v="Stina Alm"/>
    <x v="0"/>
    <x v="29"/>
    <x v="29"/>
    <n v="4"/>
    <s v="ADET"/>
    <n v="0"/>
    <n v="75"/>
    <n v="60"/>
    <n v="-31"/>
    <n v="0"/>
    <n v="0"/>
    <n v="170"/>
    <x v="16"/>
    <n v="680"/>
    <x v="2"/>
  </r>
  <r>
    <x v="9"/>
    <s v="Jan Urbanek"/>
    <x v="0"/>
    <x v="27"/>
    <x v="27"/>
    <n v="0.35"/>
    <s v="ADET"/>
    <n v="0"/>
    <n v="5"/>
    <n v="9.7999999999999954"/>
    <n v="0.19999999999999929"/>
    <n v="0"/>
    <n v="7.599999999999973"/>
    <n v="38"/>
    <x v="14"/>
    <n v="13.299999999999999"/>
    <x v="2"/>
  </r>
  <r>
    <x v="11"/>
    <s v="Jan Urbanek"/>
    <x v="0"/>
    <x v="29"/>
    <x v="29"/>
    <n v="4"/>
    <s v="ADET"/>
    <n v="0"/>
    <n v="75"/>
    <n v="60"/>
    <n v="-31"/>
    <n v="0"/>
    <n v="0"/>
    <n v="170"/>
    <x v="16"/>
    <n v="680"/>
    <x v="2"/>
  </r>
  <r>
    <x v="8"/>
    <s v="Jan Urbanek"/>
    <x v="0"/>
    <x v="30"/>
    <x v="30"/>
    <n v="8"/>
    <s v="ADET"/>
    <n v="0"/>
    <n v="1270"/>
    <n v="698"/>
    <n v="-1174"/>
    <n v="0"/>
    <n v="0"/>
    <n v="0.55000000000000004"/>
    <x v="14"/>
    <n v="4.4000000000000004"/>
    <x v="2"/>
  </r>
  <r>
    <x v="9"/>
    <s v="Jan Urbanek"/>
    <x v="0"/>
    <x v="30"/>
    <x v="30"/>
    <n v="16"/>
    <s v="ADET"/>
    <n v="0"/>
    <n v="1270"/>
    <n v="698"/>
    <n v="-1174"/>
    <n v="0"/>
    <n v="0"/>
    <n v="0.55000000000000004"/>
    <x v="14"/>
    <n v="8.8000000000000007"/>
    <x v="2"/>
  </r>
  <r>
    <x v="2"/>
    <s v="Laurent MONTAGNER"/>
    <x v="0"/>
    <x v="27"/>
    <x v="27"/>
    <n v="0.25"/>
    <s v="ADET"/>
    <n v="0"/>
    <n v="5"/>
    <n v="9.7999999999999954"/>
    <n v="0.19999999999999929"/>
    <n v="0"/>
    <n v="7.599999999999973"/>
    <n v="38"/>
    <x v="14"/>
    <n v="9.5"/>
    <x v="2"/>
  </r>
  <r>
    <x v="12"/>
    <s v="Matteo Giolo"/>
    <x v="0"/>
    <x v="27"/>
    <x v="27"/>
    <n v="0.35"/>
    <s v="ADET"/>
    <n v="0"/>
    <n v="5"/>
    <n v="9.7999999999999954"/>
    <n v="0.19999999999999929"/>
    <n v="0"/>
    <n v="7.599999999999973"/>
    <n v="38"/>
    <x v="14"/>
    <n v="13.299999999999999"/>
    <x v="2"/>
  </r>
  <r>
    <x v="12"/>
    <s v="Matteo Giolo"/>
    <x v="0"/>
    <x v="28"/>
    <x v="28"/>
    <n v="10"/>
    <s v="ADET"/>
    <n v="0"/>
    <n v="166"/>
    <n v="61"/>
    <n v="48"/>
    <n v="0"/>
    <n v="960"/>
    <n v="20"/>
    <x v="14"/>
    <n v="200"/>
    <x v="2"/>
  </r>
  <r>
    <x v="11"/>
    <s v="Jan Urbanek"/>
    <x v="0"/>
    <x v="27"/>
    <x v="27"/>
    <n v="0.35"/>
    <s v="ADET"/>
    <n v="0"/>
    <n v="5"/>
    <n v="9.7999999999999954"/>
    <n v="0.19999999999999929"/>
    <n v="0"/>
    <n v="7.599999999999973"/>
    <n v="38"/>
    <x v="14"/>
    <n v="13.299999999999999"/>
    <x v="2"/>
  </r>
  <r>
    <x v="11"/>
    <s v="Jan Urbanek"/>
    <x v="0"/>
    <x v="28"/>
    <x v="28"/>
    <n v="10"/>
    <s v="ADET"/>
    <n v="0"/>
    <n v="166"/>
    <n v="61"/>
    <n v="48"/>
    <n v="0"/>
    <n v="960"/>
    <n v="20"/>
    <x v="14"/>
    <n v="200"/>
    <x v="2"/>
  </r>
  <r>
    <x v="11"/>
    <s v="Jan Urbanek"/>
    <x v="0"/>
    <x v="30"/>
    <x v="30"/>
    <n v="16"/>
    <s v="ADET"/>
    <n v="0"/>
    <n v="1270"/>
    <n v="698"/>
    <n v="-1174"/>
    <n v="0"/>
    <n v="0"/>
    <n v="0.55000000000000004"/>
    <x v="14"/>
    <n v="8.8000000000000007"/>
    <x v="2"/>
  </r>
  <r>
    <x v="4"/>
    <s v="Stefan Zaugg"/>
    <x v="0"/>
    <x v="27"/>
    <x v="27"/>
    <n v="0.5"/>
    <s v="ADET"/>
    <n v="0"/>
    <n v="5"/>
    <n v="9.7999999999999954"/>
    <n v="0.19999999999999929"/>
    <n v="0"/>
    <n v="7.599999999999973"/>
    <n v="38"/>
    <x v="14"/>
    <n v="19"/>
    <x v="2"/>
  </r>
  <r>
    <x v="12"/>
    <s v="Matteo Giolo"/>
    <x v="0"/>
    <x v="29"/>
    <x v="29"/>
    <n v="4"/>
    <s v="ADET"/>
    <n v="0"/>
    <n v="75"/>
    <n v="60"/>
    <n v="-31"/>
    <n v="0"/>
    <n v="0"/>
    <n v="170"/>
    <x v="16"/>
    <n v="680"/>
    <x v="2"/>
  </r>
  <r>
    <x v="10"/>
    <s v="Jan Urbanek"/>
    <x v="0"/>
    <x v="28"/>
    <x v="28"/>
    <n v="10"/>
    <s v="ADET"/>
    <n v="0"/>
    <n v="166"/>
    <n v="61"/>
    <n v="48"/>
    <n v="0"/>
    <n v="960"/>
    <n v="20"/>
    <x v="14"/>
    <n v="200"/>
    <x v="2"/>
  </r>
  <r>
    <x v="10"/>
    <s v="Jan Urbanek"/>
    <x v="0"/>
    <x v="29"/>
    <x v="29"/>
    <n v="4"/>
    <s v="ADET"/>
    <n v="0"/>
    <n v="75"/>
    <n v="60"/>
    <n v="-31"/>
    <n v="0"/>
    <n v="0"/>
    <n v="170"/>
    <x v="16"/>
    <n v="680"/>
    <x v="2"/>
  </r>
  <r>
    <x v="1"/>
    <s v="Stina Alm"/>
    <x v="0"/>
    <x v="31"/>
    <x v="31"/>
    <n v="1"/>
    <s v="ADET"/>
    <n v="0"/>
    <n v="56"/>
    <n v="11"/>
    <n v="-43"/>
    <n v="0"/>
    <n v="0"/>
    <n v="936.72"/>
    <x v="17"/>
    <n v="936.72"/>
    <x v="7"/>
  </r>
  <r>
    <x v="6"/>
    <s v="Laurent MONTAGNER"/>
    <x v="0"/>
    <x v="31"/>
    <x v="31"/>
    <n v="1"/>
    <s v="ADET"/>
    <n v="1"/>
    <n v="56"/>
    <n v="11"/>
    <n v="-43"/>
    <n v="0"/>
    <n v="0"/>
    <n v="936.72"/>
    <x v="17"/>
    <n v="936.72"/>
    <x v="7"/>
  </r>
  <r>
    <x v="6"/>
    <s v="Laurent MONTAGNER"/>
    <x v="0"/>
    <x v="32"/>
    <x v="32"/>
    <n v="6.5"/>
    <s v="METRE"/>
    <n v="0"/>
    <n v="100"/>
    <n v="105.5"/>
    <n v="-8"/>
    <n v="0"/>
    <n v="0"/>
    <n v="131.25"/>
    <x v="15"/>
    <n v="853.125"/>
    <x v="7"/>
  </r>
  <r>
    <x v="0"/>
    <s v="Soner Kayıkçı"/>
    <x v="0"/>
    <x v="32"/>
    <x v="32"/>
    <n v="4"/>
    <s v="METRE"/>
    <n v="0"/>
    <n v="100"/>
    <n v="105.5"/>
    <n v="-8"/>
    <n v="0"/>
    <n v="0"/>
    <n v="131.25"/>
    <x v="15"/>
    <n v="525"/>
    <x v="7"/>
  </r>
  <r>
    <x v="1"/>
    <s v="Stina Alm"/>
    <x v="0"/>
    <x v="32"/>
    <x v="32"/>
    <n v="1.5"/>
    <s v="METRE"/>
    <n v="0"/>
    <n v="100"/>
    <n v="105.5"/>
    <n v="-8"/>
    <n v="0"/>
    <n v="0"/>
    <n v="131.25"/>
    <x v="15"/>
    <n v="196.875"/>
    <x v="7"/>
  </r>
  <r>
    <x v="2"/>
    <s v="Laurent MONTAGNER"/>
    <x v="0"/>
    <x v="32"/>
    <x v="32"/>
    <n v="5.5"/>
    <s v="METRE"/>
    <n v="0"/>
    <n v="100"/>
    <n v="105.5"/>
    <n v="-8"/>
    <n v="0"/>
    <n v="0"/>
    <n v="131.25"/>
    <x v="15"/>
    <n v="721.875"/>
    <x v="7"/>
  </r>
  <r>
    <x v="6"/>
    <s v="Laurent MONTAGNER"/>
    <x v="0"/>
    <x v="33"/>
    <x v="33"/>
    <n v="23"/>
    <s v="ADET"/>
    <n v="0"/>
    <n v="4500"/>
    <n v="2426"/>
    <n v="-3826"/>
    <n v="0"/>
    <n v="0"/>
    <n v="1"/>
    <x v="5"/>
    <n v="23"/>
    <x v="2"/>
  </r>
  <r>
    <x v="1"/>
    <s v="Stina Alm"/>
    <x v="0"/>
    <x v="33"/>
    <x v="33"/>
    <n v="23"/>
    <s v="ADET"/>
    <n v="0"/>
    <n v="4500"/>
    <n v="2426"/>
    <n v="-3826"/>
    <n v="0"/>
    <n v="0"/>
    <n v="1"/>
    <x v="5"/>
    <n v="23"/>
    <x v="2"/>
  </r>
  <r>
    <x v="8"/>
    <s v="Jan Urbanek"/>
    <x v="0"/>
    <x v="34"/>
    <x v="34"/>
    <n v="3"/>
    <s v="ADET"/>
    <n v="0"/>
    <n v="0"/>
    <n v="0"/>
    <n v="27"/>
    <n v="0"/>
    <n v="324"/>
    <n v="12"/>
    <x v="14"/>
    <n v="36"/>
    <x v="2"/>
  </r>
  <r>
    <x v="10"/>
    <s v="Jan Urbanek"/>
    <x v="0"/>
    <x v="31"/>
    <x v="31"/>
    <n v="1"/>
    <s v="ADET"/>
    <n v="0"/>
    <n v="56"/>
    <n v="11"/>
    <n v="-43"/>
    <n v="0"/>
    <n v="0"/>
    <n v="936.72"/>
    <x v="17"/>
    <n v="936.72"/>
    <x v="7"/>
  </r>
  <r>
    <x v="9"/>
    <s v="Jan Urbanek"/>
    <x v="0"/>
    <x v="31"/>
    <x v="31"/>
    <n v="1"/>
    <s v="ADET"/>
    <n v="0"/>
    <n v="56"/>
    <n v="11"/>
    <n v="-43"/>
    <n v="0"/>
    <n v="0"/>
    <n v="936.72"/>
    <x v="17"/>
    <n v="936.72"/>
    <x v="7"/>
  </r>
  <r>
    <x v="8"/>
    <s v="Jan Urbanek"/>
    <x v="0"/>
    <x v="31"/>
    <x v="31"/>
    <n v="1"/>
    <s v="ADET"/>
    <n v="0"/>
    <n v="56"/>
    <n v="11"/>
    <n v="-43"/>
    <n v="0"/>
    <n v="0"/>
    <n v="936.72"/>
    <x v="17"/>
    <n v="936.72"/>
    <x v="7"/>
  </r>
  <r>
    <x v="10"/>
    <s v="Jan Urbanek"/>
    <x v="0"/>
    <x v="32"/>
    <x v="32"/>
    <n v="4"/>
    <s v="METRE"/>
    <n v="0"/>
    <n v="100"/>
    <n v="105.5"/>
    <n v="-8"/>
    <n v="0"/>
    <n v="0"/>
    <n v="131.25"/>
    <x v="15"/>
    <n v="525"/>
    <x v="7"/>
  </r>
  <r>
    <x v="8"/>
    <s v="Jan Urbanek"/>
    <x v="0"/>
    <x v="32"/>
    <x v="32"/>
    <n v="4"/>
    <s v="METRE"/>
    <n v="0"/>
    <n v="100"/>
    <n v="105.5"/>
    <n v="-8"/>
    <n v="0"/>
    <n v="0"/>
    <n v="131.25"/>
    <x v="15"/>
    <n v="525"/>
    <x v="7"/>
  </r>
  <r>
    <x v="9"/>
    <s v="Jan Urbanek"/>
    <x v="0"/>
    <x v="35"/>
    <x v="35"/>
    <n v="12"/>
    <s v="ADET"/>
    <n v="0"/>
    <n v="1400"/>
    <n v="602"/>
    <n v="-1296"/>
    <n v="0"/>
    <n v="0"/>
    <n v="0.6"/>
    <x v="14"/>
    <n v="7.1999999999999993"/>
    <x v="2"/>
  </r>
  <r>
    <x v="8"/>
    <s v="Jan Urbanek"/>
    <x v="0"/>
    <x v="35"/>
    <x v="35"/>
    <n v="12"/>
    <s v="ADET"/>
    <n v="0"/>
    <n v="1400"/>
    <n v="602"/>
    <n v="-1296"/>
    <n v="0"/>
    <n v="0"/>
    <n v="0.6"/>
    <x v="14"/>
    <n v="7.1999999999999993"/>
    <x v="2"/>
  </r>
  <r>
    <x v="9"/>
    <s v="Jan Urbanek"/>
    <x v="0"/>
    <x v="33"/>
    <x v="33"/>
    <n v="43"/>
    <s v="ADET"/>
    <n v="0"/>
    <n v="4500"/>
    <n v="2426"/>
    <n v="-3826"/>
    <n v="0"/>
    <n v="0"/>
    <n v="1"/>
    <x v="5"/>
    <n v="43"/>
    <x v="2"/>
  </r>
  <r>
    <x v="0"/>
    <s v="Soner Kayıkçı"/>
    <x v="0"/>
    <x v="34"/>
    <x v="34"/>
    <n v="3"/>
    <s v="ADET"/>
    <n v="0"/>
    <n v="0"/>
    <n v="0"/>
    <n v="27"/>
    <n v="0"/>
    <n v="324"/>
    <n v="12"/>
    <x v="14"/>
    <n v="36"/>
    <x v="2"/>
  </r>
  <r>
    <x v="0"/>
    <s v="Soner Kayıkçı"/>
    <x v="0"/>
    <x v="31"/>
    <x v="31"/>
    <n v="1"/>
    <s v="ADET"/>
    <n v="0"/>
    <n v="56"/>
    <n v="11"/>
    <n v="-43"/>
    <n v="0"/>
    <n v="0"/>
    <n v="936.72"/>
    <x v="17"/>
    <n v="936.72"/>
    <x v="7"/>
  </r>
  <r>
    <x v="2"/>
    <s v="Laurent MONTAGNER"/>
    <x v="0"/>
    <x v="31"/>
    <x v="31"/>
    <n v="1"/>
    <s v="ADET"/>
    <n v="0"/>
    <n v="56"/>
    <n v="11"/>
    <n v="-43"/>
    <n v="0"/>
    <n v="0"/>
    <n v="936.72"/>
    <x v="17"/>
    <n v="936.72"/>
    <x v="7"/>
  </r>
  <r>
    <x v="2"/>
    <s v="Laurent MONTAGNER"/>
    <x v="0"/>
    <x v="35"/>
    <x v="35"/>
    <n v="4"/>
    <s v="ADET"/>
    <n v="0"/>
    <n v="1400"/>
    <n v="602"/>
    <n v="-1296"/>
    <n v="0"/>
    <n v="0"/>
    <n v="0.6"/>
    <x v="14"/>
    <n v="2.4"/>
    <x v="2"/>
  </r>
  <r>
    <x v="0"/>
    <s v="Soner Kayıkçı"/>
    <x v="0"/>
    <x v="35"/>
    <x v="35"/>
    <n v="12"/>
    <s v="ADET"/>
    <n v="0"/>
    <n v="1400"/>
    <n v="602"/>
    <n v="-1296"/>
    <n v="0"/>
    <n v="0"/>
    <n v="0.6"/>
    <x v="14"/>
    <n v="7.1999999999999993"/>
    <x v="2"/>
  </r>
  <r>
    <x v="0"/>
    <s v="Soner Kayıkçı"/>
    <x v="0"/>
    <x v="33"/>
    <x v="33"/>
    <n v="43"/>
    <s v="ADET"/>
    <n v="0"/>
    <n v="4500"/>
    <n v="2426"/>
    <n v="-3826"/>
    <n v="0"/>
    <n v="0"/>
    <n v="1"/>
    <x v="5"/>
    <n v="43"/>
    <x v="2"/>
  </r>
  <r>
    <x v="2"/>
    <s v="Laurent MONTAGNER"/>
    <x v="0"/>
    <x v="33"/>
    <x v="33"/>
    <n v="48"/>
    <s v="ADET"/>
    <n v="0"/>
    <n v="4500"/>
    <n v="2426"/>
    <n v="-3826"/>
    <n v="0"/>
    <n v="0"/>
    <n v="1"/>
    <x v="5"/>
    <n v="48"/>
    <x v="2"/>
  </r>
  <r>
    <x v="9"/>
    <s v="Jan Urbanek"/>
    <x v="0"/>
    <x v="32"/>
    <x v="32"/>
    <n v="4"/>
    <s v="METRE"/>
    <n v="0"/>
    <n v="100"/>
    <n v="105.5"/>
    <n v="-8"/>
    <n v="0"/>
    <n v="0"/>
    <n v="131.25"/>
    <x v="15"/>
    <n v="525"/>
    <x v="7"/>
  </r>
  <r>
    <x v="11"/>
    <s v="Jan Urbanek"/>
    <x v="0"/>
    <x v="33"/>
    <x v="33"/>
    <n v="43"/>
    <s v="ADET"/>
    <n v="0"/>
    <n v="4500"/>
    <n v="2426"/>
    <n v="-3826"/>
    <n v="0"/>
    <n v="0"/>
    <n v="1"/>
    <x v="5"/>
    <n v="43"/>
    <x v="2"/>
  </r>
  <r>
    <x v="11"/>
    <s v="Jan Urbanek"/>
    <x v="0"/>
    <x v="34"/>
    <x v="34"/>
    <n v="3"/>
    <s v="ADET"/>
    <n v="0"/>
    <n v="0"/>
    <n v="0"/>
    <n v="27"/>
    <n v="0"/>
    <n v="324"/>
    <n v="12"/>
    <x v="14"/>
    <n v="36"/>
    <x v="2"/>
  </r>
  <r>
    <x v="11"/>
    <s v="Jan Urbanek"/>
    <x v="0"/>
    <x v="31"/>
    <x v="31"/>
    <n v="1"/>
    <s v="ADET"/>
    <n v="0"/>
    <n v="56"/>
    <n v="11"/>
    <n v="-43"/>
    <n v="0"/>
    <n v="0"/>
    <n v="936.72"/>
    <x v="17"/>
    <n v="936.72"/>
    <x v="7"/>
  </r>
  <r>
    <x v="11"/>
    <s v="Jan Urbanek"/>
    <x v="0"/>
    <x v="32"/>
    <x v="32"/>
    <n v="4"/>
    <s v="METRE"/>
    <n v="0"/>
    <n v="100"/>
    <n v="105.5"/>
    <n v="-8"/>
    <n v="0"/>
    <n v="0"/>
    <n v="131.25"/>
    <x v="15"/>
    <n v="525"/>
    <x v="7"/>
  </r>
  <r>
    <x v="10"/>
    <s v="Jan Urbanek"/>
    <x v="0"/>
    <x v="36"/>
    <x v="36"/>
    <n v="14"/>
    <s v="METRE"/>
    <n v="0"/>
    <n v="0"/>
    <n v="0"/>
    <n v="58"/>
    <n v="200"/>
    <n v="232.57999999999998"/>
    <n v="4.01"/>
    <x v="18"/>
    <n v="56.14"/>
    <x v="5"/>
  </r>
  <r>
    <x v="8"/>
    <s v="Jan Urbanek"/>
    <x v="0"/>
    <x v="36"/>
    <x v="36"/>
    <n v="14"/>
    <s v="METRE"/>
    <n v="0"/>
    <n v="0"/>
    <n v="0"/>
    <n v="58"/>
    <n v="200"/>
    <n v="232.57999999999998"/>
    <n v="4.01"/>
    <x v="18"/>
    <n v="56.14"/>
    <x v="5"/>
  </r>
  <r>
    <x v="9"/>
    <s v="Jan Urbanek"/>
    <x v="0"/>
    <x v="36"/>
    <x v="36"/>
    <n v="14"/>
    <s v="METRE"/>
    <n v="0"/>
    <n v="0"/>
    <n v="0"/>
    <n v="58"/>
    <n v="200"/>
    <n v="232.57999999999998"/>
    <n v="4.01"/>
    <x v="18"/>
    <n v="56.14"/>
    <x v="5"/>
  </r>
  <r>
    <x v="8"/>
    <s v="Jan Urbanek"/>
    <x v="0"/>
    <x v="37"/>
    <x v="37"/>
    <n v="1"/>
    <s v="ADET"/>
    <n v="0"/>
    <n v="7"/>
    <n v="10"/>
    <n v="6"/>
    <n v="0"/>
    <n v="20303.939999999999"/>
    <n v="3383.99"/>
    <x v="19"/>
    <n v="3383.99"/>
    <x v="7"/>
  </r>
  <r>
    <x v="9"/>
    <s v="Jan Urbanek"/>
    <x v="0"/>
    <x v="37"/>
    <x v="37"/>
    <n v="1"/>
    <s v="ADET"/>
    <n v="0"/>
    <n v="7"/>
    <n v="10"/>
    <n v="6"/>
    <n v="0"/>
    <n v="20303.939999999999"/>
    <n v="3383.99"/>
    <x v="19"/>
    <n v="3383.99"/>
    <x v="7"/>
  </r>
  <r>
    <x v="1"/>
    <s v="Stina Alm"/>
    <x v="0"/>
    <x v="36"/>
    <x v="36"/>
    <n v="14"/>
    <s v="METRE"/>
    <n v="0"/>
    <n v="0"/>
    <n v="0"/>
    <n v="58"/>
    <n v="200"/>
    <n v="232.57999999999998"/>
    <n v="4.01"/>
    <x v="18"/>
    <n v="56.14"/>
    <x v="5"/>
  </r>
  <r>
    <x v="1"/>
    <s v="Stina Alm"/>
    <x v="0"/>
    <x v="38"/>
    <x v="38"/>
    <n v="2"/>
    <s v="ADET"/>
    <n v="0"/>
    <n v="239"/>
    <n v="90"/>
    <n v="-201"/>
    <n v="0"/>
    <n v="0"/>
    <n v="4"/>
    <x v="20"/>
    <n v="8"/>
    <x v="7"/>
  </r>
  <r>
    <x v="1"/>
    <s v="Stina Alm"/>
    <x v="0"/>
    <x v="37"/>
    <x v="37"/>
    <n v="1"/>
    <s v="ADET"/>
    <n v="0"/>
    <n v="7"/>
    <n v="10"/>
    <n v="6"/>
    <n v="0"/>
    <n v="20303.939999999999"/>
    <n v="3383.99"/>
    <x v="19"/>
    <n v="3383.99"/>
    <x v="7"/>
  </r>
  <r>
    <x v="0"/>
    <s v="Soner Kayıkçı"/>
    <x v="0"/>
    <x v="37"/>
    <x v="37"/>
    <n v="1"/>
    <s v="ADET"/>
    <n v="0"/>
    <n v="7"/>
    <n v="10"/>
    <n v="6"/>
    <n v="0"/>
    <n v="20303.939999999999"/>
    <n v="3383.99"/>
    <x v="19"/>
    <n v="3383.99"/>
    <x v="7"/>
  </r>
  <r>
    <x v="1"/>
    <s v="Stina Alm"/>
    <x v="0"/>
    <x v="39"/>
    <x v="39"/>
    <n v="83"/>
    <s v="ADET"/>
    <n v="0"/>
    <n v="3000"/>
    <n v="1048"/>
    <n v="-967"/>
    <n v="0"/>
    <n v="0"/>
    <n v="2.92"/>
    <x v="21"/>
    <n v="242.35999999999999"/>
    <x v="2"/>
  </r>
  <r>
    <x v="11"/>
    <s v="Jan Urbanek"/>
    <x v="0"/>
    <x v="38"/>
    <x v="38"/>
    <n v="2"/>
    <s v="ADET"/>
    <n v="0"/>
    <n v="239"/>
    <n v="90"/>
    <n v="-201"/>
    <n v="0"/>
    <n v="0"/>
    <n v="4"/>
    <x v="20"/>
    <n v="8"/>
    <x v="7"/>
  </r>
  <r>
    <x v="11"/>
    <s v="Jan Urbanek"/>
    <x v="0"/>
    <x v="37"/>
    <x v="37"/>
    <n v="1"/>
    <s v="ADET"/>
    <n v="0"/>
    <n v="7"/>
    <n v="10"/>
    <n v="6"/>
    <n v="0"/>
    <n v="20303.939999999999"/>
    <n v="3383.99"/>
    <x v="19"/>
    <n v="3383.99"/>
    <x v="7"/>
  </r>
  <r>
    <x v="11"/>
    <s v="Jan Urbanek"/>
    <x v="0"/>
    <x v="39"/>
    <x v="39"/>
    <n v="135"/>
    <s v="ADET"/>
    <n v="0"/>
    <n v="3000"/>
    <n v="1048"/>
    <n v="-967"/>
    <n v="0"/>
    <n v="0"/>
    <n v="2.92"/>
    <x v="21"/>
    <n v="394.2"/>
    <x v="2"/>
  </r>
  <r>
    <x v="0"/>
    <s v="Soner Kayıkçı"/>
    <x v="0"/>
    <x v="38"/>
    <x v="38"/>
    <n v="2"/>
    <s v="ADET"/>
    <n v="0"/>
    <n v="239"/>
    <n v="90"/>
    <n v="-201"/>
    <n v="0"/>
    <n v="0"/>
    <n v="4"/>
    <x v="20"/>
    <n v="8"/>
    <x v="7"/>
  </r>
  <r>
    <x v="2"/>
    <s v="Laurent MONTAGNER"/>
    <x v="0"/>
    <x v="38"/>
    <x v="38"/>
    <n v="2"/>
    <s v="ADET"/>
    <n v="0"/>
    <n v="239"/>
    <n v="90"/>
    <n v="-201"/>
    <n v="0"/>
    <n v="0"/>
    <n v="4"/>
    <x v="20"/>
    <n v="8"/>
    <x v="7"/>
  </r>
  <r>
    <x v="2"/>
    <s v="Laurent MONTAGNER"/>
    <x v="0"/>
    <x v="37"/>
    <x v="37"/>
    <n v="1"/>
    <s v="ADET"/>
    <n v="0"/>
    <n v="7"/>
    <n v="10"/>
    <n v="6"/>
    <n v="0"/>
    <n v="20303.939999999999"/>
    <n v="3383.99"/>
    <x v="19"/>
    <n v="3383.99"/>
    <x v="7"/>
  </r>
  <r>
    <x v="0"/>
    <s v="Soner Kayıkçı"/>
    <x v="0"/>
    <x v="39"/>
    <x v="39"/>
    <n v="135"/>
    <s v="ADET"/>
    <n v="0"/>
    <n v="3000"/>
    <n v="1048"/>
    <n v="-967"/>
    <n v="0"/>
    <n v="0"/>
    <n v="2.92"/>
    <x v="21"/>
    <n v="394.2"/>
    <x v="2"/>
  </r>
  <r>
    <x v="2"/>
    <s v="Laurent MONTAGNER"/>
    <x v="0"/>
    <x v="39"/>
    <x v="39"/>
    <n v="81"/>
    <s v="ADET"/>
    <n v="0"/>
    <n v="3000"/>
    <n v="1048"/>
    <n v="-967"/>
    <n v="0"/>
    <n v="0"/>
    <n v="2.92"/>
    <x v="21"/>
    <n v="236.51999999999998"/>
    <x v="2"/>
  </r>
  <r>
    <x v="11"/>
    <s v="Jan Urbanek"/>
    <x v="0"/>
    <x v="36"/>
    <x v="36"/>
    <n v="14"/>
    <s v="METRE"/>
    <n v="0"/>
    <n v="0"/>
    <n v="0"/>
    <n v="58"/>
    <n v="200"/>
    <n v="232.57999999999998"/>
    <n v="4.01"/>
    <x v="18"/>
    <n v="56.14"/>
    <x v="5"/>
  </r>
  <r>
    <x v="10"/>
    <s v="Jan Urbanek"/>
    <x v="0"/>
    <x v="38"/>
    <x v="38"/>
    <n v="2"/>
    <s v="ADET"/>
    <n v="0"/>
    <n v="239"/>
    <n v="90"/>
    <n v="-201"/>
    <n v="0"/>
    <n v="0"/>
    <n v="4"/>
    <x v="20"/>
    <n v="8"/>
    <x v="7"/>
  </r>
  <r>
    <x v="10"/>
    <s v="Jan Urbanek"/>
    <x v="0"/>
    <x v="39"/>
    <x v="39"/>
    <n v="135"/>
    <s v="ADET"/>
    <n v="0"/>
    <n v="3000"/>
    <n v="1048"/>
    <n v="-967"/>
    <n v="0"/>
    <n v="0"/>
    <n v="2.92"/>
    <x v="21"/>
    <n v="394.2"/>
    <x v="2"/>
  </r>
  <r>
    <x v="4"/>
    <s v="Stefan Zaugg"/>
    <x v="0"/>
    <x v="40"/>
    <x v="40"/>
    <n v="2"/>
    <s v="ADET"/>
    <n v="0"/>
    <n v="35"/>
    <n v="8"/>
    <n v="-29"/>
    <n v="0"/>
    <n v="0"/>
    <n v="94.17"/>
    <x v="22"/>
    <n v="188.34"/>
    <x v="0"/>
  </r>
  <r>
    <x v="12"/>
    <s v="Matteo Giolo"/>
    <x v="0"/>
    <x v="36"/>
    <x v="36"/>
    <n v="14"/>
    <s v="METRE"/>
    <n v="0"/>
    <n v="0"/>
    <n v="0"/>
    <n v="58"/>
    <n v="200"/>
    <n v="232.57999999999998"/>
    <n v="4.01"/>
    <x v="18"/>
    <n v="56.14"/>
    <x v="5"/>
  </r>
  <r>
    <x v="7"/>
    <s v="Laurent MONTAGNER"/>
    <x v="0"/>
    <x v="38"/>
    <x v="38"/>
    <n v="2"/>
    <s v="ADET"/>
    <n v="0"/>
    <n v="239"/>
    <n v="90"/>
    <n v="-201"/>
    <n v="0"/>
    <n v="0"/>
    <n v="4"/>
    <x v="20"/>
    <n v="8"/>
    <x v="7"/>
  </r>
  <r>
    <x v="3"/>
    <s v="Stina Alm"/>
    <x v="0"/>
    <x v="37"/>
    <x v="37"/>
    <n v="1"/>
    <s v="ADET"/>
    <n v="0"/>
    <n v="7"/>
    <n v="10"/>
    <n v="6"/>
    <n v="0"/>
    <n v="20303.939999999999"/>
    <n v="3383.99"/>
    <x v="19"/>
    <n v="3383.99"/>
    <x v="7"/>
  </r>
  <r>
    <x v="6"/>
    <s v="Laurent MONTAGNER"/>
    <x v="0"/>
    <x v="36"/>
    <x v="36"/>
    <n v="15"/>
    <s v="METRE"/>
    <n v="0"/>
    <n v="0"/>
    <n v="0"/>
    <n v="58"/>
    <n v="200"/>
    <n v="232.57999999999998"/>
    <n v="4.01"/>
    <x v="18"/>
    <n v="60.15"/>
    <x v="5"/>
  </r>
  <r>
    <x v="11"/>
    <s v="Jan Urbanek"/>
    <x v="0"/>
    <x v="35"/>
    <x v="35"/>
    <n v="12"/>
    <s v="ADET"/>
    <n v="0"/>
    <n v="1400"/>
    <n v="602"/>
    <n v="-1296"/>
    <n v="0"/>
    <n v="0"/>
    <n v="0.6"/>
    <x v="14"/>
    <n v="7.1999999999999993"/>
    <x v="2"/>
  </r>
  <r>
    <x v="12"/>
    <s v="Matteo Giolo"/>
    <x v="0"/>
    <x v="34"/>
    <x v="34"/>
    <n v="3"/>
    <s v="ADET"/>
    <n v="0"/>
    <n v="0"/>
    <n v="0"/>
    <n v="27"/>
    <n v="0"/>
    <n v="324"/>
    <n v="12"/>
    <x v="14"/>
    <n v="36"/>
    <x v="2"/>
  </r>
  <r>
    <x v="12"/>
    <s v="Matteo Giolo"/>
    <x v="0"/>
    <x v="31"/>
    <x v="31"/>
    <n v="1"/>
    <s v="ADET"/>
    <n v="0"/>
    <n v="56"/>
    <n v="11"/>
    <n v="-43"/>
    <n v="0"/>
    <n v="0"/>
    <n v="936.72"/>
    <x v="17"/>
    <n v="936.72"/>
    <x v="7"/>
  </r>
  <r>
    <x v="1"/>
    <s v="Stina Alm"/>
    <x v="0"/>
    <x v="34"/>
    <x v="34"/>
    <n v="2"/>
    <s v="ADET"/>
    <n v="0"/>
    <n v="0"/>
    <n v="0"/>
    <n v="27"/>
    <n v="0"/>
    <n v="324"/>
    <n v="12"/>
    <x v="14"/>
    <n v="24"/>
    <x v="2"/>
  </r>
  <r>
    <x v="10"/>
    <s v="Jan Urbanek"/>
    <x v="0"/>
    <x v="34"/>
    <x v="34"/>
    <n v="3"/>
    <s v="ADET"/>
    <n v="0"/>
    <n v="0"/>
    <n v="0"/>
    <n v="27"/>
    <n v="0"/>
    <n v="324"/>
    <n v="12"/>
    <x v="14"/>
    <n v="36"/>
    <x v="2"/>
  </r>
  <r>
    <x v="10"/>
    <s v="Jan Urbanek"/>
    <x v="0"/>
    <x v="35"/>
    <x v="35"/>
    <n v="12"/>
    <s v="ADET"/>
    <n v="0"/>
    <n v="1400"/>
    <n v="602"/>
    <n v="-1296"/>
    <n v="0"/>
    <n v="0"/>
    <n v="0.6"/>
    <x v="14"/>
    <n v="7.1999999999999993"/>
    <x v="2"/>
  </r>
  <r>
    <x v="10"/>
    <s v="Jan Urbanek"/>
    <x v="0"/>
    <x v="33"/>
    <x v="33"/>
    <n v="43"/>
    <s v="ADET"/>
    <n v="0"/>
    <n v="4500"/>
    <n v="2426"/>
    <n v="-3826"/>
    <n v="0"/>
    <n v="0"/>
    <n v="1"/>
    <x v="5"/>
    <n v="43"/>
    <x v="2"/>
  </r>
  <r>
    <x v="4"/>
    <s v="Stefan Zaugg"/>
    <x v="0"/>
    <x v="32"/>
    <x v="32"/>
    <n v="5"/>
    <s v="METRE"/>
    <n v="0"/>
    <n v="100"/>
    <n v="105.5"/>
    <n v="-8"/>
    <n v="0"/>
    <n v="0"/>
    <n v="131.25"/>
    <x v="15"/>
    <n v="656.25"/>
    <x v="7"/>
  </r>
  <r>
    <x v="5"/>
    <s v="Matteo Giolo"/>
    <x v="0"/>
    <x v="32"/>
    <x v="32"/>
    <n v="8"/>
    <s v="METRE"/>
    <n v="0"/>
    <n v="100"/>
    <n v="105.5"/>
    <n v="-8"/>
    <n v="0"/>
    <n v="0"/>
    <n v="131.25"/>
    <x v="15"/>
    <n v="1050"/>
    <x v="7"/>
  </r>
  <r>
    <x v="8"/>
    <s v="Jan Urbanek"/>
    <x v="0"/>
    <x v="33"/>
    <x v="33"/>
    <n v="43"/>
    <s v="ADET"/>
    <n v="0"/>
    <n v="4500"/>
    <n v="2426"/>
    <n v="-3826"/>
    <n v="0"/>
    <n v="0"/>
    <n v="1"/>
    <x v="5"/>
    <n v="43"/>
    <x v="2"/>
  </r>
  <r>
    <x v="3"/>
    <s v="Stina Alm"/>
    <x v="0"/>
    <x v="34"/>
    <x v="34"/>
    <n v="2"/>
    <s v="ADET"/>
    <n v="0"/>
    <n v="0"/>
    <n v="0"/>
    <n v="27"/>
    <n v="0"/>
    <n v="324"/>
    <n v="12"/>
    <x v="14"/>
    <n v="24"/>
    <x v="2"/>
  </r>
  <r>
    <x v="5"/>
    <s v="Matteo Giolo"/>
    <x v="0"/>
    <x v="31"/>
    <x v="31"/>
    <n v="1"/>
    <s v="ADET"/>
    <n v="0"/>
    <n v="56"/>
    <n v="11"/>
    <n v="-43"/>
    <n v="0"/>
    <n v="0"/>
    <n v="936.72"/>
    <x v="17"/>
    <n v="936.72"/>
    <x v="7"/>
  </r>
  <r>
    <x v="7"/>
    <s v="Laurent MONTAGNER"/>
    <x v="0"/>
    <x v="32"/>
    <x v="32"/>
    <n v="7"/>
    <s v="METRE"/>
    <n v="0"/>
    <n v="100"/>
    <n v="105.5"/>
    <n v="-8"/>
    <n v="0"/>
    <n v="0"/>
    <n v="131.25"/>
    <x v="15"/>
    <n v="918.75"/>
    <x v="7"/>
  </r>
  <r>
    <x v="13"/>
    <s v="Matteo Giolo"/>
    <x v="0"/>
    <x v="34"/>
    <x v="34"/>
    <n v="2"/>
    <s v="ADET"/>
    <n v="0"/>
    <n v="0"/>
    <n v="0"/>
    <n v="27"/>
    <n v="0"/>
    <n v="324"/>
    <n v="12"/>
    <x v="14"/>
    <n v="24"/>
    <x v="2"/>
  </r>
  <r>
    <x v="14"/>
    <s v="Stefan Zaugg"/>
    <x v="0"/>
    <x v="31"/>
    <x v="31"/>
    <n v="1"/>
    <s v="ADET"/>
    <n v="1"/>
    <n v="56"/>
    <n v="11"/>
    <n v="-43"/>
    <n v="0"/>
    <n v="0"/>
    <n v="936.72"/>
    <x v="17"/>
    <n v="936.72"/>
    <x v="7"/>
  </r>
  <r>
    <x v="15"/>
    <s v="Jan Urbanek"/>
    <x v="0"/>
    <x v="32"/>
    <x v="32"/>
    <n v="4"/>
    <s v="METRE"/>
    <n v="0"/>
    <n v="100"/>
    <n v="105.5"/>
    <n v="-8"/>
    <n v="0"/>
    <n v="0"/>
    <n v="131.25"/>
    <x v="15"/>
    <n v="525"/>
    <x v="7"/>
  </r>
  <r>
    <x v="14"/>
    <s v="Stefan Zaugg"/>
    <x v="0"/>
    <x v="32"/>
    <x v="32"/>
    <n v="5"/>
    <s v="METRE"/>
    <n v="0"/>
    <n v="100"/>
    <n v="105.5"/>
    <n v="-8"/>
    <n v="0"/>
    <n v="0"/>
    <n v="131.25"/>
    <x v="15"/>
    <n v="656.25"/>
    <x v="7"/>
  </r>
  <r>
    <x v="6"/>
    <s v="Laurent MONTAGNER"/>
    <x v="0"/>
    <x v="41"/>
    <x v="41"/>
    <n v="0.5"/>
    <s v="ADET"/>
    <n v="0"/>
    <n v="13.5"/>
    <n v="8.5"/>
    <n v="-5.3500000000000014"/>
    <n v="0"/>
    <n v="0"/>
    <n v="1600"/>
    <x v="23"/>
    <n v="800"/>
    <x v="6"/>
  </r>
  <r>
    <x v="1"/>
    <s v="Stina Alm"/>
    <x v="0"/>
    <x v="41"/>
    <x v="41"/>
    <n v="0.05"/>
    <s v="ADET"/>
    <n v="0"/>
    <n v="13.5"/>
    <n v="8.5"/>
    <n v="-5.3500000000000014"/>
    <n v="0"/>
    <n v="0"/>
    <n v="1600"/>
    <x v="23"/>
    <n v="80"/>
    <x v="6"/>
  </r>
  <r>
    <x v="0"/>
    <s v="Soner Kayıkçı"/>
    <x v="0"/>
    <x v="42"/>
    <x v="42"/>
    <n v="0.35"/>
    <s v="KG"/>
    <n v="0"/>
    <n v="0"/>
    <n v="24.129999999999985"/>
    <n v="4.1899999999999995"/>
    <n v="0"/>
    <n v="1667.7456999999997"/>
    <n v="398.03"/>
    <x v="3"/>
    <n v="139.31049999999999"/>
    <x v="3"/>
  </r>
  <r>
    <x v="2"/>
    <s v="Laurent MONTAGNER"/>
    <x v="0"/>
    <x v="42"/>
    <x v="42"/>
    <n v="0.36"/>
    <s v="KG"/>
    <n v="0"/>
    <n v="0"/>
    <n v="24.129999999999985"/>
    <n v="4.1899999999999995"/>
    <n v="0"/>
    <n v="1667.7456999999997"/>
    <n v="398.03"/>
    <x v="3"/>
    <n v="143.29079999999999"/>
    <x v="3"/>
  </r>
  <r>
    <x v="16"/>
    <s v="Stefan Zaugg"/>
    <x v="0"/>
    <x v="32"/>
    <x v="32"/>
    <n v="5"/>
    <s v="METRE"/>
    <n v="0"/>
    <n v="100"/>
    <n v="105.5"/>
    <n v="-8"/>
    <n v="0"/>
    <n v="0"/>
    <n v="131.25"/>
    <x v="15"/>
    <n v="656.25"/>
    <x v="7"/>
  </r>
  <r>
    <x v="17"/>
    <s v="Murat Taşdemir"/>
    <x v="0"/>
    <x v="32"/>
    <x v="32"/>
    <n v="8"/>
    <s v="METRE"/>
    <n v="0"/>
    <n v="100"/>
    <n v="105.5"/>
    <n v="-8"/>
    <n v="0"/>
    <n v="0"/>
    <n v="131.25"/>
    <x v="15"/>
    <n v="1050"/>
    <x v="7"/>
  </r>
  <r>
    <x v="1"/>
    <s v="Stina Alm"/>
    <x v="0"/>
    <x v="42"/>
    <x v="42"/>
    <n v="0.34"/>
    <s v="KG"/>
    <n v="0"/>
    <n v="0"/>
    <n v="24.129999999999985"/>
    <n v="4.1899999999999995"/>
    <n v="0"/>
    <n v="1667.7456999999997"/>
    <n v="398.03"/>
    <x v="3"/>
    <n v="135.33019999999999"/>
    <x v="3"/>
  </r>
  <r>
    <x v="1"/>
    <s v="Stina Alm"/>
    <x v="0"/>
    <x v="43"/>
    <x v="43"/>
    <n v="1.1000000000000001"/>
    <s v="METRE"/>
    <n v="0"/>
    <n v="0"/>
    <n v="20.30000000000009"/>
    <n v="21.1"/>
    <n v="0"/>
    <n v="2426.5"/>
    <n v="115"/>
    <x v="10"/>
    <n v="126.50000000000001"/>
    <x v="4"/>
  </r>
  <r>
    <x v="3"/>
    <s v="Stina Alm"/>
    <x v="0"/>
    <x v="31"/>
    <x v="31"/>
    <n v="1"/>
    <s v="ADET"/>
    <n v="0"/>
    <n v="56"/>
    <n v="11"/>
    <n v="-43"/>
    <n v="0"/>
    <n v="0"/>
    <n v="936.72"/>
    <x v="17"/>
    <n v="936.72"/>
    <x v="7"/>
  </r>
  <r>
    <x v="3"/>
    <s v="Stina Alm"/>
    <x v="0"/>
    <x v="32"/>
    <x v="32"/>
    <n v="1.5"/>
    <s v="METRE"/>
    <n v="0"/>
    <n v="100"/>
    <n v="105.5"/>
    <n v="-8"/>
    <n v="0"/>
    <n v="0"/>
    <n v="131.25"/>
    <x v="15"/>
    <n v="196.875"/>
    <x v="7"/>
  </r>
  <r>
    <x v="15"/>
    <s v="Jan Urbanek"/>
    <x v="0"/>
    <x v="34"/>
    <x v="34"/>
    <n v="3"/>
    <s v="ADET"/>
    <n v="0"/>
    <n v="0"/>
    <n v="0"/>
    <n v="27"/>
    <n v="0"/>
    <n v="324"/>
    <n v="12"/>
    <x v="14"/>
    <n v="36"/>
    <x v="2"/>
  </r>
  <r>
    <x v="15"/>
    <s v="Jan Urbanek"/>
    <x v="0"/>
    <x v="31"/>
    <x v="31"/>
    <n v="1"/>
    <s v="ADET"/>
    <n v="0"/>
    <n v="56"/>
    <n v="11"/>
    <n v="-43"/>
    <n v="0"/>
    <n v="0"/>
    <n v="936.72"/>
    <x v="17"/>
    <n v="936.72"/>
    <x v="7"/>
  </r>
  <r>
    <x v="18"/>
    <s v="Hayriye Güven"/>
    <x v="0"/>
    <x v="31"/>
    <x v="31"/>
    <n v="1"/>
    <s v="ADET"/>
    <n v="0"/>
    <n v="56"/>
    <n v="11"/>
    <n v="-43"/>
    <n v="0"/>
    <n v="0"/>
    <n v="936.72"/>
    <x v="17"/>
    <n v="936.72"/>
    <x v="7"/>
  </r>
  <r>
    <x v="13"/>
    <s v="Matteo Giolo"/>
    <x v="0"/>
    <x v="31"/>
    <x v="31"/>
    <n v="1"/>
    <s v="ADET"/>
    <n v="0"/>
    <n v="56"/>
    <n v="11"/>
    <n v="-43"/>
    <n v="0"/>
    <n v="0"/>
    <n v="936.72"/>
    <x v="17"/>
    <n v="936.72"/>
    <x v="7"/>
  </r>
  <r>
    <x v="13"/>
    <s v="Matteo Giolo"/>
    <x v="0"/>
    <x v="32"/>
    <x v="32"/>
    <n v="7"/>
    <s v="METRE"/>
    <n v="0"/>
    <n v="100"/>
    <n v="105.5"/>
    <n v="-8"/>
    <n v="0"/>
    <n v="0"/>
    <n v="131.25"/>
    <x v="15"/>
    <n v="918.75"/>
    <x v="7"/>
  </r>
  <r>
    <x v="1"/>
    <s v="Stina Alm"/>
    <x v="0"/>
    <x v="44"/>
    <x v="44"/>
    <n v="9.7099999999999991"/>
    <s v="KG"/>
    <n v="0"/>
    <n v="134.9"/>
    <n v="46.099999999999767"/>
    <n v="43.169999999999959"/>
    <n v="0"/>
    <n v="4160.2928999999958"/>
    <n v="96.37"/>
    <x v="3"/>
    <n v="935.7527"/>
    <x v="3"/>
  </r>
  <r>
    <x v="0"/>
    <s v="Soner Kayıkçı"/>
    <x v="0"/>
    <x v="45"/>
    <x v="45"/>
    <n v="1"/>
    <s v="ADET"/>
    <n v="0"/>
    <n v="2"/>
    <n v="8"/>
    <n v="8"/>
    <n v="0"/>
    <n v="70583.44"/>
    <n v="8822.93"/>
    <x v="24"/>
    <n v="8822.93"/>
    <x v="4"/>
  </r>
  <r>
    <x v="0"/>
    <s v="Soner Kayıkçı"/>
    <x v="0"/>
    <x v="43"/>
    <x v="43"/>
    <n v="1.1000000000000001"/>
    <s v="METRE"/>
    <n v="0"/>
    <n v="0"/>
    <n v="20.30000000000009"/>
    <n v="21.1"/>
    <n v="0"/>
    <n v="2426.5"/>
    <n v="115"/>
    <x v="10"/>
    <n v="126.50000000000001"/>
    <x v="4"/>
  </r>
  <r>
    <x v="2"/>
    <s v="Laurent MONTAGNER"/>
    <x v="0"/>
    <x v="43"/>
    <x v="43"/>
    <n v="1.2"/>
    <s v="METRE"/>
    <n v="0"/>
    <n v="0"/>
    <n v="20.30000000000009"/>
    <n v="21.1"/>
    <n v="0"/>
    <n v="2426.5"/>
    <n v="115"/>
    <x v="10"/>
    <n v="138"/>
    <x v="4"/>
  </r>
  <r>
    <x v="15"/>
    <s v="Jan Urbanek"/>
    <x v="0"/>
    <x v="35"/>
    <x v="35"/>
    <n v="12"/>
    <s v="ADET"/>
    <n v="0"/>
    <n v="1400"/>
    <n v="602"/>
    <n v="-1296"/>
    <n v="0"/>
    <n v="0"/>
    <n v="0.6"/>
    <x v="14"/>
    <n v="7.1999999999999993"/>
    <x v="2"/>
  </r>
  <r>
    <x v="19"/>
    <s v="Volkan Batkan"/>
    <x v="0"/>
    <x v="33"/>
    <x v="33"/>
    <n v="43"/>
    <s v="ADET"/>
    <n v="0"/>
    <n v="4500"/>
    <n v="2426"/>
    <n v="-3826"/>
    <n v="0"/>
    <n v="0"/>
    <n v="1"/>
    <x v="5"/>
    <n v="43"/>
    <x v="2"/>
  </r>
  <r>
    <x v="15"/>
    <s v="Jan Urbanek"/>
    <x v="0"/>
    <x v="33"/>
    <x v="33"/>
    <n v="43"/>
    <s v="ADET"/>
    <n v="0"/>
    <n v="4500"/>
    <n v="2426"/>
    <n v="-3826"/>
    <n v="0"/>
    <n v="0"/>
    <n v="1"/>
    <x v="5"/>
    <n v="43"/>
    <x v="2"/>
  </r>
  <r>
    <x v="14"/>
    <s v="Stefan Zaugg"/>
    <x v="0"/>
    <x v="33"/>
    <x v="33"/>
    <n v="23"/>
    <s v="ADET"/>
    <n v="0"/>
    <n v="4500"/>
    <n v="2426"/>
    <n v="-3826"/>
    <n v="0"/>
    <n v="0"/>
    <n v="1"/>
    <x v="5"/>
    <n v="23"/>
    <x v="2"/>
  </r>
  <r>
    <x v="13"/>
    <s v="Matteo Giolo"/>
    <x v="0"/>
    <x v="33"/>
    <x v="33"/>
    <n v="23"/>
    <s v="ADET"/>
    <n v="0"/>
    <n v="4500"/>
    <n v="2426"/>
    <n v="-3826"/>
    <n v="0"/>
    <n v="0"/>
    <n v="1"/>
    <x v="5"/>
    <n v="23"/>
    <x v="2"/>
  </r>
  <r>
    <x v="11"/>
    <s v="Jan Urbanek"/>
    <x v="0"/>
    <x v="41"/>
    <x v="41"/>
    <n v="0.5"/>
    <s v="ADET"/>
    <n v="0"/>
    <n v="13.5"/>
    <n v="8.5"/>
    <n v="-5.3500000000000014"/>
    <n v="0"/>
    <n v="0"/>
    <n v="1600"/>
    <x v="23"/>
    <n v="800"/>
    <x v="6"/>
  </r>
  <r>
    <x v="6"/>
    <s v="Laurent MONTAGNER"/>
    <x v="0"/>
    <x v="44"/>
    <x v="44"/>
    <n v="10.709999999999999"/>
    <s v="KG"/>
    <n v="0"/>
    <n v="134.9"/>
    <n v="46.099999999999767"/>
    <n v="43.169999999999959"/>
    <n v="0"/>
    <n v="4160.2928999999958"/>
    <n v="96.37"/>
    <x v="3"/>
    <n v="1032.1226999999999"/>
    <x v="3"/>
  </r>
  <r>
    <x v="0"/>
    <s v="Soner Kayıkçı"/>
    <x v="0"/>
    <x v="44"/>
    <x v="44"/>
    <n v="8.5400000000000009"/>
    <s v="KG"/>
    <n v="0"/>
    <n v="134.9"/>
    <n v="46.099999999999767"/>
    <n v="43.169999999999959"/>
    <n v="0"/>
    <n v="4160.2928999999958"/>
    <n v="96.37"/>
    <x v="3"/>
    <n v="822.99980000000016"/>
    <x v="3"/>
  </r>
  <r>
    <x v="0"/>
    <s v="Soner Kayıkçı"/>
    <x v="0"/>
    <x v="46"/>
    <x v="46"/>
    <n v="0.2"/>
    <s v="KG"/>
    <n v="0"/>
    <n v="0"/>
    <n v="0"/>
    <n v="0.8"/>
    <n v="0"/>
    <n v="400"/>
    <n v="500"/>
    <x v="25"/>
    <n v="100"/>
    <x v="3"/>
  </r>
  <r>
    <x v="1"/>
    <s v="Stina Alm"/>
    <x v="0"/>
    <x v="45"/>
    <x v="45"/>
    <n v="1"/>
    <s v="ADET"/>
    <n v="0"/>
    <n v="2"/>
    <n v="8"/>
    <n v="8"/>
    <n v="0"/>
    <n v="70583.44"/>
    <n v="8822.93"/>
    <x v="24"/>
    <n v="8822.93"/>
    <x v="4"/>
  </r>
  <r>
    <x v="6"/>
    <s v="Laurent MONTAGNER"/>
    <x v="0"/>
    <x v="43"/>
    <x v="43"/>
    <n v="1.1000000000000001"/>
    <s v="METRE"/>
    <n v="0"/>
    <n v="0"/>
    <n v="20.30000000000009"/>
    <n v="21.1"/>
    <n v="0"/>
    <n v="2426.5"/>
    <n v="115"/>
    <x v="10"/>
    <n v="126.50000000000001"/>
    <x v="4"/>
  </r>
  <r>
    <x v="16"/>
    <s v="Stefan Zaugg"/>
    <x v="0"/>
    <x v="35"/>
    <x v="35"/>
    <n v="4"/>
    <s v="ADET"/>
    <n v="0"/>
    <n v="1400"/>
    <n v="602"/>
    <n v="-1296"/>
    <n v="0"/>
    <n v="0"/>
    <n v="0.6"/>
    <x v="14"/>
    <n v="2.4"/>
    <x v="2"/>
  </r>
  <r>
    <x v="14"/>
    <s v="Stefan Zaugg"/>
    <x v="0"/>
    <x v="35"/>
    <x v="35"/>
    <n v="4"/>
    <s v="ADET"/>
    <n v="0"/>
    <n v="1400"/>
    <n v="602"/>
    <n v="-1296"/>
    <n v="0"/>
    <n v="0"/>
    <n v="0.6"/>
    <x v="14"/>
    <n v="2.4"/>
    <x v="2"/>
  </r>
  <r>
    <x v="16"/>
    <s v="Stefan Zaugg"/>
    <x v="0"/>
    <x v="33"/>
    <x v="33"/>
    <n v="43"/>
    <s v="ADET"/>
    <n v="0"/>
    <n v="4500"/>
    <n v="2426"/>
    <n v="-3826"/>
    <n v="0"/>
    <n v="0"/>
    <n v="1"/>
    <x v="5"/>
    <n v="43"/>
    <x v="2"/>
  </r>
  <r>
    <x v="17"/>
    <s v="Murat Taşdemir"/>
    <x v="0"/>
    <x v="33"/>
    <x v="33"/>
    <n v="29"/>
    <s v="ADET"/>
    <n v="0"/>
    <n v="4500"/>
    <n v="2426"/>
    <n v="-3826"/>
    <n v="0"/>
    <n v="0"/>
    <n v="1"/>
    <x v="5"/>
    <n v="29"/>
    <x v="2"/>
  </r>
  <r>
    <x v="10"/>
    <s v="Jan Urbanek"/>
    <x v="0"/>
    <x v="42"/>
    <x v="42"/>
    <n v="0.35"/>
    <s v="KG"/>
    <n v="0"/>
    <n v="0"/>
    <n v="24.129999999999985"/>
    <n v="4.1899999999999995"/>
    <n v="0"/>
    <n v="1667.7456999999997"/>
    <n v="398.03"/>
    <x v="3"/>
    <n v="139.31049999999999"/>
    <x v="3"/>
  </r>
  <r>
    <x v="10"/>
    <s v="Jan Urbanek"/>
    <x v="0"/>
    <x v="44"/>
    <x v="44"/>
    <n v="8.5400000000000009"/>
    <s v="KG"/>
    <n v="0"/>
    <n v="134.9"/>
    <n v="46.099999999999767"/>
    <n v="43.169999999999959"/>
    <n v="0"/>
    <n v="4160.2928999999958"/>
    <n v="96.37"/>
    <x v="3"/>
    <n v="822.99980000000016"/>
    <x v="3"/>
  </r>
  <r>
    <x v="12"/>
    <s v="Matteo Giolo"/>
    <x v="0"/>
    <x v="32"/>
    <x v="32"/>
    <n v="4"/>
    <s v="METRE"/>
    <n v="0"/>
    <n v="100"/>
    <n v="105.5"/>
    <n v="-8"/>
    <n v="0"/>
    <n v="0"/>
    <n v="131.25"/>
    <x v="15"/>
    <n v="525"/>
    <x v="7"/>
  </r>
  <r>
    <x v="19"/>
    <s v="Volkan Batkan"/>
    <x v="0"/>
    <x v="32"/>
    <x v="32"/>
    <n v="4"/>
    <s v="METRE"/>
    <n v="0"/>
    <n v="100"/>
    <n v="105.5"/>
    <n v="-8"/>
    <n v="0"/>
    <n v="0"/>
    <n v="131.25"/>
    <x v="15"/>
    <n v="525"/>
    <x v="7"/>
  </r>
  <r>
    <x v="0"/>
    <s v="Soner Kayıkçı"/>
    <x v="0"/>
    <x v="41"/>
    <x v="41"/>
    <n v="0.5"/>
    <s v="ADET"/>
    <n v="0"/>
    <n v="13.5"/>
    <n v="8.5"/>
    <n v="-5.3500000000000014"/>
    <n v="0"/>
    <n v="0"/>
    <n v="1600"/>
    <x v="23"/>
    <n v="800"/>
    <x v="6"/>
  </r>
  <r>
    <x v="2"/>
    <s v="Laurent MONTAGNER"/>
    <x v="0"/>
    <x v="41"/>
    <x v="41"/>
    <n v="0.5"/>
    <s v="ADET"/>
    <n v="0"/>
    <n v="13.5"/>
    <n v="8.5"/>
    <n v="-5.3500000000000014"/>
    <n v="0"/>
    <n v="0"/>
    <n v="1600"/>
    <x v="23"/>
    <n v="800"/>
    <x v="6"/>
  </r>
  <r>
    <x v="10"/>
    <s v="Jan Urbanek"/>
    <x v="0"/>
    <x v="47"/>
    <x v="47"/>
    <n v="37"/>
    <s v="ADET"/>
    <n v="0"/>
    <n v="495"/>
    <n v="146"/>
    <n v="-22"/>
    <n v="0"/>
    <n v="0"/>
    <n v="3.75"/>
    <x v="21"/>
    <n v="138.75"/>
    <x v="2"/>
  </r>
  <r>
    <x v="8"/>
    <s v="Jan Urbanek"/>
    <x v="0"/>
    <x v="47"/>
    <x v="47"/>
    <n v="37"/>
    <s v="ADET"/>
    <n v="0"/>
    <n v="495"/>
    <n v="146"/>
    <n v="-22"/>
    <n v="0"/>
    <n v="0"/>
    <n v="3.75"/>
    <x v="21"/>
    <n v="138.75"/>
    <x v="2"/>
  </r>
  <r>
    <x v="0"/>
    <s v="Soner Kayıkçı"/>
    <x v="1"/>
    <x v="48"/>
    <x v="48"/>
    <n v="1"/>
    <s v="ADET"/>
    <n v="0"/>
    <n v="2"/>
    <n v="9"/>
    <n v="10"/>
    <n v="0"/>
    <n v="0"/>
    <m/>
    <x v="1"/>
    <m/>
    <x v="1"/>
  </r>
  <r>
    <x v="0"/>
    <s v="Soner Kayıkçı"/>
    <x v="0"/>
    <x v="49"/>
    <x v="49"/>
    <n v="30"/>
    <s v="ADET"/>
    <n v="0"/>
    <n v="1000"/>
    <n v="4807"/>
    <n v="-450"/>
    <n v="0"/>
    <n v="0"/>
    <n v="0.3"/>
    <x v="21"/>
    <n v="9"/>
    <x v="2"/>
  </r>
  <r>
    <x v="2"/>
    <s v="Laurent MONTAGNER"/>
    <x v="0"/>
    <x v="49"/>
    <x v="49"/>
    <n v="33"/>
    <s v="ADET"/>
    <n v="0"/>
    <n v="1000"/>
    <n v="4807"/>
    <n v="-450"/>
    <n v="0"/>
    <n v="0"/>
    <n v="0.3"/>
    <x v="21"/>
    <n v="9.9"/>
    <x v="2"/>
  </r>
  <r>
    <x v="1"/>
    <s v="Stina Alm"/>
    <x v="0"/>
    <x v="50"/>
    <x v="50"/>
    <n v="1"/>
    <s v="ADET"/>
    <n v="0"/>
    <n v="0"/>
    <n v="65"/>
    <n v="-94"/>
    <n v="100"/>
    <n v="0"/>
    <n v="115"/>
    <x v="14"/>
    <n v="115"/>
    <x v="2"/>
  </r>
  <r>
    <x v="10"/>
    <s v="Jan Urbanek"/>
    <x v="0"/>
    <x v="49"/>
    <x v="49"/>
    <n v="30"/>
    <s v="ADET"/>
    <n v="0"/>
    <n v="1000"/>
    <n v="4807"/>
    <n v="-450"/>
    <n v="0"/>
    <n v="0"/>
    <n v="0.3"/>
    <x v="21"/>
    <n v="9"/>
    <x v="2"/>
  </r>
  <r>
    <x v="6"/>
    <s v="Laurent MONTAGNER"/>
    <x v="1"/>
    <x v="48"/>
    <x v="48"/>
    <n v="1"/>
    <s v="ADET"/>
    <n v="1"/>
    <n v="2"/>
    <n v="9"/>
    <n v="10"/>
    <n v="0"/>
    <n v="0"/>
    <m/>
    <x v="1"/>
    <m/>
    <x v="1"/>
  </r>
  <r>
    <x v="2"/>
    <s v="Laurent MONTAGNER"/>
    <x v="1"/>
    <x v="48"/>
    <x v="48"/>
    <n v="1"/>
    <s v="ADET"/>
    <n v="0"/>
    <n v="2"/>
    <n v="9"/>
    <n v="10"/>
    <n v="0"/>
    <n v="0"/>
    <m/>
    <x v="1"/>
    <m/>
    <x v="1"/>
  </r>
  <r>
    <x v="6"/>
    <s v="Laurent MONTAGNER"/>
    <x v="0"/>
    <x v="49"/>
    <x v="49"/>
    <n v="45"/>
    <s v="ADET"/>
    <n v="0"/>
    <n v="1000"/>
    <n v="4807"/>
    <n v="-450"/>
    <n v="0"/>
    <n v="0"/>
    <n v="0.3"/>
    <x v="21"/>
    <n v="13.5"/>
    <x v="2"/>
  </r>
  <r>
    <x v="2"/>
    <s v="Laurent MONTAGNER"/>
    <x v="0"/>
    <x v="50"/>
    <x v="50"/>
    <n v="1"/>
    <s v="ADET"/>
    <n v="0"/>
    <n v="0"/>
    <n v="65"/>
    <n v="-94"/>
    <n v="100"/>
    <n v="0"/>
    <n v="115"/>
    <x v="14"/>
    <n v="115"/>
    <x v="2"/>
  </r>
  <r>
    <x v="10"/>
    <s v="Jan Urbanek"/>
    <x v="1"/>
    <x v="48"/>
    <x v="48"/>
    <n v="1"/>
    <s v="ADET"/>
    <n v="0"/>
    <n v="2"/>
    <n v="9"/>
    <n v="10"/>
    <n v="0"/>
    <n v="0"/>
    <m/>
    <x v="1"/>
    <m/>
    <x v="1"/>
  </r>
  <r>
    <x v="9"/>
    <s v="Jan Urbanek"/>
    <x v="1"/>
    <x v="48"/>
    <x v="48"/>
    <n v="1"/>
    <s v="ADET"/>
    <n v="0"/>
    <n v="2"/>
    <n v="9"/>
    <n v="10"/>
    <n v="0"/>
    <n v="0"/>
    <m/>
    <x v="1"/>
    <m/>
    <x v="1"/>
  </r>
  <r>
    <x v="8"/>
    <s v="Jan Urbanek"/>
    <x v="1"/>
    <x v="48"/>
    <x v="48"/>
    <n v="1"/>
    <s v="ADET"/>
    <n v="0"/>
    <n v="2"/>
    <n v="9"/>
    <n v="10"/>
    <n v="0"/>
    <n v="0"/>
    <m/>
    <x v="1"/>
    <m/>
    <x v="1"/>
  </r>
  <r>
    <x v="8"/>
    <s v="Jan Urbanek"/>
    <x v="0"/>
    <x v="49"/>
    <x v="49"/>
    <n v="30"/>
    <s v="ADET"/>
    <n v="0"/>
    <n v="1000"/>
    <n v="4807"/>
    <n v="-450"/>
    <n v="0"/>
    <n v="0"/>
    <n v="0.3"/>
    <x v="21"/>
    <n v="9"/>
    <x v="2"/>
  </r>
  <r>
    <x v="9"/>
    <s v="Jan Urbanek"/>
    <x v="0"/>
    <x v="49"/>
    <x v="49"/>
    <n v="30"/>
    <s v="ADET"/>
    <n v="0"/>
    <n v="1000"/>
    <n v="4807"/>
    <n v="-450"/>
    <n v="0"/>
    <n v="0"/>
    <n v="0.3"/>
    <x v="21"/>
    <n v="9"/>
    <x v="2"/>
  </r>
  <r>
    <x v="1"/>
    <s v="Stina Alm"/>
    <x v="0"/>
    <x v="49"/>
    <x v="49"/>
    <n v="21"/>
    <s v="ADET"/>
    <n v="0"/>
    <n v="1000"/>
    <n v="4807"/>
    <n v="-450"/>
    <n v="0"/>
    <n v="0"/>
    <n v="0.3"/>
    <x v="21"/>
    <n v="6.3"/>
    <x v="2"/>
  </r>
  <r>
    <x v="1"/>
    <s v="Stina Alm"/>
    <x v="1"/>
    <x v="48"/>
    <x v="48"/>
    <n v="1"/>
    <s v="ADET"/>
    <n v="0"/>
    <n v="2"/>
    <n v="9"/>
    <n v="10"/>
    <n v="0"/>
    <n v="0"/>
    <m/>
    <x v="1"/>
    <m/>
    <x v="1"/>
  </r>
  <r>
    <x v="1"/>
    <s v="Stina Alm"/>
    <x v="0"/>
    <x v="51"/>
    <x v="51"/>
    <n v="4"/>
    <s v="ADET"/>
    <n v="0"/>
    <n v="212"/>
    <n v="625"/>
    <n v="-146"/>
    <n v="0"/>
    <n v="0"/>
    <n v="3.95"/>
    <x v="14"/>
    <n v="15.8"/>
    <x v="2"/>
  </r>
  <r>
    <x v="11"/>
    <s v="Jan Urbanek"/>
    <x v="1"/>
    <x v="48"/>
    <x v="48"/>
    <n v="1"/>
    <s v="ADET"/>
    <n v="0"/>
    <n v="2"/>
    <n v="9"/>
    <n v="10"/>
    <n v="0"/>
    <n v="0"/>
    <m/>
    <x v="1"/>
    <m/>
    <x v="1"/>
  </r>
  <r>
    <x v="11"/>
    <s v="Jan Urbanek"/>
    <x v="0"/>
    <x v="49"/>
    <x v="49"/>
    <n v="30"/>
    <s v="ADET"/>
    <n v="0"/>
    <n v="1000"/>
    <n v="4807"/>
    <n v="-450"/>
    <n v="0"/>
    <n v="0"/>
    <n v="0.3"/>
    <x v="21"/>
    <n v="9"/>
    <x v="2"/>
  </r>
  <r>
    <x v="5"/>
    <s v="Matteo Giolo"/>
    <x v="1"/>
    <x v="48"/>
    <x v="48"/>
    <n v="1"/>
    <s v="ADET"/>
    <n v="0"/>
    <n v="2"/>
    <n v="9"/>
    <n v="10"/>
    <n v="0"/>
    <n v="0"/>
    <m/>
    <x v="1"/>
    <m/>
    <x v="1"/>
  </r>
  <r>
    <x v="3"/>
    <s v="Stina Alm"/>
    <x v="1"/>
    <x v="48"/>
    <x v="48"/>
    <n v="1"/>
    <s v="ADET"/>
    <n v="0"/>
    <n v="2"/>
    <n v="9"/>
    <n v="10"/>
    <n v="0"/>
    <n v="0"/>
    <m/>
    <x v="1"/>
    <m/>
    <x v="1"/>
  </r>
  <r>
    <x v="15"/>
    <s v="Jan Urbanek"/>
    <x v="1"/>
    <x v="48"/>
    <x v="48"/>
    <n v="1"/>
    <s v="ADET"/>
    <n v="0"/>
    <n v="2"/>
    <n v="9"/>
    <n v="10"/>
    <n v="0"/>
    <n v="0"/>
    <m/>
    <x v="1"/>
    <m/>
    <x v="1"/>
  </r>
  <r>
    <x v="13"/>
    <s v="Matteo Giolo"/>
    <x v="1"/>
    <x v="48"/>
    <x v="48"/>
    <n v="1"/>
    <s v="ADET"/>
    <n v="0"/>
    <n v="2"/>
    <n v="9"/>
    <n v="10"/>
    <n v="0"/>
    <n v="0"/>
    <m/>
    <x v="1"/>
    <m/>
    <x v="1"/>
  </r>
  <r>
    <x v="3"/>
    <s v="Stina Alm"/>
    <x v="0"/>
    <x v="49"/>
    <x v="49"/>
    <n v="11"/>
    <s v="ADET"/>
    <n v="0"/>
    <n v="1000"/>
    <n v="4807"/>
    <n v="-450"/>
    <n v="0"/>
    <n v="0"/>
    <n v="0.3"/>
    <x v="21"/>
    <n v="3.3"/>
    <x v="2"/>
  </r>
  <r>
    <x v="5"/>
    <s v="Matteo Giolo"/>
    <x v="0"/>
    <x v="49"/>
    <x v="49"/>
    <n v="21"/>
    <s v="ADET"/>
    <n v="0"/>
    <n v="1000"/>
    <n v="4807"/>
    <n v="-450"/>
    <n v="0"/>
    <n v="0"/>
    <n v="0.3"/>
    <x v="21"/>
    <n v="6.3"/>
    <x v="2"/>
  </r>
  <r>
    <x v="4"/>
    <s v="Stefan Zaugg"/>
    <x v="0"/>
    <x v="49"/>
    <x v="49"/>
    <n v="18"/>
    <s v="ADET"/>
    <n v="0"/>
    <n v="1000"/>
    <n v="4807"/>
    <n v="-450"/>
    <n v="0"/>
    <n v="0"/>
    <n v="0.3"/>
    <x v="21"/>
    <n v="5.3999999999999995"/>
    <x v="2"/>
  </r>
  <r>
    <x v="14"/>
    <s v="Stefan Zaugg"/>
    <x v="1"/>
    <x v="48"/>
    <x v="48"/>
    <n v="1"/>
    <s v="ADET"/>
    <n v="1"/>
    <n v="2"/>
    <n v="9"/>
    <n v="10"/>
    <n v="0"/>
    <n v="0"/>
    <m/>
    <x v="1"/>
    <m/>
    <x v="1"/>
  </r>
  <r>
    <x v="0"/>
    <s v="Soner Kayıkçı"/>
    <x v="0"/>
    <x v="51"/>
    <x v="51"/>
    <n v="8"/>
    <s v="ADET"/>
    <n v="0"/>
    <n v="212"/>
    <n v="625"/>
    <n v="-146"/>
    <n v="0"/>
    <n v="0"/>
    <n v="3.95"/>
    <x v="14"/>
    <n v="31.6"/>
    <x v="2"/>
  </r>
  <r>
    <x v="0"/>
    <s v="Soner Kayıkçı"/>
    <x v="0"/>
    <x v="52"/>
    <x v="52"/>
    <n v="1"/>
    <s v="ADET"/>
    <n v="0"/>
    <n v="6"/>
    <n v="7"/>
    <n v="5"/>
    <n v="0"/>
    <n v="12288.25"/>
    <n v="2457.65"/>
    <x v="24"/>
    <n v="2457.65"/>
    <x v="6"/>
  </r>
  <r>
    <x v="1"/>
    <s v="Stina Alm"/>
    <x v="0"/>
    <x v="52"/>
    <x v="52"/>
    <n v="1"/>
    <s v="ADET"/>
    <n v="0"/>
    <n v="6"/>
    <n v="7"/>
    <n v="5"/>
    <n v="0"/>
    <n v="12288.25"/>
    <n v="2457.65"/>
    <x v="24"/>
    <n v="2457.65"/>
    <x v="6"/>
  </r>
  <r>
    <x v="0"/>
    <s v="Soner Kayıkçı"/>
    <x v="0"/>
    <x v="53"/>
    <x v="53"/>
    <n v="0.3"/>
    <s v="KG"/>
    <n v="0"/>
    <n v="0"/>
    <n v="22"/>
    <n v="0.6"/>
    <n v="0"/>
    <n v="162.54600000000002"/>
    <n v="270.91000000000003"/>
    <x v="26"/>
    <n v="81.27300000000001"/>
    <x v="3"/>
  </r>
  <r>
    <x v="0"/>
    <s v="Soner Kayıkçı"/>
    <x v="0"/>
    <x v="54"/>
    <x v="54"/>
    <n v="7.5"/>
    <s v="METRE"/>
    <n v="0"/>
    <n v="100"/>
    <n v="159.90000000000003"/>
    <n v="41.300000000000011"/>
    <n v="0"/>
    <n v="929.25000000000023"/>
    <n v="22.5"/>
    <x v="27"/>
    <n v="168.75"/>
    <x v="4"/>
  </r>
  <r>
    <x v="1"/>
    <s v="Stina Alm"/>
    <x v="0"/>
    <x v="54"/>
    <x v="54"/>
    <n v="5.5"/>
    <s v="METRE"/>
    <n v="0"/>
    <n v="100"/>
    <n v="159.90000000000003"/>
    <n v="41.300000000000011"/>
    <n v="0"/>
    <n v="929.25000000000023"/>
    <n v="22.5"/>
    <x v="27"/>
    <n v="123.75"/>
    <x v="4"/>
  </r>
  <r>
    <x v="19"/>
    <s v="Volkan Batkan"/>
    <x v="0"/>
    <x v="49"/>
    <x v="49"/>
    <n v="30"/>
    <s v="ADET"/>
    <n v="0"/>
    <n v="1000"/>
    <n v="4807"/>
    <n v="-450"/>
    <n v="0"/>
    <n v="0"/>
    <n v="0.3"/>
    <x v="21"/>
    <n v="9"/>
    <x v="2"/>
  </r>
  <r>
    <x v="13"/>
    <s v="Matteo Giolo"/>
    <x v="0"/>
    <x v="49"/>
    <x v="49"/>
    <n v="21"/>
    <s v="ADET"/>
    <n v="0"/>
    <n v="1000"/>
    <n v="4807"/>
    <n v="-450"/>
    <n v="0"/>
    <n v="0"/>
    <n v="0.3"/>
    <x v="21"/>
    <n v="6.3"/>
    <x v="2"/>
  </r>
  <r>
    <x v="16"/>
    <s v="Stefan Zaugg"/>
    <x v="0"/>
    <x v="49"/>
    <x v="49"/>
    <n v="18"/>
    <s v="ADET"/>
    <n v="0"/>
    <n v="1000"/>
    <n v="4807"/>
    <n v="-450"/>
    <n v="0"/>
    <n v="0"/>
    <n v="0.3"/>
    <x v="21"/>
    <n v="5.3999999999999995"/>
    <x v="2"/>
  </r>
  <r>
    <x v="14"/>
    <s v="Stefan Zaugg"/>
    <x v="0"/>
    <x v="49"/>
    <x v="49"/>
    <n v="15"/>
    <s v="ADET"/>
    <n v="0"/>
    <n v="1000"/>
    <n v="4807"/>
    <n v="-450"/>
    <n v="0"/>
    <n v="0"/>
    <n v="0.3"/>
    <x v="21"/>
    <n v="4.5"/>
    <x v="2"/>
  </r>
  <r>
    <x v="19"/>
    <s v="Volkan Batkan"/>
    <x v="0"/>
    <x v="51"/>
    <x v="51"/>
    <n v="8"/>
    <s v="ADET"/>
    <n v="0"/>
    <n v="212"/>
    <n v="625"/>
    <n v="-146"/>
    <n v="0"/>
    <n v="0"/>
    <n v="3.95"/>
    <x v="14"/>
    <n v="31.6"/>
    <x v="2"/>
  </r>
  <r>
    <x v="14"/>
    <s v="Stefan Zaugg"/>
    <x v="0"/>
    <x v="51"/>
    <x v="51"/>
    <n v="4"/>
    <s v="ADET"/>
    <n v="0"/>
    <n v="212"/>
    <n v="625"/>
    <n v="-146"/>
    <n v="0"/>
    <n v="0"/>
    <n v="3.95"/>
    <x v="14"/>
    <n v="15.8"/>
    <x v="2"/>
  </r>
  <r>
    <x v="10"/>
    <s v="Jan Urbanek"/>
    <x v="0"/>
    <x v="51"/>
    <x v="51"/>
    <n v="4"/>
    <s v="ADET"/>
    <n v="0"/>
    <n v="212"/>
    <n v="625"/>
    <n v="-146"/>
    <n v="0"/>
    <n v="0"/>
    <n v="3.95"/>
    <x v="14"/>
    <n v="15.8"/>
    <x v="2"/>
  </r>
  <r>
    <x v="9"/>
    <s v="Jan Urbanek"/>
    <x v="0"/>
    <x v="51"/>
    <x v="51"/>
    <n v="8"/>
    <s v="ADET"/>
    <n v="0"/>
    <n v="212"/>
    <n v="625"/>
    <n v="-146"/>
    <n v="0"/>
    <n v="0"/>
    <n v="3.95"/>
    <x v="14"/>
    <n v="31.6"/>
    <x v="2"/>
  </r>
  <r>
    <x v="8"/>
    <s v="Jan Urbanek"/>
    <x v="0"/>
    <x v="51"/>
    <x v="51"/>
    <n v="4"/>
    <s v="ADET"/>
    <n v="0"/>
    <n v="212"/>
    <n v="625"/>
    <n v="-146"/>
    <n v="0"/>
    <n v="0"/>
    <n v="3.95"/>
    <x v="14"/>
    <n v="15.8"/>
    <x v="2"/>
  </r>
  <r>
    <x v="12"/>
    <s v="Matteo Giolo"/>
    <x v="1"/>
    <x v="48"/>
    <x v="48"/>
    <n v="1"/>
    <s v="ADET"/>
    <n v="0"/>
    <n v="2"/>
    <n v="9"/>
    <n v="10"/>
    <n v="0"/>
    <n v="0"/>
    <m/>
    <x v="1"/>
    <m/>
    <x v="1"/>
  </r>
  <r>
    <x v="12"/>
    <s v="Matteo Giolo"/>
    <x v="0"/>
    <x v="49"/>
    <x v="49"/>
    <n v="40"/>
    <s v="ADET"/>
    <n v="0"/>
    <n v="1000"/>
    <n v="4807"/>
    <n v="-450"/>
    <n v="0"/>
    <n v="0"/>
    <n v="0.3"/>
    <x v="21"/>
    <n v="12"/>
    <x v="2"/>
  </r>
  <r>
    <x v="7"/>
    <s v="Laurent MONTAGNER"/>
    <x v="0"/>
    <x v="49"/>
    <x v="49"/>
    <n v="45"/>
    <s v="ADET"/>
    <n v="0"/>
    <n v="1000"/>
    <n v="4807"/>
    <n v="-450"/>
    <n v="0"/>
    <n v="0"/>
    <n v="0.3"/>
    <x v="21"/>
    <n v="13.5"/>
    <x v="2"/>
  </r>
  <r>
    <x v="6"/>
    <s v="Laurent MONTAGNER"/>
    <x v="0"/>
    <x v="55"/>
    <x v="55"/>
    <n v="1"/>
    <s v="ADET"/>
    <n v="0"/>
    <n v="10"/>
    <n v="3"/>
    <n v="-3"/>
    <n v="0"/>
    <n v="0"/>
    <n v="45"/>
    <x v="14"/>
    <n v="45"/>
    <x v="2"/>
  </r>
  <r>
    <x v="10"/>
    <s v="Jan Urbanek"/>
    <x v="0"/>
    <x v="52"/>
    <x v="52"/>
    <n v="1"/>
    <s v="ADET"/>
    <n v="0"/>
    <n v="6"/>
    <n v="7"/>
    <n v="5"/>
    <n v="0"/>
    <n v="12288.25"/>
    <n v="2457.65"/>
    <x v="24"/>
    <n v="2457.65"/>
    <x v="6"/>
  </r>
  <r>
    <x v="8"/>
    <s v="Jan Urbanek"/>
    <x v="0"/>
    <x v="52"/>
    <x v="52"/>
    <n v="1"/>
    <s v="ADET"/>
    <n v="0"/>
    <n v="6"/>
    <n v="7"/>
    <n v="5"/>
    <n v="0"/>
    <n v="12288.25"/>
    <n v="2457.65"/>
    <x v="24"/>
    <n v="2457.65"/>
    <x v="6"/>
  </r>
  <r>
    <x v="1"/>
    <s v="Stina Alm"/>
    <x v="0"/>
    <x v="56"/>
    <x v="56"/>
    <n v="0.5"/>
    <s v="GR"/>
    <n v="0"/>
    <n v="500"/>
    <n v="0"/>
    <n v="-499"/>
    <n v="0"/>
    <n v="0"/>
    <n v="4"/>
    <x v="28"/>
    <n v="2"/>
    <x v="3"/>
  </r>
  <r>
    <x v="15"/>
    <s v="Jan Urbanek"/>
    <x v="0"/>
    <x v="49"/>
    <x v="49"/>
    <n v="30"/>
    <s v="ADET"/>
    <n v="0"/>
    <n v="1000"/>
    <n v="4807"/>
    <n v="-450"/>
    <n v="0"/>
    <n v="0"/>
    <n v="0.3"/>
    <x v="21"/>
    <n v="9"/>
    <x v="2"/>
  </r>
  <r>
    <x v="13"/>
    <s v="Matteo Giolo"/>
    <x v="0"/>
    <x v="50"/>
    <x v="50"/>
    <n v="1"/>
    <s v="ADET"/>
    <n v="0"/>
    <n v="0"/>
    <n v="65"/>
    <n v="-94"/>
    <n v="100"/>
    <n v="0"/>
    <n v="115"/>
    <x v="14"/>
    <n v="115"/>
    <x v="2"/>
  </r>
  <r>
    <x v="15"/>
    <s v="Jan Urbanek"/>
    <x v="0"/>
    <x v="51"/>
    <x v="51"/>
    <n v="4"/>
    <s v="ADET"/>
    <n v="0"/>
    <n v="212"/>
    <n v="625"/>
    <n v="-146"/>
    <n v="0"/>
    <n v="0"/>
    <n v="3.95"/>
    <x v="14"/>
    <n v="15.8"/>
    <x v="2"/>
  </r>
  <r>
    <x v="13"/>
    <s v="Matteo Giolo"/>
    <x v="0"/>
    <x v="51"/>
    <x v="51"/>
    <n v="4"/>
    <s v="ADET"/>
    <n v="0"/>
    <n v="212"/>
    <n v="625"/>
    <n v="-146"/>
    <n v="0"/>
    <n v="0"/>
    <n v="3.95"/>
    <x v="14"/>
    <n v="15.8"/>
    <x v="2"/>
  </r>
  <r>
    <x v="15"/>
    <s v="Jan Urbanek"/>
    <x v="0"/>
    <x v="52"/>
    <x v="52"/>
    <n v="1"/>
    <s v="ADET"/>
    <n v="0"/>
    <n v="6"/>
    <n v="7"/>
    <n v="5"/>
    <n v="0"/>
    <n v="12288.25"/>
    <n v="2457.65"/>
    <x v="24"/>
    <n v="2457.65"/>
    <x v="6"/>
  </r>
  <r>
    <x v="13"/>
    <s v="Matteo Giolo"/>
    <x v="0"/>
    <x v="52"/>
    <x v="52"/>
    <n v="1"/>
    <s v="ADET"/>
    <n v="0"/>
    <n v="6"/>
    <n v="7"/>
    <n v="5"/>
    <n v="0"/>
    <n v="12288.25"/>
    <n v="2457.65"/>
    <x v="24"/>
    <n v="2457.65"/>
    <x v="6"/>
  </r>
  <r>
    <x v="0"/>
    <s v="Soner Kayıkçı"/>
    <x v="0"/>
    <x v="36"/>
    <x v="36"/>
    <n v="14"/>
    <s v="METRE"/>
    <n v="0"/>
    <n v="0"/>
    <n v="0"/>
    <n v="58"/>
    <n v="200"/>
    <n v="232.57999999999998"/>
    <n v="4.01"/>
    <x v="18"/>
    <n v="56.14"/>
    <x v="5"/>
  </r>
  <r>
    <x v="2"/>
    <s v="Laurent MONTAGNER"/>
    <x v="0"/>
    <x v="36"/>
    <x v="36"/>
    <n v="14"/>
    <s v="METRE"/>
    <n v="0"/>
    <n v="0"/>
    <n v="0"/>
    <n v="58"/>
    <n v="200"/>
    <n v="232.57999999999998"/>
    <n v="4.01"/>
    <x v="18"/>
    <n v="56.14"/>
    <x v="5"/>
  </r>
  <r>
    <x v="6"/>
    <s v="Laurent MONTAGNER"/>
    <x v="0"/>
    <x v="38"/>
    <x v="38"/>
    <n v="2"/>
    <s v="ADET"/>
    <n v="0"/>
    <n v="239"/>
    <n v="90"/>
    <n v="-201"/>
    <n v="0"/>
    <n v="0"/>
    <n v="4"/>
    <x v="20"/>
    <n v="8"/>
    <x v="7"/>
  </r>
  <r>
    <x v="6"/>
    <s v="Laurent MONTAGNER"/>
    <x v="0"/>
    <x v="37"/>
    <x v="37"/>
    <n v="1"/>
    <s v="ADET"/>
    <n v="0"/>
    <n v="7"/>
    <n v="10"/>
    <n v="6"/>
    <n v="0"/>
    <n v="20303.939999999999"/>
    <n v="3383.99"/>
    <x v="19"/>
    <n v="3383.99"/>
    <x v="7"/>
  </r>
  <r>
    <x v="6"/>
    <s v="Laurent MONTAGNER"/>
    <x v="0"/>
    <x v="39"/>
    <x v="39"/>
    <n v="110"/>
    <s v="ADET"/>
    <n v="0"/>
    <n v="3000"/>
    <n v="1048"/>
    <n v="-967"/>
    <n v="0"/>
    <n v="0"/>
    <n v="2.92"/>
    <x v="21"/>
    <n v="321.2"/>
    <x v="2"/>
  </r>
  <r>
    <x v="8"/>
    <s v="Jan Urbanek"/>
    <x v="0"/>
    <x v="38"/>
    <x v="38"/>
    <n v="2"/>
    <s v="ADET"/>
    <n v="0"/>
    <n v="239"/>
    <n v="90"/>
    <n v="-201"/>
    <n v="0"/>
    <n v="0"/>
    <n v="4"/>
    <x v="20"/>
    <n v="8"/>
    <x v="7"/>
  </r>
  <r>
    <x v="9"/>
    <s v="Jan Urbanek"/>
    <x v="0"/>
    <x v="38"/>
    <x v="38"/>
    <n v="2"/>
    <s v="ADET"/>
    <n v="0"/>
    <n v="239"/>
    <n v="90"/>
    <n v="-201"/>
    <n v="0"/>
    <n v="0"/>
    <n v="4"/>
    <x v="20"/>
    <n v="8"/>
    <x v="7"/>
  </r>
  <r>
    <x v="10"/>
    <s v="Jan Urbanek"/>
    <x v="0"/>
    <x v="37"/>
    <x v="37"/>
    <n v="1"/>
    <s v="ADET"/>
    <n v="0"/>
    <n v="7"/>
    <n v="10"/>
    <n v="6"/>
    <n v="0"/>
    <n v="20303.939999999999"/>
    <n v="3383.99"/>
    <x v="19"/>
    <n v="3383.99"/>
    <x v="7"/>
  </r>
  <r>
    <x v="9"/>
    <s v="Jan Urbanek"/>
    <x v="0"/>
    <x v="39"/>
    <x v="39"/>
    <n v="135"/>
    <s v="ADET"/>
    <n v="0"/>
    <n v="3000"/>
    <n v="1048"/>
    <n v="-967"/>
    <n v="0"/>
    <n v="0"/>
    <n v="2.92"/>
    <x v="21"/>
    <n v="394.2"/>
    <x v="2"/>
  </r>
  <r>
    <x v="8"/>
    <s v="Jan Urbanek"/>
    <x v="0"/>
    <x v="39"/>
    <x v="39"/>
    <n v="135"/>
    <s v="ADET"/>
    <n v="0"/>
    <n v="3000"/>
    <n v="1048"/>
    <n v="-967"/>
    <n v="0"/>
    <n v="0"/>
    <n v="2.92"/>
    <x v="21"/>
    <n v="394.2"/>
    <x v="2"/>
  </r>
  <r>
    <x v="12"/>
    <s v="Matteo Giolo"/>
    <x v="0"/>
    <x v="38"/>
    <x v="38"/>
    <n v="2"/>
    <s v="ADET"/>
    <n v="0"/>
    <n v="239"/>
    <n v="90"/>
    <n v="-201"/>
    <n v="0"/>
    <n v="0"/>
    <n v="4"/>
    <x v="20"/>
    <n v="8"/>
    <x v="7"/>
  </r>
  <r>
    <x v="12"/>
    <s v="Matteo Giolo"/>
    <x v="0"/>
    <x v="39"/>
    <x v="39"/>
    <n v="135"/>
    <s v="ADET"/>
    <n v="0"/>
    <n v="3000"/>
    <n v="1048"/>
    <n v="-967"/>
    <n v="0"/>
    <n v="0"/>
    <n v="2.92"/>
    <x v="21"/>
    <n v="394.2"/>
    <x v="2"/>
  </r>
  <r>
    <x v="3"/>
    <s v="Stina Alm"/>
    <x v="0"/>
    <x v="36"/>
    <x v="36"/>
    <n v="14"/>
    <s v="METRE"/>
    <n v="0"/>
    <n v="0"/>
    <n v="0"/>
    <n v="58"/>
    <n v="200"/>
    <n v="232.57999999999998"/>
    <n v="4.01"/>
    <x v="18"/>
    <n v="56.14"/>
    <x v="5"/>
  </r>
  <r>
    <x v="7"/>
    <s v="Laurent MONTAGNER"/>
    <x v="0"/>
    <x v="36"/>
    <x v="36"/>
    <n v="15"/>
    <s v="METRE"/>
    <n v="0"/>
    <n v="0"/>
    <n v="0"/>
    <n v="58"/>
    <n v="200"/>
    <n v="232.57999999999998"/>
    <n v="4.01"/>
    <x v="18"/>
    <n v="60.15"/>
    <x v="5"/>
  </r>
  <r>
    <x v="5"/>
    <s v="Matteo Giolo"/>
    <x v="0"/>
    <x v="38"/>
    <x v="38"/>
    <n v="2"/>
    <s v="ADET"/>
    <n v="0"/>
    <n v="239"/>
    <n v="90"/>
    <n v="-201"/>
    <n v="0"/>
    <n v="0"/>
    <n v="4"/>
    <x v="20"/>
    <n v="8"/>
    <x v="7"/>
  </r>
  <r>
    <x v="5"/>
    <s v="Matteo Giolo"/>
    <x v="0"/>
    <x v="37"/>
    <x v="37"/>
    <n v="1"/>
    <s v="ADET"/>
    <n v="0"/>
    <n v="7"/>
    <n v="10"/>
    <n v="6"/>
    <n v="0"/>
    <n v="20303.939999999999"/>
    <n v="3383.99"/>
    <x v="19"/>
    <n v="3383.99"/>
    <x v="7"/>
  </r>
  <r>
    <x v="16"/>
    <s v="Stefan Zaugg"/>
    <x v="0"/>
    <x v="36"/>
    <x v="36"/>
    <n v="14"/>
    <s v="METRE"/>
    <n v="0"/>
    <n v="0"/>
    <n v="0"/>
    <n v="58"/>
    <n v="200"/>
    <n v="232.57999999999998"/>
    <n v="4.01"/>
    <x v="18"/>
    <n v="56.14"/>
    <x v="5"/>
  </r>
  <r>
    <x v="14"/>
    <s v="Stefan Zaugg"/>
    <x v="0"/>
    <x v="36"/>
    <x v="36"/>
    <n v="14"/>
    <s v="METRE"/>
    <n v="0"/>
    <n v="0"/>
    <n v="0"/>
    <n v="58"/>
    <n v="200"/>
    <n v="232.57999999999998"/>
    <n v="4.01"/>
    <x v="18"/>
    <n v="56.14"/>
    <x v="5"/>
  </r>
  <r>
    <x v="13"/>
    <s v="Matteo Giolo"/>
    <x v="0"/>
    <x v="36"/>
    <x v="36"/>
    <n v="14"/>
    <s v="METRE"/>
    <n v="0"/>
    <n v="0"/>
    <n v="0"/>
    <n v="58"/>
    <n v="200"/>
    <n v="232.57999999999998"/>
    <n v="4.01"/>
    <x v="18"/>
    <n v="56.14"/>
    <x v="5"/>
  </r>
  <r>
    <x v="19"/>
    <s v="Volkan Batkan"/>
    <x v="0"/>
    <x v="38"/>
    <x v="38"/>
    <n v="2"/>
    <s v="ADET"/>
    <n v="0"/>
    <n v="239"/>
    <n v="90"/>
    <n v="-201"/>
    <n v="0"/>
    <n v="0"/>
    <n v="4"/>
    <x v="20"/>
    <n v="8"/>
    <x v="7"/>
  </r>
  <r>
    <x v="17"/>
    <s v="Murat Taşdemir"/>
    <x v="0"/>
    <x v="38"/>
    <x v="38"/>
    <n v="2"/>
    <s v="ADET"/>
    <n v="0"/>
    <n v="239"/>
    <n v="90"/>
    <n v="-201"/>
    <n v="0"/>
    <n v="0"/>
    <n v="4"/>
    <x v="20"/>
    <n v="8"/>
    <x v="7"/>
  </r>
  <r>
    <x v="17"/>
    <s v="Murat Taşdemir"/>
    <x v="0"/>
    <x v="39"/>
    <x v="39"/>
    <n v="115"/>
    <s v="ADET"/>
    <n v="0"/>
    <n v="3000"/>
    <n v="1048"/>
    <n v="-967"/>
    <n v="0"/>
    <n v="0"/>
    <n v="2.92"/>
    <x v="21"/>
    <n v="335.8"/>
    <x v="2"/>
  </r>
  <r>
    <x v="1"/>
    <s v="Stina Alm"/>
    <x v="0"/>
    <x v="57"/>
    <x v="57"/>
    <n v="7"/>
    <s v="ADET"/>
    <n v="0"/>
    <n v="2200"/>
    <n v="0"/>
    <n v="-1626"/>
    <n v="0"/>
    <n v="0"/>
    <n v="0.7"/>
    <x v="14"/>
    <n v="4.8999999999999995"/>
    <x v="2"/>
  </r>
  <r>
    <x v="15"/>
    <s v="Jan Urbanek"/>
    <x v="0"/>
    <x v="36"/>
    <x v="36"/>
    <n v="14"/>
    <s v="METRE"/>
    <n v="0"/>
    <n v="0"/>
    <n v="0"/>
    <n v="58"/>
    <n v="200"/>
    <n v="232.57999999999998"/>
    <n v="4.01"/>
    <x v="18"/>
    <n v="56.14"/>
    <x v="5"/>
  </r>
  <r>
    <x v="6"/>
    <s v="Laurent MONTAGNER"/>
    <x v="0"/>
    <x v="57"/>
    <x v="57"/>
    <n v="7"/>
    <s v="ADET"/>
    <n v="0"/>
    <n v="2200"/>
    <n v="0"/>
    <n v="-1626"/>
    <n v="0"/>
    <n v="0"/>
    <n v="0.7"/>
    <x v="14"/>
    <n v="4.8999999999999995"/>
    <x v="2"/>
  </r>
  <r>
    <x v="6"/>
    <s v="Laurent MONTAGNER"/>
    <x v="0"/>
    <x v="58"/>
    <x v="58"/>
    <n v="8.91"/>
    <s v="ADET"/>
    <n v="0"/>
    <n v="96"/>
    <n v="195.44000000000014"/>
    <n v="63.319999999999951"/>
    <n v="0"/>
    <n v="8163.8475999999937"/>
    <n v="128.93"/>
    <x v="29"/>
    <n v="1148.7663"/>
    <x v="2"/>
  </r>
  <r>
    <x v="0"/>
    <s v="Soner Kayıkçı"/>
    <x v="0"/>
    <x v="59"/>
    <x v="59"/>
    <n v="1"/>
    <s v="M2"/>
    <n v="0"/>
    <n v="40"/>
    <n v="20"/>
    <n v="-35.625"/>
    <n v="0"/>
    <n v="0"/>
    <n v="54.17"/>
    <x v="30"/>
    <n v="54.17"/>
    <x v="3"/>
  </r>
  <r>
    <x v="4"/>
    <s v="Stefan Zaugg"/>
    <x v="0"/>
    <x v="36"/>
    <x v="36"/>
    <n v="14"/>
    <s v="METRE"/>
    <n v="0"/>
    <n v="0"/>
    <n v="0"/>
    <n v="58"/>
    <n v="200"/>
    <n v="232.57999999999998"/>
    <n v="4.01"/>
    <x v="18"/>
    <n v="56.14"/>
    <x v="5"/>
  </r>
  <r>
    <x v="5"/>
    <s v="Matteo Giolo"/>
    <x v="0"/>
    <x v="36"/>
    <x v="36"/>
    <n v="14"/>
    <s v="METRE"/>
    <n v="0"/>
    <n v="0"/>
    <n v="0"/>
    <n v="58"/>
    <n v="200"/>
    <n v="232.57999999999998"/>
    <n v="4.01"/>
    <x v="18"/>
    <n v="56.14"/>
    <x v="5"/>
  </r>
  <r>
    <x v="4"/>
    <s v="Stefan Zaugg"/>
    <x v="0"/>
    <x v="38"/>
    <x v="38"/>
    <n v="2"/>
    <s v="ADET"/>
    <n v="0"/>
    <n v="239"/>
    <n v="90"/>
    <n v="-201"/>
    <n v="0"/>
    <n v="0"/>
    <n v="4"/>
    <x v="20"/>
    <n v="8"/>
    <x v="7"/>
  </r>
  <r>
    <x v="3"/>
    <s v="Stina Alm"/>
    <x v="0"/>
    <x v="38"/>
    <x v="38"/>
    <n v="2"/>
    <s v="ADET"/>
    <n v="0"/>
    <n v="239"/>
    <n v="90"/>
    <n v="-201"/>
    <n v="0"/>
    <n v="0"/>
    <n v="4"/>
    <x v="20"/>
    <n v="8"/>
    <x v="7"/>
  </r>
  <r>
    <x v="5"/>
    <s v="Matteo Giolo"/>
    <x v="0"/>
    <x v="39"/>
    <x v="39"/>
    <n v="106"/>
    <s v="ADET"/>
    <n v="0"/>
    <n v="3000"/>
    <n v="1048"/>
    <n v="-967"/>
    <n v="0"/>
    <n v="0"/>
    <n v="2.92"/>
    <x v="21"/>
    <n v="309.52"/>
    <x v="2"/>
  </r>
  <r>
    <x v="19"/>
    <s v="Volkan Batkan"/>
    <x v="0"/>
    <x v="40"/>
    <x v="40"/>
    <n v="2"/>
    <s v="ADET"/>
    <n v="0"/>
    <n v="35"/>
    <n v="8"/>
    <n v="-29"/>
    <n v="0"/>
    <n v="0"/>
    <n v="94.17"/>
    <x v="22"/>
    <n v="188.34"/>
    <x v="0"/>
  </r>
  <r>
    <x v="16"/>
    <s v="Stefan Zaugg"/>
    <x v="0"/>
    <x v="40"/>
    <x v="40"/>
    <n v="2"/>
    <s v="ADET"/>
    <n v="0"/>
    <n v="35"/>
    <n v="8"/>
    <n v="-29"/>
    <n v="0"/>
    <n v="0"/>
    <n v="94.17"/>
    <x v="22"/>
    <n v="188.34"/>
    <x v="0"/>
  </r>
  <r>
    <x v="14"/>
    <s v="Stefan Zaugg"/>
    <x v="0"/>
    <x v="60"/>
    <x v="60"/>
    <n v="3"/>
    <s v="METRE"/>
    <n v="0"/>
    <n v="0"/>
    <n v="0"/>
    <n v="3"/>
    <n v="0"/>
    <n v="288"/>
    <n v="96"/>
    <x v="5"/>
    <n v="288"/>
    <x v="5"/>
  </r>
  <r>
    <x v="16"/>
    <s v="Stefan Zaugg"/>
    <x v="0"/>
    <x v="38"/>
    <x v="38"/>
    <n v="2"/>
    <s v="ADET"/>
    <n v="0"/>
    <n v="239"/>
    <n v="90"/>
    <n v="-201"/>
    <n v="0"/>
    <n v="0"/>
    <n v="4"/>
    <x v="20"/>
    <n v="8"/>
    <x v="7"/>
  </r>
  <r>
    <x v="15"/>
    <s v="Jan Urbanek"/>
    <x v="0"/>
    <x v="37"/>
    <x v="37"/>
    <n v="1"/>
    <s v="ADET"/>
    <n v="0"/>
    <n v="7"/>
    <n v="10"/>
    <n v="6"/>
    <n v="0"/>
    <n v="20303.939999999999"/>
    <n v="3383.99"/>
    <x v="19"/>
    <n v="3383.99"/>
    <x v="7"/>
  </r>
  <r>
    <x v="14"/>
    <s v="Stefan Zaugg"/>
    <x v="0"/>
    <x v="37"/>
    <x v="37"/>
    <n v="1"/>
    <s v="ADET"/>
    <n v="1"/>
    <n v="7"/>
    <n v="10"/>
    <n v="6"/>
    <n v="0"/>
    <n v="20303.939999999999"/>
    <n v="3383.99"/>
    <x v="19"/>
    <n v="3383.99"/>
    <x v="7"/>
  </r>
  <r>
    <x v="19"/>
    <s v="Volkan Batkan"/>
    <x v="0"/>
    <x v="39"/>
    <x v="39"/>
    <n v="135"/>
    <s v="ADET"/>
    <n v="0"/>
    <n v="3000"/>
    <n v="1048"/>
    <n v="-967"/>
    <n v="0"/>
    <n v="0"/>
    <n v="2.92"/>
    <x v="21"/>
    <n v="394.2"/>
    <x v="2"/>
  </r>
  <r>
    <x v="16"/>
    <s v="Stefan Zaugg"/>
    <x v="0"/>
    <x v="39"/>
    <x v="39"/>
    <n v="66"/>
    <s v="ADET"/>
    <n v="0"/>
    <n v="3000"/>
    <n v="1048"/>
    <n v="-967"/>
    <n v="0"/>
    <n v="0"/>
    <n v="2.92"/>
    <x v="21"/>
    <n v="192.72"/>
    <x v="2"/>
  </r>
  <r>
    <x v="14"/>
    <s v="Stefan Zaugg"/>
    <x v="0"/>
    <x v="39"/>
    <x v="39"/>
    <n v="50"/>
    <s v="ADET"/>
    <n v="0"/>
    <n v="3000"/>
    <n v="1048"/>
    <n v="-967"/>
    <n v="0"/>
    <n v="0"/>
    <n v="2.92"/>
    <x v="21"/>
    <n v="146"/>
    <x v="2"/>
  </r>
  <r>
    <x v="0"/>
    <s v="Soner Kayıkçı"/>
    <x v="0"/>
    <x v="57"/>
    <x v="57"/>
    <n v="45"/>
    <s v="ADET"/>
    <n v="0"/>
    <n v="2200"/>
    <n v="0"/>
    <n v="-1626"/>
    <n v="0"/>
    <n v="0"/>
    <n v="0.7"/>
    <x v="14"/>
    <n v="31.499999999999996"/>
    <x v="2"/>
  </r>
  <r>
    <x v="1"/>
    <s v="Stina Alm"/>
    <x v="0"/>
    <x v="58"/>
    <x v="58"/>
    <n v="11.199999999999998"/>
    <s v="ADET"/>
    <n v="0"/>
    <n v="96"/>
    <n v="195.44000000000014"/>
    <n v="63.319999999999951"/>
    <n v="0"/>
    <n v="8163.8475999999937"/>
    <n v="128.93"/>
    <x v="29"/>
    <n v="1444.0159999999998"/>
    <x v="2"/>
  </r>
  <r>
    <x v="1"/>
    <s v="Stina Alm"/>
    <x v="0"/>
    <x v="59"/>
    <x v="59"/>
    <n v="0.125"/>
    <s v="M2"/>
    <n v="0"/>
    <n v="40"/>
    <n v="20"/>
    <n v="-35.625"/>
    <n v="0"/>
    <n v="0"/>
    <n v="54.17"/>
    <x v="30"/>
    <n v="6.7712500000000002"/>
    <x v="3"/>
  </r>
  <r>
    <x v="19"/>
    <s v="Volkan Batkan"/>
    <x v="0"/>
    <x v="57"/>
    <x v="57"/>
    <n v="45"/>
    <s v="ADET"/>
    <n v="0"/>
    <n v="2200"/>
    <n v="0"/>
    <n v="-1626"/>
    <n v="0"/>
    <n v="0"/>
    <n v="0.7"/>
    <x v="14"/>
    <n v="31.499999999999996"/>
    <x v="2"/>
  </r>
  <r>
    <x v="16"/>
    <s v="Stefan Zaugg"/>
    <x v="0"/>
    <x v="57"/>
    <x v="57"/>
    <n v="40"/>
    <s v="ADET"/>
    <n v="0"/>
    <n v="2200"/>
    <n v="0"/>
    <n v="-1626"/>
    <n v="0"/>
    <n v="0"/>
    <n v="0.7"/>
    <x v="14"/>
    <n v="28"/>
    <x v="2"/>
  </r>
  <r>
    <x v="14"/>
    <s v="Stefan Zaugg"/>
    <x v="0"/>
    <x v="57"/>
    <x v="57"/>
    <n v="40"/>
    <s v="ADET"/>
    <n v="0"/>
    <n v="2200"/>
    <n v="0"/>
    <n v="-1626"/>
    <n v="0"/>
    <n v="0"/>
    <n v="0.7"/>
    <x v="14"/>
    <n v="28"/>
    <x v="2"/>
  </r>
  <r>
    <x v="13"/>
    <s v="Matteo Giolo"/>
    <x v="0"/>
    <x v="57"/>
    <x v="57"/>
    <n v="7"/>
    <s v="ADET"/>
    <n v="0"/>
    <n v="2200"/>
    <n v="0"/>
    <n v="-1626"/>
    <n v="0"/>
    <n v="0"/>
    <n v="0.7"/>
    <x v="14"/>
    <n v="4.8999999999999995"/>
    <x v="2"/>
  </r>
  <r>
    <x v="15"/>
    <s v="Jan Urbanek"/>
    <x v="0"/>
    <x v="61"/>
    <x v="61"/>
    <n v="1"/>
    <s v="ADET"/>
    <n v="0"/>
    <n v="13"/>
    <n v="4"/>
    <n v="-6"/>
    <n v="0"/>
    <n v="0"/>
    <n v="1250"/>
    <x v="31"/>
    <n v="1250"/>
    <x v="6"/>
  </r>
  <r>
    <x v="13"/>
    <s v="Matteo Giolo"/>
    <x v="0"/>
    <x v="61"/>
    <x v="61"/>
    <n v="1"/>
    <s v="ADET"/>
    <n v="0"/>
    <n v="13"/>
    <n v="4"/>
    <n v="-6"/>
    <n v="0"/>
    <n v="0"/>
    <n v="1250"/>
    <x v="31"/>
    <n v="1250"/>
    <x v="6"/>
  </r>
  <r>
    <x v="11"/>
    <s v="Jan Urbanek"/>
    <x v="0"/>
    <x v="57"/>
    <x v="57"/>
    <n v="45"/>
    <s v="ADET"/>
    <n v="0"/>
    <n v="2200"/>
    <n v="0"/>
    <n v="-1626"/>
    <n v="0"/>
    <n v="0"/>
    <n v="0.7"/>
    <x v="14"/>
    <n v="31.499999999999996"/>
    <x v="2"/>
  </r>
  <r>
    <x v="11"/>
    <s v="Jan Urbanek"/>
    <x v="0"/>
    <x v="62"/>
    <x v="62"/>
    <n v="1"/>
    <s v="ADET"/>
    <n v="0"/>
    <n v="11"/>
    <n v="1"/>
    <n v="-4"/>
    <n v="0"/>
    <n v="0"/>
    <n v="582.5"/>
    <x v="21"/>
    <n v="582.5"/>
    <x v="6"/>
  </r>
  <r>
    <x v="1"/>
    <s v="Stina Alm"/>
    <x v="0"/>
    <x v="63"/>
    <x v="63"/>
    <n v="5.49"/>
    <s v="KG"/>
    <n v="0"/>
    <n v="0"/>
    <n v="233.6899999999996"/>
    <n v="63.129999999999995"/>
    <n v="0"/>
    <n v="6403.9071999999996"/>
    <n v="101.44"/>
    <x v="3"/>
    <n v="556.90560000000005"/>
    <x v="3"/>
  </r>
  <r>
    <x v="0"/>
    <s v="Soner Kayıkçı"/>
    <x v="0"/>
    <x v="58"/>
    <x v="58"/>
    <n v="7.2999999999999989"/>
    <s v="ADET"/>
    <n v="0"/>
    <n v="96"/>
    <n v="195.44000000000014"/>
    <n v="63.319999999999951"/>
    <n v="0"/>
    <n v="8163.8475999999937"/>
    <n v="128.93"/>
    <x v="29"/>
    <n v="941.18899999999996"/>
    <x v="2"/>
  </r>
  <r>
    <x v="2"/>
    <s v="Laurent MONTAGNER"/>
    <x v="0"/>
    <x v="58"/>
    <x v="58"/>
    <n v="9.0500000000000007"/>
    <s v="ADET"/>
    <n v="0"/>
    <n v="96"/>
    <n v="195.44000000000014"/>
    <n v="63.319999999999951"/>
    <n v="0"/>
    <n v="8163.8475999999937"/>
    <n v="128.93"/>
    <x v="29"/>
    <n v="1166.8165000000001"/>
    <x v="2"/>
  </r>
  <r>
    <x v="8"/>
    <s v="Jan Urbanek"/>
    <x v="0"/>
    <x v="64"/>
    <x v="64"/>
    <n v="0.05"/>
    <s v="ADET"/>
    <n v="0"/>
    <n v="0"/>
    <n v="1.929999999999999"/>
    <n v="1.2600000000000005"/>
    <n v="0"/>
    <n v="1921.5000000000007"/>
    <n v="1525"/>
    <x v="14"/>
    <n v="76.25"/>
    <x v="2"/>
  </r>
  <r>
    <x v="10"/>
    <s v="Jan Urbanek"/>
    <x v="0"/>
    <x v="65"/>
    <x v="65"/>
    <n v="1"/>
    <s v="ADET"/>
    <n v="0"/>
    <n v="14"/>
    <n v="1"/>
    <n v="-7"/>
    <n v="0"/>
    <n v="0"/>
    <n v="458.33"/>
    <x v="21"/>
    <n v="458.33"/>
    <x v="6"/>
  </r>
  <r>
    <x v="3"/>
    <s v="Stina Alm"/>
    <x v="0"/>
    <x v="66"/>
    <x v="66"/>
    <n v="1"/>
    <s v="ADET"/>
    <n v="0"/>
    <n v="13"/>
    <n v="6"/>
    <n v="-10"/>
    <n v="0"/>
    <n v="0"/>
    <n v="344.14"/>
    <x v="32"/>
    <n v="344.14"/>
    <x v="2"/>
  </r>
  <r>
    <x v="7"/>
    <s v="Laurent MONTAGNER"/>
    <x v="0"/>
    <x v="64"/>
    <x v="64"/>
    <n v="0.1"/>
    <s v="ADET"/>
    <n v="0"/>
    <n v="0"/>
    <n v="1.929999999999999"/>
    <n v="1.2600000000000005"/>
    <n v="0"/>
    <n v="1921.5000000000007"/>
    <n v="1525"/>
    <x v="14"/>
    <n v="152.5"/>
    <x v="2"/>
  </r>
  <r>
    <x v="4"/>
    <s v="Stefan Zaugg"/>
    <x v="0"/>
    <x v="64"/>
    <x v="64"/>
    <n v="0.05"/>
    <s v="ADET"/>
    <n v="0"/>
    <n v="0"/>
    <n v="1.929999999999999"/>
    <n v="1.2600000000000005"/>
    <n v="0"/>
    <n v="1921.5000000000007"/>
    <n v="1525"/>
    <x v="14"/>
    <n v="76.25"/>
    <x v="2"/>
  </r>
  <r>
    <x v="0"/>
    <s v="Soner Kayıkçı"/>
    <x v="0"/>
    <x v="65"/>
    <x v="65"/>
    <n v="1"/>
    <s v="ADET"/>
    <n v="0"/>
    <n v="14"/>
    <n v="1"/>
    <n v="-7"/>
    <n v="0"/>
    <n v="0"/>
    <n v="458.33"/>
    <x v="21"/>
    <n v="458.33"/>
    <x v="6"/>
  </r>
  <r>
    <x v="10"/>
    <s v="Jan Urbanek"/>
    <x v="0"/>
    <x v="64"/>
    <x v="64"/>
    <n v="0.05"/>
    <s v="ADET"/>
    <n v="0"/>
    <n v="0"/>
    <n v="1.929999999999999"/>
    <n v="1.2600000000000005"/>
    <n v="0"/>
    <n v="1921.5000000000007"/>
    <n v="1525"/>
    <x v="14"/>
    <n v="76.25"/>
    <x v="2"/>
  </r>
  <r>
    <x v="5"/>
    <s v="Matteo Giolo"/>
    <x v="0"/>
    <x v="64"/>
    <x v="64"/>
    <n v="0.11000000000000001"/>
    <s v="ADET"/>
    <n v="0"/>
    <n v="0"/>
    <n v="1.929999999999999"/>
    <n v="1.2600000000000005"/>
    <n v="0"/>
    <n v="1921.5000000000007"/>
    <n v="1525"/>
    <x v="14"/>
    <n v="167.75000000000003"/>
    <x v="2"/>
  </r>
  <r>
    <x v="1"/>
    <s v="Stina Alm"/>
    <x v="0"/>
    <x v="66"/>
    <x v="66"/>
    <n v="1"/>
    <s v="ADET"/>
    <n v="0"/>
    <n v="13"/>
    <n v="6"/>
    <n v="-10"/>
    <n v="0"/>
    <n v="0"/>
    <n v="344.14"/>
    <x v="32"/>
    <n v="344.14"/>
    <x v="2"/>
  </r>
  <r>
    <x v="9"/>
    <s v="Jan Urbanek"/>
    <x v="0"/>
    <x v="65"/>
    <x v="65"/>
    <n v="1"/>
    <s v="ADET"/>
    <n v="0"/>
    <n v="14"/>
    <n v="1"/>
    <n v="-7"/>
    <n v="0"/>
    <n v="0"/>
    <n v="458.33"/>
    <x v="21"/>
    <n v="458.33"/>
    <x v="6"/>
  </r>
  <r>
    <x v="8"/>
    <s v="Jan Urbanek"/>
    <x v="0"/>
    <x v="65"/>
    <x v="65"/>
    <n v="1"/>
    <s v="ADET"/>
    <n v="0"/>
    <n v="14"/>
    <n v="1"/>
    <n v="-7"/>
    <n v="0"/>
    <n v="0"/>
    <n v="458.33"/>
    <x v="21"/>
    <n v="458.33"/>
    <x v="6"/>
  </r>
  <r>
    <x v="12"/>
    <s v="Matteo Giolo"/>
    <x v="0"/>
    <x v="65"/>
    <x v="65"/>
    <n v="1"/>
    <s v="ADET"/>
    <n v="0"/>
    <n v="14"/>
    <n v="1"/>
    <n v="-7"/>
    <n v="0"/>
    <n v="0"/>
    <n v="458.33"/>
    <x v="21"/>
    <n v="458.33"/>
    <x v="6"/>
  </r>
  <r>
    <x v="6"/>
    <s v="Laurent MONTAGNER"/>
    <x v="0"/>
    <x v="64"/>
    <x v="64"/>
    <n v="0.1"/>
    <s v="ADET"/>
    <n v="0"/>
    <n v="0"/>
    <n v="1.929999999999999"/>
    <n v="1.2600000000000005"/>
    <n v="0"/>
    <n v="1921.5000000000007"/>
    <n v="1525"/>
    <x v="14"/>
    <n v="152.5"/>
    <x v="2"/>
  </r>
  <r>
    <x v="0"/>
    <s v="Soner Kayıkçı"/>
    <x v="0"/>
    <x v="64"/>
    <x v="64"/>
    <n v="0.05"/>
    <s v="ADET"/>
    <n v="0"/>
    <n v="0"/>
    <n v="1.929999999999999"/>
    <n v="1.2600000000000005"/>
    <n v="0"/>
    <n v="1921.5000000000007"/>
    <n v="1525"/>
    <x v="14"/>
    <n v="76.25"/>
    <x v="2"/>
  </r>
  <r>
    <x v="11"/>
    <s v="Jan Urbanek"/>
    <x v="0"/>
    <x v="64"/>
    <x v="64"/>
    <n v="0.05"/>
    <s v="ADET"/>
    <n v="0"/>
    <n v="0"/>
    <n v="1.929999999999999"/>
    <n v="1.2600000000000005"/>
    <n v="0"/>
    <n v="1921.5000000000007"/>
    <n v="1525"/>
    <x v="14"/>
    <n v="76.25"/>
    <x v="2"/>
  </r>
  <r>
    <x v="12"/>
    <s v="Matteo Giolo"/>
    <x v="0"/>
    <x v="64"/>
    <x v="64"/>
    <n v="0.05"/>
    <s v="ADET"/>
    <n v="0"/>
    <n v="0"/>
    <n v="1.929999999999999"/>
    <n v="1.2600000000000005"/>
    <n v="0"/>
    <n v="1921.5000000000007"/>
    <n v="1525"/>
    <x v="14"/>
    <n v="76.25"/>
    <x v="2"/>
  </r>
  <r>
    <x v="15"/>
    <s v="Jan Urbanek"/>
    <x v="0"/>
    <x v="64"/>
    <x v="64"/>
    <n v="0.05"/>
    <s v="ADET"/>
    <n v="0"/>
    <n v="0"/>
    <n v="1.929999999999999"/>
    <n v="1.2600000000000005"/>
    <n v="0"/>
    <n v="1921.5000000000007"/>
    <n v="1525"/>
    <x v="14"/>
    <n v="76.25"/>
    <x v="2"/>
  </r>
  <r>
    <x v="18"/>
    <s v="Hayriye Güven"/>
    <x v="0"/>
    <x v="67"/>
    <x v="67"/>
    <n v="3.4499999999999997"/>
    <s v="KG"/>
    <n v="0"/>
    <n v="0"/>
    <n v="0"/>
    <n v="3.4499999999999997"/>
    <n v="0"/>
    <n v="399.44099999999997"/>
    <n v="115.78"/>
    <x v="3"/>
    <n v="399.44099999999997"/>
    <x v="3"/>
  </r>
  <r>
    <x v="17"/>
    <s v="Murat Taşdemir"/>
    <x v="0"/>
    <x v="68"/>
    <x v="68"/>
    <n v="125.66"/>
    <s v="KG"/>
    <n v="125.66"/>
    <n v="-690"/>
    <n v="2123.619999999999"/>
    <n v="1819.8699999999994"/>
    <n v="0"/>
    <n v="172651.06689999995"/>
    <n v="94.87"/>
    <x v="3"/>
    <n v="11921.3642"/>
    <x v="3"/>
  </r>
  <r>
    <x v="18"/>
    <s v="Hayriye Güven"/>
    <x v="0"/>
    <x v="68"/>
    <x v="68"/>
    <n v="47.8"/>
    <s v="KG"/>
    <n v="0"/>
    <n v="-690"/>
    <n v="2123.619999999999"/>
    <n v="1819.8699999999994"/>
    <n v="0"/>
    <n v="172651.06689999995"/>
    <n v="94.87"/>
    <x v="3"/>
    <n v="4534.7860000000001"/>
    <x v="3"/>
  </r>
  <r>
    <x v="19"/>
    <s v="Volkan Batkan"/>
    <x v="0"/>
    <x v="64"/>
    <x v="64"/>
    <n v="0.05"/>
    <s v="ADET"/>
    <n v="0"/>
    <n v="0"/>
    <n v="1.929999999999999"/>
    <n v="1.2600000000000005"/>
    <n v="0"/>
    <n v="1921.5000000000007"/>
    <n v="1525"/>
    <x v="14"/>
    <n v="76.25"/>
    <x v="2"/>
  </r>
  <r>
    <x v="15"/>
    <s v="Jan Urbanek"/>
    <x v="0"/>
    <x v="69"/>
    <x v="69"/>
    <n v="0.01"/>
    <s v="ADET"/>
    <n v="0"/>
    <n v="6"/>
    <n v="22.530000000000012"/>
    <n v="-5.5"/>
    <n v="0"/>
    <n v="0"/>
    <n v="133"/>
    <x v="33"/>
    <n v="1.33"/>
    <x v="3"/>
  </r>
  <r>
    <x v="16"/>
    <s v="Stefan Zaugg"/>
    <x v="0"/>
    <x v="70"/>
    <x v="70"/>
    <n v="6"/>
    <s v="ADET"/>
    <n v="0"/>
    <n v="84"/>
    <n v="36"/>
    <n v="22"/>
    <n v="0"/>
    <n v="440"/>
    <n v="20"/>
    <x v="14"/>
    <n v="120"/>
    <x v="4"/>
  </r>
  <r>
    <x v="17"/>
    <s v="Murat Taşdemir"/>
    <x v="0"/>
    <x v="70"/>
    <x v="70"/>
    <n v="6"/>
    <s v="ADET"/>
    <n v="0"/>
    <n v="84"/>
    <n v="36"/>
    <n v="22"/>
    <n v="0"/>
    <n v="440"/>
    <n v="20"/>
    <x v="14"/>
    <n v="120"/>
    <x v="4"/>
  </r>
  <r>
    <x v="11"/>
    <s v="Jan Urbanek"/>
    <x v="0"/>
    <x v="71"/>
    <x v="71"/>
    <n v="5"/>
    <s v="ADET"/>
    <n v="0"/>
    <n v="15"/>
    <n v="10"/>
    <n v="20"/>
    <n v="0"/>
    <n v="3545.7999999999997"/>
    <n v="177.29"/>
    <x v="34"/>
    <n v="886.44999999999993"/>
    <x v="2"/>
  </r>
  <r>
    <x v="11"/>
    <s v="Jan Urbanek"/>
    <x v="0"/>
    <x v="72"/>
    <x v="72"/>
    <n v="20"/>
    <s v="ADET"/>
    <n v="0"/>
    <n v="500"/>
    <n v="490"/>
    <n v="-294"/>
    <n v="0"/>
    <n v="0"/>
    <n v="1.6"/>
    <x v="14"/>
    <n v="32"/>
    <x v="2"/>
  </r>
  <r>
    <x v="12"/>
    <s v="Matteo Giolo"/>
    <x v="0"/>
    <x v="71"/>
    <x v="71"/>
    <n v="5"/>
    <s v="ADET"/>
    <n v="0"/>
    <n v="15"/>
    <n v="10"/>
    <n v="20"/>
    <n v="0"/>
    <n v="3545.7999999999997"/>
    <n v="177.29"/>
    <x v="34"/>
    <n v="886.44999999999993"/>
    <x v="2"/>
  </r>
  <r>
    <x v="12"/>
    <s v="Matteo Giolo"/>
    <x v="0"/>
    <x v="72"/>
    <x v="72"/>
    <n v="12"/>
    <s v="ADET"/>
    <n v="0"/>
    <n v="500"/>
    <n v="490"/>
    <n v="-294"/>
    <n v="0"/>
    <n v="0"/>
    <n v="1.6"/>
    <x v="14"/>
    <n v="19.200000000000003"/>
    <x v="2"/>
  </r>
  <r>
    <x v="9"/>
    <s v="Jan Urbanek"/>
    <x v="0"/>
    <x v="72"/>
    <x v="72"/>
    <n v="20"/>
    <s v="ADET"/>
    <n v="0"/>
    <n v="500"/>
    <n v="490"/>
    <n v="-294"/>
    <n v="0"/>
    <n v="0"/>
    <n v="1.6"/>
    <x v="14"/>
    <n v="32"/>
    <x v="2"/>
  </r>
  <r>
    <x v="0"/>
    <s v="Soner Kayıkçı"/>
    <x v="0"/>
    <x v="71"/>
    <x v="71"/>
    <n v="5"/>
    <s v="ADET"/>
    <n v="0"/>
    <n v="15"/>
    <n v="10"/>
    <n v="20"/>
    <n v="0"/>
    <n v="3545.7999999999997"/>
    <n v="177.29"/>
    <x v="34"/>
    <n v="886.44999999999993"/>
    <x v="2"/>
  </r>
  <r>
    <x v="10"/>
    <s v="Jan Urbanek"/>
    <x v="0"/>
    <x v="71"/>
    <x v="71"/>
    <n v="5"/>
    <s v="ADET"/>
    <n v="0"/>
    <n v="15"/>
    <n v="10"/>
    <n v="20"/>
    <n v="0"/>
    <n v="3545.7999999999997"/>
    <n v="177.29"/>
    <x v="34"/>
    <n v="886.44999999999993"/>
    <x v="2"/>
  </r>
  <r>
    <x v="4"/>
    <s v="Stefan Zaugg"/>
    <x v="0"/>
    <x v="73"/>
    <x v="73"/>
    <n v="4"/>
    <s v="ADET"/>
    <n v="0"/>
    <n v="634"/>
    <n v="0"/>
    <n v="-618"/>
    <n v="0"/>
    <n v="0"/>
    <n v="1"/>
    <x v="14"/>
    <n v="4"/>
    <x v="2"/>
  </r>
  <r>
    <x v="4"/>
    <s v="Stefan Zaugg"/>
    <x v="0"/>
    <x v="72"/>
    <x v="72"/>
    <n v="16"/>
    <s v="ADET"/>
    <n v="0"/>
    <n v="500"/>
    <n v="490"/>
    <n v="-294"/>
    <n v="0"/>
    <n v="0"/>
    <n v="1.6"/>
    <x v="14"/>
    <n v="25.6"/>
    <x v="2"/>
  </r>
  <r>
    <x v="5"/>
    <s v="Matteo Giolo"/>
    <x v="0"/>
    <x v="72"/>
    <x v="72"/>
    <n v="4"/>
    <s v="ADET"/>
    <n v="0"/>
    <n v="500"/>
    <n v="490"/>
    <n v="-294"/>
    <n v="0"/>
    <n v="0"/>
    <n v="1.6"/>
    <x v="14"/>
    <n v="6.4"/>
    <x v="2"/>
  </r>
  <r>
    <x v="1"/>
    <s v="Stina Alm"/>
    <x v="0"/>
    <x v="72"/>
    <x v="72"/>
    <n v="8"/>
    <s v="ADET"/>
    <n v="0"/>
    <n v="500"/>
    <n v="490"/>
    <n v="-294"/>
    <n v="0"/>
    <n v="0"/>
    <n v="1.6"/>
    <x v="14"/>
    <n v="12.8"/>
    <x v="2"/>
  </r>
  <r>
    <x v="8"/>
    <s v="Jan Urbanek"/>
    <x v="0"/>
    <x v="71"/>
    <x v="71"/>
    <n v="5"/>
    <s v="ADET"/>
    <n v="0"/>
    <n v="15"/>
    <n v="10"/>
    <n v="20"/>
    <n v="0"/>
    <n v="3545.7999999999997"/>
    <n v="177.29"/>
    <x v="34"/>
    <n v="886.44999999999993"/>
    <x v="2"/>
  </r>
  <r>
    <x v="9"/>
    <s v="Jan Urbanek"/>
    <x v="0"/>
    <x v="71"/>
    <x v="71"/>
    <n v="5"/>
    <s v="ADET"/>
    <n v="0"/>
    <n v="15"/>
    <n v="10"/>
    <n v="20"/>
    <n v="0"/>
    <n v="3545.7999999999997"/>
    <n v="177.29"/>
    <x v="34"/>
    <n v="886.44999999999993"/>
    <x v="2"/>
  </r>
  <r>
    <x v="10"/>
    <s v="Jan Urbanek"/>
    <x v="0"/>
    <x v="72"/>
    <x v="72"/>
    <n v="16"/>
    <s v="ADET"/>
    <n v="0"/>
    <n v="500"/>
    <n v="490"/>
    <n v="-294"/>
    <n v="0"/>
    <n v="0"/>
    <n v="1.6"/>
    <x v="14"/>
    <n v="25.6"/>
    <x v="2"/>
  </r>
  <r>
    <x v="8"/>
    <s v="Jan Urbanek"/>
    <x v="0"/>
    <x v="72"/>
    <x v="72"/>
    <n v="12"/>
    <s v="ADET"/>
    <n v="0"/>
    <n v="500"/>
    <n v="490"/>
    <n v="-294"/>
    <n v="0"/>
    <n v="0"/>
    <n v="1.6"/>
    <x v="14"/>
    <n v="19.200000000000003"/>
    <x v="2"/>
  </r>
  <r>
    <x v="5"/>
    <s v="Matteo Giolo"/>
    <x v="0"/>
    <x v="74"/>
    <x v="74"/>
    <n v="4.5"/>
    <s v="METRE"/>
    <n v="0"/>
    <n v="50"/>
    <n v="7.1054273576010019E-15"/>
    <n v="-41"/>
    <n v="0"/>
    <n v="0"/>
    <n v="150"/>
    <x v="19"/>
    <n v="675"/>
    <x v="2"/>
  </r>
  <r>
    <x v="7"/>
    <s v="Laurent MONTAGNER"/>
    <x v="0"/>
    <x v="72"/>
    <x v="72"/>
    <n v="4"/>
    <s v="ADET"/>
    <n v="0"/>
    <n v="500"/>
    <n v="490"/>
    <n v="-294"/>
    <n v="0"/>
    <n v="0"/>
    <n v="1.6"/>
    <x v="14"/>
    <n v="6.4"/>
    <x v="2"/>
  </r>
  <r>
    <x v="3"/>
    <s v="Stina Alm"/>
    <x v="0"/>
    <x v="72"/>
    <x v="72"/>
    <n v="12"/>
    <s v="ADET"/>
    <n v="0"/>
    <n v="500"/>
    <n v="490"/>
    <n v="-294"/>
    <n v="0"/>
    <n v="0"/>
    <n v="1.6"/>
    <x v="14"/>
    <n v="19.200000000000003"/>
    <x v="2"/>
  </r>
  <r>
    <x v="0"/>
    <s v="Soner Kayıkçı"/>
    <x v="0"/>
    <x v="72"/>
    <x v="72"/>
    <n v="16"/>
    <s v="ADET"/>
    <n v="0"/>
    <n v="500"/>
    <n v="490"/>
    <n v="-294"/>
    <n v="0"/>
    <n v="0"/>
    <n v="1.6"/>
    <x v="14"/>
    <n v="25.6"/>
    <x v="2"/>
  </r>
  <r>
    <x v="6"/>
    <s v="Laurent MONTAGNER"/>
    <x v="0"/>
    <x v="72"/>
    <x v="72"/>
    <n v="4"/>
    <s v="ADET"/>
    <n v="0"/>
    <n v="500"/>
    <n v="490"/>
    <n v="-294"/>
    <n v="0"/>
    <n v="0"/>
    <n v="1.6"/>
    <x v="14"/>
    <n v="6.4"/>
    <x v="2"/>
  </r>
  <r>
    <x v="17"/>
    <s v="Murat Taşdemir"/>
    <x v="0"/>
    <x v="74"/>
    <x v="74"/>
    <n v="4.5"/>
    <s v="METRE"/>
    <n v="0"/>
    <n v="50"/>
    <n v="7.1054273576010019E-15"/>
    <n v="-41"/>
    <n v="0"/>
    <n v="0"/>
    <n v="150"/>
    <x v="19"/>
    <n v="675"/>
    <x v="2"/>
  </r>
  <r>
    <x v="17"/>
    <s v="Murat Taşdemir"/>
    <x v="0"/>
    <x v="72"/>
    <x v="72"/>
    <n v="6"/>
    <s v="ADET"/>
    <n v="0"/>
    <n v="500"/>
    <n v="490"/>
    <n v="-294"/>
    <n v="0"/>
    <n v="0"/>
    <n v="1.6"/>
    <x v="14"/>
    <n v="9.6000000000000014"/>
    <x v="2"/>
  </r>
  <r>
    <x v="19"/>
    <s v="Volkan Batkan"/>
    <x v="0"/>
    <x v="75"/>
    <x v="75"/>
    <n v="0.5"/>
    <s v="ADET"/>
    <n v="0"/>
    <n v="24"/>
    <n v="-3.5527136788005009E-14"/>
    <n v="-7.600000000000005"/>
    <n v="0"/>
    <n v="0"/>
    <n v="120"/>
    <x v="14"/>
    <n v="60"/>
    <x v="3"/>
  </r>
  <r>
    <x v="16"/>
    <s v="Stefan Zaugg"/>
    <x v="0"/>
    <x v="75"/>
    <x v="75"/>
    <n v="1"/>
    <s v="ADET"/>
    <n v="0"/>
    <n v="24"/>
    <n v="-3.5527136788005009E-14"/>
    <n v="-7.600000000000005"/>
    <n v="0"/>
    <n v="0"/>
    <n v="120"/>
    <x v="14"/>
    <n v="120"/>
    <x v="3"/>
  </r>
  <r>
    <x v="14"/>
    <s v="Stefan Zaugg"/>
    <x v="0"/>
    <x v="75"/>
    <x v="75"/>
    <n v="1"/>
    <s v="ADET"/>
    <n v="0"/>
    <n v="24"/>
    <n v="-3.5527136788005009E-14"/>
    <n v="-7.600000000000005"/>
    <n v="0"/>
    <n v="0"/>
    <n v="120"/>
    <x v="14"/>
    <n v="120"/>
    <x v="3"/>
  </r>
  <r>
    <x v="13"/>
    <s v="Matteo Giolo"/>
    <x v="0"/>
    <x v="75"/>
    <x v="75"/>
    <n v="0.7"/>
    <s v="ADET"/>
    <n v="0"/>
    <n v="24"/>
    <n v="-3.5527136788005009E-14"/>
    <n v="-7.600000000000005"/>
    <n v="0"/>
    <n v="0"/>
    <n v="120"/>
    <x v="14"/>
    <n v="84"/>
    <x v="3"/>
  </r>
  <r>
    <x v="11"/>
    <s v="Jan Urbanek"/>
    <x v="0"/>
    <x v="76"/>
    <x v="76"/>
    <n v="4"/>
    <s v="ADET"/>
    <n v="0"/>
    <n v="37"/>
    <n v="28"/>
    <n v="-3"/>
    <n v="0"/>
    <n v="0"/>
    <n v="122.24"/>
    <x v="13"/>
    <n v="488.96"/>
    <x v="7"/>
  </r>
  <r>
    <x v="11"/>
    <s v="Jan Urbanek"/>
    <x v="0"/>
    <x v="77"/>
    <x v="77"/>
    <n v="8"/>
    <s v="ADET"/>
    <n v="0"/>
    <n v="3750"/>
    <n v="674"/>
    <n v="-3452"/>
    <n v="0"/>
    <n v="0"/>
    <n v="0.2"/>
    <x v="14"/>
    <n v="1.6"/>
    <x v="2"/>
  </r>
  <r>
    <x v="2"/>
    <s v="Laurent MONTAGNER"/>
    <x v="0"/>
    <x v="78"/>
    <x v="78"/>
    <n v="2"/>
    <s v="ADET"/>
    <n v="0"/>
    <n v="0"/>
    <n v="0"/>
    <n v="14"/>
    <n v="0"/>
    <n v="1050"/>
    <n v="75"/>
    <x v="22"/>
    <n v="150"/>
    <x v="0"/>
  </r>
  <r>
    <x v="1"/>
    <s v="Stina Alm"/>
    <x v="0"/>
    <x v="76"/>
    <x v="76"/>
    <n v="2"/>
    <s v="ADET"/>
    <n v="0"/>
    <n v="37"/>
    <n v="28"/>
    <n v="-3"/>
    <n v="0"/>
    <n v="0"/>
    <n v="122.24"/>
    <x v="13"/>
    <n v="244.48"/>
    <x v="7"/>
  </r>
  <r>
    <x v="1"/>
    <s v="Stina Alm"/>
    <x v="0"/>
    <x v="77"/>
    <x v="77"/>
    <n v="18"/>
    <s v="ADET"/>
    <n v="0"/>
    <n v="3750"/>
    <n v="674"/>
    <n v="-3452"/>
    <n v="0"/>
    <n v="0"/>
    <n v="0.2"/>
    <x v="14"/>
    <n v="3.6"/>
    <x v="2"/>
  </r>
  <r>
    <x v="0"/>
    <s v="Soner Kayıkçı"/>
    <x v="0"/>
    <x v="76"/>
    <x v="76"/>
    <n v="4"/>
    <s v="ADET"/>
    <n v="0"/>
    <n v="37"/>
    <n v="28"/>
    <n v="-3"/>
    <n v="0"/>
    <n v="0"/>
    <n v="122.24"/>
    <x v="13"/>
    <n v="488.96"/>
    <x v="7"/>
  </r>
  <r>
    <x v="6"/>
    <s v="Laurent MONTAGNER"/>
    <x v="0"/>
    <x v="77"/>
    <x v="77"/>
    <n v="34"/>
    <s v="ADET"/>
    <n v="0"/>
    <n v="3750"/>
    <n v="674"/>
    <n v="-3452"/>
    <n v="0"/>
    <n v="0"/>
    <n v="0.2"/>
    <x v="14"/>
    <n v="6.8000000000000007"/>
    <x v="2"/>
  </r>
  <r>
    <x v="0"/>
    <s v="Soner Kayıkçı"/>
    <x v="0"/>
    <x v="77"/>
    <x v="77"/>
    <n v="12"/>
    <s v="ADET"/>
    <n v="0"/>
    <n v="3750"/>
    <n v="674"/>
    <n v="-3452"/>
    <n v="0"/>
    <n v="0"/>
    <n v="0.2"/>
    <x v="14"/>
    <n v="2.4000000000000004"/>
    <x v="2"/>
  </r>
  <r>
    <x v="10"/>
    <s v="Jan Urbanek"/>
    <x v="0"/>
    <x v="76"/>
    <x v="76"/>
    <n v="3"/>
    <s v="ADET"/>
    <n v="0"/>
    <n v="37"/>
    <n v="28"/>
    <n v="-3"/>
    <n v="0"/>
    <n v="0"/>
    <n v="122.24"/>
    <x v="13"/>
    <n v="366.71999999999997"/>
    <x v="7"/>
  </r>
  <r>
    <x v="10"/>
    <s v="Jan Urbanek"/>
    <x v="0"/>
    <x v="77"/>
    <x v="77"/>
    <n v="12"/>
    <s v="ADET"/>
    <n v="0"/>
    <n v="3750"/>
    <n v="674"/>
    <n v="-3452"/>
    <n v="0"/>
    <n v="0"/>
    <n v="0.2"/>
    <x v="14"/>
    <n v="2.4000000000000004"/>
    <x v="2"/>
  </r>
  <r>
    <x v="8"/>
    <s v="Jan Urbanek"/>
    <x v="0"/>
    <x v="77"/>
    <x v="77"/>
    <n v="12"/>
    <s v="ADET"/>
    <n v="0"/>
    <n v="3750"/>
    <n v="674"/>
    <n v="-3452"/>
    <n v="0"/>
    <n v="0"/>
    <n v="0.2"/>
    <x v="14"/>
    <n v="2.4000000000000004"/>
    <x v="2"/>
  </r>
  <r>
    <x v="3"/>
    <s v="Stina Alm"/>
    <x v="0"/>
    <x v="78"/>
    <x v="78"/>
    <n v="2"/>
    <s v="ADET"/>
    <n v="0"/>
    <n v="0"/>
    <n v="0"/>
    <n v="14"/>
    <n v="0"/>
    <n v="1050"/>
    <n v="75"/>
    <x v="22"/>
    <n v="150"/>
    <x v="0"/>
  </r>
  <r>
    <x v="7"/>
    <s v="Laurent MONTAGNER"/>
    <x v="0"/>
    <x v="78"/>
    <x v="78"/>
    <n v="2"/>
    <s v="ADET"/>
    <n v="0"/>
    <n v="0"/>
    <n v="0"/>
    <n v="14"/>
    <n v="0"/>
    <n v="1050"/>
    <n v="75"/>
    <x v="22"/>
    <n v="150"/>
    <x v="0"/>
  </r>
  <r>
    <x v="5"/>
    <s v="Matteo Giolo"/>
    <x v="0"/>
    <x v="76"/>
    <x v="76"/>
    <n v="6"/>
    <s v="ADET"/>
    <n v="0"/>
    <n v="37"/>
    <n v="28"/>
    <n v="-3"/>
    <n v="0"/>
    <n v="0"/>
    <n v="122.24"/>
    <x v="13"/>
    <n v="733.43999999999994"/>
    <x v="7"/>
  </r>
  <r>
    <x v="1"/>
    <s v="Stina Alm"/>
    <x v="0"/>
    <x v="78"/>
    <x v="78"/>
    <n v="2"/>
    <s v="ADET"/>
    <n v="0"/>
    <n v="0"/>
    <n v="0"/>
    <n v="14"/>
    <n v="0"/>
    <n v="1050"/>
    <n v="75"/>
    <x v="22"/>
    <n v="150"/>
    <x v="0"/>
  </r>
  <r>
    <x v="2"/>
    <s v="Laurent MONTAGNER"/>
    <x v="0"/>
    <x v="77"/>
    <x v="77"/>
    <n v="18"/>
    <s v="ADET"/>
    <n v="0"/>
    <n v="3750"/>
    <n v="674"/>
    <n v="-3452"/>
    <n v="0"/>
    <n v="0"/>
    <n v="0.2"/>
    <x v="14"/>
    <n v="3.6"/>
    <x v="2"/>
  </r>
  <r>
    <x v="9"/>
    <s v="Jan Urbanek"/>
    <x v="0"/>
    <x v="76"/>
    <x v="76"/>
    <n v="4"/>
    <s v="ADET"/>
    <n v="0"/>
    <n v="37"/>
    <n v="28"/>
    <n v="-3"/>
    <n v="0"/>
    <n v="0"/>
    <n v="122.24"/>
    <x v="13"/>
    <n v="488.96"/>
    <x v="7"/>
  </r>
  <r>
    <x v="9"/>
    <s v="Jan Urbanek"/>
    <x v="0"/>
    <x v="77"/>
    <x v="77"/>
    <n v="12"/>
    <s v="ADET"/>
    <n v="0"/>
    <n v="3750"/>
    <n v="674"/>
    <n v="-3452"/>
    <n v="0"/>
    <n v="0"/>
    <n v="0.2"/>
    <x v="14"/>
    <n v="2.4000000000000004"/>
    <x v="2"/>
  </r>
  <r>
    <x v="5"/>
    <s v="Matteo Giolo"/>
    <x v="0"/>
    <x v="78"/>
    <x v="78"/>
    <n v="2"/>
    <s v="ADET"/>
    <n v="0"/>
    <n v="0"/>
    <n v="0"/>
    <n v="14"/>
    <n v="0"/>
    <n v="1050"/>
    <n v="75"/>
    <x v="22"/>
    <n v="150"/>
    <x v="0"/>
  </r>
  <r>
    <x v="12"/>
    <s v="Matteo Giolo"/>
    <x v="0"/>
    <x v="76"/>
    <x v="76"/>
    <n v="4"/>
    <s v="ADET"/>
    <n v="0"/>
    <n v="37"/>
    <n v="28"/>
    <n v="-3"/>
    <n v="0"/>
    <n v="0"/>
    <n v="122.24"/>
    <x v="13"/>
    <n v="488.96"/>
    <x v="7"/>
  </r>
  <r>
    <x v="12"/>
    <s v="Matteo Giolo"/>
    <x v="0"/>
    <x v="77"/>
    <x v="77"/>
    <n v="12"/>
    <s v="ADET"/>
    <n v="0"/>
    <n v="3750"/>
    <n v="674"/>
    <n v="-3452"/>
    <n v="0"/>
    <n v="0"/>
    <n v="0.2"/>
    <x v="14"/>
    <n v="2.4000000000000004"/>
    <x v="2"/>
  </r>
  <r>
    <x v="2"/>
    <s v="Laurent MONTAGNER"/>
    <x v="0"/>
    <x v="79"/>
    <x v="79"/>
    <n v="2"/>
    <s v="ADET"/>
    <n v="0"/>
    <n v="42"/>
    <n v="34"/>
    <n v="-8"/>
    <n v="0"/>
    <n v="0"/>
    <n v="65"/>
    <x v="14"/>
    <n v="130"/>
    <x v="2"/>
  </r>
  <r>
    <x v="17"/>
    <s v="Murat Taşdemir"/>
    <x v="0"/>
    <x v="78"/>
    <x v="78"/>
    <n v="2"/>
    <s v="ADET"/>
    <n v="0"/>
    <n v="0"/>
    <n v="0"/>
    <n v="14"/>
    <n v="0"/>
    <n v="1050"/>
    <n v="75"/>
    <x v="22"/>
    <n v="150"/>
    <x v="0"/>
  </r>
  <r>
    <x v="0"/>
    <s v="Soner Kayıkçı"/>
    <x v="0"/>
    <x v="79"/>
    <x v="79"/>
    <n v="2"/>
    <s v="ADET"/>
    <n v="0"/>
    <n v="42"/>
    <n v="34"/>
    <n v="-8"/>
    <n v="0"/>
    <n v="0"/>
    <n v="65"/>
    <x v="14"/>
    <n v="130"/>
    <x v="2"/>
  </r>
  <r>
    <x v="19"/>
    <s v="Volkan Batkan"/>
    <x v="0"/>
    <x v="79"/>
    <x v="79"/>
    <n v="2"/>
    <s v="ADET"/>
    <n v="0"/>
    <n v="42"/>
    <n v="34"/>
    <n v="-8"/>
    <n v="0"/>
    <n v="0"/>
    <n v="65"/>
    <x v="14"/>
    <n v="130"/>
    <x v="2"/>
  </r>
  <r>
    <x v="15"/>
    <s v="Jan Urbanek"/>
    <x v="0"/>
    <x v="79"/>
    <x v="79"/>
    <n v="2"/>
    <s v="ADET"/>
    <n v="0"/>
    <n v="42"/>
    <n v="34"/>
    <n v="-8"/>
    <n v="0"/>
    <n v="0"/>
    <n v="65"/>
    <x v="14"/>
    <n v="130"/>
    <x v="2"/>
  </r>
  <r>
    <x v="4"/>
    <s v="Stefan Zaugg"/>
    <x v="0"/>
    <x v="77"/>
    <x v="77"/>
    <n v="8"/>
    <s v="ADET"/>
    <n v="0"/>
    <n v="3750"/>
    <n v="674"/>
    <n v="-3452"/>
    <n v="0"/>
    <n v="0"/>
    <n v="0.2"/>
    <x v="14"/>
    <n v="1.6"/>
    <x v="2"/>
  </r>
  <r>
    <x v="9"/>
    <s v="Jan Urbanek"/>
    <x v="0"/>
    <x v="80"/>
    <x v="80"/>
    <n v="10"/>
    <s v="ADET"/>
    <n v="0"/>
    <n v="1800"/>
    <n v="773"/>
    <n v="-1570"/>
    <n v="0"/>
    <n v="0"/>
    <n v="0.8"/>
    <x v="14"/>
    <n v="8"/>
    <x v="2"/>
  </r>
  <r>
    <x v="8"/>
    <s v="Jan Urbanek"/>
    <x v="0"/>
    <x v="80"/>
    <x v="80"/>
    <n v="10"/>
    <s v="ADET"/>
    <n v="0"/>
    <n v="1800"/>
    <n v="773"/>
    <n v="-1570"/>
    <n v="0"/>
    <n v="0"/>
    <n v="0.8"/>
    <x v="14"/>
    <n v="8"/>
    <x v="2"/>
  </r>
  <r>
    <x v="10"/>
    <s v="Jan Urbanek"/>
    <x v="0"/>
    <x v="81"/>
    <x v="81"/>
    <n v="1"/>
    <s v="ADET"/>
    <n v="0"/>
    <n v="36"/>
    <n v="12"/>
    <n v="-22"/>
    <n v="0"/>
    <n v="0"/>
    <n v="95"/>
    <x v="35"/>
    <n v="95"/>
    <x v="2"/>
  </r>
  <r>
    <x v="7"/>
    <s v="Laurent MONTAGNER"/>
    <x v="0"/>
    <x v="80"/>
    <x v="80"/>
    <n v="21"/>
    <s v="ADET"/>
    <n v="0"/>
    <n v="1800"/>
    <n v="773"/>
    <n v="-1570"/>
    <n v="0"/>
    <n v="0"/>
    <n v="0.8"/>
    <x v="14"/>
    <n v="16.8"/>
    <x v="2"/>
  </r>
  <r>
    <x v="4"/>
    <s v="Stefan Zaugg"/>
    <x v="0"/>
    <x v="80"/>
    <x v="80"/>
    <n v="3"/>
    <s v="ADET"/>
    <n v="0"/>
    <n v="1800"/>
    <n v="773"/>
    <n v="-1570"/>
    <n v="0"/>
    <n v="0"/>
    <n v="0.8"/>
    <x v="14"/>
    <n v="2.4000000000000004"/>
    <x v="2"/>
  </r>
  <r>
    <x v="3"/>
    <s v="Stina Alm"/>
    <x v="0"/>
    <x v="80"/>
    <x v="80"/>
    <n v="18"/>
    <s v="ADET"/>
    <n v="0"/>
    <n v="1800"/>
    <n v="773"/>
    <n v="-1570"/>
    <n v="0"/>
    <n v="0"/>
    <n v="0.8"/>
    <x v="14"/>
    <n v="14.4"/>
    <x v="2"/>
  </r>
  <r>
    <x v="5"/>
    <s v="Matteo Giolo"/>
    <x v="0"/>
    <x v="82"/>
    <x v="82"/>
    <n v="1"/>
    <s v="ADET"/>
    <n v="0"/>
    <n v="4"/>
    <n v="3"/>
    <n v="-1"/>
    <n v="0"/>
    <n v="0"/>
    <n v="7450"/>
    <x v="9"/>
    <n v="7450"/>
    <x v="6"/>
  </r>
  <r>
    <x v="1"/>
    <s v="Stina Alm"/>
    <x v="0"/>
    <x v="80"/>
    <x v="80"/>
    <n v="18"/>
    <s v="ADET"/>
    <n v="0"/>
    <n v="1800"/>
    <n v="773"/>
    <n v="-1570"/>
    <n v="0"/>
    <n v="0"/>
    <n v="0.8"/>
    <x v="14"/>
    <n v="14.4"/>
    <x v="2"/>
  </r>
  <r>
    <x v="0"/>
    <s v="Soner Kayıkçı"/>
    <x v="0"/>
    <x v="81"/>
    <x v="81"/>
    <n v="1"/>
    <s v="ADET"/>
    <n v="0"/>
    <n v="36"/>
    <n v="12"/>
    <n v="-22"/>
    <n v="0"/>
    <n v="0"/>
    <n v="95"/>
    <x v="35"/>
    <n v="95"/>
    <x v="2"/>
  </r>
  <r>
    <x v="10"/>
    <s v="Jan Urbanek"/>
    <x v="0"/>
    <x v="80"/>
    <x v="80"/>
    <n v="10"/>
    <s v="ADET"/>
    <n v="0"/>
    <n v="1800"/>
    <n v="773"/>
    <n v="-1570"/>
    <n v="0"/>
    <n v="0"/>
    <n v="0.8"/>
    <x v="14"/>
    <n v="8"/>
    <x v="2"/>
  </r>
  <r>
    <x v="11"/>
    <s v="Jan Urbanek"/>
    <x v="0"/>
    <x v="81"/>
    <x v="81"/>
    <n v="1"/>
    <s v="ADET"/>
    <n v="0"/>
    <n v="36"/>
    <n v="12"/>
    <n v="-22"/>
    <n v="0"/>
    <n v="0"/>
    <n v="95"/>
    <x v="35"/>
    <n v="95"/>
    <x v="2"/>
  </r>
  <r>
    <x v="5"/>
    <s v="Matteo Giolo"/>
    <x v="0"/>
    <x v="80"/>
    <x v="80"/>
    <n v="22"/>
    <s v="ADET"/>
    <n v="0"/>
    <n v="1800"/>
    <n v="773"/>
    <n v="-1570"/>
    <n v="0"/>
    <n v="0"/>
    <n v="0.8"/>
    <x v="14"/>
    <n v="17.600000000000001"/>
    <x v="2"/>
  </r>
  <r>
    <x v="4"/>
    <s v="Stefan Zaugg"/>
    <x v="0"/>
    <x v="81"/>
    <x v="81"/>
    <n v="1"/>
    <s v="ADET"/>
    <n v="1"/>
    <n v="36"/>
    <n v="12"/>
    <n v="-22"/>
    <n v="0"/>
    <n v="0"/>
    <n v="95"/>
    <x v="35"/>
    <n v="95"/>
    <x v="2"/>
  </r>
  <r>
    <x v="3"/>
    <s v="Stina Alm"/>
    <x v="0"/>
    <x v="81"/>
    <x v="81"/>
    <n v="2"/>
    <s v="ADET"/>
    <n v="0"/>
    <n v="36"/>
    <n v="12"/>
    <n v="-22"/>
    <n v="0"/>
    <n v="0"/>
    <n v="95"/>
    <x v="35"/>
    <n v="190"/>
    <x v="2"/>
  </r>
  <r>
    <x v="5"/>
    <s v="Matteo Giolo"/>
    <x v="0"/>
    <x v="81"/>
    <x v="81"/>
    <n v="1"/>
    <s v="ADET"/>
    <n v="0"/>
    <n v="36"/>
    <n v="12"/>
    <n v="-22"/>
    <n v="0"/>
    <n v="0"/>
    <n v="95"/>
    <x v="35"/>
    <n v="95"/>
    <x v="2"/>
  </r>
  <r>
    <x v="7"/>
    <s v="Laurent MONTAGNER"/>
    <x v="0"/>
    <x v="82"/>
    <x v="82"/>
    <n v="1"/>
    <s v="ADET"/>
    <n v="1"/>
    <n v="4"/>
    <n v="3"/>
    <n v="-1"/>
    <n v="0"/>
    <n v="0"/>
    <n v="7450"/>
    <x v="9"/>
    <n v="7450"/>
    <x v="6"/>
  </r>
  <r>
    <x v="9"/>
    <s v="Jan Urbanek"/>
    <x v="0"/>
    <x v="81"/>
    <x v="81"/>
    <n v="1"/>
    <s v="ADET"/>
    <n v="0"/>
    <n v="36"/>
    <n v="12"/>
    <n v="-22"/>
    <n v="0"/>
    <n v="0"/>
    <n v="95"/>
    <x v="35"/>
    <n v="95"/>
    <x v="2"/>
  </r>
  <r>
    <x v="8"/>
    <s v="Jan Urbanek"/>
    <x v="0"/>
    <x v="81"/>
    <x v="81"/>
    <n v="1"/>
    <s v="ADET"/>
    <n v="0"/>
    <n v="36"/>
    <n v="12"/>
    <n v="-22"/>
    <n v="0"/>
    <n v="0"/>
    <n v="95"/>
    <x v="35"/>
    <n v="95"/>
    <x v="2"/>
  </r>
  <r>
    <x v="12"/>
    <s v="Matteo Giolo"/>
    <x v="0"/>
    <x v="81"/>
    <x v="81"/>
    <n v="1"/>
    <s v="ADET"/>
    <n v="0"/>
    <n v="36"/>
    <n v="12"/>
    <n v="-22"/>
    <n v="0"/>
    <n v="0"/>
    <n v="95"/>
    <x v="35"/>
    <n v="95"/>
    <x v="2"/>
  </r>
  <r>
    <x v="0"/>
    <s v="Soner Kayıkçı"/>
    <x v="0"/>
    <x v="80"/>
    <x v="80"/>
    <n v="10"/>
    <s v="ADET"/>
    <n v="0"/>
    <n v="1800"/>
    <n v="773"/>
    <n v="-1570"/>
    <n v="0"/>
    <n v="0"/>
    <n v="0.8"/>
    <x v="14"/>
    <n v="8"/>
    <x v="2"/>
  </r>
  <r>
    <x v="2"/>
    <s v="Laurent MONTAGNER"/>
    <x v="0"/>
    <x v="80"/>
    <x v="80"/>
    <n v="21"/>
    <s v="ADET"/>
    <n v="0"/>
    <n v="1800"/>
    <n v="773"/>
    <n v="-1570"/>
    <n v="0"/>
    <n v="0"/>
    <n v="0.8"/>
    <x v="14"/>
    <n v="16.8"/>
    <x v="2"/>
  </r>
  <r>
    <x v="11"/>
    <s v="Jan Urbanek"/>
    <x v="0"/>
    <x v="80"/>
    <x v="80"/>
    <n v="10"/>
    <s v="ADET"/>
    <n v="0"/>
    <n v="1800"/>
    <n v="773"/>
    <n v="-1570"/>
    <n v="0"/>
    <n v="0"/>
    <n v="0.8"/>
    <x v="14"/>
    <n v="8"/>
    <x v="2"/>
  </r>
  <r>
    <x v="15"/>
    <s v="Jan Urbanek"/>
    <x v="0"/>
    <x v="80"/>
    <x v="80"/>
    <n v="10"/>
    <s v="ADET"/>
    <n v="0"/>
    <n v="1800"/>
    <n v="773"/>
    <n v="-1570"/>
    <n v="0"/>
    <n v="0"/>
    <n v="0.8"/>
    <x v="14"/>
    <n v="8"/>
    <x v="2"/>
  </r>
  <r>
    <x v="13"/>
    <s v="Matteo Giolo"/>
    <x v="0"/>
    <x v="82"/>
    <x v="82"/>
    <n v="1"/>
    <s v="ADET"/>
    <n v="0"/>
    <n v="4"/>
    <n v="3"/>
    <n v="-1"/>
    <n v="0"/>
    <n v="0"/>
    <n v="7450"/>
    <x v="9"/>
    <n v="7450"/>
    <x v="6"/>
  </r>
  <r>
    <x v="14"/>
    <s v="Stefan Zaugg"/>
    <x v="0"/>
    <x v="83"/>
    <x v="83"/>
    <n v="0.05"/>
    <s v="KG"/>
    <n v="0"/>
    <n v="3"/>
    <n v="0"/>
    <n v="-2.75"/>
    <n v="0"/>
    <n v="0"/>
    <n v="148.31"/>
    <x v="5"/>
    <n v="7.4155000000000006"/>
    <x v="3"/>
  </r>
  <r>
    <x v="2"/>
    <s v="Laurent MONTAGNER"/>
    <x v="0"/>
    <x v="82"/>
    <x v="82"/>
    <n v="1"/>
    <s v="ADET"/>
    <n v="1"/>
    <n v="4"/>
    <n v="3"/>
    <n v="-1"/>
    <n v="0"/>
    <n v="0"/>
    <n v="7450"/>
    <x v="9"/>
    <n v="7450"/>
    <x v="6"/>
  </r>
  <r>
    <x v="19"/>
    <s v="Volkan Batkan"/>
    <x v="0"/>
    <x v="80"/>
    <x v="80"/>
    <n v="10"/>
    <s v="ADET"/>
    <n v="0"/>
    <n v="1800"/>
    <n v="773"/>
    <n v="-1570"/>
    <n v="0"/>
    <n v="0"/>
    <n v="0.8"/>
    <x v="14"/>
    <n v="8"/>
    <x v="2"/>
  </r>
  <r>
    <x v="1"/>
    <s v="Stina Alm"/>
    <x v="0"/>
    <x v="81"/>
    <x v="81"/>
    <n v="2"/>
    <s v="ADET"/>
    <n v="0"/>
    <n v="36"/>
    <n v="12"/>
    <n v="-22"/>
    <n v="0"/>
    <n v="0"/>
    <n v="95"/>
    <x v="35"/>
    <n v="190"/>
    <x v="2"/>
  </r>
  <r>
    <x v="8"/>
    <s v="Jan Urbanek"/>
    <x v="0"/>
    <x v="29"/>
    <x v="29"/>
    <n v="4"/>
    <s v="ADET"/>
    <n v="0"/>
    <n v="75"/>
    <n v="60"/>
    <n v="-31"/>
    <n v="0"/>
    <n v="0"/>
    <n v="170"/>
    <x v="16"/>
    <n v="680"/>
    <x v="2"/>
  </r>
  <r>
    <x v="9"/>
    <s v="Jan Urbanek"/>
    <x v="0"/>
    <x v="29"/>
    <x v="29"/>
    <n v="4"/>
    <s v="ADET"/>
    <n v="0"/>
    <n v="75"/>
    <n v="60"/>
    <n v="-31"/>
    <n v="0"/>
    <n v="0"/>
    <n v="170"/>
    <x v="16"/>
    <n v="680"/>
    <x v="2"/>
  </r>
  <r>
    <x v="10"/>
    <s v="Jan Urbanek"/>
    <x v="0"/>
    <x v="30"/>
    <x v="30"/>
    <n v="8"/>
    <s v="ADET"/>
    <n v="0"/>
    <n v="1270"/>
    <n v="698"/>
    <n v="-1174"/>
    <n v="0"/>
    <n v="0"/>
    <n v="0.55000000000000004"/>
    <x v="14"/>
    <n v="4.4000000000000004"/>
    <x v="2"/>
  </r>
  <r>
    <x v="6"/>
    <s v="Laurent MONTAGNER"/>
    <x v="0"/>
    <x v="27"/>
    <x v="27"/>
    <n v="0.25"/>
    <s v="ADET"/>
    <n v="0.25"/>
    <n v="5"/>
    <n v="9.7999999999999954"/>
    <n v="0.19999999999999929"/>
    <n v="0"/>
    <n v="7.599999999999973"/>
    <n v="38"/>
    <x v="14"/>
    <n v="9.5"/>
    <x v="2"/>
  </r>
  <r>
    <x v="0"/>
    <s v="Soner Kayıkçı"/>
    <x v="0"/>
    <x v="27"/>
    <x v="27"/>
    <n v="0.35"/>
    <s v="ADET"/>
    <n v="0"/>
    <n v="5"/>
    <n v="9.7999999999999954"/>
    <n v="0.19999999999999929"/>
    <n v="0"/>
    <n v="7.599999999999973"/>
    <n v="38"/>
    <x v="14"/>
    <n v="13.299999999999999"/>
    <x v="2"/>
  </r>
  <r>
    <x v="1"/>
    <s v="Stina Alm"/>
    <x v="0"/>
    <x v="27"/>
    <x v="27"/>
    <n v="0.25"/>
    <s v="ADET"/>
    <n v="0"/>
    <n v="5"/>
    <n v="9.7999999999999954"/>
    <n v="0.19999999999999929"/>
    <n v="0"/>
    <n v="7.599999999999973"/>
    <n v="38"/>
    <x v="14"/>
    <n v="9.5"/>
    <x v="2"/>
  </r>
  <r>
    <x v="6"/>
    <s v="Laurent MONTAGNER"/>
    <x v="0"/>
    <x v="28"/>
    <x v="28"/>
    <n v="14"/>
    <s v="ADET"/>
    <n v="0"/>
    <n v="166"/>
    <n v="61"/>
    <n v="48"/>
    <n v="0"/>
    <n v="960"/>
    <n v="20"/>
    <x v="14"/>
    <n v="280"/>
    <x v="2"/>
  </r>
  <r>
    <x v="6"/>
    <s v="Laurent MONTAGNER"/>
    <x v="0"/>
    <x v="29"/>
    <x v="29"/>
    <n v="4"/>
    <s v="ADET"/>
    <n v="4"/>
    <n v="75"/>
    <n v="60"/>
    <n v="-31"/>
    <n v="0"/>
    <n v="0"/>
    <n v="170"/>
    <x v="16"/>
    <n v="680"/>
    <x v="2"/>
  </r>
  <r>
    <x v="1"/>
    <s v="Stina Alm"/>
    <x v="0"/>
    <x v="29"/>
    <x v="29"/>
    <n v="4"/>
    <s v="ADET"/>
    <n v="0"/>
    <n v="75"/>
    <n v="60"/>
    <n v="-31"/>
    <n v="0"/>
    <n v="0"/>
    <n v="170"/>
    <x v="16"/>
    <n v="680"/>
    <x v="2"/>
  </r>
  <r>
    <x v="0"/>
    <s v="Soner Kayıkçı"/>
    <x v="0"/>
    <x v="30"/>
    <x v="30"/>
    <n v="16"/>
    <s v="ADET"/>
    <n v="0"/>
    <n v="1270"/>
    <n v="698"/>
    <n v="-1174"/>
    <n v="0"/>
    <n v="0"/>
    <n v="0.55000000000000004"/>
    <x v="14"/>
    <n v="8.8000000000000007"/>
    <x v="2"/>
  </r>
  <r>
    <x v="15"/>
    <s v="Jan Urbanek"/>
    <x v="0"/>
    <x v="27"/>
    <x v="27"/>
    <n v="0.35"/>
    <s v="ADET"/>
    <n v="0"/>
    <n v="5"/>
    <n v="9.7999999999999954"/>
    <n v="0.19999999999999929"/>
    <n v="0"/>
    <n v="7.599999999999973"/>
    <n v="38"/>
    <x v="14"/>
    <n v="13.299999999999999"/>
    <x v="2"/>
  </r>
  <r>
    <x v="16"/>
    <s v="Stefan Zaugg"/>
    <x v="0"/>
    <x v="27"/>
    <x v="27"/>
    <n v="0.5"/>
    <s v="ADET"/>
    <n v="0"/>
    <n v="5"/>
    <n v="9.7999999999999954"/>
    <n v="0.19999999999999929"/>
    <n v="0"/>
    <n v="7.599999999999973"/>
    <n v="38"/>
    <x v="14"/>
    <n v="19"/>
    <x v="2"/>
  </r>
  <r>
    <x v="16"/>
    <s v="Stefan Zaugg"/>
    <x v="0"/>
    <x v="28"/>
    <x v="28"/>
    <n v="10"/>
    <s v="ADET"/>
    <n v="0"/>
    <n v="166"/>
    <n v="61"/>
    <n v="48"/>
    <n v="0"/>
    <n v="960"/>
    <n v="20"/>
    <x v="14"/>
    <n v="200"/>
    <x v="2"/>
  </r>
  <r>
    <x v="14"/>
    <s v="Stefan Zaugg"/>
    <x v="0"/>
    <x v="28"/>
    <x v="28"/>
    <n v="6"/>
    <s v="ADET"/>
    <n v="0"/>
    <n v="166"/>
    <n v="61"/>
    <n v="48"/>
    <n v="0"/>
    <n v="960"/>
    <n v="20"/>
    <x v="14"/>
    <n v="120"/>
    <x v="2"/>
  </r>
  <r>
    <x v="13"/>
    <s v="Matteo Giolo"/>
    <x v="0"/>
    <x v="28"/>
    <x v="28"/>
    <n v="14"/>
    <s v="ADET"/>
    <n v="0"/>
    <n v="166"/>
    <n v="61"/>
    <n v="48"/>
    <n v="0"/>
    <n v="960"/>
    <n v="20"/>
    <x v="14"/>
    <n v="280"/>
    <x v="2"/>
  </r>
  <r>
    <x v="1"/>
    <s v="Stina Alm"/>
    <x v="0"/>
    <x v="28"/>
    <x v="28"/>
    <n v="14"/>
    <s v="ADET"/>
    <n v="0"/>
    <n v="166"/>
    <n v="61"/>
    <n v="48"/>
    <n v="0"/>
    <n v="960"/>
    <n v="20"/>
    <x v="14"/>
    <n v="280"/>
    <x v="2"/>
  </r>
  <r>
    <x v="17"/>
    <s v="Murat Taşdemir"/>
    <x v="0"/>
    <x v="27"/>
    <x v="27"/>
    <n v="0.25"/>
    <s v="ADET"/>
    <n v="0"/>
    <n v="5"/>
    <n v="9.7999999999999954"/>
    <n v="0.19999999999999929"/>
    <n v="0"/>
    <n v="7.599999999999973"/>
    <n v="38"/>
    <x v="14"/>
    <n v="9.5"/>
    <x v="2"/>
  </r>
  <r>
    <x v="17"/>
    <s v="Murat Taşdemir"/>
    <x v="0"/>
    <x v="28"/>
    <x v="28"/>
    <n v="8"/>
    <s v="ADET"/>
    <n v="0"/>
    <n v="166"/>
    <n v="61"/>
    <n v="48"/>
    <n v="0"/>
    <n v="960"/>
    <n v="20"/>
    <x v="14"/>
    <n v="160"/>
    <x v="2"/>
  </r>
  <r>
    <x v="0"/>
    <s v="Soner Kayıkçı"/>
    <x v="0"/>
    <x v="84"/>
    <x v="84"/>
    <n v="0.1"/>
    <s v="KG"/>
    <n v="0"/>
    <n v="32"/>
    <n v="60"/>
    <n v="-31.4"/>
    <n v="0"/>
    <n v="0"/>
    <n v="110"/>
    <x v="26"/>
    <n v="11"/>
    <x v="3"/>
  </r>
  <r>
    <x v="2"/>
    <s v="Laurent MONTAGNER"/>
    <x v="0"/>
    <x v="85"/>
    <x v="85"/>
    <n v="0.5"/>
    <s v="ADET"/>
    <n v="0"/>
    <n v="12"/>
    <n v="3"/>
    <n v="-3"/>
    <n v="0"/>
    <n v="0"/>
    <n v="130"/>
    <x v="2"/>
    <n v="65"/>
    <x v="3"/>
  </r>
  <r>
    <x v="0"/>
    <s v="Soner Kayıkçı"/>
    <x v="0"/>
    <x v="85"/>
    <x v="85"/>
    <n v="0.5"/>
    <s v="ADET"/>
    <n v="0"/>
    <n v="12"/>
    <n v="3"/>
    <n v="-3"/>
    <n v="0"/>
    <n v="0"/>
    <n v="130"/>
    <x v="2"/>
    <n v="65"/>
    <x v="3"/>
  </r>
  <r>
    <x v="2"/>
    <s v="Laurent MONTAGNER"/>
    <x v="0"/>
    <x v="86"/>
    <x v="86"/>
    <n v="5.5"/>
    <s v="ADET"/>
    <n v="0"/>
    <n v="47"/>
    <n v="1"/>
    <n v="23.61999999999999"/>
    <n v="0"/>
    <n v="2361.9999999999991"/>
    <n v="100"/>
    <x v="14"/>
    <n v="550"/>
    <x v="3"/>
  </r>
  <r>
    <x v="16"/>
    <s v="Stefan Zaugg"/>
    <x v="0"/>
    <x v="30"/>
    <x v="30"/>
    <n v="8"/>
    <s v="ADET"/>
    <n v="8"/>
    <n v="1270"/>
    <n v="698"/>
    <n v="-1174"/>
    <n v="0"/>
    <n v="0"/>
    <n v="0.55000000000000004"/>
    <x v="14"/>
    <n v="4.4000000000000004"/>
    <x v="2"/>
  </r>
  <r>
    <x v="15"/>
    <s v="Jan Urbanek"/>
    <x v="0"/>
    <x v="84"/>
    <x v="84"/>
    <n v="0.1"/>
    <s v="KG"/>
    <n v="0"/>
    <n v="32"/>
    <n v="60"/>
    <n v="-31.4"/>
    <n v="0"/>
    <n v="0"/>
    <n v="110"/>
    <x v="26"/>
    <n v="11"/>
    <x v="3"/>
  </r>
  <r>
    <x v="19"/>
    <s v="Volkan Batkan"/>
    <x v="0"/>
    <x v="85"/>
    <x v="85"/>
    <n v="0.5"/>
    <s v="ADET"/>
    <n v="0"/>
    <n v="12"/>
    <n v="3"/>
    <n v="-3"/>
    <n v="0"/>
    <n v="0"/>
    <n v="130"/>
    <x v="2"/>
    <n v="65"/>
    <x v="3"/>
  </r>
  <r>
    <x v="15"/>
    <s v="Jan Urbanek"/>
    <x v="0"/>
    <x v="85"/>
    <x v="85"/>
    <n v="0.5"/>
    <s v="ADET"/>
    <n v="0"/>
    <n v="12"/>
    <n v="3"/>
    <n v="-3"/>
    <n v="0"/>
    <n v="0"/>
    <n v="130"/>
    <x v="2"/>
    <n v="65"/>
    <x v="3"/>
  </r>
  <r>
    <x v="13"/>
    <s v="Matteo Giolo"/>
    <x v="0"/>
    <x v="85"/>
    <x v="85"/>
    <n v="0.5"/>
    <s v="ADET"/>
    <n v="0"/>
    <n v="12"/>
    <n v="3"/>
    <n v="-3"/>
    <n v="0"/>
    <n v="0"/>
    <n v="130"/>
    <x v="2"/>
    <n v="65"/>
    <x v="3"/>
  </r>
  <r>
    <x v="1"/>
    <s v="Stina Alm"/>
    <x v="0"/>
    <x v="55"/>
    <x v="55"/>
    <n v="1"/>
    <s v="ADET"/>
    <n v="0"/>
    <n v="10"/>
    <n v="3"/>
    <n v="-3"/>
    <n v="0"/>
    <n v="0"/>
    <n v="45"/>
    <x v="14"/>
    <n v="45"/>
    <x v="2"/>
  </r>
  <r>
    <x v="6"/>
    <s v="Laurent MONTAGNER"/>
    <x v="0"/>
    <x v="54"/>
    <x v="54"/>
    <n v="10"/>
    <s v="METRE"/>
    <n v="0"/>
    <n v="100"/>
    <n v="159.90000000000003"/>
    <n v="41.300000000000011"/>
    <n v="0"/>
    <n v="929.25000000000023"/>
    <n v="22.5"/>
    <x v="27"/>
    <n v="225"/>
    <x v="4"/>
  </r>
  <r>
    <x v="17"/>
    <s v="Murat Taşdemir"/>
    <x v="0"/>
    <x v="49"/>
    <x v="49"/>
    <n v="52"/>
    <s v="ADET"/>
    <n v="0"/>
    <n v="1000"/>
    <n v="4807"/>
    <n v="-450"/>
    <n v="0"/>
    <n v="0"/>
    <n v="0.3"/>
    <x v="21"/>
    <n v="15.6"/>
    <x v="2"/>
  </r>
  <r>
    <x v="3"/>
    <s v="Stina Alm"/>
    <x v="0"/>
    <x v="8"/>
    <x v="8"/>
    <n v="70"/>
    <s v="ADET"/>
    <n v="0"/>
    <n v="3000"/>
    <n v="1138"/>
    <n v="-1738"/>
    <n v="0"/>
    <n v="0"/>
    <n v="0.93"/>
    <x v="8"/>
    <n v="65.100000000000009"/>
    <x v="2"/>
  </r>
  <r>
    <x v="5"/>
    <s v="Matteo Giolo"/>
    <x v="0"/>
    <x v="13"/>
    <x v="13"/>
    <n v="9"/>
    <s v="ADET"/>
    <n v="0"/>
    <n v="0"/>
    <n v="128"/>
    <n v="70"/>
    <n v="40"/>
    <n v="4200"/>
    <n v="60"/>
    <x v="10"/>
    <n v="540"/>
    <x v="2"/>
  </r>
  <r>
    <x v="4"/>
    <s v="Stefan Zaugg"/>
    <x v="0"/>
    <x v="13"/>
    <x v="13"/>
    <n v="5"/>
    <s v="ADET"/>
    <n v="0"/>
    <n v="0"/>
    <n v="128"/>
    <n v="70"/>
    <n v="40"/>
    <n v="4200"/>
    <n v="60"/>
    <x v="10"/>
    <n v="300"/>
    <x v="2"/>
  </r>
  <r>
    <x v="5"/>
    <s v="Matteo Giolo"/>
    <x v="0"/>
    <x v="14"/>
    <x v="14"/>
    <n v="1"/>
    <s v="ADET"/>
    <n v="0"/>
    <n v="0"/>
    <n v="10"/>
    <n v="0"/>
    <n v="11"/>
    <n v="0"/>
    <n v="675"/>
    <x v="7"/>
    <n v="675"/>
    <x v="6"/>
  </r>
  <r>
    <x v="1"/>
    <s v="Stina Alm"/>
    <x v="0"/>
    <x v="12"/>
    <x v="12"/>
    <n v="14"/>
    <s v="ADET"/>
    <n v="0"/>
    <n v="14472"/>
    <n v="3376"/>
    <n v="-14340"/>
    <n v="0"/>
    <n v="0"/>
    <n v="0.04"/>
    <x v="5"/>
    <n v="0.56000000000000005"/>
    <x v="2"/>
  </r>
  <r>
    <x v="2"/>
    <s v="Laurent MONTAGNER"/>
    <x v="0"/>
    <x v="87"/>
    <x v="87"/>
    <n v="6"/>
    <s v="METRE"/>
    <n v="0"/>
    <n v="260"/>
    <n v="0"/>
    <n v="-248"/>
    <n v="0"/>
    <n v="0"/>
    <n v="8.4"/>
    <x v="15"/>
    <n v="50.400000000000006"/>
    <x v="2"/>
  </r>
  <r>
    <x v="0"/>
    <s v="Soner Kayıkçı"/>
    <x v="0"/>
    <x v="8"/>
    <x v="8"/>
    <n v="78"/>
    <s v="ADET"/>
    <n v="0"/>
    <n v="3000"/>
    <n v="1138"/>
    <n v="-1738"/>
    <n v="0"/>
    <n v="0"/>
    <n v="0.93"/>
    <x v="8"/>
    <n v="72.540000000000006"/>
    <x v="2"/>
  </r>
  <r>
    <x v="1"/>
    <s v="Stina Alm"/>
    <x v="0"/>
    <x v="8"/>
    <x v="8"/>
    <n v="70"/>
    <s v="ADET"/>
    <n v="0"/>
    <n v="3000"/>
    <n v="1138"/>
    <n v="-1738"/>
    <n v="0"/>
    <n v="0"/>
    <n v="0.93"/>
    <x v="8"/>
    <n v="65.100000000000009"/>
    <x v="2"/>
  </r>
  <r>
    <x v="2"/>
    <s v="Laurent MONTAGNER"/>
    <x v="0"/>
    <x v="8"/>
    <x v="8"/>
    <n v="44"/>
    <s v="ADET"/>
    <n v="0"/>
    <n v="3000"/>
    <n v="1138"/>
    <n v="-1738"/>
    <n v="0"/>
    <n v="0"/>
    <n v="0.93"/>
    <x v="8"/>
    <n v="40.92"/>
    <x v="2"/>
  </r>
  <r>
    <x v="1"/>
    <s v="Stina Alm"/>
    <x v="0"/>
    <x v="13"/>
    <x v="13"/>
    <n v="11"/>
    <s v="ADET"/>
    <n v="0"/>
    <n v="0"/>
    <n v="128"/>
    <n v="70"/>
    <n v="40"/>
    <n v="4200"/>
    <n v="60"/>
    <x v="10"/>
    <n v="660"/>
    <x v="2"/>
  </r>
  <r>
    <x v="10"/>
    <s v="Jan Urbanek"/>
    <x v="0"/>
    <x v="12"/>
    <x v="12"/>
    <n v="2"/>
    <s v="ADET"/>
    <n v="0"/>
    <n v="14472"/>
    <n v="3376"/>
    <n v="-14340"/>
    <n v="0"/>
    <n v="0"/>
    <n v="0.04"/>
    <x v="5"/>
    <n v="0.08"/>
    <x v="2"/>
  </r>
  <r>
    <x v="11"/>
    <s v="Jan Urbanek"/>
    <x v="0"/>
    <x v="8"/>
    <x v="8"/>
    <n v="78"/>
    <s v="ADET"/>
    <n v="0"/>
    <n v="3000"/>
    <n v="1138"/>
    <n v="-1738"/>
    <n v="0"/>
    <n v="0"/>
    <n v="0.93"/>
    <x v="8"/>
    <n v="72.540000000000006"/>
    <x v="2"/>
  </r>
  <r>
    <x v="10"/>
    <s v="Jan Urbanek"/>
    <x v="0"/>
    <x v="13"/>
    <x v="13"/>
    <n v="3"/>
    <s v="ADET"/>
    <n v="0"/>
    <n v="0"/>
    <n v="128"/>
    <n v="70"/>
    <n v="40"/>
    <n v="4200"/>
    <n v="60"/>
    <x v="10"/>
    <n v="180"/>
    <x v="2"/>
  </r>
  <r>
    <x v="11"/>
    <s v="Jan Urbanek"/>
    <x v="0"/>
    <x v="9"/>
    <x v="9"/>
    <n v="1"/>
    <s v="ADET"/>
    <n v="0"/>
    <n v="2"/>
    <n v="4"/>
    <n v="5"/>
    <n v="0"/>
    <n v="37250"/>
    <n v="7450"/>
    <x v="9"/>
    <n v="7450"/>
    <x v="6"/>
  </r>
  <r>
    <x v="10"/>
    <s v="Jan Urbanek"/>
    <x v="0"/>
    <x v="10"/>
    <x v="10"/>
    <n v="0.05"/>
    <s v="KG"/>
    <n v="0"/>
    <n v="0"/>
    <n v="2.6000000000000014"/>
    <n v="0.29999999999999982"/>
    <n v="0"/>
    <n v="193.70099999999988"/>
    <n v="645.66999999999996"/>
    <x v="3"/>
    <n v="32.283499999999997"/>
    <x v="3"/>
  </r>
  <r>
    <x v="8"/>
    <s v="Jan Urbanek"/>
    <x v="0"/>
    <x v="10"/>
    <x v="10"/>
    <n v="0.05"/>
    <s v="KG"/>
    <n v="0.05"/>
    <n v="0"/>
    <n v="2.6000000000000014"/>
    <n v="0.29999999999999982"/>
    <n v="0"/>
    <n v="193.70099999999988"/>
    <n v="645.66999999999996"/>
    <x v="3"/>
    <n v="32.283499999999997"/>
    <x v="3"/>
  </r>
  <r>
    <x v="3"/>
    <s v="Stina Alm"/>
    <x v="0"/>
    <x v="12"/>
    <x v="12"/>
    <n v="14"/>
    <s v="ADET"/>
    <n v="0"/>
    <n v="14472"/>
    <n v="3376"/>
    <n v="-14340"/>
    <n v="0"/>
    <n v="0"/>
    <n v="0.04"/>
    <x v="5"/>
    <n v="0.56000000000000005"/>
    <x v="2"/>
  </r>
  <r>
    <x v="7"/>
    <s v="Laurent MONTAGNER"/>
    <x v="0"/>
    <x v="12"/>
    <x v="12"/>
    <n v="6"/>
    <s v="ADET"/>
    <n v="0"/>
    <n v="14472"/>
    <n v="3376"/>
    <n v="-14340"/>
    <n v="0"/>
    <n v="0"/>
    <n v="0.04"/>
    <x v="5"/>
    <n v="0.24"/>
    <x v="2"/>
  </r>
  <r>
    <x v="12"/>
    <s v="Matteo Giolo"/>
    <x v="0"/>
    <x v="8"/>
    <x v="8"/>
    <n v="78"/>
    <s v="ADET"/>
    <n v="0"/>
    <n v="3000"/>
    <n v="1138"/>
    <n v="-1738"/>
    <n v="0"/>
    <n v="0"/>
    <n v="0.93"/>
    <x v="8"/>
    <n v="72.540000000000006"/>
    <x v="2"/>
  </r>
  <r>
    <x v="7"/>
    <s v="Laurent MONTAGNER"/>
    <x v="0"/>
    <x v="13"/>
    <x v="13"/>
    <n v="7"/>
    <s v="ADET"/>
    <n v="0"/>
    <n v="0"/>
    <n v="128"/>
    <n v="70"/>
    <n v="40"/>
    <n v="4200"/>
    <n v="60"/>
    <x v="10"/>
    <n v="420"/>
    <x v="2"/>
  </r>
  <r>
    <x v="3"/>
    <s v="Stina Alm"/>
    <x v="0"/>
    <x v="13"/>
    <x v="13"/>
    <n v="11"/>
    <s v="ADET"/>
    <n v="0"/>
    <n v="0"/>
    <n v="128"/>
    <n v="70"/>
    <n v="40"/>
    <n v="4200"/>
    <n v="60"/>
    <x v="10"/>
    <n v="660"/>
    <x v="2"/>
  </r>
  <r>
    <x v="3"/>
    <s v="Stina Alm"/>
    <x v="0"/>
    <x v="14"/>
    <x v="14"/>
    <n v="1"/>
    <s v="ADET"/>
    <n v="0"/>
    <n v="0"/>
    <n v="10"/>
    <n v="0"/>
    <n v="11"/>
    <n v="0"/>
    <n v="675"/>
    <x v="7"/>
    <n v="675"/>
    <x v="6"/>
  </r>
  <r>
    <x v="12"/>
    <s v="Matteo Giolo"/>
    <x v="0"/>
    <x v="9"/>
    <x v="9"/>
    <n v="1"/>
    <s v="ADET"/>
    <n v="0"/>
    <n v="2"/>
    <n v="4"/>
    <n v="5"/>
    <n v="0"/>
    <n v="37250"/>
    <n v="7450"/>
    <x v="9"/>
    <n v="7450"/>
    <x v="6"/>
  </r>
  <r>
    <x v="12"/>
    <s v="Matteo Giolo"/>
    <x v="0"/>
    <x v="15"/>
    <x v="15"/>
    <n v="1"/>
    <s v="ADET"/>
    <n v="0"/>
    <n v="12"/>
    <n v="13"/>
    <n v="-5"/>
    <n v="0"/>
    <n v="0"/>
    <n v="28339.38"/>
    <x v="11"/>
    <n v="28339.38"/>
    <x v="6"/>
  </r>
  <r>
    <x v="0"/>
    <s v="Soner Kayıkçı"/>
    <x v="0"/>
    <x v="12"/>
    <x v="12"/>
    <n v="2"/>
    <s v="ADET"/>
    <n v="0"/>
    <n v="14472"/>
    <n v="3376"/>
    <n v="-14340"/>
    <n v="0"/>
    <n v="0"/>
    <n v="0.04"/>
    <x v="5"/>
    <n v="0.08"/>
    <x v="2"/>
  </r>
  <r>
    <x v="0"/>
    <s v="Soner Kayıkçı"/>
    <x v="0"/>
    <x v="13"/>
    <x v="13"/>
    <n v="3"/>
    <s v="ADET"/>
    <n v="0"/>
    <n v="0"/>
    <n v="128"/>
    <n v="70"/>
    <n v="40"/>
    <n v="4200"/>
    <n v="60"/>
    <x v="10"/>
    <n v="180"/>
    <x v="2"/>
  </r>
  <r>
    <x v="1"/>
    <s v="Stina Alm"/>
    <x v="0"/>
    <x v="14"/>
    <x v="14"/>
    <n v="1"/>
    <s v="ADET"/>
    <n v="0"/>
    <n v="0"/>
    <n v="10"/>
    <n v="0"/>
    <n v="11"/>
    <n v="0"/>
    <n v="675"/>
    <x v="7"/>
    <n v="675"/>
    <x v="6"/>
  </r>
  <r>
    <x v="0"/>
    <s v="Soner Kayıkçı"/>
    <x v="0"/>
    <x v="9"/>
    <x v="9"/>
    <n v="1"/>
    <s v="ADET"/>
    <n v="0"/>
    <n v="2"/>
    <n v="4"/>
    <n v="5"/>
    <n v="0"/>
    <n v="37250"/>
    <n v="7450"/>
    <x v="9"/>
    <n v="7450"/>
    <x v="6"/>
  </r>
  <r>
    <x v="0"/>
    <s v="Soner Kayıkçı"/>
    <x v="0"/>
    <x v="15"/>
    <x v="15"/>
    <n v="1"/>
    <s v="ADET"/>
    <n v="0"/>
    <n v="12"/>
    <n v="13"/>
    <n v="-5"/>
    <n v="0"/>
    <n v="0"/>
    <n v="28339.38"/>
    <x v="11"/>
    <n v="28339.38"/>
    <x v="6"/>
  </r>
  <r>
    <x v="1"/>
    <s v="Stina Alm"/>
    <x v="0"/>
    <x v="11"/>
    <x v="11"/>
    <n v="1.9259999999999999"/>
    <s v="KG"/>
    <n v="0"/>
    <n v="0"/>
    <n v="65.03100000000002"/>
    <n v="17.948"/>
    <n v="0"/>
    <n v="6991.2844399999994"/>
    <n v="389.53"/>
    <x v="3"/>
    <n v="750.23477999999989"/>
    <x v="3"/>
  </r>
  <r>
    <x v="19"/>
    <s v="Volkan Batkan"/>
    <x v="0"/>
    <x v="12"/>
    <x v="12"/>
    <n v="2"/>
    <s v="ADET"/>
    <n v="0"/>
    <n v="14472"/>
    <n v="3376"/>
    <n v="-14340"/>
    <n v="0"/>
    <n v="0"/>
    <n v="0.04"/>
    <x v="5"/>
    <n v="0.08"/>
    <x v="2"/>
  </r>
  <r>
    <x v="16"/>
    <s v="Stefan Zaugg"/>
    <x v="0"/>
    <x v="12"/>
    <x v="12"/>
    <n v="16"/>
    <s v="ADET"/>
    <n v="0"/>
    <n v="14472"/>
    <n v="3376"/>
    <n v="-14340"/>
    <n v="0"/>
    <n v="0"/>
    <n v="0.04"/>
    <x v="5"/>
    <n v="0.64"/>
    <x v="2"/>
  </r>
  <r>
    <x v="14"/>
    <s v="Stefan Zaugg"/>
    <x v="0"/>
    <x v="12"/>
    <x v="12"/>
    <n v="16"/>
    <s v="ADET"/>
    <n v="0"/>
    <n v="14472"/>
    <n v="3376"/>
    <n v="-14340"/>
    <n v="0"/>
    <n v="0"/>
    <n v="0.04"/>
    <x v="5"/>
    <n v="0.64"/>
    <x v="2"/>
  </r>
  <r>
    <x v="14"/>
    <s v="Stefan Zaugg"/>
    <x v="0"/>
    <x v="87"/>
    <x v="87"/>
    <n v="6"/>
    <s v="METRE"/>
    <n v="0"/>
    <n v="260"/>
    <n v="0"/>
    <n v="-248"/>
    <n v="0"/>
    <n v="0"/>
    <n v="8.4"/>
    <x v="15"/>
    <n v="50.400000000000006"/>
    <x v="2"/>
  </r>
  <r>
    <x v="15"/>
    <s v="Jan Urbanek"/>
    <x v="0"/>
    <x v="8"/>
    <x v="8"/>
    <n v="78"/>
    <s v="ADET"/>
    <n v="0"/>
    <n v="3000"/>
    <n v="1138"/>
    <n v="-1738"/>
    <n v="0"/>
    <n v="0"/>
    <n v="0.93"/>
    <x v="8"/>
    <n v="72.540000000000006"/>
    <x v="2"/>
  </r>
  <r>
    <x v="19"/>
    <s v="Volkan Batkan"/>
    <x v="0"/>
    <x v="13"/>
    <x v="13"/>
    <n v="3"/>
    <s v="ADET"/>
    <n v="0"/>
    <n v="0"/>
    <n v="128"/>
    <n v="70"/>
    <n v="40"/>
    <n v="4200"/>
    <n v="60"/>
    <x v="10"/>
    <n v="180"/>
    <x v="2"/>
  </r>
  <r>
    <x v="16"/>
    <s v="Stefan Zaugg"/>
    <x v="0"/>
    <x v="13"/>
    <x v="13"/>
    <n v="5"/>
    <s v="ADET"/>
    <n v="0"/>
    <n v="0"/>
    <n v="128"/>
    <n v="70"/>
    <n v="40"/>
    <n v="4200"/>
    <n v="60"/>
    <x v="10"/>
    <n v="300"/>
    <x v="2"/>
  </r>
  <r>
    <x v="14"/>
    <s v="Stefan Zaugg"/>
    <x v="0"/>
    <x v="13"/>
    <x v="13"/>
    <n v="5"/>
    <s v="ADET"/>
    <n v="0"/>
    <n v="0"/>
    <n v="128"/>
    <n v="70"/>
    <n v="40"/>
    <n v="4200"/>
    <n v="60"/>
    <x v="10"/>
    <n v="300"/>
    <x v="2"/>
  </r>
  <r>
    <x v="16"/>
    <s v="Stefan Zaugg"/>
    <x v="0"/>
    <x v="14"/>
    <x v="14"/>
    <n v="1"/>
    <s v="ADET"/>
    <n v="1"/>
    <n v="0"/>
    <n v="10"/>
    <n v="0"/>
    <n v="11"/>
    <n v="0"/>
    <n v="675"/>
    <x v="7"/>
    <n v="675"/>
    <x v="6"/>
  </r>
  <r>
    <x v="14"/>
    <s v="Stefan Zaugg"/>
    <x v="0"/>
    <x v="14"/>
    <x v="14"/>
    <n v="1"/>
    <s v="ADET"/>
    <n v="1"/>
    <n v="0"/>
    <n v="10"/>
    <n v="0"/>
    <n v="11"/>
    <n v="0"/>
    <n v="675"/>
    <x v="7"/>
    <n v="675"/>
    <x v="6"/>
  </r>
  <r>
    <x v="15"/>
    <s v="Jan Urbanek"/>
    <x v="0"/>
    <x v="9"/>
    <x v="9"/>
    <n v="1"/>
    <s v="ADET"/>
    <n v="0"/>
    <n v="2"/>
    <n v="4"/>
    <n v="5"/>
    <n v="0"/>
    <n v="37250"/>
    <n v="7450"/>
    <x v="9"/>
    <n v="7450"/>
    <x v="6"/>
  </r>
  <r>
    <x v="15"/>
    <s v="Jan Urbanek"/>
    <x v="0"/>
    <x v="15"/>
    <x v="15"/>
    <n v="1"/>
    <s v="ADET"/>
    <n v="0"/>
    <n v="12"/>
    <n v="13"/>
    <n v="-5"/>
    <n v="0"/>
    <n v="0"/>
    <n v="28339.38"/>
    <x v="11"/>
    <n v="28339.38"/>
    <x v="6"/>
  </r>
  <r>
    <x v="0"/>
    <s v="Soner Kayıkçı"/>
    <x v="0"/>
    <x v="88"/>
    <x v="88"/>
    <n v="1"/>
    <s v="ADET"/>
    <n v="0"/>
    <n v="1"/>
    <n v="0"/>
    <n v="0"/>
    <n v="0"/>
    <n v="0"/>
    <n v="4396.6000000000004"/>
    <x v="24"/>
    <n v="4396.6000000000004"/>
    <x v="6"/>
  </r>
  <r>
    <x v="0"/>
    <s v="Soner Kayıkçı"/>
    <x v="0"/>
    <x v="14"/>
    <x v="14"/>
    <n v="1"/>
    <s v="ADET"/>
    <n v="0"/>
    <n v="0"/>
    <n v="10"/>
    <n v="0"/>
    <n v="11"/>
    <n v="0"/>
    <n v="675"/>
    <x v="7"/>
    <n v="675"/>
    <x v="6"/>
  </r>
  <r>
    <x v="0"/>
    <s v="Soner Kayıkçı"/>
    <x v="0"/>
    <x v="10"/>
    <x v="10"/>
    <n v="0.05"/>
    <s v="KG"/>
    <n v="0"/>
    <n v="0"/>
    <n v="2.6000000000000014"/>
    <n v="0.29999999999999982"/>
    <n v="0"/>
    <n v="193.70099999999988"/>
    <n v="645.66999999999996"/>
    <x v="3"/>
    <n v="32.283499999999997"/>
    <x v="3"/>
  </r>
  <r>
    <x v="13"/>
    <s v="Matteo Giolo"/>
    <x v="0"/>
    <x v="12"/>
    <x v="12"/>
    <n v="14"/>
    <s v="ADET"/>
    <n v="0"/>
    <n v="14472"/>
    <n v="3376"/>
    <n v="-14340"/>
    <n v="0"/>
    <n v="0"/>
    <n v="0.04"/>
    <x v="5"/>
    <n v="0.56000000000000005"/>
    <x v="2"/>
  </r>
  <r>
    <x v="15"/>
    <s v="Jan Urbanek"/>
    <x v="0"/>
    <x v="12"/>
    <x v="12"/>
    <n v="2"/>
    <s v="ADET"/>
    <n v="0"/>
    <n v="14472"/>
    <n v="3376"/>
    <n v="-14340"/>
    <n v="0"/>
    <n v="0"/>
    <n v="0.04"/>
    <x v="5"/>
    <n v="0.08"/>
    <x v="2"/>
  </r>
  <r>
    <x v="13"/>
    <s v="Matteo Giolo"/>
    <x v="0"/>
    <x v="8"/>
    <x v="8"/>
    <n v="70"/>
    <s v="ADET"/>
    <n v="0"/>
    <n v="3000"/>
    <n v="1138"/>
    <n v="-1738"/>
    <n v="0"/>
    <n v="0"/>
    <n v="0.93"/>
    <x v="8"/>
    <n v="65.100000000000009"/>
    <x v="2"/>
  </r>
  <r>
    <x v="15"/>
    <s v="Jan Urbanek"/>
    <x v="0"/>
    <x v="13"/>
    <x v="13"/>
    <n v="3"/>
    <s v="ADET"/>
    <n v="0"/>
    <n v="0"/>
    <n v="128"/>
    <n v="70"/>
    <n v="40"/>
    <n v="4200"/>
    <n v="60"/>
    <x v="10"/>
    <n v="180"/>
    <x v="2"/>
  </r>
  <r>
    <x v="15"/>
    <s v="Jan Urbanek"/>
    <x v="0"/>
    <x v="14"/>
    <x v="14"/>
    <n v="1"/>
    <s v="ADET"/>
    <n v="0"/>
    <n v="0"/>
    <n v="10"/>
    <n v="0"/>
    <n v="11"/>
    <n v="0"/>
    <n v="675"/>
    <x v="7"/>
    <n v="675"/>
    <x v="6"/>
  </r>
  <r>
    <x v="13"/>
    <s v="Matteo Giolo"/>
    <x v="0"/>
    <x v="14"/>
    <x v="14"/>
    <n v="1"/>
    <s v="ADET"/>
    <n v="0"/>
    <n v="0"/>
    <n v="10"/>
    <n v="0"/>
    <n v="11"/>
    <n v="0"/>
    <n v="675"/>
    <x v="7"/>
    <n v="675"/>
    <x v="6"/>
  </r>
  <r>
    <x v="13"/>
    <s v="Matteo Giolo"/>
    <x v="0"/>
    <x v="15"/>
    <x v="15"/>
    <n v="1"/>
    <s v="ADET"/>
    <n v="0"/>
    <n v="12"/>
    <n v="13"/>
    <n v="-5"/>
    <n v="0"/>
    <n v="0"/>
    <n v="28339.38"/>
    <x v="11"/>
    <n v="28339.38"/>
    <x v="6"/>
  </r>
  <r>
    <x v="14"/>
    <s v="Stefan Zaugg"/>
    <x v="0"/>
    <x v="10"/>
    <x v="10"/>
    <n v="0.2"/>
    <s v="KG"/>
    <n v="0.2"/>
    <n v="0"/>
    <n v="2.6000000000000014"/>
    <n v="0.29999999999999982"/>
    <n v="0"/>
    <n v="193.70099999999988"/>
    <n v="645.66999999999996"/>
    <x v="3"/>
    <n v="129.13399999999999"/>
    <x v="3"/>
  </r>
  <r>
    <x v="15"/>
    <s v="Jan Urbanek"/>
    <x v="0"/>
    <x v="10"/>
    <x v="10"/>
    <n v="0.05"/>
    <s v="KG"/>
    <n v="0"/>
    <n v="0"/>
    <n v="2.6000000000000014"/>
    <n v="0.29999999999999982"/>
    <n v="0"/>
    <n v="193.70099999999988"/>
    <n v="645.66999999999996"/>
    <x v="3"/>
    <n v="32.283499999999997"/>
    <x v="3"/>
  </r>
  <r>
    <x v="13"/>
    <s v="Matteo Giolo"/>
    <x v="0"/>
    <x v="11"/>
    <x v="11"/>
    <n v="1.9259999999999999"/>
    <s v="KG"/>
    <n v="0"/>
    <n v="0"/>
    <n v="65.03100000000002"/>
    <n v="17.948"/>
    <n v="0"/>
    <n v="6991.2844399999994"/>
    <n v="389.53"/>
    <x v="3"/>
    <n v="750.23477999999989"/>
    <x v="3"/>
  </r>
  <r>
    <x v="16"/>
    <s v="Stefan Zaugg"/>
    <x v="0"/>
    <x v="89"/>
    <x v="89"/>
    <n v="1"/>
    <s v="ADET"/>
    <n v="1"/>
    <n v="10"/>
    <n v="2"/>
    <n v="-10"/>
    <n v="0"/>
    <n v="0"/>
    <n v="3400"/>
    <x v="36"/>
    <n v="3400"/>
    <x v="4"/>
  </r>
  <r>
    <x v="6"/>
    <s v="Laurent MONTAGNER"/>
    <x v="0"/>
    <x v="8"/>
    <x v="8"/>
    <n v="70"/>
    <s v="ADET"/>
    <n v="0"/>
    <n v="3000"/>
    <n v="1138"/>
    <n v="-1738"/>
    <n v="0"/>
    <n v="0"/>
    <n v="0.93"/>
    <x v="8"/>
    <n v="65.100000000000009"/>
    <x v="2"/>
  </r>
  <r>
    <x v="6"/>
    <s v="Laurent MONTAGNER"/>
    <x v="0"/>
    <x v="13"/>
    <x v="13"/>
    <n v="7"/>
    <s v="ADET"/>
    <n v="0"/>
    <n v="0"/>
    <n v="128"/>
    <n v="70"/>
    <n v="40"/>
    <n v="4200"/>
    <n v="60"/>
    <x v="10"/>
    <n v="420"/>
    <x v="2"/>
  </r>
  <r>
    <x v="0"/>
    <s v="Soner Kayıkçı"/>
    <x v="0"/>
    <x v="90"/>
    <x v="90"/>
    <n v="3"/>
    <s v="METRE"/>
    <n v="0"/>
    <n v="100"/>
    <n v="26"/>
    <n v="-85"/>
    <n v="0"/>
    <n v="0"/>
    <n v="49.1"/>
    <x v="15"/>
    <n v="147.30000000000001"/>
    <x v="7"/>
  </r>
  <r>
    <x v="12"/>
    <s v="Matteo Giolo"/>
    <x v="0"/>
    <x v="22"/>
    <x v="22"/>
    <n v="33"/>
    <s v="ADET"/>
    <n v="0"/>
    <n v="2800"/>
    <n v="2439"/>
    <n v="-1645"/>
    <n v="0"/>
    <n v="0"/>
    <n v="0.18"/>
    <x v="14"/>
    <n v="5.9399999999999995"/>
    <x v="2"/>
  </r>
  <r>
    <x v="12"/>
    <s v="Matteo Giolo"/>
    <x v="0"/>
    <x v="23"/>
    <x v="23"/>
    <n v="14"/>
    <s v="ADET"/>
    <n v="0"/>
    <n v="170"/>
    <n v="18"/>
    <n v="124"/>
    <n v="0"/>
    <n v="2046"/>
    <n v="16.5"/>
    <x v="14"/>
    <n v="231"/>
    <x v="2"/>
  </r>
  <r>
    <x v="7"/>
    <s v="Laurent MONTAGNER"/>
    <x v="0"/>
    <x v="23"/>
    <x v="23"/>
    <n v="18"/>
    <s v="ADET"/>
    <n v="0"/>
    <n v="170"/>
    <n v="18"/>
    <n v="124"/>
    <n v="0"/>
    <n v="2046"/>
    <n v="16.5"/>
    <x v="14"/>
    <n v="297"/>
    <x v="2"/>
  </r>
  <r>
    <x v="5"/>
    <s v="Matteo Giolo"/>
    <x v="0"/>
    <x v="23"/>
    <x v="23"/>
    <n v="18"/>
    <s v="ADET"/>
    <n v="0"/>
    <n v="170"/>
    <n v="18"/>
    <n v="124"/>
    <n v="0"/>
    <n v="2046"/>
    <n v="16.5"/>
    <x v="14"/>
    <n v="297"/>
    <x v="2"/>
  </r>
  <r>
    <x v="12"/>
    <s v="Matteo Giolo"/>
    <x v="0"/>
    <x v="26"/>
    <x v="26"/>
    <n v="25"/>
    <s v="ADET"/>
    <n v="0"/>
    <n v="776"/>
    <n v="367"/>
    <n v="-308"/>
    <n v="0"/>
    <n v="0"/>
    <n v="3.46"/>
    <x v="8"/>
    <n v="86.5"/>
    <x v="2"/>
  </r>
  <r>
    <x v="10"/>
    <s v="Jan Urbanek"/>
    <x v="0"/>
    <x v="22"/>
    <x v="22"/>
    <n v="33"/>
    <s v="ADET"/>
    <n v="0"/>
    <n v="2800"/>
    <n v="2439"/>
    <n v="-1645"/>
    <n v="0"/>
    <n v="0"/>
    <n v="0.18"/>
    <x v="14"/>
    <n v="5.9399999999999995"/>
    <x v="2"/>
  </r>
  <r>
    <x v="10"/>
    <s v="Jan Urbanek"/>
    <x v="0"/>
    <x v="23"/>
    <x v="23"/>
    <n v="14"/>
    <s v="ADET"/>
    <n v="0"/>
    <n v="170"/>
    <n v="18"/>
    <n v="124"/>
    <n v="0"/>
    <n v="2046"/>
    <n v="16.5"/>
    <x v="14"/>
    <n v="231"/>
    <x v="2"/>
  </r>
  <r>
    <x v="10"/>
    <s v="Jan Urbanek"/>
    <x v="0"/>
    <x v="24"/>
    <x v="24"/>
    <n v="2"/>
    <s v="ADET"/>
    <n v="0"/>
    <n v="21"/>
    <n v="30"/>
    <n v="1"/>
    <n v="0"/>
    <n v="42"/>
    <n v="42"/>
    <x v="16"/>
    <n v="84"/>
    <x v="2"/>
  </r>
  <r>
    <x v="10"/>
    <s v="Jan Urbanek"/>
    <x v="0"/>
    <x v="25"/>
    <x v="25"/>
    <n v="16"/>
    <s v="ADET"/>
    <n v="0"/>
    <n v="4822"/>
    <n v="811"/>
    <n v="-4638"/>
    <n v="0"/>
    <n v="0"/>
    <n v="0.3"/>
    <x v="14"/>
    <n v="4.8"/>
    <x v="2"/>
  </r>
  <r>
    <x v="10"/>
    <s v="Jan Urbanek"/>
    <x v="0"/>
    <x v="26"/>
    <x v="26"/>
    <n v="25"/>
    <s v="ADET"/>
    <n v="0"/>
    <n v="776"/>
    <n v="367"/>
    <n v="-308"/>
    <n v="0"/>
    <n v="0"/>
    <n v="3.46"/>
    <x v="8"/>
    <n v="86.5"/>
    <x v="2"/>
  </r>
  <r>
    <x v="8"/>
    <s v="Jan Urbanek"/>
    <x v="0"/>
    <x v="26"/>
    <x v="26"/>
    <n v="25"/>
    <s v="ADET"/>
    <n v="0"/>
    <n v="776"/>
    <n v="367"/>
    <n v="-308"/>
    <n v="0"/>
    <n v="0"/>
    <n v="3.46"/>
    <x v="8"/>
    <n v="86.5"/>
    <x v="2"/>
  </r>
  <r>
    <x v="9"/>
    <s v="Jan Urbanek"/>
    <x v="0"/>
    <x v="47"/>
    <x v="47"/>
    <n v="37"/>
    <s v="ADET"/>
    <n v="0"/>
    <n v="495"/>
    <n v="146"/>
    <n v="-22"/>
    <n v="0"/>
    <n v="0"/>
    <n v="3.75"/>
    <x v="21"/>
    <n v="138.75"/>
    <x v="2"/>
  </r>
  <r>
    <x v="9"/>
    <s v="Jan Urbanek"/>
    <x v="0"/>
    <x v="26"/>
    <x v="26"/>
    <n v="31"/>
    <s v="ADET"/>
    <n v="0"/>
    <n v="776"/>
    <n v="367"/>
    <n v="-308"/>
    <n v="0"/>
    <n v="0"/>
    <n v="3.46"/>
    <x v="8"/>
    <n v="107.26"/>
    <x v="2"/>
  </r>
  <r>
    <x v="11"/>
    <s v="Jan Urbanek"/>
    <x v="0"/>
    <x v="47"/>
    <x v="47"/>
    <n v="37"/>
    <s v="ADET"/>
    <n v="0"/>
    <n v="495"/>
    <n v="146"/>
    <n v="-22"/>
    <n v="0"/>
    <n v="0"/>
    <n v="3.75"/>
    <x v="21"/>
    <n v="138.75"/>
    <x v="2"/>
  </r>
  <r>
    <x v="1"/>
    <s v="Stina Alm"/>
    <x v="0"/>
    <x v="23"/>
    <x v="23"/>
    <n v="18"/>
    <s v="ADET"/>
    <n v="0"/>
    <n v="170"/>
    <n v="18"/>
    <n v="124"/>
    <n v="0"/>
    <n v="2046"/>
    <n v="16.5"/>
    <x v="14"/>
    <n v="297"/>
    <x v="2"/>
  </r>
  <r>
    <x v="1"/>
    <s v="Stina Alm"/>
    <x v="0"/>
    <x v="26"/>
    <x v="26"/>
    <n v="25"/>
    <s v="ADET"/>
    <n v="0"/>
    <n v="776"/>
    <n v="367"/>
    <n v="-308"/>
    <n v="0"/>
    <n v="0"/>
    <n v="3.46"/>
    <x v="8"/>
    <n v="86.5"/>
    <x v="2"/>
  </r>
  <r>
    <x v="16"/>
    <s v="Stefan Zaugg"/>
    <x v="0"/>
    <x v="21"/>
    <x v="21"/>
    <n v="3"/>
    <s v="METRE"/>
    <n v="0"/>
    <n v="100"/>
    <n v="26"/>
    <n v="-85"/>
    <n v="0"/>
    <n v="0"/>
    <n v="49.1"/>
    <x v="15"/>
    <n v="147.30000000000001"/>
    <x v="7"/>
  </r>
  <r>
    <x v="16"/>
    <s v="Stefan Zaugg"/>
    <x v="0"/>
    <x v="22"/>
    <x v="22"/>
    <n v="143"/>
    <s v="ADET"/>
    <n v="0"/>
    <n v="2800"/>
    <n v="2439"/>
    <n v="-1645"/>
    <n v="0"/>
    <n v="0"/>
    <n v="0.18"/>
    <x v="14"/>
    <n v="25.74"/>
    <x v="2"/>
  </r>
  <r>
    <x v="17"/>
    <s v="Murat Taşdemir"/>
    <x v="0"/>
    <x v="23"/>
    <x v="23"/>
    <n v="14"/>
    <s v="ADET"/>
    <n v="0"/>
    <n v="170"/>
    <n v="18"/>
    <n v="124"/>
    <n v="0"/>
    <n v="2046"/>
    <n v="16.5"/>
    <x v="14"/>
    <n v="231"/>
    <x v="2"/>
  </r>
  <r>
    <x v="16"/>
    <s v="Stefan Zaugg"/>
    <x v="0"/>
    <x v="23"/>
    <x v="23"/>
    <n v="14"/>
    <s v="ADET"/>
    <n v="0"/>
    <n v="170"/>
    <n v="18"/>
    <n v="124"/>
    <n v="0"/>
    <n v="2046"/>
    <n v="16.5"/>
    <x v="14"/>
    <n v="231"/>
    <x v="2"/>
  </r>
  <r>
    <x v="6"/>
    <s v="Laurent MONTAGNER"/>
    <x v="0"/>
    <x v="22"/>
    <x v="22"/>
    <n v="68"/>
    <s v="ADET"/>
    <n v="0"/>
    <n v="2800"/>
    <n v="2439"/>
    <n v="-1645"/>
    <n v="0"/>
    <n v="0"/>
    <n v="0.18"/>
    <x v="14"/>
    <n v="12.24"/>
    <x v="2"/>
  </r>
  <r>
    <x v="6"/>
    <s v="Laurent MONTAGNER"/>
    <x v="0"/>
    <x v="23"/>
    <x v="23"/>
    <n v="18"/>
    <s v="ADET"/>
    <n v="0"/>
    <n v="170"/>
    <n v="18"/>
    <n v="124"/>
    <n v="0"/>
    <n v="2046"/>
    <n v="16.5"/>
    <x v="14"/>
    <n v="297"/>
    <x v="2"/>
  </r>
  <r>
    <x v="6"/>
    <s v="Laurent MONTAGNER"/>
    <x v="0"/>
    <x v="26"/>
    <x v="26"/>
    <n v="25"/>
    <s v="ADET"/>
    <n v="0"/>
    <n v="776"/>
    <n v="367"/>
    <n v="-308"/>
    <n v="0"/>
    <n v="0"/>
    <n v="3.46"/>
    <x v="8"/>
    <n v="86.5"/>
    <x v="2"/>
  </r>
  <r>
    <x v="6"/>
    <s v="Laurent MONTAGNER"/>
    <x v="0"/>
    <x v="47"/>
    <x v="47"/>
    <n v="20"/>
    <s v="ADET"/>
    <n v="0"/>
    <n v="495"/>
    <n v="146"/>
    <n v="-22"/>
    <n v="0"/>
    <n v="0"/>
    <n v="3.75"/>
    <x v="21"/>
    <n v="75"/>
    <x v="2"/>
  </r>
  <r>
    <x v="2"/>
    <s v="Laurent MONTAGNER"/>
    <x v="0"/>
    <x v="47"/>
    <x v="47"/>
    <n v="16"/>
    <s v="ADET"/>
    <n v="0"/>
    <n v="495"/>
    <n v="146"/>
    <n v="-22"/>
    <n v="0"/>
    <n v="0"/>
    <n v="3.75"/>
    <x v="21"/>
    <n v="60"/>
    <x v="2"/>
  </r>
  <r>
    <x v="6"/>
    <s v="Laurent MONTAGNER"/>
    <x v="0"/>
    <x v="91"/>
    <x v="91"/>
    <n v="1"/>
    <s v="ADET"/>
    <n v="0"/>
    <n v="6"/>
    <n v="14.000000000000005"/>
    <n v="28.1"/>
    <n v="0"/>
    <n v="4097.8230000000003"/>
    <n v="145.83000000000001"/>
    <x v="21"/>
    <n v="145.83000000000001"/>
    <x v="3"/>
  </r>
  <r>
    <x v="0"/>
    <s v="Soner Kayıkçı"/>
    <x v="0"/>
    <x v="91"/>
    <x v="91"/>
    <n v="3.1"/>
    <s v="ADET"/>
    <n v="0"/>
    <n v="6"/>
    <n v="14.000000000000005"/>
    <n v="28.1"/>
    <n v="0"/>
    <n v="4097.8230000000003"/>
    <n v="145.83000000000001"/>
    <x v="21"/>
    <n v="452.07300000000004"/>
    <x v="3"/>
  </r>
  <r>
    <x v="2"/>
    <s v="Laurent MONTAGNER"/>
    <x v="0"/>
    <x v="91"/>
    <x v="91"/>
    <n v="2"/>
    <s v="ADET"/>
    <n v="0"/>
    <n v="6"/>
    <n v="14.000000000000005"/>
    <n v="28.1"/>
    <n v="0"/>
    <n v="4097.8230000000003"/>
    <n v="145.83000000000001"/>
    <x v="21"/>
    <n v="291.66000000000003"/>
    <x v="3"/>
  </r>
  <r>
    <x v="6"/>
    <s v="Laurent MONTAGNER"/>
    <x v="0"/>
    <x v="92"/>
    <x v="92"/>
    <n v="4"/>
    <s v="ADET"/>
    <n v="0"/>
    <n v="200"/>
    <n v="180"/>
    <n v="-184"/>
    <n v="0"/>
    <n v="0"/>
    <n v="5.04"/>
    <x v="8"/>
    <n v="20.16"/>
    <x v="4"/>
  </r>
  <r>
    <x v="6"/>
    <s v="Laurent MONTAGNER"/>
    <x v="0"/>
    <x v="93"/>
    <x v="93"/>
    <n v="5.5"/>
    <s v="METRE"/>
    <n v="0"/>
    <n v="125"/>
    <n v="37.499999999999908"/>
    <n v="-44.100000000000009"/>
    <n v="0"/>
    <n v="0"/>
    <n v="44"/>
    <x v="27"/>
    <n v="242"/>
    <x v="4"/>
  </r>
  <r>
    <x v="6"/>
    <s v="Laurent MONTAGNER"/>
    <x v="0"/>
    <x v="94"/>
    <x v="94"/>
    <n v="1"/>
    <s v="ADET"/>
    <n v="1"/>
    <n v="4"/>
    <n v="12"/>
    <n v="7"/>
    <n v="0"/>
    <n v="12435.01"/>
    <n v="1776.43"/>
    <x v="24"/>
    <n v="1776.43"/>
    <x v="4"/>
  </r>
  <r>
    <x v="6"/>
    <s v="Laurent MONTAGNER"/>
    <x v="0"/>
    <x v="95"/>
    <x v="95"/>
    <n v="4"/>
    <s v="ADET"/>
    <n v="0"/>
    <n v="809"/>
    <n v="0"/>
    <n v="-768"/>
    <n v="0"/>
    <n v="0"/>
    <n v="2.4"/>
    <x v="14"/>
    <n v="9.6"/>
    <x v="2"/>
  </r>
  <r>
    <x v="17"/>
    <s v="Murat Taşdemir"/>
    <x v="0"/>
    <x v="25"/>
    <x v="25"/>
    <n v="16"/>
    <s v="ADET"/>
    <n v="0"/>
    <n v="4822"/>
    <n v="811"/>
    <n v="-4638"/>
    <n v="0"/>
    <n v="0"/>
    <n v="0.3"/>
    <x v="14"/>
    <n v="4.8"/>
    <x v="2"/>
  </r>
  <r>
    <x v="15"/>
    <s v="Jan Urbanek"/>
    <x v="0"/>
    <x v="91"/>
    <x v="91"/>
    <n v="3.1"/>
    <s v="ADET"/>
    <n v="0"/>
    <n v="6"/>
    <n v="14.000000000000005"/>
    <n v="28.1"/>
    <n v="0"/>
    <n v="4097.8230000000003"/>
    <n v="145.83000000000001"/>
    <x v="21"/>
    <n v="452.07300000000004"/>
    <x v="3"/>
  </r>
  <r>
    <x v="0"/>
    <s v="Soner Kayıkçı"/>
    <x v="0"/>
    <x v="24"/>
    <x v="24"/>
    <n v="2"/>
    <s v="ADET"/>
    <n v="0"/>
    <n v="21"/>
    <n v="30"/>
    <n v="1"/>
    <n v="0"/>
    <n v="42"/>
    <n v="42"/>
    <x v="16"/>
    <n v="84"/>
    <x v="2"/>
  </r>
  <r>
    <x v="2"/>
    <s v="Laurent MONTAGNER"/>
    <x v="0"/>
    <x v="24"/>
    <x v="24"/>
    <n v="2"/>
    <s v="ADET"/>
    <n v="0"/>
    <n v="21"/>
    <n v="30"/>
    <n v="1"/>
    <n v="0"/>
    <n v="42"/>
    <n v="42"/>
    <x v="16"/>
    <n v="84"/>
    <x v="2"/>
  </r>
  <r>
    <x v="1"/>
    <s v="Stina Alm"/>
    <x v="0"/>
    <x v="25"/>
    <x v="25"/>
    <n v="16"/>
    <s v="ADET"/>
    <n v="0"/>
    <n v="4822"/>
    <n v="811"/>
    <n v="-4638"/>
    <n v="0"/>
    <n v="0"/>
    <n v="0.3"/>
    <x v="14"/>
    <n v="4.8"/>
    <x v="2"/>
  </r>
  <r>
    <x v="2"/>
    <s v="Laurent MONTAGNER"/>
    <x v="0"/>
    <x v="25"/>
    <x v="25"/>
    <n v="24"/>
    <s v="ADET"/>
    <n v="0"/>
    <n v="4822"/>
    <n v="811"/>
    <n v="-4638"/>
    <n v="0"/>
    <n v="0"/>
    <n v="0.3"/>
    <x v="14"/>
    <n v="7.1999999999999993"/>
    <x v="2"/>
  </r>
  <r>
    <x v="0"/>
    <s v="Soner Kayıkçı"/>
    <x v="0"/>
    <x v="25"/>
    <x v="25"/>
    <n v="16"/>
    <s v="ADET"/>
    <n v="0"/>
    <n v="4822"/>
    <n v="811"/>
    <n v="-4638"/>
    <n v="0"/>
    <n v="0"/>
    <n v="0.3"/>
    <x v="14"/>
    <n v="4.8"/>
    <x v="2"/>
  </r>
  <r>
    <x v="0"/>
    <s v="Soner Kayıkçı"/>
    <x v="0"/>
    <x v="26"/>
    <x v="26"/>
    <n v="25"/>
    <s v="ADET"/>
    <n v="0"/>
    <n v="776"/>
    <n v="367"/>
    <n v="-308"/>
    <n v="0"/>
    <n v="0"/>
    <n v="3.46"/>
    <x v="8"/>
    <n v="86.5"/>
    <x v="2"/>
  </r>
  <r>
    <x v="1"/>
    <s v="Stina Alm"/>
    <x v="0"/>
    <x v="47"/>
    <x v="47"/>
    <n v="21"/>
    <s v="ADET"/>
    <n v="0"/>
    <n v="495"/>
    <n v="146"/>
    <n v="-22"/>
    <n v="0"/>
    <n v="0"/>
    <n v="3.75"/>
    <x v="21"/>
    <n v="78.75"/>
    <x v="2"/>
  </r>
  <r>
    <x v="14"/>
    <s v="Stefan Zaugg"/>
    <x v="0"/>
    <x v="21"/>
    <x v="21"/>
    <n v="3"/>
    <s v="METRE"/>
    <n v="0"/>
    <n v="100"/>
    <n v="26"/>
    <n v="-85"/>
    <n v="0"/>
    <n v="0"/>
    <n v="49.1"/>
    <x v="15"/>
    <n v="147.30000000000001"/>
    <x v="7"/>
  </r>
  <r>
    <x v="19"/>
    <s v="Volkan Batkan"/>
    <x v="0"/>
    <x v="90"/>
    <x v="90"/>
    <n v="3"/>
    <s v="METRE"/>
    <n v="0"/>
    <n v="100"/>
    <n v="26"/>
    <n v="-85"/>
    <n v="0"/>
    <n v="0"/>
    <n v="49.1"/>
    <x v="15"/>
    <n v="147.30000000000001"/>
    <x v="7"/>
  </r>
  <r>
    <x v="16"/>
    <s v="Stefan Zaugg"/>
    <x v="0"/>
    <x v="90"/>
    <x v="90"/>
    <n v="3"/>
    <s v="METRE"/>
    <n v="0"/>
    <n v="100"/>
    <n v="26"/>
    <n v="-85"/>
    <n v="0"/>
    <n v="0"/>
    <n v="49.1"/>
    <x v="15"/>
    <n v="147.30000000000001"/>
    <x v="7"/>
  </r>
  <r>
    <x v="14"/>
    <s v="Stefan Zaugg"/>
    <x v="0"/>
    <x v="90"/>
    <x v="90"/>
    <n v="3"/>
    <s v="METRE"/>
    <n v="0"/>
    <n v="100"/>
    <n v="26"/>
    <n v="-85"/>
    <n v="0"/>
    <n v="0"/>
    <n v="49.1"/>
    <x v="15"/>
    <n v="147.30000000000001"/>
    <x v="7"/>
  </r>
  <r>
    <x v="19"/>
    <s v="Volkan Batkan"/>
    <x v="0"/>
    <x v="22"/>
    <x v="22"/>
    <n v="33"/>
    <s v="ADET"/>
    <n v="0"/>
    <n v="2800"/>
    <n v="2439"/>
    <n v="-1645"/>
    <n v="0"/>
    <n v="0"/>
    <n v="0.18"/>
    <x v="14"/>
    <n v="5.9399999999999995"/>
    <x v="2"/>
  </r>
  <r>
    <x v="15"/>
    <s v="Jan Urbanek"/>
    <x v="0"/>
    <x v="22"/>
    <x v="22"/>
    <n v="33"/>
    <s v="ADET"/>
    <n v="0"/>
    <n v="2800"/>
    <n v="2439"/>
    <n v="-1645"/>
    <n v="0"/>
    <n v="0"/>
    <n v="0.18"/>
    <x v="14"/>
    <n v="5.9399999999999995"/>
    <x v="2"/>
  </r>
  <r>
    <x v="14"/>
    <s v="Stefan Zaugg"/>
    <x v="0"/>
    <x v="22"/>
    <x v="22"/>
    <n v="113"/>
    <s v="ADET"/>
    <n v="0"/>
    <n v="2800"/>
    <n v="2439"/>
    <n v="-1645"/>
    <n v="0"/>
    <n v="0"/>
    <n v="0.18"/>
    <x v="14"/>
    <n v="20.34"/>
    <x v="2"/>
  </r>
  <r>
    <x v="3"/>
    <s v="Stina Alm"/>
    <x v="0"/>
    <x v="18"/>
    <x v="18"/>
    <n v="30"/>
    <s v="ADET"/>
    <n v="0"/>
    <n v="2000"/>
    <n v="7604"/>
    <n v="-1531"/>
    <n v="0"/>
    <n v="0"/>
    <n v="0.3"/>
    <x v="14"/>
    <n v="9"/>
    <x v="2"/>
  </r>
  <r>
    <x v="4"/>
    <s v="Stefan Zaugg"/>
    <x v="0"/>
    <x v="18"/>
    <x v="18"/>
    <n v="17"/>
    <s v="ADET"/>
    <n v="0"/>
    <n v="2000"/>
    <n v="7604"/>
    <n v="-1531"/>
    <n v="0"/>
    <n v="0"/>
    <n v="0.3"/>
    <x v="14"/>
    <n v="5.0999999999999996"/>
    <x v="2"/>
  </r>
  <r>
    <x v="11"/>
    <s v="Jan Urbanek"/>
    <x v="0"/>
    <x v="18"/>
    <x v="18"/>
    <n v="31"/>
    <s v="ADET"/>
    <n v="0"/>
    <n v="2000"/>
    <n v="7604"/>
    <n v="-1531"/>
    <n v="0"/>
    <n v="0"/>
    <n v="0.3"/>
    <x v="14"/>
    <n v="9.2999999999999989"/>
    <x v="2"/>
  </r>
  <r>
    <x v="0"/>
    <s v="Soner Kayıkçı"/>
    <x v="0"/>
    <x v="16"/>
    <x v="16"/>
    <n v="1"/>
    <s v="ADET"/>
    <n v="0"/>
    <n v="0"/>
    <n v="16"/>
    <n v="4"/>
    <n v="20"/>
    <n v="10905.68"/>
    <n v="2726.42"/>
    <x v="12"/>
    <n v="2726.42"/>
    <x v="5"/>
  </r>
  <r>
    <x v="2"/>
    <s v="Laurent MONTAGNER"/>
    <x v="0"/>
    <x v="16"/>
    <x v="16"/>
    <n v="1"/>
    <s v="ADET"/>
    <n v="0"/>
    <n v="0"/>
    <n v="16"/>
    <n v="4"/>
    <n v="20"/>
    <n v="10905.68"/>
    <n v="2726.42"/>
    <x v="12"/>
    <n v="2726.42"/>
    <x v="5"/>
  </r>
  <r>
    <x v="0"/>
    <s v="Soner Kayıkçı"/>
    <x v="0"/>
    <x v="17"/>
    <x v="17"/>
    <n v="1"/>
    <s v="ADET"/>
    <n v="0"/>
    <n v="17"/>
    <n v="8"/>
    <n v="-1"/>
    <n v="0"/>
    <n v="0"/>
    <n v="33.340000000000003"/>
    <x v="13"/>
    <n v="33.340000000000003"/>
    <x v="7"/>
  </r>
  <r>
    <x v="2"/>
    <s v="Laurent MONTAGNER"/>
    <x v="0"/>
    <x v="18"/>
    <x v="18"/>
    <n v="20"/>
    <s v="ADET"/>
    <n v="0"/>
    <n v="2000"/>
    <n v="7604"/>
    <n v="-1531"/>
    <n v="0"/>
    <n v="0"/>
    <n v="0.3"/>
    <x v="14"/>
    <n v="6"/>
    <x v="2"/>
  </r>
  <r>
    <x v="0"/>
    <s v="Soner Kayıkçı"/>
    <x v="0"/>
    <x v="18"/>
    <x v="18"/>
    <n v="31"/>
    <s v="ADET"/>
    <n v="0"/>
    <n v="2000"/>
    <n v="7604"/>
    <n v="-1531"/>
    <n v="0"/>
    <n v="0"/>
    <n v="0.3"/>
    <x v="14"/>
    <n v="9.2999999999999989"/>
    <x v="2"/>
  </r>
  <r>
    <x v="19"/>
    <s v="Volkan Batkan"/>
    <x v="0"/>
    <x v="16"/>
    <x v="16"/>
    <n v="1"/>
    <s v="ADET"/>
    <n v="0"/>
    <n v="0"/>
    <n v="16"/>
    <n v="4"/>
    <n v="20"/>
    <n v="10905.68"/>
    <n v="2726.42"/>
    <x v="12"/>
    <n v="2726.42"/>
    <x v="5"/>
  </r>
  <r>
    <x v="19"/>
    <s v="Volkan Batkan"/>
    <x v="0"/>
    <x v="17"/>
    <x v="17"/>
    <n v="1"/>
    <s v="ADET"/>
    <n v="1"/>
    <n v="17"/>
    <n v="8"/>
    <n v="-1"/>
    <n v="0"/>
    <n v="0"/>
    <n v="33.340000000000003"/>
    <x v="13"/>
    <n v="33.340000000000003"/>
    <x v="7"/>
  </r>
  <r>
    <x v="15"/>
    <s v="Jan Urbanek"/>
    <x v="0"/>
    <x v="18"/>
    <x v="18"/>
    <n v="31"/>
    <s v="ADET"/>
    <n v="0"/>
    <n v="2000"/>
    <n v="7604"/>
    <n v="-1531"/>
    <n v="0"/>
    <n v="0"/>
    <n v="0.3"/>
    <x v="14"/>
    <n v="9.2999999999999989"/>
    <x v="2"/>
  </r>
  <r>
    <x v="2"/>
    <s v="Laurent MONTAGNER"/>
    <x v="0"/>
    <x v="96"/>
    <x v="96"/>
    <n v="2"/>
    <s v="ADET"/>
    <n v="2"/>
    <n v="40"/>
    <n v="16"/>
    <n v="-18"/>
    <n v="0"/>
    <n v="0"/>
    <n v="375"/>
    <x v="37"/>
    <n v="750"/>
    <x v="6"/>
  </r>
  <r>
    <x v="15"/>
    <s v="Jan Urbanek"/>
    <x v="0"/>
    <x v="16"/>
    <x v="16"/>
    <n v="1"/>
    <s v="ADET"/>
    <n v="0"/>
    <n v="0"/>
    <n v="16"/>
    <n v="4"/>
    <n v="20"/>
    <n v="10905.68"/>
    <n v="2726.42"/>
    <x v="12"/>
    <n v="2726.42"/>
    <x v="5"/>
  </r>
  <r>
    <x v="15"/>
    <s v="Jan Urbanek"/>
    <x v="0"/>
    <x v="17"/>
    <x v="17"/>
    <n v="1"/>
    <s v="ADET"/>
    <n v="0"/>
    <n v="17"/>
    <n v="8"/>
    <n v="-1"/>
    <n v="0"/>
    <n v="0"/>
    <n v="33.340000000000003"/>
    <x v="13"/>
    <n v="33.340000000000003"/>
    <x v="7"/>
  </r>
  <r>
    <x v="13"/>
    <s v="Matteo Giolo"/>
    <x v="0"/>
    <x v="17"/>
    <x v="17"/>
    <n v="3"/>
    <s v="ADET"/>
    <n v="0"/>
    <n v="17"/>
    <n v="8"/>
    <n v="-1"/>
    <n v="0"/>
    <n v="0"/>
    <n v="33.340000000000003"/>
    <x v="13"/>
    <n v="100.02000000000001"/>
    <x v="7"/>
  </r>
  <r>
    <x v="13"/>
    <s v="Matteo Giolo"/>
    <x v="0"/>
    <x v="20"/>
    <x v="20"/>
    <n v="16"/>
    <s v="ADET"/>
    <n v="0"/>
    <n v="1000"/>
    <n v="0"/>
    <n v="-936"/>
    <n v="0"/>
    <n v="0"/>
    <n v="0.15"/>
    <x v="14"/>
    <n v="2.4"/>
    <x v="2"/>
  </r>
  <r>
    <x v="19"/>
    <s v="Volkan Batkan"/>
    <x v="0"/>
    <x v="18"/>
    <x v="18"/>
    <n v="31"/>
    <s v="ADET"/>
    <n v="0"/>
    <n v="2000"/>
    <n v="7604"/>
    <n v="-1531"/>
    <n v="0"/>
    <n v="0"/>
    <n v="0.3"/>
    <x v="14"/>
    <n v="9.2999999999999989"/>
    <x v="2"/>
  </r>
  <r>
    <x v="16"/>
    <s v="Stefan Zaugg"/>
    <x v="0"/>
    <x v="18"/>
    <x v="18"/>
    <n v="17"/>
    <s v="ADET"/>
    <n v="0"/>
    <n v="2000"/>
    <n v="7604"/>
    <n v="-1531"/>
    <n v="0"/>
    <n v="0"/>
    <n v="0.3"/>
    <x v="14"/>
    <n v="5.0999999999999996"/>
    <x v="2"/>
  </r>
  <r>
    <x v="14"/>
    <s v="Stefan Zaugg"/>
    <x v="0"/>
    <x v="18"/>
    <x v="18"/>
    <n v="17"/>
    <s v="ADET"/>
    <n v="0"/>
    <n v="2000"/>
    <n v="7604"/>
    <n v="-1531"/>
    <n v="0"/>
    <n v="0"/>
    <n v="0.3"/>
    <x v="14"/>
    <n v="5.0999999999999996"/>
    <x v="2"/>
  </r>
  <r>
    <x v="13"/>
    <s v="Matteo Giolo"/>
    <x v="0"/>
    <x v="18"/>
    <x v="18"/>
    <n v="30"/>
    <s v="ADET"/>
    <n v="0"/>
    <n v="2000"/>
    <n v="7604"/>
    <n v="-1531"/>
    <n v="0"/>
    <n v="0"/>
    <n v="0.3"/>
    <x v="14"/>
    <n v="9"/>
    <x v="2"/>
  </r>
  <r>
    <x v="0"/>
    <s v="Soner Kayıkçı"/>
    <x v="0"/>
    <x v="97"/>
    <x v="97"/>
    <n v="1"/>
    <s v="ADET"/>
    <n v="0"/>
    <n v="1"/>
    <n v="8"/>
    <n v="10"/>
    <n v="0"/>
    <n v="156184.20000000001"/>
    <n v="15618.42"/>
    <x v="19"/>
    <n v="15618.42"/>
    <x v="6"/>
  </r>
  <r>
    <x v="6"/>
    <s v="Laurent MONTAGNER"/>
    <x v="0"/>
    <x v="98"/>
    <x v="98"/>
    <n v="3"/>
    <s v="ADET"/>
    <n v="0"/>
    <n v="13"/>
    <n v="1"/>
    <n v="24"/>
    <n v="0"/>
    <n v="1570.08"/>
    <n v="65.42"/>
    <x v="21"/>
    <n v="196.26"/>
    <x v="4"/>
  </r>
  <r>
    <x v="2"/>
    <s v="Laurent MONTAGNER"/>
    <x v="0"/>
    <x v="99"/>
    <x v="99"/>
    <n v="0.2"/>
    <s v="KG"/>
    <n v="0"/>
    <n v="12"/>
    <n v="1.2000000000000011"/>
    <n v="-10.199999999999999"/>
    <n v="0"/>
    <n v="0"/>
    <n v="221.8"/>
    <x v="3"/>
    <n v="44.360000000000007"/>
    <x v="3"/>
  </r>
  <r>
    <x v="14"/>
    <s v="Stefan Zaugg"/>
    <x v="0"/>
    <x v="100"/>
    <x v="100"/>
    <n v="8"/>
    <s v="ADET"/>
    <n v="0"/>
    <n v="3000"/>
    <n v="10000"/>
    <n v="-2984"/>
    <n v="0"/>
    <n v="0"/>
    <n v="0.3"/>
    <x v="14"/>
    <n v="2.4"/>
    <x v="2"/>
  </r>
  <r>
    <x v="13"/>
    <s v="Matteo Giolo"/>
    <x v="0"/>
    <x v="96"/>
    <x v="96"/>
    <n v="2"/>
    <s v="ADET"/>
    <n v="0"/>
    <n v="40"/>
    <n v="16"/>
    <n v="-18"/>
    <n v="0"/>
    <n v="0"/>
    <n v="375"/>
    <x v="37"/>
    <n v="750"/>
    <x v="6"/>
  </r>
  <r>
    <x v="15"/>
    <s v="Jan Urbanek"/>
    <x v="0"/>
    <x v="97"/>
    <x v="97"/>
    <n v="1"/>
    <s v="ADET"/>
    <n v="0"/>
    <n v="1"/>
    <n v="8"/>
    <n v="10"/>
    <n v="0"/>
    <n v="156184.20000000001"/>
    <n v="15618.42"/>
    <x v="19"/>
    <n v="15618.42"/>
    <x v="6"/>
  </r>
  <r>
    <x v="1"/>
    <s v="Stina Alm"/>
    <x v="0"/>
    <x v="64"/>
    <x v="64"/>
    <n v="0.1"/>
    <s v="ADET"/>
    <n v="0"/>
    <n v="0"/>
    <n v="1.929999999999999"/>
    <n v="1.2600000000000005"/>
    <n v="0"/>
    <n v="1921.5000000000007"/>
    <n v="1525"/>
    <x v="14"/>
    <n v="152.5"/>
    <x v="2"/>
  </r>
  <r>
    <x v="0"/>
    <s v="Soner Kayıkçı"/>
    <x v="0"/>
    <x v="68"/>
    <x v="68"/>
    <n v="108.87"/>
    <s v="KG"/>
    <n v="0"/>
    <n v="-690"/>
    <n v="2123.619999999999"/>
    <n v="1819.8699999999994"/>
    <n v="0"/>
    <n v="172651.06689999995"/>
    <n v="94.87"/>
    <x v="3"/>
    <n v="10328.4969"/>
    <x v="3"/>
  </r>
  <r>
    <x v="12"/>
    <s v="Matteo Giolo"/>
    <x v="0"/>
    <x v="101"/>
    <x v="101"/>
    <n v="249"/>
    <s v="ADET"/>
    <n v="0"/>
    <n v="4000"/>
    <n v="7366"/>
    <n v="-714"/>
    <n v="0"/>
    <n v="0"/>
    <n v="0.35"/>
    <x v="14"/>
    <n v="87.149999999999991"/>
    <x v="2"/>
  </r>
  <r>
    <x v="7"/>
    <s v="Laurent MONTAGNER"/>
    <x v="0"/>
    <x v="101"/>
    <x v="101"/>
    <n v="113"/>
    <s v="ADET"/>
    <n v="0"/>
    <n v="4000"/>
    <n v="7366"/>
    <n v="-714"/>
    <n v="0"/>
    <n v="0"/>
    <n v="0.35"/>
    <x v="14"/>
    <n v="39.549999999999997"/>
    <x v="2"/>
  </r>
  <r>
    <x v="10"/>
    <s v="Jan Urbanek"/>
    <x v="0"/>
    <x v="101"/>
    <x v="101"/>
    <n v="229"/>
    <s v="ADET"/>
    <n v="0"/>
    <n v="4000"/>
    <n v="7366"/>
    <n v="-714"/>
    <n v="0"/>
    <n v="0"/>
    <n v="0.35"/>
    <x v="14"/>
    <n v="80.149999999999991"/>
    <x v="2"/>
  </r>
  <r>
    <x v="6"/>
    <s v="Laurent MONTAGNER"/>
    <x v="0"/>
    <x v="101"/>
    <x v="101"/>
    <n v="113"/>
    <s v="ADET"/>
    <n v="0"/>
    <n v="4000"/>
    <n v="7366"/>
    <n v="-714"/>
    <n v="0"/>
    <n v="0"/>
    <n v="0.35"/>
    <x v="14"/>
    <n v="39.549999999999997"/>
    <x v="2"/>
  </r>
  <r>
    <x v="5"/>
    <s v="Matteo Giolo"/>
    <x v="0"/>
    <x v="101"/>
    <x v="101"/>
    <n v="162"/>
    <s v="ADET"/>
    <n v="0"/>
    <n v="4000"/>
    <n v="7366"/>
    <n v="-714"/>
    <n v="0"/>
    <n v="0"/>
    <n v="0.35"/>
    <x v="14"/>
    <n v="56.699999999999996"/>
    <x v="2"/>
  </r>
  <r>
    <x v="4"/>
    <s v="Stefan Zaugg"/>
    <x v="0"/>
    <x v="101"/>
    <x v="101"/>
    <n v="155"/>
    <s v="ADET"/>
    <n v="0"/>
    <n v="4000"/>
    <n v="7366"/>
    <n v="-714"/>
    <n v="0"/>
    <n v="0"/>
    <n v="0.35"/>
    <x v="14"/>
    <n v="54.25"/>
    <x v="2"/>
  </r>
  <r>
    <x v="9"/>
    <s v="Jan Urbanek"/>
    <x v="0"/>
    <x v="101"/>
    <x v="101"/>
    <n v="229"/>
    <s v="ADET"/>
    <n v="0"/>
    <n v="4000"/>
    <n v="7366"/>
    <n v="-714"/>
    <n v="0"/>
    <n v="0"/>
    <n v="0.35"/>
    <x v="14"/>
    <n v="80.149999999999991"/>
    <x v="2"/>
  </r>
  <r>
    <x v="3"/>
    <s v="Stina Alm"/>
    <x v="0"/>
    <x v="101"/>
    <x v="101"/>
    <n v="129"/>
    <s v="ADET"/>
    <n v="0"/>
    <n v="4000"/>
    <n v="7366"/>
    <n v="-714"/>
    <n v="0"/>
    <n v="0"/>
    <n v="0.35"/>
    <x v="14"/>
    <n v="45.15"/>
    <x v="2"/>
  </r>
  <r>
    <x v="11"/>
    <s v="Jan Urbanek"/>
    <x v="0"/>
    <x v="101"/>
    <x v="101"/>
    <n v="229"/>
    <s v="ADET"/>
    <n v="0"/>
    <n v="4000"/>
    <n v="7366"/>
    <n v="-714"/>
    <n v="0"/>
    <n v="0"/>
    <n v="0.35"/>
    <x v="14"/>
    <n v="80.149999999999991"/>
    <x v="2"/>
  </r>
  <r>
    <x v="2"/>
    <s v="Laurent MONTAGNER"/>
    <x v="0"/>
    <x v="101"/>
    <x v="101"/>
    <n v="82"/>
    <s v="ADET"/>
    <n v="0"/>
    <n v="4000"/>
    <n v="7366"/>
    <n v="-714"/>
    <n v="0"/>
    <n v="0"/>
    <n v="0.35"/>
    <x v="14"/>
    <n v="28.7"/>
    <x v="2"/>
  </r>
  <r>
    <x v="0"/>
    <s v="Soner Kayıkçı"/>
    <x v="0"/>
    <x v="101"/>
    <x v="101"/>
    <n v="229"/>
    <s v="ADET"/>
    <n v="0"/>
    <n v="4000"/>
    <n v="7366"/>
    <n v="-714"/>
    <n v="0"/>
    <n v="0"/>
    <n v="0.35"/>
    <x v="14"/>
    <n v="80.149999999999991"/>
    <x v="2"/>
  </r>
  <r>
    <x v="19"/>
    <s v="Volkan Batkan"/>
    <x v="0"/>
    <x v="101"/>
    <x v="101"/>
    <n v="229"/>
    <s v="ADET"/>
    <n v="0"/>
    <n v="4000"/>
    <n v="7366"/>
    <n v="-714"/>
    <n v="0"/>
    <n v="0"/>
    <n v="0.35"/>
    <x v="14"/>
    <n v="80.149999999999991"/>
    <x v="2"/>
  </r>
  <r>
    <x v="15"/>
    <s v="Jan Urbanek"/>
    <x v="0"/>
    <x v="101"/>
    <x v="101"/>
    <n v="229"/>
    <s v="ADET"/>
    <n v="0"/>
    <n v="4000"/>
    <n v="7366"/>
    <n v="-714"/>
    <n v="0"/>
    <n v="0"/>
    <n v="0.35"/>
    <x v="14"/>
    <n v="80.149999999999991"/>
    <x v="2"/>
  </r>
  <r>
    <x v="14"/>
    <s v="Stefan Zaugg"/>
    <x v="0"/>
    <x v="101"/>
    <x v="101"/>
    <n v="119"/>
    <s v="ADET"/>
    <n v="0"/>
    <n v="4000"/>
    <n v="7366"/>
    <n v="-714"/>
    <n v="0"/>
    <n v="0"/>
    <n v="0.35"/>
    <x v="14"/>
    <n v="41.65"/>
    <x v="2"/>
  </r>
  <r>
    <x v="13"/>
    <s v="Matteo Giolo"/>
    <x v="0"/>
    <x v="101"/>
    <x v="101"/>
    <n v="165"/>
    <s v="ADET"/>
    <n v="0"/>
    <n v="4000"/>
    <n v="7366"/>
    <n v="-714"/>
    <n v="0"/>
    <n v="0"/>
    <n v="0.35"/>
    <x v="14"/>
    <n v="57.749999999999993"/>
    <x v="2"/>
  </r>
  <r>
    <x v="1"/>
    <s v="Stina Alm"/>
    <x v="0"/>
    <x v="102"/>
    <x v="102"/>
    <n v="4"/>
    <s v="ADET"/>
    <n v="0"/>
    <n v="415"/>
    <n v="0"/>
    <n v="-393"/>
    <n v="0"/>
    <n v="0"/>
    <n v="4.25"/>
    <x v="14"/>
    <n v="17"/>
    <x v="4"/>
  </r>
  <r>
    <x v="13"/>
    <s v="Matteo Giolo"/>
    <x v="0"/>
    <x v="102"/>
    <x v="102"/>
    <n v="4"/>
    <s v="ADET"/>
    <n v="0"/>
    <n v="415"/>
    <n v="0"/>
    <n v="-393"/>
    <n v="0"/>
    <n v="0"/>
    <n v="4.25"/>
    <x v="14"/>
    <n v="17"/>
    <x v="4"/>
  </r>
  <r>
    <x v="19"/>
    <s v="Volkan Batkan"/>
    <x v="0"/>
    <x v="103"/>
    <x v="103"/>
    <n v="2"/>
    <s v="ADET"/>
    <n v="0"/>
    <n v="222"/>
    <n v="2"/>
    <n v="-166"/>
    <n v="0"/>
    <n v="0"/>
    <n v="11.5"/>
    <x v="14"/>
    <n v="23"/>
    <x v="4"/>
  </r>
  <r>
    <x v="16"/>
    <s v="Stefan Zaugg"/>
    <x v="0"/>
    <x v="103"/>
    <x v="103"/>
    <n v="2"/>
    <s v="ADET"/>
    <n v="0"/>
    <n v="222"/>
    <n v="2"/>
    <n v="-166"/>
    <n v="0"/>
    <n v="0"/>
    <n v="11.5"/>
    <x v="14"/>
    <n v="23"/>
    <x v="4"/>
  </r>
  <r>
    <x v="14"/>
    <s v="Stefan Zaugg"/>
    <x v="0"/>
    <x v="103"/>
    <x v="103"/>
    <n v="2"/>
    <s v="ADET"/>
    <n v="0"/>
    <n v="222"/>
    <n v="2"/>
    <n v="-166"/>
    <n v="0"/>
    <n v="0"/>
    <n v="11.5"/>
    <x v="14"/>
    <n v="23"/>
    <x v="4"/>
  </r>
  <r>
    <x v="19"/>
    <s v="Volkan Batkan"/>
    <x v="0"/>
    <x v="104"/>
    <x v="104"/>
    <n v="0.7"/>
    <s v="ADET"/>
    <n v="0"/>
    <n v="2"/>
    <n v="3.3000000000000052"/>
    <n v="12.649999999999999"/>
    <n v="0"/>
    <n v="20523.36"/>
    <n v="1622.4"/>
    <x v="38"/>
    <n v="1135.68"/>
    <x v="3"/>
  </r>
  <r>
    <x v="16"/>
    <s v="Stefan Zaugg"/>
    <x v="0"/>
    <x v="104"/>
    <x v="104"/>
    <n v="0.7"/>
    <s v="ADET"/>
    <n v="0"/>
    <n v="2"/>
    <n v="3.3000000000000052"/>
    <n v="12.649999999999999"/>
    <n v="0"/>
    <n v="20523.36"/>
    <n v="1622.4"/>
    <x v="38"/>
    <n v="1135.68"/>
    <x v="3"/>
  </r>
  <r>
    <x v="6"/>
    <s v="Laurent MONTAGNER"/>
    <x v="0"/>
    <x v="103"/>
    <x v="103"/>
    <n v="2"/>
    <s v="ADET"/>
    <n v="0"/>
    <n v="222"/>
    <n v="2"/>
    <n v="-166"/>
    <n v="0"/>
    <n v="0"/>
    <n v="11.5"/>
    <x v="14"/>
    <n v="23"/>
    <x v="4"/>
  </r>
  <r>
    <x v="17"/>
    <s v="Murat Taşdemir"/>
    <x v="0"/>
    <x v="102"/>
    <x v="102"/>
    <n v="2"/>
    <s v="ADET"/>
    <n v="0"/>
    <n v="415"/>
    <n v="0"/>
    <n v="-393"/>
    <n v="0"/>
    <n v="0"/>
    <n v="4.25"/>
    <x v="14"/>
    <n v="8.5"/>
    <x v="4"/>
  </r>
  <r>
    <x v="1"/>
    <s v="Stina Alm"/>
    <x v="0"/>
    <x v="101"/>
    <x v="101"/>
    <n v="149"/>
    <s v="ADET"/>
    <n v="0"/>
    <n v="4000"/>
    <n v="7366"/>
    <n v="-714"/>
    <n v="0"/>
    <n v="0"/>
    <n v="0.35"/>
    <x v="14"/>
    <n v="52.15"/>
    <x v="2"/>
  </r>
  <r>
    <x v="17"/>
    <s v="Murat Taşdemir"/>
    <x v="0"/>
    <x v="101"/>
    <x v="101"/>
    <n v="92"/>
    <s v="ADET"/>
    <n v="0"/>
    <n v="4000"/>
    <n v="7366"/>
    <n v="-714"/>
    <n v="0"/>
    <n v="0"/>
    <n v="0.35"/>
    <x v="14"/>
    <n v="32.199999999999996"/>
    <x v="2"/>
  </r>
  <r>
    <x v="16"/>
    <s v="Stefan Zaugg"/>
    <x v="0"/>
    <x v="101"/>
    <x v="101"/>
    <n v="155"/>
    <s v="ADET"/>
    <n v="0"/>
    <n v="4000"/>
    <n v="7366"/>
    <n v="-714"/>
    <n v="0"/>
    <n v="0"/>
    <n v="0.35"/>
    <x v="14"/>
    <n v="54.25"/>
    <x v="2"/>
  </r>
  <r>
    <x v="17"/>
    <s v="Murat Taşdemir"/>
    <x v="0"/>
    <x v="57"/>
    <x v="57"/>
    <n v="40"/>
    <s v="ADET"/>
    <n v="0"/>
    <n v="2200"/>
    <n v="0"/>
    <n v="-1626"/>
    <n v="0"/>
    <n v="0"/>
    <n v="0.7"/>
    <x v="14"/>
    <n v="28"/>
    <x v="2"/>
  </r>
  <r>
    <x v="16"/>
    <s v="Stefan Zaugg"/>
    <x v="0"/>
    <x v="61"/>
    <x v="61"/>
    <n v="1"/>
    <s v="ADET"/>
    <n v="1"/>
    <n v="13"/>
    <n v="4"/>
    <n v="-6"/>
    <n v="0"/>
    <n v="0"/>
    <n v="1250"/>
    <x v="31"/>
    <n v="1250"/>
    <x v="6"/>
  </r>
  <r>
    <x v="14"/>
    <s v="Stefan Zaugg"/>
    <x v="0"/>
    <x v="61"/>
    <x v="61"/>
    <n v="1"/>
    <s v="ADET"/>
    <n v="1"/>
    <n v="13"/>
    <n v="4"/>
    <n v="-6"/>
    <n v="0"/>
    <n v="0"/>
    <n v="1250"/>
    <x v="31"/>
    <n v="1250"/>
    <x v="6"/>
  </r>
  <r>
    <x v="9"/>
    <s v="Jan Urbanek"/>
    <x v="0"/>
    <x v="57"/>
    <x v="57"/>
    <n v="45"/>
    <s v="ADET"/>
    <n v="0"/>
    <n v="2200"/>
    <n v="0"/>
    <n v="-1626"/>
    <n v="0"/>
    <n v="0"/>
    <n v="0.7"/>
    <x v="14"/>
    <n v="31.499999999999996"/>
    <x v="2"/>
  </r>
  <r>
    <x v="8"/>
    <s v="Jan Urbanek"/>
    <x v="0"/>
    <x v="61"/>
    <x v="61"/>
    <n v="1"/>
    <s v="ADET"/>
    <n v="0"/>
    <n v="13"/>
    <n v="4"/>
    <n v="-6"/>
    <n v="0"/>
    <n v="0"/>
    <n v="1250"/>
    <x v="31"/>
    <n v="1250"/>
    <x v="6"/>
  </r>
  <r>
    <x v="9"/>
    <s v="Jan Urbanek"/>
    <x v="0"/>
    <x v="61"/>
    <x v="61"/>
    <n v="1"/>
    <s v="ADET"/>
    <n v="0"/>
    <n v="13"/>
    <n v="4"/>
    <n v="-6"/>
    <n v="0"/>
    <n v="0"/>
    <n v="1250"/>
    <x v="31"/>
    <n v="1250"/>
    <x v="6"/>
  </r>
  <r>
    <x v="3"/>
    <s v="Stina Alm"/>
    <x v="0"/>
    <x v="39"/>
    <x v="39"/>
    <n v="83"/>
    <s v="ADET"/>
    <n v="0"/>
    <n v="3000"/>
    <n v="1048"/>
    <n v="-967"/>
    <n v="0"/>
    <n v="0"/>
    <n v="2.92"/>
    <x v="21"/>
    <n v="242.35999999999999"/>
    <x v="2"/>
  </r>
  <r>
    <x v="19"/>
    <s v="Volkan Batkan"/>
    <x v="0"/>
    <x v="36"/>
    <x v="36"/>
    <n v="4"/>
    <s v="METRE"/>
    <n v="0"/>
    <n v="0"/>
    <n v="0"/>
    <n v="58"/>
    <n v="200"/>
    <n v="232.57999999999998"/>
    <n v="4.01"/>
    <x v="18"/>
    <n v="16.04"/>
    <x v="5"/>
  </r>
  <r>
    <x v="17"/>
    <s v="Murat Taşdemir"/>
    <x v="0"/>
    <x v="36"/>
    <x v="36"/>
    <n v="14"/>
    <s v="METRE"/>
    <n v="0"/>
    <n v="0"/>
    <n v="0"/>
    <n v="58"/>
    <n v="200"/>
    <n v="232.57999999999998"/>
    <n v="4.01"/>
    <x v="18"/>
    <n v="56.14"/>
    <x v="5"/>
  </r>
  <r>
    <x v="15"/>
    <s v="Jan Urbanek"/>
    <x v="0"/>
    <x v="38"/>
    <x v="38"/>
    <n v="2"/>
    <s v="ADET"/>
    <n v="0"/>
    <n v="239"/>
    <n v="90"/>
    <n v="-201"/>
    <n v="0"/>
    <n v="0"/>
    <n v="4"/>
    <x v="20"/>
    <n v="8"/>
    <x v="7"/>
  </r>
  <r>
    <x v="14"/>
    <s v="Stefan Zaugg"/>
    <x v="0"/>
    <x v="38"/>
    <x v="38"/>
    <n v="2"/>
    <s v="ADET"/>
    <n v="0"/>
    <n v="239"/>
    <n v="90"/>
    <n v="-201"/>
    <n v="0"/>
    <n v="0"/>
    <n v="4"/>
    <x v="20"/>
    <n v="8"/>
    <x v="7"/>
  </r>
  <r>
    <x v="13"/>
    <s v="Matteo Giolo"/>
    <x v="0"/>
    <x v="37"/>
    <x v="37"/>
    <n v="1"/>
    <s v="ADET"/>
    <n v="0"/>
    <n v="7"/>
    <n v="10"/>
    <n v="6"/>
    <n v="0"/>
    <n v="20303.939999999999"/>
    <n v="3383.99"/>
    <x v="19"/>
    <n v="3383.99"/>
    <x v="7"/>
  </r>
  <r>
    <x v="15"/>
    <s v="Jan Urbanek"/>
    <x v="0"/>
    <x v="39"/>
    <x v="39"/>
    <n v="135"/>
    <s v="ADET"/>
    <n v="0"/>
    <n v="3000"/>
    <n v="1048"/>
    <n v="-967"/>
    <n v="0"/>
    <n v="0"/>
    <n v="2.92"/>
    <x v="21"/>
    <n v="394.2"/>
    <x v="2"/>
  </r>
  <r>
    <x v="2"/>
    <s v="Laurent MONTAGNER"/>
    <x v="0"/>
    <x v="57"/>
    <x v="57"/>
    <n v="7"/>
    <s v="ADET"/>
    <n v="0"/>
    <n v="2200"/>
    <n v="0"/>
    <n v="-1626"/>
    <n v="0"/>
    <n v="0"/>
    <n v="0.7"/>
    <x v="14"/>
    <n v="4.8999999999999995"/>
    <x v="2"/>
  </r>
  <r>
    <x v="0"/>
    <s v="Soner Kayıkçı"/>
    <x v="0"/>
    <x v="62"/>
    <x v="62"/>
    <n v="1"/>
    <s v="ADET"/>
    <n v="0"/>
    <n v="11"/>
    <n v="1"/>
    <n v="-4"/>
    <n v="0"/>
    <n v="0"/>
    <n v="582.5"/>
    <x v="21"/>
    <n v="582.5"/>
    <x v="6"/>
  </r>
  <r>
    <x v="0"/>
    <s v="Soner Kayıkçı"/>
    <x v="0"/>
    <x v="63"/>
    <x v="63"/>
    <n v="6.8"/>
    <s v="KG"/>
    <n v="0"/>
    <n v="0"/>
    <n v="233.6899999999996"/>
    <n v="63.129999999999995"/>
    <n v="0"/>
    <n v="6403.9071999999996"/>
    <n v="101.44"/>
    <x v="3"/>
    <n v="689.79199999999992"/>
    <x v="3"/>
  </r>
  <r>
    <x v="0"/>
    <s v="Soner Kayıkçı"/>
    <x v="0"/>
    <x v="105"/>
    <x v="105"/>
    <n v="4"/>
    <s v="ADET"/>
    <n v="0"/>
    <n v="100"/>
    <n v="352"/>
    <n v="-28"/>
    <n v="0"/>
    <n v="0"/>
    <n v="6.4"/>
    <x v="8"/>
    <n v="25.6"/>
    <x v="4"/>
  </r>
  <r>
    <x v="15"/>
    <s v="Jan Urbanek"/>
    <x v="0"/>
    <x v="57"/>
    <x v="57"/>
    <n v="45"/>
    <s v="ADET"/>
    <n v="0"/>
    <n v="2200"/>
    <n v="0"/>
    <n v="-1626"/>
    <n v="0"/>
    <n v="0"/>
    <n v="0.7"/>
    <x v="14"/>
    <n v="31.499999999999996"/>
    <x v="2"/>
  </r>
  <r>
    <x v="15"/>
    <s v="Jan Urbanek"/>
    <x v="0"/>
    <x v="62"/>
    <x v="62"/>
    <n v="1"/>
    <s v="ADET"/>
    <n v="0"/>
    <n v="11"/>
    <n v="1"/>
    <n v="-4"/>
    <n v="0"/>
    <n v="0"/>
    <n v="582.5"/>
    <x v="21"/>
    <n v="582.5"/>
    <x v="6"/>
  </r>
  <r>
    <x v="19"/>
    <s v="Volkan Batkan"/>
    <x v="0"/>
    <x v="61"/>
    <x v="61"/>
    <n v="1"/>
    <s v="ADET"/>
    <n v="1"/>
    <n v="13"/>
    <n v="4"/>
    <n v="-6"/>
    <n v="0"/>
    <n v="0"/>
    <n v="1250"/>
    <x v="31"/>
    <n v="1250"/>
    <x v="6"/>
  </r>
  <r>
    <x v="10"/>
    <s v="Jan Urbanek"/>
    <x v="0"/>
    <x v="62"/>
    <x v="62"/>
    <n v="1"/>
    <s v="ADET"/>
    <n v="0"/>
    <n v="11"/>
    <n v="1"/>
    <n v="-4"/>
    <n v="0"/>
    <n v="0"/>
    <n v="582.5"/>
    <x v="21"/>
    <n v="582.5"/>
    <x v="6"/>
  </r>
  <r>
    <x v="11"/>
    <s v="Jan Urbanek"/>
    <x v="0"/>
    <x v="61"/>
    <x v="61"/>
    <n v="1"/>
    <s v="ADET"/>
    <n v="0"/>
    <n v="13"/>
    <n v="4"/>
    <n v="-6"/>
    <n v="0"/>
    <n v="0"/>
    <n v="1250"/>
    <x v="31"/>
    <n v="1250"/>
    <x v="6"/>
  </r>
  <r>
    <x v="10"/>
    <s v="Jan Urbanek"/>
    <x v="0"/>
    <x v="63"/>
    <x v="63"/>
    <n v="6.8"/>
    <s v="KG"/>
    <n v="0"/>
    <n v="0"/>
    <n v="233.6899999999996"/>
    <n v="63.129999999999995"/>
    <n v="0"/>
    <n v="6403.9071999999996"/>
    <n v="101.44"/>
    <x v="3"/>
    <n v="689.79199999999992"/>
    <x v="3"/>
  </r>
  <r>
    <x v="11"/>
    <s v="Jan Urbanek"/>
    <x v="0"/>
    <x v="59"/>
    <x v="59"/>
    <n v="1"/>
    <s v="M2"/>
    <n v="0"/>
    <n v="40"/>
    <n v="20"/>
    <n v="-35.625"/>
    <n v="0"/>
    <n v="0"/>
    <n v="54.17"/>
    <x v="30"/>
    <n v="54.17"/>
    <x v="3"/>
  </r>
  <r>
    <x v="13"/>
    <s v="Matteo Giolo"/>
    <x v="0"/>
    <x v="97"/>
    <x v="97"/>
    <n v="1"/>
    <s v="ADET"/>
    <n v="0"/>
    <n v="1"/>
    <n v="8"/>
    <n v="10"/>
    <n v="0"/>
    <n v="156184.20000000001"/>
    <n v="15618.42"/>
    <x v="19"/>
    <n v="15618.42"/>
    <x v="6"/>
  </r>
  <r>
    <x v="11"/>
    <s v="Jan Urbanek"/>
    <x v="0"/>
    <x v="96"/>
    <x v="96"/>
    <n v="2"/>
    <s v="ADET"/>
    <n v="0"/>
    <n v="40"/>
    <n v="16"/>
    <n v="-18"/>
    <n v="0"/>
    <n v="0"/>
    <n v="375"/>
    <x v="37"/>
    <n v="750"/>
    <x v="6"/>
  </r>
  <r>
    <x v="17"/>
    <s v="Murat Taşdemir"/>
    <x v="0"/>
    <x v="16"/>
    <x v="16"/>
    <n v="2"/>
    <s v="ADET"/>
    <n v="0"/>
    <n v="0"/>
    <n v="16"/>
    <n v="4"/>
    <n v="20"/>
    <n v="10905.68"/>
    <n v="2726.42"/>
    <x v="12"/>
    <n v="5452.84"/>
    <x v="5"/>
  </r>
  <r>
    <x v="1"/>
    <s v="Stina Alm"/>
    <x v="0"/>
    <x v="106"/>
    <x v="106"/>
    <n v="5"/>
    <s v="METRE"/>
    <n v="0"/>
    <n v="125"/>
    <n v="16.5"/>
    <n v="-24"/>
    <n v="0"/>
    <n v="0"/>
    <n v="80.84"/>
    <x v="27"/>
    <n v="404.20000000000005"/>
    <x v="4"/>
  </r>
  <r>
    <x v="1"/>
    <s v="Stina Alm"/>
    <x v="0"/>
    <x v="99"/>
    <x v="99"/>
    <n v="0.2"/>
    <s v="KG"/>
    <n v="0"/>
    <n v="12"/>
    <n v="1.2000000000000011"/>
    <n v="-10.199999999999999"/>
    <n v="0"/>
    <n v="0"/>
    <n v="221.8"/>
    <x v="3"/>
    <n v="44.360000000000007"/>
    <x v="3"/>
  </r>
  <r>
    <x v="16"/>
    <s v="Stefan Zaugg"/>
    <x v="0"/>
    <x v="107"/>
    <x v="107"/>
    <n v="8"/>
    <s v="ADET"/>
    <n v="0"/>
    <n v="175"/>
    <n v="0"/>
    <n v="-95"/>
    <n v="0"/>
    <n v="0"/>
    <n v="8.42"/>
    <x v="8"/>
    <n v="67.36"/>
    <x v="4"/>
  </r>
  <r>
    <x v="16"/>
    <s v="Stefan Zaugg"/>
    <x v="0"/>
    <x v="106"/>
    <x v="106"/>
    <n v="4"/>
    <s v="METRE"/>
    <n v="0"/>
    <n v="125"/>
    <n v="16.5"/>
    <n v="-24"/>
    <n v="0"/>
    <n v="0"/>
    <n v="80.84"/>
    <x v="27"/>
    <n v="323.36"/>
    <x v="4"/>
  </r>
  <r>
    <x v="17"/>
    <s v="Murat Taşdemir"/>
    <x v="0"/>
    <x v="106"/>
    <x v="106"/>
    <n v="6"/>
    <s v="METRE"/>
    <n v="0"/>
    <n v="125"/>
    <n v="16.5"/>
    <n v="-24"/>
    <n v="0"/>
    <n v="0"/>
    <n v="80.84"/>
    <x v="27"/>
    <n v="485.04"/>
    <x v="4"/>
  </r>
  <r>
    <x v="1"/>
    <s v="Stina Alm"/>
    <x v="0"/>
    <x v="20"/>
    <x v="20"/>
    <n v="16"/>
    <s v="ADET"/>
    <n v="0"/>
    <n v="1000"/>
    <n v="0"/>
    <n v="-936"/>
    <n v="0"/>
    <n v="0"/>
    <n v="0.15"/>
    <x v="14"/>
    <n v="2.4"/>
    <x v="2"/>
  </r>
  <r>
    <x v="6"/>
    <s v="Laurent MONTAGNER"/>
    <x v="0"/>
    <x v="18"/>
    <x v="18"/>
    <n v="10"/>
    <s v="ADET"/>
    <n v="0"/>
    <n v="2000"/>
    <n v="7604"/>
    <n v="-1531"/>
    <n v="0"/>
    <n v="0"/>
    <n v="0.3"/>
    <x v="14"/>
    <n v="3"/>
    <x v="2"/>
  </r>
  <r>
    <x v="1"/>
    <s v="Stina Alm"/>
    <x v="0"/>
    <x v="18"/>
    <x v="18"/>
    <n v="30"/>
    <s v="ADET"/>
    <n v="0"/>
    <n v="2000"/>
    <n v="7604"/>
    <n v="-1531"/>
    <n v="0"/>
    <n v="0"/>
    <n v="0.3"/>
    <x v="14"/>
    <n v="9"/>
    <x v="2"/>
  </r>
  <r>
    <x v="16"/>
    <s v="Stefan Zaugg"/>
    <x v="0"/>
    <x v="16"/>
    <x v="16"/>
    <n v="1"/>
    <s v="ADET"/>
    <n v="0"/>
    <n v="0"/>
    <n v="16"/>
    <n v="4"/>
    <n v="20"/>
    <n v="10905.68"/>
    <n v="2726.42"/>
    <x v="12"/>
    <n v="2726.42"/>
    <x v="5"/>
  </r>
  <r>
    <x v="14"/>
    <s v="Stefan Zaugg"/>
    <x v="0"/>
    <x v="16"/>
    <x v="16"/>
    <n v="1"/>
    <s v="ADET"/>
    <n v="0"/>
    <n v="0"/>
    <n v="16"/>
    <n v="4"/>
    <n v="20"/>
    <n v="10905.68"/>
    <n v="2726.42"/>
    <x v="12"/>
    <n v="2726.42"/>
    <x v="5"/>
  </r>
  <r>
    <x v="13"/>
    <s v="Matteo Giolo"/>
    <x v="0"/>
    <x v="16"/>
    <x v="16"/>
    <n v="1"/>
    <s v="ADET"/>
    <n v="0"/>
    <n v="0"/>
    <n v="16"/>
    <n v="4"/>
    <n v="20"/>
    <n v="10905.68"/>
    <n v="2726.42"/>
    <x v="12"/>
    <n v="2726.42"/>
    <x v="5"/>
  </r>
  <r>
    <x v="16"/>
    <s v="Stefan Zaugg"/>
    <x v="0"/>
    <x v="17"/>
    <x v="17"/>
    <n v="1"/>
    <s v="ADET"/>
    <n v="1"/>
    <n v="17"/>
    <n v="8"/>
    <n v="-1"/>
    <n v="0"/>
    <n v="0"/>
    <n v="33.340000000000003"/>
    <x v="13"/>
    <n v="33.340000000000003"/>
    <x v="7"/>
  </r>
  <r>
    <x v="17"/>
    <s v="Murat Taşdemir"/>
    <x v="0"/>
    <x v="18"/>
    <x v="18"/>
    <n v="10"/>
    <s v="ADET"/>
    <n v="0"/>
    <n v="2000"/>
    <n v="7604"/>
    <n v="-1531"/>
    <n v="0"/>
    <n v="0"/>
    <n v="0.3"/>
    <x v="14"/>
    <n v="3"/>
    <x v="2"/>
  </r>
  <r>
    <x v="6"/>
    <s v="Laurent MONTAGNER"/>
    <x v="0"/>
    <x v="96"/>
    <x v="96"/>
    <n v="2"/>
    <s v="ADET"/>
    <n v="2"/>
    <n v="40"/>
    <n v="16"/>
    <n v="-18"/>
    <n v="0"/>
    <n v="0"/>
    <n v="375"/>
    <x v="37"/>
    <n v="750"/>
    <x v="6"/>
  </r>
  <r>
    <x v="1"/>
    <s v="Stina Alm"/>
    <x v="0"/>
    <x v="96"/>
    <x v="96"/>
    <n v="2"/>
    <s v="ADET"/>
    <n v="0"/>
    <n v="40"/>
    <n v="16"/>
    <n v="-18"/>
    <n v="0"/>
    <n v="0"/>
    <n v="375"/>
    <x v="37"/>
    <n v="750"/>
    <x v="6"/>
  </r>
  <r>
    <x v="1"/>
    <s v="Stina Alm"/>
    <x v="0"/>
    <x v="97"/>
    <x v="97"/>
    <n v="1"/>
    <s v="ADET"/>
    <n v="0"/>
    <n v="1"/>
    <n v="8"/>
    <n v="10"/>
    <n v="0"/>
    <n v="156184.20000000001"/>
    <n v="15618.42"/>
    <x v="19"/>
    <n v="15618.42"/>
    <x v="6"/>
  </r>
  <r>
    <x v="0"/>
    <s v="Soner Kayıkçı"/>
    <x v="0"/>
    <x v="107"/>
    <x v="107"/>
    <n v="8"/>
    <s v="ADET"/>
    <n v="0"/>
    <n v="175"/>
    <n v="0"/>
    <n v="-95"/>
    <n v="0"/>
    <n v="0"/>
    <n v="8.42"/>
    <x v="8"/>
    <n v="67.36"/>
    <x v="4"/>
  </r>
  <r>
    <x v="6"/>
    <s v="Laurent MONTAGNER"/>
    <x v="0"/>
    <x v="106"/>
    <x v="106"/>
    <n v="12"/>
    <s v="METRE"/>
    <n v="0"/>
    <n v="125"/>
    <n v="16.5"/>
    <n v="-24"/>
    <n v="0"/>
    <n v="0"/>
    <n v="80.84"/>
    <x v="27"/>
    <n v="970.08"/>
    <x v="4"/>
  </r>
  <r>
    <x v="0"/>
    <s v="Soner Kayıkçı"/>
    <x v="0"/>
    <x v="106"/>
    <x v="106"/>
    <n v="4"/>
    <s v="METRE"/>
    <n v="0"/>
    <n v="125"/>
    <n v="16.5"/>
    <n v="-24"/>
    <n v="0"/>
    <n v="0"/>
    <n v="80.84"/>
    <x v="27"/>
    <n v="323.36"/>
    <x v="4"/>
  </r>
  <r>
    <x v="2"/>
    <s v="Laurent MONTAGNER"/>
    <x v="0"/>
    <x v="106"/>
    <x v="106"/>
    <n v="7"/>
    <s v="METRE"/>
    <n v="0"/>
    <n v="125"/>
    <n v="16.5"/>
    <n v="-24"/>
    <n v="0"/>
    <n v="0"/>
    <n v="80.84"/>
    <x v="27"/>
    <n v="565.88"/>
    <x v="4"/>
  </r>
  <r>
    <x v="0"/>
    <s v="Soner Kayıkçı"/>
    <x v="0"/>
    <x v="98"/>
    <x v="98"/>
    <n v="1"/>
    <s v="ADET"/>
    <n v="0"/>
    <n v="13"/>
    <n v="1"/>
    <n v="24"/>
    <n v="0"/>
    <n v="1570.08"/>
    <n v="65.42"/>
    <x v="21"/>
    <n v="65.42"/>
    <x v="4"/>
  </r>
  <r>
    <x v="15"/>
    <s v="Jan Urbanek"/>
    <x v="0"/>
    <x v="96"/>
    <x v="96"/>
    <n v="2"/>
    <s v="ADET"/>
    <n v="0"/>
    <n v="40"/>
    <n v="16"/>
    <n v="-18"/>
    <n v="0"/>
    <n v="0"/>
    <n v="375"/>
    <x v="37"/>
    <n v="750"/>
    <x v="6"/>
  </r>
  <r>
    <x v="19"/>
    <s v="Volkan Batkan"/>
    <x v="0"/>
    <x v="97"/>
    <x v="97"/>
    <n v="1"/>
    <s v="ADET"/>
    <n v="1"/>
    <n v="1"/>
    <n v="8"/>
    <n v="10"/>
    <n v="0"/>
    <n v="156184.20000000001"/>
    <n v="15618.42"/>
    <x v="19"/>
    <n v="15618.42"/>
    <x v="6"/>
  </r>
  <r>
    <x v="19"/>
    <s v="Volkan Batkan"/>
    <x v="0"/>
    <x v="107"/>
    <x v="107"/>
    <n v="8"/>
    <s v="ADET"/>
    <n v="8"/>
    <n v="175"/>
    <n v="0"/>
    <n v="-95"/>
    <n v="0"/>
    <n v="0"/>
    <n v="8.42"/>
    <x v="8"/>
    <n v="67.36"/>
    <x v="4"/>
  </r>
  <r>
    <x v="19"/>
    <s v="Volkan Batkan"/>
    <x v="0"/>
    <x v="23"/>
    <x v="23"/>
    <n v="15"/>
    <s v="ADET"/>
    <n v="0"/>
    <n v="170"/>
    <n v="18"/>
    <n v="124"/>
    <n v="0"/>
    <n v="2046"/>
    <n v="16.5"/>
    <x v="14"/>
    <n v="247.5"/>
    <x v="2"/>
  </r>
  <r>
    <x v="13"/>
    <s v="Matteo Giolo"/>
    <x v="0"/>
    <x v="23"/>
    <x v="23"/>
    <n v="18"/>
    <s v="ADET"/>
    <n v="0"/>
    <n v="170"/>
    <n v="18"/>
    <n v="124"/>
    <n v="0"/>
    <n v="2046"/>
    <n v="16.5"/>
    <x v="14"/>
    <n v="297"/>
    <x v="2"/>
  </r>
  <r>
    <x v="15"/>
    <s v="Jan Urbanek"/>
    <x v="0"/>
    <x v="23"/>
    <x v="23"/>
    <n v="14"/>
    <s v="ADET"/>
    <n v="0"/>
    <n v="170"/>
    <n v="18"/>
    <n v="124"/>
    <n v="0"/>
    <n v="2046"/>
    <n v="16.5"/>
    <x v="14"/>
    <n v="231"/>
    <x v="2"/>
  </r>
  <r>
    <x v="14"/>
    <s v="Stefan Zaugg"/>
    <x v="0"/>
    <x v="23"/>
    <x v="23"/>
    <n v="14"/>
    <s v="ADET"/>
    <n v="0"/>
    <n v="170"/>
    <n v="18"/>
    <n v="124"/>
    <n v="0"/>
    <n v="2046"/>
    <n v="16.5"/>
    <x v="14"/>
    <n v="231"/>
    <x v="2"/>
  </r>
  <r>
    <x v="1"/>
    <s v="Stina Alm"/>
    <x v="0"/>
    <x v="91"/>
    <x v="91"/>
    <n v="1"/>
    <s v="ADET"/>
    <n v="0"/>
    <n v="6"/>
    <n v="14.000000000000005"/>
    <n v="28.1"/>
    <n v="0"/>
    <n v="4097.8230000000003"/>
    <n v="145.83000000000001"/>
    <x v="21"/>
    <n v="145.83000000000001"/>
    <x v="3"/>
  </r>
  <r>
    <x v="0"/>
    <s v="Soner Kayıkçı"/>
    <x v="0"/>
    <x v="108"/>
    <x v="108"/>
    <n v="1"/>
    <s v="ADET"/>
    <n v="0"/>
    <n v="7"/>
    <n v="4"/>
    <n v="-6"/>
    <n v="0"/>
    <n v="0"/>
    <n v="460"/>
    <x v="39"/>
    <n v="460"/>
    <x v="4"/>
  </r>
  <r>
    <x v="0"/>
    <s v="Soner Kayıkçı"/>
    <x v="0"/>
    <x v="93"/>
    <x v="93"/>
    <n v="3.3"/>
    <s v="METRE"/>
    <n v="0"/>
    <n v="125"/>
    <n v="37.499999999999908"/>
    <n v="-44.100000000000009"/>
    <n v="0"/>
    <n v="0"/>
    <n v="44"/>
    <x v="27"/>
    <n v="145.19999999999999"/>
    <x v="4"/>
  </r>
  <r>
    <x v="0"/>
    <s v="Soner Kayıkçı"/>
    <x v="0"/>
    <x v="94"/>
    <x v="94"/>
    <n v="1"/>
    <s v="ADET"/>
    <n v="0"/>
    <n v="4"/>
    <n v="12"/>
    <n v="7"/>
    <n v="0"/>
    <n v="12435.01"/>
    <n v="1776.43"/>
    <x v="24"/>
    <n v="1776.43"/>
    <x v="4"/>
  </r>
  <r>
    <x v="2"/>
    <s v="Laurent MONTAGNER"/>
    <x v="0"/>
    <x v="94"/>
    <x v="94"/>
    <n v="1"/>
    <s v="ADET"/>
    <n v="1"/>
    <n v="4"/>
    <n v="12"/>
    <n v="7"/>
    <n v="0"/>
    <n v="12435.01"/>
    <n v="1776.43"/>
    <x v="24"/>
    <n v="1776.43"/>
    <x v="4"/>
  </r>
  <r>
    <x v="0"/>
    <s v="Soner Kayıkçı"/>
    <x v="0"/>
    <x v="95"/>
    <x v="95"/>
    <n v="2"/>
    <s v="ADET"/>
    <n v="0"/>
    <n v="809"/>
    <n v="0"/>
    <n v="-768"/>
    <n v="0"/>
    <n v="0"/>
    <n v="2.4"/>
    <x v="14"/>
    <n v="4.8"/>
    <x v="2"/>
  </r>
  <r>
    <x v="15"/>
    <s v="Jan Urbanek"/>
    <x v="0"/>
    <x v="24"/>
    <x v="24"/>
    <n v="2"/>
    <s v="ADET"/>
    <n v="0"/>
    <n v="21"/>
    <n v="30"/>
    <n v="1"/>
    <n v="0"/>
    <n v="42"/>
    <n v="42"/>
    <x v="16"/>
    <n v="84"/>
    <x v="2"/>
  </r>
  <r>
    <x v="13"/>
    <s v="Matteo Giolo"/>
    <x v="0"/>
    <x v="24"/>
    <x v="24"/>
    <n v="2"/>
    <s v="ADET"/>
    <n v="0"/>
    <n v="21"/>
    <n v="30"/>
    <n v="1"/>
    <n v="0"/>
    <n v="42"/>
    <n v="42"/>
    <x v="16"/>
    <n v="84"/>
    <x v="2"/>
  </r>
  <r>
    <x v="15"/>
    <s v="Jan Urbanek"/>
    <x v="0"/>
    <x v="25"/>
    <x v="25"/>
    <n v="16"/>
    <s v="ADET"/>
    <n v="0"/>
    <n v="4822"/>
    <n v="811"/>
    <n v="-4638"/>
    <n v="0"/>
    <n v="0"/>
    <n v="0.3"/>
    <x v="14"/>
    <n v="4.8"/>
    <x v="2"/>
  </r>
  <r>
    <x v="19"/>
    <s v="Volkan Batkan"/>
    <x v="0"/>
    <x v="26"/>
    <x v="26"/>
    <n v="25"/>
    <s v="ADET"/>
    <n v="25"/>
    <n v="776"/>
    <n v="367"/>
    <n v="-308"/>
    <n v="0"/>
    <n v="0"/>
    <n v="3.46"/>
    <x v="8"/>
    <n v="86.5"/>
    <x v="2"/>
  </r>
  <r>
    <x v="15"/>
    <s v="Jan Urbanek"/>
    <x v="0"/>
    <x v="26"/>
    <x v="26"/>
    <n v="25"/>
    <s v="ADET"/>
    <n v="0"/>
    <n v="776"/>
    <n v="367"/>
    <n v="-308"/>
    <n v="0"/>
    <n v="0"/>
    <n v="3.46"/>
    <x v="8"/>
    <n v="86.5"/>
    <x v="2"/>
  </r>
  <r>
    <x v="16"/>
    <s v="Stefan Zaugg"/>
    <x v="0"/>
    <x v="26"/>
    <x v="26"/>
    <n v="25"/>
    <s v="ADET"/>
    <n v="0"/>
    <n v="776"/>
    <n v="367"/>
    <n v="-308"/>
    <n v="0"/>
    <n v="0"/>
    <n v="3.46"/>
    <x v="8"/>
    <n v="86.5"/>
    <x v="2"/>
  </r>
  <r>
    <x v="14"/>
    <s v="Stefan Zaugg"/>
    <x v="0"/>
    <x v="26"/>
    <x v="26"/>
    <n v="25"/>
    <s v="ADET"/>
    <n v="0"/>
    <n v="776"/>
    <n v="367"/>
    <n v="-308"/>
    <n v="0"/>
    <n v="0"/>
    <n v="3.46"/>
    <x v="8"/>
    <n v="86.5"/>
    <x v="2"/>
  </r>
  <r>
    <x v="13"/>
    <s v="Matteo Giolo"/>
    <x v="0"/>
    <x v="26"/>
    <x v="26"/>
    <n v="25"/>
    <s v="ADET"/>
    <n v="0"/>
    <n v="776"/>
    <n v="367"/>
    <n v="-308"/>
    <n v="0"/>
    <n v="0"/>
    <n v="3.46"/>
    <x v="8"/>
    <n v="86.5"/>
    <x v="2"/>
  </r>
  <r>
    <x v="16"/>
    <s v="Stefan Zaugg"/>
    <x v="0"/>
    <x v="47"/>
    <x v="47"/>
    <n v="13"/>
    <s v="ADET"/>
    <n v="0"/>
    <n v="495"/>
    <n v="146"/>
    <n v="-22"/>
    <n v="0"/>
    <n v="0"/>
    <n v="3.75"/>
    <x v="21"/>
    <n v="48.75"/>
    <x v="2"/>
  </r>
  <r>
    <x v="17"/>
    <s v="Murat Taşdemir"/>
    <x v="0"/>
    <x v="47"/>
    <x v="47"/>
    <n v="10"/>
    <s v="ADET"/>
    <n v="0"/>
    <n v="495"/>
    <n v="146"/>
    <n v="-22"/>
    <n v="0"/>
    <n v="0"/>
    <n v="3.75"/>
    <x v="21"/>
    <n v="37.5"/>
    <x v="2"/>
  </r>
  <r>
    <x v="17"/>
    <s v="Murat Taşdemir"/>
    <x v="0"/>
    <x v="91"/>
    <x v="91"/>
    <n v="1"/>
    <s v="ADET"/>
    <n v="0"/>
    <n v="6"/>
    <n v="14.000000000000005"/>
    <n v="28.1"/>
    <n v="0"/>
    <n v="4097.8230000000003"/>
    <n v="145.83000000000001"/>
    <x v="21"/>
    <n v="145.83000000000001"/>
    <x v="3"/>
  </r>
  <r>
    <x v="19"/>
    <s v="Volkan Batkan"/>
    <x v="0"/>
    <x v="93"/>
    <x v="93"/>
    <n v="3.3"/>
    <s v="METRE"/>
    <n v="0"/>
    <n v="125"/>
    <n v="37.499999999999908"/>
    <n v="-44.100000000000009"/>
    <n v="0"/>
    <n v="0"/>
    <n v="44"/>
    <x v="27"/>
    <n v="145.19999999999999"/>
    <x v="4"/>
  </r>
  <r>
    <x v="15"/>
    <s v="Jan Urbanek"/>
    <x v="0"/>
    <x v="93"/>
    <x v="93"/>
    <n v="3.3"/>
    <s v="METRE"/>
    <n v="0"/>
    <n v="125"/>
    <n v="37.499999999999908"/>
    <n v="-44.100000000000009"/>
    <n v="0"/>
    <n v="0"/>
    <n v="44"/>
    <x v="27"/>
    <n v="145.19999999999999"/>
    <x v="4"/>
  </r>
  <r>
    <x v="16"/>
    <s v="Stefan Zaugg"/>
    <x v="0"/>
    <x v="93"/>
    <x v="93"/>
    <n v="3.3"/>
    <s v="METRE"/>
    <n v="0"/>
    <n v="125"/>
    <n v="37.499999999999908"/>
    <n v="-44.100000000000009"/>
    <n v="0"/>
    <n v="0"/>
    <n v="44"/>
    <x v="27"/>
    <n v="145.19999999999999"/>
    <x v="4"/>
  </r>
  <r>
    <x v="14"/>
    <s v="Stefan Zaugg"/>
    <x v="0"/>
    <x v="93"/>
    <x v="93"/>
    <n v="3.3"/>
    <s v="METRE"/>
    <n v="0"/>
    <n v="125"/>
    <n v="37.499999999999908"/>
    <n v="-44.100000000000009"/>
    <n v="0"/>
    <n v="0"/>
    <n v="44"/>
    <x v="27"/>
    <n v="145.19999999999999"/>
    <x v="4"/>
  </r>
  <r>
    <x v="13"/>
    <s v="Matteo Giolo"/>
    <x v="0"/>
    <x v="93"/>
    <x v="93"/>
    <n v="5.5"/>
    <s v="METRE"/>
    <n v="0"/>
    <n v="125"/>
    <n v="37.499999999999908"/>
    <n v="-44.100000000000009"/>
    <n v="0"/>
    <n v="0"/>
    <n v="44"/>
    <x v="27"/>
    <n v="242"/>
    <x v="4"/>
  </r>
  <r>
    <x v="2"/>
    <s v="Laurent MONTAGNER"/>
    <x v="0"/>
    <x v="22"/>
    <x v="22"/>
    <n v="56"/>
    <s v="ADET"/>
    <n v="0"/>
    <n v="2800"/>
    <n v="2439"/>
    <n v="-1645"/>
    <n v="0"/>
    <n v="0"/>
    <n v="0.18"/>
    <x v="14"/>
    <n v="10.08"/>
    <x v="2"/>
  </r>
  <r>
    <x v="2"/>
    <s v="Laurent MONTAGNER"/>
    <x v="0"/>
    <x v="26"/>
    <x v="26"/>
    <n v="25"/>
    <s v="ADET"/>
    <n v="0"/>
    <n v="776"/>
    <n v="367"/>
    <n v="-308"/>
    <n v="0"/>
    <n v="0"/>
    <n v="3.46"/>
    <x v="8"/>
    <n v="86.5"/>
    <x v="2"/>
  </r>
  <r>
    <x v="0"/>
    <s v="Soner Kayıkçı"/>
    <x v="0"/>
    <x v="47"/>
    <x v="47"/>
    <n v="37"/>
    <s v="ADET"/>
    <n v="0"/>
    <n v="495"/>
    <n v="146"/>
    <n v="-22"/>
    <n v="0"/>
    <n v="0"/>
    <n v="3.75"/>
    <x v="21"/>
    <n v="138.75"/>
    <x v="2"/>
  </r>
  <r>
    <x v="13"/>
    <s v="Matteo Giolo"/>
    <x v="0"/>
    <x v="22"/>
    <x v="22"/>
    <n v="83"/>
    <s v="ADET"/>
    <n v="0"/>
    <n v="2800"/>
    <n v="2439"/>
    <n v="-1645"/>
    <n v="0"/>
    <n v="0"/>
    <n v="0.18"/>
    <x v="14"/>
    <n v="14.94"/>
    <x v="2"/>
  </r>
  <r>
    <x v="2"/>
    <s v="Laurent MONTAGNER"/>
    <x v="0"/>
    <x v="109"/>
    <x v="109"/>
    <n v="1"/>
    <s v="ADET"/>
    <n v="0"/>
    <n v="0"/>
    <n v="2"/>
    <n v="3"/>
    <n v="0"/>
    <n v="97615.14"/>
    <n v="32538.38"/>
    <x v="19"/>
    <n v="32538.38"/>
    <x v="6"/>
  </r>
  <r>
    <x v="2"/>
    <s v="Laurent MONTAGNER"/>
    <x v="0"/>
    <x v="92"/>
    <x v="92"/>
    <n v="4"/>
    <s v="ADET"/>
    <n v="0"/>
    <n v="200"/>
    <n v="180"/>
    <n v="-184"/>
    <n v="0"/>
    <n v="0"/>
    <n v="5.04"/>
    <x v="8"/>
    <n v="20.16"/>
    <x v="4"/>
  </r>
  <r>
    <x v="2"/>
    <s v="Laurent MONTAGNER"/>
    <x v="0"/>
    <x v="93"/>
    <x v="93"/>
    <n v="5.3"/>
    <s v="METRE"/>
    <n v="0"/>
    <n v="125"/>
    <n v="37.499999999999908"/>
    <n v="-44.100000000000009"/>
    <n v="0"/>
    <n v="0"/>
    <n v="44"/>
    <x v="27"/>
    <n v="233.2"/>
    <x v="4"/>
  </r>
  <r>
    <x v="1"/>
    <s v="Stina Alm"/>
    <x v="0"/>
    <x v="93"/>
    <x v="93"/>
    <n v="5.5"/>
    <s v="METRE"/>
    <n v="0"/>
    <n v="125"/>
    <n v="37.499999999999908"/>
    <n v="-44.100000000000009"/>
    <n v="0"/>
    <n v="0"/>
    <n v="44"/>
    <x v="27"/>
    <n v="242"/>
    <x v="4"/>
  </r>
  <r>
    <x v="1"/>
    <s v="Stina Alm"/>
    <x v="0"/>
    <x v="94"/>
    <x v="94"/>
    <n v="1"/>
    <s v="ADET"/>
    <n v="0"/>
    <n v="4"/>
    <n v="12"/>
    <n v="7"/>
    <n v="0"/>
    <n v="12435.01"/>
    <n v="1776.43"/>
    <x v="24"/>
    <n v="1776.43"/>
    <x v="4"/>
  </r>
  <r>
    <x v="16"/>
    <s v="Stefan Zaugg"/>
    <x v="0"/>
    <x v="25"/>
    <x v="25"/>
    <n v="16"/>
    <s v="ADET"/>
    <n v="0"/>
    <n v="4822"/>
    <n v="811"/>
    <n v="-4638"/>
    <n v="0"/>
    <n v="0"/>
    <n v="0.3"/>
    <x v="14"/>
    <n v="4.8"/>
    <x v="2"/>
  </r>
  <r>
    <x v="17"/>
    <s v="Murat Taşdemir"/>
    <x v="0"/>
    <x v="26"/>
    <x v="26"/>
    <n v="31"/>
    <s v="ADET"/>
    <n v="0"/>
    <n v="776"/>
    <n v="367"/>
    <n v="-308"/>
    <n v="0"/>
    <n v="0"/>
    <n v="3.46"/>
    <x v="8"/>
    <n v="107.26"/>
    <x v="2"/>
  </r>
  <r>
    <x v="19"/>
    <s v="Volkan Batkan"/>
    <x v="0"/>
    <x v="47"/>
    <x v="47"/>
    <n v="37"/>
    <s v="ADET"/>
    <n v="0"/>
    <n v="495"/>
    <n v="146"/>
    <n v="-22"/>
    <n v="0"/>
    <n v="0"/>
    <n v="3.75"/>
    <x v="21"/>
    <n v="138.75"/>
    <x v="2"/>
  </r>
  <r>
    <x v="16"/>
    <s v="Stefan Zaugg"/>
    <x v="0"/>
    <x v="91"/>
    <x v="91"/>
    <n v="0.1"/>
    <s v="ADET"/>
    <n v="0"/>
    <n v="6"/>
    <n v="14.000000000000005"/>
    <n v="28.1"/>
    <n v="0"/>
    <n v="4097.8230000000003"/>
    <n v="145.83000000000001"/>
    <x v="21"/>
    <n v="14.583000000000002"/>
    <x v="3"/>
  </r>
  <r>
    <x v="14"/>
    <s v="Stefan Zaugg"/>
    <x v="0"/>
    <x v="91"/>
    <x v="91"/>
    <n v="0.1"/>
    <s v="ADET"/>
    <n v="0"/>
    <n v="6"/>
    <n v="14.000000000000005"/>
    <n v="28.1"/>
    <n v="0"/>
    <n v="4097.8230000000003"/>
    <n v="145.83000000000001"/>
    <x v="21"/>
    <n v="14.583000000000002"/>
    <x v="3"/>
  </r>
  <r>
    <x v="13"/>
    <s v="Matteo Giolo"/>
    <x v="0"/>
    <x v="91"/>
    <x v="91"/>
    <n v="1"/>
    <s v="ADET"/>
    <n v="0"/>
    <n v="6"/>
    <n v="14.000000000000005"/>
    <n v="28.1"/>
    <n v="0"/>
    <n v="4097.8230000000003"/>
    <n v="145.83000000000001"/>
    <x v="21"/>
    <n v="145.83000000000001"/>
    <x v="3"/>
  </r>
  <r>
    <x v="17"/>
    <s v="Murat Taşdemir"/>
    <x v="0"/>
    <x v="92"/>
    <x v="92"/>
    <n v="4"/>
    <s v="ADET"/>
    <n v="0"/>
    <n v="200"/>
    <n v="180"/>
    <n v="-184"/>
    <n v="0"/>
    <n v="0"/>
    <n v="5.04"/>
    <x v="8"/>
    <n v="20.16"/>
    <x v="4"/>
  </r>
  <r>
    <x v="17"/>
    <s v="Murat Taşdemir"/>
    <x v="0"/>
    <x v="93"/>
    <x v="93"/>
    <n v="6.3"/>
    <s v="METRE"/>
    <n v="0"/>
    <n v="125"/>
    <n v="37.499999999999908"/>
    <n v="-44.100000000000009"/>
    <n v="0"/>
    <n v="0"/>
    <n v="44"/>
    <x v="27"/>
    <n v="277.2"/>
    <x v="4"/>
  </r>
  <r>
    <x v="17"/>
    <s v="Murat Taşdemir"/>
    <x v="0"/>
    <x v="95"/>
    <x v="95"/>
    <n v="2"/>
    <s v="ADET"/>
    <n v="0"/>
    <n v="809"/>
    <n v="0"/>
    <n v="-768"/>
    <n v="0"/>
    <n v="0"/>
    <n v="2.4"/>
    <x v="14"/>
    <n v="4.8"/>
    <x v="2"/>
  </r>
  <r>
    <x v="2"/>
    <s v="Laurent MONTAGNER"/>
    <x v="0"/>
    <x v="95"/>
    <x v="95"/>
    <n v="1"/>
    <s v="ADET"/>
    <n v="0"/>
    <n v="809"/>
    <n v="0"/>
    <n v="-768"/>
    <n v="0"/>
    <n v="0"/>
    <n v="2.4"/>
    <x v="14"/>
    <n v="2.4"/>
    <x v="2"/>
  </r>
  <r>
    <x v="15"/>
    <s v="Jan Urbanek"/>
    <x v="0"/>
    <x v="47"/>
    <x v="47"/>
    <n v="37"/>
    <s v="ADET"/>
    <n v="0"/>
    <n v="495"/>
    <n v="146"/>
    <n v="-22"/>
    <n v="0"/>
    <n v="0"/>
    <n v="3.75"/>
    <x v="21"/>
    <n v="138.75"/>
    <x v="2"/>
  </r>
  <r>
    <x v="14"/>
    <s v="Stefan Zaugg"/>
    <x v="0"/>
    <x v="47"/>
    <x v="47"/>
    <n v="7"/>
    <s v="ADET"/>
    <n v="0"/>
    <n v="495"/>
    <n v="146"/>
    <n v="-22"/>
    <n v="0"/>
    <n v="0"/>
    <n v="3.75"/>
    <x v="21"/>
    <n v="26.25"/>
    <x v="2"/>
  </r>
  <r>
    <x v="13"/>
    <s v="Matteo Giolo"/>
    <x v="0"/>
    <x v="47"/>
    <x v="47"/>
    <n v="21"/>
    <s v="ADET"/>
    <n v="0"/>
    <n v="495"/>
    <n v="146"/>
    <n v="-22"/>
    <n v="0"/>
    <n v="0"/>
    <n v="3.75"/>
    <x v="21"/>
    <n v="78.75"/>
    <x v="2"/>
  </r>
  <r>
    <x v="19"/>
    <s v="Volkan Batkan"/>
    <x v="0"/>
    <x v="91"/>
    <x v="91"/>
    <n v="3.1"/>
    <s v="ADET"/>
    <n v="0"/>
    <n v="6"/>
    <n v="14.000000000000005"/>
    <n v="28.1"/>
    <n v="0"/>
    <n v="4097.8230000000003"/>
    <n v="145.83000000000001"/>
    <x v="21"/>
    <n v="452.07300000000004"/>
    <x v="3"/>
  </r>
  <r>
    <x v="15"/>
    <s v="Jan Urbanek"/>
    <x v="0"/>
    <x v="94"/>
    <x v="94"/>
    <n v="1"/>
    <s v="ADET"/>
    <n v="0"/>
    <n v="4"/>
    <n v="12"/>
    <n v="7"/>
    <n v="0"/>
    <n v="12435.01"/>
    <n v="1776.43"/>
    <x v="24"/>
    <n v="1776.43"/>
    <x v="4"/>
  </r>
  <r>
    <x v="13"/>
    <s v="Matteo Giolo"/>
    <x v="0"/>
    <x v="94"/>
    <x v="94"/>
    <n v="1"/>
    <s v="ADET"/>
    <n v="0"/>
    <n v="4"/>
    <n v="12"/>
    <n v="7"/>
    <n v="0"/>
    <n v="12435.01"/>
    <n v="1776.43"/>
    <x v="24"/>
    <n v="1776.43"/>
    <x v="4"/>
  </r>
  <r>
    <x v="19"/>
    <s v="Volkan Batkan"/>
    <x v="0"/>
    <x v="95"/>
    <x v="95"/>
    <n v="2"/>
    <s v="ADET"/>
    <n v="0"/>
    <n v="809"/>
    <n v="0"/>
    <n v="-768"/>
    <n v="0"/>
    <n v="0"/>
    <n v="2.4"/>
    <x v="14"/>
    <n v="4.8"/>
    <x v="2"/>
  </r>
  <r>
    <x v="15"/>
    <s v="Jan Urbanek"/>
    <x v="0"/>
    <x v="95"/>
    <x v="95"/>
    <n v="2"/>
    <s v="ADET"/>
    <n v="0"/>
    <n v="809"/>
    <n v="0"/>
    <n v="-768"/>
    <n v="0"/>
    <n v="0"/>
    <n v="2.4"/>
    <x v="14"/>
    <n v="4.8"/>
    <x v="2"/>
  </r>
  <r>
    <x v="13"/>
    <s v="Matteo Giolo"/>
    <x v="0"/>
    <x v="95"/>
    <x v="95"/>
    <n v="2"/>
    <s v="ADET"/>
    <n v="0"/>
    <n v="809"/>
    <n v="0"/>
    <n v="-768"/>
    <n v="0"/>
    <n v="0"/>
    <n v="2.4"/>
    <x v="14"/>
    <n v="4.8"/>
    <x v="2"/>
  </r>
  <r>
    <x v="16"/>
    <s v="Stefan Zaugg"/>
    <x v="0"/>
    <x v="95"/>
    <x v="95"/>
    <n v="2"/>
    <s v="ADET"/>
    <n v="0"/>
    <n v="809"/>
    <n v="0"/>
    <n v="-768"/>
    <n v="0"/>
    <n v="0"/>
    <n v="2.4"/>
    <x v="14"/>
    <n v="4.8"/>
    <x v="2"/>
  </r>
  <r>
    <x v="19"/>
    <s v="Volkan Batkan"/>
    <x v="0"/>
    <x v="106"/>
    <x v="106"/>
    <n v="4"/>
    <s v="METRE"/>
    <n v="0"/>
    <n v="125"/>
    <n v="16.5"/>
    <n v="-24"/>
    <n v="0"/>
    <n v="0"/>
    <n v="80.84"/>
    <x v="27"/>
    <n v="323.36"/>
    <x v="4"/>
  </r>
  <r>
    <x v="19"/>
    <s v="Volkan Batkan"/>
    <x v="0"/>
    <x v="35"/>
    <x v="35"/>
    <n v="4"/>
    <s v="ADET"/>
    <n v="0"/>
    <n v="1400"/>
    <n v="602"/>
    <n v="-1296"/>
    <n v="0"/>
    <n v="0"/>
    <n v="0.6"/>
    <x v="14"/>
    <n v="2.4"/>
    <x v="2"/>
  </r>
  <r>
    <x v="10"/>
    <s v="Jan Urbanek"/>
    <x v="0"/>
    <x v="41"/>
    <x v="41"/>
    <n v="0.5"/>
    <s v="ADET"/>
    <n v="0"/>
    <n v="13.5"/>
    <n v="8.5"/>
    <n v="-5.3500000000000014"/>
    <n v="0"/>
    <n v="0"/>
    <n v="1600"/>
    <x v="23"/>
    <n v="800"/>
    <x v="6"/>
  </r>
  <r>
    <x v="11"/>
    <s v="Jan Urbanek"/>
    <x v="0"/>
    <x v="45"/>
    <x v="45"/>
    <n v="1"/>
    <s v="ADET"/>
    <n v="0"/>
    <n v="2"/>
    <n v="8"/>
    <n v="8"/>
    <n v="0"/>
    <n v="70583.44"/>
    <n v="8822.93"/>
    <x v="24"/>
    <n v="8822.93"/>
    <x v="4"/>
  </r>
  <r>
    <x v="11"/>
    <s v="Jan Urbanek"/>
    <x v="0"/>
    <x v="43"/>
    <x v="43"/>
    <n v="1.1000000000000001"/>
    <s v="METRE"/>
    <n v="0"/>
    <n v="0"/>
    <n v="20.30000000000009"/>
    <n v="21.1"/>
    <n v="0"/>
    <n v="2426.5"/>
    <n v="115"/>
    <x v="10"/>
    <n v="126.50000000000001"/>
    <x v="4"/>
  </r>
  <r>
    <x v="15"/>
    <s v="Jan Urbanek"/>
    <x v="0"/>
    <x v="41"/>
    <x v="41"/>
    <n v="0.5"/>
    <s v="ADET"/>
    <n v="0"/>
    <n v="13.5"/>
    <n v="8.5"/>
    <n v="-5.3500000000000014"/>
    <n v="0"/>
    <n v="0"/>
    <n v="1600"/>
    <x v="23"/>
    <n v="800"/>
    <x v="6"/>
  </r>
  <r>
    <x v="17"/>
    <s v="Murat Taşdemir"/>
    <x v="0"/>
    <x v="42"/>
    <x v="42"/>
    <n v="0.36"/>
    <s v="KG"/>
    <n v="0.36"/>
    <n v="0"/>
    <n v="24.129999999999985"/>
    <n v="4.1899999999999995"/>
    <n v="0"/>
    <n v="1667.7456999999997"/>
    <n v="398.03"/>
    <x v="3"/>
    <n v="143.29079999999999"/>
    <x v="3"/>
  </r>
  <r>
    <x v="17"/>
    <s v="Murat Taşdemir"/>
    <x v="0"/>
    <x v="44"/>
    <x v="44"/>
    <n v="18.78"/>
    <s v="KG"/>
    <n v="0"/>
    <n v="134.9"/>
    <n v="46.099999999999767"/>
    <n v="43.169999999999959"/>
    <n v="0"/>
    <n v="4160.2928999999958"/>
    <n v="96.37"/>
    <x v="3"/>
    <n v="1809.8286000000003"/>
    <x v="3"/>
  </r>
  <r>
    <x v="19"/>
    <s v="Volkan Batkan"/>
    <x v="0"/>
    <x v="46"/>
    <x v="46"/>
    <n v="0.2"/>
    <s v="KG"/>
    <n v="0"/>
    <n v="0"/>
    <n v="0"/>
    <n v="0.8"/>
    <n v="0"/>
    <n v="400"/>
    <n v="500"/>
    <x v="25"/>
    <n v="100"/>
    <x v="3"/>
  </r>
  <r>
    <x v="19"/>
    <s v="Volkan Batkan"/>
    <x v="0"/>
    <x v="45"/>
    <x v="45"/>
    <n v="1"/>
    <s v="ADET"/>
    <n v="1"/>
    <n v="2"/>
    <n v="8"/>
    <n v="8"/>
    <n v="0"/>
    <n v="70583.44"/>
    <n v="8822.93"/>
    <x v="24"/>
    <n v="8822.93"/>
    <x v="4"/>
  </r>
  <r>
    <x v="19"/>
    <s v="Volkan Batkan"/>
    <x v="0"/>
    <x v="43"/>
    <x v="43"/>
    <n v="1.1000000000000001"/>
    <s v="METRE"/>
    <n v="0"/>
    <n v="0"/>
    <n v="20.30000000000009"/>
    <n v="21.1"/>
    <n v="0"/>
    <n v="2426.5"/>
    <n v="115"/>
    <x v="10"/>
    <n v="126.50000000000001"/>
    <x v="4"/>
  </r>
  <r>
    <x v="8"/>
    <s v="Jan Urbanek"/>
    <x v="0"/>
    <x v="45"/>
    <x v="45"/>
    <n v="1"/>
    <s v="ADET"/>
    <n v="0"/>
    <n v="2"/>
    <n v="8"/>
    <n v="8"/>
    <n v="0"/>
    <n v="70583.44"/>
    <n v="8822.93"/>
    <x v="24"/>
    <n v="8822.93"/>
    <x v="4"/>
  </r>
  <r>
    <x v="9"/>
    <s v="Jan Urbanek"/>
    <x v="0"/>
    <x v="45"/>
    <x v="45"/>
    <n v="1"/>
    <s v="ADET"/>
    <n v="0"/>
    <n v="2"/>
    <n v="8"/>
    <n v="8"/>
    <n v="0"/>
    <n v="70583.44"/>
    <n v="8822.93"/>
    <x v="24"/>
    <n v="8822.93"/>
    <x v="4"/>
  </r>
  <r>
    <x v="9"/>
    <s v="Jan Urbanek"/>
    <x v="0"/>
    <x v="43"/>
    <x v="43"/>
    <n v="1.1000000000000001"/>
    <s v="METRE"/>
    <n v="0"/>
    <n v="0"/>
    <n v="20.30000000000009"/>
    <n v="21.1"/>
    <n v="0"/>
    <n v="2426.5"/>
    <n v="115"/>
    <x v="10"/>
    <n v="126.50000000000001"/>
    <x v="4"/>
  </r>
  <r>
    <x v="8"/>
    <s v="Jan Urbanek"/>
    <x v="0"/>
    <x v="43"/>
    <x v="43"/>
    <n v="1.1000000000000001"/>
    <s v="METRE"/>
    <n v="0"/>
    <n v="0"/>
    <n v="20.30000000000009"/>
    <n v="21.1"/>
    <n v="0"/>
    <n v="2426.5"/>
    <n v="115"/>
    <x v="10"/>
    <n v="126.50000000000001"/>
    <x v="4"/>
  </r>
  <r>
    <x v="17"/>
    <s v="Murat Taşdemir"/>
    <x v="0"/>
    <x v="41"/>
    <x v="41"/>
    <n v="0.5"/>
    <s v="ADET"/>
    <n v="0"/>
    <n v="13.5"/>
    <n v="8.5"/>
    <n v="-5.3500000000000014"/>
    <n v="0"/>
    <n v="0"/>
    <n v="1600"/>
    <x v="23"/>
    <n v="800"/>
    <x v="6"/>
  </r>
  <r>
    <x v="15"/>
    <s v="Jan Urbanek"/>
    <x v="0"/>
    <x v="42"/>
    <x v="42"/>
    <n v="0.35"/>
    <s v="KG"/>
    <n v="0"/>
    <n v="0"/>
    <n v="24.129999999999985"/>
    <n v="4.1899999999999995"/>
    <n v="0"/>
    <n v="1667.7456999999997"/>
    <n v="398.03"/>
    <x v="3"/>
    <n v="139.31049999999999"/>
    <x v="3"/>
  </r>
  <r>
    <x v="15"/>
    <s v="Jan Urbanek"/>
    <x v="0"/>
    <x v="44"/>
    <x v="44"/>
    <n v="8.5400000000000009"/>
    <s v="KG"/>
    <n v="0"/>
    <n v="134.9"/>
    <n v="46.099999999999767"/>
    <n v="43.169999999999959"/>
    <n v="0"/>
    <n v="4160.2928999999958"/>
    <n v="96.37"/>
    <x v="3"/>
    <n v="822.99980000000016"/>
    <x v="3"/>
  </r>
  <r>
    <x v="14"/>
    <s v="Stefan Zaugg"/>
    <x v="0"/>
    <x v="44"/>
    <x v="44"/>
    <n v="6.54"/>
    <s v="KG"/>
    <n v="0"/>
    <n v="134.9"/>
    <n v="46.099999999999767"/>
    <n v="43.169999999999959"/>
    <n v="0"/>
    <n v="4160.2928999999958"/>
    <n v="96.37"/>
    <x v="3"/>
    <n v="630.25980000000004"/>
    <x v="3"/>
  </r>
  <r>
    <x v="13"/>
    <s v="Matteo Giolo"/>
    <x v="0"/>
    <x v="44"/>
    <x v="44"/>
    <n v="9.7099999999999991"/>
    <s v="KG"/>
    <n v="0"/>
    <n v="134.9"/>
    <n v="46.099999999999767"/>
    <n v="43.169999999999959"/>
    <n v="0"/>
    <n v="4160.2928999999958"/>
    <n v="96.37"/>
    <x v="3"/>
    <n v="935.7527"/>
    <x v="3"/>
  </r>
  <r>
    <x v="16"/>
    <s v="Stefan Zaugg"/>
    <x v="0"/>
    <x v="45"/>
    <x v="45"/>
    <n v="1"/>
    <s v="ADET"/>
    <n v="1"/>
    <n v="2"/>
    <n v="8"/>
    <n v="8"/>
    <n v="0"/>
    <n v="70583.44"/>
    <n v="8822.93"/>
    <x v="24"/>
    <n v="8822.93"/>
    <x v="4"/>
  </r>
  <r>
    <x v="14"/>
    <s v="Stefan Zaugg"/>
    <x v="0"/>
    <x v="45"/>
    <x v="45"/>
    <n v="1"/>
    <s v="ADET"/>
    <n v="1"/>
    <n v="2"/>
    <n v="8"/>
    <n v="8"/>
    <n v="0"/>
    <n v="70583.44"/>
    <n v="8822.93"/>
    <x v="24"/>
    <n v="8822.93"/>
    <x v="4"/>
  </r>
  <r>
    <x v="16"/>
    <s v="Stefan Zaugg"/>
    <x v="0"/>
    <x v="43"/>
    <x v="43"/>
    <n v="1.1000000000000001"/>
    <s v="METRE"/>
    <n v="0"/>
    <n v="0"/>
    <n v="20.30000000000009"/>
    <n v="21.1"/>
    <n v="0"/>
    <n v="2426.5"/>
    <n v="115"/>
    <x v="10"/>
    <n v="126.50000000000001"/>
    <x v="4"/>
  </r>
  <r>
    <x v="14"/>
    <s v="Stefan Zaugg"/>
    <x v="0"/>
    <x v="43"/>
    <x v="43"/>
    <n v="1.1000000000000001"/>
    <s v="METRE"/>
    <n v="0"/>
    <n v="0"/>
    <n v="20.30000000000009"/>
    <n v="21.1"/>
    <n v="0"/>
    <n v="2426.5"/>
    <n v="115"/>
    <x v="10"/>
    <n v="126.50000000000001"/>
    <x v="4"/>
  </r>
  <r>
    <x v="13"/>
    <s v="Matteo Giolo"/>
    <x v="0"/>
    <x v="43"/>
    <x v="43"/>
    <n v="1.1000000000000001"/>
    <s v="METRE"/>
    <n v="0"/>
    <n v="0"/>
    <n v="20.30000000000009"/>
    <n v="21.1"/>
    <n v="0"/>
    <n v="2426.5"/>
    <n v="115"/>
    <x v="10"/>
    <n v="126.50000000000001"/>
    <x v="4"/>
  </r>
  <r>
    <x v="10"/>
    <s v="Jan Urbanek"/>
    <x v="0"/>
    <x v="110"/>
    <x v="110"/>
    <n v="0.10400000000000001"/>
    <s v="ADET"/>
    <n v="0"/>
    <n v="0"/>
    <n v="1.7763568394002505E-15"/>
    <n v="2.5820000000000007"/>
    <n v="0"/>
    <n v="4066.650000000001"/>
    <n v="1575"/>
    <x v="40"/>
    <n v="163.80000000000001"/>
    <x v="4"/>
  </r>
  <r>
    <x v="8"/>
    <s v="Jan Urbanek"/>
    <x v="0"/>
    <x v="110"/>
    <x v="110"/>
    <n v="0.10400000000000001"/>
    <s v="ADET"/>
    <n v="0"/>
    <n v="0"/>
    <n v="1.7763568394002505E-15"/>
    <n v="2.5820000000000007"/>
    <n v="0"/>
    <n v="4066.650000000001"/>
    <n v="1575"/>
    <x v="40"/>
    <n v="163.80000000000001"/>
    <x v="4"/>
  </r>
  <r>
    <x v="8"/>
    <s v="Jan Urbanek"/>
    <x v="0"/>
    <x v="111"/>
    <x v="111"/>
    <n v="1.3"/>
    <s v="ADET"/>
    <n v="0"/>
    <n v="5"/>
    <n v="0"/>
    <n v="4.6000000000000014"/>
    <n v="5"/>
    <n v="5276.2000000000016"/>
    <n v="1147"/>
    <x v="41"/>
    <n v="1491.1000000000001"/>
    <x v="5"/>
  </r>
  <r>
    <x v="13"/>
    <s v="Matteo Giolo"/>
    <x v="0"/>
    <x v="86"/>
    <x v="86"/>
    <n v="3"/>
    <s v="ADET"/>
    <n v="0"/>
    <n v="47"/>
    <n v="1"/>
    <n v="23.61999999999999"/>
    <n v="0"/>
    <n v="2361.9999999999991"/>
    <n v="100"/>
    <x v="14"/>
    <n v="300"/>
    <x v="3"/>
  </r>
  <r>
    <x v="6"/>
    <s v="Laurent MONTAGNER"/>
    <x v="0"/>
    <x v="112"/>
    <x v="112"/>
    <n v="2"/>
    <s v="ADET"/>
    <n v="0"/>
    <n v="222"/>
    <n v="90"/>
    <n v="-184"/>
    <n v="0"/>
    <n v="0"/>
    <n v="4"/>
    <x v="20"/>
    <n v="8"/>
    <x v="7"/>
  </r>
  <r>
    <x v="0"/>
    <s v="Soner Kayıkçı"/>
    <x v="0"/>
    <x v="112"/>
    <x v="112"/>
    <n v="2"/>
    <s v="ADET"/>
    <n v="0"/>
    <n v="222"/>
    <n v="90"/>
    <n v="-184"/>
    <n v="0"/>
    <n v="0"/>
    <n v="4"/>
    <x v="20"/>
    <n v="8"/>
    <x v="7"/>
  </r>
  <r>
    <x v="2"/>
    <s v="Laurent MONTAGNER"/>
    <x v="0"/>
    <x v="112"/>
    <x v="112"/>
    <n v="2"/>
    <s v="ADET"/>
    <n v="0"/>
    <n v="222"/>
    <n v="90"/>
    <n v="-184"/>
    <n v="0"/>
    <n v="0"/>
    <n v="4"/>
    <x v="20"/>
    <n v="8"/>
    <x v="7"/>
  </r>
  <r>
    <x v="0"/>
    <s v="Soner Kayıkçı"/>
    <x v="0"/>
    <x v="113"/>
    <x v="113"/>
    <n v="7"/>
    <s v="ADET"/>
    <n v="0"/>
    <n v="1100"/>
    <n v="780"/>
    <n v="-832"/>
    <n v="0"/>
    <n v="0"/>
    <n v="0.32"/>
    <x v="14"/>
    <n v="2.2400000000000002"/>
    <x v="2"/>
  </r>
  <r>
    <x v="2"/>
    <s v="Laurent MONTAGNER"/>
    <x v="0"/>
    <x v="113"/>
    <x v="113"/>
    <n v="11"/>
    <s v="ADET"/>
    <n v="0"/>
    <n v="1100"/>
    <n v="780"/>
    <n v="-832"/>
    <n v="0"/>
    <n v="0"/>
    <n v="0.32"/>
    <x v="14"/>
    <n v="3.52"/>
    <x v="2"/>
  </r>
  <r>
    <x v="0"/>
    <s v="Soner Kayıkçı"/>
    <x v="0"/>
    <x v="114"/>
    <x v="114"/>
    <n v="7"/>
    <s v="ADET"/>
    <n v="0"/>
    <n v="230"/>
    <n v="72"/>
    <n v="-172"/>
    <n v="0"/>
    <n v="0"/>
    <n v="225"/>
    <x v="42"/>
    <n v="1575"/>
    <x v="6"/>
  </r>
  <r>
    <x v="2"/>
    <s v="Laurent MONTAGNER"/>
    <x v="0"/>
    <x v="114"/>
    <x v="114"/>
    <n v="8"/>
    <s v="ADET"/>
    <n v="8"/>
    <n v="230"/>
    <n v="72"/>
    <n v="-172"/>
    <n v="0"/>
    <n v="0"/>
    <n v="225"/>
    <x v="42"/>
    <n v="1800"/>
    <x v="6"/>
  </r>
  <r>
    <x v="3"/>
    <s v="Stina Alm"/>
    <x v="0"/>
    <x v="115"/>
    <x v="115"/>
    <n v="1"/>
    <s v="ADET"/>
    <n v="0"/>
    <n v="0"/>
    <n v="0"/>
    <n v="2"/>
    <n v="0"/>
    <n v="48928.1"/>
    <n v="24464.05"/>
    <x v="43"/>
    <n v="24464.05"/>
    <x v="6"/>
  </r>
  <r>
    <x v="3"/>
    <s v="Stina Alm"/>
    <x v="0"/>
    <x v="113"/>
    <x v="113"/>
    <n v="32"/>
    <s v="ADET"/>
    <n v="0"/>
    <n v="1100"/>
    <n v="780"/>
    <n v="-832"/>
    <n v="0"/>
    <n v="0"/>
    <n v="0.32"/>
    <x v="14"/>
    <n v="10.24"/>
    <x v="2"/>
  </r>
  <r>
    <x v="12"/>
    <s v="Matteo Giolo"/>
    <x v="0"/>
    <x v="112"/>
    <x v="112"/>
    <n v="2"/>
    <s v="ADET"/>
    <n v="0"/>
    <n v="222"/>
    <n v="90"/>
    <n v="-184"/>
    <n v="0"/>
    <n v="0"/>
    <n v="4"/>
    <x v="20"/>
    <n v="8"/>
    <x v="7"/>
  </r>
  <r>
    <x v="12"/>
    <s v="Matteo Giolo"/>
    <x v="0"/>
    <x v="113"/>
    <x v="113"/>
    <n v="7"/>
    <s v="ADET"/>
    <n v="0"/>
    <n v="1100"/>
    <n v="780"/>
    <n v="-832"/>
    <n v="0"/>
    <n v="0"/>
    <n v="0.32"/>
    <x v="14"/>
    <n v="2.2400000000000002"/>
    <x v="2"/>
  </r>
  <r>
    <x v="11"/>
    <s v="Jan Urbanek"/>
    <x v="0"/>
    <x v="112"/>
    <x v="112"/>
    <n v="2"/>
    <s v="ADET"/>
    <n v="0"/>
    <n v="222"/>
    <n v="90"/>
    <n v="-184"/>
    <n v="0"/>
    <n v="0"/>
    <n v="4"/>
    <x v="20"/>
    <n v="8"/>
    <x v="7"/>
  </r>
  <r>
    <x v="11"/>
    <s v="Jan Urbanek"/>
    <x v="0"/>
    <x v="113"/>
    <x v="113"/>
    <n v="7"/>
    <s v="ADET"/>
    <n v="0"/>
    <n v="1100"/>
    <n v="780"/>
    <n v="-832"/>
    <n v="0"/>
    <n v="0"/>
    <n v="0.32"/>
    <x v="14"/>
    <n v="2.2400000000000002"/>
    <x v="2"/>
  </r>
  <r>
    <x v="11"/>
    <s v="Jan Urbanek"/>
    <x v="0"/>
    <x v="114"/>
    <x v="114"/>
    <n v="7"/>
    <s v="ADET"/>
    <n v="7"/>
    <n v="230"/>
    <n v="72"/>
    <n v="-172"/>
    <n v="0"/>
    <n v="0"/>
    <n v="225"/>
    <x v="42"/>
    <n v="1575"/>
    <x v="6"/>
  </r>
  <r>
    <x v="1"/>
    <s v="Stina Alm"/>
    <x v="0"/>
    <x v="112"/>
    <x v="112"/>
    <n v="2"/>
    <s v="ADET"/>
    <n v="0"/>
    <n v="222"/>
    <n v="90"/>
    <n v="-184"/>
    <n v="0"/>
    <n v="0"/>
    <n v="4"/>
    <x v="20"/>
    <n v="8"/>
    <x v="7"/>
  </r>
  <r>
    <x v="6"/>
    <s v="Laurent MONTAGNER"/>
    <x v="0"/>
    <x v="113"/>
    <x v="113"/>
    <n v="26"/>
    <s v="ADET"/>
    <n v="0"/>
    <n v="1100"/>
    <n v="780"/>
    <n v="-832"/>
    <n v="0"/>
    <n v="0"/>
    <n v="0.32"/>
    <x v="14"/>
    <n v="8.32"/>
    <x v="2"/>
  </r>
  <r>
    <x v="1"/>
    <s v="Stina Alm"/>
    <x v="0"/>
    <x v="113"/>
    <x v="113"/>
    <n v="32"/>
    <s v="ADET"/>
    <n v="0"/>
    <n v="1100"/>
    <n v="780"/>
    <n v="-832"/>
    <n v="0"/>
    <n v="0"/>
    <n v="0.32"/>
    <x v="14"/>
    <n v="10.24"/>
    <x v="2"/>
  </r>
  <r>
    <x v="6"/>
    <s v="Laurent MONTAGNER"/>
    <x v="0"/>
    <x v="114"/>
    <x v="114"/>
    <n v="9"/>
    <s v="ADET"/>
    <n v="0"/>
    <n v="230"/>
    <n v="72"/>
    <n v="-172"/>
    <n v="0"/>
    <n v="0"/>
    <n v="225"/>
    <x v="42"/>
    <n v="2025"/>
    <x v="6"/>
  </r>
  <r>
    <x v="4"/>
    <s v="Stefan Zaugg"/>
    <x v="0"/>
    <x v="112"/>
    <x v="112"/>
    <n v="2"/>
    <s v="ADET"/>
    <n v="0"/>
    <n v="222"/>
    <n v="90"/>
    <n v="-184"/>
    <n v="0"/>
    <n v="0"/>
    <n v="4"/>
    <x v="20"/>
    <n v="8"/>
    <x v="7"/>
  </r>
  <r>
    <x v="3"/>
    <s v="Stina Alm"/>
    <x v="0"/>
    <x v="112"/>
    <x v="112"/>
    <n v="2"/>
    <s v="ADET"/>
    <n v="0"/>
    <n v="222"/>
    <n v="90"/>
    <n v="-184"/>
    <n v="0"/>
    <n v="0"/>
    <n v="4"/>
    <x v="20"/>
    <n v="8"/>
    <x v="7"/>
  </r>
  <r>
    <x v="5"/>
    <s v="Matteo Giolo"/>
    <x v="0"/>
    <x v="113"/>
    <x v="113"/>
    <n v="26"/>
    <s v="ADET"/>
    <n v="0"/>
    <n v="1100"/>
    <n v="780"/>
    <n v="-832"/>
    <n v="0"/>
    <n v="0"/>
    <n v="0.32"/>
    <x v="14"/>
    <n v="8.32"/>
    <x v="2"/>
  </r>
  <r>
    <x v="4"/>
    <s v="Stefan Zaugg"/>
    <x v="0"/>
    <x v="113"/>
    <x v="113"/>
    <n v="7"/>
    <s v="ADET"/>
    <n v="0"/>
    <n v="1100"/>
    <n v="780"/>
    <n v="-832"/>
    <n v="0"/>
    <n v="0"/>
    <n v="0.32"/>
    <x v="14"/>
    <n v="2.2400000000000002"/>
    <x v="2"/>
  </r>
  <r>
    <x v="9"/>
    <s v="Jan Urbanek"/>
    <x v="0"/>
    <x v="112"/>
    <x v="112"/>
    <n v="2"/>
    <s v="ADET"/>
    <n v="0"/>
    <n v="222"/>
    <n v="90"/>
    <n v="-184"/>
    <n v="0"/>
    <n v="0"/>
    <n v="4"/>
    <x v="20"/>
    <n v="8"/>
    <x v="7"/>
  </r>
  <r>
    <x v="8"/>
    <s v="Jan Urbanek"/>
    <x v="0"/>
    <x v="112"/>
    <x v="112"/>
    <n v="2"/>
    <s v="ADET"/>
    <n v="0"/>
    <n v="222"/>
    <n v="90"/>
    <n v="-184"/>
    <n v="0"/>
    <n v="0"/>
    <n v="4"/>
    <x v="20"/>
    <n v="8"/>
    <x v="7"/>
  </r>
  <r>
    <x v="8"/>
    <s v="Jan Urbanek"/>
    <x v="0"/>
    <x v="113"/>
    <x v="113"/>
    <n v="7"/>
    <s v="ADET"/>
    <n v="0"/>
    <n v="1100"/>
    <n v="780"/>
    <n v="-832"/>
    <n v="0"/>
    <n v="0"/>
    <n v="0.32"/>
    <x v="14"/>
    <n v="2.2400000000000002"/>
    <x v="2"/>
  </r>
  <r>
    <x v="9"/>
    <s v="Jan Urbanek"/>
    <x v="0"/>
    <x v="114"/>
    <x v="114"/>
    <n v="7"/>
    <s v="ADET"/>
    <n v="7"/>
    <n v="230"/>
    <n v="72"/>
    <n v="-172"/>
    <n v="0"/>
    <n v="0"/>
    <n v="225"/>
    <x v="42"/>
    <n v="1575"/>
    <x v="6"/>
  </r>
  <r>
    <x v="14"/>
    <s v="Stefan Zaugg"/>
    <x v="0"/>
    <x v="95"/>
    <x v="95"/>
    <n v="2"/>
    <s v="ADET"/>
    <n v="0"/>
    <n v="809"/>
    <n v="0"/>
    <n v="-768"/>
    <n v="0"/>
    <n v="0"/>
    <n v="2.4"/>
    <x v="14"/>
    <n v="4.8"/>
    <x v="2"/>
  </r>
  <r>
    <x v="10"/>
    <s v="Jan Urbanek"/>
    <x v="0"/>
    <x v="91"/>
    <x v="91"/>
    <n v="3.1"/>
    <s v="ADET"/>
    <n v="0"/>
    <n v="6"/>
    <n v="14.000000000000005"/>
    <n v="28.1"/>
    <n v="0"/>
    <n v="4097.8230000000003"/>
    <n v="145.83000000000001"/>
    <x v="21"/>
    <n v="452.07300000000004"/>
    <x v="3"/>
  </r>
  <r>
    <x v="11"/>
    <s v="Jan Urbanek"/>
    <x v="0"/>
    <x v="93"/>
    <x v="93"/>
    <n v="3.3"/>
    <s v="METRE"/>
    <n v="0"/>
    <n v="125"/>
    <n v="37.499999999999908"/>
    <n v="-44.100000000000009"/>
    <n v="0"/>
    <n v="0"/>
    <n v="44"/>
    <x v="27"/>
    <n v="145.19999999999999"/>
    <x v="4"/>
  </r>
  <r>
    <x v="11"/>
    <s v="Jan Urbanek"/>
    <x v="0"/>
    <x v="94"/>
    <x v="94"/>
    <n v="1"/>
    <s v="ADET"/>
    <n v="0"/>
    <n v="4"/>
    <n v="12"/>
    <n v="7"/>
    <n v="0"/>
    <n v="12435.01"/>
    <n v="1776.43"/>
    <x v="24"/>
    <n v="1776.43"/>
    <x v="4"/>
  </r>
  <r>
    <x v="11"/>
    <s v="Jan Urbanek"/>
    <x v="0"/>
    <x v="95"/>
    <x v="95"/>
    <n v="2"/>
    <s v="ADET"/>
    <n v="0"/>
    <n v="809"/>
    <n v="0"/>
    <n v="-768"/>
    <n v="0"/>
    <n v="0"/>
    <n v="2.4"/>
    <x v="14"/>
    <n v="4.8"/>
    <x v="2"/>
  </r>
  <r>
    <x v="3"/>
    <s v="Stina Alm"/>
    <x v="0"/>
    <x v="26"/>
    <x v="26"/>
    <n v="25"/>
    <s v="ADET"/>
    <n v="0"/>
    <n v="776"/>
    <n v="367"/>
    <n v="-308"/>
    <n v="0"/>
    <n v="0"/>
    <n v="3.46"/>
    <x v="8"/>
    <n v="86.5"/>
    <x v="2"/>
  </r>
  <r>
    <x v="4"/>
    <s v="Stefan Zaugg"/>
    <x v="0"/>
    <x v="47"/>
    <x v="47"/>
    <n v="13"/>
    <s v="ADET"/>
    <n v="0"/>
    <n v="495"/>
    <n v="146"/>
    <n v="-22"/>
    <n v="0"/>
    <n v="0"/>
    <n v="3.75"/>
    <x v="21"/>
    <n v="48.75"/>
    <x v="2"/>
  </r>
  <r>
    <x v="8"/>
    <s v="Jan Urbanek"/>
    <x v="0"/>
    <x v="7"/>
    <x v="7"/>
    <n v="1"/>
    <s v="ADET"/>
    <n v="0"/>
    <n v="0"/>
    <n v="5"/>
    <n v="0"/>
    <n v="7"/>
    <n v="0"/>
    <n v="1491.67"/>
    <x v="7"/>
    <n v="1491.67"/>
    <x v="6"/>
  </r>
  <r>
    <x v="9"/>
    <s v="Jan Urbanek"/>
    <x v="0"/>
    <x v="7"/>
    <x v="7"/>
    <n v="1"/>
    <s v="ADET"/>
    <n v="0"/>
    <n v="0"/>
    <n v="5"/>
    <n v="0"/>
    <n v="7"/>
    <n v="0"/>
    <n v="1491.67"/>
    <x v="7"/>
    <n v="1491.67"/>
    <x v="6"/>
  </r>
  <r>
    <x v="12"/>
    <s v="Matteo Giolo"/>
    <x v="0"/>
    <x v="0"/>
    <x v="0"/>
    <n v="2"/>
    <s v="ADET"/>
    <n v="0"/>
    <n v="20"/>
    <n v="34"/>
    <n v="18"/>
    <n v="0"/>
    <n v="1476"/>
    <n v="82"/>
    <x v="0"/>
    <n v="164"/>
    <x v="0"/>
  </r>
  <r>
    <x v="5"/>
    <s v="Matteo Giolo"/>
    <x v="1"/>
    <x v="1"/>
    <x v="1"/>
    <n v="1"/>
    <s v="ADET"/>
    <n v="0"/>
    <n v="10"/>
    <n v="9"/>
    <n v="2"/>
    <n v="0"/>
    <n v="0"/>
    <m/>
    <x v="1"/>
    <m/>
    <x v="1"/>
  </r>
  <r>
    <x v="12"/>
    <s v="Matteo Giolo"/>
    <x v="0"/>
    <x v="2"/>
    <x v="2"/>
    <n v="1"/>
    <s v="ADET"/>
    <n v="0"/>
    <n v="25"/>
    <n v="18"/>
    <n v="-6"/>
    <n v="0"/>
    <n v="0"/>
    <n v="225"/>
    <x v="2"/>
    <n v="225"/>
    <x v="2"/>
  </r>
  <r>
    <x v="11"/>
    <s v="Jan Urbanek"/>
    <x v="0"/>
    <x v="0"/>
    <x v="0"/>
    <n v="2"/>
    <s v="ADET"/>
    <n v="0"/>
    <n v="20"/>
    <n v="34"/>
    <n v="18"/>
    <n v="0"/>
    <n v="1476"/>
    <n v="82"/>
    <x v="0"/>
    <n v="164"/>
    <x v="0"/>
  </r>
  <r>
    <x v="9"/>
    <s v="Jan Urbanek"/>
    <x v="1"/>
    <x v="1"/>
    <x v="1"/>
    <n v="1"/>
    <s v="ADET"/>
    <n v="0"/>
    <n v="10"/>
    <n v="9"/>
    <n v="2"/>
    <n v="0"/>
    <n v="0"/>
    <m/>
    <x v="1"/>
    <m/>
    <x v="1"/>
  </r>
  <r>
    <x v="8"/>
    <s v="Jan Urbanek"/>
    <x v="1"/>
    <x v="1"/>
    <x v="1"/>
    <n v="1"/>
    <s v="ADET"/>
    <n v="0"/>
    <n v="10"/>
    <n v="9"/>
    <n v="2"/>
    <n v="0"/>
    <n v="0"/>
    <m/>
    <x v="1"/>
    <m/>
    <x v="1"/>
  </r>
  <r>
    <x v="11"/>
    <s v="Jan Urbanek"/>
    <x v="0"/>
    <x v="2"/>
    <x v="2"/>
    <n v="1"/>
    <s v="ADET"/>
    <n v="0"/>
    <n v="25"/>
    <n v="18"/>
    <n v="-6"/>
    <n v="0"/>
    <n v="0"/>
    <n v="225"/>
    <x v="2"/>
    <n v="225"/>
    <x v="2"/>
  </r>
  <r>
    <x v="11"/>
    <s v="Jan Urbanek"/>
    <x v="0"/>
    <x v="7"/>
    <x v="7"/>
    <n v="1"/>
    <s v="ADET"/>
    <n v="0"/>
    <n v="0"/>
    <n v="5"/>
    <n v="0"/>
    <n v="7"/>
    <n v="0"/>
    <n v="1491.67"/>
    <x v="7"/>
    <n v="1491.67"/>
    <x v="6"/>
  </r>
  <r>
    <x v="11"/>
    <s v="Jan Urbanek"/>
    <x v="0"/>
    <x v="3"/>
    <x v="3"/>
    <n v="35.28"/>
    <s v="KG"/>
    <n v="0"/>
    <n v="0"/>
    <n v="437.82000000000016"/>
    <n v="348.62999999999988"/>
    <n v="0"/>
    <n v="33597.473099999988"/>
    <n v="96.37"/>
    <x v="3"/>
    <n v="3399.9336000000003"/>
    <x v="3"/>
  </r>
  <r>
    <x v="13"/>
    <s v="Matteo Giolo"/>
    <x v="0"/>
    <x v="0"/>
    <x v="0"/>
    <n v="2"/>
    <s v="ADET"/>
    <n v="0"/>
    <n v="20"/>
    <n v="34"/>
    <n v="18"/>
    <n v="0"/>
    <n v="1476"/>
    <n v="82"/>
    <x v="0"/>
    <n v="164"/>
    <x v="0"/>
  </r>
  <r>
    <x v="17"/>
    <s v="Murat Taşdemir"/>
    <x v="1"/>
    <x v="1"/>
    <x v="1"/>
    <n v="1"/>
    <s v="ADET"/>
    <n v="1"/>
    <n v="10"/>
    <n v="9"/>
    <n v="2"/>
    <n v="0"/>
    <n v="0"/>
    <m/>
    <x v="1"/>
    <m/>
    <x v="1"/>
  </r>
  <r>
    <x v="19"/>
    <s v="Volkan Batkan"/>
    <x v="0"/>
    <x v="2"/>
    <x v="2"/>
    <n v="1"/>
    <s v="ADET"/>
    <n v="0"/>
    <n v="25"/>
    <n v="18"/>
    <n v="-6"/>
    <n v="0"/>
    <n v="0"/>
    <n v="225"/>
    <x v="2"/>
    <n v="225"/>
    <x v="2"/>
  </r>
  <r>
    <x v="19"/>
    <s v="Volkan Batkan"/>
    <x v="0"/>
    <x v="7"/>
    <x v="7"/>
    <n v="1"/>
    <s v="ADET"/>
    <n v="1"/>
    <n v="0"/>
    <n v="5"/>
    <n v="0"/>
    <n v="7"/>
    <n v="0"/>
    <n v="1491.67"/>
    <x v="7"/>
    <n v="1491.67"/>
    <x v="6"/>
  </r>
  <r>
    <x v="19"/>
    <s v="Volkan Batkan"/>
    <x v="0"/>
    <x v="3"/>
    <x v="3"/>
    <n v="32.279999999999994"/>
    <s v="KG"/>
    <n v="32.279999999999994"/>
    <n v="0"/>
    <n v="437.82000000000016"/>
    <n v="348.62999999999988"/>
    <n v="0"/>
    <n v="33597.473099999988"/>
    <n v="96.37"/>
    <x v="3"/>
    <n v="3110.8235999999997"/>
    <x v="3"/>
  </r>
  <r>
    <x v="16"/>
    <s v="Stefan Zaugg"/>
    <x v="0"/>
    <x v="116"/>
    <x v="116"/>
    <n v="2.1"/>
    <s v="KG"/>
    <n v="2.1"/>
    <n v="66"/>
    <n v="36.349999999999987"/>
    <n v="-17.090000000000018"/>
    <n v="0"/>
    <n v="0"/>
    <n v="129.63"/>
    <x v="14"/>
    <n v="272.22300000000001"/>
    <x v="3"/>
  </r>
  <r>
    <x v="17"/>
    <s v="Murat Taşdemir"/>
    <x v="0"/>
    <x v="116"/>
    <x v="116"/>
    <n v="8.9"/>
    <s v="KG"/>
    <n v="0"/>
    <n v="66"/>
    <n v="36.349999999999987"/>
    <n v="-17.090000000000018"/>
    <n v="0"/>
    <n v="0"/>
    <n v="129.63"/>
    <x v="14"/>
    <n v="1153.7070000000001"/>
    <x v="3"/>
  </r>
  <r>
    <x v="9"/>
    <s v="Jan Urbanek"/>
    <x v="0"/>
    <x v="116"/>
    <x v="116"/>
    <n v="4"/>
    <s v="KG"/>
    <n v="0"/>
    <n v="66"/>
    <n v="36.349999999999987"/>
    <n v="-17.090000000000018"/>
    <n v="0"/>
    <n v="0"/>
    <n v="129.63"/>
    <x v="14"/>
    <n v="518.52"/>
    <x v="3"/>
  </r>
  <r>
    <x v="11"/>
    <s v="Jan Urbanek"/>
    <x v="1"/>
    <x v="1"/>
    <x v="1"/>
    <n v="1"/>
    <s v="ADET"/>
    <n v="0"/>
    <n v="10"/>
    <n v="9"/>
    <n v="2"/>
    <n v="0"/>
    <n v="0"/>
    <m/>
    <x v="1"/>
    <m/>
    <x v="1"/>
  </r>
  <r>
    <x v="14"/>
    <s v="Stefan Zaugg"/>
    <x v="0"/>
    <x v="6"/>
    <x v="6"/>
    <n v="21"/>
    <s v="METRE"/>
    <n v="0"/>
    <n v="150"/>
    <n v="0"/>
    <n v="-76"/>
    <n v="0"/>
    <n v="0"/>
    <n v="320"/>
    <x v="6"/>
    <n v="6720"/>
    <x v="5"/>
  </r>
  <r>
    <x v="19"/>
    <s v="Volkan Batkan"/>
    <x v="0"/>
    <x v="0"/>
    <x v="0"/>
    <n v="2"/>
    <s v="ADET"/>
    <n v="0"/>
    <n v="20"/>
    <n v="34"/>
    <n v="18"/>
    <n v="0"/>
    <n v="1476"/>
    <n v="82"/>
    <x v="0"/>
    <n v="164"/>
    <x v="0"/>
  </r>
  <r>
    <x v="15"/>
    <s v="Jan Urbanek"/>
    <x v="0"/>
    <x v="63"/>
    <x v="63"/>
    <n v="6.8"/>
    <s v="KG"/>
    <n v="0"/>
    <n v="0"/>
    <n v="233.6899999999996"/>
    <n v="63.129999999999995"/>
    <n v="0"/>
    <n v="6403.9071999999996"/>
    <n v="101.44"/>
    <x v="3"/>
    <n v="689.79199999999992"/>
    <x v="3"/>
  </r>
  <r>
    <x v="17"/>
    <s v="Murat Taşdemir"/>
    <x v="0"/>
    <x v="58"/>
    <x v="58"/>
    <n v="8.3999999999999986"/>
    <s v="ADET"/>
    <n v="0"/>
    <n v="96"/>
    <n v="195.44000000000014"/>
    <n v="63.319999999999951"/>
    <n v="0"/>
    <n v="8163.8475999999937"/>
    <n v="128.93"/>
    <x v="29"/>
    <n v="1083.0119999999999"/>
    <x v="2"/>
  </r>
  <r>
    <x v="19"/>
    <s v="Volkan Batkan"/>
    <x v="0"/>
    <x v="59"/>
    <x v="59"/>
    <n v="1"/>
    <s v="M2"/>
    <n v="0"/>
    <n v="40"/>
    <n v="20"/>
    <n v="-35.625"/>
    <n v="0"/>
    <n v="0"/>
    <n v="54.17"/>
    <x v="30"/>
    <n v="54.17"/>
    <x v="3"/>
  </r>
  <r>
    <x v="6"/>
    <s v="Laurent MONTAGNER"/>
    <x v="0"/>
    <x v="117"/>
    <x v="117"/>
    <n v="16"/>
    <s v="ADET"/>
    <n v="0"/>
    <n v="1000"/>
    <n v="3505"/>
    <n v="-914"/>
    <n v="0"/>
    <n v="0"/>
    <n v="0.63"/>
    <x v="8"/>
    <n v="10.08"/>
    <x v="2"/>
  </r>
  <r>
    <x v="6"/>
    <s v="Laurent MONTAGNER"/>
    <x v="0"/>
    <x v="118"/>
    <x v="118"/>
    <n v="16"/>
    <s v="ADET"/>
    <n v="0"/>
    <n v="0"/>
    <n v="0"/>
    <n v="16"/>
    <n v="0"/>
    <n v="0"/>
    <n v="0"/>
    <x v="5"/>
    <n v="0"/>
    <x v="2"/>
  </r>
  <r>
    <x v="6"/>
    <s v="Laurent MONTAGNER"/>
    <x v="0"/>
    <x v="119"/>
    <x v="119"/>
    <n v="1"/>
    <s v="ADET"/>
    <n v="0"/>
    <n v="0"/>
    <n v="0"/>
    <n v="1"/>
    <n v="0"/>
    <n v="8250"/>
    <n v="8250"/>
    <x v="44"/>
    <n v="8250"/>
    <x v="7"/>
  </r>
  <r>
    <x v="6"/>
    <s v="Laurent MONTAGNER"/>
    <x v="0"/>
    <x v="120"/>
    <x v="120"/>
    <n v="10"/>
    <s v="METRE"/>
    <n v="0"/>
    <n v="0"/>
    <n v="0"/>
    <n v="-220"/>
    <n v="400"/>
    <n v="0"/>
    <n v="5"/>
    <x v="45"/>
    <n v="50"/>
    <x v="2"/>
  </r>
  <r>
    <x v="1"/>
    <s v="Stina Alm"/>
    <x v="0"/>
    <x v="120"/>
    <x v="120"/>
    <n v="10"/>
    <s v="METRE"/>
    <n v="0"/>
    <n v="0"/>
    <n v="0"/>
    <n v="-220"/>
    <n v="400"/>
    <n v="0"/>
    <n v="5"/>
    <x v="45"/>
    <n v="50"/>
    <x v="2"/>
  </r>
  <r>
    <x v="6"/>
    <s v="Laurent MONTAGNER"/>
    <x v="0"/>
    <x v="121"/>
    <x v="121"/>
    <n v="15"/>
    <s v="ADET"/>
    <n v="0"/>
    <n v="391"/>
    <n v="150"/>
    <n v="-33"/>
    <n v="0"/>
    <n v="0"/>
    <n v="10.65"/>
    <x v="8"/>
    <n v="159.75"/>
    <x v="2"/>
  </r>
  <r>
    <x v="1"/>
    <s v="Stina Alm"/>
    <x v="0"/>
    <x v="121"/>
    <x v="121"/>
    <n v="32"/>
    <s v="ADET"/>
    <n v="0"/>
    <n v="391"/>
    <n v="150"/>
    <n v="-33"/>
    <n v="0"/>
    <n v="0"/>
    <n v="10.65"/>
    <x v="8"/>
    <n v="340.8"/>
    <x v="2"/>
  </r>
  <r>
    <x v="3"/>
    <s v="Stina Alm"/>
    <x v="0"/>
    <x v="122"/>
    <x v="122"/>
    <n v="2"/>
    <s v="METRE"/>
    <n v="0"/>
    <n v="0"/>
    <n v="45.5"/>
    <n v="8.5"/>
    <n v="0"/>
    <n v="1437.4350000000002"/>
    <n v="169.11"/>
    <x v="46"/>
    <n v="338.22"/>
    <x v="5"/>
  </r>
  <r>
    <x v="7"/>
    <s v="Laurent MONTAGNER"/>
    <x v="0"/>
    <x v="122"/>
    <x v="122"/>
    <n v="3"/>
    <s v="METRE"/>
    <n v="0"/>
    <n v="0"/>
    <n v="45.5"/>
    <n v="8.5"/>
    <n v="0"/>
    <n v="1437.4350000000002"/>
    <n v="169.11"/>
    <x v="46"/>
    <n v="507.33000000000004"/>
    <x v="5"/>
  </r>
  <r>
    <x v="4"/>
    <s v="Stefan Zaugg"/>
    <x v="0"/>
    <x v="120"/>
    <x v="120"/>
    <n v="10"/>
    <s v="METRE"/>
    <n v="0"/>
    <n v="0"/>
    <n v="0"/>
    <n v="-220"/>
    <n v="400"/>
    <n v="0"/>
    <n v="5"/>
    <x v="45"/>
    <n v="50"/>
    <x v="2"/>
  </r>
  <r>
    <x v="3"/>
    <s v="Stina Alm"/>
    <x v="0"/>
    <x v="120"/>
    <x v="120"/>
    <n v="10"/>
    <s v="METRE"/>
    <n v="0"/>
    <n v="0"/>
    <n v="0"/>
    <n v="-220"/>
    <n v="400"/>
    <n v="0"/>
    <n v="5"/>
    <x v="45"/>
    <n v="50"/>
    <x v="2"/>
  </r>
  <r>
    <x v="5"/>
    <s v="Matteo Giolo"/>
    <x v="0"/>
    <x v="120"/>
    <x v="120"/>
    <n v="10"/>
    <s v="METRE"/>
    <n v="0"/>
    <n v="0"/>
    <n v="0"/>
    <n v="-220"/>
    <n v="400"/>
    <n v="0"/>
    <n v="5"/>
    <x v="45"/>
    <n v="50"/>
    <x v="2"/>
  </r>
  <r>
    <x v="4"/>
    <s v="Stefan Zaugg"/>
    <x v="0"/>
    <x v="117"/>
    <x v="117"/>
    <n v="35"/>
    <s v="ADET"/>
    <n v="0"/>
    <n v="1000"/>
    <n v="3505"/>
    <n v="-914"/>
    <n v="0"/>
    <n v="0"/>
    <n v="0.63"/>
    <x v="8"/>
    <n v="22.05"/>
    <x v="2"/>
  </r>
  <r>
    <x v="4"/>
    <s v="Stefan Zaugg"/>
    <x v="0"/>
    <x v="121"/>
    <x v="121"/>
    <n v="25"/>
    <s v="ADET"/>
    <n v="0"/>
    <n v="391"/>
    <n v="150"/>
    <n v="-33"/>
    <n v="0"/>
    <n v="0"/>
    <n v="10.65"/>
    <x v="8"/>
    <n v="266.25"/>
    <x v="2"/>
  </r>
  <r>
    <x v="3"/>
    <s v="Stina Alm"/>
    <x v="0"/>
    <x v="121"/>
    <x v="121"/>
    <n v="32"/>
    <s v="ADET"/>
    <n v="0"/>
    <n v="391"/>
    <n v="150"/>
    <n v="-33"/>
    <n v="0"/>
    <n v="0"/>
    <n v="10.65"/>
    <x v="8"/>
    <n v="340.8"/>
    <x v="2"/>
  </r>
  <r>
    <x v="10"/>
    <s v="Jan Urbanek"/>
    <x v="0"/>
    <x v="122"/>
    <x v="122"/>
    <n v="0.5"/>
    <s v="METRE"/>
    <n v="0"/>
    <n v="0"/>
    <n v="45.5"/>
    <n v="8.5"/>
    <n v="0"/>
    <n v="1437.4350000000002"/>
    <n v="169.11"/>
    <x v="46"/>
    <n v="84.555000000000007"/>
    <x v="5"/>
  </r>
  <r>
    <x v="8"/>
    <s v="Jan Urbanek"/>
    <x v="0"/>
    <x v="122"/>
    <x v="122"/>
    <n v="0.5"/>
    <s v="METRE"/>
    <n v="0"/>
    <n v="0"/>
    <n v="45.5"/>
    <n v="8.5"/>
    <n v="0"/>
    <n v="1437.4350000000002"/>
    <n v="169.11"/>
    <x v="46"/>
    <n v="84.555000000000007"/>
    <x v="5"/>
  </r>
  <r>
    <x v="9"/>
    <s v="Jan Urbanek"/>
    <x v="0"/>
    <x v="120"/>
    <x v="120"/>
    <n v="10"/>
    <s v="METRE"/>
    <n v="0"/>
    <n v="0"/>
    <n v="0"/>
    <n v="-220"/>
    <n v="400"/>
    <n v="0"/>
    <n v="5"/>
    <x v="45"/>
    <n v="50"/>
    <x v="2"/>
  </r>
  <r>
    <x v="8"/>
    <s v="Jan Urbanek"/>
    <x v="0"/>
    <x v="120"/>
    <x v="120"/>
    <n v="10"/>
    <s v="METRE"/>
    <n v="0"/>
    <n v="0"/>
    <n v="0"/>
    <n v="-220"/>
    <n v="400"/>
    <n v="0"/>
    <n v="5"/>
    <x v="45"/>
    <n v="50"/>
    <x v="2"/>
  </r>
  <r>
    <x v="9"/>
    <s v="Jan Urbanek"/>
    <x v="0"/>
    <x v="121"/>
    <x v="121"/>
    <n v="11"/>
    <s v="ADET"/>
    <n v="0"/>
    <n v="391"/>
    <n v="150"/>
    <n v="-33"/>
    <n v="0"/>
    <n v="0"/>
    <n v="10.65"/>
    <x v="8"/>
    <n v="117.15"/>
    <x v="2"/>
  </r>
  <r>
    <x v="8"/>
    <s v="Jan Urbanek"/>
    <x v="0"/>
    <x v="121"/>
    <x v="121"/>
    <n v="8"/>
    <s v="ADET"/>
    <n v="0"/>
    <n v="391"/>
    <n v="150"/>
    <n v="-33"/>
    <n v="0"/>
    <n v="0"/>
    <n v="10.65"/>
    <x v="8"/>
    <n v="85.2"/>
    <x v="2"/>
  </r>
  <r>
    <x v="12"/>
    <s v="Matteo Giolo"/>
    <x v="0"/>
    <x v="122"/>
    <x v="122"/>
    <n v="0.5"/>
    <s v="METRE"/>
    <n v="0"/>
    <n v="0"/>
    <n v="45.5"/>
    <n v="8.5"/>
    <n v="0"/>
    <n v="1437.4350000000002"/>
    <n v="169.11"/>
    <x v="46"/>
    <n v="84.555000000000007"/>
    <x v="5"/>
  </r>
  <r>
    <x v="12"/>
    <s v="Matteo Giolo"/>
    <x v="0"/>
    <x v="120"/>
    <x v="120"/>
    <n v="10"/>
    <s v="METRE"/>
    <n v="0"/>
    <n v="0"/>
    <n v="0"/>
    <n v="-220"/>
    <n v="400"/>
    <n v="0"/>
    <n v="5"/>
    <x v="45"/>
    <n v="50"/>
    <x v="2"/>
  </r>
  <r>
    <x v="12"/>
    <s v="Matteo Giolo"/>
    <x v="0"/>
    <x v="121"/>
    <x v="121"/>
    <n v="8"/>
    <s v="ADET"/>
    <n v="0"/>
    <n v="391"/>
    <n v="150"/>
    <n v="-33"/>
    <n v="0"/>
    <n v="0"/>
    <n v="10.65"/>
    <x v="8"/>
    <n v="85.2"/>
    <x v="2"/>
  </r>
  <r>
    <x v="11"/>
    <s v="Jan Urbanek"/>
    <x v="0"/>
    <x v="122"/>
    <x v="122"/>
    <n v="0.5"/>
    <s v="METRE"/>
    <n v="0"/>
    <n v="0"/>
    <n v="45.5"/>
    <n v="8.5"/>
    <n v="0"/>
    <n v="1437.4350000000002"/>
    <n v="169.11"/>
    <x v="46"/>
    <n v="84.555000000000007"/>
    <x v="5"/>
  </r>
  <r>
    <x v="11"/>
    <s v="Jan Urbanek"/>
    <x v="0"/>
    <x v="120"/>
    <x v="120"/>
    <n v="10"/>
    <s v="METRE"/>
    <n v="0"/>
    <n v="0"/>
    <n v="0"/>
    <n v="-220"/>
    <n v="400"/>
    <n v="0"/>
    <n v="5"/>
    <x v="45"/>
    <n v="50"/>
    <x v="2"/>
  </r>
  <r>
    <x v="9"/>
    <s v="Jan Urbanek"/>
    <x v="0"/>
    <x v="111"/>
    <x v="111"/>
    <n v="1.3"/>
    <s v="ADET"/>
    <n v="0"/>
    <n v="5"/>
    <n v="0"/>
    <n v="4.6000000000000014"/>
    <n v="5"/>
    <n v="5276.2000000000016"/>
    <n v="1147"/>
    <x v="41"/>
    <n v="1491.1000000000001"/>
    <x v="5"/>
  </r>
  <r>
    <x v="1"/>
    <s v="Stina Alm"/>
    <x v="0"/>
    <x v="123"/>
    <x v="123"/>
    <n v="25"/>
    <s v="ADET"/>
    <n v="0"/>
    <n v="2600"/>
    <n v="292"/>
    <n v="-2145"/>
    <n v="0"/>
    <n v="0"/>
    <n v="0.4"/>
    <x v="14"/>
    <n v="10"/>
    <x v="2"/>
  </r>
  <r>
    <x v="1"/>
    <s v="Stina Alm"/>
    <x v="0"/>
    <x v="124"/>
    <x v="124"/>
    <n v="4"/>
    <s v="ADET"/>
    <n v="0"/>
    <n v="0"/>
    <n v="250"/>
    <n v="32"/>
    <n v="0"/>
    <n v="183.68"/>
    <n v="5.74"/>
    <x v="8"/>
    <n v="22.96"/>
    <x v="2"/>
  </r>
  <r>
    <x v="1"/>
    <s v="Stina Alm"/>
    <x v="0"/>
    <x v="125"/>
    <x v="125"/>
    <n v="1"/>
    <s v="ADET"/>
    <n v="0"/>
    <n v="11"/>
    <n v="8"/>
    <n v="0"/>
    <n v="0"/>
    <n v="0"/>
    <n v="1145.83"/>
    <x v="37"/>
    <n v="1145.83"/>
    <x v="6"/>
  </r>
  <r>
    <x v="4"/>
    <s v="Stefan Zaugg"/>
    <x v="0"/>
    <x v="126"/>
    <x v="126"/>
    <n v="1"/>
    <s v="ADET"/>
    <n v="1"/>
    <n v="0"/>
    <n v="1"/>
    <n v="0"/>
    <n v="1"/>
    <n v="0"/>
    <n v="12601.06"/>
    <x v="47"/>
    <n v="12601.06"/>
    <x v="7"/>
  </r>
  <r>
    <x v="4"/>
    <s v="Stefan Zaugg"/>
    <x v="0"/>
    <x v="127"/>
    <x v="127"/>
    <n v="2.7"/>
    <s v="METRE"/>
    <n v="0"/>
    <n v="50"/>
    <n v="-1.4210854715202004E-14"/>
    <n v="-15.200000000000003"/>
    <n v="0"/>
    <n v="0"/>
    <n v="11"/>
    <x v="2"/>
    <n v="29.700000000000003"/>
    <x v="2"/>
  </r>
  <r>
    <x v="2"/>
    <s v="Laurent MONTAGNER"/>
    <x v="0"/>
    <x v="127"/>
    <x v="127"/>
    <n v="2.4"/>
    <s v="METRE"/>
    <n v="0"/>
    <n v="50"/>
    <n v="-1.4210854715202004E-14"/>
    <n v="-15.200000000000003"/>
    <n v="0"/>
    <n v="0"/>
    <n v="11"/>
    <x v="2"/>
    <n v="26.4"/>
    <x v="2"/>
  </r>
  <r>
    <x v="0"/>
    <s v="Soner Kayıkçı"/>
    <x v="0"/>
    <x v="127"/>
    <x v="127"/>
    <n v="2.7"/>
    <s v="METRE"/>
    <n v="0"/>
    <n v="50"/>
    <n v="-1.4210854715202004E-14"/>
    <n v="-15.200000000000003"/>
    <n v="0"/>
    <n v="0"/>
    <n v="11"/>
    <x v="2"/>
    <n v="29.700000000000003"/>
    <x v="2"/>
  </r>
  <r>
    <x v="6"/>
    <s v="Laurent MONTAGNER"/>
    <x v="0"/>
    <x v="123"/>
    <x v="123"/>
    <n v="81"/>
    <s v="ADET"/>
    <n v="0"/>
    <n v="2600"/>
    <n v="292"/>
    <n v="-2145"/>
    <n v="0"/>
    <n v="0"/>
    <n v="0.4"/>
    <x v="14"/>
    <n v="32.4"/>
    <x v="2"/>
  </r>
  <r>
    <x v="2"/>
    <s v="Laurent MONTAGNER"/>
    <x v="0"/>
    <x v="124"/>
    <x v="124"/>
    <n v="4"/>
    <s v="ADET"/>
    <n v="0"/>
    <n v="0"/>
    <n v="250"/>
    <n v="32"/>
    <n v="0"/>
    <n v="183.68"/>
    <n v="5.74"/>
    <x v="8"/>
    <n v="22.96"/>
    <x v="2"/>
  </r>
  <r>
    <x v="0"/>
    <s v="Soner Kayıkçı"/>
    <x v="0"/>
    <x v="125"/>
    <x v="125"/>
    <n v="1"/>
    <s v="ADET"/>
    <n v="0"/>
    <n v="11"/>
    <n v="8"/>
    <n v="0"/>
    <n v="0"/>
    <n v="0"/>
    <n v="1145.83"/>
    <x v="37"/>
    <n v="1145.83"/>
    <x v="6"/>
  </r>
  <r>
    <x v="4"/>
    <s v="Stefan Zaugg"/>
    <x v="0"/>
    <x v="123"/>
    <x v="123"/>
    <n v="17"/>
    <s v="ADET"/>
    <n v="0"/>
    <n v="2600"/>
    <n v="292"/>
    <n v="-2145"/>
    <n v="0"/>
    <n v="0"/>
    <n v="0.4"/>
    <x v="14"/>
    <n v="6.8000000000000007"/>
    <x v="2"/>
  </r>
  <r>
    <x v="7"/>
    <s v="Laurent MONTAGNER"/>
    <x v="0"/>
    <x v="123"/>
    <x v="123"/>
    <n v="81"/>
    <s v="ADET"/>
    <n v="0"/>
    <n v="2600"/>
    <n v="292"/>
    <n v="-2145"/>
    <n v="0"/>
    <n v="0"/>
    <n v="0.4"/>
    <x v="14"/>
    <n v="32.4"/>
    <x v="2"/>
  </r>
  <r>
    <x v="3"/>
    <s v="Stina Alm"/>
    <x v="0"/>
    <x v="123"/>
    <x v="123"/>
    <n v="25"/>
    <s v="ADET"/>
    <n v="0"/>
    <n v="2600"/>
    <n v="292"/>
    <n v="-2145"/>
    <n v="0"/>
    <n v="0"/>
    <n v="0.4"/>
    <x v="14"/>
    <n v="10"/>
    <x v="2"/>
  </r>
  <r>
    <x v="5"/>
    <s v="Matteo Giolo"/>
    <x v="0"/>
    <x v="123"/>
    <x v="123"/>
    <n v="62"/>
    <s v="ADET"/>
    <n v="0"/>
    <n v="2600"/>
    <n v="292"/>
    <n v="-2145"/>
    <n v="0"/>
    <n v="0"/>
    <n v="0.4"/>
    <x v="14"/>
    <n v="24.8"/>
    <x v="2"/>
  </r>
  <r>
    <x v="7"/>
    <s v="Laurent MONTAGNER"/>
    <x v="0"/>
    <x v="124"/>
    <x v="124"/>
    <n v="4"/>
    <s v="ADET"/>
    <n v="0"/>
    <n v="0"/>
    <n v="250"/>
    <n v="32"/>
    <n v="0"/>
    <n v="183.68"/>
    <n v="5.74"/>
    <x v="8"/>
    <n v="22.96"/>
    <x v="2"/>
  </r>
  <r>
    <x v="10"/>
    <s v="Jan Urbanek"/>
    <x v="0"/>
    <x v="127"/>
    <x v="127"/>
    <n v="2.7"/>
    <s v="METRE"/>
    <n v="0"/>
    <n v="50"/>
    <n v="-1.4210854715202004E-14"/>
    <n v="-15.200000000000003"/>
    <n v="0"/>
    <n v="0"/>
    <n v="11"/>
    <x v="2"/>
    <n v="29.700000000000003"/>
    <x v="2"/>
  </r>
  <r>
    <x v="9"/>
    <s v="Jan Urbanek"/>
    <x v="0"/>
    <x v="123"/>
    <x v="123"/>
    <n v="6"/>
    <s v="ADET"/>
    <n v="0"/>
    <n v="2600"/>
    <n v="292"/>
    <n v="-2145"/>
    <n v="0"/>
    <n v="0"/>
    <n v="0.4"/>
    <x v="14"/>
    <n v="2.4000000000000004"/>
    <x v="2"/>
  </r>
  <r>
    <x v="8"/>
    <s v="Jan Urbanek"/>
    <x v="0"/>
    <x v="123"/>
    <x v="123"/>
    <n v="6"/>
    <s v="ADET"/>
    <n v="0"/>
    <n v="2600"/>
    <n v="292"/>
    <n v="-2145"/>
    <n v="0"/>
    <n v="0"/>
    <n v="0.4"/>
    <x v="14"/>
    <n v="2.4000000000000004"/>
    <x v="2"/>
  </r>
  <r>
    <x v="9"/>
    <s v="Jan Urbanek"/>
    <x v="0"/>
    <x v="128"/>
    <x v="128"/>
    <n v="2"/>
    <s v="ADET"/>
    <n v="0"/>
    <n v="233"/>
    <n v="0"/>
    <n v="-225"/>
    <n v="0"/>
    <n v="0"/>
    <n v="7"/>
    <x v="2"/>
    <n v="14"/>
    <x v="2"/>
  </r>
  <r>
    <x v="10"/>
    <s v="Jan Urbanek"/>
    <x v="0"/>
    <x v="125"/>
    <x v="125"/>
    <n v="1"/>
    <s v="ADET"/>
    <n v="0"/>
    <n v="11"/>
    <n v="8"/>
    <n v="0"/>
    <n v="0"/>
    <n v="0"/>
    <n v="1145.83"/>
    <x v="37"/>
    <n v="1145.83"/>
    <x v="6"/>
  </r>
  <r>
    <x v="8"/>
    <s v="Jan Urbanek"/>
    <x v="0"/>
    <x v="125"/>
    <x v="125"/>
    <n v="1"/>
    <s v="ADET"/>
    <n v="0"/>
    <n v="11"/>
    <n v="8"/>
    <n v="0"/>
    <n v="0"/>
    <n v="0"/>
    <n v="1145.83"/>
    <x v="37"/>
    <n v="1145.83"/>
    <x v="6"/>
  </r>
  <r>
    <x v="12"/>
    <s v="Matteo Giolo"/>
    <x v="0"/>
    <x v="127"/>
    <x v="127"/>
    <n v="2.7"/>
    <s v="METRE"/>
    <n v="0"/>
    <n v="50"/>
    <n v="-1.4210854715202004E-14"/>
    <n v="-15.200000000000003"/>
    <n v="0"/>
    <n v="0"/>
    <n v="11"/>
    <x v="2"/>
    <n v="29.700000000000003"/>
    <x v="2"/>
  </r>
  <r>
    <x v="12"/>
    <s v="Matteo Giolo"/>
    <x v="0"/>
    <x v="123"/>
    <x v="123"/>
    <n v="6"/>
    <s v="ADET"/>
    <n v="0"/>
    <n v="2600"/>
    <n v="292"/>
    <n v="-2145"/>
    <n v="0"/>
    <n v="0"/>
    <n v="0.4"/>
    <x v="14"/>
    <n v="2.4000000000000004"/>
    <x v="2"/>
  </r>
  <r>
    <x v="11"/>
    <s v="Jan Urbanek"/>
    <x v="0"/>
    <x v="127"/>
    <x v="127"/>
    <n v="2.7"/>
    <s v="METRE"/>
    <n v="0"/>
    <n v="50"/>
    <n v="-1.4210854715202004E-14"/>
    <n v="-15.200000000000003"/>
    <n v="0"/>
    <n v="0"/>
    <n v="11"/>
    <x v="2"/>
    <n v="29.700000000000003"/>
    <x v="2"/>
  </r>
  <r>
    <x v="11"/>
    <s v="Jan Urbanek"/>
    <x v="0"/>
    <x v="123"/>
    <x v="123"/>
    <n v="6"/>
    <s v="ADET"/>
    <n v="0"/>
    <n v="2600"/>
    <n v="292"/>
    <n v="-2145"/>
    <n v="0"/>
    <n v="0"/>
    <n v="0.4"/>
    <x v="14"/>
    <n v="2.4000000000000004"/>
    <x v="2"/>
  </r>
  <r>
    <x v="11"/>
    <s v="Jan Urbanek"/>
    <x v="0"/>
    <x v="128"/>
    <x v="128"/>
    <n v="2"/>
    <s v="ADET"/>
    <n v="0"/>
    <n v="233"/>
    <n v="0"/>
    <n v="-225"/>
    <n v="0"/>
    <n v="0"/>
    <n v="7"/>
    <x v="2"/>
    <n v="14"/>
    <x v="2"/>
  </r>
  <r>
    <x v="11"/>
    <s v="Jan Urbanek"/>
    <x v="0"/>
    <x v="125"/>
    <x v="125"/>
    <n v="1"/>
    <s v="ADET"/>
    <n v="0"/>
    <n v="11"/>
    <n v="8"/>
    <n v="0"/>
    <n v="0"/>
    <n v="0"/>
    <n v="1145.83"/>
    <x v="37"/>
    <n v="1145.83"/>
    <x v="6"/>
  </r>
  <r>
    <x v="19"/>
    <s v="Volkan Batkan"/>
    <x v="0"/>
    <x v="127"/>
    <x v="127"/>
    <n v="2.7"/>
    <s v="METRE"/>
    <n v="0"/>
    <n v="50"/>
    <n v="-1.4210854715202004E-14"/>
    <n v="-15.200000000000003"/>
    <n v="0"/>
    <n v="0"/>
    <n v="11"/>
    <x v="2"/>
    <n v="29.700000000000003"/>
    <x v="2"/>
  </r>
  <r>
    <x v="10"/>
    <s v="Jan Urbanek"/>
    <x v="0"/>
    <x v="129"/>
    <x v="129"/>
    <n v="1.5"/>
    <s v="KG"/>
    <n v="0"/>
    <n v="30"/>
    <n v="21.5"/>
    <n v="4"/>
    <n v="0"/>
    <n v="472.56"/>
    <n v="118.14"/>
    <x v="48"/>
    <n v="177.21"/>
    <x v="3"/>
  </r>
  <r>
    <x v="8"/>
    <s v="Jan Urbanek"/>
    <x v="0"/>
    <x v="42"/>
    <x v="42"/>
    <n v="0.35"/>
    <s v="KG"/>
    <n v="0"/>
    <n v="0"/>
    <n v="24.129999999999985"/>
    <n v="4.1899999999999995"/>
    <n v="0"/>
    <n v="1667.7456999999997"/>
    <n v="398.03"/>
    <x v="3"/>
    <n v="139.31049999999999"/>
    <x v="3"/>
  </r>
  <r>
    <x v="9"/>
    <s v="Jan Urbanek"/>
    <x v="0"/>
    <x v="42"/>
    <x v="42"/>
    <n v="0.35"/>
    <s v="KG"/>
    <n v="0"/>
    <n v="0"/>
    <n v="24.129999999999985"/>
    <n v="4.1899999999999995"/>
    <n v="0"/>
    <n v="1667.7456999999997"/>
    <n v="398.03"/>
    <x v="3"/>
    <n v="139.31049999999999"/>
    <x v="3"/>
  </r>
  <r>
    <x v="11"/>
    <s v="Jan Urbanek"/>
    <x v="0"/>
    <x v="44"/>
    <x v="44"/>
    <n v="8.5400000000000009"/>
    <s v="KG"/>
    <n v="0"/>
    <n v="134.9"/>
    <n v="46.099999999999767"/>
    <n v="43.169999999999959"/>
    <n v="0"/>
    <n v="4160.2928999999958"/>
    <n v="96.37"/>
    <x v="3"/>
    <n v="822.99980000000016"/>
    <x v="3"/>
  </r>
  <r>
    <x v="11"/>
    <s v="Jan Urbanek"/>
    <x v="0"/>
    <x v="46"/>
    <x v="46"/>
    <n v="0.2"/>
    <s v="KG"/>
    <n v="0"/>
    <n v="0"/>
    <n v="0"/>
    <n v="0.8"/>
    <n v="0"/>
    <n v="400"/>
    <n v="500"/>
    <x v="25"/>
    <n v="100"/>
    <x v="3"/>
  </r>
  <r>
    <x v="16"/>
    <s v="Stefan Zaugg"/>
    <x v="0"/>
    <x v="41"/>
    <x v="41"/>
    <n v="0.5"/>
    <s v="ADET"/>
    <n v="0"/>
    <n v="13.5"/>
    <n v="8.5"/>
    <n v="-5.3500000000000014"/>
    <n v="0"/>
    <n v="0"/>
    <n v="1600"/>
    <x v="23"/>
    <n v="800"/>
    <x v="6"/>
  </r>
  <r>
    <x v="14"/>
    <s v="Stefan Zaugg"/>
    <x v="0"/>
    <x v="41"/>
    <x v="41"/>
    <n v="0.5"/>
    <s v="ADET"/>
    <n v="0"/>
    <n v="13.5"/>
    <n v="8.5"/>
    <n v="-5.3500000000000014"/>
    <n v="0"/>
    <n v="0"/>
    <n v="1600"/>
    <x v="23"/>
    <n v="800"/>
    <x v="6"/>
  </r>
  <r>
    <x v="13"/>
    <s v="Matteo Giolo"/>
    <x v="0"/>
    <x v="41"/>
    <x v="41"/>
    <n v="0.05"/>
    <s v="ADET"/>
    <n v="0"/>
    <n v="13.5"/>
    <n v="8.5"/>
    <n v="-5.3500000000000014"/>
    <n v="0"/>
    <n v="0"/>
    <n v="1600"/>
    <x v="23"/>
    <n v="80"/>
    <x v="6"/>
  </r>
  <r>
    <x v="16"/>
    <s v="Stefan Zaugg"/>
    <x v="0"/>
    <x v="44"/>
    <x v="44"/>
    <n v="6.5400000000000009"/>
    <s v="KG"/>
    <n v="0"/>
    <n v="134.9"/>
    <n v="46.099999999999767"/>
    <n v="43.169999999999959"/>
    <n v="0"/>
    <n v="4160.2928999999958"/>
    <n v="96.37"/>
    <x v="3"/>
    <n v="630.25980000000015"/>
    <x v="3"/>
  </r>
  <r>
    <x v="15"/>
    <s v="Jan Urbanek"/>
    <x v="0"/>
    <x v="45"/>
    <x v="45"/>
    <n v="1"/>
    <s v="ADET"/>
    <n v="0"/>
    <n v="2"/>
    <n v="8"/>
    <n v="8"/>
    <n v="0"/>
    <n v="70583.44"/>
    <n v="8822.93"/>
    <x v="24"/>
    <n v="8822.93"/>
    <x v="4"/>
  </r>
  <r>
    <x v="13"/>
    <s v="Matteo Giolo"/>
    <x v="0"/>
    <x v="45"/>
    <x v="45"/>
    <n v="1"/>
    <s v="ADET"/>
    <n v="0"/>
    <n v="2"/>
    <n v="8"/>
    <n v="8"/>
    <n v="0"/>
    <n v="70583.44"/>
    <n v="8822.93"/>
    <x v="24"/>
    <n v="8822.93"/>
    <x v="4"/>
  </r>
  <r>
    <x v="15"/>
    <s v="Jan Urbanek"/>
    <x v="0"/>
    <x v="43"/>
    <x v="43"/>
    <n v="1.1000000000000001"/>
    <s v="METRE"/>
    <n v="0"/>
    <n v="0"/>
    <n v="20.30000000000009"/>
    <n v="21.1"/>
    <n v="0"/>
    <n v="2426.5"/>
    <n v="115"/>
    <x v="10"/>
    <n v="126.50000000000001"/>
    <x v="4"/>
  </r>
  <r>
    <x v="9"/>
    <s v="Jan Urbanek"/>
    <x v="0"/>
    <x v="110"/>
    <x v="110"/>
    <n v="0.10400000000000001"/>
    <s v="ADET"/>
    <n v="0"/>
    <n v="0"/>
    <n v="1.7763568394002505E-15"/>
    <n v="2.5820000000000007"/>
    <n v="0"/>
    <n v="4066.650000000001"/>
    <n v="1575"/>
    <x v="40"/>
    <n v="163.80000000000001"/>
    <x v="4"/>
  </r>
  <r>
    <x v="10"/>
    <s v="Jan Urbanek"/>
    <x v="0"/>
    <x v="111"/>
    <x v="111"/>
    <n v="1.3"/>
    <s v="ADET"/>
    <n v="0"/>
    <n v="5"/>
    <n v="0"/>
    <n v="4.6000000000000014"/>
    <n v="5"/>
    <n v="5276.2000000000016"/>
    <n v="1147"/>
    <x v="41"/>
    <n v="1491.1000000000001"/>
    <x v="5"/>
  </r>
  <r>
    <x v="8"/>
    <s v="Jan Urbanek"/>
    <x v="0"/>
    <x v="41"/>
    <x v="41"/>
    <n v="0.5"/>
    <s v="ADET"/>
    <n v="0"/>
    <n v="13.5"/>
    <n v="8.5"/>
    <n v="-5.3500000000000014"/>
    <n v="0"/>
    <n v="0"/>
    <n v="1600"/>
    <x v="23"/>
    <n v="800"/>
    <x v="6"/>
  </r>
  <r>
    <x v="9"/>
    <s v="Jan Urbanek"/>
    <x v="0"/>
    <x v="41"/>
    <x v="41"/>
    <n v="0.5"/>
    <s v="ADET"/>
    <n v="0"/>
    <n v="13.5"/>
    <n v="8.5"/>
    <n v="-5.3500000000000014"/>
    <n v="0"/>
    <n v="0"/>
    <n v="1600"/>
    <x v="23"/>
    <n v="800"/>
    <x v="6"/>
  </r>
  <r>
    <x v="11"/>
    <s v="Jan Urbanek"/>
    <x v="0"/>
    <x v="42"/>
    <x v="42"/>
    <n v="0.35"/>
    <s v="KG"/>
    <n v="0"/>
    <n v="0"/>
    <n v="24.129999999999985"/>
    <n v="4.1899999999999995"/>
    <n v="0"/>
    <n v="1667.7456999999997"/>
    <n v="398.03"/>
    <x v="3"/>
    <n v="139.31049999999999"/>
    <x v="3"/>
  </r>
  <r>
    <x v="9"/>
    <s v="Jan Urbanek"/>
    <x v="0"/>
    <x v="44"/>
    <x v="44"/>
    <n v="8.5400000000000009"/>
    <s v="KG"/>
    <n v="0"/>
    <n v="134.9"/>
    <n v="46.099999999999767"/>
    <n v="43.169999999999959"/>
    <n v="0"/>
    <n v="4160.2928999999958"/>
    <n v="96.37"/>
    <x v="3"/>
    <n v="822.99980000000016"/>
    <x v="3"/>
  </r>
  <r>
    <x v="8"/>
    <s v="Jan Urbanek"/>
    <x v="0"/>
    <x v="44"/>
    <x v="44"/>
    <n v="8.5400000000000009"/>
    <s v="KG"/>
    <n v="0"/>
    <n v="134.9"/>
    <n v="46.099999999999767"/>
    <n v="43.169999999999959"/>
    <n v="0"/>
    <n v="4160.2928999999958"/>
    <n v="96.37"/>
    <x v="3"/>
    <n v="822.99980000000016"/>
    <x v="3"/>
  </r>
  <r>
    <x v="9"/>
    <s v="Jan Urbanek"/>
    <x v="0"/>
    <x v="46"/>
    <x v="46"/>
    <n v="0.2"/>
    <s v="KG"/>
    <n v="0"/>
    <n v="0"/>
    <n v="0"/>
    <n v="0.8"/>
    <n v="0"/>
    <n v="400"/>
    <n v="500"/>
    <x v="25"/>
    <n v="100"/>
    <x v="3"/>
  </r>
  <r>
    <x v="10"/>
    <s v="Jan Urbanek"/>
    <x v="0"/>
    <x v="45"/>
    <x v="45"/>
    <n v="1"/>
    <s v="ADET"/>
    <n v="0"/>
    <n v="2"/>
    <n v="8"/>
    <n v="8"/>
    <n v="0"/>
    <n v="70583.44"/>
    <n v="8822.93"/>
    <x v="24"/>
    <n v="8822.93"/>
    <x v="4"/>
  </r>
  <r>
    <x v="10"/>
    <s v="Jan Urbanek"/>
    <x v="0"/>
    <x v="43"/>
    <x v="43"/>
    <n v="1.1000000000000001"/>
    <s v="METRE"/>
    <n v="0"/>
    <n v="0"/>
    <n v="20.30000000000009"/>
    <n v="21.1"/>
    <n v="0"/>
    <n v="2426.5"/>
    <n v="115"/>
    <x v="10"/>
    <n v="126.50000000000001"/>
    <x v="4"/>
  </r>
  <r>
    <x v="13"/>
    <s v="Matteo Giolo"/>
    <x v="0"/>
    <x v="42"/>
    <x v="42"/>
    <n v="0.34"/>
    <s v="KG"/>
    <n v="0"/>
    <n v="0"/>
    <n v="24.129999999999985"/>
    <n v="4.1899999999999995"/>
    <n v="0"/>
    <n v="1667.7456999999997"/>
    <n v="398.03"/>
    <x v="3"/>
    <n v="135.33019999999999"/>
    <x v="3"/>
  </r>
  <r>
    <x v="18"/>
    <s v="Hayriye Güven"/>
    <x v="0"/>
    <x v="44"/>
    <x v="44"/>
    <n v="9.0599999999999987"/>
    <s v="KG"/>
    <n v="0"/>
    <n v="134.9"/>
    <n v="46.099999999999767"/>
    <n v="43.169999999999959"/>
    <n v="0"/>
    <n v="4160.2928999999958"/>
    <n v="96.37"/>
    <x v="3"/>
    <n v="873.11219999999992"/>
    <x v="3"/>
  </r>
  <r>
    <x v="17"/>
    <s v="Murat Taşdemir"/>
    <x v="0"/>
    <x v="43"/>
    <x v="43"/>
    <n v="1.2"/>
    <s v="METRE"/>
    <n v="0"/>
    <n v="0"/>
    <n v="20.30000000000009"/>
    <n v="21.1"/>
    <n v="0"/>
    <n v="2426.5"/>
    <n v="115"/>
    <x v="10"/>
    <n v="138"/>
    <x v="4"/>
  </r>
  <r>
    <x v="16"/>
    <s v="Stefan Zaugg"/>
    <x v="0"/>
    <x v="112"/>
    <x v="112"/>
    <n v="2"/>
    <s v="ADET"/>
    <n v="0"/>
    <n v="222"/>
    <n v="90"/>
    <n v="-184"/>
    <n v="0"/>
    <n v="0"/>
    <n v="4"/>
    <x v="20"/>
    <n v="8"/>
    <x v="7"/>
  </r>
  <r>
    <x v="17"/>
    <s v="Murat Taşdemir"/>
    <x v="0"/>
    <x v="76"/>
    <x v="76"/>
    <n v="7"/>
    <s v="ADET"/>
    <n v="7"/>
    <n v="37"/>
    <n v="28"/>
    <n v="-3"/>
    <n v="0"/>
    <n v="0"/>
    <n v="122.24"/>
    <x v="13"/>
    <n v="855.68"/>
    <x v="7"/>
  </r>
  <r>
    <x v="17"/>
    <s v="Murat Taşdemir"/>
    <x v="0"/>
    <x v="77"/>
    <x v="77"/>
    <n v="28"/>
    <s v="ADET"/>
    <n v="0"/>
    <n v="3750"/>
    <n v="674"/>
    <n v="-3452"/>
    <n v="0"/>
    <n v="0"/>
    <n v="0.2"/>
    <x v="14"/>
    <n v="5.6000000000000005"/>
    <x v="2"/>
  </r>
  <r>
    <x v="10"/>
    <s v="Jan Urbanek"/>
    <x v="0"/>
    <x v="79"/>
    <x v="79"/>
    <n v="2"/>
    <s v="ADET"/>
    <n v="0"/>
    <n v="42"/>
    <n v="34"/>
    <n v="-8"/>
    <n v="0"/>
    <n v="0"/>
    <n v="65"/>
    <x v="14"/>
    <n v="130"/>
    <x v="2"/>
  </r>
  <r>
    <x v="8"/>
    <s v="Jan Urbanek"/>
    <x v="0"/>
    <x v="79"/>
    <x v="79"/>
    <n v="2"/>
    <s v="ADET"/>
    <n v="0"/>
    <n v="42"/>
    <n v="34"/>
    <n v="-8"/>
    <n v="0"/>
    <n v="0"/>
    <n v="65"/>
    <x v="14"/>
    <n v="130"/>
    <x v="2"/>
  </r>
  <r>
    <x v="19"/>
    <s v="Volkan Batkan"/>
    <x v="0"/>
    <x v="77"/>
    <x v="77"/>
    <n v="12"/>
    <s v="ADET"/>
    <n v="0"/>
    <n v="3750"/>
    <n v="674"/>
    <n v="-3452"/>
    <n v="0"/>
    <n v="0"/>
    <n v="0.2"/>
    <x v="14"/>
    <n v="2.4000000000000004"/>
    <x v="2"/>
  </r>
  <r>
    <x v="3"/>
    <s v="Stina Alm"/>
    <x v="0"/>
    <x v="76"/>
    <x v="76"/>
    <n v="2"/>
    <s v="ADET"/>
    <n v="0"/>
    <n v="37"/>
    <n v="28"/>
    <n v="-3"/>
    <n v="0"/>
    <n v="0"/>
    <n v="122.24"/>
    <x v="13"/>
    <n v="244.48"/>
    <x v="7"/>
  </r>
  <r>
    <x v="7"/>
    <s v="Laurent MONTAGNER"/>
    <x v="0"/>
    <x v="77"/>
    <x v="77"/>
    <n v="34"/>
    <s v="ADET"/>
    <n v="0"/>
    <n v="3750"/>
    <n v="674"/>
    <n v="-3452"/>
    <n v="0"/>
    <n v="0"/>
    <n v="0.2"/>
    <x v="14"/>
    <n v="6.8000000000000007"/>
    <x v="2"/>
  </r>
  <r>
    <x v="5"/>
    <s v="Matteo Giolo"/>
    <x v="0"/>
    <x v="77"/>
    <x v="77"/>
    <n v="14"/>
    <s v="ADET"/>
    <n v="0"/>
    <n v="3750"/>
    <n v="674"/>
    <n v="-3452"/>
    <n v="0"/>
    <n v="0"/>
    <n v="0.2"/>
    <x v="14"/>
    <n v="2.8000000000000003"/>
    <x v="2"/>
  </r>
  <r>
    <x v="13"/>
    <s v="Matteo Giolo"/>
    <x v="0"/>
    <x v="78"/>
    <x v="78"/>
    <n v="2"/>
    <s v="ADET"/>
    <n v="0"/>
    <n v="0"/>
    <n v="0"/>
    <n v="14"/>
    <n v="0"/>
    <n v="1050"/>
    <n v="75"/>
    <x v="22"/>
    <n v="150"/>
    <x v="0"/>
  </r>
  <r>
    <x v="15"/>
    <s v="Jan Urbanek"/>
    <x v="0"/>
    <x v="76"/>
    <x v="76"/>
    <n v="3"/>
    <s v="ADET"/>
    <n v="0"/>
    <n v="37"/>
    <n v="28"/>
    <n v="-3"/>
    <n v="0"/>
    <n v="0"/>
    <n v="122.24"/>
    <x v="13"/>
    <n v="366.71999999999997"/>
    <x v="7"/>
  </r>
  <r>
    <x v="13"/>
    <s v="Matteo Giolo"/>
    <x v="0"/>
    <x v="76"/>
    <x v="76"/>
    <n v="2"/>
    <s v="ADET"/>
    <n v="0"/>
    <n v="37"/>
    <n v="28"/>
    <n v="-3"/>
    <n v="0"/>
    <n v="0"/>
    <n v="122.24"/>
    <x v="13"/>
    <n v="244.48"/>
    <x v="7"/>
  </r>
  <r>
    <x v="6"/>
    <s v="Laurent MONTAGNER"/>
    <x v="0"/>
    <x v="79"/>
    <x v="79"/>
    <n v="2"/>
    <s v="ADET"/>
    <n v="0"/>
    <n v="42"/>
    <n v="34"/>
    <n v="-8"/>
    <n v="0"/>
    <n v="0"/>
    <n v="65"/>
    <x v="14"/>
    <n v="130"/>
    <x v="2"/>
  </r>
  <r>
    <x v="1"/>
    <s v="Stina Alm"/>
    <x v="0"/>
    <x v="79"/>
    <x v="79"/>
    <n v="2"/>
    <s v="ADET"/>
    <n v="0"/>
    <n v="42"/>
    <n v="34"/>
    <n v="-8"/>
    <n v="0"/>
    <n v="0"/>
    <n v="65"/>
    <x v="14"/>
    <n v="130"/>
    <x v="2"/>
  </r>
  <r>
    <x v="15"/>
    <s v="Jan Urbanek"/>
    <x v="0"/>
    <x v="77"/>
    <x v="77"/>
    <n v="8"/>
    <s v="ADET"/>
    <n v="0"/>
    <n v="3750"/>
    <n v="674"/>
    <n v="-3452"/>
    <n v="0"/>
    <n v="0"/>
    <n v="0.2"/>
    <x v="14"/>
    <n v="1.6"/>
    <x v="2"/>
  </r>
  <r>
    <x v="16"/>
    <s v="Stefan Zaugg"/>
    <x v="0"/>
    <x v="77"/>
    <x v="77"/>
    <n v="8"/>
    <s v="ADET"/>
    <n v="0"/>
    <n v="3750"/>
    <n v="674"/>
    <n v="-3452"/>
    <n v="0"/>
    <n v="0"/>
    <n v="0.2"/>
    <x v="14"/>
    <n v="1.6"/>
    <x v="2"/>
  </r>
  <r>
    <x v="14"/>
    <s v="Stefan Zaugg"/>
    <x v="0"/>
    <x v="77"/>
    <x v="77"/>
    <n v="12"/>
    <s v="ADET"/>
    <n v="0"/>
    <n v="3750"/>
    <n v="674"/>
    <n v="-3452"/>
    <n v="0"/>
    <n v="0"/>
    <n v="0.2"/>
    <x v="14"/>
    <n v="2.4000000000000004"/>
    <x v="2"/>
  </r>
  <r>
    <x v="13"/>
    <s v="Matteo Giolo"/>
    <x v="0"/>
    <x v="77"/>
    <x v="77"/>
    <n v="18"/>
    <s v="ADET"/>
    <n v="0"/>
    <n v="3750"/>
    <n v="674"/>
    <n v="-3452"/>
    <n v="0"/>
    <n v="0"/>
    <n v="0.2"/>
    <x v="14"/>
    <n v="3.6"/>
    <x v="2"/>
  </r>
  <r>
    <x v="9"/>
    <s v="Jan Urbanek"/>
    <x v="0"/>
    <x v="79"/>
    <x v="79"/>
    <n v="2"/>
    <s v="ADET"/>
    <n v="0"/>
    <n v="42"/>
    <n v="34"/>
    <n v="-8"/>
    <n v="0"/>
    <n v="0"/>
    <n v="65"/>
    <x v="14"/>
    <n v="130"/>
    <x v="2"/>
  </r>
  <r>
    <x v="11"/>
    <s v="Jan Urbanek"/>
    <x v="0"/>
    <x v="130"/>
    <x v="130"/>
    <n v="3"/>
    <s v="ADET"/>
    <n v="0"/>
    <n v="252"/>
    <n v="51"/>
    <n v="-243"/>
    <n v="0"/>
    <n v="0"/>
    <n v="8"/>
    <x v="14"/>
    <n v="24"/>
    <x v="4"/>
  </r>
  <r>
    <x v="11"/>
    <s v="Jan Urbanek"/>
    <x v="0"/>
    <x v="131"/>
    <x v="131"/>
    <n v="0.05"/>
    <s v="METRE"/>
    <n v="0"/>
    <n v="0"/>
    <n v="0"/>
    <n v="1.8"/>
    <n v="0"/>
    <n v="9"/>
    <n v="5"/>
    <x v="5"/>
    <n v="0.25"/>
    <x v="7"/>
  </r>
  <r>
    <x v="17"/>
    <s v="Murat Taşdemir"/>
    <x v="0"/>
    <x v="130"/>
    <x v="130"/>
    <n v="3"/>
    <s v="ADET"/>
    <n v="0"/>
    <n v="252"/>
    <n v="51"/>
    <n v="-243"/>
    <n v="0"/>
    <n v="0"/>
    <n v="8"/>
    <x v="14"/>
    <n v="24"/>
    <x v="4"/>
  </r>
  <r>
    <x v="10"/>
    <s v="Jan Urbanek"/>
    <x v="0"/>
    <x v="131"/>
    <x v="131"/>
    <n v="0.05"/>
    <s v="METRE"/>
    <n v="0"/>
    <n v="0"/>
    <n v="0"/>
    <n v="1.8"/>
    <n v="0"/>
    <n v="9"/>
    <n v="5"/>
    <x v="5"/>
    <n v="0.25"/>
    <x v="7"/>
  </r>
  <r>
    <x v="13"/>
    <s v="Matteo Giolo"/>
    <x v="0"/>
    <x v="79"/>
    <x v="79"/>
    <n v="2"/>
    <s v="ADET"/>
    <n v="0"/>
    <n v="42"/>
    <n v="34"/>
    <n v="-8"/>
    <n v="0"/>
    <n v="0"/>
    <n v="65"/>
    <x v="14"/>
    <n v="130"/>
    <x v="2"/>
  </r>
  <r>
    <x v="16"/>
    <s v="Stefan Zaugg"/>
    <x v="0"/>
    <x v="79"/>
    <x v="79"/>
    <n v="2"/>
    <s v="ADET"/>
    <n v="0"/>
    <n v="42"/>
    <n v="34"/>
    <n v="-8"/>
    <n v="0"/>
    <n v="0"/>
    <n v="65"/>
    <x v="14"/>
    <n v="130"/>
    <x v="2"/>
  </r>
  <r>
    <x v="11"/>
    <s v="Jan Urbanek"/>
    <x v="0"/>
    <x v="79"/>
    <x v="79"/>
    <n v="2"/>
    <s v="ADET"/>
    <n v="0"/>
    <n v="42"/>
    <n v="34"/>
    <n v="-8"/>
    <n v="0"/>
    <n v="0"/>
    <n v="65"/>
    <x v="14"/>
    <n v="130"/>
    <x v="2"/>
  </r>
  <r>
    <x v="11"/>
    <s v="Jan Urbanek"/>
    <x v="0"/>
    <x v="132"/>
    <x v="132"/>
    <n v="1"/>
    <s v="ADET"/>
    <n v="0"/>
    <n v="0"/>
    <n v="7"/>
    <n v="19"/>
    <n v="0"/>
    <n v="760"/>
    <n v="40"/>
    <x v="49"/>
    <n v="40"/>
    <x v="7"/>
  </r>
  <r>
    <x v="8"/>
    <s v="Jan Urbanek"/>
    <x v="0"/>
    <x v="129"/>
    <x v="129"/>
    <n v="3"/>
    <s v="KG"/>
    <n v="0"/>
    <n v="30"/>
    <n v="21.5"/>
    <n v="4"/>
    <n v="0"/>
    <n v="472.56"/>
    <n v="118.14"/>
    <x v="48"/>
    <n v="354.42"/>
    <x v="3"/>
  </r>
  <r>
    <x v="9"/>
    <s v="Jan Urbanek"/>
    <x v="0"/>
    <x v="129"/>
    <x v="129"/>
    <n v="1.5"/>
    <s v="KG"/>
    <n v="0"/>
    <n v="30"/>
    <n v="21.5"/>
    <n v="4"/>
    <n v="0"/>
    <n v="472.56"/>
    <n v="118.14"/>
    <x v="48"/>
    <n v="177.21"/>
    <x v="3"/>
  </r>
  <r>
    <x v="10"/>
    <s v="Jan Urbanek"/>
    <x v="0"/>
    <x v="133"/>
    <x v="133"/>
    <n v="0.30000000000000004"/>
    <s v="METRE"/>
    <n v="0"/>
    <n v="0"/>
    <n v="93.800000000000011"/>
    <n v="5.0999999999999996"/>
    <n v="0"/>
    <n v="34.526999999999994"/>
    <n v="6.77"/>
    <x v="49"/>
    <n v="2.0310000000000001"/>
    <x v="7"/>
  </r>
  <r>
    <x v="8"/>
    <s v="Jan Urbanek"/>
    <x v="0"/>
    <x v="133"/>
    <x v="133"/>
    <n v="0.30000000000000004"/>
    <s v="METRE"/>
    <n v="0"/>
    <n v="0"/>
    <n v="93.800000000000011"/>
    <n v="5.0999999999999996"/>
    <n v="0"/>
    <n v="34.526999999999994"/>
    <n v="6.77"/>
    <x v="49"/>
    <n v="2.0310000000000001"/>
    <x v="7"/>
  </r>
  <r>
    <x v="10"/>
    <s v="Jan Urbanek"/>
    <x v="0"/>
    <x v="134"/>
    <x v="134"/>
    <n v="2"/>
    <s v="ADET"/>
    <n v="0"/>
    <n v="37"/>
    <n v="20"/>
    <n v="-13"/>
    <n v="0"/>
    <n v="0"/>
    <n v="45.3"/>
    <x v="15"/>
    <n v="90.6"/>
    <x v="7"/>
  </r>
  <r>
    <x v="8"/>
    <s v="Jan Urbanek"/>
    <x v="0"/>
    <x v="134"/>
    <x v="134"/>
    <n v="2"/>
    <s v="ADET"/>
    <n v="0"/>
    <n v="37"/>
    <n v="20"/>
    <n v="-13"/>
    <n v="0"/>
    <n v="0"/>
    <n v="45.3"/>
    <x v="15"/>
    <n v="90.6"/>
    <x v="7"/>
  </r>
  <r>
    <x v="15"/>
    <s v="Jan Urbanek"/>
    <x v="0"/>
    <x v="110"/>
    <x v="110"/>
    <n v="0.10400000000000001"/>
    <s v="ADET"/>
    <n v="0"/>
    <n v="0"/>
    <n v="1.7763568394002505E-15"/>
    <n v="2.5820000000000007"/>
    <n v="0"/>
    <n v="4066.650000000001"/>
    <n v="1575"/>
    <x v="40"/>
    <n v="163.80000000000001"/>
    <x v="4"/>
  </r>
  <r>
    <x v="14"/>
    <s v="Stefan Zaugg"/>
    <x v="0"/>
    <x v="110"/>
    <x v="110"/>
    <n v="0.10400000000000001"/>
    <s v="ADET"/>
    <n v="0"/>
    <n v="0"/>
    <n v="1.7763568394002505E-15"/>
    <n v="2.5820000000000007"/>
    <n v="0"/>
    <n v="4066.650000000001"/>
    <n v="1575"/>
    <x v="40"/>
    <n v="163.80000000000001"/>
    <x v="4"/>
  </r>
  <r>
    <x v="13"/>
    <s v="Matteo Giolo"/>
    <x v="0"/>
    <x v="110"/>
    <x v="110"/>
    <n v="0.18"/>
    <s v="ADET"/>
    <n v="0"/>
    <n v="0"/>
    <n v="1.7763568394002505E-15"/>
    <n v="2.5820000000000007"/>
    <n v="0"/>
    <n v="4066.650000000001"/>
    <n v="1575"/>
    <x v="40"/>
    <n v="283.5"/>
    <x v="4"/>
  </r>
  <r>
    <x v="16"/>
    <s v="Stefan Zaugg"/>
    <x v="0"/>
    <x v="111"/>
    <x v="111"/>
    <n v="1"/>
    <s v="ADET"/>
    <n v="0"/>
    <n v="5"/>
    <n v="0"/>
    <n v="4.6000000000000014"/>
    <n v="5"/>
    <n v="5276.2000000000016"/>
    <n v="1147"/>
    <x v="41"/>
    <n v="1147"/>
    <x v="5"/>
  </r>
  <r>
    <x v="14"/>
    <s v="Stefan Zaugg"/>
    <x v="0"/>
    <x v="111"/>
    <x v="111"/>
    <n v="1"/>
    <s v="ADET"/>
    <n v="0"/>
    <n v="5"/>
    <n v="0"/>
    <n v="4.6000000000000014"/>
    <n v="5"/>
    <n v="5276.2000000000016"/>
    <n v="1147"/>
    <x v="41"/>
    <n v="1147"/>
    <x v="5"/>
  </r>
  <r>
    <x v="16"/>
    <s v="Stefan Zaugg"/>
    <x v="0"/>
    <x v="129"/>
    <x v="129"/>
    <n v="2"/>
    <s v="KG"/>
    <n v="0"/>
    <n v="30"/>
    <n v="21.5"/>
    <n v="4"/>
    <n v="0"/>
    <n v="472.56"/>
    <n v="118.14"/>
    <x v="48"/>
    <n v="236.28"/>
    <x v="3"/>
  </r>
  <r>
    <x v="4"/>
    <s v="Stefan Zaugg"/>
    <x v="0"/>
    <x v="35"/>
    <x v="35"/>
    <n v="4"/>
    <s v="ADET"/>
    <n v="0"/>
    <n v="1400"/>
    <n v="602"/>
    <n v="-1296"/>
    <n v="0"/>
    <n v="0"/>
    <n v="0.6"/>
    <x v="14"/>
    <n v="2.4"/>
    <x v="2"/>
  </r>
  <r>
    <x v="4"/>
    <s v="Stefan Zaugg"/>
    <x v="0"/>
    <x v="33"/>
    <x v="33"/>
    <n v="43"/>
    <s v="ADET"/>
    <n v="0"/>
    <n v="4500"/>
    <n v="2426"/>
    <n v="-3826"/>
    <n v="0"/>
    <n v="0"/>
    <n v="1"/>
    <x v="5"/>
    <n v="43"/>
    <x v="2"/>
  </r>
  <r>
    <x v="3"/>
    <s v="Stina Alm"/>
    <x v="0"/>
    <x v="33"/>
    <x v="33"/>
    <n v="23"/>
    <s v="ADET"/>
    <n v="0"/>
    <n v="4500"/>
    <n v="2426"/>
    <n v="-3826"/>
    <n v="0"/>
    <n v="0"/>
    <n v="1"/>
    <x v="5"/>
    <n v="23"/>
    <x v="2"/>
  </r>
  <r>
    <x v="5"/>
    <s v="Matteo Giolo"/>
    <x v="0"/>
    <x v="41"/>
    <x v="41"/>
    <n v="0.5"/>
    <s v="ADET"/>
    <n v="0"/>
    <n v="13.5"/>
    <n v="8.5"/>
    <n v="-5.3500000000000014"/>
    <n v="0"/>
    <n v="0"/>
    <n v="1600"/>
    <x v="23"/>
    <n v="800"/>
    <x v="6"/>
  </r>
  <r>
    <x v="16"/>
    <s v="Stefan Zaugg"/>
    <x v="0"/>
    <x v="110"/>
    <x v="110"/>
    <n v="0.10400000000000001"/>
    <s v="ADET"/>
    <n v="0"/>
    <n v="0"/>
    <n v="1.7763568394002505E-15"/>
    <n v="2.5820000000000007"/>
    <n v="0"/>
    <n v="4066.650000000001"/>
    <n v="1575"/>
    <x v="40"/>
    <n v="163.80000000000001"/>
    <x v="4"/>
  </r>
  <r>
    <x v="17"/>
    <s v="Murat Taşdemir"/>
    <x v="0"/>
    <x v="110"/>
    <x v="110"/>
    <n v="0.254"/>
    <s v="ADET"/>
    <n v="0"/>
    <n v="0"/>
    <n v="1.7763568394002505E-15"/>
    <n v="2.5820000000000007"/>
    <n v="0"/>
    <n v="4066.650000000001"/>
    <n v="1575"/>
    <x v="40"/>
    <n v="400.05"/>
    <x v="4"/>
  </r>
  <r>
    <x v="15"/>
    <s v="Jan Urbanek"/>
    <x v="0"/>
    <x v="111"/>
    <x v="111"/>
    <n v="1.3"/>
    <s v="ADET"/>
    <n v="0"/>
    <n v="5"/>
    <n v="0"/>
    <n v="4.6000000000000014"/>
    <n v="5"/>
    <n v="5276.2000000000016"/>
    <n v="1147"/>
    <x v="41"/>
    <n v="1491.1000000000001"/>
    <x v="5"/>
  </r>
  <r>
    <x v="12"/>
    <s v="Matteo Giolo"/>
    <x v="0"/>
    <x v="33"/>
    <x v="33"/>
    <n v="43"/>
    <s v="ADET"/>
    <n v="0"/>
    <n v="4500"/>
    <n v="2426"/>
    <n v="-3826"/>
    <n v="0"/>
    <n v="0"/>
    <n v="1"/>
    <x v="5"/>
    <n v="43"/>
    <x v="2"/>
  </r>
  <r>
    <x v="7"/>
    <s v="Laurent MONTAGNER"/>
    <x v="0"/>
    <x v="33"/>
    <x v="33"/>
    <n v="23"/>
    <s v="ADET"/>
    <n v="0"/>
    <n v="4500"/>
    <n v="2426"/>
    <n v="-3826"/>
    <n v="0"/>
    <n v="0"/>
    <n v="1"/>
    <x v="5"/>
    <n v="23"/>
    <x v="2"/>
  </r>
  <r>
    <x v="5"/>
    <s v="Matteo Giolo"/>
    <x v="0"/>
    <x v="33"/>
    <x v="33"/>
    <n v="29"/>
    <s v="ADET"/>
    <n v="0"/>
    <n v="4500"/>
    <n v="2426"/>
    <n v="-3826"/>
    <n v="0"/>
    <n v="0"/>
    <n v="1"/>
    <x v="5"/>
    <n v="29"/>
    <x v="2"/>
  </r>
  <r>
    <x v="9"/>
    <s v="Jan Urbanek"/>
    <x v="0"/>
    <x v="133"/>
    <x v="133"/>
    <n v="0.30000000000000004"/>
    <s v="METRE"/>
    <n v="0"/>
    <n v="0"/>
    <n v="93.800000000000011"/>
    <n v="5.0999999999999996"/>
    <n v="0"/>
    <n v="34.526999999999994"/>
    <n v="6.77"/>
    <x v="49"/>
    <n v="2.0310000000000001"/>
    <x v="7"/>
  </r>
  <r>
    <x v="9"/>
    <s v="Jan Urbanek"/>
    <x v="0"/>
    <x v="134"/>
    <x v="134"/>
    <n v="2"/>
    <s v="ADET"/>
    <n v="0"/>
    <n v="37"/>
    <n v="20"/>
    <n v="-13"/>
    <n v="0"/>
    <n v="0"/>
    <n v="45.3"/>
    <x v="15"/>
    <n v="90.6"/>
    <x v="7"/>
  </r>
  <r>
    <x v="17"/>
    <s v="Murat Taşdemir"/>
    <x v="0"/>
    <x v="111"/>
    <x v="111"/>
    <n v="1"/>
    <s v="ADET"/>
    <n v="0"/>
    <n v="5"/>
    <n v="0"/>
    <n v="4.6000000000000014"/>
    <n v="5"/>
    <n v="5276.2000000000016"/>
    <n v="1147"/>
    <x v="41"/>
    <n v="1147"/>
    <x v="5"/>
  </r>
  <r>
    <x v="13"/>
    <s v="Matteo Giolo"/>
    <x v="0"/>
    <x v="129"/>
    <x v="129"/>
    <n v="2"/>
    <s v="KG"/>
    <n v="0"/>
    <n v="30"/>
    <n v="21.5"/>
    <n v="4"/>
    <n v="0"/>
    <n v="472.56"/>
    <n v="118.14"/>
    <x v="48"/>
    <n v="236.28"/>
    <x v="3"/>
  </r>
  <r>
    <x v="4"/>
    <s v="Stefan Zaugg"/>
    <x v="0"/>
    <x v="41"/>
    <x v="41"/>
    <n v="0.5"/>
    <s v="ADET"/>
    <n v="0"/>
    <n v="13.5"/>
    <n v="8.5"/>
    <n v="-5.3500000000000014"/>
    <n v="0"/>
    <n v="0"/>
    <n v="1600"/>
    <x v="23"/>
    <n v="800"/>
    <x v="6"/>
  </r>
  <r>
    <x v="3"/>
    <s v="Stina Alm"/>
    <x v="0"/>
    <x v="41"/>
    <x v="41"/>
    <n v="0.05"/>
    <s v="ADET"/>
    <n v="0"/>
    <n v="13.5"/>
    <n v="8.5"/>
    <n v="-5.3500000000000014"/>
    <n v="0"/>
    <n v="0"/>
    <n v="1600"/>
    <x v="23"/>
    <n v="80"/>
    <x v="6"/>
  </r>
  <r>
    <x v="15"/>
    <s v="Jan Urbanek"/>
    <x v="0"/>
    <x v="0"/>
    <x v="0"/>
    <n v="2"/>
    <s v="ADET"/>
    <n v="0"/>
    <n v="20"/>
    <n v="34"/>
    <n v="18"/>
    <n v="0"/>
    <n v="1476"/>
    <n v="82"/>
    <x v="0"/>
    <n v="164"/>
    <x v="0"/>
  </r>
  <r>
    <x v="14"/>
    <s v="Stefan Zaugg"/>
    <x v="0"/>
    <x v="0"/>
    <x v="0"/>
    <n v="2"/>
    <s v="ADET"/>
    <n v="0"/>
    <n v="20"/>
    <n v="34"/>
    <n v="18"/>
    <n v="0"/>
    <n v="1476"/>
    <n v="82"/>
    <x v="0"/>
    <n v="164"/>
    <x v="0"/>
  </r>
  <r>
    <x v="15"/>
    <s v="Jan Urbanek"/>
    <x v="1"/>
    <x v="1"/>
    <x v="1"/>
    <n v="1"/>
    <s v="ADET"/>
    <n v="0"/>
    <n v="10"/>
    <n v="9"/>
    <n v="2"/>
    <n v="0"/>
    <n v="0"/>
    <m/>
    <x v="1"/>
    <m/>
    <x v="1"/>
  </r>
  <r>
    <x v="17"/>
    <s v="Murat Taşdemir"/>
    <x v="0"/>
    <x v="2"/>
    <x v="2"/>
    <n v="1"/>
    <s v="ADET"/>
    <n v="0"/>
    <n v="25"/>
    <n v="18"/>
    <n v="-6"/>
    <n v="0"/>
    <n v="0"/>
    <n v="225"/>
    <x v="2"/>
    <n v="225"/>
    <x v="2"/>
  </r>
  <r>
    <x v="16"/>
    <s v="Stefan Zaugg"/>
    <x v="0"/>
    <x v="5"/>
    <x v="5"/>
    <n v="25"/>
    <s v="ADET"/>
    <n v="0"/>
    <n v="5200"/>
    <n v="0"/>
    <n v="-5125"/>
    <n v="0"/>
    <n v="0"/>
    <n v="0.08"/>
    <x v="5"/>
    <n v="2"/>
    <x v="2"/>
  </r>
  <r>
    <x v="14"/>
    <s v="Stefan Zaugg"/>
    <x v="0"/>
    <x v="5"/>
    <x v="5"/>
    <n v="25"/>
    <s v="ADET"/>
    <n v="0"/>
    <n v="5200"/>
    <n v="0"/>
    <n v="-5125"/>
    <n v="0"/>
    <n v="0"/>
    <n v="0.08"/>
    <x v="5"/>
    <n v="2"/>
    <x v="2"/>
  </r>
  <r>
    <x v="16"/>
    <s v="Stefan Zaugg"/>
    <x v="0"/>
    <x v="7"/>
    <x v="7"/>
    <n v="1"/>
    <s v="ADET"/>
    <n v="1"/>
    <n v="0"/>
    <n v="5"/>
    <n v="0"/>
    <n v="7"/>
    <n v="0"/>
    <n v="1491.67"/>
    <x v="7"/>
    <n v="1491.67"/>
    <x v="6"/>
  </r>
  <r>
    <x v="14"/>
    <s v="Stefan Zaugg"/>
    <x v="0"/>
    <x v="7"/>
    <x v="7"/>
    <n v="1"/>
    <s v="ADET"/>
    <n v="1"/>
    <n v="0"/>
    <n v="5"/>
    <n v="0"/>
    <n v="7"/>
    <n v="0"/>
    <n v="1491.67"/>
    <x v="7"/>
    <n v="1491.67"/>
    <x v="6"/>
  </r>
  <r>
    <x v="17"/>
    <s v="Murat Taşdemir"/>
    <x v="0"/>
    <x v="50"/>
    <x v="50"/>
    <n v="1"/>
    <s v="ADET"/>
    <n v="0"/>
    <n v="0"/>
    <n v="65"/>
    <n v="-94"/>
    <n v="100"/>
    <n v="0"/>
    <n v="115"/>
    <x v="14"/>
    <n v="115"/>
    <x v="2"/>
  </r>
  <r>
    <x v="17"/>
    <s v="Murat Taşdemir"/>
    <x v="0"/>
    <x v="51"/>
    <x v="51"/>
    <n v="2"/>
    <s v="ADET"/>
    <n v="0"/>
    <n v="212"/>
    <n v="625"/>
    <n v="-146"/>
    <n v="0"/>
    <n v="0"/>
    <n v="3.95"/>
    <x v="14"/>
    <n v="7.9"/>
    <x v="2"/>
  </r>
  <r>
    <x v="17"/>
    <s v="Murat Taşdemir"/>
    <x v="0"/>
    <x v="55"/>
    <x v="55"/>
    <n v="1"/>
    <s v="ADET"/>
    <n v="0"/>
    <n v="10"/>
    <n v="3"/>
    <n v="-3"/>
    <n v="0"/>
    <n v="0"/>
    <n v="45"/>
    <x v="14"/>
    <n v="45"/>
    <x v="2"/>
  </r>
  <r>
    <x v="9"/>
    <s v="Jan Urbanek"/>
    <x v="0"/>
    <x v="52"/>
    <x v="52"/>
    <n v="1"/>
    <s v="ADET"/>
    <n v="0"/>
    <n v="6"/>
    <n v="7"/>
    <n v="5"/>
    <n v="0"/>
    <n v="12288.25"/>
    <n v="2457.65"/>
    <x v="24"/>
    <n v="2457.65"/>
    <x v="6"/>
  </r>
  <r>
    <x v="19"/>
    <s v="Volkan Batkan"/>
    <x v="0"/>
    <x v="54"/>
    <x v="54"/>
    <n v="7.5"/>
    <s v="METRE"/>
    <n v="0"/>
    <n v="100"/>
    <n v="159.90000000000003"/>
    <n v="41.300000000000011"/>
    <n v="0"/>
    <n v="929.25000000000023"/>
    <n v="22.5"/>
    <x v="27"/>
    <n v="168.75"/>
    <x v="4"/>
  </r>
  <r>
    <x v="11"/>
    <s v="Jan Urbanek"/>
    <x v="0"/>
    <x v="54"/>
    <x v="54"/>
    <n v="7.5"/>
    <s v="METRE"/>
    <n v="0"/>
    <n v="100"/>
    <n v="159.90000000000003"/>
    <n v="41.300000000000011"/>
    <n v="0"/>
    <n v="929.25000000000023"/>
    <n v="22.5"/>
    <x v="27"/>
    <n v="168.75"/>
    <x v="4"/>
  </r>
  <r>
    <x v="9"/>
    <s v="Jan Urbanek"/>
    <x v="0"/>
    <x v="53"/>
    <x v="53"/>
    <n v="0.3"/>
    <s v="KG"/>
    <n v="0"/>
    <n v="0"/>
    <n v="22"/>
    <n v="0.6"/>
    <n v="0"/>
    <n v="162.54600000000002"/>
    <n v="270.91000000000003"/>
    <x v="26"/>
    <n v="81.27300000000001"/>
    <x v="3"/>
  </r>
  <r>
    <x v="10"/>
    <s v="Jan Urbanek"/>
    <x v="0"/>
    <x v="54"/>
    <x v="54"/>
    <n v="7.5"/>
    <s v="METRE"/>
    <n v="0"/>
    <n v="100"/>
    <n v="159.90000000000003"/>
    <n v="41.300000000000011"/>
    <n v="0"/>
    <n v="929.25000000000023"/>
    <n v="22.5"/>
    <x v="27"/>
    <n v="168.75"/>
    <x v="4"/>
  </r>
  <r>
    <x v="10"/>
    <s v="Jan Urbanek"/>
    <x v="0"/>
    <x v="135"/>
    <x v="135"/>
    <n v="49"/>
    <s v="ADET"/>
    <n v="0"/>
    <n v="1000"/>
    <n v="396"/>
    <n v="-91"/>
    <n v="0"/>
    <n v="0"/>
    <n v="12.5"/>
    <x v="50"/>
    <n v="612.5"/>
    <x v="2"/>
  </r>
  <r>
    <x v="9"/>
    <s v="Jan Urbanek"/>
    <x v="0"/>
    <x v="135"/>
    <x v="135"/>
    <n v="49"/>
    <s v="ADET"/>
    <n v="0"/>
    <n v="1000"/>
    <n v="396"/>
    <n v="-91"/>
    <n v="0"/>
    <n v="0"/>
    <n v="12.5"/>
    <x v="50"/>
    <n v="612.5"/>
    <x v="2"/>
  </r>
  <r>
    <x v="8"/>
    <s v="Jan Urbanek"/>
    <x v="0"/>
    <x v="135"/>
    <x v="135"/>
    <n v="49"/>
    <s v="ADET"/>
    <n v="0"/>
    <n v="1000"/>
    <n v="396"/>
    <n v="-91"/>
    <n v="0"/>
    <n v="0"/>
    <n v="12.5"/>
    <x v="50"/>
    <n v="612.5"/>
    <x v="2"/>
  </r>
  <r>
    <x v="10"/>
    <s v="Jan Urbanek"/>
    <x v="0"/>
    <x v="136"/>
    <x v="136"/>
    <n v="0.01"/>
    <s v="METRE"/>
    <n v="0"/>
    <n v="200"/>
    <n v="74.999999999999957"/>
    <n v="-198.95"/>
    <n v="0"/>
    <n v="0"/>
    <n v="7.4"/>
    <x v="49"/>
    <n v="7.400000000000001E-2"/>
    <x v="7"/>
  </r>
  <r>
    <x v="13"/>
    <s v="Matteo Giolo"/>
    <x v="0"/>
    <x v="55"/>
    <x v="55"/>
    <n v="1"/>
    <s v="ADET"/>
    <n v="0"/>
    <n v="10"/>
    <n v="3"/>
    <n v="-3"/>
    <n v="0"/>
    <n v="0"/>
    <n v="45"/>
    <x v="14"/>
    <n v="45"/>
    <x v="2"/>
  </r>
  <r>
    <x v="16"/>
    <s v="Stefan Zaugg"/>
    <x v="0"/>
    <x v="52"/>
    <x v="52"/>
    <n v="1"/>
    <s v="ADET"/>
    <n v="1"/>
    <n v="6"/>
    <n v="7"/>
    <n v="5"/>
    <n v="0"/>
    <n v="12288.25"/>
    <n v="2457.65"/>
    <x v="24"/>
    <n v="2457.65"/>
    <x v="6"/>
  </r>
  <r>
    <x v="11"/>
    <s v="Jan Urbanek"/>
    <x v="0"/>
    <x v="51"/>
    <x v="51"/>
    <n v="8"/>
    <s v="ADET"/>
    <n v="0"/>
    <n v="212"/>
    <n v="625"/>
    <n v="-146"/>
    <n v="0"/>
    <n v="0"/>
    <n v="3.95"/>
    <x v="14"/>
    <n v="31.6"/>
    <x v="2"/>
  </r>
  <r>
    <x v="11"/>
    <s v="Jan Urbanek"/>
    <x v="0"/>
    <x v="52"/>
    <x v="52"/>
    <n v="1"/>
    <s v="ADET"/>
    <n v="0"/>
    <n v="6"/>
    <n v="7"/>
    <n v="5"/>
    <n v="0"/>
    <n v="12288.25"/>
    <n v="2457.65"/>
    <x v="24"/>
    <n v="2457.65"/>
    <x v="6"/>
  </r>
  <r>
    <x v="13"/>
    <s v="Matteo Giolo"/>
    <x v="0"/>
    <x v="56"/>
    <x v="56"/>
    <n v="0.5"/>
    <s v="GR"/>
    <n v="0"/>
    <n v="500"/>
    <n v="0"/>
    <n v="-499"/>
    <n v="0"/>
    <n v="0"/>
    <n v="4"/>
    <x v="28"/>
    <n v="2"/>
    <x v="3"/>
  </r>
  <r>
    <x v="15"/>
    <s v="Jan Urbanek"/>
    <x v="0"/>
    <x v="54"/>
    <x v="54"/>
    <n v="7.5"/>
    <s v="METRE"/>
    <n v="0"/>
    <n v="100"/>
    <n v="159.90000000000003"/>
    <n v="41.300000000000011"/>
    <n v="0"/>
    <n v="929.25000000000023"/>
    <n v="22.5"/>
    <x v="27"/>
    <n v="168.75"/>
    <x v="4"/>
  </r>
  <r>
    <x v="10"/>
    <s v="Jan Urbanek"/>
    <x v="0"/>
    <x v="137"/>
    <x v="137"/>
    <n v="5"/>
    <s v="ADET"/>
    <n v="0"/>
    <n v="234"/>
    <n v="30"/>
    <n v="-169"/>
    <n v="0"/>
    <n v="0"/>
    <n v="15.21"/>
    <x v="15"/>
    <n v="76.050000000000011"/>
    <x v="7"/>
  </r>
  <r>
    <x v="13"/>
    <s v="Matteo Giolo"/>
    <x v="0"/>
    <x v="138"/>
    <x v="138"/>
    <n v="4"/>
    <s v="ADET"/>
    <n v="0"/>
    <n v="102"/>
    <n v="0"/>
    <n v="-90"/>
    <n v="0"/>
    <n v="0"/>
    <n v="7"/>
    <x v="5"/>
    <n v="28"/>
    <x v="2"/>
  </r>
  <r>
    <x v="17"/>
    <s v="Murat Taşdemir"/>
    <x v="0"/>
    <x v="139"/>
    <x v="139"/>
    <n v="0.05"/>
    <s v="KG"/>
    <n v="0"/>
    <n v="0"/>
    <n v="1.3045120539345589E-15"/>
    <n v="0.37"/>
    <n v="0"/>
    <n v="52.725000000000001"/>
    <n v="142.5"/>
    <x v="2"/>
    <n v="7.125"/>
    <x v="3"/>
  </r>
  <r>
    <x v="15"/>
    <s v="Jan Urbanek"/>
    <x v="0"/>
    <x v="135"/>
    <x v="135"/>
    <n v="49"/>
    <s v="ADET"/>
    <n v="0"/>
    <n v="1000"/>
    <n v="396"/>
    <n v="-91"/>
    <n v="0"/>
    <n v="0"/>
    <n v="12.5"/>
    <x v="50"/>
    <n v="612.5"/>
    <x v="2"/>
  </r>
  <r>
    <x v="13"/>
    <s v="Matteo Giolo"/>
    <x v="0"/>
    <x v="135"/>
    <x v="135"/>
    <n v="48"/>
    <s v="ADET"/>
    <n v="0"/>
    <n v="1000"/>
    <n v="396"/>
    <n v="-91"/>
    <n v="0"/>
    <n v="0"/>
    <n v="12.5"/>
    <x v="50"/>
    <n v="600"/>
    <x v="2"/>
  </r>
  <r>
    <x v="17"/>
    <s v="Murat Taşdemir"/>
    <x v="0"/>
    <x v="140"/>
    <x v="140"/>
    <n v="0.5"/>
    <s v="ADET"/>
    <n v="0"/>
    <n v="0"/>
    <n v="3.5527136788005009E-15"/>
    <n v="-6.1"/>
    <n v="10"/>
    <n v="0"/>
    <n v="255.55"/>
    <x v="51"/>
    <n v="127.77500000000001"/>
    <x v="3"/>
  </r>
  <r>
    <x v="13"/>
    <s v="Matteo Giolo"/>
    <x v="0"/>
    <x v="141"/>
    <x v="141"/>
    <n v="4"/>
    <s v="ADET"/>
    <n v="0"/>
    <n v="1000"/>
    <n v="0"/>
    <n v="-960"/>
    <n v="0"/>
    <n v="0"/>
    <n v="0.64"/>
    <x v="14"/>
    <n v="2.56"/>
    <x v="2"/>
  </r>
  <r>
    <x v="16"/>
    <s v="Stefan Zaugg"/>
    <x v="0"/>
    <x v="142"/>
    <x v="142"/>
    <n v="1"/>
    <s v="ADET"/>
    <n v="0"/>
    <n v="0"/>
    <n v="0"/>
    <n v="9"/>
    <n v="0"/>
    <n v="540"/>
    <n v="60"/>
    <x v="52"/>
    <n v="60"/>
    <x v="6"/>
  </r>
  <r>
    <x v="14"/>
    <s v="Stefan Zaugg"/>
    <x v="0"/>
    <x v="142"/>
    <x v="142"/>
    <n v="1"/>
    <s v="ADET"/>
    <n v="0"/>
    <n v="0"/>
    <n v="0"/>
    <n v="9"/>
    <n v="0"/>
    <n v="540"/>
    <n v="60"/>
    <x v="52"/>
    <n v="60"/>
    <x v="6"/>
  </r>
  <r>
    <x v="3"/>
    <s v="Stina Alm"/>
    <x v="0"/>
    <x v="50"/>
    <x v="50"/>
    <n v="1"/>
    <s v="ADET"/>
    <n v="0"/>
    <n v="0"/>
    <n v="65"/>
    <n v="-94"/>
    <n v="100"/>
    <n v="0"/>
    <n v="115"/>
    <x v="14"/>
    <n v="115"/>
    <x v="2"/>
  </r>
  <r>
    <x v="3"/>
    <s v="Stina Alm"/>
    <x v="0"/>
    <x v="52"/>
    <x v="52"/>
    <n v="1"/>
    <s v="ADET"/>
    <n v="0"/>
    <n v="6"/>
    <n v="7"/>
    <n v="5"/>
    <n v="0"/>
    <n v="12288.25"/>
    <n v="2457.65"/>
    <x v="24"/>
    <n v="2457.65"/>
    <x v="6"/>
  </r>
  <r>
    <x v="11"/>
    <s v="Jan Urbanek"/>
    <x v="0"/>
    <x v="135"/>
    <x v="135"/>
    <n v="49"/>
    <s v="ADET"/>
    <n v="0"/>
    <n v="1000"/>
    <n v="396"/>
    <n v="-91"/>
    <n v="0"/>
    <n v="0"/>
    <n v="12.5"/>
    <x v="50"/>
    <n v="612.5"/>
    <x v="2"/>
  </r>
  <r>
    <x v="11"/>
    <s v="Jan Urbanek"/>
    <x v="0"/>
    <x v="137"/>
    <x v="137"/>
    <n v="5"/>
    <s v="ADET"/>
    <n v="0"/>
    <n v="234"/>
    <n v="30"/>
    <n v="-169"/>
    <n v="0"/>
    <n v="0"/>
    <n v="15.21"/>
    <x v="15"/>
    <n v="76.050000000000011"/>
    <x v="7"/>
  </r>
  <r>
    <x v="13"/>
    <s v="Matteo Giolo"/>
    <x v="0"/>
    <x v="54"/>
    <x v="54"/>
    <n v="5.5"/>
    <s v="METRE"/>
    <n v="0"/>
    <n v="100"/>
    <n v="159.90000000000003"/>
    <n v="41.300000000000011"/>
    <n v="0"/>
    <n v="929.25000000000023"/>
    <n v="22.5"/>
    <x v="27"/>
    <n v="123.75"/>
    <x v="4"/>
  </r>
  <r>
    <x v="16"/>
    <s v="Stefan Zaugg"/>
    <x v="0"/>
    <x v="139"/>
    <x v="139"/>
    <n v="0.05"/>
    <s v="KG"/>
    <n v="0"/>
    <n v="0"/>
    <n v="1.3045120539345589E-15"/>
    <n v="0.37"/>
    <n v="0"/>
    <n v="52.725000000000001"/>
    <n v="142.5"/>
    <x v="2"/>
    <n v="7.125"/>
    <x v="3"/>
  </r>
  <r>
    <x v="13"/>
    <s v="Matteo Giolo"/>
    <x v="0"/>
    <x v="139"/>
    <x v="139"/>
    <n v="0.05"/>
    <s v="KG"/>
    <n v="0"/>
    <n v="0"/>
    <n v="1.3045120539345589E-15"/>
    <n v="0.37"/>
    <n v="0"/>
    <n v="52.725000000000001"/>
    <n v="142.5"/>
    <x v="2"/>
    <n v="7.125"/>
    <x v="3"/>
  </r>
  <r>
    <x v="19"/>
    <s v="Volkan Batkan"/>
    <x v="0"/>
    <x v="135"/>
    <x v="135"/>
    <n v="49"/>
    <s v="ADET"/>
    <n v="0"/>
    <n v="1000"/>
    <n v="396"/>
    <n v="-91"/>
    <n v="0"/>
    <n v="0"/>
    <n v="12.5"/>
    <x v="50"/>
    <n v="612.5"/>
    <x v="2"/>
  </r>
  <r>
    <x v="16"/>
    <s v="Stefan Zaugg"/>
    <x v="0"/>
    <x v="135"/>
    <x v="135"/>
    <n v="47"/>
    <s v="ADET"/>
    <n v="0"/>
    <n v="1000"/>
    <n v="396"/>
    <n v="-91"/>
    <n v="0"/>
    <n v="0"/>
    <n v="12.5"/>
    <x v="50"/>
    <n v="587.5"/>
    <x v="2"/>
  </r>
  <r>
    <x v="16"/>
    <s v="Stefan Zaugg"/>
    <x v="0"/>
    <x v="140"/>
    <x v="140"/>
    <n v="0.4"/>
    <s v="ADET"/>
    <n v="0"/>
    <n v="0"/>
    <n v="3.5527136788005009E-15"/>
    <n v="-6.1"/>
    <n v="10"/>
    <n v="0"/>
    <n v="255.55"/>
    <x v="51"/>
    <n v="102.22000000000001"/>
    <x v="3"/>
  </r>
  <r>
    <x v="19"/>
    <s v="Volkan Batkan"/>
    <x v="0"/>
    <x v="141"/>
    <x v="141"/>
    <n v="4"/>
    <s v="ADET"/>
    <n v="0"/>
    <n v="1000"/>
    <n v="0"/>
    <n v="-960"/>
    <n v="0"/>
    <n v="0"/>
    <n v="0.64"/>
    <x v="14"/>
    <n v="2.56"/>
    <x v="2"/>
  </r>
  <r>
    <x v="16"/>
    <s v="Stefan Zaugg"/>
    <x v="0"/>
    <x v="141"/>
    <x v="141"/>
    <n v="4"/>
    <s v="ADET"/>
    <n v="0"/>
    <n v="1000"/>
    <n v="0"/>
    <n v="-960"/>
    <n v="0"/>
    <n v="0"/>
    <n v="0.64"/>
    <x v="14"/>
    <n v="2.56"/>
    <x v="2"/>
  </r>
  <r>
    <x v="14"/>
    <s v="Stefan Zaugg"/>
    <x v="0"/>
    <x v="141"/>
    <x v="141"/>
    <n v="4"/>
    <s v="ADET"/>
    <n v="0"/>
    <n v="1000"/>
    <n v="0"/>
    <n v="-960"/>
    <n v="0"/>
    <n v="0"/>
    <n v="0.64"/>
    <x v="14"/>
    <n v="2.56"/>
    <x v="2"/>
  </r>
  <r>
    <x v="5"/>
    <s v="Matteo Giolo"/>
    <x v="0"/>
    <x v="50"/>
    <x v="50"/>
    <n v="1"/>
    <s v="ADET"/>
    <n v="0"/>
    <n v="0"/>
    <n v="65"/>
    <n v="-94"/>
    <n v="100"/>
    <n v="0"/>
    <n v="115"/>
    <x v="14"/>
    <n v="115"/>
    <x v="2"/>
  </r>
  <r>
    <x v="5"/>
    <s v="Matteo Giolo"/>
    <x v="0"/>
    <x v="55"/>
    <x v="55"/>
    <n v="1"/>
    <s v="ADET"/>
    <n v="0"/>
    <n v="10"/>
    <n v="3"/>
    <n v="-3"/>
    <n v="0"/>
    <n v="0"/>
    <n v="45"/>
    <x v="14"/>
    <n v="45"/>
    <x v="2"/>
  </r>
  <r>
    <x v="3"/>
    <s v="Stina Alm"/>
    <x v="0"/>
    <x v="55"/>
    <x v="55"/>
    <n v="1"/>
    <s v="ADET"/>
    <n v="0"/>
    <n v="10"/>
    <n v="3"/>
    <n v="-3"/>
    <n v="0"/>
    <n v="0"/>
    <n v="45"/>
    <x v="14"/>
    <n v="45"/>
    <x v="2"/>
  </r>
  <r>
    <x v="5"/>
    <s v="Matteo Giolo"/>
    <x v="0"/>
    <x v="52"/>
    <x v="52"/>
    <n v="1"/>
    <s v="ADET"/>
    <n v="0"/>
    <n v="6"/>
    <n v="7"/>
    <n v="5"/>
    <n v="0"/>
    <n v="12288.25"/>
    <n v="2457.65"/>
    <x v="24"/>
    <n v="2457.65"/>
    <x v="6"/>
  </r>
  <r>
    <x v="8"/>
    <s v="Jan Urbanek"/>
    <x v="0"/>
    <x v="137"/>
    <x v="137"/>
    <n v="5"/>
    <s v="ADET"/>
    <n v="0"/>
    <n v="234"/>
    <n v="30"/>
    <n v="-169"/>
    <n v="0"/>
    <n v="0"/>
    <n v="15.21"/>
    <x v="15"/>
    <n v="76.050000000000011"/>
    <x v="7"/>
  </r>
  <r>
    <x v="9"/>
    <s v="Jan Urbanek"/>
    <x v="0"/>
    <x v="137"/>
    <x v="137"/>
    <n v="5"/>
    <s v="ADET"/>
    <n v="0"/>
    <n v="234"/>
    <n v="30"/>
    <n v="-169"/>
    <n v="0"/>
    <n v="0"/>
    <n v="15.21"/>
    <x v="15"/>
    <n v="76.050000000000011"/>
    <x v="7"/>
  </r>
  <r>
    <x v="17"/>
    <s v="Murat Taşdemir"/>
    <x v="0"/>
    <x v="54"/>
    <x v="54"/>
    <n v="10"/>
    <s v="METRE"/>
    <n v="0"/>
    <n v="100"/>
    <n v="159.90000000000003"/>
    <n v="41.300000000000011"/>
    <n v="0"/>
    <n v="929.25000000000023"/>
    <n v="22.5"/>
    <x v="27"/>
    <n v="225"/>
    <x v="4"/>
  </r>
  <r>
    <x v="12"/>
    <s v="Matteo Giolo"/>
    <x v="0"/>
    <x v="51"/>
    <x v="51"/>
    <n v="4"/>
    <s v="ADET"/>
    <n v="0"/>
    <n v="212"/>
    <n v="625"/>
    <n v="-146"/>
    <n v="0"/>
    <n v="0"/>
    <n v="3.95"/>
    <x v="14"/>
    <n v="15.8"/>
    <x v="2"/>
  </r>
  <r>
    <x v="7"/>
    <s v="Laurent MONTAGNER"/>
    <x v="0"/>
    <x v="55"/>
    <x v="55"/>
    <n v="1"/>
    <s v="ADET"/>
    <n v="0"/>
    <n v="10"/>
    <n v="3"/>
    <n v="-3"/>
    <n v="0"/>
    <n v="0"/>
    <n v="45"/>
    <x v="14"/>
    <n v="45"/>
    <x v="2"/>
  </r>
  <r>
    <x v="9"/>
    <s v="Jan Urbanek"/>
    <x v="0"/>
    <x v="132"/>
    <x v="132"/>
    <n v="1"/>
    <s v="ADET"/>
    <n v="0"/>
    <n v="0"/>
    <n v="7"/>
    <n v="19"/>
    <n v="0"/>
    <n v="760"/>
    <n v="40"/>
    <x v="49"/>
    <n v="40"/>
    <x v="7"/>
  </r>
  <r>
    <x v="0"/>
    <s v="Soner Kayıkçı"/>
    <x v="0"/>
    <x v="28"/>
    <x v="28"/>
    <n v="10"/>
    <s v="ADET"/>
    <n v="0"/>
    <n v="166"/>
    <n v="61"/>
    <n v="48"/>
    <n v="0"/>
    <n v="960"/>
    <n v="20"/>
    <x v="14"/>
    <n v="200"/>
    <x v="2"/>
  </r>
  <r>
    <x v="2"/>
    <s v="Laurent MONTAGNER"/>
    <x v="0"/>
    <x v="28"/>
    <x v="28"/>
    <n v="16"/>
    <s v="ADET"/>
    <n v="0"/>
    <n v="166"/>
    <n v="61"/>
    <n v="48"/>
    <n v="0"/>
    <n v="960"/>
    <n v="20"/>
    <x v="14"/>
    <n v="320"/>
    <x v="2"/>
  </r>
  <r>
    <x v="0"/>
    <s v="Soner Kayıkçı"/>
    <x v="0"/>
    <x v="29"/>
    <x v="29"/>
    <n v="4"/>
    <s v="ADET"/>
    <n v="0"/>
    <n v="75"/>
    <n v="60"/>
    <n v="-31"/>
    <n v="0"/>
    <n v="0"/>
    <n v="170"/>
    <x v="16"/>
    <n v="680"/>
    <x v="2"/>
  </r>
  <r>
    <x v="13"/>
    <s v="Matteo Giolo"/>
    <x v="0"/>
    <x v="27"/>
    <x v="27"/>
    <n v="0.25"/>
    <s v="ADET"/>
    <n v="0"/>
    <n v="5"/>
    <n v="9.7999999999999954"/>
    <n v="0.19999999999999929"/>
    <n v="0"/>
    <n v="7.599999999999973"/>
    <n v="38"/>
    <x v="14"/>
    <n v="9.5"/>
    <x v="2"/>
  </r>
  <r>
    <x v="15"/>
    <s v="Jan Urbanek"/>
    <x v="0"/>
    <x v="28"/>
    <x v="28"/>
    <n v="10"/>
    <s v="ADET"/>
    <n v="0"/>
    <n v="166"/>
    <n v="61"/>
    <n v="48"/>
    <n v="0"/>
    <n v="960"/>
    <n v="20"/>
    <x v="14"/>
    <n v="200"/>
    <x v="2"/>
  </r>
  <r>
    <x v="14"/>
    <s v="Stefan Zaugg"/>
    <x v="0"/>
    <x v="29"/>
    <x v="29"/>
    <n v="4"/>
    <s v="ADET"/>
    <n v="4"/>
    <n v="75"/>
    <n v="60"/>
    <n v="-31"/>
    <n v="0"/>
    <n v="0"/>
    <n v="170"/>
    <x v="16"/>
    <n v="680"/>
    <x v="2"/>
  </r>
  <r>
    <x v="13"/>
    <s v="Matteo Giolo"/>
    <x v="0"/>
    <x v="29"/>
    <x v="29"/>
    <n v="4"/>
    <s v="ADET"/>
    <n v="0"/>
    <n v="75"/>
    <n v="60"/>
    <n v="-31"/>
    <n v="0"/>
    <n v="0"/>
    <n v="170"/>
    <x v="16"/>
    <n v="680"/>
    <x v="2"/>
  </r>
  <r>
    <x v="17"/>
    <s v="Murat Taşdemir"/>
    <x v="0"/>
    <x v="85"/>
    <x v="85"/>
    <n v="0.5"/>
    <s v="ADET"/>
    <n v="0"/>
    <n v="12"/>
    <n v="3"/>
    <n v="-3"/>
    <n v="0"/>
    <n v="0"/>
    <n v="130"/>
    <x v="2"/>
    <n v="65"/>
    <x v="3"/>
  </r>
  <r>
    <x v="16"/>
    <s v="Stefan Zaugg"/>
    <x v="0"/>
    <x v="86"/>
    <x v="86"/>
    <n v="9"/>
    <s v="ADET"/>
    <n v="0"/>
    <n v="47"/>
    <n v="1"/>
    <n v="23.61999999999999"/>
    <n v="0"/>
    <n v="2361.9999999999991"/>
    <n v="100"/>
    <x v="14"/>
    <n v="900"/>
    <x v="3"/>
  </r>
  <r>
    <x v="19"/>
    <s v="Volkan Batkan"/>
    <x v="0"/>
    <x v="28"/>
    <x v="28"/>
    <n v="10"/>
    <s v="ADET"/>
    <n v="0"/>
    <n v="166"/>
    <n v="61"/>
    <n v="48"/>
    <n v="0"/>
    <n v="960"/>
    <n v="20"/>
    <x v="14"/>
    <n v="200"/>
    <x v="2"/>
  </r>
  <r>
    <x v="15"/>
    <s v="Jan Urbanek"/>
    <x v="0"/>
    <x v="29"/>
    <x v="29"/>
    <n v="4"/>
    <s v="ADET"/>
    <n v="0"/>
    <n v="75"/>
    <n v="60"/>
    <n v="-31"/>
    <n v="0"/>
    <n v="0"/>
    <n v="170"/>
    <x v="16"/>
    <n v="680"/>
    <x v="2"/>
  </r>
  <r>
    <x v="6"/>
    <s v="Laurent MONTAGNER"/>
    <x v="0"/>
    <x v="85"/>
    <x v="85"/>
    <n v="0.5"/>
    <s v="ADET"/>
    <n v="0"/>
    <n v="12"/>
    <n v="3"/>
    <n v="-3"/>
    <n v="0"/>
    <n v="0"/>
    <n v="130"/>
    <x v="2"/>
    <n v="65"/>
    <x v="3"/>
  </r>
  <r>
    <x v="1"/>
    <s v="Stina Alm"/>
    <x v="0"/>
    <x v="85"/>
    <x v="85"/>
    <n v="0.5"/>
    <s v="ADET"/>
    <n v="0"/>
    <n v="12"/>
    <n v="3"/>
    <n v="-3"/>
    <n v="0"/>
    <n v="0"/>
    <n v="130"/>
    <x v="2"/>
    <n v="65"/>
    <x v="3"/>
  </r>
  <r>
    <x v="6"/>
    <s v="Laurent MONTAGNER"/>
    <x v="0"/>
    <x v="86"/>
    <x v="86"/>
    <n v="3"/>
    <s v="ADET"/>
    <n v="0"/>
    <n v="47"/>
    <n v="1"/>
    <n v="23.61999999999999"/>
    <n v="0"/>
    <n v="2361.9999999999991"/>
    <n v="100"/>
    <x v="14"/>
    <n v="300"/>
    <x v="3"/>
  </r>
  <r>
    <x v="0"/>
    <s v="Soner Kayıkçı"/>
    <x v="0"/>
    <x v="86"/>
    <x v="86"/>
    <n v="2.02"/>
    <s v="ADET"/>
    <n v="0"/>
    <n v="47"/>
    <n v="1"/>
    <n v="23.61999999999999"/>
    <n v="0"/>
    <n v="2361.9999999999991"/>
    <n v="100"/>
    <x v="14"/>
    <n v="202"/>
    <x v="3"/>
  </r>
  <r>
    <x v="1"/>
    <s v="Stina Alm"/>
    <x v="0"/>
    <x v="86"/>
    <x v="86"/>
    <n v="3"/>
    <s v="ADET"/>
    <n v="0"/>
    <n v="47"/>
    <n v="1"/>
    <n v="23.61999999999999"/>
    <n v="0"/>
    <n v="2361.9999999999991"/>
    <n v="100"/>
    <x v="14"/>
    <n v="300"/>
    <x v="3"/>
  </r>
  <r>
    <x v="15"/>
    <s v="Jan Urbanek"/>
    <x v="0"/>
    <x v="30"/>
    <x v="30"/>
    <n v="8"/>
    <s v="ADET"/>
    <n v="0"/>
    <n v="1270"/>
    <n v="698"/>
    <n v="-1174"/>
    <n v="0"/>
    <n v="0"/>
    <n v="0.55000000000000004"/>
    <x v="14"/>
    <n v="4.4000000000000004"/>
    <x v="2"/>
  </r>
  <r>
    <x v="16"/>
    <s v="Stefan Zaugg"/>
    <x v="0"/>
    <x v="85"/>
    <x v="85"/>
    <n v="0.5"/>
    <s v="ADET"/>
    <n v="0"/>
    <n v="12"/>
    <n v="3"/>
    <n v="-3"/>
    <n v="0"/>
    <n v="0"/>
    <n v="130"/>
    <x v="2"/>
    <n v="65"/>
    <x v="3"/>
  </r>
  <r>
    <x v="15"/>
    <s v="Jan Urbanek"/>
    <x v="0"/>
    <x v="86"/>
    <x v="86"/>
    <n v="2.02"/>
    <s v="ADET"/>
    <n v="0"/>
    <n v="47"/>
    <n v="1"/>
    <n v="23.61999999999999"/>
    <n v="0"/>
    <n v="2361.9999999999991"/>
    <n v="100"/>
    <x v="14"/>
    <n v="202"/>
    <x v="3"/>
  </r>
  <r>
    <x v="14"/>
    <s v="Stefan Zaugg"/>
    <x v="0"/>
    <x v="86"/>
    <x v="86"/>
    <n v="9"/>
    <s v="ADET"/>
    <n v="0"/>
    <n v="47"/>
    <n v="1"/>
    <n v="23.61999999999999"/>
    <n v="0"/>
    <n v="2361.9999999999991"/>
    <n v="100"/>
    <x v="14"/>
    <n v="900"/>
    <x v="3"/>
  </r>
  <r>
    <x v="19"/>
    <s v="Volkan Batkan"/>
    <x v="0"/>
    <x v="30"/>
    <x v="30"/>
    <n v="16"/>
    <s v="ADET"/>
    <n v="0"/>
    <n v="1270"/>
    <n v="698"/>
    <n v="-1174"/>
    <n v="0"/>
    <n v="0"/>
    <n v="0.55000000000000004"/>
    <x v="14"/>
    <n v="8.8000000000000007"/>
    <x v="2"/>
  </r>
  <r>
    <x v="19"/>
    <s v="Volkan Batkan"/>
    <x v="0"/>
    <x v="86"/>
    <x v="86"/>
    <n v="2"/>
    <s v="ADET"/>
    <n v="0"/>
    <n v="47"/>
    <n v="1"/>
    <n v="23.61999999999999"/>
    <n v="0"/>
    <n v="2361.9999999999991"/>
    <n v="100"/>
    <x v="14"/>
    <n v="200"/>
    <x v="3"/>
  </r>
  <r>
    <x v="17"/>
    <s v="Murat Taşdemir"/>
    <x v="0"/>
    <x v="86"/>
    <x v="86"/>
    <n v="4"/>
    <s v="ADET"/>
    <n v="0"/>
    <n v="47"/>
    <n v="1"/>
    <n v="23.61999999999999"/>
    <n v="0"/>
    <n v="2361.9999999999991"/>
    <n v="100"/>
    <x v="14"/>
    <n v="400"/>
    <x v="3"/>
  </r>
  <r>
    <x v="11"/>
    <s v="Jan Urbanek"/>
    <x v="0"/>
    <x v="84"/>
    <x v="84"/>
    <n v="0.1"/>
    <s v="KG"/>
    <n v="0"/>
    <n v="32"/>
    <n v="60"/>
    <n v="-31.4"/>
    <n v="0"/>
    <n v="0"/>
    <n v="110"/>
    <x v="26"/>
    <n v="11"/>
    <x v="3"/>
  </r>
  <r>
    <x v="10"/>
    <s v="Jan Urbanek"/>
    <x v="0"/>
    <x v="84"/>
    <x v="84"/>
    <n v="0.1"/>
    <s v="KG"/>
    <n v="0"/>
    <n v="32"/>
    <n v="60"/>
    <n v="-31.4"/>
    <n v="0"/>
    <n v="0"/>
    <n v="110"/>
    <x v="26"/>
    <n v="11"/>
    <x v="3"/>
  </r>
  <r>
    <x v="10"/>
    <s v="Jan Urbanek"/>
    <x v="0"/>
    <x v="85"/>
    <x v="85"/>
    <n v="0.5"/>
    <s v="ADET"/>
    <n v="0"/>
    <n v="12"/>
    <n v="3"/>
    <n v="-3"/>
    <n v="0"/>
    <n v="0"/>
    <n v="130"/>
    <x v="2"/>
    <n v="65"/>
    <x v="3"/>
  </r>
  <r>
    <x v="11"/>
    <s v="Jan Urbanek"/>
    <x v="0"/>
    <x v="121"/>
    <x v="121"/>
    <n v="11"/>
    <s v="ADET"/>
    <n v="0"/>
    <n v="391"/>
    <n v="150"/>
    <n v="-33"/>
    <n v="0"/>
    <n v="0"/>
    <n v="10.65"/>
    <x v="8"/>
    <n v="117.15"/>
    <x v="2"/>
  </r>
  <r>
    <x v="19"/>
    <s v="Volkan Batkan"/>
    <x v="0"/>
    <x v="122"/>
    <x v="122"/>
    <n v="0.5"/>
    <s v="METRE"/>
    <n v="0"/>
    <n v="0"/>
    <n v="45.5"/>
    <n v="8.5"/>
    <n v="0"/>
    <n v="1437.4350000000002"/>
    <n v="169.11"/>
    <x v="46"/>
    <n v="84.555000000000007"/>
    <x v="5"/>
  </r>
  <r>
    <x v="19"/>
    <s v="Volkan Batkan"/>
    <x v="0"/>
    <x v="121"/>
    <x v="121"/>
    <n v="8"/>
    <s v="ADET"/>
    <n v="0"/>
    <n v="391"/>
    <n v="150"/>
    <n v="-33"/>
    <n v="0"/>
    <n v="0"/>
    <n v="10.65"/>
    <x v="8"/>
    <n v="85.2"/>
    <x v="2"/>
  </r>
  <r>
    <x v="7"/>
    <s v="Laurent MONTAGNER"/>
    <x v="0"/>
    <x v="121"/>
    <x v="121"/>
    <n v="15"/>
    <s v="ADET"/>
    <n v="0"/>
    <n v="391"/>
    <n v="150"/>
    <n v="-33"/>
    <n v="0"/>
    <n v="0"/>
    <n v="10.65"/>
    <x v="8"/>
    <n v="159.75"/>
    <x v="2"/>
  </r>
  <r>
    <x v="10"/>
    <s v="Jan Urbanek"/>
    <x v="0"/>
    <x v="58"/>
    <x v="58"/>
    <n v="8.6"/>
    <s v="ADET"/>
    <n v="0"/>
    <n v="96"/>
    <n v="195.44000000000014"/>
    <n v="63.319999999999951"/>
    <n v="0"/>
    <n v="8163.8475999999937"/>
    <n v="128.93"/>
    <x v="29"/>
    <n v="1108.798"/>
    <x v="2"/>
  </r>
  <r>
    <x v="9"/>
    <s v="Jan Urbanek"/>
    <x v="0"/>
    <x v="59"/>
    <x v="59"/>
    <n v="1"/>
    <s v="M2"/>
    <n v="0"/>
    <n v="40"/>
    <n v="20"/>
    <n v="-35.625"/>
    <n v="0"/>
    <n v="0"/>
    <n v="54.17"/>
    <x v="30"/>
    <n v="54.17"/>
    <x v="3"/>
  </r>
  <r>
    <x v="13"/>
    <s v="Matteo Giolo"/>
    <x v="0"/>
    <x v="59"/>
    <x v="59"/>
    <n v="0.125"/>
    <s v="M2"/>
    <n v="0"/>
    <n v="40"/>
    <n v="20"/>
    <n v="-35.625"/>
    <n v="0"/>
    <n v="0"/>
    <n v="54.17"/>
    <x v="30"/>
    <n v="6.7712500000000002"/>
    <x v="3"/>
  </r>
  <r>
    <x v="19"/>
    <s v="Volkan Batkan"/>
    <x v="0"/>
    <x v="105"/>
    <x v="105"/>
    <n v="4"/>
    <s v="ADET"/>
    <n v="0"/>
    <n v="100"/>
    <n v="352"/>
    <n v="-28"/>
    <n v="0"/>
    <n v="0"/>
    <n v="6.4"/>
    <x v="8"/>
    <n v="25.6"/>
    <x v="4"/>
  </r>
  <r>
    <x v="11"/>
    <s v="Jan Urbanek"/>
    <x v="0"/>
    <x v="105"/>
    <x v="105"/>
    <n v="8"/>
    <s v="ADET"/>
    <n v="0"/>
    <n v="100"/>
    <n v="352"/>
    <n v="-28"/>
    <n v="0"/>
    <n v="0"/>
    <n v="6.4"/>
    <x v="8"/>
    <n v="51.2"/>
    <x v="4"/>
  </r>
  <r>
    <x v="11"/>
    <s v="Jan Urbanek"/>
    <x v="0"/>
    <x v="143"/>
    <x v="143"/>
    <n v="0.54999999999999993"/>
    <s v="ADET"/>
    <n v="0"/>
    <n v="0"/>
    <n v="5.5999999999999988"/>
    <n v="7.2"/>
    <n v="0"/>
    <n v="1170.0719999999999"/>
    <n v="162.51"/>
    <x v="3"/>
    <n v="89.380499999999984"/>
    <x v="3"/>
  </r>
  <r>
    <x v="11"/>
    <s v="Jan Urbanek"/>
    <x v="0"/>
    <x v="63"/>
    <x v="63"/>
    <n v="6.8"/>
    <s v="KG"/>
    <n v="0"/>
    <n v="0"/>
    <n v="233.6899999999996"/>
    <n v="63.129999999999995"/>
    <n v="0"/>
    <n v="6403.9071999999996"/>
    <n v="101.44"/>
    <x v="3"/>
    <n v="689.79199999999992"/>
    <x v="3"/>
  </r>
  <r>
    <x v="11"/>
    <s v="Jan Urbanek"/>
    <x v="0"/>
    <x v="58"/>
    <x v="58"/>
    <n v="8.1"/>
    <s v="ADET"/>
    <n v="0"/>
    <n v="96"/>
    <n v="195.44000000000014"/>
    <n v="63.319999999999951"/>
    <n v="0"/>
    <n v="8163.8475999999937"/>
    <n v="128.93"/>
    <x v="29"/>
    <n v="1044.3330000000001"/>
    <x v="2"/>
  </r>
  <r>
    <x v="13"/>
    <s v="Matteo Giolo"/>
    <x v="0"/>
    <x v="63"/>
    <x v="63"/>
    <n v="5.49"/>
    <s v="KG"/>
    <n v="0"/>
    <n v="0"/>
    <n v="233.6899999999996"/>
    <n v="63.129999999999995"/>
    <n v="0"/>
    <n v="6403.9071999999996"/>
    <n v="101.44"/>
    <x v="3"/>
    <n v="556.90560000000005"/>
    <x v="3"/>
  </r>
  <r>
    <x v="19"/>
    <s v="Volkan Batkan"/>
    <x v="0"/>
    <x v="58"/>
    <x v="58"/>
    <n v="7.2999999999999989"/>
    <s v="ADET"/>
    <n v="7.2999999999999989"/>
    <n v="96"/>
    <n v="195.44000000000014"/>
    <n v="63.319999999999951"/>
    <n v="0"/>
    <n v="8163.8475999999937"/>
    <n v="128.93"/>
    <x v="29"/>
    <n v="941.18899999999996"/>
    <x v="2"/>
  </r>
  <r>
    <x v="16"/>
    <s v="Stefan Zaugg"/>
    <x v="0"/>
    <x v="58"/>
    <x v="58"/>
    <n v="7.4999999999999991"/>
    <s v="ADET"/>
    <n v="0"/>
    <n v="96"/>
    <n v="195.44000000000014"/>
    <n v="63.319999999999951"/>
    <n v="0"/>
    <n v="8163.8475999999937"/>
    <n v="128.93"/>
    <x v="29"/>
    <n v="966.97499999999991"/>
    <x v="2"/>
  </r>
  <r>
    <x v="13"/>
    <s v="Matteo Giolo"/>
    <x v="0"/>
    <x v="58"/>
    <x v="58"/>
    <n v="11.099999999999998"/>
    <s v="ADET"/>
    <n v="0"/>
    <n v="96"/>
    <n v="195.44000000000014"/>
    <n v="63.319999999999951"/>
    <n v="0"/>
    <n v="8163.8475999999937"/>
    <n v="128.93"/>
    <x v="29"/>
    <n v="1431.1229999999998"/>
    <x v="2"/>
  </r>
  <r>
    <x v="14"/>
    <s v="Stefan Zaugg"/>
    <x v="0"/>
    <x v="58"/>
    <x v="58"/>
    <n v="7.4999999999999991"/>
    <s v="ADET"/>
    <n v="0"/>
    <n v="96"/>
    <n v="195.44000000000014"/>
    <n v="63.319999999999951"/>
    <n v="0"/>
    <n v="8163.8475999999937"/>
    <n v="128.93"/>
    <x v="29"/>
    <n v="966.97499999999991"/>
    <x v="2"/>
  </r>
  <r>
    <x v="16"/>
    <s v="Stefan Zaugg"/>
    <x v="0"/>
    <x v="105"/>
    <x v="105"/>
    <n v="8"/>
    <s v="ADET"/>
    <n v="0"/>
    <n v="100"/>
    <n v="352"/>
    <n v="-28"/>
    <n v="0"/>
    <n v="0"/>
    <n v="6.4"/>
    <x v="8"/>
    <n v="51.2"/>
    <x v="4"/>
  </r>
  <r>
    <x v="8"/>
    <s v="Jan Urbanek"/>
    <x v="0"/>
    <x v="57"/>
    <x v="57"/>
    <n v="45"/>
    <s v="ADET"/>
    <n v="0"/>
    <n v="2200"/>
    <n v="0"/>
    <n v="-1626"/>
    <n v="0"/>
    <n v="0"/>
    <n v="0.7"/>
    <x v="14"/>
    <n v="31.499999999999996"/>
    <x v="2"/>
  </r>
  <r>
    <x v="8"/>
    <s v="Jan Urbanek"/>
    <x v="0"/>
    <x v="62"/>
    <x v="62"/>
    <n v="1"/>
    <s v="ADET"/>
    <n v="0"/>
    <n v="11"/>
    <n v="1"/>
    <n v="-4"/>
    <n v="0"/>
    <n v="0"/>
    <n v="582.5"/>
    <x v="21"/>
    <n v="582.5"/>
    <x v="6"/>
  </r>
  <r>
    <x v="9"/>
    <s v="Jan Urbanek"/>
    <x v="0"/>
    <x v="62"/>
    <x v="62"/>
    <n v="1"/>
    <s v="ADET"/>
    <n v="0"/>
    <n v="11"/>
    <n v="1"/>
    <n v="-4"/>
    <n v="0"/>
    <n v="0"/>
    <n v="582.5"/>
    <x v="21"/>
    <n v="582.5"/>
    <x v="6"/>
  </r>
  <r>
    <x v="10"/>
    <s v="Jan Urbanek"/>
    <x v="0"/>
    <x v="61"/>
    <x v="61"/>
    <n v="1"/>
    <s v="ADET"/>
    <n v="0"/>
    <n v="13"/>
    <n v="4"/>
    <n v="-6"/>
    <n v="0"/>
    <n v="0"/>
    <n v="1250"/>
    <x v="31"/>
    <n v="1250"/>
    <x v="6"/>
  </r>
  <r>
    <x v="8"/>
    <s v="Jan Urbanek"/>
    <x v="0"/>
    <x v="63"/>
    <x v="63"/>
    <n v="6.5"/>
    <s v="KG"/>
    <n v="6.5"/>
    <n v="0"/>
    <n v="233.6899999999996"/>
    <n v="63.129999999999995"/>
    <n v="0"/>
    <n v="6403.9071999999996"/>
    <n v="101.44"/>
    <x v="3"/>
    <n v="659.36"/>
    <x v="3"/>
  </r>
  <r>
    <x v="9"/>
    <s v="Jan Urbanek"/>
    <x v="0"/>
    <x v="63"/>
    <x v="63"/>
    <n v="6.8"/>
    <s v="KG"/>
    <n v="0"/>
    <n v="0"/>
    <n v="233.6899999999996"/>
    <n v="63.129999999999995"/>
    <n v="0"/>
    <n v="6403.9071999999996"/>
    <n v="101.44"/>
    <x v="3"/>
    <n v="689.79199999999992"/>
    <x v="3"/>
  </r>
  <r>
    <x v="9"/>
    <s v="Jan Urbanek"/>
    <x v="0"/>
    <x v="58"/>
    <x v="58"/>
    <n v="8.1"/>
    <s v="ADET"/>
    <n v="0"/>
    <n v="96"/>
    <n v="195.44000000000014"/>
    <n v="63.319999999999951"/>
    <n v="0"/>
    <n v="8163.8475999999937"/>
    <n v="128.93"/>
    <x v="29"/>
    <n v="1044.3330000000001"/>
    <x v="2"/>
  </r>
  <r>
    <x v="8"/>
    <s v="Jan Urbanek"/>
    <x v="0"/>
    <x v="58"/>
    <x v="58"/>
    <n v="7.7999999999999989"/>
    <s v="ADET"/>
    <n v="0"/>
    <n v="96"/>
    <n v="195.44000000000014"/>
    <n v="63.319999999999951"/>
    <n v="0"/>
    <n v="8163.8475999999937"/>
    <n v="128.93"/>
    <x v="29"/>
    <n v="1005.6539999999999"/>
    <x v="2"/>
  </r>
  <r>
    <x v="4"/>
    <s v="Stefan Zaugg"/>
    <x v="0"/>
    <x v="57"/>
    <x v="57"/>
    <n v="40"/>
    <s v="ADET"/>
    <n v="0"/>
    <n v="2200"/>
    <n v="0"/>
    <n v="-1626"/>
    <n v="0"/>
    <n v="0"/>
    <n v="0.7"/>
    <x v="14"/>
    <n v="28"/>
    <x v="2"/>
  </r>
  <r>
    <x v="9"/>
    <s v="Jan Urbanek"/>
    <x v="0"/>
    <x v="105"/>
    <x v="105"/>
    <n v="8"/>
    <s v="ADET"/>
    <n v="0"/>
    <n v="100"/>
    <n v="352"/>
    <n v="-28"/>
    <n v="0"/>
    <n v="0"/>
    <n v="6.4"/>
    <x v="8"/>
    <n v="51.2"/>
    <x v="4"/>
  </r>
  <r>
    <x v="9"/>
    <s v="Jan Urbanek"/>
    <x v="0"/>
    <x v="143"/>
    <x v="143"/>
    <n v="0.55000000000000004"/>
    <s v="ADET"/>
    <n v="0"/>
    <n v="0"/>
    <n v="5.5999999999999988"/>
    <n v="7.2"/>
    <n v="0"/>
    <n v="1170.0719999999999"/>
    <n v="162.51"/>
    <x v="3"/>
    <n v="89.380499999999998"/>
    <x v="3"/>
  </r>
  <r>
    <x v="8"/>
    <s v="Jan Urbanek"/>
    <x v="0"/>
    <x v="144"/>
    <x v="144"/>
    <n v="1"/>
    <s v="ADET"/>
    <n v="0"/>
    <n v="3"/>
    <n v="11"/>
    <n v="7"/>
    <n v="0"/>
    <n v="22092.98"/>
    <n v="3156.14"/>
    <x v="13"/>
    <n v="3156.14"/>
    <x v="7"/>
  </r>
  <r>
    <x v="12"/>
    <s v="Matteo Giolo"/>
    <x v="0"/>
    <x v="57"/>
    <x v="57"/>
    <n v="45"/>
    <s v="ADET"/>
    <n v="0"/>
    <n v="2200"/>
    <n v="0"/>
    <n v="-1626"/>
    <n v="0"/>
    <n v="0"/>
    <n v="0.7"/>
    <x v="14"/>
    <n v="31.499999999999996"/>
    <x v="2"/>
  </r>
  <r>
    <x v="7"/>
    <s v="Laurent MONTAGNER"/>
    <x v="0"/>
    <x v="57"/>
    <x v="57"/>
    <n v="7"/>
    <s v="ADET"/>
    <n v="0"/>
    <n v="2200"/>
    <n v="0"/>
    <n v="-1626"/>
    <n v="0"/>
    <n v="0"/>
    <n v="0.7"/>
    <x v="14"/>
    <n v="4.8999999999999995"/>
    <x v="2"/>
  </r>
  <r>
    <x v="1"/>
    <s v="Stina Alm"/>
    <x v="0"/>
    <x v="68"/>
    <x v="68"/>
    <n v="105.7"/>
    <s v="KG"/>
    <n v="0"/>
    <n v="-690"/>
    <n v="2123.619999999999"/>
    <n v="1819.8699999999994"/>
    <n v="0"/>
    <n v="172651.06689999995"/>
    <n v="94.87"/>
    <x v="3"/>
    <n v="10027.759"/>
    <x v="3"/>
  </r>
  <r>
    <x v="17"/>
    <s v="Murat Taşdemir"/>
    <x v="0"/>
    <x v="64"/>
    <x v="64"/>
    <n v="0.1"/>
    <s v="ADET"/>
    <n v="0"/>
    <n v="0"/>
    <n v="1.929999999999999"/>
    <n v="1.2600000000000005"/>
    <n v="0"/>
    <n v="1921.5000000000007"/>
    <n v="1525"/>
    <x v="14"/>
    <n v="152.5"/>
    <x v="2"/>
  </r>
  <r>
    <x v="15"/>
    <s v="Jan Urbanek"/>
    <x v="0"/>
    <x v="68"/>
    <x v="68"/>
    <n v="108.01"/>
    <s v="KG"/>
    <n v="0"/>
    <n v="-690"/>
    <n v="2123.619999999999"/>
    <n v="1819.8699999999994"/>
    <n v="0"/>
    <n v="172651.06689999995"/>
    <n v="94.87"/>
    <x v="3"/>
    <n v="10246.908700000002"/>
    <x v="3"/>
  </r>
  <r>
    <x v="19"/>
    <s v="Volkan Batkan"/>
    <x v="0"/>
    <x v="69"/>
    <x v="69"/>
    <n v="0.01"/>
    <s v="ADET"/>
    <n v="0"/>
    <n v="6"/>
    <n v="22.530000000000012"/>
    <n v="-5.5"/>
    <n v="0"/>
    <n v="0"/>
    <n v="133"/>
    <x v="33"/>
    <n v="1.33"/>
    <x v="3"/>
  </r>
  <r>
    <x v="16"/>
    <s v="Stefan Zaugg"/>
    <x v="0"/>
    <x v="69"/>
    <x v="69"/>
    <n v="0.01"/>
    <s v="ADET"/>
    <n v="0"/>
    <n v="6"/>
    <n v="22.530000000000012"/>
    <n v="-5.5"/>
    <n v="0"/>
    <n v="0"/>
    <n v="133"/>
    <x v="33"/>
    <n v="1.33"/>
    <x v="3"/>
  </r>
  <r>
    <x v="14"/>
    <s v="Stefan Zaugg"/>
    <x v="0"/>
    <x v="69"/>
    <x v="69"/>
    <n v="0.01"/>
    <s v="ADET"/>
    <n v="0"/>
    <n v="6"/>
    <n v="22.530000000000012"/>
    <n v="-5.5"/>
    <n v="0"/>
    <n v="0"/>
    <n v="133"/>
    <x v="33"/>
    <n v="1.33"/>
    <x v="3"/>
  </r>
  <r>
    <x v="13"/>
    <s v="Matteo Giolo"/>
    <x v="0"/>
    <x v="69"/>
    <x v="69"/>
    <n v="0.12000000000000001"/>
    <s v="ADET"/>
    <n v="0"/>
    <n v="6"/>
    <n v="22.530000000000012"/>
    <n v="-5.5"/>
    <n v="0"/>
    <n v="0"/>
    <n v="133"/>
    <x v="33"/>
    <n v="15.96"/>
    <x v="3"/>
  </r>
  <r>
    <x v="19"/>
    <s v="Volkan Batkan"/>
    <x v="0"/>
    <x v="70"/>
    <x v="70"/>
    <n v="6"/>
    <s v="ADET"/>
    <n v="0"/>
    <n v="84"/>
    <n v="36"/>
    <n v="22"/>
    <n v="0"/>
    <n v="440"/>
    <n v="20"/>
    <x v="14"/>
    <n v="120"/>
    <x v="4"/>
  </r>
  <r>
    <x v="14"/>
    <s v="Stefan Zaugg"/>
    <x v="0"/>
    <x v="70"/>
    <x v="70"/>
    <n v="6"/>
    <s v="ADET"/>
    <n v="0"/>
    <n v="84"/>
    <n v="36"/>
    <n v="22"/>
    <n v="0"/>
    <n v="440"/>
    <n v="20"/>
    <x v="14"/>
    <n v="120"/>
    <x v="4"/>
  </r>
  <r>
    <x v="15"/>
    <s v="Jan Urbanek"/>
    <x v="0"/>
    <x v="70"/>
    <x v="70"/>
    <n v="6"/>
    <s v="ADET"/>
    <n v="0"/>
    <n v="84"/>
    <n v="36"/>
    <n v="22"/>
    <n v="0"/>
    <n v="440"/>
    <n v="20"/>
    <x v="14"/>
    <n v="120"/>
    <x v="4"/>
  </r>
  <r>
    <x v="13"/>
    <s v="Matteo Giolo"/>
    <x v="0"/>
    <x v="66"/>
    <x v="66"/>
    <n v="1"/>
    <s v="ADET"/>
    <n v="0"/>
    <n v="13"/>
    <n v="6"/>
    <n v="-10"/>
    <n v="0"/>
    <n v="0"/>
    <n v="344.14"/>
    <x v="32"/>
    <n v="344.14"/>
    <x v="2"/>
  </r>
  <r>
    <x v="16"/>
    <s v="Stefan Zaugg"/>
    <x v="0"/>
    <x v="64"/>
    <x v="64"/>
    <n v="0.05"/>
    <s v="ADET"/>
    <n v="0"/>
    <n v="0"/>
    <n v="1.929999999999999"/>
    <n v="1.2600000000000005"/>
    <n v="0"/>
    <n v="1921.5000000000007"/>
    <n v="1525"/>
    <x v="14"/>
    <n v="76.25"/>
    <x v="2"/>
  </r>
  <r>
    <x v="14"/>
    <s v="Stefan Zaugg"/>
    <x v="0"/>
    <x v="64"/>
    <x v="64"/>
    <n v="0.05"/>
    <s v="ADET"/>
    <n v="0"/>
    <n v="0"/>
    <n v="1.929999999999999"/>
    <n v="1.2600000000000005"/>
    <n v="0"/>
    <n v="1921.5000000000007"/>
    <n v="1525"/>
    <x v="14"/>
    <n v="76.25"/>
    <x v="2"/>
  </r>
  <r>
    <x v="13"/>
    <s v="Matteo Giolo"/>
    <x v="0"/>
    <x v="64"/>
    <x v="64"/>
    <n v="0.1"/>
    <s v="ADET"/>
    <n v="0"/>
    <n v="0"/>
    <n v="1.929999999999999"/>
    <n v="1.2600000000000005"/>
    <n v="0"/>
    <n v="1921.5000000000007"/>
    <n v="1525"/>
    <x v="14"/>
    <n v="152.5"/>
    <x v="2"/>
  </r>
  <r>
    <x v="15"/>
    <s v="Jan Urbanek"/>
    <x v="0"/>
    <x v="65"/>
    <x v="65"/>
    <n v="1"/>
    <s v="ADET"/>
    <n v="0"/>
    <n v="14"/>
    <n v="1"/>
    <n v="-7"/>
    <n v="0"/>
    <n v="0"/>
    <n v="458.33"/>
    <x v="21"/>
    <n v="458.33"/>
    <x v="6"/>
  </r>
  <r>
    <x v="13"/>
    <s v="Matteo Giolo"/>
    <x v="0"/>
    <x v="68"/>
    <x v="68"/>
    <n v="105.7"/>
    <s v="KG"/>
    <n v="0"/>
    <n v="-690"/>
    <n v="2123.619999999999"/>
    <n v="1819.8699999999994"/>
    <n v="0"/>
    <n v="172651.06689999995"/>
    <n v="94.87"/>
    <x v="3"/>
    <n v="10027.759"/>
    <x v="3"/>
  </r>
  <r>
    <x v="17"/>
    <s v="Murat Taşdemir"/>
    <x v="0"/>
    <x v="69"/>
    <x v="69"/>
    <n v="0.11"/>
    <s v="ADET"/>
    <n v="0.11"/>
    <n v="6"/>
    <n v="22.530000000000012"/>
    <n v="-5.5"/>
    <n v="0"/>
    <n v="0"/>
    <n v="133"/>
    <x v="33"/>
    <n v="14.63"/>
    <x v="3"/>
  </r>
  <r>
    <x v="13"/>
    <s v="Matteo Giolo"/>
    <x v="0"/>
    <x v="70"/>
    <x v="70"/>
    <n v="4"/>
    <s v="ADET"/>
    <n v="0"/>
    <n v="84"/>
    <n v="36"/>
    <n v="22"/>
    <n v="0"/>
    <n v="440"/>
    <n v="20"/>
    <x v="14"/>
    <n v="80"/>
    <x v="4"/>
  </r>
  <r>
    <x v="13"/>
    <s v="Matteo Giolo"/>
    <x v="0"/>
    <x v="145"/>
    <x v="145"/>
    <n v="1"/>
    <s v="ADET"/>
    <n v="0"/>
    <n v="5"/>
    <n v="10"/>
    <n v="7"/>
    <n v="0"/>
    <n v="85641.010000000009"/>
    <n v="12234.43"/>
    <x v="19"/>
    <n v="12234.43"/>
    <x v="7"/>
  </r>
  <r>
    <x v="16"/>
    <s v="Stefan Zaugg"/>
    <x v="0"/>
    <x v="146"/>
    <x v="146"/>
    <n v="1"/>
    <s v="METRE"/>
    <n v="0"/>
    <n v="6400"/>
    <n v="186.50000000000006"/>
    <n v="-6392"/>
    <n v="0"/>
    <n v="0"/>
    <n v="2.1"/>
    <x v="5"/>
    <n v="2.1"/>
    <x v="7"/>
  </r>
  <r>
    <x v="11"/>
    <s v="Jan Urbanek"/>
    <x v="0"/>
    <x v="68"/>
    <x v="68"/>
    <n v="108.87"/>
    <s v="KG"/>
    <n v="0"/>
    <n v="-690"/>
    <n v="2123.619999999999"/>
    <n v="1819.8699999999994"/>
    <n v="0"/>
    <n v="172651.06689999995"/>
    <n v="94.87"/>
    <x v="3"/>
    <n v="10328.4969"/>
    <x v="3"/>
  </r>
  <r>
    <x v="9"/>
    <s v="Jan Urbanek"/>
    <x v="0"/>
    <x v="145"/>
    <x v="145"/>
    <n v="1"/>
    <s v="ADET"/>
    <n v="0"/>
    <n v="5"/>
    <n v="10"/>
    <n v="7"/>
    <n v="0"/>
    <n v="85641.010000000009"/>
    <n v="12234.43"/>
    <x v="19"/>
    <n v="12234.43"/>
    <x v="7"/>
  </r>
  <r>
    <x v="8"/>
    <s v="Jan Urbanek"/>
    <x v="0"/>
    <x v="145"/>
    <x v="145"/>
    <n v="1"/>
    <s v="ADET"/>
    <n v="0"/>
    <n v="5"/>
    <n v="10"/>
    <n v="7"/>
    <n v="0"/>
    <n v="85641.010000000009"/>
    <n v="12234.43"/>
    <x v="19"/>
    <n v="12234.43"/>
    <x v="7"/>
  </r>
  <r>
    <x v="12"/>
    <s v="Matteo Giolo"/>
    <x v="0"/>
    <x v="52"/>
    <x v="52"/>
    <n v="1"/>
    <s v="ADET"/>
    <n v="0"/>
    <n v="6"/>
    <n v="7"/>
    <n v="5"/>
    <n v="0"/>
    <n v="12288.25"/>
    <n v="2457.65"/>
    <x v="24"/>
    <n v="2457.65"/>
    <x v="6"/>
  </r>
  <r>
    <x v="7"/>
    <s v="Laurent MONTAGNER"/>
    <x v="0"/>
    <x v="54"/>
    <x v="54"/>
    <n v="10"/>
    <s v="METRE"/>
    <n v="0"/>
    <n v="100"/>
    <n v="159.90000000000003"/>
    <n v="41.300000000000011"/>
    <n v="0"/>
    <n v="929.25000000000023"/>
    <n v="22.5"/>
    <x v="27"/>
    <n v="225"/>
    <x v="4"/>
  </r>
  <r>
    <x v="12"/>
    <s v="Matteo Giolo"/>
    <x v="0"/>
    <x v="135"/>
    <x v="135"/>
    <n v="49"/>
    <s v="ADET"/>
    <n v="0"/>
    <n v="1000"/>
    <n v="396"/>
    <n v="-91"/>
    <n v="0"/>
    <n v="0"/>
    <n v="12.5"/>
    <x v="50"/>
    <n v="612.5"/>
    <x v="2"/>
  </r>
  <r>
    <x v="7"/>
    <s v="Laurent MONTAGNER"/>
    <x v="0"/>
    <x v="135"/>
    <x v="135"/>
    <n v="46"/>
    <s v="ADET"/>
    <n v="0"/>
    <n v="1000"/>
    <n v="396"/>
    <n v="-91"/>
    <n v="0"/>
    <n v="0"/>
    <n v="12.5"/>
    <x v="50"/>
    <n v="575"/>
    <x v="2"/>
  </r>
  <r>
    <x v="18"/>
    <s v="Hayriye Güven"/>
    <x v="0"/>
    <x v="147"/>
    <x v="147"/>
    <n v="1"/>
    <s v="ADET"/>
    <n v="0"/>
    <n v="4"/>
    <n v="0"/>
    <n v="-3"/>
    <n v="0"/>
    <n v="0"/>
    <n v="873.08"/>
    <x v="53"/>
    <n v="873.08"/>
    <x v="4"/>
  </r>
  <r>
    <x v="16"/>
    <s v="Stefan Zaugg"/>
    <x v="0"/>
    <x v="54"/>
    <x v="54"/>
    <n v="7.5"/>
    <s v="METRE"/>
    <n v="0"/>
    <n v="100"/>
    <n v="159.90000000000003"/>
    <n v="41.300000000000011"/>
    <n v="0"/>
    <n v="929.25000000000023"/>
    <n v="22.5"/>
    <x v="27"/>
    <n v="168.75"/>
    <x v="4"/>
  </r>
  <r>
    <x v="9"/>
    <s v="Jan Urbanek"/>
    <x v="0"/>
    <x v="54"/>
    <x v="54"/>
    <n v="7.5"/>
    <s v="METRE"/>
    <n v="0"/>
    <n v="100"/>
    <n v="159.90000000000003"/>
    <n v="41.300000000000011"/>
    <n v="0"/>
    <n v="929.25000000000023"/>
    <n v="22.5"/>
    <x v="27"/>
    <n v="168.75"/>
    <x v="4"/>
  </r>
  <r>
    <x v="8"/>
    <s v="Jan Urbanek"/>
    <x v="0"/>
    <x v="54"/>
    <x v="54"/>
    <n v="7.5"/>
    <s v="METRE"/>
    <n v="0"/>
    <n v="100"/>
    <n v="159.90000000000003"/>
    <n v="41.300000000000011"/>
    <n v="0"/>
    <n v="929.25000000000023"/>
    <n v="22.5"/>
    <x v="27"/>
    <n v="168.75"/>
    <x v="4"/>
  </r>
  <r>
    <x v="9"/>
    <s v="Jan Urbanek"/>
    <x v="0"/>
    <x v="136"/>
    <x v="136"/>
    <n v="0.01"/>
    <s v="METRE"/>
    <n v="0"/>
    <n v="200"/>
    <n v="74.999999999999957"/>
    <n v="-198.95"/>
    <n v="0"/>
    <n v="0"/>
    <n v="7.4"/>
    <x v="49"/>
    <n v="7.400000000000001E-2"/>
    <x v="7"/>
  </r>
  <r>
    <x v="2"/>
    <s v="Laurent MONTAGNER"/>
    <x v="0"/>
    <x v="13"/>
    <x v="13"/>
    <n v="8"/>
    <s v="ADET"/>
    <n v="0"/>
    <n v="0"/>
    <n v="128"/>
    <n v="70"/>
    <n v="40"/>
    <n v="4200"/>
    <n v="60"/>
    <x v="10"/>
    <n v="480"/>
    <x v="2"/>
  </r>
  <r>
    <x v="2"/>
    <s v="Laurent MONTAGNER"/>
    <x v="0"/>
    <x v="14"/>
    <x v="14"/>
    <n v="1"/>
    <s v="ADET"/>
    <n v="1"/>
    <n v="0"/>
    <n v="10"/>
    <n v="0"/>
    <n v="11"/>
    <n v="0"/>
    <n v="675"/>
    <x v="7"/>
    <n v="675"/>
    <x v="6"/>
  </r>
  <r>
    <x v="0"/>
    <s v="Soner Kayıkçı"/>
    <x v="0"/>
    <x v="11"/>
    <x v="11"/>
    <n v="1.504"/>
    <s v="KG"/>
    <n v="0"/>
    <n v="0"/>
    <n v="65.03100000000002"/>
    <n v="17.948"/>
    <n v="0"/>
    <n v="6991.2844399999994"/>
    <n v="389.53"/>
    <x v="3"/>
    <n v="585.85311999999999"/>
    <x v="3"/>
  </r>
  <r>
    <x v="17"/>
    <s v="Murat Taşdemir"/>
    <x v="0"/>
    <x v="8"/>
    <x v="8"/>
    <n v="74"/>
    <s v="ADET"/>
    <n v="0"/>
    <n v="3000"/>
    <n v="1138"/>
    <n v="-1738"/>
    <n v="0"/>
    <n v="0"/>
    <n v="0.93"/>
    <x v="8"/>
    <n v="68.820000000000007"/>
    <x v="2"/>
  </r>
  <r>
    <x v="15"/>
    <s v="Jan Urbanek"/>
    <x v="0"/>
    <x v="11"/>
    <x v="11"/>
    <n v="1.4909999999999999"/>
    <s v="KG"/>
    <n v="0"/>
    <n v="0"/>
    <n v="65.03100000000002"/>
    <n v="17.948"/>
    <n v="0"/>
    <n v="6991.2844399999994"/>
    <n v="389.53"/>
    <x v="3"/>
    <n v="580.78922999999986"/>
    <x v="3"/>
  </r>
  <r>
    <x v="18"/>
    <s v="Hayriye Güven"/>
    <x v="0"/>
    <x v="11"/>
    <x v="11"/>
    <n v="1.135"/>
    <s v="KG"/>
    <n v="0"/>
    <n v="0"/>
    <n v="65.03100000000002"/>
    <n v="17.948"/>
    <n v="0"/>
    <n v="6991.2844399999994"/>
    <n v="389.53"/>
    <x v="3"/>
    <n v="442.11654999999996"/>
    <x v="3"/>
  </r>
  <r>
    <x v="17"/>
    <s v="Murat Taşdemir"/>
    <x v="0"/>
    <x v="148"/>
    <x v="148"/>
    <n v="2"/>
    <s v="ADET"/>
    <n v="0"/>
    <n v="238"/>
    <n v="90"/>
    <n v="-200"/>
    <n v="0"/>
    <n v="0"/>
    <n v="4"/>
    <x v="20"/>
    <n v="8"/>
    <x v="7"/>
  </r>
  <r>
    <x v="17"/>
    <s v="Murat Taşdemir"/>
    <x v="0"/>
    <x v="12"/>
    <x v="12"/>
    <n v="10"/>
    <s v="ADET"/>
    <n v="0"/>
    <n v="14472"/>
    <n v="3376"/>
    <n v="-14340"/>
    <n v="0"/>
    <n v="0"/>
    <n v="0.04"/>
    <x v="5"/>
    <n v="0.4"/>
    <x v="2"/>
  </r>
  <r>
    <x v="16"/>
    <s v="Stefan Zaugg"/>
    <x v="0"/>
    <x v="8"/>
    <x v="8"/>
    <n v="58"/>
    <s v="ADET"/>
    <n v="0"/>
    <n v="3000"/>
    <n v="1138"/>
    <n v="-1738"/>
    <n v="0"/>
    <n v="0"/>
    <n v="0.93"/>
    <x v="8"/>
    <n v="53.940000000000005"/>
    <x v="2"/>
  </r>
  <r>
    <x v="14"/>
    <s v="Stefan Zaugg"/>
    <x v="0"/>
    <x v="8"/>
    <x v="8"/>
    <n v="58"/>
    <s v="ADET"/>
    <n v="0"/>
    <n v="3000"/>
    <n v="1138"/>
    <n v="-1738"/>
    <n v="0"/>
    <n v="0"/>
    <n v="0.93"/>
    <x v="8"/>
    <n v="53.940000000000005"/>
    <x v="2"/>
  </r>
  <r>
    <x v="17"/>
    <s v="Murat Taşdemir"/>
    <x v="0"/>
    <x v="13"/>
    <x v="13"/>
    <n v="7"/>
    <s v="ADET"/>
    <n v="0"/>
    <n v="0"/>
    <n v="128"/>
    <n v="70"/>
    <n v="40"/>
    <n v="4200"/>
    <n v="60"/>
    <x v="10"/>
    <n v="420"/>
    <x v="2"/>
  </r>
  <r>
    <x v="16"/>
    <s v="Stefan Zaugg"/>
    <x v="0"/>
    <x v="9"/>
    <x v="9"/>
    <n v="1"/>
    <s v="ADET"/>
    <n v="1"/>
    <n v="2"/>
    <n v="4"/>
    <n v="5"/>
    <n v="0"/>
    <n v="37250"/>
    <n v="7450"/>
    <x v="9"/>
    <n v="7450"/>
    <x v="6"/>
  </r>
  <r>
    <x v="14"/>
    <s v="Stefan Zaugg"/>
    <x v="0"/>
    <x v="9"/>
    <x v="9"/>
    <n v="1"/>
    <s v="ADET"/>
    <n v="1"/>
    <n v="2"/>
    <n v="4"/>
    <n v="5"/>
    <n v="0"/>
    <n v="37250"/>
    <n v="7450"/>
    <x v="9"/>
    <n v="7450"/>
    <x v="6"/>
  </r>
  <r>
    <x v="18"/>
    <s v="Hayriye Güven"/>
    <x v="0"/>
    <x v="149"/>
    <x v="149"/>
    <n v="3"/>
    <s v="ADET"/>
    <n v="0"/>
    <n v="67"/>
    <n v="24"/>
    <n v="-38"/>
    <n v="0"/>
    <n v="0"/>
    <n v="640"/>
    <x v="20"/>
    <n v="1920"/>
    <x v="7"/>
  </r>
  <r>
    <x v="17"/>
    <s v="Murat Taşdemir"/>
    <x v="0"/>
    <x v="149"/>
    <x v="149"/>
    <n v="2"/>
    <s v="ADET"/>
    <n v="2"/>
    <n v="67"/>
    <n v="24"/>
    <n v="-38"/>
    <n v="0"/>
    <n v="0"/>
    <n v="640"/>
    <x v="20"/>
    <n v="1280"/>
    <x v="7"/>
  </r>
  <r>
    <x v="16"/>
    <s v="Stefan Zaugg"/>
    <x v="0"/>
    <x v="148"/>
    <x v="148"/>
    <n v="2"/>
    <s v="ADET"/>
    <n v="0"/>
    <n v="238"/>
    <n v="90"/>
    <n v="-200"/>
    <n v="0"/>
    <n v="0"/>
    <n v="4"/>
    <x v="20"/>
    <n v="8"/>
    <x v="7"/>
  </r>
  <r>
    <x v="14"/>
    <s v="Stefan Zaugg"/>
    <x v="0"/>
    <x v="148"/>
    <x v="148"/>
    <n v="2"/>
    <s v="ADET"/>
    <n v="0"/>
    <n v="238"/>
    <n v="90"/>
    <n v="-200"/>
    <n v="0"/>
    <n v="0"/>
    <n v="4"/>
    <x v="20"/>
    <n v="8"/>
    <x v="7"/>
  </r>
  <r>
    <x v="13"/>
    <s v="Matteo Giolo"/>
    <x v="0"/>
    <x v="148"/>
    <x v="148"/>
    <n v="2"/>
    <s v="ADET"/>
    <n v="0"/>
    <n v="238"/>
    <n v="90"/>
    <n v="-200"/>
    <n v="0"/>
    <n v="0"/>
    <n v="4"/>
    <x v="20"/>
    <n v="8"/>
    <x v="7"/>
  </r>
  <r>
    <x v="9"/>
    <s v="Jan Urbanek"/>
    <x v="0"/>
    <x v="148"/>
    <x v="148"/>
    <n v="2"/>
    <s v="ADET"/>
    <n v="0"/>
    <n v="238"/>
    <n v="90"/>
    <n v="-200"/>
    <n v="0"/>
    <n v="0"/>
    <n v="4"/>
    <x v="20"/>
    <n v="8"/>
    <x v="7"/>
  </r>
  <r>
    <x v="8"/>
    <s v="Jan Urbanek"/>
    <x v="0"/>
    <x v="148"/>
    <x v="148"/>
    <n v="2"/>
    <s v="ADET"/>
    <n v="0"/>
    <n v="238"/>
    <n v="90"/>
    <n v="-200"/>
    <n v="0"/>
    <n v="0"/>
    <n v="4"/>
    <x v="20"/>
    <n v="8"/>
    <x v="7"/>
  </r>
  <r>
    <x v="9"/>
    <s v="Jan Urbanek"/>
    <x v="0"/>
    <x v="150"/>
    <x v="150"/>
    <n v="1"/>
    <s v="ADET"/>
    <n v="0"/>
    <n v="9"/>
    <n v="13"/>
    <n v="-1"/>
    <n v="4"/>
    <n v="0"/>
    <n v="1600"/>
    <x v="35"/>
    <n v="1600"/>
    <x v="7"/>
  </r>
  <r>
    <x v="9"/>
    <s v="Jan Urbanek"/>
    <x v="0"/>
    <x v="151"/>
    <x v="151"/>
    <n v="0.1"/>
    <s v="METRE"/>
    <n v="0"/>
    <n v="50"/>
    <n v="2.8310687127941492E-15"/>
    <n v="-47.8"/>
    <n v="0"/>
    <n v="0"/>
    <n v="25.41"/>
    <x v="15"/>
    <n v="2.5410000000000004"/>
    <x v="7"/>
  </r>
  <r>
    <x v="8"/>
    <s v="Jan Urbanek"/>
    <x v="0"/>
    <x v="151"/>
    <x v="151"/>
    <n v="0.1"/>
    <s v="METRE"/>
    <n v="0"/>
    <n v="50"/>
    <n v="2.8310687127941492E-15"/>
    <n v="-47.8"/>
    <n v="0"/>
    <n v="0"/>
    <n v="25.41"/>
    <x v="15"/>
    <n v="2.5410000000000004"/>
    <x v="7"/>
  </r>
  <r>
    <x v="9"/>
    <s v="Jan Urbanek"/>
    <x v="0"/>
    <x v="152"/>
    <x v="152"/>
    <n v="6"/>
    <s v="ADET"/>
    <n v="0"/>
    <n v="0"/>
    <n v="0"/>
    <n v="54"/>
    <n v="0"/>
    <n v="67.5"/>
    <n v="1.25"/>
    <x v="20"/>
    <n v="7.5"/>
    <x v="7"/>
  </r>
  <r>
    <x v="8"/>
    <s v="Jan Urbanek"/>
    <x v="0"/>
    <x v="152"/>
    <x v="152"/>
    <n v="6"/>
    <s v="ADET"/>
    <n v="0"/>
    <n v="0"/>
    <n v="0"/>
    <n v="54"/>
    <n v="0"/>
    <n v="67.5"/>
    <n v="1.25"/>
    <x v="20"/>
    <n v="7.5"/>
    <x v="7"/>
  </r>
  <r>
    <x v="19"/>
    <s v="Volkan Batkan"/>
    <x v="0"/>
    <x v="149"/>
    <x v="149"/>
    <n v="3"/>
    <s v="ADET"/>
    <n v="3"/>
    <n v="67"/>
    <n v="24"/>
    <n v="-38"/>
    <n v="0"/>
    <n v="0"/>
    <n v="640"/>
    <x v="20"/>
    <n v="1920"/>
    <x v="7"/>
  </r>
  <r>
    <x v="16"/>
    <s v="Stefan Zaugg"/>
    <x v="0"/>
    <x v="149"/>
    <x v="149"/>
    <n v="2"/>
    <s v="ADET"/>
    <n v="2"/>
    <n v="67"/>
    <n v="24"/>
    <n v="-38"/>
    <n v="0"/>
    <n v="0"/>
    <n v="640"/>
    <x v="20"/>
    <n v="1280"/>
    <x v="7"/>
  </r>
  <r>
    <x v="15"/>
    <s v="Jan Urbanek"/>
    <x v="0"/>
    <x v="148"/>
    <x v="148"/>
    <n v="2"/>
    <s v="ADET"/>
    <n v="0"/>
    <n v="238"/>
    <n v="90"/>
    <n v="-200"/>
    <n v="0"/>
    <n v="0"/>
    <n v="4"/>
    <x v="20"/>
    <n v="8"/>
    <x v="7"/>
  </r>
  <r>
    <x v="9"/>
    <s v="Jan Urbanek"/>
    <x v="0"/>
    <x v="91"/>
    <x v="91"/>
    <n v="3.1"/>
    <s v="ADET"/>
    <n v="0"/>
    <n v="6"/>
    <n v="14.000000000000005"/>
    <n v="28.1"/>
    <n v="0"/>
    <n v="4097.8230000000003"/>
    <n v="145.83000000000001"/>
    <x v="21"/>
    <n v="452.07300000000004"/>
    <x v="3"/>
  </r>
  <r>
    <x v="8"/>
    <s v="Jan Urbanek"/>
    <x v="0"/>
    <x v="91"/>
    <x v="91"/>
    <n v="3.1"/>
    <s v="ADET"/>
    <n v="0"/>
    <n v="6"/>
    <n v="14.000000000000005"/>
    <n v="28.1"/>
    <n v="0"/>
    <n v="4097.8230000000003"/>
    <n v="145.83000000000001"/>
    <x v="21"/>
    <n v="452.07300000000004"/>
    <x v="3"/>
  </r>
  <r>
    <x v="9"/>
    <s v="Jan Urbanek"/>
    <x v="0"/>
    <x v="93"/>
    <x v="93"/>
    <n v="3.3"/>
    <s v="METRE"/>
    <n v="0"/>
    <n v="125"/>
    <n v="37.499999999999908"/>
    <n v="-44.100000000000009"/>
    <n v="0"/>
    <n v="0"/>
    <n v="44"/>
    <x v="27"/>
    <n v="145.19999999999999"/>
    <x v="4"/>
  </r>
  <r>
    <x v="9"/>
    <s v="Jan Urbanek"/>
    <x v="0"/>
    <x v="94"/>
    <x v="94"/>
    <n v="1"/>
    <s v="ADET"/>
    <n v="0"/>
    <n v="4"/>
    <n v="12"/>
    <n v="7"/>
    <n v="0"/>
    <n v="12435.01"/>
    <n v="1776.43"/>
    <x v="24"/>
    <n v="1776.43"/>
    <x v="4"/>
  </r>
  <r>
    <x v="8"/>
    <s v="Jan Urbanek"/>
    <x v="0"/>
    <x v="94"/>
    <x v="94"/>
    <n v="1"/>
    <s v="ADET"/>
    <n v="0"/>
    <n v="4"/>
    <n v="12"/>
    <n v="7"/>
    <n v="0"/>
    <n v="12435.01"/>
    <n v="1776.43"/>
    <x v="24"/>
    <n v="1776.43"/>
    <x v="4"/>
  </r>
  <r>
    <x v="9"/>
    <s v="Jan Urbanek"/>
    <x v="0"/>
    <x v="95"/>
    <x v="95"/>
    <n v="2"/>
    <s v="ADET"/>
    <n v="0"/>
    <n v="809"/>
    <n v="0"/>
    <n v="-768"/>
    <n v="0"/>
    <n v="0"/>
    <n v="2.4"/>
    <x v="14"/>
    <n v="4.8"/>
    <x v="2"/>
  </r>
  <r>
    <x v="4"/>
    <s v="Stefan Zaugg"/>
    <x v="0"/>
    <x v="26"/>
    <x v="26"/>
    <n v="25"/>
    <s v="ADET"/>
    <n v="0"/>
    <n v="776"/>
    <n v="367"/>
    <n v="-308"/>
    <n v="0"/>
    <n v="0"/>
    <n v="3.46"/>
    <x v="8"/>
    <n v="86.5"/>
    <x v="2"/>
  </r>
  <r>
    <x v="5"/>
    <s v="Matteo Giolo"/>
    <x v="0"/>
    <x v="26"/>
    <x v="26"/>
    <n v="25"/>
    <s v="ADET"/>
    <n v="0"/>
    <n v="776"/>
    <n v="367"/>
    <n v="-308"/>
    <n v="0"/>
    <n v="0"/>
    <n v="3.46"/>
    <x v="8"/>
    <n v="86.5"/>
    <x v="2"/>
  </r>
  <r>
    <x v="12"/>
    <s v="Matteo Giolo"/>
    <x v="0"/>
    <x v="47"/>
    <x v="47"/>
    <n v="37"/>
    <s v="ADET"/>
    <n v="0"/>
    <n v="495"/>
    <n v="146"/>
    <n v="-22"/>
    <n v="0"/>
    <n v="0"/>
    <n v="3.75"/>
    <x v="21"/>
    <n v="138.75"/>
    <x v="2"/>
  </r>
  <r>
    <x v="5"/>
    <s v="Matteo Giolo"/>
    <x v="0"/>
    <x v="47"/>
    <x v="47"/>
    <n v="15"/>
    <s v="ADET"/>
    <n v="0"/>
    <n v="495"/>
    <n v="146"/>
    <n v="-22"/>
    <n v="0"/>
    <n v="0"/>
    <n v="3.75"/>
    <x v="21"/>
    <n v="56.25"/>
    <x v="2"/>
  </r>
  <r>
    <x v="3"/>
    <s v="Stina Alm"/>
    <x v="0"/>
    <x v="91"/>
    <x v="91"/>
    <n v="1"/>
    <s v="ADET"/>
    <n v="0"/>
    <n v="6"/>
    <n v="14.000000000000005"/>
    <n v="28.1"/>
    <n v="0"/>
    <n v="4097.8230000000003"/>
    <n v="145.83000000000001"/>
    <x v="21"/>
    <n v="145.83000000000001"/>
    <x v="3"/>
  </r>
  <r>
    <x v="7"/>
    <s v="Laurent MONTAGNER"/>
    <x v="0"/>
    <x v="91"/>
    <x v="91"/>
    <n v="1"/>
    <s v="ADET"/>
    <n v="0"/>
    <n v="6"/>
    <n v="14.000000000000005"/>
    <n v="28.1"/>
    <n v="0"/>
    <n v="4097.8230000000003"/>
    <n v="145.83000000000001"/>
    <x v="21"/>
    <n v="145.83000000000001"/>
    <x v="3"/>
  </r>
  <r>
    <x v="4"/>
    <s v="Stefan Zaugg"/>
    <x v="0"/>
    <x v="91"/>
    <x v="91"/>
    <n v="0.1"/>
    <s v="ADET"/>
    <n v="0"/>
    <n v="6"/>
    <n v="14.000000000000005"/>
    <n v="28.1"/>
    <n v="0"/>
    <n v="4097.8230000000003"/>
    <n v="145.83000000000001"/>
    <x v="21"/>
    <n v="14.583000000000002"/>
    <x v="3"/>
  </r>
  <r>
    <x v="5"/>
    <s v="Matteo Giolo"/>
    <x v="0"/>
    <x v="109"/>
    <x v="109"/>
    <n v="1"/>
    <s v="ADET"/>
    <n v="0"/>
    <n v="0"/>
    <n v="2"/>
    <n v="3"/>
    <n v="0"/>
    <n v="97615.14"/>
    <n v="32538.38"/>
    <x v="19"/>
    <n v="32538.38"/>
    <x v="6"/>
  </r>
  <r>
    <x v="5"/>
    <s v="Matteo Giolo"/>
    <x v="0"/>
    <x v="91"/>
    <x v="91"/>
    <n v="1"/>
    <s v="ADET"/>
    <n v="0"/>
    <n v="6"/>
    <n v="14.000000000000005"/>
    <n v="28.1"/>
    <n v="0"/>
    <n v="4097.8230000000003"/>
    <n v="145.83000000000001"/>
    <x v="21"/>
    <n v="145.83000000000001"/>
    <x v="3"/>
  </r>
  <r>
    <x v="3"/>
    <s v="Stina Alm"/>
    <x v="0"/>
    <x v="93"/>
    <x v="93"/>
    <n v="5.5"/>
    <s v="METRE"/>
    <n v="0"/>
    <n v="125"/>
    <n v="37.499999999999908"/>
    <n v="-44.100000000000009"/>
    <n v="0"/>
    <n v="0"/>
    <n v="44"/>
    <x v="27"/>
    <n v="242"/>
    <x v="4"/>
  </r>
  <r>
    <x v="11"/>
    <s v="Jan Urbanek"/>
    <x v="0"/>
    <x v="153"/>
    <x v="153"/>
    <n v="6"/>
    <s v="ADET"/>
    <n v="0"/>
    <n v="84"/>
    <n v="195.90000000000009"/>
    <n v="-24.600000000000023"/>
    <n v="0"/>
    <n v="0"/>
    <n v="29"/>
    <x v="14"/>
    <n v="174"/>
    <x v="2"/>
  </r>
  <r>
    <x v="9"/>
    <s v="Jan Urbanek"/>
    <x v="0"/>
    <x v="84"/>
    <x v="84"/>
    <n v="0.1"/>
    <s v="KG"/>
    <n v="0"/>
    <n v="32"/>
    <n v="60"/>
    <n v="-31.4"/>
    <n v="0"/>
    <n v="0"/>
    <n v="110"/>
    <x v="26"/>
    <n v="11"/>
    <x v="3"/>
  </r>
  <r>
    <x v="17"/>
    <s v="Murat Taşdemir"/>
    <x v="0"/>
    <x v="80"/>
    <x v="80"/>
    <n v="2"/>
    <s v="ADET"/>
    <n v="0"/>
    <n v="1800"/>
    <n v="773"/>
    <n v="-1570"/>
    <n v="0"/>
    <n v="0"/>
    <n v="0.8"/>
    <x v="14"/>
    <n v="1.6"/>
    <x v="2"/>
  </r>
  <r>
    <x v="13"/>
    <s v="Matteo Giolo"/>
    <x v="0"/>
    <x v="81"/>
    <x v="81"/>
    <n v="2"/>
    <s v="ADET"/>
    <n v="0"/>
    <n v="36"/>
    <n v="12"/>
    <n v="-22"/>
    <n v="0"/>
    <n v="0"/>
    <n v="95"/>
    <x v="35"/>
    <n v="190"/>
    <x v="2"/>
  </r>
  <r>
    <x v="6"/>
    <s v="Laurent MONTAGNER"/>
    <x v="0"/>
    <x v="82"/>
    <x v="82"/>
    <n v="1"/>
    <s v="ADET"/>
    <n v="1"/>
    <n v="4"/>
    <n v="3"/>
    <n v="-1"/>
    <n v="0"/>
    <n v="0"/>
    <n v="7450"/>
    <x v="9"/>
    <n v="7450"/>
    <x v="6"/>
  </r>
  <r>
    <x v="1"/>
    <s v="Stina Alm"/>
    <x v="0"/>
    <x v="82"/>
    <x v="82"/>
    <n v="1"/>
    <s v="ADET"/>
    <n v="0"/>
    <n v="4"/>
    <n v="3"/>
    <n v="-1"/>
    <n v="0"/>
    <n v="0"/>
    <n v="7450"/>
    <x v="9"/>
    <n v="7450"/>
    <x v="6"/>
  </r>
  <r>
    <x v="16"/>
    <s v="Stefan Zaugg"/>
    <x v="0"/>
    <x v="80"/>
    <x v="80"/>
    <n v="3"/>
    <s v="ADET"/>
    <n v="0"/>
    <n v="1800"/>
    <n v="773"/>
    <n v="-1570"/>
    <n v="0"/>
    <n v="0"/>
    <n v="0.8"/>
    <x v="14"/>
    <n v="2.4000000000000004"/>
    <x v="2"/>
  </r>
  <r>
    <x v="14"/>
    <s v="Stefan Zaugg"/>
    <x v="0"/>
    <x v="80"/>
    <x v="80"/>
    <n v="3"/>
    <s v="ADET"/>
    <n v="0"/>
    <n v="1800"/>
    <n v="773"/>
    <n v="-1570"/>
    <n v="0"/>
    <n v="0"/>
    <n v="0.8"/>
    <x v="14"/>
    <n v="2.4000000000000004"/>
    <x v="2"/>
  </r>
  <r>
    <x v="13"/>
    <s v="Matteo Giolo"/>
    <x v="0"/>
    <x v="80"/>
    <x v="80"/>
    <n v="18"/>
    <s v="ADET"/>
    <n v="0"/>
    <n v="1800"/>
    <n v="773"/>
    <n v="-1570"/>
    <n v="0"/>
    <n v="0"/>
    <n v="0.8"/>
    <x v="14"/>
    <n v="14.4"/>
    <x v="2"/>
  </r>
  <r>
    <x v="15"/>
    <s v="Jan Urbanek"/>
    <x v="0"/>
    <x v="81"/>
    <x v="81"/>
    <n v="1"/>
    <s v="ADET"/>
    <n v="0"/>
    <n v="36"/>
    <n v="12"/>
    <n v="-22"/>
    <n v="0"/>
    <n v="0"/>
    <n v="95"/>
    <x v="35"/>
    <n v="95"/>
    <x v="2"/>
  </r>
  <r>
    <x v="15"/>
    <s v="Jan Urbanek"/>
    <x v="0"/>
    <x v="83"/>
    <x v="83"/>
    <n v="0.02"/>
    <s v="KG"/>
    <n v="0"/>
    <n v="3"/>
    <n v="0"/>
    <n v="-2.75"/>
    <n v="0"/>
    <n v="0"/>
    <n v="148.31"/>
    <x v="5"/>
    <n v="2.9662000000000002"/>
    <x v="3"/>
  </r>
  <r>
    <x v="16"/>
    <s v="Stefan Zaugg"/>
    <x v="0"/>
    <x v="154"/>
    <x v="154"/>
    <n v="0.75"/>
    <s v="METRE"/>
    <n v="0"/>
    <n v="0"/>
    <n v="0"/>
    <n v="0.75"/>
    <n v="0"/>
    <n v="74.25"/>
    <n v="99"/>
    <x v="5"/>
    <n v="74.25"/>
    <x v="5"/>
  </r>
  <r>
    <x v="10"/>
    <s v="Jan Urbanek"/>
    <x v="0"/>
    <x v="83"/>
    <x v="83"/>
    <n v="0.02"/>
    <s v="KG"/>
    <n v="0"/>
    <n v="3"/>
    <n v="0"/>
    <n v="-2.75"/>
    <n v="0"/>
    <n v="0"/>
    <n v="148.31"/>
    <x v="5"/>
    <n v="2.9662000000000002"/>
    <x v="3"/>
  </r>
  <r>
    <x v="10"/>
    <s v="Jan Urbanek"/>
    <x v="0"/>
    <x v="155"/>
    <x v="155"/>
    <n v="1"/>
    <s v="ADET"/>
    <n v="0"/>
    <n v="4"/>
    <n v="10"/>
    <n v="8"/>
    <n v="0"/>
    <n v="41649.120000000003"/>
    <n v="5206.1400000000003"/>
    <x v="19"/>
    <n v="5206.1400000000003"/>
    <x v="7"/>
  </r>
  <r>
    <x v="8"/>
    <s v="Jan Urbanek"/>
    <x v="0"/>
    <x v="155"/>
    <x v="155"/>
    <n v="1"/>
    <s v="ADET"/>
    <n v="0"/>
    <n v="4"/>
    <n v="10"/>
    <n v="8"/>
    <n v="0"/>
    <n v="41649.120000000003"/>
    <n v="5206.1400000000003"/>
    <x v="19"/>
    <n v="5206.1400000000003"/>
    <x v="7"/>
  </r>
  <r>
    <x v="9"/>
    <s v="Jan Urbanek"/>
    <x v="0"/>
    <x v="155"/>
    <x v="155"/>
    <n v="1"/>
    <s v="ADET"/>
    <n v="0"/>
    <n v="4"/>
    <n v="10"/>
    <n v="8"/>
    <n v="0"/>
    <n v="41649.120000000003"/>
    <n v="5206.1400000000003"/>
    <x v="19"/>
    <n v="5206.1400000000003"/>
    <x v="7"/>
  </r>
  <r>
    <x v="10"/>
    <s v="Jan Urbanek"/>
    <x v="0"/>
    <x v="156"/>
    <x v="156"/>
    <n v="0.5"/>
    <s v="ADET"/>
    <n v="0"/>
    <n v="0"/>
    <n v="-1.7763568394002505E-15"/>
    <n v="2.5"/>
    <n v="0"/>
    <n v="208.32499999999999"/>
    <n v="83.33"/>
    <x v="2"/>
    <n v="41.664999999999999"/>
    <x v="3"/>
  </r>
  <r>
    <x v="9"/>
    <s v="Jan Urbanek"/>
    <x v="0"/>
    <x v="157"/>
    <x v="157"/>
    <n v="88"/>
    <s v="ADET"/>
    <n v="0"/>
    <n v="2750"/>
    <n v="0"/>
    <n v="-747"/>
    <n v="0"/>
    <n v="0"/>
    <n v="0.7"/>
    <x v="14"/>
    <n v="61.599999999999994"/>
    <x v="2"/>
  </r>
  <r>
    <x v="8"/>
    <s v="Jan Urbanek"/>
    <x v="0"/>
    <x v="157"/>
    <x v="157"/>
    <n v="100"/>
    <s v="ADET"/>
    <n v="0"/>
    <n v="2750"/>
    <n v="0"/>
    <n v="-747"/>
    <n v="0"/>
    <n v="0"/>
    <n v="0.7"/>
    <x v="14"/>
    <n v="70"/>
    <x v="2"/>
  </r>
  <r>
    <x v="9"/>
    <s v="Jan Urbanek"/>
    <x v="0"/>
    <x v="158"/>
    <x v="158"/>
    <n v="7"/>
    <s v="KG"/>
    <n v="0"/>
    <n v="0"/>
    <n v="297.61"/>
    <n v="97.560000000000016"/>
    <n v="0"/>
    <n v="13285.720800000003"/>
    <n v="136.18"/>
    <x v="54"/>
    <n v="953.26"/>
    <x v="3"/>
  </r>
  <r>
    <x v="10"/>
    <s v="Jan Urbanek"/>
    <x v="0"/>
    <x v="159"/>
    <x v="159"/>
    <n v="1"/>
    <s v="ADET"/>
    <n v="0"/>
    <n v="0"/>
    <n v="8"/>
    <n v="12"/>
    <n v="0"/>
    <n v="55600.08"/>
    <n v="4633.34"/>
    <x v="11"/>
    <n v="4633.34"/>
    <x v="6"/>
  </r>
  <r>
    <x v="13"/>
    <s v="Matteo Giolo"/>
    <x v="0"/>
    <x v="155"/>
    <x v="155"/>
    <n v="1"/>
    <s v="ADET"/>
    <n v="0"/>
    <n v="4"/>
    <n v="10"/>
    <n v="8"/>
    <n v="0"/>
    <n v="41649.120000000003"/>
    <n v="5206.1400000000003"/>
    <x v="19"/>
    <n v="5206.1400000000003"/>
    <x v="7"/>
  </r>
  <r>
    <x v="15"/>
    <s v="Jan Urbanek"/>
    <x v="0"/>
    <x v="155"/>
    <x v="155"/>
    <n v="1"/>
    <s v="ADET"/>
    <n v="0"/>
    <n v="4"/>
    <n v="10"/>
    <n v="8"/>
    <n v="0"/>
    <n v="41649.120000000003"/>
    <n v="5206.1400000000003"/>
    <x v="19"/>
    <n v="5206.1400000000003"/>
    <x v="7"/>
  </r>
  <r>
    <x v="11"/>
    <s v="Jan Urbanek"/>
    <x v="0"/>
    <x v="83"/>
    <x v="83"/>
    <n v="0.02"/>
    <s v="KG"/>
    <n v="0"/>
    <n v="3"/>
    <n v="0"/>
    <n v="-2.75"/>
    <n v="0"/>
    <n v="0"/>
    <n v="148.31"/>
    <x v="5"/>
    <n v="2.9662000000000002"/>
    <x v="3"/>
  </r>
  <r>
    <x v="11"/>
    <s v="Jan Urbanek"/>
    <x v="0"/>
    <x v="157"/>
    <x v="157"/>
    <n v="88"/>
    <s v="ADET"/>
    <n v="0"/>
    <n v="2750"/>
    <n v="0"/>
    <n v="-747"/>
    <n v="0"/>
    <n v="0"/>
    <n v="0.7"/>
    <x v="14"/>
    <n v="61.599999999999994"/>
    <x v="2"/>
  </r>
  <r>
    <x v="10"/>
    <s v="Jan Urbanek"/>
    <x v="0"/>
    <x v="158"/>
    <x v="158"/>
    <n v="7"/>
    <s v="KG"/>
    <n v="0"/>
    <n v="0"/>
    <n v="297.61"/>
    <n v="97.560000000000016"/>
    <n v="0"/>
    <n v="13285.720800000003"/>
    <n v="136.18"/>
    <x v="54"/>
    <n v="953.26"/>
    <x v="3"/>
  </r>
  <r>
    <x v="9"/>
    <s v="Jan Urbanek"/>
    <x v="0"/>
    <x v="159"/>
    <x v="159"/>
    <n v="1"/>
    <s v="ADET"/>
    <n v="0"/>
    <n v="0"/>
    <n v="8"/>
    <n v="12"/>
    <n v="0"/>
    <n v="55600.08"/>
    <n v="4633.34"/>
    <x v="11"/>
    <n v="4633.34"/>
    <x v="6"/>
  </r>
  <r>
    <x v="8"/>
    <s v="Jan Urbanek"/>
    <x v="0"/>
    <x v="159"/>
    <x v="159"/>
    <n v="1"/>
    <s v="ADET"/>
    <n v="0"/>
    <n v="0"/>
    <n v="8"/>
    <n v="12"/>
    <n v="0"/>
    <n v="55600.08"/>
    <n v="4633.34"/>
    <x v="11"/>
    <n v="4633.34"/>
    <x v="6"/>
  </r>
  <r>
    <x v="9"/>
    <s v="Jan Urbanek"/>
    <x v="0"/>
    <x v="160"/>
    <x v="160"/>
    <n v="6"/>
    <s v="ADET"/>
    <n v="0"/>
    <n v="0"/>
    <n v="0"/>
    <n v="54"/>
    <n v="0"/>
    <n v="35.64"/>
    <n v="0.66"/>
    <x v="20"/>
    <n v="3.96"/>
    <x v="7"/>
  </r>
  <r>
    <x v="8"/>
    <s v="Jan Urbanek"/>
    <x v="0"/>
    <x v="160"/>
    <x v="160"/>
    <n v="6"/>
    <s v="ADET"/>
    <n v="0"/>
    <n v="0"/>
    <n v="0"/>
    <n v="54"/>
    <n v="0"/>
    <n v="35.64"/>
    <n v="0.66"/>
    <x v="20"/>
    <n v="3.96"/>
    <x v="7"/>
  </r>
  <r>
    <x v="9"/>
    <s v="Jan Urbanek"/>
    <x v="0"/>
    <x v="161"/>
    <x v="161"/>
    <n v="6"/>
    <s v="ADET"/>
    <n v="0"/>
    <n v="125"/>
    <n v="54"/>
    <n v="-49"/>
    <n v="0"/>
    <n v="0"/>
    <n v="3.75"/>
    <x v="21"/>
    <n v="22.5"/>
    <x v="2"/>
  </r>
  <r>
    <x v="8"/>
    <s v="Jan Urbanek"/>
    <x v="0"/>
    <x v="161"/>
    <x v="161"/>
    <n v="6"/>
    <s v="ADET"/>
    <n v="0"/>
    <n v="125"/>
    <n v="54"/>
    <n v="-49"/>
    <n v="0"/>
    <n v="0"/>
    <n v="3.75"/>
    <x v="21"/>
    <n v="22.5"/>
    <x v="2"/>
  </r>
  <r>
    <x v="15"/>
    <s v="Jan Urbanek"/>
    <x v="0"/>
    <x v="145"/>
    <x v="145"/>
    <n v="1"/>
    <s v="ADET"/>
    <n v="0"/>
    <n v="5"/>
    <n v="10"/>
    <n v="7"/>
    <n v="0"/>
    <n v="85641.010000000009"/>
    <n v="12234.43"/>
    <x v="19"/>
    <n v="12234.43"/>
    <x v="7"/>
  </r>
  <r>
    <x v="10"/>
    <s v="Jan Urbanek"/>
    <x v="0"/>
    <x v="68"/>
    <x v="68"/>
    <n v="108.01"/>
    <s v="KG"/>
    <n v="0"/>
    <n v="-690"/>
    <n v="2123.619999999999"/>
    <n v="1819.8699999999994"/>
    <n v="0"/>
    <n v="172651.06689999995"/>
    <n v="94.87"/>
    <x v="3"/>
    <n v="10246.908700000002"/>
    <x v="3"/>
  </r>
  <r>
    <x v="0"/>
    <s v="Soner Kayıkçı"/>
    <x v="0"/>
    <x v="103"/>
    <x v="103"/>
    <n v="2"/>
    <s v="ADET"/>
    <n v="0"/>
    <n v="222"/>
    <n v="2"/>
    <n v="-166"/>
    <n v="0"/>
    <n v="0"/>
    <n v="11.5"/>
    <x v="14"/>
    <n v="23"/>
    <x v="4"/>
  </r>
  <r>
    <x v="15"/>
    <s v="Jan Urbanek"/>
    <x v="0"/>
    <x v="103"/>
    <x v="103"/>
    <n v="2"/>
    <s v="ADET"/>
    <n v="0"/>
    <n v="222"/>
    <n v="2"/>
    <n v="-166"/>
    <n v="0"/>
    <n v="0"/>
    <n v="11.5"/>
    <x v="14"/>
    <n v="23"/>
    <x v="4"/>
  </r>
  <r>
    <x v="17"/>
    <s v="Murat Taşdemir"/>
    <x v="0"/>
    <x v="103"/>
    <x v="103"/>
    <n v="2"/>
    <s v="ADET"/>
    <n v="0"/>
    <n v="222"/>
    <n v="2"/>
    <n v="-166"/>
    <n v="0"/>
    <n v="0"/>
    <n v="11.5"/>
    <x v="14"/>
    <n v="23"/>
    <x v="4"/>
  </r>
  <r>
    <x v="15"/>
    <s v="Jan Urbanek"/>
    <x v="0"/>
    <x v="104"/>
    <x v="104"/>
    <n v="0.7"/>
    <s v="ADET"/>
    <n v="0"/>
    <n v="2"/>
    <n v="3.3000000000000052"/>
    <n v="12.649999999999999"/>
    <n v="0"/>
    <n v="20523.36"/>
    <n v="1622.4"/>
    <x v="38"/>
    <n v="1135.68"/>
    <x v="3"/>
  </r>
  <r>
    <x v="17"/>
    <s v="Murat Taşdemir"/>
    <x v="0"/>
    <x v="162"/>
    <x v="162"/>
    <n v="1"/>
    <s v="ADET"/>
    <n v="1"/>
    <n v="54"/>
    <n v="6"/>
    <n v="-53"/>
    <n v="0"/>
    <n v="0"/>
    <n v="16.5"/>
    <x v="14"/>
    <n v="16.5"/>
    <x v="4"/>
  </r>
  <r>
    <x v="8"/>
    <s v="Jan Urbanek"/>
    <x v="0"/>
    <x v="103"/>
    <x v="103"/>
    <n v="2"/>
    <s v="ADET"/>
    <n v="0"/>
    <n v="222"/>
    <n v="2"/>
    <n v="-166"/>
    <n v="0"/>
    <n v="0"/>
    <n v="11.5"/>
    <x v="14"/>
    <n v="23"/>
    <x v="4"/>
  </r>
  <r>
    <x v="9"/>
    <s v="Jan Urbanek"/>
    <x v="0"/>
    <x v="103"/>
    <x v="103"/>
    <n v="2"/>
    <s v="ADET"/>
    <n v="0"/>
    <n v="222"/>
    <n v="2"/>
    <n v="-166"/>
    <n v="0"/>
    <n v="0"/>
    <n v="11.5"/>
    <x v="14"/>
    <n v="23"/>
    <x v="4"/>
  </r>
  <r>
    <x v="8"/>
    <s v="Jan Urbanek"/>
    <x v="0"/>
    <x v="104"/>
    <x v="104"/>
    <n v="0.7"/>
    <s v="ADET"/>
    <n v="0"/>
    <n v="2"/>
    <n v="3.3000000000000052"/>
    <n v="12.649999999999999"/>
    <n v="0"/>
    <n v="20523.36"/>
    <n v="1622.4"/>
    <x v="38"/>
    <n v="1135.68"/>
    <x v="3"/>
  </r>
  <r>
    <x v="9"/>
    <s v="Jan Urbanek"/>
    <x v="0"/>
    <x v="104"/>
    <x v="104"/>
    <n v="0.7"/>
    <s v="ADET"/>
    <n v="0"/>
    <n v="2"/>
    <n v="3.3000000000000052"/>
    <n v="12.649999999999999"/>
    <n v="0"/>
    <n v="20523.36"/>
    <n v="1622.4"/>
    <x v="38"/>
    <n v="1135.68"/>
    <x v="3"/>
  </r>
  <r>
    <x v="13"/>
    <s v="Matteo Giolo"/>
    <x v="0"/>
    <x v="103"/>
    <x v="103"/>
    <n v="2"/>
    <s v="ADET"/>
    <n v="0"/>
    <n v="222"/>
    <n v="2"/>
    <n v="-166"/>
    <n v="0"/>
    <n v="0"/>
    <n v="11.5"/>
    <x v="14"/>
    <n v="23"/>
    <x v="4"/>
  </r>
  <r>
    <x v="10"/>
    <s v="Jan Urbanek"/>
    <x v="0"/>
    <x v="103"/>
    <x v="103"/>
    <n v="2"/>
    <s v="ADET"/>
    <n v="0"/>
    <n v="222"/>
    <n v="2"/>
    <n v="-166"/>
    <n v="0"/>
    <n v="0"/>
    <n v="11.5"/>
    <x v="14"/>
    <n v="23"/>
    <x v="4"/>
  </r>
  <r>
    <x v="8"/>
    <s v="Jan Urbanek"/>
    <x v="0"/>
    <x v="163"/>
    <x v="163"/>
    <n v="6"/>
    <s v="METRE"/>
    <n v="0"/>
    <n v="100"/>
    <n v="50"/>
    <n v="-16"/>
    <n v="0"/>
    <n v="0"/>
    <n v="46"/>
    <x v="55"/>
    <n v="276"/>
    <x v="7"/>
  </r>
  <r>
    <x v="9"/>
    <s v="Jan Urbanek"/>
    <x v="0"/>
    <x v="163"/>
    <x v="163"/>
    <n v="6"/>
    <s v="METRE"/>
    <n v="0"/>
    <n v="100"/>
    <n v="50"/>
    <n v="-16"/>
    <n v="0"/>
    <n v="0"/>
    <n v="46"/>
    <x v="55"/>
    <n v="276"/>
    <x v="7"/>
  </r>
  <r>
    <x v="10"/>
    <s v="Jan Urbanek"/>
    <x v="0"/>
    <x v="164"/>
    <x v="164"/>
    <n v="2"/>
    <s v="ADET"/>
    <n v="0"/>
    <n v="3"/>
    <n v="0"/>
    <n v="13"/>
    <n v="0"/>
    <n v="702"/>
    <n v="54"/>
    <x v="2"/>
    <n v="108"/>
    <x v="2"/>
  </r>
  <r>
    <x v="9"/>
    <s v="Jan Urbanek"/>
    <x v="0"/>
    <x v="165"/>
    <x v="165"/>
    <n v="4"/>
    <s v="ADET"/>
    <n v="0"/>
    <n v="105"/>
    <n v="56"/>
    <n v="-8"/>
    <n v="0"/>
    <n v="0"/>
    <n v="72.599999999999994"/>
    <x v="14"/>
    <n v="290.39999999999998"/>
    <x v="4"/>
  </r>
  <r>
    <x v="10"/>
    <s v="Jan Urbanek"/>
    <x v="0"/>
    <x v="166"/>
    <x v="166"/>
    <n v="2"/>
    <s v="M2"/>
    <n v="0"/>
    <n v="0"/>
    <n v="-1.4210854715202004E-14"/>
    <n v="52"/>
    <n v="0"/>
    <n v="28423.200000000001"/>
    <n v="546.6"/>
    <x v="56"/>
    <n v="1093.2"/>
    <x v="8"/>
  </r>
  <r>
    <x v="8"/>
    <s v="Jan Urbanek"/>
    <x v="0"/>
    <x v="166"/>
    <x v="166"/>
    <n v="2"/>
    <s v="M2"/>
    <n v="0"/>
    <n v="0"/>
    <n v="-1.4210854715202004E-14"/>
    <n v="52"/>
    <n v="0"/>
    <n v="28423.200000000001"/>
    <n v="546.6"/>
    <x v="56"/>
    <n v="1093.2"/>
    <x v="8"/>
  </r>
  <r>
    <x v="10"/>
    <s v="Jan Urbanek"/>
    <x v="0"/>
    <x v="167"/>
    <x v="167"/>
    <n v="1"/>
    <s v="ADET"/>
    <n v="0"/>
    <n v="13"/>
    <n v="9"/>
    <n v="-1"/>
    <n v="0"/>
    <n v="0"/>
    <n v="270"/>
    <x v="20"/>
    <n v="270"/>
    <x v="7"/>
  </r>
  <r>
    <x v="10"/>
    <s v="Jan Urbanek"/>
    <x v="0"/>
    <x v="168"/>
    <x v="168"/>
    <n v="10"/>
    <s v="ADET"/>
    <n v="0"/>
    <n v="0"/>
    <n v="0"/>
    <n v="56"/>
    <n v="0"/>
    <n v="0"/>
    <n v="0"/>
    <x v="5"/>
    <n v="0"/>
    <x v="2"/>
  </r>
  <r>
    <x v="10"/>
    <s v="Jan Urbanek"/>
    <x v="0"/>
    <x v="104"/>
    <x v="104"/>
    <n v="0.7"/>
    <s v="ADET"/>
    <n v="0"/>
    <n v="2"/>
    <n v="3.3000000000000052"/>
    <n v="12.649999999999999"/>
    <n v="0"/>
    <n v="20523.36"/>
    <n v="1622.4"/>
    <x v="38"/>
    <n v="1135.68"/>
    <x v="3"/>
  </r>
  <r>
    <x v="5"/>
    <s v="Matteo Giolo"/>
    <x v="0"/>
    <x v="102"/>
    <x v="102"/>
    <n v="4"/>
    <s v="ADET"/>
    <n v="0"/>
    <n v="415"/>
    <n v="0"/>
    <n v="-393"/>
    <n v="0"/>
    <n v="0"/>
    <n v="4.25"/>
    <x v="14"/>
    <n v="17"/>
    <x v="4"/>
  </r>
  <r>
    <x v="5"/>
    <s v="Matteo Giolo"/>
    <x v="0"/>
    <x v="162"/>
    <x v="162"/>
    <n v="1"/>
    <s v="ADET"/>
    <n v="0"/>
    <n v="54"/>
    <n v="6"/>
    <n v="-53"/>
    <n v="0"/>
    <n v="0"/>
    <n v="16.5"/>
    <x v="14"/>
    <n v="16.5"/>
    <x v="4"/>
  </r>
  <r>
    <x v="8"/>
    <s v="Jan Urbanek"/>
    <x v="0"/>
    <x v="164"/>
    <x v="164"/>
    <n v="2"/>
    <s v="ADET"/>
    <n v="0"/>
    <n v="3"/>
    <n v="0"/>
    <n v="13"/>
    <n v="0"/>
    <n v="702"/>
    <n v="54"/>
    <x v="2"/>
    <n v="108"/>
    <x v="2"/>
  </r>
  <r>
    <x v="12"/>
    <s v="Matteo Giolo"/>
    <x v="0"/>
    <x v="42"/>
    <x v="42"/>
    <n v="0.35"/>
    <s v="KG"/>
    <n v="0"/>
    <n v="0"/>
    <n v="24.129999999999985"/>
    <n v="4.1899999999999995"/>
    <n v="0"/>
    <n v="1667.7456999999997"/>
    <n v="398.03"/>
    <x v="3"/>
    <n v="139.31049999999999"/>
    <x v="3"/>
  </r>
  <r>
    <x v="3"/>
    <s v="Stina Alm"/>
    <x v="0"/>
    <x v="44"/>
    <x v="44"/>
    <n v="9.7099999999999991"/>
    <s v="KG"/>
    <n v="0"/>
    <n v="134.9"/>
    <n v="46.099999999999767"/>
    <n v="43.169999999999959"/>
    <n v="0"/>
    <n v="4160.2928999999958"/>
    <n v="96.37"/>
    <x v="3"/>
    <n v="935.7527"/>
    <x v="3"/>
  </r>
  <r>
    <x v="4"/>
    <s v="Stefan Zaugg"/>
    <x v="0"/>
    <x v="44"/>
    <x v="44"/>
    <n v="6.54"/>
    <s v="KG"/>
    <n v="0"/>
    <n v="134.9"/>
    <n v="46.099999999999767"/>
    <n v="43.169999999999959"/>
    <n v="0"/>
    <n v="4160.2928999999958"/>
    <n v="96.37"/>
    <x v="3"/>
    <n v="630.25980000000004"/>
    <x v="3"/>
  </r>
  <r>
    <x v="3"/>
    <s v="Stina Alm"/>
    <x v="0"/>
    <x v="45"/>
    <x v="45"/>
    <n v="1"/>
    <s v="ADET"/>
    <n v="0"/>
    <n v="2"/>
    <n v="8"/>
    <n v="8"/>
    <n v="0"/>
    <n v="70583.44"/>
    <n v="8822.93"/>
    <x v="24"/>
    <n v="8822.93"/>
    <x v="4"/>
  </r>
  <r>
    <x v="17"/>
    <s v="Murat Taşdemir"/>
    <x v="0"/>
    <x v="98"/>
    <x v="98"/>
    <n v="1"/>
    <s v="ADET"/>
    <n v="0"/>
    <n v="13"/>
    <n v="1"/>
    <n v="24"/>
    <n v="0"/>
    <n v="1570.08"/>
    <n v="65.42"/>
    <x v="21"/>
    <n v="65.42"/>
    <x v="4"/>
  </r>
  <r>
    <x v="19"/>
    <s v="Volkan Batkan"/>
    <x v="0"/>
    <x v="99"/>
    <x v="99"/>
    <n v="0.2"/>
    <s v="KG"/>
    <n v="0"/>
    <n v="12"/>
    <n v="1.2000000000000011"/>
    <n v="-10.199999999999999"/>
    <n v="0"/>
    <n v="0"/>
    <n v="221.8"/>
    <x v="3"/>
    <n v="44.360000000000007"/>
    <x v="3"/>
  </r>
  <r>
    <x v="1"/>
    <s v="Stina Alm"/>
    <x v="0"/>
    <x v="98"/>
    <x v="98"/>
    <n v="2"/>
    <s v="ADET"/>
    <n v="0"/>
    <n v="13"/>
    <n v="1"/>
    <n v="24"/>
    <n v="0"/>
    <n v="1570.08"/>
    <n v="65.42"/>
    <x v="21"/>
    <n v="130.84"/>
    <x v="4"/>
  </r>
  <r>
    <x v="2"/>
    <s v="Laurent MONTAGNER"/>
    <x v="0"/>
    <x v="98"/>
    <x v="98"/>
    <n v="5"/>
    <s v="ADET"/>
    <n v="0"/>
    <n v="13"/>
    <n v="1"/>
    <n v="24"/>
    <n v="0"/>
    <n v="1570.08"/>
    <n v="65.42"/>
    <x v="21"/>
    <n v="327.10000000000002"/>
    <x v="4"/>
  </r>
  <r>
    <x v="6"/>
    <s v="Laurent MONTAGNER"/>
    <x v="0"/>
    <x v="99"/>
    <x v="99"/>
    <n v="0.2"/>
    <s v="KG"/>
    <n v="0"/>
    <n v="12"/>
    <n v="1.2000000000000011"/>
    <n v="-10.199999999999999"/>
    <n v="0"/>
    <n v="0"/>
    <n v="221.8"/>
    <x v="3"/>
    <n v="44.360000000000007"/>
    <x v="3"/>
  </r>
  <r>
    <x v="16"/>
    <s v="Stefan Zaugg"/>
    <x v="0"/>
    <x v="97"/>
    <x v="97"/>
    <n v="1"/>
    <s v="ADET"/>
    <n v="1"/>
    <n v="1"/>
    <n v="8"/>
    <n v="10"/>
    <n v="0"/>
    <n v="156184.20000000001"/>
    <n v="15618.42"/>
    <x v="19"/>
    <n v="15618.42"/>
    <x v="6"/>
  </r>
  <r>
    <x v="14"/>
    <s v="Stefan Zaugg"/>
    <x v="0"/>
    <x v="97"/>
    <x v="97"/>
    <n v="1"/>
    <s v="ADET"/>
    <n v="1"/>
    <n v="1"/>
    <n v="8"/>
    <n v="10"/>
    <n v="0"/>
    <n v="156184.20000000001"/>
    <n v="15618.42"/>
    <x v="19"/>
    <n v="15618.42"/>
    <x v="6"/>
  </r>
  <r>
    <x v="15"/>
    <s v="Jan Urbanek"/>
    <x v="0"/>
    <x v="107"/>
    <x v="107"/>
    <n v="8"/>
    <s v="ADET"/>
    <n v="0"/>
    <n v="175"/>
    <n v="0"/>
    <n v="-95"/>
    <n v="0"/>
    <n v="0"/>
    <n v="8.42"/>
    <x v="8"/>
    <n v="67.36"/>
    <x v="4"/>
  </r>
  <r>
    <x v="14"/>
    <s v="Stefan Zaugg"/>
    <x v="0"/>
    <x v="107"/>
    <x v="107"/>
    <n v="8"/>
    <s v="ADET"/>
    <n v="0"/>
    <n v="175"/>
    <n v="0"/>
    <n v="-95"/>
    <n v="0"/>
    <n v="0"/>
    <n v="8.42"/>
    <x v="8"/>
    <n v="67.36"/>
    <x v="4"/>
  </r>
  <r>
    <x v="15"/>
    <s v="Jan Urbanek"/>
    <x v="0"/>
    <x v="106"/>
    <x v="106"/>
    <n v="4"/>
    <s v="METRE"/>
    <n v="0"/>
    <n v="125"/>
    <n v="16.5"/>
    <n v="-24"/>
    <n v="0"/>
    <n v="0"/>
    <n v="80.84"/>
    <x v="27"/>
    <n v="323.36"/>
    <x v="4"/>
  </r>
  <r>
    <x v="14"/>
    <s v="Stefan Zaugg"/>
    <x v="0"/>
    <x v="106"/>
    <x v="106"/>
    <n v="4"/>
    <s v="METRE"/>
    <n v="0"/>
    <n v="125"/>
    <n v="16.5"/>
    <n v="-24"/>
    <n v="0"/>
    <n v="0"/>
    <n v="80.84"/>
    <x v="27"/>
    <n v="323.36"/>
    <x v="4"/>
  </r>
  <r>
    <x v="13"/>
    <s v="Matteo Giolo"/>
    <x v="0"/>
    <x v="106"/>
    <x v="106"/>
    <n v="5"/>
    <s v="METRE"/>
    <n v="0"/>
    <n v="125"/>
    <n v="16.5"/>
    <n v="-24"/>
    <n v="0"/>
    <n v="0"/>
    <n v="80.84"/>
    <x v="27"/>
    <n v="404.20000000000005"/>
    <x v="4"/>
  </r>
  <r>
    <x v="15"/>
    <s v="Jan Urbanek"/>
    <x v="0"/>
    <x v="98"/>
    <x v="98"/>
    <n v="1"/>
    <s v="ADET"/>
    <n v="0"/>
    <n v="13"/>
    <n v="1"/>
    <n v="24"/>
    <n v="0"/>
    <n v="1570.08"/>
    <n v="65.42"/>
    <x v="21"/>
    <n v="65.42"/>
    <x v="4"/>
  </r>
  <r>
    <x v="13"/>
    <s v="Matteo Giolo"/>
    <x v="0"/>
    <x v="98"/>
    <x v="98"/>
    <n v="2"/>
    <s v="ADET"/>
    <n v="0"/>
    <n v="13"/>
    <n v="1"/>
    <n v="24"/>
    <n v="0"/>
    <n v="1570.08"/>
    <n v="65.42"/>
    <x v="21"/>
    <n v="130.84"/>
    <x v="4"/>
  </r>
  <r>
    <x v="16"/>
    <s v="Stefan Zaugg"/>
    <x v="0"/>
    <x v="99"/>
    <x v="99"/>
    <n v="0.2"/>
    <s v="KG"/>
    <n v="0"/>
    <n v="12"/>
    <n v="1.2000000000000011"/>
    <n v="-10.199999999999999"/>
    <n v="0"/>
    <n v="0"/>
    <n v="221.8"/>
    <x v="3"/>
    <n v="44.360000000000007"/>
    <x v="3"/>
  </r>
  <r>
    <x v="13"/>
    <s v="Matteo Giolo"/>
    <x v="0"/>
    <x v="99"/>
    <x v="99"/>
    <n v="0.2"/>
    <s v="KG"/>
    <n v="0"/>
    <n v="12"/>
    <n v="1.2000000000000011"/>
    <n v="-10.199999999999999"/>
    <n v="0"/>
    <n v="0"/>
    <n v="221.8"/>
    <x v="3"/>
    <n v="44.360000000000007"/>
    <x v="3"/>
  </r>
  <r>
    <x v="8"/>
    <s v="Jan Urbanek"/>
    <x v="0"/>
    <x v="97"/>
    <x v="97"/>
    <n v="1"/>
    <s v="ADET"/>
    <n v="0"/>
    <n v="1"/>
    <n v="8"/>
    <n v="10"/>
    <n v="0"/>
    <n v="156184.20000000001"/>
    <n v="15618.42"/>
    <x v="19"/>
    <n v="15618.42"/>
    <x v="6"/>
  </r>
  <r>
    <x v="9"/>
    <s v="Jan Urbanek"/>
    <x v="0"/>
    <x v="97"/>
    <x v="97"/>
    <n v="1"/>
    <s v="ADET"/>
    <n v="0"/>
    <n v="1"/>
    <n v="8"/>
    <n v="10"/>
    <n v="0"/>
    <n v="156184.20000000001"/>
    <n v="15618.42"/>
    <x v="19"/>
    <n v="15618.42"/>
    <x v="6"/>
  </r>
  <r>
    <x v="19"/>
    <s v="Volkan Batkan"/>
    <x v="0"/>
    <x v="98"/>
    <x v="98"/>
    <n v="3"/>
    <s v="ADET"/>
    <n v="0"/>
    <n v="13"/>
    <n v="1"/>
    <n v="24"/>
    <n v="0"/>
    <n v="1570.08"/>
    <n v="65.42"/>
    <x v="21"/>
    <n v="196.26"/>
    <x v="4"/>
  </r>
  <r>
    <x v="16"/>
    <s v="Stefan Zaugg"/>
    <x v="0"/>
    <x v="98"/>
    <x v="98"/>
    <n v="2"/>
    <s v="ADET"/>
    <n v="0"/>
    <n v="13"/>
    <n v="1"/>
    <n v="24"/>
    <n v="0"/>
    <n v="1570.08"/>
    <n v="65.42"/>
    <x v="21"/>
    <n v="130.84"/>
    <x v="4"/>
  </r>
  <r>
    <x v="14"/>
    <s v="Stefan Zaugg"/>
    <x v="0"/>
    <x v="98"/>
    <x v="98"/>
    <n v="2"/>
    <s v="ADET"/>
    <n v="0"/>
    <n v="13"/>
    <n v="1"/>
    <n v="24"/>
    <n v="0"/>
    <n v="1570.08"/>
    <n v="65.42"/>
    <x v="21"/>
    <n v="130.84"/>
    <x v="4"/>
  </r>
  <r>
    <x v="9"/>
    <s v="Jan Urbanek"/>
    <x v="0"/>
    <x v="96"/>
    <x v="96"/>
    <n v="2"/>
    <s v="ADET"/>
    <n v="0"/>
    <n v="40"/>
    <n v="16"/>
    <n v="-18"/>
    <n v="0"/>
    <n v="0"/>
    <n v="375"/>
    <x v="37"/>
    <n v="750"/>
    <x v="6"/>
  </r>
  <r>
    <x v="8"/>
    <s v="Jan Urbanek"/>
    <x v="0"/>
    <x v="96"/>
    <x v="96"/>
    <n v="2"/>
    <s v="ADET"/>
    <n v="0"/>
    <n v="40"/>
    <n v="16"/>
    <n v="-18"/>
    <n v="0"/>
    <n v="0"/>
    <n v="375"/>
    <x v="37"/>
    <n v="750"/>
    <x v="6"/>
  </r>
  <r>
    <x v="10"/>
    <s v="Jan Urbanek"/>
    <x v="0"/>
    <x v="97"/>
    <x v="97"/>
    <n v="1"/>
    <s v="ADET"/>
    <n v="0"/>
    <n v="1"/>
    <n v="8"/>
    <n v="10"/>
    <n v="0"/>
    <n v="156184.20000000001"/>
    <n v="15618.42"/>
    <x v="19"/>
    <n v="15618.42"/>
    <x v="6"/>
  </r>
  <r>
    <x v="11"/>
    <s v="Jan Urbanek"/>
    <x v="0"/>
    <x v="98"/>
    <x v="98"/>
    <n v="1"/>
    <s v="ADET"/>
    <n v="0"/>
    <n v="13"/>
    <n v="1"/>
    <n v="24"/>
    <n v="0"/>
    <n v="1570.08"/>
    <n v="65.42"/>
    <x v="21"/>
    <n v="65.42"/>
    <x v="4"/>
  </r>
  <r>
    <x v="7"/>
    <s v="Laurent MONTAGNER"/>
    <x v="0"/>
    <x v="96"/>
    <x v="96"/>
    <n v="2"/>
    <s v="ADET"/>
    <n v="2"/>
    <n v="40"/>
    <n v="16"/>
    <n v="-18"/>
    <n v="0"/>
    <n v="0"/>
    <n v="375"/>
    <x v="37"/>
    <n v="750"/>
    <x v="6"/>
  </r>
  <r>
    <x v="10"/>
    <s v="Jan Urbanek"/>
    <x v="0"/>
    <x v="96"/>
    <x v="96"/>
    <n v="2"/>
    <s v="ADET"/>
    <n v="0"/>
    <n v="40"/>
    <n v="16"/>
    <n v="-18"/>
    <n v="0"/>
    <n v="0"/>
    <n v="375"/>
    <x v="37"/>
    <n v="750"/>
    <x v="6"/>
  </r>
  <r>
    <x v="0"/>
    <s v="Soner Kayıkçı"/>
    <x v="0"/>
    <x v="169"/>
    <x v="169"/>
    <n v="4"/>
    <s v="ADET"/>
    <n v="0"/>
    <n v="0"/>
    <n v="0"/>
    <n v="4"/>
    <n v="0"/>
    <n v="14357.64"/>
    <n v="3589.41"/>
    <x v="24"/>
    <n v="14357.64"/>
    <x v="6"/>
  </r>
  <r>
    <x v="16"/>
    <s v="Stefan Zaugg"/>
    <x v="0"/>
    <x v="73"/>
    <x v="73"/>
    <n v="4"/>
    <s v="ADET"/>
    <n v="0"/>
    <n v="634"/>
    <n v="0"/>
    <n v="-618"/>
    <n v="0"/>
    <n v="0"/>
    <n v="1"/>
    <x v="14"/>
    <n v="4"/>
    <x v="2"/>
  </r>
  <r>
    <x v="14"/>
    <s v="Stefan Zaugg"/>
    <x v="0"/>
    <x v="73"/>
    <x v="73"/>
    <n v="8"/>
    <s v="ADET"/>
    <n v="0"/>
    <n v="634"/>
    <n v="0"/>
    <n v="-618"/>
    <n v="0"/>
    <n v="0"/>
    <n v="1"/>
    <x v="14"/>
    <n v="8"/>
    <x v="2"/>
  </r>
  <r>
    <x v="16"/>
    <s v="Stefan Zaugg"/>
    <x v="0"/>
    <x v="72"/>
    <x v="72"/>
    <n v="12"/>
    <s v="ADET"/>
    <n v="0"/>
    <n v="500"/>
    <n v="490"/>
    <n v="-294"/>
    <n v="0"/>
    <n v="0"/>
    <n v="1.6"/>
    <x v="14"/>
    <n v="19.200000000000003"/>
    <x v="2"/>
  </r>
  <r>
    <x v="14"/>
    <s v="Stefan Zaugg"/>
    <x v="0"/>
    <x v="72"/>
    <x v="72"/>
    <n v="16"/>
    <s v="ADET"/>
    <n v="0"/>
    <n v="500"/>
    <n v="490"/>
    <n v="-294"/>
    <n v="0"/>
    <n v="0"/>
    <n v="1.6"/>
    <x v="14"/>
    <n v="25.6"/>
    <x v="2"/>
  </r>
  <r>
    <x v="15"/>
    <s v="Jan Urbanek"/>
    <x v="0"/>
    <x v="72"/>
    <x v="72"/>
    <n v="16"/>
    <s v="ADET"/>
    <n v="0"/>
    <n v="500"/>
    <n v="490"/>
    <n v="-294"/>
    <n v="0"/>
    <n v="0"/>
    <n v="1.6"/>
    <x v="14"/>
    <n v="25.6"/>
    <x v="2"/>
  </r>
  <r>
    <x v="13"/>
    <s v="Matteo Giolo"/>
    <x v="0"/>
    <x v="72"/>
    <x v="72"/>
    <n v="8"/>
    <s v="ADET"/>
    <n v="0"/>
    <n v="500"/>
    <n v="490"/>
    <n v="-294"/>
    <n v="0"/>
    <n v="0"/>
    <n v="1.6"/>
    <x v="14"/>
    <n v="12.8"/>
    <x v="2"/>
  </r>
  <r>
    <x v="17"/>
    <s v="Murat Taşdemir"/>
    <x v="0"/>
    <x v="75"/>
    <x v="75"/>
    <n v="1"/>
    <s v="ADET"/>
    <n v="0"/>
    <n v="24"/>
    <n v="-3.5527136788005009E-14"/>
    <n v="-7.600000000000005"/>
    <n v="0"/>
    <n v="0"/>
    <n v="120"/>
    <x v="14"/>
    <n v="120"/>
    <x v="3"/>
  </r>
  <r>
    <x v="13"/>
    <s v="Matteo Giolo"/>
    <x v="0"/>
    <x v="170"/>
    <x v="170"/>
    <n v="3"/>
    <s v="ADET"/>
    <n v="0"/>
    <n v="65"/>
    <n v="31"/>
    <n v="-31"/>
    <n v="0"/>
    <n v="0"/>
    <n v="45.5"/>
    <x v="57"/>
    <n v="136.5"/>
    <x v="7"/>
  </r>
  <r>
    <x v="2"/>
    <s v="Laurent MONTAGNER"/>
    <x v="0"/>
    <x v="72"/>
    <x v="72"/>
    <n v="4"/>
    <s v="ADET"/>
    <n v="0"/>
    <n v="500"/>
    <n v="490"/>
    <n v="-294"/>
    <n v="0"/>
    <n v="0"/>
    <n v="1.6"/>
    <x v="14"/>
    <n v="6.4"/>
    <x v="2"/>
  </r>
  <r>
    <x v="15"/>
    <s v="Jan Urbanek"/>
    <x v="0"/>
    <x v="71"/>
    <x v="71"/>
    <n v="5"/>
    <s v="ADET"/>
    <n v="0"/>
    <n v="15"/>
    <n v="10"/>
    <n v="20"/>
    <n v="0"/>
    <n v="3545.7999999999997"/>
    <n v="177.29"/>
    <x v="34"/>
    <n v="886.44999999999993"/>
    <x v="2"/>
  </r>
  <r>
    <x v="13"/>
    <s v="Matteo Giolo"/>
    <x v="0"/>
    <x v="171"/>
    <x v="171"/>
    <n v="1"/>
    <s v="ADET"/>
    <n v="0"/>
    <n v="0"/>
    <n v="0"/>
    <n v="3"/>
    <n v="0"/>
    <n v="40950.03"/>
    <n v="13650.01"/>
    <x v="13"/>
    <n v="13650.01"/>
    <x v="7"/>
  </r>
  <r>
    <x v="15"/>
    <s v="Jan Urbanek"/>
    <x v="0"/>
    <x v="170"/>
    <x v="170"/>
    <n v="3"/>
    <s v="ADET"/>
    <n v="0"/>
    <n v="65"/>
    <n v="31"/>
    <n v="-31"/>
    <n v="0"/>
    <n v="0"/>
    <n v="45.5"/>
    <x v="57"/>
    <n v="136.5"/>
    <x v="7"/>
  </r>
  <r>
    <x v="15"/>
    <s v="Jan Urbanek"/>
    <x v="0"/>
    <x v="75"/>
    <x v="75"/>
    <n v="1"/>
    <s v="ADET"/>
    <n v="0"/>
    <n v="24"/>
    <n v="-3.5527136788005009E-14"/>
    <n v="-7.600000000000005"/>
    <n v="0"/>
    <n v="0"/>
    <n v="120"/>
    <x v="14"/>
    <n v="120"/>
    <x v="3"/>
  </r>
  <r>
    <x v="19"/>
    <s v="Volkan Batkan"/>
    <x v="0"/>
    <x v="170"/>
    <x v="170"/>
    <n v="3"/>
    <s v="ADET"/>
    <n v="3"/>
    <n v="65"/>
    <n v="31"/>
    <n v="-31"/>
    <n v="0"/>
    <n v="0"/>
    <n v="45.5"/>
    <x v="57"/>
    <n v="136.5"/>
    <x v="7"/>
  </r>
  <r>
    <x v="10"/>
    <s v="Jan Urbanek"/>
    <x v="0"/>
    <x v="75"/>
    <x v="75"/>
    <n v="1"/>
    <s v="ADET"/>
    <n v="0"/>
    <n v="24"/>
    <n v="-3.5527136788005009E-14"/>
    <n v="-7.600000000000005"/>
    <n v="0"/>
    <n v="0"/>
    <n v="120"/>
    <x v="14"/>
    <n v="120"/>
    <x v="3"/>
  </r>
  <r>
    <x v="11"/>
    <s v="Jan Urbanek"/>
    <x v="0"/>
    <x v="170"/>
    <x v="170"/>
    <n v="3"/>
    <s v="ADET"/>
    <n v="0"/>
    <n v="65"/>
    <n v="31"/>
    <n v="-31"/>
    <n v="0"/>
    <n v="0"/>
    <n v="45.5"/>
    <x v="57"/>
    <n v="136.5"/>
    <x v="7"/>
  </r>
  <r>
    <x v="11"/>
    <s v="Jan Urbanek"/>
    <x v="0"/>
    <x v="172"/>
    <x v="172"/>
    <n v="7"/>
    <s v="KG"/>
    <n v="0"/>
    <n v="0"/>
    <n v="260.61"/>
    <n v="97.559999999999988"/>
    <n v="0"/>
    <n v="13285.720799999999"/>
    <n v="136.18"/>
    <x v="54"/>
    <n v="953.26"/>
    <x v="3"/>
  </r>
  <r>
    <x v="11"/>
    <s v="Jan Urbanek"/>
    <x v="0"/>
    <x v="173"/>
    <x v="173"/>
    <n v="0.5"/>
    <s v="METRE"/>
    <n v="0"/>
    <n v="0"/>
    <n v="36.5"/>
    <n v="9"/>
    <n v="0"/>
    <n v="250.29"/>
    <n v="27.81"/>
    <x v="58"/>
    <n v="13.904999999999999"/>
    <x v="5"/>
  </r>
  <r>
    <x v="11"/>
    <s v="Jan Urbanek"/>
    <x v="0"/>
    <x v="174"/>
    <x v="174"/>
    <n v="6"/>
    <s v="ADET"/>
    <n v="0"/>
    <n v="65"/>
    <n v="54"/>
    <n v="2"/>
    <n v="40"/>
    <n v="148"/>
    <n v="74"/>
    <x v="10"/>
    <n v="444"/>
    <x v="4"/>
  </r>
  <r>
    <x v="11"/>
    <s v="Jan Urbanek"/>
    <x v="0"/>
    <x v="75"/>
    <x v="75"/>
    <n v="1"/>
    <s v="ADET"/>
    <n v="0"/>
    <n v="24"/>
    <n v="-3.5527136788005009E-14"/>
    <n v="-7.600000000000005"/>
    <n v="0"/>
    <n v="0"/>
    <n v="120"/>
    <x v="14"/>
    <n v="120"/>
    <x v="3"/>
  </r>
  <r>
    <x v="10"/>
    <s v="Jan Urbanek"/>
    <x v="0"/>
    <x v="170"/>
    <x v="170"/>
    <n v="3"/>
    <s v="ADET"/>
    <n v="0"/>
    <n v="65"/>
    <n v="31"/>
    <n v="-31"/>
    <n v="0"/>
    <n v="0"/>
    <n v="45.5"/>
    <x v="57"/>
    <n v="136.5"/>
    <x v="7"/>
  </r>
  <r>
    <x v="11"/>
    <s v="Jan Urbanek"/>
    <x v="0"/>
    <x v="175"/>
    <x v="175"/>
    <n v="2"/>
    <s v="ADET"/>
    <n v="0"/>
    <n v="20"/>
    <n v="20"/>
    <n v="-6"/>
    <n v="10"/>
    <n v="0"/>
    <n v="400"/>
    <x v="35"/>
    <n v="800"/>
    <x v="7"/>
  </r>
  <r>
    <x v="10"/>
    <s v="Jan Urbanek"/>
    <x v="0"/>
    <x v="176"/>
    <x v="176"/>
    <n v="0.2"/>
    <s v="METRE"/>
    <n v="0"/>
    <n v="200"/>
    <n v="5.6843418860808015E-14"/>
    <n v="-196.15"/>
    <n v="0"/>
    <n v="0"/>
    <n v="2.89"/>
    <x v="15"/>
    <n v="0.57800000000000007"/>
    <x v="7"/>
  </r>
  <r>
    <x v="10"/>
    <s v="Jan Urbanek"/>
    <x v="0"/>
    <x v="177"/>
    <x v="177"/>
    <n v="1"/>
    <s v="ADET"/>
    <n v="0"/>
    <n v="15"/>
    <n v="9"/>
    <n v="-3"/>
    <n v="0"/>
    <n v="0"/>
    <n v="224.46"/>
    <x v="15"/>
    <n v="224.46"/>
    <x v="7"/>
  </r>
  <r>
    <x v="8"/>
    <s v="Jan Urbanek"/>
    <x v="0"/>
    <x v="177"/>
    <x v="177"/>
    <n v="1"/>
    <s v="ADET"/>
    <n v="0"/>
    <n v="15"/>
    <n v="9"/>
    <n v="-3"/>
    <n v="0"/>
    <n v="0"/>
    <n v="224.46"/>
    <x v="15"/>
    <n v="224.46"/>
    <x v="7"/>
  </r>
  <r>
    <x v="15"/>
    <s v="Jan Urbanek"/>
    <x v="0"/>
    <x v="175"/>
    <x v="175"/>
    <n v="2"/>
    <s v="ADET"/>
    <n v="0"/>
    <n v="20"/>
    <n v="20"/>
    <n v="-6"/>
    <n v="10"/>
    <n v="0"/>
    <n v="400"/>
    <x v="35"/>
    <n v="800"/>
    <x v="7"/>
  </r>
  <r>
    <x v="13"/>
    <s v="Matteo Giolo"/>
    <x v="0"/>
    <x v="175"/>
    <x v="175"/>
    <n v="2"/>
    <s v="ADET"/>
    <n v="0"/>
    <n v="20"/>
    <n v="20"/>
    <n v="-6"/>
    <n v="10"/>
    <n v="0"/>
    <n v="400"/>
    <x v="35"/>
    <n v="800"/>
    <x v="7"/>
  </r>
  <r>
    <x v="11"/>
    <s v="Jan Urbanek"/>
    <x v="0"/>
    <x v="97"/>
    <x v="97"/>
    <n v="1"/>
    <s v="ADET"/>
    <n v="0"/>
    <n v="1"/>
    <n v="8"/>
    <n v="10"/>
    <n v="0"/>
    <n v="156184.20000000001"/>
    <n v="15618.42"/>
    <x v="19"/>
    <n v="15618.42"/>
    <x v="6"/>
  </r>
  <r>
    <x v="11"/>
    <s v="Jan Urbanek"/>
    <x v="0"/>
    <x v="107"/>
    <x v="107"/>
    <n v="8"/>
    <s v="ADET"/>
    <n v="0"/>
    <n v="175"/>
    <n v="0"/>
    <n v="-95"/>
    <n v="0"/>
    <n v="0"/>
    <n v="8.42"/>
    <x v="8"/>
    <n v="67.36"/>
    <x v="4"/>
  </r>
  <r>
    <x v="11"/>
    <s v="Jan Urbanek"/>
    <x v="0"/>
    <x v="106"/>
    <x v="106"/>
    <n v="4"/>
    <s v="METRE"/>
    <n v="0"/>
    <n v="125"/>
    <n v="16.5"/>
    <n v="-24"/>
    <n v="0"/>
    <n v="0"/>
    <n v="80.84"/>
    <x v="27"/>
    <n v="323.36"/>
    <x v="4"/>
  </r>
  <r>
    <x v="12"/>
    <s v="Matteo Giolo"/>
    <x v="0"/>
    <x v="97"/>
    <x v="97"/>
    <n v="1"/>
    <s v="ADET"/>
    <n v="0"/>
    <n v="1"/>
    <n v="8"/>
    <n v="10"/>
    <n v="0"/>
    <n v="156184.20000000001"/>
    <n v="15618.42"/>
    <x v="19"/>
    <n v="15618.42"/>
    <x v="6"/>
  </r>
  <r>
    <x v="12"/>
    <s v="Matteo Giolo"/>
    <x v="0"/>
    <x v="107"/>
    <x v="107"/>
    <n v="8"/>
    <s v="ADET"/>
    <n v="0"/>
    <n v="175"/>
    <n v="0"/>
    <n v="-95"/>
    <n v="0"/>
    <n v="0"/>
    <n v="8.42"/>
    <x v="8"/>
    <n v="67.36"/>
    <x v="4"/>
  </r>
  <r>
    <x v="12"/>
    <s v="Matteo Giolo"/>
    <x v="0"/>
    <x v="96"/>
    <x v="96"/>
    <n v="2"/>
    <s v="ADET"/>
    <n v="0"/>
    <n v="40"/>
    <n v="16"/>
    <n v="-18"/>
    <n v="0"/>
    <n v="0"/>
    <n v="375"/>
    <x v="37"/>
    <n v="750"/>
    <x v="6"/>
  </r>
  <r>
    <x v="4"/>
    <s v="Stefan Zaugg"/>
    <x v="0"/>
    <x v="107"/>
    <x v="107"/>
    <n v="8"/>
    <s v="ADET"/>
    <n v="0"/>
    <n v="175"/>
    <n v="0"/>
    <n v="-95"/>
    <n v="0"/>
    <n v="0"/>
    <n v="8.42"/>
    <x v="8"/>
    <n v="67.36"/>
    <x v="4"/>
  </r>
  <r>
    <x v="3"/>
    <s v="Stina Alm"/>
    <x v="0"/>
    <x v="106"/>
    <x v="106"/>
    <n v="5"/>
    <s v="METRE"/>
    <n v="0"/>
    <n v="125"/>
    <n v="16.5"/>
    <n v="-24"/>
    <n v="0"/>
    <n v="0"/>
    <n v="80.84"/>
    <x v="27"/>
    <n v="404.20000000000005"/>
    <x v="4"/>
  </r>
  <r>
    <x v="4"/>
    <s v="Stefan Zaugg"/>
    <x v="0"/>
    <x v="106"/>
    <x v="106"/>
    <n v="4"/>
    <s v="METRE"/>
    <n v="0"/>
    <n v="125"/>
    <n v="16.5"/>
    <n v="-24"/>
    <n v="0"/>
    <n v="0"/>
    <n v="80.84"/>
    <x v="27"/>
    <n v="323.36"/>
    <x v="4"/>
  </r>
  <r>
    <x v="5"/>
    <s v="Matteo Giolo"/>
    <x v="0"/>
    <x v="106"/>
    <x v="106"/>
    <n v="5"/>
    <s v="METRE"/>
    <n v="0"/>
    <n v="125"/>
    <n v="16.5"/>
    <n v="-24"/>
    <n v="0"/>
    <n v="0"/>
    <n v="80.84"/>
    <x v="27"/>
    <n v="404.20000000000005"/>
    <x v="4"/>
  </r>
  <r>
    <x v="11"/>
    <s v="Jan Urbanek"/>
    <x v="0"/>
    <x v="178"/>
    <x v="178"/>
    <n v="2.8"/>
    <s v="KG"/>
    <n v="0"/>
    <n v="110"/>
    <n v="57.22"/>
    <n v="-78.660000000000025"/>
    <n v="0"/>
    <n v="0"/>
    <n v="40"/>
    <x v="14"/>
    <n v="112"/>
    <x v="2"/>
  </r>
  <r>
    <x v="10"/>
    <s v="Jan Urbanek"/>
    <x v="0"/>
    <x v="107"/>
    <x v="107"/>
    <n v="8"/>
    <s v="ADET"/>
    <n v="0"/>
    <n v="175"/>
    <n v="0"/>
    <n v="-95"/>
    <n v="0"/>
    <n v="0"/>
    <n v="8.42"/>
    <x v="8"/>
    <n v="67.36"/>
    <x v="4"/>
  </r>
  <r>
    <x v="10"/>
    <s v="Jan Urbanek"/>
    <x v="0"/>
    <x v="106"/>
    <x v="106"/>
    <n v="4"/>
    <s v="METRE"/>
    <n v="0"/>
    <n v="125"/>
    <n v="16.5"/>
    <n v="-24"/>
    <n v="0"/>
    <n v="0"/>
    <n v="80.84"/>
    <x v="27"/>
    <n v="323.36"/>
    <x v="4"/>
  </r>
  <r>
    <x v="10"/>
    <s v="Jan Urbanek"/>
    <x v="0"/>
    <x v="98"/>
    <x v="98"/>
    <n v="1"/>
    <s v="ADET"/>
    <n v="0"/>
    <n v="13"/>
    <n v="1"/>
    <n v="24"/>
    <n v="0"/>
    <n v="1570.08"/>
    <n v="65.42"/>
    <x v="21"/>
    <n v="65.42"/>
    <x v="4"/>
  </r>
  <r>
    <x v="4"/>
    <s v="Stefan Zaugg"/>
    <x v="0"/>
    <x v="100"/>
    <x v="100"/>
    <n v="8"/>
    <s v="ADET"/>
    <n v="0"/>
    <n v="3000"/>
    <n v="10000"/>
    <n v="-2984"/>
    <n v="0"/>
    <n v="0"/>
    <n v="0.3"/>
    <x v="14"/>
    <n v="2.4"/>
    <x v="2"/>
  </r>
  <r>
    <x v="5"/>
    <s v="Matteo Giolo"/>
    <x v="0"/>
    <x v="96"/>
    <x v="96"/>
    <n v="2"/>
    <s v="ADET"/>
    <n v="0"/>
    <n v="40"/>
    <n v="16"/>
    <n v="-18"/>
    <n v="0"/>
    <n v="0"/>
    <n v="375"/>
    <x v="37"/>
    <n v="750"/>
    <x v="6"/>
  </r>
  <r>
    <x v="4"/>
    <s v="Stefan Zaugg"/>
    <x v="0"/>
    <x v="97"/>
    <x v="97"/>
    <n v="1"/>
    <s v="ADET"/>
    <n v="0"/>
    <n v="1"/>
    <n v="8"/>
    <n v="10"/>
    <n v="0"/>
    <n v="156184.20000000001"/>
    <n v="15618.42"/>
    <x v="19"/>
    <n v="15618.42"/>
    <x v="6"/>
  </r>
  <r>
    <x v="7"/>
    <s v="Laurent MONTAGNER"/>
    <x v="0"/>
    <x v="106"/>
    <x v="106"/>
    <n v="12"/>
    <s v="METRE"/>
    <n v="0"/>
    <n v="125"/>
    <n v="16.5"/>
    <n v="-24"/>
    <n v="0"/>
    <n v="0"/>
    <n v="80.84"/>
    <x v="27"/>
    <n v="970.08"/>
    <x v="4"/>
  </r>
  <r>
    <x v="10"/>
    <s v="Jan Urbanek"/>
    <x v="0"/>
    <x v="179"/>
    <x v="179"/>
    <n v="3"/>
    <s v="ADET"/>
    <n v="0"/>
    <n v="29"/>
    <n v="30"/>
    <n v="10"/>
    <n v="0"/>
    <n v="17500"/>
    <n v="1750"/>
    <x v="59"/>
    <n v="5250"/>
    <x v="7"/>
  </r>
  <r>
    <x v="10"/>
    <s v="Jan Urbanek"/>
    <x v="0"/>
    <x v="178"/>
    <x v="178"/>
    <n v="2.8"/>
    <s v="KG"/>
    <n v="0"/>
    <n v="110"/>
    <n v="57.22"/>
    <n v="-78.660000000000025"/>
    <n v="0"/>
    <n v="0"/>
    <n v="40"/>
    <x v="14"/>
    <n v="112"/>
    <x v="2"/>
  </r>
  <r>
    <x v="8"/>
    <s v="Jan Urbanek"/>
    <x v="0"/>
    <x v="180"/>
    <x v="180"/>
    <n v="9"/>
    <s v="METRE"/>
    <n v="0"/>
    <n v="480"/>
    <n v="0"/>
    <n v="-408"/>
    <n v="0"/>
    <n v="0"/>
    <n v="4"/>
    <x v="5"/>
    <n v="36"/>
    <x v="8"/>
  </r>
  <r>
    <x v="9"/>
    <s v="Jan Urbanek"/>
    <x v="0"/>
    <x v="180"/>
    <x v="180"/>
    <n v="9"/>
    <s v="METRE"/>
    <n v="0"/>
    <n v="480"/>
    <n v="0"/>
    <n v="-408"/>
    <n v="0"/>
    <n v="0"/>
    <n v="4"/>
    <x v="5"/>
    <n v="36"/>
    <x v="8"/>
  </r>
  <r>
    <x v="8"/>
    <s v="Jan Urbanek"/>
    <x v="0"/>
    <x v="107"/>
    <x v="107"/>
    <n v="8"/>
    <s v="ADET"/>
    <n v="0"/>
    <n v="175"/>
    <n v="0"/>
    <n v="-95"/>
    <n v="0"/>
    <n v="0"/>
    <n v="8.42"/>
    <x v="8"/>
    <n v="67.36"/>
    <x v="4"/>
  </r>
  <r>
    <x v="9"/>
    <s v="Jan Urbanek"/>
    <x v="0"/>
    <x v="107"/>
    <x v="107"/>
    <n v="8"/>
    <s v="ADET"/>
    <n v="0"/>
    <n v="175"/>
    <n v="0"/>
    <n v="-95"/>
    <n v="0"/>
    <n v="0"/>
    <n v="8.42"/>
    <x v="8"/>
    <n v="67.36"/>
    <x v="4"/>
  </r>
  <r>
    <x v="8"/>
    <s v="Jan Urbanek"/>
    <x v="0"/>
    <x v="106"/>
    <x v="106"/>
    <n v="4"/>
    <s v="METRE"/>
    <n v="0"/>
    <n v="125"/>
    <n v="16.5"/>
    <n v="-24"/>
    <n v="0"/>
    <n v="0"/>
    <n v="80.84"/>
    <x v="27"/>
    <n v="323.36"/>
    <x v="4"/>
  </r>
  <r>
    <x v="9"/>
    <s v="Jan Urbanek"/>
    <x v="0"/>
    <x v="106"/>
    <x v="106"/>
    <n v="4"/>
    <s v="METRE"/>
    <n v="0"/>
    <n v="125"/>
    <n v="16.5"/>
    <n v="-24"/>
    <n v="0"/>
    <n v="0"/>
    <n v="80.84"/>
    <x v="27"/>
    <n v="323.36"/>
    <x v="4"/>
  </r>
  <r>
    <x v="9"/>
    <s v="Jan Urbanek"/>
    <x v="0"/>
    <x v="98"/>
    <x v="98"/>
    <n v="1"/>
    <s v="ADET"/>
    <n v="0"/>
    <n v="13"/>
    <n v="1"/>
    <n v="24"/>
    <n v="0"/>
    <n v="1570.08"/>
    <n v="65.42"/>
    <x v="21"/>
    <n v="65.42"/>
    <x v="4"/>
  </r>
  <r>
    <x v="8"/>
    <s v="Jan Urbanek"/>
    <x v="0"/>
    <x v="98"/>
    <x v="98"/>
    <n v="1"/>
    <s v="ADET"/>
    <n v="0"/>
    <n v="13"/>
    <n v="1"/>
    <n v="24"/>
    <n v="0"/>
    <n v="1570.08"/>
    <n v="65.42"/>
    <x v="21"/>
    <n v="65.42"/>
    <x v="4"/>
  </r>
  <r>
    <x v="11"/>
    <s v="Jan Urbanek"/>
    <x v="0"/>
    <x v="110"/>
    <x v="110"/>
    <n v="0.10400000000000001"/>
    <s v="ADET"/>
    <n v="0"/>
    <n v="0"/>
    <n v="1.7763568394002505E-15"/>
    <n v="2.5820000000000007"/>
    <n v="0"/>
    <n v="4066.650000000001"/>
    <n v="1575"/>
    <x v="40"/>
    <n v="163.80000000000001"/>
    <x v="4"/>
  </r>
  <r>
    <x v="11"/>
    <s v="Jan Urbanek"/>
    <x v="0"/>
    <x v="111"/>
    <x v="111"/>
    <n v="1.3"/>
    <s v="ADET"/>
    <n v="0"/>
    <n v="5"/>
    <n v="0"/>
    <n v="4.6000000000000014"/>
    <n v="5"/>
    <n v="5276.2000000000016"/>
    <n v="1147"/>
    <x v="41"/>
    <n v="1491.1000000000001"/>
    <x v="5"/>
  </r>
  <r>
    <x v="11"/>
    <s v="Jan Urbanek"/>
    <x v="0"/>
    <x v="129"/>
    <x v="129"/>
    <n v="1.5"/>
    <s v="KG"/>
    <n v="0"/>
    <n v="30"/>
    <n v="21.5"/>
    <n v="4"/>
    <n v="0"/>
    <n v="472.56"/>
    <n v="118.14"/>
    <x v="48"/>
    <n v="177.21"/>
    <x v="3"/>
  </r>
  <r>
    <x v="11"/>
    <s v="Jan Urbanek"/>
    <x v="0"/>
    <x v="133"/>
    <x v="133"/>
    <n v="0.30000000000000004"/>
    <s v="METRE"/>
    <n v="0"/>
    <n v="0"/>
    <n v="93.800000000000011"/>
    <n v="5.0999999999999996"/>
    <n v="0"/>
    <n v="34.526999999999994"/>
    <n v="6.77"/>
    <x v="49"/>
    <n v="2.0310000000000001"/>
    <x v="7"/>
  </r>
  <r>
    <x v="11"/>
    <s v="Jan Urbanek"/>
    <x v="0"/>
    <x v="134"/>
    <x v="134"/>
    <n v="2"/>
    <s v="ADET"/>
    <n v="0"/>
    <n v="37"/>
    <n v="20"/>
    <n v="-13"/>
    <n v="0"/>
    <n v="0"/>
    <n v="45.3"/>
    <x v="15"/>
    <n v="90.6"/>
    <x v="7"/>
  </r>
  <r>
    <x v="19"/>
    <s v="Volkan Batkan"/>
    <x v="0"/>
    <x v="110"/>
    <x v="110"/>
    <n v="0.10400000000000001"/>
    <s v="ADET"/>
    <n v="0"/>
    <n v="0"/>
    <n v="1.7763568394002505E-15"/>
    <n v="2.5820000000000007"/>
    <n v="0"/>
    <n v="4066.650000000001"/>
    <n v="1575"/>
    <x v="40"/>
    <n v="163.80000000000001"/>
    <x v="4"/>
  </r>
  <r>
    <x v="19"/>
    <s v="Volkan Batkan"/>
    <x v="0"/>
    <x v="111"/>
    <x v="111"/>
    <n v="1.3"/>
    <s v="ADET"/>
    <n v="0"/>
    <n v="5"/>
    <n v="0"/>
    <n v="4.6000000000000014"/>
    <n v="5"/>
    <n v="5276.2000000000016"/>
    <n v="1147"/>
    <x v="41"/>
    <n v="1491.1000000000001"/>
    <x v="5"/>
  </r>
  <r>
    <x v="19"/>
    <s v="Volkan Batkan"/>
    <x v="0"/>
    <x v="129"/>
    <x v="129"/>
    <n v="3"/>
    <s v="KG"/>
    <n v="3"/>
    <n v="30"/>
    <n v="21.5"/>
    <n v="4"/>
    <n v="0"/>
    <n v="472.56"/>
    <n v="118.14"/>
    <x v="48"/>
    <n v="354.42"/>
    <x v="3"/>
  </r>
  <r>
    <x v="12"/>
    <s v="Matteo Giolo"/>
    <x v="0"/>
    <x v="35"/>
    <x v="35"/>
    <n v="12"/>
    <s v="ADET"/>
    <n v="0"/>
    <n v="1400"/>
    <n v="602"/>
    <n v="-1296"/>
    <n v="0"/>
    <n v="0"/>
    <n v="0.6"/>
    <x v="14"/>
    <n v="7.1999999999999993"/>
    <x v="2"/>
  </r>
  <r>
    <x v="5"/>
    <s v="Matteo Giolo"/>
    <x v="0"/>
    <x v="42"/>
    <x v="42"/>
    <n v="0.36"/>
    <s v="KG"/>
    <n v="0"/>
    <n v="0"/>
    <n v="24.129999999999985"/>
    <n v="4.1899999999999995"/>
    <n v="0"/>
    <n v="1667.7456999999997"/>
    <n v="398.03"/>
    <x v="3"/>
    <n v="143.29079999999999"/>
    <x v="3"/>
  </r>
  <r>
    <x v="5"/>
    <s v="Matteo Giolo"/>
    <x v="0"/>
    <x v="44"/>
    <x v="44"/>
    <n v="10.14"/>
    <s v="KG"/>
    <n v="0"/>
    <n v="134.9"/>
    <n v="46.099999999999767"/>
    <n v="43.169999999999959"/>
    <n v="0"/>
    <n v="4160.2928999999958"/>
    <n v="96.37"/>
    <x v="3"/>
    <n v="977.19180000000006"/>
    <x v="3"/>
  </r>
  <r>
    <x v="12"/>
    <s v="Matteo Giolo"/>
    <x v="0"/>
    <x v="45"/>
    <x v="45"/>
    <n v="1"/>
    <s v="ADET"/>
    <n v="0"/>
    <n v="2"/>
    <n v="8"/>
    <n v="8"/>
    <n v="0"/>
    <n v="70583.44"/>
    <n v="8822.93"/>
    <x v="24"/>
    <n v="8822.93"/>
    <x v="4"/>
  </r>
  <r>
    <x v="12"/>
    <s v="Matteo Giolo"/>
    <x v="0"/>
    <x v="43"/>
    <x v="43"/>
    <n v="1.1000000000000001"/>
    <s v="METRE"/>
    <n v="0"/>
    <n v="0"/>
    <n v="20.30000000000009"/>
    <n v="21.1"/>
    <n v="0"/>
    <n v="2426.5"/>
    <n v="115"/>
    <x v="10"/>
    <n v="126.50000000000001"/>
    <x v="4"/>
  </r>
  <r>
    <x v="12"/>
    <s v="Matteo Giolo"/>
    <x v="0"/>
    <x v="110"/>
    <x v="110"/>
    <n v="0.10400000000000001"/>
    <s v="ADET"/>
    <n v="0"/>
    <n v="0"/>
    <n v="1.7763568394002505E-15"/>
    <n v="2.5820000000000007"/>
    <n v="0"/>
    <n v="4066.650000000001"/>
    <n v="1575"/>
    <x v="40"/>
    <n v="163.80000000000001"/>
    <x v="4"/>
  </r>
  <r>
    <x v="12"/>
    <s v="Matteo Giolo"/>
    <x v="0"/>
    <x v="41"/>
    <x v="41"/>
    <n v="0.5"/>
    <s v="ADET"/>
    <n v="0"/>
    <n v="13.5"/>
    <n v="8.5"/>
    <n v="-5.3500000000000014"/>
    <n v="0"/>
    <n v="0"/>
    <n v="1600"/>
    <x v="23"/>
    <n v="800"/>
    <x v="6"/>
  </r>
  <r>
    <x v="7"/>
    <s v="Laurent MONTAGNER"/>
    <x v="0"/>
    <x v="41"/>
    <x v="41"/>
    <n v="0.5"/>
    <s v="ADET"/>
    <n v="0"/>
    <n v="13.5"/>
    <n v="8.5"/>
    <n v="-5.3500000000000014"/>
    <n v="0"/>
    <n v="0"/>
    <n v="1600"/>
    <x v="23"/>
    <n v="800"/>
    <x v="6"/>
  </r>
  <r>
    <x v="3"/>
    <s v="Stina Alm"/>
    <x v="0"/>
    <x v="42"/>
    <x v="42"/>
    <n v="0.34"/>
    <s v="KG"/>
    <n v="0"/>
    <n v="0"/>
    <n v="24.129999999999985"/>
    <n v="4.1899999999999995"/>
    <n v="0"/>
    <n v="1667.7456999999997"/>
    <n v="398.03"/>
    <x v="3"/>
    <n v="135.33019999999999"/>
    <x v="3"/>
  </r>
  <r>
    <x v="12"/>
    <s v="Matteo Giolo"/>
    <x v="0"/>
    <x v="44"/>
    <x v="44"/>
    <n v="8.5400000000000009"/>
    <s v="KG"/>
    <n v="0"/>
    <n v="134.9"/>
    <n v="46.099999999999767"/>
    <n v="43.169999999999959"/>
    <n v="0"/>
    <n v="4160.2928999999958"/>
    <n v="96.37"/>
    <x v="3"/>
    <n v="822.99980000000016"/>
    <x v="3"/>
  </r>
  <r>
    <x v="4"/>
    <s v="Stefan Zaugg"/>
    <x v="0"/>
    <x v="110"/>
    <x v="110"/>
    <n v="0.10400000000000001"/>
    <s v="ADET"/>
    <n v="0"/>
    <n v="0"/>
    <n v="1.7763568394002505E-15"/>
    <n v="2.5820000000000007"/>
    <n v="0"/>
    <n v="4066.650000000001"/>
    <n v="1575"/>
    <x v="40"/>
    <n v="163.80000000000001"/>
    <x v="4"/>
  </r>
  <r>
    <x v="5"/>
    <s v="Matteo Giolo"/>
    <x v="0"/>
    <x v="110"/>
    <x v="110"/>
    <n v="0.18"/>
    <s v="ADET"/>
    <n v="0"/>
    <n v="0"/>
    <n v="1.7763568394002505E-15"/>
    <n v="2.5820000000000007"/>
    <n v="0"/>
    <n v="4066.650000000001"/>
    <n v="1575"/>
    <x v="40"/>
    <n v="283.5"/>
    <x v="4"/>
  </r>
  <r>
    <x v="1"/>
    <s v="Stina Alm"/>
    <x v="0"/>
    <x v="110"/>
    <x v="110"/>
    <n v="0.18"/>
    <s v="ADET"/>
    <n v="0"/>
    <n v="0"/>
    <n v="1.7763568394002505E-15"/>
    <n v="2.5820000000000007"/>
    <n v="0"/>
    <n v="4066.650000000001"/>
    <n v="1575"/>
    <x v="40"/>
    <n v="283.5"/>
    <x v="4"/>
  </r>
  <r>
    <x v="2"/>
    <s v="Laurent MONTAGNER"/>
    <x v="0"/>
    <x v="111"/>
    <x v="111"/>
    <n v="0.2"/>
    <s v="ADET"/>
    <n v="0"/>
    <n v="5"/>
    <n v="0"/>
    <n v="4.6000000000000014"/>
    <n v="5"/>
    <n v="5276.2000000000016"/>
    <n v="1147"/>
    <x v="41"/>
    <n v="229.4"/>
    <x v="5"/>
  </r>
  <r>
    <x v="0"/>
    <s v="Soner Kayıkçı"/>
    <x v="0"/>
    <x v="111"/>
    <x v="111"/>
    <n v="1.3"/>
    <s v="ADET"/>
    <n v="0"/>
    <n v="5"/>
    <n v="0"/>
    <n v="4.6000000000000014"/>
    <n v="5"/>
    <n v="5276.2000000000016"/>
    <n v="1147"/>
    <x v="41"/>
    <n v="1491.1000000000001"/>
    <x v="5"/>
  </r>
  <r>
    <x v="9"/>
    <s v="Jan Urbanek"/>
    <x v="0"/>
    <x v="164"/>
    <x v="164"/>
    <n v="2"/>
    <s v="ADET"/>
    <n v="0"/>
    <n v="3"/>
    <n v="0"/>
    <n v="13"/>
    <n v="0"/>
    <n v="702"/>
    <n v="54"/>
    <x v="2"/>
    <n v="108"/>
    <x v="2"/>
  </r>
  <r>
    <x v="9"/>
    <s v="Jan Urbanek"/>
    <x v="0"/>
    <x v="167"/>
    <x v="167"/>
    <n v="1"/>
    <s v="ADET"/>
    <n v="0"/>
    <n v="13"/>
    <n v="9"/>
    <n v="-1"/>
    <n v="0"/>
    <n v="0"/>
    <n v="270"/>
    <x v="20"/>
    <n v="270"/>
    <x v="7"/>
  </r>
  <r>
    <x v="8"/>
    <s v="Jan Urbanek"/>
    <x v="0"/>
    <x v="167"/>
    <x v="167"/>
    <n v="1"/>
    <s v="ADET"/>
    <n v="0"/>
    <n v="13"/>
    <n v="9"/>
    <n v="-1"/>
    <n v="0"/>
    <n v="0"/>
    <n v="270"/>
    <x v="20"/>
    <n v="270"/>
    <x v="7"/>
  </r>
  <r>
    <x v="8"/>
    <s v="Jan Urbanek"/>
    <x v="0"/>
    <x v="168"/>
    <x v="168"/>
    <n v="4"/>
    <s v="ADET"/>
    <n v="0"/>
    <n v="0"/>
    <n v="0"/>
    <n v="56"/>
    <n v="0"/>
    <n v="0"/>
    <n v="0"/>
    <x v="5"/>
    <n v="0"/>
    <x v="2"/>
  </r>
  <r>
    <x v="11"/>
    <s v="Jan Urbanek"/>
    <x v="0"/>
    <x v="103"/>
    <x v="103"/>
    <n v="2"/>
    <s v="ADET"/>
    <n v="0"/>
    <n v="222"/>
    <n v="2"/>
    <n v="-166"/>
    <n v="0"/>
    <n v="0"/>
    <n v="11.5"/>
    <x v="14"/>
    <n v="23"/>
    <x v="4"/>
  </r>
  <r>
    <x v="12"/>
    <s v="Matteo Giolo"/>
    <x v="0"/>
    <x v="62"/>
    <x v="62"/>
    <n v="1"/>
    <s v="ADET"/>
    <n v="0"/>
    <n v="11"/>
    <n v="1"/>
    <n v="-4"/>
    <n v="0"/>
    <n v="0"/>
    <n v="582.5"/>
    <x v="21"/>
    <n v="582.5"/>
    <x v="6"/>
  </r>
  <r>
    <x v="5"/>
    <s v="Matteo Giolo"/>
    <x v="0"/>
    <x v="57"/>
    <x v="57"/>
    <n v="12"/>
    <s v="ADET"/>
    <n v="0"/>
    <n v="2200"/>
    <n v="0"/>
    <n v="-1626"/>
    <n v="0"/>
    <n v="0"/>
    <n v="0.7"/>
    <x v="14"/>
    <n v="8.3999999999999986"/>
    <x v="2"/>
  </r>
  <r>
    <x v="3"/>
    <s v="Stina Alm"/>
    <x v="0"/>
    <x v="57"/>
    <x v="57"/>
    <n v="7"/>
    <s v="ADET"/>
    <n v="0"/>
    <n v="2200"/>
    <n v="0"/>
    <n v="-1626"/>
    <n v="0"/>
    <n v="0"/>
    <n v="0.7"/>
    <x v="14"/>
    <n v="4.8999999999999995"/>
    <x v="2"/>
  </r>
  <r>
    <x v="4"/>
    <s v="Stefan Zaugg"/>
    <x v="0"/>
    <x v="63"/>
    <x v="63"/>
    <n v="4"/>
    <s v="KG"/>
    <n v="4"/>
    <n v="0"/>
    <n v="233.6899999999996"/>
    <n v="63.129999999999995"/>
    <n v="0"/>
    <n v="6403.9071999999996"/>
    <n v="101.44"/>
    <x v="3"/>
    <n v="405.76"/>
    <x v="3"/>
  </r>
  <r>
    <x v="3"/>
    <s v="Stina Alm"/>
    <x v="0"/>
    <x v="63"/>
    <x v="63"/>
    <n v="5.49"/>
    <s v="KG"/>
    <n v="0"/>
    <n v="0"/>
    <n v="233.6899999999996"/>
    <n v="63.129999999999995"/>
    <n v="0"/>
    <n v="6403.9071999999996"/>
    <n v="101.44"/>
    <x v="3"/>
    <n v="556.90560000000005"/>
    <x v="3"/>
  </r>
  <r>
    <x v="3"/>
    <s v="Stina Alm"/>
    <x v="0"/>
    <x v="58"/>
    <x v="58"/>
    <n v="11.2"/>
    <s v="ADET"/>
    <n v="0"/>
    <n v="96"/>
    <n v="195.44000000000014"/>
    <n v="63.319999999999951"/>
    <n v="0"/>
    <n v="8163.8475999999937"/>
    <n v="128.93"/>
    <x v="29"/>
    <n v="1444.0160000000001"/>
    <x v="2"/>
  </r>
  <r>
    <x v="4"/>
    <s v="Stefan Zaugg"/>
    <x v="0"/>
    <x v="58"/>
    <x v="58"/>
    <n v="7.4999999999999991"/>
    <s v="ADET"/>
    <n v="0"/>
    <n v="96"/>
    <n v="195.44000000000014"/>
    <n v="63.319999999999951"/>
    <n v="0"/>
    <n v="8163.8475999999937"/>
    <n v="128.93"/>
    <x v="29"/>
    <n v="966.97499999999991"/>
    <x v="2"/>
  </r>
  <r>
    <x v="4"/>
    <s v="Stefan Zaugg"/>
    <x v="0"/>
    <x v="105"/>
    <x v="105"/>
    <n v="8"/>
    <s v="ADET"/>
    <n v="0"/>
    <n v="100"/>
    <n v="352"/>
    <n v="-28"/>
    <n v="0"/>
    <n v="0"/>
    <n v="6.4"/>
    <x v="8"/>
    <n v="51.2"/>
    <x v="4"/>
  </r>
  <r>
    <x v="15"/>
    <s v="Jan Urbanek"/>
    <x v="0"/>
    <x v="105"/>
    <x v="105"/>
    <n v="8"/>
    <s v="ADET"/>
    <n v="0"/>
    <n v="100"/>
    <n v="352"/>
    <n v="-28"/>
    <n v="0"/>
    <n v="0"/>
    <n v="6.4"/>
    <x v="8"/>
    <n v="51.2"/>
    <x v="4"/>
  </r>
  <r>
    <x v="14"/>
    <s v="Stefan Zaugg"/>
    <x v="0"/>
    <x v="105"/>
    <x v="105"/>
    <n v="8"/>
    <s v="ADET"/>
    <n v="0"/>
    <n v="100"/>
    <n v="352"/>
    <n v="-28"/>
    <n v="0"/>
    <n v="0"/>
    <n v="6.4"/>
    <x v="8"/>
    <n v="51.2"/>
    <x v="4"/>
  </r>
  <r>
    <x v="10"/>
    <s v="Jan Urbanek"/>
    <x v="0"/>
    <x v="105"/>
    <x v="105"/>
    <n v="8"/>
    <s v="ADET"/>
    <n v="0"/>
    <n v="100"/>
    <n v="352"/>
    <n v="-28"/>
    <n v="0"/>
    <n v="0"/>
    <n v="6.4"/>
    <x v="8"/>
    <n v="51.2"/>
    <x v="4"/>
  </r>
  <r>
    <x v="8"/>
    <s v="Jan Urbanek"/>
    <x v="0"/>
    <x v="105"/>
    <x v="105"/>
    <n v="4"/>
    <s v="ADET"/>
    <n v="0"/>
    <n v="100"/>
    <n v="352"/>
    <n v="-28"/>
    <n v="0"/>
    <n v="0"/>
    <n v="6.4"/>
    <x v="8"/>
    <n v="25.6"/>
    <x v="4"/>
  </r>
  <r>
    <x v="10"/>
    <s v="Jan Urbanek"/>
    <x v="0"/>
    <x v="143"/>
    <x v="143"/>
    <n v="0.54999999999999993"/>
    <s v="ADET"/>
    <n v="0"/>
    <n v="0"/>
    <n v="5.5999999999999988"/>
    <n v="7.2"/>
    <n v="0"/>
    <n v="1170.0719999999999"/>
    <n v="162.51"/>
    <x v="3"/>
    <n v="89.380499999999984"/>
    <x v="3"/>
  </r>
  <r>
    <x v="10"/>
    <s v="Jan Urbanek"/>
    <x v="0"/>
    <x v="144"/>
    <x v="144"/>
    <n v="1"/>
    <s v="ADET"/>
    <n v="0"/>
    <n v="3"/>
    <n v="11"/>
    <n v="7"/>
    <n v="0"/>
    <n v="22092.98"/>
    <n v="3156.14"/>
    <x v="13"/>
    <n v="3156.14"/>
    <x v="7"/>
  </r>
  <r>
    <x v="15"/>
    <s v="Jan Urbanek"/>
    <x v="0"/>
    <x v="143"/>
    <x v="143"/>
    <n v="0.54999999999999993"/>
    <s v="ADET"/>
    <n v="0"/>
    <n v="0"/>
    <n v="5.5999999999999988"/>
    <n v="7.2"/>
    <n v="0"/>
    <n v="1170.0719999999999"/>
    <n v="162.51"/>
    <x v="3"/>
    <n v="89.380499999999984"/>
    <x v="3"/>
  </r>
  <r>
    <x v="14"/>
    <s v="Stefan Zaugg"/>
    <x v="0"/>
    <x v="143"/>
    <x v="143"/>
    <n v="0.6"/>
    <s v="ADET"/>
    <n v="0.6"/>
    <n v="0"/>
    <n v="5.5999999999999988"/>
    <n v="7.2"/>
    <n v="0"/>
    <n v="1170.0719999999999"/>
    <n v="162.51"/>
    <x v="3"/>
    <n v="97.505999999999986"/>
    <x v="3"/>
  </r>
  <r>
    <x v="13"/>
    <s v="Matteo Giolo"/>
    <x v="0"/>
    <x v="143"/>
    <x v="143"/>
    <n v="1.05"/>
    <s v="ADET"/>
    <n v="0"/>
    <n v="0"/>
    <n v="5.5999999999999988"/>
    <n v="7.2"/>
    <n v="0"/>
    <n v="1170.0719999999999"/>
    <n v="162.51"/>
    <x v="3"/>
    <n v="170.63550000000001"/>
    <x v="3"/>
  </r>
  <r>
    <x v="15"/>
    <s v="Jan Urbanek"/>
    <x v="0"/>
    <x v="144"/>
    <x v="144"/>
    <n v="1"/>
    <s v="ADET"/>
    <n v="0"/>
    <n v="3"/>
    <n v="11"/>
    <n v="7"/>
    <n v="0"/>
    <n v="22092.98"/>
    <n v="3156.14"/>
    <x v="13"/>
    <n v="3156.14"/>
    <x v="7"/>
  </r>
  <r>
    <x v="12"/>
    <s v="Matteo Giolo"/>
    <x v="0"/>
    <x v="61"/>
    <x v="61"/>
    <n v="1"/>
    <s v="ADET"/>
    <n v="0"/>
    <n v="13"/>
    <n v="4"/>
    <n v="-6"/>
    <n v="0"/>
    <n v="0"/>
    <n v="1250"/>
    <x v="31"/>
    <n v="1250"/>
    <x v="6"/>
  </r>
  <r>
    <x v="5"/>
    <s v="Matteo Giolo"/>
    <x v="0"/>
    <x v="58"/>
    <x v="58"/>
    <n v="9.4500000000000011"/>
    <s v="ADET"/>
    <n v="0"/>
    <n v="96"/>
    <n v="195.44000000000014"/>
    <n v="63.319999999999951"/>
    <n v="0"/>
    <n v="8163.8475999999937"/>
    <n v="128.93"/>
    <x v="29"/>
    <n v="1218.3885000000002"/>
    <x v="2"/>
  </r>
  <r>
    <x v="12"/>
    <s v="Matteo Giolo"/>
    <x v="0"/>
    <x v="63"/>
    <x v="63"/>
    <n v="6.8"/>
    <s v="KG"/>
    <n v="0"/>
    <n v="0"/>
    <n v="233.6899999999996"/>
    <n v="63.129999999999995"/>
    <n v="0"/>
    <n v="6403.9071999999996"/>
    <n v="101.44"/>
    <x v="3"/>
    <n v="689.79199999999992"/>
    <x v="3"/>
  </r>
  <r>
    <x v="7"/>
    <s v="Laurent MONTAGNER"/>
    <x v="0"/>
    <x v="63"/>
    <x v="63"/>
    <n v="6.28"/>
    <s v="KG"/>
    <n v="6.28"/>
    <n v="0"/>
    <n v="233.6899999999996"/>
    <n v="63.129999999999995"/>
    <n v="0"/>
    <n v="6403.9071999999996"/>
    <n v="101.44"/>
    <x v="3"/>
    <n v="637.04319999999996"/>
    <x v="3"/>
  </r>
  <r>
    <x v="12"/>
    <s v="Matteo Giolo"/>
    <x v="0"/>
    <x v="58"/>
    <x v="58"/>
    <n v="9.5"/>
    <s v="ADET"/>
    <n v="0"/>
    <n v="96"/>
    <n v="195.44000000000014"/>
    <n v="63.319999999999951"/>
    <n v="0"/>
    <n v="8163.8475999999937"/>
    <n v="128.93"/>
    <x v="29"/>
    <n v="1224.835"/>
    <x v="2"/>
  </r>
  <r>
    <x v="11"/>
    <s v="Jan Urbanek"/>
    <x v="0"/>
    <x v="91"/>
    <x v="91"/>
    <n v="3.1"/>
    <s v="ADET"/>
    <n v="0"/>
    <n v="6"/>
    <n v="14.000000000000005"/>
    <n v="28.1"/>
    <n v="0"/>
    <n v="4097.8230000000003"/>
    <n v="145.83000000000001"/>
    <x v="21"/>
    <n v="452.07300000000004"/>
    <x v="3"/>
  </r>
  <r>
    <x v="3"/>
    <s v="Stina Alm"/>
    <x v="0"/>
    <x v="47"/>
    <x v="47"/>
    <n v="21"/>
    <s v="ADET"/>
    <n v="0"/>
    <n v="495"/>
    <n v="146"/>
    <n v="-22"/>
    <n v="0"/>
    <n v="0"/>
    <n v="3.75"/>
    <x v="21"/>
    <n v="78.75"/>
    <x v="2"/>
  </r>
  <r>
    <x v="7"/>
    <s v="Laurent MONTAGNER"/>
    <x v="0"/>
    <x v="47"/>
    <x v="47"/>
    <n v="20"/>
    <s v="ADET"/>
    <n v="0"/>
    <n v="495"/>
    <n v="146"/>
    <n v="-22"/>
    <n v="0"/>
    <n v="0"/>
    <n v="3.75"/>
    <x v="21"/>
    <n v="75"/>
    <x v="2"/>
  </r>
  <r>
    <x v="12"/>
    <s v="Matteo Giolo"/>
    <x v="0"/>
    <x v="91"/>
    <x v="91"/>
    <n v="3.1"/>
    <s v="ADET"/>
    <n v="0"/>
    <n v="6"/>
    <n v="14.000000000000005"/>
    <n v="28.1"/>
    <n v="0"/>
    <n v="4097.8230000000003"/>
    <n v="145.83000000000001"/>
    <x v="21"/>
    <n v="452.07300000000004"/>
    <x v="3"/>
  </r>
  <r>
    <x v="11"/>
    <s v="Jan Urbanek"/>
    <x v="0"/>
    <x v="181"/>
    <x v="181"/>
    <n v="1"/>
    <s v="ADET"/>
    <n v="0"/>
    <n v="2"/>
    <n v="1"/>
    <n v="2"/>
    <n v="0"/>
    <n v="19880.7"/>
    <n v="9940.35"/>
    <x v="60"/>
    <n v="9940.35"/>
    <x v="7"/>
  </r>
  <r>
    <x v="10"/>
    <s v="Jan Urbanek"/>
    <x v="0"/>
    <x v="153"/>
    <x v="153"/>
    <n v="6"/>
    <s v="ADET"/>
    <n v="0"/>
    <n v="84"/>
    <n v="195.90000000000009"/>
    <n v="-24.600000000000023"/>
    <n v="0"/>
    <n v="0"/>
    <n v="29"/>
    <x v="14"/>
    <n v="174"/>
    <x v="2"/>
  </r>
  <r>
    <x v="10"/>
    <s v="Jan Urbanek"/>
    <x v="0"/>
    <x v="93"/>
    <x v="93"/>
    <n v="3.3"/>
    <s v="METRE"/>
    <n v="0"/>
    <n v="125"/>
    <n v="37.499999999999908"/>
    <n v="-44.100000000000009"/>
    <n v="0"/>
    <n v="0"/>
    <n v="44"/>
    <x v="27"/>
    <n v="145.19999999999999"/>
    <x v="4"/>
  </r>
  <r>
    <x v="8"/>
    <s v="Jan Urbanek"/>
    <x v="0"/>
    <x v="93"/>
    <x v="93"/>
    <n v="3.3"/>
    <s v="METRE"/>
    <n v="0"/>
    <n v="125"/>
    <n v="37.499999999999908"/>
    <n v="-44.100000000000009"/>
    <n v="0"/>
    <n v="0"/>
    <n v="44"/>
    <x v="27"/>
    <n v="145.19999999999999"/>
    <x v="4"/>
  </r>
  <r>
    <x v="10"/>
    <s v="Jan Urbanek"/>
    <x v="0"/>
    <x v="94"/>
    <x v="94"/>
    <n v="1"/>
    <s v="ADET"/>
    <n v="0"/>
    <n v="4"/>
    <n v="12"/>
    <n v="7"/>
    <n v="0"/>
    <n v="12435.01"/>
    <n v="1776.43"/>
    <x v="24"/>
    <n v="1776.43"/>
    <x v="4"/>
  </r>
  <r>
    <x v="10"/>
    <s v="Jan Urbanek"/>
    <x v="0"/>
    <x v="95"/>
    <x v="95"/>
    <n v="2"/>
    <s v="ADET"/>
    <n v="0"/>
    <n v="809"/>
    <n v="0"/>
    <n v="-768"/>
    <n v="0"/>
    <n v="0"/>
    <n v="2.4"/>
    <x v="14"/>
    <n v="4.8"/>
    <x v="2"/>
  </r>
  <r>
    <x v="8"/>
    <s v="Jan Urbanek"/>
    <x v="0"/>
    <x v="136"/>
    <x v="136"/>
    <n v="0.01"/>
    <s v="METRE"/>
    <n v="0"/>
    <n v="200"/>
    <n v="74.999999999999957"/>
    <n v="-198.95"/>
    <n v="0"/>
    <n v="0"/>
    <n v="7.4"/>
    <x v="49"/>
    <n v="7.400000000000001E-2"/>
    <x v="7"/>
  </r>
  <r>
    <x v="14"/>
    <s v="Stefan Zaugg"/>
    <x v="0"/>
    <x v="54"/>
    <x v="54"/>
    <n v="7.5"/>
    <s v="METRE"/>
    <n v="0"/>
    <n v="100"/>
    <n v="159.90000000000003"/>
    <n v="41.300000000000011"/>
    <n v="0"/>
    <n v="929.25000000000023"/>
    <n v="22.5"/>
    <x v="27"/>
    <n v="168.75"/>
    <x v="4"/>
  </r>
  <r>
    <x v="17"/>
    <s v="Murat Taşdemir"/>
    <x v="0"/>
    <x v="135"/>
    <x v="135"/>
    <n v="50"/>
    <s v="ADET"/>
    <n v="0"/>
    <n v="1000"/>
    <n v="396"/>
    <n v="-91"/>
    <n v="0"/>
    <n v="0"/>
    <n v="12.5"/>
    <x v="50"/>
    <n v="625"/>
    <x v="2"/>
  </r>
  <r>
    <x v="13"/>
    <s v="Matteo Giolo"/>
    <x v="0"/>
    <x v="140"/>
    <x v="140"/>
    <n v="0.5"/>
    <s v="ADET"/>
    <n v="0"/>
    <n v="0"/>
    <n v="3.5527136788005009E-15"/>
    <n v="-6.1"/>
    <n v="10"/>
    <n v="0"/>
    <n v="255.55"/>
    <x v="51"/>
    <n v="127.77500000000001"/>
    <x v="3"/>
  </r>
  <r>
    <x v="19"/>
    <s v="Volkan Batkan"/>
    <x v="0"/>
    <x v="142"/>
    <x v="142"/>
    <n v="1"/>
    <s v="ADET"/>
    <n v="0"/>
    <n v="0"/>
    <n v="0"/>
    <n v="9"/>
    <n v="0"/>
    <n v="540"/>
    <n v="60"/>
    <x v="52"/>
    <n v="60"/>
    <x v="6"/>
  </r>
  <r>
    <x v="16"/>
    <s v="Stefan Zaugg"/>
    <x v="0"/>
    <x v="182"/>
    <x v="182"/>
    <n v="2"/>
    <s v="METRE"/>
    <n v="0"/>
    <n v="54"/>
    <n v="10"/>
    <n v="-50"/>
    <n v="0"/>
    <n v="0"/>
    <n v="105.6"/>
    <x v="61"/>
    <n v="211.2"/>
    <x v="2"/>
  </r>
  <r>
    <x v="4"/>
    <s v="Stefan Zaugg"/>
    <x v="0"/>
    <x v="52"/>
    <x v="52"/>
    <n v="1"/>
    <s v="ADET"/>
    <n v="1"/>
    <n v="6"/>
    <n v="7"/>
    <n v="5"/>
    <n v="0"/>
    <n v="12288.25"/>
    <n v="2457.65"/>
    <x v="24"/>
    <n v="2457.65"/>
    <x v="6"/>
  </r>
  <r>
    <x v="4"/>
    <s v="Stefan Zaugg"/>
    <x v="0"/>
    <x v="54"/>
    <x v="54"/>
    <n v="7.5"/>
    <s v="METRE"/>
    <n v="0"/>
    <n v="100"/>
    <n v="159.90000000000003"/>
    <n v="41.300000000000011"/>
    <n v="0"/>
    <n v="929.25000000000023"/>
    <n v="22.5"/>
    <x v="27"/>
    <n v="168.75"/>
    <x v="4"/>
  </r>
  <r>
    <x v="4"/>
    <s v="Stefan Zaugg"/>
    <x v="0"/>
    <x v="135"/>
    <x v="135"/>
    <n v="47"/>
    <s v="ADET"/>
    <n v="0"/>
    <n v="1000"/>
    <n v="396"/>
    <n v="-91"/>
    <n v="0"/>
    <n v="0"/>
    <n v="12.5"/>
    <x v="50"/>
    <n v="587.5"/>
    <x v="2"/>
  </r>
  <r>
    <x v="4"/>
    <s v="Stefan Zaugg"/>
    <x v="0"/>
    <x v="141"/>
    <x v="141"/>
    <n v="4"/>
    <s v="ADET"/>
    <n v="0"/>
    <n v="1000"/>
    <n v="0"/>
    <n v="-960"/>
    <n v="0"/>
    <n v="0"/>
    <n v="0.64"/>
    <x v="14"/>
    <n v="2.56"/>
    <x v="2"/>
  </r>
  <r>
    <x v="2"/>
    <s v="Laurent MONTAGNER"/>
    <x v="0"/>
    <x v="139"/>
    <x v="139"/>
    <n v="0.05"/>
    <s v="KG"/>
    <n v="0"/>
    <n v="0"/>
    <n v="1.3045120539345589E-15"/>
    <n v="0.37"/>
    <n v="0"/>
    <n v="52.725000000000001"/>
    <n v="142.5"/>
    <x v="2"/>
    <n v="7.125"/>
    <x v="3"/>
  </r>
  <r>
    <x v="0"/>
    <s v="Soner Kayıkçı"/>
    <x v="0"/>
    <x v="139"/>
    <x v="139"/>
    <n v="0.02"/>
    <s v="KG"/>
    <n v="0"/>
    <n v="0"/>
    <n v="1.3045120539345589E-15"/>
    <n v="0.37"/>
    <n v="0"/>
    <n v="52.725000000000001"/>
    <n v="142.5"/>
    <x v="2"/>
    <n v="2.85"/>
    <x v="3"/>
  </r>
  <r>
    <x v="3"/>
    <s v="Stina Alm"/>
    <x v="0"/>
    <x v="54"/>
    <x v="54"/>
    <n v="5.5"/>
    <s v="METRE"/>
    <n v="0"/>
    <n v="100"/>
    <n v="159.90000000000003"/>
    <n v="41.300000000000011"/>
    <n v="0"/>
    <n v="929.25000000000023"/>
    <n v="22.5"/>
    <x v="27"/>
    <n v="123.75"/>
    <x v="4"/>
  </r>
  <r>
    <x v="3"/>
    <s v="Stina Alm"/>
    <x v="0"/>
    <x v="139"/>
    <x v="139"/>
    <n v="0.05"/>
    <s v="KG"/>
    <n v="0"/>
    <n v="0"/>
    <n v="1.3045120539345589E-15"/>
    <n v="0.37"/>
    <n v="0"/>
    <n v="52.725000000000001"/>
    <n v="142.5"/>
    <x v="2"/>
    <n v="7.125"/>
    <x v="3"/>
  </r>
  <r>
    <x v="5"/>
    <s v="Matteo Giolo"/>
    <x v="0"/>
    <x v="140"/>
    <x v="140"/>
    <n v="0.5"/>
    <s v="ADET"/>
    <n v="0"/>
    <n v="0"/>
    <n v="3.5527136788005009E-15"/>
    <n v="-6.1"/>
    <n v="10"/>
    <n v="0"/>
    <n v="255.55"/>
    <x v="51"/>
    <n v="127.77500000000001"/>
    <x v="3"/>
  </r>
  <r>
    <x v="2"/>
    <s v="Laurent MONTAGNER"/>
    <x v="0"/>
    <x v="54"/>
    <x v="54"/>
    <n v="5.65"/>
    <s v="METRE"/>
    <n v="0"/>
    <n v="100"/>
    <n v="159.90000000000003"/>
    <n v="41.300000000000011"/>
    <n v="0"/>
    <n v="929.25000000000023"/>
    <n v="22.5"/>
    <x v="27"/>
    <n v="127.12500000000001"/>
    <x v="4"/>
  </r>
  <r>
    <x v="1"/>
    <s v="Stina Alm"/>
    <x v="0"/>
    <x v="138"/>
    <x v="138"/>
    <n v="4"/>
    <s v="ADET"/>
    <n v="0"/>
    <n v="102"/>
    <n v="0"/>
    <n v="-90"/>
    <n v="0"/>
    <n v="0"/>
    <n v="7"/>
    <x v="5"/>
    <n v="28"/>
    <x v="2"/>
  </r>
  <r>
    <x v="1"/>
    <s v="Stina Alm"/>
    <x v="0"/>
    <x v="139"/>
    <x v="139"/>
    <n v="0.05"/>
    <s v="KG"/>
    <n v="0"/>
    <n v="0"/>
    <n v="1.3045120539345589E-15"/>
    <n v="0.37"/>
    <n v="0"/>
    <n v="52.725000000000001"/>
    <n v="142.5"/>
    <x v="2"/>
    <n v="7.125"/>
    <x v="3"/>
  </r>
  <r>
    <x v="1"/>
    <s v="Stina Alm"/>
    <x v="0"/>
    <x v="135"/>
    <x v="135"/>
    <n v="48"/>
    <s v="ADET"/>
    <n v="0"/>
    <n v="1000"/>
    <n v="396"/>
    <n v="-91"/>
    <n v="0"/>
    <n v="0"/>
    <n v="12.5"/>
    <x v="50"/>
    <n v="600"/>
    <x v="2"/>
  </r>
  <r>
    <x v="0"/>
    <s v="Soner Kayıkçı"/>
    <x v="0"/>
    <x v="140"/>
    <x v="140"/>
    <n v="1"/>
    <s v="ADET"/>
    <n v="0"/>
    <n v="0"/>
    <n v="3.5527136788005009E-15"/>
    <n v="-6.1"/>
    <n v="10"/>
    <n v="0"/>
    <n v="255.55"/>
    <x v="51"/>
    <n v="255.55"/>
    <x v="3"/>
  </r>
  <r>
    <x v="1"/>
    <s v="Stina Alm"/>
    <x v="0"/>
    <x v="140"/>
    <x v="140"/>
    <n v="0.5"/>
    <s v="ADET"/>
    <n v="0"/>
    <n v="0"/>
    <n v="3.5527136788005009E-15"/>
    <n v="-6.1"/>
    <n v="10"/>
    <n v="0"/>
    <n v="255.55"/>
    <x v="51"/>
    <n v="127.77500000000001"/>
    <x v="3"/>
  </r>
  <r>
    <x v="1"/>
    <s v="Stina Alm"/>
    <x v="0"/>
    <x v="141"/>
    <x v="141"/>
    <n v="4"/>
    <s v="ADET"/>
    <n v="0"/>
    <n v="1000"/>
    <n v="0"/>
    <n v="-960"/>
    <n v="0"/>
    <n v="0"/>
    <n v="0.64"/>
    <x v="14"/>
    <n v="2.56"/>
    <x v="2"/>
  </r>
  <r>
    <x v="1"/>
    <s v="Stina Alm"/>
    <x v="0"/>
    <x v="142"/>
    <x v="142"/>
    <n v="1"/>
    <s v="ADET"/>
    <n v="0"/>
    <n v="0"/>
    <n v="0"/>
    <n v="9"/>
    <n v="0"/>
    <n v="540"/>
    <n v="60"/>
    <x v="52"/>
    <n v="60"/>
    <x v="6"/>
  </r>
  <r>
    <x v="0"/>
    <s v="Soner Kayıkçı"/>
    <x v="0"/>
    <x v="136"/>
    <x v="136"/>
    <n v="0.01"/>
    <s v="METRE"/>
    <n v="0"/>
    <n v="200"/>
    <n v="74.999999999999957"/>
    <n v="-198.95"/>
    <n v="0"/>
    <n v="0"/>
    <n v="7.4"/>
    <x v="49"/>
    <n v="7.400000000000001E-2"/>
    <x v="7"/>
  </r>
  <r>
    <x v="12"/>
    <s v="Matteo Giolo"/>
    <x v="0"/>
    <x v="54"/>
    <x v="54"/>
    <n v="7.5"/>
    <s v="METRE"/>
    <n v="0"/>
    <n v="100"/>
    <n v="159.90000000000003"/>
    <n v="41.300000000000011"/>
    <n v="0"/>
    <n v="929.25000000000023"/>
    <n v="22.5"/>
    <x v="27"/>
    <n v="168.75"/>
    <x v="4"/>
  </r>
  <r>
    <x v="3"/>
    <s v="Stina Alm"/>
    <x v="0"/>
    <x v="138"/>
    <x v="138"/>
    <n v="4"/>
    <s v="ADET"/>
    <n v="0"/>
    <n v="102"/>
    <n v="0"/>
    <n v="-90"/>
    <n v="0"/>
    <n v="0"/>
    <n v="7"/>
    <x v="5"/>
    <n v="28"/>
    <x v="2"/>
  </r>
  <r>
    <x v="5"/>
    <s v="Matteo Giolo"/>
    <x v="0"/>
    <x v="139"/>
    <x v="139"/>
    <n v="0.05"/>
    <s v="KG"/>
    <n v="0"/>
    <n v="0"/>
    <n v="1.3045120539345589E-15"/>
    <n v="0.37"/>
    <n v="0"/>
    <n v="52.725000000000001"/>
    <n v="142.5"/>
    <x v="2"/>
    <n v="7.125"/>
    <x v="3"/>
  </r>
  <r>
    <x v="3"/>
    <s v="Stina Alm"/>
    <x v="0"/>
    <x v="135"/>
    <x v="135"/>
    <n v="48"/>
    <s v="ADET"/>
    <n v="0"/>
    <n v="1000"/>
    <n v="396"/>
    <n v="-91"/>
    <n v="0"/>
    <n v="0"/>
    <n v="12.5"/>
    <x v="50"/>
    <n v="600"/>
    <x v="2"/>
  </r>
  <r>
    <x v="3"/>
    <s v="Stina Alm"/>
    <x v="0"/>
    <x v="141"/>
    <x v="141"/>
    <n v="4"/>
    <s v="ADET"/>
    <n v="0"/>
    <n v="1000"/>
    <n v="0"/>
    <n v="-960"/>
    <n v="0"/>
    <n v="0"/>
    <n v="0.64"/>
    <x v="14"/>
    <n v="2.56"/>
    <x v="2"/>
  </r>
  <r>
    <x v="7"/>
    <s v="Laurent MONTAGNER"/>
    <x v="0"/>
    <x v="141"/>
    <x v="141"/>
    <n v="4"/>
    <s v="ADET"/>
    <n v="0"/>
    <n v="1000"/>
    <n v="0"/>
    <n v="-960"/>
    <n v="0"/>
    <n v="0"/>
    <n v="0.64"/>
    <x v="14"/>
    <n v="2.56"/>
    <x v="2"/>
  </r>
  <r>
    <x v="15"/>
    <s v="Jan Urbanek"/>
    <x v="0"/>
    <x v="150"/>
    <x v="150"/>
    <n v="1"/>
    <s v="ADET"/>
    <n v="0"/>
    <n v="9"/>
    <n v="13"/>
    <n v="-1"/>
    <n v="4"/>
    <n v="0"/>
    <n v="1600"/>
    <x v="35"/>
    <n v="1600"/>
    <x v="7"/>
  </r>
  <r>
    <x v="11"/>
    <s v="Jan Urbanek"/>
    <x v="0"/>
    <x v="149"/>
    <x v="149"/>
    <n v="2"/>
    <s v="ADET"/>
    <n v="0"/>
    <n v="67"/>
    <n v="24"/>
    <n v="-38"/>
    <n v="0"/>
    <n v="0"/>
    <n v="640"/>
    <x v="20"/>
    <n v="1280"/>
    <x v="7"/>
  </r>
  <r>
    <x v="11"/>
    <s v="Jan Urbanek"/>
    <x v="0"/>
    <x v="150"/>
    <x v="150"/>
    <n v="1"/>
    <s v="ADET"/>
    <n v="0"/>
    <n v="9"/>
    <n v="13"/>
    <n v="-1"/>
    <n v="4"/>
    <n v="0"/>
    <n v="1600"/>
    <x v="35"/>
    <n v="1600"/>
    <x v="7"/>
  </r>
  <r>
    <x v="11"/>
    <s v="Jan Urbanek"/>
    <x v="0"/>
    <x v="183"/>
    <x v="183"/>
    <n v="1"/>
    <s v="ADET"/>
    <n v="0"/>
    <n v="17"/>
    <n v="11"/>
    <n v="-5"/>
    <n v="0"/>
    <n v="0"/>
    <n v="1094.4000000000001"/>
    <x v="15"/>
    <n v="1094.4000000000001"/>
    <x v="7"/>
  </r>
  <r>
    <x v="11"/>
    <s v="Jan Urbanek"/>
    <x v="0"/>
    <x v="184"/>
    <x v="184"/>
    <n v="3"/>
    <s v="ADET"/>
    <n v="0"/>
    <n v="38"/>
    <n v="25"/>
    <n v="-2"/>
    <n v="20"/>
    <n v="0"/>
    <n v="245"/>
    <x v="10"/>
    <n v="735"/>
    <x v="4"/>
  </r>
  <r>
    <x v="15"/>
    <s v="Jan Urbanek"/>
    <x v="0"/>
    <x v="149"/>
    <x v="149"/>
    <n v="2"/>
    <s v="ADET"/>
    <n v="0"/>
    <n v="67"/>
    <n v="24"/>
    <n v="-38"/>
    <n v="0"/>
    <n v="0"/>
    <n v="640"/>
    <x v="20"/>
    <n v="1280"/>
    <x v="7"/>
  </r>
  <r>
    <x v="13"/>
    <s v="Matteo Giolo"/>
    <x v="0"/>
    <x v="149"/>
    <x v="149"/>
    <n v="2"/>
    <s v="ADET"/>
    <n v="0"/>
    <n v="67"/>
    <n v="24"/>
    <n v="-38"/>
    <n v="0"/>
    <n v="0"/>
    <n v="640"/>
    <x v="20"/>
    <n v="1280"/>
    <x v="7"/>
  </r>
  <r>
    <x v="19"/>
    <s v="Volkan Batkan"/>
    <x v="0"/>
    <x v="148"/>
    <x v="148"/>
    <n v="2"/>
    <s v="ADET"/>
    <n v="0"/>
    <n v="238"/>
    <n v="90"/>
    <n v="-200"/>
    <n v="0"/>
    <n v="0"/>
    <n v="4"/>
    <x v="20"/>
    <n v="8"/>
    <x v="7"/>
  </r>
  <r>
    <x v="13"/>
    <s v="Matteo Giolo"/>
    <x v="0"/>
    <x v="150"/>
    <x v="150"/>
    <n v="1"/>
    <s v="ADET"/>
    <n v="0"/>
    <n v="9"/>
    <n v="13"/>
    <n v="-1"/>
    <n v="4"/>
    <n v="0"/>
    <n v="1600"/>
    <x v="35"/>
    <n v="1600"/>
    <x v="7"/>
  </r>
  <r>
    <x v="9"/>
    <s v="Jan Urbanek"/>
    <x v="0"/>
    <x v="11"/>
    <x v="11"/>
    <n v="1.504"/>
    <s v="KG"/>
    <n v="0"/>
    <n v="0"/>
    <n v="65.03100000000002"/>
    <n v="17.948"/>
    <n v="0"/>
    <n v="6991.2844399999994"/>
    <n v="389.53"/>
    <x v="3"/>
    <n v="585.85311999999999"/>
    <x v="3"/>
  </r>
  <r>
    <x v="10"/>
    <s v="Jan Urbanek"/>
    <x v="0"/>
    <x v="149"/>
    <x v="149"/>
    <n v="2"/>
    <s v="ADET"/>
    <n v="0"/>
    <n v="67"/>
    <n v="24"/>
    <n v="-38"/>
    <n v="0"/>
    <n v="0"/>
    <n v="640"/>
    <x v="20"/>
    <n v="1280"/>
    <x v="7"/>
  </r>
  <r>
    <x v="11"/>
    <s v="Jan Urbanek"/>
    <x v="0"/>
    <x v="148"/>
    <x v="148"/>
    <n v="2"/>
    <s v="ADET"/>
    <n v="0"/>
    <n v="238"/>
    <n v="90"/>
    <n v="-200"/>
    <n v="0"/>
    <n v="0"/>
    <n v="4"/>
    <x v="20"/>
    <n v="8"/>
    <x v="7"/>
  </r>
  <r>
    <x v="10"/>
    <s v="Jan Urbanek"/>
    <x v="0"/>
    <x v="183"/>
    <x v="183"/>
    <n v="1"/>
    <s v="ADET"/>
    <n v="0"/>
    <n v="17"/>
    <n v="11"/>
    <n v="-5"/>
    <n v="0"/>
    <n v="0"/>
    <n v="1094.4000000000001"/>
    <x v="15"/>
    <n v="1094.4000000000001"/>
    <x v="7"/>
  </r>
  <r>
    <x v="11"/>
    <s v="Jan Urbanek"/>
    <x v="0"/>
    <x v="151"/>
    <x v="151"/>
    <n v="0.1"/>
    <s v="METRE"/>
    <n v="0"/>
    <n v="50"/>
    <n v="2.8310687127941492E-15"/>
    <n v="-47.8"/>
    <n v="0"/>
    <n v="0"/>
    <n v="25.41"/>
    <x v="15"/>
    <n v="2.5410000000000004"/>
    <x v="7"/>
  </r>
  <r>
    <x v="10"/>
    <s v="Jan Urbanek"/>
    <x v="0"/>
    <x v="184"/>
    <x v="184"/>
    <n v="3"/>
    <s v="ADET"/>
    <n v="0"/>
    <n v="38"/>
    <n v="25"/>
    <n v="-2"/>
    <n v="20"/>
    <n v="0"/>
    <n v="245"/>
    <x v="10"/>
    <n v="735"/>
    <x v="4"/>
  </r>
  <r>
    <x v="9"/>
    <s v="Jan Urbanek"/>
    <x v="0"/>
    <x v="149"/>
    <x v="149"/>
    <n v="2"/>
    <s v="ADET"/>
    <n v="0"/>
    <n v="67"/>
    <n v="24"/>
    <n v="-38"/>
    <n v="0"/>
    <n v="0"/>
    <n v="640"/>
    <x v="20"/>
    <n v="1280"/>
    <x v="7"/>
  </r>
  <r>
    <x v="6"/>
    <s v="Laurent MONTAGNER"/>
    <x v="0"/>
    <x v="143"/>
    <x v="143"/>
    <n v="0.81"/>
    <s v="ADET"/>
    <n v="0.81"/>
    <n v="0"/>
    <n v="5.5999999999999988"/>
    <n v="7.2"/>
    <n v="0"/>
    <n v="1170.0719999999999"/>
    <n v="162.51"/>
    <x v="3"/>
    <n v="131.63310000000001"/>
    <x v="3"/>
  </r>
  <r>
    <x v="6"/>
    <s v="Laurent MONTAGNER"/>
    <x v="0"/>
    <x v="185"/>
    <x v="185"/>
    <n v="2"/>
    <s v="METRE"/>
    <n v="0"/>
    <n v="20"/>
    <n v="16"/>
    <n v="-5"/>
    <n v="0"/>
    <n v="0"/>
    <n v="97.17"/>
    <x v="61"/>
    <n v="194.34"/>
    <x v="2"/>
  </r>
  <r>
    <x v="2"/>
    <s v="Laurent MONTAGNER"/>
    <x v="0"/>
    <x v="185"/>
    <x v="185"/>
    <n v="3"/>
    <s v="METRE"/>
    <n v="0"/>
    <n v="20"/>
    <n v="16"/>
    <n v="-5"/>
    <n v="0"/>
    <n v="0"/>
    <n v="97.17"/>
    <x v="61"/>
    <n v="291.51"/>
    <x v="2"/>
  </r>
  <r>
    <x v="5"/>
    <s v="Matteo Giolo"/>
    <x v="0"/>
    <x v="63"/>
    <x v="63"/>
    <n v="5.8599999999999994"/>
    <s v="KG"/>
    <n v="0"/>
    <n v="0"/>
    <n v="233.6899999999996"/>
    <n v="63.129999999999995"/>
    <n v="0"/>
    <n v="6403.9071999999996"/>
    <n v="101.44"/>
    <x v="3"/>
    <n v="594.43839999999989"/>
    <x v="3"/>
  </r>
  <r>
    <x v="7"/>
    <s v="Laurent MONTAGNER"/>
    <x v="0"/>
    <x v="58"/>
    <x v="58"/>
    <n v="9.51"/>
    <s v="ADET"/>
    <n v="0"/>
    <n v="96"/>
    <n v="195.44000000000014"/>
    <n v="63.319999999999951"/>
    <n v="0"/>
    <n v="8163.8475999999937"/>
    <n v="128.93"/>
    <x v="29"/>
    <n v="1226.1242999999999"/>
    <x v="2"/>
  </r>
  <r>
    <x v="9"/>
    <s v="Jan Urbanek"/>
    <x v="0"/>
    <x v="69"/>
    <x v="69"/>
    <n v="0.01"/>
    <s v="ADET"/>
    <n v="0"/>
    <n v="6"/>
    <n v="22.530000000000012"/>
    <n v="-5.5"/>
    <n v="0"/>
    <n v="0"/>
    <n v="133"/>
    <x v="33"/>
    <n v="1.33"/>
    <x v="3"/>
  </r>
  <r>
    <x v="8"/>
    <s v="Jan Urbanek"/>
    <x v="0"/>
    <x v="69"/>
    <x v="69"/>
    <n v="0.01"/>
    <s v="ADET"/>
    <n v="0"/>
    <n v="6"/>
    <n v="22.530000000000012"/>
    <n v="-5.5"/>
    <n v="0"/>
    <n v="0"/>
    <n v="133"/>
    <x v="33"/>
    <n v="1.33"/>
    <x v="3"/>
  </r>
  <r>
    <x v="10"/>
    <s v="Jan Urbanek"/>
    <x v="0"/>
    <x v="70"/>
    <x v="70"/>
    <n v="6"/>
    <s v="ADET"/>
    <n v="0"/>
    <n v="84"/>
    <n v="36"/>
    <n v="22"/>
    <n v="0"/>
    <n v="440"/>
    <n v="20"/>
    <x v="14"/>
    <n v="120"/>
    <x v="4"/>
  </r>
  <r>
    <x v="6"/>
    <s v="Laurent MONTAGNER"/>
    <x v="0"/>
    <x v="70"/>
    <x v="70"/>
    <n v="6"/>
    <s v="ADET"/>
    <n v="0"/>
    <n v="84"/>
    <n v="36"/>
    <n v="22"/>
    <n v="0"/>
    <n v="440"/>
    <n v="20"/>
    <x v="14"/>
    <n v="120"/>
    <x v="4"/>
  </r>
  <r>
    <x v="19"/>
    <s v="Volkan Batkan"/>
    <x v="0"/>
    <x v="146"/>
    <x v="146"/>
    <n v="1"/>
    <s v="METRE"/>
    <n v="0"/>
    <n v="6400"/>
    <n v="186.50000000000006"/>
    <n v="-6392"/>
    <n v="0"/>
    <n v="0"/>
    <n v="2.1"/>
    <x v="5"/>
    <n v="2.1"/>
    <x v="7"/>
  </r>
  <r>
    <x v="9"/>
    <s v="Jan Urbanek"/>
    <x v="0"/>
    <x v="68"/>
    <x v="68"/>
    <n v="108.87"/>
    <s v="KG"/>
    <n v="0"/>
    <n v="-690"/>
    <n v="2123.619999999999"/>
    <n v="1819.8699999999994"/>
    <n v="0"/>
    <n v="172651.06689999995"/>
    <n v="94.87"/>
    <x v="3"/>
    <n v="10328.4969"/>
    <x v="3"/>
  </r>
  <r>
    <x v="10"/>
    <s v="Jan Urbanek"/>
    <x v="0"/>
    <x v="69"/>
    <x v="69"/>
    <n v="0.01"/>
    <s v="ADET"/>
    <n v="0"/>
    <n v="6"/>
    <n v="22.530000000000012"/>
    <n v="-5.5"/>
    <n v="0"/>
    <n v="0"/>
    <n v="133"/>
    <x v="33"/>
    <n v="1.33"/>
    <x v="3"/>
  </r>
  <r>
    <x v="9"/>
    <s v="Jan Urbanek"/>
    <x v="0"/>
    <x v="70"/>
    <x v="70"/>
    <n v="6"/>
    <s v="ADET"/>
    <n v="0"/>
    <n v="84"/>
    <n v="36"/>
    <n v="22"/>
    <n v="0"/>
    <n v="440"/>
    <n v="20"/>
    <x v="14"/>
    <n v="120"/>
    <x v="4"/>
  </r>
  <r>
    <x v="8"/>
    <s v="Jan Urbanek"/>
    <x v="0"/>
    <x v="70"/>
    <x v="70"/>
    <n v="6"/>
    <s v="ADET"/>
    <n v="0"/>
    <n v="84"/>
    <n v="36"/>
    <n v="22"/>
    <n v="0"/>
    <n v="440"/>
    <n v="20"/>
    <x v="14"/>
    <n v="120"/>
    <x v="4"/>
  </r>
  <r>
    <x v="11"/>
    <s v="Jan Urbanek"/>
    <x v="0"/>
    <x v="145"/>
    <x v="145"/>
    <n v="1"/>
    <s v="ADET"/>
    <n v="0"/>
    <n v="5"/>
    <n v="10"/>
    <n v="7"/>
    <n v="0"/>
    <n v="85641.010000000009"/>
    <n v="12234.43"/>
    <x v="19"/>
    <n v="12234.43"/>
    <x v="7"/>
  </r>
  <r>
    <x v="11"/>
    <s v="Jan Urbanek"/>
    <x v="0"/>
    <x v="161"/>
    <x v="161"/>
    <n v="6"/>
    <s v="ADET"/>
    <n v="0"/>
    <n v="125"/>
    <n v="54"/>
    <n v="-49"/>
    <n v="0"/>
    <n v="0"/>
    <n v="3.75"/>
    <x v="21"/>
    <n v="22.5"/>
    <x v="2"/>
  </r>
  <r>
    <x v="14"/>
    <s v="Stefan Zaugg"/>
    <x v="0"/>
    <x v="186"/>
    <x v="186"/>
    <n v="6"/>
    <s v="METRE"/>
    <n v="0"/>
    <n v="140"/>
    <n v="0"/>
    <n v="-122"/>
    <n v="0"/>
    <n v="0"/>
    <n v="25.42"/>
    <x v="15"/>
    <n v="152.52000000000001"/>
    <x v="7"/>
  </r>
  <r>
    <x v="11"/>
    <s v="Jan Urbanek"/>
    <x v="0"/>
    <x v="69"/>
    <x v="69"/>
    <n v="0.01"/>
    <s v="ADET"/>
    <n v="0"/>
    <n v="6"/>
    <n v="22.530000000000012"/>
    <n v="-5.5"/>
    <n v="0"/>
    <n v="0"/>
    <n v="133"/>
    <x v="33"/>
    <n v="1.33"/>
    <x v="3"/>
  </r>
  <r>
    <x v="11"/>
    <s v="Jan Urbanek"/>
    <x v="0"/>
    <x v="70"/>
    <x v="70"/>
    <n v="6"/>
    <s v="ADET"/>
    <n v="0"/>
    <n v="84"/>
    <n v="36"/>
    <n v="22"/>
    <n v="0"/>
    <n v="440"/>
    <n v="20"/>
    <x v="14"/>
    <n v="120"/>
    <x v="4"/>
  </r>
  <r>
    <x v="10"/>
    <s v="Jan Urbanek"/>
    <x v="0"/>
    <x v="145"/>
    <x v="145"/>
    <n v="1"/>
    <s v="ADET"/>
    <n v="0"/>
    <n v="5"/>
    <n v="10"/>
    <n v="7"/>
    <n v="0"/>
    <n v="85641.010000000009"/>
    <n v="12234.43"/>
    <x v="19"/>
    <n v="12234.43"/>
    <x v="7"/>
  </r>
  <r>
    <x v="10"/>
    <s v="Jan Urbanek"/>
    <x v="0"/>
    <x v="161"/>
    <x v="161"/>
    <n v="6"/>
    <s v="ADET"/>
    <n v="0"/>
    <n v="125"/>
    <n v="54"/>
    <n v="-49"/>
    <n v="0"/>
    <n v="0"/>
    <n v="3.75"/>
    <x v="21"/>
    <n v="22.5"/>
    <x v="2"/>
  </r>
  <r>
    <x v="0"/>
    <s v="Soner Kayıkçı"/>
    <x v="0"/>
    <x v="69"/>
    <x v="69"/>
    <n v="0.01"/>
    <s v="ADET"/>
    <n v="0"/>
    <n v="6"/>
    <n v="22.530000000000012"/>
    <n v="-5.5"/>
    <n v="0"/>
    <n v="0"/>
    <n v="133"/>
    <x v="33"/>
    <n v="1.33"/>
    <x v="3"/>
  </r>
  <r>
    <x v="6"/>
    <s v="Laurent MONTAGNER"/>
    <x v="0"/>
    <x v="69"/>
    <x v="69"/>
    <n v="0.01"/>
    <s v="ADET"/>
    <n v="0"/>
    <n v="6"/>
    <n v="22.530000000000012"/>
    <n v="-5.5"/>
    <n v="0"/>
    <n v="0"/>
    <n v="133"/>
    <x v="33"/>
    <n v="1.33"/>
    <x v="3"/>
  </r>
  <r>
    <x v="2"/>
    <s v="Laurent MONTAGNER"/>
    <x v="0"/>
    <x v="70"/>
    <x v="70"/>
    <n v="5"/>
    <s v="ADET"/>
    <n v="0"/>
    <n v="84"/>
    <n v="36"/>
    <n v="22"/>
    <n v="0"/>
    <n v="440"/>
    <n v="20"/>
    <x v="14"/>
    <n v="100"/>
    <x v="4"/>
  </r>
  <r>
    <x v="2"/>
    <s v="Laurent MONTAGNER"/>
    <x v="0"/>
    <x v="186"/>
    <x v="186"/>
    <n v="6"/>
    <s v="METRE"/>
    <n v="0"/>
    <n v="140"/>
    <n v="0"/>
    <n v="-122"/>
    <n v="0"/>
    <n v="0"/>
    <n v="25.42"/>
    <x v="15"/>
    <n v="152.52000000000001"/>
    <x v="7"/>
  </r>
  <r>
    <x v="14"/>
    <s v="Stefan Zaugg"/>
    <x v="0"/>
    <x v="146"/>
    <x v="146"/>
    <n v="1"/>
    <s v="METRE"/>
    <n v="0"/>
    <n v="6400"/>
    <n v="186.50000000000006"/>
    <n v="-6392"/>
    <n v="0"/>
    <n v="0"/>
    <n v="2.1"/>
    <x v="5"/>
    <n v="2.1"/>
    <x v="7"/>
  </r>
  <r>
    <x v="16"/>
    <s v="Stefan Zaugg"/>
    <x v="0"/>
    <x v="161"/>
    <x v="161"/>
    <n v="12"/>
    <s v="ADET"/>
    <n v="12"/>
    <n v="125"/>
    <n v="54"/>
    <n v="-49"/>
    <n v="0"/>
    <n v="0"/>
    <n v="3.75"/>
    <x v="21"/>
    <n v="45"/>
    <x v="2"/>
  </r>
  <r>
    <x v="11"/>
    <s v="Jan Urbanek"/>
    <x v="0"/>
    <x v="155"/>
    <x v="155"/>
    <n v="1"/>
    <s v="ADET"/>
    <n v="0"/>
    <n v="4"/>
    <n v="10"/>
    <n v="8"/>
    <n v="0"/>
    <n v="41649.120000000003"/>
    <n v="5206.1400000000003"/>
    <x v="19"/>
    <n v="5206.1400000000003"/>
    <x v="7"/>
  </r>
  <r>
    <x v="9"/>
    <s v="Jan Urbanek"/>
    <x v="0"/>
    <x v="85"/>
    <x v="85"/>
    <n v="0.5"/>
    <s v="ADET"/>
    <n v="0"/>
    <n v="12"/>
    <n v="3"/>
    <n v="-3"/>
    <n v="0"/>
    <n v="0"/>
    <n v="130"/>
    <x v="2"/>
    <n v="65"/>
    <x v="3"/>
  </r>
  <r>
    <x v="8"/>
    <s v="Jan Urbanek"/>
    <x v="0"/>
    <x v="85"/>
    <x v="85"/>
    <n v="0.5"/>
    <s v="ADET"/>
    <n v="0"/>
    <n v="12"/>
    <n v="3"/>
    <n v="-3"/>
    <n v="0"/>
    <n v="0"/>
    <n v="130"/>
    <x v="2"/>
    <n v="65"/>
    <x v="3"/>
  </r>
  <r>
    <x v="10"/>
    <s v="Jan Urbanek"/>
    <x v="0"/>
    <x v="86"/>
    <x v="86"/>
    <n v="2.02"/>
    <s v="ADET"/>
    <n v="0"/>
    <n v="47"/>
    <n v="1"/>
    <n v="23.61999999999999"/>
    <n v="0"/>
    <n v="2361.9999999999991"/>
    <n v="100"/>
    <x v="14"/>
    <n v="202"/>
    <x v="3"/>
  </r>
  <r>
    <x v="3"/>
    <s v="Stina Alm"/>
    <x v="0"/>
    <x v="85"/>
    <x v="85"/>
    <n v="0.5"/>
    <s v="ADET"/>
    <n v="0"/>
    <n v="12"/>
    <n v="3"/>
    <n v="-3"/>
    <n v="0"/>
    <n v="0"/>
    <n v="130"/>
    <x v="2"/>
    <n v="65"/>
    <x v="3"/>
  </r>
  <r>
    <x v="4"/>
    <s v="Stefan Zaugg"/>
    <x v="0"/>
    <x v="85"/>
    <x v="85"/>
    <n v="0.5"/>
    <s v="ADET"/>
    <n v="0"/>
    <n v="12"/>
    <n v="3"/>
    <n v="-3"/>
    <n v="0"/>
    <n v="0"/>
    <n v="130"/>
    <x v="2"/>
    <n v="65"/>
    <x v="3"/>
  </r>
  <r>
    <x v="3"/>
    <s v="Stina Alm"/>
    <x v="0"/>
    <x v="86"/>
    <x v="86"/>
    <n v="3"/>
    <s v="ADET"/>
    <n v="0"/>
    <n v="47"/>
    <n v="1"/>
    <n v="23.61999999999999"/>
    <n v="0"/>
    <n v="2361.9999999999991"/>
    <n v="100"/>
    <x v="14"/>
    <n v="300"/>
    <x v="3"/>
  </r>
  <r>
    <x v="5"/>
    <s v="Matteo Giolo"/>
    <x v="0"/>
    <x v="85"/>
    <x v="85"/>
    <n v="0.5"/>
    <s v="ADET"/>
    <n v="0"/>
    <n v="12"/>
    <n v="3"/>
    <n v="-3"/>
    <n v="0"/>
    <n v="0"/>
    <n v="130"/>
    <x v="2"/>
    <n v="65"/>
    <x v="3"/>
  </r>
  <r>
    <x v="7"/>
    <s v="Laurent MONTAGNER"/>
    <x v="0"/>
    <x v="85"/>
    <x v="85"/>
    <n v="0.5"/>
    <s v="ADET"/>
    <n v="0"/>
    <n v="12"/>
    <n v="3"/>
    <n v="-3"/>
    <n v="0"/>
    <n v="0"/>
    <n v="130"/>
    <x v="2"/>
    <n v="65"/>
    <x v="3"/>
  </r>
  <r>
    <x v="12"/>
    <s v="Matteo Giolo"/>
    <x v="0"/>
    <x v="85"/>
    <x v="85"/>
    <n v="0.5"/>
    <s v="ADET"/>
    <n v="0"/>
    <n v="12"/>
    <n v="3"/>
    <n v="-3"/>
    <n v="0"/>
    <n v="0"/>
    <n v="130"/>
    <x v="2"/>
    <n v="65"/>
    <x v="3"/>
  </r>
  <r>
    <x v="4"/>
    <s v="Stefan Zaugg"/>
    <x v="0"/>
    <x v="86"/>
    <x v="86"/>
    <n v="9"/>
    <s v="ADET"/>
    <n v="0"/>
    <n v="47"/>
    <n v="1"/>
    <n v="23.61999999999999"/>
    <n v="0"/>
    <n v="2361.9999999999991"/>
    <n v="100"/>
    <x v="14"/>
    <n v="900"/>
    <x v="3"/>
  </r>
  <r>
    <x v="7"/>
    <s v="Laurent MONTAGNER"/>
    <x v="0"/>
    <x v="86"/>
    <x v="86"/>
    <n v="4"/>
    <s v="ADET"/>
    <n v="0"/>
    <n v="47"/>
    <n v="1"/>
    <n v="23.61999999999999"/>
    <n v="0"/>
    <n v="2361.9999999999991"/>
    <n v="100"/>
    <x v="14"/>
    <n v="400"/>
    <x v="3"/>
  </r>
  <r>
    <x v="5"/>
    <s v="Matteo Giolo"/>
    <x v="0"/>
    <x v="86"/>
    <x v="86"/>
    <n v="2"/>
    <s v="ADET"/>
    <n v="0"/>
    <n v="47"/>
    <n v="1"/>
    <n v="23.61999999999999"/>
    <n v="0"/>
    <n v="2361.9999999999991"/>
    <n v="100"/>
    <x v="14"/>
    <n v="200"/>
    <x v="3"/>
  </r>
  <r>
    <x v="9"/>
    <s v="Jan Urbanek"/>
    <x v="0"/>
    <x v="187"/>
    <x v="187"/>
    <n v="2"/>
    <s v="ADET"/>
    <n v="0"/>
    <n v="304"/>
    <n v="13"/>
    <n v="-281"/>
    <n v="0"/>
    <n v="0"/>
    <n v="210"/>
    <x v="20"/>
    <n v="420"/>
    <x v="7"/>
  </r>
  <r>
    <x v="8"/>
    <s v="Jan Urbanek"/>
    <x v="0"/>
    <x v="187"/>
    <x v="187"/>
    <n v="1"/>
    <s v="ADET"/>
    <n v="0"/>
    <n v="304"/>
    <n v="13"/>
    <n v="-281"/>
    <n v="0"/>
    <n v="0"/>
    <n v="210"/>
    <x v="20"/>
    <n v="210"/>
    <x v="7"/>
  </r>
  <r>
    <x v="9"/>
    <s v="Jan Urbanek"/>
    <x v="0"/>
    <x v="188"/>
    <x v="188"/>
    <n v="1"/>
    <s v="ADET"/>
    <n v="0"/>
    <n v="12"/>
    <n v="9"/>
    <n v="0"/>
    <n v="0"/>
    <n v="0"/>
    <n v="266.72000000000003"/>
    <x v="13"/>
    <n v="266.72000000000003"/>
    <x v="7"/>
  </r>
  <r>
    <x v="8"/>
    <s v="Jan Urbanek"/>
    <x v="0"/>
    <x v="188"/>
    <x v="188"/>
    <n v="1"/>
    <s v="ADET"/>
    <n v="0"/>
    <n v="12"/>
    <n v="9"/>
    <n v="0"/>
    <n v="0"/>
    <n v="0"/>
    <n v="266.72000000000003"/>
    <x v="13"/>
    <n v="266.72000000000003"/>
    <x v="7"/>
  </r>
  <r>
    <x v="11"/>
    <s v="Jan Urbanek"/>
    <x v="0"/>
    <x v="86"/>
    <x v="86"/>
    <n v="2.02"/>
    <s v="ADET"/>
    <n v="0"/>
    <n v="47"/>
    <n v="1"/>
    <n v="23.61999999999999"/>
    <n v="0"/>
    <n v="2361.9999999999991"/>
    <n v="100"/>
    <x v="14"/>
    <n v="202"/>
    <x v="3"/>
  </r>
  <r>
    <x v="12"/>
    <s v="Matteo Giolo"/>
    <x v="0"/>
    <x v="30"/>
    <x v="30"/>
    <n v="8"/>
    <s v="ADET"/>
    <n v="0"/>
    <n v="1270"/>
    <n v="698"/>
    <n v="-1174"/>
    <n v="0"/>
    <n v="0"/>
    <n v="0.55000000000000004"/>
    <x v="14"/>
    <n v="4.4000000000000004"/>
    <x v="2"/>
  </r>
  <r>
    <x v="12"/>
    <s v="Matteo Giolo"/>
    <x v="0"/>
    <x v="84"/>
    <x v="84"/>
    <n v="0.1"/>
    <s v="KG"/>
    <n v="0"/>
    <n v="32"/>
    <n v="60"/>
    <n v="-31.4"/>
    <n v="0"/>
    <n v="0"/>
    <n v="110"/>
    <x v="26"/>
    <n v="11"/>
    <x v="3"/>
  </r>
  <r>
    <x v="11"/>
    <s v="Jan Urbanek"/>
    <x v="0"/>
    <x v="85"/>
    <x v="85"/>
    <n v="0.5"/>
    <s v="ADET"/>
    <n v="0"/>
    <n v="12"/>
    <n v="3"/>
    <n v="-3"/>
    <n v="0"/>
    <n v="0"/>
    <n v="130"/>
    <x v="2"/>
    <n v="65"/>
    <x v="3"/>
  </r>
  <r>
    <x v="8"/>
    <s v="Jan Urbanek"/>
    <x v="0"/>
    <x v="86"/>
    <x v="86"/>
    <n v="2"/>
    <s v="ADET"/>
    <n v="0"/>
    <n v="47"/>
    <n v="1"/>
    <n v="23.61999999999999"/>
    <n v="0"/>
    <n v="2361.9999999999991"/>
    <n v="100"/>
    <x v="14"/>
    <n v="200"/>
    <x v="3"/>
  </r>
  <r>
    <x v="9"/>
    <s v="Jan Urbanek"/>
    <x v="0"/>
    <x v="86"/>
    <x v="86"/>
    <n v="2.02"/>
    <s v="ADET"/>
    <n v="0"/>
    <n v="47"/>
    <n v="1"/>
    <n v="23.61999999999999"/>
    <n v="0"/>
    <n v="2361.9999999999991"/>
    <n v="100"/>
    <x v="14"/>
    <n v="202"/>
    <x v="3"/>
  </r>
  <r>
    <x v="12"/>
    <s v="Matteo Giolo"/>
    <x v="0"/>
    <x v="86"/>
    <x v="86"/>
    <n v="2.02"/>
    <s v="ADET"/>
    <n v="0"/>
    <n v="47"/>
    <n v="1"/>
    <n v="23.61999999999999"/>
    <n v="0"/>
    <n v="2361.9999999999991"/>
    <n v="100"/>
    <x v="14"/>
    <n v="202"/>
    <x v="3"/>
  </r>
  <r>
    <x v="10"/>
    <s v="Jan Urbanek"/>
    <x v="0"/>
    <x v="187"/>
    <x v="187"/>
    <n v="2"/>
    <s v="ADET"/>
    <n v="0"/>
    <n v="304"/>
    <n v="13"/>
    <n v="-281"/>
    <n v="0"/>
    <n v="0"/>
    <n v="210"/>
    <x v="20"/>
    <n v="420"/>
    <x v="7"/>
  </r>
  <r>
    <x v="10"/>
    <s v="Jan Urbanek"/>
    <x v="0"/>
    <x v="188"/>
    <x v="188"/>
    <n v="1"/>
    <s v="ADET"/>
    <n v="0"/>
    <n v="12"/>
    <n v="9"/>
    <n v="0"/>
    <n v="0"/>
    <n v="0"/>
    <n v="266.72000000000003"/>
    <x v="13"/>
    <n v="266.72000000000003"/>
    <x v="7"/>
  </r>
  <r>
    <x v="6"/>
    <s v="Laurent MONTAGNER"/>
    <x v="0"/>
    <x v="187"/>
    <x v="187"/>
    <n v="2"/>
    <s v="ADET"/>
    <n v="2"/>
    <n v="304"/>
    <n v="13"/>
    <n v="-281"/>
    <n v="0"/>
    <n v="0"/>
    <n v="210"/>
    <x v="20"/>
    <n v="420"/>
    <x v="7"/>
  </r>
  <r>
    <x v="2"/>
    <s v="Laurent MONTAGNER"/>
    <x v="0"/>
    <x v="187"/>
    <x v="187"/>
    <n v="2"/>
    <s v="ADET"/>
    <n v="0"/>
    <n v="304"/>
    <n v="13"/>
    <n v="-281"/>
    <n v="0"/>
    <n v="0"/>
    <n v="210"/>
    <x v="20"/>
    <n v="420"/>
    <x v="7"/>
  </r>
  <r>
    <x v="11"/>
    <s v="Jan Urbanek"/>
    <x v="0"/>
    <x v="156"/>
    <x v="156"/>
    <n v="0.5"/>
    <s v="ADET"/>
    <n v="0"/>
    <n v="0"/>
    <n v="-1.7763568394002505E-15"/>
    <n v="2.5"/>
    <n v="0"/>
    <n v="208.32499999999999"/>
    <n v="83.33"/>
    <x v="2"/>
    <n v="41.664999999999999"/>
    <x v="3"/>
  </r>
  <r>
    <x v="16"/>
    <s v="Stefan Zaugg"/>
    <x v="0"/>
    <x v="189"/>
    <x v="189"/>
    <n v="3"/>
    <s v="METRE"/>
    <n v="3"/>
    <n v="400"/>
    <n v="32"/>
    <n v="-397"/>
    <n v="0"/>
    <n v="0"/>
    <n v="11.5"/>
    <x v="49"/>
    <n v="34.5"/>
    <x v="7"/>
  </r>
  <r>
    <x v="14"/>
    <s v="Stefan Zaugg"/>
    <x v="0"/>
    <x v="189"/>
    <x v="189"/>
    <n v="3"/>
    <s v="METRE"/>
    <n v="3"/>
    <n v="400"/>
    <n v="32"/>
    <n v="-397"/>
    <n v="0"/>
    <n v="0"/>
    <n v="11.5"/>
    <x v="49"/>
    <n v="34.5"/>
    <x v="7"/>
  </r>
  <r>
    <x v="9"/>
    <s v="Jan Urbanek"/>
    <x v="0"/>
    <x v="83"/>
    <x v="83"/>
    <n v="0.02"/>
    <s v="KG"/>
    <n v="0"/>
    <n v="3"/>
    <n v="0"/>
    <n v="-2.75"/>
    <n v="0"/>
    <n v="0"/>
    <n v="148.31"/>
    <x v="5"/>
    <n v="2.9662000000000002"/>
    <x v="3"/>
  </r>
  <r>
    <x v="9"/>
    <s v="Jan Urbanek"/>
    <x v="0"/>
    <x v="156"/>
    <x v="156"/>
    <n v="0.5"/>
    <s v="ADET"/>
    <n v="0"/>
    <n v="0"/>
    <n v="-1.7763568394002505E-15"/>
    <n v="2.5"/>
    <n v="0"/>
    <n v="208.32499999999999"/>
    <n v="83.33"/>
    <x v="2"/>
    <n v="41.664999999999999"/>
    <x v="3"/>
  </r>
  <r>
    <x v="10"/>
    <s v="Jan Urbanek"/>
    <x v="0"/>
    <x v="157"/>
    <x v="157"/>
    <n v="100"/>
    <s v="ADET"/>
    <n v="0"/>
    <n v="2750"/>
    <n v="0"/>
    <n v="-747"/>
    <n v="0"/>
    <n v="0"/>
    <n v="0.7"/>
    <x v="14"/>
    <n v="70"/>
    <x v="2"/>
  </r>
  <r>
    <x v="11"/>
    <s v="Jan Urbanek"/>
    <x v="0"/>
    <x v="159"/>
    <x v="159"/>
    <n v="1"/>
    <s v="ADET"/>
    <n v="0"/>
    <n v="0"/>
    <n v="8"/>
    <n v="12"/>
    <n v="0"/>
    <n v="55600.08"/>
    <n v="4633.34"/>
    <x v="11"/>
    <n v="4633.34"/>
    <x v="6"/>
  </r>
  <r>
    <x v="11"/>
    <s v="Jan Urbanek"/>
    <x v="0"/>
    <x v="158"/>
    <x v="158"/>
    <n v="7"/>
    <s v="KG"/>
    <n v="0"/>
    <n v="0"/>
    <n v="297.61"/>
    <n v="97.560000000000016"/>
    <n v="0"/>
    <n v="13285.720800000003"/>
    <n v="136.18"/>
    <x v="54"/>
    <n v="953.26"/>
    <x v="3"/>
  </r>
  <r>
    <x v="11"/>
    <s v="Jan Urbanek"/>
    <x v="0"/>
    <x v="160"/>
    <x v="160"/>
    <n v="6"/>
    <s v="ADET"/>
    <n v="0"/>
    <n v="0"/>
    <n v="0"/>
    <n v="54"/>
    <n v="0"/>
    <n v="35.64"/>
    <n v="0.66"/>
    <x v="20"/>
    <n v="3.96"/>
    <x v="7"/>
  </r>
  <r>
    <x v="2"/>
    <s v="Laurent MONTAGNER"/>
    <x v="0"/>
    <x v="155"/>
    <x v="155"/>
    <n v="1"/>
    <s v="ADET"/>
    <n v="0"/>
    <n v="4"/>
    <n v="10"/>
    <n v="8"/>
    <n v="0"/>
    <n v="41649.120000000003"/>
    <n v="5206.1400000000003"/>
    <x v="19"/>
    <n v="5206.1400000000003"/>
    <x v="7"/>
  </r>
  <r>
    <x v="10"/>
    <s v="Jan Urbanek"/>
    <x v="0"/>
    <x v="160"/>
    <x v="160"/>
    <n v="6"/>
    <s v="ADET"/>
    <n v="0"/>
    <n v="0"/>
    <n v="0"/>
    <n v="54"/>
    <n v="0"/>
    <n v="35.64"/>
    <n v="0.66"/>
    <x v="20"/>
    <n v="3.96"/>
    <x v="7"/>
  </r>
  <r>
    <x v="6"/>
    <s v="Laurent MONTAGNER"/>
    <x v="0"/>
    <x v="155"/>
    <x v="155"/>
    <n v="1"/>
    <s v="ADET"/>
    <n v="0"/>
    <n v="4"/>
    <n v="10"/>
    <n v="8"/>
    <n v="0"/>
    <n v="41649.120000000003"/>
    <n v="5206.1400000000003"/>
    <x v="19"/>
    <n v="5206.1400000000003"/>
    <x v="7"/>
  </r>
  <r>
    <x v="0"/>
    <s v="Soner Kayıkçı"/>
    <x v="0"/>
    <x v="155"/>
    <x v="155"/>
    <n v="1"/>
    <s v="ADET"/>
    <n v="0"/>
    <n v="4"/>
    <n v="10"/>
    <n v="8"/>
    <n v="0"/>
    <n v="41649.120000000003"/>
    <n v="5206.1400000000003"/>
    <x v="19"/>
    <n v="5206.1400000000003"/>
    <x v="7"/>
  </r>
  <r>
    <x v="1"/>
    <s v="Stina Alm"/>
    <x v="0"/>
    <x v="155"/>
    <x v="155"/>
    <n v="1"/>
    <s v="ADET"/>
    <n v="0"/>
    <n v="4"/>
    <n v="10"/>
    <n v="8"/>
    <n v="0"/>
    <n v="41649.120000000003"/>
    <n v="5206.1400000000003"/>
    <x v="19"/>
    <n v="5206.1400000000003"/>
    <x v="7"/>
  </r>
  <r>
    <x v="2"/>
    <s v="Laurent MONTAGNER"/>
    <x v="0"/>
    <x v="189"/>
    <x v="189"/>
    <n v="3"/>
    <s v="METRE"/>
    <n v="0"/>
    <n v="400"/>
    <n v="32"/>
    <n v="-397"/>
    <n v="0"/>
    <n v="0"/>
    <n v="11.5"/>
    <x v="49"/>
    <n v="34.5"/>
    <x v="7"/>
  </r>
  <r>
    <x v="6"/>
    <s v="Laurent MONTAGNER"/>
    <x v="0"/>
    <x v="157"/>
    <x v="157"/>
    <n v="96"/>
    <s v="ADET"/>
    <n v="0"/>
    <n v="2750"/>
    <n v="0"/>
    <n v="-747"/>
    <n v="0"/>
    <n v="0"/>
    <n v="0.7"/>
    <x v="14"/>
    <n v="67.199999999999989"/>
    <x v="2"/>
  </r>
  <r>
    <x v="1"/>
    <s v="Stina Alm"/>
    <x v="0"/>
    <x v="157"/>
    <x v="157"/>
    <n v="88"/>
    <s v="ADET"/>
    <n v="0"/>
    <n v="2750"/>
    <n v="0"/>
    <n v="-747"/>
    <n v="0"/>
    <n v="0"/>
    <n v="0.7"/>
    <x v="14"/>
    <n v="61.599999999999994"/>
    <x v="2"/>
  </r>
  <r>
    <x v="1"/>
    <s v="Stina Alm"/>
    <x v="0"/>
    <x v="158"/>
    <x v="158"/>
    <n v="8.89"/>
    <s v="KG"/>
    <n v="0"/>
    <n v="0"/>
    <n v="297.61"/>
    <n v="97.560000000000016"/>
    <n v="0"/>
    <n v="13285.720800000003"/>
    <n v="136.18"/>
    <x v="54"/>
    <n v="1210.6402"/>
    <x v="3"/>
  </r>
  <r>
    <x v="0"/>
    <s v="Soner Kayıkçı"/>
    <x v="0"/>
    <x v="159"/>
    <x v="159"/>
    <n v="1"/>
    <s v="ADET"/>
    <n v="0"/>
    <n v="0"/>
    <n v="8"/>
    <n v="12"/>
    <n v="0"/>
    <n v="55600.08"/>
    <n v="4633.34"/>
    <x v="11"/>
    <n v="4633.34"/>
    <x v="6"/>
  </r>
  <r>
    <x v="6"/>
    <s v="Laurent MONTAGNER"/>
    <x v="0"/>
    <x v="159"/>
    <x v="159"/>
    <n v="1"/>
    <s v="ADET"/>
    <n v="1"/>
    <n v="0"/>
    <n v="8"/>
    <n v="12"/>
    <n v="0"/>
    <n v="55600.08"/>
    <n v="4633.34"/>
    <x v="11"/>
    <n v="4633.34"/>
    <x v="6"/>
  </r>
  <r>
    <x v="2"/>
    <s v="Laurent MONTAGNER"/>
    <x v="0"/>
    <x v="159"/>
    <x v="159"/>
    <n v="1"/>
    <s v="ADET"/>
    <n v="1"/>
    <n v="0"/>
    <n v="8"/>
    <n v="12"/>
    <n v="0"/>
    <n v="55600.08"/>
    <n v="4633.34"/>
    <x v="11"/>
    <n v="4633.34"/>
    <x v="6"/>
  </r>
  <r>
    <x v="0"/>
    <s v="Soner Kayıkçı"/>
    <x v="0"/>
    <x v="160"/>
    <x v="160"/>
    <n v="6"/>
    <s v="ADET"/>
    <n v="0"/>
    <n v="0"/>
    <n v="0"/>
    <n v="54"/>
    <n v="0"/>
    <n v="35.64"/>
    <n v="0.66"/>
    <x v="20"/>
    <n v="3.96"/>
    <x v="7"/>
  </r>
  <r>
    <x v="15"/>
    <s v="Jan Urbanek"/>
    <x v="0"/>
    <x v="156"/>
    <x v="156"/>
    <n v="0.5"/>
    <s v="ADET"/>
    <n v="0"/>
    <n v="0"/>
    <n v="-1.7763568394002505E-15"/>
    <n v="2.5"/>
    <n v="0"/>
    <n v="208.32499999999999"/>
    <n v="83.33"/>
    <x v="2"/>
    <n v="41.664999999999999"/>
    <x v="3"/>
  </r>
  <r>
    <x v="16"/>
    <s v="Stefan Zaugg"/>
    <x v="0"/>
    <x v="157"/>
    <x v="157"/>
    <n v="118"/>
    <s v="ADET"/>
    <n v="0"/>
    <n v="2750"/>
    <n v="0"/>
    <n v="-747"/>
    <n v="0"/>
    <n v="0"/>
    <n v="0.7"/>
    <x v="14"/>
    <n v="82.6"/>
    <x v="2"/>
  </r>
  <r>
    <x v="17"/>
    <s v="Murat Taşdemir"/>
    <x v="0"/>
    <x v="157"/>
    <x v="157"/>
    <n v="130"/>
    <s v="ADET"/>
    <n v="0"/>
    <n v="2750"/>
    <n v="0"/>
    <n v="-747"/>
    <n v="0"/>
    <n v="0"/>
    <n v="0.7"/>
    <x v="14"/>
    <n v="91"/>
    <x v="2"/>
  </r>
  <r>
    <x v="10"/>
    <s v="Jan Urbanek"/>
    <x v="0"/>
    <x v="190"/>
    <x v="190"/>
    <n v="28"/>
    <s v="ADET"/>
    <n v="0"/>
    <n v="800"/>
    <n v="0"/>
    <n v="-414"/>
    <n v="0"/>
    <n v="0"/>
    <n v="13.75"/>
    <x v="21"/>
    <n v="385"/>
    <x v="2"/>
  </r>
  <r>
    <x v="9"/>
    <s v="Jan Urbanek"/>
    <x v="0"/>
    <x v="190"/>
    <x v="190"/>
    <n v="28"/>
    <s v="ADET"/>
    <n v="0"/>
    <n v="800"/>
    <n v="0"/>
    <n v="-414"/>
    <n v="0"/>
    <n v="0"/>
    <n v="13.75"/>
    <x v="21"/>
    <n v="385"/>
    <x v="2"/>
  </r>
  <r>
    <x v="7"/>
    <s v="Laurent MONTAGNER"/>
    <x v="0"/>
    <x v="42"/>
    <x v="42"/>
    <n v="0.4"/>
    <s v="KG"/>
    <n v="0.4"/>
    <n v="0"/>
    <n v="24.129999999999985"/>
    <n v="4.1899999999999995"/>
    <n v="0"/>
    <n v="1667.7456999999997"/>
    <n v="398.03"/>
    <x v="3"/>
    <n v="159.21199999999999"/>
    <x v="3"/>
  </r>
  <r>
    <x v="7"/>
    <s v="Laurent MONTAGNER"/>
    <x v="0"/>
    <x v="44"/>
    <x v="44"/>
    <n v="10.709999999999999"/>
    <s v="KG"/>
    <n v="0"/>
    <n v="134.9"/>
    <n v="46.099999999999767"/>
    <n v="43.169999999999959"/>
    <n v="0"/>
    <n v="4160.2928999999958"/>
    <n v="96.37"/>
    <x v="3"/>
    <n v="1032.1226999999999"/>
    <x v="3"/>
  </r>
  <r>
    <x v="4"/>
    <s v="Stefan Zaugg"/>
    <x v="0"/>
    <x v="43"/>
    <x v="43"/>
    <n v="1.1000000000000001"/>
    <s v="METRE"/>
    <n v="0"/>
    <n v="0"/>
    <n v="20.30000000000009"/>
    <n v="21.1"/>
    <n v="0"/>
    <n v="2426.5"/>
    <n v="115"/>
    <x v="10"/>
    <n v="126.50000000000001"/>
    <x v="4"/>
  </r>
  <r>
    <x v="7"/>
    <s v="Laurent MONTAGNER"/>
    <x v="0"/>
    <x v="43"/>
    <x v="43"/>
    <n v="1.1000000000000001"/>
    <s v="METRE"/>
    <n v="0"/>
    <n v="0"/>
    <n v="20.30000000000009"/>
    <n v="21.1"/>
    <n v="0"/>
    <n v="2426.5"/>
    <n v="115"/>
    <x v="10"/>
    <n v="126.50000000000001"/>
    <x v="4"/>
  </r>
  <r>
    <x v="5"/>
    <s v="Matteo Giolo"/>
    <x v="0"/>
    <x v="43"/>
    <x v="43"/>
    <n v="1.1000000000000001"/>
    <s v="METRE"/>
    <n v="0"/>
    <n v="0"/>
    <n v="20.30000000000009"/>
    <n v="21.1"/>
    <n v="0"/>
    <n v="2426.5"/>
    <n v="115"/>
    <x v="10"/>
    <n v="126.50000000000001"/>
    <x v="4"/>
  </r>
  <r>
    <x v="9"/>
    <s v="Jan Urbanek"/>
    <x v="0"/>
    <x v="170"/>
    <x v="170"/>
    <n v="3"/>
    <s v="ADET"/>
    <n v="0"/>
    <n v="65"/>
    <n v="31"/>
    <n v="-31"/>
    <n v="0"/>
    <n v="0"/>
    <n v="45.5"/>
    <x v="57"/>
    <n v="136.5"/>
    <x v="7"/>
  </r>
  <r>
    <x v="8"/>
    <s v="Jan Urbanek"/>
    <x v="0"/>
    <x v="170"/>
    <x v="170"/>
    <n v="3"/>
    <s v="ADET"/>
    <n v="0"/>
    <n v="65"/>
    <n v="31"/>
    <n v="-31"/>
    <n v="0"/>
    <n v="0"/>
    <n v="45.5"/>
    <x v="57"/>
    <n v="136.5"/>
    <x v="7"/>
  </r>
  <r>
    <x v="10"/>
    <s v="Jan Urbanek"/>
    <x v="0"/>
    <x v="175"/>
    <x v="175"/>
    <n v="2"/>
    <s v="ADET"/>
    <n v="0"/>
    <n v="20"/>
    <n v="20"/>
    <n v="-6"/>
    <n v="10"/>
    <n v="0"/>
    <n v="400"/>
    <x v="35"/>
    <n v="800"/>
    <x v="7"/>
  </r>
  <r>
    <x v="9"/>
    <s v="Jan Urbanek"/>
    <x v="0"/>
    <x v="172"/>
    <x v="172"/>
    <n v="7"/>
    <s v="KG"/>
    <n v="0"/>
    <n v="0"/>
    <n v="260.61"/>
    <n v="97.559999999999988"/>
    <n v="0"/>
    <n v="13285.720799999999"/>
    <n v="136.18"/>
    <x v="54"/>
    <n v="953.26"/>
    <x v="3"/>
  </r>
  <r>
    <x v="9"/>
    <s v="Jan Urbanek"/>
    <x v="0"/>
    <x v="173"/>
    <x v="173"/>
    <n v="0.5"/>
    <s v="METRE"/>
    <n v="0"/>
    <n v="0"/>
    <n v="36.5"/>
    <n v="9"/>
    <n v="0"/>
    <n v="250.29"/>
    <n v="27.81"/>
    <x v="58"/>
    <n v="13.904999999999999"/>
    <x v="5"/>
  </r>
  <r>
    <x v="8"/>
    <s v="Jan Urbanek"/>
    <x v="0"/>
    <x v="173"/>
    <x v="173"/>
    <n v="0.5"/>
    <s v="METRE"/>
    <n v="0"/>
    <n v="0"/>
    <n v="36.5"/>
    <n v="9"/>
    <n v="0"/>
    <n v="250.29"/>
    <n v="27.81"/>
    <x v="58"/>
    <n v="13.904999999999999"/>
    <x v="5"/>
  </r>
  <r>
    <x v="10"/>
    <s v="Jan Urbanek"/>
    <x v="0"/>
    <x v="174"/>
    <x v="174"/>
    <n v="6"/>
    <s v="ADET"/>
    <n v="0"/>
    <n v="65"/>
    <n v="54"/>
    <n v="2"/>
    <n v="40"/>
    <n v="148"/>
    <n v="74"/>
    <x v="10"/>
    <n v="444"/>
    <x v="4"/>
  </r>
  <r>
    <x v="8"/>
    <s v="Jan Urbanek"/>
    <x v="0"/>
    <x v="174"/>
    <x v="174"/>
    <n v="6"/>
    <s v="ADET"/>
    <n v="0"/>
    <n v="65"/>
    <n v="54"/>
    <n v="2"/>
    <n v="40"/>
    <n v="148"/>
    <n v="74"/>
    <x v="10"/>
    <n v="444"/>
    <x v="4"/>
  </r>
  <r>
    <x v="9"/>
    <s v="Jan Urbanek"/>
    <x v="0"/>
    <x v="75"/>
    <x v="75"/>
    <n v="1"/>
    <s v="ADET"/>
    <n v="0"/>
    <n v="24"/>
    <n v="-3.5527136788005009E-14"/>
    <n v="-7.600000000000005"/>
    <n v="0"/>
    <n v="0"/>
    <n v="120"/>
    <x v="14"/>
    <n v="120"/>
    <x v="3"/>
  </r>
  <r>
    <x v="8"/>
    <s v="Jan Urbanek"/>
    <x v="0"/>
    <x v="75"/>
    <x v="75"/>
    <n v="1"/>
    <s v="ADET"/>
    <n v="0"/>
    <n v="24"/>
    <n v="-3.5527136788005009E-14"/>
    <n v="-7.600000000000005"/>
    <n v="0"/>
    <n v="0"/>
    <n v="120"/>
    <x v="14"/>
    <n v="120"/>
    <x v="3"/>
  </r>
  <r>
    <x v="9"/>
    <s v="Jan Urbanek"/>
    <x v="0"/>
    <x v="175"/>
    <x v="175"/>
    <n v="2"/>
    <s v="ADET"/>
    <n v="0"/>
    <n v="20"/>
    <n v="20"/>
    <n v="-6"/>
    <n v="10"/>
    <n v="0"/>
    <n v="400"/>
    <x v="35"/>
    <n v="800"/>
    <x v="7"/>
  </r>
  <r>
    <x v="8"/>
    <s v="Jan Urbanek"/>
    <x v="0"/>
    <x v="175"/>
    <x v="175"/>
    <n v="2"/>
    <s v="ADET"/>
    <n v="0"/>
    <n v="20"/>
    <n v="20"/>
    <n v="-6"/>
    <n v="10"/>
    <n v="0"/>
    <n v="400"/>
    <x v="35"/>
    <n v="800"/>
    <x v="7"/>
  </r>
  <r>
    <x v="10"/>
    <s v="Jan Urbanek"/>
    <x v="0"/>
    <x v="172"/>
    <x v="172"/>
    <n v="7"/>
    <s v="KG"/>
    <n v="0"/>
    <n v="0"/>
    <n v="260.61"/>
    <n v="97.559999999999988"/>
    <n v="0"/>
    <n v="13285.720799999999"/>
    <n v="136.18"/>
    <x v="54"/>
    <n v="953.26"/>
    <x v="3"/>
  </r>
  <r>
    <x v="10"/>
    <s v="Jan Urbanek"/>
    <x v="0"/>
    <x v="173"/>
    <x v="173"/>
    <n v="0.5"/>
    <s v="METRE"/>
    <n v="0"/>
    <n v="0"/>
    <n v="36.5"/>
    <n v="9"/>
    <n v="0"/>
    <n v="250.29"/>
    <n v="27.81"/>
    <x v="58"/>
    <n v="13.904999999999999"/>
    <x v="5"/>
  </r>
  <r>
    <x v="9"/>
    <s v="Jan Urbanek"/>
    <x v="0"/>
    <x v="174"/>
    <x v="174"/>
    <n v="6"/>
    <s v="ADET"/>
    <n v="0"/>
    <n v="65"/>
    <n v="54"/>
    <n v="2"/>
    <n v="40"/>
    <n v="148"/>
    <n v="74"/>
    <x v="10"/>
    <n v="444"/>
    <x v="4"/>
  </r>
  <r>
    <x v="11"/>
    <s v="Jan Urbanek"/>
    <x v="0"/>
    <x v="176"/>
    <x v="176"/>
    <n v="0.2"/>
    <s v="METRE"/>
    <n v="0"/>
    <n v="200"/>
    <n v="5.6843418860808015E-14"/>
    <n v="-196.15"/>
    <n v="0"/>
    <n v="0"/>
    <n v="2.89"/>
    <x v="15"/>
    <n v="0.57800000000000007"/>
    <x v="7"/>
  </r>
  <r>
    <x v="9"/>
    <s v="Jan Urbanek"/>
    <x v="0"/>
    <x v="176"/>
    <x v="176"/>
    <n v="0.2"/>
    <s v="METRE"/>
    <n v="0"/>
    <n v="200"/>
    <n v="5.6843418860808015E-14"/>
    <n v="-196.15"/>
    <n v="0"/>
    <n v="0"/>
    <n v="2.89"/>
    <x v="15"/>
    <n v="0.57800000000000007"/>
    <x v="7"/>
  </r>
  <r>
    <x v="8"/>
    <s v="Jan Urbanek"/>
    <x v="0"/>
    <x v="176"/>
    <x v="176"/>
    <n v="0.2"/>
    <s v="METRE"/>
    <n v="0"/>
    <n v="200"/>
    <n v="5.6843418860808015E-14"/>
    <n v="-196.15"/>
    <n v="0"/>
    <n v="0"/>
    <n v="2.89"/>
    <x v="15"/>
    <n v="0.57800000000000007"/>
    <x v="7"/>
  </r>
  <r>
    <x v="9"/>
    <s v="Jan Urbanek"/>
    <x v="0"/>
    <x v="177"/>
    <x v="177"/>
    <n v="1"/>
    <s v="ADET"/>
    <n v="0"/>
    <n v="15"/>
    <n v="9"/>
    <n v="-3"/>
    <n v="0"/>
    <n v="0"/>
    <n v="224.46"/>
    <x v="15"/>
    <n v="224.46"/>
    <x v="7"/>
  </r>
  <r>
    <x v="6"/>
    <s v="Laurent MONTAGNER"/>
    <x v="0"/>
    <x v="75"/>
    <x v="75"/>
    <n v="0.7"/>
    <s v="ADET"/>
    <n v="0"/>
    <n v="24"/>
    <n v="-3.5527136788005009E-14"/>
    <n v="-7.600000000000005"/>
    <n v="0"/>
    <n v="0"/>
    <n v="120"/>
    <x v="14"/>
    <n v="84"/>
    <x v="3"/>
  </r>
  <r>
    <x v="1"/>
    <s v="Stina Alm"/>
    <x v="0"/>
    <x v="75"/>
    <x v="75"/>
    <n v="0.7"/>
    <s v="ADET"/>
    <n v="0"/>
    <n v="24"/>
    <n v="-3.5527136788005009E-14"/>
    <n v="-7.600000000000005"/>
    <n v="0"/>
    <n v="0"/>
    <n v="120"/>
    <x v="14"/>
    <n v="84"/>
    <x v="3"/>
  </r>
  <r>
    <x v="1"/>
    <s v="Stina Alm"/>
    <x v="0"/>
    <x v="171"/>
    <x v="171"/>
    <n v="1"/>
    <s v="ADET"/>
    <n v="0"/>
    <n v="0"/>
    <n v="0"/>
    <n v="3"/>
    <n v="0"/>
    <n v="40950.03"/>
    <n v="13650.01"/>
    <x v="13"/>
    <n v="13650.01"/>
    <x v="7"/>
  </r>
  <r>
    <x v="1"/>
    <s v="Stina Alm"/>
    <x v="0"/>
    <x v="170"/>
    <x v="170"/>
    <n v="3"/>
    <s v="ADET"/>
    <n v="0"/>
    <n v="65"/>
    <n v="31"/>
    <n v="-31"/>
    <n v="0"/>
    <n v="0"/>
    <n v="45.5"/>
    <x v="57"/>
    <n v="136.5"/>
    <x v="7"/>
  </r>
  <r>
    <x v="0"/>
    <s v="Soner Kayıkçı"/>
    <x v="0"/>
    <x v="158"/>
    <x v="158"/>
    <n v="7"/>
    <s v="KG"/>
    <n v="0"/>
    <n v="0"/>
    <n v="297.61"/>
    <n v="97.560000000000016"/>
    <n v="0"/>
    <n v="13285.720800000003"/>
    <n v="136.18"/>
    <x v="54"/>
    <n v="953.26"/>
    <x v="3"/>
  </r>
  <r>
    <x v="14"/>
    <s v="Stefan Zaugg"/>
    <x v="0"/>
    <x v="112"/>
    <x v="112"/>
    <n v="2"/>
    <s v="ADET"/>
    <n v="0"/>
    <n v="222"/>
    <n v="90"/>
    <n v="-184"/>
    <n v="0"/>
    <n v="0"/>
    <n v="4"/>
    <x v="20"/>
    <n v="8"/>
    <x v="7"/>
  </r>
  <r>
    <x v="13"/>
    <s v="Matteo Giolo"/>
    <x v="0"/>
    <x v="112"/>
    <x v="112"/>
    <n v="2"/>
    <s v="ADET"/>
    <n v="0"/>
    <n v="222"/>
    <n v="90"/>
    <n v="-184"/>
    <n v="0"/>
    <n v="0"/>
    <n v="4"/>
    <x v="20"/>
    <n v="8"/>
    <x v="7"/>
  </r>
  <r>
    <x v="17"/>
    <s v="Murat Taşdemir"/>
    <x v="0"/>
    <x v="115"/>
    <x v="115"/>
    <n v="1"/>
    <s v="ADET"/>
    <n v="0"/>
    <n v="0"/>
    <n v="0"/>
    <n v="2"/>
    <n v="0"/>
    <n v="48928.1"/>
    <n v="24464.05"/>
    <x v="43"/>
    <n v="24464.05"/>
    <x v="6"/>
  </r>
  <r>
    <x v="16"/>
    <s v="Stefan Zaugg"/>
    <x v="0"/>
    <x v="113"/>
    <x v="113"/>
    <n v="7"/>
    <s v="ADET"/>
    <n v="0"/>
    <n v="1100"/>
    <n v="780"/>
    <n v="-832"/>
    <n v="0"/>
    <n v="0"/>
    <n v="0.32"/>
    <x v="14"/>
    <n v="2.2400000000000002"/>
    <x v="2"/>
  </r>
  <r>
    <x v="14"/>
    <s v="Stefan Zaugg"/>
    <x v="0"/>
    <x v="113"/>
    <x v="113"/>
    <n v="7"/>
    <s v="ADET"/>
    <n v="0"/>
    <n v="1100"/>
    <n v="780"/>
    <n v="-832"/>
    <n v="0"/>
    <n v="0"/>
    <n v="0.32"/>
    <x v="14"/>
    <n v="2.2400000000000002"/>
    <x v="2"/>
  </r>
  <r>
    <x v="14"/>
    <s v="Stefan Zaugg"/>
    <x v="0"/>
    <x v="114"/>
    <x v="114"/>
    <n v="4"/>
    <s v="ADET"/>
    <n v="4"/>
    <n v="230"/>
    <n v="72"/>
    <n v="-172"/>
    <n v="0"/>
    <n v="0"/>
    <n v="225"/>
    <x v="42"/>
    <n v="900"/>
    <x v="6"/>
  </r>
  <r>
    <x v="15"/>
    <s v="Jan Urbanek"/>
    <x v="0"/>
    <x v="191"/>
    <x v="191"/>
    <n v="1"/>
    <s v="ADET"/>
    <n v="0"/>
    <n v="87"/>
    <n v="50.899999999999949"/>
    <n v="-43.900000000000006"/>
    <n v="0"/>
    <n v="0"/>
    <n v="122.09"/>
    <x v="29"/>
    <n v="122.09"/>
    <x v="2"/>
  </r>
  <r>
    <x v="15"/>
    <s v="Jan Urbanek"/>
    <x v="0"/>
    <x v="112"/>
    <x v="112"/>
    <n v="2"/>
    <s v="ADET"/>
    <n v="0"/>
    <n v="222"/>
    <n v="90"/>
    <n v="-184"/>
    <n v="0"/>
    <n v="0"/>
    <n v="4"/>
    <x v="20"/>
    <n v="8"/>
    <x v="7"/>
  </r>
  <r>
    <x v="15"/>
    <s v="Jan Urbanek"/>
    <x v="0"/>
    <x v="113"/>
    <x v="113"/>
    <n v="7"/>
    <s v="ADET"/>
    <n v="0"/>
    <n v="1100"/>
    <n v="780"/>
    <n v="-832"/>
    <n v="0"/>
    <n v="0"/>
    <n v="0.32"/>
    <x v="14"/>
    <n v="2.2400000000000002"/>
    <x v="2"/>
  </r>
  <r>
    <x v="13"/>
    <s v="Matteo Giolo"/>
    <x v="0"/>
    <x v="113"/>
    <x v="113"/>
    <n v="32"/>
    <s v="ADET"/>
    <n v="0"/>
    <n v="1100"/>
    <n v="780"/>
    <n v="-832"/>
    <n v="0"/>
    <n v="0"/>
    <n v="0.32"/>
    <x v="14"/>
    <n v="10.24"/>
    <x v="2"/>
  </r>
  <r>
    <x v="15"/>
    <s v="Jan Urbanek"/>
    <x v="0"/>
    <x v="114"/>
    <x v="114"/>
    <n v="7"/>
    <s v="ADET"/>
    <n v="0"/>
    <n v="230"/>
    <n v="72"/>
    <n v="-172"/>
    <n v="0"/>
    <n v="0"/>
    <n v="225"/>
    <x v="42"/>
    <n v="1575"/>
    <x v="6"/>
  </r>
  <r>
    <x v="1"/>
    <s v="Stina Alm"/>
    <x v="0"/>
    <x v="114"/>
    <x v="114"/>
    <n v="5"/>
    <s v="ADET"/>
    <n v="0"/>
    <n v="230"/>
    <n v="72"/>
    <n v="-172"/>
    <n v="0"/>
    <n v="0"/>
    <n v="225"/>
    <x v="42"/>
    <n v="1125"/>
    <x v="6"/>
  </r>
  <r>
    <x v="5"/>
    <s v="Matteo Giolo"/>
    <x v="0"/>
    <x v="112"/>
    <x v="112"/>
    <n v="2"/>
    <s v="ADET"/>
    <n v="0"/>
    <n v="222"/>
    <n v="90"/>
    <n v="-184"/>
    <n v="0"/>
    <n v="0"/>
    <n v="4"/>
    <x v="20"/>
    <n v="8"/>
    <x v="7"/>
  </r>
  <r>
    <x v="7"/>
    <s v="Laurent MONTAGNER"/>
    <x v="0"/>
    <x v="112"/>
    <x v="112"/>
    <n v="2"/>
    <s v="ADET"/>
    <n v="0"/>
    <n v="222"/>
    <n v="90"/>
    <n v="-184"/>
    <n v="0"/>
    <n v="0"/>
    <n v="4"/>
    <x v="20"/>
    <n v="8"/>
    <x v="7"/>
  </r>
  <r>
    <x v="10"/>
    <s v="Jan Urbanek"/>
    <x v="0"/>
    <x v="112"/>
    <x v="112"/>
    <n v="2"/>
    <s v="ADET"/>
    <n v="0"/>
    <n v="222"/>
    <n v="90"/>
    <n v="-184"/>
    <n v="0"/>
    <n v="0"/>
    <n v="4"/>
    <x v="20"/>
    <n v="8"/>
    <x v="7"/>
  </r>
  <r>
    <x v="10"/>
    <s v="Jan Urbanek"/>
    <x v="0"/>
    <x v="113"/>
    <x v="113"/>
    <n v="7"/>
    <s v="ADET"/>
    <n v="0"/>
    <n v="1100"/>
    <n v="780"/>
    <n v="-832"/>
    <n v="0"/>
    <n v="0"/>
    <n v="0.32"/>
    <x v="14"/>
    <n v="2.2400000000000002"/>
    <x v="2"/>
  </r>
  <r>
    <x v="10"/>
    <s v="Jan Urbanek"/>
    <x v="0"/>
    <x v="114"/>
    <x v="114"/>
    <n v="7"/>
    <s v="ADET"/>
    <n v="0"/>
    <n v="230"/>
    <n v="72"/>
    <n v="-172"/>
    <n v="0"/>
    <n v="0"/>
    <n v="225"/>
    <x v="42"/>
    <n v="1575"/>
    <x v="6"/>
  </r>
  <r>
    <x v="17"/>
    <s v="Murat Taşdemir"/>
    <x v="0"/>
    <x v="112"/>
    <x v="112"/>
    <n v="2"/>
    <s v="ADET"/>
    <n v="0"/>
    <n v="222"/>
    <n v="90"/>
    <n v="-184"/>
    <n v="0"/>
    <n v="0"/>
    <n v="4"/>
    <x v="20"/>
    <n v="8"/>
    <x v="7"/>
  </r>
  <r>
    <x v="17"/>
    <s v="Murat Taşdemir"/>
    <x v="0"/>
    <x v="113"/>
    <x v="113"/>
    <n v="6"/>
    <s v="ADET"/>
    <n v="0"/>
    <n v="1100"/>
    <n v="780"/>
    <n v="-832"/>
    <n v="0"/>
    <n v="0"/>
    <n v="0.32"/>
    <x v="14"/>
    <n v="1.92"/>
    <x v="2"/>
  </r>
  <r>
    <x v="19"/>
    <s v="Volkan Batkan"/>
    <x v="0"/>
    <x v="112"/>
    <x v="112"/>
    <n v="2"/>
    <s v="ADET"/>
    <n v="0"/>
    <n v="222"/>
    <n v="90"/>
    <n v="-184"/>
    <n v="0"/>
    <n v="0"/>
    <n v="4"/>
    <x v="20"/>
    <n v="8"/>
    <x v="7"/>
  </r>
  <r>
    <x v="19"/>
    <s v="Volkan Batkan"/>
    <x v="0"/>
    <x v="113"/>
    <x v="113"/>
    <n v="7"/>
    <s v="ADET"/>
    <n v="0"/>
    <n v="1100"/>
    <n v="780"/>
    <n v="-832"/>
    <n v="0"/>
    <n v="0"/>
    <n v="0.32"/>
    <x v="14"/>
    <n v="2.2400000000000002"/>
    <x v="2"/>
  </r>
  <r>
    <x v="10"/>
    <s v="Jan Urbanek"/>
    <x v="0"/>
    <x v="191"/>
    <x v="191"/>
    <n v="1"/>
    <s v="ADET"/>
    <n v="0"/>
    <n v="87"/>
    <n v="50.899999999999949"/>
    <n v="-43.900000000000006"/>
    <n v="0"/>
    <n v="0"/>
    <n v="122.09"/>
    <x v="29"/>
    <n v="122.09"/>
    <x v="2"/>
  </r>
  <r>
    <x v="9"/>
    <s v="Jan Urbanek"/>
    <x v="0"/>
    <x v="192"/>
    <x v="192"/>
    <n v="2.7"/>
    <s v="ADET"/>
    <n v="0"/>
    <n v="14"/>
    <n v="6.8000000000000025"/>
    <n v="7.7000000000000028"/>
    <n v="12"/>
    <n v="2532.1450000000009"/>
    <n v="328.85"/>
    <x v="62"/>
    <n v="887.8950000000001"/>
    <x v="3"/>
  </r>
  <r>
    <x v="8"/>
    <s v="Jan Urbanek"/>
    <x v="0"/>
    <x v="192"/>
    <x v="192"/>
    <n v="1.5"/>
    <s v="ADET"/>
    <n v="0"/>
    <n v="14"/>
    <n v="6.8000000000000025"/>
    <n v="7.7000000000000028"/>
    <n v="12"/>
    <n v="2532.1450000000009"/>
    <n v="328.85"/>
    <x v="62"/>
    <n v="493.27500000000003"/>
    <x v="3"/>
  </r>
  <r>
    <x v="10"/>
    <s v="Jan Urbanek"/>
    <x v="0"/>
    <x v="193"/>
    <x v="193"/>
    <n v="1"/>
    <s v="ADET"/>
    <n v="0"/>
    <n v="0"/>
    <n v="4"/>
    <n v="0"/>
    <n v="20"/>
    <n v="0"/>
    <n v="28000"/>
    <x v="44"/>
    <n v="28000"/>
    <x v="7"/>
  </r>
  <r>
    <x v="10"/>
    <s v="Jan Urbanek"/>
    <x v="0"/>
    <x v="194"/>
    <x v="194"/>
    <n v="4.0999999999999996"/>
    <s v="METRE"/>
    <n v="0"/>
    <n v="100"/>
    <n v="2.0000000000000568"/>
    <n v="-6.4000000000000057"/>
    <n v="0"/>
    <n v="0"/>
    <n v="111"/>
    <x v="15"/>
    <n v="455.09999999999997"/>
    <x v="7"/>
  </r>
  <r>
    <x v="0"/>
    <s v="Soner Kayıkçı"/>
    <x v="0"/>
    <x v="175"/>
    <x v="175"/>
    <n v="2"/>
    <s v="ADET"/>
    <n v="0"/>
    <n v="20"/>
    <n v="20"/>
    <n v="-6"/>
    <n v="10"/>
    <n v="0"/>
    <n v="400"/>
    <x v="35"/>
    <n v="800"/>
    <x v="7"/>
  </r>
  <r>
    <x v="6"/>
    <s v="Laurent MONTAGNER"/>
    <x v="0"/>
    <x v="195"/>
    <x v="195"/>
    <n v="50"/>
    <s v="METRE"/>
    <n v="50"/>
    <n v="0"/>
    <n v="2254.0000000000009"/>
    <n v="300"/>
    <n v="0"/>
    <n v="3110.9999999999995"/>
    <n v="10.37"/>
    <x v="63"/>
    <n v="518.5"/>
    <x v="8"/>
  </r>
  <r>
    <x v="1"/>
    <s v="Stina Alm"/>
    <x v="0"/>
    <x v="195"/>
    <x v="195"/>
    <n v="50"/>
    <s v="METRE"/>
    <n v="0"/>
    <n v="0"/>
    <n v="2254.0000000000009"/>
    <n v="300"/>
    <n v="0"/>
    <n v="3110.9999999999995"/>
    <n v="10.37"/>
    <x v="63"/>
    <n v="518.5"/>
    <x v="8"/>
  </r>
  <r>
    <x v="6"/>
    <s v="Laurent MONTAGNER"/>
    <x v="0"/>
    <x v="172"/>
    <x v="172"/>
    <n v="10.62"/>
    <s v="KG"/>
    <n v="10.62"/>
    <n v="0"/>
    <n v="260.61"/>
    <n v="97.559999999999988"/>
    <n v="0"/>
    <n v="13285.720799999999"/>
    <n v="136.18"/>
    <x v="54"/>
    <n v="1446.2316000000001"/>
    <x v="3"/>
  </r>
  <r>
    <x v="1"/>
    <s v="Stina Alm"/>
    <x v="0"/>
    <x v="172"/>
    <x v="172"/>
    <n v="8.89"/>
    <s v="KG"/>
    <n v="0"/>
    <n v="0"/>
    <n v="260.61"/>
    <n v="97.559999999999988"/>
    <n v="0"/>
    <n v="13285.720799999999"/>
    <n v="136.18"/>
    <x v="54"/>
    <n v="1210.6402"/>
    <x v="3"/>
  </r>
  <r>
    <x v="19"/>
    <s v="Volkan Batkan"/>
    <x v="0"/>
    <x v="123"/>
    <x v="123"/>
    <n v="6"/>
    <s v="ADET"/>
    <n v="0"/>
    <n v="2600"/>
    <n v="292"/>
    <n v="-2145"/>
    <n v="0"/>
    <n v="0"/>
    <n v="0.4"/>
    <x v="14"/>
    <n v="2.4000000000000004"/>
    <x v="2"/>
  </r>
  <r>
    <x v="17"/>
    <s v="Murat Taşdemir"/>
    <x v="0"/>
    <x v="124"/>
    <x v="124"/>
    <n v="4"/>
    <s v="ADET"/>
    <n v="0"/>
    <n v="0"/>
    <n v="250"/>
    <n v="32"/>
    <n v="0"/>
    <n v="183.68"/>
    <n v="5.74"/>
    <x v="8"/>
    <n v="22.96"/>
    <x v="2"/>
  </r>
  <r>
    <x v="19"/>
    <s v="Volkan Batkan"/>
    <x v="0"/>
    <x v="128"/>
    <x v="128"/>
    <n v="2"/>
    <s v="ADET"/>
    <n v="0"/>
    <n v="233"/>
    <n v="0"/>
    <n v="-225"/>
    <n v="0"/>
    <n v="0"/>
    <n v="7"/>
    <x v="2"/>
    <n v="14"/>
    <x v="2"/>
  </r>
  <r>
    <x v="19"/>
    <s v="Volkan Batkan"/>
    <x v="0"/>
    <x v="196"/>
    <x v="196"/>
    <n v="4"/>
    <s v="ADET"/>
    <n v="0"/>
    <n v="100"/>
    <n v="138"/>
    <n v="-84"/>
    <n v="0"/>
    <n v="0"/>
    <n v="8"/>
    <x v="8"/>
    <n v="32"/>
    <x v="4"/>
  </r>
  <r>
    <x v="19"/>
    <s v="Volkan Batkan"/>
    <x v="0"/>
    <x v="197"/>
    <x v="197"/>
    <n v="7.5"/>
    <s v="METRE"/>
    <n v="0"/>
    <n v="100"/>
    <n v="139.99999999999989"/>
    <n v="41.300000000000011"/>
    <n v="0"/>
    <n v="929.25000000000023"/>
    <n v="22.5"/>
    <x v="27"/>
    <n v="168.75"/>
    <x v="4"/>
  </r>
  <r>
    <x v="3"/>
    <s v="Stina Alm"/>
    <x v="0"/>
    <x v="124"/>
    <x v="124"/>
    <n v="4"/>
    <s v="ADET"/>
    <n v="0"/>
    <n v="0"/>
    <n v="250"/>
    <n v="32"/>
    <n v="0"/>
    <n v="183.68"/>
    <n v="5.74"/>
    <x v="8"/>
    <n v="22.96"/>
    <x v="2"/>
  </r>
  <r>
    <x v="5"/>
    <s v="Matteo Giolo"/>
    <x v="0"/>
    <x v="124"/>
    <x v="124"/>
    <n v="4"/>
    <s v="ADET"/>
    <n v="0"/>
    <n v="0"/>
    <n v="250"/>
    <n v="32"/>
    <n v="0"/>
    <n v="183.68"/>
    <n v="5.74"/>
    <x v="8"/>
    <n v="22.96"/>
    <x v="2"/>
  </r>
  <r>
    <x v="10"/>
    <s v="Jan Urbanek"/>
    <x v="0"/>
    <x v="123"/>
    <x v="123"/>
    <n v="6"/>
    <s v="ADET"/>
    <n v="0"/>
    <n v="2600"/>
    <n v="292"/>
    <n v="-2145"/>
    <n v="0"/>
    <n v="0"/>
    <n v="0.4"/>
    <x v="14"/>
    <n v="2.4000000000000004"/>
    <x v="2"/>
  </r>
  <r>
    <x v="17"/>
    <s v="Murat Taşdemir"/>
    <x v="0"/>
    <x v="126"/>
    <x v="126"/>
    <n v="1"/>
    <s v="ADET"/>
    <n v="0"/>
    <n v="0"/>
    <n v="1"/>
    <n v="0"/>
    <n v="1"/>
    <n v="0"/>
    <n v="12601.06"/>
    <x v="47"/>
    <n v="12601.06"/>
    <x v="7"/>
  </r>
  <r>
    <x v="16"/>
    <s v="Stefan Zaugg"/>
    <x v="0"/>
    <x v="127"/>
    <x v="127"/>
    <n v="2.7"/>
    <s v="METRE"/>
    <n v="0"/>
    <n v="50"/>
    <n v="-1.4210854715202004E-14"/>
    <n v="-15.200000000000003"/>
    <n v="0"/>
    <n v="0"/>
    <n v="11"/>
    <x v="2"/>
    <n v="29.700000000000003"/>
    <x v="2"/>
  </r>
  <r>
    <x v="17"/>
    <s v="Murat Taşdemir"/>
    <x v="0"/>
    <x v="127"/>
    <x v="127"/>
    <n v="2.7"/>
    <s v="METRE"/>
    <n v="0"/>
    <n v="50"/>
    <n v="-1.4210854715202004E-14"/>
    <n v="-15.200000000000003"/>
    <n v="0"/>
    <n v="0"/>
    <n v="11"/>
    <x v="2"/>
    <n v="29.700000000000003"/>
    <x v="2"/>
  </r>
  <r>
    <x v="17"/>
    <s v="Murat Taşdemir"/>
    <x v="0"/>
    <x v="123"/>
    <x v="123"/>
    <n v="31"/>
    <s v="ADET"/>
    <n v="0"/>
    <n v="2600"/>
    <n v="292"/>
    <n v="-2145"/>
    <n v="0"/>
    <n v="0"/>
    <n v="0.4"/>
    <x v="14"/>
    <n v="12.4"/>
    <x v="2"/>
  </r>
  <r>
    <x v="0"/>
    <s v="Soner Kayıkçı"/>
    <x v="0"/>
    <x v="123"/>
    <x v="123"/>
    <n v="6"/>
    <s v="ADET"/>
    <n v="0"/>
    <n v="2600"/>
    <n v="292"/>
    <n v="-2145"/>
    <n v="0"/>
    <n v="0"/>
    <n v="0.4"/>
    <x v="14"/>
    <n v="2.4000000000000004"/>
    <x v="2"/>
  </r>
  <r>
    <x v="6"/>
    <s v="Laurent MONTAGNER"/>
    <x v="0"/>
    <x v="124"/>
    <x v="124"/>
    <n v="4"/>
    <s v="ADET"/>
    <n v="0"/>
    <n v="0"/>
    <n v="250"/>
    <n v="32"/>
    <n v="0"/>
    <n v="183.68"/>
    <n v="5.74"/>
    <x v="8"/>
    <n v="22.96"/>
    <x v="2"/>
  </r>
  <r>
    <x v="0"/>
    <s v="Soner Kayıkçı"/>
    <x v="0"/>
    <x v="128"/>
    <x v="128"/>
    <n v="2"/>
    <s v="ADET"/>
    <n v="0"/>
    <n v="233"/>
    <n v="0"/>
    <n v="-225"/>
    <n v="0"/>
    <n v="0"/>
    <n v="7"/>
    <x v="2"/>
    <n v="14"/>
    <x v="2"/>
  </r>
  <r>
    <x v="8"/>
    <s v="Jan Urbanek"/>
    <x v="0"/>
    <x v="127"/>
    <x v="127"/>
    <n v="2.7"/>
    <s v="METRE"/>
    <n v="0"/>
    <n v="50"/>
    <n v="-1.4210854715202004E-14"/>
    <n v="-15.200000000000003"/>
    <n v="0"/>
    <n v="0"/>
    <n v="11"/>
    <x v="2"/>
    <n v="29.700000000000003"/>
    <x v="2"/>
  </r>
  <r>
    <x v="9"/>
    <s v="Jan Urbanek"/>
    <x v="0"/>
    <x v="127"/>
    <x v="127"/>
    <n v="2.7"/>
    <s v="METRE"/>
    <n v="0"/>
    <n v="50"/>
    <n v="-1.4210854715202004E-14"/>
    <n v="-15.200000000000003"/>
    <n v="0"/>
    <n v="0"/>
    <n v="11"/>
    <x v="2"/>
    <n v="29.700000000000003"/>
    <x v="2"/>
  </r>
  <r>
    <x v="9"/>
    <s v="Jan Urbanek"/>
    <x v="0"/>
    <x v="125"/>
    <x v="125"/>
    <n v="1"/>
    <s v="ADET"/>
    <n v="0"/>
    <n v="11"/>
    <n v="8"/>
    <n v="0"/>
    <n v="0"/>
    <n v="0"/>
    <n v="1145.83"/>
    <x v="37"/>
    <n v="1145.83"/>
    <x v="6"/>
  </r>
  <r>
    <x v="15"/>
    <s v="Jan Urbanek"/>
    <x v="0"/>
    <x v="127"/>
    <x v="127"/>
    <n v="2.7"/>
    <s v="METRE"/>
    <n v="0"/>
    <n v="50"/>
    <n v="-1.4210854715202004E-14"/>
    <n v="-15.200000000000003"/>
    <n v="0"/>
    <n v="0"/>
    <n v="11"/>
    <x v="2"/>
    <n v="29.700000000000003"/>
    <x v="2"/>
  </r>
  <r>
    <x v="14"/>
    <s v="Stefan Zaugg"/>
    <x v="0"/>
    <x v="127"/>
    <x v="127"/>
    <n v="2.7"/>
    <s v="METRE"/>
    <n v="0"/>
    <n v="50"/>
    <n v="-1.4210854715202004E-14"/>
    <n v="-15.200000000000003"/>
    <n v="0"/>
    <n v="0"/>
    <n v="11"/>
    <x v="2"/>
    <n v="29.700000000000003"/>
    <x v="2"/>
  </r>
  <r>
    <x v="16"/>
    <s v="Stefan Zaugg"/>
    <x v="0"/>
    <x v="123"/>
    <x v="123"/>
    <n v="17"/>
    <s v="ADET"/>
    <n v="0"/>
    <n v="2600"/>
    <n v="292"/>
    <n v="-2145"/>
    <n v="0"/>
    <n v="0"/>
    <n v="0.4"/>
    <x v="14"/>
    <n v="6.8000000000000007"/>
    <x v="2"/>
  </r>
  <r>
    <x v="14"/>
    <s v="Stefan Zaugg"/>
    <x v="0"/>
    <x v="123"/>
    <x v="123"/>
    <n v="12"/>
    <s v="ADET"/>
    <n v="0"/>
    <n v="2600"/>
    <n v="292"/>
    <n v="-2145"/>
    <n v="0"/>
    <n v="0"/>
    <n v="0.4"/>
    <x v="14"/>
    <n v="4.8000000000000007"/>
    <x v="2"/>
  </r>
  <r>
    <x v="15"/>
    <s v="Jan Urbanek"/>
    <x v="0"/>
    <x v="125"/>
    <x v="125"/>
    <n v="1"/>
    <s v="ADET"/>
    <n v="0"/>
    <n v="11"/>
    <n v="8"/>
    <n v="0"/>
    <n v="0"/>
    <n v="0"/>
    <n v="1145.83"/>
    <x v="37"/>
    <n v="1145.83"/>
    <x v="6"/>
  </r>
  <r>
    <x v="8"/>
    <s v="Jan Urbanek"/>
    <x v="0"/>
    <x v="149"/>
    <x v="149"/>
    <n v="3"/>
    <s v="ADET"/>
    <n v="0"/>
    <n v="67"/>
    <n v="24"/>
    <n v="-38"/>
    <n v="0"/>
    <n v="0"/>
    <n v="640"/>
    <x v="20"/>
    <n v="1920"/>
    <x v="7"/>
  </r>
  <r>
    <x v="10"/>
    <s v="Jan Urbanek"/>
    <x v="0"/>
    <x v="148"/>
    <x v="148"/>
    <n v="2"/>
    <s v="ADET"/>
    <n v="0"/>
    <n v="238"/>
    <n v="90"/>
    <n v="-200"/>
    <n v="0"/>
    <n v="0"/>
    <n v="4"/>
    <x v="20"/>
    <n v="8"/>
    <x v="7"/>
  </r>
  <r>
    <x v="10"/>
    <s v="Jan Urbanek"/>
    <x v="0"/>
    <x v="150"/>
    <x v="150"/>
    <n v="1"/>
    <s v="ADET"/>
    <n v="0"/>
    <n v="9"/>
    <n v="13"/>
    <n v="-1"/>
    <n v="4"/>
    <n v="0"/>
    <n v="1600"/>
    <x v="35"/>
    <n v="1600"/>
    <x v="7"/>
  </r>
  <r>
    <x v="8"/>
    <s v="Jan Urbanek"/>
    <x v="0"/>
    <x v="150"/>
    <x v="150"/>
    <n v="1"/>
    <s v="ADET"/>
    <n v="0"/>
    <n v="9"/>
    <n v="13"/>
    <n v="-1"/>
    <n v="4"/>
    <n v="0"/>
    <n v="1600"/>
    <x v="35"/>
    <n v="1600"/>
    <x v="7"/>
  </r>
  <r>
    <x v="9"/>
    <s v="Jan Urbanek"/>
    <x v="0"/>
    <x v="183"/>
    <x v="183"/>
    <n v="1"/>
    <s v="ADET"/>
    <n v="0"/>
    <n v="17"/>
    <n v="11"/>
    <n v="-5"/>
    <n v="0"/>
    <n v="0"/>
    <n v="1094.4000000000001"/>
    <x v="15"/>
    <n v="1094.4000000000001"/>
    <x v="7"/>
  </r>
  <r>
    <x v="8"/>
    <s v="Jan Urbanek"/>
    <x v="0"/>
    <x v="183"/>
    <x v="183"/>
    <n v="1"/>
    <s v="ADET"/>
    <n v="0"/>
    <n v="17"/>
    <n v="11"/>
    <n v="-5"/>
    <n v="0"/>
    <n v="0"/>
    <n v="1094.4000000000001"/>
    <x v="15"/>
    <n v="1094.4000000000001"/>
    <x v="7"/>
  </r>
  <r>
    <x v="10"/>
    <s v="Jan Urbanek"/>
    <x v="0"/>
    <x v="151"/>
    <x v="151"/>
    <n v="0.1"/>
    <s v="METRE"/>
    <n v="0"/>
    <n v="50"/>
    <n v="2.8310687127941492E-15"/>
    <n v="-47.8"/>
    <n v="0"/>
    <n v="0"/>
    <n v="25.41"/>
    <x v="15"/>
    <n v="2.5410000000000004"/>
    <x v="7"/>
  </r>
  <r>
    <x v="9"/>
    <s v="Jan Urbanek"/>
    <x v="0"/>
    <x v="184"/>
    <x v="184"/>
    <n v="3"/>
    <s v="ADET"/>
    <n v="0"/>
    <n v="38"/>
    <n v="25"/>
    <n v="-2"/>
    <n v="20"/>
    <n v="0"/>
    <n v="245"/>
    <x v="10"/>
    <n v="735"/>
    <x v="4"/>
  </r>
  <r>
    <x v="8"/>
    <s v="Jan Urbanek"/>
    <x v="0"/>
    <x v="184"/>
    <x v="184"/>
    <n v="3"/>
    <s v="ADET"/>
    <n v="0"/>
    <n v="38"/>
    <n v="25"/>
    <n v="-2"/>
    <n v="20"/>
    <n v="0"/>
    <n v="245"/>
    <x v="10"/>
    <n v="735"/>
    <x v="4"/>
  </r>
  <r>
    <x v="11"/>
    <s v="Jan Urbanek"/>
    <x v="0"/>
    <x v="152"/>
    <x v="152"/>
    <n v="6"/>
    <s v="ADET"/>
    <n v="0"/>
    <n v="0"/>
    <n v="0"/>
    <n v="54"/>
    <n v="0"/>
    <n v="67.5"/>
    <n v="1.25"/>
    <x v="20"/>
    <n v="7.5"/>
    <x v="7"/>
  </r>
  <r>
    <x v="0"/>
    <s v="Soner Kayıkçı"/>
    <x v="0"/>
    <x v="149"/>
    <x v="149"/>
    <n v="2"/>
    <s v="ADET"/>
    <n v="0"/>
    <n v="67"/>
    <n v="24"/>
    <n v="-38"/>
    <n v="0"/>
    <n v="0"/>
    <n v="640"/>
    <x v="20"/>
    <n v="1280"/>
    <x v="7"/>
  </r>
  <r>
    <x v="2"/>
    <s v="Laurent MONTAGNER"/>
    <x v="0"/>
    <x v="198"/>
    <x v="198"/>
    <n v="3"/>
    <s v="METRE"/>
    <n v="0"/>
    <n v="118"/>
    <n v="21"/>
    <n v="-115"/>
    <n v="0"/>
    <n v="0"/>
    <n v="14.33"/>
    <x v="15"/>
    <n v="42.99"/>
    <x v="7"/>
  </r>
  <r>
    <x v="0"/>
    <s v="Soner Kayıkçı"/>
    <x v="0"/>
    <x v="183"/>
    <x v="183"/>
    <n v="1"/>
    <s v="ADET"/>
    <n v="0"/>
    <n v="17"/>
    <n v="11"/>
    <n v="-5"/>
    <n v="0"/>
    <n v="0"/>
    <n v="1094.4000000000001"/>
    <x v="15"/>
    <n v="1094.4000000000001"/>
    <x v="7"/>
  </r>
  <r>
    <x v="2"/>
    <s v="Laurent MONTAGNER"/>
    <x v="0"/>
    <x v="183"/>
    <x v="183"/>
    <n v="1"/>
    <s v="ADET"/>
    <n v="0"/>
    <n v="17"/>
    <n v="11"/>
    <n v="-5"/>
    <n v="0"/>
    <n v="0"/>
    <n v="1094.4000000000001"/>
    <x v="15"/>
    <n v="1094.4000000000001"/>
    <x v="7"/>
  </r>
  <r>
    <x v="2"/>
    <s v="Laurent MONTAGNER"/>
    <x v="0"/>
    <x v="151"/>
    <x v="151"/>
    <n v="0.2"/>
    <s v="METRE"/>
    <n v="0"/>
    <n v="50"/>
    <n v="2.8310687127941492E-15"/>
    <n v="-47.8"/>
    <n v="0"/>
    <n v="0"/>
    <n v="25.41"/>
    <x v="15"/>
    <n v="5.0820000000000007"/>
    <x v="7"/>
  </r>
  <r>
    <x v="0"/>
    <s v="Soner Kayıkçı"/>
    <x v="0"/>
    <x v="184"/>
    <x v="184"/>
    <n v="3"/>
    <s v="ADET"/>
    <n v="0"/>
    <n v="38"/>
    <n v="25"/>
    <n v="-2"/>
    <n v="20"/>
    <n v="0"/>
    <n v="245"/>
    <x v="10"/>
    <n v="735"/>
    <x v="4"/>
  </r>
  <r>
    <x v="2"/>
    <s v="Laurent MONTAGNER"/>
    <x v="0"/>
    <x v="184"/>
    <x v="184"/>
    <n v="3"/>
    <s v="ADET"/>
    <n v="0"/>
    <n v="38"/>
    <n v="25"/>
    <n v="-2"/>
    <n v="20"/>
    <n v="0"/>
    <n v="245"/>
    <x v="10"/>
    <n v="735"/>
    <x v="4"/>
  </r>
  <r>
    <x v="1"/>
    <s v="Stina Alm"/>
    <x v="0"/>
    <x v="148"/>
    <x v="148"/>
    <n v="2"/>
    <s v="ADET"/>
    <n v="0"/>
    <n v="238"/>
    <n v="90"/>
    <n v="-200"/>
    <n v="0"/>
    <n v="0"/>
    <n v="4"/>
    <x v="20"/>
    <n v="8"/>
    <x v="7"/>
  </r>
  <r>
    <x v="6"/>
    <s v="Laurent MONTAGNER"/>
    <x v="0"/>
    <x v="151"/>
    <x v="151"/>
    <n v="0.1"/>
    <s v="METRE"/>
    <n v="0"/>
    <n v="50"/>
    <n v="2.8310687127941492E-15"/>
    <n v="-47.8"/>
    <n v="0"/>
    <n v="0"/>
    <n v="25.41"/>
    <x v="15"/>
    <n v="2.5410000000000004"/>
    <x v="7"/>
  </r>
  <r>
    <x v="1"/>
    <s v="Stina Alm"/>
    <x v="0"/>
    <x v="199"/>
    <x v="199"/>
    <n v="2"/>
    <s v="ADET"/>
    <n v="0"/>
    <n v="30"/>
    <n v="0"/>
    <n v="-10"/>
    <n v="0"/>
    <n v="0"/>
    <n v="60"/>
    <x v="2"/>
    <n v="120"/>
    <x v="2"/>
  </r>
  <r>
    <x v="10"/>
    <s v="Jan Urbanek"/>
    <x v="0"/>
    <x v="152"/>
    <x v="152"/>
    <n v="6"/>
    <s v="ADET"/>
    <n v="0"/>
    <n v="0"/>
    <n v="0"/>
    <n v="54"/>
    <n v="0"/>
    <n v="67.5"/>
    <n v="1.25"/>
    <x v="20"/>
    <n v="7.5"/>
    <x v="7"/>
  </r>
  <r>
    <x v="2"/>
    <s v="Laurent MONTAGNER"/>
    <x v="0"/>
    <x v="149"/>
    <x v="149"/>
    <n v="3"/>
    <s v="ADET"/>
    <n v="0"/>
    <n v="67"/>
    <n v="24"/>
    <n v="-38"/>
    <n v="0"/>
    <n v="0"/>
    <n v="640"/>
    <x v="20"/>
    <n v="1920"/>
    <x v="7"/>
  </r>
  <r>
    <x v="6"/>
    <s v="Laurent MONTAGNER"/>
    <x v="0"/>
    <x v="184"/>
    <x v="184"/>
    <n v="3"/>
    <s v="ADET"/>
    <n v="0"/>
    <n v="38"/>
    <n v="25"/>
    <n v="-2"/>
    <n v="20"/>
    <n v="0"/>
    <n v="245"/>
    <x v="10"/>
    <n v="735"/>
    <x v="4"/>
  </r>
  <r>
    <x v="6"/>
    <s v="Laurent MONTAGNER"/>
    <x v="0"/>
    <x v="200"/>
    <x v="200"/>
    <n v="1"/>
    <s v="ADET"/>
    <n v="0"/>
    <n v="114"/>
    <n v="0"/>
    <n v="-109"/>
    <n v="0"/>
    <n v="0"/>
    <n v="10"/>
    <x v="5"/>
    <n v="10"/>
    <x v="4"/>
  </r>
  <r>
    <x v="6"/>
    <s v="Laurent MONTAGNER"/>
    <x v="0"/>
    <x v="199"/>
    <x v="199"/>
    <n v="2"/>
    <s v="ADET"/>
    <n v="0"/>
    <n v="30"/>
    <n v="0"/>
    <n v="-10"/>
    <n v="0"/>
    <n v="0"/>
    <n v="60"/>
    <x v="2"/>
    <n v="120"/>
    <x v="2"/>
  </r>
  <r>
    <x v="0"/>
    <s v="Soner Kayıkçı"/>
    <x v="0"/>
    <x v="201"/>
    <x v="201"/>
    <n v="1"/>
    <s v="ADET"/>
    <n v="0"/>
    <n v="4"/>
    <n v="3"/>
    <n v="-3"/>
    <n v="0"/>
    <n v="0"/>
    <n v="200"/>
    <x v="39"/>
    <n v="200"/>
    <x v="4"/>
  </r>
  <r>
    <x v="17"/>
    <s v="Murat Taşdemir"/>
    <x v="0"/>
    <x v="151"/>
    <x v="151"/>
    <n v="0.2"/>
    <s v="METRE"/>
    <n v="0"/>
    <n v="50"/>
    <n v="2.8310687127941492E-15"/>
    <n v="-47.8"/>
    <n v="0"/>
    <n v="0"/>
    <n v="25.41"/>
    <x v="15"/>
    <n v="5.0820000000000007"/>
    <x v="7"/>
  </r>
  <r>
    <x v="16"/>
    <s v="Stefan Zaugg"/>
    <x v="0"/>
    <x v="125"/>
    <x v="125"/>
    <n v="1"/>
    <s v="ADET"/>
    <n v="1"/>
    <n v="11"/>
    <n v="8"/>
    <n v="0"/>
    <n v="0"/>
    <n v="0"/>
    <n v="1145.83"/>
    <x v="37"/>
    <n v="1145.83"/>
    <x v="6"/>
  </r>
  <r>
    <x v="13"/>
    <s v="Matteo Giolo"/>
    <x v="0"/>
    <x v="125"/>
    <x v="125"/>
    <n v="1"/>
    <s v="ADET"/>
    <n v="0"/>
    <n v="11"/>
    <n v="8"/>
    <n v="0"/>
    <n v="0"/>
    <n v="0"/>
    <n v="1145.83"/>
    <x v="37"/>
    <n v="1145.83"/>
    <x v="6"/>
  </r>
  <r>
    <x v="16"/>
    <s v="Stefan Zaugg"/>
    <x v="0"/>
    <x v="197"/>
    <x v="197"/>
    <n v="7.5"/>
    <s v="METRE"/>
    <n v="0"/>
    <n v="100"/>
    <n v="139.99999999999989"/>
    <n v="41.300000000000011"/>
    <n v="0"/>
    <n v="929.25000000000023"/>
    <n v="22.5"/>
    <x v="27"/>
    <n v="168.75"/>
    <x v="4"/>
  </r>
  <r>
    <x v="14"/>
    <s v="Stefan Zaugg"/>
    <x v="0"/>
    <x v="197"/>
    <x v="197"/>
    <n v="7.5"/>
    <s v="METRE"/>
    <n v="0"/>
    <n v="100"/>
    <n v="139.99999999999989"/>
    <n v="41.300000000000011"/>
    <n v="0"/>
    <n v="929.25000000000023"/>
    <n v="22.5"/>
    <x v="27"/>
    <n v="168.75"/>
    <x v="4"/>
  </r>
  <r>
    <x v="11"/>
    <s v="Jan Urbanek"/>
    <x v="0"/>
    <x v="196"/>
    <x v="196"/>
    <n v="4"/>
    <s v="ADET"/>
    <n v="0"/>
    <n v="100"/>
    <n v="138"/>
    <n v="-84"/>
    <n v="0"/>
    <n v="0"/>
    <n v="8"/>
    <x v="8"/>
    <n v="32"/>
    <x v="4"/>
  </r>
  <r>
    <x v="6"/>
    <s v="Laurent MONTAGNER"/>
    <x v="0"/>
    <x v="173"/>
    <x v="173"/>
    <n v="0.5"/>
    <s v="METRE"/>
    <n v="0"/>
    <n v="0"/>
    <n v="36.5"/>
    <n v="9"/>
    <n v="0"/>
    <n v="250.29"/>
    <n v="27.81"/>
    <x v="58"/>
    <n v="13.904999999999999"/>
    <x v="5"/>
  </r>
  <r>
    <x v="1"/>
    <s v="Stina Alm"/>
    <x v="0"/>
    <x v="173"/>
    <x v="173"/>
    <n v="0.5"/>
    <s v="METRE"/>
    <n v="0"/>
    <n v="0"/>
    <n v="36.5"/>
    <n v="9"/>
    <n v="0"/>
    <n v="250.29"/>
    <n v="27.81"/>
    <x v="58"/>
    <n v="13.904999999999999"/>
    <x v="5"/>
  </r>
  <r>
    <x v="0"/>
    <s v="Soner Kayıkçı"/>
    <x v="0"/>
    <x v="174"/>
    <x v="174"/>
    <n v="6"/>
    <s v="ADET"/>
    <n v="0"/>
    <n v="65"/>
    <n v="54"/>
    <n v="2"/>
    <n v="40"/>
    <n v="148"/>
    <n v="74"/>
    <x v="10"/>
    <n v="444"/>
    <x v="4"/>
  </r>
  <r>
    <x v="1"/>
    <s v="Stina Alm"/>
    <x v="0"/>
    <x v="174"/>
    <x v="174"/>
    <n v="5"/>
    <s v="ADET"/>
    <n v="0"/>
    <n v="65"/>
    <n v="54"/>
    <n v="2"/>
    <n v="40"/>
    <n v="148"/>
    <n v="74"/>
    <x v="10"/>
    <n v="370"/>
    <x v="4"/>
  </r>
  <r>
    <x v="0"/>
    <s v="Soner Kayıkçı"/>
    <x v="0"/>
    <x v="75"/>
    <x v="75"/>
    <n v="1"/>
    <s v="ADET"/>
    <n v="0"/>
    <n v="24"/>
    <n v="-3.5527136788005009E-14"/>
    <n v="-7.600000000000005"/>
    <n v="0"/>
    <n v="0"/>
    <n v="120"/>
    <x v="14"/>
    <n v="120"/>
    <x v="3"/>
  </r>
  <r>
    <x v="2"/>
    <s v="Laurent MONTAGNER"/>
    <x v="0"/>
    <x v="75"/>
    <x v="75"/>
    <n v="0.7"/>
    <s v="ADET"/>
    <n v="0"/>
    <n v="24"/>
    <n v="-3.5527136788005009E-14"/>
    <n v="-7.600000000000005"/>
    <n v="0"/>
    <n v="0"/>
    <n v="120"/>
    <x v="14"/>
    <n v="84"/>
    <x v="3"/>
  </r>
  <r>
    <x v="2"/>
    <s v="Laurent MONTAGNER"/>
    <x v="0"/>
    <x v="174"/>
    <x v="174"/>
    <n v="6"/>
    <s v="ADET"/>
    <n v="0"/>
    <n v="65"/>
    <n v="54"/>
    <n v="2"/>
    <n v="40"/>
    <n v="148"/>
    <n v="74"/>
    <x v="10"/>
    <n v="444"/>
    <x v="4"/>
  </r>
  <r>
    <x v="2"/>
    <s v="Laurent MONTAGNER"/>
    <x v="0"/>
    <x v="177"/>
    <x v="177"/>
    <n v="1"/>
    <s v="ADET"/>
    <n v="0"/>
    <n v="15"/>
    <n v="9"/>
    <n v="-3"/>
    <n v="0"/>
    <n v="0"/>
    <n v="224.46"/>
    <x v="15"/>
    <n v="224.46"/>
    <x v="7"/>
  </r>
  <r>
    <x v="11"/>
    <s v="Jan Urbanek"/>
    <x v="0"/>
    <x v="177"/>
    <x v="177"/>
    <n v="1"/>
    <s v="ADET"/>
    <n v="0"/>
    <n v="15"/>
    <n v="9"/>
    <n v="-3"/>
    <n v="0"/>
    <n v="0"/>
    <n v="224.46"/>
    <x v="15"/>
    <n v="224.46"/>
    <x v="7"/>
  </r>
  <r>
    <x v="0"/>
    <s v="Soner Kayıkçı"/>
    <x v="0"/>
    <x v="170"/>
    <x v="170"/>
    <n v="3"/>
    <s v="ADET"/>
    <n v="0"/>
    <n v="65"/>
    <n v="31"/>
    <n v="-31"/>
    <n v="0"/>
    <n v="0"/>
    <n v="45.5"/>
    <x v="57"/>
    <n v="136.5"/>
    <x v="7"/>
  </r>
  <r>
    <x v="0"/>
    <s v="Soner Kayıkçı"/>
    <x v="0"/>
    <x v="176"/>
    <x v="176"/>
    <n v="0.2"/>
    <s v="METRE"/>
    <n v="0"/>
    <n v="200"/>
    <n v="5.6843418860808015E-14"/>
    <n v="-196.15"/>
    <n v="0"/>
    <n v="0"/>
    <n v="2.89"/>
    <x v="15"/>
    <n v="0.57800000000000007"/>
    <x v="7"/>
  </r>
  <r>
    <x v="0"/>
    <s v="Soner Kayıkçı"/>
    <x v="0"/>
    <x v="177"/>
    <x v="177"/>
    <n v="1"/>
    <s v="ADET"/>
    <n v="0"/>
    <n v="15"/>
    <n v="9"/>
    <n v="-3"/>
    <n v="0"/>
    <n v="0"/>
    <n v="224.46"/>
    <x v="15"/>
    <n v="224.46"/>
    <x v="7"/>
  </r>
  <r>
    <x v="17"/>
    <s v="Murat Taşdemir"/>
    <x v="0"/>
    <x v="195"/>
    <x v="195"/>
    <n v="50"/>
    <s v="METRE"/>
    <n v="0"/>
    <n v="0"/>
    <n v="2254.0000000000009"/>
    <n v="300"/>
    <n v="0"/>
    <n v="3110.9999999999995"/>
    <n v="10.37"/>
    <x v="63"/>
    <n v="518.5"/>
    <x v="8"/>
  </r>
  <r>
    <x v="17"/>
    <s v="Murat Taşdemir"/>
    <x v="0"/>
    <x v="172"/>
    <x v="172"/>
    <n v="9.6300000000000008"/>
    <s v="KG"/>
    <n v="0"/>
    <n v="0"/>
    <n v="260.61"/>
    <n v="97.559999999999988"/>
    <n v="0"/>
    <n v="13285.720799999999"/>
    <n v="136.18"/>
    <x v="54"/>
    <n v="1311.4134000000001"/>
    <x v="3"/>
  </r>
  <r>
    <x v="17"/>
    <s v="Murat Taşdemir"/>
    <x v="0"/>
    <x v="173"/>
    <x v="173"/>
    <n v="0.5"/>
    <s v="METRE"/>
    <n v="0"/>
    <n v="0"/>
    <n v="36.5"/>
    <n v="9"/>
    <n v="0"/>
    <n v="250.29"/>
    <n v="27.81"/>
    <x v="58"/>
    <n v="13.904999999999999"/>
    <x v="5"/>
  </r>
  <r>
    <x v="12"/>
    <s v="Matteo Giolo"/>
    <x v="0"/>
    <x v="75"/>
    <x v="75"/>
    <n v="1"/>
    <s v="ADET"/>
    <n v="0"/>
    <n v="24"/>
    <n v="-3.5527136788005009E-14"/>
    <n v="-7.600000000000005"/>
    <n v="0"/>
    <n v="0"/>
    <n v="120"/>
    <x v="14"/>
    <n v="120"/>
    <x v="3"/>
  </r>
  <r>
    <x v="7"/>
    <s v="Laurent MONTAGNER"/>
    <x v="0"/>
    <x v="75"/>
    <x v="75"/>
    <n v="0.7"/>
    <s v="ADET"/>
    <n v="0"/>
    <n v="24"/>
    <n v="-3.5527136788005009E-14"/>
    <n v="-7.600000000000005"/>
    <n v="0"/>
    <n v="0"/>
    <n v="120"/>
    <x v="14"/>
    <n v="84"/>
    <x v="3"/>
  </r>
  <r>
    <x v="1"/>
    <s v="Stina Alm"/>
    <x v="0"/>
    <x v="175"/>
    <x v="175"/>
    <n v="2"/>
    <s v="ADET"/>
    <n v="0"/>
    <n v="20"/>
    <n v="20"/>
    <n v="-6"/>
    <n v="10"/>
    <n v="0"/>
    <n v="400"/>
    <x v="35"/>
    <n v="800"/>
    <x v="7"/>
  </r>
  <r>
    <x v="2"/>
    <s v="Laurent MONTAGNER"/>
    <x v="0"/>
    <x v="195"/>
    <x v="195"/>
    <n v="50"/>
    <s v="METRE"/>
    <n v="0"/>
    <n v="0"/>
    <n v="2254.0000000000009"/>
    <n v="300"/>
    <n v="0"/>
    <n v="3110.9999999999995"/>
    <n v="10.37"/>
    <x v="63"/>
    <n v="518.5"/>
    <x v="8"/>
  </r>
  <r>
    <x v="0"/>
    <s v="Soner Kayıkçı"/>
    <x v="0"/>
    <x v="195"/>
    <x v="195"/>
    <n v="50"/>
    <s v="METRE"/>
    <n v="0"/>
    <n v="0"/>
    <n v="2254.0000000000009"/>
    <n v="300"/>
    <n v="0"/>
    <n v="3110.9999999999995"/>
    <n v="10.37"/>
    <x v="63"/>
    <n v="518.5"/>
    <x v="8"/>
  </r>
  <r>
    <x v="0"/>
    <s v="Soner Kayıkçı"/>
    <x v="0"/>
    <x v="172"/>
    <x v="172"/>
    <n v="7"/>
    <s v="KG"/>
    <n v="0"/>
    <n v="0"/>
    <n v="260.61"/>
    <n v="97.559999999999988"/>
    <n v="0"/>
    <n v="13285.720799999999"/>
    <n v="136.18"/>
    <x v="54"/>
    <n v="953.26"/>
    <x v="3"/>
  </r>
  <r>
    <x v="2"/>
    <s v="Laurent MONTAGNER"/>
    <x v="0"/>
    <x v="172"/>
    <x v="172"/>
    <n v="9.6300000000000008"/>
    <s v="KG"/>
    <n v="0"/>
    <n v="0"/>
    <n v="260.61"/>
    <n v="97.559999999999988"/>
    <n v="0"/>
    <n v="13285.720799999999"/>
    <n v="136.18"/>
    <x v="54"/>
    <n v="1311.4134000000001"/>
    <x v="3"/>
  </r>
  <r>
    <x v="0"/>
    <s v="Soner Kayıkçı"/>
    <x v="0"/>
    <x v="173"/>
    <x v="173"/>
    <n v="0.5"/>
    <s v="METRE"/>
    <n v="0"/>
    <n v="0"/>
    <n v="36.5"/>
    <n v="9"/>
    <n v="0"/>
    <n v="250.29"/>
    <n v="27.81"/>
    <x v="58"/>
    <n v="13.904999999999999"/>
    <x v="5"/>
  </r>
  <r>
    <x v="14"/>
    <s v="Stefan Zaugg"/>
    <x v="0"/>
    <x v="161"/>
    <x v="161"/>
    <n v="12"/>
    <s v="ADET"/>
    <n v="12"/>
    <n v="125"/>
    <n v="54"/>
    <n v="-49"/>
    <n v="0"/>
    <n v="0"/>
    <n v="3.75"/>
    <x v="21"/>
    <n v="45"/>
    <x v="2"/>
  </r>
  <r>
    <x v="1"/>
    <s v="Stina Alm"/>
    <x v="0"/>
    <x v="69"/>
    <x v="69"/>
    <n v="0.12000000000000001"/>
    <s v="ADET"/>
    <n v="0"/>
    <n v="6"/>
    <n v="22.530000000000012"/>
    <n v="-5.5"/>
    <n v="0"/>
    <n v="0"/>
    <n v="133"/>
    <x v="33"/>
    <n v="15.96"/>
    <x v="3"/>
  </r>
  <r>
    <x v="0"/>
    <s v="Soner Kayıkçı"/>
    <x v="0"/>
    <x v="70"/>
    <x v="70"/>
    <n v="6"/>
    <s v="ADET"/>
    <n v="0"/>
    <n v="84"/>
    <n v="36"/>
    <n v="22"/>
    <n v="0"/>
    <n v="440"/>
    <n v="20"/>
    <x v="14"/>
    <n v="120"/>
    <x v="4"/>
  </r>
  <r>
    <x v="1"/>
    <s v="Stina Alm"/>
    <x v="0"/>
    <x v="70"/>
    <x v="70"/>
    <n v="4"/>
    <s v="ADET"/>
    <n v="0"/>
    <n v="84"/>
    <n v="36"/>
    <n v="22"/>
    <n v="0"/>
    <n v="440"/>
    <n v="20"/>
    <x v="14"/>
    <n v="80"/>
    <x v="4"/>
  </r>
  <r>
    <x v="1"/>
    <s v="Stina Alm"/>
    <x v="0"/>
    <x v="145"/>
    <x v="145"/>
    <n v="1"/>
    <s v="ADET"/>
    <n v="0"/>
    <n v="5"/>
    <n v="10"/>
    <n v="7"/>
    <n v="0"/>
    <n v="85641.010000000009"/>
    <n v="12234.43"/>
    <x v="19"/>
    <n v="12234.43"/>
    <x v="7"/>
  </r>
  <r>
    <x v="3"/>
    <s v="Stina Alm"/>
    <x v="0"/>
    <x v="102"/>
    <x v="102"/>
    <n v="8"/>
    <s v="ADET"/>
    <n v="0"/>
    <n v="415"/>
    <n v="0"/>
    <n v="-393"/>
    <n v="0"/>
    <n v="0"/>
    <n v="4.25"/>
    <x v="14"/>
    <n v="34"/>
    <x v="4"/>
  </r>
  <r>
    <x v="11"/>
    <s v="Jan Urbanek"/>
    <x v="0"/>
    <x v="104"/>
    <x v="104"/>
    <n v="0.7"/>
    <s v="ADET"/>
    <n v="0"/>
    <n v="2"/>
    <n v="3.3000000000000052"/>
    <n v="12.649999999999999"/>
    <n v="0"/>
    <n v="20523.36"/>
    <n v="1622.4"/>
    <x v="38"/>
    <n v="1135.68"/>
    <x v="3"/>
  </r>
  <r>
    <x v="11"/>
    <s v="Jan Urbanek"/>
    <x v="0"/>
    <x v="163"/>
    <x v="163"/>
    <n v="6"/>
    <s v="METRE"/>
    <n v="0"/>
    <n v="100"/>
    <n v="50"/>
    <n v="-16"/>
    <n v="0"/>
    <n v="0"/>
    <n v="46"/>
    <x v="55"/>
    <n v="276"/>
    <x v="7"/>
  </r>
  <r>
    <x v="10"/>
    <s v="Jan Urbanek"/>
    <x v="0"/>
    <x v="163"/>
    <x v="163"/>
    <n v="6"/>
    <s v="METRE"/>
    <n v="0"/>
    <n v="100"/>
    <n v="50"/>
    <n v="-16"/>
    <n v="0"/>
    <n v="0"/>
    <n v="46"/>
    <x v="55"/>
    <n v="276"/>
    <x v="7"/>
  </r>
  <r>
    <x v="11"/>
    <s v="Jan Urbanek"/>
    <x v="0"/>
    <x v="164"/>
    <x v="164"/>
    <n v="2"/>
    <s v="ADET"/>
    <n v="0"/>
    <n v="3"/>
    <n v="0"/>
    <n v="13"/>
    <n v="0"/>
    <n v="702"/>
    <n v="54"/>
    <x v="2"/>
    <n v="108"/>
    <x v="2"/>
  </r>
  <r>
    <x v="10"/>
    <s v="Jan Urbanek"/>
    <x v="0"/>
    <x v="165"/>
    <x v="165"/>
    <n v="4"/>
    <s v="ADET"/>
    <n v="0"/>
    <n v="105"/>
    <n v="56"/>
    <n v="-8"/>
    <n v="0"/>
    <n v="0"/>
    <n v="72.599999999999994"/>
    <x v="14"/>
    <n v="290.39999999999998"/>
    <x v="4"/>
  </r>
  <r>
    <x v="9"/>
    <s v="Jan Urbanek"/>
    <x v="0"/>
    <x v="166"/>
    <x v="166"/>
    <n v="2"/>
    <s v="M2"/>
    <n v="0"/>
    <n v="0"/>
    <n v="-1.4210854715202004E-14"/>
    <n v="52"/>
    <n v="0"/>
    <n v="28423.200000000001"/>
    <n v="546.6"/>
    <x v="56"/>
    <n v="1093.2"/>
    <x v="8"/>
  </r>
  <r>
    <x v="11"/>
    <s v="Jan Urbanek"/>
    <x v="0"/>
    <x v="167"/>
    <x v="167"/>
    <n v="1"/>
    <s v="ADET"/>
    <n v="0"/>
    <n v="13"/>
    <n v="9"/>
    <n v="-1"/>
    <n v="0"/>
    <n v="0"/>
    <n v="270"/>
    <x v="20"/>
    <n v="270"/>
    <x v="7"/>
  </r>
  <r>
    <x v="2"/>
    <s v="Laurent MONTAGNER"/>
    <x v="0"/>
    <x v="103"/>
    <x v="103"/>
    <n v="2"/>
    <s v="ADET"/>
    <n v="0"/>
    <n v="222"/>
    <n v="2"/>
    <n v="-166"/>
    <n v="0"/>
    <n v="0"/>
    <n v="11.5"/>
    <x v="14"/>
    <n v="23"/>
    <x v="4"/>
  </r>
  <r>
    <x v="2"/>
    <s v="Laurent MONTAGNER"/>
    <x v="0"/>
    <x v="163"/>
    <x v="163"/>
    <n v="6"/>
    <s v="METRE"/>
    <n v="0"/>
    <n v="100"/>
    <n v="50"/>
    <n v="-16"/>
    <n v="0"/>
    <n v="0"/>
    <n v="46"/>
    <x v="55"/>
    <n v="276"/>
    <x v="7"/>
  </r>
  <r>
    <x v="2"/>
    <s v="Laurent MONTAGNER"/>
    <x v="0"/>
    <x v="165"/>
    <x v="165"/>
    <n v="7"/>
    <s v="ADET"/>
    <n v="0"/>
    <n v="105"/>
    <n v="56"/>
    <n v="-8"/>
    <n v="0"/>
    <n v="0"/>
    <n v="72.599999999999994"/>
    <x v="14"/>
    <n v="508.19999999999993"/>
    <x v="4"/>
  </r>
  <r>
    <x v="0"/>
    <s v="Soner Kayıkçı"/>
    <x v="0"/>
    <x v="165"/>
    <x v="165"/>
    <n v="4"/>
    <s v="ADET"/>
    <n v="0"/>
    <n v="105"/>
    <n v="56"/>
    <n v="-8"/>
    <n v="0"/>
    <n v="0"/>
    <n v="72.599999999999994"/>
    <x v="14"/>
    <n v="290.39999999999998"/>
    <x v="4"/>
  </r>
  <r>
    <x v="1"/>
    <s v="Stina Alm"/>
    <x v="0"/>
    <x v="166"/>
    <x v="166"/>
    <n v="3"/>
    <s v="M2"/>
    <n v="0"/>
    <n v="0"/>
    <n v="-1.4210854715202004E-14"/>
    <n v="52"/>
    <n v="0"/>
    <n v="28423.200000000001"/>
    <n v="546.6"/>
    <x v="56"/>
    <n v="1639.8000000000002"/>
    <x v="8"/>
  </r>
  <r>
    <x v="11"/>
    <s v="Jan Urbanek"/>
    <x v="0"/>
    <x v="165"/>
    <x v="165"/>
    <n v="4"/>
    <s v="ADET"/>
    <n v="0"/>
    <n v="105"/>
    <n v="56"/>
    <n v="-8"/>
    <n v="0"/>
    <n v="0"/>
    <n v="72.599999999999994"/>
    <x v="14"/>
    <n v="290.39999999999998"/>
    <x v="4"/>
  </r>
  <r>
    <x v="11"/>
    <s v="Jan Urbanek"/>
    <x v="0"/>
    <x v="168"/>
    <x v="168"/>
    <n v="6"/>
    <s v="ADET"/>
    <n v="0"/>
    <n v="0"/>
    <n v="0"/>
    <n v="56"/>
    <n v="0"/>
    <n v="0"/>
    <n v="0"/>
    <x v="5"/>
    <n v="0"/>
    <x v="2"/>
  </r>
  <r>
    <x v="1"/>
    <s v="Stina Alm"/>
    <x v="0"/>
    <x v="103"/>
    <x v="103"/>
    <n v="2"/>
    <s v="ADET"/>
    <n v="0"/>
    <n v="222"/>
    <n v="2"/>
    <n v="-166"/>
    <n v="0"/>
    <n v="0"/>
    <n v="11.5"/>
    <x v="14"/>
    <n v="23"/>
    <x v="4"/>
  </r>
  <r>
    <x v="1"/>
    <s v="Stina Alm"/>
    <x v="0"/>
    <x v="104"/>
    <x v="104"/>
    <n v="0.85000000000000009"/>
    <s v="ADET"/>
    <n v="0"/>
    <n v="2"/>
    <n v="3.3000000000000052"/>
    <n v="12.649999999999999"/>
    <n v="0"/>
    <n v="20523.36"/>
    <n v="1622.4"/>
    <x v="38"/>
    <n v="1379.0400000000002"/>
    <x v="3"/>
  </r>
  <r>
    <x v="1"/>
    <s v="Stina Alm"/>
    <x v="0"/>
    <x v="202"/>
    <x v="202"/>
    <n v="9"/>
    <s v="METRE"/>
    <n v="0"/>
    <n v="0"/>
    <n v="344"/>
    <n v="54"/>
    <n v="0"/>
    <n v="1102.68"/>
    <n v="20.420000000000002"/>
    <x v="63"/>
    <n v="183.78000000000003"/>
    <x v="8"/>
  </r>
  <r>
    <x v="0"/>
    <s v="Soner Kayıkçı"/>
    <x v="0"/>
    <x v="164"/>
    <x v="164"/>
    <n v="2"/>
    <s v="ADET"/>
    <n v="0"/>
    <n v="3"/>
    <n v="0"/>
    <n v="13"/>
    <n v="0"/>
    <n v="702"/>
    <n v="54"/>
    <x v="2"/>
    <n v="108"/>
    <x v="2"/>
  </r>
  <r>
    <x v="1"/>
    <s v="Stina Alm"/>
    <x v="0"/>
    <x v="165"/>
    <x v="165"/>
    <n v="6"/>
    <s v="ADET"/>
    <n v="0"/>
    <n v="105"/>
    <n v="56"/>
    <n v="-8"/>
    <n v="0"/>
    <n v="0"/>
    <n v="72.599999999999994"/>
    <x v="14"/>
    <n v="435.59999999999997"/>
    <x v="4"/>
  </r>
  <r>
    <x v="0"/>
    <s v="Soner Kayıkçı"/>
    <x v="0"/>
    <x v="166"/>
    <x v="166"/>
    <n v="2"/>
    <s v="M2"/>
    <n v="0"/>
    <n v="0"/>
    <n v="-1.4210854715202004E-14"/>
    <n v="52"/>
    <n v="0"/>
    <n v="28423.200000000001"/>
    <n v="546.6"/>
    <x v="56"/>
    <n v="1093.2"/>
    <x v="8"/>
  </r>
  <r>
    <x v="4"/>
    <s v="Stefan Zaugg"/>
    <x v="0"/>
    <x v="103"/>
    <x v="103"/>
    <n v="2"/>
    <s v="ADET"/>
    <n v="0"/>
    <n v="222"/>
    <n v="2"/>
    <n v="-166"/>
    <n v="0"/>
    <n v="0"/>
    <n v="11.5"/>
    <x v="14"/>
    <n v="23"/>
    <x v="4"/>
  </r>
  <r>
    <x v="2"/>
    <s v="Laurent MONTAGNER"/>
    <x v="0"/>
    <x v="173"/>
    <x v="173"/>
    <n v="0.5"/>
    <s v="METRE"/>
    <n v="0"/>
    <n v="0"/>
    <n v="36.5"/>
    <n v="9"/>
    <n v="0"/>
    <n v="250.29"/>
    <n v="27.81"/>
    <x v="58"/>
    <n v="13.904999999999999"/>
    <x v="5"/>
  </r>
  <r>
    <x v="13"/>
    <s v="Matteo Giolo"/>
    <x v="0"/>
    <x v="195"/>
    <x v="195"/>
    <n v="50"/>
    <s v="METRE"/>
    <n v="0"/>
    <n v="0"/>
    <n v="2254.0000000000009"/>
    <n v="300"/>
    <n v="0"/>
    <n v="3110.9999999999995"/>
    <n v="10.37"/>
    <x v="63"/>
    <n v="518.5"/>
    <x v="8"/>
  </r>
  <r>
    <x v="19"/>
    <s v="Volkan Batkan"/>
    <x v="0"/>
    <x v="172"/>
    <x v="172"/>
    <n v="7"/>
    <s v="KG"/>
    <n v="7"/>
    <n v="0"/>
    <n v="260.61"/>
    <n v="97.559999999999988"/>
    <n v="0"/>
    <n v="13285.720799999999"/>
    <n v="136.18"/>
    <x v="54"/>
    <n v="953.26"/>
    <x v="3"/>
  </r>
  <r>
    <x v="14"/>
    <s v="Stefan Zaugg"/>
    <x v="0"/>
    <x v="172"/>
    <x v="172"/>
    <n v="6"/>
    <s v="KG"/>
    <n v="6"/>
    <n v="0"/>
    <n v="260.61"/>
    <n v="97.559999999999988"/>
    <n v="0"/>
    <n v="13285.720799999999"/>
    <n v="136.18"/>
    <x v="54"/>
    <n v="817.08"/>
    <x v="3"/>
  </r>
  <r>
    <x v="15"/>
    <s v="Jan Urbanek"/>
    <x v="0"/>
    <x v="172"/>
    <x v="172"/>
    <n v="7"/>
    <s v="KG"/>
    <n v="0"/>
    <n v="0"/>
    <n v="260.61"/>
    <n v="97.559999999999988"/>
    <n v="0"/>
    <n v="13285.720799999999"/>
    <n v="136.18"/>
    <x v="54"/>
    <n v="953.26"/>
    <x v="3"/>
  </r>
  <r>
    <x v="13"/>
    <s v="Matteo Giolo"/>
    <x v="0"/>
    <x v="172"/>
    <x v="172"/>
    <n v="8.89"/>
    <s v="KG"/>
    <n v="0"/>
    <n v="0"/>
    <n v="260.61"/>
    <n v="97.559999999999988"/>
    <n v="0"/>
    <n v="13285.720799999999"/>
    <n v="136.18"/>
    <x v="54"/>
    <n v="1210.6402"/>
    <x v="3"/>
  </r>
  <r>
    <x v="3"/>
    <s v="Stina Alm"/>
    <x v="0"/>
    <x v="96"/>
    <x v="96"/>
    <n v="2"/>
    <s v="ADET"/>
    <n v="0"/>
    <n v="40"/>
    <n v="16"/>
    <n v="-18"/>
    <n v="0"/>
    <n v="0"/>
    <n v="375"/>
    <x v="37"/>
    <n v="750"/>
    <x v="6"/>
  </r>
  <r>
    <x v="3"/>
    <s v="Stina Alm"/>
    <x v="0"/>
    <x v="97"/>
    <x v="97"/>
    <n v="1"/>
    <s v="ADET"/>
    <n v="0"/>
    <n v="1"/>
    <n v="8"/>
    <n v="10"/>
    <n v="0"/>
    <n v="156184.20000000001"/>
    <n v="15618.42"/>
    <x v="19"/>
    <n v="15618.42"/>
    <x v="6"/>
  </r>
  <r>
    <x v="12"/>
    <s v="Matteo Giolo"/>
    <x v="0"/>
    <x v="106"/>
    <x v="106"/>
    <n v="4"/>
    <s v="METRE"/>
    <n v="0"/>
    <n v="125"/>
    <n v="16.5"/>
    <n v="-24"/>
    <n v="0"/>
    <n v="0"/>
    <n v="80.84"/>
    <x v="27"/>
    <n v="323.36"/>
    <x v="4"/>
  </r>
  <r>
    <x v="8"/>
    <s v="Jan Urbanek"/>
    <x v="0"/>
    <x v="179"/>
    <x v="179"/>
    <n v="3"/>
    <s v="ADET"/>
    <n v="0"/>
    <n v="29"/>
    <n v="30"/>
    <n v="10"/>
    <n v="0"/>
    <n v="17500"/>
    <n v="1750"/>
    <x v="59"/>
    <n v="5250"/>
    <x v="7"/>
  </r>
  <r>
    <x v="11"/>
    <s v="Jan Urbanek"/>
    <x v="0"/>
    <x v="179"/>
    <x v="179"/>
    <n v="3"/>
    <s v="ADET"/>
    <n v="0"/>
    <n v="29"/>
    <n v="30"/>
    <n v="10"/>
    <n v="0"/>
    <n v="17500"/>
    <n v="1750"/>
    <x v="59"/>
    <n v="5250"/>
    <x v="7"/>
  </r>
  <r>
    <x v="11"/>
    <s v="Jan Urbanek"/>
    <x v="0"/>
    <x v="180"/>
    <x v="180"/>
    <n v="9"/>
    <s v="METRE"/>
    <n v="0"/>
    <n v="480"/>
    <n v="0"/>
    <n v="-408"/>
    <n v="0"/>
    <n v="0"/>
    <n v="4"/>
    <x v="5"/>
    <n v="36"/>
    <x v="8"/>
  </r>
  <r>
    <x v="11"/>
    <s v="Jan Urbanek"/>
    <x v="0"/>
    <x v="203"/>
    <x v="203"/>
    <n v="1"/>
    <s v="ADET"/>
    <n v="0"/>
    <n v="4"/>
    <n v="2"/>
    <n v="0"/>
    <n v="0"/>
    <n v="0"/>
    <n v="2249.17"/>
    <x v="64"/>
    <n v="2249.17"/>
    <x v="6"/>
  </r>
  <r>
    <x v="2"/>
    <s v="Laurent MONTAGNER"/>
    <x v="0"/>
    <x v="204"/>
    <x v="204"/>
    <n v="30"/>
    <s v="ADET"/>
    <n v="0"/>
    <n v="100"/>
    <n v="161"/>
    <n v="-40"/>
    <n v="0"/>
    <n v="0"/>
    <n v="12"/>
    <x v="2"/>
    <n v="360"/>
    <x v="2"/>
  </r>
  <r>
    <x v="2"/>
    <s v="Laurent MONTAGNER"/>
    <x v="0"/>
    <x v="205"/>
    <x v="205"/>
    <n v="15"/>
    <s v="ADET"/>
    <n v="0"/>
    <n v="350"/>
    <n v="210"/>
    <n v="-245"/>
    <n v="0"/>
    <n v="0"/>
    <n v="4"/>
    <x v="2"/>
    <n v="60"/>
    <x v="2"/>
  </r>
  <r>
    <x v="9"/>
    <s v="Jan Urbanek"/>
    <x v="0"/>
    <x v="179"/>
    <x v="179"/>
    <n v="3"/>
    <s v="ADET"/>
    <n v="0"/>
    <n v="29"/>
    <n v="30"/>
    <n v="10"/>
    <n v="0"/>
    <n v="17500"/>
    <n v="1750"/>
    <x v="59"/>
    <n v="5250"/>
    <x v="7"/>
  </r>
  <r>
    <x v="9"/>
    <s v="Jan Urbanek"/>
    <x v="0"/>
    <x v="178"/>
    <x v="178"/>
    <n v="2.8"/>
    <s v="KG"/>
    <n v="0"/>
    <n v="110"/>
    <n v="57.22"/>
    <n v="-78.660000000000025"/>
    <n v="0"/>
    <n v="0"/>
    <n v="40"/>
    <x v="14"/>
    <n v="112"/>
    <x v="2"/>
  </r>
  <r>
    <x v="10"/>
    <s v="Jan Urbanek"/>
    <x v="0"/>
    <x v="180"/>
    <x v="180"/>
    <n v="9"/>
    <s v="METRE"/>
    <n v="0"/>
    <n v="480"/>
    <n v="0"/>
    <n v="-408"/>
    <n v="0"/>
    <n v="0"/>
    <n v="4"/>
    <x v="5"/>
    <n v="36"/>
    <x v="8"/>
  </r>
  <r>
    <x v="9"/>
    <s v="Jan Urbanek"/>
    <x v="0"/>
    <x v="203"/>
    <x v="203"/>
    <n v="1"/>
    <s v="ADET"/>
    <n v="0"/>
    <n v="4"/>
    <n v="2"/>
    <n v="0"/>
    <n v="0"/>
    <n v="0"/>
    <n v="2249.17"/>
    <x v="64"/>
    <n v="2249.17"/>
    <x v="6"/>
  </r>
  <r>
    <x v="2"/>
    <s v="Laurent MONTAGNER"/>
    <x v="0"/>
    <x v="179"/>
    <x v="179"/>
    <n v="3"/>
    <s v="ADET"/>
    <n v="0"/>
    <n v="29"/>
    <n v="30"/>
    <n v="10"/>
    <n v="0"/>
    <n v="17500"/>
    <n v="1750"/>
    <x v="59"/>
    <n v="5250"/>
    <x v="7"/>
  </r>
  <r>
    <x v="2"/>
    <s v="Laurent MONTAGNER"/>
    <x v="0"/>
    <x v="178"/>
    <x v="178"/>
    <n v="3.71"/>
    <s v="KG"/>
    <n v="3.71"/>
    <n v="110"/>
    <n v="57.22"/>
    <n v="-78.660000000000025"/>
    <n v="0"/>
    <n v="0"/>
    <n v="40"/>
    <x v="14"/>
    <n v="148.4"/>
    <x v="2"/>
  </r>
  <r>
    <x v="0"/>
    <s v="Soner Kayıkçı"/>
    <x v="0"/>
    <x v="179"/>
    <x v="179"/>
    <n v="3"/>
    <s v="ADET"/>
    <n v="0"/>
    <n v="29"/>
    <n v="30"/>
    <n v="10"/>
    <n v="0"/>
    <n v="17500"/>
    <n v="1750"/>
    <x v="59"/>
    <n v="5250"/>
    <x v="7"/>
  </r>
  <r>
    <x v="1"/>
    <s v="Stina Alm"/>
    <x v="0"/>
    <x v="179"/>
    <x v="179"/>
    <n v="3"/>
    <s v="ADET"/>
    <n v="0"/>
    <n v="29"/>
    <n v="30"/>
    <n v="10"/>
    <n v="0"/>
    <n v="17500"/>
    <n v="1750"/>
    <x v="59"/>
    <n v="5250"/>
    <x v="7"/>
  </r>
  <r>
    <x v="6"/>
    <s v="Laurent MONTAGNER"/>
    <x v="0"/>
    <x v="178"/>
    <x v="178"/>
    <n v="3.07"/>
    <s v="KG"/>
    <n v="3.07"/>
    <n v="110"/>
    <n v="57.22"/>
    <n v="-78.660000000000025"/>
    <n v="0"/>
    <n v="0"/>
    <n v="40"/>
    <x v="14"/>
    <n v="122.8"/>
    <x v="2"/>
  </r>
  <r>
    <x v="0"/>
    <s v="Soner Kayıkçı"/>
    <x v="0"/>
    <x v="178"/>
    <x v="178"/>
    <n v="2.8"/>
    <s v="KG"/>
    <n v="0"/>
    <n v="110"/>
    <n v="57.22"/>
    <n v="-78.660000000000025"/>
    <n v="0"/>
    <n v="0"/>
    <n v="40"/>
    <x v="14"/>
    <n v="112"/>
    <x v="2"/>
  </r>
  <r>
    <x v="1"/>
    <s v="Stina Alm"/>
    <x v="0"/>
    <x v="178"/>
    <x v="178"/>
    <n v="3.6100000000000003"/>
    <s v="KG"/>
    <n v="0"/>
    <n v="110"/>
    <n v="57.22"/>
    <n v="-78.660000000000025"/>
    <n v="0"/>
    <n v="0"/>
    <n v="40"/>
    <x v="14"/>
    <n v="144.4"/>
    <x v="2"/>
  </r>
  <r>
    <x v="6"/>
    <s v="Laurent MONTAGNER"/>
    <x v="0"/>
    <x v="205"/>
    <x v="205"/>
    <n v="15"/>
    <s v="ADET"/>
    <n v="0"/>
    <n v="350"/>
    <n v="210"/>
    <n v="-245"/>
    <n v="0"/>
    <n v="0"/>
    <n v="4"/>
    <x v="2"/>
    <n v="60"/>
    <x v="2"/>
  </r>
  <r>
    <x v="1"/>
    <s v="Stina Alm"/>
    <x v="0"/>
    <x v="149"/>
    <x v="149"/>
    <n v="2"/>
    <s v="ADET"/>
    <n v="0"/>
    <n v="67"/>
    <n v="24"/>
    <n v="-38"/>
    <n v="0"/>
    <n v="0"/>
    <n v="640"/>
    <x v="20"/>
    <n v="1280"/>
    <x v="7"/>
  </r>
  <r>
    <x v="6"/>
    <s v="Laurent MONTAGNER"/>
    <x v="0"/>
    <x v="148"/>
    <x v="148"/>
    <n v="2"/>
    <s v="ADET"/>
    <n v="0"/>
    <n v="238"/>
    <n v="90"/>
    <n v="-200"/>
    <n v="0"/>
    <n v="0"/>
    <n v="4"/>
    <x v="20"/>
    <n v="8"/>
    <x v="7"/>
  </r>
  <r>
    <x v="0"/>
    <s v="Soner Kayıkçı"/>
    <x v="0"/>
    <x v="148"/>
    <x v="148"/>
    <n v="2"/>
    <s v="ADET"/>
    <n v="0"/>
    <n v="238"/>
    <n v="90"/>
    <n v="-200"/>
    <n v="0"/>
    <n v="0"/>
    <n v="4"/>
    <x v="20"/>
    <n v="8"/>
    <x v="7"/>
  </r>
  <r>
    <x v="2"/>
    <s v="Laurent MONTAGNER"/>
    <x v="0"/>
    <x v="148"/>
    <x v="148"/>
    <n v="2"/>
    <s v="ADET"/>
    <n v="0"/>
    <n v="238"/>
    <n v="90"/>
    <n v="-200"/>
    <n v="0"/>
    <n v="0"/>
    <n v="4"/>
    <x v="20"/>
    <n v="8"/>
    <x v="7"/>
  </r>
  <r>
    <x v="0"/>
    <s v="Soner Kayıkçı"/>
    <x v="0"/>
    <x v="150"/>
    <x v="150"/>
    <n v="1"/>
    <s v="ADET"/>
    <n v="0"/>
    <n v="9"/>
    <n v="13"/>
    <n v="-1"/>
    <n v="4"/>
    <n v="0"/>
    <n v="1600"/>
    <x v="35"/>
    <n v="1600"/>
    <x v="7"/>
  </r>
  <r>
    <x v="1"/>
    <s v="Stina Alm"/>
    <x v="0"/>
    <x v="150"/>
    <x v="150"/>
    <n v="1"/>
    <s v="ADET"/>
    <n v="0"/>
    <n v="9"/>
    <n v="13"/>
    <n v="-1"/>
    <n v="4"/>
    <n v="0"/>
    <n v="1600"/>
    <x v="35"/>
    <n v="1600"/>
    <x v="7"/>
  </r>
  <r>
    <x v="1"/>
    <s v="Stina Alm"/>
    <x v="0"/>
    <x v="183"/>
    <x v="183"/>
    <n v="1"/>
    <s v="ADET"/>
    <n v="0"/>
    <n v="17"/>
    <n v="11"/>
    <n v="-5"/>
    <n v="0"/>
    <n v="0"/>
    <n v="1094.4000000000001"/>
    <x v="15"/>
    <n v="1094.4000000000001"/>
    <x v="7"/>
  </r>
  <r>
    <x v="0"/>
    <s v="Soner Kayıkçı"/>
    <x v="0"/>
    <x v="151"/>
    <x v="151"/>
    <n v="0.1"/>
    <s v="METRE"/>
    <n v="0"/>
    <n v="50"/>
    <n v="2.8310687127941492E-15"/>
    <n v="-47.8"/>
    <n v="0"/>
    <n v="0"/>
    <n v="25.41"/>
    <x v="15"/>
    <n v="2.5410000000000004"/>
    <x v="7"/>
  </r>
  <r>
    <x v="1"/>
    <s v="Stina Alm"/>
    <x v="0"/>
    <x v="151"/>
    <x v="151"/>
    <n v="0.1"/>
    <s v="METRE"/>
    <n v="0"/>
    <n v="50"/>
    <n v="2.8310687127941492E-15"/>
    <n v="-47.8"/>
    <n v="0"/>
    <n v="0"/>
    <n v="25.41"/>
    <x v="15"/>
    <n v="2.5410000000000004"/>
    <x v="7"/>
  </r>
  <r>
    <x v="1"/>
    <s v="Stina Alm"/>
    <x v="0"/>
    <x v="206"/>
    <x v="206"/>
    <n v="1"/>
    <s v="ADET"/>
    <n v="0"/>
    <n v="2"/>
    <n v="4"/>
    <n v="0"/>
    <n v="2"/>
    <n v="0"/>
    <n v="1667.14"/>
    <x v="7"/>
    <n v="1667.14"/>
    <x v="6"/>
  </r>
  <r>
    <x v="1"/>
    <s v="Stina Alm"/>
    <x v="0"/>
    <x v="184"/>
    <x v="184"/>
    <n v="3"/>
    <s v="ADET"/>
    <n v="0"/>
    <n v="38"/>
    <n v="25"/>
    <n v="-2"/>
    <n v="20"/>
    <n v="0"/>
    <n v="245"/>
    <x v="10"/>
    <n v="735"/>
    <x v="4"/>
  </r>
  <r>
    <x v="0"/>
    <s v="Soner Kayıkçı"/>
    <x v="0"/>
    <x v="152"/>
    <x v="152"/>
    <n v="6"/>
    <s v="ADET"/>
    <n v="0"/>
    <n v="0"/>
    <n v="0"/>
    <n v="54"/>
    <n v="0"/>
    <n v="67.5"/>
    <n v="1.25"/>
    <x v="20"/>
    <n v="7.5"/>
    <x v="7"/>
  </r>
  <r>
    <x v="19"/>
    <s v="Volkan Batkan"/>
    <x v="0"/>
    <x v="183"/>
    <x v="183"/>
    <n v="1"/>
    <s v="ADET"/>
    <n v="1"/>
    <n v="17"/>
    <n v="11"/>
    <n v="-5"/>
    <n v="0"/>
    <n v="0"/>
    <n v="1094.4000000000001"/>
    <x v="15"/>
    <n v="1094.4000000000001"/>
    <x v="7"/>
  </r>
  <r>
    <x v="8"/>
    <s v="Jan Urbanek"/>
    <x v="0"/>
    <x v="95"/>
    <x v="95"/>
    <n v="2"/>
    <s v="ADET"/>
    <n v="0"/>
    <n v="809"/>
    <n v="0"/>
    <n v="-768"/>
    <n v="0"/>
    <n v="0"/>
    <n v="2.4"/>
    <x v="14"/>
    <n v="4.8"/>
    <x v="2"/>
  </r>
  <r>
    <x v="7"/>
    <s v="Laurent MONTAGNER"/>
    <x v="0"/>
    <x v="26"/>
    <x v="26"/>
    <n v="25"/>
    <s v="ADET"/>
    <n v="0"/>
    <n v="776"/>
    <n v="367"/>
    <n v="-308"/>
    <n v="0"/>
    <n v="0"/>
    <n v="3.46"/>
    <x v="8"/>
    <n v="86.5"/>
    <x v="2"/>
  </r>
  <r>
    <x v="7"/>
    <s v="Laurent MONTAGNER"/>
    <x v="0"/>
    <x v="109"/>
    <x v="109"/>
    <n v="1"/>
    <s v="ADET"/>
    <n v="0"/>
    <n v="0"/>
    <n v="2"/>
    <n v="3"/>
    <n v="0"/>
    <n v="97615.14"/>
    <n v="32538.38"/>
    <x v="19"/>
    <n v="32538.38"/>
    <x v="6"/>
  </r>
  <r>
    <x v="7"/>
    <s v="Laurent MONTAGNER"/>
    <x v="0"/>
    <x v="92"/>
    <x v="92"/>
    <n v="4"/>
    <s v="ADET"/>
    <n v="0"/>
    <n v="200"/>
    <n v="180"/>
    <n v="-184"/>
    <n v="0"/>
    <n v="0"/>
    <n v="5.04"/>
    <x v="8"/>
    <n v="20.16"/>
    <x v="4"/>
  </r>
  <r>
    <x v="12"/>
    <s v="Matteo Giolo"/>
    <x v="0"/>
    <x v="93"/>
    <x v="93"/>
    <n v="3.3"/>
    <s v="METRE"/>
    <n v="0"/>
    <n v="125"/>
    <n v="37.499999999999908"/>
    <n v="-44.100000000000009"/>
    <n v="0"/>
    <n v="0"/>
    <n v="44"/>
    <x v="27"/>
    <n v="145.19999999999999"/>
    <x v="4"/>
  </r>
  <r>
    <x v="7"/>
    <s v="Laurent MONTAGNER"/>
    <x v="0"/>
    <x v="93"/>
    <x v="93"/>
    <n v="5.5"/>
    <s v="METRE"/>
    <n v="0"/>
    <n v="125"/>
    <n v="37.499999999999908"/>
    <n v="-44.100000000000009"/>
    <n v="0"/>
    <n v="0"/>
    <n v="44"/>
    <x v="27"/>
    <n v="242"/>
    <x v="4"/>
  </r>
  <r>
    <x v="5"/>
    <s v="Matteo Giolo"/>
    <x v="0"/>
    <x v="93"/>
    <x v="93"/>
    <n v="5.5"/>
    <s v="METRE"/>
    <n v="0"/>
    <n v="125"/>
    <n v="37.499999999999908"/>
    <n v="-44.100000000000009"/>
    <n v="0"/>
    <n v="0"/>
    <n v="44"/>
    <x v="27"/>
    <n v="242"/>
    <x v="4"/>
  </r>
  <r>
    <x v="4"/>
    <s v="Stefan Zaugg"/>
    <x v="0"/>
    <x v="93"/>
    <x v="93"/>
    <n v="3.3"/>
    <s v="METRE"/>
    <n v="0"/>
    <n v="125"/>
    <n v="37.499999999999908"/>
    <n v="-44.100000000000009"/>
    <n v="0"/>
    <n v="0"/>
    <n v="44"/>
    <x v="27"/>
    <n v="145.19999999999999"/>
    <x v="4"/>
  </r>
  <r>
    <x v="9"/>
    <s v="Jan Urbanek"/>
    <x v="0"/>
    <x v="181"/>
    <x v="181"/>
    <n v="1"/>
    <s v="ADET"/>
    <n v="0"/>
    <n v="2"/>
    <n v="1"/>
    <n v="2"/>
    <n v="0"/>
    <n v="19880.7"/>
    <n v="9940.35"/>
    <x v="60"/>
    <n v="9940.35"/>
    <x v="7"/>
  </r>
  <r>
    <x v="5"/>
    <s v="Matteo Giolo"/>
    <x v="0"/>
    <x v="95"/>
    <x v="95"/>
    <n v="2"/>
    <s v="ADET"/>
    <n v="0"/>
    <n v="809"/>
    <n v="0"/>
    <n v="-768"/>
    <n v="0"/>
    <n v="0"/>
    <n v="2.4"/>
    <x v="14"/>
    <n v="4.8"/>
    <x v="2"/>
  </r>
  <r>
    <x v="4"/>
    <s v="Stefan Zaugg"/>
    <x v="0"/>
    <x v="95"/>
    <x v="95"/>
    <n v="2"/>
    <s v="ADET"/>
    <n v="0"/>
    <n v="809"/>
    <n v="0"/>
    <n v="-768"/>
    <n v="0"/>
    <n v="0"/>
    <n v="2.4"/>
    <x v="14"/>
    <n v="4.8"/>
    <x v="2"/>
  </r>
  <r>
    <x v="9"/>
    <s v="Jan Urbanek"/>
    <x v="0"/>
    <x v="153"/>
    <x v="153"/>
    <n v="6"/>
    <s v="ADET"/>
    <n v="0"/>
    <n v="84"/>
    <n v="195.90000000000009"/>
    <n v="-24.600000000000023"/>
    <n v="0"/>
    <n v="0"/>
    <n v="29"/>
    <x v="14"/>
    <n v="174"/>
    <x v="2"/>
  </r>
  <r>
    <x v="2"/>
    <s v="Laurent MONTAGNER"/>
    <x v="0"/>
    <x v="207"/>
    <x v="207"/>
    <n v="2"/>
    <s v="ADET"/>
    <n v="0"/>
    <n v="26"/>
    <n v="46"/>
    <n v="-10"/>
    <n v="0"/>
    <n v="0"/>
    <n v="12"/>
    <x v="2"/>
    <n v="24"/>
    <x v="2"/>
  </r>
  <r>
    <x v="12"/>
    <s v="Matteo Giolo"/>
    <x v="0"/>
    <x v="94"/>
    <x v="94"/>
    <n v="1"/>
    <s v="ADET"/>
    <n v="0"/>
    <n v="4"/>
    <n v="12"/>
    <n v="7"/>
    <n v="0"/>
    <n v="12435.01"/>
    <n v="1776.43"/>
    <x v="24"/>
    <n v="1776.43"/>
    <x v="4"/>
  </r>
  <r>
    <x v="5"/>
    <s v="Matteo Giolo"/>
    <x v="0"/>
    <x v="94"/>
    <x v="94"/>
    <n v="1"/>
    <s v="ADET"/>
    <n v="0"/>
    <n v="4"/>
    <n v="12"/>
    <n v="7"/>
    <n v="0"/>
    <n v="12435.01"/>
    <n v="1776.43"/>
    <x v="24"/>
    <n v="1776.43"/>
    <x v="4"/>
  </r>
  <r>
    <x v="1"/>
    <s v="Stina Alm"/>
    <x v="0"/>
    <x v="205"/>
    <x v="205"/>
    <n v="15"/>
    <s v="ADET"/>
    <n v="0"/>
    <n v="350"/>
    <n v="210"/>
    <n v="-245"/>
    <n v="0"/>
    <n v="0"/>
    <n v="4"/>
    <x v="2"/>
    <n v="60"/>
    <x v="2"/>
  </r>
  <r>
    <x v="3"/>
    <s v="Stina Alm"/>
    <x v="0"/>
    <x v="98"/>
    <x v="98"/>
    <n v="2"/>
    <s v="ADET"/>
    <n v="0"/>
    <n v="13"/>
    <n v="1"/>
    <n v="24"/>
    <n v="0"/>
    <n v="1570.08"/>
    <n v="65.42"/>
    <x v="21"/>
    <n v="130.84"/>
    <x v="4"/>
  </r>
  <r>
    <x v="7"/>
    <s v="Laurent MONTAGNER"/>
    <x v="0"/>
    <x v="98"/>
    <x v="98"/>
    <n v="3"/>
    <s v="ADET"/>
    <n v="0"/>
    <n v="13"/>
    <n v="1"/>
    <n v="24"/>
    <n v="0"/>
    <n v="1570.08"/>
    <n v="65.42"/>
    <x v="21"/>
    <n v="196.26"/>
    <x v="4"/>
  </r>
  <r>
    <x v="7"/>
    <s v="Laurent MONTAGNER"/>
    <x v="0"/>
    <x v="99"/>
    <x v="99"/>
    <n v="0.2"/>
    <s v="KG"/>
    <n v="0"/>
    <n v="12"/>
    <n v="1.2000000000000011"/>
    <n v="-10.199999999999999"/>
    <n v="0"/>
    <n v="0"/>
    <n v="221.8"/>
    <x v="3"/>
    <n v="44.360000000000007"/>
    <x v="3"/>
  </r>
  <r>
    <x v="5"/>
    <s v="Matteo Giolo"/>
    <x v="0"/>
    <x v="99"/>
    <x v="99"/>
    <n v="0.2"/>
    <s v="KG"/>
    <n v="0"/>
    <n v="12"/>
    <n v="1.2000000000000011"/>
    <n v="-10.199999999999999"/>
    <n v="0"/>
    <n v="0"/>
    <n v="221.8"/>
    <x v="3"/>
    <n v="44.360000000000007"/>
    <x v="3"/>
  </r>
  <r>
    <x v="3"/>
    <s v="Stina Alm"/>
    <x v="0"/>
    <x v="99"/>
    <x v="99"/>
    <n v="0.2"/>
    <s v="KG"/>
    <n v="0"/>
    <n v="12"/>
    <n v="1.2000000000000011"/>
    <n v="-10.199999999999999"/>
    <n v="0"/>
    <n v="0"/>
    <n v="221.8"/>
    <x v="3"/>
    <n v="44.360000000000007"/>
    <x v="3"/>
  </r>
  <r>
    <x v="4"/>
    <s v="Stefan Zaugg"/>
    <x v="0"/>
    <x v="208"/>
    <x v="208"/>
    <n v="1"/>
    <s v="ADET"/>
    <n v="0"/>
    <n v="18"/>
    <n v="28"/>
    <n v="-17"/>
    <n v="0"/>
    <n v="0"/>
    <n v="2"/>
    <x v="5"/>
    <n v="2"/>
    <x v="2"/>
  </r>
  <r>
    <x v="15"/>
    <s v="Jan Urbanek"/>
    <x v="0"/>
    <x v="173"/>
    <x v="173"/>
    <n v="0.5"/>
    <s v="METRE"/>
    <n v="0"/>
    <n v="0"/>
    <n v="36.5"/>
    <n v="9"/>
    <n v="0"/>
    <n v="250.29"/>
    <n v="27.81"/>
    <x v="58"/>
    <n v="13.904999999999999"/>
    <x v="5"/>
  </r>
  <r>
    <x v="13"/>
    <s v="Matteo Giolo"/>
    <x v="0"/>
    <x v="173"/>
    <x v="173"/>
    <n v="0.5"/>
    <s v="METRE"/>
    <n v="0"/>
    <n v="0"/>
    <n v="36.5"/>
    <n v="9"/>
    <n v="0"/>
    <n v="250.29"/>
    <n v="27.81"/>
    <x v="58"/>
    <n v="13.904999999999999"/>
    <x v="5"/>
  </r>
  <r>
    <x v="4"/>
    <s v="Stefan Zaugg"/>
    <x v="0"/>
    <x v="75"/>
    <x v="75"/>
    <n v="1"/>
    <s v="ADET"/>
    <n v="0"/>
    <n v="24"/>
    <n v="-3.5527136788005009E-14"/>
    <n v="-7.600000000000005"/>
    <n v="0"/>
    <n v="0"/>
    <n v="120"/>
    <x v="14"/>
    <n v="120"/>
    <x v="3"/>
  </r>
  <r>
    <x v="3"/>
    <s v="Stina Alm"/>
    <x v="0"/>
    <x v="75"/>
    <x v="75"/>
    <n v="0.7"/>
    <s v="ADET"/>
    <n v="0"/>
    <n v="24"/>
    <n v="-3.5527136788005009E-14"/>
    <n v="-7.600000000000005"/>
    <n v="0"/>
    <n v="0"/>
    <n v="120"/>
    <x v="14"/>
    <n v="84"/>
    <x v="3"/>
  </r>
  <r>
    <x v="5"/>
    <s v="Matteo Giolo"/>
    <x v="0"/>
    <x v="170"/>
    <x v="170"/>
    <n v="4"/>
    <s v="ADET"/>
    <n v="0"/>
    <n v="65"/>
    <n v="31"/>
    <n v="-31"/>
    <n v="0"/>
    <n v="0"/>
    <n v="45.5"/>
    <x v="57"/>
    <n v="182"/>
    <x v="7"/>
  </r>
  <r>
    <x v="6"/>
    <s v="Laurent MONTAGNER"/>
    <x v="0"/>
    <x v="174"/>
    <x v="174"/>
    <n v="6"/>
    <s v="ADET"/>
    <n v="0"/>
    <n v="65"/>
    <n v="54"/>
    <n v="2"/>
    <n v="40"/>
    <n v="148"/>
    <n v="74"/>
    <x v="10"/>
    <n v="444"/>
    <x v="4"/>
  </r>
  <r>
    <x v="1"/>
    <s v="Stina Alm"/>
    <x v="0"/>
    <x v="176"/>
    <x v="176"/>
    <n v="0.2"/>
    <s v="METRE"/>
    <n v="0"/>
    <n v="200"/>
    <n v="5.6843418860808015E-14"/>
    <n v="-196.15"/>
    <n v="0"/>
    <n v="0"/>
    <n v="2.89"/>
    <x v="15"/>
    <n v="0.57800000000000007"/>
    <x v="7"/>
  </r>
  <r>
    <x v="1"/>
    <s v="Stina Alm"/>
    <x v="0"/>
    <x v="177"/>
    <x v="177"/>
    <n v="1"/>
    <s v="ADET"/>
    <n v="0"/>
    <n v="15"/>
    <n v="9"/>
    <n v="-3"/>
    <n v="0"/>
    <n v="0"/>
    <n v="224.46"/>
    <x v="15"/>
    <n v="224.46"/>
    <x v="7"/>
  </r>
  <r>
    <x v="16"/>
    <s v="Stefan Zaugg"/>
    <x v="0"/>
    <x v="172"/>
    <x v="172"/>
    <n v="6"/>
    <s v="KG"/>
    <n v="6"/>
    <n v="0"/>
    <n v="260.61"/>
    <n v="97.559999999999988"/>
    <n v="0"/>
    <n v="13285.720799999999"/>
    <n v="136.18"/>
    <x v="54"/>
    <n v="817.08"/>
    <x v="3"/>
  </r>
  <r>
    <x v="16"/>
    <s v="Stefan Zaugg"/>
    <x v="0"/>
    <x v="173"/>
    <x v="173"/>
    <n v="0.5"/>
    <s v="METRE"/>
    <n v="0"/>
    <n v="0"/>
    <n v="36.5"/>
    <n v="9"/>
    <n v="0"/>
    <n v="250.29"/>
    <n v="27.81"/>
    <x v="58"/>
    <n v="13.904999999999999"/>
    <x v="5"/>
  </r>
  <r>
    <x v="16"/>
    <s v="Stefan Zaugg"/>
    <x v="0"/>
    <x v="174"/>
    <x v="174"/>
    <n v="6"/>
    <s v="ADET"/>
    <n v="0"/>
    <n v="65"/>
    <n v="54"/>
    <n v="2"/>
    <n v="40"/>
    <n v="148"/>
    <n v="74"/>
    <x v="10"/>
    <n v="444"/>
    <x v="4"/>
  </r>
  <r>
    <x v="5"/>
    <s v="Matteo Giolo"/>
    <x v="0"/>
    <x v="75"/>
    <x v="75"/>
    <n v="0.7"/>
    <s v="ADET"/>
    <n v="0"/>
    <n v="24"/>
    <n v="-3.5527136788005009E-14"/>
    <n v="-7.600000000000005"/>
    <n v="0"/>
    <n v="0"/>
    <n v="120"/>
    <x v="14"/>
    <n v="84"/>
    <x v="3"/>
  </r>
  <r>
    <x v="3"/>
    <s v="Stina Alm"/>
    <x v="0"/>
    <x v="171"/>
    <x v="171"/>
    <n v="1"/>
    <s v="ADET"/>
    <n v="0"/>
    <n v="0"/>
    <n v="0"/>
    <n v="3"/>
    <n v="0"/>
    <n v="40950.03"/>
    <n v="13650.01"/>
    <x v="13"/>
    <n v="13650.01"/>
    <x v="7"/>
  </r>
  <r>
    <x v="3"/>
    <s v="Stina Alm"/>
    <x v="0"/>
    <x v="170"/>
    <x v="170"/>
    <n v="3"/>
    <s v="ADET"/>
    <n v="0"/>
    <n v="65"/>
    <n v="31"/>
    <n v="-31"/>
    <n v="0"/>
    <n v="0"/>
    <n v="45.5"/>
    <x v="57"/>
    <n v="136.5"/>
    <x v="7"/>
  </r>
  <r>
    <x v="7"/>
    <s v="Laurent MONTAGNER"/>
    <x v="0"/>
    <x v="175"/>
    <x v="175"/>
    <n v="2"/>
    <s v="ADET"/>
    <n v="2"/>
    <n v="20"/>
    <n v="20"/>
    <n v="-6"/>
    <n v="10"/>
    <n v="0"/>
    <n v="400"/>
    <x v="35"/>
    <n v="800"/>
    <x v="7"/>
  </r>
  <r>
    <x v="14"/>
    <s v="Stefan Zaugg"/>
    <x v="0"/>
    <x v="174"/>
    <x v="174"/>
    <n v="3"/>
    <s v="ADET"/>
    <n v="0"/>
    <n v="65"/>
    <n v="54"/>
    <n v="2"/>
    <n v="40"/>
    <n v="148"/>
    <n v="74"/>
    <x v="10"/>
    <n v="222"/>
    <x v="4"/>
  </r>
  <r>
    <x v="15"/>
    <s v="Jan Urbanek"/>
    <x v="0"/>
    <x v="174"/>
    <x v="174"/>
    <n v="6"/>
    <s v="ADET"/>
    <n v="0"/>
    <n v="65"/>
    <n v="54"/>
    <n v="2"/>
    <n v="40"/>
    <n v="148"/>
    <n v="74"/>
    <x v="10"/>
    <n v="444"/>
    <x v="4"/>
  </r>
  <r>
    <x v="16"/>
    <s v="Stefan Zaugg"/>
    <x v="0"/>
    <x v="176"/>
    <x v="176"/>
    <n v="0.2"/>
    <s v="METRE"/>
    <n v="0"/>
    <n v="200"/>
    <n v="5.6843418860808015E-14"/>
    <n v="-196.15"/>
    <n v="0"/>
    <n v="0"/>
    <n v="2.89"/>
    <x v="15"/>
    <n v="0.57800000000000007"/>
    <x v="7"/>
  </r>
  <r>
    <x v="17"/>
    <s v="Murat Taşdemir"/>
    <x v="0"/>
    <x v="176"/>
    <x v="176"/>
    <n v="0.2"/>
    <s v="METRE"/>
    <n v="0"/>
    <n v="200"/>
    <n v="5.6843418860808015E-14"/>
    <n v="-196.15"/>
    <n v="0"/>
    <n v="0"/>
    <n v="2.89"/>
    <x v="15"/>
    <n v="0.57800000000000007"/>
    <x v="7"/>
  </r>
  <r>
    <x v="5"/>
    <s v="Matteo Giolo"/>
    <x v="0"/>
    <x v="175"/>
    <x v="175"/>
    <n v="2"/>
    <s v="ADET"/>
    <n v="0"/>
    <n v="20"/>
    <n v="20"/>
    <n v="-6"/>
    <n v="10"/>
    <n v="0"/>
    <n v="400"/>
    <x v="35"/>
    <n v="800"/>
    <x v="7"/>
  </r>
  <r>
    <x v="3"/>
    <s v="Stina Alm"/>
    <x v="0"/>
    <x v="175"/>
    <x v="175"/>
    <n v="2"/>
    <s v="ADET"/>
    <n v="0"/>
    <n v="20"/>
    <n v="20"/>
    <n v="-6"/>
    <n v="10"/>
    <n v="0"/>
    <n v="400"/>
    <x v="35"/>
    <n v="800"/>
    <x v="7"/>
  </r>
  <r>
    <x v="10"/>
    <s v="Jan Urbanek"/>
    <x v="0"/>
    <x v="209"/>
    <x v="209"/>
    <n v="1"/>
    <s v="ADET"/>
    <n v="0"/>
    <n v="6"/>
    <n v="7"/>
    <n v="2"/>
    <n v="0"/>
    <n v="4960.92"/>
    <n v="2480.46"/>
    <x v="13"/>
    <n v="2480.46"/>
    <x v="7"/>
  </r>
  <r>
    <x v="8"/>
    <s v="Jan Urbanek"/>
    <x v="0"/>
    <x v="209"/>
    <x v="209"/>
    <n v="1"/>
    <s v="ADET"/>
    <n v="0"/>
    <n v="6"/>
    <n v="7"/>
    <n v="2"/>
    <n v="0"/>
    <n v="4960.92"/>
    <n v="2480.46"/>
    <x v="13"/>
    <n v="2480.46"/>
    <x v="7"/>
  </r>
  <r>
    <x v="2"/>
    <s v="Laurent MONTAGNER"/>
    <x v="0"/>
    <x v="158"/>
    <x v="158"/>
    <n v="9.6300000000000008"/>
    <s v="KG"/>
    <n v="0"/>
    <n v="0"/>
    <n v="297.61"/>
    <n v="97.560000000000016"/>
    <n v="0"/>
    <n v="13285.720800000003"/>
    <n v="136.18"/>
    <x v="54"/>
    <n v="1311.4134000000001"/>
    <x v="3"/>
  </r>
  <r>
    <x v="1"/>
    <s v="Stina Alm"/>
    <x v="0"/>
    <x v="159"/>
    <x v="159"/>
    <n v="1"/>
    <s v="ADET"/>
    <n v="0"/>
    <n v="0"/>
    <n v="8"/>
    <n v="12"/>
    <n v="0"/>
    <n v="55600.08"/>
    <n v="4633.34"/>
    <x v="11"/>
    <n v="4633.34"/>
    <x v="6"/>
  </r>
  <r>
    <x v="0"/>
    <s v="Soner Kayıkçı"/>
    <x v="0"/>
    <x v="157"/>
    <x v="157"/>
    <n v="88"/>
    <s v="ADET"/>
    <n v="0"/>
    <n v="2750"/>
    <n v="0"/>
    <n v="-747"/>
    <n v="0"/>
    <n v="0"/>
    <n v="0.7"/>
    <x v="14"/>
    <n v="61.599999999999994"/>
    <x v="2"/>
  </r>
  <r>
    <x v="2"/>
    <s v="Laurent MONTAGNER"/>
    <x v="0"/>
    <x v="157"/>
    <x v="157"/>
    <n v="146"/>
    <s v="ADET"/>
    <n v="0"/>
    <n v="2750"/>
    <n v="0"/>
    <n v="-747"/>
    <n v="0"/>
    <n v="0"/>
    <n v="0.7"/>
    <x v="14"/>
    <n v="102.19999999999999"/>
    <x v="2"/>
  </r>
  <r>
    <x v="19"/>
    <s v="Volkan Batkan"/>
    <x v="0"/>
    <x v="157"/>
    <x v="157"/>
    <n v="104"/>
    <s v="ADET"/>
    <n v="0"/>
    <n v="2750"/>
    <n v="0"/>
    <n v="-747"/>
    <n v="0"/>
    <n v="0"/>
    <n v="0.7"/>
    <x v="14"/>
    <n v="72.8"/>
    <x v="2"/>
  </r>
  <r>
    <x v="15"/>
    <s v="Jan Urbanek"/>
    <x v="0"/>
    <x v="157"/>
    <x v="157"/>
    <n v="100"/>
    <s v="ADET"/>
    <n v="0"/>
    <n v="2750"/>
    <n v="0"/>
    <n v="-747"/>
    <n v="0"/>
    <n v="0"/>
    <n v="0.7"/>
    <x v="14"/>
    <n v="70"/>
    <x v="2"/>
  </r>
  <r>
    <x v="13"/>
    <s v="Matteo Giolo"/>
    <x v="0"/>
    <x v="157"/>
    <x v="157"/>
    <n v="100"/>
    <s v="ADET"/>
    <n v="0"/>
    <n v="2750"/>
    <n v="0"/>
    <n v="-747"/>
    <n v="0"/>
    <n v="0"/>
    <n v="0.7"/>
    <x v="14"/>
    <n v="70"/>
    <x v="2"/>
  </r>
  <r>
    <x v="14"/>
    <s v="Stefan Zaugg"/>
    <x v="0"/>
    <x v="210"/>
    <x v="210"/>
    <n v="3"/>
    <s v="ADET"/>
    <n v="3"/>
    <n v="16"/>
    <n v="9"/>
    <n v="-16"/>
    <n v="0"/>
    <n v="0"/>
    <n v="110"/>
    <x v="65"/>
    <n v="330"/>
    <x v="6"/>
  </r>
  <r>
    <x v="4"/>
    <s v="Stefan Zaugg"/>
    <x v="0"/>
    <x v="83"/>
    <x v="83"/>
    <n v="0.05"/>
    <s v="KG"/>
    <n v="0"/>
    <n v="3"/>
    <n v="0"/>
    <n v="-2.75"/>
    <n v="0"/>
    <n v="0"/>
    <n v="148.31"/>
    <x v="5"/>
    <n v="7.4155000000000006"/>
    <x v="3"/>
  </r>
  <r>
    <x v="7"/>
    <s v="Laurent MONTAGNER"/>
    <x v="0"/>
    <x v="83"/>
    <x v="83"/>
    <n v="0.05"/>
    <s v="KG"/>
    <n v="0"/>
    <n v="3"/>
    <n v="0"/>
    <n v="-2.75"/>
    <n v="0"/>
    <n v="0"/>
    <n v="148.31"/>
    <x v="5"/>
    <n v="7.4155000000000006"/>
    <x v="3"/>
  </r>
  <r>
    <x v="0"/>
    <s v="Soner Kayıkçı"/>
    <x v="0"/>
    <x v="190"/>
    <x v="190"/>
    <n v="28"/>
    <s v="ADET"/>
    <n v="0"/>
    <n v="800"/>
    <n v="0"/>
    <n v="-414"/>
    <n v="0"/>
    <n v="0"/>
    <n v="13.75"/>
    <x v="21"/>
    <n v="385"/>
    <x v="2"/>
  </r>
  <r>
    <x v="17"/>
    <s v="Murat Taşdemir"/>
    <x v="0"/>
    <x v="158"/>
    <x v="158"/>
    <n v="9.6300000000000008"/>
    <s v="KG"/>
    <n v="0"/>
    <n v="0"/>
    <n v="297.61"/>
    <n v="97.560000000000016"/>
    <n v="0"/>
    <n v="13285.720800000003"/>
    <n v="136.18"/>
    <x v="54"/>
    <n v="1311.4134000000001"/>
    <x v="3"/>
  </r>
  <r>
    <x v="19"/>
    <s v="Volkan Batkan"/>
    <x v="0"/>
    <x v="190"/>
    <x v="190"/>
    <n v="28"/>
    <s v="ADET"/>
    <n v="28"/>
    <n v="800"/>
    <n v="0"/>
    <n v="-414"/>
    <n v="0"/>
    <n v="0"/>
    <n v="13.75"/>
    <x v="21"/>
    <n v="385"/>
    <x v="2"/>
  </r>
  <r>
    <x v="14"/>
    <s v="Stefan Zaugg"/>
    <x v="0"/>
    <x v="190"/>
    <x v="190"/>
    <n v="23"/>
    <s v="ADET"/>
    <n v="23"/>
    <n v="800"/>
    <n v="0"/>
    <n v="-414"/>
    <n v="0"/>
    <n v="0"/>
    <n v="13.75"/>
    <x v="21"/>
    <n v="316.25"/>
    <x v="2"/>
  </r>
  <r>
    <x v="13"/>
    <s v="Matteo Giolo"/>
    <x v="0"/>
    <x v="190"/>
    <x v="190"/>
    <n v="30"/>
    <s v="ADET"/>
    <n v="0"/>
    <n v="800"/>
    <n v="0"/>
    <n v="-414"/>
    <n v="0"/>
    <n v="0"/>
    <n v="13.75"/>
    <x v="21"/>
    <n v="412.5"/>
    <x v="2"/>
  </r>
  <r>
    <x v="19"/>
    <s v="Volkan Batkan"/>
    <x v="0"/>
    <x v="211"/>
    <x v="211"/>
    <n v="0.5"/>
    <s v="ADET"/>
    <n v="0"/>
    <n v="14"/>
    <n v="9.9999999999999929"/>
    <n v="2.5700000000000003"/>
    <n v="0"/>
    <n v="552.55000000000007"/>
    <n v="215"/>
    <x v="14"/>
    <n v="107.5"/>
    <x v="2"/>
  </r>
  <r>
    <x v="16"/>
    <s v="Stefan Zaugg"/>
    <x v="0"/>
    <x v="211"/>
    <x v="211"/>
    <n v="1"/>
    <s v="ADET"/>
    <n v="0"/>
    <n v="14"/>
    <n v="9.9999999999999929"/>
    <n v="2.5700000000000003"/>
    <n v="0"/>
    <n v="552.55000000000007"/>
    <n v="215"/>
    <x v="14"/>
    <n v="215"/>
    <x v="2"/>
  </r>
  <r>
    <x v="14"/>
    <s v="Stefan Zaugg"/>
    <x v="0"/>
    <x v="211"/>
    <x v="211"/>
    <n v="1"/>
    <s v="ADET"/>
    <n v="0"/>
    <n v="14"/>
    <n v="9.9999999999999929"/>
    <n v="2.5700000000000003"/>
    <n v="0"/>
    <n v="552.55000000000007"/>
    <n v="215"/>
    <x v="14"/>
    <n v="215"/>
    <x v="2"/>
  </r>
  <r>
    <x v="15"/>
    <s v="Jan Urbanek"/>
    <x v="0"/>
    <x v="211"/>
    <x v="211"/>
    <n v="1"/>
    <s v="ADET"/>
    <n v="0"/>
    <n v="14"/>
    <n v="9.9999999999999929"/>
    <n v="2.5700000000000003"/>
    <n v="0"/>
    <n v="552.55000000000007"/>
    <n v="215"/>
    <x v="14"/>
    <n v="215"/>
    <x v="2"/>
  </r>
  <r>
    <x v="13"/>
    <s v="Matteo Giolo"/>
    <x v="0"/>
    <x v="211"/>
    <x v="211"/>
    <n v="0.67"/>
    <s v="ADET"/>
    <n v="0"/>
    <n v="14"/>
    <n v="9.9999999999999929"/>
    <n v="2.5700000000000003"/>
    <n v="0"/>
    <n v="552.55000000000007"/>
    <n v="215"/>
    <x v="14"/>
    <n v="144.05000000000001"/>
    <x v="2"/>
  </r>
  <r>
    <x v="16"/>
    <s v="Stefan Zaugg"/>
    <x v="0"/>
    <x v="212"/>
    <x v="212"/>
    <n v="0.7"/>
    <s v="ADET"/>
    <n v="0"/>
    <n v="272"/>
    <n v="4.2999999999999652"/>
    <n v="-233.2"/>
    <n v="0"/>
    <n v="0"/>
    <n v="30"/>
    <x v="14"/>
    <n v="21"/>
    <x v="2"/>
  </r>
  <r>
    <x v="14"/>
    <s v="Stefan Zaugg"/>
    <x v="0"/>
    <x v="212"/>
    <x v="212"/>
    <n v="0.5"/>
    <s v="ADET"/>
    <n v="0"/>
    <n v="272"/>
    <n v="4.2999999999999652"/>
    <n v="-233.2"/>
    <n v="0"/>
    <n v="0"/>
    <n v="30"/>
    <x v="14"/>
    <n v="15"/>
    <x v="2"/>
  </r>
  <r>
    <x v="3"/>
    <s v="Stina Alm"/>
    <x v="0"/>
    <x v="155"/>
    <x v="155"/>
    <n v="1"/>
    <s v="ADET"/>
    <n v="0"/>
    <n v="4"/>
    <n v="10"/>
    <n v="8"/>
    <n v="0"/>
    <n v="41649.120000000003"/>
    <n v="5206.1400000000003"/>
    <x v="19"/>
    <n v="5206.1400000000003"/>
    <x v="7"/>
  </r>
  <r>
    <x v="12"/>
    <s v="Matteo Giolo"/>
    <x v="0"/>
    <x v="83"/>
    <x v="83"/>
    <n v="0.02"/>
    <s v="KG"/>
    <n v="0"/>
    <n v="3"/>
    <n v="0"/>
    <n v="-2.75"/>
    <n v="0"/>
    <n v="0"/>
    <n v="148.31"/>
    <x v="5"/>
    <n v="2.9662000000000002"/>
    <x v="3"/>
  </r>
  <r>
    <x v="19"/>
    <s v="Volkan Batkan"/>
    <x v="0"/>
    <x v="158"/>
    <x v="158"/>
    <n v="7"/>
    <s v="KG"/>
    <n v="7"/>
    <n v="0"/>
    <n v="297.61"/>
    <n v="97.560000000000016"/>
    <n v="0"/>
    <n v="13285.720800000003"/>
    <n v="136.18"/>
    <x v="54"/>
    <n v="953.26"/>
    <x v="3"/>
  </r>
  <r>
    <x v="15"/>
    <s v="Jan Urbanek"/>
    <x v="0"/>
    <x v="158"/>
    <x v="158"/>
    <n v="7"/>
    <s v="KG"/>
    <n v="0"/>
    <n v="0"/>
    <n v="297.61"/>
    <n v="97.560000000000016"/>
    <n v="0"/>
    <n v="13285.720800000003"/>
    <n v="136.18"/>
    <x v="54"/>
    <n v="953.26"/>
    <x v="3"/>
  </r>
  <r>
    <x v="13"/>
    <s v="Matteo Giolo"/>
    <x v="0"/>
    <x v="158"/>
    <x v="158"/>
    <n v="8.89"/>
    <s v="KG"/>
    <n v="0"/>
    <n v="0"/>
    <n v="297.61"/>
    <n v="97.560000000000016"/>
    <n v="0"/>
    <n v="13285.720800000003"/>
    <n v="136.18"/>
    <x v="54"/>
    <n v="1210.6402"/>
    <x v="3"/>
  </r>
  <r>
    <x v="17"/>
    <s v="Murat Taşdemir"/>
    <x v="0"/>
    <x v="160"/>
    <x v="160"/>
    <n v="6"/>
    <s v="ADET"/>
    <n v="0"/>
    <n v="0"/>
    <n v="0"/>
    <n v="54"/>
    <n v="0"/>
    <n v="35.64"/>
    <n v="0.66"/>
    <x v="20"/>
    <n v="3.96"/>
    <x v="7"/>
  </r>
  <r>
    <x v="15"/>
    <s v="Jan Urbanek"/>
    <x v="0"/>
    <x v="131"/>
    <x v="131"/>
    <n v="0.05"/>
    <s v="METRE"/>
    <n v="0"/>
    <n v="0"/>
    <n v="0"/>
    <n v="1.8"/>
    <n v="0"/>
    <n v="9"/>
    <n v="5"/>
    <x v="5"/>
    <n v="0.25"/>
    <x v="7"/>
  </r>
  <r>
    <x v="3"/>
    <s v="Stina Alm"/>
    <x v="0"/>
    <x v="79"/>
    <x v="79"/>
    <n v="2"/>
    <s v="ADET"/>
    <n v="0"/>
    <n v="42"/>
    <n v="34"/>
    <n v="-8"/>
    <n v="0"/>
    <n v="0"/>
    <n v="65"/>
    <x v="14"/>
    <n v="130"/>
    <x v="2"/>
  </r>
  <r>
    <x v="17"/>
    <s v="Murat Taşdemir"/>
    <x v="0"/>
    <x v="131"/>
    <x v="131"/>
    <n v="0.05"/>
    <s v="METRE"/>
    <n v="0"/>
    <n v="0"/>
    <n v="0"/>
    <n v="1.8"/>
    <n v="0"/>
    <n v="9"/>
    <n v="5"/>
    <x v="5"/>
    <n v="0.25"/>
    <x v="7"/>
  </r>
  <r>
    <x v="12"/>
    <s v="Matteo Giolo"/>
    <x v="0"/>
    <x v="79"/>
    <x v="79"/>
    <n v="2"/>
    <s v="ADET"/>
    <n v="0"/>
    <n v="42"/>
    <n v="34"/>
    <n v="-8"/>
    <n v="0"/>
    <n v="0"/>
    <n v="65"/>
    <x v="14"/>
    <n v="130"/>
    <x v="2"/>
  </r>
  <r>
    <x v="7"/>
    <s v="Laurent MONTAGNER"/>
    <x v="0"/>
    <x v="79"/>
    <x v="79"/>
    <n v="2"/>
    <s v="ADET"/>
    <n v="0"/>
    <n v="42"/>
    <n v="34"/>
    <n v="-8"/>
    <n v="0"/>
    <n v="0"/>
    <n v="65"/>
    <x v="14"/>
    <n v="130"/>
    <x v="2"/>
  </r>
  <r>
    <x v="9"/>
    <s v="Jan Urbanek"/>
    <x v="0"/>
    <x v="130"/>
    <x v="130"/>
    <n v="3"/>
    <s v="ADET"/>
    <n v="0"/>
    <n v="252"/>
    <n v="51"/>
    <n v="-243"/>
    <n v="0"/>
    <n v="0"/>
    <n v="8"/>
    <x v="14"/>
    <n v="24"/>
    <x v="4"/>
  </r>
  <r>
    <x v="8"/>
    <s v="Jan Urbanek"/>
    <x v="0"/>
    <x v="131"/>
    <x v="131"/>
    <n v="0.05"/>
    <s v="METRE"/>
    <n v="0"/>
    <n v="0"/>
    <n v="0"/>
    <n v="1.8"/>
    <n v="0"/>
    <n v="9"/>
    <n v="5"/>
    <x v="5"/>
    <n v="0.25"/>
    <x v="7"/>
  </r>
  <r>
    <x v="9"/>
    <s v="Jan Urbanek"/>
    <x v="0"/>
    <x v="131"/>
    <x v="131"/>
    <n v="0.05"/>
    <s v="METRE"/>
    <n v="0"/>
    <n v="0"/>
    <n v="0"/>
    <n v="1.8"/>
    <n v="0"/>
    <n v="9"/>
    <n v="5"/>
    <x v="5"/>
    <n v="0.25"/>
    <x v="7"/>
  </r>
  <r>
    <x v="10"/>
    <s v="Jan Urbanek"/>
    <x v="0"/>
    <x v="132"/>
    <x v="132"/>
    <n v="1"/>
    <s v="ADET"/>
    <n v="0"/>
    <n v="0"/>
    <n v="7"/>
    <n v="19"/>
    <n v="0"/>
    <n v="760"/>
    <n v="40"/>
    <x v="49"/>
    <n v="40"/>
    <x v="7"/>
  </r>
  <r>
    <x v="8"/>
    <s v="Jan Urbanek"/>
    <x v="0"/>
    <x v="132"/>
    <x v="132"/>
    <n v="1"/>
    <s v="ADET"/>
    <n v="0"/>
    <n v="0"/>
    <n v="7"/>
    <n v="19"/>
    <n v="0"/>
    <n v="760"/>
    <n v="40"/>
    <x v="49"/>
    <n v="40"/>
    <x v="7"/>
  </r>
  <r>
    <x v="14"/>
    <s v="Stefan Zaugg"/>
    <x v="0"/>
    <x v="213"/>
    <x v="213"/>
    <n v="4"/>
    <s v="ADET"/>
    <n v="0"/>
    <n v="842"/>
    <n v="0"/>
    <n v="-834"/>
    <n v="0"/>
    <n v="0"/>
    <n v="0.93"/>
    <x v="66"/>
    <n v="3.72"/>
    <x v="2"/>
  </r>
  <r>
    <x v="16"/>
    <s v="Stefan Zaugg"/>
    <x v="0"/>
    <x v="131"/>
    <x v="131"/>
    <n v="0.05"/>
    <s v="METRE"/>
    <n v="0"/>
    <n v="0"/>
    <n v="0"/>
    <n v="1.8"/>
    <n v="0"/>
    <n v="9"/>
    <n v="5"/>
    <x v="5"/>
    <n v="0.25"/>
    <x v="7"/>
  </r>
  <r>
    <x v="14"/>
    <s v="Stefan Zaugg"/>
    <x v="0"/>
    <x v="131"/>
    <x v="131"/>
    <n v="0.05"/>
    <s v="METRE"/>
    <n v="0"/>
    <n v="0"/>
    <n v="0"/>
    <n v="1.8"/>
    <n v="0"/>
    <n v="9"/>
    <n v="5"/>
    <x v="5"/>
    <n v="0.25"/>
    <x v="7"/>
  </r>
  <r>
    <x v="13"/>
    <s v="Matteo Giolo"/>
    <x v="0"/>
    <x v="131"/>
    <x v="131"/>
    <n v="0.2"/>
    <s v="METRE"/>
    <n v="0"/>
    <n v="0"/>
    <n v="0"/>
    <n v="1.8"/>
    <n v="0"/>
    <n v="9"/>
    <n v="5"/>
    <x v="5"/>
    <n v="1"/>
    <x v="7"/>
  </r>
  <r>
    <x v="3"/>
    <s v="Stina Alm"/>
    <x v="0"/>
    <x v="77"/>
    <x v="77"/>
    <n v="18"/>
    <s v="ADET"/>
    <n v="0"/>
    <n v="3750"/>
    <n v="674"/>
    <n v="-3452"/>
    <n v="0"/>
    <n v="0"/>
    <n v="0.2"/>
    <x v="14"/>
    <n v="3.6"/>
    <x v="2"/>
  </r>
  <r>
    <x v="5"/>
    <s v="Matteo Giolo"/>
    <x v="0"/>
    <x v="79"/>
    <x v="79"/>
    <n v="2"/>
    <s v="ADET"/>
    <n v="0"/>
    <n v="42"/>
    <n v="34"/>
    <n v="-8"/>
    <n v="0"/>
    <n v="0"/>
    <n v="65"/>
    <x v="14"/>
    <n v="130"/>
    <x v="2"/>
  </r>
  <r>
    <x v="4"/>
    <s v="Stefan Zaugg"/>
    <x v="0"/>
    <x v="79"/>
    <x v="79"/>
    <n v="2"/>
    <s v="ADET"/>
    <n v="0"/>
    <n v="42"/>
    <n v="34"/>
    <n v="-8"/>
    <n v="0"/>
    <n v="0"/>
    <n v="65"/>
    <x v="14"/>
    <n v="130"/>
    <x v="2"/>
  </r>
  <r>
    <x v="4"/>
    <s v="Stefan Zaugg"/>
    <x v="0"/>
    <x v="213"/>
    <x v="213"/>
    <n v="4"/>
    <s v="ADET"/>
    <n v="0"/>
    <n v="842"/>
    <n v="0"/>
    <n v="-834"/>
    <n v="0"/>
    <n v="0"/>
    <n v="0.93"/>
    <x v="66"/>
    <n v="3.72"/>
    <x v="2"/>
  </r>
  <r>
    <x v="3"/>
    <s v="Stina Alm"/>
    <x v="0"/>
    <x v="214"/>
    <x v="214"/>
    <n v="1"/>
    <s v="ADET"/>
    <n v="0"/>
    <n v="0"/>
    <n v="0"/>
    <n v="1"/>
    <n v="0"/>
    <n v="2.12"/>
    <n v="2.12"/>
    <x v="5"/>
    <n v="2.12"/>
    <x v="2"/>
  </r>
  <r>
    <x v="4"/>
    <s v="Stefan Zaugg"/>
    <x v="0"/>
    <x v="131"/>
    <x v="131"/>
    <n v="0.05"/>
    <s v="METRE"/>
    <n v="0"/>
    <n v="0"/>
    <n v="0"/>
    <n v="1.8"/>
    <n v="0"/>
    <n v="9"/>
    <n v="5"/>
    <x v="5"/>
    <n v="0.25"/>
    <x v="7"/>
  </r>
  <r>
    <x v="3"/>
    <s v="Stina Alm"/>
    <x v="0"/>
    <x v="131"/>
    <x v="131"/>
    <n v="0.2"/>
    <s v="METRE"/>
    <n v="0"/>
    <n v="0"/>
    <n v="0"/>
    <n v="1.8"/>
    <n v="0"/>
    <n v="9"/>
    <n v="5"/>
    <x v="5"/>
    <n v="1"/>
    <x v="7"/>
  </r>
  <r>
    <x v="0"/>
    <s v="Soner Kayıkçı"/>
    <x v="0"/>
    <x v="131"/>
    <x v="131"/>
    <n v="0.05"/>
    <s v="METRE"/>
    <n v="0"/>
    <n v="0"/>
    <n v="0"/>
    <n v="1.8"/>
    <n v="0"/>
    <n v="9"/>
    <n v="5"/>
    <x v="5"/>
    <n v="0.25"/>
    <x v="7"/>
  </r>
  <r>
    <x v="2"/>
    <s v="Laurent MONTAGNER"/>
    <x v="0"/>
    <x v="132"/>
    <x v="132"/>
    <n v="1"/>
    <s v="ADET"/>
    <n v="0"/>
    <n v="0"/>
    <n v="7"/>
    <n v="19"/>
    <n v="0"/>
    <n v="760"/>
    <n v="40"/>
    <x v="49"/>
    <n v="40"/>
    <x v="7"/>
  </r>
  <r>
    <x v="12"/>
    <s v="Matteo Giolo"/>
    <x v="0"/>
    <x v="131"/>
    <x v="131"/>
    <n v="0.05"/>
    <s v="METRE"/>
    <n v="0"/>
    <n v="0"/>
    <n v="0"/>
    <n v="1.8"/>
    <n v="0"/>
    <n v="9"/>
    <n v="5"/>
    <x v="5"/>
    <n v="0.25"/>
    <x v="7"/>
  </r>
  <r>
    <x v="7"/>
    <s v="Laurent MONTAGNER"/>
    <x v="0"/>
    <x v="215"/>
    <x v="215"/>
    <n v="0.4"/>
    <s v="METRE"/>
    <n v="0"/>
    <n v="0"/>
    <n v="0"/>
    <n v="0.8"/>
    <n v="0"/>
    <n v="2.4000000000000004"/>
    <n v="3"/>
    <x v="5"/>
    <n v="1.2000000000000002"/>
    <x v="7"/>
  </r>
  <r>
    <x v="5"/>
    <s v="Matteo Giolo"/>
    <x v="0"/>
    <x v="131"/>
    <x v="131"/>
    <n v="0.2"/>
    <s v="METRE"/>
    <n v="0"/>
    <n v="0"/>
    <n v="0"/>
    <n v="1.8"/>
    <n v="0"/>
    <n v="9"/>
    <n v="5"/>
    <x v="5"/>
    <n v="1"/>
    <x v="7"/>
  </r>
  <r>
    <x v="7"/>
    <s v="Laurent MONTAGNER"/>
    <x v="0"/>
    <x v="131"/>
    <x v="131"/>
    <n v="0.2"/>
    <s v="METRE"/>
    <n v="0"/>
    <n v="0"/>
    <n v="0"/>
    <n v="1.8"/>
    <n v="0"/>
    <n v="9"/>
    <n v="5"/>
    <x v="5"/>
    <n v="1"/>
    <x v="7"/>
  </r>
  <r>
    <x v="4"/>
    <s v="Stefan Zaugg"/>
    <x v="0"/>
    <x v="132"/>
    <x v="132"/>
    <n v="1"/>
    <s v="ADET"/>
    <n v="0"/>
    <n v="0"/>
    <n v="7"/>
    <n v="19"/>
    <n v="0"/>
    <n v="760"/>
    <n v="40"/>
    <x v="49"/>
    <n v="40"/>
    <x v="7"/>
  </r>
  <r>
    <x v="7"/>
    <s v="Laurent MONTAGNER"/>
    <x v="0"/>
    <x v="216"/>
    <x v="216"/>
    <n v="0.16"/>
    <s v="ADET"/>
    <n v="0"/>
    <n v="80"/>
    <n v="56.839999999999961"/>
    <n v="-79.680000000000007"/>
    <n v="0"/>
    <n v="0"/>
    <n v="9.5"/>
    <x v="20"/>
    <n v="1.52"/>
    <x v="2"/>
  </r>
  <r>
    <x v="6"/>
    <s v="Laurent MONTAGNER"/>
    <x v="0"/>
    <x v="215"/>
    <x v="215"/>
    <n v="0.4"/>
    <s v="METRE"/>
    <n v="0"/>
    <n v="0"/>
    <n v="0"/>
    <n v="0.8"/>
    <n v="0"/>
    <n v="2.4000000000000004"/>
    <n v="3"/>
    <x v="5"/>
    <n v="1.2000000000000002"/>
    <x v="7"/>
  </r>
  <r>
    <x v="6"/>
    <s v="Laurent MONTAGNER"/>
    <x v="0"/>
    <x v="131"/>
    <x v="131"/>
    <n v="0.2"/>
    <s v="METRE"/>
    <n v="0"/>
    <n v="0"/>
    <n v="0"/>
    <n v="1.8"/>
    <n v="0"/>
    <n v="9"/>
    <n v="5"/>
    <x v="5"/>
    <n v="1"/>
    <x v="7"/>
  </r>
  <r>
    <x v="1"/>
    <s v="Stina Alm"/>
    <x v="0"/>
    <x v="131"/>
    <x v="131"/>
    <n v="0.2"/>
    <s v="METRE"/>
    <n v="0"/>
    <n v="0"/>
    <n v="0"/>
    <n v="1.8"/>
    <n v="0"/>
    <n v="9"/>
    <n v="5"/>
    <x v="5"/>
    <n v="1"/>
    <x v="7"/>
  </r>
  <r>
    <x v="1"/>
    <s v="Stina Alm"/>
    <x v="0"/>
    <x v="132"/>
    <x v="132"/>
    <n v="1"/>
    <s v="ADET"/>
    <n v="0"/>
    <n v="0"/>
    <n v="7"/>
    <n v="19"/>
    <n v="0"/>
    <n v="760"/>
    <n v="40"/>
    <x v="49"/>
    <n v="40"/>
    <x v="7"/>
  </r>
  <r>
    <x v="6"/>
    <s v="Laurent MONTAGNER"/>
    <x v="0"/>
    <x v="132"/>
    <x v="132"/>
    <n v="1"/>
    <s v="ADET"/>
    <n v="0"/>
    <n v="0"/>
    <n v="7"/>
    <n v="19"/>
    <n v="0"/>
    <n v="760"/>
    <n v="40"/>
    <x v="49"/>
    <n v="40"/>
    <x v="7"/>
  </r>
  <r>
    <x v="10"/>
    <s v="Jan Urbanek"/>
    <x v="0"/>
    <x v="217"/>
    <x v="217"/>
    <n v="4"/>
    <s v="ADET"/>
    <n v="0"/>
    <n v="39"/>
    <n v="32"/>
    <n v="-11"/>
    <n v="0"/>
    <n v="0"/>
    <n v="73.349999999999994"/>
    <x v="13"/>
    <n v="293.39999999999998"/>
    <x v="7"/>
  </r>
  <r>
    <x v="8"/>
    <s v="Jan Urbanek"/>
    <x v="0"/>
    <x v="217"/>
    <x v="217"/>
    <n v="4"/>
    <s v="ADET"/>
    <n v="4"/>
    <n v="39"/>
    <n v="32"/>
    <n v="-11"/>
    <n v="0"/>
    <n v="0"/>
    <n v="73.349999999999994"/>
    <x v="13"/>
    <n v="293.39999999999998"/>
    <x v="7"/>
  </r>
  <r>
    <x v="9"/>
    <s v="Jan Urbanek"/>
    <x v="0"/>
    <x v="218"/>
    <x v="218"/>
    <n v="1"/>
    <s v="ADET"/>
    <n v="0"/>
    <n v="24"/>
    <n v="9"/>
    <n v="-21"/>
    <n v="0"/>
    <n v="0"/>
    <n v="368.07"/>
    <x v="67"/>
    <n v="368.07"/>
    <x v="7"/>
  </r>
  <r>
    <x v="9"/>
    <s v="Jan Urbanek"/>
    <x v="0"/>
    <x v="219"/>
    <x v="219"/>
    <n v="0.5"/>
    <s v="ADET"/>
    <n v="0"/>
    <n v="100"/>
    <n v="41"/>
    <n v="-89.5"/>
    <n v="0"/>
    <n v="0"/>
    <n v="60"/>
    <x v="20"/>
    <n v="30"/>
    <x v="2"/>
  </r>
  <r>
    <x v="8"/>
    <s v="Jan Urbanek"/>
    <x v="0"/>
    <x v="219"/>
    <x v="219"/>
    <n v="0.5"/>
    <s v="ADET"/>
    <n v="0"/>
    <n v="100"/>
    <n v="41"/>
    <n v="-89.5"/>
    <n v="0"/>
    <n v="0"/>
    <n v="60"/>
    <x v="20"/>
    <n v="30"/>
    <x v="2"/>
  </r>
  <r>
    <x v="10"/>
    <s v="Jan Urbanek"/>
    <x v="0"/>
    <x v="220"/>
    <x v="220"/>
    <n v="0.5099999999999999"/>
    <s v="ADET"/>
    <n v="0"/>
    <n v="10"/>
    <n v="126.66400000000034"/>
    <n v="-1.1600000000000001"/>
    <n v="0"/>
    <n v="0"/>
    <n v="185"/>
    <x v="14"/>
    <n v="94.34999999999998"/>
    <x v="2"/>
  </r>
  <r>
    <x v="9"/>
    <s v="Jan Urbanek"/>
    <x v="0"/>
    <x v="220"/>
    <x v="220"/>
    <n v="1.51"/>
    <s v="ADET"/>
    <n v="0"/>
    <n v="10"/>
    <n v="126.66400000000034"/>
    <n v="-1.1600000000000001"/>
    <n v="0"/>
    <n v="0"/>
    <n v="185"/>
    <x v="14"/>
    <n v="279.35000000000002"/>
    <x v="2"/>
  </r>
  <r>
    <x v="10"/>
    <s v="Jan Urbanek"/>
    <x v="0"/>
    <x v="221"/>
    <x v="221"/>
    <n v="3"/>
    <s v="ADET"/>
    <n v="0"/>
    <n v="228"/>
    <n v="4.2632564145606011E-14"/>
    <n v="-186"/>
    <n v="0"/>
    <n v="0"/>
    <n v="6"/>
    <x v="28"/>
    <n v="18"/>
    <x v="2"/>
  </r>
  <r>
    <x v="9"/>
    <s v="Jan Urbanek"/>
    <x v="0"/>
    <x v="221"/>
    <x v="221"/>
    <n v="3"/>
    <s v="ADET"/>
    <n v="0"/>
    <n v="228"/>
    <n v="4.2632564145606011E-14"/>
    <n v="-186"/>
    <n v="0"/>
    <n v="0"/>
    <n v="6"/>
    <x v="28"/>
    <n v="18"/>
    <x v="2"/>
  </r>
  <r>
    <x v="8"/>
    <s v="Jan Urbanek"/>
    <x v="0"/>
    <x v="221"/>
    <x v="221"/>
    <n v="2"/>
    <s v="ADET"/>
    <n v="0"/>
    <n v="228"/>
    <n v="4.2632564145606011E-14"/>
    <n v="-186"/>
    <n v="0"/>
    <n v="0"/>
    <n v="6"/>
    <x v="28"/>
    <n v="12"/>
    <x v="2"/>
  </r>
  <r>
    <x v="10"/>
    <s v="Jan Urbanek"/>
    <x v="0"/>
    <x v="222"/>
    <x v="222"/>
    <n v="5"/>
    <s v="ADET"/>
    <n v="0"/>
    <n v="148"/>
    <n v="59"/>
    <n v="-33"/>
    <n v="0"/>
    <n v="0"/>
    <n v="24.17"/>
    <x v="21"/>
    <n v="120.85000000000001"/>
    <x v="2"/>
  </r>
  <r>
    <x v="8"/>
    <s v="Jan Urbanek"/>
    <x v="0"/>
    <x v="222"/>
    <x v="222"/>
    <n v="5"/>
    <s v="ADET"/>
    <n v="0"/>
    <n v="148"/>
    <n v="59"/>
    <n v="-33"/>
    <n v="0"/>
    <n v="0"/>
    <n v="24.17"/>
    <x v="21"/>
    <n v="120.85000000000001"/>
    <x v="2"/>
  </r>
  <r>
    <x v="18"/>
    <s v="Hayriye Güven"/>
    <x v="0"/>
    <x v="223"/>
    <x v="223"/>
    <n v="23.209999999999997"/>
    <s v="KG"/>
    <n v="0"/>
    <n v="0"/>
    <n v="-2.2026824808563106E-13"/>
    <n v="23.209999999999997"/>
    <n v="0"/>
    <n v="2800.9827999999998"/>
    <n v="120.68"/>
    <x v="3"/>
    <n v="2800.9827999999998"/>
    <x v="3"/>
  </r>
  <r>
    <x v="19"/>
    <s v="Volkan Batkan"/>
    <x v="0"/>
    <x v="191"/>
    <x v="191"/>
    <n v="0.5"/>
    <s v="ADET"/>
    <n v="0"/>
    <n v="87"/>
    <n v="50.899999999999949"/>
    <n v="-43.900000000000006"/>
    <n v="0"/>
    <n v="0"/>
    <n v="122.09"/>
    <x v="29"/>
    <n v="61.045000000000002"/>
    <x v="2"/>
  </r>
  <r>
    <x v="13"/>
    <s v="Matteo Giolo"/>
    <x v="0"/>
    <x v="191"/>
    <x v="191"/>
    <n v="6.3"/>
    <s v="ADET"/>
    <n v="0"/>
    <n v="87"/>
    <n v="50.899999999999949"/>
    <n v="-43.900000000000006"/>
    <n v="0"/>
    <n v="0"/>
    <n v="122.09"/>
    <x v="29"/>
    <n v="769.16700000000003"/>
    <x v="2"/>
  </r>
  <r>
    <x v="11"/>
    <s v="Jan Urbanek"/>
    <x v="0"/>
    <x v="191"/>
    <x v="191"/>
    <n v="1"/>
    <s v="ADET"/>
    <n v="0"/>
    <n v="87"/>
    <n v="50.899999999999949"/>
    <n v="-43.900000000000006"/>
    <n v="0"/>
    <n v="0"/>
    <n v="122.09"/>
    <x v="29"/>
    <n v="122.09"/>
    <x v="2"/>
  </r>
  <r>
    <x v="10"/>
    <s v="Jan Urbanek"/>
    <x v="0"/>
    <x v="192"/>
    <x v="192"/>
    <n v="1.5"/>
    <s v="ADET"/>
    <n v="0"/>
    <n v="14"/>
    <n v="6.8000000000000025"/>
    <n v="7.7000000000000028"/>
    <n v="12"/>
    <n v="2532.1450000000009"/>
    <n v="328.85"/>
    <x v="62"/>
    <n v="493.27500000000003"/>
    <x v="3"/>
  </r>
  <r>
    <x v="8"/>
    <s v="Jan Urbanek"/>
    <x v="0"/>
    <x v="193"/>
    <x v="193"/>
    <n v="1"/>
    <s v="ADET"/>
    <n v="0"/>
    <n v="0"/>
    <n v="4"/>
    <n v="0"/>
    <n v="20"/>
    <n v="0"/>
    <n v="28000"/>
    <x v="44"/>
    <n v="28000"/>
    <x v="7"/>
  </r>
  <r>
    <x v="9"/>
    <s v="Jan Urbanek"/>
    <x v="0"/>
    <x v="193"/>
    <x v="193"/>
    <n v="1"/>
    <s v="ADET"/>
    <n v="0"/>
    <n v="0"/>
    <n v="4"/>
    <n v="0"/>
    <n v="20"/>
    <n v="0"/>
    <n v="28000"/>
    <x v="44"/>
    <n v="28000"/>
    <x v="7"/>
  </r>
  <r>
    <x v="8"/>
    <s v="Jan Urbanek"/>
    <x v="0"/>
    <x v="194"/>
    <x v="194"/>
    <n v="4.0999999999999996"/>
    <s v="METRE"/>
    <n v="0"/>
    <n v="100"/>
    <n v="2.0000000000000568"/>
    <n v="-6.4000000000000057"/>
    <n v="0"/>
    <n v="0"/>
    <n v="111"/>
    <x v="15"/>
    <n v="455.09999999999997"/>
    <x v="7"/>
  </r>
  <r>
    <x v="11"/>
    <s v="Jan Urbanek"/>
    <x v="0"/>
    <x v="218"/>
    <x v="218"/>
    <n v="1"/>
    <s v="ADET"/>
    <n v="0"/>
    <n v="24"/>
    <n v="9"/>
    <n v="-21"/>
    <n v="0"/>
    <n v="0"/>
    <n v="368.07"/>
    <x v="67"/>
    <n v="368.07"/>
    <x v="7"/>
  </r>
  <r>
    <x v="9"/>
    <s v="Jan Urbanek"/>
    <x v="0"/>
    <x v="222"/>
    <x v="222"/>
    <n v="5"/>
    <s v="ADET"/>
    <n v="0"/>
    <n v="148"/>
    <n v="59"/>
    <n v="-33"/>
    <n v="0"/>
    <n v="0"/>
    <n v="24.17"/>
    <x v="21"/>
    <n v="120.85000000000001"/>
    <x v="2"/>
  </r>
  <r>
    <x v="9"/>
    <s v="Jan Urbanek"/>
    <x v="0"/>
    <x v="224"/>
    <x v="224"/>
    <n v="5"/>
    <s v="ADET"/>
    <n v="0"/>
    <n v="0"/>
    <n v="75"/>
    <n v="102"/>
    <n v="0"/>
    <n v="10710"/>
    <n v="105"/>
    <x v="68"/>
    <n v="525"/>
    <x v="4"/>
  </r>
  <r>
    <x v="8"/>
    <s v="Jan Urbanek"/>
    <x v="0"/>
    <x v="224"/>
    <x v="224"/>
    <n v="5"/>
    <s v="ADET"/>
    <n v="0"/>
    <n v="0"/>
    <n v="75"/>
    <n v="102"/>
    <n v="0"/>
    <n v="10710"/>
    <n v="105"/>
    <x v="68"/>
    <n v="525"/>
    <x v="4"/>
  </r>
  <r>
    <x v="9"/>
    <s v="Jan Urbanek"/>
    <x v="0"/>
    <x v="191"/>
    <x v="191"/>
    <n v="1"/>
    <s v="ADET"/>
    <n v="0"/>
    <n v="87"/>
    <n v="50.899999999999949"/>
    <n v="-43.900000000000006"/>
    <n v="0"/>
    <n v="0"/>
    <n v="122.09"/>
    <x v="29"/>
    <n v="122.09"/>
    <x v="2"/>
  </r>
  <r>
    <x v="12"/>
    <s v="Matteo Giolo"/>
    <x v="0"/>
    <x v="95"/>
    <x v="95"/>
    <n v="2"/>
    <s v="ADET"/>
    <n v="0"/>
    <n v="809"/>
    <n v="0"/>
    <n v="-768"/>
    <n v="0"/>
    <n v="0"/>
    <n v="2.4"/>
    <x v="14"/>
    <n v="4.8"/>
    <x v="2"/>
  </r>
  <r>
    <x v="7"/>
    <s v="Laurent MONTAGNER"/>
    <x v="0"/>
    <x v="95"/>
    <x v="95"/>
    <n v="4"/>
    <s v="ADET"/>
    <n v="0"/>
    <n v="809"/>
    <n v="0"/>
    <n v="-768"/>
    <n v="0"/>
    <n v="0"/>
    <n v="2.4"/>
    <x v="14"/>
    <n v="9.6"/>
    <x v="2"/>
  </r>
  <r>
    <x v="0"/>
    <s v="Soner Kayıkçı"/>
    <x v="0"/>
    <x v="153"/>
    <x v="153"/>
    <n v="6"/>
    <s v="ADET"/>
    <n v="0"/>
    <n v="84"/>
    <n v="195.90000000000009"/>
    <n v="-24.600000000000023"/>
    <n v="0"/>
    <n v="0"/>
    <n v="29"/>
    <x v="14"/>
    <n v="174"/>
    <x v="2"/>
  </r>
  <r>
    <x v="3"/>
    <s v="Stina Alm"/>
    <x v="0"/>
    <x v="153"/>
    <x v="153"/>
    <n v="6.35"/>
    <s v="ADET"/>
    <n v="0"/>
    <n v="84"/>
    <n v="195.90000000000009"/>
    <n v="-24.600000000000023"/>
    <n v="0"/>
    <n v="0"/>
    <n v="29"/>
    <x v="14"/>
    <n v="184.14999999999998"/>
    <x v="2"/>
  </r>
  <r>
    <x v="0"/>
    <s v="Soner Kayıkçı"/>
    <x v="0"/>
    <x v="181"/>
    <x v="181"/>
    <n v="1"/>
    <s v="ADET"/>
    <n v="0"/>
    <n v="2"/>
    <n v="1"/>
    <n v="2"/>
    <n v="0"/>
    <n v="19880.7"/>
    <n v="9940.35"/>
    <x v="60"/>
    <n v="9940.35"/>
    <x v="7"/>
  </r>
  <r>
    <x v="1"/>
    <s v="Stina Alm"/>
    <x v="0"/>
    <x v="153"/>
    <x v="153"/>
    <n v="6.35"/>
    <s v="ADET"/>
    <n v="0"/>
    <n v="84"/>
    <n v="195.90000000000009"/>
    <n v="-24.600000000000023"/>
    <n v="0"/>
    <n v="0"/>
    <n v="29"/>
    <x v="14"/>
    <n v="184.14999999999998"/>
    <x v="2"/>
  </r>
  <r>
    <x v="1"/>
    <s v="Stina Alm"/>
    <x v="0"/>
    <x v="225"/>
    <x v="225"/>
    <n v="2"/>
    <s v="ADET"/>
    <n v="0"/>
    <n v="18"/>
    <n v="9"/>
    <n v="-10"/>
    <n v="0"/>
    <n v="0"/>
    <n v="60"/>
    <x v="21"/>
    <n v="120"/>
    <x v="2"/>
  </r>
  <r>
    <x v="3"/>
    <s v="Stina Alm"/>
    <x v="0"/>
    <x v="94"/>
    <x v="94"/>
    <n v="1"/>
    <s v="ADET"/>
    <n v="0"/>
    <n v="4"/>
    <n v="12"/>
    <n v="7"/>
    <n v="0"/>
    <n v="12435.01"/>
    <n v="1776.43"/>
    <x v="24"/>
    <n v="1776.43"/>
    <x v="4"/>
  </r>
  <r>
    <x v="3"/>
    <s v="Stina Alm"/>
    <x v="0"/>
    <x v="95"/>
    <x v="95"/>
    <n v="2"/>
    <s v="ADET"/>
    <n v="0"/>
    <n v="809"/>
    <n v="0"/>
    <n v="-768"/>
    <n v="0"/>
    <n v="0"/>
    <n v="2.4"/>
    <x v="14"/>
    <n v="4.8"/>
    <x v="2"/>
  </r>
  <r>
    <x v="5"/>
    <s v="Matteo Giolo"/>
    <x v="0"/>
    <x v="226"/>
    <x v="226"/>
    <n v="1"/>
    <s v="ADET"/>
    <n v="0"/>
    <n v="4"/>
    <n v="2"/>
    <n v="0"/>
    <n v="0"/>
    <n v="0"/>
    <n v="3467.31"/>
    <x v="13"/>
    <n v="3467.31"/>
    <x v="7"/>
  </r>
  <r>
    <x v="19"/>
    <s v="Volkan Batkan"/>
    <x v="0"/>
    <x v="227"/>
    <x v="227"/>
    <n v="9"/>
    <s v="ADET"/>
    <n v="0"/>
    <n v="0"/>
    <n v="0"/>
    <n v="33"/>
    <n v="0"/>
    <n v="3.96"/>
    <n v="0.12"/>
    <x v="69"/>
    <n v="1.08"/>
    <x v="7"/>
  </r>
  <r>
    <x v="16"/>
    <s v="Stefan Zaugg"/>
    <x v="0"/>
    <x v="227"/>
    <x v="227"/>
    <n v="12"/>
    <s v="ADET"/>
    <n v="0"/>
    <n v="0"/>
    <n v="0"/>
    <n v="33"/>
    <n v="0"/>
    <n v="3.96"/>
    <n v="0.12"/>
    <x v="69"/>
    <n v="1.44"/>
    <x v="7"/>
  </r>
  <r>
    <x v="19"/>
    <s v="Volkan Batkan"/>
    <x v="0"/>
    <x v="153"/>
    <x v="153"/>
    <n v="4"/>
    <s v="ADET"/>
    <n v="4"/>
    <n v="84"/>
    <n v="195.90000000000009"/>
    <n v="-24.600000000000023"/>
    <n v="0"/>
    <n v="0"/>
    <n v="29"/>
    <x v="14"/>
    <n v="116"/>
    <x v="2"/>
  </r>
  <r>
    <x v="14"/>
    <s v="Stefan Zaugg"/>
    <x v="0"/>
    <x v="183"/>
    <x v="183"/>
    <n v="1"/>
    <s v="ADET"/>
    <n v="1"/>
    <n v="17"/>
    <n v="11"/>
    <n v="-5"/>
    <n v="0"/>
    <n v="0"/>
    <n v="1094.4000000000001"/>
    <x v="15"/>
    <n v="1094.4000000000001"/>
    <x v="7"/>
  </r>
  <r>
    <x v="13"/>
    <s v="Matteo Giolo"/>
    <x v="0"/>
    <x v="183"/>
    <x v="183"/>
    <n v="1"/>
    <s v="ADET"/>
    <n v="0"/>
    <n v="17"/>
    <n v="11"/>
    <n v="-5"/>
    <n v="0"/>
    <n v="0"/>
    <n v="1094.4000000000001"/>
    <x v="15"/>
    <n v="1094.4000000000001"/>
    <x v="7"/>
  </r>
  <r>
    <x v="15"/>
    <s v="Jan Urbanek"/>
    <x v="0"/>
    <x v="151"/>
    <x v="151"/>
    <n v="0.1"/>
    <s v="METRE"/>
    <n v="0"/>
    <n v="50"/>
    <n v="2.8310687127941492E-15"/>
    <n v="-47.8"/>
    <n v="0"/>
    <n v="0"/>
    <n v="25.41"/>
    <x v="15"/>
    <n v="2.5410000000000004"/>
    <x v="7"/>
  </r>
  <r>
    <x v="13"/>
    <s v="Matteo Giolo"/>
    <x v="0"/>
    <x v="151"/>
    <x v="151"/>
    <n v="0.1"/>
    <s v="METRE"/>
    <n v="0"/>
    <n v="50"/>
    <n v="2.8310687127941492E-15"/>
    <n v="-47.8"/>
    <n v="0"/>
    <n v="0"/>
    <n v="25.41"/>
    <x v="15"/>
    <n v="2.5410000000000004"/>
    <x v="7"/>
  </r>
  <r>
    <x v="19"/>
    <s v="Volkan Batkan"/>
    <x v="0"/>
    <x v="184"/>
    <x v="184"/>
    <n v="3"/>
    <s v="ADET"/>
    <n v="0"/>
    <n v="38"/>
    <n v="25"/>
    <n v="-2"/>
    <n v="20"/>
    <n v="0"/>
    <n v="245"/>
    <x v="10"/>
    <n v="735"/>
    <x v="4"/>
  </r>
  <r>
    <x v="16"/>
    <s v="Stefan Zaugg"/>
    <x v="0"/>
    <x v="184"/>
    <x v="184"/>
    <n v="3"/>
    <s v="ADET"/>
    <n v="0"/>
    <n v="38"/>
    <n v="25"/>
    <n v="-2"/>
    <n v="20"/>
    <n v="0"/>
    <n v="245"/>
    <x v="10"/>
    <n v="735"/>
    <x v="4"/>
  </r>
  <r>
    <x v="14"/>
    <s v="Stefan Zaugg"/>
    <x v="0"/>
    <x v="184"/>
    <x v="184"/>
    <n v="2"/>
    <s v="ADET"/>
    <n v="0"/>
    <n v="38"/>
    <n v="25"/>
    <n v="-2"/>
    <n v="20"/>
    <n v="0"/>
    <n v="245"/>
    <x v="10"/>
    <n v="490"/>
    <x v="4"/>
  </r>
  <r>
    <x v="3"/>
    <s v="Stina Alm"/>
    <x v="0"/>
    <x v="15"/>
    <x v="15"/>
    <n v="1"/>
    <s v="ADET"/>
    <n v="0"/>
    <n v="12"/>
    <n v="13"/>
    <n v="-5"/>
    <n v="0"/>
    <n v="0"/>
    <n v="28339.38"/>
    <x v="11"/>
    <n v="28339.38"/>
    <x v="6"/>
  </r>
  <r>
    <x v="4"/>
    <s v="Stefan Zaugg"/>
    <x v="0"/>
    <x v="10"/>
    <x v="10"/>
    <n v="0.2"/>
    <s v="KG"/>
    <n v="0.2"/>
    <n v="0"/>
    <n v="2.6000000000000014"/>
    <n v="0.29999999999999982"/>
    <n v="0"/>
    <n v="193.70099999999988"/>
    <n v="645.66999999999996"/>
    <x v="3"/>
    <n v="129.13399999999999"/>
    <x v="3"/>
  </r>
  <r>
    <x v="5"/>
    <s v="Matteo Giolo"/>
    <x v="0"/>
    <x v="11"/>
    <x v="11"/>
    <n v="2.0499999999999998"/>
    <s v="KG"/>
    <n v="0"/>
    <n v="0"/>
    <n v="65.03100000000002"/>
    <n v="17.948"/>
    <n v="0"/>
    <n v="6991.2844399999994"/>
    <n v="389.53"/>
    <x v="3"/>
    <n v="798.53649999999982"/>
    <x v="3"/>
  </r>
  <r>
    <x v="15"/>
    <s v="Jan Urbanek"/>
    <x v="0"/>
    <x v="183"/>
    <x v="183"/>
    <n v="1"/>
    <s v="ADET"/>
    <n v="0"/>
    <n v="17"/>
    <n v="11"/>
    <n v="-5"/>
    <n v="0"/>
    <n v="0"/>
    <n v="1094.4000000000001"/>
    <x v="15"/>
    <n v="1094.4000000000001"/>
    <x v="7"/>
  </r>
  <r>
    <x v="19"/>
    <s v="Volkan Batkan"/>
    <x v="0"/>
    <x v="151"/>
    <x v="151"/>
    <n v="0.1"/>
    <s v="METRE"/>
    <n v="0"/>
    <n v="50"/>
    <n v="2.8310687127941492E-15"/>
    <n v="-47.8"/>
    <n v="0"/>
    <n v="0"/>
    <n v="25.41"/>
    <x v="15"/>
    <n v="2.5410000000000004"/>
    <x v="7"/>
  </r>
  <r>
    <x v="13"/>
    <s v="Matteo Giolo"/>
    <x v="0"/>
    <x v="206"/>
    <x v="206"/>
    <n v="1"/>
    <s v="ADET"/>
    <n v="0"/>
    <n v="2"/>
    <n v="4"/>
    <n v="0"/>
    <n v="2"/>
    <n v="0"/>
    <n v="1667.14"/>
    <x v="7"/>
    <n v="1667.14"/>
    <x v="6"/>
  </r>
  <r>
    <x v="15"/>
    <s v="Jan Urbanek"/>
    <x v="0"/>
    <x v="184"/>
    <x v="184"/>
    <n v="3"/>
    <s v="ADET"/>
    <n v="0"/>
    <n v="38"/>
    <n v="25"/>
    <n v="-2"/>
    <n v="20"/>
    <n v="0"/>
    <n v="245"/>
    <x v="10"/>
    <n v="735"/>
    <x v="4"/>
  </r>
  <r>
    <x v="8"/>
    <s v="Jan Urbanek"/>
    <x v="0"/>
    <x v="191"/>
    <x v="191"/>
    <n v="0.5"/>
    <s v="ADET"/>
    <n v="0"/>
    <n v="87"/>
    <n v="50.899999999999949"/>
    <n v="-43.900000000000006"/>
    <n v="0"/>
    <n v="0"/>
    <n v="122.09"/>
    <x v="29"/>
    <n v="61.045000000000002"/>
    <x v="2"/>
  </r>
  <r>
    <x v="11"/>
    <s v="Jan Urbanek"/>
    <x v="0"/>
    <x v="193"/>
    <x v="193"/>
    <n v="1"/>
    <s v="ADET"/>
    <n v="0"/>
    <n v="0"/>
    <n v="4"/>
    <n v="0"/>
    <n v="20"/>
    <n v="0"/>
    <n v="28000"/>
    <x v="44"/>
    <n v="28000"/>
    <x v="7"/>
  </r>
  <r>
    <x v="11"/>
    <s v="Jan Urbanek"/>
    <x v="0"/>
    <x v="194"/>
    <x v="194"/>
    <n v="4.0999999999999996"/>
    <s v="METRE"/>
    <n v="0"/>
    <n v="100"/>
    <n v="2.0000000000000568"/>
    <n v="-6.4000000000000057"/>
    <n v="0"/>
    <n v="0"/>
    <n v="111"/>
    <x v="15"/>
    <n v="455.09999999999997"/>
    <x v="7"/>
  </r>
  <r>
    <x v="10"/>
    <s v="Jan Urbanek"/>
    <x v="0"/>
    <x v="219"/>
    <x v="219"/>
    <n v="0.5"/>
    <s v="ADET"/>
    <n v="0"/>
    <n v="100"/>
    <n v="41"/>
    <n v="-89.5"/>
    <n v="0"/>
    <n v="0"/>
    <n v="60"/>
    <x v="20"/>
    <n v="30"/>
    <x v="2"/>
  </r>
  <r>
    <x v="10"/>
    <s v="Jan Urbanek"/>
    <x v="0"/>
    <x v="228"/>
    <x v="228"/>
    <n v="0.25"/>
    <s v="METRE"/>
    <n v="0"/>
    <n v="52"/>
    <n v="38.620000000000005"/>
    <n v="-47.39"/>
    <n v="0"/>
    <n v="0"/>
    <n v="126.36"/>
    <x v="70"/>
    <n v="31.59"/>
    <x v="4"/>
  </r>
  <r>
    <x v="11"/>
    <s v="Jan Urbanek"/>
    <x v="0"/>
    <x v="224"/>
    <x v="224"/>
    <n v="5"/>
    <s v="ADET"/>
    <n v="0"/>
    <n v="0"/>
    <n v="75"/>
    <n v="102"/>
    <n v="0"/>
    <n v="10710"/>
    <n v="105"/>
    <x v="68"/>
    <n v="525"/>
    <x v="4"/>
  </r>
  <r>
    <x v="11"/>
    <s v="Jan Urbanek"/>
    <x v="0"/>
    <x v="229"/>
    <x v="229"/>
    <n v="2"/>
    <s v="ADET"/>
    <n v="0"/>
    <n v="50"/>
    <n v="33"/>
    <n v="-15"/>
    <n v="0"/>
    <n v="0"/>
    <n v="72.599999999999994"/>
    <x v="14"/>
    <n v="145.19999999999999"/>
    <x v="4"/>
  </r>
  <r>
    <x v="9"/>
    <s v="Jan Urbanek"/>
    <x v="0"/>
    <x v="228"/>
    <x v="228"/>
    <n v="0.25"/>
    <s v="METRE"/>
    <n v="0"/>
    <n v="52"/>
    <n v="38.620000000000005"/>
    <n v="-47.39"/>
    <n v="0"/>
    <n v="0"/>
    <n v="126.36"/>
    <x v="70"/>
    <n v="31.59"/>
    <x v="4"/>
  </r>
  <r>
    <x v="8"/>
    <s v="Jan Urbanek"/>
    <x v="0"/>
    <x v="228"/>
    <x v="228"/>
    <n v="0.25"/>
    <s v="METRE"/>
    <n v="0"/>
    <n v="52"/>
    <n v="38.620000000000005"/>
    <n v="-47.39"/>
    <n v="0"/>
    <n v="0"/>
    <n v="126.36"/>
    <x v="70"/>
    <n v="31.59"/>
    <x v="4"/>
  </r>
  <r>
    <x v="10"/>
    <s v="Jan Urbanek"/>
    <x v="0"/>
    <x v="224"/>
    <x v="224"/>
    <n v="5"/>
    <s v="ADET"/>
    <n v="0"/>
    <n v="0"/>
    <n v="75"/>
    <n v="102"/>
    <n v="0"/>
    <n v="10710"/>
    <n v="105"/>
    <x v="68"/>
    <n v="525"/>
    <x v="4"/>
  </r>
  <r>
    <x v="10"/>
    <s v="Jan Urbanek"/>
    <x v="0"/>
    <x v="229"/>
    <x v="229"/>
    <n v="2"/>
    <s v="ADET"/>
    <n v="0"/>
    <n v="50"/>
    <n v="33"/>
    <n v="-15"/>
    <n v="0"/>
    <n v="0"/>
    <n v="72.599999999999994"/>
    <x v="14"/>
    <n v="145.19999999999999"/>
    <x v="4"/>
  </r>
  <r>
    <x v="0"/>
    <s v="Soner Kayıkçı"/>
    <x v="0"/>
    <x v="191"/>
    <x v="191"/>
    <n v="1"/>
    <s v="ADET"/>
    <n v="0"/>
    <n v="87"/>
    <n v="50.899999999999949"/>
    <n v="-43.900000000000006"/>
    <n v="0"/>
    <n v="0"/>
    <n v="122.09"/>
    <x v="29"/>
    <n v="122.09"/>
    <x v="2"/>
  </r>
  <r>
    <x v="6"/>
    <s v="Laurent MONTAGNER"/>
    <x v="0"/>
    <x v="230"/>
    <x v="230"/>
    <n v="4"/>
    <s v="ADET"/>
    <n v="0"/>
    <n v="1000"/>
    <n v="0"/>
    <n v="-964"/>
    <n v="0"/>
    <n v="0"/>
    <n v="1.2"/>
    <x v="14"/>
    <n v="4.8"/>
    <x v="2"/>
  </r>
  <r>
    <x v="1"/>
    <s v="Stina Alm"/>
    <x v="0"/>
    <x v="230"/>
    <x v="230"/>
    <n v="4"/>
    <s v="ADET"/>
    <n v="0"/>
    <n v="1000"/>
    <n v="0"/>
    <n v="-964"/>
    <n v="0"/>
    <n v="0"/>
    <n v="1.2"/>
    <x v="14"/>
    <n v="4.8"/>
    <x v="2"/>
  </r>
  <r>
    <x v="1"/>
    <s v="Stina Alm"/>
    <x v="0"/>
    <x v="192"/>
    <x v="192"/>
    <n v="3.2"/>
    <s v="ADET"/>
    <n v="0"/>
    <n v="14"/>
    <n v="6.8000000000000025"/>
    <n v="7.7000000000000028"/>
    <n v="12"/>
    <n v="2532.1450000000009"/>
    <n v="328.85"/>
    <x v="62"/>
    <n v="1052.3200000000002"/>
    <x v="3"/>
  </r>
  <r>
    <x v="6"/>
    <s v="Laurent MONTAGNER"/>
    <x v="0"/>
    <x v="231"/>
    <x v="231"/>
    <n v="1"/>
    <s v="METRE"/>
    <n v="0"/>
    <n v="0"/>
    <n v="3.0000000000000142"/>
    <n v="11"/>
    <n v="0"/>
    <n v="5399.35"/>
    <n v="490.85"/>
    <x v="71"/>
    <n v="490.85"/>
    <x v="5"/>
  </r>
  <r>
    <x v="1"/>
    <s v="Stina Alm"/>
    <x v="0"/>
    <x v="231"/>
    <x v="231"/>
    <n v="1"/>
    <s v="METRE"/>
    <n v="0"/>
    <n v="0"/>
    <n v="3.0000000000000142"/>
    <n v="11"/>
    <n v="0"/>
    <n v="5399.35"/>
    <n v="490.85"/>
    <x v="71"/>
    <n v="490.85"/>
    <x v="5"/>
  </r>
  <r>
    <x v="6"/>
    <s v="Laurent MONTAGNER"/>
    <x v="0"/>
    <x v="193"/>
    <x v="193"/>
    <n v="1"/>
    <s v="ADET"/>
    <n v="0"/>
    <n v="0"/>
    <n v="4"/>
    <n v="0"/>
    <n v="20"/>
    <n v="0"/>
    <n v="28000"/>
    <x v="44"/>
    <n v="28000"/>
    <x v="7"/>
  </r>
  <r>
    <x v="0"/>
    <s v="Soner Kayıkçı"/>
    <x v="0"/>
    <x v="193"/>
    <x v="193"/>
    <n v="1"/>
    <s v="ADET"/>
    <n v="0"/>
    <n v="0"/>
    <n v="4"/>
    <n v="0"/>
    <n v="20"/>
    <n v="0"/>
    <n v="28000"/>
    <x v="44"/>
    <n v="28000"/>
    <x v="7"/>
  </r>
  <r>
    <x v="2"/>
    <s v="Laurent MONTAGNER"/>
    <x v="0"/>
    <x v="193"/>
    <x v="193"/>
    <n v="1"/>
    <s v="ADET"/>
    <n v="0"/>
    <n v="0"/>
    <n v="4"/>
    <n v="0"/>
    <n v="20"/>
    <n v="0"/>
    <n v="28000"/>
    <x v="44"/>
    <n v="28000"/>
    <x v="7"/>
  </r>
  <r>
    <x v="0"/>
    <s v="Soner Kayıkçı"/>
    <x v="0"/>
    <x v="194"/>
    <x v="194"/>
    <n v="4.0999999999999996"/>
    <s v="METRE"/>
    <n v="0"/>
    <n v="100"/>
    <n v="2.0000000000000568"/>
    <n v="-6.4000000000000057"/>
    <n v="0"/>
    <n v="0"/>
    <n v="111"/>
    <x v="15"/>
    <n v="455.09999999999997"/>
    <x v="7"/>
  </r>
  <r>
    <x v="1"/>
    <s v="Stina Alm"/>
    <x v="0"/>
    <x v="194"/>
    <x v="194"/>
    <n v="1.6"/>
    <s v="METRE"/>
    <n v="0"/>
    <n v="100"/>
    <n v="2.0000000000000568"/>
    <n v="-6.4000000000000057"/>
    <n v="0"/>
    <n v="0"/>
    <n v="111"/>
    <x v="15"/>
    <n v="177.60000000000002"/>
    <x v="7"/>
  </r>
  <r>
    <x v="2"/>
    <s v="Laurent MONTAGNER"/>
    <x v="0"/>
    <x v="194"/>
    <x v="194"/>
    <n v="5.5"/>
    <s v="METRE"/>
    <n v="0"/>
    <n v="100"/>
    <n v="2.0000000000000568"/>
    <n v="-6.4000000000000057"/>
    <n v="0"/>
    <n v="0"/>
    <n v="111"/>
    <x v="15"/>
    <n v="610.5"/>
    <x v="7"/>
  </r>
  <r>
    <x v="1"/>
    <s v="Stina Alm"/>
    <x v="0"/>
    <x v="209"/>
    <x v="209"/>
    <n v="1"/>
    <s v="ADET"/>
    <n v="0"/>
    <n v="6"/>
    <n v="7"/>
    <n v="2"/>
    <n v="0"/>
    <n v="4960.92"/>
    <n v="2480.46"/>
    <x v="13"/>
    <n v="2480.46"/>
    <x v="7"/>
  </r>
  <r>
    <x v="2"/>
    <s v="Laurent MONTAGNER"/>
    <x v="0"/>
    <x v="209"/>
    <x v="209"/>
    <n v="1"/>
    <s v="ADET"/>
    <n v="0"/>
    <n v="6"/>
    <n v="7"/>
    <n v="2"/>
    <n v="0"/>
    <n v="4960.92"/>
    <n v="2480.46"/>
    <x v="13"/>
    <n v="2480.46"/>
    <x v="7"/>
  </r>
  <r>
    <x v="1"/>
    <s v="Stina Alm"/>
    <x v="0"/>
    <x v="217"/>
    <x v="217"/>
    <n v="4"/>
    <s v="ADET"/>
    <n v="0"/>
    <n v="39"/>
    <n v="32"/>
    <n v="-11"/>
    <n v="0"/>
    <n v="0"/>
    <n v="73.349999999999994"/>
    <x v="13"/>
    <n v="293.39999999999998"/>
    <x v="7"/>
  </r>
  <r>
    <x v="1"/>
    <s v="Stina Alm"/>
    <x v="0"/>
    <x v="219"/>
    <x v="219"/>
    <n v="1"/>
    <s v="ADET"/>
    <n v="0"/>
    <n v="100"/>
    <n v="41"/>
    <n v="-89.5"/>
    <n v="0"/>
    <n v="0"/>
    <n v="60"/>
    <x v="20"/>
    <n v="60"/>
    <x v="2"/>
  </r>
  <r>
    <x v="11"/>
    <s v="Jan Urbanek"/>
    <x v="0"/>
    <x v="192"/>
    <x v="192"/>
    <n v="2.7"/>
    <s v="ADET"/>
    <n v="0"/>
    <n v="14"/>
    <n v="6.8000000000000025"/>
    <n v="7.7000000000000028"/>
    <n v="12"/>
    <n v="2532.1450000000009"/>
    <n v="328.85"/>
    <x v="62"/>
    <n v="887.8950000000001"/>
    <x v="3"/>
  </r>
  <r>
    <x v="13"/>
    <s v="Matteo Giolo"/>
    <x v="0"/>
    <x v="184"/>
    <x v="184"/>
    <n v="3"/>
    <s v="ADET"/>
    <n v="0"/>
    <n v="38"/>
    <n v="25"/>
    <n v="-2"/>
    <n v="20"/>
    <n v="0"/>
    <n v="245"/>
    <x v="10"/>
    <n v="735"/>
    <x v="4"/>
  </r>
  <r>
    <x v="3"/>
    <s v="Stina Alm"/>
    <x v="0"/>
    <x v="11"/>
    <x v="11"/>
    <n v="1.9259999999999999"/>
    <s v="KG"/>
    <n v="0"/>
    <n v="0"/>
    <n v="65.03100000000002"/>
    <n v="17.948"/>
    <n v="0"/>
    <n v="6991.2844399999994"/>
    <n v="389.53"/>
    <x v="3"/>
    <n v="750.23477999999989"/>
    <x v="3"/>
  </r>
  <r>
    <x v="3"/>
    <s v="Stina Alm"/>
    <x v="0"/>
    <x v="149"/>
    <x v="149"/>
    <n v="2"/>
    <s v="ADET"/>
    <n v="0"/>
    <n v="67"/>
    <n v="24"/>
    <n v="-38"/>
    <n v="0"/>
    <n v="0"/>
    <n v="640"/>
    <x v="20"/>
    <n v="1280"/>
    <x v="7"/>
  </r>
  <r>
    <x v="12"/>
    <s v="Matteo Giolo"/>
    <x v="0"/>
    <x v="148"/>
    <x v="148"/>
    <n v="2"/>
    <s v="ADET"/>
    <n v="0"/>
    <n v="238"/>
    <n v="90"/>
    <n v="-200"/>
    <n v="0"/>
    <n v="0"/>
    <n v="4"/>
    <x v="20"/>
    <n v="8"/>
    <x v="7"/>
  </r>
  <r>
    <x v="5"/>
    <s v="Matteo Giolo"/>
    <x v="0"/>
    <x v="149"/>
    <x v="149"/>
    <n v="2"/>
    <s v="ADET"/>
    <n v="0"/>
    <n v="67"/>
    <n v="24"/>
    <n v="-38"/>
    <n v="0"/>
    <n v="0"/>
    <n v="640"/>
    <x v="20"/>
    <n v="1280"/>
    <x v="7"/>
  </r>
  <r>
    <x v="14"/>
    <s v="Stefan Zaugg"/>
    <x v="0"/>
    <x v="200"/>
    <x v="200"/>
    <n v="1"/>
    <s v="ADET"/>
    <n v="0"/>
    <n v="114"/>
    <n v="0"/>
    <n v="-109"/>
    <n v="0"/>
    <n v="0"/>
    <n v="10"/>
    <x v="5"/>
    <n v="10"/>
    <x v="4"/>
  </r>
  <r>
    <x v="13"/>
    <s v="Matteo Giolo"/>
    <x v="0"/>
    <x v="199"/>
    <x v="199"/>
    <n v="2"/>
    <s v="ADET"/>
    <n v="0"/>
    <n v="30"/>
    <n v="0"/>
    <n v="-10"/>
    <n v="0"/>
    <n v="0"/>
    <n v="60"/>
    <x v="2"/>
    <n v="120"/>
    <x v="2"/>
  </r>
  <r>
    <x v="15"/>
    <s v="Jan Urbanek"/>
    <x v="0"/>
    <x v="152"/>
    <x v="152"/>
    <n v="6"/>
    <s v="ADET"/>
    <n v="0"/>
    <n v="0"/>
    <n v="0"/>
    <n v="54"/>
    <n v="0"/>
    <n v="67.5"/>
    <n v="1.25"/>
    <x v="20"/>
    <n v="7.5"/>
    <x v="7"/>
  </r>
  <r>
    <x v="3"/>
    <s v="Stina Alm"/>
    <x v="0"/>
    <x v="183"/>
    <x v="183"/>
    <n v="1"/>
    <s v="ADET"/>
    <n v="0"/>
    <n v="17"/>
    <n v="11"/>
    <n v="-5"/>
    <n v="0"/>
    <n v="0"/>
    <n v="1094.4000000000001"/>
    <x v="15"/>
    <n v="1094.4000000000001"/>
    <x v="7"/>
  </r>
  <r>
    <x v="5"/>
    <s v="Matteo Giolo"/>
    <x v="0"/>
    <x v="232"/>
    <x v="232"/>
    <n v="6"/>
    <s v="ADET"/>
    <n v="0"/>
    <n v="100"/>
    <n v="1016"/>
    <n v="-94"/>
    <n v="0"/>
    <n v="0"/>
    <n v="1.3"/>
    <x v="14"/>
    <n v="7.8000000000000007"/>
    <x v="2"/>
  </r>
  <r>
    <x v="3"/>
    <s v="Stina Alm"/>
    <x v="0"/>
    <x v="151"/>
    <x v="151"/>
    <n v="0.1"/>
    <s v="METRE"/>
    <n v="0"/>
    <n v="50"/>
    <n v="2.8310687127941492E-15"/>
    <n v="-47.8"/>
    <n v="0"/>
    <n v="0"/>
    <n v="25.41"/>
    <x v="15"/>
    <n v="2.5410000000000004"/>
    <x v="7"/>
  </r>
  <r>
    <x v="5"/>
    <s v="Matteo Giolo"/>
    <x v="0"/>
    <x v="206"/>
    <x v="206"/>
    <n v="1"/>
    <s v="ADET"/>
    <n v="0"/>
    <n v="2"/>
    <n v="4"/>
    <n v="0"/>
    <n v="2"/>
    <n v="0"/>
    <n v="1667.14"/>
    <x v="7"/>
    <n v="1667.14"/>
    <x v="6"/>
  </r>
  <r>
    <x v="4"/>
    <s v="Stefan Zaugg"/>
    <x v="0"/>
    <x v="184"/>
    <x v="184"/>
    <n v="3"/>
    <s v="ADET"/>
    <n v="0"/>
    <n v="38"/>
    <n v="25"/>
    <n v="-2"/>
    <n v="20"/>
    <n v="0"/>
    <n v="245"/>
    <x v="10"/>
    <n v="735"/>
    <x v="4"/>
  </r>
  <r>
    <x v="5"/>
    <s v="Matteo Giolo"/>
    <x v="0"/>
    <x v="184"/>
    <x v="184"/>
    <n v="3"/>
    <s v="ADET"/>
    <n v="0"/>
    <n v="38"/>
    <n v="25"/>
    <n v="-2"/>
    <n v="20"/>
    <n v="0"/>
    <n v="245"/>
    <x v="10"/>
    <n v="735"/>
    <x v="4"/>
  </r>
  <r>
    <x v="15"/>
    <s v="Jan Urbanek"/>
    <x v="0"/>
    <x v="3"/>
    <x v="3"/>
    <n v="34.869999999999997"/>
    <s v="KG"/>
    <n v="0"/>
    <n v="0"/>
    <n v="437.82000000000016"/>
    <n v="348.62999999999988"/>
    <n v="0"/>
    <n v="33597.473099999988"/>
    <n v="96.37"/>
    <x v="3"/>
    <n v="3360.4218999999998"/>
    <x v="3"/>
  </r>
  <r>
    <x v="18"/>
    <s v="Hayriye Güven"/>
    <x v="0"/>
    <x v="3"/>
    <x v="3"/>
    <n v="13.700000000000001"/>
    <s v="KG"/>
    <n v="0"/>
    <n v="0"/>
    <n v="437.82000000000016"/>
    <n v="348.62999999999988"/>
    <n v="0"/>
    <n v="33597.473099999988"/>
    <n v="96.37"/>
    <x v="3"/>
    <n v="1320.2690000000002"/>
    <x v="3"/>
  </r>
  <r>
    <x v="6"/>
    <s v="Laurent MONTAGNER"/>
    <x v="0"/>
    <x v="0"/>
    <x v="0"/>
    <n v="2"/>
    <s v="ADET"/>
    <n v="0"/>
    <n v="20"/>
    <n v="34"/>
    <n v="18"/>
    <n v="0"/>
    <n v="1476"/>
    <n v="82"/>
    <x v="0"/>
    <n v="164"/>
    <x v="0"/>
  </r>
  <r>
    <x v="6"/>
    <s v="Laurent MONTAGNER"/>
    <x v="0"/>
    <x v="2"/>
    <x v="2"/>
    <n v="1"/>
    <s v="ADET"/>
    <n v="0"/>
    <n v="25"/>
    <n v="18"/>
    <n v="-6"/>
    <n v="0"/>
    <n v="0"/>
    <n v="225"/>
    <x v="2"/>
    <n v="225"/>
    <x v="2"/>
  </r>
  <r>
    <x v="2"/>
    <s v="Laurent MONTAGNER"/>
    <x v="0"/>
    <x v="2"/>
    <x v="2"/>
    <n v="1"/>
    <s v="ADET"/>
    <n v="0"/>
    <n v="25"/>
    <n v="18"/>
    <n v="-6"/>
    <n v="0"/>
    <n v="0"/>
    <n v="225"/>
    <x v="2"/>
    <n v="225"/>
    <x v="2"/>
  </r>
  <r>
    <x v="7"/>
    <s v="Laurent MONTAGNER"/>
    <x v="0"/>
    <x v="6"/>
    <x v="6"/>
    <n v="32"/>
    <s v="METRE"/>
    <n v="0"/>
    <n v="150"/>
    <n v="0"/>
    <n v="-76"/>
    <n v="0"/>
    <n v="0"/>
    <n v="320"/>
    <x v="6"/>
    <n v="10240"/>
    <x v="5"/>
  </r>
  <r>
    <x v="7"/>
    <s v="Laurent MONTAGNER"/>
    <x v="0"/>
    <x v="0"/>
    <x v="0"/>
    <n v="2"/>
    <s v="ADET"/>
    <n v="0"/>
    <n v="20"/>
    <n v="34"/>
    <n v="18"/>
    <n v="0"/>
    <n v="1476"/>
    <n v="82"/>
    <x v="0"/>
    <n v="164"/>
    <x v="0"/>
  </r>
  <r>
    <x v="12"/>
    <s v="Matteo Giolo"/>
    <x v="1"/>
    <x v="1"/>
    <x v="1"/>
    <n v="1"/>
    <s v="ADET"/>
    <n v="0"/>
    <n v="10"/>
    <n v="9"/>
    <n v="2"/>
    <n v="0"/>
    <n v="0"/>
    <m/>
    <x v="1"/>
    <m/>
    <x v="1"/>
  </r>
  <r>
    <x v="10"/>
    <s v="Jan Urbanek"/>
    <x v="0"/>
    <x v="0"/>
    <x v="0"/>
    <n v="2"/>
    <s v="ADET"/>
    <n v="0"/>
    <n v="20"/>
    <n v="34"/>
    <n v="18"/>
    <n v="0"/>
    <n v="1476"/>
    <n v="82"/>
    <x v="0"/>
    <n v="164"/>
    <x v="0"/>
  </r>
  <r>
    <x v="10"/>
    <s v="Jan Urbanek"/>
    <x v="1"/>
    <x v="1"/>
    <x v="1"/>
    <n v="1"/>
    <s v="ADET"/>
    <n v="0"/>
    <n v="10"/>
    <n v="9"/>
    <n v="2"/>
    <n v="0"/>
    <n v="0"/>
    <m/>
    <x v="1"/>
    <m/>
    <x v="1"/>
  </r>
  <r>
    <x v="10"/>
    <s v="Jan Urbanek"/>
    <x v="0"/>
    <x v="3"/>
    <x v="3"/>
    <n v="34.869999999999997"/>
    <s v="KG"/>
    <n v="0"/>
    <n v="0"/>
    <n v="437.82000000000016"/>
    <n v="348.62999999999988"/>
    <n v="0"/>
    <n v="33597.473099999988"/>
    <n v="96.37"/>
    <x v="3"/>
    <n v="3360.4218999999998"/>
    <x v="3"/>
  </r>
  <r>
    <x v="17"/>
    <s v="Murat Taşdemir"/>
    <x v="0"/>
    <x v="0"/>
    <x v="0"/>
    <n v="2"/>
    <s v="ADET"/>
    <n v="0"/>
    <n v="20"/>
    <n v="34"/>
    <n v="18"/>
    <n v="0"/>
    <n v="1476"/>
    <n v="82"/>
    <x v="0"/>
    <n v="164"/>
    <x v="0"/>
  </r>
  <r>
    <x v="15"/>
    <s v="Jan Urbanek"/>
    <x v="0"/>
    <x v="2"/>
    <x v="2"/>
    <n v="1"/>
    <s v="ADET"/>
    <n v="0"/>
    <n v="25"/>
    <n v="18"/>
    <n v="-6"/>
    <n v="0"/>
    <n v="0"/>
    <n v="225"/>
    <x v="2"/>
    <n v="225"/>
    <x v="2"/>
  </r>
  <r>
    <x v="16"/>
    <s v="Stefan Zaugg"/>
    <x v="0"/>
    <x v="0"/>
    <x v="0"/>
    <n v="2"/>
    <s v="ADET"/>
    <n v="0"/>
    <n v="20"/>
    <n v="34"/>
    <n v="18"/>
    <n v="0"/>
    <n v="1476"/>
    <n v="82"/>
    <x v="0"/>
    <n v="164"/>
    <x v="0"/>
  </r>
  <r>
    <x v="5"/>
    <s v="Matteo Giolo"/>
    <x v="0"/>
    <x v="103"/>
    <x v="103"/>
    <n v="20"/>
    <s v="ADET"/>
    <n v="0"/>
    <n v="222"/>
    <n v="2"/>
    <n v="-166"/>
    <n v="0"/>
    <n v="0"/>
    <n v="11.5"/>
    <x v="14"/>
    <n v="230"/>
    <x v="4"/>
  </r>
  <r>
    <x v="3"/>
    <s v="Stina Alm"/>
    <x v="0"/>
    <x v="104"/>
    <x v="104"/>
    <n v="0.85000000000000009"/>
    <s v="ADET"/>
    <n v="0"/>
    <n v="2"/>
    <n v="3.3000000000000052"/>
    <n v="12.649999999999999"/>
    <n v="0"/>
    <n v="20523.36"/>
    <n v="1622.4"/>
    <x v="38"/>
    <n v="1379.0400000000002"/>
    <x v="3"/>
  </r>
  <r>
    <x v="4"/>
    <s v="Stefan Zaugg"/>
    <x v="0"/>
    <x v="104"/>
    <x v="104"/>
    <n v="0.7"/>
    <s v="ADET"/>
    <n v="0"/>
    <n v="2"/>
    <n v="3.3000000000000052"/>
    <n v="12.649999999999999"/>
    <n v="0"/>
    <n v="20523.36"/>
    <n v="1622.4"/>
    <x v="38"/>
    <n v="1135.68"/>
    <x v="3"/>
  </r>
  <r>
    <x v="9"/>
    <s v="Jan Urbanek"/>
    <x v="0"/>
    <x v="168"/>
    <x v="168"/>
    <n v="6"/>
    <s v="ADET"/>
    <n v="0"/>
    <n v="0"/>
    <n v="0"/>
    <n v="56"/>
    <n v="0"/>
    <n v="0"/>
    <n v="0"/>
    <x v="5"/>
    <n v="0"/>
    <x v="2"/>
  </r>
  <r>
    <x v="0"/>
    <s v="Soner Kayıkçı"/>
    <x v="0"/>
    <x v="104"/>
    <x v="104"/>
    <n v="0.7"/>
    <s v="ADET"/>
    <n v="0"/>
    <n v="2"/>
    <n v="3.3000000000000052"/>
    <n v="12.649999999999999"/>
    <n v="0"/>
    <n v="20523.36"/>
    <n v="1622.4"/>
    <x v="38"/>
    <n v="1135.68"/>
    <x v="3"/>
  </r>
  <r>
    <x v="2"/>
    <s v="Laurent MONTAGNER"/>
    <x v="0"/>
    <x v="104"/>
    <x v="104"/>
    <n v="0.89999999999999991"/>
    <s v="ADET"/>
    <n v="0"/>
    <n v="2"/>
    <n v="3.3000000000000052"/>
    <n v="12.649999999999999"/>
    <n v="0"/>
    <n v="20523.36"/>
    <n v="1622.4"/>
    <x v="38"/>
    <n v="1460.1599999999999"/>
    <x v="3"/>
  </r>
  <r>
    <x v="9"/>
    <s v="Jan Urbanek"/>
    <x v="0"/>
    <x v="122"/>
    <x v="122"/>
    <n v="0.5"/>
    <s v="METRE"/>
    <n v="0"/>
    <n v="0"/>
    <n v="45.5"/>
    <n v="8.5"/>
    <n v="0"/>
    <n v="1437.4350000000002"/>
    <n v="169.11"/>
    <x v="46"/>
    <n v="84.555000000000007"/>
    <x v="5"/>
  </r>
  <r>
    <x v="10"/>
    <s v="Jan Urbanek"/>
    <x v="0"/>
    <x v="120"/>
    <x v="120"/>
    <n v="10"/>
    <s v="METRE"/>
    <n v="0"/>
    <n v="0"/>
    <n v="0"/>
    <n v="-220"/>
    <n v="400"/>
    <n v="0"/>
    <n v="5"/>
    <x v="45"/>
    <n v="50"/>
    <x v="2"/>
  </r>
  <r>
    <x v="10"/>
    <s v="Jan Urbanek"/>
    <x v="0"/>
    <x v="121"/>
    <x v="121"/>
    <n v="8"/>
    <s v="ADET"/>
    <n v="0"/>
    <n v="391"/>
    <n v="150"/>
    <n v="-33"/>
    <n v="0"/>
    <n v="0"/>
    <n v="10.65"/>
    <x v="8"/>
    <n v="85.2"/>
    <x v="2"/>
  </r>
  <r>
    <x v="17"/>
    <s v="Murat Taşdemir"/>
    <x v="0"/>
    <x v="120"/>
    <x v="120"/>
    <n v="10"/>
    <s v="METRE"/>
    <n v="0"/>
    <n v="0"/>
    <n v="0"/>
    <n v="-220"/>
    <n v="400"/>
    <n v="0"/>
    <n v="5"/>
    <x v="45"/>
    <n v="50"/>
    <x v="2"/>
  </r>
  <r>
    <x v="17"/>
    <s v="Murat Taşdemir"/>
    <x v="0"/>
    <x v="121"/>
    <x v="121"/>
    <n v="23"/>
    <s v="ADET"/>
    <n v="0"/>
    <n v="391"/>
    <n v="150"/>
    <n v="-33"/>
    <n v="0"/>
    <n v="0"/>
    <n v="10.65"/>
    <x v="8"/>
    <n v="244.95000000000002"/>
    <x v="2"/>
  </r>
  <r>
    <x v="0"/>
    <s v="Soner Kayıkçı"/>
    <x v="0"/>
    <x v="120"/>
    <x v="120"/>
    <n v="10"/>
    <s v="METRE"/>
    <n v="0"/>
    <n v="0"/>
    <n v="0"/>
    <n v="-220"/>
    <n v="400"/>
    <n v="0"/>
    <n v="5"/>
    <x v="45"/>
    <n v="50"/>
    <x v="2"/>
  </r>
  <r>
    <x v="2"/>
    <s v="Laurent MONTAGNER"/>
    <x v="0"/>
    <x v="120"/>
    <x v="120"/>
    <n v="10"/>
    <s v="METRE"/>
    <n v="0"/>
    <n v="0"/>
    <n v="0"/>
    <n v="-220"/>
    <n v="400"/>
    <n v="0"/>
    <n v="5"/>
    <x v="45"/>
    <n v="50"/>
    <x v="2"/>
  </r>
  <r>
    <x v="0"/>
    <s v="Soner Kayıkçı"/>
    <x v="0"/>
    <x v="121"/>
    <x v="121"/>
    <n v="8"/>
    <s v="ADET"/>
    <n v="0"/>
    <n v="391"/>
    <n v="150"/>
    <n v="-33"/>
    <n v="0"/>
    <n v="0"/>
    <n v="10.65"/>
    <x v="8"/>
    <n v="85.2"/>
    <x v="2"/>
  </r>
  <r>
    <x v="2"/>
    <s v="Laurent MONTAGNER"/>
    <x v="0"/>
    <x v="121"/>
    <x v="121"/>
    <n v="32"/>
    <s v="ADET"/>
    <n v="0"/>
    <n v="391"/>
    <n v="150"/>
    <n v="-33"/>
    <n v="0"/>
    <n v="0"/>
    <n v="10.65"/>
    <x v="8"/>
    <n v="340.8"/>
    <x v="2"/>
  </r>
  <r>
    <x v="15"/>
    <s v="Jan Urbanek"/>
    <x v="0"/>
    <x v="122"/>
    <x v="122"/>
    <n v="0.5"/>
    <s v="METRE"/>
    <n v="0"/>
    <n v="0"/>
    <n v="45.5"/>
    <n v="8.5"/>
    <n v="0"/>
    <n v="1437.4350000000002"/>
    <n v="169.11"/>
    <x v="46"/>
    <n v="84.555000000000007"/>
    <x v="5"/>
  </r>
  <r>
    <x v="16"/>
    <s v="Stefan Zaugg"/>
    <x v="0"/>
    <x v="120"/>
    <x v="120"/>
    <n v="10"/>
    <s v="METRE"/>
    <n v="0"/>
    <n v="0"/>
    <n v="0"/>
    <n v="-220"/>
    <n v="400"/>
    <n v="0"/>
    <n v="5"/>
    <x v="45"/>
    <n v="50"/>
    <x v="2"/>
  </r>
  <r>
    <x v="14"/>
    <s v="Stefan Zaugg"/>
    <x v="0"/>
    <x v="120"/>
    <x v="120"/>
    <n v="10"/>
    <s v="METRE"/>
    <n v="0"/>
    <n v="0"/>
    <n v="0"/>
    <n v="-220"/>
    <n v="400"/>
    <n v="0"/>
    <n v="5"/>
    <x v="45"/>
    <n v="50"/>
    <x v="2"/>
  </r>
  <r>
    <x v="13"/>
    <s v="Matteo Giolo"/>
    <x v="0"/>
    <x v="120"/>
    <x v="120"/>
    <n v="10"/>
    <s v="METRE"/>
    <n v="0"/>
    <n v="0"/>
    <n v="0"/>
    <n v="-220"/>
    <n v="400"/>
    <n v="0"/>
    <n v="5"/>
    <x v="45"/>
    <n v="50"/>
    <x v="2"/>
  </r>
  <r>
    <x v="16"/>
    <s v="Stefan Zaugg"/>
    <x v="0"/>
    <x v="121"/>
    <x v="121"/>
    <n v="25"/>
    <s v="ADET"/>
    <n v="0"/>
    <n v="391"/>
    <n v="150"/>
    <n v="-33"/>
    <n v="0"/>
    <n v="0"/>
    <n v="10.65"/>
    <x v="8"/>
    <n v="266.25"/>
    <x v="2"/>
  </r>
  <r>
    <x v="14"/>
    <s v="Stefan Zaugg"/>
    <x v="0"/>
    <x v="121"/>
    <x v="121"/>
    <n v="25"/>
    <s v="ADET"/>
    <n v="0"/>
    <n v="391"/>
    <n v="150"/>
    <n v="-33"/>
    <n v="0"/>
    <n v="0"/>
    <n v="10.65"/>
    <x v="8"/>
    <n v="266.25"/>
    <x v="2"/>
  </r>
  <r>
    <x v="13"/>
    <s v="Matteo Giolo"/>
    <x v="0"/>
    <x v="121"/>
    <x v="121"/>
    <n v="32"/>
    <s v="ADET"/>
    <n v="0"/>
    <n v="391"/>
    <n v="150"/>
    <n v="-33"/>
    <n v="0"/>
    <n v="0"/>
    <n v="10.65"/>
    <x v="8"/>
    <n v="340.8"/>
    <x v="2"/>
  </r>
  <r>
    <x v="18"/>
    <s v="Hayriye Güven"/>
    <x v="0"/>
    <x v="233"/>
    <x v="233"/>
    <n v="1"/>
    <s v="ADET"/>
    <n v="0"/>
    <n v="0"/>
    <n v="1"/>
    <n v="1"/>
    <n v="0"/>
    <n v="16009.7"/>
    <n v="16009.7"/>
    <x v="72"/>
    <n v="16009.7"/>
    <x v="6"/>
  </r>
  <r>
    <x v="10"/>
    <s v="Jan Urbanek"/>
    <x v="0"/>
    <x v="234"/>
    <x v="234"/>
    <n v="1.5"/>
    <s v="ADET"/>
    <n v="0"/>
    <n v="91"/>
    <n v="17.799999999999997"/>
    <n v="-74.5"/>
    <n v="0"/>
    <n v="0"/>
    <n v="85"/>
    <x v="28"/>
    <n v="127.5"/>
    <x v="2"/>
  </r>
  <r>
    <x v="10"/>
    <s v="Jan Urbanek"/>
    <x v="0"/>
    <x v="235"/>
    <x v="235"/>
    <n v="2"/>
    <s v="ADET"/>
    <n v="0"/>
    <n v="23"/>
    <n v="22"/>
    <n v="1"/>
    <n v="0"/>
    <n v="73.349999999999994"/>
    <n v="73.349999999999994"/>
    <x v="13"/>
    <n v="146.69999999999999"/>
    <x v="7"/>
  </r>
  <r>
    <x v="10"/>
    <s v="Jan Urbanek"/>
    <x v="0"/>
    <x v="236"/>
    <x v="236"/>
    <n v="0.10100000000000001"/>
    <s v="METRE"/>
    <n v="0"/>
    <n v="50"/>
    <n v="-1.4210854715202004E-14"/>
    <n v="-47.386000000000003"/>
    <n v="0"/>
    <n v="0"/>
    <n v="10.61"/>
    <x v="73"/>
    <n v="1.07161"/>
    <x v="7"/>
  </r>
  <r>
    <x v="9"/>
    <s v="Jan Urbanek"/>
    <x v="0"/>
    <x v="236"/>
    <x v="236"/>
    <n v="0.10100000000000001"/>
    <s v="METRE"/>
    <n v="0"/>
    <n v="50"/>
    <n v="-1.4210854715202004E-14"/>
    <n v="-47.386000000000003"/>
    <n v="0"/>
    <n v="0"/>
    <n v="10.61"/>
    <x v="73"/>
    <n v="1.07161"/>
    <x v="7"/>
  </r>
  <r>
    <x v="8"/>
    <s v="Jan Urbanek"/>
    <x v="0"/>
    <x v="236"/>
    <x v="236"/>
    <n v="0.10100000000000001"/>
    <s v="METRE"/>
    <n v="0"/>
    <n v="50"/>
    <n v="-1.4210854715202004E-14"/>
    <n v="-47.386000000000003"/>
    <n v="0"/>
    <n v="0"/>
    <n v="10.61"/>
    <x v="73"/>
    <n v="1.07161"/>
    <x v="7"/>
  </r>
  <r>
    <x v="17"/>
    <s v="Murat Taşdemir"/>
    <x v="0"/>
    <x v="174"/>
    <x v="174"/>
    <n v="3"/>
    <s v="ADET"/>
    <n v="0"/>
    <n v="65"/>
    <n v="54"/>
    <n v="2"/>
    <n v="40"/>
    <n v="148"/>
    <n v="74"/>
    <x v="10"/>
    <n v="222"/>
    <x v="4"/>
  </r>
  <r>
    <x v="3"/>
    <s v="Stina Alm"/>
    <x v="0"/>
    <x v="173"/>
    <x v="173"/>
    <n v="0.5"/>
    <s v="METRE"/>
    <n v="0"/>
    <n v="0"/>
    <n v="36.5"/>
    <n v="9"/>
    <n v="0"/>
    <n v="250.29"/>
    <n v="27.81"/>
    <x v="58"/>
    <n v="13.904999999999999"/>
    <x v="5"/>
  </r>
  <r>
    <x v="4"/>
    <s v="Stefan Zaugg"/>
    <x v="0"/>
    <x v="174"/>
    <x v="174"/>
    <n v="6"/>
    <s v="ADET"/>
    <n v="0"/>
    <n v="65"/>
    <n v="54"/>
    <n v="2"/>
    <n v="40"/>
    <n v="148"/>
    <n v="74"/>
    <x v="10"/>
    <n v="444"/>
    <x v="4"/>
  </r>
  <r>
    <x v="5"/>
    <s v="Matteo Giolo"/>
    <x v="0"/>
    <x v="174"/>
    <x v="174"/>
    <n v="8"/>
    <s v="ADET"/>
    <n v="0"/>
    <n v="65"/>
    <n v="54"/>
    <n v="2"/>
    <n v="40"/>
    <n v="148"/>
    <n v="74"/>
    <x v="10"/>
    <n v="592"/>
    <x v="4"/>
  </r>
  <r>
    <x v="12"/>
    <s v="Matteo Giolo"/>
    <x v="0"/>
    <x v="175"/>
    <x v="175"/>
    <n v="2"/>
    <s v="ADET"/>
    <n v="0"/>
    <n v="20"/>
    <n v="20"/>
    <n v="-6"/>
    <n v="10"/>
    <n v="0"/>
    <n v="400"/>
    <x v="35"/>
    <n v="800"/>
    <x v="7"/>
  </r>
  <r>
    <x v="13"/>
    <s v="Matteo Giolo"/>
    <x v="0"/>
    <x v="174"/>
    <x v="174"/>
    <n v="5"/>
    <s v="ADET"/>
    <n v="0"/>
    <n v="65"/>
    <n v="54"/>
    <n v="2"/>
    <n v="40"/>
    <n v="148"/>
    <n v="74"/>
    <x v="10"/>
    <n v="370"/>
    <x v="4"/>
  </r>
  <r>
    <x v="19"/>
    <s v="Volkan Batkan"/>
    <x v="0"/>
    <x v="176"/>
    <x v="176"/>
    <n v="0.2"/>
    <s v="METRE"/>
    <n v="0"/>
    <n v="200"/>
    <n v="5.6843418860808015E-14"/>
    <n v="-196.15"/>
    <n v="0"/>
    <n v="0"/>
    <n v="2.89"/>
    <x v="15"/>
    <n v="0.57800000000000007"/>
    <x v="7"/>
  </r>
  <r>
    <x v="11"/>
    <s v="Jan Urbanek"/>
    <x v="0"/>
    <x v="197"/>
    <x v="197"/>
    <n v="7.5"/>
    <s v="METRE"/>
    <n v="0"/>
    <n v="100"/>
    <n v="139.99999999999989"/>
    <n v="41.300000000000011"/>
    <n v="0"/>
    <n v="929.25000000000023"/>
    <n v="22.5"/>
    <x v="27"/>
    <n v="168.75"/>
    <x v="4"/>
  </r>
  <r>
    <x v="10"/>
    <s v="Jan Urbanek"/>
    <x v="0"/>
    <x v="237"/>
    <x v="237"/>
    <n v="1"/>
    <s v="ADET"/>
    <n v="0"/>
    <n v="32"/>
    <n v="22"/>
    <n v="-13"/>
    <n v="0"/>
    <n v="0"/>
    <n v="34"/>
    <x v="14"/>
    <n v="34"/>
    <x v="4"/>
  </r>
  <r>
    <x v="11"/>
    <s v="Jan Urbanek"/>
    <x v="0"/>
    <x v="238"/>
    <x v="238"/>
    <n v="15"/>
    <s v="ADET"/>
    <n v="0"/>
    <n v="31"/>
    <n v="20"/>
    <n v="14"/>
    <n v="0"/>
    <n v="1225"/>
    <n v="87.5"/>
    <x v="21"/>
    <n v="1312.5"/>
    <x v="2"/>
  </r>
  <r>
    <x v="11"/>
    <s v="Jan Urbanek"/>
    <x v="0"/>
    <x v="239"/>
    <x v="239"/>
    <n v="2"/>
    <s v="ADET"/>
    <n v="0"/>
    <n v="38"/>
    <n v="20"/>
    <n v="-14"/>
    <n v="0"/>
    <n v="0"/>
    <n v="55"/>
    <x v="15"/>
    <n v="110"/>
    <x v="7"/>
  </r>
  <r>
    <x v="9"/>
    <s v="Jan Urbanek"/>
    <x v="0"/>
    <x v="237"/>
    <x v="237"/>
    <n v="1"/>
    <s v="ADET"/>
    <n v="0"/>
    <n v="32"/>
    <n v="22"/>
    <n v="-13"/>
    <n v="0"/>
    <n v="0"/>
    <n v="34"/>
    <x v="14"/>
    <n v="34"/>
    <x v="4"/>
  </r>
  <r>
    <x v="8"/>
    <s v="Jan Urbanek"/>
    <x v="0"/>
    <x v="237"/>
    <x v="237"/>
    <n v="1"/>
    <s v="ADET"/>
    <n v="0"/>
    <n v="32"/>
    <n v="22"/>
    <n v="-13"/>
    <n v="0"/>
    <n v="0"/>
    <n v="34"/>
    <x v="14"/>
    <n v="34"/>
    <x v="4"/>
  </r>
  <r>
    <x v="15"/>
    <s v="Jan Urbanek"/>
    <x v="0"/>
    <x v="123"/>
    <x v="123"/>
    <n v="6"/>
    <s v="ADET"/>
    <n v="0"/>
    <n v="2600"/>
    <n v="292"/>
    <n v="-2145"/>
    <n v="0"/>
    <n v="0"/>
    <n v="0.4"/>
    <x v="14"/>
    <n v="2.4000000000000004"/>
    <x v="2"/>
  </r>
  <r>
    <x v="15"/>
    <s v="Jan Urbanek"/>
    <x v="0"/>
    <x v="197"/>
    <x v="197"/>
    <n v="7.5"/>
    <s v="METRE"/>
    <n v="0"/>
    <n v="100"/>
    <n v="139.99999999999989"/>
    <n v="41.300000000000011"/>
    <n v="0"/>
    <n v="929.25000000000023"/>
    <n v="22.5"/>
    <x v="27"/>
    <n v="168.75"/>
    <x v="4"/>
  </r>
  <r>
    <x v="13"/>
    <s v="Matteo Giolo"/>
    <x v="0"/>
    <x v="197"/>
    <x v="197"/>
    <n v="5.5"/>
    <s v="METRE"/>
    <n v="0"/>
    <n v="100"/>
    <n v="139.99999999999989"/>
    <n v="41.300000000000011"/>
    <n v="0"/>
    <n v="929.25000000000023"/>
    <n v="22.5"/>
    <x v="27"/>
    <n v="123.75"/>
    <x v="4"/>
  </r>
  <r>
    <x v="9"/>
    <s v="Jan Urbanek"/>
    <x v="0"/>
    <x v="239"/>
    <x v="239"/>
    <n v="2"/>
    <s v="ADET"/>
    <n v="0"/>
    <n v="38"/>
    <n v="20"/>
    <n v="-14"/>
    <n v="0"/>
    <n v="0"/>
    <n v="55"/>
    <x v="15"/>
    <n v="110"/>
    <x v="7"/>
  </r>
  <r>
    <x v="8"/>
    <s v="Jan Urbanek"/>
    <x v="0"/>
    <x v="239"/>
    <x v="239"/>
    <n v="2"/>
    <s v="ADET"/>
    <n v="0"/>
    <n v="38"/>
    <n v="20"/>
    <n v="-14"/>
    <n v="0"/>
    <n v="0"/>
    <n v="55"/>
    <x v="15"/>
    <n v="110"/>
    <x v="7"/>
  </r>
  <r>
    <x v="11"/>
    <s v="Jan Urbanek"/>
    <x v="0"/>
    <x v="237"/>
    <x v="237"/>
    <n v="1"/>
    <s v="ADET"/>
    <n v="0"/>
    <n v="32"/>
    <n v="22"/>
    <n v="-13"/>
    <n v="0"/>
    <n v="0"/>
    <n v="34"/>
    <x v="14"/>
    <n v="34"/>
    <x v="4"/>
  </r>
  <r>
    <x v="11"/>
    <s v="Jan Urbanek"/>
    <x v="0"/>
    <x v="240"/>
    <x v="240"/>
    <n v="1"/>
    <s v="ADET"/>
    <n v="0"/>
    <n v="3"/>
    <n v="1"/>
    <n v="-1"/>
    <n v="0"/>
    <n v="0"/>
    <n v="3899.59"/>
    <x v="74"/>
    <n v="3899.59"/>
    <x v="6"/>
  </r>
  <r>
    <x v="0"/>
    <s v="Soner Kayıkçı"/>
    <x v="0"/>
    <x v="237"/>
    <x v="237"/>
    <n v="1"/>
    <s v="ADET"/>
    <n v="0"/>
    <n v="32"/>
    <n v="22"/>
    <n v="-13"/>
    <n v="0"/>
    <n v="0"/>
    <n v="34"/>
    <x v="14"/>
    <n v="34"/>
    <x v="4"/>
  </r>
  <r>
    <x v="2"/>
    <s v="Laurent MONTAGNER"/>
    <x v="0"/>
    <x v="237"/>
    <x v="237"/>
    <n v="1"/>
    <s v="ADET"/>
    <n v="0"/>
    <n v="32"/>
    <n v="22"/>
    <n v="-13"/>
    <n v="0"/>
    <n v="0"/>
    <n v="34"/>
    <x v="14"/>
    <n v="34"/>
    <x v="4"/>
  </r>
  <r>
    <x v="2"/>
    <s v="Laurent MONTAGNER"/>
    <x v="0"/>
    <x v="241"/>
    <x v="241"/>
    <n v="1"/>
    <s v="ADET"/>
    <n v="0"/>
    <n v="0"/>
    <n v="246"/>
    <n v="6"/>
    <n v="0"/>
    <n v="32.519999999999996"/>
    <n v="5.42"/>
    <x v="21"/>
    <n v="5.42"/>
    <x v="2"/>
  </r>
  <r>
    <x v="9"/>
    <s v="Jan Urbanek"/>
    <x v="0"/>
    <x v="196"/>
    <x v="196"/>
    <n v="4"/>
    <s v="ADET"/>
    <n v="0"/>
    <n v="100"/>
    <n v="138"/>
    <n v="-84"/>
    <n v="0"/>
    <n v="0"/>
    <n v="8"/>
    <x v="8"/>
    <n v="32"/>
    <x v="4"/>
  </r>
  <r>
    <x v="10"/>
    <s v="Jan Urbanek"/>
    <x v="0"/>
    <x v="197"/>
    <x v="197"/>
    <n v="7.5"/>
    <s v="METRE"/>
    <n v="0"/>
    <n v="100"/>
    <n v="139.99999999999989"/>
    <n v="41.300000000000011"/>
    <n v="0"/>
    <n v="929.25000000000023"/>
    <n v="22.5"/>
    <x v="27"/>
    <n v="168.75"/>
    <x v="4"/>
  </r>
  <r>
    <x v="9"/>
    <s v="Jan Urbanek"/>
    <x v="0"/>
    <x v="197"/>
    <x v="197"/>
    <n v="7.5"/>
    <s v="METRE"/>
    <n v="0"/>
    <n v="100"/>
    <n v="139.99999999999989"/>
    <n v="41.300000000000011"/>
    <n v="0"/>
    <n v="929.25000000000023"/>
    <n v="22.5"/>
    <x v="27"/>
    <n v="168.75"/>
    <x v="4"/>
  </r>
  <r>
    <x v="8"/>
    <s v="Jan Urbanek"/>
    <x v="0"/>
    <x v="197"/>
    <x v="197"/>
    <n v="7.5"/>
    <s v="METRE"/>
    <n v="0"/>
    <n v="100"/>
    <n v="139.99999999999989"/>
    <n v="41.300000000000011"/>
    <n v="0"/>
    <n v="929.25000000000023"/>
    <n v="22.5"/>
    <x v="27"/>
    <n v="168.75"/>
    <x v="4"/>
  </r>
  <r>
    <x v="10"/>
    <s v="Jan Urbanek"/>
    <x v="0"/>
    <x v="239"/>
    <x v="239"/>
    <n v="2"/>
    <s v="ADET"/>
    <n v="0"/>
    <n v="38"/>
    <n v="20"/>
    <n v="-14"/>
    <n v="0"/>
    <n v="0"/>
    <n v="55"/>
    <x v="15"/>
    <n v="110"/>
    <x v="7"/>
  </r>
  <r>
    <x v="9"/>
    <s v="Jan Urbanek"/>
    <x v="0"/>
    <x v="238"/>
    <x v="238"/>
    <n v="15"/>
    <s v="ADET"/>
    <n v="0"/>
    <n v="31"/>
    <n v="20"/>
    <n v="14"/>
    <n v="0"/>
    <n v="1225"/>
    <n v="87.5"/>
    <x v="21"/>
    <n v="1312.5"/>
    <x v="2"/>
  </r>
  <r>
    <x v="9"/>
    <s v="Jan Urbanek"/>
    <x v="0"/>
    <x v="240"/>
    <x v="240"/>
    <n v="1"/>
    <s v="ADET"/>
    <n v="0"/>
    <n v="3"/>
    <n v="1"/>
    <n v="-1"/>
    <n v="0"/>
    <n v="0"/>
    <n v="3899.59"/>
    <x v="74"/>
    <n v="3899.59"/>
    <x v="6"/>
  </r>
  <r>
    <x v="1"/>
    <s v="Stina Alm"/>
    <x v="0"/>
    <x v="197"/>
    <x v="197"/>
    <n v="5.5"/>
    <s v="METRE"/>
    <n v="0"/>
    <n v="100"/>
    <n v="139.99999999999989"/>
    <n v="41.300000000000011"/>
    <n v="0"/>
    <n v="929.25000000000023"/>
    <n v="22.5"/>
    <x v="27"/>
    <n v="123.75"/>
    <x v="4"/>
  </r>
  <r>
    <x v="6"/>
    <s v="Laurent MONTAGNER"/>
    <x v="0"/>
    <x v="197"/>
    <x v="197"/>
    <n v="10"/>
    <s v="METRE"/>
    <n v="0"/>
    <n v="100"/>
    <n v="139.99999999999989"/>
    <n v="41.300000000000011"/>
    <n v="0"/>
    <n v="929.25000000000023"/>
    <n v="22.5"/>
    <x v="27"/>
    <n v="225"/>
    <x v="4"/>
  </r>
  <r>
    <x v="0"/>
    <s v="Soner Kayıkçı"/>
    <x v="0"/>
    <x v="239"/>
    <x v="239"/>
    <n v="2"/>
    <s v="ADET"/>
    <n v="0"/>
    <n v="38"/>
    <n v="20"/>
    <n v="-14"/>
    <n v="0"/>
    <n v="0"/>
    <n v="55"/>
    <x v="15"/>
    <n v="110"/>
    <x v="7"/>
  </r>
  <r>
    <x v="1"/>
    <s v="Stina Alm"/>
    <x v="0"/>
    <x v="239"/>
    <x v="239"/>
    <n v="2"/>
    <s v="ADET"/>
    <n v="0"/>
    <n v="38"/>
    <n v="20"/>
    <n v="-14"/>
    <n v="0"/>
    <n v="0"/>
    <n v="55"/>
    <x v="15"/>
    <n v="110"/>
    <x v="7"/>
  </r>
  <r>
    <x v="1"/>
    <s v="Stina Alm"/>
    <x v="0"/>
    <x v="237"/>
    <x v="237"/>
    <n v="1"/>
    <s v="ADET"/>
    <n v="0"/>
    <n v="32"/>
    <n v="22"/>
    <n v="-13"/>
    <n v="0"/>
    <n v="0"/>
    <n v="34"/>
    <x v="14"/>
    <n v="34"/>
    <x v="4"/>
  </r>
  <r>
    <x v="3"/>
    <s v="Stina Alm"/>
    <x v="0"/>
    <x v="43"/>
    <x v="43"/>
    <n v="1.1000000000000001"/>
    <s v="METRE"/>
    <n v="0"/>
    <n v="0"/>
    <n v="20.30000000000009"/>
    <n v="21.1"/>
    <n v="0"/>
    <n v="2426.5"/>
    <n v="115"/>
    <x v="10"/>
    <n v="126.50000000000001"/>
    <x v="4"/>
  </r>
  <r>
    <x v="3"/>
    <s v="Stina Alm"/>
    <x v="0"/>
    <x v="242"/>
    <x v="242"/>
    <n v="50"/>
    <s v="METRE"/>
    <n v="0"/>
    <n v="0"/>
    <n v="0"/>
    <n v="50"/>
    <n v="0"/>
    <n v="147.5"/>
    <n v="2.95"/>
    <x v="5"/>
    <n v="147.5"/>
    <x v="8"/>
  </r>
  <r>
    <x v="7"/>
    <s v="Laurent MONTAGNER"/>
    <x v="0"/>
    <x v="110"/>
    <x v="110"/>
    <n v="0.18"/>
    <s v="ADET"/>
    <n v="0"/>
    <n v="0"/>
    <n v="1.7763568394002505E-15"/>
    <n v="2.5820000000000007"/>
    <n v="0"/>
    <n v="4066.650000000001"/>
    <n v="1575"/>
    <x v="40"/>
    <n v="283.5"/>
    <x v="4"/>
  </r>
  <r>
    <x v="3"/>
    <s v="Stina Alm"/>
    <x v="0"/>
    <x v="110"/>
    <x v="110"/>
    <n v="0.18"/>
    <s v="ADET"/>
    <n v="0"/>
    <n v="0"/>
    <n v="1.7763568394002505E-15"/>
    <n v="2.5820000000000007"/>
    <n v="0"/>
    <n v="4066.650000000001"/>
    <n v="1575"/>
    <x v="40"/>
    <n v="283.5"/>
    <x v="4"/>
  </r>
  <r>
    <x v="0"/>
    <s v="Soner Kayıkçı"/>
    <x v="0"/>
    <x v="110"/>
    <x v="110"/>
    <n v="0.10400000000000001"/>
    <s v="ADET"/>
    <n v="0"/>
    <n v="0"/>
    <n v="1.7763568394002505E-15"/>
    <n v="2.5820000000000007"/>
    <n v="0"/>
    <n v="4066.650000000001"/>
    <n v="1575"/>
    <x v="40"/>
    <n v="163.80000000000001"/>
    <x v="4"/>
  </r>
  <r>
    <x v="6"/>
    <s v="Laurent MONTAGNER"/>
    <x v="0"/>
    <x v="110"/>
    <x v="110"/>
    <n v="0.18"/>
    <s v="ADET"/>
    <n v="0"/>
    <n v="0"/>
    <n v="1.7763568394002505E-15"/>
    <n v="2.5820000000000007"/>
    <n v="0"/>
    <n v="4066.650000000001"/>
    <n v="1575"/>
    <x v="40"/>
    <n v="283.5"/>
    <x v="4"/>
  </r>
  <r>
    <x v="2"/>
    <s v="Laurent MONTAGNER"/>
    <x v="0"/>
    <x v="110"/>
    <x v="110"/>
    <n v="0.10400000000000001"/>
    <s v="ADET"/>
    <n v="0"/>
    <n v="0"/>
    <n v="1.7763568394002505E-15"/>
    <n v="2.5820000000000007"/>
    <n v="0"/>
    <n v="4066.650000000001"/>
    <n v="1575"/>
    <x v="40"/>
    <n v="163.80000000000001"/>
    <x v="4"/>
  </r>
  <r>
    <x v="0"/>
    <s v="Soner Kayıkçı"/>
    <x v="0"/>
    <x v="129"/>
    <x v="129"/>
    <n v="1.5"/>
    <s v="KG"/>
    <n v="0"/>
    <n v="30"/>
    <n v="21.5"/>
    <n v="4"/>
    <n v="0"/>
    <n v="472.56"/>
    <n v="118.14"/>
    <x v="48"/>
    <n v="177.21"/>
    <x v="3"/>
  </r>
  <r>
    <x v="1"/>
    <s v="Stina Alm"/>
    <x v="0"/>
    <x v="129"/>
    <x v="129"/>
    <n v="2"/>
    <s v="KG"/>
    <n v="0"/>
    <n v="30"/>
    <n v="21.5"/>
    <n v="4"/>
    <n v="0"/>
    <n v="472.56"/>
    <n v="118.14"/>
    <x v="48"/>
    <n v="236.28"/>
    <x v="3"/>
  </r>
  <r>
    <x v="2"/>
    <s v="Laurent MONTAGNER"/>
    <x v="0"/>
    <x v="133"/>
    <x v="133"/>
    <n v="0.30000000000000004"/>
    <s v="METRE"/>
    <n v="0"/>
    <n v="0"/>
    <n v="93.800000000000011"/>
    <n v="5.0999999999999996"/>
    <n v="0"/>
    <n v="34.526999999999994"/>
    <n v="6.77"/>
    <x v="49"/>
    <n v="2.0310000000000001"/>
    <x v="7"/>
  </r>
  <r>
    <x v="2"/>
    <s v="Laurent MONTAGNER"/>
    <x v="0"/>
    <x v="134"/>
    <x v="134"/>
    <n v="2"/>
    <s v="ADET"/>
    <n v="0"/>
    <n v="37"/>
    <n v="20"/>
    <n v="-13"/>
    <n v="0"/>
    <n v="0"/>
    <n v="45.3"/>
    <x v="15"/>
    <n v="90.6"/>
    <x v="7"/>
  </r>
  <r>
    <x v="3"/>
    <s v="Stina Alm"/>
    <x v="0"/>
    <x v="129"/>
    <x v="129"/>
    <n v="2"/>
    <s v="KG"/>
    <n v="0"/>
    <n v="30"/>
    <n v="21.5"/>
    <n v="4"/>
    <n v="0"/>
    <n v="472.56"/>
    <n v="118.14"/>
    <x v="48"/>
    <n v="236.28"/>
    <x v="3"/>
  </r>
  <r>
    <x v="3"/>
    <s v="Stina Alm"/>
    <x v="0"/>
    <x v="133"/>
    <x v="133"/>
    <n v="0.2"/>
    <s v="METRE"/>
    <n v="0"/>
    <n v="0"/>
    <n v="93.800000000000011"/>
    <n v="5.0999999999999996"/>
    <n v="0"/>
    <n v="34.526999999999994"/>
    <n v="6.77"/>
    <x v="49"/>
    <n v="1.3540000000000001"/>
    <x v="7"/>
  </r>
  <r>
    <x v="3"/>
    <s v="Stina Alm"/>
    <x v="0"/>
    <x v="134"/>
    <x v="134"/>
    <n v="2"/>
    <s v="ADET"/>
    <n v="0"/>
    <n v="37"/>
    <n v="20"/>
    <n v="-13"/>
    <n v="0"/>
    <n v="0"/>
    <n v="45.3"/>
    <x v="15"/>
    <n v="90.6"/>
    <x v="7"/>
  </r>
  <r>
    <x v="2"/>
    <s v="Laurent MONTAGNER"/>
    <x v="0"/>
    <x v="129"/>
    <x v="129"/>
    <n v="3"/>
    <s v="KG"/>
    <n v="0"/>
    <n v="30"/>
    <n v="21.5"/>
    <n v="4"/>
    <n v="0"/>
    <n v="472.56"/>
    <n v="118.14"/>
    <x v="48"/>
    <n v="354.42"/>
    <x v="3"/>
  </r>
  <r>
    <x v="12"/>
    <s v="Matteo Giolo"/>
    <x v="0"/>
    <x v="111"/>
    <x v="111"/>
    <n v="1.3"/>
    <s v="ADET"/>
    <n v="0"/>
    <n v="5"/>
    <n v="0"/>
    <n v="4.6000000000000014"/>
    <n v="5"/>
    <n v="5276.2000000000016"/>
    <n v="1147"/>
    <x v="41"/>
    <n v="1491.1000000000001"/>
    <x v="5"/>
  </r>
  <r>
    <x v="12"/>
    <s v="Matteo Giolo"/>
    <x v="0"/>
    <x v="129"/>
    <x v="129"/>
    <n v="1.5"/>
    <s v="KG"/>
    <n v="0"/>
    <n v="30"/>
    <n v="21.5"/>
    <n v="4"/>
    <n v="0"/>
    <n v="472.56"/>
    <n v="118.14"/>
    <x v="48"/>
    <n v="177.21"/>
    <x v="3"/>
  </r>
  <r>
    <x v="12"/>
    <s v="Matteo Giolo"/>
    <x v="0"/>
    <x v="133"/>
    <x v="133"/>
    <n v="0.30000000000000004"/>
    <s v="METRE"/>
    <n v="0"/>
    <n v="0"/>
    <n v="93.800000000000011"/>
    <n v="5.0999999999999996"/>
    <n v="0"/>
    <n v="34.526999999999994"/>
    <n v="6.77"/>
    <x v="49"/>
    <n v="2.0310000000000001"/>
    <x v="7"/>
  </r>
  <r>
    <x v="12"/>
    <s v="Matteo Giolo"/>
    <x v="0"/>
    <x v="134"/>
    <x v="134"/>
    <n v="2"/>
    <s v="ADET"/>
    <n v="0"/>
    <n v="37"/>
    <n v="20"/>
    <n v="-13"/>
    <n v="0"/>
    <n v="0"/>
    <n v="45.3"/>
    <x v="15"/>
    <n v="90.6"/>
    <x v="7"/>
  </r>
  <r>
    <x v="6"/>
    <s v="Laurent MONTAGNER"/>
    <x v="0"/>
    <x v="133"/>
    <x v="133"/>
    <n v="0.2"/>
    <s v="METRE"/>
    <n v="0"/>
    <n v="0"/>
    <n v="93.800000000000011"/>
    <n v="5.0999999999999996"/>
    <n v="0"/>
    <n v="34.526999999999994"/>
    <n v="6.77"/>
    <x v="49"/>
    <n v="1.3540000000000001"/>
    <x v="7"/>
  </r>
  <r>
    <x v="14"/>
    <s v="Stefan Zaugg"/>
    <x v="0"/>
    <x v="243"/>
    <x v="243"/>
    <n v="5"/>
    <s v="ADET"/>
    <n v="5"/>
    <n v="100"/>
    <n v="117"/>
    <n v="-100"/>
    <n v="0"/>
    <n v="0"/>
    <n v="13.5"/>
    <x v="14"/>
    <n v="67.5"/>
    <x v="2"/>
  </r>
  <r>
    <x v="14"/>
    <s v="Stefan Zaugg"/>
    <x v="0"/>
    <x v="4"/>
    <x v="4"/>
    <n v="8"/>
    <s v="ADET"/>
    <n v="0"/>
    <n v="113"/>
    <n v="0"/>
    <n v="-97"/>
    <n v="0"/>
    <n v="0"/>
    <n v="75"/>
    <x v="4"/>
    <n v="600"/>
    <x v="4"/>
  </r>
  <r>
    <x v="13"/>
    <s v="Matteo Giolo"/>
    <x v="1"/>
    <x v="1"/>
    <x v="1"/>
    <n v="1"/>
    <s v="ADET"/>
    <n v="0"/>
    <n v="10"/>
    <n v="9"/>
    <n v="2"/>
    <n v="0"/>
    <n v="0"/>
    <m/>
    <x v="1"/>
    <m/>
    <x v="1"/>
  </r>
  <r>
    <x v="16"/>
    <s v="Stefan Zaugg"/>
    <x v="0"/>
    <x v="2"/>
    <x v="2"/>
    <n v="1"/>
    <s v="ADET"/>
    <n v="0"/>
    <n v="25"/>
    <n v="18"/>
    <n v="-6"/>
    <n v="0"/>
    <n v="0"/>
    <n v="225"/>
    <x v="2"/>
    <n v="225"/>
    <x v="2"/>
  </r>
  <r>
    <x v="14"/>
    <s v="Stefan Zaugg"/>
    <x v="0"/>
    <x v="2"/>
    <x v="2"/>
    <n v="1"/>
    <s v="ADET"/>
    <n v="0"/>
    <n v="25"/>
    <n v="18"/>
    <n v="-6"/>
    <n v="0"/>
    <n v="0"/>
    <n v="225"/>
    <x v="2"/>
    <n v="225"/>
    <x v="2"/>
  </r>
  <r>
    <x v="13"/>
    <s v="Matteo Giolo"/>
    <x v="0"/>
    <x v="2"/>
    <x v="2"/>
    <n v="1"/>
    <s v="ADET"/>
    <n v="0"/>
    <n v="25"/>
    <n v="18"/>
    <n v="-6"/>
    <n v="0"/>
    <n v="0"/>
    <n v="225"/>
    <x v="2"/>
    <n v="225"/>
    <x v="2"/>
  </r>
  <r>
    <x v="16"/>
    <s v="Stefan Zaugg"/>
    <x v="0"/>
    <x v="3"/>
    <x v="3"/>
    <n v="24.65"/>
    <s v="KG"/>
    <n v="24.65"/>
    <n v="0"/>
    <n v="437.82000000000016"/>
    <n v="348.62999999999988"/>
    <n v="0"/>
    <n v="33597.473099999988"/>
    <n v="96.37"/>
    <x v="3"/>
    <n v="2375.5205000000001"/>
    <x v="3"/>
  </r>
  <r>
    <x v="13"/>
    <s v="Matteo Giolo"/>
    <x v="0"/>
    <x v="3"/>
    <x v="3"/>
    <n v="30.519999999999996"/>
    <s v="KG"/>
    <n v="0"/>
    <n v="0"/>
    <n v="437.82000000000016"/>
    <n v="348.62999999999988"/>
    <n v="0"/>
    <n v="33597.473099999988"/>
    <n v="96.37"/>
    <x v="3"/>
    <n v="2941.2123999999999"/>
    <x v="3"/>
  </r>
  <r>
    <x v="13"/>
    <s v="Matteo Giolo"/>
    <x v="0"/>
    <x v="116"/>
    <x v="116"/>
    <n v="2.9299999999999997"/>
    <s v="KG"/>
    <n v="0"/>
    <n v="66"/>
    <n v="36.349999999999987"/>
    <n v="-17.090000000000018"/>
    <n v="0"/>
    <n v="0"/>
    <n v="129.63"/>
    <x v="14"/>
    <n v="379.81589999999994"/>
    <x v="3"/>
  </r>
  <r>
    <x v="9"/>
    <s v="Jan Urbanek"/>
    <x v="0"/>
    <x v="244"/>
    <x v="244"/>
    <n v="2"/>
    <s v="ADET"/>
    <n v="0"/>
    <n v="250"/>
    <n v="3"/>
    <n v="-166"/>
    <n v="0"/>
    <n v="0"/>
    <n v="2"/>
    <x v="5"/>
    <n v="4"/>
    <x v="2"/>
  </r>
  <r>
    <x v="9"/>
    <s v="Jan Urbanek"/>
    <x v="0"/>
    <x v="245"/>
    <x v="245"/>
    <n v="4"/>
    <s v="ADET"/>
    <n v="0"/>
    <n v="250"/>
    <n v="835"/>
    <n v="-134"/>
    <n v="0"/>
    <n v="0"/>
    <n v="1.58"/>
    <x v="8"/>
    <n v="6.32"/>
    <x v="2"/>
  </r>
  <r>
    <x v="9"/>
    <s v="Jan Urbanek"/>
    <x v="0"/>
    <x v="246"/>
    <x v="246"/>
    <n v="2"/>
    <s v="ADET"/>
    <n v="0"/>
    <n v="75"/>
    <n v="42.70000000000006"/>
    <n v="-48.040000000000006"/>
    <n v="0"/>
    <n v="0"/>
    <n v="15"/>
    <x v="14"/>
    <n v="30"/>
    <x v="2"/>
  </r>
  <r>
    <x v="9"/>
    <s v="Jan Urbanek"/>
    <x v="0"/>
    <x v="247"/>
    <x v="247"/>
    <n v="3"/>
    <s v="ADET"/>
    <n v="0"/>
    <n v="200"/>
    <n v="0"/>
    <n v="-188"/>
    <n v="0"/>
    <n v="0"/>
    <n v="10"/>
    <x v="2"/>
    <n v="30"/>
    <x v="2"/>
  </r>
  <r>
    <x v="11"/>
    <s v="Jan Urbanek"/>
    <x v="0"/>
    <x v="248"/>
    <x v="248"/>
    <n v="14"/>
    <s v="ADET"/>
    <n v="0"/>
    <n v="2698"/>
    <n v="0"/>
    <n v="-2312"/>
    <n v="0"/>
    <n v="0"/>
    <n v="1.55"/>
    <x v="20"/>
    <n v="21.7"/>
    <x v="7"/>
  </r>
  <r>
    <x v="15"/>
    <s v="Jan Urbanek"/>
    <x v="0"/>
    <x v="116"/>
    <x v="116"/>
    <n v="4"/>
    <s v="KG"/>
    <n v="0"/>
    <n v="66"/>
    <n v="36.349999999999987"/>
    <n v="-17.090000000000018"/>
    <n v="0"/>
    <n v="0"/>
    <n v="129.63"/>
    <x v="14"/>
    <n v="518.52"/>
    <x v="3"/>
  </r>
  <r>
    <x v="4"/>
    <s v="Stefan Zaugg"/>
    <x v="0"/>
    <x v="142"/>
    <x v="142"/>
    <n v="1"/>
    <s v="ADET"/>
    <n v="0"/>
    <n v="0"/>
    <n v="0"/>
    <n v="9"/>
    <n v="0"/>
    <n v="540"/>
    <n v="60"/>
    <x v="52"/>
    <n v="60"/>
    <x v="6"/>
  </r>
  <r>
    <x v="2"/>
    <s v="Laurent MONTAGNER"/>
    <x v="0"/>
    <x v="135"/>
    <x v="135"/>
    <n v="48"/>
    <s v="ADET"/>
    <n v="0"/>
    <n v="1000"/>
    <n v="396"/>
    <n v="-91"/>
    <n v="0"/>
    <n v="0"/>
    <n v="12.5"/>
    <x v="50"/>
    <n v="600"/>
    <x v="2"/>
  </r>
  <r>
    <x v="6"/>
    <s v="Laurent MONTAGNER"/>
    <x v="0"/>
    <x v="135"/>
    <x v="135"/>
    <n v="46"/>
    <s v="ADET"/>
    <n v="0"/>
    <n v="1000"/>
    <n v="396"/>
    <n v="-91"/>
    <n v="0"/>
    <n v="0"/>
    <n v="12.5"/>
    <x v="50"/>
    <n v="575"/>
    <x v="2"/>
  </r>
  <r>
    <x v="6"/>
    <s v="Laurent MONTAGNER"/>
    <x v="0"/>
    <x v="141"/>
    <x v="141"/>
    <n v="4"/>
    <s v="ADET"/>
    <n v="0"/>
    <n v="1000"/>
    <n v="0"/>
    <n v="-960"/>
    <n v="0"/>
    <n v="0"/>
    <n v="0.64"/>
    <x v="14"/>
    <n v="2.56"/>
    <x v="2"/>
  </r>
  <r>
    <x v="2"/>
    <s v="Laurent MONTAGNER"/>
    <x v="0"/>
    <x v="141"/>
    <x v="141"/>
    <n v="4"/>
    <s v="ADET"/>
    <n v="0"/>
    <n v="1000"/>
    <n v="0"/>
    <n v="-960"/>
    <n v="0"/>
    <n v="0"/>
    <n v="0.64"/>
    <x v="14"/>
    <n v="2.56"/>
    <x v="2"/>
  </r>
  <r>
    <x v="2"/>
    <s v="Laurent MONTAGNER"/>
    <x v="0"/>
    <x v="142"/>
    <x v="142"/>
    <n v="1"/>
    <s v="ADET"/>
    <n v="0"/>
    <n v="0"/>
    <n v="0"/>
    <n v="9"/>
    <n v="0"/>
    <n v="540"/>
    <n v="60"/>
    <x v="52"/>
    <n v="60"/>
    <x v="6"/>
  </r>
  <r>
    <x v="12"/>
    <s v="Matteo Giolo"/>
    <x v="0"/>
    <x v="137"/>
    <x v="137"/>
    <n v="5"/>
    <s v="ADET"/>
    <n v="0"/>
    <n v="234"/>
    <n v="30"/>
    <n v="-169"/>
    <n v="0"/>
    <n v="0"/>
    <n v="15.21"/>
    <x v="15"/>
    <n v="76.050000000000011"/>
    <x v="7"/>
  </r>
  <r>
    <x v="6"/>
    <s v="Laurent MONTAGNER"/>
    <x v="0"/>
    <x v="249"/>
    <x v="249"/>
    <n v="0.8"/>
    <s v="ADET"/>
    <n v="0"/>
    <n v="0"/>
    <n v="-1.7763568394002505E-15"/>
    <n v="6.9999999999999991"/>
    <n v="0"/>
    <n v="489.99999999999994"/>
    <n v="70"/>
    <x v="14"/>
    <n v="56"/>
    <x v="2"/>
  </r>
  <r>
    <x v="6"/>
    <s v="Laurent MONTAGNER"/>
    <x v="0"/>
    <x v="250"/>
    <x v="250"/>
    <n v="4.04"/>
    <s v="ADET"/>
    <n v="0"/>
    <n v="52"/>
    <n v="10.269999999999982"/>
    <n v="-5.0300000000000011"/>
    <n v="0"/>
    <n v="0"/>
    <n v="28"/>
    <x v="14"/>
    <n v="113.12"/>
    <x v="2"/>
  </r>
  <r>
    <x v="0"/>
    <s v="Soner Kayıkçı"/>
    <x v="0"/>
    <x v="250"/>
    <x v="250"/>
    <n v="2.5"/>
    <s v="ADET"/>
    <n v="0"/>
    <n v="52"/>
    <n v="10.269999999999982"/>
    <n v="-5.0300000000000011"/>
    <n v="0"/>
    <n v="0"/>
    <n v="28"/>
    <x v="14"/>
    <n v="70"/>
    <x v="2"/>
  </r>
  <r>
    <x v="2"/>
    <s v="Laurent MONTAGNER"/>
    <x v="0"/>
    <x v="250"/>
    <x v="250"/>
    <n v="3.65"/>
    <s v="ADET"/>
    <n v="0"/>
    <n v="52"/>
    <n v="10.269999999999982"/>
    <n v="-5.0300000000000011"/>
    <n v="0"/>
    <n v="0"/>
    <n v="28"/>
    <x v="14"/>
    <n v="102.2"/>
    <x v="2"/>
  </r>
  <r>
    <x v="2"/>
    <s v="Laurent MONTAGNER"/>
    <x v="0"/>
    <x v="140"/>
    <x v="140"/>
    <n v="0.5"/>
    <s v="ADET"/>
    <n v="0"/>
    <n v="0"/>
    <n v="3.5527136788005009E-15"/>
    <n v="-6.1"/>
    <n v="10"/>
    <n v="0"/>
    <n v="255.55"/>
    <x v="51"/>
    <n v="127.77500000000001"/>
    <x v="3"/>
  </r>
  <r>
    <x v="4"/>
    <s v="Stefan Zaugg"/>
    <x v="0"/>
    <x v="182"/>
    <x v="182"/>
    <n v="2"/>
    <s v="METRE"/>
    <n v="0"/>
    <n v="54"/>
    <n v="10"/>
    <n v="-50"/>
    <n v="0"/>
    <n v="0"/>
    <n v="105.6"/>
    <x v="61"/>
    <n v="211.2"/>
    <x v="2"/>
  </r>
  <r>
    <x v="5"/>
    <s v="Matteo Giolo"/>
    <x v="0"/>
    <x v="137"/>
    <x v="137"/>
    <n v="5"/>
    <s v="ADET"/>
    <n v="0"/>
    <n v="234"/>
    <n v="30"/>
    <n v="-169"/>
    <n v="0"/>
    <n v="0"/>
    <n v="15.21"/>
    <x v="15"/>
    <n v="76.050000000000011"/>
    <x v="7"/>
  </r>
  <r>
    <x v="4"/>
    <s v="Stefan Zaugg"/>
    <x v="0"/>
    <x v="249"/>
    <x v="249"/>
    <n v="0.6"/>
    <s v="ADET"/>
    <n v="0"/>
    <n v="0"/>
    <n v="-1.7763568394002505E-15"/>
    <n v="6.9999999999999991"/>
    <n v="0"/>
    <n v="489.99999999999994"/>
    <n v="70"/>
    <x v="14"/>
    <n v="42"/>
    <x v="2"/>
  </r>
  <r>
    <x v="5"/>
    <s v="Matteo Giolo"/>
    <x v="0"/>
    <x v="249"/>
    <x v="249"/>
    <n v="0.75"/>
    <s v="ADET"/>
    <n v="0"/>
    <n v="0"/>
    <n v="-1.7763568394002505E-15"/>
    <n v="6.9999999999999991"/>
    <n v="0"/>
    <n v="489.99999999999994"/>
    <n v="70"/>
    <x v="14"/>
    <n v="52.5"/>
    <x v="2"/>
  </r>
  <r>
    <x v="12"/>
    <s v="Matteo Giolo"/>
    <x v="0"/>
    <x v="250"/>
    <x v="250"/>
    <n v="2.5"/>
    <s v="ADET"/>
    <n v="0"/>
    <n v="52"/>
    <n v="10.269999999999982"/>
    <n v="-5.0300000000000011"/>
    <n v="0"/>
    <n v="0"/>
    <n v="28"/>
    <x v="14"/>
    <n v="70"/>
    <x v="2"/>
  </r>
  <r>
    <x v="3"/>
    <s v="Stina Alm"/>
    <x v="0"/>
    <x v="142"/>
    <x v="142"/>
    <n v="1"/>
    <s v="ADET"/>
    <n v="0"/>
    <n v="0"/>
    <n v="0"/>
    <n v="9"/>
    <n v="0"/>
    <n v="540"/>
    <n v="60"/>
    <x v="52"/>
    <n v="60"/>
    <x v="6"/>
  </r>
  <r>
    <x v="7"/>
    <s v="Laurent MONTAGNER"/>
    <x v="0"/>
    <x v="142"/>
    <x v="142"/>
    <n v="1"/>
    <s v="ADET"/>
    <n v="0"/>
    <n v="0"/>
    <n v="0"/>
    <n v="9"/>
    <n v="0"/>
    <n v="540"/>
    <n v="60"/>
    <x v="52"/>
    <n v="60"/>
    <x v="6"/>
  </r>
  <r>
    <x v="12"/>
    <s v="Matteo Giolo"/>
    <x v="0"/>
    <x v="136"/>
    <x v="136"/>
    <n v="0.01"/>
    <s v="METRE"/>
    <n v="0"/>
    <n v="200"/>
    <n v="74.999999999999957"/>
    <n v="-198.95"/>
    <n v="0"/>
    <n v="0"/>
    <n v="7.4"/>
    <x v="49"/>
    <n v="7.400000000000001E-2"/>
    <x v="7"/>
  </r>
  <r>
    <x v="7"/>
    <s v="Laurent MONTAGNER"/>
    <x v="0"/>
    <x v="137"/>
    <x v="137"/>
    <n v="5"/>
    <s v="ADET"/>
    <n v="0"/>
    <n v="234"/>
    <n v="30"/>
    <n v="-169"/>
    <n v="0"/>
    <n v="0"/>
    <n v="15.21"/>
    <x v="15"/>
    <n v="76.050000000000011"/>
    <x v="7"/>
  </r>
  <r>
    <x v="3"/>
    <s v="Stina Alm"/>
    <x v="0"/>
    <x v="249"/>
    <x v="249"/>
    <n v="0.7"/>
    <s v="ADET"/>
    <n v="0"/>
    <n v="0"/>
    <n v="-1.7763568394002505E-15"/>
    <n v="6.9999999999999991"/>
    <n v="0"/>
    <n v="489.99999999999994"/>
    <n v="70"/>
    <x v="14"/>
    <n v="49"/>
    <x v="2"/>
  </r>
  <r>
    <x v="7"/>
    <s v="Laurent MONTAGNER"/>
    <x v="0"/>
    <x v="249"/>
    <x v="249"/>
    <n v="0.8"/>
    <s v="ADET"/>
    <n v="0"/>
    <n v="0"/>
    <n v="-1.7763568394002505E-15"/>
    <n v="6.9999999999999991"/>
    <n v="0"/>
    <n v="489.99999999999994"/>
    <n v="70"/>
    <x v="14"/>
    <n v="56"/>
    <x v="2"/>
  </r>
  <r>
    <x v="7"/>
    <s v="Laurent MONTAGNER"/>
    <x v="0"/>
    <x v="250"/>
    <x v="250"/>
    <n v="4.04"/>
    <s v="ADET"/>
    <n v="0"/>
    <n v="52"/>
    <n v="10.269999999999982"/>
    <n v="-5.0300000000000011"/>
    <n v="0"/>
    <n v="0"/>
    <n v="28"/>
    <x v="14"/>
    <n v="113.12"/>
    <x v="2"/>
  </r>
  <r>
    <x v="3"/>
    <s v="Stina Alm"/>
    <x v="0"/>
    <x v="250"/>
    <x v="250"/>
    <n v="3.3900000000000006"/>
    <s v="ADET"/>
    <n v="0"/>
    <n v="52"/>
    <n v="10.269999999999982"/>
    <n v="-5.0300000000000011"/>
    <n v="0"/>
    <n v="0"/>
    <n v="28"/>
    <x v="14"/>
    <n v="94.920000000000016"/>
    <x v="2"/>
  </r>
  <r>
    <x v="2"/>
    <s v="Laurent MONTAGNER"/>
    <x v="0"/>
    <x v="137"/>
    <x v="137"/>
    <n v="5"/>
    <s v="ADET"/>
    <n v="0"/>
    <n v="234"/>
    <n v="30"/>
    <n v="-169"/>
    <n v="0"/>
    <n v="0"/>
    <n v="15.21"/>
    <x v="15"/>
    <n v="76.050000000000011"/>
    <x v="7"/>
  </r>
  <r>
    <x v="0"/>
    <s v="Soner Kayıkçı"/>
    <x v="0"/>
    <x v="137"/>
    <x v="137"/>
    <n v="5"/>
    <s v="ADET"/>
    <n v="0"/>
    <n v="234"/>
    <n v="30"/>
    <n v="-169"/>
    <n v="0"/>
    <n v="0"/>
    <n v="15.21"/>
    <x v="15"/>
    <n v="76.050000000000011"/>
    <x v="7"/>
  </r>
  <r>
    <x v="0"/>
    <s v="Soner Kayıkçı"/>
    <x v="0"/>
    <x v="251"/>
    <x v="251"/>
    <n v="2"/>
    <s v="ADET"/>
    <n v="0"/>
    <n v="30"/>
    <n v="20"/>
    <n v="-7"/>
    <n v="0"/>
    <n v="0"/>
    <n v="62.5"/>
    <x v="21"/>
    <n v="125"/>
    <x v="2"/>
  </r>
  <r>
    <x v="11"/>
    <s v="Jan Urbanek"/>
    <x v="0"/>
    <x v="116"/>
    <x v="116"/>
    <n v="4"/>
    <s v="KG"/>
    <n v="0"/>
    <n v="66"/>
    <n v="36.349999999999987"/>
    <n v="-17.090000000000018"/>
    <n v="0"/>
    <n v="0"/>
    <n v="129.63"/>
    <x v="14"/>
    <n v="518.52"/>
    <x v="3"/>
  </r>
  <r>
    <x v="11"/>
    <s v="Jan Urbanek"/>
    <x v="0"/>
    <x v="244"/>
    <x v="244"/>
    <n v="2"/>
    <s v="ADET"/>
    <n v="0"/>
    <n v="250"/>
    <n v="3"/>
    <n v="-166"/>
    <n v="0"/>
    <n v="0"/>
    <n v="2"/>
    <x v="5"/>
    <n v="4"/>
    <x v="2"/>
  </r>
  <r>
    <x v="11"/>
    <s v="Jan Urbanek"/>
    <x v="0"/>
    <x v="246"/>
    <x v="246"/>
    <n v="2"/>
    <s v="ADET"/>
    <n v="0"/>
    <n v="75"/>
    <n v="42.70000000000006"/>
    <n v="-48.040000000000006"/>
    <n v="0"/>
    <n v="0"/>
    <n v="15"/>
    <x v="14"/>
    <n v="30"/>
    <x v="2"/>
  </r>
  <r>
    <x v="11"/>
    <s v="Jan Urbanek"/>
    <x v="0"/>
    <x v="247"/>
    <x v="247"/>
    <n v="3"/>
    <s v="ADET"/>
    <n v="0"/>
    <n v="200"/>
    <n v="0"/>
    <n v="-188"/>
    <n v="0"/>
    <n v="0"/>
    <n v="10"/>
    <x v="2"/>
    <n v="30"/>
    <x v="2"/>
  </r>
  <r>
    <x v="10"/>
    <s v="Jan Urbanek"/>
    <x v="0"/>
    <x v="248"/>
    <x v="248"/>
    <n v="14"/>
    <s v="ADET"/>
    <n v="0"/>
    <n v="2698"/>
    <n v="0"/>
    <n v="-2312"/>
    <n v="0"/>
    <n v="0"/>
    <n v="1.55"/>
    <x v="20"/>
    <n v="21.7"/>
    <x v="7"/>
  </r>
  <r>
    <x v="15"/>
    <s v="Jan Urbanek"/>
    <x v="0"/>
    <x v="7"/>
    <x v="7"/>
    <n v="1"/>
    <s v="ADET"/>
    <n v="0"/>
    <n v="0"/>
    <n v="5"/>
    <n v="0"/>
    <n v="7"/>
    <n v="0"/>
    <n v="1491.67"/>
    <x v="7"/>
    <n v="1491.67"/>
    <x v="6"/>
  </r>
  <r>
    <x v="10"/>
    <s v="Jan Urbanek"/>
    <x v="0"/>
    <x v="116"/>
    <x v="116"/>
    <n v="4"/>
    <s v="KG"/>
    <n v="0"/>
    <n v="66"/>
    <n v="36.349999999999987"/>
    <n v="-17.090000000000018"/>
    <n v="0"/>
    <n v="0"/>
    <n v="129.63"/>
    <x v="14"/>
    <n v="518.52"/>
    <x v="3"/>
  </r>
  <r>
    <x v="8"/>
    <s v="Jan Urbanek"/>
    <x v="0"/>
    <x v="116"/>
    <x v="116"/>
    <n v="4"/>
    <s v="KG"/>
    <n v="0"/>
    <n v="66"/>
    <n v="36.349999999999987"/>
    <n v="-17.090000000000018"/>
    <n v="0"/>
    <n v="0"/>
    <n v="129.63"/>
    <x v="14"/>
    <n v="518.52"/>
    <x v="3"/>
  </r>
  <r>
    <x v="10"/>
    <s v="Jan Urbanek"/>
    <x v="0"/>
    <x v="244"/>
    <x v="244"/>
    <n v="2"/>
    <s v="ADET"/>
    <n v="0"/>
    <n v="250"/>
    <n v="3"/>
    <n v="-166"/>
    <n v="0"/>
    <n v="0"/>
    <n v="2"/>
    <x v="5"/>
    <n v="4"/>
    <x v="2"/>
  </r>
  <r>
    <x v="8"/>
    <s v="Jan Urbanek"/>
    <x v="0"/>
    <x v="244"/>
    <x v="244"/>
    <n v="2"/>
    <s v="ADET"/>
    <n v="0"/>
    <n v="250"/>
    <n v="3"/>
    <n v="-166"/>
    <n v="0"/>
    <n v="0"/>
    <n v="2"/>
    <x v="5"/>
    <n v="4"/>
    <x v="2"/>
  </r>
  <r>
    <x v="10"/>
    <s v="Jan Urbanek"/>
    <x v="0"/>
    <x v="245"/>
    <x v="245"/>
    <n v="4"/>
    <s v="ADET"/>
    <n v="0"/>
    <n v="250"/>
    <n v="835"/>
    <n v="-134"/>
    <n v="0"/>
    <n v="0"/>
    <n v="1.58"/>
    <x v="8"/>
    <n v="6.32"/>
    <x v="2"/>
  </r>
  <r>
    <x v="10"/>
    <s v="Jan Urbanek"/>
    <x v="0"/>
    <x v="246"/>
    <x v="246"/>
    <n v="2"/>
    <s v="ADET"/>
    <n v="0"/>
    <n v="75"/>
    <n v="42.70000000000006"/>
    <n v="-48.040000000000006"/>
    <n v="0"/>
    <n v="0"/>
    <n v="15"/>
    <x v="14"/>
    <n v="30"/>
    <x v="2"/>
  </r>
  <r>
    <x v="8"/>
    <s v="Jan Urbanek"/>
    <x v="0"/>
    <x v="246"/>
    <x v="246"/>
    <n v="2"/>
    <s v="ADET"/>
    <n v="0"/>
    <n v="75"/>
    <n v="42.70000000000006"/>
    <n v="-48.040000000000006"/>
    <n v="0"/>
    <n v="0"/>
    <n v="15"/>
    <x v="14"/>
    <n v="30"/>
    <x v="2"/>
  </r>
  <r>
    <x v="11"/>
    <s v="Jan Urbanek"/>
    <x v="0"/>
    <x v="219"/>
    <x v="219"/>
    <n v="0.5"/>
    <s v="ADET"/>
    <n v="0"/>
    <n v="100"/>
    <n v="41"/>
    <n v="-89.5"/>
    <n v="0"/>
    <n v="0"/>
    <n v="60"/>
    <x v="20"/>
    <n v="30"/>
    <x v="2"/>
  </r>
  <r>
    <x v="11"/>
    <s v="Jan Urbanek"/>
    <x v="0"/>
    <x v="220"/>
    <x v="220"/>
    <n v="1.5099999999999998"/>
    <s v="ADET"/>
    <n v="0"/>
    <n v="10"/>
    <n v="126.66400000000034"/>
    <n v="-1.1600000000000001"/>
    <n v="0"/>
    <n v="0"/>
    <n v="185"/>
    <x v="14"/>
    <n v="279.34999999999997"/>
    <x v="2"/>
  </r>
  <r>
    <x v="11"/>
    <s v="Jan Urbanek"/>
    <x v="0"/>
    <x v="221"/>
    <x v="221"/>
    <n v="3"/>
    <s v="ADET"/>
    <n v="0"/>
    <n v="228"/>
    <n v="4.2632564145606011E-14"/>
    <n v="-186"/>
    <n v="0"/>
    <n v="0"/>
    <n v="6"/>
    <x v="28"/>
    <n v="18"/>
    <x v="2"/>
  </r>
  <r>
    <x v="11"/>
    <s v="Jan Urbanek"/>
    <x v="0"/>
    <x v="222"/>
    <x v="222"/>
    <n v="5"/>
    <s v="ADET"/>
    <n v="0"/>
    <n v="148"/>
    <n v="59"/>
    <n v="-33"/>
    <n v="0"/>
    <n v="0"/>
    <n v="24.17"/>
    <x v="21"/>
    <n v="120.85000000000001"/>
    <x v="2"/>
  </r>
  <r>
    <x v="11"/>
    <s v="Jan Urbanek"/>
    <x v="0"/>
    <x v="228"/>
    <x v="228"/>
    <n v="0.25"/>
    <s v="METRE"/>
    <n v="0"/>
    <n v="52"/>
    <n v="38.620000000000005"/>
    <n v="-47.39"/>
    <n v="0"/>
    <n v="0"/>
    <n v="126.36"/>
    <x v="70"/>
    <n v="31.59"/>
    <x v="4"/>
  </r>
  <r>
    <x v="2"/>
    <s v="Laurent MONTAGNER"/>
    <x v="0"/>
    <x v="230"/>
    <x v="230"/>
    <n v="4"/>
    <s v="ADET"/>
    <n v="0"/>
    <n v="1000"/>
    <n v="0"/>
    <n v="-964"/>
    <n v="0"/>
    <n v="0"/>
    <n v="1.2"/>
    <x v="14"/>
    <n v="4.8"/>
    <x v="2"/>
  </r>
  <r>
    <x v="9"/>
    <s v="Jan Urbanek"/>
    <x v="0"/>
    <x v="229"/>
    <x v="229"/>
    <n v="2"/>
    <s v="ADET"/>
    <n v="0"/>
    <n v="50"/>
    <n v="33"/>
    <n v="-15"/>
    <n v="0"/>
    <n v="0"/>
    <n v="72.599999999999994"/>
    <x v="14"/>
    <n v="145.19999999999999"/>
    <x v="4"/>
  </r>
  <r>
    <x v="8"/>
    <s v="Jan Urbanek"/>
    <x v="0"/>
    <x v="229"/>
    <x v="229"/>
    <n v="2"/>
    <s v="ADET"/>
    <n v="0"/>
    <n v="50"/>
    <n v="33"/>
    <n v="-15"/>
    <n v="0"/>
    <n v="0"/>
    <n v="72.599999999999994"/>
    <x v="14"/>
    <n v="145.19999999999999"/>
    <x v="4"/>
  </r>
  <r>
    <x v="1"/>
    <s v="Stina Alm"/>
    <x v="0"/>
    <x v="191"/>
    <x v="191"/>
    <n v="6.3"/>
    <s v="ADET"/>
    <n v="0"/>
    <n v="87"/>
    <n v="50.899999999999949"/>
    <n v="-43.900000000000006"/>
    <n v="0"/>
    <n v="0"/>
    <n v="122.09"/>
    <x v="29"/>
    <n v="769.16700000000003"/>
    <x v="2"/>
  </r>
  <r>
    <x v="6"/>
    <s v="Laurent MONTAGNER"/>
    <x v="0"/>
    <x v="194"/>
    <x v="194"/>
    <n v="6.6"/>
    <s v="METRE"/>
    <n v="0"/>
    <n v="100"/>
    <n v="2.0000000000000568"/>
    <n v="-6.4000000000000057"/>
    <n v="0"/>
    <n v="0"/>
    <n v="111"/>
    <x v="15"/>
    <n v="732.59999999999991"/>
    <x v="7"/>
  </r>
  <r>
    <x v="0"/>
    <s v="Soner Kayıkçı"/>
    <x v="0"/>
    <x v="218"/>
    <x v="218"/>
    <n v="1"/>
    <s v="ADET"/>
    <n v="0"/>
    <n v="24"/>
    <n v="9"/>
    <n v="-21"/>
    <n v="0"/>
    <n v="0"/>
    <n v="368.07"/>
    <x v="67"/>
    <n v="368.07"/>
    <x v="7"/>
  </r>
  <r>
    <x v="0"/>
    <s v="Soner Kayıkçı"/>
    <x v="0"/>
    <x v="219"/>
    <x v="219"/>
    <n v="0.5"/>
    <s v="ADET"/>
    <n v="0"/>
    <n v="100"/>
    <n v="41"/>
    <n v="-89.5"/>
    <n v="0"/>
    <n v="0"/>
    <n v="60"/>
    <x v="20"/>
    <n v="30"/>
    <x v="2"/>
  </r>
  <r>
    <x v="0"/>
    <s v="Soner Kayıkçı"/>
    <x v="0"/>
    <x v="220"/>
    <x v="220"/>
    <n v="1.51"/>
    <s v="ADET"/>
    <n v="0"/>
    <n v="10"/>
    <n v="126.66400000000034"/>
    <n v="-1.1600000000000001"/>
    <n v="0"/>
    <n v="0"/>
    <n v="185"/>
    <x v="14"/>
    <n v="279.35000000000002"/>
    <x v="2"/>
  </r>
  <r>
    <x v="2"/>
    <s v="Laurent MONTAGNER"/>
    <x v="0"/>
    <x v="220"/>
    <x v="220"/>
    <n v="0.7200000000000002"/>
    <s v="ADET"/>
    <n v="0.7200000000000002"/>
    <n v="10"/>
    <n v="126.66400000000034"/>
    <n v="-1.1600000000000001"/>
    <n v="0"/>
    <n v="0"/>
    <n v="185"/>
    <x v="14"/>
    <n v="133.20000000000005"/>
    <x v="2"/>
  </r>
  <r>
    <x v="2"/>
    <s v="Laurent MONTAGNER"/>
    <x v="0"/>
    <x v="221"/>
    <x v="221"/>
    <n v="2"/>
    <s v="ADET"/>
    <n v="0"/>
    <n v="228"/>
    <n v="4.2632564145606011E-14"/>
    <n v="-186"/>
    <n v="0"/>
    <n v="0"/>
    <n v="6"/>
    <x v="28"/>
    <n v="12"/>
    <x v="2"/>
  </r>
  <r>
    <x v="2"/>
    <s v="Laurent MONTAGNER"/>
    <x v="0"/>
    <x v="222"/>
    <x v="222"/>
    <n v="9"/>
    <s v="ADET"/>
    <n v="0"/>
    <n v="148"/>
    <n v="59"/>
    <n v="-33"/>
    <n v="0"/>
    <n v="0"/>
    <n v="24.17"/>
    <x v="21"/>
    <n v="217.53000000000003"/>
    <x v="2"/>
  </r>
  <r>
    <x v="0"/>
    <s v="Soner Kayıkçı"/>
    <x v="0"/>
    <x v="228"/>
    <x v="228"/>
    <n v="0.25"/>
    <s v="METRE"/>
    <n v="0"/>
    <n v="52"/>
    <n v="38.620000000000005"/>
    <n v="-47.39"/>
    <n v="0"/>
    <n v="0"/>
    <n v="126.36"/>
    <x v="70"/>
    <n v="31.59"/>
    <x v="4"/>
  </r>
  <r>
    <x v="6"/>
    <s v="Laurent MONTAGNER"/>
    <x v="0"/>
    <x v="224"/>
    <x v="224"/>
    <n v="7"/>
    <s v="ADET"/>
    <n v="0"/>
    <n v="0"/>
    <n v="75"/>
    <n v="102"/>
    <n v="0"/>
    <n v="10710"/>
    <n v="105"/>
    <x v="68"/>
    <n v="735"/>
    <x v="4"/>
  </r>
  <r>
    <x v="2"/>
    <s v="Laurent MONTAGNER"/>
    <x v="0"/>
    <x v="192"/>
    <x v="192"/>
    <n v="1.5"/>
    <s v="ADET"/>
    <n v="0"/>
    <n v="14"/>
    <n v="6.8000000000000025"/>
    <n v="7.7000000000000028"/>
    <n v="12"/>
    <n v="2532.1450000000009"/>
    <n v="328.85"/>
    <x v="62"/>
    <n v="493.27500000000003"/>
    <x v="3"/>
  </r>
  <r>
    <x v="1"/>
    <s v="Stina Alm"/>
    <x v="0"/>
    <x v="222"/>
    <x v="222"/>
    <n v="4"/>
    <s v="ADET"/>
    <n v="0"/>
    <n v="148"/>
    <n v="59"/>
    <n v="-33"/>
    <n v="0"/>
    <n v="0"/>
    <n v="24.17"/>
    <x v="21"/>
    <n v="96.68"/>
    <x v="2"/>
  </r>
  <r>
    <x v="5"/>
    <s v="Matteo Giolo"/>
    <x v="0"/>
    <x v="114"/>
    <x v="114"/>
    <n v="6"/>
    <s v="ADET"/>
    <n v="0"/>
    <n v="230"/>
    <n v="72"/>
    <n v="-172"/>
    <n v="0"/>
    <n v="0"/>
    <n v="225"/>
    <x v="42"/>
    <n v="1350"/>
    <x v="6"/>
  </r>
  <r>
    <x v="12"/>
    <s v="Matteo Giolo"/>
    <x v="0"/>
    <x v="191"/>
    <x v="191"/>
    <n v="1"/>
    <s v="ADET"/>
    <n v="0"/>
    <n v="87"/>
    <n v="50.899999999999949"/>
    <n v="-43.900000000000006"/>
    <n v="0"/>
    <n v="0"/>
    <n v="122.09"/>
    <x v="29"/>
    <n v="122.09"/>
    <x v="2"/>
  </r>
  <r>
    <x v="7"/>
    <s v="Laurent MONTAGNER"/>
    <x v="0"/>
    <x v="230"/>
    <x v="230"/>
    <n v="4"/>
    <s v="ADET"/>
    <n v="0"/>
    <n v="1000"/>
    <n v="0"/>
    <n v="-964"/>
    <n v="0"/>
    <n v="0"/>
    <n v="1.2"/>
    <x v="14"/>
    <n v="4.8"/>
    <x v="2"/>
  </r>
  <r>
    <x v="3"/>
    <s v="Stina Alm"/>
    <x v="0"/>
    <x v="191"/>
    <x v="191"/>
    <n v="6.3"/>
    <s v="ADET"/>
    <n v="0"/>
    <n v="87"/>
    <n v="50.899999999999949"/>
    <n v="-43.900000000000006"/>
    <n v="0"/>
    <n v="0"/>
    <n v="122.09"/>
    <x v="29"/>
    <n v="769.16700000000003"/>
    <x v="2"/>
  </r>
  <r>
    <x v="5"/>
    <s v="Matteo Giolo"/>
    <x v="0"/>
    <x v="191"/>
    <x v="191"/>
    <n v="4.5999999999999996"/>
    <s v="ADET"/>
    <n v="0"/>
    <n v="87"/>
    <n v="50.899999999999949"/>
    <n v="-43.900000000000006"/>
    <n v="0"/>
    <n v="0"/>
    <n v="122.09"/>
    <x v="29"/>
    <n v="561.61399999999992"/>
    <x v="2"/>
  </r>
  <r>
    <x v="3"/>
    <s v="Stina Alm"/>
    <x v="0"/>
    <x v="230"/>
    <x v="230"/>
    <n v="4"/>
    <s v="ADET"/>
    <n v="0"/>
    <n v="1000"/>
    <n v="0"/>
    <n v="-964"/>
    <n v="0"/>
    <n v="0"/>
    <n v="1.2"/>
    <x v="14"/>
    <n v="4.8"/>
    <x v="2"/>
  </r>
  <r>
    <x v="17"/>
    <s v="Murat Taşdemir"/>
    <x v="0"/>
    <x v="231"/>
    <x v="231"/>
    <n v="1"/>
    <s v="METRE"/>
    <n v="0"/>
    <n v="0"/>
    <n v="3.0000000000000142"/>
    <n v="11"/>
    <n v="0"/>
    <n v="5399.35"/>
    <n v="490.85"/>
    <x v="71"/>
    <n v="490.85"/>
    <x v="5"/>
  </r>
  <r>
    <x v="0"/>
    <s v="Soner Kayıkçı"/>
    <x v="0"/>
    <x v="133"/>
    <x v="133"/>
    <n v="0.30000000000000004"/>
    <s v="METRE"/>
    <n v="0"/>
    <n v="0"/>
    <n v="93.800000000000011"/>
    <n v="5.0999999999999996"/>
    <n v="0"/>
    <n v="34.526999999999994"/>
    <n v="6.77"/>
    <x v="49"/>
    <n v="2.0310000000000001"/>
    <x v="7"/>
  </r>
  <r>
    <x v="1"/>
    <s v="Stina Alm"/>
    <x v="0"/>
    <x v="133"/>
    <x v="133"/>
    <n v="0.2"/>
    <s v="METRE"/>
    <n v="0"/>
    <n v="0"/>
    <n v="93.800000000000011"/>
    <n v="5.0999999999999996"/>
    <n v="0"/>
    <n v="34.526999999999994"/>
    <n v="6.77"/>
    <x v="49"/>
    <n v="1.3540000000000001"/>
    <x v="7"/>
  </r>
  <r>
    <x v="0"/>
    <s v="Soner Kayıkçı"/>
    <x v="0"/>
    <x v="134"/>
    <x v="134"/>
    <n v="2"/>
    <s v="ADET"/>
    <n v="0"/>
    <n v="37"/>
    <n v="20"/>
    <n v="-13"/>
    <n v="0"/>
    <n v="0"/>
    <n v="45.3"/>
    <x v="15"/>
    <n v="90.6"/>
    <x v="7"/>
  </r>
  <r>
    <x v="1"/>
    <s v="Stina Alm"/>
    <x v="0"/>
    <x v="134"/>
    <x v="134"/>
    <n v="2"/>
    <s v="ADET"/>
    <n v="0"/>
    <n v="37"/>
    <n v="20"/>
    <n v="-13"/>
    <n v="0"/>
    <n v="0"/>
    <n v="45.3"/>
    <x v="15"/>
    <n v="90.6"/>
    <x v="7"/>
  </r>
  <r>
    <x v="4"/>
    <s v="Stefan Zaugg"/>
    <x v="0"/>
    <x v="111"/>
    <x v="111"/>
    <n v="1"/>
    <s v="ADET"/>
    <n v="0"/>
    <n v="5"/>
    <n v="0"/>
    <n v="4.6000000000000014"/>
    <n v="5"/>
    <n v="5276.2000000000016"/>
    <n v="1147"/>
    <x v="41"/>
    <n v="1147"/>
    <x v="5"/>
  </r>
  <r>
    <x v="5"/>
    <s v="Matteo Giolo"/>
    <x v="0"/>
    <x v="129"/>
    <x v="129"/>
    <n v="2"/>
    <s v="KG"/>
    <n v="0"/>
    <n v="30"/>
    <n v="21.5"/>
    <n v="4"/>
    <n v="0"/>
    <n v="472.56"/>
    <n v="118.14"/>
    <x v="48"/>
    <n v="236.28"/>
    <x v="3"/>
  </r>
  <r>
    <x v="7"/>
    <s v="Laurent MONTAGNER"/>
    <x v="0"/>
    <x v="133"/>
    <x v="133"/>
    <n v="0.2"/>
    <s v="METRE"/>
    <n v="0"/>
    <n v="0"/>
    <n v="93.800000000000011"/>
    <n v="5.0999999999999996"/>
    <n v="0"/>
    <n v="34.526999999999994"/>
    <n v="6.77"/>
    <x v="49"/>
    <n v="1.3540000000000001"/>
    <x v="7"/>
  </r>
  <r>
    <x v="5"/>
    <s v="Matteo Giolo"/>
    <x v="0"/>
    <x v="134"/>
    <x v="134"/>
    <n v="2"/>
    <s v="ADET"/>
    <n v="0"/>
    <n v="37"/>
    <n v="20"/>
    <n v="-13"/>
    <n v="0"/>
    <n v="0"/>
    <n v="45.3"/>
    <x v="15"/>
    <n v="90.6"/>
    <x v="7"/>
  </r>
  <r>
    <x v="6"/>
    <s v="Laurent MONTAGNER"/>
    <x v="0"/>
    <x v="237"/>
    <x v="237"/>
    <n v="1"/>
    <s v="ADET"/>
    <n v="0"/>
    <n v="32"/>
    <n v="22"/>
    <n v="-13"/>
    <n v="0"/>
    <n v="0"/>
    <n v="34"/>
    <x v="14"/>
    <n v="34"/>
    <x v="4"/>
  </r>
  <r>
    <x v="5"/>
    <s v="Matteo Giolo"/>
    <x v="0"/>
    <x v="125"/>
    <x v="125"/>
    <n v="1"/>
    <s v="ADET"/>
    <n v="0"/>
    <n v="11"/>
    <n v="8"/>
    <n v="0"/>
    <n v="0"/>
    <n v="0"/>
    <n v="1145.83"/>
    <x v="37"/>
    <n v="1145.83"/>
    <x v="6"/>
  </r>
  <r>
    <x v="0"/>
    <s v="Soner Kayıkçı"/>
    <x v="0"/>
    <x v="196"/>
    <x v="196"/>
    <n v="4"/>
    <s v="ADET"/>
    <n v="0"/>
    <n v="100"/>
    <n v="138"/>
    <n v="-84"/>
    <n v="0"/>
    <n v="0"/>
    <n v="8"/>
    <x v="8"/>
    <n v="32"/>
    <x v="4"/>
  </r>
  <r>
    <x v="0"/>
    <s v="Soner Kayıkçı"/>
    <x v="0"/>
    <x v="197"/>
    <x v="197"/>
    <n v="7.5"/>
    <s v="METRE"/>
    <n v="0"/>
    <n v="100"/>
    <n v="139.99999999999989"/>
    <n v="41.300000000000011"/>
    <n v="0"/>
    <n v="929.25000000000023"/>
    <n v="22.5"/>
    <x v="27"/>
    <n v="168.75"/>
    <x v="4"/>
  </r>
  <r>
    <x v="2"/>
    <s v="Laurent MONTAGNER"/>
    <x v="0"/>
    <x v="197"/>
    <x v="197"/>
    <n v="5.65"/>
    <s v="METRE"/>
    <n v="0"/>
    <n v="100"/>
    <n v="139.99999999999989"/>
    <n v="41.300000000000011"/>
    <n v="0"/>
    <n v="929.25000000000023"/>
    <n v="22.5"/>
    <x v="27"/>
    <n v="127.12500000000001"/>
    <x v="4"/>
  </r>
  <r>
    <x v="2"/>
    <s v="Laurent MONTAGNER"/>
    <x v="0"/>
    <x v="239"/>
    <x v="239"/>
    <n v="2"/>
    <s v="ADET"/>
    <n v="0"/>
    <n v="38"/>
    <n v="20"/>
    <n v="-14"/>
    <n v="0"/>
    <n v="0"/>
    <n v="55"/>
    <x v="15"/>
    <n v="110"/>
    <x v="7"/>
  </r>
  <r>
    <x v="0"/>
    <s v="Soner Kayıkçı"/>
    <x v="0"/>
    <x v="238"/>
    <x v="238"/>
    <n v="15"/>
    <s v="ADET"/>
    <n v="0"/>
    <n v="31"/>
    <n v="20"/>
    <n v="14"/>
    <n v="0"/>
    <n v="1225"/>
    <n v="87.5"/>
    <x v="21"/>
    <n v="1312.5"/>
    <x v="2"/>
  </r>
  <r>
    <x v="3"/>
    <s v="Stina Alm"/>
    <x v="0"/>
    <x v="197"/>
    <x v="197"/>
    <n v="5.5"/>
    <s v="METRE"/>
    <n v="0"/>
    <n v="100"/>
    <n v="139.99999999999989"/>
    <n v="41.300000000000011"/>
    <n v="0"/>
    <n v="929.25000000000023"/>
    <n v="22.5"/>
    <x v="27"/>
    <n v="123.75"/>
    <x v="4"/>
  </r>
  <r>
    <x v="12"/>
    <s v="Matteo Giolo"/>
    <x v="0"/>
    <x v="239"/>
    <x v="239"/>
    <n v="2"/>
    <s v="ADET"/>
    <n v="0"/>
    <n v="38"/>
    <n v="20"/>
    <n v="-14"/>
    <n v="0"/>
    <n v="0"/>
    <n v="55"/>
    <x v="15"/>
    <n v="110"/>
    <x v="7"/>
  </r>
  <r>
    <x v="4"/>
    <s v="Stefan Zaugg"/>
    <x v="0"/>
    <x v="237"/>
    <x v="237"/>
    <n v="1"/>
    <s v="ADET"/>
    <n v="0"/>
    <n v="32"/>
    <n v="22"/>
    <n v="-13"/>
    <n v="0"/>
    <n v="0"/>
    <n v="34"/>
    <x v="14"/>
    <n v="34"/>
    <x v="4"/>
  </r>
  <r>
    <x v="4"/>
    <s v="Stefan Zaugg"/>
    <x v="0"/>
    <x v="197"/>
    <x v="197"/>
    <n v="7.5"/>
    <s v="METRE"/>
    <n v="0"/>
    <n v="100"/>
    <n v="139.99999999999989"/>
    <n v="41.300000000000011"/>
    <n v="0"/>
    <n v="929.25000000000023"/>
    <n v="22.5"/>
    <x v="27"/>
    <n v="168.75"/>
    <x v="4"/>
  </r>
  <r>
    <x v="5"/>
    <s v="Matteo Giolo"/>
    <x v="0"/>
    <x v="239"/>
    <x v="239"/>
    <n v="2"/>
    <s v="ADET"/>
    <n v="0"/>
    <n v="38"/>
    <n v="20"/>
    <n v="-14"/>
    <n v="0"/>
    <n v="0"/>
    <n v="55"/>
    <x v="15"/>
    <n v="110"/>
    <x v="7"/>
  </r>
  <r>
    <x v="17"/>
    <s v="Murat Taşdemir"/>
    <x v="0"/>
    <x v="197"/>
    <x v="197"/>
    <n v="10"/>
    <s v="METRE"/>
    <n v="0"/>
    <n v="100"/>
    <n v="139.99999999999989"/>
    <n v="41.300000000000011"/>
    <n v="0"/>
    <n v="929.25000000000023"/>
    <n v="22.5"/>
    <x v="27"/>
    <n v="225"/>
    <x v="4"/>
  </r>
  <r>
    <x v="17"/>
    <s v="Murat Taşdemir"/>
    <x v="0"/>
    <x v="237"/>
    <x v="237"/>
    <n v="1"/>
    <s v="ADET"/>
    <n v="0"/>
    <n v="32"/>
    <n v="22"/>
    <n v="-13"/>
    <n v="0"/>
    <n v="0"/>
    <n v="34"/>
    <x v="14"/>
    <n v="34"/>
    <x v="4"/>
  </r>
  <r>
    <x v="12"/>
    <s v="Matteo Giolo"/>
    <x v="0"/>
    <x v="237"/>
    <x v="237"/>
    <n v="1"/>
    <s v="ADET"/>
    <n v="0"/>
    <n v="32"/>
    <n v="22"/>
    <n v="-13"/>
    <n v="0"/>
    <n v="0"/>
    <n v="34"/>
    <x v="14"/>
    <n v="34"/>
    <x v="4"/>
  </r>
  <r>
    <x v="7"/>
    <s v="Laurent MONTAGNER"/>
    <x v="0"/>
    <x v="237"/>
    <x v="237"/>
    <n v="1"/>
    <s v="ADET"/>
    <n v="0"/>
    <n v="32"/>
    <n v="22"/>
    <n v="-13"/>
    <n v="0"/>
    <n v="0"/>
    <n v="34"/>
    <x v="14"/>
    <n v="34"/>
    <x v="4"/>
  </r>
  <r>
    <x v="16"/>
    <s v="Stefan Zaugg"/>
    <x v="0"/>
    <x v="252"/>
    <x v="252"/>
    <n v="1"/>
    <s v="ADET"/>
    <n v="0"/>
    <n v="30"/>
    <n v="5.7000000000000028"/>
    <n v="-28"/>
    <n v="0"/>
    <n v="0"/>
    <n v="199.37"/>
    <x v="61"/>
    <n v="199.37"/>
    <x v="2"/>
  </r>
  <r>
    <x v="19"/>
    <s v="Volkan Batkan"/>
    <x v="0"/>
    <x v="237"/>
    <x v="237"/>
    <n v="1"/>
    <s v="ADET"/>
    <n v="0"/>
    <n v="32"/>
    <n v="22"/>
    <n v="-13"/>
    <n v="0"/>
    <n v="0"/>
    <n v="34"/>
    <x v="14"/>
    <n v="34"/>
    <x v="4"/>
  </r>
  <r>
    <x v="16"/>
    <s v="Stefan Zaugg"/>
    <x v="0"/>
    <x v="237"/>
    <x v="237"/>
    <n v="1"/>
    <s v="ADET"/>
    <n v="0"/>
    <n v="32"/>
    <n v="22"/>
    <n v="-13"/>
    <n v="0"/>
    <n v="0"/>
    <n v="34"/>
    <x v="14"/>
    <n v="34"/>
    <x v="4"/>
  </r>
  <r>
    <x v="8"/>
    <s v="Jan Urbanek"/>
    <x v="0"/>
    <x v="253"/>
    <x v="253"/>
    <n v="1"/>
    <s v="ADET"/>
    <n v="0"/>
    <n v="7"/>
    <n v="10"/>
    <n v="-1"/>
    <n v="5"/>
    <n v="0"/>
    <n v="1200"/>
    <x v="35"/>
    <n v="1200"/>
    <x v="4"/>
  </r>
  <r>
    <x v="6"/>
    <s v="Laurent MONTAGNER"/>
    <x v="0"/>
    <x v="245"/>
    <x v="245"/>
    <n v="8"/>
    <s v="ADET"/>
    <n v="0"/>
    <n v="250"/>
    <n v="835"/>
    <n v="-134"/>
    <n v="0"/>
    <n v="0"/>
    <n v="1.58"/>
    <x v="8"/>
    <n v="12.64"/>
    <x v="2"/>
  </r>
  <r>
    <x v="9"/>
    <s v="Jan Urbanek"/>
    <x v="0"/>
    <x v="3"/>
    <x v="3"/>
    <n v="35.279999999999994"/>
    <s v="KG"/>
    <n v="0"/>
    <n v="0"/>
    <n v="437.82000000000016"/>
    <n v="348.62999999999988"/>
    <n v="0"/>
    <n v="33597.473099999988"/>
    <n v="96.37"/>
    <x v="3"/>
    <n v="3399.9335999999994"/>
    <x v="3"/>
  </r>
  <r>
    <x v="11"/>
    <s v="Jan Urbanek"/>
    <x v="0"/>
    <x v="245"/>
    <x v="245"/>
    <n v="4"/>
    <s v="ADET"/>
    <n v="0"/>
    <n v="250"/>
    <n v="835"/>
    <n v="-134"/>
    <n v="0"/>
    <n v="0"/>
    <n v="1.58"/>
    <x v="8"/>
    <n v="6.32"/>
    <x v="2"/>
  </r>
  <r>
    <x v="9"/>
    <s v="Jan Urbanek"/>
    <x v="0"/>
    <x v="248"/>
    <x v="248"/>
    <n v="14"/>
    <s v="ADET"/>
    <n v="0"/>
    <n v="2698"/>
    <n v="0"/>
    <n v="-2312"/>
    <n v="0"/>
    <n v="0"/>
    <n v="1.55"/>
    <x v="20"/>
    <n v="21.7"/>
    <x v="7"/>
  </r>
  <r>
    <x v="8"/>
    <s v="Jan Urbanek"/>
    <x v="0"/>
    <x v="248"/>
    <x v="248"/>
    <n v="14"/>
    <s v="ADET"/>
    <n v="0"/>
    <n v="2698"/>
    <n v="0"/>
    <n v="-2312"/>
    <n v="0"/>
    <n v="0"/>
    <n v="1.55"/>
    <x v="20"/>
    <n v="21.7"/>
    <x v="7"/>
  </r>
  <r>
    <x v="10"/>
    <s v="Jan Urbanek"/>
    <x v="0"/>
    <x v="253"/>
    <x v="253"/>
    <n v="1"/>
    <s v="ADET"/>
    <n v="0"/>
    <n v="7"/>
    <n v="10"/>
    <n v="-1"/>
    <n v="5"/>
    <n v="0"/>
    <n v="1200"/>
    <x v="35"/>
    <n v="1200"/>
    <x v="4"/>
  </r>
  <r>
    <x v="2"/>
    <s v="Laurent MONTAGNER"/>
    <x v="0"/>
    <x v="244"/>
    <x v="244"/>
    <n v="8"/>
    <s v="ADET"/>
    <n v="0"/>
    <n v="250"/>
    <n v="3"/>
    <n v="-166"/>
    <n v="0"/>
    <n v="0"/>
    <n v="2"/>
    <x v="5"/>
    <n v="16"/>
    <x v="2"/>
  </r>
  <r>
    <x v="11"/>
    <s v="Jan Urbanek"/>
    <x v="0"/>
    <x v="253"/>
    <x v="253"/>
    <n v="1"/>
    <s v="ADET"/>
    <n v="0"/>
    <n v="7"/>
    <n v="10"/>
    <n v="-1"/>
    <n v="5"/>
    <n v="0"/>
    <n v="1200"/>
    <x v="35"/>
    <n v="1200"/>
    <x v="4"/>
  </r>
  <r>
    <x v="0"/>
    <s v="Soner Kayıkçı"/>
    <x v="0"/>
    <x v="116"/>
    <x v="116"/>
    <n v="4"/>
    <s v="KG"/>
    <n v="0"/>
    <n v="66"/>
    <n v="36.349999999999987"/>
    <n v="-17.090000000000018"/>
    <n v="0"/>
    <n v="0"/>
    <n v="129.63"/>
    <x v="14"/>
    <n v="518.52"/>
    <x v="3"/>
  </r>
  <r>
    <x v="1"/>
    <s v="Stina Alm"/>
    <x v="0"/>
    <x v="116"/>
    <x v="116"/>
    <n v="2.9299999999999997"/>
    <s v="KG"/>
    <n v="0"/>
    <n v="66"/>
    <n v="36.349999999999987"/>
    <n v="-17.090000000000018"/>
    <n v="0"/>
    <n v="0"/>
    <n v="129.63"/>
    <x v="14"/>
    <n v="379.81589999999994"/>
    <x v="3"/>
  </r>
  <r>
    <x v="0"/>
    <s v="Soner Kayıkçı"/>
    <x v="0"/>
    <x v="244"/>
    <x v="244"/>
    <n v="2"/>
    <s v="ADET"/>
    <n v="0"/>
    <n v="250"/>
    <n v="3"/>
    <n v="-166"/>
    <n v="0"/>
    <n v="0"/>
    <n v="2"/>
    <x v="5"/>
    <n v="4"/>
    <x v="2"/>
  </r>
  <r>
    <x v="1"/>
    <s v="Stina Alm"/>
    <x v="0"/>
    <x v="244"/>
    <x v="244"/>
    <n v="8"/>
    <s v="ADET"/>
    <n v="0"/>
    <n v="250"/>
    <n v="3"/>
    <n v="-166"/>
    <n v="0"/>
    <n v="0"/>
    <n v="2"/>
    <x v="5"/>
    <n v="16"/>
    <x v="2"/>
  </r>
  <r>
    <x v="1"/>
    <s v="Stina Alm"/>
    <x v="0"/>
    <x v="245"/>
    <x v="245"/>
    <n v="16"/>
    <s v="ADET"/>
    <n v="0"/>
    <n v="250"/>
    <n v="835"/>
    <n v="-134"/>
    <n v="0"/>
    <n v="0"/>
    <n v="1.58"/>
    <x v="8"/>
    <n v="25.28"/>
    <x v="2"/>
  </r>
  <r>
    <x v="0"/>
    <s v="Soner Kayıkçı"/>
    <x v="0"/>
    <x v="246"/>
    <x v="246"/>
    <n v="2"/>
    <s v="ADET"/>
    <n v="0"/>
    <n v="75"/>
    <n v="42.70000000000006"/>
    <n v="-48.040000000000006"/>
    <n v="0"/>
    <n v="0"/>
    <n v="15"/>
    <x v="14"/>
    <n v="30"/>
    <x v="2"/>
  </r>
  <r>
    <x v="1"/>
    <s v="Stina Alm"/>
    <x v="0"/>
    <x v="246"/>
    <x v="246"/>
    <n v="2.04"/>
    <s v="ADET"/>
    <n v="0"/>
    <n v="75"/>
    <n v="42.70000000000006"/>
    <n v="-48.040000000000006"/>
    <n v="0"/>
    <n v="0"/>
    <n v="15"/>
    <x v="14"/>
    <n v="30.6"/>
    <x v="2"/>
  </r>
  <r>
    <x v="0"/>
    <s v="Soner Kayıkçı"/>
    <x v="0"/>
    <x v="247"/>
    <x v="247"/>
    <n v="3"/>
    <s v="ADET"/>
    <n v="0"/>
    <n v="200"/>
    <n v="0"/>
    <n v="-188"/>
    <n v="0"/>
    <n v="0"/>
    <n v="10"/>
    <x v="2"/>
    <n v="30"/>
    <x v="2"/>
  </r>
  <r>
    <x v="1"/>
    <s v="Stina Alm"/>
    <x v="0"/>
    <x v="248"/>
    <x v="248"/>
    <n v="26"/>
    <s v="ADET"/>
    <n v="0"/>
    <n v="2698"/>
    <n v="0"/>
    <n v="-2312"/>
    <n v="0"/>
    <n v="0"/>
    <n v="1.55"/>
    <x v="20"/>
    <n v="40.300000000000004"/>
    <x v="7"/>
  </r>
  <r>
    <x v="1"/>
    <s v="Stina Alm"/>
    <x v="0"/>
    <x v="254"/>
    <x v="254"/>
    <n v="1"/>
    <s v="ADET"/>
    <n v="0"/>
    <n v="1"/>
    <n v="6"/>
    <n v="2"/>
    <n v="0"/>
    <n v="16849.34"/>
    <n v="8424.67"/>
    <x v="24"/>
    <n v="8424.67"/>
    <x v="6"/>
  </r>
  <r>
    <x v="9"/>
    <s v="Jan Urbanek"/>
    <x v="0"/>
    <x v="253"/>
    <x v="253"/>
    <n v="1"/>
    <s v="ADET"/>
    <n v="0"/>
    <n v="7"/>
    <n v="10"/>
    <n v="-1"/>
    <n v="5"/>
    <n v="0"/>
    <n v="1200"/>
    <x v="35"/>
    <n v="1200"/>
    <x v="4"/>
  </r>
  <r>
    <x v="6"/>
    <s v="Laurent MONTAGNER"/>
    <x v="0"/>
    <x v="244"/>
    <x v="244"/>
    <n v="8"/>
    <s v="ADET"/>
    <n v="0"/>
    <n v="250"/>
    <n v="3"/>
    <n v="-166"/>
    <n v="0"/>
    <n v="0"/>
    <n v="2"/>
    <x v="5"/>
    <n v="16"/>
    <x v="2"/>
  </r>
  <r>
    <x v="6"/>
    <s v="Laurent MONTAGNER"/>
    <x v="0"/>
    <x v="248"/>
    <x v="248"/>
    <n v="24"/>
    <s v="ADET"/>
    <n v="0"/>
    <n v="2698"/>
    <n v="0"/>
    <n v="-2312"/>
    <n v="0"/>
    <n v="0"/>
    <n v="1.55"/>
    <x v="20"/>
    <n v="37.200000000000003"/>
    <x v="7"/>
  </r>
  <r>
    <x v="0"/>
    <s v="Soner Kayıkçı"/>
    <x v="0"/>
    <x v="248"/>
    <x v="248"/>
    <n v="14"/>
    <s v="ADET"/>
    <n v="0"/>
    <n v="2698"/>
    <n v="0"/>
    <n v="-2312"/>
    <n v="0"/>
    <n v="0"/>
    <n v="1.55"/>
    <x v="20"/>
    <n v="21.7"/>
    <x v="7"/>
  </r>
  <r>
    <x v="2"/>
    <s v="Laurent MONTAGNER"/>
    <x v="0"/>
    <x v="248"/>
    <x v="248"/>
    <n v="26"/>
    <s v="ADET"/>
    <n v="0"/>
    <n v="2698"/>
    <n v="0"/>
    <n v="-2312"/>
    <n v="0"/>
    <n v="0"/>
    <n v="1.55"/>
    <x v="20"/>
    <n v="40.300000000000004"/>
    <x v="7"/>
  </r>
  <r>
    <x v="12"/>
    <s v="Matteo Giolo"/>
    <x v="0"/>
    <x v="116"/>
    <x v="116"/>
    <n v="4"/>
    <s v="KG"/>
    <n v="0"/>
    <n v="66"/>
    <n v="36.349999999999987"/>
    <n v="-17.090000000000018"/>
    <n v="0"/>
    <n v="0"/>
    <n v="129.63"/>
    <x v="14"/>
    <n v="518.52"/>
    <x v="3"/>
  </r>
  <r>
    <x v="7"/>
    <s v="Laurent MONTAGNER"/>
    <x v="0"/>
    <x v="116"/>
    <x v="116"/>
    <n v="3.4400000000000004"/>
    <s v="KG"/>
    <n v="3.4400000000000004"/>
    <n v="66"/>
    <n v="36.349999999999987"/>
    <n v="-17.090000000000018"/>
    <n v="0"/>
    <n v="0"/>
    <n v="129.63"/>
    <x v="14"/>
    <n v="445.92720000000003"/>
    <x v="3"/>
  </r>
  <r>
    <x v="12"/>
    <s v="Matteo Giolo"/>
    <x v="0"/>
    <x v="244"/>
    <x v="244"/>
    <n v="2"/>
    <s v="ADET"/>
    <n v="0"/>
    <n v="250"/>
    <n v="3"/>
    <n v="-166"/>
    <n v="0"/>
    <n v="0"/>
    <n v="2"/>
    <x v="5"/>
    <n v="4"/>
    <x v="2"/>
  </r>
  <r>
    <x v="7"/>
    <s v="Laurent MONTAGNER"/>
    <x v="0"/>
    <x v="244"/>
    <x v="244"/>
    <n v="8"/>
    <s v="ADET"/>
    <n v="0"/>
    <n v="250"/>
    <n v="3"/>
    <n v="-166"/>
    <n v="0"/>
    <n v="0"/>
    <n v="2"/>
    <x v="5"/>
    <n v="16"/>
    <x v="2"/>
  </r>
  <r>
    <x v="9"/>
    <s v="Jan Urbanek"/>
    <x v="0"/>
    <x v="234"/>
    <x v="234"/>
    <n v="1.5"/>
    <s v="ADET"/>
    <n v="0"/>
    <n v="91"/>
    <n v="17.799999999999997"/>
    <n v="-74.5"/>
    <n v="0"/>
    <n v="0"/>
    <n v="85"/>
    <x v="28"/>
    <n v="127.5"/>
    <x v="2"/>
  </r>
  <r>
    <x v="8"/>
    <s v="Jan Urbanek"/>
    <x v="0"/>
    <x v="234"/>
    <x v="234"/>
    <n v="1.5"/>
    <s v="ADET"/>
    <n v="1.5"/>
    <n v="91"/>
    <n v="17.799999999999997"/>
    <n v="-74.5"/>
    <n v="0"/>
    <n v="0"/>
    <n v="85"/>
    <x v="28"/>
    <n v="127.5"/>
    <x v="2"/>
  </r>
  <r>
    <x v="8"/>
    <s v="Jan Urbanek"/>
    <x v="0"/>
    <x v="255"/>
    <x v="255"/>
    <n v="1"/>
    <s v="ADET"/>
    <n v="0"/>
    <n v="6"/>
    <n v="5"/>
    <n v="5"/>
    <n v="0"/>
    <n v="11000"/>
    <n v="2200"/>
    <x v="36"/>
    <n v="2200"/>
    <x v="4"/>
  </r>
  <r>
    <x v="9"/>
    <s v="Jan Urbanek"/>
    <x v="0"/>
    <x v="255"/>
    <x v="255"/>
    <n v="1"/>
    <s v="ADET"/>
    <n v="0"/>
    <n v="6"/>
    <n v="5"/>
    <n v="5"/>
    <n v="0"/>
    <n v="11000"/>
    <n v="2200"/>
    <x v="36"/>
    <n v="2200"/>
    <x v="4"/>
  </r>
  <r>
    <x v="15"/>
    <s v="Jan Urbanek"/>
    <x v="0"/>
    <x v="120"/>
    <x v="120"/>
    <n v="10"/>
    <s v="METRE"/>
    <n v="0"/>
    <n v="0"/>
    <n v="0"/>
    <n v="-220"/>
    <n v="400"/>
    <n v="0"/>
    <n v="5"/>
    <x v="45"/>
    <n v="50"/>
    <x v="2"/>
  </r>
  <r>
    <x v="16"/>
    <s v="Stefan Zaugg"/>
    <x v="0"/>
    <x v="117"/>
    <x v="117"/>
    <n v="35"/>
    <s v="ADET"/>
    <n v="0"/>
    <n v="1000"/>
    <n v="3505"/>
    <n v="-914"/>
    <n v="0"/>
    <n v="0"/>
    <n v="0.63"/>
    <x v="8"/>
    <n v="22.05"/>
    <x v="2"/>
  </r>
  <r>
    <x v="15"/>
    <s v="Jan Urbanek"/>
    <x v="0"/>
    <x v="121"/>
    <x v="121"/>
    <n v="8"/>
    <s v="ADET"/>
    <n v="0"/>
    <n v="391"/>
    <n v="150"/>
    <n v="-33"/>
    <n v="0"/>
    <n v="0"/>
    <n v="10.65"/>
    <x v="8"/>
    <n v="85.2"/>
    <x v="2"/>
  </r>
  <r>
    <x v="3"/>
    <s v="Stina Alm"/>
    <x v="0"/>
    <x v="59"/>
    <x v="59"/>
    <n v="0.125"/>
    <s v="M2"/>
    <n v="0"/>
    <n v="40"/>
    <n v="20"/>
    <n v="-35.625"/>
    <n v="0"/>
    <n v="0"/>
    <n v="54.17"/>
    <x v="30"/>
    <n v="6.7712500000000002"/>
    <x v="3"/>
  </r>
  <r>
    <x v="12"/>
    <s v="Matteo Giolo"/>
    <x v="0"/>
    <x v="105"/>
    <x v="105"/>
    <n v="4"/>
    <s v="ADET"/>
    <n v="0"/>
    <n v="100"/>
    <n v="352"/>
    <n v="-28"/>
    <n v="0"/>
    <n v="0"/>
    <n v="6.4"/>
    <x v="8"/>
    <n v="25.6"/>
    <x v="4"/>
  </r>
  <r>
    <x v="12"/>
    <s v="Matteo Giolo"/>
    <x v="0"/>
    <x v="143"/>
    <x v="143"/>
    <n v="0.54999999999999993"/>
    <s v="ADET"/>
    <n v="0"/>
    <n v="0"/>
    <n v="5.5999999999999988"/>
    <n v="7.2"/>
    <n v="0"/>
    <n v="1170.0719999999999"/>
    <n v="162.51"/>
    <x v="3"/>
    <n v="89.380499999999984"/>
    <x v="3"/>
  </r>
  <r>
    <x v="5"/>
    <s v="Matteo Giolo"/>
    <x v="0"/>
    <x v="143"/>
    <x v="143"/>
    <n v="0.75"/>
    <s v="ADET"/>
    <n v="0"/>
    <n v="0"/>
    <n v="5.5999999999999988"/>
    <n v="7.2"/>
    <n v="0"/>
    <n v="1170.0719999999999"/>
    <n v="162.51"/>
    <x v="3"/>
    <n v="121.88249999999999"/>
    <x v="3"/>
  </r>
  <r>
    <x v="1"/>
    <s v="Stina Alm"/>
    <x v="0"/>
    <x v="143"/>
    <x v="143"/>
    <n v="1.05"/>
    <s v="ADET"/>
    <n v="0"/>
    <n v="0"/>
    <n v="5.5999999999999988"/>
    <n v="7.2"/>
    <n v="0"/>
    <n v="1170.0719999999999"/>
    <n v="162.51"/>
    <x v="3"/>
    <n v="170.63550000000001"/>
    <x v="3"/>
  </r>
  <r>
    <x v="1"/>
    <s v="Stina Alm"/>
    <x v="0"/>
    <x v="185"/>
    <x v="185"/>
    <n v="2"/>
    <s v="METRE"/>
    <n v="0"/>
    <n v="20"/>
    <n v="16"/>
    <n v="-5"/>
    <n v="0"/>
    <n v="0"/>
    <n v="97.17"/>
    <x v="61"/>
    <n v="194.34"/>
    <x v="2"/>
  </r>
  <r>
    <x v="5"/>
    <s v="Matteo Giolo"/>
    <x v="0"/>
    <x v="185"/>
    <x v="185"/>
    <n v="2"/>
    <s v="METRE"/>
    <n v="0"/>
    <n v="20"/>
    <n v="16"/>
    <n v="-5"/>
    <n v="0"/>
    <n v="0"/>
    <n v="97.17"/>
    <x v="61"/>
    <n v="194.34"/>
    <x v="2"/>
  </r>
  <r>
    <x v="4"/>
    <s v="Stefan Zaugg"/>
    <x v="0"/>
    <x v="256"/>
    <x v="256"/>
    <n v="6"/>
    <s v="ADET"/>
    <n v="0"/>
    <n v="118"/>
    <n v="18"/>
    <n v="-11"/>
    <n v="0"/>
    <n v="0"/>
    <n v="14.5"/>
    <x v="14"/>
    <n v="87"/>
    <x v="2"/>
  </r>
  <r>
    <x v="3"/>
    <s v="Stina Alm"/>
    <x v="0"/>
    <x v="256"/>
    <x v="256"/>
    <n v="6"/>
    <s v="ADET"/>
    <n v="0"/>
    <n v="118"/>
    <n v="18"/>
    <n v="-11"/>
    <n v="0"/>
    <n v="0"/>
    <n v="14.5"/>
    <x v="14"/>
    <n v="87"/>
    <x v="2"/>
  </r>
  <r>
    <x v="1"/>
    <s v="Stina Alm"/>
    <x v="0"/>
    <x v="256"/>
    <x v="256"/>
    <n v="6"/>
    <s v="ADET"/>
    <n v="0"/>
    <n v="118"/>
    <n v="18"/>
    <n v="-11"/>
    <n v="0"/>
    <n v="0"/>
    <n v="14.5"/>
    <x v="14"/>
    <n v="87"/>
    <x v="2"/>
  </r>
  <r>
    <x v="0"/>
    <s v="Soner Kayıkçı"/>
    <x v="0"/>
    <x v="257"/>
    <x v="257"/>
    <n v="3"/>
    <s v="ADET"/>
    <n v="0"/>
    <n v="101"/>
    <n v="10.000000000000057"/>
    <n v="-42.539999999999992"/>
    <n v="0"/>
    <n v="0"/>
    <n v="36"/>
    <x v="14"/>
    <n v="108"/>
    <x v="2"/>
  </r>
  <r>
    <x v="1"/>
    <s v="Stina Alm"/>
    <x v="0"/>
    <x v="257"/>
    <x v="257"/>
    <n v="3.17"/>
    <s v="ADET"/>
    <n v="0"/>
    <n v="101"/>
    <n v="10.000000000000057"/>
    <n v="-42.539999999999992"/>
    <n v="0"/>
    <n v="0"/>
    <n v="36"/>
    <x v="14"/>
    <n v="114.12"/>
    <x v="2"/>
  </r>
  <r>
    <x v="2"/>
    <s v="Laurent MONTAGNER"/>
    <x v="0"/>
    <x v="257"/>
    <x v="257"/>
    <n v="3.17"/>
    <s v="ADET"/>
    <n v="0"/>
    <n v="101"/>
    <n v="10.000000000000057"/>
    <n v="-42.539999999999992"/>
    <n v="0"/>
    <n v="0"/>
    <n v="36"/>
    <x v="14"/>
    <n v="114.12"/>
    <x v="2"/>
  </r>
  <r>
    <x v="0"/>
    <s v="Soner Kayıkçı"/>
    <x v="0"/>
    <x v="258"/>
    <x v="258"/>
    <n v="6"/>
    <s v="ADET"/>
    <n v="0"/>
    <n v="200"/>
    <n v="70"/>
    <n v="-165"/>
    <n v="0"/>
    <n v="0"/>
    <n v="10"/>
    <x v="2"/>
    <n v="60"/>
    <x v="2"/>
  </r>
  <r>
    <x v="0"/>
    <s v="Soner Kayıkçı"/>
    <x v="0"/>
    <x v="143"/>
    <x v="143"/>
    <n v="0.54999999999999993"/>
    <s v="ADET"/>
    <n v="0"/>
    <n v="0"/>
    <n v="5.5999999999999988"/>
    <n v="7.2"/>
    <n v="0"/>
    <n v="1170.0719999999999"/>
    <n v="162.51"/>
    <x v="3"/>
    <n v="89.380499999999984"/>
    <x v="3"/>
  </r>
  <r>
    <x v="2"/>
    <s v="Laurent MONTAGNER"/>
    <x v="0"/>
    <x v="143"/>
    <x v="143"/>
    <n v="0.75"/>
    <s v="ADET"/>
    <n v="0.75"/>
    <n v="0"/>
    <n v="5.5999999999999988"/>
    <n v="7.2"/>
    <n v="0"/>
    <n v="1170.0719999999999"/>
    <n v="162.51"/>
    <x v="3"/>
    <n v="121.88249999999999"/>
    <x v="3"/>
  </r>
  <r>
    <x v="2"/>
    <s v="Laurent MONTAGNER"/>
    <x v="0"/>
    <x v="144"/>
    <x v="144"/>
    <n v="1"/>
    <s v="ADET"/>
    <n v="0"/>
    <n v="3"/>
    <n v="11"/>
    <n v="7"/>
    <n v="0"/>
    <n v="22092.98"/>
    <n v="3156.14"/>
    <x v="13"/>
    <n v="3156.14"/>
    <x v="7"/>
  </r>
  <r>
    <x v="3"/>
    <s v="Stina Alm"/>
    <x v="0"/>
    <x v="185"/>
    <x v="185"/>
    <n v="2"/>
    <s v="METRE"/>
    <n v="0"/>
    <n v="20"/>
    <n v="16"/>
    <n v="-5"/>
    <n v="0"/>
    <n v="0"/>
    <n v="97.17"/>
    <x v="61"/>
    <n v="194.34"/>
    <x v="2"/>
  </r>
  <r>
    <x v="7"/>
    <s v="Laurent MONTAGNER"/>
    <x v="0"/>
    <x v="185"/>
    <x v="185"/>
    <n v="2"/>
    <s v="METRE"/>
    <n v="0"/>
    <n v="20"/>
    <n v="16"/>
    <n v="-5"/>
    <n v="0"/>
    <n v="0"/>
    <n v="97.17"/>
    <x v="61"/>
    <n v="194.34"/>
    <x v="2"/>
  </r>
  <r>
    <x v="7"/>
    <s v="Laurent MONTAGNER"/>
    <x v="0"/>
    <x v="256"/>
    <x v="256"/>
    <n v="6"/>
    <s v="ADET"/>
    <n v="0"/>
    <n v="118"/>
    <n v="18"/>
    <n v="-11"/>
    <n v="0"/>
    <n v="0"/>
    <n v="14.5"/>
    <x v="14"/>
    <n v="87"/>
    <x v="2"/>
  </r>
  <r>
    <x v="12"/>
    <s v="Matteo Giolo"/>
    <x v="0"/>
    <x v="257"/>
    <x v="257"/>
    <n v="3"/>
    <s v="ADET"/>
    <n v="0"/>
    <n v="101"/>
    <n v="10.000000000000057"/>
    <n v="-42.539999999999992"/>
    <n v="0"/>
    <n v="0"/>
    <n v="36"/>
    <x v="14"/>
    <n v="108"/>
    <x v="2"/>
  </r>
  <r>
    <x v="7"/>
    <s v="Laurent MONTAGNER"/>
    <x v="0"/>
    <x v="257"/>
    <x v="257"/>
    <n v="3.22"/>
    <s v="ADET"/>
    <n v="0"/>
    <n v="101"/>
    <n v="10.000000000000057"/>
    <n v="-42.539999999999992"/>
    <n v="0"/>
    <n v="0"/>
    <n v="36"/>
    <x v="14"/>
    <n v="115.92"/>
    <x v="2"/>
  </r>
  <r>
    <x v="0"/>
    <s v="Soner Kayıkçı"/>
    <x v="0"/>
    <x v="256"/>
    <x v="256"/>
    <n v="6"/>
    <s v="ADET"/>
    <n v="0"/>
    <n v="118"/>
    <n v="18"/>
    <n v="-11"/>
    <n v="0"/>
    <n v="0"/>
    <n v="14.5"/>
    <x v="14"/>
    <n v="87"/>
    <x v="2"/>
  </r>
  <r>
    <x v="2"/>
    <s v="Laurent MONTAGNER"/>
    <x v="0"/>
    <x v="256"/>
    <x v="256"/>
    <n v="6"/>
    <s v="ADET"/>
    <n v="0"/>
    <n v="118"/>
    <n v="18"/>
    <n v="-11"/>
    <n v="0"/>
    <n v="0"/>
    <n v="14.5"/>
    <x v="14"/>
    <n v="87"/>
    <x v="2"/>
  </r>
  <r>
    <x v="5"/>
    <s v="Matteo Giolo"/>
    <x v="0"/>
    <x v="144"/>
    <x v="144"/>
    <n v="2"/>
    <s v="ADET"/>
    <n v="0"/>
    <n v="3"/>
    <n v="11"/>
    <n v="7"/>
    <n v="0"/>
    <n v="22092.98"/>
    <n v="3156.14"/>
    <x v="13"/>
    <n v="6312.28"/>
    <x v="7"/>
  </r>
  <r>
    <x v="12"/>
    <s v="Matteo Giolo"/>
    <x v="0"/>
    <x v="256"/>
    <x v="256"/>
    <n v="6"/>
    <s v="ADET"/>
    <n v="0"/>
    <n v="118"/>
    <n v="18"/>
    <n v="-11"/>
    <n v="0"/>
    <n v="0"/>
    <n v="14.5"/>
    <x v="14"/>
    <n v="87"/>
    <x v="2"/>
  </r>
  <r>
    <x v="5"/>
    <s v="Matteo Giolo"/>
    <x v="0"/>
    <x v="256"/>
    <x v="256"/>
    <n v="5"/>
    <s v="ADET"/>
    <n v="0"/>
    <n v="118"/>
    <n v="18"/>
    <n v="-11"/>
    <n v="0"/>
    <n v="0"/>
    <n v="14.5"/>
    <x v="14"/>
    <n v="72.5"/>
    <x v="2"/>
  </r>
  <r>
    <x v="12"/>
    <s v="Matteo Giolo"/>
    <x v="0"/>
    <x v="144"/>
    <x v="144"/>
    <n v="2"/>
    <s v="ADET"/>
    <n v="0"/>
    <n v="3"/>
    <n v="11"/>
    <n v="7"/>
    <n v="0"/>
    <n v="22092.98"/>
    <n v="3156.14"/>
    <x v="13"/>
    <n v="6312.28"/>
    <x v="7"/>
  </r>
  <r>
    <x v="2"/>
    <s v="Laurent MONTAGNER"/>
    <x v="0"/>
    <x v="202"/>
    <x v="202"/>
    <n v="9"/>
    <s v="METRE"/>
    <n v="0"/>
    <n v="0"/>
    <n v="344"/>
    <n v="54"/>
    <n v="0"/>
    <n v="1102.68"/>
    <n v="20.420000000000002"/>
    <x v="63"/>
    <n v="183.78000000000003"/>
    <x v="8"/>
  </r>
  <r>
    <x v="0"/>
    <s v="Soner Kayıkçı"/>
    <x v="0"/>
    <x v="202"/>
    <x v="202"/>
    <n v="9"/>
    <s v="METRE"/>
    <n v="0"/>
    <n v="0"/>
    <n v="344"/>
    <n v="54"/>
    <n v="0"/>
    <n v="1102.68"/>
    <n v="20.420000000000002"/>
    <x v="63"/>
    <n v="183.78000000000003"/>
    <x v="8"/>
  </r>
  <r>
    <x v="7"/>
    <s v="Laurent MONTAGNER"/>
    <x v="0"/>
    <x v="104"/>
    <x v="104"/>
    <n v="1.2"/>
    <s v="ADET"/>
    <n v="0"/>
    <n v="2"/>
    <n v="3.3000000000000052"/>
    <n v="12.649999999999999"/>
    <n v="0"/>
    <n v="20523.36"/>
    <n v="1622.4"/>
    <x v="38"/>
    <n v="1946.88"/>
    <x v="3"/>
  </r>
  <r>
    <x v="4"/>
    <s v="Stefan Zaugg"/>
    <x v="0"/>
    <x v="163"/>
    <x v="163"/>
    <n v="6"/>
    <s v="METRE"/>
    <n v="0"/>
    <n v="100"/>
    <n v="50"/>
    <n v="-16"/>
    <n v="0"/>
    <n v="0"/>
    <n v="46"/>
    <x v="55"/>
    <n v="276"/>
    <x v="7"/>
  </r>
  <r>
    <x v="5"/>
    <s v="Matteo Giolo"/>
    <x v="0"/>
    <x v="163"/>
    <x v="163"/>
    <n v="6"/>
    <s v="METRE"/>
    <n v="0"/>
    <n v="100"/>
    <n v="50"/>
    <n v="-16"/>
    <n v="0"/>
    <n v="0"/>
    <n v="46"/>
    <x v="55"/>
    <n v="276"/>
    <x v="7"/>
  </r>
  <r>
    <x v="13"/>
    <s v="Matteo Giolo"/>
    <x v="0"/>
    <x v="104"/>
    <x v="104"/>
    <n v="0.85000000000000009"/>
    <s v="ADET"/>
    <n v="0"/>
    <n v="2"/>
    <n v="3.3000000000000052"/>
    <n v="12.649999999999999"/>
    <n v="0"/>
    <n v="20523.36"/>
    <n v="1622.4"/>
    <x v="38"/>
    <n v="1379.0400000000002"/>
    <x v="3"/>
  </r>
  <r>
    <x v="13"/>
    <s v="Matteo Giolo"/>
    <x v="0"/>
    <x v="202"/>
    <x v="202"/>
    <n v="9"/>
    <s v="METRE"/>
    <n v="0"/>
    <n v="0"/>
    <n v="344"/>
    <n v="54"/>
    <n v="0"/>
    <n v="1102.68"/>
    <n v="20.420000000000002"/>
    <x v="63"/>
    <n v="183.78000000000003"/>
    <x v="8"/>
  </r>
  <r>
    <x v="6"/>
    <s v="Laurent MONTAGNER"/>
    <x v="0"/>
    <x v="104"/>
    <x v="104"/>
    <n v="1.2"/>
    <s v="ADET"/>
    <n v="0"/>
    <n v="2"/>
    <n v="3.3000000000000052"/>
    <n v="12.649999999999999"/>
    <n v="0"/>
    <n v="20523.36"/>
    <n v="1622.4"/>
    <x v="38"/>
    <n v="1946.88"/>
    <x v="3"/>
  </r>
  <r>
    <x v="6"/>
    <s v="Laurent MONTAGNER"/>
    <x v="0"/>
    <x v="165"/>
    <x v="165"/>
    <n v="6"/>
    <s v="ADET"/>
    <n v="0"/>
    <n v="105"/>
    <n v="56"/>
    <n v="-8"/>
    <n v="0"/>
    <n v="0"/>
    <n v="72.599999999999994"/>
    <x v="14"/>
    <n v="435.59999999999997"/>
    <x v="4"/>
  </r>
  <r>
    <x v="6"/>
    <s v="Laurent MONTAGNER"/>
    <x v="0"/>
    <x v="166"/>
    <x v="166"/>
    <n v="5"/>
    <s v="M2"/>
    <n v="0"/>
    <n v="0"/>
    <n v="-1.4210854715202004E-14"/>
    <n v="52"/>
    <n v="0"/>
    <n v="28423.200000000001"/>
    <n v="546.6"/>
    <x v="56"/>
    <n v="2733"/>
    <x v="8"/>
  </r>
  <r>
    <x v="12"/>
    <s v="Matteo Giolo"/>
    <x v="0"/>
    <x v="103"/>
    <x v="103"/>
    <n v="2"/>
    <s v="ADET"/>
    <n v="0"/>
    <n v="222"/>
    <n v="2"/>
    <n v="-166"/>
    <n v="0"/>
    <n v="0"/>
    <n v="11.5"/>
    <x v="14"/>
    <n v="23"/>
    <x v="4"/>
  </r>
  <r>
    <x v="12"/>
    <s v="Matteo Giolo"/>
    <x v="0"/>
    <x v="104"/>
    <x v="104"/>
    <n v="0.7"/>
    <s v="ADET"/>
    <n v="0"/>
    <n v="2"/>
    <n v="3.3000000000000052"/>
    <n v="12.649999999999999"/>
    <n v="0"/>
    <n v="20523.36"/>
    <n v="1622.4"/>
    <x v="38"/>
    <n v="1135.68"/>
    <x v="3"/>
  </r>
  <r>
    <x v="12"/>
    <s v="Matteo Giolo"/>
    <x v="0"/>
    <x v="163"/>
    <x v="163"/>
    <n v="6"/>
    <s v="METRE"/>
    <n v="0"/>
    <n v="100"/>
    <n v="50"/>
    <n v="-16"/>
    <n v="0"/>
    <n v="0"/>
    <n v="46"/>
    <x v="55"/>
    <n v="276"/>
    <x v="7"/>
  </r>
  <r>
    <x v="17"/>
    <s v="Murat Taşdemir"/>
    <x v="0"/>
    <x v="163"/>
    <x v="163"/>
    <n v="6"/>
    <s v="METRE"/>
    <n v="0"/>
    <n v="100"/>
    <n v="50"/>
    <n v="-16"/>
    <n v="0"/>
    <n v="0"/>
    <n v="46"/>
    <x v="55"/>
    <n v="276"/>
    <x v="7"/>
  </r>
  <r>
    <x v="7"/>
    <s v="Laurent MONTAGNER"/>
    <x v="0"/>
    <x v="103"/>
    <x v="103"/>
    <n v="2"/>
    <s v="ADET"/>
    <n v="0"/>
    <n v="222"/>
    <n v="2"/>
    <n v="-166"/>
    <n v="0"/>
    <n v="0"/>
    <n v="11.5"/>
    <x v="14"/>
    <n v="23"/>
    <x v="4"/>
  </r>
  <r>
    <x v="3"/>
    <s v="Stina Alm"/>
    <x v="0"/>
    <x v="103"/>
    <x v="103"/>
    <n v="2"/>
    <s v="ADET"/>
    <n v="0"/>
    <n v="222"/>
    <n v="2"/>
    <n v="-166"/>
    <n v="0"/>
    <n v="0"/>
    <n v="11.5"/>
    <x v="14"/>
    <n v="23"/>
    <x v="4"/>
  </r>
  <r>
    <x v="5"/>
    <s v="Matteo Giolo"/>
    <x v="0"/>
    <x v="104"/>
    <x v="104"/>
    <n v="0.89999999999999991"/>
    <s v="ADET"/>
    <n v="0"/>
    <n v="2"/>
    <n v="3.3000000000000052"/>
    <n v="12.649999999999999"/>
    <n v="0"/>
    <n v="20523.36"/>
    <n v="1622.4"/>
    <x v="38"/>
    <n v="1460.1599999999999"/>
    <x v="3"/>
  </r>
  <r>
    <x v="17"/>
    <s v="Murat Taşdemir"/>
    <x v="0"/>
    <x v="104"/>
    <x v="104"/>
    <n v="0.89999999999999991"/>
    <s v="ADET"/>
    <n v="0"/>
    <n v="2"/>
    <n v="3.3000000000000052"/>
    <n v="12.649999999999999"/>
    <n v="0"/>
    <n v="20523.36"/>
    <n v="1622.4"/>
    <x v="38"/>
    <n v="1460.1599999999999"/>
    <x v="3"/>
  </r>
  <r>
    <x v="17"/>
    <s v="Murat Taşdemir"/>
    <x v="0"/>
    <x v="202"/>
    <x v="202"/>
    <n v="9"/>
    <s v="METRE"/>
    <n v="0"/>
    <n v="0"/>
    <n v="344"/>
    <n v="54"/>
    <n v="0"/>
    <n v="1102.68"/>
    <n v="20.420000000000002"/>
    <x v="63"/>
    <n v="183.78000000000003"/>
    <x v="8"/>
  </r>
  <r>
    <x v="15"/>
    <s v="Jan Urbanek"/>
    <x v="0"/>
    <x v="163"/>
    <x v="163"/>
    <n v="6"/>
    <s v="METRE"/>
    <n v="0"/>
    <n v="100"/>
    <n v="50"/>
    <n v="-16"/>
    <n v="0"/>
    <n v="0"/>
    <n v="46"/>
    <x v="55"/>
    <n v="276"/>
    <x v="7"/>
  </r>
  <r>
    <x v="13"/>
    <s v="Matteo Giolo"/>
    <x v="0"/>
    <x v="259"/>
    <x v="259"/>
    <n v="1"/>
    <s v="ADET"/>
    <n v="0"/>
    <n v="2"/>
    <n v="0"/>
    <n v="-1"/>
    <n v="0"/>
    <n v="0"/>
    <n v="13859.07"/>
    <x v="60"/>
    <n v="13859.07"/>
    <x v="7"/>
  </r>
  <r>
    <x v="19"/>
    <s v="Volkan Batkan"/>
    <x v="0"/>
    <x v="164"/>
    <x v="164"/>
    <n v="2"/>
    <s v="ADET"/>
    <n v="0"/>
    <n v="3"/>
    <n v="0"/>
    <n v="13"/>
    <n v="0"/>
    <n v="702"/>
    <n v="54"/>
    <x v="2"/>
    <n v="108"/>
    <x v="2"/>
  </r>
  <r>
    <x v="12"/>
    <s v="Matteo Giolo"/>
    <x v="0"/>
    <x v="164"/>
    <x v="164"/>
    <n v="2"/>
    <s v="ADET"/>
    <n v="0"/>
    <n v="3"/>
    <n v="0"/>
    <n v="13"/>
    <n v="0"/>
    <n v="702"/>
    <n v="54"/>
    <x v="2"/>
    <n v="108"/>
    <x v="2"/>
  </r>
  <r>
    <x v="3"/>
    <s v="Stina Alm"/>
    <x v="0"/>
    <x v="165"/>
    <x v="165"/>
    <n v="6"/>
    <s v="ADET"/>
    <n v="0"/>
    <n v="105"/>
    <n v="56"/>
    <n v="-8"/>
    <n v="0"/>
    <n v="0"/>
    <n v="72.599999999999994"/>
    <x v="14"/>
    <n v="435.59999999999997"/>
    <x v="4"/>
  </r>
  <r>
    <x v="7"/>
    <s v="Laurent MONTAGNER"/>
    <x v="0"/>
    <x v="165"/>
    <x v="165"/>
    <n v="6"/>
    <s v="ADET"/>
    <n v="0"/>
    <n v="105"/>
    <n v="56"/>
    <n v="-8"/>
    <n v="0"/>
    <n v="0"/>
    <n v="72.599999999999994"/>
    <x v="14"/>
    <n v="435.59999999999997"/>
    <x v="4"/>
  </r>
  <r>
    <x v="5"/>
    <s v="Matteo Giolo"/>
    <x v="0"/>
    <x v="166"/>
    <x v="166"/>
    <n v="6"/>
    <s v="M2"/>
    <n v="0"/>
    <n v="0"/>
    <n v="-1.4210854715202004E-14"/>
    <n v="52"/>
    <n v="0"/>
    <n v="28423.200000000001"/>
    <n v="546.6"/>
    <x v="56"/>
    <n v="3279.6000000000004"/>
    <x v="8"/>
  </r>
  <r>
    <x v="4"/>
    <s v="Stefan Zaugg"/>
    <x v="0"/>
    <x v="166"/>
    <x v="166"/>
    <n v="2"/>
    <s v="M2"/>
    <n v="0"/>
    <n v="0"/>
    <n v="-1.4210854715202004E-14"/>
    <n v="52"/>
    <n v="0"/>
    <n v="28423.200000000001"/>
    <n v="546.6"/>
    <x v="56"/>
    <n v="1093.2"/>
    <x v="8"/>
  </r>
  <r>
    <x v="11"/>
    <s v="Jan Urbanek"/>
    <x v="0"/>
    <x v="236"/>
    <x v="236"/>
    <n v="0.10100000000000001"/>
    <s v="METRE"/>
    <n v="0"/>
    <n v="50"/>
    <n v="-1.4210854715202004E-14"/>
    <n v="-47.386000000000003"/>
    <n v="0"/>
    <n v="0"/>
    <n v="10.61"/>
    <x v="73"/>
    <n v="1.07161"/>
    <x v="7"/>
  </r>
  <r>
    <x v="11"/>
    <s v="Jan Urbanek"/>
    <x v="0"/>
    <x v="255"/>
    <x v="255"/>
    <n v="1"/>
    <s v="ADET"/>
    <n v="0"/>
    <n v="6"/>
    <n v="5"/>
    <n v="5"/>
    <n v="0"/>
    <n v="11000"/>
    <n v="2200"/>
    <x v="36"/>
    <n v="2200"/>
    <x v="4"/>
  </r>
  <r>
    <x v="10"/>
    <s v="Jan Urbanek"/>
    <x v="0"/>
    <x v="255"/>
    <x v="255"/>
    <n v="1"/>
    <s v="ADET"/>
    <n v="0"/>
    <n v="6"/>
    <n v="5"/>
    <n v="5"/>
    <n v="0"/>
    <n v="11000"/>
    <n v="2200"/>
    <x v="36"/>
    <n v="2200"/>
    <x v="4"/>
  </r>
  <r>
    <x v="9"/>
    <s v="Jan Urbanek"/>
    <x v="0"/>
    <x v="260"/>
    <x v="260"/>
    <n v="1"/>
    <s v="ADET"/>
    <n v="0"/>
    <n v="0"/>
    <n v="5.5699999999999994"/>
    <n v="-2"/>
    <n v="7"/>
    <n v="0"/>
    <n v="1416.67"/>
    <x v="63"/>
    <n v="1416.67"/>
    <x v="8"/>
  </r>
  <r>
    <x v="0"/>
    <s v="Soner Kayıkçı"/>
    <x v="0"/>
    <x v="236"/>
    <x v="236"/>
    <n v="0.10100000000000001"/>
    <s v="METRE"/>
    <n v="0"/>
    <n v="50"/>
    <n v="-1.4210854715202004E-14"/>
    <n v="-47.386000000000003"/>
    <n v="0"/>
    <n v="0"/>
    <n v="10.61"/>
    <x v="73"/>
    <n v="1.07161"/>
    <x v="7"/>
  </r>
  <r>
    <x v="2"/>
    <s v="Laurent MONTAGNER"/>
    <x v="0"/>
    <x v="236"/>
    <x v="236"/>
    <n v="0.2"/>
    <s v="METRE"/>
    <n v="0"/>
    <n v="50"/>
    <n v="-1.4210854715202004E-14"/>
    <n v="-47.386000000000003"/>
    <n v="0"/>
    <n v="0"/>
    <n v="10.61"/>
    <x v="73"/>
    <n v="2.1219999999999999"/>
    <x v="7"/>
  </r>
  <r>
    <x v="0"/>
    <s v="Soner Kayıkçı"/>
    <x v="0"/>
    <x v="234"/>
    <x v="234"/>
    <n v="1.5"/>
    <s v="ADET"/>
    <n v="0"/>
    <n v="91"/>
    <n v="17.799999999999997"/>
    <n v="-74.5"/>
    <n v="0"/>
    <n v="0"/>
    <n v="85"/>
    <x v="28"/>
    <n v="127.5"/>
    <x v="2"/>
  </r>
  <r>
    <x v="8"/>
    <s v="Jan Urbanek"/>
    <x v="0"/>
    <x v="235"/>
    <x v="235"/>
    <n v="2"/>
    <s v="ADET"/>
    <n v="2"/>
    <n v="23"/>
    <n v="22"/>
    <n v="1"/>
    <n v="0"/>
    <n v="73.349999999999994"/>
    <n v="73.349999999999994"/>
    <x v="13"/>
    <n v="146.69999999999999"/>
    <x v="7"/>
  </r>
  <r>
    <x v="11"/>
    <s v="Jan Urbanek"/>
    <x v="0"/>
    <x v="234"/>
    <x v="234"/>
    <n v="1.5"/>
    <s v="ADET"/>
    <n v="0"/>
    <n v="91"/>
    <n v="17.799999999999997"/>
    <n v="-74.5"/>
    <n v="0"/>
    <n v="0"/>
    <n v="85"/>
    <x v="28"/>
    <n v="127.5"/>
    <x v="2"/>
  </r>
  <r>
    <x v="2"/>
    <s v="Laurent MONTAGNER"/>
    <x v="0"/>
    <x v="261"/>
    <x v="261"/>
    <n v="29"/>
    <s v="METRE"/>
    <n v="0"/>
    <n v="150"/>
    <n v="50"/>
    <n v="71"/>
    <n v="0"/>
    <n v="22720"/>
    <n v="320"/>
    <x v="6"/>
    <n v="9280"/>
    <x v="5"/>
  </r>
  <r>
    <x v="10"/>
    <s v="Jan Urbanek"/>
    <x v="0"/>
    <x v="260"/>
    <x v="260"/>
    <n v="1"/>
    <s v="ADET"/>
    <n v="0"/>
    <n v="0"/>
    <n v="5.5699999999999994"/>
    <n v="-2"/>
    <n v="7"/>
    <n v="0"/>
    <n v="1416.67"/>
    <x v="63"/>
    <n v="1416.67"/>
    <x v="8"/>
  </r>
  <r>
    <x v="6"/>
    <s v="Laurent MONTAGNER"/>
    <x v="0"/>
    <x v="261"/>
    <x v="261"/>
    <n v="32"/>
    <s v="METRE"/>
    <n v="0"/>
    <n v="150"/>
    <n v="50"/>
    <n v="71"/>
    <n v="0"/>
    <n v="22720"/>
    <n v="320"/>
    <x v="6"/>
    <n v="10240"/>
    <x v="5"/>
  </r>
  <r>
    <x v="6"/>
    <s v="Laurent MONTAGNER"/>
    <x v="0"/>
    <x v="236"/>
    <x v="236"/>
    <n v="0.30000000000000004"/>
    <s v="METRE"/>
    <n v="0"/>
    <n v="50"/>
    <n v="-1.4210854715202004E-14"/>
    <n v="-47.386000000000003"/>
    <n v="0"/>
    <n v="0"/>
    <n v="10.61"/>
    <x v="73"/>
    <n v="3.1830000000000003"/>
    <x v="7"/>
  </r>
  <r>
    <x v="6"/>
    <s v="Laurent MONTAGNER"/>
    <x v="0"/>
    <x v="262"/>
    <x v="262"/>
    <n v="1"/>
    <s v="ADET"/>
    <n v="1"/>
    <n v="10"/>
    <n v="4"/>
    <n v="-6"/>
    <n v="0"/>
    <n v="0"/>
    <n v="252"/>
    <x v="75"/>
    <n v="252"/>
    <x v="2"/>
  </r>
  <r>
    <x v="6"/>
    <s v="Laurent MONTAGNER"/>
    <x v="0"/>
    <x v="263"/>
    <x v="263"/>
    <n v="2"/>
    <s v="ADET"/>
    <n v="2"/>
    <n v="4"/>
    <n v="6"/>
    <n v="0"/>
    <n v="0"/>
    <n v="0"/>
    <n v="260"/>
    <x v="2"/>
    <n v="520"/>
    <x v="2"/>
  </r>
  <r>
    <x v="1"/>
    <s v="Stina Alm"/>
    <x v="0"/>
    <x v="261"/>
    <x v="261"/>
    <n v="27"/>
    <s v="METRE"/>
    <n v="0"/>
    <n v="150"/>
    <n v="50"/>
    <n v="71"/>
    <n v="0"/>
    <n v="22720"/>
    <n v="320"/>
    <x v="6"/>
    <n v="8640"/>
    <x v="5"/>
  </r>
  <r>
    <x v="1"/>
    <s v="Stina Alm"/>
    <x v="0"/>
    <x v="235"/>
    <x v="235"/>
    <n v="2"/>
    <s v="ADET"/>
    <n v="0"/>
    <n v="23"/>
    <n v="22"/>
    <n v="1"/>
    <n v="0"/>
    <n v="73.349999999999994"/>
    <n v="73.349999999999994"/>
    <x v="13"/>
    <n v="146.69999999999999"/>
    <x v="7"/>
  </r>
  <r>
    <x v="1"/>
    <s v="Stina Alm"/>
    <x v="0"/>
    <x v="236"/>
    <x v="236"/>
    <n v="0.1"/>
    <s v="METRE"/>
    <n v="0"/>
    <n v="50"/>
    <n v="-1.4210854715202004E-14"/>
    <n v="-47.386000000000003"/>
    <n v="0"/>
    <n v="0"/>
    <n v="10.61"/>
    <x v="73"/>
    <n v="1.0609999999999999"/>
    <x v="7"/>
  </r>
  <r>
    <x v="1"/>
    <s v="Stina Alm"/>
    <x v="0"/>
    <x v="234"/>
    <x v="234"/>
    <n v="2"/>
    <s v="ADET"/>
    <n v="0"/>
    <n v="91"/>
    <n v="17.799999999999997"/>
    <n v="-74.5"/>
    <n v="0"/>
    <n v="0"/>
    <n v="85"/>
    <x v="28"/>
    <n v="170"/>
    <x v="2"/>
  </r>
  <r>
    <x v="18"/>
    <s v="Hayriye Güven"/>
    <x v="0"/>
    <x v="193"/>
    <x v="193"/>
    <n v="1"/>
    <s v="ADET"/>
    <n v="0"/>
    <n v="0"/>
    <n v="4"/>
    <n v="0"/>
    <n v="20"/>
    <n v="0"/>
    <n v="28000"/>
    <x v="44"/>
    <n v="28000"/>
    <x v="7"/>
  </r>
  <r>
    <x v="7"/>
    <s v="Laurent MONTAGNER"/>
    <x v="0"/>
    <x v="192"/>
    <x v="192"/>
    <n v="1.6"/>
    <s v="ADET"/>
    <n v="1.6"/>
    <n v="14"/>
    <n v="6.8000000000000025"/>
    <n v="7.7000000000000028"/>
    <n v="12"/>
    <n v="2532.1450000000009"/>
    <n v="328.85"/>
    <x v="62"/>
    <n v="526.16000000000008"/>
    <x v="3"/>
  </r>
  <r>
    <x v="5"/>
    <s v="Matteo Giolo"/>
    <x v="0"/>
    <x v="192"/>
    <x v="192"/>
    <n v="2.1"/>
    <s v="ADET"/>
    <n v="0"/>
    <n v="14"/>
    <n v="6.8000000000000025"/>
    <n v="7.7000000000000028"/>
    <n v="12"/>
    <n v="2532.1450000000009"/>
    <n v="328.85"/>
    <x v="62"/>
    <n v="690.58500000000004"/>
    <x v="3"/>
  </r>
  <r>
    <x v="7"/>
    <s v="Laurent MONTAGNER"/>
    <x v="0"/>
    <x v="231"/>
    <x v="231"/>
    <n v="1"/>
    <s v="METRE"/>
    <n v="0"/>
    <n v="0"/>
    <n v="3.0000000000000142"/>
    <n v="11"/>
    <n v="0"/>
    <n v="5399.35"/>
    <n v="490.85"/>
    <x v="71"/>
    <n v="490.85"/>
    <x v="5"/>
  </r>
  <r>
    <x v="12"/>
    <s v="Matteo Giolo"/>
    <x v="0"/>
    <x v="194"/>
    <x v="194"/>
    <n v="4.0999999999999996"/>
    <s v="METRE"/>
    <n v="0"/>
    <n v="100"/>
    <n v="2.0000000000000568"/>
    <n v="-6.4000000000000057"/>
    <n v="0"/>
    <n v="0"/>
    <n v="111"/>
    <x v="15"/>
    <n v="455.09999999999997"/>
    <x v="7"/>
  </r>
  <r>
    <x v="3"/>
    <s v="Stina Alm"/>
    <x v="0"/>
    <x v="209"/>
    <x v="209"/>
    <n v="1"/>
    <s v="ADET"/>
    <n v="0"/>
    <n v="6"/>
    <n v="7"/>
    <n v="2"/>
    <n v="0"/>
    <n v="4960.92"/>
    <n v="2480.46"/>
    <x v="13"/>
    <n v="2480.46"/>
    <x v="7"/>
  </r>
  <r>
    <x v="3"/>
    <s v="Stina Alm"/>
    <x v="0"/>
    <x v="217"/>
    <x v="217"/>
    <n v="4"/>
    <s v="ADET"/>
    <n v="0"/>
    <n v="39"/>
    <n v="32"/>
    <n v="-11"/>
    <n v="0"/>
    <n v="0"/>
    <n v="73.349999999999994"/>
    <x v="13"/>
    <n v="293.39999999999998"/>
    <x v="7"/>
  </r>
  <r>
    <x v="3"/>
    <s v="Stina Alm"/>
    <x v="0"/>
    <x v="220"/>
    <x v="220"/>
    <n v="0.69"/>
    <s v="ADET"/>
    <n v="0"/>
    <n v="10"/>
    <n v="126.66400000000034"/>
    <n v="-1.1600000000000001"/>
    <n v="0"/>
    <n v="0"/>
    <n v="185"/>
    <x v="14"/>
    <n v="127.64999999999999"/>
    <x v="2"/>
  </r>
  <r>
    <x v="15"/>
    <s v="Jan Urbanek"/>
    <x v="0"/>
    <x v="192"/>
    <x v="192"/>
    <n v="1.5"/>
    <s v="ADET"/>
    <n v="0"/>
    <n v="14"/>
    <n v="6.8000000000000025"/>
    <n v="7.7000000000000028"/>
    <n v="12"/>
    <n v="2532.1450000000009"/>
    <n v="328.85"/>
    <x v="62"/>
    <n v="493.27500000000003"/>
    <x v="3"/>
  </r>
  <r>
    <x v="13"/>
    <s v="Matteo Giolo"/>
    <x v="0"/>
    <x v="192"/>
    <x v="192"/>
    <n v="4"/>
    <s v="ADET"/>
    <n v="0"/>
    <n v="14"/>
    <n v="6.8000000000000025"/>
    <n v="7.7000000000000028"/>
    <n v="12"/>
    <n v="2532.1450000000009"/>
    <n v="328.85"/>
    <x v="62"/>
    <n v="1315.4"/>
    <x v="3"/>
  </r>
  <r>
    <x v="13"/>
    <s v="Matteo Giolo"/>
    <x v="0"/>
    <x v="231"/>
    <x v="231"/>
    <n v="1"/>
    <s v="METRE"/>
    <n v="0"/>
    <n v="0"/>
    <n v="3.0000000000000142"/>
    <n v="11"/>
    <n v="0"/>
    <n v="5399.35"/>
    <n v="490.85"/>
    <x v="71"/>
    <n v="490.85"/>
    <x v="5"/>
  </r>
  <r>
    <x v="19"/>
    <s v="Volkan Batkan"/>
    <x v="0"/>
    <x v="193"/>
    <x v="193"/>
    <n v="1"/>
    <s v="ADET"/>
    <n v="1"/>
    <n v="0"/>
    <n v="4"/>
    <n v="0"/>
    <n v="20"/>
    <n v="0"/>
    <n v="28000"/>
    <x v="44"/>
    <n v="28000"/>
    <x v="7"/>
  </r>
  <r>
    <x v="16"/>
    <s v="Stefan Zaugg"/>
    <x v="0"/>
    <x v="193"/>
    <x v="193"/>
    <n v="2"/>
    <s v="ADET"/>
    <n v="0"/>
    <n v="0"/>
    <n v="4"/>
    <n v="0"/>
    <n v="20"/>
    <n v="0"/>
    <n v="28000"/>
    <x v="44"/>
    <n v="56000"/>
    <x v="7"/>
  </r>
  <r>
    <x v="19"/>
    <s v="Volkan Batkan"/>
    <x v="0"/>
    <x v="194"/>
    <x v="194"/>
    <n v="4.0999999999999996"/>
    <s v="METRE"/>
    <n v="0"/>
    <n v="100"/>
    <n v="2.0000000000000568"/>
    <n v="-6.4000000000000057"/>
    <n v="0"/>
    <n v="0"/>
    <n v="111"/>
    <x v="15"/>
    <n v="455.09999999999997"/>
    <x v="7"/>
  </r>
  <r>
    <x v="16"/>
    <s v="Stefan Zaugg"/>
    <x v="0"/>
    <x v="194"/>
    <x v="194"/>
    <n v="5.0999999999999996"/>
    <s v="METRE"/>
    <n v="0"/>
    <n v="100"/>
    <n v="2.0000000000000568"/>
    <n v="-6.4000000000000057"/>
    <n v="0"/>
    <n v="0"/>
    <n v="111"/>
    <x v="15"/>
    <n v="566.09999999999991"/>
    <x v="7"/>
  </r>
  <r>
    <x v="3"/>
    <s v="Stina Alm"/>
    <x v="0"/>
    <x v="231"/>
    <x v="231"/>
    <n v="1"/>
    <s v="METRE"/>
    <n v="0"/>
    <n v="0"/>
    <n v="3.0000000000000142"/>
    <n v="11"/>
    <n v="0"/>
    <n v="5399.35"/>
    <n v="490.85"/>
    <x v="71"/>
    <n v="490.85"/>
    <x v="5"/>
  </r>
  <r>
    <x v="5"/>
    <s v="Matteo Giolo"/>
    <x v="0"/>
    <x v="193"/>
    <x v="193"/>
    <n v="2"/>
    <s v="ADET"/>
    <n v="0"/>
    <n v="0"/>
    <n v="4"/>
    <n v="0"/>
    <n v="20"/>
    <n v="0"/>
    <n v="28000"/>
    <x v="44"/>
    <n v="56000"/>
    <x v="7"/>
  </r>
  <r>
    <x v="4"/>
    <s v="Stefan Zaugg"/>
    <x v="0"/>
    <x v="193"/>
    <x v="193"/>
    <n v="2"/>
    <s v="ADET"/>
    <n v="0"/>
    <n v="0"/>
    <n v="4"/>
    <n v="0"/>
    <n v="20"/>
    <n v="0"/>
    <n v="28000"/>
    <x v="44"/>
    <n v="56000"/>
    <x v="7"/>
  </r>
  <r>
    <x v="5"/>
    <s v="Matteo Giolo"/>
    <x v="0"/>
    <x v="194"/>
    <x v="194"/>
    <n v="8"/>
    <s v="METRE"/>
    <n v="0"/>
    <n v="100"/>
    <n v="2.0000000000000568"/>
    <n v="-6.4000000000000057"/>
    <n v="0"/>
    <n v="0"/>
    <n v="111"/>
    <x v="15"/>
    <n v="888"/>
    <x v="7"/>
  </r>
  <r>
    <x v="4"/>
    <s v="Stefan Zaugg"/>
    <x v="0"/>
    <x v="194"/>
    <x v="194"/>
    <n v="5.0999999999999996"/>
    <s v="METRE"/>
    <n v="0"/>
    <n v="100"/>
    <n v="2.0000000000000568"/>
    <n v="-6.4000000000000057"/>
    <n v="0"/>
    <n v="0"/>
    <n v="111"/>
    <x v="15"/>
    <n v="566.09999999999991"/>
    <x v="7"/>
  </r>
  <r>
    <x v="4"/>
    <s v="Stefan Zaugg"/>
    <x v="0"/>
    <x v="217"/>
    <x v="217"/>
    <n v="4"/>
    <s v="ADET"/>
    <n v="4"/>
    <n v="39"/>
    <n v="32"/>
    <n v="-11"/>
    <n v="0"/>
    <n v="0"/>
    <n v="73.349999999999994"/>
    <x v="13"/>
    <n v="293.39999999999998"/>
    <x v="7"/>
  </r>
  <r>
    <x v="5"/>
    <s v="Matteo Giolo"/>
    <x v="0"/>
    <x v="219"/>
    <x v="219"/>
    <n v="1"/>
    <s v="ADET"/>
    <n v="0"/>
    <n v="100"/>
    <n v="41"/>
    <n v="-89.5"/>
    <n v="0"/>
    <n v="0"/>
    <n v="60"/>
    <x v="20"/>
    <n v="60"/>
    <x v="2"/>
  </r>
  <r>
    <x v="2"/>
    <s v="Laurent MONTAGNER"/>
    <x v="0"/>
    <x v="231"/>
    <x v="231"/>
    <n v="1"/>
    <s v="METRE"/>
    <n v="0"/>
    <n v="0"/>
    <n v="3.0000000000000142"/>
    <n v="11"/>
    <n v="0"/>
    <n v="5399.35"/>
    <n v="490.85"/>
    <x v="71"/>
    <n v="490.85"/>
    <x v="5"/>
  </r>
  <r>
    <x v="0"/>
    <s v="Soner Kayıkçı"/>
    <x v="0"/>
    <x v="231"/>
    <x v="231"/>
    <n v="3"/>
    <s v="METRE"/>
    <n v="0"/>
    <n v="0"/>
    <n v="3.0000000000000142"/>
    <n v="11"/>
    <n v="0"/>
    <n v="5399.35"/>
    <n v="490.85"/>
    <x v="71"/>
    <n v="1472.5500000000002"/>
    <x v="5"/>
  </r>
  <r>
    <x v="2"/>
    <s v="Laurent MONTAGNER"/>
    <x v="0"/>
    <x v="228"/>
    <x v="228"/>
    <n v="0.23"/>
    <s v="METRE"/>
    <n v="0"/>
    <n v="52"/>
    <n v="38.620000000000005"/>
    <n v="-47.39"/>
    <n v="0"/>
    <n v="0"/>
    <n v="126.36"/>
    <x v="70"/>
    <n v="29.062800000000003"/>
    <x v="4"/>
  </r>
  <r>
    <x v="12"/>
    <s v="Matteo Giolo"/>
    <x v="0"/>
    <x v="114"/>
    <x v="114"/>
    <n v="7"/>
    <s v="ADET"/>
    <n v="0"/>
    <n v="230"/>
    <n v="72"/>
    <n v="-172"/>
    <n v="0"/>
    <n v="0"/>
    <n v="225"/>
    <x v="42"/>
    <n v="1575"/>
    <x v="6"/>
  </r>
  <r>
    <x v="19"/>
    <s v="Volkan Batkan"/>
    <x v="0"/>
    <x v="230"/>
    <x v="230"/>
    <n v="4"/>
    <s v="ADET"/>
    <n v="0"/>
    <n v="1000"/>
    <n v="0"/>
    <n v="-964"/>
    <n v="0"/>
    <n v="0"/>
    <n v="1.2"/>
    <x v="14"/>
    <n v="4.8"/>
    <x v="2"/>
  </r>
  <r>
    <x v="17"/>
    <s v="Murat Taşdemir"/>
    <x v="0"/>
    <x v="192"/>
    <x v="192"/>
    <n v="2.8"/>
    <s v="ADET"/>
    <n v="0"/>
    <n v="14"/>
    <n v="6.8000000000000025"/>
    <n v="7.7000000000000028"/>
    <n v="12"/>
    <n v="2532.1450000000009"/>
    <n v="328.85"/>
    <x v="62"/>
    <n v="920.78"/>
    <x v="3"/>
  </r>
  <r>
    <x v="1"/>
    <s v="Stina Alm"/>
    <x v="0"/>
    <x v="262"/>
    <x v="262"/>
    <n v="1"/>
    <s v="ADET"/>
    <n v="0"/>
    <n v="10"/>
    <n v="4"/>
    <n v="-6"/>
    <n v="0"/>
    <n v="0"/>
    <n v="252"/>
    <x v="75"/>
    <n v="252"/>
    <x v="2"/>
  </r>
  <r>
    <x v="2"/>
    <s v="Laurent MONTAGNER"/>
    <x v="0"/>
    <x v="262"/>
    <x v="262"/>
    <n v="1"/>
    <s v="ADET"/>
    <n v="1"/>
    <n v="10"/>
    <n v="4"/>
    <n v="-6"/>
    <n v="0"/>
    <n v="0"/>
    <n v="252"/>
    <x v="75"/>
    <n v="252"/>
    <x v="2"/>
  </r>
  <r>
    <x v="1"/>
    <s v="Stina Alm"/>
    <x v="0"/>
    <x v="255"/>
    <x v="255"/>
    <n v="1"/>
    <s v="ADET"/>
    <n v="0"/>
    <n v="6"/>
    <n v="5"/>
    <n v="5"/>
    <n v="0"/>
    <n v="11000"/>
    <n v="2200"/>
    <x v="36"/>
    <n v="2200"/>
    <x v="4"/>
  </r>
  <r>
    <x v="17"/>
    <s v="Murat Taşdemir"/>
    <x v="0"/>
    <x v="261"/>
    <x v="261"/>
    <n v="29"/>
    <s v="METRE"/>
    <n v="0"/>
    <n v="150"/>
    <n v="50"/>
    <n v="71"/>
    <n v="0"/>
    <n v="22720"/>
    <n v="320"/>
    <x v="6"/>
    <n v="9280"/>
    <x v="5"/>
  </r>
  <r>
    <x v="12"/>
    <s v="Matteo Giolo"/>
    <x v="0"/>
    <x v="236"/>
    <x v="236"/>
    <n v="0.10100000000000001"/>
    <s v="METRE"/>
    <n v="0"/>
    <n v="50"/>
    <n v="-1.4210854715202004E-14"/>
    <n v="-47.386000000000003"/>
    <n v="0"/>
    <n v="0"/>
    <n v="10.61"/>
    <x v="73"/>
    <n v="1.07161"/>
    <x v="7"/>
  </r>
  <r>
    <x v="16"/>
    <s v="Stefan Zaugg"/>
    <x v="0"/>
    <x v="261"/>
    <x v="261"/>
    <n v="21"/>
    <s v="METRE"/>
    <n v="0"/>
    <n v="150"/>
    <n v="50"/>
    <n v="71"/>
    <n v="0"/>
    <n v="22720"/>
    <n v="320"/>
    <x v="6"/>
    <n v="6720"/>
    <x v="5"/>
  </r>
  <r>
    <x v="15"/>
    <s v="Jan Urbanek"/>
    <x v="0"/>
    <x v="235"/>
    <x v="235"/>
    <n v="2"/>
    <s v="ADET"/>
    <n v="0"/>
    <n v="23"/>
    <n v="22"/>
    <n v="1"/>
    <n v="0"/>
    <n v="73.349999999999994"/>
    <n v="73.349999999999994"/>
    <x v="13"/>
    <n v="146.69999999999999"/>
    <x v="7"/>
  </r>
  <r>
    <x v="13"/>
    <s v="Matteo Giolo"/>
    <x v="0"/>
    <x v="235"/>
    <x v="235"/>
    <n v="2"/>
    <s v="ADET"/>
    <n v="0"/>
    <n v="23"/>
    <n v="22"/>
    <n v="1"/>
    <n v="0"/>
    <n v="73.349999999999994"/>
    <n v="73.349999999999994"/>
    <x v="13"/>
    <n v="146.69999999999999"/>
    <x v="7"/>
  </r>
  <r>
    <x v="3"/>
    <s v="Stina Alm"/>
    <x v="0"/>
    <x v="261"/>
    <x v="261"/>
    <n v="27"/>
    <s v="METRE"/>
    <n v="0"/>
    <n v="150"/>
    <n v="50"/>
    <n v="71"/>
    <n v="0"/>
    <n v="22720"/>
    <n v="320"/>
    <x v="6"/>
    <n v="8640"/>
    <x v="5"/>
  </r>
  <r>
    <x v="3"/>
    <s v="Stina Alm"/>
    <x v="0"/>
    <x v="235"/>
    <x v="235"/>
    <n v="2"/>
    <s v="ADET"/>
    <n v="0"/>
    <n v="23"/>
    <n v="22"/>
    <n v="1"/>
    <n v="0"/>
    <n v="73.349999999999994"/>
    <n v="73.349999999999994"/>
    <x v="13"/>
    <n v="146.69999999999999"/>
    <x v="7"/>
  </r>
  <r>
    <x v="5"/>
    <s v="Matteo Giolo"/>
    <x v="0"/>
    <x v="236"/>
    <x v="236"/>
    <n v="0.30000000000000004"/>
    <s v="METRE"/>
    <n v="0"/>
    <n v="50"/>
    <n v="-1.4210854715202004E-14"/>
    <n v="-47.386000000000003"/>
    <n v="0"/>
    <n v="0"/>
    <n v="10.61"/>
    <x v="73"/>
    <n v="3.1830000000000003"/>
    <x v="7"/>
  </r>
  <r>
    <x v="5"/>
    <s v="Matteo Giolo"/>
    <x v="0"/>
    <x v="121"/>
    <x v="121"/>
    <n v="32"/>
    <s v="ADET"/>
    <n v="0"/>
    <n v="391"/>
    <n v="150"/>
    <n v="-33"/>
    <n v="0"/>
    <n v="0"/>
    <n v="10.65"/>
    <x v="8"/>
    <n v="340.8"/>
    <x v="2"/>
  </r>
  <r>
    <x v="13"/>
    <s v="Matteo Giolo"/>
    <x v="0"/>
    <x v="261"/>
    <x v="261"/>
    <n v="27"/>
    <s v="METRE"/>
    <n v="0"/>
    <n v="150"/>
    <n v="50"/>
    <n v="71"/>
    <n v="0"/>
    <n v="22720"/>
    <n v="320"/>
    <x v="6"/>
    <n v="8640"/>
    <x v="5"/>
  </r>
  <r>
    <x v="4"/>
    <s v="Stefan Zaugg"/>
    <x v="0"/>
    <x v="235"/>
    <x v="235"/>
    <n v="2"/>
    <s v="ADET"/>
    <n v="2"/>
    <n v="23"/>
    <n v="22"/>
    <n v="1"/>
    <n v="0"/>
    <n v="73.349999999999994"/>
    <n v="73.349999999999994"/>
    <x v="13"/>
    <n v="146.69999999999999"/>
    <x v="7"/>
  </r>
  <r>
    <x v="0"/>
    <s v="Soner Kayıkçı"/>
    <x v="0"/>
    <x v="255"/>
    <x v="255"/>
    <n v="1"/>
    <s v="ADET"/>
    <n v="0"/>
    <n v="6"/>
    <n v="5"/>
    <n v="5"/>
    <n v="0"/>
    <n v="11000"/>
    <n v="2200"/>
    <x v="36"/>
    <n v="2200"/>
    <x v="4"/>
  </r>
  <r>
    <x v="5"/>
    <s v="Matteo Giolo"/>
    <x v="0"/>
    <x v="261"/>
    <x v="261"/>
    <n v="29"/>
    <s v="METRE"/>
    <n v="0"/>
    <n v="150"/>
    <n v="50"/>
    <n v="71"/>
    <n v="0"/>
    <n v="22720"/>
    <n v="320"/>
    <x v="6"/>
    <n v="9280"/>
    <x v="5"/>
  </r>
  <r>
    <x v="12"/>
    <s v="Matteo Giolo"/>
    <x v="0"/>
    <x v="235"/>
    <x v="235"/>
    <n v="12"/>
    <s v="ADET"/>
    <n v="0"/>
    <n v="23"/>
    <n v="22"/>
    <n v="1"/>
    <n v="0"/>
    <n v="73.349999999999994"/>
    <n v="73.349999999999994"/>
    <x v="13"/>
    <n v="880.19999999999993"/>
    <x v="7"/>
  </r>
  <r>
    <x v="7"/>
    <s v="Laurent MONTAGNER"/>
    <x v="0"/>
    <x v="236"/>
    <x v="236"/>
    <n v="0.1"/>
    <s v="METRE"/>
    <n v="0"/>
    <n v="50"/>
    <n v="-1.4210854715202004E-14"/>
    <n v="-47.386000000000003"/>
    <n v="0"/>
    <n v="0"/>
    <n v="10.61"/>
    <x v="73"/>
    <n v="1.0609999999999999"/>
    <x v="7"/>
  </r>
  <r>
    <x v="3"/>
    <s v="Stina Alm"/>
    <x v="0"/>
    <x v="236"/>
    <x v="236"/>
    <n v="0.1"/>
    <s v="METRE"/>
    <n v="0"/>
    <n v="50"/>
    <n v="-1.4210854715202004E-14"/>
    <n v="-47.386000000000003"/>
    <n v="0"/>
    <n v="0"/>
    <n v="10.61"/>
    <x v="73"/>
    <n v="1.0609999999999999"/>
    <x v="7"/>
  </r>
  <r>
    <x v="7"/>
    <s v="Laurent MONTAGNER"/>
    <x v="0"/>
    <x v="263"/>
    <x v="263"/>
    <n v="2"/>
    <s v="ADET"/>
    <n v="2"/>
    <n v="4"/>
    <n v="6"/>
    <n v="0"/>
    <n v="0"/>
    <n v="0"/>
    <n v="260"/>
    <x v="2"/>
    <n v="520"/>
    <x v="2"/>
  </r>
  <r>
    <x v="3"/>
    <s v="Stina Alm"/>
    <x v="0"/>
    <x v="255"/>
    <x v="255"/>
    <n v="1"/>
    <s v="ADET"/>
    <n v="0"/>
    <n v="6"/>
    <n v="5"/>
    <n v="5"/>
    <n v="0"/>
    <n v="11000"/>
    <n v="2200"/>
    <x v="36"/>
    <n v="2200"/>
    <x v="4"/>
  </r>
  <r>
    <x v="15"/>
    <s v="Jan Urbanek"/>
    <x v="0"/>
    <x v="236"/>
    <x v="236"/>
    <n v="0.10100000000000001"/>
    <s v="METRE"/>
    <n v="0"/>
    <n v="50"/>
    <n v="-1.4210854715202004E-14"/>
    <n v="-47.386000000000003"/>
    <n v="0"/>
    <n v="0"/>
    <n v="10.61"/>
    <x v="73"/>
    <n v="1.07161"/>
    <x v="7"/>
  </r>
  <r>
    <x v="13"/>
    <s v="Matteo Giolo"/>
    <x v="0"/>
    <x v="236"/>
    <x v="236"/>
    <n v="0.1"/>
    <s v="METRE"/>
    <n v="0"/>
    <n v="50"/>
    <n v="-1.4210854715202004E-14"/>
    <n v="-47.386000000000003"/>
    <n v="0"/>
    <n v="0"/>
    <n v="10.61"/>
    <x v="73"/>
    <n v="1.0609999999999999"/>
    <x v="7"/>
  </r>
  <r>
    <x v="13"/>
    <s v="Matteo Giolo"/>
    <x v="0"/>
    <x v="234"/>
    <x v="234"/>
    <n v="2"/>
    <s v="ADET"/>
    <n v="0"/>
    <n v="91"/>
    <n v="17.799999999999997"/>
    <n v="-74.5"/>
    <n v="0"/>
    <n v="0"/>
    <n v="85"/>
    <x v="28"/>
    <n v="170"/>
    <x v="2"/>
  </r>
  <r>
    <x v="15"/>
    <s v="Jan Urbanek"/>
    <x v="0"/>
    <x v="234"/>
    <x v="234"/>
    <n v="1.5"/>
    <s v="ADET"/>
    <n v="0"/>
    <n v="91"/>
    <n v="17.799999999999997"/>
    <n v="-74.5"/>
    <n v="0"/>
    <n v="0"/>
    <n v="85"/>
    <x v="28"/>
    <n v="127.5"/>
    <x v="2"/>
  </r>
  <r>
    <x v="13"/>
    <s v="Matteo Giolo"/>
    <x v="0"/>
    <x v="262"/>
    <x v="262"/>
    <n v="1"/>
    <s v="ADET"/>
    <n v="0"/>
    <n v="10"/>
    <n v="4"/>
    <n v="-6"/>
    <n v="0"/>
    <n v="0"/>
    <n v="252"/>
    <x v="75"/>
    <n v="252"/>
    <x v="2"/>
  </r>
  <r>
    <x v="15"/>
    <s v="Jan Urbanek"/>
    <x v="0"/>
    <x v="255"/>
    <x v="255"/>
    <n v="1"/>
    <s v="ADET"/>
    <n v="0"/>
    <n v="6"/>
    <n v="5"/>
    <n v="5"/>
    <n v="0"/>
    <n v="11000"/>
    <n v="2200"/>
    <x v="36"/>
    <n v="2200"/>
    <x v="4"/>
  </r>
  <r>
    <x v="3"/>
    <s v="Stina Alm"/>
    <x v="0"/>
    <x v="234"/>
    <x v="234"/>
    <n v="2"/>
    <s v="ADET"/>
    <n v="0"/>
    <n v="91"/>
    <n v="17.799999999999997"/>
    <n v="-74.5"/>
    <n v="0"/>
    <n v="0"/>
    <n v="85"/>
    <x v="28"/>
    <n v="170"/>
    <x v="2"/>
  </r>
  <r>
    <x v="17"/>
    <s v="Murat Taşdemir"/>
    <x v="0"/>
    <x v="193"/>
    <x v="193"/>
    <n v="2"/>
    <s v="ADET"/>
    <n v="0"/>
    <n v="0"/>
    <n v="4"/>
    <n v="0"/>
    <n v="20"/>
    <n v="0"/>
    <n v="28000"/>
    <x v="44"/>
    <n v="56000"/>
    <x v="7"/>
  </r>
  <r>
    <x v="12"/>
    <s v="Matteo Giolo"/>
    <x v="0"/>
    <x v="192"/>
    <x v="192"/>
    <n v="4.3"/>
    <s v="ADET"/>
    <n v="0"/>
    <n v="14"/>
    <n v="6.8000000000000025"/>
    <n v="7.7000000000000028"/>
    <n v="12"/>
    <n v="2532.1450000000009"/>
    <n v="328.85"/>
    <x v="62"/>
    <n v="1414.0550000000001"/>
    <x v="3"/>
  </r>
  <r>
    <x v="6"/>
    <s v="Laurent MONTAGNER"/>
    <x v="0"/>
    <x v="220"/>
    <x v="220"/>
    <n v="0.76800000000000024"/>
    <s v="ADET"/>
    <n v="0.76800000000000024"/>
    <n v="10"/>
    <n v="126.66400000000034"/>
    <n v="-1.1600000000000001"/>
    <n v="0"/>
    <n v="0"/>
    <n v="185"/>
    <x v="14"/>
    <n v="142.08000000000004"/>
    <x v="2"/>
  </r>
  <r>
    <x v="1"/>
    <s v="Stina Alm"/>
    <x v="0"/>
    <x v="220"/>
    <x v="220"/>
    <n v="0.69"/>
    <s v="ADET"/>
    <n v="0"/>
    <n v="10"/>
    <n v="126.66400000000034"/>
    <n v="-1.1600000000000001"/>
    <n v="0"/>
    <n v="0"/>
    <n v="185"/>
    <x v="14"/>
    <n v="127.64999999999999"/>
    <x v="2"/>
  </r>
  <r>
    <x v="6"/>
    <s v="Laurent MONTAGNER"/>
    <x v="0"/>
    <x v="221"/>
    <x v="221"/>
    <n v="2"/>
    <s v="ADET"/>
    <n v="0"/>
    <n v="228"/>
    <n v="4.2632564145606011E-14"/>
    <n v="-186"/>
    <n v="0"/>
    <n v="0"/>
    <n v="6"/>
    <x v="28"/>
    <n v="12"/>
    <x v="2"/>
  </r>
  <r>
    <x v="0"/>
    <s v="Soner Kayıkçı"/>
    <x v="0"/>
    <x v="221"/>
    <x v="221"/>
    <n v="2"/>
    <s v="ADET"/>
    <n v="0"/>
    <n v="228"/>
    <n v="4.2632564145606011E-14"/>
    <n v="-186"/>
    <n v="0"/>
    <n v="0"/>
    <n v="6"/>
    <x v="28"/>
    <n v="12"/>
    <x v="2"/>
  </r>
  <r>
    <x v="1"/>
    <s v="Stina Alm"/>
    <x v="0"/>
    <x v="221"/>
    <x v="221"/>
    <n v="3"/>
    <s v="ADET"/>
    <n v="0"/>
    <n v="228"/>
    <n v="4.2632564145606011E-14"/>
    <n v="-186"/>
    <n v="0"/>
    <n v="0"/>
    <n v="6"/>
    <x v="28"/>
    <n v="18"/>
    <x v="2"/>
  </r>
  <r>
    <x v="6"/>
    <s v="Laurent MONTAGNER"/>
    <x v="0"/>
    <x v="222"/>
    <x v="222"/>
    <n v="9"/>
    <s v="ADET"/>
    <n v="0"/>
    <n v="148"/>
    <n v="59"/>
    <n v="-33"/>
    <n v="0"/>
    <n v="0"/>
    <n v="24.17"/>
    <x v="21"/>
    <n v="217.53000000000003"/>
    <x v="2"/>
  </r>
  <r>
    <x v="0"/>
    <s v="Soner Kayıkçı"/>
    <x v="0"/>
    <x v="222"/>
    <x v="222"/>
    <n v="5"/>
    <s v="ADET"/>
    <n v="0"/>
    <n v="148"/>
    <n v="59"/>
    <n v="-33"/>
    <n v="0"/>
    <n v="0"/>
    <n v="24.17"/>
    <x v="21"/>
    <n v="120.85000000000001"/>
    <x v="2"/>
  </r>
  <r>
    <x v="6"/>
    <s v="Laurent MONTAGNER"/>
    <x v="0"/>
    <x v="228"/>
    <x v="228"/>
    <n v="0.23"/>
    <s v="METRE"/>
    <n v="0"/>
    <n v="52"/>
    <n v="38.620000000000005"/>
    <n v="-47.39"/>
    <n v="0"/>
    <n v="0"/>
    <n v="126.36"/>
    <x v="70"/>
    <n v="29.062800000000003"/>
    <x v="4"/>
  </r>
  <r>
    <x v="1"/>
    <s v="Stina Alm"/>
    <x v="0"/>
    <x v="228"/>
    <x v="228"/>
    <n v="0.23"/>
    <s v="METRE"/>
    <n v="0"/>
    <n v="52"/>
    <n v="38.620000000000005"/>
    <n v="-47.39"/>
    <n v="0"/>
    <n v="0"/>
    <n v="126.36"/>
    <x v="70"/>
    <n v="29.062800000000003"/>
    <x v="4"/>
  </r>
  <r>
    <x v="0"/>
    <s v="Soner Kayıkçı"/>
    <x v="0"/>
    <x v="224"/>
    <x v="224"/>
    <n v="5"/>
    <s v="ADET"/>
    <n v="0"/>
    <n v="0"/>
    <n v="75"/>
    <n v="102"/>
    <n v="0"/>
    <n v="10710"/>
    <n v="105"/>
    <x v="68"/>
    <n v="525"/>
    <x v="4"/>
  </r>
  <r>
    <x v="1"/>
    <s v="Stina Alm"/>
    <x v="0"/>
    <x v="224"/>
    <x v="224"/>
    <n v="6"/>
    <s v="ADET"/>
    <n v="0"/>
    <n v="0"/>
    <n v="75"/>
    <n v="102"/>
    <n v="0"/>
    <n v="10710"/>
    <n v="105"/>
    <x v="68"/>
    <n v="630"/>
    <x v="4"/>
  </r>
  <r>
    <x v="3"/>
    <s v="Stina Alm"/>
    <x v="0"/>
    <x v="114"/>
    <x v="114"/>
    <n v="5"/>
    <s v="ADET"/>
    <n v="0"/>
    <n v="230"/>
    <n v="72"/>
    <n v="-172"/>
    <n v="0"/>
    <n v="0"/>
    <n v="225"/>
    <x v="42"/>
    <n v="1125"/>
    <x v="6"/>
  </r>
  <r>
    <x v="7"/>
    <s v="Laurent MONTAGNER"/>
    <x v="0"/>
    <x v="191"/>
    <x v="191"/>
    <n v="6.8"/>
    <s v="ADET"/>
    <n v="0"/>
    <n v="87"/>
    <n v="50.899999999999949"/>
    <n v="-43.900000000000006"/>
    <n v="0"/>
    <n v="0"/>
    <n v="122.09"/>
    <x v="29"/>
    <n v="830.21199999999999"/>
    <x v="2"/>
  </r>
  <r>
    <x v="4"/>
    <s v="Stefan Zaugg"/>
    <x v="0"/>
    <x v="230"/>
    <x v="230"/>
    <n v="4"/>
    <s v="ADET"/>
    <n v="0"/>
    <n v="1000"/>
    <n v="0"/>
    <n v="-964"/>
    <n v="0"/>
    <n v="0"/>
    <n v="1.2"/>
    <x v="14"/>
    <n v="4.8"/>
    <x v="2"/>
  </r>
  <r>
    <x v="16"/>
    <s v="Stefan Zaugg"/>
    <x v="0"/>
    <x v="230"/>
    <x v="230"/>
    <n v="4"/>
    <s v="ADET"/>
    <n v="0"/>
    <n v="1000"/>
    <n v="0"/>
    <n v="-964"/>
    <n v="0"/>
    <n v="0"/>
    <n v="1.2"/>
    <x v="14"/>
    <n v="4.8"/>
    <x v="2"/>
  </r>
  <r>
    <x v="14"/>
    <s v="Stefan Zaugg"/>
    <x v="0"/>
    <x v="230"/>
    <x v="230"/>
    <n v="4"/>
    <s v="ADET"/>
    <n v="0"/>
    <n v="1000"/>
    <n v="0"/>
    <n v="-964"/>
    <n v="0"/>
    <n v="0"/>
    <n v="1.2"/>
    <x v="14"/>
    <n v="4.8"/>
    <x v="2"/>
  </r>
  <r>
    <x v="13"/>
    <s v="Matteo Giolo"/>
    <x v="0"/>
    <x v="193"/>
    <x v="193"/>
    <n v="1"/>
    <s v="ADET"/>
    <n v="0"/>
    <n v="0"/>
    <n v="4"/>
    <n v="0"/>
    <n v="20"/>
    <n v="0"/>
    <n v="28000"/>
    <x v="44"/>
    <n v="28000"/>
    <x v="7"/>
  </r>
  <r>
    <x v="15"/>
    <s v="Jan Urbanek"/>
    <x v="0"/>
    <x v="193"/>
    <x v="193"/>
    <n v="1"/>
    <s v="ADET"/>
    <n v="0"/>
    <n v="0"/>
    <n v="4"/>
    <n v="0"/>
    <n v="20"/>
    <n v="0"/>
    <n v="28000"/>
    <x v="44"/>
    <n v="28000"/>
    <x v="7"/>
  </r>
  <r>
    <x v="15"/>
    <s v="Jan Urbanek"/>
    <x v="0"/>
    <x v="194"/>
    <x v="194"/>
    <n v="4.0999999999999996"/>
    <s v="METRE"/>
    <n v="0"/>
    <n v="100"/>
    <n v="2.0000000000000568"/>
    <n v="-6.4000000000000057"/>
    <n v="0"/>
    <n v="0"/>
    <n v="111"/>
    <x v="15"/>
    <n v="455.09999999999997"/>
    <x v="7"/>
  </r>
  <r>
    <x v="3"/>
    <s v="Stina Alm"/>
    <x v="0"/>
    <x v="192"/>
    <x v="192"/>
    <n v="3.2"/>
    <s v="ADET"/>
    <n v="0"/>
    <n v="14"/>
    <n v="6.8000000000000025"/>
    <n v="7.7000000000000028"/>
    <n v="12"/>
    <n v="2532.1450000000009"/>
    <n v="328.85"/>
    <x v="62"/>
    <n v="1052.3200000000002"/>
    <x v="3"/>
  </r>
  <r>
    <x v="5"/>
    <s v="Matteo Giolo"/>
    <x v="0"/>
    <x v="231"/>
    <x v="231"/>
    <n v="1"/>
    <s v="METRE"/>
    <n v="0"/>
    <n v="0"/>
    <n v="3.0000000000000142"/>
    <n v="11"/>
    <n v="0"/>
    <n v="5399.35"/>
    <n v="490.85"/>
    <x v="71"/>
    <n v="490.85"/>
    <x v="5"/>
  </r>
  <r>
    <x v="7"/>
    <s v="Laurent MONTAGNER"/>
    <x v="0"/>
    <x v="193"/>
    <x v="193"/>
    <n v="1"/>
    <s v="ADET"/>
    <n v="0"/>
    <n v="0"/>
    <n v="4"/>
    <n v="0"/>
    <n v="20"/>
    <n v="0"/>
    <n v="28000"/>
    <x v="44"/>
    <n v="28000"/>
    <x v="7"/>
  </r>
  <r>
    <x v="3"/>
    <s v="Stina Alm"/>
    <x v="0"/>
    <x v="194"/>
    <x v="194"/>
    <n v="1.6"/>
    <s v="METRE"/>
    <n v="0"/>
    <n v="100"/>
    <n v="2.0000000000000568"/>
    <n v="-6.4000000000000057"/>
    <n v="0"/>
    <n v="0"/>
    <n v="111"/>
    <x v="15"/>
    <n v="177.60000000000002"/>
    <x v="7"/>
  </r>
  <r>
    <x v="7"/>
    <s v="Laurent MONTAGNER"/>
    <x v="0"/>
    <x v="194"/>
    <x v="194"/>
    <n v="7.1"/>
    <s v="METRE"/>
    <n v="0"/>
    <n v="100"/>
    <n v="2.0000000000000568"/>
    <n v="-6.4000000000000057"/>
    <n v="0"/>
    <n v="0"/>
    <n v="111"/>
    <x v="15"/>
    <n v="788.09999999999991"/>
    <x v="7"/>
  </r>
  <r>
    <x v="5"/>
    <s v="Matteo Giolo"/>
    <x v="0"/>
    <x v="217"/>
    <x v="217"/>
    <n v="4"/>
    <s v="ADET"/>
    <n v="0"/>
    <n v="39"/>
    <n v="32"/>
    <n v="-11"/>
    <n v="0"/>
    <n v="0"/>
    <n v="73.349999999999994"/>
    <x v="13"/>
    <n v="293.39999999999998"/>
    <x v="7"/>
  </r>
  <r>
    <x v="7"/>
    <s v="Laurent MONTAGNER"/>
    <x v="0"/>
    <x v="217"/>
    <x v="217"/>
    <n v="4"/>
    <s v="ADET"/>
    <n v="4"/>
    <n v="39"/>
    <n v="32"/>
    <n v="-11"/>
    <n v="0"/>
    <n v="0"/>
    <n v="73.349999999999994"/>
    <x v="13"/>
    <n v="293.39999999999998"/>
    <x v="7"/>
  </r>
  <r>
    <x v="4"/>
    <s v="Stefan Zaugg"/>
    <x v="0"/>
    <x v="218"/>
    <x v="218"/>
    <n v="1"/>
    <s v="ADET"/>
    <n v="1"/>
    <n v="24"/>
    <n v="9"/>
    <n v="-21"/>
    <n v="0"/>
    <n v="0"/>
    <n v="368.07"/>
    <x v="67"/>
    <n v="368.07"/>
    <x v="7"/>
  </r>
  <r>
    <x v="4"/>
    <s v="Stefan Zaugg"/>
    <x v="0"/>
    <x v="219"/>
    <x v="219"/>
    <n v="0.5"/>
    <s v="ADET"/>
    <n v="0"/>
    <n v="100"/>
    <n v="41"/>
    <n v="-89.5"/>
    <n v="0"/>
    <n v="0"/>
    <n v="60"/>
    <x v="20"/>
    <n v="30"/>
    <x v="2"/>
  </r>
  <r>
    <x v="3"/>
    <s v="Stina Alm"/>
    <x v="0"/>
    <x v="219"/>
    <x v="219"/>
    <n v="1"/>
    <s v="ADET"/>
    <n v="0"/>
    <n v="100"/>
    <n v="41"/>
    <n v="-89.5"/>
    <n v="0"/>
    <n v="0"/>
    <n v="60"/>
    <x v="20"/>
    <n v="60"/>
    <x v="2"/>
  </r>
  <r>
    <x v="5"/>
    <s v="Matteo Giolo"/>
    <x v="0"/>
    <x v="220"/>
    <x v="220"/>
    <n v="0.71000000000000008"/>
    <s v="ADET"/>
    <n v="0"/>
    <n v="10"/>
    <n v="126.66400000000034"/>
    <n v="-1.1600000000000001"/>
    <n v="0"/>
    <n v="0"/>
    <n v="185"/>
    <x v="14"/>
    <n v="131.35000000000002"/>
    <x v="2"/>
  </r>
  <r>
    <x v="5"/>
    <s v="Matteo Giolo"/>
    <x v="0"/>
    <x v="221"/>
    <x v="221"/>
    <n v="2"/>
    <s v="ADET"/>
    <n v="0"/>
    <n v="228"/>
    <n v="4.2632564145606011E-14"/>
    <n v="-186"/>
    <n v="0"/>
    <n v="0"/>
    <n v="6"/>
    <x v="28"/>
    <n v="12"/>
    <x v="2"/>
  </r>
  <r>
    <x v="7"/>
    <s v="Laurent MONTAGNER"/>
    <x v="0"/>
    <x v="221"/>
    <x v="221"/>
    <n v="2"/>
    <s v="ADET"/>
    <n v="0"/>
    <n v="228"/>
    <n v="4.2632564145606011E-14"/>
    <n v="-186"/>
    <n v="0"/>
    <n v="0"/>
    <n v="6"/>
    <x v="28"/>
    <n v="12"/>
    <x v="2"/>
  </r>
  <r>
    <x v="7"/>
    <s v="Laurent MONTAGNER"/>
    <x v="0"/>
    <x v="222"/>
    <x v="222"/>
    <n v="9"/>
    <s v="ADET"/>
    <n v="0"/>
    <n v="148"/>
    <n v="59"/>
    <n v="-33"/>
    <n v="0"/>
    <n v="0"/>
    <n v="24.17"/>
    <x v="21"/>
    <n v="217.53000000000003"/>
    <x v="2"/>
  </r>
  <r>
    <x v="3"/>
    <s v="Stina Alm"/>
    <x v="0"/>
    <x v="222"/>
    <x v="222"/>
    <n v="4"/>
    <s v="ADET"/>
    <n v="0"/>
    <n v="148"/>
    <n v="59"/>
    <n v="-33"/>
    <n v="0"/>
    <n v="0"/>
    <n v="24.17"/>
    <x v="21"/>
    <n v="96.68"/>
    <x v="2"/>
  </r>
  <r>
    <x v="5"/>
    <s v="Matteo Giolo"/>
    <x v="0"/>
    <x v="228"/>
    <x v="228"/>
    <n v="0.23"/>
    <s v="METRE"/>
    <n v="0"/>
    <n v="52"/>
    <n v="38.620000000000005"/>
    <n v="-47.39"/>
    <n v="0"/>
    <n v="0"/>
    <n v="126.36"/>
    <x v="70"/>
    <n v="29.062800000000003"/>
    <x v="4"/>
  </r>
  <r>
    <x v="4"/>
    <s v="Stefan Zaugg"/>
    <x v="0"/>
    <x v="228"/>
    <x v="228"/>
    <n v="0.25"/>
    <s v="METRE"/>
    <n v="0"/>
    <n v="52"/>
    <n v="38.620000000000005"/>
    <n v="-47.39"/>
    <n v="0"/>
    <n v="0"/>
    <n v="126.36"/>
    <x v="70"/>
    <n v="31.59"/>
    <x v="4"/>
  </r>
  <r>
    <x v="7"/>
    <s v="Laurent MONTAGNER"/>
    <x v="0"/>
    <x v="224"/>
    <x v="224"/>
    <n v="7"/>
    <s v="ADET"/>
    <n v="0"/>
    <n v="0"/>
    <n v="75"/>
    <n v="102"/>
    <n v="0"/>
    <n v="10710"/>
    <n v="105"/>
    <x v="68"/>
    <n v="735"/>
    <x v="4"/>
  </r>
  <r>
    <x v="3"/>
    <s v="Stina Alm"/>
    <x v="0"/>
    <x v="224"/>
    <x v="224"/>
    <n v="6"/>
    <s v="ADET"/>
    <n v="0"/>
    <n v="0"/>
    <n v="75"/>
    <n v="102"/>
    <n v="0"/>
    <n v="10710"/>
    <n v="105"/>
    <x v="68"/>
    <n v="630"/>
    <x v="4"/>
  </r>
  <r>
    <x v="3"/>
    <s v="Stina Alm"/>
    <x v="0"/>
    <x v="229"/>
    <x v="229"/>
    <n v="1"/>
    <s v="ADET"/>
    <n v="0"/>
    <n v="50"/>
    <n v="33"/>
    <n v="-15"/>
    <n v="0"/>
    <n v="0"/>
    <n v="72.599999999999994"/>
    <x v="14"/>
    <n v="72.599999999999994"/>
    <x v="4"/>
  </r>
  <r>
    <x v="13"/>
    <s v="Matteo Giolo"/>
    <x v="0"/>
    <x v="194"/>
    <x v="194"/>
    <n v="7.1"/>
    <s v="METRE"/>
    <n v="0"/>
    <n v="100"/>
    <n v="2.0000000000000568"/>
    <n v="-6.4000000000000057"/>
    <n v="0"/>
    <n v="0"/>
    <n v="111"/>
    <x v="15"/>
    <n v="788.09999999999991"/>
    <x v="7"/>
  </r>
  <r>
    <x v="15"/>
    <s v="Jan Urbanek"/>
    <x v="0"/>
    <x v="209"/>
    <x v="209"/>
    <n v="1"/>
    <s v="ADET"/>
    <n v="0"/>
    <n v="6"/>
    <n v="7"/>
    <n v="2"/>
    <n v="0"/>
    <n v="4960.92"/>
    <n v="2480.46"/>
    <x v="13"/>
    <n v="2480.46"/>
    <x v="7"/>
  </r>
  <r>
    <x v="14"/>
    <s v="Stefan Zaugg"/>
    <x v="0"/>
    <x v="209"/>
    <x v="209"/>
    <n v="1"/>
    <s v="ADET"/>
    <n v="1"/>
    <n v="6"/>
    <n v="7"/>
    <n v="2"/>
    <n v="0"/>
    <n v="4960.92"/>
    <n v="2480.46"/>
    <x v="13"/>
    <n v="2480.46"/>
    <x v="7"/>
  </r>
  <r>
    <x v="16"/>
    <s v="Stefan Zaugg"/>
    <x v="0"/>
    <x v="217"/>
    <x v="217"/>
    <n v="4"/>
    <s v="ADET"/>
    <n v="4"/>
    <n v="39"/>
    <n v="32"/>
    <n v="-11"/>
    <n v="0"/>
    <n v="0"/>
    <n v="73.349999999999994"/>
    <x v="13"/>
    <n v="293.39999999999998"/>
    <x v="7"/>
  </r>
  <r>
    <x v="16"/>
    <s v="Stefan Zaugg"/>
    <x v="0"/>
    <x v="218"/>
    <x v="218"/>
    <n v="1"/>
    <s v="ADET"/>
    <n v="1"/>
    <n v="24"/>
    <n v="9"/>
    <n v="-21"/>
    <n v="0"/>
    <n v="0"/>
    <n v="368.07"/>
    <x v="67"/>
    <n v="368.07"/>
    <x v="7"/>
  </r>
  <r>
    <x v="16"/>
    <s v="Stefan Zaugg"/>
    <x v="0"/>
    <x v="219"/>
    <x v="219"/>
    <n v="0.5"/>
    <s v="ADET"/>
    <n v="0"/>
    <n v="100"/>
    <n v="41"/>
    <n v="-89.5"/>
    <n v="0"/>
    <n v="0"/>
    <n v="60"/>
    <x v="20"/>
    <n v="30"/>
    <x v="2"/>
  </r>
  <r>
    <x v="14"/>
    <s v="Stefan Zaugg"/>
    <x v="0"/>
    <x v="219"/>
    <x v="219"/>
    <n v="0.5"/>
    <s v="ADET"/>
    <n v="0"/>
    <n v="100"/>
    <n v="41"/>
    <n v="-89.5"/>
    <n v="0"/>
    <n v="0"/>
    <n v="60"/>
    <x v="20"/>
    <n v="30"/>
    <x v="2"/>
  </r>
  <r>
    <x v="13"/>
    <s v="Matteo Giolo"/>
    <x v="0"/>
    <x v="219"/>
    <x v="219"/>
    <n v="1"/>
    <s v="ADET"/>
    <n v="0"/>
    <n v="100"/>
    <n v="41"/>
    <n v="-89.5"/>
    <n v="0"/>
    <n v="0"/>
    <n v="60"/>
    <x v="20"/>
    <n v="60"/>
    <x v="2"/>
  </r>
  <r>
    <x v="14"/>
    <s v="Stefan Zaugg"/>
    <x v="0"/>
    <x v="220"/>
    <x v="220"/>
    <n v="0.51"/>
    <s v="ADET"/>
    <n v="0.51"/>
    <n v="10"/>
    <n v="126.66400000000034"/>
    <n v="-1.1600000000000001"/>
    <n v="0"/>
    <n v="0"/>
    <n v="185"/>
    <x v="14"/>
    <n v="94.350000000000009"/>
    <x v="2"/>
  </r>
  <r>
    <x v="16"/>
    <s v="Stefan Zaugg"/>
    <x v="0"/>
    <x v="221"/>
    <x v="221"/>
    <n v="1"/>
    <s v="ADET"/>
    <n v="0"/>
    <n v="228"/>
    <n v="4.2632564145606011E-14"/>
    <n v="-186"/>
    <n v="0"/>
    <n v="0"/>
    <n v="6"/>
    <x v="28"/>
    <n v="6"/>
    <x v="2"/>
  </r>
  <r>
    <x v="14"/>
    <s v="Stefan Zaugg"/>
    <x v="0"/>
    <x v="221"/>
    <x v="221"/>
    <n v="1"/>
    <s v="ADET"/>
    <n v="0"/>
    <n v="228"/>
    <n v="4.2632564145606011E-14"/>
    <n v="-186"/>
    <n v="0"/>
    <n v="0"/>
    <n v="6"/>
    <x v="28"/>
    <n v="6"/>
    <x v="2"/>
  </r>
  <r>
    <x v="15"/>
    <s v="Jan Urbanek"/>
    <x v="0"/>
    <x v="222"/>
    <x v="222"/>
    <n v="5"/>
    <s v="ADET"/>
    <n v="0"/>
    <n v="148"/>
    <n v="59"/>
    <n v="-33"/>
    <n v="0"/>
    <n v="0"/>
    <n v="24.17"/>
    <x v="21"/>
    <n v="120.85000000000001"/>
    <x v="2"/>
  </r>
  <r>
    <x v="16"/>
    <s v="Stefan Zaugg"/>
    <x v="0"/>
    <x v="222"/>
    <x v="222"/>
    <n v="8"/>
    <s v="ADET"/>
    <n v="0"/>
    <n v="148"/>
    <n v="59"/>
    <n v="-33"/>
    <n v="0"/>
    <n v="0"/>
    <n v="24.17"/>
    <x v="21"/>
    <n v="193.36"/>
    <x v="2"/>
  </r>
  <r>
    <x v="14"/>
    <s v="Stefan Zaugg"/>
    <x v="0"/>
    <x v="222"/>
    <x v="222"/>
    <n v="8"/>
    <s v="ADET"/>
    <n v="0"/>
    <n v="148"/>
    <n v="59"/>
    <n v="-33"/>
    <n v="0"/>
    <n v="0"/>
    <n v="24.17"/>
    <x v="21"/>
    <n v="193.36"/>
    <x v="2"/>
  </r>
  <r>
    <x v="14"/>
    <s v="Stefan Zaugg"/>
    <x v="0"/>
    <x v="237"/>
    <x v="237"/>
    <n v="1"/>
    <s v="ADET"/>
    <n v="0"/>
    <n v="32"/>
    <n v="22"/>
    <n v="-13"/>
    <n v="0"/>
    <n v="0"/>
    <n v="34"/>
    <x v="14"/>
    <n v="34"/>
    <x v="4"/>
  </r>
  <r>
    <x v="13"/>
    <s v="Matteo Giolo"/>
    <x v="0"/>
    <x v="237"/>
    <x v="237"/>
    <n v="1"/>
    <s v="ADET"/>
    <n v="0"/>
    <n v="32"/>
    <n v="22"/>
    <n v="-13"/>
    <n v="0"/>
    <n v="0"/>
    <n v="34"/>
    <x v="14"/>
    <n v="34"/>
    <x v="4"/>
  </r>
  <r>
    <x v="16"/>
    <s v="Stefan Zaugg"/>
    <x v="0"/>
    <x v="241"/>
    <x v="241"/>
    <n v="1"/>
    <s v="ADET"/>
    <n v="0"/>
    <n v="0"/>
    <n v="246"/>
    <n v="6"/>
    <n v="0"/>
    <n v="32.519999999999996"/>
    <n v="5.42"/>
    <x v="21"/>
    <n v="5.42"/>
    <x v="2"/>
  </r>
  <r>
    <x v="13"/>
    <s v="Matteo Giolo"/>
    <x v="0"/>
    <x v="241"/>
    <x v="241"/>
    <n v="1"/>
    <s v="ADET"/>
    <n v="0"/>
    <n v="0"/>
    <n v="246"/>
    <n v="6"/>
    <n v="0"/>
    <n v="32.519999999999996"/>
    <n v="5.42"/>
    <x v="21"/>
    <n v="5.42"/>
    <x v="2"/>
  </r>
  <r>
    <x v="3"/>
    <s v="Stina Alm"/>
    <x v="0"/>
    <x v="237"/>
    <x v="237"/>
    <n v="1"/>
    <s v="ADET"/>
    <n v="0"/>
    <n v="32"/>
    <n v="22"/>
    <n v="-13"/>
    <n v="0"/>
    <n v="0"/>
    <n v="34"/>
    <x v="14"/>
    <n v="34"/>
    <x v="4"/>
  </r>
  <r>
    <x v="1"/>
    <s v="Stina Alm"/>
    <x v="0"/>
    <x v="241"/>
    <x v="241"/>
    <n v="1"/>
    <s v="ADET"/>
    <n v="0"/>
    <n v="0"/>
    <n v="246"/>
    <n v="6"/>
    <n v="0"/>
    <n v="32.519999999999996"/>
    <n v="5.42"/>
    <x v="21"/>
    <n v="5.42"/>
    <x v="2"/>
  </r>
  <r>
    <x v="2"/>
    <s v="Laurent MONTAGNER"/>
    <x v="0"/>
    <x v="264"/>
    <x v="264"/>
    <n v="2"/>
    <s v="METRE"/>
    <n v="0"/>
    <n v="100"/>
    <n v="1.1368683772161603E-13"/>
    <n v="-97"/>
    <n v="0"/>
    <n v="0"/>
    <n v="24"/>
    <x v="49"/>
    <n v="48"/>
    <x v="7"/>
  </r>
  <r>
    <x v="3"/>
    <s v="Stina Alm"/>
    <x v="0"/>
    <x v="125"/>
    <x v="125"/>
    <n v="1"/>
    <s v="ADET"/>
    <n v="0"/>
    <n v="11"/>
    <n v="8"/>
    <n v="0"/>
    <n v="0"/>
    <n v="0"/>
    <n v="1145.83"/>
    <x v="37"/>
    <n v="1145.83"/>
    <x v="6"/>
  </r>
  <r>
    <x v="5"/>
    <s v="Matteo Giolo"/>
    <x v="0"/>
    <x v="197"/>
    <x v="197"/>
    <n v="6.65"/>
    <s v="METRE"/>
    <n v="0"/>
    <n v="100"/>
    <n v="139.99999999999989"/>
    <n v="41.300000000000011"/>
    <n v="0"/>
    <n v="929.25000000000023"/>
    <n v="22.5"/>
    <x v="27"/>
    <n v="149.625"/>
    <x v="4"/>
  </r>
  <r>
    <x v="3"/>
    <s v="Stina Alm"/>
    <x v="0"/>
    <x v="179"/>
    <x v="179"/>
    <n v="3"/>
    <s v="ADET"/>
    <n v="0"/>
    <n v="29"/>
    <n v="30"/>
    <n v="10"/>
    <n v="0"/>
    <n v="17500"/>
    <n v="1750"/>
    <x v="59"/>
    <n v="5250"/>
    <x v="7"/>
  </r>
  <r>
    <x v="3"/>
    <s v="Stina Alm"/>
    <x v="0"/>
    <x v="178"/>
    <x v="178"/>
    <n v="3.6100000000000003"/>
    <s v="KG"/>
    <n v="0"/>
    <n v="110"/>
    <n v="57.22"/>
    <n v="-78.660000000000025"/>
    <n v="0"/>
    <n v="0"/>
    <n v="40"/>
    <x v="14"/>
    <n v="144.4"/>
    <x v="2"/>
  </r>
  <r>
    <x v="4"/>
    <s v="Stefan Zaugg"/>
    <x v="0"/>
    <x v="98"/>
    <x v="98"/>
    <n v="2"/>
    <s v="ADET"/>
    <n v="0"/>
    <n v="13"/>
    <n v="1"/>
    <n v="24"/>
    <n v="0"/>
    <n v="1570.08"/>
    <n v="65.42"/>
    <x v="21"/>
    <n v="130.84"/>
    <x v="4"/>
  </r>
  <r>
    <x v="5"/>
    <s v="Matteo Giolo"/>
    <x v="0"/>
    <x v="98"/>
    <x v="98"/>
    <n v="3"/>
    <s v="ADET"/>
    <n v="0"/>
    <n v="13"/>
    <n v="1"/>
    <n v="24"/>
    <n v="0"/>
    <n v="1570.08"/>
    <n v="65.42"/>
    <x v="21"/>
    <n v="196.26"/>
    <x v="4"/>
  </r>
  <r>
    <x v="5"/>
    <s v="Matteo Giolo"/>
    <x v="0"/>
    <x v="179"/>
    <x v="179"/>
    <n v="3"/>
    <s v="ADET"/>
    <n v="0"/>
    <n v="29"/>
    <n v="30"/>
    <n v="10"/>
    <n v="0"/>
    <n v="17500"/>
    <n v="1750"/>
    <x v="59"/>
    <n v="5250"/>
    <x v="7"/>
  </r>
  <r>
    <x v="4"/>
    <s v="Stefan Zaugg"/>
    <x v="0"/>
    <x v="179"/>
    <x v="179"/>
    <n v="3"/>
    <s v="ADET"/>
    <n v="3"/>
    <n v="29"/>
    <n v="30"/>
    <n v="10"/>
    <n v="0"/>
    <n v="17500"/>
    <n v="1750"/>
    <x v="59"/>
    <n v="5250"/>
    <x v="7"/>
  </r>
  <r>
    <x v="7"/>
    <s v="Laurent MONTAGNER"/>
    <x v="0"/>
    <x v="179"/>
    <x v="179"/>
    <n v="3"/>
    <s v="ADET"/>
    <n v="0"/>
    <n v="29"/>
    <n v="30"/>
    <n v="10"/>
    <n v="0"/>
    <n v="17500"/>
    <n v="1750"/>
    <x v="59"/>
    <n v="5250"/>
    <x v="7"/>
  </r>
  <r>
    <x v="5"/>
    <s v="Matteo Giolo"/>
    <x v="0"/>
    <x v="178"/>
    <x v="178"/>
    <n v="3.71"/>
    <s v="KG"/>
    <n v="0"/>
    <n v="110"/>
    <n v="57.22"/>
    <n v="-78.660000000000025"/>
    <n v="0"/>
    <n v="0"/>
    <n v="40"/>
    <x v="14"/>
    <n v="148.4"/>
    <x v="2"/>
  </r>
  <r>
    <x v="17"/>
    <s v="Murat Taşdemir"/>
    <x v="0"/>
    <x v="179"/>
    <x v="179"/>
    <n v="3"/>
    <s v="ADET"/>
    <n v="3"/>
    <n v="29"/>
    <n v="30"/>
    <n v="10"/>
    <n v="0"/>
    <n v="17500"/>
    <n v="1750"/>
    <x v="59"/>
    <n v="5250"/>
    <x v="7"/>
  </r>
  <r>
    <x v="16"/>
    <s v="Stefan Zaugg"/>
    <x v="0"/>
    <x v="265"/>
    <x v="265"/>
    <n v="2"/>
    <s v="ADET"/>
    <n v="2"/>
    <n v="33"/>
    <n v="16"/>
    <n v="-31"/>
    <n v="0"/>
    <n v="0"/>
    <n v="930"/>
    <x v="20"/>
    <n v="1860"/>
    <x v="7"/>
  </r>
  <r>
    <x v="17"/>
    <s v="Murat Taşdemir"/>
    <x v="0"/>
    <x v="204"/>
    <x v="204"/>
    <n v="30"/>
    <s v="ADET"/>
    <n v="0"/>
    <n v="100"/>
    <n v="161"/>
    <n v="-40"/>
    <n v="0"/>
    <n v="0"/>
    <n v="12"/>
    <x v="2"/>
    <n v="360"/>
    <x v="2"/>
  </r>
  <r>
    <x v="12"/>
    <s v="Matteo Giolo"/>
    <x v="0"/>
    <x v="179"/>
    <x v="179"/>
    <n v="3"/>
    <s v="ADET"/>
    <n v="0"/>
    <n v="29"/>
    <n v="30"/>
    <n v="10"/>
    <n v="0"/>
    <n v="17500"/>
    <n v="1750"/>
    <x v="59"/>
    <n v="5250"/>
    <x v="7"/>
  </r>
  <r>
    <x v="18"/>
    <s v="Hayriye Güven"/>
    <x v="0"/>
    <x v="265"/>
    <x v="265"/>
    <n v="2"/>
    <s v="ADET"/>
    <n v="0"/>
    <n v="33"/>
    <n v="16"/>
    <n v="-31"/>
    <n v="0"/>
    <n v="0"/>
    <n v="930"/>
    <x v="20"/>
    <n v="1860"/>
    <x v="7"/>
  </r>
  <r>
    <x v="19"/>
    <s v="Volkan Batkan"/>
    <x v="0"/>
    <x v="178"/>
    <x v="178"/>
    <n v="3"/>
    <s v="KG"/>
    <n v="3"/>
    <n v="110"/>
    <n v="57.22"/>
    <n v="-78.660000000000025"/>
    <n v="0"/>
    <n v="0"/>
    <n v="40"/>
    <x v="14"/>
    <n v="120"/>
    <x v="2"/>
  </r>
  <r>
    <x v="12"/>
    <s v="Matteo Giolo"/>
    <x v="0"/>
    <x v="180"/>
    <x v="180"/>
    <n v="9"/>
    <s v="METRE"/>
    <n v="0"/>
    <n v="480"/>
    <n v="0"/>
    <n v="-408"/>
    <n v="0"/>
    <n v="0"/>
    <n v="4"/>
    <x v="5"/>
    <n v="36"/>
    <x v="8"/>
  </r>
  <r>
    <x v="12"/>
    <s v="Matteo Giolo"/>
    <x v="0"/>
    <x v="266"/>
    <x v="266"/>
    <n v="1"/>
    <s v="ADET"/>
    <n v="0"/>
    <n v="21"/>
    <n v="10"/>
    <n v="-50"/>
    <n v="40"/>
    <n v="0"/>
    <n v="312"/>
    <x v="35"/>
    <n v="312"/>
    <x v="6"/>
  </r>
  <r>
    <x v="12"/>
    <s v="Matteo Giolo"/>
    <x v="0"/>
    <x v="178"/>
    <x v="178"/>
    <n v="2.8"/>
    <s v="KG"/>
    <n v="0"/>
    <n v="110"/>
    <n v="57.22"/>
    <n v="-78.660000000000025"/>
    <n v="0"/>
    <n v="0"/>
    <n v="40"/>
    <x v="14"/>
    <n v="112"/>
    <x v="2"/>
  </r>
  <r>
    <x v="18"/>
    <s v="Hayriye Güven"/>
    <x v="0"/>
    <x v="267"/>
    <x v="267"/>
    <n v="1"/>
    <s v="ADET"/>
    <n v="1"/>
    <n v="14"/>
    <n v="1"/>
    <n v="-14"/>
    <n v="0"/>
    <n v="0"/>
    <n v="762.72"/>
    <x v="76"/>
    <n v="762.72"/>
    <x v="4"/>
  </r>
  <r>
    <x v="5"/>
    <s v="Matteo Giolo"/>
    <x v="0"/>
    <x v="268"/>
    <x v="268"/>
    <n v="1.2"/>
    <s v="METRE"/>
    <n v="0"/>
    <n v="0"/>
    <n v="50"/>
    <n v="1.2"/>
    <n v="0"/>
    <n v="112.848"/>
    <n v="94.04"/>
    <x v="39"/>
    <n v="112.848"/>
    <x v="4"/>
  </r>
  <r>
    <x v="3"/>
    <s v="Stina Alm"/>
    <x v="0"/>
    <x v="269"/>
    <x v="269"/>
    <n v="9"/>
    <s v="METRE"/>
    <n v="0"/>
    <n v="480"/>
    <n v="0"/>
    <n v="-471"/>
    <n v="0"/>
    <n v="0"/>
    <n v="5"/>
    <x v="5"/>
    <n v="45"/>
    <x v="8"/>
  </r>
  <r>
    <x v="5"/>
    <s v="Matteo Giolo"/>
    <x v="0"/>
    <x v="244"/>
    <x v="244"/>
    <n v="8"/>
    <s v="ADET"/>
    <n v="0"/>
    <n v="250"/>
    <n v="3"/>
    <n v="-166"/>
    <n v="0"/>
    <n v="0"/>
    <n v="2"/>
    <x v="5"/>
    <n v="16"/>
    <x v="2"/>
  </r>
  <r>
    <x v="3"/>
    <s v="Stina Alm"/>
    <x v="0"/>
    <x v="245"/>
    <x v="245"/>
    <n v="20"/>
    <s v="ADET"/>
    <n v="0"/>
    <n v="250"/>
    <n v="835"/>
    <n v="-134"/>
    <n v="0"/>
    <n v="0"/>
    <n v="1.58"/>
    <x v="8"/>
    <n v="31.6"/>
    <x v="2"/>
  </r>
  <r>
    <x v="19"/>
    <s v="Volkan Batkan"/>
    <x v="0"/>
    <x v="244"/>
    <x v="244"/>
    <n v="2"/>
    <s v="ADET"/>
    <n v="2"/>
    <n v="250"/>
    <n v="3"/>
    <n v="-166"/>
    <n v="0"/>
    <n v="0"/>
    <n v="2"/>
    <x v="5"/>
    <n v="4"/>
    <x v="2"/>
  </r>
  <r>
    <x v="15"/>
    <s v="Jan Urbanek"/>
    <x v="0"/>
    <x v="244"/>
    <x v="244"/>
    <n v="2"/>
    <s v="ADET"/>
    <n v="0"/>
    <n v="250"/>
    <n v="3"/>
    <n v="-166"/>
    <n v="0"/>
    <n v="0"/>
    <n v="2"/>
    <x v="5"/>
    <n v="4"/>
    <x v="2"/>
  </r>
  <r>
    <x v="16"/>
    <s v="Stefan Zaugg"/>
    <x v="0"/>
    <x v="244"/>
    <x v="244"/>
    <n v="2"/>
    <s v="ADET"/>
    <n v="0"/>
    <n v="250"/>
    <n v="3"/>
    <n v="-166"/>
    <n v="0"/>
    <n v="0"/>
    <n v="2"/>
    <x v="5"/>
    <n v="4"/>
    <x v="2"/>
  </r>
  <r>
    <x v="14"/>
    <s v="Stefan Zaugg"/>
    <x v="0"/>
    <x v="244"/>
    <x v="244"/>
    <n v="2"/>
    <s v="ADET"/>
    <n v="0"/>
    <n v="250"/>
    <n v="3"/>
    <n v="-166"/>
    <n v="0"/>
    <n v="0"/>
    <n v="2"/>
    <x v="5"/>
    <n v="4"/>
    <x v="2"/>
  </r>
  <r>
    <x v="15"/>
    <s v="Jan Urbanek"/>
    <x v="0"/>
    <x v="245"/>
    <x v="245"/>
    <n v="4"/>
    <s v="ADET"/>
    <n v="0"/>
    <n v="250"/>
    <n v="835"/>
    <n v="-134"/>
    <n v="0"/>
    <n v="0"/>
    <n v="1.58"/>
    <x v="8"/>
    <n v="6.32"/>
    <x v="2"/>
  </r>
  <r>
    <x v="13"/>
    <s v="Matteo Giolo"/>
    <x v="0"/>
    <x v="245"/>
    <x v="245"/>
    <n v="16"/>
    <s v="ADET"/>
    <n v="0"/>
    <n v="250"/>
    <n v="835"/>
    <n v="-134"/>
    <n v="0"/>
    <n v="0"/>
    <n v="1.58"/>
    <x v="8"/>
    <n v="25.28"/>
    <x v="2"/>
  </r>
  <r>
    <x v="17"/>
    <s v="Murat Taşdemir"/>
    <x v="0"/>
    <x v="245"/>
    <x v="245"/>
    <n v="12"/>
    <s v="ADET"/>
    <n v="0"/>
    <n v="250"/>
    <n v="835"/>
    <n v="-134"/>
    <n v="0"/>
    <n v="0"/>
    <n v="1.58"/>
    <x v="8"/>
    <n v="18.96"/>
    <x v="2"/>
  </r>
  <r>
    <x v="2"/>
    <s v="Laurent MONTAGNER"/>
    <x v="0"/>
    <x v="246"/>
    <x v="246"/>
    <n v="2.19"/>
    <s v="ADET"/>
    <n v="0"/>
    <n v="75"/>
    <n v="42.70000000000006"/>
    <n v="-48.040000000000006"/>
    <n v="0"/>
    <n v="0"/>
    <n v="15"/>
    <x v="14"/>
    <n v="32.85"/>
    <x v="2"/>
  </r>
  <r>
    <x v="5"/>
    <s v="Matteo Giolo"/>
    <x v="0"/>
    <x v="3"/>
    <x v="3"/>
    <n v="32.92"/>
    <s v="KG"/>
    <n v="0"/>
    <n v="0"/>
    <n v="437.82000000000016"/>
    <n v="348.62999999999988"/>
    <n v="0"/>
    <n v="33597.473099999988"/>
    <n v="96.37"/>
    <x v="3"/>
    <n v="3172.5004000000004"/>
    <x v="3"/>
  </r>
  <r>
    <x v="3"/>
    <s v="Stina Alm"/>
    <x v="0"/>
    <x v="3"/>
    <x v="3"/>
    <n v="30.519999999999996"/>
    <s v="KG"/>
    <n v="0"/>
    <n v="0"/>
    <n v="437.82000000000016"/>
    <n v="348.62999999999988"/>
    <n v="0"/>
    <n v="33597.473099999988"/>
    <n v="96.37"/>
    <x v="3"/>
    <n v="2941.2123999999999"/>
    <x v="3"/>
  </r>
  <r>
    <x v="3"/>
    <s v="Stina Alm"/>
    <x v="0"/>
    <x v="116"/>
    <x v="116"/>
    <n v="2.9299999999999997"/>
    <s v="KG"/>
    <n v="0"/>
    <n v="66"/>
    <n v="36.349999999999987"/>
    <n v="-17.090000000000018"/>
    <n v="0"/>
    <n v="0"/>
    <n v="129.63"/>
    <x v="14"/>
    <n v="379.81589999999994"/>
    <x v="3"/>
  </r>
  <r>
    <x v="3"/>
    <s v="Stina Alm"/>
    <x v="0"/>
    <x v="244"/>
    <x v="244"/>
    <n v="8"/>
    <s v="ADET"/>
    <n v="0"/>
    <n v="250"/>
    <n v="3"/>
    <n v="-166"/>
    <n v="0"/>
    <n v="0"/>
    <n v="2"/>
    <x v="5"/>
    <n v="16"/>
    <x v="2"/>
  </r>
  <r>
    <x v="7"/>
    <s v="Laurent MONTAGNER"/>
    <x v="0"/>
    <x v="245"/>
    <x v="245"/>
    <n v="8"/>
    <s v="ADET"/>
    <n v="0"/>
    <n v="250"/>
    <n v="835"/>
    <n v="-134"/>
    <n v="0"/>
    <n v="0"/>
    <n v="1.58"/>
    <x v="8"/>
    <n v="12.64"/>
    <x v="2"/>
  </r>
  <r>
    <x v="13"/>
    <s v="Matteo Giolo"/>
    <x v="0"/>
    <x v="244"/>
    <x v="244"/>
    <n v="8"/>
    <s v="ADET"/>
    <n v="0"/>
    <n v="250"/>
    <n v="3"/>
    <n v="-166"/>
    <n v="0"/>
    <n v="0"/>
    <n v="2"/>
    <x v="5"/>
    <n v="16"/>
    <x v="2"/>
  </r>
  <r>
    <x v="14"/>
    <s v="Stefan Zaugg"/>
    <x v="0"/>
    <x v="153"/>
    <x v="153"/>
    <n v="3"/>
    <s v="ADET"/>
    <n v="3"/>
    <n v="84"/>
    <n v="195.90000000000009"/>
    <n v="-24.600000000000023"/>
    <n v="0"/>
    <n v="0"/>
    <n v="29"/>
    <x v="14"/>
    <n v="87"/>
    <x v="2"/>
  </r>
  <r>
    <x v="4"/>
    <s v="Stefan Zaugg"/>
    <x v="0"/>
    <x v="227"/>
    <x v="227"/>
    <n v="12"/>
    <s v="ADET"/>
    <n v="0"/>
    <n v="0"/>
    <n v="0"/>
    <n v="33"/>
    <n v="0"/>
    <n v="3.96"/>
    <n v="0.12"/>
    <x v="69"/>
    <n v="1.44"/>
    <x v="7"/>
  </r>
  <r>
    <x v="18"/>
    <s v="Hayriye Güven"/>
    <x v="0"/>
    <x v="226"/>
    <x v="226"/>
    <n v="1"/>
    <s v="ADET"/>
    <n v="0"/>
    <n v="4"/>
    <n v="2"/>
    <n v="0"/>
    <n v="0"/>
    <n v="0"/>
    <n v="3467.31"/>
    <x v="13"/>
    <n v="3467.31"/>
    <x v="7"/>
  </r>
  <r>
    <x v="14"/>
    <s v="Stefan Zaugg"/>
    <x v="0"/>
    <x v="181"/>
    <x v="181"/>
    <n v="1"/>
    <s v="ADET"/>
    <n v="0"/>
    <n v="2"/>
    <n v="1"/>
    <n v="2"/>
    <n v="0"/>
    <n v="19880.7"/>
    <n v="9940.35"/>
    <x v="60"/>
    <n v="9940.35"/>
    <x v="7"/>
  </r>
  <r>
    <x v="5"/>
    <s v="Matteo Giolo"/>
    <x v="0"/>
    <x v="225"/>
    <x v="225"/>
    <n v="2"/>
    <s v="ADET"/>
    <n v="0"/>
    <n v="18"/>
    <n v="9"/>
    <n v="-10"/>
    <n v="0"/>
    <n v="0"/>
    <n v="60"/>
    <x v="21"/>
    <n v="120"/>
    <x v="2"/>
  </r>
  <r>
    <x v="12"/>
    <s v="Matteo Giolo"/>
    <x v="0"/>
    <x v="226"/>
    <x v="226"/>
    <n v="1"/>
    <s v="ADET"/>
    <n v="0"/>
    <n v="4"/>
    <n v="2"/>
    <n v="0"/>
    <n v="0"/>
    <n v="0"/>
    <n v="3467.31"/>
    <x v="13"/>
    <n v="3467.31"/>
    <x v="7"/>
  </r>
  <r>
    <x v="12"/>
    <s v="Matteo Giolo"/>
    <x v="0"/>
    <x v="153"/>
    <x v="153"/>
    <n v="6"/>
    <s v="ADET"/>
    <n v="0"/>
    <n v="84"/>
    <n v="195.90000000000009"/>
    <n v="-24.600000000000023"/>
    <n v="0"/>
    <n v="0"/>
    <n v="29"/>
    <x v="14"/>
    <n v="174"/>
    <x v="2"/>
  </r>
  <r>
    <x v="7"/>
    <s v="Laurent MONTAGNER"/>
    <x v="0"/>
    <x v="225"/>
    <x v="225"/>
    <n v="2"/>
    <s v="ADET"/>
    <n v="2"/>
    <n v="18"/>
    <n v="9"/>
    <n v="-10"/>
    <n v="0"/>
    <n v="0"/>
    <n v="60"/>
    <x v="21"/>
    <n v="120"/>
    <x v="2"/>
  </r>
  <r>
    <x v="12"/>
    <s v="Matteo Giolo"/>
    <x v="0"/>
    <x v="270"/>
    <x v="270"/>
    <n v="0.1"/>
    <s v="ADET"/>
    <n v="0"/>
    <n v="33"/>
    <n v="6.0999999999999988"/>
    <n v="-32.299999999999997"/>
    <n v="0"/>
    <n v="0"/>
    <n v="25"/>
    <x v="14"/>
    <n v="2.5"/>
    <x v="2"/>
  </r>
  <r>
    <x v="13"/>
    <s v="Matteo Giolo"/>
    <x v="0"/>
    <x v="226"/>
    <x v="226"/>
    <n v="1"/>
    <s v="ADET"/>
    <n v="0"/>
    <n v="4"/>
    <n v="2"/>
    <n v="0"/>
    <n v="0"/>
    <n v="0"/>
    <n v="3467.31"/>
    <x v="13"/>
    <n v="3467.31"/>
    <x v="7"/>
  </r>
  <r>
    <x v="15"/>
    <s v="Jan Urbanek"/>
    <x v="0"/>
    <x v="153"/>
    <x v="153"/>
    <n v="6"/>
    <s v="ADET"/>
    <n v="0"/>
    <n v="84"/>
    <n v="195.90000000000009"/>
    <n v="-24.600000000000023"/>
    <n v="0"/>
    <n v="0"/>
    <n v="29"/>
    <x v="14"/>
    <n v="174"/>
    <x v="2"/>
  </r>
  <r>
    <x v="13"/>
    <s v="Matteo Giolo"/>
    <x v="0"/>
    <x v="222"/>
    <x v="222"/>
    <n v="4"/>
    <s v="ADET"/>
    <n v="0"/>
    <n v="148"/>
    <n v="59"/>
    <n v="-33"/>
    <n v="0"/>
    <n v="0"/>
    <n v="24.17"/>
    <x v="21"/>
    <n v="96.68"/>
    <x v="2"/>
  </r>
  <r>
    <x v="16"/>
    <s v="Stefan Zaugg"/>
    <x v="0"/>
    <x v="228"/>
    <x v="228"/>
    <n v="0.25"/>
    <s v="METRE"/>
    <n v="0"/>
    <n v="52"/>
    <n v="38.620000000000005"/>
    <n v="-47.39"/>
    <n v="0"/>
    <n v="0"/>
    <n v="126.36"/>
    <x v="70"/>
    <n v="31.59"/>
    <x v="4"/>
  </r>
  <r>
    <x v="14"/>
    <s v="Stefan Zaugg"/>
    <x v="0"/>
    <x v="228"/>
    <x v="228"/>
    <n v="0.25"/>
    <s v="METRE"/>
    <n v="0"/>
    <n v="52"/>
    <n v="38.620000000000005"/>
    <n v="-47.39"/>
    <n v="0"/>
    <n v="0"/>
    <n v="126.36"/>
    <x v="70"/>
    <n v="31.59"/>
    <x v="4"/>
  </r>
  <r>
    <x v="4"/>
    <s v="Stefan Zaugg"/>
    <x v="0"/>
    <x v="221"/>
    <x v="221"/>
    <n v="2"/>
    <s v="ADET"/>
    <n v="0"/>
    <n v="228"/>
    <n v="4.2632564145606011E-14"/>
    <n v="-186"/>
    <n v="0"/>
    <n v="0"/>
    <n v="6"/>
    <x v="28"/>
    <n v="12"/>
    <x v="2"/>
  </r>
  <r>
    <x v="5"/>
    <s v="Matteo Giolo"/>
    <x v="0"/>
    <x v="222"/>
    <x v="222"/>
    <n v="5"/>
    <s v="ADET"/>
    <n v="0"/>
    <n v="148"/>
    <n v="59"/>
    <n v="-33"/>
    <n v="0"/>
    <n v="0"/>
    <n v="24.17"/>
    <x v="21"/>
    <n v="120.85000000000001"/>
    <x v="2"/>
  </r>
  <r>
    <x v="4"/>
    <s v="Stefan Zaugg"/>
    <x v="0"/>
    <x v="222"/>
    <x v="222"/>
    <n v="8"/>
    <s v="ADET"/>
    <n v="0"/>
    <n v="148"/>
    <n v="59"/>
    <n v="-33"/>
    <n v="0"/>
    <n v="0"/>
    <n v="24.17"/>
    <x v="21"/>
    <n v="193.36"/>
    <x v="2"/>
  </r>
  <r>
    <x v="7"/>
    <s v="Laurent MONTAGNER"/>
    <x v="0"/>
    <x v="228"/>
    <x v="228"/>
    <n v="0.23"/>
    <s v="METRE"/>
    <n v="0"/>
    <n v="52"/>
    <n v="38.620000000000005"/>
    <n v="-47.39"/>
    <n v="0"/>
    <n v="0"/>
    <n v="126.36"/>
    <x v="70"/>
    <n v="29.062800000000003"/>
    <x v="4"/>
  </r>
  <r>
    <x v="5"/>
    <s v="Matteo Giolo"/>
    <x v="0"/>
    <x v="224"/>
    <x v="224"/>
    <n v="5"/>
    <s v="ADET"/>
    <n v="0"/>
    <n v="0"/>
    <n v="75"/>
    <n v="102"/>
    <n v="0"/>
    <n v="10710"/>
    <n v="105"/>
    <x v="68"/>
    <n v="525"/>
    <x v="4"/>
  </r>
  <r>
    <x v="0"/>
    <s v="Soner Kayıkçı"/>
    <x v="0"/>
    <x v="187"/>
    <x v="187"/>
    <n v="2"/>
    <s v="ADET"/>
    <n v="0"/>
    <n v="304"/>
    <n v="13"/>
    <n v="-281"/>
    <n v="0"/>
    <n v="0"/>
    <n v="210"/>
    <x v="20"/>
    <n v="420"/>
    <x v="7"/>
  </r>
  <r>
    <x v="6"/>
    <s v="Laurent MONTAGNER"/>
    <x v="0"/>
    <x v="271"/>
    <x v="271"/>
    <n v="5"/>
    <s v="ADET"/>
    <n v="0"/>
    <n v="0"/>
    <n v="93"/>
    <n v="26"/>
    <n v="0"/>
    <n v="351"/>
    <n v="13.5"/>
    <x v="2"/>
    <n v="67.5"/>
    <x v="2"/>
  </r>
  <r>
    <x v="1"/>
    <s v="Stina Alm"/>
    <x v="0"/>
    <x v="271"/>
    <x v="271"/>
    <n v="2"/>
    <s v="ADET"/>
    <n v="0"/>
    <n v="0"/>
    <n v="93"/>
    <n v="26"/>
    <n v="0"/>
    <n v="351"/>
    <n v="13.5"/>
    <x v="2"/>
    <n v="27"/>
    <x v="2"/>
  </r>
  <r>
    <x v="0"/>
    <s v="Soner Kayıkçı"/>
    <x v="0"/>
    <x v="188"/>
    <x v="188"/>
    <n v="1"/>
    <s v="ADET"/>
    <n v="0"/>
    <n v="12"/>
    <n v="9"/>
    <n v="0"/>
    <n v="0"/>
    <n v="0"/>
    <n v="266.72000000000003"/>
    <x v="13"/>
    <n v="266.72000000000003"/>
    <x v="7"/>
  </r>
  <r>
    <x v="11"/>
    <s v="Jan Urbanek"/>
    <x v="0"/>
    <x v="187"/>
    <x v="187"/>
    <n v="2"/>
    <s v="ADET"/>
    <n v="0"/>
    <n v="304"/>
    <n v="13"/>
    <n v="-281"/>
    <n v="0"/>
    <n v="0"/>
    <n v="210"/>
    <x v="20"/>
    <n v="420"/>
    <x v="7"/>
  </r>
  <r>
    <x v="11"/>
    <s v="Jan Urbanek"/>
    <x v="0"/>
    <x v="188"/>
    <x v="188"/>
    <n v="1"/>
    <s v="ADET"/>
    <n v="0"/>
    <n v="12"/>
    <n v="9"/>
    <n v="0"/>
    <n v="0"/>
    <n v="0"/>
    <n v="266.72000000000003"/>
    <x v="13"/>
    <n v="266.72000000000003"/>
    <x v="7"/>
  </r>
  <r>
    <x v="1"/>
    <s v="Stina Alm"/>
    <x v="0"/>
    <x v="187"/>
    <x v="187"/>
    <n v="2"/>
    <s v="ADET"/>
    <n v="0"/>
    <n v="304"/>
    <n v="13"/>
    <n v="-281"/>
    <n v="0"/>
    <n v="0"/>
    <n v="210"/>
    <x v="20"/>
    <n v="420"/>
    <x v="7"/>
  </r>
  <r>
    <x v="1"/>
    <s v="Stina Alm"/>
    <x v="0"/>
    <x v="188"/>
    <x v="188"/>
    <n v="1"/>
    <s v="ADET"/>
    <n v="0"/>
    <n v="12"/>
    <n v="9"/>
    <n v="0"/>
    <n v="0"/>
    <n v="0"/>
    <n v="266.72000000000003"/>
    <x v="13"/>
    <n v="266.72000000000003"/>
    <x v="7"/>
  </r>
  <r>
    <x v="2"/>
    <s v="Laurent MONTAGNER"/>
    <x v="0"/>
    <x v="271"/>
    <x v="271"/>
    <n v="2"/>
    <s v="ADET"/>
    <n v="0"/>
    <n v="0"/>
    <n v="93"/>
    <n v="26"/>
    <n v="0"/>
    <n v="351"/>
    <n v="13.5"/>
    <x v="2"/>
    <n v="27"/>
    <x v="2"/>
  </r>
  <r>
    <x v="12"/>
    <s v="Matteo Giolo"/>
    <x v="0"/>
    <x v="187"/>
    <x v="187"/>
    <n v="2"/>
    <s v="ADET"/>
    <n v="0"/>
    <n v="304"/>
    <n v="13"/>
    <n v="-281"/>
    <n v="0"/>
    <n v="0"/>
    <n v="210"/>
    <x v="20"/>
    <n v="420"/>
    <x v="7"/>
  </r>
  <r>
    <x v="16"/>
    <s v="Stefan Zaugg"/>
    <x v="0"/>
    <x v="271"/>
    <x v="271"/>
    <n v="1"/>
    <s v="ADET"/>
    <n v="0"/>
    <n v="0"/>
    <n v="93"/>
    <n v="26"/>
    <n v="0"/>
    <n v="351"/>
    <n v="13.5"/>
    <x v="2"/>
    <n v="13.5"/>
    <x v="2"/>
  </r>
  <r>
    <x v="15"/>
    <s v="Jan Urbanek"/>
    <x v="0"/>
    <x v="187"/>
    <x v="187"/>
    <n v="2"/>
    <s v="ADET"/>
    <n v="0"/>
    <n v="304"/>
    <n v="13"/>
    <n v="-281"/>
    <n v="0"/>
    <n v="0"/>
    <n v="210"/>
    <x v="20"/>
    <n v="420"/>
    <x v="7"/>
  </r>
  <r>
    <x v="13"/>
    <s v="Matteo Giolo"/>
    <x v="0"/>
    <x v="187"/>
    <x v="187"/>
    <n v="2"/>
    <s v="ADET"/>
    <n v="0"/>
    <n v="304"/>
    <n v="13"/>
    <n v="-281"/>
    <n v="0"/>
    <n v="0"/>
    <n v="210"/>
    <x v="20"/>
    <n v="420"/>
    <x v="7"/>
  </r>
  <r>
    <x v="17"/>
    <s v="Murat Taşdemir"/>
    <x v="0"/>
    <x v="271"/>
    <x v="271"/>
    <n v="2"/>
    <s v="ADET"/>
    <n v="0"/>
    <n v="0"/>
    <n v="93"/>
    <n v="26"/>
    <n v="0"/>
    <n v="351"/>
    <n v="13.5"/>
    <x v="2"/>
    <n v="27"/>
    <x v="2"/>
  </r>
  <r>
    <x v="5"/>
    <s v="Matteo Giolo"/>
    <x v="0"/>
    <x v="271"/>
    <x v="271"/>
    <n v="3"/>
    <s v="ADET"/>
    <n v="0"/>
    <n v="0"/>
    <n v="93"/>
    <n v="26"/>
    <n v="0"/>
    <n v="351"/>
    <n v="13.5"/>
    <x v="2"/>
    <n v="40.5"/>
    <x v="2"/>
  </r>
  <r>
    <x v="3"/>
    <s v="Stina Alm"/>
    <x v="0"/>
    <x v="187"/>
    <x v="187"/>
    <n v="2"/>
    <s v="ADET"/>
    <n v="0"/>
    <n v="304"/>
    <n v="13"/>
    <n v="-281"/>
    <n v="0"/>
    <n v="0"/>
    <n v="210"/>
    <x v="20"/>
    <n v="420"/>
    <x v="7"/>
  </r>
  <r>
    <x v="5"/>
    <s v="Matteo Giolo"/>
    <x v="0"/>
    <x v="187"/>
    <x v="187"/>
    <n v="2"/>
    <s v="ADET"/>
    <n v="0"/>
    <n v="304"/>
    <n v="13"/>
    <n v="-281"/>
    <n v="0"/>
    <n v="0"/>
    <n v="210"/>
    <x v="20"/>
    <n v="420"/>
    <x v="7"/>
  </r>
  <r>
    <x v="7"/>
    <s v="Laurent MONTAGNER"/>
    <x v="0"/>
    <x v="271"/>
    <x v="271"/>
    <n v="5"/>
    <s v="ADET"/>
    <n v="0"/>
    <n v="0"/>
    <n v="93"/>
    <n v="26"/>
    <n v="0"/>
    <n v="351"/>
    <n v="13.5"/>
    <x v="2"/>
    <n v="67.5"/>
    <x v="2"/>
  </r>
  <r>
    <x v="3"/>
    <s v="Stina Alm"/>
    <x v="0"/>
    <x v="188"/>
    <x v="188"/>
    <n v="1"/>
    <s v="ADET"/>
    <n v="0"/>
    <n v="12"/>
    <n v="9"/>
    <n v="0"/>
    <n v="0"/>
    <n v="0"/>
    <n v="266.72000000000003"/>
    <x v="13"/>
    <n v="266.72000000000003"/>
    <x v="7"/>
  </r>
  <r>
    <x v="17"/>
    <s v="Murat Taşdemir"/>
    <x v="0"/>
    <x v="272"/>
    <x v="272"/>
    <n v="2"/>
    <s v="ADET"/>
    <n v="2"/>
    <n v="28"/>
    <n v="5"/>
    <n v="-28"/>
    <n v="0"/>
    <n v="0"/>
    <n v="90"/>
    <x v="2"/>
    <n v="180"/>
    <x v="2"/>
  </r>
  <r>
    <x v="16"/>
    <s v="Stefan Zaugg"/>
    <x v="0"/>
    <x v="273"/>
    <x v="273"/>
    <n v="1"/>
    <s v="ADET"/>
    <n v="1"/>
    <n v="2"/>
    <n v="2"/>
    <n v="-2"/>
    <n v="0"/>
    <n v="0"/>
    <n v="1802.17"/>
    <x v="24"/>
    <n v="1802.17"/>
    <x v="4"/>
  </r>
  <r>
    <x v="5"/>
    <s v="Matteo Giolo"/>
    <x v="0"/>
    <x v="188"/>
    <x v="188"/>
    <n v="1"/>
    <s v="ADET"/>
    <n v="0"/>
    <n v="12"/>
    <n v="9"/>
    <n v="0"/>
    <n v="0"/>
    <n v="0"/>
    <n v="266.72000000000003"/>
    <x v="13"/>
    <n v="266.72000000000003"/>
    <x v="7"/>
  </r>
  <r>
    <x v="14"/>
    <s v="Stefan Zaugg"/>
    <x v="0"/>
    <x v="271"/>
    <x v="271"/>
    <n v="1"/>
    <s v="ADET"/>
    <n v="0"/>
    <n v="0"/>
    <n v="93"/>
    <n v="26"/>
    <n v="0"/>
    <n v="351"/>
    <n v="13.5"/>
    <x v="2"/>
    <n v="13.5"/>
    <x v="2"/>
  </r>
  <r>
    <x v="13"/>
    <s v="Matteo Giolo"/>
    <x v="0"/>
    <x v="271"/>
    <x v="271"/>
    <n v="2"/>
    <s v="ADET"/>
    <n v="0"/>
    <n v="0"/>
    <n v="93"/>
    <n v="26"/>
    <n v="0"/>
    <n v="351"/>
    <n v="13.5"/>
    <x v="2"/>
    <n v="27"/>
    <x v="2"/>
  </r>
  <r>
    <x v="3"/>
    <s v="Stina Alm"/>
    <x v="0"/>
    <x v="271"/>
    <x v="271"/>
    <n v="2"/>
    <s v="ADET"/>
    <n v="0"/>
    <n v="0"/>
    <n v="93"/>
    <n v="26"/>
    <n v="0"/>
    <n v="351"/>
    <n v="13.5"/>
    <x v="2"/>
    <n v="27"/>
    <x v="2"/>
  </r>
  <r>
    <x v="4"/>
    <s v="Stefan Zaugg"/>
    <x v="0"/>
    <x v="271"/>
    <x v="271"/>
    <n v="1"/>
    <s v="ADET"/>
    <n v="0"/>
    <n v="0"/>
    <n v="93"/>
    <n v="26"/>
    <n v="0"/>
    <n v="351"/>
    <n v="13.5"/>
    <x v="2"/>
    <n v="13.5"/>
    <x v="2"/>
  </r>
  <r>
    <x v="12"/>
    <s v="Matteo Giolo"/>
    <x v="0"/>
    <x v="188"/>
    <x v="188"/>
    <n v="1"/>
    <s v="ADET"/>
    <n v="0"/>
    <n v="12"/>
    <n v="9"/>
    <n v="0"/>
    <n v="0"/>
    <n v="0"/>
    <n v="266.72000000000003"/>
    <x v="13"/>
    <n v="266.72000000000003"/>
    <x v="7"/>
  </r>
  <r>
    <x v="4"/>
    <s v="Stefan Zaugg"/>
    <x v="0"/>
    <x v="224"/>
    <x v="224"/>
    <n v="5"/>
    <s v="ADET"/>
    <n v="0"/>
    <n v="0"/>
    <n v="75"/>
    <n v="102"/>
    <n v="0"/>
    <n v="10710"/>
    <n v="105"/>
    <x v="68"/>
    <n v="525"/>
    <x v="4"/>
  </r>
  <r>
    <x v="4"/>
    <s v="Stefan Zaugg"/>
    <x v="0"/>
    <x v="229"/>
    <x v="229"/>
    <n v="2"/>
    <s v="ADET"/>
    <n v="0"/>
    <n v="50"/>
    <n v="33"/>
    <n v="-15"/>
    <n v="0"/>
    <n v="0"/>
    <n v="72.599999999999994"/>
    <x v="14"/>
    <n v="145.19999999999999"/>
    <x v="4"/>
  </r>
  <r>
    <x v="7"/>
    <s v="Laurent MONTAGNER"/>
    <x v="0"/>
    <x v="229"/>
    <x v="229"/>
    <n v="2"/>
    <s v="ADET"/>
    <n v="0"/>
    <n v="50"/>
    <n v="33"/>
    <n v="-15"/>
    <n v="0"/>
    <n v="0"/>
    <n v="72.599999999999994"/>
    <x v="14"/>
    <n v="145.19999999999999"/>
    <x v="4"/>
  </r>
  <r>
    <x v="14"/>
    <s v="Stefan Zaugg"/>
    <x v="0"/>
    <x v="194"/>
    <x v="194"/>
    <n v="5.0999999999999996"/>
    <s v="METRE"/>
    <n v="0"/>
    <n v="100"/>
    <n v="2.0000000000000568"/>
    <n v="-6.4000000000000057"/>
    <n v="0"/>
    <n v="0"/>
    <n v="111"/>
    <x v="15"/>
    <n v="566.09999999999991"/>
    <x v="7"/>
  </r>
  <r>
    <x v="17"/>
    <s v="Murat Taşdemir"/>
    <x v="0"/>
    <x v="221"/>
    <x v="221"/>
    <n v="2"/>
    <s v="ADET"/>
    <n v="0"/>
    <n v="228"/>
    <n v="4.2632564145606011E-14"/>
    <n v="-186"/>
    <n v="0"/>
    <n v="0"/>
    <n v="6"/>
    <x v="28"/>
    <n v="12"/>
    <x v="2"/>
  </r>
  <r>
    <x v="17"/>
    <s v="Murat Taşdemir"/>
    <x v="0"/>
    <x v="222"/>
    <x v="222"/>
    <n v="7"/>
    <s v="ADET"/>
    <n v="0"/>
    <n v="148"/>
    <n v="59"/>
    <n v="-33"/>
    <n v="0"/>
    <n v="0"/>
    <n v="24.17"/>
    <x v="21"/>
    <n v="169.19"/>
    <x v="2"/>
  </r>
  <r>
    <x v="17"/>
    <s v="Murat Taşdemir"/>
    <x v="0"/>
    <x v="228"/>
    <x v="228"/>
    <n v="0.25"/>
    <s v="METRE"/>
    <n v="0"/>
    <n v="52"/>
    <n v="38.620000000000005"/>
    <n v="-47.39"/>
    <n v="0"/>
    <n v="0"/>
    <n v="126.36"/>
    <x v="70"/>
    <n v="31.59"/>
    <x v="4"/>
  </r>
  <r>
    <x v="19"/>
    <s v="Volkan Batkan"/>
    <x v="0"/>
    <x v="224"/>
    <x v="224"/>
    <n v="5"/>
    <s v="ADET"/>
    <n v="0"/>
    <n v="0"/>
    <n v="75"/>
    <n v="102"/>
    <n v="0"/>
    <n v="10710"/>
    <n v="105"/>
    <x v="68"/>
    <n v="525"/>
    <x v="4"/>
  </r>
  <r>
    <x v="16"/>
    <s v="Stefan Zaugg"/>
    <x v="0"/>
    <x v="224"/>
    <x v="224"/>
    <n v="5"/>
    <s v="ADET"/>
    <n v="0"/>
    <n v="0"/>
    <n v="75"/>
    <n v="102"/>
    <n v="0"/>
    <n v="10710"/>
    <n v="105"/>
    <x v="68"/>
    <n v="525"/>
    <x v="4"/>
  </r>
  <r>
    <x v="14"/>
    <s v="Stefan Zaugg"/>
    <x v="0"/>
    <x v="224"/>
    <x v="224"/>
    <n v="5"/>
    <s v="ADET"/>
    <n v="0"/>
    <n v="0"/>
    <n v="75"/>
    <n v="102"/>
    <n v="0"/>
    <n v="10710"/>
    <n v="105"/>
    <x v="68"/>
    <n v="525"/>
    <x v="4"/>
  </r>
  <r>
    <x v="19"/>
    <s v="Volkan Batkan"/>
    <x v="0"/>
    <x v="229"/>
    <x v="229"/>
    <n v="2"/>
    <s v="ADET"/>
    <n v="0"/>
    <n v="50"/>
    <n v="33"/>
    <n v="-15"/>
    <n v="0"/>
    <n v="0"/>
    <n v="72.599999999999994"/>
    <x v="14"/>
    <n v="145.19999999999999"/>
    <x v="4"/>
  </r>
  <r>
    <x v="16"/>
    <s v="Stefan Zaugg"/>
    <x v="0"/>
    <x v="229"/>
    <x v="229"/>
    <n v="2"/>
    <s v="ADET"/>
    <n v="0"/>
    <n v="50"/>
    <n v="33"/>
    <n v="-15"/>
    <n v="0"/>
    <n v="0"/>
    <n v="72.599999999999994"/>
    <x v="14"/>
    <n v="145.19999999999999"/>
    <x v="4"/>
  </r>
  <r>
    <x v="14"/>
    <s v="Stefan Zaugg"/>
    <x v="0"/>
    <x v="229"/>
    <x v="229"/>
    <n v="2"/>
    <s v="ADET"/>
    <n v="0"/>
    <n v="50"/>
    <n v="33"/>
    <n v="-15"/>
    <n v="0"/>
    <n v="0"/>
    <n v="72.599999999999994"/>
    <x v="14"/>
    <n v="145.19999999999999"/>
    <x v="4"/>
  </r>
  <r>
    <x v="12"/>
    <s v="Matteo Giolo"/>
    <x v="0"/>
    <x v="209"/>
    <x v="209"/>
    <n v="1"/>
    <s v="ADET"/>
    <n v="0"/>
    <n v="6"/>
    <n v="7"/>
    <n v="2"/>
    <n v="0"/>
    <n v="4960.92"/>
    <n v="2480.46"/>
    <x v="13"/>
    <n v="2480.46"/>
    <x v="7"/>
  </r>
  <r>
    <x v="12"/>
    <s v="Matteo Giolo"/>
    <x v="0"/>
    <x v="217"/>
    <x v="217"/>
    <n v="4"/>
    <s v="ADET"/>
    <n v="0"/>
    <n v="39"/>
    <n v="32"/>
    <n v="-11"/>
    <n v="0"/>
    <n v="0"/>
    <n v="73.349999999999994"/>
    <x v="13"/>
    <n v="293.39999999999998"/>
    <x v="7"/>
  </r>
  <r>
    <x v="12"/>
    <s v="Matteo Giolo"/>
    <x v="0"/>
    <x v="219"/>
    <x v="219"/>
    <n v="0.5"/>
    <s v="ADET"/>
    <n v="0"/>
    <n v="100"/>
    <n v="41"/>
    <n v="-89.5"/>
    <n v="0"/>
    <n v="0"/>
    <n v="60"/>
    <x v="20"/>
    <n v="30"/>
    <x v="2"/>
  </r>
  <r>
    <x v="12"/>
    <s v="Matteo Giolo"/>
    <x v="0"/>
    <x v="221"/>
    <x v="221"/>
    <n v="2"/>
    <s v="ADET"/>
    <n v="0"/>
    <n v="228"/>
    <n v="4.2632564145606011E-14"/>
    <n v="-186"/>
    <n v="0"/>
    <n v="0"/>
    <n v="6"/>
    <x v="28"/>
    <n v="12"/>
    <x v="2"/>
  </r>
  <r>
    <x v="12"/>
    <s v="Matteo Giolo"/>
    <x v="0"/>
    <x v="222"/>
    <x v="222"/>
    <n v="5"/>
    <s v="ADET"/>
    <n v="0"/>
    <n v="148"/>
    <n v="59"/>
    <n v="-33"/>
    <n v="0"/>
    <n v="0"/>
    <n v="24.17"/>
    <x v="21"/>
    <n v="120.85000000000001"/>
    <x v="2"/>
  </r>
  <r>
    <x v="12"/>
    <s v="Matteo Giolo"/>
    <x v="0"/>
    <x v="228"/>
    <x v="228"/>
    <n v="0.25"/>
    <s v="METRE"/>
    <n v="0"/>
    <n v="52"/>
    <n v="38.620000000000005"/>
    <n v="-47.39"/>
    <n v="0"/>
    <n v="0"/>
    <n v="126.36"/>
    <x v="70"/>
    <n v="31.59"/>
    <x v="4"/>
  </r>
  <r>
    <x v="13"/>
    <s v="Matteo Giolo"/>
    <x v="0"/>
    <x v="153"/>
    <x v="153"/>
    <n v="6.35"/>
    <s v="ADET"/>
    <n v="0"/>
    <n v="84"/>
    <n v="195.90000000000009"/>
    <n v="-24.600000000000023"/>
    <n v="0"/>
    <n v="0"/>
    <n v="29"/>
    <x v="14"/>
    <n v="184.14999999999998"/>
    <x v="2"/>
  </r>
  <r>
    <x v="13"/>
    <s v="Matteo Giolo"/>
    <x v="0"/>
    <x v="225"/>
    <x v="225"/>
    <n v="2"/>
    <s v="ADET"/>
    <n v="0"/>
    <n v="18"/>
    <n v="9"/>
    <n v="-10"/>
    <n v="0"/>
    <n v="0"/>
    <n v="60"/>
    <x v="21"/>
    <n v="120"/>
    <x v="2"/>
  </r>
  <r>
    <x v="3"/>
    <s v="Stina Alm"/>
    <x v="0"/>
    <x v="225"/>
    <x v="225"/>
    <n v="2"/>
    <s v="ADET"/>
    <n v="0"/>
    <n v="18"/>
    <n v="9"/>
    <n v="-10"/>
    <n v="0"/>
    <n v="0"/>
    <n v="60"/>
    <x v="21"/>
    <n v="120"/>
    <x v="2"/>
  </r>
  <r>
    <x v="7"/>
    <s v="Laurent MONTAGNER"/>
    <x v="0"/>
    <x v="207"/>
    <x v="207"/>
    <n v="2"/>
    <s v="ADET"/>
    <n v="0"/>
    <n v="26"/>
    <n v="46"/>
    <n v="-10"/>
    <n v="0"/>
    <n v="0"/>
    <n v="12"/>
    <x v="2"/>
    <n v="24"/>
    <x v="2"/>
  </r>
  <r>
    <x v="3"/>
    <s v="Stina Alm"/>
    <x v="0"/>
    <x v="207"/>
    <x v="207"/>
    <n v="2"/>
    <s v="ADET"/>
    <n v="0"/>
    <n v="26"/>
    <n v="46"/>
    <n v="-10"/>
    <n v="0"/>
    <n v="0"/>
    <n v="12"/>
    <x v="2"/>
    <n v="24"/>
    <x v="2"/>
  </r>
  <r>
    <x v="16"/>
    <s v="Stefan Zaugg"/>
    <x v="0"/>
    <x v="207"/>
    <x v="207"/>
    <n v="1"/>
    <s v="ADET"/>
    <n v="0"/>
    <n v="26"/>
    <n v="46"/>
    <n v="-10"/>
    <n v="0"/>
    <n v="0"/>
    <n v="12"/>
    <x v="2"/>
    <n v="12"/>
    <x v="2"/>
  </r>
  <r>
    <x v="13"/>
    <s v="Matteo Giolo"/>
    <x v="0"/>
    <x v="207"/>
    <x v="207"/>
    <n v="2"/>
    <s v="ADET"/>
    <n v="0"/>
    <n v="26"/>
    <n v="46"/>
    <n v="-10"/>
    <n v="0"/>
    <n v="0"/>
    <n v="12"/>
    <x v="2"/>
    <n v="24"/>
    <x v="2"/>
  </r>
  <r>
    <x v="15"/>
    <s v="Jan Urbanek"/>
    <x v="0"/>
    <x v="274"/>
    <x v="274"/>
    <n v="1"/>
    <s v="ADET"/>
    <n v="0"/>
    <n v="2"/>
    <n v="1"/>
    <n v="1"/>
    <n v="0"/>
    <n v="11815.53"/>
    <n v="11815.53"/>
    <x v="13"/>
    <n v="11815.53"/>
    <x v="7"/>
  </r>
  <r>
    <x v="13"/>
    <s v="Matteo Giolo"/>
    <x v="0"/>
    <x v="275"/>
    <x v="275"/>
    <n v="5.85"/>
    <s v="ADET"/>
    <n v="0"/>
    <n v="85"/>
    <n v="3.6500000000000128"/>
    <n v="12.550000000000011"/>
    <n v="0"/>
    <n v="4368.7805000000044"/>
    <n v="348.11"/>
    <x v="29"/>
    <n v="2036.4434999999999"/>
    <x v="3"/>
  </r>
  <r>
    <x v="16"/>
    <s v="Stefan Zaugg"/>
    <x v="0"/>
    <x v="275"/>
    <x v="275"/>
    <n v="6.55"/>
    <s v="ADET"/>
    <n v="0"/>
    <n v="85"/>
    <n v="3.6500000000000128"/>
    <n v="12.550000000000011"/>
    <n v="0"/>
    <n v="4368.7805000000044"/>
    <n v="348.11"/>
    <x v="29"/>
    <n v="2280.1205"/>
    <x v="3"/>
  </r>
  <r>
    <x v="5"/>
    <s v="Matteo Giolo"/>
    <x v="0"/>
    <x v="153"/>
    <x v="153"/>
    <n v="4.3499999999999996"/>
    <s v="ADET"/>
    <n v="0"/>
    <n v="84"/>
    <n v="195.90000000000009"/>
    <n v="-24.600000000000023"/>
    <n v="0"/>
    <n v="0"/>
    <n v="29"/>
    <x v="14"/>
    <n v="126.14999999999999"/>
    <x v="2"/>
  </r>
  <r>
    <x v="5"/>
    <s v="Matteo Giolo"/>
    <x v="0"/>
    <x v="207"/>
    <x v="207"/>
    <n v="2"/>
    <s v="ADET"/>
    <n v="0"/>
    <n v="26"/>
    <n v="46"/>
    <n v="-10"/>
    <n v="0"/>
    <n v="0"/>
    <n v="12"/>
    <x v="2"/>
    <n v="24"/>
    <x v="2"/>
  </r>
  <r>
    <x v="4"/>
    <s v="Stefan Zaugg"/>
    <x v="0"/>
    <x v="207"/>
    <x v="207"/>
    <n v="1"/>
    <s v="ADET"/>
    <n v="0"/>
    <n v="26"/>
    <n v="46"/>
    <n v="-10"/>
    <n v="0"/>
    <n v="0"/>
    <n v="12"/>
    <x v="2"/>
    <n v="12"/>
    <x v="2"/>
  </r>
  <r>
    <x v="17"/>
    <s v="Murat Taşdemir"/>
    <x v="0"/>
    <x v="207"/>
    <x v="207"/>
    <n v="2"/>
    <s v="ADET"/>
    <n v="0"/>
    <n v="26"/>
    <n v="46"/>
    <n v="-10"/>
    <n v="0"/>
    <n v="0"/>
    <n v="12"/>
    <x v="2"/>
    <n v="24"/>
    <x v="2"/>
  </r>
  <r>
    <x v="19"/>
    <s v="Volkan Batkan"/>
    <x v="0"/>
    <x v="270"/>
    <x v="270"/>
    <n v="0.1"/>
    <s v="ADET"/>
    <n v="0.1"/>
    <n v="33"/>
    <n v="6.0999999999999988"/>
    <n v="-32.299999999999997"/>
    <n v="0"/>
    <n v="0"/>
    <n v="25"/>
    <x v="14"/>
    <n v="2.5"/>
    <x v="2"/>
  </r>
  <r>
    <x v="15"/>
    <s v="Jan Urbanek"/>
    <x v="0"/>
    <x v="270"/>
    <x v="270"/>
    <n v="0.1"/>
    <s v="ADET"/>
    <n v="0"/>
    <n v="33"/>
    <n v="6.0999999999999988"/>
    <n v="-32.299999999999997"/>
    <n v="0"/>
    <n v="0"/>
    <n v="25"/>
    <x v="14"/>
    <n v="2.5"/>
    <x v="2"/>
  </r>
  <r>
    <x v="12"/>
    <s v="Matteo Giolo"/>
    <x v="0"/>
    <x v="7"/>
    <x v="7"/>
    <n v="1"/>
    <s v="ADET"/>
    <n v="0"/>
    <n v="0"/>
    <n v="5"/>
    <n v="0"/>
    <n v="7"/>
    <n v="0"/>
    <n v="1491.67"/>
    <x v="7"/>
    <n v="1491.67"/>
    <x v="6"/>
  </r>
  <r>
    <x v="12"/>
    <s v="Matteo Giolo"/>
    <x v="0"/>
    <x v="3"/>
    <x v="3"/>
    <n v="34.869999999999997"/>
    <s v="KG"/>
    <n v="0"/>
    <n v="0"/>
    <n v="437.82000000000016"/>
    <n v="348.62999999999988"/>
    <n v="0"/>
    <n v="33597.473099999988"/>
    <n v="96.37"/>
    <x v="3"/>
    <n v="3360.4218999999998"/>
    <x v="3"/>
  </r>
  <r>
    <x v="5"/>
    <s v="Matteo Giolo"/>
    <x v="0"/>
    <x v="116"/>
    <x v="116"/>
    <n v="3.2199999999999998"/>
    <s v="KG"/>
    <n v="0"/>
    <n v="66"/>
    <n v="36.349999999999987"/>
    <n v="-17.090000000000018"/>
    <n v="0"/>
    <n v="0"/>
    <n v="129.63"/>
    <x v="14"/>
    <n v="417.40859999999998"/>
    <x v="3"/>
  </r>
  <r>
    <x v="4"/>
    <s v="Stefan Zaugg"/>
    <x v="0"/>
    <x v="116"/>
    <x v="116"/>
    <n v="2.1"/>
    <s v="KG"/>
    <n v="2.1"/>
    <n v="66"/>
    <n v="36.349999999999987"/>
    <n v="-17.090000000000018"/>
    <n v="0"/>
    <n v="0"/>
    <n v="129.63"/>
    <x v="14"/>
    <n v="272.22300000000001"/>
    <x v="3"/>
  </r>
  <r>
    <x v="4"/>
    <s v="Stefan Zaugg"/>
    <x v="0"/>
    <x v="244"/>
    <x v="244"/>
    <n v="2"/>
    <s v="ADET"/>
    <n v="0"/>
    <n v="250"/>
    <n v="3"/>
    <n v="-166"/>
    <n v="0"/>
    <n v="0"/>
    <n v="2"/>
    <x v="5"/>
    <n v="4"/>
    <x v="2"/>
  </r>
  <r>
    <x v="4"/>
    <s v="Stefan Zaugg"/>
    <x v="0"/>
    <x v="245"/>
    <x v="245"/>
    <n v="4"/>
    <s v="ADET"/>
    <n v="0"/>
    <n v="250"/>
    <n v="835"/>
    <n v="-134"/>
    <n v="0"/>
    <n v="0"/>
    <n v="1.58"/>
    <x v="8"/>
    <n v="6.32"/>
    <x v="2"/>
  </r>
  <r>
    <x v="5"/>
    <s v="Matteo Giolo"/>
    <x v="0"/>
    <x v="245"/>
    <x v="245"/>
    <n v="8"/>
    <s v="ADET"/>
    <n v="0"/>
    <n v="250"/>
    <n v="835"/>
    <n v="-134"/>
    <n v="0"/>
    <n v="0"/>
    <n v="1.58"/>
    <x v="8"/>
    <n v="12.64"/>
    <x v="2"/>
  </r>
  <r>
    <x v="17"/>
    <s v="Murat Taşdemir"/>
    <x v="0"/>
    <x v="244"/>
    <x v="244"/>
    <n v="8"/>
    <s v="ADET"/>
    <n v="0"/>
    <n v="250"/>
    <n v="3"/>
    <n v="-166"/>
    <n v="0"/>
    <n v="0"/>
    <n v="2"/>
    <x v="5"/>
    <n v="16"/>
    <x v="2"/>
  </r>
  <r>
    <x v="16"/>
    <s v="Stefan Zaugg"/>
    <x v="0"/>
    <x v="245"/>
    <x v="245"/>
    <n v="4"/>
    <s v="ADET"/>
    <n v="0"/>
    <n v="250"/>
    <n v="835"/>
    <n v="-134"/>
    <n v="0"/>
    <n v="0"/>
    <n v="1.58"/>
    <x v="8"/>
    <n v="6.32"/>
    <x v="2"/>
  </r>
  <r>
    <x v="14"/>
    <s v="Stefan Zaugg"/>
    <x v="0"/>
    <x v="245"/>
    <x v="245"/>
    <n v="4"/>
    <s v="ADET"/>
    <n v="0"/>
    <n v="250"/>
    <n v="835"/>
    <n v="-134"/>
    <n v="0"/>
    <n v="0"/>
    <n v="1.58"/>
    <x v="8"/>
    <n v="6.32"/>
    <x v="2"/>
  </r>
  <r>
    <x v="12"/>
    <s v="Matteo Giolo"/>
    <x v="0"/>
    <x v="248"/>
    <x v="248"/>
    <n v="14"/>
    <s v="ADET"/>
    <n v="0"/>
    <n v="2698"/>
    <n v="0"/>
    <n v="-2312"/>
    <n v="0"/>
    <n v="0"/>
    <n v="1.55"/>
    <x v="20"/>
    <n v="21.7"/>
    <x v="7"/>
  </r>
  <r>
    <x v="17"/>
    <s v="Murat Taşdemir"/>
    <x v="0"/>
    <x v="246"/>
    <x v="246"/>
    <n v="2.46"/>
    <s v="ADET"/>
    <n v="0"/>
    <n v="75"/>
    <n v="42.70000000000006"/>
    <n v="-48.040000000000006"/>
    <n v="0"/>
    <n v="0"/>
    <n v="15"/>
    <x v="14"/>
    <n v="36.9"/>
    <x v="2"/>
  </r>
  <r>
    <x v="17"/>
    <s v="Murat Taşdemir"/>
    <x v="0"/>
    <x v="194"/>
    <x v="194"/>
    <n v="8"/>
    <s v="METRE"/>
    <n v="0"/>
    <n v="100"/>
    <n v="2.0000000000000568"/>
    <n v="-6.4000000000000057"/>
    <n v="0"/>
    <n v="0"/>
    <n v="111"/>
    <x v="15"/>
    <n v="888"/>
    <x v="7"/>
  </r>
  <r>
    <x v="19"/>
    <s v="Volkan Batkan"/>
    <x v="0"/>
    <x v="219"/>
    <x v="219"/>
    <n v="0.5"/>
    <s v="ADET"/>
    <n v="0"/>
    <n v="100"/>
    <n v="41"/>
    <n v="-89.5"/>
    <n v="0"/>
    <n v="0"/>
    <n v="60"/>
    <x v="20"/>
    <n v="30"/>
    <x v="2"/>
  </r>
  <r>
    <x v="19"/>
    <s v="Volkan Batkan"/>
    <x v="0"/>
    <x v="220"/>
    <x v="220"/>
    <n v="1.5500000000000003"/>
    <s v="ADET"/>
    <n v="1.5500000000000003"/>
    <n v="10"/>
    <n v="126.66400000000034"/>
    <n v="-1.1600000000000001"/>
    <n v="0"/>
    <n v="0"/>
    <n v="185"/>
    <x v="14"/>
    <n v="286.75000000000006"/>
    <x v="2"/>
  </r>
  <r>
    <x v="19"/>
    <s v="Volkan Batkan"/>
    <x v="0"/>
    <x v="221"/>
    <x v="221"/>
    <n v="2"/>
    <s v="ADET"/>
    <n v="0"/>
    <n v="228"/>
    <n v="4.2632564145606011E-14"/>
    <n v="-186"/>
    <n v="0"/>
    <n v="0"/>
    <n v="6"/>
    <x v="28"/>
    <n v="12"/>
    <x v="2"/>
  </r>
  <r>
    <x v="19"/>
    <s v="Volkan Batkan"/>
    <x v="0"/>
    <x v="222"/>
    <x v="222"/>
    <n v="5"/>
    <s v="ADET"/>
    <n v="0"/>
    <n v="148"/>
    <n v="59"/>
    <n v="-33"/>
    <n v="0"/>
    <n v="0"/>
    <n v="24.17"/>
    <x v="21"/>
    <n v="120.85000000000001"/>
    <x v="2"/>
  </r>
  <r>
    <x v="19"/>
    <s v="Volkan Batkan"/>
    <x v="0"/>
    <x v="228"/>
    <x v="228"/>
    <n v="0.25"/>
    <s v="METRE"/>
    <n v="0"/>
    <n v="52"/>
    <n v="38.620000000000005"/>
    <n v="-47.39"/>
    <n v="0"/>
    <n v="0"/>
    <n v="126.36"/>
    <x v="70"/>
    <n v="31.59"/>
    <x v="4"/>
  </r>
  <r>
    <x v="3"/>
    <s v="Stina Alm"/>
    <x v="0"/>
    <x v="221"/>
    <x v="221"/>
    <n v="2"/>
    <s v="ADET"/>
    <n v="0"/>
    <n v="228"/>
    <n v="4.2632564145606011E-14"/>
    <n v="-186"/>
    <n v="0"/>
    <n v="0"/>
    <n v="6"/>
    <x v="28"/>
    <n v="12"/>
    <x v="2"/>
  </r>
  <r>
    <x v="3"/>
    <s v="Stina Alm"/>
    <x v="0"/>
    <x v="228"/>
    <x v="228"/>
    <n v="0.23"/>
    <s v="METRE"/>
    <n v="0"/>
    <n v="52"/>
    <n v="38.620000000000005"/>
    <n v="-47.39"/>
    <n v="0"/>
    <n v="0"/>
    <n v="126.36"/>
    <x v="70"/>
    <n v="29.062800000000003"/>
    <x v="4"/>
  </r>
  <r>
    <x v="12"/>
    <s v="Matteo Giolo"/>
    <x v="0"/>
    <x v="224"/>
    <x v="224"/>
    <n v="5"/>
    <s v="ADET"/>
    <n v="0"/>
    <n v="0"/>
    <n v="75"/>
    <n v="102"/>
    <n v="0"/>
    <n v="10710"/>
    <n v="105"/>
    <x v="68"/>
    <n v="525"/>
    <x v="4"/>
  </r>
  <r>
    <x v="0"/>
    <s v="Soner Kayıkçı"/>
    <x v="0"/>
    <x v="132"/>
    <x v="132"/>
    <n v="1"/>
    <s v="ADET"/>
    <n v="0"/>
    <n v="0"/>
    <n v="7"/>
    <n v="19"/>
    <n v="0"/>
    <n v="760"/>
    <n v="40"/>
    <x v="49"/>
    <n v="40"/>
    <x v="7"/>
  </r>
  <r>
    <x v="5"/>
    <s v="Matteo Giolo"/>
    <x v="0"/>
    <x v="132"/>
    <x v="132"/>
    <n v="1"/>
    <s v="ADET"/>
    <n v="0"/>
    <n v="0"/>
    <n v="7"/>
    <n v="19"/>
    <n v="0"/>
    <n v="760"/>
    <n v="40"/>
    <x v="49"/>
    <n v="40"/>
    <x v="7"/>
  </r>
  <r>
    <x v="6"/>
    <s v="Laurent MONTAGNER"/>
    <x v="0"/>
    <x v="216"/>
    <x v="216"/>
    <n v="0.16"/>
    <s v="ADET"/>
    <n v="0"/>
    <n v="80"/>
    <n v="56.839999999999961"/>
    <n v="-79.680000000000007"/>
    <n v="0"/>
    <n v="0"/>
    <n v="9.5"/>
    <x v="20"/>
    <n v="1.52"/>
    <x v="2"/>
  </r>
  <r>
    <x v="12"/>
    <s v="Matteo Giolo"/>
    <x v="0"/>
    <x v="132"/>
    <x v="132"/>
    <n v="1"/>
    <s v="ADET"/>
    <n v="0"/>
    <n v="0"/>
    <n v="7"/>
    <n v="19"/>
    <n v="0"/>
    <n v="760"/>
    <n v="40"/>
    <x v="49"/>
    <n v="40"/>
    <x v="7"/>
  </r>
  <r>
    <x v="0"/>
    <s v="Soner Kayıkçı"/>
    <x v="0"/>
    <x v="276"/>
    <x v="276"/>
    <n v="3"/>
    <s v="ADET"/>
    <n v="0"/>
    <n v="81"/>
    <n v="5"/>
    <n v="-23"/>
    <n v="0"/>
    <n v="0"/>
    <n v="188"/>
    <x v="14"/>
    <n v="564"/>
    <x v="4"/>
  </r>
  <r>
    <x v="3"/>
    <s v="Stina Alm"/>
    <x v="0"/>
    <x v="132"/>
    <x v="132"/>
    <n v="1"/>
    <s v="ADET"/>
    <n v="0"/>
    <n v="0"/>
    <n v="7"/>
    <n v="19"/>
    <n v="0"/>
    <n v="760"/>
    <n v="40"/>
    <x v="49"/>
    <n v="40"/>
    <x v="7"/>
  </r>
  <r>
    <x v="0"/>
    <s v="Soner Kayıkçı"/>
    <x v="0"/>
    <x v="277"/>
    <x v="277"/>
    <n v="4"/>
    <s v="ADET"/>
    <n v="0"/>
    <n v="85"/>
    <n v="31"/>
    <n v="-17"/>
    <n v="0"/>
    <n v="0"/>
    <n v="120"/>
    <x v="77"/>
    <n v="480"/>
    <x v="4"/>
  </r>
  <r>
    <x v="2"/>
    <s v="Laurent MONTAGNER"/>
    <x v="0"/>
    <x v="277"/>
    <x v="277"/>
    <n v="3"/>
    <s v="ADET"/>
    <n v="0"/>
    <n v="85"/>
    <n v="31"/>
    <n v="-17"/>
    <n v="0"/>
    <n v="0"/>
    <n v="120"/>
    <x v="77"/>
    <n v="360"/>
    <x v="4"/>
  </r>
  <r>
    <x v="0"/>
    <s v="Soner Kayıkçı"/>
    <x v="0"/>
    <x v="278"/>
    <x v="278"/>
    <n v="1"/>
    <s v="ADET"/>
    <n v="0"/>
    <n v="24"/>
    <n v="4"/>
    <n v="-17"/>
    <n v="0"/>
    <n v="0"/>
    <n v="625"/>
    <x v="2"/>
    <n v="625"/>
    <x v="2"/>
  </r>
  <r>
    <x v="0"/>
    <s v="Soner Kayıkçı"/>
    <x v="0"/>
    <x v="279"/>
    <x v="279"/>
    <n v="1"/>
    <s v="ADET"/>
    <n v="0"/>
    <n v="3"/>
    <n v="7"/>
    <n v="5"/>
    <n v="0"/>
    <n v="54497.75"/>
    <n v="10899.55"/>
    <x v="24"/>
    <n v="10899.55"/>
    <x v="4"/>
  </r>
  <r>
    <x v="1"/>
    <s v="Stina Alm"/>
    <x v="0"/>
    <x v="277"/>
    <x v="277"/>
    <n v="3"/>
    <s v="ADET"/>
    <n v="0"/>
    <n v="85"/>
    <n v="31"/>
    <n v="-17"/>
    <n v="0"/>
    <n v="0"/>
    <n v="120"/>
    <x v="77"/>
    <n v="360"/>
    <x v="4"/>
  </r>
  <r>
    <x v="6"/>
    <s v="Laurent MONTAGNER"/>
    <x v="0"/>
    <x v="277"/>
    <x v="277"/>
    <n v="3"/>
    <s v="ADET"/>
    <n v="0"/>
    <n v="85"/>
    <n v="31"/>
    <n v="-17"/>
    <n v="0"/>
    <n v="0"/>
    <n v="120"/>
    <x v="77"/>
    <n v="360"/>
    <x v="4"/>
  </r>
  <r>
    <x v="1"/>
    <s v="Stina Alm"/>
    <x v="0"/>
    <x v="276"/>
    <x v="276"/>
    <n v="3"/>
    <s v="ADET"/>
    <n v="0"/>
    <n v="81"/>
    <n v="5"/>
    <n v="-23"/>
    <n v="0"/>
    <n v="0"/>
    <n v="188"/>
    <x v="14"/>
    <n v="564"/>
    <x v="4"/>
  </r>
  <r>
    <x v="6"/>
    <s v="Laurent MONTAGNER"/>
    <x v="0"/>
    <x v="276"/>
    <x v="276"/>
    <n v="3"/>
    <s v="ADET"/>
    <n v="0"/>
    <n v="81"/>
    <n v="5"/>
    <n v="-23"/>
    <n v="0"/>
    <n v="0"/>
    <n v="188"/>
    <x v="14"/>
    <n v="564"/>
    <x v="4"/>
  </r>
  <r>
    <x v="4"/>
    <s v="Stefan Zaugg"/>
    <x v="0"/>
    <x v="277"/>
    <x v="277"/>
    <n v="4"/>
    <s v="ADET"/>
    <n v="0"/>
    <n v="85"/>
    <n v="31"/>
    <n v="-17"/>
    <n v="0"/>
    <n v="0"/>
    <n v="120"/>
    <x v="77"/>
    <n v="480"/>
    <x v="4"/>
  </r>
  <r>
    <x v="5"/>
    <s v="Matteo Giolo"/>
    <x v="0"/>
    <x v="277"/>
    <x v="277"/>
    <n v="3"/>
    <s v="ADET"/>
    <n v="0"/>
    <n v="85"/>
    <n v="31"/>
    <n v="-17"/>
    <n v="0"/>
    <n v="0"/>
    <n v="120"/>
    <x v="77"/>
    <n v="360"/>
    <x v="4"/>
  </r>
  <r>
    <x v="5"/>
    <s v="Matteo Giolo"/>
    <x v="0"/>
    <x v="276"/>
    <x v="276"/>
    <n v="3"/>
    <s v="ADET"/>
    <n v="0"/>
    <n v="81"/>
    <n v="5"/>
    <n v="-23"/>
    <n v="0"/>
    <n v="0"/>
    <n v="188"/>
    <x v="14"/>
    <n v="564"/>
    <x v="4"/>
  </r>
  <r>
    <x v="12"/>
    <s v="Matteo Giolo"/>
    <x v="0"/>
    <x v="279"/>
    <x v="279"/>
    <n v="1"/>
    <s v="ADET"/>
    <n v="0"/>
    <n v="3"/>
    <n v="7"/>
    <n v="5"/>
    <n v="0"/>
    <n v="54497.75"/>
    <n v="10899.55"/>
    <x v="24"/>
    <n v="10899.55"/>
    <x v="4"/>
  </r>
  <r>
    <x v="4"/>
    <s v="Stefan Zaugg"/>
    <x v="0"/>
    <x v="276"/>
    <x v="276"/>
    <n v="3"/>
    <s v="ADET"/>
    <n v="0"/>
    <n v="81"/>
    <n v="5"/>
    <n v="-23"/>
    <n v="0"/>
    <n v="0"/>
    <n v="188"/>
    <x v="14"/>
    <n v="564"/>
    <x v="4"/>
  </r>
  <r>
    <x v="3"/>
    <s v="Stina Alm"/>
    <x v="0"/>
    <x v="262"/>
    <x v="262"/>
    <n v="1"/>
    <s v="ADET"/>
    <n v="0"/>
    <n v="10"/>
    <n v="4"/>
    <n v="-6"/>
    <n v="0"/>
    <n v="0"/>
    <n v="252"/>
    <x v="75"/>
    <n v="252"/>
    <x v="2"/>
  </r>
  <r>
    <x v="5"/>
    <s v="Matteo Giolo"/>
    <x v="0"/>
    <x v="255"/>
    <x v="255"/>
    <n v="1"/>
    <s v="ADET"/>
    <n v="0"/>
    <n v="6"/>
    <n v="5"/>
    <n v="5"/>
    <n v="0"/>
    <n v="11000"/>
    <n v="2200"/>
    <x v="36"/>
    <n v="2200"/>
    <x v="4"/>
  </r>
  <r>
    <x v="19"/>
    <s v="Volkan Batkan"/>
    <x v="0"/>
    <x v="236"/>
    <x v="236"/>
    <n v="0.10100000000000001"/>
    <s v="METRE"/>
    <n v="0"/>
    <n v="50"/>
    <n v="-1.4210854715202004E-14"/>
    <n v="-47.386000000000003"/>
    <n v="0"/>
    <n v="0"/>
    <n v="10.61"/>
    <x v="73"/>
    <n v="1.07161"/>
    <x v="7"/>
  </r>
  <r>
    <x v="16"/>
    <s v="Stefan Zaugg"/>
    <x v="0"/>
    <x v="236"/>
    <x v="236"/>
    <n v="0.10200000000000001"/>
    <s v="METRE"/>
    <n v="0"/>
    <n v="50"/>
    <n v="-1.4210854715202004E-14"/>
    <n v="-47.386000000000003"/>
    <n v="0"/>
    <n v="0"/>
    <n v="10.61"/>
    <x v="73"/>
    <n v="1.08222"/>
    <x v="7"/>
  </r>
  <r>
    <x v="14"/>
    <s v="Stefan Zaugg"/>
    <x v="0"/>
    <x v="236"/>
    <x v="236"/>
    <n v="0.10200000000000001"/>
    <s v="METRE"/>
    <n v="0"/>
    <n v="50"/>
    <n v="-1.4210854715202004E-14"/>
    <n v="-47.386000000000003"/>
    <n v="0"/>
    <n v="0"/>
    <n v="10.61"/>
    <x v="73"/>
    <n v="1.08222"/>
    <x v="7"/>
  </r>
  <r>
    <x v="19"/>
    <s v="Volkan Batkan"/>
    <x v="0"/>
    <x v="255"/>
    <x v="255"/>
    <n v="1"/>
    <s v="ADET"/>
    <n v="1"/>
    <n v="6"/>
    <n v="5"/>
    <n v="5"/>
    <n v="0"/>
    <n v="11000"/>
    <n v="2200"/>
    <x v="36"/>
    <n v="2200"/>
    <x v="4"/>
  </r>
  <r>
    <x v="5"/>
    <s v="Matteo Giolo"/>
    <x v="0"/>
    <x v="235"/>
    <x v="235"/>
    <n v="2"/>
    <s v="ADET"/>
    <n v="0"/>
    <n v="23"/>
    <n v="22"/>
    <n v="1"/>
    <n v="0"/>
    <n v="73.349999999999994"/>
    <n v="73.349999999999994"/>
    <x v="13"/>
    <n v="146.69999999999999"/>
    <x v="7"/>
  </r>
  <r>
    <x v="4"/>
    <s v="Stefan Zaugg"/>
    <x v="0"/>
    <x v="236"/>
    <x v="236"/>
    <n v="0.10200000000000001"/>
    <s v="METRE"/>
    <n v="0"/>
    <n v="50"/>
    <n v="-1.4210854715202004E-14"/>
    <n v="-47.386000000000003"/>
    <n v="0"/>
    <n v="0"/>
    <n v="10.61"/>
    <x v="73"/>
    <n v="1.08222"/>
    <x v="7"/>
  </r>
  <r>
    <x v="6"/>
    <s v="Laurent MONTAGNER"/>
    <x v="0"/>
    <x v="256"/>
    <x v="256"/>
    <n v="6"/>
    <s v="ADET"/>
    <n v="0"/>
    <n v="118"/>
    <n v="18"/>
    <n v="-11"/>
    <n v="0"/>
    <n v="0"/>
    <n v="14.5"/>
    <x v="14"/>
    <n v="87"/>
    <x v="2"/>
  </r>
  <r>
    <x v="6"/>
    <s v="Laurent MONTAGNER"/>
    <x v="0"/>
    <x v="257"/>
    <x v="257"/>
    <n v="3.2199999999999998"/>
    <s v="ADET"/>
    <n v="0"/>
    <n v="101"/>
    <n v="10.000000000000057"/>
    <n v="-42.539999999999992"/>
    <n v="0"/>
    <n v="0"/>
    <n v="36"/>
    <x v="14"/>
    <n v="115.91999999999999"/>
    <x v="2"/>
  </r>
  <r>
    <x v="6"/>
    <s v="Laurent MONTAGNER"/>
    <x v="0"/>
    <x v="280"/>
    <x v="280"/>
    <n v="1"/>
    <s v="METRE"/>
    <n v="0"/>
    <n v="20"/>
    <n v="0"/>
    <n v="-10.4"/>
    <n v="0"/>
    <n v="0"/>
    <n v="38.33"/>
    <x v="61"/>
    <n v="38.33"/>
    <x v="2"/>
  </r>
  <r>
    <x v="2"/>
    <s v="Laurent MONTAGNER"/>
    <x v="0"/>
    <x v="280"/>
    <x v="280"/>
    <n v="1"/>
    <s v="METRE"/>
    <n v="0"/>
    <n v="20"/>
    <n v="0"/>
    <n v="-10.4"/>
    <n v="0"/>
    <n v="0"/>
    <n v="38.33"/>
    <x v="61"/>
    <n v="38.33"/>
    <x v="2"/>
  </r>
  <r>
    <x v="6"/>
    <s v="Laurent MONTAGNER"/>
    <x v="0"/>
    <x v="281"/>
    <x v="281"/>
    <n v="7"/>
    <s v="ADET"/>
    <n v="0"/>
    <n v="150"/>
    <n v="78"/>
    <n v="-48"/>
    <n v="0"/>
    <n v="0"/>
    <n v="20.83"/>
    <x v="2"/>
    <n v="145.81"/>
    <x v="2"/>
  </r>
  <r>
    <x v="2"/>
    <s v="Laurent MONTAGNER"/>
    <x v="0"/>
    <x v="281"/>
    <x v="281"/>
    <n v="3"/>
    <s v="ADET"/>
    <n v="0"/>
    <n v="150"/>
    <n v="78"/>
    <n v="-48"/>
    <n v="0"/>
    <n v="0"/>
    <n v="20.83"/>
    <x v="2"/>
    <n v="62.489999999999995"/>
    <x v="2"/>
  </r>
  <r>
    <x v="0"/>
    <s v="Soner Kayıkçı"/>
    <x v="0"/>
    <x v="281"/>
    <x v="281"/>
    <n v="6"/>
    <s v="ADET"/>
    <n v="0"/>
    <n v="150"/>
    <n v="78"/>
    <n v="-48"/>
    <n v="0"/>
    <n v="0"/>
    <n v="20.83"/>
    <x v="2"/>
    <n v="124.97999999999999"/>
    <x v="2"/>
  </r>
  <r>
    <x v="12"/>
    <s v="Matteo Giolo"/>
    <x v="0"/>
    <x v="282"/>
    <x v="282"/>
    <n v="7"/>
    <s v="ADET"/>
    <n v="0"/>
    <n v="300"/>
    <n v="325"/>
    <n v="-192"/>
    <n v="0"/>
    <n v="0"/>
    <n v="12"/>
    <x v="2"/>
    <n v="84"/>
    <x v="2"/>
  </r>
  <r>
    <x v="0"/>
    <s v="Soner Kayıkçı"/>
    <x v="0"/>
    <x v="282"/>
    <x v="282"/>
    <n v="7"/>
    <s v="ADET"/>
    <n v="0"/>
    <n v="300"/>
    <n v="325"/>
    <n v="-192"/>
    <n v="0"/>
    <n v="0"/>
    <n v="12"/>
    <x v="2"/>
    <n v="84"/>
    <x v="2"/>
  </r>
  <r>
    <x v="2"/>
    <s v="Laurent MONTAGNER"/>
    <x v="0"/>
    <x v="282"/>
    <x v="282"/>
    <n v="15"/>
    <s v="ADET"/>
    <n v="0"/>
    <n v="300"/>
    <n v="325"/>
    <n v="-192"/>
    <n v="0"/>
    <n v="0"/>
    <n v="12"/>
    <x v="2"/>
    <n v="180"/>
    <x v="2"/>
  </r>
  <r>
    <x v="12"/>
    <s v="Matteo Giolo"/>
    <x v="0"/>
    <x v="258"/>
    <x v="258"/>
    <n v="3"/>
    <s v="ADET"/>
    <n v="0"/>
    <n v="200"/>
    <n v="70"/>
    <n v="-165"/>
    <n v="0"/>
    <n v="0"/>
    <n v="10"/>
    <x v="2"/>
    <n v="30"/>
    <x v="2"/>
  </r>
  <r>
    <x v="3"/>
    <s v="Stina Alm"/>
    <x v="0"/>
    <x v="282"/>
    <x v="282"/>
    <n v="7"/>
    <s v="ADET"/>
    <n v="0"/>
    <n v="300"/>
    <n v="325"/>
    <n v="-192"/>
    <n v="0"/>
    <n v="0"/>
    <n v="12"/>
    <x v="2"/>
    <n v="84"/>
    <x v="2"/>
  </r>
  <r>
    <x v="4"/>
    <s v="Stefan Zaugg"/>
    <x v="0"/>
    <x v="280"/>
    <x v="280"/>
    <n v="0.8"/>
    <s v="METRE"/>
    <n v="0"/>
    <n v="20"/>
    <n v="0"/>
    <n v="-10.4"/>
    <n v="0"/>
    <n v="0"/>
    <n v="38.33"/>
    <x v="61"/>
    <n v="30.664000000000001"/>
    <x v="2"/>
  </r>
  <r>
    <x v="3"/>
    <s v="Stina Alm"/>
    <x v="0"/>
    <x v="280"/>
    <x v="280"/>
    <n v="1"/>
    <s v="METRE"/>
    <n v="0"/>
    <n v="20"/>
    <n v="0"/>
    <n v="-10.4"/>
    <n v="0"/>
    <n v="0"/>
    <n v="38.33"/>
    <x v="61"/>
    <n v="38.33"/>
    <x v="2"/>
  </r>
  <r>
    <x v="7"/>
    <s v="Laurent MONTAGNER"/>
    <x v="0"/>
    <x v="280"/>
    <x v="280"/>
    <n v="1"/>
    <s v="METRE"/>
    <n v="0"/>
    <n v="20"/>
    <n v="0"/>
    <n v="-10.4"/>
    <n v="0"/>
    <n v="0"/>
    <n v="38.33"/>
    <x v="61"/>
    <n v="38.33"/>
    <x v="2"/>
  </r>
  <r>
    <x v="3"/>
    <s v="Stina Alm"/>
    <x v="0"/>
    <x v="281"/>
    <x v="281"/>
    <n v="7"/>
    <s v="ADET"/>
    <n v="0"/>
    <n v="150"/>
    <n v="78"/>
    <n v="-48"/>
    <n v="0"/>
    <n v="0"/>
    <n v="20.83"/>
    <x v="2"/>
    <n v="145.81"/>
    <x v="2"/>
  </r>
  <r>
    <x v="7"/>
    <s v="Laurent MONTAGNER"/>
    <x v="0"/>
    <x v="281"/>
    <x v="281"/>
    <n v="7"/>
    <s v="ADET"/>
    <n v="0"/>
    <n v="150"/>
    <n v="78"/>
    <n v="-48"/>
    <n v="0"/>
    <n v="0"/>
    <n v="20.83"/>
    <x v="2"/>
    <n v="145.81"/>
    <x v="2"/>
  </r>
  <r>
    <x v="4"/>
    <s v="Stefan Zaugg"/>
    <x v="0"/>
    <x v="283"/>
    <x v="283"/>
    <n v="0.8"/>
    <s v="ADET"/>
    <n v="0"/>
    <n v="0"/>
    <n v="11"/>
    <n v="20.000000000000007"/>
    <n v="4"/>
    <n v="36666.600000000013"/>
    <n v="1833.33"/>
    <x v="63"/>
    <n v="1466.664"/>
    <x v="8"/>
  </r>
  <r>
    <x v="5"/>
    <s v="Matteo Giolo"/>
    <x v="0"/>
    <x v="283"/>
    <x v="283"/>
    <n v="1.5"/>
    <s v="ADET"/>
    <n v="0"/>
    <n v="0"/>
    <n v="11"/>
    <n v="20.000000000000007"/>
    <n v="4"/>
    <n v="36666.600000000013"/>
    <n v="1833.33"/>
    <x v="63"/>
    <n v="2749.9949999999999"/>
    <x v="8"/>
  </r>
  <r>
    <x v="19"/>
    <s v="Volkan Batkan"/>
    <x v="0"/>
    <x v="248"/>
    <x v="248"/>
    <n v="14"/>
    <s v="ADET"/>
    <n v="0"/>
    <n v="2698"/>
    <n v="0"/>
    <n v="-2312"/>
    <n v="0"/>
    <n v="0"/>
    <n v="1.55"/>
    <x v="20"/>
    <n v="21.7"/>
    <x v="7"/>
  </r>
  <r>
    <x v="12"/>
    <s v="Matteo Giolo"/>
    <x v="0"/>
    <x v="246"/>
    <x v="246"/>
    <n v="2"/>
    <s v="ADET"/>
    <n v="0"/>
    <n v="75"/>
    <n v="42.70000000000006"/>
    <n v="-48.040000000000006"/>
    <n v="0"/>
    <n v="0"/>
    <n v="15"/>
    <x v="14"/>
    <n v="30"/>
    <x v="2"/>
  </r>
  <r>
    <x v="12"/>
    <s v="Matteo Giolo"/>
    <x v="0"/>
    <x v="253"/>
    <x v="253"/>
    <n v="1"/>
    <s v="ADET"/>
    <n v="0"/>
    <n v="7"/>
    <n v="10"/>
    <n v="-1"/>
    <n v="5"/>
    <n v="0"/>
    <n v="1200"/>
    <x v="35"/>
    <n v="1200"/>
    <x v="4"/>
  </r>
  <r>
    <x v="15"/>
    <s v="Jan Urbanek"/>
    <x v="0"/>
    <x v="248"/>
    <x v="248"/>
    <n v="14"/>
    <s v="ADET"/>
    <n v="0"/>
    <n v="2698"/>
    <n v="0"/>
    <n v="-2312"/>
    <n v="0"/>
    <n v="0"/>
    <n v="1.55"/>
    <x v="20"/>
    <n v="21.7"/>
    <x v="7"/>
  </r>
  <r>
    <x v="7"/>
    <s v="Laurent MONTAGNER"/>
    <x v="0"/>
    <x v="248"/>
    <x v="248"/>
    <n v="24"/>
    <s v="ADET"/>
    <n v="0"/>
    <n v="2698"/>
    <n v="0"/>
    <n v="-2312"/>
    <n v="0"/>
    <n v="0"/>
    <n v="1.55"/>
    <x v="20"/>
    <n v="37.200000000000003"/>
    <x v="7"/>
  </r>
  <r>
    <x v="4"/>
    <s v="Stefan Zaugg"/>
    <x v="0"/>
    <x v="248"/>
    <x v="248"/>
    <n v="24"/>
    <s v="ADET"/>
    <n v="0"/>
    <n v="2698"/>
    <n v="0"/>
    <n v="-2312"/>
    <n v="0"/>
    <n v="0"/>
    <n v="1.55"/>
    <x v="20"/>
    <n v="37.200000000000003"/>
    <x v="7"/>
  </r>
  <r>
    <x v="3"/>
    <s v="Stina Alm"/>
    <x v="0"/>
    <x v="248"/>
    <x v="248"/>
    <n v="26"/>
    <s v="ADET"/>
    <n v="0"/>
    <n v="2698"/>
    <n v="0"/>
    <n v="-2312"/>
    <n v="0"/>
    <n v="0"/>
    <n v="1.55"/>
    <x v="20"/>
    <n v="40.300000000000004"/>
    <x v="7"/>
  </r>
  <r>
    <x v="3"/>
    <s v="Stina Alm"/>
    <x v="0"/>
    <x v="254"/>
    <x v="254"/>
    <n v="1"/>
    <s v="ADET"/>
    <n v="0"/>
    <n v="1"/>
    <n v="6"/>
    <n v="2"/>
    <n v="0"/>
    <n v="16849.34"/>
    <n v="8424.67"/>
    <x v="24"/>
    <n v="8424.67"/>
    <x v="6"/>
  </r>
  <r>
    <x v="3"/>
    <s v="Stina Alm"/>
    <x v="0"/>
    <x v="253"/>
    <x v="253"/>
    <n v="1"/>
    <s v="ADET"/>
    <n v="0"/>
    <n v="7"/>
    <n v="10"/>
    <n v="-1"/>
    <n v="5"/>
    <n v="0"/>
    <n v="1200"/>
    <x v="35"/>
    <n v="1200"/>
    <x v="4"/>
  </r>
  <r>
    <x v="13"/>
    <s v="Matteo Giolo"/>
    <x v="0"/>
    <x v="246"/>
    <x v="246"/>
    <n v="2.04"/>
    <s v="ADET"/>
    <n v="0"/>
    <n v="75"/>
    <n v="42.70000000000006"/>
    <n v="-48.040000000000006"/>
    <n v="0"/>
    <n v="0"/>
    <n v="15"/>
    <x v="14"/>
    <n v="30.6"/>
    <x v="2"/>
  </r>
  <r>
    <x v="16"/>
    <s v="Stefan Zaugg"/>
    <x v="0"/>
    <x v="248"/>
    <x v="248"/>
    <n v="24"/>
    <s v="ADET"/>
    <n v="0"/>
    <n v="2698"/>
    <n v="0"/>
    <n v="-2312"/>
    <n v="0"/>
    <n v="0"/>
    <n v="1.55"/>
    <x v="20"/>
    <n v="37.200000000000003"/>
    <x v="7"/>
  </r>
  <r>
    <x v="14"/>
    <s v="Stefan Zaugg"/>
    <x v="0"/>
    <x v="248"/>
    <x v="248"/>
    <n v="24"/>
    <s v="ADET"/>
    <n v="0"/>
    <n v="2698"/>
    <n v="0"/>
    <n v="-2312"/>
    <n v="0"/>
    <n v="0"/>
    <n v="1.55"/>
    <x v="20"/>
    <n v="37.200000000000003"/>
    <x v="7"/>
  </r>
  <r>
    <x v="13"/>
    <s v="Matteo Giolo"/>
    <x v="0"/>
    <x v="248"/>
    <x v="248"/>
    <n v="26"/>
    <s v="ADET"/>
    <n v="0"/>
    <n v="2698"/>
    <n v="0"/>
    <n v="-2312"/>
    <n v="0"/>
    <n v="0"/>
    <n v="1.55"/>
    <x v="20"/>
    <n v="40.300000000000004"/>
    <x v="7"/>
  </r>
  <r>
    <x v="5"/>
    <s v="Matteo Giolo"/>
    <x v="0"/>
    <x v="246"/>
    <x v="246"/>
    <n v="2.19"/>
    <s v="ADET"/>
    <n v="0"/>
    <n v="75"/>
    <n v="42.70000000000006"/>
    <n v="-48.040000000000006"/>
    <n v="0"/>
    <n v="0"/>
    <n v="15"/>
    <x v="14"/>
    <n v="32.85"/>
    <x v="2"/>
  </r>
  <r>
    <x v="5"/>
    <s v="Matteo Giolo"/>
    <x v="0"/>
    <x v="248"/>
    <x v="248"/>
    <n v="26"/>
    <s v="ADET"/>
    <n v="0"/>
    <n v="2698"/>
    <n v="0"/>
    <n v="-2312"/>
    <n v="0"/>
    <n v="0"/>
    <n v="1.55"/>
    <x v="20"/>
    <n v="40.300000000000004"/>
    <x v="7"/>
  </r>
  <r>
    <x v="4"/>
    <s v="Stefan Zaugg"/>
    <x v="0"/>
    <x v="254"/>
    <x v="254"/>
    <n v="1"/>
    <s v="ADET"/>
    <n v="1"/>
    <n v="1"/>
    <n v="6"/>
    <n v="2"/>
    <n v="0"/>
    <n v="16849.34"/>
    <n v="8424.67"/>
    <x v="24"/>
    <n v="8424.67"/>
    <x v="6"/>
  </r>
  <r>
    <x v="2"/>
    <s v="Laurent MONTAGNER"/>
    <x v="0"/>
    <x v="251"/>
    <x v="251"/>
    <n v="1"/>
    <s v="ADET"/>
    <n v="0"/>
    <n v="30"/>
    <n v="20"/>
    <n v="-7"/>
    <n v="0"/>
    <n v="0"/>
    <n v="62.5"/>
    <x v="21"/>
    <n v="62.5"/>
    <x v="2"/>
  </r>
  <r>
    <x v="3"/>
    <s v="Stina Alm"/>
    <x v="0"/>
    <x v="137"/>
    <x v="137"/>
    <n v="5"/>
    <s v="ADET"/>
    <n v="0"/>
    <n v="234"/>
    <n v="30"/>
    <n v="-169"/>
    <n v="0"/>
    <n v="0"/>
    <n v="15.21"/>
    <x v="15"/>
    <n v="76.050000000000011"/>
    <x v="7"/>
  </r>
  <r>
    <x v="5"/>
    <s v="Matteo Giolo"/>
    <x v="0"/>
    <x v="250"/>
    <x v="250"/>
    <n v="3.65"/>
    <s v="ADET"/>
    <n v="0"/>
    <n v="52"/>
    <n v="10.269999999999982"/>
    <n v="-5.0300000000000011"/>
    <n v="0"/>
    <n v="0"/>
    <n v="28"/>
    <x v="14"/>
    <n v="102.2"/>
    <x v="2"/>
  </r>
  <r>
    <x v="1"/>
    <s v="Stina Alm"/>
    <x v="0"/>
    <x v="137"/>
    <x v="137"/>
    <n v="5"/>
    <s v="ADET"/>
    <n v="0"/>
    <n v="234"/>
    <n v="30"/>
    <n v="-169"/>
    <n v="0"/>
    <n v="0"/>
    <n v="15.21"/>
    <x v="15"/>
    <n v="76.050000000000011"/>
    <x v="7"/>
  </r>
  <r>
    <x v="2"/>
    <s v="Laurent MONTAGNER"/>
    <x v="0"/>
    <x v="249"/>
    <x v="249"/>
    <n v="0.75"/>
    <s v="ADET"/>
    <n v="0"/>
    <n v="0"/>
    <n v="-1.7763568394002505E-15"/>
    <n v="6.9999999999999991"/>
    <n v="0"/>
    <n v="489.99999999999994"/>
    <n v="70"/>
    <x v="14"/>
    <n v="52.5"/>
    <x v="2"/>
  </r>
  <r>
    <x v="1"/>
    <s v="Stina Alm"/>
    <x v="0"/>
    <x v="249"/>
    <x v="249"/>
    <n v="0.7"/>
    <s v="ADET"/>
    <n v="0"/>
    <n v="0"/>
    <n v="-1.7763568394002505E-15"/>
    <n v="6.9999999999999991"/>
    <n v="0"/>
    <n v="489.99999999999994"/>
    <n v="70"/>
    <x v="14"/>
    <n v="49"/>
    <x v="2"/>
  </r>
  <r>
    <x v="1"/>
    <s v="Stina Alm"/>
    <x v="0"/>
    <x v="250"/>
    <x v="250"/>
    <n v="3.3900000000000006"/>
    <s v="ADET"/>
    <n v="0"/>
    <n v="52"/>
    <n v="10.269999999999982"/>
    <n v="-5.0300000000000011"/>
    <n v="0"/>
    <n v="0"/>
    <n v="28"/>
    <x v="14"/>
    <n v="94.920000000000016"/>
    <x v="2"/>
  </r>
  <r>
    <x v="0"/>
    <s v="Soner Kayıkçı"/>
    <x v="0"/>
    <x v="284"/>
    <x v="284"/>
    <n v="1"/>
    <s v="ADET"/>
    <n v="0"/>
    <n v="104"/>
    <n v="-3.5527136788005009E-15"/>
    <n v="-81.349999999999994"/>
    <n v="0"/>
    <n v="0"/>
    <n v="22"/>
    <x v="14"/>
    <n v="22"/>
    <x v="2"/>
  </r>
  <r>
    <x v="1"/>
    <s v="Stina Alm"/>
    <x v="0"/>
    <x v="284"/>
    <x v="284"/>
    <n v="1.35"/>
    <s v="ADET"/>
    <n v="0"/>
    <n v="104"/>
    <n v="-3.5527136788005009E-15"/>
    <n v="-81.349999999999994"/>
    <n v="0"/>
    <n v="0"/>
    <n v="22"/>
    <x v="14"/>
    <n v="29.700000000000003"/>
    <x v="2"/>
  </r>
  <r>
    <x v="1"/>
    <s v="Stina Alm"/>
    <x v="0"/>
    <x v="251"/>
    <x v="251"/>
    <n v="1"/>
    <s v="ADET"/>
    <n v="0"/>
    <n v="30"/>
    <n v="20"/>
    <n v="-7"/>
    <n v="0"/>
    <n v="0"/>
    <n v="62.5"/>
    <x v="21"/>
    <n v="62.5"/>
    <x v="2"/>
  </r>
  <r>
    <x v="3"/>
    <s v="Stina Alm"/>
    <x v="0"/>
    <x v="284"/>
    <x v="284"/>
    <n v="1.35"/>
    <s v="ADET"/>
    <n v="0"/>
    <n v="104"/>
    <n v="-3.5527136788005009E-15"/>
    <n v="-81.349999999999994"/>
    <n v="0"/>
    <n v="0"/>
    <n v="22"/>
    <x v="14"/>
    <n v="29.700000000000003"/>
    <x v="2"/>
  </r>
  <r>
    <x v="10"/>
    <s v="Jan Urbanek"/>
    <x v="0"/>
    <x v="256"/>
    <x v="256"/>
    <n v="6"/>
    <s v="ADET"/>
    <n v="0"/>
    <n v="118"/>
    <n v="18"/>
    <n v="-11"/>
    <n v="0"/>
    <n v="0"/>
    <n v="14.5"/>
    <x v="14"/>
    <n v="87"/>
    <x v="2"/>
  </r>
  <r>
    <x v="12"/>
    <s v="Matteo Giolo"/>
    <x v="0"/>
    <x v="283"/>
    <x v="283"/>
    <n v="1.8"/>
    <s v="ADET"/>
    <n v="0"/>
    <n v="0"/>
    <n v="11"/>
    <n v="20.000000000000007"/>
    <n v="4"/>
    <n v="36666.600000000013"/>
    <n v="1833.33"/>
    <x v="63"/>
    <n v="3299.9940000000001"/>
    <x v="8"/>
  </r>
  <r>
    <x v="7"/>
    <s v="Laurent MONTAGNER"/>
    <x v="0"/>
    <x v="283"/>
    <x v="283"/>
    <n v="1"/>
    <s v="ADET"/>
    <n v="0"/>
    <n v="0"/>
    <n v="11"/>
    <n v="20.000000000000007"/>
    <n v="4"/>
    <n v="36666.600000000013"/>
    <n v="1833.33"/>
    <x v="63"/>
    <n v="1833.33"/>
    <x v="8"/>
  </r>
  <r>
    <x v="8"/>
    <s v="Jan Urbanek"/>
    <x v="0"/>
    <x v="256"/>
    <x v="256"/>
    <n v="6"/>
    <s v="ADET"/>
    <n v="0"/>
    <n v="118"/>
    <n v="18"/>
    <n v="-11"/>
    <n v="0"/>
    <n v="0"/>
    <n v="14.5"/>
    <x v="14"/>
    <n v="87"/>
    <x v="2"/>
  </r>
  <r>
    <x v="9"/>
    <s v="Jan Urbanek"/>
    <x v="0"/>
    <x v="256"/>
    <x v="256"/>
    <n v="6"/>
    <s v="ADET"/>
    <n v="0"/>
    <n v="118"/>
    <n v="18"/>
    <n v="-11"/>
    <n v="0"/>
    <n v="0"/>
    <n v="14.5"/>
    <x v="14"/>
    <n v="87"/>
    <x v="2"/>
  </r>
  <r>
    <x v="10"/>
    <s v="Jan Urbanek"/>
    <x v="0"/>
    <x v="257"/>
    <x v="257"/>
    <n v="3"/>
    <s v="ADET"/>
    <n v="0"/>
    <n v="101"/>
    <n v="10.000000000000057"/>
    <n v="-42.539999999999992"/>
    <n v="0"/>
    <n v="0"/>
    <n v="36"/>
    <x v="14"/>
    <n v="108"/>
    <x v="2"/>
  </r>
  <r>
    <x v="10"/>
    <s v="Jan Urbanek"/>
    <x v="0"/>
    <x v="258"/>
    <x v="258"/>
    <n v="3"/>
    <s v="ADET"/>
    <n v="0"/>
    <n v="200"/>
    <n v="70"/>
    <n v="-165"/>
    <n v="0"/>
    <n v="0"/>
    <n v="10"/>
    <x v="2"/>
    <n v="30"/>
    <x v="2"/>
  </r>
  <r>
    <x v="8"/>
    <s v="Jan Urbanek"/>
    <x v="0"/>
    <x v="282"/>
    <x v="282"/>
    <n v="7"/>
    <s v="ADET"/>
    <n v="0"/>
    <n v="300"/>
    <n v="325"/>
    <n v="-192"/>
    <n v="0"/>
    <n v="0"/>
    <n v="12"/>
    <x v="2"/>
    <n v="84"/>
    <x v="2"/>
  </r>
  <r>
    <x v="9"/>
    <s v="Jan Urbanek"/>
    <x v="0"/>
    <x v="282"/>
    <x v="282"/>
    <n v="7"/>
    <s v="ADET"/>
    <n v="0"/>
    <n v="300"/>
    <n v="325"/>
    <n v="-192"/>
    <n v="0"/>
    <n v="0"/>
    <n v="12"/>
    <x v="2"/>
    <n v="84"/>
    <x v="2"/>
  </r>
  <r>
    <x v="12"/>
    <s v="Matteo Giolo"/>
    <x v="0"/>
    <x v="285"/>
    <x v="285"/>
    <n v="1.5"/>
    <s v="ADET"/>
    <n v="0"/>
    <n v="48"/>
    <n v="26"/>
    <n v="-19.5"/>
    <n v="0"/>
    <n v="0"/>
    <n v="5"/>
    <x v="14"/>
    <n v="7.5"/>
    <x v="2"/>
  </r>
  <r>
    <x v="12"/>
    <s v="Matteo Giolo"/>
    <x v="0"/>
    <x v="286"/>
    <x v="286"/>
    <n v="1"/>
    <s v="KG"/>
    <n v="0"/>
    <n v="0"/>
    <n v="0"/>
    <n v="19"/>
    <n v="0"/>
    <n v="1538.6200000000001"/>
    <n v="80.98"/>
    <x v="63"/>
    <n v="80.98"/>
    <x v="3"/>
  </r>
  <r>
    <x v="7"/>
    <s v="Laurent MONTAGNER"/>
    <x v="0"/>
    <x v="286"/>
    <x v="286"/>
    <n v="1"/>
    <s v="KG"/>
    <n v="0"/>
    <n v="0"/>
    <n v="0"/>
    <n v="19"/>
    <n v="0"/>
    <n v="1538.6200000000001"/>
    <n v="80.98"/>
    <x v="63"/>
    <n v="80.98"/>
    <x v="3"/>
  </r>
  <r>
    <x v="11"/>
    <s v="Jan Urbanek"/>
    <x v="0"/>
    <x v="257"/>
    <x v="257"/>
    <n v="3"/>
    <s v="ADET"/>
    <n v="0"/>
    <n v="101"/>
    <n v="10.000000000000057"/>
    <n v="-42.539999999999992"/>
    <n v="0"/>
    <n v="0"/>
    <n v="36"/>
    <x v="14"/>
    <n v="108"/>
    <x v="2"/>
  </r>
  <r>
    <x v="11"/>
    <s v="Jan Urbanek"/>
    <x v="0"/>
    <x v="258"/>
    <x v="258"/>
    <n v="6"/>
    <s v="ADET"/>
    <n v="0"/>
    <n v="200"/>
    <n v="70"/>
    <n v="-165"/>
    <n v="0"/>
    <n v="0"/>
    <n v="10"/>
    <x v="2"/>
    <n v="60"/>
    <x v="2"/>
  </r>
  <r>
    <x v="10"/>
    <s v="Jan Urbanek"/>
    <x v="0"/>
    <x v="282"/>
    <x v="282"/>
    <n v="7"/>
    <s v="ADET"/>
    <n v="0"/>
    <n v="300"/>
    <n v="325"/>
    <n v="-192"/>
    <n v="0"/>
    <n v="0"/>
    <n v="12"/>
    <x v="2"/>
    <n v="84"/>
    <x v="2"/>
  </r>
  <r>
    <x v="8"/>
    <s v="Jan Urbanek"/>
    <x v="0"/>
    <x v="281"/>
    <x v="281"/>
    <n v="6"/>
    <s v="ADET"/>
    <n v="0"/>
    <n v="150"/>
    <n v="78"/>
    <n v="-48"/>
    <n v="0"/>
    <n v="0"/>
    <n v="20.83"/>
    <x v="2"/>
    <n v="124.97999999999999"/>
    <x v="2"/>
  </r>
  <r>
    <x v="9"/>
    <s v="Jan Urbanek"/>
    <x v="0"/>
    <x v="281"/>
    <x v="281"/>
    <n v="6"/>
    <s v="ADET"/>
    <n v="0"/>
    <n v="150"/>
    <n v="78"/>
    <n v="-48"/>
    <n v="0"/>
    <n v="0"/>
    <n v="20.83"/>
    <x v="2"/>
    <n v="124.97999999999999"/>
    <x v="2"/>
  </r>
  <r>
    <x v="9"/>
    <s v="Jan Urbanek"/>
    <x v="0"/>
    <x v="283"/>
    <x v="283"/>
    <n v="2.8"/>
    <s v="ADET"/>
    <n v="0"/>
    <n v="0"/>
    <n v="11"/>
    <n v="20.000000000000007"/>
    <n v="4"/>
    <n v="36666.600000000013"/>
    <n v="1833.33"/>
    <x v="63"/>
    <n v="5133.3239999999996"/>
    <x v="8"/>
  </r>
  <r>
    <x v="7"/>
    <s v="Laurent MONTAGNER"/>
    <x v="0"/>
    <x v="285"/>
    <x v="285"/>
    <n v="1.5"/>
    <s v="ADET"/>
    <n v="0"/>
    <n v="48"/>
    <n v="26"/>
    <n v="-19.5"/>
    <n v="0"/>
    <n v="0"/>
    <n v="5"/>
    <x v="14"/>
    <n v="7.5"/>
    <x v="2"/>
  </r>
  <r>
    <x v="3"/>
    <s v="Stina Alm"/>
    <x v="0"/>
    <x v="285"/>
    <x v="285"/>
    <n v="1.5"/>
    <s v="ADET"/>
    <n v="0"/>
    <n v="48"/>
    <n v="26"/>
    <n v="-19.5"/>
    <n v="0"/>
    <n v="0"/>
    <n v="5"/>
    <x v="14"/>
    <n v="7.5"/>
    <x v="2"/>
  </r>
  <r>
    <x v="4"/>
    <s v="Stefan Zaugg"/>
    <x v="0"/>
    <x v="286"/>
    <x v="286"/>
    <n v="1"/>
    <s v="KG"/>
    <n v="0"/>
    <n v="0"/>
    <n v="0"/>
    <n v="19"/>
    <n v="0"/>
    <n v="1538.6200000000001"/>
    <n v="80.98"/>
    <x v="63"/>
    <n v="80.98"/>
    <x v="3"/>
  </r>
  <r>
    <x v="3"/>
    <s v="Stina Alm"/>
    <x v="0"/>
    <x v="287"/>
    <x v="287"/>
    <n v="7"/>
    <s v="ADET"/>
    <n v="0"/>
    <n v="3000"/>
    <n v="0"/>
    <n v="-2847"/>
    <n v="0"/>
    <n v="0"/>
    <n v="0.7"/>
    <x v="14"/>
    <n v="4.8999999999999995"/>
    <x v="2"/>
  </r>
  <r>
    <x v="7"/>
    <s v="Laurent MONTAGNER"/>
    <x v="0"/>
    <x v="287"/>
    <x v="287"/>
    <n v="7"/>
    <s v="ADET"/>
    <n v="0"/>
    <n v="3000"/>
    <n v="0"/>
    <n v="-2847"/>
    <n v="0"/>
    <n v="0"/>
    <n v="0.7"/>
    <x v="14"/>
    <n v="4.8999999999999995"/>
    <x v="2"/>
  </r>
  <r>
    <x v="4"/>
    <s v="Stefan Zaugg"/>
    <x v="0"/>
    <x v="287"/>
    <x v="287"/>
    <n v="11"/>
    <s v="ADET"/>
    <n v="0"/>
    <n v="3000"/>
    <n v="0"/>
    <n v="-2847"/>
    <n v="0"/>
    <n v="0"/>
    <n v="0.7"/>
    <x v="14"/>
    <n v="7.6999999999999993"/>
    <x v="2"/>
  </r>
  <r>
    <x v="4"/>
    <s v="Stefan Zaugg"/>
    <x v="0"/>
    <x v="257"/>
    <x v="257"/>
    <n v="3"/>
    <s v="ADET"/>
    <n v="0"/>
    <n v="101"/>
    <n v="10.000000000000057"/>
    <n v="-42.539999999999992"/>
    <n v="0"/>
    <n v="0"/>
    <n v="36"/>
    <x v="14"/>
    <n v="108"/>
    <x v="2"/>
  </r>
  <r>
    <x v="5"/>
    <s v="Matteo Giolo"/>
    <x v="0"/>
    <x v="257"/>
    <x v="257"/>
    <n v="3.17"/>
    <s v="ADET"/>
    <n v="0"/>
    <n v="101"/>
    <n v="10.000000000000057"/>
    <n v="-42.539999999999992"/>
    <n v="0"/>
    <n v="0"/>
    <n v="36"/>
    <x v="14"/>
    <n v="114.12"/>
    <x v="2"/>
  </r>
  <r>
    <x v="4"/>
    <s v="Stefan Zaugg"/>
    <x v="0"/>
    <x v="258"/>
    <x v="258"/>
    <n v="2"/>
    <s v="ADET"/>
    <n v="0"/>
    <n v="200"/>
    <n v="70"/>
    <n v="-165"/>
    <n v="0"/>
    <n v="0"/>
    <n v="10"/>
    <x v="2"/>
    <n v="20"/>
    <x v="2"/>
  </r>
  <r>
    <x v="13"/>
    <s v="Matteo Giolo"/>
    <x v="0"/>
    <x v="179"/>
    <x v="179"/>
    <n v="3"/>
    <s v="ADET"/>
    <n v="0"/>
    <n v="29"/>
    <n v="30"/>
    <n v="10"/>
    <n v="0"/>
    <n v="17500"/>
    <n v="1750"/>
    <x v="59"/>
    <n v="5250"/>
    <x v="7"/>
  </r>
  <r>
    <x v="13"/>
    <s v="Matteo Giolo"/>
    <x v="0"/>
    <x v="178"/>
    <x v="178"/>
    <n v="3.6100000000000003"/>
    <s v="KG"/>
    <n v="0"/>
    <n v="110"/>
    <n v="57.22"/>
    <n v="-78.660000000000025"/>
    <n v="0"/>
    <n v="0"/>
    <n v="40"/>
    <x v="14"/>
    <n v="144.4"/>
    <x v="2"/>
  </r>
  <r>
    <x v="3"/>
    <s v="Stina Alm"/>
    <x v="0"/>
    <x v="205"/>
    <x v="205"/>
    <n v="15"/>
    <s v="ADET"/>
    <n v="0"/>
    <n v="350"/>
    <n v="210"/>
    <n v="-245"/>
    <n v="0"/>
    <n v="0"/>
    <n v="4"/>
    <x v="2"/>
    <n v="60"/>
    <x v="2"/>
  </r>
  <r>
    <x v="12"/>
    <s v="Matteo Giolo"/>
    <x v="0"/>
    <x v="288"/>
    <x v="288"/>
    <n v="1"/>
    <s v="ADET"/>
    <n v="0"/>
    <n v="13"/>
    <n v="13"/>
    <n v="-1"/>
    <n v="0"/>
    <n v="0"/>
    <n v="237.5"/>
    <x v="21"/>
    <n v="237.5"/>
    <x v="2"/>
  </r>
  <r>
    <x v="15"/>
    <s v="Jan Urbanek"/>
    <x v="0"/>
    <x v="179"/>
    <x v="179"/>
    <n v="3"/>
    <s v="ADET"/>
    <n v="0"/>
    <n v="29"/>
    <n v="30"/>
    <n v="10"/>
    <n v="0"/>
    <n v="17500"/>
    <n v="1750"/>
    <x v="59"/>
    <n v="5250"/>
    <x v="7"/>
  </r>
  <r>
    <x v="15"/>
    <s v="Jan Urbanek"/>
    <x v="0"/>
    <x v="178"/>
    <x v="178"/>
    <n v="2.8"/>
    <s v="KG"/>
    <n v="0"/>
    <n v="110"/>
    <n v="57.22"/>
    <n v="-78.660000000000025"/>
    <n v="0"/>
    <n v="0"/>
    <n v="40"/>
    <x v="14"/>
    <n v="112"/>
    <x v="2"/>
  </r>
  <r>
    <x v="14"/>
    <s v="Stefan Zaugg"/>
    <x v="0"/>
    <x v="178"/>
    <x v="178"/>
    <n v="5"/>
    <s v="KG"/>
    <n v="5"/>
    <n v="110"/>
    <n v="57.22"/>
    <n v="-78.660000000000025"/>
    <n v="0"/>
    <n v="0"/>
    <n v="40"/>
    <x v="14"/>
    <n v="200"/>
    <x v="2"/>
  </r>
  <r>
    <x v="7"/>
    <s v="Laurent MONTAGNER"/>
    <x v="0"/>
    <x v="180"/>
    <x v="180"/>
    <n v="9"/>
    <s v="METRE"/>
    <n v="0"/>
    <n v="480"/>
    <n v="0"/>
    <n v="-408"/>
    <n v="0"/>
    <n v="0"/>
    <n v="4"/>
    <x v="5"/>
    <n v="36"/>
    <x v="8"/>
  </r>
  <r>
    <x v="5"/>
    <s v="Matteo Giolo"/>
    <x v="0"/>
    <x v="205"/>
    <x v="205"/>
    <n v="15"/>
    <s v="ADET"/>
    <n v="0"/>
    <n v="350"/>
    <n v="210"/>
    <n v="-245"/>
    <n v="0"/>
    <n v="0"/>
    <n v="4"/>
    <x v="2"/>
    <n v="60"/>
    <x v="2"/>
  </r>
  <r>
    <x v="1"/>
    <s v="Stina Alm"/>
    <x v="0"/>
    <x v="289"/>
    <x v="289"/>
    <n v="2"/>
    <s v="ADET"/>
    <n v="0"/>
    <n v="24"/>
    <n v="30"/>
    <n v="-24"/>
    <n v="50"/>
    <n v="0"/>
    <n v="37"/>
    <x v="10"/>
    <n v="74"/>
    <x v="4"/>
  </r>
  <r>
    <x v="6"/>
    <s v="Laurent MONTAGNER"/>
    <x v="0"/>
    <x v="289"/>
    <x v="289"/>
    <n v="3"/>
    <s v="ADET"/>
    <n v="0"/>
    <n v="24"/>
    <n v="30"/>
    <n v="-24"/>
    <n v="50"/>
    <n v="0"/>
    <n v="37"/>
    <x v="10"/>
    <n v="111"/>
    <x v="4"/>
  </r>
  <r>
    <x v="4"/>
    <s v="Stefan Zaugg"/>
    <x v="0"/>
    <x v="129"/>
    <x v="129"/>
    <n v="2"/>
    <s v="KG"/>
    <n v="0"/>
    <n v="30"/>
    <n v="21.5"/>
    <n v="4"/>
    <n v="0"/>
    <n v="472.56"/>
    <n v="118.14"/>
    <x v="48"/>
    <n v="236.28"/>
    <x v="3"/>
  </r>
  <r>
    <x v="7"/>
    <s v="Laurent MONTAGNER"/>
    <x v="0"/>
    <x v="129"/>
    <x v="129"/>
    <n v="2"/>
    <s v="KG"/>
    <n v="0"/>
    <n v="30"/>
    <n v="21.5"/>
    <n v="4"/>
    <n v="0"/>
    <n v="472.56"/>
    <n v="118.14"/>
    <x v="48"/>
    <n v="236.28"/>
    <x v="3"/>
  </r>
  <r>
    <x v="4"/>
    <s v="Stefan Zaugg"/>
    <x v="0"/>
    <x v="133"/>
    <x v="133"/>
    <n v="0.30000000000000004"/>
    <s v="METRE"/>
    <n v="0"/>
    <n v="0"/>
    <n v="93.800000000000011"/>
    <n v="5.0999999999999996"/>
    <n v="0"/>
    <n v="34.526999999999994"/>
    <n v="6.77"/>
    <x v="49"/>
    <n v="2.0310000000000001"/>
    <x v="7"/>
  </r>
  <r>
    <x v="5"/>
    <s v="Matteo Giolo"/>
    <x v="0"/>
    <x v="133"/>
    <x v="133"/>
    <n v="0.2"/>
    <s v="METRE"/>
    <n v="0"/>
    <n v="0"/>
    <n v="93.800000000000011"/>
    <n v="5.0999999999999996"/>
    <n v="0"/>
    <n v="34.526999999999994"/>
    <n v="6.77"/>
    <x v="49"/>
    <n v="1.3540000000000001"/>
    <x v="7"/>
  </r>
  <r>
    <x v="12"/>
    <s v="Matteo Giolo"/>
    <x v="0"/>
    <x v="289"/>
    <x v="289"/>
    <n v="3"/>
    <s v="ADET"/>
    <n v="0"/>
    <n v="24"/>
    <n v="30"/>
    <n v="-24"/>
    <n v="50"/>
    <n v="0"/>
    <n v="37"/>
    <x v="10"/>
    <n v="111"/>
    <x v="4"/>
  </r>
  <r>
    <x v="0"/>
    <s v="Soner Kayıkçı"/>
    <x v="0"/>
    <x v="289"/>
    <x v="289"/>
    <n v="3"/>
    <s v="ADET"/>
    <n v="0"/>
    <n v="24"/>
    <n v="30"/>
    <n v="-24"/>
    <n v="50"/>
    <n v="0"/>
    <n v="37"/>
    <x v="10"/>
    <n v="111"/>
    <x v="4"/>
  </r>
  <r>
    <x v="2"/>
    <s v="Laurent MONTAGNER"/>
    <x v="0"/>
    <x v="289"/>
    <x v="289"/>
    <n v="1"/>
    <s v="ADET"/>
    <n v="0"/>
    <n v="24"/>
    <n v="30"/>
    <n v="-24"/>
    <n v="50"/>
    <n v="0"/>
    <n v="37"/>
    <x v="10"/>
    <n v="37"/>
    <x v="4"/>
  </r>
  <r>
    <x v="7"/>
    <s v="Laurent MONTAGNER"/>
    <x v="0"/>
    <x v="289"/>
    <x v="289"/>
    <n v="3"/>
    <s v="ADET"/>
    <n v="0"/>
    <n v="24"/>
    <n v="30"/>
    <n v="-24"/>
    <n v="50"/>
    <n v="0"/>
    <n v="37"/>
    <x v="10"/>
    <n v="111"/>
    <x v="4"/>
  </r>
  <r>
    <x v="8"/>
    <s v="Jan Urbanek"/>
    <x v="0"/>
    <x v="289"/>
    <x v="289"/>
    <n v="3"/>
    <s v="ADET"/>
    <n v="0"/>
    <n v="24"/>
    <n v="30"/>
    <n v="-24"/>
    <n v="50"/>
    <n v="0"/>
    <n v="37"/>
    <x v="10"/>
    <n v="111"/>
    <x v="4"/>
  </r>
  <r>
    <x v="9"/>
    <s v="Jan Urbanek"/>
    <x v="0"/>
    <x v="289"/>
    <x v="289"/>
    <n v="3"/>
    <s v="ADET"/>
    <n v="0"/>
    <n v="24"/>
    <n v="30"/>
    <n v="-24"/>
    <n v="50"/>
    <n v="0"/>
    <n v="37"/>
    <x v="10"/>
    <n v="111"/>
    <x v="4"/>
  </r>
  <r>
    <x v="3"/>
    <s v="Stina Alm"/>
    <x v="0"/>
    <x v="290"/>
    <x v="290"/>
    <n v="0.5"/>
    <s v="ADET"/>
    <n v="0"/>
    <n v="0"/>
    <n v="10.500000000000064"/>
    <n v="25"/>
    <n v="40"/>
    <n v="16666.75"/>
    <n v="666.67"/>
    <x v="63"/>
    <n v="333.33499999999998"/>
    <x v="8"/>
  </r>
  <r>
    <x v="7"/>
    <s v="Laurent MONTAGNER"/>
    <x v="0"/>
    <x v="291"/>
    <x v="291"/>
    <n v="4.5"/>
    <s v="METRE"/>
    <n v="0"/>
    <n v="0"/>
    <n v="285.5"/>
    <n v="11.5"/>
    <n v="0"/>
    <n v="662.4"/>
    <n v="57.6"/>
    <x v="15"/>
    <n v="259.2"/>
    <x v="7"/>
  </r>
  <r>
    <x v="10"/>
    <s v="Jan Urbanek"/>
    <x v="0"/>
    <x v="289"/>
    <x v="289"/>
    <n v="3"/>
    <s v="ADET"/>
    <n v="0"/>
    <n v="24"/>
    <n v="30"/>
    <n v="-24"/>
    <n v="50"/>
    <n v="0"/>
    <n v="37"/>
    <x v="10"/>
    <n v="111"/>
    <x v="4"/>
  </r>
  <r>
    <x v="12"/>
    <s v="Matteo Giolo"/>
    <x v="0"/>
    <x v="290"/>
    <x v="290"/>
    <n v="6"/>
    <s v="ADET"/>
    <n v="0"/>
    <n v="0"/>
    <n v="10.500000000000064"/>
    <n v="25"/>
    <n v="40"/>
    <n v="16666.75"/>
    <n v="666.67"/>
    <x v="63"/>
    <n v="4000.0199999999995"/>
    <x v="8"/>
  </r>
  <r>
    <x v="4"/>
    <s v="Stefan Zaugg"/>
    <x v="0"/>
    <x v="292"/>
    <x v="292"/>
    <n v="8"/>
    <s v="ADET"/>
    <n v="0"/>
    <n v="92"/>
    <n v="0"/>
    <n v="-68"/>
    <n v="0"/>
    <n v="0"/>
    <n v="33"/>
    <x v="2"/>
    <n v="264"/>
    <x v="2"/>
  </r>
  <r>
    <x v="12"/>
    <s v="Matteo Giolo"/>
    <x v="0"/>
    <x v="281"/>
    <x v="281"/>
    <n v="6"/>
    <s v="ADET"/>
    <n v="0"/>
    <n v="150"/>
    <n v="78"/>
    <n v="-48"/>
    <n v="0"/>
    <n v="0"/>
    <n v="20.83"/>
    <x v="2"/>
    <n v="124.97999999999999"/>
    <x v="2"/>
  </r>
  <r>
    <x v="3"/>
    <s v="Stina Alm"/>
    <x v="0"/>
    <x v="283"/>
    <x v="283"/>
    <n v="0.5"/>
    <s v="ADET"/>
    <n v="0"/>
    <n v="0"/>
    <n v="11"/>
    <n v="20.000000000000007"/>
    <n v="4"/>
    <n v="36666.600000000013"/>
    <n v="1833.33"/>
    <x v="63"/>
    <n v="916.66499999999996"/>
    <x v="8"/>
  </r>
  <r>
    <x v="11"/>
    <s v="Jan Urbanek"/>
    <x v="0"/>
    <x v="256"/>
    <x v="256"/>
    <n v="6"/>
    <s v="ADET"/>
    <n v="0"/>
    <n v="118"/>
    <n v="18"/>
    <n v="-11"/>
    <n v="0"/>
    <n v="0"/>
    <n v="14.5"/>
    <x v="14"/>
    <n v="87"/>
    <x v="2"/>
  </r>
  <r>
    <x v="9"/>
    <s v="Jan Urbanek"/>
    <x v="0"/>
    <x v="257"/>
    <x v="257"/>
    <n v="3"/>
    <s v="ADET"/>
    <n v="0"/>
    <n v="101"/>
    <n v="10.000000000000057"/>
    <n v="-42.539999999999992"/>
    <n v="0"/>
    <n v="0"/>
    <n v="36"/>
    <x v="14"/>
    <n v="108"/>
    <x v="2"/>
  </r>
  <r>
    <x v="9"/>
    <s v="Jan Urbanek"/>
    <x v="0"/>
    <x v="258"/>
    <x v="258"/>
    <n v="6"/>
    <s v="ADET"/>
    <n v="0"/>
    <n v="200"/>
    <n v="70"/>
    <n v="-165"/>
    <n v="0"/>
    <n v="0"/>
    <n v="10"/>
    <x v="2"/>
    <n v="60"/>
    <x v="2"/>
  </r>
  <r>
    <x v="8"/>
    <s v="Jan Urbanek"/>
    <x v="0"/>
    <x v="258"/>
    <x v="258"/>
    <n v="2"/>
    <s v="ADET"/>
    <n v="0"/>
    <n v="200"/>
    <n v="70"/>
    <n v="-165"/>
    <n v="0"/>
    <n v="0"/>
    <n v="10"/>
    <x v="2"/>
    <n v="20"/>
    <x v="2"/>
  </r>
  <r>
    <x v="11"/>
    <s v="Jan Urbanek"/>
    <x v="0"/>
    <x v="281"/>
    <x v="281"/>
    <n v="6"/>
    <s v="ADET"/>
    <n v="0"/>
    <n v="150"/>
    <n v="78"/>
    <n v="-48"/>
    <n v="0"/>
    <n v="0"/>
    <n v="20.83"/>
    <x v="2"/>
    <n v="124.97999999999999"/>
    <x v="2"/>
  </r>
  <r>
    <x v="4"/>
    <s v="Stefan Zaugg"/>
    <x v="0"/>
    <x v="285"/>
    <x v="285"/>
    <n v="1.5"/>
    <s v="ADET"/>
    <n v="0"/>
    <n v="48"/>
    <n v="26"/>
    <n v="-19.5"/>
    <n v="0"/>
    <n v="0"/>
    <n v="5"/>
    <x v="14"/>
    <n v="7.5"/>
    <x v="2"/>
  </r>
  <r>
    <x v="1"/>
    <s v="Stina Alm"/>
    <x v="0"/>
    <x v="282"/>
    <x v="282"/>
    <n v="7"/>
    <s v="ADET"/>
    <n v="0"/>
    <n v="300"/>
    <n v="325"/>
    <n v="-192"/>
    <n v="0"/>
    <n v="0"/>
    <n v="12"/>
    <x v="2"/>
    <n v="84"/>
    <x v="2"/>
  </r>
  <r>
    <x v="1"/>
    <s v="Stina Alm"/>
    <x v="0"/>
    <x v="280"/>
    <x v="280"/>
    <n v="1"/>
    <s v="METRE"/>
    <n v="0"/>
    <n v="20"/>
    <n v="0"/>
    <n v="-10.4"/>
    <n v="0"/>
    <n v="0"/>
    <n v="38.33"/>
    <x v="61"/>
    <n v="38.33"/>
    <x v="2"/>
  </r>
  <r>
    <x v="1"/>
    <s v="Stina Alm"/>
    <x v="0"/>
    <x v="281"/>
    <x v="281"/>
    <n v="7"/>
    <s v="ADET"/>
    <n v="0"/>
    <n v="150"/>
    <n v="78"/>
    <n v="-48"/>
    <n v="0"/>
    <n v="0"/>
    <n v="20.83"/>
    <x v="2"/>
    <n v="145.81"/>
    <x v="2"/>
  </r>
  <r>
    <x v="3"/>
    <s v="Stina Alm"/>
    <x v="0"/>
    <x v="257"/>
    <x v="257"/>
    <n v="3.17"/>
    <s v="ADET"/>
    <n v="0"/>
    <n v="101"/>
    <n v="10.000000000000057"/>
    <n v="-42.539999999999992"/>
    <n v="0"/>
    <n v="0"/>
    <n v="36"/>
    <x v="14"/>
    <n v="114.12"/>
    <x v="2"/>
  </r>
  <r>
    <x v="5"/>
    <s v="Matteo Giolo"/>
    <x v="0"/>
    <x v="282"/>
    <x v="282"/>
    <n v="8"/>
    <s v="ADET"/>
    <n v="0"/>
    <n v="300"/>
    <n v="325"/>
    <n v="-192"/>
    <n v="0"/>
    <n v="0"/>
    <n v="12"/>
    <x v="2"/>
    <n v="96"/>
    <x v="2"/>
  </r>
  <r>
    <x v="5"/>
    <s v="Matteo Giolo"/>
    <x v="0"/>
    <x v="280"/>
    <x v="280"/>
    <n v="1"/>
    <s v="METRE"/>
    <n v="0"/>
    <n v="20"/>
    <n v="0"/>
    <n v="-10.4"/>
    <n v="0"/>
    <n v="0"/>
    <n v="38.33"/>
    <x v="61"/>
    <n v="38.33"/>
    <x v="2"/>
  </r>
  <r>
    <x v="5"/>
    <s v="Matteo Giolo"/>
    <x v="0"/>
    <x v="281"/>
    <x v="281"/>
    <n v="7"/>
    <s v="ADET"/>
    <n v="0"/>
    <n v="150"/>
    <n v="78"/>
    <n v="-48"/>
    <n v="0"/>
    <n v="0"/>
    <n v="20.83"/>
    <x v="2"/>
    <n v="145.81"/>
    <x v="2"/>
  </r>
  <r>
    <x v="11"/>
    <s v="Jan Urbanek"/>
    <x v="0"/>
    <x v="282"/>
    <x v="282"/>
    <n v="7"/>
    <s v="ADET"/>
    <n v="0"/>
    <n v="300"/>
    <n v="325"/>
    <n v="-192"/>
    <n v="0"/>
    <n v="0"/>
    <n v="12"/>
    <x v="2"/>
    <n v="84"/>
    <x v="2"/>
  </r>
  <r>
    <x v="10"/>
    <s v="Jan Urbanek"/>
    <x v="0"/>
    <x v="281"/>
    <x v="281"/>
    <n v="6"/>
    <s v="ADET"/>
    <n v="0"/>
    <n v="150"/>
    <n v="78"/>
    <n v="-48"/>
    <n v="0"/>
    <n v="0"/>
    <n v="20.83"/>
    <x v="2"/>
    <n v="124.97999999999999"/>
    <x v="2"/>
  </r>
  <r>
    <x v="11"/>
    <s v="Jan Urbanek"/>
    <x v="0"/>
    <x v="283"/>
    <x v="283"/>
    <n v="2.8"/>
    <s v="ADET"/>
    <n v="0"/>
    <n v="0"/>
    <n v="11"/>
    <n v="20.000000000000007"/>
    <n v="4"/>
    <n v="36666.600000000013"/>
    <n v="1833.33"/>
    <x v="63"/>
    <n v="5133.3239999999996"/>
    <x v="8"/>
  </r>
  <r>
    <x v="0"/>
    <s v="Soner Kayıkçı"/>
    <x v="0"/>
    <x v="293"/>
    <x v="293"/>
    <n v="1"/>
    <s v="ADET"/>
    <n v="0"/>
    <n v="1"/>
    <n v="5"/>
    <n v="0"/>
    <n v="0"/>
    <n v="0"/>
    <n v="250"/>
    <x v="39"/>
    <n v="250"/>
    <x v="4"/>
  </r>
  <r>
    <x v="1"/>
    <s v="Stina Alm"/>
    <x v="0"/>
    <x v="286"/>
    <x v="286"/>
    <n v="1"/>
    <s v="KG"/>
    <n v="0"/>
    <n v="0"/>
    <n v="0"/>
    <n v="19"/>
    <n v="0"/>
    <n v="1538.6200000000001"/>
    <n v="80.98"/>
    <x v="63"/>
    <n v="80.98"/>
    <x v="3"/>
  </r>
  <r>
    <x v="2"/>
    <s v="Laurent MONTAGNER"/>
    <x v="0"/>
    <x v="294"/>
    <x v="294"/>
    <n v="1"/>
    <s v="ADET"/>
    <n v="0"/>
    <n v="24"/>
    <n v="14"/>
    <n v="-15"/>
    <n v="0"/>
    <n v="0"/>
    <n v="15"/>
    <x v="20"/>
    <n v="15"/>
    <x v="7"/>
  </r>
  <r>
    <x v="0"/>
    <s v="Soner Kayıkçı"/>
    <x v="0"/>
    <x v="294"/>
    <x v="294"/>
    <n v="1"/>
    <s v="ADET"/>
    <n v="0"/>
    <n v="24"/>
    <n v="14"/>
    <n v="-15"/>
    <n v="0"/>
    <n v="0"/>
    <n v="15"/>
    <x v="20"/>
    <n v="15"/>
    <x v="7"/>
  </r>
  <r>
    <x v="13"/>
    <s v="Matteo Giolo"/>
    <x v="0"/>
    <x v="185"/>
    <x v="185"/>
    <n v="2"/>
    <s v="METRE"/>
    <n v="0"/>
    <n v="20"/>
    <n v="16"/>
    <n v="-5"/>
    <n v="0"/>
    <n v="0"/>
    <n v="97.17"/>
    <x v="61"/>
    <n v="194.34"/>
    <x v="2"/>
  </r>
  <r>
    <x v="15"/>
    <s v="Jan Urbanek"/>
    <x v="0"/>
    <x v="256"/>
    <x v="256"/>
    <n v="6"/>
    <s v="ADET"/>
    <n v="0"/>
    <n v="118"/>
    <n v="18"/>
    <n v="-11"/>
    <n v="0"/>
    <n v="0"/>
    <n v="14.5"/>
    <x v="14"/>
    <n v="87"/>
    <x v="2"/>
  </r>
  <r>
    <x v="14"/>
    <s v="Stefan Zaugg"/>
    <x v="0"/>
    <x v="256"/>
    <x v="256"/>
    <n v="6"/>
    <s v="ADET"/>
    <n v="0"/>
    <n v="118"/>
    <n v="18"/>
    <n v="-11"/>
    <n v="0"/>
    <n v="0"/>
    <n v="14.5"/>
    <x v="14"/>
    <n v="87"/>
    <x v="2"/>
  </r>
  <r>
    <x v="13"/>
    <s v="Matteo Giolo"/>
    <x v="0"/>
    <x v="256"/>
    <x v="256"/>
    <n v="6"/>
    <s v="ADET"/>
    <n v="0"/>
    <n v="118"/>
    <n v="18"/>
    <n v="-11"/>
    <n v="0"/>
    <n v="0"/>
    <n v="14.5"/>
    <x v="14"/>
    <n v="87"/>
    <x v="2"/>
  </r>
  <r>
    <x v="19"/>
    <s v="Volkan Batkan"/>
    <x v="0"/>
    <x v="257"/>
    <x v="257"/>
    <n v="3"/>
    <s v="ADET"/>
    <n v="0"/>
    <n v="101"/>
    <n v="10.000000000000057"/>
    <n v="-42.539999999999992"/>
    <n v="0"/>
    <n v="0"/>
    <n v="36"/>
    <x v="14"/>
    <n v="108"/>
    <x v="2"/>
  </r>
  <r>
    <x v="3"/>
    <s v="Stina Alm"/>
    <x v="0"/>
    <x v="251"/>
    <x v="251"/>
    <n v="1"/>
    <s v="ADET"/>
    <n v="0"/>
    <n v="30"/>
    <n v="20"/>
    <n v="-7"/>
    <n v="0"/>
    <n v="0"/>
    <n v="62.5"/>
    <x v="21"/>
    <n v="62.5"/>
    <x v="2"/>
  </r>
  <r>
    <x v="4"/>
    <s v="Stefan Zaugg"/>
    <x v="0"/>
    <x v="284"/>
    <x v="284"/>
    <n v="1"/>
    <s v="ADET"/>
    <n v="0"/>
    <n v="104"/>
    <n v="-3.5527136788005009E-15"/>
    <n v="-81.349999999999994"/>
    <n v="0"/>
    <n v="0"/>
    <n v="22"/>
    <x v="14"/>
    <n v="22"/>
    <x v="2"/>
  </r>
  <r>
    <x v="5"/>
    <s v="Matteo Giolo"/>
    <x v="0"/>
    <x v="284"/>
    <x v="284"/>
    <n v="1.46"/>
    <s v="ADET"/>
    <n v="0"/>
    <n v="104"/>
    <n v="-3.5527136788005009E-15"/>
    <n v="-81.349999999999994"/>
    <n v="0"/>
    <n v="0"/>
    <n v="22"/>
    <x v="14"/>
    <n v="32.119999999999997"/>
    <x v="2"/>
  </r>
  <r>
    <x v="12"/>
    <s v="Matteo Giolo"/>
    <x v="0"/>
    <x v="251"/>
    <x v="251"/>
    <n v="1"/>
    <s v="ADET"/>
    <n v="0"/>
    <n v="30"/>
    <n v="20"/>
    <n v="-7"/>
    <n v="0"/>
    <n v="0"/>
    <n v="62.5"/>
    <x v="21"/>
    <n v="62.5"/>
    <x v="2"/>
  </r>
  <r>
    <x v="4"/>
    <s v="Stefan Zaugg"/>
    <x v="0"/>
    <x v="251"/>
    <x v="251"/>
    <n v="1"/>
    <s v="ADET"/>
    <n v="0"/>
    <n v="30"/>
    <n v="20"/>
    <n v="-7"/>
    <n v="0"/>
    <n v="0"/>
    <n v="62.5"/>
    <x v="21"/>
    <n v="62.5"/>
    <x v="2"/>
  </r>
  <r>
    <x v="5"/>
    <s v="Matteo Giolo"/>
    <x v="0"/>
    <x v="251"/>
    <x v="251"/>
    <n v="1"/>
    <s v="ADET"/>
    <n v="0"/>
    <n v="30"/>
    <n v="20"/>
    <n v="-7"/>
    <n v="0"/>
    <n v="0"/>
    <n v="62.5"/>
    <x v="21"/>
    <n v="62.5"/>
    <x v="2"/>
  </r>
  <r>
    <x v="10"/>
    <s v="Jan Urbanek"/>
    <x v="0"/>
    <x v="250"/>
    <x v="250"/>
    <n v="2.5"/>
    <s v="ADET"/>
    <n v="0"/>
    <n v="52"/>
    <n v="10.269999999999982"/>
    <n v="-5.0300000000000011"/>
    <n v="0"/>
    <n v="0"/>
    <n v="28"/>
    <x v="14"/>
    <n v="70"/>
    <x v="2"/>
  </r>
  <r>
    <x v="11"/>
    <s v="Jan Urbanek"/>
    <x v="0"/>
    <x v="284"/>
    <x v="284"/>
    <n v="1"/>
    <s v="ADET"/>
    <n v="0"/>
    <n v="104"/>
    <n v="-3.5527136788005009E-15"/>
    <n v="-81.349999999999994"/>
    <n v="0"/>
    <n v="0"/>
    <n v="22"/>
    <x v="14"/>
    <n v="22"/>
    <x v="2"/>
  </r>
  <r>
    <x v="3"/>
    <s v="Stina Alm"/>
    <x v="0"/>
    <x v="295"/>
    <x v="295"/>
    <n v="1"/>
    <s v="ADET"/>
    <n v="0"/>
    <n v="1"/>
    <n v="11"/>
    <n v="16"/>
    <n v="0"/>
    <n v="212968.32000000001"/>
    <n v="13310.52"/>
    <x v="67"/>
    <n v="13310.52"/>
    <x v="6"/>
  </r>
  <r>
    <x v="4"/>
    <s v="Stefan Zaugg"/>
    <x v="0"/>
    <x v="295"/>
    <x v="295"/>
    <n v="1"/>
    <s v="ADET"/>
    <n v="0"/>
    <n v="1"/>
    <n v="11"/>
    <n v="16"/>
    <n v="0"/>
    <n v="212968.32000000001"/>
    <n v="13310.52"/>
    <x v="67"/>
    <n v="13310.52"/>
    <x v="6"/>
  </r>
  <r>
    <x v="11"/>
    <s v="Jan Urbanek"/>
    <x v="0"/>
    <x v="250"/>
    <x v="250"/>
    <n v="2.5"/>
    <s v="ADET"/>
    <n v="0"/>
    <n v="52"/>
    <n v="10.269999999999982"/>
    <n v="-5.0300000000000011"/>
    <n v="0"/>
    <n v="0"/>
    <n v="28"/>
    <x v="14"/>
    <n v="70"/>
    <x v="2"/>
  </r>
  <r>
    <x v="8"/>
    <s v="Jan Urbanek"/>
    <x v="0"/>
    <x v="284"/>
    <x v="284"/>
    <n v="1"/>
    <s v="ADET"/>
    <n v="0"/>
    <n v="104"/>
    <n v="-3.5527136788005009E-15"/>
    <n v="-81.349999999999994"/>
    <n v="0"/>
    <n v="0"/>
    <n v="22"/>
    <x v="14"/>
    <n v="22"/>
    <x v="2"/>
  </r>
  <r>
    <x v="11"/>
    <s v="Jan Urbanek"/>
    <x v="0"/>
    <x v="251"/>
    <x v="251"/>
    <n v="2"/>
    <s v="ADET"/>
    <n v="0"/>
    <n v="30"/>
    <n v="20"/>
    <n v="-7"/>
    <n v="0"/>
    <n v="0"/>
    <n v="62.5"/>
    <x v="21"/>
    <n v="125"/>
    <x v="2"/>
  </r>
  <r>
    <x v="5"/>
    <s v="Matteo Giolo"/>
    <x v="0"/>
    <x v="295"/>
    <x v="295"/>
    <n v="1"/>
    <s v="ADET"/>
    <n v="0"/>
    <n v="1"/>
    <n v="11"/>
    <n v="16"/>
    <n v="0"/>
    <n v="212968.32000000001"/>
    <n v="13310.52"/>
    <x v="67"/>
    <n v="13310.52"/>
    <x v="6"/>
  </r>
  <r>
    <x v="7"/>
    <s v="Laurent MONTAGNER"/>
    <x v="0"/>
    <x v="284"/>
    <x v="284"/>
    <n v="1.61"/>
    <s v="ADET"/>
    <n v="0"/>
    <n v="104"/>
    <n v="-3.5527136788005009E-15"/>
    <n v="-81.349999999999994"/>
    <n v="0"/>
    <n v="0"/>
    <n v="22"/>
    <x v="14"/>
    <n v="35.42"/>
    <x v="2"/>
  </r>
  <r>
    <x v="7"/>
    <s v="Laurent MONTAGNER"/>
    <x v="0"/>
    <x v="251"/>
    <x v="251"/>
    <n v="1"/>
    <s v="ADET"/>
    <n v="0"/>
    <n v="30"/>
    <n v="20"/>
    <n v="-7"/>
    <n v="0"/>
    <n v="0"/>
    <n v="62.5"/>
    <x v="21"/>
    <n v="62.5"/>
    <x v="2"/>
  </r>
  <r>
    <x v="9"/>
    <s v="Jan Urbanek"/>
    <x v="0"/>
    <x v="250"/>
    <x v="250"/>
    <n v="2.5"/>
    <s v="ADET"/>
    <n v="0"/>
    <n v="52"/>
    <n v="10.269999999999982"/>
    <n v="-5.0300000000000011"/>
    <n v="0"/>
    <n v="0"/>
    <n v="28"/>
    <x v="14"/>
    <n v="70"/>
    <x v="2"/>
  </r>
  <r>
    <x v="8"/>
    <s v="Jan Urbanek"/>
    <x v="0"/>
    <x v="250"/>
    <x v="250"/>
    <n v="2.5"/>
    <s v="ADET"/>
    <n v="0"/>
    <n v="52"/>
    <n v="10.269999999999982"/>
    <n v="-5.0300000000000011"/>
    <n v="0"/>
    <n v="0"/>
    <n v="28"/>
    <x v="14"/>
    <n v="70"/>
    <x v="2"/>
  </r>
  <r>
    <x v="10"/>
    <s v="Jan Urbanek"/>
    <x v="0"/>
    <x v="251"/>
    <x v="251"/>
    <n v="1"/>
    <s v="ADET"/>
    <n v="0"/>
    <n v="30"/>
    <n v="20"/>
    <n v="-7"/>
    <n v="0"/>
    <n v="0"/>
    <n v="62.5"/>
    <x v="21"/>
    <n v="62.5"/>
    <x v="2"/>
  </r>
  <r>
    <x v="7"/>
    <s v="Laurent MONTAGNER"/>
    <x v="0"/>
    <x v="295"/>
    <x v="295"/>
    <n v="1"/>
    <s v="ADET"/>
    <n v="0"/>
    <n v="1"/>
    <n v="11"/>
    <n v="16"/>
    <n v="0"/>
    <n v="212968.32000000001"/>
    <n v="13310.52"/>
    <x v="67"/>
    <n v="13310.52"/>
    <x v="6"/>
  </r>
  <r>
    <x v="6"/>
    <s v="Laurent MONTAGNER"/>
    <x v="0"/>
    <x v="284"/>
    <x v="284"/>
    <n v="1.61"/>
    <s v="ADET"/>
    <n v="0"/>
    <n v="104"/>
    <n v="-3.5527136788005009E-15"/>
    <n v="-81.349999999999994"/>
    <n v="0"/>
    <n v="0"/>
    <n v="22"/>
    <x v="14"/>
    <n v="35.42"/>
    <x v="2"/>
  </r>
  <r>
    <x v="6"/>
    <s v="Laurent MONTAGNER"/>
    <x v="0"/>
    <x v="251"/>
    <x v="251"/>
    <n v="1"/>
    <s v="ADET"/>
    <n v="0"/>
    <n v="30"/>
    <n v="20"/>
    <n v="-7"/>
    <n v="0"/>
    <n v="0"/>
    <n v="62.5"/>
    <x v="21"/>
    <n v="62.5"/>
    <x v="2"/>
  </r>
  <r>
    <x v="12"/>
    <s v="Matteo Giolo"/>
    <x v="0"/>
    <x v="284"/>
    <x v="284"/>
    <n v="1"/>
    <s v="ADET"/>
    <n v="0"/>
    <n v="104"/>
    <n v="-3.5527136788005009E-15"/>
    <n v="-81.349999999999994"/>
    <n v="0"/>
    <n v="0"/>
    <n v="22"/>
    <x v="14"/>
    <n v="22"/>
    <x v="2"/>
  </r>
  <r>
    <x v="10"/>
    <s v="Jan Urbanek"/>
    <x v="0"/>
    <x v="284"/>
    <x v="284"/>
    <n v="1"/>
    <s v="ADET"/>
    <n v="0"/>
    <n v="104"/>
    <n v="-3.5527136788005009E-15"/>
    <n v="-81.349999999999994"/>
    <n v="0"/>
    <n v="0"/>
    <n v="22"/>
    <x v="14"/>
    <n v="22"/>
    <x v="2"/>
  </r>
  <r>
    <x v="9"/>
    <s v="Jan Urbanek"/>
    <x v="0"/>
    <x v="251"/>
    <x v="251"/>
    <n v="2"/>
    <s v="ADET"/>
    <n v="0"/>
    <n v="30"/>
    <n v="20"/>
    <n v="-7"/>
    <n v="0"/>
    <n v="0"/>
    <n v="62.5"/>
    <x v="21"/>
    <n v="125"/>
    <x v="2"/>
  </r>
  <r>
    <x v="8"/>
    <s v="Jan Urbanek"/>
    <x v="0"/>
    <x v="251"/>
    <x v="251"/>
    <n v="1"/>
    <s v="ADET"/>
    <n v="0"/>
    <n v="30"/>
    <n v="20"/>
    <n v="-7"/>
    <n v="0"/>
    <n v="0"/>
    <n v="62.5"/>
    <x v="21"/>
    <n v="62.5"/>
    <x v="2"/>
  </r>
  <r>
    <x v="12"/>
    <s v="Matteo Giolo"/>
    <x v="0"/>
    <x v="295"/>
    <x v="295"/>
    <n v="1"/>
    <s v="ADET"/>
    <n v="0"/>
    <n v="1"/>
    <n v="11"/>
    <n v="16"/>
    <n v="0"/>
    <n v="212968.32000000001"/>
    <n v="13310.52"/>
    <x v="67"/>
    <n v="13310.52"/>
    <x v="6"/>
  </r>
  <r>
    <x v="3"/>
    <s v="Stina Alm"/>
    <x v="0"/>
    <x v="276"/>
    <x v="276"/>
    <n v="3"/>
    <s v="ADET"/>
    <n v="0"/>
    <n v="81"/>
    <n v="5"/>
    <n v="-23"/>
    <n v="0"/>
    <n v="0"/>
    <n v="188"/>
    <x v="14"/>
    <n v="564"/>
    <x v="4"/>
  </r>
  <r>
    <x v="9"/>
    <s v="Jan Urbanek"/>
    <x v="0"/>
    <x v="278"/>
    <x v="278"/>
    <n v="1"/>
    <s v="ADET"/>
    <n v="0"/>
    <n v="24"/>
    <n v="4"/>
    <n v="-17"/>
    <n v="0"/>
    <n v="0"/>
    <n v="625"/>
    <x v="2"/>
    <n v="625"/>
    <x v="2"/>
  </r>
  <r>
    <x v="8"/>
    <s v="Jan Urbanek"/>
    <x v="0"/>
    <x v="278"/>
    <x v="278"/>
    <n v="1"/>
    <s v="ADET"/>
    <n v="0"/>
    <n v="24"/>
    <n v="4"/>
    <n v="-17"/>
    <n v="0"/>
    <n v="0"/>
    <n v="625"/>
    <x v="2"/>
    <n v="625"/>
    <x v="2"/>
  </r>
  <r>
    <x v="8"/>
    <s v="Jan Urbanek"/>
    <x v="0"/>
    <x v="279"/>
    <x v="279"/>
    <n v="1"/>
    <s v="ADET"/>
    <n v="0"/>
    <n v="3"/>
    <n v="7"/>
    <n v="5"/>
    <n v="0"/>
    <n v="54497.75"/>
    <n v="10899.55"/>
    <x v="24"/>
    <n v="10899.55"/>
    <x v="4"/>
  </r>
  <r>
    <x v="9"/>
    <s v="Jan Urbanek"/>
    <x v="0"/>
    <x v="279"/>
    <x v="279"/>
    <n v="1"/>
    <s v="ADET"/>
    <n v="0"/>
    <n v="3"/>
    <n v="7"/>
    <n v="5"/>
    <n v="0"/>
    <n v="54497.75"/>
    <n v="10899.55"/>
    <x v="24"/>
    <n v="10899.55"/>
    <x v="4"/>
  </r>
  <r>
    <x v="11"/>
    <s v="Jan Urbanek"/>
    <x v="0"/>
    <x v="276"/>
    <x v="276"/>
    <n v="3"/>
    <s v="ADET"/>
    <n v="0"/>
    <n v="81"/>
    <n v="5"/>
    <n v="-23"/>
    <n v="0"/>
    <n v="0"/>
    <n v="188"/>
    <x v="14"/>
    <n v="564"/>
    <x v="4"/>
  </r>
  <r>
    <x v="4"/>
    <s v="Stefan Zaugg"/>
    <x v="0"/>
    <x v="296"/>
    <x v="296"/>
    <n v="41.5"/>
    <s v="M2"/>
    <n v="0"/>
    <n v="0"/>
    <n v="134.67999999999967"/>
    <n v="420"/>
    <n v="13"/>
    <n v="95886"/>
    <n v="228.3"/>
    <x v="63"/>
    <n v="9474.4500000000007"/>
    <x v="8"/>
  </r>
  <r>
    <x v="10"/>
    <s v="Jan Urbanek"/>
    <x v="0"/>
    <x v="278"/>
    <x v="278"/>
    <n v="1"/>
    <s v="ADET"/>
    <n v="0"/>
    <n v="24"/>
    <n v="4"/>
    <n v="-17"/>
    <n v="0"/>
    <n v="0"/>
    <n v="625"/>
    <x v="2"/>
    <n v="625"/>
    <x v="2"/>
  </r>
  <r>
    <x v="8"/>
    <s v="Jan Urbanek"/>
    <x v="0"/>
    <x v="277"/>
    <x v="277"/>
    <n v="4"/>
    <s v="ADET"/>
    <n v="0"/>
    <n v="85"/>
    <n v="31"/>
    <n v="-17"/>
    <n v="0"/>
    <n v="0"/>
    <n v="120"/>
    <x v="77"/>
    <n v="480"/>
    <x v="4"/>
  </r>
  <r>
    <x v="9"/>
    <s v="Jan Urbanek"/>
    <x v="0"/>
    <x v="277"/>
    <x v="277"/>
    <n v="4"/>
    <s v="ADET"/>
    <n v="0"/>
    <n v="85"/>
    <n v="31"/>
    <n v="-17"/>
    <n v="0"/>
    <n v="0"/>
    <n v="120"/>
    <x v="77"/>
    <n v="480"/>
    <x v="4"/>
  </r>
  <r>
    <x v="4"/>
    <s v="Stefan Zaugg"/>
    <x v="0"/>
    <x v="297"/>
    <x v="297"/>
    <n v="8"/>
    <s v="ADET"/>
    <n v="0"/>
    <n v="0"/>
    <n v="0"/>
    <n v="16"/>
    <n v="0"/>
    <n v="5.6"/>
    <n v="0.35"/>
    <x v="33"/>
    <n v="2.8"/>
    <x v="2"/>
  </r>
  <r>
    <x v="4"/>
    <s v="Stefan Zaugg"/>
    <x v="0"/>
    <x v="298"/>
    <x v="298"/>
    <n v="1"/>
    <s v="ADET"/>
    <n v="0"/>
    <n v="34"/>
    <n v="27"/>
    <n v="-6"/>
    <n v="0"/>
    <n v="0"/>
    <n v="500"/>
    <x v="9"/>
    <n v="500"/>
    <x v="6"/>
  </r>
  <r>
    <x v="5"/>
    <s v="Matteo Giolo"/>
    <x v="0"/>
    <x v="298"/>
    <x v="298"/>
    <n v="2"/>
    <s v="ADET"/>
    <n v="0"/>
    <n v="34"/>
    <n v="27"/>
    <n v="-6"/>
    <n v="0"/>
    <n v="0"/>
    <n v="500"/>
    <x v="9"/>
    <n v="1000"/>
    <x v="6"/>
  </r>
  <r>
    <x v="4"/>
    <s v="Stefan Zaugg"/>
    <x v="0"/>
    <x v="299"/>
    <x v="299"/>
    <n v="1"/>
    <s v="ADET"/>
    <n v="0"/>
    <n v="23"/>
    <n v="17"/>
    <n v="-8"/>
    <n v="0"/>
    <n v="0"/>
    <n v="750"/>
    <x v="9"/>
    <n v="750"/>
    <x v="6"/>
  </r>
  <r>
    <x v="7"/>
    <s v="Laurent MONTAGNER"/>
    <x v="0"/>
    <x v="300"/>
    <x v="300"/>
    <n v="1"/>
    <s v="ADET"/>
    <n v="0"/>
    <n v="39"/>
    <n v="2"/>
    <n v="-19"/>
    <n v="0"/>
    <n v="0"/>
    <n v="65"/>
    <x v="10"/>
    <n v="65"/>
    <x v="4"/>
  </r>
  <r>
    <x v="5"/>
    <s v="Matteo Giolo"/>
    <x v="0"/>
    <x v="300"/>
    <x v="300"/>
    <n v="1"/>
    <s v="ADET"/>
    <n v="0"/>
    <n v="39"/>
    <n v="2"/>
    <n v="-19"/>
    <n v="0"/>
    <n v="0"/>
    <n v="65"/>
    <x v="10"/>
    <n v="65"/>
    <x v="4"/>
  </r>
  <r>
    <x v="3"/>
    <s v="Stina Alm"/>
    <x v="0"/>
    <x v="300"/>
    <x v="300"/>
    <n v="1"/>
    <s v="ADET"/>
    <n v="0"/>
    <n v="39"/>
    <n v="2"/>
    <n v="-19"/>
    <n v="0"/>
    <n v="0"/>
    <n v="65"/>
    <x v="10"/>
    <n v="65"/>
    <x v="4"/>
  </r>
  <r>
    <x v="2"/>
    <s v="Laurent MONTAGNER"/>
    <x v="0"/>
    <x v="276"/>
    <x v="276"/>
    <n v="4"/>
    <s v="ADET"/>
    <n v="0"/>
    <n v="81"/>
    <n v="5"/>
    <n v="-23"/>
    <n v="0"/>
    <n v="0"/>
    <n v="188"/>
    <x v="14"/>
    <n v="752"/>
    <x v="4"/>
  </r>
  <r>
    <x v="12"/>
    <s v="Matteo Giolo"/>
    <x v="0"/>
    <x v="277"/>
    <x v="277"/>
    <n v="4"/>
    <s v="ADET"/>
    <n v="0"/>
    <n v="85"/>
    <n v="31"/>
    <n v="-17"/>
    <n v="0"/>
    <n v="0"/>
    <n v="120"/>
    <x v="77"/>
    <n v="480"/>
    <x v="4"/>
  </r>
  <r>
    <x v="11"/>
    <s v="Jan Urbanek"/>
    <x v="0"/>
    <x v="277"/>
    <x v="277"/>
    <n v="4"/>
    <s v="ADET"/>
    <n v="0"/>
    <n v="85"/>
    <n v="31"/>
    <n v="-17"/>
    <n v="0"/>
    <n v="0"/>
    <n v="120"/>
    <x v="77"/>
    <n v="480"/>
    <x v="4"/>
  </r>
  <r>
    <x v="10"/>
    <s v="Jan Urbanek"/>
    <x v="0"/>
    <x v="276"/>
    <x v="276"/>
    <n v="3"/>
    <s v="ADET"/>
    <n v="0"/>
    <n v="81"/>
    <n v="5"/>
    <n v="-23"/>
    <n v="0"/>
    <n v="0"/>
    <n v="188"/>
    <x v="14"/>
    <n v="564"/>
    <x v="4"/>
  </r>
  <r>
    <x v="12"/>
    <s v="Matteo Giolo"/>
    <x v="0"/>
    <x v="296"/>
    <x v="296"/>
    <n v="45"/>
    <s v="M2"/>
    <n v="0"/>
    <n v="0"/>
    <n v="134.67999999999967"/>
    <n v="420"/>
    <n v="13"/>
    <n v="95886"/>
    <n v="228.3"/>
    <x v="63"/>
    <n v="10273.5"/>
    <x v="8"/>
  </r>
  <r>
    <x v="12"/>
    <s v="Matteo Giolo"/>
    <x v="0"/>
    <x v="298"/>
    <x v="298"/>
    <n v="2"/>
    <s v="ADET"/>
    <n v="0"/>
    <n v="34"/>
    <n v="27"/>
    <n v="-6"/>
    <n v="0"/>
    <n v="0"/>
    <n v="500"/>
    <x v="9"/>
    <n v="1000"/>
    <x v="6"/>
  </r>
  <r>
    <x v="12"/>
    <s v="Matteo Giolo"/>
    <x v="0"/>
    <x v="299"/>
    <x v="299"/>
    <n v="1"/>
    <s v="ADET"/>
    <n v="0"/>
    <n v="23"/>
    <n v="17"/>
    <n v="-8"/>
    <n v="0"/>
    <n v="0"/>
    <n v="750"/>
    <x v="9"/>
    <n v="750"/>
    <x v="6"/>
  </r>
  <r>
    <x v="5"/>
    <s v="Matteo Giolo"/>
    <x v="0"/>
    <x v="279"/>
    <x v="279"/>
    <n v="1"/>
    <s v="ADET"/>
    <n v="0"/>
    <n v="3"/>
    <n v="7"/>
    <n v="5"/>
    <n v="0"/>
    <n v="54497.75"/>
    <n v="10899.55"/>
    <x v="24"/>
    <n v="10899.55"/>
    <x v="4"/>
  </r>
  <r>
    <x v="7"/>
    <s v="Laurent MONTAGNER"/>
    <x v="0"/>
    <x v="277"/>
    <x v="277"/>
    <n v="3"/>
    <s v="ADET"/>
    <n v="0"/>
    <n v="85"/>
    <n v="31"/>
    <n v="-17"/>
    <n v="0"/>
    <n v="0"/>
    <n v="120"/>
    <x v="77"/>
    <n v="360"/>
    <x v="4"/>
  </r>
  <r>
    <x v="12"/>
    <s v="Matteo Giolo"/>
    <x v="0"/>
    <x v="276"/>
    <x v="276"/>
    <n v="3"/>
    <s v="ADET"/>
    <n v="0"/>
    <n v="81"/>
    <n v="5"/>
    <n v="-23"/>
    <n v="0"/>
    <n v="0"/>
    <n v="188"/>
    <x v="14"/>
    <n v="564"/>
    <x v="4"/>
  </r>
  <r>
    <x v="11"/>
    <s v="Jan Urbanek"/>
    <x v="0"/>
    <x v="278"/>
    <x v="278"/>
    <n v="1"/>
    <s v="ADET"/>
    <n v="0"/>
    <n v="24"/>
    <n v="4"/>
    <n v="-17"/>
    <n v="0"/>
    <n v="0"/>
    <n v="625"/>
    <x v="2"/>
    <n v="625"/>
    <x v="2"/>
  </r>
  <r>
    <x v="11"/>
    <s v="Jan Urbanek"/>
    <x v="0"/>
    <x v="279"/>
    <x v="279"/>
    <n v="1"/>
    <s v="ADET"/>
    <n v="0"/>
    <n v="3"/>
    <n v="7"/>
    <n v="5"/>
    <n v="0"/>
    <n v="54497.75"/>
    <n v="10899.55"/>
    <x v="24"/>
    <n v="10899.55"/>
    <x v="4"/>
  </r>
  <r>
    <x v="10"/>
    <s v="Jan Urbanek"/>
    <x v="0"/>
    <x v="277"/>
    <x v="277"/>
    <n v="4"/>
    <s v="ADET"/>
    <n v="0"/>
    <n v="85"/>
    <n v="31"/>
    <n v="-17"/>
    <n v="0"/>
    <n v="0"/>
    <n v="120"/>
    <x v="77"/>
    <n v="480"/>
    <x v="4"/>
  </r>
  <r>
    <x v="8"/>
    <s v="Jan Urbanek"/>
    <x v="0"/>
    <x v="276"/>
    <x v="276"/>
    <n v="3"/>
    <s v="ADET"/>
    <n v="0"/>
    <n v="81"/>
    <n v="5"/>
    <n v="-23"/>
    <n v="0"/>
    <n v="0"/>
    <n v="188"/>
    <x v="14"/>
    <n v="564"/>
    <x v="4"/>
  </r>
  <r>
    <x v="5"/>
    <s v="Matteo Giolo"/>
    <x v="0"/>
    <x v="299"/>
    <x v="299"/>
    <n v="1"/>
    <s v="ADET"/>
    <n v="0"/>
    <n v="23"/>
    <n v="17"/>
    <n v="-8"/>
    <n v="0"/>
    <n v="0"/>
    <n v="750"/>
    <x v="9"/>
    <n v="750"/>
    <x v="6"/>
  </r>
  <r>
    <x v="1"/>
    <s v="Stina Alm"/>
    <x v="0"/>
    <x v="298"/>
    <x v="298"/>
    <n v="2"/>
    <s v="ADET"/>
    <n v="0"/>
    <n v="34"/>
    <n v="27"/>
    <n v="-6"/>
    <n v="0"/>
    <n v="0"/>
    <n v="500"/>
    <x v="9"/>
    <n v="1000"/>
    <x v="6"/>
  </r>
  <r>
    <x v="1"/>
    <s v="Stina Alm"/>
    <x v="0"/>
    <x v="299"/>
    <x v="299"/>
    <n v="1"/>
    <s v="ADET"/>
    <n v="0"/>
    <n v="23"/>
    <n v="17"/>
    <n v="-8"/>
    <n v="0"/>
    <n v="0"/>
    <n v="750"/>
    <x v="9"/>
    <n v="750"/>
    <x v="6"/>
  </r>
  <r>
    <x v="0"/>
    <s v="Soner Kayıkçı"/>
    <x v="0"/>
    <x v="300"/>
    <x v="300"/>
    <n v="1"/>
    <s v="ADET"/>
    <n v="0"/>
    <n v="39"/>
    <n v="2"/>
    <n v="-19"/>
    <n v="0"/>
    <n v="0"/>
    <n v="65"/>
    <x v="10"/>
    <n v="65"/>
    <x v="4"/>
  </r>
  <r>
    <x v="6"/>
    <s v="Laurent MONTAGNER"/>
    <x v="0"/>
    <x v="300"/>
    <x v="300"/>
    <n v="1"/>
    <s v="ADET"/>
    <n v="0"/>
    <n v="39"/>
    <n v="2"/>
    <n v="-19"/>
    <n v="0"/>
    <n v="0"/>
    <n v="65"/>
    <x v="10"/>
    <n v="65"/>
    <x v="4"/>
  </r>
  <r>
    <x v="0"/>
    <s v="Soner Kayıkçı"/>
    <x v="0"/>
    <x v="301"/>
    <x v="301"/>
    <n v="1"/>
    <s v="ADET"/>
    <n v="0"/>
    <n v="5"/>
    <n v="4"/>
    <n v="2"/>
    <n v="0"/>
    <n v="3359.06"/>
    <n v="1679.53"/>
    <x v="74"/>
    <n v="1679.53"/>
    <x v="4"/>
  </r>
  <r>
    <x v="16"/>
    <s v="Stefan Zaugg"/>
    <x v="0"/>
    <x v="132"/>
    <x v="132"/>
    <n v="1"/>
    <s v="ADET"/>
    <n v="0"/>
    <n v="0"/>
    <n v="7"/>
    <n v="19"/>
    <n v="0"/>
    <n v="760"/>
    <n v="40"/>
    <x v="49"/>
    <n v="40"/>
    <x v="7"/>
  </r>
  <r>
    <x v="14"/>
    <s v="Stefan Zaugg"/>
    <x v="0"/>
    <x v="132"/>
    <x v="132"/>
    <n v="1"/>
    <s v="ADET"/>
    <n v="0"/>
    <n v="0"/>
    <n v="7"/>
    <n v="19"/>
    <n v="0"/>
    <n v="760"/>
    <n v="40"/>
    <x v="49"/>
    <n v="40"/>
    <x v="7"/>
  </r>
  <r>
    <x v="15"/>
    <s v="Jan Urbanek"/>
    <x v="0"/>
    <x v="278"/>
    <x v="278"/>
    <n v="1"/>
    <s v="ADET"/>
    <n v="0"/>
    <n v="24"/>
    <n v="4"/>
    <n v="-17"/>
    <n v="0"/>
    <n v="0"/>
    <n v="625"/>
    <x v="2"/>
    <n v="625"/>
    <x v="2"/>
  </r>
  <r>
    <x v="15"/>
    <s v="Jan Urbanek"/>
    <x v="0"/>
    <x v="279"/>
    <x v="279"/>
    <n v="1"/>
    <s v="ADET"/>
    <n v="0"/>
    <n v="3"/>
    <n v="7"/>
    <n v="5"/>
    <n v="0"/>
    <n v="54497.75"/>
    <n v="10899.55"/>
    <x v="24"/>
    <n v="10899.55"/>
    <x v="4"/>
  </r>
  <r>
    <x v="16"/>
    <s v="Stefan Zaugg"/>
    <x v="0"/>
    <x v="277"/>
    <x v="277"/>
    <n v="4"/>
    <s v="ADET"/>
    <n v="0"/>
    <n v="85"/>
    <n v="31"/>
    <n v="-17"/>
    <n v="0"/>
    <n v="0"/>
    <n v="120"/>
    <x v="77"/>
    <n v="480"/>
    <x v="4"/>
  </r>
  <r>
    <x v="14"/>
    <s v="Stefan Zaugg"/>
    <x v="0"/>
    <x v="277"/>
    <x v="277"/>
    <n v="4"/>
    <s v="ADET"/>
    <n v="0"/>
    <n v="85"/>
    <n v="31"/>
    <n v="-17"/>
    <n v="0"/>
    <n v="0"/>
    <n v="120"/>
    <x v="77"/>
    <n v="480"/>
    <x v="4"/>
  </r>
  <r>
    <x v="17"/>
    <s v="Murat Taşdemir"/>
    <x v="0"/>
    <x v="276"/>
    <x v="276"/>
    <n v="3"/>
    <s v="ADET"/>
    <n v="0"/>
    <n v="81"/>
    <n v="5"/>
    <n v="-23"/>
    <n v="0"/>
    <n v="0"/>
    <n v="188"/>
    <x v="14"/>
    <n v="564"/>
    <x v="4"/>
  </r>
  <r>
    <x v="15"/>
    <s v="Jan Urbanek"/>
    <x v="0"/>
    <x v="296"/>
    <x v="296"/>
    <n v="60"/>
    <s v="M2"/>
    <n v="0"/>
    <n v="0"/>
    <n v="134.67999999999967"/>
    <n v="420"/>
    <n v="13"/>
    <n v="95886"/>
    <n v="228.3"/>
    <x v="63"/>
    <n v="13698"/>
    <x v="8"/>
  </r>
  <r>
    <x v="14"/>
    <s v="Stefan Zaugg"/>
    <x v="0"/>
    <x v="296"/>
    <x v="296"/>
    <n v="41.5"/>
    <s v="M2"/>
    <n v="41.5"/>
    <n v="0"/>
    <n v="134.67999999999967"/>
    <n v="420"/>
    <n v="13"/>
    <n v="95886"/>
    <n v="228.3"/>
    <x v="63"/>
    <n v="9474.4500000000007"/>
    <x v="8"/>
  </r>
  <r>
    <x v="14"/>
    <s v="Stefan Zaugg"/>
    <x v="0"/>
    <x v="297"/>
    <x v="297"/>
    <n v="8"/>
    <s v="ADET"/>
    <n v="0"/>
    <n v="0"/>
    <n v="0"/>
    <n v="16"/>
    <n v="0"/>
    <n v="5.6"/>
    <n v="0.35"/>
    <x v="33"/>
    <n v="2.8"/>
    <x v="2"/>
  </r>
  <r>
    <x v="16"/>
    <s v="Stefan Zaugg"/>
    <x v="0"/>
    <x v="298"/>
    <x v="298"/>
    <n v="1"/>
    <s v="ADET"/>
    <n v="0"/>
    <n v="34"/>
    <n v="27"/>
    <n v="-6"/>
    <n v="0"/>
    <n v="0"/>
    <n v="500"/>
    <x v="9"/>
    <n v="500"/>
    <x v="6"/>
  </r>
  <r>
    <x v="14"/>
    <s v="Stefan Zaugg"/>
    <x v="0"/>
    <x v="298"/>
    <x v="298"/>
    <n v="2"/>
    <s v="ADET"/>
    <n v="0"/>
    <n v="34"/>
    <n v="27"/>
    <n v="-6"/>
    <n v="0"/>
    <n v="0"/>
    <n v="500"/>
    <x v="9"/>
    <n v="1000"/>
    <x v="6"/>
  </r>
  <r>
    <x v="16"/>
    <s v="Stefan Zaugg"/>
    <x v="0"/>
    <x v="299"/>
    <x v="299"/>
    <n v="1"/>
    <s v="ADET"/>
    <n v="0"/>
    <n v="23"/>
    <n v="17"/>
    <n v="-8"/>
    <n v="0"/>
    <n v="0"/>
    <n v="750"/>
    <x v="9"/>
    <n v="750"/>
    <x v="6"/>
  </r>
  <r>
    <x v="15"/>
    <s v="Jan Urbanek"/>
    <x v="0"/>
    <x v="300"/>
    <x v="300"/>
    <n v="1"/>
    <s v="ADET"/>
    <n v="0"/>
    <n v="39"/>
    <n v="2"/>
    <n v="-19"/>
    <n v="0"/>
    <n v="0"/>
    <n v="65"/>
    <x v="10"/>
    <n v="65"/>
    <x v="4"/>
  </r>
  <r>
    <x v="10"/>
    <s v="Jan Urbanek"/>
    <x v="0"/>
    <x v="296"/>
    <x v="296"/>
    <n v="60"/>
    <s v="M2"/>
    <n v="0"/>
    <n v="0"/>
    <n v="134.67999999999967"/>
    <n v="420"/>
    <n v="13"/>
    <n v="95886"/>
    <n v="228.3"/>
    <x v="63"/>
    <n v="13698"/>
    <x v="8"/>
  </r>
  <r>
    <x v="9"/>
    <s v="Jan Urbanek"/>
    <x v="0"/>
    <x v="298"/>
    <x v="298"/>
    <n v="2"/>
    <s v="ADET"/>
    <n v="0"/>
    <n v="34"/>
    <n v="27"/>
    <n v="-6"/>
    <n v="0"/>
    <n v="0"/>
    <n v="500"/>
    <x v="9"/>
    <n v="1000"/>
    <x v="6"/>
  </r>
  <r>
    <x v="8"/>
    <s v="Jan Urbanek"/>
    <x v="0"/>
    <x v="298"/>
    <x v="298"/>
    <n v="2"/>
    <s v="ADET"/>
    <n v="0"/>
    <n v="34"/>
    <n v="27"/>
    <n v="-6"/>
    <n v="0"/>
    <n v="0"/>
    <n v="500"/>
    <x v="9"/>
    <n v="1000"/>
    <x v="6"/>
  </r>
  <r>
    <x v="12"/>
    <s v="Matteo Giolo"/>
    <x v="0"/>
    <x v="302"/>
    <x v="302"/>
    <n v="7.0000000000000007E-2"/>
    <s v="KG"/>
    <n v="0"/>
    <n v="2.5"/>
    <n v="-4.9960036108132044E-16"/>
    <n v="-0.61999999999999922"/>
    <n v="0"/>
    <n v="0"/>
    <n v="2400"/>
    <x v="20"/>
    <n v="168.00000000000003"/>
    <x v="2"/>
  </r>
  <r>
    <x v="1"/>
    <s v="Stina Alm"/>
    <x v="0"/>
    <x v="303"/>
    <x v="303"/>
    <n v="4"/>
    <s v="ADET"/>
    <n v="0"/>
    <n v="46"/>
    <n v="26"/>
    <n v="-24"/>
    <n v="0"/>
    <n v="0"/>
    <n v="199.45"/>
    <x v="34"/>
    <n v="797.8"/>
    <x v="2"/>
  </r>
  <r>
    <x v="19"/>
    <s v="Volkan Batkan"/>
    <x v="0"/>
    <x v="250"/>
    <x v="250"/>
    <n v="2.5"/>
    <s v="ADET"/>
    <n v="2.5"/>
    <n v="52"/>
    <n v="10.269999999999982"/>
    <n v="-5.0300000000000011"/>
    <n v="0"/>
    <n v="0"/>
    <n v="28"/>
    <x v="14"/>
    <n v="70"/>
    <x v="2"/>
  </r>
  <r>
    <x v="17"/>
    <s v="Murat Taşdemir"/>
    <x v="0"/>
    <x v="250"/>
    <x v="250"/>
    <n v="3.92"/>
    <s v="ADET"/>
    <n v="0"/>
    <n v="52"/>
    <n v="10.269999999999982"/>
    <n v="-5.0300000000000011"/>
    <n v="0"/>
    <n v="0"/>
    <n v="28"/>
    <x v="14"/>
    <n v="109.75999999999999"/>
    <x v="2"/>
  </r>
  <r>
    <x v="16"/>
    <s v="Stefan Zaugg"/>
    <x v="0"/>
    <x v="284"/>
    <x v="284"/>
    <n v="1"/>
    <s v="ADET"/>
    <n v="0"/>
    <n v="104"/>
    <n v="-3.5527136788005009E-15"/>
    <n v="-81.349999999999994"/>
    <n v="0"/>
    <n v="0"/>
    <n v="22"/>
    <x v="14"/>
    <n v="22"/>
    <x v="2"/>
  </r>
  <r>
    <x v="17"/>
    <s v="Murat Taşdemir"/>
    <x v="0"/>
    <x v="284"/>
    <x v="284"/>
    <n v="1.46"/>
    <s v="ADET"/>
    <n v="0"/>
    <n v="104"/>
    <n v="-3.5527136788005009E-15"/>
    <n v="-81.349999999999994"/>
    <n v="0"/>
    <n v="0"/>
    <n v="22"/>
    <x v="14"/>
    <n v="32.119999999999997"/>
    <x v="2"/>
  </r>
  <r>
    <x v="19"/>
    <s v="Volkan Batkan"/>
    <x v="0"/>
    <x v="251"/>
    <x v="251"/>
    <n v="2"/>
    <s v="ADET"/>
    <n v="0"/>
    <n v="30"/>
    <n v="20"/>
    <n v="-7"/>
    <n v="0"/>
    <n v="0"/>
    <n v="62.5"/>
    <x v="21"/>
    <n v="125"/>
    <x v="2"/>
  </r>
  <r>
    <x v="16"/>
    <s v="Stefan Zaugg"/>
    <x v="0"/>
    <x v="251"/>
    <x v="251"/>
    <n v="1"/>
    <s v="ADET"/>
    <n v="0"/>
    <n v="30"/>
    <n v="20"/>
    <n v="-7"/>
    <n v="0"/>
    <n v="0"/>
    <n v="62.5"/>
    <x v="21"/>
    <n v="62.5"/>
    <x v="2"/>
  </r>
  <r>
    <x v="17"/>
    <s v="Murat Taşdemir"/>
    <x v="0"/>
    <x v="251"/>
    <x v="251"/>
    <n v="1"/>
    <s v="ADET"/>
    <n v="0"/>
    <n v="30"/>
    <n v="20"/>
    <n v="-7"/>
    <n v="0"/>
    <n v="0"/>
    <n v="62.5"/>
    <x v="21"/>
    <n v="62.5"/>
    <x v="2"/>
  </r>
  <r>
    <x v="6"/>
    <s v="Laurent MONTAGNER"/>
    <x v="0"/>
    <x v="302"/>
    <x v="302"/>
    <n v="0.3"/>
    <s v="KG"/>
    <n v="0"/>
    <n v="2.5"/>
    <n v="-4.9960036108132044E-16"/>
    <n v="-0.61999999999999922"/>
    <n v="0"/>
    <n v="0"/>
    <n v="2400"/>
    <x v="20"/>
    <n v="720"/>
    <x v="2"/>
  </r>
  <r>
    <x v="0"/>
    <s v="Soner Kayıkçı"/>
    <x v="0"/>
    <x v="302"/>
    <x v="302"/>
    <n v="7.0000000000000007E-2"/>
    <s v="KG"/>
    <n v="0"/>
    <n v="2.5"/>
    <n v="-4.9960036108132044E-16"/>
    <n v="-0.61999999999999922"/>
    <n v="0"/>
    <n v="0"/>
    <n v="2400"/>
    <x v="20"/>
    <n v="168.00000000000003"/>
    <x v="2"/>
  </r>
  <r>
    <x v="2"/>
    <s v="Laurent MONTAGNER"/>
    <x v="0"/>
    <x v="302"/>
    <x v="302"/>
    <n v="0.09"/>
    <s v="KG"/>
    <n v="0"/>
    <n v="2.5"/>
    <n v="-4.9960036108132044E-16"/>
    <n v="-0.61999999999999922"/>
    <n v="0"/>
    <n v="0"/>
    <n v="2400"/>
    <x v="20"/>
    <n v="216"/>
    <x v="2"/>
  </r>
  <r>
    <x v="6"/>
    <s v="Laurent MONTAGNER"/>
    <x v="0"/>
    <x v="304"/>
    <x v="304"/>
    <n v="16"/>
    <s v="ADET"/>
    <n v="0"/>
    <n v="200"/>
    <n v="343"/>
    <n v="-8"/>
    <n v="0"/>
    <n v="0"/>
    <n v="9"/>
    <x v="14"/>
    <n v="144"/>
    <x v="2"/>
  </r>
  <r>
    <x v="15"/>
    <s v="Jan Urbanek"/>
    <x v="0"/>
    <x v="250"/>
    <x v="250"/>
    <n v="2.5"/>
    <s v="ADET"/>
    <n v="0"/>
    <n v="52"/>
    <n v="10.269999999999982"/>
    <n v="-5.0300000000000011"/>
    <n v="0"/>
    <n v="0"/>
    <n v="28"/>
    <x v="14"/>
    <n v="70"/>
    <x v="2"/>
  </r>
  <r>
    <x v="5"/>
    <s v="Matteo Giolo"/>
    <x v="0"/>
    <x v="303"/>
    <x v="303"/>
    <n v="10"/>
    <s v="ADET"/>
    <n v="0"/>
    <n v="46"/>
    <n v="26"/>
    <n v="-24"/>
    <n v="0"/>
    <n v="0"/>
    <n v="199.45"/>
    <x v="34"/>
    <n v="1994.5"/>
    <x v="2"/>
  </r>
  <r>
    <x v="3"/>
    <s v="Stina Alm"/>
    <x v="0"/>
    <x v="303"/>
    <x v="303"/>
    <n v="4"/>
    <s v="ADET"/>
    <n v="0"/>
    <n v="46"/>
    <n v="26"/>
    <n v="-24"/>
    <n v="0"/>
    <n v="0"/>
    <n v="199.45"/>
    <x v="34"/>
    <n v="797.8"/>
    <x v="2"/>
  </r>
  <r>
    <x v="5"/>
    <s v="Matteo Giolo"/>
    <x v="0"/>
    <x v="302"/>
    <x v="302"/>
    <n v="0.09"/>
    <s v="KG"/>
    <n v="0"/>
    <n v="2.5"/>
    <n v="-4.9960036108132044E-16"/>
    <n v="-0.61999999999999922"/>
    <n v="0"/>
    <n v="0"/>
    <n v="2400"/>
    <x v="20"/>
    <n v="216"/>
    <x v="2"/>
  </r>
  <r>
    <x v="5"/>
    <s v="Matteo Giolo"/>
    <x v="0"/>
    <x v="253"/>
    <x v="253"/>
    <n v="1"/>
    <s v="ADET"/>
    <n v="0"/>
    <n v="7"/>
    <n v="10"/>
    <n v="-1"/>
    <n v="5"/>
    <n v="0"/>
    <n v="1200"/>
    <x v="35"/>
    <n v="1200"/>
    <x v="4"/>
  </r>
  <r>
    <x v="15"/>
    <s v="Jan Urbanek"/>
    <x v="0"/>
    <x v="246"/>
    <x v="246"/>
    <n v="2"/>
    <s v="ADET"/>
    <n v="0"/>
    <n v="75"/>
    <n v="42.70000000000006"/>
    <n v="-48.040000000000006"/>
    <n v="0"/>
    <n v="0"/>
    <n v="15"/>
    <x v="14"/>
    <n v="30"/>
    <x v="2"/>
  </r>
  <r>
    <x v="14"/>
    <s v="Stefan Zaugg"/>
    <x v="0"/>
    <x v="246"/>
    <x v="246"/>
    <n v="1.5"/>
    <s v="ADET"/>
    <n v="1.5"/>
    <n v="75"/>
    <n v="42.70000000000006"/>
    <n v="-48.040000000000006"/>
    <n v="0"/>
    <n v="0"/>
    <n v="15"/>
    <x v="14"/>
    <n v="22.5"/>
    <x v="2"/>
  </r>
  <r>
    <x v="19"/>
    <s v="Volkan Batkan"/>
    <x v="0"/>
    <x v="247"/>
    <x v="247"/>
    <n v="3"/>
    <s v="ADET"/>
    <n v="0"/>
    <n v="200"/>
    <n v="0"/>
    <n v="-188"/>
    <n v="0"/>
    <n v="0"/>
    <n v="10"/>
    <x v="2"/>
    <n v="30"/>
    <x v="2"/>
  </r>
  <r>
    <x v="17"/>
    <s v="Murat Taşdemir"/>
    <x v="0"/>
    <x v="248"/>
    <x v="248"/>
    <n v="24"/>
    <s v="ADET"/>
    <n v="0"/>
    <n v="2698"/>
    <n v="0"/>
    <n v="-2312"/>
    <n v="0"/>
    <n v="0"/>
    <n v="1.55"/>
    <x v="20"/>
    <n v="37.200000000000003"/>
    <x v="7"/>
  </r>
  <r>
    <x v="14"/>
    <s v="Stefan Zaugg"/>
    <x v="0"/>
    <x v="253"/>
    <x v="253"/>
    <n v="1"/>
    <s v="ADET"/>
    <n v="1"/>
    <n v="7"/>
    <n v="10"/>
    <n v="-1"/>
    <n v="5"/>
    <n v="0"/>
    <n v="1200"/>
    <x v="35"/>
    <n v="1200"/>
    <x v="4"/>
  </r>
  <r>
    <x v="19"/>
    <s v="Volkan Batkan"/>
    <x v="0"/>
    <x v="305"/>
    <x v="305"/>
    <n v="12"/>
    <s v="ADET"/>
    <n v="0"/>
    <n v="0"/>
    <n v="0"/>
    <n v="124"/>
    <n v="0"/>
    <n v="217"/>
    <n v="1.75"/>
    <x v="14"/>
    <n v="21"/>
    <x v="2"/>
  </r>
  <r>
    <x v="16"/>
    <s v="Stefan Zaugg"/>
    <x v="0"/>
    <x v="254"/>
    <x v="254"/>
    <n v="1"/>
    <s v="ADET"/>
    <n v="1"/>
    <n v="1"/>
    <n v="6"/>
    <n v="2"/>
    <n v="0"/>
    <n v="16849.34"/>
    <n v="8424.67"/>
    <x v="24"/>
    <n v="8424.67"/>
    <x v="6"/>
  </r>
  <r>
    <x v="13"/>
    <s v="Matteo Giolo"/>
    <x v="0"/>
    <x v="254"/>
    <x v="254"/>
    <n v="1"/>
    <s v="ADET"/>
    <n v="0"/>
    <n v="1"/>
    <n v="6"/>
    <n v="2"/>
    <n v="0"/>
    <n v="16849.34"/>
    <n v="8424.67"/>
    <x v="24"/>
    <n v="8424.67"/>
    <x v="6"/>
  </r>
  <r>
    <x v="15"/>
    <s v="Jan Urbanek"/>
    <x v="0"/>
    <x v="253"/>
    <x v="253"/>
    <n v="1"/>
    <s v="ADET"/>
    <n v="0"/>
    <n v="7"/>
    <n v="10"/>
    <n v="-1"/>
    <n v="5"/>
    <n v="0"/>
    <n v="1200"/>
    <x v="35"/>
    <n v="1200"/>
    <x v="4"/>
  </r>
  <r>
    <x v="5"/>
    <s v="Matteo Giolo"/>
    <x v="0"/>
    <x v="289"/>
    <x v="289"/>
    <n v="3"/>
    <s v="ADET"/>
    <n v="0"/>
    <n v="24"/>
    <n v="30"/>
    <n v="-24"/>
    <n v="50"/>
    <n v="0"/>
    <n v="37"/>
    <x v="10"/>
    <n v="111"/>
    <x v="4"/>
  </r>
  <r>
    <x v="5"/>
    <s v="Matteo Giolo"/>
    <x v="0"/>
    <x v="290"/>
    <x v="290"/>
    <n v="8"/>
    <s v="ADET"/>
    <n v="0"/>
    <n v="0"/>
    <n v="10.500000000000064"/>
    <n v="25"/>
    <n v="40"/>
    <n v="16666.75"/>
    <n v="666.67"/>
    <x v="63"/>
    <n v="5333.36"/>
    <x v="8"/>
  </r>
  <r>
    <x v="4"/>
    <s v="Stefan Zaugg"/>
    <x v="0"/>
    <x v="306"/>
    <x v="306"/>
    <n v="50"/>
    <s v="ADET"/>
    <n v="0"/>
    <n v="1000"/>
    <n v="439.00000000000023"/>
    <n v="-860"/>
    <n v="0"/>
    <n v="0"/>
    <n v="0.5"/>
    <x v="14"/>
    <n v="25"/>
    <x v="2"/>
  </r>
  <r>
    <x v="4"/>
    <s v="Stefan Zaugg"/>
    <x v="0"/>
    <x v="289"/>
    <x v="289"/>
    <n v="3"/>
    <s v="ADET"/>
    <n v="0"/>
    <n v="24"/>
    <n v="30"/>
    <n v="-24"/>
    <n v="50"/>
    <n v="0"/>
    <n v="37"/>
    <x v="10"/>
    <n v="111"/>
    <x v="4"/>
  </r>
  <r>
    <x v="3"/>
    <s v="Stina Alm"/>
    <x v="0"/>
    <x v="289"/>
    <x v="289"/>
    <n v="2"/>
    <s v="ADET"/>
    <n v="0"/>
    <n v="24"/>
    <n v="30"/>
    <n v="-24"/>
    <n v="50"/>
    <n v="0"/>
    <n v="37"/>
    <x v="10"/>
    <n v="74"/>
    <x v="4"/>
  </r>
  <r>
    <x v="11"/>
    <s v="Jan Urbanek"/>
    <x v="0"/>
    <x v="289"/>
    <x v="289"/>
    <n v="3"/>
    <s v="ADET"/>
    <n v="0"/>
    <n v="24"/>
    <n v="30"/>
    <n v="-24"/>
    <n v="50"/>
    <n v="0"/>
    <n v="37"/>
    <x v="10"/>
    <n v="111"/>
    <x v="4"/>
  </r>
  <r>
    <x v="2"/>
    <s v="Laurent MONTAGNER"/>
    <x v="0"/>
    <x v="307"/>
    <x v="307"/>
    <n v="4"/>
    <s v="ADET"/>
    <n v="0"/>
    <n v="0"/>
    <n v="0"/>
    <n v="4"/>
    <n v="0"/>
    <n v="40"/>
    <n v="10"/>
    <x v="49"/>
    <n v="40"/>
    <x v="7"/>
  </r>
  <r>
    <x v="2"/>
    <s v="Laurent MONTAGNER"/>
    <x v="0"/>
    <x v="291"/>
    <x v="291"/>
    <n v="2.5"/>
    <s v="METRE"/>
    <n v="0"/>
    <n v="0"/>
    <n v="285.5"/>
    <n v="11.5"/>
    <n v="0"/>
    <n v="662.4"/>
    <n v="57.6"/>
    <x v="15"/>
    <n v="144"/>
    <x v="7"/>
  </r>
  <r>
    <x v="19"/>
    <s v="Volkan Batkan"/>
    <x v="0"/>
    <x v="133"/>
    <x v="133"/>
    <n v="0.30000000000000004"/>
    <s v="METRE"/>
    <n v="0"/>
    <n v="0"/>
    <n v="93.800000000000011"/>
    <n v="5.0999999999999996"/>
    <n v="0"/>
    <n v="34.526999999999994"/>
    <n v="6.77"/>
    <x v="49"/>
    <n v="2.0310000000000001"/>
    <x v="7"/>
  </r>
  <r>
    <x v="3"/>
    <s v="Stina Alm"/>
    <x v="0"/>
    <x v="288"/>
    <x v="288"/>
    <n v="1"/>
    <s v="ADET"/>
    <n v="0"/>
    <n v="13"/>
    <n v="13"/>
    <n v="-1"/>
    <n v="0"/>
    <n v="0"/>
    <n v="237.5"/>
    <x v="21"/>
    <n v="237.5"/>
    <x v="2"/>
  </r>
  <r>
    <x v="16"/>
    <s v="Stefan Zaugg"/>
    <x v="0"/>
    <x v="308"/>
    <x v="308"/>
    <n v="40"/>
    <s v="M2"/>
    <n v="0"/>
    <n v="0"/>
    <n v="68.954999999999956"/>
    <n v="40"/>
    <n v="0"/>
    <n v="8381.6"/>
    <n v="209.54"/>
    <x v="63"/>
    <n v="8381.6"/>
    <x v="8"/>
  </r>
  <r>
    <x v="13"/>
    <s v="Matteo Giolo"/>
    <x v="0"/>
    <x v="288"/>
    <x v="288"/>
    <n v="1"/>
    <s v="ADET"/>
    <n v="0"/>
    <n v="13"/>
    <n v="13"/>
    <n v="-1"/>
    <n v="0"/>
    <n v="0"/>
    <n v="237.5"/>
    <x v="21"/>
    <n v="237.5"/>
    <x v="2"/>
  </r>
  <r>
    <x v="15"/>
    <s v="Jan Urbanek"/>
    <x v="0"/>
    <x v="309"/>
    <x v="309"/>
    <n v="2"/>
    <s v="ADET"/>
    <n v="0"/>
    <n v="288"/>
    <n v="94"/>
    <n v="-260"/>
    <n v="0"/>
    <n v="0"/>
    <n v="4"/>
    <x v="20"/>
    <n v="8"/>
    <x v="7"/>
  </r>
  <r>
    <x v="13"/>
    <s v="Matteo Giolo"/>
    <x v="0"/>
    <x v="309"/>
    <x v="309"/>
    <n v="2"/>
    <s v="ADET"/>
    <n v="0"/>
    <n v="288"/>
    <n v="94"/>
    <n v="-260"/>
    <n v="0"/>
    <n v="0"/>
    <n v="4"/>
    <x v="20"/>
    <n v="8"/>
    <x v="7"/>
  </r>
  <r>
    <x v="7"/>
    <s v="Laurent MONTAGNER"/>
    <x v="0"/>
    <x v="205"/>
    <x v="205"/>
    <n v="15"/>
    <s v="ADET"/>
    <n v="0"/>
    <n v="350"/>
    <n v="210"/>
    <n v="-245"/>
    <n v="0"/>
    <n v="0"/>
    <n v="4"/>
    <x v="2"/>
    <n v="60"/>
    <x v="2"/>
  </r>
  <r>
    <x v="5"/>
    <s v="Matteo Giolo"/>
    <x v="0"/>
    <x v="288"/>
    <x v="288"/>
    <n v="2"/>
    <s v="ADET"/>
    <n v="0"/>
    <n v="13"/>
    <n v="13"/>
    <n v="-1"/>
    <n v="0"/>
    <n v="0"/>
    <n v="237.5"/>
    <x v="21"/>
    <n v="475"/>
    <x v="2"/>
  </r>
  <r>
    <x v="15"/>
    <s v="Jan Urbanek"/>
    <x v="0"/>
    <x v="180"/>
    <x v="180"/>
    <n v="9"/>
    <s v="METRE"/>
    <n v="0"/>
    <n v="480"/>
    <n v="0"/>
    <n v="-408"/>
    <n v="0"/>
    <n v="0"/>
    <n v="4"/>
    <x v="5"/>
    <n v="36"/>
    <x v="8"/>
  </r>
  <r>
    <x v="14"/>
    <s v="Stefan Zaugg"/>
    <x v="0"/>
    <x v="288"/>
    <x v="288"/>
    <n v="1"/>
    <s v="ADET"/>
    <n v="1"/>
    <n v="13"/>
    <n v="13"/>
    <n v="-1"/>
    <n v="0"/>
    <n v="0"/>
    <n v="237.5"/>
    <x v="21"/>
    <n v="237.5"/>
    <x v="2"/>
  </r>
  <r>
    <x v="17"/>
    <s v="Murat Taşdemir"/>
    <x v="0"/>
    <x v="310"/>
    <x v="310"/>
    <n v="1"/>
    <s v="ADET"/>
    <n v="1"/>
    <n v="5"/>
    <n v="6"/>
    <n v="-4"/>
    <n v="0"/>
    <n v="0"/>
    <n v="8495.43"/>
    <x v="34"/>
    <n v="8495.43"/>
    <x v="6"/>
  </r>
  <r>
    <x v="15"/>
    <s v="Jan Urbanek"/>
    <x v="0"/>
    <x v="311"/>
    <x v="311"/>
    <n v="22"/>
    <s v="MT"/>
    <n v="0"/>
    <n v="200"/>
    <n v="86"/>
    <n v="220"/>
    <n v="0"/>
    <n v="23100"/>
    <n v="105"/>
    <x v="78"/>
    <n v="2310"/>
    <x v="5"/>
  </r>
  <r>
    <x v="13"/>
    <s v="Matteo Giolo"/>
    <x v="0"/>
    <x v="311"/>
    <x v="311"/>
    <n v="22"/>
    <s v="MT"/>
    <n v="0"/>
    <n v="200"/>
    <n v="86"/>
    <n v="220"/>
    <n v="0"/>
    <n v="23100"/>
    <n v="105"/>
    <x v="78"/>
    <n v="2310"/>
    <x v="5"/>
  </r>
  <r>
    <x v="13"/>
    <s v="Matteo Giolo"/>
    <x v="0"/>
    <x v="205"/>
    <x v="205"/>
    <n v="15"/>
    <s v="ADET"/>
    <n v="0"/>
    <n v="350"/>
    <n v="210"/>
    <n v="-245"/>
    <n v="0"/>
    <n v="0"/>
    <n v="4"/>
    <x v="2"/>
    <n v="60"/>
    <x v="2"/>
  </r>
  <r>
    <x v="15"/>
    <s v="Jan Urbanek"/>
    <x v="0"/>
    <x v="266"/>
    <x v="266"/>
    <n v="1"/>
    <s v="ADET"/>
    <n v="0"/>
    <n v="21"/>
    <n v="10"/>
    <n v="-50"/>
    <n v="40"/>
    <n v="0"/>
    <n v="312"/>
    <x v="35"/>
    <n v="312"/>
    <x v="6"/>
  </r>
  <r>
    <x v="13"/>
    <s v="Matteo Giolo"/>
    <x v="0"/>
    <x v="266"/>
    <x v="266"/>
    <n v="1"/>
    <s v="ADET"/>
    <n v="0"/>
    <n v="21"/>
    <n v="10"/>
    <n v="-50"/>
    <n v="40"/>
    <n v="0"/>
    <n v="312"/>
    <x v="35"/>
    <n v="312"/>
    <x v="6"/>
  </r>
  <r>
    <x v="17"/>
    <s v="Murat Taşdemir"/>
    <x v="0"/>
    <x v="311"/>
    <x v="311"/>
    <n v="22"/>
    <s v="MT"/>
    <n v="0"/>
    <n v="200"/>
    <n v="86"/>
    <n v="220"/>
    <n v="0"/>
    <n v="23100"/>
    <n v="105"/>
    <x v="78"/>
    <n v="2310"/>
    <x v="5"/>
  </r>
  <r>
    <x v="3"/>
    <s v="Stina Alm"/>
    <x v="0"/>
    <x v="266"/>
    <x v="266"/>
    <n v="1"/>
    <s v="ADET"/>
    <n v="0"/>
    <n v="21"/>
    <n v="10"/>
    <n v="-50"/>
    <n v="40"/>
    <n v="0"/>
    <n v="312"/>
    <x v="35"/>
    <n v="312"/>
    <x v="6"/>
  </r>
  <r>
    <x v="13"/>
    <s v="Matteo Giolo"/>
    <x v="0"/>
    <x v="282"/>
    <x v="282"/>
    <n v="7"/>
    <s v="ADET"/>
    <n v="0"/>
    <n v="300"/>
    <n v="325"/>
    <n v="-192"/>
    <n v="0"/>
    <n v="0"/>
    <n v="12"/>
    <x v="2"/>
    <n v="84"/>
    <x v="2"/>
  </r>
  <r>
    <x v="15"/>
    <s v="Jan Urbanek"/>
    <x v="0"/>
    <x v="282"/>
    <x v="282"/>
    <n v="7"/>
    <s v="ADET"/>
    <n v="0"/>
    <n v="300"/>
    <n v="325"/>
    <n v="-192"/>
    <n v="0"/>
    <n v="0"/>
    <n v="12"/>
    <x v="2"/>
    <n v="84"/>
    <x v="2"/>
  </r>
  <r>
    <x v="16"/>
    <s v="Stefan Zaugg"/>
    <x v="0"/>
    <x v="280"/>
    <x v="280"/>
    <n v="0.8"/>
    <s v="METRE"/>
    <n v="0"/>
    <n v="20"/>
    <n v="0"/>
    <n v="-10.4"/>
    <n v="0"/>
    <n v="0"/>
    <n v="38.33"/>
    <x v="61"/>
    <n v="30.664000000000001"/>
    <x v="2"/>
  </r>
  <r>
    <x v="13"/>
    <s v="Matteo Giolo"/>
    <x v="0"/>
    <x v="280"/>
    <x v="280"/>
    <n v="1"/>
    <s v="METRE"/>
    <n v="0"/>
    <n v="20"/>
    <n v="0"/>
    <n v="-10.4"/>
    <n v="0"/>
    <n v="0"/>
    <n v="38.33"/>
    <x v="61"/>
    <n v="38.33"/>
    <x v="2"/>
  </r>
  <r>
    <x v="13"/>
    <s v="Matteo Giolo"/>
    <x v="0"/>
    <x v="281"/>
    <x v="281"/>
    <n v="7"/>
    <s v="ADET"/>
    <n v="0"/>
    <n v="150"/>
    <n v="78"/>
    <n v="-48"/>
    <n v="0"/>
    <n v="0"/>
    <n v="20.83"/>
    <x v="2"/>
    <n v="145.81"/>
    <x v="2"/>
  </r>
  <r>
    <x v="16"/>
    <s v="Stefan Zaugg"/>
    <x v="0"/>
    <x v="283"/>
    <x v="283"/>
    <n v="0.8"/>
    <s v="ADET"/>
    <n v="0"/>
    <n v="0"/>
    <n v="11"/>
    <n v="20.000000000000007"/>
    <n v="4"/>
    <n v="36666.600000000013"/>
    <n v="1833.33"/>
    <x v="63"/>
    <n v="1466.664"/>
    <x v="8"/>
  </r>
  <r>
    <x v="13"/>
    <s v="Matteo Giolo"/>
    <x v="0"/>
    <x v="285"/>
    <x v="285"/>
    <n v="1.5"/>
    <s v="ADET"/>
    <n v="0"/>
    <n v="48"/>
    <n v="26"/>
    <n v="-19.5"/>
    <n v="0"/>
    <n v="0"/>
    <n v="5"/>
    <x v="14"/>
    <n v="7.5"/>
    <x v="2"/>
  </r>
  <r>
    <x v="16"/>
    <s v="Stefan Zaugg"/>
    <x v="0"/>
    <x v="287"/>
    <x v="287"/>
    <n v="11"/>
    <s v="ADET"/>
    <n v="0"/>
    <n v="3000"/>
    <n v="0"/>
    <n v="-2847"/>
    <n v="0"/>
    <n v="0"/>
    <n v="0.7"/>
    <x v="14"/>
    <n v="7.6999999999999993"/>
    <x v="2"/>
  </r>
  <r>
    <x v="13"/>
    <s v="Matteo Giolo"/>
    <x v="0"/>
    <x v="287"/>
    <x v="287"/>
    <n v="7"/>
    <s v="ADET"/>
    <n v="0"/>
    <n v="3000"/>
    <n v="0"/>
    <n v="-2847"/>
    <n v="0"/>
    <n v="0"/>
    <n v="0.7"/>
    <x v="14"/>
    <n v="4.8999999999999995"/>
    <x v="2"/>
  </r>
  <r>
    <x v="14"/>
    <s v="Stefan Zaugg"/>
    <x v="0"/>
    <x v="287"/>
    <x v="287"/>
    <n v="11"/>
    <s v="ADET"/>
    <n v="0"/>
    <n v="3000"/>
    <n v="0"/>
    <n v="-2847"/>
    <n v="0"/>
    <n v="0"/>
    <n v="0.7"/>
    <x v="14"/>
    <n v="7.6999999999999993"/>
    <x v="2"/>
  </r>
  <r>
    <x v="12"/>
    <s v="Matteo Giolo"/>
    <x v="0"/>
    <x v="167"/>
    <x v="167"/>
    <n v="1"/>
    <s v="ADET"/>
    <n v="0"/>
    <n v="13"/>
    <n v="9"/>
    <n v="-1"/>
    <n v="0"/>
    <n v="0"/>
    <n v="270"/>
    <x v="20"/>
    <n v="270"/>
    <x v="7"/>
  </r>
  <r>
    <x v="15"/>
    <s v="Jan Urbanek"/>
    <x v="0"/>
    <x v="165"/>
    <x v="165"/>
    <n v="4"/>
    <s v="ADET"/>
    <n v="0"/>
    <n v="105"/>
    <n v="56"/>
    <n v="-8"/>
    <n v="0"/>
    <n v="0"/>
    <n v="72.599999999999994"/>
    <x v="14"/>
    <n v="290.39999999999998"/>
    <x v="4"/>
  </r>
  <r>
    <x v="5"/>
    <s v="Matteo Giolo"/>
    <x v="0"/>
    <x v="202"/>
    <x v="202"/>
    <n v="9"/>
    <s v="METRE"/>
    <n v="0"/>
    <n v="0"/>
    <n v="344"/>
    <n v="54"/>
    <n v="0"/>
    <n v="1102.68"/>
    <n v="20.420000000000002"/>
    <x v="63"/>
    <n v="183.78000000000003"/>
    <x v="8"/>
  </r>
  <r>
    <x v="14"/>
    <s v="Stefan Zaugg"/>
    <x v="0"/>
    <x v="163"/>
    <x v="163"/>
    <n v="6"/>
    <s v="METRE"/>
    <n v="0"/>
    <n v="100"/>
    <n v="50"/>
    <n v="-16"/>
    <n v="0"/>
    <n v="0"/>
    <n v="46"/>
    <x v="55"/>
    <n v="276"/>
    <x v="7"/>
  </r>
  <r>
    <x v="15"/>
    <s v="Jan Urbanek"/>
    <x v="0"/>
    <x v="164"/>
    <x v="164"/>
    <n v="2"/>
    <s v="ADET"/>
    <n v="0"/>
    <n v="3"/>
    <n v="0"/>
    <n v="13"/>
    <n v="0"/>
    <n v="702"/>
    <n v="54"/>
    <x v="2"/>
    <n v="108"/>
    <x v="2"/>
  </r>
  <r>
    <x v="5"/>
    <s v="Matteo Giolo"/>
    <x v="0"/>
    <x v="165"/>
    <x v="165"/>
    <n v="6"/>
    <s v="ADET"/>
    <n v="0"/>
    <n v="105"/>
    <n v="56"/>
    <n v="-8"/>
    <n v="0"/>
    <n v="0"/>
    <n v="72.599999999999994"/>
    <x v="14"/>
    <n v="435.59999999999997"/>
    <x v="4"/>
  </r>
  <r>
    <x v="4"/>
    <s v="Stefan Zaugg"/>
    <x v="0"/>
    <x v="165"/>
    <x v="165"/>
    <n v="6"/>
    <s v="ADET"/>
    <n v="0"/>
    <n v="105"/>
    <n v="56"/>
    <n v="-8"/>
    <n v="0"/>
    <n v="0"/>
    <n v="72.599999999999994"/>
    <x v="14"/>
    <n v="435.59999999999997"/>
    <x v="4"/>
  </r>
  <r>
    <x v="3"/>
    <s v="Stina Alm"/>
    <x v="0"/>
    <x v="166"/>
    <x v="166"/>
    <n v="3"/>
    <s v="M2"/>
    <n v="0"/>
    <n v="0"/>
    <n v="-1.4210854715202004E-14"/>
    <n v="52"/>
    <n v="0"/>
    <n v="28423.200000000001"/>
    <n v="546.6"/>
    <x v="56"/>
    <n v="1639.8000000000002"/>
    <x v="8"/>
  </r>
  <r>
    <x v="3"/>
    <s v="Stina Alm"/>
    <x v="0"/>
    <x v="167"/>
    <x v="167"/>
    <n v="1"/>
    <s v="ADET"/>
    <n v="0"/>
    <n v="13"/>
    <n v="9"/>
    <n v="-1"/>
    <n v="0"/>
    <n v="0"/>
    <n v="270"/>
    <x v="20"/>
    <n v="270"/>
    <x v="7"/>
  </r>
  <r>
    <x v="19"/>
    <s v="Volkan Batkan"/>
    <x v="0"/>
    <x v="165"/>
    <x v="165"/>
    <n v="4"/>
    <s v="ADET"/>
    <n v="0"/>
    <n v="105"/>
    <n v="56"/>
    <n v="-8"/>
    <n v="0"/>
    <n v="0"/>
    <n v="72.599999999999994"/>
    <x v="14"/>
    <n v="290.39999999999998"/>
    <x v="4"/>
  </r>
  <r>
    <x v="16"/>
    <s v="Stefan Zaugg"/>
    <x v="0"/>
    <x v="165"/>
    <x v="165"/>
    <n v="6"/>
    <s v="ADET"/>
    <n v="0"/>
    <n v="105"/>
    <n v="56"/>
    <n v="-8"/>
    <n v="0"/>
    <n v="0"/>
    <n v="72.599999999999994"/>
    <x v="14"/>
    <n v="435.59999999999997"/>
    <x v="4"/>
  </r>
  <r>
    <x v="14"/>
    <s v="Stefan Zaugg"/>
    <x v="0"/>
    <x v="165"/>
    <x v="165"/>
    <n v="6"/>
    <s v="ADET"/>
    <n v="0"/>
    <n v="105"/>
    <n v="56"/>
    <n v="-8"/>
    <n v="0"/>
    <n v="0"/>
    <n v="72.599999999999994"/>
    <x v="14"/>
    <n v="435.59999999999997"/>
    <x v="4"/>
  </r>
  <r>
    <x v="19"/>
    <s v="Volkan Batkan"/>
    <x v="0"/>
    <x v="166"/>
    <x v="166"/>
    <n v="2"/>
    <s v="M2"/>
    <n v="0"/>
    <n v="0"/>
    <n v="-1.4210854715202004E-14"/>
    <n v="52"/>
    <n v="0"/>
    <n v="28423.200000000001"/>
    <n v="546.6"/>
    <x v="56"/>
    <n v="1093.2"/>
    <x v="8"/>
  </r>
  <r>
    <x v="15"/>
    <s v="Jan Urbanek"/>
    <x v="0"/>
    <x v="166"/>
    <x v="166"/>
    <n v="2"/>
    <s v="M2"/>
    <n v="0"/>
    <n v="0"/>
    <n v="-1.4210854715202004E-14"/>
    <n v="52"/>
    <n v="0"/>
    <n v="28423.200000000001"/>
    <n v="546.6"/>
    <x v="56"/>
    <n v="1093.2"/>
    <x v="8"/>
  </r>
  <r>
    <x v="19"/>
    <s v="Volkan Batkan"/>
    <x v="0"/>
    <x v="163"/>
    <x v="163"/>
    <n v="6"/>
    <s v="METRE"/>
    <n v="0"/>
    <n v="100"/>
    <n v="50"/>
    <n v="-16"/>
    <n v="0"/>
    <n v="0"/>
    <n v="46"/>
    <x v="55"/>
    <n v="276"/>
    <x v="7"/>
  </r>
  <r>
    <x v="16"/>
    <s v="Stefan Zaugg"/>
    <x v="0"/>
    <x v="163"/>
    <x v="163"/>
    <n v="6"/>
    <s v="METRE"/>
    <n v="0"/>
    <n v="100"/>
    <n v="50"/>
    <n v="-16"/>
    <n v="0"/>
    <n v="0"/>
    <n v="46"/>
    <x v="55"/>
    <n v="276"/>
    <x v="7"/>
  </r>
  <r>
    <x v="5"/>
    <s v="Matteo Giolo"/>
    <x v="0"/>
    <x v="167"/>
    <x v="167"/>
    <n v="1"/>
    <s v="ADET"/>
    <n v="0"/>
    <n v="13"/>
    <n v="9"/>
    <n v="-1"/>
    <n v="0"/>
    <n v="0"/>
    <n v="270"/>
    <x v="20"/>
    <n v="270"/>
    <x v="7"/>
  </r>
  <r>
    <x v="4"/>
    <s v="Stefan Zaugg"/>
    <x v="0"/>
    <x v="300"/>
    <x v="300"/>
    <n v="1"/>
    <s v="ADET"/>
    <n v="0"/>
    <n v="39"/>
    <n v="2"/>
    <n v="-19"/>
    <n v="0"/>
    <n v="0"/>
    <n v="65"/>
    <x v="10"/>
    <n v="65"/>
    <x v="4"/>
  </r>
  <r>
    <x v="4"/>
    <s v="Stefan Zaugg"/>
    <x v="0"/>
    <x v="301"/>
    <x v="301"/>
    <n v="1"/>
    <s v="ADET"/>
    <n v="0"/>
    <n v="5"/>
    <n v="4"/>
    <n v="2"/>
    <n v="0"/>
    <n v="3359.06"/>
    <n v="1679.53"/>
    <x v="74"/>
    <n v="1679.53"/>
    <x v="4"/>
  </r>
  <r>
    <x v="1"/>
    <s v="Stina Alm"/>
    <x v="0"/>
    <x v="300"/>
    <x v="300"/>
    <n v="1"/>
    <s v="ADET"/>
    <n v="0"/>
    <n v="39"/>
    <n v="2"/>
    <n v="-19"/>
    <n v="0"/>
    <n v="0"/>
    <n v="65"/>
    <x v="10"/>
    <n v="65"/>
    <x v="4"/>
  </r>
  <r>
    <x v="17"/>
    <s v="Murat Taşdemir"/>
    <x v="0"/>
    <x v="132"/>
    <x v="132"/>
    <n v="1"/>
    <s v="ADET"/>
    <n v="0"/>
    <n v="0"/>
    <n v="7"/>
    <n v="19"/>
    <n v="0"/>
    <n v="760"/>
    <n v="40"/>
    <x v="49"/>
    <n v="40"/>
    <x v="7"/>
  </r>
  <r>
    <x v="2"/>
    <s v="Laurent MONTAGNER"/>
    <x v="0"/>
    <x v="298"/>
    <x v="298"/>
    <n v="2"/>
    <s v="ADET"/>
    <n v="0"/>
    <n v="34"/>
    <n v="27"/>
    <n v="-6"/>
    <n v="0"/>
    <n v="0"/>
    <n v="500"/>
    <x v="9"/>
    <n v="1000"/>
    <x v="6"/>
  </r>
  <r>
    <x v="0"/>
    <s v="Soner Kayıkçı"/>
    <x v="0"/>
    <x v="298"/>
    <x v="298"/>
    <n v="2"/>
    <s v="ADET"/>
    <n v="0"/>
    <n v="34"/>
    <n v="27"/>
    <n v="-6"/>
    <n v="0"/>
    <n v="0"/>
    <n v="500"/>
    <x v="9"/>
    <n v="1000"/>
    <x v="6"/>
  </r>
  <r>
    <x v="2"/>
    <s v="Laurent MONTAGNER"/>
    <x v="0"/>
    <x v="299"/>
    <x v="299"/>
    <n v="1"/>
    <s v="ADET"/>
    <n v="0"/>
    <n v="23"/>
    <n v="17"/>
    <n v="-8"/>
    <n v="0"/>
    <n v="0"/>
    <n v="750"/>
    <x v="9"/>
    <n v="750"/>
    <x v="6"/>
  </r>
  <r>
    <x v="0"/>
    <s v="Soner Kayıkçı"/>
    <x v="0"/>
    <x v="299"/>
    <x v="299"/>
    <n v="1"/>
    <s v="ADET"/>
    <n v="0"/>
    <n v="23"/>
    <n v="17"/>
    <n v="-8"/>
    <n v="0"/>
    <n v="0"/>
    <n v="750"/>
    <x v="9"/>
    <n v="750"/>
    <x v="6"/>
  </r>
  <r>
    <x v="2"/>
    <s v="Laurent MONTAGNER"/>
    <x v="0"/>
    <x v="300"/>
    <x v="300"/>
    <n v="1"/>
    <s v="ADET"/>
    <n v="0"/>
    <n v="39"/>
    <n v="2"/>
    <n v="-19"/>
    <n v="0"/>
    <n v="0"/>
    <n v="65"/>
    <x v="10"/>
    <n v="65"/>
    <x v="4"/>
  </r>
  <r>
    <x v="13"/>
    <s v="Matteo Giolo"/>
    <x v="0"/>
    <x v="132"/>
    <x v="132"/>
    <n v="1"/>
    <s v="ADET"/>
    <n v="0"/>
    <n v="0"/>
    <n v="7"/>
    <n v="19"/>
    <n v="0"/>
    <n v="760"/>
    <n v="40"/>
    <x v="49"/>
    <n v="40"/>
    <x v="7"/>
  </r>
  <r>
    <x v="15"/>
    <s v="Jan Urbanek"/>
    <x v="0"/>
    <x v="132"/>
    <x v="132"/>
    <n v="1"/>
    <s v="ADET"/>
    <n v="0"/>
    <n v="0"/>
    <n v="7"/>
    <n v="19"/>
    <n v="0"/>
    <n v="760"/>
    <n v="40"/>
    <x v="49"/>
    <n v="40"/>
    <x v="7"/>
  </r>
  <r>
    <x v="12"/>
    <s v="Matteo Giolo"/>
    <x v="0"/>
    <x v="229"/>
    <x v="229"/>
    <n v="2"/>
    <s v="ADET"/>
    <n v="0"/>
    <n v="50"/>
    <n v="33"/>
    <n v="-15"/>
    <n v="0"/>
    <n v="0"/>
    <n v="72.599999999999994"/>
    <x v="14"/>
    <n v="145.19999999999999"/>
    <x v="4"/>
  </r>
  <r>
    <x v="13"/>
    <s v="Matteo Giolo"/>
    <x v="0"/>
    <x v="209"/>
    <x v="209"/>
    <n v="1"/>
    <s v="ADET"/>
    <n v="0"/>
    <n v="6"/>
    <n v="7"/>
    <n v="2"/>
    <n v="0"/>
    <n v="4960.92"/>
    <n v="2480.46"/>
    <x v="13"/>
    <n v="2480.46"/>
    <x v="7"/>
  </r>
  <r>
    <x v="15"/>
    <s v="Jan Urbanek"/>
    <x v="0"/>
    <x v="217"/>
    <x v="217"/>
    <n v="4"/>
    <s v="ADET"/>
    <n v="0"/>
    <n v="39"/>
    <n v="32"/>
    <n v="-11"/>
    <n v="0"/>
    <n v="0"/>
    <n v="73.349999999999994"/>
    <x v="13"/>
    <n v="293.39999999999998"/>
    <x v="7"/>
  </r>
  <r>
    <x v="13"/>
    <s v="Matteo Giolo"/>
    <x v="0"/>
    <x v="217"/>
    <x v="217"/>
    <n v="4"/>
    <s v="ADET"/>
    <n v="0"/>
    <n v="39"/>
    <n v="32"/>
    <n v="-11"/>
    <n v="0"/>
    <n v="0"/>
    <n v="73.349999999999994"/>
    <x v="13"/>
    <n v="293.39999999999998"/>
    <x v="7"/>
  </r>
  <r>
    <x v="15"/>
    <s v="Jan Urbanek"/>
    <x v="0"/>
    <x v="219"/>
    <x v="219"/>
    <n v="0.5"/>
    <s v="ADET"/>
    <n v="0"/>
    <n v="100"/>
    <n v="41"/>
    <n v="-89.5"/>
    <n v="0"/>
    <n v="0"/>
    <n v="60"/>
    <x v="20"/>
    <n v="30"/>
    <x v="2"/>
  </r>
  <r>
    <x v="15"/>
    <s v="Jan Urbanek"/>
    <x v="0"/>
    <x v="220"/>
    <x v="220"/>
    <n v="0.5099999999999999"/>
    <s v="ADET"/>
    <n v="0"/>
    <n v="10"/>
    <n v="126.66400000000034"/>
    <n v="-1.1600000000000001"/>
    <n v="0"/>
    <n v="0"/>
    <n v="185"/>
    <x v="14"/>
    <n v="94.34999999999998"/>
    <x v="2"/>
  </r>
  <r>
    <x v="13"/>
    <s v="Matteo Giolo"/>
    <x v="0"/>
    <x v="220"/>
    <x v="220"/>
    <n v="0.69"/>
    <s v="ADET"/>
    <n v="0"/>
    <n v="10"/>
    <n v="126.66400000000034"/>
    <n v="-1.1600000000000001"/>
    <n v="0"/>
    <n v="0"/>
    <n v="185"/>
    <x v="14"/>
    <n v="127.64999999999999"/>
    <x v="2"/>
  </r>
  <r>
    <x v="15"/>
    <s v="Jan Urbanek"/>
    <x v="0"/>
    <x v="221"/>
    <x v="221"/>
    <n v="3"/>
    <s v="ADET"/>
    <n v="0"/>
    <n v="228"/>
    <n v="4.2632564145606011E-14"/>
    <n v="-186"/>
    <n v="0"/>
    <n v="0"/>
    <n v="6"/>
    <x v="28"/>
    <n v="18"/>
    <x v="2"/>
  </r>
  <r>
    <x v="13"/>
    <s v="Matteo Giolo"/>
    <x v="0"/>
    <x v="221"/>
    <x v="221"/>
    <n v="3"/>
    <s v="ADET"/>
    <n v="0"/>
    <n v="228"/>
    <n v="4.2632564145606011E-14"/>
    <n v="-186"/>
    <n v="0"/>
    <n v="0"/>
    <n v="6"/>
    <x v="28"/>
    <n v="18"/>
    <x v="2"/>
  </r>
  <r>
    <x v="15"/>
    <s v="Jan Urbanek"/>
    <x v="0"/>
    <x v="228"/>
    <x v="228"/>
    <n v="0.25"/>
    <s v="METRE"/>
    <n v="0"/>
    <n v="52"/>
    <n v="38.620000000000005"/>
    <n v="-47.39"/>
    <n v="0"/>
    <n v="0"/>
    <n v="126.36"/>
    <x v="70"/>
    <n v="31.59"/>
    <x v="4"/>
  </r>
  <r>
    <x v="13"/>
    <s v="Matteo Giolo"/>
    <x v="0"/>
    <x v="228"/>
    <x v="228"/>
    <n v="0.23"/>
    <s v="METRE"/>
    <n v="0"/>
    <n v="52"/>
    <n v="38.620000000000005"/>
    <n v="-47.39"/>
    <n v="0"/>
    <n v="0"/>
    <n v="126.36"/>
    <x v="70"/>
    <n v="29.062800000000003"/>
    <x v="4"/>
  </r>
  <r>
    <x v="17"/>
    <s v="Murat Taşdemir"/>
    <x v="1"/>
    <x v="312"/>
    <x v="312"/>
    <n v="1"/>
    <s v="ADET"/>
    <n v="1"/>
    <n v="25"/>
    <n v="4"/>
    <n v="-20"/>
    <n v="0"/>
    <n v="0"/>
    <n v="2800"/>
    <x v="79"/>
    <n v="2800"/>
    <x v="6"/>
  </r>
  <r>
    <x v="16"/>
    <s v="Stefan Zaugg"/>
    <x v="0"/>
    <x v="313"/>
    <x v="313"/>
    <n v="16"/>
    <s v="ADET"/>
    <n v="0"/>
    <n v="150"/>
    <n v="0"/>
    <n v="194"/>
    <n v="0"/>
    <n v="5383.5"/>
    <n v="27.75"/>
    <x v="80"/>
    <n v="444"/>
    <x v="5"/>
  </r>
  <r>
    <x v="17"/>
    <s v="Murat Taşdemir"/>
    <x v="0"/>
    <x v="313"/>
    <x v="313"/>
    <n v="21"/>
    <s v="ADET"/>
    <n v="0"/>
    <n v="150"/>
    <n v="0"/>
    <n v="194"/>
    <n v="0"/>
    <n v="5383.5"/>
    <n v="27.75"/>
    <x v="80"/>
    <n v="582.75"/>
    <x v="5"/>
  </r>
  <r>
    <x v="17"/>
    <s v="Murat Taşdemir"/>
    <x v="0"/>
    <x v="224"/>
    <x v="224"/>
    <n v="5"/>
    <s v="ADET"/>
    <n v="0"/>
    <n v="0"/>
    <n v="75"/>
    <n v="102"/>
    <n v="0"/>
    <n v="10710"/>
    <n v="105"/>
    <x v="68"/>
    <n v="525"/>
    <x v="4"/>
  </r>
  <r>
    <x v="17"/>
    <s v="Murat Taşdemir"/>
    <x v="0"/>
    <x v="229"/>
    <x v="229"/>
    <n v="2"/>
    <s v="ADET"/>
    <n v="0"/>
    <n v="50"/>
    <n v="33"/>
    <n v="-15"/>
    <n v="0"/>
    <n v="0"/>
    <n v="72.599999999999994"/>
    <x v="14"/>
    <n v="145.19999999999999"/>
    <x v="4"/>
  </r>
  <r>
    <x v="13"/>
    <s v="Matteo Giolo"/>
    <x v="0"/>
    <x v="253"/>
    <x v="253"/>
    <n v="1"/>
    <s v="ADET"/>
    <n v="0"/>
    <n v="7"/>
    <n v="10"/>
    <n v="-1"/>
    <n v="5"/>
    <n v="0"/>
    <n v="1200"/>
    <x v="35"/>
    <n v="1200"/>
    <x v="4"/>
  </r>
  <r>
    <x v="17"/>
    <s v="Murat Taşdemir"/>
    <x v="0"/>
    <x v="314"/>
    <x v="314"/>
    <n v="15"/>
    <s v="M2"/>
    <n v="0"/>
    <n v="0"/>
    <n v="139.96999999999997"/>
    <n v="74.11"/>
    <n v="11.89"/>
    <n v="21706.819"/>
    <n v="292.89999999999998"/>
    <x v="63"/>
    <n v="4393.5"/>
    <x v="8"/>
  </r>
  <r>
    <x v="15"/>
    <s v="Jan Urbanek"/>
    <x v="0"/>
    <x v="305"/>
    <x v="305"/>
    <n v="12"/>
    <s v="ADET"/>
    <n v="0"/>
    <n v="0"/>
    <n v="0"/>
    <n v="124"/>
    <n v="0"/>
    <n v="217"/>
    <n v="1.75"/>
    <x v="14"/>
    <n v="21"/>
    <x v="2"/>
  </r>
  <r>
    <x v="17"/>
    <s v="Murat Taşdemir"/>
    <x v="0"/>
    <x v="315"/>
    <x v="315"/>
    <n v="1"/>
    <s v="ADET"/>
    <n v="0"/>
    <n v="0"/>
    <n v="0"/>
    <n v="6.5"/>
    <n v="0"/>
    <n v="247"/>
    <n v="38"/>
    <x v="14"/>
    <n v="38"/>
    <x v="3"/>
  </r>
  <r>
    <x v="13"/>
    <s v="Matteo Giolo"/>
    <x v="0"/>
    <x v="316"/>
    <x v="316"/>
    <n v="1.5"/>
    <s v="METRE"/>
    <n v="0"/>
    <n v="0"/>
    <n v="27"/>
    <n v="30.5"/>
    <n v="0"/>
    <n v="396.5"/>
    <n v="13"/>
    <x v="5"/>
    <n v="19.5"/>
    <x v="7"/>
  </r>
  <r>
    <x v="15"/>
    <s v="Jan Urbanek"/>
    <x v="0"/>
    <x v="317"/>
    <x v="317"/>
    <n v="2"/>
    <s v="ADET"/>
    <n v="0"/>
    <n v="35"/>
    <n v="14"/>
    <n v="-11"/>
    <n v="0"/>
    <n v="0"/>
    <n v="43.75"/>
    <x v="3"/>
    <n v="87.5"/>
    <x v="2"/>
  </r>
  <r>
    <x v="0"/>
    <s v="Soner Kayıkçı"/>
    <x v="0"/>
    <x v="253"/>
    <x v="253"/>
    <n v="1"/>
    <s v="ADET"/>
    <n v="0"/>
    <n v="7"/>
    <n v="10"/>
    <n v="-1"/>
    <n v="5"/>
    <n v="0"/>
    <n v="1200"/>
    <x v="35"/>
    <n v="1200"/>
    <x v="4"/>
  </r>
  <r>
    <x v="2"/>
    <s v="Laurent MONTAGNER"/>
    <x v="0"/>
    <x v="305"/>
    <x v="305"/>
    <n v="16"/>
    <s v="ADET"/>
    <n v="0"/>
    <n v="0"/>
    <n v="0"/>
    <n v="124"/>
    <n v="0"/>
    <n v="217"/>
    <n v="1.75"/>
    <x v="14"/>
    <n v="28"/>
    <x v="2"/>
  </r>
  <r>
    <x v="0"/>
    <s v="Soner Kayıkçı"/>
    <x v="0"/>
    <x v="305"/>
    <x v="305"/>
    <n v="12"/>
    <s v="ADET"/>
    <n v="0"/>
    <n v="0"/>
    <n v="0"/>
    <n v="124"/>
    <n v="0"/>
    <n v="217"/>
    <n v="1.75"/>
    <x v="14"/>
    <n v="21"/>
    <x v="2"/>
  </r>
  <r>
    <x v="2"/>
    <s v="Laurent MONTAGNER"/>
    <x v="0"/>
    <x v="316"/>
    <x v="316"/>
    <n v="1.5"/>
    <s v="METRE"/>
    <n v="0"/>
    <n v="0"/>
    <n v="27"/>
    <n v="30.5"/>
    <n v="0"/>
    <n v="396.5"/>
    <n v="13"/>
    <x v="5"/>
    <n v="19.5"/>
    <x v="7"/>
  </r>
  <r>
    <x v="0"/>
    <s v="Soner Kayıkçı"/>
    <x v="0"/>
    <x v="317"/>
    <x v="317"/>
    <n v="2"/>
    <s v="ADET"/>
    <n v="0"/>
    <n v="35"/>
    <n v="14"/>
    <n v="-11"/>
    <n v="0"/>
    <n v="0"/>
    <n v="43.75"/>
    <x v="3"/>
    <n v="87.5"/>
    <x v="2"/>
  </r>
  <r>
    <x v="2"/>
    <s v="Laurent MONTAGNER"/>
    <x v="0"/>
    <x v="317"/>
    <x v="317"/>
    <n v="2"/>
    <s v="ADET"/>
    <n v="0"/>
    <n v="35"/>
    <n v="14"/>
    <n v="-11"/>
    <n v="0"/>
    <n v="0"/>
    <n v="43.75"/>
    <x v="3"/>
    <n v="87.5"/>
    <x v="2"/>
  </r>
  <r>
    <x v="5"/>
    <s v="Matteo Giolo"/>
    <x v="0"/>
    <x v="315"/>
    <x v="315"/>
    <n v="1"/>
    <s v="ADET"/>
    <n v="0"/>
    <n v="0"/>
    <n v="0"/>
    <n v="6.5"/>
    <n v="0"/>
    <n v="247"/>
    <n v="38"/>
    <x v="14"/>
    <n v="38"/>
    <x v="3"/>
  </r>
  <r>
    <x v="3"/>
    <s v="Stina Alm"/>
    <x v="0"/>
    <x v="316"/>
    <x v="316"/>
    <n v="1.5"/>
    <s v="METRE"/>
    <n v="0"/>
    <n v="0"/>
    <n v="27"/>
    <n v="30.5"/>
    <n v="0"/>
    <n v="396.5"/>
    <n v="13"/>
    <x v="5"/>
    <n v="19.5"/>
    <x v="7"/>
  </r>
  <r>
    <x v="7"/>
    <s v="Laurent MONTAGNER"/>
    <x v="0"/>
    <x v="316"/>
    <x v="316"/>
    <n v="1.5"/>
    <s v="METRE"/>
    <n v="0"/>
    <n v="0"/>
    <n v="27"/>
    <n v="30.5"/>
    <n v="0"/>
    <n v="396.5"/>
    <n v="13"/>
    <x v="5"/>
    <n v="19.5"/>
    <x v="7"/>
  </r>
  <r>
    <x v="4"/>
    <s v="Stefan Zaugg"/>
    <x v="0"/>
    <x v="318"/>
    <x v="318"/>
    <n v="1"/>
    <s v="ADET"/>
    <n v="1"/>
    <n v="7"/>
    <n v="10"/>
    <n v="4"/>
    <n v="0"/>
    <n v="1950.24"/>
    <n v="487.56"/>
    <x v="34"/>
    <n v="487.56"/>
    <x v="6"/>
  </r>
  <r>
    <x v="3"/>
    <s v="Stina Alm"/>
    <x v="0"/>
    <x v="318"/>
    <x v="318"/>
    <n v="1"/>
    <s v="ADET"/>
    <n v="0"/>
    <n v="7"/>
    <n v="10"/>
    <n v="4"/>
    <n v="0"/>
    <n v="1950.24"/>
    <n v="487.56"/>
    <x v="34"/>
    <n v="487.56"/>
    <x v="6"/>
  </r>
  <r>
    <x v="13"/>
    <s v="Matteo Giolo"/>
    <x v="0"/>
    <x v="318"/>
    <x v="318"/>
    <n v="1"/>
    <s v="ADET"/>
    <n v="0"/>
    <n v="7"/>
    <n v="10"/>
    <n v="4"/>
    <n v="0"/>
    <n v="1950.24"/>
    <n v="487.56"/>
    <x v="34"/>
    <n v="487.56"/>
    <x v="6"/>
  </r>
  <r>
    <x v="14"/>
    <s v="Stefan Zaugg"/>
    <x v="0"/>
    <x v="270"/>
    <x v="270"/>
    <n v="0.1"/>
    <s v="ADET"/>
    <n v="0.1"/>
    <n v="33"/>
    <n v="6.0999999999999988"/>
    <n v="-32.299999999999997"/>
    <n v="0"/>
    <n v="0"/>
    <n v="25"/>
    <x v="14"/>
    <n v="2.5"/>
    <x v="2"/>
  </r>
  <r>
    <x v="15"/>
    <s v="Jan Urbanek"/>
    <x v="0"/>
    <x v="275"/>
    <x v="275"/>
    <n v="4.4000000000000004"/>
    <s v="ADET"/>
    <n v="0"/>
    <n v="85"/>
    <n v="3.6500000000000128"/>
    <n v="12.550000000000011"/>
    <n v="0"/>
    <n v="4368.7805000000044"/>
    <n v="348.11"/>
    <x v="29"/>
    <n v="1531.6840000000002"/>
    <x v="3"/>
  </r>
  <r>
    <x v="19"/>
    <s v="Volkan Batkan"/>
    <x v="0"/>
    <x v="319"/>
    <x v="319"/>
    <n v="7"/>
    <s v="KG"/>
    <n v="0"/>
    <n v="0"/>
    <n v="65"/>
    <n v="119"/>
    <n v="0"/>
    <n v="133274.05000000002"/>
    <n v="1119.95"/>
    <x v="81"/>
    <n v="7839.6500000000005"/>
    <x v="3"/>
  </r>
  <r>
    <x v="13"/>
    <s v="Matteo Giolo"/>
    <x v="0"/>
    <x v="319"/>
    <x v="319"/>
    <n v="6"/>
    <s v="KG"/>
    <n v="0"/>
    <n v="0"/>
    <n v="65"/>
    <n v="119"/>
    <n v="0"/>
    <n v="133274.05000000002"/>
    <n v="1119.95"/>
    <x v="81"/>
    <n v="6719.7000000000007"/>
    <x v="3"/>
  </r>
  <r>
    <x v="14"/>
    <s v="Stefan Zaugg"/>
    <x v="0"/>
    <x v="319"/>
    <x v="319"/>
    <n v="5"/>
    <s v="KG"/>
    <n v="0"/>
    <n v="0"/>
    <n v="65"/>
    <n v="119"/>
    <n v="0"/>
    <n v="133274.05000000002"/>
    <n v="1119.95"/>
    <x v="81"/>
    <n v="5599.75"/>
    <x v="3"/>
  </r>
  <r>
    <x v="17"/>
    <s v="Murat Taşdemir"/>
    <x v="0"/>
    <x v="275"/>
    <x v="275"/>
    <n v="3.6"/>
    <s v="ADET"/>
    <n v="0"/>
    <n v="85"/>
    <n v="3.6500000000000128"/>
    <n v="12.550000000000011"/>
    <n v="0"/>
    <n v="4368.7805000000044"/>
    <n v="348.11"/>
    <x v="29"/>
    <n v="1253.1960000000001"/>
    <x v="3"/>
  </r>
  <r>
    <x v="17"/>
    <s v="Murat Taşdemir"/>
    <x v="0"/>
    <x v="320"/>
    <x v="320"/>
    <n v="2.5000000000000001E-2"/>
    <s v="GR"/>
    <n v="0"/>
    <n v="150"/>
    <n v="0"/>
    <n v="-149.76499999999999"/>
    <n v="0"/>
    <n v="0"/>
    <n v="1.8"/>
    <x v="20"/>
    <n v="4.5000000000000005E-2"/>
    <x v="2"/>
  </r>
  <r>
    <x v="7"/>
    <s v="Laurent MONTAGNER"/>
    <x v="0"/>
    <x v="275"/>
    <x v="275"/>
    <n v="5.299999999999998"/>
    <s v="ADET"/>
    <n v="0"/>
    <n v="85"/>
    <n v="3.6500000000000128"/>
    <n v="12.550000000000011"/>
    <n v="0"/>
    <n v="4368.7805000000044"/>
    <n v="348.11"/>
    <x v="29"/>
    <n v="1844.9829999999995"/>
    <x v="3"/>
  </r>
  <r>
    <x v="12"/>
    <s v="Matteo Giolo"/>
    <x v="0"/>
    <x v="319"/>
    <x v="319"/>
    <n v="6"/>
    <s v="KG"/>
    <n v="0"/>
    <n v="0"/>
    <n v="65"/>
    <n v="119"/>
    <n v="0"/>
    <n v="133274.05000000002"/>
    <n v="1119.95"/>
    <x v="81"/>
    <n v="6719.7000000000007"/>
    <x v="3"/>
  </r>
  <r>
    <x v="17"/>
    <s v="Murat Taşdemir"/>
    <x v="0"/>
    <x v="165"/>
    <x v="165"/>
    <n v="4"/>
    <s v="ADET"/>
    <n v="0"/>
    <n v="105"/>
    <n v="56"/>
    <n v="-8"/>
    <n v="0"/>
    <n v="0"/>
    <n v="72.599999999999994"/>
    <x v="14"/>
    <n v="290.39999999999998"/>
    <x v="4"/>
  </r>
  <r>
    <x v="14"/>
    <s v="Stefan Zaugg"/>
    <x v="0"/>
    <x v="167"/>
    <x v="167"/>
    <n v="1"/>
    <s v="ADET"/>
    <n v="1"/>
    <n v="13"/>
    <n v="9"/>
    <n v="-1"/>
    <n v="0"/>
    <n v="0"/>
    <n v="270"/>
    <x v="20"/>
    <n v="270"/>
    <x v="7"/>
  </r>
  <r>
    <x v="12"/>
    <s v="Matteo Giolo"/>
    <x v="0"/>
    <x v="165"/>
    <x v="165"/>
    <n v="4"/>
    <s v="ADET"/>
    <n v="0"/>
    <n v="105"/>
    <n v="56"/>
    <n v="-8"/>
    <n v="0"/>
    <n v="0"/>
    <n v="72.599999999999994"/>
    <x v="14"/>
    <n v="290.39999999999998"/>
    <x v="4"/>
  </r>
  <r>
    <x v="7"/>
    <s v="Laurent MONTAGNER"/>
    <x v="0"/>
    <x v="166"/>
    <x v="166"/>
    <n v="5"/>
    <s v="M2"/>
    <n v="0"/>
    <n v="0"/>
    <n v="-1.4210854715202004E-14"/>
    <n v="52"/>
    <n v="0"/>
    <n v="28423.200000000001"/>
    <n v="546.6"/>
    <x v="56"/>
    <n v="2733"/>
    <x v="8"/>
  </r>
  <r>
    <x v="12"/>
    <s v="Matteo Giolo"/>
    <x v="0"/>
    <x v="166"/>
    <x v="166"/>
    <n v="2"/>
    <s v="M2"/>
    <n v="0"/>
    <n v="0"/>
    <n v="-1.4210854715202004E-14"/>
    <n v="52"/>
    <n v="0"/>
    <n v="28423.200000000001"/>
    <n v="546.6"/>
    <x v="56"/>
    <n v="1093.2"/>
    <x v="8"/>
  </r>
  <r>
    <x v="12"/>
    <s v="Matteo Giolo"/>
    <x v="0"/>
    <x v="168"/>
    <x v="168"/>
    <n v="14"/>
    <s v="ADET"/>
    <n v="0"/>
    <n v="0"/>
    <n v="0"/>
    <n v="56"/>
    <n v="0"/>
    <n v="0"/>
    <n v="0"/>
    <x v="5"/>
    <n v="0"/>
    <x v="2"/>
  </r>
  <r>
    <x v="17"/>
    <s v="Murat Taşdemir"/>
    <x v="0"/>
    <x v="167"/>
    <x v="167"/>
    <n v="1"/>
    <s v="ADET"/>
    <n v="1"/>
    <n v="13"/>
    <n v="9"/>
    <n v="-1"/>
    <n v="0"/>
    <n v="0"/>
    <n v="270"/>
    <x v="20"/>
    <n v="270"/>
    <x v="7"/>
  </r>
  <r>
    <x v="16"/>
    <s v="Stefan Zaugg"/>
    <x v="0"/>
    <x v="166"/>
    <x v="166"/>
    <n v="2"/>
    <s v="M2"/>
    <n v="0"/>
    <n v="0"/>
    <n v="-1.4210854715202004E-14"/>
    <n v="52"/>
    <n v="0"/>
    <n v="28423.200000000001"/>
    <n v="546.6"/>
    <x v="56"/>
    <n v="1093.2"/>
    <x v="8"/>
  </r>
  <r>
    <x v="14"/>
    <s v="Stefan Zaugg"/>
    <x v="0"/>
    <x v="166"/>
    <x v="166"/>
    <n v="2"/>
    <s v="M2"/>
    <n v="0"/>
    <n v="0"/>
    <n v="-1.4210854715202004E-14"/>
    <n v="52"/>
    <n v="0"/>
    <n v="28423.200000000001"/>
    <n v="546.6"/>
    <x v="56"/>
    <n v="1093.2"/>
    <x v="8"/>
  </r>
  <r>
    <x v="13"/>
    <s v="Matteo Giolo"/>
    <x v="0"/>
    <x v="166"/>
    <x v="166"/>
    <n v="3"/>
    <s v="M2"/>
    <n v="0"/>
    <n v="0"/>
    <n v="-1.4210854715202004E-14"/>
    <n v="52"/>
    <n v="0"/>
    <n v="28423.200000000001"/>
    <n v="546.6"/>
    <x v="56"/>
    <n v="1639.8000000000002"/>
    <x v="8"/>
  </r>
  <r>
    <x v="5"/>
    <s v="Matteo Giolo"/>
    <x v="0"/>
    <x v="286"/>
    <x v="286"/>
    <n v="1"/>
    <s v="KG"/>
    <n v="0"/>
    <n v="0"/>
    <n v="0"/>
    <n v="19"/>
    <n v="0"/>
    <n v="1538.6200000000001"/>
    <n v="80.98"/>
    <x v="63"/>
    <n v="80.98"/>
    <x v="3"/>
  </r>
  <r>
    <x v="3"/>
    <s v="Stina Alm"/>
    <x v="0"/>
    <x v="286"/>
    <x v="286"/>
    <n v="1"/>
    <s v="KG"/>
    <n v="0"/>
    <n v="0"/>
    <n v="0"/>
    <n v="19"/>
    <n v="0"/>
    <n v="1538.6200000000001"/>
    <n v="80.98"/>
    <x v="63"/>
    <n v="80.98"/>
    <x v="3"/>
  </r>
  <r>
    <x v="5"/>
    <s v="Matteo Giolo"/>
    <x v="0"/>
    <x v="287"/>
    <x v="287"/>
    <n v="7"/>
    <s v="ADET"/>
    <n v="0"/>
    <n v="3000"/>
    <n v="0"/>
    <n v="-2847"/>
    <n v="0"/>
    <n v="0"/>
    <n v="0.7"/>
    <x v="14"/>
    <n v="4.8999999999999995"/>
    <x v="2"/>
  </r>
  <r>
    <x v="0"/>
    <s v="Soner Kayıkçı"/>
    <x v="0"/>
    <x v="283"/>
    <x v="283"/>
    <n v="1.8"/>
    <s v="ADET"/>
    <n v="0"/>
    <n v="0"/>
    <n v="11"/>
    <n v="20.000000000000007"/>
    <n v="4"/>
    <n v="36666.600000000013"/>
    <n v="1833.33"/>
    <x v="63"/>
    <n v="3299.9940000000001"/>
    <x v="8"/>
  </r>
  <r>
    <x v="1"/>
    <s v="Stina Alm"/>
    <x v="0"/>
    <x v="283"/>
    <x v="283"/>
    <n v="0.5"/>
    <s v="ADET"/>
    <n v="0"/>
    <n v="0"/>
    <n v="11"/>
    <n v="20.000000000000007"/>
    <n v="4"/>
    <n v="36666.600000000013"/>
    <n v="1833.33"/>
    <x v="63"/>
    <n v="916.66499999999996"/>
    <x v="8"/>
  </r>
  <r>
    <x v="2"/>
    <s v="Laurent MONTAGNER"/>
    <x v="0"/>
    <x v="283"/>
    <x v="283"/>
    <n v="0.8"/>
    <s v="ADET"/>
    <n v="0"/>
    <n v="0"/>
    <n v="11"/>
    <n v="20.000000000000007"/>
    <n v="4"/>
    <n v="36666.600000000013"/>
    <n v="1833.33"/>
    <x v="63"/>
    <n v="1466.664"/>
    <x v="8"/>
  </r>
  <r>
    <x v="0"/>
    <s v="Soner Kayıkçı"/>
    <x v="0"/>
    <x v="285"/>
    <x v="285"/>
    <n v="1.5"/>
    <s v="ADET"/>
    <n v="0"/>
    <n v="48"/>
    <n v="26"/>
    <n v="-19.5"/>
    <n v="0"/>
    <n v="0"/>
    <n v="5"/>
    <x v="14"/>
    <n v="7.5"/>
    <x v="2"/>
  </r>
  <r>
    <x v="1"/>
    <s v="Stina Alm"/>
    <x v="0"/>
    <x v="285"/>
    <x v="285"/>
    <n v="1.5"/>
    <s v="ADET"/>
    <n v="0"/>
    <n v="48"/>
    <n v="26"/>
    <n v="-19.5"/>
    <n v="0"/>
    <n v="0"/>
    <n v="5"/>
    <x v="14"/>
    <n v="7.5"/>
    <x v="2"/>
  </r>
  <r>
    <x v="0"/>
    <s v="Soner Kayıkçı"/>
    <x v="0"/>
    <x v="286"/>
    <x v="286"/>
    <n v="1"/>
    <s v="KG"/>
    <n v="0"/>
    <n v="0"/>
    <n v="0"/>
    <n v="19"/>
    <n v="0"/>
    <n v="1538.6200000000001"/>
    <n v="80.98"/>
    <x v="63"/>
    <n v="80.98"/>
    <x v="3"/>
  </r>
  <r>
    <x v="1"/>
    <s v="Stina Alm"/>
    <x v="0"/>
    <x v="287"/>
    <x v="287"/>
    <n v="7"/>
    <s v="ADET"/>
    <n v="0"/>
    <n v="3000"/>
    <n v="0"/>
    <n v="-2847"/>
    <n v="0"/>
    <n v="0"/>
    <n v="0.7"/>
    <x v="14"/>
    <n v="4.8999999999999995"/>
    <x v="2"/>
  </r>
  <r>
    <x v="16"/>
    <s v="Stefan Zaugg"/>
    <x v="0"/>
    <x v="256"/>
    <x v="256"/>
    <n v="6"/>
    <s v="ADET"/>
    <n v="0"/>
    <n v="118"/>
    <n v="18"/>
    <n v="-11"/>
    <n v="0"/>
    <n v="0"/>
    <n v="14.5"/>
    <x v="14"/>
    <n v="87"/>
    <x v="2"/>
  </r>
  <r>
    <x v="15"/>
    <s v="Jan Urbanek"/>
    <x v="0"/>
    <x v="257"/>
    <x v="257"/>
    <n v="3"/>
    <s v="ADET"/>
    <n v="0"/>
    <n v="101"/>
    <n v="10.000000000000057"/>
    <n v="-42.539999999999992"/>
    <n v="0"/>
    <n v="0"/>
    <n v="36"/>
    <x v="14"/>
    <n v="108"/>
    <x v="2"/>
  </r>
  <r>
    <x v="13"/>
    <s v="Matteo Giolo"/>
    <x v="0"/>
    <x v="257"/>
    <x v="257"/>
    <n v="3.17"/>
    <s v="ADET"/>
    <n v="0"/>
    <n v="101"/>
    <n v="10.000000000000057"/>
    <n v="-42.539999999999992"/>
    <n v="0"/>
    <n v="0"/>
    <n v="36"/>
    <x v="14"/>
    <n v="114.12"/>
    <x v="2"/>
  </r>
  <r>
    <x v="15"/>
    <s v="Jan Urbanek"/>
    <x v="0"/>
    <x v="258"/>
    <x v="258"/>
    <n v="3"/>
    <s v="ADET"/>
    <n v="0"/>
    <n v="200"/>
    <n v="70"/>
    <n v="-165"/>
    <n v="0"/>
    <n v="0"/>
    <n v="10"/>
    <x v="2"/>
    <n v="30"/>
    <x v="2"/>
  </r>
  <r>
    <x v="19"/>
    <s v="Volkan Batkan"/>
    <x v="0"/>
    <x v="282"/>
    <x v="282"/>
    <n v="7"/>
    <s v="ADET"/>
    <n v="7"/>
    <n v="300"/>
    <n v="325"/>
    <n v="-192"/>
    <n v="0"/>
    <n v="0"/>
    <n v="12"/>
    <x v="2"/>
    <n v="84"/>
    <x v="2"/>
  </r>
  <r>
    <x v="17"/>
    <s v="Murat Taşdemir"/>
    <x v="0"/>
    <x v="281"/>
    <x v="281"/>
    <n v="9"/>
    <s v="ADET"/>
    <n v="0"/>
    <n v="150"/>
    <n v="78"/>
    <n v="-48"/>
    <n v="0"/>
    <n v="0"/>
    <n v="20.83"/>
    <x v="2"/>
    <n v="187.46999999999997"/>
    <x v="2"/>
  </r>
  <r>
    <x v="12"/>
    <s v="Matteo Giolo"/>
    <x v="0"/>
    <x v="294"/>
    <x v="294"/>
    <n v="1"/>
    <s v="ADET"/>
    <n v="0"/>
    <n v="24"/>
    <n v="14"/>
    <n v="-15"/>
    <n v="0"/>
    <n v="0"/>
    <n v="15"/>
    <x v="20"/>
    <n v="15"/>
    <x v="7"/>
  </r>
  <r>
    <x v="16"/>
    <s v="Stefan Zaugg"/>
    <x v="0"/>
    <x v="311"/>
    <x v="311"/>
    <n v="22"/>
    <s v="MT"/>
    <n v="0"/>
    <n v="200"/>
    <n v="86"/>
    <n v="220"/>
    <n v="0"/>
    <n v="23100"/>
    <n v="105"/>
    <x v="78"/>
    <n v="2310"/>
    <x v="5"/>
  </r>
  <r>
    <x v="14"/>
    <s v="Stefan Zaugg"/>
    <x v="0"/>
    <x v="311"/>
    <x v="311"/>
    <n v="22"/>
    <s v="MT"/>
    <n v="0"/>
    <n v="200"/>
    <n v="86"/>
    <n v="220"/>
    <n v="0"/>
    <n v="23100"/>
    <n v="105"/>
    <x v="78"/>
    <n v="2310"/>
    <x v="5"/>
  </r>
  <r>
    <x v="5"/>
    <s v="Matteo Giolo"/>
    <x v="0"/>
    <x v="266"/>
    <x v="266"/>
    <n v="1"/>
    <s v="ADET"/>
    <n v="0"/>
    <n v="21"/>
    <n v="10"/>
    <n v="-50"/>
    <n v="40"/>
    <n v="0"/>
    <n v="312"/>
    <x v="35"/>
    <n v="312"/>
    <x v="6"/>
  </r>
  <r>
    <x v="7"/>
    <s v="Laurent MONTAGNER"/>
    <x v="0"/>
    <x v="309"/>
    <x v="309"/>
    <n v="2"/>
    <s v="ADET"/>
    <n v="0"/>
    <n v="288"/>
    <n v="94"/>
    <n v="-260"/>
    <n v="0"/>
    <n v="0"/>
    <n v="4"/>
    <x v="20"/>
    <n v="8"/>
    <x v="7"/>
  </r>
  <r>
    <x v="5"/>
    <s v="Matteo Giolo"/>
    <x v="0"/>
    <x v="310"/>
    <x v="310"/>
    <n v="1"/>
    <s v="ADET"/>
    <n v="0"/>
    <n v="5"/>
    <n v="6"/>
    <n v="-4"/>
    <n v="0"/>
    <n v="0"/>
    <n v="8495.43"/>
    <x v="34"/>
    <n v="8495.43"/>
    <x v="6"/>
  </r>
  <r>
    <x v="4"/>
    <s v="Stefan Zaugg"/>
    <x v="0"/>
    <x v="311"/>
    <x v="311"/>
    <n v="22"/>
    <s v="MT"/>
    <n v="0"/>
    <n v="200"/>
    <n v="86"/>
    <n v="220"/>
    <n v="0"/>
    <n v="23100"/>
    <n v="105"/>
    <x v="78"/>
    <n v="2310"/>
    <x v="5"/>
  </r>
  <r>
    <x v="7"/>
    <s v="Laurent MONTAGNER"/>
    <x v="0"/>
    <x v="311"/>
    <x v="311"/>
    <n v="25"/>
    <s v="MT"/>
    <n v="0"/>
    <n v="200"/>
    <n v="86"/>
    <n v="220"/>
    <n v="0"/>
    <n v="23100"/>
    <n v="105"/>
    <x v="78"/>
    <n v="2625"/>
    <x v="5"/>
  </r>
  <r>
    <x v="5"/>
    <s v="Matteo Giolo"/>
    <x v="0"/>
    <x v="311"/>
    <x v="311"/>
    <n v="25"/>
    <s v="MT"/>
    <n v="0"/>
    <n v="200"/>
    <n v="86"/>
    <n v="220"/>
    <n v="0"/>
    <n v="23100"/>
    <n v="105"/>
    <x v="78"/>
    <n v="2625"/>
    <x v="5"/>
  </r>
  <r>
    <x v="3"/>
    <s v="Stina Alm"/>
    <x v="0"/>
    <x v="321"/>
    <x v="321"/>
    <n v="1"/>
    <s v="ADET"/>
    <n v="0"/>
    <n v="23"/>
    <n v="5"/>
    <n v="-11"/>
    <n v="0"/>
    <n v="0"/>
    <n v="360.19"/>
    <x v="74"/>
    <n v="360.19"/>
    <x v="4"/>
  </r>
  <r>
    <x v="7"/>
    <s v="Laurent MONTAGNER"/>
    <x v="0"/>
    <x v="321"/>
    <x v="321"/>
    <n v="1"/>
    <s v="ADET"/>
    <n v="1"/>
    <n v="23"/>
    <n v="5"/>
    <n v="-11"/>
    <n v="0"/>
    <n v="0"/>
    <n v="360.19"/>
    <x v="74"/>
    <n v="360.19"/>
    <x v="4"/>
  </r>
  <r>
    <x v="7"/>
    <s v="Laurent MONTAGNER"/>
    <x v="0"/>
    <x v="197"/>
    <x v="197"/>
    <n v="10"/>
    <s v="METRE"/>
    <n v="0"/>
    <n v="100"/>
    <n v="139.99999999999989"/>
    <n v="41.300000000000011"/>
    <n v="0"/>
    <n v="929.25000000000023"/>
    <n v="22.5"/>
    <x v="27"/>
    <n v="225"/>
    <x v="4"/>
  </r>
  <r>
    <x v="4"/>
    <s v="Stefan Zaugg"/>
    <x v="0"/>
    <x v="252"/>
    <x v="252"/>
    <n v="1"/>
    <s v="ADET"/>
    <n v="0"/>
    <n v="30"/>
    <n v="5.7000000000000028"/>
    <n v="-28"/>
    <n v="0"/>
    <n v="0"/>
    <n v="199.37"/>
    <x v="61"/>
    <n v="199.37"/>
    <x v="2"/>
  </r>
  <r>
    <x v="3"/>
    <s v="Stina Alm"/>
    <x v="0"/>
    <x v="239"/>
    <x v="239"/>
    <n v="2"/>
    <s v="ADET"/>
    <n v="0"/>
    <n v="38"/>
    <n v="20"/>
    <n v="-14"/>
    <n v="0"/>
    <n v="0"/>
    <n v="55"/>
    <x v="15"/>
    <n v="110"/>
    <x v="7"/>
  </r>
  <r>
    <x v="15"/>
    <s v="Jan Urbanek"/>
    <x v="0"/>
    <x v="239"/>
    <x v="239"/>
    <n v="2"/>
    <s v="ADET"/>
    <n v="0"/>
    <n v="38"/>
    <n v="20"/>
    <n v="-14"/>
    <n v="0"/>
    <n v="0"/>
    <n v="55"/>
    <x v="15"/>
    <n v="110"/>
    <x v="7"/>
  </r>
  <r>
    <x v="17"/>
    <s v="Murat Taşdemir"/>
    <x v="0"/>
    <x v="241"/>
    <x v="241"/>
    <n v="1"/>
    <s v="ADET"/>
    <n v="0"/>
    <n v="0"/>
    <n v="246"/>
    <n v="6"/>
    <n v="0"/>
    <n v="32.519999999999996"/>
    <n v="5.42"/>
    <x v="21"/>
    <n v="5.42"/>
    <x v="2"/>
  </r>
  <r>
    <x v="5"/>
    <s v="Matteo Giolo"/>
    <x v="0"/>
    <x v="237"/>
    <x v="237"/>
    <n v="1"/>
    <s v="ADET"/>
    <n v="0"/>
    <n v="32"/>
    <n v="22"/>
    <n v="-13"/>
    <n v="0"/>
    <n v="0"/>
    <n v="34"/>
    <x v="14"/>
    <n v="34"/>
    <x v="4"/>
  </r>
  <r>
    <x v="5"/>
    <s v="Matteo Giolo"/>
    <x v="0"/>
    <x v="241"/>
    <x v="241"/>
    <n v="1"/>
    <s v="ADET"/>
    <n v="0"/>
    <n v="0"/>
    <n v="246"/>
    <n v="6"/>
    <n v="0"/>
    <n v="32.519999999999996"/>
    <n v="5.42"/>
    <x v="21"/>
    <n v="5.42"/>
    <x v="2"/>
  </r>
  <r>
    <x v="12"/>
    <s v="Matteo Giolo"/>
    <x v="0"/>
    <x v="125"/>
    <x v="125"/>
    <n v="1"/>
    <s v="ADET"/>
    <n v="0"/>
    <n v="11"/>
    <n v="8"/>
    <n v="0"/>
    <n v="0"/>
    <n v="0"/>
    <n v="1145.83"/>
    <x v="37"/>
    <n v="1145.83"/>
    <x v="6"/>
  </r>
  <r>
    <x v="12"/>
    <s v="Matteo Giolo"/>
    <x v="0"/>
    <x v="197"/>
    <x v="197"/>
    <n v="7.5"/>
    <s v="METRE"/>
    <n v="0"/>
    <n v="100"/>
    <n v="139.99999999999989"/>
    <n v="41.300000000000011"/>
    <n v="0"/>
    <n v="929.25000000000023"/>
    <n v="22.5"/>
    <x v="27"/>
    <n v="168.75"/>
    <x v="4"/>
  </r>
  <r>
    <x v="15"/>
    <s v="Jan Urbanek"/>
    <x v="0"/>
    <x v="237"/>
    <x v="237"/>
    <n v="1"/>
    <s v="ADET"/>
    <n v="0"/>
    <n v="32"/>
    <n v="22"/>
    <n v="-13"/>
    <n v="0"/>
    <n v="0"/>
    <n v="34"/>
    <x v="14"/>
    <n v="34"/>
    <x v="4"/>
  </r>
  <r>
    <x v="19"/>
    <s v="Volkan Batkan"/>
    <x v="0"/>
    <x v="264"/>
    <x v="264"/>
    <n v="1"/>
    <s v="METRE"/>
    <n v="0"/>
    <n v="100"/>
    <n v="1.1368683772161603E-13"/>
    <n v="-97"/>
    <n v="0"/>
    <n v="0"/>
    <n v="24"/>
    <x v="49"/>
    <n v="24"/>
    <x v="7"/>
  </r>
  <r>
    <x v="17"/>
    <s v="Murat Taşdemir"/>
    <x v="0"/>
    <x v="322"/>
    <x v="322"/>
    <n v="95"/>
    <s v="ADET"/>
    <n v="0"/>
    <n v="7500"/>
    <n v="0"/>
    <n v="-5570"/>
    <n v="0"/>
    <n v="0"/>
    <n v="0.8"/>
    <x v="15"/>
    <n v="76"/>
    <x v="2"/>
  </r>
  <r>
    <x v="16"/>
    <s v="Stefan Zaugg"/>
    <x v="0"/>
    <x v="322"/>
    <x v="322"/>
    <n v="110"/>
    <s v="ADET"/>
    <n v="0"/>
    <n v="7500"/>
    <n v="0"/>
    <n v="-5570"/>
    <n v="0"/>
    <n v="0"/>
    <n v="0.8"/>
    <x v="15"/>
    <n v="88"/>
    <x v="2"/>
  </r>
  <r>
    <x v="14"/>
    <s v="Stefan Zaugg"/>
    <x v="0"/>
    <x v="322"/>
    <x v="322"/>
    <n v="110"/>
    <s v="ADET"/>
    <n v="0"/>
    <n v="7500"/>
    <n v="0"/>
    <n v="-5570"/>
    <n v="0"/>
    <n v="0"/>
    <n v="0.8"/>
    <x v="15"/>
    <n v="88"/>
    <x v="2"/>
  </r>
  <r>
    <x v="14"/>
    <s v="Stefan Zaugg"/>
    <x v="0"/>
    <x v="323"/>
    <x v="323"/>
    <n v="1"/>
    <s v="ADET"/>
    <n v="1"/>
    <n v="34"/>
    <n v="97.880000000000024"/>
    <n v="0.88000000000000256"/>
    <n v="0"/>
    <n v="48.400000000000141"/>
    <n v="55"/>
    <x v="14"/>
    <n v="55"/>
    <x v="2"/>
  </r>
  <r>
    <x v="1"/>
    <s v="Stina Alm"/>
    <x v="0"/>
    <x v="322"/>
    <x v="322"/>
    <n v="80"/>
    <s v="ADET"/>
    <n v="0"/>
    <n v="7500"/>
    <n v="0"/>
    <n v="-5570"/>
    <n v="0"/>
    <n v="0"/>
    <n v="0.8"/>
    <x v="15"/>
    <n v="64"/>
    <x v="2"/>
  </r>
  <r>
    <x v="6"/>
    <s v="Laurent MONTAGNER"/>
    <x v="0"/>
    <x v="322"/>
    <x v="322"/>
    <n v="80"/>
    <s v="ADET"/>
    <n v="0"/>
    <n v="7500"/>
    <n v="0"/>
    <n v="-5570"/>
    <n v="0"/>
    <n v="0"/>
    <n v="0.8"/>
    <x v="15"/>
    <n v="64"/>
    <x v="2"/>
  </r>
  <r>
    <x v="7"/>
    <s v="Laurent MONTAGNER"/>
    <x v="0"/>
    <x v="319"/>
    <x v="319"/>
    <n v="8"/>
    <s v="KG"/>
    <n v="0"/>
    <n v="0"/>
    <n v="65"/>
    <n v="119"/>
    <n v="0"/>
    <n v="133274.05000000002"/>
    <n v="1119.95"/>
    <x v="81"/>
    <n v="8959.6"/>
    <x v="3"/>
  </r>
  <r>
    <x v="5"/>
    <s v="Matteo Giolo"/>
    <x v="0"/>
    <x v="319"/>
    <x v="319"/>
    <n v="7"/>
    <s v="KG"/>
    <n v="0"/>
    <n v="0"/>
    <n v="65"/>
    <n v="119"/>
    <n v="0"/>
    <n v="133274.05000000002"/>
    <n v="1119.95"/>
    <x v="81"/>
    <n v="7839.6500000000005"/>
    <x v="3"/>
  </r>
  <r>
    <x v="14"/>
    <s v="Stefan Zaugg"/>
    <x v="0"/>
    <x v="275"/>
    <x v="275"/>
    <n v="6.55"/>
    <s v="ADET"/>
    <n v="0"/>
    <n v="85"/>
    <n v="3.6500000000000128"/>
    <n v="12.550000000000011"/>
    <n v="0"/>
    <n v="4368.7805000000044"/>
    <n v="348.11"/>
    <x v="29"/>
    <n v="2280.1205"/>
    <x v="3"/>
  </r>
  <r>
    <x v="17"/>
    <s v="Murat Taşdemir"/>
    <x v="0"/>
    <x v="319"/>
    <x v="319"/>
    <n v="7"/>
    <s v="KG"/>
    <n v="0"/>
    <n v="0"/>
    <n v="65"/>
    <n v="119"/>
    <n v="0"/>
    <n v="133274.05000000002"/>
    <n v="1119.95"/>
    <x v="81"/>
    <n v="7839.6500000000005"/>
    <x v="3"/>
  </r>
  <r>
    <x v="16"/>
    <s v="Stefan Zaugg"/>
    <x v="0"/>
    <x v="319"/>
    <x v="319"/>
    <n v="5"/>
    <s v="KG"/>
    <n v="0"/>
    <n v="0"/>
    <n v="65"/>
    <n v="119"/>
    <n v="0"/>
    <n v="133274.05000000002"/>
    <n v="1119.95"/>
    <x v="81"/>
    <n v="5599.75"/>
    <x v="3"/>
  </r>
  <r>
    <x v="13"/>
    <s v="Matteo Giolo"/>
    <x v="0"/>
    <x v="320"/>
    <x v="320"/>
    <n v="0.01"/>
    <s v="GR"/>
    <n v="0"/>
    <n v="150"/>
    <n v="0"/>
    <n v="-149.76499999999999"/>
    <n v="0"/>
    <n v="0"/>
    <n v="1.8"/>
    <x v="20"/>
    <n v="1.8000000000000002E-2"/>
    <x v="2"/>
  </r>
  <r>
    <x v="19"/>
    <s v="Volkan Batkan"/>
    <x v="0"/>
    <x v="324"/>
    <x v="324"/>
    <n v="1"/>
    <s v="ADET"/>
    <n v="0"/>
    <n v="24"/>
    <n v="5"/>
    <n v="-12"/>
    <n v="0"/>
    <n v="0"/>
    <n v="360.19"/>
    <x v="74"/>
    <n v="360.19"/>
    <x v="4"/>
  </r>
  <r>
    <x v="3"/>
    <s v="Stina Alm"/>
    <x v="0"/>
    <x v="325"/>
    <x v="325"/>
    <n v="1"/>
    <s v="M2"/>
    <n v="0"/>
    <n v="0"/>
    <n v="26.754999999999999"/>
    <n v="1"/>
    <n v="0"/>
    <n v="882.72"/>
    <n v="882.72"/>
    <x v="63"/>
    <n v="882.72"/>
    <x v="8"/>
  </r>
  <r>
    <x v="5"/>
    <s v="Matteo Giolo"/>
    <x v="0"/>
    <x v="275"/>
    <x v="275"/>
    <n v="4.3499999999999988"/>
    <s v="ADET"/>
    <n v="0"/>
    <n v="85"/>
    <n v="3.6500000000000128"/>
    <n v="12.550000000000011"/>
    <n v="0"/>
    <n v="4368.7805000000044"/>
    <n v="348.11"/>
    <x v="29"/>
    <n v="1514.2784999999997"/>
    <x v="3"/>
  </r>
  <r>
    <x v="3"/>
    <s v="Stina Alm"/>
    <x v="0"/>
    <x v="275"/>
    <x v="275"/>
    <n v="5.85"/>
    <s v="ADET"/>
    <n v="0"/>
    <n v="85"/>
    <n v="3.6500000000000128"/>
    <n v="12.550000000000011"/>
    <n v="0"/>
    <n v="4368.7805000000044"/>
    <n v="348.11"/>
    <x v="29"/>
    <n v="2036.4434999999999"/>
    <x v="3"/>
  </r>
  <r>
    <x v="4"/>
    <s v="Stefan Zaugg"/>
    <x v="0"/>
    <x v="275"/>
    <x v="275"/>
    <n v="8.0500000000000007"/>
    <s v="ADET"/>
    <n v="0"/>
    <n v="85"/>
    <n v="3.6500000000000128"/>
    <n v="12.550000000000011"/>
    <n v="0"/>
    <n v="4368.7805000000044"/>
    <n v="348.11"/>
    <x v="29"/>
    <n v="2802.2855000000004"/>
    <x v="3"/>
  </r>
  <r>
    <x v="4"/>
    <s v="Stefan Zaugg"/>
    <x v="0"/>
    <x v="319"/>
    <x v="319"/>
    <n v="5"/>
    <s v="KG"/>
    <n v="0"/>
    <n v="0"/>
    <n v="65"/>
    <n v="119"/>
    <n v="0"/>
    <n v="133274.05000000002"/>
    <n v="1119.95"/>
    <x v="81"/>
    <n v="5599.75"/>
    <x v="3"/>
  </r>
  <r>
    <x v="12"/>
    <s v="Matteo Giolo"/>
    <x v="0"/>
    <x v="320"/>
    <x v="320"/>
    <n v="0.01"/>
    <s v="GR"/>
    <n v="0"/>
    <n v="150"/>
    <n v="0"/>
    <n v="-149.76499999999999"/>
    <n v="0"/>
    <n v="0"/>
    <n v="1.8"/>
    <x v="20"/>
    <n v="1.8000000000000002E-2"/>
    <x v="2"/>
  </r>
  <r>
    <x v="7"/>
    <s v="Laurent MONTAGNER"/>
    <x v="0"/>
    <x v="320"/>
    <x v="320"/>
    <n v="0.01"/>
    <s v="GR"/>
    <n v="0"/>
    <n v="150"/>
    <n v="0"/>
    <n v="-149.76499999999999"/>
    <n v="0"/>
    <n v="0"/>
    <n v="1.8"/>
    <x v="20"/>
    <n v="1.8000000000000002E-2"/>
    <x v="2"/>
  </r>
  <r>
    <x v="12"/>
    <s v="Matteo Giolo"/>
    <x v="0"/>
    <x v="324"/>
    <x v="324"/>
    <n v="1"/>
    <s v="ADET"/>
    <n v="0"/>
    <n v="24"/>
    <n v="5"/>
    <n v="-12"/>
    <n v="0"/>
    <n v="0"/>
    <n v="360.19"/>
    <x v="74"/>
    <n v="360.19"/>
    <x v="4"/>
  </r>
  <r>
    <x v="12"/>
    <s v="Matteo Giolo"/>
    <x v="0"/>
    <x v="326"/>
    <x v="326"/>
    <n v="4"/>
    <s v="ADET"/>
    <n v="0"/>
    <n v="37"/>
    <n v="14"/>
    <n v="-5"/>
    <n v="0"/>
    <n v="0"/>
    <n v="313.88"/>
    <x v="74"/>
    <n v="1255.52"/>
    <x v="6"/>
  </r>
  <r>
    <x v="12"/>
    <s v="Matteo Giolo"/>
    <x v="0"/>
    <x v="327"/>
    <x v="327"/>
    <n v="1"/>
    <s v="ADET"/>
    <n v="0"/>
    <n v="1"/>
    <n v="10"/>
    <n v="11"/>
    <n v="0"/>
    <n v="20020"/>
    <n v="1820"/>
    <x v="82"/>
    <n v="1820"/>
    <x v="9"/>
  </r>
  <r>
    <x v="12"/>
    <s v="Matteo Giolo"/>
    <x v="0"/>
    <x v="328"/>
    <x v="328"/>
    <n v="2"/>
    <s v="ADET"/>
    <n v="0"/>
    <n v="500"/>
    <n v="500"/>
    <n v="-486"/>
    <n v="0"/>
    <n v="0"/>
    <n v="0.55000000000000004"/>
    <x v="15"/>
    <n v="1.1000000000000001"/>
    <x v="7"/>
  </r>
  <r>
    <x v="0"/>
    <s v="Soner Kayıkçı"/>
    <x v="0"/>
    <x v="329"/>
    <x v="329"/>
    <n v="4"/>
    <s v="ADET"/>
    <n v="0"/>
    <n v="996"/>
    <n v="0"/>
    <n v="-980"/>
    <n v="0"/>
    <n v="0"/>
    <n v="1.8"/>
    <x v="14"/>
    <n v="7.2"/>
    <x v="2"/>
  </r>
  <r>
    <x v="6"/>
    <s v="Laurent MONTAGNER"/>
    <x v="0"/>
    <x v="319"/>
    <x v="319"/>
    <n v="8"/>
    <s v="KG"/>
    <n v="0"/>
    <n v="0"/>
    <n v="65"/>
    <n v="119"/>
    <n v="0"/>
    <n v="133274.05000000002"/>
    <n v="1119.95"/>
    <x v="81"/>
    <n v="8959.6"/>
    <x v="3"/>
  </r>
  <r>
    <x v="6"/>
    <s v="Laurent MONTAGNER"/>
    <x v="0"/>
    <x v="320"/>
    <x v="320"/>
    <n v="0.01"/>
    <s v="GR"/>
    <n v="0"/>
    <n v="150"/>
    <n v="0"/>
    <n v="-149.76499999999999"/>
    <n v="0"/>
    <n v="0"/>
    <n v="1.8"/>
    <x v="20"/>
    <n v="1.8000000000000002E-2"/>
    <x v="2"/>
  </r>
  <r>
    <x v="10"/>
    <s v="Jan Urbanek"/>
    <x v="0"/>
    <x v="270"/>
    <x v="270"/>
    <n v="0.1"/>
    <s v="ADET"/>
    <n v="0"/>
    <n v="33"/>
    <n v="6.0999999999999988"/>
    <n v="-32.299999999999997"/>
    <n v="0"/>
    <n v="0"/>
    <n v="25"/>
    <x v="14"/>
    <n v="2.5"/>
    <x v="2"/>
  </r>
  <r>
    <x v="8"/>
    <s v="Jan Urbanek"/>
    <x v="0"/>
    <x v="270"/>
    <x v="270"/>
    <n v="0.1"/>
    <s v="ADET"/>
    <n v="0"/>
    <n v="33"/>
    <n v="6.0999999999999988"/>
    <n v="-32.299999999999997"/>
    <n v="0"/>
    <n v="0"/>
    <n v="25"/>
    <x v="14"/>
    <n v="2.5"/>
    <x v="2"/>
  </r>
  <r>
    <x v="10"/>
    <s v="Jan Urbanek"/>
    <x v="0"/>
    <x v="275"/>
    <x v="275"/>
    <n v="4.4000000000000004"/>
    <s v="ADET"/>
    <n v="0"/>
    <n v="85"/>
    <n v="3.6500000000000128"/>
    <n v="12.550000000000011"/>
    <n v="0"/>
    <n v="4368.7805000000044"/>
    <n v="348.11"/>
    <x v="29"/>
    <n v="1531.6840000000002"/>
    <x v="3"/>
  </r>
  <r>
    <x v="15"/>
    <s v="Jan Urbanek"/>
    <x v="0"/>
    <x v="319"/>
    <x v="319"/>
    <n v="6"/>
    <s v="KG"/>
    <n v="0"/>
    <n v="0"/>
    <n v="65"/>
    <n v="119"/>
    <n v="0"/>
    <n v="133274.05000000002"/>
    <n v="1119.95"/>
    <x v="81"/>
    <n v="6719.7000000000007"/>
    <x v="3"/>
  </r>
  <r>
    <x v="16"/>
    <s v="Stefan Zaugg"/>
    <x v="0"/>
    <x v="330"/>
    <x v="330"/>
    <n v="1"/>
    <s v="ADET"/>
    <n v="0"/>
    <n v="4"/>
    <n v="4"/>
    <n v="0"/>
    <n v="0"/>
    <n v="0"/>
    <n v="3256.79"/>
    <x v="24"/>
    <n v="3256.79"/>
    <x v="6"/>
  </r>
  <r>
    <x v="14"/>
    <s v="Stefan Zaugg"/>
    <x v="0"/>
    <x v="330"/>
    <x v="330"/>
    <n v="1"/>
    <s v="ADET"/>
    <n v="0"/>
    <n v="4"/>
    <n v="4"/>
    <n v="0"/>
    <n v="0"/>
    <n v="0"/>
    <n v="3256.79"/>
    <x v="24"/>
    <n v="3256.79"/>
    <x v="6"/>
  </r>
  <r>
    <x v="15"/>
    <s v="Jan Urbanek"/>
    <x v="0"/>
    <x v="320"/>
    <x v="320"/>
    <n v="0.01"/>
    <s v="GR"/>
    <n v="0"/>
    <n v="150"/>
    <n v="0"/>
    <n v="-149.76499999999999"/>
    <n v="0"/>
    <n v="0"/>
    <n v="1.8"/>
    <x v="20"/>
    <n v="1.8000000000000002E-2"/>
    <x v="2"/>
  </r>
  <r>
    <x v="14"/>
    <s v="Stefan Zaugg"/>
    <x v="0"/>
    <x v="320"/>
    <x v="320"/>
    <n v="0.01"/>
    <s v="GR"/>
    <n v="0"/>
    <n v="150"/>
    <n v="0"/>
    <n v="-149.76499999999999"/>
    <n v="0"/>
    <n v="0"/>
    <n v="1.8"/>
    <x v="20"/>
    <n v="1.8000000000000002E-2"/>
    <x v="2"/>
  </r>
  <r>
    <x v="15"/>
    <s v="Jan Urbanek"/>
    <x v="0"/>
    <x v="324"/>
    <x v="324"/>
    <n v="1"/>
    <s v="ADET"/>
    <n v="0"/>
    <n v="24"/>
    <n v="5"/>
    <n v="-12"/>
    <n v="0"/>
    <n v="0"/>
    <n v="360.19"/>
    <x v="74"/>
    <n v="360.19"/>
    <x v="4"/>
  </r>
  <r>
    <x v="13"/>
    <s v="Matteo Giolo"/>
    <x v="0"/>
    <x v="324"/>
    <x v="324"/>
    <n v="1"/>
    <s v="ADET"/>
    <n v="0"/>
    <n v="24"/>
    <n v="5"/>
    <n v="-12"/>
    <n v="0"/>
    <n v="0"/>
    <n v="360.19"/>
    <x v="74"/>
    <n v="360.19"/>
    <x v="4"/>
  </r>
  <r>
    <x v="5"/>
    <s v="Matteo Giolo"/>
    <x v="0"/>
    <x v="274"/>
    <x v="274"/>
    <n v="1"/>
    <s v="ADET"/>
    <n v="0"/>
    <n v="2"/>
    <n v="1"/>
    <n v="1"/>
    <n v="0"/>
    <n v="11815.53"/>
    <n v="11815.53"/>
    <x v="13"/>
    <n v="11815.53"/>
    <x v="7"/>
  </r>
  <r>
    <x v="3"/>
    <s v="Stina Alm"/>
    <x v="0"/>
    <x v="331"/>
    <x v="331"/>
    <n v="13"/>
    <s v="M2"/>
    <n v="0"/>
    <n v="0"/>
    <n v="36.530000000000058"/>
    <n v="13"/>
    <n v="0"/>
    <n v="3908.84"/>
    <n v="300.68"/>
    <x v="63"/>
    <n v="3908.84"/>
    <x v="8"/>
  </r>
  <r>
    <x v="3"/>
    <s v="Stina Alm"/>
    <x v="0"/>
    <x v="319"/>
    <x v="319"/>
    <n v="6"/>
    <s v="KG"/>
    <n v="0"/>
    <n v="0"/>
    <n v="65"/>
    <n v="119"/>
    <n v="0"/>
    <n v="133274.05000000002"/>
    <n v="1119.95"/>
    <x v="81"/>
    <n v="6719.7000000000007"/>
    <x v="3"/>
  </r>
  <r>
    <x v="4"/>
    <s v="Stefan Zaugg"/>
    <x v="0"/>
    <x v="330"/>
    <x v="330"/>
    <n v="1"/>
    <s v="ADET"/>
    <n v="0"/>
    <n v="4"/>
    <n v="4"/>
    <n v="0"/>
    <n v="0"/>
    <n v="0"/>
    <n v="3256.79"/>
    <x v="24"/>
    <n v="3256.79"/>
    <x v="6"/>
  </r>
  <r>
    <x v="3"/>
    <s v="Stina Alm"/>
    <x v="0"/>
    <x v="320"/>
    <x v="320"/>
    <n v="0.01"/>
    <s v="GR"/>
    <n v="0"/>
    <n v="150"/>
    <n v="0"/>
    <n v="-149.76499999999999"/>
    <n v="0"/>
    <n v="0"/>
    <n v="1.8"/>
    <x v="20"/>
    <n v="1.8000000000000002E-2"/>
    <x v="2"/>
  </r>
  <r>
    <x v="3"/>
    <s v="Stina Alm"/>
    <x v="0"/>
    <x v="324"/>
    <x v="324"/>
    <n v="1"/>
    <s v="ADET"/>
    <n v="0"/>
    <n v="24"/>
    <n v="5"/>
    <n v="-12"/>
    <n v="0"/>
    <n v="0"/>
    <n v="360.19"/>
    <x v="74"/>
    <n v="360.19"/>
    <x v="4"/>
  </r>
  <r>
    <x v="5"/>
    <s v="Matteo Giolo"/>
    <x v="0"/>
    <x v="332"/>
    <x v="332"/>
    <n v="4"/>
    <s v="ADET"/>
    <n v="0"/>
    <n v="56.5"/>
    <n v="26"/>
    <n v="-12.5"/>
    <n v="0"/>
    <n v="0"/>
    <n v="200"/>
    <x v="37"/>
    <n v="800"/>
    <x v="6"/>
  </r>
  <r>
    <x v="3"/>
    <s v="Stina Alm"/>
    <x v="0"/>
    <x v="327"/>
    <x v="327"/>
    <n v="1"/>
    <s v="ADET"/>
    <n v="0"/>
    <n v="1"/>
    <n v="10"/>
    <n v="11"/>
    <n v="0"/>
    <n v="20020"/>
    <n v="1820"/>
    <x v="82"/>
    <n v="1820"/>
    <x v="9"/>
  </r>
  <r>
    <x v="4"/>
    <s v="Stefan Zaugg"/>
    <x v="0"/>
    <x v="327"/>
    <x v="327"/>
    <n v="1"/>
    <s v="ADET"/>
    <n v="1"/>
    <n v="1"/>
    <n v="10"/>
    <n v="11"/>
    <n v="0"/>
    <n v="20020"/>
    <n v="1820"/>
    <x v="82"/>
    <n v="1820"/>
    <x v="9"/>
  </r>
  <r>
    <x v="5"/>
    <s v="Matteo Giolo"/>
    <x v="0"/>
    <x v="327"/>
    <x v="327"/>
    <n v="1"/>
    <s v="ADET"/>
    <n v="0"/>
    <n v="1"/>
    <n v="10"/>
    <n v="11"/>
    <n v="0"/>
    <n v="20020"/>
    <n v="1820"/>
    <x v="82"/>
    <n v="1820"/>
    <x v="9"/>
  </r>
  <r>
    <x v="4"/>
    <s v="Stefan Zaugg"/>
    <x v="0"/>
    <x v="333"/>
    <x v="333"/>
    <n v="12"/>
    <s v="ADET"/>
    <n v="0"/>
    <n v="100"/>
    <n v="0"/>
    <n v="-64"/>
    <n v="0"/>
    <n v="0"/>
    <n v="21.45"/>
    <x v="83"/>
    <n v="257.39999999999998"/>
    <x v="2"/>
  </r>
  <r>
    <x v="0"/>
    <s v="Soner Kayıkçı"/>
    <x v="0"/>
    <x v="270"/>
    <x v="270"/>
    <n v="0.1"/>
    <s v="ADET"/>
    <n v="0"/>
    <n v="33"/>
    <n v="6.0999999999999988"/>
    <n v="-32.299999999999997"/>
    <n v="0"/>
    <n v="0"/>
    <n v="25"/>
    <x v="14"/>
    <n v="2.5"/>
    <x v="2"/>
  </r>
  <r>
    <x v="2"/>
    <s v="Laurent MONTAGNER"/>
    <x v="0"/>
    <x v="275"/>
    <x v="275"/>
    <n v="5.3999999999999995"/>
    <s v="ADET"/>
    <n v="0"/>
    <n v="85"/>
    <n v="3.6500000000000128"/>
    <n v="12.550000000000011"/>
    <n v="0"/>
    <n v="4368.7805000000044"/>
    <n v="348.11"/>
    <x v="29"/>
    <n v="1879.7939999999999"/>
    <x v="3"/>
  </r>
  <r>
    <x v="0"/>
    <s v="Soner Kayıkçı"/>
    <x v="0"/>
    <x v="275"/>
    <x v="275"/>
    <n v="4.5"/>
    <s v="ADET"/>
    <n v="0"/>
    <n v="85"/>
    <n v="3.6500000000000128"/>
    <n v="12.550000000000011"/>
    <n v="0"/>
    <n v="4368.7805000000044"/>
    <n v="348.11"/>
    <x v="29"/>
    <n v="1566.4950000000001"/>
    <x v="3"/>
  </r>
  <r>
    <x v="0"/>
    <s v="Soner Kayıkçı"/>
    <x v="0"/>
    <x v="319"/>
    <x v="319"/>
    <n v="6"/>
    <s v="KG"/>
    <n v="0"/>
    <n v="0"/>
    <n v="65"/>
    <n v="119"/>
    <n v="0"/>
    <n v="133274.05000000002"/>
    <n v="1119.95"/>
    <x v="81"/>
    <n v="6719.7000000000007"/>
    <x v="3"/>
  </r>
  <r>
    <x v="0"/>
    <s v="Soner Kayıkçı"/>
    <x v="0"/>
    <x v="320"/>
    <x v="320"/>
    <n v="0.01"/>
    <s v="GR"/>
    <n v="0"/>
    <n v="150"/>
    <n v="0"/>
    <n v="-149.76499999999999"/>
    <n v="0"/>
    <n v="0"/>
    <n v="1.8"/>
    <x v="20"/>
    <n v="1.8000000000000002E-2"/>
    <x v="2"/>
  </r>
  <r>
    <x v="1"/>
    <s v="Stina Alm"/>
    <x v="0"/>
    <x v="320"/>
    <x v="320"/>
    <n v="0.01"/>
    <s v="GR"/>
    <n v="0"/>
    <n v="150"/>
    <n v="0"/>
    <n v="-149.76499999999999"/>
    <n v="0"/>
    <n v="0"/>
    <n v="1.8"/>
    <x v="20"/>
    <n v="1.8000000000000002E-2"/>
    <x v="2"/>
  </r>
  <r>
    <x v="1"/>
    <s v="Stina Alm"/>
    <x v="0"/>
    <x v="324"/>
    <x v="324"/>
    <n v="1"/>
    <s v="ADET"/>
    <n v="0"/>
    <n v="24"/>
    <n v="5"/>
    <n v="-12"/>
    <n v="0"/>
    <n v="0"/>
    <n v="360.19"/>
    <x v="74"/>
    <n v="360.19"/>
    <x v="4"/>
  </r>
  <r>
    <x v="0"/>
    <s v="Soner Kayıkçı"/>
    <x v="0"/>
    <x v="324"/>
    <x v="324"/>
    <n v="1"/>
    <s v="ADET"/>
    <n v="0"/>
    <n v="24"/>
    <n v="5"/>
    <n v="-12"/>
    <n v="0"/>
    <n v="0"/>
    <n v="360.19"/>
    <x v="74"/>
    <n v="360.19"/>
    <x v="4"/>
  </r>
  <r>
    <x v="2"/>
    <s v="Laurent MONTAGNER"/>
    <x v="0"/>
    <x v="324"/>
    <x v="324"/>
    <n v="1"/>
    <s v="ADET"/>
    <n v="1"/>
    <n v="24"/>
    <n v="5"/>
    <n v="-12"/>
    <n v="0"/>
    <n v="0"/>
    <n v="360.19"/>
    <x v="74"/>
    <n v="360.19"/>
    <x v="4"/>
  </r>
  <r>
    <x v="11"/>
    <s v="Jan Urbanek"/>
    <x v="0"/>
    <x v="270"/>
    <x v="270"/>
    <n v="0.1"/>
    <s v="ADET"/>
    <n v="0"/>
    <n v="33"/>
    <n v="6.0999999999999988"/>
    <n v="-32.299999999999997"/>
    <n v="0"/>
    <n v="0"/>
    <n v="25"/>
    <x v="14"/>
    <n v="2.5"/>
    <x v="2"/>
  </r>
  <r>
    <x v="11"/>
    <s v="Jan Urbanek"/>
    <x v="0"/>
    <x v="319"/>
    <x v="319"/>
    <n v="6"/>
    <s v="KG"/>
    <n v="0"/>
    <n v="0"/>
    <n v="65"/>
    <n v="119"/>
    <n v="0"/>
    <n v="133274.05000000002"/>
    <n v="1119.95"/>
    <x v="81"/>
    <n v="6719.7000000000007"/>
    <x v="3"/>
  </r>
  <r>
    <x v="11"/>
    <s v="Jan Urbanek"/>
    <x v="0"/>
    <x v="320"/>
    <x v="320"/>
    <n v="0.01"/>
    <s v="GR"/>
    <n v="0"/>
    <n v="150"/>
    <n v="0"/>
    <n v="-149.76499999999999"/>
    <n v="0"/>
    <n v="0"/>
    <n v="1.8"/>
    <x v="20"/>
    <n v="1.8000000000000002E-2"/>
    <x v="2"/>
  </r>
  <r>
    <x v="3"/>
    <s v="Stina Alm"/>
    <x v="0"/>
    <x v="332"/>
    <x v="332"/>
    <n v="4"/>
    <s v="ADET"/>
    <n v="0"/>
    <n v="56.5"/>
    <n v="26"/>
    <n v="-12.5"/>
    <n v="0"/>
    <n v="0"/>
    <n v="200"/>
    <x v="37"/>
    <n v="800"/>
    <x v="6"/>
  </r>
  <r>
    <x v="19"/>
    <s v="Volkan Batkan"/>
    <x v="0"/>
    <x v="313"/>
    <x v="313"/>
    <n v="16"/>
    <s v="ADET"/>
    <n v="0"/>
    <n v="150"/>
    <n v="0"/>
    <n v="194"/>
    <n v="0"/>
    <n v="5383.5"/>
    <n v="27.75"/>
    <x v="80"/>
    <n v="444"/>
    <x v="5"/>
  </r>
  <r>
    <x v="2"/>
    <s v="Laurent MONTAGNER"/>
    <x v="0"/>
    <x v="334"/>
    <x v="334"/>
    <n v="5"/>
    <s v="METRE"/>
    <n v="0"/>
    <n v="0"/>
    <n v="165"/>
    <n v="-289"/>
    <n v="400"/>
    <n v="0"/>
    <n v="5"/>
    <x v="45"/>
    <n v="25"/>
    <x v="2"/>
  </r>
  <r>
    <x v="12"/>
    <s v="Matteo Giolo"/>
    <x v="0"/>
    <x v="313"/>
    <x v="313"/>
    <n v="16"/>
    <s v="ADET"/>
    <n v="0"/>
    <n v="150"/>
    <n v="0"/>
    <n v="194"/>
    <n v="0"/>
    <n v="5383.5"/>
    <n v="27.75"/>
    <x v="80"/>
    <n v="444"/>
    <x v="5"/>
  </r>
  <r>
    <x v="12"/>
    <s v="Matteo Giolo"/>
    <x v="0"/>
    <x v="334"/>
    <x v="334"/>
    <n v="5"/>
    <s v="METRE"/>
    <n v="0"/>
    <n v="0"/>
    <n v="165"/>
    <n v="-289"/>
    <n v="400"/>
    <n v="0"/>
    <n v="5"/>
    <x v="45"/>
    <n v="25"/>
    <x v="2"/>
  </r>
  <r>
    <x v="15"/>
    <s v="Jan Urbanek"/>
    <x v="0"/>
    <x v="224"/>
    <x v="224"/>
    <n v="5"/>
    <s v="ADET"/>
    <n v="0"/>
    <n v="0"/>
    <n v="75"/>
    <n v="102"/>
    <n v="0"/>
    <n v="10710"/>
    <n v="105"/>
    <x v="68"/>
    <n v="525"/>
    <x v="4"/>
  </r>
  <r>
    <x v="13"/>
    <s v="Matteo Giolo"/>
    <x v="0"/>
    <x v="224"/>
    <x v="224"/>
    <n v="6"/>
    <s v="ADET"/>
    <n v="0"/>
    <n v="0"/>
    <n v="75"/>
    <n v="102"/>
    <n v="0"/>
    <n v="10710"/>
    <n v="105"/>
    <x v="68"/>
    <n v="630"/>
    <x v="4"/>
  </r>
  <r>
    <x v="15"/>
    <s v="Jan Urbanek"/>
    <x v="0"/>
    <x v="229"/>
    <x v="229"/>
    <n v="2"/>
    <s v="ADET"/>
    <n v="0"/>
    <n v="50"/>
    <n v="33"/>
    <n v="-15"/>
    <n v="0"/>
    <n v="0"/>
    <n v="72.599999999999994"/>
    <x v="14"/>
    <n v="145.19999999999999"/>
    <x v="4"/>
  </r>
  <r>
    <x v="13"/>
    <s v="Matteo Giolo"/>
    <x v="0"/>
    <x v="229"/>
    <x v="229"/>
    <n v="1"/>
    <s v="ADET"/>
    <n v="0"/>
    <n v="50"/>
    <n v="33"/>
    <n v="-15"/>
    <n v="0"/>
    <n v="0"/>
    <n v="72.599999999999994"/>
    <x v="14"/>
    <n v="72.599999999999994"/>
    <x v="4"/>
  </r>
  <r>
    <x v="15"/>
    <s v="Jan Urbanek"/>
    <x v="0"/>
    <x v="313"/>
    <x v="313"/>
    <n v="16"/>
    <s v="ADET"/>
    <n v="0"/>
    <n v="150"/>
    <n v="0"/>
    <n v="194"/>
    <n v="0"/>
    <n v="5383.5"/>
    <n v="27.75"/>
    <x v="80"/>
    <n v="444"/>
    <x v="5"/>
  </r>
  <r>
    <x v="14"/>
    <s v="Stefan Zaugg"/>
    <x v="0"/>
    <x v="313"/>
    <x v="313"/>
    <n v="16"/>
    <s v="ADET"/>
    <n v="0"/>
    <n v="150"/>
    <n v="0"/>
    <n v="194"/>
    <n v="0"/>
    <n v="5383.5"/>
    <n v="27.75"/>
    <x v="80"/>
    <n v="444"/>
    <x v="5"/>
  </r>
  <r>
    <x v="16"/>
    <s v="Stefan Zaugg"/>
    <x v="0"/>
    <x v="334"/>
    <x v="334"/>
    <n v="5"/>
    <s v="METRE"/>
    <n v="0"/>
    <n v="0"/>
    <n v="165"/>
    <n v="-289"/>
    <n v="400"/>
    <n v="0"/>
    <n v="5"/>
    <x v="45"/>
    <n v="25"/>
    <x v="2"/>
  </r>
  <r>
    <x v="14"/>
    <s v="Stefan Zaugg"/>
    <x v="0"/>
    <x v="334"/>
    <x v="334"/>
    <n v="5"/>
    <s v="METRE"/>
    <n v="0"/>
    <n v="0"/>
    <n v="165"/>
    <n v="-289"/>
    <n v="400"/>
    <n v="0"/>
    <n v="5"/>
    <x v="45"/>
    <n v="25"/>
    <x v="2"/>
  </r>
  <r>
    <x v="2"/>
    <s v="Laurent MONTAGNER"/>
    <x v="0"/>
    <x v="224"/>
    <x v="224"/>
    <n v="5"/>
    <s v="ADET"/>
    <n v="0"/>
    <n v="0"/>
    <n v="75"/>
    <n v="102"/>
    <n v="0"/>
    <n v="10710"/>
    <n v="105"/>
    <x v="68"/>
    <n v="525"/>
    <x v="4"/>
  </r>
  <r>
    <x v="19"/>
    <s v="Volkan Batkan"/>
    <x v="0"/>
    <x v="188"/>
    <x v="188"/>
    <n v="1"/>
    <s v="ADET"/>
    <n v="1"/>
    <n v="12"/>
    <n v="9"/>
    <n v="0"/>
    <n v="0"/>
    <n v="0"/>
    <n v="266.72000000000003"/>
    <x v="13"/>
    <n v="266.72000000000003"/>
    <x v="7"/>
  </r>
  <r>
    <x v="16"/>
    <s v="Stefan Zaugg"/>
    <x v="0"/>
    <x v="188"/>
    <x v="188"/>
    <n v="1"/>
    <s v="ADET"/>
    <n v="1"/>
    <n v="12"/>
    <n v="9"/>
    <n v="0"/>
    <n v="0"/>
    <n v="0"/>
    <n v="266.72000000000003"/>
    <x v="13"/>
    <n v="266.72000000000003"/>
    <x v="7"/>
  </r>
  <r>
    <x v="13"/>
    <s v="Matteo Giolo"/>
    <x v="0"/>
    <x v="188"/>
    <x v="188"/>
    <n v="1"/>
    <s v="ADET"/>
    <n v="0"/>
    <n v="12"/>
    <n v="9"/>
    <n v="0"/>
    <n v="0"/>
    <n v="0"/>
    <n v="266.72000000000003"/>
    <x v="13"/>
    <n v="266.72000000000003"/>
    <x v="7"/>
  </r>
  <r>
    <x v="17"/>
    <s v="Murat Taşdemir"/>
    <x v="0"/>
    <x v="335"/>
    <x v="335"/>
    <n v="525"/>
    <s v="ADET"/>
    <n v="0"/>
    <n v="8000"/>
    <n v="11449"/>
    <n v="-1313"/>
    <n v="0"/>
    <n v="0"/>
    <n v="0.54"/>
    <x v="21"/>
    <n v="283.5"/>
    <x v="2"/>
  </r>
  <r>
    <x v="16"/>
    <s v="Stefan Zaugg"/>
    <x v="0"/>
    <x v="336"/>
    <x v="336"/>
    <n v="2"/>
    <s v="ADET"/>
    <n v="2"/>
    <n v="6"/>
    <n v="24"/>
    <n v="10"/>
    <n v="0"/>
    <n v="149462.5"/>
    <n v="14946.25"/>
    <x v="68"/>
    <n v="29892.5"/>
    <x v="4"/>
  </r>
  <r>
    <x v="17"/>
    <s v="Murat Taşdemir"/>
    <x v="0"/>
    <x v="337"/>
    <x v="337"/>
    <n v="1"/>
    <s v="ADET"/>
    <n v="1"/>
    <n v="28"/>
    <n v="5"/>
    <n v="-16"/>
    <n v="0"/>
    <n v="0"/>
    <n v="373.06"/>
    <x v="74"/>
    <n v="373.06"/>
    <x v="4"/>
  </r>
  <r>
    <x v="12"/>
    <s v="Matteo Giolo"/>
    <x v="0"/>
    <x v="335"/>
    <x v="335"/>
    <n v="278"/>
    <s v="ADET"/>
    <n v="0"/>
    <n v="8000"/>
    <n v="11449"/>
    <n v="-1313"/>
    <n v="0"/>
    <n v="0"/>
    <n v="0.54"/>
    <x v="21"/>
    <n v="150.12"/>
    <x v="2"/>
  </r>
  <r>
    <x v="7"/>
    <s v="Laurent MONTAGNER"/>
    <x v="0"/>
    <x v="335"/>
    <x v="335"/>
    <n v="562"/>
    <s v="ADET"/>
    <n v="0"/>
    <n v="8000"/>
    <n v="11449"/>
    <n v="-1313"/>
    <n v="0"/>
    <n v="0"/>
    <n v="0.54"/>
    <x v="21"/>
    <n v="303.48"/>
    <x v="2"/>
  </r>
  <r>
    <x v="3"/>
    <s v="Stina Alm"/>
    <x v="0"/>
    <x v="336"/>
    <x v="336"/>
    <n v="2"/>
    <s v="ADET"/>
    <n v="0"/>
    <n v="6"/>
    <n v="24"/>
    <n v="10"/>
    <n v="0"/>
    <n v="149462.5"/>
    <n v="14946.25"/>
    <x v="68"/>
    <n v="29892.5"/>
    <x v="4"/>
  </r>
  <r>
    <x v="3"/>
    <s v="Stina Alm"/>
    <x v="0"/>
    <x v="337"/>
    <x v="337"/>
    <n v="1"/>
    <s v="ADET"/>
    <n v="0"/>
    <n v="28"/>
    <n v="5"/>
    <n v="-16"/>
    <n v="0"/>
    <n v="0"/>
    <n v="373.06"/>
    <x v="74"/>
    <n v="373.06"/>
    <x v="4"/>
  </r>
  <r>
    <x v="5"/>
    <s v="Matteo Giolo"/>
    <x v="0"/>
    <x v="337"/>
    <x v="337"/>
    <n v="1"/>
    <s v="ADET"/>
    <n v="0"/>
    <n v="28"/>
    <n v="5"/>
    <n v="-16"/>
    <n v="0"/>
    <n v="0"/>
    <n v="373.06"/>
    <x v="74"/>
    <n v="373.06"/>
    <x v="4"/>
  </r>
  <r>
    <x v="5"/>
    <s v="Matteo Giolo"/>
    <x v="0"/>
    <x v="338"/>
    <x v="338"/>
    <n v="1"/>
    <s v="ADET"/>
    <n v="0"/>
    <n v="25"/>
    <n v="5"/>
    <n v="-13"/>
    <n v="0"/>
    <n v="0"/>
    <n v="373.06"/>
    <x v="74"/>
    <n v="373.06"/>
    <x v="4"/>
  </r>
  <r>
    <x v="15"/>
    <s v="Jan Urbanek"/>
    <x v="0"/>
    <x v="335"/>
    <x v="335"/>
    <n v="278"/>
    <s v="ADET"/>
    <n v="0"/>
    <n v="8000"/>
    <n v="11449"/>
    <n v="-1313"/>
    <n v="0"/>
    <n v="0"/>
    <n v="0.54"/>
    <x v="21"/>
    <n v="150.12"/>
    <x v="2"/>
  </r>
  <r>
    <x v="19"/>
    <s v="Volkan Batkan"/>
    <x v="0"/>
    <x v="337"/>
    <x v="337"/>
    <n v="1"/>
    <s v="ADET"/>
    <n v="0"/>
    <n v="28"/>
    <n v="5"/>
    <n v="-16"/>
    <n v="0"/>
    <n v="0"/>
    <n v="373.06"/>
    <x v="74"/>
    <n v="373.06"/>
    <x v="4"/>
  </r>
  <r>
    <x v="6"/>
    <s v="Laurent MONTAGNER"/>
    <x v="0"/>
    <x v="283"/>
    <x v="283"/>
    <n v="1"/>
    <s v="ADET"/>
    <n v="0"/>
    <n v="0"/>
    <n v="11"/>
    <n v="20.000000000000007"/>
    <n v="4"/>
    <n v="36666.600000000013"/>
    <n v="1833.33"/>
    <x v="63"/>
    <n v="1833.33"/>
    <x v="8"/>
  </r>
  <r>
    <x v="6"/>
    <s v="Laurent MONTAGNER"/>
    <x v="0"/>
    <x v="285"/>
    <x v="285"/>
    <n v="1.5"/>
    <s v="ADET"/>
    <n v="0"/>
    <n v="48"/>
    <n v="26"/>
    <n v="-19.5"/>
    <n v="0"/>
    <n v="0"/>
    <n v="5"/>
    <x v="14"/>
    <n v="7.5"/>
    <x v="2"/>
  </r>
  <r>
    <x v="2"/>
    <s v="Laurent MONTAGNER"/>
    <x v="0"/>
    <x v="285"/>
    <x v="285"/>
    <n v="1.5"/>
    <s v="ADET"/>
    <n v="0"/>
    <n v="48"/>
    <n v="26"/>
    <n v="-19.5"/>
    <n v="0"/>
    <n v="0"/>
    <n v="5"/>
    <x v="14"/>
    <n v="7.5"/>
    <x v="2"/>
  </r>
  <r>
    <x v="6"/>
    <s v="Laurent MONTAGNER"/>
    <x v="0"/>
    <x v="286"/>
    <x v="286"/>
    <n v="1"/>
    <s v="KG"/>
    <n v="0"/>
    <n v="0"/>
    <n v="0"/>
    <n v="19"/>
    <n v="0"/>
    <n v="1538.6200000000001"/>
    <n v="80.98"/>
    <x v="63"/>
    <n v="80.98"/>
    <x v="3"/>
  </r>
  <r>
    <x v="0"/>
    <s v="Soner Kayıkçı"/>
    <x v="0"/>
    <x v="287"/>
    <x v="287"/>
    <n v="11"/>
    <s v="ADET"/>
    <n v="0"/>
    <n v="3000"/>
    <n v="0"/>
    <n v="-2847"/>
    <n v="0"/>
    <n v="0"/>
    <n v="0.7"/>
    <x v="14"/>
    <n v="7.6999999999999993"/>
    <x v="2"/>
  </r>
  <r>
    <x v="6"/>
    <s v="Laurent MONTAGNER"/>
    <x v="0"/>
    <x v="287"/>
    <x v="287"/>
    <n v="7"/>
    <s v="ADET"/>
    <n v="0"/>
    <n v="3000"/>
    <n v="0"/>
    <n v="-2847"/>
    <n v="0"/>
    <n v="0"/>
    <n v="0.7"/>
    <x v="14"/>
    <n v="4.8999999999999995"/>
    <x v="2"/>
  </r>
  <r>
    <x v="6"/>
    <s v="Laurent MONTAGNER"/>
    <x v="0"/>
    <x v="294"/>
    <x v="294"/>
    <n v="2"/>
    <s v="ADET"/>
    <n v="2"/>
    <n v="24"/>
    <n v="14"/>
    <n v="-15"/>
    <n v="0"/>
    <n v="0"/>
    <n v="15"/>
    <x v="20"/>
    <n v="30"/>
    <x v="7"/>
  </r>
  <r>
    <x v="17"/>
    <s v="Murat Taşdemir"/>
    <x v="0"/>
    <x v="257"/>
    <x v="257"/>
    <n v="3.17"/>
    <s v="ADET"/>
    <n v="0"/>
    <n v="101"/>
    <n v="10.000000000000057"/>
    <n v="-42.539999999999992"/>
    <n v="0"/>
    <n v="0"/>
    <n v="36"/>
    <x v="14"/>
    <n v="114.12"/>
    <x v="2"/>
  </r>
  <r>
    <x v="5"/>
    <s v="Matteo Giolo"/>
    <x v="0"/>
    <x v="339"/>
    <x v="339"/>
    <n v="5"/>
    <s v="METRE"/>
    <n v="0"/>
    <n v="0"/>
    <n v="90"/>
    <n v="10"/>
    <n v="0"/>
    <n v="80"/>
    <n v="8"/>
    <x v="27"/>
    <n v="40"/>
    <x v="2"/>
  </r>
  <r>
    <x v="12"/>
    <s v="Matteo Giolo"/>
    <x v="0"/>
    <x v="287"/>
    <x v="287"/>
    <n v="7"/>
    <s v="ADET"/>
    <n v="0"/>
    <n v="3000"/>
    <n v="0"/>
    <n v="-2847"/>
    <n v="0"/>
    <n v="0"/>
    <n v="0.7"/>
    <x v="14"/>
    <n v="4.8999999999999995"/>
    <x v="2"/>
  </r>
  <r>
    <x v="5"/>
    <s v="Matteo Giolo"/>
    <x v="0"/>
    <x v="294"/>
    <x v="294"/>
    <n v="1"/>
    <s v="ADET"/>
    <n v="0"/>
    <n v="24"/>
    <n v="14"/>
    <n v="-15"/>
    <n v="0"/>
    <n v="0"/>
    <n v="15"/>
    <x v="20"/>
    <n v="15"/>
    <x v="7"/>
  </r>
  <r>
    <x v="12"/>
    <s v="Matteo Giolo"/>
    <x v="0"/>
    <x v="234"/>
    <x v="234"/>
    <n v="1.5"/>
    <s v="ADET"/>
    <n v="0"/>
    <n v="91"/>
    <n v="17.799999999999997"/>
    <n v="-74.5"/>
    <n v="0"/>
    <n v="0"/>
    <n v="85"/>
    <x v="28"/>
    <n v="127.5"/>
    <x v="2"/>
  </r>
  <r>
    <x v="5"/>
    <s v="Matteo Giolo"/>
    <x v="0"/>
    <x v="234"/>
    <x v="234"/>
    <n v="1.5"/>
    <s v="ADET"/>
    <n v="0"/>
    <n v="91"/>
    <n v="17.799999999999997"/>
    <n v="-74.5"/>
    <n v="0"/>
    <n v="0"/>
    <n v="85"/>
    <x v="28"/>
    <n v="127.5"/>
    <x v="2"/>
  </r>
  <r>
    <x v="5"/>
    <s v="Matteo Giolo"/>
    <x v="0"/>
    <x v="262"/>
    <x v="262"/>
    <n v="1"/>
    <s v="ADET"/>
    <n v="0"/>
    <n v="10"/>
    <n v="4"/>
    <n v="-6"/>
    <n v="0"/>
    <n v="0"/>
    <n v="252"/>
    <x v="75"/>
    <n v="252"/>
    <x v="2"/>
  </r>
  <r>
    <x v="5"/>
    <s v="Matteo Giolo"/>
    <x v="0"/>
    <x v="263"/>
    <x v="263"/>
    <n v="4"/>
    <s v="ADET"/>
    <n v="0"/>
    <n v="4"/>
    <n v="6"/>
    <n v="0"/>
    <n v="0"/>
    <n v="0"/>
    <n v="260"/>
    <x v="2"/>
    <n v="1040"/>
    <x v="2"/>
  </r>
  <r>
    <x v="17"/>
    <s v="Murat Taşdemir"/>
    <x v="0"/>
    <x v="236"/>
    <x v="236"/>
    <n v="0.30000000000000004"/>
    <s v="METRE"/>
    <n v="0"/>
    <n v="50"/>
    <n v="-1.4210854715202004E-14"/>
    <n v="-47.386000000000003"/>
    <n v="0"/>
    <n v="0"/>
    <n v="10.61"/>
    <x v="73"/>
    <n v="3.1830000000000003"/>
    <x v="7"/>
  </r>
  <r>
    <x v="12"/>
    <s v="Matteo Giolo"/>
    <x v="0"/>
    <x v="255"/>
    <x v="255"/>
    <n v="1"/>
    <s v="ADET"/>
    <n v="0"/>
    <n v="6"/>
    <n v="5"/>
    <n v="5"/>
    <n v="0"/>
    <n v="11000"/>
    <n v="2200"/>
    <x v="36"/>
    <n v="2200"/>
    <x v="4"/>
  </r>
  <r>
    <x v="15"/>
    <s v="Jan Urbanek"/>
    <x v="0"/>
    <x v="340"/>
    <x v="340"/>
    <n v="1.5"/>
    <s v="ADET"/>
    <n v="0"/>
    <n v="24"/>
    <n v="18.499999999999982"/>
    <n v="3.899999999999995"/>
    <n v="0"/>
    <n v="467.99999999999943"/>
    <n v="120"/>
    <x v="14"/>
    <n v="180"/>
    <x v="3"/>
  </r>
  <r>
    <x v="13"/>
    <s v="Matteo Giolo"/>
    <x v="0"/>
    <x v="340"/>
    <x v="340"/>
    <n v="1.7"/>
    <s v="ADET"/>
    <n v="0"/>
    <n v="24"/>
    <n v="18.499999999999982"/>
    <n v="3.899999999999995"/>
    <n v="0"/>
    <n v="467.99999999999943"/>
    <n v="120"/>
    <x v="14"/>
    <n v="204"/>
    <x v="3"/>
  </r>
  <r>
    <x v="17"/>
    <s v="Murat Taşdemir"/>
    <x v="0"/>
    <x v="341"/>
    <x v="341"/>
    <n v="6"/>
    <s v="ADET"/>
    <n v="0"/>
    <n v="0"/>
    <n v="0"/>
    <n v="54"/>
    <n v="0"/>
    <n v="37.799999999999997"/>
    <n v="0.7"/>
    <x v="20"/>
    <n v="4.1999999999999993"/>
    <x v="7"/>
  </r>
  <r>
    <x v="19"/>
    <s v="Volkan Batkan"/>
    <x v="0"/>
    <x v="342"/>
    <x v="342"/>
    <n v="1.5"/>
    <s v="ADET"/>
    <n v="0"/>
    <n v="0"/>
    <n v="6.1000000000000023"/>
    <n v="8.8000000000000007"/>
    <n v="5"/>
    <n v="6056.1600000000008"/>
    <n v="688.2"/>
    <x v="41"/>
    <n v="1032.3000000000002"/>
    <x v="5"/>
  </r>
  <r>
    <x v="13"/>
    <s v="Matteo Giolo"/>
    <x v="0"/>
    <x v="342"/>
    <x v="342"/>
    <n v="1"/>
    <s v="ADET"/>
    <n v="0"/>
    <n v="0"/>
    <n v="6.1000000000000023"/>
    <n v="8.8000000000000007"/>
    <n v="5"/>
    <n v="6056.1600000000008"/>
    <n v="688.2"/>
    <x v="41"/>
    <n v="688.2"/>
    <x v="5"/>
  </r>
  <r>
    <x v="0"/>
    <s v="Soner Kayıkçı"/>
    <x v="0"/>
    <x v="340"/>
    <x v="340"/>
    <n v="1.5"/>
    <s v="ADET"/>
    <n v="0"/>
    <n v="24"/>
    <n v="18.499999999999982"/>
    <n v="3.899999999999995"/>
    <n v="0"/>
    <n v="467.99999999999943"/>
    <n v="120"/>
    <x v="14"/>
    <n v="180"/>
    <x v="3"/>
  </r>
  <r>
    <x v="7"/>
    <s v="Laurent MONTAGNER"/>
    <x v="0"/>
    <x v="340"/>
    <x v="340"/>
    <n v="2.2999999999999998"/>
    <s v="ADET"/>
    <n v="0"/>
    <n v="24"/>
    <n v="18.499999999999982"/>
    <n v="3.899999999999995"/>
    <n v="0"/>
    <n v="467.99999999999943"/>
    <n v="120"/>
    <x v="14"/>
    <n v="276"/>
    <x v="3"/>
  </r>
  <r>
    <x v="3"/>
    <s v="Stina Alm"/>
    <x v="0"/>
    <x v="340"/>
    <x v="340"/>
    <n v="1.7"/>
    <s v="ADET"/>
    <n v="0"/>
    <n v="24"/>
    <n v="18.499999999999982"/>
    <n v="3.899999999999995"/>
    <n v="0"/>
    <n v="467.99999999999943"/>
    <n v="120"/>
    <x v="14"/>
    <n v="204"/>
    <x v="3"/>
  </r>
  <r>
    <x v="12"/>
    <s v="Matteo Giolo"/>
    <x v="0"/>
    <x v="342"/>
    <x v="342"/>
    <n v="0.5"/>
    <s v="ADET"/>
    <n v="0"/>
    <n v="0"/>
    <n v="6.1000000000000023"/>
    <n v="8.8000000000000007"/>
    <n v="5"/>
    <n v="6056.1600000000008"/>
    <n v="688.2"/>
    <x v="41"/>
    <n v="344.1"/>
    <x v="5"/>
  </r>
  <r>
    <x v="15"/>
    <s v="Jan Urbanek"/>
    <x v="0"/>
    <x v="343"/>
    <x v="343"/>
    <n v="3"/>
    <s v="ADET"/>
    <n v="0"/>
    <n v="0"/>
    <n v="4.0000000000000497"/>
    <n v="28.999999999999993"/>
    <n v="22"/>
    <n v="30208.429999999993"/>
    <n v="1041.67"/>
    <x v="63"/>
    <n v="3125.01"/>
    <x v="8"/>
  </r>
  <r>
    <x v="1"/>
    <s v="Stina Alm"/>
    <x v="0"/>
    <x v="323"/>
    <x v="323"/>
    <n v="1"/>
    <s v="ADET"/>
    <n v="0"/>
    <n v="34"/>
    <n v="97.880000000000024"/>
    <n v="0.88000000000000256"/>
    <n v="0"/>
    <n v="48.400000000000141"/>
    <n v="55"/>
    <x v="14"/>
    <n v="55"/>
    <x v="2"/>
  </r>
  <r>
    <x v="6"/>
    <s v="Laurent MONTAGNER"/>
    <x v="0"/>
    <x v="344"/>
    <x v="344"/>
    <n v="4"/>
    <s v="ADET"/>
    <n v="0"/>
    <n v="0"/>
    <n v="64"/>
    <n v="40"/>
    <n v="0"/>
    <n v="274.8"/>
    <n v="6.87"/>
    <x v="15"/>
    <n v="27.48"/>
    <x v="7"/>
  </r>
  <r>
    <x v="4"/>
    <s v="Stefan Zaugg"/>
    <x v="0"/>
    <x v="322"/>
    <x v="322"/>
    <n v="110"/>
    <s v="ADET"/>
    <n v="0"/>
    <n v="7500"/>
    <n v="0"/>
    <n v="-5570"/>
    <n v="0"/>
    <n v="0"/>
    <n v="0.8"/>
    <x v="15"/>
    <n v="88"/>
    <x v="2"/>
  </r>
  <r>
    <x v="3"/>
    <s v="Stina Alm"/>
    <x v="0"/>
    <x v="322"/>
    <x v="322"/>
    <n v="80"/>
    <s v="ADET"/>
    <n v="0"/>
    <n v="7500"/>
    <n v="0"/>
    <n v="-5570"/>
    <n v="0"/>
    <n v="0"/>
    <n v="0.8"/>
    <x v="15"/>
    <n v="64"/>
    <x v="2"/>
  </r>
  <r>
    <x v="3"/>
    <s v="Stina Alm"/>
    <x v="0"/>
    <x v="323"/>
    <x v="323"/>
    <n v="1"/>
    <s v="ADET"/>
    <n v="0"/>
    <n v="34"/>
    <n v="97.880000000000024"/>
    <n v="0.88000000000000256"/>
    <n v="0"/>
    <n v="48.400000000000141"/>
    <n v="55"/>
    <x v="14"/>
    <n v="55"/>
    <x v="2"/>
  </r>
  <r>
    <x v="15"/>
    <s v="Jan Urbanek"/>
    <x v="0"/>
    <x v="344"/>
    <x v="344"/>
    <n v="2"/>
    <s v="ADET"/>
    <n v="0"/>
    <n v="0"/>
    <n v="64"/>
    <n v="40"/>
    <n v="0"/>
    <n v="274.8"/>
    <n v="6.87"/>
    <x v="15"/>
    <n v="13.74"/>
    <x v="7"/>
  </r>
  <r>
    <x v="14"/>
    <s v="Stefan Zaugg"/>
    <x v="0"/>
    <x v="344"/>
    <x v="344"/>
    <n v="4"/>
    <s v="ADET"/>
    <n v="0"/>
    <n v="0"/>
    <n v="64"/>
    <n v="40"/>
    <n v="0"/>
    <n v="274.8"/>
    <n v="6.87"/>
    <x v="15"/>
    <n v="27.48"/>
    <x v="7"/>
  </r>
  <r>
    <x v="15"/>
    <s v="Jan Urbanek"/>
    <x v="0"/>
    <x v="345"/>
    <x v="345"/>
    <n v="60"/>
    <s v="ADET"/>
    <n v="0"/>
    <n v="5000"/>
    <n v="0"/>
    <n v="-3820"/>
    <n v="0"/>
    <n v="0"/>
    <n v="0.6"/>
    <x v="14"/>
    <n v="36"/>
    <x v="2"/>
  </r>
  <r>
    <x v="14"/>
    <s v="Stefan Zaugg"/>
    <x v="0"/>
    <x v="345"/>
    <x v="345"/>
    <n v="60"/>
    <s v="ADET"/>
    <n v="0"/>
    <n v="5000"/>
    <n v="0"/>
    <n v="-3820"/>
    <n v="0"/>
    <n v="0"/>
    <n v="0.6"/>
    <x v="14"/>
    <n v="36"/>
    <x v="2"/>
  </r>
  <r>
    <x v="19"/>
    <s v="Volkan Batkan"/>
    <x v="0"/>
    <x v="322"/>
    <x v="322"/>
    <n v="110"/>
    <s v="ADET"/>
    <n v="0"/>
    <n v="7500"/>
    <n v="0"/>
    <n v="-5570"/>
    <n v="0"/>
    <n v="0"/>
    <n v="0.8"/>
    <x v="15"/>
    <n v="88"/>
    <x v="2"/>
  </r>
  <r>
    <x v="19"/>
    <s v="Volkan Batkan"/>
    <x v="0"/>
    <x v="323"/>
    <x v="323"/>
    <n v="4.25"/>
    <s v="ADET"/>
    <n v="4.25"/>
    <n v="34"/>
    <n v="97.880000000000024"/>
    <n v="0.88000000000000256"/>
    <n v="0"/>
    <n v="48.400000000000141"/>
    <n v="55"/>
    <x v="14"/>
    <n v="233.75"/>
    <x v="2"/>
  </r>
  <r>
    <x v="5"/>
    <s v="Matteo Giolo"/>
    <x v="0"/>
    <x v="321"/>
    <x v="321"/>
    <n v="1"/>
    <s v="ADET"/>
    <n v="0"/>
    <n v="23"/>
    <n v="5"/>
    <n v="-11"/>
    <n v="0"/>
    <n v="0"/>
    <n v="360.19"/>
    <x v="74"/>
    <n v="360.19"/>
    <x v="4"/>
  </r>
  <r>
    <x v="12"/>
    <s v="Matteo Giolo"/>
    <x v="0"/>
    <x v="346"/>
    <x v="346"/>
    <n v="6"/>
    <s v="ADET"/>
    <n v="0"/>
    <n v="100"/>
    <n v="52"/>
    <n v="-52"/>
    <n v="0"/>
    <n v="0"/>
    <n v="1.1299999999999999"/>
    <x v="15"/>
    <n v="6.7799999999999994"/>
    <x v="7"/>
  </r>
  <r>
    <x v="12"/>
    <s v="Matteo Giolo"/>
    <x v="0"/>
    <x v="347"/>
    <x v="347"/>
    <n v="2"/>
    <s v="ADET"/>
    <n v="0"/>
    <n v="24"/>
    <n v="10"/>
    <n v="-8"/>
    <n v="0"/>
    <n v="0"/>
    <n v="50.43"/>
    <x v="74"/>
    <n v="100.86"/>
    <x v="6"/>
  </r>
  <r>
    <x v="6"/>
    <s v="Laurent MONTAGNER"/>
    <x v="0"/>
    <x v="288"/>
    <x v="288"/>
    <n v="2"/>
    <s v="ADET"/>
    <n v="2"/>
    <n v="13"/>
    <n v="13"/>
    <n v="-1"/>
    <n v="0"/>
    <n v="0"/>
    <n v="237.5"/>
    <x v="21"/>
    <n v="475"/>
    <x v="2"/>
  </r>
  <r>
    <x v="2"/>
    <s v="Laurent MONTAGNER"/>
    <x v="0"/>
    <x v="288"/>
    <x v="288"/>
    <n v="2"/>
    <s v="ADET"/>
    <n v="2"/>
    <n v="13"/>
    <n v="13"/>
    <n v="-1"/>
    <n v="0"/>
    <n v="0"/>
    <n v="237.5"/>
    <x v="21"/>
    <n v="475"/>
    <x v="2"/>
  </r>
  <r>
    <x v="0"/>
    <s v="Soner Kayıkçı"/>
    <x v="0"/>
    <x v="266"/>
    <x v="266"/>
    <n v="1"/>
    <s v="ADET"/>
    <n v="0"/>
    <n v="21"/>
    <n v="10"/>
    <n v="-50"/>
    <n v="40"/>
    <n v="0"/>
    <n v="312"/>
    <x v="35"/>
    <n v="312"/>
    <x v="6"/>
  </r>
  <r>
    <x v="8"/>
    <s v="Jan Urbanek"/>
    <x v="0"/>
    <x v="309"/>
    <x v="309"/>
    <n v="2"/>
    <s v="ADET"/>
    <n v="0"/>
    <n v="288"/>
    <n v="94"/>
    <n v="-260"/>
    <n v="0"/>
    <n v="0"/>
    <n v="4"/>
    <x v="20"/>
    <n v="8"/>
    <x v="7"/>
  </r>
  <r>
    <x v="9"/>
    <s v="Jan Urbanek"/>
    <x v="0"/>
    <x v="309"/>
    <x v="309"/>
    <n v="2"/>
    <s v="ADET"/>
    <n v="0"/>
    <n v="288"/>
    <n v="94"/>
    <n v="-260"/>
    <n v="0"/>
    <n v="0"/>
    <n v="4"/>
    <x v="20"/>
    <n v="8"/>
    <x v="7"/>
  </r>
  <r>
    <x v="3"/>
    <s v="Stina Alm"/>
    <x v="0"/>
    <x v="309"/>
    <x v="309"/>
    <n v="2"/>
    <s v="ADET"/>
    <n v="0"/>
    <n v="288"/>
    <n v="94"/>
    <n v="-260"/>
    <n v="0"/>
    <n v="0"/>
    <n v="4"/>
    <x v="20"/>
    <n v="8"/>
    <x v="7"/>
  </r>
  <r>
    <x v="5"/>
    <s v="Matteo Giolo"/>
    <x v="0"/>
    <x v="309"/>
    <x v="309"/>
    <n v="2"/>
    <s v="ADET"/>
    <n v="0"/>
    <n v="288"/>
    <n v="94"/>
    <n v="-260"/>
    <n v="0"/>
    <n v="0"/>
    <n v="4"/>
    <x v="20"/>
    <n v="8"/>
    <x v="7"/>
  </r>
  <r>
    <x v="3"/>
    <s v="Stina Alm"/>
    <x v="0"/>
    <x v="311"/>
    <x v="311"/>
    <n v="22"/>
    <s v="MT"/>
    <n v="0"/>
    <n v="200"/>
    <n v="86"/>
    <n v="220"/>
    <n v="0"/>
    <n v="23100"/>
    <n v="105"/>
    <x v="78"/>
    <n v="2310"/>
    <x v="5"/>
  </r>
  <r>
    <x v="4"/>
    <s v="Stefan Zaugg"/>
    <x v="0"/>
    <x v="346"/>
    <x v="346"/>
    <n v="4"/>
    <s v="ADET"/>
    <n v="0"/>
    <n v="100"/>
    <n v="52"/>
    <n v="-52"/>
    <n v="0"/>
    <n v="0"/>
    <n v="1.1299999999999999"/>
    <x v="15"/>
    <n v="4.5199999999999996"/>
    <x v="7"/>
  </r>
  <r>
    <x v="5"/>
    <s v="Matteo Giolo"/>
    <x v="0"/>
    <x v="346"/>
    <x v="346"/>
    <n v="4"/>
    <s v="ADET"/>
    <n v="0"/>
    <n v="100"/>
    <n v="52"/>
    <n v="-52"/>
    <n v="0"/>
    <n v="0"/>
    <n v="1.1299999999999999"/>
    <x v="15"/>
    <n v="4.5199999999999996"/>
    <x v="7"/>
  </r>
  <r>
    <x v="1"/>
    <s v="Stina Alm"/>
    <x v="0"/>
    <x v="309"/>
    <x v="309"/>
    <n v="2"/>
    <s v="ADET"/>
    <n v="0"/>
    <n v="288"/>
    <n v="94"/>
    <n v="-260"/>
    <n v="0"/>
    <n v="0"/>
    <n v="4"/>
    <x v="20"/>
    <n v="8"/>
    <x v="7"/>
  </r>
  <r>
    <x v="0"/>
    <s v="Soner Kayıkçı"/>
    <x v="0"/>
    <x v="311"/>
    <x v="311"/>
    <n v="27"/>
    <s v="MT"/>
    <n v="0"/>
    <n v="200"/>
    <n v="86"/>
    <n v="220"/>
    <n v="0"/>
    <n v="23100"/>
    <n v="105"/>
    <x v="78"/>
    <n v="2835"/>
    <x v="5"/>
  </r>
  <r>
    <x v="2"/>
    <s v="Laurent MONTAGNER"/>
    <x v="0"/>
    <x v="311"/>
    <x v="311"/>
    <n v="22"/>
    <s v="MT"/>
    <n v="0"/>
    <n v="200"/>
    <n v="86"/>
    <n v="220"/>
    <n v="0"/>
    <n v="23100"/>
    <n v="105"/>
    <x v="78"/>
    <n v="2310"/>
    <x v="5"/>
  </r>
  <r>
    <x v="12"/>
    <s v="Matteo Giolo"/>
    <x v="0"/>
    <x v="337"/>
    <x v="337"/>
    <n v="1"/>
    <s v="ADET"/>
    <n v="0"/>
    <n v="28"/>
    <n v="5"/>
    <n v="-16"/>
    <n v="0"/>
    <n v="0"/>
    <n v="373.06"/>
    <x v="74"/>
    <n v="373.06"/>
    <x v="4"/>
  </r>
  <r>
    <x v="3"/>
    <s v="Stina Alm"/>
    <x v="0"/>
    <x v="338"/>
    <x v="338"/>
    <n v="1"/>
    <s v="ADET"/>
    <n v="0"/>
    <n v="25"/>
    <n v="5"/>
    <n v="-13"/>
    <n v="0"/>
    <n v="0"/>
    <n v="373.06"/>
    <x v="74"/>
    <n v="373.06"/>
    <x v="4"/>
  </r>
  <r>
    <x v="4"/>
    <s v="Stefan Zaugg"/>
    <x v="0"/>
    <x v="348"/>
    <x v="348"/>
    <n v="2"/>
    <s v="ADET"/>
    <n v="0"/>
    <n v="5"/>
    <n v="4"/>
    <n v="1"/>
    <n v="0"/>
    <n v="400"/>
    <n v="400"/>
    <x v="19"/>
    <n v="800"/>
    <x v="7"/>
  </r>
  <r>
    <x v="12"/>
    <s v="Matteo Giolo"/>
    <x v="0"/>
    <x v="349"/>
    <x v="349"/>
    <n v="4"/>
    <s v="ADET"/>
    <n v="0"/>
    <n v="19"/>
    <n v="19"/>
    <n v="14"/>
    <n v="0"/>
    <n v="44207.66"/>
    <n v="3157.69"/>
    <x v="84"/>
    <n v="12630.76"/>
    <x v="6"/>
  </r>
  <r>
    <x v="12"/>
    <s v="Matteo Giolo"/>
    <x v="0"/>
    <x v="350"/>
    <x v="350"/>
    <n v="2"/>
    <s v="ADET"/>
    <n v="0"/>
    <n v="1000"/>
    <n v="1000"/>
    <n v="-986"/>
    <n v="0"/>
    <n v="0"/>
    <n v="0.28000000000000003"/>
    <x v="15"/>
    <n v="0.56000000000000005"/>
    <x v="7"/>
  </r>
  <r>
    <x v="5"/>
    <s v="Matteo Giolo"/>
    <x v="0"/>
    <x v="351"/>
    <x v="351"/>
    <n v="1"/>
    <s v="ADET"/>
    <n v="0"/>
    <n v="17"/>
    <n v="17"/>
    <n v="-6"/>
    <n v="0"/>
    <n v="0"/>
    <n v="41.67"/>
    <x v="85"/>
    <n v="41.67"/>
    <x v="6"/>
  </r>
  <r>
    <x v="4"/>
    <s v="Stefan Zaugg"/>
    <x v="0"/>
    <x v="352"/>
    <x v="352"/>
    <n v="3"/>
    <s v="ADET"/>
    <n v="0"/>
    <n v="22"/>
    <n v="18"/>
    <n v="-13"/>
    <n v="0"/>
    <n v="0"/>
    <n v="19.600000000000001"/>
    <x v="86"/>
    <n v="58.800000000000004"/>
    <x v="7"/>
  </r>
  <r>
    <x v="1"/>
    <s v="Stina Alm"/>
    <x v="0"/>
    <x v="336"/>
    <x v="336"/>
    <n v="2"/>
    <s v="ADET"/>
    <n v="0"/>
    <n v="6"/>
    <n v="24"/>
    <n v="10"/>
    <n v="0"/>
    <n v="149462.5"/>
    <n v="14946.25"/>
    <x v="68"/>
    <n v="29892.5"/>
    <x v="4"/>
  </r>
  <r>
    <x v="1"/>
    <s v="Stina Alm"/>
    <x v="0"/>
    <x v="337"/>
    <x v="337"/>
    <n v="1"/>
    <s v="ADET"/>
    <n v="0"/>
    <n v="28"/>
    <n v="5"/>
    <n v="-16"/>
    <n v="0"/>
    <n v="0"/>
    <n v="373.06"/>
    <x v="74"/>
    <n v="373.06"/>
    <x v="4"/>
  </r>
  <r>
    <x v="19"/>
    <s v="Volkan Batkan"/>
    <x v="0"/>
    <x v="335"/>
    <x v="335"/>
    <n v="278"/>
    <s v="ADET"/>
    <n v="0"/>
    <n v="8000"/>
    <n v="11449"/>
    <n v="-1313"/>
    <n v="0"/>
    <n v="0"/>
    <n v="0.54"/>
    <x v="21"/>
    <n v="150.12"/>
    <x v="2"/>
  </r>
  <r>
    <x v="13"/>
    <s v="Matteo Giolo"/>
    <x v="0"/>
    <x v="335"/>
    <x v="335"/>
    <n v="430"/>
    <s v="ADET"/>
    <n v="0"/>
    <n v="8000"/>
    <n v="11449"/>
    <n v="-1313"/>
    <n v="0"/>
    <n v="0"/>
    <n v="0.54"/>
    <x v="21"/>
    <n v="232.20000000000002"/>
    <x v="2"/>
  </r>
  <r>
    <x v="3"/>
    <s v="Stina Alm"/>
    <x v="0"/>
    <x v="335"/>
    <x v="335"/>
    <n v="430"/>
    <s v="ADET"/>
    <n v="0"/>
    <n v="8000"/>
    <n v="11449"/>
    <n v="-1313"/>
    <n v="0"/>
    <n v="0"/>
    <n v="0.54"/>
    <x v="21"/>
    <n v="232.20000000000002"/>
    <x v="2"/>
  </r>
  <r>
    <x v="12"/>
    <s v="Matteo Giolo"/>
    <x v="0"/>
    <x v="338"/>
    <x v="338"/>
    <n v="1"/>
    <s v="ADET"/>
    <n v="0"/>
    <n v="25"/>
    <n v="5"/>
    <n v="-13"/>
    <n v="0"/>
    <n v="0"/>
    <n v="373.06"/>
    <x v="74"/>
    <n v="373.06"/>
    <x v="4"/>
  </r>
  <r>
    <x v="3"/>
    <s v="Stina Alm"/>
    <x v="0"/>
    <x v="349"/>
    <x v="349"/>
    <n v="3"/>
    <s v="ADET"/>
    <n v="0"/>
    <n v="19"/>
    <n v="19"/>
    <n v="14"/>
    <n v="0"/>
    <n v="44207.66"/>
    <n v="3157.69"/>
    <x v="84"/>
    <n v="9473.07"/>
    <x v="6"/>
  </r>
  <r>
    <x v="3"/>
    <s v="Stina Alm"/>
    <x v="0"/>
    <x v="351"/>
    <x v="351"/>
    <n v="1"/>
    <s v="ADET"/>
    <n v="0"/>
    <n v="17"/>
    <n v="17"/>
    <n v="-6"/>
    <n v="0"/>
    <n v="0"/>
    <n v="41.67"/>
    <x v="85"/>
    <n v="41.67"/>
    <x v="6"/>
  </r>
  <r>
    <x v="11"/>
    <s v="Jan Urbanek"/>
    <x v="0"/>
    <x v="335"/>
    <x v="335"/>
    <n v="278"/>
    <s v="ADET"/>
    <n v="0"/>
    <n v="8000"/>
    <n v="11449"/>
    <n v="-1313"/>
    <n v="0"/>
    <n v="0"/>
    <n v="0.54"/>
    <x v="21"/>
    <n v="150.12"/>
    <x v="2"/>
  </r>
  <r>
    <x v="8"/>
    <s v="Jan Urbanek"/>
    <x v="0"/>
    <x v="336"/>
    <x v="336"/>
    <n v="2"/>
    <s v="ADET"/>
    <n v="0"/>
    <n v="6"/>
    <n v="24"/>
    <n v="10"/>
    <n v="0"/>
    <n v="149462.5"/>
    <n v="14946.25"/>
    <x v="68"/>
    <n v="29892.5"/>
    <x v="4"/>
  </r>
  <r>
    <x v="8"/>
    <s v="Jan Urbanek"/>
    <x v="0"/>
    <x v="337"/>
    <x v="337"/>
    <n v="1"/>
    <s v="ADET"/>
    <n v="0"/>
    <n v="28"/>
    <n v="5"/>
    <n v="-16"/>
    <n v="0"/>
    <n v="0"/>
    <n v="373.06"/>
    <x v="74"/>
    <n v="373.06"/>
    <x v="4"/>
  </r>
  <r>
    <x v="9"/>
    <s v="Jan Urbanek"/>
    <x v="0"/>
    <x v="337"/>
    <x v="337"/>
    <n v="1"/>
    <s v="ADET"/>
    <n v="0"/>
    <n v="28"/>
    <n v="5"/>
    <n v="-16"/>
    <n v="0"/>
    <n v="0"/>
    <n v="373.06"/>
    <x v="74"/>
    <n v="373.06"/>
    <x v="4"/>
  </r>
  <r>
    <x v="12"/>
    <s v="Matteo Giolo"/>
    <x v="0"/>
    <x v="353"/>
    <x v="353"/>
    <n v="2"/>
    <s v="ADET"/>
    <n v="0"/>
    <n v="29"/>
    <n v="9"/>
    <n v="-13"/>
    <n v="0"/>
    <n v="0"/>
    <n v="355.05"/>
    <x v="74"/>
    <n v="710.1"/>
    <x v="6"/>
  </r>
  <r>
    <x v="12"/>
    <s v="Matteo Giolo"/>
    <x v="0"/>
    <x v="351"/>
    <x v="351"/>
    <n v="1"/>
    <s v="ADET"/>
    <n v="0"/>
    <n v="17"/>
    <n v="17"/>
    <n v="-6"/>
    <n v="0"/>
    <n v="0"/>
    <n v="41.67"/>
    <x v="85"/>
    <n v="41.67"/>
    <x v="6"/>
  </r>
  <r>
    <x v="2"/>
    <s v="Laurent MONTAGNER"/>
    <x v="0"/>
    <x v="335"/>
    <x v="335"/>
    <n v="441"/>
    <s v="ADET"/>
    <n v="0"/>
    <n v="8000"/>
    <n v="11449"/>
    <n v="-1313"/>
    <n v="0"/>
    <n v="0"/>
    <n v="0.54"/>
    <x v="21"/>
    <n v="238.14000000000001"/>
    <x v="2"/>
  </r>
  <r>
    <x v="0"/>
    <s v="Soner Kayıkçı"/>
    <x v="0"/>
    <x v="335"/>
    <x v="335"/>
    <n v="278"/>
    <s v="ADET"/>
    <n v="0"/>
    <n v="8000"/>
    <n v="11449"/>
    <n v="-1313"/>
    <n v="0"/>
    <n v="0"/>
    <n v="0.54"/>
    <x v="21"/>
    <n v="150.12"/>
    <x v="2"/>
  </r>
  <r>
    <x v="15"/>
    <s v="Jan Urbanek"/>
    <x v="0"/>
    <x v="188"/>
    <x v="188"/>
    <n v="1"/>
    <s v="ADET"/>
    <n v="0"/>
    <n v="12"/>
    <n v="9"/>
    <n v="0"/>
    <n v="0"/>
    <n v="0"/>
    <n v="266.72000000000003"/>
    <x v="13"/>
    <n v="266.72000000000003"/>
    <x v="7"/>
  </r>
  <r>
    <x v="16"/>
    <s v="Stefan Zaugg"/>
    <x v="0"/>
    <x v="335"/>
    <x v="335"/>
    <n v="210"/>
    <s v="ADET"/>
    <n v="0"/>
    <n v="8000"/>
    <n v="11449"/>
    <n v="-1313"/>
    <n v="0"/>
    <n v="0"/>
    <n v="0.54"/>
    <x v="21"/>
    <n v="113.4"/>
    <x v="2"/>
  </r>
  <r>
    <x v="14"/>
    <s v="Stefan Zaugg"/>
    <x v="0"/>
    <x v="335"/>
    <x v="335"/>
    <n v="165"/>
    <s v="ADET"/>
    <n v="0"/>
    <n v="8000"/>
    <n v="11449"/>
    <n v="-1313"/>
    <n v="0"/>
    <n v="0"/>
    <n v="0.54"/>
    <x v="21"/>
    <n v="89.100000000000009"/>
    <x v="2"/>
  </r>
  <r>
    <x v="4"/>
    <s v="Stefan Zaugg"/>
    <x v="0"/>
    <x v="332"/>
    <x v="332"/>
    <n v="4"/>
    <s v="ADET"/>
    <n v="4"/>
    <n v="56.5"/>
    <n v="26"/>
    <n v="-12.5"/>
    <n v="0"/>
    <n v="0"/>
    <n v="200"/>
    <x v="37"/>
    <n v="800"/>
    <x v="6"/>
  </r>
  <r>
    <x v="6"/>
    <s v="Laurent MONTAGNER"/>
    <x v="0"/>
    <x v="275"/>
    <x v="275"/>
    <n v="5.2999999999999989"/>
    <s v="ADET"/>
    <n v="0"/>
    <n v="85"/>
    <n v="3.6500000000000128"/>
    <n v="12.550000000000011"/>
    <n v="0"/>
    <n v="4368.7805000000044"/>
    <n v="348.11"/>
    <x v="29"/>
    <n v="1844.9829999999997"/>
    <x v="3"/>
  </r>
  <r>
    <x v="1"/>
    <s v="Stina Alm"/>
    <x v="0"/>
    <x v="275"/>
    <x v="275"/>
    <n v="5.85"/>
    <s v="ADET"/>
    <n v="0"/>
    <n v="85"/>
    <n v="3.6500000000000128"/>
    <n v="12.550000000000011"/>
    <n v="0"/>
    <n v="4368.7805000000044"/>
    <n v="348.11"/>
    <x v="29"/>
    <n v="2036.4434999999999"/>
    <x v="3"/>
  </r>
  <r>
    <x v="1"/>
    <s v="Stina Alm"/>
    <x v="0"/>
    <x v="319"/>
    <x v="319"/>
    <n v="6"/>
    <s v="KG"/>
    <n v="0"/>
    <n v="0"/>
    <n v="65"/>
    <n v="119"/>
    <n v="0"/>
    <n v="133274.05000000002"/>
    <n v="1119.95"/>
    <x v="81"/>
    <n v="6719.7000000000007"/>
    <x v="3"/>
  </r>
  <r>
    <x v="2"/>
    <s v="Laurent MONTAGNER"/>
    <x v="0"/>
    <x v="320"/>
    <x v="320"/>
    <n v="2.5000000000000001E-2"/>
    <s v="GR"/>
    <n v="0"/>
    <n v="150"/>
    <n v="0"/>
    <n v="-149.76499999999999"/>
    <n v="0"/>
    <n v="0"/>
    <n v="1.8"/>
    <x v="20"/>
    <n v="4.5000000000000005E-2"/>
    <x v="2"/>
  </r>
  <r>
    <x v="9"/>
    <s v="Jan Urbanek"/>
    <x v="0"/>
    <x v="329"/>
    <x v="329"/>
    <n v="4"/>
    <s v="ADET"/>
    <n v="0"/>
    <n v="996"/>
    <n v="0"/>
    <n v="-980"/>
    <n v="0"/>
    <n v="0"/>
    <n v="1.8"/>
    <x v="14"/>
    <n v="7.2"/>
    <x v="2"/>
  </r>
  <r>
    <x v="8"/>
    <s v="Jan Urbanek"/>
    <x v="0"/>
    <x v="275"/>
    <x v="275"/>
    <n v="4.1500000000000004"/>
    <s v="ADET"/>
    <n v="0"/>
    <n v="85"/>
    <n v="3.6500000000000128"/>
    <n v="12.550000000000011"/>
    <n v="0"/>
    <n v="4368.7805000000044"/>
    <n v="348.11"/>
    <x v="29"/>
    <n v="1444.6565000000003"/>
    <x v="3"/>
  </r>
  <r>
    <x v="19"/>
    <s v="Volkan Batkan"/>
    <x v="0"/>
    <x v="329"/>
    <x v="329"/>
    <n v="4"/>
    <s v="ADET"/>
    <n v="0"/>
    <n v="996"/>
    <n v="0"/>
    <n v="-980"/>
    <n v="0"/>
    <n v="0"/>
    <n v="1.8"/>
    <x v="14"/>
    <n v="7.2"/>
    <x v="2"/>
  </r>
  <r>
    <x v="19"/>
    <s v="Volkan Batkan"/>
    <x v="0"/>
    <x v="275"/>
    <x v="275"/>
    <n v="4.25"/>
    <s v="ADET"/>
    <n v="0"/>
    <n v="85"/>
    <n v="3.6500000000000128"/>
    <n v="12.550000000000011"/>
    <n v="0"/>
    <n v="4368.7805000000044"/>
    <n v="348.11"/>
    <x v="29"/>
    <n v="1479.4675"/>
    <x v="3"/>
  </r>
  <r>
    <x v="17"/>
    <s v="Murat Taşdemir"/>
    <x v="0"/>
    <x v="330"/>
    <x v="330"/>
    <n v="1"/>
    <s v="ADET"/>
    <n v="0"/>
    <n v="4"/>
    <n v="4"/>
    <n v="0"/>
    <n v="0"/>
    <n v="0"/>
    <n v="3256.79"/>
    <x v="24"/>
    <n v="3256.79"/>
    <x v="6"/>
  </r>
  <r>
    <x v="16"/>
    <s v="Stefan Zaugg"/>
    <x v="0"/>
    <x v="320"/>
    <x v="320"/>
    <n v="0.01"/>
    <s v="GR"/>
    <n v="0"/>
    <n v="150"/>
    <n v="0"/>
    <n v="-149.76499999999999"/>
    <n v="0"/>
    <n v="0"/>
    <n v="1.8"/>
    <x v="20"/>
    <n v="1.8000000000000002E-2"/>
    <x v="2"/>
  </r>
  <r>
    <x v="12"/>
    <s v="Matteo Giolo"/>
    <x v="0"/>
    <x v="275"/>
    <x v="275"/>
    <n v="4.4000000000000004"/>
    <s v="ADET"/>
    <n v="0"/>
    <n v="85"/>
    <n v="3.6500000000000128"/>
    <n v="12.550000000000011"/>
    <n v="0"/>
    <n v="4368.7805000000044"/>
    <n v="348.11"/>
    <x v="29"/>
    <n v="1531.6840000000002"/>
    <x v="3"/>
  </r>
  <r>
    <x v="4"/>
    <s v="Stefan Zaugg"/>
    <x v="0"/>
    <x v="320"/>
    <x v="320"/>
    <n v="0.01"/>
    <s v="GR"/>
    <n v="0"/>
    <n v="150"/>
    <n v="0"/>
    <n v="-149.76499999999999"/>
    <n v="0"/>
    <n v="0"/>
    <n v="1.8"/>
    <x v="20"/>
    <n v="1.8000000000000002E-2"/>
    <x v="2"/>
  </r>
  <r>
    <x v="5"/>
    <s v="Matteo Giolo"/>
    <x v="0"/>
    <x v="320"/>
    <x v="320"/>
    <n v="2.5000000000000001E-2"/>
    <s v="GR"/>
    <n v="0"/>
    <n v="150"/>
    <n v="0"/>
    <n v="-149.76499999999999"/>
    <n v="0"/>
    <n v="0"/>
    <n v="1.8"/>
    <x v="20"/>
    <n v="4.5000000000000005E-2"/>
    <x v="2"/>
  </r>
  <r>
    <x v="5"/>
    <s v="Matteo Giolo"/>
    <x v="0"/>
    <x v="324"/>
    <x v="324"/>
    <n v="1"/>
    <s v="ADET"/>
    <n v="0"/>
    <n v="24"/>
    <n v="5"/>
    <n v="-12"/>
    <n v="0"/>
    <n v="0"/>
    <n v="360.19"/>
    <x v="74"/>
    <n v="360.19"/>
    <x v="4"/>
  </r>
  <r>
    <x v="12"/>
    <s v="Matteo Giolo"/>
    <x v="0"/>
    <x v="332"/>
    <x v="332"/>
    <n v="4"/>
    <s v="ADET"/>
    <n v="0"/>
    <n v="56.5"/>
    <n v="26"/>
    <n v="-12.5"/>
    <n v="0"/>
    <n v="0"/>
    <n v="200"/>
    <x v="37"/>
    <n v="800"/>
    <x v="6"/>
  </r>
  <r>
    <x v="2"/>
    <s v="Laurent MONTAGNER"/>
    <x v="0"/>
    <x v="319"/>
    <x v="319"/>
    <n v="7"/>
    <s v="KG"/>
    <n v="0"/>
    <n v="0"/>
    <n v="65"/>
    <n v="119"/>
    <n v="0"/>
    <n v="133274.05000000002"/>
    <n v="1119.95"/>
    <x v="81"/>
    <n v="7839.6500000000005"/>
    <x v="3"/>
  </r>
  <r>
    <x v="9"/>
    <s v="Jan Urbanek"/>
    <x v="0"/>
    <x v="270"/>
    <x v="270"/>
    <n v="0.1"/>
    <s v="ADET"/>
    <n v="0"/>
    <n v="33"/>
    <n v="6.0999999999999988"/>
    <n v="-32.299999999999997"/>
    <n v="0"/>
    <n v="0"/>
    <n v="25"/>
    <x v="14"/>
    <n v="2.5"/>
    <x v="2"/>
  </r>
  <r>
    <x v="11"/>
    <s v="Jan Urbanek"/>
    <x v="0"/>
    <x v="329"/>
    <x v="329"/>
    <n v="4"/>
    <s v="ADET"/>
    <n v="0"/>
    <n v="996"/>
    <n v="0"/>
    <n v="-980"/>
    <n v="0"/>
    <n v="0"/>
    <n v="1.8"/>
    <x v="14"/>
    <n v="7.2"/>
    <x v="2"/>
  </r>
  <r>
    <x v="11"/>
    <s v="Jan Urbanek"/>
    <x v="0"/>
    <x v="275"/>
    <x v="275"/>
    <n v="4.4000000000000004"/>
    <s v="ADET"/>
    <n v="0"/>
    <n v="85"/>
    <n v="3.6500000000000128"/>
    <n v="12.550000000000011"/>
    <n v="0"/>
    <n v="4368.7805000000044"/>
    <n v="348.11"/>
    <x v="29"/>
    <n v="1531.6840000000002"/>
    <x v="3"/>
  </r>
  <r>
    <x v="13"/>
    <s v="Matteo Giolo"/>
    <x v="0"/>
    <x v="314"/>
    <x v="314"/>
    <n v="13"/>
    <s v="M2"/>
    <n v="0"/>
    <n v="0"/>
    <n v="139.96999999999997"/>
    <n v="74.11"/>
    <n v="11.89"/>
    <n v="21706.819"/>
    <n v="292.89999999999998"/>
    <x v="63"/>
    <n v="3807.7"/>
    <x v="8"/>
  </r>
  <r>
    <x v="17"/>
    <s v="Murat Taşdemir"/>
    <x v="0"/>
    <x v="305"/>
    <x v="305"/>
    <n v="12"/>
    <s v="ADET"/>
    <n v="0"/>
    <n v="0"/>
    <n v="0"/>
    <n v="124"/>
    <n v="0"/>
    <n v="217"/>
    <n v="1.75"/>
    <x v="14"/>
    <n v="21"/>
    <x v="2"/>
  </r>
  <r>
    <x v="13"/>
    <s v="Matteo Giolo"/>
    <x v="0"/>
    <x v="315"/>
    <x v="315"/>
    <n v="1"/>
    <s v="ADET"/>
    <n v="0"/>
    <n v="0"/>
    <n v="0"/>
    <n v="6.5"/>
    <n v="0"/>
    <n v="247"/>
    <n v="38"/>
    <x v="14"/>
    <n v="38"/>
    <x v="3"/>
  </r>
  <r>
    <x v="16"/>
    <s v="Stefan Zaugg"/>
    <x v="0"/>
    <x v="316"/>
    <x v="316"/>
    <n v="4"/>
    <s v="METRE"/>
    <n v="0"/>
    <n v="0"/>
    <n v="27"/>
    <n v="30.5"/>
    <n v="0"/>
    <n v="396.5"/>
    <n v="13"/>
    <x v="5"/>
    <n v="52"/>
    <x v="7"/>
  </r>
  <r>
    <x v="17"/>
    <s v="Murat Taşdemir"/>
    <x v="0"/>
    <x v="316"/>
    <x v="316"/>
    <n v="4"/>
    <s v="METRE"/>
    <n v="0"/>
    <n v="0"/>
    <n v="27"/>
    <n v="30.5"/>
    <n v="0"/>
    <n v="396.5"/>
    <n v="13"/>
    <x v="5"/>
    <n v="52"/>
    <x v="7"/>
  </r>
  <r>
    <x v="2"/>
    <s v="Laurent MONTAGNER"/>
    <x v="0"/>
    <x v="314"/>
    <x v="314"/>
    <n v="15"/>
    <s v="M2"/>
    <n v="0"/>
    <n v="0"/>
    <n v="139.96999999999997"/>
    <n v="74.11"/>
    <n v="11.89"/>
    <n v="21706.819"/>
    <n v="292.89999999999998"/>
    <x v="63"/>
    <n v="4393.5"/>
    <x v="8"/>
  </r>
  <r>
    <x v="2"/>
    <s v="Laurent MONTAGNER"/>
    <x v="0"/>
    <x v="315"/>
    <x v="315"/>
    <n v="1"/>
    <s v="ADET"/>
    <n v="0"/>
    <n v="0"/>
    <n v="0"/>
    <n v="6.5"/>
    <n v="0"/>
    <n v="247"/>
    <n v="38"/>
    <x v="14"/>
    <n v="38"/>
    <x v="3"/>
  </r>
  <r>
    <x v="13"/>
    <s v="Matteo Giolo"/>
    <x v="0"/>
    <x v="343"/>
    <x v="343"/>
    <n v="5"/>
    <s v="ADET"/>
    <n v="0"/>
    <n v="0"/>
    <n v="4.0000000000000497"/>
    <n v="28.999999999999993"/>
    <n v="22"/>
    <n v="30208.429999999993"/>
    <n v="1041.67"/>
    <x v="63"/>
    <n v="5208.3500000000004"/>
    <x v="8"/>
  </r>
  <r>
    <x v="15"/>
    <s v="Jan Urbanek"/>
    <x v="0"/>
    <x v="354"/>
    <x v="354"/>
    <n v="120"/>
    <s v="METRE"/>
    <n v="0"/>
    <n v="0"/>
    <n v="0"/>
    <n v="1760"/>
    <n v="0"/>
    <n v="0"/>
    <n v="0"/>
    <x v="5"/>
    <n v="0"/>
    <x v="5"/>
  </r>
  <r>
    <x v="13"/>
    <s v="Matteo Giolo"/>
    <x v="0"/>
    <x v="354"/>
    <x v="354"/>
    <n v="120"/>
    <s v="METRE"/>
    <n v="0"/>
    <n v="0"/>
    <n v="0"/>
    <n v="1760"/>
    <n v="0"/>
    <n v="0"/>
    <n v="0"/>
    <x v="5"/>
    <n v="0"/>
    <x v="5"/>
  </r>
  <r>
    <x v="16"/>
    <s v="Stefan Zaugg"/>
    <x v="0"/>
    <x v="355"/>
    <x v="355"/>
    <n v="2"/>
    <s v="ADET"/>
    <n v="0"/>
    <n v="48"/>
    <n v="2"/>
    <n v="-44"/>
    <n v="0"/>
    <n v="0"/>
    <n v="428.63"/>
    <x v="74"/>
    <n v="857.26"/>
    <x v="4"/>
  </r>
  <r>
    <x v="15"/>
    <s v="Jan Urbanek"/>
    <x v="0"/>
    <x v="356"/>
    <x v="356"/>
    <n v="0.13"/>
    <s v="M3"/>
    <n v="0"/>
    <n v="0"/>
    <n v="4.5430000000000446"/>
    <n v="1.4260000000000002"/>
    <n v="0"/>
    <n v="27807.000000000004"/>
    <n v="19500"/>
    <x v="87"/>
    <n v="2535"/>
    <x v="8"/>
  </r>
  <r>
    <x v="13"/>
    <s v="Matteo Giolo"/>
    <x v="0"/>
    <x v="356"/>
    <x v="356"/>
    <n v="0.124"/>
    <s v="M3"/>
    <n v="0"/>
    <n v="0"/>
    <n v="4.5430000000000446"/>
    <n v="1.4260000000000002"/>
    <n v="0"/>
    <n v="27807.000000000004"/>
    <n v="19500"/>
    <x v="87"/>
    <n v="2418"/>
    <x v="8"/>
  </r>
  <r>
    <x v="13"/>
    <s v="Matteo Giolo"/>
    <x v="0"/>
    <x v="255"/>
    <x v="255"/>
    <n v="1"/>
    <s v="ADET"/>
    <n v="0"/>
    <n v="6"/>
    <n v="5"/>
    <n v="5"/>
    <n v="0"/>
    <n v="11000"/>
    <n v="2200"/>
    <x v="36"/>
    <n v="2200"/>
    <x v="4"/>
  </r>
  <r>
    <x v="17"/>
    <s v="Murat Taşdemir"/>
    <x v="0"/>
    <x v="340"/>
    <x v="340"/>
    <n v="2"/>
    <s v="ADET"/>
    <n v="0"/>
    <n v="24"/>
    <n v="18.499999999999982"/>
    <n v="3.899999999999995"/>
    <n v="0"/>
    <n v="467.99999999999943"/>
    <n v="120"/>
    <x v="14"/>
    <n v="240"/>
    <x v="3"/>
  </r>
  <r>
    <x v="16"/>
    <s v="Stefan Zaugg"/>
    <x v="0"/>
    <x v="342"/>
    <x v="342"/>
    <n v="0.5"/>
    <s v="ADET"/>
    <n v="0"/>
    <n v="0"/>
    <n v="6.1000000000000023"/>
    <n v="8.8000000000000007"/>
    <n v="5"/>
    <n v="6056.1600000000008"/>
    <n v="688.2"/>
    <x v="41"/>
    <n v="344.1"/>
    <x v="5"/>
  </r>
  <r>
    <x v="14"/>
    <s v="Stefan Zaugg"/>
    <x v="0"/>
    <x v="342"/>
    <x v="342"/>
    <n v="0.8"/>
    <s v="ADET"/>
    <n v="0"/>
    <n v="0"/>
    <n v="6.1000000000000023"/>
    <n v="8.8000000000000007"/>
    <n v="5"/>
    <n v="6056.1600000000008"/>
    <n v="688.2"/>
    <x v="41"/>
    <n v="550.56000000000006"/>
    <x v="5"/>
  </r>
  <r>
    <x v="15"/>
    <s v="Jan Urbanek"/>
    <x v="0"/>
    <x v="260"/>
    <x v="260"/>
    <n v="1"/>
    <s v="ADET"/>
    <n v="0"/>
    <n v="0"/>
    <n v="5.5699999999999994"/>
    <n v="-2"/>
    <n v="7"/>
    <n v="0"/>
    <n v="1416.67"/>
    <x v="63"/>
    <n v="1416.67"/>
    <x v="8"/>
  </r>
  <r>
    <x v="16"/>
    <s v="Stefan Zaugg"/>
    <x v="0"/>
    <x v="340"/>
    <x v="340"/>
    <n v="2"/>
    <s v="ADET"/>
    <n v="0"/>
    <n v="24"/>
    <n v="18.499999999999982"/>
    <n v="3.899999999999995"/>
    <n v="0"/>
    <n v="467.99999999999943"/>
    <n v="120"/>
    <x v="14"/>
    <n v="240"/>
    <x v="3"/>
  </r>
  <r>
    <x v="1"/>
    <s v="Stina Alm"/>
    <x v="0"/>
    <x v="161"/>
    <x v="161"/>
    <n v="4"/>
    <s v="ADET"/>
    <n v="0"/>
    <n v="125"/>
    <n v="54"/>
    <n v="-49"/>
    <n v="0"/>
    <n v="0"/>
    <n v="3.75"/>
    <x v="21"/>
    <n v="15"/>
    <x v="2"/>
  </r>
  <r>
    <x v="14"/>
    <s v="Stefan Zaugg"/>
    <x v="0"/>
    <x v="357"/>
    <x v="357"/>
    <n v="0.4"/>
    <s v="ADET"/>
    <n v="0"/>
    <n v="5"/>
    <n v="3.5527136788005009E-15"/>
    <n v="-4.0999999999999996"/>
    <n v="0"/>
    <n v="0"/>
    <n v="196"/>
    <x v="2"/>
    <n v="78.400000000000006"/>
    <x v="3"/>
  </r>
  <r>
    <x v="3"/>
    <s v="Stina Alm"/>
    <x v="0"/>
    <x v="68"/>
    <x v="68"/>
    <n v="105.7"/>
    <s v="KG"/>
    <n v="0"/>
    <n v="-690"/>
    <n v="2123.619999999999"/>
    <n v="1819.8699999999994"/>
    <n v="0"/>
    <n v="172651.06689999995"/>
    <n v="94.87"/>
    <x v="3"/>
    <n v="10027.759"/>
    <x v="3"/>
  </r>
  <r>
    <x v="6"/>
    <s v="Laurent MONTAGNER"/>
    <x v="0"/>
    <x v="145"/>
    <x v="145"/>
    <n v="1"/>
    <s v="ADET"/>
    <n v="0"/>
    <n v="5"/>
    <n v="10"/>
    <n v="7"/>
    <n v="0"/>
    <n v="85641.010000000009"/>
    <n v="12234.43"/>
    <x v="19"/>
    <n v="12234.43"/>
    <x v="7"/>
  </r>
  <r>
    <x v="0"/>
    <s v="Soner Kayıkçı"/>
    <x v="0"/>
    <x v="145"/>
    <x v="145"/>
    <n v="1"/>
    <s v="ADET"/>
    <n v="0"/>
    <n v="5"/>
    <n v="10"/>
    <n v="7"/>
    <n v="0"/>
    <n v="85641.010000000009"/>
    <n v="12234.43"/>
    <x v="19"/>
    <n v="12234.43"/>
    <x v="7"/>
  </r>
  <r>
    <x v="2"/>
    <s v="Laurent MONTAGNER"/>
    <x v="0"/>
    <x v="145"/>
    <x v="145"/>
    <n v="1"/>
    <s v="ADET"/>
    <n v="0"/>
    <n v="5"/>
    <n v="10"/>
    <n v="7"/>
    <n v="0"/>
    <n v="85641.010000000009"/>
    <n v="12234.43"/>
    <x v="19"/>
    <n v="12234.43"/>
    <x v="7"/>
  </r>
  <r>
    <x v="6"/>
    <s v="Laurent MONTAGNER"/>
    <x v="0"/>
    <x v="146"/>
    <x v="146"/>
    <n v="1.5"/>
    <s v="METRE"/>
    <n v="0"/>
    <n v="6400"/>
    <n v="186.50000000000006"/>
    <n v="-6392"/>
    <n v="0"/>
    <n v="0"/>
    <n v="2.1"/>
    <x v="5"/>
    <n v="3.1500000000000004"/>
    <x v="7"/>
  </r>
  <r>
    <x v="0"/>
    <s v="Soner Kayıkçı"/>
    <x v="0"/>
    <x v="146"/>
    <x v="146"/>
    <n v="1"/>
    <s v="METRE"/>
    <n v="0"/>
    <n v="6400"/>
    <n v="186.50000000000006"/>
    <n v="-6392"/>
    <n v="0"/>
    <n v="0"/>
    <n v="2.1"/>
    <x v="5"/>
    <n v="2.1"/>
    <x v="7"/>
  </r>
  <r>
    <x v="0"/>
    <s v="Soner Kayıkçı"/>
    <x v="0"/>
    <x v="161"/>
    <x v="161"/>
    <n v="6"/>
    <s v="ADET"/>
    <n v="0"/>
    <n v="125"/>
    <n v="54"/>
    <n v="-49"/>
    <n v="0"/>
    <n v="0"/>
    <n v="3.75"/>
    <x v="21"/>
    <n v="22.5"/>
    <x v="2"/>
  </r>
  <r>
    <x v="2"/>
    <s v="Laurent MONTAGNER"/>
    <x v="0"/>
    <x v="161"/>
    <x v="161"/>
    <n v="4"/>
    <s v="ADET"/>
    <n v="0"/>
    <n v="125"/>
    <n v="54"/>
    <n v="-49"/>
    <n v="0"/>
    <n v="0"/>
    <n v="3.75"/>
    <x v="21"/>
    <n v="15"/>
    <x v="2"/>
  </r>
  <r>
    <x v="15"/>
    <s v="Jan Urbanek"/>
    <x v="0"/>
    <x v="161"/>
    <x v="161"/>
    <n v="6"/>
    <s v="ADET"/>
    <n v="0"/>
    <n v="125"/>
    <n v="54"/>
    <n v="-49"/>
    <n v="0"/>
    <n v="0"/>
    <n v="3.75"/>
    <x v="21"/>
    <n v="22.5"/>
    <x v="2"/>
  </r>
  <r>
    <x v="12"/>
    <s v="Matteo Giolo"/>
    <x v="0"/>
    <x v="69"/>
    <x v="69"/>
    <n v="0.01"/>
    <s v="ADET"/>
    <n v="0"/>
    <n v="6"/>
    <n v="22.530000000000012"/>
    <n v="-5.5"/>
    <n v="0"/>
    <n v="0"/>
    <n v="133"/>
    <x v="33"/>
    <n v="1.33"/>
    <x v="3"/>
  </r>
  <r>
    <x v="12"/>
    <s v="Matteo Giolo"/>
    <x v="0"/>
    <x v="70"/>
    <x v="70"/>
    <n v="6"/>
    <s v="ADET"/>
    <n v="0"/>
    <n v="84"/>
    <n v="36"/>
    <n v="22"/>
    <n v="0"/>
    <n v="440"/>
    <n v="20"/>
    <x v="14"/>
    <n v="120"/>
    <x v="4"/>
  </r>
  <r>
    <x v="19"/>
    <s v="Volkan Batkan"/>
    <x v="0"/>
    <x v="161"/>
    <x v="161"/>
    <n v="6"/>
    <s v="ADET"/>
    <n v="0"/>
    <n v="125"/>
    <n v="54"/>
    <n v="-49"/>
    <n v="0"/>
    <n v="0"/>
    <n v="3.75"/>
    <x v="21"/>
    <n v="22.5"/>
    <x v="2"/>
  </r>
  <r>
    <x v="5"/>
    <s v="Matteo Giolo"/>
    <x v="0"/>
    <x v="68"/>
    <x v="68"/>
    <n v="114.33"/>
    <s v="KG"/>
    <n v="0"/>
    <n v="-690"/>
    <n v="2123.619999999999"/>
    <n v="1819.8699999999994"/>
    <n v="0"/>
    <n v="172651.06689999995"/>
    <n v="94.87"/>
    <x v="3"/>
    <n v="10846.4871"/>
    <x v="3"/>
  </r>
  <r>
    <x v="7"/>
    <s v="Laurent MONTAGNER"/>
    <x v="0"/>
    <x v="69"/>
    <x v="69"/>
    <n v="0.01"/>
    <s v="ADET"/>
    <n v="0"/>
    <n v="6"/>
    <n v="22.530000000000012"/>
    <n v="-5.5"/>
    <n v="0"/>
    <n v="0"/>
    <n v="133"/>
    <x v="33"/>
    <n v="1.33"/>
    <x v="3"/>
  </r>
  <r>
    <x v="6"/>
    <s v="Laurent MONTAGNER"/>
    <x v="0"/>
    <x v="253"/>
    <x v="253"/>
    <n v="1"/>
    <s v="ADET"/>
    <n v="1"/>
    <n v="7"/>
    <n v="10"/>
    <n v="-1"/>
    <n v="5"/>
    <n v="0"/>
    <n v="1200"/>
    <x v="35"/>
    <n v="1200"/>
    <x v="4"/>
  </r>
  <r>
    <x v="2"/>
    <s v="Laurent MONTAGNER"/>
    <x v="0"/>
    <x v="253"/>
    <x v="253"/>
    <n v="1"/>
    <s v="ADET"/>
    <n v="1"/>
    <n v="7"/>
    <n v="10"/>
    <n v="-1"/>
    <n v="5"/>
    <n v="0"/>
    <n v="1200"/>
    <x v="35"/>
    <n v="1200"/>
    <x v="4"/>
  </r>
  <r>
    <x v="6"/>
    <s v="Laurent MONTAGNER"/>
    <x v="0"/>
    <x v="316"/>
    <x v="316"/>
    <n v="1.5"/>
    <s v="METRE"/>
    <n v="0"/>
    <n v="0"/>
    <n v="27"/>
    <n v="30.5"/>
    <n v="0"/>
    <n v="396.5"/>
    <n v="13"/>
    <x v="5"/>
    <n v="19.5"/>
    <x v="7"/>
  </r>
  <r>
    <x v="6"/>
    <s v="Laurent MONTAGNER"/>
    <x v="0"/>
    <x v="317"/>
    <x v="317"/>
    <n v="2"/>
    <s v="ADET"/>
    <n v="2"/>
    <n v="35"/>
    <n v="14"/>
    <n v="-11"/>
    <n v="0"/>
    <n v="0"/>
    <n v="43.75"/>
    <x v="3"/>
    <n v="87.5"/>
    <x v="2"/>
  </r>
  <r>
    <x v="0"/>
    <s v="Soner Kayıkçı"/>
    <x v="0"/>
    <x v="318"/>
    <x v="318"/>
    <n v="1"/>
    <s v="ADET"/>
    <n v="0"/>
    <n v="7"/>
    <n v="10"/>
    <n v="4"/>
    <n v="0"/>
    <n v="1950.24"/>
    <n v="487.56"/>
    <x v="34"/>
    <n v="487.56"/>
    <x v="6"/>
  </r>
  <r>
    <x v="6"/>
    <s v="Laurent MONTAGNER"/>
    <x v="0"/>
    <x v="318"/>
    <x v="318"/>
    <n v="1"/>
    <s v="ADET"/>
    <n v="1"/>
    <n v="7"/>
    <n v="10"/>
    <n v="4"/>
    <n v="0"/>
    <n v="1950.24"/>
    <n v="487.56"/>
    <x v="34"/>
    <n v="487.56"/>
    <x v="6"/>
  </r>
  <r>
    <x v="12"/>
    <s v="Matteo Giolo"/>
    <x v="0"/>
    <x v="305"/>
    <x v="305"/>
    <n v="12"/>
    <s v="ADET"/>
    <n v="0"/>
    <n v="0"/>
    <n v="0"/>
    <n v="124"/>
    <n v="0"/>
    <n v="217"/>
    <n v="1.75"/>
    <x v="14"/>
    <n v="21"/>
    <x v="2"/>
  </r>
  <r>
    <x v="16"/>
    <s v="Stefan Zaugg"/>
    <x v="0"/>
    <x v="315"/>
    <x v="315"/>
    <n v="0.5"/>
    <s v="ADET"/>
    <n v="0"/>
    <n v="0"/>
    <n v="0"/>
    <n v="6.5"/>
    <n v="0"/>
    <n v="247"/>
    <n v="38"/>
    <x v="14"/>
    <n v="19"/>
    <x v="3"/>
  </r>
  <r>
    <x v="19"/>
    <s v="Volkan Batkan"/>
    <x v="0"/>
    <x v="316"/>
    <x v="316"/>
    <n v="4"/>
    <s v="METRE"/>
    <n v="0"/>
    <n v="0"/>
    <n v="27"/>
    <n v="30.5"/>
    <n v="0"/>
    <n v="396.5"/>
    <n v="13"/>
    <x v="5"/>
    <n v="52"/>
    <x v="7"/>
  </r>
  <r>
    <x v="14"/>
    <s v="Stefan Zaugg"/>
    <x v="0"/>
    <x v="316"/>
    <x v="316"/>
    <n v="4"/>
    <s v="METRE"/>
    <n v="0"/>
    <n v="0"/>
    <n v="27"/>
    <n v="30.5"/>
    <n v="0"/>
    <n v="396.5"/>
    <n v="13"/>
    <x v="5"/>
    <n v="52"/>
    <x v="7"/>
  </r>
  <r>
    <x v="14"/>
    <s v="Stefan Zaugg"/>
    <x v="0"/>
    <x v="317"/>
    <x v="317"/>
    <n v="2"/>
    <s v="ADET"/>
    <n v="2"/>
    <n v="35"/>
    <n v="14"/>
    <n v="-11"/>
    <n v="0"/>
    <n v="0"/>
    <n v="43.75"/>
    <x v="3"/>
    <n v="87.5"/>
    <x v="2"/>
  </r>
  <r>
    <x v="13"/>
    <s v="Matteo Giolo"/>
    <x v="0"/>
    <x v="317"/>
    <x v="317"/>
    <n v="2"/>
    <s v="ADET"/>
    <n v="0"/>
    <n v="35"/>
    <n v="14"/>
    <n v="-11"/>
    <n v="0"/>
    <n v="0"/>
    <n v="43.75"/>
    <x v="3"/>
    <n v="87.5"/>
    <x v="2"/>
  </r>
  <r>
    <x v="1"/>
    <s v="Stina Alm"/>
    <x v="0"/>
    <x v="253"/>
    <x v="253"/>
    <n v="1"/>
    <s v="ADET"/>
    <n v="0"/>
    <n v="7"/>
    <n v="10"/>
    <n v="-1"/>
    <n v="5"/>
    <n v="0"/>
    <n v="1200"/>
    <x v="35"/>
    <n v="1200"/>
    <x v="4"/>
  </r>
  <r>
    <x v="1"/>
    <s v="Stina Alm"/>
    <x v="0"/>
    <x v="314"/>
    <x v="314"/>
    <n v="13"/>
    <s v="M2"/>
    <n v="0"/>
    <n v="0"/>
    <n v="139.96999999999997"/>
    <n v="74.11"/>
    <n v="11.89"/>
    <n v="21706.819"/>
    <n v="292.89999999999998"/>
    <x v="63"/>
    <n v="3807.7"/>
    <x v="8"/>
  </r>
  <r>
    <x v="0"/>
    <s v="Soner Kayıkçı"/>
    <x v="0"/>
    <x v="314"/>
    <x v="314"/>
    <n v="15"/>
    <s v="M2"/>
    <n v="0"/>
    <n v="0"/>
    <n v="139.96999999999997"/>
    <n v="74.11"/>
    <n v="11.89"/>
    <n v="21706.819"/>
    <n v="292.89999999999998"/>
    <x v="63"/>
    <n v="4393.5"/>
    <x v="8"/>
  </r>
  <r>
    <x v="1"/>
    <s v="Stina Alm"/>
    <x v="0"/>
    <x v="315"/>
    <x v="315"/>
    <n v="1"/>
    <s v="ADET"/>
    <n v="0"/>
    <n v="0"/>
    <n v="0"/>
    <n v="6.5"/>
    <n v="0"/>
    <n v="247"/>
    <n v="38"/>
    <x v="14"/>
    <n v="38"/>
    <x v="3"/>
  </r>
  <r>
    <x v="1"/>
    <s v="Stina Alm"/>
    <x v="0"/>
    <x v="316"/>
    <x v="316"/>
    <n v="1.5"/>
    <s v="METRE"/>
    <n v="0"/>
    <n v="0"/>
    <n v="27"/>
    <n v="30.5"/>
    <n v="0"/>
    <n v="396.5"/>
    <n v="13"/>
    <x v="5"/>
    <n v="19.5"/>
    <x v="7"/>
  </r>
  <r>
    <x v="1"/>
    <s v="Stina Alm"/>
    <x v="0"/>
    <x v="318"/>
    <x v="318"/>
    <n v="1"/>
    <s v="ADET"/>
    <n v="0"/>
    <n v="7"/>
    <n v="10"/>
    <n v="4"/>
    <n v="0"/>
    <n v="1950.24"/>
    <n v="487.56"/>
    <x v="34"/>
    <n v="487.56"/>
    <x v="6"/>
  </r>
  <r>
    <x v="5"/>
    <s v="Matteo Giolo"/>
    <x v="0"/>
    <x v="314"/>
    <x v="314"/>
    <n v="15"/>
    <s v="M2"/>
    <n v="0"/>
    <n v="0"/>
    <n v="139.96999999999997"/>
    <n v="74.11"/>
    <n v="11.89"/>
    <n v="21706.819"/>
    <n v="292.89999999999998"/>
    <x v="63"/>
    <n v="4393.5"/>
    <x v="8"/>
  </r>
  <r>
    <x v="3"/>
    <s v="Stina Alm"/>
    <x v="0"/>
    <x v="317"/>
    <x v="317"/>
    <n v="2"/>
    <s v="ADET"/>
    <n v="0"/>
    <n v="35"/>
    <n v="14"/>
    <n v="-11"/>
    <n v="0"/>
    <n v="0"/>
    <n v="43.75"/>
    <x v="3"/>
    <n v="87.5"/>
    <x v="2"/>
  </r>
  <r>
    <x v="5"/>
    <s v="Matteo Giolo"/>
    <x v="0"/>
    <x v="318"/>
    <x v="318"/>
    <n v="1"/>
    <s v="ADET"/>
    <n v="0"/>
    <n v="7"/>
    <n v="10"/>
    <n v="4"/>
    <n v="0"/>
    <n v="1950.24"/>
    <n v="487.56"/>
    <x v="34"/>
    <n v="487.56"/>
    <x v="6"/>
  </r>
  <r>
    <x v="12"/>
    <s v="Matteo Giolo"/>
    <x v="0"/>
    <x v="149"/>
    <x v="149"/>
    <n v="2"/>
    <s v="ADET"/>
    <n v="0"/>
    <n v="67"/>
    <n v="24"/>
    <n v="-38"/>
    <n v="0"/>
    <n v="0"/>
    <n v="640"/>
    <x v="20"/>
    <n v="1280"/>
    <x v="7"/>
  </r>
  <r>
    <x v="5"/>
    <s v="Matteo Giolo"/>
    <x v="0"/>
    <x v="148"/>
    <x v="148"/>
    <n v="2"/>
    <s v="ADET"/>
    <n v="0"/>
    <n v="238"/>
    <n v="90"/>
    <n v="-200"/>
    <n v="0"/>
    <n v="0"/>
    <n v="4"/>
    <x v="20"/>
    <n v="8"/>
    <x v="7"/>
  </r>
  <r>
    <x v="7"/>
    <s v="Laurent MONTAGNER"/>
    <x v="0"/>
    <x v="148"/>
    <x v="148"/>
    <n v="2"/>
    <s v="ADET"/>
    <n v="0"/>
    <n v="238"/>
    <n v="90"/>
    <n v="-200"/>
    <n v="0"/>
    <n v="0"/>
    <n v="4"/>
    <x v="20"/>
    <n v="8"/>
    <x v="7"/>
  </r>
  <r>
    <x v="17"/>
    <s v="Murat Taşdemir"/>
    <x v="0"/>
    <x v="152"/>
    <x v="152"/>
    <n v="6"/>
    <s v="ADET"/>
    <n v="0"/>
    <n v="0"/>
    <n v="0"/>
    <n v="54"/>
    <n v="0"/>
    <n v="67.5"/>
    <n v="1.25"/>
    <x v="20"/>
    <n v="7.5"/>
    <x v="7"/>
  </r>
  <r>
    <x v="12"/>
    <s v="Matteo Giolo"/>
    <x v="0"/>
    <x v="150"/>
    <x v="150"/>
    <n v="1"/>
    <s v="ADET"/>
    <n v="0"/>
    <n v="9"/>
    <n v="13"/>
    <n v="-1"/>
    <n v="4"/>
    <n v="0"/>
    <n v="1600"/>
    <x v="35"/>
    <n v="1600"/>
    <x v="7"/>
  </r>
  <r>
    <x v="7"/>
    <s v="Laurent MONTAGNER"/>
    <x v="0"/>
    <x v="150"/>
    <x v="150"/>
    <n v="1"/>
    <s v="ADET"/>
    <n v="1"/>
    <n v="9"/>
    <n v="13"/>
    <n v="-1"/>
    <n v="4"/>
    <n v="0"/>
    <n v="1600"/>
    <x v="35"/>
    <n v="1600"/>
    <x v="7"/>
  </r>
  <r>
    <x v="5"/>
    <s v="Matteo Giolo"/>
    <x v="0"/>
    <x v="70"/>
    <x v="70"/>
    <n v="5"/>
    <s v="ADET"/>
    <n v="0"/>
    <n v="84"/>
    <n v="36"/>
    <n v="22"/>
    <n v="0"/>
    <n v="440"/>
    <n v="20"/>
    <x v="14"/>
    <n v="100"/>
    <x v="4"/>
  </r>
  <r>
    <x v="4"/>
    <s v="Stefan Zaugg"/>
    <x v="0"/>
    <x v="70"/>
    <x v="70"/>
    <n v="6"/>
    <s v="ADET"/>
    <n v="0"/>
    <n v="84"/>
    <n v="36"/>
    <n v="22"/>
    <n v="0"/>
    <n v="440"/>
    <n v="20"/>
    <x v="14"/>
    <n v="120"/>
    <x v="4"/>
  </r>
  <r>
    <x v="4"/>
    <s v="Stefan Zaugg"/>
    <x v="0"/>
    <x v="69"/>
    <x v="69"/>
    <n v="0.01"/>
    <s v="ADET"/>
    <n v="0"/>
    <n v="6"/>
    <n v="22.530000000000012"/>
    <n v="-5.5"/>
    <n v="0"/>
    <n v="0"/>
    <n v="133"/>
    <x v="33"/>
    <n v="1.33"/>
    <x v="3"/>
  </r>
  <r>
    <x v="3"/>
    <s v="Stina Alm"/>
    <x v="0"/>
    <x v="69"/>
    <x v="69"/>
    <n v="0.12000000000000001"/>
    <s v="ADET"/>
    <n v="0"/>
    <n v="6"/>
    <n v="22.530000000000012"/>
    <n v="-5.5"/>
    <n v="0"/>
    <n v="0"/>
    <n v="133"/>
    <x v="33"/>
    <n v="15.96"/>
    <x v="3"/>
  </r>
  <r>
    <x v="13"/>
    <s v="Matteo Giolo"/>
    <x v="0"/>
    <x v="161"/>
    <x v="161"/>
    <n v="8"/>
    <s v="ADET"/>
    <n v="0"/>
    <n v="125"/>
    <n v="54"/>
    <n v="-49"/>
    <n v="0"/>
    <n v="0"/>
    <n v="3.75"/>
    <x v="21"/>
    <n v="30"/>
    <x v="2"/>
  </r>
  <r>
    <x v="12"/>
    <s v="Matteo Giolo"/>
    <x v="0"/>
    <x v="68"/>
    <x v="68"/>
    <n v="108.01"/>
    <s v="KG"/>
    <n v="0"/>
    <n v="-690"/>
    <n v="2123.619999999999"/>
    <n v="1819.8699999999994"/>
    <n v="0"/>
    <n v="172651.06689999995"/>
    <n v="94.87"/>
    <x v="3"/>
    <n v="10246.908700000002"/>
    <x v="3"/>
  </r>
  <r>
    <x v="7"/>
    <s v="Laurent MONTAGNER"/>
    <x v="0"/>
    <x v="70"/>
    <x v="70"/>
    <n v="6"/>
    <s v="ADET"/>
    <n v="0"/>
    <n v="84"/>
    <n v="36"/>
    <n v="22"/>
    <n v="0"/>
    <n v="440"/>
    <n v="20"/>
    <x v="14"/>
    <n v="120"/>
    <x v="4"/>
  </r>
  <r>
    <x v="3"/>
    <s v="Stina Alm"/>
    <x v="0"/>
    <x v="70"/>
    <x v="70"/>
    <n v="4"/>
    <s v="ADET"/>
    <n v="0"/>
    <n v="84"/>
    <n v="36"/>
    <n v="22"/>
    <n v="0"/>
    <n v="440"/>
    <n v="20"/>
    <x v="14"/>
    <n v="80"/>
    <x v="4"/>
  </r>
  <r>
    <x v="3"/>
    <s v="Stina Alm"/>
    <x v="0"/>
    <x v="145"/>
    <x v="145"/>
    <n v="1"/>
    <s v="ADET"/>
    <n v="0"/>
    <n v="5"/>
    <n v="10"/>
    <n v="7"/>
    <n v="0"/>
    <n v="85641.010000000009"/>
    <n v="12234.43"/>
    <x v="19"/>
    <n v="12234.43"/>
    <x v="7"/>
  </r>
  <r>
    <x v="4"/>
    <s v="Stefan Zaugg"/>
    <x v="0"/>
    <x v="146"/>
    <x v="146"/>
    <n v="1"/>
    <s v="METRE"/>
    <n v="0"/>
    <n v="6400"/>
    <n v="186.50000000000006"/>
    <n v="-6392"/>
    <n v="0"/>
    <n v="0"/>
    <n v="2.1"/>
    <x v="5"/>
    <n v="2.1"/>
    <x v="7"/>
  </r>
  <r>
    <x v="7"/>
    <s v="Laurent MONTAGNER"/>
    <x v="0"/>
    <x v="146"/>
    <x v="146"/>
    <n v="1.5"/>
    <s v="METRE"/>
    <n v="0"/>
    <n v="6400"/>
    <n v="186.50000000000006"/>
    <n v="-6392"/>
    <n v="0"/>
    <n v="0"/>
    <n v="2.1"/>
    <x v="5"/>
    <n v="3.1500000000000004"/>
    <x v="7"/>
  </r>
  <r>
    <x v="12"/>
    <s v="Matteo Giolo"/>
    <x v="0"/>
    <x v="145"/>
    <x v="145"/>
    <n v="1"/>
    <s v="ADET"/>
    <n v="0"/>
    <n v="5"/>
    <n v="10"/>
    <n v="7"/>
    <n v="0"/>
    <n v="85641.010000000009"/>
    <n v="12234.43"/>
    <x v="19"/>
    <n v="12234.43"/>
    <x v="7"/>
  </r>
  <r>
    <x v="15"/>
    <s v="Jan Urbanek"/>
    <x v="0"/>
    <x v="167"/>
    <x v="167"/>
    <n v="1"/>
    <s v="ADET"/>
    <n v="0"/>
    <n v="13"/>
    <n v="9"/>
    <n v="-1"/>
    <n v="0"/>
    <n v="0"/>
    <n v="270"/>
    <x v="20"/>
    <n v="270"/>
    <x v="7"/>
  </r>
  <r>
    <x v="15"/>
    <s v="Jan Urbanek"/>
    <x v="0"/>
    <x v="168"/>
    <x v="168"/>
    <n v="10"/>
    <s v="ADET"/>
    <n v="0"/>
    <n v="0"/>
    <n v="0"/>
    <n v="56"/>
    <n v="0"/>
    <n v="0"/>
    <n v="0"/>
    <x v="5"/>
    <n v="0"/>
    <x v="2"/>
  </r>
  <r>
    <x v="5"/>
    <s v="Matteo Giolo"/>
    <x v="0"/>
    <x v="358"/>
    <x v="358"/>
    <n v="1"/>
    <s v="ADET"/>
    <n v="0"/>
    <n v="0"/>
    <n v="1"/>
    <n v="1"/>
    <n v="0"/>
    <n v="65075.75"/>
    <n v="65075.75"/>
    <x v="19"/>
    <n v="65075.75"/>
    <x v="6"/>
  </r>
  <r>
    <x v="5"/>
    <s v="Matteo Giolo"/>
    <x v="0"/>
    <x v="359"/>
    <x v="359"/>
    <n v="1"/>
    <s v="ADET"/>
    <n v="0"/>
    <n v="18"/>
    <n v="3"/>
    <n v="-1"/>
    <n v="0"/>
    <n v="0"/>
    <n v="4852.33"/>
    <x v="74"/>
    <n v="4852.33"/>
    <x v="6"/>
  </r>
  <r>
    <x v="0"/>
    <s v="Soner Kayıkçı"/>
    <x v="0"/>
    <x v="167"/>
    <x v="167"/>
    <n v="1"/>
    <s v="ADET"/>
    <n v="0"/>
    <n v="13"/>
    <n v="9"/>
    <n v="-1"/>
    <n v="0"/>
    <n v="0"/>
    <n v="270"/>
    <x v="20"/>
    <n v="270"/>
    <x v="7"/>
  </r>
  <r>
    <x v="1"/>
    <s v="Stina Alm"/>
    <x v="0"/>
    <x v="167"/>
    <x v="167"/>
    <n v="1"/>
    <s v="ADET"/>
    <n v="0"/>
    <n v="13"/>
    <n v="9"/>
    <n v="-1"/>
    <n v="0"/>
    <n v="0"/>
    <n v="270"/>
    <x v="20"/>
    <n v="270"/>
    <x v="7"/>
  </r>
  <r>
    <x v="0"/>
    <s v="Soner Kayıkçı"/>
    <x v="0"/>
    <x v="168"/>
    <x v="168"/>
    <n v="6"/>
    <s v="ADET"/>
    <n v="0"/>
    <n v="0"/>
    <n v="0"/>
    <n v="56"/>
    <n v="0"/>
    <n v="0"/>
    <n v="0"/>
    <x v="5"/>
    <n v="0"/>
    <x v="2"/>
  </r>
  <r>
    <x v="12"/>
    <s v="Matteo Giolo"/>
    <x v="0"/>
    <x v="360"/>
    <x v="360"/>
    <n v="50"/>
    <s v="METRE"/>
    <n v="0"/>
    <n v="0"/>
    <n v="57"/>
    <n v="350"/>
    <n v="0"/>
    <n v="3132.4999999999995"/>
    <n v="8.9499999999999993"/>
    <x v="63"/>
    <n v="447.49999999999994"/>
    <x v="8"/>
  </r>
  <r>
    <x v="7"/>
    <s v="Laurent MONTAGNER"/>
    <x v="0"/>
    <x v="360"/>
    <x v="360"/>
    <n v="50"/>
    <s v="METRE"/>
    <n v="0"/>
    <n v="0"/>
    <n v="57"/>
    <n v="350"/>
    <n v="0"/>
    <n v="3132.4999999999995"/>
    <n v="8.9499999999999993"/>
    <x v="63"/>
    <n v="447.49999999999994"/>
    <x v="8"/>
  </r>
  <r>
    <x v="12"/>
    <s v="Matteo Giolo"/>
    <x v="0"/>
    <x v="361"/>
    <x v="361"/>
    <n v="2"/>
    <s v="ADET"/>
    <n v="0"/>
    <n v="250"/>
    <n v="250"/>
    <n v="-236"/>
    <n v="0"/>
    <n v="0"/>
    <n v="1.07"/>
    <x v="15"/>
    <n v="2.14"/>
    <x v="7"/>
  </r>
  <r>
    <x v="12"/>
    <s v="Matteo Giolo"/>
    <x v="0"/>
    <x v="362"/>
    <x v="362"/>
    <n v="2"/>
    <s v="ADET"/>
    <n v="0"/>
    <n v="500"/>
    <n v="500"/>
    <n v="-486"/>
    <n v="0"/>
    <n v="0"/>
    <n v="0.55000000000000004"/>
    <x v="15"/>
    <n v="1.1000000000000001"/>
    <x v="7"/>
  </r>
  <r>
    <x v="12"/>
    <s v="Matteo Giolo"/>
    <x v="0"/>
    <x v="359"/>
    <x v="359"/>
    <n v="1"/>
    <s v="ADET"/>
    <n v="0"/>
    <n v="18"/>
    <n v="3"/>
    <n v="-1"/>
    <n v="0"/>
    <n v="0"/>
    <n v="4852.33"/>
    <x v="74"/>
    <n v="4852.33"/>
    <x v="6"/>
  </r>
  <r>
    <x v="3"/>
    <s v="Stina Alm"/>
    <x v="0"/>
    <x v="363"/>
    <x v="363"/>
    <n v="0.2"/>
    <s v="KG"/>
    <n v="0"/>
    <n v="0"/>
    <n v="0"/>
    <n v="0.60000000000000009"/>
    <n v="0"/>
    <n v="126.49200000000002"/>
    <n v="210.82"/>
    <x v="3"/>
    <n v="42.164000000000001"/>
    <x v="3"/>
  </r>
  <r>
    <x v="13"/>
    <s v="Matteo Giolo"/>
    <x v="0"/>
    <x v="165"/>
    <x v="165"/>
    <n v="6"/>
    <s v="ADET"/>
    <n v="0"/>
    <n v="105"/>
    <n v="56"/>
    <n v="-8"/>
    <n v="0"/>
    <n v="0"/>
    <n v="72.599999999999994"/>
    <x v="14"/>
    <n v="435.59999999999997"/>
    <x v="4"/>
  </r>
  <r>
    <x v="17"/>
    <s v="Murat Taşdemir"/>
    <x v="0"/>
    <x v="166"/>
    <x v="166"/>
    <n v="5"/>
    <s v="M2"/>
    <n v="0"/>
    <n v="0"/>
    <n v="-1.4210854715202004E-14"/>
    <n v="52"/>
    <n v="0"/>
    <n v="28423.200000000001"/>
    <n v="546.6"/>
    <x v="56"/>
    <n v="2733"/>
    <x v="8"/>
  </r>
  <r>
    <x v="13"/>
    <s v="Matteo Giolo"/>
    <x v="0"/>
    <x v="167"/>
    <x v="167"/>
    <n v="1"/>
    <s v="ADET"/>
    <n v="0"/>
    <n v="13"/>
    <n v="9"/>
    <n v="-1"/>
    <n v="0"/>
    <n v="0"/>
    <n v="270"/>
    <x v="20"/>
    <n v="270"/>
    <x v="7"/>
  </r>
  <r>
    <x v="10"/>
    <s v="Jan Urbanek"/>
    <x v="0"/>
    <x v="288"/>
    <x v="288"/>
    <n v="1"/>
    <s v="ADET"/>
    <n v="0"/>
    <n v="13"/>
    <n v="13"/>
    <n v="-1"/>
    <n v="0"/>
    <n v="0"/>
    <n v="237.5"/>
    <x v="21"/>
    <n v="237.5"/>
    <x v="2"/>
  </r>
  <r>
    <x v="10"/>
    <s v="Jan Urbanek"/>
    <x v="0"/>
    <x v="266"/>
    <x v="266"/>
    <n v="1"/>
    <s v="ADET"/>
    <n v="0"/>
    <n v="21"/>
    <n v="10"/>
    <n v="-50"/>
    <n v="40"/>
    <n v="0"/>
    <n v="312"/>
    <x v="35"/>
    <n v="312"/>
    <x v="6"/>
  </r>
  <r>
    <x v="10"/>
    <s v="Jan Urbanek"/>
    <x v="0"/>
    <x v="321"/>
    <x v="321"/>
    <n v="1"/>
    <s v="ADET"/>
    <n v="0"/>
    <n v="23"/>
    <n v="5"/>
    <n v="-11"/>
    <n v="0"/>
    <n v="0"/>
    <n v="360.19"/>
    <x v="74"/>
    <n v="360.19"/>
    <x v="4"/>
  </r>
  <r>
    <x v="17"/>
    <s v="Murat Taşdemir"/>
    <x v="0"/>
    <x v="321"/>
    <x v="321"/>
    <n v="1"/>
    <s v="ADET"/>
    <n v="1"/>
    <n v="23"/>
    <n v="5"/>
    <n v="-11"/>
    <n v="0"/>
    <n v="0"/>
    <n v="360.19"/>
    <x v="74"/>
    <n v="360.19"/>
    <x v="4"/>
  </r>
  <r>
    <x v="0"/>
    <s v="Soner Kayıkçı"/>
    <x v="0"/>
    <x v="203"/>
    <x v="203"/>
    <n v="1"/>
    <s v="ADET"/>
    <n v="0"/>
    <n v="4"/>
    <n v="2"/>
    <n v="0"/>
    <n v="0"/>
    <n v="0"/>
    <n v="2249.17"/>
    <x v="64"/>
    <n v="2249.17"/>
    <x v="6"/>
  </r>
  <r>
    <x v="0"/>
    <s v="Soner Kayıkçı"/>
    <x v="0"/>
    <x v="288"/>
    <x v="288"/>
    <n v="1"/>
    <s v="ADET"/>
    <n v="0"/>
    <n v="13"/>
    <n v="13"/>
    <n v="-1"/>
    <n v="0"/>
    <n v="0"/>
    <n v="237.5"/>
    <x v="21"/>
    <n v="237.5"/>
    <x v="2"/>
  </r>
  <r>
    <x v="1"/>
    <s v="Stina Alm"/>
    <x v="0"/>
    <x v="288"/>
    <x v="288"/>
    <n v="1"/>
    <s v="ADET"/>
    <n v="0"/>
    <n v="13"/>
    <n v="13"/>
    <n v="-1"/>
    <n v="0"/>
    <n v="0"/>
    <n v="237.5"/>
    <x v="21"/>
    <n v="237.5"/>
    <x v="2"/>
  </r>
  <r>
    <x v="1"/>
    <s v="Stina Alm"/>
    <x v="0"/>
    <x v="266"/>
    <x v="266"/>
    <n v="1"/>
    <s v="ADET"/>
    <n v="0"/>
    <n v="21"/>
    <n v="10"/>
    <n v="-50"/>
    <n v="40"/>
    <n v="0"/>
    <n v="312"/>
    <x v="35"/>
    <n v="312"/>
    <x v="6"/>
  </r>
  <r>
    <x v="6"/>
    <s v="Laurent MONTAGNER"/>
    <x v="0"/>
    <x v="309"/>
    <x v="309"/>
    <n v="2"/>
    <s v="ADET"/>
    <n v="0"/>
    <n v="288"/>
    <n v="94"/>
    <n v="-260"/>
    <n v="0"/>
    <n v="0"/>
    <n v="4"/>
    <x v="20"/>
    <n v="8"/>
    <x v="7"/>
  </r>
  <r>
    <x v="0"/>
    <s v="Soner Kayıkçı"/>
    <x v="0"/>
    <x v="309"/>
    <x v="309"/>
    <n v="2"/>
    <s v="ADET"/>
    <n v="0"/>
    <n v="288"/>
    <n v="94"/>
    <n v="-260"/>
    <n v="0"/>
    <n v="0"/>
    <n v="4"/>
    <x v="20"/>
    <n v="8"/>
    <x v="7"/>
  </r>
  <r>
    <x v="6"/>
    <s v="Laurent MONTAGNER"/>
    <x v="0"/>
    <x v="311"/>
    <x v="311"/>
    <n v="25"/>
    <s v="MT"/>
    <n v="0"/>
    <n v="200"/>
    <n v="86"/>
    <n v="220"/>
    <n v="0"/>
    <n v="23100"/>
    <n v="105"/>
    <x v="78"/>
    <n v="2625"/>
    <x v="5"/>
  </r>
  <r>
    <x v="15"/>
    <s v="Jan Urbanek"/>
    <x v="0"/>
    <x v="289"/>
    <x v="289"/>
    <n v="3"/>
    <s v="ADET"/>
    <n v="0"/>
    <n v="24"/>
    <n v="30"/>
    <n v="-24"/>
    <n v="50"/>
    <n v="0"/>
    <n v="37"/>
    <x v="10"/>
    <n v="111"/>
    <x v="4"/>
  </r>
  <r>
    <x v="19"/>
    <s v="Volkan Batkan"/>
    <x v="0"/>
    <x v="290"/>
    <x v="290"/>
    <n v="6"/>
    <s v="ADET"/>
    <n v="0"/>
    <n v="0"/>
    <n v="10.500000000000064"/>
    <n v="25"/>
    <n v="40"/>
    <n v="16666.75"/>
    <n v="666.67"/>
    <x v="63"/>
    <n v="4000.0199999999995"/>
    <x v="8"/>
  </r>
  <r>
    <x v="11"/>
    <s v="Jan Urbanek"/>
    <x v="0"/>
    <x v="290"/>
    <x v="290"/>
    <n v="6"/>
    <s v="ADET"/>
    <n v="0"/>
    <n v="0"/>
    <n v="10.500000000000064"/>
    <n v="25"/>
    <n v="40"/>
    <n v="16666.75"/>
    <n v="666.67"/>
    <x v="63"/>
    <n v="4000.0199999999995"/>
    <x v="8"/>
  </r>
  <r>
    <x v="15"/>
    <s v="Jan Urbanek"/>
    <x v="0"/>
    <x v="129"/>
    <x v="129"/>
    <n v="1.5"/>
    <s v="KG"/>
    <n v="0"/>
    <n v="30"/>
    <n v="21.5"/>
    <n v="4"/>
    <n v="0"/>
    <n v="472.56"/>
    <n v="118.14"/>
    <x v="48"/>
    <n v="177.21"/>
    <x v="3"/>
  </r>
  <r>
    <x v="13"/>
    <s v="Matteo Giolo"/>
    <x v="0"/>
    <x v="133"/>
    <x v="133"/>
    <n v="0.2"/>
    <s v="METRE"/>
    <n v="0"/>
    <n v="0"/>
    <n v="93.800000000000011"/>
    <n v="5.0999999999999996"/>
    <n v="0"/>
    <n v="34.526999999999994"/>
    <n v="6.77"/>
    <x v="49"/>
    <n v="1.3540000000000001"/>
    <x v="7"/>
  </r>
  <r>
    <x v="13"/>
    <s v="Matteo Giolo"/>
    <x v="0"/>
    <x v="134"/>
    <x v="134"/>
    <n v="2"/>
    <s v="ADET"/>
    <n v="0"/>
    <n v="37"/>
    <n v="20"/>
    <n v="-13"/>
    <n v="0"/>
    <n v="0"/>
    <n v="45.3"/>
    <x v="15"/>
    <n v="90.6"/>
    <x v="7"/>
  </r>
  <r>
    <x v="0"/>
    <s v="Soner Kayıkçı"/>
    <x v="0"/>
    <x v="290"/>
    <x v="290"/>
    <n v="6"/>
    <s v="ADET"/>
    <n v="0"/>
    <n v="0"/>
    <n v="10.500000000000064"/>
    <n v="25"/>
    <n v="40"/>
    <n v="16666.75"/>
    <n v="666.67"/>
    <x v="63"/>
    <n v="4000.0199999999995"/>
    <x v="8"/>
  </r>
  <r>
    <x v="1"/>
    <s v="Stina Alm"/>
    <x v="0"/>
    <x v="290"/>
    <x v="290"/>
    <n v="0.5"/>
    <s v="ADET"/>
    <n v="0"/>
    <n v="0"/>
    <n v="10.500000000000064"/>
    <n v="25"/>
    <n v="40"/>
    <n v="16666.75"/>
    <n v="666.67"/>
    <x v="63"/>
    <n v="333.33499999999998"/>
    <x v="8"/>
  </r>
  <r>
    <x v="2"/>
    <s v="Laurent MONTAGNER"/>
    <x v="0"/>
    <x v="290"/>
    <x v="290"/>
    <n v="13.5"/>
    <s v="ADET"/>
    <n v="0"/>
    <n v="0"/>
    <n v="10.500000000000064"/>
    <n v="25"/>
    <n v="40"/>
    <n v="16666.75"/>
    <n v="666.67"/>
    <x v="63"/>
    <n v="9000.0450000000001"/>
    <x v="8"/>
  </r>
  <r>
    <x v="17"/>
    <s v="Murat Taşdemir"/>
    <x v="0"/>
    <x v="129"/>
    <x v="129"/>
    <n v="3"/>
    <s v="KG"/>
    <n v="0"/>
    <n v="30"/>
    <n v="21.5"/>
    <n v="4"/>
    <n v="0"/>
    <n v="472.56"/>
    <n v="118.14"/>
    <x v="48"/>
    <n v="354.42"/>
    <x v="3"/>
  </r>
  <r>
    <x v="17"/>
    <s v="Murat Taşdemir"/>
    <x v="0"/>
    <x v="133"/>
    <x v="133"/>
    <n v="0.30000000000000004"/>
    <s v="METRE"/>
    <n v="0"/>
    <n v="0"/>
    <n v="93.800000000000011"/>
    <n v="5.0999999999999996"/>
    <n v="0"/>
    <n v="34.526999999999994"/>
    <n v="6.77"/>
    <x v="49"/>
    <n v="2.0310000000000001"/>
    <x v="7"/>
  </r>
  <r>
    <x v="17"/>
    <s v="Murat Taşdemir"/>
    <x v="0"/>
    <x v="134"/>
    <x v="134"/>
    <n v="2"/>
    <s v="ADET"/>
    <n v="2"/>
    <n v="37"/>
    <n v="20"/>
    <n v="-13"/>
    <n v="0"/>
    <n v="0"/>
    <n v="45.3"/>
    <x v="15"/>
    <n v="90.6"/>
    <x v="7"/>
  </r>
  <r>
    <x v="6"/>
    <s v="Laurent MONTAGNER"/>
    <x v="0"/>
    <x v="291"/>
    <x v="291"/>
    <n v="4.5"/>
    <s v="METRE"/>
    <n v="0"/>
    <n v="0"/>
    <n v="285.5"/>
    <n v="11.5"/>
    <n v="0"/>
    <n v="662.4"/>
    <n v="57.6"/>
    <x v="15"/>
    <n v="259.2"/>
    <x v="7"/>
  </r>
  <r>
    <x v="14"/>
    <s v="Stefan Zaugg"/>
    <x v="0"/>
    <x v="129"/>
    <x v="129"/>
    <n v="2"/>
    <s v="KG"/>
    <n v="0"/>
    <n v="30"/>
    <n v="21.5"/>
    <n v="4"/>
    <n v="0"/>
    <n v="472.56"/>
    <n v="118.14"/>
    <x v="48"/>
    <n v="236.28"/>
    <x v="3"/>
  </r>
  <r>
    <x v="15"/>
    <s v="Jan Urbanek"/>
    <x v="0"/>
    <x v="133"/>
    <x v="133"/>
    <n v="0.30000000000000004"/>
    <s v="METRE"/>
    <n v="0"/>
    <n v="0"/>
    <n v="93.800000000000011"/>
    <n v="5.0999999999999996"/>
    <n v="0"/>
    <n v="34.526999999999994"/>
    <n v="6.77"/>
    <x v="49"/>
    <n v="2.0310000000000001"/>
    <x v="7"/>
  </r>
  <r>
    <x v="7"/>
    <s v="Laurent MONTAGNER"/>
    <x v="0"/>
    <x v="359"/>
    <x v="359"/>
    <n v="1"/>
    <s v="ADET"/>
    <n v="0"/>
    <n v="18"/>
    <n v="3"/>
    <n v="-1"/>
    <n v="0"/>
    <n v="0"/>
    <n v="4852.33"/>
    <x v="74"/>
    <n v="4852.33"/>
    <x v="6"/>
  </r>
  <r>
    <x v="4"/>
    <s v="Stefan Zaugg"/>
    <x v="0"/>
    <x v="359"/>
    <x v="359"/>
    <n v="1"/>
    <s v="ADET"/>
    <n v="0"/>
    <n v="18"/>
    <n v="3"/>
    <n v="-1"/>
    <n v="0"/>
    <n v="0"/>
    <n v="4852.33"/>
    <x v="74"/>
    <n v="4852.33"/>
    <x v="6"/>
  </r>
  <r>
    <x v="12"/>
    <s v="Matteo Giolo"/>
    <x v="0"/>
    <x v="364"/>
    <x v="364"/>
    <n v="3"/>
    <s v="M2"/>
    <n v="0"/>
    <n v="0"/>
    <n v="0"/>
    <n v="24"/>
    <n v="0"/>
    <n v="14751.119999999999"/>
    <n v="614.63"/>
    <x v="56"/>
    <n v="1843.8899999999999"/>
    <x v="10"/>
  </r>
  <r>
    <x v="2"/>
    <s v="Laurent MONTAGNER"/>
    <x v="0"/>
    <x v="167"/>
    <x v="167"/>
    <n v="1"/>
    <s v="ADET"/>
    <n v="0"/>
    <n v="13"/>
    <n v="9"/>
    <n v="-1"/>
    <n v="0"/>
    <n v="0"/>
    <n v="270"/>
    <x v="20"/>
    <n v="270"/>
    <x v="7"/>
  </r>
  <r>
    <x v="16"/>
    <s v="Stefan Zaugg"/>
    <x v="0"/>
    <x v="359"/>
    <x v="359"/>
    <n v="1"/>
    <s v="ADET"/>
    <n v="0"/>
    <n v="18"/>
    <n v="3"/>
    <n v="-1"/>
    <n v="0"/>
    <n v="0"/>
    <n v="4852.33"/>
    <x v="74"/>
    <n v="4852.33"/>
    <x v="6"/>
  </r>
  <r>
    <x v="14"/>
    <s v="Stefan Zaugg"/>
    <x v="0"/>
    <x v="359"/>
    <x v="359"/>
    <n v="1"/>
    <s v="ADET"/>
    <n v="0"/>
    <n v="18"/>
    <n v="3"/>
    <n v="-1"/>
    <n v="0"/>
    <n v="0"/>
    <n v="4852.33"/>
    <x v="74"/>
    <n v="4852.33"/>
    <x v="6"/>
  </r>
  <r>
    <x v="13"/>
    <s v="Matteo Giolo"/>
    <x v="0"/>
    <x v="359"/>
    <x v="359"/>
    <n v="1"/>
    <s v="ADET"/>
    <n v="0"/>
    <n v="18"/>
    <n v="3"/>
    <n v="-1"/>
    <n v="0"/>
    <n v="0"/>
    <n v="4852.33"/>
    <x v="74"/>
    <n v="4852.33"/>
    <x v="6"/>
  </r>
  <r>
    <x v="15"/>
    <s v="Jan Urbanek"/>
    <x v="0"/>
    <x v="362"/>
    <x v="362"/>
    <n v="2"/>
    <s v="ADET"/>
    <n v="0"/>
    <n v="500"/>
    <n v="500"/>
    <n v="-486"/>
    <n v="0"/>
    <n v="0"/>
    <n v="0.55000000000000004"/>
    <x v="15"/>
    <n v="1.1000000000000001"/>
    <x v="7"/>
  </r>
  <r>
    <x v="19"/>
    <s v="Volkan Batkan"/>
    <x v="0"/>
    <x v="364"/>
    <x v="364"/>
    <n v="3"/>
    <s v="M2"/>
    <n v="0"/>
    <n v="0"/>
    <n v="0"/>
    <n v="24"/>
    <n v="0"/>
    <n v="14751.119999999999"/>
    <n v="614.63"/>
    <x v="56"/>
    <n v="1843.8899999999999"/>
    <x v="10"/>
  </r>
  <r>
    <x v="19"/>
    <s v="Volkan Batkan"/>
    <x v="0"/>
    <x v="359"/>
    <x v="359"/>
    <n v="1"/>
    <s v="ADET"/>
    <n v="0"/>
    <n v="18"/>
    <n v="3"/>
    <n v="-1"/>
    <n v="0"/>
    <n v="0"/>
    <n v="4852.33"/>
    <x v="74"/>
    <n v="4852.33"/>
    <x v="6"/>
  </r>
  <r>
    <x v="13"/>
    <s v="Matteo Giolo"/>
    <x v="0"/>
    <x v="363"/>
    <x v="363"/>
    <n v="0.2"/>
    <s v="KG"/>
    <n v="0"/>
    <n v="0"/>
    <n v="0"/>
    <n v="0.60000000000000009"/>
    <n v="0"/>
    <n v="126.49200000000002"/>
    <n v="210.82"/>
    <x v="3"/>
    <n v="42.164000000000001"/>
    <x v="3"/>
  </r>
  <r>
    <x v="11"/>
    <s v="Jan Urbanek"/>
    <x v="0"/>
    <x v="359"/>
    <x v="359"/>
    <n v="1"/>
    <s v="ADET"/>
    <n v="0"/>
    <n v="18"/>
    <n v="3"/>
    <n v="-1"/>
    <n v="0"/>
    <n v="0"/>
    <n v="4852.33"/>
    <x v="74"/>
    <n v="4852.33"/>
    <x v="6"/>
  </r>
  <r>
    <x v="2"/>
    <s v="Laurent MONTAGNER"/>
    <x v="0"/>
    <x v="286"/>
    <x v="286"/>
    <n v="1"/>
    <s v="KG"/>
    <n v="0"/>
    <n v="0"/>
    <n v="0"/>
    <n v="19"/>
    <n v="0"/>
    <n v="1538.6200000000001"/>
    <n v="80.98"/>
    <x v="63"/>
    <n v="80.98"/>
    <x v="3"/>
  </r>
  <r>
    <x v="19"/>
    <s v="Volkan Batkan"/>
    <x v="0"/>
    <x v="256"/>
    <x v="256"/>
    <n v="6"/>
    <s v="ADET"/>
    <n v="0"/>
    <n v="118"/>
    <n v="18"/>
    <n v="-11"/>
    <n v="0"/>
    <n v="0"/>
    <n v="14.5"/>
    <x v="14"/>
    <n v="87"/>
    <x v="2"/>
  </r>
  <r>
    <x v="14"/>
    <s v="Stefan Zaugg"/>
    <x v="0"/>
    <x v="257"/>
    <x v="257"/>
    <n v="3"/>
    <s v="ADET"/>
    <n v="0"/>
    <n v="101"/>
    <n v="10.000000000000057"/>
    <n v="-42.539999999999992"/>
    <n v="0"/>
    <n v="0"/>
    <n v="36"/>
    <x v="14"/>
    <n v="108"/>
    <x v="2"/>
  </r>
  <r>
    <x v="14"/>
    <s v="Stefan Zaugg"/>
    <x v="0"/>
    <x v="258"/>
    <x v="258"/>
    <n v="2"/>
    <s v="ADET"/>
    <n v="0"/>
    <n v="200"/>
    <n v="70"/>
    <n v="-165"/>
    <n v="0"/>
    <n v="0"/>
    <n v="10"/>
    <x v="2"/>
    <n v="20"/>
    <x v="2"/>
  </r>
  <r>
    <x v="16"/>
    <s v="Stefan Zaugg"/>
    <x v="0"/>
    <x v="258"/>
    <x v="258"/>
    <n v="2"/>
    <s v="ADET"/>
    <n v="0"/>
    <n v="200"/>
    <n v="70"/>
    <n v="-165"/>
    <n v="0"/>
    <n v="0"/>
    <n v="10"/>
    <x v="2"/>
    <n v="20"/>
    <x v="2"/>
  </r>
  <r>
    <x v="19"/>
    <s v="Volkan Batkan"/>
    <x v="0"/>
    <x v="283"/>
    <x v="283"/>
    <n v="1.8"/>
    <s v="ADET"/>
    <n v="0"/>
    <n v="0"/>
    <n v="11"/>
    <n v="20.000000000000007"/>
    <n v="4"/>
    <n v="36666.600000000013"/>
    <n v="1833.33"/>
    <x v="63"/>
    <n v="3299.9940000000001"/>
    <x v="8"/>
  </r>
  <r>
    <x v="15"/>
    <s v="Jan Urbanek"/>
    <x v="0"/>
    <x v="283"/>
    <x v="283"/>
    <n v="2.8"/>
    <s v="ADET"/>
    <n v="0"/>
    <n v="0"/>
    <n v="11"/>
    <n v="20.000000000000007"/>
    <n v="4"/>
    <n v="36666.600000000013"/>
    <n v="1833.33"/>
    <x v="63"/>
    <n v="5133.3239999999996"/>
    <x v="8"/>
  </r>
  <r>
    <x v="19"/>
    <s v="Volkan Batkan"/>
    <x v="0"/>
    <x v="285"/>
    <x v="285"/>
    <n v="1.5"/>
    <s v="ADET"/>
    <n v="0"/>
    <n v="48"/>
    <n v="26"/>
    <n v="-19.5"/>
    <n v="0"/>
    <n v="0"/>
    <n v="5"/>
    <x v="14"/>
    <n v="7.5"/>
    <x v="2"/>
  </r>
  <r>
    <x v="15"/>
    <s v="Jan Urbanek"/>
    <x v="0"/>
    <x v="285"/>
    <x v="285"/>
    <n v="1.5"/>
    <s v="ADET"/>
    <n v="0"/>
    <n v="48"/>
    <n v="26"/>
    <n v="-19.5"/>
    <n v="0"/>
    <n v="0"/>
    <n v="5"/>
    <x v="14"/>
    <n v="7.5"/>
    <x v="2"/>
  </r>
  <r>
    <x v="14"/>
    <s v="Stefan Zaugg"/>
    <x v="0"/>
    <x v="285"/>
    <x v="285"/>
    <n v="1.5"/>
    <s v="ADET"/>
    <n v="0"/>
    <n v="48"/>
    <n v="26"/>
    <n v="-19.5"/>
    <n v="0"/>
    <n v="0"/>
    <n v="5"/>
    <x v="14"/>
    <n v="7.5"/>
    <x v="2"/>
  </r>
  <r>
    <x v="19"/>
    <s v="Volkan Batkan"/>
    <x v="0"/>
    <x v="286"/>
    <x v="286"/>
    <n v="1"/>
    <s v="KG"/>
    <n v="0"/>
    <n v="0"/>
    <n v="0"/>
    <n v="19"/>
    <n v="0"/>
    <n v="1538.6200000000001"/>
    <n v="80.98"/>
    <x v="63"/>
    <n v="80.98"/>
    <x v="3"/>
  </r>
  <r>
    <x v="16"/>
    <s v="Stefan Zaugg"/>
    <x v="0"/>
    <x v="286"/>
    <x v="286"/>
    <n v="1"/>
    <s v="KG"/>
    <n v="0"/>
    <n v="0"/>
    <n v="0"/>
    <n v="19"/>
    <n v="0"/>
    <n v="1538.6200000000001"/>
    <n v="80.98"/>
    <x v="63"/>
    <n v="80.98"/>
    <x v="3"/>
  </r>
  <r>
    <x v="14"/>
    <s v="Stefan Zaugg"/>
    <x v="0"/>
    <x v="286"/>
    <x v="286"/>
    <n v="1"/>
    <s v="KG"/>
    <n v="0"/>
    <n v="0"/>
    <n v="0"/>
    <n v="19"/>
    <n v="0"/>
    <n v="1538.6200000000001"/>
    <n v="80.98"/>
    <x v="63"/>
    <n v="80.98"/>
    <x v="3"/>
  </r>
  <r>
    <x v="13"/>
    <s v="Matteo Giolo"/>
    <x v="0"/>
    <x v="286"/>
    <x v="286"/>
    <n v="1"/>
    <s v="KG"/>
    <n v="0"/>
    <n v="0"/>
    <n v="0"/>
    <n v="19"/>
    <n v="0"/>
    <n v="1538.6200000000001"/>
    <n v="80.98"/>
    <x v="63"/>
    <n v="80.98"/>
    <x v="3"/>
  </r>
  <r>
    <x v="11"/>
    <s v="Jan Urbanek"/>
    <x v="0"/>
    <x v="285"/>
    <x v="285"/>
    <n v="1.5"/>
    <s v="ADET"/>
    <n v="0"/>
    <n v="48"/>
    <n v="26"/>
    <n v="-19.5"/>
    <n v="0"/>
    <n v="0"/>
    <n v="5"/>
    <x v="14"/>
    <n v="7.5"/>
    <x v="2"/>
  </r>
  <r>
    <x v="17"/>
    <s v="Murat Taşdemir"/>
    <x v="0"/>
    <x v="282"/>
    <x v="282"/>
    <n v="15"/>
    <s v="ADET"/>
    <n v="0"/>
    <n v="300"/>
    <n v="325"/>
    <n v="-192"/>
    <n v="0"/>
    <n v="0"/>
    <n v="12"/>
    <x v="2"/>
    <n v="180"/>
    <x v="2"/>
  </r>
  <r>
    <x v="17"/>
    <s v="Murat Taşdemir"/>
    <x v="0"/>
    <x v="280"/>
    <x v="280"/>
    <n v="1"/>
    <s v="METRE"/>
    <n v="0"/>
    <n v="20"/>
    <n v="0"/>
    <n v="-10.4"/>
    <n v="0"/>
    <n v="0"/>
    <n v="38.33"/>
    <x v="61"/>
    <n v="38.33"/>
    <x v="2"/>
  </r>
  <r>
    <x v="13"/>
    <s v="Matteo Giolo"/>
    <x v="0"/>
    <x v="283"/>
    <x v="283"/>
    <n v="0.5"/>
    <s v="ADET"/>
    <n v="0"/>
    <n v="0"/>
    <n v="11"/>
    <n v="20.000000000000007"/>
    <n v="4"/>
    <n v="36666.600000000013"/>
    <n v="1833.33"/>
    <x v="63"/>
    <n v="916.66499999999996"/>
    <x v="8"/>
  </r>
  <r>
    <x v="17"/>
    <s v="Murat Taşdemir"/>
    <x v="0"/>
    <x v="285"/>
    <x v="285"/>
    <n v="1.5"/>
    <s v="ADET"/>
    <n v="0"/>
    <n v="48"/>
    <n v="26"/>
    <n v="-19.5"/>
    <n v="0"/>
    <n v="0"/>
    <n v="5"/>
    <x v="14"/>
    <n v="7.5"/>
    <x v="2"/>
  </r>
  <r>
    <x v="15"/>
    <s v="Jan Urbanek"/>
    <x v="0"/>
    <x v="286"/>
    <x v="286"/>
    <n v="1"/>
    <s v="KG"/>
    <n v="0"/>
    <n v="0"/>
    <n v="0"/>
    <n v="19"/>
    <n v="0"/>
    <n v="1538.6200000000001"/>
    <n v="80.98"/>
    <x v="63"/>
    <n v="80.98"/>
    <x v="3"/>
  </r>
  <r>
    <x v="19"/>
    <s v="Volkan Batkan"/>
    <x v="0"/>
    <x v="287"/>
    <x v="287"/>
    <n v="11"/>
    <s v="ADET"/>
    <n v="0"/>
    <n v="3000"/>
    <n v="0"/>
    <n v="-2847"/>
    <n v="0"/>
    <n v="0"/>
    <n v="0.7"/>
    <x v="14"/>
    <n v="7.6999999999999993"/>
    <x v="2"/>
  </r>
  <r>
    <x v="17"/>
    <s v="Murat Taşdemir"/>
    <x v="0"/>
    <x v="287"/>
    <x v="287"/>
    <n v="7"/>
    <s v="ADET"/>
    <n v="0"/>
    <n v="3000"/>
    <n v="0"/>
    <n v="-2847"/>
    <n v="0"/>
    <n v="0"/>
    <n v="0.7"/>
    <x v="14"/>
    <n v="4.8999999999999995"/>
    <x v="2"/>
  </r>
  <r>
    <x v="9"/>
    <s v="Jan Urbanek"/>
    <x v="0"/>
    <x v="285"/>
    <x v="285"/>
    <n v="1.5"/>
    <s v="ADET"/>
    <n v="0"/>
    <n v="48"/>
    <n v="26"/>
    <n v="-19.5"/>
    <n v="0"/>
    <n v="0"/>
    <n v="5"/>
    <x v="14"/>
    <n v="7.5"/>
    <x v="2"/>
  </r>
  <r>
    <x v="11"/>
    <s v="Jan Urbanek"/>
    <x v="0"/>
    <x v="287"/>
    <x v="287"/>
    <n v="7"/>
    <s v="ADET"/>
    <n v="0"/>
    <n v="3000"/>
    <n v="0"/>
    <n v="-2847"/>
    <n v="0"/>
    <n v="0"/>
    <n v="0.7"/>
    <x v="14"/>
    <n v="4.8999999999999995"/>
    <x v="2"/>
  </r>
  <r>
    <x v="15"/>
    <s v="Jan Urbanek"/>
    <x v="0"/>
    <x v="281"/>
    <x v="281"/>
    <n v="6"/>
    <s v="ADET"/>
    <n v="0"/>
    <n v="150"/>
    <n v="78"/>
    <n v="-48"/>
    <n v="0"/>
    <n v="0"/>
    <n v="20.83"/>
    <x v="2"/>
    <n v="124.97999999999999"/>
    <x v="2"/>
  </r>
  <r>
    <x v="17"/>
    <s v="Murat Taşdemir"/>
    <x v="0"/>
    <x v="339"/>
    <x v="339"/>
    <n v="5"/>
    <s v="METRE"/>
    <n v="0"/>
    <n v="0"/>
    <n v="90"/>
    <n v="10"/>
    <n v="0"/>
    <n v="80"/>
    <n v="8"/>
    <x v="27"/>
    <n v="40"/>
    <x v="2"/>
  </r>
  <r>
    <x v="15"/>
    <s v="Jan Urbanek"/>
    <x v="0"/>
    <x v="287"/>
    <x v="287"/>
    <n v="7"/>
    <s v="ADET"/>
    <n v="0"/>
    <n v="3000"/>
    <n v="0"/>
    <n v="-2847"/>
    <n v="0"/>
    <n v="0"/>
    <n v="0.7"/>
    <x v="14"/>
    <n v="4.8999999999999995"/>
    <x v="2"/>
  </r>
  <r>
    <x v="10"/>
    <s v="Jan Urbanek"/>
    <x v="0"/>
    <x v="285"/>
    <x v="285"/>
    <n v="1.5"/>
    <s v="ADET"/>
    <n v="0"/>
    <n v="48"/>
    <n v="26"/>
    <n v="-19.5"/>
    <n v="0"/>
    <n v="0"/>
    <n v="5"/>
    <x v="14"/>
    <n v="7.5"/>
    <x v="2"/>
  </r>
  <r>
    <x v="19"/>
    <s v="Volkan Batkan"/>
    <x v="0"/>
    <x v="341"/>
    <x v="341"/>
    <n v="6"/>
    <s v="ADET"/>
    <n v="0"/>
    <n v="0"/>
    <n v="0"/>
    <n v="54"/>
    <n v="0"/>
    <n v="37.799999999999997"/>
    <n v="0.7"/>
    <x v="20"/>
    <n v="4.1999999999999993"/>
    <x v="7"/>
  </r>
  <r>
    <x v="15"/>
    <s v="Jan Urbanek"/>
    <x v="0"/>
    <x v="341"/>
    <x v="341"/>
    <n v="6"/>
    <s v="ADET"/>
    <n v="0"/>
    <n v="0"/>
    <n v="0"/>
    <n v="54"/>
    <n v="0"/>
    <n v="37.799999999999997"/>
    <n v="0.7"/>
    <x v="20"/>
    <n v="4.1999999999999993"/>
    <x v="7"/>
  </r>
  <r>
    <x v="15"/>
    <s v="Jan Urbanek"/>
    <x v="0"/>
    <x v="342"/>
    <x v="342"/>
    <n v="0.5"/>
    <s v="ADET"/>
    <n v="0"/>
    <n v="0"/>
    <n v="6.1000000000000023"/>
    <n v="8.8000000000000007"/>
    <n v="5"/>
    <n v="6056.1600000000008"/>
    <n v="688.2"/>
    <x v="41"/>
    <n v="344.1"/>
    <x v="5"/>
  </r>
  <r>
    <x v="16"/>
    <s v="Stefan Zaugg"/>
    <x v="0"/>
    <x v="365"/>
    <x v="365"/>
    <n v="6"/>
    <s v="ADET"/>
    <n v="0"/>
    <n v="2080"/>
    <n v="84"/>
    <n v="-2052"/>
    <n v="0"/>
    <n v="0"/>
    <n v="0.28999999999999998"/>
    <x v="5"/>
    <n v="1.7399999999999998"/>
    <x v="2"/>
  </r>
  <r>
    <x v="14"/>
    <s v="Stefan Zaugg"/>
    <x v="0"/>
    <x v="365"/>
    <x v="365"/>
    <n v="6"/>
    <s v="ADET"/>
    <n v="0"/>
    <n v="2080"/>
    <n v="84"/>
    <n v="-2052"/>
    <n v="0"/>
    <n v="0"/>
    <n v="0.28999999999999998"/>
    <x v="5"/>
    <n v="1.7399999999999998"/>
    <x v="2"/>
  </r>
  <r>
    <x v="1"/>
    <s v="Stina Alm"/>
    <x v="0"/>
    <x v="340"/>
    <x v="340"/>
    <n v="1.7"/>
    <s v="ADET"/>
    <n v="0"/>
    <n v="24"/>
    <n v="18.499999999999982"/>
    <n v="3.899999999999995"/>
    <n v="0"/>
    <n v="467.99999999999943"/>
    <n v="120"/>
    <x v="14"/>
    <n v="204"/>
    <x v="3"/>
  </r>
  <r>
    <x v="0"/>
    <s v="Soner Kayıkçı"/>
    <x v="0"/>
    <x v="341"/>
    <x v="341"/>
    <n v="6"/>
    <s v="ADET"/>
    <n v="0"/>
    <n v="0"/>
    <n v="0"/>
    <n v="54"/>
    <n v="0"/>
    <n v="37.799999999999997"/>
    <n v="0.7"/>
    <x v="20"/>
    <n v="4.1999999999999993"/>
    <x v="7"/>
  </r>
  <r>
    <x v="2"/>
    <s v="Laurent MONTAGNER"/>
    <x v="0"/>
    <x v="342"/>
    <x v="342"/>
    <n v="1"/>
    <s v="ADET"/>
    <n v="0"/>
    <n v="0"/>
    <n v="6.1000000000000023"/>
    <n v="8.8000000000000007"/>
    <n v="5"/>
    <n v="6056.1600000000008"/>
    <n v="688.2"/>
    <x v="41"/>
    <n v="688.2"/>
    <x v="5"/>
  </r>
  <r>
    <x v="1"/>
    <s v="Stina Alm"/>
    <x v="0"/>
    <x v="342"/>
    <x v="342"/>
    <n v="1"/>
    <s v="ADET"/>
    <n v="0"/>
    <n v="0"/>
    <n v="6.1000000000000023"/>
    <n v="8.8000000000000007"/>
    <n v="5"/>
    <n v="6056.1600000000008"/>
    <n v="688.2"/>
    <x v="41"/>
    <n v="688.2"/>
    <x v="5"/>
  </r>
  <r>
    <x v="0"/>
    <s v="Soner Kayıkçı"/>
    <x v="0"/>
    <x v="342"/>
    <x v="342"/>
    <n v="1.5"/>
    <s v="ADET"/>
    <n v="0"/>
    <n v="0"/>
    <n v="6.1000000000000023"/>
    <n v="8.8000000000000007"/>
    <n v="5"/>
    <n v="6056.1600000000008"/>
    <n v="688.2"/>
    <x v="41"/>
    <n v="1032.3000000000002"/>
    <x v="5"/>
  </r>
  <r>
    <x v="2"/>
    <s v="Laurent MONTAGNER"/>
    <x v="0"/>
    <x v="340"/>
    <x v="340"/>
    <n v="2"/>
    <s v="ADET"/>
    <n v="0"/>
    <n v="24"/>
    <n v="18.499999999999982"/>
    <n v="3.899999999999995"/>
    <n v="0"/>
    <n v="467.99999999999943"/>
    <n v="120"/>
    <x v="14"/>
    <n v="240"/>
    <x v="3"/>
  </r>
  <r>
    <x v="2"/>
    <s v="Laurent MONTAGNER"/>
    <x v="0"/>
    <x v="365"/>
    <x v="365"/>
    <n v="10"/>
    <s v="ADET"/>
    <n v="0"/>
    <n v="2080"/>
    <n v="84"/>
    <n v="-2052"/>
    <n v="0"/>
    <n v="0"/>
    <n v="0.28999999999999998"/>
    <x v="5"/>
    <n v="2.9"/>
    <x v="2"/>
  </r>
  <r>
    <x v="12"/>
    <s v="Matteo Giolo"/>
    <x v="0"/>
    <x v="341"/>
    <x v="341"/>
    <n v="6"/>
    <s v="ADET"/>
    <n v="0"/>
    <n v="0"/>
    <n v="0"/>
    <n v="54"/>
    <n v="0"/>
    <n v="37.799999999999997"/>
    <n v="0.7"/>
    <x v="20"/>
    <n v="4.1999999999999993"/>
    <x v="7"/>
  </r>
  <r>
    <x v="7"/>
    <s v="Laurent MONTAGNER"/>
    <x v="0"/>
    <x v="343"/>
    <x v="343"/>
    <n v="2"/>
    <s v="ADET"/>
    <n v="0"/>
    <n v="0"/>
    <n v="4.0000000000000497"/>
    <n v="28.999999999999993"/>
    <n v="22"/>
    <n v="30208.429999999993"/>
    <n v="1041.67"/>
    <x v="63"/>
    <n v="2083.34"/>
    <x v="8"/>
  </r>
  <r>
    <x v="12"/>
    <s v="Matteo Giolo"/>
    <x v="0"/>
    <x v="183"/>
    <x v="183"/>
    <n v="1"/>
    <s v="ADET"/>
    <n v="0"/>
    <n v="17"/>
    <n v="11"/>
    <n v="-5"/>
    <n v="0"/>
    <n v="0"/>
    <n v="1094.4000000000001"/>
    <x v="15"/>
    <n v="1094.4000000000001"/>
    <x v="7"/>
  </r>
  <r>
    <x v="16"/>
    <s v="Stefan Zaugg"/>
    <x v="0"/>
    <x v="151"/>
    <x v="151"/>
    <n v="0.1"/>
    <s v="METRE"/>
    <n v="0"/>
    <n v="50"/>
    <n v="2.8310687127941492E-15"/>
    <n v="-47.8"/>
    <n v="0"/>
    <n v="0"/>
    <n v="25.41"/>
    <x v="15"/>
    <n v="2.5410000000000004"/>
    <x v="7"/>
  </r>
  <r>
    <x v="14"/>
    <s v="Stefan Zaugg"/>
    <x v="0"/>
    <x v="151"/>
    <x v="151"/>
    <n v="0.1"/>
    <s v="METRE"/>
    <n v="0"/>
    <n v="50"/>
    <n v="2.8310687127941492E-15"/>
    <n v="-47.8"/>
    <n v="0"/>
    <n v="0"/>
    <n v="25.41"/>
    <x v="15"/>
    <n v="2.5410000000000004"/>
    <x v="7"/>
  </r>
  <r>
    <x v="17"/>
    <s v="Murat Taşdemir"/>
    <x v="0"/>
    <x v="184"/>
    <x v="184"/>
    <n v="3"/>
    <s v="ADET"/>
    <n v="0"/>
    <n v="38"/>
    <n v="25"/>
    <n v="-2"/>
    <n v="20"/>
    <n v="0"/>
    <n v="245"/>
    <x v="10"/>
    <n v="735"/>
    <x v="4"/>
  </r>
  <r>
    <x v="5"/>
    <s v="Matteo Giolo"/>
    <x v="0"/>
    <x v="15"/>
    <x v="15"/>
    <n v="1"/>
    <s v="ADET"/>
    <n v="0"/>
    <n v="12"/>
    <n v="13"/>
    <n v="-5"/>
    <n v="0"/>
    <n v="0"/>
    <n v="28339.38"/>
    <x v="11"/>
    <n v="28339.38"/>
    <x v="6"/>
  </r>
  <r>
    <x v="12"/>
    <s v="Matteo Giolo"/>
    <x v="0"/>
    <x v="10"/>
    <x v="10"/>
    <n v="0.05"/>
    <s v="KG"/>
    <n v="0"/>
    <n v="0"/>
    <n v="2.6000000000000014"/>
    <n v="0.29999999999999982"/>
    <n v="0"/>
    <n v="193.70099999999988"/>
    <n v="645.66999999999996"/>
    <x v="3"/>
    <n v="32.283499999999997"/>
    <x v="3"/>
  </r>
  <r>
    <x v="12"/>
    <s v="Matteo Giolo"/>
    <x v="0"/>
    <x v="11"/>
    <x v="11"/>
    <n v="1.4909999999999999"/>
    <s v="KG"/>
    <n v="0"/>
    <n v="0"/>
    <n v="65.03100000000002"/>
    <n v="17.948"/>
    <n v="0"/>
    <n v="6991.2844399999994"/>
    <n v="389.53"/>
    <x v="3"/>
    <n v="580.78922999999986"/>
    <x v="3"/>
  </r>
  <r>
    <x v="4"/>
    <s v="Stefan Zaugg"/>
    <x v="0"/>
    <x v="148"/>
    <x v="148"/>
    <n v="2"/>
    <s v="ADET"/>
    <n v="0"/>
    <n v="238"/>
    <n v="90"/>
    <n v="-200"/>
    <n v="0"/>
    <n v="0"/>
    <n v="4"/>
    <x v="20"/>
    <n v="8"/>
    <x v="7"/>
  </r>
  <r>
    <x v="17"/>
    <s v="Murat Taşdemir"/>
    <x v="0"/>
    <x v="200"/>
    <x v="200"/>
    <n v="1"/>
    <s v="ADET"/>
    <n v="0"/>
    <n v="114"/>
    <n v="0"/>
    <n v="-109"/>
    <n v="0"/>
    <n v="0"/>
    <n v="10"/>
    <x v="5"/>
    <n v="10"/>
    <x v="4"/>
  </r>
  <r>
    <x v="17"/>
    <s v="Murat Taşdemir"/>
    <x v="0"/>
    <x v="199"/>
    <x v="199"/>
    <n v="2"/>
    <s v="ADET"/>
    <n v="0"/>
    <n v="30"/>
    <n v="0"/>
    <n v="-10"/>
    <n v="0"/>
    <n v="0"/>
    <n v="60"/>
    <x v="2"/>
    <n v="120"/>
    <x v="2"/>
  </r>
  <r>
    <x v="3"/>
    <s v="Stina Alm"/>
    <x v="0"/>
    <x v="148"/>
    <x v="148"/>
    <n v="2"/>
    <s v="ADET"/>
    <n v="0"/>
    <n v="238"/>
    <n v="90"/>
    <n v="-200"/>
    <n v="0"/>
    <n v="0"/>
    <n v="4"/>
    <x v="20"/>
    <n v="8"/>
    <x v="7"/>
  </r>
  <r>
    <x v="5"/>
    <s v="Matteo Giolo"/>
    <x v="0"/>
    <x v="150"/>
    <x v="150"/>
    <n v="1"/>
    <s v="ADET"/>
    <n v="0"/>
    <n v="9"/>
    <n v="13"/>
    <n v="-1"/>
    <n v="4"/>
    <n v="0"/>
    <n v="1600"/>
    <x v="35"/>
    <n v="1600"/>
    <x v="7"/>
  </r>
  <r>
    <x v="4"/>
    <s v="Stefan Zaugg"/>
    <x v="0"/>
    <x v="150"/>
    <x v="150"/>
    <n v="1"/>
    <s v="ADET"/>
    <n v="1"/>
    <n v="9"/>
    <n v="13"/>
    <n v="-1"/>
    <n v="4"/>
    <n v="0"/>
    <n v="1600"/>
    <x v="35"/>
    <n v="1600"/>
    <x v="7"/>
  </r>
  <r>
    <x v="5"/>
    <s v="Matteo Giolo"/>
    <x v="0"/>
    <x v="183"/>
    <x v="183"/>
    <n v="1"/>
    <s v="ADET"/>
    <n v="0"/>
    <n v="17"/>
    <n v="11"/>
    <n v="-5"/>
    <n v="0"/>
    <n v="0"/>
    <n v="1094.4000000000001"/>
    <x v="15"/>
    <n v="1094.4000000000001"/>
    <x v="7"/>
  </r>
  <r>
    <x v="14"/>
    <s v="Stefan Zaugg"/>
    <x v="0"/>
    <x v="366"/>
    <x v="366"/>
    <n v="16"/>
    <s v="ADET"/>
    <n v="0"/>
    <n v="0"/>
    <n v="0"/>
    <n v="32"/>
    <n v="0"/>
    <n v="14.4"/>
    <n v="0.45"/>
    <x v="33"/>
    <n v="7.2"/>
    <x v="2"/>
  </r>
  <r>
    <x v="19"/>
    <s v="Volkan Batkan"/>
    <x v="0"/>
    <x v="152"/>
    <x v="152"/>
    <n v="6"/>
    <s v="ADET"/>
    <n v="0"/>
    <n v="0"/>
    <n v="0"/>
    <n v="54"/>
    <n v="0"/>
    <n v="67.5"/>
    <n v="1.25"/>
    <x v="20"/>
    <n v="7.5"/>
    <x v="7"/>
  </r>
  <r>
    <x v="3"/>
    <s v="Stina Alm"/>
    <x v="0"/>
    <x v="150"/>
    <x v="150"/>
    <n v="1"/>
    <s v="ADET"/>
    <n v="0"/>
    <n v="9"/>
    <n v="13"/>
    <n v="-1"/>
    <n v="4"/>
    <n v="0"/>
    <n v="1600"/>
    <x v="35"/>
    <n v="1600"/>
    <x v="7"/>
  </r>
  <r>
    <x v="12"/>
    <s v="Matteo Giolo"/>
    <x v="0"/>
    <x v="151"/>
    <x v="151"/>
    <n v="0.1"/>
    <s v="METRE"/>
    <n v="0"/>
    <n v="50"/>
    <n v="2.8310687127941492E-15"/>
    <n v="-47.8"/>
    <n v="0"/>
    <n v="0"/>
    <n v="25.41"/>
    <x v="15"/>
    <n v="2.5410000000000004"/>
    <x v="7"/>
  </r>
  <r>
    <x v="7"/>
    <s v="Laurent MONTAGNER"/>
    <x v="0"/>
    <x v="151"/>
    <x v="151"/>
    <n v="0.1"/>
    <s v="METRE"/>
    <n v="0"/>
    <n v="50"/>
    <n v="2.8310687127941492E-15"/>
    <n v="-47.8"/>
    <n v="0"/>
    <n v="0"/>
    <n v="25.41"/>
    <x v="15"/>
    <n v="2.5410000000000004"/>
    <x v="7"/>
  </r>
  <r>
    <x v="3"/>
    <s v="Stina Alm"/>
    <x v="0"/>
    <x v="206"/>
    <x v="206"/>
    <n v="1"/>
    <s v="ADET"/>
    <n v="0"/>
    <n v="2"/>
    <n v="4"/>
    <n v="0"/>
    <n v="2"/>
    <n v="0"/>
    <n v="1667.14"/>
    <x v="7"/>
    <n v="1667.14"/>
    <x v="6"/>
  </r>
  <r>
    <x v="3"/>
    <s v="Stina Alm"/>
    <x v="0"/>
    <x v="184"/>
    <x v="184"/>
    <n v="3"/>
    <s v="ADET"/>
    <n v="0"/>
    <n v="38"/>
    <n v="25"/>
    <n v="-2"/>
    <n v="20"/>
    <n v="0"/>
    <n v="245"/>
    <x v="10"/>
    <n v="735"/>
    <x v="4"/>
  </r>
  <r>
    <x v="7"/>
    <s v="Laurent MONTAGNER"/>
    <x v="0"/>
    <x v="200"/>
    <x v="200"/>
    <n v="1"/>
    <s v="ADET"/>
    <n v="0"/>
    <n v="114"/>
    <n v="0"/>
    <n v="-109"/>
    <n v="0"/>
    <n v="0"/>
    <n v="10"/>
    <x v="5"/>
    <n v="10"/>
    <x v="4"/>
  </r>
  <r>
    <x v="1"/>
    <s v="Stina Alm"/>
    <x v="0"/>
    <x v="295"/>
    <x v="295"/>
    <n v="1"/>
    <s v="ADET"/>
    <n v="0"/>
    <n v="1"/>
    <n v="11"/>
    <n v="16"/>
    <n v="0"/>
    <n v="212968.32000000001"/>
    <n v="13310.52"/>
    <x v="67"/>
    <n v="13310.52"/>
    <x v="6"/>
  </r>
  <r>
    <x v="1"/>
    <s v="Stina Alm"/>
    <x v="0"/>
    <x v="367"/>
    <x v="367"/>
    <n v="1"/>
    <s v="ADET"/>
    <n v="0"/>
    <n v="10"/>
    <n v="5"/>
    <n v="-6"/>
    <n v="0"/>
    <n v="0"/>
    <n v="1723.79"/>
    <x v="74"/>
    <n v="1723.79"/>
    <x v="4"/>
  </r>
  <r>
    <x v="19"/>
    <s v="Volkan Batkan"/>
    <x v="0"/>
    <x v="249"/>
    <x v="249"/>
    <n v="0.6"/>
    <s v="ADET"/>
    <n v="0"/>
    <n v="0"/>
    <n v="-1.7763568394002505E-15"/>
    <n v="6.9999999999999991"/>
    <n v="0"/>
    <n v="489.99999999999994"/>
    <n v="70"/>
    <x v="14"/>
    <n v="42"/>
    <x v="2"/>
  </r>
  <r>
    <x v="3"/>
    <s v="Stina Alm"/>
    <x v="0"/>
    <x v="302"/>
    <x v="302"/>
    <n v="0.09"/>
    <s v="KG"/>
    <n v="0"/>
    <n v="2.5"/>
    <n v="-4.9960036108132044E-16"/>
    <n v="-0.61999999999999922"/>
    <n v="0"/>
    <n v="0"/>
    <n v="2400"/>
    <x v="20"/>
    <n v="216"/>
    <x v="2"/>
  </r>
  <r>
    <x v="7"/>
    <s v="Laurent MONTAGNER"/>
    <x v="0"/>
    <x v="302"/>
    <x v="302"/>
    <n v="0.30000000000000004"/>
    <s v="KG"/>
    <n v="0"/>
    <n v="2.5"/>
    <n v="-4.9960036108132044E-16"/>
    <n v="-0.61999999999999922"/>
    <n v="0"/>
    <n v="0"/>
    <n v="2400"/>
    <x v="20"/>
    <n v="720.00000000000011"/>
    <x v="2"/>
  </r>
  <r>
    <x v="4"/>
    <s v="Stefan Zaugg"/>
    <x v="0"/>
    <x v="302"/>
    <x v="302"/>
    <n v="0.06"/>
    <s v="KG"/>
    <n v="0"/>
    <n v="2.5"/>
    <n v="-4.9960036108132044E-16"/>
    <n v="-0.61999999999999922"/>
    <n v="0"/>
    <n v="0"/>
    <n v="2400"/>
    <x v="20"/>
    <n v="144"/>
    <x v="2"/>
  </r>
  <r>
    <x v="15"/>
    <s v="Jan Urbanek"/>
    <x v="0"/>
    <x v="336"/>
    <x v="336"/>
    <n v="2"/>
    <s v="ADET"/>
    <n v="0"/>
    <n v="6"/>
    <n v="24"/>
    <n v="10"/>
    <n v="0"/>
    <n v="149462.5"/>
    <n v="14946.25"/>
    <x v="68"/>
    <n v="29892.5"/>
    <x v="4"/>
  </r>
  <r>
    <x v="15"/>
    <s v="Jan Urbanek"/>
    <x v="0"/>
    <x v="337"/>
    <x v="337"/>
    <n v="1"/>
    <s v="ADET"/>
    <n v="0"/>
    <n v="28"/>
    <n v="5"/>
    <n v="-16"/>
    <n v="0"/>
    <n v="0"/>
    <n v="373.06"/>
    <x v="74"/>
    <n v="373.06"/>
    <x v="4"/>
  </r>
  <r>
    <x v="13"/>
    <s v="Matteo Giolo"/>
    <x v="0"/>
    <x v="337"/>
    <x v="337"/>
    <n v="1"/>
    <s v="ADET"/>
    <n v="0"/>
    <n v="28"/>
    <n v="5"/>
    <n v="-16"/>
    <n v="0"/>
    <n v="0"/>
    <n v="373.06"/>
    <x v="74"/>
    <n v="373.06"/>
    <x v="4"/>
  </r>
  <r>
    <x v="5"/>
    <s v="Matteo Giolo"/>
    <x v="0"/>
    <x v="335"/>
    <x v="335"/>
    <n v="498"/>
    <s v="ADET"/>
    <n v="0"/>
    <n v="8000"/>
    <n v="11449"/>
    <n v="-1313"/>
    <n v="0"/>
    <n v="0"/>
    <n v="0.54"/>
    <x v="21"/>
    <n v="268.92"/>
    <x v="2"/>
  </r>
  <r>
    <x v="4"/>
    <s v="Stefan Zaugg"/>
    <x v="0"/>
    <x v="335"/>
    <x v="335"/>
    <n v="210"/>
    <s v="ADET"/>
    <n v="0"/>
    <n v="8000"/>
    <n v="11449"/>
    <n v="-1313"/>
    <n v="0"/>
    <n v="0"/>
    <n v="0.54"/>
    <x v="21"/>
    <n v="113.4"/>
    <x v="2"/>
  </r>
  <r>
    <x v="7"/>
    <s v="Laurent MONTAGNER"/>
    <x v="0"/>
    <x v="353"/>
    <x v="353"/>
    <n v="2"/>
    <s v="ADET"/>
    <n v="2"/>
    <n v="29"/>
    <n v="9"/>
    <n v="-13"/>
    <n v="0"/>
    <n v="0"/>
    <n v="355.05"/>
    <x v="74"/>
    <n v="710.1"/>
    <x v="6"/>
  </r>
  <r>
    <x v="6"/>
    <s v="Laurent MONTAGNER"/>
    <x v="0"/>
    <x v="335"/>
    <x v="335"/>
    <n v="562"/>
    <s v="ADET"/>
    <n v="0"/>
    <n v="8000"/>
    <n v="11449"/>
    <n v="-1313"/>
    <n v="0"/>
    <n v="0"/>
    <n v="0.54"/>
    <x v="21"/>
    <n v="303.48"/>
    <x v="2"/>
  </r>
  <r>
    <x v="1"/>
    <s v="Stina Alm"/>
    <x v="0"/>
    <x v="335"/>
    <x v="335"/>
    <n v="430"/>
    <s v="ADET"/>
    <n v="0"/>
    <n v="8000"/>
    <n v="11449"/>
    <n v="-1313"/>
    <n v="0"/>
    <n v="0"/>
    <n v="0.54"/>
    <x v="21"/>
    <n v="232.20000000000002"/>
    <x v="2"/>
  </r>
  <r>
    <x v="0"/>
    <s v="Soner Kayıkçı"/>
    <x v="0"/>
    <x v="336"/>
    <x v="336"/>
    <n v="2"/>
    <s v="ADET"/>
    <n v="0"/>
    <n v="6"/>
    <n v="24"/>
    <n v="10"/>
    <n v="0"/>
    <n v="149462.5"/>
    <n v="14946.25"/>
    <x v="68"/>
    <n v="29892.5"/>
    <x v="4"/>
  </r>
  <r>
    <x v="10"/>
    <s v="Jan Urbanek"/>
    <x v="0"/>
    <x v="336"/>
    <x v="336"/>
    <n v="2"/>
    <s v="ADET"/>
    <n v="0"/>
    <n v="6"/>
    <n v="24"/>
    <n v="10"/>
    <n v="0"/>
    <n v="149462.5"/>
    <n v="14946.25"/>
    <x v="68"/>
    <n v="29892.5"/>
    <x v="4"/>
  </r>
  <r>
    <x v="10"/>
    <s v="Jan Urbanek"/>
    <x v="0"/>
    <x v="337"/>
    <x v="337"/>
    <n v="1"/>
    <s v="ADET"/>
    <n v="0"/>
    <n v="28"/>
    <n v="5"/>
    <n v="-16"/>
    <n v="0"/>
    <n v="0"/>
    <n v="373.06"/>
    <x v="74"/>
    <n v="373.06"/>
    <x v="4"/>
  </r>
  <r>
    <x v="15"/>
    <s v="Jan Urbanek"/>
    <x v="0"/>
    <x v="338"/>
    <x v="338"/>
    <n v="1"/>
    <s v="ADET"/>
    <n v="0"/>
    <n v="25"/>
    <n v="5"/>
    <n v="-13"/>
    <n v="0"/>
    <n v="0"/>
    <n v="373.06"/>
    <x v="74"/>
    <n v="373.06"/>
    <x v="4"/>
  </r>
  <r>
    <x v="12"/>
    <s v="Matteo Giolo"/>
    <x v="0"/>
    <x v="300"/>
    <x v="300"/>
    <n v="1"/>
    <s v="ADET"/>
    <n v="0"/>
    <n v="39"/>
    <n v="2"/>
    <n v="-19"/>
    <n v="0"/>
    <n v="0"/>
    <n v="65"/>
    <x v="10"/>
    <n v="65"/>
    <x v="4"/>
  </r>
  <r>
    <x v="19"/>
    <s v="Volkan Batkan"/>
    <x v="0"/>
    <x v="278"/>
    <x v="278"/>
    <n v="1"/>
    <s v="ADET"/>
    <n v="1"/>
    <n v="24"/>
    <n v="4"/>
    <n v="-17"/>
    <n v="0"/>
    <n v="0"/>
    <n v="625"/>
    <x v="2"/>
    <n v="625"/>
    <x v="2"/>
  </r>
  <r>
    <x v="16"/>
    <s v="Stefan Zaugg"/>
    <x v="0"/>
    <x v="278"/>
    <x v="278"/>
    <n v="1"/>
    <s v="ADET"/>
    <n v="1"/>
    <n v="24"/>
    <n v="4"/>
    <n v="-17"/>
    <n v="0"/>
    <n v="0"/>
    <n v="625"/>
    <x v="2"/>
    <n v="625"/>
    <x v="2"/>
  </r>
  <r>
    <x v="17"/>
    <s v="Murat Taşdemir"/>
    <x v="0"/>
    <x v="277"/>
    <x v="277"/>
    <n v="3"/>
    <s v="ADET"/>
    <n v="0"/>
    <n v="85"/>
    <n v="31"/>
    <n v="-17"/>
    <n v="0"/>
    <n v="0"/>
    <n v="120"/>
    <x v="77"/>
    <n v="360"/>
    <x v="4"/>
  </r>
  <r>
    <x v="8"/>
    <s v="Jan Urbanek"/>
    <x v="0"/>
    <x v="296"/>
    <x v="296"/>
    <n v="60"/>
    <s v="M2"/>
    <n v="0"/>
    <n v="0"/>
    <n v="134.67999999999967"/>
    <n v="420"/>
    <n v="13"/>
    <n v="95886"/>
    <n v="228.3"/>
    <x v="63"/>
    <n v="13698"/>
    <x v="8"/>
  </r>
  <r>
    <x v="9"/>
    <s v="Jan Urbanek"/>
    <x v="0"/>
    <x v="296"/>
    <x v="296"/>
    <n v="60"/>
    <s v="M2"/>
    <n v="0"/>
    <n v="0"/>
    <n v="134.67999999999967"/>
    <n v="420"/>
    <n v="13"/>
    <n v="95886"/>
    <n v="228.3"/>
    <x v="63"/>
    <n v="13698"/>
    <x v="8"/>
  </r>
  <r>
    <x v="10"/>
    <s v="Jan Urbanek"/>
    <x v="0"/>
    <x v="299"/>
    <x v="299"/>
    <n v="1"/>
    <s v="ADET"/>
    <n v="0"/>
    <n v="23"/>
    <n v="17"/>
    <n v="-8"/>
    <n v="0"/>
    <n v="0"/>
    <n v="750"/>
    <x v="9"/>
    <n v="750"/>
    <x v="6"/>
  </r>
  <r>
    <x v="15"/>
    <s v="Jan Urbanek"/>
    <x v="0"/>
    <x v="276"/>
    <x v="276"/>
    <n v="3"/>
    <s v="ADET"/>
    <n v="0"/>
    <n v="81"/>
    <n v="5"/>
    <n v="-23"/>
    <n v="0"/>
    <n v="0"/>
    <n v="188"/>
    <x v="14"/>
    <n v="564"/>
    <x v="4"/>
  </r>
  <r>
    <x v="19"/>
    <s v="Volkan Batkan"/>
    <x v="0"/>
    <x v="296"/>
    <x v="296"/>
    <n v="45"/>
    <s v="M2"/>
    <n v="0"/>
    <n v="0"/>
    <n v="134.67999999999967"/>
    <n v="420"/>
    <n v="13"/>
    <n v="95886"/>
    <n v="228.3"/>
    <x v="63"/>
    <n v="10273.5"/>
    <x v="8"/>
  </r>
  <r>
    <x v="19"/>
    <s v="Volkan Batkan"/>
    <x v="0"/>
    <x v="298"/>
    <x v="298"/>
    <n v="2"/>
    <s v="ADET"/>
    <n v="0"/>
    <n v="34"/>
    <n v="27"/>
    <n v="-6"/>
    <n v="0"/>
    <n v="0"/>
    <n v="500"/>
    <x v="9"/>
    <n v="1000"/>
    <x v="6"/>
  </r>
  <r>
    <x v="19"/>
    <s v="Volkan Batkan"/>
    <x v="0"/>
    <x v="300"/>
    <x v="300"/>
    <n v="1"/>
    <s v="ADET"/>
    <n v="0"/>
    <n v="39"/>
    <n v="2"/>
    <n v="-19"/>
    <n v="0"/>
    <n v="0"/>
    <n v="65"/>
    <x v="10"/>
    <n v="65"/>
    <x v="4"/>
  </r>
  <r>
    <x v="11"/>
    <s v="Jan Urbanek"/>
    <x v="0"/>
    <x v="296"/>
    <x v="296"/>
    <n v="60"/>
    <s v="M2"/>
    <n v="0"/>
    <n v="0"/>
    <n v="134.67999999999967"/>
    <n v="420"/>
    <n v="13"/>
    <n v="95886"/>
    <n v="228.3"/>
    <x v="63"/>
    <n v="13698"/>
    <x v="8"/>
  </r>
  <r>
    <x v="11"/>
    <s v="Jan Urbanek"/>
    <x v="0"/>
    <x v="298"/>
    <x v="298"/>
    <n v="2"/>
    <s v="ADET"/>
    <n v="0"/>
    <n v="34"/>
    <n v="27"/>
    <n v="-6"/>
    <n v="0"/>
    <n v="0"/>
    <n v="500"/>
    <x v="9"/>
    <n v="1000"/>
    <x v="6"/>
  </r>
  <r>
    <x v="11"/>
    <s v="Jan Urbanek"/>
    <x v="0"/>
    <x v="299"/>
    <x v="299"/>
    <n v="1"/>
    <s v="ADET"/>
    <n v="0"/>
    <n v="23"/>
    <n v="17"/>
    <n v="-8"/>
    <n v="0"/>
    <n v="0"/>
    <n v="750"/>
    <x v="9"/>
    <n v="750"/>
    <x v="6"/>
  </r>
  <r>
    <x v="11"/>
    <s v="Jan Urbanek"/>
    <x v="0"/>
    <x v="300"/>
    <x v="300"/>
    <n v="1"/>
    <s v="ADET"/>
    <n v="0"/>
    <n v="39"/>
    <n v="2"/>
    <n v="-19"/>
    <n v="0"/>
    <n v="0"/>
    <n v="65"/>
    <x v="10"/>
    <n v="65"/>
    <x v="4"/>
  </r>
  <r>
    <x v="15"/>
    <s v="Jan Urbanek"/>
    <x v="0"/>
    <x v="277"/>
    <x v="277"/>
    <n v="4"/>
    <s v="ADET"/>
    <n v="0"/>
    <n v="85"/>
    <n v="31"/>
    <n v="-17"/>
    <n v="0"/>
    <n v="0"/>
    <n v="120"/>
    <x v="77"/>
    <n v="480"/>
    <x v="4"/>
  </r>
  <r>
    <x v="13"/>
    <s v="Matteo Giolo"/>
    <x v="0"/>
    <x v="277"/>
    <x v="277"/>
    <n v="3"/>
    <s v="ADET"/>
    <n v="0"/>
    <n v="85"/>
    <n v="31"/>
    <n v="-17"/>
    <n v="0"/>
    <n v="0"/>
    <n v="120"/>
    <x v="77"/>
    <n v="360"/>
    <x v="4"/>
  </r>
  <r>
    <x v="19"/>
    <s v="Volkan Batkan"/>
    <x v="0"/>
    <x v="276"/>
    <x v="276"/>
    <n v="3"/>
    <s v="ADET"/>
    <n v="0"/>
    <n v="81"/>
    <n v="5"/>
    <n v="-23"/>
    <n v="0"/>
    <n v="0"/>
    <n v="188"/>
    <x v="14"/>
    <n v="564"/>
    <x v="4"/>
  </r>
  <r>
    <x v="16"/>
    <s v="Stefan Zaugg"/>
    <x v="0"/>
    <x v="276"/>
    <x v="276"/>
    <n v="3"/>
    <s v="ADET"/>
    <n v="0"/>
    <n v="81"/>
    <n v="5"/>
    <n v="-23"/>
    <n v="0"/>
    <n v="0"/>
    <n v="188"/>
    <x v="14"/>
    <n v="564"/>
    <x v="4"/>
  </r>
  <r>
    <x v="14"/>
    <s v="Stefan Zaugg"/>
    <x v="0"/>
    <x v="276"/>
    <x v="276"/>
    <n v="3"/>
    <s v="ADET"/>
    <n v="0"/>
    <n v="81"/>
    <n v="5"/>
    <n v="-23"/>
    <n v="0"/>
    <n v="0"/>
    <n v="188"/>
    <x v="14"/>
    <n v="564"/>
    <x v="4"/>
  </r>
  <r>
    <x v="13"/>
    <s v="Matteo Giolo"/>
    <x v="0"/>
    <x v="276"/>
    <x v="276"/>
    <n v="3"/>
    <s v="ADET"/>
    <n v="0"/>
    <n v="81"/>
    <n v="5"/>
    <n v="-23"/>
    <n v="0"/>
    <n v="0"/>
    <n v="188"/>
    <x v="14"/>
    <n v="564"/>
    <x v="4"/>
  </r>
  <r>
    <x v="16"/>
    <s v="Stefan Zaugg"/>
    <x v="0"/>
    <x v="296"/>
    <x v="296"/>
    <n v="1.5"/>
    <s v="M2"/>
    <n v="0"/>
    <n v="0"/>
    <n v="134.67999999999967"/>
    <n v="420"/>
    <n v="13"/>
    <n v="95886"/>
    <n v="228.3"/>
    <x v="63"/>
    <n v="342.45000000000005"/>
    <x v="8"/>
  </r>
  <r>
    <x v="15"/>
    <s v="Jan Urbanek"/>
    <x v="0"/>
    <x v="298"/>
    <x v="298"/>
    <n v="2"/>
    <s v="ADET"/>
    <n v="0"/>
    <n v="34"/>
    <n v="27"/>
    <n v="-6"/>
    <n v="0"/>
    <n v="0"/>
    <n v="500"/>
    <x v="9"/>
    <n v="1000"/>
    <x v="6"/>
  </r>
  <r>
    <x v="13"/>
    <s v="Matteo Giolo"/>
    <x v="0"/>
    <x v="298"/>
    <x v="298"/>
    <n v="2"/>
    <s v="ADET"/>
    <n v="0"/>
    <n v="34"/>
    <n v="27"/>
    <n v="-6"/>
    <n v="0"/>
    <n v="0"/>
    <n v="500"/>
    <x v="9"/>
    <n v="1000"/>
    <x v="6"/>
  </r>
  <r>
    <x v="19"/>
    <s v="Volkan Batkan"/>
    <x v="0"/>
    <x v="299"/>
    <x v="299"/>
    <n v="1"/>
    <s v="ADET"/>
    <n v="0"/>
    <n v="23"/>
    <n v="17"/>
    <n v="-8"/>
    <n v="0"/>
    <n v="0"/>
    <n v="750"/>
    <x v="9"/>
    <n v="750"/>
    <x v="6"/>
  </r>
  <r>
    <x v="14"/>
    <s v="Stefan Zaugg"/>
    <x v="0"/>
    <x v="299"/>
    <x v="299"/>
    <n v="1"/>
    <s v="ADET"/>
    <n v="0"/>
    <n v="23"/>
    <n v="17"/>
    <n v="-8"/>
    <n v="0"/>
    <n v="0"/>
    <n v="750"/>
    <x v="9"/>
    <n v="750"/>
    <x v="6"/>
  </r>
  <r>
    <x v="15"/>
    <s v="Jan Urbanek"/>
    <x v="0"/>
    <x v="299"/>
    <x v="299"/>
    <n v="1"/>
    <s v="ADET"/>
    <n v="0"/>
    <n v="23"/>
    <n v="17"/>
    <n v="-8"/>
    <n v="0"/>
    <n v="0"/>
    <n v="750"/>
    <x v="9"/>
    <n v="750"/>
    <x v="6"/>
  </r>
  <r>
    <x v="13"/>
    <s v="Matteo Giolo"/>
    <x v="0"/>
    <x v="299"/>
    <x v="299"/>
    <n v="1"/>
    <s v="ADET"/>
    <n v="0"/>
    <n v="23"/>
    <n v="17"/>
    <n v="-8"/>
    <n v="0"/>
    <n v="0"/>
    <n v="750"/>
    <x v="9"/>
    <n v="750"/>
    <x v="6"/>
  </r>
  <r>
    <x v="17"/>
    <s v="Murat Taşdemir"/>
    <x v="0"/>
    <x v="211"/>
    <x v="211"/>
    <n v="1"/>
    <s v="ADET"/>
    <n v="0"/>
    <n v="14"/>
    <n v="9.9999999999999929"/>
    <n v="2.5700000000000003"/>
    <n v="0"/>
    <n v="552.55000000000007"/>
    <n v="215"/>
    <x v="14"/>
    <n v="215"/>
    <x v="2"/>
  </r>
  <r>
    <x v="4"/>
    <s v="Stefan Zaugg"/>
    <x v="0"/>
    <x v="155"/>
    <x v="155"/>
    <n v="1"/>
    <s v="ADET"/>
    <n v="1"/>
    <n v="4"/>
    <n v="10"/>
    <n v="8"/>
    <n v="0"/>
    <n v="41649.120000000003"/>
    <n v="5206.1400000000003"/>
    <x v="19"/>
    <n v="5206.1400000000003"/>
    <x v="7"/>
  </r>
  <r>
    <x v="16"/>
    <s v="Stefan Zaugg"/>
    <x v="0"/>
    <x v="158"/>
    <x v="158"/>
    <n v="6"/>
    <s v="KG"/>
    <n v="6"/>
    <n v="0"/>
    <n v="297.61"/>
    <n v="97.560000000000016"/>
    <n v="0"/>
    <n v="13285.720800000003"/>
    <n v="136.18"/>
    <x v="54"/>
    <n v="817.08"/>
    <x v="3"/>
  </r>
  <r>
    <x v="15"/>
    <s v="Jan Urbanek"/>
    <x v="0"/>
    <x v="159"/>
    <x v="159"/>
    <n v="1"/>
    <s v="ADET"/>
    <n v="0"/>
    <n v="0"/>
    <n v="8"/>
    <n v="12"/>
    <n v="0"/>
    <n v="55600.08"/>
    <n v="4633.34"/>
    <x v="11"/>
    <n v="4633.34"/>
    <x v="6"/>
  </r>
  <r>
    <x v="13"/>
    <s v="Matteo Giolo"/>
    <x v="0"/>
    <x v="159"/>
    <x v="159"/>
    <n v="1"/>
    <s v="ADET"/>
    <n v="0"/>
    <n v="0"/>
    <n v="8"/>
    <n v="12"/>
    <n v="0"/>
    <n v="55600.08"/>
    <n v="4633.34"/>
    <x v="11"/>
    <n v="4633.34"/>
    <x v="6"/>
  </r>
  <r>
    <x v="15"/>
    <s v="Jan Urbanek"/>
    <x v="0"/>
    <x v="160"/>
    <x v="160"/>
    <n v="6"/>
    <s v="ADET"/>
    <n v="0"/>
    <n v="0"/>
    <n v="0"/>
    <n v="54"/>
    <n v="0"/>
    <n v="35.64"/>
    <n v="0.66"/>
    <x v="20"/>
    <n v="3.96"/>
    <x v="7"/>
  </r>
  <r>
    <x v="17"/>
    <s v="Murat Taşdemir"/>
    <x v="0"/>
    <x v="190"/>
    <x v="190"/>
    <n v="15"/>
    <s v="ADET"/>
    <n v="0"/>
    <n v="800"/>
    <n v="0"/>
    <n v="-414"/>
    <n v="0"/>
    <n v="0"/>
    <n v="13.75"/>
    <x v="21"/>
    <n v="206.25"/>
    <x v="2"/>
  </r>
  <r>
    <x v="17"/>
    <s v="Murat Taşdemir"/>
    <x v="0"/>
    <x v="159"/>
    <x v="159"/>
    <n v="1"/>
    <s v="ADET"/>
    <n v="0"/>
    <n v="0"/>
    <n v="8"/>
    <n v="12"/>
    <n v="0"/>
    <n v="55600.08"/>
    <n v="4633.34"/>
    <x v="11"/>
    <n v="4633.34"/>
    <x v="6"/>
  </r>
  <r>
    <x v="19"/>
    <s v="Volkan Batkan"/>
    <x v="0"/>
    <x v="160"/>
    <x v="160"/>
    <n v="6"/>
    <s v="ADET"/>
    <n v="0"/>
    <n v="0"/>
    <n v="0"/>
    <n v="54"/>
    <n v="0"/>
    <n v="35.64"/>
    <n v="0.66"/>
    <x v="20"/>
    <n v="3.96"/>
    <x v="7"/>
  </r>
  <r>
    <x v="15"/>
    <s v="Jan Urbanek"/>
    <x v="0"/>
    <x v="190"/>
    <x v="190"/>
    <n v="28"/>
    <s v="ADET"/>
    <n v="0"/>
    <n v="800"/>
    <n v="0"/>
    <n v="-414"/>
    <n v="0"/>
    <n v="0"/>
    <n v="13.75"/>
    <x v="21"/>
    <n v="385"/>
    <x v="2"/>
  </r>
  <r>
    <x v="12"/>
    <s v="Matteo Giolo"/>
    <x v="0"/>
    <x v="155"/>
    <x v="155"/>
    <n v="1"/>
    <s v="ADET"/>
    <n v="0"/>
    <n v="4"/>
    <n v="10"/>
    <n v="8"/>
    <n v="0"/>
    <n v="41649.120000000003"/>
    <n v="5206.1400000000003"/>
    <x v="19"/>
    <n v="5206.1400000000003"/>
    <x v="7"/>
  </r>
  <r>
    <x v="12"/>
    <s v="Matteo Giolo"/>
    <x v="0"/>
    <x v="156"/>
    <x v="156"/>
    <n v="0.5"/>
    <s v="ADET"/>
    <n v="0"/>
    <n v="0"/>
    <n v="-1.7763568394002505E-15"/>
    <n v="2.5"/>
    <n v="0"/>
    <n v="208.32499999999999"/>
    <n v="83.33"/>
    <x v="2"/>
    <n v="41.664999999999999"/>
    <x v="3"/>
  </r>
  <r>
    <x v="12"/>
    <s v="Matteo Giolo"/>
    <x v="0"/>
    <x v="158"/>
    <x v="158"/>
    <n v="7"/>
    <s v="KG"/>
    <n v="0"/>
    <n v="0"/>
    <n v="297.61"/>
    <n v="97.560000000000016"/>
    <n v="0"/>
    <n v="13285.720800000003"/>
    <n v="136.18"/>
    <x v="54"/>
    <n v="953.26"/>
    <x v="3"/>
  </r>
  <r>
    <x v="12"/>
    <s v="Matteo Giolo"/>
    <x v="0"/>
    <x v="160"/>
    <x v="160"/>
    <n v="6"/>
    <s v="ADET"/>
    <n v="0"/>
    <n v="0"/>
    <n v="0"/>
    <n v="54"/>
    <n v="0"/>
    <n v="35.64"/>
    <n v="0.66"/>
    <x v="20"/>
    <n v="3.96"/>
    <x v="7"/>
  </r>
  <r>
    <x v="4"/>
    <s v="Stefan Zaugg"/>
    <x v="0"/>
    <x v="157"/>
    <x v="157"/>
    <n v="118"/>
    <s v="ADET"/>
    <n v="0"/>
    <n v="2750"/>
    <n v="0"/>
    <n v="-747"/>
    <n v="0"/>
    <n v="0"/>
    <n v="0.7"/>
    <x v="14"/>
    <n v="82.6"/>
    <x v="2"/>
  </r>
  <r>
    <x v="3"/>
    <s v="Stina Alm"/>
    <x v="0"/>
    <x v="157"/>
    <x v="157"/>
    <n v="88"/>
    <s v="ADET"/>
    <n v="0"/>
    <n v="2750"/>
    <n v="0"/>
    <n v="-747"/>
    <n v="0"/>
    <n v="0"/>
    <n v="0.7"/>
    <x v="14"/>
    <n v="61.599999999999994"/>
    <x v="2"/>
  </r>
  <r>
    <x v="3"/>
    <s v="Stina Alm"/>
    <x v="0"/>
    <x v="158"/>
    <x v="158"/>
    <n v="8.89"/>
    <s v="KG"/>
    <n v="0"/>
    <n v="0"/>
    <n v="297.61"/>
    <n v="97.560000000000016"/>
    <n v="0"/>
    <n v="13285.720800000003"/>
    <n v="136.18"/>
    <x v="54"/>
    <n v="1210.6402"/>
    <x v="3"/>
  </r>
  <r>
    <x v="5"/>
    <s v="Matteo Giolo"/>
    <x v="0"/>
    <x v="190"/>
    <x v="190"/>
    <n v="33"/>
    <s v="ADET"/>
    <n v="0"/>
    <n v="800"/>
    <n v="0"/>
    <n v="-414"/>
    <n v="0"/>
    <n v="0"/>
    <n v="13.75"/>
    <x v="21"/>
    <n v="453.75"/>
    <x v="2"/>
  </r>
  <r>
    <x v="4"/>
    <s v="Stefan Zaugg"/>
    <x v="0"/>
    <x v="211"/>
    <x v="211"/>
    <n v="1"/>
    <s v="ADET"/>
    <n v="0"/>
    <n v="14"/>
    <n v="9.9999999999999929"/>
    <n v="2.5700000000000003"/>
    <n v="0"/>
    <n v="552.55000000000007"/>
    <n v="215"/>
    <x v="14"/>
    <n v="215"/>
    <x v="2"/>
  </r>
  <r>
    <x v="5"/>
    <s v="Matteo Giolo"/>
    <x v="0"/>
    <x v="212"/>
    <x v="212"/>
    <n v="1.5"/>
    <s v="ADET"/>
    <n v="0"/>
    <n v="272"/>
    <n v="4.2999999999999652"/>
    <n v="-233.2"/>
    <n v="0"/>
    <n v="0"/>
    <n v="30"/>
    <x v="14"/>
    <n v="45"/>
    <x v="2"/>
  </r>
  <r>
    <x v="4"/>
    <s v="Stefan Zaugg"/>
    <x v="0"/>
    <x v="212"/>
    <x v="212"/>
    <n v="0.7"/>
    <s v="ADET"/>
    <n v="0"/>
    <n v="272"/>
    <n v="4.2999999999999652"/>
    <n v="-233.2"/>
    <n v="0"/>
    <n v="0"/>
    <n v="30"/>
    <x v="14"/>
    <n v="21"/>
    <x v="2"/>
  </r>
  <r>
    <x v="4"/>
    <s v="Stefan Zaugg"/>
    <x v="0"/>
    <x v="368"/>
    <x v="368"/>
    <n v="2.46"/>
    <s v="ADET"/>
    <n v="0"/>
    <n v="235"/>
    <n v="-7.460698725481052E-14"/>
    <n v="-215.94"/>
    <n v="0"/>
    <n v="0"/>
    <n v="15"/>
    <x v="2"/>
    <n v="36.9"/>
    <x v="2"/>
  </r>
  <r>
    <x v="5"/>
    <s v="Matteo Giolo"/>
    <x v="0"/>
    <x v="368"/>
    <x v="368"/>
    <n v="1.46"/>
    <s v="ADET"/>
    <n v="0"/>
    <n v="235"/>
    <n v="-7.460698725481052E-14"/>
    <n v="-215.94"/>
    <n v="0"/>
    <n v="0"/>
    <n v="15"/>
    <x v="2"/>
    <n v="21.9"/>
    <x v="2"/>
  </r>
  <r>
    <x v="5"/>
    <s v="Matteo Giolo"/>
    <x v="0"/>
    <x v="369"/>
    <x v="369"/>
    <n v="1"/>
    <s v="ADET"/>
    <n v="0"/>
    <n v="27"/>
    <n v="14"/>
    <n v="-18"/>
    <n v="0"/>
    <n v="0"/>
    <n v="15"/>
    <x v="20"/>
    <n v="15"/>
    <x v="7"/>
  </r>
  <r>
    <x v="12"/>
    <s v="Matteo Giolo"/>
    <x v="0"/>
    <x v="157"/>
    <x v="157"/>
    <n v="112"/>
    <s v="ADET"/>
    <n v="0"/>
    <n v="2750"/>
    <n v="0"/>
    <n v="-747"/>
    <n v="0"/>
    <n v="0"/>
    <n v="0.7"/>
    <x v="14"/>
    <n v="78.399999999999991"/>
    <x v="2"/>
  </r>
  <r>
    <x v="5"/>
    <s v="Matteo Giolo"/>
    <x v="0"/>
    <x v="157"/>
    <x v="157"/>
    <n v="137"/>
    <s v="ADET"/>
    <n v="0"/>
    <n v="2750"/>
    <n v="0"/>
    <n v="-747"/>
    <n v="0"/>
    <n v="0"/>
    <n v="0.7"/>
    <x v="14"/>
    <n v="95.899999999999991"/>
    <x v="2"/>
  </r>
  <r>
    <x v="7"/>
    <s v="Laurent MONTAGNER"/>
    <x v="0"/>
    <x v="157"/>
    <x v="157"/>
    <n v="96"/>
    <s v="ADET"/>
    <n v="0"/>
    <n v="2750"/>
    <n v="0"/>
    <n v="-747"/>
    <n v="0"/>
    <n v="0"/>
    <n v="0.7"/>
    <x v="14"/>
    <n v="67.199999999999989"/>
    <x v="2"/>
  </r>
  <r>
    <x v="5"/>
    <s v="Matteo Giolo"/>
    <x v="0"/>
    <x v="159"/>
    <x v="159"/>
    <n v="1"/>
    <s v="ADET"/>
    <n v="0"/>
    <n v="0"/>
    <n v="8"/>
    <n v="12"/>
    <n v="0"/>
    <n v="55600.08"/>
    <n v="4633.34"/>
    <x v="11"/>
    <n v="4633.34"/>
    <x v="6"/>
  </r>
  <r>
    <x v="0"/>
    <s v="Soner Kayıkçı"/>
    <x v="0"/>
    <x v="229"/>
    <x v="229"/>
    <n v="2"/>
    <s v="ADET"/>
    <n v="0"/>
    <n v="50"/>
    <n v="33"/>
    <n v="-15"/>
    <n v="0"/>
    <n v="0"/>
    <n v="72.599999999999994"/>
    <x v="14"/>
    <n v="145.19999999999999"/>
    <x v="4"/>
  </r>
  <r>
    <x v="1"/>
    <s v="Stina Alm"/>
    <x v="0"/>
    <x v="229"/>
    <x v="229"/>
    <n v="1"/>
    <s v="ADET"/>
    <n v="0"/>
    <n v="50"/>
    <n v="33"/>
    <n v="-15"/>
    <n v="0"/>
    <n v="0"/>
    <n v="72.599999999999994"/>
    <x v="14"/>
    <n v="72.599999999999994"/>
    <x v="4"/>
  </r>
  <r>
    <x v="6"/>
    <s v="Laurent MONTAGNER"/>
    <x v="0"/>
    <x v="313"/>
    <x v="313"/>
    <n v="21"/>
    <s v="ADET"/>
    <n v="0"/>
    <n v="150"/>
    <n v="0"/>
    <n v="194"/>
    <n v="0"/>
    <n v="5383.5"/>
    <n v="27.75"/>
    <x v="80"/>
    <n v="582.75"/>
    <x v="5"/>
  </r>
  <r>
    <x v="1"/>
    <s v="Stina Alm"/>
    <x v="0"/>
    <x v="313"/>
    <x v="313"/>
    <n v="21"/>
    <s v="ADET"/>
    <n v="0"/>
    <n v="150"/>
    <n v="0"/>
    <n v="194"/>
    <n v="0"/>
    <n v="5383.5"/>
    <n v="27.75"/>
    <x v="80"/>
    <n v="582.75"/>
    <x v="5"/>
  </r>
  <r>
    <x v="0"/>
    <s v="Soner Kayıkçı"/>
    <x v="0"/>
    <x v="313"/>
    <x v="313"/>
    <n v="16"/>
    <s v="ADET"/>
    <n v="0"/>
    <n v="150"/>
    <n v="0"/>
    <n v="194"/>
    <n v="0"/>
    <n v="5383.5"/>
    <n v="27.75"/>
    <x v="80"/>
    <n v="444"/>
    <x v="5"/>
  </r>
  <r>
    <x v="2"/>
    <s v="Laurent MONTAGNER"/>
    <x v="0"/>
    <x v="313"/>
    <x v="313"/>
    <n v="21"/>
    <s v="ADET"/>
    <n v="0"/>
    <n v="150"/>
    <n v="0"/>
    <n v="194"/>
    <n v="0"/>
    <n v="5383.5"/>
    <n v="27.75"/>
    <x v="80"/>
    <n v="582.75"/>
    <x v="5"/>
  </r>
  <r>
    <x v="15"/>
    <s v="Jan Urbanek"/>
    <x v="1"/>
    <x v="312"/>
    <x v="312"/>
    <n v="1"/>
    <s v="ADET"/>
    <n v="0"/>
    <n v="25"/>
    <n v="4"/>
    <n v="-20"/>
    <n v="0"/>
    <n v="0"/>
    <n v="2800"/>
    <x v="79"/>
    <n v="2800"/>
    <x v="6"/>
  </r>
  <r>
    <x v="13"/>
    <s v="Matteo Giolo"/>
    <x v="0"/>
    <x v="313"/>
    <x v="313"/>
    <n v="21"/>
    <s v="ADET"/>
    <n v="0"/>
    <n v="150"/>
    <n v="0"/>
    <n v="194"/>
    <n v="0"/>
    <n v="5383.5"/>
    <n v="27.75"/>
    <x v="80"/>
    <n v="582.75"/>
    <x v="5"/>
  </r>
  <r>
    <x v="17"/>
    <s v="Murat Taşdemir"/>
    <x v="0"/>
    <x v="334"/>
    <x v="334"/>
    <n v="5"/>
    <s v="METRE"/>
    <n v="0"/>
    <n v="0"/>
    <n v="165"/>
    <n v="-289"/>
    <n v="400"/>
    <n v="0"/>
    <n v="5"/>
    <x v="45"/>
    <n v="25"/>
    <x v="2"/>
  </r>
  <r>
    <x v="15"/>
    <s v="Jan Urbanek"/>
    <x v="0"/>
    <x v="334"/>
    <x v="334"/>
    <n v="5"/>
    <s v="METRE"/>
    <n v="0"/>
    <n v="0"/>
    <n v="165"/>
    <n v="-289"/>
    <n v="400"/>
    <n v="0"/>
    <n v="5"/>
    <x v="45"/>
    <n v="25"/>
    <x v="2"/>
  </r>
  <r>
    <x v="13"/>
    <s v="Matteo Giolo"/>
    <x v="0"/>
    <x v="334"/>
    <x v="334"/>
    <n v="5"/>
    <s v="METRE"/>
    <n v="0"/>
    <n v="0"/>
    <n v="165"/>
    <n v="-289"/>
    <n v="400"/>
    <n v="0"/>
    <n v="5"/>
    <x v="45"/>
    <n v="25"/>
    <x v="2"/>
  </r>
  <r>
    <x v="6"/>
    <s v="Laurent MONTAGNER"/>
    <x v="0"/>
    <x v="229"/>
    <x v="229"/>
    <n v="2"/>
    <s v="ADET"/>
    <n v="0"/>
    <n v="50"/>
    <n v="33"/>
    <n v="-15"/>
    <n v="0"/>
    <n v="0"/>
    <n v="72.599999999999994"/>
    <x v="14"/>
    <n v="145.19999999999999"/>
    <x v="4"/>
  </r>
  <r>
    <x v="2"/>
    <s v="Laurent MONTAGNER"/>
    <x v="0"/>
    <x v="229"/>
    <x v="229"/>
    <n v="2"/>
    <s v="ADET"/>
    <n v="0"/>
    <n v="50"/>
    <n v="33"/>
    <n v="-15"/>
    <n v="0"/>
    <n v="0"/>
    <n v="72.599999999999994"/>
    <x v="14"/>
    <n v="145.19999999999999"/>
    <x v="4"/>
  </r>
  <r>
    <x v="3"/>
    <s v="Stina Alm"/>
    <x v="0"/>
    <x v="343"/>
    <x v="343"/>
    <n v="5"/>
    <s v="ADET"/>
    <n v="0"/>
    <n v="0"/>
    <n v="4.0000000000000497"/>
    <n v="28.999999999999993"/>
    <n v="22"/>
    <n v="30208.429999999993"/>
    <n v="1041.67"/>
    <x v="63"/>
    <n v="5208.3500000000004"/>
    <x v="8"/>
  </r>
  <r>
    <x v="7"/>
    <s v="Laurent MONTAGNER"/>
    <x v="0"/>
    <x v="354"/>
    <x v="354"/>
    <n v="120"/>
    <s v="METRE"/>
    <n v="0"/>
    <n v="0"/>
    <n v="0"/>
    <n v="1760"/>
    <n v="0"/>
    <n v="0"/>
    <n v="0"/>
    <x v="5"/>
    <n v="0"/>
    <x v="5"/>
  </r>
  <r>
    <x v="3"/>
    <s v="Stina Alm"/>
    <x v="0"/>
    <x v="354"/>
    <x v="354"/>
    <n v="120"/>
    <s v="METRE"/>
    <n v="0"/>
    <n v="0"/>
    <n v="0"/>
    <n v="1760"/>
    <n v="0"/>
    <n v="0"/>
    <n v="0"/>
    <x v="5"/>
    <n v="0"/>
    <x v="5"/>
  </r>
  <r>
    <x v="4"/>
    <s v="Stefan Zaugg"/>
    <x v="0"/>
    <x v="355"/>
    <x v="355"/>
    <n v="2"/>
    <s v="ADET"/>
    <n v="0"/>
    <n v="48"/>
    <n v="2"/>
    <n v="-44"/>
    <n v="0"/>
    <n v="0"/>
    <n v="428.63"/>
    <x v="74"/>
    <n v="857.26"/>
    <x v="4"/>
  </r>
  <r>
    <x v="3"/>
    <s v="Stina Alm"/>
    <x v="0"/>
    <x v="356"/>
    <x v="356"/>
    <n v="0.124"/>
    <s v="M3"/>
    <n v="0"/>
    <n v="0"/>
    <n v="4.5430000000000446"/>
    <n v="1.4260000000000002"/>
    <n v="0"/>
    <n v="27807.000000000004"/>
    <n v="19500"/>
    <x v="87"/>
    <n v="2418"/>
    <x v="8"/>
  </r>
  <r>
    <x v="4"/>
    <s v="Stefan Zaugg"/>
    <x v="0"/>
    <x v="370"/>
    <x v="370"/>
    <n v="0.5"/>
    <s v="ADET"/>
    <n v="0"/>
    <n v="100"/>
    <n v="0"/>
    <n v="-90.5"/>
    <n v="0"/>
    <n v="0"/>
    <n v="13.5"/>
    <x v="14"/>
    <n v="6.75"/>
    <x v="2"/>
  </r>
  <r>
    <x v="3"/>
    <s v="Stina Alm"/>
    <x v="0"/>
    <x v="370"/>
    <x v="370"/>
    <n v="0.5"/>
    <s v="ADET"/>
    <n v="0"/>
    <n v="100"/>
    <n v="0"/>
    <n v="-90.5"/>
    <n v="0"/>
    <n v="0"/>
    <n v="13.5"/>
    <x v="14"/>
    <n v="6.75"/>
    <x v="2"/>
  </r>
  <r>
    <x v="5"/>
    <s v="Matteo Giolo"/>
    <x v="0"/>
    <x v="370"/>
    <x v="370"/>
    <n v="0.5"/>
    <s v="ADET"/>
    <n v="0"/>
    <n v="100"/>
    <n v="0"/>
    <n v="-90.5"/>
    <n v="0"/>
    <n v="0"/>
    <n v="13.5"/>
    <x v="14"/>
    <n v="6.75"/>
    <x v="2"/>
  </r>
  <r>
    <x v="12"/>
    <s v="Matteo Giolo"/>
    <x v="0"/>
    <x v="371"/>
    <x v="371"/>
    <n v="1"/>
    <s v="M2"/>
    <n v="0"/>
    <n v="0"/>
    <n v="67.08499999999998"/>
    <n v="15"/>
    <n v="0"/>
    <n v="9778.0499999999993"/>
    <n v="651.87"/>
    <x v="63"/>
    <n v="651.87"/>
    <x v="8"/>
  </r>
  <r>
    <x v="3"/>
    <s v="Stina Alm"/>
    <x v="0"/>
    <x v="372"/>
    <x v="372"/>
    <n v="50"/>
    <s v="M2"/>
    <n v="0"/>
    <n v="0"/>
    <n v="9.2500000000000568"/>
    <n v="50"/>
    <n v="0"/>
    <n v="9727"/>
    <n v="194.54"/>
    <x v="63"/>
    <n v="9727"/>
    <x v="8"/>
  </r>
  <r>
    <x v="11"/>
    <s v="Jan Urbanek"/>
    <x v="0"/>
    <x v="260"/>
    <x v="260"/>
    <n v="1"/>
    <s v="ADET"/>
    <n v="0"/>
    <n v="0"/>
    <n v="5.5699999999999994"/>
    <n v="-2"/>
    <n v="7"/>
    <n v="0"/>
    <n v="1416.67"/>
    <x v="63"/>
    <n v="1416.67"/>
    <x v="8"/>
  </r>
  <r>
    <x v="10"/>
    <s v="Jan Urbanek"/>
    <x v="0"/>
    <x v="340"/>
    <x v="340"/>
    <n v="1.5"/>
    <s v="ADET"/>
    <n v="0"/>
    <n v="24"/>
    <n v="18.499999999999982"/>
    <n v="3.899999999999995"/>
    <n v="0"/>
    <n v="467.99999999999943"/>
    <n v="120"/>
    <x v="14"/>
    <n v="180"/>
    <x v="3"/>
  </r>
  <r>
    <x v="9"/>
    <s v="Jan Urbanek"/>
    <x v="0"/>
    <x v="341"/>
    <x v="341"/>
    <n v="6"/>
    <s v="ADET"/>
    <n v="0"/>
    <n v="0"/>
    <n v="0"/>
    <n v="54"/>
    <n v="0"/>
    <n v="37.799999999999997"/>
    <n v="0.7"/>
    <x v="20"/>
    <n v="4.1999999999999993"/>
    <x v="7"/>
  </r>
  <r>
    <x v="11"/>
    <s v="Jan Urbanek"/>
    <x v="0"/>
    <x v="342"/>
    <x v="342"/>
    <n v="1.5"/>
    <s v="ADET"/>
    <n v="0"/>
    <n v="0"/>
    <n v="6.1000000000000023"/>
    <n v="8.8000000000000007"/>
    <n v="5"/>
    <n v="6056.1600000000008"/>
    <n v="688.2"/>
    <x v="41"/>
    <n v="1032.3000000000002"/>
    <x v="5"/>
  </r>
  <r>
    <x v="5"/>
    <s v="Matteo Giolo"/>
    <x v="0"/>
    <x v="340"/>
    <x v="340"/>
    <n v="2"/>
    <s v="ADET"/>
    <n v="0"/>
    <n v="24"/>
    <n v="18.499999999999982"/>
    <n v="3.899999999999995"/>
    <n v="0"/>
    <n v="467.99999999999943"/>
    <n v="120"/>
    <x v="14"/>
    <n v="240"/>
    <x v="3"/>
  </r>
  <r>
    <x v="4"/>
    <s v="Stefan Zaugg"/>
    <x v="0"/>
    <x v="340"/>
    <x v="340"/>
    <n v="2"/>
    <s v="ADET"/>
    <n v="0"/>
    <n v="24"/>
    <n v="18.499999999999982"/>
    <n v="3.899999999999995"/>
    <n v="0"/>
    <n v="467.99999999999943"/>
    <n v="120"/>
    <x v="14"/>
    <n v="240"/>
    <x v="3"/>
  </r>
  <r>
    <x v="3"/>
    <s v="Stina Alm"/>
    <x v="0"/>
    <x v="342"/>
    <x v="342"/>
    <n v="1"/>
    <s v="ADET"/>
    <n v="0"/>
    <n v="0"/>
    <n v="6.1000000000000023"/>
    <n v="8.8000000000000007"/>
    <n v="5"/>
    <n v="6056.1600000000008"/>
    <n v="688.2"/>
    <x v="41"/>
    <n v="688.2"/>
    <x v="5"/>
  </r>
  <r>
    <x v="4"/>
    <s v="Stefan Zaugg"/>
    <x v="0"/>
    <x v="365"/>
    <x v="365"/>
    <n v="6"/>
    <s v="ADET"/>
    <n v="0"/>
    <n v="2080"/>
    <n v="84"/>
    <n v="-2052"/>
    <n v="0"/>
    <n v="0"/>
    <n v="0.28999999999999998"/>
    <x v="5"/>
    <n v="1.7399999999999998"/>
    <x v="2"/>
  </r>
  <r>
    <x v="19"/>
    <s v="Volkan Batkan"/>
    <x v="0"/>
    <x v="354"/>
    <x v="354"/>
    <n v="120"/>
    <s v="METRE"/>
    <n v="0"/>
    <n v="0"/>
    <n v="0"/>
    <n v="1760"/>
    <n v="0"/>
    <n v="0"/>
    <n v="0"/>
    <x v="5"/>
    <n v="0"/>
    <x v="5"/>
  </r>
  <r>
    <x v="16"/>
    <s v="Stefan Zaugg"/>
    <x v="0"/>
    <x v="354"/>
    <x v="354"/>
    <n v="20"/>
    <s v="METRE"/>
    <n v="0"/>
    <n v="0"/>
    <n v="0"/>
    <n v="1760"/>
    <n v="0"/>
    <n v="0"/>
    <n v="0"/>
    <x v="5"/>
    <n v="0"/>
    <x v="5"/>
  </r>
  <r>
    <x v="14"/>
    <s v="Stefan Zaugg"/>
    <x v="0"/>
    <x v="354"/>
    <x v="354"/>
    <n v="20"/>
    <s v="METRE"/>
    <n v="0"/>
    <n v="0"/>
    <n v="0"/>
    <n v="1760"/>
    <n v="0"/>
    <n v="0"/>
    <n v="0"/>
    <x v="5"/>
    <n v="0"/>
    <x v="5"/>
  </r>
  <r>
    <x v="19"/>
    <s v="Volkan Batkan"/>
    <x v="0"/>
    <x v="356"/>
    <x v="356"/>
    <n v="0.13"/>
    <s v="M3"/>
    <n v="0"/>
    <n v="0"/>
    <n v="4.5430000000000446"/>
    <n v="1.4260000000000002"/>
    <n v="0"/>
    <n v="27807.000000000004"/>
    <n v="19500"/>
    <x v="87"/>
    <n v="2535"/>
    <x v="8"/>
  </r>
  <r>
    <x v="14"/>
    <s v="Stefan Zaugg"/>
    <x v="0"/>
    <x v="356"/>
    <x v="356"/>
    <n v="0.105"/>
    <s v="M3"/>
    <n v="0.105"/>
    <n v="0"/>
    <n v="4.5430000000000446"/>
    <n v="1.4260000000000002"/>
    <n v="0"/>
    <n v="27807.000000000004"/>
    <n v="19500"/>
    <x v="87"/>
    <n v="2047.5"/>
    <x v="8"/>
  </r>
  <r>
    <x v="5"/>
    <s v="Matteo Giolo"/>
    <x v="0"/>
    <x v="343"/>
    <x v="343"/>
    <n v="3"/>
    <s v="ADET"/>
    <n v="0"/>
    <n v="0"/>
    <n v="4.0000000000000497"/>
    <n v="28.999999999999993"/>
    <n v="22"/>
    <n v="30208.429999999993"/>
    <n v="1041.67"/>
    <x v="63"/>
    <n v="3125.01"/>
    <x v="8"/>
  </r>
  <r>
    <x v="4"/>
    <s v="Stefan Zaugg"/>
    <x v="0"/>
    <x v="354"/>
    <x v="354"/>
    <n v="20"/>
    <s v="METRE"/>
    <n v="0"/>
    <n v="0"/>
    <n v="0"/>
    <n v="1760"/>
    <n v="0"/>
    <n v="0"/>
    <n v="0"/>
    <x v="5"/>
    <n v="0"/>
    <x v="5"/>
  </r>
  <r>
    <x v="5"/>
    <s v="Matteo Giolo"/>
    <x v="0"/>
    <x v="356"/>
    <x v="356"/>
    <n v="0.14400000000000002"/>
    <s v="M3"/>
    <n v="0"/>
    <n v="0"/>
    <n v="4.5430000000000446"/>
    <n v="1.4260000000000002"/>
    <n v="0"/>
    <n v="27807.000000000004"/>
    <n v="19500"/>
    <x v="87"/>
    <n v="2808.0000000000005"/>
    <x v="8"/>
  </r>
  <r>
    <x v="11"/>
    <s v="Jan Urbanek"/>
    <x v="0"/>
    <x v="340"/>
    <x v="340"/>
    <n v="1.5"/>
    <s v="ADET"/>
    <n v="0"/>
    <n v="24"/>
    <n v="18.499999999999982"/>
    <n v="3.899999999999995"/>
    <n v="0"/>
    <n v="467.99999999999943"/>
    <n v="120"/>
    <x v="14"/>
    <n v="180"/>
    <x v="3"/>
  </r>
  <r>
    <x v="11"/>
    <s v="Jan Urbanek"/>
    <x v="0"/>
    <x v="341"/>
    <x v="341"/>
    <n v="6"/>
    <s v="ADET"/>
    <n v="0"/>
    <n v="0"/>
    <n v="0"/>
    <n v="54"/>
    <n v="0"/>
    <n v="37.799999999999997"/>
    <n v="0.7"/>
    <x v="20"/>
    <n v="4.1999999999999993"/>
    <x v="7"/>
  </r>
  <r>
    <x v="4"/>
    <s v="Stefan Zaugg"/>
    <x v="0"/>
    <x v="342"/>
    <x v="342"/>
    <n v="0.5"/>
    <s v="ADET"/>
    <n v="0"/>
    <n v="0"/>
    <n v="6.1000000000000023"/>
    <n v="8.8000000000000007"/>
    <n v="5"/>
    <n v="6056.1600000000008"/>
    <n v="688.2"/>
    <x v="41"/>
    <n v="344.1"/>
    <x v="5"/>
  </r>
  <r>
    <x v="12"/>
    <s v="Matteo Giolo"/>
    <x v="0"/>
    <x v="343"/>
    <x v="343"/>
    <n v="3"/>
    <s v="ADET"/>
    <n v="0"/>
    <n v="0"/>
    <n v="4.0000000000000497"/>
    <n v="28.999999999999993"/>
    <n v="22"/>
    <n v="30208.429999999993"/>
    <n v="1041.67"/>
    <x v="63"/>
    <n v="3125.01"/>
    <x v="8"/>
  </r>
  <r>
    <x v="0"/>
    <s v="Soner Kayıkçı"/>
    <x v="0"/>
    <x v="295"/>
    <x v="295"/>
    <n v="1"/>
    <s v="ADET"/>
    <n v="0"/>
    <n v="1"/>
    <n v="11"/>
    <n v="16"/>
    <n v="0"/>
    <n v="212968.32000000001"/>
    <n v="13310.52"/>
    <x v="67"/>
    <n v="13310.52"/>
    <x v="6"/>
  </r>
  <r>
    <x v="2"/>
    <s v="Laurent MONTAGNER"/>
    <x v="0"/>
    <x v="295"/>
    <x v="295"/>
    <n v="1"/>
    <s v="ADET"/>
    <n v="0"/>
    <n v="1"/>
    <n v="11"/>
    <n v="16"/>
    <n v="0"/>
    <n v="212968.32000000001"/>
    <n v="13310.52"/>
    <x v="67"/>
    <n v="13310.52"/>
    <x v="6"/>
  </r>
  <r>
    <x v="2"/>
    <s v="Laurent MONTAGNER"/>
    <x v="0"/>
    <x v="303"/>
    <x v="303"/>
    <n v="6"/>
    <s v="ADET"/>
    <n v="6"/>
    <n v="46"/>
    <n v="26"/>
    <n v="-24"/>
    <n v="0"/>
    <n v="0"/>
    <n v="199.45"/>
    <x v="34"/>
    <n v="1196.6999999999998"/>
    <x v="2"/>
  </r>
  <r>
    <x v="19"/>
    <s v="Volkan Batkan"/>
    <x v="0"/>
    <x v="136"/>
    <x v="136"/>
    <n v="1"/>
    <s v="METRE"/>
    <n v="0"/>
    <n v="200"/>
    <n v="74.999999999999957"/>
    <n v="-198.95"/>
    <n v="0"/>
    <n v="0"/>
    <n v="7.4"/>
    <x v="49"/>
    <n v="7.4"/>
    <x v="7"/>
  </r>
  <r>
    <x v="15"/>
    <s v="Jan Urbanek"/>
    <x v="0"/>
    <x v="137"/>
    <x v="137"/>
    <n v="5"/>
    <s v="ADET"/>
    <n v="0"/>
    <n v="234"/>
    <n v="30"/>
    <n v="-169"/>
    <n v="0"/>
    <n v="0"/>
    <n v="15.21"/>
    <x v="15"/>
    <n v="76.050000000000011"/>
    <x v="7"/>
  </r>
  <r>
    <x v="13"/>
    <s v="Matteo Giolo"/>
    <x v="0"/>
    <x v="137"/>
    <x v="137"/>
    <n v="5"/>
    <s v="ADET"/>
    <n v="0"/>
    <n v="234"/>
    <n v="30"/>
    <n v="-169"/>
    <n v="0"/>
    <n v="0"/>
    <n v="15.21"/>
    <x v="15"/>
    <n v="76.050000000000011"/>
    <x v="7"/>
  </r>
  <r>
    <x v="13"/>
    <s v="Matteo Giolo"/>
    <x v="0"/>
    <x v="249"/>
    <x v="249"/>
    <n v="0.7"/>
    <s v="ADET"/>
    <n v="0"/>
    <n v="0"/>
    <n v="-1.7763568394002505E-15"/>
    <n v="6.9999999999999991"/>
    <n v="0"/>
    <n v="489.99999999999994"/>
    <n v="70"/>
    <x v="14"/>
    <n v="49"/>
    <x v="2"/>
  </r>
  <r>
    <x v="16"/>
    <s v="Stefan Zaugg"/>
    <x v="0"/>
    <x v="250"/>
    <x v="250"/>
    <n v="2.5"/>
    <s v="ADET"/>
    <n v="2.5"/>
    <n v="52"/>
    <n v="10.269999999999982"/>
    <n v="-5.0300000000000011"/>
    <n v="0"/>
    <n v="0"/>
    <n v="28"/>
    <x v="14"/>
    <n v="70"/>
    <x v="2"/>
  </r>
  <r>
    <x v="13"/>
    <s v="Matteo Giolo"/>
    <x v="0"/>
    <x v="250"/>
    <x v="250"/>
    <n v="3.3900000000000006"/>
    <s v="ADET"/>
    <n v="0"/>
    <n v="52"/>
    <n v="10.269999999999982"/>
    <n v="-5.0300000000000011"/>
    <n v="0"/>
    <n v="0"/>
    <n v="28"/>
    <x v="14"/>
    <n v="94.920000000000016"/>
    <x v="2"/>
  </r>
  <r>
    <x v="18"/>
    <s v="Hayriye Güven"/>
    <x v="0"/>
    <x v="295"/>
    <x v="295"/>
    <n v="1"/>
    <s v="ADET"/>
    <n v="0"/>
    <n v="1"/>
    <n v="11"/>
    <n v="16"/>
    <n v="0"/>
    <n v="212968.32000000001"/>
    <n v="13310.52"/>
    <x v="67"/>
    <n v="13310.52"/>
    <x v="6"/>
  </r>
  <r>
    <x v="17"/>
    <s v="Murat Taşdemir"/>
    <x v="0"/>
    <x v="295"/>
    <x v="295"/>
    <n v="1"/>
    <s v="ADET"/>
    <n v="0"/>
    <n v="1"/>
    <n v="11"/>
    <n v="16"/>
    <n v="0"/>
    <n v="212968.32000000001"/>
    <n v="13310.52"/>
    <x v="67"/>
    <n v="13310.52"/>
    <x v="6"/>
  </r>
  <r>
    <x v="9"/>
    <s v="Jan Urbanek"/>
    <x v="0"/>
    <x v="295"/>
    <x v="295"/>
    <n v="1"/>
    <s v="ADET"/>
    <n v="0"/>
    <n v="1"/>
    <n v="11"/>
    <n v="16"/>
    <n v="0"/>
    <n v="212968.32000000001"/>
    <n v="13310.52"/>
    <x v="67"/>
    <n v="13310.52"/>
    <x v="6"/>
  </r>
  <r>
    <x v="8"/>
    <s v="Jan Urbanek"/>
    <x v="0"/>
    <x v="295"/>
    <x v="295"/>
    <n v="1"/>
    <s v="ADET"/>
    <n v="0"/>
    <n v="1"/>
    <n v="11"/>
    <n v="16"/>
    <n v="0"/>
    <n v="212968.32000000001"/>
    <n v="13310.52"/>
    <x v="67"/>
    <n v="13310.52"/>
    <x v="6"/>
  </r>
  <r>
    <x v="13"/>
    <s v="Matteo Giolo"/>
    <x v="0"/>
    <x v="284"/>
    <x v="284"/>
    <n v="1.35"/>
    <s v="ADET"/>
    <n v="0"/>
    <n v="104"/>
    <n v="-3.5527136788005009E-15"/>
    <n v="-81.349999999999994"/>
    <n v="0"/>
    <n v="0"/>
    <n v="22"/>
    <x v="14"/>
    <n v="29.700000000000003"/>
    <x v="2"/>
  </r>
  <r>
    <x v="13"/>
    <s v="Matteo Giolo"/>
    <x v="0"/>
    <x v="251"/>
    <x v="251"/>
    <n v="1"/>
    <s v="ADET"/>
    <n v="0"/>
    <n v="30"/>
    <n v="20"/>
    <n v="-7"/>
    <n v="0"/>
    <n v="0"/>
    <n v="62.5"/>
    <x v="21"/>
    <n v="62.5"/>
    <x v="2"/>
  </r>
  <r>
    <x v="15"/>
    <s v="Jan Urbanek"/>
    <x v="0"/>
    <x v="251"/>
    <x v="251"/>
    <n v="1"/>
    <s v="ADET"/>
    <n v="0"/>
    <n v="30"/>
    <n v="20"/>
    <n v="-7"/>
    <n v="0"/>
    <n v="0"/>
    <n v="62.5"/>
    <x v="21"/>
    <n v="62.5"/>
    <x v="2"/>
  </r>
  <r>
    <x v="13"/>
    <s v="Matteo Giolo"/>
    <x v="0"/>
    <x v="295"/>
    <x v="295"/>
    <n v="1"/>
    <s v="ADET"/>
    <n v="0"/>
    <n v="1"/>
    <n v="11"/>
    <n v="16"/>
    <n v="0"/>
    <n v="212968.32000000001"/>
    <n v="13310.52"/>
    <x v="67"/>
    <n v="13310.52"/>
    <x v="6"/>
  </r>
  <r>
    <x v="15"/>
    <s v="Jan Urbanek"/>
    <x v="0"/>
    <x v="295"/>
    <x v="295"/>
    <n v="1"/>
    <s v="ADET"/>
    <n v="0"/>
    <n v="1"/>
    <n v="11"/>
    <n v="16"/>
    <n v="0"/>
    <n v="212968.32000000001"/>
    <n v="13310.52"/>
    <x v="67"/>
    <n v="13310.52"/>
    <x v="6"/>
  </r>
  <r>
    <x v="10"/>
    <s v="Jan Urbanek"/>
    <x v="0"/>
    <x v="295"/>
    <x v="295"/>
    <n v="1"/>
    <s v="ADET"/>
    <n v="0"/>
    <n v="1"/>
    <n v="11"/>
    <n v="16"/>
    <n v="0"/>
    <n v="212968.32000000001"/>
    <n v="13310.52"/>
    <x v="67"/>
    <n v="13310.52"/>
    <x v="6"/>
  </r>
  <r>
    <x v="9"/>
    <s v="Jan Urbanek"/>
    <x v="0"/>
    <x v="302"/>
    <x v="302"/>
    <n v="7.0000000000000007E-2"/>
    <s v="KG"/>
    <n v="0"/>
    <n v="2.5"/>
    <n v="-4.9960036108132044E-16"/>
    <n v="-0.61999999999999922"/>
    <n v="0"/>
    <n v="0"/>
    <n v="2400"/>
    <x v="20"/>
    <n v="168.00000000000003"/>
    <x v="2"/>
  </r>
  <r>
    <x v="19"/>
    <s v="Volkan Batkan"/>
    <x v="0"/>
    <x v="284"/>
    <x v="284"/>
    <n v="1"/>
    <s v="ADET"/>
    <n v="0"/>
    <n v="104"/>
    <n v="-3.5527136788005009E-15"/>
    <n v="-81.349999999999994"/>
    <n v="0"/>
    <n v="0"/>
    <n v="22"/>
    <x v="14"/>
    <n v="22"/>
    <x v="2"/>
  </r>
  <r>
    <x v="15"/>
    <s v="Jan Urbanek"/>
    <x v="0"/>
    <x v="284"/>
    <x v="284"/>
    <n v="1"/>
    <s v="ADET"/>
    <n v="0"/>
    <n v="104"/>
    <n v="-3.5527136788005009E-15"/>
    <n v="-81.349999999999994"/>
    <n v="0"/>
    <n v="0"/>
    <n v="22"/>
    <x v="14"/>
    <n v="22"/>
    <x v="2"/>
  </r>
  <r>
    <x v="14"/>
    <s v="Stefan Zaugg"/>
    <x v="0"/>
    <x v="284"/>
    <x v="284"/>
    <n v="1"/>
    <s v="ADET"/>
    <n v="0"/>
    <n v="104"/>
    <n v="-3.5527136788005009E-15"/>
    <n v="-81.349999999999994"/>
    <n v="0"/>
    <n v="0"/>
    <n v="22"/>
    <x v="14"/>
    <n v="22"/>
    <x v="2"/>
  </r>
  <r>
    <x v="13"/>
    <s v="Matteo Giolo"/>
    <x v="0"/>
    <x v="373"/>
    <x v="373"/>
    <n v="1"/>
    <s v="ADET"/>
    <n v="0"/>
    <n v="12"/>
    <n v="5"/>
    <n v="-8"/>
    <n v="0"/>
    <n v="0"/>
    <n v="1679.53"/>
    <x v="74"/>
    <n v="1679.53"/>
    <x v="4"/>
  </r>
  <r>
    <x v="3"/>
    <s v="Stina Alm"/>
    <x v="0"/>
    <x v="373"/>
    <x v="373"/>
    <n v="1"/>
    <s v="ADET"/>
    <n v="0"/>
    <n v="12"/>
    <n v="5"/>
    <n v="-8"/>
    <n v="0"/>
    <n v="0"/>
    <n v="1679.53"/>
    <x v="74"/>
    <n v="1679.53"/>
    <x v="4"/>
  </r>
  <r>
    <x v="10"/>
    <s v="Jan Urbanek"/>
    <x v="0"/>
    <x v="317"/>
    <x v="317"/>
    <n v="2"/>
    <s v="ADET"/>
    <n v="0"/>
    <n v="35"/>
    <n v="14"/>
    <n v="-11"/>
    <n v="0"/>
    <n v="0"/>
    <n v="43.75"/>
    <x v="3"/>
    <n v="87.5"/>
    <x v="2"/>
  </r>
  <r>
    <x v="12"/>
    <s v="Matteo Giolo"/>
    <x v="0"/>
    <x v="317"/>
    <x v="317"/>
    <n v="2"/>
    <s v="ADET"/>
    <n v="0"/>
    <n v="35"/>
    <n v="14"/>
    <n v="-11"/>
    <n v="0"/>
    <n v="0"/>
    <n v="43.75"/>
    <x v="3"/>
    <n v="87.5"/>
    <x v="2"/>
  </r>
  <r>
    <x v="15"/>
    <s v="Jan Urbanek"/>
    <x v="0"/>
    <x v="318"/>
    <x v="318"/>
    <n v="1"/>
    <s v="ADET"/>
    <n v="0"/>
    <n v="7"/>
    <n v="10"/>
    <n v="4"/>
    <n v="0"/>
    <n v="1950.24"/>
    <n v="487.56"/>
    <x v="34"/>
    <n v="487.56"/>
    <x v="6"/>
  </r>
  <r>
    <x v="16"/>
    <s v="Stefan Zaugg"/>
    <x v="0"/>
    <x v="133"/>
    <x v="133"/>
    <n v="0.30000000000000004"/>
    <s v="METRE"/>
    <n v="0"/>
    <n v="0"/>
    <n v="93.800000000000011"/>
    <n v="5.0999999999999996"/>
    <n v="0"/>
    <n v="34.526999999999994"/>
    <n v="6.77"/>
    <x v="49"/>
    <n v="2.0310000000000001"/>
    <x v="7"/>
  </r>
  <r>
    <x v="14"/>
    <s v="Stefan Zaugg"/>
    <x v="0"/>
    <x v="133"/>
    <x v="133"/>
    <n v="0.30000000000000004"/>
    <s v="METRE"/>
    <n v="0"/>
    <n v="0"/>
    <n v="93.800000000000011"/>
    <n v="5.0999999999999996"/>
    <n v="0"/>
    <n v="34.526999999999994"/>
    <n v="6.77"/>
    <x v="49"/>
    <n v="2.0310000000000001"/>
    <x v="7"/>
  </r>
  <r>
    <x v="15"/>
    <s v="Jan Urbanek"/>
    <x v="0"/>
    <x v="134"/>
    <x v="134"/>
    <n v="2"/>
    <s v="ADET"/>
    <n v="0"/>
    <n v="37"/>
    <n v="20"/>
    <n v="-13"/>
    <n v="0"/>
    <n v="0"/>
    <n v="45.3"/>
    <x v="15"/>
    <n v="90.6"/>
    <x v="7"/>
  </r>
  <r>
    <x v="14"/>
    <s v="Stefan Zaugg"/>
    <x v="0"/>
    <x v="134"/>
    <x v="134"/>
    <n v="2"/>
    <s v="ADET"/>
    <n v="2"/>
    <n v="37"/>
    <n v="20"/>
    <n v="-13"/>
    <n v="0"/>
    <n v="0"/>
    <n v="45.3"/>
    <x v="15"/>
    <n v="90.6"/>
    <x v="7"/>
  </r>
  <r>
    <x v="19"/>
    <s v="Volkan Batkan"/>
    <x v="0"/>
    <x v="289"/>
    <x v="289"/>
    <n v="3"/>
    <s v="ADET"/>
    <n v="0"/>
    <n v="24"/>
    <n v="30"/>
    <n v="-24"/>
    <n v="50"/>
    <n v="0"/>
    <n v="37"/>
    <x v="10"/>
    <n v="111"/>
    <x v="4"/>
  </r>
  <r>
    <x v="16"/>
    <s v="Stefan Zaugg"/>
    <x v="0"/>
    <x v="289"/>
    <x v="289"/>
    <n v="3"/>
    <s v="ADET"/>
    <n v="0"/>
    <n v="24"/>
    <n v="30"/>
    <n v="-24"/>
    <n v="50"/>
    <n v="0"/>
    <n v="37"/>
    <x v="10"/>
    <n v="111"/>
    <x v="4"/>
  </r>
  <r>
    <x v="14"/>
    <s v="Stefan Zaugg"/>
    <x v="0"/>
    <x v="289"/>
    <x v="289"/>
    <n v="3"/>
    <s v="ADET"/>
    <n v="0"/>
    <n v="24"/>
    <n v="30"/>
    <n v="-24"/>
    <n v="50"/>
    <n v="0"/>
    <n v="37"/>
    <x v="10"/>
    <n v="111"/>
    <x v="4"/>
  </r>
  <r>
    <x v="13"/>
    <s v="Matteo Giolo"/>
    <x v="0"/>
    <x v="289"/>
    <x v="289"/>
    <n v="2"/>
    <s v="ADET"/>
    <n v="0"/>
    <n v="24"/>
    <n v="30"/>
    <n v="-24"/>
    <n v="50"/>
    <n v="0"/>
    <n v="37"/>
    <x v="10"/>
    <n v="74"/>
    <x v="4"/>
  </r>
  <r>
    <x v="17"/>
    <s v="Murat Taşdemir"/>
    <x v="0"/>
    <x v="290"/>
    <x v="290"/>
    <n v="6"/>
    <s v="ADET"/>
    <n v="6"/>
    <n v="0"/>
    <n v="10.500000000000064"/>
    <n v="25"/>
    <n v="40"/>
    <n v="16666.75"/>
    <n v="666.67"/>
    <x v="63"/>
    <n v="4000.0199999999995"/>
    <x v="8"/>
  </r>
  <r>
    <x v="19"/>
    <s v="Volkan Batkan"/>
    <x v="0"/>
    <x v="306"/>
    <x v="306"/>
    <n v="40"/>
    <s v="ADET"/>
    <n v="0"/>
    <n v="1000"/>
    <n v="439.00000000000023"/>
    <n v="-860"/>
    <n v="0"/>
    <n v="0"/>
    <n v="0.5"/>
    <x v="14"/>
    <n v="20"/>
    <x v="2"/>
  </r>
  <r>
    <x v="16"/>
    <s v="Stefan Zaugg"/>
    <x v="0"/>
    <x v="306"/>
    <x v="306"/>
    <n v="50"/>
    <s v="ADET"/>
    <n v="0"/>
    <n v="1000"/>
    <n v="439.00000000000023"/>
    <n v="-860"/>
    <n v="0"/>
    <n v="0"/>
    <n v="0.5"/>
    <x v="14"/>
    <n v="25"/>
    <x v="2"/>
  </r>
  <r>
    <x v="10"/>
    <s v="Jan Urbanek"/>
    <x v="0"/>
    <x v="290"/>
    <x v="290"/>
    <n v="6"/>
    <s v="ADET"/>
    <n v="0"/>
    <n v="0"/>
    <n v="10.500000000000064"/>
    <n v="25"/>
    <n v="40"/>
    <n v="16666.75"/>
    <n v="666.67"/>
    <x v="63"/>
    <n v="4000.0199999999995"/>
    <x v="8"/>
  </r>
  <r>
    <x v="17"/>
    <s v="Murat Taşdemir"/>
    <x v="0"/>
    <x v="323"/>
    <x v="323"/>
    <n v="3"/>
    <s v="ADET"/>
    <n v="0"/>
    <n v="34"/>
    <n v="97.880000000000024"/>
    <n v="0.88000000000000256"/>
    <n v="0"/>
    <n v="48.400000000000141"/>
    <n v="55"/>
    <x v="14"/>
    <n v="165"/>
    <x v="2"/>
  </r>
  <r>
    <x v="15"/>
    <s v="Jan Urbanek"/>
    <x v="0"/>
    <x v="322"/>
    <x v="322"/>
    <n v="110"/>
    <s v="ADET"/>
    <n v="0"/>
    <n v="7500"/>
    <n v="0"/>
    <n v="-5570"/>
    <n v="0"/>
    <n v="0"/>
    <n v="0.8"/>
    <x v="15"/>
    <n v="88"/>
    <x v="2"/>
  </r>
  <r>
    <x v="13"/>
    <s v="Matteo Giolo"/>
    <x v="0"/>
    <x v="322"/>
    <x v="322"/>
    <n v="80"/>
    <s v="ADET"/>
    <n v="0"/>
    <n v="7500"/>
    <n v="0"/>
    <n v="-5570"/>
    <n v="0"/>
    <n v="0"/>
    <n v="0.8"/>
    <x v="15"/>
    <n v="64"/>
    <x v="2"/>
  </r>
  <r>
    <x v="15"/>
    <s v="Jan Urbanek"/>
    <x v="0"/>
    <x v="323"/>
    <x v="323"/>
    <n v="4.25"/>
    <s v="ADET"/>
    <n v="0"/>
    <n v="34"/>
    <n v="97.880000000000024"/>
    <n v="0.88000000000000256"/>
    <n v="0"/>
    <n v="48.400000000000141"/>
    <n v="55"/>
    <x v="14"/>
    <n v="233.75"/>
    <x v="2"/>
  </r>
  <r>
    <x v="0"/>
    <s v="Soner Kayıkçı"/>
    <x v="0"/>
    <x v="322"/>
    <x v="322"/>
    <n v="110"/>
    <s v="ADET"/>
    <n v="0"/>
    <n v="7500"/>
    <n v="0"/>
    <n v="-5570"/>
    <n v="0"/>
    <n v="0"/>
    <n v="0.8"/>
    <x v="15"/>
    <n v="88"/>
    <x v="2"/>
  </r>
  <r>
    <x v="2"/>
    <s v="Laurent MONTAGNER"/>
    <x v="0"/>
    <x v="322"/>
    <x v="322"/>
    <n v="120"/>
    <s v="ADET"/>
    <n v="0"/>
    <n v="7500"/>
    <n v="0"/>
    <n v="-5570"/>
    <n v="0"/>
    <n v="0"/>
    <n v="0.8"/>
    <x v="15"/>
    <n v="96"/>
    <x v="2"/>
  </r>
  <r>
    <x v="0"/>
    <s v="Soner Kayıkçı"/>
    <x v="0"/>
    <x v="323"/>
    <x v="323"/>
    <n v="4.25"/>
    <s v="ADET"/>
    <n v="0"/>
    <n v="34"/>
    <n v="97.880000000000024"/>
    <n v="0.88000000000000256"/>
    <n v="0"/>
    <n v="48.400000000000141"/>
    <n v="55"/>
    <x v="14"/>
    <n v="233.75"/>
    <x v="2"/>
  </r>
  <r>
    <x v="5"/>
    <s v="Matteo Giolo"/>
    <x v="0"/>
    <x v="322"/>
    <x v="322"/>
    <n v="105"/>
    <s v="ADET"/>
    <n v="0"/>
    <n v="7500"/>
    <n v="0"/>
    <n v="-5570"/>
    <n v="0"/>
    <n v="0"/>
    <n v="0.8"/>
    <x v="15"/>
    <n v="84"/>
    <x v="2"/>
  </r>
  <r>
    <x v="7"/>
    <s v="Laurent MONTAGNER"/>
    <x v="0"/>
    <x v="322"/>
    <x v="322"/>
    <n v="80"/>
    <s v="ADET"/>
    <n v="0"/>
    <n v="7500"/>
    <n v="0"/>
    <n v="-5570"/>
    <n v="0"/>
    <n v="0"/>
    <n v="0.8"/>
    <x v="15"/>
    <n v="64"/>
    <x v="2"/>
  </r>
  <r>
    <x v="5"/>
    <s v="Matteo Giolo"/>
    <x v="0"/>
    <x v="323"/>
    <x v="323"/>
    <n v="3.38"/>
    <s v="ADET"/>
    <n v="0"/>
    <n v="34"/>
    <n v="97.880000000000024"/>
    <n v="0.88000000000000256"/>
    <n v="0"/>
    <n v="48.400000000000141"/>
    <n v="55"/>
    <x v="14"/>
    <n v="185.9"/>
    <x v="2"/>
  </r>
  <r>
    <x v="4"/>
    <s v="Stefan Zaugg"/>
    <x v="0"/>
    <x v="344"/>
    <x v="344"/>
    <n v="4"/>
    <s v="ADET"/>
    <n v="0"/>
    <n v="0"/>
    <n v="64"/>
    <n v="40"/>
    <n v="0"/>
    <n v="274.8"/>
    <n v="6.87"/>
    <x v="15"/>
    <n v="27.48"/>
    <x v="7"/>
  </r>
  <r>
    <x v="15"/>
    <s v="Jan Urbanek"/>
    <x v="0"/>
    <x v="374"/>
    <x v="374"/>
    <n v="40"/>
    <s v="ADET"/>
    <n v="0"/>
    <n v="0"/>
    <n v="1330"/>
    <n v="860"/>
    <n v="0"/>
    <n v="344"/>
    <n v="0.4"/>
    <x v="8"/>
    <n v="16"/>
    <x v="2"/>
  </r>
  <r>
    <x v="7"/>
    <s v="Laurent MONTAGNER"/>
    <x v="0"/>
    <x v="374"/>
    <x v="374"/>
    <n v="50"/>
    <s v="ADET"/>
    <n v="0"/>
    <n v="0"/>
    <n v="1330"/>
    <n v="860"/>
    <n v="0"/>
    <n v="344"/>
    <n v="0.4"/>
    <x v="8"/>
    <n v="20"/>
    <x v="2"/>
  </r>
  <r>
    <x v="4"/>
    <s v="Stefan Zaugg"/>
    <x v="0"/>
    <x v="375"/>
    <x v="375"/>
    <n v="1.5"/>
    <s v="KG"/>
    <n v="0"/>
    <n v="39"/>
    <n v="40.000000000000014"/>
    <n v="-18.5"/>
    <n v="0"/>
    <n v="0"/>
    <n v="212.93"/>
    <x v="56"/>
    <n v="319.39499999999998"/>
    <x v="8"/>
  </r>
  <r>
    <x v="3"/>
    <s v="Stina Alm"/>
    <x v="0"/>
    <x v="375"/>
    <x v="375"/>
    <n v="0.5"/>
    <s v="KG"/>
    <n v="0"/>
    <n v="39"/>
    <n v="40.000000000000014"/>
    <n v="-18.5"/>
    <n v="0"/>
    <n v="0"/>
    <n v="212.93"/>
    <x v="56"/>
    <n v="106.465"/>
    <x v="8"/>
  </r>
  <r>
    <x v="0"/>
    <s v="Soner Kayıkçı"/>
    <x v="0"/>
    <x v="334"/>
    <x v="334"/>
    <n v="9"/>
    <s v="METRE"/>
    <n v="0"/>
    <n v="0"/>
    <n v="165"/>
    <n v="-289"/>
    <n v="400"/>
    <n v="0"/>
    <n v="5"/>
    <x v="45"/>
    <n v="45"/>
    <x v="2"/>
  </r>
  <r>
    <x v="4"/>
    <s v="Stefan Zaugg"/>
    <x v="0"/>
    <x v="313"/>
    <x v="313"/>
    <n v="16"/>
    <s v="ADET"/>
    <n v="0"/>
    <n v="150"/>
    <n v="0"/>
    <n v="194"/>
    <n v="0"/>
    <n v="5383.5"/>
    <n v="27.75"/>
    <x v="80"/>
    <n v="444"/>
    <x v="5"/>
  </r>
  <r>
    <x v="5"/>
    <s v="Matteo Giolo"/>
    <x v="0"/>
    <x v="313"/>
    <x v="313"/>
    <n v="21"/>
    <s v="ADET"/>
    <n v="0"/>
    <n v="150"/>
    <n v="0"/>
    <n v="194"/>
    <n v="0"/>
    <n v="5383.5"/>
    <n v="27.75"/>
    <x v="80"/>
    <n v="582.75"/>
    <x v="5"/>
  </r>
  <r>
    <x v="3"/>
    <s v="Stina Alm"/>
    <x v="0"/>
    <x v="334"/>
    <x v="334"/>
    <n v="5"/>
    <s v="METRE"/>
    <n v="0"/>
    <n v="0"/>
    <n v="165"/>
    <n v="-289"/>
    <n v="400"/>
    <n v="0"/>
    <n v="5"/>
    <x v="45"/>
    <n v="25"/>
    <x v="2"/>
  </r>
  <r>
    <x v="12"/>
    <s v="Matteo Giolo"/>
    <x v="0"/>
    <x v="376"/>
    <x v="376"/>
    <n v="30"/>
    <s v="ADET"/>
    <n v="0"/>
    <n v="680"/>
    <n v="614"/>
    <n v="118"/>
    <n v="0"/>
    <n v="247.8"/>
    <n v="2.1"/>
    <x v="14"/>
    <n v="63"/>
    <x v="2"/>
  </r>
  <r>
    <x v="11"/>
    <s v="Jan Urbanek"/>
    <x v="1"/>
    <x v="312"/>
    <x v="312"/>
    <n v="1"/>
    <s v="ADET"/>
    <n v="0"/>
    <n v="25"/>
    <n v="4"/>
    <n v="-20"/>
    <n v="0"/>
    <n v="0"/>
    <n v="2800"/>
    <x v="79"/>
    <n v="2800"/>
    <x v="6"/>
  </r>
  <r>
    <x v="11"/>
    <s v="Jan Urbanek"/>
    <x v="0"/>
    <x v="313"/>
    <x v="313"/>
    <n v="16"/>
    <s v="ADET"/>
    <n v="0"/>
    <n v="150"/>
    <n v="0"/>
    <n v="194"/>
    <n v="0"/>
    <n v="5383.5"/>
    <n v="27.75"/>
    <x v="80"/>
    <n v="444"/>
    <x v="5"/>
  </r>
  <r>
    <x v="11"/>
    <s v="Jan Urbanek"/>
    <x v="0"/>
    <x v="334"/>
    <x v="334"/>
    <n v="9"/>
    <s v="METRE"/>
    <n v="0"/>
    <n v="0"/>
    <n v="165"/>
    <n v="-289"/>
    <n v="400"/>
    <n v="0"/>
    <n v="5"/>
    <x v="45"/>
    <n v="45"/>
    <x v="2"/>
  </r>
  <r>
    <x v="3"/>
    <s v="Stina Alm"/>
    <x v="1"/>
    <x v="312"/>
    <x v="312"/>
    <n v="1"/>
    <s v="ADET"/>
    <n v="0"/>
    <n v="25"/>
    <n v="4"/>
    <n v="-20"/>
    <n v="0"/>
    <n v="0"/>
    <n v="2800"/>
    <x v="79"/>
    <n v="2800"/>
    <x v="6"/>
  </r>
  <r>
    <x v="7"/>
    <s v="Laurent MONTAGNER"/>
    <x v="0"/>
    <x v="334"/>
    <x v="334"/>
    <n v="5"/>
    <s v="METRE"/>
    <n v="0"/>
    <n v="0"/>
    <n v="165"/>
    <n v="-289"/>
    <n v="400"/>
    <n v="0"/>
    <n v="5"/>
    <x v="45"/>
    <n v="25"/>
    <x v="2"/>
  </r>
  <r>
    <x v="16"/>
    <s v="Stefan Zaugg"/>
    <x v="0"/>
    <x v="376"/>
    <x v="376"/>
    <n v="38"/>
    <s v="ADET"/>
    <n v="0"/>
    <n v="680"/>
    <n v="614"/>
    <n v="118"/>
    <n v="0"/>
    <n v="247.8"/>
    <n v="2.1"/>
    <x v="14"/>
    <n v="79.8"/>
    <x v="2"/>
  </r>
  <r>
    <x v="5"/>
    <s v="Matteo Giolo"/>
    <x v="0"/>
    <x v="376"/>
    <x v="376"/>
    <n v="40"/>
    <s v="ADET"/>
    <n v="0"/>
    <n v="680"/>
    <n v="614"/>
    <n v="118"/>
    <n v="0"/>
    <n v="247.8"/>
    <n v="2.1"/>
    <x v="14"/>
    <n v="84"/>
    <x v="2"/>
  </r>
  <r>
    <x v="4"/>
    <s v="Stefan Zaugg"/>
    <x v="0"/>
    <x v="376"/>
    <x v="376"/>
    <n v="30"/>
    <s v="ADET"/>
    <n v="0"/>
    <n v="680"/>
    <n v="614"/>
    <n v="118"/>
    <n v="0"/>
    <n v="247.8"/>
    <n v="2.1"/>
    <x v="14"/>
    <n v="63"/>
    <x v="2"/>
  </r>
  <r>
    <x v="9"/>
    <s v="Jan Urbanek"/>
    <x v="0"/>
    <x v="313"/>
    <x v="313"/>
    <n v="16"/>
    <s v="ADET"/>
    <n v="0"/>
    <n v="150"/>
    <n v="0"/>
    <n v="194"/>
    <n v="0"/>
    <n v="5383.5"/>
    <n v="27.75"/>
    <x v="80"/>
    <n v="444"/>
    <x v="5"/>
  </r>
  <r>
    <x v="8"/>
    <s v="Jan Urbanek"/>
    <x v="0"/>
    <x v="313"/>
    <x v="313"/>
    <n v="16"/>
    <s v="ADET"/>
    <n v="0"/>
    <n v="150"/>
    <n v="0"/>
    <n v="194"/>
    <n v="0"/>
    <n v="5383.5"/>
    <n v="27.75"/>
    <x v="80"/>
    <n v="444"/>
    <x v="5"/>
  </r>
  <r>
    <x v="6"/>
    <s v="Laurent MONTAGNER"/>
    <x v="0"/>
    <x v="334"/>
    <x v="334"/>
    <n v="5"/>
    <s v="METRE"/>
    <n v="0"/>
    <n v="0"/>
    <n v="165"/>
    <n v="-289"/>
    <n v="400"/>
    <n v="0"/>
    <n v="5"/>
    <x v="45"/>
    <n v="25"/>
    <x v="2"/>
  </r>
  <r>
    <x v="1"/>
    <s v="Stina Alm"/>
    <x v="0"/>
    <x v="334"/>
    <x v="334"/>
    <n v="5"/>
    <s v="METRE"/>
    <n v="0"/>
    <n v="0"/>
    <n v="165"/>
    <n v="-289"/>
    <n v="400"/>
    <n v="0"/>
    <n v="5"/>
    <x v="45"/>
    <n v="25"/>
    <x v="2"/>
  </r>
  <r>
    <x v="9"/>
    <s v="Jan Urbanek"/>
    <x v="0"/>
    <x v="299"/>
    <x v="299"/>
    <n v="1"/>
    <s v="ADET"/>
    <n v="0"/>
    <n v="23"/>
    <n v="17"/>
    <n v="-8"/>
    <n v="0"/>
    <n v="0"/>
    <n v="750"/>
    <x v="9"/>
    <n v="750"/>
    <x v="6"/>
  </r>
  <r>
    <x v="8"/>
    <s v="Jan Urbanek"/>
    <x v="0"/>
    <x v="299"/>
    <x v="299"/>
    <n v="1"/>
    <s v="ADET"/>
    <n v="0"/>
    <n v="23"/>
    <n v="17"/>
    <n v="-8"/>
    <n v="0"/>
    <n v="0"/>
    <n v="750"/>
    <x v="9"/>
    <n v="750"/>
    <x v="6"/>
  </r>
  <r>
    <x v="10"/>
    <s v="Jan Urbanek"/>
    <x v="0"/>
    <x v="300"/>
    <x v="300"/>
    <n v="1"/>
    <s v="ADET"/>
    <n v="0"/>
    <n v="39"/>
    <n v="2"/>
    <n v="-19"/>
    <n v="0"/>
    <n v="0"/>
    <n v="65"/>
    <x v="10"/>
    <n v="65"/>
    <x v="4"/>
  </r>
  <r>
    <x v="8"/>
    <s v="Jan Urbanek"/>
    <x v="0"/>
    <x v="300"/>
    <x v="300"/>
    <n v="2"/>
    <s v="ADET"/>
    <n v="0"/>
    <n v="39"/>
    <n v="2"/>
    <n v="-19"/>
    <n v="0"/>
    <n v="0"/>
    <n v="65"/>
    <x v="10"/>
    <n v="130"/>
    <x v="4"/>
  </r>
  <r>
    <x v="10"/>
    <s v="Jan Urbanek"/>
    <x v="0"/>
    <x v="301"/>
    <x v="301"/>
    <n v="1"/>
    <s v="ADET"/>
    <n v="0"/>
    <n v="5"/>
    <n v="4"/>
    <n v="2"/>
    <n v="0"/>
    <n v="3359.06"/>
    <n v="1679.53"/>
    <x v="74"/>
    <n v="1679.53"/>
    <x v="4"/>
  </r>
  <r>
    <x v="8"/>
    <s v="Jan Urbanek"/>
    <x v="0"/>
    <x v="301"/>
    <x v="301"/>
    <n v="1"/>
    <s v="ADET"/>
    <n v="0"/>
    <n v="5"/>
    <n v="4"/>
    <n v="2"/>
    <n v="0"/>
    <n v="3359.06"/>
    <n v="1679.53"/>
    <x v="74"/>
    <n v="1679.53"/>
    <x v="4"/>
  </r>
  <r>
    <x v="16"/>
    <s v="Stefan Zaugg"/>
    <x v="0"/>
    <x v="300"/>
    <x v="300"/>
    <n v="1"/>
    <s v="ADET"/>
    <n v="0"/>
    <n v="39"/>
    <n v="2"/>
    <n v="-19"/>
    <n v="0"/>
    <n v="0"/>
    <n v="65"/>
    <x v="10"/>
    <n v="65"/>
    <x v="4"/>
  </r>
  <r>
    <x v="13"/>
    <s v="Matteo Giolo"/>
    <x v="0"/>
    <x v="300"/>
    <x v="300"/>
    <n v="1"/>
    <s v="ADET"/>
    <n v="0"/>
    <n v="39"/>
    <n v="2"/>
    <n v="-19"/>
    <n v="0"/>
    <n v="0"/>
    <n v="65"/>
    <x v="10"/>
    <n v="65"/>
    <x v="4"/>
  </r>
  <r>
    <x v="14"/>
    <s v="Stefan Zaugg"/>
    <x v="0"/>
    <x v="300"/>
    <x v="300"/>
    <n v="1"/>
    <s v="ADET"/>
    <n v="0"/>
    <n v="39"/>
    <n v="2"/>
    <n v="-19"/>
    <n v="0"/>
    <n v="0"/>
    <n v="65"/>
    <x v="10"/>
    <n v="65"/>
    <x v="4"/>
  </r>
  <r>
    <x v="16"/>
    <s v="Stefan Zaugg"/>
    <x v="0"/>
    <x v="301"/>
    <x v="301"/>
    <n v="1"/>
    <s v="ADET"/>
    <n v="0"/>
    <n v="5"/>
    <n v="4"/>
    <n v="2"/>
    <n v="0"/>
    <n v="3359.06"/>
    <n v="1679.53"/>
    <x v="74"/>
    <n v="1679.53"/>
    <x v="4"/>
  </r>
  <r>
    <x v="16"/>
    <s v="Stefan Zaugg"/>
    <x v="0"/>
    <x v="377"/>
    <x v="377"/>
    <n v="0.9"/>
    <s v="METRE"/>
    <n v="0"/>
    <n v="0"/>
    <n v="23.200000000000003"/>
    <n v="1.8"/>
    <n v="0"/>
    <n v="360"/>
    <n v="200"/>
    <x v="88"/>
    <n v="180"/>
    <x v="6"/>
  </r>
  <r>
    <x v="12"/>
    <s v="Matteo Giolo"/>
    <x v="0"/>
    <x v="378"/>
    <x v="378"/>
    <n v="1"/>
    <s v="ADET"/>
    <n v="0"/>
    <n v="5"/>
    <n v="4"/>
    <n v="2"/>
    <n v="0"/>
    <n v="3447.58"/>
    <n v="1723.79"/>
    <x v="74"/>
    <n v="1723.79"/>
    <x v="4"/>
  </r>
  <r>
    <x v="10"/>
    <s v="Jan Urbanek"/>
    <x v="0"/>
    <x v="305"/>
    <x v="305"/>
    <n v="12"/>
    <s v="ADET"/>
    <n v="0"/>
    <n v="0"/>
    <n v="0"/>
    <n v="124"/>
    <n v="0"/>
    <n v="217"/>
    <n v="1.75"/>
    <x v="14"/>
    <n v="21"/>
    <x v="2"/>
  </r>
  <r>
    <x v="8"/>
    <s v="Jan Urbanek"/>
    <x v="0"/>
    <x v="305"/>
    <x v="305"/>
    <n v="12"/>
    <s v="ADET"/>
    <n v="0"/>
    <n v="0"/>
    <n v="0"/>
    <n v="124"/>
    <n v="0"/>
    <n v="217"/>
    <n v="1.75"/>
    <x v="14"/>
    <n v="21"/>
    <x v="2"/>
  </r>
  <r>
    <x v="9"/>
    <s v="Jan Urbanek"/>
    <x v="0"/>
    <x v="305"/>
    <x v="305"/>
    <n v="12"/>
    <s v="ADET"/>
    <n v="0"/>
    <n v="0"/>
    <n v="0"/>
    <n v="124"/>
    <n v="0"/>
    <n v="217"/>
    <n v="1.75"/>
    <x v="14"/>
    <n v="21"/>
    <x v="2"/>
  </r>
  <r>
    <x v="1"/>
    <s v="Stina Alm"/>
    <x v="0"/>
    <x v="317"/>
    <x v="317"/>
    <n v="2"/>
    <s v="ADET"/>
    <n v="0"/>
    <n v="35"/>
    <n v="14"/>
    <n v="-11"/>
    <n v="0"/>
    <n v="0"/>
    <n v="43.75"/>
    <x v="3"/>
    <n v="87.5"/>
    <x v="2"/>
  </r>
  <r>
    <x v="3"/>
    <s v="Stina Alm"/>
    <x v="0"/>
    <x v="315"/>
    <x v="315"/>
    <n v="1"/>
    <s v="ADET"/>
    <n v="0"/>
    <n v="0"/>
    <n v="0"/>
    <n v="6.5"/>
    <n v="0"/>
    <n v="247"/>
    <n v="38"/>
    <x v="14"/>
    <n v="38"/>
    <x v="3"/>
  </r>
  <r>
    <x v="4"/>
    <s v="Stefan Zaugg"/>
    <x v="0"/>
    <x v="316"/>
    <x v="316"/>
    <n v="4"/>
    <s v="METRE"/>
    <n v="0"/>
    <n v="0"/>
    <n v="27"/>
    <n v="30.5"/>
    <n v="0"/>
    <n v="396.5"/>
    <n v="13"/>
    <x v="5"/>
    <n v="52"/>
    <x v="7"/>
  </r>
  <r>
    <x v="5"/>
    <s v="Matteo Giolo"/>
    <x v="0"/>
    <x v="316"/>
    <x v="316"/>
    <n v="1.5"/>
    <s v="METRE"/>
    <n v="0"/>
    <n v="0"/>
    <n v="27"/>
    <n v="30.5"/>
    <n v="0"/>
    <n v="396.5"/>
    <n v="13"/>
    <x v="5"/>
    <n v="19.5"/>
    <x v="7"/>
  </r>
  <r>
    <x v="5"/>
    <s v="Matteo Giolo"/>
    <x v="0"/>
    <x v="317"/>
    <x v="317"/>
    <n v="2"/>
    <s v="ADET"/>
    <n v="0"/>
    <n v="35"/>
    <n v="14"/>
    <n v="-11"/>
    <n v="0"/>
    <n v="0"/>
    <n v="43.75"/>
    <x v="3"/>
    <n v="87.5"/>
    <x v="2"/>
  </r>
  <r>
    <x v="12"/>
    <s v="Matteo Giolo"/>
    <x v="0"/>
    <x v="318"/>
    <x v="318"/>
    <n v="1"/>
    <s v="ADET"/>
    <n v="0"/>
    <n v="7"/>
    <n v="10"/>
    <n v="4"/>
    <n v="0"/>
    <n v="1950.24"/>
    <n v="487.56"/>
    <x v="34"/>
    <n v="487.56"/>
    <x v="6"/>
  </r>
  <r>
    <x v="16"/>
    <s v="Stefan Zaugg"/>
    <x v="0"/>
    <x v="378"/>
    <x v="378"/>
    <n v="1"/>
    <s v="ADET"/>
    <n v="0"/>
    <n v="5"/>
    <n v="4"/>
    <n v="2"/>
    <n v="0"/>
    <n v="3447.58"/>
    <n v="1723.79"/>
    <x v="74"/>
    <n v="1723.79"/>
    <x v="4"/>
  </r>
  <r>
    <x v="4"/>
    <s v="Stefan Zaugg"/>
    <x v="0"/>
    <x v="378"/>
    <x v="378"/>
    <n v="1"/>
    <s v="ADET"/>
    <n v="0"/>
    <n v="5"/>
    <n v="4"/>
    <n v="2"/>
    <n v="0"/>
    <n v="3447.58"/>
    <n v="1723.79"/>
    <x v="74"/>
    <n v="1723.79"/>
    <x v="4"/>
  </r>
  <r>
    <x v="11"/>
    <s v="Jan Urbanek"/>
    <x v="0"/>
    <x v="318"/>
    <x v="318"/>
    <n v="1"/>
    <s v="ADET"/>
    <n v="0"/>
    <n v="7"/>
    <n v="10"/>
    <n v="4"/>
    <n v="0"/>
    <n v="1950.24"/>
    <n v="487.56"/>
    <x v="34"/>
    <n v="487.56"/>
    <x v="6"/>
  </r>
  <r>
    <x v="5"/>
    <s v="Matteo Giolo"/>
    <x v="0"/>
    <x v="379"/>
    <x v="379"/>
    <n v="1"/>
    <s v="ADET"/>
    <n v="0"/>
    <n v="1"/>
    <n v="4"/>
    <n v="13"/>
    <n v="0"/>
    <n v="168880.14"/>
    <n v="12990.78"/>
    <x v="67"/>
    <n v="12990.78"/>
    <x v="6"/>
  </r>
  <r>
    <x v="5"/>
    <s v="Matteo Giolo"/>
    <x v="0"/>
    <x v="380"/>
    <x v="380"/>
    <n v="1"/>
    <s v="ADET"/>
    <n v="0"/>
    <n v="9"/>
    <n v="8"/>
    <n v="-12"/>
    <n v="15"/>
    <n v="0"/>
    <n v="776.15"/>
    <x v="89"/>
    <n v="776.15"/>
    <x v="7"/>
  </r>
  <r>
    <x v="17"/>
    <s v="Murat Taşdemir"/>
    <x v="0"/>
    <x v="318"/>
    <x v="318"/>
    <n v="1"/>
    <s v="ADET"/>
    <n v="1"/>
    <n v="7"/>
    <n v="10"/>
    <n v="4"/>
    <n v="0"/>
    <n v="1950.24"/>
    <n v="487.56"/>
    <x v="34"/>
    <n v="487.56"/>
    <x v="6"/>
  </r>
  <r>
    <x v="15"/>
    <s v="Jan Urbanek"/>
    <x v="0"/>
    <x v="378"/>
    <x v="378"/>
    <n v="1"/>
    <s v="ADET"/>
    <n v="0"/>
    <n v="5"/>
    <n v="4"/>
    <n v="2"/>
    <n v="0"/>
    <n v="3447.58"/>
    <n v="1723.79"/>
    <x v="74"/>
    <n v="1723.79"/>
    <x v="4"/>
  </r>
  <r>
    <x v="5"/>
    <s v="Matteo Giolo"/>
    <x v="0"/>
    <x v="373"/>
    <x v="373"/>
    <n v="1"/>
    <s v="ADET"/>
    <n v="0"/>
    <n v="12"/>
    <n v="5"/>
    <n v="-8"/>
    <n v="0"/>
    <n v="0"/>
    <n v="1679.53"/>
    <x v="74"/>
    <n v="1679.53"/>
    <x v="4"/>
  </r>
  <r>
    <x v="4"/>
    <s v="Stefan Zaugg"/>
    <x v="0"/>
    <x v="381"/>
    <x v="381"/>
    <n v="1"/>
    <s v="ADET"/>
    <n v="0"/>
    <n v="2"/>
    <n v="3.5527136788005009E-15"/>
    <n v="1"/>
    <n v="0"/>
    <n v="155"/>
    <n v="155"/>
    <x v="90"/>
    <n v="155"/>
    <x v="2"/>
  </r>
  <r>
    <x v="11"/>
    <s v="Jan Urbanek"/>
    <x v="0"/>
    <x v="305"/>
    <x v="305"/>
    <n v="12"/>
    <s v="ADET"/>
    <n v="0"/>
    <n v="0"/>
    <n v="0"/>
    <n v="124"/>
    <n v="0"/>
    <n v="217"/>
    <n v="1.75"/>
    <x v="14"/>
    <n v="21"/>
    <x v="2"/>
  </r>
  <r>
    <x v="11"/>
    <s v="Jan Urbanek"/>
    <x v="0"/>
    <x v="317"/>
    <x v="317"/>
    <n v="2"/>
    <s v="ADET"/>
    <n v="0"/>
    <n v="35"/>
    <n v="14"/>
    <n v="-11"/>
    <n v="0"/>
    <n v="0"/>
    <n v="43.75"/>
    <x v="3"/>
    <n v="87.5"/>
    <x v="2"/>
  </r>
  <r>
    <x v="4"/>
    <s v="Stefan Zaugg"/>
    <x v="0"/>
    <x v="382"/>
    <x v="382"/>
    <n v="4"/>
    <s v="ADET"/>
    <n v="0"/>
    <n v="1000"/>
    <n v="1222"/>
    <n v="-903"/>
    <n v="0"/>
    <n v="0"/>
    <n v="1.1399999999999999"/>
    <x v="8"/>
    <n v="4.5599999999999996"/>
    <x v="2"/>
  </r>
  <r>
    <x v="14"/>
    <s v="Stefan Zaugg"/>
    <x v="0"/>
    <x v="251"/>
    <x v="251"/>
    <n v="1"/>
    <s v="ADET"/>
    <n v="0"/>
    <n v="30"/>
    <n v="20"/>
    <n v="-7"/>
    <n v="0"/>
    <n v="0"/>
    <n v="62.5"/>
    <x v="21"/>
    <n v="62.5"/>
    <x v="2"/>
  </r>
  <r>
    <x v="16"/>
    <s v="Stefan Zaugg"/>
    <x v="0"/>
    <x v="295"/>
    <x v="295"/>
    <n v="1"/>
    <s v="ADET"/>
    <n v="0"/>
    <n v="1"/>
    <n v="11"/>
    <n v="16"/>
    <n v="0"/>
    <n v="212968.32000000001"/>
    <n v="13310.52"/>
    <x v="67"/>
    <n v="13310.52"/>
    <x v="6"/>
  </r>
  <r>
    <x v="13"/>
    <s v="Matteo Giolo"/>
    <x v="0"/>
    <x v="303"/>
    <x v="303"/>
    <n v="4"/>
    <s v="ADET"/>
    <n v="0"/>
    <n v="46"/>
    <n v="26"/>
    <n v="-24"/>
    <n v="0"/>
    <n v="0"/>
    <n v="199.45"/>
    <x v="34"/>
    <n v="797.8"/>
    <x v="2"/>
  </r>
  <r>
    <x v="11"/>
    <s v="Jan Urbanek"/>
    <x v="0"/>
    <x v="295"/>
    <x v="295"/>
    <n v="1"/>
    <s v="ADET"/>
    <n v="0"/>
    <n v="1"/>
    <n v="11"/>
    <n v="16"/>
    <n v="0"/>
    <n v="212968.32000000001"/>
    <n v="13310.52"/>
    <x v="67"/>
    <n v="13310.52"/>
    <x v="6"/>
  </r>
  <r>
    <x v="11"/>
    <s v="Jan Urbanek"/>
    <x v="0"/>
    <x v="302"/>
    <x v="302"/>
    <n v="7.0000000000000007E-2"/>
    <s v="KG"/>
    <n v="0"/>
    <n v="2.5"/>
    <n v="-4.9960036108132044E-16"/>
    <n v="-0.61999999999999922"/>
    <n v="0"/>
    <n v="0"/>
    <n v="2400"/>
    <x v="20"/>
    <n v="168.00000000000003"/>
    <x v="2"/>
  </r>
  <r>
    <x v="9"/>
    <s v="Jan Urbanek"/>
    <x v="0"/>
    <x v="304"/>
    <x v="304"/>
    <n v="12"/>
    <s v="ADET"/>
    <n v="0"/>
    <n v="200"/>
    <n v="343"/>
    <n v="-8"/>
    <n v="0"/>
    <n v="0"/>
    <n v="9"/>
    <x v="14"/>
    <n v="108"/>
    <x v="2"/>
  </r>
  <r>
    <x v="19"/>
    <s v="Volkan Batkan"/>
    <x v="0"/>
    <x v="302"/>
    <x v="302"/>
    <n v="7.0000000000000007E-2"/>
    <s v="KG"/>
    <n v="0"/>
    <n v="2.5"/>
    <n v="-4.9960036108132044E-16"/>
    <n v="-0.61999999999999922"/>
    <n v="0"/>
    <n v="0"/>
    <n v="2400"/>
    <x v="20"/>
    <n v="168.00000000000003"/>
    <x v="2"/>
  </r>
  <r>
    <x v="17"/>
    <s v="Murat Taşdemir"/>
    <x v="0"/>
    <x v="302"/>
    <x v="302"/>
    <n v="0.09"/>
    <s v="KG"/>
    <n v="0"/>
    <n v="2.5"/>
    <n v="-4.9960036108132044E-16"/>
    <n v="-0.61999999999999922"/>
    <n v="0"/>
    <n v="0"/>
    <n v="2400"/>
    <x v="20"/>
    <n v="216"/>
    <x v="2"/>
  </r>
  <r>
    <x v="17"/>
    <s v="Murat Taşdemir"/>
    <x v="0"/>
    <x v="367"/>
    <x v="367"/>
    <n v="1"/>
    <s v="ADET"/>
    <n v="1"/>
    <n v="10"/>
    <n v="5"/>
    <n v="-6"/>
    <n v="0"/>
    <n v="0"/>
    <n v="1723.79"/>
    <x v="74"/>
    <n v="1723.79"/>
    <x v="4"/>
  </r>
  <r>
    <x v="14"/>
    <s v="Stefan Zaugg"/>
    <x v="0"/>
    <x v="383"/>
    <x v="383"/>
    <n v="1"/>
    <s v="ADET"/>
    <n v="1"/>
    <n v="2"/>
    <n v="2"/>
    <n v="-2"/>
    <n v="0"/>
    <n v="0"/>
    <n v="400"/>
    <x v="91"/>
    <n v="400"/>
    <x v="4"/>
  </r>
  <r>
    <x v="16"/>
    <s v="Stefan Zaugg"/>
    <x v="0"/>
    <x v="304"/>
    <x v="304"/>
    <n v="12"/>
    <s v="ADET"/>
    <n v="0"/>
    <n v="200"/>
    <n v="343"/>
    <n v="-8"/>
    <n v="0"/>
    <n v="0"/>
    <n v="9"/>
    <x v="14"/>
    <n v="108"/>
    <x v="2"/>
  </r>
  <r>
    <x v="17"/>
    <s v="Murat Taşdemir"/>
    <x v="0"/>
    <x v="384"/>
    <x v="384"/>
    <n v="2"/>
    <s v="ADET"/>
    <n v="0"/>
    <n v="6"/>
    <n v="1.7763568394002505E-15"/>
    <n v="7.25"/>
    <n v="0"/>
    <n v="145"/>
    <n v="20"/>
    <x v="2"/>
    <n v="40"/>
    <x v="2"/>
  </r>
  <r>
    <x v="16"/>
    <s v="Stefan Zaugg"/>
    <x v="0"/>
    <x v="385"/>
    <x v="385"/>
    <n v="1"/>
    <s v="ADET"/>
    <n v="1"/>
    <n v="4"/>
    <n v="11"/>
    <n v="9"/>
    <n v="0"/>
    <n v="54009.99"/>
    <n v="6001.11"/>
    <x v="13"/>
    <n v="6001.11"/>
    <x v="7"/>
  </r>
  <r>
    <x v="10"/>
    <s v="Jan Urbanek"/>
    <x v="0"/>
    <x v="302"/>
    <x v="302"/>
    <n v="7.0000000000000007E-2"/>
    <s v="KG"/>
    <n v="0"/>
    <n v="2.5"/>
    <n v="-4.9960036108132044E-16"/>
    <n v="-0.61999999999999922"/>
    <n v="0"/>
    <n v="0"/>
    <n v="2400"/>
    <x v="20"/>
    <n v="168.00000000000003"/>
    <x v="2"/>
  </r>
  <r>
    <x v="11"/>
    <s v="Jan Urbanek"/>
    <x v="0"/>
    <x v="304"/>
    <x v="304"/>
    <n v="12"/>
    <s v="ADET"/>
    <n v="0"/>
    <n v="200"/>
    <n v="343"/>
    <n v="-8"/>
    <n v="0"/>
    <n v="0"/>
    <n v="9"/>
    <x v="14"/>
    <n v="108"/>
    <x v="2"/>
  </r>
  <r>
    <x v="15"/>
    <s v="Jan Urbanek"/>
    <x v="0"/>
    <x v="304"/>
    <x v="304"/>
    <n v="12"/>
    <s v="ADET"/>
    <n v="0"/>
    <n v="200"/>
    <n v="343"/>
    <n v="-8"/>
    <n v="0"/>
    <n v="0"/>
    <n v="9"/>
    <x v="14"/>
    <n v="108"/>
    <x v="2"/>
  </r>
  <r>
    <x v="14"/>
    <s v="Stefan Zaugg"/>
    <x v="0"/>
    <x v="304"/>
    <x v="304"/>
    <n v="4"/>
    <s v="ADET"/>
    <n v="0"/>
    <n v="200"/>
    <n v="343"/>
    <n v="-8"/>
    <n v="0"/>
    <n v="0"/>
    <n v="9"/>
    <x v="14"/>
    <n v="36"/>
    <x v="2"/>
  </r>
  <r>
    <x v="19"/>
    <s v="Volkan Batkan"/>
    <x v="0"/>
    <x v="384"/>
    <x v="384"/>
    <n v="1"/>
    <s v="ADET"/>
    <n v="0"/>
    <n v="6"/>
    <n v="1.7763568394002505E-15"/>
    <n v="7.25"/>
    <n v="0"/>
    <n v="145"/>
    <n v="20"/>
    <x v="2"/>
    <n v="20"/>
    <x v="2"/>
  </r>
  <r>
    <x v="16"/>
    <s v="Stefan Zaugg"/>
    <x v="0"/>
    <x v="384"/>
    <x v="384"/>
    <n v="1"/>
    <s v="ADET"/>
    <n v="0"/>
    <n v="6"/>
    <n v="1.7763568394002505E-15"/>
    <n v="7.25"/>
    <n v="0"/>
    <n v="145"/>
    <n v="20"/>
    <x v="2"/>
    <n v="20"/>
    <x v="2"/>
  </r>
  <r>
    <x v="14"/>
    <s v="Stefan Zaugg"/>
    <x v="0"/>
    <x v="384"/>
    <x v="384"/>
    <n v="1"/>
    <s v="ADET"/>
    <n v="0"/>
    <n v="6"/>
    <n v="1.7763568394002505E-15"/>
    <n v="7.25"/>
    <n v="0"/>
    <n v="145"/>
    <n v="20"/>
    <x v="2"/>
    <n v="20"/>
    <x v="2"/>
  </r>
  <r>
    <x v="15"/>
    <s v="Jan Urbanek"/>
    <x v="0"/>
    <x v="385"/>
    <x v="385"/>
    <n v="1"/>
    <s v="ADET"/>
    <n v="0"/>
    <n v="4"/>
    <n v="11"/>
    <n v="9"/>
    <n v="0"/>
    <n v="54009.99"/>
    <n v="6001.11"/>
    <x v="13"/>
    <n v="6001.11"/>
    <x v="7"/>
  </r>
  <r>
    <x v="5"/>
    <s v="Matteo Giolo"/>
    <x v="0"/>
    <x v="367"/>
    <x v="367"/>
    <n v="1"/>
    <s v="ADET"/>
    <n v="0"/>
    <n v="10"/>
    <n v="5"/>
    <n v="-6"/>
    <n v="0"/>
    <n v="0"/>
    <n v="1723.79"/>
    <x v="74"/>
    <n v="1723.79"/>
    <x v="4"/>
  </r>
  <r>
    <x v="3"/>
    <s v="Stina Alm"/>
    <x v="0"/>
    <x v="304"/>
    <x v="304"/>
    <n v="16"/>
    <s v="ADET"/>
    <n v="0"/>
    <n v="200"/>
    <n v="343"/>
    <n v="-8"/>
    <n v="0"/>
    <n v="0"/>
    <n v="9"/>
    <x v="14"/>
    <n v="144"/>
    <x v="2"/>
  </r>
  <r>
    <x v="4"/>
    <s v="Stefan Zaugg"/>
    <x v="0"/>
    <x v="384"/>
    <x v="384"/>
    <n v="1"/>
    <s v="ADET"/>
    <n v="0"/>
    <n v="6"/>
    <n v="1.7763568394002505E-15"/>
    <n v="7.25"/>
    <n v="0"/>
    <n v="145"/>
    <n v="20"/>
    <x v="2"/>
    <n v="20"/>
    <x v="2"/>
  </r>
  <r>
    <x v="8"/>
    <s v="Jan Urbanek"/>
    <x v="0"/>
    <x v="302"/>
    <x v="302"/>
    <n v="7.0000000000000007E-2"/>
    <s v="KG"/>
    <n v="0"/>
    <n v="2.5"/>
    <n v="-4.9960036108132044E-16"/>
    <n v="-0.61999999999999922"/>
    <n v="0"/>
    <n v="0"/>
    <n v="2400"/>
    <x v="20"/>
    <n v="168.00000000000003"/>
    <x v="2"/>
  </r>
  <r>
    <x v="16"/>
    <s v="Stefan Zaugg"/>
    <x v="0"/>
    <x v="302"/>
    <x v="302"/>
    <n v="0.06"/>
    <s v="KG"/>
    <n v="0"/>
    <n v="2.5"/>
    <n v="-4.9960036108132044E-16"/>
    <n v="-0.61999999999999922"/>
    <n v="0"/>
    <n v="0"/>
    <n v="2400"/>
    <x v="20"/>
    <n v="144"/>
    <x v="2"/>
  </r>
  <r>
    <x v="14"/>
    <s v="Stefan Zaugg"/>
    <x v="0"/>
    <x v="302"/>
    <x v="302"/>
    <n v="0.06"/>
    <s v="KG"/>
    <n v="0"/>
    <n v="2.5"/>
    <n v="-4.9960036108132044E-16"/>
    <n v="-0.61999999999999922"/>
    <n v="0"/>
    <n v="0"/>
    <n v="2400"/>
    <x v="20"/>
    <n v="144"/>
    <x v="2"/>
  </r>
  <r>
    <x v="12"/>
    <s v="Matteo Giolo"/>
    <x v="0"/>
    <x v="152"/>
    <x v="152"/>
    <n v="6"/>
    <s v="ADET"/>
    <n v="0"/>
    <n v="0"/>
    <n v="0"/>
    <n v="54"/>
    <n v="0"/>
    <n v="67.5"/>
    <n v="1.25"/>
    <x v="20"/>
    <n v="7.5"/>
    <x v="7"/>
  </r>
  <r>
    <x v="12"/>
    <s v="Matteo Giolo"/>
    <x v="0"/>
    <x v="386"/>
    <x v="386"/>
    <n v="9"/>
    <s v="METRE"/>
    <n v="0"/>
    <n v="60"/>
    <n v="52"/>
    <n v="14.5"/>
    <n v="80"/>
    <n v="710.5"/>
    <n v="49"/>
    <x v="41"/>
    <n v="441"/>
    <x v="5"/>
  </r>
  <r>
    <x v="5"/>
    <s v="Matteo Giolo"/>
    <x v="0"/>
    <x v="151"/>
    <x v="151"/>
    <n v="0.2"/>
    <s v="METRE"/>
    <n v="0"/>
    <n v="50"/>
    <n v="2.8310687127941492E-15"/>
    <n v="-47.8"/>
    <n v="0"/>
    <n v="0"/>
    <n v="25.41"/>
    <x v="15"/>
    <n v="5.0820000000000007"/>
    <x v="7"/>
  </r>
  <r>
    <x v="4"/>
    <s v="Stefan Zaugg"/>
    <x v="0"/>
    <x v="151"/>
    <x v="151"/>
    <n v="0.1"/>
    <s v="METRE"/>
    <n v="0"/>
    <n v="50"/>
    <n v="2.8310687127941492E-15"/>
    <n v="-47.8"/>
    <n v="0"/>
    <n v="0"/>
    <n v="25.41"/>
    <x v="15"/>
    <n v="2.5410000000000004"/>
    <x v="7"/>
  </r>
  <r>
    <x v="3"/>
    <s v="Stina Alm"/>
    <x v="0"/>
    <x v="199"/>
    <x v="199"/>
    <n v="2"/>
    <s v="ADET"/>
    <n v="0"/>
    <n v="30"/>
    <n v="0"/>
    <n v="-10"/>
    <n v="0"/>
    <n v="0"/>
    <n v="60"/>
    <x v="2"/>
    <n v="120"/>
    <x v="2"/>
  </r>
  <r>
    <x v="9"/>
    <s v="Jan Urbanek"/>
    <x v="0"/>
    <x v="322"/>
    <x v="322"/>
    <n v="110"/>
    <s v="ADET"/>
    <n v="0"/>
    <n v="7500"/>
    <n v="0"/>
    <n v="-5570"/>
    <n v="0"/>
    <n v="0"/>
    <n v="0.8"/>
    <x v="15"/>
    <n v="88"/>
    <x v="2"/>
  </r>
  <r>
    <x v="8"/>
    <s v="Jan Urbanek"/>
    <x v="0"/>
    <x v="322"/>
    <x v="322"/>
    <n v="110"/>
    <s v="ADET"/>
    <n v="0"/>
    <n v="7500"/>
    <n v="0"/>
    <n v="-5570"/>
    <n v="0"/>
    <n v="0"/>
    <n v="0.8"/>
    <x v="15"/>
    <n v="88"/>
    <x v="2"/>
  </r>
  <r>
    <x v="9"/>
    <s v="Jan Urbanek"/>
    <x v="0"/>
    <x v="323"/>
    <x v="323"/>
    <n v="4.25"/>
    <s v="ADET"/>
    <n v="0"/>
    <n v="34"/>
    <n v="97.880000000000024"/>
    <n v="0.88000000000000256"/>
    <n v="0"/>
    <n v="48.400000000000141"/>
    <n v="55"/>
    <x v="14"/>
    <n v="233.75"/>
    <x v="2"/>
  </r>
  <r>
    <x v="13"/>
    <s v="Matteo Giolo"/>
    <x v="0"/>
    <x v="345"/>
    <x v="345"/>
    <n v="65"/>
    <s v="ADET"/>
    <n v="0"/>
    <n v="5000"/>
    <n v="0"/>
    <n v="-3820"/>
    <n v="0"/>
    <n v="0"/>
    <n v="0.6"/>
    <x v="14"/>
    <n v="39"/>
    <x v="2"/>
  </r>
  <r>
    <x v="3"/>
    <s v="Stina Alm"/>
    <x v="0"/>
    <x v="345"/>
    <x v="345"/>
    <n v="65"/>
    <s v="ADET"/>
    <n v="0"/>
    <n v="5000"/>
    <n v="0"/>
    <n v="-3820"/>
    <n v="0"/>
    <n v="0"/>
    <n v="0.6"/>
    <x v="14"/>
    <n v="39"/>
    <x v="2"/>
  </r>
  <r>
    <x v="12"/>
    <s v="Matteo Giolo"/>
    <x v="0"/>
    <x v="374"/>
    <x v="374"/>
    <n v="40"/>
    <s v="ADET"/>
    <n v="0"/>
    <n v="0"/>
    <n v="1330"/>
    <n v="860"/>
    <n v="0"/>
    <n v="344"/>
    <n v="0.4"/>
    <x v="8"/>
    <n v="16"/>
    <x v="2"/>
  </r>
  <r>
    <x v="12"/>
    <s v="Matteo Giolo"/>
    <x v="0"/>
    <x v="322"/>
    <x v="322"/>
    <n v="110"/>
    <s v="ADET"/>
    <n v="0"/>
    <n v="7500"/>
    <n v="0"/>
    <n v="-5570"/>
    <n v="0"/>
    <n v="0"/>
    <n v="0.8"/>
    <x v="15"/>
    <n v="88"/>
    <x v="2"/>
  </r>
  <r>
    <x v="12"/>
    <s v="Matteo Giolo"/>
    <x v="0"/>
    <x v="323"/>
    <x v="323"/>
    <n v="4.25"/>
    <s v="ADET"/>
    <n v="0"/>
    <n v="34"/>
    <n v="97.880000000000024"/>
    <n v="0.88000000000000256"/>
    <n v="0"/>
    <n v="48.400000000000141"/>
    <n v="55"/>
    <x v="14"/>
    <n v="233.75"/>
    <x v="2"/>
  </r>
  <r>
    <x v="12"/>
    <s v="Matteo Giolo"/>
    <x v="0"/>
    <x v="344"/>
    <x v="344"/>
    <n v="2"/>
    <s v="ADET"/>
    <n v="0"/>
    <n v="0"/>
    <n v="64"/>
    <n v="40"/>
    <n v="0"/>
    <n v="274.8"/>
    <n v="6.87"/>
    <x v="15"/>
    <n v="13.74"/>
    <x v="7"/>
  </r>
  <r>
    <x v="19"/>
    <s v="Volkan Batkan"/>
    <x v="0"/>
    <x v="344"/>
    <x v="344"/>
    <n v="2"/>
    <s v="ADET"/>
    <n v="0"/>
    <n v="0"/>
    <n v="64"/>
    <n v="40"/>
    <n v="0"/>
    <n v="274.8"/>
    <n v="6.87"/>
    <x v="15"/>
    <n v="13.74"/>
    <x v="7"/>
  </r>
  <r>
    <x v="19"/>
    <s v="Volkan Batkan"/>
    <x v="0"/>
    <x v="345"/>
    <x v="345"/>
    <n v="60"/>
    <s v="ADET"/>
    <n v="0"/>
    <n v="5000"/>
    <n v="0"/>
    <n v="-3820"/>
    <n v="0"/>
    <n v="0"/>
    <n v="0.6"/>
    <x v="14"/>
    <n v="36"/>
    <x v="2"/>
  </r>
  <r>
    <x v="17"/>
    <s v="Murat Taşdemir"/>
    <x v="0"/>
    <x v="374"/>
    <x v="374"/>
    <n v="50"/>
    <s v="ADET"/>
    <n v="0"/>
    <n v="0"/>
    <n v="1330"/>
    <n v="860"/>
    <n v="0"/>
    <n v="344"/>
    <n v="0.4"/>
    <x v="8"/>
    <n v="20"/>
    <x v="2"/>
  </r>
  <r>
    <x v="12"/>
    <s v="Matteo Giolo"/>
    <x v="0"/>
    <x v="345"/>
    <x v="345"/>
    <n v="60"/>
    <s v="ADET"/>
    <n v="0"/>
    <n v="5000"/>
    <n v="0"/>
    <n v="-3820"/>
    <n v="0"/>
    <n v="0"/>
    <n v="0.6"/>
    <x v="14"/>
    <n v="36"/>
    <x v="2"/>
  </r>
  <r>
    <x v="12"/>
    <s v="Matteo Giolo"/>
    <x v="0"/>
    <x v="375"/>
    <x v="375"/>
    <n v="1.5"/>
    <s v="KG"/>
    <n v="0"/>
    <n v="39"/>
    <n v="40.000000000000014"/>
    <n v="-18.5"/>
    <n v="0"/>
    <n v="0"/>
    <n v="212.93"/>
    <x v="56"/>
    <n v="319.39499999999998"/>
    <x v="8"/>
  </r>
  <r>
    <x v="11"/>
    <s v="Jan Urbanek"/>
    <x v="0"/>
    <x v="322"/>
    <x v="322"/>
    <n v="110"/>
    <s v="ADET"/>
    <n v="0"/>
    <n v="7500"/>
    <n v="0"/>
    <n v="-5570"/>
    <n v="0"/>
    <n v="0"/>
    <n v="0.8"/>
    <x v="15"/>
    <n v="88"/>
    <x v="2"/>
  </r>
  <r>
    <x v="11"/>
    <s v="Jan Urbanek"/>
    <x v="0"/>
    <x v="323"/>
    <x v="323"/>
    <n v="4.25"/>
    <s v="ADET"/>
    <n v="0"/>
    <n v="34"/>
    <n v="97.880000000000024"/>
    <n v="0.88000000000000256"/>
    <n v="0"/>
    <n v="48.400000000000141"/>
    <n v="55"/>
    <x v="14"/>
    <n v="233.75"/>
    <x v="2"/>
  </r>
  <r>
    <x v="11"/>
    <s v="Jan Urbanek"/>
    <x v="0"/>
    <x v="344"/>
    <x v="344"/>
    <n v="2"/>
    <s v="ADET"/>
    <n v="0"/>
    <n v="0"/>
    <n v="64"/>
    <n v="40"/>
    <n v="0"/>
    <n v="274.8"/>
    <n v="6.87"/>
    <x v="15"/>
    <n v="13.74"/>
    <x v="7"/>
  </r>
  <r>
    <x v="12"/>
    <s v="Matteo Giolo"/>
    <x v="0"/>
    <x v="387"/>
    <x v="387"/>
    <n v="1"/>
    <s v="ADET"/>
    <n v="0"/>
    <n v="3"/>
    <n v="13"/>
    <n v="12"/>
    <n v="0"/>
    <n v="43576.08"/>
    <n v="3631.34"/>
    <x v="84"/>
    <n v="3631.34"/>
    <x v="6"/>
  </r>
  <r>
    <x v="2"/>
    <s v="Laurent MONTAGNER"/>
    <x v="0"/>
    <x v="345"/>
    <x v="345"/>
    <n v="65"/>
    <s v="ADET"/>
    <n v="0"/>
    <n v="5000"/>
    <n v="0"/>
    <n v="-3820"/>
    <n v="0"/>
    <n v="0"/>
    <n v="0.6"/>
    <x v="14"/>
    <n v="39"/>
    <x v="2"/>
  </r>
  <r>
    <x v="5"/>
    <s v="Matteo Giolo"/>
    <x v="0"/>
    <x v="344"/>
    <x v="344"/>
    <n v="2"/>
    <s v="ADET"/>
    <n v="0"/>
    <n v="0"/>
    <n v="64"/>
    <n v="40"/>
    <n v="0"/>
    <n v="274.8"/>
    <n v="6.87"/>
    <x v="15"/>
    <n v="13.74"/>
    <x v="7"/>
  </r>
  <r>
    <x v="16"/>
    <s v="Stefan Zaugg"/>
    <x v="0"/>
    <x v="344"/>
    <x v="344"/>
    <n v="4"/>
    <s v="ADET"/>
    <n v="0"/>
    <n v="0"/>
    <n v="64"/>
    <n v="40"/>
    <n v="0"/>
    <n v="274.8"/>
    <n v="6.87"/>
    <x v="15"/>
    <n v="27.48"/>
    <x v="7"/>
  </r>
  <r>
    <x v="17"/>
    <s v="Murat Taşdemir"/>
    <x v="0"/>
    <x v="344"/>
    <x v="344"/>
    <n v="4"/>
    <s v="ADET"/>
    <n v="0"/>
    <n v="0"/>
    <n v="64"/>
    <n v="40"/>
    <n v="0"/>
    <n v="274.8"/>
    <n v="6.87"/>
    <x v="15"/>
    <n v="27.48"/>
    <x v="7"/>
  </r>
  <r>
    <x v="16"/>
    <s v="Stefan Zaugg"/>
    <x v="0"/>
    <x v="345"/>
    <x v="345"/>
    <n v="60"/>
    <s v="ADET"/>
    <n v="0"/>
    <n v="5000"/>
    <n v="0"/>
    <n v="-3820"/>
    <n v="0"/>
    <n v="0"/>
    <n v="0.6"/>
    <x v="14"/>
    <n v="36"/>
    <x v="2"/>
  </r>
  <r>
    <x v="17"/>
    <s v="Murat Taşdemir"/>
    <x v="0"/>
    <x v="345"/>
    <x v="345"/>
    <n v="65"/>
    <s v="ADET"/>
    <n v="0"/>
    <n v="5000"/>
    <n v="0"/>
    <n v="-3820"/>
    <n v="0"/>
    <n v="0"/>
    <n v="0.6"/>
    <x v="14"/>
    <n v="39"/>
    <x v="2"/>
  </r>
  <r>
    <x v="19"/>
    <s v="Volkan Batkan"/>
    <x v="0"/>
    <x v="374"/>
    <x v="374"/>
    <n v="40"/>
    <s v="ADET"/>
    <n v="0"/>
    <n v="0"/>
    <n v="1330"/>
    <n v="860"/>
    <n v="0"/>
    <n v="344"/>
    <n v="0.4"/>
    <x v="8"/>
    <n v="16"/>
    <x v="2"/>
  </r>
  <r>
    <x v="16"/>
    <s v="Stefan Zaugg"/>
    <x v="0"/>
    <x v="374"/>
    <x v="374"/>
    <n v="50"/>
    <s v="ADET"/>
    <n v="0"/>
    <n v="0"/>
    <n v="1330"/>
    <n v="860"/>
    <n v="0"/>
    <n v="344"/>
    <n v="0.4"/>
    <x v="8"/>
    <n v="20"/>
    <x v="2"/>
  </r>
  <r>
    <x v="13"/>
    <s v="Matteo Giolo"/>
    <x v="0"/>
    <x v="374"/>
    <x v="374"/>
    <n v="50"/>
    <s v="ADET"/>
    <n v="0"/>
    <n v="0"/>
    <n v="1330"/>
    <n v="860"/>
    <n v="0"/>
    <n v="344"/>
    <n v="0.4"/>
    <x v="8"/>
    <n v="20"/>
    <x v="2"/>
  </r>
  <r>
    <x v="14"/>
    <s v="Stefan Zaugg"/>
    <x v="0"/>
    <x v="374"/>
    <x v="374"/>
    <n v="50"/>
    <s v="ADET"/>
    <n v="0"/>
    <n v="0"/>
    <n v="1330"/>
    <n v="860"/>
    <n v="0"/>
    <n v="344"/>
    <n v="0.4"/>
    <x v="8"/>
    <n v="20"/>
    <x v="2"/>
  </r>
  <r>
    <x v="14"/>
    <s v="Stefan Zaugg"/>
    <x v="0"/>
    <x v="388"/>
    <x v="388"/>
    <n v="1"/>
    <s v="ADET"/>
    <n v="1"/>
    <n v="4"/>
    <n v="9"/>
    <n v="1"/>
    <n v="6"/>
    <n v="1600"/>
    <n v="1600"/>
    <x v="14"/>
    <n v="1600"/>
    <x v="4"/>
  </r>
  <r>
    <x v="15"/>
    <s v="Jan Urbanek"/>
    <x v="0"/>
    <x v="388"/>
    <x v="388"/>
    <n v="1"/>
    <s v="ADET"/>
    <n v="0"/>
    <n v="4"/>
    <n v="9"/>
    <n v="1"/>
    <n v="6"/>
    <n v="1600"/>
    <n v="1600"/>
    <x v="14"/>
    <n v="1600"/>
    <x v="4"/>
  </r>
  <r>
    <x v="9"/>
    <s v="Jan Urbanek"/>
    <x v="0"/>
    <x v="300"/>
    <x v="300"/>
    <n v="1"/>
    <s v="ADET"/>
    <n v="0"/>
    <n v="39"/>
    <n v="2"/>
    <n v="-19"/>
    <n v="0"/>
    <n v="0"/>
    <n v="65"/>
    <x v="10"/>
    <n v="65"/>
    <x v="4"/>
  </r>
  <r>
    <x v="15"/>
    <s v="Jan Urbanek"/>
    <x v="0"/>
    <x v="301"/>
    <x v="301"/>
    <n v="1"/>
    <s v="ADET"/>
    <n v="0"/>
    <n v="5"/>
    <n v="4"/>
    <n v="2"/>
    <n v="0"/>
    <n v="3359.06"/>
    <n v="1679.53"/>
    <x v="74"/>
    <n v="1679.53"/>
    <x v="4"/>
  </r>
  <r>
    <x v="15"/>
    <s v="Jan Urbanek"/>
    <x v="0"/>
    <x v="389"/>
    <x v="389"/>
    <n v="1"/>
    <s v="ADET"/>
    <n v="0"/>
    <n v="4"/>
    <n v="10"/>
    <n v="-3"/>
    <n v="10"/>
    <n v="0"/>
    <n v="583.77"/>
    <x v="92"/>
    <n v="583.77"/>
    <x v="2"/>
  </r>
  <r>
    <x v="19"/>
    <s v="Volkan Batkan"/>
    <x v="0"/>
    <x v="390"/>
    <x v="390"/>
    <n v="2"/>
    <s v="ADET"/>
    <n v="0"/>
    <n v="216"/>
    <n v="118"/>
    <n v="-190"/>
    <n v="0"/>
    <n v="0"/>
    <n v="3.95"/>
    <x v="20"/>
    <n v="7.9"/>
    <x v="7"/>
  </r>
  <r>
    <x v="16"/>
    <s v="Stefan Zaugg"/>
    <x v="0"/>
    <x v="390"/>
    <x v="390"/>
    <n v="2"/>
    <s v="ADET"/>
    <n v="0"/>
    <n v="216"/>
    <n v="118"/>
    <n v="-190"/>
    <n v="0"/>
    <n v="0"/>
    <n v="3.95"/>
    <x v="20"/>
    <n v="7.9"/>
    <x v="7"/>
  </r>
  <r>
    <x v="14"/>
    <s v="Stefan Zaugg"/>
    <x v="0"/>
    <x v="390"/>
    <x v="390"/>
    <n v="2"/>
    <s v="ADET"/>
    <n v="0"/>
    <n v="216"/>
    <n v="118"/>
    <n v="-190"/>
    <n v="0"/>
    <n v="0"/>
    <n v="3.95"/>
    <x v="20"/>
    <n v="7.9"/>
    <x v="7"/>
  </r>
  <r>
    <x v="15"/>
    <s v="Jan Urbanek"/>
    <x v="0"/>
    <x v="391"/>
    <x v="391"/>
    <n v="1"/>
    <s v="ADET"/>
    <n v="0"/>
    <n v="42"/>
    <n v="10"/>
    <n v="-30"/>
    <n v="0"/>
    <n v="0"/>
    <n v="142.5"/>
    <x v="15"/>
    <n v="142.5"/>
    <x v="7"/>
  </r>
  <r>
    <x v="13"/>
    <s v="Matteo Giolo"/>
    <x v="0"/>
    <x v="391"/>
    <x v="391"/>
    <n v="1"/>
    <s v="ADET"/>
    <n v="0"/>
    <n v="42"/>
    <n v="10"/>
    <n v="-30"/>
    <n v="0"/>
    <n v="0"/>
    <n v="142.5"/>
    <x v="15"/>
    <n v="142.5"/>
    <x v="7"/>
  </r>
  <r>
    <x v="19"/>
    <s v="Volkan Batkan"/>
    <x v="0"/>
    <x v="301"/>
    <x v="301"/>
    <n v="1"/>
    <s v="ADET"/>
    <n v="1"/>
    <n v="5"/>
    <n v="4"/>
    <n v="2"/>
    <n v="0"/>
    <n v="3359.06"/>
    <n v="1679.53"/>
    <x v="74"/>
    <n v="1679.53"/>
    <x v="4"/>
  </r>
  <r>
    <x v="19"/>
    <s v="Volkan Batkan"/>
    <x v="0"/>
    <x v="389"/>
    <x v="389"/>
    <n v="1"/>
    <s v="ADET"/>
    <n v="1"/>
    <n v="4"/>
    <n v="10"/>
    <n v="-3"/>
    <n v="10"/>
    <n v="0"/>
    <n v="583.77"/>
    <x v="92"/>
    <n v="583.77"/>
    <x v="2"/>
  </r>
  <r>
    <x v="15"/>
    <s v="Jan Urbanek"/>
    <x v="0"/>
    <x v="390"/>
    <x v="390"/>
    <n v="2"/>
    <s v="ADET"/>
    <n v="0"/>
    <n v="216"/>
    <n v="118"/>
    <n v="-190"/>
    <n v="0"/>
    <n v="0"/>
    <n v="3.95"/>
    <x v="20"/>
    <n v="7.9"/>
    <x v="7"/>
  </r>
  <r>
    <x v="12"/>
    <s v="Matteo Giolo"/>
    <x v="0"/>
    <x v="301"/>
    <x v="301"/>
    <n v="1"/>
    <s v="ADET"/>
    <n v="0"/>
    <n v="5"/>
    <n v="4"/>
    <n v="2"/>
    <n v="0"/>
    <n v="3359.06"/>
    <n v="1679.53"/>
    <x v="74"/>
    <n v="1679.53"/>
    <x v="4"/>
  </r>
  <r>
    <x v="12"/>
    <s v="Matteo Giolo"/>
    <x v="0"/>
    <x v="388"/>
    <x v="388"/>
    <n v="1"/>
    <s v="ADET"/>
    <n v="0"/>
    <n v="4"/>
    <n v="9"/>
    <n v="1"/>
    <n v="6"/>
    <n v="1600"/>
    <n v="1600"/>
    <x v="14"/>
    <n v="1600"/>
    <x v="4"/>
  </r>
  <r>
    <x v="3"/>
    <s v="Stina Alm"/>
    <x v="0"/>
    <x v="159"/>
    <x v="159"/>
    <n v="1"/>
    <s v="ADET"/>
    <n v="0"/>
    <n v="0"/>
    <n v="8"/>
    <n v="12"/>
    <n v="0"/>
    <n v="55600.08"/>
    <n v="4633.34"/>
    <x v="11"/>
    <n v="4633.34"/>
    <x v="6"/>
  </r>
  <r>
    <x v="12"/>
    <s v="Matteo Giolo"/>
    <x v="0"/>
    <x v="190"/>
    <x v="190"/>
    <n v="28"/>
    <s v="ADET"/>
    <n v="0"/>
    <n v="800"/>
    <n v="0"/>
    <n v="-414"/>
    <n v="0"/>
    <n v="0"/>
    <n v="13.75"/>
    <x v="21"/>
    <n v="385"/>
    <x v="2"/>
  </r>
  <r>
    <x v="7"/>
    <s v="Laurent MONTAGNER"/>
    <x v="0"/>
    <x v="190"/>
    <x v="190"/>
    <n v="37"/>
    <s v="ADET"/>
    <n v="0"/>
    <n v="800"/>
    <n v="0"/>
    <n v="-414"/>
    <n v="0"/>
    <n v="0"/>
    <n v="13.75"/>
    <x v="21"/>
    <n v="508.75"/>
    <x v="2"/>
  </r>
  <r>
    <x v="12"/>
    <s v="Matteo Giolo"/>
    <x v="0"/>
    <x v="211"/>
    <x v="211"/>
    <n v="1"/>
    <s v="ADET"/>
    <n v="0"/>
    <n v="14"/>
    <n v="9.9999999999999929"/>
    <n v="2.5700000000000003"/>
    <n v="0"/>
    <n v="552.55000000000007"/>
    <n v="215"/>
    <x v="14"/>
    <n v="215"/>
    <x v="2"/>
  </r>
  <r>
    <x v="5"/>
    <s v="Matteo Giolo"/>
    <x v="0"/>
    <x v="211"/>
    <x v="211"/>
    <n v="0.73"/>
    <s v="ADET"/>
    <n v="0"/>
    <n v="14"/>
    <n v="9.9999999999999929"/>
    <n v="2.5700000000000003"/>
    <n v="0"/>
    <n v="552.55000000000007"/>
    <n v="215"/>
    <x v="14"/>
    <n v="156.94999999999999"/>
    <x v="2"/>
  </r>
  <r>
    <x v="7"/>
    <s v="Laurent MONTAGNER"/>
    <x v="0"/>
    <x v="211"/>
    <x v="211"/>
    <n v="0.8"/>
    <s v="ADET"/>
    <n v="0"/>
    <n v="14"/>
    <n v="9.9999999999999929"/>
    <n v="2.5700000000000003"/>
    <n v="0"/>
    <n v="552.55000000000007"/>
    <n v="215"/>
    <x v="14"/>
    <n v="172"/>
    <x v="2"/>
  </r>
  <r>
    <x v="12"/>
    <s v="Matteo Giolo"/>
    <x v="0"/>
    <x v="212"/>
    <x v="212"/>
    <n v="3.2"/>
    <s v="ADET"/>
    <n v="0"/>
    <n v="272"/>
    <n v="4.2999999999999652"/>
    <n v="-233.2"/>
    <n v="0"/>
    <n v="0"/>
    <n v="30"/>
    <x v="14"/>
    <n v="96"/>
    <x v="2"/>
  </r>
  <r>
    <x v="7"/>
    <s v="Laurent MONTAGNER"/>
    <x v="0"/>
    <x v="212"/>
    <x v="212"/>
    <n v="1.5"/>
    <s v="ADET"/>
    <n v="0"/>
    <n v="272"/>
    <n v="4.2999999999999652"/>
    <n v="-233.2"/>
    <n v="0"/>
    <n v="0"/>
    <n v="30"/>
    <x v="14"/>
    <n v="45"/>
    <x v="2"/>
  </r>
  <r>
    <x v="7"/>
    <s v="Laurent MONTAGNER"/>
    <x v="0"/>
    <x v="368"/>
    <x v="368"/>
    <n v="1.61"/>
    <s v="ADET"/>
    <n v="0"/>
    <n v="235"/>
    <n v="-7.460698725481052E-14"/>
    <n v="-215.94"/>
    <n v="0"/>
    <n v="0"/>
    <n v="15"/>
    <x v="2"/>
    <n v="24.150000000000002"/>
    <x v="2"/>
  </r>
  <r>
    <x v="5"/>
    <s v="Matteo Giolo"/>
    <x v="0"/>
    <x v="158"/>
    <x v="158"/>
    <n v="9.6300000000000008"/>
    <s v="KG"/>
    <n v="0"/>
    <n v="0"/>
    <n v="297.61"/>
    <n v="97.560000000000016"/>
    <n v="0"/>
    <n v="13285.720800000003"/>
    <n v="136.18"/>
    <x v="54"/>
    <n v="1311.4134000000001"/>
    <x v="3"/>
  </r>
  <r>
    <x v="12"/>
    <s v="Matteo Giolo"/>
    <x v="0"/>
    <x v="159"/>
    <x v="159"/>
    <n v="1"/>
    <s v="ADET"/>
    <n v="0"/>
    <n v="0"/>
    <n v="8"/>
    <n v="12"/>
    <n v="0"/>
    <n v="55600.08"/>
    <n v="4633.34"/>
    <x v="11"/>
    <n v="4633.34"/>
    <x v="6"/>
  </r>
  <r>
    <x v="5"/>
    <s v="Matteo Giolo"/>
    <x v="0"/>
    <x v="345"/>
    <x v="345"/>
    <n v="65"/>
    <s v="ADET"/>
    <n v="0"/>
    <n v="5000"/>
    <n v="0"/>
    <n v="-3820"/>
    <n v="0"/>
    <n v="0"/>
    <n v="0.6"/>
    <x v="14"/>
    <n v="39"/>
    <x v="2"/>
  </r>
  <r>
    <x v="7"/>
    <s v="Laurent MONTAGNER"/>
    <x v="0"/>
    <x v="345"/>
    <x v="345"/>
    <n v="65"/>
    <s v="ADET"/>
    <n v="0"/>
    <n v="5000"/>
    <n v="0"/>
    <n v="-3820"/>
    <n v="0"/>
    <n v="0"/>
    <n v="0.6"/>
    <x v="14"/>
    <n v="39"/>
    <x v="2"/>
  </r>
  <r>
    <x v="4"/>
    <s v="Stefan Zaugg"/>
    <x v="0"/>
    <x v="345"/>
    <x v="345"/>
    <n v="60"/>
    <s v="ADET"/>
    <n v="0"/>
    <n v="5000"/>
    <n v="0"/>
    <n v="-3820"/>
    <n v="0"/>
    <n v="0"/>
    <n v="0.6"/>
    <x v="14"/>
    <n v="36"/>
    <x v="2"/>
  </r>
  <r>
    <x v="4"/>
    <s v="Stefan Zaugg"/>
    <x v="0"/>
    <x v="374"/>
    <x v="374"/>
    <n v="50"/>
    <s v="ADET"/>
    <n v="0"/>
    <n v="0"/>
    <n v="1330"/>
    <n v="860"/>
    <n v="0"/>
    <n v="344"/>
    <n v="0.4"/>
    <x v="8"/>
    <n v="20"/>
    <x v="2"/>
  </r>
  <r>
    <x v="5"/>
    <s v="Matteo Giolo"/>
    <x v="0"/>
    <x v="374"/>
    <x v="374"/>
    <n v="50"/>
    <s v="ADET"/>
    <n v="0"/>
    <n v="0"/>
    <n v="1330"/>
    <n v="860"/>
    <n v="0"/>
    <n v="344"/>
    <n v="0.4"/>
    <x v="8"/>
    <n v="20"/>
    <x v="2"/>
  </r>
  <r>
    <x v="3"/>
    <s v="Stina Alm"/>
    <x v="0"/>
    <x v="374"/>
    <x v="374"/>
    <n v="50"/>
    <s v="ADET"/>
    <n v="0"/>
    <n v="0"/>
    <n v="1330"/>
    <n v="860"/>
    <n v="0"/>
    <n v="344"/>
    <n v="0.4"/>
    <x v="8"/>
    <n v="20"/>
    <x v="2"/>
  </r>
  <r>
    <x v="5"/>
    <s v="Matteo Giolo"/>
    <x v="0"/>
    <x v="375"/>
    <x v="375"/>
    <n v="0.5"/>
    <s v="KG"/>
    <n v="0"/>
    <n v="39"/>
    <n v="40.000000000000014"/>
    <n v="-18.5"/>
    <n v="0"/>
    <n v="0"/>
    <n v="212.93"/>
    <x v="56"/>
    <n v="106.465"/>
    <x v="8"/>
  </r>
  <r>
    <x v="7"/>
    <s v="Laurent MONTAGNER"/>
    <x v="0"/>
    <x v="375"/>
    <x v="375"/>
    <n v="0.5"/>
    <s v="KG"/>
    <n v="0"/>
    <n v="39"/>
    <n v="40.000000000000014"/>
    <n v="-18.5"/>
    <n v="0"/>
    <n v="0"/>
    <n v="212.93"/>
    <x v="56"/>
    <n v="106.465"/>
    <x v="8"/>
  </r>
  <r>
    <x v="10"/>
    <s v="Jan Urbanek"/>
    <x v="0"/>
    <x v="322"/>
    <x v="322"/>
    <n v="110"/>
    <s v="ADET"/>
    <n v="0"/>
    <n v="7500"/>
    <n v="0"/>
    <n v="-5570"/>
    <n v="0"/>
    <n v="0"/>
    <n v="0.8"/>
    <x v="15"/>
    <n v="88"/>
    <x v="2"/>
  </r>
  <r>
    <x v="10"/>
    <s v="Jan Urbanek"/>
    <x v="0"/>
    <x v="323"/>
    <x v="323"/>
    <n v="4.25"/>
    <s v="ADET"/>
    <n v="0"/>
    <n v="34"/>
    <n v="97.880000000000024"/>
    <n v="0.88000000000000256"/>
    <n v="0"/>
    <n v="48.400000000000141"/>
    <n v="55"/>
    <x v="14"/>
    <n v="233.75"/>
    <x v="2"/>
  </r>
  <r>
    <x v="12"/>
    <s v="Matteo Giolo"/>
    <x v="0"/>
    <x v="392"/>
    <x v="392"/>
    <n v="5.9"/>
    <s v="KG"/>
    <n v="0"/>
    <n v="0"/>
    <n v="297.39999999999998"/>
    <n v="94.40000000000002"/>
    <n v="0"/>
    <n v="21972.544000000005"/>
    <n v="232.76"/>
    <x v="3"/>
    <n v="1373.2840000000001"/>
    <x v="3"/>
  </r>
  <r>
    <x v="7"/>
    <s v="Laurent MONTAGNER"/>
    <x v="0"/>
    <x v="392"/>
    <x v="392"/>
    <n v="5.9"/>
    <s v="KG"/>
    <n v="0"/>
    <n v="0"/>
    <n v="297.39999999999998"/>
    <n v="94.40000000000002"/>
    <n v="0"/>
    <n v="21972.544000000005"/>
    <n v="232.76"/>
    <x v="3"/>
    <n v="1373.2840000000001"/>
    <x v="3"/>
  </r>
  <r>
    <x v="5"/>
    <s v="Matteo Giolo"/>
    <x v="0"/>
    <x v="387"/>
    <x v="387"/>
    <n v="3"/>
    <s v="ADET"/>
    <n v="0"/>
    <n v="3"/>
    <n v="13"/>
    <n v="12"/>
    <n v="0"/>
    <n v="43576.08"/>
    <n v="3631.34"/>
    <x v="84"/>
    <n v="10894.02"/>
    <x v="6"/>
  </r>
  <r>
    <x v="14"/>
    <s v="Stefan Zaugg"/>
    <x v="0"/>
    <x v="176"/>
    <x v="176"/>
    <n v="0.2"/>
    <s v="METRE"/>
    <n v="0"/>
    <n v="200"/>
    <n v="5.6843418860808015E-14"/>
    <n v="-196.15"/>
    <n v="0"/>
    <n v="0"/>
    <n v="2.89"/>
    <x v="15"/>
    <n v="0.57800000000000007"/>
    <x v="7"/>
  </r>
  <r>
    <x v="15"/>
    <s v="Jan Urbanek"/>
    <x v="0"/>
    <x v="176"/>
    <x v="176"/>
    <n v="0.2"/>
    <s v="METRE"/>
    <n v="0"/>
    <n v="200"/>
    <n v="5.6843418860808015E-14"/>
    <n v="-196.15"/>
    <n v="0"/>
    <n v="0"/>
    <n v="2.89"/>
    <x v="15"/>
    <n v="0.57800000000000007"/>
    <x v="7"/>
  </r>
  <r>
    <x v="13"/>
    <s v="Matteo Giolo"/>
    <x v="0"/>
    <x v="176"/>
    <x v="176"/>
    <n v="0.2"/>
    <s v="METRE"/>
    <n v="0"/>
    <n v="200"/>
    <n v="5.6843418860808015E-14"/>
    <n v="-196.15"/>
    <n v="0"/>
    <n v="0"/>
    <n v="2.89"/>
    <x v="15"/>
    <n v="0.57800000000000007"/>
    <x v="7"/>
  </r>
  <r>
    <x v="19"/>
    <s v="Volkan Batkan"/>
    <x v="0"/>
    <x v="177"/>
    <x v="177"/>
    <n v="1"/>
    <s v="ADET"/>
    <n v="1"/>
    <n v="15"/>
    <n v="9"/>
    <n v="-3"/>
    <n v="0"/>
    <n v="0"/>
    <n v="224.46"/>
    <x v="15"/>
    <n v="224.46"/>
    <x v="7"/>
  </r>
  <r>
    <x v="16"/>
    <s v="Stefan Zaugg"/>
    <x v="0"/>
    <x v="177"/>
    <x v="177"/>
    <n v="1"/>
    <s v="ADET"/>
    <n v="1"/>
    <n v="15"/>
    <n v="9"/>
    <n v="-3"/>
    <n v="0"/>
    <n v="0"/>
    <n v="224.46"/>
    <x v="15"/>
    <n v="224.46"/>
    <x v="7"/>
  </r>
  <r>
    <x v="15"/>
    <s v="Jan Urbanek"/>
    <x v="0"/>
    <x v="177"/>
    <x v="177"/>
    <n v="1"/>
    <s v="ADET"/>
    <n v="0"/>
    <n v="15"/>
    <n v="9"/>
    <n v="-3"/>
    <n v="0"/>
    <n v="0"/>
    <n v="224.46"/>
    <x v="15"/>
    <n v="224.46"/>
    <x v="7"/>
  </r>
  <r>
    <x v="13"/>
    <s v="Matteo Giolo"/>
    <x v="0"/>
    <x v="177"/>
    <x v="177"/>
    <n v="1"/>
    <s v="ADET"/>
    <n v="0"/>
    <n v="15"/>
    <n v="9"/>
    <n v="-3"/>
    <n v="0"/>
    <n v="0"/>
    <n v="224.46"/>
    <x v="15"/>
    <n v="224.46"/>
    <x v="7"/>
  </r>
  <r>
    <x v="14"/>
    <s v="Stefan Zaugg"/>
    <x v="0"/>
    <x v="177"/>
    <x v="177"/>
    <n v="1"/>
    <s v="ADET"/>
    <n v="1"/>
    <n v="15"/>
    <n v="9"/>
    <n v="-3"/>
    <n v="0"/>
    <n v="0"/>
    <n v="224.46"/>
    <x v="15"/>
    <n v="224.46"/>
    <x v="7"/>
  </r>
  <r>
    <x v="5"/>
    <s v="Matteo Giolo"/>
    <x v="0"/>
    <x v="195"/>
    <x v="195"/>
    <n v="50"/>
    <s v="METRE"/>
    <n v="0"/>
    <n v="0"/>
    <n v="2254.0000000000009"/>
    <n v="300"/>
    <n v="0"/>
    <n v="3110.9999999999995"/>
    <n v="10.37"/>
    <x v="63"/>
    <n v="518.5"/>
    <x v="8"/>
  </r>
  <r>
    <x v="5"/>
    <s v="Matteo Giolo"/>
    <x v="0"/>
    <x v="172"/>
    <x v="172"/>
    <n v="9.6300000000000008"/>
    <s v="KG"/>
    <n v="0"/>
    <n v="0"/>
    <n v="260.61"/>
    <n v="97.559999999999988"/>
    <n v="0"/>
    <n v="13285.720799999999"/>
    <n v="136.18"/>
    <x v="54"/>
    <n v="1311.4134000000001"/>
    <x v="3"/>
  </r>
  <r>
    <x v="19"/>
    <s v="Volkan Batkan"/>
    <x v="0"/>
    <x v="173"/>
    <x v="173"/>
    <n v="0.5"/>
    <s v="METRE"/>
    <n v="0"/>
    <n v="0"/>
    <n v="36.5"/>
    <n v="9"/>
    <n v="0"/>
    <n v="250.29"/>
    <n v="27.81"/>
    <x v="58"/>
    <n v="13.904999999999999"/>
    <x v="5"/>
  </r>
  <r>
    <x v="19"/>
    <s v="Volkan Batkan"/>
    <x v="0"/>
    <x v="174"/>
    <x v="174"/>
    <n v="6"/>
    <s v="ADET"/>
    <n v="0"/>
    <n v="65"/>
    <n v="54"/>
    <n v="2"/>
    <n v="40"/>
    <n v="148"/>
    <n v="74"/>
    <x v="10"/>
    <n v="444"/>
    <x v="4"/>
  </r>
  <r>
    <x v="12"/>
    <s v="Matteo Giolo"/>
    <x v="0"/>
    <x v="170"/>
    <x v="170"/>
    <n v="3"/>
    <s v="ADET"/>
    <n v="0"/>
    <n v="65"/>
    <n v="31"/>
    <n v="-31"/>
    <n v="0"/>
    <n v="0"/>
    <n v="45.5"/>
    <x v="57"/>
    <n v="136.5"/>
    <x v="7"/>
  </r>
  <r>
    <x v="12"/>
    <s v="Matteo Giolo"/>
    <x v="0"/>
    <x v="172"/>
    <x v="172"/>
    <n v="7"/>
    <s v="KG"/>
    <n v="0"/>
    <n v="0"/>
    <n v="260.61"/>
    <n v="97.559999999999988"/>
    <n v="0"/>
    <n v="13285.720799999999"/>
    <n v="136.18"/>
    <x v="54"/>
    <n v="953.26"/>
    <x v="3"/>
  </r>
  <r>
    <x v="3"/>
    <s v="Stina Alm"/>
    <x v="0"/>
    <x v="172"/>
    <x v="172"/>
    <n v="8.89"/>
    <s v="KG"/>
    <n v="0"/>
    <n v="0"/>
    <n v="260.61"/>
    <n v="97.559999999999988"/>
    <n v="0"/>
    <n v="13285.720799999999"/>
    <n v="136.18"/>
    <x v="54"/>
    <n v="1210.6402"/>
    <x v="3"/>
  </r>
  <r>
    <x v="4"/>
    <s v="Stefan Zaugg"/>
    <x v="0"/>
    <x v="173"/>
    <x v="173"/>
    <n v="0.5"/>
    <s v="METRE"/>
    <n v="0"/>
    <n v="0"/>
    <n v="36.5"/>
    <n v="9"/>
    <n v="0"/>
    <n v="250.29"/>
    <n v="27.81"/>
    <x v="58"/>
    <n v="13.904999999999999"/>
    <x v="5"/>
  </r>
  <r>
    <x v="7"/>
    <s v="Laurent MONTAGNER"/>
    <x v="0"/>
    <x v="173"/>
    <x v="173"/>
    <n v="0.5"/>
    <s v="METRE"/>
    <n v="0"/>
    <n v="0"/>
    <n v="36.5"/>
    <n v="9"/>
    <n v="0"/>
    <n v="250.29"/>
    <n v="27.81"/>
    <x v="58"/>
    <n v="13.904999999999999"/>
    <x v="5"/>
  </r>
  <r>
    <x v="5"/>
    <s v="Matteo Giolo"/>
    <x v="0"/>
    <x v="173"/>
    <x v="173"/>
    <n v="0.5"/>
    <s v="METRE"/>
    <n v="0"/>
    <n v="0"/>
    <n v="36.5"/>
    <n v="9"/>
    <n v="0"/>
    <n v="250.29"/>
    <n v="27.81"/>
    <x v="58"/>
    <n v="13.904999999999999"/>
    <x v="5"/>
  </r>
  <r>
    <x v="4"/>
    <s v="Stefan Zaugg"/>
    <x v="0"/>
    <x v="176"/>
    <x v="176"/>
    <n v="0.2"/>
    <s v="METRE"/>
    <n v="0"/>
    <n v="200"/>
    <n v="5.6843418860808015E-14"/>
    <n v="-196.15"/>
    <n v="0"/>
    <n v="0"/>
    <n v="2.89"/>
    <x v="15"/>
    <n v="0.57800000000000007"/>
    <x v="7"/>
  </r>
  <r>
    <x v="3"/>
    <s v="Stina Alm"/>
    <x v="0"/>
    <x v="176"/>
    <x v="176"/>
    <n v="0.2"/>
    <s v="METRE"/>
    <n v="0"/>
    <n v="200"/>
    <n v="5.6843418860808015E-14"/>
    <n v="-196.15"/>
    <n v="0"/>
    <n v="0"/>
    <n v="2.89"/>
    <x v="15"/>
    <n v="0.57800000000000007"/>
    <x v="7"/>
  </r>
  <r>
    <x v="5"/>
    <s v="Matteo Giolo"/>
    <x v="0"/>
    <x v="177"/>
    <x v="177"/>
    <n v="1"/>
    <s v="ADET"/>
    <n v="0"/>
    <n v="15"/>
    <n v="9"/>
    <n v="-3"/>
    <n v="0"/>
    <n v="0"/>
    <n v="224.46"/>
    <x v="15"/>
    <n v="224.46"/>
    <x v="7"/>
  </r>
  <r>
    <x v="3"/>
    <s v="Stina Alm"/>
    <x v="0"/>
    <x v="393"/>
    <x v="393"/>
    <n v="2"/>
    <s v="ADET"/>
    <n v="0"/>
    <n v="452"/>
    <n v="25"/>
    <n v="-428"/>
    <n v="0"/>
    <n v="0"/>
    <n v="20"/>
    <x v="5"/>
    <n v="40"/>
    <x v="7"/>
  </r>
  <r>
    <x v="12"/>
    <s v="Matteo Giolo"/>
    <x v="0"/>
    <x v="173"/>
    <x v="173"/>
    <n v="0.5"/>
    <s v="METRE"/>
    <n v="0"/>
    <n v="0"/>
    <n v="36.5"/>
    <n v="9"/>
    <n v="0"/>
    <n v="250.29"/>
    <n v="27.81"/>
    <x v="58"/>
    <n v="13.904999999999999"/>
    <x v="5"/>
  </r>
  <r>
    <x v="12"/>
    <s v="Matteo Giolo"/>
    <x v="0"/>
    <x v="174"/>
    <x v="174"/>
    <n v="6"/>
    <s v="ADET"/>
    <n v="0"/>
    <n v="65"/>
    <n v="54"/>
    <n v="2"/>
    <n v="40"/>
    <n v="148"/>
    <n v="74"/>
    <x v="10"/>
    <n v="444"/>
    <x v="4"/>
  </r>
  <r>
    <x v="3"/>
    <s v="Stina Alm"/>
    <x v="0"/>
    <x v="174"/>
    <x v="174"/>
    <n v="5"/>
    <s v="ADET"/>
    <n v="0"/>
    <n v="65"/>
    <n v="54"/>
    <n v="2"/>
    <n v="40"/>
    <n v="148"/>
    <n v="74"/>
    <x v="10"/>
    <n v="370"/>
    <x v="4"/>
  </r>
  <r>
    <x v="3"/>
    <s v="Stina Alm"/>
    <x v="0"/>
    <x v="177"/>
    <x v="177"/>
    <n v="1"/>
    <s v="ADET"/>
    <n v="0"/>
    <n v="15"/>
    <n v="9"/>
    <n v="-3"/>
    <n v="0"/>
    <n v="0"/>
    <n v="224.46"/>
    <x v="15"/>
    <n v="224.46"/>
    <x v="7"/>
  </r>
  <r>
    <x v="7"/>
    <s v="Laurent MONTAGNER"/>
    <x v="0"/>
    <x v="174"/>
    <x v="174"/>
    <n v="6"/>
    <s v="ADET"/>
    <n v="0"/>
    <n v="65"/>
    <n v="54"/>
    <n v="2"/>
    <n v="40"/>
    <n v="148"/>
    <n v="74"/>
    <x v="10"/>
    <n v="444"/>
    <x v="4"/>
  </r>
  <r>
    <x v="7"/>
    <s v="Laurent MONTAGNER"/>
    <x v="0"/>
    <x v="176"/>
    <x v="176"/>
    <n v="0.2"/>
    <s v="METRE"/>
    <n v="0"/>
    <n v="200"/>
    <n v="5.6843418860808015E-14"/>
    <n v="-196.15"/>
    <n v="0"/>
    <n v="0"/>
    <n v="2.89"/>
    <x v="15"/>
    <n v="0.57800000000000007"/>
    <x v="7"/>
  </r>
  <r>
    <x v="12"/>
    <s v="Matteo Giolo"/>
    <x v="0"/>
    <x v="176"/>
    <x v="176"/>
    <n v="0.2"/>
    <s v="METRE"/>
    <n v="0"/>
    <n v="200"/>
    <n v="5.6843418860808015E-14"/>
    <n v="-196.15"/>
    <n v="0"/>
    <n v="0"/>
    <n v="2.89"/>
    <x v="15"/>
    <n v="0.57800000000000007"/>
    <x v="7"/>
  </r>
  <r>
    <x v="16"/>
    <s v="Stefan Zaugg"/>
    <x v="0"/>
    <x v="292"/>
    <x v="292"/>
    <n v="8"/>
    <s v="ADET"/>
    <n v="0"/>
    <n v="92"/>
    <n v="0"/>
    <n v="-68"/>
    <n v="0"/>
    <n v="0"/>
    <n v="33"/>
    <x v="2"/>
    <n v="264"/>
    <x v="2"/>
  </r>
  <r>
    <x v="14"/>
    <s v="Stefan Zaugg"/>
    <x v="0"/>
    <x v="292"/>
    <x v="292"/>
    <n v="8"/>
    <s v="ADET"/>
    <n v="0"/>
    <n v="92"/>
    <n v="0"/>
    <n v="-68"/>
    <n v="0"/>
    <n v="0"/>
    <n v="33"/>
    <x v="2"/>
    <n v="264"/>
    <x v="2"/>
  </r>
  <r>
    <x v="16"/>
    <s v="Stefan Zaugg"/>
    <x v="0"/>
    <x v="290"/>
    <x v="290"/>
    <n v="5"/>
    <s v="ADET"/>
    <n v="5"/>
    <n v="0"/>
    <n v="10.500000000000064"/>
    <n v="25"/>
    <n v="40"/>
    <n v="16666.75"/>
    <n v="666.67"/>
    <x v="63"/>
    <n v="3333.35"/>
    <x v="8"/>
  </r>
  <r>
    <x v="9"/>
    <s v="Jan Urbanek"/>
    <x v="0"/>
    <x v="290"/>
    <x v="290"/>
    <n v="6"/>
    <s v="ADET"/>
    <n v="0"/>
    <n v="0"/>
    <n v="10.500000000000064"/>
    <n v="25"/>
    <n v="40"/>
    <n v="16666.75"/>
    <n v="666.67"/>
    <x v="63"/>
    <n v="4000.0199999999995"/>
    <x v="8"/>
  </r>
  <r>
    <x v="17"/>
    <s v="Murat Taşdemir"/>
    <x v="0"/>
    <x v="289"/>
    <x v="289"/>
    <n v="1"/>
    <s v="ADET"/>
    <n v="0"/>
    <n v="24"/>
    <n v="30"/>
    <n v="-24"/>
    <n v="50"/>
    <n v="0"/>
    <n v="37"/>
    <x v="10"/>
    <n v="37"/>
    <x v="4"/>
  </r>
  <r>
    <x v="15"/>
    <s v="Jan Urbanek"/>
    <x v="0"/>
    <x v="290"/>
    <x v="290"/>
    <n v="6"/>
    <s v="ADET"/>
    <n v="0"/>
    <n v="0"/>
    <n v="10.500000000000064"/>
    <n v="25"/>
    <n v="40"/>
    <n v="16666.75"/>
    <n v="666.67"/>
    <x v="63"/>
    <n v="4000.0199999999995"/>
    <x v="8"/>
  </r>
  <r>
    <x v="13"/>
    <s v="Matteo Giolo"/>
    <x v="0"/>
    <x v="290"/>
    <x v="290"/>
    <n v="0.5"/>
    <s v="ADET"/>
    <n v="0"/>
    <n v="0"/>
    <n v="10.500000000000064"/>
    <n v="25"/>
    <n v="40"/>
    <n v="16666.75"/>
    <n v="666.67"/>
    <x v="63"/>
    <n v="333.33499999999998"/>
    <x v="8"/>
  </r>
  <r>
    <x v="17"/>
    <s v="Murat Taşdemir"/>
    <x v="0"/>
    <x v="394"/>
    <x v="394"/>
    <n v="20"/>
    <s v="ADET"/>
    <n v="0"/>
    <n v="442"/>
    <n v="0"/>
    <n v="-64"/>
    <n v="0"/>
    <n v="0"/>
    <n v="9.35"/>
    <x v="8"/>
    <n v="187"/>
    <x v="2"/>
  </r>
  <r>
    <x v="19"/>
    <s v="Volkan Batkan"/>
    <x v="0"/>
    <x v="395"/>
    <x v="395"/>
    <n v="0.36"/>
    <s v="M2"/>
    <n v="0"/>
    <n v="0"/>
    <n v="30.76"/>
    <n v="4.4400000000000004"/>
    <n v="0"/>
    <n v="7762.0524000000005"/>
    <n v="1748.21"/>
    <x v="63"/>
    <n v="629.35559999999998"/>
    <x v="8"/>
  </r>
  <r>
    <x v="13"/>
    <s v="Matteo Giolo"/>
    <x v="0"/>
    <x v="395"/>
    <x v="395"/>
    <n v="0.6"/>
    <s v="M2"/>
    <n v="0"/>
    <n v="0"/>
    <n v="30.76"/>
    <n v="4.4400000000000004"/>
    <n v="0"/>
    <n v="7762.0524000000005"/>
    <n v="1748.21"/>
    <x v="63"/>
    <n v="1048.9259999999999"/>
    <x v="8"/>
  </r>
  <r>
    <x v="13"/>
    <s v="Matteo Giolo"/>
    <x v="0"/>
    <x v="396"/>
    <x v="396"/>
    <n v="1"/>
    <s v="ADET"/>
    <n v="0"/>
    <n v="2"/>
    <n v="7"/>
    <n v="10"/>
    <n v="0"/>
    <n v="121389.3"/>
    <n v="12138.93"/>
    <x v="24"/>
    <n v="12138.93"/>
    <x v="6"/>
  </r>
  <r>
    <x v="19"/>
    <s v="Volkan Batkan"/>
    <x v="0"/>
    <x v="397"/>
    <x v="397"/>
    <n v="16"/>
    <s v="KG"/>
    <n v="0"/>
    <n v="0"/>
    <n v="62.999999999999986"/>
    <n v="196"/>
    <n v="0"/>
    <n v="215186.44000000003"/>
    <n v="1097.8900000000001"/>
    <x v="81"/>
    <n v="17566.240000000002"/>
    <x v="3"/>
  </r>
  <r>
    <x v="13"/>
    <s v="Matteo Giolo"/>
    <x v="0"/>
    <x v="398"/>
    <x v="398"/>
    <n v="2"/>
    <s v="ADET"/>
    <n v="0"/>
    <n v="0"/>
    <n v="10"/>
    <n v="24"/>
    <n v="0"/>
    <n v="1358.4"/>
    <n v="56.6"/>
    <x v="74"/>
    <n v="113.2"/>
    <x v="6"/>
  </r>
  <r>
    <x v="15"/>
    <s v="Jan Urbanek"/>
    <x v="0"/>
    <x v="399"/>
    <x v="399"/>
    <n v="2"/>
    <s v="ADET"/>
    <n v="0"/>
    <n v="27"/>
    <n v="16"/>
    <n v="-3"/>
    <n v="0"/>
    <n v="0"/>
    <n v="66.23"/>
    <x v="13"/>
    <n v="132.46"/>
    <x v="7"/>
  </r>
  <r>
    <x v="3"/>
    <s v="Stina Alm"/>
    <x v="0"/>
    <x v="190"/>
    <x v="190"/>
    <n v="30"/>
    <s v="ADET"/>
    <n v="0"/>
    <n v="800"/>
    <n v="0"/>
    <n v="-414"/>
    <n v="0"/>
    <n v="0"/>
    <n v="13.75"/>
    <x v="21"/>
    <n v="412.5"/>
    <x v="2"/>
  </r>
  <r>
    <x v="3"/>
    <s v="Stina Alm"/>
    <x v="0"/>
    <x v="211"/>
    <x v="211"/>
    <n v="0.67"/>
    <s v="ADET"/>
    <n v="0"/>
    <n v="14"/>
    <n v="9.9999999999999929"/>
    <n v="2.5700000000000003"/>
    <n v="0"/>
    <n v="552.55000000000007"/>
    <n v="215"/>
    <x v="14"/>
    <n v="144.05000000000001"/>
    <x v="2"/>
  </r>
  <r>
    <x v="12"/>
    <s v="Matteo Giolo"/>
    <x v="0"/>
    <x v="400"/>
    <x v="400"/>
    <n v="1"/>
    <s v="ADET"/>
    <n v="0"/>
    <n v="27"/>
    <n v="4"/>
    <n v="-20"/>
    <n v="0"/>
    <n v="0"/>
    <n v="290.73"/>
    <x v="74"/>
    <n v="290.73"/>
    <x v="4"/>
  </r>
  <r>
    <x v="3"/>
    <s v="Stina Alm"/>
    <x v="0"/>
    <x v="401"/>
    <x v="401"/>
    <n v="1"/>
    <s v="ADET"/>
    <n v="0"/>
    <n v="8"/>
    <n v="5"/>
    <n v="-4"/>
    <n v="0"/>
    <n v="0"/>
    <n v="1723.79"/>
    <x v="74"/>
    <n v="1723.79"/>
    <x v="4"/>
  </r>
  <r>
    <x v="4"/>
    <s v="Stefan Zaugg"/>
    <x v="0"/>
    <x v="402"/>
    <x v="402"/>
    <n v="2"/>
    <s v="ADET"/>
    <n v="0"/>
    <n v="135"/>
    <n v="7"/>
    <n v="-119"/>
    <n v="0"/>
    <n v="0"/>
    <n v="39.6"/>
    <x v="20"/>
    <n v="79.2"/>
    <x v="7"/>
  </r>
  <r>
    <x v="5"/>
    <s v="Matteo Giolo"/>
    <x v="0"/>
    <x v="402"/>
    <x v="402"/>
    <n v="2"/>
    <s v="ADET"/>
    <n v="0"/>
    <n v="135"/>
    <n v="7"/>
    <n v="-119"/>
    <n v="0"/>
    <n v="0"/>
    <n v="39.6"/>
    <x v="20"/>
    <n v="79.2"/>
    <x v="7"/>
  </r>
  <r>
    <x v="7"/>
    <s v="Laurent MONTAGNER"/>
    <x v="0"/>
    <x v="402"/>
    <x v="402"/>
    <n v="1"/>
    <s v="ADET"/>
    <n v="0"/>
    <n v="135"/>
    <n v="7"/>
    <n v="-119"/>
    <n v="0"/>
    <n v="0"/>
    <n v="39.6"/>
    <x v="20"/>
    <n v="39.6"/>
    <x v="7"/>
  </r>
  <r>
    <x v="4"/>
    <s v="Stefan Zaugg"/>
    <x v="0"/>
    <x v="403"/>
    <x v="403"/>
    <n v="1"/>
    <s v="ADET"/>
    <n v="0"/>
    <n v="28"/>
    <n v="4"/>
    <n v="-21"/>
    <n v="0"/>
    <n v="0"/>
    <n v="290.73"/>
    <x v="74"/>
    <n v="290.73"/>
    <x v="4"/>
  </r>
  <r>
    <x v="5"/>
    <s v="Matteo Giolo"/>
    <x v="0"/>
    <x v="404"/>
    <x v="404"/>
    <n v="1"/>
    <s v="ADET"/>
    <n v="0"/>
    <n v="23"/>
    <n v="5"/>
    <n v="-12"/>
    <n v="0"/>
    <n v="0"/>
    <n v="871.93"/>
    <x v="93"/>
    <n v="871.93"/>
    <x v="6"/>
  </r>
  <r>
    <x v="3"/>
    <s v="Stina Alm"/>
    <x v="0"/>
    <x v="405"/>
    <x v="405"/>
    <n v="22.3"/>
    <s v="KG"/>
    <n v="0"/>
    <n v="60"/>
    <n v="219.95999999999984"/>
    <n v="143.41000000000003"/>
    <n v="0"/>
    <n v="23533.581000000002"/>
    <n v="164.1"/>
    <x v="3"/>
    <n v="3659.43"/>
    <x v="3"/>
  </r>
  <r>
    <x v="3"/>
    <s v="Stina Alm"/>
    <x v="0"/>
    <x v="406"/>
    <x v="406"/>
    <n v="2"/>
    <s v="ADET"/>
    <n v="0"/>
    <n v="12"/>
    <n v="18"/>
    <n v="-14"/>
    <n v="20"/>
    <n v="0"/>
    <n v="194"/>
    <x v="35"/>
    <n v="388"/>
    <x v="6"/>
  </r>
  <r>
    <x v="5"/>
    <s v="Matteo Giolo"/>
    <x v="0"/>
    <x v="406"/>
    <x v="406"/>
    <n v="2"/>
    <s v="ADET"/>
    <n v="0"/>
    <n v="12"/>
    <n v="18"/>
    <n v="-14"/>
    <n v="20"/>
    <n v="0"/>
    <n v="194"/>
    <x v="35"/>
    <n v="388"/>
    <x v="6"/>
  </r>
  <r>
    <x v="1"/>
    <s v="Stina Alm"/>
    <x v="0"/>
    <x v="190"/>
    <x v="190"/>
    <n v="30"/>
    <s v="ADET"/>
    <n v="0"/>
    <n v="800"/>
    <n v="0"/>
    <n v="-414"/>
    <n v="0"/>
    <n v="0"/>
    <n v="13.75"/>
    <x v="21"/>
    <n v="412.5"/>
    <x v="2"/>
  </r>
  <r>
    <x v="6"/>
    <s v="Laurent MONTAGNER"/>
    <x v="0"/>
    <x v="211"/>
    <x v="211"/>
    <n v="0.8"/>
    <s v="ADET"/>
    <n v="0"/>
    <n v="14"/>
    <n v="9.9999999999999929"/>
    <n v="2.5700000000000003"/>
    <n v="0"/>
    <n v="552.55000000000007"/>
    <n v="215"/>
    <x v="14"/>
    <n v="172"/>
    <x v="2"/>
  </r>
  <r>
    <x v="4"/>
    <s v="Stefan Zaugg"/>
    <x v="0"/>
    <x v="400"/>
    <x v="400"/>
    <n v="1"/>
    <s v="ADET"/>
    <n v="0"/>
    <n v="27"/>
    <n v="4"/>
    <n v="-20"/>
    <n v="0"/>
    <n v="0"/>
    <n v="290.73"/>
    <x v="74"/>
    <n v="290.73"/>
    <x v="4"/>
  </r>
  <r>
    <x v="5"/>
    <s v="Matteo Giolo"/>
    <x v="0"/>
    <x v="401"/>
    <x v="401"/>
    <n v="1"/>
    <s v="ADET"/>
    <n v="0"/>
    <n v="8"/>
    <n v="5"/>
    <n v="-4"/>
    <n v="0"/>
    <n v="0"/>
    <n v="1723.79"/>
    <x v="74"/>
    <n v="1723.79"/>
    <x v="4"/>
  </r>
  <r>
    <x v="7"/>
    <s v="Laurent MONTAGNER"/>
    <x v="0"/>
    <x v="313"/>
    <x v="313"/>
    <n v="21"/>
    <s v="ADET"/>
    <n v="0"/>
    <n v="150"/>
    <n v="0"/>
    <n v="194"/>
    <n v="0"/>
    <n v="5383.5"/>
    <n v="27.75"/>
    <x v="80"/>
    <n v="582.75"/>
    <x v="5"/>
  </r>
  <r>
    <x v="3"/>
    <s v="Stina Alm"/>
    <x v="0"/>
    <x v="313"/>
    <x v="313"/>
    <n v="21"/>
    <s v="ADET"/>
    <n v="0"/>
    <n v="150"/>
    <n v="0"/>
    <n v="194"/>
    <n v="0"/>
    <n v="5383.5"/>
    <n v="27.75"/>
    <x v="80"/>
    <n v="582.75"/>
    <x v="5"/>
  </r>
  <r>
    <x v="4"/>
    <s v="Stefan Zaugg"/>
    <x v="0"/>
    <x v="334"/>
    <x v="334"/>
    <n v="5"/>
    <s v="METRE"/>
    <n v="0"/>
    <n v="0"/>
    <n v="165"/>
    <n v="-289"/>
    <n v="400"/>
    <n v="0"/>
    <n v="5"/>
    <x v="45"/>
    <n v="25"/>
    <x v="2"/>
  </r>
  <r>
    <x v="5"/>
    <s v="Matteo Giolo"/>
    <x v="0"/>
    <x v="334"/>
    <x v="334"/>
    <n v="5"/>
    <s v="METRE"/>
    <n v="0"/>
    <n v="0"/>
    <n v="165"/>
    <n v="-289"/>
    <n v="400"/>
    <n v="0"/>
    <n v="5"/>
    <x v="45"/>
    <n v="25"/>
    <x v="2"/>
  </r>
  <r>
    <x v="15"/>
    <s v="Jan Urbanek"/>
    <x v="0"/>
    <x v="376"/>
    <x v="376"/>
    <n v="38"/>
    <s v="ADET"/>
    <n v="0"/>
    <n v="680"/>
    <n v="614"/>
    <n v="118"/>
    <n v="0"/>
    <n v="247.8"/>
    <n v="2.1"/>
    <x v="14"/>
    <n v="79.8"/>
    <x v="2"/>
  </r>
  <r>
    <x v="14"/>
    <s v="Stefan Zaugg"/>
    <x v="0"/>
    <x v="376"/>
    <x v="376"/>
    <n v="30"/>
    <s v="ADET"/>
    <n v="0"/>
    <n v="680"/>
    <n v="614"/>
    <n v="118"/>
    <n v="0"/>
    <n v="247.8"/>
    <n v="2.1"/>
    <x v="14"/>
    <n v="63"/>
    <x v="2"/>
  </r>
  <r>
    <x v="7"/>
    <s v="Laurent MONTAGNER"/>
    <x v="0"/>
    <x v="376"/>
    <x v="376"/>
    <n v="52"/>
    <s v="ADET"/>
    <n v="0"/>
    <n v="680"/>
    <n v="614"/>
    <n v="118"/>
    <n v="0"/>
    <n v="247.8"/>
    <n v="2.1"/>
    <x v="14"/>
    <n v="109.2"/>
    <x v="2"/>
  </r>
  <r>
    <x v="3"/>
    <s v="Stina Alm"/>
    <x v="0"/>
    <x v="407"/>
    <x v="407"/>
    <n v="1"/>
    <s v="ADET"/>
    <n v="0"/>
    <n v="5"/>
    <n v="8"/>
    <n v="5"/>
    <n v="0"/>
    <n v="30523.449999999997"/>
    <n v="6104.69"/>
    <x v="13"/>
    <n v="6104.69"/>
    <x v="7"/>
  </r>
  <r>
    <x v="9"/>
    <s v="Jan Urbanek"/>
    <x v="1"/>
    <x v="312"/>
    <x v="312"/>
    <n v="1"/>
    <s v="ADET"/>
    <n v="0"/>
    <n v="25"/>
    <n v="4"/>
    <n v="-20"/>
    <n v="0"/>
    <n v="0"/>
    <n v="2800"/>
    <x v="79"/>
    <n v="2800"/>
    <x v="6"/>
  </r>
  <r>
    <x v="10"/>
    <s v="Jan Urbanek"/>
    <x v="0"/>
    <x v="313"/>
    <x v="313"/>
    <n v="16"/>
    <s v="ADET"/>
    <n v="0"/>
    <n v="150"/>
    <n v="0"/>
    <n v="194"/>
    <n v="0"/>
    <n v="5383.5"/>
    <n v="27.75"/>
    <x v="80"/>
    <n v="444"/>
    <x v="5"/>
  </r>
  <r>
    <x v="9"/>
    <s v="Jan Urbanek"/>
    <x v="0"/>
    <x v="334"/>
    <x v="334"/>
    <n v="9"/>
    <s v="METRE"/>
    <n v="0"/>
    <n v="0"/>
    <n v="165"/>
    <n v="-289"/>
    <n v="400"/>
    <n v="0"/>
    <n v="5"/>
    <x v="45"/>
    <n v="45"/>
    <x v="2"/>
  </r>
  <r>
    <x v="8"/>
    <s v="Jan Urbanek"/>
    <x v="0"/>
    <x v="334"/>
    <x v="334"/>
    <n v="5"/>
    <s v="METRE"/>
    <n v="0"/>
    <n v="0"/>
    <n v="165"/>
    <n v="-289"/>
    <n v="400"/>
    <n v="0"/>
    <n v="5"/>
    <x v="45"/>
    <n v="25"/>
    <x v="2"/>
  </r>
  <r>
    <x v="4"/>
    <s v="Stefan Zaugg"/>
    <x v="0"/>
    <x v="408"/>
    <x v="408"/>
    <n v="4"/>
    <s v="ADET"/>
    <n v="0"/>
    <n v="46"/>
    <n v="12"/>
    <n v="-14"/>
    <n v="0"/>
    <n v="0"/>
    <n v="100"/>
    <x v="91"/>
    <n v="400"/>
    <x v="6"/>
  </r>
  <r>
    <x v="5"/>
    <s v="Matteo Giolo"/>
    <x v="0"/>
    <x v="409"/>
    <x v="409"/>
    <n v="4"/>
    <s v="ADET"/>
    <n v="0"/>
    <n v="250"/>
    <n v="302"/>
    <n v="-202"/>
    <n v="0"/>
    <n v="0"/>
    <n v="0.9"/>
    <x v="15"/>
    <n v="3.6"/>
    <x v="7"/>
  </r>
  <r>
    <x v="4"/>
    <s v="Stefan Zaugg"/>
    <x v="0"/>
    <x v="409"/>
    <x v="409"/>
    <n v="4"/>
    <s v="ADET"/>
    <n v="0"/>
    <n v="250"/>
    <n v="302"/>
    <n v="-202"/>
    <n v="0"/>
    <n v="0"/>
    <n v="0.9"/>
    <x v="15"/>
    <n v="3.6"/>
    <x v="7"/>
  </r>
  <r>
    <x v="6"/>
    <s v="Laurent MONTAGNER"/>
    <x v="0"/>
    <x v="376"/>
    <x v="376"/>
    <n v="52"/>
    <s v="ADET"/>
    <n v="0"/>
    <n v="680"/>
    <n v="614"/>
    <n v="118"/>
    <n v="0"/>
    <n v="247.8"/>
    <n v="2.1"/>
    <x v="14"/>
    <n v="109.2"/>
    <x v="2"/>
  </r>
  <r>
    <x v="0"/>
    <s v="Soner Kayıkçı"/>
    <x v="0"/>
    <x v="376"/>
    <x v="376"/>
    <n v="38"/>
    <s v="ADET"/>
    <n v="0"/>
    <n v="680"/>
    <n v="614"/>
    <n v="118"/>
    <n v="0"/>
    <n v="247.8"/>
    <n v="2.1"/>
    <x v="14"/>
    <n v="79.8"/>
    <x v="2"/>
  </r>
  <r>
    <x v="1"/>
    <s v="Stina Alm"/>
    <x v="0"/>
    <x v="376"/>
    <x v="376"/>
    <n v="52"/>
    <s v="ADET"/>
    <n v="0"/>
    <n v="680"/>
    <n v="614"/>
    <n v="118"/>
    <n v="0"/>
    <n v="247.8"/>
    <n v="2.1"/>
    <x v="14"/>
    <n v="109.2"/>
    <x v="2"/>
  </r>
  <r>
    <x v="1"/>
    <s v="Stina Alm"/>
    <x v="0"/>
    <x v="407"/>
    <x v="407"/>
    <n v="1"/>
    <s v="ADET"/>
    <n v="0"/>
    <n v="5"/>
    <n v="8"/>
    <n v="5"/>
    <n v="0"/>
    <n v="30523.449999999997"/>
    <n v="6104.69"/>
    <x v="13"/>
    <n v="6104.69"/>
    <x v="7"/>
  </r>
  <r>
    <x v="2"/>
    <s v="Laurent MONTAGNER"/>
    <x v="0"/>
    <x v="407"/>
    <x v="407"/>
    <n v="1"/>
    <s v="ADET"/>
    <n v="0"/>
    <n v="5"/>
    <n v="8"/>
    <n v="5"/>
    <n v="0"/>
    <n v="30523.449999999997"/>
    <n v="6104.69"/>
    <x v="13"/>
    <n v="6104.69"/>
    <x v="7"/>
  </r>
  <r>
    <x v="3"/>
    <s v="Stina Alm"/>
    <x v="0"/>
    <x v="376"/>
    <x v="376"/>
    <n v="52"/>
    <s v="ADET"/>
    <n v="0"/>
    <n v="680"/>
    <n v="614"/>
    <n v="118"/>
    <n v="0"/>
    <n v="247.8"/>
    <n v="2.1"/>
    <x v="14"/>
    <n v="109.2"/>
    <x v="2"/>
  </r>
  <r>
    <x v="12"/>
    <s v="Matteo Giolo"/>
    <x v="0"/>
    <x v="407"/>
    <x v="407"/>
    <n v="1"/>
    <s v="ADET"/>
    <n v="0"/>
    <n v="5"/>
    <n v="8"/>
    <n v="5"/>
    <n v="0"/>
    <n v="30523.449999999997"/>
    <n v="6104.69"/>
    <x v="13"/>
    <n v="6104.69"/>
    <x v="7"/>
  </r>
  <r>
    <x v="10"/>
    <s v="Jan Urbanek"/>
    <x v="1"/>
    <x v="312"/>
    <x v="312"/>
    <n v="1"/>
    <s v="ADET"/>
    <n v="0"/>
    <n v="25"/>
    <n v="4"/>
    <n v="-20"/>
    <n v="0"/>
    <n v="0"/>
    <n v="2800"/>
    <x v="79"/>
    <n v="2800"/>
    <x v="6"/>
  </r>
  <r>
    <x v="2"/>
    <s v="Laurent MONTAGNER"/>
    <x v="0"/>
    <x v="376"/>
    <x v="376"/>
    <n v="44"/>
    <s v="ADET"/>
    <n v="0"/>
    <n v="680"/>
    <n v="614"/>
    <n v="118"/>
    <n v="0"/>
    <n v="247.8"/>
    <n v="2.1"/>
    <x v="14"/>
    <n v="92.4"/>
    <x v="2"/>
  </r>
  <r>
    <x v="10"/>
    <s v="Jan Urbanek"/>
    <x v="0"/>
    <x v="334"/>
    <x v="334"/>
    <n v="5"/>
    <s v="METRE"/>
    <n v="0"/>
    <n v="0"/>
    <n v="165"/>
    <n v="-289"/>
    <n v="400"/>
    <n v="0"/>
    <n v="5"/>
    <x v="45"/>
    <n v="25"/>
    <x v="2"/>
  </r>
  <r>
    <x v="12"/>
    <s v="Matteo Giolo"/>
    <x v="0"/>
    <x v="410"/>
    <x v="410"/>
    <n v="4"/>
    <s v="ADET"/>
    <n v="0"/>
    <n v="25"/>
    <n v="14"/>
    <n v="7"/>
    <n v="0"/>
    <n v="1206.6599999999999"/>
    <n v="172.38"/>
    <x v="74"/>
    <n v="689.52"/>
    <x v="6"/>
  </r>
  <r>
    <x v="4"/>
    <s v="Stefan Zaugg"/>
    <x v="0"/>
    <x v="411"/>
    <x v="411"/>
    <n v="12"/>
    <s v="ADET"/>
    <n v="0"/>
    <n v="178"/>
    <n v="0"/>
    <n v="-142"/>
    <n v="0"/>
    <n v="0"/>
    <n v="3.45"/>
    <x v="83"/>
    <n v="41.400000000000006"/>
    <x v="2"/>
  </r>
  <r>
    <x v="5"/>
    <s v="Matteo Giolo"/>
    <x v="0"/>
    <x v="412"/>
    <x v="412"/>
    <n v="1"/>
    <s v="ADET"/>
    <n v="0"/>
    <n v="15"/>
    <n v="11"/>
    <n v="-4"/>
    <n v="0"/>
    <n v="0"/>
    <n v="510"/>
    <x v="53"/>
    <n v="510"/>
    <x v="4"/>
  </r>
  <r>
    <x v="12"/>
    <s v="Matteo Giolo"/>
    <x v="0"/>
    <x v="404"/>
    <x v="404"/>
    <n v="1"/>
    <s v="ADET"/>
    <n v="0"/>
    <n v="23"/>
    <n v="5"/>
    <n v="-12"/>
    <n v="0"/>
    <n v="0"/>
    <n v="871.93"/>
    <x v="93"/>
    <n v="871.93"/>
    <x v="6"/>
  </r>
  <r>
    <x v="5"/>
    <s v="Matteo Giolo"/>
    <x v="0"/>
    <x v="405"/>
    <x v="405"/>
    <n v="23.71"/>
    <s v="KG"/>
    <n v="0"/>
    <n v="60"/>
    <n v="219.95999999999984"/>
    <n v="143.41000000000003"/>
    <n v="0"/>
    <n v="23533.581000000002"/>
    <n v="164.1"/>
    <x v="3"/>
    <n v="3890.8110000000001"/>
    <x v="3"/>
  </r>
  <r>
    <x v="4"/>
    <s v="Stefan Zaugg"/>
    <x v="0"/>
    <x v="406"/>
    <x v="406"/>
    <n v="2"/>
    <s v="ADET"/>
    <n v="2"/>
    <n v="12"/>
    <n v="18"/>
    <n v="-14"/>
    <n v="20"/>
    <n v="0"/>
    <n v="194"/>
    <x v="35"/>
    <n v="388"/>
    <x v="6"/>
  </r>
  <r>
    <x v="4"/>
    <s v="Stefan Zaugg"/>
    <x v="0"/>
    <x v="413"/>
    <x v="413"/>
    <n v="1"/>
    <s v="ADET"/>
    <n v="1"/>
    <n v="3"/>
    <n v="8"/>
    <n v="-2"/>
    <n v="10"/>
    <n v="0"/>
    <n v="3097.63"/>
    <x v="92"/>
    <n v="3097.63"/>
    <x v="4"/>
  </r>
  <r>
    <x v="8"/>
    <s v="Jan Urbanek"/>
    <x v="0"/>
    <x v="190"/>
    <x v="190"/>
    <n v="28"/>
    <s v="ADET"/>
    <n v="0"/>
    <n v="800"/>
    <n v="0"/>
    <n v="-414"/>
    <n v="0"/>
    <n v="0"/>
    <n v="13.75"/>
    <x v="21"/>
    <n v="385"/>
    <x v="2"/>
  </r>
  <r>
    <x v="8"/>
    <s v="Jan Urbanek"/>
    <x v="0"/>
    <x v="211"/>
    <x v="211"/>
    <n v="1"/>
    <s v="ADET"/>
    <n v="0"/>
    <n v="14"/>
    <n v="9.9999999999999929"/>
    <n v="2.5700000000000003"/>
    <n v="0"/>
    <n v="552.55000000000007"/>
    <n v="215"/>
    <x v="14"/>
    <n v="215"/>
    <x v="2"/>
  </r>
  <r>
    <x v="10"/>
    <s v="Jan Urbanek"/>
    <x v="0"/>
    <x v="212"/>
    <x v="212"/>
    <n v="3.2"/>
    <s v="ADET"/>
    <n v="0"/>
    <n v="272"/>
    <n v="4.2999999999999652"/>
    <n v="-233.2"/>
    <n v="0"/>
    <n v="0"/>
    <n v="30"/>
    <x v="14"/>
    <n v="96"/>
    <x v="2"/>
  </r>
  <r>
    <x v="8"/>
    <s v="Jan Urbanek"/>
    <x v="0"/>
    <x v="212"/>
    <x v="212"/>
    <n v="2.7"/>
    <s v="ADET"/>
    <n v="0"/>
    <n v="272"/>
    <n v="4.2999999999999652"/>
    <n v="-233.2"/>
    <n v="0"/>
    <n v="0"/>
    <n v="30"/>
    <x v="14"/>
    <n v="81"/>
    <x v="2"/>
  </r>
  <r>
    <x v="10"/>
    <s v="Jan Urbanek"/>
    <x v="0"/>
    <x v="402"/>
    <x v="402"/>
    <n v="1"/>
    <s v="ADET"/>
    <n v="0"/>
    <n v="135"/>
    <n v="7"/>
    <n v="-119"/>
    <n v="0"/>
    <n v="0"/>
    <n v="39.6"/>
    <x v="20"/>
    <n v="39.6"/>
    <x v="7"/>
  </r>
  <r>
    <x v="19"/>
    <s v="Volkan Batkan"/>
    <x v="0"/>
    <x v="343"/>
    <x v="343"/>
    <n v="3"/>
    <s v="ADET"/>
    <n v="0"/>
    <n v="0"/>
    <n v="4.0000000000000497"/>
    <n v="28.999999999999993"/>
    <n v="22"/>
    <n v="30208.429999999993"/>
    <n v="1041.67"/>
    <x v="63"/>
    <n v="3125.01"/>
    <x v="8"/>
  </r>
  <r>
    <x v="17"/>
    <s v="Murat Taşdemir"/>
    <x v="0"/>
    <x v="354"/>
    <x v="354"/>
    <n v="20"/>
    <s v="METRE"/>
    <n v="0"/>
    <n v="0"/>
    <n v="0"/>
    <n v="1760"/>
    <n v="0"/>
    <n v="0"/>
    <n v="0"/>
    <x v="5"/>
    <n v="0"/>
    <x v="5"/>
  </r>
  <r>
    <x v="4"/>
    <s v="Stefan Zaugg"/>
    <x v="0"/>
    <x v="371"/>
    <x v="371"/>
    <n v="1"/>
    <s v="M2"/>
    <n v="0"/>
    <n v="0"/>
    <n v="67.08499999999998"/>
    <n v="15"/>
    <n v="0"/>
    <n v="9778.0499999999993"/>
    <n v="651.87"/>
    <x v="63"/>
    <n v="651.87"/>
    <x v="8"/>
  </r>
  <r>
    <x v="5"/>
    <s v="Matteo Giolo"/>
    <x v="0"/>
    <x v="371"/>
    <x v="371"/>
    <n v="1"/>
    <s v="M2"/>
    <n v="0"/>
    <n v="0"/>
    <n v="67.08499999999998"/>
    <n v="15"/>
    <n v="0"/>
    <n v="9778.0499999999993"/>
    <n v="651.87"/>
    <x v="63"/>
    <n v="651.87"/>
    <x v="8"/>
  </r>
  <r>
    <x v="8"/>
    <s v="Jan Urbanek"/>
    <x v="0"/>
    <x v="260"/>
    <x v="260"/>
    <n v="1"/>
    <s v="ADET"/>
    <n v="0"/>
    <n v="0"/>
    <n v="5.5699999999999994"/>
    <n v="-2"/>
    <n v="7"/>
    <n v="0"/>
    <n v="1416.67"/>
    <x v="63"/>
    <n v="1416.67"/>
    <x v="8"/>
  </r>
  <r>
    <x v="8"/>
    <s v="Jan Urbanek"/>
    <x v="0"/>
    <x v="342"/>
    <x v="342"/>
    <n v="0.5"/>
    <s v="ADET"/>
    <n v="0"/>
    <n v="0"/>
    <n v="6.1000000000000023"/>
    <n v="8.8000000000000007"/>
    <n v="5"/>
    <n v="6056.1600000000008"/>
    <n v="688.2"/>
    <x v="41"/>
    <n v="344.1"/>
    <x v="5"/>
  </r>
  <r>
    <x v="9"/>
    <s v="Jan Urbanek"/>
    <x v="0"/>
    <x v="342"/>
    <x v="342"/>
    <n v="1.5"/>
    <s v="ADET"/>
    <n v="0"/>
    <n v="0"/>
    <n v="6.1000000000000023"/>
    <n v="8.8000000000000007"/>
    <n v="5"/>
    <n v="6056.1600000000008"/>
    <n v="688.2"/>
    <x v="41"/>
    <n v="1032.3000000000002"/>
    <x v="5"/>
  </r>
  <r>
    <x v="11"/>
    <s v="Jan Urbanek"/>
    <x v="0"/>
    <x v="343"/>
    <x v="343"/>
    <n v="3"/>
    <s v="ADET"/>
    <n v="0"/>
    <n v="0"/>
    <n v="4.0000000000000497"/>
    <n v="28.999999999999993"/>
    <n v="22"/>
    <n v="30208.429999999993"/>
    <n v="1041.67"/>
    <x v="63"/>
    <n v="3125.01"/>
    <x v="8"/>
  </r>
  <r>
    <x v="12"/>
    <s v="Matteo Giolo"/>
    <x v="0"/>
    <x v="414"/>
    <x v="414"/>
    <n v="2"/>
    <s v="ADET"/>
    <n v="0"/>
    <n v="14"/>
    <n v="19"/>
    <n v="-23"/>
    <n v="30"/>
    <n v="0"/>
    <n v="67.22"/>
    <x v="92"/>
    <n v="134.44"/>
    <x v="4"/>
  </r>
  <r>
    <x v="12"/>
    <s v="Matteo Giolo"/>
    <x v="0"/>
    <x v="354"/>
    <x v="354"/>
    <n v="120"/>
    <s v="METRE"/>
    <n v="0"/>
    <n v="0"/>
    <n v="0"/>
    <n v="1760"/>
    <n v="0"/>
    <n v="0"/>
    <n v="0"/>
    <x v="5"/>
    <n v="0"/>
    <x v="5"/>
  </r>
  <r>
    <x v="12"/>
    <s v="Matteo Giolo"/>
    <x v="0"/>
    <x v="356"/>
    <x v="356"/>
    <n v="0.13"/>
    <s v="M3"/>
    <n v="0"/>
    <n v="0"/>
    <n v="4.5430000000000446"/>
    <n v="1.4260000000000002"/>
    <n v="0"/>
    <n v="27807.000000000004"/>
    <n v="19500"/>
    <x v="87"/>
    <n v="2535"/>
    <x v="8"/>
  </r>
  <r>
    <x v="12"/>
    <s v="Matteo Giolo"/>
    <x v="0"/>
    <x v="370"/>
    <x v="370"/>
    <n v="0.5"/>
    <s v="ADET"/>
    <n v="0"/>
    <n v="100"/>
    <n v="0"/>
    <n v="-90.5"/>
    <n v="0"/>
    <n v="0"/>
    <n v="13.5"/>
    <x v="14"/>
    <n v="6.75"/>
    <x v="2"/>
  </r>
  <r>
    <x v="7"/>
    <s v="Laurent MONTAGNER"/>
    <x v="0"/>
    <x v="370"/>
    <x v="370"/>
    <n v="0.5"/>
    <s v="ADET"/>
    <n v="0"/>
    <n v="100"/>
    <n v="0"/>
    <n v="-90.5"/>
    <n v="0"/>
    <n v="0"/>
    <n v="13.5"/>
    <x v="14"/>
    <n v="6.75"/>
    <x v="2"/>
  </r>
  <r>
    <x v="9"/>
    <s v="Jan Urbanek"/>
    <x v="0"/>
    <x v="340"/>
    <x v="340"/>
    <n v="1.5"/>
    <s v="ADET"/>
    <n v="0"/>
    <n v="24"/>
    <n v="18.499999999999982"/>
    <n v="3.899999999999995"/>
    <n v="0"/>
    <n v="467.99999999999943"/>
    <n v="120"/>
    <x v="14"/>
    <n v="180"/>
    <x v="3"/>
  </r>
  <r>
    <x v="8"/>
    <s v="Jan Urbanek"/>
    <x v="0"/>
    <x v="340"/>
    <x v="340"/>
    <n v="1.5"/>
    <s v="ADET"/>
    <n v="0"/>
    <n v="24"/>
    <n v="18.499999999999982"/>
    <n v="3.899999999999995"/>
    <n v="0"/>
    <n v="467.99999999999943"/>
    <n v="120"/>
    <x v="14"/>
    <n v="180"/>
    <x v="3"/>
  </r>
  <r>
    <x v="4"/>
    <s v="Stefan Zaugg"/>
    <x v="0"/>
    <x v="186"/>
    <x v="186"/>
    <n v="6"/>
    <s v="METRE"/>
    <n v="0"/>
    <n v="140"/>
    <n v="0"/>
    <n v="-122"/>
    <n v="0"/>
    <n v="0"/>
    <n v="25.42"/>
    <x v="15"/>
    <n v="152.52000000000001"/>
    <x v="7"/>
  </r>
  <r>
    <x v="12"/>
    <s v="Matteo Giolo"/>
    <x v="0"/>
    <x v="161"/>
    <x v="161"/>
    <n v="6"/>
    <s v="ADET"/>
    <n v="0"/>
    <n v="125"/>
    <n v="54"/>
    <n v="-49"/>
    <n v="0"/>
    <n v="0"/>
    <n v="3.75"/>
    <x v="21"/>
    <n v="22.5"/>
    <x v="2"/>
  </r>
  <r>
    <x v="4"/>
    <s v="Stefan Zaugg"/>
    <x v="0"/>
    <x v="415"/>
    <x v="415"/>
    <n v="1"/>
    <s v="ADET"/>
    <n v="0"/>
    <n v="34"/>
    <n v="62"/>
    <n v="-12"/>
    <n v="0"/>
    <n v="0"/>
    <n v="19.07"/>
    <x v="15"/>
    <n v="19.07"/>
    <x v="7"/>
  </r>
  <r>
    <x v="5"/>
    <s v="Matteo Giolo"/>
    <x v="0"/>
    <x v="415"/>
    <x v="415"/>
    <n v="1"/>
    <s v="ADET"/>
    <n v="0"/>
    <n v="34"/>
    <n v="62"/>
    <n v="-12"/>
    <n v="0"/>
    <n v="0"/>
    <n v="19.07"/>
    <x v="15"/>
    <n v="19.07"/>
    <x v="7"/>
  </r>
  <r>
    <x v="3"/>
    <s v="Stina Alm"/>
    <x v="0"/>
    <x v="357"/>
    <x v="357"/>
    <n v="0.5"/>
    <s v="ADET"/>
    <n v="0"/>
    <n v="5"/>
    <n v="3.5527136788005009E-15"/>
    <n v="-4.0999999999999996"/>
    <n v="0"/>
    <n v="0"/>
    <n v="196"/>
    <x v="2"/>
    <n v="98"/>
    <x v="3"/>
  </r>
  <r>
    <x v="3"/>
    <s v="Stina Alm"/>
    <x v="0"/>
    <x v="161"/>
    <x v="161"/>
    <n v="4"/>
    <s v="ADET"/>
    <n v="0"/>
    <n v="125"/>
    <n v="54"/>
    <n v="-49"/>
    <n v="0"/>
    <n v="0"/>
    <n v="3.75"/>
    <x v="21"/>
    <n v="15"/>
    <x v="2"/>
  </r>
  <r>
    <x v="3"/>
    <s v="Stina Alm"/>
    <x v="0"/>
    <x v="416"/>
    <x v="416"/>
    <n v="1"/>
    <s v="ADET"/>
    <n v="0"/>
    <n v="17"/>
    <n v="11"/>
    <n v="-5"/>
    <n v="0"/>
    <n v="0"/>
    <n v="115.6"/>
    <x v="15"/>
    <n v="115.6"/>
    <x v="7"/>
  </r>
  <r>
    <x v="7"/>
    <s v="Laurent MONTAGNER"/>
    <x v="0"/>
    <x v="415"/>
    <x v="415"/>
    <n v="1"/>
    <s v="ADET"/>
    <n v="0"/>
    <n v="34"/>
    <n v="62"/>
    <n v="-12"/>
    <n v="0"/>
    <n v="0"/>
    <n v="19.07"/>
    <x v="15"/>
    <n v="19.07"/>
    <x v="7"/>
  </r>
  <r>
    <x v="3"/>
    <s v="Stina Alm"/>
    <x v="0"/>
    <x v="415"/>
    <x v="415"/>
    <n v="1"/>
    <s v="ADET"/>
    <n v="0"/>
    <n v="34"/>
    <n v="62"/>
    <n v="-12"/>
    <n v="0"/>
    <n v="0"/>
    <n v="19.07"/>
    <x v="15"/>
    <n v="19.07"/>
    <x v="7"/>
  </r>
  <r>
    <x v="3"/>
    <s v="Stina Alm"/>
    <x v="0"/>
    <x v="417"/>
    <x v="417"/>
    <n v="1"/>
    <s v="ADET"/>
    <n v="0"/>
    <n v="0"/>
    <n v="1"/>
    <n v="9"/>
    <n v="0"/>
    <n v="13877.91"/>
    <n v="1541.99"/>
    <x v="94"/>
    <n v="1541.99"/>
    <x v="6"/>
  </r>
  <r>
    <x v="7"/>
    <s v="Laurent MONTAGNER"/>
    <x v="0"/>
    <x v="417"/>
    <x v="417"/>
    <n v="1"/>
    <s v="ADET"/>
    <n v="0"/>
    <n v="0"/>
    <n v="1"/>
    <n v="9"/>
    <n v="0"/>
    <n v="13877.91"/>
    <n v="1541.99"/>
    <x v="94"/>
    <n v="1541.99"/>
    <x v="6"/>
  </r>
  <r>
    <x v="5"/>
    <s v="Matteo Giolo"/>
    <x v="0"/>
    <x v="161"/>
    <x v="161"/>
    <n v="8"/>
    <s v="ADET"/>
    <n v="0"/>
    <n v="125"/>
    <n v="54"/>
    <n v="-49"/>
    <n v="0"/>
    <n v="0"/>
    <n v="3.75"/>
    <x v="21"/>
    <n v="30"/>
    <x v="2"/>
  </r>
  <r>
    <x v="4"/>
    <s v="Stefan Zaugg"/>
    <x v="0"/>
    <x v="416"/>
    <x v="416"/>
    <n v="1"/>
    <s v="ADET"/>
    <n v="1"/>
    <n v="17"/>
    <n v="11"/>
    <n v="-5"/>
    <n v="0"/>
    <n v="0"/>
    <n v="115.6"/>
    <x v="15"/>
    <n v="115.6"/>
    <x v="7"/>
  </r>
  <r>
    <x v="10"/>
    <s v="Jan Urbanek"/>
    <x v="0"/>
    <x v="403"/>
    <x v="403"/>
    <n v="1"/>
    <s v="ADET"/>
    <n v="0"/>
    <n v="28"/>
    <n v="4"/>
    <n v="-21"/>
    <n v="0"/>
    <n v="0"/>
    <n v="290.73"/>
    <x v="74"/>
    <n v="290.73"/>
    <x v="4"/>
  </r>
  <r>
    <x v="10"/>
    <s v="Jan Urbanek"/>
    <x v="0"/>
    <x v="418"/>
    <x v="418"/>
    <n v="2"/>
    <s v="ADET"/>
    <n v="0"/>
    <n v="265"/>
    <n v="94"/>
    <n v="-249"/>
    <n v="0"/>
    <n v="0"/>
    <n v="4"/>
    <x v="20"/>
    <n v="8"/>
    <x v="7"/>
  </r>
  <r>
    <x v="3"/>
    <s v="Stina Alm"/>
    <x v="0"/>
    <x v="419"/>
    <x v="419"/>
    <n v="1"/>
    <s v="ADET"/>
    <n v="0"/>
    <n v="4"/>
    <n v="0"/>
    <n v="-1"/>
    <n v="0"/>
    <n v="0"/>
    <n v="3017.33"/>
    <x v="95"/>
    <n v="3017.33"/>
    <x v="6"/>
  </r>
  <r>
    <x v="3"/>
    <s v="Stina Alm"/>
    <x v="0"/>
    <x v="404"/>
    <x v="404"/>
    <n v="1"/>
    <s v="ADET"/>
    <n v="0"/>
    <n v="23"/>
    <n v="5"/>
    <n v="-12"/>
    <n v="0"/>
    <n v="0"/>
    <n v="871.93"/>
    <x v="93"/>
    <n v="871.93"/>
    <x v="6"/>
  </r>
  <r>
    <x v="0"/>
    <s v="Soner Kayıkçı"/>
    <x v="0"/>
    <x v="211"/>
    <x v="211"/>
    <n v="1"/>
    <s v="ADET"/>
    <n v="0"/>
    <n v="14"/>
    <n v="9.9999999999999929"/>
    <n v="2.5700000000000003"/>
    <n v="0"/>
    <n v="552.55000000000007"/>
    <n v="215"/>
    <x v="14"/>
    <n v="215"/>
    <x v="2"/>
  </r>
  <r>
    <x v="0"/>
    <s v="Soner Kayıkçı"/>
    <x v="0"/>
    <x v="212"/>
    <x v="212"/>
    <n v="3.2"/>
    <s v="ADET"/>
    <n v="0"/>
    <n v="272"/>
    <n v="4.2999999999999652"/>
    <n v="-233.2"/>
    <n v="0"/>
    <n v="0"/>
    <n v="30"/>
    <x v="14"/>
    <n v="96"/>
    <x v="2"/>
  </r>
  <r>
    <x v="2"/>
    <s v="Laurent MONTAGNER"/>
    <x v="0"/>
    <x v="369"/>
    <x v="369"/>
    <n v="1"/>
    <s v="ADET"/>
    <n v="0"/>
    <n v="27"/>
    <n v="14"/>
    <n v="-18"/>
    <n v="0"/>
    <n v="0"/>
    <n v="15"/>
    <x v="20"/>
    <n v="15"/>
    <x v="7"/>
  </r>
  <r>
    <x v="0"/>
    <s v="Soner Kayıkçı"/>
    <x v="0"/>
    <x v="369"/>
    <x v="369"/>
    <n v="1"/>
    <s v="ADET"/>
    <n v="0"/>
    <n v="27"/>
    <n v="14"/>
    <n v="-18"/>
    <n v="0"/>
    <n v="0"/>
    <n v="15"/>
    <x v="20"/>
    <n v="15"/>
    <x v="7"/>
  </r>
  <r>
    <x v="12"/>
    <s v="Matteo Giolo"/>
    <x v="0"/>
    <x v="369"/>
    <x v="369"/>
    <n v="1"/>
    <s v="ADET"/>
    <n v="0"/>
    <n v="27"/>
    <n v="14"/>
    <n v="-18"/>
    <n v="0"/>
    <n v="0"/>
    <n v="15"/>
    <x v="20"/>
    <n v="15"/>
    <x v="7"/>
  </r>
  <r>
    <x v="12"/>
    <s v="Matteo Giolo"/>
    <x v="0"/>
    <x v="402"/>
    <x v="402"/>
    <n v="1"/>
    <s v="ADET"/>
    <n v="0"/>
    <n v="135"/>
    <n v="7"/>
    <n v="-119"/>
    <n v="0"/>
    <n v="0"/>
    <n v="39.6"/>
    <x v="20"/>
    <n v="39.6"/>
    <x v="7"/>
  </r>
  <r>
    <x v="12"/>
    <s v="Matteo Giolo"/>
    <x v="0"/>
    <x v="403"/>
    <x v="403"/>
    <n v="1"/>
    <s v="ADET"/>
    <n v="0"/>
    <n v="28"/>
    <n v="4"/>
    <n v="-21"/>
    <n v="0"/>
    <n v="0"/>
    <n v="290.73"/>
    <x v="74"/>
    <n v="290.73"/>
    <x v="4"/>
  </r>
  <r>
    <x v="12"/>
    <s v="Matteo Giolo"/>
    <x v="0"/>
    <x v="418"/>
    <x v="418"/>
    <n v="2"/>
    <s v="ADET"/>
    <n v="0"/>
    <n v="265"/>
    <n v="94"/>
    <n v="-249"/>
    <n v="0"/>
    <n v="0"/>
    <n v="4"/>
    <x v="20"/>
    <n v="8"/>
    <x v="7"/>
  </r>
  <r>
    <x v="12"/>
    <s v="Matteo Giolo"/>
    <x v="0"/>
    <x v="405"/>
    <x v="405"/>
    <n v="18.8"/>
    <s v="KG"/>
    <n v="0"/>
    <n v="60"/>
    <n v="219.95999999999984"/>
    <n v="143.41000000000003"/>
    <n v="0"/>
    <n v="23533.581000000002"/>
    <n v="164.1"/>
    <x v="3"/>
    <n v="3085.08"/>
    <x v="3"/>
  </r>
  <r>
    <x v="12"/>
    <s v="Matteo Giolo"/>
    <x v="0"/>
    <x v="406"/>
    <x v="406"/>
    <n v="2"/>
    <s v="ADET"/>
    <n v="0"/>
    <n v="12"/>
    <n v="18"/>
    <n v="-14"/>
    <n v="20"/>
    <n v="0"/>
    <n v="194"/>
    <x v="35"/>
    <n v="388"/>
    <x v="6"/>
  </r>
  <r>
    <x v="2"/>
    <s v="Laurent MONTAGNER"/>
    <x v="0"/>
    <x v="190"/>
    <x v="190"/>
    <n v="15"/>
    <s v="ADET"/>
    <n v="0"/>
    <n v="800"/>
    <n v="0"/>
    <n v="-414"/>
    <n v="0"/>
    <n v="0"/>
    <n v="13.75"/>
    <x v="21"/>
    <n v="206.25"/>
    <x v="2"/>
  </r>
  <r>
    <x v="2"/>
    <s v="Laurent MONTAGNER"/>
    <x v="0"/>
    <x v="211"/>
    <x v="211"/>
    <n v="0.73"/>
    <s v="ADET"/>
    <n v="0"/>
    <n v="14"/>
    <n v="9.9999999999999929"/>
    <n v="2.5700000000000003"/>
    <n v="0"/>
    <n v="552.55000000000007"/>
    <n v="215"/>
    <x v="14"/>
    <n v="156.94999999999999"/>
    <x v="2"/>
  </r>
  <r>
    <x v="2"/>
    <s v="Laurent MONTAGNER"/>
    <x v="0"/>
    <x v="212"/>
    <x v="212"/>
    <n v="3.5"/>
    <s v="ADET"/>
    <n v="0"/>
    <n v="272"/>
    <n v="4.2999999999999652"/>
    <n v="-233.2"/>
    <n v="0"/>
    <n v="0"/>
    <n v="30"/>
    <x v="14"/>
    <n v="105"/>
    <x v="2"/>
  </r>
  <r>
    <x v="2"/>
    <s v="Laurent MONTAGNER"/>
    <x v="0"/>
    <x v="368"/>
    <x v="368"/>
    <n v="3"/>
    <s v="ADET"/>
    <n v="0"/>
    <n v="235"/>
    <n v="-7.460698725481052E-14"/>
    <n v="-215.94"/>
    <n v="0"/>
    <n v="0"/>
    <n v="15"/>
    <x v="2"/>
    <n v="45"/>
    <x v="2"/>
  </r>
  <r>
    <x v="0"/>
    <s v="Soner Kayıkçı"/>
    <x v="0"/>
    <x v="404"/>
    <x v="404"/>
    <n v="1"/>
    <s v="ADET"/>
    <n v="0"/>
    <n v="23"/>
    <n v="5"/>
    <n v="-12"/>
    <n v="0"/>
    <n v="0"/>
    <n v="871.93"/>
    <x v="93"/>
    <n v="871.93"/>
    <x v="6"/>
  </r>
  <r>
    <x v="12"/>
    <s v="Matteo Giolo"/>
    <x v="0"/>
    <x v="413"/>
    <x v="413"/>
    <n v="1"/>
    <s v="ADET"/>
    <n v="0"/>
    <n v="3"/>
    <n v="8"/>
    <n v="-2"/>
    <n v="10"/>
    <n v="0"/>
    <n v="3097.63"/>
    <x v="92"/>
    <n v="3097.63"/>
    <x v="4"/>
  </r>
  <r>
    <x v="1"/>
    <s v="Stina Alm"/>
    <x v="0"/>
    <x v="211"/>
    <x v="211"/>
    <n v="0.67"/>
    <s v="ADET"/>
    <n v="0"/>
    <n v="14"/>
    <n v="9.9999999999999929"/>
    <n v="2.5700000000000003"/>
    <n v="0"/>
    <n v="552.55000000000007"/>
    <n v="215"/>
    <x v="14"/>
    <n v="144.05000000000001"/>
    <x v="2"/>
  </r>
  <r>
    <x v="6"/>
    <s v="Laurent MONTAGNER"/>
    <x v="0"/>
    <x v="212"/>
    <x v="212"/>
    <n v="1.5"/>
    <s v="ADET"/>
    <n v="0"/>
    <n v="272"/>
    <n v="4.2999999999999652"/>
    <n v="-233.2"/>
    <n v="0"/>
    <n v="0"/>
    <n v="30"/>
    <x v="14"/>
    <n v="45"/>
    <x v="2"/>
  </r>
  <r>
    <x v="1"/>
    <s v="Stina Alm"/>
    <x v="0"/>
    <x v="212"/>
    <x v="212"/>
    <n v="1.5"/>
    <s v="ADET"/>
    <n v="0"/>
    <n v="272"/>
    <n v="4.2999999999999652"/>
    <n v="-233.2"/>
    <n v="0"/>
    <n v="0"/>
    <n v="30"/>
    <x v="14"/>
    <n v="45"/>
    <x v="2"/>
  </r>
  <r>
    <x v="6"/>
    <s v="Laurent MONTAGNER"/>
    <x v="0"/>
    <x v="368"/>
    <x v="368"/>
    <n v="1.61"/>
    <s v="ADET"/>
    <n v="0"/>
    <n v="235"/>
    <n v="-7.460698725481052E-14"/>
    <n v="-215.94"/>
    <n v="0"/>
    <n v="0"/>
    <n v="15"/>
    <x v="2"/>
    <n v="24.150000000000002"/>
    <x v="2"/>
  </r>
  <r>
    <x v="0"/>
    <s v="Soner Kayıkçı"/>
    <x v="0"/>
    <x v="400"/>
    <x v="400"/>
    <n v="1"/>
    <s v="ADET"/>
    <n v="0"/>
    <n v="27"/>
    <n v="4"/>
    <n v="-20"/>
    <n v="0"/>
    <n v="0"/>
    <n v="290.73"/>
    <x v="74"/>
    <n v="290.73"/>
    <x v="4"/>
  </r>
  <r>
    <x v="6"/>
    <s v="Laurent MONTAGNER"/>
    <x v="0"/>
    <x v="401"/>
    <x v="401"/>
    <n v="1"/>
    <s v="ADET"/>
    <n v="1"/>
    <n v="8"/>
    <n v="5"/>
    <n v="-4"/>
    <n v="0"/>
    <n v="0"/>
    <n v="1723.79"/>
    <x v="74"/>
    <n v="1723.79"/>
    <x v="4"/>
  </r>
  <r>
    <x v="1"/>
    <s v="Stina Alm"/>
    <x v="0"/>
    <x v="401"/>
    <x v="401"/>
    <n v="1"/>
    <s v="ADET"/>
    <n v="0"/>
    <n v="8"/>
    <n v="5"/>
    <n v="-4"/>
    <n v="0"/>
    <n v="0"/>
    <n v="1723.79"/>
    <x v="74"/>
    <n v="1723.79"/>
    <x v="4"/>
  </r>
  <r>
    <x v="1"/>
    <s v="Stina Alm"/>
    <x v="0"/>
    <x v="419"/>
    <x v="419"/>
    <n v="1"/>
    <s v="ADET"/>
    <n v="0"/>
    <n v="4"/>
    <n v="0"/>
    <n v="-1"/>
    <n v="0"/>
    <n v="0"/>
    <n v="3017.33"/>
    <x v="95"/>
    <n v="3017.33"/>
    <x v="6"/>
  </r>
  <r>
    <x v="1"/>
    <s v="Stina Alm"/>
    <x v="0"/>
    <x v="404"/>
    <x v="404"/>
    <n v="1"/>
    <s v="ADET"/>
    <n v="0"/>
    <n v="23"/>
    <n v="5"/>
    <n v="-12"/>
    <n v="0"/>
    <n v="0"/>
    <n v="871.93"/>
    <x v="93"/>
    <n v="871.93"/>
    <x v="6"/>
  </r>
  <r>
    <x v="6"/>
    <s v="Laurent MONTAGNER"/>
    <x v="0"/>
    <x v="405"/>
    <x v="405"/>
    <n v="35.25"/>
    <s v="KG"/>
    <n v="35.25"/>
    <n v="60"/>
    <n v="219.95999999999984"/>
    <n v="143.41000000000003"/>
    <n v="0"/>
    <n v="23533.581000000002"/>
    <n v="164.1"/>
    <x v="3"/>
    <n v="5784.5249999999996"/>
    <x v="3"/>
  </r>
  <r>
    <x v="0"/>
    <s v="Soner Kayıkçı"/>
    <x v="0"/>
    <x v="405"/>
    <x v="405"/>
    <n v="18.8"/>
    <s v="KG"/>
    <n v="0"/>
    <n v="60"/>
    <n v="219.95999999999984"/>
    <n v="143.41000000000003"/>
    <n v="0"/>
    <n v="23533.581000000002"/>
    <n v="164.1"/>
    <x v="3"/>
    <n v="3085.08"/>
    <x v="3"/>
  </r>
  <r>
    <x v="5"/>
    <s v="Matteo Giolo"/>
    <x v="0"/>
    <x v="420"/>
    <x v="420"/>
    <n v="2"/>
    <s v="METRE"/>
    <n v="0"/>
    <n v="60"/>
    <n v="50"/>
    <n v="-50.5"/>
    <n v="0"/>
    <n v="0"/>
    <n v="265"/>
    <x v="46"/>
    <n v="530"/>
    <x v="5"/>
  </r>
  <r>
    <x v="9"/>
    <s v="Jan Urbanek"/>
    <x v="0"/>
    <x v="211"/>
    <x v="211"/>
    <n v="1"/>
    <s v="ADET"/>
    <n v="0"/>
    <n v="14"/>
    <n v="9.9999999999999929"/>
    <n v="2.5700000000000003"/>
    <n v="0"/>
    <n v="552.55000000000007"/>
    <n v="215"/>
    <x v="14"/>
    <n v="215"/>
    <x v="2"/>
  </r>
  <r>
    <x v="9"/>
    <s v="Jan Urbanek"/>
    <x v="0"/>
    <x v="212"/>
    <x v="212"/>
    <n v="3.2"/>
    <s v="ADET"/>
    <n v="0"/>
    <n v="272"/>
    <n v="4.2999999999999652"/>
    <n v="-233.2"/>
    <n v="0"/>
    <n v="0"/>
    <n v="30"/>
    <x v="14"/>
    <n v="96"/>
    <x v="2"/>
  </r>
  <r>
    <x v="11"/>
    <s v="Jan Urbanek"/>
    <x v="0"/>
    <x v="369"/>
    <x v="369"/>
    <n v="1"/>
    <s v="ADET"/>
    <n v="0"/>
    <n v="27"/>
    <n v="14"/>
    <n v="-18"/>
    <n v="0"/>
    <n v="0"/>
    <n v="15"/>
    <x v="20"/>
    <n v="15"/>
    <x v="7"/>
  </r>
  <r>
    <x v="11"/>
    <s v="Jan Urbanek"/>
    <x v="0"/>
    <x v="402"/>
    <x v="402"/>
    <n v="1"/>
    <s v="ADET"/>
    <n v="0"/>
    <n v="135"/>
    <n v="7"/>
    <n v="-119"/>
    <n v="0"/>
    <n v="0"/>
    <n v="39.6"/>
    <x v="20"/>
    <n v="39.6"/>
    <x v="7"/>
  </r>
  <r>
    <x v="11"/>
    <s v="Jan Urbanek"/>
    <x v="0"/>
    <x v="418"/>
    <x v="418"/>
    <n v="2"/>
    <s v="ADET"/>
    <n v="0"/>
    <n v="265"/>
    <n v="94"/>
    <n v="-249"/>
    <n v="0"/>
    <n v="0"/>
    <n v="4"/>
    <x v="20"/>
    <n v="8"/>
    <x v="7"/>
  </r>
  <r>
    <x v="10"/>
    <s v="Jan Urbanek"/>
    <x v="0"/>
    <x v="404"/>
    <x v="404"/>
    <n v="1"/>
    <s v="ADET"/>
    <n v="0"/>
    <n v="23"/>
    <n v="5"/>
    <n v="-12"/>
    <n v="0"/>
    <n v="0"/>
    <n v="871.93"/>
    <x v="93"/>
    <n v="871.93"/>
    <x v="6"/>
  </r>
  <r>
    <x v="15"/>
    <s v="Jan Urbanek"/>
    <x v="0"/>
    <x v="212"/>
    <x v="212"/>
    <n v="3.2"/>
    <s v="ADET"/>
    <n v="0"/>
    <n v="272"/>
    <n v="4.2999999999999652"/>
    <n v="-233.2"/>
    <n v="0"/>
    <n v="0"/>
    <n v="30"/>
    <x v="14"/>
    <n v="96"/>
    <x v="2"/>
  </r>
  <r>
    <x v="9"/>
    <s v="Jan Urbanek"/>
    <x v="0"/>
    <x v="404"/>
    <x v="404"/>
    <n v="1"/>
    <s v="ADET"/>
    <n v="0"/>
    <n v="23"/>
    <n v="5"/>
    <n v="-12"/>
    <n v="0"/>
    <n v="0"/>
    <n v="871.93"/>
    <x v="93"/>
    <n v="871.93"/>
    <x v="6"/>
  </r>
  <r>
    <x v="8"/>
    <s v="Jan Urbanek"/>
    <x v="0"/>
    <x v="404"/>
    <x v="404"/>
    <n v="1"/>
    <s v="ADET"/>
    <n v="0"/>
    <n v="23"/>
    <n v="5"/>
    <n v="-12"/>
    <n v="0"/>
    <n v="0"/>
    <n v="871.93"/>
    <x v="93"/>
    <n v="871.93"/>
    <x v="6"/>
  </r>
  <r>
    <x v="17"/>
    <s v="Murat Taşdemir"/>
    <x v="0"/>
    <x v="368"/>
    <x v="368"/>
    <n v="2"/>
    <s v="ADET"/>
    <n v="0"/>
    <n v="235"/>
    <n v="-7.460698725481052E-14"/>
    <n v="-215.94"/>
    <n v="0"/>
    <n v="0"/>
    <n v="15"/>
    <x v="2"/>
    <n v="30"/>
    <x v="2"/>
  </r>
  <r>
    <x v="16"/>
    <s v="Stefan Zaugg"/>
    <x v="0"/>
    <x v="400"/>
    <x v="400"/>
    <n v="1"/>
    <s v="ADET"/>
    <n v="0"/>
    <n v="27"/>
    <n v="4"/>
    <n v="-20"/>
    <n v="0"/>
    <n v="0"/>
    <n v="290.73"/>
    <x v="74"/>
    <n v="290.73"/>
    <x v="4"/>
  </r>
  <r>
    <x v="0"/>
    <s v="Soner Kayıkçı"/>
    <x v="0"/>
    <x v="402"/>
    <x v="402"/>
    <n v="1"/>
    <s v="ADET"/>
    <n v="0"/>
    <n v="135"/>
    <n v="7"/>
    <n v="-119"/>
    <n v="0"/>
    <n v="0"/>
    <n v="39.6"/>
    <x v="20"/>
    <n v="39.6"/>
    <x v="7"/>
  </r>
  <r>
    <x v="2"/>
    <s v="Laurent MONTAGNER"/>
    <x v="0"/>
    <x v="402"/>
    <x v="402"/>
    <n v="1"/>
    <s v="ADET"/>
    <n v="0"/>
    <n v="135"/>
    <n v="7"/>
    <n v="-119"/>
    <n v="0"/>
    <n v="0"/>
    <n v="39.6"/>
    <x v="20"/>
    <n v="39.6"/>
    <x v="7"/>
  </r>
  <r>
    <x v="17"/>
    <s v="Murat Taşdemir"/>
    <x v="0"/>
    <x v="300"/>
    <x v="300"/>
    <n v="1"/>
    <s v="ADET"/>
    <n v="0"/>
    <n v="39"/>
    <n v="2"/>
    <n v="-19"/>
    <n v="0"/>
    <n v="0"/>
    <n v="65"/>
    <x v="10"/>
    <n v="65"/>
    <x v="4"/>
  </r>
  <r>
    <x v="4"/>
    <s v="Stefan Zaugg"/>
    <x v="0"/>
    <x v="388"/>
    <x v="388"/>
    <n v="1"/>
    <s v="ADET"/>
    <n v="1"/>
    <n v="4"/>
    <n v="9"/>
    <n v="1"/>
    <n v="6"/>
    <n v="1600"/>
    <n v="1600"/>
    <x v="14"/>
    <n v="1600"/>
    <x v="4"/>
  </r>
  <r>
    <x v="5"/>
    <s v="Matteo Giolo"/>
    <x v="0"/>
    <x v="388"/>
    <x v="388"/>
    <n v="1"/>
    <s v="ADET"/>
    <n v="0"/>
    <n v="4"/>
    <n v="9"/>
    <n v="1"/>
    <n v="6"/>
    <n v="1600"/>
    <n v="1600"/>
    <x v="14"/>
    <n v="1600"/>
    <x v="4"/>
  </r>
  <r>
    <x v="12"/>
    <s v="Matteo Giolo"/>
    <x v="0"/>
    <x v="390"/>
    <x v="390"/>
    <n v="2"/>
    <s v="ADET"/>
    <n v="0"/>
    <n v="216"/>
    <n v="118"/>
    <n v="-190"/>
    <n v="0"/>
    <n v="0"/>
    <n v="3.95"/>
    <x v="20"/>
    <n v="7.9"/>
    <x v="7"/>
  </r>
  <r>
    <x v="7"/>
    <s v="Laurent MONTAGNER"/>
    <x v="0"/>
    <x v="391"/>
    <x v="391"/>
    <n v="1"/>
    <s v="ADET"/>
    <n v="1"/>
    <n v="42"/>
    <n v="10"/>
    <n v="-30"/>
    <n v="0"/>
    <n v="0"/>
    <n v="142.5"/>
    <x v="15"/>
    <n v="142.5"/>
    <x v="7"/>
  </r>
  <r>
    <x v="7"/>
    <s v="Laurent MONTAGNER"/>
    <x v="0"/>
    <x v="421"/>
    <x v="421"/>
    <n v="1"/>
    <s v="ADET"/>
    <n v="0"/>
    <n v="20.5"/>
    <n v="5"/>
    <n v="-9.5"/>
    <n v="0"/>
    <n v="0"/>
    <n v="175"/>
    <x v="35"/>
    <n v="175"/>
    <x v="2"/>
  </r>
  <r>
    <x v="3"/>
    <s v="Stina Alm"/>
    <x v="0"/>
    <x v="422"/>
    <x v="422"/>
    <n v="1"/>
    <s v="ADET"/>
    <n v="0"/>
    <n v="12"/>
    <n v="17"/>
    <n v="-1"/>
    <n v="0"/>
    <n v="0"/>
    <n v="400"/>
    <x v="85"/>
    <n v="400"/>
    <x v="6"/>
  </r>
  <r>
    <x v="4"/>
    <s v="Stefan Zaugg"/>
    <x v="0"/>
    <x v="423"/>
    <x v="423"/>
    <n v="1"/>
    <s v="ADET"/>
    <n v="0"/>
    <n v="11"/>
    <n v="4"/>
    <n v="-4"/>
    <n v="0"/>
    <n v="0"/>
    <n v="1679.53"/>
    <x v="74"/>
    <n v="1679.53"/>
    <x v="4"/>
  </r>
  <r>
    <x v="5"/>
    <s v="Matteo Giolo"/>
    <x v="0"/>
    <x v="416"/>
    <x v="416"/>
    <n v="1"/>
    <s v="ADET"/>
    <n v="0"/>
    <n v="17"/>
    <n v="11"/>
    <n v="-5"/>
    <n v="0"/>
    <n v="0"/>
    <n v="115.6"/>
    <x v="15"/>
    <n v="115.6"/>
    <x v="7"/>
  </r>
  <r>
    <x v="5"/>
    <s v="Matteo Giolo"/>
    <x v="0"/>
    <x v="417"/>
    <x v="417"/>
    <n v="1"/>
    <s v="ADET"/>
    <n v="0"/>
    <n v="0"/>
    <n v="1"/>
    <n v="9"/>
    <n v="0"/>
    <n v="13877.91"/>
    <n v="1541.99"/>
    <x v="94"/>
    <n v="1541.99"/>
    <x v="6"/>
  </r>
  <r>
    <x v="4"/>
    <s v="Stefan Zaugg"/>
    <x v="0"/>
    <x v="424"/>
    <x v="424"/>
    <n v="1"/>
    <s v="ADET"/>
    <n v="0"/>
    <n v="37"/>
    <n v="2"/>
    <n v="-17"/>
    <n v="0"/>
    <n v="0"/>
    <n v="82.6"/>
    <x v="10"/>
    <n v="82.6"/>
    <x v="4"/>
  </r>
  <r>
    <x v="5"/>
    <s v="Matteo Giolo"/>
    <x v="0"/>
    <x v="424"/>
    <x v="424"/>
    <n v="1"/>
    <s v="ADET"/>
    <n v="0"/>
    <n v="37"/>
    <n v="2"/>
    <n v="-17"/>
    <n v="0"/>
    <n v="0"/>
    <n v="82.6"/>
    <x v="10"/>
    <n v="82.6"/>
    <x v="4"/>
  </r>
  <r>
    <x v="3"/>
    <s v="Stina Alm"/>
    <x v="0"/>
    <x v="424"/>
    <x v="424"/>
    <n v="1"/>
    <s v="ADET"/>
    <n v="0"/>
    <n v="37"/>
    <n v="2"/>
    <n v="-17"/>
    <n v="0"/>
    <n v="0"/>
    <n v="82.6"/>
    <x v="10"/>
    <n v="82.6"/>
    <x v="4"/>
  </r>
  <r>
    <x v="4"/>
    <s v="Stefan Zaugg"/>
    <x v="0"/>
    <x v="425"/>
    <x v="425"/>
    <n v="5"/>
    <s v="ADET"/>
    <n v="0"/>
    <n v="0"/>
    <n v="0"/>
    <n v="10"/>
    <n v="0"/>
    <n v="6.6000000000000005"/>
    <n v="0.66"/>
    <x v="5"/>
    <n v="3.3000000000000003"/>
    <x v="2"/>
  </r>
  <r>
    <x v="12"/>
    <s v="Matteo Giolo"/>
    <x v="0"/>
    <x v="416"/>
    <x v="416"/>
    <n v="1"/>
    <s v="ADET"/>
    <n v="0"/>
    <n v="17"/>
    <n v="11"/>
    <n v="-5"/>
    <n v="0"/>
    <n v="0"/>
    <n v="115.6"/>
    <x v="15"/>
    <n v="115.6"/>
    <x v="7"/>
  </r>
  <r>
    <x v="12"/>
    <s v="Matteo Giolo"/>
    <x v="0"/>
    <x v="415"/>
    <x v="415"/>
    <n v="2"/>
    <s v="ADET"/>
    <n v="0"/>
    <n v="34"/>
    <n v="62"/>
    <n v="-12"/>
    <n v="0"/>
    <n v="0"/>
    <n v="19.07"/>
    <x v="15"/>
    <n v="38.14"/>
    <x v="7"/>
  </r>
  <r>
    <x v="12"/>
    <s v="Matteo Giolo"/>
    <x v="0"/>
    <x v="424"/>
    <x v="424"/>
    <n v="1"/>
    <s v="ADET"/>
    <n v="0"/>
    <n v="37"/>
    <n v="2"/>
    <n v="-17"/>
    <n v="0"/>
    <n v="0"/>
    <n v="82.6"/>
    <x v="10"/>
    <n v="82.6"/>
    <x v="4"/>
  </r>
  <r>
    <x v="7"/>
    <s v="Laurent MONTAGNER"/>
    <x v="0"/>
    <x v="424"/>
    <x v="424"/>
    <n v="1"/>
    <s v="ADET"/>
    <n v="0"/>
    <n v="37"/>
    <n v="2"/>
    <n v="-17"/>
    <n v="0"/>
    <n v="0"/>
    <n v="82.6"/>
    <x v="10"/>
    <n v="82.6"/>
    <x v="4"/>
  </r>
  <r>
    <x v="12"/>
    <s v="Matteo Giolo"/>
    <x v="0"/>
    <x v="426"/>
    <x v="426"/>
    <n v="18"/>
    <s v="ADET"/>
    <n v="0"/>
    <n v="180"/>
    <n v="80"/>
    <n v="32"/>
    <n v="0"/>
    <n v="7680"/>
    <n v="240"/>
    <x v="14"/>
    <n v="4320"/>
    <x v="2"/>
  </r>
  <r>
    <x v="5"/>
    <s v="Matteo Giolo"/>
    <x v="0"/>
    <x v="427"/>
    <x v="427"/>
    <n v="17.100000000000001"/>
    <s v="KG"/>
    <n v="0"/>
    <n v="0"/>
    <n v="154.94999999999996"/>
    <n v="21.899999999999991"/>
    <n v="60"/>
    <n v="4265.0249999999987"/>
    <n v="194.75"/>
    <x v="3"/>
    <n v="3330.2250000000004"/>
    <x v="3"/>
  </r>
  <r>
    <x v="5"/>
    <s v="Matteo Giolo"/>
    <x v="0"/>
    <x v="428"/>
    <x v="428"/>
    <n v="10"/>
    <s v="ADET"/>
    <n v="0"/>
    <n v="0"/>
    <n v="58.050000000000026"/>
    <n v="144.72000000000003"/>
    <n v="37"/>
    <n v="261099.48240000007"/>
    <n v="1804.17"/>
    <x v="63"/>
    <n v="18041.7"/>
    <x v="8"/>
  </r>
  <r>
    <x v="4"/>
    <s v="Stefan Zaugg"/>
    <x v="0"/>
    <x v="428"/>
    <x v="428"/>
    <n v="5.5"/>
    <s v="ADET"/>
    <n v="0"/>
    <n v="0"/>
    <n v="58.050000000000026"/>
    <n v="144.72000000000003"/>
    <n v="37"/>
    <n v="261099.48240000007"/>
    <n v="1804.17"/>
    <x v="63"/>
    <n v="9922.9350000000013"/>
    <x v="8"/>
  </r>
  <r>
    <x v="7"/>
    <s v="Laurent MONTAGNER"/>
    <x v="0"/>
    <x v="429"/>
    <x v="429"/>
    <n v="1"/>
    <s v="ADET"/>
    <n v="1"/>
    <n v="4"/>
    <n v="10"/>
    <n v="1"/>
    <n v="7"/>
    <n v="1535.25"/>
    <n v="1535.25"/>
    <x v="47"/>
    <n v="1535.25"/>
    <x v="7"/>
  </r>
  <r>
    <x v="4"/>
    <s v="Stefan Zaugg"/>
    <x v="0"/>
    <x v="429"/>
    <x v="429"/>
    <n v="1"/>
    <s v="ADET"/>
    <n v="1"/>
    <n v="4"/>
    <n v="10"/>
    <n v="1"/>
    <n v="7"/>
    <n v="1535.25"/>
    <n v="1535.25"/>
    <x v="47"/>
    <n v="1535.25"/>
    <x v="7"/>
  </r>
  <r>
    <x v="3"/>
    <s v="Stina Alm"/>
    <x v="0"/>
    <x v="429"/>
    <x v="429"/>
    <n v="1"/>
    <s v="ADET"/>
    <n v="0"/>
    <n v="4"/>
    <n v="10"/>
    <n v="1"/>
    <n v="7"/>
    <n v="1535.25"/>
    <n v="1535.25"/>
    <x v="47"/>
    <n v="1535.25"/>
    <x v="7"/>
  </r>
  <r>
    <x v="3"/>
    <s v="Stina Alm"/>
    <x v="0"/>
    <x v="430"/>
    <x v="430"/>
    <n v="2"/>
    <s v="ADET"/>
    <n v="0"/>
    <n v="4"/>
    <n v="10"/>
    <n v="26"/>
    <n v="0"/>
    <n v="41686.58"/>
    <n v="1603.33"/>
    <x v="82"/>
    <n v="3206.66"/>
    <x v="7"/>
  </r>
  <r>
    <x v="12"/>
    <s v="Matteo Giolo"/>
    <x v="0"/>
    <x v="431"/>
    <x v="431"/>
    <n v="8"/>
    <s v="ADET"/>
    <n v="0"/>
    <n v="524"/>
    <n v="352"/>
    <n v="-374"/>
    <n v="0"/>
    <n v="0"/>
    <n v="8.1"/>
    <x v="57"/>
    <n v="64.8"/>
    <x v="7"/>
  </r>
  <r>
    <x v="5"/>
    <s v="Matteo Giolo"/>
    <x v="0"/>
    <x v="426"/>
    <x v="426"/>
    <n v="12.5"/>
    <s v="ADET"/>
    <n v="0"/>
    <n v="180"/>
    <n v="80"/>
    <n v="32"/>
    <n v="0"/>
    <n v="7680"/>
    <n v="240"/>
    <x v="14"/>
    <n v="3000"/>
    <x v="2"/>
  </r>
  <r>
    <x v="3"/>
    <s v="Stina Alm"/>
    <x v="0"/>
    <x v="427"/>
    <x v="427"/>
    <n v="16.66"/>
    <s v="KG"/>
    <n v="0"/>
    <n v="0"/>
    <n v="154.94999999999996"/>
    <n v="21.899999999999991"/>
    <n v="60"/>
    <n v="4265.0249999999987"/>
    <n v="194.75"/>
    <x v="3"/>
    <n v="3244.5349999999999"/>
    <x v="3"/>
  </r>
  <r>
    <x v="3"/>
    <s v="Stina Alm"/>
    <x v="0"/>
    <x v="428"/>
    <x v="428"/>
    <n v="16.240000000000002"/>
    <s v="ADET"/>
    <n v="0"/>
    <n v="0"/>
    <n v="58.050000000000026"/>
    <n v="144.72000000000003"/>
    <n v="37"/>
    <n v="261099.48240000007"/>
    <n v="1804.17"/>
    <x v="63"/>
    <n v="29299.720800000006"/>
    <x v="8"/>
  </r>
  <r>
    <x v="5"/>
    <s v="Matteo Giolo"/>
    <x v="0"/>
    <x v="429"/>
    <x v="429"/>
    <n v="1"/>
    <s v="ADET"/>
    <n v="0"/>
    <n v="4"/>
    <n v="10"/>
    <n v="1"/>
    <n v="7"/>
    <n v="1535.25"/>
    <n v="1535.25"/>
    <x v="47"/>
    <n v="1535.25"/>
    <x v="7"/>
  </r>
  <r>
    <x v="5"/>
    <s v="Matteo Giolo"/>
    <x v="0"/>
    <x v="430"/>
    <x v="430"/>
    <n v="2"/>
    <s v="ADET"/>
    <n v="0"/>
    <n v="4"/>
    <n v="10"/>
    <n v="26"/>
    <n v="0"/>
    <n v="41686.58"/>
    <n v="1603.33"/>
    <x v="82"/>
    <n v="3206.66"/>
    <x v="7"/>
  </r>
  <r>
    <x v="4"/>
    <s v="Stefan Zaugg"/>
    <x v="0"/>
    <x v="432"/>
    <x v="432"/>
    <n v="1"/>
    <s v="ADET"/>
    <n v="0"/>
    <n v="0"/>
    <n v="0"/>
    <n v="1"/>
    <n v="0"/>
    <n v="0"/>
    <n v="0"/>
    <x v="5"/>
    <n v="0"/>
    <x v="6"/>
  </r>
  <r>
    <x v="0"/>
    <s v="Soner Kayıkçı"/>
    <x v="0"/>
    <x v="433"/>
    <x v="433"/>
    <n v="4"/>
    <s v="ADET"/>
    <n v="0"/>
    <n v="0"/>
    <n v="4"/>
    <n v="16"/>
    <n v="0"/>
    <n v="1440"/>
    <n v="90"/>
    <x v="96"/>
    <n v="360"/>
    <x v="11"/>
  </r>
  <r>
    <x v="1"/>
    <s v="Stina Alm"/>
    <x v="0"/>
    <x v="416"/>
    <x v="416"/>
    <n v="1"/>
    <s v="ADET"/>
    <n v="0"/>
    <n v="17"/>
    <n v="11"/>
    <n v="-5"/>
    <n v="0"/>
    <n v="0"/>
    <n v="115.6"/>
    <x v="15"/>
    <n v="115.6"/>
    <x v="7"/>
  </r>
  <r>
    <x v="0"/>
    <s v="Soner Kayıkçı"/>
    <x v="0"/>
    <x v="415"/>
    <x v="415"/>
    <n v="2"/>
    <s v="ADET"/>
    <n v="0"/>
    <n v="34"/>
    <n v="62"/>
    <n v="-12"/>
    <n v="0"/>
    <n v="0"/>
    <n v="19.07"/>
    <x v="15"/>
    <n v="38.14"/>
    <x v="7"/>
  </r>
  <r>
    <x v="1"/>
    <s v="Stina Alm"/>
    <x v="0"/>
    <x v="388"/>
    <x v="388"/>
    <n v="1"/>
    <s v="ADET"/>
    <n v="0"/>
    <n v="4"/>
    <n v="9"/>
    <n v="1"/>
    <n v="6"/>
    <n v="1600"/>
    <n v="1600"/>
    <x v="14"/>
    <n v="1600"/>
    <x v="4"/>
  </r>
  <r>
    <x v="1"/>
    <s v="Stina Alm"/>
    <x v="0"/>
    <x v="389"/>
    <x v="389"/>
    <n v="1"/>
    <s v="ADET"/>
    <n v="0"/>
    <n v="4"/>
    <n v="10"/>
    <n v="-3"/>
    <n v="10"/>
    <n v="0"/>
    <n v="583.77"/>
    <x v="92"/>
    <n v="583.77"/>
    <x v="2"/>
  </r>
  <r>
    <x v="3"/>
    <s v="Stina Alm"/>
    <x v="0"/>
    <x v="391"/>
    <x v="391"/>
    <n v="1"/>
    <s v="ADET"/>
    <n v="0"/>
    <n v="42"/>
    <n v="10"/>
    <n v="-30"/>
    <n v="0"/>
    <n v="0"/>
    <n v="142.5"/>
    <x v="15"/>
    <n v="142.5"/>
    <x v="7"/>
  </r>
  <r>
    <x v="12"/>
    <s v="Matteo Giolo"/>
    <x v="0"/>
    <x v="434"/>
    <x v="434"/>
    <n v="6"/>
    <s v="ADET"/>
    <n v="0"/>
    <n v="0"/>
    <n v="0"/>
    <n v="42"/>
    <n v="0"/>
    <n v="15.12"/>
    <n v="0.36"/>
    <x v="8"/>
    <n v="2.16"/>
    <x v="2"/>
  </r>
  <r>
    <x v="10"/>
    <s v="Jan Urbanek"/>
    <x v="0"/>
    <x v="389"/>
    <x v="389"/>
    <n v="1"/>
    <s v="ADET"/>
    <n v="0"/>
    <n v="4"/>
    <n v="10"/>
    <n v="-3"/>
    <n v="10"/>
    <n v="0"/>
    <n v="583.77"/>
    <x v="92"/>
    <n v="583.77"/>
    <x v="2"/>
  </r>
  <r>
    <x v="10"/>
    <s v="Jan Urbanek"/>
    <x v="0"/>
    <x v="390"/>
    <x v="390"/>
    <n v="2"/>
    <s v="ADET"/>
    <n v="0"/>
    <n v="216"/>
    <n v="118"/>
    <n v="-190"/>
    <n v="0"/>
    <n v="0"/>
    <n v="3.95"/>
    <x v="20"/>
    <n v="7.9"/>
    <x v="7"/>
  </r>
  <r>
    <x v="8"/>
    <s v="Jan Urbanek"/>
    <x v="0"/>
    <x v="390"/>
    <x v="390"/>
    <n v="2"/>
    <s v="ADET"/>
    <n v="0"/>
    <n v="216"/>
    <n v="118"/>
    <n v="-190"/>
    <n v="0"/>
    <n v="0"/>
    <n v="3.95"/>
    <x v="20"/>
    <n v="7.9"/>
    <x v="7"/>
  </r>
  <r>
    <x v="9"/>
    <s v="Jan Urbanek"/>
    <x v="0"/>
    <x v="390"/>
    <x v="390"/>
    <n v="2"/>
    <s v="ADET"/>
    <n v="0"/>
    <n v="216"/>
    <n v="118"/>
    <n v="-190"/>
    <n v="0"/>
    <n v="0"/>
    <n v="3.95"/>
    <x v="20"/>
    <n v="7.9"/>
    <x v="7"/>
  </r>
  <r>
    <x v="10"/>
    <s v="Jan Urbanek"/>
    <x v="0"/>
    <x v="391"/>
    <x v="391"/>
    <n v="1"/>
    <s v="ADET"/>
    <n v="0"/>
    <n v="42"/>
    <n v="10"/>
    <n v="-30"/>
    <n v="0"/>
    <n v="0"/>
    <n v="142.5"/>
    <x v="15"/>
    <n v="142.5"/>
    <x v="7"/>
  </r>
  <r>
    <x v="16"/>
    <s v="Stefan Zaugg"/>
    <x v="0"/>
    <x v="423"/>
    <x v="423"/>
    <n v="1"/>
    <s v="ADET"/>
    <n v="0"/>
    <n v="11"/>
    <n v="4"/>
    <n v="-4"/>
    <n v="0"/>
    <n v="0"/>
    <n v="1679.53"/>
    <x v="74"/>
    <n v="1679.53"/>
    <x v="4"/>
  </r>
  <r>
    <x v="11"/>
    <s v="Jan Urbanek"/>
    <x v="0"/>
    <x v="434"/>
    <x v="434"/>
    <n v="6"/>
    <s v="ADET"/>
    <n v="0"/>
    <n v="0"/>
    <n v="0"/>
    <n v="42"/>
    <n v="0"/>
    <n v="15.12"/>
    <n v="0.36"/>
    <x v="8"/>
    <n v="2.16"/>
    <x v="2"/>
  </r>
  <r>
    <x v="10"/>
    <s v="Jan Urbanek"/>
    <x v="0"/>
    <x v="421"/>
    <x v="421"/>
    <n v="1"/>
    <s v="ADET"/>
    <n v="0"/>
    <n v="20.5"/>
    <n v="5"/>
    <n v="-9.5"/>
    <n v="0"/>
    <n v="0"/>
    <n v="175"/>
    <x v="35"/>
    <n v="175"/>
    <x v="2"/>
  </r>
  <r>
    <x v="12"/>
    <s v="Matteo Giolo"/>
    <x v="0"/>
    <x v="389"/>
    <x v="389"/>
    <n v="1"/>
    <s v="ADET"/>
    <n v="0"/>
    <n v="4"/>
    <n v="10"/>
    <n v="-3"/>
    <n v="10"/>
    <n v="0"/>
    <n v="583.77"/>
    <x v="92"/>
    <n v="583.77"/>
    <x v="2"/>
  </r>
  <r>
    <x v="12"/>
    <s v="Matteo Giolo"/>
    <x v="0"/>
    <x v="391"/>
    <x v="391"/>
    <n v="1"/>
    <s v="ADET"/>
    <n v="0"/>
    <n v="42"/>
    <n v="10"/>
    <n v="-30"/>
    <n v="0"/>
    <n v="0"/>
    <n v="142.5"/>
    <x v="15"/>
    <n v="142.5"/>
    <x v="7"/>
  </r>
  <r>
    <x v="12"/>
    <s v="Matteo Giolo"/>
    <x v="0"/>
    <x v="435"/>
    <x v="435"/>
    <n v="2"/>
    <s v="ADET"/>
    <n v="0"/>
    <n v="0"/>
    <n v="0"/>
    <n v="14"/>
    <n v="0"/>
    <n v="0"/>
    <n v="0"/>
    <x v="5"/>
    <n v="0"/>
    <x v="7"/>
  </r>
  <r>
    <x v="12"/>
    <s v="Matteo Giolo"/>
    <x v="0"/>
    <x v="421"/>
    <x v="421"/>
    <n v="1"/>
    <s v="ADET"/>
    <n v="0"/>
    <n v="20.5"/>
    <n v="5"/>
    <n v="-9.5"/>
    <n v="0"/>
    <n v="0"/>
    <n v="175"/>
    <x v="35"/>
    <n v="175"/>
    <x v="2"/>
  </r>
  <r>
    <x v="12"/>
    <s v="Matteo Giolo"/>
    <x v="0"/>
    <x v="422"/>
    <x v="422"/>
    <n v="1"/>
    <s v="ADET"/>
    <n v="0"/>
    <n v="12"/>
    <n v="17"/>
    <n v="-1"/>
    <n v="0"/>
    <n v="0"/>
    <n v="400"/>
    <x v="85"/>
    <n v="400"/>
    <x v="6"/>
  </r>
  <r>
    <x v="5"/>
    <s v="Matteo Giolo"/>
    <x v="0"/>
    <x v="422"/>
    <x v="422"/>
    <n v="1"/>
    <s v="ADET"/>
    <n v="0"/>
    <n v="12"/>
    <n v="17"/>
    <n v="-1"/>
    <n v="0"/>
    <n v="0"/>
    <n v="400"/>
    <x v="85"/>
    <n v="400"/>
    <x v="6"/>
  </r>
  <r>
    <x v="12"/>
    <s v="Matteo Giolo"/>
    <x v="0"/>
    <x v="423"/>
    <x v="423"/>
    <n v="1"/>
    <s v="ADET"/>
    <n v="0"/>
    <n v="11"/>
    <n v="4"/>
    <n v="-4"/>
    <n v="0"/>
    <n v="0"/>
    <n v="1679.53"/>
    <x v="74"/>
    <n v="1679.53"/>
    <x v="4"/>
  </r>
  <r>
    <x v="0"/>
    <s v="Soner Kayıkçı"/>
    <x v="0"/>
    <x v="403"/>
    <x v="403"/>
    <n v="1"/>
    <s v="ADET"/>
    <n v="0"/>
    <n v="28"/>
    <n v="4"/>
    <n v="-21"/>
    <n v="0"/>
    <n v="0"/>
    <n v="290.73"/>
    <x v="74"/>
    <n v="290.73"/>
    <x v="4"/>
  </r>
  <r>
    <x v="0"/>
    <s v="Soner Kayıkçı"/>
    <x v="0"/>
    <x v="418"/>
    <x v="418"/>
    <n v="2"/>
    <s v="ADET"/>
    <n v="0"/>
    <n v="265"/>
    <n v="94"/>
    <n v="-249"/>
    <n v="0"/>
    <n v="0"/>
    <n v="4"/>
    <x v="20"/>
    <n v="8"/>
    <x v="7"/>
  </r>
  <r>
    <x v="3"/>
    <s v="Stina Alm"/>
    <x v="0"/>
    <x v="413"/>
    <x v="413"/>
    <n v="1"/>
    <s v="ADET"/>
    <n v="0"/>
    <n v="3"/>
    <n v="8"/>
    <n v="-2"/>
    <n v="10"/>
    <n v="0"/>
    <n v="3097.63"/>
    <x v="92"/>
    <n v="3097.63"/>
    <x v="4"/>
  </r>
  <r>
    <x v="11"/>
    <s v="Jan Urbanek"/>
    <x v="0"/>
    <x v="190"/>
    <x v="190"/>
    <n v="28"/>
    <s v="ADET"/>
    <n v="0"/>
    <n v="800"/>
    <n v="0"/>
    <n v="-414"/>
    <n v="0"/>
    <n v="0"/>
    <n v="13.75"/>
    <x v="21"/>
    <n v="385"/>
    <x v="2"/>
  </r>
  <r>
    <x v="11"/>
    <s v="Jan Urbanek"/>
    <x v="0"/>
    <x v="211"/>
    <x v="211"/>
    <n v="1"/>
    <s v="ADET"/>
    <n v="0"/>
    <n v="14"/>
    <n v="9.9999999999999929"/>
    <n v="2.5700000000000003"/>
    <n v="0"/>
    <n v="552.55000000000007"/>
    <n v="215"/>
    <x v="14"/>
    <n v="215"/>
    <x v="2"/>
  </r>
  <r>
    <x v="11"/>
    <s v="Jan Urbanek"/>
    <x v="0"/>
    <x v="212"/>
    <x v="212"/>
    <n v="3.2"/>
    <s v="ADET"/>
    <n v="0"/>
    <n v="272"/>
    <n v="4.2999999999999652"/>
    <n v="-233.2"/>
    <n v="0"/>
    <n v="0"/>
    <n v="30"/>
    <x v="14"/>
    <n v="96"/>
    <x v="2"/>
  </r>
  <r>
    <x v="8"/>
    <s v="Jan Urbanek"/>
    <x v="0"/>
    <x v="400"/>
    <x v="400"/>
    <n v="1"/>
    <s v="ADET"/>
    <n v="0"/>
    <n v="27"/>
    <n v="4"/>
    <n v="-20"/>
    <n v="0"/>
    <n v="0"/>
    <n v="290.73"/>
    <x v="74"/>
    <n v="290.73"/>
    <x v="4"/>
  </r>
  <r>
    <x v="1"/>
    <s v="Stina Alm"/>
    <x v="0"/>
    <x v="415"/>
    <x v="415"/>
    <n v="1"/>
    <s v="ADET"/>
    <n v="0"/>
    <n v="34"/>
    <n v="62"/>
    <n v="-12"/>
    <n v="0"/>
    <n v="0"/>
    <n v="19.07"/>
    <x v="15"/>
    <n v="19.07"/>
    <x v="7"/>
  </r>
  <r>
    <x v="1"/>
    <s v="Stina Alm"/>
    <x v="0"/>
    <x v="426"/>
    <x v="426"/>
    <n v="9.5"/>
    <s v="ADET"/>
    <n v="0"/>
    <n v="180"/>
    <n v="80"/>
    <n v="32"/>
    <n v="0"/>
    <n v="7680"/>
    <n v="240"/>
    <x v="14"/>
    <n v="2280"/>
    <x v="2"/>
  </r>
  <r>
    <x v="0"/>
    <s v="Soner Kayıkçı"/>
    <x v="0"/>
    <x v="427"/>
    <x v="427"/>
    <n v="2.4700000000000002"/>
    <s v="KG"/>
    <n v="0"/>
    <n v="0"/>
    <n v="154.94999999999996"/>
    <n v="21.899999999999991"/>
    <n v="60"/>
    <n v="4265.0249999999987"/>
    <n v="194.75"/>
    <x v="3"/>
    <n v="481.03250000000003"/>
    <x v="3"/>
  </r>
  <r>
    <x v="1"/>
    <s v="Stina Alm"/>
    <x v="0"/>
    <x v="427"/>
    <x v="427"/>
    <n v="16.66"/>
    <s v="KG"/>
    <n v="0"/>
    <n v="0"/>
    <n v="154.94999999999996"/>
    <n v="21.899999999999991"/>
    <n v="60"/>
    <n v="4265.0249999999987"/>
    <n v="194.75"/>
    <x v="3"/>
    <n v="3244.5349999999999"/>
    <x v="3"/>
  </r>
  <r>
    <x v="0"/>
    <s v="Soner Kayıkçı"/>
    <x v="0"/>
    <x v="428"/>
    <x v="428"/>
    <n v="10"/>
    <s v="ADET"/>
    <n v="0"/>
    <n v="0"/>
    <n v="58.050000000000026"/>
    <n v="144.72000000000003"/>
    <n v="37"/>
    <n v="261099.48240000007"/>
    <n v="1804.17"/>
    <x v="63"/>
    <n v="18041.7"/>
    <x v="8"/>
  </r>
  <r>
    <x v="2"/>
    <s v="Laurent MONTAGNER"/>
    <x v="0"/>
    <x v="428"/>
    <x v="428"/>
    <n v="10"/>
    <s v="ADET"/>
    <n v="0"/>
    <n v="0"/>
    <n v="58.050000000000026"/>
    <n v="144.72000000000003"/>
    <n v="37"/>
    <n v="261099.48240000007"/>
    <n v="1804.17"/>
    <x v="63"/>
    <n v="18041.7"/>
    <x v="8"/>
  </r>
  <r>
    <x v="1"/>
    <s v="Stina Alm"/>
    <x v="0"/>
    <x v="429"/>
    <x v="429"/>
    <n v="1"/>
    <s v="ADET"/>
    <n v="0"/>
    <n v="4"/>
    <n v="10"/>
    <n v="1"/>
    <n v="7"/>
    <n v="1535.25"/>
    <n v="1535.25"/>
    <x v="47"/>
    <n v="1535.25"/>
    <x v="7"/>
  </r>
  <r>
    <x v="11"/>
    <s v="Jan Urbanek"/>
    <x v="0"/>
    <x v="433"/>
    <x v="433"/>
    <n v="4"/>
    <s v="ADET"/>
    <n v="0"/>
    <n v="0"/>
    <n v="4"/>
    <n v="16"/>
    <n v="0"/>
    <n v="1440"/>
    <n v="90"/>
    <x v="96"/>
    <n v="360"/>
    <x v="11"/>
  </r>
  <r>
    <x v="11"/>
    <s v="Jan Urbanek"/>
    <x v="0"/>
    <x v="416"/>
    <x v="416"/>
    <n v="1"/>
    <s v="ADET"/>
    <n v="0"/>
    <n v="17"/>
    <n v="11"/>
    <n v="-5"/>
    <n v="0"/>
    <n v="0"/>
    <n v="115.6"/>
    <x v="15"/>
    <n v="115.6"/>
    <x v="7"/>
  </r>
  <r>
    <x v="11"/>
    <s v="Jan Urbanek"/>
    <x v="0"/>
    <x v="415"/>
    <x v="415"/>
    <n v="2"/>
    <s v="ADET"/>
    <n v="0"/>
    <n v="34"/>
    <n v="62"/>
    <n v="-12"/>
    <n v="0"/>
    <n v="0"/>
    <n v="19.07"/>
    <x v="15"/>
    <n v="38.14"/>
    <x v="7"/>
  </r>
  <r>
    <x v="11"/>
    <s v="Jan Urbanek"/>
    <x v="0"/>
    <x v="424"/>
    <x v="424"/>
    <n v="1"/>
    <s v="ADET"/>
    <n v="0"/>
    <n v="37"/>
    <n v="2"/>
    <n v="-17"/>
    <n v="0"/>
    <n v="0"/>
    <n v="82.6"/>
    <x v="10"/>
    <n v="82.6"/>
    <x v="4"/>
  </r>
  <r>
    <x v="10"/>
    <s v="Jan Urbanek"/>
    <x v="0"/>
    <x v="426"/>
    <x v="426"/>
    <n v="18"/>
    <s v="ADET"/>
    <n v="0"/>
    <n v="180"/>
    <n v="80"/>
    <n v="32"/>
    <n v="0"/>
    <n v="7680"/>
    <n v="240"/>
    <x v="14"/>
    <n v="4320"/>
    <x v="2"/>
  </r>
  <r>
    <x v="12"/>
    <s v="Matteo Giolo"/>
    <x v="0"/>
    <x v="430"/>
    <x v="430"/>
    <n v="2"/>
    <s v="ADET"/>
    <n v="0"/>
    <n v="4"/>
    <n v="10"/>
    <n v="26"/>
    <n v="0"/>
    <n v="41686.58"/>
    <n v="1603.33"/>
    <x v="82"/>
    <n v="3206.66"/>
    <x v="7"/>
  </r>
  <r>
    <x v="7"/>
    <s v="Laurent MONTAGNER"/>
    <x v="0"/>
    <x v="430"/>
    <x v="430"/>
    <n v="2"/>
    <s v="ADET"/>
    <n v="2"/>
    <n v="4"/>
    <n v="10"/>
    <n v="26"/>
    <n v="0"/>
    <n v="41686.58"/>
    <n v="1603.33"/>
    <x v="82"/>
    <n v="3206.66"/>
    <x v="7"/>
  </r>
  <r>
    <x v="5"/>
    <s v="Matteo Giolo"/>
    <x v="0"/>
    <x v="431"/>
    <x v="431"/>
    <n v="8"/>
    <s v="ADET"/>
    <n v="0"/>
    <n v="524"/>
    <n v="352"/>
    <n v="-374"/>
    <n v="0"/>
    <n v="0"/>
    <n v="8.1"/>
    <x v="57"/>
    <n v="64.8"/>
    <x v="7"/>
  </r>
  <r>
    <x v="6"/>
    <s v="Laurent MONTAGNER"/>
    <x v="0"/>
    <x v="415"/>
    <x v="415"/>
    <n v="1"/>
    <s v="ADET"/>
    <n v="1"/>
    <n v="34"/>
    <n v="62"/>
    <n v="-12"/>
    <n v="0"/>
    <n v="0"/>
    <n v="19.07"/>
    <x v="15"/>
    <n v="19.07"/>
    <x v="7"/>
  </r>
  <r>
    <x v="10"/>
    <s v="Jan Urbanek"/>
    <x v="0"/>
    <x v="341"/>
    <x v="341"/>
    <n v="6"/>
    <s v="ADET"/>
    <n v="0"/>
    <n v="0"/>
    <n v="0"/>
    <n v="54"/>
    <n v="0"/>
    <n v="37.799999999999997"/>
    <n v="0.7"/>
    <x v="20"/>
    <n v="4.1999999999999993"/>
    <x v="7"/>
  </r>
  <r>
    <x v="8"/>
    <s v="Jan Urbanek"/>
    <x v="0"/>
    <x v="341"/>
    <x v="341"/>
    <n v="6"/>
    <s v="ADET"/>
    <n v="0"/>
    <n v="0"/>
    <n v="0"/>
    <n v="54"/>
    <n v="0"/>
    <n v="37.799999999999997"/>
    <n v="0.7"/>
    <x v="20"/>
    <n v="4.1999999999999993"/>
    <x v="7"/>
  </r>
  <r>
    <x v="10"/>
    <s v="Jan Urbanek"/>
    <x v="0"/>
    <x v="342"/>
    <x v="342"/>
    <n v="0.5"/>
    <s v="ADET"/>
    <n v="0"/>
    <n v="0"/>
    <n v="6.1000000000000023"/>
    <n v="8.8000000000000007"/>
    <n v="5"/>
    <n v="6056.1600000000008"/>
    <n v="688.2"/>
    <x v="41"/>
    <n v="344.1"/>
    <x v="5"/>
  </r>
  <r>
    <x v="9"/>
    <s v="Jan Urbanek"/>
    <x v="0"/>
    <x v="343"/>
    <x v="343"/>
    <n v="3"/>
    <s v="ADET"/>
    <n v="0"/>
    <n v="0"/>
    <n v="4.0000000000000497"/>
    <n v="28.999999999999993"/>
    <n v="22"/>
    <n v="30208.429999999993"/>
    <n v="1041.67"/>
    <x v="63"/>
    <n v="3125.01"/>
    <x v="8"/>
  </r>
  <r>
    <x v="10"/>
    <s v="Jan Urbanek"/>
    <x v="0"/>
    <x v="354"/>
    <x v="354"/>
    <n v="120"/>
    <s v="METRE"/>
    <n v="0"/>
    <n v="0"/>
    <n v="0"/>
    <n v="1760"/>
    <n v="0"/>
    <n v="0"/>
    <n v="0"/>
    <x v="5"/>
    <n v="0"/>
    <x v="5"/>
  </r>
  <r>
    <x v="6"/>
    <s v="Laurent MONTAGNER"/>
    <x v="0"/>
    <x v="343"/>
    <x v="343"/>
    <n v="2"/>
    <s v="ADET"/>
    <n v="0"/>
    <n v="0"/>
    <n v="4.0000000000000497"/>
    <n v="28.999999999999993"/>
    <n v="22"/>
    <n v="30208.429999999993"/>
    <n v="1041.67"/>
    <x v="63"/>
    <n v="2083.34"/>
    <x v="8"/>
  </r>
  <r>
    <x v="2"/>
    <s v="Laurent MONTAGNER"/>
    <x v="0"/>
    <x v="343"/>
    <x v="343"/>
    <n v="5"/>
    <s v="ADET"/>
    <n v="0"/>
    <n v="0"/>
    <n v="4.0000000000000497"/>
    <n v="28.999999999999993"/>
    <n v="22"/>
    <n v="30208.429999999993"/>
    <n v="1041.67"/>
    <x v="63"/>
    <n v="5208.3500000000004"/>
    <x v="8"/>
  </r>
  <r>
    <x v="6"/>
    <s v="Laurent MONTAGNER"/>
    <x v="0"/>
    <x v="354"/>
    <x v="354"/>
    <n v="120"/>
    <s v="METRE"/>
    <n v="0"/>
    <n v="0"/>
    <n v="0"/>
    <n v="1760"/>
    <n v="0"/>
    <n v="0"/>
    <n v="0"/>
    <x v="5"/>
    <n v="0"/>
    <x v="5"/>
  </r>
  <r>
    <x v="2"/>
    <s v="Laurent MONTAGNER"/>
    <x v="0"/>
    <x v="354"/>
    <x v="354"/>
    <n v="120"/>
    <s v="METRE"/>
    <n v="0"/>
    <n v="0"/>
    <n v="0"/>
    <n v="1760"/>
    <n v="0"/>
    <n v="0"/>
    <n v="0"/>
    <x v="5"/>
    <n v="0"/>
    <x v="5"/>
  </r>
  <r>
    <x v="6"/>
    <s v="Laurent MONTAGNER"/>
    <x v="0"/>
    <x v="370"/>
    <x v="370"/>
    <n v="0.5"/>
    <s v="ADET"/>
    <n v="0"/>
    <n v="100"/>
    <n v="0"/>
    <n v="-90.5"/>
    <n v="0"/>
    <n v="0"/>
    <n v="13.5"/>
    <x v="14"/>
    <n v="6.75"/>
    <x v="2"/>
  </r>
  <r>
    <x v="3"/>
    <s v="Stina Alm"/>
    <x v="0"/>
    <x v="436"/>
    <x v="436"/>
    <n v="1"/>
    <s v="ADET"/>
    <n v="0"/>
    <n v="10"/>
    <n v="17"/>
    <n v="1"/>
    <n v="0"/>
    <n v="565.83000000000004"/>
    <n v="565.83000000000004"/>
    <x v="85"/>
    <n v="565.83000000000004"/>
    <x v="12"/>
  </r>
  <r>
    <x v="1"/>
    <s v="Stina Alm"/>
    <x v="0"/>
    <x v="343"/>
    <x v="343"/>
    <n v="5"/>
    <s v="ADET"/>
    <n v="0"/>
    <n v="0"/>
    <n v="4.0000000000000497"/>
    <n v="28.999999999999993"/>
    <n v="22"/>
    <n v="30208.429999999993"/>
    <n v="1041.67"/>
    <x v="63"/>
    <n v="5208.3500000000004"/>
    <x v="8"/>
  </r>
  <r>
    <x v="1"/>
    <s v="Stina Alm"/>
    <x v="0"/>
    <x v="354"/>
    <x v="354"/>
    <n v="120"/>
    <s v="METRE"/>
    <n v="0"/>
    <n v="0"/>
    <n v="0"/>
    <n v="1760"/>
    <n v="0"/>
    <n v="0"/>
    <n v="0"/>
    <x v="5"/>
    <n v="0"/>
    <x v="5"/>
  </r>
  <r>
    <x v="0"/>
    <s v="Soner Kayıkçı"/>
    <x v="0"/>
    <x v="370"/>
    <x v="370"/>
    <n v="0.5"/>
    <s v="ADET"/>
    <n v="0"/>
    <n v="100"/>
    <n v="0"/>
    <n v="-90.5"/>
    <n v="0"/>
    <n v="0"/>
    <n v="13.5"/>
    <x v="14"/>
    <n v="6.75"/>
    <x v="2"/>
  </r>
  <r>
    <x v="2"/>
    <s v="Laurent MONTAGNER"/>
    <x v="0"/>
    <x v="370"/>
    <x v="370"/>
    <n v="0.5"/>
    <s v="ADET"/>
    <n v="0"/>
    <n v="100"/>
    <n v="0"/>
    <n v="-90.5"/>
    <n v="0"/>
    <n v="0"/>
    <n v="13.5"/>
    <x v="14"/>
    <n v="6.75"/>
    <x v="2"/>
  </r>
  <r>
    <x v="1"/>
    <s v="Stina Alm"/>
    <x v="0"/>
    <x v="371"/>
    <x v="371"/>
    <n v="1"/>
    <s v="M2"/>
    <n v="0"/>
    <n v="0"/>
    <n v="67.08499999999998"/>
    <n v="15"/>
    <n v="0"/>
    <n v="9778.0499999999993"/>
    <n v="651.87"/>
    <x v="63"/>
    <n v="651.87"/>
    <x v="8"/>
  </r>
  <r>
    <x v="11"/>
    <s v="Jan Urbanek"/>
    <x v="0"/>
    <x v="354"/>
    <x v="354"/>
    <n v="120"/>
    <s v="METRE"/>
    <n v="0"/>
    <n v="0"/>
    <n v="0"/>
    <n v="1760"/>
    <n v="0"/>
    <n v="0"/>
    <n v="0"/>
    <x v="5"/>
    <n v="0"/>
    <x v="5"/>
  </r>
  <r>
    <x v="11"/>
    <s v="Jan Urbanek"/>
    <x v="0"/>
    <x v="356"/>
    <x v="356"/>
    <n v="0.13"/>
    <s v="M3"/>
    <n v="0"/>
    <n v="0"/>
    <n v="4.5430000000000446"/>
    <n v="1.4260000000000002"/>
    <n v="0"/>
    <n v="27807.000000000004"/>
    <n v="19500"/>
    <x v="87"/>
    <n v="2535"/>
    <x v="8"/>
  </r>
  <r>
    <x v="11"/>
    <s v="Jan Urbanek"/>
    <x v="0"/>
    <x v="370"/>
    <x v="370"/>
    <n v="0.5"/>
    <s v="ADET"/>
    <n v="0"/>
    <n v="100"/>
    <n v="0"/>
    <n v="-90.5"/>
    <n v="0"/>
    <n v="0"/>
    <n v="13.5"/>
    <x v="14"/>
    <n v="6.75"/>
    <x v="2"/>
  </r>
  <r>
    <x v="5"/>
    <s v="Matteo Giolo"/>
    <x v="0"/>
    <x v="437"/>
    <x v="437"/>
    <n v="1"/>
    <s v="ADET"/>
    <n v="0"/>
    <n v="12"/>
    <n v="8"/>
    <n v="0"/>
    <n v="0"/>
    <n v="0"/>
    <n v="401.17"/>
    <x v="97"/>
    <n v="401.17"/>
    <x v="7"/>
  </r>
  <r>
    <x v="19"/>
    <s v="Volkan Batkan"/>
    <x v="0"/>
    <x v="370"/>
    <x v="370"/>
    <n v="0.5"/>
    <s v="ADET"/>
    <n v="0"/>
    <n v="100"/>
    <n v="0"/>
    <n v="-90.5"/>
    <n v="0"/>
    <n v="0"/>
    <n v="13.5"/>
    <x v="14"/>
    <n v="6.75"/>
    <x v="2"/>
  </r>
  <r>
    <x v="15"/>
    <s v="Jan Urbanek"/>
    <x v="0"/>
    <x v="370"/>
    <x v="370"/>
    <n v="0.5"/>
    <s v="ADET"/>
    <n v="0"/>
    <n v="100"/>
    <n v="0"/>
    <n v="-90.5"/>
    <n v="0"/>
    <n v="0"/>
    <n v="13.5"/>
    <x v="14"/>
    <n v="6.75"/>
    <x v="2"/>
  </r>
  <r>
    <x v="14"/>
    <s v="Stefan Zaugg"/>
    <x v="0"/>
    <x v="370"/>
    <x v="370"/>
    <n v="0.5"/>
    <s v="ADET"/>
    <n v="0"/>
    <n v="100"/>
    <n v="0"/>
    <n v="-90.5"/>
    <n v="0"/>
    <n v="0"/>
    <n v="13.5"/>
    <x v="14"/>
    <n v="6.75"/>
    <x v="2"/>
  </r>
  <r>
    <x v="13"/>
    <s v="Matteo Giolo"/>
    <x v="0"/>
    <x v="370"/>
    <x v="370"/>
    <n v="0.5"/>
    <s v="ADET"/>
    <n v="0"/>
    <n v="100"/>
    <n v="0"/>
    <n v="-90.5"/>
    <n v="0"/>
    <n v="0"/>
    <n v="13.5"/>
    <x v="14"/>
    <n v="6.75"/>
    <x v="2"/>
  </r>
  <r>
    <x v="15"/>
    <s v="Jan Urbanek"/>
    <x v="0"/>
    <x v="371"/>
    <x v="371"/>
    <n v="1"/>
    <s v="M2"/>
    <n v="0"/>
    <n v="0"/>
    <n v="67.08499999999998"/>
    <n v="15"/>
    <n v="0"/>
    <n v="9778.0499999999993"/>
    <n v="651.87"/>
    <x v="63"/>
    <n v="651.87"/>
    <x v="8"/>
  </r>
  <r>
    <x v="14"/>
    <s v="Stefan Zaugg"/>
    <x v="0"/>
    <x v="371"/>
    <x v="371"/>
    <n v="1"/>
    <s v="M2"/>
    <n v="1"/>
    <n v="0"/>
    <n v="67.08499999999998"/>
    <n v="15"/>
    <n v="0"/>
    <n v="9778.0499999999993"/>
    <n v="651.87"/>
    <x v="63"/>
    <n v="651.87"/>
    <x v="8"/>
  </r>
  <r>
    <x v="9"/>
    <s v="Jan Urbanek"/>
    <x v="0"/>
    <x v="354"/>
    <x v="354"/>
    <n v="120"/>
    <s v="METRE"/>
    <n v="0"/>
    <n v="0"/>
    <n v="0"/>
    <n v="1760"/>
    <n v="0"/>
    <n v="0"/>
    <n v="0"/>
    <x v="5"/>
    <n v="0"/>
    <x v="5"/>
  </r>
  <r>
    <x v="8"/>
    <s v="Jan Urbanek"/>
    <x v="0"/>
    <x v="354"/>
    <x v="354"/>
    <n v="120"/>
    <s v="METRE"/>
    <n v="0"/>
    <n v="0"/>
    <n v="0"/>
    <n v="1760"/>
    <n v="0"/>
    <n v="0"/>
    <n v="0"/>
    <x v="5"/>
    <n v="0"/>
    <x v="5"/>
  </r>
  <r>
    <x v="9"/>
    <s v="Jan Urbanek"/>
    <x v="0"/>
    <x v="356"/>
    <x v="356"/>
    <n v="0.13"/>
    <s v="M3"/>
    <n v="0"/>
    <n v="0"/>
    <n v="4.5430000000000446"/>
    <n v="1.4260000000000002"/>
    <n v="0"/>
    <n v="27807.000000000004"/>
    <n v="19500"/>
    <x v="87"/>
    <n v="2535"/>
    <x v="8"/>
  </r>
  <r>
    <x v="10"/>
    <s v="Jan Urbanek"/>
    <x v="0"/>
    <x v="370"/>
    <x v="370"/>
    <n v="0.5"/>
    <s v="ADET"/>
    <n v="0"/>
    <n v="100"/>
    <n v="0"/>
    <n v="-90.5"/>
    <n v="0"/>
    <n v="0"/>
    <n v="13.5"/>
    <x v="14"/>
    <n v="6.75"/>
    <x v="2"/>
  </r>
  <r>
    <x v="8"/>
    <s v="Jan Urbanek"/>
    <x v="0"/>
    <x v="285"/>
    <x v="285"/>
    <n v="1.5"/>
    <s v="ADET"/>
    <n v="0"/>
    <n v="48"/>
    <n v="26"/>
    <n v="-19.5"/>
    <n v="0"/>
    <n v="0"/>
    <n v="5"/>
    <x v="14"/>
    <n v="7.5"/>
    <x v="2"/>
  </r>
  <r>
    <x v="9"/>
    <s v="Jan Urbanek"/>
    <x v="0"/>
    <x v="287"/>
    <x v="287"/>
    <n v="7"/>
    <s v="ADET"/>
    <n v="0"/>
    <n v="3000"/>
    <n v="0"/>
    <n v="-2847"/>
    <n v="0"/>
    <n v="0"/>
    <n v="0.7"/>
    <x v="14"/>
    <n v="4.8999999999999995"/>
    <x v="2"/>
  </r>
  <r>
    <x v="8"/>
    <s v="Jan Urbanek"/>
    <x v="0"/>
    <x v="287"/>
    <x v="287"/>
    <n v="7"/>
    <s v="ADET"/>
    <n v="0"/>
    <n v="3000"/>
    <n v="0"/>
    <n v="-2847"/>
    <n v="0"/>
    <n v="0"/>
    <n v="0.7"/>
    <x v="14"/>
    <n v="4.8999999999999995"/>
    <x v="2"/>
  </r>
  <r>
    <x v="10"/>
    <s v="Jan Urbanek"/>
    <x v="0"/>
    <x v="294"/>
    <x v="294"/>
    <n v="1"/>
    <s v="ADET"/>
    <n v="0"/>
    <n v="24"/>
    <n v="14"/>
    <n v="-15"/>
    <n v="0"/>
    <n v="0"/>
    <n v="15"/>
    <x v="20"/>
    <n v="15"/>
    <x v="7"/>
  </r>
  <r>
    <x v="15"/>
    <s v="Jan Urbanek"/>
    <x v="0"/>
    <x v="294"/>
    <x v="294"/>
    <n v="1"/>
    <s v="ADET"/>
    <n v="0"/>
    <n v="24"/>
    <n v="14"/>
    <n v="-15"/>
    <n v="0"/>
    <n v="0"/>
    <n v="15"/>
    <x v="20"/>
    <n v="15"/>
    <x v="7"/>
  </r>
  <r>
    <x v="10"/>
    <s v="Jan Urbanek"/>
    <x v="0"/>
    <x v="286"/>
    <x v="286"/>
    <n v="1"/>
    <s v="KG"/>
    <n v="0"/>
    <n v="0"/>
    <n v="0"/>
    <n v="19"/>
    <n v="0"/>
    <n v="1538.6200000000001"/>
    <n v="80.98"/>
    <x v="63"/>
    <n v="80.98"/>
    <x v="3"/>
  </r>
  <r>
    <x v="8"/>
    <s v="Jan Urbanek"/>
    <x v="0"/>
    <x v="286"/>
    <x v="286"/>
    <n v="1"/>
    <s v="KG"/>
    <n v="0"/>
    <n v="0"/>
    <n v="0"/>
    <n v="19"/>
    <n v="0"/>
    <n v="1538.6200000000001"/>
    <n v="80.98"/>
    <x v="63"/>
    <n v="80.98"/>
    <x v="3"/>
  </r>
  <r>
    <x v="9"/>
    <s v="Jan Urbanek"/>
    <x v="0"/>
    <x v="286"/>
    <x v="286"/>
    <n v="1"/>
    <s v="KG"/>
    <n v="0"/>
    <n v="0"/>
    <n v="0"/>
    <n v="19"/>
    <n v="0"/>
    <n v="1538.6200000000001"/>
    <n v="80.98"/>
    <x v="63"/>
    <n v="80.98"/>
    <x v="3"/>
  </r>
  <r>
    <x v="9"/>
    <s v="Jan Urbanek"/>
    <x v="0"/>
    <x v="294"/>
    <x v="294"/>
    <n v="1"/>
    <s v="ADET"/>
    <n v="0"/>
    <n v="24"/>
    <n v="14"/>
    <n v="-15"/>
    <n v="0"/>
    <n v="0"/>
    <n v="15"/>
    <x v="20"/>
    <n v="15"/>
    <x v="7"/>
  </r>
  <r>
    <x v="8"/>
    <s v="Jan Urbanek"/>
    <x v="0"/>
    <x v="294"/>
    <x v="294"/>
    <n v="1"/>
    <s v="ADET"/>
    <n v="0"/>
    <n v="24"/>
    <n v="14"/>
    <n v="-15"/>
    <n v="0"/>
    <n v="0"/>
    <n v="15"/>
    <x v="20"/>
    <n v="15"/>
    <x v="7"/>
  </r>
  <r>
    <x v="13"/>
    <s v="Matteo Giolo"/>
    <x v="0"/>
    <x v="438"/>
    <x v="438"/>
    <n v="50"/>
    <s v="M2"/>
    <n v="0"/>
    <n v="0"/>
    <n v="252.50000000000003"/>
    <n v="402.5"/>
    <n v="19.5"/>
    <n v="81928.875"/>
    <n v="203.55"/>
    <x v="63"/>
    <n v="10177.5"/>
    <x v="8"/>
  </r>
  <r>
    <x v="14"/>
    <s v="Stefan Zaugg"/>
    <x v="0"/>
    <x v="395"/>
    <x v="395"/>
    <n v="0.3"/>
    <s v="M2"/>
    <n v="0"/>
    <n v="0"/>
    <n v="30.76"/>
    <n v="4.4400000000000004"/>
    <n v="0"/>
    <n v="7762.0524000000005"/>
    <n v="1748.21"/>
    <x v="63"/>
    <n v="524.46299999999997"/>
    <x v="8"/>
  </r>
  <r>
    <x v="15"/>
    <s v="Jan Urbanek"/>
    <x v="0"/>
    <x v="439"/>
    <x v="439"/>
    <n v="4"/>
    <s v="ADET"/>
    <n v="0"/>
    <n v="0"/>
    <n v="0"/>
    <n v="24"/>
    <n v="0"/>
    <n v="21.12"/>
    <n v="0.88"/>
    <x v="49"/>
    <n v="3.52"/>
    <x v="7"/>
  </r>
  <r>
    <x v="15"/>
    <s v="Jan Urbanek"/>
    <x v="0"/>
    <x v="396"/>
    <x v="396"/>
    <n v="1"/>
    <s v="ADET"/>
    <n v="0"/>
    <n v="2"/>
    <n v="7"/>
    <n v="10"/>
    <n v="0"/>
    <n v="121389.3"/>
    <n v="12138.93"/>
    <x v="24"/>
    <n v="12138.93"/>
    <x v="6"/>
  </r>
  <r>
    <x v="17"/>
    <s v="Murat Taşdemir"/>
    <x v="0"/>
    <x v="397"/>
    <x v="397"/>
    <n v="18"/>
    <s v="KG"/>
    <n v="0"/>
    <n v="0"/>
    <n v="62.999999999999986"/>
    <n v="196"/>
    <n v="0"/>
    <n v="215186.44000000003"/>
    <n v="1097.8900000000001"/>
    <x v="81"/>
    <n v="19762.02"/>
    <x v="3"/>
  </r>
  <r>
    <x v="5"/>
    <s v="Matteo Giolo"/>
    <x v="0"/>
    <x v="398"/>
    <x v="398"/>
    <n v="2"/>
    <s v="ADET"/>
    <n v="0"/>
    <n v="0"/>
    <n v="10"/>
    <n v="24"/>
    <n v="0"/>
    <n v="1358.4"/>
    <n v="56.6"/>
    <x v="74"/>
    <n v="113.2"/>
    <x v="6"/>
  </r>
  <r>
    <x v="7"/>
    <s v="Laurent MONTAGNER"/>
    <x v="0"/>
    <x v="398"/>
    <x v="398"/>
    <n v="2"/>
    <s v="ADET"/>
    <n v="0"/>
    <n v="0"/>
    <n v="10"/>
    <n v="24"/>
    <n v="0"/>
    <n v="1358.4"/>
    <n v="56.6"/>
    <x v="74"/>
    <n v="113.2"/>
    <x v="6"/>
  </r>
  <r>
    <x v="3"/>
    <s v="Stina Alm"/>
    <x v="0"/>
    <x v="394"/>
    <x v="394"/>
    <n v="35"/>
    <s v="ADET"/>
    <n v="0"/>
    <n v="442"/>
    <n v="0"/>
    <n v="-64"/>
    <n v="0"/>
    <n v="0"/>
    <n v="9.35"/>
    <x v="8"/>
    <n v="327.25"/>
    <x v="2"/>
  </r>
  <r>
    <x v="5"/>
    <s v="Matteo Giolo"/>
    <x v="0"/>
    <x v="399"/>
    <x v="399"/>
    <n v="2"/>
    <s v="ADET"/>
    <n v="0"/>
    <n v="27"/>
    <n v="16"/>
    <n v="-3"/>
    <n v="0"/>
    <n v="0"/>
    <n v="66.23"/>
    <x v="13"/>
    <n v="132.46"/>
    <x v="7"/>
  </r>
  <r>
    <x v="15"/>
    <s v="Jan Urbanek"/>
    <x v="0"/>
    <x v="398"/>
    <x v="398"/>
    <n v="2"/>
    <s v="ADET"/>
    <n v="0"/>
    <n v="0"/>
    <n v="10"/>
    <n v="24"/>
    <n v="0"/>
    <n v="1358.4"/>
    <n v="56.6"/>
    <x v="74"/>
    <n v="113.2"/>
    <x v="6"/>
  </r>
  <r>
    <x v="19"/>
    <s v="Volkan Batkan"/>
    <x v="0"/>
    <x v="394"/>
    <x v="394"/>
    <n v="16"/>
    <s v="ADET"/>
    <n v="0"/>
    <n v="442"/>
    <n v="0"/>
    <n v="-64"/>
    <n v="0"/>
    <n v="0"/>
    <n v="9.35"/>
    <x v="8"/>
    <n v="149.6"/>
    <x v="2"/>
  </r>
  <r>
    <x v="15"/>
    <s v="Jan Urbanek"/>
    <x v="0"/>
    <x v="394"/>
    <x v="394"/>
    <n v="16"/>
    <s v="ADET"/>
    <n v="0"/>
    <n v="442"/>
    <n v="0"/>
    <n v="-64"/>
    <n v="0"/>
    <n v="0"/>
    <n v="9.35"/>
    <x v="8"/>
    <n v="149.6"/>
    <x v="2"/>
  </r>
  <r>
    <x v="13"/>
    <s v="Matteo Giolo"/>
    <x v="0"/>
    <x v="394"/>
    <x v="394"/>
    <n v="35"/>
    <s v="ADET"/>
    <n v="0"/>
    <n v="442"/>
    <n v="0"/>
    <n v="-64"/>
    <n v="0"/>
    <n v="0"/>
    <n v="9.35"/>
    <x v="8"/>
    <n v="327.25"/>
    <x v="2"/>
  </r>
  <r>
    <x v="13"/>
    <s v="Matteo Giolo"/>
    <x v="0"/>
    <x v="399"/>
    <x v="399"/>
    <n v="2"/>
    <s v="ADET"/>
    <n v="0"/>
    <n v="27"/>
    <n v="16"/>
    <n v="-3"/>
    <n v="0"/>
    <n v="0"/>
    <n v="66.23"/>
    <x v="13"/>
    <n v="132.46"/>
    <x v="7"/>
  </r>
  <r>
    <x v="5"/>
    <s v="Matteo Giolo"/>
    <x v="0"/>
    <x v="176"/>
    <x v="176"/>
    <n v="0.44999999999999996"/>
    <s v="METRE"/>
    <n v="0"/>
    <n v="200"/>
    <n v="5.6843418860808015E-14"/>
    <n v="-196.15"/>
    <n v="0"/>
    <n v="0"/>
    <n v="2.89"/>
    <x v="15"/>
    <n v="1.3005"/>
    <x v="7"/>
  </r>
  <r>
    <x v="12"/>
    <s v="Matteo Giolo"/>
    <x v="0"/>
    <x v="177"/>
    <x v="177"/>
    <n v="1"/>
    <s v="ADET"/>
    <n v="0"/>
    <n v="15"/>
    <n v="9"/>
    <n v="-3"/>
    <n v="0"/>
    <n v="0"/>
    <n v="224.46"/>
    <x v="15"/>
    <n v="224.46"/>
    <x v="7"/>
  </r>
  <r>
    <x v="12"/>
    <s v="Matteo Giolo"/>
    <x v="0"/>
    <x v="393"/>
    <x v="393"/>
    <n v="2"/>
    <s v="ADET"/>
    <n v="0"/>
    <n v="452"/>
    <n v="25"/>
    <n v="-428"/>
    <n v="0"/>
    <n v="0"/>
    <n v="20"/>
    <x v="5"/>
    <n v="40"/>
    <x v="7"/>
  </r>
  <r>
    <x v="5"/>
    <s v="Matteo Giolo"/>
    <x v="0"/>
    <x v="393"/>
    <x v="393"/>
    <n v="2"/>
    <s v="ADET"/>
    <n v="0"/>
    <n v="452"/>
    <n v="25"/>
    <n v="-428"/>
    <n v="0"/>
    <n v="0"/>
    <n v="20"/>
    <x v="5"/>
    <n v="40"/>
    <x v="7"/>
  </r>
  <r>
    <x v="4"/>
    <s v="Stefan Zaugg"/>
    <x v="0"/>
    <x v="440"/>
    <x v="440"/>
    <n v="2"/>
    <s v="ADET"/>
    <n v="0"/>
    <n v="200"/>
    <n v="88"/>
    <n v="-190"/>
    <n v="0"/>
    <n v="0"/>
    <n v="10"/>
    <x v="2"/>
    <n v="20"/>
    <x v="2"/>
  </r>
  <r>
    <x v="7"/>
    <s v="Laurent MONTAGNER"/>
    <x v="0"/>
    <x v="441"/>
    <x v="441"/>
    <n v="1"/>
    <s v="ADET"/>
    <n v="0"/>
    <n v="0"/>
    <n v="2"/>
    <n v="8"/>
    <n v="0"/>
    <n v="191760"/>
    <n v="23970"/>
    <x v="98"/>
    <n v="23970"/>
    <x v="6"/>
  </r>
  <r>
    <x v="4"/>
    <s v="Stefan Zaugg"/>
    <x v="0"/>
    <x v="442"/>
    <x v="442"/>
    <n v="1"/>
    <s v="ADET"/>
    <n v="1"/>
    <n v="5"/>
    <n v="6"/>
    <n v="-17"/>
    <n v="12"/>
    <n v="0"/>
    <n v="14305.4"/>
    <x v="99"/>
    <n v="14305.4"/>
    <x v="4"/>
  </r>
  <r>
    <x v="5"/>
    <s v="Matteo Giolo"/>
    <x v="0"/>
    <x v="443"/>
    <x v="443"/>
    <n v="1"/>
    <s v="ADET"/>
    <n v="0"/>
    <n v="10"/>
    <n v="5"/>
    <n v="-6"/>
    <n v="0"/>
    <n v="0"/>
    <n v="1679.53"/>
    <x v="74"/>
    <n v="1679.53"/>
    <x v="4"/>
  </r>
  <r>
    <x v="3"/>
    <s v="Stina Alm"/>
    <x v="0"/>
    <x v="444"/>
    <x v="444"/>
    <n v="0.1"/>
    <s v="ADET"/>
    <n v="0"/>
    <n v="2"/>
    <n v="-6.3837823915946501E-16"/>
    <n v="1.4000000000000004"/>
    <n v="0"/>
    <n v="3889.2000000000012"/>
    <n v="2778"/>
    <x v="35"/>
    <n v="277.8"/>
    <x v="3"/>
  </r>
  <r>
    <x v="3"/>
    <s v="Stina Alm"/>
    <x v="0"/>
    <x v="445"/>
    <x v="445"/>
    <n v="0.1"/>
    <s v="ADET"/>
    <n v="0"/>
    <n v="2"/>
    <n v="1.7763568394002505E-15"/>
    <n v="-0.84999999999999964"/>
    <n v="0"/>
    <n v="0"/>
    <n v="1400"/>
    <x v="35"/>
    <n v="140"/>
    <x v="3"/>
  </r>
  <r>
    <x v="12"/>
    <s v="Matteo Giolo"/>
    <x v="0"/>
    <x v="441"/>
    <x v="441"/>
    <n v="1"/>
    <s v="ADET"/>
    <n v="0"/>
    <n v="0"/>
    <n v="2"/>
    <n v="8"/>
    <n v="0"/>
    <n v="191760"/>
    <n v="23970"/>
    <x v="98"/>
    <n v="23970"/>
    <x v="6"/>
  </r>
  <r>
    <x v="12"/>
    <s v="Matteo Giolo"/>
    <x v="0"/>
    <x v="445"/>
    <x v="445"/>
    <n v="0.05"/>
    <s v="ADET"/>
    <n v="0"/>
    <n v="2"/>
    <n v="1.7763568394002505E-15"/>
    <n v="-0.84999999999999964"/>
    <n v="0"/>
    <n v="0"/>
    <n v="1400"/>
    <x v="35"/>
    <n v="70"/>
    <x v="3"/>
  </r>
  <r>
    <x v="12"/>
    <s v="Matteo Giolo"/>
    <x v="0"/>
    <x v="446"/>
    <x v="446"/>
    <n v="2"/>
    <s v="ADET"/>
    <n v="0"/>
    <n v="115"/>
    <n v="2"/>
    <n v="-77"/>
    <n v="0"/>
    <n v="0"/>
    <n v="0.44"/>
    <x v="57"/>
    <n v="0.88"/>
    <x v="7"/>
  </r>
  <r>
    <x v="12"/>
    <s v="Matteo Giolo"/>
    <x v="0"/>
    <x v="447"/>
    <x v="447"/>
    <n v="2"/>
    <s v="ADET"/>
    <n v="0"/>
    <n v="0"/>
    <n v="14"/>
    <n v="38"/>
    <n v="0"/>
    <n v="261.06"/>
    <n v="6.87"/>
    <x v="15"/>
    <n v="13.74"/>
    <x v="7"/>
  </r>
  <r>
    <x v="7"/>
    <s v="Laurent MONTAGNER"/>
    <x v="0"/>
    <x v="444"/>
    <x v="444"/>
    <n v="0.1"/>
    <s v="ADET"/>
    <n v="0"/>
    <n v="2"/>
    <n v="-6.3837823915946501E-16"/>
    <n v="1.4000000000000004"/>
    <n v="0"/>
    <n v="3889.2000000000012"/>
    <n v="2778"/>
    <x v="35"/>
    <n v="277.8"/>
    <x v="3"/>
  </r>
  <r>
    <x v="15"/>
    <s v="Jan Urbanek"/>
    <x v="0"/>
    <x v="438"/>
    <x v="438"/>
    <n v="15"/>
    <s v="M2"/>
    <n v="0"/>
    <n v="0"/>
    <n v="252.50000000000003"/>
    <n v="402.5"/>
    <n v="19.5"/>
    <n v="81928.875"/>
    <n v="203.55"/>
    <x v="63"/>
    <n v="3053.25"/>
    <x v="8"/>
  </r>
  <r>
    <x v="11"/>
    <s v="Jan Urbanek"/>
    <x v="0"/>
    <x v="286"/>
    <x v="286"/>
    <n v="1"/>
    <s v="KG"/>
    <n v="0"/>
    <n v="0"/>
    <n v="0"/>
    <n v="19"/>
    <n v="0"/>
    <n v="1538.6200000000001"/>
    <n v="80.98"/>
    <x v="63"/>
    <n v="80.98"/>
    <x v="3"/>
  </r>
  <r>
    <x v="10"/>
    <s v="Jan Urbanek"/>
    <x v="0"/>
    <x v="287"/>
    <x v="287"/>
    <n v="7"/>
    <s v="ADET"/>
    <n v="0"/>
    <n v="3000"/>
    <n v="0"/>
    <n v="-2847"/>
    <n v="0"/>
    <n v="0"/>
    <n v="0.7"/>
    <x v="14"/>
    <n v="4.8999999999999995"/>
    <x v="2"/>
  </r>
  <r>
    <x v="11"/>
    <s v="Jan Urbanek"/>
    <x v="0"/>
    <x v="294"/>
    <x v="294"/>
    <n v="1"/>
    <s v="ADET"/>
    <n v="0"/>
    <n v="24"/>
    <n v="14"/>
    <n v="-15"/>
    <n v="0"/>
    <n v="0"/>
    <n v="15"/>
    <x v="20"/>
    <n v="15"/>
    <x v="7"/>
  </r>
  <r>
    <x v="15"/>
    <s v="Jan Urbanek"/>
    <x v="0"/>
    <x v="448"/>
    <x v="448"/>
    <n v="2"/>
    <s v="ADET"/>
    <n v="0"/>
    <n v="5"/>
    <n v="24"/>
    <n v="11"/>
    <n v="0"/>
    <n v="164408.75"/>
    <n v="14946.25"/>
    <x v="68"/>
    <n v="29892.5"/>
    <x v="4"/>
  </r>
  <r>
    <x v="19"/>
    <s v="Volkan Batkan"/>
    <x v="0"/>
    <x v="438"/>
    <x v="438"/>
    <n v="15"/>
    <s v="M2"/>
    <n v="0"/>
    <n v="0"/>
    <n v="252.50000000000003"/>
    <n v="402.5"/>
    <n v="19.5"/>
    <n v="81928.875"/>
    <n v="203.55"/>
    <x v="63"/>
    <n v="3053.25"/>
    <x v="8"/>
  </r>
  <r>
    <x v="16"/>
    <s v="Stefan Zaugg"/>
    <x v="0"/>
    <x v="438"/>
    <x v="438"/>
    <n v="6"/>
    <s v="M2"/>
    <n v="0"/>
    <n v="0"/>
    <n v="252.50000000000003"/>
    <n v="402.5"/>
    <n v="19.5"/>
    <n v="81928.875"/>
    <n v="203.55"/>
    <x v="63"/>
    <n v="1221.3000000000002"/>
    <x v="8"/>
  </r>
  <r>
    <x v="3"/>
    <s v="Stina Alm"/>
    <x v="0"/>
    <x v="448"/>
    <x v="448"/>
    <n v="2"/>
    <s v="ADET"/>
    <n v="0"/>
    <n v="5"/>
    <n v="24"/>
    <n v="11"/>
    <n v="0"/>
    <n v="164408.75"/>
    <n v="14946.25"/>
    <x v="68"/>
    <n v="29892.5"/>
    <x v="4"/>
  </r>
  <r>
    <x v="5"/>
    <s v="Matteo Giolo"/>
    <x v="0"/>
    <x v="438"/>
    <x v="438"/>
    <n v="55"/>
    <s v="M2"/>
    <n v="0"/>
    <n v="0"/>
    <n v="252.50000000000003"/>
    <n v="402.5"/>
    <n v="19.5"/>
    <n v="81928.875"/>
    <n v="203.55"/>
    <x v="63"/>
    <n v="11195.25"/>
    <x v="8"/>
  </r>
  <r>
    <x v="4"/>
    <s v="Stefan Zaugg"/>
    <x v="0"/>
    <x v="438"/>
    <x v="438"/>
    <n v="6"/>
    <s v="M2"/>
    <n v="0"/>
    <n v="0"/>
    <n v="252.50000000000003"/>
    <n v="402.5"/>
    <n v="19.5"/>
    <n v="81928.875"/>
    <n v="203.55"/>
    <x v="63"/>
    <n v="1221.3000000000002"/>
    <x v="8"/>
  </r>
  <r>
    <x v="1"/>
    <s v="Stina Alm"/>
    <x v="0"/>
    <x v="448"/>
    <x v="448"/>
    <n v="2"/>
    <s v="ADET"/>
    <n v="0"/>
    <n v="5"/>
    <n v="24"/>
    <n v="11"/>
    <n v="0"/>
    <n v="164408.75"/>
    <n v="14946.25"/>
    <x v="68"/>
    <n v="29892.5"/>
    <x v="4"/>
  </r>
  <r>
    <x v="2"/>
    <s v="Laurent MONTAGNER"/>
    <x v="0"/>
    <x v="448"/>
    <x v="448"/>
    <n v="2"/>
    <s v="ADET"/>
    <n v="2"/>
    <n v="5"/>
    <n v="24"/>
    <n v="11"/>
    <n v="0"/>
    <n v="164408.75"/>
    <n v="14946.25"/>
    <x v="68"/>
    <n v="29892.5"/>
    <x v="4"/>
  </r>
  <r>
    <x v="0"/>
    <s v="Soner Kayıkçı"/>
    <x v="0"/>
    <x v="448"/>
    <x v="448"/>
    <n v="2"/>
    <s v="ADET"/>
    <n v="0"/>
    <n v="5"/>
    <n v="24"/>
    <n v="11"/>
    <n v="0"/>
    <n v="164408.75"/>
    <n v="14946.25"/>
    <x v="68"/>
    <n v="29892.5"/>
    <x v="4"/>
  </r>
  <r>
    <x v="1"/>
    <s v="Stina Alm"/>
    <x v="0"/>
    <x v="438"/>
    <x v="438"/>
    <n v="50"/>
    <s v="M2"/>
    <n v="0"/>
    <n v="0"/>
    <n v="252.50000000000003"/>
    <n v="402.5"/>
    <n v="19.5"/>
    <n v="81928.875"/>
    <n v="203.55"/>
    <x v="63"/>
    <n v="10177.5"/>
    <x v="8"/>
  </r>
  <r>
    <x v="11"/>
    <s v="Jan Urbanek"/>
    <x v="0"/>
    <x v="438"/>
    <x v="438"/>
    <n v="15"/>
    <s v="M2"/>
    <n v="0"/>
    <n v="0"/>
    <n v="252.50000000000003"/>
    <n v="402.5"/>
    <n v="19.5"/>
    <n v="81928.875"/>
    <n v="203.55"/>
    <x v="63"/>
    <n v="3053.25"/>
    <x v="8"/>
  </r>
  <r>
    <x v="7"/>
    <s v="Laurent MONTAGNER"/>
    <x v="0"/>
    <x v="448"/>
    <x v="448"/>
    <n v="2"/>
    <s v="ADET"/>
    <n v="2"/>
    <n v="5"/>
    <n v="24"/>
    <n v="11"/>
    <n v="0"/>
    <n v="164408.75"/>
    <n v="14946.25"/>
    <x v="68"/>
    <n v="29892.5"/>
    <x v="4"/>
  </r>
  <r>
    <x v="2"/>
    <s v="Laurent MONTAGNER"/>
    <x v="0"/>
    <x v="415"/>
    <x v="415"/>
    <n v="1"/>
    <s v="ADET"/>
    <n v="0"/>
    <n v="34"/>
    <n v="62"/>
    <n v="-12"/>
    <n v="0"/>
    <n v="0"/>
    <n v="19.07"/>
    <x v="15"/>
    <n v="19.07"/>
    <x v="7"/>
  </r>
  <r>
    <x v="6"/>
    <s v="Laurent MONTAGNER"/>
    <x v="0"/>
    <x v="417"/>
    <x v="417"/>
    <n v="1"/>
    <s v="ADET"/>
    <n v="0"/>
    <n v="0"/>
    <n v="1"/>
    <n v="9"/>
    <n v="0"/>
    <n v="13877.91"/>
    <n v="1541.99"/>
    <x v="94"/>
    <n v="1541.99"/>
    <x v="6"/>
  </r>
  <r>
    <x v="2"/>
    <s v="Laurent MONTAGNER"/>
    <x v="0"/>
    <x v="417"/>
    <x v="417"/>
    <n v="1"/>
    <s v="ADET"/>
    <n v="0"/>
    <n v="0"/>
    <n v="1"/>
    <n v="9"/>
    <n v="0"/>
    <n v="13877.91"/>
    <n v="1541.99"/>
    <x v="94"/>
    <n v="1541.99"/>
    <x v="6"/>
  </r>
  <r>
    <x v="6"/>
    <s v="Laurent MONTAGNER"/>
    <x v="0"/>
    <x v="424"/>
    <x v="424"/>
    <n v="1"/>
    <s v="ADET"/>
    <n v="0"/>
    <n v="37"/>
    <n v="2"/>
    <n v="-17"/>
    <n v="0"/>
    <n v="0"/>
    <n v="82.6"/>
    <x v="10"/>
    <n v="82.6"/>
    <x v="4"/>
  </r>
  <r>
    <x v="4"/>
    <s v="Stefan Zaugg"/>
    <x v="0"/>
    <x v="449"/>
    <x v="449"/>
    <n v="4"/>
    <s v="ADET"/>
    <n v="0"/>
    <n v="0"/>
    <n v="8"/>
    <n v="-60"/>
    <n v="72"/>
    <n v="0"/>
    <n v="5265.79"/>
    <x v="99"/>
    <n v="21063.16"/>
    <x v="4"/>
  </r>
  <r>
    <x v="7"/>
    <s v="Laurent MONTAGNER"/>
    <x v="0"/>
    <x v="426"/>
    <x v="426"/>
    <n v="14"/>
    <s v="ADET"/>
    <n v="0"/>
    <n v="180"/>
    <n v="80"/>
    <n v="32"/>
    <n v="0"/>
    <n v="7680"/>
    <n v="240"/>
    <x v="14"/>
    <n v="3360"/>
    <x v="2"/>
  </r>
  <r>
    <x v="3"/>
    <s v="Stina Alm"/>
    <x v="0"/>
    <x v="426"/>
    <x v="426"/>
    <n v="9.5"/>
    <s v="ADET"/>
    <n v="0"/>
    <n v="180"/>
    <n v="80"/>
    <n v="32"/>
    <n v="0"/>
    <n v="7680"/>
    <n v="240"/>
    <x v="14"/>
    <n v="2280"/>
    <x v="2"/>
  </r>
  <r>
    <x v="12"/>
    <s v="Matteo Giolo"/>
    <x v="0"/>
    <x v="427"/>
    <x v="427"/>
    <n v="2.4700000000000002"/>
    <s v="KG"/>
    <n v="0"/>
    <n v="0"/>
    <n v="154.94999999999996"/>
    <n v="21.899999999999991"/>
    <n v="60"/>
    <n v="4265.0249999999987"/>
    <n v="194.75"/>
    <x v="3"/>
    <n v="481.03250000000003"/>
    <x v="3"/>
  </r>
  <r>
    <x v="12"/>
    <s v="Matteo Giolo"/>
    <x v="0"/>
    <x v="428"/>
    <x v="428"/>
    <n v="10"/>
    <s v="ADET"/>
    <n v="0"/>
    <n v="0"/>
    <n v="58.050000000000026"/>
    <n v="144.72000000000003"/>
    <n v="37"/>
    <n v="261099.48240000007"/>
    <n v="1804.17"/>
    <x v="63"/>
    <n v="18041.7"/>
    <x v="8"/>
  </r>
  <r>
    <x v="7"/>
    <s v="Laurent MONTAGNER"/>
    <x v="0"/>
    <x v="428"/>
    <x v="428"/>
    <n v="12"/>
    <s v="ADET"/>
    <n v="0"/>
    <n v="0"/>
    <n v="58.050000000000026"/>
    <n v="144.72000000000003"/>
    <n v="37"/>
    <n v="261099.48240000007"/>
    <n v="1804.17"/>
    <x v="63"/>
    <n v="21650.04"/>
    <x v="8"/>
  </r>
  <r>
    <x v="12"/>
    <s v="Matteo Giolo"/>
    <x v="0"/>
    <x v="429"/>
    <x v="429"/>
    <n v="1"/>
    <s v="ADET"/>
    <n v="0"/>
    <n v="4"/>
    <n v="10"/>
    <n v="1"/>
    <n v="7"/>
    <n v="1535.25"/>
    <n v="1535.25"/>
    <x v="47"/>
    <n v="1535.25"/>
    <x v="7"/>
  </r>
  <r>
    <x v="1"/>
    <s v="Stina Alm"/>
    <x v="0"/>
    <x v="424"/>
    <x v="424"/>
    <n v="1"/>
    <s v="ADET"/>
    <n v="0"/>
    <n v="37"/>
    <n v="2"/>
    <n v="-17"/>
    <n v="0"/>
    <n v="0"/>
    <n v="82.6"/>
    <x v="10"/>
    <n v="82.6"/>
    <x v="4"/>
  </r>
  <r>
    <x v="4"/>
    <s v="Stefan Zaugg"/>
    <x v="0"/>
    <x v="431"/>
    <x v="431"/>
    <n v="8"/>
    <s v="ADET"/>
    <n v="0"/>
    <n v="524"/>
    <n v="352"/>
    <n v="-374"/>
    <n v="0"/>
    <n v="0"/>
    <n v="8.1"/>
    <x v="57"/>
    <n v="64.8"/>
    <x v="7"/>
  </r>
  <r>
    <x v="3"/>
    <s v="Stina Alm"/>
    <x v="0"/>
    <x v="431"/>
    <x v="431"/>
    <n v="8"/>
    <s v="ADET"/>
    <n v="0"/>
    <n v="524"/>
    <n v="352"/>
    <n v="-374"/>
    <n v="0"/>
    <n v="0"/>
    <n v="8.1"/>
    <x v="57"/>
    <n v="64.8"/>
    <x v="7"/>
  </r>
  <r>
    <x v="0"/>
    <s v="Soner Kayıkçı"/>
    <x v="0"/>
    <x v="416"/>
    <x v="416"/>
    <n v="1"/>
    <s v="ADET"/>
    <n v="0"/>
    <n v="17"/>
    <n v="11"/>
    <n v="-5"/>
    <n v="0"/>
    <n v="0"/>
    <n v="115.6"/>
    <x v="15"/>
    <n v="115.6"/>
    <x v="7"/>
  </r>
  <r>
    <x v="2"/>
    <s v="Laurent MONTAGNER"/>
    <x v="0"/>
    <x v="416"/>
    <x v="416"/>
    <n v="1"/>
    <s v="ADET"/>
    <n v="0"/>
    <n v="17"/>
    <n v="11"/>
    <n v="-5"/>
    <n v="0"/>
    <n v="0"/>
    <n v="115.6"/>
    <x v="15"/>
    <n v="115.6"/>
    <x v="7"/>
  </r>
  <r>
    <x v="1"/>
    <s v="Stina Alm"/>
    <x v="0"/>
    <x v="417"/>
    <x v="417"/>
    <n v="1"/>
    <s v="ADET"/>
    <n v="0"/>
    <n v="0"/>
    <n v="1"/>
    <n v="9"/>
    <n v="0"/>
    <n v="13877.91"/>
    <n v="1541.99"/>
    <x v="94"/>
    <n v="1541.99"/>
    <x v="6"/>
  </r>
  <r>
    <x v="0"/>
    <s v="Soner Kayıkçı"/>
    <x v="0"/>
    <x v="424"/>
    <x v="424"/>
    <n v="1"/>
    <s v="ADET"/>
    <n v="0"/>
    <n v="37"/>
    <n v="2"/>
    <n v="-17"/>
    <n v="0"/>
    <n v="0"/>
    <n v="82.6"/>
    <x v="10"/>
    <n v="82.6"/>
    <x v="4"/>
  </r>
  <r>
    <x v="2"/>
    <s v="Laurent MONTAGNER"/>
    <x v="0"/>
    <x v="424"/>
    <x v="424"/>
    <n v="2"/>
    <s v="ADET"/>
    <n v="0"/>
    <n v="37"/>
    <n v="2"/>
    <n v="-17"/>
    <n v="0"/>
    <n v="0"/>
    <n v="82.6"/>
    <x v="10"/>
    <n v="165.2"/>
    <x v="4"/>
  </r>
  <r>
    <x v="9"/>
    <s v="Jan Urbanek"/>
    <x v="0"/>
    <x v="433"/>
    <x v="433"/>
    <n v="4"/>
    <s v="ADET"/>
    <n v="0"/>
    <n v="0"/>
    <n v="4"/>
    <n v="16"/>
    <n v="0"/>
    <n v="1440"/>
    <n v="90"/>
    <x v="96"/>
    <n v="360"/>
    <x v="11"/>
  </r>
  <r>
    <x v="10"/>
    <s v="Jan Urbanek"/>
    <x v="0"/>
    <x v="416"/>
    <x v="416"/>
    <n v="1"/>
    <s v="ADET"/>
    <n v="0"/>
    <n v="17"/>
    <n v="11"/>
    <n v="-5"/>
    <n v="0"/>
    <n v="0"/>
    <n v="115.6"/>
    <x v="15"/>
    <n v="115.6"/>
    <x v="7"/>
  </r>
  <r>
    <x v="9"/>
    <s v="Jan Urbanek"/>
    <x v="0"/>
    <x v="415"/>
    <x v="415"/>
    <n v="2"/>
    <s v="ADET"/>
    <n v="0"/>
    <n v="34"/>
    <n v="62"/>
    <n v="-12"/>
    <n v="0"/>
    <n v="0"/>
    <n v="19.07"/>
    <x v="15"/>
    <n v="38.14"/>
    <x v="7"/>
  </r>
  <r>
    <x v="9"/>
    <s v="Jan Urbanek"/>
    <x v="0"/>
    <x v="426"/>
    <x v="426"/>
    <n v="26"/>
    <s v="ADET"/>
    <n v="0"/>
    <n v="180"/>
    <n v="80"/>
    <n v="32"/>
    <n v="0"/>
    <n v="7680"/>
    <n v="240"/>
    <x v="14"/>
    <n v="6240"/>
    <x v="2"/>
  </r>
  <r>
    <x v="11"/>
    <s v="Jan Urbanek"/>
    <x v="0"/>
    <x v="428"/>
    <x v="428"/>
    <n v="10"/>
    <s v="ADET"/>
    <n v="0"/>
    <n v="0"/>
    <n v="58.050000000000026"/>
    <n v="144.72000000000003"/>
    <n v="37"/>
    <n v="261099.48240000007"/>
    <n v="1804.17"/>
    <x v="63"/>
    <n v="18041.7"/>
    <x v="8"/>
  </r>
  <r>
    <x v="11"/>
    <s v="Jan Urbanek"/>
    <x v="0"/>
    <x v="429"/>
    <x v="429"/>
    <n v="1"/>
    <s v="ADET"/>
    <n v="0"/>
    <n v="4"/>
    <n v="10"/>
    <n v="1"/>
    <n v="7"/>
    <n v="1535.25"/>
    <n v="1535.25"/>
    <x v="47"/>
    <n v="1535.25"/>
    <x v="7"/>
  </r>
  <r>
    <x v="16"/>
    <s v="Stefan Zaugg"/>
    <x v="0"/>
    <x v="415"/>
    <x v="415"/>
    <n v="1"/>
    <s v="ADET"/>
    <n v="0"/>
    <n v="34"/>
    <n v="62"/>
    <n v="-12"/>
    <n v="0"/>
    <n v="0"/>
    <n v="19.07"/>
    <x v="15"/>
    <n v="19.07"/>
    <x v="7"/>
  </r>
  <r>
    <x v="19"/>
    <s v="Volkan Batkan"/>
    <x v="0"/>
    <x v="417"/>
    <x v="417"/>
    <n v="1"/>
    <s v="ADET"/>
    <n v="0"/>
    <n v="0"/>
    <n v="1"/>
    <n v="9"/>
    <n v="0"/>
    <n v="13877.91"/>
    <n v="1541.99"/>
    <x v="94"/>
    <n v="1541.99"/>
    <x v="6"/>
  </r>
  <r>
    <x v="10"/>
    <s v="Jan Urbanek"/>
    <x v="0"/>
    <x v="429"/>
    <x v="429"/>
    <n v="1"/>
    <s v="ADET"/>
    <n v="0"/>
    <n v="4"/>
    <n v="10"/>
    <n v="1"/>
    <n v="7"/>
    <n v="1535.25"/>
    <n v="1535.25"/>
    <x v="47"/>
    <n v="1535.25"/>
    <x v="7"/>
  </r>
  <r>
    <x v="19"/>
    <s v="Volkan Batkan"/>
    <x v="0"/>
    <x v="433"/>
    <x v="433"/>
    <n v="4"/>
    <s v="ADET"/>
    <n v="0"/>
    <n v="0"/>
    <n v="4"/>
    <n v="16"/>
    <n v="0"/>
    <n v="1440"/>
    <n v="90"/>
    <x v="96"/>
    <n v="360"/>
    <x v="11"/>
  </r>
  <r>
    <x v="16"/>
    <s v="Stefan Zaugg"/>
    <x v="0"/>
    <x v="416"/>
    <x v="416"/>
    <n v="1"/>
    <s v="ADET"/>
    <n v="1"/>
    <n v="17"/>
    <n v="11"/>
    <n v="-5"/>
    <n v="0"/>
    <n v="0"/>
    <n v="115.6"/>
    <x v="15"/>
    <n v="115.6"/>
    <x v="7"/>
  </r>
  <r>
    <x v="19"/>
    <s v="Volkan Batkan"/>
    <x v="0"/>
    <x v="415"/>
    <x v="415"/>
    <n v="1"/>
    <s v="ADET"/>
    <n v="1"/>
    <n v="34"/>
    <n v="62"/>
    <n v="-12"/>
    <n v="0"/>
    <n v="0"/>
    <n v="19.07"/>
    <x v="15"/>
    <n v="19.07"/>
    <x v="7"/>
  </r>
  <r>
    <x v="14"/>
    <s v="Stefan Zaugg"/>
    <x v="0"/>
    <x v="415"/>
    <x v="415"/>
    <n v="1"/>
    <s v="ADET"/>
    <n v="1"/>
    <n v="34"/>
    <n v="62"/>
    <n v="-12"/>
    <n v="0"/>
    <n v="0"/>
    <n v="19.07"/>
    <x v="15"/>
    <n v="19.07"/>
    <x v="7"/>
  </r>
  <r>
    <x v="15"/>
    <s v="Jan Urbanek"/>
    <x v="0"/>
    <x v="415"/>
    <x v="415"/>
    <n v="2"/>
    <s v="ADET"/>
    <n v="0"/>
    <n v="34"/>
    <n v="62"/>
    <n v="-12"/>
    <n v="0"/>
    <n v="0"/>
    <n v="19.07"/>
    <x v="15"/>
    <n v="38.14"/>
    <x v="7"/>
  </r>
  <r>
    <x v="19"/>
    <s v="Volkan Batkan"/>
    <x v="0"/>
    <x v="424"/>
    <x v="424"/>
    <n v="1"/>
    <s v="ADET"/>
    <n v="0"/>
    <n v="37"/>
    <n v="2"/>
    <n v="-17"/>
    <n v="0"/>
    <n v="0"/>
    <n v="82.6"/>
    <x v="10"/>
    <n v="82.6"/>
    <x v="4"/>
  </r>
  <r>
    <x v="16"/>
    <s v="Stefan Zaugg"/>
    <x v="0"/>
    <x v="424"/>
    <x v="424"/>
    <n v="1"/>
    <s v="ADET"/>
    <n v="0"/>
    <n v="37"/>
    <n v="2"/>
    <n v="-17"/>
    <n v="0"/>
    <n v="0"/>
    <n v="82.6"/>
    <x v="10"/>
    <n v="82.6"/>
    <x v="4"/>
  </r>
  <r>
    <x v="14"/>
    <s v="Stefan Zaugg"/>
    <x v="0"/>
    <x v="424"/>
    <x v="424"/>
    <n v="1"/>
    <s v="ADET"/>
    <n v="0"/>
    <n v="37"/>
    <n v="2"/>
    <n v="-17"/>
    <n v="0"/>
    <n v="0"/>
    <n v="82.6"/>
    <x v="10"/>
    <n v="82.6"/>
    <x v="4"/>
  </r>
  <r>
    <x v="13"/>
    <s v="Matteo Giolo"/>
    <x v="0"/>
    <x v="424"/>
    <x v="424"/>
    <n v="1"/>
    <s v="ADET"/>
    <n v="0"/>
    <n v="37"/>
    <n v="2"/>
    <n v="-17"/>
    <n v="0"/>
    <n v="0"/>
    <n v="82.6"/>
    <x v="10"/>
    <n v="82.6"/>
    <x v="4"/>
  </r>
  <r>
    <x v="16"/>
    <s v="Stefan Zaugg"/>
    <x v="0"/>
    <x v="425"/>
    <x v="425"/>
    <n v="5"/>
    <s v="ADET"/>
    <n v="0"/>
    <n v="0"/>
    <n v="0"/>
    <n v="10"/>
    <n v="0"/>
    <n v="6.6000000000000005"/>
    <n v="0.66"/>
    <x v="5"/>
    <n v="3.3000000000000003"/>
    <x v="2"/>
  </r>
  <r>
    <x v="5"/>
    <s v="Matteo Giolo"/>
    <x v="0"/>
    <x v="199"/>
    <x v="199"/>
    <n v="8"/>
    <s v="ADET"/>
    <n v="0"/>
    <n v="30"/>
    <n v="0"/>
    <n v="-10"/>
    <n v="0"/>
    <n v="0"/>
    <n v="60"/>
    <x v="2"/>
    <n v="480"/>
    <x v="2"/>
  </r>
  <r>
    <x v="7"/>
    <s v="Laurent MONTAGNER"/>
    <x v="0"/>
    <x v="386"/>
    <x v="386"/>
    <n v="5"/>
    <s v="METRE"/>
    <n v="0"/>
    <n v="60"/>
    <n v="52"/>
    <n v="14.5"/>
    <n v="80"/>
    <n v="710.5"/>
    <n v="49"/>
    <x v="41"/>
    <n v="245"/>
    <x v="5"/>
  </r>
  <r>
    <x v="4"/>
    <s v="Stefan Zaugg"/>
    <x v="0"/>
    <x v="386"/>
    <x v="386"/>
    <n v="6"/>
    <s v="METRE"/>
    <n v="0"/>
    <n v="60"/>
    <n v="52"/>
    <n v="14.5"/>
    <n v="80"/>
    <n v="710.5"/>
    <n v="49"/>
    <x v="41"/>
    <n v="294"/>
    <x v="5"/>
  </r>
  <r>
    <x v="3"/>
    <s v="Stina Alm"/>
    <x v="0"/>
    <x v="386"/>
    <x v="386"/>
    <n v="7.5"/>
    <s v="METRE"/>
    <n v="0"/>
    <n v="60"/>
    <n v="52"/>
    <n v="14.5"/>
    <n v="80"/>
    <n v="710.5"/>
    <n v="49"/>
    <x v="41"/>
    <n v="367.5"/>
    <x v="5"/>
  </r>
  <r>
    <x v="12"/>
    <s v="Matteo Giolo"/>
    <x v="0"/>
    <x v="450"/>
    <x v="450"/>
    <n v="1"/>
    <s v="ADET"/>
    <n v="0"/>
    <n v="49"/>
    <n v="1.6000000000000005"/>
    <n v="-37.599999999999994"/>
    <n v="0"/>
    <n v="0"/>
    <n v="60"/>
    <x v="3"/>
    <n v="60"/>
    <x v="2"/>
  </r>
  <r>
    <x v="5"/>
    <s v="Matteo Giolo"/>
    <x v="0"/>
    <x v="451"/>
    <x v="451"/>
    <n v="1"/>
    <s v="ADET"/>
    <n v="0"/>
    <n v="4"/>
    <n v="22"/>
    <n v="-5"/>
    <n v="20"/>
    <n v="0"/>
    <n v="65"/>
    <x v="4"/>
    <n v="65"/>
    <x v="4"/>
  </r>
  <r>
    <x v="4"/>
    <s v="Stefan Zaugg"/>
    <x v="0"/>
    <x v="451"/>
    <x v="451"/>
    <n v="1"/>
    <s v="ADET"/>
    <n v="0"/>
    <n v="4"/>
    <n v="22"/>
    <n v="-5"/>
    <n v="20"/>
    <n v="0"/>
    <n v="65"/>
    <x v="4"/>
    <n v="65"/>
    <x v="4"/>
  </r>
  <r>
    <x v="12"/>
    <s v="Matteo Giolo"/>
    <x v="0"/>
    <x v="184"/>
    <x v="184"/>
    <n v="3"/>
    <s v="ADET"/>
    <n v="0"/>
    <n v="38"/>
    <n v="25"/>
    <n v="-2"/>
    <n v="20"/>
    <n v="0"/>
    <n v="245"/>
    <x v="10"/>
    <n v="735"/>
    <x v="4"/>
  </r>
  <r>
    <x v="7"/>
    <s v="Laurent MONTAGNER"/>
    <x v="0"/>
    <x v="184"/>
    <x v="184"/>
    <n v="3"/>
    <s v="ADET"/>
    <n v="0"/>
    <n v="38"/>
    <n v="25"/>
    <n v="-2"/>
    <n v="20"/>
    <n v="0"/>
    <n v="245"/>
    <x v="10"/>
    <n v="735"/>
    <x v="4"/>
  </r>
  <r>
    <x v="7"/>
    <s v="Laurent MONTAGNER"/>
    <x v="0"/>
    <x v="199"/>
    <x v="199"/>
    <n v="2"/>
    <s v="ADET"/>
    <n v="0"/>
    <n v="30"/>
    <n v="0"/>
    <n v="-10"/>
    <n v="0"/>
    <n v="0"/>
    <n v="60"/>
    <x v="2"/>
    <n v="120"/>
    <x v="2"/>
  </r>
  <r>
    <x v="12"/>
    <s v="Matteo Giolo"/>
    <x v="0"/>
    <x v="452"/>
    <x v="452"/>
    <n v="1"/>
    <s v="ADET"/>
    <n v="0"/>
    <n v="27"/>
    <n v="4"/>
    <n v="-20"/>
    <n v="0"/>
    <n v="0"/>
    <n v="287.13"/>
    <x v="74"/>
    <n v="287.13"/>
    <x v="4"/>
  </r>
  <r>
    <x v="12"/>
    <s v="Matteo Giolo"/>
    <x v="0"/>
    <x v="453"/>
    <x v="453"/>
    <n v="1"/>
    <s v="ADET"/>
    <n v="0"/>
    <n v="27"/>
    <n v="4"/>
    <n v="-20"/>
    <n v="0"/>
    <n v="0"/>
    <n v="287.13"/>
    <x v="74"/>
    <n v="287.13"/>
    <x v="4"/>
  </r>
  <r>
    <x v="5"/>
    <s v="Matteo Giolo"/>
    <x v="0"/>
    <x v="200"/>
    <x v="200"/>
    <n v="1"/>
    <s v="ADET"/>
    <n v="0"/>
    <n v="114"/>
    <n v="0"/>
    <n v="-109"/>
    <n v="0"/>
    <n v="0"/>
    <n v="10"/>
    <x v="5"/>
    <n v="10"/>
    <x v="4"/>
  </r>
  <r>
    <x v="4"/>
    <s v="Stefan Zaugg"/>
    <x v="0"/>
    <x v="366"/>
    <x v="366"/>
    <n v="16"/>
    <s v="ADET"/>
    <n v="0"/>
    <n v="0"/>
    <n v="0"/>
    <n v="32"/>
    <n v="0"/>
    <n v="14.4"/>
    <n v="0.45"/>
    <x v="33"/>
    <n v="7.2"/>
    <x v="2"/>
  </r>
  <r>
    <x v="5"/>
    <s v="Matteo Giolo"/>
    <x v="0"/>
    <x v="386"/>
    <x v="386"/>
    <n v="6.5"/>
    <s v="METRE"/>
    <n v="0"/>
    <n v="60"/>
    <n v="52"/>
    <n v="14.5"/>
    <n v="80"/>
    <n v="710.5"/>
    <n v="49"/>
    <x v="41"/>
    <n v="318.5"/>
    <x v="5"/>
  </r>
  <r>
    <x v="5"/>
    <s v="Matteo Giolo"/>
    <x v="0"/>
    <x v="450"/>
    <x v="450"/>
    <n v="1.35"/>
    <s v="ADET"/>
    <n v="0"/>
    <n v="49"/>
    <n v="1.6000000000000005"/>
    <n v="-37.599999999999994"/>
    <n v="0"/>
    <n v="0"/>
    <n v="60"/>
    <x v="3"/>
    <n v="81"/>
    <x v="2"/>
  </r>
  <r>
    <x v="4"/>
    <s v="Stefan Zaugg"/>
    <x v="0"/>
    <x v="453"/>
    <x v="453"/>
    <n v="1"/>
    <s v="ADET"/>
    <n v="0"/>
    <n v="27"/>
    <n v="4"/>
    <n v="-20"/>
    <n v="0"/>
    <n v="0"/>
    <n v="287.13"/>
    <x v="74"/>
    <n v="287.13"/>
    <x v="4"/>
  </r>
  <r>
    <x v="5"/>
    <s v="Matteo Giolo"/>
    <x v="0"/>
    <x v="454"/>
    <x v="454"/>
    <n v="4"/>
    <s v="ADET"/>
    <n v="0"/>
    <n v="109"/>
    <n v="34"/>
    <n v="-71"/>
    <n v="0"/>
    <n v="0"/>
    <n v="250"/>
    <x v="21"/>
    <n v="1000"/>
    <x v="2"/>
  </r>
  <r>
    <x v="12"/>
    <s v="Matteo Giolo"/>
    <x v="0"/>
    <x v="454"/>
    <x v="454"/>
    <n v="4"/>
    <s v="ADET"/>
    <n v="0"/>
    <n v="109"/>
    <n v="34"/>
    <n v="-71"/>
    <n v="0"/>
    <n v="0"/>
    <n v="250"/>
    <x v="21"/>
    <n v="1000"/>
    <x v="2"/>
  </r>
  <r>
    <x v="7"/>
    <s v="Laurent MONTAGNER"/>
    <x v="0"/>
    <x v="455"/>
    <x v="455"/>
    <n v="1"/>
    <s v="ADET"/>
    <n v="0"/>
    <n v="19"/>
    <n v="17"/>
    <n v="0"/>
    <n v="0"/>
    <n v="0"/>
    <n v="113.64"/>
    <x v="100"/>
    <n v="113.64"/>
    <x v="13"/>
  </r>
  <r>
    <x v="7"/>
    <s v="Laurent MONTAGNER"/>
    <x v="0"/>
    <x v="456"/>
    <x v="456"/>
    <n v="5.5"/>
    <s v="METRE"/>
    <n v="0"/>
    <n v="100"/>
    <n v="0"/>
    <n v="-227.63999999999987"/>
    <n v="214.64"/>
    <n v="0"/>
    <n v="50.81"/>
    <x v="101"/>
    <n v="279.45500000000004"/>
    <x v="5"/>
  </r>
  <r>
    <x v="3"/>
    <s v="Stina Alm"/>
    <x v="0"/>
    <x v="456"/>
    <x v="456"/>
    <n v="5"/>
    <s v="METRE"/>
    <n v="0"/>
    <n v="100"/>
    <n v="0"/>
    <n v="-227.63999999999987"/>
    <n v="214.64"/>
    <n v="0"/>
    <n v="50.81"/>
    <x v="101"/>
    <n v="254.05"/>
    <x v="5"/>
  </r>
  <r>
    <x v="12"/>
    <s v="Matteo Giolo"/>
    <x v="0"/>
    <x v="457"/>
    <x v="457"/>
    <n v="1"/>
    <s v="ADET"/>
    <n v="0"/>
    <n v="19"/>
    <n v="4"/>
    <n v="-12"/>
    <n v="0"/>
    <n v="0"/>
    <n v="85"/>
    <x v="10"/>
    <n v="85"/>
    <x v="4"/>
  </r>
  <r>
    <x v="5"/>
    <s v="Matteo Giolo"/>
    <x v="0"/>
    <x v="382"/>
    <x v="382"/>
    <n v="4"/>
    <s v="ADET"/>
    <n v="0"/>
    <n v="1000"/>
    <n v="1222"/>
    <n v="-903"/>
    <n v="0"/>
    <n v="0"/>
    <n v="1.1399999999999999"/>
    <x v="8"/>
    <n v="4.5599999999999996"/>
    <x v="2"/>
  </r>
  <r>
    <x v="5"/>
    <s v="Matteo Giolo"/>
    <x v="0"/>
    <x v="458"/>
    <x v="458"/>
    <n v="2"/>
    <s v="ADET"/>
    <n v="0"/>
    <n v="1"/>
    <n v="14"/>
    <n v="25"/>
    <n v="0"/>
    <n v="11103.25"/>
    <n v="444.13"/>
    <x v="67"/>
    <n v="888.26"/>
    <x v="6"/>
  </r>
  <r>
    <x v="3"/>
    <s v="Stina Alm"/>
    <x v="0"/>
    <x v="458"/>
    <x v="458"/>
    <n v="2"/>
    <s v="ADET"/>
    <n v="0"/>
    <n v="1"/>
    <n v="14"/>
    <n v="25"/>
    <n v="0"/>
    <n v="11103.25"/>
    <n v="444.13"/>
    <x v="67"/>
    <n v="888.26"/>
    <x v="6"/>
  </r>
  <r>
    <x v="3"/>
    <s v="Stina Alm"/>
    <x v="0"/>
    <x v="379"/>
    <x v="379"/>
    <n v="1"/>
    <s v="ADET"/>
    <n v="0"/>
    <n v="1"/>
    <n v="4"/>
    <n v="13"/>
    <n v="0"/>
    <n v="168880.14"/>
    <n v="12990.78"/>
    <x v="67"/>
    <n v="12990.78"/>
    <x v="6"/>
  </r>
  <r>
    <x v="12"/>
    <s v="Matteo Giolo"/>
    <x v="0"/>
    <x v="444"/>
    <x v="444"/>
    <n v="0.1"/>
    <s v="ADET"/>
    <n v="0"/>
    <n v="2"/>
    <n v="-6.3837823915946501E-16"/>
    <n v="1.4000000000000004"/>
    <n v="0"/>
    <n v="3889.2000000000012"/>
    <n v="2778"/>
    <x v="35"/>
    <n v="277.8"/>
    <x v="3"/>
  </r>
  <r>
    <x v="7"/>
    <s v="Laurent MONTAGNER"/>
    <x v="0"/>
    <x v="445"/>
    <x v="445"/>
    <n v="0.1"/>
    <s v="ADET"/>
    <n v="0"/>
    <n v="2"/>
    <n v="1.7763568394002505E-15"/>
    <n v="-0.84999999999999964"/>
    <n v="0"/>
    <n v="0"/>
    <n v="1400"/>
    <x v="35"/>
    <n v="140"/>
    <x v="3"/>
  </r>
  <r>
    <x v="3"/>
    <s v="Stina Alm"/>
    <x v="0"/>
    <x v="447"/>
    <x v="447"/>
    <n v="2"/>
    <s v="ADET"/>
    <n v="0"/>
    <n v="0"/>
    <n v="14"/>
    <n v="38"/>
    <n v="0"/>
    <n v="261.06"/>
    <n v="6.87"/>
    <x v="15"/>
    <n v="13.74"/>
    <x v="7"/>
  </r>
  <r>
    <x v="0"/>
    <s v="Soner Kayıkçı"/>
    <x v="0"/>
    <x v="393"/>
    <x v="393"/>
    <n v="2"/>
    <s v="ADET"/>
    <n v="0"/>
    <n v="452"/>
    <n v="25"/>
    <n v="-428"/>
    <n v="0"/>
    <n v="0"/>
    <n v="20"/>
    <x v="5"/>
    <n v="40"/>
    <x v="7"/>
  </r>
  <r>
    <x v="2"/>
    <s v="Laurent MONTAGNER"/>
    <x v="0"/>
    <x v="393"/>
    <x v="393"/>
    <n v="2"/>
    <s v="ADET"/>
    <n v="0"/>
    <n v="452"/>
    <n v="25"/>
    <n v="-428"/>
    <n v="0"/>
    <n v="0"/>
    <n v="20"/>
    <x v="5"/>
    <n v="40"/>
    <x v="7"/>
  </r>
  <r>
    <x v="2"/>
    <s v="Laurent MONTAGNER"/>
    <x v="0"/>
    <x v="446"/>
    <x v="446"/>
    <n v="2"/>
    <s v="ADET"/>
    <n v="0"/>
    <n v="115"/>
    <n v="2"/>
    <n v="-77"/>
    <n v="0"/>
    <n v="0"/>
    <n v="0.44"/>
    <x v="57"/>
    <n v="0.88"/>
    <x v="7"/>
  </r>
  <r>
    <x v="11"/>
    <s v="Jan Urbanek"/>
    <x v="0"/>
    <x v="393"/>
    <x v="393"/>
    <n v="2"/>
    <s v="ADET"/>
    <n v="0"/>
    <n v="452"/>
    <n v="25"/>
    <n v="-428"/>
    <n v="0"/>
    <n v="0"/>
    <n v="20"/>
    <x v="5"/>
    <n v="40"/>
    <x v="7"/>
  </r>
  <r>
    <x v="8"/>
    <s v="Jan Urbanek"/>
    <x v="0"/>
    <x v="440"/>
    <x v="440"/>
    <n v="2"/>
    <s v="ADET"/>
    <n v="0"/>
    <n v="200"/>
    <n v="88"/>
    <n v="-190"/>
    <n v="0"/>
    <n v="0"/>
    <n v="10"/>
    <x v="2"/>
    <n v="20"/>
    <x v="2"/>
  </r>
  <r>
    <x v="9"/>
    <s v="Jan Urbanek"/>
    <x v="0"/>
    <x v="459"/>
    <x v="459"/>
    <n v="3"/>
    <s v="ADET"/>
    <n v="0"/>
    <n v="400"/>
    <n v="0"/>
    <n v="-388"/>
    <n v="0"/>
    <n v="0"/>
    <n v="10"/>
    <x v="2"/>
    <n v="30"/>
    <x v="2"/>
  </r>
  <r>
    <x v="9"/>
    <s v="Jan Urbanek"/>
    <x v="0"/>
    <x v="444"/>
    <x v="444"/>
    <n v="0.1"/>
    <s v="ADET"/>
    <n v="0"/>
    <n v="2"/>
    <n v="-6.3837823915946501E-16"/>
    <n v="1.4000000000000004"/>
    <n v="0"/>
    <n v="3889.2000000000012"/>
    <n v="2778"/>
    <x v="35"/>
    <n v="277.8"/>
    <x v="3"/>
  </r>
  <r>
    <x v="8"/>
    <s v="Jan Urbanek"/>
    <x v="0"/>
    <x v="444"/>
    <x v="444"/>
    <n v="0.05"/>
    <s v="ADET"/>
    <n v="0"/>
    <n v="2"/>
    <n v="-6.3837823915946501E-16"/>
    <n v="1.4000000000000004"/>
    <n v="0"/>
    <n v="3889.2000000000012"/>
    <n v="2778"/>
    <x v="35"/>
    <n v="138.9"/>
    <x v="3"/>
  </r>
  <r>
    <x v="10"/>
    <s v="Jan Urbanek"/>
    <x v="0"/>
    <x v="445"/>
    <x v="445"/>
    <n v="0.05"/>
    <s v="ADET"/>
    <n v="0"/>
    <n v="2"/>
    <n v="1.7763568394002505E-15"/>
    <n v="-0.84999999999999964"/>
    <n v="0"/>
    <n v="0"/>
    <n v="1400"/>
    <x v="35"/>
    <n v="70"/>
    <x v="3"/>
  </r>
  <r>
    <x v="5"/>
    <s v="Matteo Giolo"/>
    <x v="0"/>
    <x v="446"/>
    <x v="446"/>
    <n v="2"/>
    <s v="ADET"/>
    <n v="0"/>
    <n v="115"/>
    <n v="2"/>
    <n v="-77"/>
    <n v="0"/>
    <n v="0"/>
    <n v="0.44"/>
    <x v="57"/>
    <n v="0.88"/>
    <x v="7"/>
  </r>
  <r>
    <x v="7"/>
    <s v="Laurent MONTAGNER"/>
    <x v="0"/>
    <x v="446"/>
    <x v="446"/>
    <n v="2"/>
    <s v="ADET"/>
    <n v="0"/>
    <n v="115"/>
    <n v="2"/>
    <n v="-77"/>
    <n v="0"/>
    <n v="0"/>
    <n v="0.44"/>
    <x v="57"/>
    <n v="0.88"/>
    <x v="7"/>
  </r>
  <r>
    <x v="19"/>
    <s v="Volkan Batkan"/>
    <x v="0"/>
    <x v="460"/>
    <x v="460"/>
    <n v="2"/>
    <s v="ADET"/>
    <n v="0"/>
    <n v="5"/>
    <n v="10"/>
    <n v="11"/>
    <n v="0"/>
    <n v="832.04"/>
    <n v="75.64"/>
    <x v="74"/>
    <n v="151.28"/>
    <x v="6"/>
  </r>
  <r>
    <x v="3"/>
    <s v="Stina Alm"/>
    <x v="0"/>
    <x v="399"/>
    <x v="399"/>
    <n v="2"/>
    <s v="ADET"/>
    <n v="0"/>
    <n v="27"/>
    <n v="16"/>
    <n v="-3"/>
    <n v="0"/>
    <n v="0"/>
    <n v="66.23"/>
    <x v="13"/>
    <n v="132.46"/>
    <x v="7"/>
  </r>
  <r>
    <x v="4"/>
    <s v="Stefan Zaugg"/>
    <x v="0"/>
    <x v="395"/>
    <x v="395"/>
    <n v="0.3"/>
    <s v="M2"/>
    <n v="0"/>
    <n v="0"/>
    <n v="30.76"/>
    <n v="4.4400000000000004"/>
    <n v="0"/>
    <n v="7762.0524000000005"/>
    <n v="1748.21"/>
    <x v="63"/>
    <n v="524.46299999999997"/>
    <x v="8"/>
  </r>
  <r>
    <x v="5"/>
    <s v="Matteo Giolo"/>
    <x v="0"/>
    <x v="395"/>
    <x v="395"/>
    <n v="0.6"/>
    <s v="M2"/>
    <n v="0"/>
    <n v="0"/>
    <n v="30.76"/>
    <n v="4.4400000000000004"/>
    <n v="0"/>
    <n v="7762.0524000000005"/>
    <n v="1748.21"/>
    <x v="63"/>
    <n v="1048.9259999999999"/>
    <x v="8"/>
  </r>
  <r>
    <x v="12"/>
    <s v="Matteo Giolo"/>
    <x v="0"/>
    <x v="439"/>
    <x v="439"/>
    <n v="6"/>
    <s v="ADET"/>
    <n v="0"/>
    <n v="0"/>
    <n v="0"/>
    <n v="24"/>
    <n v="0"/>
    <n v="21.12"/>
    <n v="0.88"/>
    <x v="49"/>
    <n v="5.28"/>
    <x v="7"/>
  </r>
  <r>
    <x v="12"/>
    <s v="Matteo Giolo"/>
    <x v="0"/>
    <x v="396"/>
    <x v="396"/>
    <n v="1"/>
    <s v="ADET"/>
    <n v="0"/>
    <n v="2"/>
    <n v="7"/>
    <n v="10"/>
    <n v="0"/>
    <n v="121389.3"/>
    <n v="12138.93"/>
    <x v="24"/>
    <n v="12138.93"/>
    <x v="6"/>
  </r>
  <r>
    <x v="12"/>
    <s v="Matteo Giolo"/>
    <x v="0"/>
    <x v="397"/>
    <x v="397"/>
    <n v="16"/>
    <s v="KG"/>
    <n v="0"/>
    <n v="0"/>
    <n v="62.999999999999986"/>
    <n v="196"/>
    <n v="0"/>
    <n v="215186.44000000003"/>
    <n v="1097.8900000000001"/>
    <x v="81"/>
    <n v="17566.240000000002"/>
    <x v="3"/>
  </r>
  <r>
    <x v="7"/>
    <s v="Laurent MONTAGNER"/>
    <x v="0"/>
    <x v="397"/>
    <x v="397"/>
    <n v="18"/>
    <s v="KG"/>
    <n v="0"/>
    <n v="0"/>
    <n v="62.999999999999986"/>
    <n v="196"/>
    <n v="0"/>
    <n v="215186.44000000003"/>
    <n v="1097.8900000000001"/>
    <x v="81"/>
    <n v="19762.02"/>
    <x v="3"/>
  </r>
  <r>
    <x v="3"/>
    <s v="Stina Alm"/>
    <x v="0"/>
    <x v="461"/>
    <x v="461"/>
    <n v="12"/>
    <s v="METRE"/>
    <n v="0"/>
    <n v="100"/>
    <n v="84"/>
    <n v="-32"/>
    <n v="0"/>
    <n v="0"/>
    <n v="14.85"/>
    <x v="15"/>
    <n v="178.2"/>
    <x v="7"/>
  </r>
  <r>
    <x v="3"/>
    <s v="Stina Alm"/>
    <x v="0"/>
    <x v="462"/>
    <x v="462"/>
    <n v="1"/>
    <s v="ADET"/>
    <n v="0"/>
    <n v="10"/>
    <n v="16"/>
    <n v="2"/>
    <n v="0"/>
    <n v="233.34"/>
    <n v="116.67"/>
    <x v="85"/>
    <n v="116.67"/>
    <x v="6"/>
  </r>
  <r>
    <x v="12"/>
    <s v="Matteo Giolo"/>
    <x v="0"/>
    <x v="463"/>
    <x v="463"/>
    <n v="1"/>
    <s v="ADET"/>
    <n v="0"/>
    <n v="14"/>
    <n v="9"/>
    <n v="-3"/>
    <n v="0"/>
    <n v="0"/>
    <n v="1020"/>
    <x v="53"/>
    <n v="1020"/>
    <x v="4"/>
  </r>
  <r>
    <x v="0"/>
    <s v="Soner Kayıkçı"/>
    <x v="0"/>
    <x v="398"/>
    <x v="398"/>
    <n v="2"/>
    <s v="ADET"/>
    <n v="0"/>
    <n v="0"/>
    <n v="10"/>
    <n v="24"/>
    <n v="0"/>
    <n v="1358.4"/>
    <n v="56.6"/>
    <x v="74"/>
    <n v="113.2"/>
    <x v="6"/>
  </r>
  <r>
    <x v="2"/>
    <s v="Laurent MONTAGNER"/>
    <x v="0"/>
    <x v="394"/>
    <x v="394"/>
    <n v="20"/>
    <s v="ADET"/>
    <n v="0"/>
    <n v="442"/>
    <n v="0"/>
    <n v="-64"/>
    <n v="0"/>
    <n v="0"/>
    <n v="9.35"/>
    <x v="8"/>
    <n v="187"/>
    <x v="2"/>
  </r>
  <r>
    <x v="0"/>
    <s v="Soner Kayıkçı"/>
    <x v="0"/>
    <x v="394"/>
    <x v="394"/>
    <n v="16"/>
    <s v="ADET"/>
    <n v="0"/>
    <n v="442"/>
    <n v="0"/>
    <n v="-64"/>
    <n v="0"/>
    <n v="0"/>
    <n v="9.35"/>
    <x v="8"/>
    <n v="149.6"/>
    <x v="2"/>
  </r>
  <r>
    <x v="2"/>
    <s v="Laurent MONTAGNER"/>
    <x v="0"/>
    <x v="399"/>
    <x v="399"/>
    <n v="2"/>
    <s v="ADET"/>
    <n v="0"/>
    <n v="27"/>
    <n v="16"/>
    <n v="-3"/>
    <n v="0"/>
    <n v="0"/>
    <n v="66.23"/>
    <x v="13"/>
    <n v="132.46"/>
    <x v="7"/>
  </r>
  <r>
    <x v="6"/>
    <s v="Laurent MONTAGNER"/>
    <x v="0"/>
    <x v="396"/>
    <x v="396"/>
    <n v="1"/>
    <s v="ADET"/>
    <n v="1"/>
    <n v="2"/>
    <n v="7"/>
    <n v="10"/>
    <n v="0"/>
    <n v="121389.3"/>
    <n v="12138.93"/>
    <x v="24"/>
    <n v="12138.93"/>
    <x v="6"/>
  </r>
  <r>
    <x v="9"/>
    <s v="Jan Urbanek"/>
    <x v="0"/>
    <x v="399"/>
    <x v="399"/>
    <n v="2"/>
    <s v="ADET"/>
    <n v="0"/>
    <n v="27"/>
    <n v="16"/>
    <n v="-3"/>
    <n v="0"/>
    <n v="0"/>
    <n v="66.23"/>
    <x v="13"/>
    <n v="132.46"/>
    <x v="7"/>
  </r>
  <r>
    <x v="5"/>
    <s v="Matteo Giolo"/>
    <x v="0"/>
    <x v="394"/>
    <x v="394"/>
    <n v="35"/>
    <s v="ADET"/>
    <n v="0"/>
    <n v="442"/>
    <n v="0"/>
    <n v="-64"/>
    <n v="0"/>
    <n v="0"/>
    <n v="9.35"/>
    <x v="8"/>
    <n v="327.25"/>
    <x v="2"/>
  </r>
  <r>
    <x v="7"/>
    <s v="Laurent MONTAGNER"/>
    <x v="0"/>
    <x v="394"/>
    <x v="394"/>
    <n v="35"/>
    <s v="ADET"/>
    <n v="0"/>
    <n v="442"/>
    <n v="0"/>
    <n v="-64"/>
    <n v="0"/>
    <n v="0"/>
    <n v="9.35"/>
    <x v="8"/>
    <n v="327.25"/>
    <x v="2"/>
  </r>
  <r>
    <x v="4"/>
    <s v="Stefan Zaugg"/>
    <x v="0"/>
    <x v="399"/>
    <x v="399"/>
    <n v="2"/>
    <s v="ADET"/>
    <n v="2"/>
    <n v="27"/>
    <n v="16"/>
    <n v="-3"/>
    <n v="0"/>
    <n v="0"/>
    <n v="66.23"/>
    <x v="13"/>
    <n v="132.46"/>
    <x v="7"/>
  </r>
  <r>
    <x v="3"/>
    <s v="Stina Alm"/>
    <x v="0"/>
    <x v="395"/>
    <x v="395"/>
    <n v="0.6"/>
    <s v="M2"/>
    <n v="0"/>
    <n v="0"/>
    <n v="30.76"/>
    <n v="4.4400000000000004"/>
    <n v="0"/>
    <n v="7762.0524000000005"/>
    <n v="1748.21"/>
    <x v="63"/>
    <n v="1048.9259999999999"/>
    <x v="8"/>
  </r>
  <r>
    <x v="12"/>
    <s v="Matteo Giolo"/>
    <x v="0"/>
    <x v="460"/>
    <x v="460"/>
    <n v="2"/>
    <s v="ADET"/>
    <n v="0"/>
    <n v="5"/>
    <n v="10"/>
    <n v="11"/>
    <n v="0"/>
    <n v="832.04"/>
    <n v="75.64"/>
    <x v="74"/>
    <n v="151.28"/>
    <x v="6"/>
  </r>
  <r>
    <x v="3"/>
    <s v="Stina Alm"/>
    <x v="0"/>
    <x v="397"/>
    <x v="397"/>
    <n v="18"/>
    <s v="KG"/>
    <n v="0"/>
    <n v="0"/>
    <n v="62.999999999999986"/>
    <n v="196"/>
    <n v="0"/>
    <n v="215186.44000000003"/>
    <n v="1097.8900000000001"/>
    <x v="81"/>
    <n v="19762.02"/>
    <x v="3"/>
  </r>
  <r>
    <x v="7"/>
    <s v="Laurent MONTAGNER"/>
    <x v="0"/>
    <x v="461"/>
    <x v="461"/>
    <n v="8"/>
    <s v="METRE"/>
    <n v="0"/>
    <n v="100"/>
    <n v="84"/>
    <n v="-32"/>
    <n v="0"/>
    <n v="0"/>
    <n v="14.85"/>
    <x v="15"/>
    <n v="118.8"/>
    <x v="7"/>
  </r>
  <r>
    <x v="12"/>
    <s v="Matteo Giolo"/>
    <x v="0"/>
    <x v="464"/>
    <x v="464"/>
    <n v="0.2"/>
    <s v="METRE"/>
    <n v="0"/>
    <n v="200"/>
    <n v="85.649999999999977"/>
    <n v="-196.4"/>
    <n v="0"/>
    <n v="0"/>
    <n v="3.62"/>
    <x v="15"/>
    <n v="0.72400000000000009"/>
    <x v="7"/>
  </r>
  <r>
    <x v="5"/>
    <s v="Matteo Giolo"/>
    <x v="0"/>
    <x v="464"/>
    <x v="464"/>
    <n v="0.2"/>
    <s v="METRE"/>
    <n v="0"/>
    <n v="200"/>
    <n v="85.649999999999977"/>
    <n v="-196.4"/>
    <n v="0"/>
    <n v="0"/>
    <n v="3.62"/>
    <x v="15"/>
    <n v="0.72400000000000009"/>
    <x v="7"/>
  </r>
  <r>
    <x v="7"/>
    <s v="Laurent MONTAGNER"/>
    <x v="0"/>
    <x v="464"/>
    <x v="464"/>
    <n v="0.2"/>
    <s v="METRE"/>
    <n v="0"/>
    <n v="200"/>
    <n v="85.649999999999977"/>
    <n v="-196.4"/>
    <n v="0"/>
    <n v="0"/>
    <n v="3.62"/>
    <x v="15"/>
    <n v="0.72400000000000009"/>
    <x v="7"/>
  </r>
  <r>
    <x v="4"/>
    <s v="Stefan Zaugg"/>
    <x v="0"/>
    <x v="446"/>
    <x v="446"/>
    <n v="2"/>
    <s v="ADET"/>
    <n v="0"/>
    <n v="115"/>
    <n v="2"/>
    <n v="-77"/>
    <n v="0"/>
    <n v="0"/>
    <n v="0.44"/>
    <x v="57"/>
    <n v="0.88"/>
    <x v="7"/>
  </r>
  <r>
    <x v="12"/>
    <s v="Matteo Giolo"/>
    <x v="0"/>
    <x v="465"/>
    <x v="465"/>
    <n v="2.5"/>
    <s v="KG"/>
    <n v="0"/>
    <n v="139"/>
    <n v="45.499999999999943"/>
    <n v="-124"/>
    <n v="0"/>
    <n v="0"/>
    <n v="233.95"/>
    <x v="3"/>
    <n v="584.875"/>
    <x v="3"/>
  </r>
  <r>
    <x v="7"/>
    <s v="Laurent MONTAGNER"/>
    <x v="0"/>
    <x v="447"/>
    <x v="447"/>
    <n v="2"/>
    <s v="ADET"/>
    <n v="0"/>
    <n v="0"/>
    <n v="14"/>
    <n v="38"/>
    <n v="0"/>
    <n v="261.06"/>
    <n v="6.87"/>
    <x v="15"/>
    <n v="13.74"/>
    <x v="7"/>
  </r>
  <r>
    <x v="5"/>
    <s v="Matteo Giolo"/>
    <x v="0"/>
    <x v="466"/>
    <x v="466"/>
    <n v="1"/>
    <s v="METRE"/>
    <n v="0"/>
    <n v="50"/>
    <n v="0"/>
    <n v="-48"/>
    <n v="0"/>
    <n v="0"/>
    <n v="180"/>
    <x v="27"/>
    <n v="180"/>
    <x v="4"/>
  </r>
  <r>
    <x v="4"/>
    <s v="Stefan Zaugg"/>
    <x v="0"/>
    <x v="467"/>
    <x v="467"/>
    <n v="4"/>
    <s v="ADET"/>
    <n v="0"/>
    <n v="40"/>
    <n v="0"/>
    <n v="-28"/>
    <n v="0"/>
    <n v="0"/>
    <n v="33"/>
    <x v="2"/>
    <n v="132"/>
    <x v="2"/>
  </r>
  <r>
    <x v="5"/>
    <s v="Matteo Giolo"/>
    <x v="0"/>
    <x v="441"/>
    <x v="441"/>
    <n v="1"/>
    <s v="ADET"/>
    <n v="0"/>
    <n v="0"/>
    <n v="2"/>
    <n v="8"/>
    <n v="0"/>
    <n v="191760"/>
    <n v="23970"/>
    <x v="98"/>
    <n v="23970"/>
    <x v="6"/>
  </r>
  <r>
    <x v="5"/>
    <s v="Matteo Giolo"/>
    <x v="0"/>
    <x v="468"/>
    <x v="468"/>
    <n v="1"/>
    <s v="ADET"/>
    <n v="0"/>
    <n v="4"/>
    <n v="1"/>
    <n v="-3"/>
    <n v="0"/>
    <n v="0"/>
    <n v="270"/>
    <x v="14"/>
    <n v="270"/>
    <x v="3"/>
  </r>
  <r>
    <x v="3"/>
    <s v="Stina Alm"/>
    <x v="0"/>
    <x v="443"/>
    <x v="443"/>
    <n v="1"/>
    <s v="ADET"/>
    <n v="0"/>
    <n v="10"/>
    <n v="5"/>
    <n v="-6"/>
    <n v="0"/>
    <n v="0"/>
    <n v="1679.53"/>
    <x v="74"/>
    <n v="1679.53"/>
    <x v="4"/>
  </r>
  <r>
    <x v="4"/>
    <s v="Stefan Zaugg"/>
    <x v="0"/>
    <x v="444"/>
    <x v="444"/>
    <n v="0.5"/>
    <s v="ADET"/>
    <n v="0"/>
    <n v="2"/>
    <n v="-6.3837823915946501E-16"/>
    <n v="1.4000000000000004"/>
    <n v="0"/>
    <n v="3889.2000000000012"/>
    <n v="2778"/>
    <x v="35"/>
    <n v="1389"/>
    <x v="3"/>
  </r>
  <r>
    <x v="5"/>
    <s v="Matteo Giolo"/>
    <x v="0"/>
    <x v="444"/>
    <x v="444"/>
    <n v="0.1"/>
    <s v="ADET"/>
    <n v="0"/>
    <n v="2"/>
    <n v="-6.3837823915946501E-16"/>
    <n v="1.4000000000000004"/>
    <n v="0"/>
    <n v="3889.2000000000012"/>
    <n v="2778"/>
    <x v="35"/>
    <n v="277.8"/>
    <x v="3"/>
  </r>
  <r>
    <x v="5"/>
    <s v="Matteo Giolo"/>
    <x v="0"/>
    <x v="445"/>
    <x v="445"/>
    <n v="0.1"/>
    <s v="ADET"/>
    <n v="0"/>
    <n v="2"/>
    <n v="1.7763568394002505E-15"/>
    <n v="-0.84999999999999964"/>
    <n v="0"/>
    <n v="0"/>
    <n v="1400"/>
    <x v="35"/>
    <n v="140"/>
    <x v="3"/>
  </r>
  <r>
    <x v="3"/>
    <s v="Stina Alm"/>
    <x v="0"/>
    <x v="446"/>
    <x v="446"/>
    <n v="2"/>
    <s v="ADET"/>
    <n v="0"/>
    <n v="115"/>
    <n v="2"/>
    <n v="-77"/>
    <n v="0"/>
    <n v="0"/>
    <n v="0.44"/>
    <x v="57"/>
    <n v="0.88"/>
    <x v="7"/>
  </r>
  <r>
    <x v="5"/>
    <s v="Matteo Giolo"/>
    <x v="0"/>
    <x v="447"/>
    <x v="447"/>
    <n v="2"/>
    <s v="ADET"/>
    <n v="0"/>
    <n v="0"/>
    <n v="14"/>
    <n v="38"/>
    <n v="0"/>
    <n v="261.06"/>
    <n v="6.87"/>
    <x v="15"/>
    <n v="13.74"/>
    <x v="7"/>
  </r>
  <r>
    <x v="1"/>
    <s v="Stina Alm"/>
    <x v="0"/>
    <x v="393"/>
    <x v="393"/>
    <n v="2"/>
    <s v="ADET"/>
    <n v="0"/>
    <n v="452"/>
    <n v="25"/>
    <n v="-428"/>
    <n v="0"/>
    <n v="0"/>
    <n v="20"/>
    <x v="5"/>
    <n v="40"/>
    <x v="7"/>
  </r>
  <r>
    <x v="0"/>
    <s v="Soner Kayıkçı"/>
    <x v="0"/>
    <x v="459"/>
    <x v="459"/>
    <n v="3"/>
    <s v="ADET"/>
    <n v="0"/>
    <n v="400"/>
    <n v="0"/>
    <n v="-388"/>
    <n v="0"/>
    <n v="0"/>
    <n v="10"/>
    <x v="2"/>
    <n v="30"/>
    <x v="2"/>
  </r>
  <r>
    <x v="11"/>
    <s v="Jan Urbanek"/>
    <x v="0"/>
    <x v="404"/>
    <x v="404"/>
    <n v="1"/>
    <s v="ADET"/>
    <n v="0"/>
    <n v="23"/>
    <n v="5"/>
    <n v="-12"/>
    <n v="0"/>
    <n v="0"/>
    <n v="871.93"/>
    <x v="93"/>
    <n v="871.93"/>
    <x v="6"/>
  </r>
  <r>
    <x v="13"/>
    <s v="Matteo Giolo"/>
    <x v="0"/>
    <x v="212"/>
    <x v="212"/>
    <n v="1.5"/>
    <s v="ADET"/>
    <n v="0"/>
    <n v="272"/>
    <n v="4.2999999999999652"/>
    <n v="-233.2"/>
    <n v="0"/>
    <n v="0"/>
    <n v="30"/>
    <x v="14"/>
    <n v="45"/>
    <x v="2"/>
  </r>
  <r>
    <x v="19"/>
    <s v="Volkan Batkan"/>
    <x v="0"/>
    <x v="368"/>
    <x v="368"/>
    <n v="3"/>
    <s v="ADET"/>
    <n v="0"/>
    <n v="235"/>
    <n v="-7.460698725481052E-14"/>
    <n v="-215.94"/>
    <n v="0"/>
    <n v="0"/>
    <n v="15"/>
    <x v="2"/>
    <n v="45"/>
    <x v="2"/>
  </r>
  <r>
    <x v="15"/>
    <s v="Jan Urbanek"/>
    <x v="0"/>
    <x v="369"/>
    <x v="369"/>
    <n v="1"/>
    <s v="ADET"/>
    <n v="0"/>
    <n v="27"/>
    <n v="14"/>
    <n v="-18"/>
    <n v="0"/>
    <n v="0"/>
    <n v="15"/>
    <x v="20"/>
    <n v="15"/>
    <x v="7"/>
  </r>
  <r>
    <x v="15"/>
    <s v="Jan Urbanek"/>
    <x v="0"/>
    <x v="402"/>
    <x v="402"/>
    <n v="1"/>
    <s v="ADET"/>
    <n v="0"/>
    <n v="135"/>
    <n v="7"/>
    <n v="-119"/>
    <n v="0"/>
    <n v="0"/>
    <n v="39.6"/>
    <x v="20"/>
    <n v="39.6"/>
    <x v="7"/>
  </r>
  <r>
    <x v="13"/>
    <s v="Matteo Giolo"/>
    <x v="0"/>
    <x v="401"/>
    <x v="401"/>
    <n v="1"/>
    <s v="ADET"/>
    <n v="0"/>
    <n v="8"/>
    <n v="5"/>
    <n v="-4"/>
    <n v="0"/>
    <n v="0"/>
    <n v="1723.79"/>
    <x v="74"/>
    <n v="1723.79"/>
    <x v="4"/>
  </r>
  <r>
    <x v="19"/>
    <s v="Volkan Batkan"/>
    <x v="0"/>
    <x v="418"/>
    <x v="418"/>
    <n v="2"/>
    <s v="ADET"/>
    <n v="0"/>
    <n v="265"/>
    <n v="94"/>
    <n v="-249"/>
    <n v="0"/>
    <n v="0"/>
    <n v="4"/>
    <x v="20"/>
    <n v="8"/>
    <x v="7"/>
  </r>
  <r>
    <x v="15"/>
    <s v="Jan Urbanek"/>
    <x v="0"/>
    <x v="418"/>
    <x v="418"/>
    <n v="2"/>
    <s v="ADET"/>
    <n v="0"/>
    <n v="265"/>
    <n v="94"/>
    <n v="-249"/>
    <n v="0"/>
    <n v="0"/>
    <n v="4"/>
    <x v="20"/>
    <n v="8"/>
    <x v="7"/>
  </r>
  <r>
    <x v="13"/>
    <s v="Matteo Giolo"/>
    <x v="0"/>
    <x v="419"/>
    <x v="419"/>
    <n v="1"/>
    <s v="ADET"/>
    <n v="0"/>
    <n v="4"/>
    <n v="0"/>
    <n v="-1"/>
    <n v="0"/>
    <n v="0"/>
    <n v="3017.33"/>
    <x v="95"/>
    <n v="3017.33"/>
    <x v="6"/>
  </r>
  <r>
    <x v="19"/>
    <s v="Volkan Batkan"/>
    <x v="0"/>
    <x v="404"/>
    <x v="404"/>
    <n v="1"/>
    <s v="ADET"/>
    <n v="1"/>
    <n v="23"/>
    <n v="5"/>
    <n v="-12"/>
    <n v="0"/>
    <n v="0"/>
    <n v="871.93"/>
    <x v="93"/>
    <n v="871.93"/>
    <x v="6"/>
  </r>
  <r>
    <x v="13"/>
    <s v="Matteo Giolo"/>
    <x v="0"/>
    <x v="404"/>
    <x v="404"/>
    <n v="1"/>
    <s v="ADET"/>
    <n v="0"/>
    <n v="23"/>
    <n v="5"/>
    <n v="-12"/>
    <n v="0"/>
    <n v="0"/>
    <n v="871.93"/>
    <x v="93"/>
    <n v="871.93"/>
    <x v="6"/>
  </r>
  <r>
    <x v="10"/>
    <s v="Jan Urbanek"/>
    <x v="0"/>
    <x v="369"/>
    <x v="369"/>
    <n v="1"/>
    <s v="ADET"/>
    <n v="0"/>
    <n v="27"/>
    <n v="14"/>
    <n v="-18"/>
    <n v="0"/>
    <n v="0"/>
    <n v="15"/>
    <x v="20"/>
    <n v="15"/>
    <x v="7"/>
  </r>
  <r>
    <x v="9"/>
    <s v="Jan Urbanek"/>
    <x v="0"/>
    <x v="369"/>
    <x v="369"/>
    <n v="1"/>
    <s v="ADET"/>
    <n v="0"/>
    <n v="27"/>
    <n v="14"/>
    <n v="-18"/>
    <n v="0"/>
    <n v="0"/>
    <n v="15"/>
    <x v="20"/>
    <n v="15"/>
    <x v="7"/>
  </r>
  <r>
    <x v="9"/>
    <s v="Jan Urbanek"/>
    <x v="0"/>
    <x v="402"/>
    <x v="402"/>
    <n v="1"/>
    <s v="ADET"/>
    <n v="0"/>
    <n v="135"/>
    <n v="7"/>
    <n v="-119"/>
    <n v="0"/>
    <n v="0"/>
    <n v="39.6"/>
    <x v="20"/>
    <n v="39.6"/>
    <x v="7"/>
  </r>
  <r>
    <x v="8"/>
    <s v="Jan Urbanek"/>
    <x v="0"/>
    <x v="402"/>
    <x v="402"/>
    <n v="1"/>
    <s v="ADET"/>
    <n v="0"/>
    <n v="135"/>
    <n v="7"/>
    <n v="-119"/>
    <n v="0"/>
    <n v="0"/>
    <n v="39.6"/>
    <x v="20"/>
    <n v="39.6"/>
    <x v="7"/>
  </r>
  <r>
    <x v="8"/>
    <s v="Jan Urbanek"/>
    <x v="0"/>
    <x v="403"/>
    <x v="403"/>
    <n v="1"/>
    <s v="ADET"/>
    <n v="0"/>
    <n v="28"/>
    <n v="4"/>
    <n v="-21"/>
    <n v="0"/>
    <n v="0"/>
    <n v="290.73"/>
    <x v="74"/>
    <n v="290.73"/>
    <x v="4"/>
  </r>
  <r>
    <x v="10"/>
    <s v="Jan Urbanek"/>
    <x v="0"/>
    <x v="400"/>
    <x v="400"/>
    <n v="1"/>
    <s v="ADET"/>
    <n v="0"/>
    <n v="27"/>
    <n v="4"/>
    <n v="-20"/>
    <n v="0"/>
    <n v="0"/>
    <n v="290.73"/>
    <x v="74"/>
    <n v="290.73"/>
    <x v="4"/>
  </r>
  <r>
    <x v="8"/>
    <s v="Jan Urbanek"/>
    <x v="0"/>
    <x v="418"/>
    <x v="418"/>
    <n v="2"/>
    <s v="ADET"/>
    <n v="0"/>
    <n v="265"/>
    <n v="94"/>
    <n v="-249"/>
    <n v="0"/>
    <n v="0"/>
    <n v="4"/>
    <x v="20"/>
    <n v="8"/>
    <x v="7"/>
  </r>
  <r>
    <x v="9"/>
    <s v="Jan Urbanek"/>
    <x v="0"/>
    <x v="418"/>
    <x v="418"/>
    <n v="2"/>
    <s v="ADET"/>
    <n v="0"/>
    <n v="265"/>
    <n v="94"/>
    <n v="-249"/>
    <n v="0"/>
    <n v="0"/>
    <n v="4"/>
    <x v="20"/>
    <n v="8"/>
    <x v="7"/>
  </r>
  <r>
    <x v="17"/>
    <s v="Murat Taşdemir"/>
    <x v="0"/>
    <x v="212"/>
    <x v="212"/>
    <n v="2.5"/>
    <s v="ADET"/>
    <n v="0"/>
    <n v="272"/>
    <n v="4.2999999999999652"/>
    <n v="-233.2"/>
    <n v="0"/>
    <n v="0"/>
    <n v="30"/>
    <x v="14"/>
    <n v="75"/>
    <x v="2"/>
  </r>
  <r>
    <x v="10"/>
    <s v="Jan Urbanek"/>
    <x v="0"/>
    <x v="409"/>
    <x v="409"/>
    <n v="4"/>
    <s v="ADET"/>
    <n v="0"/>
    <n v="250"/>
    <n v="302"/>
    <n v="-202"/>
    <n v="0"/>
    <n v="0"/>
    <n v="0.9"/>
    <x v="15"/>
    <n v="3.6"/>
    <x v="7"/>
  </r>
  <r>
    <x v="10"/>
    <s v="Jan Urbanek"/>
    <x v="0"/>
    <x v="410"/>
    <x v="410"/>
    <n v="4"/>
    <s v="ADET"/>
    <n v="0"/>
    <n v="25"/>
    <n v="14"/>
    <n v="7"/>
    <n v="0"/>
    <n v="1206.6599999999999"/>
    <n v="172.38"/>
    <x v="74"/>
    <n v="689.52"/>
    <x v="6"/>
  </r>
  <r>
    <x v="8"/>
    <s v="Jan Urbanek"/>
    <x v="0"/>
    <x v="410"/>
    <x v="410"/>
    <n v="4"/>
    <s v="ADET"/>
    <n v="0"/>
    <n v="25"/>
    <n v="14"/>
    <n v="7"/>
    <n v="0"/>
    <n v="1206.6599999999999"/>
    <n v="172.38"/>
    <x v="74"/>
    <n v="689.52"/>
    <x v="6"/>
  </r>
  <r>
    <x v="11"/>
    <s v="Jan Urbanek"/>
    <x v="0"/>
    <x v="412"/>
    <x v="412"/>
    <n v="1"/>
    <s v="ADET"/>
    <n v="0"/>
    <n v="15"/>
    <n v="11"/>
    <n v="-4"/>
    <n v="0"/>
    <n v="0"/>
    <n v="510"/>
    <x v="53"/>
    <n v="510"/>
    <x v="4"/>
  </r>
  <r>
    <x v="17"/>
    <s v="Murat Taşdemir"/>
    <x v="0"/>
    <x v="376"/>
    <x v="376"/>
    <n v="98"/>
    <s v="ADET"/>
    <n v="0"/>
    <n v="680"/>
    <n v="614"/>
    <n v="118"/>
    <n v="0"/>
    <n v="247.8"/>
    <n v="2.1"/>
    <x v="14"/>
    <n v="205.8"/>
    <x v="2"/>
  </r>
  <r>
    <x v="6"/>
    <s v="Laurent MONTAGNER"/>
    <x v="0"/>
    <x v="407"/>
    <x v="407"/>
    <n v="1"/>
    <s v="ADET"/>
    <n v="1"/>
    <n v="5"/>
    <n v="8"/>
    <n v="5"/>
    <n v="0"/>
    <n v="30523.449999999997"/>
    <n v="6104.69"/>
    <x v="13"/>
    <n v="6104.69"/>
    <x v="7"/>
  </r>
  <r>
    <x v="3"/>
    <s v="Stina Alm"/>
    <x v="0"/>
    <x v="469"/>
    <x v="469"/>
    <n v="2"/>
    <s v="ADET"/>
    <n v="0"/>
    <n v="29"/>
    <n v="0"/>
    <n v="-27"/>
    <n v="0"/>
    <n v="0"/>
    <n v="213.48"/>
    <x v="74"/>
    <n v="426.96"/>
    <x v="4"/>
  </r>
  <r>
    <x v="3"/>
    <s v="Stina Alm"/>
    <x v="0"/>
    <x v="380"/>
    <x v="380"/>
    <n v="1"/>
    <s v="ADET"/>
    <n v="0"/>
    <n v="9"/>
    <n v="8"/>
    <n v="-12"/>
    <n v="15"/>
    <n v="0"/>
    <n v="776.15"/>
    <x v="89"/>
    <n v="776.15"/>
    <x v="7"/>
  </r>
  <r>
    <x v="0"/>
    <s v="Soner Kayıkçı"/>
    <x v="0"/>
    <x v="378"/>
    <x v="378"/>
    <n v="1"/>
    <s v="ADET"/>
    <n v="0"/>
    <n v="5"/>
    <n v="4"/>
    <n v="2"/>
    <n v="0"/>
    <n v="3447.58"/>
    <n v="1723.79"/>
    <x v="74"/>
    <n v="1723.79"/>
    <x v="4"/>
  </r>
  <r>
    <x v="1"/>
    <s v="Stina Alm"/>
    <x v="0"/>
    <x v="373"/>
    <x v="373"/>
    <n v="1"/>
    <s v="ADET"/>
    <n v="0"/>
    <n v="12"/>
    <n v="5"/>
    <n v="-8"/>
    <n v="0"/>
    <n v="0"/>
    <n v="1679.53"/>
    <x v="74"/>
    <n v="1679.53"/>
    <x v="4"/>
  </r>
  <r>
    <x v="9"/>
    <s v="Jan Urbanek"/>
    <x v="0"/>
    <x v="317"/>
    <x v="317"/>
    <n v="2"/>
    <s v="ADET"/>
    <n v="0"/>
    <n v="35"/>
    <n v="14"/>
    <n v="-11"/>
    <n v="0"/>
    <n v="0"/>
    <n v="43.75"/>
    <x v="3"/>
    <n v="87.5"/>
    <x v="2"/>
  </r>
  <r>
    <x v="8"/>
    <s v="Jan Urbanek"/>
    <x v="0"/>
    <x v="317"/>
    <x v="317"/>
    <n v="2"/>
    <s v="ADET"/>
    <n v="0"/>
    <n v="35"/>
    <n v="14"/>
    <n v="-11"/>
    <n v="0"/>
    <n v="0"/>
    <n v="43.75"/>
    <x v="3"/>
    <n v="87.5"/>
    <x v="2"/>
  </r>
  <r>
    <x v="12"/>
    <s v="Matteo Giolo"/>
    <x v="0"/>
    <x v="382"/>
    <x v="382"/>
    <n v="7"/>
    <s v="ADET"/>
    <n v="0"/>
    <n v="1000"/>
    <n v="1222"/>
    <n v="-903"/>
    <n v="0"/>
    <n v="0"/>
    <n v="1.1399999999999999"/>
    <x v="8"/>
    <n v="7.9799999999999995"/>
    <x v="2"/>
  </r>
  <r>
    <x v="12"/>
    <s v="Matteo Giolo"/>
    <x v="0"/>
    <x v="458"/>
    <x v="458"/>
    <n v="2"/>
    <s v="ADET"/>
    <n v="0"/>
    <n v="1"/>
    <n v="14"/>
    <n v="25"/>
    <n v="0"/>
    <n v="11103.25"/>
    <n v="444.13"/>
    <x v="67"/>
    <n v="888.26"/>
    <x v="6"/>
  </r>
  <r>
    <x v="12"/>
    <s v="Matteo Giolo"/>
    <x v="0"/>
    <x v="379"/>
    <x v="379"/>
    <n v="1"/>
    <s v="ADET"/>
    <n v="0"/>
    <n v="1"/>
    <n v="4"/>
    <n v="13"/>
    <n v="0"/>
    <n v="168880.14"/>
    <n v="12990.78"/>
    <x v="67"/>
    <n v="12990.78"/>
    <x v="6"/>
  </r>
  <r>
    <x v="7"/>
    <s v="Laurent MONTAGNER"/>
    <x v="0"/>
    <x v="379"/>
    <x v="379"/>
    <n v="1"/>
    <s v="ADET"/>
    <n v="0"/>
    <n v="1"/>
    <n v="4"/>
    <n v="13"/>
    <n v="0"/>
    <n v="168880.14"/>
    <n v="12990.78"/>
    <x v="67"/>
    <n v="12990.78"/>
    <x v="6"/>
  </r>
  <r>
    <x v="12"/>
    <s v="Matteo Giolo"/>
    <x v="0"/>
    <x v="470"/>
    <x v="470"/>
    <n v="2"/>
    <s v="ADET"/>
    <n v="0"/>
    <n v="500"/>
    <n v="500"/>
    <n v="-486"/>
    <n v="0"/>
    <n v="0"/>
    <n v="0.65"/>
    <x v="15"/>
    <n v="1.3"/>
    <x v="7"/>
  </r>
  <r>
    <x v="12"/>
    <s v="Matteo Giolo"/>
    <x v="0"/>
    <x v="471"/>
    <x v="471"/>
    <n v="2"/>
    <s v="ADET"/>
    <n v="0"/>
    <n v="500"/>
    <n v="500"/>
    <n v="-486"/>
    <n v="0"/>
    <n v="0"/>
    <n v="0.39"/>
    <x v="15"/>
    <n v="0.78"/>
    <x v="7"/>
  </r>
  <r>
    <x v="6"/>
    <s v="Laurent MONTAGNER"/>
    <x v="0"/>
    <x v="382"/>
    <x v="382"/>
    <n v="4"/>
    <s v="ADET"/>
    <n v="0"/>
    <n v="1000"/>
    <n v="1222"/>
    <n v="-903"/>
    <n v="0"/>
    <n v="0"/>
    <n v="1.1399999999999999"/>
    <x v="8"/>
    <n v="4.5599999999999996"/>
    <x v="2"/>
  </r>
  <r>
    <x v="2"/>
    <s v="Laurent MONTAGNER"/>
    <x v="0"/>
    <x v="382"/>
    <x v="382"/>
    <n v="4"/>
    <s v="ADET"/>
    <n v="0"/>
    <n v="1000"/>
    <n v="1222"/>
    <n v="-903"/>
    <n v="0"/>
    <n v="0"/>
    <n v="1.1399999999999999"/>
    <x v="8"/>
    <n v="4.5599999999999996"/>
    <x v="2"/>
  </r>
  <r>
    <x v="10"/>
    <s v="Jan Urbanek"/>
    <x v="0"/>
    <x v="378"/>
    <x v="378"/>
    <n v="1"/>
    <s v="ADET"/>
    <n v="0"/>
    <n v="5"/>
    <n v="4"/>
    <n v="2"/>
    <n v="0"/>
    <n v="3447.58"/>
    <n v="1723.79"/>
    <x v="74"/>
    <n v="1723.79"/>
    <x v="4"/>
  </r>
  <r>
    <x v="9"/>
    <s v="Jan Urbanek"/>
    <x v="0"/>
    <x v="458"/>
    <x v="458"/>
    <n v="2"/>
    <s v="ADET"/>
    <n v="0"/>
    <n v="1"/>
    <n v="14"/>
    <n v="25"/>
    <n v="0"/>
    <n v="11103.25"/>
    <n v="444.13"/>
    <x v="67"/>
    <n v="888.26"/>
    <x v="6"/>
  </r>
  <r>
    <x v="8"/>
    <s v="Jan Urbanek"/>
    <x v="0"/>
    <x v="458"/>
    <x v="458"/>
    <n v="2"/>
    <s v="ADET"/>
    <n v="0"/>
    <n v="1"/>
    <n v="14"/>
    <n v="25"/>
    <n v="0"/>
    <n v="11103.25"/>
    <n v="444.13"/>
    <x v="67"/>
    <n v="888.26"/>
    <x v="6"/>
  </r>
  <r>
    <x v="10"/>
    <s v="Jan Urbanek"/>
    <x v="0"/>
    <x v="379"/>
    <x v="379"/>
    <n v="1"/>
    <s v="ADET"/>
    <n v="0"/>
    <n v="1"/>
    <n v="4"/>
    <n v="13"/>
    <n v="0"/>
    <n v="168880.14"/>
    <n v="12990.78"/>
    <x v="67"/>
    <n v="12990.78"/>
    <x v="6"/>
  </r>
  <r>
    <x v="10"/>
    <s v="Jan Urbanek"/>
    <x v="0"/>
    <x v="380"/>
    <x v="380"/>
    <n v="1"/>
    <s v="ADET"/>
    <n v="0"/>
    <n v="9"/>
    <n v="8"/>
    <n v="-12"/>
    <n v="15"/>
    <n v="0"/>
    <n v="776.15"/>
    <x v="89"/>
    <n v="776.15"/>
    <x v="7"/>
  </r>
  <r>
    <x v="8"/>
    <s v="Jan Urbanek"/>
    <x v="0"/>
    <x v="470"/>
    <x v="470"/>
    <n v="2"/>
    <s v="ADET"/>
    <n v="0"/>
    <n v="500"/>
    <n v="500"/>
    <n v="-486"/>
    <n v="0"/>
    <n v="0"/>
    <n v="0.65"/>
    <x v="15"/>
    <n v="1.3"/>
    <x v="7"/>
  </r>
  <r>
    <x v="9"/>
    <s v="Jan Urbanek"/>
    <x v="0"/>
    <x v="470"/>
    <x v="470"/>
    <n v="2"/>
    <s v="ADET"/>
    <n v="0"/>
    <n v="500"/>
    <n v="500"/>
    <n v="-486"/>
    <n v="0"/>
    <n v="0"/>
    <n v="0.65"/>
    <x v="15"/>
    <n v="1.3"/>
    <x v="7"/>
  </r>
  <r>
    <x v="10"/>
    <s v="Jan Urbanek"/>
    <x v="0"/>
    <x v="471"/>
    <x v="471"/>
    <n v="2"/>
    <s v="ADET"/>
    <n v="0"/>
    <n v="500"/>
    <n v="500"/>
    <n v="-486"/>
    <n v="0"/>
    <n v="0"/>
    <n v="0.39"/>
    <x v="15"/>
    <n v="0.78"/>
    <x v="7"/>
  </r>
  <r>
    <x v="8"/>
    <s v="Jan Urbanek"/>
    <x v="0"/>
    <x v="471"/>
    <x v="471"/>
    <n v="2"/>
    <s v="ADET"/>
    <n v="0"/>
    <n v="500"/>
    <n v="500"/>
    <n v="-486"/>
    <n v="0"/>
    <n v="0"/>
    <n v="0.39"/>
    <x v="15"/>
    <n v="0.78"/>
    <x v="7"/>
  </r>
  <r>
    <x v="1"/>
    <s v="Stina Alm"/>
    <x v="0"/>
    <x v="382"/>
    <x v="382"/>
    <n v="4"/>
    <s v="ADET"/>
    <n v="0"/>
    <n v="1000"/>
    <n v="1222"/>
    <n v="-903"/>
    <n v="0"/>
    <n v="0"/>
    <n v="1.1399999999999999"/>
    <x v="8"/>
    <n v="4.5599999999999996"/>
    <x v="2"/>
  </r>
  <r>
    <x v="11"/>
    <s v="Jan Urbanek"/>
    <x v="0"/>
    <x v="458"/>
    <x v="458"/>
    <n v="2"/>
    <s v="ADET"/>
    <n v="0"/>
    <n v="1"/>
    <n v="14"/>
    <n v="25"/>
    <n v="0"/>
    <n v="11103.25"/>
    <n v="444.13"/>
    <x v="67"/>
    <n v="888.26"/>
    <x v="6"/>
  </r>
  <r>
    <x v="12"/>
    <s v="Matteo Giolo"/>
    <x v="0"/>
    <x v="455"/>
    <x v="455"/>
    <n v="1"/>
    <s v="ADET"/>
    <n v="0"/>
    <n v="19"/>
    <n v="17"/>
    <n v="0"/>
    <n v="0"/>
    <n v="0"/>
    <n v="113.64"/>
    <x v="100"/>
    <n v="113.64"/>
    <x v="13"/>
  </r>
  <r>
    <x v="6"/>
    <s v="Laurent MONTAGNER"/>
    <x v="0"/>
    <x v="386"/>
    <x v="386"/>
    <n v="5"/>
    <s v="METRE"/>
    <n v="0"/>
    <n v="60"/>
    <n v="52"/>
    <n v="14.5"/>
    <n v="80"/>
    <n v="710.5"/>
    <n v="49"/>
    <x v="41"/>
    <n v="245"/>
    <x v="5"/>
  </r>
  <r>
    <x v="0"/>
    <s v="Soner Kayıkçı"/>
    <x v="0"/>
    <x v="386"/>
    <x v="386"/>
    <n v="12"/>
    <s v="METRE"/>
    <n v="0"/>
    <n v="60"/>
    <n v="52"/>
    <n v="14.5"/>
    <n v="80"/>
    <n v="710.5"/>
    <n v="49"/>
    <x v="41"/>
    <n v="588"/>
    <x v="5"/>
  </r>
  <r>
    <x v="9"/>
    <s v="Jan Urbanek"/>
    <x v="0"/>
    <x v="376"/>
    <x v="376"/>
    <n v="44"/>
    <s v="ADET"/>
    <n v="0"/>
    <n v="680"/>
    <n v="614"/>
    <n v="118"/>
    <n v="0"/>
    <n v="247.8"/>
    <n v="2.1"/>
    <x v="14"/>
    <n v="92.4"/>
    <x v="2"/>
  </r>
  <r>
    <x v="8"/>
    <s v="Jan Urbanek"/>
    <x v="0"/>
    <x v="407"/>
    <x v="407"/>
    <n v="1"/>
    <s v="ADET"/>
    <n v="0"/>
    <n v="5"/>
    <n v="8"/>
    <n v="5"/>
    <n v="0"/>
    <n v="30523.449999999997"/>
    <n v="6104.69"/>
    <x v="13"/>
    <n v="6104.69"/>
    <x v="7"/>
  </r>
  <r>
    <x v="9"/>
    <s v="Jan Urbanek"/>
    <x v="0"/>
    <x v="407"/>
    <x v="407"/>
    <n v="1"/>
    <s v="ADET"/>
    <n v="0"/>
    <n v="5"/>
    <n v="8"/>
    <n v="5"/>
    <n v="0"/>
    <n v="30523.449999999997"/>
    <n v="6104.69"/>
    <x v="13"/>
    <n v="6104.69"/>
    <x v="7"/>
  </r>
  <r>
    <x v="12"/>
    <s v="Matteo Giolo"/>
    <x v="0"/>
    <x v="412"/>
    <x v="412"/>
    <n v="1"/>
    <s v="ADET"/>
    <n v="0"/>
    <n v="15"/>
    <n v="11"/>
    <n v="-4"/>
    <n v="0"/>
    <n v="0"/>
    <n v="510"/>
    <x v="53"/>
    <n v="510"/>
    <x v="4"/>
  </r>
  <r>
    <x v="11"/>
    <s v="Jan Urbanek"/>
    <x v="0"/>
    <x v="410"/>
    <x v="410"/>
    <n v="4"/>
    <s v="ADET"/>
    <n v="0"/>
    <n v="25"/>
    <n v="14"/>
    <n v="7"/>
    <n v="0"/>
    <n v="1206.6599999999999"/>
    <n v="172.38"/>
    <x v="74"/>
    <n v="689.52"/>
    <x v="6"/>
  </r>
  <r>
    <x v="9"/>
    <s v="Jan Urbanek"/>
    <x v="0"/>
    <x v="412"/>
    <x v="412"/>
    <n v="1"/>
    <s v="ADET"/>
    <n v="0"/>
    <n v="15"/>
    <n v="11"/>
    <n v="-4"/>
    <n v="0"/>
    <n v="0"/>
    <n v="510"/>
    <x v="53"/>
    <n v="510"/>
    <x v="4"/>
  </r>
  <r>
    <x v="8"/>
    <s v="Jan Urbanek"/>
    <x v="0"/>
    <x v="412"/>
    <x v="412"/>
    <n v="1"/>
    <s v="ADET"/>
    <n v="0"/>
    <n v="15"/>
    <n v="11"/>
    <n v="-4"/>
    <n v="0"/>
    <n v="0"/>
    <n v="510"/>
    <x v="53"/>
    <n v="510"/>
    <x v="4"/>
  </r>
  <r>
    <x v="12"/>
    <s v="Matteo Giolo"/>
    <x v="0"/>
    <x v="408"/>
    <x v="408"/>
    <n v="4"/>
    <s v="ADET"/>
    <n v="0"/>
    <n v="46"/>
    <n v="12"/>
    <n v="-14"/>
    <n v="0"/>
    <n v="0"/>
    <n v="100"/>
    <x v="91"/>
    <n v="400"/>
    <x v="6"/>
  </r>
  <r>
    <x v="12"/>
    <s v="Matteo Giolo"/>
    <x v="0"/>
    <x v="409"/>
    <x v="409"/>
    <n v="6"/>
    <s v="ADET"/>
    <n v="0"/>
    <n v="250"/>
    <n v="302"/>
    <n v="-202"/>
    <n v="0"/>
    <n v="0"/>
    <n v="0.9"/>
    <x v="15"/>
    <n v="5.4"/>
    <x v="7"/>
  </r>
  <r>
    <x v="11"/>
    <s v="Jan Urbanek"/>
    <x v="0"/>
    <x v="376"/>
    <x v="376"/>
    <n v="44"/>
    <s v="ADET"/>
    <n v="0"/>
    <n v="680"/>
    <n v="614"/>
    <n v="118"/>
    <n v="0"/>
    <n v="247.8"/>
    <n v="2.1"/>
    <x v="14"/>
    <n v="92.4"/>
    <x v="2"/>
  </r>
  <r>
    <x v="11"/>
    <s v="Jan Urbanek"/>
    <x v="0"/>
    <x v="408"/>
    <x v="408"/>
    <n v="4"/>
    <s v="ADET"/>
    <n v="4"/>
    <n v="46"/>
    <n v="12"/>
    <n v="-14"/>
    <n v="0"/>
    <n v="0"/>
    <n v="100"/>
    <x v="91"/>
    <n v="400"/>
    <x v="6"/>
  </r>
  <r>
    <x v="11"/>
    <s v="Jan Urbanek"/>
    <x v="0"/>
    <x v="409"/>
    <x v="409"/>
    <n v="2"/>
    <s v="ADET"/>
    <n v="0"/>
    <n v="250"/>
    <n v="302"/>
    <n v="-202"/>
    <n v="0"/>
    <n v="0"/>
    <n v="0.9"/>
    <x v="15"/>
    <n v="1.8"/>
    <x v="7"/>
  </r>
  <r>
    <x v="0"/>
    <s v="Soner Kayıkçı"/>
    <x v="0"/>
    <x v="407"/>
    <x v="407"/>
    <n v="1"/>
    <s v="ADET"/>
    <n v="0"/>
    <n v="5"/>
    <n v="8"/>
    <n v="5"/>
    <n v="0"/>
    <n v="30523.449999999997"/>
    <n v="6104.69"/>
    <x v="13"/>
    <n v="6104.69"/>
    <x v="7"/>
  </r>
  <r>
    <x v="10"/>
    <s v="Jan Urbanek"/>
    <x v="0"/>
    <x v="376"/>
    <x v="376"/>
    <n v="38"/>
    <s v="ADET"/>
    <n v="0"/>
    <n v="680"/>
    <n v="614"/>
    <n v="118"/>
    <n v="0"/>
    <n v="247.8"/>
    <n v="2.1"/>
    <x v="14"/>
    <n v="79.8"/>
    <x v="2"/>
  </r>
  <r>
    <x v="8"/>
    <s v="Jan Urbanek"/>
    <x v="0"/>
    <x v="376"/>
    <x v="376"/>
    <n v="38"/>
    <s v="ADET"/>
    <n v="0"/>
    <n v="680"/>
    <n v="614"/>
    <n v="118"/>
    <n v="0"/>
    <n v="247.8"/>
    <n v="2.1"/>
    <x v="14"/>
    <n v="79.8"/>
    <x v="2"/>
  </r>
  <r>
    <x v="10"/>
    <s v="Jan Urbanek"/>
    <x v="0"/>
    <x v="407"/>
    <x v="407"/>
    <n v="1"/>
    <s v="ADET"/>
    <n v="0"/>
    <n v="5"/>
    <n v="8"/>
    <n v="5"/>
    <n v="0"/>
    <n v="30523.449999999997"/>
    <n v="6104.69"/>
    <x v="13"/>
    <n v="6104.69"/>
    <x v="7"/>
  </r>
  <r>
    <x v="10"/>
    <s v="Jan Urbanek"/>
    <x v="0"/>
    <x v="408"/>
    <x v="408"/>
    <n v="4"/>
    <s v="ADET"/>
    <n v="0"/>
    <n v="46"/>
    <n v="12"/>
    <n v="-14"/>
    <n v="0"/>
    <n v="0"/>
    <n v="100"/>
    <x v="91"/>
    <n v="400"/>
    <x v="6"/>
  </r>
  <r>
    <x v="9"/>
    <s v="Jan Urbanek"/>
    <x v="0"/>
    <x v="408"/>
    <x v="408"/>
    <n v="4"/>
    <s v="ADET"/>
    <n v="0"/>
    <n v="46"/>
    <n v="12"/>
    <n v="-14"/>
    <n v="0"/>
    <n v="0"/>
    <n v="100"/>
    <x v="91"/>
    <n v="400"/>
    <x v="6"/>
  </r>
  <r>
    <x v="8"/>
    <s v="Jan Urbanek"/>
    <x v="0"/>
    <x v="408"/>
    <x v="408"/>
    <n v="4"/>
    <s v="ADET"/>
    <n v="0"/>
    <n v="46"/>
    <n v="12"/>
    <n v="-14"/>
    <n v="0"/>
    <n v="0"/>
    <n v="100"/>
    <x v="91"/>
    <n v="400"/>
    <x v="6"/>
  </r>
  <r>
    <x v="3"/>
    <s v="Stina Alm"/>
    <x v="0"/>
    <x v="412"/>
    <x v="412"/>
    <n v="1"/>
    <s v="ADET"/>
    <n v="0"/>
    <n v="15"/>
    <n v="11"/>
    <n v="-4"/>
    <n v="0"/>
    <n v="0"/>
    <n v="510"/>
    <x v="53"/>
    <n v="510"/>
    <x v="4"/>
  </r>
  <r>
    <x v="2"/>
    <s v="Laurent MONTAGNER"/>
    <x v="0"/>
    <x v="390"/>
    <x v="390"/>
    <n v="2"/>
    <s v="ADET"/>
    <n v="0"/>
    <n v="216"/>
    <n v="118"/>
    <n v="-190"/>
    <n v="0"/>
    <n v="0"/>
    <n v="3.95"/>
    <x v="20"/>
    <n v="7.9"/>
    <x v="7"/>
  </r>
  <r>
    <x v="13"/>
    <s v="Matteo Giolo"/>
    <x v="0"/>
    <x v="388"/>
    <x v="388"/>
    <n v="1"/>
    <s v="ADET"/>
    <n v="0"/>
    <n v="4"/>
    <n v="9"/>
    <n v="1"/>
    <n v="6"/>
    <n v="1600"/>
    <n v="1600"/>
    <x v="14"/>
    <n v="1600"/>
    <x v="4"/>
  </r>
  <r>
    <x v="14"/>
    <s v="Stefan Zaugg"/>
    <x v="0"/>
    <x v="389"/>
    <x v="389"/>
    <n v="1"/>
    <s v="ADET"/>
    <n v="1"/>
    <n v="4"/>
    <n v="10"/>
    <n v="-3"/>
    <n v="10"/>
    <n v="0"/>
    <n v="583.77"/>
    <x v="92"/>
    <n v="583.77"/>
    <x v="2"/>
  </r>
  <r>
    <x v="13"/>
    <s v="Matteo Giolo"/>
    <x v="0"/>
    <x v="389"/>
    <x v="389"/>
    <n v="1"/>
    <s v="ADET"/>
    <n v="0"/>
    <n v="4"/>
    <n v="10"/>
    <n v="-3"/>
    <n v="10"/>
    <n v="0"/>
    <n v="583.77"/>
    <x v="92"/>
    <n v="583.77"/>
    <x v="2"/>
  </r>
  <r>
    <x v="15"/>
    <s v="Jan Urbanek"/>
    <x v="0"/>
    <x v="434"/>
    <x v="434"/>
    <n v="6"/>
    <s v="ADET"/>
    <n v="0"/>
    <n v="0"/>
    <n v="0"/>
    <n v="42"/>
    <n v="0"/>
    <n v="15.12"/>
    <n v="0.36"/>
    <x v="8"/>
    <n v="2.16"/>
    <x v="2"/>
  </r>
  <r>
    <x v="2"/>
    <s v="Laurent MONTAGNER"/>
    <x v="0"/>
    <x v="386"/>
    <x v="386"/>
    <n v="5"/>
    <s v="METRE"/>
    <n v="0"/>
    <n v="60"/>
    <n v="52"/>
    <n v="14.5"/>
    <n v="80"/>
    <n v="710.5"/>
    <n v="49"/>
    <x v="41"/>
    <n v="245"/>
    <x v="5"/>
  </r>
  <r>
    <x v="0"/>
    <s v="Soner Kayıkçı"/>
    <x v="0"/>
    <x v="450"/>
    <x v="450"/>
    <n v="1"/>
    <s v="ADET"/>
    <n v="0"/>
    <n v="49"/>
    <n v="1.6000000000000005"/>
    <n v="-37.599999999999994"/>
    <n v="0"/>
    <n v="0"/>
    <n v="60"/>
    <x v="3"/>
    <n v="60"/>
    <x v="2"/>
  </r>
  <r>
    <x v="6"/>
    <s v="Laurent MONTAGNER"/>
    <x v="0"/>
    <x v="451"/>
    <x v="451"/>
    <n v="1"/>
    <s v="ADET"/>
    <n v="0"/>
    <n v="4"/>
    <n v="22"/>
    <n v="-5"/>
    <n v="20"/>
    <n v="0"/>
    <n v="65"/>
    <x v="4"/>
    <n v="65"/>
    <x v="4"/>
  </r>
  <r>
    <x v="12"/>
    <s v="Matteo Giolo"/>
    <x v="0"/>
    <x v="472"/>
    <x v="472"/>
    <n v="3"/>
    <s v="ADET"/>
    <n v="0"/>
    <n v="36"/>
    <n v="26"/>
    <n v="1"/>
    <n v="0"/>
    <n v="348.7"/>
    <n v="348.7"/>
    <x v="74"/>
    <n v="1046.0999999999999"/>
    <x v="6"/>
  </r>
  <r>
    <x v="10"/>
    <s v="Jan Urbanek"/>
    <x v="0"/>
    <x v="451"/>
    <x v="451"/>
    <n v="1"/>
    <s v="ADET"/>
    <n v="0"/>
    <n v="4"/>
    <n v="22"/>
    <n v="-5"/>
    <n v="20"/>
    <n v="0"/>
    <n v="65"/>
    <x v="4"/>
    <n v="65"/>
    <x v="4"/>
  </r>
  <r>
    <x v="8"/>
    <s v="Jan Urbanek"/>
    <x v="0"/>
    <x v="452"/>
    <x v="452"/>
    <n v="1"/>
    <s v="ADET"/>
    <n v="0"/>
    <n v="27"/>
    <n v="4"/>
    <n v="-20"/>
    <n v="0"/>
    <n v="0"/>
    <n v="287.13"/>
    <x v="74"/>
    <n v="287.13"/>
    <x v="4"/>
  </r>
  <r>
    <x v="8"/>
    <s v="Jan Urbanek"/>
    <x v="0"/>
    <x v="453"/>
    <x v="453"/>
    <n v="1"/>
    <s v="ADET"/>
    <n v="0"/>
    <n v="27"/>
    <n v="4"/>
    <n v="-20"/>
    <n v="0"/>
    <n v="0"/>
    <n v="287.13"/>
    <x v="74"/>
    <n v="287.13"/>
    <x v="4"/>
  </r>
  <r>
    <x v="4"/>
    <s v="Stefan Zaugg"/>
    <x v="0"/>
    <x v="455"/>
    <x v="455"/>
    <n v="1"/>
    <s v="ADET"/>
    <n v="0"/>
    <n v="19"/>
    <n v="17"/>
    <n v="0"/>
    <n v="0"/>
    <n v="0"/>
    <n v="113.64"/>
    <x v="100"/>
    <n v="113.64"/>
    <x v="13"/>
  </r>
  <r>
    <x v="4"/>
    <s v="Stefan Zaugg"/>
    <x v="0"/>
    <x v="456"/>
    <x v="456"/>
    <n v="5"/>
    <s v="METRE"/>
    <n v="0"/>
    <n v="100"/>
    <n v="0"/>
    <n v="-227.63999999999987"/>
    <n v="214.64"/>
    <n v="0"/>
    <n v="50.81"/>
    <x v="101"/>
    <n v="254.05"/>
    <x v="5"/>
  </r>
  <r>
    <x v="5"/>
    <s v="Matteo Giolo"/>
    <x v="0"/>
    <x v="456"/>
    <x v="456"/>
    <n v="5"/>
    <s v="METRE"/>
    <n v="0"/>
    <n v="100"/>
    <n v="0"/>
    <n v="-227.63999999999987"/>
    <n v="214.64"/>
    <n v="0"/>
    <n v="50.81"/>
    <x v="101"/>
    <n v="254.05"/>
    <x v="5"/>
  </r>
  <r>
    <x v="1"/>
    <s v="Stina Alm"/>
    <x v="0"/>
    <x v="386"/>
    <x v="386"/>
    <n v="7.5"/>
    <s v="METRE"/>
    <n v="0"/>
    <n v="60"/>
    <n v="52"/>
    <n v="14.5"/>
    <n v="80"/>
    <n v="710.5"/>
    <n v="49"/>
    <x v="41"/>
    <n v="367.5"/>
    <x v="5"/>
  </r>
  <r>
    <x v="1"/>
    <s v="Stina Alm"/>
    <x v="0"/>
    <x v="450"/>
    <x v="450"/>
    <n v="1.35"/>
    <s v="ADET"/>
    <n v="0"/>
    <n v="49"/>
    <n v="1.6000000000000005"/>
    <n v="-37.599999999999994"/>
    <n v="0"/>
    <n v="0"/>
    <n v="60"/>
    <x v="3"/>
    <n v="81"/>
    <x v="2"/>
  </r>
  <r>
    <x v="0"/>
    <s v="Soner Kayıkçı"/>
    <x v="0"/>
    <x v="451"/>
    <x v="451"/>
    <n v="1"/>
    <s v="ADET"/>
    <n v="0"/>
    <n v="4"/>
    <n v="22"/>
    <n v="-5"/>
    <n v="20"/>
    <n v="0"/>
    <n v="65"/>
    <x v="4"/>
    <n v="65"/>
    <x v="4"/>
  </r>
  <r>
    <x v="1"/>
    <s v="Stina Alm"/>
    <x v="0"/>
    <x v="451"/>
    <x v="451"/>
    <n v="1"/>
    <s v="ADET"/>
    <n v="0"/>
    <n v="4"/>
    <n v="22"/>
    <n v="-5"/>
    <n v="20"/>
    <n v="0"/>
    <n v="65"/>
    <x v="4"/>
    <n v="65"/>
    <x v="4"/>
  </r>
  <r>
    <x v="2"/>
    <s v="Laurent MONTAGNER"/>
    <x v="0"/>
    <x v="451"/>
    <x v="451"/>
    <n v="1"/>
    <s v="ADET"/>
    <n v="0"/>
    <n v="4"/>
    <n v="22"/>
    <n v="-5"/>
    <n v="20"/>
    <n v="0"/>
    <n v="65"/>
    <x v="4"/>
    <n v="65"/>
    <x v="4"/>
  </r>
  <r>
    <x v="3"/>
    <s v="Stina Alm"/>
    <x v="0"/>
    <x v="450"/>
    <x v="450"/>
    <n v="1.35"/>
    <s v="ADET"/>
    <n v="0"/>
    <n v="49"/>
    <n v="1.6000000000000005"/>
    <n v="-37.599999999999994"/>
    <n v="0"/>
    <n v="0"/>
    <n v="60"/>
    <x v="3"/>
    <n v="81"/>
    <x v="2"/>
  </r>
  <r>
    <x v="12"/>
    <s v="Matteo Giolo"/>
    <x v="0"/>
    <x v="451"/>
    <x v="451"/>
    <n v="1"/>
    <s v="ADET"/>
    <n v="0"/>
    <n v="4"/>
    <n v="22"/>
    <n v="-5"/>
    <n v="20"/>
    <n v="0"/>
    <n v="65"/>
    <x v="4"/>
    <n v="65"/>
    <x v="4"/>
  </r>
  <r>
    <x v="7"/>
    <s v="Laurent MONTAGNER"/>
    <x v="0"/>
    <x v="451"/>
    <x v="451"/>
    <n v="1"/>
    <s v="ADET"/>
    <n v="0"/>
    <n v="4"/>
    <n v="22"/>
    <n v="-5"/>
    <n v="20"/>
    <n v="0"/>
    <n v="65"/>
    <x v="4"/>
    <n v="65"/>
    <x v="4"/>
  </r>
  <r>
    <x v="3"/>
    <s v="Stina Alm"/>
    <x v="0"/>
    <x v="454"/>
    <x v="454"/>
    <n v="2"/>
    <s v="ADET"/>
    <n v="0"/>
    <n v="109"/>
    <n v="34"/>
    <n v="-71"/>
    <n v="0"/>
    <n v="0"/>
    <n v="250"/>
    <x v="21"/>
    <n v="500"/>
    <x v="2"/>
  </r>
  <r>
    <x v="7"/>
    <s v="Laurent MONTAGNER"/>
    <x v="0"/>
    <x v="454"/>
    <x v="454"/>
    <n v="4"/>
    <s v="ADET"/>
    <n v="4"/>
    <n v="109"/>
    <n v="34"/>
    <n v="-71"/>
    <n v="0"/>
    <n v="0"/>
    <n v="250"/>
    <x v="21"/>
    <n v="1000"/>
    <x v="2"/>
  </r>
  <r>
    <x v="5"/>
    <s v="Matteo Giolo"/>
    <x v="0"/>
    <x v="455"/>
    <x v="455"/>
    <n v="1"/>
    <s v="ADET"/>
    <n v="0"/>
    <n v="19"/>
    <n v="17"/>
    <n v="0"/>
    <n v="0"/>
    <n v="0"/>
    <n v="113.64"/>
    <x v="100"/>
    <n v="113.64"/>
    <x v="13"/>
  </r>
  <r>
    <x v="12"/>
    <s v="Matteo Giolo"/>
    <x v="0"/>
    <x v="456"/>
    <x v="456"/>
    <n v="4"/>
    <s v="METRE"/>
    <n v="0"/>
    <n v="100"/>
    <n v="0"/>
    <n v="-227.63999999999987"/>
    <n v="214.64"/>
    <n v="0"/>
    <n v="50.81"/>
    <x v="101"/>
    <n v="203.24"/>
    <x v="5"/>
  </r>
  <r>
    <x v="0"/>
    <s v="Soner Kayıkçı"/>
    <x v="0"/>
    <x v="452"/>
    <x v="452"/>
    <n v="1"/>
    <s v="ADET"/>
    <n v="0"/>
    <n v="27"/>
    <n v="4"/>
    <n v="-20"/>
    <n v="0"/>
    <n v="0"/>
    <n v="287.13"/>
    <x v="74"/>
    <n v="287.13"/>
    <x v="4"/>
  </r>
  <r>
    <x v="0"/>
    <s v="Soner Kayıkçı"/>
    <x v="0"/>
    <x v="453"/>
    <x v="453"/>
    <n v="1"/>
    <s v="ADET"/>
    <n v="0"/>
    <n v="27"/>
    <n v="4"/>
    <n v="-20"/>
    <n v="0"/>
    <n v="0"/>
    <n v="287.13"/>
    <x v="74"/>
    <n v="287.13"/>
    <x v="4"/>
  </r>
  <r>
    <x v="0"/>
    <s v="Soner Kayıkçı"/>
    <x v="0"/>
    <x v="454"/>
    <x v="454"/>
    <n v="4"/>
    <s v="ADET"/>
    <n v="0"/>
    <n v="109"/>
    <n v="34"/>
    <n v="-71"/>
    <n v="0"/>
    <n v="0"/>
    <n v="250"/>
    <x v="21"/>
    <n v="1000"/>
    <x v="2"/>
  </r>
  <r>
    <x v="11"/>
    <s v="Jan Urbanek"/>
    <x v="0"/>
    <x v="386"/>
    <x v="386"/>
    <n v="12"/>
    <s v="METRE"/>
    <n v="0"/>
    <n v="60"/>
    <n v="52"/>
    <n v="14.5"/>
    <n v="80"/>
    <n v="710.5"/>
    <n v="49"/>
    <x v="41"/>
    <n v="588"/>
    <x v="5"/>
  </r>
  <r>
    <x v="5"/>
    <s v="Matteo Giolo"/>
    <x v="0"/>
    <x v="472"/>
    <x v="472"/>
    <n v="4"/>
    <s v="ADET"/>
    <n v="0"/>
    <n v="36"/>
    <n v="26"/>
    <n v="1"/>
    <n v="0"/>
    <n v="348.7"/>
    <n v="348.7"/>
    <x v="74"/>
    <n v="1394.8"/>
    <x v="6"/>
  </r>
  <r>
    <x v="19"/>
    <s v="Volkan Batkan"/>
    <x v="0"/>
    <x v="449"/>
    <x v="449"/>
    <n v="4"/>
    <s v="ADET"/>
    <n v="0"/>
    <n v="0"/>
    <n v="8"/>
    <n v="-60"/>
    <n v="72"/>
    <n v="0"/>
    <n v="5265.79"/>
    <x v="99"/>
    <n v="21063.16"/>
    <x v="4"/>
  </r>
  <r>
    <x v="14"/>
    <s v="Stefan Zaugg"/>
    <x v="0"/>
    <x v="449"/>
    <x v="449"/>
    <n v="4"/>
    <s v="ADET"/>
    <n v="0"/>
    <n v="0"/>
    <n v="8"/>
    <n v="-60"/>
    <n v="72"/>
    <n v="0"/>
    <n v="5265.79"/>
    <x v="99"/>
    <n v="21063.16"/>
    <x v="4"/>
  </r>
  <r>
    <x v="17"/>
    <s v="Murat Taşdemir"/>
    <x v="0"/>
    <x v="426"/>
    <x v="426"/>
    <n v="12.5"/>
    <s v="ADET"/>
    <n v="0"/>
    <n v="180"/>
    <n v="80"/>
    <n v="32"/>
    <n v="0"/>
    <n v="7680"/>
    <n v="240"/>
    <x v="14"/>
    <n v="3000"/>
    <x v="2"/>
  </r>
  <r>
    <x v="13"/>
    <s v="Matteo Giolo"/>
    <x v="0"/>
    <x v="427"/>
    <x v="427"/>
    <n v="16.66"/>
    <s v="KG"/>
    <n v="0"/>
    <n v="0"/>
    <n v="154.94999999999996"/>
    <n v="21.899999999999991"/>
    <n v="60"/>
    <n v="4265.0249999999987"/>
    <n v="194.75"/>
    <x v="3"/>
    <n v="3244.5349999999999"/>
    <x v="3"/>
  </r>
  <r>
    <x v="0"/>
    <s v="Soner Kayıkçı"/>
    <x v="0"/>
    <x v="426"/>
    <x v="426"/>
    <n v="26"/>
    <s v="ADET"/>
    <n v="0"/>
    <n v="180"/>
    <n v="80"/>
    <n v="32"/>
    <n v="0"/>
    <n v="7680"/>
    <n v="240"/>
    <x v="14"/>
    <n v="6240"/>
    <x v="2"/>
  </r>
  <r>
    <x v="2"/>
    <s v="Laurent MONTAGNER"/>
    <x v="0"/>
    <x v="426"/>
    <x v="426"/>
    <n v="12.5"/>
    <s v="ADET"/>
    <n v="0"/>
    <n v="180"/>
    <n v="80"/>
    <n v="32"/>
    <n v="0"/>
    <n v="7680"/>
    <n v="240"/>
    <x v="14"/>
    <n v="3000"/>
    <x v="2"/>
  </r>
  <r>
    <x v="0"/>
    <s v="Soner Kayıkçı"/>
    <x v="0"/>
    <x v="429"/>
    <x v="429"/>
    <n v="1"/>
    <s v="ADET"/>
    <n v="0"/>
    <n v="4"/>
    <n v="10"/>
    <n v="1"/>
    <n v="7"/>
    <n v="1535.25"/>
    <n v="1535.25"/>
    <x v="47"/>
    <n v="1535.25"/>
    <x v="7"/>
  </r>
  <r>
    <x v="2"/>
    <s v="Laurent MONTAGNER"/>
    <x v="0"/>
    <x v="429"/>
    <x v="429"/>
    <n v="1"/>
    <s v="ADET"/>
    <n v="0"/>
    <n v="4"/>
    <n v="10"/>
    <n v="1"/>
    <n v="7"/>
    <n v="1535.25"/>
    <n v="1535.25"/>
    <x v="47"/>
    <n v="1535.25"/>
    <x v="7"/>
  </r>
  <r>
    <x v="7"/>
    <s v="Laurent MONTAGNER"/>
    <x v="0"/>
    <x v="431"/>
    <x v="431"/>
    <n v="8"/>
    <s v="ADET"/>
    <n v="0"/>
    <n v="524"/>
    <n v="352"/>
    <n v="-374"/>
    <n v="0"/>
    <n v="0"/>
    <n v="8.1"/>
    <x v="57"/>
    <n v="64.8"/>
    <x v="7"/>
  </r>
  <r>
    <x v="9"/>
    <s v="Jan Urbanek"/>
    <x v="0"/>
    <x v="416"/>
    <x v="416"/>
    <n v="1"/>
    <s v="ADET"/>
    <n v="0"/>
    <n v="17"/>
    <n v="11"/>
    <n v="-5"/>
    <n v="0"/>
    <n v="0"/>
    <n v="115.6"/>
    <x v="15"/>
    <n v="115.6"/>
    <x v="7"/>
  </r>
  <r>
    <x v="8"/>
    <s v="Jan Urbanek"/>
    <x v="0"/>
    <x v="416"/>
    <x v="416"/>
    <n v="1"/>
    <s v="ADET"/>
    <n v="0"/>
    <n v="17"/>
    <n v="11"/>
    <n v="-5"/>
    <n v="0"/>
    <n v="0"/>
    <n v="115.6"/>
    <x v="15"/>
    <n v="115.6"/>
    <x v="7"/>
  </r>
  <r>
    <x v="10"/>
    <s v="Jan Urbanek"/>
    <x v="0"/>
    <x v="415"/>
    <x v="415"/>
    <n v="2"/>
    <s v="ADET"/>
    <n v="0"/>
    <n v="34"/>
    <n v="62"/>
    <n v="-12"/>
    <n v="0"/>
    <n v="0"/>
    <n v="19.07"/>
    <x v="15"/>
    <n v="38.14"/>
    <x v="7"/>
  </r>
  <r>
    <x v="8"/>
    <s v="Jan Urbanek"/>
    <x v="0"/>
    <x v="415"/>
    <x v="415"/>
    <n v="2"/>
    <s v="ADET"/>
    <n v="0"/>
    <n v="34"/>
    <n v="62"/>
    <n v="-12"/>
    <n v="0"/>
    <n v="0"/>
    <n v="19.07"/>
    <x v="15"/>
    <n v="38.14"/>
    <x v="7"/>
  </r>
  <r>
    <x v="9"/>
    <s v="Jan Urbanek"/>
    <x v="0"/>
    <x v="424"/>
    <x v="424"/>
    <n v="1"/>
    <s v="ADET"/>
    <n v="0"/>
    <n v="37"/>
    <n v="2"/>
    <n v="-17"/>
    <n v="0"/>
    <n v="0"/>
    <n v="82.6"/>
    <x v="10"/>
    <n v="82.6"/>
    <x v="4"/>
  </r>
  <r>
    <x v="8"/>
    <s v="Jan Urbanek"/>
    <x v="0"/>
    <x v="424"/>
    <x v="424"/>
    <n v="1"/>
    <s v="ADET"/>
    <n v="0"/>
    <n v="37"/>
    <n v="2"/>
    <n v="-17"/>
    <n v="0"/>
    <n v="0"/>
    <n v="82.6"/>
    <x v="10"/>
    <n v="82.6"/>
    <x v="4"/>
  </r>
  <r>
    <x v="10"/>
    <s v="Jan Urbanek"/>
    <x v="0"/>
    <x v="427"/>
    <x v="427"/>
    <n v="2.4700000000000002"/>
    <s v="KG"/>
    <n v="0"/>
    <n v="0"/>
    <n v="154.94999999999996"/>
    <n v="21.899999999999991"/>
    <n v="60"/>
    <n v="4265.0249999999987"/>
    <n v="194.75"/>
    <x v="3"/>
    <n v="481.03250000000003"/>
    <x v="3"/>
  </r>
  <r>
    <x v="10"/>
    <s v="Jan Urbanek"/>
    <x v="0"/>
    <x v="428"/>
    <x v="428"/>
    <n v="10"/>
    <s v="ADET"/>
    <n v="0"/>
    <n v="0"/>
    <n v="58.050000000000026"/>
    <n v="144.72000000000003"/>
    <n v="37"/>
    <n v="261099.48240000007"/>
    <n v="1804.17"/>
    <x v="63"/>
    <n v="18041.7"/>
    <x v="8"/>
  </r>
  <r>
    <x v="15"/>
    <s v="Jan Urbanek"/>
    <x v="0"/>
    <x v="426"/>
    <x v="426"/>
    <n v="18"/>
    <s v="ADET"/>
    <n v="0"/>
    <n v="180"/>
    <n v="80"/>
    <n v="32"/>
    <n v="0"/>
    <n v="7680"/>
    <n v="240"/>
    <x v="14"/>
    <n v="4320"/>
    <x v="2"/>
  </r>
  <r>
    <x v="10"/>
    <s v="Jan Urbanek"/>
    <x v="0"/>
    <x v="371"/>
    <x v="371"/>
    <n v="1"/>
    <s v="M2"/>
    <n v="0"/>
    <n v="0"/>
    <n v="67.08499999999998"/>
    <n v="15"/>
    <n v="0"/>
    <n v="9778.0499999999993"/>
    <n v="651.87"/>
    <x v="63"/>
    <n v="651.87"/>
    <x v="8"/>
  </r>
  <r>
    <x v="9"/>
    <s v="Jan Urbanek"/>
    <x v="0"/>
    <x v="436"/>
    <x v="436"/>
    <n v="1"/>
    <s v="ADET"/>
    <n v="0"/>
    <n v="10"/>
    <n v="17"/>
    <n v="1"/>
    <n v="0"/>
    <n v="565.83000000000004"/>
    <n v="565.83000000000004"/>
    <x v="85"/>
    <n v="565.83000000000004"/>
    <x v="12"/>
  </r>
  <r>
    <x v="8"/>
    <s v="Jan Urbanek"/>
    <x v="0"/>
    <x v="436"/>
    <x v="436"/>
    <n v="1"/>
    <s v="ADET"/>
    <n v="0"/>
    <n v="10"/>
    <n v="17"/>
    <n v="1"/>
    <n v="0"/>
    <n v="565.83000000000004"/>
    <n v="565.83000000000004"/>
    <x v="85"/>
    <n v="565.83000000000004"/>
    <x v="12"/>
  </r>
  <r>
    <x v="10"/>
    <s v="Jan Urbanek"/>
    <x v="0"/>
    <x v="414"/>
    <x v="414"/>
    <n v="2"/>
    <s v="ADET"/>
    <n v="0"/>
    <n v="14"/>
    <n v="19"/>
    <n v="-23"/>
    <n v="30"/>
    <n v="0"/>
    <n v="67.22"/>
    <x v="92"/>
    <n v="134.44"/>
    <x v="4"/>
  </r>
  <r>
    <x v="10"/>
    <s v="Jan Urbanek"/>
    <x v="0"/>
    <x v="343"/>
    <x v="343"/>
    <n v="3"/>
    <s v="ADET"/>
    <n v="0"/>
    <n v="0"/>
    <n v="4.0000000000000497"/>
    <n v="28.999999999999993"/>
    <n v="22"/>
    <n v="30208.429999999993"/>
    <n v="1041.67"/>
    <x v="63"/>
    <n v="3125.01"/>
    <x v="8"/>
  </r>
  <r>
    <x v="8"/>
    <s v="Jan Urbanek"/>
    <x v="0"/>
    <x v="343"/>
    <x v="343"/>
    <n v="3"/>
    <s v="ADET"/>
    <n v="0"/>
    <n v="0"/>
    <n v="4.0000000000000497"/>
    <n v="28.999999999999993"/>
    <n v="22"/>
    <n v="30208.429999999993"/>
    <n v="1041.67"/>
    <x v="63"/>
    <n v="3125.01"/>
    <x v="8"/>
  </r>
  <r>
    <x v="12"/>
    <s v="Matteo Giolo"/>
    <x v="0"/>
    <x v="436"/>
    <x v="436"/>
    <n v="1"/>
    <s v="ADET"/>
    <n v="0"/>
    <n v="10"/>
    <n v="17"/>
    <n v="1"/>
    <n v="0"/>
    <n v="565.83000000000004"/>
    <n v="565.83000000000004"/>
    <x v="85"/>
    <n v="565.83000000000004"/>
    <x v="12"/>
  </r>
  <r>
    <x v="5"/>
    <s v="Matteo Giolo"/>
    <x v="0"/>
    <x v="436"/>
    <x v="436"/>
    <n v="1"/>
    <s v="ADET"/>
    <n v="0"/>
    <n v="10"/>
    <n v="17"/>
    <n v="1"/>
    <n v="0"/>
    <n v="565.83000000000004"/>
    <n v="565.83000000000004"/>
    <x v="85"/>
    <n v="565.83000000000004"/>
    <x v="12"/>
  </r>
  <r>
    <x v="0"/>
    <s v="Soner Kayıkçı"/>
    <x v="0"/>
    <x v="343"/>
    <x v="343"/>
    <n v="3"/>
    <s v="ADET"/>
    <n v="0"/>
    <n v="0"/>
    <n v="4.0000000000000497"/>
    <n v="28.999999999999993"/>
    <n v="22"/>
    <n v="30208.429999999993"/>
    <n v="1041.67"/>
    <x v="63"/>
    <n v="3125.01"/>
    <x v="8"/>
  </r>
  <r>
    <x v="9"/>
    <s v="Jan Urbanek"/>
    <x v="0"/>
    <x v="386"/>
    <x v="386"/>
    <n v="12"/>
    <s v="METRE"/>
    <n v="0"/>
    <n v="60"/>
    <n v="52"/>
    <n v="14.5"/>
    <n v="80"/>
    <n v="710.5"/>
    <n v="49"/>
    <x v="41"/>
    <n v="588"/>
    <x v="5"/>
  </r>
  <r>
    <x v="8"/>
    <s v="Jan Urbanek"/>
    <x v="0"/>
    <x v="386"/>
    <x v="386"/>
    <n v="9"/>
    <s v="METRE"/>
    <n v="0"/>
    <n v="60"/>
    <n v="52"/>
    <n v="14.5"/>
    <n v="80"/>
    <n v="710.5"/>
    <n v="49"/>
    <x v="41"/>
    <n v="441"/>
    <x v="5"/>
  </r>
  <r>
    <x v="11"/>
    <s v="Jan Urbanek"/>
    <x v="0"/>
    <x v="450"/>
    <x v="450"/>
    <n v="1"/>
    <s v="ADET"/>
    <n v="0"/>
    <n v="49"/>
    <n v="1.6000000000000005"/>
    <n v="-37.599999999999994"/>
    <n v="0"/>
    <n v="0"/>
    <n v="60"/>
    <x v="3"/>
    <n v="60"/>
    <x v="2"/>
  </r>
  <r>
    <x v="9"/>
    <s v="Jan Urbanek"/>
    <x v="0"/>
    <x v="450"/>
    <x v="450"/>
    <n v="1"/>
    <s v="ADET"/>
    <n v="0"/>
    <n v="49"/>
    <n v="1.6000000000000005"/>
    <n v="-37.599999999999994"/>
    <n v="0"/>
    <n v="0"/>
    <n v="60"/>
    <x v="3"/>
    <n v="60"/>
    <x v="2"/>
  </r>
  <r>
    <x v="11"/>
    <s v="Jan Urbanek"/>
    <x v="0"/>
    <x v="451"/>
    <x v="451"/>
    <n v="1"/>
    <s v="ADET"/>
    <n v="0"/>
    <n v="4"/>
    <n v="22"/>
    <n v="-5"/>
    <n v="20"/>
    <n v="0"/>
    <n v="65"/>
    <x v="4"/>
    <n v="65"/>
    <x v="4"/>
  </r>
  <r>
    <x v="10"/>
    <s v="Jan Urbanek"/>
    <x v="0"/>
    <x v="452"/>
    <x v="452"/>
    <n v="1"/>
    <s v="ADET"/>
    <n v="0"/>
    <n v="27"/>
    <n v="4"/>
    <n v="-20"/>
    <n v="0"/>
    <n v="0"/>
    <n v="287.13"/>
    <x v="74"/>
    <n v="287.13"/>
    <x v="4"/>
  </r>
  <r>
    <x v="10"/>
    <s v="Jan Urbanek"/>
    <x v="0"/>
    <x v="453"/>
    <x v="453"/>
    <n v="1"/>
    <s v="ADET"/>
    <n v="0"/>
    <n v="27"/>
    <n v="4"/>
    <n v="-20"/>
    <n v="0"/>
    <n v="0"/>
    <n v="287.13"/>
    <x v="74"/>
    <n v="287.13"/>
    <x v="4"/>
  </r>
  <r>
    <x v="10"/>
    <s v="Jan Urbanek"/>
    <x v="0"/>
    <x v="454"/>
    <x v="454"/>
    <n v="4"/>
    <s v="ADET"/>
    <n v="0"/>
    <n v="109"/>
    <n v="34"/>
    <n v="-71"/>
    <n v="0"/>
    <n v="0"/>
    <n v="250"/>
    <x v="21"/>
    <n v="1000"/>
    <x v="2"/>
  </r>
  <r>
    <x v="8"/>
    <s v="Jan Urbanek"/>
    <x v="0"/>
    <x v="454"/>
    <x v="454"/>
    <n v="4"/>
    <s v="ADET"/>
    <n v="0"/>
    <n v="109"/>
    <n v="34"/>
    <n v="-71"/>
    <n v="0"/>
    <n v="0"/>
    <n v="250"/>
    <x v="21"/>
    <n v="1000"/>
    <x v="2"/>
  </r>
  <r>
    <x v="9"/>
    <s v="Jan Urbanek"/>
    <x v="0"/>
    <x v="454"/>
    <x v="454"/>
    <n v="4"/>
    <s v="ADET"/>
    <n v="0"/>
    <n v="109"/>
    <n v="34"/>
    <n v="-71"/>
    <n v="0"/>
    <n v="0"/>
    <n v="250"/>
    <x v="21"/>
    <n v="1000"/>
    <x v="2"/>
  </r>
  <r>
    <x v="19"/>
    <s v="Volkan Batkan"/>
    <x v="0"/>
    <x v="386"/>
    <x v="386"/>
    <n v="12"/>
    <s v="METRE"/>
    <n v="0"/>
    <n v="60"/>
    <n v="52"/>
    <n v="14.5"/>
    <n v="80"/>
    <n v="710.5"/>
    <n v="49"/>
    <x v="41"/>
    <n v="588"/>
    <x v="5"/>
  </r>
  <r>
    <x v="17"/>
    <s v="Murat Taşdemir"/>
    <x v="0"/>
    <x v="386"/>
    <x v="386"/>
    <n v="7.5"/>
    <s v="METRE"/>
    <n v="0"/>
    <n v="60"/>
    <n v="52"/>
    <n v="14.5"/>
    <n v="80"/>
    <n v="710.5"/>
    <n v="49"/>
    <x v="41"/>
    <n v="367.5"/>
    <x v="5"/>
  </r>
  <r>
    <x v="16"/>
    <s v="Stefan Zaugg"/>
    <x v="0"/>
    <x v="450"/>
    <x v="450"/>
    <n v="1"/>
    <s v="ADET"/>
    <n v="1"/>
    <n v="49"/>
    <n v="1.6000000000000005"/>
    <n v="-37.599999999999994"/>
    <n v="0"/>
    <n v="0"/>
    <n v="60"/>
    <x v="3"/>
    <n v="60"/>
    <x v="2"/>
  </r>
  <r>
    <x v="14"/>
    <s v="Stefan Zaugg"/>
    <x v="0"/>
    <x v="450"/>
    <x v="450"/>
    <n v="1"/>
    <s v="ADET"/>
    <n v="1"/>
    <n v="49"/>
    <n v="1.6000000000000005"/>
    <n v="-37.599999999999994"/>
    <n v="0"/>
    <n v="0"/>
    <n v="60"/>
    <x v="3"/>
    <n v="60"/>
    <x v="2"/>
  </r>
  <r>
    <x v="13"/>
    <s v="Matteo Giolo"/>
    <x v="0"/>
    <x v="450"/>
    <x v="450"/>
    <n v="1.35"/>
    <s v="ADET"/>
    <n v="0"/>
    <n v="49"/>
    <n v="1.6000000000000005"/>
    <n v="-37.599999999999994"/>
    <n v="0"/>
    <n v="0"/>
    <n v="60"/>
    <x v="3"/>
    <n v="81"/>
    <x v="2"/>
  </r>
  <r>
    <x v="15"/>
    <s v="Jan Urbanek"/>
    <x v="0"/>
    <x v="386"/>
    <x v="386"/>
    <n v="9"/>
    <s v="METRE"/>
    <n v="0"/>
    <n v="60"/>
    <n v="52"/>
    <n v="14.5"/>
    <n v="80"/>
    <n v="710.5"/>
    <n v="49"/>
    <x v="41"/>
    <n v="441"/>
    <x v="5"/>
  </r>
  <r>
    <x v="15"/>
    <s v="Jan Urbanek"/>
    <x v="0"/>
    <x v="450"/>
    <x v="450"/>
    <n v="1"/>
    <s v="ADET"/>
    <n v="0"/>
    <n v="49"/>
    <n v="1.6000000000000005"/>
    <n v="-37.599999999999994"/>
    <n v="0"/>
    <n v="0"/>
    <n v="60"/>
    <x v="3"/>
    <n v="60"/>
    <x v="2"/>
  </r>
  <r>
    <x v="17"/>
    <s v="Murat Taşdemir"/>
    <x v="0"/>
    <x v="451"/>
    <x v="451"/>
    <n v="1"/>
    <s v="ADET"/>
    <n v="0"/>
    <n v="4"/>
    <n v="22"/>
    <n v="-5"/>
    <n v="20"/>
    <n v="0"/>
    <n v="65"/>
    <x v="4"/>
    <n v="65"/>
    <x v="4"/>
  </r>
  <r>
    <x v="1"/>
    <s v="Stina Alm"/>
    <x v="0"/>
    <x v="454"/>
    <x v="454"/>
    <n v="2"/>
    <s v="ADET"/>
    <n v="0"/>
    <n v="109"/>
    <n v="34"/>
    <n v="-71"/>
    <n v="0"/>
    <n v="0"/>
    <n v="250"/>
    <x v="21"/>
    <n v="500"/>
    <x v="2"/>
  </r>
  <r>
    <x v="3"/>
    <s v="Stina Alm"/>
    <x v="0"/>
    <x v="472"/>
    <x v="472"/>
    <n v="4"/>
    <s v="ADET"/>
    <n v="0"/>
    <n v="36"/>
    <n v="26"/>
    <n v="1"/>
    <n v="0"/>
    <n v="348.7"/>
    <n v="348.7"/>
    <x v="74"/>
    <n v="1394.8"/>
    <x v="6"/>
  </r>
  <r>
    <x v="10"/>
    <s v="Jan Urbanek"/>
    <x v="0"/>
    <x v="386"/>
    <x v="386"/>
    <n v="9"/>
    <s v="METRE"/>
    <n v="0"/>
    <n v="60"/>
    <n v="52"/>
    <n v="14.5"/>
    <n v="80"/>
    <n v="710.5"/>
    <n v="49"/>
    <x v="41"/>
    <n v="441"/>
    <x v="5"/>
  </r>
  <r>
    <x v="10"/>
    <s v="Jan Urbanek"/>
    <x v="0"/>
    <x v="450"/>
    <x v="450"/>
    <n v="1"/>
    <s v="ADET"/>
    <n v="0"/>
    <n v="49"/>
    <n v="1.6000000000000005"/>
    <n v="-37.599999999999994"/>
    <n v="0"/>
    <n v="0"/>
    <n v="60"/>
    <x v="3"/>
    <n v="60"/>
    <x v="2"/>
  </r>
  <r>
    <x v="11"/>
    <s v="Jan Urbanek"/>
    <x v="0"/>
    <x v="452"/>
    <x v="452"/>
    <n v="1"/>
    <s v="ADET"/>
    <n v="1"/>
    <n v="27"/>
    <n v="4"/>
    <n v="-20"/>
    <n v="0"/>
    <n v="0"/>
    <n v="287.13"/>
    <x v="74"/>
    <n v="287.13"/>
    <x v="4"/>
  </r>
  <r>
    <x v="15"/>
    <s v="Jan Urbanek"/>
    <x v="0"/>
    <x v="451"/>
    <x v="451"/>
    <n v="1"/>
    <s v="ADET"/>
    <n v="0"/>
    <n v="4"/>
    <n v="22"/>
    <n v="-5"/>
    <n v="20"/>
    <n v="0"/>
    <n v="65"/>
    <x v="4"/>
    <n v="65"/>
    <x v="4"/>
  </r>
  <r>
    <x v="13"/>
    <s v="Matteo Giolo"/>
    <x v="0"/>
    <x v="451"/>
    <x v="451"/>
    <n v="1"/>
    <s v="ADET"/>
    <n v="0"/>
    <n v="4"/>
    <n v="22"/>
    <n v="-5"/>
    <n v="20"/>
    <n v="0"/>
    <n v="65"/>
    <x v="4"/>
    <n v="65"/>
    <x v="4"/>
  </r>
  <r>
    <x v="13"/>
    <s v="Matteo Giolo"/>
    <x v="0"/>
    <x v="302"/>
    <x v="302"/>
    <n v="0.09"/>
    <s v="KG"/>
    <n v="0"/>
    <n v="2.5"/>
    <n v="-4.9960036108132044E-16"/>
    <n v="-0.61999999999999922"/>
    <n v="0"/>
    <n v="0"/>
    <n v="2400"/>
    <x v="20"/>
    <n v="216"/>
    <x v="2"/>
  </r>
  <r>
    <x v="4"/>
    <s v="Stefan Zaugg"/>
    <x v="0"/>
    <x v="377"/>
    <x v="377"/>
    <n v="0.9"/>
    <s v="METRE"/>
    <n v="0"/>
    <n v="0"/>
    <n v="23.200000000000003"/>
    <n v="1.8"/>
    <n v="0"/>
    <n v="360"/>
    <n v="200"/>
    <x v="88"/>
    <n v="180"/>
    <x v="6"/>
  </r>
  <r>
    <x v="3"/>
    <s v="Stina Alm"/>
    <x v="0"/>
    <x v="388"/>
    <x v="388"/>
    <n v="1"/>
    <s v="ADET"/>
    <n v="0"/>
    <n v="4"/>
    <n v="9"/>
    <n v="1"/>
    <n v="6"/>
    <n v="1600"/>
    <n v="1600"/>
    <x v="14"/>
    <n v="1600"/>
    <x v="4"/>
  </r>
  <r>
    <x v="5"/>
    <s v="Matteo Giolo"/>
    <x v="0"/>
    <x v="389"/>
    <x v="389"/>
    <n v="1"/>
    <s v="ADET"/>
    <n v="0"/>
    <n v="4"/>
    <n v="10"/>
    <n v="-3"/>
    <n v="10"/>
    <n v="0"/>
    <n v="583.77"/>
    <x v="92"/>
    <n v="583.77"/>
    <x v="2"/>
  </r>
  <r>
    <x v="3"/>
    <s v="Stina Alm"/>
    <x v="0"/>
    <x v="389"/>
    <x v="389"/>
    <n v="1"/>
    <s v="ADET"/>
    <n v="0"/>
    <n v="4"/>
    <n v="10"/>
    <n v="-3"/>
    <n v="10"/>
    <n v="0"/>
    <n v="583.77"/>
    <x v="92"/>
    <n v="583.77"/>
    <x v="2"/>
  </r>
  <r>
    <x v="4"/>
    <s v="Stefan Zaugg"/>
    <x v="0"/>
    <x v="390"/>
    <x v="390"/>
    <n v="2"/>
    <s v="ADET"/>
    <n v="0"/>
    <n v="216"/>
    <n v="118"/>
    <n v="-190"/>
    <n v="0"/>
    <n v="0"/>
    <n v="3.95"/>
    <x v="20"/>
    <n v="7.9"/>
    <x v="7"/>
  </r>
  <r>
    <x v="5"/>
    <s v="Matteo Giolo"/>
    <x v="0"/>
    <x v="390"/>
    <x v="390"/>
    <n v="2"/>
    <s v="ADET"/>
    <n v="0"/>
    <n v="216"/>
    <n v="118"/>
    <n v="-190"/>
    <n v="0"/>
    <n v="0"/>
    <n v="3.95"/>
    <x v="20"/>
    <n v="7.9"/>
    <x v="7"/>
  </r>
  <r>
    <x v="5"/>
    <s v="Matteo Giolo"/>
    <x v="0"/>
    <x v="391"/>
    <x v="391"/>
    <n v="1"/>
    <s v="ADET"/>
    <n v="0"/>
    <n v="42"/>
    <n v="10"/>
    <n v="-30"/>
    <n v="0"/>
    <n v="0"/>
    <n v="142.5"/>
    <x v="15"/>
    <n v="142.5"/>
    <x v="7"/>
  </r>
  <r>
    <x v="5"/>
    <s v="Matteo Giolo"/>
    <x v="0"/>
    <x v="421"/>
    <x v="421"/>
    <n v="1"/>
    <s v="ADET"/>
    <n v="0"/>
    <n v="20.5"/>
    <n v="5"/>
    <n v="-9.5"/>
    <n v="0"/>
    <n v="0"/>
    <n v="175"/>
    <x v="35"/>
    <n v="175"/>
    <x v="2"/>
  </r>
  <r>
    <x v="2"/>
    <s v="Laurent MONTAGNER"/>
    <x v="0"/>
    <x v="391"/>
    <x v="391"/>
    <n v="1"/>
    <s v="ADET"/>
    <n v="0"/>
    <n v="42"/>
    <n v="10"/>
    <n v="-30"/>
    <n v="0"/>
    <n v="0"/>
    <n v="142.5"/>
    <x v="15"/>
    <n v="142.5"/>
    <x v="7"/>
  </r>
  <r>
    <x v="11"/>
    <s v="Jan Urbanek"/>
    <x v="0"/>
    <x v="388"/>
    <x v="388"/>
    <n v="1"/>
    <s v="ADET"/>
    <n v="0"/>
    <n v="4"/>
    <n v="9"/>
    <n v="1"/>
    <n v="6"/>
    <n v="1600"/>
    <n v="1600"/>
    <x v="14"/>
    <n v="1600"/>
    <x v="4"/>
  </r>
  <r>
    <x v="11"/>
    <s v="Jan Urbanek"/>
    <x v="0"/>
    <x v="389"/>
    <x v="389"/>
    <n v="1"/>
    <s v="ADET"/>
    <n v="0"/>
    <n v="4"/>
    <n v="10"/>
    <n v="-3"/>
    <n v="10"/>
    <n v="0"/>
    <n v="583.77"/>
    <x v="92"/>
    <n v="583.77"/>
    <x v="2"/>
  </r>
  <r>
    <x v="11"/>
    <s v="Jan Urbanek"/>
    <x v="0"/>
    <x v="391"/>
    <x v="391"/>
    <n v="1"/>
    <s v="ADET"/>
    <n v="0"/>
    <n v="42"/>
    <n v="10"/>
    <n v="-30"/>
    <n v="0"/>
    <n v="0"/>
    <n v="142.5"/>
    <x v="15"/>
    <n v="142.5"/>
    <x v="7"/>
  </r>
  <r>
    <x v="19"/>
    <s v="Volkan Batkan"/>
    <x v="0"/>
    <x v="422"/>
    <x v="422"/>
    <n v="1"/>
    <s v="ADET"/>
    <n v="1"/>
    <n v="12"/>
    <n v="17"/>
    <n v="-1"/>
    <n v="0"/>
    <n v="0"/>
    <n v="400"/>
    <x v="85"/>
    <n v="400"/>
    <x v="6"/>
  </r>
  <r>
    <x v="0"/>
    <s v="Soner Kayıkçı"/>
    <x v="0"/>
    <x v="388"/>
    <x v="388"/>
    <n v="1"/>
    <s v="ADET"/>
    <n v="0"/>
    <n v="4"/>
    <n v="9"/>
    <n v="1"/>
    <n v="6"/>
    <n v="1600"/>
    <n v="1600"/>
    <x v="14"/>
    <n v="1600"/>
    <x v="4"/>
  </r>
  <r>
    <x v="1"/>
    <s v="Stina Alm"/>
    <x v="0"/>
    <x v="391"/>
    <x v="391"/>
    <n v="1"/>
    <s v="ADET"/>
    <n v="0"/>
    <n v="42"/>
    <n v="10"/>
    <n v="-30"/>
    <n v="0"/>
    <n v="0"/>
    <n v="142.5"/>
    <x v="15"/>
    <n v="142.5"/>
    <x v="7"/>
  </r>
  <r>
    <x v="0"/>
    <s v="Soner Kayıkçı"/>
    <x v="0"/>
    <x v="434"/>
    <x v="434"/>
    <n v="6"/>
    <s v="ADET"/>
    <n v="0"/>
    <n v="0"/>
    <n v="0"/>
    <n v="42"/>
    <n v="0"/>
    <n v="15.12"/>
    <n v="0.36"/>
    <x v="8"/>
    <n v="2.16"/>
    <x v="2"/>
  </r>
  <r>
    <x v="10"/>
    <s v="Jan Urbanek"/>
    <x v="0"/>
    <x v="388"/>
    <x v="388"/>
    <n v="1"/>
    <s v="ADET"/>
    <n v="0"/>
    <n v="4"/>
    <n v="9"/>
    <n v="1"/>
    <n v="6"/>
    <n v="1600"/>
    <n v="1600"/>
    <x v="14"/>
    <n v="1600"/>
    <x v="4"/>
  </r>
  <r>
    <x v="8"/>
    <s v="Jan Urbanek"/>
    <x v="0"/>
    <x v="388"/>
    <x v="388"/>
    <n v="1"/>
    <s v="ADET"/>
    <n v="0"/>
    <n v="4"/>
    <n v="9"/>
    <n v="1"/>
    <n v="6"/>
    <n v="1600"/>
    <n v="1600"/>
    <x v="14"/>
    <n v="1600"/>
    <x v="4"/>
  </r>
  <r>
    <x v="9"/>
    <s v="Jan Urbanek"/>
    <x v="0"/>
    <x v="389"/>
    <x v="389"/>
    <n v="1"/>
    <s v="ADET"/>
    <n v="0"/>
    <n v="4"/>
    <n v="10"/>
    <n v="-3"/>
    <n v="10"/>
    <n v="0"/>
    <n v="583.77"/>
    <x v="92"/>
    <n v="583.77"/>
    <x v="2"/>
  </r>
  <r>
    <x v="8"/>
    <s v="Jan Urbanek"/>
    <x v="0"/>
    <x v="389"/>
    <x v="389"/>
    <n v="1"/>
    <s v="ADET"/>
    <n v="0"/>
    <n v="4"/>
    <n v="10"/>
    <n v="-3"/>
    <n v="10"/>
    <n v="0"/>
    <n v="583.77"/>
    <x v="92"/>
    <n v="583.77"/>
    <x v="2"/>
  </r>
  <r>
    <x v="8"/>
    <s v="Jan Urbanek"/>
    <x v="0"/>
    <x v="391"/>
    <x v="391"/>
    <n v="1"/>
    <s v="ADET"/>
    <n v="0"/>
    <n v="42"/>
    <n v="10"/>
    <n v="-30"/>
    <n v="0"/>
    <n v="0"/>
    <n v="142.5"/>
    <x v="15"/>
    <n v="142.5"/>
    <x v="7"/>
  </r>
  <r>
    <x v="15"/>
    <s v="Jan Urbanek"/>
    <x v="0"/>
    <x v="353"/>
    <x v="353"/>
    <n v="2"/>
    <s v="ADET"/>
    <n v="0"/>
    <n v="29"/>
    <n v="9"/>
    <n v="-13"/>
    <n v="0"/>
    <n v="0"/>
    <n v="355.05"/>
    <x v="74"/>
    <n v="710.1"/>
    <x v="6"/>
  </r>
  <r>
    <x v="10"/>
    <s v="Jan Urbanek"/>
    <x v="0"/>
    <x v="335"/>
    <x v="335"/>
    <n v="278"/>
    <s v="ADET"/>
    <n v="0"/>
    <n v="8000"/>
    <n v="11449"/>
    <n v="-1313"/>
    <n v="0"/>
    <n v="0"/>
    <n v="0.54"/>
    <x v="21"/>
    <n v="150.12"/>
    <x v="2"/>
  </r>
  <r>
    <x v="11"/>
    <s v="Jan Urbanek"/>
    <x v="0"/>
    <x v="337"/>
    <x v="337"/>
    <n v="1"/>
    <s v="ADET"/>
    <n v="0"/>
    <n v="28"/>
    <n v="5"/>
    <n v="-16"/>
    <n v="0"/>
    <n v="0"/>
    <n v="373.06"/>
    <x v="74"/>
    <n v="373.06"/>
    <x v="4"/>
  </r>
  <r>
    <x v="19"/>
    <s v="Volkan Batkan"/>
    <x v="0"/>
    <x v="353"/>
    <x v="353"/>
    <n v="2"/>
    <s v="ADET"/>
    <n v="0"/>
    <n v="29"/>
    <n v="9"/>
    <n v="-13"/>
    <n v="0"/>
    <n v="0"/>
    <n v="355.05"/>
    <x v="74"/>
    <n v="710.1"/>
    <x v="6"/>
  </r>
  <r>
    <x v="15"/>
    <s v="Jan Urbanek"/>
    <x v="0"/>
    <x v="349"/>
    <x v="349"/>
    <n v="4"/>
    <s v="ADET"/>
    <n v="0"/>
    <n v="19"/>
    <n v="19"/>
    <n v="14"/>
    <n v="0"/>
    <n v="44207.66"/>
    <n v="3157.69"/>
    <x v="84"/>
    <n v="12630.76"/>
    <x v="6"/>
  </r>
  <r>
    <x v="13"/>
    <s v="Matteo Giolo"/>
    <x v="0"/>
    <x v="367"/>
    <x v="367"/>
    <n v="1"/>
    <s v="ADET"/>
    <n v="0"/>
    <n v="10"/>
    <n v="5"/>
    <n v="-6"/>
    <n v="0"/>
    <n v="0"/>
    <n v="1723.79"/>
    <x v="74"/>
    <n v="1723.79"/>
    <x v="4"/>
  </r>
  <r>
    <x v="13"/>
    <s v="Matteo Giolo"/>
    <x v="0"/>
    <x v="304"/>
    <x v="304"/>
    <n v="4"/>
    <s v="ADET"/>
    <n v="0"/>
    <n v="200"/>
    <n v="343"/>
    <n v="-8"/>
    <n v="0"/>
    <n v="0"/>
    <n v="9"/>
    <x v="14"/>
    <n v="36"/>
    <x v="2"/>
  </r>
  <r>
    <x v="13"/>
    <s v="Matteo Giolo"/>
    <x v="0"/>
    <x v="385"/>
    <x v="385"/>
    <n v="1"/>
    <s v="ADET"/>
    <n v="0"/>
    <n v="4"/>
    <n v="11"/>
    <n v="9"/>
    <n v="0"/>
    <n v="54009.99"/>
    <n v="6001.11"/>
    <x v="13"/>
    <n v="6001.11"/>
    <x v="7"/>
  </r>
  <r>
    <x v="3"/>
    <s v="Stina Alm"/>
    <x v="0"/>
    <x v="367"/>
    <x v="367"/>
    <n v="1"/>
    <s v="ADET"/>
    <n v="0"/>
    <n v="10"/>
    <n v="5"/>
    <n v="-6"/>
    <n v="0"/>
    <n v="0"/>
    <n v="1723.79"/>
    <x v="74"/>
    <n v="1723.79"/>
    <x v="4"/>
  </r>
  <r>
    <x v="7"/>
    <s v="Laurent MONTAGNER"/>
    <x v="0"/>
    <x v="367"/>
    <x v="367"/>
    <n v="1"/>
    <s v="ADET"/>
    <n v="1"/>
    <n v="10"/>
    <n v="5"/>
    <n v="-6"/>
    <n v="0"/>
    <n v="0"/>
    <n v="1723.79"/>
    <x v="74"/>
    <n v="1723.79"/>
    <x v="4"/>
  </r>
  <r>
    <x v="12"/>
    <s v="Matteo Giolo"/>
    <x v="0"/>
    <x v="385"/>
    <x v="385"/>
    <n v="1"/>
    <s v="ADET"/>
    <n v="0"/>
    <n v="4"/>
    <n v="11"/>
    <n v="9"/>
    <n v="0"/>
    <n v="54009.99"/>
    <n v="6001.11"/>
    <x v="13"/>
    <n v="6001.11"/>
    <x v="7"/>
  </r>
  <r>
    <x v="10"/>
    <s v="Jan Urbanek"/>
    <x v="0"/>
    <x v="304"/>
    <x v="304"/>
    <n v="12"/>
    <s v="ADET"/>
    <n v="0"/>
    <n v="200"/>
    <n v="343"/>
    <n v="-8"/>
    <n v="0"/>
    <n v="0"/>
    <n v="9"/>
    <x v="14"/>
    <n v="108"/>
    <x v="2"/>
  </r>
  <r>
    <x v="8"/>
    <s v="Jan Urbanek"/>
    <x v="0"/>
    <x v="384"/>
    <x v="384"/>
    <n v="1"/>
    <s v="ADET"/>
    <n v="0"/>
    <n v="6"/>
    <n v="1.7763568394002505E-15"/>
    <n v="7.25"/>
    <n v="0"/>
    <n v="145"/>
    <n v="20"/>
    <x v="2"/>
    <n v="20"/>
    <x v="2"/>
  </r>
  <r>
    <x v="10"/>
    <s v="Jan Urbanek"/>
    <x v="0"/>
    <x v="385"/>
    <x v="385"/>
    <n v="1"/>
    <s v="ADET"/>
    <n v="0"/>
    <n v="4"/>
    <n v="11"/>
    <n v="9"/>
    <n v="0"/>
    <n v="54009.99"/>
    <n v="6001.11"/>
    <x v="13"/>
    <n v="6001.11"/>
    <x v="7"/>
  </r>
  <r>
    <x v="15"/>
    <s v="Jan Urbanek"/>
    <x v="0"/>
    <x v="302"/>
    <x v="302"/>
    <n v="7.0000000000000007E-2"/>
    <s v="KG"/>
    <n v="0"/>
    <n v="2.5"/>
    <n v="-4.9960036108132044E-16"/>
    <n v="-0.61999999999999922"/>
    <n v="0"/>
    <n v="0"/>
    <n v="2400"/>
    <x v="20"/>
    <n v="168.00000000000003"/>
    <x v="2"/>
  </r>
  <r>
    <x v="17"/>
    <s v="Murat Taşdemir"/>
    <x v="0"/>
    <x v="304"/>
    <x v="304"/>
    <n v="16"/>
    <s v="ADET"/>
    <n v="0"/>
    <n v="200"/>
    <n v="343"/>
    <n v="-8"/>
    <n v="0"/>
    <n v="0"/>
    <n v="9"/>
    <x v="14"/>
    <n v="144"/>
    <x v="2"/>
  </r>
  <r>
    <x v="7"/>
    <s v="Laurent MONTAGNER"/>
    <x v="0"/>
    <x v="304"/>
    <x v="304"/>
    <n v="16"/>
    <s v="ADET"/>
    <n v="0"/>
    <n v="200"/>
    <n v="343"/>
    <n v="-8"/>
    <n v="0"/>
    <n v="0"/>
    <n v="9"/>
    <x v="14"/>
    <n v="144"/>
    <x v="2"/>
  </r>
  <r>
    <x v="7"/>
    <s v="Laurent MONTAGNER"/>
    <x v="0"/>
    <x v="384"/>
    <x v="384"/>
    <n v="1"/>
    <s v="ADET"/>
    <n v="0"/>
    <n v="6"/>
    <n v="1.7763568394002505E-15"/>
    <n v="7.25"/>
    <n v="0"/>
    <n v="145"/>
    <n v="20"/>
    <x v="2"/>
    <n v="20"/>
    <x v="2"/>
  </r>
  <r>
    <x v="7"/>
    <s v="Laurent MONTAGNER"/>
    <x v="0"/>
    <x v="385"/>
    <x v="385"/>
    <n v="1"/>
    <s v="ADET"/>
    <n v="0"/>
    <n v="4"/>
    <n v="11"/>
    <n v="9"/>
    <n v="0"/>
    <n v="54009.99"/>
    <n v="6001.11"/>
    <x v="13"/>
    <n v="6001.11"/>
    <x v="7"/>
  </r>
  <r>
    <x v="3"/>
    <s v="Stina Alm"/>
    <x v="0"/>
    <x v="384"/>
    <x v="384"/>
    <n v="1"/>
    <s v="ADET"/>
    <n v="0"/>
    <n v="6"/>
    <n v="1.7763568394002505E-15"/>
    <n v="7.25"/>
    <n v="0"/>
    <n v="145"/>
    <n v="20"/>
    <x v="2"/>
    <n v="20"/>
    <x v="2"/>
  </r>
  <r>
    <x v="3"/>
    <s v="Stina Alm"/>
    <x v="0"/>
    <x v="385"/>
    <x v="385"/>
    <n v="1"/>
    <s v="ADET"/>
    <n v="0"/>
    <n v="4"/>
    <n v="11"/>
    <n v="9"/>
    <n v="0"/>
    <n v="54009.99"/>
    <n v="6001.11"/>
    <x v="13"/>
    <n v="6001.11"/>
    <x v="7"/>
  </r>
  <r>
    <x v="5"/>
    <s v="Matteo Giolo"/>
    <x v="0"/>
    <x v="473"/>
    <x v="473"/>
    <n v="1"/>
    <s v="ADET"/>
    <n v="0"/>
    <n v="0"/>
    <n v="0"/>
    <n v="15"/>
    <n v="0"/>
    <n v="0"/>
    <n v="0"/>
    <x v="5"/>
    <n v="0"/>
    <x v="6"/>
  </r>
  <r>
    <x v="0"/>
    <s v="Soner Kayıkçı"/>
    <x v="0"/>
    <x v="304"/>
    <x v="304"/>
    <n v="12"/>
    <s v="ADET"/>
    <n v="0"/>
    <n v="200"/>
    <n v="343"/>
    <n v="-8"/>
    <n v="0"/>
    <n v="0"/>
    <n v="9"/>
    <x v="14"/>
    <n v="108"/>
    <x v="2"/>
  </r>
  <r>
    <x v="1"/>
    <s v="Stina Alm"/>
    <x v="0"/>
    <x v="304"/>
    <x v="304"/>
    <n v="16"/>
    <s v="ADET"/>
    <n v="0"/>
    <n v="200"/>
    <n v="343"/>
    <n v="-8"/>
    <n v="0"/>
    <n v="0"/>
    <n v="9"/>
    <x v="14"/>
    <n v="144"/>
    <x v="2"/>
  </r>
  <r>
    <x v="2"/>
    <s v="Laurent MONTAGNER"/>
    <x v="0"/>
    <x v="304"/>
    <x v="304"/>
    <n v="8"/>
    <s v="ADET"/>
    <n v="0"/>
    <n v="200"/>
    <n v="343"/>
    <n v="-8"/>
    <n v="0"/>
    <n v="0"/>
    <n v="9"/>
    <x v="14"/>
    <n v="72"/>
    <x v="2"/>
  </r>
  <r>
    <x v="0"/>
    <s v="Soner Kayıkçı"/>
    <x v="0"/>
    <x v="385"/>
    <x v="385"/>
    <n v="1"/>
    <s v="ADET"/>
    <n v="0"/>
    <n v="4"/>
    <n v="11"/>
    <n v="9"/>
    <n v="0"/>
    <n v="54009.99"/>
    <n v="6001.11"/>
    <x v="13"/>
    <n v="6001.11"/>
    <x v="7"/>
  </r>
  <r>
    <x v="1"/>
    <s v="Stina Alm"/>
    <x v="0"/>
    <x v="385"/>
    <x v="385"/>
    <n v="1"/>
    <s v="ADET"/>
    <n v="0"/>
    <n v="4"/>
    <n v="11"/>
    <n v="9"/>
    <n v="0"/>
    <n v="54009.99"/>
    <n v="6001.11"/>
    <x v="13"/>
    <n v="6001.11"/>
    <x v="7"/>
  </r>
  <r>
    <x v="2"/>
    <s v="Laurent MONTAGNER"/>
    <x v="0"/>
    <x v="385"/>
    <x v="385"/>
    <n v="1"/>
    <s v="ADET"/>
    <n v="0"/>
    <n v="4"/>
    <n v="11"/>
    <n v="9"/>
    <n v="0"/>
    <n v="54009.99"/>
    <n v="6001.11"/>
    <x v="13"/>
    <n v="6001.11"/>
    <x v="7"/>
  </r>
  <r>
    <x v="15"/>
    <s v="Jan Urbanek"/>
    <x v="0"/>
    <x v="473"/>
    <x v="473"/>
    <n v="1"/>
    <s v="ADET"/>
    <n v="0"/>
    <n v="0"/>
    <n v="0"/>
    <n v="15"/>
    <n v="0"/>
    <n v="0"/>
    <n v="0"/>
    <x v="5"/>
    <n v="0"/>
    <x v="6"/>
  </r>
  <r>
    <x v="3"/>
    <s v="Stina Alm"/>
    <x v="0"/>
    <x v="473"/>
    <x v="473"/>
    <n v="1"/>
    <s v="ADET"/>
    <n v="0"/>
    <n v="0"/>
    <n v="0"/>
    <n v="15"/>
    <n v="0"/>
    <n v="0"/>
    <n v="0"/>
    <x v="5"/>
    <n v="0"/>
    <x v="6"/>
  </r>
  <r>
    <x v="7"/>
    <s v="Laurent MONTAGNER"/>
    <x v="0"/>
    <x v="473"/>
    <x v="473"/>
    <n v="1"/>
    <s v="ADET"/>
    <n v="0"/>
    <n v="0"/>
    <n v="0"/>
    <n v="15"/>
    <n v="0"/>
    <n v="0"/>
    <n v="0"/>
    <x v="5"/>
    <n v="0"/>
    <x v="6"/>
  </r>
  <r>
    <x v="2"/>
    <s v="Laurent MONTAGNER"/>
    <x v="0"/>
    <x v="384"/>
    <x v="384"/>
    <n v="2"/>
    <s v="ADET"/>
    <n v="0"/>
    <n v="6"/>
    <n v="1.7763568394002505E-15"/>
    <n v="7.25"/>
    <n v="0"/>
    <n v="145"/>
    <n v="20"/>
    <x v="2"/>
    <n v="40"/>
    <x v="2"/>
  </r>
  <r>
    <x v="11"/>
    <s v="Jan Urbanek"/>
    <x v="0"/>
    <x v="379"/>
    <x v="379"/>
    <n v="1"/>
    <s v="ADET"/>
    <n v="0"/>
    <n v="1"/>
    <n v="4"/>
    <n v="13"/>
    <n v="0"/>
    <n v="168880.14"/>
    <n v="12990.78"/>
    <x v="67"/>
    <n v="12990.78"/>
    <x v="6"/>
  </r>
  <r>
    <x v="6"/>
    <s v="Laurent MONTAGNER"/>
    <x v="0"/>
    <x v="441"/>
    <x v="441"/>
    <n v="1"/>
    <s v="ADET"/>
    <n v="0"/>
    <n v="0"/>
    <n v="2"/>
    <n v="8"/>
    <n v="0"/>
    <n v="191760"/>
    <n v="23970"/>
    <x v="98"/>
    <n v="23970"/>
    <x v="6"/>
  </r>
  <r>
    <x v="1"/>
    <s v="Stina Alm"/>
    <x v="0"/>
    <x v="441"/>
    <x v="441"/>
    <n v="1"/>
    <s v="ADET"/>
    <n v="0"/>
    <n v="0"/>
    <n v="2"/>
    <n v="8"/>
    <n v="0"/>
    <n v="191760"/>
    <n v="23970"/>
    <x v="98"/>
    <n v="23970"/>
    <x v="6"/>
  </r>
  <r>
    <x v="1"/>
    <s v="Stina Alm"/>
    <x v="0"/>
    <x v="443"/>
    <x v="443"/>
    <n v="1"/>
    <s v="ADET"/>
    <n v="0"/>
    <n v="10"/>
    <n v="5"/>
    <n v="-6"/>
    <n v="0"/>
    <n v="0"/>
    <n v="1679.53"/>
    <x v="74"/>
    <n v="1679.53"/>
    <x v="4"/>
  </r>
  <r>
    <x v="6"/>
    <s v="Laurent MONTAGNER"/>
    <x v="0"/>
    <x v="444"/>
    <x v="444"/>
    <n v="0.1"/>
    <s v="ADET"/>
    <n v="0"/>
    <n v="2"/>
    <n v="-6.3837823915946501E-16"/>
    <n v="1.4000000000000004"/>
    <n v="0"/>
    <n v="3889.2000000000012"/>
    <n v="2778"/>
    <x v="35"/>
    <n v="277.8"/>
    <x v="3"/>
  </r>
  <r>
    <x v="1"/>
    <s v="Stina Alm"/>
    <x v="0"/>
    <x v="444"/>
    <x v="444"/>
    <n v="0.1"/>
    <s v="ADET"/>
    <n v="0"/>
    <n v="2"/>
    <n v="-6.3837823915946501E-16"/>
    <n v="1.4000000000000004"/>
    <n v="0"/>
    <n v="3889.2000000000012"/>
    <n v="2778"/>
    <x v="35"/>
    <n v="277.8"/>
    <x v="3"/>
  </r>
  <r>
    <x v="6"/>
    <s v="Laurent MONTAGNER"/>
    <x v="0"/>
    <x v="445"/>
    <x v="445"/>
    <n v="0.1"/>
    <s v="ADET"/>
    <n v="0"/>
    <n v="2"/>
    <n v="1.7763568394002505E-15"/>
    <n v="-0.84999999999999964"/>
    <n v="0"/>
    <n v="0"/>
    <n v="1400"/>
    <x v="35"/>
    <n v="140"/>
    <x v="3"/>
  </r>
  <r>
    <x v="1"/>
    <s v="Stina Alm"/>
    <x v="0"/>
    <x v="445"/>
    <x v="445"/>
    <n v="0.1"/>
    <s v="ADET"/>
    <n v="0"/>
    <n v="2"/>
    <n v="1.7763568394002505E-15"/>
    <n v="-0.84999999999999964"/>
    <n v="0"/>
    <n v="0"/>
    <n v="1400"/>
    <x v="35"/>
    <n v="140"/>
    <x v="3"/>
  </r>
  <r>
    <x v="6"/>
    <s v="Laurent MONTAGNER"/>
    <x v="0"/>
    <x v="446"/>
    <x v="446"/>
    <n v="2"/>
    <s v="ADET"/>
    <n v="0"/>
    <n v="115"/>
    <n v="2"/>
    <n v="-77"/>
    <n v="0"/>
    <n v="0"/>
    <n v="0.44"/>
    <x v="57"/>
    <n v="0.88"/>
    <x v="7"/>
  </r>
  <r>
    <x v="0"/>
    <s v="Soner Kayıkçı"/>
    <x v="0"/>
    <x v="446"/>
    <x v="446"/>
    <n v="2"/>
    <s v="ADET"/>
    <n v="0"/>
    <n v="115"/>
    <n v="2"/>
    <n v="-77"/>
    <n v="0"/>
    <n v="0"/>
    <n v="0.44"/>
    <x v="57"/>
    <n v="0.88"/>
    <x v="7"/>
  </r>
  <r>
    <x v="1"/>
    <s v="Stina Alm"/>
    <x v="0"/>
    <x v="446"/>
    <x v="446"/>
    <n v="2"/>
    <s v="ADET"/>
    <n v="0"/>
    <n v="115"/>
    <n v="2"/>
    <n v="-77"/>
    <n v="0"/>
    <n v="0"/>
    <n v="0.44"/>
    <x v="57"/>
    <n v="0.88"/>
    <x v="7"/>
  </r>
  <r>
    <x v="9"/>
    <s v="Jan Urbanek"/>
    <x v="0"/>
    <x v="393"/>
    <x v="393"/>
    <n v="2"/>
    <s v="ADET"/>
    <n v="0"/>
    <n v="452"/>
    <n v="25"/>
    <n v="-428"/>
    <n v="0"/>
    <n v="0"/>
    <n v="20"/>
    <x v="5"/>
    <n v="40"/>
    <x v="7"/>
  </r>
  <r>
    <x v="8"/>
    <s v="Jan Urbanek"/>
    <x v="0"/>
    <x v="393"/>
    <x v="393"/>
    <n v="2"/>
    <s v="ADET"/>
    <n v="0"/>
    <n v="452"/>
    <n v="25"/>
    <n v="-428"/>
    <n v="0"/>
    <n v="0"/>
    <n v="20"/>
    <x v="5"/>
    <n v="40"/>
    <x v="7"/>
  </r>
  <r>
    <x v="2"/>
    <s v="Laurent MONTAGNER"/>
    <x v="0"/>
    <x v="441"/>
    <x v="441"/>
    <n v="1"/>
    <s v="ADET"/>
    <n v="0"/>
    <n v="0"/>
    <n v="2"/>
    <n v="8"/>
    <n v="0"/>
    <n v="191760"/>
    <n v="23970"/>
    <x v="98"/>
    <n v="23970"/>
    <x v="6"/>
  </r>
  <r>
    <x v="1"/>
    <s v="Stina Alm"/>
    <x v="0"/>
    <x v="374"/>
    <x v="374"/>
    <n v="50"/>
    <s v="ADET"/>
    <n v="0"/>
    <n v="0"/>
    <n v="1330"/>
    <n v="860"/>
    <n v="0"/>
    <n v="344"/>
    <n v="0.4"/>
    <x v="8"/>
    <n v="20"/>
    <x v="2"/>
  </r>
  <r>
    <x v="8"/>
    <s v="Jan Urbanek"/>
    <x v="0"/>
    <x v="344"/>
    <x v="344"/>
    <n v="2"/>
    <s v="ADET"/>
    <n v="0"/>
    <n v="0"/>
    <n v="64"/>
    <n v="40"/>
    <n v="0"/>
    <n v="274.8"/>
    <n v="6.87"/>
    <x v="15"/>
    <n v="13.74"/>
    <x v="7"/>
  </r>
  <r>
    <x v="9"/>
    <s v="Jan Urbanek"/>
    <x v="0"/>
    <x v="344"/>
    <x v="344"/>
    <n v="2"/>
    <s v="ADET"/>
    <n v="0"/>
    <n v="0"/>
    <n v="64"/>
    <n v="40"/>
    <n v="0"/>
    <n v="274.8"/>
    <n v="6.87"/>
    <x v="15"/>
    <n v="13.74"/>
    <x v="7"/>
  </r>
  <r>
    <x v="4"/>
    <s v="Stefan Zaugg"/>
    <x v="0"/>
    <x v="392"/>
    <x v="392"/>
    <n v="5.9"/>
    <s v="KG"/>
    <n v="5.9"/>
    <n v="0"/>
    <n v="297.39999999999998"/>
    <n v="94.40000000000002"/>
    <n v="0"/>
    <n v="21972.544000000005"/>
    <n v="232.76"/>
    <x v="3"/>
    <n v="1373.2840000000001"/>
    <x v="3"/>
  </r>
  <r>
    <x v="3"/>
    <s v="Stina Alm"/>
    <x v="0"/>
    <x v="392"/>
    <x v="392"/>
    <n v="5.9"/>
    <s v="KG"/>
    <n v="0"/>
    <n v="0"/>
    <n v="297.39999999999998"/>
    <n v="94.40000000000002"/>
    <n v="0"/>
    <n v="21972.544000000005"/>
    <n v="232.76"/>
    <x v="3"/>
    <n v="1373.2840000000001"/>
    <x v="3"/>
  </r>
  <r>
    <x v="0"/>
    <s v="Soner Kayıkçı"/>
    <x v="0"/>
    <x v="375"/>
    <x v="375"/>
    <n v="1.5"/>
    <s v="KG"/>
    <n v="0"/>
    <n v="39"/>
    <n v="40.000000000000014"/>
    <n v="-18.5"/>
    <n v="0"/>
    <n v="0"/>
    <n v="212.93"/>
    <x v="56"/>
    <n v="319.39499999999998"/>
    <x v="8"/>
  </r>
  <r>
    <x v="2"/>
    <s v="Laurent MONTAGNER"/>
    <x v="0"/>
    <x v="375"/>
    <x v="375"/>
    <n v="0.5"/>
    <s v="KG"/>
    <n v="0"/>
    <n v="39"/>
    <n v="40.000000000000014"/>
    <n v="-18.5"/>
    <n v="0"/>
    <n v="0"/>
    <n v="212.93"/>
    <x v="56"/>
    <n v="106.465"/>
    <x v="8"/>
  </r>
  <r>
    <x v="9"/>
    <s v="Jan Urbanek"/>
    <x v="0"/>
    <x v="345"/>
    <x v="345"/>
    <n v="60"/>
    <s v="ADET"/>
    <n v="0"/>
    <n v="5000"/>
    <n v="0"/>
    <n v="-3820"/>
    <n v="0"/>
    <n v="0"/>
    <n v="0.6"/>
    <x v="14"/>
    <n v="36"/>
    <x v="2"/>
  </r>
  <r>
    <x v="9"/>
    <s v="Jan Urbanek"/>
    <x v="0"/>
    <x v="374"/>
    <x v="374"/>
    <n v="40"/>
    <s v="ADET"/>
    <n v="0"/>
    <n v="0"/>
    <n v="1330"/>
    <n v="860"/>
    <n v="0"/>
    <n v="344"/>
    <n v="0.4"/>
    <x v="8"/>
    <n v="16"/>
    <x v="2"/>
  </r>
  <r>
    <x v="8"/>
    <s v="Jan Urbanek"/>
    <x v="0"/>
    <x v="374"/>
    <x v="374"/>
    <n v="40"/>
    <s v="ADET"/>
    <n v="0"/>
    <n v="0"/>
    <n v="1330"/>
    <n v="860"/>
    <n v="0"/>
    <n v="344"/>
    <n v="0.4"/>
    <x v="8"/>
    <n v="16"/>
    <x v="2"/>
  </r>
  <r>
    <x v="11"/>
    <s v="Jan Urbanek"/>
    <x v="0"/>
    <x v="392"/>
    <x v="392"/>
    <n v="5.9"/>
    <s v="KG"/>
    <n v="0"/>
    <n v="0"/>
    <n v="297.39999999999998"/>
    <n v="94.40000000000002"/>
    <n v="0"/>
    <n v="21972.544000000005"/>
    <n v="232.76"/>
    <x v="3"/>
    <n v="1373.2840000000001"/>
    <x v="3"/>
  </r>
  <r>
    <x v="12"/>
    <s v="Matteo Giolo"/>
    <x v="0"/>
    <x v="474"/>
    <x v="474"/>
    <n v="1"/>
    <s v="ADET"/>
    <n v="0"/>
    <n v="7"/>
    <n v="2"/>
    <n v="0"/>
    <n v="0"/>
    <n v="0"/>
    <n v="337.5"/>
    <x v="75"/>
    <n v="337.5"/>
    <x v="6"/>
  </r>
  <r>
    <x v="8"/>
    <s v="Jan Urbanek"/>
    <x v="0"/>
    <x v="474"/>
    <x v="474"/>
    <n v="1"/>
    <s v="ADET"/>
    <n v="0"/>
    <n v="7"/>
    <n v="2"/>
    <n v="0"/>
    <n v="0"/>
    <n v="0"/>
    <n v="337.5"/>
    <x v="75"/>
    <n v="337.5"/>
    <x v="6"/>
  </r>
  <r>
    <x v="9"/>
    <s v="Jan Urbanek"/>
    <x v="0"/>
    <x v="474"/>
    <x v="474"/>
    <n v="1"/>
    <s v="ADET"/>
    <n v="0"/>
    <n v="7"/>
    <n v="2"/>
    <n v="0"/>
    <n v="0"/>
    <n v="0"/>
    <n v="337.5"/>
    <x v="75"/>
    <n v="337.5"/>
    <x v="6"/>
  </r>
  <r>
    <x v="11"/>
    <s v="Jan Urbanek"/>
    <x v="0"/>
    <x v="374"/>
    <x v="374"/>
    <n v="40"/>
    <s v="ADET"/>
    <n v="0"/>
    <n v="0"/>
    <n v="1330"/>
    <n v="860"/>
    <n v="0"/>
    <n v="344"/>
    <n v="0.4"/>
    <x v="8"/>
    <n v="16"/>
    <x v="2"/>
  </r>
  <r>
    <x v="0"/>
    <s v="Soner Kayıkçı"/>
    <x v="0"/>
    <x v="354"/>
    <x v="354"/>
    <n v="120"/>
    <s v="METRE"/>
    <n v="0"/>
    <n v="0"/>
    <n v="0"/>
    <n v="1760"/>
    <n v="0"/>
    <n v="0"/>
    <n v="0"/>
    <x v="5"/>
    <n v="0"/>
    <x v="5"/>
  </r>
  <r>
    <x v="0"/>
    <s v="Soner Kayıkçı"/>
    <x v="0"/>
    <x v="356"/>
    <x v="356"/>
    <n v="0.13"/>
    <s v="M3"/>
    <n v="0"/>
    <n v="0"/>
    <n v="4.5430000000000446"/>
    <n v="1.4260000000000002"/>
    <n v="0"/>
    <n v="27807.000000000004"/>
    <n v="19500"/>
    <x v="87"/>
    <n v="2535"/>
    <x v="8"/>
  </r>
  <r>
    <x v="1"/>
    <s v="Stina Alm"/>
    <x v="0"/>
    <x v="356"/>
    <x v="356"/>
    <n v="0.124"/>
    <s v="M3"/>
    <n v="0"/>
    <n v="0"/>
    <n v="4.5430000000000446"/>
    <n v="1.4260000000000002"/>
    <n v="0"/>
    <n v="27807.000000000004"/>
    <n v="19500"/>
    <x v="87"/>
    <n v="2418"/>
    <x v="8"/>
  </r>
  <r>
    <x v="1"/>
    <s v="Stina Alm"/>
    <x v="0"/>
    <x v="370"/>
    <x v="370"/>
    <n v="0.5"/>
    <s v="ADET"/>
    <n v="0"/>
    <n v="100"/>
    <n v="0"/>
    <n v="-90.5"/>
    <n v="0"/>
    <n v="0"/>
    <n v="13.5"/>
    <x v="14"/>
    <n v="6.75"/>
    <x v="2"/>
  </r>
  <r>
    <x v="10"/>
    <s v="Jan Urbanek"/>
    <x v="0"/>
    <x v="356"/>
    <x v="356"/>
    <n v="0.13"/>
    <s v="M3"/>
    <n v="0"/>
    <n v="0"/>
    <n v="4.5430000000000446"/>
    <n v="1.4260000000000002"/>
    <n v="0"/>
    <n v="27807.000000000004"/>
    <n v="19500"/>
    <x v="87"/>
    <n v="2535"/>
    <x v="8"/>
  </r>
  <r>
    <x v="9"/>
    <s v="Jan Urbanek"/>
    <x v="0"/>
    <x v="370"/>
    <x v="370"/>
    <n v="0.5"/>
    <s v="ADET"/>
    <n v="0"/>
    <n v="100"/>
    <n v="0"/>
    <n v="-90.5"/>
    <n v="0"/>
    <n v="0"/>
    <n v="13.5"/>
    <x v="14"/>
    <n v="6.75"/>
    <x v="2"/>
  </r>
  <r>
    <x v="8"/>
    <s v="Jan Urbanek"/>
    <x v="0"/>
    <x v="370"/>
    <x v="370"/>
    <n v="0.5"/>
    <s v="ADET"/>
    <n v="0"/>
    <n v="100"/>
    <n v="0"/>
    <n v="-90.5"/>
    <n v="0"/>
    <n v="0"/>
    <n v="13.5"/>
    <x v="14"/>
    <n v="6.75"/>
    <x v="2"/>
  </r>
  <r>
    <x v="11"/>
    <s v="Jan Urbanek"/>
    <x v="0"/>
    <x v="371"/>
    <x v="371"/>
    <n v="1"/>
    <s v="M2"/>
    <n v="0"/>
    <n v="0"/>
    <n v="67.08499999999998"/>
    <n v="15"/>
    <n v="0"/>
    <n v="9778.0499999999993"/>
    <n v="651.87"/>
    <x v="63"/>
    <n v="651.87"/>
    <x v="8"/>
  </r>
  <r>
    <x v="12"/>
    <s v="Matteo Giolo"/>
    <x v="0"/>
    <x v="437"/>
    <x v="437"/>
    <n v="1"/>
    <s v="ADET"/>
    <n v="0"/>
    <n v="12"/>
    <n v="8"/>
    <n v="0"/>
    <n v="0"/>
    <n v="0"/>
    <n v="401.17"/>
    <x v="97"/>
    <n v="401.17"/>
    <x v="7"/>
  </r>
  <r>
    <x v="11"/>
    <s v="Jan Urbanek"/>
    <x v="0"/>
    <x v="436"/>
    <x v="436"/>
    <n v="1"/>
    <s v="ADET"/>
    <n v="0"/>
    <n v="10"/>
    <n v="17"/>
    <n v="1"/>
    <n v="0"/>
    <n v="565.83000000000004"/>
    <n v="565.83000000000004"/>
    <x v="85"/>
    <n v="565.83000000000004"/>
    <x v="12"/>
  </r>
  <r>
    <x v="8"/>
    <s v="Jan Urbanek"/>
    <x v="0"/>
    <x v="414"/>
    <x v="414"/>
    <n v="2"/>
    <s v="ADET"/>
    <n v="0"/>
    <n v="14"/>
    <n v="19"/>
    <n v="-23"/>
    <n v="30"/>
    <n v="0"/>
    <n v="67.22"/>
    <x v="92"/>
    <n v="134.44"/>
    <x v="4"/>
  </r>
  <r>
    <x v="8"/>
    <s v="Jan Urbanek"/>
    <x v="0"/>
    <x v="371"/>
    <x v="371"/>
    <n v="1"/>
    <s v="M2"/>
    <n v="0"/>
    <n v="0"/>
    <n v="67.08499999999998"/>
    <n v="15"/>
    <n v="0"/>
    <n v="9778.0499999999993"/>
    <n v="651.87"/>
    <x v="63"/>
    <n v="651.87"/>
    <x v="8"/>
  </r>
  <r>
    <x v="3"/>
    <s v="Stina Alm"/>
    <x v="0"/>
    <x v="437"/>
    <x v="437"/>
    <n v="1"/>
    <s v="ADET"/>
    <n v="0"/>
    <n v="12"/>
    <n v="8"/>
    <n v="0"/>
    <n v="0"/>
    <n v="0"/>
    <n v="401.17"/>
    <x v="97"/>
    <n v="401.17"/>
    <x v="7"/>
  </r>
  <r>
    <x v="10"/>
    <s v="Jan Urbanek"/>
    <x v="0"/>
    <x v="436"/>
    <x v="436"/>
    <n v="1"/>
    <s v="ADET"/>
    <n v="0"/>
    <n v="10"/>
    <n v="17"/>
    <n v="1"/>
    <n v="0"/>
    <n v="565.83000000000004"/>
    <n v="565.83000000000004"/>
    <x v="85"/>
    <n v="565.83000000000004"/>
    <x v="12"/>
  </r>
  <r>
    <x v="11"/>
    <s v="Jan Urbanek"/>
    <x v="0"/>
    <x v="414"/>
    <x v="414"/>
    <n v="2"/>
    <s v="ADET"/>
    <n v="0"/>
    <n v="14"/>
    <n v="19"/>
    <n v="-23"/>
    <n v="30"/>
    <n v="0"/>
    <n v="67.22"/>
    <x v="92"/>
    <n v="134.44"/>
    <x v="4"/>
  </r>
  <r>
    <x v="17"/>
    <s v="Murat Taşdemir"/>
    <x v="0"/>
    <x v="371"/>
    <x v="371"/>
    <n v="1"/>
    <s v="M2"/>
    <n v="0"/>
    <n v="0"/>
    <n v="67.08499999999998"/>
    <n v="15"/>
    <n v="0"/>
    <n v="9778.0499999999993"/>
    <n v="651.87"/>
    <x v="63"/>
    <n v="651.87"/>
    <x v="8"/>
  </r>
  <r>
    <x v="15"/>
    <s v="Jan Urbanek"/>
    <x v="0"/>
    <x v="437"/>
    <x v="437"/>
    <n v="1"/>
    <s v="ADET"/>
    <n v="0"/>
    <n v="12"/>
    <n v="8"/>
    <n v="0"/>
    <n v="0"/>
    <n v="0"/>
    <n v="401.17"/>
    <x v="97"/>
    <n v="401.17"/>
    <x v="7"/>
  </r>
  <r>
    <x v="10"/>
    <s v="Jan Urbanek"/>
    <x v="0"/>
    <x v="437"/>
    <x v="437"/>
    <n v="1"/>
    <s v="ADET"/>
    <n v="0"/>
    <n v="12"/>
    <n v="8"/>
    <n v="0"/>
    <n v="0"/>
    <n v="0"/>
    <n v="401.17"/>
    <x v="97"/>
    <n v="401.17"/>
    <x v="7"/>
  </r>
  <r>
    <x v="18"/>
    <s v="Hayriye Güven"/>
    <x v="0"/>
    <x v="475"/>
    <x v="475"/>
    <n v="1"/>
    <s v="ADET"/>
    <n v="0"/>
    <n v="0"/>
    <n v="7"/>
    <n v="2"/>
    <n v="0"/>
    <n v="8001.48"/>
    <n v="4000.74"/>
    <x v="13"/>
    <n v="4000.74"/>
    <x v="7"/>
  </r>
  <r>
    <x v="15"/>
    <s v="Jan Urbanek"/>
    <x v="0"/>
    <x v="359"/>
    <x v="359"/>
    <n v="1"/>
    <s v="ADET"/>
    <n v="0"/>
    <n v="18"/>
    <n v="3"/>
    <n v="-1"/>
    <n v="0"/>
    <n v="0"/>
    <n v="4852.33"/>
    <x v="74"/>
    <n v="4852.33"/>
    <x v="6"/>
  </r>
  <r>
    <x v="15"/>
    <s v="Jan Urbanek"/>
    <x v="0"/>
    <x v="364"/>
    <x v="364"/>
    <n v="3"/>
    <s v="M2"/>
    <n v="0"/>
    <n v="0"/>
    <n v="0"/>
    <n v="24"/>
    <n v="0"/>
    <n v="14751.119999999999"/>
    <n v="614.63"/>
    <x v="56"/>
    <n v="1843.8899999999999"/>
    <x v="10"/>
  </r>
  <r>
    <x v="10"/>
    <s v="Jan Urbanek"/>
    <x v="0"/>
    <x v="360"/>
    <x v="360"/>
    <n v="50"/>
    <s v="METRE"/>
    <n v="0"/>
    <n v="0"/>
    <n v="57"/>
    <n v="350"/>
    <n v="0"/>
    <n v="3132.4999999999995"/>
    <n v="8.9499999999999993"/>
    <x v="63"/>
    <n v="447.49999999999994"/>
    <x v="8"/>
  </r>
  <r>
    <x v="10"/>
    <s v="Jan Urbanek"/>
    <x v="0"/>
    <x v="361"/>
    <x v="361"/>
    <n v="2"/>
    <s v="ADET"/>
    <n v="0"/>
    <n v="250"/>
    <n v="250"/>
    <n v="-236"/>
    <n v="0"/>
    <n v="0"/>
    <n v="1.07"/>
    <x v="15"/>
    <n v="2.14"/>
    <x v="7"/>
  </r>
  <r>
    <x v="8"/>
    <s v="Jan Urbanek"/>
    <x v="0"/>
    <x v="362"/>
    <x v="362"/>
    <n v="2"/>
    <s v="ADET"/>
    <n v="0"/>
    <n v="500"/>
    <n v="500"/>
    <n v="-486"/>
    <n v="0"/>
    <n v="0"/>
    <n v="0.55000000000000004"/>
    <x v="15"/>
    <n v="1.1000000000000001"/>
    <x v="7"/>
  </r>
  <r>
    <x v="9"/>
    <s v="Jan Urbanek"/>
    <x v="0"/>
    <x v="362"/>
    <x v="362"/>
    <n v="2"/>
    <s v="ADET"/>
    <n v="0"/>
    <n v="500"/>
    <n v="500"/>
    <n v="-486"/>
    <n v="0"/>
    <n v="0"/>
    <n v="0.55000000000000004"/>
    <x v="15"/>
    <n v="1.1000000000000001"/>
    <x v="7"/>
  </r>
  <r>
    <x v="15"/>
    <s v="Jan Urbanek"/>
    <x v="0"/>
    <x v="360"/>
    <x v="360"/>
    <n v="50"/>
    <s v="METRE"/>
    <n v="0"/>
    <n v="0"/>
    <n v="57"/>
    <n v="350"/>
    <n v="0"/>
    <n v="3132.4999999999995"/>
    <n v="8.9499999999999993"/>
    <x v="63"/>
    <n v="447.49999999999994"/>
    <x v="8"/>
  </r>
  <r>
    <x v="15"/>
    <s v="Jan Urbanek"/>
    <x v="0"/>
    <x v="361"/>
    <x v="361"/>
    <n v="2"/>
    <s v="ADET"/>
    <n v="0"/>
    <n v="250"/>
    <n v="250"/>
    <n v="-236"/>
    <n v="0"/>
    <n v="0"/>
    <n v="1.07"/>
    <x v="15"/>
    <n v="2.14"/>
    <x v="7"/>
  </r>
  <r>
    <x v="10"/>
    <s v="Jan Urbanek"/>
    <x v="0"/>
    <x v="375"/>
    <x v="375"/>
    <n v="1.5"/>
    <s v="KG"/>
    <n v="0"/>
    <n v="39"/>
    <n v="40.000000000000014"/>
    <n v="-18.5"/>
    <n v="0"/>
    <n v="0"/>
    <n v="212.93"/>
    <x v="56"/>
    <n v="319.39499999999998"/>
    <x v="8"/>
  </r>
  <r>
    <x v="9"/>
    <s v="Jan Urbanek"/>
    <x v="0"/>
    <x v="392"/>
    <x v="392"/>
    <n v="5.9"/>
    <s v="KG"/>
    <n v="0"/>
    <n v="0"/>
    <n v="297.39999999999998"/>
    <n v="94.40000000000002"/>
    <n v="0"/>
    <n v="21972.544000000005"/>
    <n v="232.76"/>
    <x v="3"/>
    <n v="1373.2840000000001"/>
    <x v="3"/>
  </r>
  <r>
    <x v="8"/>
    <s v="Jan Urbanek"/>
    <x v="0"/>
    <x v="392"/>
    <x v="392"/>
    <n v="5.9"/>
    <s v="KG"/>
    <n v="0"/>
    <n v="0"/>
    <n v="297.39999999999998"/>
    <n v="94.40000000000002"/>
    <n v="0"/>
    <n v="21972.544000000005"/>
    <n v="232.76"/>
    <x v="3"/>
    <n v="1373.2840000000001"/>
    <x v="3"/>
  </r>
  <r>
    <x v="10"/>
    <s v="Jan Urbanek"/>
    <x v="0"/>
    <x v="387"/>
    <x v="387"/>
    <n v="1"/>
    <s v="ADET"/>
    <n v="0"/>
    <n v="3"/>
    <n v="13"/>
    <n v="12"/>
    <n v="0"/>
    <n v="43576.08"/>
    <n v="3631.34"/>
    <x v="84"/>
    <n v="3631.34"/>
    <x v="6"/>
  </r>
  <r>
    <x v="11"/>
    <s v="Jan Urbanek"/>
    <x v="0"/>
    <x v="474"/>
    <x v="474"/>
    <n v="1"/>
    <s v="ADET"/>
    <n v="0"/>
    <n v="7"/>
    <n v="2"/>
    <n v="0"/>
    <n v="0"/>
    <n v="0"/>
    <n v="337.5"/>
    <x v="75"/>
    <n v="337.5"/>
    <x v="6"/>
  </r>
  <r>
    <x v="5"/>
    <s v="Matteo Giolo"/>
    <x v="0"/>
    <x v="392"/>
    <x v="392"/>
    <n v="5.9"/>
    <s v="KG"/>
    <n v="0"/>
    <n v="0"/>
    <n v="297.39999999999998"/>
    <n v="94.40000000000002"/>
    <n v="0"/>
    <n v="21972.544000000005"/>
    <n v="232.76"/>
    <x v="3"/>
    <n v="1373.2840000000001"/>
    <x v="3"/>
  </r>
  <r>
    <x v="5"/>
    <s v="Matteo Giolo"/>
    <x v="0"/>
    <x v="476"/>
    <x v="476"/>
    <n v="2"/>
    <s v="ADET"/>
    <n v="0"/>
    <n v="2"/>
    <n v="4"/>
    <n v="0"/>
    <n v="0"/>
    <n v="0"/>
    <n v="4864"/>
    <x v="84"/>
    <n v="9728"/>
    <x v="6"/>
  </r>
  <r>
    <x v="3"/>
    <s v="Stina Alm"/>
    <x v="0"/>
    <x v="387"/>
    <x v="387"/>
    <n v="2"/>
    <s v="ADET"/>
    <n v="0"/>
    <n v="3"/>
    <n v="13"/>
    <n v="12"/>
    <n v="0"/>
    <n v="43576.08"/>
    <n v="3631.34"/>
    <x v="84"/>
    <n v="7262.68"/>
    <x v="6"/>
  </r>
  <r>
    <x v="2"/>
    <s v="Laurent MONTAGNER"/>
    <x v="0"/>
    <x v="344"/>
    <x v="344"/>
    <n v="2"/>
    <s v="ADET"/>
    <n v="0"/>
    <n v="0"/>
    <n v="64"/>
    <n v="40"/>
    <n v="0"/>
    <n v="274.8"/>
    <n v="6.87"/>
    <x v="15"/>
    <n v="13.74"/>
    <x v="7"/>
  </r>
  <r>
    <x v="0"/>
    <s v="Soner Kayıkçı"/>
    <x v="0"/>
    <x v="344"/>
    <x v="344"/>
    <n v="2"/>
    <s v="ADET"/>
    <n v="0"/>
    <n v="0"/>
    <n v="64"/>
    <n v="40"/>
    <n v="0"/>
    <n v="274.8"/>
    <n v="6.87"/>
    <x v="15"/>
    <n v="13.74"/>
    <x v="7"/>
  </r>
  <r>
    <x v="6"/>
    <s v="Laurent MONTAGNER"/>
    <x v="0"/>
    <x v="345"/>
    <x v="345"/>
    <n v="65"/>
    <s v="ADET"/>
    <n v="0"/>
    <n v="5000"/>
    <n v="0"/>
    <n v="-3820"/>
    <n v="0"/>
    <n v="0"/>
    <n v="0.6"/>
    <x v="14"/>
    <n v="39"/>
    <x v="2"/>
  </r>
  <r>
    <x v="0"/>
    <s v="Soner Kayıkçı"/>
    <x v="0"/>
    <x v="345"/>
    <x v="345"/>
    <n v="60"/>
    <s v="ADET"/>
    <n v="0"/>
    <n v="5000"/>
    <n v="0"/>
    <n v="-3820"/>
    <n v="0"/>
    <n v="0"/>
    <n v="0.6"/>
    <x v="14"/>
    <n v="36"/>
    <x v="2"/>
  </r>
  <r>
    <x v="1"/>
    <s v="Stina Alm"/>
    <x v="0"/>
    <x v="345"/>
    <x v="345"/>
    <n v="65"/>
    <s v="ADET"/>
    <n v="0"/>
    <n v="5000"/>
    <n v="0"/>
    <n v="-3820"/>
    <n v="0"/>
    <n v="0"/>
    <n v="0.6"/>
    <x v="14"/>
    <n v="39"/>
    <x v="2"/>
  </r>
  <r>
    <x v="5"/>
    <s v="Matteo Giolo"/>
    <x v="0"/>
    <x v="463"/>
    <x v="463"/>
    <n v="1"/>
    <s v="ADET"/>
    <n v="0"/>
    <n v="14"/>
    <n v="9"/>
    <n v="-3"/>
    <n v="0"/>
    <n v="0"/>
    <n v="1020"/>
    <x v="53"/>
    <n v="1020"/>
    <x v="4"/>
  </r>
  <r>
    <x v="7"/>
    <s v="Laurent MONTAGNER"/>
    <x v="0"/>
    <x v="477"/>
    <x v="477"/>
    <n v="18"/>
    <s v="ADET"/>
    <n v="0"/>
    <n v="564"/>
    <n v="98"/>
    <n v="-250"/>
    <n v="0"/>
    <n v="0"/>
    <n v="6.67"/>
    <x v="102"/>
    <n v="120.06"/>
    <x v="7"/>
  </r>
  <r>
    <x v="4"/>
    <s v="Stefan Zaugg"/>
    <x v="0"/>
    <x v="477"/>
    <x v="477"/>
    <n v="22"/>
    <s v="ADET"/>
    <n v="0"/>
    <n v="564"/>
    <n v="98"/>
    <n v="-250"/>
    <n v="0"/>
    <n v="0"/>
    <n v="6.67"/>
    <x v="102"/>
    <n v="146.74"/>
    <x v="7"/>
  </r>
  <r>
    <x v="5"/>
    <s v="Matteo Giolo"/>
    <x v="0"/>
    <x v="477"/>
    <x v="477"/>
    <n v="20"/>
    <s v="ADET"/>
    <n v="0"/>
    <n v="564"/>
    <n v="98"/>
    <n v="-250"/>
    <n v="0"/>
    <n v="0"/>
    <n v="6.67"/>
    <x v="102"/>
    <n v="133.4"/>
    <x v="7"/>
  </r>
  <r>
    <x v="1"/>
    <s v="Stina Alm"/>
    <x v="0"/>
    <x v="398"/>
    <x v="398"/>
    <n v="2"/>
    <s v="ADET"/>
    <n v="0"/>
    <n v="0"/>
    <n v="10"/>
    <n v="24"/>
    <n v="0"/>
    <n v="1358.4"/>
    <n v="56.6"/>
    <x v="74"/>
    <n v="113.2"/>
    <x v="6"/>
  </r>
  <r>
    <x v="8"/>
    <s v="Jan Urbanek"/>
    <x v="0"/>
    <x v="439"/>
    <x v="439"/>
    <n v="4"/>
    <s v="ADET"/>
    <n v="0"/>
    <n v="0"/>
    <n v="0"/>
    <n v="24"/>
    <n v="0"/>
    <n v="21.12"/>
    <n v="0.88"/>
    <x v="49"/>
    <n v="3.52"/>
    <x v="7"/>
  </r>
  <r>
    <x v="9"/>
    <s v="Jan Urbanek"/>
    <x v="0"/>
    <x v="439"/>
    <x v="439"/>
    <n v="2"/>
    <s v="ADET"/>
    <n v="0"/>
    <n v="0"/>
    <n v="0"/>
    <n v="24"/>
    <n v="0"/>
    <n v="21.12"/>
    <n v="0.88"/>
    <x v="49"/>
    <n v="1.76"/>
    <x v="7"/>
  </r>
  <r>
    <x v="8"/>
    <s v="Jan Urbanek"/>
    <x v="0"/>
    <x v="396"/>
    <x v="396"/>
    <n v="1"/>
    <s v="ADET"/>
    <n v="0"/>
    <n v="2"/>
    <n v="7"/>
    <n v="10"/>
    <n v="0"/>
    <n v="121389.3"/>
    <n v="12138.93"/>
    <x v="24"/>
    <n v="12138.93"/>
    <x v="6"/>
  </r>
  <r>
    <x v="9"/>
    <s v="Jan Urbanek"/>
    <x v="0"/>
    <x v="396"/>
    <x v="396"/>
    <n v="1"/>
    <s v="ADET"/>
    <n v="0"/>
    <n v="2"/>
    <n v="7"/>
    <n v="10"/>
    <n v="0"/>
    <n v="121389.3"/>
    <n v="12138.93"/>
    <x v="24"/>
    <n v="12138.93"/>
    <x v="6"/>
  </r>
  <r>
    <x v="13"/>
    <s v="Matteo Giolo"/>
    <x v="0"/>
    <x v="461"/>
    <x v="461"/>
    <n v="16"/>
    <s v="METRE"/>
    <n v="0"/>
    <n v="100"/>
    <n v="84"/>
    <n v="-32"/>
    <n v="0"/>
    <n v="0"/>
    <n v="14.85"/>
    <x v="15"/>
    <n v="237.6"/>
    <x v="7"/>
  </r>
  <r>
    <x v="19"/>
    <s v="Volkan Batkan"/>
    <x v="0"/>
    <x v="464"/>
    <x v="464"/>
    <n v="0.2"/>
    <s v="METRE"/>
    <n v="0"/>
    <n v="200"/>
    <n v="85.649999999999977"/>
    <n v="-196.4"/>
    <n v="0"/>
    <n v="0"/>
    <n v="3.62"/>
    <x v="15"/>
    <n v="0.72400000000000009"/>
    <x v="7"/>
  </r>
  <r>
    <x v="15"/>
    <s v="Jan Urbanek"/>
    <x v="0"/>
    <x v="464"/>
    <x v="464"/>
    <n v="0.2"/>
    <s v="METRE"/>
    <n v="0"/>
    <n v="200"/>
    <n v="85.649999999999977"/>
    <n v="-196.4"/>
    <n v="0"/>
    <n v="0"/>
    <n v="3.62"/>
    <x v="15"/>
    <n v="0.72400000000000009"/>
    <x v="7"/>
  </r>
  <r>
    <x v="14"/>
    <s v="Stefan Zaugg"/>
    <x v="0"/>
    <x v="464"/>
    <x v="464"/>
    <n v="0.2"/>
    <s v="METRE"/>
    <n v="0"/>
    <n v="200"/>
    <n v="85.649999999999977"/>
    <n v="-196.4"/>
    <n v="0"/>
    <n v="0"/>
    <n v="3.62"/>
    <x v="15"/>
    <n v="0.72400000000000009"/>
    <x v="7"/>
  </r>
  <r>
    <x v="13"/>
    <s v="Matteo Giolo"/>
    <x v="0"/>
    <x v="464"/>
    <x v="464"/>
    <n v="0.2"/>
    <s v="METRE"/>
    <n v="0"/>
    <n v="200"/>
    <n v="85.649999999999977"/>
    <n v="-196.4"/>
    <n v="0"/>
    <n v="0"/>
    <n v="3.62"/>
    <x v="15"/>
    <n v="0.72400000000000009"/>
    <x v="7"/>
  </r>
  <r>
    <x v="15"/>
    <s v="Jan Urbanek"/>
    <x v="0"/>
    <x v="462"/>
    <x v="462"/>
    <n v="1"/>
    <s v="ADET"/>
    <n v="0"/>
    <n v="10"/>
    <n v="16"/>
    <n v="2"/>
    <n v="0"/>
    <n v="233.34"/>
    <n v="116.67"/>
    <x v="85"/>
    <n v="116.67"/>
    <x v="6"/>
  </r>
  <r>
    <x v="13"/>
    <s v="Matteo Giolo"/>
    <x v="0"/>
    <x v="462"/>
    <x v="462"/>
    <n v="1"/>
    <s v="ADET"/>
    <n v="0"/>
    <n v="10"/>
    <n v="16"/>
    <n v="2"/>
    <n v="0"/>
    <n v="233.34"/>
    <n v="116.67"/>
    <x v="85"/>
    <n v="116.67"/>
    <x v="6"/>
  </r>
  <r>
    <x v="13"/>
    <s v="Matteo Giolo"/>
    <x v="0"/>
    <x v="477"/>
    <x v="477"/>
    <n v="14"/>
    <s v="ADET"/>
    <n v="0"/>
    <n v="564"/>
    <n v="98"/>
    <n v="-250"/>
    <n v="0"/>
    <n v="0"/>
    <n v="6.67"/>
    <x v="102"/>
    <n v="93.38"/>
    <x v="7"/>
  </r>
  <r>
    <x v="11"/>
    <s v="Jan Urbanek"/>
    <x v="0"/>
    <x v="460"/>
    <x v="460"/>
    <n v="2"/>
    <s v="ADET"/>
    <n v="0"/>
    <n v="5"/>
    <n v="10"/>
    <n v="11"/>
    <n v="0"/>
    <n v="832.04"/>
    <n v="75.64"/>
    <x v="74"/>
    <n v="151.28"/>
    <x v="6"/>
  </r>
  <r>
    <x v="10"/>
    <s v="Jan Urbanek"/>
    <x v="0"/>
    <x v="397"/>
    <x v="397"/>
    <n v="16"/>
    <s v="KG"/>
    <n v="0"/>
    <n v="0"/>
    <n v="62.999999999999986"/>
    <n v="196"/>
    <n v="0"/>
    <n v="215186.44000000003"/>
    <n v="1097.8900000000001"/>
    <x v="81"/>
    <n v="17566.240000000002"/>
    <x v="3"/>
  </r>
  <r>
    <x v="8"/>
    <s v="Jan Urbanek"/>
    <x v="0"/>
    <x v="397"/>
    <x v="397"/>
    <n v="16"/>
    <s v="KG"/>
    <n v="0"/>
    <n v="0"/>
    <n v="62.999999999999986"/>
    <n v="196"/>
    <n v="0"/>
    <n v="215186.44000000003"/>
    <n v="1097.8900000000001"/>
    <x v="81"/>
    <n v="17566.240000000002"/>
    <x v="3"/>
  </r>
  <r>
    <x v="11"/>
    <s v="Jan Urbanek"/>
    <x v="0"/>
    <x v="464"/>
    <x v="464"/>
    <n v="0.2"/>
    <s v="METRE"/>
    <n v="0"/>
    <n v="200"/>
    <n v="85.649999999999977"/>
    <n v="-196.4"/>
    <n v="0"/>
    <n v="0"/>
    <n v="3.62"/>
    <x v="15"/>
    <n v="0.72400000000000009"/>
    <x v="7"/>
  </r>
  <r>
    <x v="5"/>
    <s v="Matteo Giolo"/>
    <x v="0"/>
    <x v="397"/>
    <x v="397"/>
    <n v="18"/>
    <s v="KG"/>
    <n v="0"/>
    <n v="0"/>
    <n v="62.999999999999986"/>
    <n v="196"/>
    <n v="0"/>
    <n v="215186.44000000003"/>
    <n v="1097.8900000000001"/>
    <x v="81"/>
    <n v="19762.02"/>
    <x v="3"/>
  </r>
  <r>
    <x v="4"/>
    <s v="Stefan Zaugg"/>
    <x v="0"/>
    <x v="397"/>
    <x v="397"/>
    <n v="14"/>
    <s v="KG"/>
    <n v="0"/>
    <n v="0"/>
    <n v="62.999999999999986"/>
    <n v="196"/>
    <n v="0"/>
    <n v="215186.44000000003"/>
    <n v="1097.8900000000001"/>
    <x v="81"/>
    <n v="15370.460000000001"/>
    <x v="3"/>
  </r>
  <r>
    <x v="5"/>
    <s v="Matteo Giolo"/>
    <x v="0"/>
    <x v="461"/>
    <x v="461"/>
    <n v="4"/>
    <s v="METRE"/>
    <n v="0"/>
    <n v="100"/>
    <n v="84"/>
    <n v="-32"/>
    <n v="0"/>
    <n v="0"/>
    <n v="14.85"/>
    <x v="15"/>
    <n v="59.4"/>
    <x v="7"/>
  </r>
  <r>
    <x v="4"/>
    <s v="Stefan Zaugg"/>
    <x v="0"/>
    <x v="464"/>
    <x v="464"/>
    <n v="0.2"/>
    <s v="METRE"/>
    <n v="0"/>
    <n v="200"/>
    <n v="85.649999999999977"/>
    <n v="-196.4"/>
    <n v="0"/>
    <n v="0"/>
    <n v="3.62"/>
    <x v="15"/>
    <n v="0.72400000000000009"/>
    <x v="7"/>
  </r>
  <r>
    <x v="3"/>
    <s v="Stina Alm"/>
    <x v="0"/>
    <x v="464"/>
    <x v="464"/>
    <n v="0.2"/>
    <s v="METRE"/>
    <n v="0"/>
    <n v="200"/>
    <n v="85.649999999999977"/>
    <n v="-196.4"/>
    <n v="0"/>
    <n v="0"/>
    <n v="3.62"/>
    <x v="15"/>
    <n v="0.72400000000000009"/>
    <x v="7"/>
  </r>
  <r>
    <x v="5"/>
    <s v="Matteo Giolo"/>
    <x v="0"/>
    <x v="462"/>
    <x v="462"/>
    <n v="1"/>
    <s v="ADET"/>
    <n v="0"/>
    <n v="10"/>
    <n v="16"/>
    <n v="2"/>
    <n v="0"/>
    <n v="233.34"/>
    <n v="116.67"/>
    <x v="85"/>
    <n v="116.67"/>
    <x v="6"/>
  </r>
  <r>
    <x v="3"/>
    <s v="Stina Alm"/>
    <x v="0"/>
    <x v="463"/>
    <x v="463"/>
    <n v="1"/>
    <s v="ADET"/>
    <n v="0"/>
    <n v="14"/>
    <n v="9"/>
    <n v="-3"/>
    <n v="0"/>
    <n v="0"/>
    <n v="1020"/>
    <x v="53"/>
    <n v="1020"/>
    <x v="4"/>
  </r>
  <r>
    <x v="3"/>
    <s v="Stina Alm"/>
    <x v="0"/>
    <x v="477"/>
    <x v="477"/>
    <n v="10"/>
    <s v="ADET"/>
    <n v="0"/>
    <n v="564"/>
    <n v="98"/>
    <n v="-250"/>
    <n v="0"/>
    <n v="0"/>
    <n v="6.67"/>
    <x v="102"/>
    <n v="66.7"/>
    <x v="7"/>
  </r>
  <r>
    <x v="6"/>
    <s v="Laurent MONTAGNER"/>
    <x v="0"/>
    <x v="398"/>
    <x v="398"/>
    <n v="2"/>
    <s v="ADET"/>
    <n v="0"/>
    <n v="0"/>
    <n v="10"/>
    <n v="24"/>
    <n v="0"/>
    <n v="1358.4"/>
    <n v="56.6"/>
    <x v="74"/>
    <n v="113.2"/>
    <x v="6"/>
  </r>
  <r>
    <x v="6"/>
    <s v="Laurent MONTAGNER"/>
    <x v="0"/>
    <x v="394"/>
    <x v="394"/>
    <n v="35"/>
    <s v="ADET"/>
    <n v="0"/>
    <n v="442"/>
    <n v="0"/>
    <n v="-64"/>
    <n v="0"/>
    <n v="0"/>
    <n v="9.35"/>
    <x v="8"/>
    <n v="327.25"/>
    <x v="2"/>
  </r>
  <r>
    <x v="1"/>
    <s v="Stina Alm"/>
    <x v="0"/>
    <x v="394"/>
    <x v="394"/>
    <n v="35"/>
    <s v="ADET"/>
    <n v="0"/>
    <n v="442"/>
    <n v="0"/>
    <n v="-64"/>
    <n v="0"/>
    <n v="0"/>
    <n v="9.35"/>
    <x v="8"/>
    <n v="327.25"/>
    <x v="2"/>
  </r>
  <r>
    <x v="0"/>
    <s v="Soner Kayıkçı"/>
    <x v="0"/>
    <x v="399"/>
    <x v="399"/>
    <n v="2"/>
    <s v="ADET"/>
    <n v="0"/>
    <n v="27"/>
    <n v="16"/>
    <n v="-3"/>
    <n v="0"/>
    <n v="0"/>
    <n v="66.23"/>
    <x v="13"/>
    <n v="132.46"/>
    <x v="7"/>
  </r>
  <r>
    <x v="1"/>
    <s v="Stina Alm"/>
    <x v="0"/>
    <x v="399"/>
    <x v="399"/>
    <n v="2"/>
    <s v="ADET"/>
    <n v="0"/>
    <n v="27"/>
    <n v="16"/>
    <n v="-3"/>
    <n v="0"/>
    <n v="0"/>
    <n v="66.23"/>
    <x v="13"/>
    <n v="132.46"/>
    <x v="7"/>
  </r>
  <r>
    <x v="1"/>
    <s v="Stina Alm"/>
    <x v="0"/>
    <x v="395"/>
    <x v="395"/>
    <n v="0.6"/>
    <s v="M2"/>
    <n v="0"/>
    <n v="0"/>
    <n v="30.76"/>
    <n v="4.4400000000000004"/>
    <n v="0"/>
    <n v="7762.0524000000005"/>
    <n v="1748.21"/>
    <x v="63"/>
    <n v="1048.9259999999999"/>
    <x v="8"/>
  </r>
  <r>
    <x v="0"/>
    <s v="Soner Kayıkçı"/>
    <x v="0"/>
    <x v="439"/>
    <x v="439"/>
    <n v="2"/>
    <s v="ADET"/>
    <n v="0"/>
    <n v="0"/>
    <n v="0"/>
    <n v="24"/>
    <n v="0"/>
    <n v="21.12"/>
    <n v="0.88"/>
    <x v="49"/>
    <n v="1.76"/>
    <x v="7"/>
  </r>
  <r>
    <x v="0"/>
    <s v="Soner Kayıkçı"/>
    <x v="0"/>
    <x v="396"/>
    <x v="396"/>
    <n v="1"/>
    <s v="ADET"/>
    <n v="0"/>
    <n v="2"/>
    <n v="7"/>
    <n v="10"/>
    <n v="0"/>
    <n v="121389.3"/>
    <n v="12138.93"/>
    <x v="24"/>
    <n v="12138.93"/>
    <x v="6"/>
  </r>
  <r>
    <x v="18"/>
    <s v="Hayriye Güven"/>
    <x v="0"/>
    <x v="396"/>
    <x v="396"/>
    <n v="1"/>
    <s v="ADET"/>
    <n v="0"/>
    <n v="2"/>
    <n v="7"/>
    <n v="10"/>
    <n v="0"/>
    <n v="121389.3"/>
    <n v="12138.93"/>
    <x v="24"/>
    <n v="12138.93"/>
    <x v="6"/>
  </r>
  <r>
    <x v="15"/>
    <s v="Jan Urbanek"/>
    <x v="0"/>
    <x v="460"/>
    <x v="460"/>
    <n v="2"/>
    <s v="ADET"/>
    <n v="0"/>
    <n v="5"/>
    <n v="10"/>
    <n v="11"/>
    <n v="0"/>
    <n v="832.04"/>
    <n v="75.64"/>
    <x v="74"/>
    <n v="151.28"/>
    <x v="6"/>
  </r>
  <r>
    <x v="12"/>
    <s v="Matteo Giolo"/>
    <x v="0"/>
    <x v="398"/>
    <x v="398"/>
    <n v="2"/>
    <s v="ADET"/>
    <n v="0"/>
    <n v="0"/>
    <n v="10"/>
    <n v="24"/>
    <n v="0"/>
    <n v="1358.4"/>
    <n v="56.6"/>
    <x v="74"/>
    <n v="113.2"/>
    <x v="6"/>
  </r>
  <r>
    <x v="12"/>
    <s v="Matteo Giolo"/>
    <x v="0"/>
    <x v="394"/>
    <x v="394"/>
    <n v="16"/>
    <s v="ADET"/>
    <n v="0"/>
    <n v="442"/>
    <n v="0"/>
    <n v="-64"/>
    <n v="0"/>
    <n v="0"/>
    <n v="9.35"/>
    <x v="8"/>
    <n v="149.6"/>
    <x v="2"/>
  </r>
  <r>
    <x v="12"/>
    <s v="Matteo Giolo"/>
    <x v="0"/>
    <x v="399"/>
    <x v="399"/>
    <n v="2"/>
    <s v="ADET"/>
    <n v="0"/>
    <n v="27"/>
    <n v="16"/>
    <n v="-3"/>
    <n v="0"/>
    <n v="0"/>
    <n v="66.23"/>
    <x v="13"/>
    <n v="132.46"/>
    <x v="7"/>
  </r>
  <r>
    <x v="5"/>
    <s v="Matteo Giolo"/>
    <x v="0"/>
    <x v="396"/>
    <x v="396"/>
    <n v="1"/>
    <s v="ADET"/>
    <n v="0"/>
    <n v="2"/>
    <n v="7"/>
    <n v="10"/>
    <n v="0"/>
    <n v="121389.3"/>
    <n v="12138.93"/>
    <x v="24"/>
    <n v="12138.93"/>
    <x v="6"/>
  </r>
  <r>
    <x v="11"/>
    <s v="Jan Urbanek"/>
    <x v="0"/>
    <x v="470"/>
    <x v="470"/>
    <n v="2"/>
    <s v="ADET"/>
    <n v="0"/>
    <n v="500"/>
    <n v="500"/>
    <n v="-486"/>
    <n v="0"/>
    <n v="0"/>
    <n v="0.65"/>
    <x v="15"/>
    <n v="1.3"/>
    <x v="7"/>
  </r>
  <r>
    <x v="11"/>
    <s v="Jan Urbanek"/>
    <x v="0"/>
    <x v="471"/>
    <x v="471"/>
    <n v="2"/>
    <s v="ADET"/>
    <n v="0"/>
    <n v="500"/>
    <n v="500"/>
    <n v="-486"/>
    <n v="0"/>
    <n v="0"/>
    <n v="0.39"/>
    <x v="15"/>
    <n v="0.78"/>
    <x v="7"/>
  </r>
  <r>
    <x v="10"/>
    <s v="Jan Urbanek"/>
    <x v="0"/>
    <x v="478"/>
    <x v="478"/>
    <n v="1"/>
    <s v="ADET"/>
    <n v="0"/>
    <n v="8"/>
    <n v="4"/>
    <n v="-1"/>
    <n v="0"/>
    <n v="0"/>
    <n v="1723.79"/>
    <x v="74"/>
    <n v="1723.79"/>
    <x v="4"/>
  </r>
  <r>
    <x v="10"/>
    <s v="Jan Urbanek"/>
    <x v="0"/>
    <x v="318"/>
    <x v="318"/>
    <n v="1"/>
    <s v="ADET"/>
    <n v="0"/>
    <n v="7"/>
    <n v="10"/>
    <n v="4"/>
    <n v="0"/>
    <n v="1950.24"/>
    <n v="487.56"/>
    <x v="34"/>
    <n v="487.56"/>
    <x v="6"/>
  </r>
  <r>
    <x v="9"/>
    <s v="Jan Urbanek"/>
    <x v="0"/>
    <x v="318"/>
    <x v="318"/>
    <n v="1"/>
    <s v="ADET"/>
    <n v="0"/>
    <n v="7"/>
    <n v="10"/>
    <n v="4"/>
    <n v="0"/>
    <n v="1950.24"/>
    <n v="487.56"/>
    <x v="34"/>
    <n v="487.56"/>
    <x v="6"/>
  </r>
  <r>
    <x v="8"/>
    <s v="Jan Urbanek"/>
    <x v="0"/>
    <x v="318"/>
    <x v="318"/>
    <n v="1"/>
    <s v="ADET"/>
    <n v="0"/>
    <n v="7"/>
    <n v="10"/>
    <n v="4"/>
    <n v="0"/>
    <n v="1950.24"/>
    <n v="487.56"/>
    <x v="34"/>
    <n v="487.56"/>
    <x v="6"/>
  </r>
  <r>
    <x v="7"/>
    <s v="Laurent MONTAGNER"/>
    <x v="0"/>
    <x v="382"/>
    <x v="382"/>
    <n v="4"/>
    <s v="ADET"/>
    <n v="0"/>
    <n v="1000"/>
    <n v="1222"/>
    <n v="-903"/>
    <n v="0"/>
    <n v="0"/>
    <n v="1.1399999999999999"/>
    <x v="8"/>
    <n v="4.5599999999999996"/>
    <x v="2"/>
  </r>
  <r>
    <x v="3"/>
    <s v="Stina Alm"/>
    <x v="0"/>
    <x v="382"/>
    <x v="382"/>
    <n v="4"/>
    <s v="ADET"/>
    <n v="0"/>
    <n v="1000"/>
    <n v="1222"/>
    <n v="-903"/>
    <n v="0"/>
    <n v="0"/>
    <n v="1.1399999999999999"/>
    <x v="8"/>
    <n v="4.5599999999999996"/>
    <x v="2"/>
  </r>
  <r>
    <x v="12"/>
    <s v="Matteo Giolo"/>
    <x v="0"/>
    <x v="380"/>
    <x v="380"/>
    <n v="1"/>
    <s v="ADET"/>
    <n v="0"/>
    <n v="9"/>
    <n v="8"/>
    <n v="-12"/>
    <n v="15"/>
    <n v="0"/>
    <n v="776.15"/>
    <x v="89"/>
    <n v="776.15"/>
    <x v="7"/>
  </r>
  <r>
    <x v="0"/>
    <s v="Soner Kayıkçı"/>
    <x v="0"/>
    <x v="382"/>
    <x v="382"/>
    <n v="7"/>
    <s v="ADET"/>
    <n v="0"/>
    <n v="1000"/>
    <n v="1222"/>
    <n v="-903"/>
    <n v="0"/>
    <n v="0"/>
    <n v="1.1399999999999999"/>
    <x v="8"/>
    <n v="7.9799999999999995"/>
    <x v="2"/>
  </r>
  <r>
    <x v="0"/>
    <s v="Soner Kayıkçı"/>
    <x v="0"/>
    <x v="458"/>
    <x v="458"/>
    <n v="2"/>
    <s v="ADET"/>
    <n v="0"/>
    <n v="1"/>
    <n v="14"/>
    <n v="25"/>
    <n v="0"/>
    <n v="11103.25"/>
    <n v="444.13"/>
    <x v="67"/>
    <n v="888.26"/>
    <x v="6"/>
  </r>
  <r>
    <x v="2"/>
    <s v="Laurent MONTAGNER"/>
    <x v="0"/>
    <x v="458"/>
    <x v="458"/>
    <n v="2"/>
    <s v="ADET"/>
    <n v="0"/>
    <n v="1"/>
    <n v="14"/>
    <n v="25"/>
    <n v="0"/>
    <n v="11103.25"/>
    <n v="444.13"/>
    <x v="67"/>
    <n v="888.26"/>
    <x v="6"/>
  </r>
  <r>
    <x v="9"/>
    <s v="Jan Urbanek"/>
    <x v="0"/>
    <x v="382"/>
    <x v="382"/>
    <n v="7"/>
    <s v="ADET"/>
    <n v="0"/>
    <n v="1000"/>
    <n v="1222"/>
    <n v="-903"/>
    <n v="0"/>
    <n v="0"/>
    <n v="1.1399999999999999"/>
    <x v="8"/>
    <n v="7.9799999999999995"/>
    <x v="2"/>
  </r>
  <r>
    <x v="8"/>
    <s v="Jan Urbanek"/>
    <x v="0"/>
    <x v="382"/>
    <x v="382"/>
    <n v="7"/>
    <s v="ADET"/>
    <n v="0"/>
    <n v="1000"/>
    <n v="1222"/>
    <n v="-903"/>
    <n v="0"/>
    <n v="0"/>
    <n v="1.1399999999999999"/>
    <x v="8"/>
    <n v="7.9799999999999995"/>
    <x v="2"/>
  </r>
  <r>
    <x v="10"/>
    <s v="Jan Urbanek"/>
    <x v="0"/>
    <x v="458"/>
    <x v="458"/>
    <n v="2"/>
    <s v="ADET"/>
    <n v="0"/>
    <n v="1"/>
    <n v="14"/>
    <n v="25"/>
    <n v="0"/>
    <n v="11103.25"/>
    <n v="444.13"/>
    <x v="67"/>
    <n v="888.26"/>
    <x v="6"/>
  </r>
  <r>
    <x v="4"/>
    <s v="Stefan Zaugg"/>
    <x v="0"/>
    <x v="478"/>
    <x v="478"/>
    <n v="1"/>
    <s v="ADET"/>
    <n v="0"/>
    <n v="8"/>
    <n v="4"/>
    <n v="-1"/>
    <n v="0"/>
    <n v="0"/>
    <n v="1723.79"/>
    <x v="74"/>
    <n v="1723.79"/>
    <x v="4"/>
  </r>
  <r>
    <x v="11"/>
    <s v="Jan Urbanek"/>
    <x v="0"/>
    <x v="380"/>
    <x v="380"/>
    <n v="1"/>
    <s v="ADET"/>
    <n v="0"/>
    <n v="9"/>
    <n v="8"/>
    <n v="-12"/>
    <n v="15"/>
    <n v="0"/>
    <n v="776.15"/>
    <x v="89"/>
    <n v="776.15"/>
    <x v="7"/>
  </r>
  <r>
    <x v="10"/>
    <s v="Jan Urbanek"/>
    <x v="0"/>
    <x v="470"/>
    <x v="470"/>
    <n v="2"/>
    <s v="ADET"/>
    <n v="0"/>
    <n v="500"/>
    <n v="500"/>
    <n v="-486"/>
    <n v="0"/>
    <n v="0"/>
    <n v="0.65"/>
    <x v="15"/>
    <n v="1.3"/>
    <x v="7"/>
  </r>
  <r>
    <x v="1"/>
    <s v="Stina Alm"/>
    <x v="0"/>
    <x v="458"/>
    <x v="458"/>
    <n v="2"/>
    <s v="ADET"/>
    <n v="0"/>
    <n v="1"/>
    <n v="14"/>
    <n v="25"/>
    <n v="0"/>
    <n v="11103.25"/>
    <n v="444.13"/>
    <x v="67"/>
    <n v="888.26"/>
    <x v="6"/>
  </r>
  <r>
    <x v="8"/>
    <s v="Jan Urbanek"/>
    <x v="0"/>
    <x v="378"/>
    <x v="378"/>
    <n v="1"/>
    <s v="ADET"/>
    <n v="0"/>
    <n v="5"/>
    <n v="4"/>
    <n v="2"/>
    <n v="0"/>
    <n v="3447.58"/>
    <n v="1723.79"/>
    <x v="74"/>
    <n v="1723.79"/>
    <x v="4"/>
  </r>
  <r>
    <x v="11"/>
    <s v="Jan Urbanek"/>
    <x v="0"/>
    <x v="382"/>
    <x v="382"/>
    <n v="7"/>
    <s v="ADET"/>
    <n v="0"/>
    <n v="1000"/>
    <n v="1222"/>
    <n v="-903"/>
    <n v="0"/>
    <n v="0"/>
    <n v="1.1399999999999999"/>
    <x v="8"/>
    <n v="7.9799999999999995"/>
    <x v="2"/>
  </r>
  <r>
    <x v="12"/>
    <s v="Matteo Giolo"/>
    <x v="0"/>
    <x v="478"/>
    <x v="478"/>
    <n v="1"/>
    <s v="ADET"/>
    <n v="0"/>
    <n v="8"/>
    <n v="4"/>
    <n v="-1"/>
    <n v="0"/>
    <n v="0"/>
    <n v="1723.79"/>
    <x v="74"/>
    <n v="1723.79"/>
    <x v="4"/>
  </r>
  <r>
    <x v="8"/>
    <s v="Jan Urbanek"/>
    <x v="0"/>
    <x v="379"/>
    <x v="379"/>
    <n v="1"/>
    <s v="ADET"/>
    <n v="0"/>
    <n v="1"/>
    <n v="4"/>
    <n v="13"/>
    <n v="0"/>
    <n v="168880.14"/>
    <n v="12990.78"/>
    <x v="67"/>
    <n v="12990.78"/>
    <x v="6"/>
  </r>
  <r>
    <x v="8"/>
    <s v="Jan Urbanek"/>
    <x v="0"/>
    <x v="380"/>
    <x v="380"/>
    <n v="1"/>
    <s v="ADET"/>
    <n v="0"/>
    <n v="9"/>
    <n v="8"/>
    <n v="-12"/>
    <n v="15"/>
    <n v="0"/>
    <n v="776.15"/>
    <x v="89"/>
    <n v="776.15"/>
    <x v="7"/>
  </r>
  <r>
    <x v="9"/>
    <s v="Jan Urbanek"/>
    <x v="0"/>
    <x v="380"/>
    <x v="380"/>
    <n v="1"/>
    <s v="ADET"/>
    <n v="0"/>
    <n v="9"/>
    <n v="8"/>
    <n v="-12"/>
    <n v="15"/>
    <n v="0"/>
    <n v="776.15"/>
    <x v="89"/>
    <n v="776.15"/>
    <x v="7"/>
  </r>
  <r>
    <x v="9"/>
    <s v="Jan Urbanek"/>
    <x v="0"/>
    <x v="471"/>
    <x v="471"/>
    <n v="2"/>
    <s v="ADET"/>
    <n v="0"/>
    <n v="500"/>
    <n v="500"/>
    <n v="-486"/>
    <n v="0"/>
    <n v="0"/>
    <n v="0.39"/>
    <x v="15"/>
    <n v="0.78"/>
    <x v="7"/>
  </r>
  <r>
    <x v="16"/>
    <s v="Stefan Zaugg"/>
    <x v="0"/>
    <x v="381"/>
    <x v="381"/>
    <n v="1"/>
    <s v="ADET"/>
    <n v="0"/>
    <n v="2"/>
    <n v="3.5527136788005009E-15"/>
    <n v="1"/>
    <n v="0"/>
    <n v="155"/>
    <n v="155"/>
    <x v="90"/>
    <n v="155"/>
    <x v="2"/>
  </r>
  <r>
    <x v="15"/>
    <s v="Jan Urbanek"/>
    <x v="0"/>
    <x v="350"/>
    <x v="350"/>
    <n v="2"/>
    <s v="ADET"/>
    <n v="0"/>
    <n v="1000"/>
    <n v="1000"/>
    <n v="-986"/>
    <n v="0"/>
    <n v="0"/>
    <n v="0.28000000000000003"/>
    <x v="15"/>
    <n v="0.56000000000000005"/>
    <x v="7"/>
  </r>
  <r>
    <x v="11"/>
    <s v="Jan Urbanek"/>
    <x v="0"/>
    <x v="353"/>
    <x v="353"/>
    <n v="2"/>
    <s v="ADET"/>
    <n v="0"/>
    <n v="29"/>
    <n v="9"/>
    <n v="-13"/>
    <n v="0"/>
    <n v="0"/>
    <n v="355.05"/>
    <x v="74"/>
    <n v="710.1"/>
    <x v="6"/>
  </r>
  <r>
    <x v="13"/>
    <s v="Matteo Giolo"/>
    <x v="0"/>
    <x v="349"/>
    <x v="349"/>
    <n v="3"/>
    <s v="ADET"/>
    <n v="0"/>
    <n v="19"/>
    <n v="19"/>
    <n v="14"/>
    <n v="0"/>
    <n v="44207.66"/>
    <n v="3157.69"/>
    <x v="84"/>
    <n v="9473.07"/>
    <x v="6"/>
  </r>
  <r>
    <x v="13"/>
    <s v="Matteo Giolo"/>
    <x v="0"/>
    <x v="351"/>
    <x v="351"/>
    <n v="1"/>
    <s v="ADET"/>
    <n v="0"/>
    <n v="17"/>
    <n v="17"/>
    <n v="-6"/>
    <n v="0"/>
    <n v="0"/>
    <n v="41.67"/>
    <x v="85"/>
    <n v="41.67"/>
    <x v="6"/>
  </r>
  <r>
    <x v="9"/>
    <s v="Jan Urbanek"/>
    <x v="0"/>
    <x v="338"/>
    <x v="338"/>
    <n v="1"/>
    <s v="ADET"/>
    <n v="0"/>
    <n v="25"/>
    <n v="5"/>
    <n v="-13"/>
    <n v="0"/>
    <n v="0"/>
    <n v="373.06"/>
    <x v="74"/>
    <n v="373.06"/>
    <x v="4"/>
  </r>
  <r>
    <x v="8"/>
    <s v="Jan Urbanek"/>
    <x v="0"/>
    <x v="338"/>
    <x v="338"/>
    <n v="1"/>
    <s v="ADET"/>
    <n v="0"/>
    <n v="25"/>
    <n v="5"/>
    <n v="-13"/>
    <n v="0"/>
    <n v="0"/>
    <n v="373.06"/>
    <x v="74"/>
    <n v="373.06"/>
    <x v="4"/>
  </r>
  <r>
    <x v="9"/>
    <s v="Jan Urbanek"/>
    <x v="0"/>
    <x v="353"/>
    <x v="353"/>
    <n v="2"/>
    <s v="ADET"/>
    <n v="0"/>
    <n v="29"/>
    <n v="9"/>
    <n v="-13"/>
    <n v="0"/>
    <n v="0"/>
    <n v="355.05"/>
    <x v="74"/>
    <n v="710.1"/>
    <x v="6"/>
  </r>
  <r>
    <x v="11"/>
    <s v="Jan Urbanek"/>
    <x v="0"/>
    <x v="349"/>
    <x v="349"/>
    <n v="4"/>
    <s v="ADET"/>
    <n v="0"/>
    <n v="19"/>
    <n v="19"/>
    <n v="14"/>
    <n v="0"/>
    <n v="44207.66"/>
    <n v="3157.69"/>
    <x v="84"/>
    <n v="12630.76"/>
    <x v="6"/>
  </r>
  <r>
    <x v="11"/>
    <s v="Jan Urbanek"/>
    <x v="0"/>
    <x v="350"/>
    <x v="350"/>
    <n v="2"/>
    <s v="ADET"/>
    <n v="0"/>
    <n v="1000"/>
    <n v="1000"/>
    <n v="-986"/>
    <n v="0"/>
    <n v="0"/>
    <n v="0.28000000000000003"/>
    <x v="15"/>
    <n v="0.56000000000000005"/>
    <x v="7"/>
  </r>
  <r>
    <x v="9"/>
    <s v="Jan Urbanek"/>
    <x v="0"/>
    <x v="351"/>
    <x v="351"/>
    <n v="1"/>
    <s v="ADET"/>
    <n v="0"/>
    <n v="17"/>
    <n v="17"/>
    <n v="-6"/>
    <n v="0"/>
    <n v="0"/>
    <n v="41.67"/>
    <x v="85"/>
    <n v="41.67"/>
    <x v="6"/>
  </r>
  <r>
    <x v="8"/>
    <s v="Jan Urbanek"/>
    <x v="0"/>
    <x v="335"/>
    <x v="335"/>
    <n v="278"/>
    <s v="ADET"/>
    <n v="0"/>
    <n v="8000"/>
    <n v="11449"/>
    <n v="-1313"/>
    <n v="0"/>
    <n v="0"/>
    <n v="0.54"/>
    <x v="21"/>
    <n v="150.12"/>
    <x v="2"/>
  </r>
  <r>
    <x v="9"/>
    <s v="Jan Urbanek"/>
    <x v="0"/>
    <x v="335"/>
    <x v="335"/>
    <n v="278"/>
    <s v="ADET"/>
    <n v="0"/>
    <n v="8000"/>
    <n v="11449"/>
    <n v="-1313"/>
    <n v="0"/>
    <n v="0"/>
    <n v="0.54"/>
    <x v="21"/>
    <n v="150.12"/>
    <x v="2"/>
  </r>
  <r>
    <x v="11"/>
    <s v="Jan Urbanek"/>
    <x v="0"/>
    <x v="336"/>
    <x v="336"/>
    <n v="2"/>
    <s v="ADET"/>
    <n v="0"/>
    <n v="6"/>
    <n v="24"/>
    <n v="10"/>
    <n v="0"/>
    <n v="149462.5"/>
    <n v="14946.25"/>
    <x v="68"/>
    <n v="29892.5"/>
    <x v="4"/>
  </r>
  <r>
    <x v="19"/>
    <s v="Volkan Batkan"/>
    <x v="0"/>
    <x v="338"/>
    <x v="338"/>
    <n v="1"/>
    <s v="ADET"/>
    <n v="0"/>
    <n v="25"/>
    <n v="5"/>
    <n v="-13"/>
    <n v="0"/>
    <n v="0"/>
    <n v="373.06"/>
    <x v="74"/>
    <n v="373.06"/>
    <x v="4"/>
  </r>
  <r>
    <x v="13"/>
    <s v="Matteo Giolo"/>
    <x v="0"/>
    <x v="338"/>
    <x v="338"/>
    <n v="1"/>
    <s v="ADET"/>
    <n v="0"/>
    <n v="25"/>
    <n v="5"/>
    <n v="-13"/>
    <n v="0"/>
    <n v="0"/>
    <n v="373.06"/>
    <x v="74"/>
    <n v="373.06"/>
    <x v="4"/>
  </r>
  <r>
    <x v="19"/>
    <s v="Volkan Batkan"/>
    <x v="0"/>
    <x v="348"/>
    <x v="348"/>
    <n v="2"/>
    <s v="ADET"/>
    <n v="2"/>
    <n v="5"/>
    <n v="4"/>
    <n v="1"/>
    <n v="0"/>
    <n v="400"/>
    <n v="400"/>
    <x v="19"/>
    <n v="800"/>
    <x v="7"/>
  </r>
  <r>
    <x v="16"/>
    <s v="Stefan Zaugg"/>
    <x v="0"/>
    <x v="348"/>
    <x v="348"/>
    <n v="2"/>
    <s v="ADET"/>
    <n v="0"/>
    <n v="5"/>
    <n v="4"/>
    <n v="1"/>
    <n v="0"/>
    <n v="400"/>
    <n v="400"/>
    <x v="19"/>
    <n v="800"/>
    <x v="7"/>
  </r>
  <r>
    <x v="17"/>
    <s v="Murat Taşdemir"/>
    <x v="0"/>
    <x v="353"/>
    <x v="353"/>
    <n v="2"/>
    <s v="ADET"/>
    <n v="2"/>
    <n v="29"/>
    <n v="9"/>
    <n v="-13"/>
    <n v="0"/>
    <n v="0"/>
    <n v="355.05"/>
    <x v="74"/>
    <n v="710.1"/>
    <x v="6"/>
  </r>
  <r>
    <x v="19"/>
    <s v="Volkan Batkan"/>
    <x v="0"/>
    <x v="352"/>
    <x v="352"/>
    <n v="3"/>
    <s v="ADET"/>
    <n v="0"/>
    <n v="22"/>
    <n v="18"/>
    <n v="-13"/>
    <n v="0"/>
    <n v="0"/>
    <n v="19.600000000000001"/>
    <x v="86"/>
    <n v="58.800000000000004"/>
    <x v="7"/>
  </r>
  <r>
    <x v="14"/>
    <s v="Stefan Zaugg"/>
    <x v="0"/>
    <x v="352"/>
    <x v="352"/>
    <n v="3"/>
    <s v="ADET"/>
    <n v="0"/>
    <n v="22"/>
    <n v="18"/>
    <n v="-13"/>
    <n v="0"/>
    <n v="0"/>
    <n v="19.600000000000001"/>
    <x v="86"/>
    <n v="58.800000000000004"/>
    <x v="7"/>
  </r>
  <r>
    <x v="11"/>
    <s v="Jan Urbanek"/>
    <x v="0"/>
    <x v="338"/>
    <x v="338"/>
    <n v="1"/>
    <s v="ADET"/>
    <n v="0"/>
    <n v="25"/>
    <n v="5"/>
    <n v="-13"/>
    <n v="0"/>
    <n v="0"/>
    <n v="373.06"/>
    <x v="74"/>
    <n v="373.06"/>
    <x v="4"/>
  </r>
  <r>
    <x v="10"/>
    <s v="Jan Urbanek"/>
    <x v="0"/>
    <x v="349"/>
    <x v="349"/>
    <n v="4"/>
    <s v="ADET"/>
    <n v="0"/>
    <n v="19"/>
    <n v="19"/>
    <n v="14"/>
    <n v="0"/>
    <n v="44207.66"/>
    <n v="3157.69"/>
    <x v="84"/>
    <n v="12630.76"/>
    <x v="6"/>
  </r>
  <r>
    <x v="16"/>
    <s v="Stefan Zaugg"/>
    <x v="0"/>
    <x v="368"/>
    <x v="368"/>
    <n v="2.46"/>
    <s v="ADET"/>
    <n v="0"/>
    <n v="235"/>
    <n v="-7.460698725481052E-14"/>
    <n v="-215.94"/>
    <n v="0"/>
    <n v="0"/>
    <n v="15"/>
    <x v="2"/>
    <n v="36.9"/>
    <x v="2"/>
  </r>
  <r>
    <x v="14"/>
    <s v="Stefan Zaugg"/>
    <x v="0"/>
    <x v="368"/>
    <x v="368"/>
    <n v="1.46"/>
    <s v="ADET"/>
    <n v="0"/>
    <n v="235"/>
    <n v="-7.460698725481052E-14"/>
    <n v="-215.94"/>
    <n v="0"/>
    <n v="0"/>
    <n v="15"/>
    <x v="2"/>
    <n v="21.9"/>
    <x v="2"/>
  </r>
  <r>
    <x v="18"/>
    <s v="Hayriye Güven"/>
    <x v="0"/>
    <x v="479"/>
    <x v="479"/>
    <n v="1"/>
    <s v="ADET"/>
    <n v="0"/>
    <n v="0"/>
    <n v="0"/>
    <n v="1"/>
    <n v="0"/>
    <n v="17633.25"/>
    <n v="17633.25"/>
    <x v="72"/>
    <n v="17633.25"/>
    <x v="6"/>
  </r>
  <r>
    <x v="16"/>
    <s v="Stefan Zaugg"/>
    <x v="0"/>
    <x v="402"/>
    <x v="402"/>
    <n v="2"/>
    <s v="ADET"/>
    <n v="0"/>
    <n v="135"/>
    <n v="7"/>
    <n v="-119"/>
    <n v="0"/>
    <n v="0"/>
    <n v="39.6"/>
    <x v="20"/>
    <n v="79.2"/>
    <x v="7"/>
  </r>
  <r>
    <x v="13"/>
    <s v="Matteo Giolo"/>
    <x v="0"/>
    <x v="402"/>
    <x v="402"/>
    <n v="1"/>
    <s v="ADET"/>
    <n v="0"/>
    <n v="135"/>
    <n v="7"/>
    <n v="-119"/>
    <n v="0"/>
    <n v="0"/>
    <n v="39.6"/>
    <x v="20"/>
    <n v="39.6"/>
    <x v="7"/>
  </r>
  <r>
    <x v="16"/>
    <s v="Stefan Zaugg"/>
    <x v="0"/>
    <x v="403"/>
    <x v="403"/>
    <n v="1"/>
    <s v="ADET"/>
    <n v="0"/>
    <n v="28"/>
    <n v="4"/>
    <n v="-21"/>
    <n v="0"/>
    <n v="0"/>
    <n v="290.73"/>
    <x v="74"/>
    <n v="290.73"/>
    <x v="4"/>
  </r>
  <r>
    <x v="15"/>
    <s v="Jan Urbanek"/>
    <x v="0"/>
    <x v="400"/>
    <x v="400"/>
    <n v="1"/>
    <s v="ADET"/>
    <n v="0"/>
    <n v="27"/>
    <n v="4"/>
    <n v="-20"/>
    <n v="0"/>
    <n v="0"/>
    <n v="290.73"/>
    <x v="74"/>
    <n v="290.73"/>
    <x v="4"/>
  </r>
  <r>
    <x v="17"/>
    <s v="Murat Taşdemir"/>
    <x v="0"/>
    <x v="401"/>
    <x v="401"/>
    <n v="1"/>
    <s v="ADET"/>
    <n v="1"/>
    <n v="8"/>
    <n v="5"/>
    <n v="-4"/>
    <n v="0"/>
    <n v="0"/>
    <n v="1723.79"/>
    <x v="74"/>
    <n v="1723.79"/>
    <x v="4"/>
  </r>
  <r>
    <x v="14"/>
    <s v="Stefan Zaugg"/>
    <x v="0"/>
    <x v="405"/>
    <x v="405"/>
    <n v="17.8"/>
    <s v="KG"/>
    <n v="17.8"/>
    <n v="60"/>
    <n v="219.95999999999984"/>
    <n v="143.41000000000003"/>
    <n v="0"/>
    <n v="23533.581000000002"/>
    <n v="164.1"/>
    <x v="3"/>
    <n v="2920.98"/>
    <x v="3"/>
  </r>
  <r>
    <x v="15"/>
    <s v="Jan Urbanek"/>
    <x v="0"/>
    <x v="405"/>
    <x v="405"/>
    <n v="18.8"/>
    <s v="KG"/>
    <n v="0"/>
    <n v="60"/>
    <n v="219.95999999999984"/>
    <n v="143.41000000000003"/>
    <n v="0"/>
    <n v="23533.581000000002"/>
    <n v="164.1"/>
    <x v="3"/>
    <n v="3085.08"/>
    <x v="3"/>
  </r>
  <r>
    <x v="13"/>
    <s v="Matteo Giolo"/>
    <x v="0"/>
    <x v="405"/>
    <x v="405"/>
    <n v="22.3"/>
    <s v="KG"/>
    <n v="0"/>
    <n v="60"/>
    <n v="219.95999999999984"/>
    <n v="143.41000000000003"/>
    <n v="0"/>
    <n v="23533.581000000002"/>
    <n v="164.1"/>
    <x v="3"/>
    <n v="3659.43"/>
    <x v="3"/>
  </r>
  <r>
    <x v="19"/>
    <s v="Volkan Batkan"/>
    <x v="0"/>
    <x v="369"/>
    <x v="369"/>
    <n v="1"/>
    <s v="ADET"/>
    <n v="1"/>
    <n v="27"/>
    <n v="14"/>
    <n v="-18"/>
    <n v="0"/>
    <n v="0"/>
    <n v="15"/>
    <x v="20"/>
    <n v="15"/>
    <x v="7"/>
  </r>
  <r>
    <x v="15"/>
    <s v="Jan Urbanek"/>
    <x v="0"/>
    <x v="404"/>
    <x v="404"/>
    <n v="1"/>
    <s v="ADET"/>
    <n v="0"/>
    <n v="23"/>
    <n v="5"/>
    <n v="-12"/>
    <n v="0"/>
    <n v="0"/>
    <n v="871.93"/>
    <x v="93"/>
    <n v="871.93"/>
    <x v="6"/>
  </r>
  <r>
    <x v="11"/>
    <s v="Jan Urbanek"/>
    <x v="0"/>
    <x v="405"/>
    <x v="405"/>
    <n v="18.8"/>
    <s v="KG"/>
    <n v="0"/>
    <n v="60"/>
    <n v="219.95999999999984"/>
    <n v="143.41000000000003"/>
    <n v="0"/>
    <n v="23533.581000000002"/>
    <n v="164.1"/>
    <x v="3"/>
    <n v="3085.08"/>
    <x v="3"/>
  </r>
  <r>
    <x v="13"/>
    <s v="Matteo Giolo"/>
    <x v="0"/>
    <x v="420"/>
    <x v="420"/>
    <n v="2"/>
    <s v="METRE"/>
    <n v="0"/>
    <n v="60"/>
    <n v="50"/>
    <n v="-50.5"/>
    <n v="0"/>
    <n v="0"/>
    <n v="265"/>
    <x v="46"/>
    <n v="530"/>
    <x v="5"/>
  </r>
  <r>
    <x v="1"/>
    <s v="Stina Alm"/>
    <x v="0"/>
    <x v="405"/>
    <x v="405"/>
    <n v="22.3"/>
    <s v="KG"/>
    <n v="0"/>
    <n v="60"/>
    <n v="219.95999999999984"/>
    <n v="143.41000000000003"/>
    <n v="0"/>
    <n v="23533.581000000002"/>
    <n v="164.1"/>
    <x v="3"/>
    <n v="3659.43"/>
    <x v="3"/>
  </r>
  <r>
    <x v="13"/>
    <s v="Matteo Giolo"/>
    <x v="0"/>
    <x v="406"/>
    <x v="406"/>
    <n v="2"/>
    <s v="ADET"/>
    <n v="0"/>
    <n v="12"/>
    <n v="18"/>
    <n v="-14"/>
    <n v="20"/>
    <n v="0"/>
    <n v="194"/>
    <x v="35"/>
    <n v="388"/>
    <x v="6"/>
  </r>
  <r>
    <x v="18"/>
    <s v="Hayriye Güven"/>
    <x v="0"/>
    <x v="413"/>
    <x v="413"/>
    <n v="1"/>
    <s v="ADET"/>
    <n v="0"/>
    <n v="3"/>
    <n v="8"/>
    <n v="-2"/>
    <n v="10"/>
    <n v="0"/>
    <n v="3097.63"/>
    <x v="92"/>
    <n v="3097.63"/>
    <x v="4"/>
  </r>
  <r>
    <x v="10"/>
    <s v="Jan Urbanek"/>
    <x v="0"/>
    <x v="405"/>
    <x v="405"/>
    <n v="18.8"/>
    <s v="KG"/>
    <n v="0"/>
    <n v="60"/>
    <n v="219.95999999999984"/>
    <n v="143.41000000000003"/>
    <n v="0"/>
    <n v="23533.581000000002"/>
    <n v="164.1"/>
    <x v="3"/>
    <n v="3085.08"/>
    <x v="3"/>
  </r>
  <r>
    <x v="10"/>
    <s v="Jan Urbanek"/>
    <x v="0"/>
    <x v="406"/>
    <x v="406"/>
    <n v="2"/>
    <s v="ADET"/>
    <n v="0"/>
    <n v="12"/>
    <n v="18"/>
    <n v="-14"/>
    <n v="20"/>
    <n v="0"/>
    <n v="194"/>
    <x v="35"/>
    <n v="388"/>
    <x v="6"/>
  </r>
  <r>
    <x v="9"/>
    <s v="Jan Urbanek"/>
    <x v="0"/>
    <x v="406"/>
    <x v="406"/>
    <n v="2"/>
    <s v="ADET"/>
    <n v="0"/>
    <n v="12"/>
    <n v="18"/>
    <n v="-14"/>
    <n v="20"/>
    <n v="0"/>
    <n v="194"/>
    <x v="35"/>
    <n v="388"/>
    <x v="6"/>
  </r>
  <r>
    <x v="10"/>
    <s v="Jan Urbanek"/>
    <x v="0"/>
    <x v="413"/>
    <x v="413"/>
    <n v="1"/>
    <s v="ADET"/>
    <n v="0"/>
    <n v="3"/>
    <n v="8"/>
    <n v="-2"/>
    <n v="10"/>
    <n v="0"/>
    <n v="3097.63"/>
    <x v="92"/>
    <n v="3097.63"/>
    <x v="4"/>
  </r>
  <r>
    <x v="8"/>
    <s v="Jan Urbanek"/>
    <x v="0"/>
    <x v="413"/>
    <x v="413"/>
    <n v="1"/>
    <s v="ADET"/>
    <n v="0"/>
    <n v="3"/>
    <n v="8"/>
    <n v="-2"/>
    <n v="10"/>
    <n v="0"/>
    <n v="3097.63"/>
    <x v="92"/>
    <n v="3097.63"/>
    <x v="4"/>
  </r>
  <r>
    <x v="15"/>
    <s v="Jan Urbanek"/>
    <x v="0"/>
    <x v="406"/>
    <x v="406"/>
    <n v="2"/>
    <s v="ADET"/>
    <n v="0"/>
    <n v="12"/>
    <n v="18"/>
    <n v="-14"/>
    <n v="20"/>
    <n v="0"/>
    <n v="194"/>
    <x v="35"/>
    <n v="388"/>
    <x v="6"/>
  </r>
  <r>
    <x v="15"/>
    <s v="Jan Urbanek"/>
    <x v="0"/>
    <x v="413"/>
    <x v="413"/>
    <n v="1"/>
    <s v="ADET"/>
    <n v="0"/>
    <n v="3"/>
    <n v="8"/>
    <n v="-2"/>
    <n v="10"/>
    <n v="0"/>
    <n v="3097.63"/>
    <x v="92"/>
    <n v="3097.63"/>
    <x v="4"/>
  </r>
  <r>
    <x v="13"/>
    <s v="Matteo Giolo"/>
    <x v="0"/>
    <x v="413"/>
    <x v="413"/>
    <n v="1"/>
    <s v="ADET"/>
    <n v="0"/>
    <n v="3"/>
    <n v="8"/>
    <n v="-2"/>
    <n v="10"/>
    <n v="0"/>
    <n v="3097.63"/>
    <x v="92"/>
    <n v="3097.63"/>
    <x v="4"/>
  </r>
  <r>
    <x v="17"/>
    <s v="Murat Taşdemir"/>
    <x v="0"/>
    <x v="420"/>
    <x v="420"/>
    <n v="3"/>
    <s v="METRE"/>
    <n v="0"/>
    <n v="60"/>
    <n v="50"/>
    <n v="-50.5"/>
    <n v="0"/>
    <n v="0"/>
    <n v="265"/>
    <x v="46"/>
    <n v="795"/>
    <x v="5"/>
  </r>
  <r>
    <x v="9"/>
    <s v="Jan Urbanek"/>
    <x v="0"/>
    <x v="409"/>
    <x v="409"/>
    <n v="2"/>
    <s v="ADET"/>
    <n v="0"/>
    <n v="250"/>
    <n v="302"/>
    <n v="-202"/>
    <n v="0"/>
    <n v="0"/>
    <n v="0.9"/>
    <x v="15"/>
    <n v="1.8"/>
    <x v="7"/>
  </r>
  <r>
    <x v="8"/>
    <s v="Jan Urbanek"/>
    <x v="0"/>
    <x v="409"/>
    <x v="409"/>
    <n v="4"/>
    <s v="ADET"/>
    <n v="0"/>
    <n v="250"/>
    <n v="302"/>
    <n v="-202"/>
    <n v="0"/>
    <n v="0"/>
    <n v="0.9"/>
    <x v="15"/>
    <n v="3.6"/>
    <x v="7"/>
  </r>
  <r>
    <x v="9"/>
    <s v="Jan Urbanek"/>
    <x v="0"/>
    <x v="410"/>
    <x v="410"/>
    <n v="4"/>
    <s v="ADET"/>
    <n v="0"/>
    <n v="25"/>
    <n v="14"/>
    <n v="7"/>
    <n v="0"/>
    <n v="1206.6599999999999"/>
    <n v="172.38"/>
    <x v="74"/>
    <n v="689.52"/>
    <x v="6"/>
  </r>
  <r>
    <x v="13"/>
    <s v="Matteo Giolo"/>
    <x v="0"/>
    <x v="376"/>
    <x v="376"/>
    <n v="40"/>
    <s v="ADET"/>
    <n v="0"/>
    <n v="680"/>
    <n v="614"/>
    <n v="118"/>
    <n v="0"/>
    <n v="247.8"/>
    <n v="2.1"/>
    <x v="14"/>
    <n v="84"/>
    <x v="2"/>
  </r>
  <r>
    <x v="10"/>
    <s v="Jan Urbanek"/>
    <x v="0"/>
    <x v="359"/>
    <x v="359"/>
    <n v="1"/>
    <s v="ADET"/>
    <n v="0"/>
    <n v="18"/>
    <n v="3"/>
    <n v="-1"/>
    <n v="0"/>
    <n v="0"/>
    <n v="4852.33"/>
    <x v="74"/>
    <n v="4852.33"/>
    <x v="6"/>
  </r>
  <r>
    <x v="8"/>
    <s v="Jan Urbanek"/>
    <x v="0"/>
    <x v="361"/>
    <x v="361"/>
    <n v="2"/>
    <s v="ADET"/>
    <n v="0"/>
    <n v="250"/>
    <n v="250"/>
    <n v="-236"/>
    <n v="0"/>
    <n v="0"/>
    <n v="1.07"/>
    <x v="15"/>
    <n v="2.14"/>
    <x v="7"/>
  </r>
  <r>
    <x v="9"/>
    <s v="Jan Urbanek"/>
    <x v="0"/>
    <x v="361"/>
    <x v="361"/>
    <n v="2"/>
    <s v="ADET"/>
    <n v="0"/>
    <n v="250"/>
    <n v="250"/>
    <n v="-236"/>
    <n v="0"/>
    <n v="0"/>
    <n v="1.07"/>
    <x v="15"/>
    <n v="2.14"/>
    <x v="7"/>
  </r>
  <r>
    <x v="9"/>
    <s v="Jan Urbanek"/>
    <x v="0"/>
    <x v="364"/>
    <x v="364"/>
    <n v="3"/>
    <s v="M2"/>
    <n v="0"/>
    <n v="0"/>
    <n v="0"/>
    <n v="24"/>
    <n v="0"/>
    <n v="14751.119999999999"/>
    <n v="614.63"/>
    <x v="56"/>
    <n v="1843.8899999999999"/>
    <x v="10"/>
  </r>
  <r>
    <x v="8"/>
    <s v="Jan Urbanek"/>
    <x v="0"/>
    <x v="364"/>
    <x v="364"/>
    <n v="3"/>
    <s v="M2"/>
    <n v="0"/>
    <n v="0"/>
    <n v="0"/>
    <n v="24"/>
    <n v="0"/>
    <n v="14751.119999999999"/>
    <n v="614.63"/>
    <x v="56"/>
    <n v="1843.8899999999999"/>
    <x v="10"/>
  </r>
  <r>
    <x v="1"/>
    <s v="Stina Alm"/>
    <x v="0"/>
    <x v="363"/>
    <x v="363"/>
    <n v="0.2"/>
    <s v="KG"/>
    <n v="0"/>
    <n v="0"/>
    <n v="0"/>
    <n v="0.60000000000000009"/>
    <n v="0"/>
    <n v="126.49200000000002"/>
    <n v="210.82"/>
    <x v="3"/>
    <n v="42.164000000000001"/>
    <x v="3"/>
  </r>
  <r>
    <x v="9"/>
    <s v="Jan Urbanek"/>
    <x v="0"/>
    <x v="359"/>
    <x v="359"/>
    <n v="1"/>
    <s v="ADET"/>
    <n v="0"/>
    <n v="18"/>
    <n v="3"/>
    <n v="-1"/>
    <n v="0"/>
    <n v="0"/>
    <n v="4852.33"/>
    <x v="74"/>
    <n v="4852.33"/>
    <x v="6"/>
  </r>
  <r>
    <x v="8"/>
    <s v="Jan Urbanek"/>
    <x v="0"/>
    <x v="359"/>
    <x v="359"/>
    <n v="1"/>
    <s v="ADET"/>
    <n v="0"/>
    <n v="18"/>
    <n v="3"/>
    <n v="-1"/>
    <n v="0"/>
    <n v="0"/>
    <n v="4852.33"/>
    <x v="74"/>
    <n v="4852.33"/>
    <x v="6"/>
  </r>
  <r>
    <x v="9"/>
    <s v="Jan Urbanek"/>
    <x v="0"/>
    <x v="360"/>
    <x v="360"/>
    <n v="50"/>
    <s v="METRE"/>
    <n v="0"/>
    <n v="0"/>
    <n v="57"/>
    <n v="350"/>
    <n v="0"/>
    <n v="3132.4999999999995"/>
    <n v="8.9499999999999993"/>
    <x v="63"/>
    <n v="447.49999999999994"/>
    <x v="8"/>
  </r>
  <r>
    <x v="10"/>
    <s v="Jan Urbanek"/>
    <x v="0"/>
    <x v="362"/>
    <x v="362"/>
    <n v="2"/>
    <s v="ADET"/>
    <n v="0"/>
    <n v="500"/>
    <n v="500"/>
    <n v="-486"/>
    <n v="0"/>
    <n v="0"/>
    <n v="0.55000000000000004"/>
    <x v="15"/>
    <n v="1.1000000000000001"/>
    <x v="7"/>
  </r>
  <r>
    <x v="11"/>
    <s v="Jan Urbanek"/>
    <x v="0"/>
    <x v="364"/>
    <x v="364"/>
    <n v="3"/>
    <s v="M2"/>
    <n v="0"/>
    <n v="0"/>
    <n v="0"/>
    <n v="24"/>
    <n v="0"/>
    <n v="14751.119999999999"/>
    <n v="614.63"/>
    <x v="56"/>
    <n v="1843.8899999999999"/>
    <x v="10"/>
  </r>
  <r>
    <x v="0"/>
    <s v="Soner Kayıkçı"/>
    <x v="0"/>
    <x v="475"/>
    <x v="475"/>
    <n v="1"/>
    <s v="ADET"/>
    <n v="0"/>
    <n v="0"/>
    <n v="7"/>
    <n v="2"/>
    <n v="0"/>
    <n v="8001.48"/>
    <n v="4000.74"/>
    <x v="13"/>
    <n v="4000.74"/>
    <x v="7"/>
  </r>
  <r>
    <x v="0"/>
    <s v="Soner Kayıkçı"/>
    <x v="0"/>
    <x v="362"/>
    <x v="362"/>
    <n v="2"/>
    <s v="ADET"/>
    <n v="0"/>
    <n v="500"/>
    <n v="500"/>
    <n v="-486"/>
    <n v="0"/>
    <n v="0"/>
    <n v="0.55000000000000004"/>
    <x v="15"/>
    <n v="1.1000000000000001"/>
    <x v="7"/>
  </r>
  <r>
    <x v="7"/>
    <s v="Laurent MONTAGNER"/>
    <x v="0"/>
    <x v="167"/>
    <x v="167"/>
    <n v="1"/>
    <s v="ADET"/>
    <n v="1"/>
    <n v="13"/>
    <n v="9"/>
    <n v="-1"/>
    <n v="0"/>
    <n v="0"/>
    <n v="270"/>
    <x v="20"/>
    <n v="270"/>
    <x v="7"/>
  </r>
  <r>
    <x v="11"/>
    <s v="Jan Urbanek"/>
    <x v="0"/>
    <x v="360"/>
    <x v="360"/>
    <n v="50"/>
    <s v="METRE"/>
    <n v="0"/>
    <n v="0"/>
    <n v="57"/>
    <n v="350"/>
    <n v="0"/>
    <n v="3132.4999999999995"/>
    <n v="8.9499999999999993"/>
    <x v="63"/>
    <n v="447.49999999999994"/>
    <x v="8"/>
  </r>
  <r>
    <x v="11"/>
    <s v="Jan Urbanek"/>
    <x v="0"/>
    <x v="361"/>
    <x v="361"/>
    <n v="2"/>
    <s v="ADET"/>
    <n v="0"/>
    <n v="250"/>
    <n v="250"/>
    <n v="-236"/>
    <n v="0"/>
    <n v="0"/>
    <n v="1.07"/>
    <x v="15"/>
    <n v="2.14"/>
    <x v="7"/>
  </r>
  <r>
    <x v="11"/>
    <s v="Jan Urbanek"/>
    <x v="0"/>
    <x v="362"/>
    <x v="362"/>
    <n v="2"/>
    <s v="ADET"/>
    <n v="0"/>
    <n v="500"/>
    <n v="500"/>
    <n v="-486"/>
    <n v="0"/>
    <n v="0"/>
    <n v="0.55000000000000004"/>
    <x v="15"/>
    <n v="1.1000000000000001"/>
    <x v="7"/>
  </r>
  <r>
    <x v="10"/>
    <s v="Jan Urbanek"/>
    <x v="0"/>
    <x v="364"/>
    <x v="364"/>
    <n v="3"/>
    <s v="M2"/>
    <n v="0"/>
    <n v="0"/>
    <n v="0"/>
    <n v="24"/>
    <n v="0"/>
    <n v="14751.119999999999"/>
    <n v="614.63"/>
    <x v="56"/>
    <n v="1843.8899999999999"/>
    <x v="10"/>
  </r>
  <r>
    <x v="17"/>
    <s v="Murat Taşdemir"/>
    <x v="0"/>
    <x v="428"/>
    <x v="428"/>
    <n v="10"/>
    <s v="ADET"/>
    <n v="0"/>
    <n v="0"/>
    <n v="58.050000000000026"/>
    <n v="144.72000000000003"/>
    <n v="37"/>
    <n v="261099.48240000007"/>
    <n v="1804.17"/>
    <x v="63"/>
    <n v="18041.7"/>
    <x v="8"/>
  </r>
  <r>
    <x v="8"/>
    <s v="Jan Urbanek"/>
    <x v="0"/>
    <x v="417"/>
    <x v="417"/>
    <n v="1"/>
    <s v="ADET"/>
    <n v="0"/>
    <n v="0"/>
    <n v="1"/>
    <n v="9"/>
    <n v="0"/>
    <n v="13877.91"/>
    <n v="1541.99"/>
    <x v="94"/>
    <n v="1541.99"/>
    <x v="6"/>
  </r>
  <r>
    <x v="10"/>
    <s v="Jan Urbanek"/>
    <x v="0"/>
    <x v="424"/>
    <x v="424"/>
    <n v="1"/>
    <s v="ADET"/>
    <n v="0"/>
    <n v="37"/>
    <n v="2"/>
    <n v="-17"/>
    <n v="0"/>
    <n v="0"/>
    <n v="82.6"/>
    <x v="10"/>
    <n v="82.6"/>
    <x v="4"/>
  </r>
  <r>
    <x v="11"/>
    <s v="Jan Urbanek"/>
    <x v="0"/>
    <x v="426"/>
    <x v="426"/>
    <n v="26"/>
    <s v="ADET"/>
    <n v="0"/>
    <n v="180"/>
    <n v="80"/>
    <n v="32"/>
    <n v="0"/>
    <n v="7680"/>
    <n v="240"/>
    <x v="14"/>
    <n v="6240"/>
    <x v="2"/>
  </r>
  <r>
    <x v="9"/>
    <s v="Jan Urbanek"/>
    <x v="0"/>
    <x v="427"/>
    <x v="427"/>
    <n v="2.4700000000000002"/>
    <s v="KG"/>
    <n v="0"/>
    <n v="0"/>
    <n v="154.94999999999996"/>
    <n v="21.899999999999991"/>
    <n v="60"/>
    <n v="4265.0249999999987"/>
    <n v="194.75"/>
    <x v="3"/>
    <n v="481.03250000000003"/>
    <x v="3"/>
  </r>
  <r>
    <x v="8"/>
    <s v="Jan Urbanek"/>
    <x v="0"/>
    <x v="427"/>
    <x v="427"/>
    <n v="2.4700000000000002"/>
    <s v="KG"/>
    <n v="2.4700000000000002"/>
    <n v="0"/>
    <n v="154.94999999999996"/>
    <n v="21.899999999999991"/>
    <n v="60"/>
    <n v="4265.0249999999987"/>
    <n v="194.75"/>
    <x v="3"/>
    <n v="481.03250000000003"/>
    <x v="3"/>
  </r>
  <r>
    <x v="9"/>
    <s v="Jan Urbanek"/>
    <x v="0"/>
    <x v="428"/>
    <x v="428"/>
    <n v="10"/>
    <s v="ADET"/>
    <n v="0"/>
    <n v="0"/>
    <n v="58.050000000000026"/>
    <n v="144.72000000000003"/>
    <n v="37"/>
    <n v="261099.48240000007"/>
    <n v="1804.17"/>
    <x v="63"/>
    <n v="18041.7"/>
    <x v="8"/>
  </r>
  <r>
    <x v="8"/>
    <s v="Jan Urbanek"/>
    <x v="0"/>
    <x v="428"/>
    <x v="428"/>
    <n v="10"/>
    <s v="ADET"/>
    <n v="0"/>
    <n v="0"/>
    <n v="58.050000000000026"/>
    <n v="144.72000000000003"/>
    <n v="37"/>
    <n v="261099.48240000007"/>
    <n v="1804.17"/>
    <x v="63"/>
    <n v="18041.7"/>
    <x v="8"/>
  </r>
  <r>
    <x v="9"/>
    <s v="Jan Urbanek"/>
    <x v="0"/>
    <x v="429"/>
    <x v="429"/>
    <n v="1"/>
    <s v="ADET"/>
    <n v="0"/>
    <n v="4"/>
    <n v="10"/>
    <n v="1"/>
    <n v="7"/>
    <n v="1535.25"/>
    <n v="1535.25"/>
    <x v="47"/>
    <n v="1535.25"/>
    <x v="7"/>
  </r>
  <r>
    <x v="8"/>
    <s v="Jan Urbanek"/>
    <x v="0"/>
    <x v="429"/>
    <x v="429"/>
    <n v="1"/>
    <s v="ADET"/>
    <n v="0"/>
    <n v="4"/>
    <n v="10"/>
    <n v="1"/>
    <n v="7"/>
    <n v="1535.25"/>
    <n v="1535.25"/>
    <x v="47"/>
    <n v="1535.25"/>
    <x v="7"/>
  </r>
  <r>
    <x v="15"/>
    <s v="Jan Urbanek"/>
    <x v="0"/>
    <x v="416"/>
    <x v="416"/>
    <n v="1"/>
    <s v="ADET"/>
    <n v="0"/>
    <n v="17"/>
    <n v="11"/>
    <n v="-5"/>
    <n v="0"/>
    <n v="0"/>
    <n v="115.6"/>
    <x v="15"/>
    <n v="115.6"/>
    <x v="7"/>
  </r>
  <r>
    <x v="13"/>
    <s v="Matteo Giolo"/>
    <x v="0"/>
    <x v="416"/>
    <x v="416"/>
    <n v="1"/>
    <s v="ADET"/>
    <n v="0"/>
    <n v="17"/>
    <n v="11"/>
    <n v="-5"/>
    <n v="0"/>
    <n v="0"/>
    <n v="115.6"/>
    <x v="15"/>
    <n v="115.6"/>
    <x v="7"/>
  </r>
  <r>
    <x v="13"/>
    <s v="Matteo Giolo"/>
    <x v="0"/>
    <x v="415"/>
    <x v="415"/>
    <n v="1"/>
    <s v="ADET"/>
    <n v="0"/>
    <n v="34"/>
    <n v="62"/>
    <n v="-12"/>
    <n v="0"/>
    <n v="0"/>
    <n v="19.07"/>
    <x v="15"/>
    <n v="19.07"/>
    <x v="7"/>
  </r>
  <r>
    <x v="13"/>
    <s v="Matteo Giolo"/>
    <x v="0"/>
    <x v="417"/>
    <x v="417"/>
    <n v="1"/>
    <s v="ADET"/>
    <n v="0"/>
    <n v="0"/>
    <n v="1"/>
    <n v="9"/>
    <n v="0"/>
    <n v="13877.91"/>
    <n v="1541.99"/>
    <x v="94"/>
    <n v="1541.99"/>
    <x v="6"/>
  </r>
  <r>
    <x v="15"/>
    <s v="Jan Urbanek"/>
    <x v="0"/>
    <x v="424"/>
    <x v="424"/>
    <n v="1"/>
    <s v="ADET"/>
    <n v="0"/>
    <n v="37"/>
    <n v="2"/>
    <n v="-17"/>
    <n v="0"/>
    <n v="0"/>
    <n v="82.6"/>
    <x v="10"/>
    <n v="82.6"/>
    <x v="4"/>
  </r>
  <r>
    <x v="16"/>
    <s v="Stefan Zaugg"/>
    <x v="0"/>
    <x v="428"/>
    <x v="428"/>
    <n v="5.5"/>
    <s v="ADET"/>
    <n v="0"/>
    <n v="0"/>
    <n v="58.050000000000026"/>
    <n v="144.72000000000003"/>
    <n v="37"/>
    <n v="261099.48240000007"/>
    <n v="1804.17"/>
    <x v="63"/>
    <n v="9922.9350000000013"/>
    <x v="8"/>
  </r>
  <r>
    <x v="13"/>
    <s v="Matteo Giolo"/>
    <x v="0"/>
    <x v="429"/>
    <x v="429"/>
    <n v="1"/>
    <s v="ADET"/>
    <n v="0"/>
    <n v="4"/>
    <n v="10"/>
    <n v="1"/>
    <n v="7"/>
    <n v="1535.25"/>
    <n v="1535.25"/>
    <x v="47"/>
    <n v="1535.25"/>
    <x v="7"/>
  </r>
  <r>
    <x v="15"/>
    <s v="Jan Urbanek"/>
    <x v="0"/>
    <x v="430"/>
    <x v="430"/>
    <n v="2"/>
    <s v="ADET"/>
    <n v="0"/>
    <n v="4"/>
    <n v="10"/>
    <n v="26"/>
    <n v="0"/>
    <n v="41686.58"/>
    <n v="1603.33"/>
    <x v="82"/>
    <n v="3206.66"/>
    <x v="7"/>
  </r>
  <r>
    <x v="13"/>
    <s v="Matteo Giolo"/>
    <x v="0"/>
    <x v="430"/>
    <x v="430"/>
    <n v="2"/>
    <s v="ADET"/>
    <n v="0"/>
    <n v="4"/>
    <n v="10"/>
    <n v="26"/>
    <n v="0"/>
    <n v="41686.58"/>
    <n v="1603.33"/>
    <x v="82"/>
    <n v="3206.66"/>
    <x v="7"/>
  </r>
  <r>
    <x v="17"/>
    <s v="Murat Taşdemir"/>
    <x v="0"/>
    <x v="424"/>
    <x v="424"/>
    <n v="1"/>
    <s v="ADET"/>
    <n v="0"/>
    <n v="37"/>
    <n v="2"/>
    <n v="-17"/>
    <n v="0"/>
    <n v="0"/>
    <n v="82.6"/>
    <x v="10"/>
    <n v="82.6"/>
    <x v="4"/>
  </r>
  <r>
    <x v="16"/>
    <s v="Stefan Zaugg"/>
    <x v="0"/>
    <x v="426"/>
    <x v="426"/>
    <n v="13.5"/>
    <s v="ADET"/>
    <n v="13.5"/>
    <n v="180"/>
    <n v="80"/>
    <n v="32"/>
    <n v="0"/>
    <n v="7680"/>
    <n v="240"/>
    <x v="14"/>
    <n v="3240"/>
    <x v="2"/>
  </r>
  <r>
    <x v="14"/>
    <s v="Stefan Zaugg"/>
    <x v="0"/>
    <x v="426"/>
    <x v="426"/>
    <n v="9.5"/>
    <s v="ADET"/>
    <n v="9.5"/>
    <n v="180"/>
    <n v="80"/>
    <n v="32"/>
    <n v="0"/>
    <n v="7680"/>
    <n v="240"/>
    <x v="14"/>
    <n v="2280"/>
    <x v="2"/>
  </r>
  <r>
    <x v="13"/>
    <s v="Matteo Giolo"/>
    <x v="0"/>
    <x v="426"/>
    <x v="426"/>
    <n v="9.5"/>
    <s v="ADET"/>
    <n v="0"/>
    <n v="180"/>
    <n v="80"/>
    <n v="32"/>
    <n v="0"/>
    <n v="7680"/>
    <n v="240"/>
    <x v="14"/>
    <n v="2280"/>
    <x v="2"/>
  </r>
  <r>
    <x v="19"/>
    <s v="Volkan Batkan"/>
    <x v="0"/>
    <x v="428"/>
    <x v="428"/>
    <n v="10"/>
    <s v="ADET"/>
    <n v="0"/>
    <n v="0"/>
    <n v="58.050000000000026"/>
    <n v="144.72000000000003"/>
    <n v="37"/>
    <n v="261099.48240000007"/>
    <n v="1804.17"/>
    <x v="63"/>
    <n v="18041.7"/>
    <x v="8"/>
  </r>
  <r>
    <x v="17"/>
    <s v="Murat Taşdemir"/>
    <x v="0"/>
    <x v="430"/>
    <x v="430"/>
    <n v="2"/>
    <s v="ADET"/>
    <n v="2"/>
    <n v="4"/>
    <n v="10"/>
    <n v="26"/>
    <n v="0"/>
    <n v="41686.58"/>
    <n v="1603.33"/>
    <x v="82"/>
    <n v="3206.66"/>
    <x v="7"/>
  </r>
  <r>
    <x v="17"/>
    <s v="Murat Taşdemir"/>
    <x v="0"/>
    <x v="480"/>
    <x v="480"/>
    <n v="1"/>
    <s v="ADET"/>
    <n v="0"/>
    <n v="0"/>
    <n v="0"/>
    <n v="2"/>
    <n v="0"/>
    <n v="0"/>
    <n v="0"/>
    <x v="5"/>
    <n v="0"/>
    <x v="6"/>
  </r>
  <r>
    <x v="16"/>
    <s v="Stefan Zaugg"/>
    <x v="0"/>
    <x v="431"/>
    <x v="431"/>
    <n v="8"/>
    <s v="ADET"/>
    <n v="0"/>
    <n v="524"/>
    <n v="352"/>
    <n v="-374"/>
    <n v="0"/>
    <n v="0"/>
    <n v="8.1"/>
    <x v="57"/>
    <n v="64.8"/>
    <x v="7"/>
  </r>
  <r>
    <x v="15"/>
    <s v="Jan Urbanek"/>
    <x v="0"/>
    <x v="427"/>
    <x v="427"/>
    <n v="2.4700000000000002"/>
    <s v="KG"/>
    <n v="0"/>
    <n v="0"/>
    <n v="154.94999999999996"/>
    <n v="21.899999999999991"/>
    <n v="60"/>
    <n v="4265.0249999999987"/>
    <n v="194.75"/>
    <x v="3"/>
    <n v="481.03250000000003"/>
    <x v="3"/>
  </r>
  <r>
    <x v="12"/>
    <s v="Matteo Giolo"/>
    <x v="0"/>
    <x v="438"/>
    <x v="438"/>
    <n v="15"/>
    <s v="M2"/>
    <n v="0"/>
    <n v="0"/>
    <n v="252.50000000000003"/>
    <n v="402.5"/>
    <n v="19.5"/>
    <n v="81928.875"/>
    <n v="203.55"/>
    <x v="63"/>
    <n v="3053.25"/>
    <x v="8"/>
  </r>
  <r>
    <x v="14"/>
    <s v="Stefan Zaugg"/>
    <x v="0"/>
    <x v="481"/>
    <x v="481"/>
    <n v="14"/>
    <s v="KG"/>
    <n v="0"/>
    <n v="0"/>
    <n v="205.05"/>
    <n v="100"/>
    <n v="0"/>
    <n v="109467"/>
    <n v="1094.67"/>
    <x v="81"/>
    <n v="15325.380000000001"/>
    <x v="3"/>
  </r>
  <r>
    <x v="15"/>
    <s v="Jan Urbanek"/>
    <x v="0"/>
    <x v="481"/>
    <x v="481"/>
    <n v="18"/>
    <s v="KG"/>
    <n v="0"/>
    <n v="0"/>
    <n v="205.05"/>
    <n v="100"/>
    <n v="0"/>
    <n v="109467"/>
    <n v="1094.67"/>
    <x v="81"/>
    <n v="19704.060000000001"/>
    <x v="3"/>
  </r>
  <r>
    <x v="19"/>
    <s v="Volkan Batkan"/>
    <x v="0"/>
    <x v="482"/>
    <x v="482"/>
    <n v="1"/>
    <s v="ADET"/>
    <n v="1"/>
    <n v="1"/>
    <n v="5"/>
    <n v="0"/>
    <n v="0"/>
    <n v="0"/>
    <n v="3500"/>
    <x v="103"/>
    <n v="3500"/>
    <x v="7"/>
  </r>
  <r>
    <x v="11"/>
    <s v="Jan Urbanek"/>
    <x v="0"/>
    <x v="481"/>
    <x v="481"/>
    <n v="18"/>
    <s v="KG"/>
    <n v="0"/>
    <n v="0"/>
    <n v="205.05"/>
    <n v="100"/>
    <n v="0"/>
    <n v="109467"/>
    <n v="1094.67"/>
    <x v="81"/>
    <n v="19704.060000000001"/>
    <x v="3"/>
  </r>
  <r>
    <x v="0"/>
    <s v="Soner Kayıkçı"/>
    <x v="0"/>
    <x v="438"/>
    <x v="438"/>
    <n v="45"/>
    <s v="M2"/>
    <n v="0"/>
    <n v="0"/>
    <n v="252.50000000000003"/>
    <n v="402.5"/>
    <n v="19.5"/>
    <n v="81928.875"/>
    <n v="203.55"/>
    <x v="63"/>
    <n v="9159.75"/>
    <x v="8"/>
  </r>
  <r>
    <x v="2"/>
    <s v="Laurent MONTAGNER"/>
    <x v="0"/>
    <x v="438"/>
    <x v="438"/>
    <n v="50"/>
    <s v="M2"/>
    <n v="0"/>
    <n v="0"/>
    <n v="252.50000000000003"/>
    <n v="402.5"/>
    <n v="19.5"/>
    <n v="81928.875"/>
    <n v="203.55"/>
    <x v="63"/>
    <n v="10177.5"/>
    <x v="8"/>
  </r>
  <r>
    <x v="17"/>
    <s v="Murat Taşdemir"/>
    <x v="0"/>
    <x v="438"/>
    <x v="438"/>
    <n v="55"/>
    <s v="M2"/>
    <n v="0"/>
    <n v="0"/>
    <n v="252.50000000000003"/>
    <n v="402.5"/>
    <n v="19.5"/>
    <n v="81928.875"/>
    <n v="203.55"/>
    <x v="63"/>
    <n v="11195.25"/>
    <x v="8"/>
  </r>
  <r>
    <x v="9"/>
    <s v="Jan Urbanek"/>
    <x v="0"/>
    <x v="448"/>
    <x v="448"/>
    <n v="2"/>
    <s v="ADET"/>
    <n v="0"/>
    <n v="5"/>
    <n v="24"/>
    <n v="11"/>
    <n v="0"/>
    <n v="164408.75"/>
    <n v="14946.25"/>
    <x v="68"/>
    <n v="29892.5"/>
    <x v="4"/>
  </r>
  <r>
    <x v="15"/>
    <s v="Jan Urbanek"/>
    <x v="0"/>
    <x v="408"/>
    <x v="408"/>
    <n v="4"/>
    <s v="ADET"/>
    <n v="0"/>
    <n v="46"/>
    <n v="12"/>
    <n v="-14"/>
    <n v="0"/>
    <n v="0"/>
    <n v="100"/>
    <x v="91"/>
    <n v="400"/>
    <x v="6"/>
  </r>
  <r>
    <x v="15"/>
    <s v="Jan Urbanek"/>
    <x v="0"/>
    <x v="409"/>
    <x v="409"/>
    <n v="4"/>
    <s v="ADET"/>
    <n v="0"/>
    <n v="250"/>
    <n v="302"/>
    <n v="-202"/>
    <n v="0"/>
    <n v="0"/>
    <n v="0.9"/>
    <x v="15"/>
    <n v="3.6"/>
    <x v="7"/>
  </r>
  <r>
    <x v="19"/>
    <s v="Volkan Batkan"/>
    <x v="0"/>
    <x v="410"/>
    <x v="410"/>
    <n v="4"/>
    <s v="ADET"/>
    <n v="0"/>
    <n v="25"/>
    <n v="14"/>
    <n v="7"/>
    <n v="0"/>
    <n v="1206.6599999999999"/>
    <n v="172.38"/>
    <x v="74"/>
    <n v="689.52"/>
    <x v="6"/>
  </r>
  <r>
    <x v="15"/>
    <s v="Jan Urbanek"/>
    <x v="0"/>
    <x v="410"/>
    <x v="410"/>
    <n v="4"/>
    <s v="ADET"/>
    <n v="0"/>
    <n v="25"/>
    <n v="14"/>
    <n v="7"/>
    <n v="0"/>
    <n v="1206.6599999999999"/>
    <n v="172.38"/>
    <x v="74"/>
    <n v="689.52"/>
    <x v="6"/>
  </r>
  <r>
    <x v="13"/>
    <s v="Matteo Giolo"/>
    <x v="0"/>
    <x v="412"/>
    <x v="412"/>
    <n v="1"/>
    <s v="ADET"/>
    <n v="0"/>
    <n v="15"/>
    <n v="11"/>
    <n v="-4"/>
    <n v="0"/>
    <n v="0"/>
    <n v="510"/>
    <x v="53"/>
    <n v="510"/>
    <x v="4"/>
  </r>
  <r>
    <x v="0"/>
    <s v="Soner Kayıkçı"/>
    <x v="0"/>
    <x v="408"/>
    <x v="408"/>
    <n v="4"/>
    <s v="ADET"/>
    <n v="0"/>
    <n v="46"/>
    <n v="12"/>
    <n v="-14"/>
    <n v="0"/>
    <n v="0"/>
    <n v="100"/>
    <x v="91"/>
    <n v="400"/>
    <x v="6"/>
  </r>
  <r>
    <x v="0"/>
    <s v="Soner Kayıkçı"/>
    <x v="0"/>
    <x v="409"/>
    <x v="409"/>
    <n v="2"/>
    <s v="ADET"/>
    <n v="0"/>
    <n v="250"/>
    <n v="302"/>
    <n v="-202"/>
    <n v="0"/>
    <n v="0"/>
    <n v="0.9"/>
    <x v="15"/>
    <n v="1.8"/>
    <x v="7"/>
  </r>
  <r>
    <x v="10"/>
    <s v="Jan Urbanek"/>
    <x v="0"/>
    <x v="412"/>
    <x v="412"/>
    <n v="1"/>
    <s v="ADET"/>
    <n v="0"/>
    <n v="15"/>
    <n v="11"/>
    <n v="-4"/>
    <n v="0"/>
    <n v="0"/>
    <n v="510"/>
    <x v="53"/>
    <n v="510"/>
    <x v="4"/>
  </r>
  <r>
    <x v="13"/>
    <s v="Matteo Giolo"/>
    <x v="0"/>
    <x v="407"/>
    <x v="407"/>
    <n v="1"/>
    <s v="ADET"/>
    <n v="0"/>
    <n v="5"/>
    <n v="8"/>
    <n v="5"/>
    <n v="0"/>
    <n v="30523.449999999997"/>
    <n v="6104.69"/>
    <x v="13"/>
    <n v="6104.69"/>
    <x v="7"/>
  </r>
  <r>
    <x v="16"/>
    <s v="Stefan Zaugg"/>
    <x v="0"/>
    <x v="408"/>
    <x v="408"/>
    <n v="4"/>
    <s v="ADET"/>
    <n v="0"/>
    <n v="46"/>
    <n v="12"/>
    <n v="-14"/>
    <n v="0"/>
    <n v="0"/>
    <n v="100"/>
    <x v="91"/>
    <n v="400"/>
    <x v="6"/>
  </r>
  <r>
    <x v="14"/>
    <s v="Stefan Zaugg"/>
    <x v="0"/>
    <x v="408"/>
    <x v="408"/>
    <n v="4"/>
    <s v="ADET"/>
    <n v="4"/>
    <n v="46"/>
    <n v="12"/>
    <n v="-14"/>
    <n v="0"/>
    <n v="0"/>
    <n v="100"/>
    <x v="91"/>
    <n v="400"/>
    <x v="6"/>
  </r>
  <r>
    <x v="16"/>
    <s v="Stefan Zaugg"/>
    <x v="0"/>
    <x v="409"/>
    <x v="409"/>
    <n v="4"/>
    <s v="ADET"/>
    <n v="0"/>
    <n v="250"/>
    <n v="302"/>
    <n v="-202"/>
    <n v="0"/>
    <n v="0"/>
    <n v="0.9"/>
    <x v="15"/>
    <n v="3.6"/>
    <x v="7"/>
  </r>
  <r>
    <x v="14"/>
    <s v="Stefan Zaugg"/>
    <x v="0"/>
    <x v="409"/>
    <x v="409"/>
    <n v="4"/>
    <s v="ADET"/>
    <n v="0"/>
    <n v="250"/>
    <n v="302"/>
    <n v="-202"/>
    <n v="0"/>
    <n v="0"/>
    <n v="0.9"/>
    <x v="15"/>
    <n v="3.6"/>
    <x v="7"/>
  </r>
  <r>
    <x v="14"/>
    <s v="Stefan Zaugg"/>
    <x v="0"/>
    <x v="411"/>
    <x v="411"/>
    <n v="12"/>
    <s v="ADET"/>
    <n v="0"/>
    <n v="178"/>
    <n v="0"/>
    <n v="-142"/>
    <n v="0"/>
    <n v="0"/>
    <n v="3.45"/>
    <x v="83"/>
    <n v="41.400000000000006"/>
    <x v="2"/>
  </r>
  <r>
    <x v="15"/>
    <s v="Jan Urbanek"/>
    <x v="0"/>
    <x v="412"/>
    <x v="412"/>
    <n v="1"/>
    <s v="ADET"/>
    <n v="0"/>
    <n v="15"/>
    <n v="11"/>
    <n v="-4"/>
    <n v="0"/>
    <n v="0"/>
    <n v="510"/>
    <x v="53"/>
    <n v="510"/>
    <x v="4"/>
  </r>
  <r>
    <x v="18"/>
    <s v="Hayriye Güven"/>
    <x v="0"/>
    <x v="407"/>
    <x v="407"/>
    <n v="1"/>
    <s v="ADET"/>
    <n v="0"/>
    <n v="5"/>
    <n v="8"/>
    <n v="5"/>
    <n v="0"/>
    <n v="30523.449999999997"/>
    <n v="6104.69"/>
    <x v="13"/>
    <n v="6104.69"/>
    <x v="7"/>
  </r>
  <r>
    <x v="19"/>
    <s v="Volkan Batkan"/>
    <x v="0"/>
    <x v="411"/>
    <x v="411"/>
    <n v="12"/>
    <s v="ADET"/>
    <n v="0"/>
    <n v="178"/>
    <n v="0"/>
    <n v="-142"/>
    <n v="0"/>
    <n v="0"/>
    <n v="3.45"/>
    <x v="83"/>
    <n v="41.400000000000006"/>
    <x v="2"/>
  </r>
  <r>
    <x v="17"/>
    <s v="Murat Taşdemir"/>
    <x v="0"/>
    <x v="409"/>
    <x v="409"/>
    <n v="4"/>
    <s v="ADET"/>
    <n v="0"/>
    <n v="250"/>
    <n v="302"/>
    <n v="-202"/>
    <n v="0"/>
    <n v="0"/>
    <n v="0.9"/>
    <x v="15"/>
    <n v="3.6"/>
    <x v="7"/>
  </r>
  <r>
    <x v="19"/>
    <s v="Volkan Batkan"/>
    <x v="0"/>
    <x v="412"/>
    <x v="412"/>
    <n v="1"/>
    <s v="ADET"/>
    <n v="1"/>
    <n v="15"/>
    <n v="11"/>
    <n v="-4"/>
    <n v="0"/>
    <n v="0"/>
    <n v="510"/>
    <x v="53"/>
    <n v="510"/>
    <x v="4"/>
  </r>
  <r>
    <x v="16"/>
    <s v="Stefan Zaugg"/>
    <x v="0"/>
    <x v="412"/>
    <x v="412"/>
    <n v="1"/>
    <s v="ADET"/>
    <n v="1"/>
    <n v="15"/>
    <n v="11"/>
    <n v="-4"/>
    <n v="0"/>
    <n v="0"/>
    <n v="510"/>
    <x v="53"/>
    <n v="510"/>
    <x v="4"/>
  </r>
  <r>
    <x v="4"/>
    <s v="Stefan Zaugg"/>
    <x v="0"/>
    <x v="483"/>
    <x v="483"/>
    <n v="2"/>
    <s v="ADET"/>
    <n v="2"/>
    <n v="3"/>
    <n v="6"/>
    <n v="-3"/>
    <n v="0"/>
    <n v="0"/>
    <n v="100"/>
    <x v="2"/>
    <n v="200"/>
    <x v="2"/>
  </r>
  <r>
    <x v="17"/>
    <s v="Murat Taşdemir"/>
    <x v="0"/>
    <x v="217"/>
    <x v="217"/>
    <n v="4"/>
    <s v="ADET"/>
    <n v="4"/>
    <n v="39"/>
    <n v="32"/>
    <n v="-11"/>
    <n v="0"/>
    <n v="0"/>
    <n v="73.349999999999994"/>
    <x v="13"/>
    <n v="293.39999999999998"/>
    <x v="7"/>
  </r>
  <r>
    <x v="16"/>
    <s v="Stefan Zaugg"/>
    <x v="0"/>
    <x v="209"/>
    <x v="209"/>
    <n v="1"/>
    <s v="ADET"/>
    <n v="1"/>
    <n v="6"/>
    <n v="7"/>
    <n v="2"/>
    <n v="0"/>
    <n v="4960.92"/>
    <n v="2480.46"/>
    <x v="13"/>
    <n v="2480.46"/>
    <x v="7"/>
  </r>
  <r>
    <x v="0"/>
    <s v="Soner Kayıkçı"/>
    <x v="0"/>
    <x v="412"/>
    <x v="412"/>
    <n v="1"/>
    <s v="ADET"/>
    <n v="0"/>
    <n v="15"/>
    <n v="11"/>
    <n v="-4"/>
    <n v="0"/>
    <n v="0"/>
    <n v="510"/>
    <x v="53"/>
    <n v="510"/>
    <x v="4"/>
  </r>
  <r>
    <x v="1"/>
    <s v="Stina Alm"/>
    <x v="0"/>
    <x v="412"/>
    <x v="412"/>
    <n v="1"/>
    <s v="ADET"/>
    <n v="0"/>
    <n v="15"/>
    <n v="11"/>
    <n v="-4"/>
    <n v="0"/>
    <n v="0"/>
    <n v="510"/>
    <x v="53"/>
    <n v="510"/>
    <x v="4"/>
  </r>
  <r>
    <x v="16"/>
    <s v="Stefan Zaugg"/>
    <x v="0"/>
    <x v="114"/>
    <x v="114"/>
    <n v="4"/>
    <s v="ADET"/>
    <n v="4"/>
    <n v="230"/>
    <n v="72"/>
    <n v="-172"/>
    <n v="0"/>
    <n v="0"/>
    <n v="225"/>
    <x v="42"/>
    <n v="900"/>
    <x v="6"/>
  </r>
  <r>
    <x v="12"/>
    <s v="Matteo Giolo"/>
    <x v="0"/>
    <x v="462"/>
    <x v="462"/>
    <n v="1"/>
    <s v="ADET"/>
    <n v="0"/>
    <n v="10"/>
    <n v="16"/>
    <n v="2"/>
    <n v="0"/>
    <n v="233.34"/>
    <n v="116.67"/>
    <x v="85"/>
    <n v="116.67"/>
    <x v="6"/>
  </r>
  <r>
    <x v="0"/>
    <s v="Soner Kayıkçı"/>
    <x v="0"/>
    <x v="484"/>
    <x v="484"/>
    <n v="1"/>
    <s v="ADET"/>
    <n v="0"/>
    <n v="2"/>
    <n v="1"/>
    <n v="-1"/>
    <n v="2"/>
    <n v="0"/>
    <n v="41000"/>
    <x v="104"/>
    <n v="41000"/>
    <x v="11"/>
  </r>
  <r>
    <x v="10"/>
    <s v="Jan Urbanek"/>
    <x v="0"/>
    <x v="398"/>
    <x v="398"/>
    <n v="2"/>
    <s v="ADET"/>
    <n v="0"/>
    <n v="0"/>
    <n v="10"/>
    <n v="24"/>
    <n v="0"/>
    <n v="1358.4"/>
    <n v="56.6"/>
    <x v="74"/>
    <n v="113.2"/>
    <x v="6"/>
  </r>
  <r>
    <x v="9"/>
    <s v="Jan Urbanek"/>
    <x v="0"/>
    <x v="398"/>
    <x v="398"/>
    <n v="2"/>
    <s v="ADET"/>
    <n v="0"/>
    <n v="0"/>
    <n v="10"/>
    <n v="24"/>
    <n v="0"/>
    <n v="1358.4"/>
    <n v="56.6"/>
    <x v="74"/>
    <n v="113.2"/>
    <x v="6"/>
  </r>
  <r>
    <x v="9"/>
    <s v="Jan Urbanek"/>
    <x v="0"/>
    <x v="394"/>
    <x v="394"/>
    <n v="16"/>
    <s v="ADET"/>
    <n v="0"/>
    <n v="442"/>
    <n v="0"/>
    <n v="-64"/>
    <n v="0"/>
    <n v="0"/>
    <n v="9.35"/>
    <x v="8"/>
    <n v="149.6"/>
    <x v="2"/>
  </r>
  <r>
    <x v="8"/>
    <s v="Jan Urbanek"/>
    <x v="0"/>
    <x v="394"/>
    <x v="394"/>
    <n v="16"/>
    <s v="ADET"/>
    <n v="0"/>
    <n v="442"/>
    <n v="0"/>
    <n v="-64"/>
    <n v="0"/>
    <n v="0"/>
    <n v="9.35"/>
    <x v="8"/>
    <n v="149.6"/>
    <x v="2"/>
  </r>
  <r>
    <x v="10"/>
    <s v="Jan Urbanek"/>
    <x v="0"/>
    <x v="399"/>
    <x v="399"/>
    <n v="2"/>
    <s v="ADET"/>
    <n v="0"/>
    <n v="27"/>
    <n v="16"/>
    <n v="-3"/>
    <n v="0"/>
    <n v="0"/>
    <n v="66.23"/>
    <x v="13"/>
    <n v="132.46"/>
    <x v="7"/>
  </r>
  <r>
    <x v="8"/>
    <s v="Jan Urbanek"/>
    <x v="0"/>
    <x v="399"/>
    <x v="399"/>
    <n v="2"/>
    <s v="ADET"/>
    <n v="0"/>
    <n v="27"/>
    <n v="16"/>
    <n v="-3"/>
    <n v="0"/>
    <n v="0"/>
    <n v="66.23"/>
    <x v="13"/>
    <n v="132.46"/>
    <x v="7"/>
  </r>
  <r>
    <x v="9"/>
    <s v="Jan Urbanek"/>
    <x v="0"/>
    <x v="395"/>
    <x v="395"/>
    <n v="0.36"/>
    <s v="M2"/>
    <n v="0"/>
    <n v="0"/>
    <n v="30.76"/>
    <n v="4.4400000000000004"/>
    <n v="0"/>
    <n v="7762.0524000000005"/>
    <n v="1748.21"/>
    <x v="63"/>
    <n v="629.35559999999998"/>
    <x v="8"/>
  </r>
  <r>
    <x v="10"/>
    <s v="Jan Urbanek"/>
    <x v="0"/>
    <x v="439"/>
    <x v="439"/>
    <n v="4"/>
    <s v="ADET"/>
    <n v="0"/>
    <n v="0"/>
    <n v="0"/>
    <n v="24"/>
    <n v="0"/>
    <n v="21.12"/>
    <n v="0.88"/>
    <x v="49"/>
    <n v="3.52"/>
    <x v="7"/>
  </r>
  <r>
    <x v="10"/>
    <s v="Jan Urbanek"/>
    <x v="0"/>
    <x v="396"/>
    <x v="396"/>
    <n v="1"/>
    <s v="ADET"/>
    <n v="0"/>
    <n v="2"/>
    <n v="7"/>
    <n v="10"/>
    <n v="0"/>
    <n v="121389.3"/>
    <n v="12138.93"/>
    <x v="24"/>
    <n v="12138.93"/>
    <x v="6"/>
  </r>
  <r>
    <x v="16"/>
    <s v="Stefan Zaugg"/>
    <x v="0"/>
    <x v="464"/>
    <x v="464"/>
    <n v="0.2"/>
    <s v="METRE"/>
    <n v="0"/>
    <n v="200"/>
    <n v="85.649999999999977"/>
    <n v="-196.4"/>
    <n v="0"/>
    <n v="0"/>
    <n v="3.62"/>
    <x v="15"/>
    <n v="0.72400000000000009"/>
    <x v="7"/>
  </r>
  <r>
    <x v="17"/>
    <s v="Murat Taşdemir"/>
    <x v="0"/>
    <x v="464"/>
    <x v="464"/>
    <n v="0.2"/>
    <s v="METRE"/>
    <n v="0"/>
    <n v="200"/>
    <n v="85.649999999999977"/>
    <n v="-196.4"/>
    <n v="0"/>
    <n v="0"/>
    <n v="3.62"/>
    <x v="15"/>
    <n v="0.72400000000000009"/>
    <x v="7"/>
  </r>
  <r>
    <x v="2"/>
    <s v="Laurent MONTAGNER"/>
    <x v="0"/>
    <x v="444"/>
    <x v="444"/>
    <n v="1.05"/>
    <s v="ADET"/>
    <n v="0"/>
    <n v="2"/>
    <n v="-6.3837823915946501E-16"/>
    <n v="1.4000000000000004"/>
    <n v="0"/>
    <n v="3889.2000000000012"/>
    <n v="2778"/>
    <x v="35"/>
    <n v="2916.9"/>
    <x v="3"/>
  </r>
  <r>
    <x v="2"/>
    <s v="Laurent MONTAGNER"/>
    <x v="0"/>
    <x v="445"/>
    <x v="445"/>
    <n v="0.1"/>
    <s v="ADET"/>
    <n v="0"/>
    <n v="2"/>
    <n v="1.7763568394002505E-15"/>
    <n v="-0.84999999999999964"/>
    <n v="0"/>
    <n v="0"/>
    <n v="1400"/>
    <x v="35"/>
    <n v="140"/>
    <x v="3"/>
  </r>
  <r>
    <x v="9"/>
    <s v="Jan Urbanek"/>
    <x v="0"/>
    <x v="445"/>
    <x v="445"/>
    <n v="0.05"/>
    <s v="ADET"/>
    <n v="0"/>
    <n v="2"/>
    <n v="1.7763568394002505E-15"/>
    <n v="-0.84999999999999964"/>
    <n v="0"/>
    <n v="0"/>
    <n v="1400"/>
    <x v="35"/>
    <n v="70"/>
    <x v="3"/>
  </r>
  <r>
    <x v="8"/>
    <s v="Jan Urbanek"/>
    <x v="0"/>
    <x v="445"/>
    <x v="445"/>
    <n v="0.05"/>
    <s v="ADET"/>
    <n v="0"/>
    <n v="2"/>
    <n v="1.7763568394002505E-15"/>
    <n v="-0.84999999999999964"/>
    <n v="0"/>
    <n v="0"/>
    <n v="1400"/>
    <x v="35"/>
    <n v="70"/>
    <x v="3"/>
  </r>
  <r>
    <x v="10"/>
    <s v="Jan Urbanek"/>
    <x v="0"/>
    <x v="446"/>
    <x v="446"/>
    <n v="2"/>
    <s v="ADET"/>
    <n v="0"/>
    <n v="115"/>
    <n v="2"/>
    <n v="-77"/>
    <n v="0"/>
    <n v="0"/>
    <n v="0.44"/>
    <x v="57"/>
    <n v="0.88"/>
    <x v="7"/>
  </r>
  <r>
    <x v="16"/>
    <s v="Stefan Zaugg"/>
    <x v="0"/>
    <x v="467"/>
    <x v="467"/>
    <n v="4"/>
    <s v="ADET"/>
    <n v="0"/>
    <n v="40"/>
    <n v="0"/>
    <n v="-28"/>
    <n v="0"/>
    <n v="0"/>
    <n v="33"/>
    <x v="2"/>
    <n v="132"/>
    <x v="2"/>
  </r>
  <r>
    <x v="14"/>
    <s v="Stefan Zaugg"/>
    <x v="0"/>
    <x v="467"/>
    <x v="467"/>
    <n v="4"/>
    <s v="ADET"/>
    <n v="0"/>
    <n v="40"/>
    <n v="0"/>
    <n v="-28"/>
    <n v="0"/>
    <n v="0"/>
    <n v="33"/>
    <x v="2"/>
    <n v="132"/>
    <x v="2"/>
  </r>
  <r>
    <x v="9"/>
    <s v="Jan Urbanek"/>
    <x v="0"/>
    <x v="446"/>
    <x v="446"/>
    <n v="2"/>
    <s v="ADET"/>
    <n v="0"/>
    <n v="115"/>
    <n v="2"/>
    <n v="-77"/>
    <n v="0"/>
    <n v="0"/>
    <n v="0.44"/>
    <x v="57"/>
    <n v="0.88"/>
    <x v="7"/>
  </r>
  <r>
    <x v="8"/>
    <s v="Jan Urbanek"/>
    <x v="0"/>
    <x v="446"/>
    <x v="446"/>
    <n v="2"/>
    <s v="ADET"/>
    <n v="0"/>
    <n v="115"/>
    <n v="2"/>
    <n v="-77"/>
    <n v="0"/>
    <n v="0"/>
    <n v="0.44"/>
    <x v="57"/>
    <n v="0.88"/>
    <x v="7"/>
  </r>
  <r>
    <x v="15"/>
    <s v="Jan Urbanek"/>
    <x v="0"/>
    <x v="393"/>
    <x v="393"/>
    <n v="2"/>
    <s v="ADET"/>
    <n v="0"/>
    <n v="452"/>
    <n v="25"/>
    <n v="-428"/>
    <n v="0"/>
    <n v="0"/>
    <n v="20"/>
    <x v="5"/>
    <n v="40"/>
    <x v="7"/>
  </r>
  <r>
    <x v="13"/>
    <s v="Matteo Giolo"/>
    <x v="0"/>
    <x v="393"/>
    <x v="393"/>
    <n v="2"/>
    <s v="ADET"/>
    <n v="0"/>
    <n v="452"/>
    <n v="25"/>
    <n v="-428"/>
    <n v="0"/>
    <n v="0"/>
    <n v="20"/>
    <x v="5"/>
    <n v="40"/>
    <x v="7"/>
  </r>
  <r>
    <x v="13"/>
    <s v="Matteo Giolo"/>
    <x v="0"/>
    <x v="441"/>
    <x v="441"/>
    <n v="1"/>
    <s v="ADET"/>
    <n v="0"/>
    <n v="0"/>
    <n v="2"/>
    <n v="8"/>
    <n v="0"/>
    <n v="191760"/>
    <n v="23970"/>
    <x v="98"/>
    <n v="23970"/>
    <x v="6"/>
  </r>
  <r>
    <x v="17"/>
    <s v="Murat Taşdemir"/>
    <x v="0"/>
    <x v="444"/>
    <x v="444"/>
    <n v="0.05"/>
    <s v="ADET"/>
    <n v="0"/>
    <n v="2"/>
    <n v="-6.3837823915946501E-16"/>
    <n v="1.4000000000000004"/>
    <n v="0"/>
    <n v="3889.2000000000012"/>
    <n v="2778"/>
    <x v="35"/>
    <n v="138.9"/>
    <x v="3"/>
  </r>
  <r>
    <x v="17"/>
    <s v="Murat Taşdemir"/>
    <x v="0"/>
    <x v="445"/>
    <x v="445"/>
    <n v="0.05"/>
    <s v="ADET"/>
    <n v="0"/>
    <n v="2"/>
    <n v="1.7763568394002505E-15"/>
    <n v="-0.84999999999999964"/>
    <n v="0"/>
    <n v="0"/>
    <n v="1400"/>
    <x v="35"/>
    <n v="70"/>
    <x v="3"/>
  </r>
  <r>
    <x v="0"/>
    <s v="Soner Kayıkçı"/>
    <x v="0"/>
    <x v="445"/>
    <x v="445"/>
    <n v="0.05"/>
    <s v="ADET"/>
    <n v="0"/>
    <n v="2"/>
    <n v="1.7763568394002505E-15"/>
    <n v="-0.84999999999999964"/>
    <n v="0"/>
    <n v="0"/>
    <n v="1400"/>
    <x v="35"/>
    <n v="70"/>
    <x v="3"/>
  </r>
  <r>
    <x v="8"/>
    <s v="Jan Urbanek"/>
    <x v="0"/>
    <x v="448"/>
    <x v="448"/>
    <n v="2"/>
    <s v="ADET"/>
    <n v="0"/>
    <n v="5"/>
    <n v="24"/>
    <n v="11"/>
    <n v="0"/>
    <n v="164408.75"/>
    <n v="14946.25"/>
    <x v="68"/>
    <n v="29892.5"/>
    <x v="4"/>
  </r>
  <r>
    <x v="10"/>
    <s v="Jan Urbanek"/>
    <x v="0"/>
    <x v="438"/>
    <x v="438"/>
    <n v="15"/>
    <s v="M2"/>
    <n v="0"/>
    <n v="0"/>
    <n v="252.50000000000003"/>
    <n v="402.5"/>
    <n v="19.5"/>
    <n v="81928.875"/>
    <n v="203.55"/>
    <x v="63"/>
    <n v="3053.25"/>
    <x v="8"/>
  </r>
  <r>
    <x v="11"/>
    <s v="Jan Urbanek"/>
    <x v="0"/>
    <x v="448"/>
    <x v="448"/>
    <n v="2"/>
    <s v="ADET"/>
    <n v="0"/>
    <n v="5"/>
    <n v="24"/>
    <n v="11"/>
    <n v="0"/>
    <n v="164408.75"/>
    <n v="14946.25"/>
    <x v="68"/>
    <n v="29892.5"/>
    <x v="4"/>
  </r>
  <r>
    <x v="16"/>
    <s v="Stefan Zaugg"/>
    <x v="0"/>
    <x v="481"/>
    <x v="481"/>
    <n v="14"/>
    <s v="KG"/>
    <n v="0"/>
    <n v="0"/>
    <n v="205.05"/>
    <n v="100"/>
    <n v="0"/>
    <n v="109467"/>
    <n v="1094.67"/>
    <x v="81"/>
    <n v="15325.380000000001"/>
    <x v="3"/>
  </r>
  <r>
    <x v="6"/>
    <s v="Laurent MONTAGNER"/>
    <x v="0"/>
    <x v="448"/>
    <x v="448"/>
    <n v="2"/>
    <s v="ADET"/>
    <n v="2"/>
    <n v="5"/>
    <n v="24"/>
    <n v="11"/>
    <n v="0"/>
    <n v="164408.75"/>
    <n v="14946.25"/>
    <x v="68"/>
    <n v="29892.5"/>
    <x v="4"/>
  </r>
  <r>
    <x v="10"/>
    <s v="Jan Urbanek"/>
    <x v="0"/>
    <x v="448"/>
    <x v="448"/>
    <n v="2"/>
    <s v="ADET"/>
    <n v="0"/>
    <n v="5"/>
    <n v="24"/>
    <n v="11"/>
    <n v="0"/>
    <n v="164408.75"/>
    <n v="14946.25"/>
    <x v="68"/>
    <n v="29892.5"/>
    <x v="4"/>
  </r>
  <r>
    <x v="8"/>
    <s v="Jan Urbanek"/>
    <x v="0"/>
    <x v="438"/>
    <x v="438"/>
    <n v="15"/>
    <s v="M2"/>
    <n v="0"/>
    <n v="0"/>
    <n v="252.50000000000003"/>
    <n v="402.5"/>
    <n v="19.5"/>
    <n v="81928.875"/>
    <n v="203.55"/>
    <x v="63"/>
    <n v="3053.25"/>
    <x v="8"/>
  </r>
  <r>
    <x v="9"/>
    <s v="Jan Urbanek"/>
    <x v="0"/>
    <x v="438"/>
    <x v="438"/>
    <n v="15"/>
    <s v="M2"/>
    <n v="0"/>
    <n v="0"/>
    <n v="252.50000000000003"/>
    <n v="402.5"/>
    <n v="19.5"/>
    <n v="81928.875"/>
    <n v="203.55"/>
    <x v="63"/>
    <n v="3053.25"/>
    <x v="8"/>
  </r>
  <r>
    <x v="17"/>
    <s v="Murat Taşdemir"/>
    <x v="0"/>
    <x v="63"/>
    <x v="63"/>
    <n v="11.67"/>
    <s v="KG"/>
    <n v="11.67"/>
    <n v="0"/>
    <n v="233.6899999999996"/>
    <n v="63.129999999999995"/>
    <n v="0"/>
    <n v="6403.9071999999996"/>
    <n v="101.44"/>
    <x v="3"/>
    <n v="1183.8047999999999"/>
    <x v="3"/>
  </r>
  <r>
    <x v="19"/>
    <s v="Volkan Batkan"/>
    <x v="0"/>
    <x v="143"/>
    <x v="143"/>
    <n v="0.55000000000000004"/>
    <s v="ADET"/>
    <n v="0.55000000000000004"/>
    <n v="0"/>
    <n v="5.5999999999999988"/>
    <n v="7.2"/>
    <n v="0"/>
    <n v="1170.0719999999999"/>
    <n v="162.51"/>
    <x v="3"/>
    <n v="89.380499999999998"/>
    <x v="3"/>
  </r>
  <r>
    <x v="1"/>
    <s v="Stina Alm"/>
    <x v="0"/>
    <x v="481"/>
    <x v="481"/>
    <n v="18"/>
    <s v="KG"/>
    <n v="0"/>
    <n v="0"/>
    <n v="205.05"/>
    <n v="100"/>
    <n v="0"/>
    <n v="109467"/>
    <n v="1094.67"/>
    <x v="81"/>
    <n v="19704.060000000001"/>
    <x v="3"/>
  </r>
  <r>
    <x v="16"/>
    <s v="Stefan Zaugg"/>
    <x v="0"/>
    <x v="282"/>
    <x v="282"/>
    <n v="5"/>
    <s v="ADET"/>
    <n v="5"/>
    <n v="300"/>
    <n v="325"/>
    <n v="-192"/>
    <n v="0"/>
    <n v="0"/>
    <n v="12"/>
    <x v="2"/>
    <n v="60"/>
    <x v="2"/>
  </r>
  <r>
    <x v="4"/>
    <s v="Stefan Zaugg"/>
    <x v="0"/>
    <x v="282"/>
    <x v="282"/>
    <n v="5"/>
    <s v="ADET"/>
    <n v="5"/>
    <n v="300"/>
    <n v="325"/>
    <n v="-192"/>
    <n v="0"/>
    <n v="0"/>
    <n v="12"/>
    <x v="2"/>
    <n v="60"/>
    <x v="2"/>
  </r>
  <r>
    <x v="14"/>
    <s v="Stefan Zaugg"/>
    <x v="0"/>
    <x v="282"/>
    <x v="282"/>
    <n v="5"/>
    <s v="ADET"/>
    <n v="5"/>
    <n v="300"/>
    <n v="325"/>
    <n v="-192"/>
    <n v="0"/>
    <n v="0"/>
    <n v="12"/>
    <x v="2"/>
    <n v="60"/>
    <x v="2"/>
  </r>
  <r>
    <x v="16"/>
    <s v="Stefan Zaugg"/>
    <x v="0"/>
    <x v="143"/>
    <x v="143"/>
    <n v="0.7"/>
    <s v="ADET"/>
    <n v="0.7"/>
    <n v="0"/>
    <n v="5.5999999999999988"/>
    <n v="7.2"/>
    <n v="0"/>
    <n v="1170.0719999999999"/>
    <n v="162.51"/>
    <x v="3"/>
    <n v="113.75699999999999"/>
    <x v="3"/>
  </r>
  <r>
    <x v="19"/>
    <s v="Volkan Batkan"/>
    <x v="0"/>
    <x v="294"/>
    <x v="294"/>
    <n v="1"/>
    <s v="ADET"/>
    <n v="1"/>
    <n v="24"/>
    <n v="14"/>
    <n v="-15"/>
    <n v="0"/>
    <n v="0"/>
    <n v="15"/>
    <x v="20"/>
    <n v="15"/>
    <x v="7"/>
  </r>
  <r>
    <x v="19"/>
    <s v="Volkan Batkan"/>
    <x v="0"/>
    <x v="37"/>
    <x v="37"/>
    <n v="1"/>
    <s v="ADET"/>
    <n v="1"/>
    <n v="7"/>
    <n v="10"/>
    <n v="6"/>
    <n v="0"/>
    <n v="20303.939999999999"/>
    <n v="3383.99"/>
    <x v="19"/>
    <n v="3383.99"/>
    <x v="7"/>
  </r>
  <r>
    <x v="16"/>
    <s v="Stefan Zaugg"/>
    <x v="0"/>
    <x v="144"/>
    <x v="144"/>
    <n v="1"/>
    <s v="ADET"/>
    <n v="1"/>
    <n v="3"/>
    <n v="11"/>
    <n v="7"/>
    <n v="0"/>
    <n v="22092.98"/>
    <n v="3156.14"/>
    <x v="13"/>
    <n v="3156.14"/>
    <x v="7"/>
  </r>
  <r>
    <x v="9"/>
    <s v="Jan Urbanek"/>
    <x v="0"/>
    <x v="437"/>
    <x v="437"/>
    <n v="1"/>
    <s v="ADET"/>
    <n v="0"/>
    <n v="12"/>
    <n v="8"/>
    <n v="0"/>
    <n v="0"/>
    <n v="0"/>
    <n v="401.17"/>
    <x v="97"/>
    <n v="401.17"/>
    <x v="7"/>
  </r>
  <r>
    <x v="8"/>
    <s v="Jan Urbanek"/>
    <x v="0"/>
    <x v="437"/>
    <x v="437"/>
    <n v="1"/>
    <s v="ADET"/>
    <n v="0"/>
    <n v="12"/>
    <n v="8"/>
    <n v="0"/>
    <n v="0"/>
    <n v="0"/>
    <n v="401.17"/>
    <x v="97"/>
    <n v="401.17"/>
    <x v="7"/>
  </r>
  <r>
    <x v="16"/>
    <s v="Stefan Zaugg"/>
    <x v="0"/>
    <x v="371"/>
    <x v="371"/>
    <n v="1"/>
    <s v="M2"/>
    <n v="0"/>
    <n v="0"/>
    <n v="67.08499999999998"/>
    <n v="15"/>
    <n v="0"/>
    <n v="9778.0499999999993"/>
    <n v="651.87"/>
    <x v="63"/>
    <n v="651.87"/>
    <x v="8"/>
  </r>
  <r>
    <x v="15"/>
    <s v="Jan Urbanek"/>
    <x v="0"/>
    <x v="436"/>
    <x v="436"/>
    <n v="1"/>
    <s v="ADET"/>
    <n v="0"/>
    <n v="10"/>
    <n v="17"/>
    <n v="1"/>
    <n v="0"/>
    <n v="565.83000000000004"/>
    <n v="565.83000000000004"/>
    <x v="85"/>
    <n v="565.83000000000004"/>
    <x v="12"/>
  </r>
  <r>
    <x v="13"/>
    <s v="Matteo Giolo"/>
    <x v="0"/>
    <x v="436"/>
    <x v="436"/>
    <n v="1"/>
    <s v="ADET"/>
    <n v="0"/>
    <n v="10"/>
    <n v="17"/>
    <n v="1"/>
    <n v="0"/>
    <n v="565.83000000000004"/>
    <n v="565.83000000000004"/>
    <x v="85"/>
    <n v="565.83000000000004"/>
    <x v="12"/>
  </r>
  <r>
    <x v="13"/>
    <s v="Matteo Giolo"/>
    <x v="0"/>
    <x v="437"/>
    <x v="437"/>
    <n v="1"/>
    <s v="ADET"/>
    <n v="0"/>
    <n v="12"/>
    <n v="8"/>
    <n v="0"/>
    <n v="0"/>
    <n v="0"/>
    <n v="401.17"/>
    <x v="97"/>
    <n v="401.17"/>
    <x v="7"/>
  </r>
  <r>
    <x v="2"/>
    <s v="Laurent MONTAGNER"/>
    <x v="0"/>
    <x v="436"/>
    <x v="436"/>
    <n v="1"/>
    <s v="ADET"/>
    <n v="1"/>
    <n v="10"/>
    <n v="17"/>
    <n v="1"/>
    <n v="0"/>
    <n v="565.83000000000004"/>
    <n v="565.83000000000004"/>
    <x v="85"/>
    <n v="565.83000000000004"/>
    <x v="12"/>
  </r>
  <r>
    <x v="0"/>
    <s v="Soner Kayıkçı"/>
    <x v="0"/>
    <x v="436"/>
    <x v="436"/>
    <n v="1"/>
    <s v="ADET"/>
    <n v="0"/>
    <n v="10"/>
    <n v="17"/>
    <n v="1"/>
    <n v="0"/>
    <n v="565.83000000000004"/>
    <n v="565.83000000000004"/>
    <x v="85"/>
    <n v="565.83000000000004"/>
    <x v="12"/>
  </r>
  <r>
    <x v="0"/>
    <s v="Soner Kayıkçı"/>
    <x v="0"/>
    <x v="437"/>
    <x v="437"/>
    <n v="1"/>
    <s v="ADET"/>
    <n v="0"/>
    <n v="12"/>
    <n v="8"/>
    <n v="0"/>
    <n v="0"/>
    <n v="0"/>
    <n v="401.17"/>
    <x v="97"/>
    <n v="401.17"/>
    <x v="7"/>
  </r>
  <r>
    <x v="11"/>
    <s v="Jan Urbanek"/>
    <x v="0"/>
    <x v="437"/>
    <x v="437"/>
    <n v="1"/>
    <s v="ADET"/>
    <n v="0"/>
    <n v="12"/>
    <n v="8"/>
    <n v="0"/>
    <n v="0"/>
    <n v="0"/>
    <n v="401.17"/>
    <x v="97"/>
    <n v="401.17"/>
    <x v="7"/>
  </r>
  <r>
    <x v="17"/>
    <s v="Murat Taşdemir"/>
    <x v="0"/>
    <x v="370"/>
    <x v="370"/>
    <n v="0.5"/>
    <s v="ADET"/>
    <n v="0"/>
    <n v="100"/>
    <n v="0"/>
    <n v="-90.5"/>
    <n v="0"/>
    <n v="0"/>
    <n v="13.5"/>
    <x v="14"/>
    <n v="6.75"/>
    <x v="2"/>
  </r>
  <r>
    <x v="19"/>
    <s v="Volkan Batkan"/>
    <x v="0"/>
    <x v="371"/>
    <x v="371"/>
    <n v="1"/>
    <s v="M2"/>
    <n v="0"/>
    <n v="0"/>
    <n v="67.08499999999998"/>
    <n v="15"/>
    <n v="0"/>
    <n v="9778.0499999999993"/>
    <n v="651.87"/>
    <x v="63"/>
    <n v="651.87"/>
    <x v="8"/>
  </r>
  <r>
    <x v="13"/>
    <s v="Matteo Giolo"/>
    <x v="0"/>
    <x v="371"/>
    <x v="371"/>
    <n v="1"/>
    <s v="M2"/>
    <n v="0"/>
    <n v="0"/>
    <n v="67.08499999999998"/>
    <n v="15"/>
    <n v="0"/>
    <n v="9778.0499999999993"/>
    <n v="651.87"/>
    <x v="63"/>
    <n v="651.87"/>
    <x v="8"/>
  </r>
  <r>
    <x v="19"/>
    <s v="Volkan Batkan"/>
    <x v="0"/>
    <x v="234"/>
    <x v="234"/>
    <n v="0.9"/>
    <s v="ADET"/>
    <n v="0.9"/>
    <n v="91"/>
    <n v="17.799999999999997"/>
    <n v="-74.5"/>
    <n v="0"/>
    <n v="0"/>
    <n v="85"/>
    <x v="28"/>
    <n v="76.5"/>
    <x v="2"/>
  </r>
  <r>
    <x v="15"/>
    <s v="Jan Urbanek"/>
    <x v="0"/>
    <x v="414"/>
    <x v="414"/>
    <n v="2"/>
    <s v="ADET"/>
    <n v="0"/>
    <n v="14"/>
    <n v="19"/>
    <n v="-23"/>
    <n v="30"/>
    <n v="0"/>
    <n v="67.22"/>
    <x v="92"/>
    <n v="134.44"/>
    <x v="4"/>
  </r>
  <r>
    <x v="13"/>
    <s v="Matteo Giolo"/>
    <x v="0"/>
    <x v="414"/>
    <x v="414"/>
    <n v="2"/>
    <s v="ADET"/>
    <n v="0"/>
    <n v="14"/>
    <n v="19"/>
    <n v="-23"/>
    <n v="30"/>
    <n v="0"/>
    <n v="67.22"/>
    <x v="92"/>
    <n v="134.44"/>
    <x v="4"/>
  </r>
  <r>
    <x v="1"/>
    <s v="Stina Alm"/>
    <x v="0"/>
    <x v="436"/>
    <x v="436"/>
    <n v="1"/>
    <s v="ADET"/>
    <n v="0"/>
    <n v="10"/>
    <n v="17"/>
    <n v="1"/>
    <n v="0"/>
    <n v="565.83000000000004"/>
    <n v="565.83000000000004"/>
    <x v="85"/>
    <n v="565.83000000000004"/>
    <x v="12"/>
  </r>
  <r>
    <x v="1"/>
    <s v="Stina Alm"/>
    <x v="0"/>
    <x v="414"/>
    <x v="414"/>
    <n v="3"/>
    <s v="ADET"/>
    <n v="0"/>
    <n v="14"/>
    <n v="19"/>
    <n v="-23"/>
    <n v="30"/>
    <n v="0"/>
    <n v="67.22"/>
    <x v="92"/>
    <n v="201.66"/>
    <x v="4"/>
  </r>
  <r>
    <x v="0"/>
    <s v="Soner Kayıkçı"/>
    <x v="0"/>
    <x v="414"/>
    <x v="414"/>
    <n v="2"/>
    <s v="ADET"/>
    <n v="0"/>
    <n v="14"/>
    <n v="19"/>
    <n v="-23"/>
    <n v="30"/>
    <n v="0"/>
    <n v="67.22"/>
    <x v="92"/>
    <n v="134.44"/>
    <x v="4"/>
  </r>
  <r>
    <x v="1"/>
    <s v="Stina Alm"/>
    <x v="0"/>
    <x v="437"/>
    <x v="437"/>
    <n v="1"/>
    <s v="ADET"/>
    <n v="0"/>
    <n v="12"/>
    <n v="8"/>
    <n v="0"/>
    <n v="0"/>
    <n v="0"/>
    <n v="401.17"/>
    <x v="97"/>
    <n v="401.17"/>
    <x v="7"/>
  </r>
  <r>
    <x v="16"/>
    <s v="Stefan Zaugg"/>
    <x v="0"/>
    <x v="485"/>
    <x v="485"/>
    <n v="1"/>
    <s v="ADET"/>
    <n v="1"/>
    <n v="5"/>
    <n v="4"/>
    <n v="-5"/>
    <n v="0"/>
    <n v="0"/>
    <n v="5112.92"/>
    <x v="105"/>
    <n v="5112.92"/>
    <x v="2"/>
  </r>
  <r>
    <x v="7"/>
    <s v="Laurent MONTAGNER"/>
    <x v="0"/>
    <x v="437"/>
    <x v="437"/>
    <n v="1"/>
    <s v="ADET"/>
    <n v="1"/>
    <n v="12"/>
    <n v="8"/>
    <n v="0"/>
    <n v="0"/>
    <n v="0"/>
    <n v="401.17"/>
    <x v="97"/>
    <n v="401.17"/>
    <x v="7"/>
  </r>
  <r>
    <x v="2"/>
    <s v="Laurent MONTAGNER"/>
    <x v="0"/>
    <x v="414"/>
    <x v="414"/>
    <n v="3"/>
    <s v="ADET"/>
    <n v="3"/>
    <n v="14"/>
    <n v="19"/>
    <n v="-23"/>
    <n v="30"/>
    <n v="0"/>
    <n v="67.22"/>
    <x v="92"/>
    <n v="201.66"/>
    <x v="4"/>
  </r>
  <r>
    <x v="19"/>
    <s v="Volkan Batkan"/>
    <x v="0"/>
    <x v="414"/>
    <x v="414"/>
    <n v="3"/>
    <s v="ADET"/>
    <n v="3"/>
    <n v="14"/>
    <n v="19"/>
    <n v="-23"/>
    <n v="30"/>
    <n v="0"/>
    <n v="67.22"/>
    <x v="92"/>
    <n v="201.66"/>
    <x v="4"/>
  </r>
  <r>
    <x v="17"/>
    <s v="Murat Taşdemir"/>
    <x v="0"/>
    <x v="343"/>
    <x v="343"/>
    <n v="3"/>
    <s v="ADET"/>
    <n v="3"/>
    <n v="0"/>
    <n v="4.0000000000000497"/>
    <n v="28.999999999999993"/>
    <n v="22"/>
    <n v="30208.429999999993"/>
    <n v="1041.67"/>
    <x v="63"/>
    <n v="3125.01"/>
    <x v="8"/>
  </r>
  <r>
    <x v="2"/>
    <s v="Laurent MONTAGNER"/>
    <x v="0"/>
    <x v="263"/>
    <x v="263"/>
    <n v="2"/>
    <s v="ADET"/>
    <n v="2"/>
    <n v="4"/>
    <n v="6"/>
    <n v="0"/>
    <n v="0"/>
    <n v="0"/>
    <n v="260"/>
    <x v="2"/>
    <n v="520"/>
    <x v="2"/>
  </r>
  <r>
    <x v="14"/>
    <s v="Stefan Zaugg"/>
    <x v="0"/>
    <x v="234"/>
    <x v="234"/>
    <n v="0.6"/>
    <s v="ADET"/>
    <n v="0.6"/>
    <n v="91"/>
    <n v="17.799999999999997"/>
    <n v="-74.5"/>
    <n v="0"/>
    <n v="0"/>
    <n v="85"/>
    <x v="28"/>
    <n v="51"/>
    <x v="2"/>
  </r>
  <r>
    <x v="19"/>
    <s v="Volkan Batkan"/>
    <x v="0"/>
    <x v="436"/>
    <x v="436"/>
    <n v="1"/>
    <s v="ADET"/>
    <n v="1"/>
    <n v="10"/>
    <n v="17"/>
    <n v="1"/>
    <n v="0"/>
    <n v="565.83000000000004"/>
    <n v="565.83000000000004"/>
    <x v="85"/>
    <n v="565.83000000000004"/>
    <x v="12"/>
  </r>
  <r>
    <x v="16"/>
    <s v="Stefan Zaugg"/>
    <x v="0"/>
    <x v="235"/>
    <x v="235"/>
    <n v="2"/>
    <s v="ADET"/>
    <n v="2"/>
    <n v="23"/>
    <n v="22"/>
    <n v="1"/>
    <n v="0"/>
    <n v="73.349999999999994"/>
    <n v="73.349999999999994"/>
    <x v="13"/>
    <n v="146.69999999999999"/>
    <x v="7"/>
  </r>
  <r>
    <x v="14"/>
    <s v="Stefan Zaugg"/>
    <x v="0"/>
    <x v="414"/>
    <x v="414"/>
    <n v="2"/>
    <s v="ADET"/>
    <n v="2"/>
    <n v="14"/>
    <n v="19"/>
    <n v="-23"/>
    <n v="30"/>
    <n v="0"/>
    <n v="67.22"/>
    <x v="92"/>
    <n v="134.44"/>
    <x v="4"/>
  </r>
  <r>
    <x v="9"/>
    <s v="Jan Urbanek"/>
    <x v="0"/>
    <x v="414"/>
    <x v="414"/>
    <n v="2"/>
    <s v="ADET"/>
    <n v="0"/>
    <n v="14"/>
    <n v="19"/>
    <n v="-23"/>
    <n v="30"/>
    <n v="0"/>
    <n v="67.22"/>
    <x v="92"/>
    <n v="134.44"/>
    <x v="4"/>
  </r>
  <r>
    <x v="16"/>
    <s v="Stefan Zaugg"/>
    <x v="0"/>
    <x v="414"/>
    <x v="414"/>
    <n v="3"/>
    <s v="ADET"/>
    <n v="3"/>
    <n v="14"/>
    <n v="19"/>
    <n v="-23"/>
    <n v="30"/>
    <n v="0"/>
    <n v="67.22"/>
    <x v="92"/>
    <n v="201.66"/>
    <x v="4"/>
  </r>
  <r>
    <x v="17"/>
    <s v="Murat Taşdemir"/>
    <x v="0"/>
    <x v="234"/>
    <x v="234"/>
    <n v="2"/>
    <s v="ADET"/>
    <n v="2"/>
    <n v="91"/>
    <n v="17.799999999999997"/>
    <n v="-74.5"/>
    <n v="0"/>
    <n v="0"/>
    <n v="85"/>
    <x v="28"/>
    <n v="170"/>
    <x v="2"/>
  </r>
  <r>
    <x v="19"/>
    <s v="Volkan Batkan"/>
    <x v="0"/>
    <x v="382"/>
    <x v="382"/>
    <n v="4"/>
    <s v="ADET"/>
    <n v="0"/>
    <n v="1000"/>
    <n v="1222"/>
    <n v="-903"/>
    <n v="0"/>
    <n v="0"/>
    <n v="1.1399999999999999"/>
    <x v="8"/>
    <n v="4.5599999999999996"/>
    <x v="2"/>
  </r>
  <r>
    <x v="16"/>
    <s v="Stefan Zaugg"/>
    <x v="0"/>
    <x v="382"/>
    <x v="382"/>
    <n v="4"/>
    <s v="ADET"/>
    <n v="0"/>
    <n v="1000"/>
    <n v="1222"/>
    <n v="-903"/>
    <n v="0"/>
    <n v="0"/>
    <n v="1.1399999999999999"/>
    <x v="8"/>
    <n v="4.5599999999999996"/>
    <x v="2"/>
  </r>
  <r>
    <x v="14"/>
    <s v="Stefan Zaugg"/>
    <x v="0"/>
    <x v="382"/>
    <x v="382"/>
    <n v="4"/>
    <s v="ADET"/>
    <n v="0"/>
    <n v="1000"/>
    <n v="1222"/>
    <n v="-903"/>
    <n v="0"/>
    <n v="0"/>
    <n v="1.1399999999999999"/>
    <x v="8"/>
    <n v="4.5599999999999996"/>
    <x v="2"/>
  </r>
  <r>
    <x v="19"/>
    <s v="Volkan Batkan"/>
    <x v="0"/>
    <x v="458"/>
    <x v="458"/>
    <n v="2"/>
    <s v="ADET"/>
    <n v="0"/>
    <n v="1"/>
    <n v="14"/>
    <n v="25"/>
    <n v="0"/>
    <n v="11103.25"/>
    <n v="444.13"/>
    <x v="67"/>
    <n v="888.26"/>
    <x v="6"/>
  </r>
  <r>
    <x v="13"/>
    <s v="Matteo Giolo"/>
    <x v="0"/>
    <x v="458"/>
    <x v="458"/>
    <n v="2"/>
    <s v="ADET"/>
    <n v="0"/>
    <n v="1"/>
    <n v="14"/>
    <n v="25"/>
    <n v="0"/>
    <n v="11103.25"/>
    <n v="444.13"/>
    <x v="67"/>
    <n v="888.26"/>
    <x v="6"/>
  </r>
  <r>
    <x v="14"/>
    <s v="Stefan Zaugg"/>
    <x v="0"/>
    <x v="458"/>
    <x v="458"/>
    <n v="2"/>
    <s v="ADET"/>
    <n v="2"/>
    <n v="1"/>
    <n v="14"/>
    <n v="25"/>
    <n v="0"/>
    <n v="11103.25"/>
    <n v="444.13"/>
    <x v="67"/>
    <n v="888.26"/>
    <x v="6"/>
  </r>
  <r>
    <x v="19"/>
    <s v="Volkan Batkan"/>
    <x v="0"/>
    <x v="379"/>
    <x v="379"/>
    <n v="1"/>
    <s v="ADET"/>
    <n v="0"/>
    <n v="1"/>
    <n v="4"/>
    <n v="13"/>
    <n v="0"/>
    <n v="168880.14"/>
    <n v="12990.78"/>
    <x v="67"/>
    <n v="12990.78"/>
    <x v="6"/>
  </r>
  <r>
    <x v="15"/>
    <s v="Jan Urbanek"/>
    <x v="0"/>
    <x v="379"/>
    <x v="379"/>
    <n v="1"/>
    <s v="ADET"/>
    <n v="0"/>
    <n v="1"/>
    <n v="4"/>
    <n v="13"/>
    <n v="0"/>
    <n v="168880.14"/>
    <n v="12990.78"/>
    <x v="67"/>
    <n v="12990.78"/>
    <x v="6"/>
  </r>
  <r>
    <x v="19"/>
    <s v="Volkan Batkan"/>
    <x v="0"/>
    <x v="486"/>
    <x v="486"/>
    <n v="2"/>
    <s v="ADET"/>
    <n v="2"/>
    <n v="4"/>
    <n v="12"/>
    <n v="-4"/>
    <n v="0"/>
    <n v="0"/>
    <n v="1028.6099999999999"/>
    <x v="74"/>
    <n v="2057.2199999999998"/>
    <x v="4"/>
  </r>
  <r>
    <x v="14"/>
    <s v="Stefan Zaugg"/>
    <x v="0"/>
    <x v="486"/>
    <x v="486"/>
    <n v="2"/>
    <s v="ADET"/>
    <n v="2"/>
    <n v="4"/>
    <n v="12"/>
    <n v="-4"/>
    <n v="0"/>
    <n v="0"/>
    <n v="1028.6099999999999"/>
    <x v="74"/>
    <n v="2057.2199999999998"/>
    <x v="4"/>
  </r>
  <r>
    <x v="13"/>
    <s v="Matteo Giolo"/>
    <x v="0"/>
    <x v="380"/>
    <x v="380"/>
    <n v="1"/>
    <s v="ADET"/>
    <n v="0"/>
    <n v="9"/>
    <n v="8"/>
    <n v="-12"/>
    <n v="15"/>
    <n v="0"/>
    <n v="776.15"/>
    <x v="89"/>
    <n v="776.15"/>
    <x v="7"/>
  </r>
  <r>
    <x v="15"/>
    <s v="Jan Urbanek"/>
    <x v="0"/>
    <x v="380"/>
    <x v="380"/>
    <n v="1"/>
    <s v="ADET"/>
    <n v="0"/>
    <n v="9"/>
    <n v="8"/>
    <n v="-12"/>
    <n v="15"/>
    <n v="0"/>
    <n v="776.15"/>
    <x v="89"/>
    <n v="776.15"/>
    <x v="7"/>
  </r>
  <r>
    <x v="2"/>
    <s v="Laurent MONTAGNER"/>
    <x v="0"/>
    <x v="379"/>
    <x v="379"/>
    <n v="1"/>
    <s v="ADET"/>
    <n v="0"/>
    <n v="1"/>
    <n v="4"/>
    <n v="13"/>
    <n v="0"/>
    <n v="168880.14"/>
    <n v="12990.78"/>
    <x v="67"/>
    <n v="12990.78"/>
    <x v="6"/>
  </r>
  <r>
    <x v="0"/>
    <s v="Soner Kayıkçı"/>
    <x v="0"/>
    <x v="379"/>
    <x v="379"/>
    <n v="1"/>
    <s v="ADET"/>
    <n v="0"/>
    <n v="1"/>
    <n v="4"/>
    <n v="13"/>
    <n v="0"/>
    <n v="168880.14"/>
    <n v="12990.78"/>
    <x v="67"/>
    <n v="12990.78"/>
    <x v="6"/>
  </r>
  <r>
    <x v="1"/>
    <s v="Stina Alm"/>
    <x v="0"/>
    <x v="379"/>
    <x v="379"/>
    <n v="1"/>
    <s v="ADET"/>
    <n v="0"/>
    <n v="1"/>
    <n v="4"/>
    <n v="13"/>
    <n v="0"/>
    <n v="168880.14"/>
    <n v="12990.78"/>
    <x v="67"/>
    <n v="12990.78"/>
    <x v="6"/>
  </r>
  <r>
    <x v="17"/>
    <s v="Murat Taşdemir"/>
    <x v="0"/>
    <x v="382"/>
    <x v="382"/>
    <n v="4"/>
    <s v="ADET"/>
    <n v="0"/>
    <n v="1000"/>
    <n v="1222"/>
    <n v="-903"/>
    <n v="0"/>
    <n v="0"/>
    <n v="1.1399999999999999"/>
    <x v="8"/>
    <n v="4.5599999999999996"/>
    <x v="2"/>
  </r>
  <r>
    <x v="17"/>
    <s v="Murat Taşdemir"/>
    <x v="0"/>
    <x v="379"/>
    <x v="379"/>
    <n v="1"/>
    <s v="ADET"/>
    <n v="0"/>
    <n v="1"/>
    <n v="4"/>
    <n v="13"/>
    <n v="0"/>
    <n v="168880.14"/>
    <n v="12990.78"/>
    <x v="67"/>
    <n v="12990.78"/>
    <x v="6"/>
  </r>
  <r>
    <x v="13"/>
    <s v="Matteo Giolo"/>
    <x v="0"/>
    <x v="487"/>
    <x v="487"/>
    <n v="20"/>
    <s v="KG"/>
    <n v="0"/>
    <n v="0"/>
    <n v="21"/>
    <n v="20"/>
    <n v="0"/>
    <n v="21958"/>
    <n v="1097.9000000000001"/>
    <x v="81"/>
    <n v="21958"/>
    <x v="3"/>
  </r>
  <r>
    <x v="18"/>
    <s v="Hayriye Güven"/>
    <x v="0"/>
    <x v="380"/>
    <x v="380"/>
    <n v="1"/>
    <s v="ADET"/>
    <n v="1"/>
    <n v="9"/>
    <n v="8"/>
    <n v="-12"/>
    <n v="15"/>
    <n v="0"/>
    <n v="776.15"/>
    <x v="89"/>
    <n v="776.15"/>
    <x v="7"/>
  </r>
  <r>
    <x v="14"/>
    <s v="Stefan Zaugg"/>
    <x v="0"/>
    <x v="381"/>
    <x v="381"/>
    <n v="1"/>
    <s v="ADET"/>
    <n v="0"/>
    <n v="2"/>
    <n v="3.5527136788005009E-15"/>
    <n v="1"/>
    <n v="0"/>
    <n v="155"/>
    <n v="155"/>
    <x v="90"/>
    <n v="155"/>
    <x v="2"/>
  </r>
  <r>
    <x v="15"/>
    <s v="Jan Urbanek"/>
    <x v="0"/>
    <x v="382"/>
    <x v="382"/>
    <n v="7"/>
    <s v="ADET"/>
    <n v="0"/>
    <n v="1000"/>
    <n v="1222"/>
    <n v="-903"/>
    <n v="0"/>
    <n v="0"/>
    <n v="1.1399999999999999"/>
    <x v="8"/>
    <n v="7.9799999999999995"/>
    <x v="2"/>
  </r>
  <r>
    <x v="13"/>
    <s v="Matteo Giolo"/>
    <x v="0"/>
    <x v="382"/>
    <x v="382"/>
    <n v="4"/>
    <s v="ADET"/>
    <n v="0"/>
    <n v="1000"/>
    <n v="1222"/>
    <n v="-903"/>
    <n v="0"/>
    <n v="0"/>
    <n v="1.1399999999999999"/>
    <x v="8"/>
    <n v="4.5599999999999996"/>
    <x v="2"/>
  </r>
  <r>
    <x v="15"/>
    <s v="Jan Urbanek"/>
    <x v="0"/>
    <x v="458"/>
    <x v="458"/>
    <n v="2"/>
    <s v="ADET"/>
    <n v="0"/>
    <n v="1"/>
    <n v="14"/>
    <n v="25"/>
    <n v="0"/>
    <n v="11103.25"/>
    <n v="444.13"/>
    <x v="67"/>
    <n v="888.26"/>
    <x v="6"/>
  </r>
  <r>
    <x v="13"/>
    <s v="Matteo Giolo"/>
    <x v="0"/>
    <x v="379"/>
    <x v="379"/>
    <n v="1"/>
    <s v="ADET"/>
    <n v="0"/>
    <n v="1"/>
    <n v="4"/>
    <n v="13"/>
    <n v="0"/>
    <n v="168880.14"/>
    <n v="12990.78"/>
    <x v="67"/>
    <n v="12990.78"/>
    <x v="6"/>
  </r>
  <r>
    <x v="19"/>
    <s v="Volkan Batkan"/>
    <x v="0"/>
    <x v="380"/>
    <x v="380"/>
    <n v="1"/>
    <s v="ADET"/>
    <n v="1"/>
    <n v="9"/>
    <n v="8"/>
    <n v="-12"/>
    <n v="15"/>
    <n v="0"/>
    <n v="776.15"/>
    <x v="89"/>
    <n v="776.15"/>
    <x v="7"/>
  </r>
  <r>
    <x v="15"/>
    <s v="Jan Urbanek"/>
    <x v="0"/>
    <x v="470"/>
    <x v="470"/>
    <n v="2"/>
    <s v="ADET"/>
    <n v="0"/>
    <n v="500"/>
    <n v="500"/>
    <n v="-486"/>
    <n v="0"/>
    <n v="0"/>
    <n v="0.65"/>
    <x v="15"/>
    <n v="1.3"/>
    <x v="7"/>
  </r>
  <r>
    <x v="15"/>
    <s v="Jan Urbanek"/>
    <x v="0"/>
    <x v="471"/>
    <x v="471"/>
    <n v="2"/>
    <s v="ADET"/>
    <n v="0"/>
    <n v="500"/>
    <n v="500"/>
    <n v="-486"/>
    <n v="0"/>
    <n v="0"/>
    <n v="0.39"/>
    <x v="15"/>
    <n v="0.78"/>
    <x v="7"/>
  </r>
  <r>
    <x v="16"/>
    <s v="Stefan Zaugg"/>
    <x v="0"/>
    <x v="478"/>
    <x v="478"/>
    <n v="1"/>
    <s v="ADET"/>
    <n v="0"/>
    <n v="8"/>
    <n v="4"/>
    <n v="-1"/>
    <n v="0"/>
    <n v="0"/>
    <n v="1723.79"/>
    <x v="74"/>
    <n v="1723.79"/>
    <x v="4"/>
  </r>
  <r>
    <x v="10"/>
    <s v="Jan Urbanek"/>
    <x v="0"/>
    <x v="393"/>
    <x v="393"/>
    <n v="2"/>
    <s v="ADET"/>
    <n v="0"/>
    <n v="452"/>
    <n v="25"/>
    <n v="-428"/>
    <n v="0"/>
    <n v="0"/>
    <n v="20"/>
    <x v="5"/>
    <n v="40"/>
    <x v="7"/>
  </r>
  <r>
    <x v="11"/>
    <s v="Jan Urbanek"/>
    <x v="0"/>
    <x v="444"/>
    <x v="444"/>
    <n v="0.1"/>
    <s v="ADET"/>
    <n v="0"/>
    <n v="2"/>
    <n v="-6.3837823915946501E-16"/>
    <n v="1.4000000000000004"/>
    <n v="0"/>
    <n v="3889.2000000000012"/>
    <n v="2778"/>
    <x v="35"/>
    <n v="277.8"/>
    <x v="3"/>
  </r>
  <r>
    <x v="19"/>
    <s v="Volkan Batkan"/>
    <x v="0"/>
    <x v="440"/>
    <x v="440"/>
    <n v="2"/>
    <s v="ADET"/>
    <n v="0"/>
    <n v="200"/>
    <n v="88"/>
    <n v="-190"/>
    <n v="0"/>
    <n v="0"/>
    <n v="10"/>
    <x v="2"/>
    <n v="20"/>
    <x v="2"/>
  </r>
  <r>
    <x v="16"/>
    <s v="Stefan Zaugg"/>
    <x v="0"/>
    <x v="440"/>
    <x v="440"/>
    <n v="2"/>
    <s v="ADET"/>
    <n v="0"/>
    <n v="200"/>
    <n v="88"/>
    <n v="-190"/>
    <n v="0"/>
    <n v="0"/>
    <n v="10"/>
    <x v="2"/>
    <n v="20"/>
    <x v="2"/>
  </r>
  <r>
    <x v="14"/>
    <s v="Stefan Zaugg"/>
    <x v="0"/>
    <x v="440"/>
    <x v="440"/>
    <n v="2"/>
    <s v="ADET"/>
    <n v="0"/>
    <n v="200"/>
    <n v="88"/>
    <n v="-190"/>
    <n v="0"/>
    <n v="0"/>
    <n v="10"/>
    <x v="2"/>
    <n v="20"/>
    <x v="2"/>
  </r>
  <r>
    <x v="19"/>
    <s v="Volkan Batkan"/>
    <x v="0"/>
    <x v="444"/>
    <x v="444"/>
    <n v="0.05"/>
    <s v="ADET"/>
    <n v="0"/>
    <n v="2"/>
    <n v="-6.3837823915946501E-16"/>
    <n v="1.4000000000000004"/>
    <n v="0"/>
    <n v="3889.2000000000012"/>
    <n v="2778"/>
    <x v="35"/>
    <n v="138.9"/>
    <x v="3"/>
  </r>
  <r>
    <x v="13"/>
    <s v="Matteo Giolo"/>
    <x v="0"/>
    <x v="444"/>
    <x v="444"/>
    <n v="0.1"/>
    <s v="ADET"/>
    <n v="0"/>
    <n v="2"/>
    <n v="-6.3837823915946501E-16"/>
    <n v="1.4000000000000004"/>
    <n v="0"/>
    <n v="3889.2000000000012"/>
    <n v="2778"/>
    <x v="35"/>
    <n v="277.8"/>
    <x v="3"/>
  </r>
  <r>
    <x v="15"/>
    <s v="Jan Urbanek"/>
    <x v="0"/>
    <x v="445"/>
    <x v="445"/>
    <n v="0.05"/>
    <s v="ADET"/>
    <n v="0"/>
    <n v="2"/>
    <n v="1.7763568394002505E-15"/>
    <n v="-0.84999999999999964"/>
    <n v="0"/>
    <n v="0"/>
    <n v="1400"/>
    <x v="35"/>
    <n v="70"/>
    <x v="3"/>
  </r>
  <r>
    <x v="13"/>
    <s v="Matteo Giolo"/>
    <x v="0"/>
    <x v="445"/>
    <x v="445"/>
    <n v="0.1"/>
    <s v="ADET"/>
    <n v="0"/>
    <n v="2"/>
    <n v="1.7763568394002505E-15"/>
    <n v="-0.84999999999999964"/>
    <n v="0"/>
    <n v="0"/>
    <n v="1400"/>
    <x v="35"/>
    <n v="140"/>
    <x v="3"/>
  </r>
  <r>
    <x v="11"/>
    <s v="Jan Urbanek"/>
    <x v="0"/>
    <x v="459"/>
    <x v="459"/>
    <n v="3"/>
    <s v="ADET"/>
    <n v="0"/>
    <n v="400"/>
    <n v="0"/>
    <n v="-388"/>
    <n v="0"/>
    <n v="0"/>
    <n v="10"/>
    <x v="2"/>
    <n v="30"/>
    <x v="2"/>
  </r>
  <r>
    <x v="10"/>
    <s v="Jan Urbanek"/>
    <x v="0"/>
    <x v="444"/>
    <x v="444"/>
    <n v="0.1"/>
    <s v="ADET"/>
    <n v="0"/>
    <n v="2"/>
    <n v="-6.3837823915946501E-16"/>
    <n v="1.4000000000000004"/>
    <n v="0"/>
    <n v="3889.2000000000012"/>
    <n v="2778"/>
    <x v="35"/>
    <n v="277.8"/>
    <x v="3"/>
  </r>
  <r>
    <x v="11"/>
    <s v="Jan Urbanek"/>
    <x v="0"/>
    <x v="445"/>
    <x v="445"/>
    <n v="0.05"/>
    <s v="ADET"/>
    <n v="0"/>
    <n v="2"/>
    <n v="1.7763568394002505E-15"/>
    <n v="-0.84999999999999964"/>
    <n v="0"/>
    <n v="0"/>
    <n v="1400"/>
    <x v="35"/>
    <n v="70"/>
    <x v="3"/>
  </r>
  <r>
    <x v="11"/>
    <s v="Jan Urbanek"/>
    <x v="0"/>
    <x v="446"/>
    <x v="446"/>
    <n v="2"/>
    <s v="ADET"/>
    <n v="0"/>
    <n v="115"/>
    <n v="2"/>
    <n v="-77"/>
    <n v="0"/>
    <n v="0"/>
    <n v="0.44"/>
    <x v="57"/>
    <n v="0.88"/>
    <x v="7"/>
  </r>
  <r>
    <x v="19"/>
    <s v="Volkan Batkan"/>
    <x v="0"/>
    <x v="459"/>
    <x v="459"/>
    <n v="3"/>
    <s v="ADET"/>
    <n v="0"/>
    <n v="400"/>
    <n v="0"/>
    <n v="-388"/>
    <n v="0"/>
    <n v="0"/>
    <n v="10"/>
    <x v="2"/>
    <n v="30"/>
    <x v="2"/>
  </r>
  <r>
    <x v="1"/>
    <s v="Stina Alm"/>
    <x v="0"/>
    <x v="311"/>
    <x v="311"/>
    <n v="22"/>
    <s v="MT"/>
    <n v="0"/>
    <n v="200"/>
    <n v="86"/>
    <n v="220"/>
    <n v="0"/>
    <n v="23100"/>
    <n v="105"/>
    <x v="78"/>
    <n v="2310"/>
    <x v="5"/>
  </r>
  <r>
    <x v="9"/>
    <s v="Jan Urbanek"/>
    <x v="0"/>
    <x v="288"/>
    <x v="288"/>
    <n v="1"/>
    <s v="ADET"/>
    <n v="0"/>
    <n v="13"/>
    <n v="13"/>
    <n v="-1"/>
    <n v="0"/>
    <n v="0"/>
    <n v="237.5"/>
    <x v="21"/>
    <n v="237.5"/>
    <x v="2"/>
  </r>
  <r>
    <x v="8"/>
    <s v="Jan Urbanek"/>
    <x v="0"/>
    <x v="288"/>
    <x v="288"/>
    <n v="1"/>
    <s v="ADET"/>
    <n v="0"/>
    <n v="13"/>
    <n v="13"/>
    <n v="-1"/>
    <n v="0"/>
    <n v="0"/>
    <n v="237.5"/>
    <x v="21"/>
    <n v="237.5"/>
    <x v="2"/>
  </r>
  <r>
    <x v="8"/>
    <s v="Jan Urbanek"/>
    <x v="0"/>
    <x v="266"/>
    <x v="266"/>
    <n v="1"/>
    <s v="ADET"/>
    <n v="0"/>
    <n v="21"/>
    <n v="10"/>
    <n v="-50"/>
    <n v="40"/>
    <n v="0"/>
    <n v="312"/>
    <x v="35"/>
    <n v="312"/>
    <x v="6"/>
  </r>
  <r>
    <x v="9"/>
    <s v="Jan Urbanek"/>
    <x v="0"/>
    <x v="266"/>
    <x v="266"/>
    <n v="1"/>
    <s v="ADET"/>
    <n v="0"/>
    <n v="21"/>
    <n v="10"/>
    <n v="-50"/>
    <n v="40"/>
    <n v="0"/>
    <n v="312"/>
    <x v="35"/>
    <n v="312"/>
    <x v="6"/>
  </r>
  <r>
    <x v="10"/>
    <s v="Jan Urbanek"/>
    <x v="0"/>
    <x v="309"/>
    <x v="309"/>
    <n v="2"/>
    <s v="ADET"/>
    <n v="0"/>
    <n v="288"/>
    <n v="94"/>
    <n v="-260"/>
    <n v="0"/>
    <n v="0"/>
    <n v="4"/>
    <x v="20"/>
    <n v="8"/>
    <x v="7"/>
  </r>
  <r>
    <x v="19"/>
    <s v="Volkan Batkan"/>
    <x v="0"/>
    <x v="180"/>
    <x v="180"/>
    <n v="9"/>
    <s v="METRE"/>
    <n v="0"/>
    <n v="480"/>
    <n v="0"/>
    <n v="-408"/>
    <n v="0"/>
    <n v="0"/>
    <n v="4"/>
    <x v="5"/>
    <n v="36"/>
    <x v="8"/>
  </r>
  <r>
    <x v="19"/>
    <s v="Volkan Batkan"/>
    <x v="0"/>
    <x v="203"/>
    <x v="203"/>
    <n v="1"/>
    <s v="ADET"/>
    <n v="0"/>
    <n v="4"/>
    <n v="2"/>
    <n v="0"/>
    <n v="0"/>
    <n v="0"/>
    <n v="2249.17"/>
    <x v="64"/>
    <n v="2249.17"/>
    <x v="6"/>
  </r>
  <r>
    <x v="19"/>
    <s v="Volkan Batkan"/>
    <x v="0"/>
    <x v="309"/>
    <x v="309"/>
    <n v="2"/>
    <s v="ADET"/>
    <n v="0"/>
    <n v="288"/>
    <n v="94"/>
    <n v="-260"/>
    <n v="0"/>
    <n v="0"/>
    <n v="4"/>
    <x v="20"/>
    <n v="8"/>
    <x v="7"/>
  </r>
  <r>
    <x v="12"/>
    <s v="Matteo Giolo"/>
    <x v="0"/>
    <x v="309"/>
    <x v="309"/>
    <n v="2"/>
    <s v="ADET"/>
    <n v="0"/>
    <n v="288"/>
    <n v="94"/>
    <n v="-260"/>
    <n v="0"/>
    <n v="0"/>
    <n v="4"/>
    <x v="20"/>
    <n v="8"/>
    <x v="7"/>
  </r>
  <r>
    <x v="12"/>
    <s v="Matteo Giolo"/>
    <x v="0"/>
    <x v="311"/>
    <x v="311"/>
    <n v="22"/>
    <s v="MT"/>
    <n v="0"/>
    <n v="200"/>
    <n v="86"/>
    <n v="220"/>
    <n v="0"/>
    <n v="23100"/>
    <n v="105"/>
    <x v="78"/>
    <n v="2310"/>
    <x v="5"/>
  </r>
  <r>
    <x v="12"/>
    <s v="Matteo Giolo"/>
    <x v="0"/>
    <x v="321"/>
    <x v="321"/>
    <n v="1"/>
    <s v="ADET"/>
    <n v="0"/>
    <n v="23"/>
    <n v="5"/>
    <n v="-11"/>
    <n v="0"/>
    <n v="0"/>
    <n v="360.19"/>
    <x v="74"/>
    <n v="360.19"/>
    <x v="4"/>
  </r>
  <r>
    <x v="11"/>
    <s v="Jan Urbanek"/>
    <x v="0"/>
    <x v="288"/>
    <x v="288"/>
    <n v="1"/>
    <s v="ADET"/>
    <n v="0"/>
    <n v="13"/>
    <n v="13"/>
    <n v="-1"/>
    <n v="0"/>
    <n v="0"/>
    <n v="237.5"/>
    <x v="21"/>
    <n v="237.5"/>
    <x v="2"/>
  </r>
  <r>
    <x v="11"/>
    <s v="Jan Urbanek"/>
    <x v="0"/>
    <x v="266"/>
    <x v="266"/>
    <n v="1"/>
    <s v="ADET"/>
    <n v="0"/>
    <n v="21"/>
    <n v="10"/>
    <n v="-50"/>
    <n v="40"/>
    <n v="0"/>
    <n v="312"/>
    <x v="35"/>
    <n v="312"/>
    <x v="6"/>
  </r>
  <r>
    <x v="6"/>
    <s v="Laurent MONTAGNER"/>
    <x v="0"/>
    <x v="192"/>
    <x v="192"/>
    <n v="1.6"/>
    <s v="ADET"/>
    <n v="1.6"/>
    <n v="14"/>
    <n v="6.8000000000000025"/>
    <n v="7.7000000000000028"/>
    <n v="12"/>
    <n v="2532.1450000000009"/>
    <n v="328.85"/>
    <x v="62"/>
    <n v="526.16000000000008"/>
    <x v="3"/>
  </r>
  <r>
    <x v="7"/>
    <s v="Laurent MONTAGNER"/>
    <x v="0"/>
    <x v="113"/>
    <x v="113"/>
    <n v="26"/>
    <s v="ADET"/>
    <n v="0"/>
    <n v="1100"/>
    <n v="780"/>
    <n v="-832"/>
    <n v="0"/>
    <n v="0"/>
    <n v="0.32"/>
    <x v="14"/>
    <n v="8.32"/>
    <x v="2"/>
  </r>
  <r>
    <x v="14"/>
    <s v="Stefan Zaugg"/>
    <x v="1"/>
    <x v="312"/>
    <x v="312"/>
    <n v="1"/>
    <s v="ADET"/>
    <n v="1"/>
    <n v="25"/>
    <n v="4"/>
    <n v="-20"/>
    <n v="0"/>
    <n v="0"/>
    <n v="2800"/>
    <x v="79"/>
    <n v="2800"/>
    <x v="6"/>
  </r>
  <r>
    <x v="16"/>
    <s v="Stefan Zaugg"/>
    <x v="0"/>
    <x v="220"/>
    <x v="220"/>
    <n v="0.54999999999999993"/>
    <s v="ADET"/>
    <n v="0.54999999999999993"/>
    <n v="10"/>
    <n v="126.66400000000034"/>
    <n v="-1.1600000000000001"/>
    <n v="0"/>
    <n v="0"/>
    <n v="185"/>
    <x v="14"/>
    <n v="101.74999999999999"/>
    <x v="2"/>
  </r>
  <r>
    <x v="14"/>
    <s v="Stefan Zaugg"/>
    <x v="0"/>
    <x v="192"/>
    <x v="192"/>
    <n v="0.3"/>
    <s v="ADET"/>
    <n v="0.3"/>
    <n v="14"/>
    <n v="6.8000000000000025"/>
    <n v="7.7000000000000028"/>
    <n v="12"/>
    <n v="2532.1450000000009"/>
    <n v="328.85"/>
    <x v="62"/>
    <n v="98.655000000000001"/>
    <x v="3"/>
  </r>
  <r>
    <x v="19"/>
    <s v="Volkan Batkan"/>
    <x v="0"/>
    <x v="114"/>
    <x v="114"/>
    <n v="7"/>
    <s v="ADET"/>
    <n v="7"/>
    <n v="230"/>
    <n v="72"/>
    <n v="-172"/>
    <n v="0"/>
    <n v="0"/>
    <n v="225"/>
    <x v="42"/>
    <n v="1575"/>
    <x v="6"/>
  </r>
  <r>
    <x v="19"/>
    <s v="Volkan Batkan"/>
    <x v="0"/>
    <x v="408"/>
    <x v="408"/>
    <n v="4"/>
    <s v="ADET"/>
    <n v="4"/>
    <n v="46"/>
    <n v="12"/>
    <n v="-14"/>
    <n v="0"/>
    <n v="0"/>
    <n v="100"/>
    <x v="91"/>
    <n v="400"/>
    <x v="6"/>
  </r>
  <r>
    <x v="19"/>
    <s v="Volkan Batkan"/>
    <x v="0"/>
    <x v="209"/>
    <x v="209"/>
    <n v="1"/>
    <s v="ADET"/>
    <n v="1"/>
    <n v="6"/>
    <n v="7"/>
    <n v="2"/>
    <n v="0"/>
    <n v="4960.92"/>
    <n v="2480.46"/>
    <x v="13"/>
    <n v="2480.46"/>
    <x v="7"/>
  </r>
  <r>
    <x v="12"/>
    <s v="Matteo Giolo"/>
    <x v="0"/>
    <x v="220"/>
    <x v="220"/>
    <n v="0.5099999999999999"/>
    <s v="ADET"/>
    <n v="0"/>
    <n v="10"/>
    <n v="126.66400000000034"/>
    <n v="-1.1600000000000001"/>
    <n v="0"/>
    <n v="0"/>
    <n v="185"/>
    <x v="14"/>
    <n v="94.34999999999998"/>
    <x v="2"/>
  </r>
  <r>
    <x v="19"/>
    <s v="Volkan Batkan"/>
    <x v="0"/>
    <x v="334"/>
    <x v="334"/>
    <n v="9"/>
    <s v="METRE"/>
    <n v="0"/>
    <n v="0"/>
    <n v="165"/>
    <n v="-289"/>
    <n v="400"/>
    <n v="0"/>
    <n v="5"/>
    <x v="45"/>
    <n v="45"/>
    <x v="2"/>
  </r>
  <r>
    <x v="17"/>
    <s v="Murat Taşdemir"/>
    <x v="0"/>
    <x v="218"/>
    <x v="218"/>
    <n v="1"/>
    <s v="ADET"/>
    <n v="1"/>
    <n v="24"/>
    <n v="9"/>
    <n v="-21"/>
    <n v="0"/>
    <n v="0"/>
    <n v="368.07"/>
    <x v="67"/>
    <n v="368.07"/>
    <x v="7"/>
  </r>
  <r>
    <x v="14"/>
    <s v="Stefan Zaugg"/>
    <x v="0"/>
    <x v="193"/>
    <x v="193"/>
    <n v="2"/>
    <s v="ADET"/>
    <n v="2"/>
    <n v="0"/>
    <n v="4"/>
    <n v="0"/>
    <n v="20"/>
    <n v="0"/>
    <n v="28000"/>
    <x v="44"/>
    <n v="56000"/>
    <x v="7"/>
  </r>
  <r>
    <x v="14"/>
    <s v="Stefan Zaugg"/>
    <x v="0"/>
    <x v="407"/>
    <x v="407"/>
    <n v="1"/>
    <s v="ADET"/>
    <n v="1"/>
    <n v="5"/>
    <n v="8"/>
    <n v="5"/>
    <n v="0"/>
    <n v="30523.449999999997"/>
    <n v="6104.69"/>
    <x v="13"/>
    <n v="6104.69"/>
    <x v="7"/>
  </r>
  <r>
    <x v="19"/>
    <s v="Volkan Batkan"/>
    <x v="0"/>
    <x v="407"/>
    <x v="407"/>
    <n v="1"/>
    <s v="ADET"/>
    <n v="1"/>
    <n v="5"/>
    <n v="8"/>
    <n v="5"/>
    <n v="0"/>
    <n v="30523.449999999997"/>
    <n v="6104.69"/>
    <x v="13"/>
    <n v="6104.69"/>
    <x v="7"/>
  </r>
  <r>
    <x v="4"/>
    <s v="Stefan Zaugg"/>
    <x v="0"/>
    <x v="412"/>
    <x v="412"/>
    <n v="1"/>
    <s v="ADET"/>
    <n v="1"/>
    <n v="15"/>
    <n v="11"/>
    <n v="-4"/>
    <n v="0"/>
    <n v="0"/>
    <n v="510"/>
    <x v="53"/>
    <n v="510"/>
    <x v="4"/>
  </r>
  <r>
    <x v="0"/>
    <s v="Soner Kayıkçı"/>
    <x v="0"/>
    <x v="192"/>
    <x v="192"/>
    <n v="2.7"/>
    <s v="ADET"/>
    <n v="0"/>
    <n v="14"/>
    <n v="6.8000000000000025"/>
    <n v="7.7000000000000028"/>
    <n v="12"/>
    <n v="2532.1450000000009"/>
    <n v="328.85"/>
    <x v="62"/>
    <n v="887.8950000000001"/>
    <x v="3"/>
  </r>
  <r>
    <x v="7"/>
    <s v="Laurent MONTAGNER"/>
    <x v="0"/>
    <x v="412"/>
    <x v="412"/>
    <n v="1"/>
    <s v="ADET"/>
    <n v="1"/>
    <n v="15"/>
    <n v="11"/>
    <n v="-4"/>
    <n v="0"/>
    <n v="0"/>
    <n v="510"/>
    <x v="53"/>
    <n v="510"/>
    <x v="4"/>
  </r>
  <r>
    <x v="7"/>
    <s v="Laurent MONTAGNER"/>
    <x v="0"/>
    <x v="410"/>
    <x v="410"/>
    <n v="2"/>
    <s v="ADET"/>
    <n v="2"/>
    <n v="25"/>
    <n v="14"/>
    <n v="7"/>
    <n v="0"/>
    <n v="1206.6599999999999"/>
    <n v="172.38"/>
    <x v="74"/>
    <n v="344.76"/>
    <x v="6"/>
  </r>
  <r>
    <x v="4"/>
    <s v="Stefan Zaugg"/>
    <x v="0"/>
    <x v="209"/>
    <x v="209"/>
    <n v="1"/>
    <s v="ADET"/>
    <n v="1"/>
    <n v="6"/>
    <n v="7"/>
    <n v="2"/>
    <n v="0"/>
    <n v="4960.92"/>
    <n v="2480.46"/>
    <x v="13"/>
    <n v="2480.46"/>
    <x v="7"/>
  </r>
  <r>
    <x v="7"/>
    <s v="Laurent MONTAGNER"/>
    <x v="0"/>
    <x v="220"/>
    <x v="220"/>
    <n v="0.80800000000000016"/>
    <s v="ADET"/>
    <n v="0.80800000000000016"/>
    <n v="10"/>
    <n v="126.66400000000034"/>
    <n v="-1.1600000000000001"/>
    <n v="0"/>
    <n v="0"/>
    <n v="185"/>
    <x v="14"/>
    <n v="149.48000000000002"/>
    <x v="2"/>
  </r>
  <r>
    <x v="2"/>
    <s v="Laurent MONTAGNER"/>
    <x v="0"/>
    <x v="409"/>
    <x v="409"/>
    <n v="4"/>
    <s v="ADET"/>
    <n v="0"/>
    <n v="250"/>
    <n v="302"/>
    <n v="-202"/>
    <n v="0"/>
    <n v="0"/>
    <n v="0.9"/>
    <x v="15"/>
    <n v="3.6"/>
    <x v="7"/>
  </r>
  <r>
    <x v="0"/>
    <s v="Soner Kayıkçı"/>
    <x v="0"/>
    <x v="410"/>
    <x v="410"/>
    <n v="4"/>
    <s v="ADET"/>
    <n v="0"/>
    <n v="25"/>
    <n v="14"/>
    <n v="7"/>
    <n v="0"/>
    <n v="1206.6599999999999"/>
    <n v="172.38"/>
    <x v="74"/>
    <n v="689.52"/>
    <x v="6"/>
  </r>
  <r>
    <x v="9"/>
    <s v="Jan Urbanek"/>
    <x v="0"/>
    <x v="391"/>
    <x v="391"/>
    <n v="1"/>
    <s v="ADET"/>
    <n v="0"/>
    <n v="42"/>
    <n v="10"/>
    <n v="-30"/>
    <n v="0"/>
    <n v="0"/>
    <n v="142.5"/>
    <x v="15"/>
    <n v="142.5"/>
    <x v="7"/>
  </r>
  <r>
    <x v="10"/>
    <s v="Jan Urbanek"/>
    <x v="0"/>
    <x v="434"/>
    <x v="434"/>
    <n v="6"/>
    <s v="ADET"/>
    <n v="0"/>
    <n v="0"/>
    <n v="0"/>
    <n v="42"/>
    <n v="0"/>
    <n v="15.12"/>
    <n v="0.36"/>
    <x v="8"/>
    <n v="2.16"/>
    <x v="2"/>
  </r>
  <r>
    <x v="15"/>
    <s v="Jan Urbanek"/>
    <x v="0"/>
    <x v="435"/>
    <x v="435"/>
    <n v="2"/>
    <s v="ADET"/>
    <n v="0"/>
    <n v="0"/>
    <n v="0"/>
    <n v="14"/>
    <n v="0"/>
    <n v="0"/>
    <n v="0"/>
    <x v="5"/>
    <n v="0"/>
    <x v="7"/>
  </r>
  <r>
    <x v="14"/>
    <s v="Stefan Zaugg"/>
    <x v="0"/>
    <x v="421"/>
    <x v="421"/>
    <n v="2"/>
    <s v="ADET"/>
    <n v="2"/>
    <n v="20.5"/>
    <n v="5"/>
    <n v="-9.5"/>
    <n v="0"/>
    <n v="0"/>
    <n v="175"/>
    <x v="35"/>
    <n v="350"/>
    <x v="2"/>
  </r>
  <r>
    <x v="13"/>
    <s v="Matteo Giolo"/>
    <x v="0"/>
    <x v="422"/>
    <x v="422"/>
    <n v="1"/>
    <s v="ADET"/>
    <n v="0"/>
    <n v="12"/>
    <n v="17"/>
    <n v="-1"/>
    <n v="0"/>
    <n v="0"/>
    <n v="400"/>
    <x v="85"/>
    <n v="400"/>
    <x v="6"/>
  </r>
  <r>
    <x v="9"/>
    <s v="Jan Urbanek"/>
    <x v="0"/>
    <x v="324"/>
    <x v="324"/>
    <n v="1"/>
    <s v="ADET"/>
    <n v="0"/>
    <n v="24"/>
    <n v="5"/>
    <n v="-12"/>
    <n v="0"/>
    <n v="0"/>
    <n v="360.19"/>
    <x v="74"/>
    <n v="360.19"/>
    <x v="4"/>
  </r>
  <r>
    <x v="8"/>
    <s v="Jan Urbanek"/>
    <x v="0"/>
    <x v="324"/>
    <x v="324"/>
    <n v="1"/>
    <s v="ADET"/>
    <n v="0"/>
    <n v="24"/>
    <n v="5"/>
    <n v="-12"/>
    <n v="0"/>
    <n v="0"/>
    <n v="360.19"/>
    <x v="74"/>
    <n v="360.19"/>
    <x v="4"/>
  </r>
  <r>
    <x v="17"/>
    <s v="Murat Taşdemir"/>
    <x v="0"/>
    <x v="327"/>
    <x v="327"/>
    <n v="1"/>
    <s v="ADET"/>
    <n v="1"/>
    <n v="1"/>
    <n v="10"/>
    <n v="11"/>
    <n v="0"/>
    <n v="20020"/>
    <n v="1820"/>
    <x v="82"/>
    <n v="1820"/>
    <x v="9"/>
  </r>
  <r>
    <x v="18"/>
    <s v="Hayriye Güven"/>
    <x v="0"/>
    <x v="327"/>
    <x v="327"/>
    <n v="1"/>
    <s v="ADET"/>
    <n v="0"/>
    <n v="1"/>
    <n v="10"/>
    <n v="11"/>
    <n v="0"/>
    <n v="20020"/>
    <n v="1820"/>
    <x v="82"/>
    <n v="1820"/>
    <x v="9"/>
  </r>
  <r>
    <x v="9"/>
    <s v="Jan Urbanek"/>
    <x v="0"/>
    <x v="275"/>
    <x v="275"/>
    <n v="4.4000000000000004"/>
    <s v="ADET"/>
    <n v="0"/>
    <n v="85"/>
    <n v="3.6500000000000128"/>
    <n v="12.550000000000011"/>
    <n v="0"/>
    <n v="4368.7805000000044"/>
    <n v="348.11"/>
    <x v="29"/>
    <n v="1531.6840000000002"/>
    <x v="3"/>
  </r>
  <r>
    <x v="9"/>
    <s v="Jan Urbanek"/>
    <x v="0"/>
    <x v="319"/>
    <x v="319"/>
    <n v="6"/>
    <s v="KG"/>
    <n v="0"/>
    <n v="0"/>
    <n v="65"/>
    <n v="119"/>
    <n v="0"/>
    <n v="133274.05000000002"/>
    <n v="1119.95"/>
    <x v="81"/>
    <n v="6719.7000000000007"/>
    <x v="3"/>
  </r>
  <r>
    <x v="10"/>
    <s v="Jan Urbanek"/>
    <x v="0"/>
    <x v="320"/>
    <x v="320"/>
    <n v="0.01"/>
    <s v="GR"/>
    <n v="0"/>
    <n v="150"/>
    <n v="0"/>
    <n v="-149.76499999999999"/>
    <n v="0"/>
    <n v="0"/>
    <n v="1.8"/>
    <x v="20"/>
    <n v="1.8000000000000002E-2"/>
    <x v="2"/>
  </r>
  <r>
    <x v="11"/>
    <s v="Jan Urbanek"/>
    <x v="0"/>
    <x v="324"/>
    <x v="324"/>
    <n v="1"/>
    <s v="ADET"/>
    <n v="0"/>
    <n v="24"/>
    <n v="5"/>
    <n v="-12"/>
    <n v="0"/>
    <n v="0"/>
    <n v="360.19"/>
    <x v="74"/>
    <n v="360.19"/>
    <x v="4"/>
  </r>
  <r>
    <x v="16"/>
    <s v="Stefan Zaugg"/>
    <x v="0"/>
    <x v="332"/>
    <x v="332"/>
    <n v="4"/>
    <s v="ADET"/>
    <n v="4"/>
    <n v="56.5"/>
    <n v="26"/>
    <n v="-12.5"/>
    <n v="0"/>
    <n v="0"/>
    <n v="200"/>
    <x v="37"/>
    <n v="800"/>
    <x v="6"/>
  </r>
  <r>
    <x v="13"/>
    <s v="Matteo Giolo"/>
    <x v="0"/>
    <x v="332"/>
    <x v="332"/>
    <n v="4"/>
    <s v="ADET"/>
    <n v="0"/>
    <n v="56.5"/>
    <n v="26"/>
    <n v="-12.5"/>
    <n v="0"/>
    <n v="0"/>
    <n v="200"/>
    <x v="37"/>
    <n v="800"/>
    <x v="6"/>
  </r>
  <r>
    <x v="15"/>
    <s v="Jan Urbanek"/>
    <x v="0"/>
    <x v="326"/>
    <x v="326"/>
    <n v="4"/>
    <s v="ADET"/>
    <n v="0"/>
    <n v="37"/>
    <n v="14"/>
    <n v="-5"/>
    <n v="0"/>
    <n v="0"/>
    <n v="313.88"/>
    <x v="74"/>
    <n v="1255.52"/>
    <x v="6"/>
  </r>
  <r>
    <x v="15"/>
    <s v="Jan Urbanek"/>
    <x v="0"/>
    <x v="327"/>
    <x v="327"/>
    <n v="1"/>
    <s v="ADET"/>
    <n v="0"/>
    <n v="1"/>
    <n v="10"/>
    <n v="11"/>
    <n v="0"/>
    <n v="20020"/>
    <n v="1820"/>
    <x v="82"/>
    <n v="1820"/>
    <x v="9"/>
  </r>
  <r>
    <x v="9"/>
    <s v="Jan Urbanek"/>
    <x v="0"/>
    <x v="332"/>
    <x v="332"/>
    <n v="4"/>
    <s v="ADET"/>
    <n v="0"/>
    <n v="56.5"/>
    <n v="26"/>
    <n v="-12.5"/>
    <n v="0"/>
    <n v="0"/>
    <n v="200"/>
    <x v="37"/>
    <n v="800"/>
    <x v="6"/>
  </r>
  <r>
    <x v="8"/>
    <s v="Jan Urbanek"/>
    <x v="0"/>
    <x v="332"/>
    <x v="332"/>
    <n v="4"/>
    <s v="ADET"/>
    <n v="0"/>
    <n v="56.5"/>
    <n v="26"/>
    <n v="-12.5"/>
    <n v="0"/>
    <n v="0"/>
    <n v="200"/>
    <x v="37"/>
    <n v="800"/>
    <x v="6"/>
  </r>
  <r>
    <x v="19"/>
    <s v="Volkan Batkan"/>
    <x v="0"/>
    <x v="326"/>
    <x v="326"/>
    <n v="4"/>
    <s v="ADET"/>
    <n v="0"/>
    <n v="37"/>
    <n v="14"/>
    <n v="-5"/>
    <n v="0"/>
    <n v="0"/>
    <n v="313.88"/>
    <x v="74"/>
    <n v="1255.52"/>
    <x v="6"/>
  </r>
  <r>
    <x v="13"/>
    <s v="Matteo Giolo"/>
    <x v="0"/>
    <x v="327"/>
    <x v="327"/>
    <n v="1"/>
    <s v="ADET"/>
    <n v="0"/>
    <n v="1"/>
    <n v="10"/>
    <n v="11"/>
    <n v="0"/>
    <n v="20020"/>
    <n v="1820"/>
    <x v="82"/>
    <n v="1820"/>
    <x v="9"/>
  </r>
  <r>
    <x v="15"/>
    <s v="Jan Urbanek"/>
    <x v="0"/>
    <x v="328"/>
    <x v="328"/>
    <n v="2"/>
    <s v="ADET"/>
    <n v="0"/>
    <n v="500"/>
    <n v="500"/>
    <n v="-486"/>
    <n v="0"/>
    <n v="0"/>
    <n v="0.55000000000000004"/>
    <x v="15"/>
    <n v="1.1000000000000001"/>
    <x v="7"/>
  </r>
  <r>
    <x v="19"/>
    <s v="Volkan Batkan"/>
    <x v="0"/>
    <x v="333"/>
    <x v="333"/>
    <n v="12"/>
    <s v="ADET"/>
    <n v="0"/>
    <n v="100"/>
    <n v="0"/>
    <n v="-64"/>
    <n v="0"/>
    <n v="0"/>
    <n v="21.45"/>
    <x v="83"/>
    <n v="257.39999999999998"/>
    <x v="2"/>
  </r>
  <r>
    <x v="14"/>
    <s v="Stefan Zaugg"/>
    <x v="0"/>
    <x v="333"/>
    <x v="333"/>
    <n v="12"/>
    <s v="ADET"/>
    <n v="0"/>
    <n v="100"/>
    <n v="0"/>
    <n v="-64"/>
    <n v="0"/>
    <n v="0"/>
    <n v="21.45"/>
    <x v="83"/>
    <n v="257.39999999999998"/>
    <x v="2"/>
  </r>
  <r>
    <x v="10"/>
    <s v="Jan Urbanek"/>
    <x v="0"/>
    <x v="332"/>
    <x v="332"/>
    <n v="4"/>
    <s v="ADET"/>
    <n v="0"/>
    <n v="56.5"/>
    <n v="26"/>
    <n v="-12.5"/>
    <n v="0"/>
    <n v="0"/>
    <n v="200"/>
    <x v="37"/>
    <n v="800"/>
    <x v="6"/>
  </r>
  <r>
    <x v="11"/>
    <s v="Jan Urbanek"/>
    <x v="0"/>
    <x v="326"/>
    <x v="326"/>
    <n v="4"/>
    <s v="ADET"/>
    <n v="0"/>
    <n v="37"/>
    <n v="14"/>
    <n v="-5"/>
    <n v="0"/>
    <n v="0"/>
    <n v="313.88"/>
    <x v="74"/>
    <n v="1255.52"/>
    <x v="6"/>
  </r>
  <r>
    <x v="11"/>
    <s v="Jan Urbanek"/>
    <x v="0"/>
    <x v="327"/>
    <x v="327"/>
    <n v="1"/>
    <s v="ADET"/>
    <n v="0"/>
    <n v="1"/>
    <n v="10"/>
    <n v="11"/>
    <n v="0"/>
    <n v="20020"/>
    <n v="1820"/>
    <x v="82"/>
    <n v="1820"/>
    <x v="9"/>
  </r>
  <r>
    <x v="11"/>
    <s v="Jan Urbanek"/>
    <x v="0"/>
    <x v="328"/>
    <x v="328"/>
    <n v="2"/>
    <s v="ADET"/>
    <n v="0"/>
    <n v="500"/>
    <n v="500"/>
    <n v="-486"/>
    <n v="0"/>
    <n v="0"/>
    <n v="0.55000000000000004"/>
    <x v="15"/>
    <n v="1.1000000000000001"/>
    <x v="7"/>
  </r>
  <r>
    <x v="10"/>
    <s v="Jan Urbanek"/>
    <x v="0"/>
    <x v="319"/>
    <x v="319"/>
    <n v="6"/>
    <s v="KG"/>
    <n v="0"/>
    <n v="0"/>
    <n v="65"/>
    <n v="119"/>
    <n v="0"/>
    <n v="133274.05000000002"/>
    <n v="1119.95"/>
    <x v="81"/>
    <n v="6719.7000000000007"/>
    <x v="3"/>
  </r>
  <r>
    <x v="8"/>
    <s v="Jan Urbanek"/>
    <x v="0"/>
    <x v="319"/>
    <x v="319"/>
    <n v="6"/>
    <s v="KG"/>
    <n v="0"/>
    <n v="0"/>
    <n v="65"/>
    <n v="119"/>
    <n v="0"/>
    <n v="133274.05000000002"/>
    <n v="1119.95"/>
    <x v="81"/>
    <n v="6719.7000000000007"/>
    <x v="3"/>
  </r>
  <r>
    <x v="9"/>
    <s v="Jan Urbanek"/>
    <x v="0"/>
    <x v="320"/>
    <x v="320"/>
    <n v="0.01"/>
    <s v="GR"/>
    <n v="0"/>
    <n v="150"/>
    <n v="0"/>
    <n v="-149.76499999999999"/>
    <n v="0"/>
    <n v="0"/>
    <n v="1.8"/>
    <x v="20"/>
    <n v="1.8000000000000002E-2"/>
    <x v="2"/>
  </r>
  <r>
    <x v="10"/>
    <s v="Jan Urbanek"/>
    <x v="0"/>
    <x v="324"/>
    <x v="324"/>
    <n v="1"/>
    <s v="ADET"/>
    <n v="0"/>
    <n v="24"/>
    <n v="5"/>
    <n v="-12"/>
    <n v="0"/>
    <n v="0"/>
    <n v="360.19"/>
    <x v="74"/>
    <n v="360.19"/>
    <x v="4"/>
  </r>
  <r>
    <x v="11"/>
    <s v="Jan Urbanek"/>
    <x v="0"/>
    <x v="309"/>
    <x v="309"/>
    <n v="2"/>
    <s v="ADET"/>
    <n v="0"/>
    <n v="288"/>
    <n v="94"/>
    <n v="-260"/>
    <n v="0"/>
    <n v="0"/>
    <n v="4"/>
    <x v="20"/>
    <n v="8"/>
    <x v="7"/>
  </r>
  <r>
    <x v="11"/>
    <s v="Jan Urbanek"/>
    <x v="0"/>
    <x v="311"/>
    <x v="311"/>
    <n v="27"/>
    <s v="MT"/>
    <n v="0"/>
    <n v="200"/>
    <n v="86"/>
    <n v="220"/>
    <n v="0"/>
    <n v="23100"/>
    <n v="105"/>
    <x v="78"/>
    <n v="2835"/>
    <x v="5"/>
  </r>
  <r>
    <x v="19"/>
    <s v="Volkan Batkan"/>
    <x v="0"/>
    <x v="321"/>
    <x v="321"/>
    <n v="1"/>
    <s v="ADET"/>
    <n v="0"/>
    <n v="23"/>
    <n v="5"/>
    <n v="-11"/>
    <n v="0"/>
    <n v="0"/>
    <n v="360.19"/>
    <x v="74"/>
    <n v="360.19"/>
    <x v="4"/>
  </r>
  <r>
    <x v="9"/>
    <s v="Jan Urbanek"/>
    <x v="0"/>
    <x v="311"/>
    <x v="311"/>
    <n v="27"/>
    <s v="MT"/>
    <n v="0"/>
    <n v="200"/>
    <n v="86"/>
    <n v="220"/>
    <n v="0"/>
    <n v="23100"/>
    <n v="105"/>
    <x v="78"/>
    <n v="2835"/>
    <x v="5"/>
  </r>
  <r>
    <x v="8"/>
    <s v="Jan Urbanek"/>
    <x v="0"/>
    <x v="311"/>
    <x v="311"/>
    <n v="22"/>
    <s v="MT"/>
    <n v="0"/>
    <n v="200"/>
    <n v="86"/>
    <n v="220"/>
    <n v="0"/>
    <n v="23100"/>
    <n v="105"/>
    <x v="78"/>
    <n v="2310"/>
    <x v="5"/>
  </r>
  <r>
    <x v="9"/>
    <s v="Jan Urbanek"/>
    <x v="0"/>
    <x v="321"/>
    <x v="321"/>
    <n v="1"/>
    <s v="ADET"/>
    <n v="0"/>
    <n v="23"/>
    <n v="5"/>
    <n v="-11"/>
    <n v="0"/>
    <n v="0"/>
    <n v="360.19"/>
    <x v="74"/>
    <n v="360.19"/>
    <x v="4"/>
  </r>
  <r>
    <x v="13"/>
    <s v="Matteo Giolo"/>
    <x v="0"/>
    <x v="321"/>
    <x v="321"/>
    <n v="1"/>
    <s v="ADET"/>
    <n v="0"/>
    <n v="23"/>
    <n v="5"/>
    <n v="-11"/>
    <n v="0"/>
    <n v="0"/>
    <n v="360.19"/>
    <x v="74"/>
    <n v="360.19"/>
    <x v="4"/>
  </r>
  <r>
    <x v="15"/>
    <s v="Jan Urbanek"/>
    <x v="0"/>
    <x v="346"/>
    <x v="346"/>
    <n v="4"/>
    <s v="ADET"/>
    <n v="0"/>
    <n v="100"/>
    <n v="52"/>
    <n v="-52"/>
    <n v="0"/>
    <n v="0"/>
    <n v="1.1299999999999999"/>
    <x v="15"/>
    <n v="4.5199999999999996"/>
    <x v="7"/>
  </r>
  <r>
    <x v="14"/>
    <s v="Stefan Zaugg"/>
    <x v="0"/>
    <x v="346"/>
    <x v="346"/>
    <n v="4"/>
    <s v="ADET"/>
    <n v="0"/>
    <n v="100"/>
    <n v="52"/>
    <n v="-52"/>
    <n v="0"/>
    <n v="0"/>
    <n v="1.1299999999999999"/>
    <x v="15"/>
    <n v="4.5199999999999996"/>
    <x v="7"/>
  </r>
  <r>
    <x v="15"/>
    <s v="Jan Urbanek"/>
    <x v="0"/>
    <x v="347"/>
    <x v="347"/>
    <n v="2"/>
    <s v="ADET"/>
    <n v="0"/>
    <n v="24"/>
    <n v="10"/>
    <n v="-8"/>
    <n v="0"/>
    <n v="0"/>
    <n v="50.43"/>
    <x v="74"/>
    <n v="100.86"/>
    <x v="6"/>
  </r>
  <r>
    <x v="8"/>
    <s v="Jan Urbanek"/>
    <x v="0"/>
    <x v="321"/>
    <x v="321"/>
    <n v="1"/>
    <s v="ADET"/>
    <n v="0"/>
    <n v="23"/>
    <n v="5"/>
    <n v="-11"/>
    <n v="0"/>
    <n v="0"/>
    <n v="360.19"/>
    <x v="74"/>
    <n v="360.19"/>
    <x v="4"/>
  </r>
  <r>
    <x v="10"/>
    <s v="Jan Urbanek"/>
    <x v="0"/>
    <x v="346"/>
    <x v="346"/>
    <n v="4"/>
    <s v="ADET"/>
    <n v="0"/>
    <n v="100"/>
    <n v="52"/>
    <n v="-52"/>
    <n v="0"/>
    <n v="0"/>
    <n v="1.1299999999999999"/>
    <x v="15"/>
    <n v="4.5199999999999996"/>
    <x v="7"/>
  </r>
  <r>
    <x v="16"/>
    <s v="Stefan Zaugg"/>
    <x v="0"/>
    <x v="346"/>
    <x v="346"/>
    <n v="4"/>
    <s v="ADET"/>
    <n v="0"/>
    <n v="100"/>
    <n v="52"/>
    <n v="-52"/>
    <n v="0"/>
    <n v="0"/>
    <n v="1.1299999999999999"/>
    <x v="15"/>
    <n v="4.5199999999999996"/>
    <x v="7"/>
  </r>
  <r>
    <x v="19"/>
    <s v="Volkan Batkan"/>
    <x v="0"/>
    <x v="347"/>
    <x v="347"/>
    <n v="2"/>
    <s v="ADET"/>
    <n v="0"/>
    <n v="24"/>
    <n v="10"/>
    <n v="-8"/>
    <n v="0"/>
    <n v="0"/>
    <n v="50.43"/>
    <x v="74"/>
    <n v="100.86"/>
    <x v="6"/>
  </r>
  <r>
    <x v="6"/>
    <s v="Laurent MONTAGNER"/>
    <x v="0"/>
    <x v="374"/>
    <x v="374"/>
    <n v="50"/>
    <s v="ADET"/>
    <n v="0"/>
    <n v="0"/>
    <n v="1330"/>
    <n v="860"/>
    <n v="0"/>
    <n v="344"/>
    <n v="0.4"/>
    <x v="8"/>
    <n v="20"/>
    <x v="2"/>
  </r>
  <r>
    <x v="0"/>
    <s v="Soner Kayıkçı"/>
    <x v="0"/>
    <x v="374"/>
    <x v="374"/>
    <n v="40"/>
    <s v="ADET"/>
    <n v="0"/>
    <n v="0"/>
    <n v="1330"/>
    <n v="860"/>
    <n v="0"/>
    <n v="344"/>
    <n v="0.4"/>
    <x v="8"/>
    <n v="16"/>
    <x v="2"/>
  </r>
  <r>
    <x v="2"/>
    <s v="Laurent MONTAGNER"/>
    <x v="0"/>
    <x v="374"/>
    <x v="374"/>
    <n v="40"/>
    <s v="ADET"/>
    <n v="0"/>
    <n v="0"/>
    <n v="1330"/>
    <n v="860"/>
    <n v="0"/>
    <n v="344"/>
    <n v="0.4"/>
    <x v="8"/>
    <n v="16"/>
    <x v="2"/>
  </r>
  <r>
    <x v="6"/>
    <s v="Laurent MONTAGNER"/>
    <x v="0"/>
    <x v="375"/>
    <x v="375"/>
    <n v="0.5"/>
    <s v="KG"/>
    <n v="0"/>
    <n v="39"/>
    <n v="40.000000000000014"/>
    <n v="-18.5"/>
    <n v="0"/>
    <n v="0"/>
    <n v="212.93"/>
    <x v="56"/>
    <n v="106.465"/>
    <x v="8"/>
  </r>
  <r>
    <x v="1"/>
    <s v="Stina Alm"/>
    <x v="0"/>
    <x v="375"/>
    <x v="375"/>
    <n v="0.5"/>
    <s v="KG"/>
    <n v="0"/>
    <n v="39"/>
    <n v="40.000000000000014"/>
    <n v="-18.5"/>
    <n v="0"/>
    <n v="0"/>
    <n v="212.93"/>
    <x v="56"/>
    <n v="106.465"/>
    <x v="8"/>
  </r>
  <r>
    <x v="10"/>
    <s v="Jan Urbanek"/>
    <x v="0"/>
    <x v="345"/>
    <x v="345"/>
    <n v="60"/>
    <s v="ADET"/>
    <n v="0"/>
    <n v="5000"/>
    <n v="0"/>
    <n v="-3820"/>
    <n v="0"/>
    <n v="0"/>
    <n v="0.6"/>
    <x v="14"/>
    <n v="36"/>
    <x v="2"/>
  </r>
  <r>
    <x v="8"/>
    <s v="Jan Urbanek"/>
    <x v="0"/>
    <x v="345"/>
    <x v="345"/>
    <n v="60"/>
    <s v="ADET"/>
    <n v="0"/>
    <n v="5000"/>
    <n v="0"/>
    <n v="-3820"/>
    <n v="0"/>
    <n v="0"/>
    <n v="0.6"/>
    <x v="14"/>
    <n v="36"/>
    <x v="2"/>
  </r>
  <r>
    <x v="10"/>
    <s v="Jan Urbanek"/>
    <x v="0"/>
    <x v="374"/>
    <x v="374"/>
    <n v="40"/>
    <s v="ADET"/>
    <n v="0"/>
    <n v="0"/>
    <n v="1330"/>
    <n v="860"/>
    <n v="0"/>
    <n v="344"/>
    <n v="0.4"/>
    <x v="8"/>
    <n v="16"/>
    <x v="2"/>
  </r>
  <r>
    <x v="9"/>
    <s v="Jan Urbanek"/>
    <x v="0"/>
    <x v="375"/>
    <x v="375"/>
    <n v="1.5"/>
    <s v="KG"/>
    <n v="0"/>
    <n v="39"/>
    <n v="40.000000000000014"/>
    <n v="-18.5"/>
    <n v="0"/>
    <n v="0"/>
    <n v="212.93"/>
    <x v="56"/>
    <n v="319.39499999999998"/>
    <x v="8"/>
  </r>
  <r>
    <x v="8"/>
    <s v="Jan Urbanek"/>
    <x v="0"/>
    <x v="375"/>
    <x v="375"/>
    <n v="1.5"/>
    <s v="KG"/>
    <n v="0"/>
    <n v="39"/>
    <n v="40.000000000000014"/>
    <n v="-18.5"/>
    <n v="0"/>
    <n v="0"/>
    <n v="212.93"/>
    <x v="56"/>
    <n v="319.39499999999998"/>
    <x v="8"/>
  </r>
  <r>
    <x v="9"/>
    <s v="Jan Urbanek"/>
    <x v="0"/>
    <x v="387"/>
    <x v="387"/>
    <n v="1"/>
    <s v="ADET"/>
    <n v="0"/>
    <n v="3"/>
    <n v="13"/>
    <n v="12"/>
    <n v="0"/>
    <n v="43576.08"/>
    <n v="3631.34"/>
    <x v="84"/>
    <n v="3631.34"/>
    <x v="6"/>
  </r>
  <r>
    <x v="8"/>
    <s v="Jan Urbanek"/>
    <x v="0"/>
    <x v="387"/>
    <x v="387"/>
    <n v="1"/>
    <s v="ADET"/>
    <n v="0"/>
    <n v="3"/>
    <n v="13"/>
    <n v="12"/>
    <n v="0"/>
    <n v="43576.08"/>
    <n v="3631.34"/>
    <x v="84"/>
    <n v="3631.34"/>
    <x v="6"/>
  </r>
  <r>
    <x v="11"/>
    <s v="Jan Urbanek"/>
    <x v="0"/>
    <x v="345"/>
    <x v="345"/>
    <n v="60"/>
    <s v="ADET"/>
    <n v="0"/>
    <n v="5000"/>
    <n v="0"/>
    <n v="-3820"/>
    <n v="0"/>
    <n v="0"/>
    <n v="0.6"/>
    <x v="14"/>
    <n v="36"/>
    <x v="2"/>
  </r>
  <r>
    <x v="15"/>
    <s v="Jan Urbanek"/>
    <x v="0"/>
    <x v="422"/>
    <x v="422"/>
    <n v="1"/>
    <s v="ADET"/>
    <n v="0"/>
    <n v="12"/>
    <n v="17"/>
    <n v="-1"/>
    <n v="0"/>
    <n v="0"/>
    <n v="400"/>
    <x v="85"/>
    <n v="400"/>
    <x v="6"/>
  </r>
  <r>
    <x v="15"/>
    <s v="Jan Urbanek"/>
    <x v="0"/>
    <x v="423"/>
    <x v="423"/>
    <n v="1"/>
    <s v="ADET"/>
    <n v="0"/>
    <n v="11"/>
    <n v="4"/>
    <n v="-4"/>
    <n v="0"/>
    <n v="0"/>
    <n v="1679.53"/>
    <x v="74"/>
    <n v="1679.53"/>
    <x v="4"/>
  </r>
  <r>
    <x v="10"/>
    <s v="Jan Urbanek"/>
    <x v="0"/>
    <x v="435"/>
    <x v="435"/>
    <n v="2"/>
    <s v="ADET"/>
    <n v="0"/>
    <n v="0"/>
    <n v="0"/>
    <n v="14"/>
    <n v="0"/>
    <n v="0"/>
    <n v="0"/>
    <x v="5"/>
    <n v="0"/>
    <x v="7"/>
  </r>
  <r>
    <x v="0"/>
    <s v="Soner Kayıkçı"/>
    <x v="0"/>
    <x v="389"/>
    <x v="389"/>
    <n v="1"/>
    <s v="ADET"/>
    <n v="0"/>
    <n v="4"/>
    <n v="10"/>
    <n v="-3"/>
    <n v="10"/>
    <n v="0"/>
    <n v="583.77"/>
    <x v="92"/>
    <n v="583.77"/>
    <x v="2"/>
  </r>
  <r>
    <x v="0"/>
    <s v="Soner Kayıkçı"/>
    <x v="0"/>
    <x v="391"/>
    <x v="391"/>
    <n v="1"/>
    <s v="ADET"/>
    <n v="0"/>
    <n v="42"/>
    <n v="10"/>
    <n v="-30"/>
    <n v="0"/>
    <n v="0"/>
    <n v="142.5"/>
    <x v="15"/>
    <n v="142.5"/>
    <x v="7"/>
  </r>
  <r>
    <x v="9"/>
    <s v="Jan Urbanek"/>
    <x v="0"/>
    <x v="388"/>
    <x v="388"/>
    <n v="1"/>
    <s v="ADET"/>
    <n v="0"/>
    <n v="4"/>
    <n v="9"/>
    <n v="1"/>
    <n v="6"/>
    <n v="1600"/>
    <n v="1600"/>
    <x v="14"/>
    <n v="1600"/>
    <x v="4"/>
  </r>
  <r>
    <x v="11"/>
    <s v="Jan Urbanek"/>
    <x v="0"/>
    <x v="390"/>
    <x v="390"/>
    <n v="2"/>
    <s v="ADET"/>
    <n v="0"/>
    <n v="216"/>
    <n v="118"/>
    <n v="-190"/>
    <n v="0"/>
    <n v="0"/>
    <n v="3.95"/>
    <x v="20"/>
    <n v="7.9"/>
    <x v="7"/>
  </r>
  <r>
    <x v="8"/>
    <s v="Jan Urbanek"/>
    <x v="0"/>
    <x v="434"/>
    <x v="434"/>
    <n v="6"/>
    <s v="ADET"/>
    <n v="0"/>
    <n v="0"/>
    <n v="0"/>
    <n v="42"/>
    <n v="0"/>
    <n v="15.12"/>
    <n v="0.36"/>
    <x v="8"/>
    <n v="2.16"/>
    <x v="2"/>
  </r>
  <r>
    <x v="15"/>
    <s v="Jan Urbanek"/>
    <x v="0"/>
    <x v="421"/>
    <x v="421"/>
    <n v="1"/>
    <s v="ADET"/>
    <n v="0"/>
    <n v="20.5"/>
    <n v="5"/>
    <n v="-9.5"/>
    <n v="0"/>
    <n v="0"/>
    <n v="175"/>
    <x v="35"/>
    <n v="175"/>
    <x v="2"/>
  </r>
  <r>
    <x v="13"/>
    <s v="Matteo Giolo"/>
    <x v="0"/>
    <x v="421"/>
    <x v="421"/>
    <n v="1"/>
    <s v="ADET"/>
    <n v="0"/>
    <n v="20.5"/>
    <n v="5"/>
    <n v="-9.5"/>
    <n v="0"/>
    <n v="0"/>
    <n v="175"/>
    <x v="35"/>
    <n v="175"/>
    <x v="2"/>
  </r>
  <r>
    <x v="9"/>
    <s v="Jan Urbanek"/>
    <x v="0"/>
    <x v="434"/>
    <x v="434"/>
    <n v="6"/>
    <s v="ADET"/>
    <n v="0"/>
    <n v="0"/>
    <n v="0"/>
    <n v="42"/>
    <n v="0"/>
    <n v="15.12"/>
    <n v="0.36"/>
    <x v="8"/>
    <n v="2.16"/>
    <x v="2"/>
  </r>
  <r>
    <x v="8"/>
    <s v="Jan Urbanek"/>
    <x v="0"/>
    <x v="435"/>
    <x v="435"/>
    <n v="2"/>
    <s v="ADET"/>
    <n v="0"/>
    <n v="0"/>
    <n v="0"/>
    <n v="14"/>
    <n v="0"/>
    <n v="0"/>
    <n v="0"/>
    <x v="5"/>
    <n v="0"/>
    <x v="7"/>
  </r>
  <r>
    <x v="9"/>
    <s v="Jan Urbanek"/>
    <x v="0"/>
    <x v="435"/>
    <x v="435"/>
    <n v="2"/>
    <s v="ADET"/>
    <n v="0"/>
    <n v="0"/>
    <n v="0"/>
    <n v="14"/>
    <n v="0"/>
    <n v="0"/>
    <n v="0"/>
    <x v="5"/>
    <n v="0"/>
    <x v="7"/>
  </r>
  <r>
    <x v="8"/>
    <s v="Jan Urbanek"/>
    <x v="0"/>
    <x v="422"/>
    <x v="422"/>
    <n v="1"/>
    <s v="ADET"/>
    <n v="0"/>
    <n v="12"/>
    <n v="17"/>
    <n v="-1"/>
    <n v="0"/>
    <n v="0"/>
    <n v="400"/>
    <x v="85"/>
    <n v="400"/>
    <x v="6"/>
  </r>
  <r>
    <x v="11"/>
    <s v="Jan Urbanek"/>
    <x v="0"/>
    <x v="435"/>
    <x v="435"/>
    <n v="2"/>
    <s v="ADET"/>
    <n v="0"/>
    <n v="0"/>
    <n v="0"/>
    <n v="14"/>
    <n v="0"/>
    <n v="0"/>
    <n v="0"/>
    <x v="5"/>
    <n v="0"/>
    <x v="7"/>
  </r>
  <r>
    <x v="11"/>
    <s v="Jan Urbanek"/>
    <x v="0"/>
    <x v="421"/>
    <x v="421"/>
    <n v="1"/>
    <s v="ADET"/>
    <n v="0"/>
    <n v="20.5"/>
    <n v="5"/>
    <n v="-9.5"/>
    <n v="0"/>
    <n v="0"/>
    <n v="175"/>
    <x v="35"/>
    <n v="175"/>
    <x v="2"/>
  </r>
  <r>
    <x v="11"/>
    <s v="Jan Urbanek"/>
    <x v="0"/>
    <x v="422"/>
    <x v="422"/>
    <n v="1"/>
    <s v="ADET"/>
    <n v="0"/>
    <n v="12"/>
    <n v="17"/>
    <n v="-1"/>
    <n v="0"/>
    <n v="0"/>
    <n v="400"/>
    <x v="85"/>
    <n v="400"/>
    <x v="6"/>
  </r>
  <r>
    <x v="19"/>
    <s v="Volkan Batkan"/>
    <x v="0"/>
    <x v="421"/>
    <x v="421"/>
    <n v="2"/>
    <s v="ADET"/>
    <n v="2"/>
    <n v="20.5"/>
    <n v="5"/>
    <n v="-9.5"/>
    <n v="0"/>
    <n v="0"/>
    <n v="175"/>
    <x v="35"/>
    <n v="350"/>
    <x v="2"/>
  </r>
  <r>
    <x v="1"/>
    <s v="Stina Alm"/>
    <x v="0"/>
    <x v="422"/>
    <x v="422"/>
    <n v="1"/>
    <s v="ADET"/>
    <n v="0"/>
    <n v="12"/>
    <n v="17"/>
    <n v="-1"/>
    <n v="0"/>
    <n v="0"/>
    <n v="400"/>
    <x v="85"/>
    <n v="400"/>
    <x v="6"/>
  </r>
  <r>
    <x v="4"/>
    <s v="Stefan Zaugg"/>
    <x v="0"/>
    <x v="278"/>
    <x v="278"/>
    <n v="1"/>
    <s v="ADET"/>
    <n v="1"/>
    <n v="24"/>
    <n v="4"/>
    <n v="-17"/>
    <n v="0"/>
    <n v="0"/>
    <n v="625"/>
    <x v="2"/>
    <n v="625"/>
    <x v="2"/>
  </r>
  <r>
    <x v="17"/>
    <s v="Murat Taşdemir"/>
    <x v="0"/>
    <x v="391"/>
    <x v="391"/>
    <n v="1"/>
    <s v="ADET"/>
    <n v="1"/>
    <n v="42"/>
    <n v="10"/>
    <n v="-30"/>
    <n v="0"/>
    <n v="0"/>
    <n v="142.5"/>
    <x v="15"/>
    <n v="142.5"/>
    <x v="7"/>
  </r>
  <r>
    <x v="9"/>
    <s v="Jan Urbanek"/>
    <x v="0"/>
    <x v="421"/>
    <x v="421"/>
    <n v="1"/>
    <s v="ADET"/>
    <n v="0"/>
    <n v="20.5"/>
    <n v="5"/>
    <n v="-9.5"/>
    <n v="0"/>
    <n v="0"/>
    <n v="175"/>
    <x v="35"/>
    <n v="175"/>
    <x v="2"/>
  </r>
  <r>
    <x v="10"/>
    <s v="Jan Urbanek"/>
    <x v="0"/>
    <x v="422"/>
    <x v="422"/>
    <n v="1"/>
    <s v="ADET"/>
    <n v="0"/>
    <n v="12"/>
    <n v="17"/>
    <n v="-1"/>
    <n v="0"/>
    <n v="0"/>
    <n v="400"/>
    <x v="85"/>
    <n v="400"/>
    <x v="6"/>
  </r>
  <r>
    <x v="10"/>
    <s v="Jan Urbanek"/>
    <x v="0"/>
    <x v="423"/>
    <x v="423"/>
    <n v="1"/>
    <s v="ADET"/>
    <n v="0"/>
    <n v="11"/>
    <n v="4"/>
    <n v="-4"/>
    <n v="0"/>
    <n v="0"/>
    <n v="1679.53"/>
    <x v="74"/>
    <n v="1679.53"/>
    <x v="4"/>
  </r>
  <r>
    <x v="10"/>
    <s v="Jan Urbanek"/>
    <x v="0"/>
    <x v="350"/>
    <x v="350"/>
    <n v="2"/>
    <s v="ADET"/>
    <n v="0"/>
    <n v="1000"/>
    <n v="1000"/>
    <n v="-986"/>
    <n v="0"/>
    <n v="0"/>
    <n v="0.28000000000000003"/>
    <x v="15"/>
    <n v="0.56000000000000005"/>
    <x v="7"/>
  </r>
  <r>
    <x v="11"/>
    <s v="Jan Urbanek"/>
    <x v="0"/>
    <x v="351"/>
    <x v="351"/>
    <n v="1"/>
    <s v="ADET"/>
    <n v="0"/>
    <n v="17"/>
    <n v="17"/>
    <n v="-6"/>
    <n v="0"/>
    <n v="0"/>
    <n v="41.67"/>
    <x v="85"/>
    <n v="41.67"/>
    <x v="6"/>
  </r>
  <r>
    <x v="0"/>
    <s v="Soner Kayıkçı"/>
    <x v="0"/>
    <x v="350"/>
    <x v="350"/>
    <n v="2"/>
    <s v="ADET"/>
    <n v="0"/>
    <n v="1000"/>
    <n v="1000"/>
    <n v="-986"/>
    <n v="0"/>
    <n v="0"/>
    <n v="0.28000000000000003"/>
    <x v="15"/>
    <n v="0.56000000000000005"/>
    <x v="7"/>
  </r>
  <r>
    <x v="2"/>
    <s v="Laurent MONTAGNER"/>
    <x v="0"/>
    <x v="29"/>
    <x v="29"/>
    <n v="4"/>
    <s v="ADET"/>
    <n v="4"/>
    <n v="75"/>
    <n v="60"/>
    <n v="-31"/>
    <n v="0"/>
    <n v="0"/>
    <n v="170"/>
    <x v="16"/>
    <n v="680"/>
    <x v="2"/>
  </r>
  <r>
    <x v="15"/>
    <s v="Jan Urbanek"/>
    <x v="0"/>
    <x v="332"/>
    <x v="332"/>
    <n v="4"/>
    <s v="ADET"/>
    <n v="0"/>
    <n v="56.5"/>
    <n v="26"/>
    <n v="-12.5"/>
    <n v="0"/>
    <n v="0"/>
    <n v="200"/>
    <x v="37"/>
    <n v="800"/>
    <x v="6"/>
  </r>
  <r>
    <x v="19"/>
    <s v="Volkan Batkan"/>
    <x v="0"/>
    <x v="452"/>
    <x v="452"/>
    <n v="1"/>
    <s v="ADET"/>
    <n v="1"/>
    <n v="27"/>
    <n v="4"/>
    <n v="-20"/>
    <n v="0"/>
    <n v="0"/>
    <n v="287.13"/>
    <x v="74"/>
    <n v="287.13"/>
    <x v="4"/>
  </r>
  <r>
    <x v="16"/>
    <s v="Stefan Zaugg"/>
    <x v="0"/>
    <x v="452"/>
    <x v="452"/>
    <n v="1"/>
    <s v="ADET"/>
    <n v="0"/>
    <n v="27"/>
    <n v="4"/>
    <n v="-20"/>
    <n v="0"/>
    <n v="0"/>
    <n v="287.13"/>
    <x v="74"/>
    <n v="287.13"/>
    <x v="4"/>
  </r>
  <r>
    <x v="14"/>
    <s v="Stefan Zaugg"/>
    <x v="0"/>
    <x v="452"/>
    <x v="452"/>
    <n v="1"/>
    <s v="ADET"/>
    <n v="1"/>
    <n v="27"/>
    <n v="4"/>
    <n v="-20"/>
    <n v="0"/>
    <n v="0"/>
    <n v="287.13"/>
    <x v="74"/>
    <n v="287.13"/>
    <x v="4"/>
  </r>
  <r>
    <x v="16"/>
    <s v="Stefan Zaugg"/>
    <x v="0"/>
    <x v="453"/>
    <x v="453"/>
    <n v="1"/>
    <s v="ADET"/>
    <n v="0"/>
    <n v="27"/>
    <n v="4"/>
    <n v="-20"/>
    <n v="0"/>
    <n v="0"/>
    <n v="287.13"/>
    <x v="74"/>
    <n v="287.13"/>
    <x v="4"/>
  </r>
  <r>
    <x v="9"/>
    <s v="Jan Urbanek"/>
    <x v="0"/>
    <x v="451"/>
    <x v="451"/>
    <n v="1"/>
    <s v="ADET"/>
    <n v="0"/>
    <n v="4"/>
    <n v="22"/>
    <n v="-5"/>
    <n v="20"/>
    <n v="0"/>
    <n v="65"/>
    <x v="4"/>
    <n v="65"/>
    <x v="4"/>
  </r>
  <r>
    <x v="8"/>
    <s v="Jan Urbanek"/>
    <x v="0"/>
    <x v="451"/>
    <x v="451"/>
    <n v="1"/>
    <s v="ADET"/>
    <n v="0"/>
    <n v="4"/>
    <n v="22"/>
    <n v="-5"/>
    <n v="20"/>
    <n v="0"/>
    <n v="65"/>
    <x v="4"/>
    <n v="65"/>
    <x v="4"/>
  </r>
  <r>
    <x v="11"/>
    <s v="Jan Urbanek"/>
    <x v="0"/>
    <x v="454"/>
    <x v="454"/>
    <n v="4"/>
    <s v="ADET"/>
    <n v="0"/>
    <n v="109"/>
    <n v="34"/>
    <n v="-71"/>
    <n v="0"/>
    <n v="0"/>
    <n v="250"/>
    <x v="21"/>
    <n v="1000"/>
    <x v="2"/>
  </r>
  <r>
    <x v="16"/>
    <s v="Stefan Zaugg"/>
    <x v="0"/>
    <x v="386"/>
    <x v="386"/>
    <n v="6"/>
    <s v="METRE"/>
    <n v="0"/>
    <n v="60"/>
    <n v="52"/>
    <n v="14.5"/>
    <n v="80"/>
    <n v="710.5"/>
    <n v="49"/>
    <x v="41"/>
    <n v="294"/>
    <x v="5"/>
  </r>
  <r>
    <x v="14"/>
    <s v="Stefan Zaugg"/>
    <x v="0"/>
    <x v="386"/>
    <x v="386"/>
    <n v="7"/>
    <s v="METRE"/>
    <n v="0"/>
    <n v="60"/>
    <n v="52"/>
    <n v="14.5"/>
    <n v="80"/>
    <n v="710.5"/>
    <n v="49"/>
    <x v="41"/>
    <n v="343"/>
    <x v="5"/>
  </r>
  <r>
    <x v="13"/>
    <s v="Matteo Giolo"/>
    <x v="0"/>
    <x v="386"/>
    <x v="386"/>
    <n v="7.5"/>
    <s v="METRE"/>
    <n v="0"/>
    <n v="60"/>
    <n v="52"/>
    <n v="14.5"/>
    <n v="80"/>
    <n v="710.5"/>
    <n v="49"/>
    <x v="41"/>
    <n v="367.5"/>
    <x v="5"/>
  </r>
  <r>
    <x v="19"/>
    <s v="Volkan Batkan"/>
    <x v="0"/>
    <x v="450"/>
    <x v="450"/>
    <n v="1"/>
    <s v="ADET"/>
    <n v="1"/>
    <n v="49"/>
    <n v="1.6000000000000005"/>
    <n v="-37.599999999999994"/>
    <n v="0"/>
    <n v="0"/>
    <n v="60"/>
    <x v="3"/>
    <n v="60"/>
    <x v="2"/>
  </r>
  <r>
    <x v="16"/>
    <s v="Stefan Zaugg"/>
    <x v="0"/>
    <x v="451"/>
    <x v="451"/>
    <n v="1"/>
    <s v="ADET"/>
    <n v="0"/>
    <n v="4"/>
    <n v="22"/>
    <n v="-5"/>
    <n v="20"/>
    <n v="0"/>
    <n v="65"/>
    <x v="4"/>
    <n v="65"/>
    <x v="4"/>
  </r>
  <r>
    <x v="14"/>
    <s v="Stefan Zaugg"/>
    <x v="0"/>
    <x v="451"/>
    <x v="451"/>
    <n v="1"/>
    <s v="ADET"/>
    <n v="0"/>
    <n v="4"/>
    <n v="22"/>
    <n v="-5"/>
    <n v="20"/>
    <n v="0"/>
    <n v="65"/>
    <x v="4"/>
    <n v="65"/>
    <x v="4"/>
  </r>
  <r>
    <x v="19"/>
    <s v="Volkan Batkan"/>
    <x v="0"/>
    <x v="488"/>
    <x v="488"/>
    <n v="2"/>
    <s v="ADET"/>
    <n v="2"/>
    <n v="4"/>
    <n v="12"/>
    <n v="-4"/>
    <n v="0"/>
    <n v="0"/>
    <n v="1029.1300000000001"/>
    <x v="74"/>
    <n v="2058.2600000000002"/>
    <x v="4"/>
  </r>
  <r>
    <x v="19"/>
    <s v="Volkan Batkan"/>
    <x v="0"/>
    <x v="451"/>
    <x v="451"/>
    <n v="1"/>
    <s v="ADET"/>
    <n v="0"/>
    <n v="4"/>
    <n v="22"/>
    <n v="-5"/>
    <n v="20"/>
    <n v="0"/>
    <n v="65"/>
    <x v="4"/>
    <n v="65"/>
    <x v="4"/>
  </r>
  <r>
    <x v="15"/>
    <s v="Jan Urbanek"/>
    <x v="0"/>
    <x v="452"/>
    <x v="452"/>
    <n v="1"/>
    <s v="ADET"/>
    <n v="0"/>
    <n v="27"/>
    <n v="4"/>
    <n v="-20"/>
    <n v="0"/>
    <n v="0"/>
    <n v="287.13"/>
    <x v="74"/>
    <n v="287.13"/>
    <x v="4"/>
  </r>
  <r>
    <x v="15"/>
    <s v="Jan Urbanek"/>
    <x v="0"/>
    <x v="453"/>
    <x v="453"/>
    <n v="1"/>
    <s v="ADET"/>
    <n v="0"/>
    <n v="27"/>
    <n v="4"/>
    <n v="-20"/>
    <n v="0"/>
    <n v="0"/>
    <n v="287.13"/>
    <x v="74"/>
    <n v="287.13"/>
    <x v="4"/>
  </r>
  <r>
    <x v="13"/>
    <s v="Matteo Giolo"/>
    <x v="0"/>
    <x v="454"/>
    <x v="454"/>
    <n v="2"/>
    <s v="ADET"/>
    <n v="0"/>
    <n v="109"/>
    <n v="34"/>
    <n v="-71"/>
    <n v="0"/>
    <n v="0"/>
    <n v="250"/>
    <x v="21"/>
    <n v="500"/>
    <x v="2"/>
  </r>
  <r>
    <x v="17"/>
    <s v="Murat Taşdemir"/>
    <x v="0"/>
    <x v="455"/>
    <x v="455"/>
    <n v="1"/>
    <s v="ADET"/>
    <n v="0"/>
    <n v="19"/>
    <n v="17"/>
    <n v="0"/>
    <n v="0"/>
    <n v="0"/>
    <n v="113.64"/>
    <x v="100"/>
    <n v="113.64"/>
    <x v="13"/>
  </r>
  <r>
    <x v="19"/>
    <s v="Volkan Batkan"/>
    <x v="0"/>
    <x v="456"/>
    <x v="456"/>
    <n v="4"/>
    <s v="METRE"/>
    <n v="0"/>
    <n v="100"/>
    <n v="0"/>
    <n v="-227.63999999999987"/>
    <n v="214.64"/>
    <n v="0"/>
    <n v="50.81"/>
    <x v="101"/>
    <n v="203.24"/>
    <x v="5"/>
  </r>
  <r>
    <x v="17"/>
    <s v="Murat Taşdemir"/>
    <x v="0"/>
    <x v="456"/>
    <x v="456"/>
    <n v="5"/>
    <s v="METRE"/>
    <n v="0"/>
    <n v="100"/>
    <n v="0"/>
    <n v="-227.63999999999987"/>
    <n v="214.64"/>
    <n v="0"/>
    <n v="50.81"/>
    <x v="101"/>
    <n v="254.05"/>
    <x v="5"/>
  </r>
  <r>
    <x v="15"/>
    <s v="Jan Urbanek"/>
    <x v="0"/>
    <x v="472"/>
    <x v="472"/>
    <n v="3"/>
    <s v="ADET"/>
    <n v="0"/>
    <n v="36"/>
    <n v="26"/>
    <n v="1"/>
    <n v="0"/>
    <n v="348.7"/>
    <n v="348.7"/>
    <x v="74"/>
    <n v="1046.0999999999999"/>
    <x v="6"/>
  </r>
  <r>
    <x v="13"/>
    <s v="Matteo Giolo"/>
    <x v="0"/>
    <x v="472"/>
    <x v="472"/>
    <n v="4"/>
    <s v="ADET"/>
    <n v="0"/>
    <n v="36"/>
    <n v="26"/>
    <n v="1"/>
    <n v="0"/>
    <n v="348.7"/>
    <n v="348.7"/>
    <x v="74"/>
    <n v="1394.8"/>
    <x v="6"/>
  </r>
  <r>
    <x v="15"/>
    <s v="Jan Urbanek"/>
    <x v="0"/>
    <x v="454"/>
    <x v="454"/>
    <n v="4"/>
    <s v="ADET"/>
    <n v="0"/>
    <n v="109"/>
    <n v="34"/>
    <n v="-71"/>
    <n v="0"/>
    <n v="0"/>
    <n v="250"/>
    <x v="21"/>
    <n v="1000"/>
    <x v="2"/>
  </r>
  <r>
    <x v="15"/>
    <s v="Jan Urbanek"/>
    <x v="0"/>
    <x v="456"/>
    <x v="456"/>
    <n v="4"/>
    <s v="METRE"/>
    <n v="0"/>
    <n v="100"/>
    <n v="0"/>
    <n v="-227.63999999999987"/>
    <n v="214.64"/>
    <n v="0"/>
    <n v="50.81"/>
    <x v="101"/>
    <n v="203.24"/>
    <x v="5"/>
  </r>
  <r>
    <x v="15"/>
    <s v="Jan Urbanek"/>
    <x v="0"/>
    <x v="457"/>
    <x v="457"/>
    <n v="1"/>
    <s v="ADET"/>
    <n v="0"/>
    <n v="19"/>
    <n v="4"/>
    <n v="-12"/>
    <n v="0"/>
    <n v="0"/>
    <n v="85"/>
    <x v="10"/>
    <n v="85"/>
    <x v="4"/>
  </r>
  <r>
    <x v="11"/>
    <s v="Jan Urbanek"/>
    <x v="0"/>
    <x v="375"/>
    <x v="375"/>
    <n v="1.5"/>
    <s v="KG"/>
    <n v="0"/>
    <n v="39"/>
    <n v="40.000000000000014"/>
    <n v="-18.5"/>
    <n v="0"/>
    <n v="0"/>
    <n v="212.93"/>
    <x v="56"/>
    <n v="319.39499999999998"/>
    <x v="8"/>
  </r>
  <r>
    <x v="10"/>
    <s v="Jan Urbanek"/>
    <x v="0"/>
    <x v="392"/>
    <x v="392"/>
    <n v="5.9"/>
    <s v="KG"/>
    <n v="0"/>
    <n v="0"/>
    <n v="297.39999999999998"/>
    <n v="94.40000000000002"/>
    <n v="0"/>
    <n v="21972.544000000005"/>
    <n v="232.76"/>
    <x v="3"/>
    <n v="1373.2840000000001"/>
    <x v="3"/>
  </r>
  <r>
    <x v="11"/>
    <s v="Jan Urbanek"/>
    <x v="0"/>
    <x v="387"/>
    <x v="387"/>
    <n v="1"/>
    <s v="ADET"/>
    <n v="0"/>
    <n v="3"/>
    <n v="13"/>
    <n v="12"/>
    <n v="0"/>
    <n v="43576.08"/>
    <n v="3631.34"/>
    <x v="84"/>
    <n v="3631.34"/>
    <x v="6"/>
  </r>
  <r>
    <x v="17"/>
    <s v="Murat Taşdemir"/>
    <x v="0"/>
    <x v="375"/>
    <x v="375"/>
    <n v="0.5"/>
    <s v="KG"/>
    <n v="0"/>
    <n v="39"/>
    <n v="40.000000000000014"/>
    <n v="-18.5"/>
    <n v="0"/>
    <n v="0"/>
    <n v="212.93"/>
    <x v="56"/>
    <n v="106.465"/>
    <x v="8"/>
  </r>
  <r>
    <x v="19"/>
    <s v="Volkan Batkan"/>
    <x v="0"/>
    <x v="474"/>
    <x v="474"/>
    <n v="1"/>
    <s v="ADET"/>
    <n v="1"/>
    <n v="7"/>
    <n v="2"/>
    <n v="0"/>
    <n v="0"/>
    <n v="0"/>
    <n v="337.5"/>
    <x v="75"/>
    <n v="337.5"/>
    <x v="6"/>
  </r>
  <r>
    <x v="19"/>
    <s v="Volkan Batkan"/>
    <x v="0"/>
    <x v="375"/>
    <x v="375"/>
    <n v="1.5"/>
    <s v="KG"/>
    <n v="0"/>
    <n v="39"/>
    <n v="40.000000000000014"/>
    <n v="-18.5"/>
    <n v="0"/>
    <n v="0"/>
    <n v="212.93"/>
    <x v="56"/>
    <n v="319.39499999999998"/>
    <x v="8"/>
  </r>
  <r>
    <x v="15"/>
    <s v="Jan Urbanek"/>
    <x v="0"/>
    <x v="392"/>
    <x v="392"/>
    <n v="5.9"/>
    <s v="KG"/>
    <n v="0"/>
    <n v="0"/>
    <n v="297.39999999999998"/>
    <n v="94.40000000000002"/>
    <n v="0"/>
    <n v="21972.544000000005"/>
    <n v="232.76"/>
    <x v="3"/>
    <n v="1373.2840000000001"/>
    <x v="3"/>
  </r>
  <r>
    <x v="0"/>
    <s v="Soner Kayıkçı"/>
    <x v="0"/>
    <x v="392"/>
    <x v="392"/>
    <n v="5.9"/>
    <s v="KG"/>
    <n v="0"/>
    <n v="0"/>
    <n v="297.39999999999998"/>
    <n v="94.40000000000002"/>
    <n v="0"/>
    <n v="21972.544000000005"/>
    <n v="232.76"/>
    <x v="3"/>
    <n v="1373.2840000000001"/>
    <x v="3"/>
  </r>
  <r>
    <x v="2"/>
    <s v="Laurent MONTAGNER"/>
    <x v="0"/>
    <x v="392"/>
    <x v="392"/>
    <n v="5.9"/>
    <s v="KG"/>
    <n v="0"/>
    <n v="0"/>
    <n v="297.39999999999998"/>
    <n v="94.40000000000002"/>
    <n v="0"/>
    <n v="21972.544000000005"/>
    <n v="232.76"/>
    <x v="3"/>
    <n v="1373.2840000000001"/>
    <x v="3"/>
  </r>
  <r>
    <x v="2"/>
    <s v="Laurent MONTAGNER"/>
    <x v="0"/>
    <x v="476"/>
    <x v="476"/>
    <n v="2"/>
    <s v="ADET"/>
    <n v="2"/>
    <n v="2"/>
    <n v="4"/>
    <n v="0"/>
    <n v="0"/>
    <n v="0"/>
    <n v="4864"/>
    <x v="84"/>
    <n v="9728"/>
    <x v="6"/>
  </r>
  <r>
    <x v="10"/>
    <s v="Jan Urbanek"/>
    <x v="0"/>
    <x v="474"/>
    <x v="474"/>
    <n v="1"/>
    <s v="ADET"/>
    <n v="0"/>
    <n v="7"/>
    <n v="2"/>
    <n v="0"/>
    <n v="0"/>
    <n v="0"/>
    <n v="337.5"/>
    <x v="75"/>
    <n v="337.5"/>
    <x v="6"/>
  </r>
  <r>
    <x v="18"/>
    <s v="Hayriye Güven"/>
    <x v="0"/>
    <x v="489"/>
    <x v="489"/>
    <n v="2"/>
    <s v="ADET"/>
    <n v="0"/>
    <n v="6"/>
    <n v="0"/>
    <n v="-4"/>
    <n v="0"/>
    <n v="0"/>
    <n v="129.16999999999999"/>
    <x v="106"/>
    <n v="258.33999999999997"/>
    <x v="7"/>
  </r>
  <r>
    <x v="16"/>
    <s v="Stefan Zaugg"/>
    <x v="0"/>
    <x v="375"/>
    <x v="375"/>
    <n v="1.5"/>
    <s v="KG"/>
    <n v="0"/>
    <n v="39"/>
    <n v="40.000000000000014"/>
    <n v="-18.5"/>
    <n v="0"/>
    <n v="0"/>
    <n v="212.93"/>
    <x v="56"/>
    <n v="319.39499999999998"/>
    <x v="8"/>
  </r>
  <r>
    <x v="15"/>
    <s v="Jan Urbanek"/>
    <x v="0"/>
    <x v="474"/>
    <x v="474"/>
    <n v="1"/>
    <s v="ADET"/>
    <n v="0"/>
    <n v="7"/>
    <n v="2"/>
    <n v="0"/>
    <n v="0"/>
    <n v="0"/>
    <n v="337.5"/>
    <x v="75"/>
    <n v="337.5"/>
    <x v="6"/>
  </r>
  <r>
    <x v="15"/>
    <s v="Jan Urbanek"/>
    <x v="0"/>
    <x v="463"/>
    <x v="463"/>
    <n v="1"/>
    <s v="ADET"/>
    <n v="0"/>
    <n v="14"/>
    <n v="9"/>
    <n v="-3"/>
    <n v="0"/>
    <n v="0"/>
    <n v="1020"/>
    <x v="53"/>
    <n v="1020"/>
    <x v="4"/>
  </r>
  <r>
    <x v="15"/>
    <s v="Jan Urbanek"/>
    <x v="0"/>
    <x v="477"/>
    <x v="477"/>
    <n v="14"/>
    <s v="ADET"/>
    <n v="0"/>
    <n v="564"/>
    <n v="98"/>
    <n v="-250"/>
    <n v="0"/>
    <n v="0"/>
    <n v="6.67"/>
    <x v="102"/>
    <n v="93.38"/>
    <x v="7"/>
  </r>
  <r>
    <x v="14"/>
    <s v="Stefan Zaugg"/>
    <x v="0"/>
    <x v="477"/>
    <x v="477"/>
    <n v="22"/>
    <s v="ADET"/>
    <n v="0"/>
    <n v="564"/>
    <n v="98"/>
    <n v="-250"/>
    <n v="0"/>
    <n v="0"/>
    <n v="6.67"/>
    <x v="102"/>
    <n v="146.74"/>
    <x v="7"/>
  </r>
  <r>
    <x v="9"/>
    <s v="Jan Urbanek"/>
    <x v="0"/>
    <x v="484"/>
    <x v="484"/>
    <n v="1"/>
    <s v="ADET"/>
    <n v="0"/>
    <n v="2"/>
    <n v="1"/>
    <n v="-1"/>
    <n v="2"/>
    <n v="0"/>
    <n v="41000"/>
    <x v="104"/>
    <n v="41000"/>
    <x v="11"/>
  </r>
  <r>
    <x v="9"/>
    <s v="Jan Urbanek"/>
    <x v="0"/>
    <x v="397"/>
    <x v="397"/>
    <n v="16"/>
    <s v="KG"/>
    <n v="0"/>
    <n v="0"/>
    <n v="62.999999999999986"/>
    <n v="196"/>
    <n v="0"/>
    <n v="215186.44000000003"/>
    <n v="1097.8900000000001"/>
    <x v="81"/>
    <n v="17566.240000000002"/>
    <x v="3"/>
  </r>
  <r>
    <x v="12"/>
    <s v="Matteo Giolo"/>
    <x v="0"/>
    <x v="477"/>
    <x v="477"/>
    <n v="14"/>
    <s v="ADET"/>
    <n v="0"/>
    <n v="564"/>
    <n v="98"/>
    <n v="-250"/>
    <n v="0"/>
    <n v="0"/>
    <n v="6.67"/>
    <x v="102"/>
    <n v="93.38"/>
    <x v="7"/>
  </r>
  <r>
    <x v="11"/>
    <s v="Jan Urbanek"/>
    <x v="0"/>
    <x v="398"/>
    <x v="398"/>
    <n v="2"/>
    <s v="ADET"/>
    <n v="0"/>
    <n v="0"/>
    <n v="10"/>
    <n v="24"/>
    <n v="0"/>
    <n v="1358.4"/>
    <n v="56.6"/>
    <x v="74"/>
    <n v="113.2"/>
    <x v="6"/>
  </r>
  <r>
    <x v="11"/>
    <s v="Jan Urbanek"/>
    <x v="0"/>
    <x v="394"/>
    <x v="394"/>
    <n v="16"/>
    <s v="ADET"/>
    <n v="0"/>
    <n v="442"/>
    <n v="0"/>
    <n v="-64"/>
    <n v="0"/>
    <n v="0"/>
    <n v="9.35"/>
    <x v="8"/>
    <n v="149.6"/>
    <x v="2"/>
  </r>
  <r>
    <x v="11"/>
    <s v="Jan Urbanek"/>
    <x v="0"/>
    <x v="399"/>
    <x v="399"/>
    <n v="2"/>
    <s v="ADET"/>
    <n v="0"/>
    <n v="27"/>
    <n v="16"/>
    <n v="-3"/>
    <n v="0"/>
    <n v="0"/>
    <n v="66.23"/>
    <x v="13"/>
    <n v="132.46"/>
    <x v="7"/>
  </r>
  <r>
    <x v="19"/>
    <s v="Volkan Batkan"/>
    <x v="0"/>
    <x v="477"/>
    <x v="477"/>
    <n v="20"/>
    <s v="ADET"/>
    <n v="0"/>
    <n v="564"/>
    <n v="98"/>
    <n v="-250"/>
    <n v="0"/>
    <n v="0"/>
    <n v="6.67"/>
    <x v="102"/>
    <n v="133.4"/>
    <x v="7"/>
  </r>
  <r>
    <x v="11"/>
    <s v="Jan Urbanek"/>
    <x v="0"/>
    <x v="484"/>
    <x v="484"/>
    <n v="1"/>
    <s v="ADET"/>
    <n v="0"/>
    <n v="2"/>
    <n v="1"/>
    <n v="-1"/>
    <n v="2"/>
    <n v="0"/>
    <n v="41000"/>
    <x v="104"/>
    <n v="41000"/>
    <x v="11"/>
  </r>
  <r>
    <x v="10"/>
    <s v="Jan Urbanek"/>
    <x v="0"/>
    <x v="460"/>
    <x v="460"/>
    <n v="2"/>
    <s v="ADET"/>
    <n v="0"/>
    <n v="5"/>
    <n v="10"/>
    <n v="11"/>
    <n v="0"/>
    <n v="832.04"/>
    <n v="75.64"/>
    <x v="74"/>
    <n v="151.28"/>
    <x v="6"/>
  </r>
  <r>
    <x v="0"/>
    <s v="Soner Kayıkçı"/>
    <x v="0"/>
    <x v="395"/>
    <x v="395"/>
    <n v="0.36"/>
    <s v="M2"/>
    <n v="0"/>
    <n v="0"/>
    <n v="30.76"/>
    <n v="4.4400000000000004"/>
    <n v="0"/>
    <n v="7762.0524000000005"/>
    <n v="1748.21"/>
    <x v="63"/>
    <n v="629.35559999999998"/>
    <x v="8"/>
  </r>
  <r>
    <x v="1"/>
    <s v="Stina Alm"/>
    <x v="0"/>
    <x v="396"/>
    <x v="396"/>
    <n v="1"/>
    <s v="ADET"/>
    <n v="0"/>
    <n v="2"/>
    <n v="7"/>
    <n v="10"/>
    <n v="0"/>
    <n v="121389.3"/>
    <n v="12138.93"/>
    <x v="24"/>
    <n v="12138.93"/>
    <x v="6"/>
  </r>
  <r>
    <x v="10"/>
    <s v="Jan Urbanek"/>
    <x v="0"/>
    <x v="394"/>
    <x v="394"/>
    <n v="16"/>
    <s v="ADET"/>
    <n v="0"/>
    <n v="442"/>
    <n v="0"/>
    <n v="-64"/>
    <n v="0"/>
    <n v="0"/>
    <n v="9.35"/>
    <x v="8"/>
    <n v="149.6"/>
    <x v="2"/>
  </r>
  <r>
    <x v="11"/>
    <s v="Jan Urbanek"/>
    <x v="0"/>
    <x v="395"/>
    <x v="395"/>
    <n v="0.36"/>
    <s v="M2"/>
    <n v="0"/>
    <n v="0"/>
    <n v="30.76"/>
    <n v="4.4400000000000004"/>
    <n v="0"/>
    <n v="7762.0524000000005"/>
    <n v="1748.21"/>
    <x v="63"/>
    <n v="629.35559999999998"/>
    <x v="8"/>
  </r>
  <r>
    <x v="11"/>
    <s v="Jan Urbanek"/>
    <x v="0"/>
    <x v="439"/>
    <x v="439"/>
    <n v="2"/>
    <s v="ADET"/>
    <n v="0"/>
    <n v="0"/>
    <n v="0"/>
    <n v="24"/>
    <n v="0"/>
    <n v="21.12"/>
    <n v="0.88"/>
    <x v="49"/>
    <n v="1.76"/>
    <x v="7"/>
  </r>
  <r>
    <x v="11"/>
    <s v="Jan Urbanek"/>
    <x v="0"/>
    <x v="396"/>
    <x v="396"/>
    <n v="1"/>
    <s v="ADET"/>
    <n v="0"/>
    <n v="2"/>
    <n v="7"/>
    <n v="10"/>
    <n v="0"/>
    <n v="121389.3"/>
    <n v="12138.93"/>
    <x v="24"/>
    <n v="12138.93"/>
    <x v="6"/>
  </r>
  <r>
    <x v="17"/>
    <s v="Murat Taşdemir"/>
    <x v="0"/>
    <x v="490"/>
    <x v="490"/>
    <n v="1"/>
    <s v="ADET"/>
    <n v="0"/>
    <n v="0"/>
    <n v="1"/>
    <n v="0"/>
    <n v="1"/>
    <n v="0"/>
    <n v="3321"/>
    <x v="13"/>
    <n v="3321"/>
    <x v="7"/>
  </r>
  <r>
    <x v="16"/>
    <s v="Stefan Zaugg"/>
    <x v="0"/>
    <x v="477"/>
    <x v="477"/>
    <n v="22"/>
    <s v="ADET"/>
    <n v="0"/>
    <n v="564"/>
    <n v="98"/>
    <n v="-250"/>
    <n v="0"/>
    <n v="0"/>
    <n v="6.67"/>
    <x v="102"/>
    <n v="146.74"/>
    <x v="7"/>
  </r>
  <r>
    <x v="17"/>
    <s v="Murat Taşdemir"/>
    <x v="0"/>
    <x v="477"/>
    <x v="477"/>
    <n v="16"/>
    <s v="ADET"/>
    <n v="0"/>
    <n v="564"/>
    <n v="98"/>
    <n v="-250"/>
    <n v="0"/>
    <n v="0"/>
    <n v="6.67"/>
    <x v="102"/>
    <n v="106.72"/>
    <x v="7"/>
  </r>
  <r>
    <x v="8"/>
    <s v="Jan Urbanek"/>
    <x v="0"/>
    <x v="460"/>
    <x v="460"/>
    <n v="2"/>
    <s v="ADET"/>
    <n v="0"/>
    <n v="5"/>
    <n v="10"/>
    <n v="11"/>
    <n v="0"/>
    <n v="832.04"/>
    <n v="75.64"/>
    <x v="74"/>
    <n v="151.28"/>
    <x v="6"/>
  </r>
  <r>
    <x v="9"/>
    <s v="Jan Urbanek"/>
    <x v="0"/>
    <x v="460"/>
    <x v="460"/>
    <n v="2"/>
    <s v="ADET"/>
    <n v="0"/>
    <n v="5"/>
    <n v="10"/>
    <n v="11"/>
    <n v="0"/>
    <n v="832.04"/>
    <n v="75.64"/>
    <x v="74"/>
    <n v="151.28"/>
    <x v="6"/>
  </r>
  <r>
    <x v="10"/>
    <s v="Jan Urbanek"/>
    <x v="0"/>
    <x v="464"/>
    <x v="464"/>
    <n v="0.2"/>
    <s v="METRE"/>
    <n v="0"/>
    <n v="200"/>
    <n v="85.649999999999977"/>
    <n v="-196.4"/>
    <n v="0"/>
    <n v="0"/>
    <n v="3.62"/>
    <x v="15"/>
    <n v="0.72400000000000009"/>
    <x v="7"/>
  </r>
  <r>
    <x v="8"/>
    <s v="Jan Urbanek"/>
    <x v="0"/>
    <x v="464"/>
    <x v="464"/>
    <n v="0.2"/>
    <s v="METRE"/>
    <n v="0"/>
    <n v="200"/>
    <n v="85.649999999999977"/>
    <n v="-196.4"/>
    <n v="0"/>
    <n v="0"/>
    <n v="3.62"/>
    <x v="15"/>
    <n v="0.72400000000000009"/>
    <x v="7"/>
  </r>
  <r>
    <x v="9"/>
    <s v="Jan Urbanek"/>
    <x v="0"/>
    <x v="464"/>
    <x v="464"/>
    <n v="0.2"/>
    <s v="METRE"/>
    <n v="0"/>
    <n v="200"/>
    <n v="85.649999999999977"/>
    <n v="-196.4"/>
    <n v="0"/>
    <n v="0"/>
    <n v="3.62"/>
    <x v="15"/>
    <n v="0.72400000000000009"/>
    <x v="7"/>
  </r>
  <r>
    <x v="8"/>
    <s v="Jan Urbanek"/>
    <x v="0"/>
    <x v="462"/>
    <x v="462"/>
    <n v="1"/>
    <s v="ADET"/>
    <n v="0"/>
    <n v="10"/>
    <n v="16"/>
    <n v="2"/>
    <n v="0"/>
    <n v="233.34"/>
    <n v="116.67"/>
    <x v="85"/>
    <n v="116.67"/>
    <x v="6"/>
  </r>
  <r>
    <x v="9"/>
    <s v="Jan Urbanek"/>
    <x v="0"/>
    <x v="462"/>
    <x v="462"/>
    <n v="1"/>
    <s v="ADET"/>
    <n v="0"/>
    <n v="10"/>
    <n v="16"/>
    <n v="2"/>
    <n v="0"/>
    <n v="233.34"/>
    <n v="116.67"/>
    <x v="85"/>
    <n v="116.67"/>
    <x v="6"/>
  </r>
  <r>
    <x v="10"/>
    <s v="Jan Urbanek"/>
    <x v="0"/>
    <x v="463"/>
    <x v="463"/>
    <n v="1"/>
    <s v="ADET"/>
    <n v="0"/>
    <n v="14"/>
    <n v="9"/>
    <n v="-3"/>
    <n v="0"/>
    <n v="0"/>
    <n v="1020"/>
    <x v="53"/>
    <n v="1020"/>
    <x v="4"/>
  </r>
  <r>
    <x v="15"/>
    <s v="Jan Urbanek"/>
    <x v="0"/>
    <x v="444"/>
    <x v="444"/>
    <n v="0.1"/>
    <s v="ADET"/>
    <n v="0"/>
    <n v="2"/>
    <n v="-6.3837823915946501E-16"/>
    <n v="1.4000000000000004"/>
    <n v="0"/>
    <n v="3889.2000000000012"/>
    <n v="2778"/>
    <x v="35"/>
    <n v="277.8"/>
    <x v="3"/>
  </r>
  <r>
    <x v="19"/>
    <s v="Volkan Batkan"/>
    <x v="0"/>
    <x v="445"/>
    <x v="445"/>
    <n v="0.05"/>
    <s v="ADET"/>
    <n v="0"/>
    <n v="2"/>
    <n v="1.7763568394002505E-15"/>
    <n v="-0.84999999999999964"/>
    <n v="0"/>
    <n v="0"/>
    <n v="1400"/>
    <x v="35"/>
    <n v="70"/>
    <x v="3"/>
  </r>
  <r>
    <x v="19"/>
    <s v="Volkan Batkan"/>
    <x v="0"/>
    <x v="446"/>
    <x v="446"/>
    <n v="2"/>
    <s v="ADET"/>
    <n v="0"/>
    <n v="115"/>
    <n v="2"/>
    <n v="-77"/>
    <n v="0"/>
    <n v="0"/>
    <n v="0.44"/>
    <x v="57"/>
    <n v="0.88"/>
    <x v="7"/>
  </r>
  <r>
    <x v="19"/>
    <s v="Volkan Batkan"/>
    <x v="0"/>
    <x v="447"/>
    <x v="447"/>
    <n v="2"/>
    <s v="ADET"/>
    <n v="0"/>
    <n v="0"/>
    <n v="14"/>
    <n v="38"/>
    <n v="0"/>
    <n v="261.06"/>
    <n v="6.87"/>
    <x v="15"/>
    <n v="13.74"/>
    <x v="7"/>
  </r>
  <r>
    <x v="18"/>
    <s v="Hayriye Güven"/>
    <x v="0"/>
    <x v="441"/>
    <x v="441"/>
    <n v="1"/>
    <s v="ADET"/>
    <n v="0"/>
    <n v="0"/>
    <n v="2"/>
    <n v="8"/>
    <n v="0"/>
    <n v="191760"/>
    <n v="23970"/>
    <x v="98"/>
    <n v="23970"/>
    <x v="6"/>
  </r>
  <r>
    <x v="13"/>
    <s v="Matteo Giolo"/>
    <x v="0"/>
    <x v="443"/>
    <x v="443"/>
    <n v="1"/>
    <s v="ADET"/>
    <n v="0"/>
    <n v="10"/>
    <n v="5"/>
    <n v="-6"/>
    <n v="0"/>
    <n v="0"/>
    <n v="1679.53"/>
    <x v="74"/>
    <n v="1679.53"/>
    <x v="4"/>
  </r>
  <r>
    <x v="16"/>
    <s v="Stefan Zaugg"/>
    <x v="0"/>
    <x v="444"/>
    <x v="444"/>
    <n v="0.5"/>
    <s v="ADET"/>
    <n v="0"/>
    <n v="2"/>
    <n v="-6.3837823915946501E-16"/>
    <n v="1.4000000000000004"/>
    <n v="0"/>
    <n v="3889.2000000000012"/>
    <n v="2778"/>
    <x v="35"/>
    <n v="1389"/>
    <x v="3"/>
  </r>
  <r>
    <x v="14"/>
    <s v="Stefan Zaugg"/>
    <x v="0"/>
    <x v="446"/>
    <x v="446"/>
    <n v="2"/>
    <s v="ADET"/>
    <n v="0"/>
    <n v="115"/>
    <n v="2"/>
    <n v="-77"/>
    <n v="0"/>
    <n v="0"/>
    <n v="0.44"/>
    <x v="57"/>
    <n v="0.88"/>
    <x v="7"/>
  </r>
  <r>
    <x v="15"/>
    <s v="Jan Urbanek"/>
    <x v="0"/>
    <x v="446"/>
    <x v="446"/>
    <n v="2"/>
    <s v="ADET"/>
    <n v="0"/>
    <n v="115"/>
    <n v="2"/>
    <n v="-77"/>
    <n v="0"/>
    <n v="0"/>
    <n v="0.44"/>
    <x v="57"/>
    <n v="0.88"/>
    <x v="7"/>
  </r>
  <r>
    <x v="15"/>
    <s v="Jan Urbanek"/>
    <x v="0"/>
    <x v="465"/>
    <x v="465"/>
    <n v="2.5"/>
    <s v="KG"/>
    <n v="0"/>
    <n v="139"/>
    <n v="45.499999999999943"/>
    <n v="-124"/>
    <n v="0"/>
    <n v="0"/>
    <n v="233.95"/>
    <x v="3"/>
    <n v="584.875"/>
    <x v="3"/>
  </r>
  <r>
    <x v="16"/>
    <s v="Stefan Zaugg"/>
    <x v="0"/>
    <x v="447"/>
    <x v="447"/>
    <n v="2"/>
    <s v="ADET"/>
    <n v="0"/>
    <n v="0"/>
    <n v="14"/>
    <n v="38"/>
    <n v="0"/>
    <n v="261.06"/>
    <n v="6.87"/>
    <x v="15"/>
    <n v="13.74"/>
    <x v="7"/>
  </r>
  <r>
    <x v="14"/>
    <s v="Stefan Zaugg"/>
    <x v="0"/>
    <x v="447"/>
    <x v="447"/>
    <n v="2"/>
    <s v="ADET"/>
    <n v="0"/>
    <n v="0"/>
    <n v="14"/>
    <n v="38"/>
    <n v="0"/>
    <n v="261.06"/>
    <n v="6.87"/>
    <x v="15"/>
    <n v="13.74"/>
    <x v="7"/>
  </r>
  <r>
    <x v="13"/>
    <s v="Matteo Giolo"/>
    <x v="0"/>
    <x v="446"/>
    <x v="446"/>
    <n v="2"/>
    <s v="ADET"/>
    <n v="0"/>
    <n v="115"/>
    <n v="2"/>
    <n v="-77"/>
    <n v="0"/>
    <n v="0"/>
    <n v="0.44"/>
    <x v="57"/>
    <n v="0.88"/>
    <x v="7"/>
  </r>
  <r>
    <x v="16"/>
    <s v="Stefan Zaugg"/>
    <x v="0"/>
    <x v="465"/>
    <x v="465"/>
    <n v="2"/>
    <s v="KG"/>
    <n v="2"/>
    <n v="139"/>
    <n v="45.499999999999943"/>
    <n v="-124"/>
    <n v="0"/>
    <n v="0"/>
    <n v="233.95"/>
    <x v="3"/>
    <n v="467.9"/>
    <x v="3"/>
  </r>
  <r>
    <x v="15"/>
    <s v="Jan Urbanek"/>
    <x v="0"/>
    <x v="447"/>
    <x v="447"/>
    <n v="2"/>
    <s v="ADET"/>
    <n v="0"/>
    <n v="0"/>
    <n v="14"/>
    <n v="38"/>
    <n v="0"/>
    <n v="261.06"/>
    <n v="6.87"/>
    <x v="15"/>
    <n v="13.74"/>
    <x v="7"/>
  </r>
  <r>
    <x v="13"/>
    <s v="Matteo Giolo"/>
    <x v="0"/>
    <x v="447"/>
    <x v="447"/>
    <n v="2"/>
    <s v="ADET"/>
    <n v="0"/>
    <n v="0"/>
    <n v="14"/>
    <n v="38"/>
    <n v="0"/>
    <n v="261.06"/>
    <n v="6.87"/>
    <x v="15"/>
    <n v="13.74"/>
    <x v="7"/>
  </r>
  <r>
    <x v="11"/>
    <s v="Jan Urbanek"/>
    <x v="0"/>
    <x v="465"/>
    <x v="465"/>
    <n v="2.5"/>
    <s v="KG"/>
    <n v="0"/>
    <n v="139"/>
    <n v="45.499999999999943"/>
    <n v="-124"/>
    <n v="0"/>
    <n v="0"/>
    <n v="233.95"/>
    <x v="3"/>
    <n v="584.875"/>
    <x v="3"/>
  </r>
  <r>
    <x v="10"/>
    <s v="Jan Urbanek"/>
    <x v="0"/>
    <x v="491"/>
    <x v="491"/>
    <n v="4"/>
    <s v="ADET"/>
    <n v="0"/>
    <n v="0"/>
    <n v="0"/>
    <n v="6"/>
    <n v="6"/>
    <n v="16021.439999999999"/>
    <n v="2670.24"/>
    <x v="107"/>
    <n v="10680.96"/>
    <x v="8"/>
  </r>
  <r>
    <x v="8"/>
    <s v="Jan Urbanek"/>
    <x v="0"/>
    <x v="491"/>
    <x v="491"/>
    <n v="4"/>
    <s v="ADET"/>
    <n v="0"/>
    <n v="0"/>
    <n v="0"/>
    <n v="6"/>
    <n v="6"/>
    <n v="16021.439999999999"/>
    <n v="2670.24"/>
    <x v="107"/>
    <n v="10680.96"/>
    <x v="8"/>
  </r>
  <r>
    <x v="0"/>
    <s v="Soner Kayıkçı"/>
    <x v="0"/>
    <x v="447"/>
    <x v="447"/>
    <n v="2"/>
    <s v="ADET"/>
    <n v="0"/>
    <n v="0"/>
    <n v="14"/>
    <n v="38"/>
    <n v="0"/>
    <n v="261.06"/>
    <n v="6.87"/>
    <x v="15"/>
    <n v="13.74"/>
    <x v="7"/>
  </r>
  <r>
    <x v="15"/>
    <s v="Jan Urbanek"/>
    <x v="0"/>
    <x v="491"/>
    <x v="491"/>
    <n v="4"/>
    <s v="ADET"/>
    <n v="0"/>
    <n v="0"/>
    <n v="0"/>
    <n v="6"/>
    <n v="6"/>
    <n v="16021.439999999999"/>
    <n v="2670.24"/>
    <x v="107"/>
    <n v="10680.96"/>
    <x v="8"/>
  </r>
  <r>
    <x v="11"/>
    <s v="Jan Urbanek"/>
    <x v="0"/>
    <x v="447"/>
    <x v="447"/>
    <n v="2"/>
    <s v="ADET"/>
    <n v="0"/>
    <n v="0"/>
    <n v="14"/>
    <n v="38"/>
    <n v="0"/>
    <n v="261.06"/>
    <n v="6.87"/>
    <x v="15"/>
    <n v="13.74"/>
    <x v="7"/>
  </r>
  <r>
    <x v="2"/>
    <s v="Laurent MONTAGNER"/>
    <x v="0"/>
    <x v="447"/>
    <x v="447"/>
    <n v="2"/>
    <s v="ADET"/>
    <n v="0"/>
    <n v="0"/>
    <n v="14"/>
    <n v="38"/>
    <n v="0"/>
    <n v="261.06"/>
    <n v="6.87"/>
    <x v="15"/>
    <n v="13.74"/>
    <x v="7"/>
  </r>
  <r>
    <x v="16"/>
    <s v="Stefan Zaugg"/>
    <x v="0"/>
    <x v="446"/>
    <x v="446"/>
    <n v="2"/>
    <s v="ADET"/>
    <n v="0"/>
    <n v="115"/>
    <n v="2"/>
    <n v="-77"/>
    <n v="0"/>
    <n v="0"/>
    <n v="0.44"/>
    <x v="57"/>
    <n v="0.88"/>
    <x v="7"/>
  </r>
  <r>
    <x v="17"/>
    <s v="Murat Taşdemir"/>
    <x v="0"/>
    <x v="446"/>
    <x v="446"/>
    <n v="2"/>
    <s v="ADET"/>
    <n v="0"/>
    <n v="115"/>
    <n v="2"/>
    <n v="-77"/>
    <n v="0"/>
    <n v="0"/>
    <n v="0.44"/>
    <x v="57"/>
    <n v="0.88"/>
    <x v="7"/>
  </r>
  <r>
    <x v="17"/>
    <s v="Murat Taşdemir"/>
    <x v="0"/>
    <x v="447"/>
    <x v="447"/>
    <n v="2"/>
    <s v="ADET"/>
    <n v="0"/>
    <n v="0"/>
    <n v="14"/>
    <n v="38"/>
    <n v="0"/>
    <n v="261.06"/>
    <n v="6.87"/>
    <x v="15"/>
    <n v="13.74"/>
    <x v="7"/>
  </r>
  <r>
    <x v="17"/>
    <s v="Murat Taşdemir"/>
    <x v="0"/>
    <x v="466"/>
    <x v="466"/>
    <n v="1"/>
    <s v="METRE"/>
    <n v="0"/>
    <n v="50"/>
    <n v="0"/>
    <n v="-48"/>
    <n v="0"/>
    <n v="0"/>
    <n v="180"/>
    <x v="27"/>
    <n v="180"/>
    <x v="4"/>
  </r>
  <r>
    <x v="9"/>
    <s v="Jan Urbanek"/>
    <x v="0"/>
    <x v="465"/>
    <x v="465"/>
    <n v="2.5"/>
    <s v="KG"/>
    <n v="0"/>
    <n v="139"/>
    <n v="45.499999999999943"/>
    <n v="-124"/>
    <n v="0"/>
    <n v="0"/>
    <n v="233.95"/>
    <x v="3"/>
    <n v="584.875"/>
    <x v="3"/>
  </r>
  <r>
    <x v="10"/>
    <s v="Jan Urbanek"/>
    <x v="0"/>
    <x v="477"/>
    <x v="477"/>
    <n v="14"/>
    <s v="ADET"/>
    <n v="0"/>
    <n v="564"/>
    <n v="98"/>
    <n v="-250"/>
    <n v="0"/>
    <n v="0"/>
    <n v="6.67"/>
    <x v="102"/>
    <n v="93.38"/>
    <x v="7"/>
  </r>
  <r>
    <x v="6"/>
    <s v="Laurent MONTAGNER"/>
    <x v="0"/>
    <x v="461"/>
    <x v="461"/>
    <n v="16"/>
    <s v="METRE"/>
    <n v="0"/>
    <n v="100"/>
    <n v="84"/>
    <n v="-32"/>
    <n v="0"/>
    <n v="0"/>
    <n v="14.85"/>
    <x v="15"/>
    <n v="237.6"/>
    <x v="7"/>
  </r>
  <r>
    <x v="1"/>
    <s v="Stina Alm"/>
    <x v="0"/>
    <x v="461"/>
    <x v="461"/>
    <n v="12"/>
    <s v="METRE"/>
    <n v="0"/>
    <n v="100"/>
    <n v="84"/>
    <n v="-32"/>
    <n v="0"/>
    <n v="0"/>
    <n v="14.85"/>
    <x v="15"/>
    <n v="178.2"/>
    <x v="7"/>
  </r>
  <r>
    <x v="6"/>
    <s v="Laurent MONTAGNER"/>
    <x v="0"/>
    <x v="464"/>
    <x v="464"/>
    <n v="0.2"/>
    <s v="METRE"/>
    <n v="0"/>
    <n v="200"/>
    <n v="85.649999999999977"/>
    <n v="-196.4"/>
    <n v="0"/>
    <n v="0"/>
    <n v="3.62"/>
    <x v="15"/>
    <n v="0.72400000000000009"/>
    <x v="7"/>
  </r>
  <r>
    <x v="1"/>
    <s v="Stina Alm"/>
    <x v="0"/>
    <x v="464"/>
    <x v="464"/>
    <n v="0.2"/>
    <s v="METRE"/>
    <n v="0"/>
    <n v="200"/>
    <n v="85.649999999999977"/>
    <n v="-196.4"/>
    <n v="0"/>
    <n v="0"/>
    <n v="3.62"/>
    <x v="15"/>
    <n v="0.72400000000000009"/>
    <x v="7"/>
  </r>
  <r>
    <x v="6"/>
    <s v="Laurent MONTAGNER"/>
    <x v="0"/>
    <x v="462"/>
    <x v="462"/>
    <n v="1"/>
    <s v="ADET"/>
    <n v="0"/>
    <n v="10"/>
    <n v="16"/>
    <n v="2"/>
    <n v="0"/>
    <n v="233.34"/>
    <n v="116.67"/>
    <x v="85"/>
    <n v="116.67"/>
    <x v="6"/>
  </r>
  <r>
    <x v="1"/>
    <s v="Stina Alm"/>
    <x v="0"/>
    <x v="462"/>
    <x v="462"/>
    <n v="1"/>
    <s v="ADET"/>
    <n v="0"/>
    <n v="10"/>
    <n v="16"/>
    <n v="2"/>
    <n v="0"/>
    <n v="233.34"/>
    <n v="116.67"/>
    <x v="85"/>
    <n v="116.67"/>
    <x v="6"/>
  </r>
  <r>
    <x v="0"/>
    <s v="Soner Kayıkçı"/>
    <x v="0"/>
    <x v="463"/>
    <x v="463"/>
    <n v="1"/>
    <s v="ADET"/>
    <n v="0"/>
    <n v="14"/>
    <n v="9"/>
    <n v="-3"/>
    <n v="0"/>
    <n v="0"/>
    <n v="1020"/>
    <x v="53"/>
    <n v="1020"/>
    <x v="4"/>
  </r>
  <r>
    <x v="1"/>
    <s v="Stina Alm"/>
    <x v="0"/>
    <x v="463"/>
    <x v="463"/>
    <n v="1"/>
    <s v="ADET"/>
    <n v="0"/>
    <n v="14"/>
    <n v="9"/>
    <n v="-3"/>
    <n v="0"/>
    <n v="0"/>
    <n v="1020"/>
    <x v="53"/>
    <n v="1020"/>
    <x v="4"/>
  </r>
  <r>
    <x v="2"/>
    <s v="Laurent MONTAGNER"/>
    <x v="0"/>
    <x v="463"/>
    <x v="463"/>
    <n v="1"/>
    <s v="ADET"/>
    <n v="1"/>
    <n v="14"/>
    <n v="9"/>
    <n v="-3"/>
    <n v="0"/>
    <n v="0"/>
    <n v="1020"/>
    <x v="53"/>
    <n v="1020"/>
    <x v="4"/>
  </r>
  <r>
    <x v="6"/>
    <s v="Laurent MONTAGNER"/>
    <x v="0"/>
    <x v="477"/>
    <x v="477"/>
    <n v="20"/>
    <s v="ADET"/>
    <n v="0"/>
    <n v="564"/>
    <n v="98"/>
    <n v="-250"/>
    <n v="0"/>
    <n v="0"/>
    <n v="6.67"/>
    <x v="102"/>
    <n v="133.4"/>
    <x v="7"/>
  </r>
  <r>
    <x v="0"/>
    <s v="Soner Kayıkçı"/>
    <x v="0"/>
    <x v="477"/>
    <x v="477"/>
    <n v="20"/>
    <s v="ADET"/>
    <n v="0"/>
    <n v="564"/>
    <n v="98"/>
    <n v="-250"/>
    <n v="0"/>
    <n v="0"/>
    <n v="6.67"/>
    <x v="102"/>
    <n v="133.4"/>
    <x v="7"/>
  </r>
  <r>
    <x v="15"/>
    <s v="Jan Urbanek"/>
    <x v="0"/>
    <x v="351"/>
    <x v="351"/>
    <n v="1"/>
    <s v="ADET"/>
    <n v="0"/>
    <n v="17"/>
    <n v="17"/>
    <n v="-6"/>
    <n v="0"/>
    <n v="0"/>
    <n v="41.67"/>
    <x v="85"/>
    <n v="41.67"/>
    <x v="6"/>
  </r>
  <r>
    <x v="10"/>
    <s v="Jan Urbanek"/>
    <x v="0"/>
    <x v="338"/>
    <x v="338"/>
    <n v="1"/>
    <s v="ADET"/>
    <n v="0"/>
    <n v="25"/>
    <n v="5"/>
    <n v="-13"/>
    <n v="0"/>
    <n v="0"/>
    <n v="373.06"/>
    <x v="74"/>
    <n v="373.06"/>
    <x v="4"/>
  </r>
  <r>
    <x v="10"/>
    <s v="Jan Urbanek"/>
    <x v="0"/>
    <x v="353"/>
    <x v="353"/>
    <n v="2"/>
    <s v="ADET"/>
    <n v="0"/>
    <n v="29"/>
    <n v="9"/>
    <n v="-13"/>
    <n v="0"/>
    <n v="0"/>
    <n v="355.05"/>
    <x v="74"/>
    <n v="710.1"/>
    <x v="6"/>
  </r>
  <r>
    <x v="8"/>
    <s v="Jan Urbanek"/>
    <x v="0"/>
    <x v="353"/>
    <x v="353"/>
    <n v="2"/>
    <s v="ADET"/>
    <n v="0"/>
    <n v="29"/>
    <n v="9"/>
    <n v="-13"/>
    <n v="0"/>
    <n v="0"/>
    <n v="355.05"/>
    <x v="74"/>
    <n v="710.1"/>
    <x v="6"/>
  </r>
  <r>
    <x v="10"/>
    <s v="Jan Urbanek"/>
    <x v="0"/>
    <x v="351"/>
    <x v="351"/>
    <n v="1"/>
    <s v="ADET"/>
    <n v="0"/>
    <n v="17"/>
    <n v="17"/>
    <n v="-6"/>
    <n v="0"/>
    <n v="0"/>
    <n v="41.67"/>
    <x v="85"/>
    <n v="41.67"/>
    <x v="6"/>
  </r>
  <r>
    <x v="8"/>
    <s v="Jan Urbanek"/>
    <x v="0"/>
    <x v="351"/>
    <x v="351"/>
    <n v="1"/>
    <s v="ADET"/>
    <n v="0"/>
    <n v="17"/>
    <n v="17"/>
    <n v="-6"/>
    <n v="0"/>
    <n v="0"/>
    <n v="41.67"/>
    <x v="85"/>
    <n v="41.67"/>
    <x v="6"/>
  </r>
  <r>
    <x v="0"/>
    <s v="Soner Kayıkçı"/>
    <x v="0"/>
    <x v="337"/>
    <x v="337"/>
    <n v="1"/>
    <s v="ADET"/>
    <n v="0"/>
    <n v="28"/>
    <n v="5"/>
    <n v="-16"/>
    <n v="0"/>
    <n v="0"/>
    <n v="373.06"/>
    <x v="74"/>
    <n v="373.06"/>
    <x v="4"/>
  </r>
  <r>
    <x v="2"/>
    <s v="Laurent MONTAGNER"/>
    <x v="0"/>
    <x v="338"/>
    <x v="338"/>
    <n v="1"/>
    <s v="ADET"/>
    <n v="1"/>
    <n v="25"/>
    <n v="5"/>
    <n v="-13"/>
    <n v="0"/>
    <n v="0"/>
    <n v="373.06"/>
    <x v="74"/>
    <n v="373.06"/>
    <x v="4"/>
  </r>
  <r>
    <x v="2"/>
    <s v="Laurent MONTAGNER"/>
    <x v="0"/>
    <x v="348"/>
    <x v="348"/>
    <n v="2"/>
    <s v="ADET"/>
    <n v="0"/>
    <n v="5"/>
    <n v="4"/>
    <n v="1"/>
    <n v="0"/>
    <n v="400"/>
    <n v="400"/>
    <x v="19"/>
    <n v="800"/>
    <x v="7"/>
  </r>
  <r>
    <x v="0"/>
    <s v="Soner Kayıkçı"/>
    <x v="0"/>
    <x v="353"/>
    <x v="353"/>
    <n v="2"/>
    <s v="ADET"/>
    <n v="0"/>
    <n v="29"/>
    <n v="9"/>
    <n v="-13"/>
    <n v="0"/>
    <n v="0"/>
    <n v="355.05"/>
    <x v="74"/>
    <n v="710.1"/>
    <x v="6"/>
  </r>
  <r>
    <x v="1"/>
    <s v="Stina Alm"/>
    <x v="0"/>
    <x v="349"/>
    <x v="349"/>
    <n v="3"/>
    <s v="ADET"/>
    <n v="0"/>
    <n v="19"/>
    <n v="19"/>
    <n v="14"/>
    <n v="0"/>
    <n v="44207.66"/>
    <n v="3157.69"/>
    <x v="84"/>
    <n v="9473.07"/>
    <x v="6"/>
  </r>
  <r>
    <x v="1"/>
    <s v="Stina Alm"/>
    <x v="0"/>
    <x v="351"/>
    <x v="351"/>
    <n v="1"/>
    <s v="ADET"/>
    <n v="0"/>
    <n v="17"/>
    <n v="17"/>
    <n v="-6"/>
    <n v="0"/>
    <n v="0"/>
    <n v="41.67"/>
    <x v="85"/>
    <n v="41.67"/>
    <x v="6"/>
  </r>
  <r>
    <x v="0"/>
    <s v="Soner Kayıkçı"/>
    <x v="0"/>
    <x v="351"/>
    <x v="351"/>
    <n v="1"/>
    <s v="ADET"/>
    <n v="0"/>
    <n v="17"/>
    <n v="17"/>
    <n v="-6"/>
    <n v="0"/>
    <n v="0"/>
    <n v="41.67"/>
    <x v="85"/>
    <n v="41.67"/>
    <x v="6"/>
  </r>
  <r>
    <x v="6"/>
    <s v="Laurent MONTAGNER"/>
    <x v="0"/>
    <x v="492"/>
    <x v="492"/>
    <n v="1"/>
    <s v="ADET"/>
    <n v="1"/>
    <n v="181"/>
    <n v="3"/>
    <n v="-181"/>
    <n v="0"/>
    <n v="0"/>
    <n v="39.6"/>
    <x v="20"/>
    <n v="39.6"/>
    <x v="7"/>
  </r>
  <r>
    <x v="14"/>
    <s v="Stefan Zaugg"/>
    <x v="0"/>
    <x v="348"/>
    <x v="348"/>
    <n v="2"/>
    <s v="ADET"/>
    <n v="2"/>
    <n v="5"/>
    <n v="4"/>
    <n v="1"/>
    <n v="0"/>
    <n v="400"/>
    <n v="400"/>
    <x v="19"/>
    <n v="800"/>
    <x v="7"/>
  </r>
  <r>
    <x v="8"/>
    <s v="Jan Urbanek"/>
    <x v="0"/>
    <x v="349"/>
    <x v="349"/>
    <n v="4"/>
    <s v="ADET"/>
    <n v="0"/>
    <n v="19"/>
    <n v="19"/>
    <n v="14"/>
    <n v="0"/>
    <n v="44207.66"/>
    <n v="3157.69"/>
    <x v="84"/>
    <n v="12630.76"/>
    <x v="6"/>
  </r>
  <r>
    <x v="9"/>
    <s v="Jan Urbanek"/>
    <x v="0"/>
    <x v="349"/>
    <x v="349"/>
    <n v="4"/>
    <s v="ADET"/>
    <n v="0"/>
    <n v="19"/>
    <n v="19"/>
    <n v="14"/>
    <n v="0"/>
    <n v="44207.66"/>
    <n v="3157.69"/>
    <x v="84"/>
    <n v="12630.76"/>
    <x v="6"/>
  </r>
  <r>
    <x v="8"/>
    <s v="Jan Urbanek"/>
    <x v="0"/>
    <x v="350"/>
    <x v="350"/>
    <n v="2"/>
    <s v="ADET"/>
    <n v="0"/>
    <n v="1000"/>
    <n v="1000"/>
    <n v="-986"/>
    <n v="0"/>
    <n v="0"/>
    <n v="0.28000000000000003"/>
    <x v="15"/>
    <n v="0.56000000000000005"/>
    <x v="7"/>
  </r>
  <r>
    <x v="9"/>
    <s v="Jan Urbanek"/>
    <x v="0"/>
    <x v="350"/>
    <x v="350"/>
    <n v="2"/>
    <s v="ADET"/>
    <n v="0"/>
    <n v="1000"/>
    <n v="1000"/>
    <n v="-986"/>
    <n v="0"/>
    <n v="0"/>
    <n v="0.28000000000000003"/>
    <x v="15"/>
    <n v="0.56000000000000005"/>
    <x v="7"/>
  </r>
  <r>
    <x v="1"/>
    <s v="Stina Alm"/>
    <x v="0"/>
    <x v="338"/>
    <x v="338"/>
    <n v="1"/>
    <s v="ADET"/>
    <n v="0"/>
    <n v="25"/>
    <n v="5"/>
    <n v="-13"/>
    <n v="0"/>
    <n v="0"/>
    <n v="373.06"/>
    <x v="74"/>
    <n v="373.06"/>
    <x v="4"/>
  </r>
  <r>
    <x v="4"/>
    <s v="Stefan Zaugg"/>
    <x v="0"/>
    <x v="30"/>
    <x v="30"/>
    <n v="8"/>
    <s v="ADET"/>
    <n v="8"/>
    <n v="1270"/>
    <n v="698"/>
    <n v="-1174"/>
    <n v="0"/>
    <n v="0"/>
    <n v="0.55000000000000004"/>
    <x v="14"/>
    <n v="4.4000000000000004"/>
    <x v="2"/>
  </r>
  <r>
    <x v="4"/>
    <s v="Stefan Zaugg"/>
    <x v="0"/>
    <x v="188"/>
    <x v="188"/>
    <n v="1"/>
    <s v="ADET"/>
    <n v="1"/>
    <n v="12"/>
    <n v="9"/>
    <n v="0"/>
    <n v="0"/>
    <n v="0"/>
    <n v="266.72000000000003"/>
    <x v="13"/>
    <n v="266.72000000000003"/>
    <x v="7"/>
  </r>
  <r>
    <x v="19"/>
    <s v="Volkan Batkan"/>
    <x v="0"/>
    <x v="351"/>
    <x v="351"/>
    <n v="1"/>
    <s v="ADET"/>
    <n v="1"/>
    <n v="17"/>
    <n v="17"/>
    <n v="-6"/>
    <n v="0"/>
    <n v="0"/>
    <n v="41.67"/>
    <x v="85"/>
    <n v="41.67"/>
    <x v="6"/>
  </r>
  <r>
    <x v="9"/>
    <s v="Jan Urbanek"/>
    <x v="0"/>
    <x v="405"/>
    <x v="405"/>
    <n v="18.8"/>
    <s v="KG"/>
    <n v="0"/>
    <n v="60"/>
    <n v="219.95999999999984"/>
    <n v="143.41000000000003"/>
    <n v="0"/>
    <n v="23533.581000000002"/>
    <n v="164.1"/>
    <x v="3"/>
    <n v="3085.08"/>
    <x v="3"/>
  </r>
  <r>
    <x v="9"/>
    <s v="Jan Urbanek"/>
    <x v="0"/>
    <x v="413"/>
    <x v="413"/>
    <n v="1"/>
    <s v="ADET"/>
    <n v="0"/>
    <n v="3"/>
    <n v="8"/>
    <n v="-2"/>
    <n v="10"/>
    <n v="0"/>
    <n v="3097.63"/>
    <x v="92"/>
    <n v="3097.63"/>
    <x v="4"/>
  </r>
  <r>
    <x v="0"/>
    <s v="Soner Kayıkçı"/>
    <x v="0"/>
    <x v="406"/>
    <x v="406"/>
    <n v="2"/>
    <s v="ADET"/>
    <n v="0"/>
    <n v="12"/>
    <n v="18"/>
    <n v="-14"/>
    <n v="20"/>
    <n v="0"/>
    <n v="194"/>
    <x v="35"/>
    <n v="388"/>
    <x v="6"/>
  </r>
  <r>
    <x v="11"/>
    <s v="Jan Urbanek"/>
    <x v="0"/>
    <x v="406"/>
    <x v="406"/>
    <n v="2"/>
    <s v="ADET"/>
    <n v="0"/>
    <n v="12"/>
    <n v="18"/>
    <n v="-14"/>
    <n v="20"/>
    <n v="0"/>
    <n v="194"/>
    <x v="35"/>
    <n v="388"/>
    <x v="6"/>
  </r>
  <r>
    <x v="11"/>
    <s v="Jan Urbanek"/>
    <x v="0"/>
    <x v="413"/>
    <x v="413"/>
    <n v="1"/>
    <s v="ADET"/>
    <n v="0"/>
    <n v="3"/>
    <n v="8"/>
    <n v="-2"/>
    <n v="10"/>
    <n v="0"/>
    <n v="3097.63"/>
    <x v="92"/>
    <n v="3097.63"/>
    <x v="4"/>
  </r>
  <r>
    <x v="19"/>
    <s v="Volkan Batkan"/>
    <x v="0"/>
    <x v="159"/>
    <x v="159"/>
    <n v="1"/>
    <s v="ADET"/>
    <n v="1"/>
    <n v="0"/>
    <n v="8"/>
    <n v="12"/>
    <n v="0"/>
    <n v="55600.08"/>
    <n v="4633.34"/>
    <x v="11"/>
    <n v="4633.34"/>
    <x v="6"/>
  </r>
  <r>
    <x v="19"/>
    <s v="Volkan Batkan"/>
    <x v="0"/>
    <x v="402"/>
    <x v="402"/>
    <n v="1"/>
    <s v="ADET"/>
    <n v="1"/>
    <n v="135"/>
    <n v="7"/>
    <n v="-119"/>
    <n v="0"/>
    <n v="0"/>
    <n v="39.6"/>
    <x v="20"/>
    <n v="39.6"/>
    <x v="7"/>
  </r>
  <r>
    <x v="2"/>
    <s v="Laurent MONTAGNER"/>
    <x v="0"/>
    <x v="413"/>
    <x v="413"/>
    <n v="1"/>
    <s v="ADET"/>
    <n v="1"/>
    <n v="3"/>
    <n v="8"/>
    <n v="-2"/>
    <n v="10"/>
    <n v="0"/>
    <n v="3097.63"/>
    <x v="92"/>
    <n v="3097.63"/>
    <x v="4"/>
  </r>
  <r>
    <x v="0"/>
    <s v="Soner Kayıkçı"/>
    <x v="0"/>
    <x v="420"/>
    <x v="420"/>
    <n v="0.5"/>
    <s v="METRE"/>
    <n v="0"/>
    <n v="60"/>
    <n v="50"/>
    <n v="-50.5"/>
    <n v="0"/>
    <n v="0"/>
    <n v="265"/>
    <x v="46"/>
    <n v="132.5"/>
    <x v="5"/>
  </r>
  <r>
    <x v="16"/>
    <s v="Stefan Zaugg"/>
    <x v="0"/>
    <x v="81"/>
    <x v="81"/>
    <n v="1"/>
    <s v="ADET"/>
    <n v="1"/>
    <n v="36"/>
    <n v="12"/>
    <n v="-22"/>
    <n v="0"/>
    <n v="0"/>
    <n v="95"/>
    <x v="35"/>
    <n v="95"/>
    <x v="2"/>
  </r>
  <r>
    <x v="19"/>
    <s v="Volkan Batkan"/>
    <x v="0"/>
    <x v="81"/>
    <x v="81"/>
    <n v="1"/>
    <s v="ADET"/>
    <n v="1"/>
    <n v="36"/>
    <n v="12"/>
    <n v="-22"/>
    <n v="0"/>
    <n v="0"/>
    <n v="95"/>
    <x v="35"/>
    <n v="95"/>
    <x v="2"/>
  </r>
  <r>
    <x v="17"/>
    <s v="Murat Taşdemir"/>
    <x v="0"/>
    <x v="493"/>
    <x v="493"/>
    <n v="3"/>
    <s v="ADET"/>
    <n v="3"/>
    <n v="106"/>
    <n v="9"/>
    <n v="-106"/>
    <n v="0"/>
    <n v="0"/>
    <n v="90"/>
    <x v="5"/>
    <n v="270"/>
    <x v="2"/>
  </r>
  <r>
    <x v="14"/>
    <s v="Stefan Zaugg"/>
    <x v="0"/>
    <x v="158"/>
    <x v="158"/>
    <n v="6"/>
    <s v="KG"/>
    <n v="6"/>
    <n v="0"/>
    <n v="297.61"/>
    <n v="97.560000000000016"/>
    <n v="0"/>
    <n v="13285.720800000003"/>
    <n v="136.18"/>
    <x v="54"/>
    <n v="817.08"/>
    <x v="3"/>
  </r>
  <r>
    <x v="4"/>
    <s v="Stefan Zaugg"/>
    <x v="0"/>
    <x v="369"/>
    <x v="369"/>
    <n v="2"/>
    <s v="ADET"/>
    <n v="2"/>
    <n v="27"/>
    <n v="14"/>
    <n v="-18"/>
    <n v="0"/>
    <n v="0"/>
    <n v="15"/>
    <x v="20"/>
    <n v="30"/>
    <x v="7"/>
  </r>
  <r>
    <x v="17"/>
    <s v="Murat Taşdemir"/>
    <x v="0"/>
    <x v="369"/>
    <x v="369"/>
    <n v="2"/>
    <s v="ADET"/>
    <n v="2"/>
    <n v="27"/>
    <n v="14"/>
    <n v="-18"/>
    <n v="0"/>
    <n v="0"/>
    <n v="15"/>
    <x v="20"/>
    <n v="30"/>
    <x v="7"/>
  </r>
  <r>
    <x v="17"/>
    <s v="Murat Taşdemir"/>
    <x v="0"/>
    <x v="402"/>
    <x v="402"/>
    <n v="1"/>
    <s v="ADET"/>
    <n v="1"/>
    <n v="135"/>
    <n v="7"/>
    <n v="-119"/>
    <n v="0"/>
    <n v="0"/>
    <n v="39.6"/>
    <x v="20"/>
    <n v="39.6"/>
    <x v="7"/>
  </r>
  <r>
    <x v="7"/>
    <s v="Laurent MONTAGNER"/>
    <x v="0"/>
    <x v="155"/>
    <x v="155"/>
    <n v="1"/>
    <s v="ADET"/>
    <n v="1"/>
    <n v="4"/>
    <n v="10"/>
    <n v="8"/>
    <n v="0"/>
    <n v="41649.120000000003"/>
    <n v="5206.1400000000003"/>
    <x v="19"/>
    <n v="5206.1400000000003"/>
    <x v="7"/>
  </r>
  <r>
    <x v="7"/>
    <s v="Laurent MONTAGNER"/>
    <x v="0"/>
    <x v="413"/>
    <x v="413"/>
    <n v="1"/>
    <s v="ADET"/>
    <n v="1"/>
    <n v="3"/>
    <n v="8"/>
    <n v="-2"/>
    <n v="10"/>
    <n v="0"/>
    <n v="3097.63"/>
    <x v="92"/>
    <n v="3097.63"/>
    <x v="4"/>
  </r>
  <r>
    <x v="17"/>
    <s v="Murat Taşdemir"/>
    <x v="0"/>
    <x v="406"/>
    <x v="406"/>
    <n v="2"/>
    <s v="ADET"/>
    <n v="2"/>
    <n v="12"/>
    <n v="18"/>
    <n v="-14"/>
    <n v="20"/>
    <n v="0"/>
    <n v="194"/>
    <x v="35"/>
    <n v="388"/>
    <x v="6"/>
  </r>
  <r>
    <x v="7"/>
    <s v="Laurent MONTAGNER"/>
    <x v="0"/>
    <x v="401"/>
    <x v="401"/>
    <n v="1"/>
    <s v="ADET"/>
    <n v="1"/>
    <n v="8"/>
    <n v="5"/>
    <n v="-4"/>
    <n v="0"/>
    <n v="0"/>
    <n v="1723.79"/>
    <x v="74"/>
    <n v="1723.79"/>
    <x v="4"/>
  </r>
  <r>
    <x v="16"/>
    <s v="Stefan Zaugg"/>
    <x v="0"/>
    <x v="159"/>
    <x v="159"/>
    <n v="1"/>
    <s v="ADET"/>
    <n v="1"/>
    <n v="0"/>
    <n v="8"/>
    <n v="12"/>
    <n v="0"/>
    <n v="55600.08"/>
    <n v="4633.34"/>
    <x v="11"/>
    <n v="4633.34"/>
    <x v="6"/>
  </r>
  <r>
    <x v="4"/>
    <s v="Stefan Zaugg"/>
    <x v="0"/>
    <x v="159"/>
    <x v="159"/>
    <n v="1"/>
    <s v="ADET"/>
    <n v="1"/>
    <n v="0"/>
    <n v="8"/>
    <n v="12"/>
    <n v="0"/>
    <n v="55600.08"/>
    <n v="4633.34"/>
    <x v="11"/>
    <n v="4633.34"/>
    <x v="6"/>
  </r>
  <r>
    <x v="0"/>
    <s v="Soner Kayıkçı"/>
    <x v="0"/>
    <x v="413"/>
    <x v="413"/>
    <n v="1"/>
    <s v="ADET"/>
    <n v="0"/>
    <n v="3"/>
    <n v="8"/>
    <n v="-2"/>
    <n v="10"/>
    <n v="0"/>
    <n v="3097.63"/>
    <x v="92"/>
    <n v="3097.63"/>
    <x v="4"/>
  </r>
  <r>
    <x v="1"/>
    <s v="Stina Alm"/>
    <x v="0"/>
    <x v="413"/>
    <x v="413"/>
    <n v="1"/>
    <s v="ADET"/>
    <n v="0"/>
    <n v="3"/>
    <n v="8"/>
    <n v="-2"/>
    <n v="10"/>
    <n v="0"/>
    <n v="3097.63"/>
    <x v="92"/>
    <n v="3097.63"/>
    <x v="4"/>
  </r>
  <r>
    <x v="1"/>
    <s v="Stina Alm"/>
    <x v="0"/>
    <x v="420"/>
    <x v="420"/>
    <n v="2"/>
    <s v="METRE"/>
    <n v="0"/>
    <n v="60"/>
    <n v="50"/>
    <n v="-50.5"/>
    <n v="0"/>
    <n v="0"/>
    <n v="265"/>
    <x v="46"/>
    <n v="530"/>
    <x v="5"/>
  </r>
  <r>
    <x v="16"/>
    <s v="Stefan Zaugg"/>
    <x v="0"/>
    <x v="369"/>
    <x v="369"/>
    <n v="2"/>
    <s v="ADET"/>
    <n v="2"/>
    <n v="27"/>
    <n v="14"/>
    <n v="-18"/>
    <n v="0"/>
    <n v="0"/>
    <n v="15"/>
    <x v="20"/>
    <n v="30"/>
    <x v="7"/>
  </r>
  <r>
    <x v="6"/>
    <s v="Laurent MONTAGNER"/>
    <x v="0"/>
    <x v="413"/>
    <x v="413"/>
    <n v="1"/>
    <s v="ADET"/>
    <n v="1"/>
    <n v="3"/>
    <n v="8"/>
    <n v="-2"/>
    <n v="10"/>
    <n v="0"/>
    <n v="3097.63"/>
    <x v="92"/>
    <n v="3097.63"/>
    <x v="4"/>
  </r>
  <r>
    <x v="14"/>
    <s v="Stefan Zaugg"/>
    <x v="0"/>
    <x v="159"/>
    <x v="159"/>
    <n v="1"/>
    <s v="ADET"/>
    <n v="1"/>
    <n v="0"/>
    <n v="8"/>
    <n v="12"/>
    <n v="0"/>
    <n v="55600.08"/>
    <n v="4633.34"/>
    <x v="11"/>
    <n v="4633.34"/>
    <x v="6"/>
  </r>
  <r>
    <x v="4"/>
    <s v="Stefan Zaugg"/>
    <x v="0"/>
    <x v="494"/>
    <x v="494"/>
    <n v="2"/>
    <s v="ADET"/>
    <n v="2"/>
    <n v="21"/>
    <n v="8"/>
    <n v="-21"/>
    <n v="0"/>
    <n v="0"/>
    <n v="451"/>
    <x v="75"/>
    <n v="902"/>
    <x v="6"/>
  </r>
  <r>
    <x v="16"/>
    <s v="Stefan Zaugg"/>
    <x v="0"/>
    <x v="495"/>
    <x v="495"/>
    <n v="1"/>
    <s v="ADET"/>
    <n v="1"/>
    <n v="17"/>
    <n v="4"/>
    <n v="-17"/>
    <n v="0"/>
    <n v="0"/>
    <n v="117.85"/>
    <x v="85"/>
    <n v="117.85"/>
    <x v="6"/>
  </r>
  <r>
    <x v="6"/>
    <s v="Laurent MONTAGNER"/>
    <x v="0"/>
    <x v="235"/>
    <x v="235"/>
    <n v="2"/>
    <s v="ADET"/>
    <n v="2"/>
    <n v="23"/>
    <n v="22"/>
    <n v="1"/>
    <n v="0"/>
    <n v="73.349999999999994"/>
    <n v="73.349999999999994"/>
    <x v="13"/>
    <n v="146.69999999999999"/>
    <x v="7"/>
  </r>
  <r>
    <x v="19"/>
    <s v="Volkan Batkan"/>
    <x v="0"/>
    <x v="437"/>
    <x v="437"/>
    <n v="1"/>
    <s v="ADET"/>
    <n v="1"/>
    <n v="12"/>
    <n v="8"/>
    <n v="0"/>
    <n v="0"/>
    <n v="0"/>
    <n v="401.17"/>
    <x v="97"/>
    <n v="401.17"/>
    <x v="7"/>
  </r>
  <r>
    <x v="16"/>
    <s v="Stefan Zaugg"/>
    <x v="0"/>
    <x v="370"/>
    <x v="370"/>
    <n v="0.5"/>
    <s v="ADET"/>
    <n v="0"/>
    <n v="100"/>
    <n v="0"/>
    <n v="-90.5"/>
    <n v="0"/>
    <n v="0"/>
    <n v="13.5"/>
    <x v="14"/>
    <n v="6.75"/>
    <x v="2"/>
  </r>
  <r>
    <x v="4"/>
    <s v="Stefan Zaugg"/>
    <x v="0"/>
    <x v="437"/>
    <x v="437"/>
    <n v="1"/>
    <s v="ADET"/>
    <n v="1"/>
    <n v="12"/>
    <n v="8"/>
    <n v="0"/>
    <n v="0"/>
    <n v="0"/>
    <n v="401.17"/>
    <x v="97"/>
    <n v="401.17"/>
    <x v="7"/>
  </r>
  <r>
    <x v="17"/>
    <s v="Murat Taşdemir"/>
    <x v="0"/>
    <x v="437"/>
    <x v="437"/>
    <n v="1"/>
    <s v="ADET"/>
    <n v="1"/>
    <n v="12"/>
    <n v="8"/>
    <n v="0"/>
    <n v="0"/>
    <n v="0"/>
    <n v="401.17"/>
    <x v="97"/>
    <n v="401.17"/>
    <x v="7"/>
  </r>
  <r>
    <x v="16"/>
    <s v="Stefan Zaugg"/>
    <x v="0"/>
    <x v="356"/>
    <x v="356"/>
    <n v="0.105"/>
    <s v="M3"/>
    <n v="0.105"/>
    <n v="0"/>
    <n v="4.5430000000000446"/>
    <n v="1.4260000000000002"/>
    <n v="0"/>
    <n v="27807.000000000004"/>
    <n v="19500"/>
    <x v="87"/>
    <n v="2047.5"/>
    <x v="8"/>
  </r>
  <r>
    <x v="4"/>
    <s v="Stefan Zaugg"/>
    <x v="0"/>
    <x v="356"/>
    <x v="356"/>
    <n v="0.105"/>
    <s v="M3"/>
    <n v="0.105"/>
    <n v="0"/>
    <n v="4.5430000000000446"/>
    <n v="1.4260000000000002"/>
    <n v="0"/>
    <n v="27807.000000000004"/>
    <n v="19500"/>
    <x v="87"/>
    <n v="2047.5"/>
    <x v="8"/>
  </r>
  <r>
    <x v="14"/>
    <s v="Stefan Zaugg"/>
    <x v="0"/>
    <x v="496"/>
    <x v="496"/>
    <n v="1"/>
    <s v="ADET"/>
    <n v="1"/>
    <n v="2"/>
    <n v="2"/>
    <n v="-2"/>
    <n v="0"/>
    <n v="0"/>
    <n v="400"/>
    <x v="91"/>
    <n v="400"/>
    <x v="4"/>
  </r>
  <r>
    <x v="0"/>
    <s v="Soner Kayıkçı"/>
    <x v="0"/>
    <x v="371"/>
    <x v="371"/>
    <n v="1"/>
    <s v="M2"/>
    <n v="0"/>
    <n v="0"/>
    <n v="67.08499999999998"/>
    <n v="15"/>
    <n v="0"/>
    <n v="9778.0499999999993"/>
    <n v="651.87"/>
    <x v="63"/>
    <n v="651.87"/>
    <x v="8"/>
  </r>
  <r>
    <x v="17"/>
    <s v="Murat Taşdemir"/>
    <x v="0"/>
    <x v="436"/>
    <x v="436"/>
    <n v="1"/>
    <s v="ADET"/>
    <n v="1"/>
    <n v="10"/>
    <n v="17"/>
    <n v="1"/>
    <n v="0"/>
    <n v="565.83000000000004"/>
    <n v="565.83000000000004"/>
    <x v="85"/>
    <n v="565.83000000000004"/>
    <x v="12"/>
  </r>
  <r>
    <x v="16"/>
    <s v="Stefan Zaugg"/>
    <x v="0"/>
    <x v="343"/>
    <x v="343"/>
    <n v="2.2999999999999998"/>
    <s v="ADET"/>
    <n v="2.2999999999999998"/>
    <n v="0"/>
    <n v="4.0000000000000497"/>
    <n v="28.999999999999993"/>
    <n v="22"/>
    <n v="30208.429999999993"/>
    <n v="1041.67"/>
    <x v="63"/>
    <n v="2395.8409999999999"/>
    <x v="8"/>
  </r>
  <r>
    <x v="14"/>
    <s v="Stefan Zaugg"/>
    <x v="0"/>
    <x v="343"/>
    <x v="343"/>
    <n v="2.2999999999999998"/>
    <s v="ADET"/>
    <n v="2.2999999999999998"/>
    <n v="0"/>
    <n v="4.0000000000000497"/>
    <n v="28.999999999999993"/>
    <n v="22"/>
    <n v="30208.429999999993"/>
    <n v="1041.67"/>
    <x v="63"/>
    <n v="2395.8409999999999"/>
    <x v="8"/>
  </r>
  <r>
    <x v="4"/>
    <s v="Stefan Zaugg"/>
    <x v="0"/>
    <x v="496"/>
    <x v="496"/>
    <n v="1"/>
    <s v="ADET"/>
    <n v="1"/>
    <n v="2"/>
    <n v="2"/>
    <n v="-2"/>
    <n v="0"/>
    <n v="0"/>
    <n v="400"/>
    <x v="91"/>
    <n v="400"/>
    <x v="4"/>
  </r>
  <r>
    <x v="6"/>
    <s v="Laurent MONTAGNER"/>
    <x v="0"/>
    <x v="436"/>
    <x v="436"/>
    <n v="1"/>
    <s v="ADET"/>
    <n v="1"/>
    <n v="10"/>
    <n v="17"/>
    <n v="1"/>
    <n v="0"/>
    <n v="565.83000000000004"/>
    <n v="565.83000000000004"/>
    <x v="85"/>
    <n v="565.83000000000004"/>
    <x v="12"/>
  </r>
  <r>
    <x v="2"/>
    <s v="Laurent MONTAGNER"/>
    <x v="0"/>
    <x v="437"/>
    <x v="437"/>
    <n v="1"/>
    <s v="ADET"/>
    <n v="0"/>
    <n v="12"/>
    <n v="8"/>
    <n v="0"/>
    <n v="0"/>
    <n v="0"/>
    <n v="401.17"/>
    <x v="97"/>
    <n v="401.17"/>
    <x v="7"/>
  </r>
  <r>
    <x v="6"/>
    <s v="Laurent MONTAGNER"/>
    <x v="0"/>
    <x v="414"/>
    <x v="414"/>
    <n v="3"/>
    <s v="ADET"/>
    <n v="3"/>
    <n v="14"/>
    <n v="19"/>
    <n v="-23"/>
    <n v="30"/>
    <n v="0"/>
    <n v="67.22"/>
    <x v="92"/>
    <n v="201.66"/>
    <x v="4"/>
  </r>
  <r>
    <x v="15"/>
    <s v="Jan Urbanek"/>
    <x v="0"/>
    <x v="428"/>
    <x v="428"/>
    <n v="10"/>
    <s v="ADET"/>
    <n v="0"/>
    <n v="0"/>
    <n v="58.050000000000026"/>
    <n v="144.72000000000003"/>
    <n v="37"/>
    <n v="261099.48240000007"/>
    <n v="1804.17"/>
    <x v="63"/>
    <n v="18041.7"/>
    <x v="8"/>
  </r>
  <r>
    <x v="13"/>
    <s v="Matteo Giolo"/>
    <x v="0"/>
    <x v="428"/>
    <x v="428"/>
    <n v="16.240000000000002"/>
    <s v="ADET"/>
    <n v="0"/>
    <n v="0"/>
    <n v="58.050000000000026"/>
    <n v="144.72000000000003"/>
    <n v="37"/>
    <n v="261099.48240000007"/>
    <n v="1804.17"/>
    <x v="63"/>
    <n v="29299.720800000006"/>
    <x v="8"/>
  </r>
  <r>
    <x v="14"/>
    <s v="Stefan Zaugg"/>
    <x v="0"/>
    <x v="431"/>
    <x v="431"/>
    <n v="8"/>
    <s v="ADET"/>
    <n v="0"/>
    <n v="524"/>
    <n v="352"/>
    <n v="-374"/>
    <n v="0"/>
    <n v="0"/>
    <n v="8.1"/>
    <x v="57"/>
    <n v="64.8"/>
    <x v="7"/>
  </r>
  <r>
    <x v="13"/>
    <s v="Matteo Giolo"/>
    <x v="0"/>
    <x v="431"/>
    <x v="431"/>
    <n v="8"/>
    <s v="ADET"/>
    <n v="0"/>
    <n v="524"/>
    <n v="352"/>
    <n v="-374"/>
    <n v="0"/>
    <n v="0"/>
    <n v="8.1"/>
    <x v="57"/>
    <n v="64.8"/>
    <x v="7"/>
  </r>
  <r>
    <x v="11"/>
    <s v="Jan Urbanek"/>
    <x v="0"/>
    <x v="430"/>
    <x v="430"/>
    <n v="4"/>
    <s v="ADET"/>
    <n v="0"/>
    <n v="4"/>
    <n v="10"/>
    <n v="26"/>
    <n v="0"/>
    <n v="41686.58"/>
    <n v="1603.33"/>
    <x v="82"/>
    <n v="6413.32"/>
    <x v="7"/>
  </r>
  <r>
    <x v="1"/>
    <s v="Stina Alm"/>
    <x v="0"/>
    <x v="430"/>
    <x v="430"/>
    <n v="2"/>
    <s v="ADET"/>
    <n v="0"/>
    <n v="4"/>
    <n v="10"/>
    <n v="26"/>
    <n v="0"/>
    <n v="41686.58"/>
    <n v="1603.33"/>
    <x v="82"/>
    <n v="3206.66"/>
    <x v="7"/>
  </r>
  <r>
    <x v="0"/>
    <s v="Soner Kayıkçı"/>
    <x v="0"/>
    <x v="431"/>
    <x v="431"/>
    <n v="8"/>
    <s v="ADET"/>
    <n v="0"/>
    <n v="524"/>
    <n v="352"/>
    <n v="-374"/>
    <n v="0"/>
    <n v="0"/>
    <n v="8.1"/>
    <x v="57"/>
    <n v="64.8"/>
    <x v="7"/>
  </r>
  <r>
    <x v="2"/>
    <s v="Laurent MONTAGNER"/>
    <x v="0"/>
    <x v="431"/>
    <x v="431"/>
    <n v="6"/>
    <s v="ADET"/>
    <n v="0"/>
    <n v="524"/>
    <n v="352"/>
    <n v="-374"/>
    <n v="0"/>
    <n v="0"/>
    <n v="8.1"/>
    <x v="57"/>
    <n v="48.599999999999994"/>
    <x v="7"/>
  </r>
  <r>
    <x v="19"/>
    <s v="Volkan Batkan"/>
    <x v="0"/>
    <x v="431"/>
    <x v="431"/>
    <n v="8"/>
    <s v="ADET"/>
    <n v="0"/>
    <n v="524"/>
    <n v="352"/>
    <n v="-374"/>
    <n v="0"/>
    <n v="0"/>
    <n v="8.1"/>
    <x v="57"/>
    <n v="64.8"/>
    <x v="7"/>
  </r>
  <r>
    <x v="10"/>
    <s v="Jan Urbanek"/>
    <x v="0"/>
    <x v="430"/>
    <x v="430"/>
    <n v="2"/>
    <s v="ADET"/>
    <n v="0"/>
    <n v="4"/>
    <n v="10"/>
    <n v="26"/>
    <n v="0"/>
    <n v="41686.58"/>
    <n v="1603.33"/>
    <x v="82"/>
    <n v="3206.66"/>
    <x v="7"/>
  </r>
  <r>
    <x v="11"/>
    <s v="Jan Urbanek"/>
    <x v="0"/>
    <x v="431"/>
    <x v="431"/>
    <n v="8"/>
    <s v="ADET"/>
    <n v="0"/>
    <n v="524"/>
    <n v="352"/>
    <n v="-374"/>
    <n v="0"/>
    <n v="0"/>
    <n v="8.1"/>
    <x v="57"/>
    <n v="64.8"/>
    <x v="7"/>
  </r>
  <r>
    <x v="2"/>
    <s v="Laurent MONTAGNER"/>
    <x v="0"/>
    <x v="430"/>
    <x v="430"/>
    <n v="2"/>
    <s v="ADET"/>
    <n v="0"/>
    <n v="4"/>
    <n v="10"/>
    <n v="26"/>
    <n v="0"/>
    <n v="41686.58"/>
    <n v="1603.33"/>
    <x v="82"/>
    <n v="3206.66"/>
    <x v="7"/>
  </r>
  <r>
    <x v="0"/>
    <s v="Soner Kayıkçı"/>
    <x v="0"/>
    <x v="430"/>
    <x v="430"/>
    <n v="4"/>
    <s v="ADET"/>
    <n v="0"/>
    <n v="4"/>
    <n v="10"/>
    <n v="26"/>
    <n v="0"/>
    <n v="41686.58"/>
    <n v="1603.33"/>
    <x v="82"/>
    <n v="6413.32"/>
    <x v="7"/>
  </r>
  <r>
    <x v="15"/>
    <s v="Jan Urbanek"/>
    <x v="0"/>
    <x v="429"/>
    <x v="429"/>
    <n v="1"/>
    <s v="ADET"/>
    <n v="0"/>
    <n v="4"/>
    <n v="10"/>
    <n v="1"/>
    <n v="7"/>
    <n v="1535.25"/>
    <n v="1535.25"/>
    <x v="47"/>
    <n v="1535.25"/>
    <x v="7"/>
  </r>
  <r>
    <x v="17"/>
    <s v="Murat Taşdemir"/>
    <x v="0"/>
    <x v="431"/>
    <x v="431"/>
    <n v="8"/>
    <s v="ADET"/>
    <n v="0"/>
    <n v="524"/>
    <n v="352"/>
    <n v="-374"/>
    <n v="0"/>
    <n v="0"/>
    <n v="8.1"/>
    <x v="57"/>
    <n v="64.8"/>
    <x v="7"/>
  </r>
  <r>
    <x v="9"/>
    <s v="Jan Urbanek"/>
    <x v="0"/>
    <x v="430"/>
    <x v="430"/>
    <n v="4"/>
    <s v="ADET"/>
    <n v="0"/>
    <n v="4"/>
    <n v="10"/>
    <n v="26"/>
    <n v="0"/>
    <n v="41686.58"/>
    <n v="1603.33"/>
    <x v="82"/>
    <n v="6413.32"/>
    <x v="7"/>
  </r>
  <r>
    <x v="8"/>
    <s v="Jan Urbanek"/>
    <x v="0"/>
    <x v="430"/>
    <x v="430"/>
    <n v="2"/>
    <s v="ADET"/>
    <n v="0"/>
    <n v="4"/>
    <n v="10"/>
    <n v="26"/>
    <n v="0"/>
    <n v="41686.58"/>
    <n v="1603.33"/>
    <x v="82"/>
    <n v="3206.66"/>
    <x v="7"/>
  </r>
  <r>
    <x v="10"/>
    <s v="Jan Urbanek"/>
    <x v="0"/>
    <x v="431"/>
    <x v="431"/>
    <n v="8"/>
    <s v="ADET"/>
    <n v="0"/>
    <n v="524"/>
    <n v="352"/>
    <n v="-374"/>
    <n v="0"/>
    <n v="0"/>
    <n v="8.1"/>
    <x v="57"/>
    <n v="64.8"/>
    <x v="7"/>
  </r>
  <r>
    <x v="6"/>
    <s v="Laurent MONTAGNER"/>
    <x v="0"/>
    <x v="430"/>
    <x v="430"/>
    <n v="2"/>
    <s v="ADET"/>
    <n v="2"/>
    <n v="4"/>
    <n v="10"/>
    <n v="26"/>
    <n v="0"/>
    <n v="41686.58"/>
    <n v="1603.33"/>
    <x v="82"/>
    <n v="3206.66"/>
    <x v="7"/>
  </r>
  <r>
    <x v="9"/>
    <s v="Jan Urbanek"/>
    <x v="0"/>
    <x v="431"/>
    <x v="431"/>
    <n v="8"/>
    <s v="ADET"/>
    <n v="0"/>
    <n v="524"/>
    <n v="352"/>
    <n v="-374"/>
    <n v="0"/>
    <n v="0"/>
    <n v="8.1"/>
    <x v="57"/>
    <n v="64.8"/>
    <x v="7"/>
  </r>
  <r>
    <x v="8"/>
    <s v="Jan Urbanek"/>
    <x v="0"/>
    <x v="431"/>
    <x v="431"/>
    <n v="8"/>
    <s v="ADET"/>
    <n v="0"/>
    <n v="524"/>
    <n v="352"/>
    <n v="-374"/>
    <n v="0"/>
    <n v="0"/>
    <n v="8.1"/>
    <x v="57"/>
    <n v="64.8"/>
    <x v="7"/>
  </r>
  <r>
    <x v="6"/>
    <s v="Laurent MONTAGNER"/>
    <x v="0"/>
    <x v="431"/>
    <x v="431"/>
    <n v="8"/>
    <s v="ADET"/>
    <n v="0"/>
    <n v="524"/>
    <n v="352"/>
    <n v="-374"/>
    <n v="0"/>
    <n v="0"/>
    <n v="8.1"/>
    <x v="57"/>
    <n v="64.8"/>
    <x v="7"/>
  </r>
  <r>
    <x v="1"/>
    <s v="Stina Alm"/>
    <x v="0"/>
    <x v="431"/>
    <x v="431"/>
    <n v="8"/>
    <s v="ADET"/>
    <n v="0"/>
    <n v="524"/>
    <n v="352"/>
    <n v="-374"/>
    <n v="0"/>
    <n v="0"/>
    <n v="8.1"/>
    <x v="57"/>
    <n v="64.8"/>
    <x v="7"/>
  </r>
  <r>
    <x v="2"/>
    <s v="Laurent MONTAGNER"/>
    <x v="0"/>
    <x v="69"/>
    <x v="69"/>
    <n v="6.0000000000000005E-2"/>
    <s v="ADET"/>
    <n v="6.0000000000000005E-2"/>
    <n v="6"/>
    <n v="22.530000000000012"/>
    <n v="-5.5"/>
    <n v="0"/>
    <n v="0"/>
    <n v="133"/>
    <x v="33"/>
    <n v="7.98"/>
    <x v="3"/>
  </r>
  <r>
    <x v="7"/>
    <s v="Laurent MONTAGNER"/>
    <x v="0"/>
    <x v="427"/>
    <x v="427"/>
    <n v="8.4700000000000006"/>
    <s v="KG"/>
    <n v="8.4700000000000006"/>
    <n v="0"/>
    <n v="154.94999999999996"/>
    <n v="21.899999999999991"/>
    <n v="60"/>
    <n v="4265.0249999999987"/>
    <n v="194.75"/>
    <x v="3"/>
    <n v="1649.5325"/>
    <x v="3"/>
  </r>
  <r>
    <x v="4"/>
    <s v="Stefan Zaugg"/>
    <x v="0"/>
    <x v="68"/>
    <x v="68"/>
    <n v="78.63"/>
    <s v="KG"/>
    <n v="78.63"/>
    <n v="-690"/>
    <n v="2123.619999999999"/>
    <n v="1819.8699999999994"/>
    <n v="0"/>
    <n v="172651.06689999995"/>
    <n v="94.87"/>
    <x v="3"/>
    <n v="7459.6280999999999"/>
    <x v="3"/>
  </r>
  <r>
    <x v="8"/>
    <s v="Jan Urbanek"/>
    <x v="0"/>
    <x v="68"/>
    <x v="68"/>
    <n v="108.01"/>
    <s v="KG"/>
    <n v="108.01"/>
    <n v="-690"/>
    <n v="2123.619999999999"/>
    <n v="1819.8699999999994"/>
    <n v="0"/>
    <n v="172651.06689999995"/>
    <n v="94.87"/>
    <x v="3"/>
    <n v="10246.908700000002"/>
    <x v="3"/>
  </r>
  <r>
    <x v="19"/>
    <s v="Volkan Batkan"/>
    <x v="0"/>
    <x v="145"/>
    <x v="145"/>
    <n v="1"/>
    <s v="ADET"/>
    <n v="1"/>
    <n v="5"/>
    <n v="10"/>
    <n v="7"/>
    <n v="0"/>
    <n v="85641.010000000009"/>
    <n v="12234.43"/>
    <x v="19"/>
    <n v="12234.43"/>
    <x v="7"/>
  </r>
  <r>
    <x v="8"/>
    <s v="Jan Urbanek"/>
    <x v="0"/>
    <x v="426"/>
    <x v="426"/>
    <n v="18"/>
    <s v="ADET"/>
    <n v="18"/>
    <n v="180"/>
    <n v="80"/>
    <n v="32"/>
    <n v="0"/>
    <n v="7680"/>
    <n v="240"/>
    <x v="14"/>
    <n v="4320"/>
    <x v="2"/>
  </r>
  <r>
    <x v="2"/>
    <s v="Laurent MONTAGNER"/>
    <x v="0"/>
    <x v="427"/>
    <x v="427"/>
    <n v="17.100000000000001"/>
    <s v="KG"/>
    <n v="17.100000000000001"/>
    <n v="0"/>
    <n v="154.94999999999996"/>
    <n v="21.899999999999991"/>
    <n v="60"/>
    <n v="4265.0249999999987"/>
    <n v="194.75"/>
    <x v="3"/>
    <n v="3330.2250000000004"/>
    <x v="3"/>
  </r>
  <r>
    <x v="16"/>
    <s v="Stefan Zaugg"/>
    <x v="0"/>
    <x v="68"/>
    <x v="68"/>
    <n v="78.63"/>
    <s v="KG"/>
    <n v="78.63"/>
    <n v="-690"/>
    <n v="2123.619999999999"/>
    <n v="1819.8699999999994"/>
    <n v="0"/>
    <n v="172651.06689999995"/>
    <n v="94.87"/>
    <x v="3"/>
    <n v="7459.6280999999999"/>
    <x v="3"/>
  </r>
  <r>
    <x v="14"/>
    <s v="Stefan Zaugg"/>
    <x v="0"/>
    <x v="68"/>
    <x v="68"/>
    <n v="68.959999999999994"/>
    <s v="KG"/>
    <n v="68.959999999999994"/>
    <n v="-690"/>
    <n v="2123.619999999999"/>
    <n v="1819.8699999999994"/>
    <n v="0"/>
    <n v="172651.06689999995"/>
    <n v="94.87"/>
    <x v="3"/>
    <n v="6542.2352000000001"/>
    <x v="3"/>
  </r>
  <r>
    <x v="14"/>
    <s v="Stefan Zaugg"/>
    <x v="0"/>
    <x v="416"/>
    <x v="416"/>
    <n v="1"/>
    <s v="ADET"/>
    <n v="1"/>
    <n v="17"/>
    <n v="11"/>
    <n v="-5"/>
    <n v="0"/>
    <n v="0"/>
    <n v="115.6"/>
    <x v="15"/>
    <n v="115.6"/>
    <x v="7"/>
  </r>
  <r>
    <x v="19"/>
    <s v="Volkan Batkan"/>
    <x v="0"/>
    <x v="416"/>
    <x v="416"/>
    <n v="1"/>
    <s v="ADET"/>
    <n v="1"/>
    <n v="17"/>
    <n v="11"/>
    <n v="-5"/>
    <n v="0"/>
    <n v="0"/>
    <n v="115.6"/>
    <x v="15"/>
    <n v="115.6"/>
    <x v="7"/>
  </r>
  <r>
    <x v="14"/>
    <s v="Stefan Zaugg"/>
    <x v="0"/>
    <x v="145"/>
    <x v="145"/>
    <n v="1"/>
    <s v="ADET"/>
    <n v="1"/>
    <n v="5"/>
    <n v="10"/>
    <n v="7"/>
    <n v="0"/>
    <n v="85641.010000000009"/>
    <n v="12234.43"/>
    <x v="19"/>
    <n v="12234.43"/>
    <x v="7"/>
  </r>
  <r>
    <x v="17"/>
    <s v="Murat Taşdemir"/>
    <x v="0"/>
    <x v="429"/>
    <x v="429"/>
    <n v="1"/>
    <s v="ADET"/>
    <n v="1"/>
    <n v="4"/>
    <n v="10"/>
    <n v="1"/>
    <n v="7"/>
    <n v="1535.25"/>
    <n v="1535.25"/>
    <x v="47"/>
    <n v="1535.25"/>
    <x v="7"/>
  </r>
  <r>
    <x v="16"/>
    <s v="Stefan Zaugg"/>
    <x v="0"/>
    <x v="406"/>
    <x v="406"/>
    <n v="2"/>
    <s v="ADET"/>
    <n v="2"/>
    <n v="12"/>
    <n v="18"/>
    <n v="-14"/>
    <n v="20"/>
    <n v="0"/>
    <n v="194"/>
    <x v="35"/>
    <n v="388"/>
    <x v="6"/>
  </r>
  <r>
    <x v="7"/>
    <s v="Laurent MONTAGNER"/>
    <x v="0"/>
    <x v="406"/>
    <x v="406"/>
    <n v="2"/>
    <s v="ADET"/>
    <n v="2"/>
    <n v="12"/>
    <n v="18"/>
    <n v="-14"/>
    <n v="20"/>
    <n v="0"/>
    <n v="194"/>
    <x v="35"/>
    <n v="388"/>
    <x v="6"/>
  </r>
  <r>
    <x v="4"/>
    <s v="Stefan Zaugg"/>
    <x v="0"/>
    <x v="493"/>
    <x v="493"/>
    <n v="2"/>
    <s v="ADET"/>
    <n v="2"/>
    <n v="106"/>
    <n v="9"/>
    <n v="-106"/>
    <n v="0"/>
    <n v="0"/>
    <n v="90"/>
    <x v="5"/>
    <n v="180"/>
    <x v="2"/>
  </r>
  <r>
    <x v="4"/>
    <s v="Stefan Zaugg"/>
    <x v="0"/>
    <x v="190"/>
    <x v="190"/>
    <n v="23"/>
    <s v="ADET"/>
    <n v="23"/>
    <n v="800"/>
    <n v="0"/>
    <n v="-414"/>
    <n v="0"/>
    <n v="0"/>
    <n v="13.75"/>
    <x v="21"/>
    <n v="316.25"/>
    <x v="2"/>
  </r>
  <r>
    <x v="7"/>
    <s v="Laurent MONTAGNER"/>
    <x v="0"/>
    <x v="405"/>
    <x v="405"/>
    <n v="35.25"/>
    <s v="KG"/>
    <n v="35.25"/>
    <n v="60"/>
    <n v="219.95999999999984"/>
    <n v="143.41000000000003"/>
    <n v="0"/>
    <n v="23533.581000000002"/>
    <n v="164.1"/>
    <x v="3"/>
    <n v="5784.5249999999996"/>
    <x v="3"/>
  </r>
  <r>
    <x v="8"/>
    <s v="Jan Urbanek"/>
    <x v="0"/>
    <x v="369"/>
    <x v="369"/>
    <n v="1"/>
    <s v="ADET"/>
    <n v="0"/>
    <n v="27"/>
    <n v="14"/>
    <n v="-18"/>
    <n v="0"/>
    <n v="0"/>
    <n v="15"/>
    <x v="20"/>
    <n v="15"/>
    <x v="7"/>
  </r>
  <r>
    <x v="16"/>
    <s v="Stefan Zaugg"/>
    <x v="0"/>
    <x v="493"/>
    <x v="493"/>
    <n v="2"/>
    <s v="ADET"/>
    <n v="2"/>
    <n v="106"/>
    <n v="9"/>
    <n v="-106"/>
    <n v="0"/>
    <n v="0"/>
    <n v="90"/>
    <x v="5"/>
    <n v="180"/>
    <x v="2"/>
  </r>
  <r>
    <x v="6"/>
    <s v="Laurent MONTAGNER"/>
    <x v="0"/>
    <x v="190"/>
    <x v="190"/>
    <n v="37"/>
    <s v="ADET"/>
    <n v="37"/>
    <n v="800"/>
    <n v="0"/>
    <n v="-414"/>
    <n v="0"/>
    <n v="0"/>
    <n v="13.75"/>
    <x v="21"/>
    <n v="508.75"/>
    <x v="2"/>
  </r>
  <r>
    <x v="8"/>
    <s v="Jan Urbanek"/>
    <x v="0"/>
    <x v="405"/>
    <x v="405"/>
    <n v="18.8"/>
    <s v="KG"/>
    <n v="18.8"/>
    <n v="60"/>
    <n v="219.95999999999984"/>
    <n v="143.41000000000003"/>
    <n v="0"/>
    <n v="23533.581000000002"/>
    <n v="164.1"/>
    <x v="3"/>
    <n v="3085.08"/>
    <x v="3"/>
  </r>
  <r>
    <x v="6"/>
    <s v="Laurent MONTAGNER"/>
    <x v="0"/>
    <x v="369"/>
    <x v="369"/>
    <n v="2"/>
    <s v="ADET"/>
    <n v="2"/>
    <n v="27"/>
    <n v="14"/>
    <n v="-18"/>
    <n v="0"/>
    <n v="0"/>
    <n v="15"/>
    <x v="20"/>
    <n v="30"/>
    <x v="7"/>
  </r>
  <r>
    <x v="14"/>
    <s v="Stefan Zaugg"/>
    <x v="0"/>
    <x v="402"/>
    <x v="402"/>
    <n v="2"/>
    <s v="ADET"/>
    <n v="2"/>
    <n v="135"/>
    <n v="7"/>
    <n v="-119"/>
    <n v="0"/>
    <n v="0"/>
    <n v="39.6"/>
    <x v="20"/>
    <n v="79.2"/>
    <x v="7"/>
  </r>
  <r>
    <x v="6"/>
    <s v="Laurent MONTAGNER"/>
    <x v="0"/>
    <x v="402"/>
    <x v="402"/>
    <n v="1"/>
    <s v="ADET"/>
    <n v="1"/>
    <n v="135"/>
    <n v="7"/>
    <n v="-119"/>
    <n v="0"/>
    <n v="0"/>
    <n v="39.6"/>
    <x v="20"/>
    <n v="39.6"/>
    <x v="7"/>
  </r>
  <r>
    <x v="4"/>
    <s v="Stefan Zaugg"/>
    <x v="0"/>
    <x v="210"/>
    <x v="210"/>
    <n v="3"/>
    <s v="ADET"/>
    <n v="3"/>
    <n v="16"/>
    <n v="9"/>
    <n v="-16"/>
    <n v="0"/>
    <n v="0"/>
    <n v="110"/>
    <x v="65"/>
    <n v="330"/>
    <x v="6"/>
  </r>
  <r>
    <x v="6"/>
    <s v="Laurent MONTAGNER"/>
    <x v="0"/>
    <x v="404"/>
    <x v="404"/>
    <n v="1"/>
    <s v="ADET"/>
    <n v="1"/>
    <n v="23"/>
    <n v="5"/>
    <n v="-12"/>
    <n v="0"/>
    <n v="0"/>
    <n v="871.93"/>
    <x v="93"/>
    <n v="871.93"/>
    <x v="6"/>
  </r>
  <r>
    <x v="6"/>
    <s v="Laurent MONTAGNER"/>
    <x v="0"/>
    <x v="406"/>
    <x v="406"/>
    <n v="2"/>
    <s v="ADET"/>
    <n v="2"/>
    <n v="12"/>
    <n v="18"/>
    <n v="-14"/>
    <n v="20"/>
    <n v="0"/>
    <n v="194"/>
    <x v="35"/>
    <n v="388"/>
    <x v="6"/>
  </r>
  <r>
    <x v="14"/>
    <s v="Stefan Zaugg"/>
    <x v="0"/>
    <x v="403"/>
    <x v="403"/>
    <n v="1"/>
    <s v="ADET"/>
    <n v="1"/>
    <n v="28"/>
    <n v="4"/>
    <n v="-21"/>
    <n v="0"/>
    <n v="0"/>
    <n v="290.73"/>
    <x v="74"/>
    <n v="290.73"/>
    <x v="4"/>
  </r>
  <r>
    <x v="9"/>
    <s v="Jan Urbanek"/>
    <x v="0"/>
    <x v="403"/>
    <x v="403"/>
    <n v="1"/>
    <s v="ADET"/>
    <n v="1"/>
    <n v="28"/>
    <n v="4"/>
    <n v="-21"/>
    <n v="0"/>
    <n v="0"/>
    <n v="290.73"/>
    <x v="74"/>
    <n v="290.73"/>
    <x v="4"/>
  </r>
  <r>
    <x v="14"/>
    <s v="Stefan Zaugg"/>
    <x v="0"/>
    <x v="413"/>
    <x v="413"/>
    <n v="1"/>
    <s v="ADET"/>
    <n v="1"/>
    <n v="3"/>
    <n v="8"/>
    <n v="-2"/>
    <n v="10"/>
    <n v="0"/>
    <n v="3097.63"/>
    <x v="92"/>
    <n v="3097.63"/>
    <x v="4"/>
  </r>
  <r>
    <x v="7"/>
    <s v="Laurent MONTAGNER"/>
    <x v="0"/>
    <x v="404"/>
    <x v="404"/>
    <n v="1"/>
    <s v="ADET"/>
    <n v="1"/>
    <n v="23"/>
    <n v="5"/>
    <n v="-12"/>
    <n v="0"/>
    <n v="0"/>
    <n v="871.93"/>
    <x v="93"/>
    <n v="871.93"/>
    <x v="6"/>
  </r>
  <r>
    <x v="4"/>
    <s v="Stefan Zaugg"/>
    <x v="0"/>
    <x v="405"/>
    <x v="405"/>
    <n v="17.8"/>
    <s v="KG"/>
    <n v="17.8"/>
    <n v="60"/>
    <n v="219.95999999999984"/>
    <n v="143.41000000000003"/>
    <n v="0"/>
    <n v="23533.581000000002"/>
    <n v="164.1"/>
    <x v="3"/>
    <n v="2920.98"/>
    <x v="3"/>
  </r>
  <r>
    <x v="10"/>
    <s v="Jan Urbanek"/>
    <x v="0"/>
    <x v="211"/>
    <x v="211"/>
    <n v="1"/>
    <s v="ADET"/>
    <n v="0"/>
    <n v="14"/>
    <n v="9.9999999999999929"/>
    <n v="2.5700000000000003"/>
    <n v="0"/>
    <n v="552.55000000000007"/>
    <n v="215"/>
    <x v="14"/>
    <n v="215"/>
    <x v="2"/>
  </r>
  <r>
    <x v="14"/>
    <s v="Stefan Zaugg"/>
    <x v="0"/>
    <x v="400"/>
    <x v="400"/>
    <n v="1"/>
    <s v="ADET"/>
    <n v="1"/>
    <n v="27"/>
    <n v="4"/>
    <n v="-20"/>
    <n v="0"/>
    <n v="0"/>
    <n v="290.73"/>
    <x v="74"/>
    <n v="290.73"/>
    <x v="4"/>
  </r>
  <r>
    <x v="19"/>
    <s v="Volkan Batkan"/>
    <x v="0"/>
    <x v="400"/>
    <x v="400"/>
    <n v="1"/>
    <s v="ADET"/>
    <n v="1"/>
    <n v="27"/>
    <n v="4"/>
    <n v="-20"/>
    <n v="0"/>
    <n v="0"/>
    <n v="290.73"/>
    <x v="74"/>
    <n v="290.73"/>
    <x v="4"/>
  </r>
  <r>
    <x v="11"/>
    <s v="Jan Urbanek"/>
    <x v="0"/>
    <x v="400"/>
    <x v="400"/>
    <n v="1"/>
    <s v="ADET"/>
    <n v="1"/>
    <n v="27"/>
    <n v="4"/>
    <n v="-20"/>
    <n v="0"/>
    <n v="0"/>
    <n v="290.73"/>
    <x v="74"/>
    <n v="290.73"/>
    <x v="4"/>
  </r>
  <r>
    <x v="17"/>
    <s v="Murat Taşdemir"/>
    <x v="0"/>
    <x v="188"/>
    <x v="188"/>
    <n v="1"/>
    <s v="ADET"/>
    <n v="1"/>
    <n v="12"/>
    <n v="9"/>
    <n v="0"/>
    <n v="0"/>
    <n v="0"/>
    <n v="266.72000000000003"/>
    <x v="13"/>
    <n v="266.72000000000003"/>
    <x v="7"/>
  </r>
  <r>
    <x v="17"/>
    <s v="Murat Taşdemir"/>
    <x v="0"/>
    <x v="338"/>
    <x v="338"/>
    <n v="1"/>
    <s v="ADET"/>
    <n v="1"/>
    <n v="25"/>
    <n v="5"/>
    <n v="-13"/>
    <n v="0"/>
    <n v="0"/>
    <n v="373.06"/>
    <x v="74"/>
    <n v="373.06"/>
    <x v="4"/>
  </r>
  <r>
    <x v="9"/>
    <s v="Jan Urbanek"/>
    <x v="0"/>
    <x v="455"/>
    <x v="455"/>
    <n v="1"/>
    <s v="ADET"/>
    <n v="0"/>
    <n v="19"/>
    <n v="17"/>
    <n v="0"/>
    <n v="0"/>
    <n v="0"/>
    <n v="113.64"/>
    <x v="100"/>
    <n v="113.64"/>
    <x v="13"/>
  </r>
  <r>
    <x v="8"/>
    <s v="Jan Urbanek"/>
    <x v="0"/>
    <x v="478"/>
    <x v="478"/>
    <n v="1"/>
    <s v="ADET"/>
    <n v="0"/>
    <n v="8"/>
    <n v="4"/>
    <n v="-1"/>
    <n v="0"/>
    <n v="0"/>
    <n v="1723.79"/>
    <x v="74"/>
    <n v="1723.79"/>
    <x v="4"/>
  </r>
  <r>
    <x v="0"/>
    <s v="Soner Kayıkçı"/>
    <x v="0"/>
    <x v="470"/>
    <x v="470"/>
    <n v="2"/>
    <s v="ADET"/>
    <n v="0"/>
    <n v="500"/>
    <n v="500"/>
    <n v="-486"/>
    <n v="0"/>
    <n v="0"/>
    <n v="0.65"/>
    <x v="15"/>
    <n v="1.3"/>
    <x v="7"/>
  </r>
  <r>
    <x v="15"/>
    <s v="Jan Urbanek"/>
    <x v="0"/>
    <x v="478"/>
    <x v="478"/>
    <n v="1"/>
    <s v="ADET"/>
    <n v="0"/>
    <n v="8"/>
    <n v="4"/>
    <n v="-1"/>
    <n v="0"/>
    <n v="0"/>
    <n v="1723.79"/>
    <x v="74"/>
    <n v="1723.79"/>
    <x v="4"/>
  </r>
  <r>
    <x v="0"/>
    <s v="Soner Kayıkçı"/>
    <x v="0"/>
    <x v="478"/>
    <x v="478"/>
    <n v="1"/>
    <s v="ADET"/>
    <n v="0"/>
    <n v="8"/>
    <n v="4"/>
    <n v="-1"/>
    <n v="0"/>
    <n v="0"/>
    <n v="1723.79"/>
    <x v="74"/>
    <n v="1723.79"/>
    <x v="4"/>
  </r>
  <r>
    <x v="7"/>
    <s v="Laurent MONTAGNER"/>
    <x v="0"/>
    <x v="317"/>
    <x v="317"/>
    <n v="2"/>
    <s v="ADET"/>
    <n v="2"/>
    <n v="35"/>
    <n v="14"/>
    <n v="-11"/>
    <n v="0"/>
    <n v="0"/>
    <n v="43.75"/>
    <x v="3"/>
    <n v="87.5"/>
    <x v="2"/>
  </r>
  <r>
    <x v="6"/>
    <s v="Laurent MONTAGNER"/>
    <x v="1"/>
    <x v="1"/>
    <x v="1"/>
    <n v="1"/>
    <s v="ADET"/>
    <n v="1"/>
    <n v="10"/>
    <n v="9"/>
    <n v="2"/>
    <n v="0"/>
    <n v="0"/>
    <m/>
    <x v="1"/>
    <m/>
    <x v="1"/>
  </r>
  <r>
    <x v="16"/>
    <s v="Stefan Zaugg"/>
    <x v="0"/>
    <x v="380"/>
    <x v="380"/>
    <n v="1"/>
    <s v="ADET"/>
    <n v="1"/>
    <n v="9"/>
    <n v="8"/>
    <n v="-12"/>
    <n v="15"/>
    <n v="0"/>
    <n v="776.15"/>
    <x v="89"/>
    <n v="776.15"/>
    <x v="7"/>
  </r>
  <r>
    <x v="4"/>
    <s v="Stefan Zaugg"/>
    <x v="0"/>
    <x v="380"/>
    <x v="380"/>
    <n v="1"/>
    <s v="ADET"/>
    <n v="1"/>
    <n v="9"/>
    <n v="8"/>
    <n v="-12"/>
    <n v="15"/>
    <n v="0"/>
    <n v="776.15"/>
    <x v="89"/>
    <n v="776.15"/>
    <x v="7"/>
  </r>
  <r>
    <x v="14"/>
    <s v="Stefan Zaugg"/>
    <x v="0"/>
    <x v="380"/>
    <x v="380"/>
    <n v="1"/>
    <s v="ADET"/>
    <n v="1"/>
    <n v="9"/>
    <n v="8"/>
    <n v="-12"/>
    <n v="15"/>
    <n v="0"/>
    <n v="776.15"/>
    <x v="89"/>
    <n v="776.15"/>
    <x v="7"/>
  </r>
  <r>
    <x v="4"/>
    <s v="Stefan Zaugg"/>
    <x v="0"/>
    <x v="486"/>
    <x v="486"/>
    <n v="2"/>
    <s v="ADET"/>
    <n v="2"/>
    <n v="4"/>
    <n v="12"/>
    <n v="-4"/>
    <n v="0"/>
    <n v="0"/>
    <n v="1028.6099999999999"/>
    <x v="74"/>
    <n v="2057.2199999999998"/>
    <x v="4"/>
  </r>
  <r>
    <x v="4"/>
    <s v="Stefan Zaugg"/>
    <x v="0"/>
    <x v="7"/>
    <x v="7"/>
    <n v="1"/>
    <s v="ADET"/>
    <n v="1"/>
    <n v="0"/>
    <n v="5"/>
    <n v="0"/>
    <n v="7"/>
    <n v="0"/>
    <n v="1491.67"/>
    <x v="7"/>
    <n v="1491.67"/>
    <x v="6"/>
  </r>
  <r>
    <x v="16"/>
    <s v="Stefan Zaugg"/>
    <x v="0"/>
    <x v="379"/>
    <x v="379"/>
    <n v="1"/>
    <s v="ADET"/>
    <n v="1"/>
    <n v="1"/>
    <n v="4"/>
    <n v="13"/>
    <n v="0"/>
    <n v="168880.14"/>
    <n v="12990.78"/>
    <x v="67"/>
    <n v="12990.78"/>
    <x v="6"/>
  </r>
  <r>
    <x v="9"/>
    <s v="Jan Urbanek"/>
    <x v="0"/>
    <x v="378"/>
    <x v="378"/>
    <n v="1"/>
    <s v="ADET"/>
    <n v="1"/>
    <n v="5"/>
    <n v="4"/>
    <n v="2"/>
    <n v="0"/>
    <n v="3447.58"/>
    <n v="1723.79"/>
    <x v="74"/>
    <n v="1723.79"/>
    <x v="4"/>
  </r>
  <r>
    <x v="17"/>
    <s v="Murat Taşdemir"/>
    <x v="0"/>
    <x v="373"/>
    <x v="373"/>
    <n v="1"/>
    <s v="ADET"/>
    <n v="1"/>
    <n v="12"/>
    <n v="5"/>
    <n v="-8"/>
    <n v="0"/>
    <n v="0"/>
    <n v="1679.53"/>
    <x v="74"/>
    <n v="1679.53"/>
    <x v="4"/>
  </r>
  <r>
    <x v="4"/>
    <s v="Stefan Zaugg"/>
    <x v="0"/>
    <x v="246"/>
    <x v="246"/>
    <n v="1.5"/>
    <s v="ADET"/>
    <n v="1.5"/>
    <n v="75"/>
    <n v="42.70000000000006"/>
    <n v="-48.040000000000006"/>
    <n v="0"/>
    <n v="0"/>
    <n v="15"/>
    <x v="14"/>
    <n v="22.5"/>
    <x v="2"/>
  </r>
  <r>
    <x v="4"/>
    <s v="Stefan Zaugg"/>
    <x v="0"/>
    <x v="497"/>
    <x v="497"/>
    <n v="1"/>
    <s v="ADET"/>
    <n v="1"/>
    <n v="12"/>
    <n v="4"/>
    <n v="-12"/>
    <n v="0"/>
    <n v="0"/>
    <n v="57.06"/>
    <x v="108"/>
    <n v="57.06"/>
    <x v="2"/>
  </r>
  <r>
    <x v="14"/>
    <s v="Stefan Zaugg"/>
    <x v="0"/>
    <x v="3"/>
    <x v="3"/>
    <n v="19.98"/>
    <s v="KG"/>
    <n v="19.98"/>
    <n v="0"/>
    <n v="437.82000000000016"/>
    <n v="348.62999999999988"/>
    <n v="0"/>
    <n v="33597.473099999988"/>
    <n v="96.37"/>
    <x v="3"/>
    <n v="1925.4726000000001"/>
    <x v="3"/>
  </r>
  <r>
    <x v="7"/>
    <s v="Laurent MONTAGNER"/>
    <x v="0"/>
    <x v="318"/>
    <x v="318"/>
    <n v="1"/>
    <s v="ADET"/>
    <n v="1"/>
    <n v="7"/>
    <n v="10"/>
    <n v="4"/>
    <n v="0"/>
    <n v="1950.24"/>
    <n v="487.56"/>
    <x v="34"/>
    <n v="487.56"/>
    <x v="6"/>
  </r>
  <r>
    <x v="7"/>
    <s v="Laurent MONTAGNER"/>
    <x v="0"/>
    <x v="373"/>
    <x v="373"/>
    <n v="1"/>
    <s v="ADET"/>
    <n v="1"/>
    <n v="12"/>
    <n v="5"/>
    <n v="-8"/>
    <n v="0"/>
    <n v="0"/>
    <n v="1679.53"/>
    <x v="74"/>
    <n v="1679.53"/>
    <x v="4"/>
  </r>
  <r>
    <x v="2"/>
    <s v="Laurent MONTAGNER"/>
    <x v="0"/>
    <x v="116"/>
    <x v="116"/>
    <n v="8.9700000000000006"/>
    <s v="KG"/>
    <n v="8.9700000000000006"/>
    <n v="66"/>
    <n v="36.349999999999987"/>
    <n v="-17.090000000000018"/>
    <n v="0"/>
    <n v="0"/>
    <n v="129.63"/>
    <x v="14"/>
    <n v="1162.7811000000002"/>
    <x v="3"/>
  </r>
  <r>
    <x v="14"/>
    <s v="Stefan Zaugg"/>
    <x v="0"/>
    <x v="318"/>
    <x v="318"/>
    <n v="1"/>
    <s v="ADET"/>
    <n v="1"/>
    <n v="7"/>
    <n v="10"/>
    <n v="4"/>
    <n v="0"/>
    <n v="1950.24"/>
    <n v="487.56"/>
    <x v="34"/>
    <n v="487.56"/>
    <x v="6"/>
  </r>
  <r>
    <x v="3"/>
    <s v="Stina Alm"/>
    <x v="0"/>
    <x v="246"/>
    <x v="246"/>
    <n v="2.04"/>
    <s v="ADET"/>
    <n v="0"/>
    <n v="75"/>
    <n v="42.70000000000006"/>
    <n v="-48.040000000000006"/>
    <n v="0"/>
    <n v="0"/>
    <n v="15"/>
    <x v="14"/>
    <n v="30.6"/>
    <x v="2"/>
  </r>
  <r>
    <x v="6"/>
    <s v="Laurent MONTAGNER"/>
    <x v="0"/>
    <x v="379"/>
    <x v="379"/>
    <n v="1"/>
    <s v="ADET"/>
    <n v="1"/>
    <n v="1"/>
    <n v="4"/>
    <n v="13"/>
    <n v="0"/>
    <n v="168880.14"/>
    <n v="12990.78"/>
    <x v="67"/>
    <n v="12990.78"/>
    <x v="6"/>
  </r>
  <r>
    <x v="0"/>
    <s v="Soner Kayıkçı"/>
    <x v="0"/>
    <x v="7"/>
    <x v="7"/>
    <n v="1"/>
    <s v="ADET"/>
    <n v="0"/>
    <n v="0"/>
    <n v="5"/>
    <n v="0"/>
    <n v="7"/>
    <n v="0"/>
    <n v="1491.67"/>
    <x v="7"/>
    <n v="1491.67"/>
    <x v="6"/>
  </r>
  <r>
    <x v="7"/>
    <s v="Laurent MONTAGNER"/>
    <x v="0"/>
    <x v="458"/>
    <x v="458"/>
    <n v="2"/>
    <s v="ADET"/>
    <n v="2"/>
    <n v="1"/>
    <n v="14"/>
    <n v="25"/>
    <n v="0"/>
    <n v="11103.25"/>
    <n v="444.13"/>
    <x v="67"/>
    <n v="888.26"/>
    <x v="6"/>
  </r>
  <r>
    <x v="2"/>
    <s v="Laurent MONTAGNER"/>
    <x v="0"/>
    <x v="373"/>
    <x v="373"/>
    <n v="1"/>
    <s v="ADET"/>
    <n v="1"/>
    <n v="12"/>
    <n v="5"/>
    <n v="-8"/>
    <n v="0"/>
    <n v="0"/>
    <n v="1679.53"/>
    <x v="74"/>
    <n v="1679.53"/>
    <x v="4"/>
  </r>
  <r>
    <x v="6"/>
    <s v="Laurent MONTAGNER"/>
    <x v="0"/>
    <x v="373"/>
    <x v="373"/>
    <n v="1"/>
    <s v="ADET"/>
    <n v="1"/>
    <n v="12"/>
    <n v="5"/>
    <n v="-8"/>
    <n v="0"/>
    <n v="0"/>
    <n v="1679.53"/>
    <x v="74"/>
    <n v="1679.53"/>
    <x v="4"/>
  </r>
  <r>
    <x v="9"/>
    <s v="Jan Urbanek"/>
    <x v="0"/>
    <x v="326"/>
    <x v="326"/>
    <n v="4"/>
    <s v="ADET"/>
    <n v="0"/>
    <n v="37"/>
    <n v="14"/>
    <n v="-5"/>
    <n v="0"/>
    <n v="0"/>
    <n v="313.88"/>
    <x v="74"/>
    <n v="1255.52"/>
    <x v="6"/>
  </r>
  <r>
    <x v="8"/>
    <s v="Jan Urbanek"/>
    <x v="0"/>
    <x v="326"/>
    <x v="326"/>
    <n v="4"/>
    <s v="ADET"/>
    <n v="0"/>
    <n v="37"/>
    <n v="14"/>
    <n v="-5"/>
    <n v="0"/>
    <n v="0"/>
    <n v="313.88"/>
    <x v="74"/>
    <n v="1255.52"/>
    <x v="6"/>
  </r>
  <r>
    <x v="8"/>
    <s v="Jan Urbanek"/>
    <x v="0"/>
    <x v="327"/>
    <x v="327"/>
    <n v="1"/>
    <s v="ADET"/>
    <n v="0"/>
    <n v="1"/>
    <n v="10"/>
    <n v="11"/>
    <n v="0"/>
    <n v="20020"/>
    <n v="1820"/>
    <x v="82"/>
    <n v="1820"/>
    <x v="9"/>
  </r>
  <r>
    <x v="10"/>
    <s v="Jan Urbanek"/>
    <x v="0"/>
    <x v="326"/>
    <x v="326"/>
    <n v="4"/>
    <s v="ADET"/>
    <n v="0"/>
    <n v="37"/>
    <n v="14"/>
    <n v="-5"/>
    <n v="0"/>
    <n v="0"/>
    <n v="313.88"/>
    <x v="74"/>
    <n v="1255.52"/>
    <x v="6"/>
  </r>
  <r>
    <x v="10"/>
    <s v="Jan Urbanek"/>
    <x v="0"/>
    <x v="327"/>
    <x v="327"/>
    <n v="1"/>
    <s v="ADET"/>
    <n v="0"/>
    <n v="1"/>
    <n v="10"/>
    <n v="11"/>
    <n v="0"/>
    <n v="20020"/>
    <n v="1820"/>
    <x v="82"/>
    <n v="1820"/>
    <x v="9"/>
  </r>
  <r>
    <x v="0"/>
    <s v="Soner Kayıkçı"/>
    <x v="0"/>
    <x v="326"/>
    <x v="326"/>
    <n v="4"/>
    <s v="ADET"/>
    <n v="0"/>
    <n v="37"/>
    <n v="14"/>
    <n v="-5"/>
    <n v="0"/>
    <n v="0"/>
    <n v="313.88"/>
    <x v="74"/>
    <n v="1255.52"/>
    <x v="6"/>
  </r>
  <r>
    <x v="0"/>
    <s v="Soner Kayıkçı"/>
    <x v="0"/>
    <x v="327"/>
    <x v="327"/>
    <n v="1"/>
    <s v="ADET"/>
    <n v="0"/>
    <n v="1"/>
    <n v="10"/>
    <n v="11"/>
    <n v="0"/>
    <n v="20020"/>
    <n v="1820"/>
    <x v="82"/>
    <n v="1820"/>
    <x v="9"/>
  </r>
  <r>
    <x v="2"/>
    <s v="Laurent MONTAGNER"/>
    <x v="0"/>
    <x v="225"/>
    <x v="225"/>
    <n v="2"/>
    <s v="ADET"/>
    <n v="2"/>
    <n v="18"/>
    <n v="9"/>
    <n v="-10"/>
    <n v="0"/>
    <n v="0"/>
    <n v="60"/>
    <x v="21"/>
    <n v="120"/>
    <x v="2"/>
  </r>
  <r>
    <x v="19"/>
    <s v="Volkan Batkan"/>
    <x v="0"/>
    <x v="24"/>
    <x v="24"/>
    <n v="2"/>
    <s v="ADET"/>
    <n v="2"/>
    <n v="21"/>
    <n v="30"/>
    <n v="1"/>
    <n v="0"/>
    <n v="42"/>
    <n v="42"/>
    <x v="16"/>
    <n v="84"/>
    <x v="2"/>
  </r>
  <r>
    <x v="14"/>
    <s v="Stefan Zaugg"/>
    <x v="0"/>
    <x v="332"/>
    <x v="332"/>
    <n v="4"/>
    <s v="ADET"/>
    <n v="4"/>
    <n v="56.5"/>
    <n v="26"/>
    <n v="-12.5"/>
    <n v="0"/>
    <n v="0"/>
    <n v="200"/>
    <x v="37"/>
    <n v="800"/>
    <x v="6"/>
  </r>
  <r>
    <x v="11"/>
    <s v="Jan Urbanek"/>
    <x v="0"/>
    <x v="332"/>
    <x v="332"/>
    <n v="4"/>
    <s v="ADET"/>
    <n v="0"/>
    <n v="56.5"/>
    <n v="26"/>
    <n v="-12.5"/>
    <n v="0"/>
    <n v="0"/>
    <n v="200"/>
    <x v="37"/>
    <n v="800"/>
    <x v="6"/>
  </r>
  <r>
    <x v="9"/>
    <s v="Jan Urbanek"/>
    <x v="0"/>
    <x v="328"/>
    <x v="328"/>
    <n v="2"/>
    <s v="ADET"/>
    <n v="0"/>
    <n v="500"/>
    <n v="500"/>
    <n v="-486"/>
    <n v="0"/>
    <n v="0"/>
    <n v="0.55000000000000004"/>
    <x v="15"/>
    <n v="1.1000000000000001"/>
    <x v="7"/>
  </r>
  <r>
    <x v="1"/>
    <s v="Stina Alm"/>
    <x v="0"/>
    <x v="327"/>
    <x v="327"/>
    <n v="1"/>
    <s v="ADET"/>
    <n v="0"/>
    <n v="1"/>
    <n v="10"/>
    <n v="11"/>
    <n v="0"/>
    <n v="20020"/>
    <n v="1820"/>
    <x v="82"/>
    <n v="1820"/>
    <x v="9"/>
  </r>
  <r>
    <x v="9"/>
    <s v="Jan Urbanek"/>
    <x v="0"/>
    <x v="327"/>
    <x v="327"/>
    <n v="1"/>
    <s v="ADET"/>
    <n v="0"/>
    <n v="1"/>
    <n v="10"/>
    <n v="11"/>
    <n v="0"/>
    <n v="20020"/>
    <n v="1820"/>
    <x v="82"/>
    <n v="1820"/>
    <x v="9"/>
  </r>
  <r>
    <x v="10"/>
    <s v="Jan Urbanek"/>
    <x v="0"/>
    <x v="328"/>
    <x v="328"/>
    <n v="2"/>
    <s v="ADET"/>
    <n v="0"/>
    <n v="500"/>
    <n v="500"/>
    <n v="-486"/>
    <n v="0"/>
    <n v="0"/>
    <n v="0.55000000000000004"/>
    <x v="15"/>
    <n v="1.1000000000000001"/>
    <x v="7"/>
  </r>
  <r>
    <x v="8"/>
    <s v="Jan Urbanek"/>
    <x v="0"/>
    <x v="328"/>
    <x v="328"/>
    <n v="2"/>
    <s v="ADET"/>
    <n v="0"/>
    <n v="500"/>
    <n v="500"/>
    <n v="-486"/>
    <n v="0"/>
    <n v="0"/>
    <n v="0.55000000000000004"/>
    <x v="15"/>
    <n v="1.1000000000000001"/>
    <x v="7"/>
  </r>
  <r>
    <x v="0"/>
    <s v="Soner Kayıkçı"/>
    <x v="0"/>
    <x v="332"/>
    <x v="332"/>
    <n v="4"/>
    <s v="ADET"/>
    <n v="0"/>
    <n v="56.5"/>
    <n v="26"/>
    <n v="-12.5"/>
    <n v="0"/>
    <n v="0"/>
    <n v="200"/>
    <x v="37"/>
    <n v="800"/>
    <x v="6"/>
  </r>
  <r>
    <x v="6"/>
    <s v="Laurent MONTAGNER"/>
    <x v="0"/>
    <x v="327"/>
    <x v="327"/>
    <n v="1"/>
    <s v="ADET"/>
    <n v="1"/>
    <n v="1"/>
    <n v="10"/>
    <n v="11"/>
    <n v="0"/>
    <n v="20020"/>
    <n v="1820"/>
    <x v="82"/>
    <n v="1820"/>
    <x v="9"/>
  </r>
  <r>
    <x v="8"/>
    <s v="Jan Urbanek"/>
    <x v="0"/>
    <x v="153"/>
    <x v="153"/>
    <n v="6"/>
    <s v="ADET"/>
    <n v="6"/>
    <n v="84"/>
    <n v="195.90000000000009"/>
    <n v="-24.600000000000023"/>
    <n v="0"/>
    <n v="0"/>
    <n v="29"/>
    <x v="14"/>
    <n v="174"/>
    <x v="2"/>
  </r>
  <r>
    <x v="6"/>
    <s v="Laurent MONTAGNER"/>
    <x v="0"/>
    <x v="225"/>
    <x v="225"/>
    <n v="2"/>
    <s v="ADET"/>
    <n v="2"/>
    <n v="18"/>
    <n v="9"/>
    <n v="-10"/>
    <n v="0"/>
    <n v="0"/>
    <n v="60"/>
    <x v="21"/>
    <n v="120"/>
    <x v="2"/>
  </r>
  <r>
    <x v="7"/>
    <s v="Laurent MONTAGNER"/>
    <x v="0"/>
    <x v="327"/>
    <x v="327"/>
    <n v="1"/>
    <s v="ADET"/>
    <n v="1"/>
    <n v="1"/>
    <n v="10"/>
    <n v="11"/>
    <n v="0"/>
    <n v="20020"/>
    <n v="1820"/>
    <x v="82"/>
    <n v="1820"/>
    <x v="9"/>
  </r>
  <r>
    <x v="7"/>
    <s v="Laurent MONTAGNER"/>
    <x v="0"/>
    <x v="326"/>
    <x v="326"/>
    <n v="2"/>
    <s v="ADET"/>
    <n v="2"/>
    <n v="37"/>
    <n v="14"/>
    <n v="-5"/>
    <n v="0"/>
    <n v="0"/>
    <n v="313.88"/>
    <x v="74"/>
    <n v="627.76"/>
    <x v="6"/>
  </r>
  <r>
    <x v="19"/>
    <s v="Volkan Batkan"/>
    <x v="0"/>
    <x v="181"/>
    <x v="181"/>
    <n v="1"/>
    <s v="ADET"/>
    <n v="1"/>
    <n v="2"/>
    <n v="1"/>
    <n v="2"/>
    <n v="0"/>
    <n v="19880.7"/>
    <n v="9940.35"/>
    <x v="60"/>
    <n v="9940.35"/>
    <x v="7"/>
  </r>
  <r>
    <x v="7"/>
    <s v="Laurent MONTAGNER"/>
    <x v="0"/>
    <x v="153"/>
    <x v="153"/>
    <n v="4.3499999999999996"/>
    <s v="ADET"/>
    <n v="4.3499999999999996"/>
    <n v="84"/>
    <n v="195.90000000000009"/>
    <n v="-24.600000000000023"/>
    <n v="0"/>
    <n v="0"/>
    <n v="29"/>
    <x v="14"/>
    <n v="126.14999999999999"/>
    <x v="2"/>
  </r>
  <r>
    <x v="2"/>
    <s v="Laurent MONTAGNER"/>
    <x v="0"/>
    <x v="326"/>
    <x v="326"/>
    <n v="4"/>
    <s v="ADET"/>
    <n v="4"/>
    <n v="37"/>
    <n v="14"/>
    <n v="-5"/>
    <n v="0"/>
    <n v="0"/>
    <n v="313.88"/>
    <x v="74"/>
    <n v="1255.52"/>
    <x v="6"/>
  </r>
  <r>
    <x v="19"/>
    <s v="Volkan Batkan"/>
    <x v="0"/>
    <x v="320"/>
    <x v="320"/>
    <n v="0.01"/>
    <s v="GR"/>
    <n v="0"/>
    <n v="150"/>
    <n v="0"/>
    <n v="-149.76499999999999"/>
    <n v="0"/>
    <n v="0"/>
    <n v="1.8"/>
    <x v="20"/>
    <n v="1.8000000000000002E-2"/>
    <x v="2"/>
  </r>
  <r>
    <x v="19"/>
    <s v="Volkan Batkan"/>
    <x v="0"/>
    <x v="21"/>
    <x v="21"/>
    <n v="3"/>
    <s v="METRE"/>
    <n v="0"/>
    <n v="100"/>
    <n v="26"/>
    <n v="-85"/>
    <n v="0"/>
    <n v="0"/>
    <n v="49.1"/>
    <x v="15"/>
    <n v="147.30000000000001"/>
    <x v="7"/>
  </r>
  <r>
    <x v="8"/>
    <s v="Jan Urbanek"/>
    <x v="0"/>
    <x v="455"/>
    <x v="455"/>
    <n v="1"/>
    <s v="ADET"/>
    <n v="0"/>
    <n v="19"/>
    <n v="17"/>
    <n v="0"/>
    <n v="0"/>
    <n v="0"/>
    <n v="113.64"/>
    <x v="100"/>
    <n v="113.64"/>
    <x v="13"/>
  </r>
  <r>
    <x v="9"/>
    <s v="Jan Urbanek"/>
    <x v="0"/>
    <x v="472"/>
    <x v="472"/>
    <n v="3"/>
    <s v="ADET"/>
    <n v="0"/>
    <n v="36"/>
    <n v="26"/>
    <n v="1"/>
    <n v="0"/>
    <n v="348.7"/>
    <n v="348.7"/>
    <x v="74"/>
    <n v="1046.0999999999999"/>
    <x v="6"/>
  </r>
  <r>
    <x v="8"/>
    <s v="Jan Urbanek"/>
    <x v="0"/>
    <x v="472"/>
    <x v="472"/>
    <n v="3"/>
    <s v="ADET"/>
    <n v="0"/>
    <n v="36"/>
    <n v="26"/>
    <n v="1"/>
    <n v="0"/>
    <n v="348.7"/>
    <n v="348.7"/>
    <x v="74"/>
    <n v="1046.0999999999999"/>
    <x v="6"/>
  </r>
  <r>
    <x v="6"/>
    <s v="Laurent MONTAGNER"/>
    <x v="0"/>
    <x v="455"/>
    <x v="455"/>
    <n v="1"/>
    <s v="ADET"/>
    <n v="0"/>
    <n v="19"/>
    <n v="17"/>
    <n v="0"/>
    <n v="0"/>
    <n v="0"/>
    <n v="113.64"/>
    <x v="100"/>
    <n v="113.64"/>
    <x v="13"/>
  </r>
  <r>
    <x v="6"/>
    <s v="Laurent MONTAGNER"/>
    <x v="0"/>
    <x v="456"/>
    <x v="456"/>
    <n v="5.5"/>
    <s v="METRE"/>
    <n v="0"/>
    <n v="100"/>
    <n v="0"/>
    <n v="-227.63999999999987"/>
    <n v="214.64"/>
    <n v="0"/>
    <n v="50.81"/>
    <x v="101"/>
    <n v="279.45500000000004"/>
    <x v="5"/>
  </r>
  <r>
    <x v="2"/>
    <s v="Laurent MONTAGNER"/>
    <x v="0"/>
    <x v="456"/>
    <x v="456"/>
    <n v="4"/>
    <s v="METRE"/>
    <n v="0"/>
    <n v="100"/>
    <n v="0"/>
    <n v="-227.63999999999987"/>
    <n v="214.64"/>
    <n v="0"/>
    <n v="50.81"/>
    <x v="101"/>
    <n v="203.24"/>
    <x v="5"/>
  </r>
  <r>
    <x v="15"/>
    <s v="Jan Urbanek"/>
    <x v="0"/>
    <x v="455"/>
    <x v="455"/>
    <n v="1"/>
    <s v="ADET"/>
    <n v="0"/>
    <n v="19"/>
    <n v="17"/>
    <n v="0"/>
    <n v="0"/>
    <n v="0"/>
    <n v="113.64"/>
    <x v="100"/>
    <n v="113.64"/>
    <x v="13"/>
  </r>
  <r>
    <x v="13"/>
    <s v="Matteo Giolo"/>
    <x v="0"/>
    <x v="455"/>
    <x v="455"/>
    <n v="1"/>
    <s v="ADET"/>
    <n v="0"/>
    <n v="19"/>
    <n v="17"/>
    <n v="0"/>
    <n v="0"/>
    <n v="0"/>
    <n v="113.64"/>
    <x v="100"/>
    <n v="113.64"/>
    <x v="13"/>
  </r>
  <r>
    <x v="16"/>
    <s v="Stefan Zaugg"/>
    <x v="0"/>
    <x v="456"/>
    <x v="456"/>
    <n v="5"/>
    <s v="METRE"/>
    <n v="0"/>
    <n v="100"/>
    <n v="0"/>
    <n v="-227.63999999999987"/>
    <n v="214.64"/>
    <n v="0"/>
    <n v="50.81"/>
    <x v="101"/>
    <n v="254.05"/>
    <x v="5"/>
  </r>
  <r>
    <x v="14"/>
    <s v="Stefan Zaugg"/>
    <x v="0"/>
    <x v="456"/>
    <x v="456"/>
    <n v="5"/>
    <s v="METRE"/>
    <n v="0"/>
    <n v="100"/>
    <n v="0"/>
    <n v="-227.63999999999987"/>
    <n v="214.64"/>
    <n v="0"/>
    <n v="50.81"/>
    <x v="101"/>
    <n v="254.05"/>
    <x v="5"/>
  </r>
  <r>
    <x v="13"/>
    <s v="Matteo Giolo"/>
    <x v="0"/>
    <x v="456"/>
    <x v="456"/>
    <n v="5"/>
    <s v="METRE"/>
    <n v="0"/>
    <n v="100"/>
    <n v="0"/>
    <n v="-227.63999999999987"/>
    <n v="214.64"/>
    <n v="0"/>
    <n v="50.81"/>
    <x v="101"/>
    <n v="254.05"/>
    <x v="5"/>
  </r>
  <r>
    <x v="19"/>
    <s v="Volkan Batkan"/>
    <x v="0"/>
    <x v="472"/>
    <x v="472"/>
    <n v="3"/>
    <s v="ADET"/>
    <n v="3"/>
    <n v="36"/>
    <n v="26"/>
    <n v="1"/>
    <n v="0"/>
    <n v="348.7"/>
    <n v="348.7"/>
    <x v="74"/>
    <n v="1046.0999999999999"/>
    <x v="6"/>
  </r>
  <r>
    <x v="10"/>
    <s v="Jan Urbanek"/>
    <x v="0"/>
    <x v="455"/>
    <x v="455"/>
    <n v="1"/>
    <s v="ADET"/>
    <n v="0"/>
    <n v="19"/>
    <n v="17"/>
    <n v="0"/>
    <n v="0"/>
    <n v="0"/>
    <n v="113.64"/>
    <x v="100"/>
    <n v="113.64"/>
    <x v="13"/>
  </r>
  <r>
    <x v="10"/>
    <s v="Jan Urbanek"/>
    <x v="0"/>
    <x v="456"/>
    <x v="456"/>
    <n v="4"/>
    <s v="METRE"/>
    <n v="0"/>
    <n v="100"/>
    <n v="0"/>
    <n v="-227.63999999999987"/>
    <n v="214.64"/>
    <n v="0"/>
    <n v="50.81"/>
    <x v="101"/>
    <n v="203.24"/>
    <x v="5"/>
  </r>
  <r>
    <x v="9"/>
    <s v="Jan Urbanek"/>
    <x v="0"/>
    <x v="456"/>
    <x v="456"/>
    <n v="4"/>
    <s v="METRE"/>
    <n v="0"/>
    <n v="100"/>
    <n v="0"/>
    <n v="-227.63999999999987"/>
    <n v="214.64"/>
    <n v="0"/>
    <n v="50.81"/>
    <x v="101"/>
    <n v="203.24"/>
    <x v="5"/>
  </r>
  <r>
    <x v="8"/>
    <s v="Jan Urbanek"/>
    <x v="0"/>
    <x v="456"/>
    <x v="456"/>
    <n v="4"/>
    <s v="METRE"/>
    <n v="0"/>
    <n v="100"/>
    <n v="0"/>
    <n v="-227.63999999999987"/>
    <n v="214.64"/>
    <n v="0"/>
    <n v="50.81"/>
    <x v="101"/>
    <n v="203.24"/>
    <x v="5"/>
  </r>
  <r>
    <x v="11"/>
    <s v="Jan Urbanek"/>
    <x v="0"/>
    <x v="457"/>
    <x v="457"/>
    <n v="1"/>
    <s v="ADET"/>
    <n v="0"/>
    <n v="19"/>
    <n v="4"/>
    <n v="-12"/>
    <n v="0"/>
    <n v="0"/>
    <n v="85"/>
    <x v="10"/>
    <n v="85"/>
    <x v="4"/>
  </r>
  <r>
    <x v="0"/>
    <s v="Soner Kayıkçı"/>
    <x v="0"/>
    <x v="455"/>
    <x v="455"/>
    <n v="1"/>
    <s v="ADET"/>
    <n v="0"/>
    <n v="19"/>
    <n v="17"/>
    <n v="0"/>
    <n v="0"/>
    <n v="0"/>
    <n v="113.64"/>
    <x v="100"/>
    <n v="113.64"/>
    <x v="13"/>
  </r>
  <r>
    <x v="2"/>
    <s v="Laurent MONTAGNER"/>
    <x v="0"/>
    <x v="455"/>
    <x v="455"/>
    <n v="1"/>
    <s v="ADET"/>
    <n v="0"/>
    <n v="19"/>
    <n v="17"/>
    <n v="0"/>
    <n v="0"/>
    <n v="0"/>
    <n v="113.64"/>
    <x v="100"/>
    <n v="113.64"/>
    <x v="13"/>
  </r>
  <r>
    <x v="0"/>
    <s v="Soner Kayıkçı"/>
    <x v="0"/>
    <x v="456"/>
    <x v="456"/>
    <n v="4"/>
    <s v="METRE"/>
    <n v="0"/>
    <n v="100"/>
    <n v="0"/>
    <n v="-227.63999999999987"/>
    <n v="214.64"/>
    <n v="0"/>
    <n v="50.81"/>
    <x v="101"/>
    <n v="203.24"/>
    <x v="5"/>
  </r>
  <r>
    <x v="19"/>
    <s v="Volkan Batkan"/>
    <x v="0"/>
    <x v="455"/>
    <x v="455"/>
    <n v="1"/>
    <s v="ADET"/>
    <n v="0"/>
    <n v="19"/>
    <n v="17"/>
    <n v="0"/>
    <n v="0"/>
    <n v="0"/>
    <n v="113.64"/>
    <x v="100"/>
    <n v="113.64"/>
    <x v="13"/>
  </r>
  <r>
    <x v="16"/>
    <s v="Stefan Zaugg"/>
    <x v="0"/>
    <x v="455"/>
    <x v="455"/>
    <n v="1"/>
    <s v="ADET"/>
    <n v="0"/>
    <n v="19"/>
    <n v="17"/>
    <n v="0"/>
    <n v="0"/>
    <n v="0"/>
    <n v="113.64"/>
    <x v="100"/>
    <n v="113.64"/>
    <x v="13"/>
  </r>
  <r>
    <x v="14"/>
    <s v="Stefan Zaugg"/>
    <x v="0"/>
    <x v="455"/>
    <x v="455"/>
    <n v="1"/>
    <s v="ADET"/>
    <n v="0"/>
    <n v="19"/>
    <n v="17"/>
    <n v="0"/>
    <n v="0"/>
    <n v="0"/>
    <n v="113.64"/>
    <x v="100"/>
    <n v="113.64"/>
    <x v="13"/>
  </r>
  <r>
    <x v="19"/>
    <s v="Volkan Batkan"/>
    <x v="0"/>
    <x v="498"/>
    <x v="498"/>
    <n v="1"/>
    <s v="ADET"/>
    <n v="0"/>
    <n v="6"/>
    <n v="0"/>
    <n v="-5"/>
    <n v="0"/>
    <n v="0"/>
    <n v="749.17"/>
    <x v="85"/>
    <n v="749.17"/>
    <x v="12"/>
  </r>
  <r>
    <x v="16"/>
    <s v="Stefan Zaugg"/>
    <x v="0"/>
    <x v="472"/>
    <x v="472"/>
    <n v="3"/>
    <s v="ADET"/>
    <n v="3"/>
    <n v="36"/>
    <n v="26"/>
    <n v="1"/>
    <n v="0"/>
    <n v="348.7"/>
    <n v="348.7"/>
    <x v="74"/>
    <n v="1046.0999999999999"/>
    <x v="6"/>
  </r>
  <r>
    <x v="11"/>
    <s v="Jan Urbanek"/>
    <x v="0"/>
    <x v="455"/>
    <x v="455"/>
    <n v="1"/>
    <s v="ADET"/>
    <n v="0"/>
    <n v="19"/>
    <n v="17"/>
    <n v="0"/>
    <n v="0"/>
    <n v="0"/>
    <n v="113.64"/>
    <x v="100"/>
    <n v="113.64"/>
    <x v="13"/>
  </r>
  <r>
    <x v="11"/>
    <s v="Jan Urbanek"/>
    <x v="0"/>
    <x v="472"/>
    <x v="472"/>
    <n v="3"/>
    <s v="ADET"/>
    <n v="0"/>
    <n v="36"/>
    <n v="26"/>
    <n v="1"/>
    <n v="0"/>
    <n v="348.7"/>
    <n v="348.7"/>
    <x v="74"/>
    <n v="1046.0999999999999"/>
    <x v="6"/>
  </r>
  <r>
    <x v="17"/>
    <s v="Murat Taşdemir"/>
    <x v="0"/>
    <x v="336"/>
    <x v="336"/>
    <n v="2"/>
    <s v="ADET"/>
    <n v="2"/>
    <n v="6"/>
    <n v="24"/>
    <n v="10"/>
    <n v="0"/>
    <n v="149462.5"/>
    <n v="14946.25"/>
    <x v="68"/>
    <n v="29892.5"/>
    <x v="4"/>
  </r>
  <r>
    <x v="19"/>
    <s v="Volkan Batkan"/>
    <x v="0"/>
    <x v="27"/>
    <x v="27"/>
    <n v="0.35"/>
    <s v="ADET"/>
    <n v="0.35"/>
    <n v="5"/>
    <n v="9.7999999999999954"/>
    <n v="0.19999999999999929"/>
    <n v="0"/>
    <n v="7.599999999999973"/>
    <n v="38"/>
    <x v="14"/>
    <n v="13.299999999999999"/>
    <x v="2"/>
  </r>
  <r>
    <x v="6"/>
    <s v="Laurent MONTAGNER"/>
    <x v="0"/>
    <x v="188"/>
    <x v="188"/>
    <n v="1"/>
    <s v="ADET"/>
    <n v="1"/>
    <n v="12"/>
    <n v="9"/>
    <n v="0"/>
    <n v="0"/>
    <n v="0"/>
    <n v="266.72000000000003"/>
    <x v="13"/>
    <n v="266.72000000000003"/>
    <x v="7"/>
  </r>
  <r>
    <x v="2"/>
    <s v="Laurent MONTAGNER"/>
    <x v="0"/>
    <x v="353"/>
    <x v="353"/>
    <n v="2"/>
    <s v="ADET"/>
    <n v="2"/>
    <n v="29"/>
    <n v="9"/>
    <n v="-13"/>
    <n v="0"/>
    <n v="0"/>
    <n v="355.05"/>
    <x v="74"/>
    <n v="710.1"/>
    <x v="6"/>
  </r>
  <r>
    <x v="6"/>
    <s v="Laurent MONTAGNER"/>
    <x v="0"/>
    <x v="353"/>
    <x v="353"/>
    <n v="2"/>
    <s v="ADET"/>
    <n v="2"/>
    <n v="29"/>
    <n v="9"/>
    <n v="-13"/>
    <n v="0"/>
    <n v="0"/>
    <n v="355.05"/>
    <x v="74"/>
    <n v="710.1"/>
    <x v="6"/>
  </r>
  <r>
    <x v="6"/>
    <s v="Laurent MONTAGNER"/>
    <x v="0"/>
    <x v="351"/>
    <x v="351"/>
    <n v="1"/>
    <s v="ADET"/>
    <n v="1"/>
    <n v="17"/>
    <n v="17"/>
    <n v="-6"/>
    <n v="0"/>
    <n v="0"/>
    <n v="41.67"/>
    <x v="85"/>
    <n v="41.67"/>
    <x v="6"/>
  </r>
  <r>
    <x v="6"/>
    <s v="Laurent MONTAGNER"/>
    <x v="0"/>
    <x v="337"/>
    <x v="337"/>
    <n v="1"/>
    <s v="ADET"/>
    <n v="1"/>
    <n v="28"/>
    <n v="5"/>
    <n v="-16"/>
    <n v="0"/>
    <n v="0"/>
    <n v="373.06"/>
    <x v="74"/>
    <n v="373.06"/>
    <x v="4"/>
  </r>
  <r>
    <x v="7"/>
    <s v="Laurent MONTAGNER"/>
    <x v="0"/>
    <x v="337"/>
    <x v="337"/>
    <n v="1"/>
    <s v="ADET"/>
    <n v="1"/>
    <n v="28"/>
    <n v="5"/>
    <n v="-16"/>
    <n v="0"/>
    <n v="0"/>
    <n v="373.06"/>
    <x v="74"/>
    <n v="373.06"/>
    <x v="4"/>
  </r>
  <r>
    <x v="14"/>
    <s v="Stefan Zaugg"/>
    <x v="0"/>
    <x v="272"/>
    <x v="272"/>
    <n v="1"/>
    <s v="ADET"/>
    <n v="1"/>
    <n v="28"/>
    <n v="5"/>
    <n v="-28"/>
    <n v="0"/>
    <n v="0"/>
    <n v="90"/>
    <x v="2"/>
    <n v="90"/>
    <x v="2"/>
  </r>
  <r>
    <x v="14"/>
    <s v="Stefan Zaugg"/>
    <x v="0"/>
    <x v="27"/>
    <x v="27"/>
    <n v="0.5"/>
    <s v="ADET"/>
    <n v="0.5"/>
    <n v="5"/>
    <n v="9.7999999999999954"/>
    <n v="0.19999999999999929"/>
    <n v="0"/>
    <n v="7.599999999999973"/>
    <n v="38"/>
    <x v="14"/>
    <n v="19"/>
    <x v="2"/>
  </r>
  <r>
    <x v="4"/>
    <s v="Stefan Zaugg"/>
    <x v="0"/>
    <x v="29"/>
    <x v="29"/>
    <n v="4"/>
    <s v="ADET"/>
    <n v="4"/>
    <n v="75"/>
    <n v="60"/>
    <n v="-31"/>
    <n v="0"/>
    <n v="0"/>
    <n v="170"/>
    <x v="16"/>
    <n v="680"/>
    <x v="2"/>
  </r>
  <r>
    <x v="7"/>
    <s v="Laurent MONTAGNER"/>
    <x v="0"/>
    <x v="187"/>
    <x v="187"/>
    <n v="2"/>
    <s v="ADET"/>
    <n v="2"/>
    <n v="304"/>
    <n v="13"/>
    <n v="-281"/>
    <n v="0"/>
    <n v="0"/>
    <n v="210"/>
    <x v="20"/>
    <n v="420"/>
    <x v="7"/>
  </r>
  <r>
    <x v="2"/>
    <s v="Laurent MONTAGNER"/>
    <x v="0"/>
    <x v="337"/>
    <x v="337"/>
    <n v="1"/>
    <s v="ADET"/>
    <n v="1"/>
    <n v="28"/>
    <n v="5"/>
    <n v="-16"/>
    <n v="0"/>
    <n v="0"/>
    <n v="373.06"/>
    <x v="74"/>
    <n v="373.06"/>
    <x v="4"/>
  </r>
  <r>
    <x v="7"/>
    <s v="Laurent MONTAGNER"/>
    <x v="0"/>
    <x v="336"/>
    <x v="336"/>
    <n v="2"/>
    <s v="ADET"/>
    <n v="2"/>
    <n v="6"/>
    <n v="24"/>
    <n v="10"/>
    <n v="0"/>
    <n v="149462.5"/>
    <n v="14946.25"/>
    <x v="68"/>
    <n v="29892.5"/>
    <x v="4"/>
  </r>
  <r>
    <x v="0"/>
    <s v="Soner Kayıkçı"/>
    <x v="0"/>
    <x v="338"/>
    <x v="338"/>
    <n v="1"/>
    <s v="ADET"/>
    <n v="0"/>
    <n v="25"/>
    <n v="5"/>
    <n v="-13"/>
    <n v="0"/>
    <n v="0"/>
    <n v="373.06"/>
    <x v="74"/>
    <n v="373.06"/>
    <x v="4"/>
  </r>
  <r>
    <x v="16"/>
    <s v="Stefan Zaugg"/>
    <x v="0"/>
    <x v="349"/>
    <x v="349"/>
    <n v="5"/>
    <s v="ADET"/>
    <n v="5"/>
    <n v="19"/>
    <n v="19"/>
    <n v="14"/>
    <n v="0"/>
    <n v="44207.66"/>
    <n v="3157.69"/>
    <x v="84"/>
    <n v="15788.45"/>
    <x v="6"/>
  </r>
  <r>
    <x v="14"/>
    <s v="Stefan Zaugg"/>
    <x v="0"/>
    <x v="349"/>
    <x v="349"/>
    <n v="5"/>
    <s v="ADET"/>
    <n v="5"/>
    <n v="19"/>
    <n v="19"/>
    <n v="14"/>
    <n v="0"/>
    <n v="44207.66"/>
    <n v="3157.69"/>
    <x v="84"/>
    <n v="15788.45"/>
    <x v="6"/>
  </r>
  <r>
    <x v="19"/>
    <s v="Volkan Batkan"/>
    <x v="0"/>
    <x v="349"/>
    <x v="349"/>
    <n v="4"/>
    <s v="ADET"/>
    <n v="4"/>
    <n v="19"/>
    <n v="19"/>
    <n v="14"/>
    <n v="0"/>
    <n v="44207.66"/>
    <n v="3157.69"/>
    <x v="84"/>
    <n v="12630.76"/>
    <x v="6"/>
  </r>
  <r>
    <x v="2"/>
    <s v="Laurent MONTAGNER"/>
    <x v="0"/>
    <x v="351"/>
    <x v="351"/>
    <n v="1"/>
    <s v="ADET"/>
    <n v="1"/>
    <n v="17"/>
    <n v="17"/>
    <n v="-6"/>
    <n v="0"/>
    <n v="0"/>
    <n v="41.67"/>
    <x v="85"/>
    <n v="41.67"/>
    <x v="6"/>
  </r>
  <r>
    <x v="9"/>
    <s v="Jan Urbanek"/>
    <x v="0"/>
    <x v="336"/>
    <x v="336"/>
    <n v="2"/>
    <s v="ADET"/>
    <n v="0"/>
    <n v="6"/>
    <n v="24"/>
    <n v="10"/>
    <n v="0"/>
    <n v="149462.5"/>
    <n v="14946.25"/>
    <x v="68"/>
    <n v="29892.5"/>
    <x v="4"/>
  </r>
  <r>
    <x v="17"/>
    <s v="Murat Taşdemir"/>
    <x v="0"/>
    <x v="187"/>
    <x v="187"/>
    <n v="2"/>
    <s v="ADET"/>
    <n v="2"/>
    <n v="304"/>
    <n v="13"/>
    <n v="-281"/>
    <n v="0"/>
    <n v="0"/>
    <n v="210"/>
    <x v="20"/>
    <n v="420"/>
    <x v="7"/>
  </r>
  <r>
    <x v="4"/>
    <s v="Stefan Zaugg"/>
    <x v="0"/>
    <x v="273"/>
    <x v="273"/>
    <n v="1"/>
    <s v="ADET"/>
    <n v="1"/>
    <n v="2"/>
    <n v="2"/>
    <n v="-2"/>
    <n v="0"/>
    <n v="0"/>
    <n v="1802.17"/>
    <x v="24"/>
    <n v="1802.17"/>
    <x v="4"/>
  </r>
  <r>
    <x v="17"/>
    <s v="Murat Taşdemir"/>
    <x v="0"/>
    <x v="351"/>
    <x v="351"/>
    <n v="1"/>
    <s v="ADET"/>
    <n v="1"/>
    <n v="17"/>
    <n v="17"/>
    <n v="-6"/>
    <n v="0"/>
    <n v="0"/>
    <n v="41.67"/>
    <x v="85"/>
    <n v="41.67"/>
    <x v="6"/>
  </r>
  <r>
    <x v="14"/>
    <s v="Stefan Zaugg"/>
    <x v="0"/>
    <x v="188"/>
    <x v="188"/>
    <n v="1"/>
    <s v="ADET"/>
    <n v="1"/>
    <n v="12"/>
    <n v="9"/>
    <n v="0"/>
    <n v="0"/>
    <n v="0"/>
    <n v="266.72000000000003"/>
    <x v="13"/>
    <n v="266.72000000000003"/>
    <x v="7"/>
  </r>
  <r>
    <x v="16"/>
    <s v="Stefan Zaugg"/>
    <x v="0"/>
    <x v="190"/>
    <x v="190"/>
    <n v="23"/>
    <s v="ADET"/>
    <n v="23"/>
    <n v="800"/>
    <n v="0"/>
    <n v="-414"/>
    <n v="0"/>
    <n v="0"/>
    <n v="13.75"/>
    <x v="21"/>
    <n v="316.25"/>
    <x v="2"/>
  </r>
  <r>
    <x v="19"/>
    <s v="Volkan Batkan"/>
    <x v="0"/>
    <x v="212"/>
    <x v="212"/>
    <n v="2.7"/>
    <s v="ADET"/>
    <n v="2.7"/>
    <n v="272"/>
    <n v="4.2999999999999652"/>
    <n v="-233.2"/>
    <n v="0"/>
    <n v="0"/>
    <n v="30"/>
    <x v="14"/>
    <n v="81"/>
    <x v="2"/>
  </r>
  <r>
    <x v="15"/>
    <s v="Jan Urbanek"/>
    <x v="0"/>
    <x v="431"/>
    <x v="431"/>
    <n v="8"/>
    <s v="ADET"/>
    <n v="0"/>
    <n v="524"/>
    <n v="352"/>
    <n v="-374"/>
    <n v="0"/>
    <n v="0"/>
    <n v="8.1"/>
    <x v="57"/>
    <n v="64.8"/>
    <x v="7"/>
  </r>
  <r>
    <x v="14"/>
    <s v="Stefan Zaugg"/>
    <x v="0"/>
    <x v="65"/>
    <x v="65"/>
    <n v="1"/>
    <s v="ADET"/>
    <n v="1"/>
    <n v="14"/>
    <n v="1"/>
    <n v="-7"/>
    <n v="0"/>
    <n v="0"/>
    <n v="458.33"/>
    <x v="21"/>
    <n v="458.33"/>
    <x v="6"/>
  </r>
  <r>
    <x v="0"/>
    <s v="Soner Kayıkçı"/>
    <x v="0"/>
    <x v="480"/>
    <x v="480"/>
    <n v="1"/>
    <s v="ADET"/>
    <n v="0"/>
    <n v="0"/>
    <n v="0"/>
    <n v="2"/>
    <n v="0"/>
    <n v="0"/>
    <n v="0"/>
    <x v="5"/>
    <n v="0"/>
    <x v="6"/>
  </r>
  <r>
    <x v="14"/>
    <s v="Stefan Zaugg"/>
    <x v="0"/>
    <x v="66"/>
    <x v="66"/>
    <n v="1"/>
    <s v="ADET"/>
    <n v="1"/>
    <n v="13"/>
    <n v="6"/>
    <n v="-10"/>
    <n v="0"/>
    <n v="0"/>
    <n v="344.14"/>
    <x v="32"/>
    <n v="344.14"/>
    <x v="2"/>
  </r>
  <r>
    <x v="4"/>
    <s v="Stefan Zaugg"/>
    <x v="0"/>
    <x v="161"/>
    <x v="161"/>
    <n v="12"/>
    <s v="ADET"/>
    <n v="12"/>
    <n v="125"/>
    <n v="54"/>
    <n v="-49"/>
    <n v="0"/>
    <n v="0"/>
    <n v="3.75"/>
    <x v="21"/>
    <n v="45"/>
    <x v="2"/>
  </r>
  <r>
    <x v="19"/>
    <s v="Volkan Batkan"/>
    <x v="0"/>
    <x v="426"/>
    <x v="426"/>
    <n v="26"/>
    <s v="ADET"/>
    <n v="26"/>
    <n v="180"/>
    <n v="80"/>
    <n v="32"/>
    <n v="0"/>
    <n v="7680"/>
    <n v="240"/>
    <x v="14"/>
    <n v="6240"/>
    <x v="2"/>
  </r>
  <r>
    <x v="16"/>
    <s v="Stefan Zaugg"/>
    <x v="0"/>
    <x v="427"/>
    <x v="427"/>
    <n v="2.4700000000000002"/>
    <s v="KG"/>
    <n v="2.4700000000000002"/>
    <n v="0"/>
    <n v="154.94999999999996"/>
    <n v="21.899999999999991"/>
    <n v="60"/>
    <n v="4265.0249999999987"/>
    <n v="194.75"/>
    <x v="3"/>
    <n v="481.03250000000003"/>
    <x v="3"/>
  </r>
  <r>
    <x v="4"/>
    <s v="Stefan Zaugg"/>
    <x v="0"/>
    <x v="427"/>
    <x v="427"/>
    <n v="2.4700000000000002"/>
    <s v="KG"/>
    <n v="2.4700000000000002"/>
    <n v="0"/>
    <n v="154.94999999999996"/>
    <n v="21.899999999999991"/>
    <n v="60"/>
    <n v="4265.0249999999987"/>
    <n v="194.75"/>
    <x v="3"/>
    <n v="481.03250000000003"/>
    <x v="3"/>
  </r>
  <r>
    <x v="7"/>
    <s v="Laurent MONTAGNER"/>
    <x v="0"/>
    <x v="68"/>
    <x v="68"/>
    <n v="124.53999999999999"/>
    <s v="KG"/>
    <n v="124.53999999999999"/>
    <n v="-690"/>
    <n v="2123.619999999999"/>
    <n v="1819.8699999999994"/>
    <n v="0"/>
    <n v="172651.06689999995"/>
    <n v="94.87"/>
    <x v="3"/>
    <n v="11815.1098"/>
    <x v="3"/>
  </r>
  <r>
    <x v="3"/>
    <s v="Stina Alm"/>
    <x v="0"/>
    <x v="64"/>
    <x v="64"/>
    <n v="0.1"/>
    <s v="ADET"/>
    <n v="0"/>
    <n v="0"/>
    <n v="1.929999999999999"/>
    <n v="1.2600000000000005"/>
    <n v="0"/>
    <n v="1921.5000000000007"/>
    <n v="1525"/>
    <x v="14"/>
    <n v="152.5"/>
    <x v="2"/>
  </r>
  <r>
    <x v="7"/>
    <s v="Laurent MONTAGNER"/>
    <x v="0"/>
    <x v="161"/>
    <x v="161"/>
    <n v="4"/>
    <s v="ADET"/>
    <n v="4"/>
    <n v="125"/>
    <n v="54"/>
    <n v="-49"/>
    <n v="0"/>
    <n v="0"/>
    <n v="3.75"/>
    <x v="21"/>
    <n v="15"/>
    <x v="2"/>
  </r>
  <r>
    <x v="6"/>
    <s v="Laurent MONTAGNER"/>
    <x v="0"/>
    <x v="427"/>
    <x v="427"/>
    <n v="8.4700000000000006"/>
    <s v="KG"/>
    <n v="8.4700000000000006"/>
    <n v="0"/>
    <n v="154.94999999999996"/>
    <n v="21.899999999999991"/>
    <n v="60"/>
    <n v="4265.0249999999987"/>
    <n v="194.75"/>
    <x v="3"/>
    <n v="1649.5325"/>
    <x v="3"/>
  </r>
  <r>
    <x v="2"/>
    <s v="Laurent MONTAGNER"/>
    <x v="0"/>
    <x v="68"/>
    <x v="68"/>
    <n v="114.32999999999998"/>
    <s v="KG"/>
    <n v="114.32999999999998"/>
    <n v="-690"/>
    <n v="2123.619999999999"/>
    <n v="1819.8699999999994"/>
    <n v="0"/>
    <n v="172651.06689999995"/>
    <n v="94.87"/>
    <x v="3"/>
    <n v="10846.487099999998"/>
    <x v="3"/>
  </r>
  <r>
    <x v="19"/>
    <s v="Volkan Batkan"/>
    <x v="0"/>
    <x v="68"/>
    <x v="68"/>
    <n v="91.87"/>
    <s v="KG"/>
    <n v="91.87"/>
    <n v="-690"/>
    <n v="2123.619999999999"/>
    <n v="1819.8699999999994"/>
    <n v="0"/>
    <n v="172651.06689999995"/>
    <n v="94.87"/>
    <x v="3"/>
    <n v="8715.706900000001"/>
    <x v="3"/>
  </r>
  <r>
    <x v="14"/>
    <s v="Stefan Zaugg"/>
    <x v="0"/>
    <x v="429"/>
    <x v="429"/>
    <n v="1"/>
    <s v="ADET"/>
    <n v="1"/>
    <n v="4"/>
    <n v="10"/>
    <n v="1"/>
    <n v="7"/>
    <n v="1535.25"/>
    <n v="1535.25"/>
    <x v="47"/>
    <n v="1535.25"/>
    <x v="7"/>
  </r>
  <r>
    <x v="14"/>
    <s v="Stefan Zaugg"/>
    <x v="0"/>
    <x v="428"/>
    <x v="428"/>
    <n v="5.5"/>
    <s v="ADET"/>
    <n v="5.5"/>
    <n v="0"/>
    <n v="58.050000000000026"/>
    <n v="144.72000000000003"/>
    <n v="37"/>
    <n v="261099.48240000007"/>
    <n v="1804.17"/>
    <x v="63"/>
    <n v="9922.9350000000013"/>
    <x v="8"/>
  </r>
  <r>
    <x v="5"/>
    <s v="Matteo Giolo"/>
    <x v="0"/>
    <x v="69"/>
    <x v="69"/>
    <n v="0.01"/>
    <s v="ADET"/>
    <n v="0"/>
    <n v="6"/>
    <n v="22.530000000000012"/>
    <n v="-5.5"/>
    <n v="0"/>
    <n v="0"/>
    <n v="133"/>
    <x v="33"/>
    <n v="1.33"/>
    <x v="3"/>
  </r>
  <r>
    <x v="16"/>
    <s v="Stefan Zaugg"/>
    <x v="0"/>
    <x v="186"/>
    <x v="186"/>
    <n v="6"/>
    <s v="METRE"/>
    <n v="6"/>
    <n v="140"/>
    <n v="0"/>
    <n v="-122"/>
    <n v="0"/>
    <n v="0"/>
    <n v="25.42"/>
    <x v="15"/>
    <n v="152.52000000000001"/>
    <x v="7"/>
  </r>
  <r>
    <x v="16"/>
    <s v="Stefan Zaugg"/>
    <x v="0"/>
    <x v="145"/>
    <x v="145"/>
    <n v="1"/>
    <s v="ADET"/>
    <n v="1"/>
    <n v="5"/>
    <n v="10"/>
    <n v="7"/>
    <n v="0"/>
    <n v="85641.010000000009"/>
    <n v="12234.43"/>
    <x v="19"/>
    <n v="12234.43"/>
    <x v="7"/>
  </r>
  <r>
    <x v="4"/>
    <s v="Stefan Zaugg"/>
    <x v="0"/>
    <x v="145"/>
    <x v="145"/>
    <n v="1"/>
    <s v="ADET"/>
    <n v="1"/>
    <n v="5"/>
    <n v="10"/>
    <n v="7"/>
    <n v="0"/>
    <n v="85641.010000000009"/>
    <n v="12234.43"/>
    <x v="19"/>
    <n v="12234.43"/>
    <x v="7"/>
  </r>
  <r>
    <x v="19"/>
    <s v="Volkan Batkan"/>
    <x v="0"/>
    <x v="430"/>
    <x v="430"/>
    <n v="4"/>
    <s v="ADET"/>
    <n v="4"/>
    <n v="4"/>
    <n v="10"/>
    <n v="26"/>
    <n v="0"/>
    <n v="41686.58"/>
    <n v="1603.33"/>
    <x v="82"/>
    <n v="6413.32"/>
    <x v="7"/>
  </r>
  <r>
    <x v="1"/>
    <s v="Stina Alm"/>
    <x v="0"/>
    <x v="359"/>
    <x v="359"/>
    <n v="1"/>
    <s v="ADET"/>
    <n v="0"/>
    <n v="18"/>
    <n v="3"/>
    <n v="-1"/>
    <n v="0"/>
    <n v="0"/>
    <n v="4852.33"/>
    <x v="74"/>
    <n v="4852.33"/>
    <x v="6"/>
  </r>
  <r>
    <x v="0"/>
    <s v="Soner Kayıkçı"/>
    <x v="0"/>
    <x v="361"/>
    <x v="361"/>
    <n v="2"/>
    <s v="ADET"/>
    <n v="0"/>
    <n v="250"/>
    <n v="250"/>
    <n v="-236"/>
    <n v="0"/>
    <n v="0"/>
    <n v="1.07"/>
    <x v="15"/>
    <n v="2.14"/>
    <x v="7"/>
  </r>
  <r>
    <x v="4"/>
    <s v="Stefan Zaugg"/>
    <x v="0"/>
    <x v="499"/>
    <x v="499"/>
    <n v="2"/>
    <s v="ADET"/>
    <n v="2"/>
    <n v="6"/>
    <n v="8"/>
    <n v="-6"/>
    <n v="0"/>
    <n v="0"/>
    <n v="225"/>
    <x v="2"/>
    <n v="450"/>
    <x v="2"/>
  </r>
  <r>
    <x v="16"/>
    <s v="Stefan Zaugg"/>
    <x v="0"/>
    <x v="475"/>
    <x v="475"/>
    <n v="1"/>
    <s v="ADET"/>
    <n v="1"/>
    <n v="0"/>
    <n v="7"/>
    <n v="2"/>
    <n v="0"/>
    <n v="8001.48"/>
    <n v="4000.74"/>
    <x v="13"/>
    <n v="4000.74"/>
    <x v="7"/>
  </r>
  <r>
    <x v="4"/>
    <s v="Stefan Zaugg"/>
    <x v="0"/>
    <x v="475"/>
    <x v="475"/>
    <n v="1"/>
    <s v="ADET"/>
    <n v="1"/>
    <n v="0"/>
    <n v="7"/>
    <n v="2"/>
    <n v="0"/>
    <n v="8001.48"/>
    <n v="4000.74"/>
    <x v="13"/>
    <n v="4000.74"/>
    <x v="7"/>
  </r>
  <r>
    <x v="19"/>
    <s v="Volkan Batkan"/>
    <x v="0"/>
    <x v="360"/>
    <x v="360"/>
    <n v="50"/>
    <s v="METRE"/>
    <n v="50"/>
    <n v="0"/>
    <n v="57"/>
    <n v="350"/>
    <n v="0"/>
    <n v="3132.4999999999995"/>
    <n v="8.9499999999999993"/>
    <x v="63"/>
    <n v="447.49999999999994"/>
    <x v="8"/>
  </r>
  <r>
    <x v="2"/>
    <s v="Laurent MONTAGNER"/>
    <x v="0"/>
    <x v="405"/>
    <x v="405"/>
    <n v="23.71"/>
    <s v="KG"/>
    <n v="23.71"/>
    <n v="60"/>
    <n v="219.95999999999984"/>
    <n v="143.41000000000003"/>
    <n v="0"/>
    <n v="23533.581000000002"/>
    <n v="164.1"/>
    <x v="3"/>
    <n v="3890.8110000000001"/>
    <x v="3"/>
  </r>
  <r>
    <x v="16"/>
    <s v="Stefan Zaugg"/>
    <x v="0"/>
    <x v="210"/>
    <x v="210"/>
    <n v="3"/>
    <s v="ADET"/>
    <n v="3"/>
    <n v="16"/>
    <n v="9"/>
    <n v="-16"/>
    <n v="0"/>
    <n v="0"/>
    <n v="110"/>
    <x v="65"/>
    <n v="330"/>
    <x v="6"/>
  </r>
  <r>
    <x v="14"/>
    <s v="Stefan Zaugg"/>
    <x v="0"/>
    <x v="500"/>
    <x v="500"/>
    <n v="1"/>
    <s v="ADET"/>
    <n v="1"/>
    <n v="2"/>
    <n v="2"/>
    <n v="-2"/>
    <n v="0"/>
    <n v="0"/>
    <n v="400"/>
    <x v="91"/>
    <n v="400"/>
    <x v="4"/>
  </r>
  <r>
    <x v="14"/>
    <s v="Stefan Zaugg"/>
    <x v="0"/>
    <x v="157"/>
    <x v="157"/>
    <n v="106"/>
    <s v="ADET"/>
    <n v="0"/>
    <n v="2750"/>
    <n v="0"/>
    <n v="-747"/>
    <n v="0"/>
    <n v="0"/>
    <n v="0.7"/>
    <x v="14"/>
    <n v="74.199999999999989"/>
    <x v="2"/>
  </r>
  <r>
    <x v="2"/>
    <s v="Laurent MONTAGNER"/>
    <x v="0"/>
    <x v="404"/>
    <x v="404"/>
    <n v="1"/>
    <s v="ADET"/>
    <n v="1"/>
    <n v="23"/>
    <n v="5"/>
    <n v="-12"/>
    <n v="0"/>
    <n v="0"/>
    <n v="871.93"/>
    <x v="93"/>
    <n v="871.93"/>
    <x v="6"/>
  </r>
  <r>
    <x v="19"/>
    <s v="Volkan Batkan"/>
    <x v="0"/>
    <x v="403"/>
    <x v="403"/>
    <n v="1"/>
    <s v="ADET"/>
    <n v="1"/>
    <n v="28"/>
    <n v="4"/>
    <n v="-21"/>
    <n v="0"/>
    <n v="0"/>
    <n v="290.73"/>
    <x v="74"/>
    <n v="290.73"/>
    <x v="4"/>
  </r>
  <r>
    <x v="11"/>
    <s v="Jan Urbanek"/>
    <x v="0"/>
    <x v="403"/>
    <x v="403"/>
    <n v="1"/>
    <s v="ADET"/>
    <n v="1"/>
    <n v="28"/>
    <n v="4"/>
    <n v="-21"/>
    <n v="0"/>
    <n v="0"/>
    <n v="290.73"/>
    <x v="74"/>
    <n v="290.73"/>
    <x v="4"/>
  </r>
  <r>
    <x v="19"/>
    <s v="Volkan Batkan"/>
    <x v="0"/>
    <x v="406"/>
    <x v="406"/>
    <n v="2"/>
    <s v="ADET"/>
    <n v="2"/>
    <n v="12"/>
    <n v="18"/>
    <n v="-14"/>
    <n v="20"/>
    <n v="0"/>
    <n v="194"/>
    <x v="35"/>
    <n v="388"/>
    <x v="6"/>
  </r>
  <r>
    <x v="2"/>
    <s v="Laurent MONTAGNER"/>
    <x v="0"/>
    <x v="401"/>
    <x v="401"/>
    <n v="1"/>
    <s v="ADET"/>
    <n v="1"/>
    <n v="8"/>
    <n v="5"/>
    <n v="-4"/>
    <n v="0"/>
    <n v="0"/>
    <n v="1723.79"/>
    <x v="74"/>
    <n v="1723.79"/>
    <x v="4"/>
  </r>
  <r>
    <x v="19"/>
    <s v="Volkan Batkan"/>
    <x v="0"/>
    <x v="413"/>
    <x v="413"/>
    <n v="1"/>
    <s v="ADET"/>
    <n v="1"/>
    <n v="3"/>
    <n v="8"/>
    <n v="-2"/>
    <n v="10"/>
    <n v="0"/>
    <n v="3097.63"/>
    <x v="92"/>
    <n v="3097.63"/>
    <x v="4"/>
  </r>
  <r>
    <x v="19"/>
    <s v="Volkan Batkan"/>
    <x v="0"/>
    <x v="405"/>
    <x v="405"/>
    <n v="18.8"/>
    <s v="KG"/>
    <n v="18.8"/>
    <n v="60"/>
    <n v="219.95999999999984"/>
    <n v="143.41000000000003"/>
    <n v="0"/>
    <n v="23533.581000000002"/>
    <n v="164.1"/>
    <x v="3"/>
    <n v="3085.08"/>
    <x v="3"/>
  </r>
  <r>
    <x v="19"/>
    <s v="Volkan Batkan"/>
    <x v="0"/>
    <x v="155"/>
    <x v="155"/>
    <n v="1"/>
    <s v="ADET"/>
    <n v="1"/>
    <n v="4"/>
    <n v="10"/>
    <n v="8"/>
    <n v="0"/>
    <n v="41649.120000000003"/>
    <n v="5206.1400000000003"/>
    <x v="19"/>
    <n v="5206.1400000000003"/>
    <x v="7"/>
  </r>
  <r>
    <x v="12"/>
    <s v="Matteo Giolo"/>
    <x v="0"/>
    <x v="80"/>
    <x v="80"/>
    <n v="10"/>
    <s v="ADET"/>
    <n v="0"/>
    <n v="1800"/>
    <n v="773"/>
    <n v="-1570"/>
    <n v="0"/>
    <n v="0"/>
    <n v="0.8"/>
    <x v="14"/>
    <n v="8"/>
    <x v="2"/>
  </r>
  <r>
    <x v="17"/>
    <s v="Murat Taşdemir"/>
    <x v="0"/>
    <x v="405"/>
    <x v="405"/>
    <n v="23.71"/>
    <s v="KG"/>
    <n v="23.71"/>
    <n v="60"/>
    <n v="219.95999999999984"/>
    <n v="143.41000000000003"/>
    <n v="0"/>
    <n v="23533.581000000002"/>
    <n v="164.1"/>
    <x v="3"/>
    <n v="3890.8110000000001"/>
    <x v="3"/>
  </r>
  <r>
    <x v="4"/>
    <s v="Stefan Zaugg"/>
    <x v="0"/>
    <x v="189"/>
    <x v="189"/>
    <n v="3"/>
    <s v="METRE"/>
    <n v="3"/>
    <n v="400"/>
    <n v="32"/>
    <n v="-397"/>
    <n v="0"/>
    <n v="0"/>
    <n v="11.5"/>
    <x v="49"/>
    <n v="34.5"/>
    <x v="7"/>
  </r>
  <r>
    <x v="7"/>
    <s v="Laurent MONTAGNER"/>
    <x v="0"/>
    <x v="159"/>
    <x v="159"/>
    <n v="1"/>
    <s v="ADET"/>
    <n v="1"/>
    <n v="0"/>
    <n v="8"/>
    <n v="12"/>
    <n v="0"/>
    <n v="55600.08"/>
    <n v="4633.34"/>
    <x v="11"/>
    <n v="4633.34"/>
    <x v="6"/>
  </r>
  <r>
    <x v="17"/>
    <s v="Murat Taşdemir"/>
    <x v="0"/>
    <x v="404"/>
    <x v="404"/>
    <n v="1"/>
    <s v="ADET"/>
    <n v="1"/>
    <n v="23"/>
    <n v="5"/>
    <n v="-12"/>
    <n v="0"/>
    <n v="0"/>
    <n v="871.93"/>
    <x v="93"/>
    <n v="871.93"/>
    <x v="6"/>
  </r>
  <r>
    <x v="14"/>
    <s v="Stefan Zaugg"/>
    <x v="0"/>
    <x v="406"/>
    <x v="406"/>
    <n v="2"/>
    <s v="ADET"/>
    <n v="2"/>
    <n v="12"/>
    <n v="18"/>
    <n v="-14"/>
    <n v="20"/>
    <n v="0"/>
    <n v="194"/>
    <x v="35"/>
    <n v="388"/>
    <x v="6"/>
  </r>
  <r>
    <x v="4"/>
    <s v="Stefan Zaugg"/>
    <x v="0"/>
    <x v="500"/>
    <x v="500"/>
    <n v="1"/>
    <s v="ADET"/>
    <n v="1"/>
    <n v="2"/>
    <n v="2"/>
    <n v="-2"/>
    <n v="0"/>
    <n v="0"/>
    <n v="400"/>
    <x v="91"/>
    <n v="400"/>
    <x v="4"/>
  </r>
  <r>
    <x v="16"/>
    <s v="Stefan Zaugg"/>
    <x v="0"/>
    <x v="413"/>
    <x v="413"/>
    <n v="1"/>
    <s v="ADET"/>
    <n v="1"/>
    <n v="3"/>
    <n v="8"/>
    <n v="-2"/>
    <n v="10"/>
    <n v="0"/>
    <n v="3097.63"/>
    <x v="92"/>
    <n v="3097.63"/>
    <x v="4"/>
  </r>
  <r>
    <x v="14"/>
    <s v="Stefan Zaugg"/>
    <x v="0"/>
    <x v="369"/>
    <x v="369"/>
    <n v="2"/>
    <s v="ADET"/>
    <n v="2"/>
    <n v="27"/>
    <n v="14"/>
    <n v="-18"/>
    <n v="0"/>
    <n v="0"/>
    <n v="15"/>
    <x v="20"/>
    <n v="30"/>
    <x v="7"/>
  </r>
  <r>
    <x v="16"/>
    <s v="Stefan Zaugg"/>
    <x v="0"/>
    <x v="155"/>
    <x v="155"/>
    <n v="1"/>
    <s v="ADET"/>
    <n v="1"/>
    <n v="4"/>
    <n v="10"/>
    <n v="8"/>
    <n v="0"/>
    <n v="41649.120000000003"/>
    <n v="5206.1400000000003"/>
    <x v="19"/>
    <n v="5206.1400000000003"/>
    <x v="7"/>
  </r>
  <r>
    <x v="14"/>
    <s v="Stefan Zaugg"/>
    <x v="0"/>
    <x v="155"/>
    <x v="155"/>
    <n v="1"/>
    <s v="ADET"/>
    <n v="1"/>
    <n v="4"/>
    <n v="10"/>
    <n v="8"/>
    <n v="0"/>
    <n v="41649.120000000003"/>
    <n v="5206.1400000000003"/>
    <x v="19"/>
    <n v="5206.1400000000003"/>
    <x v="7"/>
  </r>
  <r>
    <x v="2"/>
    <s v="Laurent MONTAGNER"/>
    <x v="0"/>
    <x v="81"/>
    <x v="81"/>
    <n v="2"/>
    <s v="ADET"/>
    <n v="2"/>
    <n v="36"/>
    <n v="12"/>
    <n v="-22"/>
    <n v="0"/>
    <n v="0"/>
    <n v="95"/>
    <x v="35"/>
    <n v="190"/>
    <x v="2"/>
  </r>
  <r>
    <x v="12"/>
    <s v="Matteo Giolo"/>
    <x v="0"/>
    <x v="193"/>
    <x v="193"/>
    <n v="1"/>
    <s v="ADET"/>
    <n v="0"/>
    <n v="0"/>
    <n v="4"/>
    <n v="0"/>
    <n v="20"/>
    <n v="0"/>
    <n v="28000"/>
    <x v="44"/>
    <n v="28000"/>
    <x v="7"/>
  </r>
  <r>
    <x v="2"/>
    <s v="Laurent MONTAGNER"/>
    <x v="0"/>
    <x v="410"/>
    <x v="410"/>
    <n v="4"/>
    <s v="ADET"/>
    <n v="4"/>
    <n v="25"/>
    <n v="14"/>
    <n v="7"/>
    <n v="0"/>
    <n v="1206.6599999999999"/>
    <n v="172.38"/>
    <x v="74"/>
    <n v="689.52"/>
    <x v="6"/>
  </r>
  <r>
    <x v="17"/>
    <s v="Murat Taşdemir"/>
    <x v="0"/>
    <x v="359"/>
    <x v="359"/>
    <n v="1"/>
    <s v="ADET"/>
    <n v="1"/>
    <n v="18"/>
    <n v="3"/>
    <n v="-1"/>
    <n v="0"/>
    <n v="0"/>
    <n v="4852.33"/>
    <x v="74"/>
    <n v="4852.33"/>
    <x v="6"/>
  </r>
  <r>
    <x v="6"/>
    <s v="Laurent MONTAGNER"/>
    <x v="0"/>
    <x v="162"/>
    <x v="162"/>
    <n v="1"/>
    <s v="ADET"/>
    <n v="1"/>
    <n v="54"/>
    <n v="6"/>
    <n v="-53"/>
    <n v="0"/>
    <n v="0"/>
    <n v="16.5"/>
    <x v="14"/>
    <n v="16.5"/>
    <x v="4"/>
  </r>
  <r>
    <x v="17"/>
    <s v="Murat Taşdemir"/>
    <x v="0"/>
    <x v="475"/>
    <x v="475"/>
    <n v="1"/>
    <s v="ADET"/>
    <n v="1"/>
    <n v="0"/>
    <n v="7"/>
    <n v="2"/>
    <n v="0"/>
    <n v="8001.48"/>
    <n v="4000.74"/>
    <x v="13"/>
    <n v="4000.74"/>
    <x v="7"/>
  </r>
  <r>
    <x v="16"/>
    <s v="Stefan Zaugg"/>
    <x v="0"/>
    <x v="167"/>
    <x v="167"/>
    <n v="1"/>
    <s v="ADET"/>
    <n v="1"/>
    <n v="13"/>
    <n v="9"/>
    <n v="-1"/>
    <n v="0"/>
    <n v="0"/>
    <n v="270"/>
    <x v="20"/>
    <n v="270"/>
    <x v="7"/>
  </r>
  <r>
    <x v="3"/>
    <s v="Stina Alm"/>
    <x v="0"/>
    <x v="359"/>
    <x v="359"/>
    <n v="1"/>
    <s v="ADET"/>
    <n v="0"/>
    <n v="18"/>
    <n v="3"/>
    <n v="-1"/>
    <n v="0"/>
    <n v="0"/>
    <n v="4852.33"/>
    <x v="74"/>
    <n v="4852.33"/>
    <x v="6"/>
  </r>
  <r>
    <x v="0"/>
    <s v="Soner Kayıkçı"/>
    <x v="0"/>
    <x v="163"/>
    <x v="163"/>
    <n v="6"/>
    <s v="METRE"/>
    <n v="0"/>
    <n v="100"/>
    <n v="50"/>
    <n v="-16"/>
    <n v="0"/>
    <n v="0"/>
    <n v="46"/>
    <x v="55"/>
    <n v="276"/>
    <x v="7"/>
  </r>
  <r>
    <x v="19"/>
    <s v="Volkan Batkan"/>
    <x v="0"/>
    <x v="167"/>
    <x v="167"/>
    <n v="1"/>
    <s v="ADET"/>
    <n v="1"/>
    <n v="13"/>
    <n v="9"/>
    <n v="-1"/>
    <n v="0"/>
    <n v="0"/>
    <n v="270"/>
    <x v="20"/>
    <n v="270"/>
    <x v="7"/>
  </r>
  <r>
    <x v="6"/>
    <s v="Laurent MONTAGNER"/>
    <x v="0"/>
    <x v="359"/>
    <x v="359"/>
    <n v="1"/>
    <s v="ADET"/>
    <n v="0"/>
    <n v="18"/>
    <n v="3"/>
    <n v="-1"/>
    <n v="0"/>
    <n v="0"/>
    <n v="4852.33"/>
    <x v="74"/>
    <n v="4852.33"/>
    <x v="6"/>
  </r>
  <r>
    <x v="0"/>
    <s v="Soner Kayıkçı"/>
    <x v="0"/>
    <x v="359"/>
    <x v="359"/>
    <n v="1"/>
    <s v="ADET"/>
    <n v="0"/>
    <n v="18"/>
    <n v="3"/>
    <n v="-1"/>
    <n v="0"/>
    <n v="0"/>
    <n v="4852.33"/>
    <x v="74"/>
    <n v="4852.33"/>
    <x v="6"/>
  </r>
  <r>
    <x v="0"/>
    <s v="Soner Kayıkçı"/>
    <x v="0"/>
    <x v="364"/>
    <x v="364"/>
    <n v="3"/>
    <s v="M2"/>
    <n v="0"/>
    <n v="0"/>
    <n v="0"/>
    <n v="24"/>
    <n v="0"/>
    <n v="14751.119999999999"/>
    <n v="614.63"/>
    <x v="56"/>
    <n v="1843.8899999999999"/>
    <x v="10"/>
  </r>
  <r>
    <x v="6"/>
    <s v="Laurent MONTAGNER"/>
    <x v="0"/>
    <x v="202"/>
    <x v="202"/>
    <n v="9"/>
    <s v="METRE"/>
    <n v="9"/>
    <n v="0"/>
    <n v="344"/>
    <n v="54"/>
    <n v="0"/>
    <n v="1102.68"/>
    <n v="20.420000000000002"/>
    <x v="63"/>
    <n v="183.78000000000003"/>
    <x v="8"/>
  </r>
  <r>
    <x v="7"/>
    <s v="Laurent MONTAGNER"/>
    <x v="0"/>
    <x v="162"/>
    <x v="162"/>
    <n v="1"/>
    <s v="ADET"/>
    <n v="1"/>
    <n v="54"/>
    <n v="6"/>
    <n v="-53"/>
    <n v="0"/>
    <n v="0"/>
    <n v="16.5"/>
    <x v="14"/>
    <n v="16.5"/>
    <x v="4"/>
  </r>
  <r>
    <x v="6"/>
    <s v="Laurent MONTAGNER"/>
    <x v="0"/>
    <x v="167"/>
    <x v="167"/>
    <n v="1"/>
    <s v="ADET"/>
    <n v="1"/>
    <n v="13"/>
    <n v="9"/>
    <n v="-1"/>
    <n v="0"/>
    <n v="0"/>
    <n v="270"/>
    <x v="20"/>
    <n v="270"/>
    <x v="7"/>
  </r>
  <r>
    <x v="17"/>
    <s v="Murat Taşdemir"/>
    <x v="0"/>
    <x v="358"/>
    <x v="358"/>
    <n v="1"/>
    <s v="ADET"/>
    <n v="1"/>
    <n v="0"/>
    <n v="1"/>
    <n v="1"/>
    <n v="0"/>
    <n v="65075.75"/>
    <n v="65075.75"/>
    <x v="19"/>
    <n v="65075.75"/>
    <x v="6"/>
  </r>
  <r>
    <x v="4"/>
    <s v="Stefan Zaugg"/>
    <x v="0"/>
    <x v="167"/>
    <x v="167"/>
    <n v="1"/>
    <s v="ADET"/>
    <n v="1"/>
    <n v="13"/>
    <n v="9"/>
    <n v="-1"/>
    <n v="0"/>
    <n v="0"/>
    <n v="270"/>
    <x v="20"/>
    <n v="270"/>
    <x v="7"/>
  </r>
  <r>
    <x v="2"/>
    <s v="Laurent MONTAGNER"/>
    <x v="0"/>
    <x v="162"/>
    <x v="162"/>
    <n v="1"/>
    <s v="ADET"/>
    <n v="1"/>
    <n v="54"/>
    <n v="6"/>
    <n v="-53"/>
    <n v="0"/>
    <n v="0"/>
    <n v="16.5"/>
    <x v="14"/>
    <n v="16.5"/>
    <x v="4"/>
  </r>
  <r>
    <x v="19"/>
    <s v="Volkan Batkan"/>
    <x v="0"/>
    <x v="475"/>
    <x v="475"/>
    <n v="1"/>
    <s v="ADET"/>
    <n v="1"/>
    <n v="0"/>
    <n v="7"/>
    <n v="2"/>
    <n v="0"/>
    <n v="8001.48"/>
    <n v="4000.74"/>
    <x v="13"/>
    <n v="4000.74"/>
    <x v="7"/>
  </r>
  <r>
    <x v="16"/>
    <s v="Stefan Zaugg"/>
    <x v="0"/>
    <x v="499"/>
    <x v="499"/>
    <n v="2"/>
    <s v="ADET"/>
    <n v="2"/>
    <n v="6"/>
    <n v="8"/>
    <n v="-6"/>
    <n v="0"/>
    <n v="0"/>
    <n v="225"/>
    <x v="2"/>
    <n v="450"/>
    <x v="2"/>
  </r>
  <r>
    <x v="14"/>
    <s v="Stefan Zaugg"/>
    <x v="0"/>
    <x v="104"/>
    <x v="104"/>
    <n v="0.7"/>
    <s v="ADET"/>
    <n v="0.7"/>
    <n v="2"/>
    <n v="3.3000000000000052"/>
    <n v="12.649999999999999"/>
    <n v="0"/>
    <n v="20523.36"/>
    <n v="1622.4"/>
    <x v="38"/>
    <n v="1135.68"/>
    <x v="3"/>
  </r>
  <r>
    <x v="14"/>
    <s v="Stefan Zaugg"/>
    <x v="0"/>
    <x v="475"/>
    <x v="475"/>
    <n v="1"/>
    <s v="ADET"/>
    <n v="1"/>
    <n v="0"/>
    <n v="7"/>
    <n v="2"/>
    <n v="0"/>
    <n v="8001.48"/>
    <n v="4000.74"/>
    <x v="13"/>
    <n v="4000.74"/>
    <x v="7"/>
  </r>
  <r>
    <x v="17"/>
    <s v="Murat Taşdemir"/>
    <x v="0"/>
    <x v="235"/>
    <x v="235"/>
    <n v="5"/>
    <s v="ADET"/>
    <n v="5"/>
    <n v="23"/>
    <n v="22"/>
    <n v="1"/>
    <n v="0"/>
    <n v="73.349999999999994"/>
    <n v="73.349999999999994"/>
    <x v="13"/>
    <n v="366.75"/>
    <x v="7"/>
  </r>
  <r>
    <x v="7"/>
    <s v="Laurent MONTAGNER"/>
    <x v="0"/>
    <x v="120"/>
    <x v="120"/>
    <n v="10"/>
    <s v="METRE"/>
    <n v="0"/>
    <n v="0"/>
    <n v="0"/>
    <n v="-220"/>
    <n v="400"/>
    <n v="0"/>
    <n v="5"/>
    <x v="45"/>
    <n v="50"/>
    <x v="2"/>
  </r>
  <r>
    <x v="2"/>
    <s v="Laurent MONTAGNER"/>
    <x v="0"/>
    <x v="356"/>
    <x v="356"/>
    <n v="0.14400000000000002"/>
    <s v="M3"/>
    <n v="0.14400000000000002"/>
    <n v="0"/>
    <n v="4.5430000000000446"/>
    <n v="1.4260000000000002"/>
    <n v="0"/>
    <n v="27807.000000000004"/>
    <n v="19500"/>
    <x v="87"/>
    <n v="2808.0000000000005"/>
    <x v="8"/>
  </r>
  <r>
    <x v="14"/>
    <s v="Stefan Zaugg"/>
    <x v="0"/>
    <x v="355"/>
    <x v="355"/>
    <n v="2"/>
    <s v="ADET"/>
    <n v="2"/>
    <n v="48"/>
    <n v="2"/>
    <n v="-44"/>
    <n v="0"/>
    <n v="0"/>
    <n v="428.63"/>
    <x v="74"/>
    <n v="857.26"/>
    <x v="4"/>
  </r>
  <r>
    <x v="4"/>
    <s v="Stefan Zaugg"/>
    <x v="0"/>
    <x v="414"/>
    <x v="414"/>
    <n v="3"/>
    <s v="ADET"/>
    <n v="3"/>
    <n v="14"/>
    <n v="19"/>
    <n v="-23"/>
    <n v="30"/>
    <n v="0"/>
    <n v="67.22"/>
    <x v="92"/>
    <n v="201.66"/>
    <x v="4"/>
  </r>
  <r>
    <x v="4"/>
    <s v="Stefan Zaugg"/>
    <x v="0"/>
    <x v="495"/>
    <x v="495"/>
    <n v="1"/>
    <s v="ADET"/>
    <n v="1"/>
    <n v="17"/>
    <n v="4"/>
    <n v="-17"/>
    <n v="0"/>
    <n v="0"/>
    <n v="117.85"/>
    <x v="85"/>
    <n v="117.85"/>
    <x v="6"/>
  </r>
  <r>
    <x v="1"/>
    <s v="Stina Alm"/>
    <x v="0"/>
    <x v="477"/>
    <x v="477"/>
    <n v="10"/>
    <s v="ADET"/>
    <n v="0"/>
    <n v="564"/>
    <n v="98"/>
    <n v="-250"/>
    <n v="0"/>
    <n v="0"/>
    <n v="6.67"/>
    <x v="102"/>
    <n v="66.7"/>
    <x v="7"/>
  </r>
  <r>
    <x v="2"/>
    <s v="Laurent MONTAGNER"/>
    <x v="0"/>
    <x v="396"/>
    <x v="396"/>
    <n v="1"/>
    <s v="ADET"/>
    <n v="1"/>
    <n v="2"/>
    <n v="7"/>
    <n v="10"/>
    <n v="0"/>
    <n v="121389.3"/>
    <n v="12138.93"/>
    <x v="24"/>
    <n v="12138.93"/>
    <x v="6"/>
  </r>
  <r>
    <x v="7"/>
    <s v="Laurent MONTAGNER"/>
    <x v="0"/>
    <x v="396"/>
    <x v="396"/>
    <n v="1"/>
    <s v="ADET"/>
    <n v="1"/>
    <n v="2"/>
    <n v="7"/>
    <n v="10"/>
    <n v="0"/>
    <n v="121389.3"/>
    <n v="12138.93"/>
    <x v="24"/>
    <n v="12138.93"/>
    <x v="6"/>
  </r>
  <r>
    <x v="4"/>
    <s v="Stefan Zaugg"/>
    <x v="0"/>
    <x v="290"/>
    <x v="290"/>
    <n v="5"/>
    <s v="ADET"/>
    <n v="5"/>
    <n v="0"/>
    <n v="10.500000000000064"/>
    <n v="25"/>
    <n v="40"/>
    <n v="16666.75"/>
    <n v="666.67"/>
    <x v="63"/>
    <n v="3333.35"/>
    <x v="8"/>
  </r>
  <r>
    <x v="8"/>
    <s v="Jan Urbanek"/>
    <x v="0"/>
    <x v="463"/>
    <x v="463"/>
    <n v="1"/>
    <s v="ADET"/>
    <n v="0"/>
    <n v="14"/>
    <n v="9"/>
    <n v="-3"/>
    <n v="0"/>
    <n v="0"/>
    <n v="1020"/>
    <x v="53"/>
    <n v="1020"/>
    <x v="4"/>
  </r>
  <r>
    <x v="9"/>
    <s v="Jan Urbanek"/>
    <x v="0"/>
    <x v="463"/>
    <x v="463"/>
    <n v="1"/>
    <s v="ADET"/>
    <n v="0"/>
    <n v="14"/>
    <n v="9"/>
    <n v="-3"/>
    <n v="0"/>
    <n v="0"/>
    <n v="1020"/>
    <x v="53"/>
    <n v="1020"/>
    <x v="4"/>
  </r>
  <r>
    <x v="8"/>
    <s v="Jan Urbanek"/>
    <x v="0"/>
    <x v="477"/>
    <x v="477"/>
    <n v="14"/>
    <s v="ADET"/>
    <n v="0"/>
    <n v="564"/>
    <n v="98"/>
    <n v="-250"/>
    <n v="0"/>
    <n v="0"/>
    <n v="6.67"/>
    <x v="102"/>
    <n v="93.38"/>
    <x v="7"/>
  </r>
  <r>
    <x v="9"/>
    <s v="Jan Urbanek"/>
    <x v="0"/>
    <x v="477"/>
    <x v="477"/>
    <n v="14"/>
    <s v="ADET"/>
    <n v="0"/>
    <n v="564"/>
    <n v="98"/>
    <n v="-250"/>
    <n v="0"/>
    <n v="0"/>
    <n v="6.67"/>
    <x v="102"/>
    <n v="93.38"/>
    <x v="7"/>
  </r>
  <r>
    <x v="0"/>
    <s v="Soner Kayıkçı"/>
    <x v="0"/>
    <x v="464"/>
    <x v="464"/>
    <n v="0.2"/>
    <s v="METRE"/>
    <n v="0"/>
    <n v="200"/>
    <n v="85.649999999999977"/>
    <n v="-196.4"/>
    <n v="0"/>
    <n v="0"/>
    <n v="3.62"/>
    <x v="15"/>
    <n v="0.72400000000000009"/>
    <x v="7"/>
  </r>
  <r>
    <x v="0"/>
    <s v="Soner Kayıkçı"/>
    <x v="0"/>
    <x v="462"/>
    <x v="462"/>
    <n v="1"/>
    <s v="ADET"/>
    <n v="0"/>
    <n v="10"/>
    <n v="16"/>
    <n v="2"/>
    <n v="0"/>
    <n v="233.34"/>
    <n v="116.67"/>
    <x v="85"/>
    <n v="116.67"/>
    <x v="6"/>
  </r>
  <r>
    <x v="2"/>
    <s v="Laurent MONTAGNER"/>
    <x v="0"/>
    <x v="477"/>
    <x v="477"/>
    <n v="16"/>
    <s v="ADET"/>
    <n v="0"/>
    <n v="564"/>
    <n v="98"/>
    <n v="-250"/>
    <n v="0"/>
    <n v="0"/>
    <n v="6.67"/>
    <x v="102"/>
    <n v="106.72"/>
    <x v="7"/>
  </r>
  <r>
    <x v="6"/>
    <s v="Laurent MONTAGNER"/>
    <x v="0"/>
    <x v="42"/>
    <x v="42"/>
    <n v="0.4"/>
    <s v="KG"/>
    <n v="0.4"/>
    <n v="0"/>
    <n v="24.129999999999985"/>
    <n v="4.1899999999999995"/>
    <n v="0"/>
    <n v="1667.7456999999997"/>
    <n v="398.03"/>
    <x v="3"/>
    <n v="159.21199999999999"/>
    <x v="3"/>
  </r>
  <r>
    <x v="2"/>
    <s v="Laurent MONTAGNER"/>
    <x v="0"/>
    <x v="398"/>
    <x v="398"/>
    <n v="2"/>
    <s v="ADET"/>
    <n v="2"/>
    <n v="0"/>
    <n v="10"/>
    <n v="24"/>
    <n v="0"/>
    <n v="1358.4"/>
    <n v="56.6"/>
    <x v="74"/>
    <n v="113.2"/>
    <x v="6"/>
  </r>
  <r>
    <x v="9"/>
    <s v="Jan Urbanek"/>
    <x v="0"/>
    <x v="501"/>
    <x v="501"/>
    <n v="1"/>
    <s v="ADET"/>
    <n v="1"/>
    <n v="4"/>
    <n v="3"/>
    <n v="-4"/>
    <n v="0"/>
    <n v="0"/>
    <n v="12124.73"/>
    <x v="67"/>
    <n v="12124.73"/>
    <x v="6"/>
  </r>
  <r>
    <x v="2"/>
    <s v="Laurent MONTAGNER"/>
    <x v="0"/>
    <x v="462"/>
    <x v="462"/>
    <n v="1"/>
    <s v="ADET"/>
    <n v="1"/>
    <n v="10"/>
    <n v="16"/>
    <n v="2"/>
    <n v="0"/>
    <n v="233.34"/>
    <n v="116.67"/>
    <x v="85"/>
    <n v="116.67"/>
    <x v="6"/>
  </r>
  <r>
    <x v="11"/>
    <s v="Jan Urbanek"/>
    <x v="0"/>
    <x v="462"/>
    <x v="462"/>
    <n v="1"/>
    <s v="ADET"/>
    <n v="0"/>
    <n v="10"/>
    <n v="16"/>
    <n v="2"/>
    <n v="0"/>
    <n v="233.34"/>
    <n v="116.67"/>
    <x v="85"/>
    <n v="116.67"/>
    <x v="6"/>
  </r>
  <r>
    <x v="6"/>
    <s v="Laurent MONTAGNER"/>
    <x v="0"/>
    <x v="392"/>
    <x v="392"/>
    <n v="5.9"/>
    <s v="KG"/>
    <n v="0"/>
    <n v="0"/>
    <n v="297.39999999999998"/>
    <n v="94.40000000000002"/>
    <n v="0"/>
    <n v="21972.544000000005"/>
    <n v="232.76"/>
    <x v="3"/>
    <n v="1373.2840000000001"/>
    <x v="3"/>
  </r>
  <r>
    <x v="1"/>
    <s v="Stina Alm"/>
    <x v="0"/>
    <x v="392"/>
    <x v="392"/>
    <n v="5.9"/>
    <s v="KG"/>
    <n v="0"/>
    <n v="0"/>
    <n v="297.39999999999998"/>
    <n v="94.40000000000002"/>
    <n v="0"/>
    <n v="21972.544000000005"/>
    <n v="232.76"/>
    <x v="3"/>
    <n v="1373.2840000000001"/>
    <x v="3"/>
  </r>
  <r>
    <x v="6"/>
    <s v="Laurent MONTAGNER"/>
    <x v="0"/>
    <x v="387"/>
    <x v="387"/>
    <n v="3"/>
    <s v="ADET"/>
    <n v="3"/>
    <n v="3"/>
    <n v="13"/>
    <n v="12"/>
    <n v="0"/>
    <n v="43576.08"/>
    <n v="3631.34"/>
    <x v="84"/>
    <n v="10894.02"/>
    <x v="6"/>
  </r>
  <r>
    <x v="1"/>
    <s v="Stina Alm"/>
    <x v="0"/>
    <x v="387"/>
    <x v="387"/>
    <n v="2"/>
    <s v="ADET"/>
    <n v="0"/>
    <n v="3"/>
    <n v="13"/>
    <n v="12"/>
    <n v="0"/>
    <n v="43576.08"/>
    <n v="3631.34"/>
    <x v="84"/>
    <n v="7262.68"/>
    <x v="6"/>
  </r>
  <r>
    <x v="0"/>
    <s v="Soner Kayıkçı"/>
    <x v="0"/>
    <x v="474"/>
    <x v="474"/>
    <n v="1"/>
    <s v="ADET"/>
    <n v="0"/>
    <n v="7"/>
    <n v="2"/>
    <n v="0"/>
    <n v="0"/>
    <n v="0"/>
    <n v="337.5"/>
    <x v="75"/>
    <n v="337.5"/>
    <x v="6"/>
  </r>
  <r>
    <x v="8"/>
    <s v="Jan Urbanek"/>
    <x v="0"/>
    <x v="323"/>
    <x v="323"/>
    <n v="4.25"/>
    <s v="ADET"/>
    <n v="4.25"/>
    <n v="34"/>
    <n v="97.880000000000024"/>
    <n v="0.88000000000000256"/>
    <n v="0"/>
    <n v="48.400000000000141"/>
    <n v="55"/>
    <x v="14"/>
    <n v="233.75"/>
    <x v="2"/>
  </r>
  <r>
    <x v="15"/>
    <s v="Jan Urbanek"/>
    <x v="0"/>
    <x v="375"/>
    <x v="375"/>
    <n v="1.5"/>
    <s v="KG"/>
    <n v="0"/>
    <n v="39"/>
    <n v="40.000000000000014"/>
    <n v="-18.5"/>
    <n v="0"/>
    <n v="0"/>
    <n v="212.93"/>
    <x v="56"/>
    <n v="319.39499999999998"/>
    <x v="8"/>
  </r>
  <r>
    <x v="14"/>
    <s v="Stefan Zaugg"/>
    <x v="0"/>
    <x v="375"/>
    <x v="375"/>
    <n v="1.5"/>
    <s v="KG"/>
    <n v="0"/>
    <n v="39"/>
    <n v="40.000000000000014"/>
    <n v="-18.5"/>
    <n v="0"/>
    <n v="0"/>
    <n v="212.93"/>
    <x v="56"/>
    <n v="319.39499999999998"/>
    <x v="8"/>
  </r>
  <r>
    <x v="13"/>
    <s v="Matteo Giolo"/>
    <x v="0"/>
    <x v="375"/>
    <x v="375"/>
    <n v="0.5"/>
    <s v="KG"/>
    <n v="0"/>
    <n v="39"/>
    <n v="40.000000000000014"/>
    <n v="-18.5"/>
    <n v="0"/>
    <n v="0"/>
    <n v="212.93"/>
    <x v="56"/>
    <n v="106.465"/>
    <x v="8"/>
  </r>
  <r>
    <x v="19"/>
    <s v="Volkan Batkan"/>
    <x v="0"/>
    <x v="392"/>
    <x v="392"/>
    <n v="5.9"/>
    <s v="KG"/>
    <n v="0"/>
    <n v="0"/>
    <n v="297.39999999999998"/>
    <n v="94.40000000000002"/>
    <n v="0"/>
    <n v="21972.544000000005"/>
    <n v="232.76"/>
    <x v="3"/>
    <n v="1373.2840000000001"/>
    <x v="3"/>
  </r>
  <r>
    <x v="16"/>
    <s v="Stefan Zaugg"/>
    <x v="0"/>
    <x v="392"/>
    <x v="392"/>
    <n v="5.9"/>
    <s v="KG"/>
    <n v="0"/>
    <n v="0"/>
    <n v="297.39999999999998"/>
    <n v="94.40000000000002"/>
    <n v="0"/>
    <n v="21972.544000000005"/>
    <n v="232.76"/>
    <x v="3"/>
    <n v="1373.2840000000001"/>
    <x v="3"/>
  </r>
  <r>
    <x v="1"/>
    <s v="Stina Alm"/>
    <x v="0"/>
    <x v="455"/>
    <x v="455"/>
    <n v="1"/>
    <s v="ADET"/>
    <n v="0"/>
    <n v="19"/>
    <n v="17"/>
    <n v="0"/>
    <n v="0"/>
    <n v="0"/>
    <n v="113.64"/>
    <x v="100"/>
    <n v="113.64"/>
    <x v="13"/>
  </r>
  <r>
    <x v="1"/>
    <s v="Stina Alm"/>
    <x v="0"/>
    <x v="456"/>
    <x v="456"/>
    <n v="5"/>
    <s v="METRE"/>
    <n v="0"/>
    <n v="100"/>
    <n v="0"/>
    <n v="-227.63999999999987"/>
    <n v="214.64"/>
    <n v="0"/>
    <n v="50.81"/>
    <x v="101"/>
    <n v="254.05"/>
    <x v="5"/>
  </r>
  <r>
    <x v="1"/>
    <s v="Stina Alm"/>
    <x v="0"/>
    <x v="472"/>
    <x v="472"/>
    <n v="4"/>
    <s v="ADET"/>
    <n v="0"/>
    <n v="36"/>
    <n v="26"/>
    <n v="1"/>
    <n v="0"/>
    <n v="348.7"/>
    <n v="348.7"/>
    <x v="74"/>
    <n v="1394.8"/>
    <x v="6"/>
  </r>
  <r>
    <x v="11"/>
    <s v="Jan Urbanek"/>
    <x v="0"/>
    <x v="456"/>
    <x v="456"/>
    <n v="4"/>
    <s v="METRE"/>
    <n v="0"/>
    <n v="100"/>
    <n v="0"/>
    <n v="-227.63999999999987"/>
    <n v="214.64"/>
    <n v="0"/>
    <n v="50.81"/>
    <x v="101"/>
    <n v="203.24"/>
    <x v="5"/>
  </r>
  <r>
    <x v="10"/>
    <s v="Jan Urbanek"/>
    <x v="0"/>
    <x v="457"/>
    <x v="457"/>
    <n v="1"/>
    <s v="ADET"/>
    <n v="0"/>
    <n v="19"/>
    <n v="4"/>
    <n v="-12"/>
    <n v="0"/>
    <n v="0"/>
    <n v="85"/>
    <x v="10"/>
    <n v="85"/>
    <x v="4"/>
  </r>
  <r>
    <x v="8"/>
    <s v="Jan Urbanek"/>
    <x v="0"/>
    <x v="457"/>
    <x v="457"/>
    <n v="1"/>
    <s v="ADET"/>
    <n v="0"/>
    <n v="19"/>
    <n v="4"/>
    <n v="-12"/>
    <n v="0"/>
    <n v="0"/>
    <n v="85"/>
    <x v="10"/>
    <n v="85"/>
    <x v="4"/>
  </r>
  <r>
    <x v="9"/>
    <s v="Jan Urbanek"/>
    <x v="0"/>
    <x v="457"/>
    <x v="457"/>
    <n v="1"/>
    <s v="ADET"/>
    <n v="0"/>
    <n v="19"/>
    <n v="4"/>
    <n v="-12"/>
    <n v="0"/>
    <n v="0"/>
    <n v="85"/>
    <x v="10"/>
    <n v="85"/>
    <x v="4"/>
  </r>
  <r>
    <x v="10"/>
    <s v="Jan Urbanek"/>
    <x v="0"/>
    <x v="472"/>
    <x v="472"/>
    <n v="3"/>
    <s v="ADET"/>
    <n v="0"/>
    <n v="36"/>
    <n v="26"/>
    <n v="1"/>
    <n v="0"/>
    <n v="348.7"/>
    <n v="348.7"/>
    <x v="74"/>
    <n v="1046.0999999999999"/>
    <x v="6"/>
  </r>
  <r>
    <x v="0"/>
    <s v="Soner Kayıkçı"/>
    <x v="0"/>
    <x v="457"/>
    <x v="457"/>
    <n v="1"/>
    <s v="ADET"/>
    <n v="0"/>
    <n v="19"/>
    <n v="4"/>
    <n v="-12"/>
    <n v="0"/>
    <n v="0"/>
    <n v="85"/>
    <x v="10"/>
    <n v="85"/>
    <x v="4"/>
  </r>
  <r>
    <x v="0"/>
    <s v="Soner Kayıkçı"/>
    <x v="0"/>
    <x v="472"/>
    <x v="472"/>
    <n v="3"/>
    <s v="ADET"/>
    <n v="0"/>
    <n v="36"/>
    <n v="26"/>
    <n v="1"/>
    <n v="0"/>
    <n v="348.7"/>
    <n v="348.7"/>
    <x v="74"/>
    <n v="1046.0999999999999"/>
    <x v="6"/>
  </r>
  <r>
    <x v="2"/>
    <s v="Laurent MONTAGNER"/>
    <x v="0"/>
    <x v="472"/>
    <x v="472"/>
    <n v="3"/>
    <s v="ADET"/>
    <n v="3"/>
    <n v="36"/>
    <n v="26"/>
    <n v="1"/>
    <n v="0"/>
    <n v="348.7"/>
    <n v="348.7"/>
    <x v="74"/>
    <n v="1046.0999999999999"/>
    <x v="6"/>
  </r>
  <r>
    <x v="4"/>
    <s v="Stefan Zaugg"/>
    <x v="0"/>
    <x v="450"/>
    <x v="450"/>
    <n v="1"/>
    <s v="ADET"/>
    <n v="1"/>
    <n v="49"/>
    <n v="1.6000000000000005"/>
    <n v="-37.599999999999994"/>
    <n v="0"/>
    <n v="0"/>
    <n v="60"/>
    <x v="3"/>
    <n v="60"/>
    <x v="2"/>
  </r>
  <r>
    <x v="8"/>
    <s v="Jan Urbanek"/>
    <x v="0"/>
    <x v="450"/>
    <x v="450"/>
    <n v="1"/>
    <s v="ADET"/>
    <n v="1"/>
    <n v="49"/>
    <n v="1.6000000000000005"/>
    <n v="-37.599999999999994"/>
    <n v="0"/>
    <n v="0"/>
    <n v="60"/>
    <x v="3"/>
    <n v="60"/>
    <x v="2"/>
  </r>
  <r>
    <x v="19"/>
    <s v="Volkan Batkan"/>
    <x v="0"/>
    <x v="8"/>
    <x v="8"/>
    <n v="78"/>
    <s v="ADET"/>
    <n v="78"/>
    <n v="3000"/>
    <n v="1138"/>
    <n v="-1738"/>
    <n v="0"/>
    <n v="0"/>
    <n v="0.93"/>
    <x v="8"/>
    <n v="72.540000000000006"/>
    <x v="2"/>
  </r>
  <r>
    <x v="16"/>
    <s v="Stefan Zaugg"/>
    <x v="0"/>
    <x v="10"/>
    <x v="10"/>
    <n v="0.2"/>
    <s v="KG"/>
    <n v="0.2"/>
    <n v="0"/>
    <n v="2.6000000000000014"/>
    <n v="0.29999999999999982"/>
    <n v="0"/>
    <n v="193.70099999999988"/>
    <n v="645.66999999999996"/>
    <x v="3"/>
    <n v="129.13399999999999"/>
    <x v="3"/>
  </r>
  <r>
    <x v="4"/>
    <s v="Stefan Zaugg"/>
    <x v="0"/>
    <x v="11"/>
    <x v="11"/>
    <n v="1.171"/>
    <s v="KG"/>
    <n v="1.171"/>
    <n v="0"/>
    <n v="65.03100000000002"/>
    <n v="17.948"/>
    <n v="0"/>
    <n v="6991.2844399999994"/>
    <n v="389.53"/>
    <x v="3"/>
    <n v="456.13963000000001"/>
    <x v="3"/>
  </r>
  <r>
    <x v="8"/>
    <s v="Jan Urbanek"/>
    <x v="0"/>
    <x v="11"/>
    <x v="11"/>
    <n v="1.4909999999999999"/>
    <s v="KG"/>
    <n v="1.4909999999999999"/>
    <n v="0"/>
    <n v="65.03100000000002"/>
    <n v="17.948"/>
    <n v="0"/>
    <n v="6991.2844399999994"/>
    <n v="389.53"/>
    <x v="3"/>
    <n v="580.78922999999986"/>
    <x v="3"/>
  </r>
  <r>
    <x v="7"/>
    <s v="Laurent MONTAGNER"/>
    <x v="0"/>
    <x v="11"/>
    <x v="11"/>
    <n v="2.5499999999999998"/>
    <s v="KG"/>
    <n v="2.5499999999999998"/>
    <n v="0"/>
    <n v="65.03100000000002"/>
    <n v="17.948"/>
    <n v="0"/>
    <n v="6991.2844399999994"/>
    <n v="389.53"/>
    <x v="3"/>
    <n v="993.30149999999981"/>
    <x v="3"/>
  </r>
  <r>
    <x v="19"/>
    <s v="Volkan Batkan"/>
    <x v="0"/>
    <x v="9"/>
    <x v="9"/>
    <n v="1"/>
    <s v="ADET"/>
    <n v="1"/>
    <n v="2"/>
    <n v="4"/>
    <n v="5"/>
    <n v="0"/>
    <n v="37250"/>
    <n v="7450"/>
    <x v="9"/>
    <n v="7450"/>
    <x v="6"/>
  </r>
  <r>
    <x v="14"/>
    <s v="Stefan Zaugg"/>
    <x v="0"/>
    <x v="472"/>
    <x v="472"/>
    <n v="3"/>
    <s v="ADET"/>
    <n v="3"/>
    <n v="36"/>
    <n v="26"/>
    <n v="1"/>
    <n v="0"/>
    <n v="348.7"/>
    <n v="348.7"/>
    <x v="74"/>
    <n v="1046.0999999999999"/>
    <x v="6"/>
  </r>
  <r>
    <x v="4"/>
    <s v="Stefan Zaugg"/>
    <x v="0"/>
    <x v="89"/>
    <x v="89"/>
    <n v="1"/>
    <s v="ADET"/>
    <n v="1"/>
    <n v="10"/>
    <n v="2"/>
    <n v="-10"/>
    <n v="0"/>
    <n v="0"/>
    <n v="3400"/>
    <x v="36"/>
    <n v="3400"/>
    <x v="4"/>
  </r>
  <r>
    <x v="2"/>
    <s v="Laurent MONTAGNER"/>
    <x v="0"/>
    <x v="150"/>
    <x v="150"/>
    <n v="1"/>
    <s v="ADET"/>
    <n v="0"/>
    <n v="9"/>
    <n v="13"/>
    <n v="-1"/>
    <n v="4"/>
    <n v="0"/>
    <n v="1600"/>
    <x v="35"/>
    <n v="1600"/>
    <x v="7"/>
  </r>
  <r>
    <x v="14"/>
    <s v="Stefan Zaugg"/>
    <x v="0"/>
    <x v="502"/>
    <x v="502"/>
    <n v="1"/>
    <s v="ADET"/>
    <n v="1"/>
    <n v="2"/>
    <n v="2"/>
    <n v="-2"/>
    <n v="0"/>
    <n v="0"/>
    <n v="400"/>
    <x v="91"/>
    <n v="400"/>
    <x v="4"/>
  </r>
  <r>
    <x v="7"/>
    <s v="Laurent MONTAGNER"/>
    <x v="0"/>
    <x v="450"/>
    <x v="450"/>
    <n v="1.35"/>
    <s v="ADET"/>
    <n v="1.35"/>
    <n v="49"/>
    <n v="1.6000000000000005"/>
    <n v="-37.599999999999994"/>
    <n v="0"/>
    <n v="0"/>
    <n v="60"/>
    <x v="3"/>
    <n v="81"/>
    <x v="2"/>
  </r>
  <r>
    <x v="16"/>
    <s v="Stefan Zaugg"/>
    <x v="0"/>
    <x v="11"/>
    <x v="11"/>
    <n v="1.1709999999999998"/>
    <s v="KG"/>
    <n v="1.1709999999999998"/>
    <n v="0"/>
    <n v="65.03100000000002"/>
    <n v="17.948"/>
    <n v="0"/>
    <n v="6991.2844399999994"/>
    <n v="389.53"/>
    <x v="3"/>
    <n v="456.1396299999999"/>
    <x v="3"/>
  </r>
  <r>
    <x v="19"/>
    <s v="Volkan Batkan"/>
    <x v="0"/>
    <x v="15"/>
    <x v="15"/>
    <n v="1"/>
    <s v="ADET"/>
    <n v="1"/>
    <n v="12"/>
    <n v="13"/>
    <n v="-5"/>
    <n v="0"/>
    <n v="0"/>
    <n v="28339.38"/>
    <x v="11"/>
    <n v="28339.38"/>
    <x v="6"/>
  </r>
  <r>
    <x v="17"/>
    <s v="Murat Taşdemir"/>
    <x v="0"/>
    <x v="412"/>
    <x v="412"/>
    <n v="1"/>
    <s v="ADET"/>
    <n v="1"/>
    <n v="15"/>
    <n v="11"/>
    <n v="-4"/>
    <n v="0"/>
    <n v="0"/>
    <n v="510"/>
    <x v="53"/>
    <n v="510"/>
    <x v="4"/>
  </r>
  <r>
    <x v="19"/>
    <s v="Volkan Batkan"/>
    <x v="0"/>
    <x v="376"/>
    <x v="376"/>
    <n v="30"/>
    <s v="ADET"/>
    <n v="30"/>
    <n v="680"/>
    <n v="614"/>
    <n v="118"/>
    <n v="0"/>
    <n v="247.8"/>
    <n v="2.1"/>
    <x v="14"/>
    <n v="63"/>
    <x v="2"/>
  </r>
  <r>
    <x v="19"/>
    <s v="Volkan Batkan"/>
    <x v="0"/>
    <x v="192"/>
    <x v="192"/>
    <n v="2.2999999999999998"/>
    <s v="ADET"/>
    <n v="2.2999999999999998"/>
    <n v="14"/>
    <n v="6.8000000000000025"/>
    <n v="7.7000000000000028"/>
    <n v="12"/>
    <n v="2532.1450000000009"/>
    <n v="328.85"/>
    <x v="62"/>
    <n v="756.35500000000002"/>
    <x v="3"/>
  </r>
  <r>
    <x v="5"/>
    <s v="Matteo Giolo"/>
    <x v="0"/>
    <x v="229"/>
    <x v="229"/>
    <n v="2"/>
    <s v="ADET"/>
    <n v="0"/>
    <n v="50"/>
    <n v="33"/>
    <n v="-15"/>
    <n v="0"/>
    <n v="0"/>
    <n v="72.599999999999994"/>
    <x v="14"/>
    <n v="145.19999999999999"/>
    <x v="4"/>
  </r>
  <r>
    <x v="17"/>
    <s v="Murat Taşdemir"/>
    <x v="0"/>
    <x v="114"/>
    <x v="114"/>
    <n v="8"/>
    <s v="ADET"/>
    <n v="8"/>
    <n v="230"/>
    <n v="72"/>
    <n v="-172"/>
    <n v="0"/>
    <n v="0"/>
    <n v="225"/>
    <x v="42"/>
    <n v="1800"/>
    <x v="6"/>
  </r>
  <r>
    <x v="14"/>
    <s v="Stefan Zaugg"/>
    <x v="0"/>
    <x v="412"/>
    <x v="412"/>
    <n v="1"/>
    <s v="ADET"/>
    <n v="1"/>
    <n v="15"/>
    <n v="11"/>
    <n v="-4"/>
    <n v="0"/>
    <n v="0"/>
    <n v="510"/>
    <x v="53"/>
    <n v="510"/>
    <x v="4"/>
  </r>
  <r>
    <x v="4"/>
    <s v="Stefan Zaugg"/>
    <x v="0"/>
    <x v="220"/>
    <x v="220"/>
    <n v="0.55000000000000004"/>
    <s v="ADET"/>
    <n v="0.55000000000000004"/>
    <n v="10"/>
    <n v="126.66400000000034"/>
    <n v="-1.1600000000000001"/>
    <n v="0"/>
    <n v="0"/>
    <n v="185"/>
    <x v="14"/>
    <n v="101.75000000000001"/>
    <x v="2"/>
  </r>
  <r>
    <x v="17"/>
    <s v="Murat Taşdemir"/>
    <x v="0"/>
    <x v="220"/>
    <x v="220"/>
    <n v="0.69000000000000017"/>
    <s v="ADET"/>
    <n v="0.69000000000000017"/>
    <n v="10"/>
    <n v="126.66400000000034"/>
    <n v="-1.1600000000000001"/>
    <n v="0"/>
    <n v="0"/>
    <n v="185"/>
    <x v="14"/>
    <n v="127.65000000000003"/>
    <x v="2"/>
  </r>
  <r>
    <x v="6"/>
    <s v="Laurent MONTAGNER"/>
    <x v="0"/>
    <x v="191"/>
    <x v="191"/>
    <n v="5.8"/>
    <s v="ADET"/>
    <n v="0"/>
    <n v="87"/>
    <n v="50.899999999999949"/>
    <n v="-43.900000000000006"/>
    <n v="0"/>
    <n v="0"/>
    <n v="122.09"/>
    <x v="29"/>
    <n v="708.12199999999996"/>
    <x v="2"/>
  </r>
  <r>
    <x v="17"/>
    <s v="Murat Taşdemir"/>
    <x v="0"/>
    <x v="219"/>
    <x v="219"/>
    <n v="1"/>
    <s v="ADET"/>
    <n v="0"/>
    <n v="100"/>
    <n v="41"/>
    <n v="-89.5"/>
    <n v="0"/>
    <n v="0"/>
    <n v="60"/>
    <x v="20"/>
    <n v="60"/>
    <x v="2"/>
  </r>
  <r>
    <x v="6"/>
    <s v="Laurent MONTAGNER"/>
    <x v="0"/>
    <x v="217"/>
    <x v="217"/>
    <n v="4"/>
    <s v="ADET"/>
    <n v="4"/>
    <n v="39"/>
    <n v="32"/>
    <n v="-11"/>
    <n v="0"/>
    <n v="0"/>
    <n v="73.349999999999994"/>
    <x v="13"/>
    <n v="293.39999999999998"/>
    <x v="7"/>
  </r>
  <r>
    <x v="6"/>
    <s v="Laurent MONTAGNER"/>
    <x v="0"/>
    <x v="209"/>
    <x v="209"/>
    <n v="1"/>
    <s v="ADET"/>
    <n v="1"/>
    <n v="6"/>
    <n v="7"/>
    <n v="2"/>
    <n v="0"/>
    <n v="4960.92"/>
    <n v="2480.46"/>
    <x v="13"/>
    <n v="2480.46"/>
    <x v="7"/>
  </r>
  <r>
    <x v="4"/>
    <s v="Stefan Zaugg"/>
    <x v="0"/>
    <x v="114"/>
    <x v="114"/>
    <n v="4"/>
    <s v="ADET"/>
    <n v="4"/>
    <n v="230"/>
    <n v="72"/>
    <n v="-172"/>
    <n v="0"/>
    <n v="0"/>
    <n v="225"/>
    <x v="42"/>
    <n v="900"/>
    <x v="6"/>
  </r>
  <r>
    <x v="8"/>
    <s v="Jan Urbanek"/>
    <x v="0"/>
    <x v="114"/>
    <x v="114"/>
    <n v="7"/>
    <s v="ADET"/>
    <n v="7"/>
    <n v="230"/>
    <n v="72"/>
    <n v="-172"/>
    <n v="0"/>
    <n v="0"/>
    <n v="225"/>
    <x v="42"/>
    <n v="1575"/>
    <x v="6"/>
  </r>
  <r>
    <x v="7"/>
    <s v="Laurent MONTAGNER"/>
    <x v="0"/>
    <x v="114"/>
    <x v="114"/>
    <n v="9"/>
    <s v="ADET"/>
    <n v="9"/>
    <n v="230"/>
    <n v="72"/>
    <n v="-172"/>
    <n v="0"/>
    <n v="0"/>
    <n v="225"/>
    <x v="42"/>
    <n v="2025"/>
    <x v="6"/>
  </r>
  <r>
    <x v="17"/>
    <s v="Murat Taşdemir"/>
    <x v="0"/>
    <x v="410"/>
    <x v="410"/>
    <n v="4"/>
    <s v="ADET"/>
    <n v="4"/>
    <n v="25"/>
    <n v="14"/>
    <n v="7"/>
    <n v="0"/>
    <n v="1206.6599999999999"/>
    <n v="172.38"/>
    <x v="74"/>
    <n v="689.52"/>
    <x v="6"/>
  </r>
  <r>
    <x v="9"/>
    <s v="Jan Urbanek"/>
    <x v="0"/>
    <x v="113"/>
    <x v="113"/>
    <n v="7"/>
    <s v="ADET"/>
    <n v="0"/>
    <n v="1100"/>
    <n v="780"/>
    <n v="-832"/>
    <n v="0"/>
    <n v="0"/>
    <n v="0.32"/>
    <x v="14"/>
    <n v="2.2400000000000002"/>
    <x v="2"/>
  </r>
  <r>
    <x v="6"/>
    <s v="Laurent MONTAGNER"/>
    <x v="0"/>
    <x v="410"/>
    <x v="410"/>
    <n v="2"/>
    <s v="ADET"/>
    <n v="2"/>
    <n v="25"/>
    <n v="14"/>
    <n v="7"/>
    <n v="0"/>
    <n v="1206.6599999999999"/>
    <n v="172.38"/>
    <x v="74"/>
    <n v="344.76"/>
    <x v="6"/>
  </r>
  <r>
    <x v="6"/>
    <s v="Laurent MONTAGNER"/>
    <x v="0"/>
    <x v="412"/>
    <x v="412"/>
    <n v="1"/>
    <s v="ADET"/>
    <n v="1"/>
    <n v="15"/>
    <n v="11"/>
    <n v="-4"/>
    <n v="0"/>
    <n v="0"/>
    <n v="510"/>
    <x v="53"/>
    <n v="510"/>
    <x v="4"/>
  </r>
  <r>
    <x v="7"/>
    <s v="Laurent MONTAGNER"/>
    <x v="0"/>
    <x v="209"/>
    <x v="209"/>
    <n v="1"/>
    <s v="ADET"/>
    <n v="1"/>
    <n v="6"/>
    <n v="7"/>
    <n v="2"/>
    <n v="0"/>
    <n v="4960.92"/>
    <n v="2480.46"/>
    <x v="13"/>
    <n v="2480.46"/>
    <x v="7"/>
  </r>
  <r>
    <x v="7"/>
    <s v="Laurent MONTAGNER"/>
    <x v="0"/>
    <x v="407"/>
    <x v="407"/>
    <n v="1"/>
    <s v="ADET"/>
    <n v="1"/>
    <n v="5"/>
    <n v="8"/>
    <n v="5"/>
    <n v="0"/>
    <n v="30523.449999999997"/>
    <n v="6104.69"/>
    <x v="13"/>
    <n v="6104.69"/>
    <x v="7"/>
  </r>
  <r>
    <x v="16"/>
    <s v="Stefan Zaugg"/>
    <x v="1"/>
    <x v="312"/>
    <x v="312"/>
    <n v="1"/>
    <s v="ADET"/>
    <n v="1"/>
    <n v="25"/>
    <n v="4"/>
    <n v="-20"/>
    <n v="0"/>
    <n v="0"/>
    <n v="2800"/>
    <x v="79"/>
    <n v="2800"/>
    <x v="6"/>
  </r>
  <r>
    <x v="4"/>
    <s v="Stefan Zaugg"/>
    <x v="1"/>
    <x v="312"/>
    <x v="312"/>
    <n v="1"/>
    <s v="ADET"/>
    <n v="1"/>
    <n v="25"/>
    <n v="4"/>
    <n v="-20"/>
    <n v="0"/>
    <n v="0"/>
    <n v="2800"/>
    <x v="79"/>
    <n v="2800"/>
    <x v="6"/>
  </r>
  <r>
    <x v="8"/>
    <s v="Jan Urbanek"/>
    <x v="0"/>
    <x v="220"/>
    <x v="220"/>
    <n v="0.54999999999999993"/>
    <s v="ADET"/>
    <n v="0.54999999999999993"/>
    <n v="10"/>
    <n v="126.66400000000034"/>
    <n v="-1.1600000000000001"/>
    <n v="0"/>
    <n v="0"/>
    <n v="185"/>
    <x v="14"/>
    <n v="101.74999999999999"/>
    <x v="2"/>
  </r>
  <r>
    <x v="0"/>
    <s v="Soner Kayıkçı"/>
    <x v="0"/>
    <x v="435"/>
    <x v="435"/>
    <n v="2"/>
    <s v="ADET"/>
    <n v="0"/>
    <n v="0"/>
    <n v="0"/>
    <n v="14"/>
    <n v="0"/>
    <n v="0"/>
    <n v="0"/>
    <x v="5"/>
    <n v="0"/>
    <x v="7"/>
  </r>
  <r>
    <x v="6"/>
    <s v="Laurent MONTAGNER"/>
    <x v="0"/>
    <x v="421"/>
    <x v="421"/>
    <n v="1"/>
    <s v="ADET"/>
    <n v="0"/>
    <n v="20.5"/>
    <n v="5"/>
    <n v="-9.5"/>
    <n v="0"/>
    <n v="0"/>
    <n v="175"/>
    <x v="35"/>
    <n v="175"/>
    <x v="2"/>
  </r>
  <r>
    <x v="7"/>
    <s v="Laurent MONTAGNER"/>
    <x v="0"/>
    <x v="235"/>
    <x v="235"/>
    <n v="2"/>
    <s v="ADET"/>
    <n v="2"/>
    <n v="23"/>
    <n v="22"/>
    <n v="1"/>
    <n v="0"/>
    <n v="73.349999999999994"/>
    <n v="73.349999999999994"/>
    <x v="13"/>
    <n v="146.69999999999999"/>
    <x v="7"/>
  </r>
  <r>
    <x v="3"/>
    <s v="Stina Alm"/>
    <x v="0"/>
    <x v="414"/>
    <x v="414"/>
    <n v="2"/>
    <s v="ADET"/>
    <n v="0"/>
    <n v="14"/>
    <n v="19"/>
    <n v="-23"/>
    <n v="30"/>
    <n v="0"/>
    <n v="67.22"/>
    <x v="92"/>
    <n v="134.44"/>
    <x v="4"/>
  </r>
  <r>
    <x v="4"/>
    <s v="Stefan Zaugg"/>
    <x v="0"/>
    <x v="485"/>
    <x v="485"/>
    <n v="1"/>
    <s v="ADET"/>
    <n v="1"/>
    <n v="5"/>
    <n v="4"/>
    <n v="-5"/>
    <n v="0"/>
    <n v="0"/>
    <n v="5112.92"/>
    <x v="105"/>
    <n v="5112.92"/>
    <x v="2"/>
  </r>
  <r>
    <x v="16"/>
    <s v="Stefan Zaugg"/>
    <x v="0"/>
    <x v="494"/>
    <x v="494"/>
    <n v="2"/>
    <s v="ADET"/>
    <n v="2"/>
    <n v="21"/>
    <n v="8"/>
    <n v="-21"/>
    <n v="0"/>
    <n v="0"/>
    <n v="451"/>
    <x v="75"/>
    <n v="902"/>
    <x v="6"/>
  </r>
  <r>
    <x v="14"/>
    <s v="Stefan Zaugg"/>
    <x v="0"/>
    <x v="340"/>
    <x v="340"/>
    <n v="2"/>
    <s v="ADET"/>
    <n v="2"/>
    <n v="24"/>
    <n v="18.499999999999982"/>
    <n v="3.899999999999995"/>
    <n v="0"/>
    <n v="467.99999999999943"/>
    <n v="120"/>
    <x v="14"/>
    <n v="240"/>
    <x v="3"/>
  </r>
  <r>
    <x v="19"/>
    <s v="Volkan Batkan"/>
    <x v="0"/>
    <x v="340"/>
    <x v="340"/>
    <n v="1.5"/>
    <s v="ADET"/>
    <n v="1.5"/>
    <n v="24"/>
    <n v="18.499999999999982"/>
    <n v="3.899999999999995"/>
    <n v="0"/>
    <n v="467.99999999999943"/>
    <n v="120"/>
    <x v="14"/>
    <n v="180"/>
    <x v="3"/>
  </r>
  <r>
    <x v="2"/>
    <s v="Laurent MONTAGNER"/>
    <x v="0"/>
    <x v="235"/>
    <x v="235"/>
    <n v="2"/>
    <s v="ADET"/>
    <n v="2"/>
    <n v="23"/>
    <n v="22"/>
    <n v="1"/>
    <n v="0"/>
    <n v="73.349999999999994"/>
    <n v="73.349999999999994"/>
    <x v="13"/>
    <n v="146.69999999999999"/>
    <x v="7"/>
  </r>
  <r>
    <x v="2"/>
    <s v="Laurent MONTAGNER"/>
    <x v="0"/>
    <x v="371"/>
    <x v="371"/>
    <n v="1"/>
    <s v="M2"/>
    <n v="0"/>
    <n v="0"/>
    <n v="67.08499999999998"/>
    <n v="15"/>
    <n v="0"/>
    <n v="9778.0499999999993"/>
    <n v="651.87"/>
    <x v="63"/>
    <n v="651.87"/>
    <x v="8"/>
  </r>
  <r>
    <x v="16"/>
    <s v="Stefan Zaugg"/>
    <x v="0"/>
    <x v="437"/>
    <x v="437"/>
    <n v="1"/>
    <s v="ADET"/>
    <n v="1"/>
    <n v="12"/>
    <n v="8"/>
    <n v="0"/>
    <n v="0"/>
    <n v="0"/>
    <n v="401.17"/>
    <x v="97"/>
    <n v="401.17"/>
    <x v="7"/>
  </r>
  <r>
    <x v="14"/>
    <s v="Stefan Zaugg"/>
    <x v="0"/>
    <x v="260"/>
    <x v="260"/>
    <n v="1"/>
    <s v="ADET"/>
    <n v="1"/>
    <n v="0"/>
    <n v="5.5699999999999994"/>
    <n v="-2"/>
    <n v="7"/>
    <n v="0"/>
    <n v="1416.67"/>
    <x v="63"/>
    <n v="1416.67"/>
    <x v="8"/>
  </r>
  <r>
    <x v="7"/>
    <s v="Laurent MONTAGNER"/>
    <x v="0"/>
    <x v="255"/>
    <x v="255"/>
    <n v="1"/>
    <s v="ADET"/>
    <n v="1"/>
    <n v="6"/>
    <n v="5"/>
    <n v="5"/>
    <n v="0"/>
    <n v="11000"/>
    <n v="2200"/>
    <x v="36"/>
    <n v="2200"/>
    <x v="4"/>
  </r>
  <r>
    <x v="7"/>
    <s v="Laurent MONTAGNER"/>
    <x v="0"/>
    <x v="436"/>
    <x v="436"/>
    <n v="1"/>
    <s v="ADET"/>
    <n v="1"/>
    <n v="10"/>
    <n v="17"/>
    <n v="1"/>
    <n v="0"/>
    <n v="565.83000000000004"/>
    <n v="565.83000000000004"/>
    <x v="85"/>
    <n v="565.83000000000004"/>
    <x v="12"/>
  </r>
  <r>
    <x v="16"/>
    <s v="Stefan Zaugg"/>
    <x v="0"/>
    <x v="260"/>
    <x v="260"/>
    <n v="1"/>
    <s v="ADET"/>
    <n v="1"/>
    <n v="0"/>
    <n v="5.5699999999999994"/>
    <n v="-2"/>
    <n v="7"/>
    <n v="0"/>
    <n v="1416.67"/>
    <x v="63"/>
    <n v="1416.67"/>
    <x v="8"/>
  </r>
  <r>
    <x v="4"/>
    <s v="Stefan Zaugg"/>
    <x v="0"/>
    <x v="260"/>
    <x v="260"/>
    <n v="1"/>
    <s v="ADET"/>
    <n v="1"/>
    <n v="0"/>
    <n v="5.5699999999999994"/>
    <n v="-2"/>
    <n v="7"/>
    <n v="0"/>
    <n v="1416.67"/>
    <x v="63"/>
    <n v="1416.67"/>
    <x v="8"/>
  </r>
  <r>
    <x v="4"/>
    <s v="Stefan Zaugg"/>
    <x v="0"/>
    <x v="343"/>
    <x v="343"/>
    <n v="2.2999999999999998"/>
    <s v="ADET"/>
    <n v="2.2999999999999998"/>
    <n v="0"/>
    <n v="4.0000000000000497"/>
    <n v="28.999999999999993"/>
    <n v="22"/>
    <n v="30208.429999999993"/>
    <n v="1041.67"/>
    <x v="63"/>
    <n v="2395.8409999999999"/>
    <x v="8"/>
  </r>
  <r>
    <x v="17"/>
    <s v="Murat Taşdemir"/>
    <x v="0"/>
    <x v="356"/>
    <x v="356"/>
    <n v="0.14400000000000002"/>
    <s v="M3"/>
    <n v="0.14400000000000002"/>
    <n v="0"/>
    <n v="4.5430000000000446"/>
    <n v="1.4260000000000002"/>
    <n v="0"/>
    <n v="27807.000000000004"/>
    <n v="19500"/>
    <x v="87"/>
    <n v="2808.0000000000005"/>
    <x v="8"/>
  </r>
  <r>
    <x v="2"/>
    <s v="Laurent MONTAGNER"/>
    <x v="0"/>
    <x v="255"/>
    <x v="255"/>
    <n v="1"/>
    <s v="ADET"/>
    <n v="1"/>
    <n v="6"/>
    <n v="5"/>
    <n v="5"/>
    <n v="0"/>
    <n v="11000"/>
    <n v="2200"/>
    <x v="36"/>
    <n v="2200"/>
    <x v="4"/>
  </r>
  <r>
    <x v="7"/>
    <s v="Laurent MONTAGNER"/>
    <x v="0"/>
    <x v="414"/>
    <x v="414"/>
    <n v="2"/>
    <s v="ADET"/>
    <n v="2"/>
    <n v="14"/>
    <n v="19"/>
    <n v="-23"/>
    <n v="30"/>
    <n v="0"/>
    <n v="67.22"/>
    <x v="92"/>
    <n v="134.44"/>
    <x v="4"/>
  </r>
  <r>
    <x v="14"/>
    <s v="Stefan Zaugg"/>
    <x v="0"/>
    <x v="437"/>
    <x v="437"/>
    <n v="1"/>
    <s v="ADET"/>
    <n v="1"/>
    <n v="12"/>
    <n v="8"/>
    <n v="0"/>
    <n v="0"/>
    <n v="0"/>
    <n v="401.17"/>
    <x v="97"/>
    <n v="401.17"/>
    <x v="7"/>
  </r>
  <r>
    <x v="2"/>
    <s v="Laurent MONTAGNER"/>
    <x v="0"/>
    <x v="234"/>
    <x v="234"/>
    <n v="1.5"/>
    <s v="ADET"/>
    <n v="1.5"/>
    <n v="91"/>
    <n v="17.799999999999997"/>
    <n v="-74.5"/>
    <n v="0"/>
    <n v="0"/>
    <n v="85"/>
    <x v="28"/>
    <n v="127.5"/>
    <x v="2"/>
  </r>
  <r>
    <x v="16"/>
    <s v="Stefan Zaugg"/>
    <x v="0"/>
    <x v="482"/>
    <x v="482"/>
    <n v="1"/>
    <s v="ADET"/>
    <n v="1"/>
    <n v="1"/>
    <n v="5"/>
    <n v="0"/>
    <n v="0"/>
    <n v="0"/>
    <n v="3500"/>
    <x v="103"/>
    <n v="3500"/>
    <x v="7"/>
  </r>
  <r>
    <x v="14"/>
    <s v="Stefan Zaugg"/>
    <x v="0"/>
    <x v="482"/>
    <x v="482"/>
    <n v="1"/>
    <s v="ADET"/>
    <n v="1"/>
    <n v="1"/>
    <n v="5"/>
    <n v="0"/>
    <n v="0"/>
    <n v="0"/>
    <n v="3500"/>
    <x v="103"/>
    <n v="3500"/>
    <x v="7"/>
  </r>
  <r>
    <x v="14"/>
    <s v="Stefan Zaugg"/>
    <x v="0"/>
    <x v="283"/>
    <x v="283"/>
    <n v="0.8"/>
    <s v="ADET"/>
    <n v="0.8"/>
    <n v="0"/>
    <n v="11"/>
    <n v="20.000000000000007"/>
    <n v="4"/>
    <n v="36666.600000000013"/>
    <n v="1833.33"/>
    <x v="63"/>
    <n v="1466.664"/>
    <x v="8"/>
  </r>
  <r>
    <x v="0"/>
    <s v="Soner Kayıkçı"/>
    <x v="0"/>
    <x v="482"/>
    <x v="482"/>
    <n v="1"/>
    <s v="ADET"/>
    <n v="0"/>
    <n v="1"/>
    <n v="5"/>
    <n v="0"/>
    <n v="0"/>
    <n v="0"/>
    <n v="3500"/>
    <x v="103"/>
    <n v="3500"/>
    <x v="7"/>
  </r>
  <r>
    <x v="14"/>
    <s v="Stefan Zaugg"/>
    <x v="0"/>
    <x v="294"/>
    <x v="294"/>
    <n v="2"/>
    <s v="ADET"/>
    <n v="2"/>
    <n v="24"/>
    <n v="14"/>
    <n v="-15"/>
    <n v="0"/>
    <n v="0"/>
    <n v="15"/>
    <x v="20"/>
    <n v="30"/>
    <x v="7"/>
  </r>
  <r>
    <x v="13"/>
    <s v="Matteo Giolo"/>
    <x v="0"/>
    <x v="392"/>
    <x v="392"/>
    <n v="5.9"/>
    <s v="KG"/>
    <n v="0"/>
    <n v="0"/>
    <n v="297.39999999999998"/>
    <n v="94.40000000000002"/>
    <n v="0"/>
    <n v="21972.544000000005"/>
    <n v="232.76"/>
    <x v="3"/>
    <n v="1373.2840000000001"/>
    <x v="3"/>
  </r>
  <r>
    <x v="15"/>
    <s v="Jan Urbanek"/>
    <x v="0"/>
    <x v="387"/>
    <x v="387"/>
    <n v="1"/>
    <s v="ADET"/>
    <n v="0"/>
    <n v="3"/>
    <n v="13"/>
    <n v="12"/>
    <n v="0"/>
    <n v="43576.08"/>
    <n v="3631.34"/>
    <x v="84"/>
    <n v="3631.34"/>
    <x v="6"/>
  </r>
  <r>
    <x v="13"/>
    <s v="Matteo Giolo"/>
    <x v="0"/>
    <x v="387"/>
    <x v="387"/>
    <n v="2"/>
    <s v="ADET"/>
    <n v="0"/>
    <n v="3"/>
    <n v="13"/>
    <n v="12"/>
    <n v="0"/>
    <n v="43576.08"/>
    <n v="3631.34"/>
    <x v="84"/>
    <n v="7262.68"/>
    <x v="6"/>
  </r>
  <r>
    <x v="2"/>
    <s v="Laurent MONTAGNER"/>
    <x v="0"/>
    <x v="387"/>
    <x v="387"/>
    <n v="3"/>
    <s v="ADET"/>
    <n v="3"/>
    <n v="3"/>
    <n v="13"/>
    <n v="12"/>
    <n v="0"/>
    <n v="43576.08"/>
    <n v="3631.34"/>
    <x v="84"/>
    <n v="10894.02"/>
    <x v="6"/>
  </r>
  <r>
    <x v="19"/>
    <s v="Volkan Batkan"/>
    <x v="0"/>
    <x v="125"/>
    <x v="125"/>
    <n v="1"/>
    <s v="ADET"/>
    <n v="1"/>
    <n v="11"/>
    <n v="8"/>
    <n v="0"/>
    <n v="0"/>
    <n v="0"/>
    <n v="1145.83"/>
    <x v="37"/>
    <n v="1145.83"/>
    <x v="6"/>
  </r>
  <r>
    <x v="19"/>
    <s v="Volkan Batkan"/>
    <x v="0"/>
    <x v="387"/>
    <x v="387"/>
    <n v="1"/>
    <s v="ADET"/>
    <n v="1"/>
    <n v="3"/>
    <n v="13"/>
    <n v="12"/>
    <n v="0"/>
    <n v="43576.08"/>
    <n v="3631.34"/>
    <x v="84"/>
    <n v="3631.34"/>
    <x v="6"/>
  </r>
  <r>
    <x v="14"/>
    <s v="Stefan Zaugg"/>
    <x v="0"/>
    <x v="125"/>
    <x v="125"/>
    <n v="1"/>
    <s v="ADET"/>
    <n v="1"/>
    <n v="11"/>
    <n v="8"/>
    <n v="0"/>
    <n v="0"/>
    <n v="0"/>
    <n v="1145.83"/>
    <x v="37"/>
    <n v="1145.83"/>
    <x v="6"/>
  </r>
  <r>
    <x v="14"/>
    <s v="Stefan Zaugg"/>
    <x v="0"/>
    <x v="503"/>
    <x v="503"/>
    <n v="1"/>
    <s v="ADET"/>
    <n v="1"/>
    <n v="3"/>
    <n v="1"/>
    <n v="-3"/>
    <n v="0"/>
    <n v="0"/>
    <n v="2000"/>
    <x v="109"/>
    <n v="2000"/>
    <x v="6"/>
  </r>
  <r>
    <x v="17"/>
    <s v="Murat Taşdemir"/>
    <x v="0"/>
    <x v="476"/>
    <x v="476"/>
    <n v="2"/>
    <s v="ADET"/>
    <n v="2"/>
    <n v="2"/>
    <n v="4"/>
    <n v="0"/>
    <n v="0"/>
    <n v="0"/>
    <n v="4864"/>
    <x v="84"/>
    <n v="9728"/>
    <x v="6"/>
  </r>
  <r>
    <x v="13"/>
    <s v="Matteo Giolo"/>
    <x v="0"/>
    <x v="123"/>
    <x v="123"/>
    <n v="25"/>
    <s v="ADET"/>
    <n v="0"/>
    <n v="2600"/>
    <n v="292"/>
    <n v="-2145"/>
    <n v="0"/>
    <n v="0"/>
    <n v="0.4"/>
    <x v="14"/>
    <n v="10"/>
    <x v="2"/>
  </r>
  <r>
    <x v="16"/>
    <s v="Stefan Zaugg"/>
    <x v="0"/>
    <x v="323"/>
    <x v="323"/>
    <n v="1"/>
    <s v="ADET"/>
    <n v="1"/>
    <n v="34"/>
    <n v="97.880000000000024"/>
    <n v="0.88000000000000256"/>
    <n v="0"/>
    <n v="48.400000000000141"/>
    <n v="55"/>
    <x v="14"/>
    <n v="55"/>
    <x v="2"/>
  </r>
  <r>
    <x v="4"/>
    <s v="Stefan Zaugg"/>
    <x v="0"/>
    <x v="323"/>
    <x v="323"/>
    <n v="1"/>
    <s v="ADET"/>
    <n v="1"/>
    <n v="34"/>
    <n v="97.880000000000024"/>
    <n v="0.88000000000000256"/>
    <n v="0"/>
    <n v="48.400000000000141"/>
    <n v="55"/>
    <x v="14"/>
    <n v="55"/>
    <x v="2"/>
  </r>
  <r>
    <x v="16"/>
    <s v="Stefan Zaugg"/>
    <x v="0"/>
    <x v="239"/>
    <x v="239"/>
    <n v="2"/>
    <s v="ADET"/>
    <n v="2"/>
    <n v="38"/>
    <n v="20"/>
    <n v="-14"/>
    <n v="0"/>
    <n v="0"/>
    <n v="55"/>
    <x v="15"/>
    <n v="110"/>
    <x v="7"/>
  </r>
  <r>
    <x v="4"/>
    <s v="Stefan Zaugg"/>
    <x v="0"/>
    <x v="239"/>
    <x v="239"/>
    <n v="2"/>
    <s v="ADET"/>
    <n v="2"/>
    <n v="38"/>
    <n v="20"/>
    <n v="-14"/>
    <n v="0"/>
    <n v="0"/>
    <n v="55"/>
    <x v="15"/>
    <n v="110"/>
    <x v="7"/>
  </r>
  <r>
    <x v="14"/>
    <s v="Stefan Zaugg"/>
    <x v="0"/>
    <x v="239"/>
    <x v="239"/>
    <n v="2"/>
    <s v="ADET"/>
    <n v="2"/>
    <n v="38"/>
    <n v="20"/>
    <n v="-14"/>
    <n v="0"/>
    <n v="0"/>
    <n v="55"/>
    <x v="15"/>
    <n v="110"/>
    <x v="7"/>
  </r>
  <r>
    <x v="11"/>
    <s v="Jan Urbanek"/>
    <x v="0"/>
    <x v="346"/>
    <x v="346"/>
    <n v="2"/>
    <s v="ADET"/>
    <n v="0"/>
    <n v="100"/>
    <n v="52"/>
    <n v="-52"/>
    <n v="0"/>
    <n v="0"/>
    <n v="1.1299999999999999"/>
    <x v="15"/>
    <n v="2.2599999999999998"/>
    <x v="7"/>
  </r>
  <r>
    <x v="11"/>
    <s v="Jan Urbanek"/>
    <x v="0"/>
    <x v="347"/>
    <x v="347"/>
    <n v="2"/>
    <s v="ADET"/>
    <n v="0"/>
    <n v="24"/>
    <n v="10"/>
    <n v="-8"/>
    <n v="0"/>
    <n v="0"/>
    <n v="50.43"/>
    <x v="74"/>
    <n v="100.86"/>
    <x v="6"/>
  </r>
  <r>
    <x v="10"/>
    <s v="Jan Urbanek"/>
    <x v="0"/>
    <x v="311"/>
    <x v="311"/>
    <n v="22"/>
    <s v="MT"/>
    <n v="0"/>
    <n v="200"/>
    <n v="86"/>
    <n v="220"/>
    <n v="0"/>
    <n v="23100"/>
    <n v="105"/>
    <x v="78"/>
    <n v="2310"/>
    <x v="5"/>
  </r>
  <r>
    <x v="15"/>
    <s v="Jan Urbanek"/>
    <x v="0"/>
    <x v="321"/>
    <x v="321"/>
    <n v="1"/>
    <s v="ADET"/>
    <n v="0"/>
    <n v="23"/>
    <n v="5"/>
    <n v="-11"/>
    <n v="0"/>
    <n v="0"/>
    <n v="360.19"/>
    <x v="74"/>
    <n v="360.19"/>
    <x v="4"/>
  </r>
  <r>
    <x v="8"/>
    <s v="Jan Urbanek"/>
    <x v="0"/>
    <x v="346"/>
    <x v="346"/>
    <n v="4"/>
    <s v="ADET"/>
    <n v="0"/>
    <n v="100"/>
    <n v="52"/>
    <n v="-52"/>
    <n v="0"/>
    <n v="0"/>
    <n v="1.1299999999999999"/>
    <x v="15"/>
    <n v="4.5199999999999996"/>
    <x v="7"/>
  </r>
  <r>
    <x v="9"/>
    <s v="Jan Urbanek"/>
    <x v="0"/>
    <x v="346"/>
    <x v="346"/>
    <n v="2"/>
    <s v="ADET"/>
    <n v="0"/>
    <n v="100"/>
    <n v="52"/>
    <n v="-52"/>
    <n v="0"/>
    <n v="0"/>
    <n v="1.1299999999999999"/>
    <x v="15"/>
    <n v="2.2599999999999998"/>
    <x v="7"/>
  </r>
  <r>
    <x v="8"/>
    <s v="Jan Urbanek"/>
    <x v="0"/>
    <x v="347"/>
    <x v="347"/>
    <n v="2"/>
    <s v="ADET"/>
    <n v="0"/>
    <n v="24"/>
    <n v="10"/>
    <n v="-8"/>
    <n v="0"/>
    <n v="0"/>
    <n v="50.43"/>
    <x v="74"/>
    <n v="100.86"/>
    <x v="6"/>
  </r>
  <r>
    <x v="9"/>
    <s v="Jan Urbanek"/>
    <x v="0"/>
    <x v="347"/>
    <x v="347"/>
    <n v="2"/>
    <s v="ADET"/>
    <n v="0"/>
    <n v="24"/>
    <n v="10"/>
    <n v="-8"/>
    <n v="0"/>
    <n v="0"/>
    <n v="50.43"/>
    <x v="74"/>
    <n v="100.86"/>
    <x v="6"/>
  </r>
  <r>
    <x v="10"/>
    <s v="Jan Urbanek"/>
    <x v="0"/>
    <x v="347"/>
    <x v="347"/>
    <n v="2"/>
    <s v="ADET"/>
    <n v="0"/>
    <n v="24"/>
    <n v="10"/>
    <n v="-8"/>
    <n v="0"/>
    <n v="0"/>
    <n v="50.43"/>
    <x v="74"/>
    <n v="100.86"/>
    <x v="6"/>
  </r>
  <r>
    <x v="2"/>
    <s v="Laurent MONTAGNER"/>
    <x v="0"/>
    <x v="346"/>
    <x v="346"/>
    <n v="4"/>
    <s v="ADET"/>
    <n v="0"/>
    <n v="100"/>
    <n v="52"/>
    <n v="-52"/>
    <n v="0"/>
    <n v="0"/>
    <n v="1.1299999999999999"/>
    <x v="15"/>
    <n v="4.5199999999999996"/>
    <x v="7"/>
  </r>
  <r>
    <x v="0"/>
    <s v="Soner Kayıkçı"/>
    <x v="0"/>
    <x v="346"/>
    <x v="346"/>
    <n v="2"/>
    <s v="ADET"/>
    <n v="0"/>
    <n v="100"/>
    <n v="52"/>
    <n v="-52"/>
    <n v="0"/>
    <n v="0"/>
    <n v="1.1299999999999999"/>
    <x v="15"/>
    <n v="2.2599999999999998"/>
    <x v="7"/>
  </r>
  <r>
    <x v="1"/>
    <s v="Stina Alm"/>
    <x v="0"/>
    <x v="421"/>
    <x v="421"/>
    <n v="1"/>
    <s v="ADET"/>
    <n v="0"/>
    <n v="20.5"/>
    <n v="5"/>
    <n v="-9.5"/>
    <n v="0"/>
    <n v="0"/>
    <n v="175"/>
    <x v="35"/>
    <n v="175"/>
    <x v="2"/>
  </r>
  <r>
    <x v="0"/>
    <s v="Soner Kayıkçı"/>
    <x v="0"/>
    <x v="422"/>
    <x v="422"/>
    <n v="1"/>
    <s v="ADET"/>
    <n v="0"/>
    <n v="12"/>
    <n v="17"/>
    <n v="-1"/>
    <n v="0"/>
    <n v="0"/>
    <n v="400"/>
    <x v="85"/>
    <n v="400"/>
    <x v="6"/>
  </r>
  <r>
    <x v="0"/>
    <s v="Soner Kayıkçı"/>
    <x v="0"/>
    <x v="423"/>
    <x v="423"/>
    <n v="1"/>
    <s v="ADET"/>
    <n v="0"/>
    <n v="11"/>
    <n v="4"/>
    <n v="-4"/>
    <n v="0"/>
    <n v="0"/>
    <n v="1679.53"/>
    <x v="74"/>
    <n v="1679.53"/>
    <x v="4"/>
  </r>
  <r>
    <x v="8"/>
    <s v="Jan Urbanek"/>
    <x v="0"/>
    <x v="76"/>
    <x v="76"/>
    <n v="3"/>
    <s v="ADET"/>
    <n v="3"/>
    <n v="37"/>
    <n v="28"/>
    <n v="-3"/>
    <n v="0"/>
    <n v="0"/>
    <n v="122.24"/>
    <x v="13"/>
    <n v="366.71999999999997"/>
    <x v="7"/>
  </r>
  <r>
    <x v="6"/>
    <s v="Laurent MONTAGNER"/>
    <x v="0"/>
    <x v="76"/>
    <x v="76"/>
    <n v="4"/>
    <s v="ADET"/>
    <n v="4"/>
    <n v="37"/>
    <n v="28"/>
    <n v="-3"/>
    <n v="0"/>
    <n v="0"/>
    <n v="122.24"/>
    <x v="13"/>
    <n v="488.96"/>
    <x v="7"/>
  </r>
  <r>
    <x v="7"/>
    <s v="Laurent MONTAGNER"/>
    <x v="0"/>
    <x v="76"/>
    <x v="76"/>
    <n v="4"/>
    <s v="ADET"/>
    <n v="4"/>
    <n v="37"/>
    <n v="28"/>
    <n v="-3"/>
    <n v="0"/>
    <n v="0"/>
    <n v="122.24"/>
    <x v="13"/>
    <n v="488.96"/>
    <x v="7"/>
  </r>
  <r>
    <x v="4"/>
    <s v="Stefan Zaugg"/>
    <x v="0"/>
    <x v="391"/>
    <x v="391"/>
    <n v="1"/>
    <s v="ADET"/>
    <n v="1"/>
    <n v="42"/>
    <n v="10"/>
    <n v="-30"/>
    <n v="0"/>
    <n v="0"/>
    <n v="142.5"/>
    <x v="15"/>
    <n v="142.5"/>
    <x v="7"/>
  </r>
  <r>
    <x v="6"/>
    <s v="Laurent MONTAGNER"/>
    <x v="0"/>
    <x v="391"/>
    <x v="391"/>
    <n v="1"/>
    <s v="ADET"/>
    <n v="1"/>
    <n v="42"/>
    <n v="10"/>
    <n v="-30"/>
    <n v="0"/>
    <n v="0"/>
    <n v="142.5"/>
    <x v="15"/>
    <n v="142.5"/>
    <x v="7"/>
  </r>
  <r>
    <x v="16"/>
    <s v="Stefan Zaugg"/>
    <x v="0"/>
    <x v="389"/>
    <x v="389"/>
    <n v="1"/>
    <s v="ADET"/>
    <n v="1"/>
    <n v="4"/>
    <n v="10"/>
    <n v="-3"/>
    <n v="10"/>
    <n v="0"/>
    <n v="583.77"/>
    <x v="92"/>
    <n v="583.77"/>
    <x v="2"/>
  </r>
  <r>
    <x v="7"/>
    <s v="Laurent MONTAGNER"/>
    <x v="0"/>
    <x v="279"/>
    <x v="279"/>
    <n v="1"/>
    <s v="ADET"/>
    <n v="1"/>
    <n v="3"/>
    <n v="7"/>
    <n v="5"/>
    <n v="0"/>
    <n v="54497.75"/>
    <n v="10899.55"/>
    <x v="24"/>
    <n v="10899.55"/>
    <x v="4"/>
  </r>
  <r>
    <x v="16"/>
    <s v="Stefan Zaugg"/>
    <x v="0"/>
    <x v="504"/>
    <x v="504"/>
    <n v="1"/>
    <s v="ADET"/>
    <n v="1"/>
    <n v="8"/>
    <n v="4"/>
    <n v="-8"/>
    <n v="0"/>
    <n v="0"/>
    <n v="250"/>
    <x v="2"/>
    <n v="250"/>
    <x v="2"/>
  </r>
  <r>
    <x v="16"/>
    <s v="Stefan Zaugg"/>
    <x v="0"/>
    <x v="421"/>
    <x v="421"/>
    <n v="2"/>
    <s v="ADET"/>
    <n v="2"/>
    <n v="20.5"/>
    <n v="5"/>
    <n v="-9.5"/>
    <n v="0"/>
    <n v="0"/>
    <n v="175"/>
    <x v="35"/>
    <n v="350"/>
    <x v="2"/>
  </r>
  <r>
    <x v="17"/>
    <s v="Murat Taşdemir"/>
    <x v="0"/>
    <x v="279"/>
    <x v="279"/>
    <n v="1"/>
    <s v="ADET"/>
    <n v="1"/>
    <n v="3"/>
    <n v="7"/>
    <n v="5"/>
    <n v="0"/>
    <n v="54497.75"/>
    <n v="10899.55"/>
    <x v="24"/>
    <n v="10899.55"/>
    <x v="4"/>
  </r>
  <r>
    <x v="19"/>
    <s v="Volkan Batkan"/>
    <x v="0"/>
    <x v="388"/>
    <x v="388"/>
    <n v="1"/>
    <s v="ADET"/>
    <n v="1"/>
    <n v="4"/>
    <n v="9"/>
    <n v="1"/>
    <n v="6"/>
    <n v="1600"/>
    <n v="1600"/>
    <x v="14"/>
    <n v="1600"/>
    <x v="4"/>
  </r>
  <r>
    <x v="19"/>
    <s v="Volkan Batkan"/>
    <x v="0"/>
    <x v="131"/>
    <x v="131"/>
    <n v="0.05"/>
    <s v="METRE"/>
    <n v="0"/>
    <n v="0"/>
    <n v="0"/>
    <n v="1.8"/>
    <n v="0"/>
    <n v="9"/>
    <n v="5"/>
    <x v="5"/>
    <n v="0.25"/>
    <x v="7"/>
  </r>
  <r>
    <x v="19"/>
    <s v="Volkan Batkan"/>
    <x v="0"/>
    <x v="423"/>
    <x v="423"/>
    <n v="1"/>
    <s v="ADET"/>
    <n v="1"/>
    <n v="11"/>
    <n v="4"/>
    <n v="-4"/>
    <n v="0"/>
    <n v="0"/>
    <n v="1679.53"/>
    <x v="74"/>
    <n v="1679.53"/>
    <x v="4"/>
  </r>
  <r>
    <x v="11"/>
    <s v="Jan Urbanek"/>
    <x v="0"/>
    <x v="423"/>
    <x v="423"/>
    <n v="1"/>
    <s v="ADET"/>
    <n v="1"/>
    <n v="11"/>
    <n v="4"/>
    <n v="-4"/>
    <n v="0"/>
    <n v="0"/>
    <n v="1679.53"/>
    <x v="74"/>
    <n v="1679.53"/>
    <x v="4"/>
  </r>
  <r>
    <x v="19"/>
    <s v="Volkan Batkan"/>
    <x v="0"/>
    <x v="391"/>
    <x v="391"/>
    <n v="1"/>
    <s v="ADET"/>
    <n v="1"/>
    <n v="42"/>
    <n v="10"/>
    <n v="-30"/>
    <n v="0"/>
    <n v="0"/>
    <n v="142.5"/>
    <x v="15"/>
    <n v="142.5"/>
    <x v="7"/>
  </r>
  <r>
    <x v="9"/>
    <s v="Jan Urbanek"/>
    <x v="0"/>
    <x v="422"/>
    <x v="422"/>
    <n v="1"/>
    <s v="ADET"/>
    <n v="0"/>
    <n v="12"/>
    <n v="17"/>
    <n v="-1"/>
    <n v="0"/>
    <n v="0"/>
    <n v="400"/>
    <x v="85"/>
    <n v="400"/>
    <x v="6"/>
  </r>
  <r>
    <x v="8"/>
    <s v="Jan Urbanek"/>
    <x v="0"/>
    <x v="423"/>
    <x v="423"/>
    <n v="1"/>
    <s v="ADET"/>
    <n v="0"/>
    <n v="11"/>
    <n v="4"/>
    <n v="-4"/>
    <n v="0"/>
    <n v="0"/>
    <n v="1679.53"/>
    <x v="74"/>
    <n v="1679.53"/>
    <x v="4"/>
  </r>
  <r>
    <x v="0"/>
    <s v="Soner Kayıkçı"/>
    <x v="0"/>
    <x v="421"/>
    <x v="421"/>
    <n v="1"/>
    <s v="ADET"/>
    <n v="0"/>
    <n v="20.5"/>
    <n v="5"/>
    <n v="-9.5"/>
    <n v="0"/>
    <n v="0"/>
    <n v="175"/>
    <x v="35"/>
    <n v="175"/>
    <x v="2"/>
  </r>
  <r>
    <x v="9"/>
    <s v="Jan Urbanek"/>
    <x v="0"/>
    <x v="423"/>
    <x v="423"/>
    <n v="1"/>
    <s v="ADET"/>
    <n v="1"/>
    <n v="11"/>
    <n v="4"/>
    <n v="-4"/>
    <n v="0"/>
    <n v="0"/>
    <n v="1679.53"/>
    <x v="74"/>
    <n v="1679.53"/>
    <x v="4"/>
  </r>
  <r>
    <x v="2"/>
    <s v="Laurent MONTAGNER"/>
    <x v="0"/>
    <x v="76"/>
    <x v="76"/>
    <n v="2"/>
    <s v="ADET"/>
    <n v="2"/>
    <n v="37"/>
    <n v="28"/>
    <n v="-3"/>
    <n v="0"/>
    <n v="0"/>
    <n v="122.24"/>
    <x v="13"/>
    <n v="244.48"/>
    <x v="7"/>
  </r>
  <r>
    <x v="0"/>
    <s v="Soner Kayıkçı"/>
    <x v="0"/>
    <x v="390"/>
    <x v="390"/>
    <n v="2"/>
    <s v="ADET"/>
    <n v="0"/>
    <n v="216"/>
    <n v="118"/>
    <n v="-190"/>
    <n v="0"/>
    <n v="0"/>
    <n v="3.95"/>
    <x v="20"/>
    <n v="7.9"/>
    <x v="7"/>
  </r>
  <r>
    <x v="11"/>
    <s v="Jan Urbanek"/>
    <x v="0"/>
    <x v="301"/>
    <x v="301"/>
    <n v="1"/>
    <s v="ADET"/>
    <n v="1"/>
    <n v="5"/>
    <n v="4"/>
    <n v="2"/>
    <n v="0"/>
    <n v="3359.06"/>
    <n v="1679.53"/>
    <x v="74"/>
    <n v="1679.53"/>
    <x v="4"/>
  </r>
  <r>
    <x v="19"/>
    <s v="Volkan Batkan"/>
    <x v="0"/>
    <x v="76"/>
    <x v="76"/>
    <n v="5"/>
    <s v="ADET"/>
    <n v="5"/>
    <n v="37"/>
    <n v="28"/>
    <n v="-3"/>
    <n v="0"/>
    <n v="0"/>
    <n v="122.24"/>
    <x v="13"/>
    <n v="611.19999999999993"/>
    <x v="7"/>
  </r>
  <r>
    <x v="6"/>
    <s v="Laurent MONTAGNER"/>
    <x v="0"/>
    <x v="347"/>
    <x v="347"/>
    <n v="2"/>
    <s v="ADET"/>
    <n v="2"/>
    <n v="24"/>
    <n v="10"/>
    <n v="-8"/>
    <n v="0"/>
    <n v="0"/>
    <n v="50.43"/>
    <x v="74"/>
    <n v="100.86"/>
    <x v="6"/>
  </r>
  <r>
    <x v="0"/>
    <s v="Soner Kayıkçı"/>
    <x v="0"/>
    <x v="347"/>
    <x v="347"/>
    <n v="2"/>
    <s v="ADET"/>
    <n v="0"/>
    <n v="24"/>
    <n v="10"/>
    <n v="-8"/>
    <n v="0"/>
    <n v="0"/>
    <n v="50.43"/>
    <x v="74"/>
    <n v="100.86"/>
    <x v="6"/>
  </r>
  <r>
    <x v="6"/>
    <s v="Laurent MONTAGNER"/>
    <x v="0"/>
    <x v="505"/>
    <x v="505"/>
    <n v="1"/>
    <s v="ADET"/>
    <n v="1"/>
    <n v="1"/>
    <n v="2"/>
    <n v="-1"/>
    <n v="0"/>
    <n v="0"/>
    <n v="1050"/>
    <x v="53"/>
    <n v="1050"/>
    <x v="4"/>
  </r>
  <r>
    <x v="4"/>
    <s v="Stefan Zaugg"/>
    <x v="0"/>
    <x v="99"/>
    <x v="99"/>
    <n v="0.2"/>
    <s v="KG"/>
    <n v="0.2"/>
    <n v="12"/>
    <n v="1.2000000000000011"/>
    <n v="-10.199999999999999"/>
    <n v="0"/>
    <n v="0"/>
    <n v="221.8"/>
    <x v="3"/>
    <n v="44.360000000000007"/>
    <x v="3"/>
  </r>
  <r>
    <x v="16"/>
    <s v="Stefan Zaugg"/>
    <x v="0"/>
    <x v="266"/>
    <x v="266"/>
    <n v="1"/>
    <s v="ADET"/>
    <n v="1"/>
    <n v="21"/>
    <n v="10"/>
    <n v="-50"/>
    <n v="40"/>
    <n v="0"/>
    <n v="312"/>
    <x v="35"/>
    <n v="312"/>
    <x v="6"/>
  </r>
  <r>
    <x v="4"/>
    <s v="Stefan Zaugg"/>
    <x v="0"/>
    <x v="266"/>
    <x v="266"/>
    <n v="1"/>
    <s v="ADET"/>
    <n v="1"/>
    <n v="21"/>
    <n v="10"/>
    <n v="-50"/>
    <n v="40"/>
    <n v="0"/>
    <n v="312"/>
    <x v="35"/>
    <n v="312"/>
    <x v="6"/>
  </r>
  <r>
    <x v="7"/>
    <s v="Laurent MONTAGNER"/>
    <x v="0"/>
    <x v="266"/>
    <x v="266"/>
    <n v="1"/>
    <s v="ADET"/>
    <n v="1"/>
    <n v="21"/>
    <n v="10"/>
    <n v="-50"/>
    <n v="40"/>
    <n v="0"/>
    <n v="312"/>
    <x v="35"/>
    <n v="312"/>
    <x v="6"/>
  </r>
  <r>
    <x v="11"/>
    <s v="Jan Urbanek"/>
    <x v="0"/>
    <x v="321"/>
    <x v="321"/>
    <n v="1"/>
    <s v="ADET"/>
    <n v="0"/>
    <n v="23"/>
    <n v="5"/>
    <n v="-11"/>
    <n v="0"/>
    <n v="0"/>
    <n v="360.19"/>
    <x v="74"/>
    <n v="360.19"/>
    <x v="4"/>
  </r>
  <r>
    <x v="0"/>
    <s v="Soner Kayıkçı"/>
    <x v="0"/>
    <x v="321"/>
    <x v="321"/>
    <n v="1"/>
    <s v="ADET"/>
    <n v="0"/>
    <n v="23"/>
    <n v="5"/>
    <n v="-11"/>
    <n v="0"/>
    <n v="0"/>
    <n v="360.19"/>
    <x v="74"/>
    <n v="360.19"/>
    <x v="4"/>
  </r>
  <r>
    <x v="2"/>
    <s v="Laurent MONTAGNER"/>
    <x v="0"/>
    <x v="347"/>
    <x v="347"/>
    <n v="2"/>
    <s v="ADET"/>
    <n v="2"/>
    <n v="24"/>
    <n v="10"/>
    <n v="-8"/>
    <n v="0"/>
    <n v="0"/>
    <n v="50.43"/>
    <x v="74"/>
    <n v="100.86"/>
    <x v="6"/>
  </r>
  <r>
    <x v="6"/>
    <s v="Laurent MONTAGNER"/>
    <x v="0"/>
    <x v="321"/>
    <x v="321"/>
    <n v="1"/>
    <s v="ADET"/>
    <n v="1"/>
    <n v="23"/>
    <n v="5"/>
    <n v="-11"/>
    <n v="0"/>
    <n v="0"/>
    <n v="360.19"/>
    <x v="74"/>
    <n v="360.19"/>
    <x v="4"/>
  </r>
  <r>
    <x v="4"/>
    <s v="Stefan Zaugg"/>
    <x v="0"/>
    <x v="17"/>
    <x v="17"/>
    <n v="1"/>
    <s v="ADET"/>
    <n v="1"/>
    <n v="17"/>
    <n v="8"/>
    <n v="-1"/>
    <n v="0"/>
    <n v="0"/>
    <n v="33.340000000000003"/>
    <x v="13"/>
    <n v="33.340000000000003"/>
    <x v="7"/>
  </r>
  <r>
    <x v="8"/>
    <s v="Jan Urbanek"/>
    <x v="0"/>
    <x v="17"/>
    <x v="17"/>
    <n v="1"/>
    <s v="ADET"/>
    <n v="1"/>
    <n v="17"/>
    <n v="8"/>
    <n v="-1"/>
    <n v="0"/>
    <n v="0"/>
    <n v="33.340000000000003"/>
    <x v="13"/>
    <n v="33.340000000000003"/>
    <x v="7"/>
  </r>
  <r>
    <x v="15"/>
    <s v="Jan Urbanek"/>
    <x v="0"/>
    <x v="288"/>
    <x v="288"/>
    <n v="1"/>
    <s v="ADET"/>
    <n v="0"/>
    <n v="13"/>
    <n v="13"/>
    <n v="-1"/>
    <n v="0"/>
    <n v="0"/>
    <n v="237.5"/>
    <x v="21"/>
    <n v="237.5"/>
    <x v="2"/>
  </r>
  <r>
    <x v="16"/>
    <s v="Stefan Zaugg"/>
    <x v="0"/>
    <x v="96"/>
    <x v="96"/>
    <n v="2"/>
    <s v="ADET"/>
    <n v="2"/>
    <n v="40"/>
    <n v="16"/>
    <n v="-18"/>
    <n v="0"/>
    <n v="0"/>
    <n v="375"/>
    <x v="37"/>
    <n v="750"/>
    <x v="6"/>
  </r>
  <r>
    <x v="14"/>
    <s v="Stefan Zaugg"/>
    <x v="0"/>
    <x v="96"/>
    <x v="96"/>
    <n v="2"/>
    <s v="ADET"/>
    <n v="2"/>
    <n v="40"/>
    <n v="16"/>
    <n v="-18"/>
    <n v="0"/>
    <n v="0"/>
    <n v="375"/>
    <x v="37"/>
    <n v="750"/>
    <x v="6"/>
  </r>
  <r>
    <x v="11"/>
    <s v="Jan Urbanek"/>
    <x v="0"/>
    <x v="477"/>
    <x v="477"/>
    <n v="14"/>
    <s v="ADET"/>
    <n v="0"/>
    <n v="564"/>
    <n v="98"/>
    <n v="-250"/>
    <n v="0"/>
    <n v="0"/>
    <n v="6.67"/>
    <x v="102"/>
    <n v="93.38"/>
    <x v="7"/>
  </r>
  <r>
    <x v="0"/>
    <s v="Soner Kayıkçı"/>
    <x v="0"/>
    <x v="460"/>
    <x v="460"/>
    <n v="2"/>
    <s v="ADET"/>
    <n v="0"/>
    <n v="5"/>
    <n v="10"/>
    <n v="11"/>
    <n v="0"/>
    <n v="832.04"/>
    <n v="75.64"/>
    <x v="74"/>
    <n v="151.28"/>
    <x v="6"/>
  </r>
  <r>
    <x v="2"/>
    <s v="Laurent MONTAGNER"/>
    <x v="0"/>
    <x v="397"/>
    <x v="397"/>
    <n v="14"/>
    <s v="KG"/>
    <n v="0"/>
    <n v="0"/>
    <n v="62.999999999999986"/>
    <n v="196"/>
    <n v="0"/>
    <n v="215186.44000000003"/>
    <n v="1097.8900000000001"/>
    <x v="81"/>
    <n v="15370.460000000001"/>
    <x v="3"/>
  </r>
  <r>
    <x v="19"/>
    <s v="Volkan Batkan"/>
    <x v="0"/>
    <x v="31"/>
    <x v="31"/>
    <n v="1"/>
    <s v="ADET"/>
    <n v="1"/>
    <n v="56"/>
    <n v="11"/>
    <n v="-43"/>
    <n v="0"/>
    <n v="0"/>
    <n v="936.72"/>
    <x v="17"/>
    <n v="936.72"/>
    <x v="7"/>
  </r>
  <r>
    <x v="19"/>
    <s v="Volkan Batkan"/>
    <x v="0"/>
    <x v="462"/>
    <x v="462"/>
    <n v="1"/>
    <s v="ADET"/>
    <n v="1"/>
    <n v="10"/>
    <n v="16"/>
    <n v="2"/>
    <n v="0"/>
    <n v="233.34"/>
    <n v="116.67"/>
    <x v="85"/>
    <n v="116.67"/>
    <x v="6"/>
  </r>
  <r>
    <x v="8"/>
    <s v="Jan Urbanek"/>
    <x v="0"/>
    <x v="290"/>
    <x v="290"/>
    <n v="6"/>
    <s v="ADET"/>
    <n v="6"/>
    <n v="0"/>
    <n v="10.500000000000064"/>
    <n v="25"/>
    <n v="40"/>
    <n v="16666.75"/>
    <n v="666.67"/>
    <x v="63"/>
    <n v="4000.0199999999995"/>
    <x v="8"/>
  </r>
  <r>
    <x v="4"/>
    <s v="Stefan Zaugg"/>
    <x v="0"/>
    <x v="45"/>
    <x v="45"/>
    <n v="1"/>
    <s v="ADET"/>
    <n v="1"/>
    <n v="2"/>
    <n v="8"/>
    <n v="8"/>
    <n v="0"/>
    <n v="70583.44"/>
    <n v="8822.93"/>
    <x v="24"/>
    <n v="8822.93"/>
    <x v="4"/>
  </r>
  <r>
    <x v="6"/>
    <s v="Laurent MONTAGNER"/>
    <x v="0"/>
    <x v="134"/>
    <x v="134"/>
    <n v="2"/>
    <s v="ADET"/>
    <n v="2"/>
    <n v="37"/>
    <n v="20"/>
    <n v="-13"/>
    <n v="0"/>
    <n v="0"/>
    <n v="45.3"/>
    <x v="15"/>
    <n v="90.6"/>
    <x v="7"/>
  </r>
  <r>
    <x v="16"/>
    <s v="Stefan Zaugg"/>
    <x v="0"/>
    <x v="31"/>
    <x v="31"/>
    <n v="1"/>
    <s v="ADET"/>
    <n v="1"/>
    <n v="56"/>
    <n v="11"/>
    <n v="-43"/>
    <n v="0"/>
    <n v="0"/>
    <n v="936.72"/>
    <x v="17"/>
    <n v="936.72"/>
    <x v="7"/>
  </r>
  <r>
    <x v="7"/>
    <s v="Laurent MONTAGNER"/>
    <x v="0"/>
    <x v="399"/>
    <x v="399"/>
    <n v="2"/>
    <s v="ADET"/>
    <n v="2"/>
    <n v="27"/>
    <n v="16"/>
    <n v="-3"/>
    <n v="0"/>
    <n v="0"/>
    <n v="66.23"/>
    <x v="13"/>
    <n v="132.46"/>
    <x v="7"/>
  </r>
  <r>
    <x v="2"/>
    <s v="Laurent MONTAGNER"/>
    <x v="0"/>
    <x v="44"/>
    <x v="44"/>
    <n v="10.139999999999999"/>
    <s v="KG"/>
    <n v="0"/>
    <n v="134.9"/>
    <n v="46.099999999999767"/>
    <n v="43.169999999999959"/>
    <n v="0"/>
    <n v="4160.2928999999958"/>
    <n v="96.37"/>
    <x v="3"/>
    <n v="977.19179999999994"/>
    <x v="3"/>
  </r>
  <r>
    <x v="17"/>
    <s v="Murat Taşdemir"/>
    <x v="0"/>
    <x v="460"/>
    <x v="460"/>
    <n v="2"/>
    <s v="ADET"/>
    <n v="2"/>
    <n v="5"/>
    <n v="10"/>
    <n v="11"/>
    <n v="0"/>
    <n v="832.04"/>
    <n v="75.64"/>
    <x v="74"/>
    <n v="151.28"/>
    <x v="6"/>
  </r>
  <r>
    <x v="16"/>
    <s v="Stefan Zaugg"/>
    <x v="0"/>
    <x v="398"/>
    <x v="398"/>
    <n v="2"/>
    <s v="ADET"/>
    <n v="2"/>
    <n v="0"/>
    <n v="10"/>
    <n v="24"/>
    <n v="0"/>
    <n v="1358.4"/>
    <n v="56.6"/>
    <x v="74"/>
    <n v="113.2"/>
    <x v="6"/>
  </r>
  <r>
    <x v="14"/>
    <s v="Stefan Zaugg"/>
    <x v="0"/>
    <x v="398"/>
    <x v="398"/>
    <n v="2"/>
    <s v="ADET"/>
    <n v="2"/>
    <n v="0"/>
    <n v="10"/>
    <n v="24"/>
    <n v="0"/>
    <n v="1358.4"/>
    <n v="56.6"/>
    <x v="74"/>
    <n v="113.2"/>
    <x v="6"/>
  </r>
  <r>
    <x v="14"/>
    <s v="Stefan Zaugg"/>
    <x v="0"/>
    <x v="501"/>
    <x v="501"/>
    <n v="1"/>
    <s v="ADET"/>
    <n v="1"/>
    <n v="4"/>
    <n v="3"/>
    <n v="-4"/>
    <n v="0"/>
    <n v="0"/>
    <n v="12124.73"/>
    <x v="67"/>
    <n v="12124.73"/>
    <x v="6"/>
  </r>
  <r>
    <x v="16"/>
    <s v="Stefan Zaugg"/>
    <x v="0"/>
    <x v="134"/>
    <x v="134"/>
    <n v="2"/>
    <s v="ADET"/>
    <n v="2"/>
    <n v="37"/>
    <n v="20"/>
    <n v="-13"/>
    <n v="0"/>
    <n v="0"/>
    <n v="45.3"/>
    <x v="15"/>
    <n v="90.6"/>
    <x v="7"/>
  </r>
  <r>
    <x v="14"/>
    <s v="Stefan Zaugg"/>
    <x v="0"/>
    <x v="399"/>
    <x v="399"/>
    <n v="2"/>
    <s v="ADET"/>
    <n v="2"/>
    <n v="27"/>
    <n v="16"/>
    <n v="-3"/>
    <n v="0"/>
    <n v="0"/>
    <n v="66.23"/>
    <x v="13"/>
    <n v="132.46"/>
    <x v="7"/>
  </r>
  <r>
    <x v="6"/>
    <s v="Laurent MONTAGNER"/>
    <x v="0"/>
    <x v="399"/>
    <x v="399"/>
    <n v="2"/>
    <s v="ADET"/>
    <n v="2"/>
    <n v="27"/>
    <n v="16"/>
    <n v="-3"/>
    <n v="0"/>
    <n v="0"/>
    <n v="66.23"/>
    <x v="13"/>
    <n v="132.46"/>
    <x v="7"/>
  </r>
  <r>
    <x v="8"/>
    <s v="Jan Urbanek"/>
    <x v="0"/>
    <x v="398"/>
    <x v="398"/>
    <n v="2"/>
    <s v="ADET"/>
    <n v="0"/>
    <n v="0"/>
    <n v="10"/>
    <n v="24"/>
    <n v="0"/>
    <n v="1358.4"/>
    <n v="56.6"/>
    <x v="74"/>
    <n v="113.2"/>
    <x v="6"/>
  </r>
  <r>
    <x v="10"/>
    <s v="Jan Urbanek"/>
    <x v="0"/>
    <x v="462"/>
    <x v="462"/>
    <n v="1"/>
    <s v="ADET"/>
    <n v="0"/>
    <n v="10"/>
    <n v="16"/>
    <n v="2"/>
    <n v="0"/>
    <n v="233.34"/>
    <n v="116.67"/>
    <x v="85"/>
    <n v="116.67"/>
    <x v="6"/>
  </r>
  <r>
    <x v="11"/>
    <s v="Jan Urbanek"/>
    <x v="0"/>
    <x v="463"/>
    <x v="463"/>
    <n v="1"/>
    <s v="ADET"/>
    <n v="0"/>
    <n v="14"/>
    <n v="9"/>
    <n v="-3"/>
    <n v="0"/>
    <n v="0"/>
    <n v="1020"/>
    <x v="53"/>
    <n v="1020"/>
    <x v="4"/>
  </r>
  <r>
    <x v="0"/>
    <s v="Soner Kayıkçı"/>
    <x v="0"/>
    <x v="397"/>
    <x v="397"/>
    <n v="16"/>
    <s v="KG"/>
    <n v="0"/>
    <n v="0"/>
    <n v="62.999999999999986"/>
    <n v="196"/>
    <n v="0"/>
    <n v="215186.44000000003"/>
    <n v="1097.8900000000001"/>
    <x v="81"/>
    <n v="17566.240000000002"/>
    <x v="3"/>
  </r>
  <r>
    <x v="14"/>
    <s v="Stefan Zaugg"/>
    <x v="0"/>
    <x v="42"/>
    <x v="42"/>
    <n v="0.25"/>
    <s v="KG"/>
    <n v="0.25"/>
    <n v="0"/>
    <n v="24.129999999999985"/>
    <n v="4.1899999999999995"/>
    <n v="0"/>
    <n v="1667.7456999999997"/>
    <n v="398.03"/>
    <x v="3"/>
    <n v="99.507499999999993"/>
    <x v="3"/>
  </r>
  <r>
    <x v="16"/>
    <s v="Stefan Zaugg"/>
    <x v="0"/>
    <x v="463"/>
    <x v="463"/>
    <n v="1"/>
    <s v="ADET"/>
    <n v="1"/>
    <n v="14"/>
    <n v="9"/>
    <n v="-3"/>
    <n v="0"/>
    <n v="0"/>
    <n v="1020"/>
    <x v="53"/>
    <n v="1020"/>
    <x v="4"/>
  </r>
  <r>
    <x v="14"/>
    <s v="Stefan Zaugg"/>
    <x v="0"/>
    <x v="463"/>
    <x v="463"/>
    <n v="1"/>
    <s v="ADET"/>
    <n v="1"/>
    <n v="14"/>
    <n v="9"/>
    <n v="-3"/>
    <n v="0"/>
    <n v="0"/>
    <n v="1020"/>
    <x v="53"/>
    <n v="1020"/>
    <x v="4"/>
  </r>
  <r>
    <x v="19"/>
    <s v="Volkan Batkan"/>
    <x v="0"/>
    <x v="463"/>
    <x v="463"/>
    <n v="1"/>
    <s v="ADET"/>
    <n v="1"/>
    <n v="14"/>
    <n v="9"/>
    <n v="-3"/>
    <n v="0"/>
    <n v="0"/>
    <n v="1020"/>
    <x v="53"/>
    <n v="1020"/>
    <x v="4"/>
  </r>
  <r>
    <x v="7"/>
    <s v="Laurent MONTAGNER"/>
    <x v="0"/>
    <x v="134"/>
    <x v="134"/>
    <n v="2"/>
    <s v="ADET"/>
    <n v="2"/>
    <n v="37"/>
    <n v="20"/>
    <n v="-13"/>
    <n v="0"/>
    <n v="0"/>
    <n v="45.3"/>
    <x v="15"/>
    <n v="90.6"/>
    <x v="7"/>
  </r>
  <r>
    <x v="10"/>
    <s v="Jan Urbanek"/>
    <x v="0"/>
    <x v="447"/>
    <x v="447"/>
    <n v="2"/>
    <s v="ADET"/>
    <n v="0"/>
    <n v="0"/>
    <n v="14"/>
    <n v="38"/>
    <n v="0"/>
    <n v="261.06"/>
    <n v="6.87"/>
    <x v="15"/>
    <n v="13.74"/>
    <x v="7"/>
  </r>
  <r>
    <x v="10"/>
    <s v="Jan Urbanek"/>
    <x v="0"/>
    <x v="465"/>
    <x v="465"/>
    <n v="2.5"/>
    <s v="KG"/>
    <n v="0"/>
    <n v="139"/>
    <n v="45.499999999999943"/>
    <n v="-124"/>
    <n v="0"/>
    <n v="0"/>
    <n v="233.95"/>
    <x v="3"/>
    <n v="584.875"/>
    <x v="3"/>
  </r>
  <r>
    <x v="9"/>
    <s v="Jan Urbanek"/>
    <x v="0"/>
    <x v="447"/>
    <x v="447"/>
    <n v="2"/>
    <s v="ADET"/>
    <n v="0"/>
    <n v="0"/>
    <n v="14"/>
    <n v="38"/>
    <n v="0"/>
    <n v="261.06"/>
    <n v="6.87"/>
    <x v="15"/>
    <n v="13.74"/>
    <x v="7"/>
  </r>
  <r>
    <x v="8"/>
    <s v="Jan Urbanek"/>
    <x v="0"/>
    <x v="447"/>
    <x v="447"/>
    <n v="2"/>
    <s v="ADET"/>
    <n v="0"/>
    <n v="0"/>
    <n v="14"/>
    <n v="38"/>
    <n v="0"/>
    <n v="261.06"/>
    <n v="6.87"/>
    <x v="15"/>
    <n v="13.74"/>
    <x v="7"/>
  </r>
  <r>
    <x v="0"/>
    <s v="Soner Kayıkçı"/>
    <x v="0"/>
    <x v="465"/>
    <x v="465"/>
    <n v="2.5"/>
    <s v="KG"/>
    <n v="0"/>
    <n v="139"/>
    <n v="45.499999999999943"/>
    <n v="-124"/>
    <n v="0"/>
    <n v="0"/>
    <n v="233.95"/>
    <x v="3"/>
    <n v="584.875"/>
    <x v="3"/>
  </r>
  <r>
    <x v="6"/>
    <s v="Laurent MONTAGNER"/>
    <x v="0"/>
    <x v="447"/>
    <x v="447"/>
    <n v="2"/>
    <s v="ADET"/>
    <n v="0"/>
    <n v="0"/>
    <n v="14"/>
    <n v="38"/>
    <n v="0"/>
    <n v="261.06"/>
    <n v="6.87"/>
    <x v="15"/>
    <n v="13.74"/>
    <x v="7"/>
  </r>
  <r>
    <x v="1"/>
    <s v="Stina Alm"/>
    <x v="0"/>
    <x v="447"/>
    <x v="447"/>
    <n v="2"/>
    <s v="ADET"/>
    <n v="0"/>
    <n v="0"/>
    <n v="14"/>
    <n v="38"/>
    <n v="0"/>
    <n v="261.06"/>
    <n v="6.87"/>
    <x v="15"/>
    <n v="13.74"/>
    <x v="7"/>
  </r>
  <r>
    <x v="6"/>
    <s v="Laurent MONTAGNER"/>
    <x v="0"/>
    <x v="175"/>
    <x v="175"/>
    <n v="2"/>
    <s v="ADET"/>
    <n v="2"/>
    <n v="20"/>
    <n v="20"/>
    <n v="-6"/>
    <n v="10"/>
    <n v="0"/>
    <n v="400"/>
    <x v="35"/>
    <n v="800"/>
    <x v="7"/>
  </r>
  <r>
    <x v="16"/>
    <s v="Stefan Zaugg"/>
    <x v="0"/>
    <x v="393"/>
    <x v="393"/>
    <n v="2"/>
    <s v="ADET"/>
    <n v="2"/>
    <n v="452"/>
    <n v="25"/>
    <n v="-428"/>
    <n v="0"/>
    <n v="0"/>
    <n v="20"/>
    <x v="5"/>
    <n v="40"/>
    <x v="7"/>
  </r>
  <r>
    <x v="16"/>
    <s v="Stefan Zaugg"/>
    <x v="0"/>
    <x v="170"/>
    <x v="170"/>
    <n v="3"/>
    <s v="ADET"/>
    <n v="3"/>
    <n v="65"/>
    <n v="31"/>
    <n v="-31"/>
    <n v="0"/>
    <n v="0"/>
    <n v="45.5"/>
    <x v="57"/>
    <n v="136.5"/>
    <x v="7"/>
  </r>
  <r>
    <x v="19"/>
    <s v="Volkan Batkan"/>
    <x v="0"/>
    <x v="132"/>
    <x v="132"/>
    <n v="1"/>
    <s v="ADET"/>
    <n v="0"/>
    <n v="0"/>
    <n v="7"/>
    <n v="19"/>
    <n v="0"/>
    <n v="760"/>
    <n v="40"/>
    <x v="49"/>
    <n v="40"/>
    <x v="7"/>
  </r>
  <r>
    <x v="19"/>
    <s v="Volkan Batkan"/>
    <x v="0"/>
    <x v="277"/>
    <x v="277"/>
    <n v="4"/>
    <s v="ADET"/>
    <n v="0"/>
    <n v="85"/>
    <n v="31"/>
    <n v="-17"/>
    <n v="0"/>
    <n v="0"/>
    <n v="120"/>
    <x v="77"/>
    <n v="480"/>
    <x v="4"/>
  </r>
  <r>
    <x v="16"/>
    <s v="Stefan Zaugg"/>
    <x v="0"/>
    <x v="388"/>
    <x v="388"/>
    <n v="1"/>
    <s v="ADET"/>
    <n v="1"/>
    <n v="4"/>
    <n v="9"/>
    <n v="1"/>
    <n v="6"/>
    <n v="1600"/>
    <n v="1600"/>
    <x v="14"/>
    <n v="1600"/>
    <x v="4"/>
  </r>
  <r>
    <x v="7"/>
    <s v="Laurent MONTAGNER"/>
    <x v="0"/>
    <x v="276"/>
    <x v="276"/>
    <n v="3"/>
    <s v="ADET"/>
    <n v="0"/>
    <n v="81"/>
    <n v="5"/>
    <n v="-23"/>
    <n v="0"/>
    <n v="0"/>
    <n v="188"/>
    <x v="14"/>
    <n v="564"/>
    <x v="4"/>
  </r>
  <r>
    <x v="10"/>
    <s v="Jan Urbanek"/>
    <x v="0"/>
    <x v="298"/>
    <x v="298"/>
    <n v="2"/>
    <s v="ADET"/>
    <n v="0"/>
    <n v="34"/>
    <n v="27"/>
    <n v="-6"/>
    <n v="0"/>
    <n v="0"/>
    <n v="500"/>
    <x v="9"/>
    <n v="1000"/>
    <x v="6"/>
  </r>
  <r>
    <x v="17"/>
    <s v="Murat Taşdemir"/>
    <x v="0"/>
    <x v="388"/>
    <x v="388"/>
    <n v="1"/>
    <s v="ADET"/>
    <n v="1"/>
    <n v="4"/>
    <n v="9"/>
    <n v="1"/>
    <n v="6"/>
    <n v="1600"/>
    <n v="1600"/>
    <x v="14"/>
    <n v="1600"/>
    <x v="4"/>
  </r>
  <r>
    <x v="4"/>
    <s v="Stefan Zaugg"/>
    <x v="0"/>
    <x v="76"/>
    <x v="76"/>
    <n v="4"/>
    <s v="ADET"/>
    <n v="4"/>
    <n v="37"/>
    <n v="28"/>
    <n v="-3"/>
    <n v="0"/>
    <n v="0"/>
    <n v="122.24"/>
    <x v="13"/>
    <n v="488.96"/>
    <x v="7"/>
  </r>
  <r>
    <x v="17"/>
    <s v="Murat Taşdemir"/>
    <x v="0"/>
    <x v="389"/>
    <x v="389"/>
    <n v="1"/>
    <s v="ADET"/>
    <n v="1"/>
    <n v="4"/>
    <n v="10"/>
    <n v="-3"/>
    <n v="10"/>
    <n v="0"/>
    <n v="583.77"/>
    <x v="92"/>
    <n v="583.77"/>
    <x v="2"/>
  </r>
  <r>
    <x v="7"/>
    <s v="Laurent MONTAGNER"/>
    <x v="0"/>
    <x v="506"/>
    <x v="506"/>
    <n v="2"/>
    <s v="ADET"/>
    <n v="2"/>
    <n v="0"/>
    <n v="4"/>
    <n v="0"/>
    <n v="0"/>
    <n v="0"/>
    <n v="4532"/>
    <x v="84"/>
    <n v="9064"/>
    <x v="6"/>
  </r>
  <r>
    <x v="17"/>
    <s v="Murat Taşdemir"/>
    <x v="0"/>
    <x v="422"/>
    <x v="422"/>
    <n v="1"/>
    <s v="ADET"/>
    <n v="1"/>
    <n v="12"/>
    <n v="17"/>
    <n v="-1"/>
    <n v="0"/>
    <n v="0"/>
    <n v="400"/>
    <x v="85"/>
    <n v="400"/>
    <x v="6"/>
  </r>
  <r>
    <x v="19"/>
    <s v="Volkan Batkan"/>
    <x v="0"/>
    <x v="279"/>
    <x v="279"/>
    <n v="1"/>
    <s v="ADET"/>
    <n v="1"/>
    <n v="3"/>
    <n v="7"/>
    <n v="5"/>
    <n v="0"/>
    <n v="54497.75"/>
    <n v="10899.55"/>
    <x v="24"/>
    <n v="10899.55"/>
    <x v="4"/>
  </r>
  <r>
    <x v="14"/>
    <s v="Stefan Zaugg"/>
    <x v="0"/>
    <x v="278"/>
    <x v="278"/>
    <n v="1"/>
    <s v="ADET"/>
    <n v="1"/>
    <n v="24"/>
    <n v="4"/>
    <n v="-17"/>
    <n v="0"/>
    <n v="0"/>
    <n v="625"/>
    <x v="2"/>
    <n v="625"/>
    <x v="2"/>
  </r>
  <r>
    <x v="9"/>
    <s v="Jan Urbanek"/>
    <x v="0"/>
    <x v="276"/>
    <x v="276"/>
    <n v="3"/>
    <s v="ADET"/>
    <n v="0"/>
    <n v="81"/>
    <n v="5"/>
    <n v="-23"/>
    <n v="0"/>
    <n v="0"/>
    <n v="188"/>
    <x v="14"/>
    <n v="564"/>
    <x v="4"/>
  </r>
  <r>
    <x v="7"/>
    <s v="Laurent MONTAGNER"/>
    <x v="0"/>
    <x v="132"/>
    <x v="132"/>
    <n v="1"/>
    <s v="ADET"/>
    <n v="0"/>
    <n v="0"/>
    <n v="7"/>
    <n v="19"/>
    <n v="0"/>
    <n v="760"/>
    <n v="40"/>
    <x v="49"/>
    <n v="40"/>
    <x v="7"/>
  </r>
  <r>
    <x v="4"/>
    <s v="Stefan Zaugg"/>
    <x v="0"/>
    <x v="504"/>
    <x v="504"/>
    <n v="1"/>
    <s v="ADET"/>
    <n v="1"/>
    <n v="8"/>
    <n v="4"/>
    <n v="-8"/>
    <n v="0"/>
    <n v="0"/>
    <n v="250"/>
    <x v="2"/>
    <n v="250"/>
    <x v="2"/>
  </r>
  <r>
    <x v="4"/>
    <s v="Stefan Zaugg"/>
    <x v="0"/>
    <x v="421"/>
    <x v="421"/>
    <n v="2"/>
    <s v="ADET"/>
    <n v="2"/>
    <n v="20.5"/>
    <n v="5"/>
    <n v="-9.5"/>
    <n v="0"/>
    <n v="0"/>
    <n v="175"/>
    <x v="35"/>
    <n v="350"/>
    <x v="2"/>
  </r>
  <r>
    <x v="16"/>
    <s v="Stefan Zaugg"/>
    <x v="0"/>
    <x v="76"/>
    <x v="76"/>
    <n v="4"/>
    <s v="ADET"/>
    <n v="4"/>
    <n v="37"/>
    <n v="28"/>
    <n v="-3"/>
    <n v="0"/>
    <n v="0"/>
    <n v="122.24"/>
    <x v="13"/>
    <n v="488.96"/>
    <x v="7"/>
  </r>
  <r>
    <x v="4"/>
    <s v="Stefan Zaugg"/>
    <x v="0"/>
    <x v="389"/>
    <x v="389"/>
    <n v="1"/>
    <s v="ADET"/>
    <n v="1"/>
    <n v="4"/>
    <n v="10"/>
    <n v="-3"/>
    <n v="10"/>
    <n v="0"/>
    <n v="583.77"/>
    <x v="92"/>
    <n v="583.77"/>
    <x v="2"/>
  </r>
  <r>
    <x v="7"/>
    <s v="Laurent MONTAGNER"/>
    <x v="0"/>
    <x v="389"/>
    <x v="389"/>
    <n v="1"/>
    <s v="ADET"/>
    <n v="1"/>
    <n v="4"/>
    <n v="10"/>
    <n v="-3"/>
    <n v="10"/>
    <n v="0"/>
    <n v="583.77"/>
    <x v="92"/>
    <n v="583.77"/>
    <x v="2"/>
  </r>
  <r>
    <x v="7"/>
    <s v="Laurent MONTAGNER"/>
    <x v="0"/>
    <x v="422"/>
    <x v="422"/>
    <n v="1"/>
    <s v="ADET"/>
    <n v="1"/>
    <n v="12"/>
    <n v="17"/>
    <n v="-1"/>
    <n v="0"/>
    <n v="0"/>
    <n v="400"/>
    <x v="85"/>
    <n v="400"/>
    <x v="6"/>
  </r>
  <r>
    <x v="2"/>
    <s v="Laurent MONTAGNER"/>
    <x v="0"/>
    <x v="279"/>
    <x v="279"/>
    <n v="1"/>
    <s v="ADET"/>
    <n v="1"/>
    <n v="3"/>
    <n v="7"/>
    <n v="5"/>
    <n v="0"/>
    <n v="54497.75"/>
    <n v="10899.55"/>
    <x v="24"/>
    <n v="10899.55"/>
    <x v="4"/>
  </r>
  <r>
    <x v="6"/>
    <s v="Laurent MONTAGNER"/>
    <x v="0"/>
    <x v="279"/>
    <x v="279"/>
    <n v="1"/>
    <s v="ADET"/>
    <n v="1"/>
    <n v="3"/>
    <n v="7"/>
    <n v="5"/>
    <n v="0"/>
    <n v="54497.75"/>
    <n v="10899.55"/>
    <x v="24"/>
    <n v="10899.55"/>
    <x v="4"/>
  </r>
  <r>
    <x v="14"/>
    <s v="Stefan Zaugg"/>
    <x v="0"/>
    <x v="423"/>
    <x v="423"/>
    <n v="1"/>
    <s v="ADET"/>
    <n v="1"/>
    <n v="11"/>
    <n v="4"/>
    <n v="-4"/>
    <n v="0"/>
    <n v="0"/>
    <n v="1679.53"/>
    <x v="74"/>
    <n v="1679.53"/>
    <x v="4"/>
  </r>
  <r>
    <x v="7"/>
    <s v="Laurent MONTAGNER"/>
    <x v="0"/>
    <x v="388"/>
    <x v="388"/>
    <n v="1"/>
    <s v="ADET"/>
    <n v="1"/>
    <n v="4"/>
    <n v="9"/>
    <n v="1"/>
    <n v="6"/>
    <n v="1600"/>
    <n v="1600"/>
    <x v="14"/>
    <n v="1600"/>
    <x v="4"/>
  </r>
  <r>
    <x v="10"/>
    <s v="Jan Urbanek"/>
    <x v="0"/>
    <x v="279"/>
    <x v="279"/>
    <n v="1"/>
    <s v="ADET"/>
    <n v="0"/>
    <n v="3"/>
    <n v="7"/>
    <n v="5"/>
    <n v="0"/>
    <n v="54497.75"/>
    <n v="10899.55"/>
    <x v="24"/>
    <n v="10899.55"/>
    <x v="4"/>
  </r>
  <r>
    <x v="16"/>
    <s v="Stefan Zaugg"/>
    <x v="0"/>
    <x v="483"/>
    <x v="483"/>
    <n v="2"/>
    <s v="ADET"/>
    <n v="2"/>
    <n v="3"/>
    <n v="6"/>
    <n v="-3"/>
    <n v="0"/>
    <n v="0"/>
    <n v="100"/>
    <x v="2"/>
    <n v="200"/>
    <x v="2"/>
  </r>
  <r>
    <x v="4"/>
    <s v="Stefan Zaugg"/>
    <x v="0"/>
    <x v="170"/>
    <x v="170"/>
    <n v="3"/>
    <s v="ADET"/>
    <n v="3"/>
    <n v="65"/>
    <n v="31"/>
    <n v="-31"/>
    <n v="0"/>
    <n v="0"/>
    <n v="45.5"/>
    <x v="57"/>
    <n v="136.5"/>
    <x v="7"/>
  </r>
  <r>
    <x v="14"/>
    <s v="Stefan Zaugg"/>
    <x v="0"/>
    <x v="170"/>
    <x v="170"/>
    <n v="3"/>
    <s v="ADET"/>
    <n v="3"/>
    <n v="65"/>
    <n v="31"/>
    <n v="-31"/>
    <n v="0"/>
    <n v="0"/>
    <n v="45.5"/>
    <x v="57"/>
    <n v="136.5"/>
    <x v="7"/>
  </r>
  <r>
    <x v="4"/>
    <s v="Stefan Zaugg"/>
    <x v="0"/>
    <x v="447"/>
    <x v="447"/>
    <n v="2"/>
    <s v="ADET"/>
    <n v="0"/>
    <n v="0"/>
    <n v="14"/>
    <n v="38"/>
    <n v="0"/>
    <n v="261.06"/>
    <n v="6.87"/>
    <x v="15"/>
    <n v="13.74"/>
    <x v="7"/>
  </r>
  <r>
    <x v="2"/>
    <s v="Laurent MONTAGNER"/>
    <x v="0"/>
    <x v="175"/>
    <x v="175"/>
    <n v="2"/>
    <s v="ADET"/>
    <n v="0"/>
    <n v="20"/>
    <n v="20"/>
    <n v="-6"/>
    <n v="10"/>
    <n v="0"/>
    <n v="400"/>
    <x v="35"/>
    <n v="800"/>
    <x v="7"/>
  </r>
  <r>
    <x v="6"/>
    <s v="Laurent MONTAGNER"/>
    <x v="0"/>
    <x v="176"/>
    <x v="176"/>
    <n v="0.2"/>
    <s v="METRE"/>
    <n v="0"/>
    <n v="200"/>
    <n v="5.6843418860808015E-14"/>
    <n v="-196.15"/>
    <n v="0"/>
    <n v="0"/>
    <n v="2.89"/>
    <x v="15"/>
    <n v="0.57800000000000007"/>
    <x v="7"/>
  </r>
  <r>
    <x v="19"/>
    <s v="Volkan Batkan"/>
    <x v="0"/>
    <x v="71"/>
    <x v="71"/>
    <n v="5"/>
    <s v="ADET"/>
    <n v="5"/>
    <n v="15"/>
    <n v="10"/>
    <n v="20"/>
    <n v="0"/>
    <n v="3545.7999999999997"/>
    <n v="177.29"/>
    <x v="34"/>
    <n v="886.44999999999993"/>
    <x v="2"/>
  </r>
  <r>
    <x v="4"/>
    <s v="Stefan Zaugg"/>
    <x v="0"/>
    <x v="465"/>
    <x v="465"/>
    <n v="2"/>
    <s v="KG"/>
    <n v="2"/>
    <n v="139"/>
    <n v="45.499999999999943"/>
    <n v="-124"/>
    <n v="0"/>
    <n v="0"/>
    <n v="233.95"/>
    <x v="3"/>
    <n v="467.9"/>
    <x v="3"/>
  </r>
  <r>
    <x v="17"/>
    <s v="Murat Taşdemir"/>
    <x v="0"/>
    <x v="468"/>
    <x v="468"/>
    <n v="1"/>
    <s v="ADET"/>
    <n v="1"/>
    <n v="4"/>
    <n v="1"/>
    <n v="-3"/>
    <n v="0"/>
    <n v="0"/>
    <n v="270"/>
    <x v="14"/>
    <n v="270"/>
    <x v="3"/>
  </r>
  <r>
    <x v="14"/>
    <s v="Stefan Zaugg"/>
    <x v="0"/>
    <x v="393"/>
    <x v="393"/>
    <n v="2"/>
    <s v="ADET"/>
    <n v="2"/>
    <n v="452"/>
    <n v="25"/>
    <n v="-428"/>
    <n v="0"/>
    <n v="0"/>
    <n v="20"/>
    <x v="5"/>
    <n v="40"/>
    <x v="7"/>
  </r>
  <r>
    <x v="19"/>
    <s v="Volkan Batkan"/>
    <x v="0"/>
    <x v="393"/>
    <x v="393"/>
    <n v="2"/>
    <s v="ADET"/>
    <n v="2"/>
    <n v="452"/>
    <n v="25"/>
    <n v="-428"/>
    <n v="0"/>
    <n v="0"/>
    <n v="20"/>
    <x v="5"/>
    <n v="40"/>
    <x v="7"/>
  </r>
  <r>
    <x v="17"/>
    <s v="Murat Taşdemir"/>
    <x v="0"/>
    <x v="175"/>
    <x v="175"/>
    <n v="2"/>
    <s v="ADET"/>
    <n v="2"/>
    <n v="20"/>
    <n v="20"/>
    <n v="-6"/>
    <n v="10"/>
    <n v="0"/>
    <n v="400"/>
    <x v="35"/>
    <n v="800"/>
    <x v="7"/>
  </r>
  <r>
    <x v="19"/>
    <s v="Volkan Batkan"/>
    <x v="0"/>
    <x v="175"/>
    <x v="175"/>
    <n v="2"/>
    <s v="ADET"/>
    <n v="2"/>
    <n v="20"/>
    <n v="20"/>
    <n v="-6"/>
    <n v="10"/>
    <n v="0"/>
    <n v="400"/>
    <x v="35"/>
    <n v="800"/>
    <x v="7"/>
  </r>
  <r>
    <x v="7"/>
    <s v="Laurent MONTAGNER"/>
    <x v="0"/>
    <x v="172"/>
    <x v="172"/>
    <n v="10.62"/>
    <s v="KG"/>
    <n v="10.62"/>
    <n v="0"/>
    <n v="260.61"/>
    <n v="97.559999999999988"/>
    <n v="0"/>
    <n v="13285.720799999999"/>
    <n v="136.18"/>
    <x v="54"/>
    <n v="1446.2316000000001"/>
    <x v="3"/>
  </r>
  <r>
    <x v="2"/>
    <s v="Laurent MONTAGNER"/>
    <x v="0"/>
    <x v="443"/>
    <x v="443"/>
    <n v="1"/>
    <s v="ADET"/>
    <n v="1"/>
    <n v="10"/>
    <n v="5"/>
    <n v="-6"/>
    <n v="0"/>
    <n v="0"/>
    <n v="1679.53"/>
    <x v="74"/>
    <n v="1679.53"/>
    <x v="4"/>
  </r>
  <r>
    <x v="6"/>
    <s v="Laurent MONTAGNER"/>
    <x v="0"/>
    <x v="443"/>
    <x v="443"/>
    <n v="1"/>
    <s v="ADET"/>
    <n v="1"/>
    <n v="10"/>
    <n v="5"/>
    <n v="-6"/>
    <n v="0"/>
    <n v="0"/>
    <n v="1679.53"/>
    <x v="74"/>
    <n v="1679.53"/>
    <x v="4"/>
  </r>
  <r>
    <x v="8"/>
    <s v="Jan Urbanek"/>
    <x v="0"/>
    <x v="465"/>
    <x v="465"/>
    <n v="2.5"/>
    <s v="KG"/>
    <n v="2.5"/>
    <n v="139"/>
    <n v="45.499999999999943"/>
    <n v="-124"/>
    <n v="0"/>
    <n v="0"/>
    <n v="233.95"/>
    <x v="3"/>
    <n v="584.875"/>
    <x v="3"/>
  </r>
  <r>
    <x v="17"/>
    <s v="Murat Taşdemir"/>
    <x v="0"/>
    <x v="443"/>
    <x v="443"/>
    <n v="1"/>
    <s v="ADET"/>
    <n v="1"/>
    <n v="10"/>
    <n v="5"/>
    <n v="-6"/>
    <n v="0"/>
    <n v="0"/>
    <n v="1679.53"/>
    <x v="74"/>
    <n v="1679.53"/>
    <x v="4"/>
  </r>
  <r>
    <x v="7"/>
    <s v="Laurent MONTAGNER"/>
    <x v="0"/>
    <x v="443"/>
    <x v="443"/>
    <n v="1"/>
    <s v="ADET"/>
    <n v="1"/>
    <n v="10"/>
    <n v="5"/>
    <n v="-6"/>
    <n v="0"/>
    <n v="0"/>
    <n v="1679.53"/>
    <x v="74"/>
    <n v="1679.53"/>
    <x v="4"/>
  </r>
  <r>
    <x v="6"/>
    <s v="Laurent MONTAGNER"/>
    <x v="0"/>
    <x v="266"/>
    <x v="266"/>
    <n v="1"/>
    <s v="ADET"/>
    <n v="1"/>
    <n v="21"/>
    <n v="10"/>
    <n v="-50"/>
    <n v="40"/>
    <n v="0"/>
    <n v="312"/>
    <x v="35"/>
    <n v="312"/>
    <x v="6"/>
  </r>
  <r>
    <x v="7"/>
    <s v="Laurent MONTAGNER"/>
    <x v="0"/>
    <x v="17"/>
    <x v="17"/>
    <n v="1"/>
    <s v="ADET"/>
    <n v="1"/>
    <n v="17"/>
    <n v="8"/>
    <n v="-1"/>
    <n v="0"/>
    <n v="0"/>
    <n v="33.340000000000003"/>
    <x v="13"/>
    <n v="33.340000000000003"/>
    <x v="7"/>
  </r>
  <r>
    <x v="6"/>
    <s v="Laurent MONTAGNER"/>
    <x v="0"/>
    <x v="310"/>
    <x v="310"/>
    <n v="1"/>
    <s v="ADET"/>
    <n v="1"/>
    <n v="5"/>
    <n v="6"/>
    <n v="-4"/>
    <n v="0"/>
    <n v="0"/>
    <n v="8495.43"/>
    <x v="34"/>
    <n v="8495.43"/>
    <x v="6"/>
  </r>
  <r>
    <x v="14"/>
    <s v="Stefan Zaugg"/>
    <x v="0"/>
    <x v="266"/>
    <x v="266"/>
    <n v="1"/>
    <s v="ADET"/>
    <n v="1"/>
    <n v="21"/>
    <n v="10"/>
    <n v="-50"/>
    <n v="40"/>
    <n v="0"/>
    <n v="312"/>
    <x v="35"/>
    <n v="312"/>
    <x v="6"/>
  </r>
  <r>
    <x v="17"/>
    <s v="Murat Taşdemir"/>
    <x v="0"/>
    <x v="346"/>
    <x v="346"/>
    <n v="4"/>
    <s v="ADET"/>
    <n v="0"/>
    <n v="100"/>
    <n v="52"/>
    <n v="-52"/>
    <n v="0"/>
    <n v="0"/>
    <n v="1.1299999999999999"/>
    <x v="15"/>
    <n v="4.5199999999999996"/>
    <x v="7"/>
  </r>
  <r>
    <x v="1"/>
    <s v="Stina Alm"/>
    <x v="0"/>
    <x v="321"/>
    <x v="321"/>
    <n v="1"/>
    <s v="ADET"/>
    <n v="0"/>
    <n v="23"/>
    <n v="5"/>
    <n v="-11"/>
    <n v="0"/>
    <n v="0"/>
    <n v="360.19"/>
    <x v="74"/>
    <n v="360.19"/>
    <x v="4"/>
  </r>
  <r>
    <x v="19"/>
    <s v="Volkan Batkan"/>
    <x v="0"/>
    <x v="288"/>
    <x v="288"/>
    <n v="1"/>
    <s v="ADET"/>
    <n v="1"/>
    <n v="13"/>
    <n v="13"/>
    <n v="-1"/>
    <n v="0"/>
    <n v="0"/>
    <n v="237.5"/>
    <x v="21"/>
    <n v="237.5"/>
    <x v="2"/>
  </r>
  <r>
    <x v="17"/>
    <s v="Murat Taşdemir"/>
    <x v="0"/>
    <x v="96"/>
    <x v="96"/>
    <n v="2"/>
    <s v="ADET"/>
    <n v="2"/>
    <n v="40"/>
    <n v="16"/>
    <n v="-18"/>
    <n v="0"/>
    <n v="0"/>
    <n v="375"/>
    <x v="37"/>
    <n v="750"/>
    <x v="6"/>
  </r>
  <r>
    <x v="11"/>
    <s v="Jan Urbanek"/>
    <x v="0"/>
    <x v="15"/>
    <x v="15"/>
    <n v="1"/>
    <s v="ADET"/>
    <n v="1"/>
    <n v="12"/>
    <n v="13"/>
    <n v="-5"/>
    <n v="0"/>
    <n v="0"/>
    <n v="28339.38"/>
    <x v="11"/>
    <n v="28339.38"/>
    <x v="6"/>
  </r>
  <r>
    <x v="6"/>
    <s v="Laurent MONTAGNER"/>
    <x v="0"/>
    <x v="150"/>
    <x v="150"/>
    <n v="1"/>
    <s v="ADET"/>
    <n v="1"/>
    <n v="9"/>
    <n v="13"/>
    <n v="-1"/>
    <n v="4"/>
    <n v="0"/>
    <n v="1600"/>
    <x v="35"/>
    <n v="1600"/>
    <x v="7"/>
  </r>
  <r>
    <x v="17"/>
    <s v="Murat Taşdemir"/>
    <x v="0"/>
    <x v="15"/>
    <x v="15"/>
    <n v="1"/>
    <s v="ADET"/>
    <n v="1"/>
    <n v="12"/>
    <n v="13"/>
    <n v="-5"/>
    <n v="0"/>
    <n v="0"/>
    <n v="28339.38"/>
    <x v="11"/>
    <n v="28339.38"/>
    <x v="6"/>
  </r>
  <r>
    <x v="6"/>
    <s v="Laurent MONTAGNER"/>
    <x v="0"/>
    <x v="15"/>
    <x v="15"/>
    <n v="1"/>
    <s v="ADET"/>
    <n v="1"/>
    <n v="12"/>
    <n v="13"/>
    <n v="-5"/>
    <n v="0"/>
    <n v="0"/>
    <n v="28339.38"/>
    <x v="11"/>
    <n v="28339.38"/>
    <x v="6"/>
  </r>
  <r>
    <x v="4"/>
    <s v="Stefan Zaugg"/>
    <x v="0"/>
    <x v="198"/>
    <x v="198"/>
    <n v="3"/>
    <s v="METRE"/>
    <n v="3"/>
    <n v="118"/>
    <n v="21"/>
    <n v="-115"/>
    <n v="0"/>
    <n v="0"/>
    <n v="14.33"/>
    <x v="15"/>
    <n v="42.99"/>
    <x v="7"/>
  </r>
  <r>
    <x v="17"/>
    <s v="Murat Taşdemir"/>
    <x v="0"/>
    <x v="150"/>
    <x v="150"/>
    <n v="1"/>
    <s v="ADET"/>
    <n v="1"/>
    <n v="9"/>
    <n v="13"/>
    <n v="-1"/>
    <n v="4"/>
    <n v="0"/>
    <n v="1600"/>
    <x v="35"/>
    <n v="1600"/>
    <x v="7"/>
  </r>
  <r>
    <x v="9"/>
    <s v="Jan Urbanek"/>
    <x v="0"/>
    <x v="15"/>
    <x v="15"/>
    <n v="1"/>
    <s v="ADET"/>
    <n v="1"/>
    <n v="12"/>
    <n v="13"/>
    <n v="-5"/>
    <n v="0"/>
    <n v="0"/>
    <n v="28339.38"/>
    <x v="11"/>
    <n v="28339.38"/>
    <x v="6"/>
  </r>
  <r>
    <x v="4"/>
    <s v="Stefan Zaugg"/>
    <x v="0"/>
    <x v="507"/>
    <x v="507"/>
    <n v="1"/>
    <s v="ADET"/>
    <n v="1"/>
    <n v="2"/>
    <n v="2"/>
    <n v="-2"/>
    <n v="0"/>
    <n v="0"/>
    <n v="400"/>
    <x v="91"/>
    <n v="400"/>
    <x v="4"/>
  </r>
  <r>
    <x v="19"/>
    <s v="Volkan Batkan"/>
    <x v="0"/>
    <x v="10"/>
    <x v="10"/>
    <n v="0.05"/>
    <s v="KG"/>
    <n v="0.05"/>
    <n v="0"/>
    <n v="2.6000000000000014"/>
    <n v="0.29999999999999982"/>
    <n v="0"/>
    <n v="193.70099999999988"/>
    <n v="645.66999999999996"/>
    <x v="3"/>
    <n v="32.283499999999997"/>
    <x v="3"/>
  </r>
  <r>
    <x v="19"/>
    <s v="Volkan Batkan"/>
    <x v="0"/>
    <x v="11"/>
    <x v="11"/>
    <n v="1.504"/>
    <s v="KG"/>
    <n v="1.504"/>
    <n v="0"/>
    <n v="65.03100000000002"/>
    <n v="17.948"/>
    <n v="0"/>
    <n v="6991.2844399999994"/>
    <n v="389.53"/>
    <x v="3"/>
    <n v="585.85311999999999"/>
    <x v="3"/>
  </r>
  <r>
    <x v="17"/>
    <s v="Murat Taşdemir"/>
    <x v="0"/>
    <x v="14"/>
    <x v="14"/>
    <n v="1"/>
    <s v="ADET"/>
    <n v="1"/>
    <n v="0"/>
    <n v="10"/>
    <n v="0"/>
    <n v="11"/>
    <n v="0"/>
    <n v="675"/>
    <x v="7"/>
    <n v="675"/>
    <x v="6"/>
  </r>
  <r>
    <x v="6"/>
    <s v="Laurent MONTAGNER"/>
    <x v="0"/>
    <x v="183"/>
    <x v="183"/>
    <n v="1"/>
    <s v="ADET"/>
    <n v="1"/>
    <n v="17"/>
    <n v="11"/>
    <n v="-5"/>
    <n v="0"/>
    <n v="0"/>
    <n v="1094.4000000000001"/>
    <x v="15"/>
    <n v="1094.4000000000001"/>
    <x v="7"/>
  </r>
  <r>
    <x v="16"/>
    <s v="Stefan Zaugg"/>
    <x v="0"/>
    <x v="15"/>
    <x v="15"/>
    <n v="1"/>
    <s v="ADET"/>
    <n v="1"/>
    <n v="12"/>
    <n v="13"/>
    <n v="-5"/>
    <n v="0"/>
    <n v="0"/>
    <n v="28339.38"/>
    <x v="11"/>
    <n v="28339.38"/>
    <x v="6"/>
  </r>
  <r>
    <x v="17"/>
    <s v="Murat Taşdemir"/>
    <x v="0"/>
    <x v="206"/>
    <x v="206"/>
    <n v="1"/>
    <s v="ADET"/>
    <n v="1"/>
    <n v="2"/>
    <n v="4"/>
    <n v="0"/>
    <n v="2"/>
    <n v="0"/>
    <n v="1667.14"/>
    <x v="7"/>
    <n v="1667.14"/>
    <x v="6"/>
  </r>
  <r>
    <x v="17"/>
    <s v="Murat Taşdemir"/>
    <x v="0"/>
    <x v="472"/>
    <x v="472"/>
    <n v="3"/>
    <s v="ADET"/>
    <n v="3"/>
    <n v="36"/>
    <n v="26"/>
    <n v="1"/>
    <n v="0"/>
    <n v="348.7"/>
    <n v="348.7"/>
    <x v="74"/>
    <n v="1046.0999999999999"/>
    <x v="6"/>
  </r>
  <r>
    <x v="19"/>
    <s v="Volkan Batkan"/>
    <x v="0"/>
    <x v="457"/>
    <x v="457"/>
    <n v="1"/>
    <s v="ADET"/>
    <n v="1"/>
    <n v="19"/>
    <n v="4"/>
    <n v="-12"/>
    <n v="0"/>
    <n v="0"/>
    <n v="85"/>
    <x v="10"/>
    <n v="85"/>
    <x v="4"/>
  </r>
  <r>
    <x v="19"/>
    <s v="Volkan Batkan"/>
    <x v="0"/>
    <x v="201"/>
    <x v="201"/>
    <n v="1"/>
    <s v="ADET"/>
    <n v="1"/>
    <n v="4"/>
    <n v="3"/>
    <n v="-3"/>
    <n v="0"/>
    <n v="0"/>
    <n v="200"/>
    <x v="39"/>
    <n v="200"/>
    <x v="4"/>
  </r>
  <r>
    <x v="17"/>
    <s v="Murat Taşdemir"/>
    <x v="0"/>
    <x v="183"/>
    <x v="183"/>
    <n v="1"/>
    <s v="ADET"/>
    <n v="1"/>
    <n v="17"/>
    <n v="11"/>
    <n v="-5"/>
    <n v="0"/>
    <n v="0"/>
    <n v="1094.4000000000001"/>
    <x v="15"/>
    <n v="1094.4000000000001"/>
    <x v="7"/>
  </r>
  <r>
    <x v="2"/>
    <s v="Laurent MONTAGNER"/>
    <x v="0"/>
    <x v="454"/>
    <x v="454"/>
    <n v="4"/>
    <s v="ADET"/>
    <n v="4"/>
    <n v="109"/>
    <n v="34"/>
    <n v="-71"/>
    <n v="0"/>
    <n v="0"/>
    <n v="250"/>
    <x v="21"/>
    <n v="1000"/>
    <x v="2"/>
  </r>
  <r>
    <x v="6"/>
    <s v="Laurent MONTAGNER"/>
    <x v="0"/>
    <x v="454"/>
    <x v="454"/>
    <n v="4"/>
    <s v="ADET"/>
    <n v="4"/>
    <n v="109"/>
    <n v="34"/>
    <n v="-71"/>
    <n v="0"/>
    <n v="0"/>
    <n v="250"/>
    <x v="21"/>
    <n v="1000"/>
    <x v="2"/>
  </r>
  <r>
    <x v="2"/>
    <s v="Laurent MONTAGNER"/>
    <x v="0"/>
    <x v="11"/>
    <x v="11"/>
    <n v="2.0499999999999998"/>
    <s v="KG"/>
    <n v="2.0499999999999998"/>
    <n v="0"/>
    <n v="65.03100000000002"/>
    <n v="17.948"/>
    <n v="0"/>
    <n v="6991.2844399999994"/>
    <n v="389.53"/>
    <x v="3"/>
    <n v="798.53649999999982"/>
    <x v="3"/>
  </r>
  <r>
    <x v="6"/>
    <s v="Laurent MONTAGNER"/>
    <x v="0"/>
    <x v="11"/>
    <x v="11"/>
    <n v="2.5500000000000003"/>
    <s v="KG"/>
    <n v="2.5500000000000003"/>
    <n v="0"/>
    <n v="65.03100000000002"/>
    <n v="17.948"/>
    <n v="0"/>
    <n v="6991.2844399999994"/>
    <n v="389.53"/>
    <x v="3"/>
    <n v="993.30150000000003"/>
    <x v="3"/>
  </r>
  <r>
    <x v="6"/>
    <s v="Laurent MONTAGNER"/>
    <x v="0"/>
    <x v="206"/>
    <x v="206"/>
    <n v="1"/>
    <s v="ADET"/>
    <n v="1"/>
    <n v="2"/>
    <n v="4"/>
    <n v="0"/>
    <n v="2"/>
    <n v="0"/>
    <n v="1667.14"/>
    <x v="7"/>
    <n v="1667.14"/>
    <x v="6"/>
  </r>
  <r>
    <x v="7"/>
    <s v="Laurent MONTAGNER"/>
    <x v="0"/>
    <x v="206"/>
    <x v="206"/>
    <n v="1"/>
    <s v="ADET"/>
    <n v="1"/>
    <n v="2"/>
    <n v="4"/>
    <n v="0"/>
    <n v="2"/>
    <n v="0"/>
    <n v="1667.14"/>
    <x v="7"/>
    <n v="1667.14"/>
    <x v="6"/>
  </r>
  <r>
    <x v="6"/>
    <s v="Laurent MONTAGNER"/>
    <x v="0"/>
    <x v="472"/>
    <x v="472"/>
    <n v="4"/>
    <s v="ADET"/>
    <n v="4"/>
    <n v="36"/>
    <n v="26"/>
    <n v="1"/>
    <n v="0"/>
    <n v="348.7"/>
    <n v="348.7"/>
    <x v="74"/>
    <n v="1394.8"/>
    <x v="6"/>
  </r>
  <r>
    <x v="9"/>
    <s v="Jan Urbanek"/>
    <x v="0"/>
    <x v="452"/>
    <x v="452"/>
    <n v="1"/>
    <s v="ADET"/>
    <n v="1"/>
    <n v="27"/>
    <n v="4"/>
    <n v="-20"/>
    <n v="0"/>
    <n v="0"/>
    <n v="287.13"/>
    <x v="74"/>
    <n v="287.13"/>
    <x v="4"/>
  </r>
  <r>
    <x v="14"/>
    <s v="Stefan Zaugg"/>
    <x v="0"/>
    <x v="483"/>
    <x v="483"/>
    <n v="2"/>
    <s v="ADET"/>
    <n v="2"/>
    <n v="3"/>
    <n v="6"/>
    <n v="-3"/>
    <n v="0"/>
    <n v="0"/>
    <n v="100"/>
    <x v="2"/>
    <n v="200"/>
    <x v="2"/>
  </r>
  <r>
    <x v="13"/>
    <s v="Matteo Giolo"/>
    <x v="0"/>
    <x v="114"/>
    <x v="114"/>
    <n v="5"/>
    <s v="ADET"/>
    <n v="0"/>
    <n v="230"/>
    <n v="72"/>
    <n v="-172"/>
    <n v="0"/>
    <n v="0"/>
    <n v="225"/>
    <x v="42"/>
    <n v="1125"/>
    <x v="6"/>
  </r>
  <r>
    <x v="2"/>
    <s v="Laurent MONTAGNER"/>
    <x v="0"/>
    <x v="217"/>
    <x v="217"/>
    <n v="4"/>
    <s v="ADET"/>
    <n v="4"/>
    <n v="39"/>
    <n v="32"/>
    <n v="-11"/>
    <n v="0"/>
    <n v="0"/>
    <n v="73.349999999999994"/>
    <x v="13"/>
    <n v="293.39999999999998"/>
    <x v="7"/>
  </r>
  <r>
    <x v="14"/>
    <s v="Stefan Zaugg"/>
    <x v="0"/>
    <x v="218"/>
    <x v="218"/>
    <n v="1"/>
    <s v="ADET"/>
    <n v="1"/>
    <n v="24"/>
    <n v="9"/>
    <n v="-21"/>
    <n v="0"/>
    <n v="0"/>
    <n v="368.07"/>
    <x v="67"/>
    <n v="368.07"/>
    <x v="7"/>
  </r>
  <r>
    <x v="9"/>
    <s v="Jan Urbanek"/>
    <x v="0"/>
    <x v="194"/>
    <x v="194"/>
    <n v="4.0999999999999996"/>
    <s v="METRE"/>
    <n v="0"/>
    <n v="100"/>
    <n v="2.0000000000000568"/>
    <n v="-6.4000000000000057"/>
    <n v="0"/>
    <n v="0"/>
    <n v="111"/>
    <x v="15"/>
    <n v="455.09999999999997"/>
    <x v="7"/>
  </r>
  <r>
    <x v="2"/>
    <s v="Laurent MONTAGNER"/>
    <x v="0"/>
    <x v="412"/>
    <x v="412"/>
    <n v="1"/>
    <s v="ADET"/>
    <n v="1"/>
    <n v="15"/>
    <n v="11"/>
    <n v="-4"/>
    <n v="0"/>
    <n v="0"/>
    <n v="510"/>
    <x v="53"/>
    <n v="510"/>
    <x v="4"/>
  </r>
  <r>
    <x v="16"/>
    <s v="Stefan Zaugg"/>
    <x v="0"/>
    <x v="192"/>
    <x v="192"/>
    <n v="1.1000000000000001"/>
    <s v="ADET"/>
    <n v="1.1000000000000001"/>
    <n v="14"/>
    <n v="6.8000000000000025"/>
    <n v="7.7000000000000028"/>
    <n v="12"/>
    <n v="2532.1450000000009"/>
    <n v="328.85"/>
    <x v="62"/>
    <n v="361.73500000000007"/>
    <x v="3"/>
  </r>
  <r>
    <x v="4"/>
    <s v="Stefan Zaugg"/>
    <x v="0"/>
    <x v="192"/>
    <x v="192"/>
    <n v="1.1000000000000001"/>
    <s v="ADET"/>
    <n v="1.1000000000000001"/>
    <n v="14"/>
    <n v="6.8000000000000025"/>
    <n v="7.7000000000000028"/>
    <n v="12"/>
    <n v="2532.1450000000009"/>
    <n v="328.85"/>
    <x v="62"/>
    <n v="361.73500000000007"/>
    <x v="3"/>
  </r>
  <r>
    <x v="19"/>
    <s v="Volkan Batkan"/>
    <x v="0"/>
    <x v="218"/>
    <x v="218"/>
    <n v="1"/>
    <s v="ADET"/>
    <n v="1"/>
    <n v="24"/>
    <n v="9"/>
    <n v="-21"/>
    <n v="0"/>
    <n v="0"/>
    <n v="368.07"/>
    <x v="67"/>
    <n v="368.07"/>
    <x v="7"/>
  </r>
  <r>
    <x v="7"/>
    <s v="Laurent MONTAGNER"/>
    <x v="0"/>
    <x v="29"/>
    <x v="29"/>
    <n v="4"/>
    <s v="ADET"/>
    <n v="4"/>
    <n v="75"/>
    <n v="60"/>
    <n v="-31"/>
    <n v="0"/>
    <n v="0"/>
    <n v="170"/>
    <x v="16"/>
    <n v="680"/>
    <x v="2"/>
  </r>
  <r>
    <x v="7"/>
    <s v="Laurent MONTAGNER"/>
    <x v="0"/>
    <x v="351"/>
    <x v="351"/>
    <n v="1"/>
    <s v="ADET"/>
    <n v="1"/>
    <n v="17"/>
    <n v="17"/>
    <n v="-6"/>
    <n v="0"/>
    <n v="0"/>
    <n v="41.67"/>
    <x v="85"/>
    <n v="41.67"/>
    <x v="6"/>
  </r>
  <r>
    <x v="4"/>
    <s v="Stefan Zaugg"/>
    <x v="0"/>
    <x v="272"/>
    <x v="272"/>
    <n v="1"/>
    <s v="ADET"/>
    <n v="1"/>
    <n v="28"/>
    <n v="5"/>
    <n v="-28"/>
    <n v="0"/>
    <n v="0"/>
    <n v="90"/>
    <x v="2"/>
    <n v="90"/>
    <x v="2"/>
  </r>
  <r>
    <x v="19"/>
    <s v="Volkan Batkan"/>
    <x v="0"/>
    <x v="187"/>
    <x v="187"/>
    <n v="1"/>
    <s v="ADET"/>
    <n v="1"/>
    <n v="304"/>
    <n v="13"/>
    <n v="-281"/>
    <n v="0"/>
    <n v="0"/>
    <n v="210"/>
    <x v="20"/>
    <n v="210"/>
    <x v="7"/>
  </r>
  <r>
    <x v="14"/>
    <s v="Stefan Zaugg"/>
    <x v="0"/>
    <x v="508"/>
    <x v="508"/>
    <n v="6"/>
    <s v="M2"/>
    <n v="6"/>
    <n v="0"/>
    <n v="3.0350000000000001"/>
    <n v="0"/>
    <n v="0"/>
    <n v="0"/>
    <n v="202.09"/>
    <x v="63"/>
    <n v="1212.54"/>
    <x v="8"/>
  </r>
  <r>
    <x v="2"/>
    <s v="Laurent MONTAGNER"/>
    <x v="0"/>
    <x v="336"/>
    <x v="336"/>
    <n v="2"/>
    <s v="ADET"/>
    <n v="2"/>
    <n v="6"/>
    <n v="24"/>
    <n v="10"/>
    <n v="0"/>
    <n v="149462.5"/>
    <n v="14946.25"/>
    <x v="68"/>
    <n v="29892.5"/>
    <x v="4"/>
  </r>
  <r>
    <x v="7"/>
    <s v="Laurent MONTAGNER"/>
    <x v="0"/>
    <x v="188"/>
    <x v="188"/>
    <n v="1"/>
    <s v="ADET"/>
    <n v="1"/>
    <n v="12"/>
    <n v="9"/>
    <n v="0"/>
    <n v="0"/>
    <n v="0"/>
    <n v="266.72000000000003"/>
    <x v="13"/>
    <n v="266.72000000000003"/>
    <x v="7"/>
  </r>
  <r>
    <x v="16"/>
    <s v="Stefan Zaugg"/>
    <x v="0"/>
    <x v="272"/>
    <x v="272"/>
    <n v="1"/>
    <s v="ADET"/>
    <n v="1"/>
    <n v="28"/>
    <n v="5"/>
    <n v="-28"/>
    <n v="0"/>
    <n v="0"/>
    <n v="90"/>
    <x v="2"/>
    <n v="90"/>
    <x v="2"/>
  </r>
  <r>
    <x v="17"/>
    <s v="Murat Taşdemir"/>
    <x v="0"/>
    <x v="29"/>
    <x v="29"/>
    <n v="4"/>
    <s v="ADET"/>
    <n v="4"/>
    <n v="75"/>
    <n v="60"/>
    <n v="-31"/>
    <n v="0"/>
    <n v="0"/>
    <n v="170"/>
    <x v="16"/>
    <n v="680"/>
    <x v="2"/>
  </r>
  <r>
    <x v="14"/>
    <s v="Stefan Zaugg"/>
    <x v="0"/>
    <x v="30"/>
    <x v="30"/>
    <n v="4"/>
    <s v="ADET"/>
    <n v="4"/>
    <n v="1270"/>
    <n v="698"/>
    <n v="-1174"/>
    <n v="0"/>
    <n v="0"/>
    <n v="0.55000000000000004"/>
    <x v="14"/>
    <n v="2.2000000000000002"/>
    <x v="2"/>
  </r>
  <r>
    <x v="2"/>
    <s v="Laurent MONTAGNER"/>
    <x v="0"/>
    <x v="188"/>
    <x v="188"/>
    <n v="1"/>
    <s v="ADET"/>
    <n v="0"/>
    <n v="12"/>
    <n v="9"/>
    <n v="0"/>
    <n v="0"/>
    <n v="0"/>
    <n v="266.72000000000003"/>
    <x v="13"/>
    <n v="266.72000000000003"/>
    <x v="7"/>
  </r>
  <r>
    <x v="4"/>
    <s v="Stefan Zaugg"/>
    <x v="0"/>
    <x v="349"/>
    <x v="349"/>
    <n v="5"/>
    <s v="ADET"/>
    <n v="5"/>
    <n v="19"/>
    <n v="19"/>
    <n v="14"/>
    <n v="0"/>
    <n v="44207.66"/>
    <n v="3157.69"/>
    <x v="84"/>
    <n v="15788.45"/>
    <x v="6"/>
  </r>
  <r>
    <x v="16"/>
    <s v="Stefan Zaugg"/>
    <x v="0"/>
    <x v="29"/>
    <x v="29"/>
    <n v="4"/>
    <s v="ADET"/>
    <n v="4"/>
    <n v="75"/>
    <n v="60"/>
    <n v="-31"/>
    <n v="0"/>
    <n v="0"/>
    <n v="170"/>
    <x v="16"/>
    <n v="680"/>
    <x v="2"/>
  </r>
  <r>
    <x v="6"/>
    <s v="Laurent MONTAGNER"/>
    <x v="0"/>
    <x v="338"/>
    <x v="338"/>
    <n v="1"/>
    <s v="ADET"/>
    <n v="1"/>
    <n v="25"/>
    <n v="5"/>
    <n v="-13"/>
    <n v="0"/>
    <n v="0"/>
    <n v="373.06"/>
    <x v="74"/>
    <n v="373.06"/>
    <x v="4"/>
  </r>
  <r>
    <x v="7"/>
    <s v="Laurent MONTAGNER"/>
    <x v="0"/>
    <x v="338"/>
    <x v="338"/>
    <n v="1"/>
    <s v="ADET"/>
    <n v="1"/>
    <n v="25"/>
    <n v="5"/>
    <n v="-13"/>
    <n v="0"/>
    <n v="0"/>
    <n v="373.06"/>
    <x v="74"/>
    <n v="373.06"/>
    <x v="4"/>
  </r>
  <r>
    <x v="6"/>
    <s v="Laurent MONTAGNER"/>
    <x v="0"/>
    <x v="336"/>
    <x v="336"/>
    <n v="2"/>
    <s v="ADET"/>
    <n v="2"/>
    <n v="6"/>
    <n v="24"/>
    <n v="10"/>
    <n v="0"/>
    <n v="149462.5"/>
    <n v="14946.25"/>
    <x v="68"/>
    <n v="29892.5"/>
    <x v="4"/>
  </r>
  <r>
    <x v="19"/>
    <s v="Volkan Batkan"/>
    <x v="0"/>
    <x v="29"/>
    <x v="29"/>
    <n v="4"/>
    <s v="ADET"/>
    <n v="4"/>
    <n v="75"/>
    <n v="60"/>
    <n v="-31"/>
    <n v="0"/>
    <n v="0"/>
    <n v="170"/>
    <x v="16"/>
    <n v="680"/>
    <x v="2"/>
  </r>
  <r>
    <x v="9"/>
    <s v="Jan Urbanek"/>
    <x v="0"/>
    <x v="453"/>
    <x v="453"/>
    <n v="1"/>
    <s v="ADET"/>
    <n v="1"/>
    <n v="27"/>
    <n v="4"/>
    <n v="-20"/>
    <n v="0"/>
    <n v="0"/>
    <n v="287.13"/>
    <x v="74"/>
    <n v="287.13"/>
    <x v="4"/>
  </r>
  <r>
    <x v="17"/>
    <s v="Murat Taşdemir"/>
    <x v="0"/>
    <x v="454"/>
    <x v="454"/>
    <n v="2"/>
    <s v="ADET"/>
    <n v="2"/>
    <n v="109"/>
    <n v="34"/>
    <n v="-71"/>
    <n v="0"/>
    <n v="0"/>
    <n v="250"/>
    <x v="21"/>
    <n v="500"/>
    <x v="2"/>
  </r>
  <r>
    <x v="17"/>
    <s v="Murat Taşdemir"/>
    <x v="0"/>
    <x v="11"/>
    <x v="11"/>
    <n v="1.6700000000000002"/>
    <s v="KG"/>
    <n v="1.6700000000000002"/>
    <n v="0"/>
    <n v="65.03100000000002"/>
    <n v="17.948"/>
    <n v="0"/>
    <n v="6991.2844399999994"/>
    <n v="389.53"/>
    <x v="3"/>
    <n v="650.51509999999996"/>
    <x v="3"/>
  </r>
  <r>
    <x v="19"/>
    <s v="Volkan Batkan"/>
    <x v="0"/>
    <x v="14"/>
    <x v="14"/>
    <n v="1"/>
    <s v="ADET"/>
    <n v="1"/>
    <n v="0"/>
    <n v="10"/>
    <n v="0"/>
    <n v="11"/>
    <n v="0"/>
    <n v="675"/>
    <x v="7"/>
    <n v="675"/>
    <x v="6"/>
  </r>
  <r>
    <x v="2"/>
    <s v="Laurent MONTAGNER"/>
    <x v="0"/>
    <x v="15"/>
    <x v="15"/>
    <n v="1"/>
    <s v="ADET"/>
    <n v="1"/>
    <n v="12"/>
    <n v="13"/>
    <n v="-5"/>
    <n v="0"/>
    <n v="0"/>
    <n v="28339.38"/>
    <x v="11"/>
    <n v="28339.38"/>
    <x v="6"/>
  </r>
  <r>
    <x v="4"/>
    <s v="Stefan Zaugg"/>
    <x v="0"/>
    <x v="383"/>
    <x v="383"/>
    <n v="1"/>
    <s v="ADET"/>
    <n v="1"/>
    <n v="2"/>
    <n v="2"/>
    <n v="-2"/>
    <n v="0"/>
    <n v="0"/>
    <n v="400"/>
    <x v="91"/>
    <n v="400"/>
    <x v="4"/>
  </r>
  <r>
    <x v="4"/>
    <s v="Stefan Zaugg"/>
    <x v="0"/>
    <x v="304"/>
    <x v="304"/>
    <n v="4"/>
    <s v="ADET"/>
    <n v="0"/>
    <n v="200"/>
    <n v="343"/>
    <n v="-8"/>
    <n v="0"/>
    <n v="0"/>
    <n v="9"/>
    <x v="14"/>
    <n v="36"/>
    <x v="2"/>
  </r>
  <r>
    <x v="5"/>
    <s v="Matteo Giolo"/>
    <x v="0"/>
    <x v="304"/>
    <x v="304"/>
    <n v="4"/>
    <s v="ADET"/>
    <n v="0"/>
    <n v="200"/>
    <n v="343"/>
    <n v="-8"/>
    <n v="0"/>
    <n v="0"/>
    <n v="9"/>
    <x v="14"/>
    <n v="36"/>
    <x v="2"/>
  </r>
  <r>
    <x v="5"/>
    <s v="Matteo Giolo"/>
    <x v="0"/>
    <x v="384"/>
    <x v="384"/>
    <n v="0.25"/>
    <s v="ADET"/>
    <n v="0"/>
    <n v="6"/>
    <n v="1.7763568394002505E-15"/>
    <n v="7.25"/>
    <n v="0"/>
    <n v="145"/>
    <n v="20"/>
    <x v="2"/>
    <n v="5"/>
    <x v="2"/>
  </r>
  <r>
    <x v="4"/>
    <s v="Stefan Zaugg"/>
    <x v="0"/>
    <x v="385"/>
    <x v="385"/>
    <n v="1"/>
    <s v="ADET"/>
    <n v="1"/>
    <n v="4"/>
    <n v="11"/>
    <n v="9"/>
    <n v="0"/>
    <n v="54009.99"/>
    <n v="6001.11"/>
    <x v="13"/>
    <n v="6001.11"/>
    <x v="7"/>
  </r>
  <r>
    <x v="5"/>
    <s v="Matteo Giolo"/>
    <x v="0"/>
    <x v="385"/>
    <x v="385"/>
    <n v="1"/>
    <s v="ADET"/>
    <n v="0"/>
    <n v="4"/>
    <n v="11"/>
    <n v="9"/>
    <n v="0"/>
    <n v="54009.99"/>
    <n v="6001.11"/>
    <x v="13"/>
    <n v="6001.11"/>
    <x v="7"/>
  </r>
  <r>
    <x v="12"/>
    <s v="Matteo Giolo"/>
    <x v="0"/>
    <x v="473"/>
    <x v="473"/>
    <n v="1"/>
    <s v="ADET"/>
    <n v="0"/>
    <n v="0"/>
    <n v="0"/>
    <n v="15"/>
    <n v="0"/>
    <n v="0"/>
    <n v="0"/>
    <x v="5"/>
    <n v="0"/>
    <x v="6"/>
  </r>
  <r>
    <x v="11"/>
    <s v="Jan Urbanek"/>
    <x v="0"/>
    <x v="385"/>
    <x v="385"/>
    <n v="1"/>
    <s v="ADET"/>
    <n v="0"/>
    <n v="4"/>
    <n v="11"/>
    <n v="9"/>
    <n v="0"/>
    <n v="54009.99"/>
    <n v="6001.11"/>
    <x v="13"/>
    <n v="6001.11"/>
    <x v="7"/>
  </r>
  <r>
    <x v="14"/>
    <s v="Stefan Zaugg"/>
    <x v="0"/>
    <x v="473"/>
    <x v="473"/>
    <n v="1"/>
    <s v="ADET"/>
    <n v="0"/>
    <n v="0"/>
    <n v="0"/>
    <n v="15"/>
    <n v="0"/>
    <n v="0"/>
    <n v="0"/>
    <x v="5"/>
    <n v="0"/>
    <x v="6"/>
  </r>
  <r>
    <x v="13"/>
    <s v="Matteo Giolo"/>
    <x v="0"/>
    <x v="473"/>
    <x v="473"/>
    <n v="1"/>
    <s v="ADET"/>
    <n v="0"/>
    <n v="0"/>
    <n v="0"/>
    <n v="15"/>
    <n v="0"/>
    <n v="0"/>
    <n v="0"/>
    <x v="5"/>
    <n v="0"/>
    <x v="6"/>
  </r>
  <r>
    <x v="1"/>
    <s v="Stina Alm"/>
    <x v="0"/>
    <x v="384"/>
    <x v="384"/>
    <n v="1"/>
    <s v="ADET"/>
    <n v="0"/>
    <n v="6"/>
    <n v="1.7763568394002505E-15"/>
    <n v="7.25"/>
    <n v="0"/>
    <n v="145"/>
    <n v="20"/>
    <x v="2"/>
    <n v="20"/>
    <x v="2"/>
  </r>
  <r>
    <x v="8"/>
    <s v="Jan Urbanek"/>
    <x v="0"/>
    <x v="385"/>
    <x v="385"/>
    <n v="1"/>
    <s v="ADET"/>
    <n v="0"/>
    <n v="4"/>
    <n v="11"/>
    <n v="9"/>
    <n v="0"/>
    <n v="54009.99"/>
    <n v="6001.11"/>
    <x v="13"/>
    <n v="6001.11"/>
    <x v="7"/>
  </r>
  <r>
    <x v="9"/>
    <s v="Jan Urbanek"/>
    <x v="0"/>
    <x v="385"/>
    <x v="385"/>
    <n v="1"/>
    <s v="ADET"/>
    <n v="0"/>
    <n v="4"/>
    <n v="11"/>
    <n v="9"/>
    <n v="0"/>
    <n v="54009.99"/>
    <n v="6001.11"/>
    <x v="13"/>
    <n v="6001.11"/>
    <x v="7"/>
  </r>
  <r>
    <x v="17"/>
    <s v="Murat Taşdemir"/>
    <x v="0"/>
    <x v="473"/>
    <x v="473"/>
    <n v="1"/>
    <s v="ADET"/>
    <n v="0"/>
    <n v="0"/>
    <n v="0"/>
    <n v="15"/>
    <n v="0"/>
    <n v="0"/>
    <n v="0"/>
    <x v="5"/>
    <n v="0"/>
    <x v="6"/>
  </r>
  <r>
    <x v="10"/>
    <s v="Jan Urbanek"/>
    <x v="0"/>
    <x v="473"/>
    <x v="473"/>
    <n v="1"/>
    <s v="ADET"/>
    <n v="0"/>
    <n v="0"/>
    <n v="0"/>
    <n v="15"/>
    <n v="0"/>
    <n v="0"/>
    <n v="0"/>
    <x v="5"/>
    <n v="0"/>
    <x v="6"/>
  </r>
  <r>
    <x v="8"/>
    <s v="Jan Urbanek"/>
    <x v="0"/>
    <x v="473"/>
    <x v="473"/>
    <n v="1"/>
    <s v="ADET"/>
    <n v="0"/>
    <n v="0"/>
    <n v="0"/>
    <n v="15"/>
    <n v="0"/>
    <n v="0"/>
    <n v="0"/>
    <x v="5"/>
    <n v="0"/>
    <x v="6"/>
  </r>
  <r>
    <x v="9"/>
    <s v="Jan Urbanek"/>
    <x v="0"/>
    <x v="473"/>
    <x v="473"/>
    <n v="1"/>
    <s v="ADET"/>
    <n v="0"/>
    <n v="0"/>
    <n v="0"/>
    <n v="15"/>
    <n v="0"/>
    <n v="0"/>
    <n v="0"/>
    <x v="5"/>
    <n v="0"/>
    <x v="6"/>
  </r>
  <r>
    <x v="4"/>
    <s v="Stefan Zaugg"/>
    <x v="0"/>
    <x v="250"/>
    <x v="250"/>
    <n v="2.5"/>
    <s v="ADET"/>
    <n v="2.5"/>
    <n v="52"/>
    <n v="10.269999999999982"/>
    <n v="-5.0300000000000011"/>
    <n v="0"/>
    <n v="0"/>
    <n v="28"/>
    <x v="14"/>
    <n v="70"/>
    <x v="2"/>
  </r>
  <r>
    <x v="2"/>
    <s v="Laurent MONTAGNER"/>
    <x v="0"/>
    <x v="473"/>
    <x v="473"/>
    <n v="1"/>
    <s v="ADET"/>
    <n v="0"/>
    <n v="0"/>
    <n v="0"/>
    <n v="15"/>
    <n v="0"/>
    <n v="0"/>
    <n v="0"/>
    <x v="5"/>
    <n v="0"/>
    <x v="6"/>
  </r>
  <r>
    <x v="0"/>
    <s v="Soner Kayıkçı"/>
    <x v="0"/>
    <x v="473"/>
    <x v="473"/>
    <n v="1"/>
    <s v="ADET"/>
    <n v="0"/>
    <n v="0"/>
    <n v="0"/>
    <n v="15"/>
    <n v="0"/>
    <n v="0"/>
    <n v="0"/>
    <x v="5"/>
    <n v="0"/>
    <x v="6"/>
  </r>
  <r>
    <x v="7"/>
    <s v="Laurent MONTAGNER"/>
    <x v="0"/>
    <x v="52"/>
    <x v="52"/>
    <n v="1"/>
    <s v="ADET"/>
    <n v="1"/>
    <n v="6"/>
    <n v="7"/>
    <n v="5"/>
    <n v="0"/>
    <n v="12288.25"/>
    <n v="2457.65"/>
    <x v="24"/>
    <n v="2457.65"/>
    <x v="6"/>
  </r>
  <r>
    <x v="17"/>
    <s v="Murat Taşdemir"/>
    <x v="0"/>
    <x v="385"/>
    <x v="385"/>
    <n v="1"/>
    <s v="ADET"/>
    <n v="1"/>
    <n v="4"/>
    <n v="11"/>
    <n v="9"/>
    <n v="0"/>
    <n v="54009.99"/>
    <n v="6001.11"/>
    <x v="13"/>
    <n v="6001.11"/>
    <x v="7"/>
  </r>
  <r>
    <x v="11"/>
    <s v="Jan Urbanek"/>
    <x v="0"/>
    <x v="473"/>
    <x v="473"/>
    <n v="1"/>
    <s v="ADET"/>
    <n v="0"/>
    <n v="0"/>
    <n v="0"/>
    <n v="15"/>
    <n v="0"/>
    <n v="0"/>
    <n v="0"/>
    <x v="5"/>
    <n v="0"/>
    <x v="6"/>
  </r>
  <r>
    <x v="19"/>
    <s v="Volkan Batkan"/>
    <x v="0"/>
    <x v="137"/>
    <x v="137"/>
    <n v="5"/>
    <s v="ADET"/>
    <n v="5"/>
    <n v="234"/>
    <n v="30"/>
    <n v="-169"/>
    <n v="0"/>
    <n v="0"/>
    <n v="15.21"/>
    <x v="15"/>
    <n v="76.050000000000011"/>
    <x v="7"/>
  </r>
  <r>
    <x v="0"/>
    <s v="Soner Kayıkçı"/>
    <x v="0"/>
    <x v="135"/>
    <x v="135"/>
    <n v="49"/>
    <s v="ADET"/>
    <n v="0"/>
    <n v="1000"/>
    <n v="396"/>
    <n v="-91"/>
    <n v="0"/>
    <n v="0"/>
    <n v="12.5"/>
    <x v="50"/>
    <n v="612.5"/>
    <x v="2"/>
  </r>
  <r>
    <x v="7"/>
    <s v="Laurent MONTAGNER"/>
    <x v="0"/>
    <x v="310"/>
    <x v="310"/>
    <n v="1"/>
    <s v="ADET"/>
    <n v="1"/>
    <n v="5"/>
    <n v="6"/>
    <n v="-4"/>
    <n v="0"/>
    <n v="0"/>
    <n v="8495.43"/>
    <x v="34"/>
    <n v="8495.43"/>
    <x v="6"/>
  </r>
  <r>
    <x v="17"/>
    <s v="Murat Taşdemir"/>
    <x v="0"/>
    <x v="266"/>
    <x v="266"/>
    <n v="1"/>
    <s v="ADET"/>
    <n v="1"/>
    <n v="21"/>
    <n v="10"/>
    <n v="-50"/>
    <n v="40"/>
    <n v="0"/>
    <n v="312"/>
    <x v="35"/>
    <n v="312"/>
    <x v="6"/>
  </r>
  <r>
    <x v="4"/>
    <s v="Stefan Zaugg"/>
    <x v="0"/>
    <x v="265"/>
    <x v="265"/>
    <n v="2"/>
    <s v="ADET"/>
    <n v="2"/>
    <n v="33"/>
    <n v="16"/>
    <n v="-31"/>
    <n v="0"/>
    <n v="0"/>
    <n v="930"/>
    <x v="20"/>
    <n v="1860"/>
    <x v="7"/>
  </r>
  <r>
    <x v="4"/>
    <s v="Stefan Zaugg"/>
    <x v="0"/>
    <x v="96"/>
    <x v="96"/>
    <n v="2"/>
    <s v="ADET"/>
    <n v="2"/>
    <n v="40"/>
    <n v="16"/>
    <n v="-18"/>
    <n v="0"/>
    <n v="0"/>
    <n v="375"/>
    <x v="37"/>
    <n v="750"/>
    <x v="6"/>
  </r>
  <r>
    <x v="6"/>
    <s v="Laurent MONTAGNER"/>
    <x v="0"/>
    <x v="17"/>
    <x v="17"/>
    <n v="1"/>
    <s v="ADET"/>
    <n v="1"/>
    <n v="17"/>
    <n v="8"/>
    <n v="-1"/>
    <n v="0"/>
    <n v="0"/>
    <n v="33.340000000000003"/>
    <x v="13"/>
    <n v="33.340000000000003"/>
    <x v="7"/>
  </r>
  <r>
    <x v="14"/>
    <s v="Stefan Zaugg"/>
    <x v="0"/>
    <x v="179"/>
    <x v="179"/>
    <n v="3"/>
    <s v="ADET"/>
    <n v="3"/>
    <n v="29"/>
    <n v="30"/>
    <n v="10"/>
    <n v="0"/>
    <n v="17500"/>
    <n v="1750"/>
    <x v="59"/>
    <n v="5250"/>
    <x v="7"/>
  </r>
  <r>
    <x v="6"/>
    <s v="Laurent MONTAGNER"/>
    <x v="0"/>
    <x v="179"/>
    <x v="179"/>
    <n v="3"/>
    <s v="ADET"/>
    <n v="3"/>
    <n v="29"/>
    <n v="30"/>
    <n v="10"/>
    <n v="0"/>
    <n v="17500"/>
    <n v="1750"/>
    <x v="59"/>
    <n v="5250"/>
    <x v="7"/>
  </r>
  <r>
    <x v="2"/>
    <s v="Laurent MONTAGNER"/>
    <x v="0"/>
    <x v="321"/>
    <x v="321"/>
    <n v="1"/>
    <s v="ADET"/>
    <n v="1"/>
    <n v="23"/>
    <n v="5"/>
    <n v="-11"/>
    <n v="0"/>
    <n v="0"/>
    <n v="360.19"/>
    <x v="74"/>
    <n v="360.19"/>
    <x v="4"/>
  </r>
  <r>
    <x v="2"/>
    <s v="Laurent MONTAGNER"/>
    <x v="0"/>
    <x v="266"/>
    <x v="266"/>
    <n v="1"/>
    <s v="ADET"/>
    <n v="1"/>
    <n v="21"/>
    <n v="10"/>
    <n v="-50"/>
    <n v="40"/>
    <n v="0"/>
    <n v="312"/>
    <x v="35"/>
    <n v="312"/>
    <x v="6"/>
  </r>
  <r>
    <x v="2"/>
    <s v="Laurent MONTAGNER"/>
    <x v="0"/>
    <x v="17"/>
    <x v="17"/>
    <n v="1"/>
    <s v="ADET"/>
    <n v="1"/>
    <n v="17"/>
    <n v="8"/>
    <n v="-1"/>
    <n v="0"/>
    <n v="0"/>
    <n v="33.340000000000003"/>
    <x v="13"/>
    <n v="33.340000000000003"/>
    <x v="7"/>
  </r>
  <r>
    <x v="8"/>
    <s v="Jan Urbanek"/>
    <x v="0"/>
    <x v="178"/>
    <x v="178"/>
    <n v="3"/>
    <s v="KG"/>
    <n v="3"/>
    <n v="110"/>
    <n v="57.22"/>
    <n v="-78.660000000000025"/>
    <n v="0"/>
    <n v="0"/>
    <n v="40"/>
    <x v="14"/>
    <n v="120"/>
    <x v="2"/>
  </r>
  <r>
    <x v="19"/>
    <s v="Volkan Batkan"/>
    <x v="0"/>
    <x v="96"/>
    <x v="96"/>
    <n v="2"/>
    <s v="ADET"/>
    <n v="2"/>
    <n v="40"/>
    <n v="16"/>
    <n v="-18"/>
    <n v="0"/>
    <n v="0"/>
    <n v="375"/>
    <x v="37"/>
    <n v="750"/>
    <x v="6"/>
  </r>
  <r>
    <x v="19"/>
    <s v="Volkan Batkan"/>
    <x v="0"/>
    <x v="310"/>
    <x v="310"/>
    <n v="1"/>
    <s v="ADET"/>
    <n v="1"/>
    <n v="5"/>
    <n v="6"/>
    <n v="-4"/>
    <n v="0"/>
    <n v="0"/>
    <n v="8495.43"/>
    <x v="34"/>
    <n v="8495.43"/>
    <x v="6"/>
  </r>
  <r>
    <x v="12"/>
    <s v="Matteo Giolo"/>
    <x v="0"/>
    <x v="98"/>
    <x v="98"/>
    <n v="1"/>
    <s v="ADET"/>
    <n v="0"/>
    <n v="13"/>
    <n v="1"/>
    <n v="24"/>
    <n v="0"/>
    <n v="1570.08"/>
    <n v="65.42"/>
    <x v="21"/>
    <n v="65.42"/>
    <x v="4"/>
  </r>
  <r>
    <x v="2"/>
    <s v="Laurent MONTAGNER"/>
    <x v="0"/>
    <x v="310"/>
    <x v="310"/>
    <n v="1"/>
    <s v="ADET"/>
    <n v="1"/>
    <n v="5"/>
    <n v="6"/>
    <n v="-4"/>
    <n v="0"/>
    <n v="0"/>
    <n v="8495.43"/>
    <x v="34"/>
    <n v="8495.43"/>
    <x v="6"/>
  </r>
  <r>
    <x v="19"/>
    <s v="Volkan Batkan"/>
    <x v="0"/>
    <x v="266"/>
    <x v="266"/>
    <n v="1"/>
    <s v="ADET"/>
    <n v="1"/>
    <n v="21"/>
    <n v="10"/>
    <n v="-50"/>
    <n v="40"/>
    <n v="0"/>
    <n v="312"/>
    <x v="35"/>
    <n v="312"/>
    <x v="6"/>
  </r>
  <r>
    <x v="17"/>
    <s v="Murat Taşdemir"/>
    <x v="0"/>
    <x v="347"/>
    <x v="347"/>
    <n v="2"/>
    <s v="ADET"/>
    <n v="2"/>
    <n v="24"/>
    <n v="10"/>
    <n v="-8"/>
    <n v="0"/>
    <n v="0"/>
    <n v="50.43"/>
    <x v="74"/>
    <n v="100.86"/>
    <x v="6"/>
  </r>
  <r>
    <x v="19"/>
    <s v="Volkan Batkan"/>
    <x v="0"/>
    <x v="179"/>
    <x v="179"/>
    <n v="3"/>
    <s v="ADET"/>
    <n v="3"/>
    <n v="29"/>
    <n v="30"/>
    <n v="10"/>
    <n v="0"/>
    <n v="17500"/>
    <n v="1750"/>
    <x v="59"/>
    <n v="5250"/>
    <x v="7"/>
  </r>
  <r>
    <x v="19"/>
    <s v="Volkan Batkan"/>
    <x v="0"/>
    <x v="239"/>
    <x v="239"/>
    <n v="2"/>
    <s v="ADET"/>
    <n v="2"/>
    <n v="38"/>
    <n v="20"/>
    <n v="-14"/>
    <n v="0"/>
    <n v="0"/>
    <n v="55"/>
    <x v="15"/>
    <n v="110"/>
    <x v="7"/>
  </r>
  <r>
    <x v="6"/>
    <s v="Laurent MONTAGNER"/>
    <x v="0"/>
    <x v="323"/>
    <x v="323"/>
    <n v="4.38"/>
    <s v="ADET"/>
    <n v="4.38"/>
    <n v="34"/>
    <n v="97.880000000000024"/>
    <n v="0.88000000000000256"/>
    <n v="0"/>
    <n v="48.400000000000141"/>
    <n v="55"/>
    <x v="14"/>
    <n v="240.9"/>
    <x v="2"/>
  </r>
  <r>
    <x v="7"/>
    <s v="Laurent MONTAGNER"/>
    <x v="0"/>
    <x v="125"/>
    <x v="125"/>
    <n v="2"/>
    <s v="ADET"/>
    <n v="2"/>
    <n v="11"/>
    <n v="8"/>
    <n v="0"/>
    <n v="0"/>
    <n v="0"/>
    <n v="1145.83"/>
    <x v="37"/>
    <n v="2291.66"/>
    <x v="6"/>
  </r>
  <r>
    <x v="6"/>
    <s v="Laurent MONTAGNER"/>
    <x v="0"/>
    <x v="239"/>
    <x v="239"/>
    <n v="2"/>
    <s v="ADET"/>
    <n v="2"/>
    <n v="38"/>
    <n v="20"/>
    <n v="-14"/>
    <n v="0"/>
    <n v="0"/>
    <n v="55"/>
    <x v="15"/>
    <n v="110"/>
    <x v="7"/>
  </r>
  <r>
    <x v="13"/>
    <s v="Matteo Giolo"/>
    <x v="0"/>
    <x v="239"/>
    <x v="239"/>
    <n v="2"/>
    <s v="ADET"/>
    <n v="0"/>
    <n v="38"/>
    <n v="20"/>
    <n v="-14"/>
    <n v="0"/>
    <n v="0"/>
    <n v="55"/>
    <x v="15"/>
    <n v="110"/>
    <x v="7"/>
  </r>
  <r>
    <x v="10"/>
    <s v="Jan Urbanek"/>
    <x v="0"/>
    <x v="344"/>
    <x v="344"/>
    <n v="2"/>
    <s v="ADET"/>
    <n v="0"/>
    <n v="0"/>
    <n v="64"/>
    <n v="40"/>
    <n v="0"/>
    <n v="274.8"/>
    <n v="6.87"/>
    <x v="15"/>
    <n v="13.74"/>
    <x v="7"/>
  </r>
  <r>
    <x v="2"/>
    <s v="Laurent MONTAGNER"/>
    <x v="0"/>
    <x v="123"/>
    <x v="123"/>
    <n v="31"/>
    <s v="ADET"/>
    <n v="0"/>
    <n v="2600"/>
    <n v="292"/>
    <n v="-2145"/>
    <n v="0"/>
    <n v="0"/>
    <n v="0.4"/>
    <x v="14"/>
    <n v="12.4"/>
    <x v="2"/>
  </r>
  <r>
    <x v="13"/>
    <s v="Matteo Giolo"/>
    <x v="0"/>
    <x v="323"/>
    <x v="323"/>
    <n v="1"/>
    <s v="ADET"/>
    <n v="0"/>
    <n v="34"/>
    <n v="97.880000000000024"/>
    <n v="0.88000000000000256"/>
    <n v="0"/>
    <n v="48.400000000000141"/>
    <n v="55"/>
    <x v="14"/>
    <n v="55"/>
    <x v="2"/>
  </r>
  <r>
    <x v="7"/>
    <s v="Laurent MONTAGNER"/>
    <x v="0"/>
    <x v="50"/>
    <x v="50"/>
    <n v="1"/>
    <s v="ADET"/>
    <n v="1"/>
    <n v="0"/>
    <n v="65"/>
    <n v="-94"/>
    <n v="100"/>
    <n v="0"/>
    <n v="115"/>
    <x v="14"/>
    <n v="115"/>
    <x v="2"/>
  </r>
  <r>
    <x v="1"/>
    <s v="Stina Alm"/>
    <x v="0"/>
    <x v="473"/>
    <x v="473"/>
    <n v="1"/>
    <s v="ADET"/>
    <n v="0"/>
    <n v="0"/>
    <n v="0"/>
    <n v="15"/>
    <n v="0"/>
    <n v="0"/>
    <n v="0"/>
    <x v="5"/>
    <n v="0"/>
    <x v="6"/>
  </r>
  <r>
    <x v="19"/>
    <s v="Volkan Batkan"/>
    <x v="0"/>
    <x v="295"/>
    <x v="295"/>
    <n v="1"/>
    <s v="ADET"/>
    <n v="1"/>
    <n v="1"/>
    <n v="11"/>
    <n v="16"/>
    <n v="0"/>
    <n v="212968.32000000001"/>
    <n v="13310.52"/>
    <x v="67"/>
    <n v="13310.52"/>
    <x v="6"/>
  </r>
  <r>
    <x v="16"/>
    <s v="Stefan Zaugg"/>
    <x v="1"/>
    <x v="48"/>
    <x v="48"/>
    <n v="1"/>
    <s v="ADET"/>
    <n v="1"/>
    <n v="2"/>
    <n v="9"/>
    <n v="10"/>
    <n v="0"/>
    <n v="0"/>
    <m/>
    <x v="1"/>
    <m/>
    <x v="1"/>
  </r>
  <r>
    <x v="19"/>
    <s v="Volkan Batkan"/>
    <x v="1"/>
    <x v="48"/>
    <x v="48"/>
    <n v="1"/>
    <s v="ADET"/>
    <n v="1"/>
    <n v="2"/>
    <n v="9"/>
    <n v="10"/>
    <n v="0"/>
    <n v="0"/>
    <m/>
    <x v="1"/>
    <m/>
    <x v="1"/>
  </r>
  <r>
    <x v="1"/>
    <s v="Stina Alm"/>
    <x v="0"/>
    <x v="302"/>
    <x v="302"/>
    <n v="0.09"/>
    <s v="KG"/>
    <n v="0"/>
    <n v="2.5"/>
    <n v="-4.9960036108132044E-16"/>
    <n v="-0.61999999999999922"/>
    <n v="0"/>
    <n v="0"/>
    <n v="2400"/>
    <x v="20"/>
    <n v="216"/>
    <x v="2"/>
  </r>
  <r>
    <x v="17"/>
    <s v="Murat Taşdemir"/>
    <x v="0"/>
    <x v="109"/>
    <x v="109"/>
    <n v="1"/>
    <s v="ADET"/>
    <n v="1"/>
    <n v="0"/>
    <n v="2"/>
    <n v="3"/>
    <n v="0"/>
    <n v="97615.14"/>
    <n v="32538.38"/>
    <x v="19"/>
    <n v="32538.38"/>
    <x v="6"/>
  </r>
  <r>
    <x v="19"/>
    <s v="Volkan Batkan"/>
    <x v="0"/>
    <x v="332"/>
    <x v="332"/>
    <n v="4"/>
    <s v="ADET"/>
    <n v="4"/>
    <n v="56.5"/>
    <n v="26"/>
    <n v="-12.5"/>
    <n v="0"/>
    <n v="0"/>
    <n v="200"/>
    <x v="37"/>
    <n v="800"/>
    <x v="6"/>
  </r>
  <r>
    <x v="17"/>
    <s v="Murat Taşdemir"/>
    <x v="0"/>
    <x v="326"/>
    <x v="326"/>
    <n v="4"/>
    <s v="ADET"/>
    <n v="4"/>
    <n v="37"/>
    <n v="14"/>
    <n v="-5"/>
    <n v="0"/>
    <n v="0"/>
    <n v="313.88"/>
    <x v="74"/>
    <n v="1255.52"/>
    <x v="6"/>
  </r>
  <r>
    <x v="16"/>
    <s v="Stefan Zaugg"/>
    <x v="0"/>
    <x v="24"/>
    <x v="24"/>
    <n v="4"/>
    <s v="ADET"/>
    <n v="4"/>
    <n v="21"/>
    <n v="30"/>
    <n v="1"/>
    <n v="0"/>
    <n v="42"/>
    <n v="42"/>
    <x v="16"/>
    <n v="168"/>
    <x v="2"/>
  </r>
  <r>
    <x v="16"/>
    <s v="Stefan Zaugg"/>
    <x v="0"/>
    <x v="270"/>
    <x v="270"/>
    <n v="0.1"/>
    <s v="ADET"/>
    <n v="0.1"/>
    <n v="33"/>
    <n v="6.0999999999999988"/>
    <n v="-32.299999999999997"/>
    <n v="0"/>
    <n v="0"/>
    <n v="25"/>
    <x v="14"/>
    <n v="2.5"/>
    <x v="2"/>
  </r>
  <r>
    <x v="4"/>
    <s v="Stefan Zaugg"/>
    <x v="0"/>
    <x v="270"/>
    <x v="270"/>
    <n v="0.1"/>
    <s v="ADET"/>
    <n v="0.1"/>
    <n v="33"/>
    <n v="6.0999999999999988"/>
    <n v="-32.299999999999997"/>
    <n v="0"/>
    <n v="0"/>
    <n v="25"/>
    <x v="14"/>
    <n v="2.5"/>
    <x v="2"/>
  </r>
  <r>
    <x v="17"/>
    <s v="Murat Taşdemir"/>
    <x v="0"/>
    <x v="509"/>
    <x v="509"/>
    <n v="1"/>
    <s v="ADET"/>
    <n v="1"/>
    <n v="4"/>
    <n v="1"/>
    <n v="-4"/>
    <n v="0"/>
    <n v="0"/>
    <n v="225"/>
    <x v="21"/>
    <n v="225"/>
    <x v="2"/>
  </r>
  <r>
    <x v="1"/>
    <s v="Stina Alm"/>
    <x v="0"/>
    <x v="95"/>
    <x v="95"/>
    <n v="2"/>
    <s v="ADET"/>
    <n v="0"/>
    <n v="809"/>
    <n v="0"/>
    <n v="-768"/>
    <n v="0"/>
    <n v="0"/>
    <n v="2.4"/>
    <x v="14"/>
    <n v="4.8"/>
    <x v="2"/>
  </r>
  <r>
    <x v="9"/>
    <s v="Jan Urbanek"/>
    <x v="0"/>
    <x v="25"/>
    <x v="25"/>
    <n v="16"/>
    <s v="ADET"/>
    <n v="0"/>
    <n v="4822"/>
    <n v="811"/>
    <n v="-4638"/>
    <n v="0"/>
    <n v="0"/>
    <n v="0.3"/>
    <x v="14"/>
    <n v="4.8"/>
    <x v="2"/>
  </r>
  <r>
    <x v="5"/>
    <s v="Matteo Giolo"/>
    <x v="0"/>
    <x v="22"/>
    <x v="22"/>
    <n v="51"/>
    <s v="ADET"/>
    <n v="0"/>
    <n v="2800"/>
    <n v="2439"/>
    <n v="-1645"/>
    <n v="0"/>
    <n v="0"/>
    <n v="0.18"/>
    <x v="14"/>
    <n v="9.18"/>
    <x v="2"/>
  </r>
  <r>
    <x v="11"/>
    <s v="Jan Urbanek"/>
    <x v="0"/>
    <x v="274"/>
    <x v="274"/>
    <n v="1"/>
    <s v="ADET"/>
    <n v="0"/>
    <n v="2"/>
    <n v="1"/>
    <n v="1"/>
    <n v="0"/>
    <n v="11815.53"/>
    <n v="11815.53"/>
    <x v="13"/>
    <n v="11815.53"/>
    <x v="7"/>
  </r>
  <r>
    <x v="1"/>
    <s v="Stina Alm"/>
    <x v="0"/>
    <x v="332"/>
    <x v="332"/>
    <n v="4"/>
    <s v="ADET"/>
    <n v="0"/>
    <n v="56.5"/>
    <n v="26"/>
    <n v="-12.5"/>
    <n v="0"/>
    <n v="0"/>
    <n v="200"/>
    <x v="37"/>
    <n v="800"/>
    <x v="6"/>
  </r>
  <r>
    <x v="0"/>
    <s v="Soner Kayıkçı"/>
    <x v="0"/>
    <x v="328"/>
    <x v="328"/>
    <n v="2"/>
    <s v="ADET"/>
    <n v="0"/>
    <n v="500"/>
    <n v="500"/>
    <n v="-486"/>
    <n v="0"/>
    <n v="0"/>
    <n v="0.55000000000000004"/>
    <x v="15"/>
    <n v="1.1000000000000001"/>
    <x v="7"/>
  </r>
  <r>
    <x v="16"/>
    <s v="Stefan Zaugg"/>
    <x v="0"/>
    <x v="153"/>
    <x v="153"/>
    <n v="4"/>
    <s v="ADET"/>
    <n v="4"/>
    <n v="84"/>
    <n v="195.90000000000009"/>
    <n v="-24.600000000000023"/>
    <n v="0"/>
    <n v="0"/>
    <n v="29"/>
    <x v="14"/>
    <n v="116"/>
    <x v="2"/>
  </r>
  <r>
    <x v="4"/>
    <s v="Stefan Zaugg"/>
    <x v="0"/>
    <x v="153"/>
    <x v="153"/>
    <n v="4"/>
    <s v="ADET"/>
    <n v="4"/>
    <n v="84"/>
    <n v="195.90000000000009"/>
    <n v="-24.600000000000023"/>
    <n v="0"/>
    <n v="0"/>
    <n v="29"/>
    <x v="14"/>
    <n v="116"/>
    <x v="2"/>
  </r>
  <r>
    <x v="14"/>
    <s v="Stefan Zaugg"/>
    <x v="0"/>
    <x v="225"/>
    <x v="225"/>
    <n v="1"/>
    <s v="ADET"/>
    <n v="1"/>
    <n v="18"/>
    <n v="9"/>
    <n v="-10"/>
    <n v="0"/>
    <n v="0"/>
    <n v="60"/>
    <x v="21"/>
    <n v="60"/>
    <x v="2"/>
  </r>
  <r>
    <x v="14"/>
    <s v="Stefan Zaugg"/>
    <x v="0"/>
    <x v="24"/>
    <x v="24"/>
    <n v="4"/>
    <s v="ADET"/>
    <n v="4"/>
    <n v="21"/>
    <n v="30"/>
    <n v="1"/>
    <n v="0"/>
    <n v="42"/>
    <n v="42"/>
    <x v="16"/>
    <n v="168"/>
    <x v="2"/>
  </r>
  <r>
    <x v="14"/>
    <s v="Stefan Zaugg"/>
    <x v="0"/>
    <x v="94"/>
    <x v="94"/>
    <n v="1"/>
    <s v="ADET"/>
    <n v="1"/>
    <n v="4"/>
    <n v="12"/>
    <n v="7"/>
    <n v="0"/>
    <n v="12435.01"/>
    <n v="1776.43"/>
    <x v="24"/>
    <n v="1776.43"/>
    <x v="4"/>
  </r>
  <r>
    <x v="19"/>
    <s v="Volkan Batkan"/>
    <x v="0"/>
    <x v="94"/>
    <x v="94"/>
    <n v="1"/>
    <s v="ADET"/>
    <n v="1"/>
    <n v="4"/>
    <n v="12"/>
    <n v="7"/>
    <n v="0"/>
    <n v="12435.01"/>
    <n v="1776.43"/>
    <x v="24"/>
    <n v="1776.43"/>
    <x v="4"/>
  </r>
  <r>
    <x v="4"/>
    <s v="Stefan Zaugg"/>
    <x v="0"/>
    <x v="90"/>
    <x v="90"/>
    <n v="3"/>
    <s v="METRE"/>
    <n v="0"/>
    <n v="100"/>
    <n v="26"/>
    <n v="-85"/>
    <n v="0"/>
    <n v="0"/>
    <n v="49.1"/>
    <x v="15"/>
    <n v="147.30000000000001"/>
    <x v="7"/>
  </r>
  <r>
    <x v="7"/>
    <s v="Laurent MONTAGNER"/>
    <x v="0"/>
    <x v="332"/>
    <x v="332"/>
    <n v="2"/>
    <s v="ADET"/>
    <n v="2"/>
    <n v="56.5"/>
    <n v="26"/>
    <n v="-12.5"/>
    <n v="0"/>
    <n v="0"/>
    <n v="200"/>
    <x v="37"/>
    <n v="400"/>
    <x v="6"/>
  </r>
  <r>
    <x v="2"/>
    <s v="Laurent MONTAGNER"/>
    <x v="0"/>
    <x v="30"/>
    <x v="30"/>
    <n v="8"/>
    <s v="ADET"/>
    <n v="8"/>
    <n v="1270"/>
    <n v="698"/>
    <n v="-1174"/>
    <n v="0"/>
    <n v="0"/>
    <n v="0.55000000000000004"/>
    <x v="14"/>
    <n v="4.4000000000000004"/>
    <x v="2"/>
  </r>
  <r>
    <x v="6"/>
    <s v="Laurent MONTAGNER"/>
    <x v="0"/>
    <x v="389"/>
    <x v="389"/>
    <n v="1"/>
    <s v="ADET"/>
    <n v="1"/>
    <n v="4"/>
    <n v="10"/>
    <n v="-3"/>
    <n v="10"/>
    <n v="0"/>
    <n v="583.77"/>
    <x v="92"/>
    <n v="583.77"/>
    <x v="2"/>
  </r>
  <r>
    <x v="6"/>
    <s v="Laurent MONTAGNER"/>
    <x v="0"/>
    <x v="506"/>
    <x v="506"/>
    <n v="2"/>
    <s v="ADET"/>
    <n v="2"/>
    <n v="0"/>
    <n v="4"/>
    <n v="0"/>
    <n v="0"/>
    <n v="0"/>
    <n v="4532"/>
    <x v="84"/>
    <n v="9064"/>
    <x v="6"/>
  </r>
  <r>
    <x v="2"/>
    <s v="Laurent MONTAGNER"/>
    <x v="0"/>
    <x v="422"/>
    <x v="422"/>
    <n v="1"/>
    <s v="ADET"/>
    <n v="1"/>
    <n v="12"/>
    <n v="17"/>
    <n v="-1"/>
    <n v="0"/>
    <n v="0"/>
    <n v="400"/>
    <x v="85"/>
    <n v="400"/>
    <x v="6"/>
  </r>
  <r>
    <x v="6"/>
    <s v="Laurent MONTAGNER"/>
    <x v="0"/>
    <x v="422"/>
    <x v="422"/>
    <n v="1"/>
    <s v="ADET"/>
    <n v="1"/>
    <n v="12"/>
    <n v="17"/>
    <n v="-1"/>
    <n v="0"/>
    <n v="0"/>
    <n v="400"/>
    <x v="85"/>
    <n v="400"/>
    <x v="6"/>
  </r>
  <r>
    <x v="14"/>
    <s v="Stefan Zaugg"/>
    <x v="0"/>
    <x v="301"/>
    <x v="301"/>
    <n v="1"/>
    <s v="ADET"/>
    <n v="1"/>
    <n v="5"/>
    <n v="4"/>
    <n v="2"/>
    <n v="0"/>
    <n v="3359.06"/>
    <n v="1679.53"/>
    <x v="74"/>
    <n v="1679.53"/>
    <x v="4"/>
  </r>
  <r>
    <x v="9"/>
    <s v="Jan Urbanek"/>
    <x v="0"/>
    <x v="301"/>
    <x v="301"/>
    <n v="1"/>
    <s v="ADET"/>
    <n v="1"/>
    <n v="5"/>
    <n v="4"/>
    <n v="2"/>
    <n v="0"/>
    <n v="3359.06"/>
    <n v="1679.53"/>
    <x v="74"/>
    <n v="1679.53"/>
    <x v="4"/>
  </r>
  <r>
    <x v="6"/>
    <s v="Laurent MONTAGNER"/>
    <x v="0"/>
    <x v="388"/>
    <x v="388"/>
    <n v="1"/>
    <s v="ADET"/>
    <n v="1"/>
    <n v="4"/>
    <n v="9"/>
    <n v="1"/>
    <n v="6"/>
    <n v="1600"/>
    <n v="1600"/>
    <x v="14"/>
    <n v="1600"/>
    <x v="4"/>
  </r>
  <r>
    <x v="14"/>
    <s v="Stefan Zaugg"/>
    <x v="0"/>
    <x v="76"/>
    <x v="76"/>
    <n v="3"/>
    <s v="ADET"/>
    <n v="3"/>
    <n v="37"/>
    <n v="28"/>
    <n v="-3"/>
    <n v="0"/>
    <n v="0"/>
    <n v="122.24"/>
    <x v="13"/>
    <n v="366.71999999999997"/>
    <x v="7"/>
  </r>
  <r>
    <x v="16"/>
    <s v="Stefan Zaugg"/>
    <x v="0"/>
    <x v="391"/>
    <x v="391"/>
    <n v="1"/>
    <s v="ADET"/>
    <n v="1"/>
    <n v="42"/>
    <n v="10"/>
    <n v="-30"/>
    <n v="0"/>
    <n v="0"/>
    <n v="142.5"/>
    <x v="15"/>
    <n v="142.5"/>
    <x v="7"/>
  </r>
  <r>
    <x v="14"/>
    <s v="Stefan Zaugg"/>
    <x v="0"/>
    <x v="391"/>
    <x v="391"/>
    <n v="1"/>
    <s v="ADET"/>
    <n v="1"/>
    <n v="42"/>
    <n v="10"/>
    <n v="-30"/>
    <n v="0"/>
    <n v="0"/>
    <n v="142.5"/>
    <x v="15"/>
    <n v="142.5"/>
    <x v="7"/>
  </r>
  <r>
    <x v="3"/>
    <s v="Stina Alm"/>
    <x v="0"/>
    <x v="277"/>
    <x v="277"/>
    <n v="3"/>
    <s v="ADET"/>
    <n v="0"/>
    <n v="85"/>
    <n v="31"/>
    <n v="-17"/>
    <n v="0"/>
    <n v="0"/>
    <n v="120"/>
    <x v="77"/>
    <n v="360"/>
    <x v="4"/>
  </r>
  <r>
    <x v="2"/>
    <s v="Laurent MONTAGNER"/>
    <x v="0"/>
    <x v="389"/>
    <x v="389"/>
    <n v="1"/>
    <s v="ADET"/>
    <n v="1"/>
    <n v="4"/>
    <n v="10"/>
    <n v="-3"/>
    <n v="10"/>
    <n v="0"/>
    <n v="583.77"/>
    <x v="92"/>
    <n v="583.77"/>
    <x v="2"/>
  </r>
  <r>
    <x v="2"/>
    <s v="Laurent MONTAGNER"/>
    <x v="0"/>
    <x v="388"/>
    <x v="388"/>
    <n v="2"/>
    <s v="ADET"/>
    <n v="2"/>
    <n v="4"/>
    <n v="9"/>
    <n v="1"/>
    <n v="6"/>
    <n v="1600"/>
    <n v="1600"/>
    <x v="14"/>
    <n v="3200"/>
    <x v="4"/>
  </r>
  <r>
    <x v="12"/>
    <s v="Matteo Giolo"/>
    <x v="0"/>
    <x v="278"/>
    <x v="278"/>
    <n v="1"/>
    <s v="ADET"/>
    <n v="0"/>
    <n v="24"/>
    <n v="4"/>
    <n v="-17"/>
    <n v="0"/>
    <n v="0"/>
    <n v="625"/>
    <x v="2"/>
    <n v="625"/>
    <x v="2"/>
  </r>
  <r>
    <x v="7"/>
    <s v="Laurent MONTAGNER"/>
    <x v="0"/>
    <x v="81"/>
    <x v="81"/>
    <n v="2"/>
    <s v="ADET"/>
    <n v="2"/>
    <n v="36"/>
    <n v="12"/>
    <n v="-22"/>
    <n v="0"/>
    <n v="0"/>
    <n v="95"/>
    <x v="35"/>
    <n v="190"/>
    <x v="2"/>
  </r>
  <r>
    <x v="14"/>
    <s v="Stefan Zaugg"/>
    <x v="0"/>
    <x v="493"/>
    <x v="493"/>
    <n v="2"/>
    <s v="ADET"/>
    <n v="2"/>
    <n v="106"/>
    <n v="9"/>
    <n v="-106"/>
    <n v="0"/>
    <n v="0"/>
    <n v="90"/>
    <x v="5"/>
    <n v="180"/>
    <x v="2"/>
  </r>
  <r>
    <x v="4"/>
    <s v="Stefan Zaugg"/>
    <x v="0"/>
    <x v="158"/>
    <x v="158"/>
    <n v="6"/>
    <s v="KG"/>
    <n v="6"/>
    <n v="0"/>
    <n v="297.61"/>
    <n v="97.560000000000016"/>
    <n v="0"/>
    <n v="13285.720800000003"/>
    <n v="136.18"/>
    <x v="54"/>
    <n v="817.08"/>
    <x v="3"/>
  </r>
  <r>
    <x v="8"/>
    <s v="Jan Urbanek"/>
    <x v="0"/>
    <x v="158"/>
    <x v="158"/>
    <n v="7"/>
    <s v="KG"/>
    <n v="7"/>
    <n v="0"/>
    <n v="297.61"/>
    <n v="97.560000000000016"/>
    <n v="0"/>
    <n v="13285.720800000003"/>
    <n v="136.18"/>
    <x v="54"/>
    <n v="953.26"/>
    <x v="3"/>
  </r>
  <r>
    <x v="6"/>
    <s v="Laurent MONTAGNER"/>
    <x v="0"/>
    <x v="158"/>
    <x v="158"/>
    <n v="10.62"/>
    <s v="KG"/>
    <n v="10.62"/>
    <n v="0"/>
    <n v="297.61"/>
    <n v="97.560000000000016"/>
    <n v="0"/>
    <n v="13285.720800000003"/>
    <n v="136.18"/>
    <x v="54"/>
    <n v="1446.2316000000001"/>
    <x v="3"/>
  </r>
  <r>
    <x v="16"/>
    <s v="Stefan Zaugg"/>
    <x v="0"/>
    <x v="405"/>
    <x v="405"/>
    <n v="17.8"/>
    <s v="KG"/>
    <n v="17.8"/>
    <n v="60"/>
    <n v="219.95999999999984"/>
    <n v="143.41000000000003"/>
    <n v="0"/>
    <n v="23533.581000000002"/>
    <n v="164.1"/>
    <x v="3"/>
    <n v="2920.98"/>
    <x v="3"/>
  </r>
  <r>
    <x v="2"/>
    <s v="Laurent MONTAGNER"/>
    <x v="0"/>
    <x v="406"/>
    <x v="406"/>
    <n v="2"/>
    <s v="ADET"/>
    <n v="2"/>
    <n v="12"/>
    <n v="18"/>
    <n v="-14"/>
    <n v="20"/>
    <n v="0"/>
    <n v="194"/>
    <x v="35"/>
    <n v="388"/>
    <x v="6"/>
  </r>
  <r>
    <x v="9"/>
    <s v="Jan Urbanek"/>
    <x v="0"/>
    <x v="400"/>
    <x v="400"/>
    <n v="1"/>
    <s v="ADET"/>
    <n v="1"/>
    <n v="27"/>
    <n v="4"/>
    <n v="-20"/>
    <n v="0"/>
    <n v="0"/>
    <n v="290.73"/>
    <x v="74"/>
    <n v="290.73"/>
    <x v="4"/>
  </r>
  <r>
    <x v="7"/>
    <s v="Laurent MONTAGNER"/>
    <x v="0"/>
    <x v="158"/>
    <x v="158"/>
    <n v="10.62"/>
    <s v="KG"/>
    <n v="10.62"/>
    <n v="0"/>
    <n v="297.61"/>
    <n v="97.560000000000016"/>
    <n v="0"/>
    <n v="13285.720800000003"/>
    <n v="136.18"/>
    <x v="54"/>
    <n v="1446.2316000000001"/>
    <x v="3"/>
  </r>
  <r>
    <x v="15"/>
    <s v="Jan Urbanek"/>
    <x v="0"/>
    <x v="403"/>
    <x v="403"/>
    <n v="1"/>
    <s v="ADET"/>
    <n v="0"/>
    <n v="28"/>
    <n v="4"/>
    <n v="-21"/>
    <n v="0"/>
    <n v="0"/>
    <n v="290.73"/>
    <x v="74"/>
    <n v="290.73"/>
    <x v="4"/>
  </r>
  <r>
    <x v="3"/>
    <s v="Stina Alm"/>
    <x v="0"/>
    <x v="212"/>
    <x v="212"/>
    <n v="1.5"/>
    <s v="ADET"/>
    <n v="0"/>
    <n v="272"/>
    <n v="4.2999999999999652"/>
    <n v="-233.2"/>
    <n v="0"/>
    <n v="0"/>
    <n v="30"/>
    <x v="14"/>
    <n v="45"/>
    <x v="2"/>
  </r>
  <r>
    <x v="2"/>
    <s v="Laurent MONTAGNER"/>
    <x v="0"/>
    <x v="323"/>
    <x v="323"/>
    <n v="4.38"/>
    <s v="ADET"/>
    <n v="4.38"/>
    <n v="34"/>
    <n v="97.880000000000024"/>
    <n v="0.88000000000000256"/>
    <n v="0"/>
    <n v="48.400000000000141"/>
    <n v="55"/>
    <x v="14"/>
    <n v="240.9"/>
    <x v="2"/>
  </r>
  <r>
    <x v="2"/>
    <s v="Laurent MONTAGNER"/>
    <x v="0"/>
    <x v="125"/>
    <x v="125"/>
    <n v="1"/>
    <s v="ADET"/>
    <n v="1"/>
    <n v="11"/>
    <n v="8"/>
    <n v="0"/>
    <n v="0"/>
    <n v="0"/>
    <n v="1145.83"/>
    <x v="37"/>
    <n v="1145.83"/>
    <x v="6"/>
  </r>
  <r>
    <x v="6"/>
    <s v="Laurent MONTAGNER"/>
    <x v="0"/>
    <x v="125"/>
    <x v="125"/>
    <n v="1"/>
    <s v="ADET"/>
    <n v="1"/>
    <n v="11"/>
    <n v="8"/>
    <n v="0"/>
    <n v="0"/>
    <n v="0"/>
    <n v="1145.83"/>
    <x v="37"/>
    <n v="1145.83"/>
    <x v="6"/>
  </r>
  <r>
    <x v="17"/>
    <s v="Murat Taşdemir"/>
    <x v="0"/>
    <x v="239"/>
    <x v="239"/>
    <n v="2"/>
    <s v="ADET"/>
    <n v="2"/>
    <n v="38"/>
    <n v="20"/>
    <n v="-14"/>
    <n v="0"/>
    <n v="0"/>
    <n v="55"/>
    <x v="15"/>
    <n v="110"/>
    <x v="7"/>
  </r>
  <r>
    <x v="19"/>
    <s v="Volkan Batkan"/>
    <x v="0"/>
    <x v="510"/>
    <x v="510"/>
    <n v="1"/>
    <s v="ADET"/>
    <n v="1"/>
    <n v="0"/>
    <n v="1"/>
    <n v="0"/>
    <n v="0"/>
    <n v="0"/>
    <n v="35"/>
    <x v="30"/>
    <n v="35"/>
    <x v="6"/>
  </r>
  <r>
    <x v="17"/>
    <s v="Murat Taşdemir"/>
    <x v="0"/>
    <x v="125"/>
    <x v="125"/>
    <n v="1"/>
    <s v="ADET"/>
    <n v="1"/>
    <n v="11"/>
    <n v="8"/>
    <n v="0"/>
    <n v="0"/>
    <n v="0"/>
    <n v="1145.83"/>
    <x v="37"/>
    <n v="1145.83"/>
    <x v="6"/>
  </r>
  <r>
    <x v="17"/>
    <s v="Murat Taşdemir"/>
    <x v="0"/>
    <x v="240"/>
    <x v="240"/>
    <n v="1"/>
    <s v="ADET"/>
    <n v="1"/>
    <n v="3"/>
    <n v="1"/>
    <n v="-1"/>
    <n v="0"/>
    <n v="0"/>
    <n v="3899.59"/>
    <x v="74"/>
    <n v="3899.59"/>
    <x v="6"/>
  </r>
  <r>
    <x v="17"/>
    <s v="Murat Taşdemir"/>
    <x v="0"/>
    <x v="387"/>
    <x v="387"/>
    <n v="3"/>
    <s v="ADET"/>
    <n v="3"/>
    <n v="3"/>
    <n v="13"/>
    <n v="12"/>
    <n v="0"/>
    <n v="43576.08"/>
    <n v="3631.34"/>
    <x v="84"/>
    <n v="10894.02"/>
    <x v="6"/>
  </r>
  <r>
    <x v="7"/>
    <s v="Laurent MONTAGNER"/>
    <x v="0"/>
    <x v="323"/>
    <x v="323"/>
    <n v="4.38"/>
    <s v="ADET"/>
    <n v="4.38"/>
    <n v="34"/>
    <n v="97.880000000000024"/>
    <n v="0.88000000000000256"/>
    <n v="0"/>
    <n v="48.400000000000141"/>
    <n v="55"/>
    <x v="14"/>
    <n v="240.9"/>
    <x v="2"/>
  </r>
  <r>
    <x v="17"/>
    <s v="Murat Taşdemir"/>
    <x v="0"/>
    <x v="511"/>
    <x v="511"/>
    <n v="1"/>
    <s v="ADET"/>
    <n v="1"/>
    <n v="7"/>
    <n v="1"/>
    <n v="-7"/>
    <n v="0"/>
    <n v="0"/>
    <n v="93.6"/>
    <x v="75"/>
    <n v="93.6"/>
    <x v="6"/>
  </r>
  <r>
    <x v="4"/>
    <s v="Stefan Zaugg"/>
    <x v="0"/>
    <x v="125"/>
    <x v="125"/>
    <n v="1"/>
    <s v="ADET"/>
    <n v="1"/>
    <n v="11"/>
    <n v="8"/>
    <n v="0"/>
    <n v="0"/>
    <n v="0"/>
    <n v="1145.83"/>
    <x v="37"/>
    <n v="1145.83"/>
    <x v="6"/>
  </r>
  <r>
    <x v="7"/>
    <s v="Laurent MONTAGNER"/>
    <x v="0"/>
    <x v="387"/>
    <x v="387"/>
    <n v="3"/>
    <s v="ADET"/>
    <n v="3"/>
    <n v="3"/>
    <n v="13"/>
    <n v="12"/>
    <n v="0"/>
    <n v="43576.08"/>
    <n v="3631.34"/>
    <x v="84"/>
    <n v="10894.02"/>
    <x v="6"/>
  </r>
  <r>
    <x v="7"/>
    <s v="Laurent MONTAGNER"/>
    <x v="0"/>
    <x v="239"/>
    <x v="239"/>
    <n v="2"/>
    <s v="ADET"/>
    <n v="2"/>
    <n v="38"/>
    <n v="20"/>
    <n v="-14"/>
    <n v="0"/>
    <n v="0"/>
    <n v="55"/>
    <x v="15"/>
    <n v="110"/>
    <x v="7"/>
  </r>
  <r>
    <x v="13"/>
    <s v="Matteo Giolo"/>
    <x v="0"/>
    <x v="124"/>
    <x v="124"/>
    <n v="4"/>
    <s v="ADET"/>
    <n v="0"/>
    <n v="0"/>
    <n v="250"/>
    <n v="32"/>
    <n v="0"/>
    <n v="183.68"/>
    <n v="5.74"/>
    <x v="8"/>
    <n v="22.96"/>
    <x v="2"/>
  </r>
  <r>
    <x v="17"/>
    <s v="Murat Taşdemir"/>
    <x v="0"/>
    <x v="178"/>
    <x v="178"/>
    <n v="6.45"/>
    <s v="KG"/>
    <n v="6.45"/>
    <n v="110"/>
    <n v="57.22"/>
    <n v="-78.660000000000025"/>
    <n v="0"/>
    <n v="0"/>
    <n v="40"/>
    <x v="14"/>
    <n v="258"/>
    <x v="2"/>
  </r>
  <r>
    <x v="0"/>
    <s v="Soner Kayıkçı"/>
    <x v="0"/>
    <x v="96"/>
    <x v="96"/>
    <n v="2"/>
    <s v="ADET"/>
    <n v="0"/>
    <n v="40"/>
    <n v="16"/>
    <n v="-18"/>
    <n v="0"/>
    <n v="0"/>
    <n v="375"/>
    <x v="37"/>
    <n v="750"/>
    <x v="6"/>
  </r>
  <r>
    <x v="16"/>
    <s v="Stefan Zaugg"/>
    <x v="0"/>
    <x v="178"/>
    <x v="178"/>
    <n v="5.25"/>
    <s v="KG"/>
    <n v="5.25"/>
    <n v="110"/>
    <n v="57.22"/>
    <n v="-78.660000000000025"/>
    <n v="0"/>
    <n v="0"/>
    <n v="40"/>
    <x v="14"/>
    <n v="210"/>
    <x v="2"/>
  </r>
  <r>
    <x v="4"/>
    <s v="Stefan Zaugg"/>
    <x v="0"/>
    <x v="178"/>
    <x v="178"/>
    <n v="5.25"/>
    <s v="KG"/>
    <n v="5.25"/>
    <n v="110"/>
    <n v="57.22"/>
    <n v="-78.660000000000025"/>
    <n v="0"/>
    <n v="0"/>
    <n v="40"/>
    <x v="14"/>
    <n v="210"/>
    <x v="2"/>
  </r>
  <r>
    <x v="7"/>
    <s v="Laurent MONTAGNER"/>
    <x v="0"/>
    <x v="178"/>
    <x v="178"/>
    <n v="4.07"/>
    <s v="KG"/>
    <n v="4.07"/>
    <n v="110"/>
    <n v="57.22"/>
    <n v="-78.660000000000025"/>
    <n v="0"/>
    <n v="0"/>
    <n v="40"/>
    <x v="14"/>
    <n v="162.80000000000001"/>
    <x v="2"/>
  </r>
  <r>
    <x v="16"/>
    <s v="Stefan Zaugg"/>
    <x v="0"/>
    <x v="288"/>
    <x v="288"/>
    <n v="1"/>
    <s v="ADET"/>
    <n v="1"/>
    <n v="13"/>
    <n v="13"/>
    <n v="-1"/>
    <n v="0"/>
    <n v="0"/>
    <n v="237.5"/>
    <x v="21"/>
    <n v="237.5"/>
    <x v="2"/>
  </r>
  <r>
    <x v="4"/>
    <s v="Stefan Zaugg"/>
    <x v="0"/>
    <x v="288"/>
    <x v="288"/>
    <n v="1"/>
    <s v="ADET"/>
    <n v="1"/>
    <n v="13"/>
    <n v="13"/>
    <n v="-1"/>
    <n v="0"/>
    <n v="0"/>
    <n v="237.5"/>
    <x v="21"/>
    <n v="237.5"/>
    <x v="2"/>
  </r>
  <r>
    <x v="7"/>
    <s v="Laurent MONTAGNER"/>
    <x v="0"/>
    <x v="288"/>
    <x v="288"/>
    <n v="2"/>
    <s v="ADET"/>
    <n v="2"/>
    <n v="13"/>
    <n v="13"/>
    <n v="-1"/>
    <n v="0"/>
    <n v="0"/>
    <n v="237.5"/>
    <x v="21"/>
    <n v="475"/>
    <x v="2"/>
  </r>
  <r>
    <x v="10"/>
    <s v="Jan Urbanek"/>
    <x v="0"/>
    <x v="16"/>
    <x v="16"/>
    <n v="1"/>
    <s v="ADET"/>
    <n v="0"/>
    <n v="0"/>
    <n v="16"/>
    <n v="4"/>
    <n v="20"/>
    <n v="10905.68"/>
    <n v="2726.42"/>
    <x v="12"/>
    <n v="2726.42"/>
    <x v="5"/>
  </r>
  <r>
    <x v="7"/>
    <s v="Laurent MONTAGNER"/>
    <x v="0"/>
    <x v="347"/>
    <x v="347"/>
    <n v="2"/>
    <s v="ADET"/>
    <n v="2"/>
    <n v="24"/>
    <n v="10"/>
    <n v="-8"/>
    <n v="0"/>
    <n v="0"/>
    <n v="50.43"/>
    <x v="74"/>
    <n v="100.86"/>
    <x v="6"/>
  </r>
  <r>
    <x v="7"/>
    <s v="Laurent MONTAGNER"/>
    <x v="0"/>
    <x v="505"/>
    <x v="505"/>
    <n v="1"/>
    <s v="ADET"/>
    <n v="1"/>
    <n v="1"/>
    <n v="2"/>
    <n v="-1"/>
    <n v="0"/>
    <n v="0"/>
    <n v="1050"/>
    <x v="53"/>
    <n v="1050"/>
    <x v="4"/>
  </r>
  <r>
    <x v="16"/>
    <s v="Stefan Zaugg"/>
    <x v="0"/>
    <x v="179"/>
    <x v="179"/>
    <n v="3"/>
    <s v="ADET"/>
    <n v="3"/>
    <n v="29"/>
    <n v="30"/>
    <n v="10"/>
    <n v="0"/>
    <n v="17500"/>
    <n v="1750"/>
    <x v="59"/>
    <n v="5250"/>
    <x v="7"/>
  </r>
  <r>
    <x v="19"/>
    <s v="Volkan Batkan"/>
    <x v="0"/>
    <x v="258"/>
    <x v="258"/>
    <n v="5"/>
    <s v="ADET"/>
    <n v="5"/>
    <n v="200"/>
    <n v="70"/>
    <n v="-165"/>
    <n v="0"/>
    <n v="0"/>
    <n v="10"/>
    <x v="2"/>
    <n v="50"/>
    <x v="2"/>
  </r>
  <r>
    <x v="16"/>
    <s v="Stefan Zaugg"/>
    <x v="0"/>
    <x v="37"/>
    <x v="37"/>
    <n v="1"/>
    <s v="ADET"/>
    <n v="1"/>
    <n v="7"/>
    <n v="10"/>
    <n v="6"/>
    <n v="0"/>
    <n v="20303.939999999999"/>
    <n v="3383.99"/>
    <x v="19"/>
    <n v="3383.99"/>
    <x v="7"/>
  </r>
  <r>
    <x v="16"/>
    <s v="Stefan Zaugg"/>
    <x v="0"/>
    <x v="257"/>
    <x v="257"/>
    <n v="3"/>
    <s v="ADET"/>
    <n v="0"/>
    <n v="101"/>
    <n v="10.000000000000057"/>
    <n v="-42.539999999999992"/>
    <n v="0"/>
    <n v="0"/>
    <n v="36"/>
    <x v="14"/>
    <n v="108"/>
    <x v="2"/>
  </r>
  <r>
    <x v="19"/>
    <s v="Volkan Batkan"/>
    <x v="0"/>
    <x v="281"/>
    <x v="281"/>
    <n v="6"/>
    <s v="ADET"/>
    <n v="0"/>
    <n v="150"/>
    <n v="78"/>
    <n v="-48"/>
    <n v="0"/>
    <n v="0"/>
    <n v="20.83"/>
    <x v="2"/>
    <n v="124.97999999999999"/>
    <x v="2"/>
  </r>
  <r>
    <x v="17"/>
    <s v="Murat Taşdemir"/>
    <x v="0"/>
    <x v="294"/>
    <x v="294"/>
    <n v="2"/>
    <s v="ADET"/>
    <n v="2"/>
    <n v="24"/>
    <n v="14"/>
    <n v="-15"/>
    <n v="0"/>
    <n v="0"/>
    <n v="15"/>
    <x v="20"/>
    <n v="30"/>
    <x v="7"/>
  </r>
  <r>
    <x v="4"/>
    <s v="Stefan Zaugg"/>
    <x v="0"/>
    <x v="37"/>
    <x v="37"/>
    <n v="1"/>
    <s v="ADET"/>
    <n v="1"/>
    <n v="7"/>
    <n v="10"/>
    <n v="6"/>
    <n v="0"/>
    <n v="20303.939999999999"/>
    <n v="3383.99"/>
    <x v="19"/>
    <n v="3383.99"/>
    <x v="7"/>
  </r>
  <r>
    <x v="17"/>
    <s v="Murat Taşdemir"/>
    <x v="0"/>
    <x v="482"/>
    <x v="482"/>
    <n v="1"/>
    <s v="ADET"/>
    <n v="1"/>
    <n v="1"/>
    <n v="5"/>
    <n v="0"/>
    <n v="0"/>
    <n v="0"/>
    <n v="3500"/>
    <x v="103"/>
    <n v="3500"/>
    <x v="7"/>
  </r>
  <r>
    <x v="6"/>
    <s v="Laurent MONTAGNER"/>
    <x v="0"/>
    <x v="481"/>
    <x v="481"/>
    <n v="18"/>
    <s v="KG"/>
    <n v="0"/>
    <n v="0"/>
    <n v="205.05"/>
    <n v="100"/>
    <n v="0"/>
    <n v="109467"/>
    <n v="1094.67"/>
    <x v="81"/>
    <n v="19704.060000000001"/>
    <x v="3"/>
  </r>
  <r>
    <x v="17"/>
    <s v="Murat Taşdemir"/>
    <x v="0"/>
    <x v="448"/>
    <x v="448"/>
    <n v="2"/>
    <s v="ADET"/>
    <n v="2"/>
    <n v="5"/>
    <n v="24"/>
    <n v="11"/>
    <n v="0"/>
    <n v="164408.75"/>
    <n v="14946.25"/>
    <x v="68"/>
    <n v="29892.5"/>
    <x v="4"/>
  </r>
  <r>
    <x v="18"/>
    <s v="Hayriye Güven"/>
    <x v="0"/>
    <x v="512"/>
    <x v="512"/>
    <n v="0.28000000000000003"/>
    <s v="ADET"/>
    <n v="0"/>
    <n v="0"/>
    <n v="1"/>
    <n v="0.28000000000000003"/>
    <n v="0"/>
    <n v="75.9696"/>
    <n v="271.32"/>
    <x v="3"/>
    <n v="75.9696"/>
    <x v="3"/>
  </r>
  <r>
    <x v="2"/>
    <s v="Laurent MONTAGNER"/>
    <x v="0"/>
    <x v="287"/>
    <x v="287"/>
    <n v="7"/>
    <s v="ADET"/>
    <n v="0"/>
    <n v="3000"/>
    <n v="0"/>
    <n v="-2847"/>
    <n v="0"/>
    <n v="0"/>
    <n v="0.7"/>
    <x v="14"/>
    <n v="4.8999999999999995"/>
    <x v="2"/>
  </r>
  <r>
    <x v="10"/>
    <s v="Jan Urbanek"/>
    <x v="0"/>
    <x v="283"/>
    <x v="283"/>
    <n v="2.8"/>
    <s v="ADET"/>
    <n v="0"/>
    <n v="0"/>
    <n v="11"/>
    <n v="20.000000000000007"/>
    <n v="4"/>
    <n v="36666.600000000013"/>
    <n v="1833.33"/>
    <x v="63"/>
    <n v="5133.3239999999996"/>
    <x v="8"/>
  </r>
  <r>
    <x v="12"/>
    <s v="Matteo Giolo"/>
    <x v="0"/>
    <x v="37"/>
    <x v="37"/>
    <n v="1"/>
    <s v="ADET"/>
    <n v="0"/>
    <n v="7"/>
    <n v="10"/>
    <n v="6"/>
    <n v="0"/>
    <n v="20303.939999999999"/>
    <n v="3383.99"/>
    <x v="19"/>
    <n v="3383.99"/>
    <x v="7"/>
  </r>
  <r>
    <x v="18"/>
    <s v="Hayriye Güven"/>
    <x v="0"/>
    <x v="144"/>
    <x v="144"/>
    <n v="2"/>
    <s v="ADET"/>
    <n v="0"/>
    <n v="3"/>
    <n v="11"/>
    <n v="7"/>
    <n v="0"/>
    <n v="22092.98"/>
    <n v="3156.14"/>
    <x v="13"/>
    <n v="6312.28"/>
    <x v="7"/>
  </r>
  <r>
    <x v="8"/>
    <s v="Jan Urbanek"/>
    <x v="0"/>
    <x v="257"/>
    <x v="257"/>
    <n v="3"/>
    <s v="ADET"/>
    <n v="0"/>
    <n v="101"/>
    <n v="10.000000000000057"/>
    <n v="-42.539999999999992"/>
    <n v="0"/>
    <n v="0"/>
    <n v="36"/>
    <x v="14"/>
    <n v="108"/>
    <x v="2"/>
  </r>
  <r>
    <x v="5"/>
    <s v="Matteo Giolo"/>
    <x v="0"/>
    <x v="285"/>
    <x v="285"/>
    <n v="1.5"/>
    <s v="ADET"/>
    <n v="0"/>
    <n v="48"/>
    <n v="26"/>
    <n v="-19.5"/>
    <n v="0"/>
    <n v="0"/>
    <n v="5"/>
    <x v="14"/>
    <n v="7.5"/>
    <x v="2"/>
  </r>
  <r>
    <x v="4"/>
    <s v="Stefan Zaugg"/>
    <x v="0"/>
    <x v="61"/>
    <x v="61"/>
    <n v="1"/>
    <s v="ADET"/>
    <n v="1"/>
    <n v="13"/>
    <n v="4"/>
    <n v="-6"/>
    <n v="0"/>
    <n v="0"/>
    <n v="1250"/>
    <x v="31"/>
    <n v="1250"/>
    <x v="6"/>
  </r>
  <r>
    <x v="16"/>
    <s v="Stefan Zaugg"/>
    <x v="0"/>
    <x v="448"/>
    <x v="448"/>
    <n v="2"/>
    <s v="ADET"/>
    <n v="2"/>
    <n v="5"/>
    <n v="24"/>
    <n v="11"/>
    <n v="0"/>
    <n v="164408.75"/>
    <n v="14946.25"/>
    <x v="68"/>
    <n v="29892.5"/>
    <x v="4"/>
  </r>
  <r>
    <x v="16"/>
    <s v="Stefan Zaugg"/>
    <x v="0"/>
    <x v="285"/>
    <x v="285"/>
    <n v="1.5"/>
    <s v="ADET"/>
    <n v="0"/>
    <n v="48"/>
    <n v="26"/>
    <n v="-19.5"/>
    <n v="0"/>
    <n v="0"/>
    <n v="5"/>
    <x v="14"/>
    <n v="7.5"/>
    <x v="2"/>
  </r>
  <r>
    <x v="15"/>
    <s v="Jan Urbanek"/>
    <x v="0"/>
    <x v="58"/>
    <x v="58"/>
    <n v="8.6"/>
    <s v="ADET"/>
    <n v="0"/>
    <n v="96"/>
    <n v="195.44000000000014"/>
    <n v="63.319999999999951"/>
    <n v="0"/>
    <n v="8163.8475999999937"/>
    <n v="128.93"/>
    <x v="29"/>
    <n v="1108.798"/>
    <x v="2"/>
  </r>
  <r>
    <x v="19"/>
    <s v="Volkan Batkan"/>
    <x v="0"/>
    <x v="293"/>
    <x v="293"/>
    <n v="1"/>
    <s v="ADET"/>
    <n v="1"/>
    <n v="1"/>
    <n v="5"/>
    <n v="0"/>
    <n v="0"/>
    <n v="0"/>
    <n v="250"/>
    <x v="39"/>
    <n v="250"/>
    <x v="4"/>
  </r>
  <r>
    <x v="4"/>
    <s v="Stefan Zaugg"/>
    <x v="0"/>
    <x v="39"/>
    <x v="39"/>
    <n v="66"/>
    <s v="ADET"/>
    <n v="0"/>
    <n v="3000"/>
    <n v="1048"/>
    <n v="-967"/>
    <n v="0"/>
    <n v="0"/>
    <n v="2.92"/>
    <x v="21"/>
    <n v="192.72"/>
    <x v="2"/>
  </r>
  <r>
    <x v="7"/>
    <s v="Laurent MONTAGNER"/>
    <x v="0"/>
    <x v="234"/>
    <x v="234"/>
    <n v="1.5"/>
    <s v="ADET"/>
    <n v="1.5"/>
    <n v="91"/>
    <n v="17.799999999999997"/>
    <n v="-74.5"/>
    <n v="0"/>
    <n v="0"/>
    <n v="85"/>
    <x v="28"/>
    <n v="127.5"/>
    <x v="2"/>
  </r>
  <r>
    <x v="9"/>
    <s v="Jan Urbanek"/>
    <x v="0"/>
    <x v="371"/>
    <x v="371"/>
    <n v="1"/>
    <s v="M2"/>
    <n v="0"/>
    <n v="0"/>
    <n v="67.08499999999998"/>
    <n v="15"/>
    <n v="0"/>
    <n v="9778.0499999999993"/>
    <n v="651.87"/>
    <x v="63"/>
    <n v="651.87"/>
    <x v="8"/>
  </r>
  <r>
    <x v="6"/>
    <s v="Laurent MONTAGNER"/>
    <x v="0"/>
    <x v="437"/>
    <x v="437"/>
    <n v="1"/>
    <s v="ADET"/>
    <n v="1"/>
    <n v="12"/>
    <n v="8"/>
    <n v="0"/>
    <n v="0"/>
    <n v="0"/>
    <n v="401.17"/>
    <x v="97"/>
    <n v="401.17"/>
    <x v="7"/>
  </r>
  <r>
    <x v="8"/>
    <s v="Jan Urbanek"/>
    <x v="0"/>
    <x v="356"/>
    <x v="356"/>
    <n v="0.13"/>
    <s v="M3"/>
    <n v="0.13"/>
    <n v="0"/>
    <n v="4.5430000000000446"/>
    <n v="1.4260000000000002"/>
    <n v="0"/>
    <n v="27807.000000000004"/>
    <n v="19500"/>
    <x v="87"/>
    <n v="2535"/>
    <x v="8"/>
  </r>
  <r>
    <x v="2"/>
    <s v="Laurent MONTAGNER"/>
    <x v="0"/>
    <x v="327"/>
    <x v="327"/>
    <n v="1"/>
    <s v="ADET"/>
    <n v="1"/>
    <n v="1"/>
    <n v="10"/>
    <n v="11"/>
    <n v="0"/>
    <n v="20020"/>
    <n v="1820"/>
    <x v="82"/>
    <n v="1820"/>
    <x v="9"/>
  </r>
  <r>
    <x v="6"/>
    <s v="Laurent MONTAGNER"/>
    <x v="0"/>
    <x v="109"/>
    <x v="109"/>
    <n v="1"/>
    <s v="ADET"/>
    <n v="1"/>
    <n v="0"/>
    <n v="2"/>
    <n v="3"/>
    <n v="0"/>
    <n v="97615.14"/>
    <n v="32538.38"/>
    <x v="19"/>
    <n v="32538.38"/>
    <x v="6"/>
  </r>
  <r>
    <x v="6"/>
    <s v="Laurent MONTAGNER"/>
    <x v="0"/>
    <x v="326"/>
    <x v="326"/>
    <n v="2"/>
    <s v="ADET"/>
    <n v="2"/>
    <n v="37"/>
    <n v="14"/>
    <n v="-5"/>
    <n v="0"/>
    <n v="0"/>
    <n v="313.88"/>
    <x v="74"/>
    <n v="627.76"/>
    <x v="6"/>
  </r>
  <r>
    <x v="17"/>
    <s v="Murat Taşdemir"/>
    <x v="0"/>
    <x v="324"/>
    <x v="324"/>
    <n v="1"/>
    <s v="ADET"/>
    <n v="1"/>
    <n v="24"/>
    <n v="5"/>
    <n v="-12"/>
    <n v="0"/>
    <n v="0"/>
    <n v="360.19"/>
    <x v="74"/>
    <n v="360.19"/>
    <x v="4"/>
  </r>
  <r>
    <x v="17"/>
    <s v="Murat Taşdemir"/>
    <x v="0"/>
    <x v="24"/>
    <x v="24"/>
    <n v="3"/>
    <s v="ADET"/>
    <n v="3"/>
    <n v="21"/>
    <n v="30"/>
    <n v="1"/>
    <n v="0"/>
    <n v="42"/>
    <n v="42"/>
    <x v="16"/>
    <n v="126"/>
    <x v="2"/>
  </r>
  <r>
    <x v="2"/>
    <s v="Laurent MONTAGNER"/>
    <x v="0"/>
    <x v="332"/>
    <x v="332"/>
    <n v="2"/>
    <s v="ADET"/>
    <n v="2"/>
    <n v="56.5"/>
    <n v="26"/>
    <n v="-12.5"/>
    <n v="0"/>
    <n v="0"/>
    <n v="200"/>
    <x v="37"/>
    <n v="400"/>
    <x v="6"/>
  </r>
  <r>
    <x v="17"/>
    <s v="Murat Taşdemir"/>
    <x v="0"/>
    <x v="380"/>
    <x v="380"/>
    <n v="1"/>
    <s v="ADET"/>
    <n v="1"/>
    <n v="9"/>
    <n v="8"/>
    <n v="-12"/>
    <n v="15"/>
    <n v="0"/>
    <n v="776.15"/>
    <x v="89"/>
    <n v="776.15"/>
    <x v="7"/>
  </r>
  <r>
    <x v="7"/>
    <s v="Laurent MONTAGNER"/>
    <x v="0"/>
    <x v="380"/>
    <x v="380"/>
    <n v="1"/>
    <s v="ADET"/>
    <n v="1"/>
    <n v="9"/>
    <n v="8"/>
    <n v="-12"/>
    <n v="15"/>
    <n v="0"/>
    <n v="776.15"/>
    <x v="89"/>
    <n v="776.15"/>
    <x v="7"/>
  </r>
  <r>
    <x v="0"/>
    <s v="Soner Kayıkçı"/>
    <x v="0"/>
    <x v="380"/>
    <x v="380"/>
    <n v="1"/>
    <s v="ADET"/>
    <n v="0"/>
    <n v="9"/>
    <n v="8"/>
    <n v="-12"/>
    <n v="15"/>
    <n v="0"/>
    <n v="776.15"/>
    <x v="89"/>
    <n v="776.15"/>
    <x v="7"/>
  </r>
  <r>
    <x v="1"/>
    <s v="Stina Alm"/>
    <x v="0"/>
    <x v="380"/>
    <x v="380"/>
    <n v="1"/>
    <s v="ADET"/>
    <n v="0"/>
    <n v="9"/>
    <n v="8"/>
    <n v="-12"/>
    <n v="15"/>
    <n v="0"/>
    <n v="776.15"/>
    <x v="89"/>
    <n v="776.15"/>
    <x v="7"/>
  </r>
  <r>
    <x v="2"/>
    <s v="Laurent MONTAGNER"/>
    <x v="0"/>
    <x v="380"/>
    <x v="380"/>
    <n v="1"/>
    <s v="ADET"/>
    <n v="0"/>
    <n v="9"/>
    <n v="8"/>
    <n v="-12"/>
    <n v="15"/>
    <n v="0"/>
    <n v="776.15"/>
    <x v="89"/>
    <n v="776.15"/>
    <x v="7"/>
  </r>
  <r>
    <x v="0"/>
    <s v="Soner Kayıkçı"/>
    <x v="0"/>
    <x v="471"/>
    <x v="471"/>
    <n v="2"/>
    <s v="ADET"/>
    <n v="0"/>
    <n v="500"/>
    <n v="500"/>
    <n v="-486"/>
    <n v="0"/>
    <n v="0"/>
    <n v="0.39"/>
    <x v="15"/>
    <n v="0.78"/>
    <x v="7"/>
  </r>
  <r>
    <x v="16"/>
    <s v="Stefan Zaugg"/>
    <x v="0"/>
    <x v="246"/>
    <x v="246"/>
    <n v="1.5"/>
    <s v="ADET"/>
    <n v="1.5"/>
    <n v="75"/>
    <n v="42.70000000000006"/>
    <n v="-48.040000000000006"/>
    <n v="0"/>
    <n v="0"/>
    <n v="15"/>
    <x v="14"/>
    <n v="22.5"/>
    <x v="2"/>
  </r>
  <r>
    <x v="19"/>
    <s v="Volkan Batkan"/>
    <x v="0"/>
    <x v="246"/>
    <x v="246"/>
    <n v="1.5"/>
    <s v="ADET"/>
    <n v="1.5"/>
    <n v="75"/>
    <n v="42.70000000000006"/>
    <n v="-48.040000000000006"/>
    <n v="0"/>
    <n v="0"/>
    <n v="15"/>
    <x v="14"/>
    <n v="22.5"/>
    <x v="2"/>
  </r>
  <r>
    <x v="16"/>
    <s v="Stefan Zaugg"/>
    <x v="0"/>
    <x v="458"/>
    <x v="458"/>
    <n v="2"/>
    <s v="ADET"/>
    <n v="2"/>
    <n v="1"/>
    <n v="14"/>
    <n v="25"/>
    <n v="0"/>
    <n v="11103.25"/>
    <n v="444.13"/>
    <x v="67"/>
    <n v="888.26"/>
    <x v="6"/>
  </r>
  <r>
    <x v="4"/>
    <s v="Stefan Zaugg"/>
    <x v="0"/>
    <x v="458"/>
    <x v="458"/>
    <n v="2"/>
    <s v="ADET"/>
    <n v="2"/>
    <n v="1"/>
    <n v="14"/>
    <n v="25"/>
    <n v="0"/>
    <n v="11103.25"/>
    <n v="444.13"/>
    <x v="67"/>
    <n v="888.26"/>
    <x v="6"/>
  </r>
  <r>
    <x v="16"/>
    <s v="Stefan Zaugg"/>
    <x v="0"/>
    <x v="253"/>
    <x v="253"/>
    <n v="1"/>
    <s v="ADET"/>
    <n v="1"/>
    <n v="7"/>
    <n v="10"/>
    <n v="-1"/>
    <n v="5"/>
    <n v="0"/>
    <n v="1200"/>
    <x v="35"/>
    <n v="1200"/>
    <x v="4"/>
  </r>
  <r>
    <x v="19"/>
    <s v="Volkan Batkan"/>
    <x v="0"/>
    <x v="253"/>
    <x v="253"/>
    <n v="1"/>
    <s v="ADET"/>
    <n v="1"/>
    <n v="7"/>
    <n v="10"/>
    <n v="-1"/>
    <n v="5"/>
    <n v="0"/>
    <n v="1200"/>
    <x v="35"/>
    <n v="1200"/>
    <x v="4"/>
  </r>
  <r>
    <x v="14"/>
    <s v="Stefan Zaugg"/>
    <x v="0"/>
    <x v="378"/>
    <x v="378"/>
    <n v="1"/>
    <s v="ADET"/>
    <n v="1"/>
    <n v="5"/>
    <n v="4"/>
    <n v="2"/>
    <n v="0"/>
    <n v="3447.58"/>
    <n v="1723.79"/>
    <x v="74"/>
    <n v="1723.79"/>
    <x v="4"/>
  </r>
  <r>
    <x v="19"/>
    <s v="Volkan Batkan"/>
    <x v="0"/>
    <x v="378"/>
    <x v="378"/>
    <n v="1"/>
    <s v="ADET"/>
    <n v="1"/>
    <n v="5"/>
    <n v="4"/>
    <n v="2"/>
    <n v="0"/>
    <n v="3447.58"/>
    <n v="1723.79"/>
    <x v="74"/>
    <n v="1723.79"/>
    <x v="4"/>
  </r>
  <r>
    <x v="11"/>
    <s v="Jan Urbanek"/>
    <x v="0"/>
    <x v="378"/>
    <x v="378"/>
    <n v="1"/>
    <s v="ADET"/>
    <n v="1"/>
    <n v="5"/>
    <n v="4"/>
    <n v="2"/>
    <n v="0"/>
    <n v="3447.58"/>
    <n v="1723.79"/>
    <x v="74"/>
    <n v="1723.79"/>
    <x v="4"/>
  </r>
  <r>
    <x v="14"/>
    <s v="Stefan Zaugg"/>
    <x v="0"/>
    <x v="254"/>
    <x v="254"/>
    <n v="1"/>
    <s v="ADET"/>
    <n v="1"/>
    <n v="1"/>
    <n v="6"/>
    <n v="2"/>
    <n v="0"/>
    <n v="16849.34"/>
    <n v="8424.67"/>
    <x v="24"/>
    <n v="8424.67"/>
    <x v="6"/>
  </r>
  <r>
    <x v="7"/>
    <s v="Laurent MONTAGNER"/>
    <x v="0"/>
    <x v="253"/>
    <x v="253"/>
    <n v="1"/>
    <s v="ADET"/>
    <n v="1"/>
    <n v="7"/>
    <n v="10"/>
    <n v="-1"/>
    <n v="5"/>
    <n v="0"/>
    <n v="1200"/>
    <x v="35"/>
    <n v="1200"/>
    <x v="4"/>
  </r>
  <r>
    <x v="14"/>
    <s v="Stefan Zaugg"/>
    <x v="0"/>
    <x v="478"/>
    <x v="478"/>
    <n v="1"/>
    <s v="ADET"/>
    <n v="1"/>
    <n v="8"/>
    <n v="4"/>
    <n v="-1"/>
    <n v="0"/>
    <n v="0"/>
    <n v="1723.79"/>
    <x v="74"/>
    <n v="1723.79"/>
    <x v="4"/>
  </r>
  <r>
    <x v="9"/>
    <s v="Jan Urbanek"/>
    <x v="0"/>
    <x v="478"/>
    <x v="478"/>
    <n v="1"/>
    <s v="ADET"/>
    <n v="1"/>
    <n v="8"/>
    <n v="4"/>
    <n v="-1"/>
    <n v="0"/>
    <n v="0"/>
    <n v="1723.79"/>
    <x v="74"/>
    <n v="1723.79"/>
    <x v="4"/>
  </r>
  <r>
    <x v="16"/>
    <s v="Stefan Zaugg"/>
    <x v="0"/>
    <x v="318"/>
    <x v="318"/>
    <n v="1"/>
    <s v="ADET"/>
    <n v="1"/>
    <n v="7"/>
    <n v="10"/>
    <n v="4"/>
    <n v="0"/>
    <n v="1950.24"/>
    <n v="487.56"/>
    <x v="34"/>
    <n v="487.56"/>
    <x v="6"/>
  </r>
  <r>
    <x v="14"/>
    <s v="Stefan Zaugg"/>
    <x v="0"/>
    <x v="265"/>
    <x v="265"/>
    <n v="2"/>
    <s v="ADET"/>
    <n v="2"/>
    <n v="33"/>
    <n v="16"/>
    <n v="-31"/>
    <n v="0"/>
    <n v="0"/>
    <n v="930"/>
    <x v="20"/>
    <n v="1860"/>
    <x v="7"/>
  </r>
  <r>
    <x v="17"/>
    <s v="Murat Taşdemir"/>
    <x v="0"/>
    <x v="399"/>
    <x v="399"/>
    <n v="2"/>
    <s v="ADET"/>
    <n v="2"/>
    <n v="27"/>
    <n v="16"/>
    <n v="-3"/>
    <n v="0"/>
    <n v="0"/>
    <n v="66.23"/>
    <x v="13"/>
    <n v="132.46"/>
    <x v="7"/>
  </r>
  <r>
    <x v="9"/>
    <s v="Jan Urbanek"/>
    <x v="0"/>
    <x v="34"/>
    <x v="34"/>
    <n v="3"/>
    <s v="ADET"/>
    <n v="0"/>
    <n v="0"/>
    <n v="0"/>
    <n v="27"/>
    <n v="0"/>
    <n v="324"/>
    <n v="12"/>
    <x v="14"/>
    <n v="36"/>
    <x v="2"/>
  </r>
  <r>
    <x v="6"/>
    <s v="Laurent MONTAGNER"/>
    <x v="0"/>
    <x v="460"/>
    <x v="460"/>
    <n v="2"/>
    <s v="ADET"/>
    <n v="2"/>
    <n v="5"/>
    <n v="10"/>
    <n v="11"/>
    <n v="0"/>
    <n v="832.04"/>
    <n v="75.64"/>
    <x v="74"/>
    <n v="151.28"/>
    <x v="6"/>
  </r>
  <r>
    <x v="7"/>
    <s v="Laurent MONTAGNER"/>
    <x v="0"/>
    <x v="462"/>
    <x v="462"/>
    <n v="1"/>
    <s v="ADET"/>
    <n v="1"/>
    <n v="10"/>
    <n v="16"/>
    <n v="2"/>
    <n v="0"/>
    <n v="233.34"/>
    <n v="116.67"/>
    <x v="85"/>
    <n v="116.67"/>
    <x v="6"/>
  </r>
  <r>
    <x v="14"/>
    <s v="Stefan Zaugg"/>
    <x v="0"/>
    <x v="290"/>
    <x v="290"/>
    <n v="5"/>
    <s v="ADET"/>
    <n v="5"/>
    <n v="0"/>
    <n v="10.500000000000064"/>
    <n v="25"/>
    <n v="40"/>
    <n v="16666.75"/>
    <n v="666.67"/>
    <x v="63"/>
    <n v="3333.35"/>
    <x v="8"/>
  </r>
  <r>
    <x v="6"/>
    <s v="Laurent MONTAGNER"/>
    <x v="0"/>
    <x v="290"/>
    <x v="290"/>
    <n v="9.5"/>
    <s v="ADET"/>
    <n v="9.5"/>
    <n v="0"/>
    <n v="10.500000000000064"/>
    <n v="25"/>
    <n v="40"/>
    <n v="16666.75"/>
    <n v="666.67"/>
    <x v="63"/>
    <n v="6333.3649999999998"/>
    <x v="8"/>
  </r>
  <r>
    <x v="6"/>
    <s v="Laurent MONTAGNER"/>
    <x v="0"/>
    <x v="45"/>
    <x v="45"/>
    <n v="1"/>
    <s v="ADET"/>
    <n v="1"/>
    <n v="2"/>
    <n v="8"/>
    <n v="8"/>
    <n v="0"/>
    <n v="70583.44"/>
    <n v="8822.93"/>
    <x v="24"/>
    <n v="8822.93"/>
    <x v="4"/>
  </r>
  <r>
    <x v="7"/>
    <s v="Laurent MONTAGNER"/>
    <x v="0"/>
    <x v="31"/>
    <x v="31"/>
    <n v="1"/>
    <s v="ADET"/>
    <n v="1"/>
    <n v="56"/>
    <n v="11"/>
    <n v="-43"/>
    <n v="0"/>
    <n v="0"/>
    <n v="936.72"/>
    <x v="17"/>
    <n v="936.72"/>
    <x v="7"/>
  </r>
  <r>
    <x v="16"/>
    <s v="Stefan Zaugg"/>
    <x v="0"/>
    <x v="399"/>
    <x v="399"/>
    <n v="2"/>
    <s v="ADET"/>
    <n v="2"/>
    <n v="27"/>
    <n v="16"/>
    <n v="-3"/>
    <n v="0"/>
    <n v="0"/>
    <n v="66.23"/>
    <x v="13"/>
    <n v="132.46"/>
    <x v="7"/>
  </r>
  <r>
    <x v="7"/>
    <s v="Laurent MONTAGNER"/>
    <x v="0"/>
    <x v="290"/>
    <x v="290"/>
    <n v="9.5"/>
    <s v="ADET"/>
    <n v="9.5"/>
    <n v="0"/>
    <n v="10.500000000000064"/>
    <n v="25"/>
    <n v="40"/>
    <n v="16666.75"/>
    <n v="666.67"/>
    <x v="63"/>
    <n v="6333.3649999999998"/>
    <x v="8"/>
  </r>
  <r>
    <x v="19"/>
    <s v="Volkan Batkan"/>
    <x v="0"/>
    <x v="41"/>
    <x v="41"/>
    <n v="0.5"/>
    <s v="ADET"/>
    <n v="0"/>
    <n v="13.5"/>
    <n v="8.5"/>
    <n v="-5.3500000000000014"/>
    <n v="0"/>
    <n v="0"/>
    <n v="1600"/>
    <x v="23"/>
    <n v="800"/>
    <x v="6"/>
  </r>
  <r>
    <x v="13"/>
    <s v="Matteo Giolo"/>
    <x v="0"/>
    <x v="463"/>
    <x v="463"/>
    <n v="1"/>
    <s v="ADET"/>
    <n v="0"/>
    <n v="14"/>
    <n v="9"/>
    <n v="-3"/>
    <n v="0"/>
    <n v="0"/>
    <n v="1020"/>
    <x v="53"/>
    <n v="1020"/>
    <x v="4"/>
  </r>
  <r>
    <x v="19"/>
    <s v="Volkan Batkan"/>
    <x v="0"/>
    <x v="484"/>
    <x v="484"/>
    <n v="1"/>
    <s v="ADET"/>
    <n v="1"/>
    <n v="2"/>
    <n v="1"/>
    <n v="-1"/>
    <n v="2"/>
    <n v="0"/>
    <n v="41000"/>
    <x v="104"/>
    <n v="41000"/>
    <x v="11"/>
  </r>
  <r>
    <x v="17"/>
    <s v="Murat Taşdemir"/>
    <x v="0"/>
    <x v="463"/>
    <x v="463"/>
    <n v="1"/>
    <s v="ADET"/>
    <n v="1"/>
    <n v="14"/>
    <n v="9"/>
    <n v="-3"/>
    <n v="0"/>
    <n v="0"/>
    <n v="1020"/>
    <x v="53"/>
    <n v="1020"/>
    <x v="4"/>
  </r>
  <r>
    <x v="2"/>
    <s v="Laurent MONTAGNER"/>
    <x v="0"/>
    <x v="460"/>
    <x v="460"/>
    <n v="2"/>
    <s v="ADET"/>
    <n v="2"/>
    <n v="5"/>
    <n v="10"/>
    <n v="11"/>
    <n v="0"/>
    <n v="832.04"/>
    <n v="75.64"/>
    <x v="74"/>
    <n v="151.28"/>
    <x v="6"/>
  </r>
  <r>
    <x v="19"/>
    <s v="Volkan Batkan"/>
    <x v="0"/>
    <x v="398"/>
    <x v="398"/>
    <n v="2"/>
    <s v="ADET"/>
    <n v="2"/>
    <n v="0"/>
    <n v="10"/>
    <n v="24"/>
    <n v="0"/>
    <n v="1358.4"/>
    <n v="56.6"/>
    <x v="74"/>
    <n v="113.2"/>
    <x v="6"/>
  </r>
  <r>
    <x v="2"/>
    <s v="Laurent MONTAGNER"/>
    <x v="0"/>
    <x v="45"/>
    <x v="45"/>
    <n v="1"/>
    <s v="ADET"/>
    <n v="1"/>
    <n v="2"/>
    <n v="8"/>
    <n v="8"/>
    <n v="0"/>
    <n v="70583.44"/>
    <n v="8822.93"/>
    <x v="24"/>
    <n v="8822.93"/>
    <x v="4"/>
  </r>
  <r>
    <x v="19"/>
    <s v="Volkan Batkan"/>
    <x v="0"/>
    <x v="134"/>
    <x v="134"/>
    <n v="2"/>
    <s v="ADET"/>
    <n v="2"/>
    <n v="37"/>
    <n v="20"/>
    <n v="-13"/>
    <n v="0"/>
    <n v="0"/>
    <n v="45.3"/>
    <x v="15"/>
    <n v="90.6"/>
    <x v="7"/>
  </r>
  <r>
    <x v="19"/>
    <s v="Volkan Batkan"/>
    <x v="0"/>
    <x v="399"/>
    <x v="399"/>
    <n v="2"/>
    <s v="ADET"/>
    <n v="2"/>
    <n v="27"/>
    <n v="16"/>
    <n v="-3"/>
    <n v="0"/>
    <n v="0"/>
    <n v="66.23"/>
    <x v="13"/>
    <n v="132.46"/>
    <x v="7"/>
  </r>
  <r>
    <x v="19"/>
    <s v="Volkan Batkan"/>
    <x v="0"/>
    <x v="44"/>
    <x v="44"/>
    <n v="6.5400000000000009"/>
    <s v="KG"/>
    <n v="6.5400000000000009"/>
    <n v="134.9"/>
    <n v="46.099999999999767"/>
    <n v="43.169999999999959"/>
    <n v="0"/>
    <n v="4160.2928999999958"/>
    <n v="96.37"/>
    <x v="3"/>
    <n v="630.25980000000015"/>
    <x v="3"/>
  </r>
  <r>
    <x v="4"/>
    <s v="Stefan Zaugg"/>
    <x v="0"/>
    <x v="134"/>
    <x v="134"/>
    <n v="2"/>
    <s v="ADET"/>
    <n v="2"/>
    <n v="37"/>
    <n v="20"/>
    <n v="-13"/>
    <n v="0"/>
    <n v="0"/>
    <n v="45.3"/>
    <x v="15"/>
    <n v="90.6"/>
    <x v="7"/>
  </r>
  <r>
    <x v="4"/>
    <s v="Stefan Zaugg"/>
    <x v="0"/>
    <x v="31"/>
    <x v="31"/>
    <n v="1"/>
    <s v="ADET"/>
    <n v="1"/>
    <n v="56"/>
    <n v="11"/>
    <n v="-43"/>
    <n v="0"/>
    <n v="0"/>
    <n v="936.72"/>
    <x v="17"/>
    <n v="936.72"/>
    <x v="7"/>
  </r>
  <r>
    <x v="17"/>
    <s v="Murat Taşdemir"/>
    <x v="0"/>
    <x v="31"/>
    <x v="31"/>
    <n v="1"/>
    <s v="ADET"/>
    <n v="1"/>
    <n v="56"/>
    <n v="11"/>
    <n v="-43"/>
    <n v="0"/>
    <n v="0"/>
    <n v="936.72"/>
    <x v="17"/>
    <n v="936.72"/>
    <x v="7"/>
  </r>
  <r>
    <x v="7"/>
    <s v="Laurent MONTAGNER"/>
    <x v="0"/>
    <x v="460"/>
    <x v="460"/>
    <n v="2"/>
    <s v="ADET"/>
    <n v="2"/>
    <n v="5"/>
    <n v="10"/>
    <n v="11"/>
    <n v="0"/>
    <n v="832.04"/>
    <n v="75.64"/>
    <x v="74"/>
    <n v="151.28"/>
    <x v="6"/>
  </r>
  <r>
    <x v="4"/>
    <s v="Stefan Zaugg"/>
    <x v="0"/>
    <x v="398"/>
    <x v="398"/>
    <n v="2"/>
    <s v="ADET"/>
    <n v="2"/>
    <n v="0"/>
    <n v="10"/>
    <n v="24"/>
    <n v="0"/>
    <n v="1358.4"/>
    <n v="56.6"/>
    <x v="74"/>
    <n v="113.2"/>
    <x v="6"/>
  </r>
  <r>
    <x v="6"/>
    <s v="Laurent MONTAGNER"/>
    <x v="0"/>
    <x v="80"/>
    <x v="80"/>
    <n v="21"/>
    <s v="ADET"/>
    <n v="0"/>
    <n v="1800"/>
    <n v="773"/>
    <n v="-1570"/>
    <n v="0"/>
    <n v="0"/>
    <n v="0.8"/>
    <x v="14"/>
    <n v="16.8"/>
    <x v="2"/>
  </r>
  <r>
    <x v="6"/>
    <s v="Laurent MONTAGNER"/>
    <x v="0"/>
    <x v="81"/>
    <x v="81"/>
    <n v="2"/>
    <s v="ADET"/>
    <n v="2"/>
    <n v="36"/>
    <n v="12"/>
    <n v="-22"/>
    <n v="0"/>
    <n v="0"/>
    <n v="95"/>
    <x v="35"/>
    <n v="190"/>
    <x v="2"/>
  </r>
  <r>
    <x v="7"/>
    <s v="Laurent MONTAGNER"/>
    <x v="0"/>
    <x v="356"/>
    <x v="356"/>
    <n v="0.16400000000000001"/>
    <s v="M3"/>
    <n v="0.16400000000000001"/>
    <n v="0"/>
    <n v="4.5430000000000446"/>
    <n v="1.4260000000000002"/>
    <n v="0"/>
    <n v="27807.000000000004"/>
    <n v="19500"/>
    <x v="87"/>
    <n v="3198"/>
    <x v="8"/>
  </r>
  <r>
    <x v="7"/>
    <s v="Laurent MONTAGNER"/>
    <x v="0"/>
    <x v="262"/>
    <x v="262"/>
    <n v="1"/>
    <s v="ADET"/>
    <n v="1"/>
    <n v="10"/>
    <n v="4"/>
    <n v="-6"/>
    <n v="0"/>
    <n v="0"/>
    <n v="252"/>
    <x v="75"/>
    <n v="252"/>
    <x v="2"/>
  </r>
  <r>
    <x v="6"/>
    <s v="Laurent MONTAGNER"/>
    <x v="0"/>
    <x v="340"/>
    <x v="340"/>
    <n v="2.2999999999999998"/>
    <s v="ADET"/>
    <n v="2.2999999999999998"/>
    <n v="24"/>
    <n v="18.499999999999982"/>
    <n v="3.899999999999995"/>
    <n v="0"/>
    <n v="467.99999999999943"/>
    <n v="120"/>
    <x v="14"/>
    <n v="276"/>
    <x v="3"/>
  </r>
  <r>
    <x v="6"/>
    <s v="Laurent MONTAGNER"/>
    <x v="0"/>
    <x v="356"/>
    <x v="356"/>
    <n v="0.16400000000000001"/>
    <s v="M3"/>
    <n v="0.16400000000000001"/>
    <n v="0"/>
    <n v="4.5430000000000446"/>
    <n v="1.4260000000000002"/>
    <n v="0"/>
    <n v="27807.000000000004"/>
    <n v="19500"/>
    <x v="87"/>
    <n v="3198"/>
    <x v="8"/>
  </r>
  <r>
    <x v="6"/>
    <s v="Laurent MONTAGNER"/>
    <x v="0"/>
    <x v="255"/>
    <x v="255"/>
    <n v="1"/>
    <s v="ADET"/>
    <n v="1"/>
    <n v="6"/>
    <n v="5"/>
    <n v="5"/>
    <n v="0"/>
    <n v="11000"/>
    <n v="2200"/>
    <x v="36"/>
    <n v="2200"/>
    <x v="4"/>
  </r>
  <r>
    <x v="6"/>
    <s v="Laurent MONTAGNER"/>
    <x v="0"/>
    <x v="234"/>
    <x v="234"/>
    <n v="1.5"/>
    <s v="ADET"/>
    <n v="1.5"/>
    <n v="91"/>
    <n v="17.799999999999997"/>
    <n v="-74.5"/>
    <n v="0"/>
    <n v="0"/>
    <n v="85"/>
    <x v="28"/>
    <n v="127.5"/>
    <x v="2"/>
  </r>
  <r>
    <x v="12"/>
    <s v="Matteo Giolo"/>
    <x v="0"/>
    <x v="340"/>
    <x v="340"/>
    <n v="1.5"/>
    <s v="ADET"/>
    <n v="0"/>
    <n v="24"/>
    <n v="18.499999999999982"/>
    <n v="3.899999999999995"/>
    <n v="0"/>
    <n v="467.99999999999943"/>
    <n v="120"/>
    <x v="14"/>
    <n v="180"/>
    <x v="3"/>
  </r>
  <r>
    <x v="11"/>
    <s v="Jan Urbanek"/>
    <x v="0"/>
    <x v="166"/>
    <x v="166"/>
    <n v="2"/>
    <s v="M2"/>
    <n v="0"/>
    <n v="0"/>
    <n v="-1.4210854715202004E-14"/>
    <n v="52"/>
    <n v="0"/>
    <n v="28423.200000000001"/>
    <n v="546.6"/>
    <x v="56"/>
    <n v="1093.2"/>
    <x v="8"/>
  </r>
  <r>
    <x v="2"/>
    <s v="Laurent MONTAGNER"/>
    <x v="0"/>
    <x v="359"/>
    <x v="359"/>
    <n v="1"/>
    <s v="ADET"/>
    <n v="1"/>
    <n v="18"/>
    <n v="3"/>
    <n v="-1"/>
    <n v="0"/>
    <n v="0"/>
    <n v="4852.33"/>
    <x v="74"/>
    <n v="4852.33"/>
    <x v="6"/>
  </r>
  <r>
    <x v="8"/>
    <s v="Jan Urbanek"/>
    <x v="0"/>
    <x v="165"/>
    <x v="165"/>
    <n v="4"/>
    <s v="ADET"/>
    <n v="0"/>
    <n v="105"/>
    <n v="56"/>
    <n v="-8"/>
    <n v="0"/>
    <n v="0"/>
    <n v="72.599999999999994"/>
    <x v="14"/>
    <n v="290.39999999999998"/>
    <x v="4"/>
  </r>
  <r>
    <x v="8"/>
    <s v="Jan Urbanek"/>
    <x v="0"/>
    <x v="360"/>
    <x v="360"/>
    <n v="50"/>
    <s v="METRE"/>
    <n v="0"/>
    <n v="0"/>
    <n v="57"/>
    <n v="350"/>
    <n v="0"/>
    <n v="3132.4999999999995"/>
    <n v="8.9499999999999993"/>
    <x v="63"/>
    <n v="447.49999999999994"/>
    <x v="8"/>
  </r>
  <r>
    <x v="18"/>
    <s v="Hayriye Güven"/>
    <x v="0"/>
    <x v="513"/>
    <x v="513"/>
    <n v="1"/>
    <s v="ADET"/>
    <n v="1"/>
    <n v="0"/>
    <n v="1"/>
    <n v="0"/>
    <n v="0"/>
    <n v="0"/>
    <n v="39845.54"/>
    <x v="19"/>
    <n v="39845.54"/>
    <x v="6"/>
  </r>
  <r>
    <x v="8"/>
    <s v="Jan Urbanek"/>
    <x v="0"/>
    <x v="101"/>
    <x v="101"/>
    <n v="229"/>
    <s v="ADET"/>
    <n v="0"/>
    <n v="4000"/>
    <n v="7366"/>
    <n v="-714"/>
    <n v="0"/>
    <n v="0"/>
    <n v="0.35"/>
    <x v="14"/>
    <n v="80.149999999999991"/>
    <x v="2"/>
  </r>
  <r>
    <x v="14"/>
    <s v="Stefan Zaugg"/>
    <x v="0"/>
    <x v="62"/>
    <x v="62"/>
    <n v="1"/>
    <s v="ADET"/>
    <n v="1"/>
    <n v="11"/>
    <n v="1"/>
    <n v="-4"/>
    <n v="0"/>
    <n v="0"/>
    <n v="582.5"/>
    <x v="21"/>
    <n v="582.5"/>
    <x v="6"/>
  </r>
  <r>
    <x v="16"/>
    <s v="Stefan Zaugg"/>
    <x v="0"/>
    <x v="294"/>
    <x v="294"/>
    <n v="2"/>
    <s v="ADET"/>
    <n v="2"/>
    <n v="24"/>
    <n v="14"/>
    <n v="-15"/>
    <n v="0"/>
    <n v="0"/>
    <n v="15"/>
    <x v="20"/>
    <n v="30"/>
    <x v="7"/>
  </r>
  <r>
    <x v="4"/>
    <s v="Stefan Zaugg"/>
    <x v="0"/>
    <x v="294"/>
    <x v="294"/>
    <n v="2"/>
    <s v="ADET"/>
    <n v="2"/>
    <n v="24"/>
    <n v="14"/>
    <n v="-15"/>
    <n v="0"/>
    <n v="0"/>
    <n v="15"/>
    <x v="20"/>
    <n v="30"/>
    <x v="7"/>
  </r>
  <r>
    <x v="4"/>
    <s v="Stefan Zaugg"/>
    <x v="0"/>
    <x v="482"/>
    <x v="482"/>
    <n v="1"/>
    <s v="ADET"/>
    <n v="1"/>
    <n v="1"/>
    <n v="5"/>
    <n v="0"/>
    <n v="0"/>
    <n v="0"/>
    <n v="3500"/>
    <x v="103"/>
    <n v="3500"/>
    <x v="7"/>
  </r>
  <r>
    <x v="14"/>
    <s v="Stefan Zaugg"/>
    <x v="0"/>
    <x v="63"/>
    <x v="63"/>
    <n v="4"/>
    <s v="KG"/>
    <n v="4"/>
    <n v="0"/>
    <n v="233.6899999999996"/>
    <n v="63.129999999999995"/>
    <n v="0"/>
    <n v="6403.9071999999996"/>
    <n v="101.44"/>
    <x v="3"/>
    <n v="405.76"/>
    <x v="3"/>
  </r>
  <r>
    <x v="4"/>
    <s v="Stefan Zaugg"/>
    <x v="0"/>
    <x v="143"/>
    <x v="143"/>
    <n v="0.7"/>
    <s v="ADET"/>
    <n v="0.7"/>
    <n v="0"/>
    <n v="5.5999999999999988"/>
    <n v="7.2"/>
    <n v="0"/>
    <n v="1170.0719999999999"/>
    <n v="162.51"/>
    <x v="3"/>
    <n v="113.75699999999999"/>
    <x v="3"/>
  </r>
  <r>
    <x v="16"/>
    <s v="Stefan Zaugg"/>
    <x v="0"/>
    <x v="63"/>
    <x v="63"/>
    <n v="4"/>
    <s v="KG"/>
    <n v="4"/>
    <n v="0"/>
    <n v="233.6899999999996"/>
    <n v="63.129999999999995"/>
    <n v="0"/>
    <n v="6403.9071999999996"/>
    <n v="101.44"/>
    <x v="3"/>
    <n v="405.76"/>
    <x v="3"/>
  </r>
  <r>
    <x v="19"/>
    <s v="Volkan Batkan"/>
    <x v="0"/>
    <x v="63"/>
    <x v="63"/>
    <n v="5.5"/>
    <s v="KG"/>
    <n v="5.5"/>
    <n v="0"/>
    <n v="233.6899999999996"/>
    <n v="63.129999999999995"/>
    <n v="0"/>
    <n v="6403.9071999999996"/>
    <n v="101.44"/>
    <x v="3"/>
    <n v="557.91999999999996"/>
    <x v="3"/>
  </r>
  <r>
    <x v="17"/>
    <s v="Murat Taşdemir"/>
    <x v="0"/>
    <x v="143"/>
    <x v="143"/>
    <n v="1.1499999999999999"/>
    <s v="ADET"/>
    <n v="1.1499999999999999"/>
    <n v="0"/>
    <n v="5.5999999999999988"/>
    <n v="7.2"/>
    <n v="0"/>
    <n v="1170.0719999999999"/>
    <n v="162.51"/>
    <x v="3"/>
    <n v="186.88649999999998"/>
    <x v="3"/>
  </r>
  <r>
    <x v="4"/>
    <s v="Stefan Zaugg"/>
    <x v="0"/>
    <x v="144"/>
    <x v="144"/>
    <n v="1"/>
    <s v="ADET"/>
    <n v="1"/>
    <n v="3"/>
    <n v="11"/>
    <n v="7"/>
    <n v="0"/>
    <n v="22092.98"/>
    <n v="3156.14"/>
    <x v="13"/>
    <n v="3156.14"/>
    <x v="7"/>
  </r>
  <r>
    <x v="3"/>
    <s v="Stina Alm"/>
    <x v="0"/>
    <x v="143"/>
    <x v="143"/>
    <n v="1.05"/>
    <s v="ADET"/>
    <n v="0"/>
    <n v="0"/>
    <n v="5.5999999999999988"/>
    <n v="7.2"/>
    <n v="0"/>
    <n v="1170.0719999999999"/>
    <n v="162.51"/>
    <x v="3"/>
    <n v="170.63550000000001"/>
    <x v="3"/>
  </r>
  <r>
    <x v="17"/>
    <s v="Murat Taşdemir"/>
    <x v="0"/>
    <x v="286"/>
    <x v="286"/>
    <n v="1"/>
    <s v="KG"/>
    <n v="0"/>
    <n v="0"/>
    <n v="0"/>
    <n v="19"/>
    <n v="0"/>
    <n v="1538.6200000000001"/>
    <n v="80.98"/>
    <x v="63"/>
    <n v="80.98"/>
    <x v="3"/>
  </r>
  <r>
    <x v="2"/>
    <s v="Laurent MONTAGNER"/>
    <x v="0"/>
    <x v="63"/>
    <x v="63"/>
    <n v="10.86"/>
    <s v="KG"/>
    <n v="10.86"/>
    <n v="0"/>
    <n v="233.6899999999996"/>
    <n v="63.129999999999995"/>
    <n v="0"/>
    <n v="6403.9071999999996"/>
    <n v="101.44"/>
    <x v="3"/>
    <n v="1101.6383999999998"/>
    <x v="3"/>
  </r>
  <r>
    <x v="4"/>
    <s v="Stefan Zaugg"/>
    <x v="0"/>
    <x v="3"/>
    <x v="3"/>
    <n v="24.65"/>
    <s v="KG"/>
    <n v="24.65"/>
    <n v="0"/>
    <n v="437.82000000000016"/>
    <n v="348.62999999999988"/>
    <n v="0"/>
    <n v="33597.473099999988"/>
    <n v="96.37"/>
    <x v="3"/>
    <n v="2375.5205000000001"/>
    <x v="3"/>
  </r>
  <r>
    <x v="8"/>
    <s v="Jan Urbanek"/>
    <x v="0"/>
    <x v="3"/>
    <x v="3"/>
    <n v="34.869999999999997"/>
    <s v="KG"/>
    <n v="34.869999999999997"/>
    <n v="0"/>
    <n v="437.82000000000016"/>
    <n v="348.62999999999988"/>
    <n v="0"/>
    <n v="33597.473099999988"/>
    <n v="96.37"/>
    <x v="3"/>
    <n v="3360.4218999999998"/>
    <x v="3"/>
  </r>
  <r>
    <x v="6"/>
    <s v="Laurent MONTAGNER"/>
    <x v="0"/>
    <x v="116"/>
    <x v="116"/>
    <n v="3.4400000000000004"/>
    <s v="KG"/>
    <n v="3.4400000000000004"/>
    <n v="66"/>
    <n v="36.349999999999987"/>
    <n v="-17.090000000000018"/>
    <n v="0"/>
    <n v="0"/>
    <n v="129.63"/>
    <x v="14"/>
    <n v="445.92720000000003"/>
    <x v="3"/>
  </r>
  <r>
    <x v="6"/>
    <s v="Laurent MONTAGNER"/>
    <x v="0"/>
    <x v="458"/>
    <x v="458"/>
    <n v="2"/>
    <s v="ADET"/>
    <n v="2"/>
    <n v="1"/>
    <n v="14"/>
    <n v="25"/>
    <n v="0"/>
    <n v="11103.25"/>
    <n v="444.13"/>
    <x v="67"/>
    <n v="888.26"/>
    <x v="6"/>
  </r>
  <r>
    <x v="2"/>
    <s v="Laurent MONTAGNER"/>
    <x v="0"/>
    <x v="318"/>
    <x v="318"/>
    <n v="1"/>
    <s v="ADET"/>
    <n v="1"/>
    <n v="7"/>
    <n v="10"/>
    <n v="4"/>
    <n v="0"/>
    <n v="1950.24"/>
    <n v="487.56"/>
    <x v="34"/>
    <n v="487.56"/>
    <x v="6"/>
  </r>
  <r>
    <x v="6"/>
    <s v="Laurent MONTAGNER"/>
    <x v="0"/>
    <x v="246"/>
    <x v="246"/>
    <n v="2.4300000000000002"/>
    <s v="ADET"/>
    <n v="2.4300000000000002"/>
    <n v="75"/>
    <n v="42.70000000000006"/>
    <n v="-48.040000000000006"/>
    <n v="0"/>
    <n v="0"/>
    <n v="15"/>
    <x v="14"/>
    <n v="36.450000000000003"/>
    <x v="2"/>
  </r>
  <r>
    <x v="7"/>
    <s v="Laurent MONTAGNER"/>
    <x v="0"/>
    <x v="246"/>
    <x v="246"/>
    <n v="2.4300000000000002"/>
    <s v="ADET"/>
    <n v="2.4300000000000002"/>
    <n v="75"/>
    <n v="42.70000000000006"/>
    <n v="-48.040000000000006"/>
    <n v="0"/>
    <n v="0"/>
    <n v="15"/>
    <x v="14"/>
    <n v="36.450000000000003"/>
    <x v="2"/>
  </r>
  <r>
    <x v="4"/>
    <s v="Stefan Zaugg"/>
    <x v="0"/>
    <x v="488"/>
    <x v="488"/>
    <n v="2"/>
    <s v="ADET"/>
    <n v="2"/>
    <n v="4"/>
    <n v="12"/>
    <n v="-4"/>
    <n v="0"/>
    <n v="0"/>
    <n v="1029.1300000000001"/>
    <x v="74"/>
    <n v="2058.2600000000002"/>
    <x v="4"/>
  </r>
  <r>
    <x v="16"/>
    <s v="Stefan Zaugg"/>
    <x v="0"/>
    <x v="198"/>
    <x v="198"/>
    <n v="3"/>
    <s v="METRE"/>
    <n v="3"/>
    <n v="118"/>
    <n v="21"/>
    <n v="-115"/>
    <n v="0"/>
    <n v="0"/>
    <n v="14.33"/>
    <x v="15"/>
    <n v="42.99"/>
    <x v="7"/>
  </r>
  <r>
    <x v="4"/>
    <s v="Stefan Zaugg"/>
    <x v="0"/>
    <x v="149"/>
    <x v="149"/>
    <n v="2"/>
    <s v="ADET"/>
    <n v="2"/>
    <n v="67"/>
    <n v="24"/>
    <n v="-38"/>
    <n v="0"/>
    <n v="0"/>
    <n v="640"/>
    <x v="20"/>
    <n v="1280"/>
    <x v="7"/>
  </r>
  <r>
    <x v="16"/>
    <s v="Stefan Zaugg"/>
    <x v="0"/>
    <x v="183"/>
    <x v="183"/>
    <n v="1"/>
    <s v="ADET"/>
    <n v="1"/>
    <n v="17"/>
    <n v="11"/>
    <n v="-5"/>
    <n v="0"/>
    <n v="0"/>
    <n v="1094.4000000000001"/>
    <x v="15"/>
    <n v="1094.4000000000001"/>
    <x v="7"/>
  </r>
  <r>
    <x v="4"/>
    <s v="Stefan Zaugg"/>
    <x v="0"/>
    <x v="452"/>
    <x v="452"/>
    <n v="1"/>
    <s v="ADET"/>
    <n v="0"/>
    <n v="27"/>
    <n v="4"/>
    <n v="-20"/>
    <n v="0"/>
    <n v="0"/>
    <n v="287.13"/>
    <x v="74"/>
    <n v="287.13"/>
    <x v="4"/>
  </r>
  <r>
    <x v="14"/>
    <s v="Stefan Zaugg"/>
    <x v="0"/>
    <x v="198"/>
    <x v="198"/>
    <n v="3"/>
    <s v="METRE"/>
    <n v="3"/>
    <n v="118"/>
    <n v="21"/>
    <n v="-115"/>
    <n v="0"/>
    <n v="0"/>
    <n v="14.33"/>
    <x v="15"/>
    <n v="42.99"/>
    <x v="7"/>
  </r>
  <r>
    <x v="14"/>
    <s v="Stefan Zaugg"/>
    <x v="0"/>
    <x v="150"/>
    <x v="150"/>
    <n v="1"/>
    <s v="ADET"/>
    <n v="1"/>
    <n v="9"/>
    <n v="13"/>
    <n v="-1"/>
    <n v="4"/>
    <n v="0"/>
    <n v="1600"/>
    <x v="35"/>
    <n v="1600"/>
    <x v="7"/>
  </r>
  <r>
    <x v="14"/>
    <s v="Stefan Zaugg"/>
    <x v="0"/>
    <x v="457"/>
    <x v="457"/>
    <n v="1"/>
    <s v="ADET"/>
    <n v="1"/>
    <n v="19"/>
    <n v="4"/>
    <n v="-12"/>
    <n v="0"/>
    <n v="0"/>
    <n v="85"/>
    <x v="10"/>
    <n v="85"/>
    <x v="4"/>
  </r>
  <r>
    <x v="7"/>
    <s v="Laurent MONTAGNER"/>
    <x v="0"/>
    <x v="149"/>
    <x v="149"/>
    <n v="2"/>
    <s v="ADET"/>
    <n v="2"/>
    <n v="67"/>
    <n v="24"/>
    <n v="-38"/>
    <n v="0"/>
    <n v="0"/>
    <n v="640"/>
    <x v="20"/>
    <n v="1280"/>
    <x v="7"/>
  </r>
  <r>
    <x v="7"/>
    <s v="Laurent MONTAGNER"/>
    <x v="0"/>
    <x v="183"/>
    <x v="183"/>
    <n v="1"/>
    <s v="ADET"/>
    <n v="1"/>
    <n v="17"/>
    <n v="11"/>
    <n v="-5"/>
    <n v="0"/>
    <n v="0"/>
    <n v="1094.4000000000001"/>
    <x v="15"/>
    <n v="1094.4000000000001"/>
    <x v="7"/>
  </r>
  <r>
    <x v="7"/>
    <s v="Laurent MONTAGNER"/>
    <x v="0"/>
    <x v="14"/>
    <x v="14"/>
    <n v="1"/>
    <s v="ADET"/>
    <n v="1"/>
    <n v="0"/>
    <n v="10"/>
    <n v="0"/>
    <n v="11"/>
    <n v="0"/>
    <n v="675"/>
    <x v="7"/>
    <n v="675"/>
    <x v="6"/>
  </r>
  <r>
    <x v="2"/>
    <s v="Laurent MONTAGNER"/>
    <x v="0"/>
    <x v="206"/>
    <x v="206"/>
    <n v="1"/>
    <s v="ADET"/>
    <n v="1"/>
    <n v="2"/>
    <n v="4"/>
    <n v="0"/>
    <n v="2"/>
    <n v="0"/>
    <n v="1667.14"/>
    <x v="7"/>
    <n v="1667.14"/>
    <x v="6"/>
  </r>
  <r>
    <x v="7"/>
    <s v="Laurent MONTAGNER"/>
    <x v="0"/>
    <x v="472"/>
    <x v="472"/>
    <n v="4"/>
    <s v="ADET"/>
    <n v="4"/>
    <n v="36"/>
    <n v="26"/>
    <n v="1"/>
    <n v="0"/>
    <n v="348.7"/>
    <n v="348.7"/>
    <x v="74"/>
    <n v="1394.8"/>
    <x v="6"/>
  </r>
  <r>
    <x v="16"/>
    <s v="Stefan Zaugg"/>
    <x v="0"/>
    <x v="457"/>
    <x v="457"/>
    <n v="1"/>
    <s v="ADET"/>
    <n v="1"/>
    <n v="19"/>
    <n v="4"/>
    <n v="-12"/>
    <n v="0"/>
    <n v="0"/>
    <n v="85"/>
    <x v="10"/>
    <n v="85"/>
    <x v="4"/>
  </r>
  <r>
    <x v="4"/>
    <s v="Stefan Zaugg"/>
    <x v="0"/>
    <x v="502"/>
    <x v="502"/>
    <n v="1"/>
    <s v="ADET"/>
    <n v="1"/>
    <n v="2"/>
    <n v="2"/>
    <n v="-2"/>
    <n v="0"/>
    <n v="0"/>
    <n v="400"/>
    <x v="91"/>
    <n v="400"/>
    <x v="4"/>
  </r>
  <r>
    <x v="14"/>
    <s v="Stefan Zaugg"/>
    <x v="0"/>
    <x v="488"/>
    <x v="488"/>
    <n v="2"/>
    <s v="ADET"/>
    <n v="2"/>
    <n v="4"/>
    <n v="12"/>
    <n v="-4"/>
    <n v="0"/>
    <n v="0"/>
    <n v="1029.1300000000001"/>
    <x v="74"/>
    <n v="2058.2600000000002"/>
    <x v="4"/>
  </r>
  <r>
    <x v="14"/>
    <s v="Stefan Zaugg"/>
    <x v="0"/>
    <x v="11"/>
    <x v="11"/>
    <n v="1.0209999999999999"/>
    <s v="KG"/>
    <n v="1.0209999999999999"/>
    <n v="0"/>
    <n v="65.03100000000002"/>
    <n v="17.948"/>
    <n v="0"/>
    <n v="6991.2844399999994"/>
    <n v="389.53"/>
    <x v="3"/>
    <n v="397.71012999999994"/>
    <x v="3"/>
  </r>
  <r>
    <x v="13"/>
    <s v="Matteo Giolo"/>
    <x v="0"/>
    <x v="13"/>
    <x v="13"/>
    <n v="11"/>
    <s v="ADET"/>
    <n v="0"/>
    <n v="0"/>
    <n v="128"/>
    <n v="70"/>
    <n v="40"/>
    <n v="4200"/>
    <n v="60"/>
    <x v="10"/>
    <n v="660"/>
    <x v="2"/>
  </r>
  <r>
    <x v="2"/>
    <s v="Laurent MONTAGNER"/>
    <x v="0"/>
    <x v="450"/>
    <x v="450"/>
    <n v="1"/>
    <s v="ADET"/>
    <n v="1"/>
    <n v="49"/>
    <n v="1.6000000000000005"/>
    <n v="-37.599999999999994"/>
    <n v="0"/>
    <n v="0"/>
    <n v="60"/>
    <x v="3"/>
    <n v="60"/>
    <x v="2"/>
  </r>
  <r>
    <x v="17"/>
    <s v="Murat Taşdemir"/>
    <x v="0"/>
    <x v="462"/>
    <x v="462"/>
    <n v="1"/>
    <s v="ADET"/>
    <n v="1"/>
    <n v="10"/>
    <n v="16"/>
    <n v="2"/>
    <n v="0"/>
    <n v="233.34"/>
    <n v="116.67"/>
    <x v="85"/>
    <n v="116.67"/>
    <x v="6"/>
  </r>
  <r>
    <x v="7"/>
    <s v="Laurent MONTAGNER"/>
    <x v="0"/>
    <x v="45"/>
    <x v="45"/>
    <n v="1"/>
    <s v="ADET"/>
    <n v="1"/>
    <n v="2"/>
    <n v="8"/>
    <n v="8"/>
    <n v="0"/>
    <n v="70583.44"/>
    <n v="8822.93"/>
    <x v="24"/>
    <n v="8822.93"/>
    <x v="4"/>
  </r>
  <r>
    <x v="4"/>
    <s v="Stefan Zaugg"/>
    <x v="0"/>
    <x v="463"/>
    <x v="463"/>
    <n v="1"/>
    <s v="ADET"/>
    <n v="1"/>
    <n v="14"/>
    <n v="9"/>
    <n v="-3"/>
    <n v="0"/>
    <n v="0"/>
    <n v="1020"/>
    <x v="53"/>
    <n v="1020"/>
    <x v="4"/>
  </r>
  <r>
    <x v="4"/>
    <s v="Stefan Zaugg"/>
    <x v="0"/>
    <x v="42"/>
    <x v="42"/>
    <n v="0.25"/>
    <s v="KG"/>
    <n v="0.25"/>
    <n v="0"/>
    <n v="24.129999999999985"/>
    <n v="4.1899999999999995"/>
    <n v="0"/>
    <n v="1667.7456999999997"/>
    <n v="398.03"/>
    <x v="3"/>
    <n v="99.507499999999993"/>
    <x v="3"/>
  </r>
  <r>
    <x v="3"/>
    <s v="Stina Alm"/>
    <x v="0"/>
    <x v="396"/>
    <x v="396"/>
    <n v="1"/>
    <s v="ADET"/>
    <n v="0"/>
    <n v="2"/>
    <n v="7"/>
    <n v="10"/>
    <n v="0"/>
    <n v="121389.3"/>
    <n v="12138.93"/>
    <x v="24"/>
    <n v="12138.93"/>
    <x v="6"/>
  </r>
  <r>
    <x v="19"/>
    <s v="Volkan Batkan"/>
    <x v="0"/>
    <x v="396"/>
    <x v="396"/>
    <n v="1"/>
    <s v="ADET"/>
    <n v="1"/>
    <n v="2"/>
    <n v="7"/>
    <n v="10"/>
    <n v="0"/>
    <n v="121389.3"/>
    <n v="12138.93"/>
    <x v="24"/>
    <n v="12138.93"/>
    <x v="6"/>
  </r>
  <r>
    <x v="16"/>
    <s v="Stefan Zaugg"/>
    <x v="0"/>
    <x v="42"/>
    <x v="42"/>
    <n v="0.25"/>
    <s v="KG"/>
    <n v="0.25"/>
    <n v="0"/>
    <n v="24.129999999999985"/>
    <n v="4.1899999999999995"/>
    <n v="0"/>
    <n v="1667.7456999999997"/>
    <n v="398.03"/>
    <x v="3"/>
    <n v="99.507499999999993"/>
    <x v="3"/>
  </r>
  <r>
    <x v="19"/>
    <s v="Volkan Batkan"/>
    <x v="0"/>
    <x v="42"/>
    <x v="42"/>
    <n v="0.35"/>
    <s v="KG"/>
    <n v="0.35"/>
    <n v="0"/>
    <n v="24.129999999999985"/>
    <n v="4.1899999999999995"/>
    <n v="0"/>
    <n v="1667.7456999999997"/>
    <n v="398.03"/>
    <x v="3"/>
    <n v="139.31049999999999"/>
    <x v="3"/>
  </r>
  <r>
    <x v="16"/>
    <s v="Stefan Zaugg"/>
    <x v="0"/>
    <x v="175"/>
    <x v="175"/>
    <n v="2"/>
    <s v="ADET"/>
    <n v="2"/>
    <n v="20"/>
    <n v="20"/>
    <n v="-6"/>
    <n v="10"/>
    <n v="0"/>
    <n v="400"/>
    <x v="35"/>
    <n v="800"/>
    <x v="7"/>
  </r>
  <r>
    <x v="7"/>
    <s v="Laurent MONTAGNER"/>
    <x v="0"/>
    <x v="177"/>
    <x v="177"/>
    <n v="1"/>
    <s v="ADET"/>
    <n v="1"/>
    <n v="15"/>
    <n v="9"/>
    <n v="-3"/>
    <n v="0"/>
    <n v="0"/>
    <n v="224.46"/>
    <x v="15"/>
    <n v="224.46"/>
    <x v="7"/>
  </r>
  <r>
    <x v="17"/>
    <s v="Murat Taşdemir"/>
    <x v="0"/>
    <x v="170"/>
    <x v="170"/>
    <n v="5"/>
    <s v="ADET"/>
    <n v="5"/>
    <n v="65"/>
    <n v="31"/>
    <n v="-31"/>
    <n v="0"/>
    <n v="0"/>
    <n v="45.5"/>
    <x v="57"/>
    <n v="227.5"/>
    <x v="7"/>
  </r>
  <r>
    <x v="14"/>
    <s v="Stefan Zaugg"/>
    <x v="0"/>
    <x v="175"/>
    <x v="175"/>
    <n v="2"/>
    <s v="ADET"/>
    <n v="2"/>
    <n v="20"/>
    <n v="20"/>
    <n v="-6"/>
    <n v="10"/>
    <n v="0"/>
    <n v="400"/>
    <x v="35"/>
    <n v="800"/>
    <x v="7"/>
  </r>
  <r>
    <x v="4"/>
    <s v="Stefan Zaugg"/>
    <x v="0"/>
    <x v="393"/>
    <x v="393"/>
    <n v="2"/>
    <s v="ADET"/>
    <n v="2"/>
    <n v="452"/>
    <n v="25"/>
    <n v="-428"/>
    <n v="0"/>
    <n v="0"/>
    <n v="20"/>
    <x v="5"/>
    <n v="40"/>
    <x v="7"/>
  </r>
  <r>
    <x v="17"/>
    <s v="Murat Taşdemir"/>
    <x v="0"/>
    <x v="393"/>
    <x v="393"/>
    <n v="2"/>
    <s v="ADET"/>
    <n v="2"/>
    <n v="452"/>
    <n v="25"/>
    <n v="-428"/>
    <n v="0"/>
    <n v="0"/>
    <n v="20"/>
    <x v="5"/>
    <n v="40"/>
    <x v="7"/>
  </r>
  <r>
    <x v="17"/>
    <s v="Murat Taşdemir"/>
    <x v="0"/>
    <x v="177"/>
    <x v="177"/>
    <n v="1"/>
    <s v="ADET"/>
    <n v="1"/>
    <n v="15"/>
    <n v="9"/>
    <n v="-3"/>
    <n v="0"/>
    <n v="0"/>
    <n v="224.46"/>
    <x v="15"/>
    <n v="224.46"/>
    <x v="7"/>
  </r>
  <r>
    <x v="4"/>
    <s v="Stefan Zaugg"/>
    <x v="0"/>
    <x v="172"/>
    <x v="172"/>
    <n v="6"/>
    <s v="KG"/>
    <n v="6"/>
    <n v="0"/>
    <n v="260.61"/>
    <n v="97.559999999999988"/>
    <n v="0"/>
    <n v="13285.720799999999"/>
    <n v="136.18"/>
    <x v="54"/>
    <n v="817.08"/>
    <x v="3"/>
  </r>
  <r>
    <x v="8"/>
    <s v="Jan Urbanek"/>
    <x v="0"/>
    <x v="172"/>
    <x v="172"/>
    <n v="7"/>
    <s v="KG"/>
    <n v="7"/>
    <n v="0"/>
    <n v="260.61"/>
    <n v="97.559999999999988"/>
    <n v="0"/>
    <n v="13285.720799999999"/>
    <n v="136.18"/>
    <x v="54"/>
    <n v="953.26"/>
    <x v="3"/>
  </r>
  <r>
    <x v="14"/>
    <s v="Stefan Zaugg"/>
    <x v="0"/>
    <x v="465"/>
    <x v="465"/>
    <n v="2"/>
    <s v="KG"/>
    <n v="2"/>
    <n v="139"/>
    <n v="45.499999999999943"/>
    <n v="-124"/>
    <n v="0"/>
    <n v="0"/>
    <n v="233.95"/>
    <x v="3"/>
    <n v="467.9"/>
    <x v="3"/>
  </r>
  <r>
    <x v="6"/>
    <s v="Laurent MONTAGNER"/>
    <x v="0"/>
    <x v="393"/>
    <x v="393"/>
    <n v="2"/>
    <s v="ADET"/>
    <n v="2"/>
    <n v="452"/>
    <n v="25"/>
    <n v="-428"/>
    <n v="0"/>
    <n v="0"/>
    <n v="20"/>
    <x v="5"/>
    <n v="40"/>
    <x v="7"/>
  </r>
  <r>
    <x v="4"/>
    <s v="Stefan Zaugg"/>
    <x v="0"/>
    <x v="177"/>
    <x v="177"/>
    <n v="1"/>
    <s v="ADET"/>
    <n v="1"/>
    <n v="15"/>
    <n v="9"/>
    <n v="-3"/>
    <n v="0"/>
    <n v="0"/>
    <n v="224.46"/>
    <x v="15"/>
    <n v="224.46"/>
    <x v="7"/>
  </r>
  <r>
    <x v="6"/>
    <s v="Laurent MONTAGNER"/>
    <x v="0"/>
    <x v="177"/>
    <x v="177"/>
    <n v="1"/>
    <s v="ADET"/>
    <n v="1"/>
    <n v="15"/>
    <n v="9"/>
    <n v="-3"/>
    <n v="0"/>
    <n v="0"/>
    <n v="224.46"/>
    <x v="15"/>
    <n v="224.46"/>
    <x v="7"/>
  </r>
  <r>
    <x v="2"/>
    <s v="Laurent MONTAGNER"/>
    <x v="0"/>
    <x v="170"/>
    <x v="170"/>
    <n v="4"/>
    <s v="ADET"/>
    <n v="4"/>
    <n v="65"/>
    <n v="31"/>
    <n v="-31"/>
    <n v="0"/>
    <n v="0"/>
    <n v="45.5"/>
    <x v="57"/>
    <n v="182"/>
    <x v="7"/>
  </r>
  <r>
    <x v="6"/>
    <s v="Laurent MONTAGNER"/>
    <x v="0"/>
    <x v="170"/>
    <x v="170"/>
    <n v="5"/>
    <s v="ADET"/>
    <n v="5"/>
    <n v="65"/>
    <n v="31"/>
    <n v="-31"/>
    <n v="0"/>
    <n v="0"/>
    <n v="45.5"/>
    <x v="57"/>
    <n v="227.5"/>
    <x v="7"/>
  </r>
  <r>
    <x v="0"/>
    <s v="Soner Kayıkçı"/>
    <x v="0"/>
    <x v="444"/>
    <x v="444"/>
    <n v="0.1"/>
    <s v="ADET"/>
    <n v="0"/>
    <n v="2"/>
    <n v="-6.3837823915946501E-16"/>
    <n v="1.4000000000000004"/>
    <n v="0"/>
    <n v="3889.2000000000012"/>
    <n v="2778"/>
    <x v="35"/>
    <n v="277.8"/>
    <x v="3"/>
  </r>
  <r>
    <x v="19"/>
    <s v="Volkan Batkan"/>
    <x v="0"/>
    <x v="72"/>
    <x v="72"/>
    <n v="16"/>
    <s v="ADET"/>
    <n v="16"/>
    <n v="500"/>
    <n v="490"/>
    <n v="-294"/>
    <n v="0"/>
    <n v="0"/>
    <n v="1.6"/>
    <x v="14"/>
    <n v="25.6"/>
    <x v="2"/>
  </r>
  <r>
    <x v="17"/>
    <s v="Murat Taşdemir"/>
    <x v="0"/>
    <x v="465"/>
    <x v="465"/>
    <n v="6"/>
    <s v="KG"/>
    <n v="6"/>
    <n v="139"/>
    <n v="45.499999999999943"/>
    <n v="-124"/>
    <n v="0"/>
    <n v="0"/>
    <n v="233.95"/>
    <x v="3"/>
    <n v="1403.6999999999998"/>
    <x v="3"/>
  </r>
  <r>
    <x v="14"/>
    <s v="Stefan Zaugg"/>
    <x v="0"/>
    <x v="442"/>
    <x v="442"/>
    <n v="1"/>
    <s v="ADET"/>
    <n v="1"/>
    <n v="5"/>
    <n v="6"/>
    <n v="-17"/>
    <n v="12"/>
    <n v="0"/>
    <n v="14305.4"/>
    <x v="99"/>
    <n v="14305.4"/>
    <x v="4"/>
  </r>
  <r>
    <x v="19"/>
    <s v="Volkan Batkan"/>
    <x v="0"/>
    <x v="442"/>
    <x v="442"/>
    <n v="1"/>
    <s v="ADET"/>
    <n v="1"/>
    <n v="5"/>
    <n v="6"/>
    <n v="-17"/>
    <n v="12"/>
    <n v="0"/>
    <n v="14305.4"/>
    <x v="99"/>
    <n v="14305.4"/>
    <x v="4"/>
  </r>
  <r>
    <x v="7"/>
    <s v="Laurent MONTAGNER"/>
    <x v="0"/>
    <x v="143"/>
    <x v="143"/>
    <n v="0.81"/>
    <s v="ADET"/>
    <n v="0.81"/>
    <n v="0"/>
    <n v="5.5999999999999988"/>
    <n v="7.2"/>
    <n v="0"/>
    <n v="1170.0719999999999"/>
    <n v="162.51"/>
    <x v="3"/>
    <n v="131.63310000000001"/>
    <x v="3"/>
  </r>
  <r>
    <x v="17"/>
    <s v="Murat Taşdemir"/>
    <x v="0"/>
    <x v="283"/>
    <x v="283"/>
    <n v="1.8"/>
    <s v="ADET"/>
    <n v="1.8"/>
    <n v="0"/>
    <n v="11"/>
    <n v="20.000000000000007"/>
    <n v="4"/>
    <n v="36666.600000000013"/>
    <n v="1833.33"/>
    <x v="63"/>
    <n v="3299.9940000000001"/>
    <x v="8"/>
  </r>
  <r>
    <x v="13"/>
    <s v="Matteo Giolo"/>
    <x v="0"/>
    <x v="39"/>
    <x v="39"/>
    <n v="83"/>
    <s v="ADET"/>
    <n v="0"/>
    <n v="3000"/>
    <n v="1048"/>
    <n v="-967"/>
    <n v="0"/>
    <n v="0"/>
    <n v="2.92"/>
    <x v="21"/>
    <n v="242.35999999999999"/>
    <x v="2"/>
  </r>
  <r>
    <x v="7"/>
    <s v="Laurent MONTAGNER"/>
    <x v="0"/>
    <x v="37"/>
    <x v="37"/>
    <n v="1"/>
    <s v="ADET"/>
    <n v="1"/>
    <n v="7"/>
    <n v="10"/>
    <n v="6"/>
    <n v="0"/>
    <n v="20303.939999999999"/>
    <n v="3383.99"/>
    <x v="19"/>
    <n v="3383.99"/>
    <x v="7"/>
  </r>
  <r>
    <x v="7"/>
    <s v="Laurent MONTAGNER"/>
    <x v="0"/>
    <x v="144"/>
    <x v="144"/>
    <n v="1"/>
    <s v="ADET"/>
    <n v="1"/>
    <n v="3"/>
    <n v="11"/>
    <n v="7"/>
    <n v="0"/>
    <n v="22092.98"/>
    <n v="3156.14"/>
    <x v="13"/>
    <n v="3156.14"/>
    <x v="7"/>
  </r>
  <r>
    <x v="7"/>
    <s v="Laurent MONTAGNER"/>
    <x v="0"/>
    <x v="282"/>
    <x v="282"/>
    <n v="9"/>
    <s v="ADET"/>
    <n v="9"/>
    <n v="300"/>
    <n v="325"/>
    <n v="-192"/>
    <n v="0"/>
    <n v="0"/>
    <n v="12"/>
    <x v="2"/>
    <n v="108"/>
    <x v="2"/>
  </r>
  <r>
    <x v="13"/>
    <s v="Matteo Giolo"/>
    <x v="0"/>
    <x v="38"/>
    <x v="38"/>
    <n v="2"/>
    <s v="ADET"/>
    <n v="0"/>
    <n v="239"/>
    <n v="90"/>
    <n v="-201"/>
    <n v="0"/>
    <n v="0"/>
    <n v="4"/>
    <x v="20"/>
    <n v="8"/>
    <x v="7"/>
  </r>
  <r>
    <x v="17"/>
    <s v="Murat Taşdemir"/>
    <x v="0"/>
    <x v="144"/>
    <x v="144"/>
    <n v="3"/>
    <s v="ADET"/>
    <n v="3"/>
    <n v="3"/>
    <n v="11"/>
    <n v="7"/>
    <n v="0"/>
    <n v="22092.98"/>
    <n v="3156.14"/>
    <x v="13"/>
    <n v="9468.42"/>
    <x v="7"/>
  </r>
  <r>
    <x v="6"/>
    <s v="Laurent MONTAGNER"/>
    <x v="0"/>
    <x v="63"/>
    <x v="63"/>
    <n v="6.28"/>
    <s v="KG"/>
    <n v="6.28"/>
    <n v="0"/>
    <n v="233.6899999999996"/>
    <n v="63.129999999999995"/>
    <n v="0"/>
    <n v="6403.9071999999996"/>
    <n v="101.44"/>
    <x v="3"/>
    <n v="637.04319999999996"/>
    <x v="3"/>
  </r>
  <r>
    <x v="8"/>
    <s v="Jan Urbanek"/>
    <x v="0"/>
    <x v="143"/>
    <x v="143"/>
    <n v="0.54999999999999993"/>
    <s v="ADET"/>
    <n v="0.54999999999999993"/>
    <n v="0"/>
    <n v="5.5999999999999988"/>
    <n v="7.2"/>
    <n v="0"/>
    <n v="1170.0719999999999"/>
    <n v="162.51"/>
    <x v="3"/>
    <n v="89.380499999999984"/>
    <x v="3"/>
  </r>
  <r>
    <x v="7"/>
    <s v="Laurent MONTAGNER"/>
    <x v="0"/>
    <x v="39"/>
    <x v="39"/>
    <n v="110"/>
    <s v="ADET"/>
    <n v="0"/>
    <n v="3000"/>
    <n v="1048"/>
    <n v="-967"/>
    <n v="0"/>
    <n v="0"/>
    <n v="2.92"/>
    <x v="21"/>
    <n v="321.2"/>
    <x v="2"/>
  </r>
  <r>
    <x v="8"/>
    <s v="Jan Urbanek"/>
    <x v="0"/>
    <x v="283"/>
    <x v="283"/>
    <n v="2.8"/>
    <s v="ADET"/>
    <n v="2.8"/>
    <n v="0"/>
    <n v="11"/>
    <n v="20.000000000000007"/>
    <n v="4"/>
    <n v="36666.600000000013"/>
    <n v="1833.33"/>
    <x v="63"/>
    <n v="5133.3239999999996"/>
    <x v="8"/>
  </r>
  <r>
    <x v="6"/>
    <s v="Laurent MONTAGNER"/>
    <x v="0"/>
    <x v="282"/>
    <x v="282"/>
    <n v="9"/>
    <s v="ADET"/>
    <n v="9"/>
    <n v="300"/>
    <n v="325"/>
    <n v="-192"/>
    <n v="0"/>
    <n v="0"/>
    <n v="12"/>
    <x v="2"/>
    <n v="108"/>
    <x v="2"/>
  </r>
  <r>
    <x v="6"/>
    <s v="Laurent MONTAGNER"/>
    <x v="0"/>
    <x v="144"/>
    <x v="144"/>
    <n v="1"/>
    <s v="ADET"/>
    <n v="1"/>
    <n v="3"/>
    <n v="11"/>
    <n v="7"/>
    <n v="0"/>
    <n v="22092.98"/>
    <n v="3156.14"/>
    <x v="13"/>
    <n v="3156.14"/>
    <x v="7"/>
  </r>
  <r>
    <x v="10"/>
    <s v="Jan Urbanek"/>
    <x v="0"/>
    <x v="57"/>
    <x v="57"/>
    <n v="45"/>
    <s v="ADET"/>
    <n v="0"/>
    <n v="2200"/>
    <n v="0"/>
    <n v="-1626"/>
    <n v="0"/>
    <n v="0"/>
    <n v="0.7"/>
    <x v="14"/>
    <n v="31.499999999999996"/>
    <x v="2"/>
  </r>
  <r>
    <x v="4"/>
    <s v="Stefan Zaugg"/>
    <x v="0"/>
    <x v="66"/>
    <x v="66"/>
    <n v="1"/>
    <s v="ADET"/>
    <n v="1"/>
    <n v="13"/>
    <n v="6"/>
    <n v="-10"/>
    <n v="0"/>
    <n v="0"/>
    <n v="344.14"/>
    <x v="32"/>
    <n v="344.14"/>
    <x v="2"/>
  </r>
  <r>
    <x v="16"/>
    <s v="Stefan Zaugg"/>
    <x v="0"/>
    <x v="514"/>
    <x v="514"/>
    <n v="0.5"/>
    <s v="ADET"/>
    <n v="0.5"/>
    <n v="0"/>
    <n v="2"/>
    <n v="0"/>
    <n v="0"/>
    <n v="0"/>
    <n v="2010.25"/>
    <x v="110"/>
    <n v="1005.125"/>
    <x v="2"/>
  </r>
  <r>
    <x v="1"/>
    <s v="Stina Alm"/>
    <x v="0"/>
    <x v="428"/>
    <x v="428"/>
    <n v="16.240000000000002"/>
    <s v="ADET"/>
    <n v="0"/>
    <n v="0"/>
    <n v="58.050000000000026"/>
    <n v="144.72000000000003"/>
    <n v="37"/>
    <n v="261099.48240000007"/>
    <n v="1804.17"/>
    <x v="63"/>
    <n v="29299.720800000006"/>
    <x v="8"/>
  </r>
  <r>
    <x v="11"/>
    <s v="Jan Urbanek"/>
    <x v="0"/>
    <x v="65"/>
    <x v="65"/>
    <n v="1"/>
    <s v="ADET"/>
    <n v="0"/>
    <n v="14"/>
    <n v="1"/>
    <n v="-7"/>
    <n v="0"/>
    <n v="0"/>
    <n v="458.33"/>
    <x v="21"/>
    <n v="458.33"/>
    <x v="6"/>
  </r>
  <r>
    <x v="17"/>
    <s v="Murat Taşdemir"/>
    <x v="0"/>
    <x v="427"/>
    <x v="427"/>
    <n v="7.7500000000000009"/>
    <s v="KG"/>
    <n v="7.7500000000000009"/>
    <n v="0"/>
    <n v="154.94999999999996"/>
    <n v="21.899999999999991"/>
    <n v="60"/>
    <n v="4265.0249999999987"/>
    <n v="194.75"/>
    <x v="3"/>
    <n v="1509.3125000000002"/>
    <x v="3"/>
  </r>
  <r>
    <x v="6"/>
    <s v="Laurent MONTAGNER"/>
    <x v="0"/>
    <x v="68"/>
    <x v="68"/>
    <n v="124.54"/>
    <s v="KG"/>
    <n v="124.54"/>
    <n v="-690"/>
    <n v="2123.619999999999"/>
    <n v="1819.8699999999994"/>
    <n v="0"/>
    <n v="172651.06689999995"/>
    <n v="94.87"/>
    <x v="3"/>
    <n v="11815.109800000002"/>
    <x v="3"/>
  </r>
  <r>
    <x v="6"/>
    <s v="Laurent MONTAGNER"/>
    <x v="0"/>
    <x v="428"/>
    <x v="428"/>
    <n v="12"/>
    <s v="ADET"/>
    <n v="12"/>
    <n v="0"/>
    <n v="58.050000000000026"/>
    <n v="144.72000000000003"/>
    <n v="37"/>
    <n v="261099.48240000007"/>
    <n v="1804.17"/>
    <x v="63"/>
    <n v="21650.04"/>
    <x v="8"/>
  </r>
  <r>
    <x v="6"/>
    <s v="Laurent MONTAGNER"/>
    <x v="0"/>
    <x v="429"/>
    <x v="429"/>
    <n v="1"/>
    <s v="ADET"/>
    <n v="1"/>
    <n v="4"/>
    <n v="10"/>
    <n v="1"/>
    <n v="7"/>
    <n v="1535.25"/>
    <n v="1535.25"/>
    <x v="47"/>
    <n v="1535.25"/>
    <x v="7"/>
  </r>
  <r>
    <x v="17"/>
    <s v="Murat Taşdemir"/>
    <x v="0"/>
    <x v="416"/>
    <x v="416"/>
    <n v="1"/>
    <s v="ADET"/>
    <n v="1"/>
    <n v="17"/>
    <n v="11"/>
    <n v="-5"/>
    <n v="0"/>
    <n v="0"/>
    <n v="115.6"/>
    <x v="15"/>
    <n v="115.6"/>
    <x v="7"/>
  </r>
  <r>
    <x v="19"/>
    <s v="Volkan Batkan"/>
    <x v="0"/>
    <x v="429"/>
    <x v="429"/>
    <n v="1"/>
    <s v="ADET"/>
    <n v="1"/>
    <n v="4"/>
    <n v="10"/>
    <n v="1"/>
    <n v="7"/>
    <n v="1535.25"/>
    <n v="1535.25"/>
    <x v="47"/>
    <n v="1535.25"/>
    <x v="7"/>
  </r>
  <r>
    <x v="4"/>
    <s v="Stefan Zaugg"/>
    <x v="0"/>
    <x v="426"/>
    <x v="426"/>
    <n v="13.5"/>
    <s v="ADET"/>
    <n v="13.5"/>
    <n v="180"/>
    <n v="80"/>
    <n v="32"/>
    <n v="0"/>
    <n v="7680"/>
    <n v="240"/>
    <x v="14"/>
    <n v="3240"/>
    <x v="2"/>
  </r>
  <r>
    <x v="19"/>
    <s v="Volkan Batkan"/>
    <x v="0"/>
    <x v="427"/>
    <x v="427"/>
    <n v="2.4700000000000002"/>
    <s v="KG"/>
    <n v="2.4700000000000002"/>
    <n v="0"/>
    <n v="154.94999999999996"/>
    <n v="21.899999999999991"/>
    <n v="60"/>
    <n v="4265.0249999999987"/>
    <n v="194.75"/>
    <x v="3"/>
    <n v="481.03250000000003"/>
    <x v="3"/>
  </r>
  <r>
    <x v="17"/>
    <s v="Murat Taşdemir"/>
    <x v="0"/>
    <x v="415"/>
    <x v="415"/>
    <n v="1"/>
    <s v="ADET"/>
    <n v="1"/>
    <n v="34"/>
    <n v="62"/>
    <n v="-12"/>
    <n v="0"/>
    <n v="0"/>
    <n v="19.07"/>
    <x v="15"/>
    <n v="19.07"/>
    <x v="7"/>
  </r>
  <r>
    <x v="11"/>
    <s v="Jan Urbanek"/>
    <x v="0"/>
    <x v="427"/>
    <x v="427"/>
    <n v="2.4700000000000002"/>
    <s v="KG"/>
    <n v="0"/>
    <n v="0"/>
    <n v="154.94999999999996"/>
    <n v="21.899999999999991"/>
    <n v="60"/>
    <n v="4265.0249999999987"/>
    <n v="194.75"/>
    <x v="3"/>
    <n v="481.03250000000003"/>
    <x v="3"/>
  </r>
  <r>
    <x v="17"/>
    <s v="Murat Taşdemir"/>
    <x v="0"/>
    <x v="161"/>
    <x v="161"/>
    <n v="8"/>
    <s v="ADET"/>
    <n v="8"/>
    <n v="125"/>
    <n v="54"/>
    <n v="-49"/>
    <n v="0"/>
    <n v="0"/>
    <n v="3.75"/>
    <x v="21"/>
    <n v="30"/>
    <x v="2"/>
  </r>
  <r>
    <x v="4"/>
    <s v="Stefan Zaugg"/>
    <x v="0"/>
    <x v="514"/>
    <x v="514"/>
    <n v="0.5"/>
    <s v="ADET"/>
    <n v="0.5"/>
    <n v="0"/>
    <n v="2"/>
    <n v="0"/>
    <n v="0"/>
    <n v="0"/>
    <n v="2010.25"/>
    <x v="110"/>
    <n v="1005.125"/>
    <x v="2"/>
  </r>
  <r>
    <x v="9"/>
    <s v="Jan Urbanek"/>
    <x v="0"/>
    <x v="64"/>
    <x v="64"/>
    <n v="0.05"/>
    <s v="ADET"/>
    <n v="0"/>
    <n v="0"/>
    <n v="1.929999999999999"/>
    <n v="1.2600000000000005"/>
    <n v="0"/>
    <n v="1921.5000000000007"/>
    <n v="1525"/>
    <x v="14"/>
    <n v="76.25"/>
    <x v="2"/>
  </r>
  <r>
    <x v="7"/>
    <s v="Laurent MONTAGNER"/>
    <x v="0"/>
    <x v="145"/>
    <x v="145"/>
    <n v="1"/>
    <s v="ADET"/>
    <n v="1"/>
    <n v="5"/>
    <n v="10"/>
    <n v="7"/>
    <n v="0"/>
    <n v="85641.010000000009"/>
    <n v="12234.43"/>
    <x v="19"/>
    <n v="12234.43"/>
    <x v="7"/>
  </r>
  <r>
    <x v="16"/>
    <s v="Stefan Zaugg"/>
    <x v="0"/>
    <x v="429"/>
    <x v="429"/>
    <n v="1"/>
    <s v="ADET"/>
    <n v="1"/>
    <n v="4"/>
    <n v="10"/>
    <n v="1"/>
    <n v="7"/>
    <n v="1535.25"/>
    <n v="1535.25"/>
    <x v="47"/>
    <n v="1535.25"/>
    <x v="7"/>
  </r>
  <r>
    <x v="16"/>
    <s v="Stefan Zaugg"/>
    <x v="0"/>
    <x v="66"/>
    <x v="66"/>
    <n v="1"/>
    <s v="ADET"/>
    <n v="1"/>
    <n v="13"/>
    <n v="6"/>
    <n v="-10"/>
    <n v="0"/>
    <n v="0"/>
    <n v="344.14"/>
    <x v="32"/>
    <n v="344.14"/>
    <x v="2"/>
  </r>
  <r>
    <x v="14"/>
    <s v="Stefan Zaugg"/>
    <x v="0"/>
    <x v="427"/>
    <x v="427"/>
    <n v="2.4700000000000002"/>
    <s v="KG"/>
    <n v="2.4700000000000002"/>
    <n v="0"/>
    <n v="154.94999999999996"/>
    <n v="21.899999999999991"/>
    <n v="60"/>
    <n v="4265.0249999999987"/>
    <n v="194.75"/>
    <x v="3"/>
    <n v="481.03250000000003"/>
    <x v="3"/>
  </r>
  <r>
    <x v="6"/>
    <s v="Laurent MONTAGNER"/>
    <x v="0"/>
    <x v="161"/>
    <x v="161"/>
    <n v="8"/>
    <s v="ADET"/>
    <n v="8"/>
    <n v="125"/>
    <n v="54"/>
    <n v="-49"/>
    <n v="0"/>
    <n v="0"/>
    <n v="3.75"/>
    <x v="21"/>
    <n v="30"/>
    <x v="2"/>
  </r>
  <r>
    <x v="6"/>
    <s v="Laurent MONTAGNER"/>
    <x v="0"/>
    <x v="426"/>
    <x v="426"/>
    <n v="14"/>
    <s v="ADET"/>
    <n v="14"/>
    <n v="180"/>
    <n v="80"/>
    <n v="32"/>
    <n v="0"/>
    <n v="7680"/>
    <n v="240"/>
    <x v="14"/>
    <n v="3360"/>
    <x v="2"/>
  </r>
  <r>
    <x v="6"/>
    <s v="Laurent MONTAGNER"/>
    <x v="0"/>
    <x v="416"/>
    <x v="416"/>
    <n v="1"/>
    <s v="ADET"/>
    <n v="1"/>
    <n v="17"/>
    <n v="11"/>
    <n v="-5"/>
    <n v="0"/>
    <n v="0"/>
    <n v="115.6"/>
    <x v="15"/>
    <n v="115.6"/>
    <x v="7"/>
  </r>
  <r>
    <x v="7"/>
    <s v="Laurent MONTAGNER"/>
    <x v="0"/>
    <x v="416"/>
    <x v="416"/>
    <n v="1"/>
    <s v="ADET"/>
    <n v="1"/>
    <n v="17"/>
    <n v="11"/>
    <n v="-5"/>
    <n v="0"/>
    <n v="0"/>
    <n v="115.6"/>
    <x v="15"/>
    <n v="115.6"/>
    <x v="7"/>
  </r>
  <r>
    <x v="4"/>
    <s v="Stefan Zaugg"/>
    <x v="0"/>
    <x v="175"/>
    <x v="175"/>
    <n v="2"/>
    <s v="ADET"/>
    <n v="2"/>
    <n v="20"/>
    <n v="20"/>
    <n v="-6"/>
    <n v="10"/>
    <n v="0"/>
    <n v="400"/>
    <x v="35"/>
    <n v="800"/>
    <x v="7"/>
  </r>
  <r>
    <x v="7"/>
    <s v="Laurent MONTAGNER"/>
    <x v="0"/>
    <x v="393"/>
    <x v="393"/>
    <n v="2"/>
    <s v="ADET"/>
    <n v="2"/>
    <n v="452"/>
    <n v="25"/>
    <n v="-428"/>
    <n v="0"/>
    <n v="0"/>
    <n v="20"/>
    <x v="5"/>
    <n v="40"/>
    <x v="7"/>
  </r>
  <r>
    <x v="7"/>
    <s v="Laurent MONTAGNER"/>
    <x v="0"/>
    <x v="170"/>
    <x v="170"/>
    <n v="5"/>
    <s v="ADET"/>
    <n v="5"/>
    <n v="65"/>
    <n v="31"/>
    <n v="-31"/>
    <n v="0"/>
    <n v="0"/>
    <n v="45.5"/>
    <x v="57"/>
    <n v="227.5"/>
    <x v="7"/>
  </r>
  <r>
    <x v="6"/>
    <s v="Laurent MONTAGNER"/>
    <x v="0"/>
    <x v="450"/>
    <x v="450"/>
    <n v="1.35"/>
    <s v="ADET"/>
    <n v="1.35"/>
    <n v="49"/>
    <n v="1.6000000000000005"/>
    <n v="-37.599999999999994"/>
    <n v="0"/>
    <n v="0"/>
    <n v="60"/>
    <x v="3"/>
    <n v="81"/>
    <x v="2"/>
  </r>
  <r>
    <x v="6"/>
    <s v="Laurent MONTAGNER"/>
    <x v="0"/>
    <x v="14"/>
    <x v="14"/>
    <n v="1"/>
    <s v="ADET"/>
    <n v="1"/>
    <n v="0"/>
    <n v="10"/>
    <n v="0"/>
    <n v="11"/>
    <n v="0"/>
    <n v="675"/>
    <x v="7"/>
    <n v="675"/>
    <x v="6"/>
  </r>
  <r>
    <x v="6"/>
    <s v="Laurent MONTAGNER"/>
    <x v="0"/>
    <x v="149"/>
    <x v="149"/>
    <n v="2"/>
    <s v="ADET"/>
    <n v="2"/>
    <n v="67"/>
    <n v="24"/>
    <n v="-38"/>
    <n v="0"/>
    <n v="0"/>
    <n v="640"/>
    <x v="20"/>
    <n v="1280"/>
    <x v="7"/>
  </r>
  <r>
    <x v="4"/>
    <s v="Stefan Zaugg"/>
    <x v="0"/>
    <x v="15"/>
    <x v="15"/>
    <n v="1"/>
    <s v="ADET"/>
    <n v="1"/>
    <n v="12"/>
    <n v="13"/>
    <n v="-5"/>
    <n v="0"/>
    <n v="0"/>
    <n v="28339.38"/>
    <x v="11"/>
    <n v="28339.38"/>
    <x v="6"/>
  </r>
  <r>
    <x v="8"/>
    <s v="Jan Urbanek"/>
    <x v="0"/>
    <x v="15"/>
    <x v="15"/>
    <n v="1"/>
    <s v="ADET"/>
    <n v="1"/>
    <n v="12"/>
    <n v="13"/>
    <n v="-5"/>
    <n v="0"/>
    <n v="0"/>
    <n v="28339.38"/>
    <x v="11"/>
    <n v="28339.38"/>
    <x v="6"/>
  </r>
  <r>
    <x v="16"/>
    <s v="Stefan Zaugg"/>
    <x v="0"/>
    <x v="150"/>
    <x v="150"/>
    <n v="1"/>
    <s v="ADET"/>
    <n v="1"/>
    <n v="9"/>
    <n v="13"/>
    <n v="-1"/>
    <n v="4"/>
    <n v="0"/>
    <n v="1600"/>
    <x v="35"/>
    <n v="1600"/>
    <x v="7"/>
  </r>
  <r>
    <x v="16"/>
    <s v="Stefan Zaugg"/>
    <x v="0"/>
    <x v="87"/>
    <x v="87"/>
    <n v="6"/>
    <s v="METRE"/>
    <n v="6"/>
    <n v="260"/>
    <n v="0"/>
    <n v="-248"/>
    <n v="0"/>
    <n v="0"/>
    <n v="8.4"/>
    <x v="15"/>
    <n v="50.400000000000006"/>
    <x v="2"/>
  </r>
  <r>
    <x v="4"/>
    <s v="Stefan Zaugg"/>
    <x v="0"/>
    <x v="87"/>
    <x v="87"/>
    <n v="6"/>
    <s v="METRE"/>
    <n v="6"/>
    <n v="260"/>
    <n v="0"/>
    <n v="-248"/>
    <n v="0"/>
    <n v="0"/>
    <n v="8.4"/>
    <x v="15"/>
    <n v="50.400000000000006"/>
    <x v="2"/>
  </r>
  <r>
    <x v="13"/>
    <s v="Matteo Giolo"/>
    <x v="0"/>
    <x v="384"/>
    <x v="384"/>
    <n v="1"/>
    <s v="ADET"/>
    <n v="0"/>
    <n v="6"/>
    <n v="1.7763568394002505E-15"/>
    <n v="7.25"/>
    <n v="0"/>
    <n v="145"/>
    <n v="20"/>
    <x v="2"/>
    <n v="20"/>
    <x v="2"/>
  </r>
  <r>
    <x v="14"/>
    <s v="Stefan Zaugg"/>
    <x v="1"/>
    <x v="515"/>
    <x v="515"/>
    <n v="1"/>
    <s v="ADET"/>
    <n v="1"/>
    <n v="0"/>
    <n v="0"/>
    <n v="0"/>
    <n v="0"/>
    <n v="0"/>
    <m/>
    <x v="111"/>
    <m/>
    <x v="6"/>
  </r>
  <r>
    <x v="3"/>
    <s v="Stina Alm"/>
    <x v="0"/>
    <x v="51"/>
    <x v="51"/>
    <n v="4"/>
    <s v="ADET"/>
    <n v="0"/>
    <n v="212"/>
    <n v="625"/>
    <n v="-146"/>
    <n v="0"/>
    <n v="0"/>
    <n v="3.95"/>
    <x v="14"/>
    <n v="15.8"/>
    <x v="2"/>
  </r>
  <r>
    <x v="12"/>
    <s v="Matteo Giolo"/>
    <x v="0"/>
    <x v="304"/>
    <x v="304"/>
    <n v="4"/>
    <s v="ADET"/>
    <n v="0"/>
    <n v="200"/>
    <n v="343"/>
    <n v="-8"/>
    <n v="0"/>
    <n v="0"/>
    <n v="9"/>
    <x v="14"/>
    <n v="36"/>
    <x v="2"/>
  </r>
  <r>
    <x v="2"/>
    <s v="Laurent MONTAGNER"/>
    <x v="0"/>
    <x v="284"/>
    <x v="284"/>
    <n v="1.46"/>
    <s v="ADET"/>
    <n v="0"/>
    <n v="104"/>
    <n v="-3.5527136788005009E-15"/>
    <n v="-81.349999999999994"/>
    <n v="0"/>
    <n v="0"/>
    <n v="22"/>
    <x v="14"/>
    <n v="32.119999999999997"/>
    <x v="2"/>
  </r>
  <r>
    <x v="14"/>
    <s v="Stefan Zaugg"/>
    <x v="0"/>
    <x v="250"/>
    <x v="250"/>
    <n v="2.5"/>
    <s v="ADET"/>
    <n v="2.5"/>
    <n v="52"/>
    <n v="10.269999999999982"/>
    <n v="-5.0300000000000011"/>
    <n v="0"/>
    <n v="0"/>
    <n v="28"/>
    <x v="14"/>
    <n v="70"/>
    <x v="2"/>
  </r>
  <r>
    <x v="2"/>
    <s v="Laurent MONTAGNER"/>
    <x v="0"/>
    <x v="52"/>
    <x v="52"/>
    <n v="1"/>
    <s v="ADET"/>
    <n v="1"/>
    <n v="6"/>
    <n v="7"/>
    <n v="5"/>
    <n v="0"/>
    <n v="12288.25"/>
    <n v="2457.65"/>
    <x v="24"/>
    <n v="2457.65"/>
    <x v="6"/>
  </r>
  <r>
    <x v="7"/>
    <s v="Laurent MONTAGNER"/>
    <x v="1"/>
    <x v="48"/>
    <x v="48"/>
    <n v="1"/>
    <s v="ADET"/>
    <n v="1"/>
    <n v="2"/>
    <n v="9"/>
    <n v="10"/>
    <n v="0"/>
    <n v="0"/>
    <m/>
    <x v="1"/>
    <m/>
    <x v="1"/>
  </r>
  <r>
    <x v="6"/>
    <s v="Laurent MONTAGNER"/>
    <x v="0"/>
    <x v="367"/>
    <x v="367"/>
    <n v="1"/>
    <s v="ADET"/>
    <n v="1"/>
    <n v="10"/>
    <n v="5"/>
    <n v="-6"/>
    <n v="0"/>
    <n v="0"/>
    <n v="1723.79"/>
    <x v="74"/>
    <n v="1723.79"/>
    <x v="4"/>
  </r>
  <r>
    <x v="6"/>
    <s v="Laurent MONTAGNER"/>
    <x v="0"/>
    <x v="295"/>
    <x v="295"/>
    <n v="1"/>
    <s v="ADET"/>
    <n v="1"/>
    <n v="1"/>
    <n v="11"/>
    <n v="16"/>
    <n v="0"/>
    <n v="212968.32000000001"/>
    <n v="13310.52"/>
    <x v="67"/>
    <n v="13310.52"/>
    <x v="6"/>
  </r>
  <r>
    <x v="2"/>
    <s v="Laurent MONTAGNER"/>
    <x v="0"/>
    <x v="367"/>
    <x v="367"/>
    <n v="1"/>
    <s v="ADET"/>
    <n v="1"/>
    <n v="10"/>
    <n v="5"/>
    <n v="-6"/>
    <n v="0"/>
    <n v="0"/>
    <n v="1723.79"/>
    <x v="74"/>
    <n v="1723.79"/>
    <x v="4"/>
  </r>
  <r>
    <x v="6"/>
    <s v="Laurent MONTAGNER"/>
    <x v="0"/>
    <x v="385"/>
    <x v="385"/>
    <n v="1"/>
    <s v="ADET"/>
    <n v="1"/>
    <n v="4"/>
    <n v="11"/>
    <n v="9"/>
    <n v="0"/>
    <n v="54009.99"/>
    <n v="6001.11"/>
    <x v="13"/>
    <n v="6001.11"/>
    <x v="7"/>
  </r>
  <r>
    <x v="6"/>
    <s v="Laurent MONTAGNER"/>
    <x v="0"/>
    <x v="50"/>
    <x v="50"/>
    <n v="1"/>
    <s v="ADET"/>
    <n v="1"/>
    <n v="0"/>
    <n v="65"/>
    <n v="-94"/>
    <n v="100"/>
    <n v="0"/>
    <n v="115"/>
    <x v="14"/>
    <n v="115"/>
    <x v="2"/>
  </r>
  <r>
    <x v="6"/>
    <s v="Laurent MONTAGNER"/>
    <x v="0"/>
    <x v="303"/>
    <x v="303"/>
    <n v="6"/>
    <s v="ADET"/>
    <n v="6"/>
    <n v="46"/>
    <n v="26"/>
    <n v="-24"/>
    <n v="0"/>
    <n v="0"/>
    <n v="199.45"/>
    <x v="34"/>
    <n v="1196.6999999999998"/>
    <x v="2"/>
  </r>
  <r>
    <x v="7"/>
    <s v="Laurent MONTAGNER"/>
    <x v="0"/>
    <x v="303"/>
    <x v="303"/>
    <n v="6"/>
    <s v="ADET"/>
    <n v="6"/>
    <n v="46"/>
    <n v="26"/>
    <n v="-24"/>
    <n v="0"/>
    <n v="0"/>
    <n v="199.45"/>
    <x v="34"/>
    <n v="1196.6999999999998"/>
    <x v="2"/>
  </r>
  <r>
    <x v="6"/>
    <s v="Laurent MONTAGNER"/>
    <x v="0"/>
    <x v="52"/>
    <x v="52"/>
    <n v="1"/>
    <s v="ADET"/>
    <n v="1"/>
    <n v="6"/>
    <n v="7"/>
    <n v="5"/>
    <n v="0"/>
    <n v="12288.25"/>
    <n v="2457.65"/>
    <x v="24"/>
    <n v="2457.65"/>
    <x v="6"/>
  </r>
  <r>
    <x v="6"/>
    <s v="Laurent MONTAGNER"/>
    <x v="0"/>
    <x v="137"/>
    <x v="137"/>
    <n v="5"/>
    <s v="ADET"/>
    <n v="5"/>
    <n v="234"/>
    <n v="30"/>
    <n v="-169"/>
    <n v="0"/>
    <n v="0"/>
    <n v="15.21"/>
    <x v="15"/>
    <n v="76.050000000000011"/>
    <x v="7"/>
  </r>
  <r>
    <x v="6"/>
    <s v="Laurent MONTAGNER"/>
    <x v="0"/>
    <x v="142"/>
    <x v="142"/>
    <n v="1"/>
    <s v="ADET"/>
    <n v="0"/>
    <n v="0"/>
    <n v="0"/>
    <n v="9"/>
    <n v="0"/>
    <n v="540"/>
    <n v="60"/>
    <x v="52"/>
    <n v="60"/>
    <x v="6"/>
  </r>
  <r>
    <x v="16"/>
    <s v="Stefan Zaugg"/>
    <x v="0"/>
    <x v="249"/>
    <x v="249"/>
    <n v="0.6"/>
    <s v="ADET"/>
    <n v="0"/>
    <n v="0"/>
    <n v="-1.7763568394002505E-15"/>
    <n v="6.9999999999999991"/>
    <n v="0"/>
    <n v="489.99999999999994"/>
    <n v="70"/>
    <x v="14"/>
    <n v="42"/>
    <x v="2"/>
  </r>
  <r>
    <x v="8"/>
    <s v="Jan Urbanek"/>
    <x v="0"/>
    <x v="304"/>
    <x v="304"/>
    <n v="12"/>
    <s v="ADET"/>
    <n v="0"/>
    <n v="200"/>
    <n v="343"/>
    <n v="-8"/>
    <n v="0"/>
    <n v="0"/>
    <n v="9"/>
    <x v="14"/>
    <n v="108"/>
    <x v="2"/>
  </r>
  <r>
    <x v="17"/>
    <s v="Murat Taşdemir"/>
    <x v="0"/>
    <x v="303"/>
    <x v="303"/>
    <n v="3"/>
    <s v="ADET"/>
    <n v="3"/>
    <n v="46"/>
    <n v="26"/>
    <n v="-24"/>
    <n v="0"/>
    <n v="0"/>
    <n v="199.45"/>
    <x v="34"/>
    <n v="598.34999999999991"/>
    <x v="2"/>
  </r>
  <r>
    <x v="4"/>
    <s v="Stefan Zaugg"/>
    <x v="0"/>
    <x v="516"/>
    <x v="516"/>
    <n v="1"/>
    <s v="ADET"/>
    <n v="1"/>
    <n v="2"/>
    <n v="2"/>
    <n v="-2"/>
    <n v="0"/>
    <n v="0"/>
    <n v="400"/>
    <x v="91"/>
    <n v="400"/>
    <x v="4"/>
  </r>
  <r>
    <x v="9"/>
    <s v="Jan Urbanek"/>
    <x v="0"/>
    <x v="284"/>
    <x v="284"/>
    <n v="1"/>
    <s v="ADET"/>
    <n v="0"/>
    <n v="104"/>
    <n v="-3.5527136788005009E-15"/>
    <n v="-81.349999999999994"/>
    <n v="0"/>
    <n v="0"/>
    <n v="22"/>
    <x v="14"/>
    <n v="22"/>
    <x v="2"/>
  </r>
  <r>
    <x v="17"/>
    <s v="Murat Taşdemir"/>
    <x v="1"/>
    <x v="48"/>
    <x v="48"/>
    <n v="1"/>
    <s v="ADET"/>
    <n v="1"/>
    <n v="2"/>
    <n v="9"/>
    <n v="10"/>
    <n v="0"/>
    <n v="0"/>
    <m/>
    <x v="1"/>
    <m/>
    <x v="1"/>
  </r>
  <r>
    <x v="18"/>
    <s v="Hayriye Güven"/>
    <x v="0"/>
    <x v="52"/>
    <x v="52"/>
    <n v="1"/>
    <s v="ADET"/>
    <n v="1"/>
    <n v="6"/>
    <n v="7"/>
    <n v="5"/>
    <n v="0"/>
    <n v="12288.25"/>
    <n v="2457.65"/>
    <x v="24"/>
    <n v="2457.65"/>
    <x v="6"/>
  </r>
  <r>
    <x v="5"/>
    <s v="Matteo Giolo"/>
    <x v="0"/>
    <x v="54"/>
    <x v="54"/>
    <n v="6.65"/>
    <s v="METRE"/>
    <n v="0"/>
    <n v="100"/>
    <n v="159.90000000000003"/>
    <n v="41.300000000000011"/>
    <n v="0"/>
    <n v="929.25000000000023"/>
    <n v="22.5"/>
    <x v="27"/>
    <n v="149.625"/>
    <x v="4"/>
  </r>
  <r>
    <x v="4"/>
    <s v="Stefan Zaugg"/>
    <x v="1"/>
    <x v="48"/>
    <x v="48"/>
    <n v="1"/>
    <s v="ADET"/>
    <n v="1"/>
    <n v="2"/>
    <n v="9"/>
    <n v="10"/>
    <n v="0"/>
    <n v="0"/>
    <m/>
    <x v="1"/>
    <m/>
    <x v="1"/>
  </r>
  <r>
    <x v="17"/>
    <s v="Murat Taşdemir"/>
    <x v="0"/>
    <x v="3"/>
    <x v="3"/>
    <n v="32.81"/>
    <s v="KG"/>
    <n v="32.81"/>
    <n v="0"/>
    <n v="437.82000000000016"/>
    <n v="348.62999999999988"/>
    <n v="0"/>
    <n v="33597.473099999988"/>
    <n v="96.37"/>
    <x v="3"/>
    <n v="3161.8997000000004"/>
    <x v="3"/>
  </r>
  <r>
    <x v="7"/>
    <s v="Laurent MONTAGNER"/>
    <x v="0"/>
    <x v="3"/>
    <x v="3"/>
    <n v="36.03"/>
    <s v="KG"/>
    <n v="36.03"/>
    <n v="0"/>
    <n v="437.82000000000016"/>
    <n v="348.62999999999988"/>
    <n v="0"/>
    <n v="33597.473099999988"/>
    <n v="96.37"/>
    <x v="3"/>
    <n v="3472.2111000000004"/>
    <x v="3"/>
  </r>
  <r>
    <x v="6"/>
    <s v="Laurent MONTAGNER"/>
    <x v="0"/>
    <x v="380"/>
    <x v="380"/>
    <n v="1"/>
    <s v="ADET"/>
    <n v="1"/>
    <n v="9"/>
    <n v="8"/>
    <n v="-12"/>
    <n v="15"/>
    <n v="0"/>
    <n v="776.15"/>
    <x v="89"/>
    <n v="776.15"/>
    <x v="7"/>
  </r>
  <r>
    <x v="16"/>
    <s v="Stefan Zaugg"/>
    <x v="1"/>
    <x v="1"/>
    <x v="1"/>
    <n v="1"/>
    <s v="ADET"/>
    <n v="1"/>
    <n v="10"/>
    <n v="9"/>
    <n v="2"/>
    <n v="0"/>
    <n v="0"/>
    <m/>
    <x v="1"/>
    <m/>
    <x v="1"/>
  </r>
  <r>
    <x v="17"/>
    <s v="Murat Taşdemir"/>
    <x v="0"/>
    <x v="458"/>
    <x v="458"/>
    <n v="2"/>
    <s v="ADET"/>
    <n v="2"/>
    <n v="1"/>
    <n v="14"/>
    <n v="25"/>
    <n v="0"/>
    <n v="11103.25"/>
    <n v="444.13"/>
    <x v="67"/>
    <n v="888.26"/>
    <x v="6"/>
  </r>
  <r>
    <x v="4"/>
    <s v="Stefan Zaugg"/>
    <x v="0"/>
    <x v="379"/>
    <x v="379"/>
    <n v="1"/>
    <s v="ADET"/>
    <n v="1"/>
    <n v="1"/>
    <n v="4"/>
    <n v="13"/>
    <n v="0"/>
    <n v="168880.14"/>
    <n v="12990.78"/>
    <x v="67"/>
    <n v="12990.78"/>
    <x v="6"/>
  </r>
  <r>
    <x v="17"/>
    <s v="Murat Taşdemir"/>
    <x v="0"/>
    <x v="253"/>
    <x v="253"/>
    <n v="1"/>
    <s v="ADET"/>
    <n v="1"/>
    <n v="7"/>
    <n v="10"/>
    <n v="-1"/>
    <n v="5"/>
    <n v="0"/>
    <n v="1200"/>
    <x v="35"/>
    <n v="1200"/>
    <x v="4"/>
  </r>
  <r>
    <x v="19"/>
    <s v="Volkan Batkan"/>
    <x v="0"/>
    <x v="478"/>
    <x v="478"/>
    <n v="1"/>
    <s v="ADET"/>
    <n v="1"/>
    <n v="8"/>
    <n v="4"/>
    <n v="-1"/>
    <n v="0"/>
    <n v="0"/>
    <n v="1723.79"/>
    <x v="74"/>
    <n v="1723.79"/>
    <x v="4"/>
  </r>
  <r>
    <x v="11"/>
    <s v="Jan Urbanek"/>
    <x v="0"/>
    <x v="478"/>
    <x v="478"/>
    <n v="1"/>
    <s v="ADET"/>
    <n v="1"/>
    <n v="8"/>
    <n v="4"/>
    <n v="-1"/>
    <n v="0"/>
    <n v="0"/>
    <n v="1723.79"/>
    <x v="74"/>
    <n v="1723.79"/>
    <x v="4"/>
  </r>
  <r>
    <x v="19"/>
    <s v="Volkan Batkan"/>
    <x v="0"/>
    <x v="318"/>
    <x v="318"/>
    <n v="1"/>
    <s v="ADET"/>
    <n v="1"/>
    <n v="7"/>
    <n v="10"/>
    <n v="4"/>
    <n v="0"/>
    <n v="1950.24"/>
    <n v="487.56"/>
    <x v="34"/>
    <n v="487.56"/>
    <x v="6"/>
  </r>
  <r>
    <x v="4"/>
    <s v="Stefan Zaugg"/>
    <x v="1"/>
    <x v="1"/>
    <x v="1"/>
    <n v="1"/>
    <s v="ADET"/>
    <n v="1"/>
    <n v="10"/>
    <n v="9"/>
    <n v="2"/>
    <n v="0"/>
    <n v="0"/>
    <m/>
    <x v="1"/>
    <m/>
    <x v="1"/>
  </r>
  <r>
    <x v="19"/>
    <s v="Volkan Batkan"/>
    <x v="1"/>
    <x v="1"/>
    <x v="1"/>
    <n v="1"/>
    <s v="ADET"/>
    <n v="1"/>
    <n v="10"/>
    <n v="9"/>
    <n v="2"/>
    <n v="0"/>
    <n v="0"/>
    <m/>
    <x v="1"/>
    <m/>
    <x v="1"/>
  </r>
  <r>
    <x v="4"/>
    <s v="Stefan Zaugg"/>
    <x v="0"/>
    <x v="253"/>
    <x v="253"/>
    <n v="1"/>
    <s v="ADET"/>
    <n v="1"/>
    <n v="7"/>
    <n v="10"/>
    <n v="-1"/>
    <n v="5"/>
    <n v="0"/>
    <n v="1200"/>
    <x v="35"/>
    <n v="1200"/>
    <x v="4"/>
  </r>
  <r>
    <x v="16"/>
    <s v="Stefan Zaugg"/>
    <x v="0"/>
    <x v="317"/>
    <x v="317"/>
    <n v="2"/>
    <s v="ADET"/>
    <n v="2"/>
    <n v="35"/>
    <n v="14"/>
    <n v="-11"/>
    <n v="0"/>
    <n v="0"/>
    <n v="43.75"/>
    <x v="3"/>
    <n v="87.5"/>
    <x v="2"/>
  </r>
  <r>
    <x v="4"/>
    <s v="Stefan Zaugg"/>
    <x v="0"/>
    <x v="317"/>
    <x v="317"/>
    <n v="2"/>
    <s v="ADET"/>
    <n v="2"/>
    <n v="35"/>
    <n v="14"/>
    <n v="-11"/>
    <n v="0"/>
    <n v="0"/>
    <n v="43.75"/>
    <x v="3"/>
    <n v="87.5"/>
    <x v="2"/>
  </r>
  <r>
    <x v="16"/>
    <s v="Stefan Zaugg"/>
    <x v="0"/>
    <x v="497"/>
    <x v="497"/>
    <n v="1"/>
    <s v="ADET"/>
    <n v="1"/>
    <n v="12"/>
    <n v="4"/>
    <n v="-12"/>
    <n v="0"/>
    <n v="0"/>
    <n v="57.06"/>
    <x v="108"/>
    <n v="57.06"/>
    <x v="2"/>
  </r>
  <r>
    <x v="14"/>
    <s v="Stefan Zaugg"/>
    <x v="0"/>
    <x v="116"/>
    <x v="116"/>
    <n v="2.1"/>
    <s v="KG"/>
    <n v="2.1"/>
    <n v="66"/>
    <n v="36.349999999999987"/>
    <n v="-17.090000000000018"/>
    <n v="0"/>
    <n v="0"/>
    <n v="129.63"/>
    <x v="14"/>
    <n v="272.22300000000001"/>
    <x v="3"/>
  </r>
  <r>
    <x v="10"/>
    <s v="Jan Urbanek"/>
    <x v="0"/>
    <x v="382"/>
    <x v="382"/>
    <n v="7"/>
    <s v="ADET"/>
    <n v="0"/>
    <n v="1000"/>
    <n v="1222"/>
    <n v="-903"/>
    <n v="0"/>
    <n v="0"/>
    <n v="1.1399999999999999"/>
    <x v="8"/>
    <n v="7.9799999999999995"/>
    <x v="2"/>
  </r>
  <r>
    <x v="19"/>
    <s v="Volkan Batkan"/>
    <x v="0"/>
    <x v="317"/>
    <x v="317"/>
    <n v="2"/>
    <s v="ADET"/>
    <n v="2"/>
    <n v="35"/>
    <n v="14"/>
    <n v="-11"/>
    <n v="0"/>
    <n v="0"/>
    <n v="43.75"/>
    <x v="3"/>
    <n v="87.5"/>
    <x v="2"/>
  </r>
  <r>
    <x v="19"/>
    <s v="Volkan Batkan"/>
    <x v="0"/>
    <x v="116"/>
    <x v="116"/>
    <n v="4"/>
    <s v="KG"/>
    <n v="4"/>
    <n v="66"/>
    <n v="36.349999999999987"/>
    <n v="-17.090000000000018"/>
    <n v="0"/>
    <n v="0"/>
    <n v="129.63"/>
    <x v="14"/>
    <n v="518.52"/>
    <x v="3"/>
  </r>
  <r>
    <x v="14"/>
    <s v="Stefan Zaugg"/>
    <x v="1"/>
    <x v="1"/>
    <x v="1"/>
    <n v="1"/>
    <s v="ADET"/>
    <n v="1"/>
    <n v="10"/>
    <n v="9"/>
    <n v="2"/>
    <n v="0"/>
    <n v="0"/>
    <m/>
    <x v="1"/>
    <m/>
    <x v="1"/>
  </r>
  <r>
    <x v="3"/>
    <s v="Stina Alm"/>
    <x v="1"/>
    <x v="1"/>
    <x v="1"/>
    <n v="1"/>
    <s v="ADET"/>
    <n v="0"/>
    <n v="10"/>
    <n v="9"/>
    <n v="2"/>
    <n v="0"/>
    <n v="0"/>
    <m/>
    <x v="1"/>
    <m/>
    <x v="1"/>
  </r>
  <r>
    <x v="6"/>
    <s v="Laurent MONTAGNER"/>
    <x v="0"/>
    <x v="332"/>
    <x v="332"/>
    <n v="4"/>
    <s v="ADET"/>
    <n v="4"/>
    <n v="56.5"/>
    <n v="26"/>
    <n v="-12.5"/>
    <n v="0"/>
    <n v="0"/>
    <n v="200"/>
    <x v="37"/>
    <n v="800"/>
    <x v="6"/>
  </r>
  <r>
    <x v="7"/>
    <s v="Laurent MONTAGNER"/>
    <x v="0"/>
    <x v="94"/>
    <x v="94"/>
    <n v="1"/>
    <s v="ADET"/>
    <n v="1"/>
    <n v="4"/>
    <n v="12"/>
    <n v="7"/>
    <n v="0"/>
    <n v="12435.01"/>
    <n v="1776.43"/>
    <x v="24"/>
    <n v="1776.43"/>
    <x v="4"/>
  </r>
  <r>
    <x v="6"/>
    <s v="Laurent MONTAGNER"/>
    <x v="0"/>
    <x v="324"/>
    <x v="324"/>
    <n v="1"/>
    <s v="ADET"/>
    <n v="1"/>
    <n v="24"/>
    <n v="5"/>
    <n v="-12"/>
    <n v="0"/>
    <n v="0"/>
    <n v="360.19"/>
    <x v="74"/>
    <n v="360.19"/>
    <x v="4"/>
  </r>
  <r>
    <x v="7"/>
    <s v="Laurent MONTAGNER"/>
    <x v="0"/>
    <x v="324"/>
    <x v="324"/>
    <n v="1"/>
    <s v="ADET"/>
    <n v="1"/>
    <n v="24"/>
    <n v="5"/>
    <n v="-12"/>
    <n v="0"/>
    <n v="0"/>
    <n v="360.19"/>
    <x v="74"/>
    <n v="360.19"/>
    <x v="4"/>
  </r>
  <r>
    <x v="2"/>
    <s v="Laurent MONTAGNER"/>
    <x v="0"/>
    <x v="153"/>
    <x v="153"/>
    <n v="4.3499999999999996"/>
    <s v="ADET"/>
    <n v="4.3499999999999996"/>
    <n v="84"/>
    <n v="195.90000000000009"/>
    <n v="-24.600000000000023"/>
    <n v="0"/>
    <n v="0"/>
    <n v="29"/>
    <x v="14"/>
    <n v="126.14999999999999"/>
    <x v="2"/>
  </r>
  <r>
    <x v="6"/>
    <s v="Laurent MONTAGNER"/>
    <x v="0"/>
    <x v="153"/>
    <x v="153"/>
    <n v="4.3499999999999996"/>
    <s v="ADET"/>
    <n v="4.3499999999999996"/>
    <n v="84"/>
    <n v="195.90000000000009"/>
    <n v="-24.600000000000023"/>
    <n v="0"/>
    <n v="0"/>
    <n v="29"/>
    <x v="14"/>
    <n v="126.14999999999999"/>
    <x v="2"/>
  </r>
  <r>
    <x v="6"/>
    <s v="Laurent MONTAGNER"/>
    <x v="0"/>
    <x v="24"/>
    <x v="24"/>
    <n v="4"/>
    <s v="ADET"/>
    <n v="4"/>
    <n v="21"/>
    <n v="30"/>
    <n v="1"/>
    <n v="0"/>
    <n v="42"/>
    <n v="42"/>
    <x v="16"/>
    <n v="168"/>
    <x v="2"/>
  </r>
  <r>
    <x v="7"/>
    <s v="Laurent MONTAGNER"/>
    <x v="0"/>
    <x v="24"/>
    <x v="24"/>
    <n v="2"/>
    <s v="ADET"/>
    <n v="2"/>
    <n v="21"/>
    <n v="30"/>
    <n v="1"/>
    <n v="0"/>
    <n v="42"/>
    <n v="42"/>
    <x v="16"/>
    <n v="84"/>
    <x v="2"/>
  </r>
  <r>
    <x v="8"/>
    <s v="Jan Urbanek"/>
    <x v="0"/>
    <x v="320"/>
    <x v="320"/>
    <n v="0.01"/>
    <s v="GR"/>
    <n v="0"/>
    <n v="150"/>
    <n v="0"/>
    <n v="-149.76499999999999"/>
    <n v="0"/>
    <n v="0"/>
    <n v="1.8"/>
    <x v="20"/>
    <n v="1.8000000000000002E-2"/>
    <x v="2"/>
  </r>
  <r>
    <x v="17"/>
    <s v="Murat Taşdemir"/>
    <x v="0"/>
    <x v="94"/>
    <x v="94"/>
    <n v="1"/>
    <s v="ADET"/>
    <n v="1"/>
    <n v="4"/>
    <n v="12"/>
    <n v="7"/>
    <n v="0"/>
    <n v="12435.01"/>
    <n v="1776.43"/>
    <x v="24"/>
    <n v="1776.43"/>
    <x v="4"/>
  </r>
  <r>
    <x v="17"/>
    <s v="Murat Taşdemir"/>
    <x v="0"/>
    <x v="153"/>
    <x v="153"/>
    <n v="3"/>
    <s v="ADET"/>
    <n v="3"/>
    <n v="84"/>
    <n v="195.90000000000009"/>
    <n v="-24.600000000000023"/>
    <n v="0"/>
    <n v="0"/>
    <n v="29"/>
    <x v="14"/>
    <n v="87"/>
    <x v="2"/>
  </r>
  <r>
    <x v="4"/>
    <s v="Stefan Zaugg"/>
    <x v="0"/>
    <x v="225"/>
    <x v="225"/>
    <n v="1"/>
    <s v="ADET"/>
    <n v="1"/>
    <n v="18"/>
    <n v="9"/>
    <n v="-10"/>
    <n v="0"/>
    <n v="0"/>
    <n v="60"/>
    <x v="21"/>
    <n v="60"/>
    <x v="2"/>
  </r>
  <r>
    <x v="4"/>
    <s v="Stefan Zaugg"/>
    <x v="0"/>
    <x v="24"/>
    <x v="24"/>
    <n v="4"/>
    <s v="ADET"/>
    <n v="4"/>
    <n v="21"/>
    <n v="30"/>
    <n v="1"/>
    <n v="0"/>
    <n v="42"/>
    <n v="42"/>
    <x v="16"/>
    <n v="168"/>
    <x v="2"/>
  </r>
  <r>
    <x v="17"/>
    <s v="Murat Taşdemir"/>
    <x v="0"/>
    <x v="332"/>
    <x v="332"/>
    <n v="4"/>
    <s v="ADET"/>
    <n v="4"/>
    <n v="56.5"/>
    <n v="26"/>
    <n v="-12.5"/>
    <n v="0"/>
    <n v="0"/>
    <n v="200"/>
    <x v="37"/>
    <n v="800"/>
    <x v="6"/>
  </r>
  <r>
    <x v="19"/>
    <s v="Volkan Batkan"/>
    <x v="0"/>
    <x v="108"/>
    <x v="108"/>
    <n v="1"/>
    <s v="ADET"/>
    <n v="1"/>
    <n v="7"/>
    <n v="4"/>
    <n v="-6"/>
    <n v="0"/>
    <n v="0"/>
    <n v="460"/>
    <x v="39"/>
    <n v="460"/>
    <x v="4"/>
  </r>
  <r>
    <x v="14"/>
    <s v="Stefan Zaugg"/>
    <x v="0"/>
    <x v="327"/>
    <x v="327"/>
    <n v="1"/>
    <s v="ADET"/>
    <n v="1"/>
    <n v="1"/>
    <n v="10"/>
    <n v="11"/>
    <n v="0"/>
    <n v="20020"/>
    <n v="1820"/>
    <x v="82"/>
    <n v="1820"/>
    <x v="9"/>
  </r>
  <r>
    <x v="16"/>
    <s v="Stefan Zaugg"/>
    <x v="0"/>
    <x v="225"/>
    <x v="225"/>
    <n v="1"/>
    <s v="ADET"/>
    <n v="1"/>
    <n v="18"/>
    <n v="9"/>
    <n v="-10"/>
    <n v="0"/>
    <n v="0"/>
    <n v="60"/>
    <x v="21"/>
    <n v="60"/>
    <x v="2"/>
  </r>
  <r>
    <x v="16"/>
    <s v="Stefan Zaugg"/>
    <x v="0"/>
    <x v="327"/>
    <x v="327"/>
    <n v="1"/>
    <s v="ADET"/>
    <n v="1"/>
    <n v="1"/>
    <n v="10"/>
    <n v="11"/>
    <n v="0"/>
    <n v="20020"/>
    <n v="1820"/>
    <x v="82"/>
    <n v="1820"/>
    <x v="9"/>
  </r>
  <r>
    <x v="19"/>
    <s v="Volkan Batkan"/>
    <x v="0"/>
    <x v="327"/>
    <x v="327"/>
    <n v="1"/>
    <s v="ADET"/>
    <n v="1"/>
    <n v="1"/>
    <n v="10"/>
    <n v="11"/>
    <n v="0"/>
    <n v="20020"/>
    <n v="1820"/>
    <x v="82"/>
    <n v="1820"/>
    <x v="9"/>
  </r>
  <r>
    <x v="16"/>
    <s v="Stefan Zaugg"/>
    <x v="0"/>
    <x v="274"/>
    <x v="274"/>
    <n v="1"/>
    <s v="ADET"/>
    <n v="1"/>
    <n v="2"/>
    <n v="1"/>
    <n v="1"/>
    <n v="0"/>
    <n v="11815.53"/>
    <n v="11815.53"/>
    <x v="13"/>
    <n v="11815.53"/>
    <x v="7"/>
  </r>
  <r>
    <x v="1"/>
    <s v="Stina Alm"/>
    <x v="0"/>
    <x v="207"/>
    <x v="207"/>
    <n v="2"/>
    <s v="ADET"/>
    <n v="0"/>
    <n v="26"/>
    <n v="46"/>
    <n v="-10"/>
    <n v="0"/>
    <n v="0"/>
    <n v="12"/>
    <x v="2"/>
    <n v="24"/>
    <x v="2"/>
  </r>
  <r>
    <x v="14"/>
    <s v="Stefan Zaugg"/>
    <x v="0"/>
    <x v="295"/>
    <x v="295"/>
    <n v="1"/>
    <s v="ADET"/>
    <n v="1"/>
    <n v="1"/>
    <n v="11"/>
    <n v="16"/>
    <n v="0"/>
    <n v="212968.32000000001"/>
    <n v="13310.52"/>
    <x v="67"/>
    <n v="13310.52"/>
    <x v="6"/>
  </r>
  <r>
    <x v="14"/>
    <s v="Stefan Zaugg"/>
    <x v="0"/>
    <x v="516"/>
    <x v="516"/>
    <n v="1"/>
    <s v="ADET"/>
    <n v="1"/>
    <n v="2"/>
    <n v="2"/>
    <n v="-2"/>
    <n v="0"/>
    <n v="0"/>
    <n v="400"/>
    <x v="91"/>
    <n v="400"/>
    <x v="4"/>
  </r>
  <r>
    <x v="19"/>
    <s v="Volkan Batkan"/>
    <x v="0"/>
    <x v="304"/>
    <x v="304"/>
    <n v="4"/>
    <s v="ADET"/>
    <n v="4"/>
    <n v="200"/>
    <n v="343"/>
    <n v="-8"/>
    <n v="0"/>
    <n v="0"/>
    <n v="9"/>
    <x v="14"/>
    <n v="36"/>
    <x v="2"/>
  </r>
  <r>
    <x v="19"/>
    <s v="Volkan Batkan"/>
    <x v="0"/>
    <x v="52"/>
    <x v="52"/>
    <n v="1"/>
    <s v="ADET"/>
    <n v="1"/>
    <n v="6"/>
    <n v="7"/>
    <n v="5"/>
    <n v="0"/>
    <n v="12288.25"/>
    <n v="2457.65"/>
    <x v="24"/>
    <n v="2457.65"/>
    <x v="6"/>
  </r>
  <r>
    <x v="14"/>
    <s v="Stefan Zaugg"/>
    <x v="0"/>
    <x v="385"/>
    <x v="385"/>
    <n v="1"/>
    <s v="ADET"/>
    <n v="1"/>
    <n v="4"/>
    <n v="11"/>
    <n v="9"/>
    <n v="0"/>
    <n v="54009.99"/>
    <n v="6001.11"/>
    <x v="13"/>
    <n v="6001.11"/>
    <x v="7"/>
  </r>
  <r>
    <x v="19"/>
    <s v="Volkan Batkan"/>
    <x v="0"/>
    <x v="385"/>
    <x v="385"/>
    <n v="1"/>
    <s v="ADET"/>
    <n v="1"/>
    <n v="4"/>
    <n v="11"/>
    <n v="9"/>
    <n v="0"/>
    <n v="54009.99"/>
    <n v="6001.11"/>
    <x v="13"/>
    <n v="6001.11"/>
    <x v="7"/>
  </r>
  <r>
    <x v="14"/>
    <s v="Stefan Zaugg"/>
    <x v="0"/>
    <x v="135"/>
    <x v="135"/>
    <n v="47"/>
    <s v="ADET"/>
    <n v="0"/>
    <n v="1000"/>
    <n v="396"/>
    <n v="-91"/>
    <n v="0"/>
    <n v="0"/>
    <n v="12.5"/>
    <x v="50"/>
    <n v="587.5"/>
    <x v="2"/>
  </r>
  <r>
    <x v="5"/>
    <s v="Matteo Giolo"/>
    <x v="0"/>
    <x v="135"/>
    <x v="135"/>
    <n v="42"/>
    <s v="ADET"/>
    <n v="0"/>
    <n v="1000"/>
    <n v="396"/>
    <n v="-91"/>
    <n v="0"/>
    <n v="0"/>
    <n v="12.5"/>
    <x v="50"/>
    <n v="525"/>
    <x v="2"/>
  </r>
  <r>
    <x v="19"/>
    <s v="Volkan Batkan"/>
    <x v="0"/>
    <x v="150"/>
    <x v="150"/>
    <n v="1"/>
    <s v="ADET"/>
    <n v="1"/>
    <n v="9"/>
    <n v="13"/>
    <n v="-1"/>
    <n v="4"/>
    <n v="0"/>
    <n v="1600"/>
    <x v="35"/>
    <n v="1600"/>
    <x v="7"/>
  </r>
  <r>
    <x v="4"/>
    <s v="Stefan Zaugg"/>
    <x v="0"/>
    <x v="183"/>
    <x v="183"/>
    <n v="1"/>
    <s v="ADET"/>
    <n v="1"/>
    <n v="17"/>
    <n v="11"/>
    <n v="-5"/>
    <n v="0"/>
    <n v="0"/>
    <n v="1094.4000000000001"/>
    <x v="15"/>
    <n v="1094.4000000000001"/>
    <x v="7"/>
  </r>
  <r>
    <x v="4"/>
    <s v="Stefan Zaugg"/>
    <x v="0"/>
    <x v="14"/>
    <x v="14"/>
    <n v="1"/>
    <s v="ADET"/>
    <n v="1"/>
    <n v="0"/>
    <n v="10"/>
    <n v="0"/>
    <n v="11"/>
    <n v="0"/>
    <n v="675"/>
    <x v="7"/>
    <n v="675"/>
    <x v="6"/>
  </r>
  <r>
    <x v="1"/>
    <s v="Stina Alm"/>
    <x v="0"/>
    <x v="15"/>
    <x v="15"/>
    <n v="1"/>
    <s v="ADET"/>
    <n v="1"/>
    <n v="12"/>
    <n v="13"/>
    <n v="-5"/>
    <n v="0"/>
    <n v="0"/>
    <n v="28339.38"/>
    <x v="11"/>
    <n v="28339.38"/>
    <x v="6"/>
  </r>
  <r>
    <x v="14"/>
    <s v="Stefan Zaugg"/>
    <x v="0"/>
    <x v="15"/>
    <x v="15"/>
    <n v="1"/>
    <s v="ADET"/>
    <n v="1"/>
    <n v="12"/>
    <n v="13"/>
    <n v="-5"/>
    <n v="0"/>
    <n v="0"/>
    <n v="28339.38"/>
    <x v="11"/>
    <n v="28339.38"/>
    <x v="6"/>
  </r>
  <r>
    <x v="14"/>
    <s v="Stefan Zaugg"/>
    <x v="0"/>
    <x v="507"/>
    <x v="507"/>
    <n v="1"/>
    <s v="ADET"/>
    <n v="1"/>
    <n v="2"/>
    <n v="2"/>
    <n v="-2"/>
    <n v="0"/>
    <n v="0"/>
    <n v="400"/>
    <x v="91"/>
    <n v="400"/>
    <x v="4"/>
  </r>
  <r>
    <x v="17"/>
    <s v="Murat Taşdemir"/>
    <x v="0"/>
    <x v="450"/>
    <x v="450"/>
    <n v="1.35"/>
    <s v="ADET"/>
    <n v="1.35"/>
    <n v="49"/>
    <n v="1.6000000000000005"/>
    <n v="-37.599999999999994"/>
    <n v="0"/>
    <n v="0"/>
    <n v="60"/>
    <x v="3"/>
    <n v="81"/>
    <x v="2"/>
  </r>
  <r>
    <x v="17"/>
    <s v="Murat Taşdemir"/>
    <x v="0"/>
    <x v="10"/>
    <x v="10"/>
    <n v="0.2"/>
    <s v="KG"/>
    <n v="0.2"/>
    <n v="0"/>
    <n v="2.6000000000000014"/>
    <n v="0.29999999999999982"/>
    <n v="0"/>
    <n v="193.70099999999988"/>
    <n v="645.66999999999996"/>
    <x v="3"/>
    <n v="129.13399999999999"/>
    <x v="3"/>
  </r>
  <r>
    <x v="11"/>
    <s v="Jan Urbanek"/>
    <x v="0"/>
    <x v="12"/>
    <x v="12"/>
    <n v="2"/>
    <s v="ADET"/>
    <n v="0"/>
    <n v="14472"/>
    <n v="3376"/>
    <n v="-14340"/>
    <n v="0"/>
    <n v="0"/>
    <n v="0.04"/>
    <x v="5"/>
    <n v="0.08"/>
    <x v="2"/>
  </r>
  <r>
    <x v="5"/>
    <s v="Matteo Giolo"/>
    <x v="0"/>
    <x v="12"/>
    <x v="12"/>
    <n v="2"/>
    <s v="ADET"/>
    <n v="0"/>
    <n v="14472"/>
    <n v="3376"/>
    <n v="-14340"/>
    <n v="0"/>
    <n v="0"/>
    <n v="0.04"/>
    <x v="5"/>
    <n v="0.08"/>
    <x v="2"/>
  </r>
  <r>
    <x v="4"/>
    <s v="Stefan Zaugg"/>
    <x v="0"/>
    <x v="472"/>
    <x v="472"/>
    <n v="3"/>
    <s v="ADET"/>
    <n v="3"/>
    <n v="36"/>
    <n v="26"/>
    <n v="1"/>
    <n v="0"/>
    <n v="348.7"/>
    <n v="348.7"/>
    <x v="74"/>
    <n v="1046.0999999999999"/>
    <x v="6"/>
  </r>
  <r>
    <x v="4"/>
    <s v="Stefan Zaugg"/>
    <x v="0"/>
    <x v="457"/>
    <x v="457"/>
    <n v="1"/>
    <s v="ADET"/>
    <n v="1"/>
    <n v="19"/>
    <n v="4"/>
    <n v="-12"/>
    <n v="0"/>
    <n v="0"/>
    <n v="85"/>
    <x v="10"/>
    <n v="85"/>
    <x v="4"/>
  </r>
  <r>
    <x v="14"/>
    <s v="Stefan Zaugg"/>
    <x v="0"/>
    <x v="453"/>
    <x v="453"/>
    <n v="1"/>
    <s v="ADET"/>
    <n v="1"/>
    <n v="27"/>
    <n v="4"/>
    <n v="-20"/>
    <n v="0"/>
    <n v="0"/>
    <n v="287.13"/>
    <x v="74"/>
    <n v="287.13"/>
    <x v="4"/>
  </r>
  <r>
    <x v="19"/>
    <s v="Volkan Batkan"/>
    <x v="0"/>
    <x v="453"/>
    <x v="453"/>
    <n v="1"/>
    <s v="ADET"/>
    <n v="1"/>
    <n v="27"/>
    <n v="4"/>
    <n v="-20"/>
    <n v="0"/>
    <n v="0"/>
    <n v="287.13"/>
    <x v="74"/>
    <n v="287.13"/>
    <x v="4"/>
  </r>
  <r>
    <x v="11"/>
    <s v="Jan Urbanek"/>
    <x v="0"/>
    <x v="453"/>
    <x v="453"/>
    <n v="1"/>
    <s v="ADET"/>
    <n v="1"/>
    <n v="27"/>
    <n v="4"/>
    <n v="-20"/>
    <n v="0"/>
    <n v="0"/>
    <n v="287.13"/>
    <x v="74"/>
    <n v="287.13"/>
    <x v="4"/>
  </r>
  <r>
    <x v="14"/>
    <s v="Stefan Zaugg"/>
    <x v="0"/>
    <x v="149"/>
    <x v="149"/>
    <n v="2"/>
    <s v="ADET"/>
    <n v="2"/>
    <n v="67"/>
    <n v="24"/>
    <n v="-38"/>
    <n v="0"/>
    <n v="0"/>
    <n v="640"/>
    <x v="20"/>
    <n v="1280"/>
    <x v="7"/>
  </r>
  <r>
    <x v="3"/>
    <s v="Stina Alm"/>
    <x v="0"/>
    <x v="451"/>
    <x v="451"/>
    <n v="1"/>
    <s v="ADET"/>
    <n v="0"/>
    <n v="4"/>
    <n v="22"/>
    <n v="-5"/>
    <n v="20"/>
    <n v="0"/>
    <n v="65"/>
    <x v="4"/>
    <n v="65"/>
    <x v="4"/>
  </r>
  <r>
    <x v="4"/>
    <s v="Stefan Zaugg"/>
    <x v="0"/>
    <x v="12"/>
    <x v="12"/>
    <n v="18"/>
    <s v="ADET"/>
    <n v="0"/>
    <n v="14472"/>
    <n v="3376"/>
    <n v="-14340"/>
    <n v="0"/>
    <n v="0"/>
    <n v="0.04"/>
    <x v="5"/>
    <n v="0.72"/>
    <x v="2"/>
  </r>
  <r>
    <x v="3"/>
    <s v="Stina Alm"/>
    <x v="0"/>
    <x v="455"/>
    <x v="455"/>
    <n v="1"/>
    <s v="ADET"/>
    <n v="0"/>
    <n v="19"/>
    <n v="17"/>
    <n v="0"/>
    <n v="0"/>
    <n v="0"/>
    <n v="113.64"/>
    <x v="100"/>
    <n v="113.64"/>
    <x v="13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7C517B1-735E-4BA6-8A4E-F96A41416961}" name="PivotTable1" cacheId="27" applyNumberFormats="0" applyBorderFormats="0" applyFontFormats="0" applyPatternFormats="0" applyAlignmentFormats="0" applyWidthHeightFormats="1" dataCaption="Değerler" updatedVersion="8" minRefreshableVersion="3" useAutoFormatting="1" rowGrandTotals="0" colGrandTotals="0" itemPrintTitles="1" createdVersion="8" indent="0" compact="0" compactData="0" multipleFieldFilters="0">
  <location ref="A4:C5" firstHeaderRow="1" firstDataRow="2" firstDataCol="2" rowPageCount="2" colPageCount="1"/>
  <pivotFields count="17">
    <pivotField axis="axisPage" compact="0" outline="0" multipleItemSelectionAllowed="1" showAll="0" defaultSubtotal="0">
      <items count="369">
        <item h="1" m="1" x="334"/>
        <item h="1" m="1" x="335"/>
        <item m="1" x="366"/>
        <item m="1" x="276"/>
        <item h="1" m="1" x="359"/>
        <item h="1" m="1" x="242"/>
        <item h="1" m="1" x="243"/>
        <item h="1" m="1" x="244"/>
        <item h="1" m="1" x="245"/>
        <item h="1" m="1" x="265"/>
        <item h="1" m="1" x="314"/>
        <item h="1" m="1" x="333"/>
        <item h="1" m="1" x="329"/>
        <item h="1" m="1" x="326"/>
        <item h="1" m="1" x="327"/>
        <item h="1" m="1" x="330"/>
        <item h="1" m="1" x="331"/>
        <item h="1" m="1" x="305"/>
        <item h="1" m="1" x="306"/>
        <item h="1" m="1" x="307"/>
        <item h="1" m="1" x="332"/>
        <item h="1" m="1" x="308"/>
        <item h="1" m="1" x="313"/>
        <item h="1" m="1" x="311"/>
        <item h="1" m="1" x="312"/>
        <item m="1" x="315"/>
        <item h="1" m="1" x="322"/>
        <item h="1" m="1" x="323"/>
        <item h="1" m="1" x="304"/>
        <item h="1" m="1" x="324"/>
        <item h="1" m="1" x="325"/>
        <item h="1" m="1" x="360"/>
        <item h="1" m="1" x="310"/>
        <item h="1" m="1" x="358"/>
        <item h="1" m="1" x="302"/>
        <item h="1" m="1" x="328"/>
        <item h="1" m="1" x="361"/>
        <item h="1" m="1" x="362"/>
        <item h="1" m="1" x="363"/>
        <item h="1" m="1" x="269"/>
        <item m="1" x="367"/>
        <item h="1" m="1" x="237"/>
        <item h="1" m="1" x="246"/>
        <item m="1" x="365"/>
        <item m="1" x="368"/>
        <item m="1" x="364"/>
        <item h="1" m="1" x="236"/>
        <item h="1" m="1" x="336"/>
        <item h="1" m="1" x="337"/>
        <item h="1" m="1" x="338"/>
        <item h="1" m="1" x="339"/>
        <item h="1" m="1" x="340"/>
        <item h="1" m="1" x="341"/>
        <item h="1" m="1" x="351"/>
        <item h="1" m="1" x="352"/>
        <item h="1" m="1" x="353"/>
        <item h="1" m="1" x="354"/>
        <item h="1" m="1" x="355"/>
        <item h="1" m="1" x="356"/>
        <item h="1" m="1" x="345"/>
        <item h="1" m="1" x="346"/>
        <item h="1" m="1" x="347"/>
        <item h="1" m="1" x="348"/>
        <item h="1" m="1" x="349"/>
        <item h="1" m="1" x="350"/>
        <item h="1" m="1" x="342"/>
        <item h="1" m="1" x="343"/>
        <item h="1" m="1" x="344"/>
        <item h="1" m="1" x="298"/>
        <item h="1" m="1" x="292"/>
        <item h="1" m="1" x="294"/>
        <item h="1" m="1" x="295"/>
        <item h="1" m="1" x="296"/>
        <item h="1" m="1" x="297"/>
        <item h="1" m="1" x="309"/>
        <item h="1" m="1" x="289"/>
        <item h="1" m="1" x="290"/>
        <item h="1" m="1" x="291"/>
        <item h="1" m="1" x="301"/>
        <item h="1" m="1" x="316"/>
        <item h="1" m="1" x="317"/>
        <item h="1" m="1" x="318"/>
        <item h="1" m="1" x="271"/>
        <item h="1" m="1" x="272"/>
        <item h="1" m="1" x="273"/>
        <item h="1" m="1" x="274"/>
        <item h="1" m="1" x="270"/>
        <item h="1" m="1" x="300"/>
        <item h="1" m="1" x="357"/>
        <item h="1" m="1" x="319"/>
        <item h="1" m="1" x="320"/>
        <item h="1" m="1" x="321"/>
        <item h="1" m="1" x="279"/>
        <item h="1" m="1" x="288"/>
        <item h="1" m="1" x="303"/>
        <item h="1" m="1" x="231"/>
        <item h="1" m="1" x="232"/>
        <item h="1" m="1" x="225"/>
        <item h="1" m="1" x="217"/>
        <item h="1" m="1" x="218"/>
        <item h="1" m="1" x="252"/>
        <item h="1" m="1" x="248"/>
        <item h="1" m="1" x="249"/>
        <item h="1" m="1" x="267"/>
        <item h="1" m="1" x="250"/>
        <item h="1" m="1" x="251"/>
        <item h="1" m="1" x="229"/>
        <item h="1" m="1" x="275"/>
        <item h="1" m="1" x="268"/>
        <item h="1" m="1" x="293"/>
        <item h="1" m="1" x="247"/>
        <item h="1" m="1" x="266"/>
        <item h="1" m="1" x="299"/>
        <item h="1" m="1" x="278"/>
        <item h="1" m="1" x="277"/>
        <item h="1" m="1" x="284"/>
        <item h="1" m="1" x="285"/>
        <item h="1" m="1" x="280"/>
        <item h="1" m="1" x="281"/>
        <item h="1" m="1" x="253"/>
        <item h="1" m="1" x="239"/>
        <item h="1" m="1" x="240"/>
        <item h="1" m="1" x="241"/>
        <item h="1" m="1" x="230"/>
        <item h="1" m="1" x="282"/>
        <item h="1" m="1" x="283"/>
        <item h="1" m="1" x="286"/>
        <item h="1" m="1" x="228"/>
        <item h="1" m="1" x="287"/>
        <item h="1" m="1" x="258"/>
        <item h="1" m="1" x="257"/>
        <item h="1" m="1" x="256"/>
        <item h="1" m="1" x="260"/>
        <item h="1" m="1" x="254"/>
        <item h="1" m="1" x="255"/>
        <item m="1" x="235"/>
        <item h="1" m="1" x="234"/>
        <item h="1" m="1" x="259"/>
        <item h="1" m="1" x="262"/>
        <item h="1" m="1" x="263"/>
        <item h="1" m="1" x="264"/>
        <item h="1" m="1" x="261"/>
        <item h="1" m="1" x="233"/>
        <item h="1" m="1" x="211"/>
        <item h="1" m="1" x="212"/>
        <item h="1" m="1" x="213"/>
        <item h="1" m="1" x="214"/>
        <item h="1" m="1" x="215"/>
        <item h="1" m="1" x="216"/>
        <item h="1" m="1" x="219"/>
        <item h="1" m="1" x="220"/>
        <item h="1" m="1" x="221"/>
        <item h="1" m="1" x="222"/>
        <item h="1" m="1" x="223"/>
        <item h="1" m="1" x="224"/>
        <item h="1" m="1" x="226"/>
        <item h="1" m="1" x="227"/>
        <item h="1" m="1" x="238"/>
        <item h="1" m="1" x="156"/>
        <item h="1" m="1" x="139"/>
        <item h="1" m="1" x="166"/>
        <item h="1" m="1" x="170"/>
        <item h="1" m="1" x="171"/>
        <item h="1" m="1" x="172"/>
        <item h="1" m="1" x="173"/>
        <item h="1" m="1" x="174"/>
        <item h="1" m="1" x="175"/>
        <item h="1" m="1" x="176"/>
        <item h="1" m="1" x="177"/>
        <item h="1" m="1" x="178"/>
        <item h="1" m="1" x="179"/>
        <item h="1" m="1" x="180"/>
        <item h="1" m="1" x="181"/>
        <item h="1" m="1" x="182"/>
        <item h="1" m="1" x="183"/>
        <item h="1" m="1" x="184"/>
        <item h="1" m="1" x="185"/>
        <item h="1" m="1" x="186"/>
        <item h="1" m="1" x="187"/>
        <item h="1" m="1" x="188"/>
        <item h="1" m="1" x="189"/>
        <item h="1" m="1" x="190"/>
        <item h="1" m="1" x="164"/>
        <item h="1" m="1" x="191"/>
        <item h="1" m="1" x="192"/>
        <item h="1" m="1" x="193"/>
        <item h="1" m="1" x="194"/>
        <item h="1" m="1" x="195"/>
        <item h="1" m="1" x="196"/>
        <item h="1" m="1" x="197"/>
        <item h="1" m="1" x="198"/>
        <item h="1" m="1" x="199"/>
        <item h="1" m="1" x="200"/>
        <item h="1" m="1" x="201"/>
        <item h="1" m="1" x="202"/>
        <item h="1" m="1" x="203"/>
        <item h="1" m="1" x="204"/>
        <item h="1" m="1" x="205"/>
        <item h="1" m="1" x="111"/>
        <item h="1" m="1" x="162"/>
        <item h="1" m="1" x="142"/>
        <item h="1" m="1" x="206"/>
        <item h="1" m="1" x="169"/>
        <item h="1" m="1" x="168"/>
        <item h="1" m="1" x="163"/>
        <item h="1" m="1" x="140"/>
        <item h="1" m="1" x="165"/>
        <item h="1" m="1" x="114"/>
        <item h="1" m="1" x="135"/>
        <item h="1" m="1" x="110"/>
        <item h="1" m="1" x="207"/>
        <item h="1" m="1" x="141"/>
        <item h="1" m="1" x="148"/>
        <item h="1" m="1" x="161"/>
        <item h="1" m="1" x="151"/>
        <item h="1" m="1" x="158"/>
        <item h="1" m="1" x="153"/>
        <item h="1" m="1" x="149"/>
        <item h="1" m="1" x="157"/>
        <item h="1" m="1" x="147"/>
        <item h="1" m="1" x="112"/>
        <item h="1" m="1" x="146"/>
        <item h="1" m="1" x="159"/>
        <item h="1" m="1" x="208"/>
        <item h="1" m="1" x="167"/>
        <item h="1" m="1" x="143"/>
        <item h="1" m="1" x="144"/>
        <item h="1" m="1" x="129"/>
        <item h="1" m="1" x="209"/>
        <item h="1" m="1" x="210"/>
        <item h="1" m="1" x="120"/>
        <item h="1" m="1" x="125"/>
        <item h="1" m="1" x="160"/>
        <item h="1" m="1" x="123"/>
        <item h="1" m="1" x="121"/>
        <item h="1" m="1" x="128"/>
        <item h="1" m="1" x="122"/>
        <item h="1" m="1" x="118"/>
        <item h="1" m="1" x="131"/>
        <item h="1" m="1" x="150"/>
        <item h="1" m="1" x="152"/>
        <item h="1" m="1" x="154"/>
        <item h="1" m="1" x="113"/>
        <item h="1" m="1" x="124"/>
        <item h="1" m="1" x="145"/>
        <item h="1" m="1" x="136"/>
        <item h="1" m="1" x="134"/>
        <item h="1" m="1" x="115"/>
        <item h="1" m="1" x="116"/>
        <item h="1" m="1" x="117"/>
        <item h="1" m="1" x="155"/>
        <item h="1" m="1" x="106"/>
        <item h="1" m="1" x="108"/>
        <item h="1" m="1" x="107"/>
        <item h="1" m="1" x="132"/>
        <item h="1" m="1" x="130"/>
        <item h="1" m="1" x="133"/>
        <item h="1" m="1" x="138"/>
        <item h="1" m="1" x="137"/>
        <item h="1" m="1" x="127"/>
        <item h="1" m="1" x="102"/>
        <item h="1" m="1" x="126"/>
        <item h="1" m="1" x="119"/>
        <item h="1" m="1" x="103"/>
        <item h="1" m="1" x="100"/>
        <item h="1" m="1" x="105"/>
        <item h="1" m="1" x="104"/>
        <item h="1" m="1" x="84"/>
        <item h="1" m="1" x="98"/>
        <item h="1" m="1" x="97"/>
        <item h="1" m="1" x="89"/>
        <item h="1" m="1" x="92"/>
        <item h="1" m="1" x="86"/>
        <item h="1" m="1" x="95"/>
        <item h="1" m="1" x="87"/>
        <item h="1" m="1" x="91"/>
        <item h="1" m="1" x="90"/>
        <item h="1" m="1" x="88"/>
        <item h="1" m="1" x="101"/>
        <item h="1" m="1" x="99"/>
        <item h="1" m="1" x="79"/>
        <item h="1" m="1" x="93"/>
        <item h="1" m="1" x="77"/>
        <item h="1" m="1" x="78"/>
        <item h="1" m="1" x="85"/>
        <item h="1" m="1" x="80"/>
        <item h="1" m="1" x="81"/>
        <item h="1" m="1" x="83"/>
        <item h="1" m="1" x="82"/>
        <item h="1" m="1" x="94"/>
        <item h="1" m="1" x="109"/>
        <item h="1" m="1" x="96"/>
        <item h="1" m="1" x="69"/>
        <item h="1" m="1" x="75"/>
        <item h="1" m="1" x="73"/>
        <item h="1" m="1" x="76"/>
        <item h="1" m="1" x="71"/>
        <item h="1" m="1" x="70"/>
        <item h="1" m="1" x="72"/>
        <item h="1" m="1" x="60"/>
        <item h="1" m="1" x="64"/>
        <item h="1" m="1" x="61"/>
        <item h="1" m="1" x="46"/>
        <item h="1" m="1" x="45"/>
        <item h="1" m="1" x="63"/>
        <item h="1" m="1" x="59"/>
        <item h="1" m="1" x="65"/>
        <item h="1" m="1" x="66"/>
        <item h="1" m="1" x="74"/>
        <item h="1" m="1" x="67"/>
        <item h="1" m="1" x="68"/>
        <item h="1" m="1" x="44"/>
        <item h="1" m="1" x="43"/>
        <item h="1" m="1" x="47"/>
        <item h="1" m="1" x="55"/>
        <item h="1" m="1" x="54"/>
        <item h="1" m="1" x="57"/>
        <item h="1" m="1" x="56"/>
        <item h="1" m="1" x="62"/>
        <item h="1" m="1" x="53"/>
        <item h="1" m="1" x="48"/>
        <item h="1" m="1" x="52"/>
        <item h="1" m="1" x="41"/>
        <item h="1" m="1" x="38"/>
        <item h="1" m="1" x="49"/>
        <item h="1" m="1" x="40"/>
        <item h="1" m="1" x="50"/>
        <item h="1" m="1" x="42"/>
        <item h="1" m="1" x="51"/>
        <item h="1" m="1" x="39"/>
        <item h="1" m="1" x="30"/>
        <item h="1" m="1" x="33"/>
        <item h="1" m="1" x="58"/>
        <item h="1" m="1" x="28"/>
        <item h="1" m="1" x="31"/>
        <item h="1" m="1" x="34"/>
        <item h="1" m="1" x="35"/>
        <item h="1" m="1" x="29"/>
        <item h="1" m="1" x="36"/>
        <item h="1" m="1" x="37"/>
        <item h="1" m="1" x="24"/>
        <item h="1" m="1" x="21"/>
        <item h="1" m="1" x="32"/>
        <item h="1" m="1" x="27"/>
        <item h="1" m="1" x="25"/>
        <item h="1" m="1" x="22"/>
        <item h="1" m="1" x="26"/>
        <item h="1" m="1" x="20"/>
        <item h="1" m="1" x="23"/>
        <item h="1" x="19"/>
        <item h="1" x="16"/>
        <item h="1" x="4"/>
        <item h="1" x="6"/>
        <item h="1" x="3"/>
        <item h="1" x="7"/>
        <item h="1" x="1"/>
        <item h="1" x="2"/>
        <item h="1" x="14"/>
        <item h="1" x="17"/>
        <item h="1" x="12"/>
        <item h="1" x="5"/>
        <item h="1" x="9"/>
        <item h="1" x="8"/>
        <item h="1" x="15"/>
        <item h="1" x="13"/>
        <item h="1" x="10"/>
        <item h="1" x="11"/>
        <item h="1" x="18"/>
        <item h="1" x="0"/>
      </items>
    </pivotField>
    <pivotField compact="0" outline="0" showAll="0" defaultSubtotal="0"/>
    <pivotField axis="axisPage" compact="0" outline="0" multipleItemSelectionAllowed="1" showAll="0" defaultSubtotal="0">
      <items count="4">
        <item x="0"/>
        <item h="1" m="1" x="3"/>
        <item x="1"/>
        <item h="1" m="1" x="2"/>
      </items>
    </pivotField>
    <pivotField axis="axisRow" compact="0" outline="0" showAll="0" defaultSubtotal="0">
      <items count="1435">
        <item m="1" x="1250"/>
        <item m="1" x="1395"/>
        <item m="1" x="1251"/>
        <item m="1" x="1400"/>
        <item m="1" x="1274"/>
        <item m="1" x="1275"/>
        <item m="1" x="1402"/>
        <item m="1" x="1252"/>
        <item m="1" x="1404"/>
        <item m="1" x="1253"/>
        <item m="1" x="1254"/>
        <item m="1" x="1403"/>
        <item m="1" x="1255"/>
        <item m="1" x="1393"/>
        <item m="1" x="1256"/>
        <item m="1" x="1394"/>
        <item m="1" x="1276"/>
        <item m="1" x="1277"/>
        <item m="1" x="1257"/>
        <item m="1" x="1278"/>
        <item m="1" x="1258"/>
        <item m="1" x="1399"/>
        <item m="1" x="1279"/>
        <item m="1" x="1259"/>
        <item m="1" x="1396"/>
        <item m="1" x="1280"/>
        <item m="1" x="1260"/>
        <item m="1" x="1397"/>
        <item m="1" x="1281"/>
        <item m="1" x="1261"/>
        <item m="1" x="1401"/>
        <item m="1" x="1282"/>
        <item m="1" x="1262"/>
        <item m="1" x="1398"/>
        <item m="1" x="1283"/>
        <item m="1" x="1263"/>
        <item m="1" x="1392"/>
        <item m="1" x="1284"/>
        <item m="1" x="798"/>
        <item x="6"/>
        <item m="1" x="1092"/>
        <item m="1" x="1356"/>
        <item m="1" x="1129"/>
        <item x="261"/>
        <item x="104"/>
        <item x="342"/>
        <item x="111"/>
        <item x="313"/>
        <item x="386"/>
        <item m="1" x="1143"/>
        <item m="1" x="1149"/>
        <item m="1" x="1152"/>
        <item m="1" x="1410"/>
        <item x="16"/>
        <item m="1" x="984"/>
        <item x="154"/>
        <item m="1" x="1367"/>
        <item m="1" x="1368"/>
        <item m="1" x="997"/>
        <item x="175"/>
        <item x="148"/>
        <item x="38"/>
        <item x="112"/>
        <item m="1" x="1363"/>
        <item m="1" x="719"/>
        <item m="1" x="750"/>
        <item m="1" x="721"/>
        <item m="1" x="575"/>
        <item x="186"/>
        <item x="189"/>
        <item x="198"/>
        <item x="76"/>
        <item m="1" x="723"/>
        <item x="32"/>
        <item x="194"/>
        <item m="1" x="590"/>
        <item m="1" x="567"/>
        <item x="146"/>
        <item m="1" x="572"/>
        <item m="1" x="574"/>
        <item m="1" x="576"/>
        <item m="1" x="545"/>
        <item m="1" x="550"/>
        <item m="1" x="569"/>
        <item m="1" x="793"/>
        <item m="1" x="565"/>
        <item m="1" x="568"/>
        <item x="132"/>
        <item m="1" x="1268"/>
        <item m="1" x="1200"/>
        <item m="1" x="1099"/>
        <item m="1" x="943"/>
        <item m="1" x="950"/>
        <item x="294"/>
        <item x="236"/>
        <item x="393"/>
        <item m="1" x="1370"/>
        <item x="134"/>
        <item m="1" x="1101"/>
        <item x="416"/>
        <item m="1" x="877"/>
        <item x="217"/>
        <item x="187"/>
        <item x="264"/>
        <item m="1" x="1366"/>
        <item m="1" x="566"/>
        <item x="176"/>
        <item m="1" x="955"/>
        <item m="1" x="725"/>
        <item m="1" x="556"/>
        <item m="1" x="571"/>
        <item x="239"/>
        <item x="215"/>
        <item x="235"/>
        <item x="227"/>
        <item x="177"/>
        <item x="136"/>
        <item m="1" x="726"/>
        <item x="309"/>
        <item x="170"/>
        <item m="1" x="838"/>
        <item x="119"/>
        <item x="149"/>
        <item m="1" x="1093"/>
        <item m="1" x="1094"/>
        <item m="1" x="1095"/>
        <item m="1" x="1096"/>
        <item x="37"/>
        <item x="155"/>
        <item x="145"/>
        <item x="150"/>
        <item x="31"/>
        <item m="1" x="1369"/>
        <item m="1" x="1421"/>
        <item x="183"/>
        <item m="1" x="1097"/>
        <item m="1" x="1098"/>
        <item m="1" x="674"/>
        <item x="17"/>
        <item m="1" x="740"/>
        <item m="1" x="559"/>
        <item m="1" x="558"/>
        <item x="179"/>
        <item m="1" x="1332"/>
        <item x="209"/>
        <item x="226"/>
        <item x="265"/>
        <item m="1" x="1100"/>
        <item m="1" x="818"/>
        <item m="1" x="840"/>
        <item x="181"/>
        <item x="259"/>
        <item x="218"/>
        <item x="144"/>
        <item m="1" x="964"/>
        <item m="1" x="561"/>
        <item x="344"/>
        <item m="1" x="592"/>
        <item x="407"/>
        <item x="385"/>
        <item x="167"/>
        <item m="1" x="1155"/>
        <item m="1" x="1140"/>
        <item m="1" x="1139"/>
        <item m="1" x="1217"/>
        <item m="1" x="1378"/>
        <item m="1" x="1285"/>
        <item m="1" x="1218"/>
        <item m="1" x="1377"/>
        <item m="1" x="1286"/>
        <item m="1" x="1219"/>
        <item m="1" x="1389"/>
        <item m="1" x="1220"/>
        <item m="1" x="1375"/>
        <item m="1" x="1360"/>
        <item m="1" x="1138"/>
        <item m="1" x="1009"/>
        <item m="1" x="1010"/>
        <item m="1" x="1221"/>
        <item m="1" x="1222"/>
        <item m="1" x="1379"/>
        <item m="1" x="1391"/>
        <item m="1" x="1223"/>
        <item m="1" x="1224"/>
        <item m="1" x="1390"/>
        <item m="1" x="1225"/>
        <item m="1" x="1269"/>
        <item m="1" x="1287"/>
        <item m="1" x="1387"/>
        <item m="1" x="1226"/>
        <item m="1" x="1227"/>
        <item m="1" x="1385"/>
        <item m="1" x="1288"/>
        <item m="1" x="1228"/>
        <item m="1" x="1383"/>
        <item m="1" x="1289"/>
        <item m="1" x="1018"/>
        <item m="1" x="1229"/>
        <item m="1" x="1381"/>
        <item m="1" x="1230"/>
        <item m="1" x="1382"/>
        <item m="1" x="1290"/>
        <item m="1" x="1270"/>
        <item m="1" x="1358"/>
        <item m="1" x="1020"/>
        <item m="1" x="1231"/>
        <item m="1" x="1384"/>
        <item m="1" x="1291"/>
        <item m="1" x="1021"/>
        <item m="1" x="1022"/>
        <item m="1" x="1023"/>
        <item m="1" x="1232"/>
        <item m="1" x="1380"/>
        <item m="1" x="1233"/>
        <item m="1" x="1234"/>
        <item m="1" x="1388"/>
        <item m="1" x="1292"/>
        <item m="1" x="1235"/>
        <item m="1" x="1374"/>
        <item m="1" x="1293"/>
        <item m="1" x="1373"/>
        <item m="1" x="1236"/>
        <item m="1" x="1237"/>
        <item m="1" x="1376"/>
        <item m="1" x="1294"/>
        <item m="1" x="1030"/>
        <item m="1" x="1031"/>
        <item m="1" x="1032"/>
        <item m="1" x="1238"/>
        <item m="1" x="1239"/>
        <item m="1" x="1386"/>
        <item m="1" x="1295"/>
        <item m="1" x="966"/>
        <item m="1" x="1240"/>
        <item m="1" x="1033"/>
        <item m="1" x="1241"/>
        <item m="1" x="1330"/>
        <item m="1" x="969"/>
        <item m="1" x="1242"/>
        <item m="1" x="1337"/>
        <item m="1" x="1038"/>
        <item m="1" x="1039"/>
        <item x="312"/>
        <item x="219"/>
        <item m="1" x="916"/>
        <item x="216"/>
        <item m="1" x="604"/>
        <item x="178"/>
        <item x="220"/>
        <item x="250"/>
        <item x="450"/>
        <item m="1" x="911"/>
        <item m="1" x="1312"/>
        <item m="1" x="942"/>
        <item m="1" x="770"/>
        <item x="271"/>
        <item m="1" x="908"/>
        <item x="284"/>
        <item x="251"/>
        <item x="225"/>
        <item x="164"/>
        <item x="272"/>
        <item m="1" x="581"/>
        <item x="281"/>
        <item x="222"/>
        <item x="292"/>
        <item x="467"/>
        <item m="1" x="1102"/>
        <item m="1" x="1103"/>
        <item m="1" x="991"/>
        <item m="1" x="1104"/>
        <item x="485"/>
        <item x="499"/>
        <item m="1" x="1371"/>
        <item x="278"/>
        <item x="39"/>
        <item m="1" x="915"/>
        <item x="22"/>
        <item x="20"/>
        <item x="18"/>
        <item x="101"/>
        <item x="49"/>
        <item x="113"/>
        <item x="80"/>
        <item x="123"/>
        <item m="1" x="530"/>
        <item x="87"/>
        <item x="33"/>
        <item x="23"/>
        <item m="1" x="1105"/>
        <item x="66"/>
        <item x="81"/>
        <item x="29"/>
        <item x="24"/>
        <item m="1" x="1106"/>
        <item x="79"/>
        <item x="13"/>
        <item x="128"/>
        <item x="121"/>
        <item m="1" x="773"/>
        <item x="26"/>
        <item m="1" x="1243"/>
        <item x="252"/>
        <item x="135"/>
        <item x="157"/>
        <item x="161"/>
        <item x="302"/>
        <item x="182"/>
        <item m="1" x="1134"/>
        <item x="306"/>
        <item m="1" x="1307"/>
        <item m="1" x="957"/>
        <item x="303"/>
        <item x="425"/>
        <item m="1" x="612"/>
        <item m="1" x="1429"/>
        <item x="199"/>
        <item m="1" x="912"/>
        <item m="1" x="913"/>
        <item m="1" x="914"/>
        <item x="172"/>
        <item x="158"/>
        <item m="1" x="1146"/>
        <item m="1" x="1408"/>
        <item m="1" x="1406"/>
        <item m="1" x="1362"/>
        <item m="1" x="1407"/>
        <item x="53"/>
        <item x="44"/>
        <item x="3"/>
        <item x="75"/>
        <item x="191"/>
        <item x="58"/>
        <item m="1" x="1426"/>
        <item m="1" x="1427"/>
        <item m="1" x="1120"/>
        <item x="340"/>
        <item x="86"/>
        <item m="1" x="907"/>
        <item x="192"/>
        <item x="426"/>
        <item x="42"/>
        <item m="1" x="1206"/>
        <item x="67"/>
        <item x="10"/>
        <item x="11"/>
        <item m="1" x="823"/>
        <item x="68"/>
        <item m="1" x="537"/>
        <item x="116"/>
        <item x="63"/>
        <item m="1" x="548"/>
        <item x="223"/>
        <item x="96"/>
        <item m="1" x="1333"/>
        <item m="1" x="1046"/>
        <item m="1" x="1107"/>
        <item x="52"/>
        <item m="1" x="1365"/>
        <item x="169"/>
        <item x="88"/>
        <item m="1" x="797"/>
        <item m="1" x="1108"/>
        <item m="1" x="542"/>
        <item m="1" x="1411"/>
        <item m="1" x="706"/>
        <item x="125"/>
        <item x="7"/>
        <item x="14"/>
        <item m="1" x="1267"/>
        <item m="1" x="1334"/>
        <item x="62"/>
        <item x="503"/>
        <item m="1" x="541"/>
        <item m="1" x="867"/>
        <item m="1" x="1109"/>
        <item x="61"/>
        <item m="1" x="1412"/>
        <item x="9"/>
        <item x="82"/>
        <item m="1" x="1111"/>
        <item m="1" x="1047"/>
        <item m="1" x="1112"/>
        <item m="1" x="1113"/>
        <item m="1" x="1297"/>
        <item m="1" x="707"/>
        <item m="1" x="526"/>
        <item m="1" x="692"/>
        <item m="1" x="1271"/>
        <item m="1" x="857"/>
        <item m="1" x="1115"/>
        <item m="1" x="1048"/>
        <item m="1" x="816"/>
        <item x="97"/>
        <item m="1" x="890"/>
        <item m="1" x="708"/>
        <item m="1" x="1117"/>
        <item m="1" x="822"/>
        <item m="1" x="1118"/>
        <item m="1" x="1244"/>
        <item m="1" x="533"/>
        <item x="41"/>
        <item m="1" x="1119"/>
        <item x="15"/>
        <item m="1" x="1245"/>
        <item x="114"/>
        <item m="1" x="578"/>
        <item m="1" x="1131"/>
        <item m="1" x="1430"/>
        <item m="1" x="1049"/>
        <item x="210"/>
        <item x="206"/>
        <item m="1" x="563"/>
        <item m="1" x="1349"/>
        <item m="1" x="1350"/>
        <item m="1" x="807"/>
        <item x="417"/>
        <item m="1" x="846"/>
        <item m="1" x="1177"/>
        <item m="1" x="1338"/>
        <item m="1" x="1351"/>
        <item m="1" x="1147"/>
        <item m="1" x="1148"/>
        <item m="1" x="1352"/>
        <item x="310"/>
        <item m="1" x="1405"/>
        <item m="1" x="810"/>
        <item m="1" x="1431"/>
        <item m="1" x="1151"/>
        <item x="441"/>
        <item x="159"/>
        <item x="295"/>
        <item m="1" x="1328"/>
        <item m="1" x="1055"/>
        <item x="266"/>
        <item m="1" x="1331"/>
        <item m="1" x="1176"/>
        <item m="1" x="593"/>
        <item m="1" x="1329"/>
        <item m="1" x="1246"/>
        <item m="1" x="1359"/>
        <item x="260"/>
        <item x="283"/>
        <item m="1" x="782"/>
        <item x="290"/>
        <item x="343"/>
        <item m="1" x="582"/>
        <item x="314"/>
        <item m="1" x="868"/>
        <item m="1" x="1130"/>
        <item x="195"/>
        <item m="1" x="697"/>
        <item x="202"/>
        <item m="1" x="1310"/>
        <item m="1" x="648"/>
        <item m="1" x="1137"/>
        <item m="1" x="1308"/>
        <item m="1" x="1336"/>
        <item x="296"/>
        <item x="395"/>
        <item x="308"/>
        <item x="508"/>
        <item m="1" x="652"/>
        <item m="1" x="1309"/>
        <item m="1" x="1209"/>
        <item m="1" x="1128"/>
        <item m="1" x="1433"/>
        <item m="1" x="1210"/>
        <item x="43"/>
        <item x="196"/>
        <item m="1" x="1428"/>
        <item m="1" x="1247"/>
        <item x="93"/>
        <item x="106"/>
        <item x="268"/>
        <item x="54"/>
        <item x="197"/>
        <item x="289"/>
        <item x="70"/>
        <item m="1" x="552"/>
        <item x="98"/>
        <item x="277"/>
        <item x="224"/>
        <item x="174"/>
        <item x="276"/>
        <item x="165"/>
        <item x="200"/>
        <item x="237"/>
        <item x="103"/>
        <item x="424"/>
        <item x="300"/>
        <item m="1" x="1121"/>
        <item m="1" x="1122"/>
        <item m="1" x="1123"/>
        <item m="1" x="1248"/>
        <item x="89"/>
        <item x="45"/>
        <item x="233"/>
        <item x="108"/>
        <item m="1" x="1207"/>
        <item m="1" x="785"/>
        <item m="1" x="967"/>
        <item m="1" x="786"/>
        <item m="1" x="800"/>
        <item m="1" x="1208"/>
        <item m="1" x="1124"/>
        <item m="1" x="1125"/>
        <item m="1" x="564"/>
        <item m="1" x="1266"/>
        <item m="1" x="573"/>
        <item m="1" x="547"/>
        <item m="1" x="1126"/>
        <item x="255"/>
        <item x="94"/>
        <item x="273"/>
        <item x="279"/>
        <item x="254"/>
        <item m="1" x="1127"/>
        <item x="253"/>
        <item m="1" x="1185"/>
        <item m="1" x="1249"/>
        <item m="1" x="893"/>
        <item m="1" x="894"/>
        <item x="267"/>
        <item m="1" x="1133"/>
        <item m="1" x="1272"/>
        <item m="1" x="630"/>
        <item m="1" x="1211"/>
        <item x="228"/>
        <item x="451"/>
        <item x="293"/>
        <item x="201"/>
        <item m="1" x="1154"/>
        <item m="1" x="1158"/>
        <item m="1" x="1159"/>
        <item m="1" x="1160"/>
        <item m="1" x="1161"/>
        <item x="478"/>
        <item x="423"/>
        <item m="1" x="1162"/>
        <item m="1" x="1163"/>
        <item m="1" x="1164"/>
        <item m="1" x="1165"/>
        <item m="1" x="1166"/>
        <item m="1" x="1167"/>
        <item m="1" x="1168"/>
        <item m="1" x="1169"/>
        <item x="318"/>
        <item x="403"/>
        <item x="452"/>
        <item x="453"/>
        <item x="400"/>
        <item m="1" x="1422"/>
        <item m="1" x="1434"/>
        <item m="1" x="1432"/>
        <item m="1" x="1150"/>
        <item m="1" x="1142"/>
        <item m="1" x="1141"/>
        <item m="1" x="1212"/>
        <item m="1" x="1156"/>
        <item m="1" x="1304"/>
        <item m="1" x="1409"/>
        <item m="1" x="1305"/>
        <item m="1" x="1415"/>
        <item m="1" x="1301"/>
        <item m="1" x="701"/>
        <item m="1" x="1172"/>
        <item m="1" x="982"/>
        <item m="1" x="1144"/>
        <item x="433"/>
        <item m="1" x="1416"/>
        <item m="1" x="1306"/>
        <item m="1" x="1423"/>
        <item m="1" x="1424"/>
        <item m="1" x="1417"/>
        <item m="1" x="1418"/>
        <item m="1" x="1419"/>
        <item m="1" x="1171"/>
        <item m="1" x="738"/>
        <item m="1" x="1213"/>
        <item m="1" x="1145"/>
        <item m="1" x="1413"/>
        <item m="1" x="1302"/>
        <item m="1" x="1173"/>
        <item m="1" x="1174"/>
        <item m="1" x="1300"/>
        <item m="1" x="1175"/>
        <item m="1" x="1425"/>
        <item m="1" x="1414"/>
        <item m="1" x="898"/>
        <item m="1" x="948"/>
        <item m="1" x="946"/>
        <item m="1" x="1420"/>
        <item m="1" x="1153"/>
        <item m="1" x="776"/>
        <item m="1" x="980"/>
        <item m="1" x="814"/>
        <item m="1" x="1000"/>
        <item x="512"/>
        <item m="1" x="1315"/>
        <item m="1" x="1323"/>
        <item m="1" x="1324"/>
        <item m="1" x="1325"/>
        <item m="1" x="1316"/>
        <item m="1" x="1317"/>
        <item m="1" x="1326"/>
        <item m="1" x="1318"/>
        <item m="1" x="1319"/>
        <item m="1" x="1320"/>
        <item m="1" x="1321"/>
        <item m="1" x="1327"/>
        <item m="1" x="1322"/>
        <item m="1" x="1361"/>
        <item x="262"/>
        <item x="263"/>
        <item m="1" x="829"/>
        <item m="1" x="886"/>
        <item m="1" x="1083"/>
        <item m="1" x="906"/>
        <item m="1" x="900"/>
        <item m="1" x="520"/>
        <item m="1" x="519"/>
        <item m="1" x="758"/>
        <item m="1" x="965"/>
        <item x="240"/>
        <item m="1" x="985"/>
        <item m="1" x="947"/>
        <item m="1" x="902"/>
        <item m="1" x="974"/>
        <item m="1" x="976"/>
        <item m="1" x="978"/>
        <item m="1" x="963"/>
        <item m="1" x="1348"/>
        <item x="180"/>
        <item m="1" x="1335"/>
        <item m="1" x="1314"/>
        <item m="1" x="1372"/>
        <item m="1" x="1264"/>
        <item m="1" x="577"/>
        <item m="1" x="1353"/>
        <item m="1" x="1354"/>
        <item m="1" x="1181"/>
        <item m="1" x="1355"/>
        <item m="1" x="1339"/>
        <item m="1" x="1340"/>
        <item m="1" x="1341"/>
        <item m="1" x="1342"/>
        <item m="1" x="1343"/>
        <item m="1" x="1344"/>
        <item m="1" x="1345"/>
        <item m="1" x="1346"/>
        <item m="1" x="1347"/>
        <item m="1" x="1296"/>
        <item m="1" x="594"/>
        <item x="356"/>
        <item x="153"/>
        <item x="211"/>
        <item m="1" x="1357"/>
        <item x="110"/>
        <item x="64"/>
        <item x="117"/>
        <item x="256"/>
        <item x="95"/>
        <item m="1" x="1364"/>
        <item x="2"/>
        <item m="1" x="1136"/>
        <item m="1" x="1265"/>
        <item m="1" x="1012"/>
        <item m="1" x="1014"/>
        <item m="1" x="1303"/>
        <item x="378"/>
        <item x="301"/>
        <item x="355"/>
        <item m="1" x="1028"/>
        <item m="1" x="1132"/>
        <item m="1" x="606"/>
        <item x="330"/>
        <item m="1" x="1024"/>
        <item m="1" x="1025"/>
        <item m="1" x="1026"/>
        <item m="1" x="1184"/>
        <item m="1" x="903"/>
        <item m="1" x="905"/>
        <item m="1" x="1077"/>
        <item m="1" x="1186"/>
        <item m="1" x="901"/>
        <item m="1" x="954"/>
        <item m="1" x="949"/>
        <item m="1" x="1074"/>
        <item m="1" x="1273"/>
        <item m="1" x="1299"/>
        <item m="1" x="1193"/>
        <item m="1" x="664"/>
        <item x="427"/>
        <item x="100"/>
        <item m="1" x="910"/>
        <item x="84"/>
        <item m="1" x="682"/>
        <item x="246"/>
        <item m="1" x="644"/>
        <item x="445"/>
        <item x="221"/>
        <item x="444"/>
        <item m="1" x="772"/>
        <item x="305"/>
        <item x="85"/>
        <item m="1" x="919"/>
        <item x="25"/>
        <item m="1" x="817"/>
        <item m="1" x="536"/>
        <item m="1" x="705"/>
        <item x="30"/>
        <item x="72"/>
        <item m="1" x="1214"/>
        <item x="12"/>
        <item x="77"/>
        <item x="28"/>
        <item x="205"/>
        <item m="1" x="1311"/>
        <item m="1" x="659"/>
        <item x="184"/>
        <item x="229"/>
        <item m="1" x="918"/>
        <item x="47"/>
        <item x="280"/>
        <item x="371"/>
        <item x="105"/>
        <item x="73"/>
        <item m="1" x="529"/>
        <item m="1" x="522"/>
        <item m="1" x="583"/>
        <item m="1" x="672"/>
        <item x="502"/>
        <item x="500"/>
        <item x="507"/>
        <item x="516"/>
        <item x="496"/>
        <item x="383"/>
        <item x="366"/>
        <item x="297"/>
        <item x="213"/>
        <item x="428"/>
        <item m="1" x="752"/>
        <item m="1" x="553"/>
        <item m="1" x="615"/>
        <item m="1" x="1089"/>
        <item m="1" x="621"/>
        <item x="91"/>
        <item m="1" x="1088"/>
        <item x="139"/>
        <item m="1" x="584"/>
        <item m="1" x="540"/>
        <item m="1" x="610"/>
        <item m="1" x="554"/>
        <item x="83"/>
        <item x="369"/>
        <item m="1" x="1201"/>
        <item x="137"/>
        <item x="415"/>
        <item x="248"/>
        <item x="320"/>
        <item x="133"/>
        <item x="151"/>
        <item m="1" x="769"/>
        <item m="1" x="1204"/>
        <item m="1" x="959"/>
        <item m="1" x="917"/>
        <item m="1" x="1313"/>
        <item m="1" x="605"/>
        <item m="1" x="767"/>
        <item m="1" x="792"/>
        <item x="60"/>
        <item m="1" x="1180"/>
        <item m="1" x="1041"/>
        <item x="65"/>
        <item m="1" x="1179"/>
        <item m="1" x="539"/>
        <item m="1" x="1027"/>
        <item m="1" x="1135"/>
        <item m="1" x="1056"/>
        <item m="1" x="1079"/>
        <item m="1" x="1084"/>
        <item x="372"/>
        <item x="331"/>
        <item x="231"/>
        <item m="1" x="741"/>
        <item m="1" x="1110"/>
        <item m="1" x="1298"/>
        <item m="1" x="1085"/>
        <item m="1" x="1086"/>
        <item m="1" x="904"/>
        <item m="1" x="716"/>
        <item m="1" x="1034"/>
        <item m="1" x="1015"/>
        <item m="1" x="1091"/>
        <item m="1" x="1081"/>
        <item m="1" x="951"/>
        <item m="1" x="899"/>
        <item m="1" x="882"/>
        <item m="1" x="1007"/>
        <item m="1" x="884"/>
        <item m="1" x="1008"/>
        <item m="1" x="885"/>
        <item m="1" x="1019"/>
        <item m="1" x="998"/>
        <item m="1" x="1001"/>
        <item m="1" x="878"/>
        <item m="1" x="535"/>
        <item m="1" x="973"/>
        <item m="1" x="1114"/>
        <item m="1" x="1116"/>
        <item m="1" x="1045"/>
        <item x="147"/>
        <item x="163"/>
        <item x="193"/>
        <item m="1" x="580"/>
        <item m="1" x="627"/>
        <item m="1" x="999"/>
        <item m="1" x="1068"/>
        <item m="1" x="602"/>
        <item x="492"/>
        <item m="1" x="557"/>
        <item m="1" x="1040"/>
        <item m="1" x="1051"/>
        <item m="1" x="1052"/>
        <item x="188"/>
        <item m="1" x="1053"/>
        <item m="1" x="1054"/>
        <item m="1" x="639"/>
        <item m="1" x="1002"/>
        <item m="1" x="1157"/>
        <item m="1" x="1170"/>
        <item m="1" x="636"/>
        <item m="1" x="611"/>
        <item m="1" x="608"/>
        <item m="1" x="1178"/>
        <item x="443"/>
        <item x="401"/>
        <item x="373"/>
        <item x="367"/>
        <item x="324"/>
        <item x="337"/>
        <item x="321"/>
        <item x="338"/>
        <item m="1" x="693"/>
        <item x="454"/>
        <item m="1" x="595"/>
        <item x="288"/>
        <item m="1" x="589"/>
        <item m="1" x="1182"/>
        <item m="1" x="1183"/>
        <item m="1" x="734"/>
        <item m="1" x="1057"/>
        <item m="1" x="597"/>
        <item m="1" x="952"/>
        <item m="1" x="1187"/>
        <item m="1" x="618"/>
        <item m="1" x="1058"/>
        <item m="1" x="1188"/>
        <item m="1" x="1189"/>
        <item m="1" x="1190"/>
        <item m="1" x="1191"/>
        <item m="1" x="1192"/>
        <item m="1" x="1194"/>
        <item m="1" x="1059"/>
        <item m="1" x="1060"/>
        <item x="399"/>
        <item m="1" x="813"/>
        <item m="1" x="1195"/>
        <item m="1" x="598"/>
        <item m="1" x="624"/>
        <item m="1" x="653"/>
        <item x="336"/>
        <item m="1" x="1003"/>
        <item m="1" x="1196"/>
        <item m="1" x="1006"/>
        <item m="1" x="1061"/>
        <item m="1" x="1197"/>
        <item m="1" x="1198"/>
        <item m="1" x="1004"/>
        <item x="388"/>
        <item x="358"/>
        <item m="1" x="1199"/>
        <item m="1" x="1016"/>
        <item m="1" x="887"/>
        <item m="1" x="883"/>
        <item m="1" x="1011"/>
        <item m="1" x="881"/>
        <item m="1" x="1087"/>
        <item m="1" x="1202"/>
        <item m="1" x="1203"/>
        <item m="1" x="1205"/>
        <item m="1" x="524"/>
        <item x="8"/>
        <item x="69"/>
        <item x="107"/>
        <item x="285"/>
        <item x="143"/>
        <item m="1" x="993"/>
        <item m="1" x="992"/>
        <item x="357"/>
        <item x="156"/>
        <item x="140"/>
        <item x="322"/>
        <item m="1" x="994"/>
        <item m="1" x="794"/>
        <item x="129"/>
        <item x="185"/>
        <item x="304"/>
        <item x="376"/>
        <item x="384"/>
        <item x="370"/>
        <item x="160"/>
        <item m="1" x="774"/>
        <item m="1" x="613"/>
        <item x="374"/>
        <item m="1" x="633"/>
        <item x="394"/>
        <item x="381"/>
        <item m="1" x="1215"/>
        <item m="1" x="1216"/>
        <item m="1" x="958"/>
        <item m="1" x="956"/>
        <item m="1" x="972"/>
        <item m="1" x="871"/>
        <item m="1" x="872"/>
        <item x="40"/>
        <item x="0"/>
        <item x="78"/>
        <item m="1" x="873"/>
        <item m="1" x="815"/>
        <item m="1" x="667"/>
        <item m="1" x="874"/>
        <item m="1" x="875"/>
        <item m="1" x="975"/>
        <item m="1" x="971"/>
        <item m="1" x="839"/>
        <item m="1" x="876"/>
        <item m="1" x="742"/>
        <item m="1" x="743"/>
        <item m="1" x="831"/>
        <item m="1" x="990"/>
        <item x="36"/>
        <item x="122"/>
        <item m="1" x="941"/>
        <item m="1" x="983"/>
        <item m="1" x="995"/>
        <item m="1" x="717"/>
        <item m="1" x="981"/>
        <item x="311"/>
        <item m="1" x="768"/>
        <item x="48"/>
        <item x="1"/>
        <item m="1" x="945"/>
        <item m="1" x="996"/>
        <item m="1" x="739"/>
        <item m="1" x="720"/>
        <item m="1" x="746"/>
        <item x="21"/>
        <item x="90"/>
        <item m="1" x="749"/>
        <item x="131"/>
        <item x="316"/>
        <item m="1" x="727"/>
        <item x="402"/>
        <item x="446"/>
        <item x="391"/>
        <item x="475"/>
        <item m="1" x="799"/>
        <item m="1" x="747"/>
        <item m="1" x="637"/>
        <item m="1" x="879"/>
        <item x="274"/>
        <item m="1" x="880"/>
        <item m="1" x="1005"/>
        <item m="1" x="936"/>
        <item x="171"/>
        <item x="429"/>
        <item m="1" x="622"/>
        <item x="447"/>
        <item x="430"/>
        <item m="1" x="654"/>
        <item m="1" x="703"/>
        <item m="1" x="704"/>
        <item m="1" x="811"/>
        <item m="1" x="1013"/>
        <item m="1" x="1017"/>
        <item m="1" x="1029"/>
        <item m="1" x="1035"/>
        <item m="1" x="1036"/>
        <item m="1" x="1037"/>
        <item x="249"/>
        <item x="234"/>
        <item m="1" x="753"/>
        <item x="257"/>
        <item m="1" x="676"/>
        <item x="204"/>
        <item m="1" x="820"/>
        <item m="1" x="677"/>
        <item x="247"/>
        <item x="258"/>
        <item x="368"/>
        <item x="440"/>
        <item m="1" x="821"/>
        <item x="459"/>
        <item x="282"/>
        <item m="1" x="678"/>
        <item m="1" x="771"/>
        <item x="5"/>
        <item x="35"/>
        <item x="19"/>
        <item x="27"/>
        <item x="120"/>
        <item x="51"/>
        <item m="1" x="681"/>
        <item x="57"/>
        <item m="1" x="729"/>
        <item x="118"/>
        <item x="244"/>
        <item x="232"/>
        <item x="230"/>
        <item m="1" x="745"/>
        <item x="241"/>
        <item x="214"/>
        <item x="208"/>
        <item m="1" x="927"/>
        <item x="141"/>
        <item x="493"/>
        <item x="190"/>
        <item x="334"/>
        <item x="317"/>
        <item x="365"/>
        <item x="270"/>
        <item x="323"/>
        <item x="212"/>
        <item m="1" x="944"/>
        <item x="287"/>
        <item x="329"/>
        <item x="207"/>
        <item m="1" x="666"/>
        <item x="345"/>
        <item x="382"/>
        <item m="1" x="1042"/>
        <item m="1" x="1043"/>
        <item m="1" x="534"/>
        <item x="494"/>
        <item m="1" x="888"/>
        <item m="1" x="732"/>
        <item x="483"/>
        <item x="74"/>
        <item x="127"/>
        <item m="1" x="805"/>
        <item m="1" x="665"/>
        <item x="497"/>
        <item x="434"/>
        <item m="1" x="977"/>
        <item m="1" x="795"/>
        <item m="1" x="865"/>
        <item m="1" x="828"/>
        <item m="1" x="988"/>
        <item m="1" x="889"/>
        <item m="1" x="1044"/>
        <item m="1" x="866"/>
        <item m="1" x="777"/>
        <item x="315"/>
        <item m="1" x="733"/>
        <item m="1" x="953"/>
        <item x="465"/>
        <item m="1" x="756"/>
        <item x="275"/>
        <item x="468"/>
        <item x="99"/>
        <item m="1" x="832"/>
        <item x="405"/>
        <item m="1" x="987"/>
        <item x="392"/>
        <item x="495"/>
        <item x="109"/>
        <item m="1" x="710"/>
        <item x="142"/>
        <item m="1" x="1050"/>
        <item m="1" x="779"/>
        <item m="1" x="1062"/>
        <item m="1" x="543"/>
        <item m="1" x="538"/>
        <item m="1" x="1063"/>
        <item m="1" x="1064"/>
        <item m="1" x="1065"/>
        <item x="389"/>
        <item m="1" x="1066"/>
        <item m="1" x="891"/>
        <item x="115"/>
        <item x="408"/>
        <item x="332"/>
        <item x="359"/>
        <item x="396"/>
        <item m="1" x="931"/>
        <item m="1" x="1067"/>
        <item m="1" x="833"/>
        <item x="353"/>
        <item x="326"/>
        <item x="347"/>
        <item x="460"/>
        <item x="410"/>
        <item m="1" x="861"/>
        <item m="1" x="933"/>
        <item x="398"/>
        <item x="377"/>
        <item m="1" x="809"/>
        <item m="1" x="640"/>
        <item x="438"/>
        <item x="325"/>
        <item x="375"/>
        <item m="1" x="532"/>
        <item m="1" x="783"/>
        <item x="102"/>
        <item m="1" x="759"/>
        <item m="1" x="546"/>
        <item x="130"/>
        <item x="162"/>
        <item m="1" x="784"/>
        <item x="4"/>
        <item m="1" x="892"/>
        <item m="1" x="1069"/>
        <item m="1" x="895"/>
        <item m="1" x="970"/>
        <item m="1" x="896"/>
        <item m="1" x="1070"/>
        <item m="1" x="1071"/>
        <item m="1" x="650"/>
        <item x="448"/>
        <item m="1" x="830"/>
        <item m="1" x="989"/>
        <item m="1" x="940"/>
        <item m="1" x="1072"/>
        <item m="1" x="1073"/>
        <item m="1" x="897"/>
        <item m="1" x="968"/>
        <item x="484"/>
        <item m="1" x="1075"/>
        <item m="1" x="1076"/>
        <item m="1" x="1078"/>
        <item m="1" x="1080"/>
        <item m="1" x="1082"/>
        <item x="291"/>
        <item m="1" x="528"/>
        <item m="1" x="523"/>
        <item x="50"/>
        <item m="1" x="544"/>
        <item m="1" x="586"/>
        <item m="1" x="560"/>
        <item m="1" x="607"/>
        <item m="1" x="643"/>
        <item m="1" x="623"/>
        <item m="1" x="1090"/>
        <item m="1" x="551"/>
        <item m="1" x="555"/>
        <item m="1" x="570"/>
        <item m="1" x="909"/>
        <item x="92"/>
        <item x="335"/>
        <item m="1" x="585"/>
        <item m="1" x="694"/>
        <item m="1" x="796"/>
        <item x="124"/>
        <item m="1" x="517"/>
        <item m="1" x="960"/>
        <item m="1" x="711"/>
        <item m="1" x="934"/>
        <item m="1" x="939"/>
        <item m="1" x="929"/>
        <item m="1" x="937"/>
        <item m="1" x="979"/>
        <item m="1" x="715"/>
        <item x="56"/>
        <item m="1" x="714"/>
        <item m="1" x="938"/>
        <item x="307"/>
        <item x="138"/>
        <item m="1" x="925"/>
        <item m="1" x="986"/>
        <item m="1" x="724"/>
        <item m="1" x="722"/>
        <item m="1" x="728"/>
        <item m="1" x="660"/>
        <item m="1" x="930"/>
        <item m="1" x="709"/>
        <item x="455"/>
        <item m="1" x="962"/>
        <item x="298"/>
        <item m="1" x="646"/>
        <item x="299"/>
        <item m="1" x="825"/>
        <item x="349"/>
        <item m="1" x="961"/>
        <item x="506"/>
        <item x="387"/>
        <item m="1" x="754"/>
        <item x="327"/>
        <item m="1" x="744"/>
        <item x="55"/>
        <item x="245"/>
        <item x="341"/>
        <item x="152"/>
        <item m="1" x="921"/>
        <item m="1" x="923"/>
        <item x="319"/>
        <item m="1" x="702"/>
        <item x="476"/>
        <item x="404"/>
        <item m="1" x="713"/>
        <item m="1" x="924"/>
        <item m="1" x="819"/>
        <item m="1" x="854"/>
        <item m="1" x="855"/>
        <item m="1" x="679"/>
        <item m="1" x="863"/>
        <item m="1" x="680"/>
        <item m="1" x="926"/>
        <item x="46"/>
        <item m="1" x="864"/>
        <item m="1" x="791"/>
        <item m="1" x="826"/>
        <item m="1" x="827"/>
        <item m="1" x="928"/>
        <item x="168"/>
        <item m="1" x="731"/>
        <item m="1" x="687"/>
        <item x="390"/>
        <item x="514"/>
        <item m="1" x="737"/>
        <item x="449"/>
        <item x="442"/>
        <item x="464"/>
        <item x="486"/>
        <item x="419"/>
        <item x="439"/>
        <item m="1" x="935"/>
        <item x="346"/>
        <item x="409"/>
        <item x="504"/>
        <item x="488"/>
        <item m="1" x="862"/>
        <item x="511"/>
        <item m="1" x="920"/>
        <item m="1" x="922"/>
        <item m="1" x="932"/>
        <item x="509"/>
        <item x="286"/>
        <item m="1" x="870"/>
        <item x="397"/>
        <item m="1" x="641"/>
        <item x="469"/>
        <item x="481"/>
        <item m="1" x="642"/>
        <item x="487"/>
        <item m="1" x="730"/>
        <item m="1" x="631"/>
        <item m="1" x="841"/>
        <item x="418"/>
        <item x="461"/>
        <item m="1" x="685"/>
        <item m="1" x="869"/>
        <item m="1" x="824"/>
        <item m="1" x="860"/>
        <item m="1" x="844"/>
        <item m="1" x="836"/>
        <item m="1" x="834"/>
        <item m="1" x="848"/>
        <item x="203"/>
        <item m="1" x="850"/>
        <item m="1" x="851"/>
        <item m="1" x="852"/>
        <item m="1" x="853"/>
        <item m="1" x="518"/>
        <item m="1" x="858"/>
        <item m="1" x="835"/>
        <item m="1" x="837"/>
        <item m="1" x="849"/>
        <item m="1" x="856"/>
        <item m="1" x="859"/>
        <item m="1" x="751"/>
        <item m="1" x="748"/>
        <item x="126"/>
        <item m="1" x="812"/>
        <item m="1" x="755"/>
        <item x="348"/>
        <item x="436"/>
        <item x="422"/>
        <item m="1" x="695"/>
        <item x="462"/>
        <item x="351"/>
        <item m="1" x="696"/>
        <item m="1" x="735"/>
        <item x="490"/>
        <item m="1" x="842"/>
        <item m="1" x="843"/>
        <item m="1" x="845"/>
        <item m="1" x="847"/>
        <item m="1" x="661"/>
        <item x="379"/>
        <item x="501"/>
        <item m="1" x="736"/>
        <item x="352"/>
        <item m="1" x="712"/>
        <item m="1" x="757"/>
        <item x="166"/>
        <item x="510"/>
        <item m="1" x="651"/>
        <item m="1" x="808"/>
        <item x="333"/>
        <item x="411"/>
        <item x="515"/>
        <item m="1" x="760"/>
        <item m="1" x="668"/>
        <item m="1" x="761"/>
        <item m="1" x="669"/>
        <item m="1" x="762"/>
        <item m="1" x="763"/>
        <item m="1" x="764"/>
        <item m="1" x="765"/>
        <item m="1" x="766"/>
        <item m="1" x="802"/>
        <item m="1" x="675"/>
        <item m="1" x="683"/>
        <item m="1" x="684"/>
        <item m="1" x="686"/>
        <item m="1" x="775"/>
        <item m="1" x="688"/>
        <item m="1" x="689"/>
        <item m="1" x="690"/>
        <item m="1" x="778"/>
        <item m="1" x="691"/>
        <item x="364"/>
        <item m="1" x="787"/>
        <item m="1" x="788"/>
        <item m="1" x="790"/>
        <item x="437"/>
        <item x="491"/>
        <item x="242"/>
        <item x="269"/>
        <item x="477"/>
        <item m="1" x="803"/>
        <item x="431"/>
        <item x="474"/>
        <item m="1" x="698"/>
        <item x="458"/>
        <item x="463"/>
        <item x="412"/>
        <item m="1" x="801"/>
        <item m="1" x="673"/>
        <item m="1" x="804"/>
        <item x="421"/>
        <item m="1" x="780"/>
        <item m="1" x="781"/>
        <item m="1" x="806"/>
        <item x="505"/>
        <item m="1" x="789"/>
        <item x="71"/>
        <item x="498"/>
        <item m="1" x="671"/>
        <item x="456"/>
        <item x="173"/>
        <item x="354"/>
        <item x="339"/>
        <item x="472"/>
        <item x="466"/>
        <item x="380"/>
        <item m="1" x="718"/>
        <item m="1" x="596"/>
        <item x="360"/>
        <item m="1" x="670"/>
        <item x="59"/>
        <item m="1" x="649"/>
        <item m="1" x="609"/>
        <item m="1" x="656"/>
        <item m="1" x="616"/>
        <item m="1" x="657"/>
        <item m="1" x="658"/>
        <item x="457"/>
        <item m="1" x="619"/>
        <item x="238"/>
        <item m="1" x="662"/>
        <item m="1" x="663"/>
        <item m="1" x="634"/>
        <item m="1" x="617"/>
        <item x="473"/>
        <item x="413"/>
        <item x="414"/>
        <item x="406"/>
        <item m="1" x="699"/>
        <item m="1" x="700"/>
        <item x="482"/>
        <item x="432"/>
        <item x="363"/>
        <item x="420"/>
        <item x="243"/>
        <item x="34"/>
        <item x="480"/>
        <item x="435"/>
        <item x="328"/>
        <item x="350"/>
        <item x="362"/>
        <item x="361"/>
        <item x="470"/>
        <item x="471"/>
        <item m="1" x="655"/>
        <item m="1" x="521"/>
        <item x="479"/>
        <item x="489"/>
        <item m="1" x="531"/>
        <item m="1" x="527"/>
        <item m="1" x="525"/>
        <item m="1" x="549"/>
        <item m="1" x="588"/>
        <item m="1" x="562"/>
        <item m="1" x="591"/>
        <item m="1" x="614"/>
        <item m="1" x="620"/>
        <item m="1" x="638"/>
        <item m="1" x="632"/>
        <item m="1" x="635"/>
        <item m="1" x="600"/>
        <item m="1" x="579"/>
        <item m="1" x="587"/>
        <item m="1" x="626"/>
        <item m="1" x="599"/>
        <item m="1" x="603"/>
        <item m="1" x="645"/>
        <item m="1" x="601"/>
        <item m="1" x="628"/>
        <item m="1" x="625"/>
        <item m="1" x="647"/>
        <item m="1" x="629"/>
        <item x="513"/>
      </items>
    </pivotField>
    <pivotField axis="axisRow" compact="0" outline="0" showAll="0" defaultSubtotal="0">
      <items count="1530">
        <item m="1" x="517"/>
        <item m="1" x="1132"/>
        <item x="42"/>
        <item m="1" x="1462"/>
        <item m="1" x="1455"/>
        <item m="1" x="839"/>
        <item x="119"/>
        <item m="1" x="1276"/>
        <item m="1" x="1424"/>
        <item m="1" x="1319"/>
        <item m="1" x="1246"/>
        <item m="1" x="1423"/>
        <item m="1" x="1320"/>
        <item m="1" x="1247"/>
        <item m="1" x="984"/>
        <item m="1" x="1464"/>
        <item m="1" x="767"/>
        <item m="1" x="1371"/>
        <item m="1" x="1412"/>
        <item m="1" x="1413"/>
        <item m="1" x="1489"/>
        <item m="1" x="1004"/>
        <item m="1" x="1490"/>
        <item m="1" x="1484"/>
        <item m="1" x="860"/>
        <item m="1" x="1527"/>
        <item x="451"/>
        <item m="1" x="795"/>
        <item x="300"/>
        <item m="1" x="1172"/>
        <item m="1" x="1240"/>
        <item m="1" x="1279"/>
        <item x="149"/>
        <item m="1" x="806"/>
        <item m="1" x="1114"/>
        <item m="1" x="1056"/>
        <item x="228"/>
        <item x="96"/>
        <item x="219"/>
        <item m="1" x="921"/>
        <item x="216"/>
        <item m="1" x="604"/>
        <item m="1" x="1421"/>
        <item m="1" x="1249"/>
        <item m="1" x="1437"/>
        <item m="1" x="1253"/>
        <item m="1" x="1435"/>
        <item m="1" x="1248"/>
        <item m="1" x="1425"/>
        <item m="1" x="1252"/>
        <item m="1" x="1277"/>
        <item m="1" x="1313"/>
        <item m="1" x="1289"/>
        <item m="1" x="1316"/>
        <item m="1" x="1292"/>
        <item m="1" x="1441"/>
        <item m="1" x="1308"/>
        <item m="1" x="1281"/>
        <item m="1" x="1448"/>
        <item m="1" x="1283"/>
        <item m="1" x="1445"/>
        <item m="1" x="1446"/>
        <item m="1" x="1309"/>
        <item m="1" x="1282"/>
        <item m="1" x="1450"/>
        <item m="1" x="1284"/>
        <item m="1" x="1449"/>
        <item m="1" x="1285"/>
        <item m="1" x="1439"/>
        <item m="1" x="1310"/>
        <item m="1" x="1286"/>
        <item m="1" x="1440"/>
        <item m="1" x="1311"/>
        <item m="1" x="1287"/>
        <item m="1" x="1312"/>
        <item m="1" x="1288"/>
        <item m="1" x="1442"/>
        <item m="1" x="1314"/>
        <item m="1" x="1290"/>
        <item m="1" x="1443"/>
        <item m="1" x="1315"/>
        <item m="1" x="1291"/>
        <item m="1" x="1444"/>
        <item m="1" x="1317"/>
        <item m="1" x="1293"/>
        <item m="1" x="1447"/>
        <item m="1" x="1438"/>
        <item m="1" x="1318"/>
        <item m="1" x="1294"/>
        <item m="1" x="1295"/>
        <item x="255"/>
        <item m="1" x="630"/>
        <item x="89"/>
        <item m="1" x="1482"/>
        <item m="1" x="1130"/>
        <item m="1" x="1131"/>
        <item x="178"/>
        <item x="148"/>
        <item x="38"/>
        <item x="112"/>
        <item x="309"/>
        <item x="167"/>
        <item m="1" x="1123"/>
        <item x="233"/>
        <item x="43"/>
        <item x="53"/>
        <item m="1" x="1055"/>
        <item m="1" x="816"/>
        <item x="97"/>
        <item m="1" x="1251"/>
        <item m="1" x="1436"/>
        <item m="1" x="1254"/>
        <item m="1" x="1418"/>
        <item m="1" x="1510"/>
        <item m="1" x="1158"/>
        <item x="417"/>
        <item m="1" x="1101"/>
        <item m="1" x="1102"/>
        <item m="1" x="1103"/>
        <item m="1" x="1104"/>
        <item m="1" x="1355"/>
        <item x="313"/>
        <item x="425"/>
        <item x="121"/>
        <item m="1" x="1513"/>
        <item x="196"/>
        <item m="1" x="1228"/>
        <item m="1" x="1159"/>
        <item m="1" x="1241"/>
        <item m="1" x="1242"/>
        <item m="1" x="1193"/>
        <item m="1" x="1191"/>
        <item m="1" x="1461"/>
        <item m="1" x="1192"/>
        <item m="1" x="701"/>
        <item m="1" x="1255"/>
        <item x="271"/>
        <item x="199"/>
        <item m="1" x="1162"/>
        <item m="1" x="1170"/>
        <item m="1" x="913"/>
        <item x="108"/>
        <item x="284"/>
        <item m="1" x="1431"/>
        <item m="1" x="1322"/>
        <item m="1" x="1257"/>
        <item m="1" x="1137"/>
        <item m="1" x="1138"/>
        <item m="1" x="1370"/>
        <item m="1" x="549"/>
        <item m="1" x="1375"/>
        <item m="1" x="1380"/>
        <item m="1" x="1395"/>
        <item m="1" x="565"/>
        <item x="161"/>
        <item x="37"/>
        <item x="155"/>
        <item x="145"/>
        <item x="150"/>
        <item x="220"/>
        <item x="250"/>
        <item m="1" x="1053"/>
        <item x="44"/>
        <item x="3"/>
        <item m="1" x="1194"/>
        <item m="1" x="1339"/>
        <item m="1" x="1126"/>
        <item x="450"/>
        <item m="1" x="1274"/>
        <item x="177"/>
        <item x="132"/>
        <item m="1" x="1463"/>
        <item m="1" x="1171"/>
        <item m="1" x="1230"/>
        <item m="1" x="1154"/>
        <item m="1" x="1145"/>
        <item m="1" x="1229"/>
        <item m="1" x="1153"/>
        <item x="31"/>
        <item x="312"/>
        <item m="1" x="1471"/>
        <item m="1" x="1472"/>
        <item m="1" x="1473"/>
        <item m="1" x="1474"/>
        <item m="1" x="1393"/>
        <item m="1" x="1394"/>
        <item m="1" x="1500"/>
        <item m="1" x="1179"/>
        <item m="1" x="1178"/>
        <item m="1" x="1501"/>
        <item m="1" x="1275"/>
        <item m="1" x="1502"/>
        <item m="1" x="1180"/>
        <item m="1" x="1184"/>
        <item m="1" x="1506"/>
        <item m="1" x="1496"/>
        <item m="1" x="1174"/>
        <item m="1" x="1503"/>
        <item m="1" x="1181"/>
        <item m="1" x="1185"/>
        <item m="1" x="1507"/>
        <item m="1" x="1497"/>
        <item m="1" x="1175"/>
        <item m="1" x="1182"/>
        <item m="1" x="1504"/>
        <item m="1" x="1186"/>
        <item m="1" x="1508"/>
        <item m="1" x="1176"/>
        <item m="1" x="1498"/>
        <item m="1" x="1183"/>
        <item m="1" x="1505"/>
        <item m="1" x="1187"/>
        <item m="1" x="1509"/>
        <item m="1" x="1177"/>
        <item m="1" x="1499"/>
        <item m="1" x="1040"/>
        <item m="1" x="1250"/>
        <item m="1" x="1017"/>
        <item m="1" x="1405"/>
        <item m="1" x="1016"/>
        <item m="1" x="1403"/>
        <item m="1" x="1025"/>
        <item m="1" x="1304"/>
        <item m="1" x="1346"/>
        <item m="1" x="1330"/>
        <item m="1" x="1268"/>
        <item m="1" x="1133"/>
        <item m="1" x="969"/>
        <item m="1" x="1272"/>
        <item m="1" x="1372"/>
        <item m="1" x="1135"/>
        <item m="1" x="972"/>
        <item m="1" x="1379"/>
        <item m="1" x="1381"/>
        <item m="1" x="1382"/>
        <item m="1" x="1045"/>
        <item m="1" x="1046"/>
        <item x="128"/>
        <item x="441"/>
        <item m="1" x="1115"/>
        <item x="52"/>
        <item m="1" x="899"/>
        <item m="1" x="1299"/>
        <item m="1" x="1306"/>
        <item m="1" x="1278"/>
        <item x="93"/>
        <item x="106"/>
        <item m="1" x="1514"/>
        <item x="54"/>
        <item x="197"/>
        <item x="289"/>
        <item x="70"/>
        <item m="1" x="554"/>
        <item m="1" x="1465"/>
        <item m="1" x="1466"/>
        <item m="1" x="1467"/>
        <item m="1" x="1414"/>
        <item m="1" x="1479"/>
        <item x="407"/>
        <item x="227"/>
        <item m="1" x="1408"/>
        <item m="1" x="1521"/>
        <item m="1" x="718"/>
        <item m="1" x="1523"/>
        <item m="1" x="747"/>
        <item m="1" x="720"/>
        <item x="223"/>
        <item x="67"/>
        <item x="136"/>
        <item x="264"/>
        <item m="1" x="576"/>
        <item m="1" x="532"/>
        <item x="306"/>
        <item x="87"/>
        <item x="186"/>
        <item x="189"/>
        <item x="198"/>
        <item x="76"/>
        <item m="1" x="725"/>
        <item m="1" x="724"/>
        <item m="1" x="722"/>
        <item m="1" x="567"/>
        <item x="32"/>
        <item x="194"/>
        <item m="1" x="591"/>
        <item m="1" x="568"/>
        <item x="146"/>
        <item m="1" x="573"/>
        <item m="1" x="575"/>
        <item m="1" x="577"/>
        <item m="1" x="547"/>
        <item m="1" x="552"/>
        <item m="1" x="570"/>
        <item m="1" x="1345"/>
        <item m="1" x="790"/>
        <item m="1" x="566"/>
        <item m="1" x="569"/>
        <item x="183"/>
        <item m="1" x="1105"/>
        <item m="1" x="1485"/>
        <item m="1" x="1410"/>
        <item m="1" x="945"/>
        <item m="1" x="1195"/>
        <item m="1" x="893"/>
        <item m="1" x="932"/>
        <item m="1" x="1116"/>
        <item m="1" x="593"/>
        <item m="1" x="894"/>
        <item m="1" x="1459"/>
        <item m="1" x="797"/>
        <item x="15"/>
        <item m="1" x="1529"/>
        <item m="1" x="1486"/>
        <item m="1" x="1301"/>
        <item m="1" x="1492"/>
        <item m="1" x="1396"/>
        <item x="114"/>
        <item m="1" x="1516"/>
        <item m="1" x="1517"/>
        <item x="23"/>
        <item x="103"/>
        <item x="135"/>
        <item m="1" x="1147"/>
        <item m="1" x="1404"/>
        <item x="251"/>
        <item m="1" x="1029"/>
        <item m="1" x="1030"/>
        <item m="1" x="1028"/>
        <item m="1" x="1113"/>
        <item m="1" x="707"/>
        <item m="1" x="809"/>
        <item m="1" x="1258"/>
        <item m="1" x="574"/>
        <item m="1" x="1303"/>
        <item m="1" x="1429"/>
        <item m="1" x="1323"/>
        <item m="1" x="535"/>
        <item m="1" x="1430"/>
        <item m="1" x="1325"/>
        <item m="1" x="1261"/>
        <item m="1" x="1139"/>
        <item x="395"/>
        <item x="17"/>
        <item m="1" x="1520"/>
        <item m="1" x="960"/>
        <item m="1" x="1222"/>
        <item m="1" x="1107"/>
        <item m="1" x="949"/>
        <item m="1" x="956"/>
        <item x="260"/>
        <item m="1" x="1151"/>
        <item m="1" x="1378"/>
        <item m="1" x="648"/>
        <item x="283"/>
        <item x="290"/>
        <item m="1" x="779"/>
        <item x="343"/>
        <item m="1" x="1333"/>
        <item x="75"/>
        <item m="1" x="705"/>
        <item x="125"/>
        <item m="1" x="796"/>
        <item x="386"/>
        <item x="6"/>
        <item x="261"/>
        <item m="1" x="986"/>
        <item x="154"/>
        <item m="1" x="1458"/>
        <item m="1" x="1100"/>
        <item m="1" x="1166"/>
        <item x="206"/>
        <item x="7"/>
        <item x="14"/>
        <item m="1" x="1483"/>
        <item x="296"/>
        <item x="308"/>
        <item x="508"/>
        <item m="1" x="1350"/>
        <item m="1" x="1231"/>
        <item m="1" x="1351"/>
        <item m="1" x="1142"/>
        <item m="1" x="1426"/>
        <item m="1" x="1262"/>
        <item x="170"/>
        <item m="1" x="737"/>
        <item m="1" x="561"/>
        <item m="1" x="560"/>
        <item x="179"/>
        <item m="1" x="1453"/>
        <item m="1" x="558"/>
        <item m="1" x="572"/>
        <item x="10"/>
        <item m="1" x="1524"/>
        <item m="1" x="735"/>
        <item x="236"/>
        <item x="215"/>
        <item m="1" x="991"/>
        <item m="1" x="1300"/>
        <item m="1" x="1376"/>
        <item x="62"/>
        <item m="1" x="1263"/>
        <item x="11"/>
        <item m="1" x="1491"/>
        <item x="225"/>
        <item x="98"/>
        <item x="164"/>
        <item m="1" x="1348"/>
        <item x="272"/>
        <item m="1" x="1494"/>
        <item m="1" x="1495"/>
        <item m="1" x="582"/>
        <item x="281"/>
        <item m="1" x="519"/>
        <item x="292"/>
        <item x="467"/>
        <item m="1" x="1110"/>
        <item m="1" x="1127"/>
        <item m="1" x="1190"/>
        <item x="503"/>
        <item m="1" x="612"/>
        <item m="1" x="697"/>
        <item x="293"/>
        <item x="201"/>
        <item m="1" x="1487"/>
        <item m="1" x="1415"/>
        <item m="1" x="1411"/>
        <item m="1" x="1106"/>
        <item m="1" x="1374"/>
        <item x="209"/>
        <item x="226"/>
        <item x="94"/>
        <item x="273"/>
        <item m="1" x="1434"/>
        <item m="1" x="1326"/>
        <item m="1" x="1264"/>
        <item m="1" x="1433"/>
        <item m="1" x="1321"/>
        <item m="1" x="1256"/>
        <item m="1" x="1432"/>
        <item m="1" x="1329"/>
        <item m="1" x="1270"/>
        <item m="1" x="1302"/>
        <item m="1" x="1269"/>
        <item m="1" x="1419"/>
        <item m="1" x="1266"/>
        <item m="1" x="1422"/>
        <item m="1" x="1328"/>
        <item m="1" x="1267"/>
        <item m="1" x="1420"/>
        <item m="1" x="1327"/>
        <item m="1" x="1265"/>
        <item m="1" x="1128"/>
        <item m="1" x="1140"/>
        <item x="254"/>
        <item m="1" x="1477"/>
        <item x="265"/>
        <item x="210"/>
        <item x="477"/>
        <item x="344"/>
        <item x="431"/>
        <item m="1" x="824"/>
        <item m="1" x="1108"/>
        <item m="1" x="819"/>
        <item m="1" x="841"/>
        <item m="1" x="1454"/>
        <item m="1" x="1452"/>
        <item m="1" x="1407"/>
        <item m="1" x="1160"/>
        <item x="266"/>
        <item m="1" x="1457"/>
        <item x="277"/>
        <item x="224"/>
        <item x="172"/>
        <item x="158"/>
        <item x="68"/>
        <item m="1" x="539"/>
        <item x="116"/>
        <item x="63"/>
        <item m="1" x="1525"/>
        <item m="1" x="918"/>
        <item m="1" x="919"/>
        <item m="1" x="1451"/>
        <item m="1" x="916"/>
        <item m="1" x="1344"/>
        <item m="1" x="1488"/>
        <item x="303"/>
        <item m="1" x="1111"/>
        <item m="1" x="1148"/>
        <item m="1" x="1528"/>
        <item m="1" x="1097"/>
        <item x="195"/>
        <item x="202"/>
        <item m="1" x="1144"/>
        <item m="1" x="1349"/>
        <item m="1" x="998"/>
        <item x="159"/>
        <item x="267"/>
        <item m="1" x="1156"/>
        <item m="1" x="1062"/>
        <item m="1" x="1235"/>
        <item m="1" x="1155"/>
        <item m="1" x="1134"/>
        <item m="1" x="1136"/>
        <item m="1" x="1164"/>
        <item m="1" x="1353"/>
        <item m="1" x="1259"/>
        <item m="1" x="1324"/>
        <item m="1" x="1427"/>
        <item x="276"/>
        <item x="174"/>
        <item x="79"/>
        <item x="165"/>
        <item x="237"/>
        <item m="1" x="917"/>
        <item m="1" x="543"/>
        <item m="1" x="870"/>
        <item m="1" x="1117"/>
        <item x="66"/>
        <item x="81"/>
        <item m="1" x="1109"/>
        <item x="416"/>
        <item m="1" x="1469"/>
        <item m="1" x="1522"/>
        <item x="191"/>
        <item x="426"/>
        <item m="1" x="1526"/>
        <item x="58"/>
        <item m="1" x="1475"/>
        <item x="192"/>
        <item m="1" x="1511"/>
        <item m="1" x="1512"/>
        <item m="1" x="1129"/>
        <item x="61"/>
        <item m="1" x="1271"/>
        <item m="1" x="579"/>
        <item x="253"/>
        <item m="1" x="1260"/>
        <item m="1" x="1428"/>
        <item x="217"/>
        <item x="235"/>
        <item x="144"/>
        <item x="181"/>
        <item x="259"/>
        <item m="1" x="967"/>
        <item x="29"/>
        <item x="24"/>
        <item x="187"/>
        <item x="104"/>
        <item m="1" x="1112"/>
        <item x="182"/>
        <item x="252"/>
        <item x="485"/>
        <item x="499"/>
        <item m="1" x="1416"/>
        <item x="318"/>
        <item x="111"/>
        <item x="342"/>
        <item x="16"/>
        <item m="1" x="1157"/>
        <item m="1" x="1143"/>
        <item m="1" x="564"/>
        <item m="1" x="1141"/>
        <item m="1" x="1280"/>
        <item m="1" x="1515"/>
        <item x="393"/>
        <item m="1" x="1401"/>
        <item m="1" x="1165"/>
        <item x="310"/>
        <item m="1" x="1456"/>
        <item m="1" x="1125"/>
        <item m="1" x="1493"/>
        <item m="1" x="1460"/>
        <item x="9"/>
        <item x="82"/>
        <item m="1" x="1119"/>
        <item m="1" x="1054"/>
        <item m="1" x="1518"/>
        <item m="1" x="1120"/>
        <item m="1" x="1121"/>
        <item x="45"/>
        <item m="1" x="1373"/>
        <item m="1" x="1343"/>
        <item x="134"/>
        <item x="239"/>
        <item m="1" x="1519"/>
        <item x="278"/>
        <item m="1" x="1480"/>
        <item m="1" x="1334"/>
        <item m="1" x="706"/>
        <item m="1" x="528"/>
        <item m="1" x="692"/>
        <item m="1" x="1305"/>
        <item m="1" x="898"/>
        <item m="1" x="823"/>
        <item m="1" x="770"/>
        <item m="1" x="1199"/>
        <item x="433"/>
        <item x="218"/>
        <item x="39"/>
        <item x="157"/>
        <item m="1" x="920"/>
        <item x="22"/>
        <item x="20"/>
        <item x="18"/>
        <item x="101"/>
        <item x="49"/>
        <item x="113"/>
        <item x="80"/>
        <item x="123"/>
        <item x="33"/>
        <item m="1" x="961"/>
        <item m="1" x="550"/>
        <item m="1" x="1273"/>
        <item m="1" x="1232"/>
        <item x="86"/>
        <item m="1" x="1163"/>
        <item m="1" x="1341"/>
        <item m="1" x="1340"/>
        <item m="1" x="1196"/>
        <item m="1" x="948"/>
        <item m="1" x="1481"/>
        <item m="1" x="1470"/>
        <item x="314"/>
        <item m="1" x="1167"/>
        <item m="1" x="773"/>
        <item m="1" x="982"/>
        <item m="1" x="814"/>
        <item m="1" x="1007"/>
        <item m="1" x="1476"/>
        <item m="1" x="1357"/>
        <item m="1" x="1365"/>
        <item m="1" x="1366"/>
        <item m="1" x="1367"/>
        <item m="1" x="1358"/>
        <item m="1" x="1359"/>
        <item m="1" x="1368"/>
        <item m="1" x="1360"/>
        <item m="1" x="1361"/>
        <item m="1" x="1362"/>
        <item m="1" x="1363"/>
        <item m="1" x="1369"/>
        <item m="1" x="1364"/>
        <item m="1" x="1406"/>
        <item x="262"/>
        <item x="263"/>
        <item m="1" x="1468"/>
        <item m="1" x="1337"/>
        <item m="1" x="1090"/>
        <item m="1" x="911"/>
        <item m="1" x="905"/>
        <item m="1" x="522"/>
        <item m="1" x="521"/>
        <item m="1" x="755"/>
        <item x="340"/>
        <item m="1" x="1478"/>
        <item m="1" x="968"/>
        <item x="512"/>
        <item x="240"/>
        <item m="1" x="987"/>
        <item m="1" x="1168"/>
        <item m="1" x="953"/>
        <item m="1" x="907"/>
        <item m="1" x="976"/>
        <item m="1" x="978"/>
        <item m="1" x="980"/>
        <item m="1" x="966"/>
        <item m="1" x="1392"/>
        <item m="1" x="880"/>
        <item x="180"/>
        <item m="1" x="1377"/>
        <item x="403"/>
        <item x="452"/>
        <item x="453"/>
        <item x="400"/>
        <item m="1" x="912"/>
        <item m="1" x="1169"/>
        <item m="1" x="1356"/>
        <item m="1" x="1417"/>
        <item m="1" x="1297"/>
        <item m="1" x="925"/>
        <item m="1" x="1161"/>
        <item m="1" x="1397"/>
        <item m="1" x="1398"/>
        <item m="1" x="1399"/>
        <item m="1" x="1400"/>
        <item m="1" x="1383"/>
        <item m="1" x="1384"/>
        <item m="1" x="1385"/>
        <item m="1" x="1386"/>
        <item m="1" x="1387"/>
        <item m="1" x="1388"/>
        <item m="1" x="1389"/>
        <item m="1" x="1390"/>
        <item m="1" x="1391"/>
        <item m="1" x="1332"/>
        <item m="1" x="594"/>
        <item m="1" x="895"/>
        <item x="356"/>
        <item x="153"/>
        <item x="211"/>
        <item m="1" x="1402"/>
        <item x="302"/>
        <item x="110"/>
        <item x="64"/>
        <item x="117"/>
        <item x="256"/>
        <item x="95"/>
        <item m="1" x="1409"/>
        <item x="2"/>
        <item m="1" x="1150"/>
        <item m="1" x="1298"/>
        <item m="1" x="1019"/>
        <item m="1" x="1021"/>
        <item m="1" x="1342"/>
        <item m="1" x="1197"/>
        <item m="1" x="1198"/>
        <item x="355"/>
        <item m="1" x="1035"/>
        <item m="1" x="1146"/>
        <item m="1" x="1331"/>
        <item x="330"/>
        <item m="1" x="1031"/>
        <item m="1" x="1032"/>
        <item m="1" x="1033"/>
        <item m="1" x="1205"/>
        <item m="1" x="908"/>
        <item m="1" x="910"/>
        <item m="1" x="1084"/>
        <item m="1" x="1207"/>
        <item m="1" x="906"/>
        <item m="1" x="1336"/>
        <item m="1" x="1296"/>
        <item m="1" x="1347"/>
        <item m="1" x="1307"/>
        <item m="1" x="1338"/>
        <item m="1" x="1213"/>
        <item m="1" x="664"/>
        <item x="427"/>
        <item x="100"/>
        <item m="1" x="915"/>
        <item x="84"/>
        <item m="1" x="682"/>
        <item x="246"/>
        <item m="1" x="644"/>
        <item x="445"/>
        <item x="221"/>
        <item x="444"/>
        <item m="1" x="769"/>
        <item x="305"/>
        <item x="85"/>
        <item m="1" x="924"/>
        <item x="25"/>
        <item m="1" x="817"/>
        <item m="1" x="538"/>
        <item m="1" x="704"/>
        <item x="30"/>
        <item x="72"/>
        <item m="1" x="1243"/>
        <item x="12"/>
        <item x="77"/>
        <item x="28"/>
        <item x="205"/>
        <item m="1" x="1352"/>
        <item m="1" x="659"/>
        <item x="184"/>
        <item x="229"/>
        <item m="1" x="923"/>
        <item x="47"/>
        <item x="280"/>
        <item m="1" x="1237"/>
        <item x="105"/>
        <item x="73"/>
        <item m="1" x="531"/>
        <item m="1" x="524"/>
        <item m="1" x="584"/>
        <item m="1" x="672"/>
        <item x="502"/>
        <item x="500"/>
        <item x="507"/>
        <item x="516"/>
        <item x="496"/>
        <item x="383"/>
        <item x="366"/>
        <item x="297"/>
        <item x="213"/>
        <item x="428"/>
        <item m="1" x="749"/>
        <item m="1" x="555"/>
        <item m="1" x="615"/>
        <item m="1" x="1095"/>
        <item m="1" x="1233"/>
        <item x="91"/>
        <item x="381"/>
        <item x="139"/>
        <item m="1" x="585"/>
        <item m="1" x="542"/>
        <item m="1" x="610"/>
        <item m="1" x="556"/>
        <item x="83"/>
        <item x="369"/>
        <item x="294"/>
        <item m="1" x="1223"/>
        <item x="137"/>
        <item x="415"/>
        <item x="248"/>
        <item x="320"/>
        <item m="1" x="926"/>
        <item x="151"/>
        <item m="1" x="766"/>
        <item m="1" x="1226"/>
        <item m="1" x="962"/>
        <item m="1" x="922"/>
        <item m="1" x="1354"/>
        <item m="1" x="605"/>
        <item m="1" x="764"/>
        <item m="1" x="789"/>
        <item x="60"/>
        <item m="1" x="1202"/>
        <item m="1" x="1048"/>
        <item x="65"/>
        <item m="1" x="1201"/>
        <item m="1" x="1203"/>
        <item m="1" x="541"/>
        <item m="1" x="1034"/>
        <item m="1" x="1149"/>
        <item m="1" x="1063"/>
        <item m="1" x="1086"/>
        <item m="1" x="1091"/>
        <item m="1" x="1239"/>
        <item m="1" x="1238"/>
        <item x="385"/>
        <item x="231"/>
        <item m="1" x="738"/>
        <item m="1" x="1118"/>
        <item m="1" x="1335"/>
        <item m="1" x="1092"/>
        <item m="1" x="1093"/>
        <item m="1" x="909"/>
        <item m="1" x="715"/>
        <item m="1" x="1041"/>
        <item m="1" x="1022"/>
        <item m="1" x="1099"/>
        <item m="1" x="1088"/>
        <item m="1" x="957"/>
        <item m="1" x="904"/>
        <item m="1" x="885"/>
        <item m="1" x="1014"/>
        <item m="1" x="887"/>
        <item m="1" x="1015"/>
        <item m="1" x="888"/>
        <item m="1" x="1026"/>
        <item m="1" x="1005"/>
        <item x="175"/>
        <item m="1" x="1008"/>
        <item m="1" x="881"/>
        <item m="1" x="537"/>
        <item m="1" x="975"/>
        <item m="1" x="1122"/>
        <item m="1" x="1124"/>
        <item m="1" x="1052"/>
        <item x="147"/>
        <item m="1" x="583"/>
        <item m="1" x="712"/>
        <item x="193"/>
        <item m="1" x="581"/>
        <item m="1" x="627"/>
        <item m="1" x="1006"/>
        <item m="1" x="1075"/>
        <item m="1" x="602"/>
        <item x="492"/>
        <item m="1" x="1037"/>
        <item m="1" x="1039"/>
        <item m="1" x="1152"/>
        <item m="1" x="559"/>
        <item m="1" x="1047"/>
        <item m="1" x="954"/>
        <item m="1" x="952"/>
        <item m="1" x="1058"/>
        <item m="1" x="1059"/>
        <item m="1" x="606"/>
        <item x="188"/>
        <item m="1" x="1060"/>
        <item m="1" x="1061"/>
        <item m="1" x="639"/>
        <item m="1" x="1009"/>
        <item m="1" x="1173"/>
        <item m="1" x="1188"/>
        <item m="1" x="636"/>
        <item m="1" x="1189"/>
        <item m="1" x="608"/>
        <item m="1" x="889"/>
        <item m="1" x="1027"/>
        <item m="1" x="1200"/>
        <item x="443"/>
        <item x="401"/>
        <item x="373"/>
        <item x="367"/>
        <item x="324"/>
        <item x="337"/>
        <item x="321"/>
        <item x="338"/>
        <item m="1" x="693"/>
        <item m="1" x="993"/>
        <item m="1" x="595"/>
        <item x="288"/>
        <item m="1" x="590"/>
        <item m="1" x="1204"/>
        <item m="1" x="529"/>
        <item m="1" x="733"/>
        <item m="1" x="1064"/>
        <item m="1" x="1206"/>
        <item m="1" x="597"/>
        <item m="1" x="958"/>
        <item m="1" x="959"/>
        <item m="1" x="955"/>
        <item m="1" x="1081"/>
        <item m="1" x="1208"/>
        <item m="1" x="1209"/>
        <item m="1" x="1065"/>
        <item m="1" x="1210"/>
        <item m="1" x="1211"/>
        <item m="1" x="1212"/>
        <item m="1" x="533"/>
        <item m="1" x="536"/>
        <item m="1" x="1214"/>
        <item m="1" x="1066"/>
        <item m="1" x="1067"/>
        <item x="399"/>
        <item m="1" x="813"/>
        <item m="1" x="1215"/>
        <item m="1" x="598"/>
        <item m="1" x="1216"/>
        <item m="1" x="653"/>
        <item m="1" x="1217"/>
        <item m="1" x="1010"/>
        <item m="1" x="1218"/>
        <item m="1" x="1013"/>
        <item m="1" x="1068"/>
        <item m="1" x="1219"/>
        <item m="1" x="1220"/>
        <item m="1" x="1011"/>
        <item x="388"/>
        <item x="358"/>
        <item m="1" x="1221"/>
        <item m="1" x="1023"/>
        <item m="1" x="890"/>
        <item m="1" x="886"/>
        <item m="1" x="1018"/>
        <item m="1" x="884"/>
        <item m="1" x="1094"/>
        <item m="1" x="1224"/>
        <item m="1" x="1225"/>
        <item m="1" x="1227"/>
        <item m="1" x="526"/>
        <item x="8"/>
        <item x="69"/>
        <item x="107"/>
        <item x="268"/>
        <item x="285"/>
        <item x="143"/>
        <item m="1" x="1000"/>
        <item m="1" x="999"/>
        <item x="357"/>
        <item x="156"/>
        <item x="140"/>
        <item x="322"/>
        <item m="1" x="1001"/>
        <item m="1" x="791"/>
        <item m="1" x="1234"/>
        <item x="185"/>
        <item x="304"/>
        <item x="376"/>
        <item x="384"/>
        <item m="1" x="1236"/>
        <item x="160"/>
        <item m="1" x="771"/>
        <item m="1" x="613"/>
        <item x="374"/>
        <item m="1" x="633"/>
        <item x="394"/>
        <item m="1" x="1244"/>
        <item m="1" x="1245"/>
        <item m="1" x="874"/>
        <item m="1" x="875"/>
        <item x="40"/>
        <item x="0"/>
        <item x="78"/>
        <item m="1" x="876"/>
        <item m="1" x="815"/>
        <item m="1" x="667"/>
        <item m="1" x="877"/>
        <item m="1" x="878"/>
        <item m="1" x="977"/>
        <item m="1" x="974"/>
        <item m="1" x="992"/>
        <item m="1" x="879"/>
        <item m="1" x="739"/>
        <item m="1" x="740"/>
        <item m="1" x="832"/>
        <item m="1" x="997"/>
        <item x="36"/>
        <item x="122"/>
        <item m="1" x="985"/>
        <item m="1" x="1002"/>
        <item m="1" x="716"/>
        <item m="1" x="983"/>
        <item x="311"/>
        <item m="1" x="765"/>
        <item x="48"/>
        <item x="1"/>
        <item m="1" x="951"/>
        <item m="1" x="1003"/>
        <item m="1" x="736"/>
        <item m="1" x="719"/>
        <item m="1" x="743"/>
        <item x="21"/>
        <item x="90"/>
        <item m="1" x="746"/>
        <item x="131"/>
        <item x="316"/>
        <item m="1" x="726"/>
        <item x="402"/>
        <item x="446"/>
        <item x="391"/>
        <item x="475"/>
        <item m="1" x="798"/>
        <item m="1" x="744"/>
        <item m="1" x="637"/>
        <item m="1" x="882"/>
        <item x="274"/>
        <item m="1" x="883"/>
        <item m="1" x="1012"/>
        <item m="1" x="942"/>
        <item x="171"/>
        <item x="429"/>
        <item m="1" x="622"/>
        <item x="447"/>
        <item x="430"/>
        <item m="1" x="654"/>
        <item m="1" x="855"/>
        <item m="1" x="856"/>
        <item m="1" x="811"/>
        <item m="1" x="1020"/>
        <item m="1" x="1024"/>
        <item m="1" x="1036"/>
        <item m="1" x="1038"/>
        <item m="1" x="1042"/>
        <item m="1" x="1043"/>
        <item m="1" x="1044"/>
        <item x="249"/>
        <item x="234"/>
        <item m="1" x="750"/>
        <item x="257"/>
        <item m="1" x="676"/>
        <item x="204"/>
        <item m="1" x="821"/>
        <item m="1" x="677"/>
        <item x="247"/>
        <item x="258"/>
        <item x="368"/>
        <item x="440"/>
        <item m="1" x="822"/>
        <item x="459"/>
        <item x="282"/>
        <item m="1" x="678"/>
        <item m="1" x="768"/>
        <item x="5"/>
        <item x="35"/>
        <item x="19"/>
        <item x="27"/>
        <item x="120"/>
        <item x="51"/>
        <item m="1" x="681"/>
        <item x="57"/>
        <item m="1" x="728"/>
        <item x="118"/>
        <item x="244"/>
        <item x="232"/>
        <item x="230"/>
        <item m="1" x="742"/>
        <item x="241"/>
        <item x="214"/>
        <item x="208"/>
        <item m="1" x="934"/>
        <item x="141"/>
        <item x="493"/>
        <item x="190"/>
        <item x="334"/>
        <item x="317"/>
        <item x="365"/>
        <item x="270"/>
        <item x="323"/>
        <item x="212"/>
        <item m="1" x="950"/>
        <item x="287"/>
        <item x="370"/>
        <item x="329"/>
        <item x="207"/>
        <item m="1" x="666"/>
        <item x="345"/>
        <item x="382"/>
        <item m="1" x="1049"/>
        <item m="1" x="1050"/>
        <item m="1" x="818"/>
        <item m="1" x="891"/>
        <item m="1" x="731"/>
        <item x="483"/>
        <item x="74"/>
        <item x="127"/>
        <item m="1" x="803"/>
        <item m="1" x="665"/>
        <item x="497"/>
        <item x="434"/>
        <item m="1" x="979"/>
        <item m="1" x="792"/>
        <item m="1" x="868"/>
        <item m="1" x="829"/>
        <item m="1" x="995"/>
        <item m="1" x="892"/>
        <item m="1" x="1051"/>
        <item m="1" x="869"/>
        <item m="1" x="774"/>
        <item x="315"/>
        <item m="1" x="732"/>
        <item m="1" x="947"/>
        <item x="465"/>
        <item m="1" x="753"/>
        <item x="275"/>
        <item x="468"/>
        <item x="99"/>
        <item m="1" x="621"/>
        <item x="129"/>
        <item m="1" x="833"/>
        <item x="405"/>
        <item m="1" x="994"/>
        <item x="392"/>
        <item x="495"/>
        <item x="109"/>
        <item x="41"/>
        <item m="1" x="709"/>
        <item x="142"/>
        <item m="1" x="1057"/>
        <item x="295"/>
        <item m="1" x="830"/>
        <item m="1" x="624"/>
        <item m="1" x="776"/>
        <item m="1" x="1069"/>
        <item m="1" x="545"/>
        <item m="1" x="540"/>
        <item m="1" x="1070"/>
        <item m="1" x="1071"/>
        <item m="1" x="1072"/>
        <item x="389"/>
        <item m="1" x="1073"/>
        <item m="1" x="896"/>
        <item x="115"/>
        <item x="408"/>
        <item m="1" x="990"/>
        <item x="359"/>
        <item x="396"/>
        <item m="1" x="938"/>
        <item m="1" x="1074"/>
        <item m="1" x="834"/>
        <item x="353"/>
        <item x="326"/>
        <item x="347"/>
        <item x="460"/>
        <item x="410"/>
        <item m="1" x="864"/>
        <item m="1" x="940"/>
        <item x="398"/>
        <item x="377"/>
        <item m="1" x="808"/>
        <item m="1" x="640"/>
        <item x="331"/>
        <item x="372"/>
        <item x="438"/>
        <item x="371"/>
        <item x="325"/>
        <item x="375"/>
        <item m="1" x="534"/>
        <item m="1" x="780"/>
        <item x="102"/>
        <item m="1" x="756"/>
        <item m="1" x="548"/>
        <item x="130"/>
        <item x="162"/>
        <item m="1" x="781"/>
        <item x="200"/>
        <item x="4"/>
        <item m="1" x="897"/>
        <item m="1" x="782"/>
        <item m="1" x="970"/>
        <item m="1" x="783"/>
        <item m="1" x="799"/>
        <item x="279"/>
        <item x="478"/>
        <item x="423"/>
        <item x="378"/>
        <item x="301"/>
        <item x="336"/>
        <item m="1" x="1076"/>
        <item m="1" x="900"/>
        <item m="1" x="973"/>
        <item m="1" x="901"/>
        <item m="1" x="1077"/>
        <item m="1" x="1078"/>
        <item m="1" x="650"/>
        <item x="448"/>
        <item m="1" x="831"/>
        <item m="1" x="996"/>
        <item m="1" x="1079"/>
        <item m="1" x="1080"/>
        <item m="1" x="902"/>
        <item m="1" x="971"/>
        <item x="484"/>
        <item m="1" x="1082"/>
        <item m="1" x="903"/>
        <item m="1" x="1083"/>
        <item m="1" x="1085"/>
        <item m="1" x="1087"/>
        <item m="1" x="1089"/>
        <item x="291"/>
        <item m="1" x="530"/>
        <item m="1" x="525"/>
        <item x="50"/>
        <item m="1" x="546"/>
        <item m="1" x="587"/>
        <item m="1" x="562"/>
        <item m="1" x="607"/>
        <item m="1" x="643"/>
        <item m="1" x="623"/>
        <item m="1" x="1096"/>
        <item m="1" x="652"/>
        <item m="1" x="553"/>
        <item m="1" x="557"/>
        <item m="1" x="1098"/>
        <item m="1" x="914"/>
        <item m="1" x="989"/>
        <item x="454"/>
        <item x="92"/>
        <item x="335"/>
        <item m="1" x="586"/>
        <item m="1" x="694"/>
        <item m="1" x="793"/>
        <item x="124"/>
        <item m="1" x="518"/>
        <item m="1" x="963"/>
        <item m="1" x="710"/>
        <item m="1" x="946"/>
        <item m="1" x="936"/>
        <item m="1" x="943"/>
        <item m="1" x="981"/>
        <item m="1" x="714"/>
        <item x="56"/>
        <item x="332"/>
        <item m="1" x="713"/>
        <item m="1" x="944"/>
        <item x="307"/>
        <item x="138"/>
        <item m="1" x="931"/>
        <item m="1" x="988"/>
        <item m="1" x="723"/>
        <item m="1" x="721"/>
        <item x="176"/>
        <item m="1" x="727"/>
        <item m="1" x="660"/>
        <item m="1" x="937"/>
        <item m="1" x="840"/>
        <item m="1" x="708"/>
        <item x="455"/>
        <item m="1" x="965"/>
        <item x="298"/>
        <item m="1" x="646"/>
        <item x="299"/>
        <item m="1" x="826"/>
        <item x="349"/>
        <item m="1" x="964"/>
        <item x="506"/>
        <item x="387"/>
        <item m="1" x="751"/>
        <item x="327"/>
        <item m="1" x="741"/>
        <item x="55"/>
        <item x="245"/>
        <item x="341"/>
        <item x="152"/>
        <item m="1" x="690"/>
        <item m="1" x="929"/>
        <item x="319"/>
        <item x="476"/>
        <item x="404"/>
        <item m="1" x="930"/>
        <item m="1" x="820"/>
        <item m="1" x="857"/>
        <item m="1" x="858"/>
        <item m="1" x="679"/>
        <item m="1" x="866"/>
        <item m="1" x="680"/>
        <item x="26"/>
        <item m="1" x="933"/>
        <item x="46"/>
        <item m="1" x="871"/>
        <item m="1" x="867"/>
        <item m="1" x="788"/>
        <item m="1" x="827"/>
        <item m="1" x="828"/>
        <item m="1" x="935"/>
        <item x="168"/>
        <item m="1" x="730"/>
        <item m="1" x="687"/>
        <item x="390"/>
        <item x="514"/>
        <item m="1" x="734"/>
        <item x="449"/>
        <item x="442"/>
        <item x="464"/>
        <item x="486"/>
        <item x="419"/>
        <item x="439"/>
        <item m="1" x="941"/>
        <item x="346"/>
        <item x="409"/>
        <item x="504"/>
        <item x="488"/>
        <item m="1" x="865"/>
        <item x="511"/>
        <item m="1" x="927"/>
        <item m="1" x="928"/>
        <item m="1" x="939"/>
        <item x="509"/>
        <item x="286"/>
        <item m="1" x="873"/>
        <item x="397"/>
        <item m="1" x="641"/>
        <item x="469"/>
        <item x="481"/>
        <item m="1" x="642"/>
        <item x="487"/>
        <item x="133"/>
        <item m="1" x="729"/>
        <item m="1" x="631"/>
        <item m="1" x="842"/>
        <item x="418"/>
        <item x="461"/>
        <item m="1" x="685"/>
        <item m="1" x="872"/>
        <item m="1" x="825"/>
        <item m="1" x="863"/>
        <item m="1" x="845"/>
        <item m="1" x="837"/>
        <item m="1" x="835"/>
        <item m="1" x="849"/>
        <item x="203"/>
        <item m="1" x="851"/>
        <item m="1" x="852"/>
        <item m="1" x="853"/>
        <item m="1" x="854"/>
        <item m="1" x="520"/>
        <item m="1" x="861"/>
        <item m="1" x="836"/>
        <item m="1" x="838"/>
        <item m="1" x="850"/>
        <item m="1" x="859"/>
        <item m="1" x="862"/>
        <item m="1" x="748"/>
        <item m="1" x="745"/>
        <item x="126"/>
        <item m="1" x="702"/>
        <item m="1" x="703"/>
        <item m="1" x="812"/>
        <item m="1" x="752"/>
        <item x="348"/>
        <item x="436"/>
        <item x="422"/>
        <item m="1" x="695"/>
        <item x="462"/>
        <item x="351"/>
        <item m="1" x="696"/>
        <item x="490"/>
        <item m="1" x="843"/>
        <item m="1" x="844"/>
        <item m="1" x="846"/>
        <item m="1" x="847"/>
        <item m="1" x="848"/>
        <item m="1" x="661"/>
        <item x="379"/>
        <item x="501"/>
        <item x="352"/>
        <item x="169"/>
        <item m="1" x="711"/>
        <item m="1" x="754"/>
        <item x="166"/>
        <item x="510"/>
        <item m="1" x="651"/>
        <item m="1" x="807"/>
        <item x="333"/>
        <item x="411"/>
        <item x="515"/>
        <item m="1" x="757"/>
        <item m="1" x="668"/>
        <item m="1" x="758"/>
        <item m="1" x="669"/>
        <item m="1" x="759"/>
        <item m="1" x="760"/>
        <item m="1" x="761"/>
        <item m="1" x="762"/>
        <item m="1" x="763"/>
        <item m="1" x="801"/>
        <item m="1" x="675"/>
        <item m="1" x="683"/>
        <item m="1" x="684"/>
        <item m="1" x="686"/>
        <item m="1" x="772"/>
        <item m="1" x="688"/>
        <item m="1" x="689"/>
        <item m="1" x="775"/>
        <item m="1" x="691"/>
        <item x="364"/>
        <item m="1" x="784"/>
        <item m="1" x="785"/>
        <item m="1" x="787"/>
        <item x="437"/>
        <item x="88"/>
        <item m="1" x="794"/>
        <item x="491"/>
        <item x="242"/>
        <item x="269"/>
        <item x="494"/>
        <item m="1" x="810"/>
        <item m="1" x="698"/>
        <item x="474"/>
        <item x="458"/>
        <item x="463"/>
        <item x="412"/>
        <item m="1" x="800"/>
        <item m="1" x="673"/>
        <item m="1" x="802"/>
        <item m="1" x="804"/>
        <item m="1" x="777"/>
        <item m="1" x="778"/>
        <item m="1" x="805"/>
        <item x="505"/>
        <item m="1" x="786"/>
        <item x="71"/>
        <item x="421"/>
        <item x="498"/>
        <item m="1" x="674"/>
        <item x="424"/>
        <item m="1" x="671"/>
        <item x="163"/>
        <item x="456"/>
        <item x="173"/>
        <item x="354"/>
        <item x="339"/>
        <item x="472"/>
        <item x="466"/>
        <item x="380"/>
        <item m="1" x="717"/>
        <item m="1" x="596"/>
        <item x="360"/>
        <item m="1" x="670"/>
        <item x="59"/>
        <item m="1" x="649"/>
        <item m="1" x="609"/>
        <item m="1" x="656"/>
        <item m="1" x="616"/>
        <item m="1" x="657"/>
        <item m="1" x="658"/>
        <item x="457"/>
        <item m="1" x="619"/>
        <item x="238"/>
        <item m="1" x="662"/>
        <item m="1" x="663"/>
        <item m="1" x="634"/>
        <item m="1" x="617"/>
        <item x="473"/>
        <item x="413"/>
        <item x="414"/>
        <item x="406"/>
        <item m="1" x="571"/>
        <item m="1" x="699"/>
        <item m="1" x="700"/>
        <item x="482"/>
        <item x="432"/>
        <item x="363"/>
        <item x="420"/>
        <item x="243"/>
        <item x="34"/>
        <item x="480"/>
        <item x="435"/>
        <item x="328"/>
        <item x="350"/>
        <item x="362"/>
        <item x="361"/>
        <item x="470"/>
        <item x="471"/>
        <item m="1" x="655"/>
        <item m="1" x="523"/>
        <item x="479"/>
        <item x="489"/>
        <item m="1" x="527"/>
        <item m="1" x="544"/>
        <item m="1" x="551"/>
        <item m="1" x="578"/>
        <item m="1" x="589"/>
        <item m="1" x="563"/>
        <item m="1" x="592"/>
        <item m="1" x="614"/>
        <item m="1" x="611"/>
        <item m="1" x="620"/>
        <item m="1" x="638"/>
        <item m="1" x="632"/>
        <item m="1" x="635"/>
        <item m="1" x="618"/>
        <item m="1" x="600"/>
        <item m="1" x="580"/>
        <item m="1" x="588"/>
        <item m="1" x="626"/>
        <item m="1" x="599"/>
        <item m="1" x="603"/>
        <item m="1" x="645"/>
        <item m="1" x="601"/>
        <item m="1" x="628"/>
        <item m="1" x="625"/>
        <item m="1" x="647"/>
        <item m="1" x="629"/>
        <item x="513"/>
        <item x="222"/>
        <item x="13"/>
      </items>
    </pivotField>
    <pivotField dataField="1"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axis="axisCol" compact="0" outline="0" multipleItemSelectionAllowed="1" showAll="0" defaultSubtotal="0">
      <items count="22">
        <item x="1"/>
        <item x="11"/>
        <item x="5"/>
        <item m="1" x="21"/>
        <item x="7"/>
        <item m="1" x="20"/>
        <item x="2"/>
        <item x="6"/>
        <item x="3"/>
        <item x="4"/>
        <item x="8"/>
        <item m="1" x="14"/>
        <item m="1" x="17"/>
        <item x="0"/>
        <item m="1" x="18"/>
        <item m="1" x="19"/>
        <item x="13"/>
        <item x="9"/>
        <item x="12"/>
        <item x="10"/>
        <item m="1" x="15"/>
        <item m="1" x="16"/>
      </items>
    </pivotField>
  </pivotFields>
  <rowFields count="2">
    <field x="3"/>
    <field x="4"/>
  </rowFields>
  <colFields count="1">
    <field x="16"/>
  </colFields>
  <pageFields count="2">
    <pageField fld="0" hier="-1"/>
    <pageField fld="2" hier="-1"/>
  </pageFields>
  <dataFields count="1">
    <dataField name="Toplam MIKTAR" fld="5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E47CA5D4-8724-4FD6-814F-BAB5F30BBD1B}" name="PivotTable1" cacheId="27" applyNumberFormats="0" applyBorderFormats="0" applyFontFormats="0" applyPatternFormats="0" applyAlignmentFormats="0" applyWidthHeightFormats="1" dataCaption="Değerler" updatedVersion="8" minRefreshableVersion="3" useAutoFormatting="1" itemPrintTitles="1" createdVersion="8" indent="0" outline="1" outlineData="1" multipleFieldFilters="0">
  <location ref="A3:B24" firstHeaderRow="1" firstDataRow="1" firstDataCol="1" rowPageCount="1" colPageCount="1"/>
  <pivotFields count="17">
    <pivotField axis="axisRow" showAll="0">
      <items count="370">
        <item m="1" x="334"/>
        <item m="1" x="335"/>
        <item m="1" x="366"/>
        <item m="1" x="276"/>
        <item m="1" x="304"/>
        <item m="1" x="324"/>
        <item m="1" x="325"/>
        <item m="1" x="362"/>
        <item m="1" x="363"/>
        <item m="1" x="269"/>
        <item m="1" x="367"/>
        <item m="1" x="365"/>
        <item m="1" x="368"/>
        <item m="1" x="236"/>
        <item m="1" x="360"/>
        <item m="1" x="310"/>
        <item m="1" x="358"/>
        <item m="1" x="364"/>
        <item m="1" x="302"/>
        <item m="1" x="333"/>
        <item m="1" x="326"/>
        <item m="1" x="327"/>
        <item m="1" x="328"/>
        <item m="1" x="332"/>
        <item m="1" x="305"/>
        <item m="1" x="306"/>
        <item m="1" x="307"/>
        <item m="1" x="308"/>
        <item m="1" x="329"/>
        <item m="1" x="330"/>
        <item m="1" x="331"/>
        <item m="1" x="315"/>
        <item m="1" x="313"/>
        <item m="1" x="314"/>
        <item m="1" x="311"/>
        <item m="1" x="312"/>
        <item m="1" x="336"/>
        <item m="1" x="337"/>
        <item m="1" x="338"/>
        <item m="1" x="339"/>
        <item m="1" x="340"/>
        <item m="1" x="350"/>
        <item m="1" x="353"/>
        <item m="1" x="354"/>
        <item m="1" x="355"/>
        <item m="1" x="347"/>
        <item m="1" x="348"/>
        <item m="1" x="349"/>
        <item m="1" x="341"/>
        <item m="1" x="351"/>
        <item m="1" x="352"/>
        <item m="1" x="342"/>
        <item m="1" x="343"/>
        <item m="1" x="344"/>
        <item m="1" x="356"/>
        <item m="1" x="345"/>
        <item m="1" x="346"/>
        <item m="1" x="242"/>
        <item m="1" x="243"/>
        <item m="1" x="244"/>
        <item m="1" x="359"/>
        <item m="1" x="245"/>
        <item m="1" x="265"/>
        <item m="1" x="322"/>
        <item m="1" x="323"/>
        <item m="1" x="237"/>
        <item m="1" x="246"/>
        <item m="1" x="361"/>
        <item m="1" x="298"/>
        <item m="1" x="292"/>
        <item m="1" x="294"/>
        <item m="1" x="295"/>
        <item m="1" x="296"/>
        <item m="1" x="297"/>
        <item m="1" x="309"/>
        <item m="1" x="289"/>
        <item m="1" x="290"/>
        <item m="1" x="291"/>
        <item m="1" x="301"/>
        <item m="1" x="316"/>
        <item m="1" x="317"/>
        <item m="1" x="318"/>
        <item m="1" x="271"/>
        <item m="1" x="272"/>
        <item m="1" x="273"/>
        <item m="1" x="274"/>
        <item m="1" x="270"/>
        <item m="1" x="300"/>
        <item m="1" x="357"/>
        <item m="1" x="319"/>
        <item m="1" x="320"/>
        <item m="1" x="321"/>
        <item m="1" x="279"/>
        <item m="1" x="288"/>
        <item m="1" x="303"/>
        <item m="1" x="231"/>
        <item m="1" x="232"/>
        <item m="1" x="225"/>
        <item m="1" x="217"/>
        <item m="1" x="218"/>
        <item m="1" x="252"/>
        <item m="1" x="248"/>
        <item m="1" x="249"/>
        <item m="1" x="267"/>
        <item m="1" x="250"/>
        <item m="1" x="251"/>
        <item m="1" x="229"/>
        <item m="1" x="275"/>
        <item m="1" x="268"/>
        <item m="1" x="293"/>
        <item m="1" x="247"/>
        <item m="1" x="266"/>
        <item m="1" x="299"/>
        <item m="1" x="278"/>
        <item m="1" x="277"/>
        <item m="1" x="284"/>
        <item m="1" x="285"/>
        <item m="1" x="280"/>
        <item m="1" x="281"/>
        <item m="1" x="253"/>
        <item m="1" x="239"/>
        <item m="1" x="240"/>
        <item m="1" x="241"/>
        <item m="1" x="230"/>
        <item m="1" x="282"/>
        <item m="1" x="283"/>
        <item m="1" x="286"/>
        <item m="1" x="228"/>
        <item m="1" x="287"/>
        <item m="1" x="258"/>
        <item m="1" x="257"/>
        <item m="1" x="256"/>
        <item m="1" x="260"/>
        <item m="1" x="254"/>
        <item m="1" x="255"/>
        <item m="1" x="235"/>
        <item m="1" x="234"/>
        <item m="1" x="259"/>
        <item m="1" x="262"/>
        <item m="1" x="263"/>
        <item m="1" x="264"/>
        <item m="1" x="261"/>
        <item m="1" x="233"/>
        <item m="1" x="211"/>
        <item m="1" x="212"/>
        <item m="1" x="213"/>
        <item m="1" x="214"/>
        <item m="1" x="215"/>
        <item m="1" x="216"/>
        <item m="1" x="219"/>
        <item m="1" x="220"/>
        <item m="1" x="221"/>
        <item m="1" x="222"/>
        <item m="1" x="223"/>
        <item m="1" x="224"/>
        <item m="1" x="226"/>
        <item m="1" x="227"/>
        <item m="1" x="238"/>
        <item m="1" x="156"/>
        <item m="1" x="139"/>
        <item m="1" x="166"/>
        <item m="1" x="170"/>
        <item m="1" x="171"/>
        <item m="1" x="172"/>
        <item m="1" x="173"/>
        <item m="1" x="174"/>
        <item m="1" x="175"/>
        <item m="1" x="176"/>
        <item m="1" x="177"/>
        <item m="1" x="178"/>
        <item m="1" x="179"/>
        <item m="1" x="180"/>
        <item m="1" x="181"/>
        <item m="1" x="182"/>
        <item m="1" x="183"/>
        <item m="1" x="184"/>
        <item m="1" x="185"/>
        <item m="1" x="186"/>
        <item m="1" x="187"/>
        <item m="1" x="188"/>
        <item m="1" x="189"/>
        <item m="1" x="190"/>
        <item m="1" x="164"/>
        <item m="1" x="191"/>
        <item m="1" x="192"/>
        <item m="1" x="193"/>
        <item m="1" x="194"/>
        <item m="1" x="195"/>
        <item m="1" x="196"/>
        <item m="1" x="197"/>
        <item m="1" x="198"/>
        <item m="1" x="199"/>
        <item m="1" x="200"/>
        <item m="1" x="201"/>
        <item m="1" x="202"/>
        <item m="1" x="203"/>
        <item m="1" x="204"/>
        <item m="1" x="205"/>
        <item m="1" x="111"/>
        <item m="1" x="162"/>
        <item m="1" x="142"/>
        <item m="1" x="206"/>
        <item m="1" x="169"/>
        <item m="1" x="168"/>
        <item m="1" x="163"/>
        <item m="1" x="140"/>
        <item m="1" x="165"/>
        <item m="1" x="114"/>
        <item m="1" x="135"/>
        <item m="1" x="110"/>
        <item m="1" x="207"/>
        <item m="1" x="141"/>
        <item m="1" x="148"/>
        <item m="1" x="161"/>
        <item m="1" x="151"/>
        <item m="1" x="158"/>
        <item m="1" x="153"/>
        <item m="1" x="149"/>
        <item m="1" x="157"/>
        <item m="1" x="147"/>
        <item m="1" x="112"/>
        <item m="1" x="146"/>
        <item m="1" x="159"/>
        <item m="1" x="208"/>
        <item m="1" x="167"/>
        <item m="1" x="143"/>
        <item m="1" x="144"/>
        <item m="1" x="129"/>
        <item m="1" x="209"/>
        <item m="1" x="210"/>
        <item m="1" x="120"/>
        <item m="1" x="125"/>
        <item m="1" x="160"/>
        <item m="1" x="123"/>
        <item m="1" x="121"/>
        <item m="1" x="128"/>
        <item m="1" x="122"/>
        <item m="1" x="118"/>
        <item m="1" x="131"/>
        <item m="1" x="150"/>
        <item m="1" x="152"/>
        <item m="1" x="154"/>
        <item m="1" x="113"/>
        <item m="1" x="124"/>
        <item m="1" x="145"/>
        <item m="1" x="136"/>
        <item m="1" x="134"/>
        <item m="1" x="115"/>
        <item m="1" x="116"/>
        <item m="1" x="117"/>
        <item m="1" x="155"/>
        <item m="1" x="106"/>
        <item m="1" x="108"/>
        <item m="1" x="107"/>
        <item m="1" x="132"/>
        <item m="1" x="130"/>
        <item m="1" x="133"/>
        <item m="1" x="138"/>
        <item m="1" x="137"/>
        <item m="1" x="127"/>
        <item m="1" x="102"/>
        <item m="1" x="126"/>
        <item m="1" x="119"/>
        <item m="1" x="103"/>
        <item m="1" x="100"/>
        <item m="1" x="105"/>
        <item m="1" x="104"/>
        <item m="1" x="84"/>
        <item m="1" x="98"/>
        <item m="1" x="97"/>
        <item m="1" x="89"/>
        <item m="1" x="92"/>
        <item m="1" x="86"/>
        <item m="1" x="95"/>
        <item m="1" x="87"/>
        <item m="1" x="91"/>
        <item m="1" x="90"/>
        <item m="1" x="88"/>
        <item m="1" x="101"/>
        <item m="1" x="99"/>
        <item m="1" x="79"/>
        <item m="1" x="93"/>
        <item m="1" x="77"/>
        <item m="1" x="78"/>
        <item m="1" x="85"/>
        <item m="1" x="80"/>
        <item m="1" x="81"/>
        <item m="1" x="83"/>
        <item m="1" x="82"/>
        <item m="1" x="94"/>
        <item m="1" x="109"/>
        <item m="1" x="96"/>
        <item m="1" x="69"/>
        <item m="1" x="75"/>
        <item m="1" x="73"/>
        <item m="1" x="76"/>
        <item m="1" x="71"/>
        <item m="1" x="70"/>
        <item m="1" x="72"/>
        <item m="1" x="60"/>
        <item m="1" x="64"/>
        <item m="1" x="61"/>
        <item m="1" x="46"/>
        <item m="1" x="45"/>
        <item m="1" x="63"/>
        <item m="1" x="59"/>
        <item m="1" x="65"/>
        <item m="1" x="66"/>
        <item m="1" x="74"/>
        <item m="1" x="67"/>
        <item m="1" x="68"/>
        <item m="1" x="44"/>
        <item m="1" x="43"/>
        <item m="1" x="47"/>
        <item m="1" x="55"/>
        <item m="1" x="54"/>
        <item m="1" x="57"/>
        <item m="1" x="56"/>
        <item m="1" x="62"/>
        <item m="1" x="53"/>
        <item m="1" x="48"/>
        <item m="1" x="52"/>
        <item m="1" x="41"/>
        <item m="1" x="38"/>
        <item m="1" x="49"/>
        <item m="1" x="40"/>
        <item m="1" x="50"/>
        <item m="1" x="42"/>
        <item m="1" x="51"/>
        <item m="1" x="39"/>
        <item m="1" x="30"/>
        <item m="1" x="33"/>
        <item m="1" x="58"/>
        <item m="1" x="28"/>
        <item m="1" x="31"/>
        <item m="1" x="34"/>
        <item m="1" x="35"/>
        <item m="1" x="29"/>
        <item m="1" x="36"/>
        <item m="1" x="37"/>
        <item m="1" x="24"/>
        <item m="1" x="21"/>
        <item m="1" x="32"/>
        <item m="1" x="27"/>
        <item m="1" x="25"/>
        <item m="1" x="22"/>
        <item m="1" x="26"/>
        <item m="1" x="20"/>
        <item m="1" x="23"/>
        <item x="19"/>
        <item x="16"/>
        <item x="4"/>
        <item x="6"/>
        <item x="3"/>
        <item x="7"/>
        <item x="1"/>
        <item x="2"/>
        <item x="14"/>
        <item x="17"/>
        <item x="12"/>
        <item x="5"/>
        <item x="9"/>
        <item x="8"/>
        <item x="15"/>
        <item x="13"/>
        <item x="10"/>
        <item x="11"/>
        <item x="18"/>
        <item x="0"/>
        <item t="default"/>
      </items>
    </pivotField>
    <pivotField showAll="0"/>
    <pivotField axis="axisPage" multipleItemSelectionAllowed="1" showAll="0">
      <items count="5">
        <item x="0"/>
        <item m="1" x="3"/>
        <item x="1"/>
        <item m="1" x="2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dataField="1" showAll="0"/>
    <pivotField showAll="0"/>
  </pivotFields>
  <rowFields count="1">
    <field x="0"/>
  </rowFields>
  <rowItems count="21">
    <i>
      <x v="349"/>
    </i>
    <i>
      <x v="350"/>
    </i>
    <i>
      <x v="351"/>
    </i>
    <i>
      <x v="352"/>
    </i>
    <i>
      <x v="353"/>
    </i>
    <i>
      <x v="354"/>
    </i>
    <i>
      <x v="355"/>
    </i>
    <i>
      <x v="356"/>
    </i>
    <i>
      <x v="357"/>
    </i>
    <i>
      <x v="358"/>
    </i>
    <i>
      <x v="359"/>
    </i>
    <i>
      <x v="360"/>
    </i>
    <i>
      <x v="361"/>
    </i>
    <i>
      <x v="362"/>
    </i>
    <i>
      <x v="363"/>
    </i>
    <i>
      <x v="364"/>
    </i>
    <i>
      <x v="365"/>
    </i>
    <i>
      <x v="366"/>
    </i>
    <i>
      <x v="367"/>
    </i>
    <i>
      <x v="368"/>
    </i>
    <i t="grand">
      <x/>
    </i>
  </rowItems>
  <colItems count="1">
    <i/>
  </colItems>
  <pageFields count="1">
    <pageField fld="2" hier="-1"/>
  </pageFields>
  <dataFields count="1">
    <dataField name="Toplam Maliyet" fld="15" baseField="0" baseItem="51"/>
  </dataFields>
  <formats count="2">
    <format dxfId="3">
      <pivotArea outline="0" collapsedLevelsAreSubtotals="1" fieldPosition="0"/>
    </format>
    <format dxfId="2">
      <pivotArea dataOnly="0" labelOnly="1" outline="0" axis="axisValues" fieldPosition="0"/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D50986EE-612D-4AE9-999D-3A82B5BD5F32}" name="PivotTable1" cacheId="27" applyNumberFormats="0" applyBorderFormats="0" applyFontFormats="0" applyPatternFormats="0" applyAlignmentFormats="0" applyWidthHeightFormats="1" dataCaption="Değerler" updatedVersion="8" minRefreshableVersion="3" useAutoFormatting="1" rowGrandTotals="0" colGrandTotals="0" itemPrintTitles="1" createdVersion="8" indent="0" compact="0" compactData="0" multipleFieldFilters="0">
  <location ref="A11:K528" firstHeaderRow="0" firstDataRow="1" firstDataCol="3"/>
  <pivotFields count="17">
    <pivotField compact="0" outline="0" multipleItemSelectionAllowed="1" showAll="0" defaultSubtotal="0"/>
    <pivotField compact="0" outline="0" showAll="0" defaultSubtotal="0"/>
    <pivotField compact="0" outline="0" multipleItemSelectionAllowed="1" showAll="0" defaultSubtotal="0"/>
    <pivotField axis="axisRow" compact="0" outline="0" showAll="0" sortType="descending" defaultSubtotal="0">
      <items count="1435">
        <item m="1" x="798"/>
        <item x="6"/>
        <item m="1" x="1092"/>
        <item m="1" x="1356"/>
        <item m="1" x="1129"/>
        <item x="261"/>
        <item x="342"/>
        <item x="111"/>
        <item x="313"/>
        <item x="386"/>
        <item m="1" x="1143"/>
        <item m="1" x="1149"/>
        <item m="1" x="1152"/>
        <item m="1" x="1410"/>
        <item x="16"/>
        <item m="1" x="984"/>
        <item x="154"/>
        <item x="175"/>
        <item m="1" x="1363"/>
        <item m="1" x="719"/>
        <item m="1" x="575"/>
        <item x="186"/>
        <item x="189"/>
        <item x="76"/>
        <item x="32"/>
        <item x="194"/>
        <item m="1" x="590"/>
        <item m="1" x="567"/>
        <item x="146"/>
        <item m="1" x="572"/>
        <item m="1" x="574"/>
        <item m="1" x="576"/>
        <item m="1" x="545"/>
        <item m="1" x="550"/>
        <item m="1" x="569"/>
        <item m="1" x="793"/>
        <item m="1" x="565"/>
        <item m="1" x="568"/>
        <item x="132"/>
        <item m="1" x="1268"/>
        <item m="1" x="1200"/>
        <item m="1" x="1099"/>
        <item m="1" x="943"/>
        <item m="1" x="950"/>
        <item x="294"/>
        <item m="1" x="1101"/>
        <item x="416"/>
        <item m="1" x="877"/>
        <item x="217"/>
        <item x="187"/>
        <item x="264"/>
        <item m="1" x="566"/>
        <item x="176"/>
        <item m="1" x="955"/>
        <item m="1" x="725"/>
        <item x="235"/>
        <item x="177"/>
        <item x="136"/>
        <item m="1" x="726"/>
        <item m="1" x="838"/>
        <item x="119"/>
        <item x="149"/>
        <item m="1" x="1093"/>
        <item m="1" x="1094"/>
        <item m="1" x="1095"/>
        <item m="1" x="1096"/>
        <item x="37"/>
        <item x="155"/>
        <item x="145"/>
        <item x="150"/>
        <item x="31"/>
        <item m="1" x="1369"/>
        <item m="1" x="1421"/>
        <item x="183"/>
        <item m="1" x="1097"/>
        <item m="1" x="1098"/>
        <item x="17"/>
        <item m="1" x="559"/>
        <item m="1" x="558"/>
        <item x="179"/>
        <item x="209"/>
        <item x="226"/>
        <item x="265"/>
        <item m="1" x="1100"/>
        <item m="1" x="818"/>
        <item m="1" x="840"/>
        <item x="181"/>
        <item x="218"/>
        <item x="144"/>
        <item m="1" x="964"/>
        <item m="1" x="561"/>
        <item x="344"/>
        <item m="1" x="592"/>
        <item x="407"/>
        <item m="1" x="1155"/>
        <item m="1" x="1140"/>
        <item m="1" x="1139"/>
        <item m="1" x="1285"/>
        <item m="1" x="1286"/>
        <item m="1" x="1138"/>
        <item m="1" x="1221"/>
        <item m="1" x="1391"/>
        <item m="1" x="1224"/>
        <item m="1" x="1390"/>
        <item m="1" x="1225"/>
        <item m="1" x="1287"/>
        <item m="1" x="1288"/>
        <item m="1" x="1289"/>
        <item m="1" x="1018"/>
        <item m="1" x="1290"/>
        <item m="1" x="1291"/>
        <item m="1" x="1021"/>
        <item m="1" x="1022"/>
        <item m="1" x="1023"/>
        <item m="1" x="1233"/>
        <item m="1" x="1292"/>
        <item m="1" x="1293"/>
        <item m="1" x="1236"/>
        <item m="1" x="1294"/>
        <item m="1" x="1030"/>
        <item m="1" x="1031"/>
        <item m="1" x="1032"/>
        <item m="1" x="1238"/>
        <item m="1" x="1295"/>
        <item m="1" x="966"/>
        <item m="1" x="1240"/>
        <item m="1" x="1241"/>
        <item m="1" x="1330"/>
        <item m="1" x="969"/>
        <item m="1" x="1242"/>
        <item m="1" x="1337"/>
        <item m="1" x="1038"/>
        <item m="1" x="1039"/>
        <item m="1" x="916"/>
        <item x="216"/>
        <item m="1" x="770"/>
        <item x="271"/>
        <item m="1" x="908"/>
        <item x="251"/>
        <item x="164"/>
        <item x="272"/>
        <item m="1" x="581"/>
        <item x="281"/>
        <item x="222"/>
        <item x="292"/>
        <item x="467"/>
        <item m="1" x="1102"/>
        <item m="1" x="1103"/>
        <item m="1" x="991"/>
        <item m="1" x="1104"/>
        <item x="485"/>
        <item x="499"/>
        <item x="278"/>
        <item x="39"/>
        <item x="22"/>
        <item x="18"/>
        <item x="101"/>
        <item x="49"/>
        <item x="113"/>
        <item x="80"/>
        <item m="1" x="530"/>
        <item x="87"/>
        <item x="33"/>
        <item x="23"/>
        <item m="1" x="1105"/>
        <item x="66"/>
        <item x="81"/>
        <item x="29"/>
        <item x="24"/>
        <item m="1" x="1106"/>
        <item x="79"/>
        <item x="13"/>
        <item x="128"/>
        <item x="121"/>
        <item m="1" x="773"/>
        <item x="26"/>
        <item m="1" x="1243"/>
        <item x="252"/>
        <item x="135"/>
        <item x="157"/>
        <item x="182"/>
        <item m="1" x="1134"/>
        <item x="306"/>
        <item m="1" x="1307"/>
        <item m="1" x="957"/>
        <item x="303"/>
        <item x="425"/>
        <item m="1" x="913"/>
        <item m="1" x="914"/>
        <item x="172"/>
        <item x="158"/>
        <item x="44"/>
        <item x="3"/>
        <item x="75"/>
        <item x="191"/>
        <item x="58"/>
        <item m="1" x="1426"/>
        <item m="1" x="1427"/>
        <item m="1" x="1120"/>
        <item x="340"/>
        <item x="86"/>
        <item m="1" x="907"/>
        <item x="67"/>
        <item x="11"/>
        <item x="68"/>
        <item m="1" x="537"/>
        <item x="116"/>
        <item x="63"/>
        <item x="223"/>
        <item x="96"/>
        <item m="1" x="1333"/>
        <item m="1" x="1046"/>
        <item m="1" x="1107"/>
        <item x="52"/>
        <item x="169"/>
        <item x="88"/>
        <item m="1" x="1108"/>
        <item m="1" x="542"/>
        <item m="1" x="706"/>
        <item x="125"/>
        <item x="7"/>
        <item x="14"/>
        <item m="1" x="1267"/>
        <item m="1" x="1334"/>
        <item x="503"/>
        <item m="1" x="541"/>
        <item m="1" x="867"/>
        <item m="1" x="1109"/>
        <item x="61"/>
        <item m="1" x="1412"/>
        <item x="9"/>
        <item x="82"/>
        <item m="1" x="1111"/>
        <item m="1" x="1047"/>
        <item m="1" x="1112"/>
        <item m="1" x="707"/>
        <item m="1" x="526"/>
        <item m="1" x="857"/>
        <item m="1" x="1115"/>
        <item m="1" x="1048"/>
        <item m="1" x="890"/>
        <item m="1" x="708"/>
        <item m="1" x="1117"/>
        <item m="1" x="822"/>
        <item m="1" x="1118"/>
        <item m="1" x="1244"/>
        <item m="1" x="533"/>
        <item x="41"/>
        <item m="1" x="1119"/>
        <item x="15"/>
        <item m="1" x="1245"/>
        <item x="114"/>
        <item m="1" x="578"/>
        <item m="1" x="1131"/>
        <item m="1" x="1430"/>
        <item m="1" x="1049"/>
        <item x="206"/>
        <item m="1" x="563"/>
        <item m="1" x="1349"/>
        <item m="1" x="1350"/>
        <item m="1" x="807"/>
        <item x="417"/>
        <item m="1" x="1338"/>
        <item m="1" x="1351"/>
        <item m="1" x="1147"/>
        <item m="1" x="1148"/>
        <item m="1" x="1352"/>
        <item x="310"/>
        <item m="1" x="810"/>
        <item m="1" x="1431"/>
        <item m="1" x="1151"/>
        <item m="1" x="1246"/>
        <item m="1" x="1359"/>
        <item x="260"/>
        <item x="283"/>
        <item m="1" x="782"/>
        <item x="290"/>
        <item x="343"/>
        <item m="1" x="582"/>
        <item x="314"/>
        <item m="1" x="868"/>
        <item m="1" x="1130"/>
        <item x="195"/>
        <item m="1" x="697"/>
        <item x="202"/>
        <item m="1" x="1310"/>
        <item m="1" x="1137"/>
        <item m="1" x="1308"/>
        <item m="1" x="1336"/>
        <item x="296"/>
        <item x="308"/>
        <item m="1" x="1309"/>
        <item m="1" x="1209"/>
        <item m="1" x="1128"/>
        <item x="43"/>
        <item x="196"/>
        <item m="1" x="1428"/>
        <item m="1" x="1247"/>
        <item x="93"/>
        <item x="106"/>
        <item x="268"/>
        <item x="54"/>
        <item x="197"/>
        <item x="289"/>
        <item x="70"/>
        <item m="1" x="552"/>
        <item x="98"/>
        <item x="277"/>
        <item x="224"/>
        <item x="174"/>
        <item x="276"/>
        <item x="165"/>
        <item x="237"/>
        <item x="103"/>
        <item x="424"/>
        <item x="300"/>
        <item m="1" x="1121"/>
        <item m="1" x="1122"/>
        <item m="1" x="1123"/>
        <item m="1" x="1248"/>
        <item x="89"/>
        <item x="45"/>
        <item x="233"/>
        <item x="108"/>
        <item m="1" x="1207"/>
        <item m="1" x="785"/>
        <item m="1" x="967"/>
        <item m="1" x="786"/>
        <item m="1" x="800"/>
        <item m="1" x="1208"/>
        <item m="1" x="1124"/>
        <item m="1" x="1125"/>
        <item m="1" x="564"/>
        <item m="1" x="1266"/>
        <item m="1" x="573"/>
        <item m="1" x="547"/>
        <item m="1" x="1126"/>
        <item x="255"/>
        <item x="94"/>
        <item x="273"/>
        <item x="279"/>
        <item x="254"/>
        <item m="1" x="1127"/>
        <item x="253"/>
        <item m="1" x="1185"/>
        <item m="1" x="893"/>
        <item m="1" x="894"/>
        <item x="267"/>
        <item m="1" x="1133"/>
        <item m="1" x="630"/>
        <item m="1" x="1211"/>
        <item x="228"/>
        <item x="451"/>
        <item m="1" x="1154"/>
        <item m="1" x="1150"/>
        <item m="1" x="1142"/>
        <item m="1" x="1141"/>
        <item m="1" x="898"/>
        <item m="1" x="948"/>
        <item m="1" x="946"/>
        <item x="312"/>
        <item m="1" x="1422"/>
        <item m="1" x="612"/>
        <item m="1" x="1432"/>
        <item x="385"/>
        <item m="1" x="1433"/>
        <item m="1" x="652"/>
        <item x="441"/>
        <item x="295"/>
        <item m="1" x="1434"/>
        <item m="1" x="1055"/>
        <item m="1" x="1217"/>
        <item m="1" x="1218"/>
        <item m="1" x="1219"/>
        <item m="1" x="1220"/>
        <item m="1" x="1222"/>
        <item m="1" x="1223"/>
        <item m="1" x="1226"/>
        <item m="1" x="1227"/>
        <item m="1" x="1228"/>
        <item m="1" x="1229"/>
        <item m="1" x="1230"/>
        <item m="1" x="1231"/>
        <item m="1" x="1232"/>
        <item m="1" x="1234"/>
        <item m="1" x="1235"/>
        <item m="1" x="1237"/>
        <item m="1" x="1239"/>
        <item m="1" x="1274"/>
        <item m="1" x="1275"/>
        <item m="1" x="1252"/>
        <item m="1" x="1253"/>
        <item m="1" x="1254"/>
        <item m="1" x="1276"/>
        <item m="1" x="1277"/>
        <item m="1" x="1278"/>
        <item m="1" x="1279"/>
        <item m="1" x="1280"/>
        <item m="1" x="1281"/>
        <item m="1" x="1282"/>
        <item m="1" x="1283"/>
        <item m="1" x="1284"/>
        <item m="1" x="1360"/>
        <item m="1" x="1405"/>
        <item x="97"/>
        <item m="1" x="1378"/>
        <item m="1" x="1377"/>
        <item m="1" x="1389"/>
        <item m="1" x="1375"/>
        <item m="1" x="1379"/>
        <item m="1" x="1387"/>
        <item m="1" x="1385"/>
        <item m="1" x="1383"/>
        <item m="1" x="1381"/>
        <item m="1" x="1382"/>
        <item m="1" x="1384"/>
        <item m="1" x="1380"/>
        <item m="1" x="1388"/>
        <item m="1" x="1374"/>
        <item m="1" x="1373"/>
        <item m="1" x="1376"/>
        <item m="1" x="1386"/>
        <item x="508"/>
        <item x="200"/>
        <item m="1" x="1411"/>
        <item m="1" x="1331"/>
        <item m="1" x="1365"/>
        <item m="1" x="1113"/>
        <item m="1" x="692"/>
        <item m="1" x="1271"/>
        <item x="266"/>
        <item x="293"/>
        <item x="201"/>
        <item x="309"/>
        <item m="1" x="1328"/>
        <item m="1" x="1409"/>
        <item x="395"/>
        <item x="170"/>
        <item m="1" x="1366"/>
        <item m="1" x="1367"/>
        <item m="1" x="1368"/>
        <item m="1" x="997"/>
        <item x="148"/>
        <item x="38"/>
        <item x="112"/>
        <item m="1" x="674"/>
        <item m="1" x="740"/>
        <item x="393"/>
        <item m="1" x="1370"/>
        <item m="1" x="1332"/>
        <item x="134"/>
        <item x="259"/>
        <item x="178"/>
        <item x="450"/>
        <item m="1" x="911"/>
        <item x="225"/>
        <item m="1" x="915"/>
        <item m="1" x="797"/>
        <item x="62"/>
        <item m="1" x="1297"/>
        <item x="53"/>
        <item m="1" x="1206"/>
        <item m="1" x="1362"/>
        <item m="1" x="1407"/>
        <item m="1" x="912"/>
        <item m="1" x="548"/>
        <item m="1" x="556"/>
        <item m="1" x="571"/>
        <item x="239"/>
        <item x="192"/>
        <item x="104"/>
        <item x="210"/>
        <item m="1" x="648"/>
        <item m="1" x="1272"/>
        <item m="1" x="1009"/>
        <item m="1" x="1010"/>
        <item m="1" x="1270"/>
        <item m="1" x="1269"/>
        <item m="1" x="1263"/>
        <item m="1" x="1392"/>
        <item m="1" x="1255"/>
        <item m="1" x="1393"/>
        <item m="1" x="1256"/>
        <item m="1" x="1394"/>
        <item m="1" x="1250"/>
        <item m="1" x="1395"/>
        <item m="1" x="1259"/>
        <item m="1" x="1396"/>
        <item m="1" x="1260"/>
        <item m="1" x="1397"/>
        <item m="1" x="1262"/>
        <item m="1" x="1398"/>
        <item m="1" x="1258"/>
        <item m="1" x="1399"/>
        <item m="1" x="1251"/>
        <item m="1" x="1400"/>
        <item m="1" x="1261"/>
        <item m="1" x="1401"/>
        <item m="1" x="1257"/>
        <item m="1" x="1402"/>
        <item m="1" x="1403"/>
        <item m="1" x="1404"/>
        <item m="1" x="982"/>
        <item m="1" x="1177"/>
        <item m="1" x="1329"/>
        <item m="1" x="1413"/>
        <item m="1" x="1302"/>
        <item m="1" x="1425"/>
        <item m="1" x="1144"/>
        <item m="1" x="1145"/>
        <item m="1" x="701"/>
        <item m="1" x="1146"/>
        <item m="1" x="1304"/>
        <item x="159"/>
        <item x="199"/>
        <item m="1" x="1415"/>
        <item x="167"/>
        <item m="1" x="1156"/>
        <item m="1" x="1158"/>
        <item m="1" x="1159"/>
        <item m="1" x="1160"/>
        <item m="1" x="1161"/>
        <item x="478"/>
        <item x="423"/>
        <item m="1" x="1162"/>
        <item m="1" x="1163"/>
        <item m="1" x="1164"/>
        <item m="1" x="1165"/>
        <item m="1" x="1166"/>
        <item m="1" x="1167"/>
        <item m="1" x="1168"/>
        <item m="1" x="1169"/>
        <item m="1" x="1408"/>
        <item m="1" x="1416"/>
        <item m="1" x="1417"/>
        <item m="1" x="1418"/>
        <item m="1" x="1419"/>
        <item m="1" x="1171"/>
        <item x="318"/>
        <item m="1" x="1305"/>
        <item m="1" x="1301"/>
        <item m="1" x="1172"/>
        <item x="433"/>
        <item m="1" x="1306"/>
        <item m="1" x="1423"/>
        <item m="1" x="1424"/>
        <item m="1" x="1173"/>
        <item m="1" x="1174"/>
        <item m="1" x="846"/>
        <item m="1" x="1300"/>
        <item m="1" x="1175"/>
        <item m="1" x="1176"/>
        <item m="1" x="593"/>
        <item m="1" x="1033"/>
        <item x="403"/>
        <item x="452"/>
        <item x="453"/>
        <item x="400"/>
        <item m="1" x="1020"/>
        <item m="1" x="1406"/>
        <item m="1" x="750"/>
        <item m="1" x="721"/>
        <item m="1" x="723"/>
        <item m="1" x="738"/>
        <item x="236"/>
        <item x="219"/>
        <item m="1" x="604"/>
        <item x="220"/>
        <item x="250"/>
        <item m="1" x="1312"/>
        <item m="1" x="942"/>
        <item x="284"/>
        <item x="123"/>
        <item x="42"/>
        <item x="10"/>
        <item m="1" x="823"/>
        <item m="1" x="1210"/>
        <item x="161"/>
        <item x="215"/>
        <item x="227"/>
        <item x="302"/>
        <item m="1" x="1429"/>
        <item x="198"/>
        <item m="1" x="1212"/>
        <item m="1" x="1213"/>
        <item x="20"/>
        <item x="426"/>
        <item m="1" x="1358"/>
        <item m="1" x="1414"/>
        <item m="1" x="1371"/>
        <item m="1" x="816"/>
        <item m="1" x="1249"/>
        <item m="1" x="1420"/>
        <item m="1" x="1153"/>
        <item m="1" x="776"/>
        <item m="1" x="980"/>
        <item m="1" x="814"/>
        <item m="1" x="1000"/>
        <item x="512"/>
        <item m="1" x="1315"/>
        <item m="1" x="1323"/>
        <item m="1" x="1324"/>
        <item m="1" x="1325"/>
        <item m="1" x="1316"/>
        <item m="1" x="1317"/>
        <item m="1" x="1326"/>
        <item m="1" x="1318"/>
        <item m="1" x="1319"/>
        <item m="1" x="1320"/>
        <item m="1" x="1321"/>
        <item m="1" x="1327"/>
        <item m="1" x="1322"/>
        <item m="1" x="1361"/>
        <item x="262"/>
        <item x="263"/>
        <item m="1" x="829"/>
        <item m="1" x="886"/>
        <item m="1" x="1083"/>
        <item m="1" x="906"/>
        <item m="1" x="900"/>
        <item m="1" x="520"/>
        <item m="1" x="519"/>
        <item m="1" x="758"/>
        <item m="1" x="965"/>
        <item x="240"/>
        <item m="1" x="985"/>
        <item m="1" x="947"/>
        <item m="1" x="902"/>
        <item m="1" x="974"/>
        <item m="1" x="976"/>
        <item m="1" x="978"/>
        <item m="1" x="963"/>
        <item m="1" x="1348"/>
        <item x="180"/>
        <item m="1" x="1335"/>
        <item m="1" x="1314"/>
        <item m="1" x="1372"/>
        <item m="1" x="1264"/>
        <item m="1" x="577"/>
        <item m="1" x="1353"/>
        <item m="1" x="1354"/>
        <item m="1" x="1181"/>
        <item m="1" x="1355"/>
        <item m="1" x="1339"/>
        <item m="1" x="1340"/>
        <item m="1" x="1341"/>
        <item m="1" x="1342"/>
        <item m="1" x="1343"/>
        <item m="1" x="1344"/>
        <item m="1" x="1345"/>
        <item m="1" x="1346"/>
        <item m="1" x="1347"/>
        <item m="1" x="1296"/>
        <item m="1" x="594"/>
        <item x="356"/>
        <item x="153"/>
        <item x="211"/>
        <item m="1" x="1357"/>
        <item x="110"/>
        <item x="64"/>
        <item x="117"/>
        <item x="256"/>
        <item x="95"/>
        <item m="1" x="1364"/>
        <item x="2"/>
        <item m="1" x="1136"/>
        <item m="1" x="1265"/>
        <item m="1" x="1012"/>
        <item m="1" x="1014"/>
        <item m="1" x="1303"/>
        <item x="378"/>
        <item x="301"/>
        <item x="355"/>
        <item m="1" x="1028"/>
        <item m="1" x="1132"/>
        <item m="1" x="606"/>
        <item x="330"/>
        <item m="1" x="1024"/>
        <item m="1" x="1025"/>
        <item m="1" x="1026"/>
        <item m="1" x="1184"/>
        <item m="1" x="903"/>
        <item m="1" x="905"/>
        <item m="1" x="1077"/>
        <item m="1" x="1186"/>
        <item m="1" x="901"/>
        <item m="1" x="954"/>
        <item m="1" x="949"/>
        <item m="1" x="1074"/>
        <item m="1" x="1273"/>
        <item m="1" x="1299"/>
        <item m="1" x="1193"/>
        <item m="1" x="664"/>
        <item x="427"/>
        <item x="100"/>
        <item m="1" x="910"/>
        <item x="84"/>
        <item m="1" x="682"/>
        <item x="246"/>
        <item m="1" x="644"/>
        <item x="445"/>
        <item x="221"/>
        <item x="444"/>
        <item m="1" x="772"/>
        <item x="305"/>
        <item x="85"/>
        <item m="1" x="919"/>
        <item x="25"/>
        <item m="1" x="817"/>
        <item m="1" x="536"/>
        <item m="1" x="705"/>
        <item x="30"/>
        <item x="72"/>
        <item m="1" x="1214"/>
        <item x="12"/>
        <item x="77"/>
        <item x="28"/>
        <item x="205"/>
        <item m="1" x="1311"/>
        <item m="1" x="659"/>
        <item x="184"/>
        <item x="229"/>
        <item m="1" x="918"/>
        <item x="47"/>
        <item x="280"/>
        <item x="371"/>
        <item x="105"/>
        <item x="73"/>
        <item m="1" x="529"/>
        <item m="1" x="522"/>
        <item m="1" x="583"/>
        <item m="1" x="672"/>
        <item x="502"/>
        <item x="500"/>
        <item x="507"/>
        <item x="516"/>
        <item x="496"/>
        <item x="383"/>
        <item x="366"/>
        <item x="297"/>
        <item x="213"/>
        <item x="428"/>
        <item m="1" x="752"/>
        <item m="1" x="553"/>
        <item m="1" x="615"/>
        <item m="1" x="1089"/>
        <item m="1" x="621"/>
        <item x="91"/>
        <item m="1" x="1088"/>
        <item x="139"/>
        <item m="1" x="584"/>
        <item m="1" x="540"/>
        <item m="1" x="610"/>
        <item m="1" x="554"/>
        <item x="83"/>
        <item x="369"/>
        <item m="1" x="1201"/>
        <item x="137"/>
        <item x="415"/>
        <item x="248"/>
        <item x="320"/>
        <item x="133"/>
        <item x="151"/>
        <item m="1" x="769"/>
        <item m="1" x="1204"/>
        <item m="1" x="959"/>
        <item m="1" x="917"/>
        <item m="1" x="1313"/>
        <item m="1" x="605"/>
        <item m="1" x="767"/>
        <item m="1" x="792"/>
        <item x="60"/>
        <item m="1" x="1180"/>
        <item m="1" x="1041"/>
        <item x="65"/>
        <item m="1" x="1179"/>
        <item m="1" x="539"/>
        <item m="1" x="1027"/>
        <item m="1" x="1135"/>
        <item m="1" x="1056"/>
        <item m="1" x="1079"/>
        <item m="1" x="1084"/>
        <item x="372"/>
        <item x="331"/>
        <item x="231"/>
        <item m="1" x="741"/>
        <item m="1" x="1110"/>
        <item m="1" x="1298"/>
        <item m="1" x="1085"/>
        <item m="1" x="1086"/>
        <item m="1" x="904"/>
        <item m="1" x="716"/>
        <item m="1" x="1034"/>
        <item m="1" x="1015"/>
        <item m="1" x="1091"/>
        <item m="1" x="1081"/>
        <item m="1" x="951"/>
        <item m="1" x="899"/>
        <item m="1" x="882"/>
        <item m="1" x="1007"/>
        <item m="1" x="884"/>
        <item m="1" x="1008"/>
        <item m="1" x="885"/>
        <item m="1" x="1019"/>
        <item m="1" x="998"/>
        <item m="1" x="1001"/>
        <item m="1" x="878"/>
        <item m="1" x="535"/>
        <item m="1" x="973"/>
        <item m="1" x="1114"/>
        <item m="1" x="1116"/>
        <item m="1" x="1045"/>
        <item x="147"/>
        <item x="163"/>
        <item x="193"/>
        <item m="1" x="580"/>
        <item m="1" x="627"/>
        <item m="1" x="999"/>
        <item m="1" x="1068"/>
        <item m="1" x="602"/>
        <item x="492"/>
        <item m="1" x="557"/>
        <item m="1" x="1040"/>
        <item m="1" x="1051"/>
        <item m="1" x="1052"/>
        <item x="188"/>
        <item m="1" x="1053"/>
        <item m="1" x="1054"/>
        <item m="1" x="639"/>
        <item m="1" x="1002"/>
        <item m="1" x="1157"/>
        <item m="1" x="1170"/>
        <item m="1" x="636"/>
        <item m="1" x="611"/>
        <item m="1" x="608"/>
        <item m="1" x="1178"/>
        <item x="443"/>
        <item x="401"/>
        <item x="373"/>
        <item x="367"/>
        <item x="324"/>
        <item x="337"/>
        <item x="321"/>
        <item x="338"/>
        <item m="1" x="693"/>
        <item x="454"/>
        <item m="1" x="595"/>
        <item x="288"/>
        <item m="1" x="589"/>
        <item m="1" x="1182"/>
        <item m="1" x="1183"/>
        <item m="1" x="734"/>
        <item m="1" x="1057"/>
        <item m="1" x="597"/>
        <item m="1" x="952"/>
        <item m="1" x="1187"/>
        <item m="1" x="618"/>
        <item m="1" x="1058"/>
        <item m="1" x="1188"/>
        <item m="1" x="1189"/>
        <item m="1" x="1190"/>
        <item m="1" x="1191"/>
        <item m="1" x="1192"/>
        <item m="1" x="1194"/>
        <item m="1" x="1059"/>
        <item m="1" x="1060"/>
        <item x="399"/>
        <item m="1" x="813"/>
        <item m="1" x="1195"/>
        <item m="1" x="598"/>
        <item m="1" x="624"/>
        <item m="1" x="653"/>
        <item x="336"/>
        <item m="1" x="1003"/>
        <item m="1" x="1196"/>
        <item m="1" x="1006"/>
        <item m="1" x="1061"/>
        <item m="1" x="1197"/>
        <item m="1" x="1198"/>
        <item m="1" x="1004"/>
        <item x="388"/>
        <item x="358"/>
        <item m="1" x="1199"/>
        <item m="1" x="1016"/>
        <item m="1" x="887"/>
        <item m="1" x="883"/>
        <item m="1" x="1011"/>
        <item m="1" x="881"/>
        <item m="1" x="1087"/>
        <item m="1" x="1202"/>
        <item m="1" x="1203"/>
        <item m="1" x="1205"/>
        <item m="1" x="524"/>
        <item x="8"/>
        <item x="69"/>
        <item x="107"/>
        <item x="285"/>
        <item x="143"/>
        <item m="1" x="993"/>
        <item m="1" x="992"/>
        <item x="357"/>
        <item x="156"/>
        <item x="140"/>
        <item x="322"/>
        <item m="1" x="994"/>
        <item m="1" x="794"/>
        <item x="129"/>
        <item x="185"/>
        <item x="304"/>
        <item x="376"/>
        <item x="384"/>
        <item x="370"/>
        <item x="160"/>
        <item m="1" x="774"/>
        <item m="1" x="613"/>
        <item x="374"/>
        <item m="1" x="633"/>
        <item x="394"/>
        <item x="381"/>
        <item m="1" x="1215"/>
        <item m="1" x="1216"/>
        <item m="1" x="958"/>
        <item m="1" x="956"/>
        <item m="1" x="972"/>
        <item m="1" x="871"/>
        <item m="1" x="872"/>
        <item x="40"/>
        <item x="0"/>
        <item x="78"/>
        <item m="1" x="873"/>
        <item m="1" x="815"/>
        <item m="1" x="667"/>
        <item m="1" x="874"/>
        <item m="1" x="875"/>
        <item m="1" x="975"/>
        <item m="1" x="971"/>
        <item m="1" x="839"/>
        <item m="1" x="876"/>
        <item m="1" x="742"/>
        <item m="1" x="743"/>
        <item m="1" x="831"/>
        <item m="1" x="990"/>
        <item x="36"/>
        <item x="122"/>
        <item m="1" x="941"/>
        <item m="1" x="983"/>
        <item m="1" x="995"/>
        <item m="1" x="717"/>
        <item m="1" x="981"/>
        <item x="311"/>
        <item m="1" x="768"/>
        <item x="48"/>
        <item x="1"/>
        <item m="1" x="945"/>
        <item m="1" x="996"/>
        <item m="1" x="739"/>
        <item m="1" x="720"/>
        <item m="1" x="746"/>
        <item x="21"/>
        <item x="90"/>
        <item m="1" x="749"/>
        <item x="131"/>
        <item x="316"/>
        <item m="1" x="727"/>
        <item x="402"/>
        <item x="446"/>
        <item x="391"/>
        <item x="475"/>
        <item m="1" x="799"/>
        <item m="1" x="747"/>
        <item m="1" x="637"/>
        <item m="1" x="879"/>
        <item x="274"/>
        <item m="1" x="880"/>
        <item m="1" x="1005"/>
        <item m="1" x="936"/>
        <item x="171"/>
        <item x="429"/>
        <item m="1" x="622"/>
        <item x="447"/>
        <item x="430"/>
        <item m="1" x="654"/>
        <item m="1" x="703"/>
        <item m="1" x="704"/>
        <item m="1" x="811"/>
        <item m="1" x="1013"/>
        <item m="1" x="1017"/>
        <item m="1" x="1029"/>
        <item m="1" x="1035"/>
        <item m="1" x="1036"/>
        <item m="1" x="1037"/>
        <item x="249"/>
        <item x="234"/>
        <item m="1" x="753"/>
        <item x="257"/>
        <item m="1" x="676"/>
        <item x="204"/>
        <item m="1" x="820"/>
        <item m="1" x="677"/>
        <item x="247"/>
        <item x="258"/>
        <item x="368"/>
        <item x="440"/>
        <item m="1" x="821"/>
        <item x="459"/>
        <item x="282"/>
        <item m="1" x="678"/>
        <item m="1" x="771"/>
        <item x="5"/>
        <item x="35"/>
        <item x="19"/>
        <item x="27"/>
        <item x="120"/>
        <item x="51"/>
        <item m="1" x="681"/>
        <item x="57"/>
        <item m="1" x="729"/>
        <item x="118"/>
        <item x="244"/>
        <item x="232"/>
        <item x="230"/>
        <item m="1" x="745"/>
        <item x="241"/>
        <item x="214"/>
        <item x="208"/>
        <item m="1" x="927"/>
        <item x="141"/>
        <item x="493"/>
        <item x="190"/>
        <item x="334"/>
        <item x="317"/>
        <item x="365"/>
        <item x="270"/>
        <item x="323"/>
        <item x="212"/>
        <item m="1" x="944"/>
        <item x="287"/>
        <item x="329"/>
        <item x="207"/>
        <item m="1" x="666"/>
        <item x="345"/>
        <item x="382"/>
        <item m="1" x="1042"/>
        <item m="1" x="1043"/>
        <item m="1" x="534"/>
        <item x="494"/>
        <item m="1" x="888"/>
        <item m="1" x="732"/>
        <item x="483"/>
        <item x="74"/>
        <item x="127"/>
        <item m="1" x="805"/>
        <item m="1" x="665"/>
        <item x="497"/>
        <item x="434"/>
        <item m="1" x="977"/>
        <item m="1" x="795"/>
        <item m="1" x="865"/>
        <item m="1" x="828"/>
        <item m="1" x="988"/>
        <item m="1" x="889"/>
        <item m="1" x="1044"/>
        <item m="1" x="866"/>
        <item m="1" x="777"/>
        <item x="315"/>
        <item m="1" x="733"/>
        <item m="1" x="953"/>
        <item x="465"/>
        <item m="1" x="756"/>
        <item x="275"/>
        <item x="468"/>
        <item x="99"/>
        <item m="1" x="832"/>
        <item x="405"/>
        <item m="1" x="987"/>
        <item x="392"/>
        <item x="495"/>
        <item x="109"/>
        <item m="1" x="710"/>
        <item x="142"/>
        <item m="1" x="1050"/>
        <item m="1" x="779"/>
        <item m="1" x="1062"/>
        <item m="1" x="543"/>
        <item m="1" x="538"/>
        <item m="1" x="1063"/>
        <item m="1" x="1064"/>
        <item m="1" x="1065"/>
        <item x="389"/>
        <item m="1" x="1066"/>
        <item m="1" x="891"/>
        <item x="115"/>
        <item x="408"/>
        <item x="332"/>
        <item x="359"/>
        <item x="396"/>
        <item m="1" x="931"/>
        <item m="1" x="1067"/>
        <item m="1" x="833"/>
        <item x="353"/>
        <item x="326"/>
        <item x="347"/>
        <item x="460"/>
        <item x="410"/>
        <item m="1" x="861"/>
        <item m="1" x="933"/>
        <item x="398"/>
        <item x="377"/>
        <item m="1" x="809"/>
        <item m="1" x="640"/>
        <item x="438"/>
        <item x="325"/>
        <item x="375"/>
        <item m="1" x="532"/>
        <item m="1" x="783"/>
        <item x="102"/>
        <item m="1" x="759"/>
        <item m="1" x="546"/>
        <item x="130"/>
        <item x="162"/>
        <item m="1" x="784"/>
        <item x="4"/>
        <item m="1" x="892"/>
        <item m="1" x="1069"/>
        <item m="1" x="895"/>
        <item m="1" x="970"/>
        <item m="1" x="896"/>
        <item m="1" x="1070"/>
        <item m="1" x="1071"/>
        <item m="1" x="650"/>
        <item x="448"/>
        <item m="1" x="830"/>
        <item m="1" x="989"/>
        <item m="1" x="940"/>
        <item m="1" x="1072"/>
        <item m="1" x="1073"/>
        <item m="1" x="897"/>
        <item m="1" x="968"/>
        <item x="484"/>
        <item m="1" x="1075"/>
        <item m="1" x="1076"/>
        <item m="1" x="1078"/>
        <item m="1" x="1080"/>
        <item m="1" x="1082"/>
        <item x="291"/>
        <item m="1" x="528"/>
        <item m="1" x="523"/>
        <item x="50"/>
        <item m="1" x="544"/>
        <item m="1" x="586"/>
        <item m="1" x="560"/>
        <item m="1" x="607"/>
        <item m="1" x="643"/>
        <item m="1" x="623"/>
        <item m="1" x="1090"/>
        <item m="1" x="551"/>
        <item m="1" x="555"/>
        <item m="1" x="570"/>
        <item m="1" x="909"/>
        <item x="92"/>
        <item x="335"/>
        <item m="1" x="585"/>
        <item m="1" x="694"/>
        <item m="1" x="796"/>
        <item x="124"/>
        <item m="1" x="517"/>
        <item m="1" x="960"/>
        <item m="1" x="711"/>
        <item m="1" x="934"/>
        <item m="1" x="939"/>
        <item m="1" x="929"/>
        <item m="1" x="937"/>
        <item m="1" x="979"/>
        <item m="1" x="715"/>
        <item x="56"/>
        <item m="1" x="714"/>
        <item m="1" x="938"/>
        <item x="307"/>
        <item x="138"/>
        <item m="1" x="925"/>
        <item m="1" x="986"/>
        <item m="1" x="724"/>
        <item m="1" x="722"/>
        <item m="1" x="728"/>
        <item m="1" x="660"/>
        <item m="1" x="930"/>
        <item m="1" x="709"/>
        <item x="455"/>
        <item m="1" x="962"/>
        <item x="298"/>
        <item m="1" x="646"/>
        <item x="299"/>
        <item m="1" x="825"/>
        <item x="349"/>
        <item m="1" x="961"/>
        <item x="506"/>
        <item x="387"/>
        <item m="1" x="754"/>
        <item x="327"/>
        <item m="1" x="744"/>
        <item x="55"/>
        <item x="245"/>
        <item x="341"/>
        <item x="152"/>
        <item m="1" x="921"/>
        <item m="1" x="923"/>
        <item x="319"/>
        <item m="1" x="702"/>
        <item x="476"/>
        <item x="404"/>
        <item m="1" x="713"/>
        <item m="1" x="924"/>
        <item m="1" x="819"/>
        <item m="1" x="854"/>
        <item m="1" x="855"/>
        <item m="1" x="679"/>
        <item m="1" x="863"/>
        <item m="1" x="680"/>
        <item m="1" x="926"/>
        <item x="46"/>
        <item m="1" x="864"/>
        <item sd="0" m="1" x="791"/>
        <item m="1" x="826"/>
        <item m="1" x="827"/>
        <item m="1" x="928"/>
        <item x="168"/>
        <item m="1" x="731"/>
        <item m="1" x="687"/>
        <item x="390"/>
        <item x="514"/>
        <item m="1" x="737"/>
        <item x="449"/>
        <item x="442"/>
        <item x="464"/>
        <item x="486"/>
        <item x="419"/>
        <item x="439"/>
        <item m="1" x="935"/>
        <item x="346"/>
        <item x="409"/>
        <item x="504"/>
        <item x="488"/>
        <item m="1" x="862"/>
        <item x="511"/>
        <item m="1" x="920"/>
        <item m="1" x="922"/>
        <item m="1" x="932"/>
        <item x="509"/>
        <item x="286"/>
        <item m="1" x="870"/>
        <item x="397"/>
        <item m="1" x="641"/>
        <item x="469"/>
        <item x="481"/>
        <item m="1" x="642"/>
        <item x="487"/>
        <item m="1" x="730"/>
        <item m="1" x="631"/>
        <item m="1" x="841"/>
        <item x="418"/>
        <item x="461"/>
        <item m="1" x="685"/>
        <item m="1" x="869"/>
        <item m="1" x="824"/>
        <item m="1" x="860"/>
        <item m="1" x="844"/>
        <item m="1" x="836"/>
        <item m="1" x="834"/>
        <item m="1" x="848"/>
        <item x="203"/>
        <item m="1" x="850"/>
        <item m="1" x="851"/>
        <item m="1" x="852"/>
        <item m="1" x="853"/>
        <item m="1" x="518"/>
        <item m="1" x="858"/>
        <item m="1" x="835"/>
        <item m="1" x="837"/>
        <item m="1" x="849"/>
        <item m="1" x="856"/>
        <item m="1" x="859"/>
        <item m="1" x="751"/>
        <item m="1" x="748"/>
        <item x="126"/>
        <item m="1" x="812"/>
        <item m="1" x="755"/>
        <item x="348"/>
        <item x="436"/>
        <item x="422"/>
        <item m="1" x="695"/>
        <item x="462"/>
        <item x="351"/>
        <item m="1" x="696"/>
        <item m="1" x="735"/>
        <item x="490"/>
        <item m="1" x="842"/>
        <item m="1" x="843"/>
        <item m="1" x="845"/>
        <item m="1" x="847"/>
        <item m="1" x="661"/>
        <item x="379"/>
        <item x="501"/>
        <item m="1" x="736"/>
        <item x="352"/>
        <item m="1" x="712"/>
        <item m="1" x="757"/>
        <item x="166"/>
        <item x="510"/>
        <item m="1" x="651"/>
        <item m="1" x="808"/>
        <item x="333"/>
        <item x="411"/>
        <item x="515"/>
        <item m="1" x="760"/>
        <item m="1" x="668"/>
        <item m="1" x="761"/>
        <item m="1" x="669"/>
        <item m="1" x="762"/>
        <item m="1" x="763"/>
        <item m="1" x="764"/>
        <item m="1" x="765"/>
        <item m="1" x="766"/>
        <item m="1" x="802"/>
        <item m="1" x="675"/>
        <item m="1" x="683"/>
        <item m="1" x="684"/>
        <item m="1" x="686"/>
        <item m="1" x="775"/>
        <item m="1" x="688"/>
        <item m="1" x="689"/>
        <item m="1" x="690"/>
        <item m="1" x="778"/>
        <item m="1" x="691"/>
        <item x="364"/>
        <item m="1" x="787"/>
        <item m="1" x="788"/>
        <item m="1" x="790"/>
        <item x="437"/>
        <item x="491"/>
        <item x="242"/>
        <item x="269"/>
        <item x="477"/>
        <item m="1" x="803"/>
        <item x="431"/>
        <item x="474"/>
        <item m="1" x="698"/>
        <item x="458"/>
        <item x="463"/>
        <item x="412"/>
        <item m="1" x="801"/>
        <item m="1" x="673"/>
        <item m="1" x="804"/>
        <item x="421"/>
        <item m="1" x="780"/>
        <item m="1" x="781"/>
        <item m="1" x="806"/>
        <item x="505"/>
        <item m="1" x="789"/>
        <item x="71"/>
        <item x="498"/>
        <item m="1" x="671"/>
        <item x="456"/>
        <item x="173"/>
        <item x="354"/>
        <item x="339"/>
        <item x="472"/>
        <item x="466"/>
        <item x="380"/>
        <item m="1" x="718"/>
        <item m="1" x="596"/>
        <item x="360"/>
        <item m="1" x="670"/>
        <item x="59"/>
        <item m="1" x="649"/>
        <item m="1" x="609"/>
        <item m="1" x="656"/>
        <item m="1" x="616"/>
        <item m="1" x="657"/>
        <item m="1" x="658"/>
        <item x="457"/>
        <item m="1" x="619"/>
        <item x="238"/>
        <item m="1" x="662"/>
        <item m="1" x="663"/>
        <item m="1" x="634"/>
        <item m="1" x="617"/>
        <item x="473"/>
        <item x="413"/>
        <item x="414"/>
        <item x="406"/>
        <item m="1" x="699"/>
        <item m="1" x="700"/>
        <item x="482"/>
        <item x="432"/>
        <item x="363"/>
        <item x="420"/>
        <item x="243"/>
        <item x="34"/>
        <item x="480"/>
        <item x="435"/>
        <item x="328"/>
        <item x="350"/>
        <item x="362"/>
        <item x="361"/>
        <item x="470"/>
        <item x="471"/>
        <item m="1" x="655"/>
        <item m="1" x="521"/>
        <item x="479"/>
        <item x="489"/>
        <item m="1" x="531"/>
        <item m="1" x="527"/>
        <item m="1" x="525"/>
        <item m="1" x="549"/>
        <item m="1" x="588"/>
        <item m="1" x="562"/>
        <item m="1" x="591"/>
        <item m="1" x="614"/>
        <item m="1" x="620"/>
        <item m="1" x="638"/>
        <item m="1" x="632"/>
        <item m="1" x="635"/>
        <item m="1" x="600"/>
        <item m="1" x="579"/>
        <item m="1" x="587"/>
        <item m="1" x="626"/>
        <item m="1" x="599"/>
        <item m="1" x="603"/>
        <item m="1" x="645"/>
        <item m="1" x="601"/>
        <item m="1" x="628"/>
        <item m="1" x="625"/>
        <item m="1" x="647"/>
        <item m="1" x="629"/>
        <item x="513"/>
      </items>
      <autoSortScope>
        <pivotArea dataOnly="0" outline="0" fieldPosition="0">
          <references count="1">
            <reference field="4294967294" count="1" selected="0">
              <x v="5"/>
            </reference>
          </references>
        </pivotArea>
      </autoSortScope>
    </pivotField>
    <pivotField axis="axisRow" compact="0" outline="0" showAll="0" sortType="ascending" defaultSubtotal="0">
      <items count="1530">
        <item m="1" x="649"/>
        <item m="1" x="609"/>
        <item m="1" x="616"/>
        <item m="1" x="517"/>
        <item x="13"/>
        <item m="1" x="518"/>
        <item m="1" x="710"/>
        <item m="1" x="668"/>
        <item m="1" x="1217"/>
        <item m="1" x="776"/>
        <item x="419"/>
        <item m="1" x="974"/>
        <item m="1" x="977"/>
        <item m="1" x="689"/>
        <item m="1" x="731"/>
        <item x="100"/>
        <item m="1" x="1132"/>
        <item m="1" x="1014"/>
        <item x="42"/>
        <item x="263"/>
        <item m="1" x="1161"/>
        <item m="1" x="1073"/>
        <item m="1" x="1189"/>
        <item m="1" x="611"/>
        <item m="1" x="1462"/>
        <item m="1" x="1455"/>
        <item m="1" x="786"/>
        <item m="1" x="839"/>
        <item m="1" x="598"/>
        <item x="119"/>
        <item m="1" x="1356"/>
        <item x="294"/>
        <item x="369"/>
        <item m="1" x="541"/>
        <item m="1" x="664"/>
        <item x="193"/>
        <item m="1" x="1011"/>
        <item x="437"/>
        <item m="1" x="622"/>
        <item x="299"/>
        <item m="1" x="848"/>
        <item m="1" x="711"/>
        <item x="298"/>
        <item m="1" x="607"/>
        <item m="1" x="1276"/>
        <item m="1" x="1424"/>
        <item m="1" x="1319"/>
        <item m="1" x="1246"/>
        <item m="1" x="1423"/>
        <item m="1" x="1320"/>
        <item m="1" x="1247"/>
        <item m="1" x="984"/>
        <item m="1" x="1464"/>
        <item x="185"/>
        <item x="280"/>
        <item m="1" x="605"/>
        <item m="1" x="767"/>
        <item m="1" x="1371"/>
        <item m="1" x="1412"/>
        <item m="1" x="1413"/>
        <item m="1" x="1489"/>
        <item m="1" x="1004"/>
        <item m="1" x="1007"/>
        <item m="1" x="1490"/>
        <item m="1" x="1484"/>
        <item m="1" x="860"/>
        <item x="468"/>
        <item m="1" x="1527"/>
        <item x="424"/>
        <item m="1" x="571"/>
        <item x="451"/>
        <item m="1" x="795"/>
        <item x="300"/>
        <item m="1" x="1098"/>
        <item x="142"/>
        <item m="1" x="834"/>
        <item x="473"/>
        <item x="480"/>
        <item m="1" x="1172"/>
        <item x="331"/>
        <item x="372"/>
        <item m="1" x="1239"/>
        <item m="1" x="652"/>
        <item m="1" x="1240"/>
        <item x="371"/>
        <item x="325"/>
        <item x="482"/>
        <item x="389"/>
        <item m="1" x="673"/>
        <item m="1" x="1279"/>
        <item x="408"/>
        <item m="1" x="665"/>
        <item x="149"/>
        <item m="1" x="806"/>
        <item x="494"/>
        <item m="1" x="818"/>
        <item m="1" x="1114"/>
        <item m="1" x="810"/>
        <item x="474"/>
        <item x="511"/>
        <item m="1" x="891"/>
        <item x="262"/>
        <item m="1" x="1056"/>
        <item x="228"/>
        <item m="1" x="754"/>
        <item m="1" x="752"/>
        <item x="71"/>
        <item x="96"/>
        <item x="219"/>
        <item m="1" x="921"/>
        <item x="238"/>
        <item x="216"/>
        <item m="1" x="604"/>
        <item m="1" x="610"/>
        <item x="212"/>
        <item x="323"/>
        <item x="249"/>
        <item x="234"/>
        <item x="256"/>
        <item m="1" x="1421"/>
        <item m="1" x="1357"/>
        <item m="1" x="1249"/>
        <item m="1" x="1437"/>
        <item m="1" x="1363"/>
        <item m="1" x="1253"/>
        <item m="1" x="1435"/>
        <item m="1" x="1361"/>
        <item m="1" x="1248"/>
        <item m="1" x="1425"/>
        <item m="1" x="1365"/>
        <item m="1" x="1252"/>
        <item m="1" x="1277"/>
        <item m="1" x="1313"/>
        <item m="1" x="1289"/>
        <item m="1" x="1316"/>
        <item m="1" x="1292"/>
        <item m="1" x="1441"/>
        <item m="1" x="1308"/>
        <item m="1" x="1281"/>
        <item m="1" x="1448"/>
        <item m="1" x="1283"/>
        <item m="1" x="1445"/>
        <item m="1" x="1446"/>
        <item m="1" x="1309"/>
        <item m="1" x="1282"/>
        <item m="1" x="1450"/>
        <item m="1" x="1284"/>
        <item m="1" x="1449"/>
        <item m="1" x="1285"/>
        <item m="1" x="1439"/>
        <item m="1" x="1310"/>
        <item m="1" x="1286"/>
        <item m="1" x="1440"/>
        <item m="1" x="1311"/>
        <item m="1" x="1287"/>
        <item m="1" x="1312"/>
        <item m="1" x="1288"/>
        <item m="1" x="1442"/>
        <item m="1" x="1314"/>
        <item m="1" x="1290"/>
        <item m="1" x="1443"/>
        <item m="1" x="1315"/>
        <item m="1" x="1291"/>
        <item m="1" x="1444"/>
        <item m="1" x="1317"/>
        <item m="1" x="1293"/>
        <item m="1" x="1447"/>
        <item m="1" x="1438"/>
        <item m="1" x="1318"/>
        <item m="1" x="1294"/>
        <item m="1" x="877"/>
        <item m="1" x="1295"/>
        <item x="175"/>
        <item m="1" x="1188"/>
        <item m="1" x="672"/>
        <item x="255"/>
        <item m="1" x="630"/>
        <item x="89"/>
        <item m="1" x="1482"/>
        <item m="1" x="1130"/>
        <item m="1" x="1131"/>
        <item m="1" x="812"/>
        <item x="178"/>
        <item x="148"/>
        <item x="38"/>
        <item x="112"/>
        <item x="418"/>
        <item x="309"/>
        <item x="390"/>
        <item m="1" x="1150"/>
        <item m="1" x="963"/>
        <item x="167"/>
        <item m="1" x="581"/>
        <item m="1" x="1123"/>
        <item x="233"/>
        <item x="43"/>
        <item m="1" x="557"/>
        <item m="1" x="829"/>
        <item m="1" x="773"/>
        <item m="1" x="892"/>
        <item m="1" x="982"/>
        <item m="1" x="1297"/>
        <item m="1" x="995"/>
        <item m="1" x="814"/>
        <item x="53"/>
        <item m="1" x="1051"/>
        <item m="1" x="750"/>
        <item m="1" x="1470"/>
        <item m="1" x="1055"/>
        <item m="1" x="816"/>
        <item m="1" x="1124"/>
        <item x="513"/>
        <item x="97"/>
        <item x="109"/>
        <item m="1" x="1368"/>
        <item m="1" x="1251"/>
        <item m="1" x="1436"/>
        <item m="1" x="1362"/>
        <item m="1" x="1254"/>
        <item m="1" x="1018"/>
        <item m="1" x="551"/>
        <item m="1" x="1418"/>
        <item m="1" x="1510"/>
        <item m="1" x="1158"/>
        <item x="384"/>
        <item x="417"/>
        <item m="1" x="1101"/>
        <item m="1" x="1102"/>
        <item m="1" x="1103"/>
        <item m="1" x="1104"/>
        <item m="1" x="788"/>
        <item x="385"/>
        <item m="1" x="1355"/>
        <item m="1" x="1149"/>
        <item x="399"/>
        <item m="1" x="981"/>
        <item x="173"/>
        <item x="313"/>
        <item x="425"/>
        <item m="1" x="586"/>
        <item m="1" x="553"/>
        <item m="1" x="643"/>
        <item x="304"/>
        <item m="1" x="771"/>
        <item m="1" x="924"/>
        <item x="121"/>
        <item x="213"/>
        <item x="333"/>
        <item x="394"/>
        <item m="1" x="548"/>
        <item x="130"/>
        <item m="1" x="1513"/>
        <item x="138"/>
        <item x="92"/>
        <item x="102"/>
        <item x="105"/>
        <item m="1" x="756"/>
        <item x="196"/>
        <item x="107"/>
        <item x="4"/>
        <item m="1" x="817"/>
        <item m="1" x="1228"/>
        <item x="455"/>
        <item m="1" x="1159"/>
        <item m="1" x="976"/>
        <item m="1" x="1241"/>
        <item m="1" x="1242"/>
        <item m="1" x="1193"/>
        <item m="1" x="980"/>
        <item m="1" x="966"/>
        <item m="1" x="971"/>
        <item m="1" x="667"/>
        <item m="1" x="815"/>
        <item m="1" x="1191"/>
        <item m="1" x="1461"/>
        <item m="1" x="1192"/>
        <item m="1" x="978"/>
        <item m="1" x="701"/>
        <item x="489"/>
        <item m="1" x="844"/>
        <item m="1" x="768"/>
        <item m="1" x="1369"/>
        <item m="1" x="1255"/>
        <item x="271"/>
        <item x="199"/>
        <item x="328"/>
        <item x="362"/>
        <item m="1" x="941"/>
        <item x="361"/>
        <item x="435"/>
        <item x="439"/>
        <item x="279"/>
        <item m="1" x="1162"/>
        <item m="1" x="639"/>
        <item m="1" x="1170"/>
        <item m="1" x="964"/>
        <item m="1" x="913"/>
        <item x="475"/>
        <item m="1" x="865"/>
        <item m="1" x="654"/>
        <item x="108"/>
        <item x="284"/>
        <item m="1" x="704"/>
        <item m="1" x="1431"/>
        <item m="1" x="1322"/>
        <item m="1" x="1257"/>
        <item m="1" x="1146"/>
        <item m="1" x="846"/>
        <item m="1" x="887"/>
        <item m="1" x="1023"/>
        <item m="1" x="1137"/>
        <item m="1" x="1027"/>
        <item x="446"/>
        <item m="1" x="1138"/>
        <item m="1" x="1065"/>
        <item m="1" x="1370"/>
        <item m="1" x="635"/>
        <item m="1" x="549"/>
        <item m="1" x="1375"/>
        <item m="1" x="1380"/>
        <item m="1" x="1395"/>
        <item x="495"/>
        <item m="1" x="565"/>
        <item m="1" x="874"/>
        <item m="1" x="875"/>
        <item x="483"/>
        <item m="1" x="626"/>
        <item m="1" x="1064"/>
        <item x="161"/>
        <item m="1" x="699"/>
        <item m="1" x="700"/>
        <item x="37"/>
        <item x="348"/>
        <item x="155"/>
        <item x="145"/>
        <item x="150"/>
        <item m="1" x="1024"/>
        <item m="1" x="1076"/>
        <item x="220"/>
        <item x="250"/>
        <item x="442"/>
        <item m="1" x="629"/>
        <item x="449"/>
        <item m="1" x="836"/>
        <item m="1" x="838"/>
        <item x="488"/>
        <item x="486"/>
        <item m="1" x="1053"/>
        <item x="44"/>
        <item x="3"/>
        <item m="1" x="1194"/>
        <item m="1" x="1339"/>
        <item m="1" x="855"/>
        <item m="1" x="702"/>
        <item m="1" x="856"/>
        <item m="1" x="703"/>
        <item m="1" x="778"/>
        <item m="1" x="1126"/>
        <item m="1" x="661"/>
        <item x="334"/>
        <item x="120"/>
        <item x="370"/>
        <item x="450"/>
        <item x="221"/>
        <item m="1" x="1227"/>
        <item m="1" x="1057"/>
        <item m="1" x="1236"/>
        <item x="34"/>
        <item x="243"/>
        <item m="1" x="1274"/>
        <item x="177"/>
        <item x="132"/>
        <item x="341"/>
        <item m="1" x="1463"/>
        <item m="1" x="712"/>
        <item m="1" x="1010"/>
        <item x="163"/>
        <item m="1" x="651"/>
        <item m="1" x="1171"/>
        <item m="1" x="1230"/>
        <item m="1" x="1154"/>
        <item m="1" x="1145"/>
        <item m="1" x="1229"/>
        <item m="1" x="1153"/>
        <item m="1" x="522"/>
        <item x="413"/>
        <item m="1" x="1398"/>
        <item m="1" x="1307"/>
        <item m="1" x="1399"/>
        <item m="1" x="1400"/>
        <item m="1" x="1383"/>
        <item m="1" x="1384"/>
        <item m="1" x="1385"/>
        <item m="1" x="1386"/>
        <item m="1" x="1387"/>
        <item m="1" x="1203"/>
        <item m="1" x="1388"/>
        <item m="1" x="1389"/>
        <item m="1" x="1390"/>
        <item m="1" x="1391"/>
        <item m="1" x="1332"/>
        <item m="1" x="1338"/>
        <item m="1" x="694"/>
        <item m="1" x="1075"/>
        <item m="1" x="527"/>
        <item x="31"/>
        <item m="1" x="759"/>
        <item x="312"/>
        <item m="1" x="878"/>
        <item m="1" x="890"/>
        <item m="1" x="1013"/>
        <item x="448"/>
        <item x="336"/>
        <item m="1" x="1471"/>
        <item m="1" x="1472"/>
        <item m="1" x="1473"/>
        <item m="1" x="1474"/>
        <item m="1" x="901"/>
        <item x="457"/>
        <item m="1" x="1393"/>
        <item m="1" x="1394"/>
        <item x="355"/>
        <item x="301"/>
        <item x="378"/>
        <item x="423"/>
        <item x="478"/>
        <item m="1" x="1500"/>
        <item m="1" x="1179"/>
        <item m="1" x="1178"/>
        <item m="1" x="1501"/>
        <item m="1" x="1198"/>
        <item m="1" x="1197"/>
        <item m="1" x="1275"/>
        <item m="1" x="1502"/>
        <item m="1" x="1180"/>
        <item m="1" x="1184"/>
        <item m="1" x="1506"/>
        <item m="1" x="1496"/>
        <item m="1" x="1174"/>
        <item x="403"/>
        <item m="1" x="1503"/>
        <item m="1" x="1181"/>
        <item m="1" x="1185"/>
        <item m="1" x="1507"/>
        <item m="1" x="1497"/>
        <item m="1" x="1175"/>
        <item x="452"/>
        <item m="1" x="1182"/>
        <item m="1" x="1504"/>
        <item m="1" x="1186"/>
        <item m="1" x="1508"/>
        <item m="1" x="1176"/>
        <item x="453"/>
        <item m="1" x="1498"/>
        <item m="1" x="1183"/>
        <item m="1" x="1505"/>
        <item m="1" x="1187"/>
        <item m="1" x="1509"/>
        <item m="1" x="1177"/>
        <item x="400"/>
        <item m="1" x="1499"/>
        <item m="1" x="1038"/>
        <item m="1" x="1039"/>
        <item m="1" x="1037"/>
        <item m="1" x="1033"/>
        <item m="1" x="1032"/>
        <item m="1" x="1031"/>
        <item m="1" x="1040"/>
        <item m="1" x="1020"/>
        <item m="1" x="1021"/>
        <item m="1" x="1019"/>
        <item m="1" x="1036"/>
        <item m="1" x="1035"/>
        <item m="1" x="1034"/>
        <item m="1" x="1041"/>
        <item m="1" x="1214"/>
        <item m="1" x="1250"/>
        <item m="1" x="1152"/>
        <item m="1" x="1017"/>
        <item m="1" x="1405"/>
        <item m="1" x="1016"/>
        <item m="1" x="1403"/>
        <item x="500"/>
        <item x="516"/>
        <item x="502"/>
        <item x="496"/>
        <item x="507"/>
        <item x="383"/>
        <item m="1" x="1025"/>
        <item m="1" x="1304"/>
        <item m="1" x="1089"/>
        <item m="1" x="1346"/>
        <item m="1" x="1330"/>
        <item m="1" x="1268"/>
        <item m="1" x="1133"/>
        <item m="1" x="969"/>
        <item m="1" x="1272"/>
        <item m="1" x="1372"/>
        <item m="1" x="1135"/>
        <item m="1" x="972"/>
        <item m="1" x="1015"/>
        <item x="373"/>
        <item x="367"/>
        <item x="443"/>
        <item x="401"/>
        <item x="321"/>
        <item x="338"/>
        <item x="324"/>
        <item x="337"/>
        <item m="1" x="1099"/>
        <item m="1" x="1044"/>
        <item m="1" x="1088"/>
        <item m="1" x="1087"/>
        <item m="1" x="1092"/>
        <item m="1" x="1093"/>
        <item m="1" x="1094"/>
        <item m="1" x="1379"/>
        <item m="1" x="1337"/>
        <item m="1" x="889"/>
        <item m="1" x="906"/>
        <item m="1" x="1086"/>
        <item m="1" x="1207"/>
        <item m="1" x="908"/>
        <item m="1" x="909"/>
        <item m="1" x="910"/>
        <item m="1" x="1066"/>
        <item m="1" x="905"/>
        <item m="1" x="907"/>
        <item m="1" x="1091"/>
        <item m="1" x="1090"/>
        <item m="1" x="1381"/>
        <item m="1" x="1336"/>
        <item m="1" x="1397"/>
        <item m="1" x="1043"/>
        <item m="1" x="953"/>
        <item m="1" x="958"/>
        <item m="1" x="1085"/>
        <item m="1" x="1084"/>
        <item m="1" x="954"/>
        <item m="1" x="959"/>
        <item m="1" x="952"/>
        <item m="1" x="1382"/>
        <item x="240"/>
        <item m="1" x="911"/>
        <item m="1" x="1045"/>
        <item m="1" x="1046"/>
        <item m="1" x="1205"/>
        <item m="1" x="782"/>
        <item x="412"/>
        <item m="1" x="783"/>
        <item x="463"/>
        <item m="1" x="862"/>
        <item x="469"/>
        <item m="1" x="733"/>
        <item m="1" x="693"/>
        <item m="1" x="1022"/>
        <item m="1" x="1083"/>
        <item m="1" x="904"/>
        <item m="1" x="957"/>
        <item x="128"/>
        <item m="1" x="698"/>
        <item x="270"/>
        <item m="1" x="884"/>
        <item m="1" x="900"/>
        <item x="505"/>
        <item m="1" x="1213"/>
        <item m="1" x="973"/>
        <item m="1" x="993"/>
        <item m="1" x="545"/>
        <item m="1" x="1212"/>
        <item m="1" x="540"/>
        <item m="1" x="1210"/>
        <item x="454"/>
        <item m="1" x="1211"/>
        <item m="1" x="758"/>
        <item x="353"/>
        <item x="326"/>
        <item x="410"/>
        <item x="460"/>
        <item x="347"/>
        <item m="1" x="714"/>
        <item m="1" x="988"/>
        <item m="1" x="1417"/>
        <item x="441"/>
        <item m="1" x="1115"/>
        <item x="52"/>
        <item m="1" x="751"/>
        <item m="1" x="646"/>
        <item x="327"/>
        <item m="1" x="1215"/>
        <item m="1" x="899"/>
        <item m="1" x="1299"/>
        <item m="1" x="1201"/>
        <item m="1" x="1306"/>
        <item m="1" x="1278"/>
        <item m="1" x="523"/>
        <item m="1" x="663"/>
        <item x="93"/>
        <item x="106"/>
        <item x="162"/>
        <item m="1" x="1514"/>
        <item x="268"/>
        <item m="1" x="521"/>
        <item x="74"/>
        <item x="54"/>
        <item x="197"/>
        <item x="339"/>
        <item x="289"/>
        <item x="70"/>
        <item m="1" x="554"/>
        <item x="472"/>
        <item x="358"/>
        <item m="1" x="1465"/>
        <item m="1" x="1466"/>
        <item m="1" x="1467"/>
        <item m="1" x="914"/>
        <item m="1" x="811"/>
        <item m="1" x="845"/>
        <item m="1" x="804"/>
        <item m="1" x="1414"/>
        <item m="1" x="942"/>
        <item m="1" x="1479"/>
        <item x="407"/>
        <item m="1" x="883"/>
        <item x="274"/>
        <item x="126"/>
        <item x="354"/>
        <item x="36"/>
        <item m="1" x="525"/>
        <item m="1" x="530"/>
        <item x="227"/>
        <item m="1" x="1408"/>
        <item m="1" x="1521"/>
        <item m="1" x="718"/>
        <item m="1" x="1523"/>
        <item m="1" x="736"/>
        <item m="1" x="719"/>
        <item m="1" x="747"/>
        <item m="1" x="720"/>
        <item m="1" x="1244"/>
        <item m="1" x="1245"/>
        <item x="223"/>
        <item m="1" x="1096"/>
        <item x="363"/>
        <item x="67"/>
        <item m="1" x="1012"/>
        <item m="1" x="888"/>
        <item x="136"/>
        <item x="264"/>
        <item x="291"/>
        <item m="1" x="743"/>
        <item m="1" x="576"/>
        <item m="1" x="532"/>
        <item x="306"/>
        <item x="322"/>
        <item m="1" x="1352"/>
        <item x="87"/>
        <item x="186"/>
        <item x="189"/>
        <item x="198"/>
        <item x="76"/>
        <item m="1" x="852"/>
        <item m="1" x="853"/>
        <item m="1" x="1342"/>
        <item m="1" x="726"/>
        <item m="1" x="727"/>
        <item m="1" x="725"/>
        <item m="1" x="724"/>
        <item m="1" x="721"/>
        <item m="1" x="631"/>
        <item m="1" x="722"/>
        <item m="1" x="746"/>
        <item m="1" x="723"/>
        <item x="316"/>
        <item x="461"/>
        <item m="1" x="567"/>
        <item x="307"/>
        <item x="21"/>
        <item x="90"/>
        <item x="32"/>
        <item x="194"/>
        <item m="1" x="591"/>
        <item m="1" x="568"/>
        <item x="146"/>
        <item m="1" x="573"/>
        <item m="1" x="575"/>
        <item m="1" x="577"/>
        <item m="1" x="547"/>
        <item m="1" x="552"/>
        <item m="1" x="570"/>
        <item m="1" x="1345"/>
        <item m="1" x="790"/>
        <item m="1" x="566"/>
        <item m="1" x="569"/>
        <item x="183"/>
        <item m="1" x="798"/>
        <item m="1" x="936"/>
        <item x="143"/>
        <item x="99"/>
        <item m="1" x="1105"/>
        <item m="1" x="1485"/>
        <item m="1" x="1410"/>
        <item m="1" x="761"/>
        <item x="207"/>
        <item m="1" x="691"/>
        <item m="1" x="617"/>
        <item m="1" x="945"/>
        <item x="169"/>
        <item x="349"/>
        <item m="1" x="938"/>
        <item m="1" x="1195"/>
        <item m="1" x="893"/>
        <item x="88"/>
        <item x="387"/>
        <item m="1" x="943"/>
        <item m="1" x="835"/>
        <item m="1" x="837"/>
        <item m="1" x="932"/>
        <item m="1" x="794"/>
        <item x="476"/>
        <item m="1" x="946"/>
        <item m="1" x="849"/>
        <item m="1" x="1116"/>
        <item m="1" x="593"/>
        <item m="1" x="894"/>
        <item m="1" x="544"/>
        <item x="506"/>
        <item m="1" x="944"/>
        <item m="1" x="1459"/>
        <item m="1" x="1008"/>
        <item m="1" x="797"/>
        <item m="1" x="674"/>
        <item x="380"/>
        <item m="1" x="864"/>
        <item m="1" x="937"/>
        <item x="15"/>
        <item m="1" x="708"/>
        <item m="1" x="709"/>
        <item m="1" x="1529"/>
        <item m="1" x="873"/>
        <item m="1" x="947"/>
        <item m="1" x="644"/>
        <item m="1" x="996"/>
        <item m="1" x="1486"/>
        <item m="1" x="1301"/>
        <item m="1" x="1492"/>
        <item m="1" x="1396"/>
        <item x="114"/>
        <item m="1" x="1516"/>
        <item m="1" x="1517"/>
        <item x="491"/>
        <item m="1" x="983"/>
        <item m="1" x="962"/>
        <item x="23"/>
        <item x="28"/>
        <item x="103"/>
        <item x="135"/>
        <item m="1" x="636"/>
        <item m="1" x="1147"/>
        <item x="286"/>
        <item m="1" x="1404"/>
        <item x="356"/>
        <item x="50"/>
        <item m="1" x="1078"/>
        <item x="251"/>
        <item m="1" x="1029"/>
        <item m="1" x="1030"/>
        <item m="1" x="1028"/>
        <item m="1" x="1113"/>
        <item x="432"/>
        <item m="1" x="808"/>
        <item m="1" x="707"/>
        <item m="1" x="809"/>
        <item m="1" x="1026"/>
        <item x="95"/>
        <item x="275"/>
        <item m="1" x="1258"/>
        <item m="1" x="574"/>
        <item m="1" x="1358"/>
        <item m="1" x="1303"/>
        <item m="1" x="1429"/>
        <item m="1" x="1323"/>
        <item m="1" x="535"/>
        <item m="1" x="1068"/>
        <item m="1" x="1430"/>
        <item m="1" x="1325"/>
        <item m="1" x="1261"/>
        <item m="1" x="623"/>
        <item m="1" x="1139"/>
        <item m="1" x="931"/>
        <item x="395"/>
        <item m="1" x="1005"/>
        <item m="1" x="1006"/>
        <item x="17"/>
        <item m="1" x="1520"/>
        <item m="1" x="960"/>
        <item m="1" x="1222"/>
        <item m="1" x="1107"/>
        <item m="1" x="1223"/>
        <item m="1" x="1224"/>
        <item m="1" x="1225"/>
        <item m="1" x="949"/>
        <item m="1" x="956"/>
        <item x="428"/>
        <item m="1" x="596"/>
        <item x="260"/>
        <item m="1" x="1151"/>
        <item m="1" x="1378"/>
        <item m="1" x="648"/>
        <item x="283"/>
        <item x="290"/>
        <item m="1" x="779"/>
        <item x="343"/>
        <item m="1" x="1333"/>
        <item m="1" x="583"/>
        <item m="1" x="869"/>
        <item m="1" x="831"/>
        <item x="75"/>
        <item m="1" x="705"/>
        <item x="332"/>
        <item x="125"/>
        <item m="1" x="1335"/>
        <item m="1" x="796"/>
        <item x="386"/>
        <item m="1" x="638"/>
        <item x="6"/>
        <item x="261"/>
        <item m="1" x="645"/>
        <item m="1" x="600"/>
        <item x="60"/>
        <item m="1" x="764"/>
        <item m="1" x="789"/>
        <item m="1" x="986"/>
        <item x="154"/>
        <item m="1" x="717"/>
        <item m="1" x="1002"/>
        <item x="122"/>
        <item x="420"/>
        <item m="1" x="1458"/>
        <item m="1" x="1100"/>
        <item m="1" x="1166"/>
        <item x="206"/>
        <item x="7"/>
        <item sd="0" x="14"/>
        <item m="1" x="990"/>
        <item m="1" x="755"/>
        <item x="47"/>
        <item m="1" x="744"/>
        <item m="1" x="1483"/>
        <item m="1" x="1481"/>
        <item x="314"/>
        <item x="296"/>
        <item x="308"/>
        <item x="508"/>
        <item m="1" x="1350"/>
        <item m="1" x="1231"/>
        <item m="1" x="1351"/>
        <item x="438"/>
        <item m="1" x="1142"/>
        <item m="1" x="749"/>
        <item m="1" x="1238"/>
        <item m="1" x="1237"/>
        <item m="1" x="762"/>
        <item m="1" x="601"/>
        <item m="1" x="1426"/>
        <item m="1" x="1366"/>
        <item m="1" x="1262"/>
        <item m="1" x="842"/>
        <item x="170"/>
        <item m="1" x="766"/>
        <item m="1" x="1226"/>
        <item m="1" x="737"/>
        <item m="1" x="561"/>
        <item m="1" x="560"/>
        <item x="179"/>
        <item x="320"/>
        <item m="1" x="1453"/>
        <item x="302"/>
        <item m="1" x="1200"/>
        <item m="1" x="558"/>
        <item m="1" x="572"/>
        <item m="1" x="1219"/>
        <item m="1" x="1220"/>
        <item x="64"/>
        <item m="1" x="662"/>
        <item x="83"/>
        <item m="1" x="825"/>
        <item x="139"/>
        <item x="10"/>
        <item m="1" x="854"/>
        <item m="1" x="1524"/>
        <item m="1" x="735"/>
        <item x="236"/>
        <item x="215"/>
        <item x="151"/>
        <item m="1" x="991"/>
        <item x="464"/>
        <item x="176"/>
        <item x="131"/>
        <item m="1" x="926"/>
        <item x="133"/>
        <item m="1" x="851"/>
        <item m="1" x="1300"/>
        <item m="1" x="1376"/>
        <item x="65"/>
        <item x="62"/>
        <item m="1" x="1364"/>
        <item m="1" x="1263"/>
        <item x="246"/>
        <item m="1" x="923"/>
        <item x="257"/>
        <item m="1" x="524"/>
        <item m="1" x="1077"/>
        <item m="1" x="592"/>
        <item m="1" x="588"/>
        <item x="11"/>
        <item m="1" x="1491"/>
        <item m="1" x="1354"/>
        <item x="225"/>
        <item x="98"/>
        <item m="1" x="791"/>
        <item m="1" x="686"/>
        <item m="1" x="802"/>
        <item x="164"/>
        <item m="1" x="1348"/>
        <item x="272"/>
        <item m="1" x="1494"/>
        <item m="1" x="1495"/>
        <item m="1" x="582"/>
        <item x="281"/>
        <item m="1" x="519"/>
        <item x="222"/>
        <item x="292"/>
        <item x="467"/>
        <item m="1" x="1110"/>
        <item m="1" x="922"/>
        <item m="1" x="1127"/>
        <item x="41"/>
        <item m="1" x="1190"/>
        <item x="40"/>
        <item x="0"/>
        <item x="503"/>
        <item x="55"/>
        <item sd="0" m="1" x="753"/>
        <item x="465"/>
        <item m="1" x="612"/>
        <item m="1" x="536"/>
        <item x="364"/>
        <item m="1" x="578"/>
        <item m="1" x="925"/>
        <item m="1" x="640"/>
        <item x="166"/>
        <item m="1" x="697"/>
        <item m="1" x="637"/>
        <item x="293"/>
        <item x="201"/>
        <item m="1" x="1167"/>
        <item x="497"/>
        <item m="1" x="1487"/>
        <item m="1" x="1415"/>
        <item m="1" x="1411"/>
        <item m="1" x="642"/>
        <item m="1" x="1106"/>
        <item m="1" x="1374"/>
        <item x="209"/>
        <item x="226"/>
        <item x="490"/>
        <item x="94"/>
        <item x="273"/>
        <item m="1" x="603"/>
        <item m="1" x="1434"/>
        <item m="1" x="1326"/>
        <item m="1" x="1264"/>
        <item m="1" x="1433"/>
        <item m="1" x="1321"/>
        <item m="1" x="1256"/>
        <item m="1" x="1432"/>
        <item m="1" x="1329"/>
        <item m="1" x="1270"/>
        <item m="1" x="1360"/>
        <item m="1" x="1302"/>
        <item m="1" x="1269"/>
        <item m="1" x="1419"/>
        <item m="1" x="1266"/>
        <item m="1" x="1422"/>
        <item m="1" x="1328"/>
        <item m="1" x="1267"/>
        <item m="1" x="1420"/>
        <item m="1" x="1327"/>
        <item m="1" x="1265"/>
        <item m="1" x="1070"/>
        <item m="1" x="1072"/>
        <item m="1" x="1071"/>
        <item m="1" x="1206"/>
        <item m="1" x="1128"/>
        <item m="1" x="1140"/>
        <item x="254"/>
        <item x="501"/>
        <item x="379"/>
        <item m="1" x="830"/>
        <item m="1" x="1169"/>
        <item m="1" x="1468"/>
        <item x="295"/>
        <item m="1" x="1168"/>
        <item m="1" x="1063"/>
        <item m="1" x="1202"/>
        <item m="1" x="1477"/>
        <item m="1" x="896"/>
        <item m="1" x="653"/>
        <item x="458"/>
        <item m="1" x="624"/>
        <item m="1" x="1216"/>
        <item m="1" x="876"/>
        <item m="1" x="881"/>
        <item x="265"/>
        <item m="1" x="687"/>
        <item m="1" x="787"/>
        <item x="436"/>
        <item x="498"/>
        <item m="1" x="696"/>
        <item x="351"/>
        <item x="422"/>
        <item m="1" x="695"/>
        <item x="462"/>
        <item x="210"/>
        <item x="377"/>
        <item m="1" x="882"/>
        <item x="427"/>
        <item m="1" x="682"/>
        <item x="447"/>
        <item x="477"/>
        <item x="344"/>
        <item m="1" x="857"/>
        <item m="1" x="858"/>
        <item x="431"/>
        <item m="1" x="824"/>
        <item m="1" x="1108"/>
        <item m="1" x="819"/>
        <item m="1" x="841"/>
        <item m="1" x="1243"/>
        <item m="1" x="597"/>
        <item m="1" x="670"/>
        <item x="30"/>
        <item m="1" x="868"/>
        <item m="1" x="688"/>
        <item m="1" x="675"/>
        <item m="1" x="775"/>
        <item x="127"/>
        <item x="230"/>
        <item x="352"/>
        <item m="1" x="1454"/>
        <item m="1" x="1452"/>
        <item m="1" x="1407"/>
        <item m="1" x="1160"/>
        <item x="512"/>
        <item m="1" x="1406"/>
        <item m="1" x="1476"/>
        <item m="1" x="801"/>
        <item x="406"/>
        <item x="266"/>
        <item m="1" x="800"/>
        <item m="1" x="1457"/>
        <item x="277"/>
        <item x="224"/>
        <item x="110"/>
        <item m="1" x="833"/>
        <item x="172"/>
        <item x="158"/>
        <item m="1" x="997"/>
        <item x="405"/>
        <item x="392"/>
        <item m="1" x="994"/>
        <item x="68"/>
        <item m="1" x="539"/>
        <item x="116"/>
        <item x="63"/>
        <item m="1" x="1525"/>
        <item m="1" x="918"/>
        <item m="1" x="919"/>
        <item m="1" x="656"/>
        <item m="1" x="772"/>
        <item m="1" x="594"/>
        <item m="1" x="1451"/>
        <item m="1" x="683"/>
        <item x="317"/>
        <item m="1" x="916"/>
        <item m="1" x="1344"/>
        <item x="56"/>
        <item m="1" x="1488"/>
        <item m="1" x="734"/>
        <item m="1" x="780"/>
        <item m="1" x="628"/>
        <item m="1" x="647"/>
        <item m="1" x="625"/>
        <item m="1" x="563"/>
        <item x="374"/>
        <item x="366"/>
        <item m="1" x="803"/>
        <item x="244"/>
        <item x="25"/>
        <item x="493"/>
        <item x="303"/>
        <item m="1" x="1111"/>
        <item m="1" x="1048"/>
        <item m="1" x="1148"/>
        <item m="1" x="614"/>
        <item m="1" x="1047"/>
        <item m="1" x="871"/>
        <item x="360"/>
        <item m="1" x="1528"/>
        <item m="1" x="613"/>
        <item m="1" x="633"/>
        <item x="180"/>
        <item m="1" x="1097"/>
        <item x="242"/>
        <item x="269"/>
        <item x="195"/>
        <item x="202"/>
        <item m="1" x="556"/>
        <item m="1" x="1144"/>
        <item m="1" x="1349"/>
        <item m="1" x="615"/>
        <item x="375"/>
        <item m="1" x="929"/>
        <item m="1" x="939"/>
        <item m="1" x="928"/>
        <item m="1" x="930"/>
        <item m="1" x="690"/>
        <item m="1" x="927"/>
        <item x="319"/>
        <item x="487"/>
        <item m="1" x="641"/>
        <item x="397"/>
        <item x="481"/>
        <item m="1" x="872"/>
        <item m="1" x="935"/>
        <item m="1" x="998"/>
        <item x="288"/>
        <item m="1" x="793"/>
        <item x="504"/>
        <item m="1" x="792"/>
        <item x="514"/>
        <item x="509"/>
        <item m="1" x="589"/>
        <item m="1" x="1058"/>
        <item m="1" x="1204"/>
        <item x="159"/>
        <item m="1" x="1060"/>
        <item m="1" x="1074"/>
        <item m="1" x="618"/>
        <item m="1" x="1067"/>
        <item m="1" x="1069"/>
        <item m="1" x="650"/>
        <item m="1" x="595"/>
        <item m="1" x="1209"/>
        <item m="1" x="1079"/>
        <item m="1" x="1218"/>
        <item m="1" x="1208"/>
        <item m="1" x="1061"/>
        <item x="267"/>
        <item m="1" x="1156"/>
        <item m="1" x="1062"/>
        <item m="1" x="1080"/>
        <item x="147"/>
        <item m="1" x="1235"/>
        <item m="1" x="620"/>
        <item m="1" x="1155"/>
        <item m="1" x="1134"/>
        <item m="1" x="1136"/>
        <item m="1" x="1164"/>
        <item m="1" x="799"/>
        <item m="1" x="970"/>
        <item x="156"/>
        <item m="1" x="1000"/>
        <item x="357"/>
        <item x="140"/>
        <item m="1" x="999"/>
        <item x="153"/>
        <item m="1" x="1353"/>
        <item m="1" x="559"/>
        <item x="345"/>
        <item m="1" x="1259"/>
        <item m="1" x="1324"/>
        <item m="1" x="1427"/>
        <item x="184"/>
        <item m="1" x="781"/>
        <item m="1" x="657"/>
        <item x="229"/>
        <item x="276"/>
        <item x="174"/>
        <item m="1" x="531"/>
        <item x="79"/>
        <item m="1" x="659"/>
        <item x="165"/>
        <item m="1" x="658"/>
        <item m="1" x="619"/>
        <item m="1" x="634"/>
        <item x="237"/>
        <item m="1" x="1001"/>
        <item m="1" x="917"/>
        <item x="404"/>
        <item m="1" x="543"/>
        <item m="1" x="870"/>
        <item m="1" x="1117"/>
        <item m="1" x="820"/>
        <item x="248"/>
        <item x="466"/>
        <item x="285"/>
        <item x="66"/>
        <item x="81"/>
        <item m="1" x="1109"/>
        <item x="416"/>
        <item m="1" x="826"/>
        <item m="1" x="1469"/>
        <item m="1" x="880"/>
        <item x="391"/>
        <item m="1" x="606"/>
        <item m="1" x="1331"/>
        <item x="492"/>
        <item x="402"/>
        <item m="1" x="1522"/>
        <item x="191"/>
        <item x="426"/>
        <item m="1" x="1526"/>
        <item x="58"/>
        <item x="445"/>
        <item x="444"/>
        <item m="1" x="632"/>
        <item m="1" x="1052"/>
        <item m="1" x="912"/>
        <item m="1" x="1475"/>
        <item m="1" x="774"/>
        <item x="85"/>
        <item x="192"/>
        <item x="91"/>
        <item m="1" x="1511"/>
        <item m="1" x="1512"/>
        <item m="1" x="1129"/>
        <item x="69"/>
        <item x="315"/>
        <item m="1" x="732"/>
        <item x="61"/>
        <item m="1" x="1271"/>
        <item m="1" x="579"/>
        <item m="1" x="885"/>
        <item m="1" x="886"/>
        <item x="253"/>
        <item x="421"/>
        <item m="1" x="763"/>
        <item m="1" x="669"/>
        <item m="1" x="716"/>
        <item x="311"/>
        <item m="1" x="1367"/>
        <item m="1" x="1260"/>
        <item m="1" x="1428"/>
        <item m="1" x="902"/>
        <item m="1" x="1081"/>
        <item m="1" x="1347"/>
        <item m="1" x="1296"/>
        <item m="1" x="955"/>
        <item x="217"/>
        <item x="235"/>
        <item m="1" x="863"/>
        <item x="144"/>
        <item x="188"/>
        <item x="181"/>
        <item x="259"/>
        <item x="171"/>
        <item m="1" x="967"/>
        <item m="1" x="621"/>
        <item x="129"/>
        <item x="73"/>
        <item x="376"/>
        <item x="297"/>
        <item x="329"/>
        <item x="72"/>
        <item x="411"/>
        <item x="124"/>
        <item m="1" x="713"/>
        <item x="51"/>
        <item m="1" x="681"/>
        <item m="1" x="538"/>
        <item x="29"/>
        <item m="1" x="975"/>
        <item x="24"/>
        <item x="187"/>
        <item x="104"/>
        <item x="152"/>
        <item x="231"/>
        <item m="1" x="1112"/>
        <item x="182"/>
        <item x="252"/>
        <item x="485"/>
        <item x="499"/>
        <item m="1" x="1416"/>
        <item x="59"/>
        <item x="381"/>
        <item x="388"/>
        <item m="1" x="784"/>
        <item m="1" x="785"/>
        <item m="1" x="608"/>
        <item x="318"/>
        <item m="1" x="1221"/>
        <item m="1" x="738"/>
        <item m="1" x="985"/>
        <item x="335"/>
        <item x="111"/>
        <item x="342"/>
        <item x="16"/>
        <item m="1" x="1157"/>
        <item m="1" x="1143"/>
        <item m="1" x="564"/>
        <item m="1" x="915"/>
        <item m="1" x="757"/>
        <item m="1" x="1141"/>
        <item x="26"/>
        <item x="245"/>
        <item m="1" x="599"/>
        <item m="1" x="807"/>
        <item x="510"/>
        <item m="1" x="1280"/>
        <item m="1" x="777"/>
        <item x="414"/>
        <item m="1" x="584"/>
        <item x="208"/>
        <item m="1" x="729"/>
        <item x="214"/>
        <item m="1" x="1515"/>
        <item x="200"/>
        <item x="241"/>
        <item m="1" x="897"/>
        <item m="1" x="742"/>
        <item m="1" x="655"/>
        <item x="515"/>
        <item m="1" x="760"/>
        <item x="346"/>
        <item x="350"/>
        <item x="471"/>
        <item x="470"/>
        <item x="409"/>
        <item x="393"/>
        <item m="1" x="805"/>
        <item m="1" x="1401"/>
        <item m="1" x="1165"/>
        <item x="203"/>
        <item m="1" x="859"/>
        <item x="310"/>
        <item m="1" x="847"/>
        <item m="1" x="1456"/>
        <item m="1" x="861"/>
        <item m="1" x="1125"/>
        <item m="1" x="1493"/>
        <item m="1" x="1233"/>
        <item m="1" x="1234"/>
        <item x="398"/>
        <item m="1" x="1118"/>
        <item m="1" x="1460"/>
        <item x="9"/>
        <item x="82"/>
        <item m="1" x="813"/>
        <item x="115"/>
        <item m="1" x="940"/>
        <item m="1" x="1119"/>
        <item m="1" x="627"/>
        <item m="1" x="1054"/>
        <item m="1" x="1518"/>
        <item m="1" x="1120"/>
        <item m="1" x="1121"/>
        <item x="479"/>
        <item x="45"/>
        <item m="1" x="895"/>
        <item m="1" x="1373"/>
        <item x="78"/>
        <item m="1" x="580"/>
        <item x="84"/>
        <item m="1" x="933"/>
        <item sd="0" m="1" x="1343"/>
        <item x="134"/>
        <item x="239"/>
        <item m="1" x="1009"/>
        <item x="429"/>
        <item m="1" x="1298"/>
        <item m="1" x="1519"/>
        <item x="278"/>
        <item m="1" x="1480"/>
        <item x="340"/>
        <item m="1" x="555"/>
        <item m="1" x="1095"/>
        <item m="1" x="1122"/>
        <item m="1" x="1334"/>
        <item x="396"/>
        <item m="1" x="706"/>
        <item m="1" x="528"/>
        <item x="330"/>
        <item m="1" x="692"/>
        <item m="1" x="1305"/>
        <item m="1" x="898"/>
        <item x="359"/>
        <item m="1" x="823"/>
        <item m="1" x="770"/>
        <item m="1" x="660"/>
        <item m="1" x="1199"/>
        <item m="1" x="715"/>
        <item x="484"/>
        <item m="1" x="987"/>
        <item m="1" x="903"/>
        <item x="48"/>
        <item x="1"/>
        <item m="1" x="1082"/>
        <item x="433"/>
        <item m="1" x="951"/>
        <item m="1" x="1003"/>
        <item m="1" x="765"/>
        <item m="1" x="992"/>
        <item m="1" x="965"/>
        <item m="1" x="989"/>
        <item m="1" x="840"/>
        <item m="1" x="879"/>
        <item m="1" x="740"/>
        <item m="1" x="739"/>
        <item m="1" x="832"/>
        <item x="218"/>
        <item x="160"/>
        <item m="1" x="1042"/>
        <item x="2"/>
        <item m="1" x="602"/>
        <item x="46"/>
        <item x="430"/>
        <item m="1" x="979"/>
        <item m="1" x="730"/>
        <item m="1" x="520"/>
        <item m="1" x="769"/>
        <item m="1" x="748"/>
        <item x="205"/>
        <item x="39"/>
        <item x="168"/>
        <item x="305"/>
        <item m="1" x="934"/>
        <item m="1" x="745"/>
        <item m="1" x="827"/>
        <item x="157"/>
        <item x="382"/>
        <item m="1" x="1478"/>
        <item m="1" x="968"/>
        <item m="1" x="828"/>
        <item x="117"/>
        <item x="57"/>
        <item m="1" x="526"/>
        <item m="1" x="741"/>
        <item m="1" x="728"/>
        <item x="8"/>
        <item x="434"/>
        <item m="1" x="920"/>
        <item x="22"/>
        <item x="20"/>
        <item x="118"/>
        <item x="18"/>
        <item x="101"/>
        <item m="1" x="585"/>
        <item x="49"/>
        <item x="5"/>
        <item x="113"/>
        <item x="12"/>
        <item m="1" x="542"/>
        <item m="1" x="1050"/>
        <item m="1" x="950"/>
        <item m="1" x="867"/>
        <item x="80"/>
        <item m="1" x="1049"/>
        <item x="232"/>
        <item x="77"/>
        <item x="123"/>
        <item x="35"/>
        <item m="1" x="537"/>
        <item x="141"/>
        <item x="365"/>
        <item x="19"/>
        <item m="1" x="546"/>
        <item m="1" x="562"/>
        <item x="287"/>
        <item x="33"/>
        <item m="1" x="961"/>
        <item m="1" x="843"/>
        <item m="1" x="666"/>
        <item m="1" x="1173"/>
        <item x="137"/>
        <item x="415"/>
        <item m="1" x="550"/>
        <item m="1" x="587"/>
        <item m="1" x="1359"/>
        <item m="1" x="1273"/>
        <item m="1" x="850"/>
        <item m="1" x="533"/>
        <item m="1" x="534"/>
        <item m="1" x="529"/>
        <item m="1" x="1232"/>
        <item x="86"/>
        <item x="456"/>
        <item m="1" x="1377"/>
        <item m="1" x="1392"/>
        <item m="1" x="1163"/>
        <item m="1" x="1059"/>
        <item m="1" x="1341"/>
        <item m="1" x="1340"/>
        <item m="1" x="1196"/>
        <item m="1" x="671"/>
        <item m="1" x="590"/>
        <item x="27"/>
        <item x="211"/>
        <item m="1" x="948"/>
        <item m="1" x="1409"/>
        <item m="1" x="1402"/>
        <item m="1" x="676"/>
        <item x="204"/>
        <item m="1" x="821"/>
        <item m="1" x="677"/>
        <item x="190"/>
        <item x="247"/>
        <item x="258"/>
        <item x="368"/>
        <item x="440"/>
        <item m="1" x="822"/>
        <item x="459"/>
        <item x="282"/>
        <item m="1" x="678"/>
        <item m="1" x="684"/>
        <item m="1" x="866"/>
        <item m="1" x="680"/>
        <item m="1" x="679"/>
        <item m="1" x="685"/>
      </items>
    </pivotField>
    <pivotField dataField="1" compact="0" outline="0" showAll="0" defaultSubtotal="0"/>
    <pivotField compact="0" outline="0" showAll="0" defaultSubtotal="0"/>
    <pivotField dataField="1" compact="0" outline="0" subtotalTop="0" showAll="0" defaultSubtotal="0"/>
    <pivotField dataField="1" compact="0" outline="0" showAll="0" defaultSubtotal="0"/>
    <pivotField dataField="1" compact="0" outline="0" subtotalTop="0" showAll="0" defaultSubtotal="0"/>
    <pivotField dataField="1" compact="0" outline="0" subtotalTop="0" showAll="0" defaultSubtotal="0"/>
    <pivotField dataField="1" compact="0" outline="0" showAll="0" defaultSubtotal="0"/>
    <pivotField dataField="1" compact="0" outline="0" subtotalTop="0" showAll="0" defaultSubtotal="0"/>
    <pivotField dataField="1" compact="0" outline="0" showAll="0" defaultSubtotal="0"/>
    <pivotField axis="axisRow" compact="0" outline="0" subtotalTop="0" showAll="0" sortType="descending" defaultSubtotal="0">
      <items count="300">
        <item x="19"/>
        <item x="26"/>
        <item x="82"/>
        <item m="1" x="251"/>
        <item x="78"/>
        <item m="1" x="289"/>
        <item m="1" x="131"/>
        <item m="1" x="288"/>
        <item m="1" x="248"/>
        <item m="1" x="266"/>
        <item x="46"/>
        <item m="1" x="246"/>
        <item x="37"/>
        <item x="76"/>
        <item m="1" x="122"/>
        <item m="1" x="155"/>
        <item m="1" x="285"/>
        <item m="1" x="217"/>
        <item m="1" x="242"/>
        <item m="1" x="252"/>
        <item m="1" x="139"/>
        <item m="1" x="282"/>
        <item m="1" x="147"/>
        <item x="96"/>
        <item m="1" x="273"/>
        <item x="35"/>
        <item x="56"/>
        <item x="13"/>
        <item x="43"/>
        <item x="14"/>
        <item m="1" x="113"/>
        <item m="1" x="247"/>
        <item m="1" x="241"/>
        <item x="11"/>
        <item m="1" x="275"/>
        <item x="75"/>
        <item m="1" x="287"/>
        <item x="45"/>
        <item m="1" x="277"/>
        <item x="36"/>
        <item m="1" x="293"/>
        <item x="53"/>
        <item m="1" x="121"/>
        <item m="1" x="208"/>
        <item x="50"/>
        <item m="1" x="249"/>
        <item m="1" x="213"/>
        <item x="34"/>
        <item x="62"/>
        <item m="1" x="230"/>
        <item x="39"/>
        <item m="1" x="244"/>
        <item m="1" x="193"/>
        <item x="73"/>
        <item x="87"/>
        <item x="38"/>
        <item m="1" x="112"/>
        <item m="1" x="210"/>
        <item n="MİMAKS AKSESUAR" x="2"/>
        <item x="33"/>
        <item x="54"/>
        <item m="1" x="253"/>
        <item m="1" x="263"/>
        <item x="20"/>
        <item m="1" x="164"/>
        <item x="42"/>
        <item m="1" x="274"/>
        <item m="1" x="286"/>
        <item m="1" x="245"/>
        <item m="1" x="298"/>
        <item x="29"/>
        <item x="61"/>
        <item m="1" x="114"/>
        <item x="72"/>
        <item m="1" x="250"/>
        <item m="1" x="268"/>
        <item m="1" x="160"/>
        <item x="27"/>
        <item m="1" x="240"/>
        <item x="63"/>
        <item m="1" x="204"/>
        <item x="69"/>
        <item x="105"/>
        <item x="16"/>
        <item m="1" x="283"/>
        <item m="1" x="234"/>
        <item m="1" x="271"/>
        <item m="1" x="296"/>
        <item x="5"/>
        <item m="1" x="292"/>
        <item m="1" x="299"/>
        <item m="1" x="297"/>
        <item m="1" x="157"/>
        <item m="1" x="276"/>
        <item x="31"/>
        <item m="1" x="295"/>
        <item m="1" x="290"/>
        <item m="1" x="284"/>
        <item m="1" x="291"/>
        <item m="1" x="218"/>
        <item m="1" x="294"/>
        <item m="1" x="146"/>
        <item m="1" x="182"/>
        <item m="1" x="243"/>
        <item m="1" x="281"/>
        <item x="79"/>
        <item m="1" x="189"/>
        <item m="1" x="254"/>
        <item m="1" x="280"/>
        <item x="25"/>
        <item m="1" x="124"/>
        <item m="1" x="264"/>
        <item x="12"/>
        <item m="1" x="279"/>
        <item m="1" x="120"/>
        <item x="66"/>
        <item x="40"/>
        <item m="1" x="262"/>
        <item m="1" x="190"/>
        <item m="1" x="269"/>
        <item m="1" x="270"/>
        <item x="28"/>
        <item m="1" x="195"/>
        <item m="1" x="267"/>
        <item m="1" x="255"/>
        <item x="48"/>
        <item m="1" x="173"/>
        <item x="44"/>
        <item x="71"/>
        <item m="1" x="272"/>
        <item m="1" x="278"/>
        <item m="1" x="239"/>
        <item m="1" x="225"/>
        <item m="1" x="233"/>
        <item m="1" x="127"/>
        <item m="1" x="235"/>
        <item m="1" x="134"/>
        <item x="52"/>
        <item m="1" x="237"/>
        <item m="1" x="125"/>
        <item m="1" x="256"/>
        <item m="1" x="257"/>
        <item m="1" x="258"/>
        <item m="1" x="259"/>
        <item m="1" x="207"/>
        <item m="1" x="260"/>
        <item m="1" x="261"/>
        <item x="30"/>
        <item m="1" x="265"/>
        <item m="1" x="221"/>
        <item m="1" x="128"/>
        <item x="22"/>
        <item m="1" x="198"/>
        <item m="1" x="166"/>
        <item m="1" x="167"/>
        <item x="3"/>
        <item m="1" x="174"/>
        <item x="1"/>
        <item m="1" x="214"/>
        <item x="57"/>
        <item m="1" x="232"/>
        <item x="47"/>
        <item m="1" x="219"/>
        <item m="1" x="130"/>
        <item x="32"/>
        <item m="1" x="149"/>
        <item m="1" x="141"/>
        <item m="1" x="181"/>
        <item m="1" x="216"/>
        <item m="1" x="140"/>
        <item x="108"/>
        <item m="1" x="175"/>
        <item m="1" x="180"/>
        <item x="85"/>
        <item m="1" x="226"/>
        <item x="9"/>
        <item x="93"/>
        <item m="1" x="150"/>
        <item x="94"/>
        <item x="91"/>
        <item x="67"/>
        <item m="1" x="229"/>
        <item m="1" x="143"/>
        <item m="1" x="144"/>
        <item m="1" x="236"/>
        <item m="1" x="238"/>
        <item m="1" x="228"/>
        <item x="92"/>
        <item m="1" x="161"/>
        <item m="1" x="231"/>
        <item x="88"/>
        <item m="1" x="118"/>
        <item m="1" x="153"/>
        <item m="1" x="227"/>
        <item x="70"/>
        <item x="68"/>
        <item m="1" x="205"/>
        <item x="104"/>
        <item x="21"/>
        <item m="1" x="117"/>
        <item m="1" x="223"/>
        <item m="1" x="184"/>
        <item m="1" x="222"/>
        <item m="1" x="224"/>
        <item m="1" x="206"/>
        <item m="1" x="154"/>
        <item m="1" x="220"/>
        <item x="90"/>
        <item x="7"/>
        <item m="1" x="209"/>
        <item m="1" x="137"/>
        <item x="24"/>
        <item x="49"/>
        <item m="1" x="196"/>
        <item x="74"/>
        <item x="100"/>
        <item m="1" x="215"/>
        <item x="84"/>
        <item m="1" x="211"/>
        <item x="55"/>
        <item x="81"/>
        <item m="1" x="183"/>
        <item m="1" x="212"/>
        <item x="51"/>
        <item m="1" x="158"/>
        <item x="110"/>
        <item x="99"/>
        <item m="1" x="135"/>
        <item m="1" x="199"/>
        <item x="41"/>
        <item m="1" x="203"/>
        <item m="1" x="159"/>
        <item m="1" x="202"/>
        <item x="18"/>
        <item x="59"/>
        <item m="1" x="163"/>
        <item m="1" x="197"/>
        <item m="1" x="191"/>
        <item m="1" x="188"/>
        <item m="1" x="200"/>
        <item m="1" x="201"/>
        <item m="1" x="192"/>
        <item m="1" x="194"/>
        <item x="80"/>
        <item m="1" x="148"/>
        <item x="4"/>
        <item m="1" x="138"/>
        <item x="83"/>
        <item m="1" x="136"/>
        <item m="1" x="170"/>
        <item m="1" x="171"/>
        <item m="1" x="172"/>
        <item m="1" x="187"/>
        <item m="1" x="176"/>
        <item m="1" x="178"/>
        <item m="1" x="179"/>
        <item x="97"/>
        <item x="65"/>
        <item x="107"/>
        <item m="1" x="185"/>
        <item m="1" x="156"/>
        <item m="1" x="145"/>
        <item m="1" x="186"/>
        <item m="1" x="177"/>
        <item x="10"/>
        <item x="111"/>
        <item x="15"/>
        <item m="1" x="142"/>
        <item x="95"/>
        <item m="1" x="169"/>
        <item x="101"/>
        <item x="58"/>
        <item x="89"/>
        <item m="1" x="168"/>
        <item n="KROM ENDÜSTRİ ÜRÜNLERİ ANONİM ŞİRKETİ2" x="8"/>
        <item m="1" x="165"/>
        <item x="109"/>
        <item m="1" x="151"/>
        <item m="1" x="162"/>
        <item x="23"/>
        <item x="60"/>
        <item m="1" x="115"/>
        <item m="1" x="129"/>
        <item x="64"/>
        <item m="1" x="152"/>
        <item m="1" x="116"/>
        <item x="0"/>
        <item x="103"/>
        <item x="86"/>
        <item x="6"/>
        <item x="77"/>
        <item x="106"/>
        <item m="1" x="119"/>
        <item m="1" x="133"/>
        <item m="1" x="123"/>
        <item m="1" x="126"/>
        <item m="1" x="132"/>
        <item x="102"/>
        <item x="98"/>
        <item x="17"/>
      </items>
      <autoSortScope>
        <pivotArea dataOnly="0" outline="0" fieldPosition="0">
          <references count="1">
            <reference field="4294967294" count="1" selected="0">
              <x v="5"/>
            </reference>
          </references>
        </pivotArea>
      </autoSortScope>
    </pivotField>
    <pivotField compact="0" outline="0" subtotalTop="0" showAll="0" defaultSubtotal="0"/>
    <pivotField compact="0" outline="0" showAll="0" defaultSubtotal="0">
      <items count="22">
        <item x="1"/>
        <item x="0"/>
        <item m="1" x="17"/>
        <item m="1" x="18"/>
        <item x="11"/>
        <item x="13"/>
        <item x="5"/>
        <item m="1" x="21"/>
        <item m="1" x="15"/>
        <item x="7"/>
        <item m="1" x="20"/>
        <item x="2"/>
        <item x="12"/>
        <item x="6"/>
        <item x="3"/>
        <item x="9"/>
        <item x="4"/>
        <item x="10"/>
        <item x="8"/>
        <item m="1" x="19"/>
        <item m="1" x="14"/>
        <item m="1" x="16"/>
      </items>
    </pivotField>
  </pivotFields>
  <rowFields count="3">
    <field x="3"/>
    <field x="4"/>
    <field x="14"/>
  </rowFields>
  <rowItems count="517">
    <i>
      <x v="204"/>
      <x v="1072"/>
      <x v="155"/>
    </i>
    <i>
      <x v="1363"/>
      <x v="626"/>
      <x v="88"/>
    </i>
    <i>
      <x v="915"/>
      <x v="1095"/>
      <x v="274"/>
    </i>
    <i>
      <x v="289"/>
      <x v="851"/>
      <x v="79"/>
    </i>
    <i>
      <x v="1110"/>
      <x v="857"/>
      <x v="79"/>
    </i>
    <i>
      <x v="1370"/>
      <x v="1108"/>
      <x v="79"/>
    </i>
    <i>
      <x v="192"/>
      <x v="349"/>
      <x v="155"/>
    </i>
    <i>
      <x v="282"/>
      <x v="1116"/>
      <x v="79"/>
    </i>
    <i>
      <x v="949"/>
      <x v="1251"/>
      <x v="4"/>
    </i>
    <i>
      <x v="1250"/>
      <x v="1132"/>
      <x v="220"/>
    </i>
    <i>
      <x v="8"/>
      <x v="237"/>
      <x v="243"/>
    </i>
    <i>
      <x v="741"/>
      <x v="803"/>
      <x v="79"/>
    </i>
    <i>
      <x v="1073"/>
      <x v="1069"/>
      <x v="155"/>
    </i>
    <i>
      <x v="163"/>
      <x v="753"/>
      <x v="29"/>
    </i>
    <i>
      <x v="704"/>
      <x v="1436"/>
      <x v="29"/>
    </i>
    <i>
      <x v="1206"/>
      <x v="1129"/>
      <x v="220"/>
    </i>
    <i>
      <x v="909"/>
      <x v="1272"/>
      <x v="29"/>
    </i>
    <i>
      <x v="308"/>
      <x v="1063"/>
      <x v="195"/>
    </i>
    <i>
      <x v="1253"/>
      <x v="1133"/>
      <x v="220"/>
    </i>
    <i>
      <x v="190"/>
      <x v="1067"/>
      <x v="60"/>
    </i>
    <i>
      <x v="189"/>
      <x v="1066"/>
      <x v="60"/>
    </i>
    <i>
      <x v="1075"/>
      <x v="1070"/>
      <x v="155"/>
    </i>
    <i>
      <x v="279"/>
      <x v="850"/>
      <x v="79"/>
    </i>
    <i>
      <x v="5"/>
      <x v="826"/>
      <x v="289"/>
    </i>
    <i>
      <x v="171"/>
      <x v="4"/>
      <x v="264"/>
    </i>
    <i>
      <x v="195"/>
      <x v="1224"/>
      <x v="70"/>
    </i>
    <i>
      <x v="207"/>
      <x v="1075"/>
      <x v="155"/>
    </i>
    <i>
      <x v="942"/>
      <x v="627"/>
      <x v="233"/>
    </i>
    <i>
      <x v="1225"/>
      <x v="1435"/>
      <x v="88"/>
    </i>
    <i>
      <x v="1203"/>
      <x v="1287"/>
      <x v="63"/>
    </i>
    <i>
      <x v="1202"/>
      <x v="372"/>
      <x v="63"/>
    </i>
    <i>
      <x v="912"/>
      <x v="1422"/>
      <x v="63"/>
    </i>
    <i>
      <x v="284"/>
      <x v="1117"/>
      <x v="79"/>
    </i>
    <i>
      <x v="1306"/>
      <x v="951"/>
      <x v="26"/>
    </i>
    <i>
      <x v="782"/>
      <x v="80"/>
      <x v="79"/>
    </i>
    <i>
      <x v="1339"/>
      <x v="1114"/>
      <x v="88"/>
    </i>
    <i>
      <x v="716"/>
      <x v="754"/>
      <x v="29"/>
    </i>
    <i>
      <x v="191"/>
      <x v="348"/>
      <x v="155"/>
    </i>
    <i>
      <x v="1054"/>
      <x v="1451"/>
      <x v="274"/>
    </i>
    <i>
      <x v="301"/>
      <x v="604"/>
      <x v="77"/>
    </i>
    <i>
      <x v="302"/>
      <x v="605"/>
      <x v="77"/>
    </i>
    <i>
      <x v="91"/>
      <x v="1031"/>
      <x v="266"/>
    </i>
    <i>
      <x v="290"/>
      <x v="852"/>
      <x v="79"/>
    </i>
    <i>
      <x v="979"/>
      <x v="1029"/>
      <x v="266"/>
    </i>
    <i>
      <x v="579"/>
      <x v="630"/>
      <x v="81"/>
    </i>
    <i>
      <x v="1164"/>
      <x v="1277"/>
      <x v="274"/>
    </i>
    <i>
      <x v="586"/>
      <x v="1222"/>
      <x v="29"/>
    </i>
    <i>
      <x v="738"/>
      <x v="1096"/>
      <x v="59"/>
    </i>
    <i>
      <x v="962"/>
      <x v="673"/>
      <x v="88"/>
    </i>
    <i>
      <x v="277"/>
      <x v="812"/>
      <x v="79"/>
    </i>
    <i>
      <x v="747"/>
      <x v="1234"/>
      <x v="198"/>
    </i>
    <i>
      <x v="1397"/>
      <x v="367"/>
      <x v="29"/>
    </i>
    <i>
      <x v="980"/>
      <x v="1427"/>
      <x v="2"/>
    </i>
    <i>
      <x v="136"/>
      <x v="283"/>
      <x v="58"/>
    </i>
    <i>
      <x v="1346"/>
      <x v="1009"/>
      <x v="180"/>
    </i>
    <i>
      <x v="276"/>
      <x v="810"/>
      <x v="79"/>
    </i>
    <i>
      <x v="1333"/>
      <x v="947"/>
      <x v="26"/>
    </i>
    <i>
      <x v="1236"/>
      <x v="290"/>
      <x v="212"/>
    </i>
    <i>
      <x v="1106"/>
      <x v="1354"/>
      <x v="214"/>
    </i>
    <i>
      <x v="306"/>
      <x v="919"/>
      <x v="198"/>
    </i>
    <i>
      <x v="200"/>
      <x v="1496"/>
      <x v="29"/>
    </i>
    <i>
      <x v="208"/>
      <x v="641"/>
      <x v="155"/>
    </i>
    <i>
      <x v="304"/>
      <x v="608"/>
      <x v="29"/>
    </i>
    <i>
      <x v="693"/>
      <x v="1027"/>
      <x v="155"/>
    </i>
    <i>
      <x v="294"/>
      <x v="195"/>
      <x v="264"/>
    </i>
    <i>
      <x v="274"/>
      <x v="809"/>
      <x v="79"/>
    </i>
    <i>
      <x v="1255"/>
      <x v="1130"/>
      <x v="220"/>
    </i>
    <i>
      <x v="1358"/>
      <x v="106"/>
      <x v="47"/>
    </i>
    <i>
      <x v="1248"/>
      <x v="759"/>
      <x v="79"/>
    </i>
    <i>
      <x v="38"/>
      <x v="371"/>
      <x v="212"/>
    </i>
    <i>
      <x v="927"/>
      <x v="940"/>
      <x v="286"/>
    </i>
    <i>
      <x v="203"/>
      <x v="915"/>
      <x v="155"/>
    </i>
    <i>
      <x v="1017"/>
      <x v="1455"/>
      <x v="88"/>
    </i>
    <i>
      <x v="739"/>
      <x v="1273"/>
      <x v="59"/>
    </i>
    <i>
      <x v="368"/>
      <x v="1002"/>
      <x v="180"/>
    </i>
    <i>
      <x v="542"/>
      <x v="1409"/>
      <x v="23"/>
    </i>
    <i>
      <x v="1386"/>
      <x v="76"/>
      <x v="88"/>
    </i>
    <i>
      <x v="725"/>
      <x v="84"/>
      <x v="79"/>
    </i>
    <i>
      <x v="9"/>
      <x v="823"/>
      <x v="229"/>
    </i>
    <i>
      <x v="1399"/>
      <x v="289"/>
      <x v="88"/>
    </i>
    <i>
      <x v="928"/>
      <x v="1372"/>
      <x v="151"/>
    </i>
    <i>
      <x v="1381"/>
      <x v="110"/>
      <x v="198"/>
    </i>
    <i>
      <x v="1193"/>
      <x v="708"/>
      <x v="217"/>
    </i>
    <i>
      <x v="783"/>
      <x v="79"/>
      <x v="79"/>
    </i>
    <i>
      <x v="1300"/>
      <x v="998"/>
      <x v="180"/>
    </i>
    <i>
      <x v="139"/>
      <x v="923"/>
      <x v="58"/>
    </i>
    <i>
      <x v="470"/>
      <x v="1286"/>
      <x v="55"/>
    </i>
    <i>
      <x v="1069"/>
      <x v="775"/>
      <x v="70"/>
    </i>
    <i>
      <x v="1196"/>
      <x v="713"/>
      <x v="217"/>
    </i>
    <i>
      <x v="513"/>
      <x v="1146"/>
      <x v="33"/>
    </i>
    <i>
      <x v="1144"/>
      <x v="649"/>
      <x v="266"/>
    </i>
    <i>
      <x v="1102"/>
      <x v="578"/>
      <x v="214"/>
    </i>
    <i>
      <x v="1130"/>
      <x v="411"/>
      <x v="195"/>
    </i>
    <i>
      <x v="784"/>
      <x v="1288"/>
      <x v="128"/>
    </i>
    <i>
      <x v="1198"/>
      <x v="588"/>
      <x v="2"/>
    </i>
    <i>
      <x v="1095"/>
      <x v="1390"/>
      <x v="211"/>
    </i>
    <i>
      <x v="951"/>
      <x v="1406"/>
      <x v="157"/>
    </i>
    <i>
      <x v="872"/>
      <x v="412"/>
      <x v="195"/>
    </i>
    <i>
      <x v="1364"/>
      <x v="606"/>
      <x v="77"/>
    </i>
    <i>
      <x v="79"/>
      <x v="874"/>
      <x v="234"/>
    </i>
    <i>
      <x v="186"/>
      <x v="238"/>
      <x v="88"/>
    </i>
    <i>
      <x v="404"/>
      <x v="212"/>
      <x/>
    </i>
    <i>
      <x v="1079"/>
      <x v="74"/>
      <x v="137"/>
    </i>
    <i>
      <x v="1362"/>
      <x v="236"/>
      <x v="271"/>
    </i>
    <i>
      <x v="261"/>
      <x v="225"/>
      <x v="178"/>
    </i>
    <i>
      <x v="364"/>
      <x v="231"/>
      <x v="27"/>
    </i>
    <i>
      <x v="6"/>
      <x v="1307"/>
      <x v="229"/>
    </i>
    <i>
      <x v="943"/>
      <x v="836"/>
      <x v="10"/>
    </i>
    <i>
      <x v="67"/>
      <x v="333"/>
      <x/>
    </i>
    <i>
      <x v="321"/>
      <x v="1369"/>
      <x v="211"/>
    </i>
    <i>
      <x v="367"/>
      <x v="583"/>
      <x v="298"/>
    </i>
    <i>
      <x v="469"/>
      <x v="1233"/>
      <x v="48"/>
    </i>
    <i>
      <x v="910"/>
      <x v="224"/>
      <x v="58"/>
    </i>
    <i>
      <x v="897"/>
      <x v="697"/>
      <x v="155"/>
    </i>
    <i>
      <x v="1103"/>
      <x v="577"/>
      <x v="214"/>
    </i>
    <i>
      <x v="338"/>
      <x v="967"/>
      <x v="211"/>
    </i>
    <i>
      <x v="88"/>
      <x v="1263"/>
      <x v="27"/>
    </i>
    <i>
      <x v="68"/>
      <x v="334"/>
      <x/>
    </i>
    <i>
      <x v="991"/>
      <x v="116"/>
      <x v="29"/>
    </i>
    <i>
      <x v="1064"/>
      <x v="1239"/>
      <x v="29"/>
    </i>
    <i>
      <x v="1022"/>
      <x v="1329"/>
      <x v="198"/>
    </i>
    <i>
      <x v="1338"/>
      <x v="750"/>
      <x v="258"/>
    </i>
    <i>
      <x v="1010"/>
      <x v="1476"/>
      <x v="88"/>
    </i>
    <i>
      <x v="66"/>
      <x v="331"/>
      <x/>
    </i>
    <i>
      <x v="761"/>
      <x v="900"/>
      <x v="212"/>
    </i>
    <i>
      <x v="93"/>
      <x v="622"/>
      <x v="27"/>
    </i>
    <i>
      <x v="213"/>
      <x v="585"/>
      <x v="211"/>
    </i>
    <i>
      <x v="230"/>
      <x v="1357"/>
      <x v="175"/>
    </i>
    <i>
      <x v="337"/>
      <x v="175"/>
      <x v="39"/>
    </i>
    <i>
      <x v="340"/>
      <x v="291"/>
      <x v="211"/>
    </i>
    <i>
      <x v="7"/>
      <x v="1306"/>
      <x v="229"/>
    </i>
    <i>
      <x v="436"/>
      <x v="790"/>
      <x v="79"/>
    </i>
    <i>
      <x v="573"/>
      <x v="18"/>
      <x v="155"/>
    </i>
    <i>
      <x v="1177"/>
      <x v="676"/>
      <x v="212"/>
    </i>
    <i>
      <x v="906"/>
      <x v="1270"/>
      <x v="125"/>
    </i>
    <i>
      <x v="14"/>
      <x v="1308"/>
      <x v="112"/>
    </i>
    <i>
      <x v="538"/>
      <x v="1301"/>
      <x v="47"/>
    </i>
    <i>
      <x v="214"/>
      <x v="707"/>
      <x v="211"/>
    </i>
    <i>
      <x v="199"/>
      <x v="1385"/>
      <x v="29"/>
    </i>
    <i>
      <x v="202"/>
      <x v="644"/>
      <x v="155"/>
    </i>
    <i>
      <x v="771"/>
      <x v="829"/>
      <x v="88"/>
    </i>
    <i>
      <x v="1077"/>
      <x v="213"/>
      <x/>
    </i>
    <i>
      <x v="976"/>
      <x v="1267"/>
      <x v="27"/>
    </i>
    <i>
      <x v="658"/>
      <x v="1064"/>
      <x v="116"/>
    </i>
    <i>
      <x v="656"/>
      <x v="1508"/>
      <x v="29"/>
    </i>
    <i>
      <x v="901"/>
      <x v="1172"/>
      <x v="58"/>
    </i>
    <i>
      <x v="952"/>
      <x v="1407"/>
      <x v="157"/>
    </i>
    <i>
      <x v="967"/>
      <x v="297"/>
      <x v="27"/>
    </i>
    <i>
      <x v="1290"/>
      <x v="1023"/>
      <x v="173"/>
    </i>
    <i>
      <x v="1398"/>
      <x v="77"/>
      <x v="88"/>
    </i>
    <i>
      <x v="1091"/>
      <x v="1360"/>
      <x v="28"/>
    </i>
    <i>
      <x v="80"/>
      <x v="964"/>
      <x v="27"/>
    </i>
    <i>
      <x v="670"/>
      <x v="423"/>
      <x v="214"/>
    </i>
    <i>
      <x v="341"/>
      <x v="996"/>
      <x v="211"/>
    </i>
    <i>
      <x v="671"/>
      <x v="422"/>
      <x v="214"/>
    </i>
    <i>
      <x v="309"/>
      <x v="1189"/>
      <x v="264"/>
    </i>
    <i>
      <x v="86"/>
      <x v="1265"/>
      <x v="280"/>
    </i>
    <i>
      <x v="961"/>
      <x v="898"/>
      <x v="88"/>
    </i>
    <i>
      <x v="1107"/>
      <x v="1025"/>
      <x v="190"/>
    </i>
    <i>
      <x v="654"/>
      <x v="761"/>
      <x v="54"/>
    </i>
    <i>
      <x v="702"/>
      <x v="1226"/>
      <x v="25"/>
    </i>
    <i>
      <x v="659"/>
      <x v="883"/>
      <x v="29"/>
    </i>
    <i>
      <x v="300"/>
      <x v="601"/>
      <x v="50"/>
    </i>
    <i>
      <x v="880"/>
      <x v="1297"/>
      <x v="29"/>
    </i>
    <i>
      <x v="1111"/>
      <x v="85"/>
      <x v="79"/>
    </i>
    <i>
      <x v="1408"/>
      <x v="1368"/>
      <x v="73"/>
    </i>
    <i>
      <x v="1023"/>
      <x v="1326"/>
      <x v="88"/>
    </i>
    <i>
      <x v="1365"/>
      <x v="610"/>
      <x v="214"/>
    </i>
    <i>
      <x v="918"/>
      <x v="1296"/>
      <x v="207"/>
    </i>
    <i>
      <x v="972"/>
      <x v="624"/>
      <x v="27"/>
    </i>
    <i>
      <x v="1393"/>
      <x v="769"/>
      <x v="88"/>
    </i>
    <i>
      <x v="1287"/>
      <x v="1017"/>
      <x v="173"/>
    </i>
    <i>
      <x v="881"/>
      <x v="611"/>
      <x/>
    </i>
    <i>
      <x v="977"/>
      <x v="1380"/>
      <x v="161"/>
    </i>
    <i>
      <x v="1286"/>
      <x v="332"/>
      <x/>
    </i>
    <i>
      <x v="55"/>
      <x v="1261"/>
      <x v="27"/>
    </i>
    <i>
      <x v="60"/>
      <x v="29"/>
      <x v="127"/>
    </i>
    <i>
      <x v="168"/>
      <x v="1284"/>
      <x v="83"/>
    </i>
    <i>
      <x v="322"/>
      <x v="194"/>
      <x v="73"/>
    </i>
    <i>
      <x v="1033"/>
      <x v="115"/>
      <x v="29"/>
    </i>
    <i>
      <x v="1219"/>
      <x v="1426"/>
      <x v="109"/>
    </i>
    <i>
      <x v="578"/>
      <x v="893"/>
      <x v="88"/>
    </i>
    <i>
      <x v="16"/>
      <x v="833"/>
      <x v="88"/>
    </i>
    <i>
      <x v="1394"/>
      <x v="643"/>
      <x v="155"/>
    </i>
    <i>
      <x v="460"/>
      <x v="204"/>
      <x v="1"/>
    </i>
    <i>
      <x v="749"/>
      <x v="887"/>
      <x v="58"/>
    </i>
    <i>
      <x v="574"/>
      <x v="888"/>
      <x v="155"/>
    </i>
    <i>
      <x v="598"/>
      <x v="1054"/>
      <x v="155"/>
    </i>
    <i>
      <x v="1011"/>
      <x v="1507"/>
      <x v="29"/>
    </i>
    <i>
      <x v="1208"/>
      <x v="719"/>
      <x v="217"/>
    </i>
    <i>
      <x v="1229"/>
      <x v="1141"/>
      <x v="225"/>
    </i>
    <i>
      <x v="1187"/>
      <x v="262"/>
      <x v="215"/>
    </i>
    <i>
      <x v="1337"/>
      <x v="37"/>
      <x v="256"/>
    </i>
    <i>
      <x v="814"/>
      <x v="35"/>
      <x v="127"/>
    </i>
    <i>
      <x v="1312"/>
      <x v="1333"/>
      <x v="265"/>
    </i>
    <i>
      <x v="1344"/>
      <x v="98"/>
      <x v="35"/>
    </i>
    <i>
      <x v="1392"/>
      <x v="86"/>
      <x v="287"/>
    </i>
    <i>
      <x v="1294"/>
      <x v="966"/>
      <x v="27"/>
    </i>
    <i>
      <x v="825"/>
      <x v="1264"/>
      <x v="27"/>
    </i>
    <i>
      <x v="1434"/>
      <x v="211"/>
      <x/>
    </i>
    <i>
      <x v="1269"/>
      <x v="1344"/>
      <x v="283"/>
    </i>
    <i>
      <x v="1307"/>
      <x v="1319"/>
      <x v="147"/>
    </i>
    <i>
      <x v="1195"/>
      <x v="726"/>
      <x v="217"/>
    </i>
    <i>
      <x v="1283"/>
      <x v="625"/>
      <x v="161"/>
    </i>
    <i>
      <x v="220"/>
      <x v="842"/>
      <x v="208"/>
    </i>
    <i>
      <x v="81"/>
      <x v="965"/>
      <x v="27"/>
    </i>
    <i>
      <x v="431"/>
      <x v="954"/>
      <x v="50"/>
    </i>
    <i>
      <x v="422"/>
      <x v="853"/>
      <x v="79"/>
    </i>
    <i>
      <x v="215"/>
      <x v="712"/>
      <x v="211"/>
    </i>
    <i>
      <x v="676"/>
      <x v="1393"/>
      <x v="211"/>
    </i>
    <i>
      <x v="221"/>
      <x v="843"/>
    </i>
    <i>
      <x v="256"/>
      <x v="841"/>
      <x v="208"/>
    </i>
    <i>
      <x v="614"/>
      <x v="19"/>
      <x v="58"/>
    </i>
    <i>
      <x v="219"/>
      <x v="820"/>
      <x v="12"/>
    </i>
    <i>
      <x v="580"/>
      <x v="877"/>
      <x v="63"/>
    </i>
    <i>
      <x v="700"/>
      <x v="1225"/>
      <x v="25"/>
    </i>
    <i>
      <x v="847"/>
      <x v="1137"/>
      <x v="198"/>
    </i>
    <i>
      <x v="1356"/>
      <x v="564"/>
      <x v="41"/>
    </i>
    <i>
      <x v="1138"/>
      <x v="1403"/>
      <x v="197"/>
    </i>
    <i>
      <x v="1288"/>
      <x v="1021"/>
      <x v="173"/>
    </i>
    <i>
      <x v="1094"/>
      <x v="1397"/>
      <x v="214"/>
    </i>
    <i>
      <x v="1235"/>
      <x v="10"/>
      <x v="268"/>
    </i>
    <i>
      <x v="343"/>
      <x v="1246"/>
      <x v="25"/>
    </i>
    <i>
      <x v="522"/>
      <x v="425"/>
      <x v="214"/>
    </i>
    <i>
      <x v="516"/>
      <x v="191"/>
      <x v="63"/>
    </i>
    <i>
      <x v="69"/>
      <x v="335"/>
      <x v="25"/>
    </i>
    <i>
      <x v="76"/>
      <x v="793"/>
      <x v="27"/>
    </i>
    <i>
      <x v="624"/>
      <x v="542"/>
      <x v="214"/>
    </i>
    <i>
      <x v="231"/>
      <x v="1358"/>
      <x v="175"/>
    </i>
    <i>
      <x v="451"/>
      <x v="1266"/>
      <x v="280"/>
    </i>
    <i>
      <x v="567"/>
      <x v="338"/>
      <x v="29"/>
    </i>
    <i>
      <x v="1387"/>
      <x v="385"/>
      <x v="187"/>
    </i>
    <i>
      <x v="736"/>
      <x v="485"/>
      <x v="179"/>
    </i>
    <i>
      <x v="734"/>
      <x v="486"/>
      <x v="179"/>
    </i>
    <i>
      <x v="732"/>
      <x v="484"/>
      <x v="179"/>
    </i>
    <i>
      <x v="733"/>
      <x v="482"/>
      <x v="179"/>
    </i>
    <i>
      <x v="339"/>
      <x v="968"/>
      <x v="211"/>
    </i>
    <i>
      <x v="735"/>
      <x v="483"/>
      <x v="179"/>
    </i>
    <i>
      <x v="737"/>
      <x v="487"/>
      <x v="179"/>
    </i>
    <i>
      <x v="720"/>
      <x v="1184"/>
      <x v="264"/>
    </i>
    <i>
      <x v="273"/>
      <x v="805"/>
      <x v="79"/>
    </i>
    <i>
      <x v="754"/>
      <x v="885"/>
      <x v="88"/>
    </i>
    <i>
      <x v="1200"/>
      <x v="942"/>
      <x v="29"/>
    </i>
    <i>
      <x v="812"/>
      <x v="1163"/>
      <x v="41"/>
    </i>
    <i>
      <x v="866"/>
      <x v="234"/>
      <x v="27"/>
    </i>
    <i>
      <x v="1070"/>
      <x v="66"/>
      <x v="29"/>
    </i>
    <i>
      <x v="1347"/>
      <x v="550"/>
      <x v="41"/>
    </i>
    <i>
      <x v="1048"/>
      <x v="325"/>
      <x v="58"/>
    </i>
    <i>
      <x v="1088"/>
      <x v="87"/>
      <x v="187"/>
    </i>
    <i>
      <x v="432"/>
      <x v="955"/>
      <x v="50"/>
    </i>
    <i>
      <x v="23"/>
      <x v="660"/>
      <x v="27"/>
    </i>
    <i>
      <x v="224"/>
      <x v="941"/>
      <x v="276"/>
    </i>
    <i>
      <x v="705"/>
      <x v="1232"/>
      <x v="58"/>
    </i>
    <i>
      <x v="56"/>
      <x v="370"/>
      <x v="266"/>
    </i>
    <i>
      <x v="1301"/>
      <x v="997"/>
      <x v="180"/>
    </i>
    <i>
      <x v="837"/>
      <x v="504"/>
      <x v="214"/>
    </i>
    <i>
      <x v="1348"/>
      <x v="548"/>
      <x v="41"/>
    </i>
    <i>
      <x v="1234"/>
      <x v="346"/>
      <x v="214"/>
    </i>
    <i>
      <x v="1409"/>
      <x v="278"/>
      <x v="291"/>
    </i>
    <i>
      <x v="1241"/>
      <x v="345"/>
      <x v="214"/>
    </i>
    <i>
      <x v="1247"/>
      <x v="1142"/>
      <x v="198"/>
    </i>
    <i>
      <x v="267"/>
      <x v="1346"/>
      <x v="47"/>
    </i>
    <i>
      <x v="523"/>
      <x v="424"/>
      <x v="214"/>
    </i>
    <i>
      <x v="458"/>
      <x v="905"/>
      <x v="198"/>
    </i>
    <i>
      <x v="900"/>
      <x v="1174"/>
      <x v="58"/>
    </i>
    <i>
      <x v="907"/>
      <x v="53"/>
      <x v="71"/>
    </i>
    <i>
      <x v="1359"/>
      <x v="1018"/>
      <x v="173"/>
    </i>
    <i>
      <x v="1100"/>
      <x v="576"/>
      <x v="214"/>
    </i>
    <i>
      <x v="73"/>
      <x v="694"/>
      <x v="266"/>
    </i>
    <i>
      <x v="352"/>
      <x v="70"/>
      <x v="245"/>
    </i>
    <i>
      <x v="249"/>
      <x v="735"/>
      <x v="33"/>
    </i>
    <i>
      <x v="46"/>
      <x v="1211"/>
      <x v="266"/>
    </i>
    <i>
      <x v="150"/>
      <x v="1292"/>
      <x v="82"/>
    </i>
    <i>
      <x v="568"/>
      <x v="339"/>
      <x v="29"/>
    </i>
    <i>
      <x v="247"/>
      <x v="937"/>
      <x v="279"/>
    </i>
    <i>
      <x v="894"/>
      <x v="1238"/>
      <x v="59"/>
    </i>
    <i>
      <x v="836"/>
      <x v="503"/>
      <x v="214"/>
    </i>
    <i>
      <x v="1189"/>
      <x v="42"/>
      <x v="175"/>
    </i>
    <i>
      <x v="1291"/>
      <x v="1020"/>
      <x v="173"/>
    </i>
    <i>
      <x v="839"/>
      <x v="502"/>
      <x v="214"/>
    </i>
    <i>
      <x v="151"/>
      <x v="1293"/>
      <x v="58"/>
    </i>
    <i>
      <x v="613"/>
      <x v="101"/>
      <x v="35"/>
    </i>
    <i>
      <x v="323"/>
      <x v="300"/>
      <x v="50"/>
    </i>
    <i>
      <x v="664"/>
      <x v="1424"/>
      <x v="58"/>
    </i>
    <i>
      <x v="17"/>
      <x v="172"/>
      <x v="25"/>
    </i>
    <i>
      <x v="228"/>
      <x v="1241"/>
      <x v="94"/>
    </i>
    <i>
      <x v="902"/>
      <x v="1175"/>
      <x v="223"/>
    </i>
    <i>
      <x v="25"/>
      <x v="680"/>
      <x v="266"/>
    </i>
    <i>
      <x v="1243"/>
      <x v="99"/>
      <x v="35"/>
    </i>
    <i>
      <x v="774"/>
      <x v="904"/>
      <x v="198"/>
    </i>
    <i>
      <x v="138"/>
      <x v="764"/>
      <x v="198"/>
    </i>
    <i>
      <x v="193"/>
      <x v="817"/>
      <x v="29"/>
    </i>
    <i>
      <x v="1101"/>
      <x v="579"/>
      <x v="214"/>
    </i>
    <i>
      <x v="908"/>
      <x v="242"/>
      <x v="29"/>
    </i>
    <i>
      <x v="1191"/>
      <x v="39"/>
      <x v="175"/>
    </i>
    <i>
      <x v="1240"/>
      <x v="1139"/>
      <x v="58"/>
    </i>
    <i>
      <x v="838"/>
      <x v="501"/>
      <x v="214"/>
    </i>
    <i>
      <x v="170"/>
      <x v="1191"/>
      <x v="29"/>
    </i>
    <i>
      <x v="24"/>
      <x v="679"/>
      <x v="266"/>
    </i>
    <i>
      <x v="311"/>
      <x v="1193"/>
      <x v="29"/>
    </i>
    <i>
      <x v="1352"/>
      <x v="1247"/>
      <x v="25"/>
    </i>
    <i>
      <x v="1038"/>
      <x v="703"/>
      <x v="58"/>
    </i>
    <i>
      <x v="165"/>
      <x v="1208"/>
      <x v="164"/>
    </i>
    <i>
      <x v="514"/>
      <x v="284"/>
      <x v="58"/>
    </i>
    <i>
      <x v="455"/>
      <x v="918"/>
      <x v="198"/>
    </i>
    <i>
      <x v="320"/>
      <x v="177"/>
      <x v="39"/>
    </i>
    <i>
      <x v="1071"/>
      <x v="698"/>
      <x v="155"/>
    </i>
    <i>
      <x v="724"/>
      <x v="54"/>
      <x v="71"/>
    </i>
    <i>
      <x v="1030"/>
      <x v="1084"/>
      <x v="155"/>
    </i>
    <i>
      <x v="842"/>
      <x v="505"/>
      <x v="214"/>
    </i>
    <i>
      <x v="661"/>
      <x v="118"/>
      <x v="29"/>
    </i>
    <i>
      <x v="48"/>
      <x v="1260"/>
      <x v="27"/>
    </i>
    <i>
      <x v="1367"/>
      <x v="732"/>
      <x v="272"/>
    </i>
    <i>
      <x v="840"/>
      <x v="507"/>
      <x v="214"/>
    </i>
    <i>
      <x v="1379"/>
      <x v="418"/>
      <x v="264"/>
    </i>
    <i>
      <x v="758"/>
      <x v="1486"/>
      <x v="266"/>
    </i>
    <i>
      <x v="1053"/>
      <x v="957"/>
      <x v="170"/>
    </i>
    <i>
      <x v="1209"/>
      <x v="1200"/>
      <x v="176"/>
    </i>
    <i>
      <x v="1093"/>
      <x v="819"/>
      <x v="12"/>
    </i>
    <i>
      <x v="843"/>
      <x v="506"/>
      <x v="214"/>
    </i>
    <i>
      <x v="1303"/>
      <x v="1049"/>
      <x v="288"/>
    </i>
    <i>
      <x v="1099"/>
      <x v="575"/>
      <x v="214"/>
    </i>
    <i>
      <x v="312"/>
      <x v="1197"/>
      <x v="29"/>
    </i>
    <i>
      <x v="450"/>
      <x v="1377"/>
      <x v="266"/>
    </i>
    <i>
      <x v="1092"/>
      <x v="90"/>
      <x v="179"/>
    </i>
    <i>
      <x v="1389"/>
      <x v="1058"/>
      <x v="25"/>
    </i>
    <i>
      <x v="347"/>
      <x v="1159"/>
      <x v="13"/>
    </i>
    <i>
      <x v="468"/>
      <x v="1378"/>
      <x v="266"/>
    </i>
    <i>
      <x v="721"/>
      <x v="1187"/>
      <x v="29"/>
    </i>
    <i>
      <x v="44"/>
      <x v="31"/>
      <x v="63"/>
    </i>
    <i>
      <x v="1050"/>
      <x v="1047"/>
      <x v="58"/>
    </i>
    <i>
      <x v="813"/>
      <x v="376"/>
      <x v="219"/>
    </i>
    <i>
      <x v="841"/>
      <x v="508"/>
      <x v="214"/>
    </i>
    <i>
      <x v="471"/>
      <x v="1024"/>
      <x v="257"/>
    </i>
    <i>
      <x v="1024"/>
      <x v="1324"/>
      <x v="88"/>
    </i>
    <i>
      <x v="1232"/>
      <x v="340"/>
      <x v="226"/>
    </i>
    <i>
      <x v="1076"/>
      <x v="321"/>
      <x v="173"/>
    </i>
    <i>
      <x v="314"/>
      <x v="68"/>
      <x v="264"/>
    </i>
    <i>
      <x v="307"/>
      <x v="1062"/>
      <x v="290"/>
    </i>
    <i>
      <x v="152"/>
      <x v="1383"/>
      <x v="58"/>
    </i>
    <i>
      <x v="206"/>
      <x v="1074"/>
      <x v="29"/>
    </i>
    <i>
      <x v="755"/>
      <x v="32"/>
      <x v="63"/>
    </i>
    <i>
      <x v="209"/>
      <x v="107"/>
      <x v="12"/>
    </i>
    <i>
      <x v="1112"/>
      <x v="1122"/>
      <x v="26"/>
    </i>
    <i>
      <x v="315"/>
      <x v="72"/>
      <x v="264"/>
    </i>
    <i>
      <x v="896"/>
      <x v="1207"/>
      <x v="29"/>
    </i>
    <i>
      <x v="557"/>
      <x v="459"/>
      <x v="214"/>
    </i>
    <i>
      <x v="555"/>
      <x v="446"/>
      <x v="214"/>
    </i>
    <i>
      <x v="360"/>
      <x v="407"/>
      <x v="105"/>
    </i>
    <i>
      <x v="556"/>
      <x v="452"/>
      <x v="214"/>
    </i>
    <i>
      <x v="1045"/>
      <x v="94"/>
      <x v="35"/>
    </i>
    <i>
      <x v="87"/>
      <x v="1421"/>
      <x v="180"/>
    </i>
    <i>
      <x v="554"/>
      <x v="439"/>
      <x v="214"/>
    </i>
    <i>
      <x v="166"/>
      <x v="1209"/>
      <x v="25"/>
    </i>
    <i>
      <x v="723"/>
      <x v="846"/>
      <x v="198"/>
    </i>
    <i>
      <x v="1388"/>
      <x v="1322"/>
      <x v="187"/>
    </i>
    <i>
      <x v="310"/>
      <x v="1188"/>
      <x v="29"/>
    </i>
    <i>
      <x v="185"/>
      <x v="1101"/>
      <x v="47"/>
    </i>
    <i>
      <x v="299"/>
      <x v="598"/>
      <x v="77"/>
    </i>
    <i>
      <x v="303"/>
      <x v="607"/>
      <x v="264"/>
    </i>
    <i>
      <x v="655"/>
      <x v="1177"/>
      <x v="29"/>
    </i>
    <i>
      <x v="1252"/>
      <x v="552"/>
      <x v="214"/>
    </i>
    <i>
      <x v="145"/>
      <x v="933"/>
      <x v="58"/>
    </i>
    <i>
      <x v="726"/>
      <x v="255"/>
      <x v="274"/>
    </i>
    <i>
      <x v="177"/>
      <x v="1291"/>
      <x v="71"/>
    </i>
    <i>
      <x v="140"/>
      <x v="925"/>
      <x v="58"/>
    </i>
    <i>
      <x v="926"/>
      <x v="939"/>
      <x v="151"/>
    </i>
    <i>
      <x v="966"/>
      <x v="1215"/>
      <x v="266"/>
    </i>
    <i>
      <x v="167"/>
      <x v="1282"/>
      <x v="83"/>
    </i>
    <i>
      <x v="437"/>
      <x v="868"/>
      <x v="159"/>
    </i>
    <i>
      <x v="82"/>
      <x v="1014"/>
      <x v="63"/>
    </i>
    <i>
      <x v="696"/>
      <x v="1374"/>
      <x v="1"/>
    </i>
    <i>
      <x v="1260"/>
      <x v="674"/>
      <x v="266"/>
    </i>
    <i>
      <x v="1032"/>
      <x v="561"/>
      <x v="29"/>
    </i>
    <i>
      <x v="173"/>
      <x v="245"/>
      <x v="274"/>
    </i>
    <i>
      <x v="143"/>
      <x v="931"/>
      <x v="198"/>
    </i>
    <i>
      <x v="1372"/>
      <x v="1295"/>
      <x v="147"/>
    </i>
    <i>
      <x v="453"/>
      <x v="362"/>
      <x v="155"/>
    </i>
    <i>
      <x v="61"/>
      <x v="92"/>
      <x v="63"/>
    </i>
    <i>
      <x v="996"/>
      <x v="1513"/>
      <x v="58"/>
    </i>
    <i>
      <x v="1049"/>
      <x v="603"/>
      <x/>
    </i>
    <i>
      <x v="994"/>
      <x v="910"/>
      <x v="29"/>
    </i>
    <i>
      <x v="70"/>
      <x v="405"/>
      <x v="299"/>
    </i>
    <i>
      <x v="194"/>
      <x v="1221"/>
      <x v="70"/>
    </i>
    <i>
      <x v="672"/>
      <x v="421"/>
      <x v="214"/>
    </i>
    <i>
      <x v="298"/>
      <x v="597"/>
      <x v="77"/>
    </i>
    <i>
      <x v="564"/>
      <x v="892"/>
      <x v="53"/>
    </i>
    <i>
      <x v="351"/>
      <x v="103"/>
      <x v="194"/>
    </i>
    <i>
      <x v="762"/>
      <x v="894"/>
      <x v="266"/>
    </i>
    <i>
      <x v="1366"/>
      <x v="1206"/>
      <x v="77"/>
    </i>
    <i>
      <x v="142"/>
      <x v="929"/>
      <x v="58"/>
    </i>
    <i>
      <x v="698"/>
      <x v="908"/>
      <x v="29"/>
    </i>
    <i>
      <x v="577"/>
      <x v="328"/>
      <x v="198"/>
    </i>
    <i>
      <x v="430"/>
      <x v="1059"/>
      <x v="25"/>
    </i>
    <i>
      <x v="180"/>
      <x v="1290"/>
      <x v="71"/>
    </i>
    <i>
      <x v="1395"/>
      <x v="837"/>
      <x v="10"/>
    </i>
    <i>
      <x v="1238"/>
      <x v="1335"/>
      <x v="266"/>
    </i>
    <i>
      <x v="1119"/>
      <x v="599"/>
      <x v="29"/>
    </i>
    <i>
      <x v="1231"/>
      <x v="342"/>
      <x v="226"/>
    </i>
    <i>
      <x v="917"/>
      <x v="248"/>
      <x v="274"/>
    </i>
    <i>
      <x v="1310"/>
      <x v="247"/>
      <x v="247"/>
    </i>
    <i>
      <x v="144"/>
      <x v="932"/>
      <x v="58"/>
    </i>
    <i>
      <x v="845"/>
      <x v="572"/>
      <x v="198"/>
    </i>
    <i>
      <x v="992"/>
      <x v="117"/>
      <x v="121"/>
    </i>
    <i>
      <x v="1"/>
      <x v="825"/>
      <x v="289"/>
    </i>
    <i>
      <x v="965"/>
      <x v="312"/>
      <x v="159"/>
    </i>
    <i>
      <x v="452"/>
      <x v="182"/>
      <x v="29"/>
    </i>
    <i>
      <x v="134"/>
      <x v="111"/>
      <x v="63"/>
    </i>
    <i>
      <x v="571"/>
      <x v="301"/>
      <x v="29"/>
    </i>
    <i>
      <x v="295"/>
      <x v="257"/>
      <x v="274"/>
    </i>
    <i>
      <x v="958"/>
      <x v="677"/>
      <x v="266"/>
    </i>
    <i>
      <x v="959"/>
      <x v="678"/>
      <x v="266"/>
    </i>
    <i>
      <x v="565"/>
      <x v="108"/>
      <x v="63"/>
    </i>
    <i>
      <x v="1178"/>
      <x v="252"/>
      <x v="88"/>
    </i>
    <i>
      <x v="911"/>
      <x v="361"/>
      <x v="29"/>
    </i>
    <i>
      <x v="178"/>
      <x v="756"/>
      <x v="44"/>
    </i>
    <i>
      <x v="1147"/>
      <x v="762"/>
      <x v="29"/>
    </i>
    <i>
      <x v="1019"/>
      <x v="1469"/>
      <x v="29"/>
    </i>
    <i>
      <x v="895"/>
      <x v="258"/>
      <x v="274"/>
    </i>
    <i>
      <x v="1121"/>
      <x v="259"/>
      <x v="245"/>
    </i>
    <i>
      <x v="50"/>
      <x v="648"/>
      <x v="212"/>
    </i>
    <i>
      <x v="1396"/>
      <x v="368"/>
      <x v="29"/>
    </i>
    <i>
      <x v="1027"/>
      <x v="1100"/>
      <x v="88"/>
    </i>
    <i>
      <x v="423"/>
      <x v="1328"/>
      <x v="88"/>
    </i>
    <i>
      <x v="582"/>
      <x v="659"/>
      <x v="266"/>
    </i>
    <i>
      <x v="964"/>
      <x v="1219"/>
      <x v="63"/>
    </i>
    <i>
      <x v="21"/>
      <x v="657"/>
      <x v="266"/>
    </i>
    <i>
      <x v="1067"/>
      <x v="944"/>
      <x v="155"/>
    </i>
    <i>
      <x v="1201"/>
      <x v="1316"/>
      <x v="274"/>
    </i>
    <i>
      <x v="1311"/>
      <x v="1276"/>
      <x v="247"/>
    </i>
    <i>
      <x v="1013"/>
      <x v="1279"/>
      <x v="29"/>
    </i>
    <i>
      <x v="760"/>
      <x v="875"/>
      <x v="63"/>
    </i>
    <i>
      <x v="1000"/>
      <x v="1518"/>
      <x v="58"/>
    </i>
    <i>
      <x v="1018"/>
      <x v="1098"/>
      <x v="88"/>
    </i>
    <i>
      <x v="313"/>
      <x v="755"/>
      <x v="29"/>
    </i>
    <i>
      <x v="757"/>
      <x v="1485"/>
      <x v="266"/>
    </i>
    <i>
      <x v="251"/>
      <x v="747"/>
      <x v="65"/>
    </i>
    <i>
      <x v="820"/>
      <x v="1218"/>
      <x v="63"/>
    </i>
    <i>
      <x v="1159"/>
      <x v="253"/>
      <x v="274"/>
    </i>
    <i>
      <x v="444"/>
      <x v="185"/>
      <x v="63"/>
    </i>
    <i>
      <x v="701"/>
      <x v="363"/>
      <x v="121"/>
    </i>
    <i>
      <x v="999"/>
      <x v="1517"/>
      <x v="58"/>
    </i>
    <i>
      <x v="1228"/>
      <x v="188"/>
      <x v="63"/>
    </i>
    <i>
      <x v="1002"/>
      <x v="1520"/>
      <x v="58"/>
    </i>
    <i>
      <x v="1005"/>
      <x v="1523"/>
      <x v="58"/>
    </i>
    <i>
      <x v="52"/>
      <x v="897"/>
      <x v="266"/>
    </i>
    <i>
      <x v="1233"/>
      <x v="896"/>
      <x v="266"/>
    </i>
    <i>
      <x v="57"/>
      <x v="647"/>
      <x v="212"/>
    </i>
    <i>
      <x v="442"/>
      <x v="183"/>
      <x v="63"/>
    </i>
    <i>
      <x v="443"/>
      <x v="184"/>
      <x v="63"/>
    </i>
    <i>
      <x v="1239"/>
      <x v="1339"/>
      <x v="266"/>
    </i>
    <i>
      <x v="1001"/>
      <x v="1519"/>
      <x v="58"/>
    </i>
    <i>
      <x v="1012"/>
      <x v="360"/>
      <x v="37"/>
    </i>
    <i>
      <x v="172"/>
      <x v="559"/>
      <x v="58"/>
    </i>
    <i>
      <x v="1361"/>
      <x v="1497"/>
      <x v="270"/>
    </i>
    <i>
      <x v="1034"/>
      <x v="114"/>
      <x v="29"/>
    </i>
    <i>
      <x v="1403"/>
      <x v="288"/>
      <x v="266"/>
    </i>
    <i>
      <x v="1118"/>
      <x v="250"/>
      <x v="29"/>
    </i>
    <i>
      <x v="717"/>
      <x v="1433"/>
      <x v="58"/>
    </i>
    <i>
      <x v="161"/>
      <x v="656"/>
      <x v="266"/>
    </i>
    <i>
      <x v="1259"/>
      <x v="186"/>
      <x v="63"/>
    </i>
    <i>
      <x v="1341"/>
      <x v="1030"/>
      <x v="297"/>
    </i>
    <i>
      <x v="433"/>
      <x v="187"/>
      <x v="63"/>
    </i>
    <i>
      <x v="49"/>
      <x v="1285"/>
      <x v="63"/>
    </i>
    <i>
      <x v="1029"/>
      <x v="359"/>
      <x v="37"/>
    </i>
    <i>
      <x v="712"/>
      <x v="1275"/>
      <x v="29"/>
    </i>
    <i>
      <x v="175"/>
      <x v="1315"/>
      <x v="274"/>
    </i>
    <i>
      <x v="1343"/>
      <x v="1034"/>
      <x v="159"/>
    </i>
    <i>
      <x v="1004"/>
      <x v="1522"/>
      <x v="58"/>
    </i>
    <i>
      <x v="1115"/>
      <x v="254"/>
      <x v="29"/>
    </i>
    <i>
      <x v="22"/>
      <x v="658"/>
      <x v="212"/>
    </i>
    <i>
      <x v="633"/>
      <x v="1112"/>
      <x v="88"/>
    </i>
    <i>
      <x v="1028"/>
      <x v="1516"/>
      <x v="198"/>
    </i>
    <i>
      <x v="447"/>
      <x v="1340"/>
      <x v="88"/>
    </i>
    <i>
      <x v="157"/>
      <x v="1459"/>
      <x v="198"/>
    </i>
    <i>
      <x v="1340"/>
      <x v="1115"/>
      <x v="88"/>
    </i>
    <i>
      <x v="1400"/>
      <x v="285"/>
      <x v="266"/>
    </i>
    <i>
      <x v="1402"/>
      <x v="286"/>
      <x v="266"/>
    </i>
    <i>
      <x v="1404"/>
      <x v="1338"/>
      <x v="266"/>
    </i>
    <i>
      <x v="1405"/>
      <x v="1337"/>
      <x v="266"/>
    </i>
    <i>
      <x v="1174"/>
      <x v="1087"/>
      <x v="121"/>
    </i>
    <i>
      <x v="727"/>
      <x v="1271"/>
      <x v="29"/>
    </i>
    <i>
      <x v="156"/>
      <x v="1457"/>
      <x v="29"/>
    </i>
    <i>
      <x v="179"/>
      <x v="1440"/>
      <x v="29"/>
    </i>
    <i>
      <x v="662"/>
      <x v="774"/>
      <x v="29"/>
    </i>
    <i>
      <x v="158"/>
      <x v="1461"/>
      <x v="29"/>
    </i>
    <i>
      <x v="740"/>
      <x v="246"/>
      <x v="115"/>
    </i>
    <i>
      <x v="182"/>
      <x v="653"/>
      <x v="29"/>
    </i>
    <i>
      <x v="1041"/>
      <x v="1441"/>
      <x v="274"/>
    </i>
    <i>
      <x v="660"/>
      <x v="1445"/>
      <x v="274"/>
    </i>
    <i>
      <x v="585"/>
      <x v="1454"/>
      <x v="29"/>
    </i>
    <i>
      <x v="1026"/>
      <x v="1474"/>
      <x v="29"/>
    </i>
    <i>
      <x v="1020"/>
      <x v="1048"/>
      <x v="29"/>
    </i>
    <i>
      <x v="153"/>
      <x v="1434"/>
      <x v="198"/>
    </i>
    <i>
      <x v="1037"/>
      <x v="1274"/>
      <x v="29"/>
    </i>
    <i>
      <x v="1401"/>
      <x v="1336"/>
      <x v="266"/>
    </i>
    <i>
      <x v="711"/>
      <x v="1042"/>
      <x v="29"/>
    </i>
    <i>
      <x v="1009"/>
      <x v="1472"/>
      <x v="29"/>
    </i>
    <i>
      <x v="1160"/>
      <x v="1305"/>
      <x v="198"/>
    </i>
    <i>
      <x v="155"/>
      <x v="1456"/>
      <x v="29"/>
    </i>
    <i>
      <x v="159"/>
      <x v="1467"/>
      <x v="29"/>
    </i>
    <i>
      <x v="1015"/>
      <x v="1446"/>
      <x v="29"/>
    </i>
    <i>
      <x v="154"/>
      <x v="1453"/>
      <x v="29"/>
    </i>
    <i>
      <x v="893"/>
      <x v="1450"/>
      <x v="274"/>
    </i>
    <i>
      <x v="1031"/>
      <x v="1475"/>
      <x v="88"/>
    </i>
    <i>
      <x v="572"/>
      <x v="1471"/>
      <x v="29"/>
    </i>
    <i>
      <x v="759"/>
      <x v="1205"/>
      <x v="63"/>
    </i>
    <i>
      <x v="1036"/>
      <x v="1479"/>
      <x v="29"/>
    </i>
    <i>
      <x v="694"/>
      <x v="15"/>
      <x v="29"/>
    </i>
    <i>
      <x v="715"/>
      <x v="1470"/>
      <x v="29"/>
    </i>
    <i>
      <x v="1040"/>
      <x v="1180"/>
      <x v="29"/>
    </i>
    <i>
      <x v="162"/>
      <x v="1480"/>
      <x v="88"/>
    </i>
    <i>
      <x v="707"/>
      <x v="1099"/>
      <x v="29"/>
    </i>
    <i>
      <x v="1008"/>
      <x v="1460"/>
      <x v="88"/>
    </i>
    <i>
      <x v="903"/>
      <x v="654"/>
      <x v="266"/>
    </i>
    <i>
      <x v="28"/>
      <x v="683"/>
      <x v="88"/>
    </i>
    <i>
      <x v="714"/>
      <x v="1462"/>
      <x v="88"/>
    </i>
  </rowItems>
  <colFields count="1">
    <field x="-2"/>
  </colFields>
  <colItems count="8">
    <i>
      <x/>
    </i>
    <i i="1">
      <x v="1"/>
    </i>
    <i i="2">
      <x v="2"/>
    </i>
    <i i="3">
      <x v="3"/>
    </i>
    <i i="4">
      <x v="4"/>
    </i>
    <i i="5">
      <x v="5"/>
    </i>
    <i i="6">
      <x v="6"/>
    </i>
    <i i="7">
      <x v="7"/>
    </i>
  </colItems>
  <dataFields count="8">
    <dataField name="Toplam İhtiyaç" fld="5" baseField="0" baseItem="0"/>
    <dataField name="PROJELERE_ÇIKIŞLAR" fld="7" baseField="14" baseItem="88"/>
    <dataField name="Depo Stok" fld="8" subtotal="average" baseField="4" baseItem="245"/>
    <dataField name="ÜRETİM_DEPO" fld="9" subtotal="average" baseField="14" baseItem="88" numFmtId="1"/>
    <dataField name="Açık Siparişler" fld="11" subtotal="average" baseField="4" baseItem="246"/>
    <dataField name="Toplam Satınalma" fld="10" subtotal="average" baseField="4" baseItem="65"/>
    <dataField name="Birim Fiyat" fld="13" subtotal="average" baseField="4" baseItem="22" numFmtId="164"/>
    <dataField name="Toplam Maliyet" fld="12" subtotal="average" baseField="4" baseItem="262" numFmtId="164"/>
  </dataFields>
  <formats count="370">
    <format dxfId="382">
      <pivotArea type="all" dataOnly="0" outline="0" fieldPosition="0"/>
    </format>
    <format dxfId="381">
      <pivotArea outline="0" collapsedLevelsAreSubtotals="1" fieldPosition="0"/>
    </format>
    <format dxfId="380">
      <pivotArea dataOnly="0" labelOnly="1" outline="0" fieldPosition="0">
        <references count="1">
          <reference field="3" count="45">
            <x v="0"/>
            <x v="1"/>
            <x v="2"/>
            <x v="3"/>
            <x v="4"/>
            <x v="5"/>
            <x v="6"/>
            <x v="7"/>
            <x v="8"/>
            <x v="9"/>
            <x v="10"/>
            <x v="11"/>
            <x v="12"/>
            <x v="13"/>
            <x v="14"/>
            <x v="15"/>
            <x v="16"/>
            <x v="17"/>
            <x v="18"/>
            <x v="19"/>
            <x v="20"/>
            <x v="21"/>
            <x v="22"/>
            <x v="23"/>
            <x v="24"/>
            <x v="25"/>
            <x v="26"/>
            <x v="27"/>
            <x v="28"/>
            <x v="29"/>
            <x v="30"/>
            <x v="31"/>
            <x v="32"/>
            <x v="33"/>
            <x v="34"/>
            <x v="35"/>
            <x v="36"/>
            <x v="37"/>
            <x v="38"/>
            <x v="39"/>
            <x v="40"/>
            <x v="41"/>
            <x v="42"/>
            <x v="43"/>
            <x v="44"/>
          </reference>
        </references>
      </pivotArea>
    </format>
    <format dxfId="379">
      <pivotArea dataOnly="0" labelOnly="1" outline="0" fieldPosition="0">
        <references count="1">
          <reference field="3" count="41">
            <x v="45"/>
            <x v="46"/>
            <x v="47"/>
            <x v="48"/>
            <x v="49"/>
            <x v="50"/>
            <x v="51"/>
            <x v="52"/>
            <x v="53"/>
            <x v="54"/>
            <x v="55"/>
            <x v="56"/>
            <x v="57"/>
            <x v="58"/>
            <x v="59"/>
            <x v="60"/>
            <x v="61"/>
            <x v="62"/>
            <x v="63"/>
            <x v="64"/>
            <x v="65"/>
            <x v="66"/>
            <x v="67"/>
            <x v="68"/>
            <x v="69"/>
            <x v="70"/>
            <x v="71"/>
            <x v="72"/>
            <x v="73"/>
            <x v="74"/>
            <x v="75"/>
            <x v="76"/>
            <x v="77"/>
            <x v="78"/>
            <x v="79"/>
            <x v="80"/>
            <x v="81"/>
            <x v="82"/>
            <x v="83"/>
            <x v="84"/>
            <x v="85"/>
          </reference>
        </references>
      </pivotArea>
    </format>
    <format dxfId="378">
      <pivotArea dataOnly="0" labelOnly="1" outline="0" fieldPosition="0">
        <references count="1">
          <reference field="3" count="32">
            <x v="86"/>
            <x v="87"/>
            <x v="88"/>
            <x v="89"/>
            <x v="90"/>
            <x v="91"/>
            <x v="92"/>
            <x v="93"/>
            <x v="133"/>
            <x v="134"/>
            <x v="135"/>
            <x v="136"/>
            <x v="137"/>
            <x v="138"/>
            <x v="139"/>
            <x v="140"/>
            <x v="141"/>
            <x v="142"/>
            <x v="143"/>
            <x v="144"/>
            <x v="145"/>
            <x v="146"/>
            <x v="147"/>
            <x v="148"/>
            <x v="149"/>
            <x v="150"/>
            <x v="151"/>
            <x v="152"/>
            <x v="153"/>
            <x v="154"/>
            <x v="155"/>
            <x v="156"/>
          </reference>
        </references>
      </pivotArea>
    </format>
    <format dxfId="377">
      <pivotArea dataOnly="0" labelOnly="1" outline="0" fieldPosition="0">
        <references count="1">
          <reference field="3" count="32">
            <x v="157"/>
            <x v="158"/>
            <x v="159"/>
            <x v="160"/>
            <x v="161"/>
            <x v="162"/>
            <x v="163"/>
            <x v="164"/>
            <x v="165"/>
            <x v="166"/>
            <x v="167"/>
            <x v="168"/>
            <x v="169"/>
            <x v="170"/>
            <x v="171"/>
            <x v="172"/>
            <x v="173"/>
            <x v="174"/>
            <x v="175"/>
            <x v="176"/>
            <x v="177"/>
            <x v="178"/>
            <x v="179"/>
            <x v="180"/>
            <x v="181"/>
            <x v="182"/>
            <x v="183"/>
            <x v="184"/>
            <x v="185"/>
            <x v="186"/>
            <x v="187"/>
            <x v="188"/>
          </reference>
        </references>
      </pivotArea>
    </format>
    <format dxfId="376">
      <pivotArea dataOnly="0" labelOnly="1" outline="0" fieldPosition="0">
        <references count="1">
          <reference field="3" count="39">
            <x v="189"/>
            <x v="190"/>
            <x v="191"/>
            <x v="192"/>
            <x v="193"/>
            <x v="194"/>
            <x v="195"/>
            <x v="196"/>
            <x v="197"/>
            <x v="198"/>
            <x v="199"/>
            <x v="200"/>
            <x v="201"/>
            <x v="202"/>
            <x v="203"/>
            <x v="204"/>
            <x v="205"/>
            <x v="206"/>
            <x v="207"/>
            <x v="208"/>
            <x v="209"/>
            <x v="210"/>
            <x v="211"/>
            <x v="212"/>
            <x v="213"/>
            <x v="214"/>
            <x v="215"/>
            <x v="216"/>
            <x v="217"/>
            <x v="218"/>
            <x v="219"/>
            <x v="220"/>
            <x v="221"/>
            <x v="222"/>
            <x v="223"/>
            <x v="224"/>
            <x v="225"/>
            <x v="226"/>
            <x v="227"/>
          </reference>
        </references>
      </pivotArea>
    </format>
    <format dxfId="375">
      <pivotArea dataOnly="0" labelOnly="1" outline="0" fieldPosition="0">
        <references count="1">
          <reference field="3" count="32">
            <x v="228"/>
            <x v="229"/>
            <x v="230"/>
            <x v="231"/>
            <x v="232"/>
            <x v="233"/>
            <x v="234"/>
            <x v="235"/>
            <x v="236"/>
            <x v="237"/>
            <x v="238"/>
            <x v="239"/>
            <x v="240"/>
            <x v="241"/>
            <x v="242"/>
            <x v="243"/>
            <x v="244"/>
            <x v="245"/>
            <x v="246"/>
            <x v="247"/>
            <x v="248"/>
            <x v="249"/>
            <x v="250"/>
            <x v="251"/>
            <x v="252"/>
            <x v="253"/>
            <x v="254"/>
            <x v="255"/>
            <x v="256"/>
            <x v="257"/>
            <x v="258"/>
            <x v="259"/>
          </reference>
        </references>
      </pivotArea>
    </format>
    <format dxfId="374">
      <pivotArea dataOnly="0" labelOnly="1" outline="0" fieldPosition="0">
        <references count="1">
          <reference field="3" count="42">
            <x v="260"/>
            <x v="261"/>
            <x v="262"/>
            <x v="263"/>
            <x v="264"/>
            <x v="265"/>
            <x v="266"/>
            <x v="267"/>
            <x v="268"/>
            <x v="269"/>
            <x v="270"/>
            <x v="271"/>
            <x v="272"/>
            <x v="273"/>
            <x v="274"/>
            <x v="275"/>
            <x v="276"/>
            <x v="277"/>
            <x v="278"/>
            <x v="279"/>
            <x v="280"/>
            <x v="281"/>
            <x v="282"/>
            <x v="283"/>
            <x v="284"/>
            <x v="285"/>
            <x v="286"/>
            <x v="287"/>
            <x v="288"/>
            <x v="289"/>
            <x v="290"/>
            <x v="291"/>
            <x v="292"/>
            <x v="293"/>
            <x v="294"/>
            <x v="295"/>
            <x v="296"/>
            <x v="297"/>
            <x v="298"/>
            <x v="299"/>
            <x v="300"/>
            <x v="301"/>
          </reference>
        </references>
      </pivotArea>
    </format>
    <format dxfId="373">
      <pivotArea dataOnly="0" labelOnly="1" outline="0" fieldPosition="0">
        <references count="1">
          <reference field="3" count="43">
            <x v="302"/>
            <x v="303"/>
            <x v="304"/>
            <x v="305"/>
            <x v="306"/>
            <x v="307"/>
            <x v="308"/>
            <x v="309"/>
            <x v="310"/>
            <x v="311"/>
            <x v="312"/>
            <x v="313"/>
            <x v="314"/>
            <x v="315"/>
            <x v="316"/>
            <x v="317"/>
            <x v="318"/>
            <x v="319"/>
            <x v="320"/>
            <x v="321"/>
            <x v="322"/>
            <x v="323"/>
            <x v="324"/>
            <x v="325"/>
            <x v="326"/>
            <x v="327"/>
            <x v="328"/>
            <x v="329"/>
            <x v="330"/>
            <x v="331"/>
            <x v="332"/>
            <x v="333"/>
            <x v="334"/>
            <x v="335"/>
            <x v="336"/>
            <x v="337"/>
            <x v="338"/>
            <x v="339"/>
            <x v="340"/>
            <x v="341"/>
            <x v="342"/>
            <x v="343"/>
            <x v="344"/>
          </reference>
        </references>
      </pivotArea>
    </format>
    <format dxfId="372">
      <pivotArea dataOnly="0" labelOnly="1" outline="0" fieldPosition="0">
        <references count="1">
          <reference field="3" count="9">
            <x v="345"/>
            <x v="346"/>
            <x v="347"/>
            <x v="348"/>
            <x v="349"/>
            <x v="350"/>
            <x v="351"/>
            <x v="352"/>
            <x v="353"/>
          </reference>
        </references>
      </pivotArea>
    </format>
    <format dxfId="371">
      <pivotArea dataOnly="0" labelOnly="1" outline="0" fieldPosition="0">
        <references count="2">
          <reference field="3" count="1" selected="0">
            <x v="0"/>
          </reference>
          <reference field="4" count="1">
            <x v="822"/>
          </reference>
        </references>
      </pivotArea>
    </format>
    <format dxfId="370">
      <pivotArea dataOnly="0" labelOnly="1" outline="0" fieldPosition="0">
        <references count="2">
          <reference field="3" count="1" selected="0">
            <x v="1"/>
          </reference>
          <reference field="4" count="1">
            <x v="825"/>
          </reference>
        </references>
      </pivotArea>
    </format>
    <format dxfId="369">
      <pivotArea dataOnly="0" labelOnly="1" outline="0" fieldPosition="0">
        <references count="2">
          <reference field="3" count="1" selected="0">
            <x v="2"/>
          </reference>
          <reference field="4" count="1">
            <x v="839"/>
          </reference>
        </references>
      </pivotArea>
    </format>
    <format dxfId="368">
      <pivotArea dataOnly="0" labelOnly="1" outline="0" fieldPosition="0">
        <references count="2">
          <reference field="3" count="1" selected="0">
            <x v="3"/>
          </reference>
          <reference field="4" count="1">
            <x v="1342"/>
          </reference>
        </references>
      </pivotArea>
    </format>
    <format dxfId="367">
      <pivotArea dataOnly="0" labelOnly="1" outline="0" fieldPosition="0">
        <references count="2">
          <reference field="3" count="1" selected="0">
            <x v="4"/>
          </reference>
          <reference field="4" count="1">
            <x v="1310"/>
          </reference>
        </references>
      </pivotArea>
    </format>
    <format dxfId="366">
      <pivotArea dataOnly="0" labelOnly="1" outline="0" fieldPosition="0">
        <references count="2">
          <reference field="3" count="1" selected="0">
            <x v="5"/>
          </reference>
          <reference field="4" count="1">
            <x v="826"/>
          </reference>
        </references>
      </pivotArea>
    </format>
    <format dxfId="365">
      <pivotArea dataOnly="0" labelOnly="1" outline="0" fieldPosition="0">
        <references count="2">
          <reference field="3" count="1" selected="0">
            <x v="6"/>
          </reference>
          <reference field="4" count="1">
            <x v="1307"/>
          </reference>
        </references>
      </pivotArea>
    </format>
    <format dxfId="364">
      <pivotArea dataOnly="0" labelOnly="1" outline="0" fieldPosition="0">
        <references count="2">
          <reference field="3" count="1" selected="0">
            <x v="7"/>
          </reference>
          <reference field="4" count="1">
            <x v="1306"/>
          </reference>
        </references>
      </pivotArea>
    </format>
    <format dxfId="363">
      <pivotArea dataOnly="0" labelOnly="1" outline="0" fieldPosition="0">
        <references count="2">
          <reference field="3" count="1" selected="0">
            <x v="8"/>
          </reference>
          <reference field="4" count="1">
            <x v="237"/>
          </reference>
        </references>
      </pivotArea>
    </format>
    <format dxfId="362">
      <pivotArea dataOnly="0" labelOnly="1" outline="0" fieldPosition="0">
        <references count="2">
          <reference field="3" count="1" selected="0">
            <x v="9"/>
          </reference>
          <reference field="4" count="1">
            <x v="823"/>
          </reference>
        </references>
      </pivotArea>
    </format>
    <format dxfId="361">
      <pivotArea dataOnly="0" labelOnly="1" outline="0" fieldPosition="0">
        <references count="2">
          <reference field="3" count="1" selected="0">
            <x v="10"/>
          </reference>
          <reference field="4" count="1">
            <x v="1309"/>
          </reference>
        </references>
      </pivotArea>
    </format>
    <format dxfId="360">
      <pivotArea dataOnly="0" labelOnly="1" outline="0" fieldPosition="0">
        <references count="2">
          <reference field="3" count="1" selected="0">
            <x v="11"/>
          </reference>
          <reference field="4" count="1">
            <x v="1500"/>
          </reference>
        </references>
      </pivotArea>
    </format>
    <format dxfId="359">
      <pivotArea dataOnly="0" labelOnly="1" outline="0" fieldPosition="0">
        <references count="2">
          <reference field="3" count="1" selected="0">
            <x v="12"/>
          </reference>
          <reference field="4" count="1">
            <x v="840"/>
          </reference>
        </references>
      </pivotArea>
    </format>
    <format dxfId="358">
      <pivotArea dataOnly="0" labelOnly="1" outline="0" fieldPosition="0">
        <references count="2">
          <reference field="3" count="1" selected="0">
            <x v="13"/>
          </reference>
          <reference field="4" count="1">
            <x v="838"/>
          </reference>
        </references>
      </pivotArea>
    </format>
    <format dxfId="357">
      <pivotArea dataOnly="0" labelOnly="1" outline="0" fieldPosition="0">
        <references count="2">
          <reference field="3" count="1" selected="0">
            <x v="14"/>
          </reference>
          <reference field="4" count="1">
            <x v="1308"/>
          </reference>
        </references>
      </pivotArea>
    </format>
    <format dxfId="356">
      <pivotArea dataOnly="0" labelOnly="1" outline="0" fieldPosition="0">
        <references count="2">
          <reference field="3" count="1" selected="0">
            <x v="15"/>
          </reference>
          <reference field="4" count="1">
            <x v="832"/>
          </reference>
        </references>
      </pivotArea>
    </format>
    <format dxfId="355">
      <pivotArea dataOnly="0" labelOnly="1" outline="0" fieldPosition="0">
        <references count="2">
          <reference field="3" count="1" selected="0">
            <x v="16"/>
          </reference>
          <reference field="4" count="1">
            <x v="833"/>
          </reference>
        </references>
      </pivotArea>
    </format>
    <format dxfId="354">
      <pivotArea dataOnly="0" labelOnly="1" outline="0" fieldPosition="0">
        <references count="2">
          <reference field="3" count="1" selected="0">
            <x v="17"/>
          </reference>
          <reference field="4" count="1">
            <x v="171"/>
          </reference>
        </references>
      </pivotArea>
    </format>
    <format dxfId="353">
      <pivotArea dataOnly="0" labelOnly="1" outline="0" fieldPosition="0">
        <references count="2">
          <reference field="3" count="1" selected="0">
            <x v="18"/>
          </reference>
          <reference field="4" count="1">
            <x v="632"/>
          </reference>
        </references>
      </pivotArea>
    </format>
    <format dxfId="352">
      <pivotArea dataOnly="0" labelOnly="1" outline="0" fieldPosition="0">
        <references count="2">
          <reference field="3" count="1" selected="0">
            <x v="19"/>
          </reference>
          <reference field="4" count="1">
            <x v="634"/>
          </reference>
        </references>
      </pivotArea>
    </format>
    <format dxfId="351">
      <pivotArea dataOnly="0" labelOnly="1" outline="0" fieldPosition="0">
        <references count="2">
          <reference field="3" count="1" selected="0">
            <x v="20"/>
          </reference>
          <reference field="4" count="1">
            <x v="651"/>
          </reference>
        </references>
      </pivotArea>
    </format>
    <format dxfId="350">
      <pivotArea dataOnly="0" labelOnly="1" outline="0" fieldPosition="0">
        <references count="2">
          <reference field="3" count="1" selected="0">
            <x v="21"/>
          </reference>
          <reference field="4" count="1">
            <x v="657"/>
          </reference>
        </references>
      </pivotArea>
    </format>
    <format dxfId="349">
      <pivotArea dataOnly="0" labelOnly="1" outline="0" fieldPosition="0">
        <references count="2">
          <reference field="3" count="1" selected="0">
            <x v="22"/>
          </reference>
          <reference field="4" count="1">
            <x v="658"/>
          </reference>
        </references>
      </pivotArea>
    </format>
    <format dxfId="348">
      <pivotArea dataOnly="0" labelOnly="1" outline="0" fieldPosition="0">
        <references count="2">
          <reference field="3" count="1" selected="0">
            <x v="23"/>
          </reference>
          <reference field="4" count="1">
            <x v="660"/>
          </reference>
        </references>
      </pivotArea>
    </format>
    <format dxfId="347">
      <pivotArea dataOnly="0" labelOnly="1" outline="0" fieldPosition="0">
        <references count="2">
          <reference field="3" count="1" selected="0">
            <x v="24"/>
          </reference>
          <reference field="4" count="1">
            <x v="679"/>
          </reference>
        </references>
      </pivotArea>
    </format>
    <format dxfId="346">
      <pivotArea dataOnly="0" labelOnly="1" outline="0" fieldPosition="0">
        <references count="2">
          <reference field="3" count="1" selected="0">
            <x v="25"/>
          </reference>
          <reference field="4" count="1">
            <x v="680"/>
          </reference>
        </references>
      </pivotArea>
    </format>
    <format dxfId="345">
      <pivotArea dataOnly="0" labelOnly="1" outline="0" fieldPosition="0">
        <references count="2">
          <reference field="3" count="1" selected="0">
            <x v="26"/>
          </reference>
          <reference field="4" count="1">
            <x v="681"/>
          </reference>
        </references>
      </pivotArea>
    </format>
    <format dxfId="344">
      <pivotArea dataOnly="0" labelOnly="1" outline="0" fieldPosition="0">
        <references count="2">
          <reference field="3" count="1" selected="0">
            <x v="27"/>
          </reference>
          <reference field="4" count="1">
            <x v="682"/>
          </reference>
        </references>
      </pivotArea>
    </format>
    <format dxfId="343">
      <pivotArea dataOnly="0" labelOnly="1" outline="0" fieldPosition="0">
        <references count="2">
          <reference field="3" count="1" selected="0">
            <x v="28"/>
          </reference>
          <reference field="4" count="1">
            <x v="683"/>
          </reference>
        </references>
      </pivotArea>
    </format>
    <format dxfId="342">
      <pivotArea dataOnly="0" labelOnly="1" outline="0" fieldPosition="0">
        <references count="2">
          <reference field="3" count="1" selected="0">
            <x v="29"/>
          </reference>
          <reference field="4" count="1">
            <x v="684"/>
          </reference>
        </references>
      </pivotArea>
    </format>
    <format dxfId="341">
      <pivotArea dataOnly="0" labelOnly="1" outline="0" fieldPosition="0">
        <references count="2">
          <reference field="3" count="1" selected="0">
            <x v="30"/>
          </reference>
          <reference field="4" count="1">
            <x v="685"/>
          </reference>
        </references>
      </pivotArea>
    </format>
    <format dxfId="340">
      <pivotArea dataOnly="0" labelOnly="1" outline="0" fieldPosition="0">
        <references count="2">
          <reference field="3" count="1" selected="0">
            <x v="31"/>
          </reference>
          <reference field="4" count="1">
            <x v="686"/>
          </reference>
        </references>
      </pivotArea>
    </format>
    <format dxfId="339">
      <pivotArea dataOnly="0" labelOnly="1" outline="0" fieldPosition="0">
        <references count="2">
          <reference field="3" count="1" selected="0">
            <x v="32"/>
          </reference>
          <reference field="4" count="1">
            <x v="687"/>
          </reference>
        </references>
      </pivotArea>
    </format>
    <format dxfId="338">
      <pivotArea dataOnly="0" labelOnly="1" outline="0" fieldPosition="0">
        <references count="2">
          <reference field="3" count="1" selected="0">
            <x v="33"/>
          </reference>
          <reference field="4" count="1">
            <x v="688"/>
          </reference>
        </references>
      </pivotArea>
    </format>
    <format dxfId="337">
      <pivotArea dataOnly="0" labelOnly="1" outline="0" fieldPosition="0">
        <references count="2">
          <reference field="3" count="1" selected="0">
            <x v="34"/>
          </reference>
          <reference field="4" count="1">
            <x v="689"/>
          </reference>
        </references>
      </pivotArea>
    </format>
    <format dxfId="336">
      <pivotArea dataOnly="0" labelOnly="1" outline="0" fieldPosition="0">
        <references count="2">
          <reference field="3" count="1" selected="0">
            <x v="35"/>
          </reference>
          <reference field="4" count="1">
            <x v="691"/>
          </reference>
        </references>
      </pivotArea>
    </format>
    <format dxfId="335">
      <pivotArea dataOnly="0" labelOnly="1" outline="0" fieldPosition="0">
        <references count="2">
          <reference field="3" count="1" selected="0">
            <x v="36"/>
          </reference>
          <reference field="4" count="1">
            <x v="692"/>
          </reference>
        </references>
      </pivotArea>
    </format>
    <format dxfId="334">
      <pivotArea dataOnly="0" labelOnly="1" outline="0" fieldPosition="0">
        <references count="2">
          <reference field="3" count="1" selected="0">
            <x v="37"/>
          </reference>
          <reference field="4" count="1">
            <x v="693"/>
          </reference>
        </references>
      </pivotArea>
    </format>
    <format dxfId="333">
      <pivotArea dataOnly="0" labelOnly="1" outline="0" fieldPosition="0">
        <references count="2">
          <reference field="3" count="1" selected="0">
            <x v="38"/>
          </reference>
          <reference field="4" count="1">
            <x v="743"/>
          </reference>
        </references>
      </pivotArea>
    </format>
    <format dxfId="332">
      <pivotArea dataOnly="0" labelOnly="1" outline="0" fieldPosition="0">
        <references count="2">
          <reference field="3" count="1" selected="0">
            <x v="39"/>
          </reference>
          <reference field="4" count="1">
            <x v="744"/>
          </reference>
        </references>
      </pivotArea>
    </format>
    <format dxfId="331">
      <pivotArea dataOnly="0" labelOnly="1" outline="0" fieldPosition="0">
        <references count="2">
          <reference field="3" count="1" selected="0">
            <x v="40"/>
          </reference>
          <reference field="4" count="1">
            <x v="796"/>
          </reference>
        </references>
      </pivotArea>
    </format>
    <format dxfId="330">
      <pivotArea dataOnly="0" labelOnly="1" outline="0" fieldPosition="0">
        <references count="2">
          <reference field="3" count="1" selected="0">
            <x v="41"/>
          </reference>
          <reference field="4" count="1">
            <x v="797"/>
          </reference>
        </references>
      </pivotArea>
    </format>
    <format dxfId="329">
      <pivotArea dataOnly="0" labelOnly="1" outline="0" fieldPosition="0">
        <references count="2">
          <reference field="3" count="1" selected="0">
            <x v="42"/>
          </reference>
          <reference field="4" count="1">
            <x v="794"/>
          </reference>
        </references>
      </pivotArea>
    </format>
    <format dxfId="328">
      <pivotArea dataOnly="0" labelOnly="1" outline="0" fieldPosition="0">
        <references count="2">
          <reference field="3" count="1" selected="0">
            <x v="43"/>
          </reference>
          <reference field="4" count="1">
            <x v="802"/>
          </reference>
        </references>
      </pivotArea>
    </format>
    <format dxfId="327">
      <pivotArea dataOnly="0" labelOnly="1" outline="0" fieldPosition="0">
        <references count="2">
          <reference field="3" count="1" selected="0">
            <x v="44"/>
          </reference>
          <reference field="4" count="1">
            <x v="890"/>
          </reference>
        </references>
      </pivotArea>
    </format>
    <format dxfId="326">
      <pivotArea dataOnly="0" labelOnly="1" outline="0" fieldPosition="0">
        <references count="2">
          <reference field="3" count="1" selected="0">
            <x v="45"/>
          </reference>
          <reference field="4" count="1">
            <x v="1210"/>
          </reference>
        </references>
      </pivotArea>
    </format>
    <format dxfId="325">
      <pivotArea dataOnly="0" labelOnly="1" outline="0" fieldPosition="0">
        <references count="2">
          <reference field="3" count="1" selected="0">
            <x v="46"/>
          </reference>
          <reference field="4" count="1">
            <x v="1211"/>
          </reference>
        </references>
      </pivotArea>
    </format>
    <format dxfId="324">
      <pivotArea dataOnly="0" labelOnly="1" outline="0" fieldPosition="0">
        <references count="2">
          <reference field="3" count="1" selected="0">
            <x v="47"/>
          </reference>
          <reference field="4" count="1">
            <x v="1213"/>
          </reference>
        </references>
      </pivotArea>
    </format>
    <format dxfId="323">
      <pivotArea dataOnly="0" labelOnly="1" outline="0" fieldPosition="0">
        <references count="2">
          <reference field="3" count="1" selected="0">
            <x v="48"/>
          </reference>
          <reference field="4" count="1">
            <x v="1260"/>
          </reference>
        </references>
      </pivotArea>
    </format>
    <format dxfId="322">
      <pivotArea dataOnly="0" labelOnly="1" outline="0" fieldPosition="0">
        <references count="2">
          <reference field="3" count="1" selected="0">
            <x v="49"/>
          </reference>
          <reference field="4" count="1">
            <x v="1285"/>
          </reference>
        </references>
      </pivotArea>
    </format>
    <format dxfId="321">
      <pivotArea dataOnly="0" labelOnly="1" outline="0" fieldPosition="0">
        <references count="2">
          <reference field="3" count="1" selected="0">
            <x v="50"/>
          </reference>
          <reference field="4" count="1">
            <x v="648"/>
          </reference>
        </references>
      </pivotArea>
    </format>
    <format dxfId="320">
      <pivotArea dataOnly="0" labelOnly="1" outline="0" fieldPosition="0">
        <references count="2">
          <reference field="3" count="1" selected="0">
            <x v="51"/>
          </reference>
          <reference field="4" count="1">
            <x v="675"/>
          </reference>
        </references>
      </pivotArea>
    </format>
    <format dxfId="319">
      <pivotArea dataOnly="0" labelOnly="1" outline="0" fieldPosition="0">
        <references count="2">
          <reference field="3" count="1" selected="0">
            <x v="52"/>
          </reference>
          <reference field="4" count="1">
            <x v="895"/>
          </reference>
        </references>
      </pivotArea>
    </format>
    <format dxfId="318">
      <pivotArea dataOnly="0" labelOnly="1" outline="0" fieldPosition="0">
        <references count="2">
          <reference field="3" count="1" selected="0">
            <x v="53"/>
          </reference>
          <reference field="4" count="1">
            <x v="795"/>
          </reference>
        </references>
      </pivotArea>
    </format>
    <format dxfId="317">
      <pivotArea dataOnly="0" labelOnly="1" outline="0" fieldPosition="0">
        <references count="2">
          <reference field="3" count="1" selected="0">
            <x v="54"/>
          </reference>
          <reference field="4" count="1">
            <x v="667"/>
          </reference>
        </references>
      </pivotArea>
    </format>
    <format dxfId="316">
      <pivotArea dataOnly="0" labelOnly="1" outline="0" fieldPosition="0">
        <references count="2">
          <reference field="3" count="1" selected="0">
            <x v="55"/>
          </reference>
          <reference field="4" count="1">
            <x v="1261"/>
          </reference>
        </references>
      </pivotArea>
    </format>
    <format dxfId="315">
      <pivotArea dataOnly="0" labelOnly="1" outline="0" fieldPosition="0">
        <references count="2">
          <reference field="3" count="1" selected="0">
            <x v="56"/>
          </reference>
          <reference field="4" count="1">
            <x v="745"/>
          </reference>
        </references>
      </pivotArea>
    </format>
    <format dxfId="314">
      <pivotArea dataOnly="0" labelOnly="1" outline="0" fieldPosition="0">
        <references count="2">
          <reference field="3" count="1" selected="0">
            <x v="57"/>
          </reference>
          <reference field="4" count="1">
            <x v="647"/>
          </reference>
        </references>
      </pivotArea>
    </format>
    <format dxfId="313">
      <pivotArea dataOnly="0" labelOnly="1" outline="0" fieldPosition="0">
        <references count="2">
          <reference field="3" count="1" selected="0">
            <x v="58"/>
          </reference>
          <reference field="4" count="1">
            <x v="666"/>
          </reference>
        </references>
      </pivotArea>
    </format>
    <format dxfId="312">
      <pivotArea dataOnly="0" labelOnly="1" outline="0" fieldPosition="0">
        <references count="2">
          <reference field="3" count="1" selected="0">
            <x v="59"/>
          </reference>
          <reference field="4" count="1">
            <x v="27"/>
          </reference>
        </references>
      </pivotArea>
    </format>
    <format dxfId="311">
      <pivotArea dataOnly="0" labelOnly="1" outline="0" fieldPosition="0">
        <references count="2">
          <reference field="3" count="1" selected="0">
            <x v="60"/>
          </reference>
          <reference field="4" count="1">
            <x v="29"/>
          </reference>
        </references>
      </pivotArea>
    </format>
    <format dxfId="310">
      <pivotArea dataOnly="0" labelOnly="1" outline="0" fieldPosition="0">
        <references count="2">
          <reference field="3" count="1" selected="0">
            <x v="61"/>
          </reference>
          <reference field="4" count="1">
            <x v="92"/>
          </reference>
        </references>
      </pivotArea>
    </format>
    <format dxfId="309">
      <pivotArea dataOnly="0" labelOnly="1" outline="0" fieldPosition="0">
        <references count="2">
          <reference field="3" count="1" selected="0">
            <x v="62"/>
          </reference>
          <reference field="4" count="1">
            <x v="226"/>
          </reference>
        </references>
      </pivotArea>
    </format>
    <format dxfId="308">
      <pivotArea dataOnly="0" labelOnly="1" outline="0" fieldPosition="0">
        <references count="2">
          <reference field="3" count="1" selected="0">
            <x v="63"/>
          </reference>
          <reference field="4" count="1">
            <x v="227"/>
          </reference>
        </references>
      </pivotArea>
    </format>
    <format dxfId="307">
      <pivotArea dataOnly="0" labelOnly="1" outline="0" fieldPosition="0">
        <references count="2">
          <reference field="3" count="1" selected="0">
            <x v="64"/>
          </reference>
          <reference field="4" count="1">
            <x v="228"/>
          </reference>
        </references>
      </pivotArea>
    </format>
    <format dxfId="306">
      <pivotArea dataOnly="0" labelOnly="1" outline="0" fieldPosition="0">
        <references count="2">
          <reference field="3" count="1" selected="0">
            <x v="65"/>
          </reference>
          <reference field="4" count="1">
            <x v="229"/>
          </reference>
        </references>
      </pivotArea>
    </format>
    <format dxfId="305">
      <pivotArea dataOnly="0" labelOnly="1" outline="0" fieldPosition="0">
        <references count="2">
          <reference field="3" count="1" selected="0">
            <x v="66"/>
          </reference>
          <reference field="4" count="1">
            <x v="331"/>
          </reference>
        </references>
      </pivotArea>
    </format>
    <format dxfId="304">
      <pivotArea dataOnly="0" labelOnly="1" outline="0" fieldPosition="0">
        <references count="2">
          <reference field="3" count="1" selected="0">
            <x v="67"/>
          </reference>
          <reference field="4" count="1">
            <x v="333"/>
          </reference>
        </references>
      </pivotArea>
    </format>
    <format dxfId="303">
      <pivotArea dataOnly="0" labelOnly="1" outline="0" fieldPosition="0">
        <references count="2">
          <reference field="3" count="1" selected="0">
            <x v="68"/>
          </reference>
          <reference field="4" count="1">
            <x v="334"/>
          </reference>
        </references>
      </pivotArea>
    </format>
    <format dxfId="302">
      <pivotArea dataOnly="0" labelOnly="1" outline="0" fieldPosition="0">
        <references count="2">
          <reference field="3" count="1" selected="0">
            <x v="69"/>
          </reference>
          <reference field="4" count="1">
            <x v="335"/>
          </reference>
        </references>
      </pivotArea>
    </format>
    <format dxfId="301">
      <pivotArea dataOnly="0" labelOnly="1" outline="0" fieldPosition="0">
        <references count="2">
          <reference field="3" count="1" selected="0">
            <x v="70"/>
          </reference>
          <reference field="4" count="1">
            <x v="405"/>
          </reference>
        </references>
      </pivotArea>
    </format>
    <format dxfId="300">
      <pivotArea dataOnly="0" labelOnly="1" outline="0" fieldPosition="0">
        <references count="2">
          <reference field="3" count="1" selected="0">
            <x v="71"/>
          </reference>
          <reference field="4" count="1">
            <x v="619"/>
          </reference>
        </references>
      </pivotArea>
    </format>
    <format dxfId="299">
      <pivotArea dataOnly="0" labelOnly="1" outline="0" fieldPosition="0">
        <references count="2">
          <reference field="3" count="1" selected="0">
            <x v="72"/>
          </reference>
          <reference field="4" count="1">
            <x v="621"/>
          </reference>
        </references>
      </pivotArea>
    </format>
    <format dxfId="298">
      <pivotArea dataOnly="0" labelOnly="1" outline="0" fieldPosition="0">
        <references count="2">
          <reference field="3" count="1" selected="0">
            <x v="73"/>
          </reference>
          <reference field="4" count="1">
            <x v="694"/>
          </reference>
        </references>
      </pivotArea>
    </format>
    <format dxfId="297">
      <pivotArea dataOnly="0" labelOnly="1" outline="0" fieldPosition="0">
        <references count="2">
          <reference field="3" count="1" selected="0">
            <x v="74"/>
          </reference>
          <reference field="4" count="1">
            <x v="699"/>
          </reference>
        </references>
      </pivotArea>
    </format>
    <format dxfId="296">
      <pivotArea dataOnly="0" labelOnly="1" outline="0" fieldPosition="0">
        <references count="2">
          <reference field="3" count="1" selected="0">
            <x v="75"/>
          </reference>
          <reference field="4" count="1">
            <x v="700"/>
          </reference>
        </references>
      </pivotArea>
    </format>
    <format dxfId="295">
      <pivotArea dataOnly="0" labelOnly="1" outline="0" fieldPosition="0">
        <references count="2">
          <reference field="3" count="1" selected="0">
            <x v="76"/>
          </reference>
          <reference field="4" count="1">
            <x v="793"/>
          </reference>
        </references>
      </pivotArea>
    </format>
    <format dxfId="294">
      <pivotArea dataOnly="0" labelOnly="1" outline="0" fieldPosition="0">
        <references count="2">
          <reference field="3" count="1" selected="0">
            <x v="77"/>
          </reference>
          <reference field="4" count="1">
            <x v="872"/>
          </reference>
        </references>
      </pivotArea>
    </format>
    <format dxfId="293">
      <pivotArea dataOnly="0" labelOnly="1" outline="0" fieldPosition="0">
        <references count="2">
          <reference field="3" count="1" selected="0">
            <x v="78"/>
          </reference>
          <reference field="4" count="1">
            <x v="873"/>
          </reference>
        </references>
      </pivotArea>
    </format>
    <format dxfId="292">
      <pivotArea dataOnly="0" labelOnly="1" outline="0" fieldPosition="0">
        <references count="2">
          <reference field="3" count="1" selected="0">
            <x v="79"/>
          </reference>
          <reference field="4" count="1">
            <x v="874"/>
          </reference>
        </references>
      </pivotArea>
    </format>
    <format dxfId="291">
      <pivotArea dataOnly="0" labelOnly="1" outline="0" fieldPosition="0">
        <references count="2">
          <reference field="3" count="1" selected="0">
            <x v="80"/>
          </reference>
          <reference field="4" count="1">
            <x v="964"/>
          </reference>
        </references>
      </pivotArea>
    </format>
    <format dxfId="290">
      <pivotArea dataOnly="0" labelOnly="1" outline="0" fieldPosition="0">
        <references count="2">
          <reference field="3" count="1" selected="0">
            <x v="81"/>
          </reference>
          <reference field="4" count="1">
            <x v="965"/>
          </reference>
        </references>
      </pivotArea>
    </format>
    <format dxfId="289">
      <pivotArea dataOnly="0" labelOnly="1" outline="0" fieldPosition="0">
        <references count="2">
          <reference field="3" count="1" selected="0">
            <x v="82"/>
          </reference>
          <reference field="4" count="1">
            <x v="1014"/>
          </reference>
        </references>
      </pivotArea>
    </format>
    <format dxfId="288">
      <pivotArea dataOnly="0" labelOnly="1" outline="0" fieldPosition="0">
        <references count="2">
          <reference field="3" count="1" selected="0">
            <x v="83"/>
          </reference>
          <reference field="4" count="1">
            <x v="1036"/>
          </reference>
        </references>
      </pivotArea>
    </format>
    <format dxfId="287">
      <pivotArea dataOnly="0" labelOnly="1" outline="0" fieldPosition="0">
        <references count="2">
          <reference field="3" count="1" selected="0">
            <x v="84"/>
          </reference>
          <reference field="4" count="1">
            <x v="1037"/>
          </reference>
        </references>
      </pivotArea>
    </format>
    <format dxfId="286">
      <pivotArea dataOnly="0" labelOnly="1" outline="0" fieldPosition="0">
        <references count="2">
          <reference field="3" count="1" selected="0">
            <x v="85"/>
          </reference>
          <reference field="4" count="1">
            <x v="1038"/>
          </reference>
        </references>
      </pivotArea>
    </format>
    <format dxfId="285">
      <pivotArea dataOnly="0" labelOnly="1" outline="0" fieldPosition="0">
        <references count="2">
          <reference field="3" count="1" selected="0">
            <x v="86"/>
          </reference>
          <reference field="4" count="1">
            <x v="1265"/>
          </reference>
        </references>
      </pivotArea>
    </format>
    <format dxfId="284">
      <pivotArea dataOnly="0" labelOnly="1" outline="0" fieldPosition="0">
        <references count="2">
          <reference field="3" count="1" selected="0">
            <x v="87"/>
          </reference>
          <reference field="4" count="1">
            <x v="1421"/>
          </reference>
        </references>
      </pivotArea>
    </format>
    <format dxfId="283">
      <pivotArea dataOnly="0" labelOnly="1" outline="0" fieldPosition="0">
        <references count="2">
          <reference field="3" count="1" selected="0">
            <x v="88"/>
          </reference>
          <reference field="4" count="1">
            <x v="1263"/>
          </reference>
        </references>
      </pivotArea>
    </format>
    <format dxfId="282">
      <pivotArea dataOnly="0" labelOnly="1" outline="0" fieldPosition="0">
        <references count="2">
          <reference field="3" count="1" selected="0">
            <x v="89"/>
          </reference>
          <reference field="4" count="1">
            <x v="1268"/>
          </reference>
        </references>
      </pivotArea>
    </format>
    <format dxfId="281">
      <pivotArea dataOnly="0" labelOnly="1" outline="0" fieldPosition="0">
        <references count="2">
          <reference field="3" count="1" selected="0">
            <x v="90"/>
          </reference>
          <reference field="4" count="1">
            <x v="1030"/>
          </reference>
        </references>
      </pivotArea>
    </format>
    <format dxfId="280">
      <pivotArea dataOnly="0" labelOnly="1" outline="0" fieldPosition="0">
        <references count="2">
          <reference field="3" count="1" selected="0">
            <x v="91"/>
          </reference>
          <reference field="4" count="1">
            <x v="1031"/>
          </reference>
        </references>
      </pivotArea>
    </format>
    <format dxfId="279">
      <pivotArea dataOnly="0" labelOnly="1" outline="0" fieldPosition="0">
        <references count="2">
          <reference field="3" count="1" selected="0">
            <x v="92"/>
          </reference>
          <reference field="4" count="1">
            <x v="1034"/>
          </reference>
        </references>
      </pivotArea>
    </format>
    <format dxfId="278">
      <pivotArea dataOnly="0" labelOnly="1" outline="0" fieldPosition="0">
        <references count="2">
          <reference field="3" count="1" selected="0">
            <x v="93"/>
          </reference>
          <reference field="4" count="1">
            <x v="622"/>
          </reference>
        </references>
      </pivotArea>
    </format>
    <format dxfId="277">
      <pivotArea dataOnly="0" labelOnly="1" outline="0" fieldPosition="0">
        <references count="2">
          <reference field="3" count="1" selected="0">
            <x v="133"/>
          </reference>
          <reference field="4" count="1">
            <x v="109"/>
          </reference>
        </references>
      </pivotArea>
    </format>
    <format dxfId="276">
      <pivotArea dataOnly="0" labelOnly="1" outline="0" fieldPosition="0">
        <references count="2">
          <reference field="3" count="1" selected="0">
            <x v="134"/>
          </reference>
          <reference field="4" count="1">
            <x v="111"/>
          </reference>
        </references>
      </pivotArea>
    </format>
    <format dxfId="275">
      <pivotArea dataOnly="0" labelOnly="1" outline="0" fieldPosition="0">
        <references count="2">
          <reference field="3" count="1" selected="0">
            <x v="135"/>
          </reference>
          <reference field="4" count="1">
            <x v="56"/>
          </reference>
        </references>
      </pivotArea>
    </format>
    <format dxfId="274">
      <pivotArea dataOnly="0" labelOnly="1" outline="0" fieldPosition="0">
        <references count="2">
          <reference field="3" count="1" selected="0">
            <x v="136"/>
          </reference>
          <reference field="4" count="1">
            <x v="283"/>
          </reference>
        </references>
      </pivotArea>
    </format>
    <format dxfId="273">
      <pivotArea dataOnly="0" labelOnly="1" outline="0" fieldPosition="0">
        <references count="2">
          <reference field="3" count="1" selected="0">
            <x v="137"/>
          </reference>
          <reference field="4" count="1">
            <x v="296"/>
          </reference>
        </references>
      </pivotArea>
    </format>
    <format dxfId="272">
      <pivotArea dataOnly="0" labelOnly="1" outline="0" fieldPosition="0">
        <references count="2">
          <reference field="3" count="1" selected="0">
            <x v="138"/>
          </reference>
          <reference field="4" count="1">
            <x v="764"/>
          </reference>
        </references>
      </pivotArea>
    </format>
    <format dxfId="271">
      <pivotArea dataOnly="0" labelOnly="1" outline="0" fieldPosition="0">
        <references count="2">
          <reference field="3" count="1" selected="0">
            <x v="139"/>
          </reference>
          <reference field="4" count="1">
            <x v="923"/>
          </reference>
        </references>
      </pivotArea>
    </format>
    <format dxfId="270">
      <pivotArea dataOnly="0" labelOnly="1" outline="0" fieldPosition="0">
        <references count="2">
          <reference field="3" count="1" selected="0">
            <x v="140"/>
          </reference>
          <reference field="4" count="1">
            <x v="925"/>
          </reference>
        </references>
      </pivotArea>
    </format>
    <format dxfId="269">
      <pivotArea dataOnly="0" labelOnly="1" outline="0" fieldPosition="0">
        <references count="2">
          <reference field="3" count="1" selected="0">
            <x v="141"/>
          </reference>
          <reference field="4" count="1">
            <x v="928"/>
          </reference>
        </references>
      </pivotArea>
    </format>
    <format dxfId="268">
      <pivotArea dataOnly="0" labelOnly="1" outline="0" fieldPosition="0">
        <references count="2">
          <reference field="3" count="1" selected="0">
            <x v="142"/>
          </reference>
          <reference field="4" count="1">
            <x v="929"/>
          </reference>
        </references>
      </pivotArea>
    </format>
    <format dxfId="267">
      <pivotArea dataOnly="0" labelOnly="1" outline="0" fieldPosition="0">
        <references count="2">
          <reference field="3" count="1" selected="0">
            <x v="143"/>
          </reference>
          <reference field="4" count="1">
            <x v="930"/>
          </reference>
        </references>
      </pivotArea>
    </format>
    <format dxfId="266">
      <pivotArea dataOnly="0" labelOnly="1" outline="0" fieldPosition="0">
        <references count="2">
          <reference field="3" count="1" selected="0">
            <x v="144"/>
          </reference>
          <reference field="4" count="1">
            <x v="932"/>
          </reference>
        </references>
      </pivotArea>
    </format>
    <format dxfId="265">
      <pivotArea dataOnly="0" labelOnly="1" outline="0" fieldPosition="0">
        <references count="2">
          <reference field="3" count="1" selected="0">
            <x v="145"/>
          </reference>
          <reference field="4" count="1">
            <x v="933"/>
          </reference>
        </references>
      </pivotArea>
    </format>
    <format dxfId="264">
      <pivotArea dataOnly="0" labelOnly="1" outline="0" fieldPosition="0">
        <references count="2">
          <reference field="3" count="1" selected="0">
            <x v="146"/>
          </reference>
          <reference field="4" count="1">
            <x v="934"/>
          </reference>
        </references>
      </pivotArea>
    </format>
    <format dxfId="263">
      <pivotArea dataOnly="0" labelOnly="1" outline="0" fieldPosition="0">
        <references count="2">
          <reference field="3" count="1" selected="0">
            <x v="147"/>
          </reference>
          <reference field="4" count="1">
            <x v="1102"/>
          </reference>
        </references>
      </pivotArea>
    </format>
    <format dxfId="262">
      <pivotArea dataOnly="0" labelOnly="1" outline="0" fieldPosition="0">
        <references count="2">
          <reference field="3" count="1" selected="0">
            <x v="148"/>
          </reference>
          <reference field="4" count="1">
            <x v="1136"/>
          </reference>
        </references>
      </pivotArea>
    </format>
    <format dxfId="261">
      <pivotArea dataOnly="0" labelOnly="1" outline="0" fieldPosition="0">
        <references count="2">
          <reference field="3" count="1" selected="0">
            <x v="149"/>
          </reference>
          <reference field="4" count="1">
            <x v="1289"/>
          </reference>
        </references>
      </pivotArea>
    </format>
    <format dxfId="260">
      <pivotArea dataOnly="0" labelOnly="1" outline="0" fieldPosition="0">
        <references count="2">
          <reference field="3" count="1" selected="0">
            <x v="150"/>
          </reference>
          <reference field="4" count="1">
            <x v="1292"/>
          </reference>
        </references>
      </pivotArea>
    </format>
    <format dxfId="259">
      <pivotArea dataOnly="0" labelOnly="1" outline="0" fieldPosition="0">
        <references count="2">
          <reference field="3" count="1" selected="0">
            <x v="151"/>
          </reference>
          <reference field="4" count="1">
            <x v="1293"/>
          </reference>
        </references>
      </pivotArea>
    </format>
    <format dxfId="258">
      <pivotArea dataOnly="0" labelOnly="1" outline="0" fieldPosition="0">
        <references count="2">
          <reference field="3" count="1" selected="0">
            <x v="152"/>
          </reference>
          <reference field="4" count="1">
            <x v="1383"/>
          </reference>
        </references>
      </pivotArea>
    </format>
    <format dxfId="257">
      <pivotArea dataOnly="0" labelOnly="1" outline="0" fieldPosition="0">
        <references count="2">
          <reference field="3" count="1" selected="0">
            <x v="153"/>
          </reference>
          <reference field="4" count="1">
            <x v="1434"/>
          </reference>
        </references>
      </pivotArea>
    </format>
    <format dxfId="256">
      <pivotArea dataOnly="0" labelOnly="1" outline="0" fieldPosition="0">
        <references count="2">
          <reference field="3" count="1" selected="0">
            <x v="154"/>
          </reference>
          <reference field="4" count="1">
            <x v="1453"/>
          </reference>
        </references>
      </pivotArea>
    </format>
    <format dxfId="255">
      <pivotArea dataOnly="0" labelOnly="1" outline="0" fieldPosition="0">
        <references count="2">
          <reference field="3" count="1" selected="0">
            <x v="155"/>
          </reference>
          <reference field="4" count="1">
            <x v="1456"/>
          </reference>
        </references>
      </pivotArea>
    </format>
    <format dxfId="254">
      <pivotArea dataOnly="0" labelOnly="1" outline="0" fieldPosition="0">
        <references count="2">
          <reference field="3" count="1" selected="0">
            <x v="156"/>
          </reference>
          <reference field="4" count="1">
            <x v="1457"/>
          </reference>
        </references>
      </pivotArea>
    </format>
    <format dxfId="253">
      <pivotArea dataOnly="0" labelOnly="1" outline="0" fieldPosition="0">
        <references count="2">
          <reference field="3" count="1" selected="0">
            <x v="157"/>
          </reference>
          <reference field="4" count="1">
            <x v="1459"/>
          </reference>
        </references>
      </pivotArea>
    </format>
    <format dxfId="252">
      <pivotArea dataOnly="0" labelOnly="1" outline="0" fieldPosition="0">
        <references count="2">
          <reference field="3" count="1" selected="0">
            <x v="158"/>
          </reference>
          <reference field="4" count="1">
            <x v="1461"/>
          </reference>
        </references>
      </pivotArea>
    </format>
    <format dxfId="251">
      <pivotArea dataOnly="0" labelOnly="1" outline="0" fieldPosition="0">
        <references count="2">
          <reference field="3" count="1" selected="0">
            <x v="159"/>
          </reference>
          <reference field="4" count="1">
            <x v="1467"/>
          </reference>
        </references>
      </pivotArea>
    </format>
    <format dxfId="250">
      <pivotArea dataOnly="0" labelOnly="1" outline="0" fieldPosition="0">
        <references count="2">
          <reference field="3" count="1" selected="0">
            <x v="160"/>
          </reference>
          <reference field="4" count="1">
            <x v="652"/>
          </reference>
        </references>
      </pivotArea>
    </format>
    <format dxfId="249">
      <pivotArea dataOnly="0" labelOnly="1" outline="0" fieldPosition="0">
        <references count="2">
          <reference field="3" count="1" selected="0">
            <x v="161"/>
          </reference>
          <reference field="4" count="1">
            <x v="656"/>
          </reference>
        </references>
      </pivotArea>
    </format>
    <format dxfId="248">
      <pivotArea dataOnly="0" labelOnly="1" outline="0" fieldPosition="0">
        <references count="2">
          <reference field="3" count="1" selected="0">
            <x v="162"/>
          </reference>
          <reference field="4" count="1">
            <x v="1480"/>
          </reference>
        </references>
      </pivotArea>
    </format>
    <format dxfId="247">
      <pivotArea dataOnly="0" labelOnly="1" outline="0" fieldPosition="0">
        <references count="2">
          <reference field="3" count="1" selected="0">
            <x v="163"/>
          </reference>
          <reference field="4" count="1">
            <x v="753"/>
          </reference>
        </references>
      </pivotArea>
    </format>
    <format dxfId="246">
      <pivotArea dataOnly="0" labelOnly="1" outline="0" fieldPosition="0">
        <references count="2">
          <reference field="3" count="1" selected="0">
            <x v="164"/>
          </reference>
          <reference field="4" count="1">
            <x v="768"/>
          </reference>
        </references>
      </pivotArea>
    </format>
    <format dxfId="245">
      <pivotArea dataOnly="0" labelOnly="1" outline="0" fieldPosition="0">
        <references count="2">
          <reference field="3" count="1" selected="0">
            <x v="165"/>
          </reference>
          <reference field="4" count="1">
            <x v="1208"/>
          </reference>
        </references>
      </pivotArea>
    </format>
    <format dxfId="244">
      <pivotArea dataOnly="0" labelOnly="1" outline="0" fieldPosition="0">
        <references count="2">
          <reference field="3" count="1" selected="0">
            <x v="166"/>
          </reference>
          <reference field="4" count="1">
            <x v="1209"/>
          </reference>
        </references>
      </pivotArea>
    </format>
    <format dxfId="243">
      <pivotArea dataOnly="0" labelOnly="1" outline="0" fieldPosition="0">
        <references count="2">
          <reference field="3" count="1" selected="0">
            <x v="167"/>
          </reference>
          <reference field="4" count="1">
            <x v="1282"/>
          </reference>
        </references>
      </pivotArea>
    </format>
    <format dxfId="242">
      <pivotArea dataOnly="0" labelOnly="1" outline="0" fieldPosition="0">
        <references count="2">
          <reference field="3" count="1" selected="0">
            <x v="168"/>
          </reference>
          <reference field="4" count="1">
            <x v="1284"/>
          </reference>
        </references>
      </pivotArea>
    </format>
    <format dxfId="241">
      <pivotArea dataOnly="0" labelOnly="1" outline="0" fieldPosition="0">
        <references count="2">
          <reference field="3" count="1" selected="0">
            <x v="169"/>
          </reference>
          <reference field="4" count="1">
            <x v="96"/>
          </reference>
        </references>
      </pivotArea>
    </format>
    <format dxfId="240">
      <pivotArea dataOnly="0" labelOnly="1" outline="0" fieldPosition="0">
        <references count="2">
          <reference field="3" count="1" selected="0">
            <x v="170"/>
          </reference>
          <reference field="4" count="1">
            <x v="1191"/>
          </reference>
        </references>
      </pivotArea>
    </format>
    <format dxfId="239">
      <pivotArea dataOnly="0" labelOnly="1" outline="0" fieldPosition="0">
        <references count="2">
          <reference field="3" count="1" selected="0">
            <x v="171"/>
          </reference>
          <reference field="4" count="1">
            <x v="3"/>
          </reference>
        </references>
      </pivotArea>
    </format>
    <format dxfId="238">
      <pivotArea dataOnly="0" labelOnly="1" outline="0" fieldPosition="0">
        <references count="2">
          <reference field="3" count="1" selected="0">
            <x v="172"/>
          </reference>
          <reference field="4" count="1">
            <x v="559"/>
          </reference>
        </references>
      </pivotArea>
    </format>
    <format dxfId="237">
      <pivotArea dataOnly="0" labelOnly="1" outline="0" fieldPosition="0">
        <references count="2">
          <reference field="3" count="1" selected="0">
            <x v="173"/>
          </reference>
          <reference field="4" count="1">
            <x v="245"/>
          </reference>
        </references>
      </pivotArea>
    </format>
    <format dxfId="236">
      <pivotArea dataOnly="0" labelOnly="1" outline="0" fieldPosition="0">
        <references count="2">
          <reference field="3" count="1" selected="0">
            <x v="174"/>
          </reference>
          <reference field="4" count="1">
            <x v="1399"/>
          </reference>
        </references>
      </pivotArea>
    </format>
    <format dxfId="235">
      <pivotArea dataOnly="0" labelOnly="1" outline="0" fieldPosition="0">
        <references count="2">
          <reference field="3" count="1" selected="0">
            <x v="175"/>
          </reference>
          <reference field="4" count="1">
            <x v="222"/>
          </reference>
        </references>
      </pivotArea>
    </format>
    <format dxfId="234">
      <pivotArea dataOnly="0" labelOnly="1" outline="0" fieldPosition="0">
        <references count="2">
          <reference field="3" count="1" selected="0">
            <x v="176"/>
          </reference>
          <reference field="4" count="1">
            <x v="369"/>
          </reference>
        </references>
      </pivotArea>
    </format>
    <format dxfId="233">
      <pivotArea dataOnly="0" labelOnly="1" outline="0" fieldPosition="0">
        <references count="2">
          <reference field="3" count="1" selected="0">
            <x v="177"/>
          </reference>
          <reference field="4" count="1">
            <x v="1291"/>
          </reference>
        </references>
      </pivotArea>
    </format>
    <format dxfId="232">
      <pivotArea dataOnly="0" labelOnly="1" outline="0" fieldPosition="0">
        <references count="2">
          <reference field="3" count="1" selected="0">
            <x v="178"/>
          </reference>
          <reference field="4" count="1">
            <x v="756"/>
          </reference>
        </references>
      </pivotArea>
    </format>
    <format dxfId="231">
      <pivotArea dataOnly="0" labelOnly="1" outline="0" fieldPosition="0">
        <references count="2">
          <reference field="3" count="1" selected="0">
            <x v="179"/>
          </reference>
          <reference field="4" count="1">
            <x v="1440"/>
          </reference>
        </references>
      </pivotArea>
    </format>
    <format dxfId="230">
      <pivotArea dataOnly="0" labelOnly="1" outline="0" fieldPosition="0">
        <references count="2">
          <reference field="3" count="1" selected="0">
            <x v="180"/>
          </reference>
          <reference field="4" count="1">
            <x v="1290"/>
          </reference>
        </references>
      </pivotArea>
    </format>
    <format dxfId="229">
      <pivotArea dataOnly="0" labelOnly="1" outline="0" fieldPosition="0">
        <references count="2">
          <reference field="3" count="1" selected="0">
            <x v="181"/>
          </reference>
          <reference field="4" count="1">
            <x v="1104"/>
          </reference>
        </references>
      </pivotArea>
    </format>
    <format dxfId="228">
      <pivotArea dataOnly="0" labelOnly="1" outline="0" fieldPosition="0">
        <references count="2">
          <reference field="3" count="1" selected="0">
            <x v="182"/>
          </reference>
          <reference field="4" count="1">
            <x v="653"/>
          </reference>
        </references>
      </pivotArea>
    </format>
    <format dxfId="227">
      <pivotArea dataOnly="0" labelOnly="1" outline="0" fieldPosition="0">
        <references count="2">
          <reference field="3" count="1" selected="0">
            <x v="183"/>
          </reference>
          <reference field="4" count="1">
            <x v="924"/>
          </reference>
        </references>
      </pivotArea>
    </format>
    <format dxfId="226">
      <pivotArea dataOnly="0" labelOnly="1" outline="0" fieldPosition="0">
        <references count="2">
          <reference field="3" count="1" selected="0">
            <x v="184"/>
          </reference>
          <reference field="4" count="1">
            <x v="1481"/>
          </reference>
        </references>
      </pivotArea>
    </format>
    <format dxfId="225">
      <pivotArea dataOnly="0" labelOnly="1" outline="0" fieldPosition="0">
        <references count="2">
          <reference field="3" count="1" selected="0">
            <x v="185"/>
          </reference>
          <reference field="4" count="1">
            <x v="1101"/>
          </reference>
        </references>
      </pivotArea>
    </format>
    <format dxfId="224">
      <pivotArea dataOnly="0" labelOnly="1" outline="0" fieldPosition="0">
        <references count="2">
          <reference field="3" count="1" selected="0">
            <x v="186"/>
          </reference>
          <reference field="4" count="1">
            <x v="238"/>
          </reference>
        </references>
      </pivotArea>
    </format>
    <format dxfId="223">
      <pivotArea dataOnly="0" labelOnly="1" outline="0" fieldPosition="0">
        <references count="2">
          <reference field="3" count="1" selected="0">
            <x v="187"/>
          </reference>
          <reference field="4" count="1">
            <x v="1077"/>
          </reference>
        </references>
      </pivotArea>
    </format>
    <format dxfId="222">
      <pivotArea dataOnly="0" labelOnly="1" outline="0" fieldPosition="0">
        <references count="2">
          <reference field="3" count="1" selected="0">
            <x v="188"/>
          </reference>
          <reference field="4" count="1">
            <x v="1078"/>
          </reference>
        </references>
      </pivotArea>
    </format>
    <format dxfId="221">
      <pivotArea dataOnly="0" labelOnly="1" outline="0" fieldPosition="0">
        <references count="2">
          <reference field="3" count="1" selected="0">
            <x v="189"/>
          </reference>
          <reference field="4" count="1">
            <x v="1066"/>
          </reference>
        </references>
      </pivotArea>
    </format>
    <format dxfId="220">
      <pivotArea dataOnly="0" labelOnly="1" outline="0" fieldPosition="0">
        <references count="2">
          <reference field="3" count="1" selected="0">
            <x v="190"/>
          </reference>
          <reference field="4" count="1">
            <x v="1067"/>
          </reference>
        </references>
      </pivotArea>
    </format>
    <format dxfId="219">
      <pivotArea dataOnly="0" labelOnly="1" outline="0" fieldPosition="0">
        <references count="2">
          <reference field="3" count="1" selected="0">
            <x v="191"/>
          </reference>
          <reference field="4" count="1">
            <x v="348"/>
          </reference>
        </references>
      </pivotArea>
    </format>
    <format dxfId="218">
      <pivotArea dataOnly="0" labelOnly="1" outline="0" fieldPosition="0">
        <references count="2">
          <reference field="3" count="1" selected="0">
            <x v="192"/>
          </reference>
          <reference field="4" count="1">
            <x v="349"/>
          </reference>
        </references>
      </pivotArea>
    </format>
    <format dxfId="217">
      <pivotArea dataOnly="0" labelOnly="1" outline="0" fieldPosition="0">
        <references count="2">
          <reference field="3" count="1" selected="0">
            <x v="193"/>
          </reference>
          <reference field="4" count="1">
            <x v="817"/>
          </reference>
        </references>
      </pivotArea>
    </format>
    <format dxfId="216">
      <pivotArea dataOnly="0" labelOnly="1" outline="0" fieldPosition="0">
        <references count="2">
          <reference field="3" count="1" selected="0">
            <x v="194"/>
          </reference>
          <reference field="4" count="1">
            <x v="1220"/>
          </reference>
        </references>
      </pivotArea>
    </format>
    <format dxfId="215">
      <pivotArea dataOnly="0" labelOnly="1" outline="0" fieldPosition="0">
        <references count="2">
          <reference field="3" count="1" selected="0">
            <x v="195"/>
          </reference>
          <reference field="4" count="1">
            <x v="1223"/>
          </reference>
        </references>
      </pivotArea>
    </format>
    <format dxfId="214">
      <pivotArea dataOnly="0" labelOnly="1" outline="0" fieldPosition="0">
        <references count="2">
          <reference field="3" count="1" selected="0">
            <x v="196"/>
          </reference>
          <reference field="4" count="1">
            <x v="1235"/>
          </reference>
        </references>
      </pivotArea>
    </format>
    <format dxfId="213">
      <pivotArea dataOnly="0" labelOnly="1" outline="0" fieldPosition="0">
        <references count="2">
          <reference field="3" count="1" selected="0">
            <x v="197"/>
          </reference>
          <reference field="4" count="1">
            <x v="1236"/>
          </reference>
        </references>
      </pivotArea>
    </format>
    <format dxfId="212">
      <pivotArea dataOnly="0" labelOnly="1" outline="0" fieldPosition="0">
        <references count="2">
          <reference field="3" count="1" selected="0">
            <x v="198"/>
          </reference>
          <reference field="4" count="1">
            <x v="1237"/>
          </reference>
        </references>
      </pivotArea>
    </format>
    <format dxfId="211">
      <pivotArea dataOnly="0" labelOnly="1" outline="0" fieldPosition="0">
        <references count="2">
          <reference field="3" count="1" selected="0">
            <x v="199"/>
          </reference>
          <reference field="4" count="1">
            <x v="1384"/>
          </reference>
        </references>
      </pivotArea>
    </format>
    <format dxfId="210">
      <pivotArea dataOnly="0" labelOnly="1" outline="0" fieldPosition="0">
        <references count="2">
          <reference field="3" count="1" selected="0">
            <x v="200"/>
          </reference>
          <reference field="4" count="1">
            <x v="1496"/>
          </reference>
        </references>
      </pivotArea>
    </format>
    <format dxfId="209">
      <pivotArea dataOnly="0" labelOnly="1" outline="0" fieldPosition="0">
        <references count="2">
          <reference field="3" count="1" selected="0">
            <x v="201"/>
          </reference>
          <reference field="4" count="1">
            <x v="1230"/>
          </reference>
        </references>
      </pivotArea>
    </format>
    <format dxfId="208">
      <pivotArea dataOnly="0" labelOnly="1" outline="0" fieldPosition="0">
        <references count="2">
          <reference field="3" count="1" selected="0">
            <x v="202"/>
          </reference>
          <reference field="4" count="1">
            <x v="644"/>
          </reference>
        </references>
      </pivotArea>
    </format>
    <format dxfId="207">
      <pivotArea dataOnly="0" labelOnly="1" outline="0" fieldPosition="0">
        <references count="2">
          <reference field="3" count="1" selected="0">
            <x v="203"/>
          </reference>
          <reference field="4" count="1">
            <x v="915"/>
          </reference>
        </references>
      </pivotArea>
    </format>
    <format dxfId="206">
      <pivotArea dataOnly="0" labelOnly="1" outline="0" fieldPosition="0">
        <references count="2">
          <reference field="3" count="1" selected="0">
            <x v="204"/>
          </reference>
          <reference field="4" count="1">
            <x v="1072"/>
          </reference>
        </references>
      </pivotArea>
    </format>
    <format dxfId="205">
      <pivotArea dataOnly="0" labelOnly="1" outline="0" fieldPosition="0">
        <references count="2">
          <reference field="3" count="1" selected="0">
            <x v="205"/>
          </reference>
          <reference field="4" count="1">
            <x v="1073"/>
          </reference>
        </references>
      </pivotArea>
    </format>
    <format dxfId="204">
      <pivotArea dataOnly="0" labelOnly="1" outline="0" fieldPosition="0">
        <references count="2">
          <reference field="3" count="1" selected="0">
            <x v="206"/>
          </reference>
          <reference field="4" count="1">
            <x v="1074"/>
          </reference>
        </references>
      </pivotArea>
    </format>
    <format dxfId="203">
      <pivotArea dataOnly="0" labelOnly="1" outline="0" fieldPosition="0">
        <references count="2">
          <reference field="3" count="1" selected="0">
            <x v="207"/>
          </reference>
          <reference field="4" count="1">
            <x v="1076"/>
          </reference>
        </references>
      </pivotArea>
    </format>
    <format dxfId="202">
      <pivotArea dataOnly="0" labelOnly="1" outline="0" fieldPosition="0">
        <references count="2">
          <reference field="3" count="1" selected="0">
            <x v="208"/>
          </reference>
          <reference field="4" count="1">
            <x v="641"/>
          </reference>
        </references>
      </pivotArea>
    </format>
    <format dxfId="201">
      <pivotArea dataOnly="0" labelOnly="1" outline="0" fieldPosition="0">
        <references count="2">
          <reference field="3" count="1" selected="0">
            <x v="209"/>
          </reference>
          <reference field="4" count="1">
            <x v="107"/>
          </reference>
        </references>
      </pivotArea>
    </format>
    <format dxfId="200">
      <pivotArea dataOnly="0" labelOnly="1" outline="0" fieldPosition="0">
        <references count="2">
          <reference field="3" count="1" selected="0">
            <x v="210"/>
          </reference>
          <reference field="4" count="1">
            <x v="318"/>
          </reference>
        </references>
      </pivotArea>
    </format>
    <format dxfId="199">
      <pivotArea dataOnly="0" labelOnly="1" outline="0" fieldPosition="0">
        <references count="2">
          <reference field="3" count="1" selected="0">
            <x v="211"/>
          </reference>
          <reference field="4" count="1">
            <x v="347"/>
          </reference>
        </references>
      </pivotArea>
    </format>
    <format dxfId="198">
      <pivotArea dataOnly="0" labelOnly="1" outline="0" fieldPosition="0">
        <references count="2">
          <reference field="3" count="1" selected="0">
            <x v="212"/>
          </reference>
          <reference field="4" count="1">
            <x v="584"/>
          </reference>
        </references>
      </pivotArea>
    </format>
    <format dxfId="197">
      <pivotArea dataOnly="0" labelOnly="1" outline="0" fieldPosition="0">
        <references count="2">
          <reference field="3" count="1" selected="0">
            <x v="213"/>
          </reference>
          <reference field="4" count="1">
            <x v="585"/>
          </reference>
        </references>
      </pivotArea>
    </format>
    <format dxfId="196">
      <pivotArea dataOnly="0" labelOnly="1" outline="0" fieldPosition="0">
        <references count="2">
          <reference field="3" count="1" selected="0">
            <x v="214"/>
          </reference>
          <reference field="4" count="1">
            <x v="706"/>
          </reference>
        </references>
      </pivotArea>
    </format>
    <format dxfId="195">
      <pivotArea dataOnly="0" labelOnly="1" outline="0" fieldPosition="0">
        <references count="2">
          <reference field="3" count="1" selected="0">
            <x v="215"/>
          </reference>
          <reference field="4" count="1">
            <x v="711"/>
          </reference>
        </references>
      </pivotArea>
    </format>
    <format dxfId="194">
      <pivotArea dataOnly="0" labelOnly="1" outline="0" fieldPosition="0">
        <references count="2">
          <reference field="3" count="1" selected="0">
            <x v="216"/>
          </reference>
          <reference field="4" count="1">
            <x v="722"/>
          </reference>
        </references>
      </pivotArea>
    </format>
    <format dxfId="193">
      <pivotArea dataOnly="0" labelOnly="1" outline="0" fieldPosition="0">
        <references count="2">
          <reference field="3" count="1" selected="0">
            <x v="217"/>
          </reference>
          <reference field="4" count="1">
            <x v="724"/>
          </reference>
        </references>
      </pivotArea>
    </format>
    <format dxfId="192">
      <pivotArea dataOnly="0" labelOnly="1" outline="0" fieldPosition="0">
        <references count="2">
          <reference field="3" count="1" selected="0">
            <x v="218"/>
          </reference>
          <reference field="4" count="1">
            <x v="818"/>
          </reference>
        </references>
      </pivotArea>
    </format>
    <format dxfId="191">
      <pivotArea dataOnly="0" labelOnly="1" outline="0" fieldPosition="0">
        <references count="2">
          <reference field="3" count="1" selected="0">
            <x v="219"/>
          </reference>
          <reference field="4" count="1">
            <x v="820"/>
          </reference>
        </references>
      </pivotArea>
    </format>
    <format dxfId="190">
      <pivotArea dataOnly="0" labelOnly="1" outline="0" fieldPosition="0">
        <references count="2">
          <reference field="3" count="1" selected="0">
            <x v="220"/>
          </reference>
          <reference field="4" count="1">
            <x v="842"/>
          </reference>
        </references>
      </pivotArea>
    </format>
    <format dxfId="189">
      <pivotArea dataOnly="0" labelOnly="1" outline="0" fieldPosition="0">
        <references count="2">
          <reference field="3" count="1" selected="0">
            <x v="221"/>
          </reference>
          <reference field="4" count="1">
            <x v="843"/>
          </reference>
        </references>
      </pivotArea>
    </format>
    <format dxfId="188">
      <pivotArea dataOnly="0" labelOnly="1" outline="0" fieldPosition="0">
        <references count="2">
          <reference field="3" count="1" selected="0">
            <x v="222"/>
          </reference>
          <reference field="4" count="1">
            <x v="902"/>
          </reference>
        </references>
      </pivotArea>
    </format>
    <format dxfId="187">
      <pivotArea dataOnly="0" labelOnly="1" outline="0" fieldPosition="0">
        <references count="2">
          <reference field="3" count="1" selected="0">
            <x v="223"/>
          </reference>
          <reference field="4" count="1">
            <x v="903"/>
          </reference>
        </references>
      </pivotArea>
    </format>
    <format dxfId="186">
      <pivotArea dataOnly="0" labelOnly="1" outline="0" fieldPosition="0">
        <references count="2">
          <reference field="3" count="1" selected="0">
            <x v="224"/>
          </reference>
          <reference field="4" count="1">
            <x v="941"/>
          </reference>
        </references>
      </pivotArea>
    </format>
    <format dxfId="185">
      <pivotArea dataOnly="0" labelOnly="1" outline="0" fieldPosition="0">
        <references count="2">
          <reference field="3" count="1" selected="0">
            <x v="225"/>
          </reference>
          <reference field="4" count="1">
            <x v="1201"/>
          </reference>
        </references>
      </pivotArea>
    </format>
    <format dxfId="184">
      <pivotArea dataOnly="0" labelOnly="1" outline="0" fieldPosition="0">
        <references count="2">
          <reference field="3" count="1" selected="0">
            <x v="226"/>
          </reference>
          <reference field="4" count="1">
            <x v="1202"/>
          </reference>
        </references>
      </pivotArea>
    </format>
    <format dxfId="183">
      <pivotArea dataOnly="0" labelOnly="1" outline="0" fieldPosition="0">
        <references count="2">
          <reference field="3" count="1" selected="0">
            <x v="227"/>
          </reference>
          <reference field="4" count="1">
            <x v="1203"/>
          </reference>
        </references>
      </pivotArea>
    </format>
    <format dxfId="182">
      <pivotArea dataOnly="0" labelOnly="1" outline="0" fieldPosition="0">
        <references count="2">
          <reference field="3" count="1" selected="0">
            <x v="228"/>
          </reference>
          <reference field="4" count="1">
            <x v="1241"/>
          </reference>
        </references>
      </pivotArea>
    </format>
    <format dxfId="181">
      <pivotArea dataOnly="0" labelOnly="1" outline="0" fieldPosition="0">
        <references count="2">
          <reference field="3" count="1" selected="0">
            <x v="229"/>
          </reference>
          <reference field="4" count="1">
            <x v="1356"/>
          </reference>
        </references>
      </pivotArea>
    </format>
    <format dxfId="180">
      <pivotArea dataOnly="0" labelOnly="1" outline="0" fieldPosition="0">
        <references count="2">
          <reference field="3" count="1" selected="0">
            <x v="230"/>
          </reference>
          <reference field="4" count="1">
            <x v="1357"/>
          </reference>
        </references>
      </pivotArea>
    </format>
    <format dxfId="179">
      <pivotArea dataOnly="0" labelOnly="1" outline="0" fieldPosition="0">
        <references count="2">
          <reference field="3" count="1" selected="0">
            <x v="231"/>
          </reference>
          <reference field="4" count="1">
            <x v="1358"/>
          </reference>
        </references>
      </pivotArea>
    </format>
    <format dxfId="178">
      <pivotArea dataOnly="0" labelOnly="1" outline="0" fieldPosition="0">
        <references count="2">
          <reference field="3" count="1" selected="0">
            <x v="232"/>
          </reference>
          <reference field="4" count="1">
            <x v="1362"/>
          </reference>
        </references>
      </pivotArea>
    </format>
    <format dxfId="177">
      <pivotArea dataOnly="0" labelOnly="1" outline="0" fieldPosition="0">
        <references count="2">
          <reference field="3" count="1" selected="0">
            <x v="233"/>
          </reference>
          <reference field="4" count="1">
            <x v="1364"/>
          </reference>
        </references>
      </pivotArea>
    </format>
    <format dxfId="176">
      <pivotArea dataOnly="0" labelOnly="1" outline="0" fieldPosition="0">
        <references count="2">
          <reference field="3" count="1" selected="0">
            <x v="234"/>
          </reference>
          <reference field="4" count="1">
            <x v="1366"/>
          </reference>
        </references>
      </pivotArea>
    </format>
    <format dxfId="175">
      <pivotArea dataOnly="0" labelOnly="1" outline="0" fieldPosition="0">
        <references count="2">
          <reference field="3" count="1" selected="0">
            <x v="235"/>
          </reference>
          <reference field="4" count="1">
            <x v="1391"/>
          </reference>
        </references>
      </pivotArea>
    </format>
    <format dxfId="174">
      <pivotArea dataOnly="0" labelOnly="1" outline="0" fieldPosition="0">
        <references count="2">
          <reference field="3" count="1" selected="0">
            <x v="236"/>
          </reference>
          <reference field="4" count="1">
            <x v="1392"/>
          </reference>
        </references>
      </pivotArea>
    </format>
    <format dxfId="173">
      <pivotArea dataOnly="0" labelOnly="1" outline="0" fieldPosition="0">
        <references count="2">
          <reference field="3" count="1" selected="0">
            <x v="237"/>
          </reference>
          <reference field="4" count="1">
            <x v="65"/>
          </reference>
        </references>
      </pivotArea>
    </format>
    <format dxfId="172">
      <pivotArea dataOnly="0" labelOnly="1" outline="0" fieldPosition="0">
        <references count="2">
          <reference field="3" count="1" selected="0">
            <x v="238"/>
          </reference>
          <reference field="4" count="1">
            <x v="193"/>
          </reference>
        </references>
      </pivotArea>
    </format>
    <format dxfId="171">
      <pivotArea dataOnly="0" labelOnly="1" outline="0" fieldPosition="0">
        <references count="2">
          <reference field="3" count="1" selected="0">
            <x v="239"/>
          </reference>
          <reference field="4" count="1">
            <x v="208"/>
          </reference>
        </references>
      </pivotArea>
    </format>
    <format dxfId="170">
      <pivotArea dataOnly="0" labelOnly="1" outline="0" fieldPosition="0">
        <references count="2">
          <reference field="3" count="1" selected="0">
            <x v="240"/>
          </reference>
          <reference field="4" count="1">
            <x v="221"/>
          </reference>
        </references>
      </pivotArea>
    </format>
    <format dxfId="169">
      <pivotArea dataOnly="0" labelOnly="1" outline="0" fieldPosition="0">
        <references count="2">
          <reference field="3" count="1" selected="0">
            <x v="241"/>
          </reference>
          <reference field="4" count="1">
            <x v="771"/>
          </reference>
        </references>
      </pivotArea>
    </format>
    <format dxfId="168">
      <pivotArea dataOnly="0" labelOnly="1" outline="0" fieldPosition="0">
        <references count="2">
          <reference field="3" count="1" selected="0">
            <x v="242"/>
          </reference>
          <reference field="4" count="1">
            <x v="1350"/>
          </reference>
        </references>
      </pivotArea>
    </format>
    <format dxfId="167">
      <pivotArea dataOnly="0" labelOnly="1" outline="0" fieldPosition="0">
        <references count="2">
          <reference field="3" count="1" selected="0">
            <x v="243"/>
          </reference>
          <reference field="4" count="1">
            <x v="1398"/>
          </reference>
        </references>
      </pivotArea>
    </format>
    <format dxfId="166">
      <pivotArea dataOnly="0" labelOnly="1" outline="0" fieldPosition="0">
        <references count="2">
          <reference field="3" count="1" selected="0">
            <x v="244"/>
          </reference>
          <reference field="4" count="1">
            <x v="357"/>
          </reference>
        </references>
      </pivotArea>
    </format>
    <format dxfId="165">
      <pivotArea dataOnly="0" labelOnly="1" outline="0" fieldPosition="0">
        <references count="2">
          <reference field="3" count="1" selected="0">
            <x v="245"/>
          </reference>
          <reference field="4" count="1">
            <x v="432"/>
          </reference>
        </references>
      </pivotArea>
    </format>
    <format dxfId="164">
      <pivotArea dataOnly="0" labelOnly="1" outline="0" fieldPosition="0">
        <references count="2">
          <reference field="3" count="1" selected="0">
            <x v="246"/>
          </reference>
          <reference field="4" count="1">
            <x v="782"/>
          </reference>
        </references>
      </pivotArea>
    </format>
    <format dxfId="163">
      <pivotArea dataOnly="0" labelOnly="1" outline="0" fieldPosition="0">
        <references count="2">
          <reference field="3" count="1" selected="0">
            <x v="247"/>
          </reference>
          <reference field="4" count="1">
            <x v="936"/>
          </reference>
        </references>
      </pivotArea>
    </format>
    <format dxfId="162">
      <pivotArea dataOnly="0" labelOnly="1" outline="0" fieldPosition="0">
        <references count="2">
          <reference field="3" count="1" selected="0">
            <x v="248"/>
          </reference>
          <reference field="4" count="1">
            <x v="994"/>
          </reference>
        </references>
      </pivotArea>
    </format>
    <format dxfId="161">
      <pivotArea dataOnly="0" labelOnly="1" outline="0" fieldPosition="0">
        <references count="2">
          <reference field="3" count="1" selected="0">
            <x v="249"/>
          </reference>
          <reference field="4" count="1">
            <x v="735"/>
          </reference>
        </references>
      </pivotArea>
    </format>
    <format dxfId="160">
      <pivotArea dataOnly="0" labelOnly="1" outline="0" fieldPosition="0">
        <references count="2">
          <reference field="3" count="1" selected="0">
            <x v="250"/>
          </reference>
          <reference field="4" count="1">
            <x v="44"/>
          </reference>
        </references>
      </pivotArea>
    </format>
    <format dxfId="159">
      <pivotArea dataOnly="0" labelOnly="1" outline="0" fieldPosition="0">
        <references count="2">
          <reference field="3" count="1" selected="0">
            <x v="251"/>
          </reference>
          <reference field="4" count="1">
            <x v="748"/>
          </reference>
        </references>
      </pivotArea>
    </format>
    <format dxfId="158">
      <pivotArea dataOnly="0" labelOnly="1" outline="0" fieldPosition="0">
        <references count="2">
          <reference field="3" count="1" selected="0">
            <x v="252"/>
          </reference>
          <reference field="4" count="1">
            <x v="1243"/>
          </reference>
        </references>
      </pivotArea>
    </format>
    <format dxfId="157">
      <pivotArea dataOnly="0" labelOnly="1" outline="0" fieldPosition="0">
        <references count="2">
          <reference field="3" count="1" selected="0">
            <x v="253"/>
          </reference>
          <reference field="4" count="1">
            <x v="381"/>
          </reference>
        </references>
      </pivotArea>
    </format>
    <format dxfId="156">
      <pivotArea dataOnly="0" labelOnly="1" outline="0" fieldPosition="0">
        <references count="2">
          <reference field="3" count="1" selected="0">
            <x v="254"/>
          </reference>
          <reference field="4" count="1">
            <x v="1365"/>
          </reference>
        </references>
      </pivotArea>
    </format>
    <format dxfId="155">
      <pivotArea dataOnly="0" labelOnly="1" outline="0" fieldPosition="0">
        <references count="2">
          <reference field="3" count="1" selected="0">
            <x v="255"/>
          </reference>
          <reference field="4" count="1">
            <x v="102"/>
          </reference>
        </references>
      </pivotArea>
    </format>
    <format dxfId="154">
      <pivotArea dataOnly="0" labelOnly="1" outline="0" fieldPosition="0">
        <references count="2">
          <reference field="3" count="1" selected="0">
            <x v="256"/>
          </reference>
          <reference field="4" count="1">
            <x v="841"/>
          </reference>
        </references>
      </pivotArea>
    </format>
    <format dxfId="153">
      <pivotArea dataOnly="0" labelOnly="1" outline="0" fieldPosition="0">
        <references count="2">
          <reference field="3" count="1" selected="0">
            <x v="257"/>
          </reference>
          <reference field="4" count="1">
            <x v="1311"/>
          </reference>
        </references>
      </pivotArea>
    </format>
    <format dxfId="152">
      <pivotArea dataOnly="0" labelOnly="1" outline="0" fieldPosition="0">
        <references count="2">
          <reference field="3" count="1" selected="0">
            <x v="258"/>
          </reference>
          <reference field="4" count="1">
            <x v="419"/>
          </reference>
        </references>
      </pivotArea>
    </format>
    <format dxfId="151">
      <pivotArea dataOnly="0" labelOnly="1" outline="0" fieldPosition="0">
        <references count="2">
          <reference field="3" count="1" selected="0">
            <x v="259"/>
          </reference>
          <reference field="4" count="1">
            <x v="420"/>
          </reference>
        </references>
      </pivotArea>
    </format>
    <format dxfId="150">
      <pivotArea dataOnly="0" labelOnly="1" outline="0" fieldPosition="0">
        <references count="2">
          <reference field="3" count="1" selected="0">
            <x v="260"/>
          </reference>
          <reference field="4" count="1">
            <x v="93"/>
          </reference>
        </references>
      </pivotArea>
    </format>
    <format dxfId="149">
      <pivotArea dataOnly="0" labelOnly="1" outline="0" fieldPosition="0">
        <references count="2">
          <reference field="3" count="1" selected="0">
            <x v="261"/>
          </reference>
          <reference field="4" count="1">
            <x v="225"/>
          </reference>
        </references>
      </pivotArea>
    </format>
    <format dxfId="148">
      <pivotArea dataOnly="0" labelOnly="1" outline="0" fieldPosition="0">
        <references count="2">
          <reference field="3" count="1" selected="0">
            <x v="262"/>
          </reference>
          <reference field="4" count="1">
            <x v="319"/>
          </reference>
        </references>
      </pivotArea>
    </format>
    <format dxfId="147">
      <pivotArea dataOnly="0" labelOnly="1" outline="0" fieldPosition="0">
        <references count="2">
          <reference field="3" count="1" selected="0">
            <x v="263"/>
          </reference>
          <reference field="4" count="1">
            <x v="320"/>
          </reference>
        </references>
      </pivotArea>
    </format>
    <format dxfId="146">
      <pivotArea dataOnly="0" labelOnly="1" outline="0" fieldPosition="0">
        <references count="2">
          <reference field="3" count="1" selected="0">
            <x v="265"/>
          </reference>
          <reference field="4" count="1">
            <x v="292"/>
          </reference>
        </references>
      </pivotArea>
    </format>
    <format dxfId="145">
      <pivotArea dataOnly="0" labelOnly="1" outline="0" fieldPosition="0">
        <references count="2">
          <reference field="3" count="1" selected="0">
            <x v="266"/>
          </reference>
          <reference field="4" count="1">
            <x v="749"/>
          </reference>
        </references>
      </pivotArea>
    </format>
    <format dxfId="144">
      <pivotArea dataOnly="0" labelOnly="1" outline="0" fieldPosition="0">
        <references count="2">
          <reference field="3" count="1" selected="0">
            <x v="267"/>
          </reference>
          <reference field="4" count="1">
            <x v="1346"/>
          </reference>
        </references>
      </pivotArea>
    </format>
    <format dxfId="143">
      <pivotArea dataOnly="0" labelOnly="1" outline="0" fieldPosition="0">
        <references count="2">
          <reference field="3" count="1" selected="0">
            <x v="268"/>
          </reference>
          <reference field="4" count="1">
            <x v="772"/>
          </reference>
        </references>
      </pivotArea>
    </format>
    <format dxfId="142">
      <pivotArea dataOnly="0" labelOnly="1" outline="0" fieldPosition="0">
        <references count="2">
          <reference field="3" count="1" selected="0">
            <x v="269"/>
          </reference>
          <reference field="4" count="1">
            <x v="1382"/>
          </reference>
        </references>
      </pivotArea>
    </format>
    <format dxfId="141">
      <pivotArea dataOnly="0" labelOnly="1" outline="0" fieldPosition="0">
        <references count="2">
          <reference field="3" count="1" selected="0">
            <x v="270"/>
          </reference>
          <reference field="4" count="1">
            <x v="1343"/>
          </reference>
        </references>
      </pivotArea>
    </format>
    <format dxfId="140">
      <pivotArea dataOnly="0" labelOnly="1" outline="0" fieldPosition="0">
        <references count="2">
          <reference field="3" count="1" selected="0">
            <x v="271"/>
          </reference>
          <reference field="4" count="1">
            <x v="131"/>
          </reference>
        </references>
      </pivotArea>
    </format>
    <format dxfId="139">
      <pivotArea dataOnly="0" labelOnly="1" outline="0" fieldPosition="0">
        <references count="2">
          <reference field="3" count="1" selected="0">
            <x v="272"/>
          </reference>
          <reference field="4" count="1">
            <x v="760"/>
          </reference>
        </references>
      </pivotArea>
    </format>
    <format dxfId="138">
      <pivotArea dataOnly="0" labelOnly="1" outline="0" fieldPosition="0">
        <references count="2">
          <reference field="3" count="1" selected="0">
            <x v="273"/>
          </reference>
          <reference field="4" count="1">
            <x v="805"/>
          </reference>
        </references>
      </pivotArea>
    </format>
    <format dxfId="137">
      <pivotArea dataOnly="0" labelOnly="1" outline="0" fieldPosition="0">
        <references count="2">
          <reference field="3" count="1" selected="0">
            <x v="274"/>
          </reference>
          <reference field="4" count="1">
            <x v="809"/>
          </reference>
        </references>
      </pivotArea>
    </format>
    <format dxfId="136">
      <pivotArea dataOnly="0" labelOnly="1" outline="0" fieldPosition="0">
        <references count="2">
          <reference field="3" count="1" selected="0">
            <x v="275"/>
          </reference>
          <reference field="4" count="1">
            <x v="811"/>
          </reference>
        </references>
      </pivotArea>
    </format>
    <format dxfId="135">
      <pivotArea dataOnly="0" labelOnly="1" outline="0" fieldPosition="0">
        <references count="2">
          <reference field="3" count="1" selected="0">
            <x v="276"/>
          </reference>
          <reference field="4" count="1">
            <x v="810"/>
          </reference>
        </references>
      </pivotArea>
    </format>
    <format dxfId="134">
      <pivotArea dataOnly="0" labelOnly="1" outline="0" fieldPosition="0">
        <references count="2">
          <reference field="3" count="1" selected="0">
            <x v="277"/>
          </reference>
          <reference field="4" count="1">
            <x v="812"/>
          </reference>
        </references>
      </pivotArea>
    </format>
    <format dxfId="133">
      <pivotArea dataOnly="0" labelOnly="1" outline="0" fieldPosition="0">
        <references count="2">
          <reference field="3" count="1" selected="0">
            <x v="278"/>
          </reference>
          <reference field="4" count="1">
            <x v="813"/>
          </reference>
        </references>
      </pivotArea>
    </format>
    <format dxfId="132">
      <pivotArea dataOnly="0" labelOnly="1" outline="0" fieldPosition="0">
        <references count="2">
          <reference field="3" count="1" selected="0">
            <x v="279"/>
          </reference>
          <reference field="4" count="1">
            <x v="848"/>
          </reference>
        </references>
      </pivotArea>
    </format>
    <format dxfId="131">
      <pivotArea dataOnly="0" labelOnly="1" outline="0" fieldPosition="0">
        <references count="2">
          <reference field="3" count="1" selected="0">
            <x v="280"/>
          </reference>
          <reference field="4" count="1">
            <x v="1113"/>
          </reference>
        </references>
      </pivotArea>
    </format>
    <format dxfId="130">
      <pivotArea dataOnly="0" labelOnly="1" outline="0" fieldPosition="0">
        <references count="2">
          <reference field="3" count="1" selected="0">
            <x v="281"/>
          </reference>
          <reference field="4" count="1">
            <x v="1119"/>
          </reference>
        </references>
      </pivotArea>
    </format>
    <format dxfId="129">
      <pivotArea dataOnly="0" labelOnly="1" outline="0" fieldPosition="0">
        <references count="2">
          <reference field="3" count="1" selected="0">
            <x v="282"/>
          </reference>
          <reference field="4" count="1">
            <x v="1116"/>
          </reference>
        </references>
      </pivotArea>
    </format>
    <format dxfId="128">
      <pivotArea dataOnly="0" labelOnly="1" outline="0" fieldPosition="0">
        <references count="2">
          <reference field="3" count="1" selected="0">
            <x v="283"/>
          </reference>
          <reference field="4" count="1">
            <x v="952"/>
          </reference>
        </references>
      </pivotArea>
    </format>
    <format dxfId="127">
      <pivotArea dataOnly="0" labelOnly="1" outline="0" fieldPosition="0">
        <references count="2">
          <reference field="3" count="1" selected="0">
            <x v="284"/>
          </reference>
          <reference field="4" count="1">
            <x v="1117"/>
          </reference>
        </references>
      </pivotArea>
    </format>
    <format dxfId="126">
      <pivotArea dataOnly="0" labelOnly="1" outline="0" fieldPosition="0">
        <references count="2">
          <reference field="3" count="1" selected="0">
            <x v="285"/>
          </reference>
          <reference field="4" count="1">
            <x v="856"/>
          </reference>
        </references>
      </pivotArea>
    </format>
    <format dxfId="125">
      <pivotArea dataOnly="0" labelOnly="1" outline="0" fieldPosition="0">
        <references count="2">
          <reference field="3" count="1" selected="0">
            <x v="286"/>
          </reference>
          <reference field="4" count="1">
            <x v="806"/>
          </reference>
        </references>
      </pivotArea>
    </format>
    <format dxfId="124">
      <pivotArea dataOnly="0" labelOnly="1" outline="0" fieldPosition="0">
        <references count="2">
          <reference field="3" count="1" selected="0">
            <x v="287"/>
          </reference>
          <reference field="4" count="1">
            <x v="1120"/>
          </reference>
        </references>
      </pivotArea>
    </format>
    <format dxfId="123">
      <pivotArea dataOnly="0" labelOnly="1" outline="0" fieldPosition="0">
        <references count="2">
          <reference field="3" count="1" selected="0">
            <x v="288"/>
          </reference>
          <reference field="4" count="1">
            <x v="807"/>
          </reference>
        </references>
      </pivotArea>
    </format>
    <format dxfId="122">
      <pivotArea dataOnly="0" labelOnly="1" outline="0" fieldPosition="0">
        <references count="2">
          <reference field="3" count="1" selected="0">
            <x v="289"/>
          </reference>
          <reference field="4" count="1">
            <x v="851"/>
          </reference>
        </references>
      </pivotArea>
    </format>
    <format dxfId="121">
      <pivotArea dataOnly="0" labelOnly="1" outline="0" fieldPosition="0">
        <references count="2">
          <reference field="3" count="1" selected="0">
            <x v="290"/>
          </reference>
          <reference field="4" count="1">
            <x v="852"/>
          </reference>
        </references>
      </pivotArea>
    </format>
    <format dxfId="120">
      <pivotArea dataOnly="0" labelOnly="1" outline="0" fieldPosition="0">
        <references count="2">
          <reference field="3" count="1" selected="0">
            <x v="291"/>
          </reference>
          <reference field="4" count="1">
            <x v="854"/>
          </reference>
        </references>
      </pivotArea>
    </format>
    <format dxfId="119">
      <pivotArea dataOnly="0" labelOnly="1" outline="0" fieldPosition="0">
        <references count="2">
          <reference field="3" count="1" selected="0">
            <x v="292"/>
          </reference>
          <reference field="4" count="1">
            <x v="855"/>
          </reference>
        </references>
      </pivotArea>
    </format>
    <format dxfId="118">
      <pivotArea dataOnly="0" labelOnly="1" outline="0" fieldPosition="0">
        <references count="2">
          <reference field="3" count="1" selected="0">
            <x v="293"/>
          </reference>
          <reference field="4" count="1">
            <x v="858"/>
          </reference>
        </references>
      </pivotArea>
    </format>
    <format dxfId="117">
      <pivotArea dataOnly="0" labelOnly="1" outline="0" fieldPosition="0">
        <references count="2">
          <reference field="3" count="1" selected="0">
            <x v="294"/>
          </reference>
          <reference field="4" count="1">
            <x v="195"/>
          </reference>
        </references>
      </pivotArea>
    </format>
    <format dxfId="116">
      <pivotArea dataOnly="0" labelOnly="1" outline="0" fieldPosition="0">
        <references count="2">
          <reference field="3" count="1" selected="0">
            <x v="295"/>
          </reference>
          <reference field="4" count="1">
            <x v="257"/>
          </reference>
        </references>
      </pivotArea>
    </format>
    <format dxfId="115">
      <pivotArea dataOnly="0" labelOnly="1" outline="0" fieldPosition="0">
        <references count="2">
          <reference field="3" count="1" selected="0">
            <x v="296"/>
          </reference>
          <reference field="4" count="1">
            <x v="251"/>
          </reference>
        </references>
      </pivotArea>
    </format>
    <format dxfId="114">
      <pivotArea dataOnly="0" labelOnly="1" outline="0" fieldPosition="0">
        <references count="2">
          <reference field="3" count="1" selected="0">
            <x v="297"/>
          </reference>
          <reference field="4" count="1">
            <x v="594"/>
          </reference>
        </references>
      </pivotArea>
    </format>
    <format dxfId="113">
      <pivotArea dataOnly="0" labelOnly="1" outline="0" fieldPosition="0">
        <references count="2">
          <reference field="3" count="1" selected="0">
            <x v="298"/>
          </reference>
          <reference field="4" count="1">
            <x v="597"/>
          </reference>
        </references>
      </pivotArea>
    </format>
    <format dxfId="112">
      <pivotArea dataOnly="0" labelOnly="1" outline="0" fieldPosition="0">
        <references count="2">
          <reference field="3" count="1" selected="0">
            <x v="299"/>
          </reference>
          <reference field="4" count="1">
            <x v="598"/>
          </reference>
        </references>
      </pivotArea>
    </format>
    <format dxfId="111">
      <pivotArea dataOnly="0" labelOnly="1" outline="0" fieldPosition="0">
        <references count="2">
          <reference field="3" count="1" selected="0">
            <x v="300"/>
          </reference>
          <reference field="4" count="1">
            <x v="600"/>
          </reference>
        </references>
      </pivotArea>
    </format>
    <format dxfId="110">
      <pivotArea dataOnly="0" labelOnly="1" outline="0" fieldPosition="0">
        <references count="2">
          <reference field="3" count="1" selected="0">
            <x v="301"/>
          </reference>
          <reference field="4" count="1">
            <x v="604"/>
          </reference>
        </references>
      </pivotArea>
    </format>
    <format dxfId="109">
      <pivotArea dataOnly="0" labelOnly="1" outline="0" fieldPosition="0">
        <references count="2">
          <reference field="3" count="1" selected="0">
            <x v="302"/>
          </reference>
          <reference field="4" count="1">
            <x v="605"/>
          </reference>
        </references>
      </pivotArea>
    </format>
    <format dxfId="108">
      <pivotArea dataOnly="0" labelOnly="1" outline="0" fieldPosition="0">
        <references count="2">
          <reference field="3" count="1" selected="0">
            <x v="303"/>
          </reference>
          <reference field="4" count="1">
            <x v="607"/>
          </reference>
        </references>
      </pivotArea>
    </format>
    <format dxfId="107">
      <pivotArea dataOnly="0" labelOnly="1" outline="0" fieldPosition="0">
        <references count="2">
          <reference field="3" count="1" selected="0">
            <x v="304"/>
          </reference>
          <reference field="4" count="1">
            <x v="608"/>
          </reference>
        </references>
      </pivotArea>
    </format>
    <format dxfId="106">
      <pivotArea dataOnly="0" labelOnly="1" outline="0" fieldPosition="0">
        <references count="2">
          <reference field="3" count="1" selected="0">
            <x v="305"/>
          </reference>
          <reference field="4" count="1">
            <x v="609"/>
          </reference>
        </references>
      </pivotArea>
    </format>
    <format dxfId="105">
      <pivotArea dataOnly="0" labelOnly="1" outline="0" fieldPosition="0">
        <references count="2">
          <reference field="3" count="1" selected="0">
            <x v="306"/>
          </reference>
          <reference field="4" count="1">
            <x v="919"/>
          </reference>
        </references>
      </pivotArea>
    </format>
    <format dxfId="104">
      <pivotArea dataOnly="0" labelOnly="1" outline="0" fieldPosition="0">
        <references count="2">
          <reference field="3" count="1" selected="0">
            <x v="307"/>
          </reference>
          <reference field="4" count="1">
            <x v="1062"/>
          </reference>
        </references>
      </pivotArea>
    </format>
    <format dxfId="103">
      <pivotArea dataOnly="0" labelOnly="1" outline="0" fieldPosition="0">
        <references count="2">
          <reference field="3" count="1" selected="0">
            <x v="308"/>
          </reference>
          <reference field="4" count="1">
            <x v="1063"/>
          </reference>
        </references>
      </pivotArea>
    </format>
    <format dxfId="102">
      <pivotArea dataOnly="0" labelOnly="1" outline="0" fieldPosition="0">
        <references count="2">
          <reference field="3" count="1" selected="0">
            <x v="309"/>
          </reference>
          <reference field="4" count="1">
            <x v="1189"/>
          </reference>
        </references>
      </pivotArea>
    </format>
    <format dxfId="101">
      <pivotArea dataOnly="0" labelOnly="1" outline="0" fieldPosition="0">
        <references count="2">
          <reference field="3" count="1" selected="0">
            <x v="310"/>
          </reference>
          <reference field="4" count="1">
            <x v="1188"/>
          </reference>
        </references>
      </pivotArea>
    </format>
    <format dxfId="100">
      <pivotArea dataOnly="0" labelOnly="1" outline="0" fieldPosition="0">
        <references count="2">
          <reference field="3" count="1" selected="0">
            <x v="311"/>
          </reference>
          <reference field="4" count="1">
            <x v="1193"/>
          </reference>
        </references>
      </pivotArea>
    </format>
    <format dxfId="99">
      <pivotArea dataOnly="0" labelOnly="1" outline="0" fieldPosition="0">
        <references count="2">
          <reference field="3" count="1" selected="0">
            <x v="312"/>
          </reference>
          <reference field="4" count="1">
            <x v="1197"/>
          </reference>
        </references>
      </pivotArea>
    </format>
    <format dxfId="98">
      <pivotArea dataOnly="0" labelOnly="1" outline="0" fieldPosition="0">
        <references count="2">
          <reference field="3" count="1" selected="0">
            <x v="313"/>
          </reference>
          <reference field="4" count="1">
            <x v="755"/>
          </reference>
        </references>
      </pivotArea>
    </format>
    <format dxfId="97">
      <pivotArea dataOnly="0" labelOnly="1" outline="0" fieldPosition="0">
        <references count="2">
          <reference field="3" count="1" selected="0">
            <x v="314"/>
          </reference>
          <reference field="4" count="1">
            <x v="71"/>
          </reference>
        </references>
      </pivotArea>
    </format>
    <format dxfId="96">
      <pivotArea dataOnly="0" labelOnly="1" outline="0" fieldPosition="0">
        <references count="2">
          <reference field="3" count="1" selected="0">
            <x v="315"/>
          </reference>
          <reference field="4" count="1">
            <x v="72"/>
          </reference>
        </references>
      </pivotArea>
    </format>
    <format dxfId="95">
      <pivotArea dataOnly="0" labelOnly="1" outline="0" fieldPosition="0">
        <references count="2">
          <reference field="3" count="1" selected="0">
            <x v="316"/>
          </reference>
          <reference field="4" count="1">
            <x v="179"/>
          </reference>
        </references>
      </pivotArea>
    </format>
    <format dxfId="94">
      <pivotArea dataOnly="0" labelOnly="1" outline="0" fieldPosition="0">
        <references count="2">
          <reference field="3" count="1" selected="0">
            <x v="317"/>
          </reference>
          <reference field="4" count="1">
            <x v="180"/>
          </reference>
        </references>
      </pivotArea>
    </format>
    <format dxfId="93">
      <pivotArea dataOnly="0" labelOnly="1" outline="0" fieldPosition="0">
        <references count="2">
          <reference field="3" count="1" selected="0">
            <x v="318"/>
          </reference>
          <reference field="4" count="1">
            <x v="16"/>
          </reference>
        </references>
      </pivotArea>
    </format>
    <format dxfId="92">
      <pivotArea dataOnly="0" labelOnly="1" outline="0" fieldPosition="0">
        <references count="2">
          <reference field="3" count="1" selected="0">
            <x v="319"/>
          </reference>
          <reference field="4" count="1">
            <x v="89"/>
          </reference>
        </references>
      </pivotArea>
    </format>
    <format dxfId="91">
      <pivotArea dataOnly="0" labelOnly="1" outline="0" fieldPosition="0">
        <references count="2">
          <reference field="3" count="1" selected="0">
            <x v="320"/>
          </reference>
          <reference field="4" count="1">
            <x v="177"/>
          </reference>
        </references>
      </pivotArea>
    </format>
    <format dxfId="90">
      <pivotArea dataOnly="0" labelOnly="1" outline="0" fieldPosition="0">
        <references count="2">
          <reference field="3" count="1" selected="0">
            <x v="321"/>
          </reference>
          <reference field="4" count="1">
            <x v="1369"/>
          </reference>
        </references>
      </pivotArea>
    </format>
    <format dxfId="89">
      <pivotArea dataOnly="0" labelOnly="1" outline="0" fieldPosition="0">
        <references count="2">
          <reference field="3" count="1" selected="0">
            <x v="322"/>
          </reference>
          <reference field="4" count="1">
            <x v="194"/>
          </reference>
        </references>
      </pivotArea>
    </format>
    <format dxfId="88">
      <pivotArea dataOnly="0" labelOnly="1" outline="0" fieldPosition="0">
        <references count="2">
          <reference field="3" count="1" selected="0">
            <x v="323"/>
          </reference>
          <reference field="4" count="1">
            <x v="300"/>
          </reference>
        </references>
      </pivotArea>
    </format>
    <format dxfId="87">
      <pivotArea dataOnly="0" labelOnly="1" outline="0" fieldPosition="0">
        <references count="2">
          <reference field="3" count="1" selected="0">
            <x v="324"/>
          </reference>
          <reference field="4" count="1">
            <x v="382"/>
          </reference>
        </references>
      </pivotArea>
    </format>
    <format dxfId="86">
      <pivotArea dataOnly="0" labelOnly="1" outline="0" fieldPosition="0">
        <references count="2">
          <reference field="3" count="1" selected="0">
            <x v="325"/>
          </reference>
          <reference field="4" count="1">
            <x v="494"/>
          </reference>
        </references>
      </pivotArea>
    </format>
    <format dxfId="85">
      <pivotArea dataOnly="0" labelOnly="1" outline="0" fieldPosition="0">
        <references count="2">
          <reference field="3" count="1" selected="0">
            <x v="326"/>
          </reference>
          <reference field="4" count="1">
            <x v="1167"/>
          </reference>
        </references>
      </pivotArea>
    </format>
    <format dxfId="84">
      <pivotArea dataOnly="0" labelOnly="1" outline="0" fieldPosition="0">
        <references count="2">
          <reference field="3" count="1" selected="0">
            <x v="327"/>
          </reference>
          <reference field="4" count="1">
            <x v="498"/>
          </reference>
        </references>
      </pivotArea>
    </format>
    <format dxfId="83">
      <pivotArea dataOnly="0" labelOnly="1" outline="0" fieldPosition="0">
        <references count="2">
          <reference field="3" count="1" selected="0">
            <x v="328"/>
          </reference>
          <reference field="4" count="1">
            <x v="1168"/>
          </reference>
        </references>
      </pivotArea>
    </format>
    <format dxfId="82">
      <pivotArea dataOnly="0" labelOnly="1" outline="0" fieldPosition="0">
        <references count="2">
          <reference field="3" count="1" selected="0">
            <x v="329"/>
          </reference>
          <reference field="4" count="1">
            <x v="379"/>
          </reference>
        </references>
      </pivotArea>
    </format>
    <format dxfId="81">
      <pivotArea dataOnly="0" labelOnly="1" outline="0" fieldPosition="0">
        <references count="2">
          <reference field="3" count="1" selected="0">
            <x v="330"/>
          </reference>
          <reference field="4" count="1">
            <x v="310"/>
          </reference>
        </references>
      </pivotArea>
    </format>
    <format dxfId="80">
      <pivotArea dataOnly="0" labelOnly="1" outline="0" fieldPosition="0">
        <references count="2">
          <reference field="3" count="1" selected="0">
            <x v="331"/>
          </reference>
          <reference field="4" count="1">
            <x v="313"/>
          </reference>
        </references>
      </pivotArea>
    </format>
    <format dxfId="79">
      <pivotArea dataOnly="0" labelOnly="1" outline="0" fieldPosition="0">
        <references count="2">
          <reference field="3" count="1" selected="0">
            <x v="332"/>
          </reference>
          <reference field="4" count="1">
            <x v="322"/>
          </reference>
        </references>
      </pivotArea>
    </format>
    <format dxfId="78">
      <pivotArea dataOnly="0" labelOnly="1" outline="0" fieldPosition="0">
        <references count="2">
          <reference field="3" count="1" selected="0">
            <x v="333"/>
          </reference>
          <reference field="4" count="1">
            <x v="591"/>
          </reference>
        </references>
      </pivotArea>
    </format>
    <format dxfId="77">
      <pivotArea dataOnly="0" labelOnly="1" outline="0" fieldPosition="0">
        <references count="2">
          <reference field="3" count="1" selected="0">
            <x v="334"/>
          </reference>
          <reference field="4" count="1">
            <x v="777"/>
          </reference>
        </references>
      </pivotArea>
    </format>
    <format dxfId="76">
      <pivotArea dataOnly="0" labelOnly="1" outline="0" fieldPosition="0">
        <references count="2">
          <reference field="3" count="1" selected="0">
            <x v="335"/>
          </reference>
          <reference field="4" count="1">
            <x v="317"/>
          </reference>
        </references>
      </pivotArea>
    </format>
    <format dxfId="75">
      <pivotArea dataOnly="0" labelOnly="1" outline="0" fieldPosition="0">
        <references count="2">
          <reference field="3" count="1" selected="0">
            <x v="336"/>
          </reference>
          <reference field="4" count="1">
            <x v="788"/>
          </reference>
        </references>
      </pivotArea>
    </format>
    <format dxfId="74">
      <pivotArea dataOnly="0" labelOnly="1" outline="0" fieldPosition="0">
        <references count="2">
          <reference field="3" count="1" selected="0">
            <x v="337"/>
          </reference>
          <reference field="4" count="1">
            <x v="175"/>
          </reference>
        </references>
      </pivotArea>
    </format>
    <format dxfId="73">
      <pivotArea dataOnly="0" labelOnly="1" outline="0" fieldPosition="0">
        <references count="2">
          <reference field="3" count="1" selected="0">
            <x v="338"/>
          </reference>
          <reference field="4" count="1">
            <x v="967"/>
          </reference>
        </references>
      </pivotArea>
    </format>
    <format dxfId="72">
      <pivotArea dataOnly="0" labelOnly="1" outline="0" fieldPosition="0">
        <references count="2">
          <reference field="3" count="1" selected="0">
            <x v="339"/>
          </reference>
          <reference field="4" count="1">
            <x v="968"/>
          </reference>
        </references>
      </pivotArea>
    </format>
    <format dxfId="71">
      <pivotArea dataOnly="0" labelOnly="1" outline="0" fieldPosition="0">
        <references count="2">
          <reference field="3" count="1" selected="0">
            <x v="340"/>
          </reference>
          <reference field="4" count="1">
            <x v="995"/>
          </reference>
        </references>
      </pivotArea>
    </format>
    <format dxfId="70">
      <pivotArea dataOnly="0" labelOnly="1" outline="0" fieldPosition="0">
        <references count="2">
          <reference field="3" count="1" selected="0">
            <x v="341"/>
          </reference>
          <reference field="4" count="1">
            <x v="996"/>
          </reference>
        </references>
      </pivotArea>
    </format>
    <format dxfId="69">
      <pivotArea dataOnly="0" labelOnly="1" outline="0" fieldPosition="0">
        <references count="2">
          <reference field="3" count="1" selected="0">
            <x v="342"/>
          </reference>
          <reference field="4" count="1">
            <x v="1314"/>
          </reference>
        </references>
      </pivotArea>
    </format>
    <format dxfId="68">
      <pivotArea dataOnly="0" labelOnly="1" outline="0" fieldPosition="0">
        <references count="2">
          <reference field="3" count="1" selected="0">
            <x v="343"/>
          </reference>
          <reference field="4" count="1">
            <x v="1246"/>
          </reference>
        </references>
      </pivotArea>
    </format>
    <format dxfId="67">
      <pivotArea dataOnly="0" labelOnly="1" outline="0" fieldPosition="0">
        <references count="2">
          <reference field="3" count="1" selected="0">
            <x v="344"/>
          </reference>
          <reference field="4" count="1">
            <x v="1320"/>
          </reference>
        </references>
      </pivotArea>
    </format>
    <format dxfId="66">
      <pivotArea dataOnly="0" labelOnly="1" outline="0" fieldPosition="0">
        <references count="2">
          <reference field="3" count="1" selected="0">
            <x v="345"/>
          </reference>
          <reference field="4" count="1">
            <x v="1396"/>
          </reference>
        </references>
      </pivotArea>
    </format>
    <format dxfId="65">
      <pivotArea dataOnly="0" labelOnly="1" outline="0" fieldPosition="0">
        <references count="2">
          <reference field="3" count="1" selected="0">
            <x v="346"/>
          </reference>
          <reference field="4" count="1">
            <x v="590"/>
          </reference>
        </references>
      </pivotArea>
    </format>
    <format dxfId="64">
      <pivotArea dataOnly="0" labelOnly="1" outline="0" fieldPosition="0">
        <references count="2">
          <reference field="3" count="1" selected="0">
            <x v="347"/>
          </reference>
          <reference field="4" count="1">
            <x v="1159"/>
          </reference>
        </references>
      </pivotArea>
    </format>
    <format dxfId="63">
      <pivotArea dataOnly="0" labelOnly="1" outline="0" fieldPosition="0">
        <references count="2">
          <reference field="3" count="1" selected="0">
            <x v="349"/>
          </reference>
          <reference field="4" count="1">
            <x v="176"/>
          </reference>
        </references>
      </pivotArea>
    </format>
    <format dxfId="62">
      <pivotArea dataOnly="0" labelOnly="1" outline="0" fieldPosition="0">
        <references count="2">
          <reference field="3" count="1" selected="0">
            <x v="350"/>
          </reference>
          <reference field="4" count="1">
            <x v="1164"/>
          </reference>
        </references>
      </pivotArea>
    </format>
    <format dxfId="61">
      <pivotArea dataOnly="0" labelOnly="1" outline="0" fieldPosition="0">
        <references count="2">
          <reference field="3" count="1" selected="0">
            <x v="351"/>
          </reference>
          <reference field="4" count="1">
            <x v="103"/>
          </reference>
        </references>
      </pivotArea>
    </format>
    <format dxfId="60">
      <pivotArea dataOnly="0" labelOnly="1" outline="0" fieldPosition="0">
        <references count="2">
          <reference field="3" count="1" selected="0">
            <x v="352"/>
          </reference>
          <reference field="4" count="1">
            <x v="70"/>
          </reference>
        </references>
      </pivotArea>
    </format>
    <format dxfId="59">
      <pivotArea dataOnly="0" labelOnly="1" outline="0" fieldPosition="0">
        <references count="2">
          <reference field="3" count="1" selected="0">
            <x v="353"/>
          </reference>
          <reference field="4" count="1">
            <x v="294"/>
          </reference>
        </references>
      </pivotArea>
    </format>
    <format dxfId="58">
      <pivotArea dataOnly="0" labelOnly="1" outline="0" fieldPosition="0">
        <references count="1">
          <reference field="4294967294" count="3">
            <x v="0"/>
            <x v="2"/>
            <x v="4"/>
          </reference>
        </references>
      </pivotArea>
    </format>
    <format dxfId="57">
      <pivotArea outline="0" collapsedLevelsAreSubtotals="1" fieldPosition="0"/>
    </format>
    <format dxfId="56">
      <pivotArea dataOnly="0" labelOnly="1" outline="0" fieldPosition="0">
        <references count="1">
          <reference field="4294967294" count="3">
            <x v="0"/>
            <x v="2"/>
            <x v="4"/>
          </reference>
        </references>
      </pivotArea>
    </format>
    <format dxfId="55">
      <pivotArea outline="0" fieldPosition="0">
        <references count="1">
          <reference field="4294967294" count="1" selected="0">
            <x v="6"/>
          </reference>
        </references>
      </pivotArea>
    </format>
    <format dxfId="54">
      <pivotArea dataOnly="0" labelOnly="1" outline="0" fieldPosition="0">
        <references count="1">
          <reference field="4294967294" count="1">
            <x v="6"/>
          </reference>
        </references>
      </pivotArea>
    </format>
    <format dxfId="53">
      <pivotArea field="3" type="button" dataOnly="0" labelOnly="1" outline="0" axis="axisRow" fieldPosition="0"/>
    </format>
    <format dxfId="52">
      <pivotArea field="4" type="button" dataOnly="0" labelOnly="1" outline="0" axis="axisRow" fieldPosition="1"/>
    </format>
    <format dxfId="51">
      <pivotArea dataOnly="0" labelOnly="1" outline="0" fieldPosition="0">
        <references count="1">
          <reference field="4294967294" count="6">
            <x v="0"/>
            <x v="2"/>
            <x v="4"/>
            <x v="5"/>
            <x v="6"/>
            <x v="7"/>
          </reference>
        </references>
      </pivotArea>
    </format>
    <format dxfId="50">
      <pivotArea field="3" type="button" dataOnly="0" labelOnly="1" outline="0" axis="axisRow" fieldPosition="0"/>
    </format>
    <format dxfId="49">
      <pivotArea field="4" type="button" dataOnly="0" labelOnly="1" outline="0" axis="axisRow" fieldPosition="1"/>
    </format>
    <format dxfId="48">
      <pivotArea dataOnly="0" labelOnly="1" outline="0" fieldPosition="0">
        <references count="1">
          <reference field="4294967294" count="6">
            <x v="0"/>
            <x v="2"/>
            <x v="4"/>
            <x v="5"/>
            <x v="6"/>
            <x v="7"/>
          </reference>
        </references>
      </pivotArea>
    </format>
    <format dxfId="47">
      <pivotArea outline="0" fieldPosition="0">
        <references count="1">
          <reference field="4294967294" count="1">
            <x v="7"/>
          </reference>
        </references>
      </pivotArea>
    </format>
    <format dxfId="46">
      <pivotArea outline="0" fieldPosition="0">
        <references count="1">
          <reference field="4294967294" count="1" selected="0">
            <x v="7"/>
          </reference>
        </references>
      </pivotArea>
    </format>
    <format dxfId="45">
      <pivotArea dataOnly="0" labelOnly="1" outline="0" fieldPosition="0">
        <references count="1">
          <reference field="4294967294" count="1">
            <x v="7"/>
          </reference>
        </references>
      </pivotArea>
    </format>
    <format dxfId="44">
      <pivotArea outline="0" fieldPosition="0">
        <references count="1">
          <reference field="4294967294" count="1" selected="0">
            <x v="3"/>
          </reference>
        </references>
      </pivotArea>
    </format>
    <format dxfId="43">
      <pivotArea dataOnly="0" labelOnly="1" outline="0" fieldPosition="0">
        <references count="2">
          <reference field="3" count="1" selected="0">
            <x v="1040"/>
          </reference>
          <reference field="4" count="1">
            <x v="1180"/>
          </reference>
        </references>
      </pivotArea>
    </format>
    <format dxfId="42">
      <pivotArea dataOnly="0" labelOnly="1" outline="0" fieldPosition="0">
        <references count="2">
          <reference field="3" count="1" selected="0">
            <x v="1196"/>
          </reference>
          <reference field="4" count="1">
            <x v="713"/>
          </reference>
        </references>
      </pivotArea>
    </format>
    <format dxfId="41">
      <pivotArea dataOnly="0" labelOnly="1" outline="0" fieldPosition="0">
        <references count="2">
          <reference field="3" count="1" selected="0">
            <x v="1130"/>
          </reference>
          <reference field="4" count="1">
            <x v="411"/>
          </reference>
        </references>
      </pivotArea>
    </format>
    <format dxfId="40">
      <pivotArea dataOnly="0" labelOnly="1" outline="0" fieldPosition="0">
        <references count="2">
          <reference field="3" count="1" selected="0">
            <x v="1193"/>
          </reference>
          <reference field="4" count="1">
            <x v="708"/>
          </reference>
        </references>
      </pivotArea>
    </format>
    <format dxfId="39">
      <pivotArea dataOnly="0" labelOnly="1" outline="0" fieldPosition="0">
        <references count="2">
          <reference field="3" count="1" selected="0">
            <x v="872"/>
          </reference>
          <reference field="4" count="1">
            <x v="412"/>
          </reference>
        </references>
      </pivotArea>
    </format>
    <format dxfId="38">
      <pivotArea dataOnly="0" labelOnly="1" outline="0" fieldPosition="0">
        <references count="2">
          <reference field="3" count="1" selected="0">
            <x v="980"/>
          </reference>
          <reference field="4" count="1">
            <x v="1427"/>
          </reference>
        </references>
      </pivotArea>
    </format>
    <format dxfId="37">
      <pivotArea dataOnly="0" labelOnly="1" outline="0" fieldPosition="0">
        <references count="2">
          <reference field="3" count="1" selected="0">
            <x v="1289"/>
          </reference>
          <reference field="4" count="1">
            <x v="1022"/>
          </reference>
        </references>
      </pivotArea>
    </format>
    <format dxfId="36">
      <pivotArea dataOnly="0" labelOnly="1" outline="0" fieldPosition="0">
        <references count="2">
          <reference field="3" count="1" selected="0">
            <x v="235"/>
          </reference>
          <reference field="4" count="1">
            <x v="1391"/>
          </reference>
        </references>
      </pivotArea>
    </format>
    <format dxfId="35">
      <pivotArea dataOnly="0" labelOnly="1" outline="0" fieldPosition="0">
        <references count="2">
          <reference field="3" count="1" selected="0">
            <x v="1287"/>
          </reference>
          <reference field="4" count="1">
            <x v="1017"/>
          </reference>
        </references>
      </pivotArea>
    </format>
    <format dxfId="34">
      <pivotArea dataOnly="0" labelOnly="1" outline="0" fieldPosition="0">
        <references count="2">
          <reference field="3" count="1" selected="0">
            <x v="1288"/>
          </reference>
          <reference field="4" count="1">
            <x v="1021"/>
          </reference>
        </references>
      </pivotArea>
    </format>
    <format dxfId="33">
      <pivotArea dataOnly="0" labelOnly="1" outline="0" fieldPosition="0">
        <references count="2">
          <reference field="3" count="1" selected="0">
            <x v="1291"/>
          </reference>
          <reference field="4" count="1">
            <x v="1020"/>
          </reference>
        </references>
      </pivotArea>
    </format>
    <format dxfId="32">
      <pivotArea dataOnly="0" labelOnly="1" outline="0" fieldPosition="0">
        <references count="2">
          <reference field="3" count="1" selected="0">
            <x v="445"/>
          </reference>
          <reference field="4" count="1">
            <x v="730"/>
          </reference>
        </references>
      </pivotArea>
    </format>
    <format dxfId="31">
      <pivotArea dataOnly="0" labelOnly="1" outline="0" fieldPosition="0">
        <references count="2">
          <reference field="3" count="1" selected="0">
            <x v="692"/>
          </reference>
          <reference field="4" count="1">
            <x v="34"/>
          </reference>
        </references>
      </pivotArea>
    </format>
    <format dxfId="30">
      <pivotArea dataOnly="0" labelOnly="1" outline="0" fieldPosition="0">
        <references count="2">
          <reference field="3" count="1" selected="0">
            <x v="231"/>
          </reference>
          <reference field="4" count="1">
            <x v="1358"/>
          </reference>
        </references>
      </pivotArea>
    </format>
    <format dxfId="29">
      <pivotArea dataOnly="0" labelOnly="1" outline="0" fieldPosition="0">
        <references count="2">
          <reference field="3" count="1" selected="0">
            <x v="814"/>
          </reference>
          <reference field="4" count="1">
            <x v="35"/>
          </reference>
        </references>
      </pivotArea>
    </format>
    <format dxfId="28">
      <pivotArea dataOnly="0" labelOnly="1" outline="0" fieldPosition="0">
        <references count="2">
          <reference field="3" count="1" selected="0">
            <x v="1292"/>
          </reference>
          <reference field="4" count="1">
            <x v="1019"/>
          </reference>
        </references>
      </pivotArea>
    </format>
    <format dxfId="27">
      <pivotArea dataOnly="0" labelOnly="1" outline="0" fieldPosition="0">
        <references count="2">
          <reference field="3" count="1" selected="0">
            <x v="367"/>
          </reference>
          <reference field="4" count="1">
            <x v="583"/>
          </reference>
        </references>
      </pivotArea>
    </format>
    <format dxfId="26">
      <pivotArea dataOnly="0" labelOnly="1" outline="0" fieldPosition="0">
        <references count="2">
          <reference field="3" count="1" selected="0">
            <x v="1290"/>
          </reference>
          <reference field="4" count="1">
            <x v="1023"/>
          </reference>
        </references>
      </pivotArea>
    </format>
    <format dxfId="25">
      <pivotArea dataOnly="0" labelOnly="1" outline="0" fieldPosition="0">
        <references count="2">
          <reference field="3" count="1" selected="0">
            <x v="267"/>
          </reference>
          <reference field="4" count="1">
            <x v="1346"/>
          </reference>
        </references>
      </pivotArea>
    </format>
    <format dxfId="24">
      <pivotArea dataOnly="0" labelOnly="1" outline="0" fieldPosition="0">
        <references count="2">
          <reference field="3" count="1" selected="0">
            <x v="67"/>
          </reference>
          <reference field="4" count="1">
            <x v="333"/>
          </reference>
        </references>
      </pivotArea>
    </format>
    <format dxfId="23">
      <pivotArea dataOnly="0" labelOnly="1" outline="0" fieldPosition="0">
        <references count="2">
          <reference field="3" count="1" selected="0">
            <x v="1208"/>
          </reference>
          <reference field="4" count="1">
            <x v="719"/>
          </reference>
        </references>
      </pivotArea>
    </format>
    <format dxfId="22">
      <pivotArea dataOnly="0" labelOnly="1" outline="0" fieldPosition="0">
        <references count="2">
          <reference field="3" count="1" selected="0">
            <x v="213"/>
          </reference>
          <reference field="4" count="1">
            <x v="585"/>
          </reference>
        </references>
      </pivotArea>
    </format>
    <format dxfId="21">
      <pivotArea dataOnly="0" labelOnly="1" outline="0" fieldPosition="0">
        <references count="2">
          <reference field="3" count="1" selected="0">
            <x v="1312"/>
          </reference>
          <reference field="4" count="1">
            <x v="1333"/>
          </reference>
        </references>
      </pivotArea>
    </format>
    <format dxfId="20">
      <pivotArea dataOnly="0" labelOnly="1" outline="0" fieldPosition="0">
        <references count="2">
          <reference field="3" count="1" selected="0">
            <x v="68"/>
          </reference>
          <reference field="4" count="1">
            <x v="334"/>
          </reference>
        </references>
      </pivotArea>
    </format>
    <format dxfId="19">
      <pivotArea dataOnly="0" labelOnly="1" outline="0" fieldPosition="0">
        <references count="2">
          <reference field="3" count="1" selected="0">
            <x v="404"/>
          </reference>
          <reference field="4" count="1">
            <x v="212"/>
          </reference>
        </references>
      </pivotArea>
    </format>
    <format dxfId="18">
      <pivotArea dataOnly="0" labelOnly="1" outline="0" fieldPosition="0">
        <references count="2">
          <reference field="3" count="1" selected="0">
            <x v="221"/>
          </reference>
          <reference field="4" count="1">
            <x v="843"/>
          </reference>
        </references>
      </pivotArea>
    </format>
    <format dxfId="17">
      <pivotArea dataOnly="0" labelOnly="1" outline="0" fieldPosition="0">
        <references count="2">
          <reference field="3" count="1" selected="0">
            <x v="938"/>
          </reference>
          <reference field="4" count="1">
            <x v="1419"/>
          </reference>
        </references>
      </pivotArea>
    </format>
    <format dxfId="16">
      <pivotArea outline="0" fieldPosition="0">
        <references count="3">
          <reference field="3" count="1" selected="0">
            <x v="721"/>
          </reference>
          <reference field="4" count="1" selected="0">
            <x v="1187"/>
          </reference>
          <reference field="14" count="1" selected="0">
            <x v="29"/>
          </reference>
        </references>
      </pivotArea>
    </format>
    <format dxfId="15">
      <pivotArea dataOnly="0" labelOnly="1" outline="0" fieldPosition="0">
        <references count="1">
          <reference field="3" count="1">
            <x v="721"/>
          </reference>
        </references>
      </pivotArea>
    </format>
    <format dxfId="14">
      <pivotArea dataOnly="0" labelOnly="1" outline="0" fieldPosition="0">
        <references count="2">
          <reference field="3" count="1" selected="0">
            <x v="721"/>
          </reference>
          <reference field="4" count="1">
            <x v="1187"/>
          </reference>
        </references>
      </pivotArea>
    </format>
    <format dxfId="13">
      <pivotArea dataOnly="0" labelOnly="1" outline="0" fieldPosition="0">
        <references count="3">
          <reference field="3" count="1" selected="0">
            <x v="721"/>
          </reference>
          <reference field="4" count="1" selected="0">
            <x v="1187"/>
          </reference>
          <reference field="14" count="1">
            <x v="29"/>
          </reference>
        </references>
      </pivotArea>
    </format>
  </formats>
  <pivotTableStyleInfo name="PivotStyleMedium15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DışVeri_3" backgroundRefresh="0" connectionId="1" xr16:uid="{601E4D24-1564-41F4-99D2-3AAE950BAA69}" autoFormatId="16" applyNumberFormats="0" applyBorderFormats="0" applyFontFormats="0" applyPatternFormats="0" applyAlignmentFormats="0" applyWidthHeightFormats="0">
  <queryTableRefresh nextId="24">
    <queryTableFields count="17">
      <queryTableField id="1" name="PROJE_KODU" tableColumnId="1"/>
      <queryTableField id="2" name="KARAVAN_ADI" tableColumnId="2"/>
      <queryTableField id="3" name="ALT_KOD_TÜR" tableColumnId="3"/>
      <queryTableField id="4" name="ALT_KOD" tableColumnId="4"/>
      <queryTableField id="5" name="ALT_ADI" tableColumnId="5"/>
      <queryTableField id="6" name="MIKTAR" tableColumnId="6"/>
      <queryTableField id="7" name="BIRIM" tableColumnId="7"/>
      <queryTableField id="8" name="PROJELERE_ÇIKIŞLAR_YENI" tableColumnId="8"/>
      <queryTableField id="9" name="ELDE_KALAN" tableColumnId="9"/>
      <queryTableField id="18" name="ÜRETİM DEPO" tableColumnId="12"/>
      <queryTableField id="14" dataBound="0" tableColumnId="14"/>
      <queryTableField id="10" name="AÇIK_SATINALMA_SİPARİŞLERİ" tableColumnId="10"/>
      <queryTableField id="15" dataBound="0" tableColumnId="15"/>
      <queryTableField id="11" name="BIRIM_FIYATLAR" tableColumnId="11"/>
      <queryTableField id="19" name="SON SATINALMA CARİ ÜNVANI" tableColumnId="17"/>
      <queryTableField id="16" name="TUTAR" tableColumnId="16"/>
      <queryTableField id="13" name="ALTSTOKGRUPKODU" tableColumnId="13"/>
    </queryTableFields>
  </queryTableRefresh>
</queryTable>
</file>

<file path=xl/slicerCaches/slicerCache1.xml><?xml version="1.0" encoding="utf-8"?>
<slicerCacheDefinition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 name="Dilimleyici_ALTSTOKGRUPKODU" xr10:uid="{37FCB239-BCAD-4D2B-8A2A-460D15CED380}" sourceName="ALTSTOKGRUPKODU">
  <pivotTables>
    <pivotTable tabId="4" name="PivotTable1"/>
  </pivotTables>
  <data>
    <tabular pivotCacheId="1818920627">
      <items count="22">
        <i x="1" s="1"/>
        <i x="0" s="1"/>
        <i x="11" s="1"/>
        <i x="13" s="1"/>
        <i x="5" s="1"/>
        <i x="7" s="1"/>
        <i x="2" s="1"/>
        <i x="12" s="1"/>
        <i x="6" s="1"/>
        <i x="3" s="1"/>
        <i x="9" s="1"/>
        <i x="4" s="1"/>
        <i x="10" s="1"/>
        <i x="8" s="1"/>
        <i x="17" s="1" nd="1"/>
        <i x="18" s="1" nd="1"/>
        <i x="21" s="1" nd="1"/>
        <i x="15" s="1" nd="1"/>
        <i x="20" s="1" nd="1"/>
        <i x="19" s="1" nd="1"/>
        <i x="14" s="1" nd="1"/>
        <i x="16" s="1" nd="1"/>
      </items>
    </tabular>
  </data>
  <extLst>
    <x:ext xmlns:x15="http://schemas.microsoft.com/office/spreadsheetml/2010/11/main" uri="{470722E0-AACD-4C17-9CDC-17EF765DBC7E}">
      <x15:slicerCacheHideItemsWithNoData/>
    </x:ext>
  </extLst>
</slicerCacheDefinition>
</file>

<file path=xl/slicerCaches/slicerCache2.xml><?xml version="1.0" encoding="utf-8"?>
<slicerCacheDefinition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 name="Dilimleyici_SON_SATINALMA_CARİ_ÜNVANI" xr10:uid="{CE81DEAE-7741-41B8-ABA3-211A4D662D1B}" sourceName="SON SATINALMA CARİ ÜNVANI">
  <pivotTables>
    <pivotTable tabId="4" name="PivotTable1"/>
  </pivotTables>
  <data>
    <tabular pivotCacheId="1818920627">
      <items count="300">
        <i x="98" s="1"/>
        <i x="18" s="1"/>
        <i x="19" s="1"/>
        <i x="97" s="1"/>
        <i x="26" s="1"/>
        <i x="82" s="1"/>
        <i x="6" s="1"/>
        <i x="78" s="1"/>
        <i x="79" s="1"/>
        <i x="46" s="1"/>
        <i x="37" s="1"/>
        <i x="71" s="1"/>
        <i x="90" s="1"/>
        <i x="41" s="1"/>
        <i x="76" s="1"/>
        <i x="64" s="1"/>
        <i x="49" s="1"/>
        <i x="68" s="1"/>
        <i x="48" s="1"/>
        <i x="40" s="1"/>
        <i x="104" s="1"/>
        <i x="94" s="1"/>
        <i x="1" s="1"/>
        <i x="60" s="1"/>
        <i x="55" s="1"/>
        <i x="30" s="1"/>
        <i x="23" s="1"/>
        <i x="96" s="1"/>
        <i x="52" s="1"/>
        <i x="59" s="1"/>
        <i x="35" s="1"/>
        <i x="17" s="1"/>
        <i x="56" s="1"/>
        <i x="111" s="1"/>
        <i x="13" s="1"/>
        <i x="43" s="1"/>
        <i x="102" s="1"/>
        <i x="14" s="1"/>
        <i x="24" s="1"/>
        <i x="84" s="1"/>
        <i x="44" s="1"/>
        <i x="11" s="1"/>
        <i x="101" s="1"/>
        <i x="75" s="1"/>
        <i x="10" s="1"/>
        <i x="45" s="1"/>
        <i x="36" s="1"/>
        <i x="106" s="1"/>
        <i x="53" s="1"/>
        <i x="4" s="1"/>
        <i x="108" s="1"/>
        <i x="50" s="1"/>
        <i x="86" s="1"/>
        <i x="57" s="1"/>
        <i x="107" s="1"/>
        <i x="93" s="1"/>
        <i x="34" s="1"/>
        <i x="62" s="1"/>
        <i x="74" s="1"/>
        <i x="39" s="1"/>
        <i x="9" s="1"/>
        <i x="73" s="1"/>
        <i x="8" s="1"/>
        <i x="87" s="1"/>
        <i x="25" s="1"/>
        <i x="12" s="1"/>
        <i x="85" s="1"/>
        <i x="7" s="1"/>
        <i x="38" s="1"/>
        <i x="32" s="1"/>
        <i x="70" s="1"/>
        <i x="2" s="1"/>
        <i x="33" s="1"/>
        <i x="66" s="1"/>
        <i x="54" s="1"/>
        <i x="67" s="1"/>
        <i x="3" s="1"/>
        <i x="89" s="1"/>
        <i x="20" s="1"/>
        <i x="91" s="1"/>
        <i x="88" s="1"/>
        <i x="42" s="1"/>
        <i x="31" s="1"/>
        <i x="83" s="1"/>
        <i x="51" s="1"/>
        <i x="103" s="1"/>
        <i x="95" s="1"/>
        <i x="29" s="1"/>
        <i x="61" s="1"/>
        <i x="110" s="1"/>
        <i x="28" s="1"/>
        <i x="92" s="1"/>
        <i x="0" s="1"/>
        <i x="77" s="1"/>
        <i x="72" s="1"/>
        <i x="22" s="1"/>
        <i x="27" s="1"/>
        <i x="63" s="1"/>
        <i x="69" s="1"/>
        <i x="81" s="1"/>
        <i x="100" s="1"/>
        <i x="105" s="1"/>
        <i x="16" s="1"/>
        <i x="47" s="1"/>
        <i x="65" s="1"/>
        <i x="21" s="1"/>
        <i x="15" s="1"/>
        <i x="80" s="1"/>
        <i x="58" s="1"/>
        <i x="109" s="1"/>
        <i x="99" s="1"/>
        <i x="5" s="1"/>
        <i x="119" s="1" nd="1"/>
        <i x="261" s="1" nd="1"/>
        <i x="150" s="1" nd="1"/>
        <i x="146" s="1" nd="1"/>
        <i x="251" s="1" nd="1"/>
        <i x="152" s="1" nd="1"/>
        <i x="169" s="1" nd="1"/>
        <i x="181" s="1" nd="1"/>
        <i x="117" s="1" nd="1"/>
        <i x="289" s="1" nd="1"/>
        <i x="278" s="1" nd="1"/>
        <i x="131" s="1" nd="1"/>
        <i x="205" s="1" nd="1"/>
        <i x="218" s="1" nd="1"/>
        <i x="288" s="1" nd="1"/>
        <i x="248" s="1" nd="1"/>
        <i x="266" s="1" nd="1"/>
        <i x="211" s="1" nd="1"/>
        <i x="142" s="1" nd="1"/>
        <i x="246" s="1" nd="1"/>
        <i x="177" s="1" nd="1"/>
        <i x="156" s="1" nd="1"/>
        <i x="297" s="1" nd="1"/>
        <i x="262" s="1" nd="1"/>
        <i x="232" s="1" nd="1"/>
        <i x="207" s="1" nd="1"/>
        <i x="176" s="1" nd="1"/>
        <i x="198" s="1" nd="1"/>
        <i x="122" s="1" nd="1"/>
        <i x="155" s="1" nd="1"/>
        <i x="294" s="1" nd="1"/>
        <i x="285" s="1" nd="1"/>
        <i x="124" s="1" nd="1"/>
        <i x="239" s="1" nd="1"/>
        <i x="217" s="1" nd="1"/>
        <i x="200" s="1" nd="1"/>
        <i x="186" s="1" nd="1"/>
        <i x="134" s="1" nd="1"/>
        <i x="242" s="1" nd="1"/>
        <i x="252" s="1" nd="1"/>
        <i x="139" s="1" nd="1"/>
        <i x="282" s="1" nd="1"/>
        <i x="147" s="1" nd="1"/>
        <i x="194" s="1" nd="1"/>
        <i x="279" s="1" nd="1"/>
        <i x="140" s="1" nd="1"/>
        <i x="264" s="1" nd="1"/>
        <i x="299" s="1" nd="1"/>
        <i x="273" s="1" nd="1"/>
        <i x="120" s="1" nd="1"/>
        <i x="174" s="1" nd="1"/>
        <i x="235" s="1" nd="1"/>
        <i x="222" s="1" nd="1"/>
        <i x="113" s="1" nd="1"/>
        <i x="203" s="1" nd="1"/>
        <i x="247" s="1" nd="1"/>
        <i x="241" s="1" nd="1"/>
        <i x="231" s="1" nd="1"/>
        <i x="206" s="1" nd="1"/>
        <i x="275" s="1" nd="1"/>
        <i x="165" s="1" nd="1"/>
        <i x="259" s="1" nd="1"/>
        <i x="132" s="1" nd="1"/>
        <i x="209" s="1" nd="1"/>
        <i x="280" s="1" nd="1"/>
        <i x="287" s="1" nd="1"/>
        <i x="272" s="1" nd="1"/>
        <i x="265" s="1" nd="1"/>
        <i x="277" s="1" nd="1"/>
        <i x="255" s="1" nd="1"/>
        <i x="227" s="1" nd="1"/>
        <i x="151" s="1" nd="1"/>
        <i x="260" s="1" nd="1"/>
        <i x="293" s="1" nd="1"/>
        <i x="212" s="1" nd="1"/>
        <i x="201" s="1" nd="1"/>
        <i x="153" s="1" nd="1"/>
        <i x="121" s="1" nd="1"/>
        <i x="208" s="1" nd="1"/>
        <i x="224" s="1" nd="1"/>
        <i x="115" s="1" nd="1"/>
        <i x="123" s="1" nd="1"/>
        <i x="236" s="1" nd="1"/>
        <i x="257" s="1" nd="1"/>
        <i x="216" s="1" nd="1"/>
        <i x="249" s="1" nd="1"/>
        <i x="213" s="1" nd="1"/>
        <i x="133" s="1" nd="1"/>
        <i x="230" s="1" nd="1"/>
        <i x="220" s="1" nd="1"/>
        <i x="244" s="1" nd="1"/>
        <i x="193" s="1" nd="1"/>
        <i x="284" s="1" nd="1"/>
        <i x="180" s="1" nd="1"/>
        <i x="175" s="1" nd="1"/>
        <i x="148" s="1" nd="1"/>
        <i x="229" s="1" nd="1"/>
        <i x="233" s="1" nd="1"/>
        <i x="135" s="1" nd="1"/>
        <i x="125" s="1" nd="1"/>
        <i x="112" s="1" nd="1"/>
        <i x="238" s="1" nd="1"/>
        <i x="258" s="1" nd="1"/>
        <i x="228" s="1" nd="1"/>
        <i x="178" s="1" nd="1"/>
        <i x="170" s="1" nd="1"/>
        <i x="291" s="1" nd="1"/>
        <i x="210" s="1" nd="1"/>
        <i x="187" s="1" nd="1"/>
        <i x="154" s="1" nd="1"/>
        <i x="143" s="1" nd="1"/>
        <i x="171" s="1" nd="1"/>
        <i x="219" s="1" nd="1"/>
        <i x="161" s="1" nd="1"/>
        <i x="159" s="1" nd="1"/>
        <i x="253" s="1" nd="1"/>
        <i x="276" s="1" nd="1"/>
        <i x="263" s="1" nd="1"/>
        <i x="136" s="1" nd="1"/>
        <i x="179" s="1" nd="1"/>
        <i x="167" s="1" nd="1"/>
        <i x="189" s="1" nd="1"/>
        <i x="164" s="1" nd="1"/>
        <i x="237" s="1" nd="1"/>
        <i x="256" s="1" nd="1"/>
        <i x="158" s="1" nd="1"/>
        <i x="157" s="1" nd="1"/>
        <i x="116" s="1" nd="1"/>
        <i x="184" s="1" nd="1"/>
        <i x="202" s="1" nd="1"/>
        <i x="190" s="1" nd="1"/>
        <i x="130" s="1" nd="1"/>
        <i x="199" s="1" nd="1"/>
        <i x="295" s="1" nd="1"/>
        <i x="138" s="1" nd="1"/>
        <i x="226" s="1" nd="1"/>
        <i x="168" s="1" nd="1"/>
        <i x="274" s="1" nd="1"/>
        <i x="286" s="1" nd="1"/>
        <i x="183" s="1" nd="1"/>
        <i x="172" s="1" nd="1"/>
        <i x="267" s="1" nd="1"/>
        <i x="245" s="1" nd="1"/>
        <i x="166" s="1" nd="1"/>
        <i x="298" s="1" nd="1"/>
        <i x="128" s="1" nd="1"/>
        <i x="215" s="1" nd="1"/>
        <i x="114" s="1" nd="1"/>
        <i x="141" s="1" nd="1"/>
        <i x="281" s="1" nd="1"/>
        <i x="197" s="1" nd="1"/>
        <i x="162" s="1" nd="1"/>
        <i x="254" s="1" nd="1"/>
        <i x="269" s="1" nd="1"/>
        <i x="214" s="1" nd="1"/>
        <i x="149" s="1" nd="1"/>
        <i x="225" s="1" nd="1"/>
        <i x="192" s="1" nd="1"/>
        <i x="243" s="1" nd="1"/>
        <i x="250" s="1" nd="1"/>
        <i x="268" s="1" nd="1"/>
        <i x="160" s="1" nd="1"/>
        <i x="195" s="1" nd="1"/>
        <i x="240" s="1" nd="1"/>
        <i x="191" s="1" nd="1"/>
        <i x="204" s="1" nd="1"/>
        <i x="129" s="1" nd="1"/>
        <i x="137" s="1" nd="1"/>
        <i x="283" s="1" nd="1"/>
        <i x="270" s="1" nd="1"/>
        <i x="145" s="1" nd="1"/>
        <i x="234" s="1" nd="1"/>
        <i x="271" s="1" nd="1"/>
        <i x="127" s="1" nd="1"/>
        <i x="118" s="1" nd="1"/>
        <i x="292" s="1" nd="1"/>
        <i x="163" s="1" nd="1"/>
        <i x="188" s="1" nd="1"/>
        <i x="185" s="1" nd="1"/>
        <i x="223" s="1" nd="1"/>
        <i x="290" s="1" nd="1"/>
        <i x="296" s="1" nd="1"/>
        <i x="182" s="1" nd="1"/>
        <i x="144" s="1" nd="1"/>
        <i x="196" s="1" nd="1"/>
        <i x="221" s="1" nd="1"/>
        <i x="173" s="1" nd="1"/>
        <i x="126" s="1" nd="1"/>
      </items>
    </tabular>
  </data>
</slicerCacheDefinition>
</file>

<file path=xl/slicers/slicer1.xml><?xml version="1.0" encoding="utf-8"?>
<slicers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>
  <slicer name="ALTSTOKGRUPKODU" xr10:uid="{7D6E9D4B-1FF6-4AD8-AFBA-0781255300B5}" cache="Dilimleyici_ALTSTOKGRUPKODU" caption="ALTSTOKGRUPKODU" columnCount="9" style="SlicerStyleLight3" rowHeight="234950"/>
  <slicer name="SON SATINALMA CARİ ÜNVANI" xr10:uid="{993A8EF4-7D19-4499-B96B-6BC7F38A5A33}" cache="Dilimleyici_SON_SATINALMA_CARİ_ÜNVANI" caption="SON SATINALMA CARİ ÜNVANI" columnCount="5" style="SlicerStyleLight3" rowHeight="360000"/>
</slicers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C07D8A9F-0341-4F3B-8112-38FCE694E490}" name="DST_123_ÜRETİM_İHTİYAÇ_RAPORU_BURAK_YENI1309" displayName="DST_123_ÜRETİM_İHTİYAÇ_RAPORU_BURAK_YENI1309" ref="A1:Q5975" tableType="queryTable" totalsRowShown="0">
  <autoFilter ref="A1:Q5975" xr:uid="{C07D8A9F-0341-4F3B-8112-38FCE694E490}"/>
  <tableColumns count="17">
    <tableColumn id="1" xr3:uid="{3A13FAB1-B0CB-473E-AE7A-189F0F8CCB8C}" uniqueName="1" name="PROJE_KODU" queryTableFieldId="1" dataDxfId="12"/>
    <tableColumn id="2" xr3:uid="{5A5E4075-5FE0-4B1F-A02A-4338775F7347}" uniqueName="2" name="KARAVAN_ADI" queryTableFieldId="2" dataDxfId="11"/>
    <tableColumn id="3" xr3:uid="{EB73E39C-BCD6-4C21-8D2D-6307DB788A13}" uniqueName="3" name="ALT_KOD_TÜR" queryTableFieldId="3" dataDxfId="10"/>
    <tableColumn id="4" xr3:uid="{A7A81C5C-A4B8-4F5D-927D-51CC4A8C2F52}" uniqueName="4" name="ALT_KOD" queryTableFieldId="4" dataDxfId="9"/>
    <tableColumn id="5" xr3:uid="{4EA2435B-EDC6-4C0C-B803-420080F1D3A7}" uniqueName="5" name="ALT_ADI" queryTableFieldId="5" dataDxfId="8"/>
    <tableColumn id="6" xr3:uid="{AAF4C453-340D-4F28-A058-07C449E0634B}" uniqueName="6" name="MIKTAR" queryTableFieldId="6"/>
    <tableColumn id="7" xr3:uid="{8472C985-4EE8-40A8-BDCE-DB5719F982BF}" uniqueName="7" name="BIRIM" queryTableFieldId="7" dataDxfId="7"/>
    <tableColumn id="8" xr3:uid="{2A13C44D-762B-4D7C-A5D4-A6392E807165}" uniqueName="8" name="PROJELERE_ÇIKIŞLAR_YENI" queryTableFieldId="8"/>
    <tableColumn id="9" xr3:uid="{4C5111D2-C660-4E39-B68A-7BC31AC4BFC6}" uniqueName="9" name="ELDE_KALAN" queryTableFieldId="9"/>
    <tableColumn id="12" xr3:uid="{C7CF1334-E9AE-4CBA-9098-255640010132}" uniqueName="12" name="ÜRETİM DEPO" queryTableFieldId="18" dataDxfId="1"/>
    <tableColumn id="14" xr3:uid="{3803789C-9423-4BDA-8B66-A3991D3F2E12}" uniqueName="14" name="SATINALMA" queryTableFieldId="14" dataDxfId="0">
      <calculatedColumnFormula>SUMIFS(F:F,D:D,DST_123_ÜRETİM_İHTİYAÇ_RAPORU_BURAK_YENI1309[[#This Row],[ALT_KOD]])-(SUMIFS(H:H,D:D,DST_123_ÜRETİM_İHTİYAÇ_RAPORU_BURAK_YENI1309[[#This Row],[ALT_KOD]])+AVERAGEIFS(I:I,D:D,DST_123_ÜRETİM_İHTİYAÇ_RAPORU_BURAK_YENI1309[[#This Row],[ALT_KOD]])+AVERAGEIFS(L:L,D:D,DST_123_ÜRETİM_İHTİYAÇ_RAPORU_BURAK_YENI1309[[#This Row],[ALT_KOD]]))</calculatedColumnFormula>
    </tableColumn>
    <tableColumn id="10" xr3:uid="{BC5C8775-B18D-46B7-B7F9-8193CDDEC17A}" uniqueName="10" name="AÇIK_SATINALMA_SİPARİŞLERİ" queryTableFieldId="10"/>
    <tableColumn id="15" xr3:uid="{6F55B117-7BED-4D56-B6B4-DF7E7F113AB7}" uniqueName="15" name="TOPLAM" queryTableFieldId="15" dataDxfId="6">
      <calculatedColumnFormula>IF((DST_123_ÜRETİM_İHTİYAÇ_RAPORU_BURAK_YENI1309[[#This Row],[SATINALMA]]*DST_123_ÜRETİM_İHTİYAÇ_RAPORU_BURAK_YENI1309[[#This Row],[BIRIM_FIYATLAR]])&lt;1,VALUE("0"),DST_123_ÜRETİM_İHTİYAÇ_RAPORU_BURAK_YENI1309[[#This Row],[SATINALMA]]*DST_123_ÜRETİM_İHTİYAÇ_RAPORU_BURAK_YENI1309[[#This Row],[BIRIM_FIYATLAR]])</calculatedColumnFormula>
    </tableColumn>
    <tableColumn id="11" xr3:uid="{7EAA3F6A-436E-4887-80D4-B41A903B2575}" uniqueName="11" name="BIRIM_FIYATLAR" queryTableFieldId="11"/>
    <tableColumn id="17" xr3:uid="{D7CBD5DE-DAEE-40FD-8E59-3A3A5E27C91B}" uniqueName="17" name="SON SATINALMA CARİ ÜNVANI" queryTableFieldId="19" dataDxfId="5"/>
    <tableColumn id="16" xr3:uid="{A7E542DA-3C90-4F4E-B03F-E9084A3891D6}" uniqueName="16" name="TUTAR" queryTableFieldId="16"/>
    <tableColumn id="13" xr3:uid="{AA89BD3E-3B09-4277-8CA1-9DA7AF7E57B8}" uniqueName="13" name="ALTSTOKGRUPKODU" queryTableFieldId="13" dataDxfId="4"/>
  </tableColumns>
  <tableStyleInfo name="TableStyleMedium1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2.xml"/></Relationships>
</file>

<file path=xl/worksheets/_rels/sheet4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1" Type="http://schemas.openxmlformats.org/officeDocument/2006/relationships/pivotTable" Target="../pivotTables/pivotTable3.xml"/><Relationship Id="rId6" Type="http://schemas.openxmlformats.org/officeDocument/2006/relationships/comments" Target="../comments1.xml"/><Relationship Id="rId5" Type="http://schemas.microsoft.com/office/2007/relationships/slicer" Target="../slicers/slicer1.xml"/><Relationship Id="rId4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7B9C0B5-FDA8-4526-9BB9-892A64759316}">
  <dimension ref="A1:C5"/>
  <sheetViews>
    <sheetView workbookViewId="0">
      <selection activeCell="H6" sqref="H6"/>
    </sheetView>
  </sheetViews>
  <sheetFormatPr defaultRowHeight="15" x14ac:dyDescent="0.25"/>
  <cols>
    <col min="1" max="1" width="23.140625" bestFit="1" customWidth="1"/>
    <col min="2" max="2" width="18.42578125" bestFit="1" customWidth="1"/>
    <col min="3" max="3" width="21.7109375" bestFit="1" customWidth="1"/>
    <col min="4" max="4" width="8.85546875" bestFit="1" customWidth="1"/>
    <col min="5" max="5" width="10.140625" bestFit="1" customWidth="1"/>
    <col min="6" max="6" width="19" bestFit="1" customWidth="1"/>
    <col min="7" max="7" width="10.140625" bestFit="1" customWidth="1"/>
    <col min="8" max="8" width="9.42578125" bestFit="1" customWidth="1"/>
    <col min="9" max="9" width="9.28515625" bestFit="1" customWidth="1"/>
    <col min="10" max="10" width="9.140625" bestFit="1" customWidth="1"/>
    <col min="11" max="11" width="8.85546875" bestFit="1" customWidth="1"/>
    <col min="12" max="12" width="12.5703125" bestFit="1" customWidth="1"/>
  </cols>
  <sheetData>
    <row r="1" spans="1:3" x14ac:dyDescent="0.25">
      <c r="A1" s="6" t="s">
        <v>163</v>
      </c>
      <c r="B1" t="s">
        <v>302</v>
      </c>
    </row>
    <row r="2" spans="1:3" x14ac:dyDescent="0.25">
      <c r="A2" s="6" t="s">
        <v>165</v>
      </c>
      <c r="B2" t="s">
        <v>301</v>
      </c>
    </row>
    <row r="4" spans="1:3" x14ac:dyDescent="0.25">
      <c r="A4" s="6" t="s">
        <v>303</v>
      </c>
      <c r="C4" s="6" t="s">
        <v>174</v>
      </c>
    </row>
    <row r="5" spans="1:3" x14ac:dyDescent="0.25">
      <c r="A5" s="6" t="s">
        <v>166</v>
      </c>
      <c r="B5" s="6" t="s">
        <v>167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455D7D2-26FD-4DC1-B3DD-571830557BFF}">
  <dimension ref="A1:Q5975"/>
  <sheetViews>
    <sheetView zoomScaleNormal="100" workbookViewId="0">
      <selection activeCell="B14" sqref="B14"/>
    </sheetView>
  </sheetViews>
  <sheetFormatPr defaultRowHeight="15" x14ac:dyDescent="0.25"/>
  <cols>
    <col min="1" max="1" width="15" bestFit="1" customWidth="1"/>
    <col min="2" max="2" width="20.140625" bestFit="1" customWidth="1"/>
    <col min="3" max="3" width="16" hidden="1" customWidth="1"/>
    <col min="4" max="4" width="15.140625" bestFit="1" customWidth="1"/>
    <col min="5" max="5" width="54.85546875" bestFit="1" customWidth="1"/>
    <col min="6" max="6" width="10.28515625" bestFit="1" customWidth="1"/>
    <col min="7" max="7" width="8.5703125" bestFit="1" customWidth="1"/>
    <col min="8" max="8" width="27" bestFit="1" customWidth="1"/>
    <col min="9" max="9" width="14.42578125" bestFit="1" customWidth="1"/>
    <col min="10" max="10" width="15.7109375" style="10" bestFit="1" customWidth="1"/>
    <col min="11" max="11" width="13.85546875" bestFit="1" customWidth="1"/>
    <col min="12" max="12" width="30.85546875" bestFit="1" customWidth="1"/>
    <col min="13" max="13" width="12" bestFit="1" customWidth="1"/>
    <col min="14" max="14" width="18" bestFit="1" customWidth="1"/>
    <col min="15" max="15" width="81.140625" bestFit="1" customWidth="1"/>
    <col min="16" max="16" width="11" bestFit="1" customWidth="1"/>
    <col min="17" max="17" width="21.7109375" bestFit="1" customWidth="1"/>
    <col min="18" max="18" width="20.7109375" bestFit="1" customWidth="1"/>
  </cols>
  <sheetData>
    <row r="1" spans="1:17" x14ac:dyDescent="0.25">
      <c r="A1" t="s">
        <v>163</v>
      </c>
      <c r="B1" t="s">
        <v>164</v>
      </c>
      <c r="C1" t="s">
        <v>165</v>
      </c>
      <c r="D1" t="s">
        <v>166</v>
      </c>
      <c r="E1" t="s">
        <v>167</v>
      </c>
      <c r="F1" t="s">
        <v>168</v>
      </c>
      <c r="G1" t="s">
        <v>169</v>
      </c>
      <c r="H1" t="s">
        <v>200</v>
      </c>
      <c r="I1" t="s">
        <v>170</v>
      </c>
      <c r="J1" s="10" t="s">
        <v>212</v>
      </c>
      <c r="K1" t="s">
        <v>187</v>
      </c>
      <c r="L1" t="s">
        <v>171</v>
      </c>
      <c r="M1" t="s">
        <v>188</v>
      </c>
      <c r="N1" t="s">
        <v>172</v>
      </c>
      <c r="O1" t="s">
        <v>213</v>
      </c>
      <c r="P1" t="s">
        <v>173</v>
      </c>
      <c r="Q1" t="s">
        <v>174</v>
      </c>
    </row>
    <row r="2" spans="1:17" x14ac:dyDescent="0.25">
      <c r="A2" t="s">
        <v>1196</v>
      </c>
      <c r="B2" t="s">
        <v>1197</v>
      </c>
      <c r="C2" t="s">
        <v>175</v>
      </c>
      <c r="D2" t="s">
        <v>486</v>
      </c>
      <c r="E2" t="s">
        <v>487</v>
      </c>
      <c r="F2">
        <v>2</v>
      </c>
      <c r="G2" t="s">
        <v>176</v>
      </c>
      <c r="H2">
        <v>0</v>
      </c>
      <c r="I2">
        <v>20</v>
      </c>
      <c r="J2" s="10">
        <v>34</v>
      </c>
      <c r="K2" s="10">
        <f>SUMIFS(F:F,D:D,DST_123_ÜRETİM_İHTİYAÇ_RAPORU_BURAK_YENI1309[[#This Row],[ALT_KOD]])-(SUMIFS(H:H,D:D,DST_123_ÜRETİM_İHTİYAÇ_RAPORU_BURAK_YENI1309[[#This Row],[ALT_KOD]])+AVERAGEIFS(I:I,D:D,DST_123_ÜRETİM_İHTİYAÇ_RAPORU_BURAK_YENI1309[[#This Row],[ALT_KOD]])+AVERAGEIFS(L:L,D:D,DST_123_ÜRETİM_İHTİYAÇ_RAPORU_BURAK_YENI1309[[#This Row],[ALT_KOD]]))</f>
        <v>18</v>
      </c>
      <c r="L2">
        <v>0</v>
      </c>
      <c r="M2">
        <f>IF((DST_123_ÜRETİM_İHTİYAÇ_RAPORU_BURAK_YENI1309[[#This Row],[SATINALMA]]*DST_123_ÜRETİM_İHTİYAÇ_RAPORU_BURAK_YENI1309[[#This Row],[BIRIM_FIYATLAR]])&lt;1,VALUE("0"),DST_123_ÜRETİM_İHTİYAÇ_RAPORU_BURAK_YENI1309[[#This Row],[SATINALMA]]*DST_123_ÜRETİM_İHTİYAÇ_RAPORU_BURAK_YENI1309[[#This Row],[BIRIM_FIYATLAR]])</f>
        <v>1476</v>
      </c>
      <c r="N2">
        <v>82</v>
      </c>
      <c r="O2" t="s">
        <v>1089</v>
      </c>
      <c r="P2">
        <v>164</v>
      </c>
      <c r="Q2" t="s">
        <v>483</v>
      </c>
    </row>
    <row r="3" spans="1:17" x14ac:dyDescent="0.25">
      <c r="A3" t="s">
        <v>1098</v>
      </c>
      <c r="B3" t="s">
        <v>1096</v>
      </c>
      <c r="C3" t="s">
        <v>175</v>
      </c>
      <c r="D3" t="s">
        <v>486</v>
      </c>
      <c r="E3" t="s">
        <v>487</v>
      </c>
      <c r="F3">
        <v>2</v>
      </c>
      <c r="G3" t="s">
        <v>176</v>
      </c>
      <c r="H3">
        <v>0</v>
      </c>
      <c r="I3">
        <v>20</v>
      </c>
      <c r="J3" s="10">
        <v>34</v>
      </c>
      <c r="K3" s="10">
        <f>SUMIFS(F:F,D:D,DST_123_ÜRETİM_İHTİYAÇ_RAPORU_BURAK_YENI1309[[#This Row],[ALT_KOD]])-(SUMIFS(H:H,D:D,DST_123_ÜRETİM_İHTİYAÇ_RAPORU_BURAK_YENI1309[[#This Row],[ALT_KOD]])+AVERAGEIFS(I:I,D:D,DST_123_ÜRETİM_İHTİYAÇ_RAPORU_BURAK_YENI1309[[#This Row],[ALT_KOD]])+AVERAGEIFS(L:L,D:D,DST_123_ÜRETİM_İHTİYAÇ_RAPORU_BURAK_YENI1309[[#This Row],[ALT_KOD]]))</f>
        <v>18</v>
      </c>
      <c r="L3">
        <v>0</v>
      </c>
      <c r="M3">
        <f>IF((DST_123_ÜRETİM_İHTİYAÇ_RAPORU_BURAK_YENI1309[[#This Row],[SATINALMA]]*DST_123_ÜRETİM_İHTİYAÇ_RAPORU_BURAK_YENI1309[[#This Row],[BIRIM_FIYATLAR]])&lt;1,VALUE("0"),DST_123_ÜRETİM_İHTİYAÇ_RAPORU_BURAK_YENI1309[[#This Row],[SATINALMA]]*DST_123_ÜRETİM_İHTİYAÇ_RAPORU_BURAK_YENI1309[[#This Row],[BIRIM_FIYATLAR]])</f>
        <v>1476</v>
      </c>
      <c r="N3">
        <v>82</v>
      </c>
      <c r="O3" t="s">
        <v>1089</v>
      </c>
      <c r="P3">
        <v>164</v>
      </c>
      <c r="Q3" t="s">
        <v>483</v>
      </c>
    </row>
    <row r="4" spans="1:17" x14ac:dyDescent="0.25">
      <c r="A4" t="s">
        <v>1099</v>
      </c>
      <c r="B4" t="s">
        <v>1055</v>
      </c>
      <c r="C4" t="s">
        <v>175</v>
      </c>
      <c r="D4" t="s">
        <v>486</v>
      </c>
      <c r="E4" t="s">
        <v>487</v>
      </c>
      <c r="F4">
        <v>2</v>
      </c>
      <c r="G4" t="s">
        <v>176</v>
      </c>
      <c r="H4">
        <v>0</v>
      </c>
      <c r="I4">
        <v>20</v>
      </c>
      <c r="J4" s="10">
        <v>34</v>
      </c>
      <c r="K4" s="10">
        <f>SUMIFS(F:F,D:D,DST_123_ÜRETİM_İHTİYAÇ_RAPORU_BURAK_YENI1309[[#This Row],[ALT_KOD]])-(SUMIFS(H:H,D:D,DST_123_ÜRETİM_İHTİYAÇ_RAPORU_BURAK_YENI1309[[#This Row],[ALT_KOD]])+AVERAGEIFS(I:I,D:D,DST_123_ÜRETİM_İHTİYAÇ_RAPORU_BURAK_YENI1309[[#This Row],[ALT_KOD]])+AVERAGEIFS(L:L,D:D,DST_123_ÜRETİM_İHTİYAÇ_RAPORU_BURAK_YENI1309[[#This Row],[ALT_KOD]]))</f>
        <v>18</v>
      </c>
      <c r="L4">
        <v>0</v>
      </c>
      <c r="M4">
        <f>IF((DST_123_ÜRETİM_İHTİYAÇ_RAPORU_BURAK_YENI1309[[#This Row],[SATINALMA]]*DST_123_ÜRETİM_İHTİYAÇ_RAPORU_BURAK_YENI1309[[#This Row],[BIRIM_FIYATLAR]])&lt;1,VALUE("0"),DST_123_ÜRETİM_İHTİYAÇ_RAPORU_BURAK_YENI1309[[#This Row],[SATINALMA]]*DST_123_ÜRETİM_İHTİYAÇ_RAPORU_BURAK_YENI1309[[#This Row],[BIRIM_FIYATLAR]])</f>
        <v>1476</v>
      </c>
      <c r="N4">
        <v>82</v>
      </c>
      <c r="O4" t="s">
        <v>1089</v>
      </c>
      <c r="P4">
        <v>164</v>
      </c>
      <c r="Q4" t="s">
        <v>483</v>
      </c>
    </row>
    <row r="5" spans="1:17" x14ac:dyDescent="0.25">
      <c r="A5" t="s">
        <v>1196</v>
      </c>
      <c r="B5" t="s">
        <v>1197</v>
      </c>
      <c r="C5" t="s">
        <v>197</v>
      </c>
      <c r="D5" t="s">
        <v>498</v>
      </c>
      <c r="E5" t="s">
        <v>499</v>
      </c>
      <c r="F5">
        <v>1</v>
      </c>
      <c r="G5" t="s">
        <v>176</v>
      </c>
      <c r="H5">
        <v>0</v>
      </c>
      <c r="I5">
        <v>10</v>
      </c>
      <c r="J5" s="10">
        <v>9</v>
      </c>
      <c r="K5" s="10">
        <f>SUMIFS(F:F,D:D,DST_123_ÜRETİM_İHTİYAÇ_RAPORU_BURAK_YENI1309[[#This Row],[ALT_KOD]])-(SUMIFS(H:H,D:D,DST_123_ÜRETİM_İHTİYAÇ_RAPORU_BURAK_YENI1309[[#This Row],[ALT_KOD]])+AVERAGEIFS(I:I,D:D,DST_123_ÜRETİM_İHTİYAÇ_RAPORU_BURAK_YENI1309[[#This Row],[ALT_KOD]])+AVERAGEIFS(L:L,D:D,DST_123_ÜRETİM_İHTİYAÇ_RAPORU_BURAK_YENI1309[[#This Row],[ALT_KOD]]))</f>
        <v>2</v>
      </c>
      <c r="L5">
        <v>0</v>
      </c>
      <c r="M5">
        <f>IF((DST_123_ÜRETİM_İHTİYAÇ_RAPORU_BURAK_YENI1309[[#This Row],[SATINALMA]]*DST_123_ÜRETİM_İHTİYAÇ_RAPORU_BURAK_YENI1309[[#This Row],[BIRIM_FIYATLAR]])&lt;1,VALUE("0"),DST_123_ÜRETİM_İHTİYAÇ_RAPORU_BURAK_YENI1309[[#This Row],[SATINALMA]]*DST_123_ÜRETİM_İHTİYAÇ_RAPORU_BURAK_YENI1309[[#This Row],[BIRIM_FIYATLAR]])</f>
        <v>0</v>
      </c>
      <c r="O5" t="s">
        <v>713</v>
      </c>
      <c r="Q5" t="s">
        <v>760</v>
      </c>
    </row>
    <row r="6" spans="1:17" x14ac:dyDescent="0.25">
      <c r="A6" t="s">
        <v>1098</v>
      </c>
      <c r="B6" t="s">
        <v>1096</v>
      </c>
      <c r="C6" t="s">
        <v>197</v>
      </c>
      <c r="D6" t="s">
        <v>498</v>
      </c>
      <c r="E6" t="s">
        <v>499</v>
      </c>
      <c r="F6">
        <v>1</v>
      </c>
      <c r="G6" t="s">
        <v>176</v>
      </c>
      <c r="H6">
        <v>0</v>
      </c>
      <c r="I6">
        <v>10</v>
      </c>
      <c r="J6" s="10">
        <v>9</v>
      </c>
      <c r="K6" s="10">
        <f>SUMIFS(F:F,D:D,DST_123_ÜRETİM_İHTİYAÇ_RAPORU_BURAK_YENI1309[[#This Row],[ALT_KOD]])-(SUMIFS(H:H,D:D,DST_123_ÜRETİM_İHTİYAÇ_RAPORU_BURAK_YENI1309[[#This Row],[ALT_KOD]])+AVERAGEIFS(I:I,D:D,DST_123_ÜRETİM_İHTİYAÇ_RAPORU_BURAK_YENI1309[[#This Row],[ALT_KOD]])+AVERAGEIFS(L:L,D:D,DST_123_ÜRETİM_İHTİYAÇ_RAPORU_BURAK_YENI1309[[#This Row],[ALT_KOD]]))</f>
        <v>2</v>
      </c>
      <c r="L6">
        <v>0</v>
      </c>
      <c r="M6">
        <f>IF((DST_123_ÜRETİM_İHTİYAÇ_RAPORU_BURAK_YENI1309[[#This Row],[SATINALMA]]*DST_123_ÜRETİM_İHTİYAÇ_RAPORU_BURAK_YENI1309[[#This Row],[BIRIM_FIYATLAR]])&lt;1,VALUE("0"),DST_123_ÜRETİM_İHTİYAÇ_RAPORU_BURAK_YENI1309[[#This Row],[SATINALMA]]*DST_123_ÜRETİM_İHTİYAÇ_RAPORU_BURAK_YENI1309[[#This Row],[BIRIM_FIYATLAR]])</f>
        <v>0</v>
      </c>
      <c r="O6" t="s">
        <v>713</v>
      </c>
      <c r="Q6" t="s">
        <v>760</v>
      </c>
    </row>
    <row r="7" spans="1:17" x14ac:dyDescent="0.25">
      <c r="A7" t="s">
        <v>1098</v>
      </c>
      <c r="B7" t="s">
        <v>1096</v>
      </c>
      <c r="C7" t="s">
        <v>175</v>
      </c>
      <c r="D7" t="s">
        <v>333</v>
      </c>
      <c r="E7" t="s">
        <v>334</v>
      </c>
      <c r="F7">
        <v>1</v>
      </c>
      <c r="G7" t="s">
        <v>176</v>
      </c>
      <c r="H7">
        <v>0</v>
      </c>
      <c r="I7">
        <v>25</v>
      </c>
      <c r="J7" s="10">
        <v>18</v>
      </c>
      <c r="K7" s="10">
        <f>SUMIFS(F:F,D:D,DST_123_ÜRETİM_İHTİYAÇ_RAPORU_BURAK_YENI1309[[#This Row],[ALT_KOD]])-(SUMIFS(H:H,D:D,DST_123_ÜRETİM_İHTİYAÇ_RAPORU_BURAK_YENI1309[[#This Row],[ALT_KOD]])+AVERAGEIFS(I:I,D:D,DST_123_ÜRETİM_İHTİYAÇ_RAPORU_BURAK_YENI1309[[#This Row],[ALT_KOD]])+AVERAGEIFS(L:L,D:D,DST_123_ÜRETİM_İHTİYAÇ_RAPORU_BURAK_YENI1309[[#This Row],[ALT_KOD]]))</f>
        <v>-6</v>
      </c>
      <c r="L7">
        <v>0</v>
      </c>
      <c r="M7">
        <f>IF((DST_123_ÜRETİM_İHTİYAÇ_RAPORU_BURAK_YENI1309[[#This Row],[SATINALMA]]*DST_123_ÜRETİM_İHTİYAÇ_RAPORU_BURAK_YENI1309[[#This Row],[BIRIM_FIYATLAR]])&lt;1,VALUE("0"),DST_123_ÜRETİM_İHTİYAÇ_RAPORU_BURAK_YENI1309[[#This Row],[SATINALMA]]*DST_123_ÜRETİM_İHTİYAÇ_RAPORU_BURAK_YENI1309[[#This Row],[BIRIM_FIYATLAR]])</f>
        <v>0</v>
      </c>
      <c r="N7">
        <v>225</v>
      </c>
      <c r="O7" t="s">
        <v>226</v>
      </c>
      <c r="P7">
        <v>225</v>
      </c>
      <c r="Q7" t="s">
        <v>180</v>
      </c>
    </row>
    <row r="8" spans="1:17" x14ac:dyDescent="0.25">
      <c r="A8" t="s">
        <v>1196</v>
      </c>
      <c r="B8" t="s">
        <v>1197</v>
      </c>
      <c r="C8" t="s">
        <v>175</v>
      </c>
      <c r="D8" t="s">
        <v>99</v>
      </c>
      <c r="E8" t="s">
        <v>100</v>
      </c>
      <c r="F8">
        <v>35.28</v>
      </c>
      <c r="G8" t="s">
        <v>185</v>
      </c>
      <c r="H8">
        <v>0</v>
      </c>
      <c r="I8">
        <v>0</v>
      </c>
      <c r="J8" s="10">
        <v>437.82000000000016</v>
      </c>
      <c r="K8" s="10">
        <f>SUMIFS(F:F,D:D,DST_123_ÜRETİM_İHTİYAÇ_RAPORU_BURAK_YENI1309[[#This Row],[ALT_KOD]])-(SUMIFS(H:H,D:D,DST_123_ÜRETİM_İHTİYAÇ_RAPORU_BURAK_YENI1309[[#This Row],[ALT_KOD]])+AVERAGEIFS(I:I,D:D,DST_123_ÜRETİM_İHTİYAÇ_RAPORU_BURAK_YENI1309[[#This Row],[ALT_KOD]])+AVERAGEIFS(L:L,D:D,DST_123_ÜRETİM_İHTİYAÇ_RAPORU_BURAK_YENI1309[[#This Row],[ALT_KOD]]))</f>
        <v>348.62999999999988</v>
      </c>
      <c r="L8">
        <v>0</v>
      </c>
      <c r="M8">
        <f>IF((DST_123_ÜRETİM_İHTİYAÇ_RAPORU_BURAK_YENI1309[[#This Row],[SATINALMA]]*DST_123_ÜRETİM_İHTİYAÇ_RAPORU_BURAK_YENI1309[[#This Row],[BIRIM_FIYATLAR]])&lt;1,VALUE("0"),DST_123_ÜRETİM_İHTİYAÇ_RAPORU_BURAK_YENI1309[[#This Row],[SATINALMA]]*DST_123_ÜRETİM_İHTİYAÇ_RAPORU_BURAK_YENI1309[[#This Row],[BIRIM_FIYATLAR]])</f>
        <v>33597.473099999988</v>
      </c>
      <c r="N8">
        <v>96.37</v>
      </c>
      <c r="O8" t="s">
        <v>490</v>
      </c>
      <c r="P8">
        <v>3399.9336000000003</v>
      </c>
      <c r="Q8" t="s">
        <v>183</v>
      </c>
    </row>
    <row r="9" spans="1:17" x14ac:dyDescent="0.25">
      <c r="A9" t="s">
        <v>1099</v>
      </c>
      <c r="B9" t="s">
        <v>1055</v>
      </c>
      <c r="C9" t="s">
        <v>175</v>
      </c>
      <c r="D9" t="s">
        <v>99</v>
      </c>
      <c r="E9" t="s">
        <v>100</v>
      </c>
      <c r="F9">
        <v>32.92</v>
      </c>
      <c r="G9" t="s">
        <v>185</v>
      </c>
      <c r="H9">
        <v>32.92</v>
      </c>
      <c r="I9">
        <v>0</v>
      </c>
      <c r="J9" s="10">
        <v>437.82000000000016</v>
      </c>
      <c r="K9" s="10">
        <f>SUMIFS(F:F,D:D,DST_123_ÜRETİM_İHTİYAÇ_RAPORU_BURAK_YENI1309[[#This Row],[ALT_KOD]])-(SUMIFS(H:H,D:D,DST_123_ÜRETİM_İHTİYAÇ_RAPORU_BURAK_YENI1309[[#This Row],[ALT_KOD]])+AVERAGEIFS(I:I,D:D,DST_123_ÜRETİM_İHTİYAÇ_RAPORU_BURAK_YENI1309[[#This Row],[ALT_KOD]])+AVERAGEIFS(L:L,D:D,DST_123_ÜRETİM_İHTİYAÇ_RAPORU_BURAK_YENI1309[[#This Row],[ALT_KOD]]))</f>
        <v>348.62999999999988</v>
      </c>
      <c r="L9">
        <v>0</v>
      </c>
      <c r="M9">
        <f>IF((DST_123_ÜRETİM_İHTİYAÇ_RAPORU_BURAK_YENI1309[[#This Row],[SATINALMA]]*DST_123_ÜRETİM_İHTİYAÇ_RAPORU_BURAK_YENI1309[[#This Row],[BIRIM_FIYATLAR]])&lt;1,VALUE("0"),DST_123_ÜRETİM_İHTİYAÇ_RAPORU_BURAK_YENI1309[[#This Row],[SATINALMA]]*DST_123_ÜRETİM_İHTİYAÇ_RAPORU_BURAK_YENI1309[[#This Row],[BIRIM_FIYATLAR]])</f>
        <v>33597.473099999988</v>
      </c>
      <c r="N9">
        <v>96.37</v>
      </c>
      <c r="O9" t="s">
        <v>490</v>
      </c>
      <c r="P9">
        <v>3172.5004000000004</v>
      </c>
      <c r="Q9" t="s">
        <v>183</v>
      </c>
    </row>
    <row r="10" spans="1:17" x14ac:dyDescent="0.25">
      <c r="A10" t="s">
        <v>1095</v>
      </c>
      <c r="B10" t="s">
        <v>1096</v>
      </c>
      <c r="C10" t="s">
        <v>175</v>
      </c>
      <c r="D10" t="s">
        <v>486</v>
      </c>
      <c r="E10" t="s">
        <v>487</v>
      </c>
      <c r="F10">
        <v>2</v>
      </c>
      <c r="G10" t="s">
        <v>176</v>
      </c>
      <c r="H10">
        <v>0</v>
      </c>
      <c r="I10">
        <v>20</v>
      </c>
      <c r="J10" s="10">
        <v>34</v>
      </c>
      <c r="K10" s="10">
        <f>SUMIFS(F:F,D:D,DST_123_ÜRETİM_İHTİYAÇ_RAPORU_BURAK_YENI1309[[#This Row],[ALT_KOD]])-(SUMIFS(H:H,D:D,DST_123_ÜRETİM_İHTİYAÇ_RAPORU_BURAK_YENI1309[[#This Row],[ALT_KOD]])+AVERAGEIFS(I:I,D:D,DST_123_ÜRETİM_İHTİYAÇ_RAPORU_BURAK_YENI1309[[#This Row],[ALT_KOD]])+AVERAGEIFS(L:L,D:D,DST_123_ÜRETİM_İHTİYAÇ_RAPORU_BURAK_YENI1309[[#This Row],[ALT_KOD]]))</f>
        <v>18</v>
      </c>
      <c r="L10">
        <v>0</v>
      </c>
      <c r="M10">
        <f>IF((DST_123_ÜRETİM_İHTİYAÇ_RAPORU_BURAK_YENI1309[[#This Row],[SATINALMA]]*DST_123_ÜRETİM_İHTİYAÇ_RAPORU_BURAK_YENI1309[[#This Row],[BIRIM_FIYATLAR]])&lt;1,VALUE("0"),DST_123_ÜRETİM_İHTİYAÇ_RAPORU_BURAK_YENI1309[[#This Row],[SATINALMA]]*DST_123_ÜRETİM_İHTİYAÇ_RAPORU_BURAK_YENI1309[[#This Row],[BIRIM_FIYATLAR]])</f>
        <v>1476</v>
      </c>
      <c r="N10">
        <v>82</v>
      </c>
      <c r="O10" t="s">
        <v>1089</v>
      </c>
      <c r="P10">
        <v>164</v>
      </c>
      <c r="Q10" t="s">
        <v>483</v>
      </c>
    </row>
    <row r="11" spans="1:17" x14ac:dyDescent="0.25">
      <c r="A11" t="s">
        <v>1059</v>
      </c>
      <c r="B11" t="s">
        <v>1058</v>
      </c>
      <c r="C11" t="s">
        <v>175</v>
      </c>
      <c r="D11" t="s">
        <v>1198</v>
      </c>
      <c r="E11" t="s">
        <v>1199</v>
      </c>
      <c r="F11">
        <v>8</v>
      </c>
      <c r="G11" t="s">
        <v>176</v>
      </c>
      <c r="H11">
        <v>0</v>
      </c>
      <c r="I11">
        <v>113</v>
      </c>
      <c r="J11" s="10">
        <v>0</v>
      </c>
      <c r="K11" s="10">
        <f>SUMIFS(F:F,D:D,DST_123_ÜRETİM_İHTİYAÇ_RAPORU_BURAK_YENI1309[[#This Row],[ALT_KOD]])-(SUMIFS(H:H,D:D,DST_123_ÜRETİM_İHTİYAÇ_RAPORU_BURAK_YENI1309[[#This Row],[ALT_KOD]])+AVERAGEIFS(I:I,D:D,DST_123_ÜRETİM_İHTİYAÇ_RAPORU_BURAK_YENI1309[[#This Row],[ALT_KOD]])+AVERAGEIFS(L:L,D:D,DST_123_ÜRETİM_İHTİYAÇ_RAPORU_BURAK_YENI1309[[#This Row],[ALT_KOD]]))</f>
        <v>-97</v>
      </c>
      <c r="L11">
        <v>0</v>
      </c>
      <c r="M11">
        <f>IF((DST_123_ÜRETİM_İHTİYAÇ_RAPORU_BURAK_YENI1309[[#This Row],[SATINALMA]]*DST_123_ÜRETİM_İHTİYAÇ_RAPORU_BURAK_YENI1309[[#This Row],[BIRIM_FIYATLAR]])&lt;1,VALUE("0"),DST_123_ÜRETİM_İHTİYAÇ_RAPORU_BURAK_YENI1309[[#This Row],[SATINALMA]]*DST_123_ÜRETİM_İHTİYAÇ_RAPORU_BURAK_YENI1309[[#This Row],[BIRIM_FIYATLAR]])</f>
        <v>0</v>
      </c>
      <c r="N11">
        <v>75</v>
      </c>
      <c r="O11" t="s">
        <v>761</v>
      </c>
      <c r="P11">
        <v>600</v>
      </c>
      <c r="Q11" t="s">
        <v>178</v>
      </c>
    </row>
    <row r="12" spans="1:17" x14ac:dyDescent="0.25">
      <c r="A12" t="s">
        <v>1059</v>
      </c>
      <c r="B12" t="s">
        <v>1058</v>
      </c>
      <c r="C12" t="s">
        <v>175</v>
      </c>
      <c r="D12" t="s">
        <v>333</v>
      </c>
      <c r="E12" t="s">
        <v>334</v>
      </c>
      <c r="F12">
        <v>1</v>
      </c>
      <c r="G12" t="s">
        <v>176</v>
      </c>
      <c r="H12">
        <v>0</v>
      </c>
      <c r="I12">
        <v>25</v>
      </c>
      <c r="J12" s="10">
        <v>18</v>
      </c>
      <c r="K12" s="10">
        <f>SUMIFS(F:F,D:D,DST_123_ÜRETİM_İHTİYAÇ_RAPORU_BURAK_YENI1309[[#This Row],[ALT_KOD]])-(SUMIFS(H:H,D:D,DST_123_ÜRETİM_İHTİYAÇ_RAPORU_BURAK_YENI1309[[#This Row],[ALT_KOD]])+AVERAGEIFS(I:I,D:D,DST_123_ÜRETİM_İHTİYAÇ_RAPORU_BURAK_YENI1309[[#This Row],[ALT_KOD]])+AVERAGEIFS(L:L,D:D,DST_123_ÜRETİM_İHTİYAÇ_RAPORU_BURAK_YENI1309[[#This Row],[ALT_KOD]]))</f>
        <v>-6</v>
      </c>
      <c r="L12">
        <v>0</v>
      </c>
      <c r="M12">
        <f>IF((DST_123_ÜRETİM_İHTİYAÇ_RAPORU_BURAK_YENI1309[[#This Row],[SATINALMA]]*DST_123_ÜRETİM_İHTİYAÇ_RAPORU_BURAK_YENI1309[[#This Row],[BIRIM_FIYATLAR]])&lt;1,VALUE("0"),DST_123_ÜRETİM_İHTİYAÇ_RAPORU_BURAK_YENI1309[[#This Row],[SATINALMA]]*DST_123_ÜRETİM_İHTİYAÇ_RAPORU_BURAK_YENI1309[[#This Row],[BIRIM_FIYATLAR]])</f>
        <v>0</v>
      </c>
      <c r="N12">
        <v>225</v>
      </c>
      <c r="O12" t="s">
        <v>226</v>
      </c>
      <c r="P12">
        <v>225</v>
      </c>
      <c r="Q12" t="s">
        <v>180</v>
      </c>
    </row>
    <row r="13" spans="1:17" x14ac:dyDescent="0.25">
      <c r="A13" t="s">
        <v>1143</v>
      </c>
      <c r="B13" t="s">
        <v>1056</v>
      </c>
      <c r="C13" t="s">
        <v>175</v>
      </c>
      <c r="D13" t="s">
        <v>333</v>
      </c>
      <c r="E13" t="s">
        <v>334</v>
      </c>
      <c r="F13">
        <v>1</v>
      </c>
      <c r="G13" t="s">
        <v>176</v>
      </c>
      <c r="H13">
        <v>0</v>
      </c>
      <c r="I13">
        <v>25</v>
      </c>
      <c r="J13" s="10">
        <v>18</v>
      </c>
      <c r="K13" s="10">
        <f>SUMIFS(F:F,D:D,DST_123_ÜRETİM_İHTİYAÇ_RAPORU_BURAK_YENI1309[[#This Row],[ALT_KOD]])-(SUMIFS(H:H,D:D,DST_123_ÜRETİM_İHTİYAÇ_RAPORU_BURAK_YENI1309[[#This Row],[ALT_KOD]])+AVERAGEIFS(I:I,D:D,DST_123_ÜRETİM_İHTİYAÇ_RAPORU_BURAK_YENI1309[[#This Row],[ALT_KOD]])+AVERAGEIFS(L:L,D:D,DST_123_ÜRETİM_İHTİYAÇ_RAPORU_BURAK_YENI1309[[#This Row],[ALT_KOD]]))</f>
        <v>-6</v>
      </c>
      <c r="L13">
        <v>0</v>
      </c>
      <c r="M13">
        <f>IF((DST_123_ÜRETİM_İHTİYAÇ_RAPORU_BURAK_YENI1309[[#This Row],[SATINALMA]]*DST_123_ÜRETİM_İHTİYAÇ_RAPORU_BURAK_YENI1309[[#This Row],[BIRIM_FIYATLAR]])&lt;1,VALUE("0"),DST_123_ÜRETİM_İHTİYAÇ_RAPORU_BURAK_YENI1309[[#This Row],[SATINALMA]]*DST_123_ÜRETİM_İHTİYAÇ_RAPORU_BURAK_YENI1309[[#This Row],[BIRIM_FIYATLAR]])</f>
        <v>0</v>
      </c>
      <c r="N13">
        <v>225</v>
      </c>
      <c r="O13" t="s">
        <v>226</v>
      </c>
      <c r="P13">
        <v>225</v>
      </c>
      <c r="Q13" t="s">
        <v>180</v>
      </c>
    </row>
    <row r="14" spans="1:17" x14ac:dyDescent="0.25">
      <c r="A14" t="s">
        <v>1059</v>
      </c>
      <c r="B14" t="s">
        <v>1058</v>
      </c>
      <c r="C14" t="s">
        <v>175</v>
      </c>
      <c r="D14" t="s">
        <v>888</v>
      </c>
      <c r="E14" t="s">
        <v>889</v>
      </c>
      <c r="F14">
        <v>25</v>
      </c>
      <c r="G14" t="s">
        <v>176</v>
      </c>
      <c r="H14">
        <v>0</v>
      </c>
      <c r="I14">
        <v>5200</v>
      </c>
      <c r="J14" s="10">
        <v>0</v>
      </c>
      <c r="K14" s="10">
        <f>SUMIFS(F:F,D:D,DST_123_ÜRETİM_İHTİYAÇ_RAPORU_BURAK_YENI1309[[#This Row],[ALT_KOD]])-(SUMIFS(H:H,D:D,DST_123_ÜRETİM_İHTİYAÇ_RAPORU_BURAK_YENI1309[[#This Row],[ALT_KOD]])+AVERAGEIFS(I:I,D:D,DST_123_ÜRETİM_İHTİYAÇ_RAPORU_BURAK_YENI1309[[#This Row],[ALT_KOD]])+AVERAGEIFS(L:L,D:D,DST_123_ÜRETİM_İHTİYAÇ_RAPORU_BURAK_YENI1309[[#This Row],[ALT_KOD]]))</f>
        <v>-5125</v>
      </c>
      <c r="L14">
        <v>0</v>
      </c>
      <c r="M14">
        <f>IF((DST_123_ÜRETİM_İHTİYAÇ_RAPORU_BURAK_YENI1309[[#This Row],[SATINALMA]]*DST_123_ÜRETİM_İHTİYAÇ_RAPORU_BURAK_YENI1309[[#This Row],[BIRIM_FIYATLAR]])&lt;1,VALUE("0"),DST_123_ÜRETİM_İHTİYAÇ_RAPORU_BURAK_YENI1309[[#This Row],[SATINALMA]]*DST_123_ÜRETİM_İHTİYAÇ_RAPORU_BURAK_YENI1309[[#This Row],[BIRIM_FIYATLAR]])</f>
        <v>0</v>
      </c>
      <c r="N14">
        <v>0.08</v>
      </c>
      <c r="P14">
        <v>2</v>
      </c>
      <c r="Q14" t="s">
        <v>180</v>
      </c>
    </row>
    <row r="15" spans="1:17" x14ac:dyDescent="0.25">
      <c r="A15" t="s">
        <v>1099</v>
      </c>
      <c r="B15" t="s">
        <v>1055</v>
      </c>
      <c r="C15" t="s">
        <v>197</v>
      </c>
      <c r="D15" t="s">
        <v>498</v>
      </c>
      <c r="E15" t="s">
        <v>499</v>
      </c>
      <c r="F15">
        <v>1</v>
      </c>
      <c r="G15" t="s">
        <v>176</v>
      </c>
      <c r="H15">
        <v>0</v>
      </c>
      <c r="I15">
        <v>10</v>
      </c>
      <c r="J15" s="10">
        <v>9</v>
      </c>
      <c r="K15" s="10">
        <f>SUMIFS(F:F,D:D,DST_123_ÜRETİM_İHTİYAÇ_RAPORU_BURAK_YENI1309[[#This Row],[ALT_KOD]])-(SUMIFS(H:H,D:D,DST_123_ÜRETİM_İHTİYAÇ_RAPORU_BURAK_YENI1309[[#This Row],[ALT_KOD]])+AVERAGEIFS(I:I,D:D,DST_123_ÜRETİM_İHTİYAÇ_RAPORU_BURAK_YENI1309[[#This Row],[ALT_KOD]])+AVERAGEIFS(L:L,D:D,DST_123_ÜRETİM_İHTİYAÇ_RAPORU_BURAK_YENI1309[[#This Row],[ALT_KOD]]))</f>
        <v>2</v>
      </c>
      <c r="L15">
        <v>0</v>
      </c>
      <c r="M15">
        <f>IF((DST_123_ÜRETİM_İHTİYAÇ_RAPORU_BURAK_YENI1309[[#This Row],[SATINALMA]]*DST_123_ÜRETİM_İHTİYAÇ_RAPORU_BURAK_YENI1309[[#This Row],[BIRIM_FIYATLAR]])&lt;1,VALUE("0"),DST_123_ÜRETİM_İHTİYAÇ_RAPORU_BURAK_YENI1309[[#This Row],[SATINALMA]]*DST_123_ÜRETİM_İHTİYAÇ_RAPORU_BURAK_YENI1309[[#This Row],[BIRIM_FIYATLAR]])</f>
        <v>0</v>
      </c>
      <c r="O15" t="s">
        <v>713</v>
      </c>
      <c r="Q15" t="s">
        <v>760</v>
      </c>
    </row>
    <row r="16" spans="1:17" x14ac:dyDescent="0.25">
      <c r="A16" t="s">
        <v>1196</v>
      </c>
      <c r="B16" t="s">
        <v>1197</v>
      </c>
      <c r="C16" t="s">
        <v>175</v>
      </c>
      <c r="D16" t="s">
        <v>333</v>
      </c>
      <c r="E16" t="s">
        <v>334</v>
      </c>
      <c r="F16">
        <v>1</v>
      </c>
      <c r="G16" t="s">
        <v>176</v>
      </c>
      <c r="H16">
        <v>0</v>
      </c>
      <c r="I16">
        <v>25</v>
      </c>
      <c r="J16" s="10">
        <v>18</v>
      </c>
      <c r="K16" s="10">
        <f>SUMIFS(F:F,D:D,DST_123_ÜRETİM_İHTİYAÇ_RAPORU_BURAK_YENI1309[[#This Row],[ALT_KOD]])-(SUMIFS(H:H,D:D,DST_123_ÜRETİM_İHTİYAÇ_RAPORU_BURAK_YENI1309[[#This Row],[ALT_KOD]])+AVERAGEIFS(I:I,D:D,DST_123_ÜRETİM_İHTİYAÇ_RAPORU_BURAK_YENI1309[[#This Row],[ALT_KOD]])+AVERAGEIFS(L:L,D:D,DST_123_ÜRETİM_İHTİYAÇ_RAPORU_BURAK_YENI1309[[#This Row],[ALT_KOD]]))</f>
        <v>-6</v>
      </c>
      <c r="L16">
        <v>0</v>
      </c>
      <c r="M16">
        <f>IF((DST_123_ÜRETİM_İHTİYAÇ_RAPORU_BURAK_YENI1309[[#This Row],[SATINALMA]]*DST_123_ÜRETİM_İHTİYAÇ_RAPORU_BURAK_YENI1309[[#This Row],[BIRIM_FIYATLAR]])&lt;1,VALUE("0"),DST_123_ÜRETİM_İHTİYAÇ_RAPORU_BURAK_YENI1309[[#This Row],[SATINALMA]]*DST_123_ÜRETİM_İHTİYAÇ_RAPORU_BURAK_YENI1309[[#This Row],[BIRIM_FIYATLAR]])</f>
        <v>0</v>
      </c>
      <c r="N16">
        <v>225</v>
      </c>
      <c r="O16" t="s">
        <v>226</v>
      </c>
      <c r="P16">
        <v>225</v>
      </c>
      <c r="Q16" t="s">
        <v>180</v>
      </c>
    </row>
    <row r="17" spans="1:17" x14ac:dyDescent="0.25">
      <c r="A17" t="s">
        <v>1064</v>
      </c>
      <c r="B17" t="s">
        <v>1055</v>
      </c>
      <c r="C17" t="s">
        <v>175</v>
      </c>
      <c r="D17" t="s">
        <v>99</v>
      </c>
      <c r="E17" t="s">
        <v>100</v>
      </c>
      <c r="F17">
        <v>36.03</v>
      </c>
      <c r="G17" t="s">
        <v>185</v>
      </c>
      <c r="H17">
        <v>36.03</v>
      </c>
      <c r="I17">
        <v>0</v>
      </c>
      <c r="J17" s="10">
        <v>437.82000000000016</v>
      </c>
      <c r="K17" s="10">
        <f>SUMIFS(F:F,D:D,DST_123_ÜRETİM_İHTİYAÇ_RAPORU_BURAK_YENI1309[[#This Row],[ALT_KOD]])-(SUMIFS(H:H,D:D,DST_123_ÜRETİM_İHTİYAÇ_RAPORU_BURAK_YENI1309[[#This Row],[ALT_KOD]])+AVERAGEIFS(I:I,D:D,DST_123_ÜRETİM_İHTİYAÇ_RAPORU_BURAK_YENI1309[[#This Row],[ALT_KOD]])+AVERAGEIFS(L:L,D:D,DST_123_ÜRETİM_İHTİYAÇ_RAPORU_BURAK_YENI1309[[#This Row],[ALT_KOD]]))</f>
        <v>348.62999999999988</v>
      </c>
      <c r="L17">
        <v>0</v>
      </c>
      <c r="M17">
        <f>IF((DST_123_ÜRETİM_İHTİYAÇ_RAPORU_BURAK_YENI1309[[#This Row],[SATINALMA]]*DST_123_ÜRETİM_İHTİYAÇ_RAPORU_BURAK_YENI1309[[#This Row],[BIRIM_FIYATLAR]])&lt;1,VALUE("0"),DST_123_ÜRETİM_İHTİYAÇ_RAPORU_BURAK_YENI1309[[#This Row],[SATINALMA]]*DST_123_ÜRETİM_İHTİYAÇ_RAPORU_BURAK_YENI1309[[#This Row],[BIRIM_FIYATLAR]])</f>
        <v>33597.473099999988</v>
      </c>
      <c r="N17">
        <v>96.37</v>
      </c>
      <c r="O17" t="s">
        <v>490</v>
      </c>
      <c r="P17">
        <v>3472.2111000000004</v>
      </c>
      <c r="Q17" t="s">
        <v>183</v>
      </c>
    </row>
    <row r="18" spans="1:17" x14ac:dyDescent="0.25">
      <c r="A18" t="s">
        <v>1098</v>
      </c>
      <c r="B18" t="s">
        <v>1096</v>
      </c>
      <c r="C18" t="s">
        <v>175</v>
      </c>
      <c r="D18" t="s">
        <v>99</v>
      </c>
      <c r="E18" t="s">
        <v>100</v>
      </c>
      <c r="F18">
        <v>30.519999999999996</v>
      </c>
      <c r="G18" t="s">
        <v>185</v>
      </c>
      <c r="H18">
        <v>0</v>
      </c>
      <c r="I18">
        <v>0</v>
      </c>
      <c r="J18" s="10">
        <v>437.82000000000016</v>
      </c>
      <c r="K18" s="10">
        <f>SUMIFS(F:F,D:D,DST_123_ÜRETİM_İHTİYAÇ_RAPORU_BURAK_YENI1309[[#This Row],[ALT_KOD]])-(SUMIFS(H:H,D:D,DST_123_ÜRETİM_İHTİYAÇ_RAPORU_BURAK_YENI1309[[#This Row],[ALT_KOD]])+AVERAGEIFS(I:I,D:D,DST_123_ÜRETİM_İHTİYAÇ_RAPORU_BURAK_YENI1309[[#This Row],[ALT_KOD]])+AVERAGEIFS(L:L,D:D,DST_123_ÜRETİM_İHTİYAÇ_RAPORU_BURAK_YENI1309[[#This Row],[ALT_KOD]]))</f>
        <v>348.62999999999988</v>
      </c>
      <c r="L18">
        <v>0</v>
      </c>
      <c r="M18">
        <f>IF((DST_123_ÜRETİM_İHTİYAÇ_RAPORU_BURAK_YENI1309[[#This Row],[SATINALMA]]*DST_123_ÜRETİM_İHTİYAÇ_RAPORU_BURAK_YENI1309[[#This Row],[BIRIM_FIYATLAR]])&lt;1,VALUE("0"),DST_123_ÜRETİM_İHTİYAÇ_RAPORU_BURAK_YENI1309[[#This Row],[SATINALMA]]*DST_123_ÜRETİM_İHTİYAÇ_RAPORU_BURAK_YENI1309[[#This Row],[BIRIM_FIYATLAR]])</f>
        <v>33597.473099999988</v>
      </c>
      <c r="N18">
        <v>96.37</v>
      </c>
      <c r="O18" t="s">
        <v>490</v>
      </c>
      <c r="P18">
        <v>2941.2123999999999</v>
      </c>
      <c r="Q18" t="s">
        <v>183</v>
      </c>
    </row>
    <row r="19" spans="1:17" x14ac:dyDescent="0.25">
      <c r="A19" t="s">
        <v>1059</v>
      </c>
      <c r="B19" t="s">
        <v>1058</v>
      </c>
      <c r="C19" t="s">
        <v>175</v>
      </c>
      <c r="D19" t="s">
        <v>3</v>
      </c>
      <c r="E19" t="s">
        <v>4</v>
      </c>
      <c r="F19">
        <v>21</v>
      </c>
      <c r="G19" t="s">
        <v>179</v>
      </c>
      <c r="H19">
        <v>0</v>
      </c>
      <c r="I19">
        <v>150</v>
      </c>
      <c r="J19" s="10">
        <v>0</v>
      </c>
      <c r="K19" s="10">
        <f>SUMIFS(F:F,D:D,DST_123_ÜRETİM_İHTİYAÇ_RAPORU_BURAK_YENI1309[[#This Row],[ALT_KOD]])-(SUMIFS(H:H,D:D,DST_123_ÜRETİM_İHTİYAÇ_RAPORU_BURAK_YENI1309[[#This Row],[ALT_KOD]])+AVERAGEIFS(I:I,D:D,DST_123_ÜRETİM_İHTİYAÇ_RAPORU_BURAK_YENI1309[[#This Row],[ALT_KOD]])+AVERAGEIFS(L:L,D:D,DST_123_ÜRETİM_İHTİYAÇ_RAPORU_BURAK_YENI1309[[#This Row],[ALT_KOD]]))</f>
        <v>-76</v>
      </c>
      <c r="L19">
        <v>0</v>
      </c>
      <c r="M19">
        <f>IF((DST_123_ÜRETİM_İHTİYAÇ_RAPORU_BURAK_YENI1309[[#This Row],[SATINALMA]]*DST_123_ÜRETİM_İHTİYAÇ_RAPORU_BURAK_YENI1309[[#This Row],[BIRIM_FIYATLAR]])&lt;1,VALUE("0"),DST_123_ÜRETİM_İHTİYAÇ_RAPORU_BURAK_YENI1309[[#This Row],[SATINALMA]]*DST_123_ÜRETİM_İHTİYAÇ_RAPORU_BURAK_YENI1309[[#This Row],[BIRIM_FIYATLAR]])</f>
        <v>0</v>
      </c>
      <c r="N19">
        <v>320</v>
      </c>
      <c r="O19" t="s">
        <v>1151</v>
      </c>
      <c r="P19">
        <v>6720</v>
      </c>
      <c r="Q19" t="s">
        <v>184</v>
      </c>
    </row>
    <row r="20" spans="1:17" x14ac:dyDescent="0.25">
      <c r="A20" t="s">
        <v>1143</v>
      </c>
      <c r="B20" t="s">
        <v>1056</v>
      </c>
      <c r="C20" t="s">
        <v>175</v>
      </c>
      <c r="D20" t="s">
        <v>486</v>
      </c>
      <c r="E20" t="s">
        <v>487</v>
      </c>
      <c r="F20">
        <v>2</v>
      </c>
      <c r="G20" t="s">
        <v>176</v>
      </c>
      <c r="H20">
        <v>0</v>
      </c>
      <c r="I20">
        <v>20</v>
      </c>
      <c r="J20" s="10">
        <v>34</v>
      </c>
      <c r="K20" s="10">
        <f>SUMIFS(F:F,D:D,DST_123_ÜRETİM_İHTİYAÇ_RAPORU_BURAK_YENI1309[[#This Row],[ALT_KOD]])-(SUMIFS(H:H,D:D,DST_123_ÜRETİM_İHTİYAÇ_RAPORU_BURAK_YENI1309[[#This Row],[ALT_KOD]])+AVERAGEIFS(I:I,D:D,DST_123_ÜRETİM_İHTİYAÇ_RAPORU_BURAK_YENI1309[[#This Row],[ALT_KOD]])+AVERAGEIFS(L:L,D:D,DST_123_ÜRETİM_İHTİYAÇ_RAPORU_BURAK_YENI1309[[#This Row],[ALT_KOD]]))</f>
        <v>18</v>
      </c>
      <c r="L20">
        <v>0</v>
      </c>
      <c r="M20">
        <f>IF((DST_123_ÜRETİM_İHTİYAÇ_RAPORU_BURAK_YENI1309[[#This Row],[SATINALMA]]*DST_123_ÜRETİM_İHTİYAÇ_RAPORU_BURAK_YENI1309[[#This Row],[BIRIM_FIYATLAR]])&lt;1,VALUE("0"),DST_123_ÜRETİM_İHTİYAÇ_RAPORU_BURAK_YENI1309[[#This Row],[SATINALMA]]*DST_123_ÜRETİM_İHTİYAÇ_RAPORU_BURAK_YENI1309[[#This Row],[BIRIM_FIYATLAR]])</f>
        <v>1476</v>
      </c>
      <c r="N20">
        <v>82</v>
      </c>
      <c r="O20" t="s">
        <v>1089</v>
      </c>
      <c r="P20">
        <v>164</v>
      </c>
      <c r="Q20" t="s">
        <v>483</v>
      </c>
    </row>
    <row r="21" spans="1:17" x14ac:dyDescent="0.25">
      <c r="A21" t="s">
        <v>1059</v>
      </c>
      <c r="B21" t="s">
        <v>1058</v>
      </c>
      <c r="C21" t="s">
        <v>175</v>
      </c>
      <c r="D21" t="s">
        <v>486</v>
      </c>
      <c r="E21" t="s">
        <v>487</v>
      </c>
      <c r="F21">
        <v>2</v>
      </c>
      <c r="G21" t="s">
        <v>176</v>
      </c>
      <c r="H21">
        <v>0</v>
      </c>
      <c r="I21">
        <v>20</v>
      </c>
      <c r="J21" s="10">
        <v>34</v>
      </c>
      <c r="K21" s="10">
        <f>SUMIFS(F:F,D:D,DST_123_ÜRETİM_İHTİYAÇ_RAPORU_BURAK_YENI1309[[#This Row],[ALT_KOD]])-(SUMIFS(H:H,D:D,DST_123_ÜRETİM_İHTİYAÇ_RAPORU_BURAK_YENI1309[[#This Row],[ALT_KOD]])+AVERAGEIFS(I:I,D:D,DST_123_ÜRETİM_İHTİYAÇ_RAPORU_BURAK_YENI1309[[#This Row],[ALT_KOD]])+AVERAGEIFS(L:L,D:D,DST_123_ÜRETİM_İHTİYAÇ_RAPORU_BURAK_YENI1309[[#This Row],[ALT_KOD]]))</f>
        <v>18</v>
      </c>
      <c r="L21">
        <v>0</v>
      </c>
      <c r="M21">
        <f>IF((DST_123_ÜRETİM_İHTİYAÇ_RAPORU_BURAK_YENI1309[[#This Row],[SATINALMA]]*DST_123_ÜRETİM_İHTİYAÇ_RAPORU_BURAK_YENI1309[[#This Row],[BIRIM_FIYATLAR]])&lt;1,VALUE("0"),DST_123_ÜRETİM_İHTİYAÇ_RAPORU_BURAK_YENI1309[[#This Row],[SATINALMA]]*DST_123_ÜRETİM_İHTİYAÇ_RAPORU_BURAK_YENI1309[[#This Row],[BIRIM_FIYATLAR]])</f>
        <v>1476</v>
      </c>
      <c r="N21">
        <v>82</v>
      </c>
      <c r="O21" t="s">
        <v>1089</v>
      </c>
      <c r="P21">
        <v>164</v>
      </c>
      <c r="Q21" t="s">
        <v>483</v>
      </c>
    </row>
    <row r="22" spans="1:17" x14ac:dyDescent="0.25">
      <c r="A22" t="s">
        <v>1097</v>
      </c>
      <c r="B22" t="s">
        <v>1055</v>
      </c>
      <c r="C22" t="s">
        <v>197</v>
      </c>
      <c r="D22" t="s">
        <v>498</v>
      </c>
      <c r="E22" t="s">
        <v>499</v>
      </c>
      <c r="F22">
        <v>1</v>
      </c>
      <c r="G22" t="s">
        <v>176</v>
      </c>
      <c r="H22">
        <v>1</v>
      </c>
      <c r="I22">
        <v>10</v>
      </c>
      <c r="J22" s="10">
        <v>9</v>
      </c>
      <c r="K22" s="10">
        <f>SUMIFS(F:F,D:D,DST_123_ÜRETİM_İHTİYAÇ_RAPORU_BURAK_YENI1309[[#This Row],[ALT_KOD]])-(SUMIFS(H:H,D:D,DST_123_ÜRETİM_İHTİYAÇ_RAPORU_BURAK_YENI1309[[#This Row],[ALT_KOD]])+AVERAGEIFS(I:I,D:D,DST_123_ÜRETİM_İHTİYAÇ_RAPORU_BURAK_YENI1309[[#This Row],[ALT_KOD]])+AVERAGEIFS(L:L,D:D,DST_123_ÜRETİM_İHTİYAÇ_RAPORU_BURAK_YENI1309[[#This Row],[ALT_KOD]]))</f>
        <v>2</v>
      </c>
      <c r="L22">
        <v>0</v>
      </c>
      <c r="M22">
        <f>IF((DST_123_ÜRETİM_İHTİYAÇ_RAPORU_BURAK_YENI1309[[#This Row],[SATINALMA]]*DST_123_ÜRETİM_İHTİYAÇ_RAPORU_BURAK_YENI1309[[#This Row],[BIRIM_FIYATLAR]])&lt;1,VALUE("0"),DST_123_ÜRETİM_İHTİYAÇ_RAPORU_BURAK_YENI1309[[#This Row],[SATINALMA]]*DST_123_ÜRETİM_İHTİYAÇ_RAPORU_BURAK_YENI1309[[#This Row],[BIRIM_FIYATLAR]])</f>
        <v>0</v>
      </c>
      <c r="O22" t="s">
        <v>713</v>
      </c>
      <c r="Q22" t="s">
        <v>760</v>
      </c>
    </row>
    <row r="23" spans="1:17" x14ac:dyDescent="0.25">
      <c r="A23" t="s">
        <v>1097</v>
      </c>
      <c r="B23" t="s">
        <v>1055</v>
      </c>
      <c r="C23" t="s">
        <v>175</v>
      </c>
      <c r="D23" t="s">
        <v>333</v>
      </c>
      <c r="E23" t="s">
        <v>334</v>
      </c>
      <c r="F23">
        <v>1</v>
      </c>
      <c r="G23" t="s">
        <v>176</v>
      </c>
      <c r="H23">
        <v>0</v>
      </c>
      <c r="I23">
        <v>25</v>
      </c>
      <c r="J23" s="10">
        <v>18</v>
      </c>
      <c r="K23" s="10">
        <f>SUMIFS(F:F,D:D,DST_123_ÜRETİM_İHTİYAÇ_RAPORU_BURAK_YENI1309[[#This Row],[ALT_KOD]])-(SUMIFS(H:H,D:D,DST_123_ÜRETİM_İHTİYAÇ_RAPORU_BURAK_YENI1309[[#This Row],[ALT_KOD]])+AVERAGEIFS(I:I,D:D,DST_123_ÜRETİM_İHTİYAÇ_RAPORU_BURAK_YENI1309[[#This Row],[ALT_KOD]])+AVERAGEIFS(L:L,D:D,DST_123_ÜRETİM_İHTİYAÇ_RAPORU_BURAK_YENI1309[[#This Row],[ALT_KOD]]))</f>
        <v>-6</v>
      </c>
      <c r="L23">
        <v>0</v>
      </c>
      <c r="M23">
        <f>IF((DST_123_ÜRETİM_İHTİYAÇ_RAPORU_BURAK_YENI1309[[#This Row],[SATINALMA]]*DST_123_ÜRETİM_İHTİYAÇ_RAPORU_BURAK_YENI1309[[#This Row],[BIRIM_FIYATLAR]])&lt;1,VALUE("0"),DST_123_ÜRETİM_İHTİYAÇ_RAPORU_BURAK_YENI1309[[#This Row],[SATINALMA]]*DST_123_ÜRETİM_İHTİYAÇ_RAPORU_BURAK_YENI1309[[#This Row],[BIRIM_FIYATLAR]])</f>
        <v>0</v>
      </c>
      <c r="N23">
        <v>225</v>
      </c>
      <c r="O23" t="s">
        <v>226</v>
      </c>
      <c r="P23">
        <v>225</v>
      </c>
      <c r="Q23" t="s">
        <v>180</v>
      </c>
    </row>
    <row r="24" spans="1:17" x14ac:dyDescent="0.25">
      <c r="A24" t="s">
        <v>1095</v>
      </c>
      <c r="B24" t="s">
        <v>1096</v>
      </c>
      <c r="C24" t="s">
        <v>175</v>
      </c>
      <c r="D24" t="s">
        <v>333</v>
      </c>
      <c r="E24" t="s">
        <v>334</v>
      </c>
      <c r="F24">
        <v>1</v>
      </c>
      <c r="G24" t="s">
        <v>176</v>
      </c>
      <c r="H24">
        <v>0</v>
      </c>
      <c r="I24">
        <v>25</v>
      </c>
      <c r="J24" s="10">
        <v>18</v>
      </c>
      <c r="K24" s="10">
        <f>SUMIFS(F:F,D:D,DST_123_ÜRETİM_İHTİYAÇ_RAPORU_BURAK_YENI1309[[#This Row],[ALT_KOD]])-(SUMIFS(H:H,D:D,DST_123_ÜRETİM_İHTİYAÇ_RAPORU_BURAK_YENI1309[[#This Row],[ALT_KOD]])+AVERAGEIFS(I:I,D:D,DST_123_ÜRETİM_İHTİYAÇ_RAPORU_BURAK_YENI1309[[#This Row],[ALT_KOD]])+AVERAGEIFS(L:L,D:D,DST_123_ÜRETİM_İHTİYAÇ_RAPORU_BURAK_YENI1309[[#This Row],[ALT_KOD]]))</f>
        <v>-6</v>
      </c>
      <c r="L24">
        <v>0</v>
      </c>
      <c r="M24">
        <f>IF((DST_123_ÜRETİM_İHTİYAÇ_RAPORU_BURAK_YENI1309[[#This Row],[SATINALMA]]*DST_123_ÜRETİM_İHTİYAÇ_RAPORU_BURAK_YENI1309[[#This Row],[BIRIM_FIYATLAR]])&lt;1,VALUE("0"),DST_123_ÜRETİM_İHTİYAÇ_RAPORU_BURAK_YENI1309[[#This Row],[SATINALMA]]*DST_123_ÜRETİM_İHTİYAÇ_RAPORU_BURAK_YENI1309[[#This Row],[BIRIM_FIYATLAR]])</f>
        <v>0</v>
      </c>
      <c r="N24">
        <v>225</v>
      </c>
      <c r="O24" t="s">
        <v>226</v>
      </c>
      <c r="P24">
        <v>225</v>
      </c>
      <c r="Q24" t="s">
        <v>180</v>
      </c>
    </row>
    <row r="25" spans="1:17" x14ac:dyDescent="0.25">
      <c r="A25" t="s">
        <v>1146</v>
      </c>
      <c r="B25" t="s">
        <v>1145</v>
      </c>
      <c r="C25" t="s">
        <v>175</v>
      </c>
      <c r="D25" t="s">
        <v>486</v>
      </c>
      <c r="E25" t="s">
        <v>487</v>
      </c>
      <c r="F25">
        <v>2</v>
      </c>
      <c r="G25" t="s">
        <v>176</v>
      </c>
      <c r="H25">
        <v>0</v>
      </c>
      <c r="I25">
        <v>20</v>
      </c>
      <c r="J25" s="10">
        <v>34</v>
      </c>
      <c r="K25" s="10">
        <f>SUMIFS(F:F,D:D,DST_123_ÜRETİM_İHTİYAÇ_RAPORU_BURAK_YENI1309[[#This Row],[ALT_KOD]])-(SUMIFS(H:H,D:D,DST_123_ÜRETİM_İHTİYAÇ_RAPORU_BURAK_YENI1309[[#This Row],[ALT_KOD]])+AVERAGEIFS(I:I,D:D,DST_123_ÜRETİM_İHTİYAÇ_RAPORU_BURAK_YENI1309[[#This Row],[ALT_KOD]])+AVERAGEIFS(L:L,D:D,DST_123_ÜRETİM_İHTİYAÇ_RAPORU_BURAK_YENI1309[[#This Row],[ALT_KOD]]))</f>
        <v>18</v>
      </c>
      <c r="L25">
        <v>0</v>
      </c>
      <c r="M25">
        <f>IF((DST_123_ÜRETİM_İHTİYAÇ_RAPORU_BURAK_YENI1309[[#This Row],[SATINALMA]]*DST_123_ÜRETİM_İHTİYAÇ_RAPORU_BURAK_YENI1309[[#This Row],[BIRIM_FIYATLAR]])&lt;1,VALUE("0"),DST_123_ÜRETİM_İHTİYAÇ_RAPORU_BURAK_YENI1309[[#This Row],[SATINALMA]]*DST_123_ÜRETİM_İHTİYAÇ_RAPORU_BURAK_YENI1309[[#This Row],[BIRIM_FIYATLAR]])</f>
        <v>1476</v>
      </c>
      <c r="N25">
        <v>82</v>
      </c>
      <c r="O25" t="s">
        <v>1089</v>
      </c>
      <c r="P25">
        <v>164</v>
      </c>
      <c r="Q25" t="s">
        <v>483</v>
      </c>
    </row>
    <row r="26" spans="1:17" x14ac:dyDescent="0.25">
      <c r="A26" t="s">
        <v>1144</v>
      </c>
      <c r="B26" t="s">
        <v>1145</v>
      </c>
      <c r="C26" t="s">
        <v>175</v>
      </c>
      <c r="D26" t="s">
        <v>486</v>
      </c>
      <c r="E26" t="s">
        <v>487</v>
      </c>
      <c r="F26">
        <v>2</v>
      </c>
      <c r="G26" t="s">
        <v>176</v>
      </c>
      <c r="H26">
        <v>0</v>
      </c>
      <c r="I26">
        <v>20</v>
      </c>
      <c r="J26" s="10">
        <v>34</v>
      </c>
      <c r="K26" s="10">
        <f>SUMIFS(F:F,D:D,DST_123_ÜRETİM_İHTİYAÇ_RAPORU_BURAK_YENI1309[[#This Row],[ALT_KOD]])-(SUMIFS(H:H,D:D,DST_123_ÜRETİM_İHTİYAÇ_RAPORU_BURAK_YENI1309[[#This Row],[ALT_KOD]])+AVERAGEIFS(I:I,D:D,DST_123_ÜRETİM_İHTİYAÇ_RAPORU_BURAK_YENI1309[[#This Row],[ALT_KOD]])+AVERAGEIFS(L:L,D:D,DST_123_ÜRETİM_İHTİYAÇ_RAPORU_BURAK_YENI1309[[#This Row],[ALT_KOD]]))</f>
        <v>18</v>
      </c>
      <c r="L26">
        <v>0</v>
      </c>
      <c r="M26">
        <f>IF((DST_123_ÜRETİM_İHTİYAÇ_RAPORU_BURAK_YENI1309[[#This Row],[SATINALMA]]*DST_123_ÜRETİM_İHTİYAÇ_RAPORU_BURAK_YENI1309[[#This Row],[BIRIM_FIYATLAR]])&lt;1,VALUE("0"),DST_123_ÜRETİM_İHTİYAÇ_RAPORU_BURAK_YENI1309[[#This Row],[SATINALMA]]*DST_123_ÜRETİM_İHTİYAÇ_RAPORU_BURAK_YENI1309[[#This Row],[BIRIM_FIYATLAR]])</f>
        <v>1476</v>
      </c>
      <c r="N26">
        <v>82</v>
      </c>
      <c r="O26" t="s">
        <v>1089</v>
      </c>
      <c r="P26">
        <v>164</v>
      </c>
      <c r="Q26" t="s">
        <v>483</v>
      </c>
    </row>
    <row r="27" spans="1:17" x14ac:dyDescent="0.25">
      <c r="A27" t="s">
        <v>1149</v>
      </c>
      <c r="B27" t="s">
        <v>1145</v>
      </c>
      <c r="C27" t="s">
        <v>175</v>
      </c>
      <c r="D27" t="s">
        <v>333</v>
      </c>
      <c r="E27" t="s">
        <v>334</v>
      </c>
      <c r="F27">
        <v>1</v>
      </c>
      <c r="G27" t="s">
        <v>176</v>
      </c>
      <c r="H27">
        <v>0</v>
      </c>
      <c r="I27">
        <v>25</v>
      </c>
      <c r="J27" s="10">
        <v>18</v>
      </c>
      <c r="K27" s="10">
        <f>SUMIFS(F:F,D:D,DST_123_ÜRETİM_İHTİYAÇ_RAPORU_BURAK_YENI1309[[#This Row],[ALT_KOD]])-(SUMIFS(H:H,D:D,DST_123_ÜRETİM_İHTİYAÇ_RAPORU_BURAK_YENI1309[[#This Row],[ALT_KOD]])+AVERAGEIFS(I:I,D:D,DST_123_ÜRETİM_İHTİYAÇ_RAPORU_BURAK_YENI1309[[#This Row],[ALT_KOD]])+AVERAGEIFS(L:L,D:D,DST_123_ÜRETİM_İHTİYAÇ_RAPORU_BURAK_YENI1309[[#This Row],[ALT_KOD]]))</f>
        <v>-6</v>
      </c>
      <c r="L27">
        <v>0</v>
      </c>
      <c r="M27">
        <f>IF((DST_123_ÜRETİM_İHTİYAÇ_RAPORU_BURAK_YENI1309[[#This Row],[SATINALMA]]*DST_123_ÜRETİM_İHTİYAÇ_RAPORU_BURAK_YENI1309[[#This Row],[BIRIM_FIYATLAR]])&lt;1,VALUE("0"),DST_123_ÜRETİM_İHTİYAÇ_RAPORU_BURAK_YENI1309[[#This Row],[SATINALMA]]*DST_123_ÜRETİM_İHTİYAÇ_RAPORU_BURAK_YENI1309[[#This Row],[BIRIM_FIYATLAR]])</f>
        <v>0</v>
      </c>
      <c r="N27">
        <v>225</v>
      </c>
      <c r="O27" t="s">
        <v>226</v>
      </c>
      <c r="P27">
        <v>225</v>
      </c>
      <c r="Q27" t="s">
        <v>180</v>
      </c>
    </row>
    <row r="28" spans="1:17" x14ac:dyDescent="0.25">
      <c r="A28" t="s">
        <v>1144</v>
      </c>
      <c r="B28" t="s">
        <v>1145</v>
      </c>
      <c r="C28" t="s">
        <v>175</v>
      </c>
      <c r="D28" t="s">
        <v>333</v>
      </c>
      <c r="E28" t="s">
        <v>334</v>
      </c>
      <c r="F28">
        <v>1</v>
      </c>
      <c r="G28" t="s">
        <v>176</v>
      </c>
      <c r="H28">
        <v>0</v>
      </c>
      <c r="I28">
        <v>25</v>
      </c>
      <c r="J28" s="10">
        <v>18</v>
      </c>
      <c r="K28" s="10">
        <f>SUMIFS(F:F,D:D,DST_123_ÜRETİM_İHTİYAÇ_RAPORU_BURAK_YENI1309[[#This Row],[ALT_KOD]])-(SUMIFS(H:H,D:D,DST_123_ÜRETİM_İHTİYAÇ_RAPORU_BURAK_YENI1309[[#This Row],[ALT_KOD]])+AVERAGEIFS(I:I,D:D,DST_123_ÜRETİM_İHTİYAÇ_RAPORU_BURAK_YENI1309[[#This Row],[ALT_KOD]])+AVERAGEIFS(L:L,D:D,DST_123_ÜRETİM_İHTİYAÇ_RAPORU_BURAK_YENI1309[[#This Row],[ALT_KOD]]))</f>
        <v>-6</v>
      </c>
      <c r="L28">
        <v>0</v>
      </c>
      <c r="M28">
        <f>IF((DST_123_ÜRETİM_İHTİYAÇ_RAPORU_BURAK_YENI1309[[#This Row],[SATINALMA]]*DST_123_ÜRETİM_İHTİYAÇ_RAPORU_BURAK_YENI1309[[#This Row],[BIRIM_FIYATLAR]])&lt;1,VALUE("0"),DST_123_ÜRETİM_İHTİYAÇ_RAPORU_BURAK_YENI1309[[#This Row],[SATINALMA]]*DST_123_ÜRETİM_İHTİYAÇ_RAPORU_BURAK_YENI1309[[#This Row],[BIRIM_FIYATLAR]])</f>
        <v>0</v>
      </c>
      <c r="N28">
        <v>225</v>
      </c>
      <c r="O28" t="s">
        <v>226</v>
      </c>
      <c r="P28">
        <v>225</v>
      </c>
      <c r="Q28" t="s">
        <v>180</v>
      </c>
    </row>
    <row r="29" spans="1:17" x14ac:dyDescent="0.25">
      <c r="A29" t="s">
        <v>1146</v>
      </c>
      <c r="B29" t="s">
        <v>1145</v>
      </c>
      <c r="C29" t="s">
        <v>175</v>
      </c>
      <c r="D29" t="s">
        <v>333</v>
      </c>
      <c r="E29" t="s">
        <v>334</v>
      </c>
      <c r="F29">
        <v>1</v>
      </c>
      <c r="G29" t="s">
        <v>176</v>
      </c>
      <c r="H29">
        <v>0</v>
      </c>
      <c r="I29">
        <v>25</v>
      </c>
      <c r="J29" s="10">
        <v>18</v>
      </c>
      <c r="K29" s="10">
        <f>SUMIFS(F:F,D:D,DST_123_ÜRETİM_İHTİYAÇ_RAPORU_BURAK_YENI1309[[#This Row],[ALT_KOD]])-(SUMIFS(H:H,D:D,DST_123_ÜRETİM_İHTİYAÇ_RAPORU_BURAK_YENI1309[[#This Row],[ALT_KOD]])+AVERAGEIFS(I:I,D:D,DST_123_ÜRETİM_İHTİYAÇ_RAPORU_BURAK_YENI1309[[#This Row],[ALT_KOD]])+AVERAGEIFS(L:L,D:D,DST_123_ÜRETİM_İHTİYAÇ_RAPORU_BURAK_YENI1309[[#This Row],[ALT_KOD]]))</f>
        <v>-6</v>
      </c>
      <c r="L29">
        <v>0</v>
      </c>
      <c r="M29">
        <f>IF((DST_123_ÜRETİM_İHTİYAÇ_RAPORU_BURAK_YENI1309[[#This Row],[SATINALMA]]*DST_123_ÜRETİM_İHTİYAÇ_RAPORU_BURAK_YENI1309[[#This Row],[BIRIM_FIYATLAR]])&lt;1,VALUE("0"),DST_123_ÜRETİM_İHTİYAÇ_RAPORU_BURAK_YENI1309[[#This Row],[SATINALMA]]*DST_123_ÜRETİM_İHTİYAÇ_RAPORU_BURAK_YENI1309[[#This Row],[BIRIM_FIYATLAR]])</f>
        <v>0</v>
      </c>
      <c r="N29">
        <v>225</v>
      </c>
      <c r="O29" t="s">
        <v>226</v>
      </c>
      <c r="P29">
        <v>225</v>
      </c>
      <c r="Q29" t="s">
        <v>180</v>
      </c>
    </row>
    <row r="30" spans="1:17" x14ac:dyDescent="0.25">
      <c r="A30" t="s">
        <v>1149</v>
      </c>
      <c r="B30" t="s">
        <v>1145</v>
      </c>
      <c r="C30" t="s">
        <v>175</v>
      </c>
      <c r="D30" t="s">
        <v>96</v>
      </c>
      <c r="E30" t="s">
        <v>97</v>
      </c>
      <c r="F30">
        <v>1</v>
      </c>
      <c r="G30" t="s">
        <v>176</v>
      </c>
      <c r="H30">
        <v>0</v>
      </c>
      <c r="I30">
        <v>0</v>
      </c>
      <c r="J30" s="10">
        <v>5</v>
      </c>
      <c r="K30" s="10">
        <f>SUMIFS(F:F,D:D,DST_123_ÜRETİM_İHTİYAÇ_RAPORU_BURAK_YENI1309[[#This Row],[ALT_KOD]])-(SUMIFS(H:H,D:D,DST_123_ÜRETİM_İHTİYAÇ_RAPORU_BURAK_YENI1309[[#This Row],[ALT_KOD]])+AVERAGEIFS(I:I,D:D,DST_123_ÜRETİM_İHTİYAÇ_RAPORU_BURAK_YENI1309[[#This Row],[ALT_KOD]])+AVERAGEIFS(L:L,D:D,DST_123_ÜRETİM_İHTİYAÇ_RAPORU_BURAK_YENI1309[[#This Row],[ALT_KOD]]))</f>
        <v>0</v>
      </c>
      <c r="L30">
        <v>7</v>
      </c>
      <c r="M30">
        <f>IF((DST_123_ÜRETİM_İHTİYAÇ_RAPORU_BURAK_YENI1309[[#This Row],[SATINALMA]]*DST_123_ÜRETİM_İHTİYAÇ_RAPORU_BURAK_YENI1309[[#This Row],[BIRIM_FIYATLAR]])&lt;1,VALUE("0"),DST_123_ÜRETİM_İHTİYAÇ_RAPORU_BURAK_YENI1309[[#This Row],[SATINALMA]]*DST_123_ÜRETİM_İHTİYAÇ_RAPORU_BURAK_YENI1309[[#This Row],[BIRIM_FIYATLAR]])</f>
        <v>0</v>
      </c>
      <c r="N30">
        <v>1491.67</v>
      </c>
      <c r="O30" t="s">
        <v>632</v>
      </c>
      <c r="P30">
        <v>1491.67</v>
      </c>
      <c r="Q30" t="s">
        <v>177</v>
      </c>
    </row>
    <row r="31" spans="1:17" x14ac:dyDescent="0.25">
      <c r="A31" t="s">
        <v>1144</v>
      </c>
      <c r="B31" t="s">
        <v>1145</v>
      </c>
      <c r="C31" t="s">
        <v>175</v>
      </c>
      <c r="D31" t="s">
        <v>456</v>
      </c>
      <c r="E31" t="s">
        <v>457</v>
      </c>
      <c r="F31">
        <v>78</v>
      </c>
      <c r="G31" t="s">
        <v>176</v>
      </c>
      <c r="H31">
        <v>0</v>
      </c>
      <c r="I31">
        <v>3000</v>
      </c>
      <c r="J31" s="10">
        <v>1138</v>
      </c>
      <c r="K31" s="10">
        <f>SUMIFS(F:F,D:D,DST_123_ÜRETİM_İHTİYAÇ_RAPORU_BURAK_YENI1309[[#This Row],[ALT_KOD]])-(SUMIFS(H:H,D:D,DST_123_ÜRETİM_İHTİYAÇ_RAPORU_BURAK_YENI1309[[#This Row],[ALT_KOD]])+AVERAGEIFS(I:I,D:D,DST_123_ÜRETİM_İHTİYAÇ_RAPORU_BURAK_YENI1309[[#This Row],[ALT_KOD]])+AVERAGEIFS(L:L,D:D,DST_123_ÜRETİM_İHTİYAÇ_RAPORU_BURAK_YENI1309[[#This Row],[ALT_KOD]]))</f>
        <v>-1738</v>
      </c>
      <c r="L31">
        <v>0</v>
      </c>
      <c r="M31">
        <f>IF((DST_123_ÜRETİM_İHTİYAÇ_RAPORU_BURAK_YENI1309[[#This Row],[SATINALMA]]*DST_123_ÜRETİM_İHTİYAÇ_RAPORU_BURAK_YENI1309[[#This Row],[BIRIM_FIYATLAR]])&lt;1,VALUE("0"),DST_123_ÜRETİM_İHTİYAÇ_RAPORU_BURAK_YENI1309[[#This Row],[SATINALMA]]*DST_123_ÜRETİM_İHTİYAÇ_RAPORU_BURAK_YENI1309[[#This Row],[BIRIM_FIYATLAR]])</f>
        <v>0</v>
      </c>
      <c r="N31">
        <v>0.93</v>
      </c>
      <c r="O31" t="s">
        <v>882</v>
      </c>
      <c r="P31">
        <v>72.540000000000006</v>
      </c>
      <c r="Q31" t="s">
        <v>180</v>
      </c>
    </row>
    <row r="32" spans="1:17" x14ac:dyDescent="0.25">
      <c r="A32" t="s">
        <v>1146</v>
      </c>
      <c r="B32" t="s">
        <v>1145</v>
      </c>
      <c r="C32" t="s">
        <v>175</v>
      </c>
      <c r="D32" t="s">
        <v>456</v>
      </c>
      <c r="E32" t="s">
        <v>457</v>
      </c>
      <c r="F32">
        <v>78</v>
      </c>
      <c r="G32" t="s">
        <v>176</v>
      </c>
      <c r="H32">
        <v>0</v>
      </c>
      <c r="I32">
        <v>3000</v>
      </c>
      <c r="J32" s="10">
        <v>1138</v>
      </c>
      <c r="K32" s="10">
        <f>SUMIFS(F:F,D:D,DST_123_ÜRETİM_İHTİYAÇ_RAPORU_BURAK_YENI1309[[#This Row],[ALT_KOD]])-(SUMIFS(H:H,D:D,DST_123_ÜRETİM_İHTİYAÇ_RAPORU_BURAK_YENI1309[[#This Row],[ALT_KOD]])+AVERAGEIFS(I:I,D:D,DST_123_ÜRETİM_İHTİYAÇ_RAPORU_BURAK_YENI1309[[#This Row],[ALT_KOD]])+AVERAGEIFS(L:L,D:D,DST_123_ÜRETİM_İHTİYAÇ_RAPORU_BURAK_YENI1309[[#This Row],[ALT_KOD]]))</f>
        <v>-1738</v>
      </c>
      <c r="L32">
        <v>0</v>
      </c>
      <c r="M32">
        <f>IF((DST_123_ÜRETİM_İHTİYAÇ_RAPORU_BURAK_YENI1309[[#This Row],[SATINALMA]]*DST_123_ÜRETİM_İHTİYAÇ_RAPORU_BURAK_YENI1309[[#This Row],[BIRIM_FIYATLAR]])&lt;1,VALUE("0"),DST_123_ÜRETİM_İHTİYAÇ_RAPORU_BURAK_YENI1309[[#This Row],[SATINALMA]]*DST_123_ÜRETİM_İHTİYAÇ_RAPORU_BURAK_YENI1309[[#This Row],[BIRIM_FIYATLAR]])</f>
        <v>0</v>
      </c>
      <c r="N32">
        <v>0.93</v>
      </c>
      <c r="O32" t="s">
        <v>882</v>
      </c>
      <c r="P32">
        <v>72.540000000000006</v>
      </c>
      <c r="Q32" t="s">
        <v>180</v>
      </c>
    </row>
    <row r="33" spans="1:17" x14ac:dyDescent="0.25">
      <c r="A33" t="s">
        <v>1146</v>
      </c>
      <c r="B33" t="s">
        <v>1145</v>
      </c>
      <c r="C33" t="s">
        <v>175</v>
      </c>
      <c r="D33" t="s">
        <v>112</v>
      </c>
      <c r="E33" t="s">
        <v>113</v>
      </c>
      <c r="F33">
        <v>1</v>
      </c>
      <c r="G33" t="s">
        <v>176</v>
      </c>
      <c r="H33">
        <v>0</v>
      </c>
      <c r="I33">
        <v>2</v>
      </c>
      <c r="J33" s="10">
        <v>4</v>
      </c>
      <c r="K33" s="10">
        <f>SUMIFS(F:F,D:D,DST_123_ÜRETİM_İHTİYAÇ_RAPORU_BURAK_YENI1309[[#This Row],[ALT_KOD]])-(SUMIFS(H:H,D:D,DST_123_ÜRETİM_İHTİYAÇ_RAPORU_BURAK_YENI1309[[#This Row],[ALT_KOD]])+AVERAGEIFS(I:I,D:D,DST_123_ÜRETİM_İHTİYAÇ_RAPORU_BURAK_YENI1309[[#This Row],[ALT_KOD]])+AVERAGEIFS(L:L,D:D,DST_123_ÜRETİM_İHTİYAÇ_RAPORU_BURAK_YENI1309[[#This Row],[ALT_KOD]]))</f>
        <v>5</v>
      </c>
      <c r="L33">
        <v>0</v>
      </c>
      <c r="M33">
        <f>IF((DST_123_ÜRETİM_İHTİYAÇ_RAPORU_BURAK_YENI1309[[#This Row],[SATINALMA]]*DST_123_ÜRETİM_İHTİYAÇ_RAPORU_BURAK_YENI1309[[#This Row],[BIRIM_FIYATLAR]])&lt;1,VALUE("0"),DST_123_ÜRETİM_İHTİYAÇ_RAPORU_BURAK_YENI1309[[#This Row],[SATINALMA]]*DST_123_ÜRETİM_İHTİYAÇ_RAPORU_BURAK_YENI1309[[#This Row],[BIRIM_FIYATLAR]])</f>
        <v>37250</v>
      </c>
      <c r="N33">
        <v>7450</v>
      </c>
      <c r="O33" t="s">
        <v>584</v>
      </c>
      <c r="P33">
        <v>7450</v>
      </c>
      <c r="Q33" t="s">
        <v>177</v>
      </c>
    </row>
    <row r="34" spans="1:17" x14ac:dyDescent="0.25">
      <c r="A34" t="s">
        <v>1144</v>
      </c>
      <c r="B34" t="s">
        <v>1145</v>
      </c>
      <c r="C34" t="s">
        <v>175</v>
      </c>
      <c r="D34" t="s">
        <v>112</v>
      </c>
      <c r="E34" t="s">
        <v>113</v>
      </c>
      <c r="F34">
        <v>1</v>
      </c>
      <c r="G34" t="s">
        <v>176</v>
      </c>
      <c r="H34">
        <v>0</v>
      </c>
      <c r="I34">
        <v>2</v>
      </c>
      <c r="J34" s="10">
        <v>4</v>
      </c>
      <c r="K34" s="10">
        <f>SUMIFS(F:F,D:D,DST_123_ÜRETİM_İHTİYAÇ_RAPORU_BURAK_YENI1309[[#This Row],[ALT_KOD]])-(SUMIFS(H:H,D:D,DST_123_ÜRETİM_İHTİYAÇ_RAPORU_BURAK_YENI1309[[#This Row],[ALT_KOD]])+AVERAGEIFS(I:I,D:D,DST_123_ÜRETİM_İHTİYAÇ_RAPORU_BURAK_YENI1309[[#This Row],[ALT_KOD]])+AVERAGEIFS(L:L,D:D,DST_123_ÜRETİM_İHTİYAÇ_RAPORU_BURAK_YENI1309[[#This Row],[ALT_KOD]]))</f>
        <v>5</v>
      </c>
      <c r="L34">
        <v>0</v>
      </c>
      <c r="M34">
        <f>IF((DST_123_ÜRETİM_İHTİYAÇ_RAPORU_BURAK_YENI1309[[#This Row],[SATINALMA]]*DST_123_ÜRETİM_İHTİYAÇ_RAPORU_BURAK_YENI1309[[#This Row],[BIRIM_FIYATLAR]])&lt;1,VALUE("0"),DST_123_ÜRETİM_İHTİYAÇ_RAPORU_BURAK_YENI1309[[#This Row],[SATINALMA]]*DST_123_ÜRETİM_İHTİYAÇ_RAPORU_BURAK_YENI1309[[#This Row],[BIRIM_FIYATLAR]])</f>
        <v>37250</v>
      </c>
      <c r="N34">
        <v>7450</v>
      </c>
      <c r="O34" t="s">
        <v>584</v>
      </c>
      <c r="P34">
        <v>7450</v>
      </c>
      <c r="Q34" t="s">
        <v>177</v>
      </c>
    </row>
    <row r="35" spans="1:17" x14ac:dyDescent="0.25">
      <c r="A35" t="s">
        <v>1150</v>
      </c>
      <c r="B35" t="s">
        <v>1145</v>
      </c>
      <c r="C35" t="s">
        <v>175</v>
      </c>
      <c r="D35" t="s">
        <v>653</v>
      </c>
      <c r="E35" t="s">
        <v>654</v>
      </c>
      <c r="F35">
        <v>0.05</v>
      </c>
      <c r="G35" t="s">
        <v>185</v>
      </c>
      <c r="H35">
        <v>0</v>
      </c>
      <c r="I35">
        <v>0</v>
      </c>
      <c r="J35" s="10">
        <v>2.6000000000000014</v>
      </c>
      <c r="K35" s="10">
        <f>SUMIFS(F:F,D:D,DST_123_ÜRETİM_İHTİYAÇ_RAPORU_BURAK_YENI1309[[#This Row],[ALT_KOD]])-(SUMIFS(H:H,D:D,DST_123_ÜRETİM_İHTİYAÇ_RAPORU_BURAK_YENI1309[[#This Row],[ALT_KOD]])+AVERAGEIFS(I:I,D:D,DST_123_ÜRETİM_İHTİYAÇ_RAPORU_BURAK_YENI1309[[#This Row],[ALT_KOD]])+AVERAGEIFS(L:L,D:D,DST_123_ÜRETİM_İHTİYAÇ_RAPORU_BURAK_YENI1309[[#This Row],[ALT_KOD]]))</f>
        <v>0.29999999999999982</v>
      </c>
      <c r="L35">
        <v>0</v>
      </c>
      <c r="M35">
        <f>IF((DST_123_ÜRETİM_İHTİYAÇ_RAPORU_BURAK_YENI1309[[#This Row],[SATINALMA]]*DST_123_ÜRETİM_İHTİYAÇ_RAPORU_BURAK_YENI1309[[#This Row],[BIRIM_FIYATLAR]])&lt;1,VALUE("0"),DST_123_ÜRETİM_İHTİYAÇ_RAPORU_BURAK_YENI1309[[#This Row],[SATINALMA]]*DST_123_ÜRETİM_İHTİYAÇ_RAPORU_BURAK_YENI1309[[#This Row],[BIRIM_FIYATLAR]])</f>
        <v>193.70099999999988</v>
      </c>
      <c r="N35">
        <v>645.66999999999996</v>
      </c>
      <c r="O35" t="s">
        <v>490</v>
      </c>
      <c r="P35">
        <v>32.283499999999997</v>
      </c>
      <c r="Q35" t="s">
        <v>183</v>
      </c>
    </row>
    <row r="36" spans="1:17" x14ac:dyDescent="0.25">
      <c r="A36" t="s">
        <v>1150</v>
      </c>
      <c r="B36" t="s">
        <v>1145</v>
      </c>
      <c r="C36" t="s">
        <v>175</v>
      </c>
      <c r="D36" t="s">
        <v>114</v>
      </c>
      <c r="E36" t="s">
        <v>115</v>
      </c>
      <c r="F36">
        <v>1.504</v>
      </c>
      <c r="G36" t="s">
        <v>185</v>
      </c>
      <c r="H36">
        <v>0</v>
      </c>
      <c r="I36">
        <v>0</v>
      </c>
      <c r="J36" s="10">
        <v>65.03100000000002</v>
      </c>
      <c r="K36" s="10">
        <f>SUMIFS(F:F,D:D,DST_123_ÜRETİM_İHTİYAÇ_RAPORU_BURAK_YENI1309[[#This Row],[ALT_KOD]])-(SUMIFS(H:H,D:D,DST_123_ÜRETİM_İHTİYAÇ_RAPORU_BURAK_YENI1309[[#This Row],[ALT_KOD]])+AVERAGEIFS(I:I,D:D,DST_123_ÜRETİM_İHTİYAÇ_RAPORU_BURAK_YENI1309[[#This Row],[ALT_KOD]])+AVERAGEIFS(L:L,D:D,DST_123_ÜRETİM_İHTİYAÇ_RAPORU_BURAK_YENI1309[[#This Row],[ALT_KOD]]))</f>
        <v>17.948</v>
      </c>
      <c r="L36">
        <v>0</v>
      </c>
      <c r="M36">
        <f>IF((DST_123_ÜRETİM_İHTİYAÇ_RAPORU_BURAK_YENI1309[[#This Row],[SATINALMA]]*DST_123_ÜRETİM_İHTİYAÇ_RAPORU_BURAK_YENI1309[[#This Row],[BIRIM_FIYATLAR]])&lt;1,VALUE("0"),DST_123_ÜRETİM_İHTİYAÇ_RAPORU_BURAK_YENI1309[[#This Row],[SATINALMA]]*DST_123_ÜRETİM_İHTİYAÇ_RAPORU_BURAK_YENI1309[[#This Row],[BIRIM_FIYATLAR]])</f>
        <v>6991.2844399999994</v>
      </c>
      <c r="N36">
        <v>389.53</v>
      </c>
      <c r="O36" t="s">
        <v>490</v>
      </c>
      <c r="P36">
        <v>585.85311999999999</v>
      </c>
      <c r="Q36" t="s">
        <v>183</v>
      </c>
    </row>
    <row r="37" spans="1:17" x14ac:dyDescent="0.25">
      <c r="A37" t="s">
        <v>1143</v>
      </c>
      <c r="B37" t="s">
        <v>1056</v>
      </c>
      <c r="C37" t="s">
        <v>175</v>
      </c>
      <c r="D37" t="s">
        <v>456</v>
      </c>
      <c r="E37" t="s">
        <v>457</v>
      </c>
      <c r="F37">
        <v>74</v>
      </c>
      <c r="G37" t="s">
        <v>176</v>
      </c>
      <c r="H37">
        <v>0</v>
      </c>
      <c r="I37">
        <v>3000</v>
      </c>
      <c r="J37" s="10">
        <v>1138</v>
      </c>
      <c r="K37" s="10">
        <f>SUMIFS(F:F,D:D,DST_123_ÜRETİM_İHTİYAÇ_RAPORU_BURAK_YENI1309[[#This Row],[ALT_KOD]])-(SUMIFS(H:H,D:D,DST_123_ÜRETİM_İHTİYAÇ_RAPORU_BURAK_YENI1309[[#This Row],[ALT_KOD]])+AVERAGEIFS(I:I,D:D,DST_123_ÜRETİM_İHTİYAÇ_RAPORU_BURAK_YENI1309[[#This Row],[ALT_KOD]])+AVERAGEIFS(L:L,D:D,DST_123_ÜRETİM_İHTİYAÇ_RAPORU_BURAK_YENI1309[[#This Row],[ALT_KOD]]))</f>
        <v>-1738</v>
      </c>
      <c r="L37">
        <v>0</v>
      </c>
      <c r="M37">
        <f>IF((DST_123_ÜRETİM_İHTİYAÇ_RAPORU_BURAK_YENI1309[[#This Row],[SATINALMA]]*DST_123_ÜRETİM_İHTİYAÇ_RAPORU_BURAK_YENI1309[[#This Row],[BIRIM_FIYATLAR]])&lt;1,VALUE("0"),DST_123_ÜRETİM_İHTİYAÇ_RAPORU_BURAK_YENI1309[[#This Row],[SATINALMA]]*DST_123_ÜRETİM_İHTİYAÇ_RAPORU_BURAK_YENI1309[[#This Row],[BIRIM_FIYATLAR]])</f>
        <v>0</v>
      </c>
      <c r="N37">
        <v>0.93</v>
      </c>
      <c r="O37" t="s">
        <v>882</v>
      </c>
      <c r="P37">
        <v>68.820000000000007</v>
      </c>
      <c r="Q37" t="s">
        <v>180</v>
      </c>
    </row>
    <row r="38" spans="1:17" x14ac:dyDescent="0.25">
      <c r="A38" t="s">
        <v>1059</v>
      </c>
      <c r="B38" t="s">
        <v>1058</v>
      </c>
      <c r="C38" t="s">
        <v>175</v>
      </c>
      <c r="D38" t="s">
        <v>456</v>
      </c>
      <c r="E38" t="s">
        <v>457</v>
      </c>
      <c r="F38">
        <v>58</v>
      </c>
      <c r="G38" t="s">
        <v>176</v>
      </c>
      <c r="H38">
        <v>0</v>
      </c>
      <c r="I38">
        <v>3000</v>
      </c>
      <c r="J38" s="10">
        <v>1138</v>
      </c>
      <c r="K38" s="10">
        <f>SUMIFS(F:F,D:D,DST_123_ÜRETİM_İHTİYAÇ_RAPORU_BURAK_YENI1309[[#This Row],[ALT_KOD]])-(SUMIFS(H:H,D:D,DST_123_ÜRETİM_İHTİYAÇ_RAPORU_BURAK_YENI1309[[#This Row],[ALT_KOD]])+AVERAGEIFS(I:I,D:D,DST_123_ÜRETİM_İHTİYAÇ_RAPORU_BURAK_YENI1309[[#This Row],[ALT_KOD]])+AVERAGEIFS(L:L,D:D,DST_123_ÜRETİM_İHTİYAÇ_RAPORU_BURAK_YENI1309[[#This Row],[ALT_KOD]]))</f>
        <v>-1738</v>
      </c>
      <c r="L38">
        <v>0</v>
      </c>
      <c r="M38">
        <f>IF((DST_123_ÜRETİM_İHTİYAÇ_RAPORU_BURAK_YENI1309[[#This Row],[SATINALMA]]*DST_123_ÜRETİM_İHTİYAÇ_RAPORU_BURAK_YENI1309[[#This Row],[BIRIM_FIYATLAR]])&lt;1,VALUE("0"),DST_123_ÜRETİM_İHTİYAÇ_RAPORU_BURAK_YENI1309[[#This Row],[SATINALMA]]*DST_123_ÜRETİM_İHTİYAÇ_RAPORU_BURAK_YENI1309[[#This Row],[BIRIM_FIYATLAR]])</f>
        <v>0</v>
      </c>
      <c r="N38">
        <v>0.93</v>
      </c>
      <c r="O38" t="s">
        <v>882</v>
      </c>
      <c r="P38">
        <v>53.940000000000005</v>
      </c>
      <c r="Q38" t="s">
        <v>180</v>
      </c>
    </row>
    <row r="39" spans="1:17" x14ac:dyDescent="0.25">
      <c r="A39" t="s">
        <v>1059</v>
      </c>
      <c r="B39" t="s">
        <v>1058</v>
      </c>
      <c r="C39" t="s">
        <v>175</v>
      </c>
      <c r="D39" t="s">
        <v>112</v>
      </c>
      <c r="E39" t="s">
        <v>113</v>
      </c>
      <c r="F39">
        <v>1</v>
      </c>
      <c r="G39" t="s">
        <v>176</v>
      </c>
      <c r="H39">
        <v>1</v>
      </c>
      <c r="I39">
        <v>2</v>
      </c>
      <c r="J39" s="10">
        <v>4</v>
      </c>
      <c r="K39" s="10">
        <f>SUMIFS(F:F,D:D,DST_123_ÜRETİM_İHTİYAÇ_RAPORU_BURAK_YENI1309[[#This Row],[ALT_KOD]])-(SUMIFS(H:H,D:D,DST_123_ÜRETİM_İHTİYAÇ_RAPORU_BURAK_YENI1309[[#This Row],[ALT_KOD]])+AVERAGEIFS(I:I,D:D,DST_123_ÜRETİM_İHTİYAÇ_RAPORU_BURAK_YENI1309[[#This Row],[ALT_KOD]])+AVERAGEIFS(L:L,D:D,DST_123_ÜRETİM_İHTİYAÇ_RAPORU_BURAK_YENI1309[[#This Row],[ALT_KOD]]))</f>
        <v>5</v>
      </c>
      <c r="L39">
        <v>0</v>
      </c>
      <c r="M39">
        <f>IF((DST_123_ÜRETİM_İHTİYAÇ_RAPORU_BURAK_YENI1309[[#This Row],[SATINALMA]]*DST_123_ÜRETİM_İHTİYAÇ_RAPORU_BURAK_YENI1309[[#This Row],[BIRIM_FIYATLAR]])&lt;1,VALUE("0"),DST_123_ÜRETİM_İHTİYAÇ_RAPORU_BURAK_YENI1309[[#This Row],[SATINALMA]]*DST_123_ÜRETİM_İHTİYAÇ_RAPORU_BURAK_YENI1309[[#This Row],[BIRIM_FIYATLAR]])</f>
        <v>37250</v>
      </c>
      <c r="N39">
        <v>7450</v>
      </c>
      <c r="O39" t="s">
        <v>584</v>
      </c>
      <c r="P39">
        <v>7450</v>
      </c>
      <c r="Q39" t="s">
        <v>177</v>
      </c>
    </row>
    <row r="40" spans="1:17" x14ac:dyDescent="0.25">
      <c r="A40" t="s">
        <v>1144</v>
      </c>
      <c r="B40" t="s">
        <v>1145</v>
      </c>
      <c r="C40" t="s">
        <v>175</v>
      </c>
      <c r="D40" t="s">
        <v>359</v>
      </c>
      <c r="E40" t="s">
        <v>360</v>
      </c>
      <c r="F40">
        <v>2</v>
      </c>
      <c r="G40" t="s">
        <v>176</v>
      </c>
      <c r="H40">
        <v>0</v>
      </c>
      <c r="I40">
        <v>14472</v>
      </c>
      <c r="J40" s="10">
        <v>3376</v>
      </c>
      <c r="K40" s="10">
        <f>SUMIFS(F:F,D:D,DST_123_ÜRETİM_İHTİYAÇ_RAPORU_BURAK_YENI1309[[#This Row],[ALT_KOD]])-(SUMIFS(H:H,D:D,DST_123_ÜRETİM_İHTİYAÇ_RAPORU_BURAK_YENI1309[[#This Row],[ALT_KOD]])+AVERAGEIFS(I:I,D:D,DST_123_ÜRETİM_İHTİYAÇ_RAPORU_BURAK_YENI1309[[#This Row],[ALT_KOD]])+AVERAGEIFS(L:L,D:D,DST_123_ÜRETİM_İHTİYAÇ_RAPORU_BURAK_YENI1309[[#This Row],[ALT_KOD]]))</f>
        <v>-14340</v>
      </c>
      <c r="L40">
        <v>0</v>
      </c>
      <c r="M40">
        <f>IF((DST_123_ÜRETİM_İHTİYAÇ_RAPORU_BURAK_YENI1309[[#This Row],[SATINALMA]]*DST_123_ÜRETİM_İHTİYAÇ_RAPORU_BURAK_YENI1309[[#This Row],[BIRIM_FIYATLAR]])&lt;1,VALUE("0"),DST_123_ÜRETİM_İHTİYAÇ_RAPORU_BURAK_YENI1309[[#This Row],[SATINALMA]]*DST_123_ÜRETİM_İHTİYAÇ_RAPORU_BURAK_YENI1309[[#This Row],[BIRIM_FIYATLAR]])</f>
        <v>0</v>
      </c>
      <c r="N40">
        <v>0.04</v>
      </c>
      <c r="P40">
        <v>0.08</v>
      </c>
      <c r="Q40" t="s">
        <v>180</v>
      </c>
    </row>
    <row r="41" spans="1:17" x14ac:dyDescent="0.25">
      <c r="A41" t="s">
        <v>1146</v>
      </c>
      <c r="B41" t="s">
        <v>1145</v>
      </c>
      <c r="C41" t="s">
        <v>175</v>
      </c>
      <c r="D41" t="s">
        <v>359</v>
      </c>
      <c r="E41" t="s">
        <v>360</v>
      </c>
      <c r="F41">
        <v>2</v>
      </c>
      <c r="G41" t="s">
        <v>176</v>
      </c>
      <c r="H41">
        <v>0</v>
      </c>
      <c r="I41">
        <v>14472</v>
      </c>
      <c r="J41" s="10">
        <v>3376</v>
      </c>
      <c r="K41" s="10">
        <f>SUMIFS(F:F,D:D,DST_123_ÜRETİM_İHTİYAÇ_RAPORU_BURAK_YENI1309[[#This Row],[ALT_KOD]])-(SUMIFS(H:H,D:D,DST_123_ÜRETİM_İHTİYAÇ_RAPORU_BURAK_YENI1309[[#This Row],[ALT_KOD]])+AVERAGEIFS(I:I,D:D,DST_123_ÜRETİM_İHTİYAÇ_RAPORU_BURAK_YENI1309[[#This Row],[ALT_KOD]])+AVERAGEIFS(L:L,D:D,DST_123_ÜRETİM_İHTİYAÇ_RAPORU_BURAK_YENI1309[[#This Row],[ALT_KOD]]))</f>
        <v>-14340</v>
      </c>
      <c r="L41">
        <v>0</v>
      </c>
      <c r="M41">
        <f>IF((DST_123_ÜRETİM_İHTİYAÇ_RAPORU_BURAK_YENI1309[[#This Row],[SATINALMA]]*DST_123_ÜRETİM_İHTİYAÇ_RAPORU_BURAK_YENI1309[[#This Row],[BIRIM_FIYATLAR]])&lt;1,VALUE("0"),DST_123_ÜRETİM_İHTİYAÇ_RAPORU_BURAK_YENI1309[[#This Row],[SATINALMA]]*DST_123_ÜRETİM_İHTİYAÇ_RAPORU_BURAK_YENI1309[[#This Row],[BIRIM_FIYATLAR]])</f>
        <v>0</v>
      </c>
      <c r="N41">
        <v>0.04</v>
      </c>
      <c r="P41">
        <v>0.08</v>
      </c>
      <c r="Q41" t="s">
        <v>180</v>
      </c>
    </row>
    <row r="42" spans="1:17" x14ac:dyDescent="0.25">
      <c r="A42" t="s">
        <v>1149</v>
      </c>
      <c r="B42" t="s">
        <v>1145</v>
      </c>
      <c r="C42" t="s">
        <v>175</v>
      </c>
      <c r="D42" t="s">
        <v>456</v>
      </c>
      <c r="E42" t="s">
        <v>457</v>
      </c>
      <c r="F42">
        <v>78</v>
      </c>
      <c r="G42" t="s">
        <v>176</v>
      </c>
      <c r="H42">
        <v>0</v>
      </c>
      <c r="I42">
        <v>3000</v>
      </c>
      <c r="J42" s="10">
        <v>1138</v>
      </c>
      <c r="K42" s="10">
        <f>SUMIFS(F:F,D:D,DST_123_ÜRETİM_İHTİYAÇ_RAPORU_BURAK_YENI1309[[#This Row],[ALT_KOD]])-(SUMIFS(H:H,D:D,DST_123_ÜRETİM_İHTİYAÇ_RAPORU_BURAK_YENI1309[[#This Row],[ALT_KOD]])+AVERAGEIFS(I:I,D:D,DST_123_ÜRETİM_İHTİYAÇ_RAPORU_BURAK_YENI1309[[#This Row],[ALT_KOD]])+AVERAGEIFS(L:L,D:D,DST_123_ÜRETİM_İHTİYAÇ_RAPORU_BURAK_YENI1309[[#This Row],[ALT_KOD]]))</f>
        <v>-1738</v>
      </c>
      <c r="L42">
        <v>0</v>
      </c>
      <c r="M42">
        <f>IF((DST_123_ÜRETİM_İHTİYAÇ_RAPORU_BURAK_YENI1309[[#This Row],[SATINALMA]]*DST_123_ÜRETİM_İHTİYAÇ_RAPORU_BURAK_YENI1309[[#This Row],[BIRIM_FIYATLAR]])&lt;1,VALUE("0"),DST_123_ÜRETİM_İHTİYAÇ_RAPORU_BURAK_YENI1309[[#This Row],[SATINALMA]]*DST_123_ÜRETİM_İHTİYAÇ_RAPORU_BURAK_YENI1309[[#This Row],[BIRIM_FIYATLAR]])</f>
        <v>0</v>
      </c>
      <c r="N42">
        <v>0.93</v>
      </c>
      <c r="O42" t="s">
        <v>882</v>
      </c>
      <c r="P42">
        <v>72.540000000000006</v>
      </c>
      <c r="Q42" t="s">
        <v>180</v>
      </c>
    </row>
    <row r="43" spans="1:17" x14ac:dyDescent="0.25">
      <c r="A43" t="s">
        <v>1144</v>
      </c>
      <c r="B43" t="s">
        <v>1145</v>
      </c>
      <c r="C43" t="s">
        <v>175</v>
      </c>
      <c r="D43" t="s">
        <v>66</v>
      </c>
      <c r="E43" t="s">
        <v>1229</v>
      </c>
      <c r="F43">
        <v>3</v>
      </c>
      <c r="G43" t="s">
        <v>176</v>
      </c>
      <c r="H43">
        <v>0</v>
      </c>
      <c r="I43">
        <v>0</v>
      </c>
      <c r="J43" s="10">
        <v>128</v>
      </c>
      <c r="K43" s="10">
        <f>SUMIFS(F:F,D:D,DST_123_ÜRETİM_İHTİYAÇ_RAPORU_BURAK_YENI1309[[#This Row],[ALT_KOD]])-(SUMIFS(H:H,D:D,DST_123_ÜRETİM_İHTİYAÇ_RAPORU_BURAK_YENI1309[[#This Row],[ALT_KOD]])+AVERAGEIFS(I:I,D:D,DST_123_ÜRETİM_İHTİYAÇ_RAPORU_BURAK_YENI1309[[#This Row],[ALT_KOD]])+AVERAGEIFS(L:L,D:D,DST_123_ÜRETİM_İHTİYAÇ_RAPORU_BURAK_YENI1309[[#This Row],[ALT_KOD]]))</f>
        <v>70</v>
      </c>
      <c r="L43">
        <v>40</v>
      </c>
      <c r="M43">
        <f>IF((DST_123_ÜRETİM_İHTİYAÇ_RAPORU_BURAK_YENI1309[[#This Row],[SATINALMA]]*DST_123_ÜRETİM_İHTİYAÇ_RAPORU_BURAK_YENI1309[[#This Row],[BIRIM_FIYATLAR]])&lt;1,VALUE("0"),DST_123_ÜRETİM_İHTİYAÇ_RAPORU_BURAK_YENI1309[[#This Row],[SATINALMA]]*DST_123_ÜRETİM_İHTİYAÇ_RAPORU_BURAK_YENI1309[[#This Row],[BIRIM_FIYATLAR]])</f>
        <v>4200</v>
      </c>
      <c r="N43">
        <v>60</v>
      </c>
      <c r="O43" t="s">
        <v>821</v>
      </c>
      <c r="P43">
        <v>180</v>
      </c>
      <c r="Q43" t="s">
        <v>180</v>
      </c>
    </row>
    <row r="44" spans="1:17" x14ac:dyDescent="0.25">
      <c r="A44" t="s">
        <v>1146</v>
      </c>
      <c r="B44" t="s">
        <v>1145</v>
      </c>
      <c r="C44" t="s">
        <v>175</v>
      </c>
      <c r="D44" t="s">
        <v>66</v>
      </c>
      <c r="E44" t="s">
        <v>1229</v>
      </c>
      <c r="F44">
        <v>3</v>
      </c>
      <c r="G44" t="s">
        <v>176</v>
      </c>
      <c r="H44">
        <v>0</v>
      </c>
      <c r="I44">
        <v>0</v>
      </c>
      <c r="J44" s="10">
        <v>128</v>
      </c>
      <c r="K44" s="10">
        <f>SUMIFS(F:F,D:D,DST_123_ÜRETİM_İHTİYAÇ_RAPORU_BURAK_YENI1309[[#This Row],[ALT_KOD]])-(SUMIFS(H:H,D:D,DST_123_ÜRETİM_İHTİYAÇ_RAPORU_BURAK_YENI1309[[#This Row],[ALT_KOD]])+AVERAGEIFS(I:I,D:D,DST_123_ÜRETİM_İHTİYAÇ_RAPORU_BURAK_YENI1309[[#This Row],[ALT_KOD]])+AVERAGEIFS(L:L,D:D,DST_123_ÜRETİM_İHTİYAÇ_RAPORU_BURAK_YENI1309[[#This Row],[ALT_KOD]]))</f>
        <v>70</v>
      </c>
      <c r="L44">
        <v>40</v>
      </c>
      <c r="M44">
        <f>IF((DST_123_ÜRETİM_İHTİYAÇ_RAPORU_BURAK_YENI1309[[#This Row],[SATINALMA]]*DST_123_ÜRETİM_İHTİYAÇ_RAPORU_BURAK_YENI1309[[#This Row],[BIRIM_FIYATLAR]])&lt;1,VALUE("0"),DST_123_ÜRETİM_İHTİYAÇ_RAPORU_BURAK_YENI1309[[#This Row],[SATINALMA]]*DST_123_ÜRETİM_İHTİYAÇ_RAPORU_BURAK_YENI1309[[#This Row],[BIRIM_FIYATLAR]])</f>
        <v>4200</v>
      </c>
      <c r="N44">
        <v>60</v>
      </c>
      <c r="O44" t="s">
        <v>821</v>
      </c>
      <c r="P44">
        <v>180</v>
      </c>
      <c r="Q44" t="s">
        <v>180</v>
      </c>
    </row>
    <row r="45" spans="1:17" x14ac:dyDescent="0.25">
      <c r="A45" t="s">
        <v>1149</v>
      </c>
      <c r="B45" t="s">
        <v>1145</v>
      </c>
      <c r="C45" t="s">
        <v>175</v>
      </c>
      <c r="D45" t="s">
        <v>110</v>
      </c>
      <c r="E45" t="s">
        <v>111</v>
      </c>
      <c r="F45">
        <v>1</v>
      </c>
      <c r="G45" t="s">
        <v>176</v>
      </c>
      <c r="H45">
        <v>0</v>
      </c>
      <c r="I45">
        <v>0</v>
      </c>
      <c r="J45" s="10">
        <v>10</v>
      </c>
      <c r="K45" s="10">
        <f>SUMIFS(F:F,D:D,DST_123_ÜRETİM_İHTİYAÇ_RAPORU_BURAK_YENI1309[[#This Row],[ALT_KOD]])-(SUMIFS(H:H,D:D,DST_123_ÜRETİM_İHTİYAÇ_RAPORU_BURAK_YENI1309[[#This Row],[ALT_KOD]])+AVERAGEIFS(I:I,D:D,DST_123_ÜRETİM_İHTİYAÇ_RAPORU_BURAK_YENI1309[[#This Row],[ALT_KOD]])+AVERAGEIFS(L:L,D:D,DST_123_ÜRETİM_İHTİYAÇ_RAPORU_BURAK_YENI1309[[#This Row],[ALT_KOD]]))</f>
        <v>0</v>
      </c>
      <c r="L45">
        <v>11</v>
      </c>
      <c r="M45">
        <f>IF((DST_123_ÜRETİM_İHTİYAÇ_RAPORU_BURAK_YENI1309[[#This Row],[SATINALMA]]*DST_123_ÜRETİM_İHTİYAÇ_RAPORU_BURAK_YENI1309[[#This Row],[BIRIM_FIYATLAR]])&lt;1,VALUE("0"),DST_123_ÜRETİM_İHTİYAÇ_RAPORU_BURAK_YENI1309[[#This Row],[SATINALMA]]*DST_123_ÜRETİM_İHTİYAÇ_RAPORU_BURAK_YENI1309[[#This Row],[BIRIM_FIYATLAR]])</f>
        <v>0</v>
      </c>
      <c r="N45">
        <v>675</v>
      </c>
      <c r="O45" t="s">
        <v>632</v>
      </c>
      <c r="P45">
        <v>675</v>
      </c>
      <c r="Q45" t="s">
        <v>177</v>
      </c>
    </row>
    <row r="46" spans="1:17" x14ac:dyDescent="0.25">
      <c r="A46" t="s">
        <v>1144</v>
      </c>
      <c r="B46" t="s">
        <v>1145</v>
      </c>
      <c r="C46" t="s">
        <v>175</v>
      </c>
      <c r="D46" t="s">
        <v>110</v>
      </c>
      <c r="E46" t="s">
        <v>111</v>
      </c>
      <c r="F46">
        <v>1</v>
      </c>
      <c r="G46" t="s">
        <v>176</v>
      </c>
      <c r="H46">
        <v>0</v>
      </c>
      <c r="I46">
        <v>0</v>
      </c>
      <c r="J46" s="10">
        <v>10</v>
      </c>
      <c r="K46" s="10">
        <f>SUMIFS(F:F,D:D,DST_123_ÜRETİM_İHTİYAÇ_RAPORU_BURAK_YENI1309[[#This Row],[ALT_KOD]])-(SUMIFS(H:H,D:D,DST_123_ÜRETİM_İHTİYAÇ_RAPORU_BURAK_YENI1309[[#This Row],[ALT_KOD]])+AVERAGEIFS(I:I,D:D,DST_123_ÜRETİM_İHTİYAÇ_RAPORU_BURAK_YENI1309[[#This Row],[ALT_KOD]])+AVERAGEIFS(L:L,D:D,DST_123_ÜRETİM_İHTİYAÇ_RAPORU_BURAK_YENI1309[[#This Row],[ALT_KOD]]))</f>
        <v>0</v>
      </c>
      <c r="L46">
        <v>11</v>
      </c>
      <c r="M46">
        <f>IF((DST_123_ÜRETİM_İHTİYAÇ_RAPORU_BURAK_YENI1309[[#This Row],[SATINALMA]]*DST_123_ÜRETİM_İHTİYAÇ_RAPORU_BURAK_YENI1309[[#This Row],[BIRIM_FIYATLAR]])&lt;1,VALUE("0"),DST_123_ÜRETİM_İHTİYAÇ_RAPORU_BURAK_YENI1309[[#This Row],[SATINALMA]]*DST_123_ÜRETİM_İHTİYAÇ_RAPORU_BURAK_YENI1309[[#This Row],[BIRIM_FIYATLAR]])</f>
        <v>0</v>
      </c>
      <c r="N46">
        <v>675</v>
      </c>
      <c r="O46" t="s">
        <v>632</v>
      </c>
      <c r="P46">
        <v>675</v>
      </c>
      <c r="Q46" t="s">
        <v>177</v>
      </c>
    </row>
    <row r="47" spans="1:17" x14ac:dyDescent="0.25">
      <c r="A47" t="s">
        <v>1146</v>
      </c>
      <c r="B47" t="s">
        <v>1145</v>
      </c>
      <c r="C47" t="s">
        <v>175</v>
      </c>
      <c r="D47" t="s">
        <v>110</v>
      </c>
      <c r="E47" t="s">
        <v>111</v>
      </c>
      <c r="F47">
        <v>1</v>
      </c>
      <c r="G47" t="s">
        <v>176</v>
      </c>
      <c r="H47">
        <v>0</v>
      </c>
      <c r="I47">
        <v>0</v>
      </c>
      <c r="J47" s="10">
        <v>10</v>
      </c>
      <c r="K47" s="10">
        <f>SUMIFS(F:F,D:D,DST_123_ÜRETİM_İHTİYAÇ_RAPORU_BURAK_YENI1309[[#This Row],[ALT_KOD]])-(SUMIFS(H:H,D:D,DST_123_ÜRETİM_İHTİYAÇ_RAPORU_BURAK_YENI1309[[#This Row],[ALT_KOD]])+AVERAGEIFS(I:I,D:D,DST_123_ÜRETİM_İHTİYAÇ_RAPORU_BURAK_YENI1309[[#This Row],[ALT_KOD]])+AVERAGEIFS(L:L,D:D,DST_123_ÜRETİM_İHTİYAÇ_RAPORU_BURAK_YENI1309[[#This Row],[ALT_KOD]]))</f>
        <v>0</v>
      </c>
      <c r="L47">
        <v>11</v>
      </c>
      <c r="M47">
        <f>IF((DST_123_ÜRETİM_İHTİYAÇ_RAPORU_BURAK_YENI1309[[#This Row],[SATINALMA]]*DST_123_ÜRETİM_İHTİYAÇ_RAPORU_BURAK_YENI1309[[#This Row],[BIRIM_FIYATLAR]])&lt;1,VALUE("0"),DST_123_ÜRETİM_İHTİYAÇ_RAPORU_BURAK_YENI1309[[#This Row],[SATINALMA]]*DST_123_ÜRETİM_İHTİYAÇ_RAPORU_BURAK_YENI1309[[#This Row],[BIRIM_FIYATLAR]])</f>
        <v>0</v>
      </c>
      <c r="N47">
        <v>675</v>
      </c>
      <c r="O47" t="s">
        <v>632</v>
      </c>
      <c r="P47">
        <v>675</v>
      </c>
      <c r="Q47" t="s">
        <v>177</v>
      </c>
    </row>
    <row r="48" spans="1:17" x14ac:dyDescent="0.25">
      <c r="A48" t="s">
        <v>1149</v>
      </c>
      <c r="B48" t="s">
        <v>1145</v>
      </c>
      <c r="C48" t="s">
        <v>175</v>
      </c>
      <c r="D48" t="s">
        <v>112</v>
      </c>
      <c r="E48" t="s">
        <v>113</v>
      </c>
      <c r="F48">
        <v>1</v>
      </c>
      <c r="G48" t="s">
        <v>176</v>
      </c>
      <c r="H48">
        <v>0</v>
      </c>
      <c r="I48">
        <v>2</v>
      </c>
      <c r="J48" s="10">
        <v>4</v>
      </c>
      <c r="K48" s="10">
        <f>SUMIFS(F:F,D:D,DST_123_ÜRETİM_İHTİYAÇ_RAPORU_BURAK_YENI1309[[#This Row],[ALT_KOD]])-(SUMIFS(H:H,D:D,DST_123_ÜRETİM_İHTİYAÇ_RAPORU_BURAK_YENI1309[[#This Row],[ALT_KOD]])+AVERAGEIFS(I:I,D:D,DST_123_ÜRETİM_İHTİYAÇ_RAPORU_BURAK_YENI1309[[#This Row],[ALT_KOD]])+AVERAGEIFS(L:L,D:D,DST_123_ÜRETİM_İHTİYAÇ_RAPORU_BURAK_YENI1309[[#This Row],[ALT_KOD]]))</f>
        <v>5</v>
      </c>
      <c r="L48">
        <v>0</v>
      </c>
      <c r="M48">
        <f>IF((DST_123_ÜRETİM_İHTİYAÇ_RAPORU_BURAK_YENI1309[[#This Row],[SATINALMA]]*DST_123_ÜRETİM_İHTİYAÇ_RAPORU_BURAK_YENI1309[[#This Row],[BIRIM_FIYATLAR]])&lt;1,VALUE("0"),DST_123_ÜRETİM_İHTİYAÇ_RAPORU_BURAK_YENI1309[[#This Row],[SATINALMA]]*DST_123_ÜRETİM_İHTİYAÇ_RAPORU_BURAK_YENI1309[[#This Row],[BIRIM_FIYATLAR]])</f>
        <v>37250</v>
      </c>
      <c r="N48">
        <v>7450</v>
      </c>
      <c r="O48" t="s">
        <v>584</v>
      </c>
      <c r="P48">
        <v>7450</v>
      </c>
      <c r="Q48" t="s">
        <v>177</v>
      </c>
    </row>
    <row r="49" spans="1:17" x14ac:dyDescent="0.25">
      <c r="A49" t="s">
        <v>1149</v>
      </c>
      <c r="B49" t="s">
        <v>1145</v>
      </c>
      <c r="C49" t="s">
        <v>175</v>
      </c>
      <c r="D49" t="s">
        <v>670</v>
      </c>
      <c r="E49" t="s">
        <v>671</v>
      </c>
      <c r="F49">
        <v>1</v>
      </c>
      <c r="G49" t="s">
        <v>176</v>
      </c>
      <c r="H49">
        <v>0</v>
      </c>
      <c r="I49">
        <v>12</v>
      </c>
      <c r="J49" s="10">
        <v>13</v>
      </c>
      <c r="K49" s="10">
        <f>SUMIFS(F:F,D:D,DST_123_ÜRETİM_İHTİYAÇ_RAPORU_BURAK_YENI1309[[#This Row],[ALT_KOD]])-(SUMIFS(H:H,D:D,DST_123_ÜRETİM_İHTİYAÇ_RAPORU_BURAK_YENI1309[[#This Row],[ALT_KOD]])+AVERAGEIFS(I:I,D:D,DST_123_ÜRETİM_İHTİYAÇ_RAPORU_BURAK_YENI1309[[#This Row],[ALT_KOD]])+AVERAGEIFS(L:L,D:D,DST_123_ÜRETİM_İHTİYAÇ_RAPORU_BURAK_YENI1309[[#This Row],[ALT_KOD]]))</f>
        <v>-5</v>
      </c>
      <c r="L49">
        <v>0</v>
      </c>
      <c r="M49">
        <f>IF((DST_123_ÜRETİM_İHTİYAÇ_RAPORU_BURAK_YENI1309[[#This Row],[SATINALMA]]*DST_123_ÜRETİM_İHTİYAÇ_RAPORU_BURAK_YENI1309[[#This Row],[BIRIM_FIYATLAR]])&lt;1,VALUE("0"),DST_123_ÜRETİM_İHTİYAÇ_RAPORU_BURAK_YENI1309[[#This Row],[SATINALMA]]*DST_123_ÜRETİM_İHTİYAÇ_RAPORU_BURAK_YENI1309[[#This Row],[BIRIM_FIYATLAR]])</f>
        <v>0</v>
      </c>
      <c r="N49">
        <v>28339.38</v>
      </c>
      <c r="O49" t="s">
        <v>214</v>
      </c>
      <c r="P49">
        <v>28339.38</v>
      </c>
      <c r="Q49" t="s">
        <v>177</v>
      </c>
    </row>
    <row r="50" spans="1:17" x14ac:dyDescent="0.25">
      <c r="A50" t="s">
        <v>1144</v>
      </c>
      <c r="B50" t="s">
        <v>1145</v>
      </c>
      <c r="C50" t="s">
        <v>175</v>
      </c>
      <c r="D50" t="s">
        <v>653</v>
      </c>
      <c r="E50" t="s">
        <v>654</v>
      </c>
      <c r="F50">
        <v>0.05</v>
      </c>
      <c r="G50" t="s">
        <v>185</v>
      </c>
      <c r="H50">
        <v>0</v>
      </c>
      <c r="I50">
        <v>0</v>
      </c>
      <c r="J50" s="10">
        <v>2.6000000000000014</v>
      </c>
      <c r="K50" s="10">
        <f>SUMIFS(F:F,D:D,DST_123_ÜRETİM_İHTİYAÇ_RAPORU_BURAK_YENI1309[[#This Row],[ALT_KOD]])-(SUMIFS(H:H,D:D,DST_123_ÜRETİM_İHTİYAÇ_RAPORU_BURAK_YENI1309[[#This Row],[ALT_KOD]])+AVERAGEIFS(I:I,D:D,DST_123_ÜRETİM_İHTİYAÇ_RAPORU_BURAK_YENI1309[[#This Row],[ALT_KOD]])+AVERAGEIFS(L:L,D:D,DST_123_ÜRETİM_İHTİYAÇ_RAPORU_BURAK_YENI1309[[#This Row],[ALT_KOD]]))</f>
        <v>0.29999999999999982</v>
      </c>
      <c r="L50">
        <v>0</v>
      </c>
      <c r="M50">
        <f>IF((DST_123_ÜRETİM_İHTİYAÇ_RAPORU_BURAK_YENI1309[[#This Row],[SATINALMA]]*DST_123_ÜRETİM_İHTİYAÇ_RAPORU_BURAK_YENI1309[[#This Row],[BIRIM_FIYATLAR]])&lt;1,VALUE("0"),DST_123_ÜRETİM_İHTİYAÇ_RAPORU_BURAK_YENI1309[[#This Row],[SATINALMA]]*DST_123_ÜRETİM_İHTİYAÇ_RAPORU_BURAK_YENI1309[[#This Row],[BIRIM_FIYATLAR]])</f>
        <v>193.70099999999988</v>
      </c>
      <c r="N50">
        <v>645.66999999999996</v>
      </c>
      <c r="O50" t="s">
        <v>490</v>
      </c>
      <c r="P50">
        <v>32.283499999999997</v>
      </c>
      <c r="Q50" t="s">
        <v>183</v>
      </c>
    </row>
    <row r="51" spans="1:17" x14ac:dyDescent="0.25">
      <c r="A51" t="s">
        <v>1142</v>
      </c>
      <c r="B51" t="s">
        <v>1056</v>
      </c>
      <c r="C51" t="s">
        <v>175</v>
      </c>
      <c r="D51" t="s">
        <v>359</v>
      </c>
      <c r="E51" t="s">
        <v>360</v>
      </c>
      <c r="F51">
        <v>2</v>
      </c>
      <c r="G51" t="s">
        <v>176</v>
      </c>
      <c r="H51">
        <v>0</v>
      </c>
      <c r="I51">
        <v>14472</v>
      </c>
      <c r="J51" s="10">
        <v>3376</v>
      </c>
      <c r="K51" s="10">
        <f>SUMIFS(F:F,D:D,DST_123_ÜRETİM_İHTİYAÇ_RAPORU_BURAK_YENI1309[[#This Row],[ALT_KOD]])-(SUMIFS(H:H,D:D,DST_123_ÜRETİM_İHTİYAÇ_RAPORU_BURAK_YENI1309[[#This Row],[ALT_KOD]])+AVERAGEIFS(I:I,D:D,DST_123_ÜRETİM_İHTİYAÇ_RAPORU_BURAK_YENI1309[[#This Row],[ALT_KOD]])+AVERAGEIFS(L:L,D:D,DST_123_ÜRETİM_İHTİYAÇ_RAPORU_BURAK_YENI1309[[#This Row],[ALT_KOD]]))</f>
        <v>-14340</v>
      </c>
      <c r="L51">
        <v>0</v>
      </c>
      <c r="M51">
        <f>IF((DST_123_ÜRETİM_İHTİYAÇ_RAPORU_BURAK_YENI1309[[#This Row],[SATINALMA]]*DST_123_ÜRETİM_İHTİYAÇ_RAPORU_BURAK_YENI1309[[#This Row],[BIRIM_FIYATLAR]])&lt;1,VALUE("0"),DST_123_ÜRETİM_İHTİYAÇ_RAPORU_BURAK_YENI1309[[#This Row],[SATINALMA]]*DST_123_ÜRETİM_İHTİYAÇ_RAPORU_BURAK_YENI1309[[#This Row],[BIRIM_FIYATLAR]])</f>
        <v>0</v>
      </c>
      <c r="N51">
        <v>0.04</v>
      </c>
      <c r="P51">
        <v>0.08</v>
      </c>
      <c r="Q51" t="s">
        <v>180</v>
      </c>
    </row>
    <row r="52" spans="1:17" x14ac:dyDescent="0.25">
      <c r="A52" t="s">
        <v>1097</v>
      </c>
      <c r="B52" t="s">
        <v>1055</v>
      </c>
      <c r="C52" t="s">
        <v>175</v>
      </c>
      <c r="D52" t="s">
        <v>456</v>
      </c>
      <c r="E52" t="s">
        <v>457</v>
      </c>
      <c r="F52">
        <v>70</v>
      </c>
      <c r="G52" t="s">
        <v>176</v>
      </c>
      <c r="H52">
        <v>0</v>
      </c>
      <c r="I52">
        <v>3000</v>
      </c>
      <c r="J52" s="10">
        <v>1138</v>
      </c>
      <c r="K52" s="10">
        <f>SUMIFS(F:F,D:D,DST_123_ÜRETİM_İHTİYAÇ_RAPORU_BURAK_YENI1309[[#This Row],[ALT_KOD]])-(SUMIFS(H:H,D:D,DST_123_ÜRETİM_İHTİYAÇ_RAPORU_BURAK_YENI1309[[#This Row],[ALT_KOD]])+AVERAGEIFS(I:I,D:D,DST_123_ÜRETİM_İHTİYAÇ_RAPORU_BURAK_YENI1309[[#This Row],[ALT_KOD]])+AVERAGEIFS(L:L,D:D,DST_123_ÜRETİM_İHTİYAÇ_RAPORU_BURAK_YENI1309[[#This Row],[ALT_KOD]]))</f>
        <v>-1738</v>
      </c>
      <c r="L52">
        <v>0</v>
      </c>
      <c r="M52">
        <f>IF((DST_123_ÜRETİM_İHTİYAÇ_RAPORU_BURAK_YENI1309[[#This Row],[SATINALMA]]*DST_123_ÜRETİM_İHTİYAÇ_RAPORU_BURAK_YENI1309[[#This Row],[BIRIM_FIYATLAR]])&lt;1,VALUE("0"),DST_123_ÜRETİM_İHTİYAÇ_RAPORU_BURAK_YENI1309[[#This Row],[SATINALMA]]*DST_123_ÜRETİM_İHTİYAÇ_RAPORU_BURAK_YENI1309[[#This Row],[BIRIM_FIYATLAR]])</f>
        <v>0</v>
      </c>
      <c r="N52">
        <v>0.93</v>
      </c>
      <c r="O52" t="s">
        <v>882</v>
      </c>
      <c r="P52">
        <v>65.100000000000009</v>
      </c>
      <c r="Q52" t="s">
        <v>180</v>
      </c>
    </row>
    <row r="53" spans="1:17" x14ac:dyDescent="0.25">
      <c r="A53" t="s">
        <v>1142</v>
      </c>
      <c r="B53" t="s">
        <v>1056</v>
      </c>
      <c r="C53" t="s">
        <v>175</v>
      </c>
      <c r="D53" t="s">
        <v>66</v>
      </c>
      <c r="E53" t="s">
        <v>1229</v>
      </c>
      <c r="F53">
        <v>3</v>
      </c>
      <c r="G53" t="s">
        <v>176</v>
      </c>
      <c r="H53">
        <v>0</v>
      </c>
      <c r="I53">
        <v>0</v>
      </c>
      <c r="J53" s="10">
        <v>128</v>
      </c>
      <c r="K53" s="10">
        <f>SUMIFS(F:F,D:D,DST_123_ÜRETİM_İHTİYAÇ_RAPORU_BURAK_YENI1309[[#This Row],[ALT_KOD]])-(SUMIFS(H:H,D:D,DST_123_ÜRETİM_İHTİYAÇ_RAPORU_BURAK_YENI1309[[#This Row],[ALT_KOD]])+AVERAGEIFS(I:I,D:D,DST_123_ÜRETİM_İHTİYAÇ_RAPORU_BURAK_YENI1309[[#This Row],[ALT_KOD]])+AVERAGEIFS(L:L,D:D,DST_123_ÜRETİM_İHTİYAÇ_RAPORU_BURAK_YENI1309[[#This Row],[ALT_KOD]]))</f>
        <v>70</v>
      </c>
      <c r="L53">
        <v>40</v>
      </c>
      <c r="M53">
        <f>IF((DST_123_ÜRETİM_İHTİYAÇ_RAPORU_BURAK_YENI1309[[#This Row],[SATINALMA]]*DST_123_ÜRETİM_İHTİYAÇ_RAPORU_BURAK_YENI1309[[#This Row],[BIRIM_FIYATLAR]])&lt;1,VALUE("0"),DST_123_ÜRETİM_İHTİYAÇ_RAPORU_BURAK_YENI1309[[#This Row],[SATINALMA]]*DST_123_ÜRETİM_İHTİYAÇ_RAPORU_BURAK_YENI1309[[#This Row],[BIRIM_FIYATLAR]])</f>
        <v>4200</v>
      </c>
      <c r="N53">
        <v>60</v>
      </c>
      <c r="O53" t="s">
        <v>821</v>
      </c>
      <c r="P53">
        <v>180</v>
      </c>
      <c r="Q53" t="s">
        <v>180</v>
      </c>
    </row>
    <row r="54" spans="1:17" x14ac:dyDescent="0.25">
      <c r="A54" t="s">
        <v>1142</v>
      </c>
      <c r="B54" t="s">
        <v>1056</v>
      </c>
      <c r="C54" t="s">
        <v>175</v>
      </c>
      <c r="D54" t="s">
        <v>110</v>
      </c>
      <c r="E54" t="s">
        <v>111</v>
      </c>
      <c r="F54">
        <v>1</v>
      </c>
      <c r="G54" t="s">
        <v>176</v>
      </c>
      <c r="H54">
        <v>0</v>
      </c>
      <c r="I54">
        <v>0</v>
      </c>
      <c r="J54" s="10">
        <v>10</v>
      </c>
      <c r="K54" s="10">
        <f>SUMIFS(F:F,D:D,DST_123_ÜRETİM_İHTİYAÇ_RAPORU_BURAK_YENI1309[[#This Row],[ALT_KOD]])-(SUMIFS(H:H,D:D,DST_123_ÜRETİM_İHTİYAÇ_RAPORU_BURAK_YENI1309[[#This Row],[ALT_KOD]])+AVERAGEIFS(I:I,D:D,DST_123_ÜRETİM_İHTİYAÇ_RAPORU_BURAK_YENI1309[[#This Row],[ALT_KOD]])+AVERAGEIFS(L:L,D:D,DST_123_ÜRETİM_İHTİYAÇ_RAPORU_BURAK_YENI1309[[#This Row],[ALT_KOD]]))</f>
        <v>0</v>
      </c>
      <c r="L54">
        <v>11</v>
      </c>
      <c r="M54">
        <f>IF((DST_123_ÜRETİM_İHTİYAÇ_RAPORU_BURAK_YENI1309[[#This Row],[SATINALMA]]*DST_123_ÜRETİM_İHTİYAÇ_RAPORU_BURAK_YENI1309[[#This Row],[BIRIM_FIYATLAR]])&lt;1,VALUE("0"),DST_123_ÜRETİM_İHTİYAÇ_RAPORU_BURAK_YENI1309[[#This Row],[SATINALMA]]*DST_123_ÜRETİM_İHTİYAÇ_RAPORU_BURAK_YENI1309[[#This Row],[BIRIM_FIYATLAR]])</f>
        <v>0</v>
      </c>
      <c r="N54">
        <v>675</v>
      </c>
      <c r="O54" t="s">
        <v>632</v>
      </c>
      <c r="P54">
        <v>675</v>
      </c>
      <c r="Q54" t="s">
        <v>177</v>
      </c>
    </row>
    <row r="55" spans="1:17" x14ac:dyDescent="0.25">
      <c r="A55" t="s">
        <v>1097</v>
      </c>
      <c r="B55" t="s">
        <v>1055</v>
      </c>
      <c r="C55" t="s">
        <v>175</v>
      </c>
      <c r="D55" t="s">
        <v>670</v>
      </c>
      <c r="E55" t="s">
        <v>671</v>
      </c>
      <c r="F55">
        <v>1</v>
      </c>
      <c r="G55" t="s">
        <v>176</v>
      </c>
      <c r="H55">
        <v>1</v>
      </c>
      <c r="I55">
        <v>12</v>
      </c>
      <c r="J55" s="10">
        <v>13</v>
      </c>
      <c r="K55" s="10">
        <f>SUMIFS(F:F,D:D,DST_123_ÜRETİM_İHTİYAÇ_RAPORU_BURAK_YENI1309[[#This Row],[ALT_KOD]])-(SUMIFS(H:H,D:D,DST_123_ÜRETİM_İHTİYAÇ_RAPORU_BURAK_YENI1309[[#This Row],[ALT_KOD]])+AVERAGEIFS(I:I,D:D,DST_123_ÜRETİM_İHTİYAÇ_RAPORU_BURAK_YENI1309[[#This Row],[ALT_KOD]])+AVERAGEIFS(L:L,D:D,DST_123_ÜRETİM_İHTİYAÇ_RAPORU_BURAK_YENI1309[[#This Row],[ALT_KOD]]))</f>
        <v>-5</v>
      </c>
      <c r="L55">
        <v>0</v>
      </c>
      <c r="M55">
        <f>IF((DST_123_ÜRETİM_İHTİYAÇ_RAPORU_BURAK_YENI1309[[#This Row],[SATINALMA]]*DST_123_ÜRETİM_İHTİYAÇ_RAPORU_BURAK_YENI1309[[#This Row],[BIRIM_FIYATLAR]])&lt;1,VALUE("0"),DST_123_ÜRETİM_İHTİYAÇ_RAPORU_BURAK_YENI1309[[#This Row],[SATINALMA]]*DST_123_ÜRETİM_İHTİYAÇ_RAPORU_BURAK_YENI1309[[#This Row],[BIRIM_FIYATLAR]])</f>
        <v>0</v>
      </c>
      <c r="N55">
        <v>28339.38</v>
      </c>
      <c r="O55" t="s">
        <v>214</v>
      </c>
      <c r="P55">
        <v>28339.38</v>
      </c>
      <c r="Q55" t="s">
        <v>177</v>
      </c>
    </row>
    <row r="56" spans="1:17" x14ac:dyDescent="0.25">
      <c r="A56" t="s">
        <v>1064</v>
      </c>
      <c r="B56" t="s">
        <v>1055</v>
      </c>
      <c r="C56" t="s">
        <v>175</v>
      </c>
      <c r="D56" t="s">
        <v>359</v>
      </c>
      <c r="E56" t="s">
        <v>360</v>
      </c>
      <c r="F56">
        <v>6</v>
      </c>
      <c r="G56" t="s">
        <v>176</v>
      </c>
      <c r="H56">
        <v>0</v>
      </c>
      <c r="I56">
        <v>14472</v>
      </c>
      <c r="J56" s="10">
        <v>3376</v>
      </c>
      <c r="K56" s="10">
        <f>SUMIFS(F:F,D:D,DST_123_ÜRETİM_İHTİYAÇ_RAPORU_BURAK_YENI1309[[#This Row],[ALT_KOD]])-(SUMIFS(H:H,D:D,DST_123_ÜRETİM_İHTİYAÇ_RAPORU_BURAK_YENI1309[[#This Row],[ALT_KOD]])+AVERAGEIFS(I:I,D:D,DST_123_ÜRETİM_İHTİYAÇ_RAPORU_BURAK_YENI1309[[#This Row],[ALT_KOD]])+AVERAGEIFS(L:L,D:D,DST_123_ÜRETİM_İHTİYAÇ_RAPORU_BURAK_YENI1309[[#This Row],[ALT_KOD]]))</f>
        <v>-14340</v>
      </c>
      <c r="L56">
        <v>0</v>
      </c>
      <c r="M56">
        <f>IF((DST_123_ÜRETİM_İHTİYAÇ_RAPORU_BURAK_YENI1309[[#This Row],[SATINALMA]]*DST_123_ÜRETİM_İHTİYAÇ_RAPORU_BURAK_YENI1309[[#This Row],[BIRIM_FIYATLAR]])&lt;1,VALUE("0"),DST_123_ÜRETİM_İHTİYAÇ_RAPORU_BURAK_YENI1309[[#This Row],[SATINALMA]]*DST_123_ÜRETİM_İHTİYAÇ_RAPORU_BURAK_YENI1309[[#This Row],[BIRIM_FIYATLAR]])</f>
        <v>0</v>
      </c>
      <c r="N56">
        <v>0.04</v>
      </c>
      <c r="P56">
        <v>0.24</v>
      </c>
      <c r="Q56" t="s">
        <v>180</v>
      </c>
    </row>
    <row r="57" spans="1:17" x14ac:dyDescent="0.25">
      <c r="A57" t="s">
        <v>1150</v>
      </c>
      <c r="B57" t="s">
        <v>1145</v>
      </c>
      <c r="C57" t="s">
        <v>175</v>
      </c>
      <c r="D57" t="s">
        <v>66</v>
      </c>
      <c r="E57" t="s">
        <v>1229</v>
      </c>
      <c r="F57">
        <v>3</v>
      </c>
      <c r="G57" t="s">
        <v>176</v>
      </c>
      <c r="H57">
        <v>0</v>
      </c>
      <c r="I57">
        <v>0</v>
      </c>
      <c r="J57" s="10">
        <v>128</v>
      </c>
      <c r="K57" s="10">
        <f>SUMIFS(F:F,D:D,DST_123_ÜRETİM_İHTİYAÇ_RAPORU_BURAK_YENI1309[[#This Row],[ALT_KOD]])-(SUMIFS(H:H,D:D,DST_123_ÜRETİM_İHTİYAÇ_RAPORU_BURAK_YENI1309[[#This Row],[ALT_KOD]])+AVERAGEIFS(I:I,D:D,DST_123_ÜRETİM_İHTİYAÇ_RAPORU_BURAK_YENI1309[[#This Row],[ALT_KOD]])+AVERAGEIFS(L:L,D:D,DST_123_ÜRETİM_İHTİYAÇ_RAPORU_BURAK_YENI1309[[#This Row],[ALT_KOD]]))</f>
        <v>70</v>
      </c>
      <c r="L57">
        <v>40</v>
      </c>
      <c r="M57">
        <f>IF((DST_123_ÜRETİM_İHTİYAÇ_RAPORU_BURAK_YENI1309[[#This Row],[SATINALMA]]*DST_123_ÜRETİM_İHTİYAÇ_RAPORU_BURAK_YENI1309[[#This Row],[BIRIM_FIYATLAR]])&lt;1,VALUE("0"),DST_123_ÜRETİM_İHTİYAÇ_RAPORU_BURAK_YENI1309[[#This Row],[SATINALMA]]*DST_123_ÜRETİM_İHTİYAÇ_RAPORU_BURAK_YENI1309[[#This Row],[BIRIM_FIYATLAR]])</f>
        <v>4200</v>
      </c>
      <c r="N57">
        <v>60</v>
      </c>
      <c r="O57" t="s">
        <v>821</v>
      </c>
      <c r="P57">
        <v>180</v>
      </c>
      <c r="Q57" t="s">
        <v>180</v>
      </c>
    </row>
    <row r="58" spans="1:17" x14ac:dyDescent="0.25">
      <c r="A58" t="s">
        <v>1150</v>
      </c>
      <c r="B58" t="s">
        <v>1145</v>
      </c>
      <c r="C58" t="s">
        <v>175</v>
      </c>
      <c r="D58" t="s">
        <v>110</v>
      </c>
      <c r="E58" t="s">
        <v>111</v>
      </c>
      <c r="F58">
        <v>1</v>
      </c>
      <c r="G58" t="s">
        <v>176</v>
      </c>
      <c r="H58">
        <v>0</v>
      </c>
      <c r="I58">
        <v>0</v>
      </c>
      <c r="J58" s="10">
        <v>10</v>
      </c>
      <c r="K58" s="10">
        <f>SUMIFS(F:F,D:D,DST_123_ÜRETİM_İHTİYAÇ_RAPORU_BURAK_YENI1309[[#This Row],[ALT_KOD]])-(SUMIFS(H:H,D:D,DST_123_ÜRETİM_İHTİYAÇ_RAPORU_BURAK_YENI1309[[#This Row],[ALT_KOD]])+AVERAGEIFS(I:I,D:D,DST_123_ÜRETİM_İHTİYAÇ_RAPORU_BURAK_YENI1309[[#This Row],[ALT_KOD]])+AVERAGEIFS(L:L,D:D,DST_123_ÜRETİM_İHTİYAÇ_RAPORU_BURAK_YENI1309[[#This Row],[ALT_KOD]]))</f>
        <v>0</v>
      </c>
      <c r="L58">
        <v>11</v>
      </c>
      <c r="M58">
        <f>IF((DST_123_ÜRETİM_İHTİYAÇ_RAPORU_BURAK_YENI1309[[#This Row],[SATINALMA]]*DST_123_ÜRETİM_İHTİYAÇ_RAPORU_BURAK_YENI1309[[#This Row],[BIRIM_FIYATLAR]])&lt;1,VALUE("0"),DST_123_ÜRETİM_İHTİYAÇ_RAPORU_BURAK_YENI1309[[#This Row],[SATINALMA]]*DST_123_ÜRETİM_İHTİYAÇ_RAPORU_BURAK_YENI1309[[#This Row],[BIRIM_FIYATLAR]])</f>
        <v>0</v>
      </c>
      <c r="N58">
        <v>675</v>
      </c>
      <c r="O58" t="s">
        <v>632</v>
      </c>
      <c r="P58">
        <v>675</v>
      </c>
      <c r="Q58" t="s">
        <v>177</v>
      </c>
    </row>
    <row r="59" spans="1:17" x14ac:dyDescent="0.25">
      <c r="A59" t="s">
        <v>1142</v>
      </c>
      <c r="B59" t="s">
        <v>1056</v>
      </c>
      <c r="C59" t="s">
        <v>175</v>
      </c>
      <c r="D59" t="s">
        <v>32</v>
      </c>
      <c r="E59" t="s">
        <v>33</v>
      </c>
      <c r="F59">
        <v>1</v>
      </c>
      <c r="G59" t="s">
        <v>176</v>
      </c>
      <c r="H59">
        <v>0</v>
      </c>
      <c r="I59">
        <v>0</v>
      </c>
      <c r="J59" s="10">
        <v>16</v>
      </c>
      <c r="K59" s="10">
        <f>SUMIFS(F:F,D:D,DST_123_ÜRETİM_İHTİYAÇ_RAPORU_BURAK_YENI1309[[#This Row],[ALT_KOD]])-(SUMIFS(H:H,D:D,DST_123_ÜRETİM_İHTİYAÇ_RAPORU_BURAK_YENI1309[[#This Row],[ALT_KOD]])+AVERAGEIFS(I:I,D:D,DST_123_ÜRETİM_İHTİYAÇ_RAPORU_BURAK_YENI1309[[#This Row],[ALT_KOD]])+AVERAGEIFS(L:L,D:D,DST_123_ÜRETİM_İHTİYAÇ_RAPORU_BURAK_YENI1309[[#This Row],[ALT_KOD]]))</f>
        <v>4</v>
      </c>
      <c r="L59">
        <v>20</v>
      </c>
      <c r="M59">
        <f>IF((DST_123_ÜRETİM_İHTİYAÇ_RAPORU_BURAK_YENI1309[[#This Row],[SATINALMA]]*DST_123_ÜRETİM_İHTİYAÇ_RAPORU_BURAK_YENI1309[[#This Row],[BIRIM_FIYATLAR]])&lt;1,VALUE("0"),DST_123_ÜRETİM_İHTİYAÇ_RAPORU_BURAK_YENI1309[[#This Row],[SATINALMA]]*DST_123_ÜRETİM_İHTİYAÇ_RAPORU_BURAK_YENI1309[[#This Row],[BIRIM_FIYATLAR]])</f>
        <v>10905.68</v>
      </c>
      <c r="N59">
        <v>2726.42</v>
      </c>
      <c r="O59" t="s">
        <v>1222</v>
      </c>
      <c r="P59">
        <v>2726.42</v>
      </c>
      <c r="Q59" t="s">
        <v>184</v>
      </c>
    </row>
    <row r="60" spans="1:17" x14ac:dyDescent="0.25">
      <c r="A60" t="s">
        <v>1142</v>
      </c>
      <c r="B60" t="s">
        <v>1056</v>
      </c>
      <c r="C60" t="s">
        <v>175</v>
      </c>
      <c r="D60" t="s">
        <v>34</v>
      </c>
      <c r="E60" t="s">
        <v>35</v>
      </c>
      <c r="F60">
        <v>2</v>
      </c>
      <c r="G60" t="s">
        <v>176</v>
      </c>
      <c r="H60">
        <v>0</v>
      </c>
      <c r="I60">
        <v>17</v>
      </c>
      <c r="J60" s="10">
        <v>8</v>
      </c>
      <c r="K60" s="10">
        <f>SUMIFS(F:F,D:D,DST_123_ÜRETİM_İHTİYAÇ_RAPORU_BURAK_YENI1309[[#This Row],[ALT_KOD]])-(SUMIFS(H:H,D:D,DST_123_ÜRETİM_İHTİYAÇ_RAPORU_BURAK_YENI1309[[#This Row],[ALT_KOD]])+AVERAGEIFS(I:I,D:D,DST_123_ÜRETİM_İHTİYAÇ_RAPORU_BURAK_YENI1309[[#This Row],[ALT_KOD]])+AVERAGEIFS(L:L,D:D,DST_123_ÜRETİM_İHTİYAÇ_RAPORU_BURAK_YENI1309[[#This Row],[ALT_KOD]]))</f>
        <v>-1</v>
      </c>
      <c r="L60">
        <v>0</v>
      </c>
      <c r="M60">
        <f>IF((DST_123_ÜRETİM_İHTİYAÇ_RAPORU_BURAK_YENI1309[[#This Row],[SATINALMA]]*DST_123_ÜRETİM_İHTİYAÇ_RAPORU_BURAK_YENI1309[[#This Row],[BIRIM_FIYATLAR]])&lt;1,VALUE("0"),DST_123_ÜRETİM_İHTİYAÇ_RAPORU_BURAK_YENI1309[[#This Row],[SATINALMA]]*DST_123_ÜRETİM_İHTİYAÇ_RAPORU_BURAK_YENI1309[[#This Row],[BIRIM_FIYATLAR]])</f>
        <v>0</v>
      </c>
      <c r="N60">
        <v>33.340000000000003</v>
      </c>
      <c r="O60" t="s">
        <v>227</v>
      </c>
      <c r="P60">
        <v>66.680000000000007</v>
      </c>
      <c r="Q60" t="s">
        <v>221</v>
      </c>
    </row>
    <row r="61" spans="1:17" x14ac:dyDescent="0.25">
      <c r="A61" t="s">
        <v>1150</v>
      </c>
      <c r="B61" t="s">
        <v>1145</v>
      </c>
      <c r="C61" t="s">
        <v>175</v>
      </c>
      <c r="D61" t="s">
        <v>32</v>
      </c>
      <c r="E61" t="s">
        <v>33</v>
      </c>
      <c r="F61">
        <v>1</v>
      </c>
      <c r="G61" t="s">
        <v>176</v>
      </c>
      <c r="H61">
        <v>0</v>
      </c>
      <c r="I61">
        <v>0</v>
      </c>
      <c r="J61" s="10">
        <v>16</v>
      </c>
      <c r="K61" s="10">
        <f>SUMIFS(F:F,D:D,DST_123_ÜRETİM_İHTİYAÇ_RAPORU_BURAK_YENI1309[[#This Row],[ALT_KOD]])-(SUMIFS(H:H,D:D,DST_123_ÜRETİM_İHTİYAÇ_RAPORU_BURAK_YENI1309[[#This Row],[ALT_KOD]])+AVERAGEIFS(I:I,D:D,DST_123_ÜRETİM_İHTİYAÇ_RAPORU_BURAK_YENI1309[[#This Row],[ALT_KOD]])+AVERAGEIFS(L:L,D:D,DST_123_ÜRETİM_İHTİYAÇ_RAPORU_BURAK_YENI1309[[#This Row],[ALT_KOD]]))</f>
        <v>4</v>
      </c>
      <c r="L61">
        <v>20</v>
      </c>
      <c r="M61">
        <f>IF((DST_123_ÜRETİM_İHTİYAÇ_RAPORU_BURAK_YENI1309[[#This Row],[SATINALMA]]*DST_123_ÜRETİM_İHTİYAÇ_RAPORU_BURAK_YENI1309[[#This Row],[BIRIM_FIYATLAR]])&lt;1,VALUE("0"),DST_123_ÜRETİM_İHTİYAÇ_RAPORU_BURAK_YENI1309[[#This Row],[SATINALMA]]*DST_123_ÜRETİM_İHTİYAÇ_RAPORU_BURAK_YENI1309[[#This Row],[BIRIM_FIYATLAR]])</f>
        <v>10905.68</v>
      </c>
      <c r="N61">
        <v>2726.42</v>
      </c>
      <c r="O61" t="s">
        <v>1222</v>
      </c>
      <c r="P61">
        <v>2726.42</v>
      </c>
      <c r="Q61" t="s">
        <v>184</v>
      </c>
    </row>
    <row r="62" spans="1:17" x14ac:dyDescent="0.25">
      <c r="A62" t="s">
        <v>1150</v>
      </c>
      <c r="B62" t="s">
        <v>1145</v>
      </c>
      <c r="C62" t="s">
        <v>175</v>
      </c>
      <c r="D62" t="s">
        <v>34</v>
      </c>
      <c r="E62" t="s">
        <v>35</v>
      </c>
      <c r="F62">
        <v>1</v>
      </c>
      <c r="G62" t="s">
        <v>176</v>
      </c>
      <c r="H62">
        <v>0</v>
      </c>
      <c r="I62">
        <v>17</v>
      </c>
      <c r="J62" s="10">
        <v>8</v>
      </c>
      <c r="K62" s="10">
        <f>SUMIFS(F:F,D:D,DST_123_ÜRETİM_İHTİYAÇ_RAPORU_BURAK_YENI1309[[#This Row],[ALT_KOD]])-(SUMIFS(H:H,D:D,DST_123_ÜRETİM_İHTİYAÇ_RAPORU_BURAK_YENI1309[[#This Row],[ALT_KOD]])+AVERAGEIFS(I:I,D:D,DST_123_ÜRETİM_İHTİYAÇ_RAPORU_BURAK_YENI1309[[#This Row],[ALT_KOD]])+AVERAGEIFS(L:L,D:D,DST_123_ÜRETİM_İHTİYAÇ_RAPORU_BURAK_YENI1309[[#This Row],[ALT_KOD]]))</f>
        <v>-1</v>
      </c>
      <c r="L62">
        <v>0</v>
      </c>
      <c r="M62">
        <f>IF((DST_123_ÜRETİM_İHTİYAÇ_RAPORU_BURAK_YENI1309[[#This Row],[SATINALMA]]*DST_123_ÜRETİM_İHTİYAÇ_RAPORU_BURAK_YENI1309[[#This Row],[BIRIM_FIYATLAR]])&lt;1,VALUE("0"),DST_123_ÜRETİM_İHTİYAÇ_RAPORU_BURAK_YENI1309[[#This Row],[SATINALMA]]*DST_123_ÜRETİM_İHTİYAÇ_RAPORU_BURAK_YENI1309[[#This Row],[BIRIM_FIYATLAR]])</f>
        <v>0</v>
      </c>
      <c r="N62">
        <v>33.340000000000003</v>
      </c>
      <c r="O62" t="s">
        <v>227</v>
      </c>
      <c r="P62">
        <v>33.340000000000003</v>
      </c>
      <c r="Q62" t="s">
        <v>221</v>
      </c>
    </row>
    <row r="63" spans="1:17" x14ac:dyDescent="0.25">
      <c r="A63" t="s">
        <v>1149</v>
      </c>
      <c r="B63" t="s">
        <v>1145</v>
      </c>
      <c r="C63" t="s">
        <v>175</v>
      </c>
      <c r="D63" t="s">
        <v>396</v>
      </c>
      <c r="E63" t="s">
        <v>397</v>
      </c>
      <c r="F63">
        <v>31</v>
      </c>
      <c r="G63" t="s">
        <v>176</v>
      </c>
      <c r="H63">
        <v>0</v>
      </c>
      <c r="I63">
        <v>2000</v>
      </c>
      <c r="J63" s="10">
        <v>7604</v>
      </c>
      <c r="K63" s="10">
        <f>SUMIFS(F:F,D:D,DST_123_ÜRETİM_İHTİYAÇ_RAPORU_BURAK_YENI1309[[#This Row],[ALT_KOD]])-(SUMIFS(H:H,D:D,DST_123_ÜRETİM_İHTİYAÇ_RAPORU_BURAK_YENI1309[[#This Row],[ALT_KOD]])+AVERAGEIFS(I:I,D:D,DST_123_ÜRETİM_İHTİYAÇ_RAPORU_BURAK_YENI1309[[#This Row],[ALT_KOD]])+AVERAGEIFS(L:L,D:D,DST_123_ÜRETİM_İHTİYAÇ_RAPORU_BURAK_YENI1309[[#This Row],[ALT_KOD]]))</f>
        <v>-1531</v>
      </c>
      <c r="L63">
        <v>0</v>
      </c>
      <c r="M63">
        <f>IF((DST_123_ÜRETİM_İHTİYAÇ_RAPORU_BURAK_YENI1309[[#This Row],[SATINALMA]]*DST_123_ÜRETİM_İHTİYAÇ_RAPORU_BURAK_YENI1309[[#This Row],[BIRIM_FIYATLAR]])&lt;1,VALUE("0"),DST_123_ÜRETİM_İHTİYAÇ_RAPORU_BURAK_YENI1309[[#This Row],[SATINALMA]]*DST_123_ÜRETİM_İHTİYAÇ_RAPORU_BURAK_YENI1309[[#This Row],[BIRIM_FIYATLAR]])</f>
        <v>0</v>
      </c>
      <c r="N63">
        <v>0.3</v>
      </c>
      <c r="O63" t="s">
        <v>240</v>
      </c>
      <c r="P63">
        <v>9.2999999999999989</v>
      </c>
      <c r="Q63" t="s">
        <v>180</v>
      </c>
    </row>
    <row r="64" spans="1:17" x14ac:dyDescent="0.25">
      <c r="A64" t="s">
        <v>1142</v>
      </c>
      <c r="B64" t="s">
        <v>1056</v>
      </c>
      <c r="C64" t="s">
        <v>175</v>
      </c>
      <c r="D64" t="s">
        <v>396</v>
      </c>
      <c r="E64" t="s">
        <v>397</v>
      </c>
      <c r="F64">
        <v>31</v>
      </c>
      <c r="G64" t="s">
        <v>176</v>
      </c>
      <c r="H64">
        <v>0</v>
      </c>
      <c r="I64">
        <v>2000</v>
      </c>
      <c r="J64" s="10">
        <v>7604</v>
      </c>
      <c r="K64" s="10">
        <f>SUMIFS(F:F,D:D,DST_123_ÜRETİM_İHTİYAÇ_RAPORU_BURAK_YENI1309[[#This Row],[ALT_KOD]])-(SUMIFS(H:H,D:D,DST_123_ÜRETİM_İHTİYAÇ_RAPORU_BURAK_YENI1309[[#This Row],[ALT_KOD]])+AVERAGEIFS(I:I,D:D,DST_123_ÜRETİM_İHTİYAÇ_RAPORU_BURAK_YENI1309[[#This Row],[ALT_KOD]])+AVERAGEIFS(L:L,D:D,DST_123_ÜRETİM_İHTİYAÇ_RAPORU_BURAK_YENI1309[[#This Row],[ALT_KOD]]))</f>
        <v>-1531</v>
      </c>
      <c r="L64">
        <v>0</v>
      </c>
      <c r="M64">
        <f>IF((DST_123_ÜRETİM_İHTİYAÇ_RAPORU_BURAK_YENI1309[[#This Row],[SATINALMA]]*DST_123_ÜRETİM_İHTİYAÇ_RAPORU_BURAK_YENI1309[[#This Row],[BIRIM_FIYATLAR]])&lt;1,VALUE("0"),DST_123_ÜRETİM_İHTİYAÇ_RAPORU_BURAK_YENI1309[[#This Row],[SATINALMA]]*DST_123_ÜRETİM_İHTİYAÇ_RAPORU_BURAK_YENI1309[[#This Row],[BIRIM_FIYATLAR]])</f>
        <v>0</v>
      </c>
      <c r="N64">
        <v>0.3</v>
      </c>
      <c r="O64" t="s">
        <v>240</v>
      </c>
      <c r="P64">
        <v>9.2999999999999989</v>
      </c>
      <c r="Q64" t="s">
        <v>180</v>
      </c>
    </row>
    <row r="65" spans="1:17" x14ac:dyDescent="0.25">
      <c r="A65" t="s">
        <v>1097</v>
      </c>
      <c r="B65" t="s">
        <v>1055</v>
      </c>
      <c r="C65" t="s">
        <v>175</v>
      </c>
      <c r="D65" t="s">
        <v>396</v>
      </c>
      <c r="E65" t="s">
        <v>397</v>
      </c>
      <c r="F65">
        <v>10</v>
      </c>
      <c r="G65" t="s">
        <v>176</v>
      </c>
      <c r="H65">
        <v>0</v>
      </c>
      <c r="I65">
        <v>2000</v>
      </c>
      <c r="J65" s="10">
        <v>7604</v>
      </c>
      <c r="K65" s="10">
        <f>SUMIFS(F:F,D:D,DST_123_ÜRETİM_İHTİYAÇ_RAPORU_BURAK_YENI1309[[#This Row],[ALT_KOD]])-(SUMIFS(H:H,D:D,DST_123_ÜRETİM_İHTİYAÇ_RAPORU_BURAK_YENI1309[[#This Row],[ALT_KOD]])+AVERAGEIFS(I:I,D:D,DST_123_ÜRETİM_İHTİYAÇ_RAPORU_BURAK_YENI1309[[#This Row],[ALT_KOD]])+AVERAGEIFS(L:L,D:D,DST_123_ÜRETİM_İHTİYAÇ_RAPORU_BURAK_YENI1309[[#This Row],[ALT_KOD]]))</f>
        <v>-1531</v>
      </c>
      <c r="L65">
        <v>0</v>
      </c>
      <c r="M65">
        <f>IF((DST_123_ÜRETİM_İHTİYAÇ_RAPORU_BURAK_YENI1309[[#This Row],[SATINALMA]]*DST_123_ÜRETİM_İHTİYAÇ_RAPORU_BURAK_YENI1309[[#This Row],[BIRIM_FIYATLAR]])&lt;1,VALUE("0"),DST_123_ÜRETİM_İHTİYAÇ_RAPORU_BURAK_YENI1309[[#This Row],[SATINALMA]]*DST_123_ÜRETİM_İHTİYAÇ_RAPORU_BURAK_YENI1309[[#This Row],[BIRIM_FIYATLAR]])</f>
        <v>0</v>
      </c>
      <c r="N65">
        <v>0.3</v>
      </c>
      <c r="O65" t="s">
        <v>240</v>
      </c>
      <c r="P65">
        <v>3</v>
      </c>
      <c r="Q65" t="s">
        <v>180</v>
      </c>
    </row>
    <row r="66" spans="1:17" x14ac:dyDescent="0.25">
      <c r="A66" t="s">
        <v>1143</v>
      </c>
      <c r="B66" t="s">
        <v>1056</v>
      </c>
      <c r="C66" t="s">
        <v>175</v>
      </c>
      <c r="D66" t="s">
        <v>909</v>
      </c>
      <c r="E66" t="s">
        <v>910</v>
      </c>
      <c r="F66">
        <v>6</v>
      </c>
      <c r="G66" t="s">
        <v>176</v>
      </c>
      <c r="H66">
        <v>0</v>
      </c>
      <c r="I66">
        <v>0</v>
      </c>
      <c r="J66" s="10">
        <v>106</v>
      </c>
      <c r="K66" s="10">
        <f>SUMIFS(F:F,D:D,DST_123_ÜRETİM_İHTİYAÇ_RAPORU_BURAK_YENI1309[[#This Row],[ALT_KOD]])-(SUMIFS(H:H,D:D,DST_123_ÜRETİM_İHTİYAÇ_RAPORU_BURAK_YENI1309[[#This Row],[ALT_KOD]])+AVERAGEIFS(I:I,D:D,DST_123_ÜRETİM_İHTİYAÇ_RAPORU_BURAK_YENI1309[[#This Row],[ALT_KOD]])+AVERAGEIFS(L:L,D:D,DST_123_ÜRETİM_İHTİYAÇ_RAPORU_BURAK_YENI1309[[#This Row],[ALT_KOD]]))</f>
        <v>6</v>
      </c>
      <c r="L66">
        <v>0</v>
      </c>
      <c r="M66">
        <f>IF((DST_123_ÜRETİM_İHTİYAÇ_RAPORU_BURAK_YENI1309[[#This Row],[SATINALMA]]*DST_123_ÜRETİM_İHTİYAÇ_RAPORU_BURAK_YENI1309[[#This Row],[BIRIM_FIYATLAR]])&lt;1,VALUE("0"),DST_123_ÜRETİM_İHTİYAÇ_RAPORU_BURAK_YENI1309[[#This Row],[SATINALMA]]*DST_123_ÜRETİM_İHTİYAÇ_RAPORU_BURAK_YENI1309[[#This Row],[BIRIM_FIYATLAR]])</f>
        <v>1.7399999999999998</v>
      </c>
      <c r="N66">
        <v>0.28999999999999998</v>
      </c>
      <c r="P66">
        <v>1.7399999999999998</v>
      </c>
      <c r="Q66" t="s">
        <v>180</v>
      </c>
    </row>
    <row r="67" spans="1:17" x14ac:dyDescent="0.25">
      <c r="A67" t="s">
        <v>1149</v>
      </c>
      <c r="B67" t="s">
        <v>1145</v>
      </c>
      <c r="C67" t="s">
        <v>175</v>
      </c>
      <c r="D67" t="s">
        <v>34</v>
      </c>
      <c r="E67" t="s">
        <v>35</v>
      </c>
      <c r="F67">
        <v>1</v>
      </c>
      <c r="G67" t="s">
        <v>176</v>
      </c>
      <c r="H67">
        <v>0</v>
      </c>
      <c r="I67">
        <v>17</v>
      </c>
      <c r="J67" s="10">
        <v>8</v>
      </c>
      <c r="K67" s="10">
        <f>SUMIFS(F:F,D:D,DST_123_ÜRETİM_İHTİYAÇ_RAPORU_BURAK_YENI1309[[#This Row],[ALT_KOD]])-(SUMIFS(H:H,D:D,DST_123_ÜRETİM_İHTİYAÇ_RAPORU_BURAK_YENI1309[[#This Row],[ALT_KOD]])+AVERAGEIFS(I:I,D:D,DST_123_ÜRETİM_İHTİYAÇ_RAPORU_BURAK_YENI1309[[#This Row],[ALT_KOD]])+AVERAGEIFS(L:L,D:D,DST_123_ÜRETİM_İHTİYAÇ_RAPORU_BURAK_YENI1309[[#This Row],[ALT_KOD]]))</f>
        <v>-1</v>
      </c>
      <c r="L67">
        <v>0</v>
      </c>
      <c r="M67">
        <f>IF((DST_123_ÜRETİM_İHTİYAÇ_RAPORU_BURAK_YENI1309[[#This Row],[SATINALMA]]*DST_123_ÜRETİM_İHTİYAÇ_RAPORU_BURAK_YENI1309[[#This Row],[BIRIM_FIYATLAR]])&lt;1,VALUE("0"),DST_123_ÜRETİM_İHTİYAÇ_RAPORU_BURAK_YENI1309[[#This Row],[SATINALMA]]*DST_123_ÜRETİM_İHTİYAÇ_RAPORU_BURAK_YENI1309[[#This Row],[BIRIM_FIYATLAR]])</f>
        <v>0</v>
      </c>
      <c r="N67">
        <v>33.340000000000003</v>
      </c>
      <c r="O67" t="s">
        <v>227</v>
      </c>
      <c r="P67">
        <v>33.340000000000003</v>
      </c>
      <c r="Q67" t="s">
        <v>221</v>
      </c>
    </row>
    <row r="68" spans="1:17" x14ac:dyDescent="0.25">
      <c r="A68" t="s">
        <v>1144</v>
      </c>
      <c r="B68" t="s">
        <v>1145</v>
      </c>
      <c r="C68" t="s">
        <v>175</v>
      </c>
      <c r="D68" t="s">
        <v>396</v>
      </c>
      <c r="E68" t="s">
        <v>397</v>
      </c>
      <c r="F68">
        <v>31</v>
      </c>
      <c r="G68" t="s">
        <v>176</v>
      </c>
      <c r="H68">
        <v>0</v>
      </c>
      <c r="I68">
        <v>2000</v>
      </c>
      <c r="J68" s="10">
        <v>7604</v>
      </c>
      <c r="K68" s="10">
        <f>SUMIFS(F:F,D:D,DST_123_ÜRETİM_İHTİYAÇ_RAPORU_BURAK_YENI1309[[#This Row],[ALT_KOD]])-(SUMIFS(H:H,D:D,DST_123_ÜRETİM_İHTİYAÇ_RAPORU_BURAK_YENI1309[[#This Row],[ALT_KOD]])+AVERAGEIFS(I:I,D:D,DST_123_ÜRETİM_İHTİYAÇ_RAPORU_BURAK_YENI1309[[#This Row],[ALT_KOD]])+AVERAGEIFS(L:L,D:D,DST_123_ÜRETİM_İHTİYAÇ_RAPORU_BURAK_YENI1309[[#This Row],[ALT_KOD]]))</f>
        <v>-1531</v>
      </c>
      <c r="L68">
        <v>0</v>
      </c>
      <c r="M68">
        <f>IF((DST_123_ÜRETİM_İHTİYAÇ_RAPORU_BURAK_YENI1309[[#This Row],[SATINALMA]]*DST_123_ÜRETİM_İHTİYAÇ_RAPORU_BURAK_YENI1309[[#This Row],[BIRIM_FIYATLAR]])&lt;1,VALUE("0"),DST_123_ÜRETİM_İHTİYAÇ_RAPORU_BURAK_YENI1309[[#This Row],[SATINALMA]]*DST_123_ÜRETİM_İHTİYAÇ_RAPORU_BURAK_YENI1309[[#This Row],[BIRIM_FIYATLAR]])</f>
        <v>0</v>
      </c>
      <c r="N68">
        <v>0.3</v>
      </c>
      <c r="O68" t="s">
        <v>240</v>
      </c>
      <c r="P68">
        <v>9.2999999999999989</v>
      </c>
      <c r="Q68" t="s">
        <v>180</v>
      </c>
    </row>
    <row r="69" spans="1:17" x14ac:dyDescent="0.25">
      <c r="A69" t="s">
        <v>1146</v>
      </c>
      <c r="B69" t="s">
        <v>1145</v>
      </c>
      <c r="C69" t="s">
        <v>175</v>
      </c>
      <c r="D69" t="s">
        <v>396</v>
      </c>
      <c r="E69" t="s">
        <v>397</v>
      </c>
      <c r="F69">
        <v>31</v>
      </c>
      <c r="G69" t="s">
        <v>176</v>
      </c>
      <c r="H69">
        <v>0</v>
      </c>
      <c r="I69">
        <v>2000</v>
      </c>
      <c r="J69" s="10">
        <v>7604</v>
      </c>
      <c r="K69" s="10">
        <f>SUMIFS(F:F,D:D,DST_123_ÜRETİM_İHTİYAÇ_RAPORU_BURAK_YENI1309[[#This Row],[ALT_KOD]])-(SUMIFS(H:H,D:D,DST_123_ÜRETİM_İHTİYAÇ_RAPORU_BURAK_YENI1309[[#This Row],[ALT_KOD]])+AVERAGEIFS(I:I,D:D,DST_123_ÜRETİM_İHTİYAÇ_RAPORU_BURAK_YENI1309[[#This Row],[ALT_KOD]])+AVERAGEIFS(L:L,D:D,DST_123_ÜRETİM_İHTİYAÇ_RAPORU_BURAK_YENI1309[[#This Row],[ALT_KOD]]))</f>
        <v>-1531</v>
      </c>
      <c r="L69">
        <v>0</v>
      </c>
      <c r="M69">
        <f>IF((DST_123_ÜRETİM_İHTİYAÇ_RAPORU_BURAK_YENI1309[[#This Row],[SATINALMA]]*DST_123_ÜRETİM_İHTİYAÇ_RAPORU_BURAK_YENI1309[[#This Row],[BIRIM_FIYATLAR]])&lt;1,VALUE("0"),DST_123_ÜRETİM_İHTİYAÇ_RAPORU_BURAK_YENI1309[[#This Row],[SATINALMA]]*DST_123_ÜRETİM_İHTİYAÇ_RAPORU_BURAK_YENI1309[[#This Row],[BIRIM_FIYATLAR]])</f>
        <v>0</v>
      </c>
      <c r="N69">
        <v>0.3</v>
      </c>
      <c r="O69" t="s">
        <v>240</v>
      </c>
      <c r="P69">
        <v>9.2999999999999989</v>
      </c>
      <c r="Q69" t="s">
        <v>180</v>
      </c>
    </row>
    <row r="70" spans="1:17" x14ac:dyDescent="0.25">
      <c r="A70" t="s">
        <v>1098</v>
      </c>
      <c r="B70" t="s">
        <v>1096</v>
      </c>
      <c r="C70" t="s">
        <v>175</v>
      </c>
      <c r="D70" t="s">
        <v>32</v>
      </c>
      <c r="E70" t="s">
        <v>33</v>
      </c>
      <c r="F70">
        <v>1</v>
      </c>
      <c r="G70" t="s">
        <v>176</v>
      </c>
      <c r="H70">
        <v>0</v>
      </c>
      <c r="I70">
        <v>0</v>
      </c>
      <c r="J70" s="10">
        <v>16</v>
      </c>
      <c r="K70" s="10">
        <f>SUMIFS(F:F,D:D,DST_123_ÜRETİM_İHTİYAÇ_RAPORU_BURAK_YENI1309[[#This Row],[ALT_KOD]])-(SUMIFS(H:H,D:D,DST_123_ÜRETİM_İHTİYAÇ_RAPORU_BURAK_YENI1309[[#This Row],[ALT_KOD]])+AVERAGEIFS(I:I,D:D,DST_123_ÜRETİM_İHTİYAÇ_RAPORU_BURAK_YENI1309[[#This Row],[ALT_KOD]])+AVERAGEIFS(L:L,D:D,DST_123_ÜRETİM_İHTİYAÇ_RAPORU_BURAK_YENI1309[[#This Row],[ALT_KOD]]))</f>
        <v>4</v>
      </c>
      <c r="L70">
        <v>20</v>
      </c>
      <c r="M70">
        <f>IF((DST_123_ÜRETİM_İHTİYAÇ_RAPORU_BURAK_YENI1309[[#This Row],[SATINALMA]]*DST_123_ÜRETİM_İHTİYAÇ_RAPORU_BURAK_YENI1309[[#This Row],[BIRIM_FIYATLAR]])&lt;1,VALUE("0"),DST_123_ÜRETİM_İHTİYAÇ_RAPORU_BURAK_YENI1309[[#This Row],[SATINALMA]]*DST_123_ÜRETİM_İHTİYAÇ_RAPORU_BURAK_YENI1309[[#This Row],[BIRIM_FIYATLAR]])</f>
        <v>10905.68</v>
      </c>
      <c r="N70">
        <v>2726.42</v>
      </c>
      <c r="O70" t="s">
        <v>1222</v>
      </c>
      <c r="P70">
        <v>2726.42</v>
      </c>
      <c r="Q70" t="s">
        <v>184</v>
      </c>
    </row>
    <row r="71" spans="1:17" x14ac:dyDescent="0.25">
      <c r="A71" t="s">
        <v>1095</v>
      </c>
      <c r="B71" t="s">
        <v>1096</v>
      </c>
      <c r="C71" t="s">
        <v>175</v>
      </c>
      <c r="D71" t="s">
        <v>32</v>
      </c>
      <c r="E71" t="s">
        <v>33</v>
      </c>
      <c r="F71">
        <v>1</v>
      </c>
      <c r="G71" t="s">
        <v>176</v>
      </c>
      <c r="H71">
        <v>0</v>
      </c>
      <c r="I71">
        <v>0</v>
      </c>
      <c r="J71" s="10">
        <v>16</v>
      </c>
      <c r="K71" s="10">
        <f>SUMIFS(F:F,D:D,DST_123_ÜRETİM_İHTİYAÇ_RAPORU_BURAK_YENI1309[[#This Row],[ALT_KOD]])-(SUMIFS(H:H,D:D,DST_123_ÜRETİM_İHTİYAÇ_RAPORU_BURAK_YENI1309[[#This Row],[ALT_KOD]])+AVERAGEIFS(I:I,D:D,DST_123_ÜRETİM_İHTİYAÇ_RAPORU_BURAK_YENI1309[[#This Row],[ALT_KOD]])+AVERAGEIFS(L:L,D:D,DST_123_ÜRETİM_İHTİYAÇ_RAPORU_BURAK_YENI1309[[#This Row],[ALT_KOD]]))</f>
        <v>4</v>
      </c>
      <c r="L71">
        <v>20</v>
      </c>
      <c r="M71">
        <f>IF((DST_123_ÜRETİM_İHTİYAÇ_RAPORU_BURAK_YENI1309[[#This Row],[SATINALMA]]*DST_123_ÜRETİM_İHTİYAÇ_RAPORU_BURAK_YENI1309[[#This Row],[BIRIM_FIYATLAR]])&lt;1,VALUE("0"),DST_123_ÜRETİM_İHTİYAÇ_RAPORU_BURAK_YENI1309[[#This Row],[SATINALMA]]*DST_123_ÜRETİM_İHTİYAÇ_RAPORU_BURAK_YENI1309[[#This Row],[BIRIM_FIYATLAR]])</f>
        <v>10905.68</v>
      </c>
      <c r="N71">
        <v>2726.42</v>
      </c>
      <c r="O71" t="s">
        <v>1222</v>
      </c>
      <c r="P71">
        <v>2726.42</v>
      </c>
      <c r="Q71" t="s">
        <v>184</v>
      </c>
    </row>
    <row r="72" spans="1:17" x14ac:dyDescent="0.25">
      <c r="A72" t="s">
        <v>1059</v>
      </c>
      <c r="B72" t="s">
        <v>1058</v>
      </c>
      <c r="C72" t="s">
        <v>175</v>
      </c>
      <c r="D72" t="s">
        <v>32</v>
      </c>
      <c r="E72" t="s">
        <v>33</v>
      </c>
      <c r="F72">
        <v>1</v>
      </c>
      <c r="G72" t="s">
        <v>176</v>
      </c>
      <c r="H72">
        <v>0</v>
      </c>
      <c r="I72">
        <v>0</v>
      </c>
      <c r="J72" s="10">
        <v>16</v>
      </c>
      <c r="K72" s="10">
        <f>SUMIFS(F:F,D:D,DST_123_ÜRETİM_İHTİYAÇ_RAPORU_BURAK_YENI1309[[#This Row],[ALT_KOD]])-(SUMIFS(H:H,D:D,DST_123_ÜRETİM_İHTİYAÇ_RAPORU_BURAK_YENI1309[[#This Row],[ALT_KOD]])+AVERAGEIFS(I:I,D:D,DST_123_ÜRETİM_İHTİYAÇ_RAPORU_BURAK_YENI1309[[#This Row],[ALT_KOD]])+AVERAGEIFS(L:L,D:D,DST_123_ÜRETİM_İHTİYAÇ_RAPORU_BURAK_YENI1309[[#This Row],[ALT_KOD]]))</f>
        <v>4</v>
      </c>
      <c r="L72">
        <v>20</v>
      </c>
      <c r="M72">
        <f>IF((DST_123_ÜRETİM_İHTİYAÇ_RAPORU_BURAK_YENI1309[[#This Row],[SATINALMA]]*DST_123_ÜRETİM_İHTİYAÇ_RAPORU_BURAK_YENI1309[[#This Row],[BIRIM_FIYATLAR]])&lt;1,VALUE("0"),DST_123_ÜRETİM_İHTİYAÇ_RAPORU_BURAK_YENI1309[[#This Row],[SATINALMA]]*DST_123_ÜRETİM_İHTİYAÇ_RAPORU_BURAK_YENI1309[[#This Row],[BIRIM_FIYATLAR]])</f>
        <v>10905.68</v>
      </c>
      <c r="N72">
        <v>2726.42</v>
      </c>
      <c r="O72" t="s">
        <v>1222</v>
      </c>
      <c r="P72">
        <v>2726.42</v>
      </c>
      <c r="Q72" t="s">
        <v>184</v>
      </c>
    </row>
    <row r="73" spans="1:17" x14ac:dyDescent="0.25">
      <c r="A73" t="s">
        <v>1097</v>
      </c>
      <c r="B73" t="s">
        <v>1055</v>
      </c>
      <c r="C73" t="s">
        <v>175</v>
      </c>
      <c r="D73" t="s">
        <v>32</v>
      </c>
      <c r="E73" t="s">
        <v>33</v>
      </c>
      <c r="F73">
        <v>2.5</v>
      </c>
      <c r="G73" t="s">
        <v>176</v>
      </c>
      <c r="H73">
        <v>0</v>
      </c>
      <c r="I73">
        <v>0</v>
      </c>
      <c r="J73" s="10">
        <v>16</v>
      </c>
      <c r="K73" s="10">
        <f>SUMIFS(F:F,D:D,DST_123_ÜRETİM_İHTİYAÇ_RAPORU_BURAK_YENI1309[[#This Row],[ALT_KOD]])-(SUMIFS(H:H,D:D,DST_123_ÜRETİM_İHTİYAÇ_RAPORU_BURAK_YENI1309[[#This Row],[ALT_KOD]])+AVERAGEIFS(I:I,D:D,DST_123_ÜRETİM_İHTİYAÇ_RAPORU_BURAK_YENI1309[[#This Row],[ALT_KOD]])+AVERAGEIFS(L:L,D:D,DST_123_ÜRETİM_İHTİYAÇ_RAPORU_BURAK_YENI1309[[#This Row],[ALT_KOD]]))</f>
        <v>4</v>
      </c>
      <c r="L73">
        <v>20</v>
      </c>
      <c r="M73">
        <f>IF((DST_123_ÜRETİM_İHTİYAÇ_RAPORU_BURAK_YENI1309[[#This Row],[SATINALMA]]*DST_123_ÜRETİM_İHTİYAÇ_RAPORU_BURAK_YENI1309[[#This Row],[BIRIM_FIYATLAR]])&lt;1,VALUE("0"),DST_123_ÜRETİM_İHTİYAÇ_RAPORU_BURAK_YENI1309[[#This Row],[SATINALMA]]*DST_123_ÜRETİM_İHTİYAÇ_RAPORU_BURAK_YENI1309[[#This Row],[BIRIM_FIYATLAR]])</f>
        <v>10905.68</v>
      </c>
      <c r="N73">
        <v>2726.42</v>
      </c>
      <c r="O73" t="s">
        <v>1222</v>
      </c>
      <c r="P73">
        <v>6816.05</v>
      </c>
      <c r="Q73" t="s">
        <v>184</v>
      </c>
    </row>
    <row r="74" spans="1:17" x14ac:dyDescent="0.25">
      <c r="A74" t="s">
        <v>1143</v>
      </c>
      <c r="B74" t="s">
        <v>1056</v>
      </c>
      <c r="C74" t="s">
        <v>175</v>
      </c>
      <c r="D74" t="s">
        <v>32</v>
      </c>
      <c r="E74" t="s">
        <v>33</v>
      </c>
      <c r="F74">
        <v>2</v>
      </c>
      <c r="G74" t="s">
        <v>176</v>
      </c>
      <c r="H74">
        <v>0</v>
      </c>
      <c r="I74">
        <v>0</v>
      </c>
      <c r="J74" s="10">
        <v>16</v>
      </c>
      <c r="K74" s="10">
        <f>SUMIFS(F:F,D:D,DST_123_ÜRETİM_İHTİYAÇ_RAPORU_BURAK_YENI1309[[#This Row],[ALT_KOD]])-(SUMIFS(H:H,D:D,DST_123_ÜRETİM_İHTİYAÇ_RAPORU_BURAK_YENI1309[[#This Row],[ALT_KOD]])+AVERAGEIFS(I:I,D:D,DST_123_ÜRETİM_İHTİYAÇ_RAPORU_BURAK_YENI1309[[#This Row],[ALT_KOD]])+AVERAGEIFS(L:L,D:D,DST_123_ÜRETİM_İHTİYAÇ_RAPORU_BURAK_YENI1309[[#This Row],[ALT_KOD]]))</f>
        <v>4</v>
      </c>
      <c r="L74">
        <v>20</v>
      </c>
      <c r="M74">
        <f>IF((DST_123_ÜRETİM_İHTİYAÇ_RAPORU_BURAK_YENI1309[[#This Row],[SATINALMA]]*DST_123_ÜRETİM_İHTİYAÇ_RAPORU_BURAK_YENI1309[[#This Row],[BIRIM_FIYATLAR]])&lt;1,VALUE("0"),DST_123_ÜRETİM_İHTİYAÇ_RAPORU_BURAK_YENI1309[[#This Row],[SATINALMA]]*DST_123_ÜRETİM_İHTİYAÇ_RAPORU_BURAK_YENI1309[[#This Row],[BIRIM_FIYATLAR]])</f>
        <v>10905.68</v>
      </c>
      <c r="N74">
        <v>2726.42</v>
      </c>
      <c r="O74" t="s">
        <v>1222</v>
      </c>
      <c r="P74">
        <v>5452.84</v>
      </c>
      <c r="Q74" t="s">
        <v>184</v>
      </c>
    </row>
    <row r="75" spans="1:17" x14ac:dyDescent="0.25">
      <c r="A75" t="s">
        <v>1143</v>
      </c>
      <c r="B75" t="s">
        <v>1056</v>
      </c>
      <c r="C75" t="s">
        <v>175</v>
      </c>
      <c r="D75" t="s">
        <v>34</v>
      </c>
      <c r="E75" t="s">
        <v>35</v>
      </c>
      <c r="F75">
        <v>2</v>
      </c>
      <c r="G75" t="s">
        <v>176</v>
      </c>
      <c r="H75">
        <v>0</v>
      </c>
      <c r="I75">
        <v>17</v>
      </c>
      <c r="J75" s="10">
        <v>8</v>
      </c>
      <c r="K75" s="10">
        <f>SUMIFS(F:F,D:D,DST_123_ÜRETİM_İHTİYAÇ_RAPORU_BURAK_YENI1309[[#This Row],[ALT_KOD]])-(SUMIFS(H:H,D:D,DST_123_ÜRETİM_İHTİYAÇ_RAPORU_BURAK_YENI1309[[#This Row],[ALT_KOD]])+AVERAGEIFS(I:I,D:D,DST_123_ÜRETİM_İHTİYAÇ_RAPORU_BURAK_YENI1309[[#This Row],[ALT_KOD]])+AVERAGEIFS(L:L,D:D,DST_123_ÜRETİM_İHTİYAÇ_RAPORU_BURAK_YENI1309[[#This Row],[ALT_KOD]]))</f>
        <v>-1</v>
      </c>
      <c r="L75">
        <v>0</v>
      </c>
      <c r="M75">
        <f>IF((DST_123_ÜRETİM_İHTİYAÇ_RAPORU_BURAK_YENI1309[[#This Row],[SATINALMA]]*DST_123_ÜRETİM_İHTİYAÇ_RAPORU_BURAK_YENI1309[[#This Row],[BIRIM_FIYATLAR]])&lt;1,VALUE("0"),DST_123_ÜRETİM_İHTİYAÇ_RAPORU_BURAK_YENI1309[[#This Row],[SATINALMA]]*DST_123_ÜRETİM_İHTİYAÇ_RAPORU_BURAK_YENI1309[[#This Row],[BIRIM_FIYATLAR]])</f>
        <v>0</v>
      </c>
      <c r="N75">
        <v>33.340000000000003</v>
      </c>
      <c r="O75" t="s">
        <v>227</v>
      </c>
      <c r="P75">
        <v>66.680000000000007</v>
      </c>
      <c r="Q75" t="s">
        <v>221</v>
      </c>
    </row>
    <row r="76" spans="1:17" x14ac:dyDescent="0.25">
      <c r="A76" t="s">
        <v>1143</v>
      </c>
      <c r="B76" t="s">
        <v>1056</v>
      </c>
      <c r="C76" t="s">
        <v>175</v>
      </c>
      <c r="D76" t="s">
        <v>911</v>
      </c>
      <c r="E76" t="s">
        <v>912</v>
      </c>
      <c r="F76">
        <v>16</v>
      </c>
      <c r="G76" t="s">
        <v>176</v>
      </c>
      <c r="H76">
        <v>0</v>
      </c>
      <c r="I76">
        <v>1000</v>
      </c>
      <c r="J76" s="10">
        <v>0</v>
      </c>
      <c r="K76" s="10">
        <f>SUMIFS(F:F,D:D,DST_123_ÜRETİM_İHTİYAÇ_RAPORU_BURAK_YENI1309[[#This Row],[ALT_KOD]])-(SUMIFS(H:H,D:D,DST_123_ÜRETİM_İHTİYAÇ_RAPORU_BURAK_YENI1309[[#This Row],[ALT_KOD]])+AVERAGEIFS(I:I,D:D,DST_123_ÜRETİM_İHTİYAÇ_RAPORU_BURAK_YENI1309[[#This Row],[ALT_KOD]])+AVERAGEIFS(L:L,D:D,DST_123_ÜRETİM_İHTİYAÇ_RAPORU_BURAK_YENI1309[[#This Row],[ALT_KOD]]))</f>
        <v>-936</v>
      </c>
      <c r="L76">
        <v>0</v>
      </c>
      <c r="M76">
        <f>IF((DST_123_ÜRETİM_İHTİYAÇ_RAPORU_BURAK_YENI1309[[#This Row],[SATINALMA]]*DST_123_ÜRETİM_İHTİYAÇ_RAPORU_BURAK_YENI1309[[#This Row],[BIRIM_FIYATLAR]])&lt;1,VALUE("0"),DST_123_ÜRETİM_İHTİYAÇ_RAPORU_BURAK_YENI1309[[#This Row],[SATINALMA]]*DST_123_ÜRETİM_İHTİYAÇ_RAPORU_BURAK_YENI1309[[#This Row],[BIRIM_FIYATLAR]])</f>
        <v>0</v>
      </c>
      <c r="N76">
        <v>0.15</v>
      </c>
      <c r="O76" t="s">
        <v>240</v>
      </c>
      <c r="P76">
        <v>2.4</v>
      </c>
      <c r="Q76" t="s">
        <v>180</v>
      </c>
    </row>
    <row r="77" spans="1:17" x14ac:dyDescent="0.25">
      <c r="A77" t="s">
        <v>1143</v>
      </c>
      <c r="B77" t="s">
        <v>1056</v>
      </c>
      <c r="C77" t="s">
        <v>175</v>
      </c>
      <c r="D77" t="s">
        <v>396</v>
      </c>
      <c r="E77" t="s">
        <v>397</v>
      </c>
      <c r="F77">
        <v>30</v>
      </c>
      <c r="G77" t="s">
        <v>176</v>
      </c>
      <c r="H77">
        <v>0</v>
      </c>
      <c r="I77">
        <v>2000</v>
      </c>
      <c r="J77" s="10">
        <v>7604</v>
      </c>
      <c r="K77" s="10">
        <f>SUMIFS(F:F,D:D,DST_123_ÜRETİM_İHTİYAÇ_RAPORU_BURAK_YENI1309[[#This Row],[ALT_KOD]])-(SUMIFS(H:H,D:D,DST_123_ÜRETİM_İHTİYAÇ_RAPORU_BURAK_YENI1309[[#This Row],[ALT_KOD]])+AVERAGEIFS(I:I,D:D,DST_123_ÜRETİM_İHTİYAÇ_RAPORU_BURAK_YENI1309[[#This Row],[ALT_KOD]])+AVERAGEIFS(L:L,D:D,DST_123_ÜRETİM_İHTİYAÇ_RAPORU_BURAK_YENI1309[[#This Row],[ALT_KOD]]))</f>
        <v>-1531</v>
      </c>
      <c r="L77">
        <v>0</v>
      </c>
      <c r="M77">
        <f>IF((DST_123_ÜRETİM_İHTİYAÇ_RAPORU_BURAK_YENI1309[[#This Row],[SATINALMA]]*DST_123_ÜRETİM_İHTİYAÇ_RAPORU_BURAK_YENI1309[[#This Row],[BIRIM_FIYATLAR]])&lt;1,VALUE("0"),DST_123_ÜRETİM_İHTİYAÇ_RAPORU_BURAK_YENI1309[[#This Row],[SATINALMA]]*DST_123_ÜRETİM_İHTİYAÇ_RAPORU_BURAK_YENI1309[[#This Row],[BIRIM_FIYATLAR]])</f>
        <v>0</v>
      </c>
      <c r="N77">
        <v>0.3</v>
      </c>
      <c r="O77" t="s">
        <v>240</v>
      </c>
      <c r="P77">
        <v>9</v>
      </c>
      <c r="Q77" t="s">
        <v>180</v>
      </c>
    </row>
    <row r="78" spans="1:17" x14ac:dyDescent="0.25">
      <c r="A78" t="s">
        <v>1146</v>
      </c>
      <c r="B78" t="s">
        <v>1145</v>
      </c>
      <c r="C78" t="s">
        <v>175</v>
      </c>
      <c r="D78" t="s">
        <v>32</v>
      </c>
      <c r="E78" t="s">
        <v>33</v>
      </c>
      <c r="F78">
        <v>1</v>
      </c>
      <c r="G78" t="s">
        <v>176</v>
      </c>
      <c r="H78">
        <v>0</v>
      </c>
      <c r="I78">
        <v>0</v>
      </c>
      <c r="J78" s="10">
        <v>16</v>
      </c>
      <c r="K78" s="10">
        <f>SUMIFS(F:F,D:D,DST_123_ÜRETİM_İHTİYAÇ_RAPORU_BURAK_YENI1309[[#This Row],[ALT_KOD]])-(SUMIFS(H:H,D:D,DST_123_ÜRETİM_İHTİYAÇ_RAPORU_BURAK_YENI1309[[#This Row],[ALT_KOD]])+AVERAGEIFS(I:I,D:D,DST_123_ÜRETİM_İHTİYAÇ_RAPORU_BURAK_YENI1309[[#This Row],[ALT_KOD]])+AVERAGEIFS(L:L,D:D,DST_123_ÜRETİM_İHTİYAÇ_RAPORU_BURAK_YENI1309[[#This Row],[ALT_KOD]]))</f>
        <v>4</v>
      </c>
      <c r="L78">
        <v>20</v>
      </c>
      <c r="M78">
        <f>IF((DST_123_ÜRETİM_İHTİYAÇ_RAPORU_BURAK_YENI1309[[#This Row],[SATINALMA]]*DST_123_ÜRETİM_İHTİYAÇ_RAPORU_BURAK_YENI1309[[#This Row],[BIRIM_FIYATLAR]])&lt;1,VALUE("0"),DST_123_ÜRETİM_İHTİYAÇ_RAPORU_BURAK_YENI1309[[#This Row],[SATINALMA]]*DST_123_ÜRETİM_İHTİYAÇ_RAPORU_BURAK_YENI1309[[#This Row],[BIRIM_FIYATLAR]])</f>
        <v>10905.68</v>
      </c>
      <c r="N78">
        <v>2726.42</v>
      </c>
      <c r="O78" t="s">
        <v>1222</v>
      </c>
      <c r="P78">
        <v>2726.42</v>
      </c>
      <c r="Q78" t="s">
        <v>184</v>
      </c>
    </row>
    <row r="79" spans="1:17" x14ac:dyDescent="0.25">
      <c r="A79" t="s">
        <v>1144</v>
      </c>
      <c r="B79" t="s">
        <v>1145</v>
      </c>
      <c r="C79" t="s">
        <v>175</v>
      </c>
      <c r="D79" t="s">
        <v>32</v>
      </c>
      <c r="E79" t="s">
        <v>33</v>
      </c>
      <c r="F79">
        <v>1</v>
      </c>
      <c r="G79" t="s">
        <v>176</v>
      </c>
      <c r="H79">
        <v>0</v>
      </c>
      <c r="I79">
        <v>0</v>
      </c>
      <c r="J79" s="10">
        <v>16</v>
      </c>
      <c r="K79" s="10">
        <f>SUMIFS(F:F,D:D,DST_123_ÜRETİM_İHTİYAÇ_RAPORU_BURAK_YENI1309[[#This Row],[ALT_KOD]])-(SUMIFS(H:H,D:D,DST_123_ÜRETİM_İHTİYAÇ_RAPORU_BURAK_YENI1309[[#This Row],[ALT_KOD]])+AVERAGEIFS(I:I,D:D,DST_123_ÜRETİM_İHTİYAÇ_RAPORU_BURAK_YENI1309[[#This Row],[ALT_KOD]])+AVERAGEIFS(L:L,D:D,DST_123_ÜRETİM_İHTİYAÇ_RAPORU_BURAK_YENI1309[[#This Row],[ALT_KOD]]))</f>
        <v>4</v>
      </c>
      <c r="L79">
        <v>20</v>
      </c>
      <c r="M79">
        <f>IF((DST_123_ÜRETİM_İHTİYAÇ_RAPORU_BURAK_YENI1309[[#This Row],[SATINALMA]]*DST_123_ÜRETİM_İHTİYAÇ_RAPORU_BURAK_YENI1309[[#This Row],[BIRIM_FIYATLAR]])&lt;1,VALUE("0"),DST_123_ÜRETİM_İHTİYAÇ_RAPORU_BURAK_YENI1309[[#This Row],[SATINALMA]]*DST_123_ÜRETİM_İHTİYAÇ_RAPORU_BURAK_YENI1309[[#This Row],[BIRIM_FIYATLAR]])</f>
        <v>10905.68</v>
      </c>
      <c r="N79">
        <v>2726.42</v>
      </c>
      <c r="O79" t="s">
        <v>1222</v>
      </c>
      <c r="P79">
        <v>2726.42</v>
      </c>
      <c r="Q79" t="s">
        <v>184</v>
      </c>
    </row>
    <row r="80" spans="1:17" x14ac:dyDescent="0.25">
      <c r="A80" t="s">
        <v>1144</v>
      </c>
      <c r="B80" t="s">
        <v>1145</v>
      </c>
      <c r="C80" t="s">
        <v>175</v>
      </c>
      <c r="D80" t="s">
        <v>34</v>
      </c>
      <c r="E80" t="s">
        <v>35</v>
      </c>
      <c r="F80">
        <v>1</v>
      </c>
      <c r="G80" t="s">
        <v>176</v>
      </c>
      <c r="H80">
        <v>0</v>
      </c>
      <c r="I80">
        <v>17</v>
      </c>
      <c r="J80" s="10">
        <v>8</v>
      </c>
      <c r="K80" s="10">
        <f>SUMIFS(F:F,D:D,DST_123_ÜRETİM_İHTİYAÇ_RAPORU_BURAK_YENI1309[[#This Row],[ALT_KOD]])-(SUMIFS(H:H,D:D,DST_123_ÜRETİM_İHTİYAÇ_RAPORU_BURAK_YENI1309[[#This Row],[ALT_KOD]])+AVERAGEIFS(I:I,D:D,DST_123_ÜRETİM_İHTİYAÇ_RAPORU_BURAK_YENI1309[[#This Row],[ALT_KOD]])+AVERAGEIFS(L:L,D:D,DST_123_ÜRETİM_İHTİYAÇ_RAPORU_BURAK_YENI1309[[#This Row],[ALT_KOD]]))</f>
        <v>-1</v>
      </c>
      <c r="L80">
        <v>0</v>
      </c>
      <c r="M80">
        <f>IF((DST_123_ÜRETİM_İHTİYAÇ_RAPORU_BURAK_YENI1309[[#This Row],[SATINALMA]]*DST_123_ÜRETİM_İHTİYAÇ_RAPORU_BURAK_YENI1309[[#This Row],[BIRIM_FIYATLAR]])&lt;1,VALUE("0"),DST_123_ÜRETİM_İHTİYAÇ_RAPORU_BURAK_YENI1309[[#This Row],[SATINALMA]]*DST_123_ÜRETİM_İHTİYAÇ_RAPORU_BURAK_YENI1309[[#This Row],[BIRIM_FIYATLAR]])</f>
        <v>0</v>
      </c>
      <c r="N80">
        <v>33.340000000000003</v>
      </c>
      <c r="O80" t="s">
        <v>227</v>
      </c>
      <c r="P80">
        <v>33.340000000000003</v>
      </c>
      <c r="Q80" t="s">
        <v>221</v>
      </c>
    </row>
    <row r="81" spans="1:17" x14ac:dyDescent="0.25">
      <c r="A81" t="s">
        <v>1064</v>
      </c>
      <c r="B81" t="s">
        <v>1055</v>
      </c>
      <c r="C81" t="s">
        <v>175</v>
      </c>
      <c r="D81" t="s">
        <v>32</v>
      </c>
      <c r="E81" t="s">
        <v>33</v>
      </c>
      <c r="F81">
        <v>2.5</v>
      </c>
      <c r="G81" t="s">
        <v>176</v>
      </c>
      <c r="H81">
        <v>0</v>
      </c>
      <c r="I81">
        <v>0</v>
      </c>
      <c r="J81" s="10">
        <v>16</v>
      </c>
      <c r="K81" s="10">
        <f>SUMIFS(F:F,D:D,DST_123_ÜRETİM_İHTİYAÇ_RAPORU_BURAK_YENI1309[[#This Row],[ALT_KOD]])-(SUMIFS(H:H,D:D,DST_123_ÜRETİM_İHTİYAÇ_RAPORU_BURAK_YENI1309[[#This Row],[ALT_KOD]])+AVERAGEIFS(I:I,D:D,DST_123_ÜRETİM_İHTİYAÇ_RAPORU_BURAK_YENI1309[[#This Row],[ALT_KOD]])+AVERAGEIFS(L:L,D:D,DST_123_ÜRETİM_İHTİYAÇ_RAPORU_BURAK_YENI1309[[#This Row],[ALT_KOD]]))</f>
        <v>4</v>
      </c>
      <c r="L81">
        <v>20</v>
      </c>
      <c r="M81">
        <f>IF((DST_123_ÜRETİM_İHTİYAÇ_RAPORU_BURAK_YENI1309[[#This Row],[SATINALMA]]*DST_123_ÜRETİM_İHTİYAÇ_RAPORU_BURAK_YENI1309[[#This Row],[BIRIM_FIYATLAR]])&lt;1,VALUE("0"),DST_123_ÜRETİM_İHTİYAÇ_RAPORU_BURAK_YENI1309[[#This Row],[SATINALMA]]*DST_123_ÜRETİM_İHTİYAÇ_RAPORU_BURAK_YENI1309[[#This Row],[BIRIM_FIYATLAR]])</f>
        <v>10905.68</v>
      </c>
      <c r="N81">
        <v>2726.42</v>
      </c>
      <c r="O81" t="s">
        <v>1222</v>
      </c>
      <c r="P81">
        <v>6816.05</v>
      </c>
      <c r="Q81" t="s">
        <v>184</v>
      </c>
    </row>
    <row r="82" spans="1:17" x14ac:dyDescent="0.25">
      <c r="A82" t="s">
        <v>1098</v>
      </c>
      <c r="B82" t="s">
        <v>1096</v>
      </c>
      <c r="C82" t="s">
        <v>175</v>
      </c>
      <c r="D82" t="s">
        <v>34</v>
      </c>
      <c r="E82" t="s">
        <v>35</v>
      </c>
      <c r="F82">
        <v>2</v>
      </c>
      <c r="G82" t="s">
        <v>176</v>
      </c>
      <c r="H82">
        <v>0</v>
      </c>
      <c r="I82">
        <v>17</v>
      </c>
      <c r="J82" s="10">
        <v>8</v>
      </c>
      <c r="K82" s="10">
        <f>SUMIFS(F:F,D:D,DST_123_ÜRETİM_İHTİYAÇ_RAPORU_BURAK_YENI1309[[#This Row],[ALT_KOD]])-(SUMIFS(H:H,D:D,DST_123_ÜRETİM_İHTİYAÇ_RAPORU_BURAK_YENI1309[[#This Row],[ALT_KOD]])+AVERAGEIFS(I:I,D:D,DST_123_ÜRETİM_İHTİYAÇ_RAPORU_BURAK_YENI1309[[#This Row],[ALT_KOD]])+AVERAGEIFS(L:L,D:D,DST_123_ÜRETİM_İHTİYAÇ_RAPORU_BURAK_YENI1309[[#This Row],[ALT_KOD]]))</f>
        <v>-1</v>
      </c>
      <c r="L82">
        <v>0</v>
      </c>
      <c r="M82">
        <f>IF((DST_123_ÜRETİM_İHTİYAÇ_RAPORU_BURAK_YENI1309[[#This Row],[SATINALMA]]*DST_123_ÜRETİM_İHTİYAÇ_RAPORU_BURAK_YENI1309[[#This Row],[BIRIM_FIYATLAR]])&lt;1,VALUE("0"),DST_123_ÜRETİM_İHTİYAÇ_RAPORU_BURAK_YENI1309[[#This Row],[SATINALMA]]*DST_123_ÜRETİM_İHTİYAÇ_RAPORU_BURAK_YENI1309[[#This Row],[BIRIM_FIYATLAR]])</f>
        <v>0</v>
      </c>
      <c r="N82">
        <v>33.340000000000003</v>
      </c>
      <c r="O82" t="s">
        <v>227</v>
      </c>
      <c r="P82">
        <v>66.680000000000007</v>
      </c>
      <c r="Q82" t="s">
        <v>221</v>
      </c>
    </row>
    <row r="83" spans="1:17" x14ac:dyDescent="0.25">
      <c r="A83" t="s">
        <v>1095</v>
      </c>
      <c r="B83" t="s">
        <v>1096</v>
      </c>
      <c r="C83" t="s">
        <v>175</v>
      </c>
      <c r="D83" t="s">
        <v>34</v>
      </c>
      <c r="E83" t="s">
        <v>35</v>
      </c>
      <c r="F83">
        <v>2</v>
      </c>
      <c r="G83" t="s">
        <v>176</v>
      </c>
      <c r="H83">
        <v>0</v>
      </c>
      <c r="I83">
        <v>17</v>
      </c>
      <c r="J83" s="10">
        <v>8</v>
      </c>
      <c r="K83" s="10">
        <f>SUMIFS(F:F,D:D,DST_123_ÜRETİM_İHTİYAÇ_RAPORU_BURAK_YENI1309[[#This Row],[ALT_KOD]])-(SUMIFS(H:H,D:D,DST_123_ÜRETİM_İHTİYAÇ_RAPORU_BURAK_YENI1309[[#This Row],[ALT_KOD]])+AVERAGEIFS(I:I,D:D,DST_123_ÜRETİM_İHTİYAÇ_RAPORU_BURAK_YENI1309[[#This Row],[ALT_KOD]])+AVERAGEIFS(L:L,D:D,DST_123_ÜRETİM_İHTİYAÇ_RAPORU_BURAK_YENI1309[[#This Row],[ALT_KOD]]))</f>
        <v>-1</v>
      </c>
      <c r="L83">
        <v>0</v>
      </c>
      <c r="M83">
        <f>IF((DST_123_ÜRETİM_İHTİYAÇ_RAPORU_BURAK_YENI1309[[#This Row],[SATINALMA]]*DST_123_ÜRETİM_İHTİYAÇ_RAPORU_BURAK_YENI1309[[#This Row],[BIRIM_FIYATLAR]])&lt;1,VALUE("0"),DST_123_ÜRETİM_İHTİYAÇ_RAPORU_BURAK_YENI1309[[#This Row],[SATINALMA]]*DST_123_ÜRETİM_İHTİYAÇ_RAPORU_BURAK_YENI1309[[#This Row],[BIRIM_FIYATLAR]])</f>
        <v>0</v>
      </c>
      <c r="N83">
        <v>33.340000000000003</v>
      </c>
      <c r="O83" t="s">
        <v>227</v>
      </c>
      <c r="P83">
        <v>66.680000000000007</v>
      </c>
      <c r="Q83" t="s">
        <v>221</v>
      </c>
    </row>
    <row r="84" spans="1:17" x14ac:dyDescent="0.25">
      <c r="A84" t="s">
        <v>1095</v>
      </c>
      <c r="B84" t="s">
        <v>1096</v>
      </c>
      <c r="C84" t="s">
        <v>175</v>
      </c>
      <c r="D84" t="s">
        <v>911</v>
      </c>
      <c r="E84" t="s">
        <v>912</v>
      </c>
      <c r="F84">
        <v>16</v>
      </c>
      <c r="G84" t="s">
        <v>176</v>
      </c>
      <c r="H84">
        <v>0</v>
      </c>
      <c r="I84">
        <v>1000</v>
      </c>
      <c r="J84" s="10">
        <v>0</v>
      </c>
      <c r="K84" s="10">
        <f>SUMIFS(F:F,D:D,DST_123_ÜRETİM_İHTİYAÇ_RAPORU_BURAK_YENI1309[[#This Row],[ALT_KOD]])-(SUMIFS(H:H,D:D,DST_123_ÜRETİM_İHTİYAÇ_RAPORU_BURAK_YENI1309[[#This Row],[ALT_KOD]])+AVERAGEIFS(I:I,D:D,DST_123_ÜRETİM_İHTİYAÇ_RAPORU_BURAK_YENI1309[[#This Row],[ALT_KOD]])+AVERAGEIFS(L:L,D:D,DST_123_ÜRETİM_İHTİYAÇ_RAPORU_BURAK_YENI1309[[#This Row],[ALT_KOD]]))</f>
        <v>-936</v>
      </c>
      <c r="L84">
        <v>0</v>
      </c>
      <c r="M84">
        <f>IF((DST_123_ÜRETİM_İHTİYAÇ_RAPORU_BURAK_YENI1309[[#This Row],[SATINALMA]]*DST_123_ÜRETİM_İHTİYAÇ_RAPORU_BURAK_YENI1309[[#This Row],[BIRIM_FIYATLAR]])&lt;1,VALUE("0"),DST_123_ÜRETİM_İHTİYAÇ_RAPORU_BURAK_YENI1309[[#This Row],[SATINALMA]]*DST_123_ÜRETİM_İHTİYAÇ_RAPORU_BURAK_YENI1309[[#This Row],[BIRIM_FIYATLAR]])</f>
        <v>0</v>
      </c>
      <c r="N84">
        <v>0.15</v>
      </c>
      <c r="O84" t="s">
        <v>240</v>
      </c>
      <c r="P84">
        <v>2.4</v>
      </c>
      <c r="Q84" t="s">
        <v>180</v>
      </c>
    </row>
    <row r="85" spans="1:17" x14ac:dyDescent="0.25">
      <c r="A85" t="s">
        <v>1149</v>
      </c>
      <c r="B85" t="s">
        <v>1145</v>
      </c>
      <c r="C85" t="s">
        <v>175</v>
      </c>
      <c r="D85" t="s">
        <v>114</v>
      </c>
      <c r="E85" t="s">
        <v>115</v>
      </c>
      <c r="F85">
        <v>1.4909999999999999</v>
      </c>
      <c r="G85" t="s">
        <v>185</v>
      </c>
      <c r="H85">
        <v>0</v>
      </c>
      <c r="I85">
        <v>0</v>
      </c>
      <c r="J85" s="10">
        <v>65.03100000000002</v>
      </c>
      <c r="K85" s="10">
        <f>SUMIFS(F:F,D:D,DST_123_ÜRETİM_İHTİYAÇ_RAPORU_BURAK_YENI1309[[#This Row],[ALT_KOD]])-(SUMIFS(H:H,D:D,DST_123_ÜRETİM_İHTİYAÇ_RAPORU_BURAK_YENI1309[[#This Row],[ALT_KOD]])+AVERAGEIFS(I:I,D:D,DST_123_ÜRETİM_İHTİYAÇ_RAPORU_BURAK_YENI1309[[#This Row],[ALT_KOD]])+AVERAGEIFS(L:L,D:D,DST_123_ÜRETİM_İHTİYAÇ_RAPORU_BURAK_YENI1309[[#This Row],[ALT_KOD]]))</f>
        <v>17.948</v>
      </c>
      <c r="L85">
        <v>0</v>
      </c>
      <c r="M85">
        <f>IF((DST_123_ÜRETİM_İHTİYAÇ_RAPORU_BURAK_YENI1309[[#This Row],[SATINALMA]]*DST_123_ÜRETİM_İHTİYAÇ_RAPORU_BURAK_YENI1309[[#This Row],[BIRIM_FIYATLAR]])&lt;1,VALUE("0"),DST_123_ÜRETİM_İHTİYAÇ_RAPORU_BURAK_YENI1309[[#This Row],[SATINALMA]]*DST_123_ÜRETİM_İHTİYAÇ_RAPORU_BURAK_YENI1309[[#This Row],[BIRIM_FIYATLAR]])</f>
        <v>6991.2844399999994</v>
      </c>
      <c r="N85">
        <v>389.53</v>
      </c>
      <c r="O85" t="s">
        <v>490</v>
      </c>
      <c r="P85">
        <v>580.78922999999986</v>
      </c>
      <c r="Q85" t="s">
        <v>183</v>
      </c>
    </row>
    <row r="86" spans="1:17" x14ac:dyDescent="0.25">
      <c r="A86" t="s">
        <v>1059</v>
      </c>
      <c r="B86" t="s">
        <v>1058</v>
      </c>
      <c r="C86" t="s">
        <v>175</v>
      </c>
      <c r="D86" t="s">
        <v>915</v>
      </c>
      <c r="E86" t="s">
        <v>916</v>
      </c>
      <c r="F86">
        <v>3</v>
      </c>
      <c r="G86" t="s">
        <v>179</v>
      </c>
      <c r="H86">
        <v>0</v>
      </c>
      <c r="I86">
        <v>100</v>
      </c>
      <c r="J86" s="10">
        <v>26</v>
      </c>
      <c r="K86" s="10">
        <f>SUMIFS(F:F,D:D,DST_123_ÜRETİM_İHTİYAÇ_RAPORU_BURAK_YENI1309[[#This Row],[ALT_KOD]])-(SUMIFS(H:H,D:D,DST_123_ÜRETİM_İHTİYAÇ_RAPORU_BURAK_YENI1309[[#This Row],[ALT_KOD]])+AVERAGEIFS(I:I,D:D,DST_123_ÜRETİM_İHTİYAÇ_RAPORU_BURAK_YENI1309[[#This Row],[ALT_KOD]])+AVERAGEIFS(L:L,D:D,DST_123_ÜRETİM_İHTİYAÇ_RAPORU_BURAK_YENI1309[[#This Row],[ALT_KOD]]))</f>
        <v>-85</v>
      </c>
      <c r="L86">
        <v>0</v>
      </c>
      <c r="M86">
        <f>IF((DST_123_ÜRETİM_İHTİYAÇ_RAPORU_BURAK_YENI1309[[#This Row],[SATINALMA]]*DST_123_ÜRETİM_İHTİYAÇ_RAPORU_BURAK_YENI1309[[#This Row],[BIRIM_FIYATLAR]])&lt;1,VALUE("0"),DST_123_ÜRETİM_İHTİYAÇ_RAPORU_BURAK_YENI1309[[#This Row],[SATINALMA]]*DST_123_ÜRETİM_İHTİYAÇ_RAPORU_BURAK_YENI1309[[#This Row],[BIRIM_FIYATLAR]])</f>
        <v>0</v>
      </c>
      <c r="N86">
        <v>49.1</v>
      </c>
      <c r="O86" t="s">
        <v>826</v>
      </c>
      <c r="P86">
        <v>147.30000000000001</v>
      </c>
      <c r="Q86" t="s">
        <v>221</v>
      </c>
    </row>
    <row r="87" spans="1:17" x14ac:dyDescent="0.25">
      <c r="A87" t="s">
        <v>1059</v>
      </c>
      <c r="B87" t="s">
        <v>1058</v>
      </c>
      <c r="C87" t="s">
        <v>175</v>
      </c>
      <c r="D87" t="s">
        <v>42</v>
      </c>
      <c r="E87" t="s">
        <v>43</v>
      </c>
      <c r="F87">
        <v>143</v>
      </c>
      <c r="G87" t="s">
        <v>176</v>
      </c>
      <c r="H87">
        <v>0</v>
      </c>
      <c r="I87">
        <v>2800</v>
      </c>
      <c r="J87" s="10">
        <v>2439</v>
      </c>
      <c r="K87" s="10">
        <f>SUMIFS(F:F,D:D,DST_123_ÜRETİM_İHTİYAÇ_RAPORU_BURAK_YENI1309[[#This Row],[ALT_KOD]])-(SUMIFS(H:H,D:D,DST_123_ÜRETİM_İHTİYAÇ_RAPORU_BURAK_YENI1309[[#This Row],[ALT_KOD]])+AVERAGEIFS(I:I,D:D,DST_123_ÜRETİM_İHTİYAÇ_RAPORU_BURAK_YENI1309[[#This Row],[ALT_KOD]])+AVERAGEIFS(L:L,D:D,DST_123_ÜRETİM_İHTİYAÇ_RAPORU_BURAK_YENI1309[[#This Row],[ALT_KOD]]))</f>
        <v>-1645</v>
      </c>
      <c r="L87">
        <v>0</v>
      </c>
      <c r="M87">
        <f>IF((DST_123_ÜRETİM_İHTİYAÇ_RAPORU_BURAK_YENI1309[[#This Row],[SATINALMA]]*DST_123_ÜRETİM_İHTİYAÇ_RAPORU_BURAK_YENI1309[[#This Row],[BIRIM_FIYATLAR]])&lt;1,VALUE("0"),DST_123_ÜRETİM_İHTİYAÇ_RAPORU_BURAK_YENI1309[[#This Row],[SATINALMA]]*DST_123_ÜRETİM_İHTİYAÇ_RAPORU_BURAK_YENI1309[[#This Row],[BIRIM_FIYATLAR]])</f>
        <v>0</v>
      </c>
      <c r="N87">
        <v>0.18</v>
      </c>
      <c r="O87" t="s">
        <v>240</v>
      </c>
      <c r="P87">
        <v>25.74</v>
      </c>
      <c r="Q87" t="s">
        <v>180</v>
      </c>
    </row>
    <row r="88" spans="1:17" x14ac:dyDescent="0.25">
      <c r="A88" t="s">
        <v>1095</v>
      </c>
      <c r="B88" t="s">
        <v>1096</v>
      </c>
      <c r="C88" t="s">
        <v>175</v>
      </c>
      <c r="D88" t="s">
        <v>44</v>
      </c>
      <c r="E88" t="s">
        <v>45</v>
      </c>
      <c r="F88">
        <v>18</v>
      </c>
      <c r="G88" t="s">
        <v>176</v>
      </c>
      <c r="H88">
        <v>0</v>
      </c>
      <c r="I88">
        <v>170</v>
      </c>
      <c r="J88" s="10">
        <v>18</v>
      </c>
      <c r="K88" s="10">
        <f>SUMIFS(F:F,D:D,DST_123_ÜRETİM_İHTİYAÇ_RAPORU_BURAK_YENI1309[[#This Row],[ALT_KOD]])-(SUMIFS(H:H,D:D,DST_123_ÜRETİM_İHTİYAÇ_RAPORU_BURAK_YENI1309[[#This Row],[ALT_KOD]])+AVERAGEIFS(I:I,D:D,DST_123_ÜRETİM_İHTİYAÇ_RAPORU_BURAK_YENI1309[[#This Row],[ALT_KOD]])+AVERAGEIFS(L:L,D:D,DST_123_ÜRETİM_İHTİYAÇ_RAPORU_BURAK_YENI1309[[#This Row],[ALT_KOD]]))</f>
        <v>124</v>
      </c>
      <c r="L88">
        <v>0</v>
      </c>
      <c r="M88">
        <f>IF((DST_123_ÜRETİM_İHTİYAÇ_RAPORU_BURAK_YENI1309[[#This Row],[SATINALMA]]*DST_123_ÜRETİM_İHTİYAÇ_RAPORU_BURAK_YENI1309[[#This Row],[BIRIM_FIYATLAR]])&lt;1,VALUE("0"),DST_123_ÜRETİM_İHTİYAÇ_RAPORU_BURAK_YENI1309[[#This Row],[SATINALMA]]*DST_123_ÜRETİM_İHTİYAÇ_RAPORU_BURAK_YENI1309[[#This Row],[BIRIM_FIYATLAR]])</f>
        <v>2046</v>
      </c>
      <c r="N88">
        <v>16.5</v>
      </c>
      <c r="O88" t="s">
        <v>240</v>
      </c>
      <c r="P88">
        <v>297</v>
      </c>
      <c r="Q88" t="s">
        <v>180</v>
      </c>
    </row>
    <row r="89" spans="1:17" x14ac:dyDescent="0.25">
      <c r="A89" t="s">
        <v>1059</v>
      </c>
      <c r="B89" t="s">
        <v>1058</v>
      </c>
      <c r="C89" t="s">
        <v>175</v>
      </c>
      <c r="D89" t="s">
        <v>44</v>
      </c>
      <c r="E89" t="s">
        <v>45</v>
      </c>
      <c r="F89">
        <v>14</v>
      </c>
      <c r="G89" t="s">
        <v>176</v>
      </c>
      <c r="H89">
        <v>0</v>
      </c>
      <c r="I89">
        <v>170</v>
      </c>
      <c r="J89" s="10">
        <v>18</v>
      </c>
      <c r="K89" s="10">
        <f>SUMIFS(F:F,D:D,DST_123_ÜRETİM_İHTİYAÇ_RAPORU_BURAK_YENI1309[[#This Row],[ALT_KOD]])-(SUMIFS(H:H,D:D,DST_123_ÜRETİM_İHTİYAÇ_RAPORU_BURAK_YENI1309[[#This Row],[ALT_KOD]])+AVERAGEIFS(I:I,D:D,DST_123_ÜRETİM_İHTİYAÇ_RAPORU_BURAK_YENI1309[[#This Row],[ALT_KOD]])+AVERAGEIFS(L:L,D:D,DST_123_ÜRETİM_İHTİYAÇ_RAPORU_BURAK_YENI1309[[#This Row],[ALT_KOD]]))</f>
        <v>124</v>
      </c>
      <c r="L89">
        <v>0</v>
      </c>
      <c r="M89">
        <f>IF((DST_123_ÜRETİM_İHTİYAÇ_RAPORU_BURAK_YENI1309[[#This Row],[SATINALMA]]*DST_123_ÜRETİM_İHTİYAÇ_RAPORU_BURAK_YENI1309[[#This Row],[BIRIM_FIYATLAR]])&lt;1,VALUE("0"),DST_123_ÜRETİM_İHTİYAÇ_RAPORU_BURAK_YENI1309[[#This Row],[SATINALMA]]*DST_123_ÜRETİM_İHTİYAÇ_RAPORU_BURAK_YENI1309[[#This Row],[BIRIM_FIYATLAR]])</f>
        <v>2046</v>
      </c>
      <c r="N89">
        <v>16.5</v>
      </c>
      <c r="O89" t="s">
        <v>240</v>
      </c>
      <c r="P89">
        <v>231</v>
      </c>
      <c r="Q89" t="s">
        <v>180</v>
      </c>
    </row>
    <row r="90" spans="1:17" x14ac:dyDescent="0.25">
      <c r="A90" t="s">
        <v>1143</v>
      </c>
      <c r="B90" t="s">
        <v>1056</v>
      </c>
      <c r="C90" t="s">
        <v>175</v>
      </c>
      <c r="D90" t="s">
        <v>48</v>
      </c>
      <c r="E90" t="s">
        <v>49</v>
      </c>
      <c r="F90">
        <v>4</v>
      </c>
      <c r="G90" t="s">
        <v>176</v>
      </c>
      <c r="H90">
        <v>0</v>
      </c>
      <c r="I90">
        <v>21</v>
      </c>
      <c r="J90" s="10">
        <v>30</v>
      </c>
      <c r="K90" s="10">
        <f>SUMIFS(F:F,D:D,DST_123_ÜRETİM_İHTİYAÇ_RAPORU_BURAK_YENI1309[[#This Row],[ALT_KOD]])-(SUMIFS(H:H,D:D,DST_123_ÜRETİM_İHTİYAÇ_RAPORU_BURAK_YENI1309[[#This Row],[ALT_KOD]])+AVERAGEIFS(I:I,D:D,DST_123_ÜRETİM_İHTİYAÇ_RAPORU_BURAK_YENI1309[[#This Row],[ALT_KOD]])+AVERAGEIFS(L:L,D:D,DST_123_ÜRETİM_İHTİYAÇ_RAPORU_BURAK_YENI1309[[#This Row],[ALT_KOD]]))</f>
        <v>1</v>
      </c>
      <c r="L90">
        <v>0</v>
      </c>
      <c r="M90">
        <f>IF((DST_123_ÜRETİM_İHTİYAÇ_RAPORU_BURAK_YENI1309[[#This Row],[SATINALMA]]*DST_123_ÜRETİM_İHTİYAÇ_RAPORU_BURAK_YENI1309[[#This Row],[BIRIM_FIYATLAR]])&lt;1,VALUE("0"),DST_123_ÜRETİM_İHTİYAÇ_RAPORU_BURAK_YENI1309[[#This Row],[SATINALMA]]*DST_123_ÜRETİM_İHTİYAÇ_RAPORU_BURAK_YENI1309[[#This Row],[BIRIM_FIYATLAR]])</f>
        <v>42</v>
      </c>
      <c r="N90">
        <v>42</v>
      </c>
      <c r="O90" t="s">
        <v>245</v>
      </c>
      <c r="P90">
        <v>168</v>
      </c>
      <c r="Q90" t="s">
        <v>180</v>
      </c>
    </row>
    <row r="91" spans="1:17" x14ac:dyDescent="0.25">
      <c r="A91" t="s">
        <v>1146</v>
      </c>
      <c r="B91" t="s">
        <v>1145</v>
      </c>
      <c r="C91" t="s">
        <v>175</v>
      </c>
      <c r="D91" t="s">
        <v>42</v>
      </c>
      <c r="E91" t="s">
        <v>43</v>
      </c>
      <c r="F91">
        <v>33</v>
      </c>
      <c r="G91" t="s">
        <v>176</v>
      </c>
      <c r="H91">
        <v>0</v>
      </c>
      <c r="I91">
        <v>2800</v>
      </c>
      <c r="J91" s="10">
        <v>2439</v>
      </c>
      <c r="K91" s="10">
        <f>SUMIFS(F:F,D:D,DST_123_ÜRETİM_İHTİYAÇ_RAPORU_BURAK_YENI1309[[#This Row],[ALT_KOD]])-(SUMIFS(H:H,D:D,DST_123_ÜRETİM_İHTİYAÇ_RAPORU_BURAK_YENI1309[[#This Row],[ALT_KOD]])+AVERAGEIFS(I:I,D:D,DST_123_ÜRETİM_İHTİYAÇ_RAPORU_BURAK_YENI1309[[#This Row],[ALT_KOD]])+AVERAGEIFS(L:L,D:D,DST_123_ÜRETİM_İHTİYAÇ_RAPORU_BURAK_YENI1309[[#This Row],[ALT_KOD]]))</f>
        <v>-1645</v>
      </c>
      <c r="L91">
        <v>0</v>
      </c>
      <c r="M91">
        <f>IF((DST_123_ÜRETİM_İHTİYAÇ_RAPORU_BURAK_YENI1309[[#This Row],[SATINALMA]]*DST_123_ÜRETİM_İHTİYAÇ_RAPORU_BURAK_YENI1309[[#This Row],[BIRIM_FIYATLAR]])&lt;1,VALUE("0"),DST_123_ÜRETİM_İHTİYAÇ_RAPORU_BURAK_YENI1309[[#This Row],[SATINALMA]]*DST_123_ÜRETİM_İHTİYAÇ_RAPORU_BURAK_YENI1309[[#This Row],[BIRIM_FIYATLAR]])</f>
        <v>0</v>
      </c>
      <c r="N91">
        <v>0.18</v>
      </c>
      <c r="O91" t="s">
        <v>240</v>
      </c>
      <c r="P91">
        <v>5.9399999999999995</v>
      </c>
      <c r="Q91" t="s">
        <v>180</v>
      </c>
    </row>
    <row r="92" spans="1:17" x14ac:dyDescent="0.25">
      <c r="A92" t="s">
        <v>1144</v>
      </c>
      <c r="B92" t="s">
        <v>1145</v>
      </c>
      <c r="C92" t="s">
        <v>175</v>
      </c>
      <c r="D92" t="s">
        <v>42</v>
      </c>
      <c r="E92" t="s">
        <v>43</v>
      </c>
      <c r="F92">
        <v>33</v>
      </c>
      <c r="G92" t="s">
        <v>176</v>
      </c>
      <c r="H92">
        <v>0</v>
      </c>
      <c r="I92">
        <v>2800</v>
      </c>
      <c r="J92" s="10">
        <v>2439</v>
      </c>
      <c r="K92" s="10">
        <f>SUMIFS(F:F,D:D,DST_123_ÜRETİM_İHTİYAÇ_RAPORU_BURAK_YENI1309[[#This Row],[ALT_KOD]])-(SUMIFS(H:H,D:D,DST_123_ÜRETİM_İHTİYAÇ_RAPORU_BURAK_YENI1309[[#This Row],[ALT_KOD]])+AVERAGEIFS(I:I,D:D,DST_123_ÜRETİM_İHTİYAÇ_RAPORU_BURAK_YENI1309[[#This Row],[ALT_KOD]])+AVERAGEIFS(L:L,D:D,DST_123_ÜRETİM_İHTİYAÇ_RAPORU_BURAK_YENI1309[[#This Row],[ALT_KOD]]))</f>
        <v>-1645</v>
      </c>
      <c r="L92">
        <v>0</v>
      </c>
      <c r="M92">
        <f>IF((DST_123_ÜRETİM_İHTİYAÇ_RAPORU_BURAK_YENI1309[[#This Row],[SATINALMA]]*DST_123_ÜRETİM_İHTİYAÇ_RAPORU_BURAK_YENI1309[[#This Row],[BIRIM_FIYATLAR]])&lt;1,VALUE("0"),DST_123_ÜRETİM_İHTİYAÇ_RAPORU_BURAK_YENI1309[[#This Row],[SATINALMA]]*DST_123_ÜRETİM_İHTİYAÇ_RAPORU_BURAK_YENI1309[[#This Row],[BIRIM_FIYATLAR]])</f>
        <v>0</v>
      </c>
      <c r="N92">
        <v>0.18</v>
      </c>
      <c r="O92" t="s">
        <v>240</v>
      </c>
      <c r="P92">
        <v>5.9399999999999995</v>
      </c>
      <c r="Q92" t="s">
        <v>180</v>
      </c>
    </row>
    <row r="93" spans="1:17" x14ac:dyDescent="0.25">
      <c r="A93" t="s">
        <v>1144</v>
      </c>
      <c r="B93" t="s">
        <v>1145</v>
      </c>
      <c r="C93" t="s">
        <v>175</v>
      </c>
      <c r="D93" t="s">
        <v>44</v>
      </c>
      <c r="E93" t="s">
        <v>45</v>
      </c>
      <c r="F93">
        <v>14</v>
      </c>
      <c r="G93" t="s">
        <v>176</v>
      </c>
      <c r="H93">
        <v>0</v>
      </c>
      <c r="I93">
        <v>170</v>
      </c>
      <c r="J93" s="10">
        <v>18</v>
      </c>
      <c r="K93" s="10">
        <f>SUMIFS(F:F,D:D,DST_123_ÜRETİM_İHTİYAÇ_RAPORU_BURAK_YENI1309[[#This Row],[ALT_KOD]])-(SUMIFS(H:H,D:D,DST_123_ÜRETİM_İHTİYAÇ_RAPORU_BURAK_YENI1309[[#This Row],[ALT_KOD]])+AVERAGEIFS(I:I,D:D,DST_123_ÜRETİM_İHTİYAÇ_RAPORU_BURAK_YENI1309[[#This Row],[ALT_KOD]])+AVERAGEIFS(L:L,D:D,DST_123_ÜRETİM_İHTİYAÇ_RAPORU_BURAK_YENI1309[[#This Row],[ALT_KOD]]))</f>
        <v>124</v>
      </c>
      <c r="L93">
        <v>0</v>
      </c>
      <c r="M93">
        <f>IF((DST_123_ÜRETİM_İHTİYAÇ_RAPORU_BURAK_YENI1309[[#This Row],[SATINALMA]]*DST_123_ÜRETİM_İHTİYAÇ_RAPORU_BURAK_YENI1309[[#This Row],[BIRIM_FIYATLAR]])&lt;1,VALUE("0"),DST_123_ÜRETİM_İHTİYAÇ_RAPORU_BURAK_YENI1309[[#This Row],[SATINALMA]]*DST_123_ÜRETİM_İHTİYAÇ_RAPORU_BURAK_YENI1309[[#This Row],[BIRIM_FIYATLAR]])</f>
        <v>2046</v>
      </c>
      <c r="N93">
        <v>16.5</v>
      </c>
      <c r="O93" t="s">
        <v>240</v>
      </c>
      <c r="P93">
        <v>231</v>
      </c>
      <c r="Q93" t="s">
        <v>180</v>
      </c>
    </row>
    <row r="94" spans="1:17" x14ac:dyDescent="0.25">
      <c r="A94" t="s">
        <v>1146</v>
      </c>
      <c r="B94" t="s">
        <v>1145</v>
      </c>
      <c r="C94" t="s">
        <v>175</v>
      </c>
      <c r="D94" t="s">
        <v>44</v>
      </c>
      <c r="E94" t="s">
        <v>45</v>
      </c>
      <c r="F94">
        <v>14</v>
      </c>
      <c r="G94" t="s">
        <v>176</v>
      </c>
      <c r="H94">
        <v>0</v>
      </c>
      <c r="I94">
        <v>170</v>
      </c>
      <c r="J94" s="10">
        <v>18</v>
      </c>
      <c r="K94" s="10">
        <f>SUMIFS(F:F,D:D,DST_123_ÜRETİM_İHTİYAÇ_RAPORU_BURAK_YENI1309[[#This Row],[ALT_KOD]])-(SUMIFS(H:H,D:D,DST_123_ÜRETİM_İHTİYAÇ_RAPORU_BURAK_YENI1309[[#This Row],[ALT_KOD]])+AVERAGEIFS(I:I,D:D,DST_123_ÜRETİM_İHTİYAÇ_RAPORU_BURAK_YENI1309[[#This Row],[ALT_KOD]])+AVERAGEIFS(L:L,D:D,DST_123_ÜRETİM_İHTİYAÇ_RAPORU_BURAK_YENI1309[[#This Row],[ALT_KOD]]))</f>
        <v>124</v>
      </c>
      <c r="L94">
        <v>0</v>
      </c>
      <c r="M94">
        <f>IF((DST_123_ÜRETİM_İHTİYAÇ_RAPORU_BURAK_YENI1309[[#This Row],[SATINALMA]]*DST_123_ÜRETİM_İHTİYAÇ_RAPORU_BURAK_YENI1309[[#This Row],[BIRIM_FIYATLAR]])&lt;1,VALUE("0"),DST_123_ÜRETİM_İHTİYAÇ_RAPORU_BURAK_YENI1309[[#This Row],[SATINALMA]]*DST_123_ÜRETİM_İHTİYAÇ_RAPORU_BURAK_YENI1309[[#This Row],[BIRIM_FIYATLAR]])</f>
        <v>2046</v>
      </c>
      <c r="N94">
        <v>16.5</v>
      </c>
      <c r="O94" t="s">
        <v>240</v>
      </c>
      <c r="P94">
        <v>231</v>
      </c>
      <c r="Q94" t="s">
        <v>180</v>
      </c>
    </row>
    <row r="95" spans="1:17" x14ac:dyDescent="0.25">
      <c r="A95" t="s">
        <v>1146</v>
      </c>
      <c r="B95" t="s">
        <v>1145</v>
      </c>
      <c r="C95" t="s">
        <v>175</v>
      </c>
      <c r="D95" t="s">
        <v>48</v>
      </c>
      <c r="E95" t="s">
        <v>49</v>
      </c>
      <c r="F95">
        <v>2</v>
      </c>
      <c r="G95" t="s">
        <v>176</v>
      </c>
      <c r="H95">
        <v>0</v>
      </c>
      <c r="I95">
        <v>21</v>
      </c>
      <c r="J95" s="10">
        <v>30</v>
      </c>
      <c r="K95" s="10">
        <f>SUMIFS(F:F,D:D,DST_123_ÜRETİM_İHTİYAÇ_RAPORU_BURAK_YENI1309[[#This Row],[ALT_KOD]])-(SUMIFS(H:H,D:D,DST_123_ÜRETİM_İHTİYAÇ_RAPORU_BURAK_YENI1309[[#This Row],[ALT_KOD]])+AVERAGEIFS(I:I,D:D,DST_123_ÜRETİM_İHTİYAÇ_RAPORU_BURAK_YENI1309[[#This Row],[ALT_KOD]])+AVERAGEIFS(L:L,D:D,DST_123_ÜRETİM_İHTİYAÇ_RAPORU_BURAK_YENI1309[[#This Row],[ALT_KOD]]))</f>
        <v>1</v>
      </c>
      <c r="L95">
        <v>0</v>
      </c>
      <c r="M95">
        <f>IF((DST_123_ÜRETİM_İHTİYAÇ_RAPORU_BURAK_YENI1309[[#This Row],[SATINALMA]]*DST_123_ÜRETİM_İHTİYAÇ_RAPORU_BURAK_YENI1309[[#This Row],[BIRIM_FIYATLAR]])&lt;1,VALUE("0"),DST_123_ÜRETİM_İHTİYAÇ_RAPORU_BURAK_YENI1309[[#This Row],[SATINALMA]]*DST_123_ÜRETİM_İHTİYAÇ_RAPORU_BURAK_YENI1309[[#This Row],[BIRIM_FIYATLAR]])</f>
        <v>42</v>
      </c>
      <c r="N95">
        <v>42</v>
      </c>
      <c r="O95" t="s">
        <v>245</v>
      </c>
      <c r="P95">
        <v>84</v>
      </c>
      <c r="Q95" t="s">
        <v>180</v>
      </c>
    </row>
    <row r="96" spans="1:17" x14ac:dyDescent="0.25">
      <c r="A96" t="s">
        <v>1144</v>
      </c>
      <c r="B96" t="s">
        <v>1145</v>
      </c>
      <c r="C96" t="s">
        <v>175</v>
      </c>
      <c r="D96" t="s">
        <v>48</v>
      </c>
      <c r="E96" t="s">
        <v>49</v>
      </c>
      <c r="F96">
        <v>2</v>
      </c>
      <c r="G96" t="s">
        <v>176</v>
      </c>
      <c r="H96">
        <v>0</v>
      </c>
      <c r="I96">
        <v>21</v>
      </c>
      <c r="J96" s="10">
        <v>30</v>
      </c>
      <c r="K96" s="10">
        <f>SUMIFS(F:F,D:D,DST_123_ÜRETİM_İHTİYAÇ_RAPORU_BURAK_YENI1309[[#This Row],[ALT_KOD]])-(SUMIFS(H:H,D:D,DST_123_ÜRETİM_İHTİYAÇ_RAPORU_BURAK_YENI1309[[#This Row],[ALT_KOD]])+AVERAGEIFS(I:I,D:D,DST_123_ÜRETİM_İHTİYAÇ_RAPORU_BURAK_YENI1309[[#This Row],[ALT_KOD]])+AVERAGEIFS(L:L,D:D,DST_123_ÜRETİM_İHTİYAÇ_RAPORU_BURAK_YENI1309[[#This Row],[ALT_KOD]]))</f>
        <v>1</v>
      </c>
      <c r="L96">
        <v>0</v>
      </c>
      <c r="M96">
        <f>IF((DST_123_ÜRETİM_İHTİYAÇ_RAPORU_BURAK_YENI1309[[#This Row],[SATINALMA]]*DST_123_ÜRETİM_İHTİYAÇ_RAPORU_BURAK_YENI1309[[#This Row],[BIRIM_FIYATLAR]])&lt;1,VALUE("0"),DST_123_ÜRETİM_İHTİYAÇ_RAPORU_BURAK_YENI1309[[#This Row],[SATINALMA]]*DST_123_ÜRETİM_İHTİYAÇ_RAPORU_BURAK_YENI1309[[#This Row],[BIRIM_FIYATLAR]])</f>
        <v>42</v>
      </c>
      <c r="N96">
        <v>42</v>
      </c>
      <c r="O96" t="s">
        <v>245</v>
      </c>
      <c r="P96">
        <v>84</v>
      </c>
      <c r="Q96" t="s">
        <v>180</v>
      </c>
    </row>
    <row r="97" spans="1:17" x14ac:dyDescent="0.25">
      <c r="A97" t="s">
        <v>1146</v>
      </c>
      <c r="B97" t="s">
        <v>1145</v>
      </c>
      <c r="C97" t="s">
        <v>175</v>
      </c>
      <c r="D97" t="s">
        <v>355</v>
      </c>
      <c r="E97" t="s">
        <v>356</v>
      </c>
      <c r="F97">
        <v>16</v>
      </c>
      <c r="G97" t="s">
        <v>176</v>
      </c>
      <c r="H97">
        <v>0</v>
      </c>
      <c r="I97">
        <v>4822</v>
      </c>
      <c r="J97" s="10">
        <v>811</v>
      </c>
      <c r="K97" s="10">
        <f>SUMIFS(F:F,D:D,DST_123_ÜRETİM_İHTİYAÇ_RAPORU_BURAK_YENI1309[[#This Row],[ALT_KOD]])-(SUMIFS(H:H,D:D,DST_123_ÜRETİM_İHTİYAÇ_RAPORU_BURAK_YENI1309[[#This Row],[ALT_KOD]])+AVERAGEIFS(I:I,D:D,DST_123_ÜRETİM_İHTİYAÇ_RAPORU_BURAK_YENI1309[[#This Row],[ALT_KOD]])+AVERAGEIFS(L:L,D:D,DST_123_ÜRETİM_İHTİYAÇ_RAPORU_BURAK_YENI1309[[#This Row],[ALT_KOD]]))</f>
        <v>-4638</v>
      </c>
      <c r="L97">
        <v>0</v>
      </c>
      <c r="M97">
        <f>IF((DST_123_ÜRETİM_İHTİYAÇ_RAPORU_BURAK_YENI1309[[#This Row],[SATINALMA]]*DST_123_ÜRETİM_İHTİYAÇ_RAPORU_BURAK_YENI1309[[#This Row],[BIRIM_FIYATLAR]])&lt;1,VALUE("0"),DST_123_ÜRETİM_İHTİYAÇ_RAPORU_BURAK_YENI1309[[#This Row],[SATINALMA]]*DST_123_ÜRETİM_İHTİYAÇ_RAPORU_BURAK_YENI1309[[#This Row],[BIRIM_FIYATLAR]])</f>
        <v>0</v>
      </c>
      <c r="N97">
        <v>0.3</v>
      </c>
      <c r="O97" t="s">
        <v>240</v>
      </c>
      <c r="P97">
        <v>4.8</v>
      </c>
      <c r="Q97" t="s">
        <v>180</v>
      </c>
    </row>
    <row r="98" spans="1:17" x14ac:dyDescent="0.25">
      <c r="A98" t="s">
        <v>1095</v>
      </c>
      <c r="B98" t="s">
        <v>1096</v>
      </c>
      <c r="C98" t="s">
        <v>175</v>
      </c>
      <c r="D98" t="s">
        <v>42</v>
      </c>
      <c r="E98" t="s">
        <v>43</v>
      </c>
      <c r="F98">
        <v>83</v>
      </c>
      <c r="G98" t="s">
        <v>176</v>
      </c>
      <c r="H98">
        <v>0</v>
      </c>
      <c r="I98">
        <v>2800</v>
      </c>
      <c r="J98" s="10">
        <v>2439</v>
      </c>
      <c r="K98" s="10">
        <f>SUMIFS(F:F,D:D,DST_123_ÜRETİM_İHTİYAÇ_RAPORU_BURAK_YENI1309[[#This Row],[ALT_KOD]])-(SUMIFS(H:H,D:D,DST_123_ÜRETİM_İHTİYAÇ_RAPORU_BURAK_YENI1309[[#This Row],[ALT_KOD]])+AVERAGEIFS(I:I,D:D,DST_123_ÜRETİM_İHTİYAÇ_RAPORU_BURAK_YENI1309[[#This Row],[ALT_KOD]])+AVERAGEIFS(L:L,D:D,DST_123_ÜRETİM_İHTİYAÇ_RAPORU_BURAK_YENI1309[[#This Row],[ALT_KOD]]))</f>
        <v>-1645</v>
      </c>
      <c r="L98">
        <v>0</v>
      </c>
      <c r="M98">
        <f>IF((DST_123_ÜRETİM_İHTİYAÇ_RAPORU_BURAK_YENI1309[[#This Row],[SATINALMA]]*DST_123_ÜRETİM_İHTİYAÇ_RAPORU_BURAK_YENI1309[[#This Row],[BIRIM_FIYATLAR]])&lt;1,VALUE("0"),DST_123_ÜRETİM_İHTİYAÇ_RAPORU_BURAK_YENI1309[[#This Row],[SATINALMA]]*DST_123_ÜRETİM_İHTİYAÇ_RAPORU_BURAK_YENI1309[[#This Row],[BIRIM_FIYATLAR]])</f>
        <v>0</v>
      </c>
      <c r="N98">
        <v>0.18</v>
      </c>
      <c r="O98" t="s">
        <v>240</v>
      </c>
      <c r="P98">
        <v>14.94</v>
      </c>
      <c r="Q98" t="s">
        <v>180</v>
      </c>
    </row>
    <row r="99" spans="1:17" x14ac:dyDescent="0.25">
      <c r="A99" t="s">
        <v>1095</v>
      </c>
      <c r="B99" t="s">
        <v>1096</v>
      </c>
      <c r="C99" t="s">
        <v>175</v>
      </c>
      <c r="D99" t="s">
        <v>355</v>
      </c>
      <c r="E99" t="s">
        <v>356</v>
      </c>
      <c r="F99">
        <v>16</v>
      </c>
      <c r="G99" t="s">
        <v>176</v>
      </c>
      <c r="H99">
        <v>0</v>
      </c>
      <c r="I99">
        <v>4822</v>
      </c>
      <c r="J99" s="10">
        <v>811</v>
      </c>
      <c r="K99" s="10">
        <f>SUMIFS(F:F,D:D,DST_123_ÜRETİM_İHTİYAÇ_RAPORU_BURAK_YENI1309[[#This Row],[ALT_KOD]])-(SUMIFS(H:H,D:D,DST_123_ÜRETİM_İHTİYAÇ_RAPORU_BURAK_YENI1309[[#This Row],[ALT_KOD]])+AVERAGEIFS(I:I,D:D,DST_123_ÜRETİM_İHTİYAÇ_RAPORU_BURAK_YENI1309[[#This Row],[ALT_KOD]])+AVERAGEIFS(L:L,D:D,DST_123_ÜRETİM_İHTİYAÇ_RAPORU_BURAK_YENI1309[[#This Row],[ALT_KOD]]))</f>
        <v>-4638</v>
      </c>
      <c r="L99">
        <v>0</v>
      </c>
      <c r="M99">
        <f>IF((DST_123_ÜRETİM_İHTİYAÇ_RAPORU_BURAK_YENI1309[[#This Row],[SATINALMA]]*DST_123_ÜRETİM_İHTİYAÇ_RAPORU_BURAK_YENI1309[[#This Row],[BIRIM_FIYATLAR]])&lt;1,VALUE("0"),DST_123_ÜRETİM_İHTİYAÇ_RAPORU_BURAK_YENI1309[[#This Row],[SATINALMA]]*DST_123_ÜRETİM_İHTİYAÇ_RAPORU_BURAK_YENI1309[[#This Row],[BIRIM_FIYATLAR]])</f>
        <v>0</v>
      </c>
      <c r="N99">
        <v>0.3</v>
      </c>
      <c r="O99" t="s">
        <v>240</v>
      </c>
      <c r="P99">
        <v>4.8</v>
      </c>
      <c r="Q99" t="s">
        <v>180</v>
      </c>
    </row>
    <row r="100" spans="1:17" x14ac:dyDescent="0.25">
      <c r="A100" t="s">
        <v>1150</v>
      </c>
      <c r="B100" t="s">
        <v>1145</v>
      </c>
      <c r="C100" t="s">
        <v>175</v>
      </c>
      <c r="D100" t="s">
        <v>42</v>
      </c>
      <c r="E100" t="s">
        <v>43</v>
      </c>
      <c r="F100">
        <v>33</v>
      </c>
      <c r="G100" t="s">
        <v>176</v>
      </c>
      <c r="H100">
        <v>0</v>
      </c>
      <c r="I100">
        <v>2800</v>
      </c>
      <c r="J100" s="10">
        <v>2439</v>
      </c>
      <c r="K100" s="10">
        <f>SUMIFS(F:F,D:D,DST_123_ÜRETİM_İHTİYAÇ_RAPORU_BURAK_YENI1309[[#This Row],[ALT_KOD]])-(SUMIFS(H:H,D:D,DST_123_ÜRETİM_İHTİYAÇ_RAPORU_BURAK_YENI1309[[#This Row],[ALT_KOD]])+AVERAGEIFS(I:I,D:D,DST_123_ÜRETİM_İHTİYAÇ_RAPORU_BURAK_YENI1309[[#This Row],[ALT_KOD]])+AVERAGEIFS(L:L,D:D,DST_123_ÜRETİM_İHTİYAÇ_RAPORU_BURAK_YENI1309[[#This Row],[ALT_KOD]]))</f>
        <v>-1645</v>
      </c>
      <c r="L100">
        <v>0</v>
      </c>
      <c r="M100">
        <f>IF((DST_123_ÜRETİM_İHTİYAÇ_RAPORU_BURAK_YENI1309[[#This Row],[SATINALMA]]*DST_123_ÜRETİM_İHTİYAÇ_RAPORU_BURAK_YENI1309[[#This Row],[BIRIM_FIYATLAR]])&lt;1,VALUE("0"),DST_123_ÜRETİM_İHTİYAÇ_RAPORU_BURAK_YENI1309[[#This Row],[SATINALMA]]*DST_123_ÜRETİM_İHTİYAÇ_RAPORU_BURAK_YENI1309[[#This Row],[BIRIM_FIYATLAR]])</f>
        <v>0</v>
      </c>
      <c r="N100">
        <v>0.18</v>
      </c>
      <c r="O100" t="s">
        <v>240</v>
      </c>
      <c r="P100">
        <v>5.9399999999999995</v>
      </c>
      <c r="Q100" t="s">
        <v>180</v>
      </c>
    </row>
    <row r="101" spans="1:17" x14ac:dyDescent="0.25">
      <c r="A101" t="s">
        <v>1150</v>
      </c>
      <c r="B101" t="s">
        <v>1145</v>
      </c>
      <c r="C101" t="s">
        <v>175</v>
      </c>
      <c r="D101" t="s">
        <v>44</v>
      </c>
      <c r="E101" t="s">
        <v>45</v>
      </c>
      <c r="F101">
        <v>14</v>
      </c>
      <c r="G101" t="s">
        <v>176</v>
      </c>
      <c r="H101">
        <v>0</v>
      </c>
      <c r="I101">
        <v>170</v>
      </c>
      <c r="J101" s="10">
        <v>18</v>
      </c>
      <c r="K101" s="10">
        <f>SUMIFS(F:F,D:D,DST_123_ÜRETİM_İHTİYAÇ_RAPORU_BURAK_YENI1309[[#This Row],[ALT_KOD]])-(SUMIFS(H:H,D:D,DST_123_ÜRETİM_İHTİYAÇ_RAPORU_BURAK_YENI1309[[#This Row],[ALT_KOD]])+AVERAGEIFS(I:I,D:D,DST_123_ÜRETİM_İHTİYAÇ_RAPORU_BURAK_YENI1309[[#This Row],[ALT_KOD]])+AVERAGEIFS(L:L,D:D,DST_123_ÜRETİM_İHTİYAÇ_RAPORU_BURAK_YENI1309[[#This Row],[ALT_KOD]]))</f>
        <v>124</v>
      </c>
      <c r="L101">
        <v>0</v>
      </c>
      <c r="M101">
        <f>IF((DST_123_ÜRETİM_İHTİYAÇ_RAPORU_BURAK_YENI1309[[#This Row],[SATINALMA]]*DST_123_ÜRETİM_İHTİYAÇ_RAPORU_BURAK_YENI1309[[#This Row],[BIRIM_FIYATLAR]])&lt;1,VALUE("0"),DST_123_ÜRETİM_İHTİYAÇ_RAPORU_BURAK_YENI1309[[#This Row],[SATINALMA]]*DST_123_ÜRETİM_İHTİYAÇ_RAPORU_BURAK_YENI1309[[#This Row],[BIRIM_FIYATLAR]])</f>
        <v>2046</v>
      </c>
      <c r="N101">
        <v>16.5</v>
      </c>
      <c r="O101" t="s">
        <v>240</v>
      </c>
      <c r="P101">
        <v>231</v>
      </c>
      <c r="Q101" t="s">
        <v>180</v>
      </c>
    </row>
    <row r="102" spans="1:17" x14ac:dyDescent="0.25">
      <c r="A102" t="s">
        <v>1150</v>
      </c>
      <c r="B102" t="s">
        <v>1145</v>
      </c>
      <c r="C102" t="s">
        <v>175</v>
      </c>
      <c r="D102" t="s">
        <v>651</v>
      </c>
      <c r="E102" t="s">
        <v>652</v>
      </c>
      <c r="F102">
        <v>31</v>
      </c>
      <c r="G102" t="s">
        <v>176</v>
      </c>
      <c r="H102">
        <v>0</v>
      </c>
      <c r="I102">
        <v>776</v>
      </c>
      <c r="J102" s="10">
        <v>367</v>
      </c>
      <c r="K102" s="10">
        <f>SUMIFS(F:F,D:D,DST_123_ÜRETİM_İHTİYAÇ_RAPORU_BURAK_YENI1309[[#This Row],[ALT_KOD]])-(SUMIFS(H:H,D:D,DST_123_ÜRETİM_İHTİYAÇ_RAPORU_BURAK_YENI1309[[#This Row],[ALT_KOD]])+AVERAGEIFS(I:I,D:D,DST_123_ÜRETİM_İHTİYAÇ_RAPORU_BURAK_YENI1309[[#This Row],[ALT_KOD]])+AVERAGEIFS(L:L,D:D,DST_123_ÜRETİM_İHTİYAÇ_RAPORU_BURAK_YENI1309[[#This Row],[ALT_KOD]]))</f>
        <v>-308</v>
      </c>
      <c r="L102">
        <v>0</v>
      </c>
      <c r="M102">
        <f>IF((DST_123_ÜRETİM_İHTİYAÇ_RAPORU_BURAK_YENI1309[[#This Row],[SATINALMA]]*DST_123_ÜRETİM_İHTİYAÇ_RAPORU_BURAK_YENI1309[[#This Row],[BIRIM_FIYATLAR]])&lt;1,VALUE("0"),DST_123_ÜRETİM_İHTİYAÇ_RAPORU_BURAK_YENI1309[[#This Row],[SATINALMA]]*DST_123_ÜRETİM_İHTİYAÇ_RAPORU_BURAK_YENI1309[[#This Row],[BIRIM_FIYATLAR]])</f>
        <v>0</v>
      </c>
      <c r="N102">
        <v>3.46</v>
      </c>
      <c r="O102" t="s">
        <v>882</v>
      </c>
      <c r="P102">
        <v>107.26</v>
      </c>
      <c r="Q102" t="s">
        <v>180</v>
      </c>
    </row>
    <row r="103" spans="1:17" x14ac:dyDescent="0.25">
      <c r="A103" t="s">
        <v>1196</v>
      </c>
      <c r="B103" t="s">
        <v>1197</v>
      </c>
      <c r="C103" t="s">
        <v>175</v>
      </c>
      <c r="D103" t="s">
        <v>915</v>
      </c>
      <c r="E103" t="s">
        <v>916</v>
      </c>
      <c r="F103">
        <v>3</v>
      </c>
      <c r="G103" t="s">
        <v>179</v>
      </c>
      <c r="H103">
        <v>0</v>
      </c>
      <c r="I103">
        <v>100</v>
      </c>
      <c r="J103" s="10">
        <v>26</v>
      </c>
      <c r="K103" s="10">
        <f>SUMIFS(F:F,D:D,DST_123_ÜRETİM_İHTİYAÇ_RAPORU_BURAK_YENI1309[[#This Row],[ALT_KOD]])-(SUMIFS(H:H,D:D,DST_123_ÜRETİM_İHTİYAÇ_RAPORU_BURAK_YENI1309[[#This Row],[ALT_KOD]])+AVERAGEIFS(I:I,D:D,DST_123_ÜRETİM_İHTİYAÇ_RAPORU_BURAK_YENI1309[[#This Row],[ALT_KOD]])+AVERAGEIFS(L:L,D:D,DST_123_ÜRETİM_İHTİYAÇ_RAPORU_BURAK_YENI1309[[#This Row],[ALT_KOD]]))</f>
        <v>-85</v>
      </c>
      <c r="L103">
        <v>0</v>
      </c>
      <c r="M103">
        <f>IF((DST_123_ÜRETİM_İHTİYAÇ_RAPORU_BURAK_YENI1309[[#This Row],[SATINALMA]]*DST_123_ÜRETİM_İHTİYAÇ_RAPORU_BURAK_YENI1309[[#This Row],[BIRIM_FIYATLAR]])&lt;1,VALUE("0"),DST_123_ÜRETİM_İHTİYAÇ_RAPORU_BURAK_YENI1309[[#This Row],[SATINALMA]]*DST_123_ÜRETİM_İHTİYAÇ_RAPORU_BURAK_YENI1309[[#This Row],[BIRIM_FIYATLAR]])</f>
        <v>0</v>
      </c>
      <c r="N103">
        <v>49.1</v>
      </c>
      <c r="O103" t="s">
        <v>826</v>
      </c>
      <c r="P103">
        <v>147.30000000000001</v>
      </c>
      <c r="Q103" t="s">
        <v>221</v>
      </c>
    </row>
    <row r="104" spans="1:17" x14ac:dyDescent="0.25">
      <c r="A104" t="s">
        <v>1196</v>
      </c>
      <c r="B104" t="s">
        <v>1197</v>
      </c>
      <c r="C104" t="s">
        <v>175</v>
      </c>
      <c r="D104" t="s">
        <v>42</v>
      </c>
      <c r="E104" t="s">
        <v>43</v>
      </c>
      <c r="F104">
        <v>33</v>
      </c>
      <c r="G104" t="s">
        <v>176</v>
      </c>
      <c r="H104">
        <v>0</v>
      </c>
      <c r="I104">
        <v>2800</v>
      </c>
      <c r="J104" s="10">
        <v>2439</v>
      </c>
      <c r="K104" s="10">
        <f>SUMIFS(F:F,D:D,DST_123_ÜRETİM_İHTİYAÇ_RAPORU_BURAK_YENI1309[[#This Row],[ALT_KOD]])-(SUMIFS(H:H,D:D,DST_123_ÜRETİM_İHTİYAÇ_RAPORU_BURAK_YENI1309[[#This Row],[ALT_KOD]])+AVERAGEIFS(I:I,D:D,DST_123_ÜRETİM_İHTİYAÇ_RAPORU_BURAK_YENI1309[[#This Row],[ALT_KOD]])+AVERAGEIFS(L:L,D:D,DST_123_ÜRETİM_İHTİYAÇ_RAPORU_BURAK_YENI1309[[#This Row],[ALT_KOD]]))</f>
        <v>-1645</v>
      </c>
      <c r="L104">
        <v>0</v>
      </c>
      <c r="M104">
        <f>IF((DST_123_ÜRETİM_İHTİYAÇ_RAPORU_BURAK_YENI1309[[#This Row],[SATINALMA]]*DST_123_ÜRETİM_İHTİYAÇ_RAPORU_BURAK_YENI1309[[#This Row],[BIRIM_FIYATLAR]])&lt;1,VALUE("0"),DST_123_ÜRETİM_İHTİYAÇ_RAPORU_BURAK_YENI1309[[#This Row],[SATINALMA]]*DST_123_ÜRETİM_İHTİYAÇ_RAPORU_BURAK_YENI1309[[#This Row],[BIRIM_FIYATLAR]])</f>
        <v>0</v>
      </c>
      <c r="N104">
        <v>0.18</v>
      </c>
      <c r="O104" t="s">
        <v>240</v>
      </c>
      <c r="P104">
        <v>5.9399999999999995</v>
      </c>
      <c r="Q104" t="s">
        <v>180</v>
      </c>
    </row>
    <row r="105" spans="1:17" x14ac:dyDescent="0.25">
      <c r="A105" t="s">
        <v>1098</v>
      </c>
      <c r="B105" t="s">
        <v>1096</v>
      </c>
      <c r="C105" t="s">
        <v>175</v>
      </c>
      <c r="D105" t="s">
        <v>42</v>
      </c>
      <c r="E105" t="s">
        <v>43</v>
      </c>
      <c r="F105">
        <v>83</v>
      </c>
      <c r="G105" t="s">
        <v>176</v>
      </c>
      <c r="H105">
        <v>0</v>
      </c>
      <c r="I105">
        <v>2800</v>
      </c>
      <c r="J105" s="10">
        <v>2439</v>
      </c>
      <c r="K105" s="10">
        <f>SUMIFS(F:F,D:D,DST_123_ÜRETİM_İHTİYAÇ_RAPORU_BURAK_YENI1309[[#This Row],[ALT_KOD]])-(SUMIFS(H:H,D:D,DST_123_ÜRETİM_İHTİYAÇ_RAPORU_BURAK_YENI1309[[#This Row],[ALT_KOD]])+AVERAGEIFS(I:I,D:D,DST_123_ÜRETİM_İHTİYAÇ_RAPORU_BURAK_YENI1309[[#This Row],[ALT_KOD]])+AVERAGEIFS(L:L,D:D,DST_123_ÜRETİM_İHTİYAÇ_RAPORU_BURAK_YENI1309[[#This Row],[ALT_KOD]]))</f>
        <v>-1645</v>
      </c>
      <c r="L105">
        <v>0</v>
      </c>
      <c r="M105">
        <f>IF((DST_123_ÜRETİM_İHTİYAÇ_RAPORU_BURAK_YENI1309[[#This Row],[SATINALMA]]*DST_123_ÜRETİM_İHTİYAÇ_RAPORU_BURAK_YENI1309[[#This Row],[BIRIM_FIYATLAR]])&lt;1,VALUE("0"),DST_123_ÜRETİM_İHTİYAÇ_RAPORU_BURAK_YENI1309[[#This Row],[SATINALMA]]*DST_123_ÜRETİM_İHTİYAÇ_RAPORU_BURAK_YENI1309[[#This Row],[BIRIM_FIYATLAR]])</f>
        <v>0</v>
      </c>
      <c r="N105">
        <v>0.18</v>
      </c>
      <c r="O105" t="s">
        <v>240</v>
      </c>
      <c r="P105">
        <v>14.94</v>
      </c>
      <c r="Q105" t="s">
        <v>180</v>
      </c>
    </row>
    <row r="106" spans="1:17" x14ac:dyDescent="0.25">
      <c r="A106" t="s">
        <v>1196</v>
      </c>
      <c r="B106" t="s">
        <v>1197</v>
      </c>
      <c r="C106" t="s">
        <v>175</v>
      </c>
      <c r="D106" t="s">
        <v>44</v>
      </c>
      <c r="E106" t="s">
        <v>45</v>
      </c>
      <c r="F106">
        <v>15</v>
      </c>
      <c r="G106" t="s">
        <v>176</v>
      </c>
      <c r="H106">
        <v>0</v>
      </c>
      <c r="I106">
        <v>170</v>
      </c>
      <c r="J106" s="10">
        <v>18</v>
      </c>
      <c r="K106" s="10">
        <f>SUMIFS(F:F,D:D,DST_123_ÜRETİM_İHTİYAÇ_RAPORU_BURAK_YENI1309[[#This Row],[ALT_KOD]])-(SUMIFS(H:H,D:D,DST_123_ÜRETİM_İHTİYAÇ_RAPORU_BURAK_YENI1309[[#This Row],[ALT_KOD]])+AVERAGEIFS(I:I,D:D,DST_123_ÜRETİM_İHTİYAÇ_RAPORU_BURAK_YENI1309[[#This Row],[ALT_KOD]])+AVERAGEIFS(L:L,D:D,DST_123_ÜRETİM_İHTİYAÇ_RAPORU_BURAK_YENI1309[[#This Row],[ALT_KOD]]))</f>
        <v>124</v>
      </c>
      <c r="L106">
        <v>0</v>
      </c>
      <c r="M106">
        <f>IF((DST_123_ÜRETİM_İHTİYAÇ_RAPORU_BURAK_YENI1309[[#This Row],[SATINALMA]]*DST_123_ÜRETİM_İHTİYAÇ_RAPORU_BURAK_YENI1309[[#This Row],[BIRIM_FIYATLAR]])&lt;1,VALUE("0"),DST_123_ÜRETİM_İHTİYAÇ_RAPORU_BURAK_YENI1309[[#This Row],[SATINALMA]]*DST_123_ÜRETİM_İHTİYAÇ_RAPORU_BURAK_YENI1309[[#This Row],[BIRIM_FIYATLAR]])</f>
        <v>2046</v>
      </c>
      <c r="N106">
        <v>16.5</v>
      </c>
      <c r="O106" t="s">
        <v>240</v>
      </c>
      <c r="P106">
        <v>247.5</v>
      </c>
      <c r="Q106" t="s">
        <v>180</v>
      </c>
    </row>
    <row r="107" spans="1:17" x14ac:dyDescent="0.25">
      <c r="A107" t="s">
        <v>1099</v>
      </c>
      <c r="B107" t="s">
        <v>1055</v>
      </c>
      <c r="C107" t="s">
        <v>175</v>
      </c>
      <c r="D107" t="s">
        <v>44</v>
      </c>
      <c r="E107" t="s">
        <v>45</v>
      </c>
      <c r="F107">
        <v>16</v>
      </c>
      <c r="G107" t="s">
        <v>176</v>
      </c>
      <c r="H107">
        <v>0</v>
      </c>
      <c r="I107">
        <v>170</v>
      </c>
      <c r="J107" s="10">
        <v>18</v>
      </c>
      <c r="K107" s="10">
        <f>SUMIFS(F:F,D:D,DST_123_ÜRETİM_İHTİYAÇ_RAPORU_BURAK_YENI1309[[#This Row],[ALT_KOD]])-(SUMIFS(H:H,D:D,DST_123_ÜRETİM_İHTİYAÇ_RAPORU_BURAK_YENI1309[[#This Row],[ALT_KOD]])+AVERAGEIFS(I:I,D:D,DST_123_ÜRETİM_İHTİYAÇ_RAPORU_BURAK_YENI1309[[#This Row],[ALT_KOD]])+AVERAGEIFS(L:L,D:D,DST_123_ÜRETİM_İHTİYAÇ_RAPORU_BURAK_YENI1309[[#This Row],[ALT_KOD]]))</f>
        <v>124</v>
      </c>
      <c r="L107">
        <v>0</v>
      </c>
      <c r="M107">
        <f>IF((DST_123_ÜRETİM_İHTİYAÇ_RAPORU_BURAK_YENI1309[[#This Row],[SATINALMA]]*DST_123_ÜRETİM_İHTİYAÇ_RAPORU_BURAK_YENI1309[[#This Row],[BIRIM_FIYATLAR]])&lt;1,VALUE("0"),DST_123_ÜRETİM_İHTİYAÇ_RAPORU_BURAK_YENI1309[[#This Row],[SATINALMA]]*DST_123_ÜRETİM_İHTİYAÇ_RAPORU_BURAK_YENI1309[[#This Row],[BIRIM_FIYATLAR]])</f>
        <v>2046</v>
      </c>
      <c r="N107">
        <v>16.5</v>
      </c>
      <c r="O107" t="s">
        <v>240</v>
      </c>
      <c r="P107">
        <v>264</v>
      </c>
      <c r="Q107" t="s">
        <v>180</v>
      </c>
    </row>
    <row r="108" spans="1:17" x14ac:dyDescent="0.25">
      <c r="A108" t="s">
        <v>1097</v>
      </c>
      <c r="B108" t="s">
        <v>1055</v>
      </c>
      <c r="C108" t="s">
        <v>175</v>
      </c>
      <c r="D108" t="s">
        <v>42</v>
      </c>
      <c r="E108" t="s">
        <v>43</v>
      </c>
      <c r="F108">
        <v>68</v>
      </c>
      <c r="G108" t="s">
        <v>176</v>
      </c>
      <c r="H108">
        <v>0</v>
      </c>
      <c r="I108">
        <v>2800</v>
      </c>
      <c r="J108" s="10">
        <v>2439</v>
      </c>
      <c r="K108" s="10">
        <f>SUMIFS(F:F,D:D,DST_123_ÜRETİM_İHTİYAÇ_RAPORU_BURAK_YENI1309[[#This Row],[ALT_KOD]])-(SUMIFS(H:H,D:D,DST_123_ÜRETİM_İHTİYAÇ_RAPORU_BURAK_YENI1309[[#This Row],[ALT_KOD]])+AVERAGEIFS(I:I,D:D,DST_123_ÜRETİM_İHTİYAÇ_RAPORU_BURAK_YENI1309[[#This Row],[ALT_KOD]])+AVERAGEIFS(L:L,D:D,DST_123_ÜRETİM_İHTİYAÇ_RAPORU_BURAK_YENI1309[[#This Row],[ALT_KOD]]))</f>
        <v>-1645</v>
      </c>
      <c r="L108">
        <v>0</v>
      </c>
      <c r="M108">
        <f>IF((DST_123_ÜRETİM_İHTİYAÇ_RAPORU_BURAK_YENI1309[[#This Row],[SATINALMA]]*DST_123_ÜRETİM_İHTİYAÇ_RAPORU_BURAK_YENI1309[[#This Row],[BIRIM_FIYATLAR]])&lt;1,VALUE("0"),DST_123_ÜRETİM_İHTİYAÇ_RAPORU_BURAK_YENI1309[[#This Row],[SATINALMA]]*DST_123_ÜRETİM_İHTİYAÇ_RAPORU_BURAK_YENI1309[[#This Row],[BIRIM_FIYATLAR]])</f>
        <v>0</v>
      </c>
      <c r="N108">
        <v>0.18</v>
      </c>
      <c r="O108" t="s">
        <v>240</v>
      </c>
      <c r="P108">
        <v>12.24</v>
      </c>
      <c r="Q108" t="s">
        <v>180</v>
      </c>
    </row>
    <row r="109" spans="1:17" x14ac:dyDescent="0.25">
      <c r="A109" t="s">
        <v>1142</v>
      </c>
      <c r="B109" t="s">
        <v>1056</v>
      </c>
      <c r="C109" t="s">
        <v>175</v>
      </c>
      <c r="D109" t="s">
        <v>48</v>
      </c>
      <c r="E109" t="s">
        <v>49</v>
      </c>
      <c r="F109">
        <v>2</v>
      </c>
      <c r="G109" t="s">
        <v>176</v>
      </c>
      <c r="H109">
        <v>0</v>
      </c>
      <c r="I109">
        <v>21</v>
      </c>
      <c r="J109" s="10">
        <v>30</v>
      </c>
      <c r="K109" s="10">
        <f>SUMIFS(F:F,D:D,DST_123_ÜRETİM_İHTİYAÇ_RAPORU_BURAK_YENI1309[[#This Row],[ALT_KOD]])-(SUMIFS(H:H,D:D,DST_123_ÜRETİM_İHTİYAÇ_RAPORU_BURAK_YENI1309[[#This Row],[ALT_KOD]])+AVERAGEIFS(I:I,D:D,DST_123_ÜRETİM_İHTİYAÇ_RAPORU_BURAK_YENI1309[[#This Row],[ALT_KOD]])+AVERAGEIFS(L:L,D:D,DST_123_ÜRETİM_İHTİYAÇ_RAPORU_BURAK_YENI1309[[#This Row],[ALT_KOD]]))</f>
        <v>1</v>
      </c>
      <c r="L109">
        <v>0</v>
      </c>
      <c r="M109">
        <f>IF((DST_123_ÜRETİM_İHTİYAÇ_RAPORU_BURAK_YENI1309[[#This Row],[SATINALMA]]*DST_123_ÜRETİM_İHTİYAÇ_RAPORU_BURAK_YENI1309[[#This Row],[BIRIM_FIYATLAR]])&lt;1,VALUE("0"),DST_123_ÜRETİM_İHTİYAÇ_RAPORU_BURAK_YENI1309[[#This Row],[SATINALMA]]*DST_123_ÜRETİM_İHTİYAÇ_RAPORU_BURAK_YENI1309[[#This Row],[BIRIM_FIYATLAR]])</f>
        <v>42</v>
      </c>
      <c r="N109">
        <v>42</v>
      </c>
      <c r="O109" t="s">
        <v>245</v>
      </c>
      <c r="P109">
        <v>84</v>
      </c>
      <c r="Q109" t="s">
        <v>180</v>
      </c>
    </row>
    <row r="110" spans="1:17" x14ac:dyDescent="0.25">
      <c r="A110" t="s">
        <v>1150</v>
      </c>
      <c r="B110" t="s">
        <v>1145</v>
      </c>
      <c r="C110" t="s">
        <v>175</v>
      </c>
      <c r="D110" t="s">
        <v>48</v>
      </c>
      <c r="E110" t="s">
        <v>49</v>
      </c>
      <c r="F110">
        <v>2</v>
      </c>
      <c r="G110" t="s">
        <v>176</v>
      </c>
      <c r="H110">
        <v>0</v>
      </c>
      <c r="I110">
        <v>21</v>
      </c>
      <c r="J110" s="10">
        <v>30</v>
      </c>
      <c r="K110" s="10">
        <f>SUMIFS(F:F,D:D,DST_123_ÜRETİM_İHTİYAÇ_RAPORU_BURAK_YENI1309[[#This Row],[ALT_KOD]])-(SUMIFS(H:H,D:D,DST_123_ÜRETİM_İHTİYAÇ_RAPORU_BURAK_YENI1309[[#This Row],[ALT_KOD]])+AVERAGEIFS(I:I,D:D,DST_123_ÜRETİM_İHTİYAÇ_RAPORU_BURAK_YENI1309[[#This Row],[ALT_KOD]])+AVERAGEIFS(L:L,D:D,DST_123_ÜRETİM_İHTİYAÇ_RAPORU_BURAK_YENI1309[[#This Row],[ALT_KOD]]))</f>
        <v>1</v>
      </c>
      <c r="L110">
        <v>0</v>
      </c>
      <c r="M110">
        <f>IF((DST_123_ÜRETİM_İHTİYAÇ_RAPORU_BURAK_YENI1309[[#This Row],[SATINALMA]]*DST_123_ÜRETİM_İHTİYAÇ_RAPORU_BURAK_YENI1309[[#This Row],[BIRIM_FIYATLAR]])&lt;1,VALUE("0"),DST_123_ÜRETİM_İHTİYAÇ_RAPORU_BURAK_YENI1309[[#This Row],[SATINALMA]]*DST_123_ÜRETİM_İHTİYAÇ_RAPORU_BURAK_YENI1309[[#This Row],[BIRIM_FIYATLAR]])</f>
        <v>42</v>
      </c>
      <c r="N110">
        <v>42</v>
      </c>
      <c r="O110" t="s">
        <v>245</v>
      </c>
      <c r="P110">
        <v>84</v>
      </c>
      <c r="Q110" t="s">
        <v>180</v>
      </c>
    </row>
    <row r="111" spans="1:17" x14ac:dyDescent="0.25">
      <c r="A111" t="s">
        <v>1150</v>
      </c>
      <c r="B111" t="s">
        <v>1145</v>
      </c>
      <c r="C111" t="s">
        <v>175</v>
      </c>
      <c r="D111" t="s">
        <v>355</v>
      </c>
      <c r="E111" t="s">
        <v>356</v>
      </c>
      <c r="F111">
        <v>16</v>
      </c>
      <c r="G111" t="s">
        <v>176</v>
      </c>
      <c r="H111">
        <v>0</v>
      </c>
      <c r="I111">
        <v>4822</v>
      </c>
      <c r="J111" s="10">
        <v>811</v>
      </c>
      <c r="K111" s="10">
        <f>SUMIFS(F:F,D:D,DST_123_ÜRETİM_İHTİYAÇ_RAPORU_BURAK_YENI1309[[#This Row],[ALT_KOD]])-(SUMIFS(H:H,D:D,DST_123_ÜRETİM_İHTİYAÇ_RAPORU_BURAK_YENI1309[[#This Row],[ALT_KOD]])+AVERAGEIFS(I:I,D:D,DST_123_ÜRETİM_İHTİYAÇ_RAPORU_BURAK_YENI1309[[#This Row],[ALT_KOD]])+AVERAGEIFS(L:L,D:D,DST_123_ÜRETİM_İHTİYAÇ_RAPORU_BURAK_YENI1309[[#This Row],[ALT_KOD]]))</f>
        <v>-4638</v>
      </c>
      <c r="L111">
        <v>0</v>
      </c>
      <c r="M111">
        <f>IF((DST_123_ÜRETİM_İHTİYAÇ_RAPORU_BURAK_YENI1309[[#This Row],[SATINALMA]]*DST_123_ÜRETİM_İHTİYAÇ_RAPORU_BURAK_YENI1309[[#This Row],[BIRIM_FIYATLAR]])&lt;1,VALUE("0"),DST_123_ÜRETİM_İHTİYAÇ_RAPORU_BURAK_YENI1309[[#This Row],[SATINALMA]]*DST_123_ÜRETİM_İHTİYAÇ_RAPORU_BURAK_YENI1309[[#This Row],[BIRIM_FIYATLAR]])</f>
        <v>0</v>
      </c>
      <c r="N111">
        <v>0.3</v>
      </c>
      <c r="O111" t="s">
        <v>240</v>
      </c>
      <c r="P111">
        <v>4.8</v>
      </c>
      <c r="Q111" t="s">
        <v>180</v>
      </c>
    </row>
    <row r="112" spans="1:17" x14ac:dyDescent="0.25">
      <c r="A112" t="s">
        <v>1097</v>
      </c>
      <c r="B112" t="s">
        <v>1055</v>
      </c>
      <c r="C112" t="s">
        <v>175</v>
      </c>
      <c r="D112" t="s">
        <v>530</v>
      </c>
      <c r="E112" t="s">
        <v>531</v>
      </c>
      <c r="F112">
        <v>0.25</v>
      </c>
      <c r="G112" t="s">
        <v>176</v>
      </c>
      <c r="H112">
        <v>0</v>
      </c>
      <c r="I112">
        <v>5</v>
      </c>
      <c r="J112" s="10">
        <v>9.7999999999999954</v>
      </c>
      <c r="K112" s="10">
        <f>SUMIFS(F:F,D:D,DST_123_ÜRETİM_İHTİYAÇ_RAPORU_BURAK_YENI1309[[#This Row],[ALT_KOD]])-(SUMIFS(H:H,D:D,DST_123_ÜRETİM_İHTİYAÇ_RAPORU_BURAK_YENI1309[[#This Row],[ALT_KOD]])+AVERAGEIFS(I:I,D:D,DST_123_ÜRETİM_İHTİYAÇ_RAPORU_BURAK_YENI1309[[#This Row],[ALT_KOD]])+AVERAGEIFS(L:L,D:D,DST_123_ÜRETİM_İHTİYAÇ_RAPORU_BURAK_YENI1309[[#This Row],[ALT_KOD]]))</f>
        <v>0.19999999999999929</v>
      </c>
      <c r="L112">
        <v>0</v>
      </c>
      <c r="M112">
        <f>IF((DST_123_ÜRETİM_İHTİYAÇ_RAPORU_BURAK_YENI1309[[#This Row],[SATINALMA]]*DST_123_ÜRETİM_İHTİYAÇ_RAPORU_BURAK_YENI1309[[#This Row],[BIRIM_FIYATLAR]])&lt;1,VALUE("0"),DST_123_ÜRETİM_İHTİYAÇ_RAPORU_BURAK_YENI1309[[#This Row],[SATINALMA]]*DST_123_ÜRETİM_İHTİYAÇ_RAPORU_BURAK_YENI1309[[#This Row],[BIRIM_FIYATLAR]])</f>
        <v>7.599999999999973</v>
      </c>
      <c r="N112">
        <v>38</v>
      </c>
      <c r="O112" t="s">
        <v>240</v>
      </c>
      <c r="P112">
        <v>9.5</v>
      </c>
      <c r="Q112" t="s">
        <v>180</v>
      </c>
    </row>
    <row r="113" spans="1:17" x14ac:dyDescent="0.25">
      <c r="A113" t="s">
        <v>1143</v>
      </c>
      <c r="B113" t="s">
        <v>1056</v>
      </c>
      <c r="C113" t="s">
        <v>175</v>
      </c>
      <c r="D113" t="s">
        <v>530</v>
      </c>
      <c r="E113" t="s">
        <v>531</v>
      </c>
      <c r="F113">
        <v>0.25</v>
      </c>
      <c r="G113" t="s">
        <v>176</v>
      </c>
      <c r="H113">
        <v>0</v>
      </c>
      <c r="I113">
        <v>5</v>
      </c>
      <c r="J113" s="10">
        <v>9.7999999999999954</v>
      </c>
      <c r="K113" s="10">
        <f>SUMIFS(F:F,D:D,DST_123_ÜRETİM_İHTİYAÇ_RAPORU_BURAK_YENI1309[[#This Row],[ALT_KOD]])-(SUMIFS(H:H,D:D,DST_123_ÜRETİM_İHTİYAÇ_RAPORU_BURAK_YENI1309[[#This Row],[ALT_KOD]])+AVERAGEIFS(I:I,D:D,DST_123_ÜRETİM_İHTİYAÇ_RAPORU_BURAK_YENI1309[[#This Row],[ALT_KOD]])+AVERAGEIFS(L:L,D:D,DST_123_ÜRETİM_İHTİYAÇ_RAPORU_BURAK_YENI1309[[#This Row],[ALT_KOD]]))</f>
        <v>0.19999999999999929</v>
      </c>
      <c r="L113">
        <v>0</v>
      </c>
      <c r="M113">
        <f>IF((DST_123_ÜRETİM_İHTİYAÇ_RAPORU_BURAK_YENI1309[[#This Row],[SATINALMA]]*DST_123_ÜRETİM_İHTİYAÇ_RAPORU_BURAK_YENI1309[[#This Row],[BIRIM_FIYATLAR]])&lt;1,VALUE("0"),DST_123_ÜRETİM_İHTİYAÇ_RAPORU_BURAK_YENI1309[[#This Row],[SATINALMA]]*DST_123_ÜRETİM_İHTİYAÇ_RAPORU_BURAK_YENI1309[[#This Row],[BIRIM_FIYATLAR]])</f>
        <v>7.599999999999973</v>
      </c>
      <c r="N113">
        <v>38</v>
      </c>
      <c r="O113" t="s">
        <v>240</v>
      </c>
      <c r="P113">
        <v>9.5</v>
      </c>
      <c r="Q113" t="s">
        <v>180</v>
      </c>
    </row>
    <row r="114" spans="1:17" x14ac:dyDescent="0.25">
      <c r="A114" t="s">
        <v>1097</v>
      </c>
      <c r="B114" t="s">
        <v>1055</v>
      </c>
      <c r="C114" t="s">
        <v>175</v>
      </c>
      <c r="D114" t="s">
        <v>370</v>
      </c>
      <c r="E114" t="s">
        <v>371</v>
      </c>
      <c r="F114">
        <v>14</v>
      </c>
      <c r="G114" t="s">
        <v>176</v>
      </c>
      <c r="H114">
        <v>0</v>
      </c>
      <c r="I114">
        <v>166</v>
      </c>
      <c r="J114" s="10">
        <v>61</v>
      </c>
      <c r="K114" s="10">
        <f>SUMIFS(F:F,D:D,DST_123_ÜRETİM_İHTİYAÇ_RAPORU_BURAK_YENI1309[[#This Row],[ALT_KOD]])-(SUMIFS(H:H,D:D,DST_123_ÜRETİM_İHTİYAÇ_RAPORU_BURAK_YENI1309[[#This Row],[ALT_KOD]])+AVERAGEIFS(I:I,D:D,DST_123_ÜRETİM_İHTİYAÇ_RAPORU_BURAK_YENI1309[[#This Row],[ALT_KOD]])+AVERAGEIFS(L:L,D:D,DST_123_ÜRETİM_İHTİYAÇ_RAPORU_BURAK_YENI1309[[#This Row],[ALT_KOD]]))</f>
        <v>48</v>
      </c>
      <c r="L114">
        <v>0</v>
      </c>
      <c r="M114">
        <f>IF((DST_123_ÜRETİM_İHTİYAÇ_RAPORU_BURAK_YENI1309[[#This Row],[SATINALMA]]*DST_123_ÜRETİM_İHTİYAÇ_RAPORU_BURAK_YENI1309[[#This Row],[BIRIM_FIYATLAR]])&lt;1,VALUE("0"),DST_123_ÜRETİM_İHTİYAÇ_RAPORU_BURAK_YENI1309[[#This Row],[SATINALMA]]*DST_123_ÜRETİM_İHTİYAÇ_RAPORU_BURAK_YENI1309[[#This Row],[BIRIM_FIYATLAR]])</f>
        <v>960</v>
      </c>
      <c r="N114">
        <v>20</v>
      </c>
      <c r="O114" t="s">
        <v>240</v>
      </c>
      <c r="P114">
        <v>280</v>
      </c>
      <c r="Q114" t="s">
        <v>180</v>
      </c>
    </row>
    <row r="115" spans="1:17" x14ac:dyDescent="0.25">
      <c r="A115" t="s">
        <v>1095</v>
      </c>
      <c r="B115" t="s">
        <v>1096</v>
      </c>
      <c r="C115" t="s">
        <v>175</v>
      </c>
      <c r="D115" t="s">
        <v>370</v>
      </c>
      <c r="E115" t="s">
        <v>371</v>
      </c>
      <c r="F115">
        <v>14</v>
      </c>
      <c r="G115" t="s">
        <v>176</v>
      </c>
      <c r="H115">
        <v>0</v>
      </c>
      <c r="I115">
        <v>166</v>
      </c>
      <c r="J115" s="10">
        <v>61</v>
      </c>
      <c r="K115" s="10">
        <f>SUMIFS(F:F,D:D,DST_123_ÜRETİM_İHTİYAÇ_RAPORU_BURAK_YENI1309[[#This Row],[ALT_KOD]])-(SUMIFS(H:H,D:D,DST_123_ÜRETİM_İHTİYAÇ_RAPORU_BURAK_YENI1309[[#This Row],[ALT_KOD]])+AVERAGEIFS(I:I,D:D,DST_123_ÜRETİM_İHTİYAÇ_RAPORU_BURAK_YENI1309[[#This Row],[ALT_KOD]])+AVERAGEIFS(L:L,D:D,DST_123_ÜRETİM_İHTİYAÇ_RAPORU_BURAK_YENI1309[[#This Row],[ALT_KOD]]))</f>
        <v>48</v>
      </c>
      <c r="L115">
        <v>0</v>
      </c>
      <c r="M115">
        <f>IF((DST_123_ÜRETİM_İHTİYAÇ_RAPORU_BURAK_YENI1309[[#This Row],[SATINALMA]]*DST_123_ÜRETİM_İHTİYAÇ_RAPORU_BURAK_YENI1309[[#This Row],[BIRIM_FIYATLAR]])&lt;1,VALUE("0"),DST_123_ÜRETİM_İHTİYAÇ_RAPORU_BURAK_YENI1309[[#This Row],[SATINALMA]]*DST_123_ÜRETİM_İHTİYAÇ_RAPORU_BURAK_YENI1309[[#This Row],[BIRIM_FIYATLAR]])</f>
        <v>960</v>
      </c>
      <c r="N115">
        <v>20</v>
      </c>
      <c r="O115" t="s">
        <v>240</v>
      </c>
      <c r="P115">
        <v>280</v>
      </c>
      <c r="Q115" t="s">
        <v>180</v>
      </c>
    </row>
    <row r="116" spans="1:17" x14ac:dyDescent="0.25">
      <c r="A116" t="s">
        <v>1059</v>
      </c>
      <c r="B116" t="s">
        <v>1058</v>
      </c>
      <c r="C116" t="s">
        <v>175</v>
      </c>
      <c r="D116" t="s">
        <v>370</v>
      </c>
      <c r="E116" t="s">
        <v>371</v>
      </c>
      <c r="F116">
        <v>10</v>
      </c>
      <c r="G116" t="s">
        <v>176</v>
      </c>
      <c r="H116">
        <v>0</v>
      </c>
      <c r="I116">
        <v>166</v>
      </c>
      <c r="J116" s="10">
        <v>61</v>
      </c>
      <c r="K116" s="10">
        <f>SUMIFS(F:F,D:D,DST_123_ÜRETİM_İHTİYAÇ_RAPORU_BURAK_YENI1309[[#This Row],[ALT_KOD]])-(SUMIFS(H:H,D:D,DST_123_ÜRETİM_İHTİYAÇ_RAPORU_BURAK_YENI1309[[#This Row],[ALT_KOD]])+AVERAGEIFS(I:I,D:D,DST_123_ÜRETİM_İHTİYAÇ_RAPORU_BURAK_YENI1309[[#This Row],[ALT_KOD]])+AVERAGEIFS(L:L,D:D,DST_123_ÜRETİM_İHTİYAÇ_RAPORU_BURAK_YENI1309[[#This Row],[ALT_KOD]]))</f>
        <v>48</v>
      </c>
      <c r="L116">
        <v>0</v>
      </c>
      <c r="M116">
        <f>IF((DST_123_ÜRETİM_İHTİYAÇ_RAPORU_BURAK_YENI1309[[#This Row],[SATINALMA]]*DST_123_ÜRETİM_İHTİYAÇ_RAPORU_BURAK_YENI1309[[#This Row],[BIRIM_FIYATLAR]])&lt;1,VALUE("0"),DST_123_ÜRETİM_İHTİYAÇ_RAPORU_BURAK_YENI1309[[#This Row],[SATINALMA]]*DST_123_ÜRETİM_İHTİYAÇ_RAPORU_BURAK_YENI1309[[#This Row],[BIRIM_FIYATLAR]])</f>
        <v>960</v>
      </c>
      <c r="N116">
        <v>20</v>
      </c>
      <c r="O116" t="s">
        <v>240</v>
      </c>
      <c r="P116">
        <v>200</v>
      </c>
      <c r="Q116" t="s">
        <v>180</v>
      </c>
    </row>
    <row r="117" spans="1:17" x14ac:dyDescent="0.25">
      <c r="A117" t="s">
        <v>1143</v>
      </c>
      <c r="B117" t="s">
        <v>1056</v>
      </c>
      <c r="C117" t="s">
        <v>175</v>
      </c>
      <c r="D117" t="s">
        <v>370</v>
      </c>
      <c r="E117" t="s">
        <v>371</v>
      </c>
      <c r="F117">
        <v>14</v>
      </c>
      <c r="G117" t="s">
        <v>176</v>
      </c>
      <c r="H117">
        <v>0</v>
      </c>
      <c r="I117">
        <v>166</v>
      </c>
      <c r="J117" s="10">
        <v>61</v>
      </c>
      <c r="K117" s="10">
        <f>SUMIFS(F:F,D:D,DST_123_ÜRETİM_İHTİYAÇ_RAPORU_BURAK_YENI1309[[#This Row],[ALT_KOD]])-(SUMIFS(H:H,D:D,DST_123_ÜRETİM_İHTİYAÇ_RAPORU_BURAK_YENI1309[[#This Row],[ALT_KOD]])+AVERAGEIFS(I:I,D:D,DST_123_ÜRETİM_İHTİYAÇ_RAPORU_BURAK_YENI1309[[#This Row],[ALT_KOD]])+AVERAGEIFS(L:L,D:D,DST_123_ÜRETİM_İHTİYAÇ_RAPORU_BURAK_YENI1309[[#This Row],[ALT_KOD]]))</f>
        <v>48</v>
      </c>
      <c r="L117">
        <v>0</v>
      </c>
      <c r="M117">
        <f>IF((DST_123_ÜRETİM_İHTİYAÇ_RAPORU_BURAK_YENI1309[[#This Row],[SATINALMA]]*DST_123_ÜRETİM_İHTİYAÇ_RAPORU_BURAK_YENI1309[[#This Row],[BIRIM_FIYATLAR]])&lt;1,VALUE("0"),DST_123_ÜRETİM_İHTİYAÇ_RAPORU_BURAK_YENI1309[[#This Row],[SATINALMA]]*DST_123_ÜRETİM_İHTİYAÇ_RAPORU_BURAK_YENI1309[[#This Row],[BIRIM_FIYATLAR]])</f>
        <v>960</v>
      </c>
      <c r="N117">
        <v>20</v>
      </c>
      <c r="O117" t="s">
        <v>240</v>
      </c>
      <c r="P117">
        <v>280</v>
      </c>
      <c r="Q117" t="s">
        <v>180</v>
      </c>
    </row>
    <row r="118" spans="1:17" x14ac:dyDescent="0.25">
      <c r="A118" t="s">
        <v>1143</v>
      </c>
      <c r="B118" t="s">
        <v>1056</v>
      </c>
      <c r="C118" t="s">
        <v>175</v>
      </c>
      <c r="D118" t="s">
        <v>46</v>
      </c>
      <c r="E118" t="s">
        <v>47</v>
      </c>
      <c r="F118">
        <v>4</v>
      </c>
      <c r="G118" t="s">
        <v>176</v>
      </c>
      <c r="H118">
        <v>0</v>
      </c>
      <c r="I118">
        <v>75</v>
      </c>
      <c r="J118" s="10">
        <v>60</v>
      </c>
      <c r="K118" s="10">
        <f>SUMIFS(F:F,D:D,DST_123_ÜRETİM_İHTİYAÇ_RAPORU_BURAK_YENI1309[[#This Row],[ALT_KOD]])-(SUMIFS(H:H,D:D,DST_123_ÜRETİM_İHTİYAÇ_RAPORU_BURAK_YENI1309[[#This Row],[ALT_KOD]])+AVERAGEIFS(I:I,D:D,DST_123_ÜRETİM_İHTİYAÇ_RAPORU_BURAK_YENI1309[[#This Row],[ALT_KOD]])+AVERAGEIFS(L:L,D:D,DST_123_ÜRETİM_İHTİYAÇ_RAPORU_BURAK_YENI1309[[#This Row],[ALT_KOD]]))</f>
        <v>-31</v>
      </c>
      <c r="L118">
        <v>0</v>
      </c>
      <c r="M118">
        <f>IF((DST_123_ÜRETİM_İHTİYAÇ_RAPORU_BURAK_YENI1309[[#This Row],[SATINALMA]]*DST_123_ÜRETİM_İHTİYAÇ_RAPORU_BURAK_YENI1309[[#This Row],[BIRIM_FIYATLAR]])&lt;1,VALUE("0"),DST_123_ÜRETİM_İHTİYAÇ_RAPORU_BURAK_YENI1309[[#This Row],[SATINALMA]]*DST_123_ÜRETİM_İHTİYAÇ_RAPORU_BURAK_YENI1309[[#This Row],[BIRIM_FIYATLAR]])</f>
        <v>0</v>
      </c>
      <c r="N118">
        <v>170</v>
      </c>
      <c r="O118" t="s">
        <v>245</v>
      </c>
      <c r="P118">
        <v>680</v>
      </c>
      <c r="Q118" t="s">
        <v>180</v>
      </c>
    </row>
    <row r="119" spans="1:17" x14ac:dyDescent="0.25">
      <c r="A119" t="s">
        <v>1149</v>
      </c>
      <c r="B119" t="s">
        <v>1145</v>
      </c>
      <c r="C119" t="s">
        <v>175</v>
      </c>
      <c r="D119" t="s">
        <v>530</v>
      </c>
      <c r="E119" t="s">
        <v>531</v>
      </c>
      <c r="F119">
        <v>0.35</v>
      </c>
      <c r="G119" t="s">
        <v>176</v>
      </c>
      <c r="H119">
        <v>0</v>
      </c>
      <c r="I119">
        <v>5</v>
      </c>
      <c r="J119" s="10">
        <v>9.7999999999999954</v>
      </c>
      <c r="K119" s="10">
        <f>SUMIFS(F:F,D:D,DST_123_ÜRETİM_İHTİYAÇ_RAPORU_BURAK_YENI1309[[#This Row],[ALT_KOD]])-(SUMIFS(H:H,D:D,DST_123_ÜRETİM_İHTİYAÇ_RAPORU_BURAK_YENI1309[[#This Row],[ALT_KOD]])+AVERAGEIFS(I:I,D:D,DST_123_ÜRETİM_İHTİYAÇ_RAPORU_BURAK_YENI1309[[#This Row],[ALT_KOD]])+AVERAGEIFS(L:L,D:D,DST_123_ÜRETİM_İHTİYAÇ_RAPORU_BURAK_YENI1309[[#This Row],[ALT_KOD]]))</f>
        <v>0.19999999999999929</v>
      </c>
      <c r="L119">
        <v>0</v>
      </c>
      <c r="M119">
        <f>IF((DST_123_ÜRETİM_İHTİYAÇ_RAPORU_BURAK_YENI1309[[#This Row],[SATINALMA]]*DST_123_ÜRETİM_İHTİYAÇ_RAPORU_BURAK_YENI1309[[#This Row],[BIRIM_FIYATLAR]])&lt;1,VALUE("0"),DST_123_ÜRETİM_İHTİYAÇ_RAPORU_BURAK_YENI1309[[#This Row],[SATINALMA]]*DST_123_ÜRETİM_İHTİYAÇ_RAPORU_BURAK_YENI1309[[#This Row],[BIRIM_FIYATLAR]])</f>
        <v>7.599999999999973</v>
      </c>
      <c r="N119">
        <v>38</v>
      </c>
      <c r="O119" t="s">
        <v>240</v>
      </c>
      <c r="P119">
        <v>13.299999999999999</v>
      </c>
      <c r="Q119" t="s">
        <v>180</v>
      </c>
    </row>
    <row r="120" spans="1:17" x14ac:dyDescent="0.25">
      <c r="A120" t="s">
        <v>1146</v>
      </c>
      <c r="B120" t="s">
        <v>1145</v>
      </c>
      <c r="C120" t="s">
        <v>175</v>
      </c>
      <c r="D120" t="s">
        <v>530</v>
      </c>
      <c r="E120" t="s">
        <v>531</v>
      </c>
      <c r="F120">
        <v>0.35</v>
      </c>
      <c r="G120" t="s">
        <v>176</v>
      </c>
      <c r="H120">
        <v>0</v>
      </c>
      <c r="I120">
        <v>5</v>
      </c>
      <c r="J120" s="10">
        <v>9.7999999999999954</v>
      </c>
      <c r="K120" s="10">
        <f>SUMIFS(F:F,D:D,DST_123_ÜRETİM_İHTİYAÇ_RAPORU_BURAK_YENI1309[[#This Row],[ALT_KOD]])-(SUMIFS(H:H,D:D,DST_123_ÜRETİM_İHTİYAÇ_RAPORU_BURAK_YENI1309[[#This Row],[ALT_KOD]])+AVERAGEIFS(I:I,D:D,DST_123_ÜRETİM_İHTİYAÇ_RAPORU_BURAK_YENI1309[[#This Row],[ALT_KOD]])+AVERAGEIFS(L:L,D:D,DST_123_ÜRETİM_İHTİYAÇ_RAPORU_BURAK_YENI1309[[#This Row],[ALT_KOD]]))</f>
        <v>0.19999999999999929</v>
      </c>
      <c r="L120">
        <v>0</v>
      </c>
      <c r="M120">
        <f>IF((DST_123_ÜRETİM_İHTİYAÇ_RAPORU_BURAK_YENI1309[[#This Row],[SATINALMA]]*DST_123_ÜRETİM_İHTİYAÇ_RAPORU_BURAK_YENI1309[[#This Row],[BIRIM_FIYATLAR]])&lt;1,VALUE("0"),DST_123_ÜRETİM_İHTİYAÇ_RAPORU_BURAK_YENI1309[[#This Row],[SATINALMA]]*DST_123_ÜRETİM_İHTİYAÇ_RAPORU_BURAK_YENI1309[[#This Row],[BIRIM_FIYATLAR]])</f>
        <v>7.599999999999973</v>
      </c>
      <c r="N120">
        <v>38</v>
      </c>
      <c r="O120" t="s">
        <v>240</v>
      </c>
      <c r="P120">
        <v>13.299999999999999</v>
      </c>
      <c r="Q120" t="s">
        <v>180</v>
      </c>
    </row>
    <row r="121" spans="1:17" x14ac:dyDescent="0.25">
      <c r="A121" t="s">
        <v>1146</v>
      </c>
      <c r="B121" t="s">
        <v>1145</v>
      </c>
      <c r="C121" t="s">
        <v>175</v>
      </c>
      <c r="D121" t="s">
        <v>370</v>
      </c>
      <c r="E121" t="s">
        <v>371</v>
      </c>
      <c r="F121">
        <v>10</v>
      </c>
      <c r="G121" t="s">
        <v>176</v>
      </c>
      <c r="H121">
        <v>0</v>
      </c>
      <c r="I121">
        <v>166</v>
      </c>
      <c r="J121" s="10">
        <v>61</v>
      </c>
      <c r="K121" s="10">
        <f>SUMIFS(F:F,D:D,DST_123_ÜRETİM_İHTİYAÇ_RAPORU_BURAK_YENI1309[[#This Row],[ALT_KOD]])-(SUMIFS(H:H,D:D,DST_123_ÜRETİM_İHTİYAÇ_RAPORU_BURAK_YENI1309[[#This Row],[ALT_KOD]])+AVERAGEIFS(I:I,D:D,DST_123_ÜRETİM_İHTİYAÇ_RAPORU_BURAK_YENI1309[[#This Row],[ALT_KOD]])+AVERAGEIFS(L:L,D:D,DST_123_ÜRETİM_İHTİYAÇ_RAPORU_BURAK_YENI1309[[#This Row],[ALT_KOD]]))</f>
        <v>48</v>
      </c>
      <c r="L121">
        <v>0</v>
      </c>
      <c r="M121">
        <f>IF((DST_123_ÜRETİM_İHTİYAÇ_RAPORU_BURAK_YENI1309[[#This Row],[SATINALMA]]*DST_123_ÜRETİM_İHTİYAÇ_RAPORU_BURAK_YENI1309[[#This Row],[BIRIM_FIYATLAR]])&lt;1,VALUE("0"),DST_123_ÜRETİM_İHTİYAÇ_RAPORU_BURAK_YENI1309[[#This Row],[SATINALMA]]*DST_123_ÜRETİM_İHTİYAÇ_RAPORU_BURAK_YENI1309[[#This Row],[BIRIM_FIYATLAR]])</f>
        <v>960</v>
      </c>
      <c r="N121">
        <v>20</v>
      </c>
      <c r="O121" t="s">
        <v>240</v>
      </c>
      <c r="P121">
        <v>200</v>
      </c>
      <c r="Q121" t="s">
        <v>180</v>
      </c>
    </row>
    <row r="122" spans="1:17" x14ac:dyDescent="0.25">
      <c r="A122" t="s">
        <v>1144</v>
      </c>
      <c r="B122" t="s">
        <v>1145</v>
      </c>
      <c r="C122" t="s">
        <v>175</v>
      </c>
      <c r="D122" t="s">
        <v>370</v>
      </c>
      <c r="E122" t="s">
        <v>371</v>
      </c>
      <c r="F122">
        <v>10</v>
      </c>
      <c r="G122" t="s">
        <v>176</v>
      </c>
      <c r="H122">
        <v>0</v>
      </c>
      <c r="I122">
        <v>166</v>
      </c>
      <c r="J122" s="10">
        <v>61</v>
      </c>
      <c r="K122" s="10">
        <f>SUMIFS(F:F,D:D,DST_123_ÜRETİM_İHTİYAÇ_RAPORU_BURAK_YENI1309[[#This Row],[ALT_KOD]])-(SUMIFS(H:H,D:D,DST_123_ÜRETİM_İHTİYAÇ_RAPORU_BURAK_YENI1309[[#This Row],[ALT_KOD]])+AVERAGEIFS(I:I,D:D,DST_123_ÜRETİM_İHTİYAÇ_RAPORU_BURAK_YENI1309[[#This Row],[ALT_KOD]])+AVERAGEIFS(L:L,D:D,DST_123_ÜRETİM_İHTİYAÇ_RAPORU_BURAK_YENI1309[[#This Row],[ALT_KOD]]))</f>
        <v>48</v>
      </c>
      <c r="L122">
        <v>0</v>
      </c>
      <c r="M122">
        <f>IF((DST_123_ÜRETİM_İHTİYAÇ_RAPORU_BURAK_YENI1309[[#This Row],[SATINALMA]]*DST_123_ÜRETİM_İHTİYAÇ_RAPORU_BURAK_YENI1309[[#This Row],[BIRIM_FIYATLAR]])&lt;1,VALUE("0"),DST_123_ÜRETİM_İHTİYAÇ_RAPORU_BURAK_YENI1309[[#This Row],[SATINALMA]]*DST_123_ÜRETİM_İHTİYAÇ_RAPORU_BURAK_YENI1309[[#This Row],[BIRIM_FIYATLAR]])</f>
        <v>960</v>
      </c>
      <c r="N122">
        <v>20</v>
      </c>
      <c r="O122" t="s">
        <v>240</v>
      </c>
      <c r="P122">
        <v>200</v>
      </c>
      <c r="Q122" t="s">
        <v>180</v>
      </c>
    </row>
    <row r="123" spans="1:17" x14ac:dyDescent="0.25">
      <c r="A123" t="s">
        <v>1095</v>
      </c>
      <c r="B123" t="s">
        <v>1096</v>
      </c>
      <c r="C123" t="s">
        <v>175</v>
      </c>
      <c r="D123" t="s">
        <v>530</v>
      </c>
      <c r="E123" t="s">
        <v>531</v>
      </c>
      <c r="F123">
        <v>0.25</v>
      </c>
      <c r="G123" t="s">
        <v>176</v>
      </c>
      <c r="H123">
        <v>0</v>
      </c>
      <c r="I123">
        <v>5</v>
      </c>
      <c r="J123" s="10">
        <v>9.7999999999999954</v>
      </c>
      <c r="K123" s="10">
        <f>SUMIFS(F:F,D:D,DST_123_ÜRETİM_İHTİYAÇ_RAPORU_BURAK_YENI1309[[#This Row],[ALT_KOD]])-(SUMIFS(H:H,D:D,DST_123_ÜRETİM_İHTİYAÇ_RAPORU_BURAK_YENI1309[[#This Row],[ALT_KOD]])+AVERAGEIFS(I:I,D:D,DST_123_ÜRETİM_İHTİYAÇ_RAPORU_BURAK_YENI1309[[#This Row],[ALT_KOD]])+AVERAGEIFS(L:L,D:D,DST_123_ÜRETİM_İHTİYAÇ_RAPORU_BURAK_YENI1309[[#This Row],[ALT_KOD]]))</f>
        <v>0.19999999999999929</v>
      </c>
      <c r="L123">
        <v>0</v>
      </c>
      <c r="M123">
        <f>IF((DST_123_ÜRETİM_İHTİYAÇ_RAPORU_BURAK_YENI1309[[#This Row],[SATINALMA]]*DST_123_ÜRETİM_İHTİYAÇ_RAPORU_BURAK_YENI1309[[#This Row],[BIRIM_FIYATLAR]])&lt;1,VALUE("0"),DST_123_ÜRETİM_İHTİYAÇ_RAPORU_BURAK_YENI1309[[#This Row],[SATINALMA]]*DST_123_ÜRETİM_İHTİYAÇ_RAPORU_BURAK_YENI1309[[#This Row],[BIRIM_FIYATLAR]])</f>
        <v>7.599999999999973</v>
      </c>
      <c r="N123">
        <v>38</v>
      </c>
      <c r="O123" t="s">
        <v>240</v>
      </c>
      <c r="P123">
        <v>9.5</v>
      </c>
      <c r="Q123" t="s">
        <v>180</v>
      </c>
    </row>
    <row r="124" spans="1:17" x14ac:dyDescent="0.25">
      <c r="A124" t="s">
        <v>1095</v>
      </c>
      <c r="B124" t="s">
        <v>1096</v>
      </c>
      <c r="C124" t="s">
        <v>175</v>
      </c>
      <c r="D124" t="s">
        <v>46</v>
      </c>
      <c r="E124" t="s">
        <v>47</v>
      </c>
      <c r="F124">
        <v>4</v>
      </c>
      <c r="G124" t="s">
        <v>176</v>
      </c>
      <c r="H124">
        <v>0</v>
      </c>
      <c r="I124">
        <v>75</v>
      </c>
      <c r="J124" s="10">
        <v>60</v>
      </c>
      <c r="K124" s="10">
        <f>SUMIFS(F:F,D:D,DST_123_ÜRETİM_İHTİYAÇ_RAPORU_BURAK_YENI1309[[#This Row],[ALT_KOD]])-(SUMIFS(H:H,D:D,DST_123_ÜRETİM_İHTİYAÇ_RAPORU_BURAK_YENI1309[[#This Row],[ALT_KOD]])+AVERAGEIFS(I:I,D:D,DST_123_ÜRETİM_İHTİYAÇ_RAPORU_BURAK_YENI1309[[#This Row],[ALT_KOD]])+AVERAGEIFS(L:L,D:D,DST_123_ÜRETİM_İHTİYAÇ_RAPORU_BURAK_YENI1309[[#This Row],[ALT_KOD]]))</f>
        <v>-31</v>
      </c>
      <c r="L124">
        <v>0</v>
      </c>
      <c r="M124">
        <f>IF((DST_123_ÜRETİM_İHTİYAÇ_RAPORU_BURAK_YENI1309[[#This Row],[SATINALMA]]*DST_123_ÜRETİM_İHTİYAÇ_RAPORU_BURAK_YENI1309[[#This Row],[BIRIM_FIYATLAR]])&lt;1,VALUE("0"),DST_123_ÜRETİM_İHTİYAÇ_RAPORU_BURAK_YENI1309[[#This Row],[SATINALMA]]*DST_123_ÜRETİM_İHTİYAÇ_RAPORU_BURAK_YENI1309[[#This Row],[BIRIM_FIYATLAR]])</f>
        <v>0</v>
      </c>
      <c r="N124">
        <v>170</v>
      </c>
      <c r="O124" t="s">
        <v>245</v>
      </c>
      <c r="P124">
        <v>680</v>
      </c>
      <c r="Q124" t="s">
        <v>180</v>
      </c>
    </row>
    <row r="125" spans="1:17" x14ac:dyDescent="0.25">
      <c r="A125" t="s">
        <v>1144</v>
      </c>
      <c r="B125" t="s">
        <v>1145</v>
      </c>
      <c r="C125" t="s">
        <v>175</v>
      </c>
      <c r="D125" t="s">
        <v>530</v>
      </c>
      <c r="E125" t="s">
        <v>531</v>
      </c>
      <c r="F125">
        <v>0.35</v>
      </c>
      <c r="G125" t="s">
        <v>176</v>
      </c>
      <c r="H125">
        <v>0</v>
      </c>
      <c r="I125">
        <v>5</v>
      </c>
      <c r="J125" s="10">
        <v>9.7999999999999954</v>
      </c>
      <c r="K125" s="10">
        <f>SUMIFS(F:F,D:D,DST_123_ÜRETİM_İHTİYAÇ_RAPORU_BURAK_YENI1309[[#This Row],[ALT_KOD]])-(SUMIFS(H:H,D:D,DST_123_ÜRETİM_İHTİYAÇ_RAPORU_BURAK_YENI1309[[#This Row],[ALT_KOD]])+AVERAGEIFS(I:I,D:D,DST_123_ÜRETİM_İHTİYAÇ_RAPORU_BURAK_YENI1309[[#This Row],[ALT_KOD]])+AVERAGEIFS(L:L,D:D,DST_123_ÜRETİM_İHTİYAÇ_RAPORU_BURAK_YENI1309[[#This Row],[ALT_KOD]]))</f>
        <v>0.19999999999999929</v>
      </c>
      <c r="L125">
        <v>0</v>
      </c>
      <c r="M125">
        <f>IF((DST_123_ÜRETİM_İHTİYAÇ_RAPORU_BURAK_YENI1309[[#This Row],[SATINALMA]]*DST_123_ÜRETİM_İHTİYAÇ_RAPORU_BURAK_YENI1309[[#This Row],[BIRIM_FIYATLAR]])&lt;1,VALUE("0"),DST_123_ÜRETİM_İHTİYAÇ_RAPORU_BURAK_YENI1309[[#This Row],[SATINALMA]]*DST_123_ÜRETİM_İHTİYAÇ_RAPORU_BURAK_YENI1309[[#This Row],[BIRIM_FIYATLAR]])</f>
        <v>7.599999999999973</v>
      </c>
      <c r="N125">
        <v>38</v>
      </c>
      <c r="O125" t="s">
        <v>240</v>
      </c>
      <c r="P125">
        <v>13.299999999999999</v>
      </c>
      <c r="Q125" t="s">
        <v>180</v>
      </c>
    </row>
    <row r="126" spans="1:17" x14ac:dyDescent="0.25">
      <c r="A126" t="s">
        <v>1150</v>
      </c>
      <c r="B126" t="s">
        <v>1145</v>
      </c>
      <c r="C126" t="s">
        <v>175</v>
      </c>
      <c r="D126" t="s">
        <v>46</v>
      </c>
      <c r="E126" t="s">
        <v>47</v>
      </c>
      <c r="F126">
        <v>4</v>
      </c>
      <c r="G126" t="s">
        <v>176</v>
      </c>
      <c r="H126">
        <v>0</v>
      </c>
      <c r="I126">
        <v>75</v>
      </c>
      <c r="J126" s="10">
        <v>60</v>
      </c>
      <c r="K126" s="10">
        <f>SUMIFS(F:F,D:D,DST_123_ÜRETİM_İHTİYAÇ_RAPORU_BURAK_YENI1309[[#This Row],[ALT_KOD]])-(SUMIFS(H:H,D:D,DST_123_ÜRETİM_İHTİYAÇ_RAPORU_BURAK_YENI1309[[#This Row],[ALT_KOD]])+AVERAGEIFS(I:I,D:D,DST_123_ÜRETİM_İHTİYAÇ_RAPORU_BURAK_YENI1309[[#This Row],[ALT_KOD]])+AVERAGEIFS(L:L,D:D,DST_123_ÜRETİM_İHTİYAÇ_RAPORU_BURAK_YENI1309[[#This Row],[ALT_KOD]]))</f>
        <v>-31</v>
      </c>
      <c r="L126">
        <v>0</v>
      </c>
      <c r="M126">
        <f>IF((DST_123_ÜRETİM_İHTİYAÇ_RAPORU_BURAK_YENI1309[[#This Row],[SATINALMA]]*DST_123_ÜRETİM_İHTİYAÇ_RAPORU_BURAK_YENI1309[[#This Row],[BIRIM_FIYATLAR]])&lt;1,VALUE("0"),DST_123_ÜRETİM_İHTİYAÇ_RAPORU_BURAK_YENI1309[[#This Row],[SATINALMA]]*DST_123_ÜRETİM_İHTİYAÇ_RAPORU_BURAK_YENI1309[[#This Row],[BIRIM_FIYATLAR]])</f>
        <v>0</v>
      </c>
      <c r="N126">
        <v>170</v>
      </c>
      <c r="O126" t="s">
        <v>245</v>
      </c>
      <c r="P126">
        <v>680</v>
      </c>
      <c r="Q126" t="s">
        <v>180</v>
      </c>
    </row>
    <row r="127" spans="1:17" x14ac:dyDescent="0.25">
      <c r="A127" t="s">
        <v>1146</v>
      </c>
      <c r="B127" t="s">
        <v>1145</v>
      </c>
      <c r="C127" t="s">
        <v>175</v>
      </c>
      <c r="D127" t="s">
        <v>722</v>
      </c>
      <c r="E127" t="s">
        <v>723</v>
      </c>
      <c r="F127">
        <v>8</v>
      </c>
      <c r="G127" t="s">
        <v>176</v>
      </c>
      <c r="H127">
        <v>0</v>
      </c>
      <c r="I127">
        <v>1270</v>
      </c>
      <c r="J127" s="10">
        <v>698</v>
      </c>
      <c r="K127" s="10">
        <f>SUMIFS(F:F,D:D,DST_123_ÜRETİM_İHTİYAÇ_RAPORU_BURAK_YENI1309[[#This Row],[ALT_KOD]])-(SUMIFS(H:H,D:D,DST_123_ÜRETİM_İHTİYAÇ_RAPORU_BURAK_YENI1309[[#This Row],[ALT_KOD]])+AVERAGEIFS(I:I,D:D,DST_123_ÜRETİM_İHTİYAÇ_RAPORU_BURAK_YENI1309[[#This Row],[ALT_KOD]])+AVERAGEIFS(L:L,D:D,DST_123_ÜRETİM_İHTİYAÇ_RAPORU_BURAK_YENI1309[[#This Row],[ALT_KOD]]))</f>
        <v>-1174</v>
      </c>
      <c r="L127">
        <v>0</v>
      </c>
      <c r="M127">
        <f>IF((DST_123_ÜRETİM_İHTİYAÇ_RAPORU_BURAK_YENI1309[[#This Row],[SATINALMA]]*DST_123_ÜRETİM_İHTİYAÇ_RAPORU_BURAK_YENI1309[[#This Row],[BIRIM_FIYATLAR]])&lt;1,VALUE("0"),DST_123_ÜRETİM_İHTİYAÇ_RAPORU_BURAK_YENI1309[[#This Row],[SATINALMA]]*DST_123_ÜRETİM_İHTİYAÇ_RAPORU_BURAK_YENI1309[[#This Row],[BIRIM_FIYATLAR]])</f>
        <v>0</v>
      </c>
      <c r="N127">
        <v>0.55000000000000004</v>
      </c>
      <c r="O127" t="s">
        <v>240</v>
      </c>
      <c r="P127">
        <v>4.4000000000000004</v>
      </c>
      <c r="Q127" t="s">
        <v>180</v>
      </c>
    </row>
    <row r="128" spans="1:17" x14ac:dyDescent="0.25">
      <c r="A128" t="s">
        <v>1144</v>
      </c>
      <c r="B128" t="s">
        <v>1145</v>
      </c>
      <c r="C128" t="s">
        <v>175</v>
      </c>
      <c r="D128" t="s">
        <v>722</v>
      </c>
      <c r="E128" t="s">
        <v>723</v>
      </c>
      <c r="F128">
        <v>16</v>
      </c>
      <c r="G128" t="s">
        <v>176</v>
      </c>
      <c r="H128">
        <v>0</v>
      </c>
      <c r="I128">
        <v>1270</v>
      </c>
      <c r="J128" s="10">
        <v>698</v>
      </c>
      <c r="K128" s="10">
        <f>SUMIFS(F:F,D:D,DST_123_ÜRETİM_İHTİYAÇ_RAPORU_BURAK_YENI1309[[#This Row],[ALT_KOD]])-(SUMIFS(H:H,D:D,DST_123_ÜRETİM_İHTİYAÇ_RAPORU_BURAK_YENI1309[[#This Row],[ALT_KOD]])+AVERAGEIFS(I:I,D:D,DST_123_ÜRETİM_İHTİYAÇ_RAPORU_BURAK_YENI1309[[#This Row],[ALT_KOD]])+AVERAGEIFS(L:L,D:D,DST_123_ÜRETİM_İHTİYAÇ_RAPORU_BURAK_YENI1309[[#This Row],[ALT_KOD]]))</f>
        <v>-1174</v>
      </c>
      <c r="L128">
        <v>0</v>
      </c>
      <c r="M128">
        <f>IF((DST_123_ÜRETİM_İHTİYAÇ_RAPORU_BURAK_YENI1309[[#This Row],[SATINALMA]]*DST_123_ÜRETİM_İHTİYAÇ_RAPORU_BURAK_YENI1309[[#This Row],[BIRIM_FIYATLAR]])&lt;1,VALUE("0"),DST_123_ÜRETİM_İHTİYAÇ_RAPORU_BURAK_YENI1309[[#This Row],[SATINALMA]]*DST_123_ÜRETİM_İHTİYAÇ_RAPORU_BURAK_YENI1309[[#This Row],[BIRIM_FIYATLAR]])</f>
        <v>0</v>
      </c>
      <c r="N128">
        <v>0.55000000000000004</v>
      </c>
      <c r="O128" t="s">
        <v>240</v>
      </c>
      <c r="P128">
        <v>8.8000000000000007</v>
      </c>
      <c r="Q128" t="s">
        <v>180</v>
      </c>
    </row>
    <row r="129" spans="1:17" x14ac:dyDescent="0.25">
      <c r="A129" t="s">
        <v>1099</v>
      </c>
      <c r="B129" t="s">
        <v>1055</v>
      </c>
      <c r="C129" t="s">
        <v>175</v>
      </c>
      <c r="D129" t="s">
        <v>530</v>
      </c>
      <c r="E129" t="s">
        <v>531</v>
      </c>
      <c r="F129">
        <v>0.25</v>
      </c>
      <c r="G129" t="s">
        <v>176</v>
      </c>
      <c r="H129">
        <v>0</v>
      </c>
      <c r="I129">
        <v>5</v>
      </c>
      <c r="J129" s="10">
        <v>9.7999999999999954</v>
      </c>
      <c r="K129" s="10">
        <f>SUMIFS(F:F,D:D,DST_123_ÜRETİM_İHTİYAÇ_RAPORU_BURAK_YENI1309[[#This Row],[ALT_KOD]])-(SUMIFS(H:H,D:D,DST_123_ÜRETİM_İHTİYAÇ_RAPORU_BURAK_YENI1309[[#This Row],[ALT_KOD]])+AVERAGEIFS(I:I,D:D,DST_123_ÜRETİM_İHTİYAÇ_RAPORU_BURAK_YENI1309[[#This Row],[ALT_KOD]])+AVERAGEIFS(L:L,D:D,DST_123_ÜRETİM_İHTİYAÇ_RAPORU_BURAK_YENI1309[[#This Row],[ALT_KOD]]))</f>
        <v>0.19999999999999929</v>
      </c>
      <c r="L129">
        <v>0</v>
      </c>
      <c r="M129">
        <f>IF((DST_123_ÜRETİM_İHTİYAÇ_RAPORU_BURAK_YENI1309[[#This Row],[SATINALMA]]*DST_123_ÜRETİM_İHTİYAÇ_RAPORU_BURAK_YENI1309[[#This Row],[BIRIM_FIYATLAR]])&lt;1,VALUE("0"),DST_123_ÜRETİM_İHTİYAÇ_RAPORU_BURAK_YENI1309[[#This Row],[SATINALMA]]*DST_123_ÜRETİM_İHTİYAÇ_RAPORU_BURAK_YENI1309[[#This Row],[BIRIM_FIYATLAR]])</f>
        <v>7.599999999999973</v>
      </c>
      <c r="N129">
        <v>38</v>
      </c>
      <c r="O129" t="s">
        <v>240</v>
      </c>
      <c r="P129">
        <v>9.5</v>
      </c>
      <c r="Q129" t="s">
        <v>180</v>
      </c>
    </row>
    <row r="130" spans="1:17" x14ac:dyDescent="0.25">
      <c r="A130" t="s">
        <v>1142</v>
      </c>
      <c r="B130" t="s">
        <v>1056</v>
      </c>
      <c r="C130" t="s">
        <v>175</v>
      </c>
      <c r="D130" t="s">
        <v>530</v>
      </c>
      <c r="E130" t="s">
        <v>531</v>
      </c>
      <c r="F130">
        <v>0.35</v>
      </c>
      <c r="G130" t="s">
        <v>176</v>
      </c>
      <c r="H130">
        <v>0</v>
      </c>
      <c r="I130">
        <v>5</v>
      </c>
      <c r="J130" s="10">
        <v>9.7999999999999954</v>
      </c>
      <c r="K130" s="10">
        <f>SUMIFS(F:F,D:D,DST_123_ÜRETİM_İHTİYAÇ_RAPORU_BURAK_YENI1309[[#This Row],[ALT_KOD]])-(SUMIFS(H:H,D:D,DST_123_ÜRETİM_İHTİYAÇ_RAPORU_BURAK_YENI1309[[#This Row],[ALT_KOD]])+AVERAGEIFS(I:I,D:D,DST_123_ÜRETİM_İHTİYAÇ_RAPORU_BURAK_YENI1309[[#This Row],[ALT_KOD]])+AVERAGEIFS(L:L,D:D,DST_123_ÜRETİM_İHTİYAÇ_RAPORU_BURAK_YENI1309[[#This Row],[ALT_KOD]]))</f>
        <v>0.19999999999999929</v>
      </c>
      <c r="L130">
        <v>0</v>
      </c>
      <c r="M130">
        <f>IF((DST_123_ÜRETİM_İHTİYAÇ_RAPORU_BURAK_YENI1309[[#This Row],[SATINALMA]]*DST_123_ÜRETİM_İHTİYAÇ_RAPORU_BURAK_YENI1309[[#This Row],[BIRIM_FIYATLAR]])&lt;1,VALUE("0"),DST_123_ÜRETİM_İHTİYAÇ_RAPORU_BURAK_YENI1309[[#This Row],[SATINALMA]]*DST_123_ÜRETİM_İHTİYAÇ_RAPORU_BURAK_YENI1309[[#This Row],[BIRIM_FIYATLAR]])</f>
        <v>7.599999999999973</v>
      </c>
      <c r="N130">
        <v>38</v>
      </c>
      <c r="O130" t="s">
        <v>240</v>
      </c>
      <c r="P130">
        <v>13.299999999999999</v>
      </c>
      <c r="Q130" t="s">
        <v>180</v>
      </c>
    </row>
    <row r="131" spans="1:17" x14ac:dyDescent="0.25">
      <c r="A131" t="s">
        <v>1142</v>
      </c>
      <c r="B131" t="s">
        <v>1056</v>
      </c>
      <c r="C131" t="s">
        <v>175</v>
      </c>
      <c r="D131" t="s">
        <v>370</v>
      </c>
      <c r="E131" t="s">
        <v>371</v>
      </c>
      <c r="F131">
        <v>10</v>
      </c>
      <c r="G131" t="s">
        <v>176</v>
      </c>
      <c r="H131">
        <v>0</v>
      </c>
      <c r="I131">
        <v>166</v>
      </c>
      <c r="J131" s="10">
        <v>61</v>
      </c>
      <c r="K131" s="10">
        <f>SUMIFS(F:F,D:D,DST_123_ÜRETİM_İHTİYAÇ_RAPORU_BURAK_YENI1309[[#This Row],[ALT_KOD]])-(SUMIFS(H:H,D:D,DST_123_ÜRETİM_İHTİYAÇ_RAPORU_BURAK_YENI1309[[#This Row],[ALT_KOD]])+AVERAGEIFS(I:I,D:D,DST_123_ÜRETİM_İHTİYAÇ_RAPORU_BURAK_YENI1309[[#This Row],[ALT_KOD]])+AVERAGEIFS(L:L,D:D,DST_123_ÜRETİM_İHTİYAÇ_RAPORU_BURAK_YENI1309[[#This Row],[ALT_KOD]]))</f>
        <v>48</v>
      </c>
      <c r="L131">
        <v>0</v>
      </c>
      <c r="M131">
        <f>IF((DST_123_ÜRETİM_İHTİYAÇ_RAPORU_BURAK_YENI1309[[#This Row],[SATINALMA]]*DST_123_ÜRETİM_İHTİYAÇ_RAPORU_BURAK_YENI1309[[#This Row],[BIRIM_FIYATLAR]])&lt;1,VALUE("0"),DST_123_ÜRETİM_İHTİYAÇ_RAPORU_BURAK_YENI1309[[#This Row],[SATINALMA]]*DST_123_ÜRETİM_İHTİYAÇ_RAPORU_BURAK_YENI1309[[#This Row],[BIRIM_FIYATLAR]])</f>
        <v>960</v>
      </c>
      <c r="N131">
        <v>20</v>
      </c>
      <c r="O131" t="s">
        <v>240</v>
      </c>
      <c r="P131">
        <v>200</v>
      </c>
      <c r="Q131" t="s">
        <v>180</v>
      </c>
    </row>
    <row r="132" spans="1:17" x14ac:dyDescent="0.25">
      <c r="A132" t="s">
        <v>1150</v>
      </c>
      <c r="B132" t="s">
        <v>1145</v>
      </c>
      <c r="C132" t="s">
        <v>175</v>
      </c>
      <c r="D132" t="s">
        <v>530</v>
      </c>
      <c r="E132" t="s">
        <v>531</v>
      </c>
      <c r="F132">
        <v>0.35</v>
      </c>
      <c r="G132" t="s">
        <v>176</v>
      </c>
      <c r="H132">
        <v>0</v>
      </c>
      <c r="I132">
        <v>5</v>
      </c>
      <c r="J132" s="10">
        <v>9.7999999999999954</v>
      </c>
      <c r="K132" s="10">
        <f>SUMIFS(F:F,D:D,DST_123_ÜRETİM_İHTİYAÇ_RAPORU_BURAK_YENI1309[[#This Row],[ALT_KOD]])-(SUMIFS(H:H,D:D,DST_123_ÜRETİM_İHTİYAÇ_RAPORU_BURAK_YENI1309[[#This Row],[ALT_KOD]])+AVERAGEIFS(I:I,D:D,DST_123_ÜRETİM_İHTİYAÇ_RAPORU_BURAK_YENI1309[[#This Row],[ALT_KOD]])+AVERAGEIFS(L:L,D:D,DST_123_ÜRETİM_İHTİYAÇ_RAPORU_BURAK_YENI1309[[#This Row],[ALT_KOD]]))</f>
        <v>0.19999999999999929</v>
      </c>
      <c r="L132">
        <v>0</v>
      </c>
      <c r="M132">
        <f>IF((DST_123_ÜRETİM_İHTİYAÇ_RAPORU_BURAK_YENI1309[[#This Row],[SATINALMA]]*DST_123_ÜRETİM_İHTİYAÇ_RAPORU_BURAK_YENI1309[[#This Row],[BIRIM_FIYATLAR]])&lt;1,VALUE("0"),DST_123_ÜRETİM_İHTİYAÇ_RAPORU_BURAK_YENI1309[[#This Row],[SATINALMA]]*DST_123_ÜRETİM_İHTİYAÇ_RAPORU_BURAK_YENI1309[[#This Row],[BIRIM_FIYATLAR]])</f>
        <v>7.599999999999973</v>
      </c>
      <c r="N132">
        <v>38</v>
      </c>
      <c r="O132" t="s">
        <v>240</v>
      </c>
      <c r="P132">
        <v>13.299999999999999</v>
      </c>
      <c r="Q132" t="s">
        <v>180</v>
      </c>
    </row>
    <row r="133" spans="1:17" x14ac:dyDescent="0.25">
      <c r="A133" t="s">
        <v>1150</v>
      </c>
      <c r="B133" t="s">
        <v>1145</v>
      </c>
      <c r="C133" t="s">
        <v>175</v>
      </c>
      <c r="D133" t="s">
        <v>370</v>
      </c>
      <c r="E133" t="s">
        <v>371</v>
      </c>
      <c r="F133">
        <v>10</v>
      </c>
      <c r="G133" t="s">
        <v>176</v>
      </c>
      <c r="H133">
        <v>0</v>
      </c>
      <c r="I133">
        <v>166</v>
      </c>
      <c r="J133" s="10">
        <v>61</v>
      </c>
      <c r="K133" s="10">
        <f>SUMIFS(F:F,D:D,DST_123_ÜRETİM_İHTİYAÇ_RAPORU_BURAK_YENI1309[[#This Row],[ALT_KOD]])-(SUMIFS(H:H,D:D,DST_123_ÜRETİM_İHTİYAÇ_RAPORU_BURAK_YENI1309[[#This Row],[ALT_KOD]])+AVERAGEIFS(I:I,D:D,DST_123_ÜRETİM_İHTİYAÇ_RAPORU_BURAK_YENI1309[[#This Row],[ALT_KOD]])+AVERAGEIFS(L:L,D:D,DST_123_ÜRETİM_İHTİYAÇ_RAPORU_BURAK_YENI1309[[#This Row],[ALT_KOD]]))</f>
        <v>48</v>
      </c>
      <c r="L133">
        <v>0</v>
      </c>
      <c r="M133">
        <f>IF((DST_123_ÜRETİM_İHTİYAÇ_RAPORU_BURAK_YENI1309[[#This Row],[SATINALMA]]*DST_123_ÜRETİM_İHTİYAÇ_RAPORU_BURAK_YENI1309[[#This Row],[BIRIM_FIYATLAR]])&lt;1,VALUE("0"),DST_123_ÜRETİM_İHTİYAÇ_RAPORU_BURAK_YENI1309[[#This Row],[SATINALMA]]*DST_123_ÜRETİM_İHTİYAÇ_RAPORU_BURAK_YENI1309[[#This Row],[BIRIM_FIYATLAR]])</f>
        <v>960</v>
      </c>
      <c r="N133">
        <v>20</v>
      </c>
      <c r="O133" t="s">
        <v>240</v>
      </c>
      <c r="P133">
        <v>200</v>
      </c>
      <c r="Q133" t="s">
        <v>180</v>
      </c>
    </row>
    <row r="134" spans="1:17" x14ac:dyDescent="0.25">
      <c r="A134" t="s">
        <v>1150</v>
      </c>
      <c r="B134" t="s">
        <v>1145</v>
      </c>
      <c r="C134" t="s">
        <v>175</v>
      </c>
      <c r="D134" t="s">
        <v>722</v>
      </c>
      <c r="E134" t="s">
        <v>723</v>
      </c>
      <c r="F134">
        <v>16</v>
      </c>
      <c r="G134" t="s">
        <v>176</v>
      </c>
      <c r="H134">
        <v>0</v>
      </c>
      <c r="I134">
        <v>1270</v>
      </c>
      <c r="J134" s="10">
        <v>698</v>
      </c>
      <c r="K134" s="10">
        <f>SUMIFS(F:F,D:D,DST_123_ÜRETİM_İHTİYAÇ_RAPORU_BURAK_YENI1309[[#This Row],[ALT_KOD]])-(SUMIFS(H:H,D:D,DST_123_ÜRETİM_İHTİYAÇ_RAPORU_BURAK_YENI1309[[#This Row],[ALT_KOD]])+AVERAGEIFS(I:I,D:D,DST_123_ÜRETİM_İHTİYAÇ_RAPORU_BURAK_YENI1309[[#This Row],[ALT_KOD]])+AVERAGEIFS(L:L,D:D,DST_123_ÜRETİM_İHTİYAÇ_RAPORU_BURAK_YENI1309[[#This Row],[ALT_KOD]]))</f>
        <v>-1174</v>
      </c>
      <c r="L134">
        <v>0</v>
      </c>
      <c r="M134">
        <f>IF((DST_123_ÜRETİM_İHTİYAÇ_RAPORU_BURAK_YENI1309[[#This Row],[SATINALMA]]*DST_123_ÜRETİM_İHTİYAÇ_RAPORU_BURAK_YENI1309[[#This Row],[BIRIM_FIYATLAR]])&lt;1,VALUE("0"),DST_123_ÜRETİM_İHTİYAÇ_RAPORU_BURAK_YENI1309[[#This Row],[SATINALMA]]*DST_123_ÜRETİM_İHTİYAÇ_RAPORU_BURAK_YENI1309[[#This Row],[BIRIM_FIYATLAR]])</f>
        <v>0</v>
      </c>
      <c r="N134">
        <v>0.55000000000000004</v>
      </c>
      <c r="O134" t="s">
        <v>240</v>
      </c>
      <c r="P134">
        <v>8.8000000000000007</v>
      </c>
      <c r="Q134" t="s">
        <v>180</v>
      </c>
    </row>
    <row r="135" spans="1:17" x14ac:dyDescent="0.25">
      <c r="A135" t="s">
        <v>1059</v>
      </c>
      <c r="B135" t="s">
        <v>1058</v>
      </c>
      <c r="C135" t="s">
        <v>175</v>
      </c>
      <c r="D135" t="s">
        <v>530</v>
      </c>
      <c r="E135" t="s">
        <v>531</v>
      </c>
      <c r="F135">
        <v>0.5</v>
      </c>
      <c r="G135" t="s">
        <v>176</v>
      </c>
      <c r="H135">
        <v>0</v>
      </c>
      <c r="I135">
        <v>5</v>
      </c>
      <c r="J135" s="10">
        <v>9.7999999999999954</v>
      </c>
      <c r="K135" s="10">
        <f>SUMIFS(F:F,D:D,DST_123_ÜRETİM_İHTİYAÇ_RAPORU_BURAK_YENI1309[[#This Row],[ALT_KOD]])-(SUMIFS(H:H,D:D,DST_123_ÜRETİM_İHTİYAÇ_RAPORU_BURAK_YENI1309[[#This Row],[ALT_KOD]])+AVERAGEIFS(I:I,D:D,DST_123_ÜRETİM_İHTİYAÇ_RAPORU_BURAK_YENI1309[[#This Row],[ALT_KOD]])+AVERAGEIFS(L:L,D:D,DST_123_ÜRETİM_İHTİYAÇ_RAPORU_BURAK_YENI1309[[#This Row],[ALT_KOD]]))</f>
        <v>0.19999999999999929</v>
      </c>
      <c r="L135">
        <v>0</v>
      </c>
      <c r="M135">
        <f>IF((DST_123_ÜRETİM_İHTİYAÇ_RAPORU_BURAK_YENI1309[[#This Row],[SATINALMA]]*DST_123_ÜRETİM_İHTİYAÇ_RAPORU_BURAK_YENI1309[[#This Row],[BIRIM_FIYATLAR]])&lt;1,VALUE("0"),DST_123_ÜRETİM_İHTİYAÇ_RAPORU_BURAK_YENI1309[[#This Row],[SATINALMA]]*DST_123_ÜRETİM_İHTİYAÇ_RAPORU_BURAK_YENI1309[[#This Row],[BIRIM_FIYATLAR]])</f>
        <v>7.599999999999973</v>
      </c>
      <c r="N135">
        <v>38</v>
      </c>
      <c r="O135" t="s">
        <v>240</v>
      </c>
      <c r="P135">
        <v>19</v>
      </c>
      <c r="Q135" t="s">
        <v>180</v>
      </c>
    </row>
    <row r="136" spans="1:17" x14ac:dyDescent="0.25">
      <c r="A136" t="s">
        <v>1142</v>
      </c>
      <c r="B136" t="s">
        <v>1056</v>
      </c>
      <c r="C136" t="s">
        <v>175</v>
      </c>
      <c r="D136" t="s">
        <v>46</v>
      </c>
      <c r="E136" t="s">
        <v>47</v>
      </c>
      <c r="F136">
        <v>4</v>
      </c>
      <c r="G136" t="s">
        <v>176</v>
      </c>
      <c r="H136">
        <v>0</v>
      </c>
      <c r="I136">
        <v>75</v>
      </c>
      <c r="J136" s="10">
        <v>60</v>
      </c>
      <c r="K136" s="10">
        <f>SUMIFS(F:F,D:D,DST_123_ÜRETİM_İHTİYAÇ_RAPORU_BURAK_YENI1309[[#This Row],[ALT_KOD]])-(SUMIFS(H:H,D:D,DST_123_ÜRETİM_İHTİYAÇ_RAPORU_BURAK_YENI1309[[#This Row],[ALT_KOD]])+AVERAGEIFS(I:I,D:D,DST_123_ÜRETİM_İHTİYAÇ_RAPORU_BURAK_YENI1309[[#This Row],[ALT_KOD]])+AVERAGEIFS(L:L,D:D,DST_123_ÜRETİM_İHTİYAÇ_RAPORU_BURAK_YENI1309[[#This Row],[ALT_KOD]]))</f>
        <v>-31</v>
      </c>
      <c r="L136">
        <v>0</v>
      </c>
      <c r="M136">
        <f>IF((DST_123_ÜRETİM_İHTİYAÇ_RAPORU_BURAK_YENI1309[[#This Row],[SATINALMA]]*DST_123_ÜRETİM_İHTİYAÇ_RAPORU_BURAK_YENI1309[[#This Row],[BIRIM_FIYATLAR]])&lt;1,VALUE("0"),DST_123_ÜRETİM_İHTİYAÇ_RAPORU_BURAK_YENI1309[[#This Row],[SATINALMA]]*DST_123_ÜRETİM_İHTİYAÇ_RAPORU_BURAK_YENI1309[[#This Row],[BIRIM_FIYATLAR]])</f>
        <v>0</v>
      </c>
      <c r="N136">
        <v>170</v>
      </c>
      <c r="O136" t="s">
        <v>245</v>
      </c>
      <c r="P136">
        <v>680</v>
      </c>
      <c r="Q136" t="s">
        <v>180</v>
      </c>
    </row>
    <row r="137" spans="1:17" x14ac:dyDescent="0.25">
      <c r="A137" t="s">
        <v>1149</v>
      </c>
      <c r="B137" t="s">
        <v>1145</v>
      </c>
      <c r="C137" t="s">
        <v>175</v>
      </c>
      <c r="D137" t="s">
        <v>370</v>
      </c>
      <c r="E137" t="s">
        <v>371</v>
      </c>
      <c r="F137">
        <v>10</v>
      </c>
      <c r="G137" t="s">
        <v>176</v>
      </c>
      <c r="H137">
        <v>0</v>
      </c>
      <c r="I137">
        <v>166</v>
      </c>
      <c r="J137" s="10">
        <v>61</v>
      </c>
      <c r="K137" s="10">
        <f>SUMIFS(F:F,D:D,DST_123_ÜRETİM_İHTİYAÇ_RAPORU_BURAK_YENI1309[[#This Row],[ALT_KOD]])-(SUMIFS(H:H,D:D,DST_123_ÜRETİM_İHTİYAÇ_RAPORU_BURAK_YENI1309[[#This Row],[ALT_KOD]])+AVERAGEIFS(I:I,D:D,DST_123_ÜRETİM_İHTİYAÇ_RAPORU_BURAK_YENI1309[[#This Row],[ALT_KOD]])+AVERAGEIFS(L:L,D:D,DST_123_ÜRETİM_İHTİYAÇ_RAPORU_BURAK_YENI1309[[#This Row],[ALT_KOD]]))</f>
        <v>48</v>
      </c>
      <c r="L137">
        <v>0</v>
      </c>
      <c r="M137">
        <f>IF((DST_123_ÜRETİM_İHTİYAÇ_RAPORU_BURAK_YENI1309[[#This Row],[SATINALMA]]*DST_123_ÜRETİM_İHTİYAÇ_RAPORU_BURAK_YENI1309[[#This Row],[BIRIM_FIYATLAR]])&lt;1,VALUE("0"),DST_123_ÜRETİM_İHTİYAÇ_RAPORU_BURAK_YENI1309[[#This Row],[SATINALMA]]*DST_123_ÜRETİM_İHTİYAÇ_RAPORU_BURAK_YENI1309[[#This Row],[BIRIM_FIYATLAR]])</f>
        <v>960</v>
      </c>
      <c r="N137">
        <v>20</v>
      </c>
      <c r="O137" t="s">
        <v>240</v>
      </c>
      <c r="P137">
        <v>200</v>
      </c>
      <c r="Q137" t="s">
        <v>180</v>
      </c>
    </row>
    <row r="138" spans="1:17" x14ac:dyDescent="0.25">
      <c r="A138" t="s">
        <v>1149</v>
      </c>
      <c r="B138" t="s">
        <v>1145</v>
      </c>
      <c r="C138" t="s">
        <v>175</v>
      </c>
      <c r="D138" t="s">
        <v>46</v>
      </c>
      <c r="E138" t="s">
        <v>47</v>
      </c>
      <c r="F138">
        <v>4</v>
      </c>
      <c r="G138" t="s">
        <v>176</v>
      </c>
      <c r="H138">
        <v>0</v>
      </c>
      <c r="I138">
        <v>75</v>
      </c>
      <c r="J138" s="10">
        <v>60</v>
      </c>
      <c r="K138" s="10">
        <f>SUMIFS(F:F,D:D,DST_123_ÜRETİM_İHTİYAÇ_RAPORU_BURAK_YENI1309[[#This Row],[ALT_KOD]])-(SUMIFS(H:H,D:D,DST_123_ÜRETİM_İHTİYAÇ_RAPORU_BURAK_YENI1309[[#This Row],[ALT_KOD]])+AVERAGEIFS(I:I,D:D,DST_123_ÜRETİM_İHTİYAÇ_RAPORU_BURAK_YENI1309[[#This Row],[ALT_KOD]])+AVERAGEIFS(L:L,D:D,DST_123_ÜRETİM_İHTİYAÇ_RAPORU_BURAK_YENI1309[[#This Row],[ALT_KOD]]))</f>
        <v>-31</v>
      </c>
      <c r="L138">
        <v>0</v>
      </c>
      <c r="M138">
        <f>IF((DST_123_ÜRETİM_İHTİYAÇ_RAPORU_BURAK_YENI1309[[#This Row],[SATINALMA]]*DST_123_ÜRETİM_İHTİYAÇ_RAPORU_BURAK_YENI1309[[#This Row],[BIRIM_FIYATLAR]])&lt;1,VALUE("0"),DST_123_ÜRETİM_İHTİYAÇ_RAPORU_BURAK_YENI1309[[#This Row],[SATINALMA]]*DST_123_ÜRETİM_İHTİYAÇ_RAPORU_BURAK_YENI1309[[#This Row],[BIRIM_FIYATLAR]])</f>
        <v>0</v>
      </c>
      <c r="N138">
        <v>170</v>
      </c>
      <c r="O138" t="s">
        <v>245</v>
      </c>
      <c r="P138">
        <v>680</v>
      </c>
      <c r="Q138" t="s">
        <v>180</v>
      </c>
    </row>
    <row r="139" spans="1:17" x14ac:dyDescent="0.25">
      <c r="A139" t="s">
        <v>1098</v>
      </c>
      <c r="B139" t="s">
        <v>1096</v>
      </c>
      <c r="C139" t="s">
        <v>175</v>
      </c>
      <c r="D139" t="s">
        <v>17</v>
      </c>
      <c r="E139" t="s">
        <v>18</v>
      </c>
      <c r="F139">
        <v>1</v>
      </c>
      <c r="G139" t="s">
        <v>176</v>
      </c>
      <c r="H139">
        <v>0</v>
      </c>
      <c r="I139">
        <v>56</v>
      </c>
      <c r="J139" s="10">
        <v>11</v>
      </c>
      <c r="K139" s="10">
        <f>SUMIFS(F:F,D:D,DST_123_ÜRETİM_İHTİYAÇ_RAPORU_BURAK_YENI1309[[#This Row],[ALT_KOD]])-(SUMIFS(H:H,D:D,DST_123_ÜRETİM_İHTİYAÇ_RAPORU_BURAK_YENI1309[[#This Row],[ALT_KOD]])+AVERAGEIFS(I:I,D:D,DST_123_ÜRETİM_İHTİYAÇ_RAPORU_BURAK_YENI1309[[#This Row],[ALT_KOD]])+AVERAGEIFS(L:L,D:D,DST_123_ÜRETİM_İHTİYAÇ_RAPORU_BURAK_YENI1309[[#This Row],[ALT_KOD]]))</f>
        <v>-43</v>
      </c>
      <c r="L139">
        <v>0</v>
      </c>
      <c r="M139">
        <f>IF((DST_123_ÜRETİM_İHTİYAÇ_RAPORU_BURAK_YENI1309[[#This Row],[SATINALMA]]*DST_123_ÜRETİM_İHTİYAÇ_RAPORU_BURAK_YENI1309[[#This Row],[BIRIM_FIYATLAR]])&lt;1,VALUE("0"),DST_123_ÜRETİM_İHTİYAÇ_RAPORU_BURAK_YENI1309[[#This Row],[SATINALMA]]*DST_123_ÜRETİM_İHTİYAÇ_RAPORU_BURAK_YENI1309[[#This Row],[BIRIM_FIYATLAR]])</f>
        <v>0</v>
      </c>
      <c r="N139">
        <v>936.72</v>
      </c>
      <c r="O139" t="s">
        <v>1230</v>
      </c>
      <c r="P139">
        <v>936.72</v>
      </c>
      <c r="Q139" t="s">
        <v>221</v>
      </c>
    </row>
    <row r="140" spans="1:17" x14ac:dyDescent="0.25">
      <c r="A140" t="s">
        <v>1064</v>
      </c>
      <c r="B140" t="s">
        <v>1055</v>
      </c>
      <c r="C140" t="s">
        <v>175</v>
      </c>
      <c r="D140" t="s">
        <v>17</v>
      </c>
      <c r="E140" t="s">
        <v>18</v>
      </c>
      <c r="F140">
        <v>1</v>
      </c>
      <c r="G140" t="s">
        <v>176</v>
      </c>
      <c r="H140">
        <v>1</v>
      </c>
      <c r="I140">
        <v>56</v>
      </c>
      <c r="J140" s="10">
        <v>11</v>
      </c>
      <c r="K140" s="10">
        <f>SUMIFS(F:F,D:D,DST_123_ÜRETİM_İHTİYAÇ_RAPORU_BURAK_YENI1309[[#This Row],[ALT_KOD]])-(SUMIFS(H:H,D:D,DST_123_ÜRETİM_İHTİYAÇ_RAPORU_BURAK_YENI1309[[#This Row],[ALT_KOD]])+AVERAGEIFS(I:I,D:D,DST_123_ÜRETİM_İHTİYAÇ_RAPORU_BURAK_YENI1309[[#This Row],[ALT_KOD]])+AVERAGEIFS(L:L,D:D,DST_123_ÜRETİM_İHTİYAÇ_RAPORU_BURAK_YENI1309[[#This Row],[ALT_KOD]]))</f>
        <v>-43</v>
      </c>
      <c r="L140">
        <v>0</v>
      </c>
      <c r="M140">
        <f>IF((DST_123_ÜRETİM_İHTİYAÇ_RAPORU_BURAK_YENI1309[[#This Row],[SATINALMA]]*DST_123_ÜRETİM_İHTİYAÇ_RAPORU_BURAK_YENI1309[[#This Row],[BIRIM_FIYATLAR]])&lt;1,VALUE("0"),DST_123_ÜRETİM_İHTİYAÇ_RAPORU_BURAK_YENI1309[[#This Row],[SATINALMA]]*DST_123_ÜRETİM_İHTİYAÇ_RAPORU_BURAK_YENI1309[[#This Row],[BIRIM_FIYATLAR]])</f>
        <v>0</v>
      </c>
      <c r="N140">
        <v>936.72</v>
      </c>
      <c r="O140" t="s">
        <v>1230</v>
      </c>
      <c r="P140">
        <v>936.72</v>
      </c>
      <c r="Q140" t="s">
        <v>221</v>
      </c>
    </row>
    <row r="141" spans="1:17" x14ac:dyDescent="0.25">
      <c r="A141" t="s">
        <v>1064</v>
      </c>
      <c r="B141" t="s">
        <v>1055</v>
      </c>
      <c r="C141" t="s">
        <v>175</v>
      </c>
      <c r="D141" t="s">
        <v>21</v>
      </c>
      <c r="E141" t="s">
        <v>22</v>
      </c>
      <c r="F141">
        <v>6.5</v>
      </c>
      <c r="G141" t="s">
        <v>179</v>
      </c>
      <c r="H141">
        <v>0</v>
      </c>
      <c r="I141">
        <v>100</v>
      </c>
      <c r="J141" s="10">
        <v>105.5</v>
      </c>
      <c r="K141" s="10">
        <f>SUMIFS(F:F,D:D,DST_123_ÜRETİM_İHTİYAÇ_RAPORU_BURAK_YENI1309[[#This Row],[ALT_KOD]])-(SUMIFS(H:H,D:D,DST_123_ÜRETİM_İHTİYAÇ_RAPORU_BURAK_YENI1309[[#This Row],[ALT_KOD]])+AVERAGEIFS(I:I,D:D,DST_123_ÜRETİM_İHTİYAÇ_RAPORU_BURAK_YENI1309[[#This Row],[ALT_KOD]])+AVERAGEIFS(L:L,D:D,DST_123_ÜRETİM_İHTİYAÇ_RAPORU_BURAK_YENI1309[[#This Row],[ALT_KOD]]))</f>
        <v>-8</v>
      </c>
      <c r="L141">
        <v>0</v>
      </c>
      <c r="M141">
        <f>IF((DST_123_ÜRETİM_İHTİYAÇ_RAPORU_BURAK_YENI1309[[#This Row],[SATINALMA]]*DST_123_ÜRETİM_İHTİYAÇ_RAPORU_BURAK_YENI1309[[#This Row],[BIRIM_FIYATLAR]])&lt;1,VALUE("0"),DST_123_ÜRETİM_İHTİYAÇ_RAPORU_BURAK_YENI1309[[#This Row],[SATINALMA]]*DST_123_ÜRETİM_İHTİYAÇ_RAPORU_BURAK_YENI1309[[#This Row],[BIRIM_FIYATLAR]])</f>
        <v>0</v>
      </c>
      <c r="N141">
        <v>131.25</v>
      </c>
      <c r="O141" t="s">
        <v>826</v>
      </c>
      <c r="P141">
        <v>853.125</v>
      </c>
      <c r="Q141" t="s">
        <v>221</v>
      </c>
    </row>
    <row r="142" spans="1:17" x14ac:dyDescent="0.25">
      <c r="A142" t="s">
        <v>1196</v>
      </c>
      <c r="B142" t="s">
        <v>1197</v>
      </c>
      <c r="C142" t="s">
        <v>175</v>
      </c>
      <c r="D142" t="s">
        <v>21</v>
      </c>
      <c r="E142" t="s">
        <v>22</v>
      </c>
      <c r="F142">
        <v>4</v>
      </c>
      <c r="G142" t="s">
        <v>179</v>
      </c>
      <c r="H142">
        <v>0</v>
      </c>
      <c r="I142">
        <v>100</v>
      </c>
      <c r="J142" s="10">
        <v>105.5</v>
      </c>
      <c r="K142" s="10">
        <f>SUMIFS(F:F,D:D,DST_123_ÜRETİM_İHTİYAÇ_RAPORU_BURAK_YENI1309[[#This Row],[ALT_KOD]])-(SUMIFS(H:H,D:D,DST_123_ÜRETİM_İHTİYAÇ_RAPORU_BURAK_YENI1309[[#This Row],[ALT_KOD]])+AVERAGEIFS(I:I,D:D,DST_123_ÜRETİM_İHTİYAÇ_RAPORU_BURAK_YENI1309[[#This Row],[ALT_KOD]])+AVERAGEIFS(L:L,D:D,DST_123_ÜRETİM_İHTİYAÇ_RAPORU_BURAK_YENI1309[[#This Row],[ALT_KOD]]))</f>
        <v>-8</v>
      </c>
      <c r="L142">
        <v>0</v>
      </c>
      <c r="M142">
        <f>IF((DST_123_ÜRETİM_İHTİYAÇ_RAPORU_BURAK_YENI1309[[#This Row],[SATINALMA]]*DST_123_ÜRETİM_İHTİYAÇ_RAPORU_BURAK_YENI1309[[#This Row],[BIRIM_FIYATLAR]])&lt;1,VALUE("0"),DST_123_ÜRETİM_İHTİYAÇ_RAPORU_BURAK_YENI1309[[#This Row],[SATINALMA]]*DST_123_ÜRETİM_İHTİYAÇ_RAPORU_BURAK_YENI1309[[#This Row],[BIRIM_FIYATLAR]])</f>
        <v>0</v>
      </c>
      <c r="N142">
        <v>131.25</v>
      </c>
      <c r="O142" t="s">
        <v>826</v>
      </c>
      <c r="P142">
        <v>525</v>
      </c>
      <c r="Q142" t="s">
        <v>221</v>
      </c>
    </row>
    <row r="143" spans="1:17" x14ac:dyDescent="0.25">
      <c r="A143" t="s">
        <v>1098</v>
      </c>
      <c r="B143" t="s">
        <v>1096</v>
      </c>
      <c r="C143" t="s">
        <v>175</v>
      </c>
      <c r="D143" t="s">
        <v>21</v>
      </c>
      <c r="E143" t="s">
        <v>22</v>
      </c>
      <c r="F143">
        <v>1.5</v>
      </c>
      <c r="G143" t="s">
        <v>179</v>
      </c>
      <c r="H143">
        <v>0</v>
      </c>
      <c r="I143">
        <v>100</v>
      </c>
      <c r="J143" s="10">
        <v>105.5</v>
      </c>
      <c r="K143" s="10">
        <f>SUMIFS(F:F,D:D,DST_123_ÜRETİM_İHTİYAÇ_RAPORU_BURAK_YENI1309[[#This Row],[ALT_KOD]])-(SUMIFS(H:H,D:D,DST_123_ÜRETİM_İHTİYAÇ_RAPORU_BURAK_YENI1309[[#This Row],[ALT_KOD]])+AVERAGEIFS(I:I,D:D,DST_123_ÜRETİM_İHTİYAÇ_RAPORU_BURAK_YENI1309[[#This Row],[ALT_KOD]])+AVERAGEIFS(L:L,D:D,DST_123_ÜRETİM_İHTİYAÇ_RAPORU_BURAK_YENI1309[[#This Row],[ALT_KOD]]))</f>
        <v>-8</v>
      </c>
      <c r="L143">
        <v>0</v>
      </c>
      <c r="M143">
        <f>IF((DST_123_ÜRETİM_İHTİYAÇ_RAPORU_BURAK_YENI1309[[#This Row],[SATINALMA]]*DST_123_ÜRETİM_İHTİYAÇ_RAPORU_BURAK_YENI1309[[#This Row],[BIRIM_FIYATLAR]])&lt;1,VALUE("0"),DST_123_ÜRETİM_İHTİYAÇ_RAPORU_BURAK_YENI1309[[#This Row],[SATINALMA]]*DST_123_ÜRETİM_İHTİYAÇ_RAPORU_BURAK_YENI1309[[#This Row],[BIRIM_FIYATLAR]])</f>
        <v>0</v>
      </c>
      <c r="N143">
        <v>131.25</v>
      </c>
      <c r="O143" t="s">
        <v>826</v>
      </c>
      <c r="P143">
        <v>196.875</v>
      </c>
      <c r="Q143" t="s">
        <v>221</v>
      </c>
    </row>
    <row r="144" spans="1:17" x14ac:dyDescent="0.25">
      <c r="A144" t="s">
        <v>1099</v>
      </c>
      <c r="B144" t="s">
        <v>1055</v>
      </c>
      <c r="C144" t="s">
        <v>175</v>
      </c>
      <c r="D144" t="s">
        <v>21</v>
      </c>
      <c r="E144" t="s">
        <v>22</v>
      </c>
      <c r="F144">
        <v>5.5</v>
      </c>
      <c r="G144" t="s">
        <v>179</v>
      </c>
      <c r="H144">
        <v>0</v>
      </c>
      <c r="I144">
        <v>100</v>
      </c>
      <c r="J144" s="10">
        <v>105.5</v>
      </c>
      <c r="K144" s="10">
        <f>SUMIFS(F:F,D:D,DST_123_ÜRETİM_İHTİYAÇ_RAPORU_BURAK_YENI1309[[#This Row],[ALT_KOD]])-(SUMIFS(H:H,D:D,DST_123_ÜRETİM_İHTİYAÇ_RAPORU_BURAK_YENI1309[[#This Row],[ALT_KOD]])+AVERAGEIFS(I:I,D:D,DST_123_ÜRETİM_İHTİYAÇ_RAPORU_BURAK_YENI1309[[#This Row],[ALT_KOD]])+AVERAGEIFS(L:L,D:D,DST_123_ÜRETİM_İHTİYAÇ_RAPORU_BURAK_YENI1309[[#This Row],[ALT_KOD]]))</f>
        <v>-8</v>
      </c>
      <c r="L144">
        <v>0</v>
      </c>
      <c r="M144">
        <f>IF((DST_123_ÜRETİM_İHTİYAÇ_RAPORU_BURAK_YENI1309[[#This Row],[SATINALMA]]*DST_123_ÜRETİM_İHTİYAÇ_RAPORU_BURAK_YENI1309[[#This Row],[BIRIM_FIYATLAR]])&lt;1,VALUE("0"),DST_123_ÜRETİM_İHTİYAÇ_RAPORU_BURAK_YENI1309[[#This Row],[SATINALMA]]*DST_123_ÜRETİM_İHTİYAÇ_RAPORU_BURAK_YENI1309[[#This Row],[BIRIM_FIYATLAR]])</f>
        <v>0</v>
      </c>
      <c r="N144">
        <v>131.25</v>
      </c>
      <c r="O144" t="s">
        <v>826</v>
      </c>
      <c r="P144">
        <v>721.875</v>
      </c>
      <c r="Q144" t="s">
        <v>221</v>
      </c>
    </row>
    <row r="145" spans="1:17" x14ac:dyDescent="0.25">
      <c r="A145" t="s">
        <v>1064</v>
      </c>
      <c r="B145" t="s">
        <v>1055</v>
      </c>
      <c r="C145" t="s">
        <v>175</v>
      </c>
      <c r="D145" t="s">
        <v>30</v>
      </c>
      <c r="E145" t="s">
        <v>31</v>
      </c>
      <c r="F145">
        <v>23</v>
      </c>
      <c r="G145" t="s">
        <v>176</v>
      </c>
      <c r="H145">
        <v>0</v>
      </c>
      <c r="I145">
        <v>4500</v>
      </c>
      <c r="J145" s="10">
        <v>2426</v>
      </c>
      <c r="K145" s="10">
        <f>SUMIFS(F:F,D:D,DST_123_ÜRETİM_İHTİYAÇ_RAPORU_BURAK_YENI1309[[#This Row],[ALT_KOD]])-(SUMIFS(H:H,D:D,DST_123_ÜRETİM_İHTİYAÇ_RAPORU_BURAK_YENI1309[[#This Row],[ALT_KOD]])+AVERAGEIFS(I:I,D:D,DST_123_ÜRETİM_İHTİYAÇ_RAPORU_BURAK_YENI1309[[#This Row],[ALT_KOD]])+AVERAGEIFS(L:L,D:D,DST_123_ÜRETİM_İHTİYAÇ_RAPORU_BURAK_YENI1309[[#This Row],[ALT_KOD]]))</f>
        <v>-3826</v>
      </c>
      <c r="L145">
        <v>0</v>
      </c>
      <c r="M145">
        <f>IF((DST_123_ÜRETİM_İHTİYAÇ_RAPORU_BURAK_YENI1309[[#This Row],[SATINALMA]]*DST_123_ÜRETİM_İHTİYAÇ_RAPORU_BURAK_YENI1309[[#This Row],[BIRIM_FIYATLAR]])&lt;1,VALUE("0"),DST_123_ÜRETİM_İHTİYAÇ_RAPORU_BURAK_YENI1309[[#This Row],[SATINALMA]]*DST_123_ÜRETİM_İHTİYAÇ_RAPORU_BURAK_YENI1309[[#This Row],[BIRIM_FIYATLAR]])</f>
        <v>0</v>
      </c>
      <c r="N145">
        <v>1</v>
      </c>
      <c r="P145">
        <v>23</v>
      </c>
      <c r="Q145" t="s">
        <v>180</v>
      </c>
    </row>
    <row r="146" spans="1:17" x14ac:dyDescent="0.25">
      <c r="A146" t="s">
        <v>1098</v>
      </c>
      <c r="B146" t="s">
        <v>1096</v>
      </c>
      <c r="C146" t="s">
        <v>175</v>
      </c>
      <c r="D146" t="s">
        <v>30</v>
      </c>
      <c r="E146" t="s">
        <v>31</v>
      </c>
      <c r="F146">
        <v>23</v>
      </c>
      <c r="G146" t="s">
        <v>176</v>
      </c>
      <c r="H146">
        <v>0</v>
      </c>
      <c r="I146">
        <v>4500</v>
      </c>
      <c r="J146" s="10">
        <v>2426</v>
      </c>
      <c r="K146" s="10">
        <f>SUMIFS(F:F,D:D,DST_123_ÜRETİM_İHTİYAÇ_RAPORU_BURAK_YENI1309[[#This Row],[ALT_KOD]])-(SUMIFS(H:H,D:D,DST_123_ÜRETİM_İHTİYAÇ_RAPORU_BURAK_YENI1309[[#This Row],[ALT_KOD]])+AVERAGEIFS(I:I,D:D,DST_123_ÜRETİM_İHTİYAÇ_RAPORU_BURAK_YENI1309[[#This Row],[ALT_KOD]])+AVERAGEIFS(L:L,D:D,DST_123_ÜRETİM_İHTİYAÇ_RAPORU_BURAK_YENI1309[[#This Row],[ALT_KOD]]))</f>
        <v>-3826</v>
      </c>
      <c r="L146">
        <v>0</v>
      </c>
      <c r="M146">
        <f>IF((DST_123_ÜRETİM_İHTİYAÇ_RAPORU_BURAK_YENI1309[[#This Row],[SATINALMA]]*DST_123_ÜRETİM_İHTİYAÇ_RAPORU_BURAK_YENI1309[[#This Row],[BIRIM_FIYATLAR]])&lt;1,VALUE("0"),DST_123_ÜRETİM_İHTİYAÇ_RAPORU_BURAK_YENI1309[[#This Row],[SATINALMA]]*DST_123_ÜRETİM_İHTİYAÇ_RAPORU_BURAK_YENI1309[[#This Row],[BIRIM_FIYATLAR]])</f>
        <v>0</v>
      </c>
      <c r="N146">
        <v>1</v>
      </c>
      <c r="P146">
        <v>23</v>
      </c>
      <c r="Q146" t="s">
        <v>180</v>
      </c>
    </row>
    <row r="147" spans="1:17" x14ac:dyDescent="0.25">
      <c r="A147" t="s">
        <v>1146</v>
      </c>
      <c r="B147" t="s">
        <v>1145</v>
      </c>
      <c r="C147" t="s">
        <v>175</v>
      </c>
      <c r="D147" t="s">
        <v>1136</v>
      </c>
      <c r="E147" t="s">
        <v>1137</v>
      </c>
      <c r="F147">
        <v>3</v>
      </c>
      <c r="G147" t="s">
        <v>176</v>
      </c>
      <c r="H147">
        <v>0</v>
      </c>
      <c r="I147">
        <v>0</v>
      </c>
      <c r="J147" s="10">
        <v>0</v>
      </c>
      <c r="K147" s="10">
        <f>SUMIFS(F:F,D:D,DST_123_ÜRETİM_İHTİYAÇ_RAPORU_BURAK_YENI1309[[#This Row],[ALT_KOD]])-(SUMIFS(H:H,D:D,DST_123_ÜRETİM_İHTİYAÇ_RAPORU_BURAK_YENI1309[[#This Row],[ALT_KOD]])+AVERAGEIFS(I:I,D:D,DST_123_ÜRETİM_İHTİYAÇ_RAPORU_BURAK_YENI1309[[#This Row],[ALT_KOD]])+AVERAGEIFS(L:L,D:D,DST_123_ÜRETİM_İHTİYAÇ_RAPORU_BURAK_YENI1309[[#This Row],[ALT_KOD]]))</f>
        <v>27</v>
      </c>
      <c r="L147">
        <v>0</v>
      </c>
      <c r="M147">
        <f>IF((DST_123_ÜRETİM_İHTİYAÇ_RAPORU_BURAK_YENI1309[[#This Row],[SATINALMA]]*DST_123_ÜRETİM_İHTİYAÇ_RAPORU_BURAK_YENI1309[[#This Row],[BIRIM_FIYATLAR]])&lt;1,VALUE("0"),DST_123_ÜRETİM_İHTİYAÇ_RAPORU_BURAK_YENI1309[[#This Row],[SATINALMA]]*DST_123_ÜRETİM_İHTİYAÇ_RAPORU_BURAK_YENI1309[[#This Row],[BIRIM_FIYATLAR]])</f>
        <v>324</v>
      </c>
      <c r="N147">
        <v>12</v>
      </c>
      <c r="O147" t="s">
        <v>240</v>
      </c>
      <c r="P147">
        <v>36</v>
      </c>
      <c r="Q147" t="s">
        <v>180</v>
      </c>
    </row>
    <row r="148" spans="1:17" x14ac:dyDescent="0.25">
      <c r="A148" t="s">
        <v>1149</v>
      </c>
      <c r="B148" t="s">
        <v>1145</v>
      </c>
      <c r="C148" t="s">
        <v>175</v>
      </c>
      <c r="D148" t="s">
        <v>17</v>
      </c>
      <c r="E148" t="s">
        <v>18</v>
      </c>
      <c r="F148">
        <v>1</v>
      </c>
      <c r="G148" t="s">
        <v>176</v>
      </c>
      <c r="H148">
        <v>0</v>
      </c>
      <c r="I148">
        <v>56</v>
      </c>
      <c r="J148" s="10">
        <v>11</v>
      </c>
      <c r="K148" s="10">
        <f>SUMIFS(F:F,D:D,DST_123_ÜRETİM_İHTİYAÇ_RAPORU_BURAK_YENI1309[[#This Row],[ALT_KOD]])-(SUMIFS(H:H,D:D,DST_123_ÜRETİM_İHTİYAÇ_RAPORU_BURAK_YENI1309[[#This Row],[ALT_KOD]])+AVERAGEIFS(I:I,D:D,DST_123_ÜRETİM_İHTİYAÇ_RAPORU_BURAK_YENI1309[[#This Row],[ALT_KOD]])+AVERAGEIFS(L:L,D:D,DST_123_ÜRETİM_İHTİYAÇ_RAPORU_BURAK_YENI1309[[#This Row],[ALT_KOD]]))</f>
        <v>-43</v>
      </c>
      <c r="L148">
        <v>0</v>
      </c>
      <c r="M148">
        <f>IF((DST_123_ÜRETİM_İHTİYAÇ_RAPORU_BURAK_YENI1309[[#This Row],[SATINALMA]]*DST_123_ÜRETİM_İHTİYAÇ_RAPORU_BURAK_YENI1309[[#This Row],[BIRIM_FIYATLAR]])&lt;1,VALUE("0"),DST_123_ÜRETİM_İHTİYAÇ_RAPORU_BURAK_YENI1309[[#This Row],[SATINALMA]]*DST_123_ÜRETİM_İHTİYAÇ_RAPORU_BURAK_YENI1309[[#This Row],[BIRIM_FIYATLAR]])</f>
        <v>0</v>
      </c>
      <c r="N148">
        <v>936.72</v>
      </c>
      <c r="O148" t="s">
        <v>1230</v>
      </c>
      <c r="P148">
        <v>936.72</v>
      </c>
      <c r="Q148" t="s">
        <v>221</v>
      </c>
    </row>
    <row r="149" spans="1:17" x14ac:dyDescent="0.25">
      <c r="A149" t="s">
        <v>1144</v>
      </c>
      <c r="B149" t="s">
        <v>1145</v>
      </c>
      <c r="C149" t="s">
        <v>175</v>
      </c>
      <c r="D149" t="s">
        <v>17</v>
      </c>
      <c r="E149" t="s">
        <v>18</v>
      </c>
      <c r="F149">
        <v>1</v>
      </c>
      <c r="G149" t="s">
        <v>176</v>
      </c>
      <c r="H149">
        <v>0</v>
      </c>
      <c r="I149">
        <v>56</v>
      </c>
      <c r="J149" s="10">
        <v>11</v>
      </c>
      <c r="K149" s="10">
        <f>SUMIFS(F:F,D:D,DST_123_ÜRETİM_İHTİYAÇ_RAPORU_BURAK_YENI1309[[#This Row],[ALT_KOD]])-(SUMIFS(H:H,D:D,DST_123_ÜRETİM_İHTİYAÇ_RAPORU_BURAK_YENI1309[[#This Row],[ALT_KOD]])+AVERAGEIFS(I:I,D:D,DST_123_ÜRETİM_İHTİYAÇ_RAPORU_BURAK_YENI1309[[#This Row],[ALT_KOD]])+AVERAGEIFS(L:L,D:D,DST_123_ÜRETİM_İHTİYAÇ_RAPORU_BURAK_YENI1309[[#This Row],[ALT_KOD]]))</f>
        <v>-43</v>
      </c>
      <c r="L149">
        <v>0</v>
      </c>
      <c r="M149">
        <f>IF((DST_123_ÜRETİM_İHTİYAÇ_RAPORU_BURAK_YENI1309[[#This Row],[SATINALMA]]*DST_123_ÜRETİM_İHTİYAÇ_RAPORU_BURAK_YENI1309[[#This Row],[BIRIM_FIYATLAR]])&lt;1,VALUE("0"),DST_123_ÜRETİM_İHTİYAÇ_RAPORU_BURAK_YENI1309[[#This Row],[SATINALMA]]*DST_123_ÜRETİM_İHTİYAÇ_RAPORU_BURAK_YENI1309[[#This Row],[BIRIM_FIYATLAR]])</f>
        <v>0</v>
      </c>
      <c r="N149">
        <v>936.72</v>
      </c>
      <c r="O149" t="s">
        <v>1230</v>
      </c>
      <c r="P149">
        <v>936.72</v>
      </c>
      <c r="Q149" t="s">
        <v>221</v>
      </c>
    </row>
    <row r="150" spans="1:17" x14ac:dyDescent="0.25">
      <c r="A150" t="s">
        <v>1146</v>
      </c>
      <c r="B150" t="s">
        <v>1145</v>
      </c>
      <c r="C150" t="s">
        <v>175</v>
      </c>
      <c r="D150" t="s">
        <v>17</v>
      </c>
      <c r="E150" t="s">
        <v>18</v>
      </c>
      <c r="F150">
        <v>1</v>
      </c>
      <c r="G150" t="s">
        <v>176</v>
      </c>
      <c r="H150">
        <v>0</v>
      </c>
      <c r="I150">
        <v>56</v>
      </c>
      <c r="J150" s="10">
        <v>11</v>
      </c>
      <c r="K150" s="10">
        <f>SUMIFS(F:F,D:D,DST_123_ÜRETİM_İHTİYAÇ_RAPORU_BURAK_YENI1309[[#This Row],[ALT_KOD]])-(SUMIFS(H:H,D:D,DST_123_ÜRETİM_İHTİYAÇ_RAPORU_BURAK_YENI1309[[#This Row],[ALT_KOD]])+AVERAGEIFS(I:I,D:D,DST_123_ÜRETİM_İHTİYAÇ_RAPORU_BURAK_YENI1309[[#This Row],[ALT_KOD]])+AVERAGEIFS(L:L,D:D,DST_123_ÜRETİM_İHTİYAÇ_RAPORU_BURAK_YENI1309[[#This Row],[ALT_KOD]]))</f>
        <v>-43</v>
      </c>
      <c r="L150">
        <v>0</v>
      </c>
      <c r="M150">
        <f>IF((DST_123_ÜRETİM_İHTİYAÇ_RAPORU_BURAK_YENI1309[[#This Row],[SATINALMA]]*DST_123_ÜRETİM_İHTİYAÇ_RAPORU_BURAK_YENI1309[[#This Row],[BIRIM_FIYATLAR]])&lt;1,VALUE("0"),DST_123_ÜRETİM_İHTİYAÇ_RAPORU_BURAK_YENI1309[[#This Row],[SATINALMA]]*DST_123_ÜRETİM_İHTİYAÇ_RAPORU_BURAK_YENI1309[[#This Row],[BIRIM_FIYATLAR]])</f>
        <v>0</v>
      </c>
      <c r="N150">
        <v>936.72</v>
      </c>
      <c r="O150" t="s">
        <v>1230</v>
      </c>
      <c r="P150">
        <v>936.72</v>
      </c>
      <c r="Q150" t="s">
        <v>221</v>
      </c>
    </row>
    <row r="151" spans="1:17" x14ac:dyDescent="0.25">
      <c r="A151" t="s">
        <v>1149</v>
      </c>
      <c r="B151" t="s">
        <v>1145</v>
      </c>
      <c r="C151" t="s">
        <v>175</v>
      </c>
      <c r="D151" t="s">
        <v>21</v>
      </c>
      <c r="E151" t="s">
        <v>22</v>
      </c>
      <c r="F151">
        <v>4</v>
      </c>
      <c r="G151" t="s">
        <v>179</v>
      </c>
      <c r="H151">
        <v>0</v>
      </c>
      <c r="I151">
        <v>100</v>
      </c>
      <c r="J151" s="10">
        <v>105.5</v>
      </c>
      <c r="K151" s="10">
        <f>SUMIFS(F:F,D:D,DST_123_ÜRETİM_İHTİYAÇ_RAPORU_BURAK_YENI1309[[#This Row],[ALT_KOD]])-(SUMIFS(H:H,D:D,DST_123_ÜRETİM_İHTİYAÇ_RAPORU_BURAK_YENI1309[[#This Row],[ALT_KOD]])+AVERAGEIFS(I:I,D:D,DST_123_ÜRETİM_İHTİYAÇ_RAPORU_BURAK_YENI1309[[#This Row],[ALT_KOD]])+AVERAGEIFS(L:L,D:D,DST_123_ÜRETİM_İHTİYAÇ_RAPORU_BURAK_YENI1309[[#This Row],[ALT_KOD]]))</f>
        <v>-8</v>
      </c>
      <c r="L151">
        <v>0</v>
      </c>
      <c r="M151">
        <f>IF((DST_123_ÜRETİM_İHTİYAÇ_RAPORU_BURAK_YENI1309[[#This Row],[SATINALMA]]*DST_123_ÜRETİM_İHTİYAÇ_RAPORU_BURAK_YENI1309[[#This Row],[BIRIM_FIYATLAR]])&lt;1,VALUE("0"),DST_123_ÜRETİM_İHTİYAÇ_RAPORU_BURAK_YENI1309[[#This Row],[SATINALMA]]*DST_123_ÜRETİM_İHTİYAÇ_RAPORU_BURAK_YENI1309[[#This Row],[BIRIM_FIYATLAR]])</f>
        <v>0</v>
      </c>
      <c r="N151">
        <v>131.25</v>
      </c>
      <c r="O151" t="s">
        <v>826</v>
      </c>
      <c r="P151">
        <v>525</v>
      </c>
      <c r="Q151" t="s">
        <v>221</v>
      </c>
    </row>
    <row r="152" spans="1:17" x14ac:dyDescent="0.25">
      <c r="A152" t="s">
        <v>1146</v>
      </c>
      <c r="B152" t="s">
        <v>1145</v>
      </c>
      <c r="C152" t="s">
        <v>175</v>
      </c>
      <c r="D152" t="s">
        <v>21</v>
      </c>
      <c r="E152" t="s">
        <v>22</v>
      </c>
      <c r="F152">
        <v>4</v>
      </c>
      <c r="G152" t="s">
        <v>179</v>
      </c>
      <c r="H152">
        <v>0</v>
      </c>
      <c r="I152">
        <v>100</v>
      </c>
      <c r="J152" s="10">
        <v>105.5</v>
      </c>
      <c r="K152" s="10">
        <f>SUMIFS(F:F,D:D,DST_123_ÜRETİM_İHTİYAÇ_RAPORU_BURAK_YENI1309[[#This Row],[ALT_KOD]])-(SUMIFS(H:H,D:D,DST_123_ÜRETİM_İHTİYAÇ_RAPORU_BURAK_YENI1309[[#This Row],[ALT_KOD]])+AVERAGEIFS(I:I,D:D,DST_123_ÜRETİM_İHTİYAÇ_RAPORU_BURAK_YENI1309[[#This Row],[ALT_KOD]])+AVERAGEIFS(L:L,D:D,DST_123_ÜRETİM_İHTİYAÇ_RAPORU_BURAK_YENI1309[[#This Row],[ALT_KOD]]))</f>
        <v>-8</v>
      </c>
      <c r="L152">
        <v>0</v>
      </c>
      <c r="M152">
        <f>IF((DST_123_ÜRETİM_İHTİYAÇ_RAPORU_BURAK_YENI1309[[#This Row],[SATINALMA]]*DST_123_ÜRETİM_İHTİYAÇ_RAPORU_BURAK_YENI1309[[#This Row],[BIRIM_FIYATLAR]])&lt;1,VALUE("0"),DST_123_ÜRETİM_İHTİYAÇ_RAPORU_BURAK_YENI1309[[#This Row],[SATINALMA]]*DST_123_ÜRETİM_İHTİYAÇ_RAPORU_BURAK_YENI1309[[#This Row],[BIRIM_FIYATLAR]])</f>
        <v>0</v>
      </c>
      <c r="N152">
        <v>131.25</v>
      </c>
      <c r="O152" t="s">
        <v>826</v>
      </c>
      <c r="P152">
        <v>525</v>
      </c>
      <c r="Q152" t="s">
        <v>221</v>
      </c>
    </row>
    <row r="153" spans="1:17" x14ac:dyDescent="0.25">
      <c r="A153" t="s">
        <v>1144</v>
      </c>
      <c r="B153" t="s">
        <v>1145</v>
      </c>
      <c r="C153" t="s">
        <v>175</v>
      </c>
      <c r="D153" t="s">
        <v>705</v>
      </c>
      <c r="E153" t="s">
        <v>706</v>
      </c>
      <c r="F153">
        <v>12</v>
      </c>
      <c r="G153" t="s">
        <v>176</v>
      </c>
      <c r="H153">
        <v>0</v>
      </c>
      <c r="I153">
        <v>1400</v>
      </c>
      <c r="J153" s="10">
        <v>602</v>
      </c>
      <c r="K153" s="10">
        <f>SUMIFS(F:F,D:D,DST_123_ÜRETİM_İHTİYAÇ_RAPORU_BURAK_YENI1309[[#This Row],[ALT_KOD]])-(SUMIFS(H:H,D:D,DST_123_ÜRETİM_İHTİYAÇ_RAPORU_BURAK_YENI1309[[#This Row],[ALT_KOD]])+AVERAGEIFS(I:I,D:D,DST_123_ÜRETİM_İHTİYAÇ_RAPORU_BURAK_YENI1309[[#This Row],[ALT_KOD]])+AVERAGEIFS(L:L,D:D,DST_123_ÜRETİM_İHTİYAÇ_RAPORU_BURAK_YENI1309[[#This Row],[ALT_KOD]]))</f>
        <v>-1296</v>
      </c>
      <c r="L153">
        <v>0</v>
      </c>
      <c r="M153">
        <f>IF((DST_123_ÜRETİM_İHTİYAÇ_RAPORU_BURAK_YENI1309[[#This Row],[SATINALMA]]*DST_123_ÜRETİM_İHTİYAÇ_RAPORU_BURAK_YENI1309[[#This Row],[BIRIM_FIYATLAR]])&lt;1,VALUE("0"),DST_123_ÜRETİM_İHTİYAÇ_RAPORU_BURAK_YENI1309[[#This Row],[SATINALMA]]*DST_123_ÜRETİM_İHTİYAÇ_RAPORU_BURAK_YENI1309[[#This Row],[BIRIM_FIYATLAR]])</f>
        <v>0</v>
      </c>
      <c r="N153">
        <v>0.6</v>
      </c>
      <c r="O153" t="s">
        <v>240</v>
      </c>
      <c r="P153">
        <v>7.1999999999999993</v>
      </c>
      <c r="Q153" t="s">
        <v>180</v>
      </c>
    </row>
    <row r="154" spans="1:17" x14ac:dyDescent="0.25">
      <c r="A154" t="s">
        <v>1146</v>
      </c>
      <c r="B154" t="s">
        <v>1145</v>
      </c>
      <c r="C154" t="s">
        <v>175</v>
      </c>
      <c r="D154" t="s">
        <v>705</v>
      </c>
      <c r="E154" t="s">
        <v>706</v>
      </c>
      <c r="F154">
        <v>12</v>
      </c>
      <c r="G154" t="s">
        <v>176</v>
      </c>
      <c r="H154">
        <v>0</v>
      </c>
      <c r="I154">
        <v>1400</v>
      </c>
      <c r="J154" s="10">
        <v>602</v>
      </c>
      <c r="K154" s="10">
        <f>SUMIFS(F:F,D:D,DST_123_ÜRETİM_İHTİYAÇ_RAPORU_BURAK_YENI1309[[#This Row],[ALT_KOD]])-(SUMIFS(H:H,D:D,DST_123_ÜRETİM_İHTİYAÇ_RAPORU_BURAK_YENI1309[[#This Row],[ALT_KOD]])+AVERAGEIFS(I:I,D:D,DST_123_ÜRETİM_İHTİYAÇ_RAPORU_BURAK_YENI1309[[#This Row],[ALT_KOD]])+AVERAGEIFS(L:L,D:D,DST_123_ÜRETİM_İHTİYAÇ_RAPORU_BURAK_YENI1309[[#This Row],[ALT_KOD]]))</f>
        <v>-1296</v>
      </c>
      <c r="L154">
        <v>0</v>
      </c>
      <c r="M154">
        <f>IF((DST_123_ÜRETİM_İHTİYAÇ_RAPORU_BURAK_YENI1309[[#This Row],[SATINALMA]]*DST_123_ÜRETİM_İHTİYAÇ_RAPORU_BURAK_YENI1309[[#This Row],[BIRIM_FIYATLAR]])&lt;1,VALUE("0"),DST_123_ÜRETİM_İHTİYAÇ_RAPORU_BURAK_YENI1309[[#This Row],[SATINALMA]]*DST_123_ÜRETİM_İHTİYAÇ_RAPORU_BURAK_YENI1309[[#This Row],[BIRIM_FIYATLAR]])</f>
        <v>0</v>
      </c>
      <c r="N154">
        <v>0.6</v>
      </c>
      <c r="O154" t="s">
        <v>240</v>
      </c>
      <c r="P154">
        <v>7.1999999999999993</v>
      </c>
      <c r="Q154" t="s">
        <v>180</v>
      </c>
    </row>
    <row r="155" spans="1:17" x14ac:dyDescent="0.25">
      <c r="A155" t="s">
        <v>1144</v>
      </c>
      <c r="B155" t="s">
        <v>1145</v>
      </c>
      <c r="C155" t="s">
        <v>175</v>
      </c>
      <c r="D155" t="s">
        <v>30</v>
      </c>
      <c r="E155" t="s">
        <v>31</v>
      </c>
      <c r="F155">
        <v>43</v>
      </c>
      <c r="G155" t="s">
        <v>176</v>
      </c>
      <c r="H155">
        <v>0</v>
      </c>
      <c r="I155">
        <v>4500</v>
      </c>
      <c r="J155" s="10">
        <v>2426</v>
      </c>
      <c r="K155" s="10">
        <f>SUMIFS(F:F,D:D,DST_123_ÜRETİM_İHTİYAÇ_RAPORU_BURAK_YENI1309[[#This Row],[ALT_KOD]])-(SUMIFS(H:H,D:D,DST_123_ÜRETİM_İHTİYAÇ_RAPORU_BURAK_YENI1309[[#This Row],[ALT_KOD]])+AVERAGEIFS(I:I,D:D,DST_123_ÜRETİM_İHTİYAÇ_RAPORU_BURAK_YENI1309[[#This Row],[ALT_KOD]])+AVERAGEIFS(L:L,D:D,DST_123_ÜRETİM_İHTİYAÇ_RAPORU_BURAK_YENI1309[[#This Row],[ALT_KOD]]))</f>
        <v>-3826</v>
      </c>
      <c r="L155">
        <v>0</v>
      </c>
      <c r="M155">
        <f>IF((DST_123_ÜRETİM_İHTİYAÇ_RAPORU_BURAK_YENI1309[[#This Row],[SATINALMA]]*DST_123_ÜRETİM_İHTİYAÇ_RAPORU_BURAK_YENI1309[[#This Row],[BIRIM_FIYATLAR]])&lt;1,VALUE("0"),DST_123_ÜRETİM_İHTİYAÇ_RAPORU_BURAK_YENI1309[[#This Row],[SATINALMA]]*DST_123_ÜRETİM_İHTİYAÇ_RAPORU_BURAK_YENI1309[[#This Row],[BIRIM_FIYATLAR]])</f>
        <v>0</v>
      </c>
      <c r="N155">
        <v>1</v>
      </c>
      <c r="P155">
        <v>43</v>
      </c>
      <c r="Q155" t="s">
        <v>180</v>
      </c>
    </row>
    <row r="156" spans="1:17" x14ac:dyDescent="0.25">
      <c r="A156" t="s">
        <v>1196</v>
      </c>
      <c r="B156" t="s">
        <v>1197</v>
      </c>
      <c r="C156" t="s">
        <v>175</v>
      </c>
      <c r="D156" t="s">
        <v>1136</v>
      </c>
      <c r="E156" t="s">
        <v>1137</v>
      </c>
      <c r="F156">
        <v>3</v>
      </c>
      <c r="G156" t="s">
        <v>176</v>
      </c>
      <c r="H156">
        <v>0</v>
      </c>
      <c r="I156">
        <v>0</v>
      </c>
      <c r="J156" s="10">
        <v>0</v>
      </c>
      <c r="K156" s="10">
        <f>SUMIFS(F:F,D:D,DST_123_ÜRETİM_İHTİYAÇ_RAPORU_BURAK_YENI1309[[#This Row],[ALT_KOD]])-(SUMIFS(H:H,D:D,DST_123_ÜRETİM_İHTİYAÇ_RAPORU_BURAK_YENI1309[[#This Row],[ALT_KOD]])+AVERAGEIFS(I:I,D:D,DST_123_ÜRETİM_İHTİYAÇ_RAPORU_BURAK_YENI1309[[#This Row],[ALT_KOD]])+AVERAGEIFS(L:L,D:D,DST_123_ÜRETİM_İHTİYAÇ_RAPORU_BURAK_YENI1309[[#This Row],[ALT_KOD]]))</f>
        <v>27</v>
      </c>
      <c r="L156">
        <v>0</v>
      </c>
      <c r="M156">
        <f>IF((DST_123_ÜRETİM_İHTİYAÇ_RAPORU_BURAK_YENI1309[[#This Row],[SATINALMA]]*DST_123_ÜRETİM_İHTİYAÇ_RAPORU_BURAK_YENI1309[[#This Row],[BIRIM_FIYATLAR]])&lt;1,VALUE("0"),DST_123_ÜRETİM_İHTİYAÇ_RAPORU_BURAK_YENI1309[[#This Row],[SATINALMA]]*DST_123_ÜRETİM_İHTİYAÇ_RAPORU_BURAK_YENI1309[[#This Row],[BIRIM_FIYATLAR]])</f>
        <v>324</v>
      </c>
      <c r="N156">
        <v>12</v>
      </c>
      <c r="O156" t="s">
        <v>240</v>
      </c>
      <c r="P156">
        <v>36</v>
      </c>
      <c r="Q156" t="s">
        <v>180</v>
      </c>
    </row>
    <row r="157" spans="1:17" x14ac:dyDescent="0.25">
      <c r="A157" t="s">
        <v>1196</v>
      </c>
      <c r="B157" t="s">
        <v>1197</v>
      </c>
      <c r="C157" t="s">
        <v>175</v>
      </c>
      <c r="D157" t="s">
        <v>17</v>
      </c>
      <c r="E157" t="s">
        <v>18</v>
      </c>
      <c r="F157">
        <v>1</v>
      </c>
      <c r="G157" t="s">
        <v>176</v>
      </c>
      <c r="H157">
        <v>0</v>
      </c>
      <c r="I157">
        <v>56</v>
      </c>
      <c r="J157" s="10">
        <v>11</v>
      </c>
      <c r="K157" s="10">
        <f>SUMIFS(F:F,D:D,DST_123_ÜRETİM_İHTİYAÇ_RAPORU_BURAK_YENI1309[[#This Row],[ALT_KOD]])-(SUMIFS(H:H,D:D,DST_123_ÜRETİM_İHTİYAÇ_RAPORU_BURAK_YENI1309[[#This Row],[ALT_KOD]])+AVERAGEIFS(I:I,D:D,DST_123_ÜRETİM_İHTİYAÇ_RAPORU_BURAK_YENI1309[[#This Row],[ALT_KOD]])+AVERAGEIFS(L:L,D:D,DST_123_ÜRETİM_İHTİYAÇ_RAPORU_BURAK_YENI1309[[#This Row],[ALT_KOD]]))</f>
        <v>-43</v>
      </c>
      <c r="L157">
        <v>0</v>
      </c>
      <c r="M157">
        <f>IF((DST_123_ÜRETİM_İHTİYAÇ_RAPORU_BURAK_YENI1309[[#This Row],[SATINALMA]]*DST_123_ÜRETİM_İHTİYAÇ_RAPORU_BURAK_YENI1309[[#This Row],[BIRIM_FIYATLAR]])&lt;1,VALUE("0"),DST_123_ÜRETİM_İHTİYAÇ_RAPORU_BURAK_YENI1309[[#This Row],[SATINALMA]]*DST_123_ÜRETİM_İHTİYAÇ_RAPORU_BURAK_YENI1309[[#This Row],[BIRIM_FIYATLAR]])</f>
        <v>0</v>
      </c>
      <c r="N157">
        <v>936.72</v>
      </c>
      <c r="O157" t="s">
        <v>1230</v>
      </c>
      <c r="P157">
        <v>936.72</v>
      </c>
      <c r="Q157" t="s">
        <v>221</v>
      </c>
    </row>
    <row r="158" spans="1:17" x14ac:dyDescent="0.25">
      <c r="A158" t="s">
        <v>1099</v>
      </c>
      <c r="B158" t="s">
        <v>1055</v>
      </c>
      <c r="C158" t="s">
        <v>175</v>
      </c>
      <c r="D158" t="s">
        <v>17</v>
      </c>
      <c r="E158" t="s">
        <v>18</v>
      </c>
      <c r="F158">
        <v>1</v>
      </c>
      <c r="G158" t="s">
        <v>176</v>
      </c>
      <c r="H158">
        <v>0</v>
      </c>
      <c r="I158">
        <v>56</v>
      </c>
      <c r="J158" s="10">
        <v>11</v>
      </c>
      <c r="K158" s="10">
        <f>SUMIFS(F:F,D:D,DST_123_ÜRETİM_İHTİYAÇ_RAPORU_BURAK_YENI1309[[#This Row],[ALT_KOD]])-(SUMIFS(H:H,D:D,DST_123_ÜRETİM_İHTİYAÇ_RAPORU_BURAK_YENI1309[[#This Row],[ALT_KOD]])+AVERAGEIFS(I:I,D:D,DST_123_ÜRETİM_İHTİYAÇ_RAPORU_BURAK_YENI1309[[#This Row],[ALT_KOD]])+AVERAGEIFS(L:L,D:D,DST_123_ÜRETİM_İHTİYAÇ_RAPORU_BURAK_YENI1309[[#This Row],[ALT_KOD]]))</f>
        <v>-43</v>
      </c>
      <c r="L158">
        <v>0</v>
      </c>
      <c r="M158">
        <f>IF((DST_123_ÜRETİM_İHTİYAÇ_RAPORU_BURAK_YENI1309[[#This Row],[SATINALMA]]*DST_123_ÜRETİM_İHTİYAÇ_RAPORU_BURAK_YENI1309[[#This Row],[BIRIM_FIYATLAR]])&lt;1,VALUE("0"),DST_123_ÜRETİM_İHTİYAÇ_RAPORU_BURAK_YENI1309[[#This Row],[SATINALMA]]*DST_123_ÜRETİM_İHTİYAÇ_RAPORU_BURAK_YENI1309[[#This Row],[BIRIM_FIYATLAR]])</f>
        <v>0</v>
      </c>
      <c r="N158">
        <v>936.72</v>
      </c>
      <c r="O158" t="s">
        <v>1230</v>
      </c>
      <c r="P158">
        <v>936.72</v>
      </c>
      <c r="Q158" t="s">
        <v>221</v>
      </c>
    </row>
    <row r="159" spans="1:17" x14ac:dyDescent="0.25">
      <c r="A159" t="s">
        <v>1099</v>
      </c>
      <c r="B159" t="s">
        <v>1055</v>
      </c>
      <c r="C159" t="s">
        <v>175</v>
      </c>
      <c r="D159" t="s">
        <v>705</v>
      </c>
      <c r="E159" t="s">
        <v>706</v>
      </c>
      <c r="F159">
        <v>4</v>
      </c>
      <c r="G159" t="s">
        <v>176</v>
      </c>
      <c r="H159">
        <v>0</v>
      </c>
      <c r="I159">
        <v>1400</v>
      </c>
      <c r="J159" s="10">
        <v>602</v>
      </c>
      <c r="K159" s="10">
        <f>SUMIFS(F:F,D:D,DST_123_ÜRETİM_İHTİYAÇ_RAPORU_BURAK_YENI1309[[#This Row],[ALT_KOD]])-(SUMIFS(H:H,D:D,DST_123_ÜRETİM_İHTİYAÇ_RAPORU_BURAK_YENI1309[[#This Row],[ALT_KOD]])+AVERAGEIFS(I:I,D:D,DST_123_ÜRETİM_İHTİYAÇ_RAPORU_BURAK_YENI1309[[#This Row],[ALT_KOD]])+AVERAGEIFS(L:L,D:D,DST_123_ÜRETİM_İHTİYAÇ_RAPORU_BURAK_YENI1309[[#This Row],[ALT_KOD]]))</f>
        <v>-1296</v>
      </c>
      <c r="L159">
        <v>0</v>
      </c>
      <c r="M159">
        <f>IF((DST_123_ÜRETİM_İHTİYAÇ_RAPORU_BURAK_YENI1309[[#This Row],[SATINALMA]]*DST_123_ÜRETİM_İHTİYAÇ_RAPORU_BURAK_YENI1309[[#This Row],[BIRIM_FIYATLAR]])&lt;1,VALUE("0"),DST_123_ÜRETİM_İHTİYAÇ_RAPORU_BURAK_YENI1309[[#This Row],[SATINALMA]]*DST_123_ÜRETİM_İHTİYAÇ_RAPORU_BURAK_YENI1309[[#This Row],[BIRIM_FIYATLAR]])</f>
        <v>0</v>
      </c>
      <c r="N159">
        <v>0.6</v>
      </c>
      <c r="O159" t="s">
        <v>240</v>
      </c>
      <c r="P159">
        <v>2.4</v>
      </c>
      <c r="Q159" t="s">
        <v>180</v>
      </c>
    </row>
    <row r="160" spans="1:17" x14ac:dyDescent="0.25">
      <c r="A160" t="s">
        <v>1196</v>
      </c>
      <c r="B160" t="s">
        <v>1197</v>
      </c>
      <c r="C160" t="s">
        <v>175</v>
      </c>
      <c r="D160" t="s">
        <v>705</v>
      </c>
      <c r="E160" t="s">
        <v>706</v>
      </c>
      <c r="F160">
        <v>12</v>
      </c>
      <c r="G160" t="s">
        <v>176</v>
      </c>
      <c r="H160">
        <v>0</v>
      </c>
      <c r="I160">
        <v>1400</v>
      </c>
      <c r="J160" s="10">
        <v>602</v>
      </c>
      <c r="K160" s="10">
        <f>SUMIFS(F:F,D:D,DST_123_ÜRETİM_İHTİYAÇ_RAPORU_BURAK_YENI1309[[#This Row],[ALT_KOD]])-(SUMIFS(H:H,D:D,DST_123_ÜRETİM_İHTİYAÇ_RAPORU_BURAK_YENI1309[[#This Row],[ALT_KOD]])+AVERAGEIFS(I:I,D:D,DST_123_ÜRETİM_İHTİYAÇ_RAPORU_BURAK_YENI1309[[#This Row],[ALT_KOD]])+AVERAGEIFS(L:L,D:D,DST_123_ÜRETİM_İHTİYAÇ_RAPORU_BURAK_YENI1309[[#This Row],[ALT_KOD]]))</f>
        <v>-1296</v>
      </c>
      <c r="L160">
        <v>0</v>
      </c>
      <c r="M160">
        <f>IF((DST_123_ÜRETİM_İHTİYAÇ_RAPORU_BURAK_YENI1309[[#This Row],[SATINALMA]]*DST_123_ÜRETİM_İHTİYAÇ_RAPORU_BURAK_YENI1309[[#This Row],[BIRIM_FIYATLAR]])&lt;1,VALUE("0"),DST_123_ÜRETİM_İHTİYAÇ_RAPORU_BURAK_YENI1309[[#This Row],[SATINALMA]]*DST_123_ÜRETİM_İHTİYAÇ_RAPORU_BURAK_YENI1309[[#This Row],[BIRIM_FIYATLAR]])</f>
        <v>0</v>
      </c>
      <c r="N160">
        <v>0.6</v>
      </c>
      <c r="O160" t="s">
        <v>240</v>
      </c>
      <c r="P160">
        <v>7.1999999999999993</v>
      </c>
      <c r="Q160" t="s">
        <v>180</v>
      </c>
    </row>
    <row r="161" spans="1:17" x14ac:dyDescent="0.25">
      <c r="A161" t="s">
        <v>1196</v>
      </c>
      <c r="B161" t="s">
        <v>1197</v>
      </c>
      <c r="C161" t="s">
        <v>175</v>
      </c>
      <c r="D161" t="s">
        <v>30</v>
      </c>
      <c r="E161" t="s">
        <v>31</v>
      </c>
      <c r="F161">
        <v>43</v>
      </c>
      <c r="G161" t="s">
        <v>176</v>
      </c>
      <c r="H161">
        <v>0</v>
      </c>
      <c r="I161">
        <v>4500</v>
      </c>
      <c r="J161" s="10">
        <v>2426</v>
      </c>
      <c r="K161" s="10">
        <f>SUMIFS(F:F,D:D,DST_123_ÜRETİM_İHTİYAÇ_RAPORU_BURAK_YENI1309[[#This Row],[ALT_KOD]])-(SUMIFS(H:H,D:D,DST_123_ÜRETİM_İHTİYAÇ_RAPORU_BURAK_YENI1309[[#This Row],[ALT_KOD]])+AVERAGEIFS(I:I,D:D,DST_123_ÜRETİM_İHTİYAÇ_RAPORU_BURAK_YENI1309[[#This Row],[ALT_KOD]])+AVERAGEIFS(L:L,D:D,DST_123_ÜRETİM_İHTİYAÇ_RAPORU_BURAK_YENI1309[[#This Row],[ALT_KOD]]))</f>
        <v>-3826</v>
      </c>
      <c r="L161">
        <v>0</v>
      </c>
      <c r="M161">
        <f>IF((DST_123_ÜRETİM_İHTİYAÇ_RAPORU_BURAK_YENI1309[[#This Row],[SATINALMA]]*DST_123_ÜRETİM_İHTİYAÇ_RAPORU_BURAK_YENI1309[[#This Row],[BIRIM_FIYATLAR]])&lt;1,VALUE("0"),DST_123_ÜRETİM_İHTİYAÇ_RAPORU_BURAK_YENI1309[[#This Row],[SATINALMA]]*DST_123_ÜRETİM_İHTİYAÇ_RAPORU_BURAK_YENI1309[[#This Row],[BIRIM_FIYATLAR]])</f>
        <v>0</v>
      </c>
      <c r="N161">
        <v>1</v>
      </c>
      <c r="P161">
        <v>43</v>
      </c>
      <c r="Q161" t="s">
        <v>180</v>
      </c>
    </row>
    <row r="162" spans="1:17" x14ac:dyDescent="0.25">
      <c r="A162" t="s">
        <v>1099</v>
      </c>
      <c r="B162" t="s">
        <v>1055</v>
      </c>
      <c r="C162" t="s">
        <v>175</v>
      </c>
      <c r="D162" t="s">
        <v>30</v>
      </c>
      <c r="E162" t="s">
        <v>31</v>
      </c>
      <c r="F162">
        <v>48</v>
      </c>
      <c r="G162" t="s">
        <v>176</v>
      </c>
      <c r="H162">
        <v>0</v>
      </c>
      <c r="I162">
        <v>4500</v>
      </c>
      <c r="J162" s="10">
        <v>2426</v>
      </c>
      <c r="K162" s="10">
        <f>SUMIFS(F:F,D:D,DST_123_ÜRETİM_İHTİYAÇ_RAPORU_BURAK_YENI1309[[#This Row],[ALT_KOD]])-(SUMIFS(H:H,D:D,DST_123_ÜRETİM_İHTİYAÇ_RAPORU_BURAK_YENI1309[[#This Row],[ALT_KOD]])+AVERAGEIFS(I:I,D:D,DST_123_ÜRETİM_İHTİYAÇ_RAPORU_BURAK_YENI1309[[#This Row],[ALT_KOD]])+AVERAGEIFS(L:L,D:D,DST_123_ÜRETİM_İHTİYAÇ_RAPORU_BURAK_YENI1309[[#This Row],[ALT_KOD]]))</f>
        <v>-3826</v>
      </c>
      <c r="L162">
        <v>0</v>
      </c>
      <c r="M162">
        <f>IF((DST_123_ÜRETİM_İHTİYAÇ_RAPORU_BURAK_YENI1309[[#This Row],[SATINALMA]]*DST_123_ÜRETİM_İHTİYAÇ_RAPORU_BURAK_YENI1309[[#This Row],[BIRIM_FIYATLAR]])&lt;1,VALUE("0"),DST_123_ÜRETİM_İHTİYAÇ_RAPORU_BURAK_YENI1309[[#This Row],[SATINALMA]]*DST_123_ÜRETİM_İHTİYAÇ_RAPORU_BURAK_YENI1309[[#This Row],[BIRIM_FIYATLAR]])</f>
        <v>0</v>
      </c>
      <c r="N162">
        <v>1</v>
      </c>
      <c r="P162">
        <v>48</v>
      </c>
      <c r="Q162" t="s">
        <v>180</v>
      </c>
    </row>
    <row r="163" spans="1:17" x14ac:dyDescent="0.25">
      <c r="A163" t="s">
        <v>1144</v>
      </c>
      <c r="B163" t="s">
        <v>1145</v>
      </c>
      <c r="C163" t="s">
        <v>175</v>
      </c>
      <c r="D163" t="s">
        <v>21</v>
      </c>
      <c r="E163" t="s">
        <v>22</v>
      </c>
      <c r="F163">
        <v>4</v>
      </c>
      <c r="G163" t="s">
        <v>179</v>
      </c>
      <c r="H163">
        <v>0</v>
      </c>
      <c r="I163">
        <v>100</v>
      </c>
      <c r="J163" s="10">
        <v>105.5</v>
      </c>
      <c r="K163" s="10">
        <f>SUMIFS(F:F,D:D,DST_123_ÜRETİM_İHTİYAÇ_RAPORU_BURAK_YENI1309[[#This Row],[ALT_KOD]])-(SUMIFS(H:H,D:D,DST_123_ÜRETİM_İHTİYAÇ_RAPORU_BURAK_YENI1309[[#This Row],[ALT_KOD]])+AVERAGEIFS(I:I,D:D,DST_123_ÜRETİM_İHTİYAÇ_RAPORU_BURAK_YENI1309[[#This Row],[ALT_KOD]])+AVERAGEIFS(L:L,D:D,DST_123_ÜRETİM_İHTİYAÇ_RAPORU_BURAK_YENI1309[[#This Row],[ALT_KOD]]))</f>
        <v>-8</v>
      </c>
      <c r="L163">
        <v>0</v>
      </c>
      <c r="M163">
        <f>IF((DST_123_ÜRETİM_İHTİYAÇ_RAPORU_BURAK_YENI1309[[#This Row],[SATINALMA]]*DST_123_ÜRETİM_İHTİYAÇ_RAPORU_BURAK_YENI1309[[#This Row],[BIRIM_FIYATLAR]])&lt;1,VALUE("0"),DST_123_ÜRETİM_İHTİYAÇ_RAPORU_BURAK_YENI1309[[#This Row],[SATINALMA]]*DST_123_ÜRETİM_İHTİYAÇ_RAPORU_BURAK_YENI1309[[#This Row],[BIRIM_FIYATLAR]])</f>
        <v>0</v>
      </c>
      <c r="N163">
        <v>131.25</v>
      </c>
      <c r="O163" t="s">
        <v>826</v>
      </c>
      <c r="P163">
        <v>525</v>
      </c>
      <c r="Q163" t="s">
        <v>221</v>
      </c>
    </row>
    <row r="164" spans="1:17" x14ac:dyDescent="0.25">
      <c r="A164" t="s">
        <v>1150</v>
      </c>
      <c r="B164" t="s">
        <v>1145</v>
      </c>
      <c r="C164" t="s">
        <v>175</v>
      </c>
      <c r="D164" t="s">
        <v>30</v>
      </c>
      <c r="E164" t="s">
        <v>31</v>
      </c>
      <c r="F164">
        <v>43</v>
      </c>
      <c r="G164" t="s">
        <v>176</v>
      </c>
      <c r="H164">
        <v>0</v>
      </c>
      <c r="I164">
        <v>4500</v>
      </c>
      <c r="J164" s="10">
        <v>2426</v>
      </c>
      <c r="K164" s="10">
        <f>SUMIFS(F:F,D:D,DST_123_ÜRETİM_İHTİYAÇ_RAPORU_BURAK_YENI1309[[#This Row],[ALT_KOD]])-(SUMIFS(H:H,D:D,DST_123_ÜRETİM_İHTİYAÇ_RAPORU_BURAK_YENI1309[[#This Row],[ALT_KOD]])+AVERAGEIFS(I:I,D:D,DST_123_ÜRETİM_İHTİYAÇ_RAPORU_BURAK_YENI1309[[#This Row],[ALT_KOD]])+AVERAGEIFS(L:L,D:D,DST_123_ÜRETİM_İHTİYAÇ_RAPORU_BURAK_YENI1309[[#This Row],[ALT_KOD]]))</f>
        <v>-3826</v>
      </c>
      <c r="L164">
        <v>0</v>
      </c>
      <c r="M164">
        <f>IF((DST_123_ÜRETİM_İHTİYAÇ_RAPORU_BURAK_YENI1309[[#This Row],[SATINALMA]]*DST_123_ÜRETİM_İHTİYAÇ_RAPORU_BURAK_YENI1309[[#This Row],[BIRIM_FIYATLAR]])&lt;1,VALUE("0"),DST_123_ÜRETİM_İHTİYAÇ_RAPORU_BURAK_YENI1309[[#This Row],[SATINALMA]]*DST_123_ÜRETİM_İHTİYAÇ_RAPORU_BURAK_YENI1309[[#This Row],[BIRIM_FIYATLAR]])</f>
        <v>0</v>
      </c>
      <c r="N164">
        <v>1</v>
      </c>
      <c r="P164">
        <v>43</v>
      </c>
      <c r="Q164" t="s">
        <v>180</v>
      </c>
    </row>
    <row r="165" spans="1:17" x14ac:dyDescent="0.25">
      <c r="A165" t="s">
        <v>1150</v>
      </c>
      <c r="B165" t="s">
        <v>1145</v>
      </c>
      <c r="C165" t="s">
        <v>175</v>
      </c>
      <c r="D165" t="s">
        <v>1136</v>
      </c>
      <c r="E165" t="s">
        <v>1137</v>
      </c>
      <c r="F165">
        <v>3</v>
      </c>
      <c r="G165" t="s">
        <v>176</v>
      </c>
      <c r="H165">
        <v>0</v>
      </c>
      <c r="I165">
        <v>0</v>
      </c>
      <c r="J165" s="10">
        <v>0</v>
      </c>
      <c r="K165" s="10">
        <f>SUMIFS(F:F,D:D,DST_123_ÜRETİM_İHTİYAÇ_RAPORU_BURAK_YENI1309[[#This Row],[ALT_KOD]])-(SUMIFS(H:H,D:D,DST_123_ÜRETİM_İHTİYAÇ_RAPORU_BURAK_YENI1309[[#This Row],[ALT_KOD]])+AVERAGEIFS(I:I,D:D,DST_123_ÜRETİM_İHTİYAÇ_RAPORU_BURAK_YENI1309[[#This Row],[ALT_KOD]])+AVERAGEIFS(L:L,D:D,DST_123_ÜRETİM_İHTİYAÇ_RAPORU_BURAK_YENI1309[[#This Row],[ALT_KOD]]))</f>
        <v>27</v>
      </c>
      <c r="L165">
        <v>0</v>
      </c>
      <c r="M165">
        <f>IF((DST_123_ÜRETİM_İHTİYAÇ_RAPORU_BURAK_YENI1309[[#This Row],[SATINALMA]]*DST_123_ÜRETİM_İHTİYAÇ_RAPORU_BURAK_YENI1309[[#This Row],[BIRIM_FIYATLAR]])&lt;1,VALUE("0"),DST_123_ÜRETİM_İHTİYAÇ_RAPORU_BURAK_YENI1309[[#This Row],[SATINALMA]]*DST_123_ÜRETİM_İHTİYAÇ_RAPORU_BURAK_YENI1309[[#This Row],[BIRIM_FIYATLAR]])</f>
        <v>324</v>
      </c>
      <c r="N165">
        <v>12</v>
      </c>
      <c r="O165" t="s">
        <v>240</v>
      </c>
      <c r="P165">
        <v>36</v>
      </c>
      <c r="Q165" t="s">
        <v>180</v>
      </c>
    </row>
    <row r="166" spans="1:17" x14ac:dyDescent="0.25">
      <c r="A166" t="s">
        <v>1150</v>
      </c>
      <c r="B166" t="s">
        <v>1145</v>
      </c>
      <c r="C166" t="s">
        <v>175</v>
      </c>
      <c r="D166" t="s">
        <v>17</v>
      </c>
      <c r="E166" t="s">
        <v>18</v>
      </c>
      <c r="F166">
        <v>1</v>
      </c>
      <c r="G166" t="s">
        <v>176</v>
      </c>
      <c r="H166">
        <v>0</v>
      </c>
      <c r="I166">
        <v>56</v>
      </c>
      <c r="J166" s="10">
        <v>11</v>
      </c>
      <c r="K166" s="10">
        <f>SUMIFS(F:F,D:D,DST_123_ÜRETİM_İHTİYAÇ_RAPORU_BURAK_YENI1309[[#This Row],[ALT_KOD]])-(SUMIFS(H:H,D:D,DST_123_ÜRETİM_İHTİYAÇ_RAPORU_BURAK_YENI1309[[#This Row],[ALT_KOD]])+AVERAGEIFS(I:I,D:D,DST_123_ÜRETİM_İHTİYAÇ_RAPORU_BURAK_YENI1309[[#This Row],[ALT_KOD]])+AVERAGEIFS(L:L,D:D,DST_123_ÜRETİM_İHTİYAÇ_RAPORU_BURAK_YENI1309[[#This Row],[ALT_KOD]]))</f>
        <v>-43</v>
      </c>
      <c r="L166">
        <v>0</v>
      </c>
      <c r="M166">
        <f>IF((DST_123_ÜRETİM_İHTİYAÇ_RAPORU_BURAK_YENI1309[[#This Row],[SATINALMA]]*DST_123_ÜRETİM_İHTİYAÇ_RAPORU_BURAK_YENI1309[[#This Row],[BIRIM_FIYATLAR]])&lt;1,VALUE("0"),DST_123_ÜRETİM_İHTİYAÇ_RAPORU_BURAK_YENI1309[[#This Row],[SATINALMA]]*DST_123_ÜRETİM_İHTİYAÇ_RAPORU_BURAK_YENI1309[[#This Row],[BIRIM_FIYATLAR]])</f>
        <v>0</v>
      </c>
      <c r="N166">
        <v>936.72</v>
      </c>
      <c r="O166" t="s">
        <v>1230</v>
      </c>
      <c r="P166">
        <v>936.72</v>
      </c>
      <c r="Q166" t="s">
        <v>221</v>
      </c>
    </row>
    <row r="167" spans="1:17" x14ac:dyDescent="0.25">
      <c r="A167" t="s">
        <v>1150</v>
      </c>
      <c r="B167" t="s">
        <v>1145</v>
      </c>
      <c r="C167" t="s">
        <v>175</v>
      </c>
      <c r="D167" t="s">
        <v>21</v>
      </c>
      <c r="E167" t="s">
        <v>22</v>
      </c>
      <c r="F167">
        <v>4</v>
      </c>
      <c r="G167" t="s">
        <v>179</v>
      </c>
      <c r="H167">
        <v>0</v>
      </c>
      <c r="I167">
        <v>100</v>
      </c>
      <c r="J167" s="10">
        <v>105.5</v>
      </c>
      <c r="K167" s="10">
        <f>SUMIFS(F:F,D:D,DST_123_ÜRETİM_İHTİYAÇ_RAPORU_BURAK_YENI1309[[#This Row],[ALT_KOD]])-(SUMIFS(H:H,D:D,DST_123_ÜRETİM_İHTİYAÇ_RAPORU_BURAK_YENI1309[[#This Row],[ALT_KOD]])+AVERAGEIFS(I:I,D:D,DST_123_ÜRETİM_İHTİYAÇ_RAPORU_BURAK_YENI1309[[#This Row],[ALT_KOD]])+AVERAGEIFS(L:L,D:D,DST_123_ÜRETİM_İHTİYAÇ_RAPORU_BURAK_YENI1309[[#This Row],[ALT_KOD]]))</f>
        <v>-8</v>
      </c>
      <c r="L167">
        <v>0</v>
      </c>
      <c r="M167">
        <f>IF((DST_123_ÜRETİM_İHTİYAÇ_RAPORU_BURAK_YENI1309[[#This Row],[SATINALMA]]*DST_123_ÜRETİM_İHTİYAÇ_RAPORU_BURAK_YENI1309[[#This Row],[BIRIM_FIYATLAR]])&lt;1,VALUE("0"),DST_123_ÜRETİM_İHTİYAÇ_RAPORU_BURAK_YENI1309[[#This Row],[SATINALMA]]*DST_123_ÜRETİM_İHTİYAÇ_RAPORU_BURAK_YENI1309[[#This Row],[BIRIM_FIYATLAR]])</f>
        <v>0</v>
      </c>
      <c r="N167">
        <v>131.25</v>
      </c>
      <c r="O167" t="s">
        <v>826</v>
      </c>
      <c r="P167">
        <v>525</v>
      </c>
      <c r="Q167" t="s">
        <v>221</v>
      </c>
    </row>
    <row r="168" spans="1:17" x14ac:dyDescent="0.25">
      <c r="A168" t="s">
        <v>1149</v>
      </c>
      <c r="B168" t="s">
        <v>1145</v>
      </c>
      <c r="C168" t="s">
        <v>175</v>
      </c>
      <c r="D168" t="s">
        <v>491</v>
      </c>
      <c r="E168" t="s">
        <v>492</v>
      </c>
      <c r="F168">
        <v>14</v>
      </c>
      <c r="G168" t="s">
        <v>179</v>
      </c>
      <c r="H168">
        <v>0</v>
      </c>
      <c r="I168">
        <v>0</v>
      </c>
      <c r="J168" s="10">
        <v>0</v>
      </c>
      <c r="K168" s="10">
        <f>SUMIFS(F:F,D:D,DST_123_ÜRETİM_İHTİYAÇ_RAPORU_BURAK_YENI1309[[#This Row],[ALT_KOD]])-(SUMIFS(H:H,D:D,DST_123_ÜRETİM_İHTİYAÇ_RAPORU_BURAK_YENI1309[[#This Row],[ALT_KOD]])+AVERAGEIFS(I:I,D:D,DST_123_ÜRETİM_İHTİYAÇ_RAPORU_BURAK_YENI1309[[#This Row],[ALT_KOD]])+AVERAGEIFS(L:L,D:D,DST_123_ÜRETİM_İHTİYAÇ_RAPORU_BURAK_YENI1309[[#This Row],[ALT_KOD]]))</f>
        <v>58</v>
      </c>
      <c r="L168">
        <v>200</v>
      </c>
      <c r="M168">
        <f>IF((DST_123_ÜRETİM_İHTİYAÇ_RAPORU_BURAK_YENI1309[[#This Row],[SATINALMA]]*DST_123_ÜRETİM_İHTİYAÇ_RAPORU_BURAK_YENI1309[[#This Row],[BIRIM_FIYATLAR]])&lt;1,VALUE("0"),DST_123_ÜRETİM_İHTİYAÇ_RAPORU_BURAK_YENI1309[[#This Row],[SATINALMA]]*DST_123_ÜRETİM_İHTİYAÇ_RAPORU_BURAK_YENI1309[[#This Row],[BIRIM_FIYATLAR]])</f>
        <v>232.57999999999998</v>
      </c>
      <c r="N168">
        <v>4.01</v>
      </c>
      <c r="O168" t="s">
        <v>707</v>
      </c>
      <c r="P168">
        <v>56.14</v>
      </c>
      <c r="Q168" t="s">
        <v>184</v>
      </c>
    </row>
    <row r="169" spans="1:17" x14ac:dyDescent="0.25">
      <c r="A169" t="s">
        <v>1146</v>
      </c>
      <c r="B169" t="s">
        <v>1145</v>
      </c>
      <c r="C169" t="s">
        <v>175</v>
      </c>
      <c r="D169" t="s">
        <v>491</v>
      </c>
      <c r="E169" t="s">
        <v>492</v>
      </c>
      <c r="F169">
        <v>14</v>
      </c>
      <c r="G169" t="s">
        <v>179</v>
      </c>
      <c r="H169">
        <v>0</v>
      </c>
      <c r="I169">
        <v>0</v>
      </c>
      <c r="J169" s="10">
        <v>0</v>
      </c>
      <c r="K169" s="10">
        <f>SUMIFS(F:F,D:D,DST_123_ÜRETİM_İHTİYAÇ_RAPORU_BURAK_YENI1309[[#This Row],[ALT_KOD]])-(SUMIFS(H:H,D:D,DST_123_ÜRETİM_İHTİYAÇ_RAPORU_BURAK_YENI1309[[#This Row],[ALT_KOD]])+AVERAGEIFS(I:I,D:D,DST_123_ÜRETİM_İHTİYAÇ_RAPORU_BURAK_YENI1309[[#This Row],[ALT_KOD]])+AVERAGEIFS(L:L,D:D,DST_123_ÜRETİM_İHTİYAÇ_RAPORU_BURAK_YENI1309[[#This Row],[ALT_KOD]]))</f>
        <v>58</v>
      </c>
      <c r="L169">
        <v>200</v>
      </c>
      <c r="M169">
        <f>IF((DST_123_ÜRETİM_İHTİYAÇ_RAPORU_BURAK_YENI1309[[#This Row],[SATINALMA]]*DST_123_ÜRETİM_İHTİYAÇ_RAPORU_BURAK_YENI1309[[#This Row],[BIRIM_FIYATLAR]])&lt;1,VALUE("0"),DST_123_ÜRETİM_İHTİYAÇ_RAPORU_BURAK_YENI1309[[#This Row],[SATINALMA]]*DST_123_ÜRETİM_İHTİYAÇ_RAPORU_BURAK_YENI1309[[#This Row],[BIRIM_FIYATLAR]])</f>
        <v>232.57999999999998</v>
      </c>
      <c r="N169">
        <v>4.01</v>
      </c>
      <c r="O169" t="s">
        <v>707</v>
      </c>
      <c r="P169">
        <v>56.14</v>
      </c>
      <c r="Q169" t="s">
        <v>184</v>
      </c>
    </row>
    <row r="170" spans="1:17" x14ac:dyDescent="0.25">
      <c r="A170" t="s">
        <v>1144</v>
      </c>
      <c r="B170" t="s">
        <v>1145</v>
      </c>
      <c r="C170" t="s">
        <v>175</v>
      </c>
      <c r="D170" t="s">
        <v>491</v>
      </c>
      <c r="E170" t="s">
        <v>492</v>
      </c>
      <c r="F170">
        <v>14</v>
      </c>
      <c r="G170" t="s">
        <v>179</v>
      </c>
      <c r="H170">
        <v>0</v>
      </c>
      <c r="I170">
        <v>0</v>
      </c>
      <c r="J170" s="10">
        <v>0</v>
      </c>
      <c r="K170" s="10">
        <f>SUMIFS(F:F,D:D,DST_123_ÜRETİM_İHTİYAÇ_RAPORU_BURAK_YENI1309[[#This Row],[ALT_KOD]])-(SUMIFS(H:H,D:D,DST_123_ÜRETİM_İHTİYAÇ_RAPORU_BURAK_YENI1309[[#This Row],[ALT_KOD]])+AVERAGEIFS(I:I,D:D,DST_123_ÜRETİM_İHTİYAÇ_RAPORU_BURAK_YENI1309[[#This Row],[ALT_KOD]])+AVERAGEIFS(L:L,D:D,DST_123_ÜRETİM_İHTİYAÇ_RAPORU_BURAK_YENI1309[[#This Row],[ALT_KOD]]))</f>
        <v>58</v>
      </c>
      <c r="L170">
        <v>200</v>
      </c>
      <c r="M170">
        <f>IF((DST_123_ÜRETİM_İHTİYAÇ_RAPORU_BURAK_YENI1309[[#This Row],[SATINALMA]]*DST_123_ÜRETİM_İHTİYAÇ_RAPORU_BURAK_YENI1309[[#This Row],[BIRIM_FIYATLAR]])&lt;1,VALUE("0"),DST_123_ÜRETİM_İHTİYAÇ_RAPORU_BURAK_YENI1309[[#This Row],[SATINALMA]]*DST_123_ÜRETİM_İHTİYAÇ_RAPORU_BURAK_YENI1309[[#This Row],[BIRIM_FIYATLAR]])</f>
        <v>232.57999999999998</v>
      </c>
      <c r="N170">
        <v>4.01</v>
      </c>
      <c r="O170" t="s">
        <v>707</v>
      </c>
      <c r="P170">
        <v>56.14</v>
      </c>
      <c r="Q170" t="s">
        <v>184</v>
      </c>
    </row>
    <row r="171" spans="1:17" x14ac:dyDescent="0.25">
      <c r="A171" t="s">
        <v>1146</v>
      </c>
      <c r="B171" t="s">
        <v>1145</v>
      </c>
      <c r="C171" t="s">
        <v>175</v>
      </c>
      <c r="D171" t="s">
        <v>15</v>
      </c>
      <c r="E171" t="s">
        <v>16</v>
      </c>
      <c r="F171">
        <v>1</v>
      </c>
      <c r="G171" t="s">
        <v>176</v>
      </c>
      <c r="H171">
        <v>0</v>
      </c>
      <c r="I171">
        <v>7</v>
      </c>
      <c r="J171" s="10">
        <v>10</v>
      </c>
      <c r="K171" s="10">
        <f>SUMIFS(F:F,D:D,DST_123_ÜRETİM_İHTİYAÇ_RAPORU_BURAK_YENI1309[[#This Row],[ALT_KOD]])-(SUMIFS(H:H,D:D,DST_123_ÜRETİM_İHTİYAÇ_RAPORU_BURAK_YENI1309[[#This Row],[ALT_KOD]])+AVERAGEIFS(I:I,D:D,DST_123_ÜRETİM_İHTİYAÇ_RAPORU_BURAK_YENI1309[[#This Row],[ALT_KOD]])+AVERAGEIFS(L:L,D:D,DST_123_ÜRETİM_İHTİYAÇ_RAPORU_BURAK_YENI1309[[#This Row],[ALT_KOD]]))</f>
        <v>6</v>
      </c>
      <c r="L171">
        <v>0</v>
      </c>
      <c r="M171">
        <f>IF((DST_123_ÜRETİM_İHTİYAÇ_RAPORU_BURAK_YENI1309[[#This Row],[SATINALMA]]*DST_123_ÜRETİM_İHTİYAÇ_RAPORU_BURAK_YENI1309[[#This Row],[BIRIM_FIYATLAR]])&lt;1,VALUE("0"),DST_123_ÜRETİM_İHTİYAÇ_RAPORU_BURAK_YENI1309[[#This Row],[SATINALMA]]*DST_123_ÜRETİM_İHTİYAÇ_RAPORU_BURAK_YENI1309[[#This Row],[BIRIM_FIYATLAR]])</f>
        <v>20303.939999999999</v>
      </c>
      <c r="N171">
        <v>3383.99</v>
      </c>
      <c r="O171" t="s">
        <v>215</v>
      </c>
      <c r="P171">
        <v>3383.99</v>
      </c>
      <c r="Q171" t="s">
        <v>221</v>
      </c>
    </row>
    <row r="172" spans="1:17" x14ac:dyDescent="0.25">
      <c r="A172" t="s">
        <v>1144</v>
      </c>
      <c r="B172" t="s">
        <v>1145</v>
      </c>
      <c r="C172" t="s">
        <v>175</v>
      </c>
      <c r="D172" t="s">
        <v>15</v>
      </c>
      <c r="E172" t="s">
        <v>16</v>
      </c>
      <c r="F172">
        <v>1</v>
      </c>
      <c r="G172" t="s">
        <v>176</v>
      </c>
      <c r="H172">
        <v>0</v>
      </c>
      <c r="I172">
        <v>7</v>
      </c>
      <c r="J172" s="10">
        <v>10</v>
      </c>
      <c r="K172" s="10">
        <f>SUMIFS(F:F,D:D,DST_123_ÜRETİM_İHTİYAÇ_RAPORU_BURAK_YENI1309[[#This Row],[ALT_KOD]])-(SUMIFS(H:H,D:D,DST_123_ÜRETİM_İHTİYAÇ_RAPORU_BURAK_YENI1309[[#This Row],[ALT_KOD]])+AVERAGEIFS(I:I,D:D,DST_123_ÜRETİM_İHTİYAÇ_RAPORU_BURAK_YENI1309[[#This Row],[ALT_KOD]])+AVERAGEIFS(L:L,D:D,DST_123_ÜRETİM_İHTİYAÇ_RAPORU_BURAK_YENI1309[[#This Row],[ALT_KOD]]))</f>
        <v>6</v>
      </c>
      <c r="L172">
        <v>0</v>
      </c>
      <c r="M172">
        <f>IF((DST_123_ÜRETİM_İHTİYAÇ_RAPORU_BURAK_YENI1309[[#This Row],[SATINALMA]]*DST_123_ÜRETİM_İHTİYAÇ_RAPORU_BURAK_YENI1309[[#This Row],[BIRIM_FIYATLAR]])&lt;1,VALUE("0"),DST_123_ÜRETİM_İHTİYAÇ_RAPORU_BURAK_YENI1309[[#This Row],[SATINALMA]]*DST_123_ÜRETİM_İHTİYAÇ_RAPORU_BURAK_YENI1309[[#This Row],[BIRIM_FIYATLAR]])</f>
        <v>20303.939999999999</v>
      </c>
      <c r="N172">
        <v>3383.99</v>
      </c>
      <c r="O172" t="s">
        <v>215</v>
      </c>
      <c r="P172">
        <v>3383.99</v>
      </c>
      <c r="Q172" t="s">
        <v>221</v>
      </c>
    </row>
    <row r="173" spans="1:17" x14ac:dyDescent="0.25">
      <c r="A173" t="s">
        <v>1098</v>
      </c>
      <c r="B173" t="s">
        <v>1096</v>
      </c>
      <c r="C173" t="s">
        <v>175</v>
      </c>
      <c r="D173" t="s">
        <v>491</v>
      </c>
      <c r="E173" t="s">
        <v>492</v>
      </c>
      <c r="F173">
        <v>14</v>
      </c>
      <c r="G173" t="s">
        <v>179</v>
      </c>
      <c r="H173">
        <v>0</v>
      </c>
      <c r="I173">
        <v>0</v>
      </c>
      <c r="J173" s="10">
        <v>0</v>
      </c>
      <c r="K173" s="10">
        <f>SUMIFS(F:F,D:D,DST_123_ÜRETİM_İHTİYAÇ_RAPORU_BURAK_YENI1309[[#This Row],[ALT_KOD]])-(SUMIFS(H:H,D:D,DST_123_ÜRETİM_İHTİYAÇ_RAPORU_BURAK_YENI1309[[#This Row],[ALT_KOD]])+AVERAGEIFS(I:I,D:D,DST_123_ÜRETİM_İHTİYAÇ_RAPORU_BURAK_YENI1309[[#This Row],[ALT_KOD]])+AVERAGEIFS(L:L,D:D,DST_123_ÜRETİM_İHTİYAÇ_RAPORU_BURAK_YENI1309[[#This Row],[ALT_KOD]]))</f>
        <v>58</v>
      </c>
      <c r="L173">
        <v>200</v>
      </c>
      <c r="M173">
        <f>IF((DST_123_ÜRETİM_İHTİYAÇ_RAPORU_BURAK_YENI1309[[#This Row],[SATINALMA]]*DST_123_ÜRETİM_İHTİYAÇ_RAPORU_BURAK_YENI1309[[#This Row],[BIRIM_FIYATLAR]])&lt;1,VALUE("0"),DST_123_ÜRETİM_İHTİYAÇ_RAPORU_BURAK_YENI1309[[#This Row],[SATINALMA]]*DST_123_ÜRETİM_İHTİYAÇ_RAPORU_BURAK_YENI1309[[#This Row],[BIRIM_FIYATLAR]])</f>
        <v>232.57999999999998</v>
      </c>
      <c r="N173">
        <v>4.01</v>
      </c>
      <c r="O173" t="s">
        <v>707</v>
      </c>
      <c r="P173">
        <v>56.14</v>
      </c>
      <c r="Q173" t="s">
        <v>184</v>
      </c>
    </row>
    <row r="174" spans="1:17" x14ac:dyDescent="0.25">
      <c r="A174" t="s">
        <v>1098</v>
      </c>
      <c r="B174" t="s">
        <v>1096</v>
      </c>
      <c r="C174" t="s">
        <v>175</v>
      </c>
      <c r="D174" t="s">
        <v>231</v>
      </c>
      <c r="E174" t="s">
        <v>232</v>
      </c>
      <c r="F174">
        <v>2</v>
      </c>
      <c r="G174" t="s">
        <v>176</v>
      </c>
      <c r="H174">
        <v>0</v>
      </c>
      <c r="I174">
        <v>239</v>
      </c>
      <c r="J174" s="10">
        <v>90</v>
      </c>
      <c r="K174" s="10">
        <f>SUMIFS(F:F,D:D,DST_123_ÜRETİM_İHTİYAÇ_RAPORU_BURAK_YENI1309[[#This Row],[ALT_KOD]])-(SUMIFS(H:H,D:D,DST_123_ÜRETİM_İHTİYAÇ_RAPORU_BURAK_YENI1309[[#This Row],[ALT_KOD]])+AVERAGEIFS(I:I,D:D,DST_123_ÜRETİM_İHTİYAÇ_RAPORU_BURAK_YENI1309[[#This Row],[ALT_KOD]])+AVERAGEIFS(L:L,D:D,DST_123_ÜRETİM_İHTİYAÇ_RAPORU_BURAK_YENI1309[[#This Row],[ALT_KOD]]))</f>
        <v>-201</v>
      </c>
      <c r="L174">
        <v>0</v>
      </c>
      <c r="M174">
        <f>IF((DST_123_ÜRETİM_İHTİYAÇ_RAPORU_BURAK_YENI1309[[#This Row],[SATINALMA]]*DST_123_ÜRETİM_İHTİYAÇ_RAPORU_BURAK_YENI1309[[#This Row],[BIRIM_FIYATLAR]])&lt;1,VALUE("0"),DST_123_ÜRETİM_İHTİYAÇ_RAPORU_BURAK_YENI1309[[#This Row],[SATINALMA]]*DST_123_ÜRETİM_İHTİYAÇ_RAPORU_BURAK_YENI1309[[#This Row],[BIRIM_FIYATLAR]])</f>
        <v>0</v>
      </c>
      <c r="N174">
        <v>4</v>
      </c>
      <c r="O174" t="s">
        <v>220</v>
      </c>
      <c r="P174">
        <v>8</v>
      </c>
      <c r="Q174" t="s">
        <v>221</v>
      </c>
    </row>
    <row r="175" spans="1:17" x14ac:dyDescent="0.25">
      <c r="A175" t="s">
        <v>1098</v>
      </c>
      <c r="B175" t="s">
        <v>1096</v>
      </c>
      <c r="C175" t="s">
        <v>175</v>
      </c>
      <c r="D175" t="s">
        <v>15</v>
      </c>
      <c r="E175" t="s">
        <v>16</v>
      </c>
      <c r="F175">
        <v>1</v>
      </c>
      <c r="G175" t="s">
        <v>176</v>
      </c>
      <c r="H175">
        <v>0</v>
      </c>
      <c r="I175">
        <v>7</v>
      </c>
      <c r="J175" s="10">
        <v>10</v>
      </c>
      <c r="K175" s="10">
        <f>SUMIFS(F:F,D:D,DST_123_ÜRETİM_İHTİYAÇ_RAPORU_BURAK_YENI1309[[#This Row],[ALT_KOD]])-(SUMIFS(H:H,D:D,DST_123_ÜRETİM_İHTİYAÇ_RAPORU_BURAK_YENI1309[[#This Row],[ALT_KOD]])+AVERAGEIFS(I:I,D:D,DST_123_ÜRETİM_İHTİYAÇ_RAPORU_BURAK_YENI1309[[#This Row],[ALT_KOD]])+AVERAGEIFS(L:L,D:D,DST_123_ÜRETİM_İHTİYAÇ_RAPORU_BURAK_YENI1309[[#This Row],[ALT_KOD]]))</f>
        <v>6</v>
      </c>
      <c r="L175">
        <v>0</v>
      </c>
      <c r="M175">
        <f>IF((DST_123_ÜRETİM_İHTİYAÇ_RAPORU_BURAK_YENI1309[[#This Row],[SATINALMA]]*DST_123_ÜRETİM_İHTİYAÇ_RAPORU_BURAK_YENI1309[[#This Row],[BIRIM_FIYATLAR]])&lt;1,VALUE("0"),DST_123_ÜRETİM_İHTİYAÇ_RAPORU_BURAK_YENI1309[[#This Row],[SATINALMA]]*DST_123_ÜRETİM_İHTİYAÇ_RAPORU_BURAK_YENI1309[[#This Row],[BIRIM_FIYATLAR]])</f>
        <v>20303.939999999999</v>
      </c>
      <c r="N175">
        <v>3383.99</v>
      </c>
      <c r="O175" t="s">
        <v>215</v>
      </c>
      <c r="P175">
        <v>3383.99</v>
      </c>
      <c r="Q175" t="s">
        <v>221</v>
      </c>
    </row>
    <row r="176" spans="1:17" x14ac:dyDescent="0.25">
      <c r="A176" t="s">
        <v>1196</v>
      </c>
      <c r="B176" t="s">
        <v>1197</v>
      </c>
      <c r="C176" t="s">
        <v>175</v>
      </c>
      <c r="D176" t="s">
        <v>15</v>
      </c>
      <c r="E176" t="s">
        <v>16</v>
      </c>
      <c r="F176">
        <v>1</v>
      </c>
      <c r="G176" t="s">
        <v>176</v>
      </c>
      <c r="H176">
        <v>0</v>
      </c>
      <c r="I176">
        <v>7</v>
      </c>
      <c r="J176" s="10">
        <v>10</v>
      </c>
      <c r="K176" s="10">
        <f>SUMIFS(F:F,D:D,DST_123_ÜRETİM_İHTİYAÇ_RAPORU_BURAK_YENI1309[[#This Row],[ALT_KOD]])-(SUMIFS(H:H,D:D,DST_123_ÜRETİM_İHTİYAÇ_RAPORU_BURAK_YENI1309[[#This Row],[ALT_KOD]])+AVERAGEIFS(I:I,D:D,DST_123_ÜRETİM_İHTİYAÇ_RAPORU_BURAK_YENI1309[[#This Row],[ALT_KOD]])+AVERAGEIFS(L:L,D:D,DST_123_ÜRETİM_İHTİYAÇ_RAPORU_BURAK_YENI1309[[#This Row],[ALT_KOD]]))</f>
        <v>6</v>
      </c>
      <c r="L176">
        <v>0</v>
      </c>
      <c r="M176">
        <f>IF((DST_123_ÜRETİM_İHTİYAÇ_RAPORU_BURAK_YENI1309[[#This Row],[SATINALMA]]*DST_123_ÜRETİM_İHTİYAÇ_RAPORU_BURAK_YENI1309[[#This Row],[BIRIM_FIYATLAR]])&lt;1,VALUE("0"),DST_123_ÜRETİM_İHTİYAÇ_RAPORU_BURAK_YENI1309[[#This Row],[SATINALMA]]*DST_123_ÜRETİM_İHTİYAÇ_RAPORU_BURAK_YENI1309[[#This Row],[BIRIM_FIYATLAR]])</f>
        <v>20303.939999999999</v>
      </c>
      <c r="N176">
        <v>3383.99</v>
      </c>
      <c r="O176" t="s">
        <v>215</v>
      </c>
      <c r="P176">
        <v>3383.99</v>
      </c>
      <c r="Q176" t="s">
        <v>221</v>
      </c>
    </row>
    <row r="177" spans="1:17" x14ac:dyDescent="0.25">
      <c r="A177" t="s">
        <v>1098</v>
      </c>
      <c r="B177" t="s">
        <v>1096</v>
      </c>
      <c r="C177" t="s">
        <v>175</v>
      </c>
      <c r="D177" t="s">
        <v>28</v>
      </c>
      <c r="E177" t="s">
        <v>29</v>
      </c>
      <c r="F177">
        <v>83</v>
      </c>
      <c r="G177" t="s">
        <v>176</v>
      </c>
      <c r="H177">
        <v>0</v>
      </c>
      <c r="I177">
        <v>3000</v>
      </c>
      <c r="J177" s="10">
        <v>1048</v>
      </c>
      <c r="K177" s="10">
        <f>SUMIFS(F:F,D:D,DST_123_ÜRETİM_İHTİYAÇ_RAPORU_BURAK_YENI1309[[#This Row],[ALT_KOD]])-(SUMIFS(H:H,D:D,DST_123_ÜRETİM_İHTİYAÇ_RAPORU_BURAK_YENI1309[[#This Row],[ALT_KOD]])+AVERAGEIFS(I:I,D:D,DST_123_ÜRETİM_İHTİYAÇ_RAPORU_BURAK_YENI1309[[#This Row],[ALT_KOD]])+AVERAGEIFS(L:L,D:D,DST_123_ÜRETİM_İHTİYAÇ_RAPORU_BURAK_YENI1309[[#This Row],[ALT_KOD]]))</f>
        <v>-967</v>
      </c>
      <c r="L177">
        <v>0</v>
      </c>
      <c r="M177">
        <f>IF((DST_123_ÜRETİM_İHTİYAÇ_RAPORU_BURAK_YENI1309[[#This Row],[SATINALMA]]*DST_123_ÜRETİM_İHTİYAÇ_RAPORU_BURAK_YENI1309[[#This Row],[BIRIM_FIYATLAR]])&lt;1,VALUE("0"),DST_123_ÜRETİM_İHTİYAÇ_RAPORU_BURAK_YENI1309[[#This Row],[SATINALMA]]*DST_123_ÜRETİM_İHTİYAÇ_RAPORU_BURAK_YENI1309[[#This Row],[BIRIM_FIYATLAR]])</f>
        <v>0</v>
      </c>
      <c r="N177">
        <v>2.92</v>
      </c>
      <c r="O177" t="s">
        <v>628</v>
      </c>
      <c r="P177">
        <v>242.35999999999999</v>
      </c>
      <c r="Q177" t="s">
        <v>180</v>
      </c>
    </row>
    <row r="178" spans="1:17" x14ac:dyDescent="0.25">
      <c r="A178" t="s">
        <v>1150</v>
      </c>
      <c r="B178" t="s">
        <v>1145</v>
      </c>
      <c r="C178" t="s">
        <v>175</v>
      </c>
      <c r="D178" t="s">
        <v>231</v>
      </c>
      <c r="E178" t="s">
        <v>232</v>
      </c>
      <c r="F178">
        <v>2</v>
      </c>
      <c r="G178" t="s">
        <v>176</v>
      </c>
      <c r="H178">
        <v>0</v>
      </c>
      <c r="I178">
        <v>239</v>
      </c>
      <c r="J178" s="10">
        <v>90</v>
      </c>
      <c r="K178" s="10">
        <f>SUMIFS(F:F,D:D,DST_123_ÜRETİM_İHTİYAÇ_RAPORU_BURAK_YENI1309[[#This Row],[ALT_KOD]])-(SUMIFS(H:H,D:D,DST_123_ÜRETİM_İHTİYAÇ_RAPORU_BURAK_YENI1309[[#This Row],[ALT_KOD]])+AVERAGEIFS(I:I,D:D,DST_123_ÜRETİM_İHTİYAÇ_RAPORU_BURAK_YENI1309[[#This Row],[ALT_KOD]])+AVERAGEIFS(L:L,D:D,DST_123_ÜRETİM_İHTİYAÇ_RAPORU_BURAK_YENI1309[[#This Row],[ALT_KOD]]))</f>
        <v>-201</v>
      </c>
      <c r="L178">
        <v>0</v>
      </c>
      <c r="M178">
        <f>IF((DST_123_ÜRETİM_İHTİYAÇ_RAPORU_BURAK_YENI1309[[#This Row],[SATINALMA]]*DST_123_ÜRETİM_İHTİYAÇ_RAPORU_BURAK_YENI1309[[#This Row],[BIRIM_FIYATLAR]])&lt;1,VALUE("0"),DST_123_ÜRETİM_İHTİYAÇ_RAPORU_BURAK_YENI1309[[#This Row],[SATINALMA]]*DST_123_ÜRETİM_İHTİYAÇ_RAPORU_BURAK_YENI1309[[#This Row],[BIRIM_FIYATLAR]])</f>
        <v>0</v>
      </c>
      <c r="N178">
        <v>4</v>
      </c>
      <c r="O178" t="s">
        <v>220</v>
      </c>
      <c r="P178">
        <v>8</v>
      </c>
      <c r="Q178" t="s">
        <v>221</v>
      </c>
    </row>
    <row r="179" spans="1:17" x14ac:dyDescent="0.25">
      <c r="A179" t="s">
        <v>1150</v>
      </c>
      <c r="B179" t="s">
        <v>1145</v>
      </c>
      <c r="C179" t="s">
        <v>175</v>
      </c>
      <c r="D179" t="s">
        <v>15</v>
      </c>
      <c r="E179" t="s">
        <v>16</v>
      </c>
      <c r="F179">
        <v>1</v>
      </c>
      <c r="G179" t="s">
        <v>176</v>
      </c>
      <c r="H179">
        <v>0</v>
      </c>
      <c r="I179">
        <v>7</v>
      </c>
      <c r="J179" s="10">
        <v>10</v>
      </c>
      <c r="K179" s="10">
        <f>SUMIFS(F:F,D:D,DST_123_ÜRETİM_İHTİYAÇ_RAPORU_BURAK_YENI1309[[#This Row],[ALT_KOD]])-(SUMIFS(H:H,D:D,DST_123_ÜRETİM_İHTİYAÇ_RAPORU_BURAK_YENI1309[[#This Row],[ALT_KOD]])+AVERAGEIFS(I:I,D:D,DST_123_ÜRETİM_İHTİYAÇ_RAPORU_BURAK_YENI1309[[#This Row],[ALT_KOD]])+AVERAGEIFS(L:L,D:D,DST_123_ÜRETİM_İHTİYAÇ_RAPORU_BURAK_YENI1309[[#This Row],[ALT_KOD]]))</f>
        <v>6</v>
      </c>
      <c r="L179">
        <v>0</v>
      </c>
      <c r="M179">
        <f>IF((DST_123_ÜRETİM_İHTİYAÇ_RAPORU_BURAK_YENI1309[[#This Row],[SATINALMA]]*DST_123_ÜRETİM_İHTİYAÇ_RAPORU_BURAK_YENI1309[[#This Row],[BIRIM_FIYATLAR]])&lt;1,VALUE("0"),DST_123_ÜRETİM_İHTİYAÇ_RAPORU_BURAK_YENI1309[[#This Row],[SATINALMA]]*DST_123_ÜRETİM_İHTİYAÇ_RAPORU_BURAK_YENI1309[[#This Row],[BIRIM_FIYATLAR]])</f>
        <v>20303.939999999999</v>
      </c>
      <c r="N179">
        <v>3383.99</v>
      </c>
      <c r="O179" t="s">
        <v>215</v>
      </c>
      <c r="P179">
        <v>3383.99</v>
      </c>
      <c r="Q179" t="s">
        <v>221</v>
      </c>
    </row>
    <row r="180" spans="1:17" x14ac:dyDescent="0.25">
      <c r="A180" t="s">
        <v>1150</v>
      </c>
      <c r="B180" t="s">
        <v>1145</v>
      </c>
      <c r="C180" t="s">
        <v>175</v>
      </c>
      <c r="D180" t="s">
        <v>28</v>
      </c>
      <c r="E180" t="s">
        <v>29</v>
      </c>
      <c r="F180">
        <v>135</v>
      </c>
      <c r="G180" t="s">
        <v>176</v>
      </c>
      <c r="H180">
        <v>0</v>
      </c>
      <c r="I180">
        <v>3000</v>
      </c>
      <c r="J180" s="10">
        <v>1048</v>
      </c>
      <c r="K180" s="10">
        <f>SUMIFS(F:F,D:D,DST_123_ÜRETİM_İHTİYAÇ_RAPORU_BURAK_YENI1309[[#This Row],[ALT_KOD]])-(SUMIFS(H:H,D:D,DST_123_ÜRETİM_İHTİYAÇ_RAPORU_BURAK_YENI1309[[#This Row],[ALT_KOD]])+AVERAGEIFS(I:I,D:D,DST_123_ÜRETİM_İHTİYAÇ_RAPORU_BURAK_YENI1309[[#This Row],[ALT_KOD]])+AVERAGEIFS(L:L,D:D,DST_123_ÜRETİM_İHTİYAÇ_RAPORU_BURAK_YENI1309[[#This Row],[ALT_KOD]]))</f>
        <v>-967</v>
      </c>
      <c r="L180">
        <v>0</v>
      </c>
      <c r="M180">
        <f>IF((DST_123_ÜRETİM_İHTİYAÇ_RAPORU_BURAK_YENI1309[[#This Row],[SATINALMA]]*DST_123_ÜRETİM_İHTİYAÇ_RAPORU_BURAK_YENI1309[[#This Row],[BIRIM_FIYATLAR]])&lt;1,VALUE("0"),DST_123_ÜRETİM_İHTİYAÇ_RAPORU_BURAK_YENI1309[[#This Row],[SATINALMA]]*DST_123_ÜRETİM_İHTİYAÇ_RAPORU_BURAK_YENI1309[[#This Row],[BIRIM_FIYATLAR]])</f>
        <v>0</v>
      </c>
      <c r="N180">
        <v>2.92</v>
      </c>
      <c r="O180" t="s">
        <v>628</v>
      </c>
      <c r="P180">
        <v>394.2</v>
      </c>
      <c r="Q180" t="s">
        <v>180</v>
      </c>
    </row>
    <row r="181" spans="1:17" x14ac:dyDescent="0.25">
      <c r="A181" t="s">
        <v>1196</v>
      </c>
      <c r="B181" t="s">
        <v>1197</v>
      </c>
      <c r="C181" t="s">
        <v>175</v>
      </c>
      <c r="D181" t="s">
        <v>231</v>
      </c>
      <c r="E181" t="s">
        <v>232</v>
      </c>
      <c r="F181">
        <v>2</v>
      </c>
      <c r="G181" t="s">
        <v>176</v>
      </c>
      <c r="H181">
        <v>0</v>
      </c>
      <c r="I181">
        <v>239</v>
      </c>
      <c r="J181" s="10">
        <v>90</v>
      </c>
      <c r="K181" s="10">
        <f>SUMIFS(F:F,D:D,DST_123_ÜRETİM_İHTİYAÇ_RAPORU_BURAK_YENI1309[[#This Row],[ALT_KOD]])-(SUMIFS(H:H,D:D,DST_123_ÜRETİM_İHTİYAÇ_RAPORU_BURAK_YENI1309[[#This Row],[ALT_KOD]])+AVERAGEIFS(I:I,D:D,DST_123_ÜRETİM_İHTİYAÇ_RAPORU_BURAK_YENI1309[[#This Row],[ALT_KOD]])+AVERAGEIFS(L:L,D:D,DST_123_ÜRETİM_İHTİYAÇ_RAPORU_BURAK_YENI1309[[#This Row],[ALT_KOD]]))</f>
        <v>-201</v>
      </c>
      <c r="L181">
        <v>0</v>
      </c>
      <c r="M181">
        <f>IF((DST_123_ÜRETİM_İHTİYAÇ_RAPORU_BURAK_YENI1309[[#This Row],[SATINALMA]]*DST_123_ÜRETİM_İHTİYAÇ_RAPORU_BURAK_YENI1309[[#This Row],[BIRIM_FIYATLAR]])&lt;1,VALUE("0"),DST_123_ÜRETİM_İHTİYAÇ_RAPORU_BURAK_YENI1309[[#This Row],[SATINALMA]]*DST_123_ÜRETİM_İHTİYAÇ_RAPORU_BURAK_YENI1309[[#This Row],[BIRIM_FIYATLAR]])</f>
        <v>0</v>
      </c>
      <c r="N181">
        <v>4</v>
      </c>
      <c r="O181" t="s">
        <v>220</v>
      </c>
      <c r="P181">
        <v>8</v>
      </c>
      <c r="Q181" t="s">
        <v>221</v>
      </c>
    </row>
    <row r="182" spans="1:17" x14ac:dyDescent="0.25">
      <c r="A182" t="s">
        <v>1099</v>
      </c>
      <c r="B182" t="s">
        <v>1055</v>
      </c>
      <c r="C182" t="s">
        <v>175</v>
      </c>
      <c r="D182" t="s">
        <v>231</v>
      </c>
      <c r="E182" t="s">
        <v>232</v>
      </c>
      <c r="F182">
        <v>2</v>
      </c>
      <c r="G182" t="s">
        <v>176</v>
      </c>
      <c r="H182">
        <v>0</v>
      </c>
      <c r="I182">
        <v>239</v>
      </c>
      <c r="J182" s="10">
        <v>90</v>
      </c>
      <c r="K182" s="10">
        <f>SUMIFS(F:F,D:D,DST_123_ÜRETİM_İHTİYAÇ_RAPORU_BURAK_YENI1309[[#This Row],[ALT_KOD]])-(SUMIFS(H:H,D:D,DST_123_ÜRETİM_İHTİYAÇ_RAPORU_BURAK_YENI1309[[#This Row],[ALT_KOD]])+AVERAGEIFS(I:I,D:D,DST_123_ÜRETİM_İHTİYAÇ_RAPORU_BURAK_YENI1309[[#This Row],[ALT_KOD]])+AVERAGEIFS(L:L,D:D,DST_123_ÜRETİM_İHTİYAÇ_RAPORU_BURAK_YENI1309[[#This Row],[ALT_KOD]]))</f>
        <v>-201</v>
      </c>
      <c r="L182">
        <v>0</v>
      </c>
      <c r="M182">
        <f>IF((DST_123_ÜRETİM_İHTİYAÇ_RAPORU_BURAK_YENI1309[[#This Row],[SATINALMA]]*DST_123_ÜRETİM_İHTİYAÇ_RAPORU_BURAK_YENI1309[[#This Row],[BIRIM_FIYATLAR]])&lt;1,VALUE("0"),DST_123_ÜRETİM_İHTİYAÇ_RAPORU_BURAK_YENI1309[[#This Row],[SATINALMA]]*DST_123_ÜRETİM_İHTİYAÇ_RAPORU_BURAK_YENI1309[[#This Row],[BIRIM_FIYATLAR]])</f>
        <v>0</v>
      </c>
      <c r="N182">
        <v>4</v>
      </c>
      <c r="O182" t="s">
        <v>220</v>
      </c>
      <c r="P182">
        <v>8</v>
      </c>
      <c r="Q182" t="s">
        <v>221</v>
      </c>
    </row>
    <row r="183" spans="1:17" x14ac:dyDescent="0.25">
      <c r="A183" t="s">
        <v>1099</v>
      </c>
      <c r="B183" t="s">
        <v>1055</v>
      </c>
      <c r="C183" t="s">
        <v>175</v>
      </c>
      <c r="D183" t="s">
        <v>15</v>
      </c>
      <c r="E183" t="s">
        <v>16</v>
      </c>
      <c r="F183">
        <v>1</v>
      </c>
      <c r="G183" t="s">
        <v>176</v>
      </c>
      <c r="H183">
        <v>0</v>
      </c>
      <c r="I183">
        <v>7</v>
      </c>
      <c r="J183" s="10">
        <v>10</v>
      </c>
      <c r="K183" s="10">
        <f>SUMIFS(F:F,D:D,DST_123_ÜRETİM_İHTİYAÇ_RAPORU_BURAK_YENI1309[[#This Row],[ALT_KOD]])-(SUMIFS(H:H,D:D,DST_123_ÜRETİM_İHTİYAÇ_RAPORU_BURAK_YENI1309[[#This Row],[ALT_KOD]])+AVERAGEIFS(I:I,D:D,DST_123_ÜRETİM_İHTİYAÇ_RAPORU_BURAK_YENI1309[[#This Row],[ALT_KOD]])+AVERAGEIFS(L:L,D:D,DST_123_ÜRETİM_İHTİYAÇ_RAPORU_BURAK_YENI1309[[#This Row],[ALT_KOD]]))</f>
        <v>6</v>
      </c>
      <c r="L183">
        <v>0</v>
      </c>
      <c r="M183">
        <f>IF((DST_123_ÜRETİM_İHTİYAÇ_RAPORU_BURAK_YENI1309[[#This Row],[SATINALMA]]*DST_123_ÜRETİM_İHTİYAÇ_RAPORU_BURAK_YENI1309[[#This Row],[BIRIM_FIYATLAR]])&lt;1,VALUE("0"),DST_123_ÜRETİM_İHTİYAÇ_RAPORU_BURAK_YENI1309[[#This Row],[SATINALMA]]*DST_123_ÜRETİM_İHTİYAÇ_RAPORU_BURAK_YENI1309[[#This Row],[BIRIM_FIYATLAR]])</f>
        <v>20303.939999999999</v>
      </c>
      <c r="N183">
        <v>3383.99</v>
      </c>
      <c r="O183" t="s">
        <v>215</v>
      </c>
      <c r="P183">
        <v>3383.99</v>
      </c>
      <c r="Q183" t="s">
        <v>221</v>
      </c>
    </row>
    <row r="184" spans="1:17" x14ac:dyDescent="0.25">
      <c r="A184" t="s">
        <v>1196</v>
      </c>
      <c r="B184" t="s">
        <v>1197</v>
      </c>
      <c r="C184" t="s">
        <v>175</v>
      </c>
      <c r="D184" t="s">
        <v>28</v>
      </c>
      <c r="E184" t="s">
        <v>29</v>
      </c>
      <c r="F184">
        <v>135</v>
      </c>
      <c r="G184" t="s">
        <v>176</v>
      </c>
      <c r="H184">
        <v>0</v>
      </c>
      <c r="I184">
        <v>3000</v>
      </c>
      <c r="J184" s="10">
        <v>1048</v>
      </c>
      <c r="K184" s="10">
        <f>SUMIFS(F:F,D:D,DST_123_ÜRETİM_İHTİYAÇ_RAPORU_BURAK_YENI1309[[#This Row],[ALT_KOD]])-(SUMIFS(H:H,D:D,DST_123_ÜRETİM_İHTİYAÇ_RAPORU_BURAK_YENI1309[[#This Row],[ALT_KOD]])+AVERAGEIFS(I:I,D:D,DST_123_ÜRETİM_İHTİYAÇ_RAPORU_BURAK_YENI1309[[#This Row],[ALT_KOD]])+AVERAGEIFS(L:L,D:D,DST_123_ÜRETİM_İHTİYAÇ_RAPORU_BURAK_YENI1309[[#This Row],[ALT_KOD]]))</f>
        <v>-967</v>
      </c>
      <c r="L184">
        <v>0</v>
      </c>
      <c r="M184">
        <f>IF((DST_123_ÜRETİM_İHTİYAÇ_RAPORU_BURAK_YENI1309[[#This Row],[SATINALMA]]*DST_123_ÜRETİM_İHTİYAÇ_RAPORU_BURAK_YENI1309[[#This Row],[BIRIM_FIYATLAR]])&lt;1,VALUE("0"),DST_123_ÜRETİM_İHTİYAÇ_RAPORU_BURAK_YENI1309[[#This Row],[SATINALMA]]*DST_123_ÜRETİM_İHTİYAÇ_RAPORU_BURAK_YENI1309[[#This Row],[BIRIM_FIYATLAR]])</f>
        <v>0</v>
      </c>
      <c r="N184">
        <v>2.92</v>
      </c>
      <c r="O184" t="s">
        <v>628</v>
      </c>
      <c r="P184">
        <v>394.2</v>
      </c>
      <c r="Q184" t="s">
        <v>180</v>
      </c>
    </row>
    <row r="185" spans="1:17" x14ac:dyDescent="0.25">
      <c r="A185" t="s">
        <v>1099</v>
      </c>
      <c r="B185" t="s">
        <v>1055</v>
      </c>
      <c r="C185" t="s">
        <v>175</v>
      </c>
      <c r="D185" t="s">
        <v>28</v>
      </c>
      <c r="E185" t="s">
        <v>29</v>
      </c>
      <c r="F185">
        <v>81</v>
      </c>
      <c r="G185" t="s">
        <v>176</v>
      </c>
      <c r="H185">
        <v>0</v>
      </c>
      <c r="I185">
        <v>3000</v>
      </c>
      <c r="J185" s="10">
        <v>1048</v>
      </c>
      <c r="K185" s="10">
        <f>SUMIFS(F:F,D:D,DST_123_ÜRETİM_İHTİYAÇ_RAPORU_BURAK_YENI1309[[#This Row],[ALT_KOD]])-(SUMIFS(H:H,D:D,DST_123_ÜRETİM_İHTİYAÇ_RAPORU_BURAK_YENI1309[[#This Row],[ALT_KOD]])+AVERAGEIFS(I:I,D:D,DST_123_ÜRETİM_İHTİYAÇ_RAPORU_BURAK_YENI1309[[#This Row],[ALT_KOD]])+AVERAGEIFS(L:L,D:D,DST_123_ÜRETİM_İHTİYAÇ_RAPORU_BURAK_YENI1309[[#This Row],[ALT_KOD]]))</f>
        <v>-967</v>
      </c>
      <c r="L185">
        <v>0</v>
      </c>
      <c r="M185">
        <f>IF((DST_123_ÜRETİM_İHTİYAÇ_RAPORU_BURAK_YENI1309[[#This Row],[SATINALMA]]*DST_123_ÜRETİM_İHTİYAÇ_RAPORU_BURAK_YENI1309[[#This Row],[BIRIM_FIYATLAR]])&lt;1,VALUE("0"),DST_123_ÜRETİM_İHTİYAÇ_RAPORU_BURAK_YENI1309[[#This Row],[SATINALMA]]*DST_123_ÜRETİM_İHTİYAÇ_RAPORU_BURAK_YENI1309[[#This Row],[BIRIM_FIYATLAR]])</f>
        <v>0</v>
      </c>
      <c r="N185">
        <v>2.92</v>
      </c>
      <c r="O185" t="s">
        <v>628</v>
      </c>
      <c r="P185">
        <v>236.51999999999998</v>
      </c>
      <c r="Q185" t="s">
        <v>180</v>
      </c>
    </row>
    <row r="186" spans="1:17" x14ac:dyDescent="0.25">
      <c r="A186" t="s">
        <v>1150</v>
      </c>
      <c r="B186" t="s">
        <v>1145</v>
      </c>
      <c r="C186" t="s">
        <v>175</v>
      </c>
      <c r="D186" t="s">
        <v>491</v>
      </c>
      <c r="E186" t="s">
        <v>492</v>
      </c>
      <c r="F186">
        <v>14</v>
      </c>
      <c r="G186" t="s">
        <v>179</v>
      </c>
      <c r="H186">
        <v>0</v>
      </c>
      <c r="I186">
        <v>0</v>
      </c>
      <c r="J186" s="10">
        <v>0</v>
      </c>
      <c r="K186" s="10">
        <f>SUMIFS(F:F,D:D,DST_123_ÜRETİM_İHTİYAÇ_RAPORU_BURAK_YENI1309[[#This Row],[ALT_KOD]])-(SUMIFS(H:H,D:D,DST_123_ÜRETİM_İHTİYAÇ_RAPORU_BURAK_YENI1309[[#This Row],[ALT_KOD]])+AVERAGEIFS(I:I,D:D,DST_123_ÜRETİM_İHTİYAÇ_RAPORU_BURAK_YENI1309[[#This Row],[ALT_KOD]])+AVERAGEIFS(L:L,D:D,DST_123_ÜRETİM_İHTİYAÇ_RAPORU_BURAK_YENI1309[[#This Row],[ALT_KOD]]))</f>
        <v>58</v>
      </c>
      <c r="L186">
        <v>200</v>
      </c>
      <c r="M186">
        <f>IF((DST_123_ÜRETİM_İHTİYAÇ_RAPORU_BURAK_YENI1309[[#This Row],[SATINALMA]]*DST_123_ÜRETİM_İHTİYAÇ_RAPORU_BURAK_YENI1309[[#This Row],[BIRIM_FIYATLAR]])&lt;1,VALUE("0"),DST_123_ÜRETİM_İHTİYAÇ_RAPORU_BURAK_YENI1309[[#This Row],[SATINALMA]]*DST_123_ÜRETİM_İHTİYAÇ_RAPORU_BURAK_YENI1309[[#This Row],[BIRIM_FIYATLAR]])</f>
        <v>232.57999999999998</v>
      </c>
      <c r="N186">
        <v>4.01</v>
      </c>
      <c r="O186" t="s">
        <v>707</v>
      </c>
      <c r="P186">
        <v>56.14</v>
      </c>
      <c r="Q186" t="s">
        <v>184</v>
      </c>
    </row>
    <row r="187" spans="1:17" x14ac:dyDescent="0.25">
      <c r="A187" t="s">
        <v>1149</v>
      </c>
      <c r="B187" t="s">
        <v>1145</v>
      </c>
      <c r="C187" t="s">
        <v>175</v>
      </c>
      <c r="D187" t="s">
        <v>231</v>
      </c>
      <c r="E187" t="s">
        <v>232</v>
      </c>
      <c r="F187">
        <v>2</v>
      </c>
      <c r="G187" t="s">
        <v>176</v>
      </c>
      <c r="H187">
        <v>0</v>
      </c>
      <c r="I187">
        <v>239</v>
      </c>
      <c r="J187" s="10">
        <v>90</v>
      </c>
      <c r="K187" s="10">
        <f>SUMIFS(F:F,D:D,DST_123_ÜRETİM_İHTİYAÇ_RAPORU_BURAK_YENI1309[[#This Row],[ALT_KOD]])-(SUMIFS(H:H,D:D,DST_123_ÜRETİM_İHTİYAÇ_RAPORU_BURAK_YENI1309[[#This Row],[ALT_KOD]])+AVERAGEIFS(I:I,D:D,DST_123_ÜRETİM_İHTİYAÇ_RAPORU_BURAK_YENI1309[[#This Row],[ALT_KOD]])+AVERAGEIFS(L:L,D:D,DST_123_ÜRETİM_İHTİYAÇ_RAPORU_BURAK_YENI1309[[#This Row],[ALT_KOD]]))</f>
        <v>-201</v>
      </c>
      <c r="L187">
        <v>0</v>
      </c>
      <c r="M187">
        <f>IF((DST_123_ÜRETİM_İHTİYAÇ_RAPORU_BURAK_YENI1309[[#This Row],[SATINALMA]]*DST_123_ÜRETİM_İHTİYAÇ_RAPORU_BURAK_YENI1309[[#This Row],[BIRIM_FIYATLAR]])&lt;1,VALUE("0"),DST_123_ÜRETİM_İHTİYAÇ_RAPORU_BURAK_YENI1309[[#This Row],[SATINALMA]]*DST_123_ÜRETİM_İHTİYAÇ_RAPORU_BURAK_YENI1309[[#This Row],[BIRIM_FIYATLAR]])</f>
        <v>0</v>
      </c>
      <c r="N187">
        <v>4</v>
      </c>
      <c r="O187" t="s">
        <v>220</v>
      </c>
      <c r="P187">
        <v>8</v>
      </c>
      <c r="Q187" t="s">
        <v>221</v>
      </c>
    </row>
    <row r="188" spans="1:17" x14ac:dyDescent="0.25">
      <c r="A188" t="s">
        <v>1149</v>
      </c>
      <c r="B188" t="s">
        <v>1145</v>
      </c>
      <c r="C188" t="s">
        <v>175</v>
      </c>
      <c r="D188" t="s">
        <v>28</v>
      </c>
      <c r="E188" t="s">
        <v>29</v>
      </c>
      <c r="F188">
        <v>135</v>
      </c>
      <c r="G188" t="s">
        <v>176</v>
      </c>
      <c r="H188">
        <v>0</v>
      </c>
      <c r="I188">
        <v>3000</v>
      </c>
      <c r="J188" s="10">
        <v>1048</v>
      </c>
      <c r="K188" s="10">
        <f>SUMIFS(F:F,D:D,DST_123_ÜRETİM_İHTİYAÇ_RAPORU_BURAK_YENI1309[[#This Row],[ALT_KOD]])-(SUMIFS(H:H,D:D,DST_123_ÜRETİM_İHTİYAÇ_RAPORU_BURAK_YENI1309[[#This Row],[ALT_KOD]])+AVERAGEIFS(I:I,D:D,DST_123_ÜRETİM_İHTİYAÇ_RAPORU_BURAK_YENI1309[[#This Row],[ALT_KOD]])+AVERAGEIFS(L:L,D:D,DST_123_ÜRETİM_İHTİYAÇ_RAPORU_BURAK_YENI1309[[#This Row],[ALT_KOD]]))</f>
        <v>-967</v>
      </c>
      <c r="L188">
        <v>0</v>
      </c>
      <c r="M188">
        <f>IF((DST_123_ÜRETİM_İHTİYAÇ_RAPORU_BURAK_YENI1309[[#This Row],[SATINALMA]]*DST_123_ÜRETİM_İHTİYAÇ_RAPORU_BURAK_YENI1309[[#This Row],[BIRIM_FIYATLAR]])&lt;1,VALUE("0"),DST_123_ÜRETİM_İHTİYAÇ_RAPORU_BURAK_YENI1309[[#This Row],[SATINALMA]]*DST_123_ÜRETİM_İHTİYAÇ_RAPORU_BURAK_YENI1309[[#This Row],[BIRIM_FIYATLAR]])</f>
        <v>0</v>
      </c>
      <c r="N188">
        <v>2.92</v>
      </c>
      <c r="O188" t="s">
        <v>628</v>
      </c>
      <c r="P188">
        <v>394.2</v>
      </c>
      <c r="Q188" t="s">
        <v>180</v>
      </c>
    </row>
    <row r="189" spans="1:17" x14ac:dyDescent="0.25">
      <c r="A189" t="s">
        <v>1059</v>
      </c>
      <c r="B189" t="s">
        <v>1058</v>
      </c>
      <c r="C189" t="s">
        <v>175</v>
      </c>
      <c r="D189" t="s">
        <v>484</v>
      </c>
      <c r="E189" t="s">
        <v>485</v>
      </c>
      <c r="F189">
        <v>2</v>
      </c>
      <c r="G189" t="s">
        <v>176</v>
      </c>
      <c r="H189">
        <v>0</v>
      </c>
      <c r="I189">
        <v>35</v>
      </c>
      <c r="J189" s="10">
        <v>8</v>
      </c>
      <c r="K189" s="10">
        <f>SUMIFS(F:F,D:D,DST_123_ÜRETİM_İHTİYAÇ_RAPORU_BURAK_YENI1309[[#This Row],[ALT_KOD]])-(SUMIFS(H:H,D:D,DST_123_ÜRETİM_İHTİYAÇ_RAPORU_BURAK_YENI1309[[#This Row],[ALT_KOD]])+AVERAGEIFS(I:I,D:D,DST_123_ÜRETİM_İHTİYAÇ_RAPORU_BURAK_YENI1309[[#This Row],[ALT_KOD]])+AVERAGEIFS(L:L,D:D,DST_123_ÜRETİM_İHTİYAÇ_RAPORU_BURAK_YENI1309[[#This Row],[ALT_KOD]]))</f>
        <v>-29</v>
      </c>
      <c r="L189">
        <v>0</v>
      </c>
      <c r="M189">
        <f>IF((DST_123_ÜRETİM_İHTİYAÇ_RAPORU_BURAK_YENI1309[[#This Row],[SATINALMA]]*DST_123_ÜRETİM_İHTİYAÇ_RAPORU_BURAK_YENI1309[[#This Row],[BIRIM_FIYATLAR]])&lt;1,VALUE("0"),DST_123_ÜRETİM_İHTİYAÇ_RAPORU_BURAK_YENI1309[[#This Row],[SATINALMA]]*DST_123_ÜRETİM_İHTİYAÇ_RAPORU_BURAK_YENI1309[[#This Row],[BIRIM_FIYATLAR]])</f>
        <v>0</v>
      </c>
      <c r="N189">
        <v>94.17</v>
      </c>
      <c r="O189" t="s">
        <v>482</v>
      </c>
      <c r="P189">
        <v>188.34</v>
      </c>
      <c r="Q189" t="s">
        <v>483</v>
      </c>
    </row>
    <row r="190" spans="1:17" x14ac:dyDescent="0.25">
      <c r="A190" t="s">
        <v>1142</v>
      </c>
      <c r="B190" t="s">
        <v>1056</v>
      </c>
      <c r="C190" t="s">
        <v>175</v>
      </c>
      <c r="D190" t="s">
        <v>491</v>
      </c>
      <c r="E190" t="s">
        <v>492</v>
      </c>
      <c r="F190">
        <v>14</v>
      </c>
      <c r="G190" t="s">
        <v>179</v>
      </c>
      <c r="H190">
        <v>0</v>
      </c>
      <c r="I190">
        <v>0</v>
      </c>
      <c r="J190" s="10">
        <v>0</v>
      </c>
      <c r="K190" s="10">
        <f>SUMIFS(F:F,D:D,DST_123_ÜRETİM_İHTİYAÇ_RAPORU_BURAK_YENI1309[[#This Row],[ALT_KOD]])-(SUMIFS(H:H,D:D,DST_123_ÜRETİM_İHTİYAÇ_RAPORU_BURAK_YENI1309[[#This Row],[ALT_KOD]])+AVERAGEIFS(I:I,D:D,DST_123_ÜRETİM_İHTİYAÇ_RAPORU_BURAK_YENI1309[[#This Row],[ALT_KOD]])+AVERAGEIFS(L:L,D:D,DST_123_ÜRETİM_İHTİYAÇ_RAPORU_BURAK_YENI1309[[#This Row],[ALT_KOD]]))</f>
        <v>58</v>
      </c>
      <c r="L190">
        <v>200</v>
      </c>
      <c r="M190">
        <f>IF((DST_123_ÜRETİM_İHTİYAÇ_RAPORU_BURAK_YENI1309[[#This Row],[SATINALMA]]*DST_123_ÜRETİM_İHTİYAÇ_RAPORU_BURAK_YENI1309[[#This Row],[BIRIM_FIYATLAR]])&lt;1,VALUE("0"),DST_123_ÜRETİM_İHTİYAÇ_RAPORU_BURAK_YENI1309[[#This Row],[SATINALMA]]*DST_123_ÜRETİM_İHTİYAÇ_RAPORU_BURAK_YENI1309[[#This Row],[BIRIM_FIYATLAR]])</f>
        <v>232.57999999999998</v>
      </c>
      <c r="N190">
        <v>4.01</v>
      </c>
      <c r="O190" t="s">
        <v>707</v>
      </c>
      <c r="P190">
        <v>56.14</v>
      </c>
      <c r="Q190" t="s">
        <v>184</v>
      </c>
    </row>
    <row r="191" spans="1:17" x14ac:dyDescent="0.25">
      <c r="A191" t="s">
        <v>1097</v>
      </c>
      <c r="B191" t="s">
        <v>1055</v>
      </c>
      <c r="C191" t="s">
        <v>175</v>
      </c>
      <c r="D191" t="s">
        <v>231</v>
      </c>
      <c r="E191" t="s">
        <v>232</v>
      </c>
      <c r="F191">
        <v>2</v>
      </c>
      <c r="G191" t="s">
        <v>176</v>
      </c>
      <c r="H191">
        <v>0</v>
      </c>
      <c r="I191">
        <v>239</v>
      </c>
      <c r="J191" s="10">
        <v>90</v>
      </c>
      <c r="K191" s="10">
        <f>SUMIFS(F:F,D:D,DST_123_ÜRETİM_İHTİYAÇ_RAPORU_BURAK_YENI1309[[#This Row],[ALT_KOD]])-(SUMIFS(H:H,D:D,DST_123_ÜRETİM_İHTİYAÇ_RAPORU_BURAK_YENI1309[[#This Row],[ALT_KOD]])+AVERAGEIFS(I:I,D:D,DST_123_ÜRETİM_İHTİYAÇ_RAPORU_BURAK_YENI1309[[#This Row],[ALT_KOD]])+AVERAGEIFS(L:L,D:D,DST_123_ÜRETİM_İHTİYAÇ_RAPORU_BURAK_YENI1309[[#This Row],[ALT_KOD]]))</f>
        <v>-201</v>
      </c>
      <c r="L191">
        <v>0</v>
      </c>
      <c r="M191">
        <f>IF((DST_123_ÜRETİM_İHTİYAÇ_RAPORU_BURAK_YENI1309[[#This Row],[SATINALMA]]*DST_123_ÜRETİM_İHTİYAÇ_RAPORU_BURAK_YENI1309[[#This Row],[BIRIM_FIYATLAR]])&lt;1,VALUE("0"),DST_123_ÜRETİM_İHTİYAÇ_RAPORU_BURAK_YENI1309[[#This Row],[SATINALMA]]*DST_123_ÜRETİM_İHTİYAÇ_RAPORU_BURAK_YENI1309[[#This Row],[BIRIM_FIYATLAR]])</f>
        <v>0</v>
      </c>
      <c r="N191">
        <v>4</v>
      </c>
      <c r="O191" t="s">
        <v>220</v>
      </c>
      <c r="P191">
        <v>8</v>
      </c>
      <c r="Q191" t="s">
        <v>221</v>
      </c>
    </row>
    <row r="192" spans="1:17" x14ac:dyDescent="0.25">
      <c r="A192" t="s">
        <v>1095</v>
      </c>
      <c r="B192" t="s">
        <v>1096</v>
      </c>
      <c r="C192" t="s">
        <v>175</v>
      </c>
      <c r="D192" t="s">
        <v>15</v>
      </c>
      <c r="E192" t="s">
        <v>16</v>
      </c>
      <c r="F192">
        <v>1</v>
      </c>
      <c r="G192" t="s">
        <v>176</v>
      </c>
      <c r="H192">
        <v>0</v>
      </c>
      <c r="I192">
        <v>7</v>
      </c>
      <c r="J192" s="10">
        <v>10</v>
      </c>
      <c r="K192" s="10">
        <f>SUMIFS(F:F,D:D,DST_123_ÜRETİM_İHTİYAÇ_RAPORU_BURAK_YENI1309[[#This Row],[ALT_KOD]])-(SUMIFS(H:H,D:D,DST_123_ÜRETİM_İHTİYAÇ_RAPORU_BURAK_YENI1309[[#This Row],[ALT_KOD]])+AVERAGEIFS(I:I,D:D,DST_123_ÜRETİM_İHTİYAÇ_RAPORU_BURAK_YENI1309[[#This Row],[ALT_KOD]])+AVERAGEIFS(L:L,D:D,DST_123_ÜRETİM_İHTİYAÇ_RAPORU_BURAK_YENI1309[[#This Row],[ALT_KOD]]))</f>
        <v>6</v>
      </c>
      <c r="L192">
        <v>0</v>
      </c>
      <c r="M192">
        <f>IF((DST_123_ÜRETİM_İHTİYAÇ_RAPORU_BURAK_YENI1309[[#This Row],[SATINALMA]]*DST_123_ÜRETİM_İHTİYAÇ_RAPORU_BURAK_YENI1309[[#This Row],[BIRIM_FIYATLAR]])&lt;1,VALUE("0"),DST_123_ÜRETİM_İHTİYAÇ_RAPORU_BURAK_YENI1309[[#This Row],[SATINALMA]]*DST_123_ÜRETİM_İHTİYAÇ_RAPORU_BURAK_YENI1309[[#This Row],[BIRIM_FIYATLAR]])</f>
        <v>20303.939999999999</v>
      </c>
      <c r="N192">
        <v>3383.99</v>
      </c>
      <c r="O192" t="s">
        <v>215</v>
      </c>
      <c r="P192">
        <v>3383.99</v>
      </c>
      <c r="Q192" t="s">
        <v>221</v>
      </c>
    </row>
    <row r="193" spans="1:17" x14ac:dyDescent="0.25">
      <c r="A193" t="s">
        <v>1064</v>
      </c>
      <c r="B193" t="s">
        <v>1055</v>
      </c>
      <c r="C193" t="s">
        <v>175</v>
      </c>
      <c r="D193" t="s">
        <v>491</v>
      </c>
      <c r="E193" t="s">
        <v>492</v>
      </c>
      <c r="F193">
        <v>15</v>
      </c>
      <c r="G193" t="s">
        <v>179</v>
      </c>
      <c r="H193">
        <v>0</v>
      </c>
      <c r="I193">
        <v>0</v>
      </c>
      <c r="J193" s="10">
        <v>0</v>
      </c>
      <c r="K193" s="10">
        <f>SUMIFS(F:F,D:D,DST_123_ÜRETİM_İHTİYAÇ_RAPORU_BURAK_YENI1309[[#This Row],[ALT_KOD]])-(SUMIFS(H:H,D:D,DST_123_ÜRETİM_İHTİYAÇ_RAPORU_BURAK_YENI1309[[#This Row],[ALT_KOD]])+AVERAGEIFS(I:I,D:D,DST_123_ÜRETİM_İHTİYAÇ_RAPORU_BURAK_YENI1309[[#This Row],[ALT_KOD]])+AVERAGEIFS(L:L,D:D,DST_123_ÜRETİM_İHTİYAÇ_RAPORU_BURAK_YENI1309[[#This Row],[ALT_KOD]]))</f>
        <v>58</v>
      </c>
      <c r="L193">
        <v>200</v>
      </c>
      <c r="M193">
        <f>IF((DST_123_ÜRETİM_İHTİYAÇ_RAPORU_BURAK_YENI1309[[#This Row],[SATINALMA]]*DST_123_ÜRETİM_İHTİYAÇ_RAPORU_BURAK_YENI1309[[#This Row],[BIRIM_FIYATLAR]])&lt;1,VALUE("0"),DST_123_ÜRETİM_İHTİYAÇ_RAPORU_BURAK_YENI1309[[#This Row],[SATINALMA]]*DST_123_ÜRETİM_İHTİYAÇ_RAPORU_BURAK_YENI1309[[#This Row],[BIRIM_FIYATLAR]])</f>
        <v>232.57999999999998</v>
      </c>
      <c r="N193">
        <v>4.01</v>
      </c>
      <c r="O193" t="s">
        <v>707</v>
      </c>
      <c r="P193">
        <v>60.15</v>
      </c>
      <c r="Q193" t="s">
        <v>184</v>
      </c>
    </row>
    <row r="194" spans="1:17" x14ac:dyDescent="0.25">
      <c r="A194" t="s">
        <v>1150</v>
      </c>
      <c r="B194" t="s">
        <v>1145</v>
      </c>
      <c r="C194" t="s">
        <v>175</v>
      </c>
      <c r="D194" t="s">
        <v>705</v>
      </c>
      <c r="E194" t="s">
        <v>706</v>
      </c>
      <c r="F194">
        <v>12</v>
      </c>
      <c r="G194" t="s">
        <v>176</v>
      </c>
      <c r="H194">
        <v>0</v>
      </c>
      <c r="I194">
        <v>1400</v>
      </c>
      <c r="J194" s="10">
        <v>602</v>
      </c>
      <c r="K194" s="10">
        <f>SUMIFS(F:F,D:D,DST_123_ÜRETİM_İHTİYAÇ_RAPORU_BURAK_YENI1309[[#This Row],[ALT_KOD]])-(SUMIFS(H:H,D:D,DST_123_ÜRETİM_İHTİYAÇ_RAPORU_BURAK_YENI1309[[#This Row],[ALT_KOD]])+AVERAGEIFS(I:I,D:D,DST_123_ÜRETİM_İHTİYAÇ_RAPORU_BURAK_YENI1309[[#This Row],[ALT_KOD]])+AVERAGEIFS(L:L,D:D,DST_123_ÜRETİM_İHTİYAÇ_RAPORU_BURAK_YENI1309[[#This Row],[ALT_KOD]]))</f>
        <v>-1296</v>
      </c>
      <c r="L194">
        <v>0</v>
      </c>
      <c r="M194">
        <f>IF((DST_123_ÜRETİM_İHTİYAÇ_RAPORU_BURAK_YENI1309[[#This Row],[SATINALMA]]*DST_123_ÜRETİM_İHTİYAÇ_RAPORU_BURAK_YENI1309[[#This Row],[BIRIM_FIYATLAR]])&lt;1,VALUE("0"),DST_123_ÜRETİM_İHTİYAÇ_RAPORU_BURAK_YENI1309[[#This Row],[SATINALMA]]*DST_123_ÜRETİM_İHTİYAÇ_RAPORU_BURAK_YENI1309[[#This Row],[BIRIM_FIYATLAR]])</f>
        <v>0</v>
      </c>
      <c r="N194">
        <v>0.6</v>
      </c>
      <c r="O194" t="s">
        <v>240</v>
      </c>
      <c r="P194">
        <v>7.1999999999999993</v>
      </c>
      <c r="Q194" t="s">
        <v>180</v>
      </c>
    </row>
    <row r="195" spans="1:17" x14ac:dyDescent="0.25">
      <c r="A195" t="s">
        <v>1142</v>
      </c>
      <c r="B195" t="s">
        <v>1056</v>
      </c>
      <c r="C195" t="s">
        <v>175</v>
      </c>
      <c r="D195" t="s">
        <v>1136</v>
      </c>
      <c r="E195" t="s">
        <v>1137</v>
      </c>
      <c r="F195">
        <v>3</v>
      </c>
      <c r="G195" t="s">
        <v>176</v>
      </c>
      <c r="H195">
        <v>0</v>
      </c>
      <c r="I195">
        <v>0</v>
      </c>
      <c r="J195" s="10">
        <v>0</v>
      </c>
      <c r="K195" s="10">
        <f>SUMIFS(F:F,D:D,DST_123_ÜRETİM_İHTİYAÇ_RAPORU_BURAK_YENI1309[[#This Row],[ALT_KOD]])-(SUMIFS(H:H,D:D,DST_123_ÜRETİM_İHTİYAÇ_RAPORU_BURAK_YENI1309[[#This Row],[ALT_KOD]])+AVERAGEIFS(I:I,D:D,DST_123_ÜRETİM_İHTİYAÇ_RAPORU_BURAK_YENI1309[[#This Row],[ALT_KOD]])+AVERAGEIFS(L:L,D:D,DST_123_ÜRETİM_İHTİYAÇ_RAPORU_BURAK_YENI1309[[#This Row],[ALT_KOD]]))</f>
        <v>27</v>
      </c>
      <c r="L195">
        <v>0</v>
      </c>
      <c r="M195">
        <f>IF((DST_123_ÜRETİM_İHTİYAÇ_RAPORU_BURAK_YENI1309[[#This Row],[SATINALMA]]*DST_123_ÜRETİM_İHTİYAÇ_RAPORU_BURAK_YENI1309[[#This Row],[BIRIM_FIYATLAR]])&lt;1,VALUE("0"),DST_123_ÜRETİM_İHTİYAÇ_RAPORU_BURAK_YENI1309[[#This Row],[SATINALMA]]*DST_123_ÜRETİM_İHTİYAÇ_RAPORU_BURAK_YENI1309[[#This Row],[BIRIM_FIYATLAR]])</f>
        <v>324</v>
      </c>
      <c r="N195">
        <v>12</v>
      </c>
      <c r="O195" t="s">
        <v>240</v>
      </c>
      <c r="P195">
        <v>36</v>
      </c>
      <c r="Q195" t="s">
        <v>180</v>
      </c>
    </row>
    <row r="196" spans="1:17" x14ac:dyDescent="0.25">
      <c r="A196" t="s">
        <v>1142</v>
      </c>
      <c r="B196" t="s">
        <v>1056</v>
      </c>
      <c r="C196" t="s">
        <v>175</v>
      </c>
      <c r="D196" t="s">
        <v>17</v>
      </c>
      <c r="E196" t="s">
        <v>18</v>
      </c>
      <c r="F196">
        <v>1</v>
      </c>
      <c r="G196" t="s">
        <v>176</v>
      </c>
      <c r="H196">
        <v>0</v>
      </c>
      <c r="I196">
        <v>56</v>
      </c>
      <c r="J196" s="10">
        <v>11</v>
      </c>
      <c r="K196" s="10">
        <f>SUMIFS(F:F,D:D,DST_123_ÜRETİM_İHTİYAÇ_RAPORU_BURAK_YENI1309[[#This Row],[ALT_KOD]])-(SUMIFS(H:H,D:D,DST_123_ÜRETİM_İHTİYAÇ_RAPORU_BURAK_YENI1309[[#This Row],[ALT_KOD]])+AVERAGEIFS(I:I,D:D,DST_123_ÜRETİM_İHTİYAÇ_RAPORU_BURAK_YENI1309[[#This Row],[ALT_KOD]])+AVERAGEIFS(L:L,D:D,DST_123_ÜRETİM_İHTİYAÇ_RAPORU_BURAK_YENI1309[[#This Row],[ALT_KOD]]))</f>
        <v>-43</v>
      </c>
      <c r="L196">
        <v>0</v>
      </c>
      <c r="M196">
        <f>IF((DST_123_ÜRETİM_İHTİYAÇ_RAPORU_BURAK_YENI1309[[#This Row],[SATINALMA]]*DST_123_ÜRETİM_İHTİYAÇ_RAPORU_BURAK_YENI1309[[#This Row],[BIRIM_FIYATLAR]])&lt;1,VALUE("0"),DST_123_ÜRETİM_İHTİYAÇ_RAPORU_BURAK_YENI1309[[#This Row],[SATINALMA]]*DST_123_ÜRETİM_İHTİYAÇ_RAPORU_BURAK_YENI1309[[#This Row],[BIRIM_FIYATLAR]])</f>
        <v>0</v>
      </c>
      <c r="N196">
        <v>936.72</v>
      </c>
      <c r="O196" t="s">
        <v>1230</v>
      </c>
      <c r="P196">
        <v>936.72</v>
      </c>
      <c r="Q196" t="s">
        <v>221</v>
      </c>
    </row>
    <row r="197" spans="1:17" x14ac:dyDescent="0.25">
      <c r="A197" t="s">
        <v>1098</v>
      </c>
      <c r="B197" t="s">
        <v>1096</v>
      </c>
      <c r="C197" t="s">
        <v>175</v>
      </c>
      <c r="D197" t="s">
        <v>1136</v>
      </c>
      <c r="E197" t="s">
        <v>1137</v>
      </c>
      <c r="F197">
        <v>2</v>
      </c>
      <c r="G197" t="s">
        <v>176</v>
      </c>
      <c r="H197">
        <v>0</v>
      </c>
      <c r="I197">
        <v>0</v>
      </c>
      <c r="J197" s="10">
        <v>0</v>
      </c>
      <c r="K197" s="10">
        <f>SUMIFS(F:F,D:D,DST_123_ÜRETİM_İHTİYAÇ_RAPORU_BURAK_YENI1309[[#This Row],[ALT_KOD]])-(SUMIFS(H:H,D:D,DST_123_ÜRETİM_İHTİYAÇ_RAPORU_BURAK_YENI1309[[#This Row],[ALT_KOD]])+AVERAGEIFS(I:I,D:D,DST_123_ÜRETİM_İHTİYAÇ_RAPORU_BURAK_YENI1309[[#This Row],[ALT_KOD]])+AVERAGEIFS(L:L,D:D,DST_123_ÜRETİM_İHTİYAÇ_RAPORU_BURAK_YENI1309[[#This Row],[ALT_KOD]]))</f>
        <v>27</v>
      </c>
      <c r="L197">
        <v>0</v>
      </c>
      <c r="M197">
        <f>IF((DST_123_ÜRETİM_İHTİYAÇ_RAPORU_BURAK_YENI1309[[#This Row],[SATINALMA]]*DST_123_ÜRETİM_İHTİYAÇ_RAPORU_BURAK_YENI1309[[#This Row],[BIRIM_FIYATLAR]])&lt;1,VALUE("0"),DST_123_ÜRETİM_İHTİYAÇ_RAPORU_BURAK_YENI1309[[#This Row],[SATINALMA]]*DST_123_ÜRETİM_İHTİYAÇ_RAPORU_BURAK_YENI1309[[#This Row],[BIRIM_FIYATLAR]])</f>
        <v>324</v>
      </c>
      <c r="N197">
        <v>12</v>
      </c>
      <c r="O197" t="s">
        <v>240</v>
      </c>
      <c r="P197">
        <v>24</v>
      </c>
      <c r="Q197" t="s">
        <v>180</v>
      </c>
    </row>
    <row r="198" spans="1:17" x14ac:dyDescent="0.25">
      <c r="A198" t="s">
        <v>1149</v>
      </c>
      <c r="B198" t="s">
        <v>1145</v>
      </c>
      <c r="C198" t="s">
        <v>175</v>
      </c>
      <c r="D198" t="s">
        <v>1136</v>
      </c>
      <c r="E198" t="s">
        <v>1137</v>
      </c>
      <c r="F198">
        <v>3</v>
      </c>
      <c r="G198" t="s">
        <v>176</v>
      </c>
      <c r="H198">
        <v>0</v>
      </c>
      <c r="I198">
        <v>0</v>
      </c>
      <c r="J198" s="10">
        <v>0</v>
      </c>
      <c r="K198" s="10">
        <f>SUMIFS(F:F,D:D,DST_123_ÜRETİM_İHTİYAÇ_RAPORU_BURAK_YENI1309[[#This Row],[ALT_KOD]])-(SUMIFS(H:H,D:D,DST_123_ÜRETİM_İHTİYAÇ_RAPORU_BURAK_YENI1309[[#This Row],[ALT_KOD]])+AVERAGEIFS(I:I,D:D,DST_123_ÜRETİM_İHTİYAÇ_RAPORU_BURAK_YENI1309[[#This Row],[ALT_KOD]])+AVERAGEIFS(L:L,D:D,DST_123_ÜRETİM_İHTİYAÇ_RAPORU_BURAK_YENI1309[[#This Row],[ALT_KOD]]))</f>
        <v>27</v>
      </c>
      <c r="L198">
        <v>0</v>
      </c>
      <c r="M198">
        <f>IF((DST_123_ÜRETİM_İHTİYAÇ_RAPORU_BURAK_YENI1309[[#This Row],[SATINALMA]]*DST_123_ÜRETİM_İHTİYAÇ_RAPORU_BURAK_YENI1309[[#This Row],[BIRIM_FIYATLAR]])&lt;1,VALUE("0"),DST_123_ÜRETİM_İHTİYAÇ_RAPORU_BURAK_YENI1309[[#This Row],[SATINALMA]]*DST_123_ÜRETİM_İHTİYAÇ_RAPORU_BURAK_YENI1309[[#This Row],[BIRIM_FIYATLAR]])</f>
        <v>324</v>
      </c>
      <c r="N198">
        <v>12</v>
      </c>
      <c r="O198" t="s">
        <v>240</v>
      </c>
      <c r="P198">
        <v>36</v>
      </c>
      <c r="Q198" t="s">
        <v>180</v>
      </c>
    </row>
    <row r="199" spans="1:17" x14ac:dyDescent="0.25">
      <c r="A199" t="s">
        <v>1149</v>
      </c>
      <c r="B199" t="s">
        <v>1145</v>
      </c>
      <c r="C199" t="s">
        <v>175</v>
      </c>
      <c r="D199" t="s">
        <v>705</v>
      </c>
      <c r="E199" t="s">
        <v>706</v>
      </c>
      <c r="F199">
        <v>12</v>
      </c>
      <c r="G199" t="s">
        <v>176</v>
      </c>
      <c r="H199">
        <v>0</v>
      </c>
      <c r="I199">
        <v>1400</v>
      </c>
      <c r="J199" s="10">
        <v>602</v>
      </c>
      <c r="K199" s="10">
        <f>SUMIFS(F:F,D:D,DST_123_ÜRETİM_İHTİYAÇ_RAPORU_BURAK_YENI1309[[#This Row],[ALT_KOD]])-(SUMIFS(H:H,D:D,DST_123_ÜRETİM_İHTİYAÇ_RAPORU_BURAK_YENI1309[[#This Row],[ALT_KOD]])+AVERAGEIFS(I:I,D:D,DST_123_ÜRETİM_İHTİYAÇ_RAPORU_BURAK_YENI1309[[#This Row],[ALT_KOD]])+AVERAGEIFS(L:L,D:D,DST_123_ÜRETİM_İHTİYAÇ_RAPORU_BURAK_YENI1309[[#This Row],[ALT_KOD]]))</f>
        <v>-1296</v>
      </c>
      <c r="L199">
        <v>0</v>
      </c>
      <c r="M199">
        <f>IF((DST_123_ÜRETİM_İHTİYAÇ_RAPORU_BURAK_YENI1309[[#This Row],[SATINALMA]]*DST_123_ÜRETİM_İHTİYAÇ_RAPORU_BURAK_YENI1309[[#This Row],[BIRIM_FIYATLAR]])&lt;1,VALUE("0"),DST_123_ÜRETİM_İHTİYAÇ_RAPORU_BURAK_YENI1309[[#This Row],[SATINALMA]]*DST_123_ÜRETİM_İHTİYAÇ_RAPORU_BURAK_YENI1309[[#This Row],[BIRIM_FIYATLAR]])</f>
        <v>0</v>
      </c>
      <c r="N199">
        <v>0.6</v>
      </c>
      <c r="O199" t="s">
        <v>240</v>
      </c>
      <c r="P199">
        <v>7.1999999999999993</v>
      </c>
      <c r="Q199" t="s">
        <v>180</v>
      </c>
    </row>
    <row r="200" spans="1:17" x14ac:dyDescent="0.25">
      <c r="A200" t="s">
        <v>1149</v>
      </c>
      <c r="B200" t="s">
        <v>1145</v>
      </c>
      <c r="C200" t="s">
        <v>175</v>
      </c>
      <c r="D200" t="s">
        <v>30</v>
      </c>
      <c r="E200" t="s">
        <v>31</v>
      </c>
      <c r="F200">
        <v>43</v>
      </c>
      <c r="G200" t="s">
        <v>176</v>
      </c>
      <c r="H200">
        <v>0</v>
      </c>
      <c r="I200">
        <v>4500</v>
      </c>
      <c r="J200" s="10">
        <v>2426</v>
      </c>
      <c r="K200" s="10">
        <f>SUMIFS(F:F,D:D,DST_123_ÜRETİM_İHTİYAÇ_RAPORU_BURAK_YENI1309[[#This Row],[ALT_KOD]])-(SUMIFS(H:H,D:D,DST_123_ÜRETİM_İHTİYAÇ_RAPORU_BURAK_YENI1309[[#This Row],[ALT_KOD]])+AVERAGEIFS(I:I,D:D,DST_123_ÜRETİM_İHTİYAÇ_RAPORU_BURAK_YENI1309[[#This Row],[ALT_KOD]])+AVERAGEIFS(L:L,D:D,DST_123_ÜRETİM_İHTİYAÇ_RAPORU_BURAK_YENI1309[[#This Row],[ALT_KOD]]))</f>
        <v>-3826</v>
      </c>
      <c r="L200">
        <v>0</v>
      </c>
      <c r="M200">
        <f>IF((DST_123_ÜRETİM_İHTİYAÇ_RAPORU_BURAK_YENI1309[[#This Row],[SATINALMA]]*DST_123_ÜRETİM_İHTİYAÇ_RAPORU_BURAK_YENI1309[[#This Row],[BIRIM_FIYATLAR]])&lt;1,VALUE("0"),DST_123_ÜRETİM_İHTİYAÇ_RAPORU_BURAK_YENI1309[[#This Row],[SATINALMA]]*DST_123_ÜRETİM_İHTİYAÇ_RAPORU_BURAK_YENI1309[[#This Row],[BIRIM_FIYATLAR]])</f>
        <v>0</v>
      </c>
      <c r="N200">
        <v>1</v>
      </c>
      <c r="P200">
        <v>43</v>
      </c>
      <c r="Q200" t="s">
        <v>180</v>
      </c>
    </row>
    <row r="201" spans="1:17" x14ac:dyDescent="0.25">
      <c r="A201" t="s">
        <v>1059</v>
      </c>
      <c r="B201" t="s">
        <v>1058</v>
      </c>
      <c r="C201" t="s">
        <v>175</v>
      </c>
      <c r="D201" t="s">
        <v>21</v>
      </c>
      <c r="E201" t="s">
        <v>22</v>
      </c>
      <c r="F201">
        <v>5</v>
      </c>
      <c r="G201" t="s">
        <v>179</v>
      </c>
      <c r="H201">
        <v>0</v>
      </c>
      <c r="I201">
        <v>100</v>
      </c>
      <c r="J201" s="10">
        <v>105.5</v>
      </c>
      <c r="K201" s="10">
        <f>SUMIFS(F:F,D:D,DST_123_ÜRETİM_İHTİYAÇ_RAPORU_BURAK_YENI1309[[#This Row],[ALT_KOD]])-(SUMIFS(H:H,D:D,DST_123_ÜRETİM_İHTİYAÇ_RAPORU_BURAK_YENI1309[[#This Row],[ALT_KOD]])+AVERAGEIFS(I:I,D:D,DST_123_ÜRETİM_İHTİYAÇ_RAPORU_BURAK_YENI1309[[#This Row],[ALT_KOD]])+AVERAGEIFS(L:L,D:D,DST_123_ÜRETİM_İHTİYAÇ_RAPORU_BURAK_YENI1309[[#This Row],[ALT_KOD]]))</f>
        <v>-8</v>
      </c>
      <c r="L201">
        <v>0</v>
      </c>
      <c r="M201">
        <f>IF((DST_123_ÜRETİM_İHTİYAÇ_RAPORU_BURAK_YENI1309[[#This Row],[SATINALMA]]*DST_123_ÜRETİM_İHTİYAÇ_RAPORU_BURAK_YENI1309[[#This Row],[BIRIM_FIYATLAR]])&lt;1,VALUE("0"),DST_123_ÜRETİM_İHTİYAÇ_RAPORU_BURAK_YENI1309[[#This Row],[SATINALMA]]*DST_123_ÜRETİM_İHTİYAÇ_RAPORU_BURAK_YENI1309[[#This Row],[BIRIM_FIYATLAR]])</f>
        <v>0</v>
      </c>
      <c r="N201">
        <v>131.25</v>
      </c>
      <c r="O201" t="s">
        <v>826</v>
      </c>
      <c r="P201">
        <v>656.25</v>
      </c>
      <c r="Q201" t="s">
        <v>221</v>
      </c>
    </row>
    <row r="202" spans="1:17" x14ac:dyDescent="0.25">
      <c r="A202" t="s">
        <v>1143</v>
      </c>
      <c r="B202" t="s">
        <v>1056</v>
      </c>
      <c r="C202" t="s">
        <v>175</v>
      </c>
      <c r="D202" t="s">
        <v>21</v>
      </c>
      <c r="E202" t="s">
        <v>22</v>
      </c>
      <c r="F202">
        <v>8</v>
      </c>
      <c r="G202" t="s">
        <v>179</v>
      </c>
      <c r="H202">
        <v>0</v>
      </c>
      <c r="I202">
        <v>100</v>
      </c>
      <c r="J202" s="10">
        <v>105.5</v>
      </c>
      <c r="K202" s="10">
        <f>SUMIFS(F:F,D:D,DST_123_ÜRETİM_İHTİYAÇ_RAPORU_BURAK_YENI1309[[#This Row],[ALT_KOD]])-(SUMIFS(H:H,D:D,DST_123_ÜRETİM_İHTİYAÇ_RAPORU_BURAK_YENI1309[[#This Row],[ALT_KOD]])+AVERAGEIFS(I:I,D:D,DST_123_ÜRETİM_İHTİYAÇ_RAPORU_BURAK_YENI1309[[#This Row],[ALT_KOD]])+AVERAGEIFS(L:L,D:D,DST_123_ÜRETİM_İHTİYAÇ_RAPORU_BURAK_YENI1309[[#This Row],[ALT_KOD]]))</f>
        <v>-8</v>
      </c>
      <c r="L202">
        <v>0</v>
      </c>
      <c r="M202">
        <f>IF((DST_123_ÜRETİM_İHTİYAÇ_RAPORU_BURAK_YENI1309[[#This Row],[SATINALMA]]*DST_123_ÜRETİM_İHTİYAÇ_RAPORU_BURAK_YENI1309[[#This Row],[BIRIM_FIYATLAR]])&lt;1,VALUE("0"),DST_123_ÜRETİM_İHTİYAÇ_RAPORU_BURAK_YENI1309[[#This Row],[SATINALMA]]*DST_123_ÜRETİM_İHTİYAÇ_RAPORU_BURAK_YENI1309[[#This Row],[BIRIM_FIYATLAR]])</f>
        <v>0</v>
      </c>
      <c r="N202">
        <v>131.25</v>
      </c>
      <c r="O202" t="s">
        <v>826</v>
      </c>
      <c r="P202">
        <v>1050</v>
      </c>
      <c r="Q202" t="s">
        <v>221</v>
      </c>
    </row>
    <row r="203" spans="1:17" x14ac:dyDescent="0.25">
      <c r="A203" t="s">
        <v>1146</v>
      </c>
      <c r="B203" t="s">
        <v>1145</v>
      </c>
      <c r="C203" t="s">
        <v>175</v>
      </c>
      <c r="D203" t="s">
        <v>30</v>
      </c>
      <c r="E203" t="s">
        <v>31</v>
      </c>
      <c r="F203">
        <v>43</v>
      </c>
      <c r="G203" t="s">
        <v>176</v>
      </c>
      <c r="H203">
        <v>0</v>
      </c>
      <c r="I203">
        <v>4500</v>
      </c>
      <c r="J203" s="10">
        <v>2426</v>
      </c>
      <c r="K203" s="10">
        <f>SUMIFS(F:F,D:D,DST_123_ÜRETİM_İHTİYAÇ_RAPORU_BURAK_YENI1309[[#This Row],[ALT_KOD]])-(SUMIFS(H:H,D:D,DST_123_ÜRETİM_İHTİYAÇ_RAPORU_BURAK_YENI1309[[#This Row],[ALT_KOD]])+AVERAGEIFS(I:I,D:D,DST_123_ÜRETİM_İHTİYAÇ_RAPORU_BURAK_YENI1309[[#This Row],[ALT_KOD]])+AVERAGEIFS(L:L,D:D,DST_123_ÜRETİM_İHTİYAÇ_RAPORU_BURAK_YENI1309[[#This Row],[ALT_KOD]]))</f>
        <v>-3826</v>
      </c>
      <c r="L203">
        <v>0</v>
      </c>
      <c r="M203">
        <f>IF((DST_123_ÜRETİM_İHTİYAÇ_RAPORU_BURAK_YENI1309[[#This Row],[SATINALMA]]*DST_123_ÜRETİM_İHTİYAÇ_RAPORU_BURAK_YENI1309[[#This Row],[BIRIM_FIYATLAR]])&lt;1,VALUE("0"),DST_123_ÜRETİM_İHTİYAÇ_RAPORU_BURAK_YENI1309[[#This Row],[SATINALMA]]*DST_123_ÜRETİM_İHTİYAÇ_RAPORU_BURAK_YENI1309[[#This Row],[BIRIM_FIYATLAR]])</f>
        <v>0</v>
      </c>
      <c r="N203">
        <v>1</v>
      </c>
      <c r="P203">
        <v>43</v>
      </c>
      <c r="Q203" t="s">
        <v>180</v>
      </c>
    </row>
    <row r="204" spans="1:17" x14ac:dyDescent="0.25">
      <c r="A204" t="s">
        <v>1095</v>
      </c>
      <c r="B204" t="s">
        <v>1096</v>
      </c>
      <c r="C204" t="s">
        <v>175</v>
      </c>
      <c r="D204" t="s">
        <v>1136</v>
      </c>
      <c r="E204" t="s">
        <v>1137</v>
      </c>
      <c r="F204">
        <v>2</v>
      </c>
      <c r="G204" t="s">
        <v>176</v>
      </c>
      <c r="H204">
        <v>0</v>
      </c>
      <c r="I204">
        <v>0</v>
      </c>
      <c r="J204" s="10">
        <v>0</v>
      </c>
      <c r="K204" s="10">
        <f>SUMIFS(F:F,D:D,DST_123_ÜRETİM_İHTİYAÇ_RAPORU_BURAK_YENI1309[[#This Row],[ALT_KOD]])-(SUMIFS(H:H,D:D,DST_123_ÜRETİM_İHTİYAÇ_RAPORU_BURAK_YENI1309[[#This Row],[ALT_KOD]])+AVERAGEIFS(I:I,D:D,DST_123_ÜRETİM_İHTİYAÇ_RAPORU_BURAK_YENI1309[[#This Row],[ALT_KOD]])+AVERAGEIFS(L:L,D:D,DST_123_ÜRETİM_İHTİYAÇ_RAPORU_BURAK_YENI1309[[#This Row],[ALT_KOD]]))</f>
        <v>27</v>
      </c>
      <c r="L204">
        <v>0</v>
      </c>
      <c r="M204">
        <f>IF((DST_123_ÜRETİM_İHTİYAÇ_RAPORU_BURAK_YENI1309[[#This Row],[SATINALMA]]*DST_123_ÜRETİM_İHTİYAÇ_RAPORU_BURAK_YENI1309[[#This Row],[BIRIM_FIYATLAR]])&lt;1,VALUE("0"),DST_123_ÜRETİM_İHTİYAÇ_RAPORU_BURAK_YENI1309[[#This Row],[SATINALMA]]*DST_123_ÜRETİM_İHTİYAÇ_RAPORU_BURAK_YENI1309[[#This Row],[BIRIM_FIYATLAR]])</f>
        <v>324</v>
      </c>
      <c r="N204">
        <v>12</v>
      </c>
      <c r="O204" t="s">
        <v>240</v>
      </c>
      <c r="P204">
        <v>24</v>
      </c>
      <c r="Q204" t="s">
        <v>180</v>
      </c>
    </row>
    <row r="205" spans="1:17" x14ac:dyDescent="0.25">
      <c r="A205" t="s">
        <v>1143</v>
      </c>
      <c r="B205" t="s">
        <v>1056</v>
      </c>
      <c r="C205" t="s">
        <v>175</v>
      </c>
      <c r="D205" t="s">
        <v>17</v>
      </c>
      <c r="E205" t="s">
        <v>18</v>
      </c>
      <c r="F205">
        <v>1</v>
      </c>
      <c r="G205" t="s">
        <v>176</v>
      </c>
      <c r="H205">
        <v>0</v>
      </c>
      <c r="I205">
        <v>56</v>
      </c>
      <c r="J205" s="10">
        <v>11</v>
      </c>
      <c r="K205" s="10">
        <f>SUMIFS(F:F,D:D,DST_123_ÜRETİM_İHTİYAÇ_RAPORU_BURAK_YENI1309[[#This Row],[ALT_KOD]])-(SUMIFS(H:H,D:D,DST_123_ÜRETİM_İHTİYAÇ_RAPORU_BURAK_YENI1309[[#This Row],[ALT_KOD]])+AVERAGEIFS(I:I,D:D,DST_123_ÜRETİM_İHTİYAÇ_RAPORU_BURAK_YENI1309[[#This Row],[ALT_KOD]])+AVERAGEIFS(L:L,D:D,DST_123_ÜRETİM_İHTİYAÇ_RAPORU_BURAK_YENI1309[[#This Row],[ALT_KOD]]))</f>
        <v>-43</v>
      </c>
      <c r="L205">
        <v>0</v>
      </c>
      <c r="M205">
        <f>IF((DST_123_ÜRETİM_İHTİYAÇ_RAPORU_BURAK_YENI1309[[#This Row],[SATINALMA]]*DST_123_ÜRETİM_İHTİYAÇ_RAPORU_BURAK_YENI1309[[#This Row],[BIRIM_FIYATLAR]])&lt;1,VALUE("0"),DST_123_ÜRETİM_İHTİYAÇ_RAPORU_BURAK_YENI1309[[#This Row],[SATINALMA]]*DST_123_ÜRETİM_İHTİYAÇ_RAPORU_BURAK_YENI1309[[#This Row],[BIRIM_FIYATLAR]])</f>
        <v>0</v>
      </c>
      <c r="N205">
        <v>936.72</v>
      </c>
      <c r="O205" t="s">
        <v>1230</v>
      </c>
      <c r="P205">
        <v>936.72</v>
      </c>
      <c r="Q205" t="s">
        <v>221</v>
      </c>
    </row>
    <row r="206" spans="1:17" x14ac:dyDescent="0.25">
      <c r="A206" t="s">
        <v>1097</v>
      </c>
      <c r="B206" t="s">
        <v>1055</v>
      </c>
      <c r="C206" t="s">
        <v>175</v>
      </c>
      <c r="D206" t="s">
        <v>21</v>
      </c>
      <c r="E206" t="s">
        <v>22</v>
      </c>
      <c r="F206">
        <v>7</v>
      </c>
      <c r="G206" t="s">
        <v>179</v>
      </c>
      <c r="H206">
        <v>0</v>
      </c>
      <c r="I206">
        <v>100</v>
      </c>
      <c r="J206" s="10">
        <v>105.5</v>
      </c>
      <c r="K206" s="10">
        <f>SUMIFS(F:F,D:D,DST_123_ÜRETİM_İHTİYAÇ_RAPORU_BURAK_YENI1309[[#This Row],[ALT_KOD]])-(SUMIFS(H:H,D:D,DST_123_ÜRETİM_İHTİYAÇ_RAPORU_BURAK_YENI1309[[#This Row],[ALT_KOD]])+AVERAGEIFS(I:I,D:D,DST_123_ÜRETİM_İHTİYAÇ_RAPORU_BURAK_YENI1309[[#This Row],[ALT_KOD]])+AVERAGEIFS(L:L,D:D,DST_123_ÜRETİM_İHTİYAÇ_RAPORU_BURAK_YENI1309[[#This Row],[ALT_KOD]]))</f>
        <v>-8</v>
      </c>
      <c r="L206">
        <v>0</v>
      </c>
      <c r="M206">
        <f>IF((DST_123_ÜRETİM_İHTİYAÇ_RAPORU_BURAK_YENI1309[[#This Row],[SATINALMA]]*DST_123_ÜRETİM_İHTİYAÇ_RAPORU_BURAK_YENI1309[[#This Row],[BIRIM_FIYATLAR]])&lt;1,VALUE("0"),DST_123_ÜRETİM_İHTİYAÇ_RAPORU_BURAK_YENI1309[[#This Row],[SATINALMA]]*DST_123_ÜRETİM_İHTİYAÇ_RAPORU_BURAK_YENI1309[[#This Row],[BIRIM_FIYATLAR]])</f>
        <v>0</v>
      </c>
      <c r="N206">
        <v>131.25</v>
      </c>
      <c r="O206" t="s">
        <v>826</v>
      </c>
      <c r="P206">
        <v>918.75</v>
      </c>
      <c r="Q206" t="s">
        <v>221</v>
      </c>
    </row>
    <row r="207" spans="1:17" x14ac:dyDescent="0.25">
      <c r="A207" t="s">
        <v>1148</v>
      </c>
      <c r="B207" t="s">
        <v>1056</v>
      </c>
      <c r="C207" t="s">
        <v>175</v>
      </c>
      <c r="D207" t="s">
        <v>1136</v>
      </c>
      <c r="E207" t="s">
        <v>1137</v>
      </c>
      <c r="F207">
        <v>2</v>
      </c>
      <c r="G207" t="s">
        <v>176</v>
      </c>
      <c r="H207">
        <v>0</v>
      </c>
      <c r="I207">
        <v>0</v>
      </c>
      <c r="J207" s="10">
        <v>0</v>
      </c>
      <c r="K207" s="10">
        <f>SUMIFS(F:F,D:D,DST_123_ÜRETİM_İHTİYAÇ_RAPORU_BURAK_YENI1309[[#This Row],[ALT_KOD]])-(SUMIFS(H:H,D:D,DST_123_ÜRETİM_İHTİYAÇ_RAPORU_BURAK_YENI1309[[#This Row],[ALT_KOD]])+AVERAGEIFS(I:I,D:D,DST_123_ÜRETİM_İHTİYAÇ_RAPORU_BURAK_YENI1309[[#This Row],[ALT_KOD]])+AVERAGEIFS(L:L,D:D,DST_123_ÜRETİM_İHTİYAÇ_RAPORU_BURAK_YENI1309[[#This Row],[ALT_KOD]]))</f>
        <v>27</v>
      </c>
      <c r="L207">
        <v>0</v>
      </c>
      <c r="M207">
        <f>IF((DST_123_ÜRETİM_İHTİYAÇ_RAPORU_BURAK_YENI1309[[#This Row],[SATINALMA]]*DST_123_ÜRETİM_İHTİYAÇ_RAPORU_BURAK_YENI1309[[#This Row],[BIRIM_FIYATLAR]])&lt;1,VALUE("0"),DST_123_ÜRETİM_İHTİYAÇ_RAPORU_BURAK_YENI1309[[#This Row],[SATINALMA]]*DST_123_ÜRETİM_İHTİYAÇ_RAPORU_BURAK_YENI1309[[#This Row],[BIRIM_FIYATLAR]])</f>
        <v>324</v>
      </c>
      <c r="N207">
        <v>12</v>
      </c>
      <c r="O207" t="s">
        <v>240</v>
      </c>
      <c r="P207">
        <v>24</v>
      </c>
      <c r="Q207" t="s">
        <v>180</v>
      </c>
    </row>
    <row r="208" spans="1:17" x14ac:dyDescent="0.25">
      <c r="A208" t="s">
        <v>1100</v>
      </c>
      <c r="B208" t="s">
        <v>1058</v>
      </c>
      <c r="C208" t="s">
        <v>175</v>
      </c>
      <c r="D208" t="s">
        <v>17</v>
      </c>
      <c r="E208" t="s">
        <v>18</v>
      </c>
      <c r="F208">
        <v>1</v>
      </c>
      <c r="G208" t="s">
        <v>176</v>
      </c>
      <c r="H208">
        <v>1</v>
      </c>
      <c r="I208">
        <v>56</v>
      </c>
      <c r="J208" s="10">
        <v>11</v>
      </c>
      <c r="K208" s="10">
        <f>SUMIFS(F:F,D:D,DST_123_ÜRETİM_İHTİYAÇ_RAPORU_BURAK_YENI1309[[#This Row],[ALT_KOD]])-(SUMIFS(H:H,D:D,DST_123_ÜRETİM_İHTİYAÇ_RAPORU_BURAK_YENI1309[[#This Row],[ALT_KOD]])+AVERAGEIFS(I:I,D:D,DST_123_ÜRETİM_İHTİYAÇ_RAPORU_BURAK_YENI1309[[#This Row],[ALT_KOD]])+AVERAGEIFS(L:L,D:D,DST_123_ÜRETİM_İHTİYAÇ_RAPORU_BURAK_YENI1309[[#This Row],[ALT_KOD]]))</f>
        <v>-43</v>
      </c>
      <c r="L208">
        <v>0</v>
      </c>
      <c r="M208">
        <f>IF((DST_123_ÜRETİM_İHTİYAÇ_RAPORU_BURAK_YENI1309[[#This Row],[SATINALMA]]*DST_123_ÜRETİM_İHTİYAÇ_RAPORU_BURAK_YENI1309[[#This Row],[BIRIM_FIYATLAR]])&lt;1,VALUE("0"),DST_123_ÜRETİM_İHTİYAÇ_RAPORU_BURAK_YENI1309[[#This Row],[SATINALMA]]*DST_123_ÜRETİM_İHTİYAÇ_RAPORU_BURAK_YENI1309[[#This Row],[BIRIM_FIYATLAR]])</f>
        <v>0</v>
      </c>
      <c r="N208">
        <v>936.72</v>
      </c>
      <c r="O208" t="s">
        <v>1230</v>
      </c>
      <c r="P208">
        <v>936.72</v>
      </c>
      <c r="Q208" t="s">
        <v>221</v>
      </c>
    </row>
    <row r="209" spans="1:17" x14ac:dyDescent="0.25">
      <c r="A209" t="s">
        <v>1147</v>
      </c>
      <c r="B209" t="s">
        <v>1145</v>
      </c>
      <c r="C209" t="s">
        <v>175</v>
      </c>
      <c r="D209" t="s">
        <v>21</v>
      </c>
      <c r="E209" t="s">
        <v>22</v>
      </c>
      <c r="F209">
        <v>4</v>
      </c>
      <c r="G209" t="s">
        <v>179</v>
      </c>
      <c r="H209">
        <v>0</v>
      </c>
      <c r="I209">
        <v>100</v>
      </c>
      <c r="J209" s="10">
        <v>105.5</v>
      </c>
      <c r="K209" s="10">
        <f>SUMIFS(F:F,D:D,DST_123_ÜRETİM_İHTİYAÇ_RAPORU_BURAK_YENI1309[[#This Row],[ALT_KOD]])-(SUMIFS(H:H,D:D,DST_123_ÜRETİM_İHTİYAÇ_RAPORU_BURAK_YENI1309[[#This Row],[ALT_KOD]])+AVERAGEIFS(I:I,D:D,DST_123_ÜRETİM_İHTİYAÇ_RAPORU_BURAK_YENI1309[[#This Row],[ALT_KOD]])+AVERAGEIFS(L:L,D:D,DST_123_ÜRETİM_İHTİYAÇ_RAPORU_BURAK_YENI1309[[#This Row],[ALT_KOD]]))</f>
        <v>-8</v>
      </c>
      <c r="L209">
        <v>0</v>
      </c>
      <c r="M209">
        <f>IF((DST_123_ÜRETİM_İHTİYAÇ_RAPORU_BURAK_YENI1309[[#This Row],[SATINALMA]]*DST_123_ÜRETİM_İHTİYAÇ_RAPORU_BURAK_YENI1309[[#This Row],[BIRIM_FIYATLAR]])&lt;1,VALUE("0"),DST_123_ÜRETİM_İHTİYAÇ_RAPORU_BURAK_YENI1309[[#This Row],[SATINALMA]]*DST_123_ÜRETİM_İHTİYAÇ_RAPORU_BURAK_YENI1309[[#This Row],[BIRIM_FIYATLAR]])</f>
        <v>0</v>
      </c>
      <c r="N209">
        <v>131.25</v>
      </c>
      <c r="O209" t="s">
        <v>826</v>
      </c>
      <c r="P209">
        <v>525</v>
      </c>
      <c r="Q209" t="s">
        <v>221</v>
      </c>
    </row>
    <row r="210" spans="1:17" x14ac:dyDescent="0.25">
      <c r="A210" t="s">
        <v>1100</v>
      </c>
      <c r="B210" t="s">
        <v>1058</v>
      </c>
      <c r="C210" t="s">
        <v>175</v>
      </c>
      <c r="D210" t="s">
        <v>21</v>
      </c>
      <c r="E210" t="s">
        <v>22</v>
      </c>
      <c r="F210">
        <v>5</v>
      </c>
      <c r="G210" t="s">
        <v>179</v>
      </c>
      <c r="H210">
        <v>0</v>
      </c>
      <c r="I210">
        <v>100</v>
      </c>
      <c r="J210" s="10">
        <v>105.5</v>
      </c>
      <c r="K210" s="10">
        <f>SUMIFS(F:F,D:D,DST_123_ÜRETİM_İHTİYAÇ_RAPORU_BURAK_YENI1309[[#This Row],[ALT_KOD]])-(SUMIFS(H:H,D:D,DST_123_ÜRETİM_İHTİYAÇ_RAPORU_BURAK_YENI1309[[#This Row],[ALT_KOD]])+AVERAGEIFS(I:I,D:D,DST_123_ÜRETİM_İHTİYAÇ_RAPORU_BURAK_YENI1309[[#This Row],[ALT_KOD]])+AVERAGEIFS(L:L,D:D,DST_123_ÜRETİM_İHTİYAÇ_RAPORU_BURAK_YENI1309[[#This Row],[ALT_KOD]]))</f>
        <v>-8</v>
      </c>
      <c r="L210">
        <v>0</v>
      </c>
      <c r="M210">
        <f>IF((DST_123_ÜRETİM_İHTİYAÇ_RAPORU_BURAK_YENI1309[[#This Row],[SATINALMA]]*DST_123_ÜRETİM_İHTİYAÇ_RAPORU_BURAK_YENI1309[[#This Row],[BIRIM_FIYATLAR]])&lt;1,VALUE("0"),DST_123_ÜRETİM_İHTİYAÇ_RAPORU_BURAK_YENI1309[[#This Row],[SATINALMA]]*DST_123_ÜRETİM_İHTİYAÇ_RAPORU_BURAK_YENI1309[[#This Row],[BIRIM_FIYATLAR]])</f>
        <v>0</v>
      </c>
      <c r="N210">
        <v>131.25</v>
      </c>
      <c r="O210" t="s">
        <v>826</v>
      </c>
      <c r="P210">
        <v>656.25</v>
      </c>
      <c r="Q210" t="s">
        <v>221</v>
      </c>
    </row>
    <row r="211" spans="1:17" x14ac:dyDescent="0.25">
      <c r="A211" t="s">
        <v>1064</v>
      </c>
      <c r="B211" t="s">
        <v>1055</v>
      </c>
      <c r="C211" t="s">
        <v>175</v>
      </c>
      <c r="D211" t="s">
        <v>67</v>
      </c>
      <c r="E211" t="s">
        <v>585</v>
      </c>
      <c r="F211">
        <v>0.5</v>
      </c>
      <c r="G211" t="s">
        <v>176</v>
      </c>
      <c r="H211">
        <v>0</v>
      </c>
      <c r="I211">
        <v>13.5</v>
      </c>
      <c r="J211" s="10">
        <v>8.5</v>
      </c>
      <c r="K211" s="10">
        <f>SUMIFS(F:F,D:D,DST_123_ÜRETİM_İHTİYAÇ_RAPORU_BURAK_YENI1309[[#This Row],[ALT_KOD]])-(SUMIFS(H:H,D:D,DST_123_ÜRETİM_İHTİYAÇ_RAPORU_BURAK_YENI1309[[#This Row],[ALT_KOD]])+AVERAGEIFS(I:I,D:D,DST_123_ÜRETİM_İHTİYAÇ_RAPORU_BURAK_YENI1309[[#This Row],[ALT_KOD]])+AVERAGEIFS(L:L,D:D,DST_123_ÜRETİM_İHTİYAÇ_RAPORU_BURAK_YENI1309[[#This Row],[ALT_KOD]]))</f>
        <v>-5.3500000000000014</v>
      </c>
      <c r="L211">
        <v>0</v>
      </c>
      <c r="M211">
        <f>IF((DST_123_ÜRETİM_İHTİYAÇ_RAPORU_BURAK_YENI1309[[#This Row],[SATINALMA]]*DST_123_ÜRETİM_İHTİYAÇ_RAPORU_BURAK_YENI1309[[#This Row],[BIRIM_FIYATLAR]])&lt;1,VALUE("0"),DST_123_ÜRETİM_İHTİYAÇ_RAPORU_BURAK_YENI1309[[#This Row],[SATINALMA]]*DST_123_ÜRETİM_İHTİYAÇ_RAPORU_BURAK_YENI1309[[#This Row],[BIRIM_FIYATLAR]])</f>
        <v>0</v>
      </c>
      <c r="N211">
        <v>1600</v>
      </c>
      <c r="O211" t="s">
        <v>1053</v>
      </c>
      <c r="P211">
        <v>800</v>
      </c>
      <c r="Q211" t="s">
        <v>177</v>
      </c>
    </row>
    <row r="212" spans="1:17" x14ac:dyDescent="0.25">
      <c r="A212" t="s">
        <v>1098</v>
      </c>
      <c r="B212" t="s">
        <v>1096</v>
      </c>
      <c r="C212" t="s">
        <v>175</v>
      </c>
      <c r="D212" t="s">
        <v>67</v>
      </c>
      <c r="E212" t="s">
        <v>585</v>
      </c>
      <c r="F212">
        <v>0.05</v>
      </c>
      <c r="G212" t="s">
        <v>176</v>
      </c>
      <c r="H212">
        <v>0</v>
      </c>
      <c r="I212">
        <v>13.5</v>
      </c>
      <c r="J212" s="10">
        <v>8.5</v>
      </c>
      <c r="K212" s="10">
        <f>SUMIFS(F:F,D:D,DST_123_ÜRETİM_İHTİYAÇ_RAPORU_BURAK_YENI1309[[#This Row],[ALT_KOD]])-(SUMIFS(H:H,D:D,DST_123_ÜRETİM_İHTİYAÇ_RAPORU_BURAK_YENI1309[[#This Row],[ALT_KOD]])+AVERAGEIFS(I:I,D:D,DST_123_ÜRETİM_İHTİYAÇ_RAPORU_BURAK_YENI1309[[#This Row],[ALT_KOD]])+AVERAGEIFS(L:L,D:D,DST_123_ÜRETİM_İHTİYAÇ_RAPORU_BURAK_YENI1309[[#This Row],[ALT_KOD]]))</f>
        <v>-5.3500000000000014</v>
      </c>
      <c r="L212">
        <v>0</v>
      </c>
      <c r="M212">
        <f>IF((DST_123_ÜRETİM_İHTİYAÇ_RAPORU_BURAK_YENI1309[[#This Row],[SATINALMA]]*DST_123_ÜRETİM_İHTİYAÇ_RAPORU_BURAK_YENI1309[[#This Row],[BIRIM_FIYATLAR]])&lt;1,VALUE("0"),DST_123_ÜRETİM_İHTİYAÇ_RAPORU_BURAK_YENI1309[[#This Row],[SATINALMA]]*DST_123_ÜRETİM_İHTİYAÇ_RAPORU_BURAK_YENI1309[[#This Row],[BIRIM_FIYATLAR]])</f>
        <v>0</v>
      </c>
      <c r="N212">
        <v>1600</v>
      </c>
      <c r="O212" t="s">
        <v>1053</v>
      </c>
      <c r="P212">
        <v>80</v>
      </c>
      <c r="Q212" t="s">
        <v>177</v>
      </c>
    </row>
    <row r="213" spans="1:17" x14ac:dyDescent="0.25">
      <c r="A213" t="s">
        <v>1196</v>
      </c>
      <c r="B213" t="s">
        <v>1197</v>
      </c>
      <c r="C213" t="s">
        <v>175</v>
      </c>
      <c r="D213" t="s">
        <v>285</v>
      </c>
      <c r="E213" t="s">
        <v>286</v>
      </c>
      <c r="F213">
        <v>0.35</v>
      </c>
      <c r="G213" t="s">
        <v>185</v>
      </c>
      <c r="H213">
        <v>0</v>
      </c>
      <c r="I213">
        <v>0</v>
      </c>
      <c r="J213" s="10">
        <v>24.129999999999985</v>
      </c>
      <c r="K213" s="10">
        <f>SUMIFS(F:F,D:D,DST_123_ÜRETİM_İHTİYAÇ_RAPORU_BURAK_YENI1309[[#This Row],[ALT_KOD]])-(SUMIFS(H:H,D:D,DST_123_ÜRETİM_İHTİYAÇ_RAPORU_BURAK_YENI1309[[#This Row],[ALT_KOD]])+AVERAGEIFS(I:I,D:D,DST_123_ÜRETİM_İHTİYAÇ_RAPORU_BURAK_YENI1309[[#This Row],[ALT_KOD]])+AVERAGEIFS(L:L,D:D,DST_123_ÜRETİM_İHTİYAÇ_RAPORU_BURAK_YENI1309[[#This Row],[ALT_KOD]]))</f>
        <v>4.1899999999999995</v>
      </c>
      <c r="L213">
        <v>0</v>
      </c>
      <c r="M213">
        <f>IF((DST_123_ÜRETİM_İHTİYAÇ_RAPORU_BURAK_YENI1309[[#This Row],[SATINALMA]]*DST_123_ÜRETİM_İHTİYAÇ_RAPORU_BURAK_YENI1309[[#This Row],[BIRIM_FIYATLAR]])&lt;1,VALUE("0"),DST_123_ÜRETİM_İHTİYAÇ_RAPORU_BURAK_YENI1309[[#This Row],[SATINALMA]]*DST_123_ÜRETİM_İHTİYAÇ_RAPORU_BURAK_YENI1309[[#This Row],[BIRIM_FIYATLAR]])</f>
        <v>1667.7456999999997</v>
      </c>
      <c r="N213">
        <v>398.03</v>
      </c>
      <c r="O213" t="s">
        <v>490</v>
      </c>
      <c r="P213">
        <v>139.31049999999999</v>
      </c>
      <c r="Q213" t="s">
        <v>183</v>
      </c>
    </row>
    <row r="214" spans="1:17" x14ac:dyDescent="0.25">
      <c r="A214" t="s">
        <v>1099</v>
      </c>
      <c r="B214" t="s">
        <v>1055</v>
      </c>
      <c r="C214" t="s">
        <v>175</v>
      </c>
      <c r="D214" t="s">
        <v>285</v>
      </c>
      <c r="E214" t="s">
        <v>286</v>
      </c>
      <c r="F214">
        <v>0.36</v>
      </c>
      <c r="G214" t="s">
        <v>185</v>
      </c>
      <c r="H214">
        <v>0</v>
      </c>
      <c r="I214">
        <v>0</v>
      </c>
      <c r="J214" s="10">
        <v>24.129999999999985</v>
      </c>
      <c r="K214" s="10">
        <f>SUMIFS(F:F,D:D,DST_123_ÜRETİM_İHTİYAÇ_RAPORU_BURAK_YENI1309[[#This Row],[ALT_KOD]])-(SUMIFS(H:H,D:D,DST_123_ÜRETİM_İHTİYAÇ_RAPORU_BURAK_YENI1309[[#This Row],[ALT_KOD]])+AVERAGEIFS(I:I,D:D,DST_123_ÜRETİM_İHTİYAÇ_RAPORU_BURAK_YENI1309[[#This Row],[ALT_KOD]])+AVERAGEIFS(L:L,D:D,DST_123_ÜRETİM_İHTİYAÇ_RAPORU_BURAK_YENI1309[[#This Row],[ALT_KOD]]))</f>
        <v>4.1899999999999995</v>
      </c>
      <c r="L214">
        <v>0</v>
      </c>
      <c r="M214">
        <f>IF((DST_123_ÜRETİM_İHTİYAÇ_RAPORU_BURAK_YENI1309[[#This Row],[SATINALMA]]*DST_123_ÜRETİM_İHTİYAÇ_RAPORU_BURAK_YENI1309[[#This Row],[BIRIM_FIYATLAR]])&lt;1,VALUE("0"),DST_123_ÜRETİM_İHTİYAÇ_RAPORU_BURAK_YENI1309[[#This Row],[SATINALMA]]*DST_123_ÜRETİM_İHTİYAÇ_RAPORU_BURAK_YENI1309[[#This Row],[BIRIM_FIYATLAR]])</f>
        <v>1667.7456999999997</v>
      </c>
      <c r="N214">
        <v>398.03</v>
      </c>
      <c r="O214" t="s">
        <v>490</v>
      </c>
      <c r="P214">
        <v>143.29079999999999</v>
      </c>
      <c r="Q214" t="s">
        <v>183</v>
      </c>
    </row>
    <row r="215" spans="1:17" x14ac:dyDescent="0.25">
      <c r="A215" t="s">
        <v>1057</v>
      </c>
      <c r="B215" t="s">
        <v>1058</v>
      </c>
      <c r="C215" t="s">
        <v>175</v>
      </c>
      <c r="D215" t="s">
        <v>21</v>
      </c>
      <c r="E215" t="s">
        <v>22</v>
      </c>
      <c r="F215">
        <v>5</v>
      </c>
      <c r="G215" t="s">
        <v>179</v>
      </c>
      <c r="H215">
        <v>0</v>
      </c>
      <c r="I215">
        <v>100</v>
      </c>
      <c r="J215" s="10">
        <v>105.5</v>
      </c>
      <c r="K215" s="10">
        <f>SUMIFS(F:F,D:D,DST_123_ÜRETİM_İHTİYAÇ_RAPORU_BURAK_YENI1309[[#This Row],[ALT_KOD]])-(SUMIFS(H:H,D:D,DST_123_ÜRETİM_İHTİYAÇ_RAPORU_BURAK_YENI1309[[#This Row],[ALT_KOD]])+AVERAGEIFS(I:I,D:D,DST_123_ÜRETİM_İHTİYAÇ_RAPORU_BURAK_YENI1309[[#This Row],[ALT_KOD]])+AVERAGEIFS(L:L,D:D,DST_123_ÜRETİM_İHTİYAÇ_RAPORU_BURAK_YENI1309[[#This Row],[ALT_KOD]]))</f>
        <v>-8</v>
      </c>
      <c r="L215">
        <v>0</v>
      </c>
      <c r="M215">
        <f>IF((DST_123_ÜRETİM_İHTİYAÇ_RAPORU_BURAK_YENI1309[[#This Row],[SATINALMA]]*DST_123_ÜRETİM_İHTİYAÇ_RAPORU_BURAK_YENI1309[[#This Row],[BIRIM_FIYATLAR]])&lt;1,VALUE("0"),DST_123_ÜRETİM_İHTİYAÇ_RAPORU_BURAK_YENI1309[[#This Row],[SATINALMA]]*DST_123_ÜRETİM_İHTİYAÇ_RAPORU_BURAK_YENI1309[[#This Row],[BIRIM_FIYATLAR]])</f>
        <v>0</v>
      </c>
      <c r="N215">
        <v>131.25</v>
      </c>
      <c r="O215" t="s">
        <v>826</v>
      </c>
      <c r="P215">
        <v>656.25</v>
      </c>
      <c r="Q215" t="s">
        <v>221</v>
      </c>
    </row>
    <row r="216" spans="1:17" x14ac:dyDescent="0.25">
      <c r="A216" t="s">
        <v>1101</v>
      </c>
      <c r="B216" t="s">
        <v>1102</v>
      </c>
      <c r="C216" t="s">
        <v>175</v>
      </c>
      <c r="D216" t="s">
        <v>21</v>
      </c>
      <c r="E216" t="s">
        <v>22</v>
      </c>
      <c r="F216">
        <v>8</v>
      </c>
      <c r="G216" t="s">
        <v>179</v>
      </c>
      <c r="H216">
        <v>0</v>
      </c>
      <c r="I216">
        <v>100</v>
      </c>
      <c r="J216" s="10">
        <v>105.5</v>
      </c>
      <c r="K216" s="10">
        <f>SUMIFS(F:F,D:D,DST_123_ÜRETİM_İHTİYAÇ_RAPORU_BURAK_YENI1309[[#This Row],[ALT_KOD]])-(SUMIFS(H:H,D:D,DST_123_ÜRETİM_İHTİYAÇ_RAPORU_BURAK_YENI1309[[#This Row],[ALT_KOD]])+AVERAGEIFS(I:I,D:D,DST_123_ÜRETİM_İHTİYAÇ_RAPORU_BURAK_YENI1309[[#This Row],[ALT_KOD]])+AVERAGEIFS(L:L,D:D,DST_123_ÜRETİM_İHTİYAÇ_RAPORU_BURAK_YENI1309[[#This Row],[ALT_KOD]]))</f>
        <v>-8</v>
      </c>
      <c r="L216">
        <v>0</v>
      </c>
      <c r="M216">
        <f>IF((DST_123_ÜRETİM_İHTİYAÇ_RAPORU_BURAK_YENI1309[[#This Row],[SATINALMA]]*DST_123_ÜRETİM_İHTİYAÇ_RAPORU_BURAK_YENI1309[[#This Row],[BIRIM_FIYATLAR]])&lt;1,VALUE("0"),DST_123_ÜRETİM_İHTİYAÇ_RAPORU_BURAK_YENI1309[[#This Row],[SATINALMA]]*DST_123_ÜRETİM_İHTİYAÇ_RAPORU_BURAK_YENI1309[[#This Row],[BIRIM_FIYATLAR]])</f>
        <v>0</v>
      </c>
      <c r="N216">
        <v>131.25</v>
      </c>
      <c r="O216" t="s">
        <v>826</v>
      </c>
      <c r="P216">
        <v>1050</v>
      </c>
      <c r="Q216" t="s">
        <v>221</v>
      </c>
    </row>
    <row r="217" spans="1:17" x14ac:dyDescent="0.25">
      <c r="A217" t="s">
        <v>1098</v>
      </c>
      <c r="B217" t="s">
        <v>1096</v>
      </c>
      <c r="C217" t="s">
        <v>175</v>
      </c>
      <c r="D217" t="s">
        <v>285</v>
      </c>
      <c r="E217" t="s">
        <v>286</v>
      </c>
      <c r="F217">
        <v>0.34</v>
      </c>
      <c r="G217" t="s">
        <v>185</v>
      </c>
      <c r="H217">
        <v>0</v>
      </c>
      <c r="I217">
        <v>0</v>
      </c>
      <c r="J217" s="10">
        <v>24.129999999999985</v>
      </c>
      <c r="K217" s="10">
        <f>SUMIFS(F:F,D:D,DST_123_ÜRETİM_İHTİYAÇ_RAPORU_BURAK_YENI1309[[#This Row],[ALT_KOD]])-(SUMIFS(H:H,D:D,DST_123_ÜRETİM_İHTİYAÇ_RAPORU_BURAK_YENI1309[[#This Row],[ALT_KOD]])+AVERAGEIFS(I:I,D:D,DST_123_ÜRETİM_İHTİYAÇ_RAPORU_BURAK_YENI1309[[#This Row],[ALT_KOD]])+AVERAGEIFS(L:L,D:D,DST_123_ÜRETİM_İHTİYAÇ_RAPORU_BURAK_YENI1309[[#This Row],[ALT_KOD]]))</f>
        <v>4.1899999999999995</v>
      </c>
      <c r="L217">
        <v>0</v>
      </c>
      <c r="M217">
        <f>IF((DST_123_ÜRETİM_İHTİYAÇ_RAPORU_BURAK_YENI1309[[#This Row],[SATINALMA]]*DST_123_ÜRETİM_İHTİYAÇ_RAPORU_BURAK_YENI1309[[#This Row],[BIRIM_FIYATLAR]])&lt;1,VALUE("0"),DST_123_ÜRETİM_İHTİYAÇ_RAPORU_BURAK_YENI1309[[#This Row],[SATINALMA]]*DST_123_ÜRETİM_İHTİYAÇ_RAPORU_BURAK_YENI1309[[#This Row],[BIRIM_FIYATLAR]])</f>
        <v>1667.7456999999997</v>
      </c>
      <c r="N217">
        <v>398.03</v>
      </c>
      <c r="O217" t="s">
        <v>490</v>
      </c>
      <c r="P217">
        <v>135.33019999999999</v>
      </c>
      <c r="Q217" t="s">
        <v>183</v>
      </c>
    </row>
    <row r="218" spans="1:17" x14ac:dyDescent="0.25">
      <c r="A218" t="s">
        <v>1098</v>
      </c>
      <c r="B218" t="s">
        <v>1096</v>
      </c>
      <c r="C218" t="s">
        <v>175</v>
      </c>
      <c r="D218" t="s">
        <v>380</v>
      </c>
      <c r="E218" t="s">
        <v>381</v>
      </c>
      <c r="F218">
        <v>1.1000000000000001</v>
      </c>
      <c r="G218" t="s">
        <v>179</v>
      </c>
      <c r="H218">
        <v>0</v>
      </c>
      <c r="I218">
        <v>0</v>
      </c>
      <c r="J218" s="10">
        <v>20.30000000000009</v>
      </c>
      <c r="K218" s="10">
        <f>SUMIFS(F:F,D:D,DST_123_ÜRETİM_İHTİYAÇ_RAPORU_BURAK_YENI1309[[#This Row],[ALT_KOD]])-(SUMIFS(H:H,D:D,DST_123_ÜRETİM_İHTİYAÇ_RAPORU_BURAK_YENI1309[[#This Row],[ALT_KOD]])+AVERAGEIFS(I:I,D:D,DST_123_ÜRETİM_İHTİYAÇ_RAPORU_BURAK_YENI1309[[#This Row],[ALT_KOD]])+AVERAGEIFS(L:L,D:D,DST_123_ÜRETİM_İHTİYAÇ_RAPORU_BURAK_YENI1309[[#This Row],[ALT_KOD]]))</f>
        <v>21.1</v>
      </c>
      <c r="L218">
        <v>0</v>
      </c>
      <c r="M218">
        <f>IF((DST_123_ÜRETİM_İHTİYAÇ_RAPORU_BURAK_YENI1309[[#This Row],[SATINALMA]]*DST_123_ÜRETİM_İHTİYAÇ_RAPORU_BURAK_YENI1309[[#This Row],[BIRIM_FIYATLAR]])&lt;1,VALUE("0"),DST_123_ÜRETİM_İHTİYAÇ_RAPORU_BURAK_YENI1309[[#This Row],[SATINALMA]]*DST_123_ÜRETİM_İHTİYAÇ_RAPORU_BURAK_YENI1309[[#This Row],[BIRIM_FIYATLAR]])</f>
        <v>2426.5</v>
      </c>
      <c r="N218">
        <v>115</v>
      </c>
      <c r="O218" t="s">
        <v>821</v>
      </c>
      <c r="P218">
        <v>126.50000000000001</v>
      </c>
      <c r="Q218" t="s">
        <v>178</v>
      </c>
    </row>
    <row r="219" spans="1:17" x14ac:dyDescent="0.25">
      <c r="A219" t="s">
        <v>1095</v>
      </c>
      <c r="B219" t="s">
        <v>1096</v>
      </c>
      <c r="C219" t="s">
        <v>175</v>
      </c>
      <c r="D219" t="s">
        <v>17</v>
      </c>
      <c r="E219" t="s">
        <v>18</v>
      </c>
      <c r="F219">
        <v>1</v>
      </c>
      <c r="G219" t="s">
        <v>176</v>
      </c>
      <c r="H219">
        <v>0</v>
      </c>
      <c r="I219">
        <v>56</v>
      </c>
      <c r="J219" s="10">
        <v>11</v>
      </c>
      <c r="K219" s="10">
        <f>SUMIFS(F:F,D:D,DST_123_ÜRETİM_İHTİYAÇ_RAPORU_BURAK_YENI1309[[#This Row],[ALT_KOD]])-(SUMIFS(H:H,D:D,DST_123_ÜRETİM_İHTİYAÇ_RAPORU_BURAK_YENI1309[[#This Row],[ALT_KOD]])+AVERAGEIFS(I:I,D:D,DST_123_ÜRETİM_İHTİYAÇ_RAPORU_BURAK_YENI1309[[#This Row],[ALT_KOD]])+AVERAGEIFS(L:L,D:D,DST_123_ÜRETİM_İHTİYAÇ_RAPORU_BURAK_YENI1309[[#This Row],[ALT_KOD]]))</f>
        <v>-43</v>
      </c>
      <c r="L219">
        <v>0</v>
      </c>
      <c r="M219">
        <f>IF((DST_123_ÜRETİM_İHTİYAÇ_RAPORU_BURAK_YENI1309[[#This Row],[SATINALMA]]*DST_123_ÜRETİM_İHTİYAÇ_RAPORU_BURAK_YENI1309[[#This Row],[BIRIM_FIYATLAR]])&lt;1,VALUE("0"),DST_123_ÜRETİM_İHTİYAÇ_RAPORU_BURAK_YENI1309[[#This Row],[SATINALMA]]*DST_123_ÜRETİM_İHTİYAÇ_RAPORU_BURAK_YENI1309[[#This Row],[BIRIM_FIYATLAR]])</f>
        <v>0</v>
      </c>
      <c r="N219">
        <v>936.72</v>
      </c>
      <c r="O219" t="s">
        <v>1230</v>
      </c>
      <c r="P219">
        <v>936.72</v>
      </c>
      <c r="Q219" t="s">
        <v>221</v>
      </c>
    </row>
    <row r="220" spans="1:17" x14ac:dyDescent="0.25">
      <c r="A220" t="s">
        <v>1095</v>
      </c>
      <c r="B220" t="s">
        <v>1096</v>
      </c>
      <c r="C220" t="s">
        <v>175</v>
      </c>
      <c r="D220" t="s">
        <v>21</v>
      </c>
      <c r="E220" t="s">
        <v>22</v>
      </c>
      <c r="F220">
        <v>1.5</v>
      </c>
      <c r="G220" t="s">
        <v>179</v>
      </c>
      <c r="H220">
        <v>0</v>
      </c>
      <c r="I220">
        <v>100</v>
      </c>
      <c r="J220" s="10">
        <v>105.5</v>
      </c>
      <c r="K220" s="10">
        <f>SUMIFS(F:F,D:D,DST_123_ÜRETİM_İHTİYAÇ_RAPORU_BURAK_YENI1309[[#This Row],[ALT_KOD]])-(SUMIFS(H:H,D:D,DST_123_ÜRETİM_İHTİYAÇ_RAPORU_BURAK_YENI1309[[#This Row],[ALT_KOD]])+AVERAGEIFS(I:I,D:D,DST_123_ÜRETİM_İHTİYAÇ_RAPORU_BURAK_YENI1309[[#This Row],[ALT_KOD]])+AVERAGEIFS(L:L,D:D,DST_123_ÜRETİM_İHTİYAÇ_RAPORU_BURAK_YENI1309[[#This Row],[ALT_KOD]]))</f>
        <v>-8</v>
      </c>
      <c r="L220">
        <v>0</v>
      </c>
      <c r="M220">
        <f>IF((DST_123_ÜRETİM_İHTİYAÇ_RAPORU_BURAK_YENI1309[[#This Row],[SATINALMA]]*DST_123_ÜRETİM_İHTİYAÇ_RAPORU_BURAK_YENI1309[[#This Row],[BIRIM_FIYATLAR]])&lt;1,VALUE("0"),DST_123_ÜRETİM_İHTİYAÇ_RAPORU_BURAK_YENI1309[[#This Row],[SATINALMA]]*DST_123_ÜRETİM_İHTİYAÇ_RAPORU_BURAK_YENI1309[[#This Row],[BIRIM_FIYATLAR]])</f>
        <v>0</v>
      </c>
      <c r="N220">
        <v>131.25</v>
      </c>
      <c r="O220" t="s">
        <v>826</v>
      </c>
      <c r="P220">
        <v>196.875</v>
      </c>
      <c r="Q220" t="s">
        <v>221</v>
      </c>
    </row>
    <row r="221" spans="1:17" x14ac:dyDescent="0.25">
      <c r="A221" t="s">
        <v>1147</v>
      </c>
      <c r="B221" t="s">
        <v>1145</v>
      </c>
      <c r="C221" t="s">
        <v>175</v>
      </c>
      <c r="D221" t="s">
        <v>1136</v>
      </c>
      <c r="E221" t="s">
        <v>1137</v>
      </c>
      <c r="F221">
        <v>3</v>
      </c>
      <c r="G221" t="s">
        <v>176</v>
      </c>
      <c r="H221">
        <v>0</v>
      </c>
      <c r="I221">
        <v>0</v>
      </c>
      <c r="J221" s="10">
        <v>0</v>
      </c>
      <c r="K221" s="10">
        <f>SUMIFS(F:F,D:D,DST_123_ÜRETİM_İHTİYAÇ_RAPORU_BURAK_YENI1309[[#This Row],[ALT_KOD]])-(SUMIFS(H:H,D:D,DST_123_ÜRETİM_İHTİYAÇ_RAPORU_BURAK_YENI1309[[#This Row],[ALT_KOD]])+AVERAGEIFS(I:I,D:D,DST_123_ÜRETİM_İHTİYAÇ_RAPORU_BURAK_YENI1309[[#This Row],[ALT_KOD]])+AVERAGEIFS(L:L,D:D,DST_123_ÜRETİM_İHTİYAÇ_RAPORU_BURAK_YENI1309[[#This Row],[ALT_KOD]]))</f>
        <v>27</v>
      </c>
      <c r="L221">
        <v>0</v>
      </c>
      <c r="M221">
        <f>IF((DST_123_ÜRETİM_İHTİYAÇ_RAPORU_BURAK_YENI1309[[#This Row],[SATINALMA]]*DST_123_ÜRETİM_İHTİYAÇ_RAPORU_BURAK_YENI1309[[#This Row],[BIRIM_FIYATLAR]])&lt;1,VALUE("0"),DST_123_ÜRETİM_İHTİYAÇ_RAPORU_BURAK_YENI1309[[#This Row],[SATINALMA]]*DST_123_ÜRETİM_İHTİYAÇ_RAPORU_BURAK_YENI1309[[#This Row],[BIRIM_FIYATLAR]])</f>
        <v>324</v>
      </c>
      <c r="N221">
        <v>12</v>
      </c>
      <c r="O221" t="s">
        <v>240</v>
      </c>
      <c r="P221">
        <v>36</v>
      </c>
      <c r="Q221" t="s">
        <v>180</v>
      </c>
    </row>
    <row r="222" spans="1:17" x14ac:dyDescent="0.25">
      <c r="A222" t="s">
        <v>1147</v>
      </c>
      <c r="B222" t="s">
        <v>1145</v>
      </c>
      <c r="C222" t="s">
        <v>175</v>
      </c>
      <c r="D222" t="s">
        <v>17</v>
      </c>
      <c r="E222" t="s">
        <v>18</v>
      </c>
      <c r="F222">
        <v>1</v>
      </c>
      <c r="G222" t="s">
        <v>176</v>
      </c>
      <c r="H222">
        <v>0</v>
      </c>
      <c r="I222">
        <v>56</v>
      </c>
      <c r="J222" s="10">
        <v>11</v>
      </c>
      <c r="K222" s="10">
        <f>SUMIFS(F:F,D:D,DST_123_ÜRETİM_İHTİYAÇ_RAPORU_BURAK_YENI1309[[#This Row],[ALT_KOD]])-(SUMIFS(H:H,D:D,DST_123_ÜRETİM_İHTİYAÇ_RAPORU_BURAK_YENI1309[[#This Row],[ALT_KOD]])+AVERAGEIFS(I:I,D:D,DST_123_ÜRETİM_İHTİYAÇ_RAPORU_BURAK_YENI1309[[#This Row],[ALT_KOD]])+AVERAGEIFS(L:L,D:D,DST_123_ÜRETİM_İHTİYAÇ_RAPORU_BURAK_YENI1309[[#This Row],[ALT_KOD]]))</f>
        <v>-43</v>
      </c>
      <c r="L222">
        <v>0</v>
      </c>
      <c r="M222">
        <f>IF((DST_123_ÜRETİM_İHTİYAÇ_RAPORU_BURAK_YENI1309[[#This Row],[SATINALMA]]*DST_123_ÜRETİM_İHTİYAÇ_RAPORU_BURAK_YENI1309[[#This Row],[BIRIM_FIYATLAR]])&lt;1,VALUE("0"),DST_123_ÜRETİM_İHTİYAÇ_RAPORU_BURAK_YENI1309[[#This Row],[SATINALMA]]*DST_123_ÜRETİM_İHTİYAÇ_RAPORU_BURAK_YENI1309[[#This Row],[BIRIM_FIYATLAR]])</f>
        <v>0</v>
      </c>
      <c r="N222">
        <v>936.72</v>
      </c>
      <c r="O222" t="s">
        <v>1230</v>
      </c>
      <c r="P222">
        <v>936.72</v>
      </c>
      <c r="Q222" t="s">
        <v>221</v>
      </c>
    </row>
    <row r="223" spans="1:17" x14ac:dyDescent="0.25">
      <c r="A223" t="s">
        <v>1179</v>
      </c>
      <c r="B223" t="s">
        <v>1180</v>
      </c>
      <c r="C223" t="s">
        <v>175</v>
      </c>
      <c r="D223" t="s">
        <v>17</v>
      </c>
      <c r="E223" t="s">
        <v>18</v>
      </c>
      <c r="F223">
        <v>1</v>
      </c>
      <c r="G223" t="s">
        <v>176</v>
      </c>
      <c r="H223">
        <v>0</v>
      </c>
      <c r="I223">
        <v>56</v>
      </c>
      <c r="J223" s="10">
        <v>11</v>
      </c>
      <c r="K223" s="10">
        <f>SUMIFS(F:F,D:D,DST_123_ÜRETİM_İHTİYAÇ_RAPORU_BURAK_YENI1309[[#This Row],[ALT_KOD]])-(SUMIFS(H:H,D:D,DST_123_ÜRETİM_İHTİYAÇ_RAPORU_BURAK_YENI1309[[#This Row],[ALT_KOD]])+AVERAGEIFS(I:I,D:D,DST_123_ÜRETİM_İHTİYAÇ_RAPORU_BURAK_YENI1309[[#This Row],[ALT_KOD]])+AVERAGEIFS(L:L,D:D,DST_123_ÜRETİM_İHTİYAÇ_RAPORU_BURAK_YENI1309[[#This Row],[ALT_KOD]]))</f>
        <v>-43</v>
      </c>
      <c r="L223">
        <v>0</v>
      </c>
      <c r="M223">
        <f>IF((DST_123_ÜRETİM_İHTİYAÇ_RAPORU_BURAK_YENI1309[[#This Row],[SATINALMA]]*DST_123_ÜRETİM_İHTİYAÇ_RAPORU_BURAK_YENI1309[[#This Row],[BIRIM_FIYATLAR]])&lt;1,VALUE("0"),DST_123_ÜRETİM_İHTİYAÇ_RAPORU_BURAK_YENI1309[[#This Row],[SATINALMA]]*DST_123_ÜRETİM_İHTİYAÇ_RAPORU_BURAK_YENI1309[[#This Row],[BIRIM_FIYATLAR]])</f>
        <v>0</v>
      </c>
      <c r="N223">
        <v>936.72</v>
      </c>
      <c r="O223" t="s">
        <v>1230</v>
      </c>
      <c r="P223">
        <v>936.72</v>
      </c>
      <c r="Q223" t="s">
        <v>221</v>
      </c>
    </row>
    <row r="224" spans="1:17" x14ac:dyDescent="0.25">
      <c r="A224" t="s">
        <v>1148</v>
      </c>
      <c r="B224" t="s">
        <v>1056</v>
      </c>
      <c r="C224" t="s">
        <v>175</v>
      </c>
      <c r="D224" t="s">
        <v>17</v>
      </c>
      <c r="E224" t="s">
        <v>18</v>
      </c>
      <c r="F224">
        <v>1</v>
      </c>
      <c r="G224" t="s">
        <v>176</v>
      </c>
      <c r="H224">
        <v>0</v>
      </c>
      <c r="I224">
        <v>56</v>
      </c>
      <c r="J224" s="10">
        <v>11</v>
      </c>
      <c r="K224" s="10">
        <f>SUMIFS(F:F,D:D,DST_123_ÜRETİM_İHTİYAÇ_RAPORU_BURAK_YENI1309[[#This Row],[ALT_KOD]])-(SUMIFS(H:H,D:D,DST_123_ÜRETİM_İHTİYAÇ_RAPORU_BURAK_YENI1309[[#This Row],[ALT_KOD]])+AVERAGEIFS(I:I,D:D,DST_123_ÜRETİM_İHTİYAÇ_RAPORU_BURAK_YENI1309[[#This Row],[ALT_KOD]])+AVERAGEIFS(L:L,D:D,DST_123_ÜRETİM_İHTİYAÇ_RAPORU_BURAK_YENI1309[[#This Row],[ALT_KOD]]))</f>
        <v>-43</v>
      </c>
      <c r="L224">
        <v>0</v>
      </c>
      <c r="M224">
        <f>IF((DST_123_ÜRETİM_İHTİYAÇ_RAPORU_BURAK_YENI1309[[#This Row],[SATINALMA]]*DST_123_ÜRETİM_İHTİYAÇ_RAPORU_BURAK_YENI1309[[#This Row],[BIRIM_FIYATLAR]])&lt;1,VALUE("0"),DST_123_ÜRETİM_İHTİYAÇ_RAPORU_BURAK_YENI1309[[#This Row],[SATINALMA]]*DST_123_ÜRETİM_İHTİYAÇ_RAPORU_BURAK_YENI1309[[#This Row],[BIRIM_FIYATLAR]])</f>
        <v>0</v>
      </c>
      <c r="N224">
        <v>936.72</v>
      </c>
      <c r="O224" t="s">
        <v>1230</v>
      </c>
      <c r="P224">
        <v>936.72</v>
      </c>
      <c r="Q224" t="s">
        <v>221</v>
      </c>
    </row>
    <row r="225" spans="1:17" x14ac:dyDescent="0.25">
      <c r="A225" t="s">
        <v>1148</v>
      </c>
      <c r="B225" t="s">
        <v>1056</v>
      </c>
      <c r="C225" t="s">
        <v>175</v>
      </c>
      <c r="D225" t="s">
        <v>21</v>
      </c>
      <c r="E225" t="s">
        <v>22</v>
      </c>
      <c r="F225">
        <v>7</v>
      </c>
      <c r="G225" t="s">
        <v>179</v>
      </c>
      <c r="H225">
        <v>0</v>
      </c>
      <c r="I225">
        <v>100</v>
      </c>
      <c r="J225" s="10">
        <v>105.5</v>
      </c>
      <c r="K225" s="10">
        <f>SUMIFS(F:F,D:D,DST_123_ÜRETİM_İHTİYAÇ_RAPORU_BURAK_YENI1309[[#This Row],[ALT_KOD]])-(SUMIFS(H:H,D:D,DST_123_ÜRETİM_İHTİYAÇ_RAPORU_BURAK_YENI1309[[#This Row],[ALT_KOD]])+AVERAGEIFS(I:I,D:D,DST_123_ÜRETİM_İHTİYAÇ_RAPORU_BURAK_YENI1309[[#This Row],[ALT_KOD]])+AVERAGEIFS(L:L,D:D,DST_123_ÜRETİM_İHTİYAÇ_RAPORU_BURAK_YENI1309[[#This Row],[ALT_KOD]]))</f>
        <v>-8</v>
      </c>
      <c r="L225">
        <v>0</v>
      </c>
      <c r="M225">
        <f>IF((DST_123_ÜRETİM_İHTİYAÇ_RAPORU_BURAK_YENI1309[[#This Row],[SATINALMA]]*DST_123_ÜRETİM_İHTİYAÇ_RAPORU_BURAK_YENI1309[[#This Row],[BIRIM_FIYATLAR]])&lt;1,VALUE("0"),DST_123_ÜRETİM_İHTİYAÇ_RAPORU_BURAK_YENI1309[[#This Row],[SATINALMA]]*DST_123_ÜRETİM_İHTİYAÇ_RAPORU_BURAK_YENI1309[[#This Row],[BIRIM_FIYATLAR]])</f>
        <v>0</v>
      </c>
      <c r="N225">
        <v>131.25</v>
      </c>
      <c r="O225" t="s">
        <v>826</v>
      </c>
      <c r="P225">
        <v>918.75</v>
      </c>
      <c r="Q225" t="s">
        <v>221</v>
      </c>
    </row>
    <row r="226" spans="1:17" x14ac:dyDescent="0.25">
      <c r="A226" s="13" t="s">
        <v>1098</v>
      </c>
      <c r="B226" s="13" t="s">
        <v>1096</v>
      </c>
      <c r="C226" t="s">
        <v>175</v>
      </c>
      <c r="D226" s="13" t="s">
        <v>68</v>
      </c>
      <c r="E226" s="13" t="s">
        <v>69</v>
      </c>
      <c r="F226" s="13">
        <v>9.7099999999999991</v>
      </c>
      <c r="G226" s="13" t="s">
        <v>185</v>
      </c>
      <c r="H226">
        <v>0</v>
      </c>
      <c r="I226">
        <v>134.9</v>
      </c>
      <c r="J226" s="10">
        <v>46.099999999999767</v>
      </c>
      <c r="K226" s="10">
        <f>SUMIFS(F:F,D:D,DST_123_ÜRETİM_İHTİYAÇ_RAPORU_BURAK_YENI1309[[#This Row],[ALT_KOD]])-(SUMIFS(H:H,D:D,DST_123_ÜRETİM_İHTİYAÇ_RAPORU_BURAK_YENI1309[[#This Row],[ALT_KOD]])+AVERAGEIFS(I:I,D:D,DST_123_ÜRETİM_İHTİYAÇ_RAPORU_BURAK_YENI1309[[#This Row],[ALT_KOD]])+AVERAGEIFS(L:L,D:D,DST_123_ÜRETİM_İHTİYAÇ_RAPORU_BURAK_YENI1309[[#This Row],[ALT_KOD]]))</f>
        <v>43.169999999999959</v>
      </c>
      <c r="L226">
        <v>0</v>
      </c>
      <c r="M226">
        <f>IF((DST_123_ÜRETİM_İHTİYAÇ_RAPORU_BURAK_YENI1309[[#This Row],[SATINALMA]]*DST_123_ÜRETİM_İHTİYAÇ_RAPORU_BURAK_YENI1309[[#This Row],[BIRIM_FIYATLAR]])&lt;1,VALUE("0"),DST_123_ÜRETİM_İHTİYAÇ_RAPORU_BURAK_YENI1309[[#This Row],[SATINALMA]]*DST_123_ÜRETİM_İHTİYAÇ_RAPORU_BURAK_YENI1309[[#This Row],[BIRIM_FIYATLAR]])</f>
        <v>4160.2928999999958</v>
      </c>
      <c r="N226">
        <v>96.37</v>
      </c>
      <c r="O226" t="s">
        <v>490</v>
      </c>
      <c r="P226">
        <v>935.7527</v>
      </c>
      <c r="Q226" t="s">
        <v>183</v>
      </c>
    </row>
    <row r="227" spans="1:17" x14ac:dyDescent="0.25">
      <c r="A227" t="s">
        <v>1196</v>
      </c>
      <c r="B227" t="s">
        <v>1197</v>
      </c>
      <c r="C227" t="s">
        <v>175</v>
      </c>
      <c r="D227" t="s">
        <v>72</v>
      </c>
      <c r="E227" t="s">
        <v>73</v>
      </c>
      <c r="F227">
        <v>1</v>
      </c>
      <c r="G227" t="s">
        <v>176</v>
      </c>
      <c r="H227">
        <v>0</v>
      </c>
      <c r="I227">
        <v>2</v>
      </c>
      <c r="J227" s="10">
        <v>8</v>
      </c>
      <c r="K227" s="10">
        <f>SUMIFS(F:F,D:D,DST_123_ÜRETİM_İHTİYAÇ_RAPORU_BURAK_YENI1309[[#This Row],[ALT_KOD]])-(SUMIFS(H:H,D:D,DST_123_ÜRETİM_İHTİYAÇ_RAPORU_BURAK_YENI1309[[#This Row],[ALT_KOD]])+AVERAGEIFS(I:I,D:D,DST_123_ÜRETİM_İHTİYAÇ_RAPORU_BURAK_YENI1309[[#This Row],[ALT_KOD]])+AVERAGEIFS(L:L,D:D,DST_123_ÜRETİM_İHTİYAÇ_RAPORU_BURAK_YENI1309[[#This Row],[ALT_KOD]]))</f>
        <v>8</v>
      </c>
      <c r="L227">
        <v>0</v>
      </c>
      <c r="M227">
        <f>IF((DST_123_ÜRETİM_İHTİYAÇ_RAPORU_BURAK_YENI1309[[#This Row],[SATINALMA]]*DST_123_ÜRETİM_İHTİYAÇ_RAPORU_BURAK_YENI1309[[#This Row],[BIRIM_FIYATLAR]])&lt;1,VALUE("0"),DST_123_ÜRETİM_İHTİYAÇ_RAPORU_BURAK_YENI1309[[#This Row],[SATINALMA]]*DST_123_ÜRETİM_İHTİYAÇ_RAPORU_BURAK_YENI1309[[#This Row],[BIRIM_FIYATLAR]])</f>
        <v>70583.44</v>
      </c>
      <c r="N227">
        <v>8822.93</v>
      </c>
      <c r="O227" t="s">
        <v>634</v>
      </c>
      <c r="P227">
        <v>8822.93</v>
      </c>
      <c r="Q227" t="s">
        <v>178</v>
      </c>
    </row>
    <row r="228" spans="1:17" x14ac:dyDescent="0.25">
      <c r="A228" t="s">
        <v>1196</v>
      </c>
      <c r="B228" t="s">
        <v>1197</v>
      </c>
      <c r="C228" t="s">
        <v>175</v>
      </c>
      <c r="D228" t="s">
        <v>380</v>
      </c>
      <c r="E228" t="s">
        <v>381</v>
      </c>
      <c r="F228">
        <v>1.1000000000000001</v>
      </c>
      <c r="G228" t="s">
        <v>179</v>
      </c>
      <c r="H228">
        <v>0</v>
      </c>
      <c r="I228">
        <v>0</v>
      </c>
      <c r="J228" s="10">
        <v>20.30000000000009</v>
      </c>
      <c r="K228" s="10">
        <f>SUMIFS(F:F,D:D,DST_123_ÜRETİM_İHTİYAÇ_RAPORU_BURAK_YENI1309[[#This Row],[ALT_KOD]])-(SUMIFS(H:H,D:D,DST_123_ÜRETİM_İHTİYAÇ_RAPORU_BURAK_YENI1309[[#This Row],[ALT_KOD]])+AVERAGEIFS(I:I,D:D,DST_123_ÜRETİM_İHTİYAÇ_RAPORU_BURAK_YENI1309[[#This Row],[ALT_KOD]])+AVERAGEIFS(L:L,D:D,DST_123_ÜRETİM_İHTİYAÇ_RAPORU_BURAK_YENI1309[[#This Row],[ALT_KOD]]))</f>
        <v>21.1</v>
      </c>
      <c r="L228">
        <v>0</v>
      </c>
      <c r="M228">
        <f>IF((DST_123_ÜRETİM_İHTİYAÇ_RAPORU_BURAK_YENI1309[[#This Row],[SATINALMA]]*DST_123_ÜRETİM_İHTİYAÇ_RAPORU_BURAK_YENI1309[[#This Row],[BIRIM_FIYATLAR]])&lt;1,VALUE("0"),DST_123_ÜRETİM_İHTİYAÇ_RAPORU_BURAK_YENI1309[[#This Row],[SATINALMA]]*DST_123_ÜRETİM_İHTİYAÇ_RAPORU_BURAK_YENI1309[[#This Row],[BIRIM_FIYATLAR]])</f>
        <v>2426.5</v>
      </c>
      <c r="N228">
        <v>115</v>
      </c>
      <c r="O228" t="s">
        <v>821</v>
      </c>
      <c r="P228">
        <v>126.50000000000001</v>
      </c>
      <c r="Q228" t="s">
        <v>178</v>
      </c>
    </row>
    <row r="229" spans="1:17" x14ac:dyDescent="0.25">
      <c r="A229" t="s">
        <v>1099</v>
      </c>
      <c r="B229" t="s">
        <v>1055</v>
      </c>
      <c r="C229" t="s">
        <v>175</v>
      </c>
      <c r="D229" t="s">
        <v>380</v>
      </c>
      <c r="E229" t="s">
        <v>381</v>
      </c>
      <c r="F229">
        <v>1.2</v>
      </c>
      <c r="G229" t="s">
        <v>179</v>
      </c>
      <c r="H229">
        <v>0</v>
      </c>
      <c r="I229">
        <v>0</v>
      </c>
      <c r="J229" s="10">
        <v>20.30000000000009</v>
      </c>
      <c r="K229" s="10">
        <f>SUMIFS(F:F,D:D,DST_123_ÜRETİM_İHTİYAÇ_RAPORU_BURAK_YENI1309[[#This Row],[ALT_KOD]])-(SUMIFS(H:H,D:D,DST_123_ÜRETİM_İHTİYAÇ_RAPORU_BURAK_YENI1309[[#This Row],[ALT_KOD]])+AVERAGEIFS(I:I,D:D,DST_123_ÜRETİM_İHTİYAÇ_RAPORU_BURAK_YENI1309[[#This Row],[ALT_KOD]])+AVERAGEIFS(L:L,D:D,DST_123_ÜRETİM_İHTİYAÇ_RAPORU_BURAK_YENI1309[[#This Row],[ALT_KOD]]))</f>
        <v>21.1</v>
      </c>
      <c r="L229">
        <v>0</v>
      </c>
      <c r="M229">
        <f>IF((DST_123_ÜRETİM_İHTİYAÇ_RAPORU_BURAK_YENI1309[[#This Row],[SATINALMA]]*DST_123_ÜRETİM_İHTİYAÇ_RAPORU_BURAK_YENI1309[[#This Row],[BIRIM_FIYATLAR]])&lt;1,VALUE("0"),DST_123_ÜRETİM_İHTİYAÇ_RAPORU_BURAK_YENI1309[[#This Row],[SATINALMA]]*DST_123_ÜRETİM_İHTİYAÇ_RAPORU_BURAK_YENI1309[[#This Row],[BIRIM_FIYATLAR]])</f>
        <v>2426.5</v>
      </c>
      <c r="N229">
        <v>115</v>
      </c>
      <c r="O229" t="s">
        <v>821</v>
      </c>
      <c r="P229">
        <v>138</v>
      </c>
      <c r="Q229" t="s">
        <v>178</v>
      </c>
    </row>
    <row r="230" spans="1:17" x14ac:dyDescent="0.25">
      <c r="A230" t="s">
        <v>1147</v>
      </c>
      <c r="B230" t="s">
        <v>1145</v>
      </c>
      <c r="C230" t="s">
        <v>175</v>
      </c>
      <c r="D230" t="s">
        <v>705</v>
      </c>
      <c r="E230" t="s">
        <v>706</v>
      </c>
      <c r="F230">
        <v>12</v>
      </c>
      <c r="G230" t="s">
        <v>176</v>
      </c>
      <c r="H230">
        <v>0</v>
      </c>
      <c r="I230">
        <v>1400</v>
      </c>
      <c r="J230" s="10">
        <v>602</v>
      </c>
      <c r="K230" s="10">
        <f>SUMIFS(F:F,D:D,DST_123_ÜRETİM_İHTİYAÇ_RAPORU_BURAK_YENI1309[[#This Row],[ALT_KOD]])-(SUMIFS(H:H,D:D,DST_123_ÜRETİM_İHTİYAÇ_RAPORU_BURAK_YENI1309[[#This Row],[ALT_KOD]])+AVERAGEIFS(I:I,D:D,DST_123_ÜRETİM_İHTİYAÇ_RAPORU_BURAK_YENI1309[[#This Row],[ALT_KOD]])+AVERAGEIFS(L:L,D:D,DST_123_ÜRETİM_İHTİYAÇ_RAPORU_BURAK_YENI1309[[#This Row],[ALT_KOD]]))</f>
        <v>-1296</v>
      </c>
      <c r="L230">
        <v>0</v>
      </c>
      <c r="M230">
        <f>IF((DST_123_ÜRETİM_İHTİYAÇ_RAPORU_BURAK_YENI1309[[#This Row],[SATINALMA]]*DST_123_ÜRETİM_İHTİYAÇ_RAPORU_BURAK_YENI1309[[#This Row],[BIRIM_FIYATLAR]])&lt;1,VALUE("0"),DST_123_ÜRETİM_İHTİYAÇ_RAPORU_BURAK_YENI1309[[#This Row],[SATINALMA]]*DST_123_ÜRETİM_İHTİYAÇ_RAPORU_BURAK_YENI1309[[#This Row],[BIRIM_FIYATLAR]])</f>
        <v>0</v>
      </c>
      <c r="N230">
        <v>0.6</v>
      </c>
      <c r="O230" t="s">
        <v>240</v>
      </c>
      <c r="P230">
        <v>7.1999999999999993</v>
      </c>
      <c r="Q230" t="s">
        <v>180</v>
      </c>
    </row>
    <row r="231" spans="1:17" x14ac:dyDescent="0.25">
      <c r="A231" t="s">
        <v>1060</v>
      </c>
      <c r="B231" t="s">
        <v>1061</v>
      </c>
      <c r="C231" t="s">
        <v>175</v>
      </c>
      <c r="D231" t="s">
        <v>30</v>
      </c>
      <c r="E231" t="s">
        <v>31</v>
      </c>
      <c r="F231">
        <v>43</v>
      </c>
      <c r="G231" t="s">
        <v>176</v>
      </c>
      <c r="H231">
        <v>0</v>
      </c>
      <c r="I231">
        <v>4500</v>
      </c>
      <c r="J231" s="10">
        <v>2426</v>
      </c>
      <c r="K231" s="10">
        <f>SUMIFS(F:F,D:D,DST_123_ÜRETİM_İHTİYAÇ_RAPORU_BURAK_YENI1309[[#This Row],[ALT_KOD]])-(SUMIFS(H:H,D:D,DST_123_ÜRETİM_İHTİYAÇ_RAPORU_BURAK_YENI1309[[#This Row],[ALT_KOD]])+AVERAGEIFS(I:I,D:D,DST_123_ÜRETİM_İHTİYAÇ_RAPORU_BURAK_YENI1309[[#This Row],[ALT_KOD]])+AVERAGEIFS(L:L,D:D,DST_123_ÜRETİM_İHTİYAÇ_RAPORU_BURAK_YENI1309[[#This Row],[ALT_KOD]]))</f>
        <v>-3826</v>
      </c>
      <c r="L231">
        <v>0</v>
      </c>
      <c r="M231">
        <f>IF((DST_123_ÜRETİM_İHTİYAÇ_RAPORU_BURAK_YENI1309[[#This Row],[SATINALMA]]*DST_123_ÜRETİM_İHTİYAÇ_RAPORU_BURAK_YENI1309[[#This Row],[BIRIM_FIYATLAR]])&lt;1,VALUE("0"),DST_123_ÜRETİM_İHTİYAÇ_RAPORU_BURAK_YENI1309[[#This Row],[SATINALMA]]*DST_123_ÜRETİM_İHTİYAÇ_RAPORU_BURAK_YENI1309[[#This Row],[BIRIM_FIYATLAR]])</f>
        <v>0</v>
      </c>
      <c r="N231">
        <v>1</v>
      </c>
      <c r="P231">
        <v>43</v>
      </c>
      <c r="Q231" t="s">
        <v>180</v>
      </c>
    </row>
    <row r="232" spans="1:17" x14ac:dyDescent="0.25">
      <c r="A232" t="s">
        <v>1147</v>
      </c>
      <c r="B232" t="s">
        <v>1145</v>
      </c>
      <c r="C232" t="s">
        <v>175</v>
      </c>
      <c r="D232" t="s">
        <v>30</v>
      </c>
      <c r="E232" t="s">
        <v>31</v>
      </c>
      <c r="F232">
        <v>43</v>
      </c>
      <c r="G232" t="s">
        <v>176</v>
      </c>
      <c r="H232">
        <v>0</v>
      </c>
      <c r="I232">
        <v>4500</v>
      </c>
      <c r="J232" s="10">
        <v>2426</v>
      </c>
      <c r="K232" s="10">
        <f>SUMIFS(F:F,D:D,DST_123_ÜRETİM_İHTİYAÇ_RAPORU_BURAK_YENI1309[[#This Row],[ALT_KOD]])-(SUMIFS(H:H,D:D,DST_123_ÜRETİM_İHTİYAÇ_RAPORU_BURAK_YENI1309[[#This Row],[ALT_KOD]])+AVERAGEIFS(I:I,D:D,DST_123_ÜRETİM_İHTİYAÇ_RAPORU_BURAK_YENI1309[[#This Row],[ALT_KOD]])+AVERAGEIFS(L:L,D:D,DST_123_ÜRETİM_İHTİYAÇ_RAPORU_BURAK_YENI1309[[#This Row],[ALT_KOD]]))</f>
        <v>-3826</v>
      </c>
      <c r="L232">
        <v>0</v>
      </c>
      <c r="M232">
        <f>IF((DST_123_ÜRETİM_İHTİYAÇ_RAPORU_BURAK_YENI1309[[#This Row],[SATINALMA]]*DST_123_ÜRETİM_İHTİYAÇ_RAPORU_BURAK_YENI1309[[#This Row],[BIRIM_FIYATLAR]])&lt;1,VALUE("0"),DST_123_ÜRETİM_İHTİYAÇ_RAPORU_BURAK_YENI1309[[#This Row],[SATINALMA]]*DST_123_ÜRETİM_İHTİYAÇ_RAPORU_BURAK_YENI1309[[#This Row],[BIRIM_FIYATLAR]])</f>
        <v>0</v>
      </c>
      <c r="N232">
        <v>1</v>
      </c>
      <c r="P232">
        <v>43</v>
      </c>
      <c r="Q232" t="s">
        <v>180</v>
      </c>
    </row>
    <row r="233" spans="1:17" x14ac:dyDescent="0.25">
      <c r="A233" t="s">
        <v>1100</v>
      </c>
      <c r="B233" t="s">
        <v>1058</v>
      </c>
      <c r="C233" t="s">
        <v>175</v>
      </c>
      <c r="D233" t="s">
        <v>30</v>
      </c>
      <c r="E233" t="s">
        <v>31</v>
      </c>
      <c r="F233">
        <v>23</v>
      </c>
      <c r="G233" t="s">
        <v>176</v>
      </c>
      <c r="H233">
        <v>0</v>
      </c>
      <c r="I233">
        <v>4500</v>
      </c>
      <c r="J233" s="10">
        <v>2426</v>
      </c>
      <c r="K233" s="10">
        <f>SUMIFS(F:F,D:D,DST_123_ÜRETİM_İHTİYAÇ_RAPORU_BURAK_YENI1309[[#This Row],[ALT_KOD]])-(SUMIFS(H:H,D:D,DST_123_ÜRETİM_İHTİYAÇ_RAPORU_BURAK_YENI1309[[#This Row],[ALT_KOD]])+AVERAGEIFS(I:I,D:D,DST_123_ÜRETİM_İHTİYAÇ_RAPORU_BURAK_YENI1309[[#This Row],[ALT_KOD]])+AVERAGEIFS(L:L,D:D,DST_123_ÜRETİM_İHTİYAÇ_RAPORU_BURAK_YENI1309[[#This Row],[ALT_KOD]]))</f>
        <v>-3826</v>
      </c>
      <c r="L233">
        <v>0</v>
      </c>
      <c r="M233">
        <f>IF((DST_123_ÜRETİM_İHTİYAÇ_RAPORU_BURAK_YENI1309[[#This Row],[SATINALMA]]*DST_123_ÜRETİM_İHTİYAÇ_RAPORU_BURAK_YENI1309[[#This Row],[BIRIM_FIYATLAR]])&lt;1,VALUE("0"),DST_123_ÜRETİM_İHTİYAÇ_RAPORU_BURAK_YENI1309[[#This Row],[SATINALMA]]*DST_123_ÜRETİM_İHTİYAÇ_RAPORU_BURAK_YENI1309[[#This Row],[BIRIM_FIYATLAR]])</f>
        <v>0</v>
      </c>
      <c r="N233">
        <v>1</v>
      </c>
      <c r="P233">
        <v>23</v>
      </c>
      <c r="Q233" t="s">
        <v>180</v>
      </c>
    </row>
    <row r="234" spans="1:17" x14ac:dyDescent="0.25">
      <c r="A234" t="s">
        <v>1148</v>
      </c>
      <c r="B234" t="s">
        <v>1056</v>
      </c>
      <c r="C234" t="s">
        <v>175</v>
      </c>
      <c r="D234" t="s">
        <v>30</v>
      </c>
      <c r="E234" t="s">
        <v>31</v>
      </c>
      <c r="F234">
        <v>23</v>
      </c>
      <c r="G234" t="s">
        <v>176</v>
      </c>
      <c r="H234">
        <v>0</v>
      </c>
      <c r="I234">
        <v>4500</v>
      </c>
      <c r="J234" s="10">
        <v>2426</v>
      </c>
      <c r="K234" s="10">
        <f>SUMIFS(F:F,D:D,DST_123_ÜRETİM_İHTİYAÇ_RAPORU_BURAK_YENI1309[[#This Row],[ALT_KOD]])-(SUMIFS(H:H,D:D,DST_123_ÜRETİM_İHTİYAÇ_RAPORU_BURAK_YENI1309[[#This Row],[ALT_KOD]])+AVERAGEIFS(I:I,D:D,DST_123_ÜRETİM_İHTİYAÇ_RAPORU_BURAK_YENI1309[[#This Row],[ALT_KOD]])+AVERAGEIFS(L:L,D:D,DST_123_ÜRETİM_İHTİYAÇ_RAPORU_BURAK_YENI1309[[#This Row],[ALT_KOD]]))</f>
        <v>-3826</v>
      </c>
      <c r="L234">
        <v>0</v>
      </c>
      <c r="M234">
        <f>IF((DST_123_ÜRETİM_İHTİYAÇ_RAPORU_BURAK_YENI1309[[#This Row],[SATINALMA]]*DST_123_ÜRETİM_İHTİYAÇ_RAPORU_BURAK_YENI1309[[#This Row],[BIRIM_FIYATLAR]])&lt;1,VALUE("0"),DST_123_ÜRETİM_İHTİYAÇ_RAPORU_BURAK_YENI1309[[#This Row],[SATINALMA]]*DST_123_ÜRETİM_İHTİYAÇ_RAPORU_BURAK_YENI1309[[#This Row],[BIRIM_FIYATLAR]])</f>
        <v>0</v>
      </c>
      <c r="N234">
        <v>1</v>
      </c>
      <c r="P234">
        <v>23</v>
      </c>
      <c r="Q234" t="s">
        <v>180</v>
      </c>
    </row>
    <row r="235" spans="1:17" x14ac:dyDescent="0.25">
      <c r="A235" t="s">
        <v>1150</v>
      </c>
      <c r="B235" t="s">
        <v>1145</v>
      </c>
      <c r="C235" t="s">
        <v>175</v>
      </c>
      <c r="D235" t="s">
        <v>67</v>
      </c>
      <c r="E235" t="s">
        <v>585</v>
      </c>
      <c r="F235">
        <v>0.5</v>
      </c>
      <c r="G235" t="s">
        <v>176</v>
      </c>
      <c r="H235">
        <v>0</v>
      </c>
      <c r="I235">
        <v>13.5</v>
      </c>
      <c r="J235" s="10">
        <v>8.5</v>
      </c>
      <c r="K235" s="10">
        <f>SUMIFS(F:F,D:D,DST_123_ÜRETİM_İHTİYAÇ_RAPORU_BURAK_YENI1309[[#This Row],[ALT_KOD]])-(SUMIFS(H:H,D:D,DST_123_ÜRETİM_İHTİYAÇ_RAPORU_BURAK_YENI1309[[#This Row],[ALT_KOD]])+AVERAGEIFS(I:I,D:D,DST_123_ÜRETİM_İHTİYAÇ_RAPORU_BURAK_YENI1309[[#This Row],[ALT_KOD]])+AVERAGEIFS(L:L,D:D,DST_123_ÜRETİM_İHTİYAÇ_RAPORU_BURAK_YENI1309[[#This Row],[ALT_KOD]]))</f>
        <v>-5.3500000000000014</v>
      </c>
      <c r="L235">
        <v>0</v>
      </c>
      <c r="M235">
        <f>IF((DST_123_ÜRETİM_İHTİYAÇ_RAPORU_BURAK_YENI1309[[#This Row],[SATINALMA]]*DST_123_ÜRETİM_İHTİYAÇ_RAPORU_BURAK_YENI1309[[#This Row],[BIRIM_FIYATLAR]])&lt;1,VALUE("0"),DST_123_ÜRETİM_İHTİYAÇ_RAPORU_BURAK_YENI1309[[#This Row],[SATINALMA]]*DST_123_ÜRETİM_İHTİYAÇ_RAPORU_BURAK_YENI1309[[#This Row],[BIRIM_FIYATLAR]])</f>
        <v>0</v>
      </c>
      <c r="N235">
        <v>1600</v>
      </c>
      <c r="O235" t="s">
        <v>1053</v>
      </c>
      <c r="P235">
        <v>800</v>
      </c>
      <c r="Q235" t="s">
        <v>177</v>
      </c>
    </row>
    <row r="236" spans="1:17" x14ac:dyDescent="0.25">
      <c r="A236" t="s">
        <v>1064</v>
      </c>
      <c r="B236" t="s">
        <v>1055</v>
      </c>
      <c r="C236" t="s">
        <v>175</v>
      </c>
      <c r="D236" t="s">
        <v>68</v>
      </c>
      <c r="E236" t="s">
        <v>69</v>
      </c>
      <c r="F236">
        <v>10.709999999999999</v>
      </c>
      <c r="G236" t="s">
        <v>185</v>
      </c>
      <c r="H236">
        <v>0</v>
      </c>
      <c r="I236">
        <v>134.9</v>
      </c>
      <c r="J236" s="10">
        <v>46.099999999999767</v>
      </c>
      <c r="K236" s="10">
        <f>SUMIFS(F:F,D:D,DST_123_ÜRETİM_İHTİYAÇ_RAPORU_BURAK_YENI1309[[#This Row],[ALT_KOD]])-(SUMIFS(H:H,D:D,DST_123_ÜRETİM_İHTİYAÇ_RAPORU_BURAK_YENI1309[[#This Row],[ALT_KOD]])+AVERAGEIFS(I:I,D:D,DST_123_ÜRETİM_İHTİYAÇ_RAPORU_BURAK_YENI1309[[#This Row],[ALT_KOD]])+AVERAGEIFS(L:L,D:D,DST_123_ÜRETİM_İHTİYAÇ_RAPORU_BURAK_YENI1309[[#This Row],[ALT_KOD]]))</f>
        <v>43.169999999999959</v>
      </c>
      <c r="L236">
        <v>0</v>
      </c>
      <c r="M236">
        <f>IF((DST_123_ÜRETİM_İHTİYAÇ_RAPORU_BURAK_YENI1309[[#This Row],[SATINALMA]]*DST_123_ÜRETİM_İHTİYAÇ_RAPORU_BURAK_YENI1309[[#This Row],[BIRIM_FIYATLAR]])&lt;1,VALUE("0"),DST_123_ÜRETİM_İHTİYAÇ_RAPORU_BURAK_YENI1309[[#This Row],[SATINALMA]]*DST_123_ÜRETİM_İHTİYAÇ_RAPORU_BURAK_YENI1309[[#This Row],[BIRIM_FIYATLAR]])</f>
        <v>4160.2928999999958</v>
      </c>
      <c r="N236">
        <v>96.37</v>
      </c>
      <c r="O236" t="s">
        <v>490</v>
      </c>
      <c r="P236">
        <v>1032.1226999999999</v>
      </c>
      <c r="Q236" t="s">
        <v>183</v>
      </c>
    </row>
    <row r="237" spans="1:17" x14ac:dyDescent="0.25">
      <c r="A237" t="s">
        <v>1196</v>
      </c>
      <c r="B237" t="s">
        <v>1197</v>
      </c>
      <c r="C237" t="s">
        <v>175</v>
      </c>
      <c r="D237" t="s">
        <v>68</v>
      </c>
      <c r="E237" t="s">
        <v>69</v>
      </c>
      <c r="F237">
        <v>8.5400000000000009</v>
      </c>
      <c r="G237" t="s">
        <v>185</v>
      </c>
      <c r="H237">
        <v>0</v>
      </c>
      <c r="I237">
        <v>134.9</v>
      </c>
      <c r="J237" s="10">
        <v>46.099999999999767</v>
      </c>
      <c r="K237" s="10">
        <f>SUMIFS(F:F,D:D,DST_123_ÜRETİM_İHTİYAÇ_RAPORU_BURAK_YENI1309[[#This Row],[ALT_KOD]])-(SUMIFS(H:H,D:D,DST_123_ÜRETİM_İHTİYAÇ_RAPORU_BURAK_YENI1309[[#This Row],[ALT_KOD]])+AVERAGEIFS(I:I,D:D,DST_123_ÜRETİM_İHTİYAÇ_RAPORU_BURAK_YENI1309[[#This Row],[ALT_KOD]])+AVERAGEIFS(L:L,D:D,DST_123_ÜRETİM_İHTİYAÇ_RAPORU_BURAK_YENI1309[[#This Row],[ALT_KOD]]))</f>
        <v>43.169999999999959</v>
      </c>
      <c r="L237">
        <v>0</v>
      </c>
      <c r="M237">
        <f>IF((DST_123_ÜRETİM_İHTİYAÇ_RAPORU_BURAK_YENI1309[[#This Row],[SATINALMA]]*DST_123_ÜRETİM_İHTİYAÇ_RAPORU_BURAK_YENI1309[[#This Row],[BIRIM_FIYATLAR]])&lt;1,VALUE("0"),DST_123_ÜRETİM_İHTİYAÇ_RAPORU_BURAK_YENI1309[[#This Row],[SATINALMA]]*DST_123_ÜRETİM_İHTİYAÇ_RAPORU_BURAK_YENI1309[[#This Row],[BIRIM_FIYATLAR]])</f>
        <v>4160.2928999999958</v>
      </c>
      <c r="N237">
        <v>96.37</v>
      </c>
      <c r="O237" t="s">
        <v>490</v>
      </c>
      <c r="P237">
        <v>822.99980000000016</v>
      </c>
      <c r="Q237" t="s">
        <v>183</v>
      </c>
    </row>
    <row r="238" spans="1:17" x14ac:dyDescent="0.25">
      <c r="A238" t="s">
        <v>1196</v>
      </c>
      <c r="B238" t="s">
        <v>1197</v>
      </c>
      <c r="C238" t="s">
        <v>175</v>
      </c>
      <c r="D238" t="s">
        <v>896</v>
      </c>
      <c r="E238" t="s">
        <v>897</v>
      </c>
      <c r="F238">
        <v>0.2</v>
      </c>
      <c r="G238" t="s">
        <v>185</v>
      </c>
      <c r="H238">
        <v>0</v>
      </c>
      <c r="I238">
        <v>0</v>
      </c>
      <c r="J238" s="10">
        <v>0</v>
      </c>
      <c r="K238" s="10">
        <f>SUMIFS(F:F,D:D,DST_123_ÜRETİM_İHTİYAÇ_RAPORU_BURAK_YENI1309[[#This Row],[ALT_KOD]])-(SUMIFS(H:H,D:D,DST_123_ÜRETİM_İHTİYAÇ_RAPORU_BURAK_YENI1309[[#This Row],[ALT_KOD]])+AVERAGEIFS(I:I,D:D,DST_123_ÜRETİM_İHTİYAÇ_RAPORU_BURAK_YENI1309[[#This Row],[ALT_KOD]])+AVERAGEIFS(L:L,D:D,DST_123_ÜRETİM_İHTİYAÇ_RAPORU_BURAK_YENI1309[[#This Row],[ALT_KOD]]))</f>
        <v>0.8</v>
      </c>
      <c r="L238">
        <v>0</v>
      </c>
      <c r="M238">
        <f>IF((DST_123_ÜRETİM_İHTİYAÇ_RAPORU_BURAK_YENI1309[[#This Row],[SATINALMA]]*DST_123_ÜRETİM_İHTİYAÇ_RAPORU_BURAK_YENI1309[[#This Row],[BIRIM_FIYATLAR]])&lt;1,VALUE("0"),DST_123_ÜRETİM_İHTİYAÇ_RAPORU_BURAK_YENI1309[[#This Row],[SATINALMA]]*DST_123_ÜRETİM_İHTİYAÇ_RAPORU_BURAK_YENI1309[[#This Row],[BIRIM_FIYATLAR]])</f>
        <v>400</v>
      </c>
      <c r="N238">
        <v>500</v>
      </c>
      <c r="O238" t="s">
        <v>898</v>
      </c>
      <c r="P238">
        <v>100</v>
      </c>
      <c r="Q238" t="s">
        <v>183</v>
      </c>
    </row>
    <row r="239" spans="1:17" x14ac:dyDescent="0.25">
      <c r="A239" t="s">
        <v>1098</v>
      </c>
      <c r="B239" t="s">
        <v>1096</v>
      </c>
      <c r="C239" t="s">
        <v>175</v>
      </c>
      <c r="D239" t="s">
        <v>72</v>
      </c>
      <c r="E239" t="s">
        <v>73</v>
      </c>
      <c r="F239">
        <v>1</v>
      </c>
      <c r="G239" t="s">
        <v>176</v>
      </c>
      <c r="H239">
        <v>0</v>
      </c>
      <c r="I239">
        <v>2</v>
      </c>
      <c r="J239" s="10">
        <v>8</v>
      </c>
      <c r="K239" s="10">
        <f>SUMIFS(F:F,D:D,DST_123_ÜRETİM_İHTİYAÇ_RAPORU_BURAK_YENI1309[[#This Row],[ALT_KOD]])-(SUMIFS(H:H,D:D,DST_123_ÜRETİM_İHTİYAÇ_RAPORU_BURAK_YENI1309[[#This Row],[ALT_KOD]])+AVERAGEIFS(I:I,D:D,DST_123_ÜRETİM_İHTİYAÇ_RAPORU_BURAK_YENI1309[[#This Row],[ALT_KOD]])+AVERAGEIFS(L:L,D:D,DST_123_ÜRETİM_İHTİYAÇ_RAPORU_BURAK_YENI1309[[#This Row],[ALT_KOD]]))</f>
        <v>8</v>
      </c>
      <c r="L239">
        <v>0</v>
      </c>
      <c r="M239">
        <f>IF((DST_123_ÜRETİM_İHTİYAÇ_RAPORU_BURAK_YENI1309[[#This Row],[SATINALMA]]*DST_123_ÜRETİM_İHTİYAÇ_RAPORU_BURAK_YENI1309[[#This Row],[BIRIM_FIYATLAR]])&lt;1,VALUE("0"),DST_123_ÜRETİM_İHTİYAÇ_RAPORU_BURAK_YENI1309[[#This Row],[SATINALMA]]*DST_123_ÜRETİM_İHTİYAÇ_RAPORU_BURAK_YENI1309[[#This Row],[BIRIM_FIYATLAR]])</f>
        <v>70583.44</v>
      </c>
      <c r="N239">
        <v>8822.93</v>
      </c>
      <c r="O239" t="s">
        <v>634</v>
      </c>
      <c r="P239">
        <v>8822.93</v>
      </c>
      <c r="Q239" t="s">
        <v>178</v>
      </c>
    </row>
    <row r="240" spans="1:17" x14ac:dyDescent="0.25">
      <c r="A240" t="s">
        <v>1064</v>
      </c>
      <c r="B240" t="s">
        <v>1055</v>
      </c>
      <c r="C240" t="s">
        <v>175</v>
      </c>
      <c r="D240" t="s">
        <v>380</v>
      </c>
      <c r="E240" t="s">
        <v>381</v>
      </c>
      <c r="F240">
        <v>1.1000000000000001</v>
      </c>
      <c r="G240" t="s">
        <v>179</v>
      </c>
      <c r="H240">
        <v>0</v>
      </c>
      <c r="I240">
        <v>0</v>
      </c>
      <c r="J240" s="10">
        <v>20.30000000000009</v>
      </c>
      <c r="K240" s="10">
        <f>SUMIFS(F:F,D:D,DST_123_ÜRETİM_İHTİYAÇ_RAPORU_BURAK_YENI1309[[#This Row],[ALT_KOD]])-(SUMIFS(H:H,D:D,DST_123_ÜRETİM_İHTİYAÇ_RAPORU_BURAK_YENI1309[[#This Row],[ALT_KOD]])+AVERAGEIFS(I:I,D:D,DST_123_ÜRETİM_İHTİYAÇ_RAPORU_BURAK_YENI1309[[#This Row],[ALT_KOD]])+AVERAGEIFS(L:L,D:D,DST_123_ÜRETİM_İHTİYAÇ_RAPORU_BURAK_YENI1309[[#This Row],[ALT_KOD]]))</f>
        <v>21.1</v>
      </c>
      <c r="L240">
        <v>0</v>
      </c>
      <c r="M240">
        <f>IF((DST_123_ÜRETİM_İHTİYAÇ_RAPORU_BURAK_YENI1309[[#This Row],[SATINALMA]]*DST_123_ÜRETİM_İHTİYAÇ_RAPORU_BURAK_YENI1309[[#This Row],[BIRIM_FIYATLAR]])&lt;1,VALUE("0"),DST_123_ÜRETİM_İHTİYAÇ_RAPORU_BURAK_YENI1309[[#This Row],[SATINALMA]]*DST_123_ÜRETİM_İHTİYAÇ_RAPORU_BURAK_YENI1309[[#This Row],[BIRIM_FIYATLAR]])</f>
        <v>2426.5</v>
      </c>
      <c r="N240">
        <v>115</v>
      </c>
      <c r="O240" t="s">
        <v>821</v>
      </c>
      <c r="P240">
        <v>126.50000000000001</v>
      </c>
      <c r="Q240" t="s">
        <v>178</v>
      </c>
    </row>
    <row r="241" spans="1:17" x14ac:dyDescent="0.25">
      <c r="A241" t="s">
        <v>1057</v>
      </c>
      <c r="B241" t="s">
        <v>1058</v>
      </c>
      <c r="C241" t="s">
        <v>175</v>
      </c>
      <c r="D241" t="s">
        <v>705</v>
      </c>
      <c r="E241" t="s">
        <v>706</v>
      </c>
      <c r="F241">
        <v>4</v>
      </c>
      <c r="G241" t="s">
        <v>176</v>
      </c>
      <c r="H241">
        <v>0</v>
      </c>
      <c r="I241">
        <v>1400</v>
      </c>
      <c r="J241" s="10">
        <v>602</v>
      </c>
      <c r="K241" s="10">
        <f>SUMIFS(F:F,D:D,DST_123_ÜRETİM_İHTİYAÇ_RAPORU_BURAK_YENI1309[[#This Row],[ALT_KOD]])-(SUMIFS(H:H,D:D,DST_123_ÜRETİM_İHTİYAÇ_RAPORU_BURAK_YENI1309[[#This Row],[ALT_KOD]])+AVERAGEIFS(I:I,D:D,DST_123_ÜRETİM_İHTİYAÇ_RAPORU_BURAK_YENI1309[[#This Row],[ALT_KOD]])+AVERAGEIFS(L:L,D:D,DST_123_ÜRETİM_İHTİYAÇ_RAPORU_BURAK_YENI1309[[#This Row],[ALT_KOD]]))</f>
        <v>-1296</v>
      </c>
      <c r="L241">
        <v>0</v>
      </c>
      <c r="M241">
        <f>IF((DST_123_ÜRETİM_İHTİYAÇ_RAPORU_BURAK_YENI1309[[#This Row],[SATINALMA]]*DST_123_ÜRETİM_İHTİYAÇ_RAPORU_BURAK_YENI1309[[#This Row],[BIRIM_FIYATLAR]])&lt;1,VALUE("0"),DST_123_ÜRETİM_İHTİYAÇ_RAPORU_BURAK_YENI1309[[#This Row],[SATINALMA]]*DST_123_ÜRETİM_İHTİYAÇ_RAPORU_BURAK_YENI1309[[#This Row],[BIRIM_FIYATLAR]])</f>
        <v>0</v>
      </c>
      <c r="N241">
        <v>0.6</v>
      </c>
      <c r="O241" t="s">
        <v>240</v>
      </c>
      <c r="P241">
        <v>2.4</v>
      </c>
      <c r="Q241" t="s">
        <v>180</v>
      </c>
    </row>
    <row r="242" spans="1:17" x14ac:dyDescent="0.25">
      <c r="A242" t="s">
        <v>1100</v>
      </c>
      <c r="B242" t="s">
        <v>1058</v>
      </c>
      <c r="C242" t="s">
        <v>175</v>
      </c>
      <c r="D242" t="s">
        <v>705</v>
      </c>
      <c r="E242" t="s">
        <v>706</v>
      </c>
      <c r="F242">
        <v>4</v>
      </c>
      <c r="G242" t="s">
        <v>176</v>
      </c>
      <c r="H242">
        <v>0</v>
      </c>
      <c r="I242">
        <v>1400</v>
      </c>
      <c r="J242" s="10">
        <v>602</v>
      </c>
      <c r="K242" s="10">
        <f>SUMIFS(F:F,D:D,DST_123_ÜRETİM_İHTİYAÇ_RAPORU_BURAK_YENI1309[[#This Row],[ALT_KOD]])-(SUMIFS(H:H,D:D,DST_123_ÜRETİM_İHTİYAÇ_RAPORU_BURAK_YENI1309[[#This Row],[ALT_KOD]])+AVERAGEIFS(I:I,D:D,DST_123_ÜRETİM_İHTİYAÇ_RAPORU_BURAK_YENI1309[[#This Row],[ALT_KOD]])+AVERAGEIFS(L:L,D:D,DST_123_ÜRETİM_İHTİYAÇ_RAPORU_BURAK_YENI1309[[#This Row],[ALT_KOD]]))</f>
        <v>-1296</v>
      </c>
      <c r="L242">
        <v>0</v>
      </c>
      <c r="M242">
        <f>IF((DST_123_ÜRETİM_İHTİYAÇ_RAPORU_BURAK_YENI1309[[#This Row],[SATINALMA]]*DST_123_ÜRETİM_İHTİYAÇ_RAPORU_BURAK_YENI1309[[#This Row],[BIRIM_FIYATLAR]])&lt;1,VALUE("0"),DST_123_ÜRETİM_İHTİYAÇ_RAPORU_BURAK_YENI1309[[#This Row],[SATINALMA]]*DST_123_ÜRETİM_İHTİYAÇ_RAPORU_BURAK_YENI1309[[#This Row],[BIRIM_FIYATLAR]])</f>
        <v>0</v>
      </c>
      <c r="N242">
        <v>0.6</v>
      </c>
      <c r="O242" t="s">
        <v>240</v>
      </c>
      <c r="P242">
        <v>2.4</v>
      </c>
      <c r="Q242" t="s">
        <v>180</v>
      </c>
    </row>
    <row r="243" spans="1:17" x14ac:dyDescent="0.25">
      <c r="A243" t="s">
        <v>1057</v>
      </c>
      <c r="B243" t="s">
        <v>1058</v>
      </c>
      <c r="C243" t="s">
        <v>175</v>
      </c>
      <c r="D243" t="s">
        <v>30</v>
      </c>
      <c r="E243" t="s">
        <v>31</v>
      </c>
      <c r="F243">
        <v>43</v>
      </c>
      <c r="G243" t="s">
        <v>176</v>
      </c>
      <c r="H243">
        <v>0</v>
      </c>
      <c r="I243">
        <v>4500</v>
      </c>
      <c r="J243" s="10">
        <v>2426</v>
      </c>
      <c r="K243" s="10">
        <f>SUMIFS(F:F,D:D,DST_123_ÜRETİM_İHTİYAÇ_RAPORU_BURAK_YENI1309[[#This Row],[ALT_KOD]])-(SUMIFS(H:H,D:D,DST_123_ÜRETİM_İHTİYAÇ_RAPORU_BURAK_YENI1309[[#This Row],[ALT_KOD]])+AVERAGEIFS(I:I,D:D,DST_123_ÜRETİM_İHTİYAÇ_RAPORU_BURAK_YENI1309[[#This Row],[ALT_KOD]])+AVERAGEIFS(L:L,D:D,DST_123_ÜRETİM_İHTİYAÇ_RAPORU_BURAK_YENI1309[[#This Row],[ALT_KOD]]))</f>
        <v>-3826</v>
      </c>
      <c r="L243">
        <v>0</v>
      </c>
      <c r="M243">
        <f>IF((DST_123_ÜRETİM_İHTİYAÇ_RAPORU_BURAK_YENI1309[[#This Row],[SATINALMA]]*DST_123_ÜRETİM_İHTİYAÇ_RAPORU_BURAK_YENI1309[[#This Row],[BIRIM_FIYATLAR]])&lt;1,VALUE("0"),DST_123_ÜRETİM_İHTİYAÇ_RAPORU_BURAK_YENI1309[[#This Row],[SATINALMA]]*DST_123_ÜRETİM_İHTİYAÇ_RAPORU_BURAK_YENI1309[[#This Row],[BIRIM_FIYATLAR]])</f>
        <v>0</v>
      </c>
      <c r="N243">
        <v>1</v>
      </c>
      <c r="P243">
        <v>43</v>
      </c>
      <c r="Q243" t="s">
        <v>180</v>
      </c>
    </row>
    <row r="244" spans="1:17" x14ac:dyDescent="0.25">
      <c r="A244" t="s">
        <v>1101</v>
      </c>
      <c r="B244" t="s">
        <v>1102</v>
      </c>
      <c r="C244" t="s">
        <v>175</v>
      </c>
      <c r="D244" t="s">
        <v>30</v>
      </c>
      <c r="E244" t="s">
        <v>31</v>
      </c>
      <c r="F244">
        <v>29</v>
      </c>
      <c r="G244" t="s">
        <v>176</v>
      </c>
      <c r="H244">
        <v>0</v>
      </c>
      <c r="I244">
        <v>4500</v>
      </c>
      <c r="J244" s="10">
        <v>2426</v>
      </c>
      <c r="K244" s="10">
        <f>SUMIFS(F:F,D:D,DST_123_ÜRETİM_İHTİYAÇ_RAPORU_BURAK_YENI1309[[#This Row],[ALT_KOD]])-(SUMIFS(H:H,D:D,DST_123_ÜRETİM_İHTİYAÇ_RAPORU_BURAK_YENI1309[[#This Row],[ALT_KOD]])+AVERAGEIFS(I:I,D:D,DST_123_ÜRETİM_İHTİYAÇ_RAPORU_BURAK_YENI1309[[#This Row],[ALT_KOD]])+AVERAGEIFS(L:L,D:D,DST_123_ÜRETİM_İHTİYAÇ_RAPORU_BURAK_YENI1309[[#This Row],[ALT_KOD]]))</f>
        <v>-3826</v>
      </c>
      <c r="L244">
        <v>0</v>
      </c>
      <c r="M244">
        <f>IF((DST_123_ÜRETİM_İHTİYAÇ_RAPORU_BURAK_YENI1309[[#This Row],[SATINALMA]]*DST_123_ÜRETİM_İHTİYAÇ_RAPORU_BURAK_YENI1309[[#This Row],[BIRIM_FIYATLAR]])&lt;1,VALUE("0"),DST_123_ÜRETİM_İHTİYAÇ_RAPORU_BURAK_YENI1309[[#This Row],[SATINALMA]]*DST_123_ÜRETİM_İHTİYAÇ_RAPORU_BURAK_YENI1309[[#This Row],[BIRIM_FIYATLAR]])</f>
        <v>0</v>
      </c>
      <c r="N244">
        <v>1</v>
      </c>
      <c r="P244">
        <v>29</v>
      </c>
      <c r="Q244" t="s">
        <v>180</v>
      </c>
    </row>
    <row r="245" spans="1:17" x14ac:dyDescent="0.25">
      <c r="A245" t="s">
        <v>1149</v>
      </c>
      <c r="B245" t="s">
        <v>1145</v>
      </c>
      <c r="C245" t="s">
        <v>175</v>
      </c>
      <c r="D245" t="s">
        <v>285</v>
      </c>
      <c r="E245" t="s">
        <v>286</v>
      </c>
      <c r="F245">
        <v>0.35</v>
      </c>
      <c r="G245" t="s">
        <v>185</v>
      </c>
      <c r="H245">
        <v>0</v>
      </c>
      <c r="I245">
        <v>0</v>
      </c>
      <c r="J245" s="10">
        <v>24.129999999999985</v>
      </c>
      <c r="K245" s="10">
        <f>SUMIFS(F:F,D:D,DST_123_ÜRETİM_İHTİYAÇ_RAPORU_BURAK_YENI1309[[#This Row],[ALT_KOD]])-(SUMIFS(H:H,D:D,DST_123_ÜRETİM_İHTİYAÇ_RAPORU_BURAK_YENI1309[[#This Row],[ALT_KOD]])+AVERAGEIFS(I:I,D:D,DST_123_ÜRETİM_İHTİYAÇ_RAPORU_BURAK_YENI1309[[#This Row],[ALT_KOD]])+AVERAGEIFS(L:L,D:D,DST_123_ÜRETİM_İHTİYAÇ_RAPORU_BURAK_YENI1309[[#This Row],[ALT_KOD]]))</f>
        <v>4.1899999999999995</v>
      </c>
      <c r="L245">
        <v>0</v>
      </c>
      <c r="M245">
        <f>IF((DST_123_ÜRETİM_İHTİYAÇ_RAPORU_BURAK_YENI1309[[#This Row],[SATINALMA]]*DST_123_ÜRETİM_İHTİYAÇ_RAPORU_BURAK_YENI1309[[#This Row],[BIRIM_FIYATLAR]])&lt;1,VALUE("0"),DST_123_ÜRETİM_İHTİYAÇ_RAPORU_BURAK_YENI1309[[#This Row],[SATINALMA]]*DST_123_ÜRETİM_İHTİYAÇ_RAPORU_BURAK_YENI1309[[#This Row],[BIRIM_FIYATLAR]])</f>
        <v>1667.7456999999997</v>
      </c>
      <c r="N245">
        <v>398.03</v>
      </c>
      <c r="O245" t="s">
        <v>490</v>
      </c>
      <c r="P245">
        <v>139.31049999999999</v>
      </c>
      <c r="Q245" t="s">
        <v>183</v>
      </c>
    </row>
    <row r="246" spans="1:17" x14ac:dyDescent="0.25">
      <c r="A246" t="s">
        <v>1149</v>
      </c>
      <c r="B246" t="s">
        <v>1145</v>
      </c>
      <c r="C246" t="s">
        <v>175</v>
      </c>
      <c r="D246" t="s">
        <v>68</v>
      </c>
      <c r="E246" t="s">
        <v>69</v>
      </c>
      <c r="F246">
        <v>8.5400000000000009</v>
      </c>
      <c r="G246" t="s">
        <v>185</v>
      </c>
      <c r="H246">
        <v>0</v>
      </c>
      <c r="I246">
        <v>134.9</v>
      </c>
      <c r="J246" s="10">
        <v>46.099999999999767</v>
      </c>
      <c r="K246" s="10">
        <f>SUMIFS(F:F,D:D,DST_123_ÜRETİM_İHTİYAÇ_RAPORU_BURAK_YENI1309[[#This Row],[ALT_KOD]])-(SUMIFS(H:H,D:D,DST_123_ÜRETİM_İHTİYAÇ_RAPORU_BURAK_YENI1309[[#This Row],[ALT_KOD]])+AVERAGEIFS(I:I,D:D,DST_123_ÜRETİM_İHTİYAÇ_RAPORU_BURAK_YENI1309[[#This Row],[ALT_KOD]])+AVERAGEIFS(L:L,D:D,DST_123_ÜRETİM_İHTİYAÇ_RAPORU_BURAK_YENI1309[[#This Row],[ALT_KOD]]))</f>
        <v>43.169999999999959</v>
      </c>
      <c r="L246">
        <v>0</v>
      </c>
      <c r="M246">
        <f>IF((DST_123_ÜRETİM_İHTİYAÇ_RAPORU_BURAK_YENI1309[[#This Row],[SATINALMA]]*DST_123_ÜRETİM_İHTİYAÇ_RAPORU_BURAK_YENI1309[[#This Row],[BIRIM_FIYATLAR]])&lt;1,VALUE("0"),DST_123_ÜRETİM_İHTİYAÇ_RAPORU_BURAK_YENI1309[[#This Row],[SATINALMA]]*DST_123_ÜRETİM_İHTİYAÇ_RAPORU_BURAK_YENI1309[[#This Row],[BIRIM_FIYATLAR]])</f>
        <v>4160.2928999999958</v>
      </c>
      <c r="N246">
        <v>96.37</v>
      </c>
      <c r="O246" t="s">
        <v>490</v>
      </c>
      <c r="P246">
        <v>822.99980000000016</v>
      </c>
      <c r="Q246" t="s">
        <v>183</v>
      </c>
    </row>
    <row r="247" spans="1:17" x14ac:dyDescent="0.25">
      <c r="A247" t="s">
        <v>1142</v>
      </c>
      <c r="B247" t="s">
        <v>1056</v>
      </c>
      <c r="C247" t="s">
        <v>175</v>
      </c>
      <c r="D247" t="s">
        <v>21</v>
      </c>
      <c r="E247" t="s">
        <v>22</v>
      </c>
      <c r="F247">
        <v>4</v>
      </c>
      <c r="G247" t="s">
        <v>179</v>
      </c>
      <c r="H247">
        <v>0</v>
      </c>
      <c r="I247">
        <v>100</v>
      </c>
      <c r="J247" s="10">
        <v>105.5</v>
      </c>
      <c r="K247" s="10">
        <f>SUMIFS(F:F,D:D,DST_123_ÜRETİM_İHTİYAÇ_RAPORU_BURAK_YENI1309[[#This Row],[ALT_KOD]])-(SUMIFS(H:H,D:D,DST_123_ÜRETİM_İHTİYAÇ_RAPORU_BURAK_YENI1309[[#This Row],[ALT_KOD]])+AVERAGEIFS(I:I,D:D,DST_123_ÜRETİM_İHTİYAÇ_RAPORU_BURAK_YENI1309[[#This Row],[ALT_KOD]])+AVERAGEIFS(L:L,D:D,DST_123_ÜRETİM_İHTİYAÇ_RAPORU_BURAK_YENI1309[[#This Row],[ALT_KOD]]))</f>
        <v>-8</v>
      </c>
      <c r="L247">
        <v>0</v>
      </c>
      <c r="M247">
        <f>IF((DST_123_ÜRETİM_İHTİYAÇ_RAPORU_BURAK_YENI1309[[#This Row],[SATINALMA]]*DST_123_ÜRETİM_İHTİYAÇ_RAPORU_BURAK_YENI1309[[#This Row],[BIRIM_FIYATLAR]])&lt;1,VALUE("0"),DST_123_ÜRETİM_İHTİYAÇ_RAPORU_BURAK_YENI1309[[#This Row],[SATINALMA]]*DST_123_ÜRETİM_İHTİYAÇ_RAPORU_BURAK_YENI1309[[#This Row],[BIRIM_FIYATLAR]])</f>
        <v>0</v>
      </c>
      <c r="N247">
        <v>131.25</v>
      </c>
      <c r="O247" t="s">
        <v>826</v>
      </c>
      <c r="P247">
        <v>525</v>
      </c>
      <c r="Q247" t="s">
        <v>221</v>
      </c>
    </row>
    <row r="248" spans="1:17" x14ac:dyDescent="0.25">
      <c r="A248" t="s">
        <v>1060</v>
      </c>
      <c r="B248" t="s">
        <v>1061</v>
      </c>
      <c r="C248" t="s">
        <v>175</v>
      </c>
      <c r="D248" t="s">
        <v>21</v>
      </c>
      <c r="E248" t="s">
        <v>22</v>
      </c>
      <c r="F248">
        <v>4</v>
      </c>
      <c r="G248" t="s">
        <v>179</v>
      </c>
      <c r="H248">
        <v>0</v>
      </c>
      <c r="I248">
        <v>100</v>
      </c>
      <c r="J248" s="10">
        <v>105.5</v>
      </c>
      <c r="K248" s="10">
        <f>SUMIFS(F:F,D:D,DST_123_ÜRETİM_İHTİYAÇ_RAPORU_BURAK_YENI1309[[#This Row],[ALT_KOD]])-(SUMIFS(H:H,D:D,DST_123_ÜRETİM_İHTİYAÇ_RAPORU_BURAK_YENI1309[[#This Row],[ALT_KOD]])+AVERAGEIFS(I:I,D:D,DST_123_ÜRETİM_İHTİYAÇ_RAPORU_BURAK_YENI1309[[#This Row],[ALT_KOD]])+AVERAGEIFS(L:L,D:D,DST_123_ÜRETİM_İHTİYAÇ_RAPORU_BURAK_YENI1309[[#This Row],[ALT_KOD]]))</f>
        <v>-8</v>
      </c>
      <c r="L248">
        <v>0</v>
      </c>
      <c r="M248">
        <f>IF((DST_123_ÜRETİM_İHTİYAÇ_RAPORU_BURAK_YENI1309[[#This Row],[SATINALMA]]*DST_123_ÜRETİM_İHTİYAÇ_RAPORU_BURAK_YENI1309[[#This Row],[BIRIM_FIYATLAR]])&lt;1,VALUE("0"),DST_123_ÜRETİM_İHTİYAÇ_RAPORU_BURAK_YENI1309[[#This Row],[SATINALMA]]*DST_123_ÜRETİM_İHTİYAÇ_RAPORU_BURAK_YENI1309[[#This Row],[BIRIM_FIYATLAR]])</f>
        <v>0</v>
      </c>
      <c r="N248">
        <v>131.25</v>
      </c>
      <c r="O248" t="s">
        <v>826</v>
      </c>
      <c r="P248">
        <v>525</v>
      </c>
      <c r="Q248" t="s">
        <v>221</v>
      </c>
    </row>
    <row r="249" spans="1:17" x14ac:dyDescent="0.25">
      <c r="A249" t="s">
        <v>1196</v>
      </c>
      <c r="B249" t="s">
        <v>1197</v>
      </c>
      <c r="C249" t="s">
        <v>175</v>
      </c>
      <c r="D249" t="s">
        <v>67</v>
      </c>
      <c r="E249" t="s">
        <v>585</v>
      </c>
      <c r="F249">
        <v>0.5</v>
      </c>
      <c r="G249" t="s">
        <v>176</v>
      </c>
      <c r="H249">
        <v>0</v>
      </c>
      <c r="I249">
        <v>13.5</v>
      </c>
      <c r="J249" s="10">
        <v>8.5</v>
      </c>
      <c r="K249" s="10">
        <f>SUMIFS(F:F,D:D,DST_123_ÜRETİM_İHTİYAÇ_RAPORU_BURAK_YENI1309[[#This Row],[ALT_KOD]])-(SUMIFS(H:H,D:D,DST_123_ÜRETİM_İHTİYAÇ_RAPORU_BURAK_YENI1309[[#This Row],[ALT_KOD]])+AVERAGEIFS(I:I,D:D,DST_123_ÜRETİM_İHTİYAÇ_RAPORU_BURAK_YENI1309[[#This Row],[ALT_KOD]])+AVERAGEIFS(L:L,D:D,DST_123_ÜRETİM_İHTİYAÇ_RAPORU_BURAK_YENI1309[[#This Row],[ALT_KOD]]))</f>
        <v>-5.3500000000000014</v>
      </c>
      <c r="L249">
        <v>0</v>
      </c>
      <c r="M249">
        <f>IF((DST_123_ÜRETİM_İHTİYAÇ_RAPORU_BURAK_YENI1309[[#This Row],[SATINALMA]]*DST_123_ÜRETİM_İHTİYAÇ_RAPORU_BURAK_YENI1309[[#This Row],[BIRIM_FIYATLAR]])&lt;1,VALUE("0"),DST_123_ÜRETİM_İHTİYAÇ_RAPORU_BURAK_YENI1309[[#This Row],[SATINALMA]]*DST_123_ÜRETİM_İHTİYAÇ_RAPORU_BURAK_YENI1309[[#This Row],[BIRIM_FIYATLAR]])</f>
        <v>0</v>
      </c>
      <c r="N249">
        <v>1600</v>
      </c>
      <c r="O249" t="s">
        <v>1053</v>
      </c>
      <c r="P249">
        <v>800</v>
      </c>
      <c r="Q249" t="s">
        <v>177</v>
      </c>
    </row>
    <row r="250" spans="1:17" x14ac:dyDescent="0.25">
      <c r="A250" t="s">
        <v>1099</v>
      </c>
      <c r="B250" t="s">
        <v>1055</v>
      </c>
      <c r="C250" t="s">
        <v>175</v>
      </c>
      <c r="D250" t="s">
        <v>67</v>
      </c>
      <c r="E250" t="s">
        <v>585</v>
      </c>
      <c r="F250">
        <v>0.5</v>
      </c>
      <c r="G250" t="s">
        <v>176</v>
      </c>
      <c r="H250">
        <v>0</v>
      </c>
      <c r="I250">
        <v>13.5</v>
      </c>
      <c r="J250" s="10">
        <v>8.5</v>
      </c>
      <c r="K250" s="10">
        <f>SUMIFS(F:F,D:D,DST_123_ÜRETİM_İHTİYAÇ_RAPORU_BURAK_YENI1309[[#This Row],[ALT_KOD]])-(SUMIFS(H:H,D:D,DST_123_ÜRETİM_İHTİYAÇ_RAPORU_BURAK_YENI1309[[#This Row],[ALT_KOD]])+AVERAGEIFS(I:I,D:D,DST_123_ÜRETİM_İHTİYAÇ_RAPORU_BURAK_YENI1309[[#This Row],[ALT_KOD]])+AVERAGEIFS(L:L,D:D,DST_123_ÜRETİM_İHTİYAÇ_RAPORU_BURAK_YENI1309[[#This Row],[ALT_KOD]]))</f>
        <v>-5.3500000000000014</v>
      </c>
      <c r="L250">
        <v>0</v>
      </c>
      <c r="M250">
        <f>IF((DST_123_ÜRETİM_İHTİYAÇ_RAPORU_BURAK_YENI1309[[#This Row],[SATINALMA]]*DST_123_ÜRETİM_İHTİYAÇ_RAPORU_BURAK_YENI1309[[#This Row],[BIRIM_FIYATLAR]])&lt;1,VALUE("0"),DST_123_ÜRETİM_İHTİYAÇ_RAPORU_BURAK_YENI1309[[#This Row],[SATINALMA]]*DST_123_ÜRETİM_İHTİYAÇ_RAPORU_BURAK_YENI1309[[#This Row],[BIRIM_FIYATLAR]])</f>
        <v>0</v>
      </c>
      <c r="N250">
        <v>1600</v>
      </c>
      <c r="O250" t="s">
        <v>1053</v>
      </c>
      <c r="P250">
        <v>800</v>
      </c>
      <c r="Q250" t="s">
        <v>177</v>
      </c>
    </row>
    <row r="251" spans="1:17" x14ac:dyDescent="0.25">
      <c r="A251" t="s">
        <v>1149</v>
      </c>
      <c r="B251" t="s">
        <v>1145</v>
      </c>
      <c r="C251" t="s">
        <v>175</v>
      </c>
      <c r="D251" t="s">
        <v>384</v>
      </c>
      <c r="E251" t="s">
        <v>385</v>
      </c>
      <c r="F251">
        <v>37</v>
      </c>
      <c r="G251" t="s">
        <v>176</v>
      </c>
      <c r="H251">
        <v>0</v>
      </c>
      <c r="I251">
        <v>495</v>
      </c>
      <c r="J251" s="10">
        <v>146</v>
      </c>
      <c r="K251" s="10">
        <f>SUMIFS(F:F,D:D,DST_123_ÜRETİM_İHTİYAÇ_RAPORU_BURAK_YENI1309[[#This Row],[ALT_KOD]])-(SUMIFS(H:H,D:D,DST_123_ÜRETİM_İHTİYAÇ_RAPORU_BURAK_YENI1309[[#This Row],[ALT_KOD]])+AVERAGEIFS(I:I,D:D,DST_123_ÜRETİM_İHTİYAÇ_RAPORU_BURAK_YENI1309[[#This Row],[ALT_KOD]])+AVERAGEIFS(L:L,D:D,DST_123_ÜRETİM_İHTİYAÇ_RAPORU_BURAK_YENI1309[[#This Row],[ALT_KOD]]))</f>
        <v>-22</v>
      </c>
      <c r="L251">
        <v>0</v>
      </c>
      <c r="M251">
        <f>IF((DST_123_ÜRETİM_İHTİYAÇ_RAPORU_BURAK_YENI1309[[#This Row],[SATINALMA]]*DST_123_ÜRETİM_İHTİYAÇ_RAPORU_BURAK_YENI1309[[#This Row],[BIRIM_FIYATLAR]])&lt;1,VALUE("0"),DST_123_ÜRETİM_İHTİYAÇ_RAPORU_BURAK_YENI1309[[#This Row],[SATINALMA]]*DST_123_ÜRETİM_İHTİYAÇ_RAPORU_BURAK_YENI1309[[#This Row],[BIRIM_FIYATLAR]])</f>
        <v>0</v>
      </c>
      <c r="N251">
        <v>3.75</v>
      </c>
      <c r="O251" t="s">
        <v>628</v>
      </c>
      <c r="P251">
        <v>138.75</v>
      </c>
      <c r="Q251" t="s">
        <v>180</v>
      </c>
    </row>
    <row r="252" spans="1:17" x14ac:dyDescent="0.25">
      <c r="A252" t="s">
        <v>1146</v>
      </c>
      <c r="B252" t="s">
        <v>1145</v>
      </c>
      <c r="C252" t="s">
        <v>175</v>
      </c>
      <c r="D252" t="s">
        <v>384</v>
      </c>
      <c r="E252" t="s">
        <v>385</v>
      </c>
      <c r="F252">
        <v>37</v>
      </c>
      <c r="G252" t="s">
        <v>176</v>
      </c>
      <c r="H252">
        <v>0</v>
      </c>
      <c r="I252">
        <v>495</v>
      </c>
      <c r="J252" s="10">
        <v>146</v>
      </c>
      <c r="K252" s="10">
        <f>SUMIFS(F:F,D:D,DST_123_ÜRETİM_İHTİYAÇ_RAPORU_BURAK_YENI1309[[#This Row],[ALT_KOD]])-(SUMIFS(H:H,D:D,DST_123_ÜRETİM_İHTİYAÇ_RAPORU_BURAK_YENI1309[[#This Row],[ALT_KOD]])+AVERAGEIFS(I:I,D:D,DST_123_ÜRETİM_İHTİYAÇ_RAPORU_BURAK_YENI1309[[#This Row],[ALT_KOD]])+AVERAGEIFS(L:L,D:D,DST_123_ÜRETİM_İHTİYAÇ_RAPORU_BURAK_YENI1309[[#This Row],[ALT_KOD]]))</f>
        <v>-22</v>
      </c>
      <c r="L252">
        <v>0</v>
      </c>
      <c r="M252">
        <f>IF((DST_123_ÜRETİM_İHTİYAÇ_RAPORU_BURAK_YENI1309[[#This Row],[SATINALMA]]*DST_123_ÜRETİM_İHTİYAÇ_RAPORU_BURAK_YENI1309[[#This Row],[BIRIM_FIYATLAR]])&lt;1,VALUE("0"),DST_123_ÜRETİM_İHTİYAÇ_RAPORU_BURAK_YENI1309[[#This Row],[SATINALMA]]*DST_123_ÜRETİM_İHTİYAÇ_RAPORU_BURAK_YENI1309[[#This Row],[BIRIM_FIYATLAR]])</f>
        <v>0</v>
      </c>
      <c r="N252">
        <v>3.75</v>
      </c>
      <c r="O252" t="s">
        <v>628</v>
      </c>
      <c r="P252">
        <v>138.75</v>
      </c>
      <c r="Q252" t="s">
        <v>180</v>
      </c>
    </row>
    <row r="253" spans="1:17" x14ac:dyDescent="0.25">
      <c r="A253" t="s">
        <v>1196</v>
      </c>
      <c r="B253" t="s">
        <v>1197</v>
      </c>
      <c r="C253" t="s">
        <v>197</v>
      </c>
      <c r="D253" t="s">
        <v>496</v>
      </c>
      <c r="E253" t="s">
        <v>497</v>
      </c>
      <c r="F253">
        <v>1</v>
      </c>
      <c r="G253" t="s">
        <v>176</v>
      </c>
      <c r="H253">
        <v>0</v>
      </c>
      <c r="I253">
        <v>2</v>
      </c>
      <c r="J253" s="10">
        <v>9</v>
      </c>
      <c r="K253" s="10">
        <f>SUMIFS(F:F,D:D,DST_123_ÜRETİM_İHTİYAÇ_RAPORU_BURAK_YENI1309[[#This Row],[ALT_KOD]])-(SUMIFS(H:H,D:D,DST_123_ÜRETİM_İHTİYAÇ_RAPORU_BURAK_YENI1309[[#This Row],[ALT_KOD]])+AVERAGEIFS(I:I,D:D,DST_123_ÜRETİM_İHTİYAÇ_RAPORU_BURAK_YENI1309[[#This Row],[ALT_KOD]])+AVERAGEIFS(L:L,D:D,DST_123_ÜRETİM_İHTİYAÇ_RAPORU_BURAK_YENI1309[[#This Row],[ALT_KOD]]))</f>
        <v>10</v>
      </c>
      <c r="L253">
        <v>0</v>
      </c>
      <c r="M253">
        <f>IF((DST_123_ÜRETİM_İHTİYAÇ_RAPORU_BURAK_YENI1309[[#This Row],[SATINALMA]]*DST_123_ÜRETİM_İHTİYAÇ_RAPORU_BURAK_YENI1309[[#This Row],[BIRIM_FIYATLAR]])&lt;1,VALUE("0"),DST_123_ÜRETİM_İHTİYAÇ_RAPORU_BURAK_YENI1309[[#This Row],[SATINALMA]]*DST_123_ÜRETİM_İHTİYAÇ_RAPORU_BURAK_YENI1309[[#This Row],[BIRIM_FIYATLAR]])</f>
        <v>0</v>
      </c>
      <c r="O253" t="s">
        <v>713</v>
      </c>
      <c r="Q253" t="s">
        <v>760</v>
      </c>
    </row>
    <row r="254" spans="1:17" x14ac:dyDescent="0.25">
      <c r="A254" t="s">
        <v>1196</v>
      </c>
      <c r="B254" t="s">
        <v>1197</v>
      </c>
      <c r="C254" t="s">
        <v>175</v>
      </c>
      <c r="D254" t="s">
        <v>416</v>
      </c>
      <c r="E254" t="s">
        <v>417</v>
      </c>
      <c r="F254">
        <v>30</v>
      </c>
      <c r="G254" t="s">
        <v>176</v>
      </c>
      <c r="H254">
        <v>0</v>
      </c>
      <c r="I254">
        <v>1000</v>
      </c>
      <c r="J254" s="10">
        <v>4807</v>
      </c>
      <c r="K254" s="10">
        <f>SUMIFS(F:F,D:D,DST_123_ÜRETİM_İHTİYAÇ_RAPORU_BURAK_YENI1309[[#This Row],[ALT_KOD]])-(SUMIFS(H:H,D:D,DST_123_ÜRETİM_İHTİYAÇ_RAPORU_BURAK_YENI1309[[#This Row],[ALT_KOD]])+AVERAGEIFS(I:I,D:D,DST_123_ÜRETİM_İHTİYAÇ_RAPORU_BURAK_YENI1309[[#This Row],[ALT_KOD]])+AVERAGEIFS(L:L,D:D,DST_123_ÜRETİM_İHTİYAÇ_RAPORU_BURAK_YENI1309[[#This Row],[ALT_KOD]]))</f>
        <v>-450</v>
      </c>
      <c r="L254">
        <v>0</v>
      </c>
      <c r="M254">
        <f>IF((DST_123_ÜRETİM_İHTİYAÇ_RAPORU_BURAK_YENI1309[[#This Row],[SATINALMA]]*DST_123_ÜRETİM_İHTİYAÇ_RAPORU_BURAK_YENI1309[[#This Row],[BIRIM_FIYATLAR]])&lt;1,VALUE("0"),DST_123_ÜRETİM_İHTİYAÇ_RAPORU_BURAK_YENI1309[[#This Row],[SATINALMA]]*DST_123_ÜRETİM_İHTİYAÇ_RAPORU_BURAK_YENI1309[[#This Row],[BIRIM_FIYATLAR]])</f>
        <v>0</v>
      </c>
      <c r="N254">
        <v>0.3</v>
      </c>
      <c r="O254" t="s">
        <v>628</v>
      </c>
      <c r="P254">
        <v>9</v>
      </c>
      <c r="Q254" t="s">
        <v>180</v>
      </c>
    </row>
    <row r="255" spans="1:17" x14ac:dyDescent="0.25">
      <c r="A255" t="s">
        <v>1099</v>
      </c>
      <c r="B255" t="s">
        <v>1055</v>
      </c>
      <c r="C255" t="s">
        <v>175</v>
      </c>
      <c r="D255" t="s">
        <v>416</v>
      </c>
      <c r="E255" t="s">
        <v>417</v>
      </c>
      <c r="F255">
        <v>33</v>
      </c>
      <c r="G255" t="s">
        <v>176</v>
      </c>
      <c r="H255">
        <v>0</v>
      </c>
      <c r="I255">
        <v>1000</v>
      </c>
      <c r="J255" s="10">
        <v>4807</v>
      </c>
      <c r="K255" s="10">
        <f>SUMIFS(F:F,D:D,DST_123_ÜRETİM_İHTİYAÇ_RAPORU_BURAK_YENI1309[[#This Row],[ALT_KOD]])-(SUMIFS(H:H,D:D,DST_123_ÜRETİM_İHTİYAÇ_RAPORU_BURAK_YENI1309[[#This Row],[ALT_KOD]])+AVERAGEIFS(I:I,D:D,DST_123_ÜRETİM_İHTİYAÇ_RAPORU_BURAK_YENI1309[[#This Row],[ALT_KOD]])+AVERAGEIFS(L:L,D:D,DST_123_ÜRETİM_İHTİYAÇ_RAPORU_BURAK_YENI1309[[#This Row],[ALT_KOD]]))</f>
        <v>-450</v>
      </c>
      <c r="L255">
        <v>0</v>
      </c>
      <c r="M255">
        <f>IF((DST_123_ÜRETİM_İHTİYAÇ_RAPORU_BURAK_YENI1309[[#This Row],[SATINALMA]]*DST_123_ÜRETİM_İHTİYAÇ_RAPORU_BURAK_YENI1309[[#This Row],[BIRIM_FIYATLAR]])&lt;1,VALUE("0"),DST_123_ÜRETİM_İHTİYAÇ_RAPORU_BURAK_YENI1309[[#This Row],[SATINALMA]]*DST_123_ÜRETİM_İHTİYAÇ_RAPORU_BURAK_YENI1309[[#This Row],[BIRIM_FIYATLAR]])</f>
        <v>0</v>
      </c>
      <c r="N255">
        <v>0.3</v>
      </c>
      <c r="O255" t="s">
        <v>628</v>
      </c>
      <c r="P255">
        <v>9.9</v>
      </c>
      <c r="Q255" t="s">
        <v>180</v>
      </c>
    </row>
    <row r="256" spans="1:17" x14ac:dyDescent="0.25">
      <c r="A256" t="s">
        <v>1098</v>
      </c>
      <c r="B256" t="s">
        <v>1096</v>
      </c>
      <c r="C256" t="s">
        <v>175</v>
      </c>
      <c r="D256" t="s">
        <v>658</v>
      </c>
      <c r="E256" t="s">
        <v>659</v>
      </c>
      <c r="F256">
        <v>1</v>
      </c>
      <c r="G256" t="s">
        <v>176</v>
      </c>
      <c r="H256">
        <v>0</v>
      </c>
      <c r="I256">
        <v>0</v>
      </c>
      <c r="J256" s="10">
        <v>65</v>
      </c>
      <c r="K256" s="10">
        <f>SUMIFS(F:F,D:D,DST_123_ÜRETİM_İHTİYAÇ_RAPORU_BURAK_YENI1309[[#This Row],[ALT_KOD]])-(SUMIFS(H:H,D:D,DST_123_ÜRETİM_İHTİYAÇ_RAPORU_BURAK_YENI1309[[#This Row],[ALT_KOD]])+AVERAGEIFS(I:I,D:D,DST_123_ÜRETİM_İHTİYAÇ_RAPORU_BURAK_YENI1309[[#This Row],[ALT_KOD]])+AVERAGEIFS(L:L,D:D,DST_123_ÜRETİM_İHTİYAÇ_RAPORU_BURAK_YENI1309[[#This Row],[ALT_KOD]]))</f>
        <v>-94</v>
      </c>
      <c r="L256">
        <v>100</v>
      </c>
      <c r="M256">
        <f>IF((DST_123_ÜRETİM_İHTİYAÇ_RAPORU_BURAK_YENI1309[[#This Row],[SATINALMA]]*DST_123_ÜRETİM_İHTİYAÇ_RAPORU_BURAK_YENI1309[[#This Row],[BIRIM_FIYATLAR]])&lt;1,VALUE("0"),DST_123_ÜRETİM_İHTİYAÇ_RAPORU_BURAK_YENI1309[[#This Row],[SATINALMA]]*DST_123_ÜRETİM_İHTİYAÇ_RAPORU_BURAK_YENI1309[[#This Row],[BIRIM_FIYATLAR]])</f>
        <v>0</v>
      </c>
      <c r="N256">
        <v>115</v>
      </c>
      <c r="O256" t="s">
        <v>240</v>
      </c>
      <c r="P256">
        <v>115</v>
      </c>
      <c r="Q256" t="s">
        <v>180</v>
      </c>
    </row>
    <row r="257" spans="1:17" x14ac:dyDescent="0.25">
      <c r="A257" t="s">
        <v>1149</v>
      </c>
      <c r="B257" t="s">
        <v>1145</v>
      </c>
      <c r="C257" t="s">
        <v>175</v>
      </c>
      <c r="D257" t="s">
        <v>416</v>
      </c>
      <c r="E257" t="s">
        <v>417</v>
      </c>
      <c r="F257">
        <v>30</v>
      </c>
      <c r="G257" t="s">
        <v>176</v>
      </c>
      <c r="H257">
        <v>0</v>
      </c>
      <c r="I257">
        <v>1000</v>
      </c>
      <c r="J257" s="10">
        <v>4807</v>
      </c>
      <c r="K257" s="10">
        <f>SUMIFS(F:F,D:D,DST_123_ÜRETİM_İHTİYAÇ_RAPORU_BURAK_YENI1309[[#This Row],[ALT_KOD]])-(SUMIFS(H:H,D:D,DST_123_ÜRETİM_İHTİYAÇ_RAPORU_BURAK_YENI1309[[#This Row],[ALT_KOD]])+AVERAGEIFS(I:I,D:D,DST_123_ÜRETİM_İHTİYAÇ_RAPORU_BURAK_YENI1309[[#This Row],[ALT_KOD]])+AVERAGEIFS(L:L,D:D,DST_123_ÜRETİM_İHTİYAÇ_RAPORU_BURAK_YENI1309[[#This Row],[ALT_KOD]]))</f>
        <v>-450</v>
      </c>
      <c r="L257">
        <v>0</v>
      </c>
      <c r="M257">
        <f>IF((DST_123_ÜRETİM_İHTİYAÇ_RAPORU_BURAK_YENI1309[[#This Row],[SATINALMA]]*DST_123_ÜRETİM_İHTİYAÇ_RAPORU_BURAK_YENI1309[[#This Row],[BIRIM_FIYATLAR]])&lt;1,VALUE("0"),DST_123_ÜRETİM_İHTİYAÇ_RAPORU_BURAK_YENI1309[[#This Row],[SATINALMA]]*DST_123_ÜRETİM_İHTİYAÇ_RAPORU_BURAK_YENI1309[[#This Row],[BIRIM_FIYATLAR]])</f>
        <v>0</v>
      </c>
      <c r="N257">
        <v>0.3</v>
      </c>
      <c r="O257" t="s">
        <v>628</v>
      </c>
      <c r="P257">
        <v>9</v>
      </c>
      <c r="Q257" t="s">
        <v>180</v>
      </c>
    </row>
    <row r="258" spans="1:17" x14ac:dyDescent="0.25">
      <c r="A258" t="s">
        <v>1064</v>
      </c>
      <c r="B258" t="s">
        <v>1055</v>
      </c>
      <c r="C258" t="s">
        <v>197</v>
      </c>
      <c r="D258" t="s">
        <v>496</v>
      </c>
      <c r="E258" t="s">
        <v>497</v>
      </c>
      <c r="F258">
        <v>1</v>
      </c>
      <c r="G258" t="s">
        <v>176</v>
      </c>
      <c r="H258">
        <v>1</v>
      </c>
      <c r="I258">
        <v>2</v>
      </c>
      <c r="J258" s="10">
        <v>9</v>
      </c>
      <c r="K258" s="10">
        <f>SUMIFS(F:F,D:D,DST_123_ÜRETİM_İHTİYAÇ_RAPORU_BURAK_YENI1309[[#This Row],[ALT_KOD]])-(SUMIFS(H:H,D:D,DST_123_ÜRETİM_İHTİYAÇ_RAPORU_BURAK_YENI1309[[#This Row],[ALT_KOD]])+AVERAGEIFS(I:I,D:D,DST_123_ÜRETİM_İHTİYAÇ_RAPORU_BURAK_YENI1309[[#This Row],[ALT_KOD]])+AVERAGEIFS(L:L,D:D,DST_123_ÜRETİM_İHTİYAÇ_RAPORU_BURAK_YENI1309[[#This Row],[ALT_KOD]]))</f>
        <v>10</v>
      </c>
      <c r="L258">
        <v>0</v>
      </c>
      <c r="M258">
        <f>IF((DST_123_ÜRETİM_İHTİYAÇ_RAPORU_BURAK_YENI1309[[#This Row],[SATINALMA]]*DST_123_ÜRETİM_İHTİYAÇ_RAPORU_BURAK_YENI1309[[#This Row],[BIRIM_FIYATLAR]])&lt;1,VALUE("0"),DST_123_ÜRETİM_İHTİYAÇ_RAPORU_BURAK_YENI1309[[#This Row],[SATINALMA]]*DST_123_ÜRETİM_İHTİYAÇ_RAPORU_BURAK_YENI1309[[#This Row],[BIRIM_FIYATLAR]])</f>
        <v>0</v>
      </c>
      <c r="O258" t="s">
        <v>713</v>
      </c>
      <c r="Q258" t="s">
        <v>760</v>
      </c>
    </row>
    <row r="259" spans="1:17" x14ac:dyDescent="0.25">
      <c r="A259" t="s">
        <v>1099</v>
      </c>
      <c r="B259" t="s">
        <v>1055</v>
      </c>
      <c r="C259" t="s">
        <v>197</v>
      </c>
      <c r="D259" t="s">
        <v>496</v>
      </c>
      <c r="E259" t="s">
        <v>497</v>
      </c>
      <c r="F259">
        <v>1</v>
      </c>
      <c r="G259" t="s">
        <v>176</v>
      </c>
      <c r="H259">
        <v>0</v>
      </c>
      <c r="I259">
        <v>2</v>
      </c>
      <c r="J259" s="10">
        <v>9</v>
      </c>
      <c r="K259" s="10">
        <f>SUMIFS(F:F,D:D,DST_123_ÜRETİM_İHTİYAÇ_RAPORU_BURAK_YENI1309[[#This Row],[ALT_KOD]])-(SUMIFS(H:H,D:D,DST_123_ÜRETİM_İHTİYAÇ_RAPORU_BURAK_YENI1309[[#This Row],[ALT_KOD]])+AVERAGEIFS(I:I,D:D,DST_123_ÜRETİM_İHTİYAÇ_RAPORU_BURAK_YENI1309[[#This Row],[ALT_KOD]])+AVERAGEIFS(L:L,D:D,DST_123_ÜRETİM_İHTİYAÇ_RAPORU_BURAK_YENI1309[[#This Row],[ALT_KOD]]))</f>
        <v>10</v>
      </c>
      <c r="L259">
        <v>0</v>
      </c>
      <c r="M259">
        <f>IF((DST_123_ÜRETİM_İHTİYAÇ_RAPORU_BURAK_YENI1309[[#This Row],[SATINALMA]]*DST_123_ÜRETİM_İHTİYAÇ_RAPORU_BURAK_YENI1309[[#This Row],[BIRIM_FIYATLAR]])&lt;1,VALUE("0"),DST_123_ÜRETİM_İHTİYAÇ_RAPORU_BURAK_YENI1309[[#This Row],[SATINALMA]]*DST_123_ÜRETİM_İHTİYAÇ_RAPORU_BURAK_YENI1309[[#This Row],[BIRIM_FIYATLAR]])</f>
        <v>0</v>
      </c>
      <c r="O259" t="s">
        <v>713</v>
      </c>
      <c r="Q259" t="s">
        <v>760</v>
      </c>
    </row>
    <row r="260" spans="1:17" x14ac:dyDescent="0.25">
      <c r="A260" t="s">
        <v>1064</v>
      </c>
      <c r="B260" t="s">
        <v>1055</v>
      </c>
      <c r="C260" t="s">
        <v>175</v>
      </c>
      <c r="D260" t="s">
        <v>416</v>
      </c>
      <c r="E260" t="s">
        <v>417</v>
      </c>
      <c r="F260">
        <v>45</v>
      </c>
      <c r="G260" t="s">
        <v>176</v>
      </c>
      <c r="H260">
        <v>0</v>
      </c>
      <c r="I260">
        <v>1000</v>
      </c>
      <c r="J260" s="10">
        <v>4807</v>
      </c>
      <c r="K260" s="10">
        <f>SUMIFS(F:F,D:D,DST_123_ÜRETİM_İHTİYAÇ_RAPORU_BURAK_YENI1309[[#This Row],[ALT_KOD]])-(SUMIFS(H:H,D:D,DST_123_ÜRETİM_İHTİYAÇ_RAPORU_BURAK_YENI1309[[#This Row],[ALT_KOD]])+AVERAGEIFS(I:I,D:D,DST_123_ÜRETİM_İHTİYAÇ_RAPORU_BURAK_YENI1309[[#This Row],[ALT_KOD]])+AVERAGEIFS(L:L,D:D,DST_123_ÜRETİM_İHTİYAÇ_RAPORU_BURAK_YENI1309[[#This Row],[ALT_KOD]]))</f>
        <v>-450</v>
      </c>
      <c r="L260">
        <v>0</v>
      </c>
      <c r="M260">
        <f>IF((DST_123_ÜRETİM_İHTİYAÇ_RAPORU_BURAK_YENI1309[[#This Row],[SATINALMA]]*DST_123_ÜRETİM_İHTİYAÇ_RAPORU_BURAK_YENI1309[[#This Row],[BIRIM_FIYATLAR]])&lt;1,VALUE("0"),DST_123_ÜRETİM_İHTİYAÇ_RAPORU_BURAK_YENI1309[[#This Row],[SATINALMA]]*DST_123_ÜRETİM_İHTİYAÇ_RAPORU_BURAK_YENI1309[[#This Row],[BIRIM_FIYATLAR]])</f>
        <v>0</v>
      </c>
      <c r="N260">
        <v>0.3</v>
      </c>
      <c r="O260" t="s">
        <v>628</v>
      </c>
      <c r="P260">
        <v>13.5</v>
      </c>
      <c r="Q260" t="s">
        <v>180</v>
      </c>
    </row>
    <row r="261" spans="1:17" x14ac:dyDescent="0.25">
      <c r="A261" t="s">
        <v>1099</v>
      </c>
      <c r="B261" t="s">
        <v>1055</v>
      </c>
      <c r="C261" t="s">
        <v>175</v>
      </c>
      <c r="D261" t="s">
        <v>658</v>
      </c>
      <c r="E261" t="s">
        <v>659</v>
      </c>
      <c r="F261">
        <v>1</v>
      </c>
      <c r="G261" t="s">
        <v>176</v>
      </c>
      <c r="H261">
        <v>0</v>
      </c>
      <c r="I261">
        <v>0</v>
      </c>
      <c r="J261" s="10">
        <v>65</v>
      </c>
      <c r="K261" s="10">
        <f>SUMIFS(F:F,D:D,DST_123_ÜRETİM_İHTİYAÇ_RAPORU_BURAK_YENI1309[[#This Row],[ALT_KOD]])-(SUMIFS(H:H,D:D,DST_123_ÜRETİM_İHTİYAÇ_RAPORU_BURAK_YENI1309[[#This Row],[ALT_KOD]])+AVERAGEIFS(I:I,D:D,DST_123_ÜRETİM_İHTİYAÇ_RAPORU_BURAK_YENI1309[[#This Row],[ALT_KOD]])+AVERAGEIFS(L:L,D:D,DST_123_ÜRETİM_İHTİYAÇ_RAPORU_BURAK_YENI1309[[#This Row],[ALT_KOD]]))</f>
        <v>-94</v>
      </c>
      <c r="L261">
        <v>100</v>
      </c>
      <c r="M261">
        <f>IF((DST_123_ÜRETİM_İHTİYAÇ_RAPORU_BURAK_YENI1309[[#This Row],[SATINALMA]]*DST_123_ÜRETİM_İHTİYAÇ_RAPORU_BURAK_YENI1309[[#This Row],[BIRIM_FIYATLAR]])&lt;1,VALUE("0"),DST_123_ÜRETİM_İHTİYAÇ_RAPORU_BURAK_YENI1309[[#This Row],[SATINALMA]]*DST_123_ÜRETİM_İHTİYAÇ_RAPORU_BURAK_YENI1309[[#This Row],[BIRIM_FIYATLAR]])</f>
        <v>0</v>
      </c>
      <c r="N261">
        <v>115</v>
      </c>
      <c r="O261" t="s">
        <v>240</v>
      </c>
      <c r="P261">
        <v>115</v>
      </c>
      <c r="Q261" t="s">
        <v>180</v>
      </c>
    </row>
    <row r="262" spans="1:17" x14ac:dyDescent="0.25">
      <c r="A262" t="s">
        <v>1149</v>
      </c>
      <c r="B262" t="s">
        <v>1145</v>
      </c>
      <c r="C262" t="s">
        <v>197</v>
      </c>
      <c r="D262" t="s">
        <v>496</v>
      </c>
      <c r="E262" t="s">
        <v>497</v>
      </c>
      <c r="F262">
        <v>1</v>
      </c>
      <c r="G262" t="s">
        <v>176</v>
      </c>
      <c r="H262">
        <v>0</v>
      </c>
      <c r="I262">
        <v>2</v>
      </c>
      <c r="J262" s="10">
        <v>9</v>
      </c>
      <c r="K262" s="10">
        <f>SUMIFS(F:F,D:D,DST_123_ÜRETİM_İHTİYAÇ_RAPORU_BURAK_YENI1309[[#This Row],[ALT_KOD]])-(SUMIFS(H:H,D:D,DST_123_ÜRETİM_İHTİYAÇ_RAPORU_BURAK_YENI1309[[#This Row],[ALT_KOD]])+AVERAGEIFS(I:I,D:D,DST_123_ÜRETİM_İHTİYAÇ_RAPORU_BURAK_YENI1309[[#This Row],[ALT_KOD]])+AVERAGEIFS(L:L,D:D,DST_123_ÜRETİM_İHTİYAÇ_RAPORU_BURAK_YENI1309[[#This Row],[ALT_KOD]]))</f>
        <v>10</v>
      </c>
      <c r="L262">
        <v>0</v>
      </c>
      <c r="M262">
        <f>IF((DST_123_ÜRETİM_İHTİYAÇ_RAPORU_BURAK_YENI1309[[#This Row],[SATINALMA]]*DST_123_ÜRETİM_İHTİYAÇ_RAPORU_BURAK_YENI1309[[#This Row],[BIRIM_FIYATLAR]])&lt;1,VALUE("0"),DST_123_ÜRETİM_İHTİYAÇ_RAPORU_BURAK_YENI1309[[#This Row],[SATINALMA]]*DST_123_ÜRETİM_İHTİYAÇ_RAPORU_BURAK_YENI1309[[#This Row],[BIRIM_FIYATLAR]])</f>
        <v>0</v>
      </c>
      <c r="O262" t="s">
        <v>713</v>
      </c>
      <c r="Q262" t="s">
        <v>760</v>
      </c>
    </row>
    <row r="263" spans="1:17" x14ac:dyDescent="0.25">
      <c r="A263" t="s">
        <v>1144</v>
      </c>
      <c r="B263" t="s">
        <v>1145</v>
      </c>
      <c r="C263" t="s">
        <v>197</v>
      </c>
      <c r="D263" t="s">
        <v>496</v>
      </c>
      <c r="E263" t="s">
        <v>497</v>
      </c>
      <c r="F263">
        <v>1</v>
      </c>
      <c r="G263" t="s">
        <v>176</v>
      </c>
      <c r="H263">
        <v>0</v>
      </c>
      <c r="I263">
        <v>2</v>
      </c>
      <c r="J263" s="10">
        <v>9</v>
      </c>
      <c r="K263" s="10">
        <f>SUMIFS(F:F,D:D,DST_123_ÜRETİM_İHTİYAÇ_RAPORU_BURAK_YENI1309[[#This Row],[ALT_KOD]])-(SUMIFS(H:H,D:D,DST_123_ÜRETİM_İHTİYAÇ_RAPORU_BURAK_YENI1309[[#This Row],[ALT_KOD]])+AVERAGEIFS(I:I,D:D,DST_123_ÜRETİM_İHTİYAÇ_RAPORU_BURAK_YENI1309[[#This Row],[ALT_KOD]])+AVERAGEIFS(L:L,D:D,DST_123_ÜRETİM_İHTİYAÇ_RAPORU_BURAK_YENI1309[[#This Row],[ALT_KOD]]))</f>
        <v>10</v>
      </c>
      <c r="L263">
        <v>0</v>
      </c>
      <c r="M263">
        <f>IF((DST_123_ÜRETİM_İHTİYAÇ_RAPORU_BURAK_YENI1309[[#This Row],[SATINALMA]]*DST_123_ÜRETİM_İHTİYAÇ_RAPORU_BURAK_YENI1309[[#This Row],[BIRIM_FIYATLAR]])&lt;1,VALUE("0"),DST_123_ÜRETİM_İHTİYAÇ_RAPORU_BURAK_YENI1309[[#This Row],[SATINALMA]]*DST_123_ÜRETİM_İHTİYAÇ_RAPORU_BURAK_YENI1309[[#This Row],[BIRIM_FIYATLAR]])</f>
        <v>0</v>
      </c>
      <c r="O263" t="s">
        <v>713</v>
      </c>
      <c r="Q263" t="s">
        <v>760</v>
      </c>
    </row>
    <row r="264" spans="1:17" x14ac:dyDescent="0.25">
      <c r="A264" t="s">
        <v>1146</v>
      </c>
      <c r="B264" t="s">
        <v>1145</v>
      </c>
      <c r="C264" t="s">
        <v>197</v>
      </c>
      <c r="D264" t="s">
        <v>496</v>
      </c>
      <c r="E264" t="s">
        <v>497</v>
      </c>
      <c r="F264">
        <v>1</v>
      </c>
      <c r="G264" t="s">
        <v>176</v>
      </c>
      <c r="H264">
        <v>0</v>
      </c>
      <c r="I264">
        <v>2</v>
      </c>
      <c r="J264" s="10">
        <v>9</v>
      </c>
      <c r="K264" s="10">
        <f>SUMIFS(F:F,D:D,DST_123_ÜRETİM_İHTİYAÇ_RAPORU_BURAK_YENI1309[[#This Row],[ALT_KOD]])-(SUMIFS(H:H,D:D,DST_123_ÜRETİM_İHTİYAÇ_RAPORU_BURAK_YENI1309[[#This Row],[ALT_KOD]])+AVERAGEIFS(I:I,D:D,DST_123_ÜRETİM_İHTİYAÇ_RAPORU_BURAK_YENI1309[[#This Row],[ALT_KOD]])+AVERAGEIFS(L:L,D:D,DST_123_ÜRETİM_İHTİYAÇ_RAPORU_BURAK_YENI1309[[#This Row],[ALT_KOD]]))</f>
        <v>10</v>
      </c>
      <c r="L264">
        <v>0</v>
      </c>
      <c r="M264">
        <f>IF((DST_123_ÜRETİM_İHTİYAÇ_RAPORU_BURAK_YENI1309[[#This Row],[SATINALMA]]*DST_123_ÜRETİM_İHTİYAÇ_RAPORU_BURAK_YENI1309[[#This Row],[BIRIM_FIYATLAR]])&lt;1,VALUE("0"),DST_123_ÜRETİM_İHTİYAÇ_RAPORU_BURAK_YENI1309[[#This Row],[SATINALMA]]*DST_123_ÜRETİM_İHTİYAÇ_RAPORU_BURAK_YENI1309[[#This Row],[BIRIM_FIYATLAR]])</f>
        <v>0</v>
      </c>
      <c r="O264" t="s">
        <v>713</v>
      </c>
      <c r="Q264" t="s">
        <v>760</v>
      </c>
    </row>
    <row r="265" spans="1:17" x14ac:dyDescent="0.25">
      <c r="A265" t="s">
        <v>1146</v>
      </c>
      <c r="B265" t="s">
        <v>1145</v>
      </c>
      <c r="C265" t="s">
        <v>175</v>
      </c>
      <c r="D265" t="s">
        <v>416</v>
      </c>
      <c r="E265" t="s">
        <v>417</v>
      </c>
      <c r="F265">
        <v>30</v>
      </c>
      <c r="G265" t="s">
        <v>176</v>
      </c>
      <c r="H265">
        <v>0</v>
      </c>
      <c r="I265">
        <v>1000</v>
      </c>
      <c r="J265" s="10">
        <v>4807</v>
      </c>
      <c r="K265" s="10">
        <f>SUMIFS(F:F,D:D,DST_123_ÜRETİM_İHTİYAÇ_RAPORU_BURAK_YENI1309[[#This Row],[ALT_KOD]])-(SUMIFS(H:H,D:D,DST_123_ÜRETİM_İHTİYAÇ_RAPORU_BURAK_YENI1309[[#This Row],[ALT_KOD]])+AVERAGEIFS(I:I,D:D,DST_123_ÜRETİM_İHTİYAÇ_RAPORU_BURAK_YENI1309[[#This Row],[ALT_KOD]])+AVERAGEIFS(L:L,D:D,DST_123_ÜRETİM_İHTİYAÇ_RAPORU_BURAK_YENI1309[[#This Row],[ALT_KOD]]))</f>
        <v>-450</v>
      </c>
      <c r="L265">
        <v>0</v>
      </c>
      <c r="M265">
        <f>IF((DST_123_ÜRETİM_İHTİYAÇ_RAPORU_BURAK_YENI1309[[#This Row],[SATINALMA]]*DST_123_ÜRETİM_İHTİYAÇ_RAPORU_BURAK_YENI1309[[#This Row],[BIRIM_FIYATLAR]])&lt;1,VALUE("0"),DST_123_ÜRETİM_İHTİYAÇ_RAPORU_BURAK_YENI1309[[#This Row],[SATINALMA]]*DST_123_ÜRETİM_İHTİYAÇ_RAPORU_BURAK_YENI1309[[#This Row],[BIRIM_FIYATLAR]])</f>
        <v>0</v>
      </c>
      <c r="N265">
        <v>0.3</v>
      </c>
      <c r="O265" t="s">
        <v>628</v>
      </c>
      <c r="P265">
        <v>9</v>
      </c>
      <c r="Q265" t="s">
        <v>180</v>
      </c>
    </row>
    <row r="266" spans="1:17" x14ac:dyDescent="0.25">
      <c r="A266" t="s">
        <v>1144</v>
      </c>
      <c r="B266" t="s">
        <v>1145</v>
      </c>
      <c r="C266" t="s">
        <v>175</v>
      </c>
      <c r="D266" t="s">
        <v>416</v>
      </c>
      <c r="E266" t="s">
        <v>417</v>
      </c>
      <c r="F266">
        <v>30</v>
      </c>
      <c r="G266" t="s">
        <v>176</v>
      </c>
      <c r="H266">
        <v>0</v>
      </c>
      <c r="I266">
        <v>1000</v>
      </c>
      <c r="J266" s="10">
        <v>4807</v>
      </c>
      <c r="K266" s="10">
        <f>SUMIFS(F:F,D:D,DST_123_ÜRETİM_İHTİYAÇ_RAPORU_BURAK_YENI1309[[#This Row],[ALT_KOD]])-(SUMIFS(H:H,D:D,DST_123_ÜRETİM_İHTİYAÇ_RAPORU_BURAK_YENI1309[[#This Row],[ALT_KOD]])+AVERAGEIFS(I:I,D:D,DST_123_ÜRETİM_İHTİYAÇ_RAPORU_BURAK_YENI1309[[#This Row],[ALT_KOD]])+AVERAGEIFS(L:L,D:D,DST_123_ÜRETİM_İHTİYAÇ_RAPORU_BURAK_YENI1309[[#This Row],[ALT_KOD]]))</f>
        <v>-450</v>
      </c>
      <c r="L266">
        <v>0</v>
      </c>
      <c r="M266">
        <f>IF((DST_123_ÜRETİM_İHTİYAÇ_RAPORU_BURAK_YENI1309[[#This Row],[SATINALMA]]*DST_123_ÜRETİM_İHTİYAÇ_RAPORU_BURAK_YENI1309[[#This Row],[BIRIM_FIYATLAR]])&lt;1,VALUE("0"),DST_123_ÜRETİM_İHTİYAÇ_RAPORU_BURAK_YENI1309[[#This Row],[SATINALMA]]*DST_123_ÜRETİM_İHTİYAÇ_RAPORU_BURAK_YENI1309[[#This Row],[BIRIM_FIYATLAR]])</f>
        <v>0</v>
      </c>
      <c r="N266">
        <v>0.3</v>
      </c>
      <c r="O266" t="s">
        <v>628</v>
      </c>
      <c r="P266">
        <v>9</v>
      </c>
      <c r="Q266" t="s">
        <v>180</v>
      </c>
    </row>
    <row r="267" spans="1:17" x14ac:dyDescent="0.25">
      <c r="A267" t="s">
        <v>1098</v>
      </c>
      <c r="B267" t="s">
        <v>1096</v>
      </c>
      <c r="C267" t="s">
        <v>175</v>
      </c>
      <c r="D267" t="s">
        <v>416</v>
      </c>
      <c r="E267" t="s">
        <v>417</v>
      </c>
      <c r="F267">
        <v>21</v>
      </c>
      <c r="G267" t="s">
        <v>176</v>
      </c>
      <c r="H267">
        <v>0</v>
      </c>
      <c r="I267">
        <v>1000</v>
      </c>
      <c r="J267" s="10">
        <v>4807</v>
      </c>
      <c r="K267" s="10">
        <f>SUMIFS(F:F,D:D,DST_123_ÜRETİM_İHTİYAÇ_RAPORU_BURAK_YENI1309[[#This Row],[ALT_KOD]])-(SUMIFS(H:H,D:D,DST_123_ÜRETİM_İHTİYAÇ_RAPORU_BURAK_YENI1309[[#This Row],[ALT_KOD]])+AVERAGEIFS(I:I,D:D,DST_123_ÜRETİM_İHTİYAÇ_RAPORU_BURAK_YENI1309[[#This Row],[ALT_KOD]])+AVERAGEIFS(L:L,D:D,DST_123_ÜRETİM_İHTİYAÇ_RAPORU_BURAK_YENI1309[[#This Row],[ALT_KOD]]))</f>
        <v>-450</v>
      </c>
      <c r="L267">
        <v>0</v>
      </c>
      <c r="M267">
        <f>IF((DST_123_ÜRETİM_İHTİYAÇ_RAPORU_BURAK_YENI1309[[#This Row],[SATINALMA]]*DST_123_ÜRETİM_İHTİYAÇ_RAPORU_BURAK_YENI1309[[#This Row],[BIRIM_FIYATLAR]])&lt;1,VALUE("0"),DST_123_ÜRETİM_İHTİYAÇ_RAPORU_BURAK_YENI1309[[#This Row],[SATINALMA]]*DST_123_ÜRETİM_İHTİYAÇ_RAPORU_BURAK_YENI1309[[#This Row],[BIRIM_FIYATLAR]])</f>
        <v>0</v>
      </c>
      <c r="N267">
        <v>0.3</v>
      </c>
      <c r="O267" t="s">
        <v>628</v>
      </c>
      <c r="P267">
        <v>6.3</v>
      </c>
      <c r="Q267" t="s">
        <v>180</v>
      </c>
    </row>
    <row r="268" spans="1:17" x14ac:dyDescent="0.25">
      <c r="A268" t="s">
        <v>1098</v>
      </c>
      <c r="B268" t="s">
        <v>1096</v>
      </c>
      <c r="C268" t="s">
        <v>197</v>
      </c>
      <c r="D268" t="s">
        <v>496</v>
      </c>
      <c r="E268" t="s">
        <v>497</v>
      </c>
      <c r="F268">
        <v>1</v>
      </c>
      <c r="G268" t="s">
        <v>176</v>
      </c>
      <c r="H268">
        <v>0</v>
      </c>
      <c r="I268">
        <v>2</v>
      </c>
      <c r="J268" s="10">
        <v>9</v>
      </c>
      <c r="K268" s="10">
        <f>SUMIFS(F:F,D:D,DST_123_ÜRETİM_İHTİYAÇ_RAPORU_BURAK_YENI1309[[#This Row],[ALT_KOD]])-(SUMIFS(H:H,D:D,DST_123_ÜRETİM_İHTİYAÇ_RAPORU_BURAK_YENI1309[[#This Row],[ALT_KOD]])+AVERAGEIFS(I:I,D:D,DST_123_ÜRETİM_İHTİYAÇ_RAPORU_BURAK_YENI1309[[#This Row],[ALT_KOD]])+AVERAGEIFS(L:L,D:D,DST_123_ÜRETİM_İHTİYAÇ_RAPORU_BURAK_YENI1309[[#This Row],[ALT_KOD]]))</f>
        <v>10</v>
      </c>
      <c r="L268">
        <v>0</v>
      </c>
      <c r="M268">
        <f>IF((DST_123_ÜRETİM_İHTİYAÇ_RAPORU_BURAK_YENI1309[[#This Row],[SATINALMA]]*DST_123_ÜRETİM_İHTİYAÇ_RAPORU_BURAK_YENI1309[[#This Row],[BIRIM_FIYATLAR]])&lt;1,VALUE("0"),DST_123_ÜRETİM_İHTİYAÇ_RAPORU_BURAK_YENI1309[[#This Row],[SATINALMA]]*DST_123_ÜRETİM_İHTİYAÇ_RAPORU_BURAK_YENI1309[[#This Row],[BIRIM_FIYATLAR]])</f>
        <v>0</v>
      </c>
      <c r="O268" t="s">
        <v>713</v>
      </c>
      <c r="Q268" t="s">
        <v>760</v>
      </c>
    </row>
    <row r="269" spans="1:17" x14ac:dyDescent="0.25">
      <c r="A269" t="s">
        <v>1098</v>
      </c>
      <c r="B269" t="s">
        <v>1096</v>
      </c>
      <c r="C269" t="s">
        <v>175</v>
      </c>
      <c r="D269" t="s">
        <v>534</v>
      </c>
      <c r="E269" t="s">
        <v>535</v>
      </c>
      <c r="F269">
        <v>4</v>
      </c>
      <c r="G269" t="s">
        <v>176</v>
      </c>
      <c r="H269">
        <v>0</v>
      </c>
      <c r="I269">
        <v>212</v>
      </c>
      <c r="J269" s="10">
        <v>625</v>
      </c>
      <c r="K269" s="10">
        <f>SUMIFS(F:F,D:D,DST_123_ÜRETİM_İHTİYAÇ_RAPORU_BURAK_YENI1309[[#This Row],[ALT_KOD]])-(SUMIFS(H:H,D:D,DST_123_ÜRETİM_İHTİYAÇ_RAPORU_BURAK_YENI1309[[#This Row],[ALT_KOD]])+AVERAGEIFS(I:I,D:D,DST_123_ÜRETİM_İHTİYAÇ_RAPORU_BURAK_YENI1309[[#This Row],[ALT_KOD]])+AVERAGEIFS(L:L,D:D,DST_123_ÜRETİM_İHTİYAÇ_RAPORU_BURAK_YENI1309[[#This Row],[ALT_KOD]]))</f>
        <v>-146</v>
      </c>
      <c r="L269">
        <v>0</v>
      </c>
      <c r="M269">
        <f>IF((DST_123_ÜRETİM_İHTİYAÇ_RAPORU_BURAK_YENI1309[[#This Row],[SATINALMA]]*DST_123_ÜRETİM_İHTİYAÇ_RAPORU_BURAK_YENI1309[[#This Row],[BIRIM_FIYATLAR]])&lt;1,VALUE("0"),DST_123_ÜRETİM_İHTİYAÇ_RAPORU_BURAK_YENI1309[[#This Row],[SATINALMA]]*DST_123_ÜRETİM_İHTİYAÇ_RAPORU_BURAK_YENI1309[[#This Row],[BIRIM_FIYATLAR]])</f>
        <v>0</v>
      </c>
      <c r="N269">
        <v>3.95</v>
      </c>
      <c r="O269" t="s">
        <v>240</v>
      </c>
      <c r="P269">
        <v>15.8</v>
      </c>
      <c r="Q269" t="s">
        <v>180</v>
      </c>
    </row>
    <row r="270" spans="1:17" x14ac:dyDescent="0.25">
      <c r="A270" t="s">
        <v>1150</v>
      </c>
      <c r="B270" t="s">
        <v>1145</v>
      </c>
      <c r="C270" t="s">
        <v>197</v>
      </c>
      <c r="D270" t="s">
        <v>496</v>
      </c>
      <c r="E270" t="s">
        <v>497</v>
      </c>
      <c r="F270">
        <v>1</v>
      </c>
      <c r="G270" t="s">
        <v>176</v>
      </c>
      <c r="H270">
        <v>0</v>
      </c>
      <c r="I270">
        <v>2</v>
      </c>
      <c r="J270" s="10">
        <v>9</v>
      </c>
      <c r="K270" s="10">
        <f>SUMIFS(F:F,D:D,DST_123_ÜRETİM_İHTİYAÇ_RAPORU_BURAK_YENI1309[[#This Row],[ALT_KOD]])-(SUMIFS(H:H,D:D,DST_123_ÜRETİM_İHTİYAÇ_RAPORU_BURAK_YENI1309[[#This Row],[ALT_KOD]])+AVERAGEIFS(I:I,D:D,DST_123_ÜRETİM_İHTİYAÇ_RAPORU_BURAK_YENI1309[[#This Row],[ALT_KOD]])+AVERAGEIFS(L:L,D:D,DST_123_ÜRETİM_İHTİYAÇ_RAPORU_BURAK_YENI1309[[#This Row],[ALT_KOD]]))</f>
        <v>10</v>
      </c>
      <c r="L270">
        <v>0</v>
      </c>
      <c r="M270">
        <f>IF((DST_123_ÜRETİM_İHTİYAÇ_RAPORU_BURAK_YENI1309[[#This Row],[SATINALMA]]*DST_123_ÜRETİM_İHTİYAÇ_RAPORU_BURAK_YENI1309[[#This Row],[BIRIM_FIYATLAR]])&lt;1,VALUE("0"),DST_123_ÜRETİM_İHTİYAÇ_RAPORU_BURAK_YENI1309[[#This Row],[SATINALMA]]*DST_123_ÜRETİM_İHTİYAÇ_RAPORU_BURAK_YENI1309[[#This Row],[BIRIM_FIYATLAR]])</f>
        <v>0</v>
      </c>
      <c r="O270" t="s">
        <v>713</v>
      </c>
      <c r="Q270" t="s">
        <v>760</v>
      </c>
    </row>
    <row r="271" spans="1:17" x14ac:dyDescent="0.25">
      <c r="A271" t="s">
        <v>1150</v>
      </c>
      <c r="B271" t="s">
        <v>1145</v>
      </c>
      <c r="C271" t="s">
        <v>175</v>
      </c>
      <c r="D271" t="s">
        <v>416</v>
      </c>
      <c r="E271" t="s">
        <v>417</v>
      </c>
      <c r="F271">
        <v>30</v>
      </c>
      <c r="G271" t="s">
        <v>176</v>
      </c>
      <c r="H271">
        <v>0</v>
      </c>
      <c r="I271">
        <v>1000</v>
      </c>
      <c r="J271" s="10">
        <v>4807</v>
      </c>
      <c r="K271" s="10">
        <f>SUMIFS(F:F,D:D,DST_123_ÜRETİM_İHTİYAÇ_RAPORU_BURAK_YENI1309[[#This Row],[ALT_KOD]])-(SUMIFS(H:H,D:D,DST_123_ÜRETİM_İHTİYAÇ_RAPORU_BURAK_YENI1309[[#This Row],[ALT_KOD]])+AVERAGEIFS(I:I,D:D,DST_123_ÜRETİM_İHTİYAÇ_RAPORU_BURAK_YENI1309[[#This Row],[ALT_KOD]])+AVERAGEIFS(L:L,D:D,DST_123_ÜRETİM_İHTİYAÇ_RAPORU_BURAK_YENI1309[[#This Row],[ALT_KOD]]))</f>
        <v>-450</v>
      </c>
      <c r="L271">
        <v>0</v>
      </c>
      <c r="M271">
        <f>IF((DST_123_ÜRETİM_İHTİYAÇ_RAPORU_BURAK_YENI1309[[#This Row],[SATINALMA]]*DST_123_ÜRETİM_İHTİYAÇ_RAPORU_BURAK_YENI1309[[#This Row],[BIRIM_FIYATLAR]])&lt;1,VALUE("0"),DST_123_ÜRETİM_İHTİYAÇ_RAPORU_BURAK_YENI1309[[#This Row],[SATINALMA]]*DST_123_ÜRETİM_İHTİYAÇ_RAPORU_BURAK_YENI1309[[#This Row],[BIRIM_FIYATLAR]])</f>
        <v>0</v>
      </c>
      <c r="N271">
        <v>0.3</v>
      </c>
      <c r="O271" t="s">
        <v>628</v>
      </c>
      <c r="P271">
        <v>9</v>
      </c>
      <c r="Q271" t="s">
        <v>180</v>
      </c>
    </row>
    <row r="272" spans="1:17" x14ac:dyDescent="0.25">
      <c r="A272" t="s">
        <v>1143</v>
      </c>
      <c r="B272" t="s">
        <v>1056</v>
      </c>
      <c r="C272" t="s">
        <v>197</v>
      </c>
      <c r="D272" t="s">
        <v>496</v>
      </c>
      <c r="E272" t="s">
        <v>497</v>
      </c>
      <c r="F272">
        <v>1</v>
      </c>
      <c r="G272" t="s">
        <v>176</v>
      </c>
      <c r="H272">
        <v>0</v>
      </c>
      <c r="I272">
        <v>2</v>
      </c>
      <c r="J272" s="10">
        <v>9</v>
      </c>
      <c r="K272" s="10">
        <f>SUMIFS(F:F,D:D,DST_123_ÜRETİM_İHTİYAÇ_RAPORU_BURAK_YENI1309[[#This Row],[ALT_KOD]])-(SUMIFS(H:H,D:D,DST_123_ÜRETİM_İHTİYAÇ_RAPORU_BURAK_YENI1309[[#This Row],[ALT_KOD]])+AVERAGEIFS(I:I,D:D,DST_123_ÜRETİM_İHTİYAÇ_RAPORU_BURAK_YENI1309[[#This Row],[ALT_KOD]])+AVERAGEIFS(L:L,D:D,DST_123_ÜRETİM_İHTİYAÇ_RAPORU_BURAK_YENI1309[[#This Row],[ALT_KOD]]))</f>
        <v>10</v>
      </c>
      <c r="L272">
        <v>0</v>
      </c>
      <c r="M272">
        <f>IF((DST_123_ÜRETİM_İHTİYAÇ_RAPORU_BURAK_YENI1309[[#This Row],[SATINALMA]]*DST_123_ÜRETİM_İHTİYAÇ_RAPORU_BURAK_YENI1309[[#This Row],[BIRIM_FIYATLAR]])&lt;1,VALUE("0"),DST_123_ÜRETİM_İHTİYAÇ_RAPORU_BURAK_YENI1309[[#This Row],[SATINALMA]]*DST_123_ÜRETİM_İHTİYAÇ_RAPORU_BURAK_YENI1309[[#This Row],[BIRIM_FIYATLAR]])</f>
        <v>0</v>
      </c>
      <c r="O272" t="s">
        <v>713</v>
      </c>
      <c r="Q272" t="s">
        <v>760</v>
      </c>
    </row>
    <row r="273" spans="1:17" x14ac:dyDescent="0.25">
      <c r="A273" t="s">
        <v>1095</v>
      </c>
      <c r="B273" t="s">
        <v>1096</v>
      </c>
      <c r="C273" t="s">
        <v>197</v>
      </c>
      <c r="D273" t="s">
        <v>496</v>
      </c>
      <c r="E273" t="s">
        <v>497</v>
      </c>
      <c r="F273">
        <v>1</v>
      </c>
      <c r="G273" t="s">
        <v>176</v>
      </c>
      <c r="H273">
        <v>0</v>
      </c>
      <c r="I273">
        <v>2</v>
      </c>
      <c r="J273" s="10">
        <v>9</v>
      </c>
      <c r="K273" s="10">
        <f>SUMIFS(F:F,D:D,DST_123_ÜRETİM_İHTİYAÇ_RAPORU_BURAK_YENI1309[[#This Row],[ALT_KOD]])-(SUMIFS(H:H,D:D,DST_123_ÜRETİM_İHTİYAÇ_RAPORU_BURAK_YENI1309[[#This Row],[ALT_KOD]])+AVERAGEIFS(I:I,D:D,DST_123_ÜRETİM_İHTİYAÇ_RAPORU_BURAK_YENI1309[[#This Row],[ALT_KOD]])+AVERAGEIFS(L:L,D:D,DST_123_ÜRETİM_İHTİYAÇ_RAPORU_BURAK_YENI1309[[#This Row],[ALT_KOD]]))</f>
        <v>10</v>
      </c>
      <c r="L273">
        <v>0</v>
      </c>
      <c r="M273">
        <f>IF((DST_123_ÜRETİM_İHTİYAÇ_RAPORU_BURAK_YENI1309[[#This Row],[SATINALMA]]*DST_123_ÜRETİM_İHTİYAÇ_RAPORU_BURAK_YENI1309[[#This Row],[BIRIM_FIYATLAR]])&lt;1,VALUE("0"),DST_123_ÜRETİM_İHTİYAÇ_RAPORU_BURAK_YENI1309[[#This Row],[SATINALMA]]*DST_123_ÜRETİM_İHTİYAÇ_RAPORU_BURAK_YENI1309[[#This Row],[BIRIM_FIYATLAR]])</f>
        <v>0</v>
      </c>
      <c r="O273" t="s">
        <v>713</v>
      </c>
      <c r="Q273" t="s">
        <v>760</v>
      </c>
    </row>
    <row r="274" spans="1:17" x14ac:dyDescent="0.25">
      <c r="A274" t="s">
        <v>1147</v>
      </c>
      <c r="B274" t="s">
        <v>1145</v>
      </c>
      <c r="C274" t="s">
        <v>197</v>
      </c>
      <c r="D274" t="s">
        <v>496</v>
      </c>
      <c r="E274" t="s">
        <v>497</v>
      </c>
      <c r="F274">
        <v>1</v>
      </c>
      <c r="G274" t="s">
        <v>176</v>
      </c>
      <c r="H274">
        <v>0</v>
      </c>
      <c r="I274">
        <v>2</v>
      </c>
      <c r="J274" s="10">
        <v>9</v>
      </c>
      <c r="K274" s="10">
        <f>SUMIFS(F:F,D:D,DST_123_ÜRETİM_İHTİYAÇ_RAPORU_BURAK_YENI1309[[#This Row],[ALT_KOD]])-(SUMIFS(H:H,D:D,DST_123_ÜRETİM_İHTİYAÇ_RAPORU_BURAK_YENI1309[[#This Row],[ALT_KOD]])+AVERAGEIFS(I:I,D:D,DST_123_ÜRETİM_İHTİYAÇ_RAPORU_BURAK_YENI1309[[#This Row],[ALT_KOD]])+AVERAGEIFS(L:L,D:D,DST_123_ÜRETİM_İHTİYAÇ_RAPORU_BURAK_YENI1309[[#This Row],[ALT_KOD]]))</f>
        <v>10</v>
      </c>
      <c r="L274">
        <v>0</v>
      </c>
      <c r="M274">
        <f>IF((DST_123_ÜRETİM_İHTİYAÇ_RAPORU_BURAK_YENI1309[[#This Row],[SATINALMA]]*DST_123_ÜRETİM_İHTİYAÇ_RAPORU_BURAK_YENI1309[[#This Row],[BIRIM_FIYATLAR]])&lt;1,VALUE("0"),DST_123_ÜRETİM_İHTİYAÇ_RAPORU_BURAK_YENI1309[[#This Row],[SATINALMA]]*DST_123_ÜRETİM_İHTİYAÇ_RAPORU_BURAK_YENI1309[[#This Row],[BIRIM_FIYATLAR]])</f>
        <v>0</v>
      </c>
      <c r="O274" t="s">
        <v>713</v>
      </c>
      <c r="Q274" t="s">
        <v>760</v>
      </c>
    </row>
    <row r="275" spans="1:17" x14ac:dyDescent="0.25">
      <c r="A275" t="s">
        <v>1148</v>
      </c>
      <c r="B275" t="s">
        <v>1056</v>
      </c>
      <c r="C275" t="s">
        <v>197</v>
      </c>
      <c r="D275" t="s">
        <v>496</v>
      </c>
      <c r="E275" t="s">
        <v>497</v>
      </c>
      <c r="F275">
        <v>1</v>
      </c>
      <c r="G275" t="s">
        <v>176</v>
      </c>
      <c r="H275">
        <v>0</v>
      </c>
      <c r="I275">
        <v>2</v>
      </c>
      <c r="J275" s="10">
        <v>9</v>
      </c>
      <c r="K275" s="10">
        <f>SUMIFS(F:F,D:D,DST_123_ÜRETİM_İHTİYAÇ_RAPORU_BURAK_YENI1309[[#This Row],[ALT_KOD]])-(SUMIFS(H:H,D:D,DST_123_ÜRETİM_İHTİYAÇ_RAPORU_BURAK_YENI1309[[#This Row],[ALT_KOD]])+AVERAGEIFS(I:I,D:D,DST_123_ÜRETİM_İHTİYAÇ_RAPORU_BURAK_YENI1309[[#This Row],[ALT_KOD]])+AVERAGEIFS(L:L,D:D,DST_123_ÜRETİM_İHTİYAÇ_RAPORU_BURAK_YENI1309[[#This Row],[ALT_KOD]]))</f>
        <v>10</v>
      </c>
      <c r="L275">
        <v>0</v>
      </c>
      <c r="M275">
        <f>IF((DST_123_ÜRETİM_İHTİYAÇ_RAPORU_BURAK_YENI1309[[#This Row],[SATINALMA]]*DST_123_ÜRETİM_İHTİYAÇ_RAPORU_BURAK_YENI1309[[#This Row],[BIRIM_FIYATLAR]])&lt;1,VALUE("0"),DST_123_ÜRETİM_İHTİYAÇ_RAPORU_BURAK_YENI1309[[#This Row],[SATINALMA]]*DST_123_ÜRETİM_İHTİYAÇ_RAPORU_BURAK_YENI1309[[#This Row],[BIRIM_FIYATLAR]])</f>
        <v>0</v>
      </c>
      <c r="O275" t="s">
        <v>713</v>
      </c>
      <c r="Q275" t="s">
        <v>760</v>
      </c>
    </row>
    <row r="276" spans="1:17" x14ac:dyDescent="0.25">
      <c r="A276" t="s">
        <v>1095</v>
      </c>
      <c r="B276" t="s">
        <v>1096</v>
      </c>
      <c r="C276" t="s">
        <v>175</v>
      </c>
      <c r="D276" t="s">
        <v>416</v>
      </c>
      <c r="E276" t="s">
        <v>417</v>
      </c>
      <c r="F276">
        <v>11</v>
      </c>
      <c r="G276" t="s">
        <v>176</v>
      </c>
      <c r="H276">
        <v>0</v>
      </c>
      <c r="I276">
        <v>1000</v>
      </c>
      <c r="J276" s="10">
        <v>4807</v>
      </c>
      <c r="K276" s="10">
        <f>SUMIFS(F:F,D:D,DST_123_ÜRETİM_İHTİYAÇ_RAPORU_BURAK_YENI1309[[#This Row],[ALT_KOD]])-(SUMIFS(H:H,D:D,DST_123_ÜRETİM_İHTİYAÇ_RAPORU_BURAK_YENI1309[[#This Row],[ALT_KOD]])+AVERAGEIFS(I:I,D:D,DST_123_ÜRETİM_İHTİYAÇ_RAPORU_BURAK_YENI1309[[#This Row],[ALT_KOD]])+AVERAGEIFS(L:L,D:D,DST_123_ÜRETİM_İHTİYAÇ_RAPORU_BURAK_YENI1309[[#This Row],[ALT_KOD]]))</f>
        <v>-450</v>
      </c>
      <c r="L276">
        <v>0</v>
      </c>
      <c r="M276">
        <f>IF((DST_123_ÜRETİM_İHTİYAÇ_RAPORU_BURAK_YENI1309[[#This Row],[SATINALMA]]*DST_123_ÜRETİM_İHTİYAÇ_RAPORU_BURAK_YENI1309[[#This Row],[BIRIM_FIYATLAR]])&lt;1,VALUE("0"),DST_123_ÜRETİM_İHTİYAÇ_RAPORU_BURAK_YENI1309[[#This Row],[SATINALMA]]*DST_123_ÜRETİM_İHTİYAÇ_RAPORU_BURAK_YENI1309[[#This Row],[BIRIM_FIYATLAR]])</f>
        <v>0</v>
      </c>
      <c r="N276">
        <v>0.3</v>
      </c>
      <c r="O276" t="s">
        <v>628</v>
      </c>
      <c r="P276">
        <v>3.3</v>
      </c>
      <c r="Q276" t="s">
        <v>180</v>
      </c>
    </row>
    <row r="277" spans="1:17" x14ac:dyDescent="0.25">
      <c r="A277" t="s">
        <v>1143</v>
      </c>
      <c r="B277" t="s">
        <v>1056</v>
      </c>
      <c r="C277" t="s">
        <v>175</v>
      </c>
      <c r="D277" t="s">
        <v>416</v>
      </c>
      <c r="E277" t="s">
        <v>417</v>
      </c>
      <c r="F277">
        <v>21</v>
      </c>
      <c r="G277" t="s">
        <v>176</v>
      </c>
      <c r="H277">
        <v>0</v>
      </c>
      <c r="I277">
        <v>1000</v>
      </c>
      <c r="J277" s="10">
        <v>4807</v>
      </c>
      <c r="K277" s="10">
        <f>SUMIFS(F:F,D:D,DST_123_ÜRETİM_İHTİYAÇ_RAPORU_BURAK_YENI1309[[#This Row],[ALT_KOD]])-(SUMIFS(H:H,D:D,DST_123_ÜRETİM_İHTİYAÇ_RAPORU_BURAK_YENI1309[[#This Row],[ALT_KOD]])+AVERAGEIFS(I:I,D:D,DST_123_ÜRETİM_İHTİYAÇ_RAPORU_BURAK_YENI1309[[#This Row],[ALT_KOD]])+AVERAGEIFS(L:L,D:D,DST_123_ÜRETİM_İHTİYAÇ_RAPORU_BURAK_YENI1309[[#This Row],[ALT_KOD]]))</f>
        <v>-450</v>
      </c>
      <c r="L277">
        <v>0</v>
      </c>
      <c r="M277">
        <f>IF((DST_123_ÜRETİM_İHTİYAÇ_RAPORU_BURAK_YENI1309[[#This Row],[SATINALMA]]*DST_123_ÜRETİM_İHTİYAÇ_RAPORU_BURAK_YENI1309[[#This Row],[BIRIM_FIYATLAR]])&lt;1,VALUE("0"),DST_123_ÜRETİM_İHTİYAÇ_RAPORU_BURAK_YENI1309[[#This Row],[SATINALMA]]*DST_123_ÜRETİM_İHTİYAÇ_RAPORU_BURAK_YENI1309[[#This Row],[BIRIM_FIYATLAR]])</f>
        <v>0</v>
      </c>
      <c r="N277">
        <v>0.3</v>
      </c>
      <c r="O277" t="s">
        <v>628</v>
      </c>
      <c r="P277">
        <v>6.3</v>
      </c>
      <c r="Q277" t="s">
        <v>180</v>
      </c>
    </row>
    <row r="278" spans="1:17" x14ac:dyDescent="0.25">
      <c r="A278" t="s">
        <v>1059</v>
      </c>
      <c r="B278" t="s">
        <v>1058</v>
      </c>
      <c r="C278" t="s">
        <v>175</v>
      </c>
      <c r="D278" t="s">
        <v>416</v>
      </c>
      <c r="E278" t="s">
        <v>417</v>
      </c>
      <c r="F278">
        <v>18</v>
      </c>
      <c r="G278" t="s">
        <v>176</v>
      </c>
      <c r="H278">
        <v>0</v>
      </c>
      <c r="I278">
        <v>1000</v>
      </c>
      <c r="J278" s="10">
        <v>4807</v>
      </c>
      <c r="K278" s="10">
        <f>SUMIFS(F:F,D:D,DST_123_ÜRETİM_İHTİYAÇ_RAPORU_BURAK_YENI1309[[#This Row],[ALT_KOD]])-(SUMIFS(H:H,D:D,DST_123_ÜRETİM_İHTİYAÇ_RAPORU_BURAK_YENI1309[[#This Row],[ALT_KOD]])+AVERAGEIFS(I:I,D:D,DST_123_ÜRETİM_İHTİYAÇ_RAPORU_BURAK_YENI1309[[#This Row],[ALT_KOD]])+AVERAGEIFS(L:L,D:D,DST_123_ÜRETİM_İHTİYAÇ_RAPORU_BURAK_YENI1309[[#This Row],[ALT_KOD]]))</f>
        <v>-450</v>
      </c>
      <c r="L278">
        <v>0</v>
      </c>
      <c r="M278">
        <f>IF((DST_123_ÜRETİM_İHTİYAÇ_RAPORU_BURAK_YENI1309[[#This Row],[SATINALMA]]*DST_123_ÜRETİM_İHTİYAÇ_RAPORU_BURAK_YENI1309[[#This Row],[BIRIM_FIYATLAR]])&lt;1,VALUE("0"),DST_123_ÜRETİM_İHTİYAÇ_RAPORU_BURAK_YENI1309[[#This Row],[SATINALMA]]*DST_123_ÜRETİM_İHTİYAÇ_RAPORU_BURAK_YENI1309[[#This Row],[BIRIM_FIYATLAR]])</f>
        <v>0</v>
      </c>
      <c r="N278">
        <v>0.3</v>
      </c>
      <c r="O278" t="s">
        <v>628</v>
      </c>
      <c r="P278">
        <v>5.3999999999999995</v>
      </c>
      <c r="Q278" t="s">
        <v>180</v>
      </c>
    </row>
    <row r="279" spans="1:17" x14ac:dyDescent="0.25">
      <c r="A279" t="s">
        <v>1100</v>
      </c>
      <c r="B279" t="s">
        <v>1058</v>
      </c>
      <c r="C279" t="s">
        <v>197</v>
      </c>
      <c r="D279" t="s">
        <v>496</v>
      </c>
      <c r="E279" t="s">
        <v>497</v>
      </c>
      <c r="F279">
        <v>1</v>
      </c>
      <c r="G279" t="s">
        <v>176</v>
      </c>
      <c r="H279">
        <v>1</v>
      </c>
      <c r="I279">
        <v>2</v>
      </c>
      <c r="J279" s="10">
        <v>9</v>
      </c>
      <c r="K279" s="10">
        <f>SUMIFS(F:F,D:D,DST_123_ÜRETİM_İHTİYAÇ_RAPORU_BURAK_YENI1309[[#This Row],[ALT_KOD]])-(SUMIFS(H:H,D:D,DST_123_ÜRETİM_İHTİYAÇ_RAPORU_BURAK_YENI1309[[#This Row],[ALT_KOD]])+AVERAGEIFS(I:I,D:D,DST_123_ÜRETİM_İHTİYAÇ_RAPORU_BURAK_YENI1309[[#This Row],[ALT_KOD]])+AVERAGEIFS(L:L,D:D,DST_123_ÜRETİM_İHTİYAÇ_RAPORU_BURAK_YENI1309[[#This Row],[ALT_KOD]]))</f>
        <v>10</v>
      </c>
      <c r="L279">
        <v>0</v>
      </c>
      <c r="M279">
        <f>IF((DST_123_ÜRETİM_İHTİYAÇ_RAPORU_BURAK_YENI1309[[#This Row],[SATINALMA]]*DST_123_ÜRETİM_İHTİYAÇ_RAPORU_BURAK_YENI1309[[#This Row],[BIRIM_FIYATLAR]])&lt;1,VALUE("0"),DST_123_ÜRETİM_İHTİYAÇ_RAPORU_BURAK_YENI1309[[#This Row],[SATINALMA]]*DST_123_ÜRETİM_İHTİYAÇ_RAPORU_BURAK_YENI1309[[#This Row],[BIRIM_FIYATLAR]])</f>
        <v>0</v>
      </c>
      <c r="O279" t="s">
        <v>713</v>
      </c>
      <c r="Q279" t="s">
        <v>760</v>
      </c>
    </row>
    <row r="280" spans="1:17" x14ac:dyDescent="0.25">
      <c r="A280" t="s">
        <v>1196</v>
      </c>
      <c r="B280" t="s">
        <v>1197</v>
      </c>
      <c r="C280" t="s">
        <v>175</v>
      </c>
      <c r="D280" t="s">
        <v>534</v>
      </c>
      <c r="E280" t="s">
        <v>535</v>
      </c>
      <c r="F280">
        <v>8</v>
      </c>
      <c r="G280" t="s">
        <v>176</v>
      </c>
      <c r="H280">
        <v>0</v>
      </c>
      <c r="I280">
        <v>212</v>
      </c>
      <c r="J280" s="10">
        <v>625</v>
      </c>
      <c r="K280" s="10">
        <f>SUMIFS(F:F,D:D,DST_123_ÜRETİM_İHTİYAÇ_RAPORU_BURAK_YENI1309[[#This Row],[ALT_KOD]])-(SUMIFS(H:H,D:D,DST_123_ÜRETİM_İHTİYAÇ_RAPORU_BURAK_YENI1309[[#This Row],[ALT_KOD]])+AVERAGEIFS(I:I,D:D,DST_123_ÜRETİM_İHTİYAÇ_RAPORU_BURAK_YENI1309[[#This Row],[ALT_KOD]])+AVERAGEIFS(L:L,D:D,DST_123_ÜRETİM_İHTİYAÇ_RAPORU_BURAK_YENI1309[[#This Row],[ALT_KOD]]))</f>
        <v>-146</v>
      </c>
      <c r="L280">
        <v>0</v>
      </c>
      <c r="M280">
        <f>IF((DST_123_ÜRETİM_İHTİYAÇ_RAPORU_BURAK_YENI1309[[#This Row],[SATINALMA]]*DST_123_ÜRETİM_İHTİYAÇ_RAPORU_BURAK_YENI1309[[#This Row],[BIRIM_FIYATLAR]])&lt;1,VALUE("0"),DST_123_ÜRETİM_İHTİYAÇ_RAPORU_BURAK_YENI1309[[#This Row],[SATINALMA]]*DST_123_ÜRETİM_İHTİYAÇ_RAPORU_BURAK_YENI1309[[#This Row],[BIRIM_FIYATLAR]])</f>
        <v>0</v>
      </c>
      <c r="N280">
        <v>3.95</v>
      </c>
      <c r="O280" t="s">
        <v>240</v>
      </c>
      <c r="P280">
        <v>31.6</v>
      </c>
      <c r="Q280" t="s">
        <v>180</v>
      </c>
    </row>
    <row r="281" spans="1:17" x14ac:dyDescent="0.25">
      <c r="A281" t="s">
        <v>1196</v>
      </c>
      <c r="B281" t="s">
        <v>1197</v>
      </c>
      <c r="C281" t="s">
        <v>175</v>
      </c>
      <c r="D281" t="s">
        <v>776</v>
      </c>
      <c r="E281" t="s">
        <v>777</v>
      </c>
      <c r="F281">
        <v>1</v>
      </c>
      <c r="G281" t="s">
        <v>176</v>
      </c>
      <c r="H281">
        <v>0</v>
      </c>
      <c r="I281">
        <v>6</v>
      </c>
      <c r="J281" s="10">
        <v>7</v>
      </c>
      <c r="K281" s="10">
        <f>SUMIFS(F:F,D:D,DST_123_ÜRETİM_İHTİYAÇ_RAPORU_BURAK_YENI1309[[#This Row],[ALT_KOD]])-(SUMIFS(H:H,D:D,DST_123_ÜRETİM_İHTİYAÇ_RAPORU_BURAK_YENI1309[[#This Row],[ALT_KOD]])+AVERAGEIFS(I:I,D:D,DST_123_ÜRETİM_İHTİYAÇ_RAPORU_BURAK_YENI1309[[#This Row],[ALT_KOD]])+AVERAGEIFS(L:L,D:D,DST_123_ÜRETİM_İHTİYAÇ_RAPORU_BURAK_YENI1309[[#This Row],[ALT_KOD]]))</f>
        <v>5</v>
      </c>
      <c r="L281">
        <v>0</v>
      </c>
      <c r="M281">
        <f>IF((DST_123_ÜRETİM_İHTİYAÇ_RAPORU_BURAK_YENI1309[[#This Row],[SATINALMA]]*DST_123_ÜRETİM_İHTİYAÇ_RAPORU_BURAK_YENI1309[[#This Row],[BIRIM_FIYATLAR]])&lt;1,VALUE("0"),DST_123_ÜRETİM_İHTİYAÇ_RAPORU_BURAK_YENI1309[[#This Row],[SATINALMA]]*DST_123_ÜRETİM_İHTİYAÇ_RAPORU_BURAK_YENI1309[[#This Row],[BIRIM_FIYATLAR]])</f>
        <v>12288.25</v>
      </c>
      <c r="N281">
        <v>2457.65</v>
      </c>
      <c r="O281" t="s">
        <v>634</v>
      </c>
      <c r="P281">
        <v>2457.65</v>
      </c>
      <c r="Q281" t="s">
        <v>177</v>
      </c>
    </row>
    <row r="282" spans="1:17" x14ac:dyDescent="0.25">
      <c r="A282" t="s">
        <v>1098</v>
      </c>
      <c r="B282" t="s">
        <v>1096</v>
      </c>
      <c r="C282" t="s">
        <v>175</v>
      </c>
      <c r="D282" t="s">
        <v>776</v>
      </c>
      <c r="E282" t="s">
        <v>777</v>
      </c>
      <c r="F282">
        <v>1</v>
      </c>
      <c r="G282" t="s">
        <v>176</v>
      </c>
      <c r="H282">
        <v>0</v>
      </c>
      <c r="I282">
        <v>6</v>
      </c>
      <c r="J282" s="10">
        <v>7</v>
      </c>
      <c r="K282" s="10">
        <f>SUMIFS(F:F,D:D,DST_123_ÜRETİM_İHTİYAÇ_RAPORU_BURAK_YENI1309[[#This Row],[ALT_KOD]])-(SUMIFS(H:H,D:D,DST_123_ÜRETİM_İHTİYAÇ_RAPORU_BURAK_YENI1309[[#This Row],[ALT_KOD]])+AVERAGEIFS(I:I,D:D,DST_123_ÜRETİM_İHTİYAÇ_RAPORU_BURAK_YENI1309[[#This Row],[ALT_KOD]])+AVERAGEIFS(L:L,D:D,DST_123_ÜRETİM_İHTİYAÇ_RAPORU_BURAK_YENI1309[[#This Row],[ALT_KOD]]))</f>
        <v>5</v>
      </c>
      <c r="L282">
        <v>0</v>
      </c>
      <c r="M282">
        <f>IF((DST_123_ÜRETİM_İHTİYAÇ_RAPORU_BURAK_YENI1309[[#This Row],[SATINALMA]]*DST_123_ÜRETİM_İHTİYAÇ_RAPORU_BURAK_YENI1309[[#This Row],[BIRIM_FIYATLAR]])&lt;1,VALUE("0"),DST_123_ÜRETİM_İHTİYAÇ_RAPORU_BURAK_YENI1309[[#This Row],[SATINALMA]]*DST_123_ÜRETİM_İHTİYAÇ_RAPORU_BURAK_YENI1309[[#This Row],[BIRIM_FIYATLAR]])</f>
        <v>12288.25</v>
      </c>
      <c r="N282">
        <v>2457.65</v>
      </c>
      <c r="O282" t="s">
        <v>634</v>
      </c>
      <c r="P282">
        <v>2457.65</v>
      </c>
      <c r="Q282" t="s">
        <v>177</v>
      </c>
    </row>
    <row r="283" spans="1:17" x14ac:dyDescent="0.25">
      <c r="A283" t="s">
        <v>1196</v>
      </c>
      <c r="B283" t="s">
        <v>1197</v>
      </c>
      <c r="C283" t="s">
        <v>175</v>
      </c>
      <c r="D283" t="s">
        <v>1214</v>
      </c>
      <c r="E283" t="s">
        <v>1215</v>
      </c>
      <c r="F283">
        <v>0.3</v>
      </c>
      <c r="G283" t="s">
        <v>185</v>
      </c>
      <c r="H283">
        <v>0</v>
      </c>
      <c r="I283">
        <v>0</v>
      </c>
      <c r="J283" s="10">
        <v>22</v>
      </c>
      <c r="K283" s="10">
        <f>SUMIFS(F:F,D:D,DST_123_ÜRETİM_İHTİYAÇ_RAPORU_BURAK_YENI1309[[#This Row],[ALT_KOD]])-(SUMIFS(H:H,D:D,DST_123_ÜRETİM_İHTİYAÇ_RAPORU_BURAK_YENI1309[[#This Row],[ALT_KOD]])+AVERAGEIFS(I:I,D:D,DST_123_ÜRETİM_İHTİYAÇ_RAPORU_BURAK_YENI1309[[#This Row],[ALT_KOD]])+AVERAGEIFS(L:L,D:D,DST_123_ÜRETİM_İHTİYAÇ_RAPORU_BURAK_YENI1309[[#This Row],[ALT_KOD]]))</f>
        <v>0.6</v>
      </c>
      <c r="L283">
        <v>0</v>
      </c>
      <c r="M283">
        <f>IF((DST_123_ÜRETİM_İHTİYAÇ_RAPORU_BURAK_YENI1309[[#This Row],[SATINALMA]]*DST_123_ÜRETİM_İHTİYAÇ_RAPORU_BURAK_YENI1309[[#This Row],[BIRIM_FIYATLAR]])&lt;1,VALUE("0"),DST_123_ÜRETİM_İHTİYAÇ_RAPORU_BURAK_YENI1309[[#This Row],[SATINALMA]]*DST_123_ÜRETİM_İHTİYAÇ_RAPORU_BURAK_YENI1309[[#This Row],[BIRIM_FIYATLAR]])</f>
        <v>162.54600000000002</v>
      </c>
      <c r="N283">
        <v>270.91000000000003</v>
      </c>
      <c r="O283" t="s">
        <v>1193</v>
      </c>
      <c r="P283">
        <v>81.27300000000001</v>
      </c>
      <c r="Q283" t="s">
        <v>183</v>
      </c>
    </row>
    <row r="284" spans="1:17" x14ac:dyDescent="0.25">
      <c r="A284" t="s">
        <v>1196</v>
      </c>
      <c r="B284" t="s">
        <v>1197</v>
      </c>
      <c r="C284" t="s">
        <v>175</v>
      </c>
      <c r="D284" t="s">
        <v>363</v>
      </c>
      <c r="E284" t="s">
        <v>364</v>
      </c>
      <c r="F284">
        <v>7.5</v>
      </c>
      <c r="G284" t="s">
        <v>179</v>
      </c>
      <c r="H284">
        <v>0</v>
      </c>
      <c r="I284">
        <v>100</v>
      </c>
      <c r="J284" s="10">
        <v>159.90000000000003</v>
      </c>
      <c r="K284" s="10">
        <f>SUMIFS(F:F,D:D,DST_123_ÜRETİM_İHTİYAÇ_RAPORU_BURAK_YENI1309[[#This Row],[ALT_KOD]])-(SUMIFS(H:H,D:D,DST_123_ÜRETİM_İHTİYAÇ_RAPORU_BURAK_YENI1309[[#This Row],[ALT_KOD]])+AVERAGEIFS(I:I,D:D,DST_123_ÜRETİM_İHTİYAÇ_RAPORU_BURAK_YENI1309[[#This Row],[ALT_KOD]])+AVERAGEIFS(L:L,D:D,DST_123_ÜRETİM_İHTİYAÇ_RAPORU_BURAK_YENI1309[[#This Row],[ALT_KOD]]))</f>
        <v>41.300000000000011</v>
      </c>
      <c r="L284">
        <v>0</v>
      </c>
      <c r="M284">
        <f>IF((DST_123_ÜRETİM_İHTİYAÇ_RAPORU_BURAK_YENI1309[[#This Row],[SATINALMA]]*DST_123_ÜRETİM_İHTİYAÇ_RAPORU_BURAK_YENI1309[[#This Row],[BIRIM_FIYATLAR]])&lt;1,VALUE("0"),DST_123_ÜRETİM_İHTİYAÇ_RAPORU_BURAK_YENI1309[[#This Row],[SATINALMA]]*DST_123_ÜRETİM_İHTİYAÇ_RAPORU_BURAK_YENI1309[[#This Row],[BIRIM_FIYATLAR]])</f>
        <v>929.25000000000023</v>
      </c>
      <c r="N284">
        <v>22.5</v>
      </c>
      <c r="O284" t="s">
        <v>314</v>
      </c>
      <c r="P284">
        <v>168.75</v>
      </c>
      <c r="Q284" t="s">
        <v>178</v>
      </c>
    </row>
    <row r="285" spans="1:17" x14ac:dyDescent="0.25">
      <c r="A285" t="s">
        <v>1098</v>
      </c>
      <c r="B285" t="s">
        <v>1096</v>
      </c>
      <c r="C285" t="s">
        <v>175</v>
      </c>
      <c r="D285" t="s">
        <v>363</v>
      </c>
      <c r="E285" t="s">
        <v>364</v>
      </c>
      <c r="F285">
        <v>5.5</v>
      </c>
      <c r="G285" t="s">
        <v>179</v>
      </c>
      <c r="H285">
        <v>0</v>
      </c>
      <c r="I285">
        <v>100</v>
      </c>
      <c r="J285" s="10">
        <v>159.90000000000003</v>
      </c>
      <c r="K285" s="10">
        <f>SUMIFS(F:F,D:D,DST_123_ÜRETİM_İHTİYAÇ_RAPORU_BURAK_YENI1309[[#This Row],[ALT_KOD]])-(SUMIFS(H:H,D:D,DST_123_ÜRETİM_İHTİYAÇ_RAPORU_BURAK_YENI1309[[#This Row],[ALT_KOD]])+AVERAGEIFS(I:I,D:D,DST_123_ÜRETİM_İHTİYAÇ_RAPORU_BURAK_YENI1309[[#This Row],[ALT_KOD]])+AVERAGEIFS(L:L,D:D,DST_123_ÜRETİM_İHTİYAÇ_RAPORU_BURAK_YENI1309[[#This Row],[ALT_KOD]]))</f>
        <v>41.300000000000011</v>
      </c>
      <c r="L285">
        <v>0</v>
      </c>
      <c r="M285">
        <f>IF((DST_123_ÜRETİM_İHTİYAÇ_RAPORU_BURAK_YENI1309[[#This Row],[SATINALMA]]*DST_123_ÜRETİM_İHTİYAÇ_RAPORU_BURAK_YENI1309[[#This Row],[BIRIM_FIYATLAR]])&lt;1,VALUE("0"),DST_123_ÜRETİM_İHTİYAÇ_RAPORU_BURAK_YENI1309[[#This Row],[SATINALMA]]*DST_123_ÜRETİM_İHTİYAÇ_RAPORU_BURAK_YENI1309[[#This Row],[BIRIM_FIYATLAR]])</f>
        <v>929.25000000000023</v>
      </c>
      <c r="N285">
        <v>22.5</v>
      </c>
      <c r="O285" t="s">
        <v>314</v>
      </c>
      <c r="P285">
        <v>123.75</v>
      </c>
      <c r="Q285" t="s">
        <v>178</v>
      </c>
    </row>
    <row r="286" spans="1:17" x14ac:dyDescent="0.25">
      <c r="A286" t="s">
        <v>1060</v>
      </c>
      <c r="B286" t="s">
        <v>1061</v>
      </c>
      <c r="C286" t="s">
        <v>175</v>
      </c>
      <c r="D286" t="s">
        <v>416</v>
      </c>
      <c r="E286" t="s">
        <v>417</v>
      </c>
      <c r="F286">
        <v>30</v>
      </c>
      <c r="G286" t="s">
        <v>176</v>
      </c>
      <c r="H286">
        <v>0</v>
      </c>
      <c r="I286">
        <v>1000</v>
      </c>
      <c r="J286" s="10">
        <v>4807</v>
      </c>
      <c r="K286" s="10">
        <f>SUMIFS(F:F,D:D,DST_123_ÜRETİM_İHTİYAÇ_RAPORU_BURAK_YENI1309[[#This Row],[ALT_KOD]])-(SUMIFS(H:H,D:D,DST_123_ÜRETİM_İHTİYAÇ_RAPORU_BURAK_YENI1309[[#This Row],[ALT_KOD]])+AVERAGEIFS(I:I,D:D,DST_123_ÜRETİM_İHTİYAÇ_RAPORU_BURAK_YENI1309[[#This Row],[ALT_KOD]])+AVERAGEIFS(L:L,D:D,DST_123_ÜRETİM_İHTİYAÇ_RAPORU_BURAK_YENI1309[[#This Row],[ALT_KOD]]))</f>
        <v>-450</v>
      </c>
      <c r="L286">
        <v>0</v>
      </c>
      <c r="M286">
        <f>IF((DST_123_ÜRETİM_İHTİYAÇ_RAPORU_BURAK_YENI1309[[#This Row],[SATINALMA]]*DST_123_ÜRETİM_İHTİYAÇ_RAPORU_BURAK_YENI1309[[#This Row],[BIRIM_FIYATLAR]])&lt;1,VALUE("0"),DST_123_ÜRETİM_İHTİYAÇ_RAPORU_BURAK_YENI1309[[#This Row],[SATINALMA]]*DST_123_ÜRETİM_İHTİYAÇ_RAPORU_BURAK_YENI1309[[#This Row],[BIRIM_FIYATLAR]])</f>
        <v>0</v>
      </c>
      <c r="N286">
        <v>0.3</v>
      </c>
      <c r="O286" t="s">
        <v>628</v>
      </c>
      <c r="P286">
        <v>9</v>
      </c>
      <c r="Q286" t="s">
        <v>180</v>
      </c>
    </row>
    <row r="287" spans="1:17" x14ac:dyDescent="0.25">
      <c r="A287" t="s">
        <v>1148</v>
      </c>
      <c r="B287" t="s">
        <v>1056</v>
      </c>
      <c r="C287" t="s">
        <v>175</v>
      </c>
      <c r="D287" t="s">
        <v>416</v>
      </c>
      <c r="E287" t="s">
        <v>417</v>
      </c>
      <c r="F287">
        <v>21</v>
      </c>
      <c r="G287" t="s">
        <v>176</v>
      </c>
      <c r="H287">
        <v>0</v>
      </c>
      <c r="I287">
        <v>1000</v>
      </c>
      <c r="J287" s="10">
        <v>4807</v>
      </c>
      <c r="K287" s="10">
        <f>SUMIFS(F:F,D:D,DST_123_ÜRETİM_İHTİYAÇ_RAPORU_BURAK_YENI1309[[#This Row],[ALT_KOD]])-(SUMIFS(H:H,D:D,DST_123_ÜRETİM_İHTİYAÇ_RAPORU_BURAK_YENI1309[[#This Row],[ALT_KOD]])+AVERAGEIFS(I:I,D:D,DST_123_ÜRETİM_İHTİYAÇ_RAPORU_BURAK_YENI1309[[#This Row],[ALT_KOD]])+AVERAGEIFS(L:L,D:D,DST_123_ÜRETİM_İHTİYAÇ_RAPORU_BURAK_YENI1309[[#This Row],[ALT_KOD]]))</f>
        <v>-450</v>
      </c>
      <c r="L287">
        <v>0</v>
      </c>
      <c r="M287">
        <f>IF((DST_123_ÜRETİM_İHTİYAÇ_RAPORU_BURAK_YENI1309[[#This Row],[SATINALMA]]*DST_123_ÜRETİM_İHTİYAÇ_RAPORU_BURAK_YENI1309[[#This Row],[BIRIM_FIYATLAR]])&lt;1,VALUE("0"),DST_123_ÜRETİM_İHTİYAÇ_RAPORU_BURAK_YENI1309[[#This Row],[SATINALMA]]*DST_123_ÜRETİM_İHTİYAÇ_RAPORU_BURAK_YENI1309[[#This Row],[BIRIM_FIYATLAR]])</f>
        <v>0</v>
      </c>
      <c r="N287">
        <v>0.3</v>
      </c>
      <c r="O287" t="s">
        <v>628</v>
      </c>
      <c r="P287">
        <v>6.3</v>
      </c>
      <c r="Q287" t="s">
        <v>180</v>
      </c>
    </row>
    <row r="288" spans="1:17" x14ac:dyDescent="0.25">
      <c r="A288" t="s">
        <v>1057</v>
      </c>
      <c r="B288" t="s">
        <v>1058</v>
      </c>
      <c r="C288" t="s">
        <v>175</v>
      </c>
      <c r="D288" t="s">
        <v>416</v>
      </c>
      <c r="E288" t="s">
        <v>417</v>
      </c>
      <c r="F288">
        <v>18</v>
      </c>
      <c r="G288" t="s">
        <v>176</v>
      </c>
      <c r="H288">
        <v>0</v>
      </c>
      <c r="I288">
        <v>1000</v>
      </c>
      <c r="J288" s="10">
        <v>4807</v>
      </c>
      <c r="K288" s="10">
        <f>SUMIFS(F:F,D:D,DST_123_ÜRETİM_İHTİYAÇ_RAPORU_BURAK_YENI1309[[#This Row],[ALT_KOD]])-(SUMIFS(H:H,D:D,DST_123_ÜRETİM_İHTİYAÇ_RAPORU_BURAK_YENI1309[[#This Row],[ALT_KOD]])+AVERAGEIFS(I:I,D:D,DST_123_ÜRETİM_İHTİYAÇ_RAPORU_BURAK_YENI1309[[#This Row],[ALT_KOD]])+AVERAGEIFS(L:L,D:D,DST_123_ÜRETİM_İHTİYAÇ_RAPORU_BURAK_YENI1309[[#This Row],[ALT_KOD]]))</f>
        <v>-450</v>
      </c>
      <c r="L288">
        <v>0</v>
      </c>
      <c r="M288">
        <f>IF((DST_123_ÜRETİM_İHTİYAÇ_RAPORU_BURAK_YENI1309[[#This Row],[SATINALMA]]*DST_123_ÜRETİM_İHTİYAÇ_RAPORU_BURAK_YENI1309[[#This Row],[BIRIM_FIYATLAR]])&lt;1,VALUE("0"),DST_123_ÜRETİM_İHTİYAÇ_RAPORU_BURAK_YENI1309[[#This Row],[SATINALMA]]*DST_123_ÜRETİM_İHTİYAÇ_RAPORU_BURAK_YENI1309[[#This Row],[BIRIM_FIYATLAR]])</f>
        <v>0</v>
      </c>
      <c r="N288">
        <v>0.3</v>
      </c>
      <c r="O288" t="s">
        <v>628</v>
      </c>
      <c r="P288">
        <v>5.3999999999999995</v>
      </c>
      <c r="Q288" t="s">
        <v>180</v>
      </c>
    </row>
    <row r="289" spans="1:17" x14ac:dyDescent="0.25">
      <c r="A289" t="s">
        <v>1100</v>
      </c>
      <c r="B289" t="s">
        <v>1058</v>
      </c>
      <c r="C289" t="s">
        <v>175</v>
      </c>
      <c r="D289" t="s">
        <v>416</v>
      </c>
      <c r="E289" t="s">
        <v>417</v>
      </c>
      <c r="F289">
        <v>15</v>
      </c>
      <c r="G289" t="s">
        <v>176</v>
      </c>
      <c r="H289">
        <v>0</v>
      </c>
      <c r="I289">
        <v>1000</v>
      </c>
      <c r="J289" s="10">
        <v>4807</v>
      </c>
      <c r="K289" s="10">
        <f>SUMIFS(F:F,D:D,DST_123_ÜRETİM_İHTİYAÇ_RAPORU_BURAK_YENI1309[[#This Row],[ALT_KOD]])-(SUMIFS(H:H,D:D,DST_123_ÜRETİM_İHTİYAÇ_RAPORU_BURAK_YENI1309[[#This Row],[ALT_KOD]])+AVERAGEIFS(I:I,D:D,DST_123_ÜRETİM_İHTİYAÇ_RAPORU_BURAK_YENI1309[[#This Row],[ALT_KOD]])+AVERAGEIFS(L:L,D:D,DST_123_ÜRETİM_İHTİYAÇ_RAPORU_BURAK_YENI1309[[#This Row],[ALT_KOD]]))</f>
        <v>-450</v>
      </c>
      <c r="L289">
        <v>0</v>
      </c>
      <c r="M289">
        <f>IF((DST_123_ÜRETİM_İHTİYAÇ_RAPORU_BURAK_YENI1309[[#This Row],[SATINALMA]]*DST_123_ÜRETİM_İHTİYAÇ_RAPORU_BURAK_YENI1309[[#This Row],[BIRIM_FIYATLAR]])&lt;1,VALUE("0"),DST_123_ÜRETİM_İHTİYAÇ_RAPORU_BURAK_YENI1309[[#This Row],[SATINALMA]]*DST_123_ÜRETİM_İHTİYAÇ_RAPORU_BURAK_YENI1309[[#This Row],[BIRIM_FIYATLAR]])</f>
        <v>0</v>
      </c>
      <c r="N289">
        <v>0.3</v>
      </c>
      <c r="O289" t="s">
        <v>628</v>
      </c>
      <c r="P289">
        <v>4.5</v>
      </c>
      <c r="Q289" t="s">
        <v>180</v>
      </c>
    </row>
    <row r="290" spans="1:17" x14ac:dyDescent="0.25">
      <c r="A290" t="s">
        <v>1060</v>
      </c>
      <c r="B290" t="s">
        <v>1061</v>
      </c>
      <c r="C290" t="s">
        <v>175</v>
      </c>
      <c r="D290" t="s">
        <v>534</v>
      </c>
      <c r="E290" t="s">
        <v>535</v>
      </c>
      <c r="F290">
        <v>8</v>
      </c>
      <c r="G290" t="s">
        <v>176</v>
      </c>
      <c r="H290">
        <v>0</v>
      </c>
      <c r="I290">
        <v>212</v>
      </c>
      <c r="J290" s="10">
        <v>625</v>
      </c>
      <c r="K290" s="10">
        <f>SUMIFS(F:F,D:D,DST_123_ÜRETİM_İHTİYAÇ_RAPORU_BURAK_YENI1309[[#This Row],[ALT_KOD]])-(SUMIFS(H:H,D:D,DST_123_ÜRETİM_İHTİYAÇ_RAPORU_BURAK_YENI1309[[#This Row],[ALT_KOD]])+AVERAGEIFS(I:I,D:D,DST_123_ÜRETİM_İHTİYAÇ_RAPORU_BURAK_YENI1309[[#This Row],[ALT_KOD]])+AVERAGEIFS(L:L,D:D,DST_123_ÜRETİM_İHTİYAÇ_RAPORU_BURAK_YENI1309[[#This Row],[ALT_KOD]]))</f>
        <v>-146</v>
      </c>
      <c r="L290">
        <v>0</v>
      </c>
      <c r="M290">
        <f>IF((DST_123_ÜRETİM_İHTİYAÇ_RAPORU_BURAK_YENI1309[[#This Row],[SATINALMA]]*DST_123_ÜRETİM_İHTİYAÇ_RAPORU_BURAK_YENI1309[[#This Row],[BIRIM_FIYATLAR]])&lt;1,VALUE("0"),DST_123_ÜRETİM_İHTİYAÇ_RAPORU_BURAK_YENI1309[[#This Row],[SATINALMA]]*DST_123_ÜRETİM_İHTİYAÇ_RAPORU_BURAK_YENI1309[[#This Row],[BIRIM_FIYATLAR]])</f>
        <v>0</v>
      </c>
      <c r="N290">
        <v>3.95</v>
      </c>
      <c r="O290" t="s">
        <v>240</v>
      </c>
      <c r="P290">
        <v>31.6</v>
      </c>
      <c r="Q290" t="s">
        <v>180</v>
      </c>
    </row>
    <row r="291" spans="1:17" x14ac:dyDescent="0.25">
      <c r="A291" t="s">
        <v>1100</v>
      </c>
      <c r="B291" t="s">
        <v>1058</v>
      </c>
      <c r="C291" t="s">
        <v>175</v>
      </c>
      <c r="D291" t="s">
        <v>534</v>
      </c>
      <c r="E291" t="s">
        <v>535</v>
      </c>
      <c r="F291">
        <v>4</v>
      </c>
      <c r="G291" t="s">
        <v>176</v>
      </c>
      <c r="H291">
        <v>0</v>
      </c>
      <c r="I291">
        <v>212</v>
      </c>
      <c r="J291" s="10">
        <v>625</v>
      </c>
      <c r="K291" s="10">
        <f>SUMIFS(F:F,D:D,DST_123_ÜRETİM_İHTİYAÇ_RAPORU_BURAK_YENI1309[[#This Row],[ALT_KOD]])-(SUMIFS(H:H,D:D,DST_123_ÜRETİM_İHTİYAÇ_RAPORU_BURAK_YENI1309[[#This Row],[ALT_KOD]])+AVERAGEIFS(I:I,D:D,DST_123_ÜRETİM_İHTİYAÇ_RAPORU_BURAK_YENI1309[[#This Row],[ALT_KOD]])+AVERAGEIFS(L:L,D:D,DST_123_ÜRETİM_İHTİYAÇ_RAPORU_BURAK_YENI1309[[#This Row],[ALT_KOD]]))</f>
        <v>-146</v>
      </c>
      <c r="L291">
        <v>0</v>
      </c>
      <c r="M291">
        <f>IF((DST_123_ÜRETİM_İHTİYAÇ_RAPORU_BURAK_YENI1309[[#This Row],[SATINALMA]]*DST_123_ÜRETİM_İHTİYAÇ_RAPORU_BURAK_YENI1309[[#This Row],[BIRIM_FIYATLAR]])&lt;1,VALUE("0"),DST_123_ÜRETİM_İHTİYAÇ_RAPORU_BURAK_YENI1309[[#This Row],[SATINALMA]]*DST_123_ÜRETİM_İHTİYAÇ_RAPORU_BURAK_YENI1309[[#This Row],[BIRIM_FIYATLAR]])</f>
        <v>0</v>
      </c>
      <c r="N291">
        <v>3.95</v>
      </c>
      <c r="O291" t="s">
        <v>240</v>
      </c>
      <c r="P291">
        <v>15.8</v>
      </c>
      <c r="Q291" t="s">
        <v>180</v>
      </c>
    </row>
    <row r="292" spans="1:17" x14ac:dyDescent="0.25">
      <c r="A292" t="s">
        <v>1149</v>
      </c>
      <c r="B292" t="s">
        <v>1145</v>
      </c>
      <c r="C292" t="s">
        <v>175</v>
      </c>
      <c r="D292" t="s">
        <v>534</v>
      </c>
      <c r="E292" t="s">
        <v>535</v>
      </c>
      <c r="F292">
        <v>4</v>
      </c>
      <c r="G292" t="s">
        <v>176</v>
      </c>
      <c r="H292">
        <v>0</v>
      </c>
      <c r="I292">
        <v>212</v>
      </c>
      <c r="J292" s="10">
        <v>625</v>
      </c>
      <c r="K292" s="10">
        <f>SUMIFS(F:F,D:D,DST_123_ÜRETİM_İHTİYAÇ_RAPORU_BURAK_YENI1309[[#This Row],[ALT_KOD]])-(SUMIFS(H:H,D:D,DST_123_ÜRETİM_İHTİYAÇ_RAPORU_BURAK_YENI1309[[#This Row],[ALT_KOD]])+AVERAGEIFS(I:I,D:D,DST_123_ÜRETİM_İHTİYAÇ_RAPORU_BURAK_YENI1309[[#This Row],[ALT_KOD]])+AVERAGEIFS(L:L,D:D,DST_123_ÜRETİM_İHTİYAÇ_RAPORU_BURAK_YENI1309[[#This Row],[ALT_KOD]]))</f>
        <v>-146</v>
      </c>
      <c r="L292">
        <v>0</v>
      </c>
      <c r="M292">
        <f>IF((DST_123_ÜRETİM_İHTİYAÇ_RAPORU_BURAK_YENI1309[[#This Row],[SATINALMA]]*DST_123_ÜRETİM_İHTİYAÇ_RAPORU_BURAK_YENI1309[[#This Row],[BIRIM_FIYATLAR]])&lt;1,VALUE("0"),DST_123_ÜRETİM_İHTİYAÇ_RAPORU_BURAK_YENI1309[[#This Row],[SATINALMA]]*DST_123_ÜRETİM_İHTİYAÇ_RAPORU_BURAK_YENI1309[[#This Row],[BIRIM_FIYATLAR]])</f>
        <v>0</v>
      </c>
      <c r="N292">
        <v>3.95</v>
      </c>
      <c r="O292" t="s">
        <v>240</v>
      </c>
      <c r="P292">
        <v>15.8</v>
      </c>
      <c r="Q292" t="s">
        <v>180</v>
      </c>
    </row>
    <row r="293" spans="1:17" x14ac:dyDescent="0.25">
      <c r="A293" t="s">
        <v>1144</v>
      </c>
      <c r="B293" t="s">
        <v>1145</v>
      </c>
      <c r="C293" t="s">
        <v>175</v>
      </c>
      <c r="D293" t="s">
        <v>534</v>
      </c>
      <c r="E293" t="s">
        <v>535</v>
      </c>
      <c r="F293">
        <v>8</v>
      </c>
      <c r="G293" t="s">
        <v>176</v>
      </c>
      <c r="H293">
        <v>0</v>
      </c>
      <c r="I293">
        <v>212</v>
      </c>
      <c r="J293" s="10">
        <v>625</v>
      </c>
      <c r="K293" s="10">
        <f>SUMIFS(F:F,D:D,DST_123_ÜRETİM_İHTİYAÇ_RAPORU_BURAK_YENI1309[[#This Row],[ALT_KOD]])-(SUMIFS(H:H,D:D,DST_123_ÜRETİM_İHTİYAÇ_RAPORU_BURAK_YENI1309[[#This Row],[ALT_KOD]])+AVERAGEIFS(I:I,D:D,DST_123_ÜRETİM_İHTİYAÇ_RAPORU_BURAK_YENI1309[[#This Row],[ALT_KOD]])+AVERAGEIFS(L:L,D:D,DST_123_ÜRETİM_İHTİYAÇ_RAPORU_BURAK_YENI1309[[#This Row],[ALT_KOD]]))</f>
        <v>-146</v>
      </c>
      <c r="L293">
        <v>0</v>
      </c>
      <c r="M293">
        <f>IF((DST_123_ÜRETİM_İHTİYAÇ_RAPORU_BURAK_YENI1309[[#This Row],[SATINALMA]]*DST_123_ÜRETİM_İHTİYAÇ_RAPORU_BURAK_YENI1309[[#This Row],[BIRIM_FIYATLAR]])&lt;1,VALUE("0"),DST_123_ÜRETİM_İHTİYAÇ_RAPORU_BURAK_YENI1309[[#This Row],[SATINALMA]]*DST_123_ÜRETİM_İHTİYAÇ_RAPORU_BURAK_YENI1309[[#This Row],[BIRIM_FIYATLAR]])</f>
        <v>0</v>
      </c>
      <c r="N293">
        <v>3.95</v>
      </c>
      <c r="O293" t="s">
        <v>240</v>
      </c>
      <c r="P293">
        <v>31.6</v>
      </c>
      <c r="Q293" t="s">
        <v>180</v>
      </c>
    </row>
    <row r="294" spans="1:17" x14ac:dyDescent="0.25">
      <c r="A294" t="s">
        <v>1146</v>
      </c>
      <c r="B294" t="s">
        <v>1145</v>
      </c>
      <c r="C294" t="s">
        <v>175</v>
      </c>
      <c r="D294" t="s">
        <v>534</v>
      </c>
      <c r="E294" t="s">
        <v>535</v>
      </c>
      <c r="F294">
        <v>4</v>
      </c>
      <c r="G294" t="s">
        <v>176</v>
      </c>
      <c r="H294">
        <v>0</v>
      </c>
      <c r="I294">
        <v>212</v>
      </c>
      <c r="J294" s="10">
        <v>625</v>
      </c>
      <c r="K294" s="10">
        <f>SUMIFS(F:F,D:D,DST_123_ÜRETİM_İHTİYAÇ_RAPORU_BURAK_YENI1309[[#This Row],[ALT_KOD]])-(SUMIFS(H:H,D:D,DST_123_ÜRETİM_İHTİYAÇ_RAPORU_BURAK_YENI1309[[#This Row],[ALT_KOD]])+AVERAGEIFS(I:I,D:D,DST_123_ÜRETİM_İHTİYAÇ_RAPORU_BURAK_YENI1309[[#This Row],[ALT_KOD]])+AVERAGEIFS(L:L,D:D,DST_123_ÜRETİM_İHTİYAÇ_RAPORU_BURAK_YENI1309[[#This Row],[ALT_KOD]]))</f>
        <v>-146</v>
      </c>
      <c r="L294">
        <v>0</v>
      </c>
      <c r="M294">
        <f>IF((DST_123_ÜRETİM_İHTİYAÇ_RAPORU_BURAK_YENI1309[[#This Row],[SATINALMA]]*DST_123_ÜRETİM_İHTİYAÇ_RAPORU_BURAK_YENI1309[[#This Row],[BIRIM_FIYATLAR]])&lt;1,VALUE("0"),DST_123_ÜRETİM_İHTİYAÇ_RAPORU_BURAK_YENI1309[[#This Row],[SATINALMA]]*DST_123_ÜRETİM_İHTİYAÇ_RAPORU_BURAK_YENI1309[[#This Row],[BIRIM_FIYATLAR]])</f>
        <v>0</v>
      </c>
      <c r="N294">
        <v>3.95</v>
      </c>
      <c r="O294" t="s">
        <v>240</v>
      </c>
      <c r="P294">
        <v>15.8</v>
      </c>
      <c r="Q294" t="s">
        <v>180</v>
      </c>
    </row>
    <row r="295" spans="1:17" x14ac:dyDescent="0.25">
      <c r="A295" t="s">
        <v>1142</v>
      </c>
      <c r="B295" t="s">
        <v>1056</v>
      </c>
      <c r="C295" t="s">
        <v>197</v>
      </c>
      <c r="D295" t="s">
        <v>496</v>
      </c>
      <c r="E295" t="s">
        <v>497</v>
      </c>
      <c r="F295">
        <v>1</v>
      </c>
      <c r="G295" t="s">
        <v>176</v>
      </c>
      <c r="H295">
        <v>0</v>
      </c>
      <c r="I295">
        <v>2</v>
      </c>
      <c r="J295" s="10">
        <v>9</v>
      </c>
      <c r="K295" s="10">
        <f>SUMIFS(F:F,D:D,DST_123_ÜRETİM_İHTİYAÇ_RAPORU_BURAK_YENI1309[[#This Row],[ALT_KOD]])-(SUMIFS(H:H,D:D,DST_123_ÜRETİM_İHTİYAÇ_RAPORU_BURAK_YENI1309[[#This Row],[ALT_KOD]])+AVERAGEIFS(I:I,D:D,DST_123_ÜRETİM_İHTİYAÇ_RAPORU_BURAK_YENI1309[[#This Row],[ALT_KOD]])+AVERAGEIFS(L:L,D:D,DST_123_ÜRETİM_İHTİYAÇ_RAPORU_BURAK_YENI1309[[#This Row],[ALT_KOD]]))</f>
        <v>10</v>
      </c>
      <c r="L295">
        <v>0</v>
      </c>
      <c r="M295">
        <f>IF((DST_123_ÜRETİM_İHTİYAÇ_RAPORU_BURAK_YENI1309[[#This Row],[SATINALMA]]*DST_123_ÜRETİM_İHTİYAÇ_RAPORU_BURAK_YENI1309[[#This Row],[BIRIM_FIYATLAR]])&lt;1,VALUE("0"),DST_123_ÜRETİM_İHTİYAÇ_RAPORU_BURAK_YENI1309[[#This Row],[SATINALMA]]*DST_123_ÜRETİM_İHTİYAÇ_RAPORU_BURAK_YENI1309[[#This Row],[BIRIM_FIYATLAR]])</f>
        <v>0</v>
      </c>
      <c r="O295" t="s">
        <v>713</v>
      </c>
      <c r="Q295" t="s">
        <v>760</v>
      </c>
    </row>
    <row r="296" spans="1:17" x14ac:dyDescent="0.25">
      <c r="A296" t="s">
        <v>1142</v>
      </c>
      <c r="B296" t="s">
        <v>1056</v>
      </c>
      <c r="C296" t="s">
        <v>175</v>
      </c>
      <c r="D296" t="s">
        <v>416</v>
      </c>
      <c r="E296" t="s">
        <v>417</v>
      </c>
      <c r="F296">
        <v>40</v>
      </c>
      <c r="G296" t="s">
        <v>176</v>
      </c>
      <c r="H296">
        <v>0</v>
      </c>
      <c r="I296">
        <v>1000</v>
      </c>
      <c r="J296" s="10">
        <v>4807</v>
      </c>
      <c r="K296" s="10">
        <f>SUMIFS(F:F,D:D,DST_123_ÜRETİM_İHTİYAÇ_RAPORU_BURAK_YENI1309[[#This Row],[ALT_KOD]])-(SUMIFS(H:H,D:D,DST_123_ÜRETİM_İHTİYAÇ_RAPORU_BURAK_YENI1309[[#This Row],[ALT_KOD]])+AVERAGEIFS(I:I,D:D,DST_123_ÜRETİM_İHTİYAÇ_RAPORU_BURAK_YENI1309[[#This Row],[ALT_KOD]])+AVERAGEIFS(L:L,D:D,DST_123_ÜRETİM_İHTİYAÇ_RAPORU_BURAK_YENI1309[[#This Row],[ALT_KOD]]))</f>
        <v>-450</v>
      </c>
      <c r="L296">
        <v>0</v>
      </c>
      <c r="M296">
        <f>IF((DST_123_ÜRETİM_İHTİYAÇ_RAPORU_BURAK_YENI1309[[#This Row],[SATINALMA]]*DST_123_ÜRETİM_İHTİYAÇ_RAPORU_BURAK_YENI1309[[#This Row],[BIRIM_FIYATLAR]])&lt;1,VALUE("0"),DST_123_ÜRETİM_İHTİYAÇ_RAPORU_BURAK_YENI1309[[#This Row],[SATINALMA]]*DST_123_ÜRETİM_İHTİYAÇ_RAPORU_BURAK_YENI1309[[#This Row],[BIRIM_FIYATLAR]])</f>
        <v>0</v>
      </c>
      <c r="N296">
        <v>0.3</v>
      </c>
      <c r="O296" t="s">
        <v>628</v>
      </c>
      <c r="P296">
        <v>12</v>
      </c>
      <c r="Q296" t="s">
        <v>180</v>
      </c>
    </row>
    <row r="297" spans="1:17" x14ac:dyDescent="0.25">
      <c r="A297" s="13" t="s">
        <v>1097</v>
      </c>
      <c r="B297" s="13" t="s">
        <v>1055</v>
      </c>
      <c r="C297" t="s">
        <v>175</v>
      </c>
      <c r="D297" s="13" t="s">
        <v>416</v>
      </c>
      <c r="E297" s="13" t="s">
        <v>417</v>
      </c>
      <c r="F297" s="13">
        <v>45</v>
      </c>
      <c r="G297" s="13" t="s">
        <v>176</v>
      </c>
      <c r="H297">
        <v>0</v>
      </c>
      <c r="I297">
        <v>1000</v>
      </c>
      <c r="J297" s="10">
        <v>4807</v>
      </c>
      <c r="K297" s="10">
        <f>SUMIFS(F:F,D:D,DST_123_ÜRETİM_İHTİYAÇ_RAPORU_BURAK_YENI1309[[#This Row],[ALT_KOD]])-(SUMIFS(H:H,D:D,DST_123_ÜRETİM_İHTİYAÇ_RAPORU_BURAK_YENI1309[[#This Row],[ALT_KOD]])+AVERAGEIFS(I:I,D:D,DST_123_ÜRETİM_İHTİYAÇ_RAPORU_BURAK_YENI1309[[#This Row],[ALT_KOD]])+AVERAGEIFS(L:L,D:D,DST_123_ÜRETİM_İHTİYAÇ_RAPORU_BURAK_YENI1309[[#This Row],[ALT_KOD]]))</f>
        <v>-450</v>
      </c>
      <c r="L297">
        <v>0</v>
      </c>
      <c r="M297">
        <f>IF((DST_123_ÜRETİM_İHTİYAÇ_RAPORU_BURAK_YENI1309[[#This Row],[SATINALMA]]*DST_123_ÜRETİM_İHTİYAÇ_RAPORU_BURAK_YENI1309[[#This Row],[BIRIM_FIYATLAR]])&lt;1,VALUE("0"),DST_123_ÜRETİM_İHTİYAÇ_RAPORU_BURAK_YENI1309[[#This Row],[SATINALMA]]*DST_123_ÜRETİM_İHTİYAÇ_RAPORU_BURAK_YENI1309[[#This Row],[BIRIM_FIYATLAR]])</f>
        <v>0</v>
      </c>
      <c r="N297">
        <v>0.3</v>
      </c>
      <c r="O297" t="s">
        <v>628</v>
      </c>
      <c r="P297">
        <v>13.5</v>
      </c>
      <c r="Q297" t="s">
        <v>180</v>
      </c>
    </row>
    <row r="298" spans="1:17" x14ac:dyDescent="0.25">
      <c r="A298" t="s">
        <v>1064</v>
      </c>
      <c r="B298" t="s">
        <v>1055</v>
      </c>
      <c r="C298" t="s">
        <v>175</v>
      </c>
      <c r="D298" t="s">
        <v>850</v>
      </c>
      <c r="E298" t="s">
        <v>851</v>
      </c>
      <c r="F298">
        <v>1</v>
      </c>
      <c r="G298" t="s">
        <v>176</v>
      </c>
      <c r="H298">
        <v>0</v>
      </c>
      <c r="I298">
        <v>10</v>
      </c>
      <c r="J298" s="10">
        <v>3</v>
      </c>
      <c r="K298" s="10">
        <f>SUMIFS(F:F,D:D,DST_123_ÜRETİM_İHTİYAÇ_RAPORU_BURAK_YENI1309[[#This Row],[ALT_KOD]])-(SUMIFS(H:H,D:D,DST_123_ÜRETİM_İHTİYAÇ_RAPORU_BURAK_YENI1309[[#This Row],[ALT_KOD]])+AVERAGEIFS(I:I,D:D,DST_123_ÜRETİM_İHTİYAÇ_RAPORU_BURAK_YENI1309[[#This Row],[ALT_KOD]])+AVERAGEIFS(L:L,D:D,DST_123_ÜRETİM_İHTİYAÇ_RAPORU_BURAK_YENI1309[[#This Row],[ALT_KOD]]))</f>
        <v>-3</v>
      </c>
      <c r="L298">
        <v>0</v>
      </c>
      <c r="M298">
        <f>IF((DST_123_ÜRETİM_İHTİYAÇ_RAPORU_BURAK_YENI1309[[#This Row],[SATINALMA]]*DST_123_ÜRETİM_İHTİYAÇ_RAPORU_BURAK_YENI1309[[#This Row],[BIRIM_FIYATLAR]])&lt;1,VALUE("0"),DST_123_ÜRETİM_İHTİYAÇ_RAPORU_BURAK_YENI1309[[#This Row],[SATINALMA]]*DST_123_ÜRETİM_İHTİYAÇ_RAPORU_BURAK_YENI1309[[#This Row],[BIRIM_FIYATLAR]])</f>
        <v>0</v>
      </c>
      <c r="N298">
        <v>45</v>
      </c>
      <c r="O298" t="s">
        <v>240</v>
      </c>
      <c r="P298">
        <v>45</v>
      </c>
      <c r="Q298" t="s">
        <v>180</v>
      </c>
    </row>
    <row r="299" spans="1:17" x14ac:dyDescent="0.25">
      <c r="A299" t="s">
        <v>1149</v>
      </c>
      <c r="B299" t="s">
        <v>1145</v>
      </c>
      <c r="C299" t="s">
        <v>175</v>
      </c>
      <c r="D299" t="s">
        <v>776</v>
      </c>
      <c r="E299" t="s">
        <v>777</v>
      </c>
      <c r="F299">
        <v>1</v>
      </c>
      <c r="G299" t="s">
        <v>176</v>
      </c>
      <c r="H299">
        <v>0</v>
      </c>
      <c r="I299">
        <v>6</v>
      </c>
      <c r="J299" s="10">
        <v>7</v>
      </c>
      <c r="K299" s="10">
        <f>SUMIFS(F:F,D:D,DST_123_ÜRETİM_İHTİYAÇ_RAPORU_BURAK_YENI1309[[#This Row],[ALT_KOD]])-(SUMIFS(H:H,D:D,DST_123_ÜRETİM_İHTİYAÇ_RAPORU_BURAK_YENI1309[[#This Row],[ALT_KOD]])+AVERAGEIFS(I:I,D:D,DST_123_ÜRETİM_İHTİYAÇ_RAPORU_BURAK_YENI1309[[#This Row],[ALT_KOD]])+AVERAGEIFS(L:L,D:D,DST_123_ÜRETİM_İHTİYAÇ_RAPORU_BURAK_YENI1309[[#This Row],[ALT_KOD]]))</f>
        <v>5</v>
      </c>
      <c r="L299">
        <v>0</v>
      </c>
      <c r="M299">
        <f>IF((DST_123_ÜRETİM_İHTİYAÇ_RAPORU_BURAK_YENI1309[[#This Row],[SATINALMA]]*DST_123_ÜRETİM_İHTİYAÇ_RAPORU_BURAK_YENI1309[[#This Row],[BIRIM_FIYATLAR]])&lt;1,VALUE("0"),DST_123_ÜRETİM_İHTİYAÇ_RAPORU_BURAK_YENI1309[[#This Row],[SATINALMA]]*DST_123_ÜRETİM_İHTİYAÇ_RAPORU_BURAK_YENI1309[[#This Row],[BIRIM_FIYATLAR]])</f>
        <v>12288.25</v>
      </c>
      <c r="N299">
        <v>2457.65</v>
      </c>
      <c r="O299" t="s">
        <v>634</v>
      </c>
      <c r="P299">
        <v>2457.65</v>
      </c>
      <c r="Q299" t="s">
        <v>177</v>
      </c>
    </row>
    <row r="300" spans="1:17" x14ac:dyDescent="0.25">
      <c r="A300" t="s">
        <v>1146</v>
      </c>
      <c r="B300" t="s">
        <v>1145</v>
      </c>
      <c r="C300" t="s">
        <v>175</v>
      </c>
      <c r="D300" t="s">
        <v>776</v>
      </c>
      <c r="E300" t="s">
        <v>777</v>
      </c>
      <c r="F300">
        <v>1</v>
      </c>
      <c r="G300" t="s">
        <v>176</v>
      </c>
      <c r="H300">
        <v>0</v>
      </c>
      <c r="I300">
        <v>6</v>
      </c>
      <c r="J300" s="10">
        <v>7</v>
      </c>
      <c r="K300" s="10">
        <f>SUMIFS(F:F,D:D,DST_123_ÜRETİM_İHTİYAÇ_RAPORU_BURAK_YENI1309[[#This Row],[ALT_KOD]])-(SUMIFS(H:H,D:D,DST_123_ÜRETİM_İHTİYAÇ_RAPORU_BURAK_YENI1309[[#This Row],[ALT_KOD]])+AVERAGEIFS(I:I,D:D,DST_123_ÜRETİM_İHTİYAÇ_RAPORU_BURAK_YENI1309[[#This Row],[ALT_KOD]])+AVERAGEIFS(L:L,D:D,DST_123_ÜRETİM_İHTİYAÇ_RAPORU_BURAK_YENI1309[[#This Row],[ALT_KOD]]))</f>
        <v>5</v>
      </c>
      <c r="L300">
        <v>0</v>
      </c>
      <c r="M300">
        <f>IF((DST_123_ÜRETİM_İHTİYAÇ_RAPORU_BURAK_YENI1309[[#This Row],[SATINALMA]]*DST_123_ÜRETİM_İHTİYAÇ_RAPORU_BURAK_YENI1309[[#This Row],[BIRIM_FIYATLAR]])&lt;1,VALUE("0"),DST_123_ÜRETİM_İHTİYAÇ_RAPORU_BURAK_YENI1309[[#This Row],[SATINALMA]]*DST_123_ÜRETİM_İHTİYAÇ_RAPORU_BURAK_YENI1309[[#This Row],[BIRIM_FIYATLAR]])</f>
        <v>12288.25</v>
      </c>
      <c r="N300">
        <v>2457.65</v>
      </c>
      <c r="O300" t="s">
        <v>634</v>
      </c>
      <c r="P300">
        <v>2457.65</v>
      </c>
      <c r="Q300" t="s">
        <v>177</v>
      </c>
    </row>
    <row r="301" spans="1:17" x14ac:dyDescent="0.25">
      <c r="A301" t="s">
        <v>1098</v>
      </c>
      <c r="B301" t="s">
        <v>1096</v>
      </c>
      <c r="C301" t="s">
        <v>175</v>
      </c>
      <c r="D301" t="s">
        <v>1105</v>
      </c>
      <c r="E301" t="s">
        <v>1106</v>
      </c>
      <c r="F301">
        <v>0.5</v>
      </c>
      <c r="G301" t="s">
        <v>412</v>
      </c>
      <c r="H301">
        <v>0</v>
      </c>
      <c r="I301">
        <v>500</v>
      </c>
      <c r="J301" s="10">
        <v>0</v>
      </c>
      <c r="K301" s="10">
        <f>SUMIFS(F:F,D:D,DST_123_ÜRETİM_İHTİYAÇ_RAPORU_BURAK_YENI1309[[#This Row],[ALT_KOD]])-(SUMIFS(H:H,D:D,DST_123_ÜRETİM_İHTİYAÇ_RAPORU_BURAK_YENI1309[[#This Row],[ALT_KOD]])+AVERAGEIFS(I:I,D:D,DST_123_ÜRETİM_İHTİYAÇ_RAPORU_BURAK_YENI1309[[#This Row],[ALT_KOD]])+AVERAGEIFS(L:L,D:D,DST_123_ÜRETİM_İHTİYAÇ_RAPORU_BURAK_YENI1309[[#This Row],[ALT_KOD]]))</f>
        <v>-499</v>
      </c>
      <c r="L301">
        <v>0</v>
      </c>
      <c r="M301">
        <f>IF((DST_123_ÜRETİM_İHTİYAÇ_RAPORU_BURAK_YENI1309[[#This Row],[SATINALMA]]*DST_123_ÜRETİM_İHTİYAÇ_RAPORU_BURAK_YENI1309[[#This Row],[BIRIM_FIYATLAR]])&lt;1,VALUE("0"),DST_123_ÜRETİM_İHTİYAÇ_RAPORU_BURAK_YENI1309[[#This Row],[SATINALMA]]*DST_123_ÜRETİM_İHTİYAÇ_RAPORU_BURAK_YENI1309[[#This Row],[BIRIM_FIYATLAR]])</f>
        <v>0</v>
      </c>
      <c r="N301">
        <v>4</v>
      </c>
      <c r="O301" t="s">
        <v>346</v>
      </c>
      <c r="P301">
        <v>2</v>
      </c>
      <c r="Q301" t="s">
        <v>183</v>
      </c>
    </row>
    <row r="302" spans="1:17" x14ac:dyDescent="0.25">
      <c r="A302" t="s">
        <v>1147</v>
      </c>
      <c r="B302" t="s">
        <v>1145</v>
      </c>
      <c r="C302" t="s">
        <v>175</v>
      </c>
      <c r="D302" t="s">
        <v>416</v>
      </c>
      <c r="E302" t="s">
        <v>417</v>
      </c>
      <c r="F302">
        <v>30</v>
      </c>
      <c r="G302" t="s">
        <v>176</v>
      </c>
      <c r="H302">
        <v>0</v>
      </c>
      <c r="I302">
        <v>1000</v>
      </c>
      <c r="J302" s="10">
        <v>4807</v>
      </c>
      <c r="K302" s="10">
        <f>SUMIFS(F:F,D:D,DST_123_ÜRETİM_İHTİYAÇ_RAPORU_BURAK_YENI1309[[#This Row],[ALT_KOD]])-(SUMIFS(H:H,D:D,DST_123_ÜRETİM_İHTİYAÇ_RAPORU_BURAK_YENI1309[[#This Row],[ALT_KOD]])+AVERAGEIFS(I:I,D:D,DST_123_ÜRETİM_İHTİYAÇ_RAPORU_BURAK_YENI1309[[#This Row],[ALT_KOD]])+AVERAGEIFS(L:L,D:D,DST_123_ÜRETİM_İHTİYAÇ_RAPORU_BURAK_YENI1309[[#This Row],[ALT_KOD]]))</f>
        <v>-450</v>
      </c>
      <c r="L302">
        <v>0</v>
      </c>
      <c r="M302">
        <f>IF((DST_123_ÜRETİM_İHTİYAÇ_RAPORU_BURAK_YENI1309[[#This Row],[SATINALMA]]*DST_123_ÜRETİM_İHTİYAÇ_RAPORU_BURAK_YENI1309[[#This Row],[BIRIM_FIYATLAR]])&lt;1,VALUE("0"),DST_123_ÜRETİM_İHTİYAÇ_RAPORU_BURAK_YENI1309[[#This Row],[SATINALMA]]*DST_123_ÜRETİM_İHTİYAÇ_RAPORU_BURAK_YENI1309[[#This Row],[BIRIM_FIYATLAR]])</f>
        <v>0</v>
      </c>
      <c r="N302">
        <v>0.3</v>
      </c>
      <c r="O302" t="s">
        <v>628</v>
      </c>
      <c r="P302">
        <v>9</v>
      </c>
      <c r="Q302" t="s">
        <v>180</v>
      </c>
    </row>
    <row r="303" spans="1:17" x14ac:dyDescent="0.25">
      <c r="A303" t="s">
        <v>1148</v>
      </c>
      <c r="B303" t="s">
        <v>1056</v>
      </c>
      <c r="C303" t="s">
        <v>175</v>
      </c>
      <c r="D303" t="s">
        <v>658</v>
      </c>
      <c r="E303" t="s">
        <v>659</v>
      </c>
      <c r="F303">
        <v>1</v>
      </c>
      <c r="G303" t="s">
        <v>176</v>
      </c>
      <c r="H303">
        <v>0</v>
      </c>
      <c r="I303">
        <v>0</v>
      </c>
      <c r="J303" s="10">
        <v>65</v>
      </c>
      <c r="K303" s="10">
        <f>SUMIFS(F:F,D:D,DST_123_ÜRETİM_İHTİYAÇ_RAPORU_BURAK_YENI1309[[#This Row],[ALT_KOD]])-(SUMIFS(H:H,D:D,DST_123_ÜRETİM_İHTİYAÇ_RAPORU_BURAK_YENI1309[[#This Row],[ALT_KOD]])+AVERAGEIFS(I:I,D:D,DST_123_ÜRETİM_İHTİYAÇ_RAPORU_BURAK_YENI1309[[#This Row],[ALT_KOD]])+AVERAGEIFS(L:L,D:D,DST_123_ÜRETİM_İHTİYAÇ_RAPORU_BURAK_YENI1309[[#This Row],[ALT_KOD]]))</f>
        <v>-94</v>
      </c>
      <c r="L303">
        <v>100</v>
      </c>
      <c r="M303">
        <f>IF((DST_123_ÜRETİM_İHTİYAÇ_RAPORU_BURAK_YENI1309[[#This Row],[SATINALMA]]*DST_123_ÜRETİM_İHTİYAÇ_RAPORU_BURAK_YENI1309[[#This Row],[BIRIM_FIYATLAR]])&lt;1,VALUE("0"),DST_123_ÜRETİM_İHTİYAÇ_RAPORU_BURAK_YENI1309[[#This Row],[SATINALMA]]*DST_123_ÜRETİM_İHTİYAÇ_RAPORU_BURAK_YENI1309[[#This Row],[BIRIM_FIYATLAR]])</f>
        <v>0</v>
      </c>
      <c r="N303">
        <v>115</v>
      </c>
      <c r="O303" t="s">
        <v>240</v>
      </c>
      <c r="P303">
        <v>115</v>
      </c>
      <c r="Q303" t="s">
        <v>180</v>
      </c>
    </row>
    <row r="304" spans="1:17" x14ac:dyDescent="0.25">
      <c r="A304" t="s">
        <v>1147</v>
      </c>
      <c r="B304" t="s">
        <v>1145</v>
      </c>
      <c r="C304" t="s">
        <v>175</v>
      </c>
      <c r="D304" t="s">
        <v>534</v>
      </c>
      <c r="E304" t="s">
        <v>535</v>
      </c>
      <c r="F304">
        <v>4</v>
      </c>
      <c r="G304" t="s">
        <v>176</v>
      </c>
      <c r="H304">
        <v>0</v>
      </c>
      <c r="I304">
        <v>212</v>
      </c>
      <c r="J304" s="10">
        <v>625</v>
      </c>
      <c r="K304" s="10">
        <f>SUMIFS(F:F,D:D,DST_123_ÜRETİM_İHTİYAÇ_RAPORU_BURAK_YENI1309[[#This Row],[ALT_KOD]])-(SUMIFS(H:H,D:D,DST_123_ÜRETİM_İHTİYAÇ_RAPORU_BURAK_YENI1309[[#This Row],[ALT_KOD]])+AVERAGEIFS(I:I,D:D,DST_123_ÜRETİM_İHTİYAÇ_RAPORU_BURAK_YENI1309[[#This Row],[ALT_KOD]])+AVERAGEIFS(L:L,D:D,DST_123_ÜRETİM_İHTİYAÇ_RAPORU_BURAK_YENI1309[[#This Row],[ALT_KOD]]))</f>
        <v>-146</v>
      </c>
      <c r="L304">
        <v>0</v>
      </c>
      <c r="M304">
        <f>IF((DST_123_ÜRETİM_İHTİYAÇ_RAPORU_BURAK_YENI1309[[#This Row],[SATINALMA]]*DST_123_ÜRETİM_İHTİYAÇ_RAPORU_BURAK_YENI1309[[#This Row],[BIRIM_FIYATLAR]])&lt;1,VALUE("0"),DST_123_ÜRETİM_İHTİYAÇ_RAPORU_BURAK_YENI1309[[#This Row],[SATINALMA]]*DST_123_ÜRETİM_İHTİYAÇ_RAPORU_BURAK_YENI1309[[#This Row],[BIRIM_FIYATLAR]])</f>
        <v>0</v>
      </c>
      <c r="N304">
        <v>3.95</v>
      </c>
      <c r="O304" t="s">
        <v>240</v>
      </c>
      <c r="P304">
        <v>15.8</v>
      </c>
      <c r="Q304" t="s">
        <v>180</v>
      </c>
    </row>
    <row r="305" spans="1:17" x14ac:dyDescent="0.25">
      <c r="A305" t="s">
        <v>1148</v>
      </c>
      <c r="B305" t="s">
        <v>1056</v>
      </c>
      <c r="C305" t="s">
        <v>175</v>
      </c>
      <c r="D305" t="s">
        <v>534</v>
      </c>
      <c r="E305" t="s">
        <v>535</v>
      </c>
      <c r="F305">
        <v>4</v>
      </c>
      <c r="G305" t="s">
        <v>176</v>
      </c>
      <c r="H305">
        <v>0</v>
      </c>
      <c r="I305">
        <v>212</v>
      </c>
      <c r="J305" s="10">
        <v>625</v>
      </c>
      <c r="K305" s="10">
        <f>SUMIFS(F:F,D:D,DST_123_ÜRETİM_İHTİYAÇ_RAPORU_BURAK_YENI1309[[#This Row],[ALT_KOD]])-(SUMIFS(H:H,D:D,DST_123_ÜRETİM_İHTİYAÇ_RAPORU_BURAK_YENI1309[[#This Row],[ALT_KOD]])+AVERAGEIFS(I:I,D:D,DST_123_ÜRETİM_İHTİYAÇ_RAPORU_BURAK_YENI1309[[#This Row],[ALT_KOD]])+AVERAGEIFS(L:L,D:D,DST_123_ÜRETİM_İHTİYAÇ_RAPORU_BURAK_YENI1309[[#This Row],[ALT_KOD]]))</f>
        <v>-146</v>
      </c>
      <c r="L305">
        <v>0</v>
      </c>
      <c r="M305">
        <f>IF((DST_123_ÜRETİM_İHTİYAÇ_RAPORU_BURAK_YENI1309[[#This Row],[SATINALMA]]*DST_123_ÜRETİM_İHTİYAÇ_RAPORU_BURAK_YENI1309[[#This Row],[BIRIM_FIYATLAR]])&lt;1,VALUE("0"),DST_123_ÜRETİM_İHTİYAÇ_RAPORU_BURAK_YENI1309[[#This Row],[SATINALMA]]*DST_123_ÜRETİM_İHTİYAÇ_RAPORU_BURAK_YENI1309[[#This Row],[BIRIM_FIYATLAR]])</f>
        <v>0</v>
      </c>
      <c r="N305">
        <v>3.95</v>
      </c>
      <c r="O305" t="s">
        <v>240</v>
      </c>
      <c r="P305">
        <v>15.8</v>
      </c>
      <c r="Q305" t="s">
        <v>180</v>
      </c>
    </row>
    <row r="306" spans="1:17" x14ac:dyDescent="0.25">
      <c r="A306" t="s">
        <v>1147</v>
      </c>
      <c r="B306" t="s">
        <v>1145</v>
      </c>
      <c r="C306" t="s">
        <v>175</v>
      </c>
      <c r="D306" t="s">
        <v>776</v>
      </c>
      <c r="E306" t="s">
        <v>777</v>
      </c>
      <c r="F306">
        <v>1</v>
      </c>
      <c r="G306" t="s">
        <v>176</v>
      </c>
      <c r="H306">
        <v>0</v>
      </c>
      <c r="I306">
        <v>6</v>
      </c>
      <c r="J306" s="10">
        <v>7</v>
      </c>
      <c r="K306" s="10">
        <f>SUMIFS(F:F,D:D,DST_123_ÜRETİM_İHTİYAÇ_RAPORU_BURAK_YENI1309[[#This Row],[ALT_KOD]])-(SUMIFS(H:H,D:D,DST_123_ÜRETİM_İHTİYAÇ_RAPORU_BURAK_YENI1309[[#This Row],[ALT_KOD]])+AVERAGEIFS(I:I,D:D,DST_123_ÜRETİM_İHTİYAÇ_RAPORU_BURAK_YENI1309[[#This Row],[ALT_KOD]])+AVERAGEIFS(L:L,D:D,DST_123_ÜRETİM_İHTİYAÇ_RAPORU_BURAK_YENI1309[[#This Row],[ALT_KOD]]))</f>
        <v>5</v>
      </c>
      <c r="L306">
        <v>0</v>
      </c>
      <c r="M306">
        <f>IF((DST_123_ÜRETİM_İHTİYAÇ_RAPORU_BURAK_YENI1309[[#This Row],[SATINALMA]]*DST_123_ÜRETİM_İHTİYAÇ_RAPORU_BURAK_YENI1309[[#This Row],[BIRIM_FIYATLAR]])&lt;1,VALUE("0"),DST_123_ÜRETİM_İHTİYAÇ_RAPORU_BURAK_YENI1309[[#This Row],[SATINALMA]]*DST_123_ÜRETİM_İHTİYAÇ_RAPORU_BURAK_YENI1309[[#This Row],[BIRIM_FIYATLAR]])</f>
        <v>12288.25</v>
      </c>
      <c r="N306">
        <v>2457.65</v>
      </c>
      <c r="O306" t="s">
        <v>634</v>
      </c>
      <c r="P306">
        <v>2457.65</v>
      </c>
      <c r="Q306" t="s">
        <v>177</v>
      </c>
    </row>
    <row r="307" spans="1:17" x14ac:dyDescent="0.25">
      <c r="A307" t="s">
        <v>1148</v>
      </c>
      <c r="B307" t="s">
        <v>1056</v>
      </c>
      <c r="C307" t="s">
        <v>175</v>
      </c>
      <c r="D307" t="s">
        <v>776</v>
      </c>
      <c r="E307" t="s">
        <v>777</v>
      </c>
      <c r="F307">
        <v>1</v>
      </c>
      <c r="G307" t="s">
        <v>176</v>
      </c>
      <c r="H307">
        <v>0</v>
      </c>
      <c r="I307">
        <v>6</v>
      </c>
      <c r="J307" s="10">
        <v>7</v>
      </c>
      <c r="K307" s="10">
        <f>SUMIFS(F:F,D:D,DST_123_ÜRETİM_İHTİYAÇ_RAPORU_BURAK_YENI1309[[#This Row],[ALT_KOD]])-(SUMIFS(H:H,D:D,DST_123_ÜRETİM_İHTİYAÇ_RAPORU_BURAK_YENI1309[[#This Row],[ALT_KOD]])+AVERAGEIFS(I:I,D:D,DST_123_ÜRETİM_İHTİYAÇ_RAPORU_BURAK_YENI1309[[#This Row],[ALT_KOD]])+AVERAGEIFS(L:L,D:D,DST_123_ÜRETİM_İHTİYAÇ_RAPORU_BURAK_YENI1309[[#This Row],[ALT_KOD]]))</f>
        <v>5</v>
      </c>
      <c r="L307">
        <v>0</v>
      </c>
      <c r="M307">
        <f>IF((DST_123_ÜRETİM_İHTİYAÇ_RAPORU_BURAK_YENI1309[[#This Row],[SATINALMA]]*DST_123_ÜRETİM_İHTİYAÇ_RAPORU_BURAK_YENI1309[[#This Row],[BIRIM_FIYATLAR]])&lt;1,VALUE("0"),DST_123_ÜRETİM_İHTİYAÇ_RAPORU_BURAK_YENI1309[[#This Row],[SATINALMA]]*DST_123_ÜRETİM_İHTİYAÇ_RAPORU_BURAK_YENI1309[[#This Row],[BIRIM_FIYATLAR]])</f>
        <v>12288.25</v>
      </c>
      <c r="N307">
        <v>2457.65</v>
      </c>
      <c r="O307" t="s">
        <v>634</v>
      </c>
      <c r="P307">
        <v>2457.65</v>
      </c>
      <c r="Q307" t="s">
        <v>177</v>
      </c>
    </row>
    <row r="308" spans="1:17" x14ac:dyDescent="0.25">
      <c r="A308" t="s">
        <v>1196</v>
      </c>
      <c r="B308" t="s">
        <v>1197</v>
      </c>
      <c r="C308" t="s">
        <v>175</v>
      </c>
      <c r="D308" t="s">
        <v>491</v>
      </c>
      <c r="E308" t="s">
        <v>492</v>
      </c>
      <c r="F308">
        <v>14</v>
      </c>
      <c r="G308" t="s">
        <v>179</v>
      </c>
      <c r="H308">
        <v>0</v>
      </c>
      <c r="I308">
        <v>0</v>
      </c>
      <c r="J308" s="10">
        <v>0</v>
      </c>
      <c r="K308" s="10">
        <f>SUMIFS(F:F,D:D,DST_123_ÜRETİM_İHTİYAÇ_RAPORU_BURAK_YENI1309[[#This Row],[ALT_KOD]])-(SUMIFS(H:H,D:D,DST_123_ÜRETİM_İHTİYAÇ_RAPORU_BURAK_YENI1309[[#This Row],[ALT_KOD]])+AVERAGEIFS(I:I,D:D,DST_123_ÜRETİM_İHTİYAÇ_RAPORU_BURAK_YENI1309[[#This Row],[ALT_KOD]])+AVERAGEIFS(L:L,D:D,DST_123_ÜRETİM_İHTİYAÇ_RAPORU_BURAK_YENI1309[[#This Row],[ALT_KOD]]))</f>
        <v>58</v>
      </c>
      <c r="L308">
        <v>200</v>
      </c>
      <c r="M308">
        <f>IF((DST_123_ÜRETİM_İHTİYAÇ_RAPORU_BURAK_YENI1309[[#This Row],[SATINALMA]]*DST_123_ÜRETİM_İHTİYAÇ_RAPORU_BURAK_YENI1309[[#This Row],[BIRIM_FIYATLAR]])&lt;1,VALUE("0"),DST_123_ÜRETİM_İHTİYAÇ_RAPORU_BURAK_YENI1309[[#This Row],[SATINALMA]]*DST_123_ÜRETİM_İHTİYAÇ_RAPORU_BURAK_YENI1309[[#This Row],[BIRIM_FIYATLAR]])</f>
        <v>232.57999999999998</v>
      </c>
      <c r="N308">
        <v>4.01</v>
      </c>
      <c r="O308" t="s">
        <v>707</v>
      </c>
      <c r="P308">
        <v>56.14</v>
      </c>
      <c r="Q308" t="s">
        <v>184</v>
      </c>
    </row>
    <row r="309" spans="1:17" x14ac:dyDescent="0.25">
      <c r="A309" t="s">
        <v>1099</v>
      </c>
      <c r="B309" t="s">
        <v>1055</v>
      </c>
      <c r="C309" t="s">
        <v>175</v>
      </c>
      <c r="D309" t="s">
        <v>491</v>
      </c>
      <c r="E309" t="s">
        <v>492</v>
      </c>
      <c r="F309">
        <v>14</v>
      </c>
      <c r="G309" t="s">
        <v>179</v>
      </c>
      <c r="H309">
        <v>0</v>
      </c>
      <c r="I309">
        <v>0</v>
      </c>
      <c r="J309" s="10">
        <v>0</v>
      </c>
      <c r="K309" s="10">
        <f>SUMIFS(F:F,D:D,DST_123_ÜRETİM_İHTİYAÇ_RAPORU_BURAK_YENI1309[[#This Row],[ALT_KOD]])-(SUMIFS(H:H,D:D,DST_123_ÜRETİM_İHTİYAÇ_RAPORU_BURAK_YENI1309[[#This Row],[ALT_KOD]])+AVERAGEIFS(I:I,D:D,DST_123_ÜRETİM_İHTİYAÇ_RAPORU_BURAK_YENI1309[[#This Row],[ALT_KOD]])+AVERAGEIFS(L:L,D:D,DST_123_ÜRETİM_İHTİYAÇ_RAPORU_BURAK_YENI1309[[#This Row],[ALT_KOD]]))</f>
        <v>58</v>
      </c>
      <c r="L309">
        <v>200</v>
      </c>
      <c r="M309">
        <f>IF((DST_123_ÜRETİM_İHTİYAÇ_RAPORU_BURAK_YENI1309[[#This Row],[SATINALMA]]*DST_123_ÜRETİM_İHTİYAÇ_RAPORU_BURAK_YENI1309[[#This Row],[BIRIM_FIYATLAR]])&lt;1,VALUE("0"),DST_123_ÜRETİM_İHTİYAÇ_RAPORU_BURAK_YENI1309[[#This Row],[SATINALMA]]*DST_123_ÜRETİM_İHTİYAÇ_RAPORU_BURAK_YENI1309[[#This Row],[BIRIM_FIYATLAR]])</f>
        <v>232.57999999999998</v>
      </c>
      <c r="N309">
        <v>4.01</v>
      </c>
      <c r="O309" t="s">
        <v>707</v>
      </c>
      <c r="P309">
        <v>56.14</v>
      </c>
      <c r="Q309" t="s">
        <v>184</v>
      </c>
    </row>
    <row r="310" spans="1:17" x14ac:dyDescent="0.25">
      <c r="A310" t="s">
        <v>1064</v>
      </c>
      <c r="B310" t="s">
        <v>1055</v>
      </c>
      <c r="C310" t="s">
        <v>175</v>
      </c>
      <c r="D310" t="s">
        <v>231</v>
      </c>
      <c r="E310" t="s">
        <v>232</v>
      </c>
      <c r="F310">
        <v>2</v>
      </c>
      <c r="G310" t="s">
        <v>176</v>
      </c>
      <c r="H310">
        <v>0</v>
      </c>
      <c r="I310">
        <v>239</v>
      </c>
      <c r="J310" s="10">
        <v>90</v>
      </c>
      <c r="K310" s="10">
        <f>SUMIFS(F:F,D:D,DST_123_ÜRETİM_İHTİYAÇ_RAPORU_BURAK_YENI1309[[#This Row],[ALT_KOD]])-(SUMIFS(H:H,D:D,DST_123_ÜRETİM_İHTİYAÇ_RAPORU_BURAK_YENI1309[[#This Row],[ALT_KOD]])+AVERAGEIFS(I:I,D:D,DST_123_ÜRETİM_İHTİYAÇ_RAPORU_BURAK_YENI1309[[#This Row],[ALT_KOD]])+AVERAGEIFS(L:L,D:D,DST_123_ÜRETİM_İHTİYAÇ_RAPORU_BURAK_YENI1309[[#This Row],[ALT_KOD]]))</f>
        <v>-201</v>
      </c>
      <c r="L310">
        <v>0</v>
      </c>
      <c r="M310">
        <f>IF((DST_123_ÜRETİM_İHTİYAÇ_RAPORU_BURAK_YENI1309[[#This Row],[SATINALMA]]*DST_123_ÜRETİM_İHTİYAÇ_RAPORU_BURAK_YENI1309[[#This Row],[BIRIM_FIYATLAR]])&lt;1,VALUE("0"),DST_123_ÜRETİM_İHTİYAÇ_RAPORU_BURAK_YENI1309[[#This Row],[SATINALMA]]*DST_123_ÜRETİM_İHTİYAÇ_RAPORU_BURAK_YENI1309[[#This Row],[BIRIM_FIYATLAR]])</f>
        <v>0</v>
      </c>
      <c r="N310">
        <v>4</v>
      </c>
      <c r="O310" t="s">
        <v>220</v>
      </c>
      <c r="P310">
        <v>8</v>
      </c>
      <c r="Q310" t="s">
        <v>221</v>
      </c>
    </row>
    <row r="311" spans="1:17" x14ac:dyDescent="0.25">
      <c r="A311" t="s">
        <v>1064</v>
      </c>
      <c r="B311" t="s">
        <v>1055</v>
      </c>
      <c r="C311" t="s">
        <v>175</v>
      </c>
      <c r="D311" t="s">
        <v>15</v>
      </c>
      <c r="E311" t="s">
        <v>16</v>
      </c>
      <c r="F311">
        <v>1</v>
      </c>
      <c r="G311" t="s">
        <v>176</v>
      </c>
      <c r="H311">
        <v>0</v>
      </c>
      <c r="I311">
        <v>7</v>
      </c>
      <c r="J311" s="10">
        <v>10</v>
      </c>
      <c r="K311" s="10">
        <f>SUMIFS(F:F,D:D,DST_123_ÜRETİM_İHTİYAÇ_RAPORU_BURAK_YENI1309[[#This Row],[ALT_KOD]])-(SUMIFS(H:H,D:D,DST_123_ÜRETİM_İHTİYAÇ_RAPORU_BURAK_YENI1309[[#This Row],[ALT_KOD]])+AVERAGEIFS(I:I,D:D,DST_123_ÜRETİM_İHTİYAÇ_RAPORU_BURAK_YENI1309[[#This Row],[ALT_KOD]])+AVERAGEIFS(L:L,D:D,DST_123_ÜRETİM_İHTİYAÇ_RAPORU_BURAK_YENI1309[[#This Row],[ALT_KOD]]))</f>
        <v>6</v>
      </c>
      <c r="L311">
        <v>0</v>
      </c>
      <c r="M311">
        <f>IF((DST_123_ÜRETİM_İHTİYAÇ_RAPORU_BURAK_YENI1309[[#This Row],[SATINALMA]]*DST_123_ÜRETİM_İHTİYAÇ_RAPORU_BURAK_YENI1309[[#This Row],[BIRIM_FIYATLAR]])&lt;1,VALUE("0"),DST_123_ÜRETİM_İHTİYAÇ_RAPORU_BURAK_YENI1309[[#This Row],[SATINALMA]]*DST_123_ÜRETİM_İHTİYAÇ_RAPORU_BURAK_YENI1309[[#This Row],[BIRIM_FIYATLAR]])</f>
        <v>20303.939999999999</v>
      </c>
      <c r="N311">
        <v>3383.99</v>
      </c>
      <c r="O311" t="s">
        <v>215</v>
      </c>
      <c r="P311">
        <v>3383.99</v>
      </c>
      <c r="Q311" t="s">
        <v>221</v>
      </c>
    </row>
    <row r="312" spans="1:17" x14ac:dyDescent="0.25">
      <c r="A312" t="s">
        <v>1064</v>
      </c>
      <c r="B312" t="s">
        <v>1055</v>
      </c>
      <c r="C312" t="s">
        <v>175</v>
      </c>
      <c r="D312" t="s">
        <v>28</v>
      </c>
      <c r="E312" t="s">
        <v>29</v>
      </c>
      <c r="F312">
        <v>110</v>
      </c>
      <c r="G312" t="s">
        <v>176</v>
      </c>
      <c r="H312">
        <v>0</v>
      </c>
      <c r="I312">
        <v>3000</v>
      </c>
      <c r="J312" s="10">
        <v>1048</v>
      </c>
      <c r="K312" s="10">
        <f>SUMIFS(F:F,D:D,DST_123_ÜRETİM_İHTİYAÇ_RAPORU_BURAK_YENI1309[[#This Row],[ALT_KOD]])-(SUMIFS(H:H,D:D,DST_123_ÜRETİM_İHTİYAÇ_RAPORU_BURAK_YENI1309[[#This Row],[ALT_KOD]])+AVERAGEIFS(I:I,D:D,DST_123_ÜRETİM_İHTİYAÇ_RAPORU_BURAK_YENI1309[[#This Row],[ALT_KOD]])+AVERAGEIFS(L:L,D:D,DST_123_ÜRETİM_İHTİYAÇ_RAPORU_BURAK_YENI1309[[#This Row],[ALT_KOD]]))</f>
        <v>-967</v>
      </c>
      <c r="L312">
        <v>0</v>
      </c>
      <c r="M312">
        <f>IF((DST_123_ÜRETİM_İHTİYAÇ_RAPORU_BURAK_YENI1309[[#This Row],[SATINALMA]]*DST_123_ÜRETİM_İHTİYAÇ_RAPORU_BURAK_YENI1309[[#This Row],[BIRIM_FIYATLAR]])&lt;1,VALUE("0"),DST_123_ÜRETİM_İHTİYAÇ_RAPORU_BURAK_YENI1309[[#This Row],[SATINALMA]]*DST_123_ÜRETİM_İHTİYAÇ_RAPORU_BURAK_YENI1309[[#This Row],[BIRIM_FIYATLAR]])</f>
        <v>0</v>
      </c>
      <c r="N312">
        <v>2.92</v>
      </c>
      <c r="O312" t="s">
        <v>628</v>
      </c>
      <c r="P312">
        <v>321.2</v>
      </c>
      <c r="Q312" t="s">
        <v>180</v>
      </c>
    </row>
    <row r="313" spans="1:17" x14ac:dyDescent="0.25">
      <c r="A313" t="s">
        <v>1146</v>
      </c>
      <c r="B313" t="s">
        <v>1145</v>
      </c>
      <c r="C313" t="s">
        <v>175</v>
      </c>
      <c r="D313" t="s">
        <v>231</v>
      </c>
      <c r="E313" t="s">
        <v>232</v>
      </c>
      <c r="F313">
        <v>2</v>
      </c>
      <c r="G313" t="s">
        <v>176</v>
      </c>
      <c r="H313">
        <v>0</v>
      </c>
      <c r="I313">
        <v>239</v>
      </c>
      <c r="J313" s="10">
        <v>90</v>
      </c>
      <c r="K313" s="10">
        <f>SUMIFS(F:F,D:D,DST_123_ÜRETİM_İHTİYAÇ_RAPORU_BURAK_YENI1309[[#This Row],[ALT_KOD]])-(SUMIFS(H:H,D:D,DST_123_ÜRETİM_İHTİYAÇ_RAPORU_BURAK_YENI1309[[#This Row],[ALT_KOD]])+AVERAGEIFS(I:I,D:D,DST_123_ÜRETİM_İHTİYAÇ_RAPORU_BURAK_YENI1309[[#This Row],[ALT_KOD]])+AVERAGEIFS(L:L,D:D,DST_123_ÜRETİM_İHTİYAÇ_RAPORU_BURAK_YENI1309[[#This Row],[ALT_KOD]]))</f>
        <v>-201</v>
      </c>
      <c r="L313">
        <v>0</v>
      </c>
      <c r="M313">
        <f>IF((DST_123_ÜRETİM_İHTİYAÇ_RAPORU_BURAK_YENI1309[[#This Row],[SATINALMA]]*DST_123_ÜRETİM_İHTİYAÇ_RAPORU_BURAK_YENI1309[[#This Row],[BIRIM_FIYATLAR]])&lt;1,VALUE("0"),DST_123_ÜRETİM_İHTİYAÇ_RAPORU_BURAK_YENI1309[[#This Row],[SATINALMA]]*DST_123_ÜRETİM_İHTİYAÇ_RAPORU_BURAK_YENI1309[[#This Row],[BIRIM_FIYATLAR]])</f>
        <v>0</v>
      </c>
      <c r="N313">
        <v>4</v>
      </c>
      <c r="O313" t="s">
        <v>220</v>
      </c>
      <c r="P313">
        <v>8</v>
      </c>
      <c r="Q313" t="s">
        <v>221</v>
      </c>
    </row>
    <row r="314" spans="1:17" x14ac:dyDescent="0.25">
      <c r="A314" t="s">
        <v>1144</v>
      </c>
      <c r="B314" t="s">
        <v>1145</v>
      </c>
      <c r="C314" t="s">
        <v>175</v>
      </c>
      <c r="D314" t="s">
        <v>231</v>
      </c>
      <c r="E314" t="s">
        <v>232</v>
      </c>
      <c r="F314">
        <v>2</v>
      </c>
      <c r="G314" t="s">
        <v>176</v>
      </c>
      <c r="H314">
        <v>0</v>
      </c>
      <c r="I314">
        <v>239</v>
      </c>
      <c r="J314" s="10">
        <v>90</v>
      </c>
      <c r="K314" s="10">
        <f>SUMIFS(F:F,D:D,DST_123_ÜRETİM_İHTİYAÇ_RAPORU_BURAK_YENI1309[[#This Row],[ALT_KOD]])-(SUMIFS(H:H,D:D,DST_123_ÜRETİM_İHTİYAÇ_RAPORU_BURAK_YENI1309[[#This Row],[ALT_KOD]])+AVERAGEIFS(I:I,D:D,DST_123_ÜRETİM_İHTİYAÇ_RAPORU_BURAK_YENI1309[[#This Row],[ALT_KOD]])+AVERAGEIFS(L:L,D:D,DST_123_ÜRETİM_İHTİYAÇ_RAPORU_BURAK_YENI1309[[#This Row],[ALT_KOD]]))</f>
        <v>-201</v>
      </c>
      <c r="L314">
        <v>0</v>
      </c>
      <c r="M314">
        <f>IF((DST_123_ÜRETİM_İHTİYAÇ_RAPORU_BURAK_YENI1309[[#This Row],[SATINALMA]]*DST_123_ÜRETİM_İHTİYAÇ_RAPORU_BURAK_YENI1309[[#This Row],[BIRIM_FIYATLAR]])&lt;1,VALUE("0"),DST_123_ÜRETİM_İHTİYAÇ_RAPORU_BURAK_YENI1309[[#This Row],[SATINALMA]]*DST_123_ÜRETİM_İHTİYAÇ_RAPORU_BURAK_YENI1309[[#This Row],[BIRIM_FIYATLAR]])</f>
        <v>0</v>
      </c>
      <c r="N314">
        <v>4</v>
      </c>
      <c r="O314" t="s">
        <v>220</v>
      </c>
      <c r="P314">
        <v>8</v>
      </c>
      <c r="Q314" t="s">
        <v>221</v>
      </c>
    </row>
    <row r="315" spans="1:17" x14ac:dyDescent="0.25">
      <c r="A315" t="s">
        <v>1149</v>
      </c>
      <c r="B315" t="s">
        <v>1145</v>
      </c>
      <c r="C315" t="s">
        <v>175</v>
      </c>
      <c r="D315" t="s">
        <v>15</v>
      </c>
      <c r="E315" t="s">
        <v>16</v>
      </c>
      <c r="F315">
        <v>1</v>
      </c>
      <c r="G315" t="s">
        <v>176</v>
      </c>
      <c r="H315">
        <v>0</v>
      </c>
      <c r="I315">
        <v>7</v>
      </c>
      <c r="J315" s="10">
        <v>10</v>
      </c>
      <c r="K315" s="10">
        <f>SUMIFS(F:F,D:D,DST_123_ÜRETİM_İHTİYAÇ_RAPORU_BURAK_YENI1309[[#This Row],[ALT_KOD]])-(SUMIFS(H:H,D:D,DST_123_ÜRETİM_İHTİYAÇ_RAPORU_BURAK_YENI1309[[#This Row],[ALT_KOD]])+AVERAGEIFS(I:I,D:D,DST_123_ÜRETİM_İHTİYAÇ_RAPORU_BURAK_YENI1309[[#This Row],[ALT_KOD]])+AVERAGEIFS(L:L,D:D,DST_123_ÜRETİM_İHTİYAÇ_RAPORU_BURAK_YENI1309[[#This Row],[ALT_KOD]]))</f>
        <v>6</v>
      </c>
      <c r="L315">
        <v>0</v>
      </c>
      <c r="M315">
        <f>IF((DST_123_ÜRETİM_İHTİYAÇ_RAPORU_BURAK_YENI1309[[#This Row],[SATINALMA]]*DST_123_ÜRETİM_İHTİYAÇ_RAPORU_BURAK_YENI1309[[#This Row],[BIRIM_FIYATLAR]])&lt;1,VALUE("0"),DST_123_ÜRETİM_İHTİYAÇ_RAPORU_BURAK_YENI1309[[#This Row],[SATINALMA]]*DST_123_ÜRETİM_İHTİYAÇ_RAPORU_BURAK_YENI1309[[#This Row],[BIRIM_FIYATLAR]])</f>
        <v>20303.939999999999</v>
      </c>
      <c r="N315">
        <v>3383.99</v>
      </c>
      <c r="O315" t="s">
        <v>215</v>
      </c>
      <c r="P315">
        <v>3383.99</v>
      </c>
      <c r="Q315" t="s">
        <v>221</v>
      </c>
    </row>
    <row r="316" spans="1:17" x14ac:dyDescent="0.25">
      <c r="A316" t="s">
        <v>1144</v>
      </c>
      <c r="B316" t="s">
        <v>1145</v>
      </c>
      <c r="C316" t="s">
        <v>175</v>
      </c>
      <c r="D316" t="s">
        <v>28</v>
      </c>
      <c r="E316" t="s">
        <v>29</v>
      </c>
      <c r="F316">
        <v>135</v>
      </c>
      <c r="G316" t="s">
        <v>176</v>
      </c>
      <c r="H316">
        <v>0</v>
      </c>
      <c r="I316">
        <v>3000</v>
      </c>
      <c r="J316" s="10">
        <v>1048</v>
      </c>
      <c r="K316" s="10">
        <f>SUMIFS(F:F,D:D,DST_123_ÜRETİM_İHTİYAÇ_RAPORU_BURAK_YENI1309[[#This Row],[ALT_KOD]])-(SUMIFS(H:H,D:D,DST_123_ÜRETİM_İHTİYAÇ_RAPORU_BURAK_YENI1309[[#This Row],[ALT_KOD]])+AVERAGEIFS(I:I,D:D,DST_123_ÜRETİM_İHTİYAÇ_RAPORU_BURAK_YENI1309[[#This Row],[ALT_KOD]])+AVERAGEIFS(L:L,D:D,DST_123_ÜRETİM_İHTİYAÇ_RAPORU_BURAK_YENI1309[[#This Row],[ALT_KOD]]))</f>
        <v>-967</v>
      </c>
      <c r="L316">
        <v>0</v>
      </c>
      <c r="M316">
        <f>IF((DST_123_ÜRETİM_İHTİYAÇ_RAPORU_BURAK_YENI1309[[#This Row],[SATINALMA]]*DST_123_ÜRETİM_İHTİYAÇ_RAPORU_BURAK_YENI1309[[#This Row],[BIRIM_FIYATLAR]])&lt;1,VALUE("0"),DST_123_ÜRETİM_İHTİYAÇ_RAPORU_BURAK_YENI1309[[#This Row],[SATINALMA]]*DST_123_ÜRETİM_İHTİYAÇ_RAPORU_BURAK_YENI1309[[#This Row],[BIRIM_FIYATLAR]])</f>
        <v>0</v>
      </c>
      <c r="N316">
        <v>2.92</v>
      </c>
      <c r="O316" t="s">
        <v>628</v>
      </c>
      <c r="P316">
        <v>394.2</v>
      </c>
      <c r="Q316" t="s">
        <v>180</v>
      </c>
    </row>
    <row r="317" spans="1:17" x14ac:dyDescent="0.25">
      <c r="A317" t="s">
        <v>1146</v>
      </c>
      <c r="B317" t="s">
        <v>1145</v>
      </c>
      <c r="C317" t="s">
        <v>175</v>
      </c>
      <c r="D317" t="s">
        <v>28</v>
      </c>
      <c r="E317" t="s">
        <v>29</v>
      </c>
      <c r="F317">
        <v>135</v>
      </c>
      <c r="G317" t="s">
        <v>176</v>
      </c>
      <c r="H317">
        <v>0</v>
      </c>
      <c r="I317">
        <v>3000</v>
      </c>
      <c r="J317" s="10">
        <v>1048</v>
      </c>
      <c r="K317" s="10">
        <f>SUMIFS(F:F,D:D,DST_123_ÜRETİM_İHTİYAÇ_RAPORU_BURAK_YENI1309[[#This Row],[ALT_KOD]])-(SUMIFS(H:H,D:D,DST_123_ÜRETİM_İHTİYAÇ_RAPORU_BURAK_YENI1309[[#This Row],[ALT_KOD]])+AVERAGEIFS(I:I,D:D,DST_123_ÜRETİM_İHTİYAÇ_RAPORU_BURAK_YENI1309[[#This Row],[ALT_KOD]])+AVERAGEIFS(L:L,D:D,DST_123_ÜRETİM_İHTİYAÇ_RAPORU_BURAK_YENI1309[[#This Row],[ALT_KOD]]))</f>
        <v>-967</v>
      </c>
      <c r="L317">
        <v>0</v>
      </c>
      <c r="M317">
        <f>IF((DST_123_ÜRETİM_İHTİYAÇ_RAPORU_BURAK_YENI1309[[#This Row],[SATINALMA]]*DST_123_ÜRETİM_İHTİYAÇ_RAPORU_BURAK_YENI1309[[#This Row],[BIRIM_FIYATLAR]])&lt;1,VALUE("0"),DST_123_ÜRETİM_İHTİYAÇ_RAPORU_BURAK_YENI1309[[#This Row],[SATINALMA]]*DST_123_ÜRETİM_İHTİYAÇ_RAPORU_BURAK_YENI1309[[#This Row],[BIRIM_FIYATLAR]])</f>
        <v>0</v>
      </c>
      <c r="N317">
        <v>2.92</v>
      </c>
      <c r="O317" t="s">
        <v>628</v>
      </c>
      <c r="P317">
        <v>394.2</v>
      </c>
      <c r="Q317" t="s">
        <v>180</v>
      </c>
    </row>
    <row r="318" spans="1:17" x14ac:dyDescent="0.25">
      <c r="A318" t="s">
        <v>1142</v>
      </c>
      <c r="B318" t="s">
        <v>1056</v>
      </c>
      <c r="C318" t="s">
        <v>175</v>
      </c>
      <c r="D318" t="s">
        <v>231</v>
      </c>
      <c r="E318" t="s">
        <v>232</v>
      </c>
      <c r="F318">
        <v>2</v>
      </c>
      <c r="G318" t="s">
        <v>176</v>
      </c>
      <c r="H318">
        <v>0</v>
      </c>
      <c r="I318">
        <v>239</v>
      </c>
      <c r="J318" s="10">
        <v>90</v>
      </c>
      <c r="K318" s="10">
        <f>SUMIFS(F:F,D:D,DST_123_ÜRETİM_İHTİYAÇ_RAPORU_BURAK_YENI1309[[#This Row],[ALT_KOD]])-(SUMIFS(H:H,D:D,DST_123_ÜRETİM_İHTİYAÇ_RAPORU_BURAK_YENI1309[[#This Row],[ALT_KOD]])+AVERAGEIFS(I:I,D:D,DST_123_ÜRETİM_İHTİYAÇ_RAPORU_BURAK_YENI1309[[#This Row],[ALT_KOD]])+AVERAGEIFS(L:L,D:D,DST_123_ÜRETİM_İHTİYAÇ_RAPORU_BURAK_YENI1309[[#This Row],[ALT_KOD]]))</f>
        <v>-201</v>
      </c>
      <c r="L318">
        <v>0</v>
      </c>
      <c r="M318">
        <f>IF((DST_123_ÜRETİM_İHTİYAÇ_RAPORU_BURAK_YENI1309[[#This Row],[SATINALMA]]*DST_123_ÜRETİM_İHTİYAÇ_RAPORU_BURAK_YENI1309[[#This Row],[BIRIM_FIYATLAR]])&lt;1,VALUE("0"),DST_123_ÜRETİM_İHTİYAÇ_RAPORU_BURAK_YENI1309[[#This Row],[SATINALMA]]*DST_123_ÜRETİM_İHTİYAÇ_RAPORU_BURAK_YENI1309[[#This Row],[BIRIM_FIYATLAR]])</f>
        <v>0</v>
      </c>
      <c r="N318">
        <v>4</v>
      </c>
      <c r="O318" t="s">
        <v>220</v>
      </c>
      <c r="P318">
        <v>8</v>
      </c>
      <c r="Q318" t="s">
        <v>221</v>
      </c>
    </row>
    <row r="319" spans="1:17" x14ac:dyDescent="0.25">
      <c r="A319" t="s">
        <v>1142</v>
      </c>
      <c r="B319" t="s">
        <v>1056</v>
      </c>
      <c r="C319" t="s">
        <v>175</v>
      </c>
      <c r="D319" t="s">
        <v>28</v>
      </c>
      <c r="E319" t="s">
        <v>29</v>
      </c>
      <c r="F319">
        <v>135</v>
      </c>
      <c r="G319" t="s">
        <v>176</v>
      </c>
      <c r="H319">
        <v>0</v>
      </c>
      <c r="I319">
        <v>3000</v>
      </c>
      <c r="J319" s="10">
        <v>1048</v>
      </c>
      <c r="K319" s="10">
        <f>SUMIFS(F:F,D:D,DST_123_ÜRETİM_İHTİYAÇ_RAPORU_BURAK_YENI1309[[#This Row],[ALT_KOD]])-(SUMIFS(H:H,D:D,DST_123_ÜRETİM_İHTİYAÇ_RAPORU_BURAK_YENI1309[[#This Row],[ALT_KOD]])+AVERAGEIFS(I:I,D:D,DST_123_ÜRETİM_İHTİYAÇ_RAPORU_BURAK_YENI1309[[#This Row],[ALT_KOD]])+AVERAGEIFS(L:L,D:D,DST_123_ÜRETİM_İHTİYAÇ_RAPORU_BURAK_YENI1309[[#This Row],[ALT_KOD]]))</f>
        <v>-967</v>
      </c>
      <c r="L319">
        <v>0</v>
      </c>
      <c r="M319">
        <f>IF((DST_123_ÜRETİM_İHTİYAÇ_RAPORU_BURAK_YENI1309[[#This Row],[SATINALMA]]*DST_123_ÜRETİM_İHTİYAÇ_RAPORU_BURAK_YENI1309[[#This Row],[BIRIM_FIYATLAR]])&lt;1,VALUE("0"),DST_123_ÜRETİM_İHTİYAÇ_RAPORU_BURAK_YENI1309[[#This Row],[SATINALMA]]*DST_123_ÜRETİM_İHTİYAÇ_RAPORU_BURAK_YENI1309[[#This Row],[BIRIM_FIYATLAR]])</f>
        <v>0</v>
      </c>
      <c r="N319">
        <v>2.92</v>
      </c>
      <c r="O319" t="s">
        <v>628</v>
      </c>
      <c r="P319">
        <v>394.2</v>
      </c>
      <c r="Q319" t="s">
        <v>180</v>
      </c>
    </row>
    <row r="320" spans="1:17" x14ac:dyDescent="0.25">
      <c r="A320" t="s">
        <v>1095</v>
      </c>
      <c r="B320" t="s">
        <v>1096</v>
      </c>
      <c r="C320" t="s">
        <v>175</v>
      </c>
      <c r="D320" t="s">
        <v>491</v>
      </c>
      <c r="E320" t="s">
        <v>492</v>
      </c>
      <c r="F320">
        <v>14</v>
      </c>
      <c r="G320" t="s">
        <v>179</v>
      </c>
      <c r="H320">
        <v>0</v>
      </c>
      <c r="I320">
        <v>0</v>
      </c>
      <c r="J320" s="10">
        <v>0</v>
      </c>
      <c r="K320" s="10">
        <f>SUMIFS(F:F,D:D,DST_123_ÜRETİM_İHTİYAÇ_RAPORU_BURAK_YENI1309[[#This Row],[ALT_KOD]])-(SUMIFS(H:H,D:D,DST_123_ÜRETİM_İHTİYAÇ_RAPORU_BURAK_YENI1309[[#This Row],[ALT_KOD]])+AVERAGEIFS(I:I,D:D,DST_123_ÜRETİM_İHTİYAÇ_RAPORU_BURAK_YENI1309[[#This Row],[ALT_KOD]])+AVERAGEIFS(L:L,D:D,DST_123_ÜRETİM_İHTİYAÇ_RAPORU_BURAK_YENI1309[[#This Row],[ALT_KOD]]))</f>
        <v>58</v>
      </c>
      <c r="L320">
        <v>200</v>
      </c>
      <c r="M320">
        <f>IF((DST_123_ÜRETİM_İHTİYAÇ_RAPORU_BURAK_YENI1309[[#This Row],[SATINALMA]]*DST_123_ÜRETİM_İHTİYAÇ_RAPORU_BURAK_YENI1309[[#This Row],[BIRIM_FIYATLAR]])&lt;1,VALUE("0"),DST_123_ÜRETİM_İHTİYAÇ_RAPORU_BURAK_YENI1309[[#This Row],[SATINALMA]]*DST_123_ÜRETİM_İHTİYAÇ_RAPORU_BURAK_YENI1309[[#This Row],[BIRIM_FIYATLAR]])</f>
        <v>232.57999999999998</v>
      </c>
      <c r="N320">
        <v>4.01</v>
      </c>
      <c r="O320" t="s">
        <v>707</v>
      </c>
      <c r="P320">
        <v>56.14</v>
      </c>
      <c r="Q320" t="s">
        <v>184</v>
      </c>
    </row>
    <row r="321" spans="1:17" x14ac:dyDescent="0.25">
      <c r="A321" t="s">
        <v>1097</v>
      </c>
      <c r="B321" t="s">
        <v>1055</v>
      </c>
      <c r="C321" t="s">
        <v>175</v>
      </c>
      <c r="D321" t="s">
        <v>491</v>
      </c>
      <c r="E321" t="s">
        <v>492</v>
      </c>
      <c r="F321">
        <v>15</v>
      </c>
      <c r="G321" t="s">
        <v>179</v>
      </c>
      <c r="H321">
        <v>0</v>
      </c>
      <c r="I321">
        <v>0</v>
      </c>
      <c r="J321" s="10">
        <v>0</v>
      </c>
      <c r="K321" s="10">
        <f>SUMIFS(F:F,D:D,DST_123_ÜRETİM_İHTİYAÇ_RAPORU_BURAK_YENI1309[[#This Row],[ALT_KOD]])-(SUMIFS(H:H,D:D,DST_123_ÜRETİM_İHTİYAÇ_RAPORU_BURAK_YENI1309[[#This Row],[ALT_KOD]])+AVERAGEIFS(I:I,D:D,DST_123_ÜRETİM_İHTİYAÇ_RAPORU_BURAK_YENI1309[[#This Row],[ALT_KOD]])+AVERAGEIFS(L:L,D:D,DST_123_ÜRETİM_İHTİYAÇ_RAPORU_BURAK_YENI1309[[#This Row],[ALT_KOD]]))</f>
        <v>58</v>
      </c>
      <c r="L321">
        <v>200</v>
      </c>
      <c r="M321">
        <f>IF((DST_123_ÜRETİM_İHTİYAÇ_RAPORU_BURAK_YENI1309[[#This Row],[SATINALMA]]*DST_123_ÜRETİM_İHTİYAÇ_RAPORU_BURAK_YENI1309[[#This Row],[BIRIM_FIYATLAR]])&lt;1,VALUE("0"),DST_123_ÜRETİM_İHTİYAÇ_RAPORU_BURAK_YENI1309[[#This Row],[SATINALMA]]*DST_123_ÜRETİM_İHTİYAÇ_RAPORU_BURAK_YENI1309[[#This Row],[BIRIM_FIYATLAR]])</f>
        <v>232.57999999999998</v>
      </c>
      <c r="N321">
        <v>4.01</v>
      </c>
      <c r="O321" t="s">
        <v>707</v>
      </c>
      <c r="P321">
        <v>60.15</v>
      </c>
      <c r="Q321" t="s">
        <v>184</v>
      </c>
    </row>
    <row r="322" spans="1:17" x14ac:dyDescent="0.25">
      <c r="A322" t="s">
        <v>1143</v>
      </c>
      <c r="B322" t="s">
        <v>1056</v>
      </c>
      <c r="C322" t="s">
        <v>175</v>
      </c>
      <c r="D322" t="s">
        <v>231</v>
      </c>
      <c r="E322" t="s">
        <v>232</v>
      </c>
      <c r="F322">
        <v>2</v>
      </c>
      <c r="G322" t="s">
        <v>176</v>
      </c>
      <c r="H322">
        <v>0</v>
      </c>
      <c r="I322">
        <v>239</v>
      </c>
      <c r="J322" s="10">
        <v>90</v>
      </c>
      <c r="K322" s="10">
        <f>SUMIFS(F:F,D:D,DST_123_ÜRETİM_İHTİYAÇ_RAPORU_BURAK_YENI1309[[#This Row],[ALT_KOD]])-(SUMIFS(H:H,D:D,DST_123_ÜRETİM_İHTİYAÇ_RAPORU_BURAK_YENI1309[[#This Row],[ALT_KOD]])+AVERAGEIFS(I:I,D:D,DST_123_ÜRETİM_İHTİYAÇ_RAPORU_BURAK_YENI1309[[#This Row],[ALT_KOD]])+AVERAGEIFS(L:L,D:D,DST_123_ÜRETİM_İHTİYAÇ_RAPORU_BURAK_YENI1309[[#This Row],[ALT_KOD]]))</f>
        <v>-201</v>
      </c>
      <c r="L322">
        <v>0</v>
      </c>
      <c r="M322">
        <f>IF((DST_123_ÜRETİM_İHTİYAÇ_RAPORU_BURAK_YENI1309[[#This Row],[SATINALMA]]*DST_123_ÜRETİM_İHTİYAÇ_RAPORU_BURAK_YENI1309[[#This Row],[BIRIM_FIYATLAR]])&lt;1,VALUE("0"),DST_123_ÜRETİM_İHTİYAÇ_RAPORU_BURAK_YENI1309[[#This Row],[SATINALMA]]*DST_123_ÜRETİM_İHTİYAÇ_RAPORU_BURAK_YENI1309[[#This Row],[BIRIM_FIYATLAR]])</f>
        <v>0</v>
      </c>
      <c r="N322">
        <v>4</v>
      </c>
      <c r="O322" t="s">
        <v>220</v>
      </c>
      <c r="P322">
        <v>8</v>
      </c>
      <c r="Q322" t="s">
        <v>221</v>
      </c>
    </row>
    <row r="323" spans="1:17" x14ac:dyDescent="0.25">
      <c r="A323" t="s">
        <v>1143</v>
      </c>
      <c r="B323" t="s">
        <v>1056</v>
      </c>
      <c r="C323" t="s">
        <v>175</v>
      </c>
      <c r="D323" t="s">
        <v>15</v>
      </c>
      <c r="E323" t="s">
        <v>16</v>
      </c>
      <c r="F323">
        <v>1</v>
      </c>
      <c r="G323" t="s">
        <v>176</v>
      </c>
      <c r="H323">
        <v>0</v>
      </c>
      <c r="I323">
        <v>7</v>
      </c>
      <c r="J323" s="10">
        <v>10</v>
      </c>
      <c r="K323" s="10">
        <f>SUMIFS(F:F,D:D,DST_123_ÜRETİM_İHTİYAÇ_RAPORU_BURAK_YENI1309[[#This Row],[ALT_KOD]])-(SUMIFS(H:H,D:D,DST_123_ÜRETİM_İHTİYAÇ_RAPORU_BURAK_YENI1309[[#This Row],[ALT_KOD]])+AVERAGEIFS(I:I,D:D,DST_123_ÜRETİM_İHTİYAÇ_RAPORU_BURAK_YENI1309[[#This Row],[ALT_KOD]])+AVERAGEIFS(L:L,D:D,DST_123_ÜRETİM_İHTİYAÇ_RAPORU_BURAK_YENI1309[[#This Row],[ALT_KOD]]))</f>
        <v>6</v>
      </c>
      <c r="L323">
        <v>0</v>
      </c>
      <c r="M323">
        <f>IF((DST_123_ÜRETİM_İHTİYAÇ_RAPORU_BURAK_YENI1309[[#This Row],[SATINALMA]]*DST_123_ÜRETİM_İHTİYAÇ_RAPORU_BURAK_YENI1309[[#This Row],[BIRIM_FIYATLAR]])&lt;1,VALUE("0"),DST_123_ÜRETİM_İHTİYAÇ_RAPORU_BURAK_YENI1309[[#This Row],[SATINALMA]]*DST_123_ÜRETİM_İHTİYAÇ_RAPORU_BURAK_YENI1309[[#This Row],[BIRIM_FIYATLAR]])</f>
        <v>20303.939999999999</v>
      </c>
      <c r="N323">
        <v>3383.99</v>
      </c>
      <c r="O323" t="s">
        <v>215</v>
      </c>
      <c r="P323">
        <v>3383.99</v>
      </c>
      <c r="Q323" t="s">
        <v>221</v>
      </c>
    </row>
    <row r="324" spans="1:17" x14ac:dyDescent="0.25">
      <c r="A324" t="s">
        <v>1057</v>
      </c>
      <c r="B324" t="s">
        <v>1058</v>
      </c>
      <c r="C324" t="s">
        <v>175</v>
      </c>
      <c r="D324" t="s">
        <v>491</v>
      </c>
      <c r="E324" t="s">
        <v>492</v>
      </c>
      <c r="F324">
        <v>14</v>
      </c>
      <c r="G324" t="s">
        <v>179</v>
      </c>
      <c r="H324">
        <v>0</v>
      </c>
      <c r="I324">
        <v>0</v>
      </c>
      <c r="J324" s="10">
        <v>0</v>
      </c>
      <c r="K324" s="10">
        <f>SUMIFS(F:F,D:D,DST_123_ÜRETİM_İHTİYAÇ_RAPORU_BURAK_YENI1309[[#This Row],[ALT_KOD]])-(SUMIFS(H:H,D:D,DST_123_ÜRETİM_İHTİYAÇ_RAPORU_BURAK_YENI1309[[#This Row],[ALT_KOD]])+AVERAGEIFS(I:I,D:D,DST_123_ÜRETİM_İHTİYAÇ_RAPORU_BURAK_YENI1309[[#This Row],[ALT_KOD]])+AVERAGEIFS(L:L,D:D,DST_123_ÜRETİM_İHTİYAÇ_RAPORU_BURAK_YENI1309[[#This Row],[ALT_KOD]]))</f>
        <v>58</v>
      </c>
      <c r="L324">
        <v>200</v>
      </c>
      <c r="M324">
        <f>IF((DST_123_ÜRETİM_İHTİYAÇ_RAPORU_BURAK_YENI1309[[#This Row],[SATINALMA]]*DST_123_ÜRETİM_İHTİYAÇ_RAPORU_BURAK_YENI1309[[#This Row],[BIRIM_FIYATLAR]])&lt;1,VALUE("0"),DST_123_ÜRETİM_İHTİYAÇ_RAPORU_BURAK_YENI1309[[#This Row],[SATINALMA]]*DST_123_ÜRETİM_İHTİYAÇ_RAPORU_BURAK_YENI1309[[#This Row],[BIRIM_FIYATLAR]])</f>
        <v>232.57999999999998</v>
      </c>
      <c r="N324">
        <v>4.01</v>
      </c>
      <c r="O324" t="s">
        <v>707</v>
      </c>
      <c r="P324">
        <v>56.14</v>
      </c>
      <c r="Q324" t="s">
        <v>184</v>
      </c>
    </row>
    <row r="325" spans="1:17" x14ac:dyDescent="0.25">
      <c r="A325" t="s">
        <v>1100</v>
      </c>
      <c r="B325" t="s">
        <v>1058</v>
      </c>
      <c r="C325" t="s">
        <v>175</v>
      </c>
      <c r="D325" t="s">
        <v>491</v>
      </c>
      <c r="E325" t="s">
        <v>492</v>
      </c>
      <c r="F325">
        <v>14</v>
      </c>
      <c r="G325" t="s">
        <v>179</v>
      </c>
      <c r="H325">
        <v>0</v>
      </c>
      <c r="I325">
        <v>0</v>
      </c>
      <c r="J325" s="10">
        <v>0</v>
      </c>
      <c r="K325" s="10">
        <f>SUMIFS(F:F,D:D,DST_123_ÜRETİM_İHTİYAÇ_RAPORU_BURAK_YENI1309[[#This Row],[ALT_KOD]])-(SUMIFS(H:H,D:D,DST_123_ÜRETİM_İHTİYAÇ_RAPORU_BURAK_YENI1309[[#This Row],[ALT_KOD]])+AVERAGEIFS(I:I,D:D,DST_123_ÜRETİM_İHTİYAÇ_RAPORU_BURAK_YENI1309[[#This Row],[ALT_KOD]])+AVERAGEIFS(L:L,D:D,DST_123_ÜRETİM_İHTİYAÇ_RAPORU_BURAK_YENI1309[[#This Row],[ALT_KOD]]))</f>
        <v>58</v>
      </c>
      <c r="L325">
        <v>200</v>
      </c>
      <c r="M325">
        <f>IF((DST_123_ÜRETİM_İHTİYAÇ_RAPORU_BURAK_YENI1309[[#This Row],[SATINALMA]]*DST_123_ÜRETİM_İHTİYAÇ_RAPORU_BURAK_YENI1309[[#This Row],[BIRIM_FIYATLAR]])&lt;1,VALUE("0"),DST_123_ÜRETİM_İHTİYAÇ_RAPORU_BURAK_YENI1309[[#This Row],[SATINALMA]]*DST_123_ÜRETİM_İHTİYAÇ_RAPORU_BURAK_YENI1309[[#This Row],[BIRIM_FIYATLAR]])</f>
        <v>232.57999999999998</v>
      </c>
      <c r="N325">
        <v>4.01</v>
      </c>
      <c r="O325" t="s">
        <v>707</v>
      </c>
      <c r="P325">
        <v>56.14</v>
      </c>
      <c r="Q325" t="s">
        <v>184</v>
      </c>
    </row>
    <row r="326" spans="1:17" x14ac:dyDescent="0.25">
      <c r="A326" t="s">
        <v>1148</v>
      </c>
      <c r="B326" t="s">
        <v>1056</v>
      </c>
      <c r="C326" t="s">
        <v>175</v>
      </c>
      <c r="D326" t="s">
        <v>491</v>
      </c>
      <c r="E326" t="s">
        <v>492</v>
      </c>
      <c r="F326">
        <v>14</v>
      </c>
      <c r="G326" t="s">
        <v>179</v>
      </c>
      <c r="H326">
        <v>0</v>
      </c>
      <c r="I326">
        <v>0</v>
      </c>
      <c r="J326" s="10">
        <v>0</v>
      </c>
      <c r="K326" s="10">
        <f>SUMIFS(F:F,D:D,DST_123_ÜRETİM_İHTİYAÇ_RAPORU_BURAK_YENI1309[[#This Row],[ALT_KOD]])-(SUMIFS(H:H,D:D,DST_123_ÜRETİM_İHTİYAÇ_RAPORU_BURAK_YENI1309[[#This Row],[ALT_KOD]])+AVERAGEIFS(I:I,D:D,DST_123_ÜRETİM_İHTİYAÇ_RAPORU_BURAK_YENI1309[[#This Row],[ALT_KOD]])+AVERAGEIFS(L:L,D:D,DST_123_ÜRETİM_İHTİYAÇ_RAPORU_BURAK_YENI1309[[#This Row],[ALT_KOD]]))</f>
        <v>58</v>
      </c>
      <c r="L326">
        <v>200</v>
      </c>
      <c r="M326">
        <f>IF((DST_123_ÜRETİM_İHTİYAÇ_RAPORU_BURAK_YENI1309[[#This Row],[SATINALMA]]*DST_123_ÜRETİM_İHTİYAÇ_RAPORU_BURAK_YENI1309[[#This Row],[BIRIM_FIYATLAR]])&lt;1,VALUE("0"),DST_123_ÜRETİM_İHTİYAÇ_RAPORU_BURAK_YENI1309[[#This Row],[SATINALMA]]*DST_123_ÜRETİM_İHTİYAÇ_RAPORU_BURAK_YENI1309[[#This Row],[BIRIM_FIYATLAR]])</f>
        <v>232.57999999999998</v>
      </c>
      <c r="N326">
        <v>4.01</v>
      </c>
      <c r="O326" t="s">
        <v>707</v>
      </c>
      <c r="P326">
        <v>56.14</v>
      </c>
      <c r="Q326" t="s">
        <v>184</v>
      </c>
    </row>
    <row r="327" spans="1:17" x14ac:dyDescent="0.25">
      <c r="A327" t="s">
        <v>1060</v>
      </c>
      <c r="B327" t="s">
        <v>1061</v>
      </c>
      <c r="C327" t="s">
        <v>175</v>
      </c>
      <c r="D327" t="s">
        <v>231</v>
      </c>
      <c r="E327" t="s">
        <v>232</v>
      </c>
      <c r="F327">
        <v>2</v>
      </c>
      <c r="G327" t="s">
        <v>176</v>
      </c>
      <c r="H327">
        <v>0</v>
      </c>
      <c r="I327">
        <v>239</v>
      </c>
      <c r="J327" s="10">
        <v>90</v>
      </c>
      <c r="K327" s="10">
        <f>SUMIFS(F:F,D:D,DST_123_ÜRETİM_İHTİYAÇ_RAPORU_BURAK_YENI1309[[#This Row],[ALT_KOD]])-(SUMIFS(H:H,D:D,DST_123_ÜRETİM_İHTİYAÇ_RAPORU_BURAK_YENI1309[[#This Row],[ALT_KOD]])+AVERAGEIFS(I:I,D:D,DST_123_ÜRETİM_İHTİYAÇ_RAPORU_BURAK_YENI1309[[#This Row],[ALT_KOD]])+AVERAGEIFS(L:L,D:D,DST_123_ÜRETİM_İHTİYAÇ_RAPORU_BURAK_YENI1309[[#This Row],[ALT_KOD]]))</f>
        <v>-201</v>
      </c>
      <c r="L327">
        <v>0</v>
      </c>
      <c r="M327">
        <f>IF((DST_123_ÜRETİM_İHTİYAÇ_RAPORU_BURAK_YENI1309[[#This Row],[SATINALMA]]*DST_123_ÜRETİM_İHTİYAÇ_RAPORU_BURAK_YENI1309[[#This Row],[BIRIM_FIYATLAR]])&lt;1,VALUE("0"),DST_123_ÜRETİM_İHTİYAÇ_RAPORU_BURAK_YENI1309[[#This Row],[SATINALMA]]*DST_123_ÜRETİM_İHTİYAÇ_RAPORU_BURAK_YENI1309[[#This Row],[BIRIM_FIYATLAR]])</f>
        <v>0</v>
      </c>
      <c r="N327">
        <v>4</v>
      </c>
      <c r="O327" t="s">
        <v>220</v>
      </c>
      <c r="P327">
        <v>8</v>
      </c>
      <c r="Q327" t="s">
        <v>221</v>
      </c>
    </row>
    <row r="328" spans="1:17" x14ac:dyDescent="0.25">
      <c r="A328" t="s">
        <v>1101</v>
      </c>
      <c r="B328" t="s">
        <v>1102</v>
      </c>
      <c r="C328" t="s">
        <v>175</v>
      </c>
      <c r="D328" t="s">
        <v>231</v>
      </c>
      <c r="E328" t="s">
        <v>232</v>
      </c>
      <c r="F328">
        <v>2</v>
      </c>
      <c r="G328" t="s">
        <v>176</v>
      </c>
      <c r="H328">
        <v>0</v>
      </c>
      <c r="I328">
        <v>239</v>
      </c>
      <c r="J328" s="10">
        <v>90</v>
      </c>
      <c r="K328" s="10">
        <f>SUMIFS(F:F,D:D,DST_123_ÜRETİM_İHTİYAÇ_RAPORU_BURAK_YENI1309[[#This Row],[ALT_KOD]])-(SUMIFS(H:H,D:D,DST_123_ÜRETİM_İHTİYAÇ_RAPORU_BURAK_YENI1309[[#This Row],[ALT_KOD]])+AVERAGEIFS(I:I,D:D,DST_123_ÜRETİM_İHTİYAÇ_RAPORU_BURAK_YENI1309[[#This Row],[ALT_KOD]])+AVERAGEIFS(L:L,D:D,DST_123_ÜRETİM_İHTİYAÇ_RAPORU_BURAK_YENI1309[[#This Row],[ALT_KOD]]))</f>
        <v>-201</v>
      </c>
      <c r="L328">
        <v>0</v>
      </c>
      <c r="M328">
        <f>IF((DST_123_ÜRETİM_İHTİYAÇ_RAPORU_BURAK_YENI1309[[#This Row],[SATINALMA]]*DST_123_ÜRETİM_İHTİYAÇ_RAPORU_BURAK_YENI1309[[#This Row],[BIRIM_FIYATLAR]])&lt;1,VALUE("0"),DST_123_ÜRETİM_İHTİYAÇ_RAPORU_BURAK_YENI1309[[#This Row],[SATINALMA]]*DST_123_ÜRETİM_İHTİYAÇ_RAPORU_BURAK_YENI1309[[#This Row],[BIRIM_FIYATLAR]])</f>
        <v>0</v>
      </c>
      <c r="N328">
        <v>4</v>
      </c>
      <c r="O328" t="s">
        <v>220</v>
      </c>
      <c r="P328">
        <v>8</v>
      </c>
      <c r="Q328" t="s">
        <v>221</v>
      </c>
    </row>
    <row r="329" spans="1:17" x14ac:dyDescent="0.25">
      <c r="A329" t="s">
        <v>1101</v>
      </c>
      <c r="B329" t="s">
        <v>1102</v>
      </c>
      <c r="C329" t="s">
        <v>175</v>
      </c>
      <c r="D329" t="s">
        <v>28</v>
      </c>
      <c r="E329" t="s">
        <v>29</v>
      </c>
      <c r="F329">
        <v>115</v>
      </c>
      <c r="G329" t="s">
        <v>176</v>
      </c>
      <c r="H329">
        <v>0</v>
      </c>
      <c r="I329">
        <v>3000</v>
      </c>
      <c r="J329" s="10">
        <v>1048</v>
      </c>
      <c r="K329" s="10">
        <f>SUMIFS(F:F,D:D,DST_123_ÜRETİM_İHTİYAÇ_RAPORU_BURAK_YENI1309[[#This Row],[ALT_KOD]])-(SUMIFS(H:H,D:D,DST_123_ÜRETİM_İHTİYAÇ_RAPORU_BURAK_YENI1309[[#This Row],[ALT_KOD]])+AVERAGEIFS(I:I,D:D,DST_123_ÜRETİM_İHTİYAÇ_RAPORU_BURAK_YENI1309[[#This Row],[ALT_KOD]])+AVERAGEIFS(L:L,D:D,DST_123_ÜRETİM_İHTİYAÇ_RAPORU_BURAK_YENI1309[[#This Row],[ALT_KOD]]))</f>
        <v>-967</v>
      </c>
      <c r="L329">
        <v>0</v>
      </c>
      <c r="M329">
        <f>IF((DST_123_ÜRETİM_İHTİYAÇ_RAPORU_BURAK_YENI1309[[#This Row],[SATINALMA]]*DST_123_ÜRETİM_İHTİYAÇ_RAPORU_BURAK_YENI1309[[#This Row],[BIRIM_FIYATLAR]])&lt;1,VALUE("0"),DST_123_ÜRETİM_İHTİYAÇ_RAPORU_BURAK_YENI1309[[#This Row],[SATINALMA]]*DST_123_ÜRETİM_İHTİYAÇ_RAPORU_BURAK_YENI1309[[#This Row],[BIRIM_FIYATLAR]])</f>
        <v>0</v>
      </c>
      <c r="N329">
        <v>2.92</v>
      </c>
      <c r="O329" t="s">
        <v>628</v>
      </c>
      <c r="P329">
        <v>335.8</v>
      </c>
      <c r="Q329" t="s">
        <v>180</v>
      </c>
    </row>
    <row r="330" spans="1:17" x14ac:dyDescent="0.25">
      <c r="A330" t="s">
        <v>1098</v>
      </c>
      <c r="B330" t="s">
        <v>1096</v>
      </c>
      <c r="C330" t="s">
        <v>175</v>
      </c>
      <c r="D330" t="s">
        <v>536</v>
      </c>
      <c r="E330" t="s">
        <v>537</v>
      </c>
      <c r="F330">
        <v>7</v>
      </c>
      <c r="G330" t="s">
        <v>176</v>
      </c>
      <c r="H330">
        <v>0</v>
      </c>
      <c r="I330">
        <v>2200</v>
      </c>
      <c r="J330" s="10">
        <v>0</v>
      </c>
      <c r="K330" s="10">
        <f>SUMIFS(F:F,D:D,DST_123_ÜRETİM_İHTİYAÇ_RAPORU_BURAK_YENI1309[[#This Row],[ALT_KOD]])-(SUMIFS(H:H,D:D,DST_123_ÜRETİM_İHTİYAÇ_RAPORU_BURAK_YENI1309[[#This Row],[ALT_KOD]])+AVERAGEIFS(I:I,D:D,DST_123_ÜRETİM_İHTİYAÇ_RAPORU_BURAK_YENI1309[[#This Row],[ALT_KOD]])+AVERAGEIFS(L:L,D:D,DST_123_ÜRETİM_İHTİYAÇ_RAPORU_BURAK_YENI1309[[#This Row],[ALT_KOD]]))</f>
        <v>-1626</v>
      </c>
      <c r="L330">
        <v>0</v>
      </c>
      <c r="M330">
        <f>IF((DST_123_ÜRETİM_İHTİYAÇ_RAPORU_BURAK_YENI1309[[#This Row],[SATINALMA]]*DST_123_ÜRETİM_İHTİYAÇ_RAPORU_BURAK_YENI1309[[#This Row],[BIRIM_FIYATLAR]])&lt;1,VALUE("0"),DST_123_ÜRETİM_İHTİYAÇ_RAPORU_BURAK_YENI1309[[#This Row],[SATINALMA]]*DST_123_ÜRETİM_İHTİYAÇ_RAPORU_BURAK_YENI1309[[#This Row],[BIRIM_FIYATLAR]])</f>
        <v>0</v>
      </c>
      <c r="N330">
        <v>0.7</v>
      </c>
      <c r="O330" t="s">
        <v>240</v>
      </c>
      <c r="P330">
        <v>4.8999999999999995</v>
      </c>
      <c r="Q330" t="s">
        <v>180</v>
      </c>
    </row>
    <row r="331" spans="1:17" x14ac:dyDescent="0.25">
      <c r="A331" t="s">
        <v>1147</v>
      </c>
      <c r="B331" t="s">
        <v>1145</v>
      </c>
      <c r="C331" t="s">
        <v>175</v>
      </c>
      <c r="D331" t="s">
        <v>491</v>
      </c>
      <c r="E331" t="s">
        <v>492</v>
      </c>
      <c r="F331">
        <v>14</v>
      </c>
      <c r="G331" t="s">
        <v>179</v>
      </c>
      <c r="H331">
        <v>0</v>
      </c>
      <c r="I331">
        <v>0</v>
      </c>
      <c r="J331" s="10">
        <v>0</v>
      </c>
      <c r="K331" s="10">
        <f>SUMIFS(F:F,D:D,DST_123_ÜRETİM_İHTİYAÇ_RAPORU_BURAK_YENI1309[[#This Row],[ALT_KOD]])-(SUMIFS(H:H,D:D,DST_123_ÜRETİM_İHTİYAÇ_RAPORU_BURAK_YENI1309[[#This Row],[ALT_KOD]])+AVERAGEIFS(I:I,D:D,DST_123_ÜRETİM_İHTİYAÇ_RAPORU_BURAK_YENI1309[[#This Row],[ALT_KOD]])+AVERAGEIFS(L:L,D:D,DST_123_ÜRETİM_İHTİYAÇ_RAPORU_BURAK_YENI1309[[#This Row],[ALT_KOD]]))</f>
        <v>58</v>
      </c>
      <c r="L331">
        <v>200</v>
      </c>
      <c r="M331">
        <f>IF((DST_123_ÜRETİM_İHTİYAÇ_RAPORU_BURAK_YENI1309[[#This Row],[SATINALMA]]*DST_123_ÜRETİM_İHTİYAÇ_RAPORU_BURAK_YENI1309[[#This Row],[BIRIM_FIYATLAR]])&lt;1,VALUE("0"),DST_123_ÜRETİM_İHTİYAÇ_RAPORU_BURAK_YENI1309[[#This Row],[SATINALMA]]*DST_123_ÜRETİM_İHTİYAÇ_RAPORU_BURAK_YENI1309[[#This Row],[BIRIM_FIYATLAR]])</f>
        <v>232.57999999999998</v>
      </c>
      <c r="N331">
        <v>4.01</v>
      </c>
      <c r="O331" t="s">
        <v>707</v>
      </c>
      <c r="P331">
        <v>56.14</v>
      </c>
      <c r="Q331" t="s">
        <v>184</v>
      </c>
    </row>
    <row r="332" spans="1:17" x14ac:dyDescent="0.25">
      <c r="A332" t="s">
        <v>1064</v>
      </c>
      <c r="B332" t="s">
        <v>1055</v>
      </c>
      <c r="C332" t="s">
        <v>175</v>
      </c>
      <c r="D332" t="s">
        <v>536</v>
      </c>
      <c r="E332" t="s">
        <v>537</v>
      </c>
      <c r="F332">
        <v>7</v>
      </c>
      <c r="G332" t="s">
        <v>176</v>
      </c>
      <c r="H332">
        <v>0</v>
      </c>
      <c r="I332">
        <v>2200</v>
      </c>
      <c r="J332" s="10">
        <v>0</v>
      </c>
      <c r="K332" s="10">
        <f>SUMIFS(F:F,D:D,DST_123_ÜRETİM_İHTİYAÇ_RAPORU_BURAK_YENI1309[[#This Row],[ALT_KOD]])-(SUMIFS(H:H,D:D,DST_123_ÜRETİM_İHTİYAÇ_RAPORU_BURAK_YENI1309[[#This Row],[ALT_KOD]])+AVERAGEIFS(I:I,D:D,DST_123_ÜRETİM_İHTİYAÇ_RAPORU_BURAK_YENI1309[[#This Row],[ALT_KOD]])+AVERAGEIFS(L:L,D:D,DST_123_ÜRETİM_İHTİYAÇ_RAPORU_BURAK_YENI1309[[#This Row],[ALT_KOD]]))</f>
        <v>-1626</v>
      </c>
      <c r="L332">
        <v>0</v>
      </c>
      <c r="M332">
        <f>IF((DST_123_ÜRETİM_İHTİYAÇ_RAPORU_BURAK_YENI1309[[#This Row],[SATINALMA]]*DST_123_ÜRETİM_İHTİYAÇ_RAPORU_BURAK_YENI1309[[#This Row],[BIRIM_FIYATLAR]])&lt;1,VALUE("0"),DST_123_ÜRETİM_İHTİYAÇ_RAPORU_BURAK_YENI1309[[#This Row],[SATINALMA]]*DST_123_ÜRETİM_İHTİYAÇ_RAPORU_BURAK_YENI1309[[#This Row],[BIRIM_FIYATLAR]])</f>
        <v>0</v>
      </c>
      <c r="N332">
        <v>0.7</v>
      </c>
      <c r="O332" t="s">
        <v>240</v>
      </c>
      <c r="P332">
        <v>4.8999999999999995</v>
      </c>
      <c r="Q332" t="s">
        <v>180</v>
      </c>
    </row>
    <row r="333" spans="1:17" x14ac:dyDescent="0.25">
      <c r="A333" t="s">
        <v>1064</v>
      </c>
      <c r="B333" t="s">
        <v>1055</v>
      </c>
      <c r="C333" t="s">
        <v>175</v>
      </c>
      <c r="D333" t="s">
        <v>71</v>
      </c>
      <c r="E333" t="s">
        <v>249</v>
      </c>
      <c r="F333">
        <v>8.91</v>
      </c>
      <c r="G333" t="s">
        <v>176</v>
      </c>
      <c r="H333">
        <v>0</v>
      </c>
      <c r="I333">
        <v>96</v>
      </c>
      <c r="J333" s="10">
        <v>195.44000000000014</v>
      </c>
      <c r="K333" s="10">
        <f>SUMIFS(F:F,D:D,DST_123_ÜRETİM_İHTİYAÇ_RAPORU_BURAK_YENI1309[[#This Row],[ALT_KOD]])-(SUMIFS(H:H,D:D,DST_123_ÜRETİM_İHTİYAÇ_RAPORU_BURAK_YENI1309[[#This Row],[ALT_KOD]])+AVERAGEIFS(I:I,D:D,DST_123_ÜRETİM_İHTİYAÇ_RAPORU_BURAK_YENI1309[[#This Row],[ALT_KOD]])+AVERAGEIFS(L:L,D:D,DST_123_ÜRETİM_İHTİYAÇ_RAPORU_BURAK_YENI1309[[#This Row],[ALT_KOD]]))</f>
        <v>63.319999999999951</v>
      </c>
      <c r="L333">
        <v>0</v>
      </c>
      <c r="M333">
        <f>IF((DST_123_ÜRETİM_İHTİYAÇ_RAPORU_BURAK_YENI1309[[#This Row],[SATINALMA]]*DST_123_ÜRETİM_İHTİYAÇ_RAPORU_BURAK_YENI1309[[#This Row],[BIRIM_FIYATLAR]])&lt;1,VALUE("0"),DST_123_ÜRETİM_İHTİYAÇ_RAPORU_BURAK_YENI1309[[#This Row],[SATINALMA]]*DST_123_ÜRETİM_İHTİYAÇ_RAPORU_BURAK_YENI1309[[#This Row],[BIRIM_FIYATLAR]])</f>
        <v>8163.8475999999937</v>
      </c>
      <c r="N333">
        <v>128.93</v>
      </c>
      <c r="O333" t="s">
        <v>250</v>
      </c>
      <c r="P333">
        <v>1148.7663</v>
      </c>
      <c r="Q333" t="s">
        <v>180</v>
      </c>
    </row>
    <row r="334" spans="1:17" x14ac:dyDescent="0.25">
      <c r="A334" t="s">
        <v>1196</v>
      </c>
      <c r="B334" t="s">
        <v>1197</v>
      </c>
      <c r="C334" t="s">
        <v>175</v>
      </c>
      <c r="D334" t="s">
        <v>1030</v>
      </c>
      <c r="E334" t="s">
        <v>1031</v>
      </c>
      <c r="F334">
        <v>1</v>
      </c>
      <c r="G334" t="s">
        <v>182</v>
      </c>
      <c r="H334">
        <v>0</v>
      </c>
      <c r="I334">
        <v>40</v>
      </c>
      <c r="J334" s="10">
        <v>20</v>
      </c>
      <c r="K334" s="10">
        <f>SUMIFS(F:F,D:D,DST_123_ÜRETİM_İHTİYAÇ_RAPORU_BURAK_YENI1309[[#This Row],[ALT_KOD]])-(SUMIFS(H:H,D:D,DST_123_ÜRETİM_İHTİYAÇ_RAPORU_BURAK_YENI1309[[#This Row],[ALT_KOD]])+AVERAGEIFS(I:I,D:D,DST_123_ÜRETİM_İHTİYAÇ_RAPORU_BURAK_YENI1309[[#This Row],[ALT_KOD]])+AVERAGEIFS(L:L,D:D,DST_123_ÜRETİM_İHTİYAÇ_RAPORU_BURAK_YENI1309[[#This Row],[ALT_KOD]]))</f>
        <v>-35.625</v>
      </c>
      <c r="L334">
        <v>0</v>
      </c>
      <c r="M334">
        <f>IF((DST_123_ÜRETİM_İHTİYAÇ_RAPORU_BURAK_YENI1309[[#This Row],[SATINALMA]]*DST_123_ÜRETİM_İHTİYAÇ_RAPORU_BURAK_YENI1309[[#This Row],[BIRIM_FIYATLAR]])&lt;1,VALUE("0"),DST_123_ÜRETİM_İHTİYAÇ_RAPORU_BURAK_YENI1309[[#This Row],[SATINALMA]]*DST_123_ÜRETİM_İHTİYAÇ_RAPORU_BURAK_YENI1309[[#This Row],[BIRIM_FIYATLAR]])</f>
        <v>0</v>
      </c>
      <c r="N334">
        <v>54.17</v>
      </c>
      <c r="O334" t="s">
        <v>453</v>
      </c>
      <c r="P334">
        <v>54.17</v>
      </c>
      <c r="Q334" t="s">
        <v>183</v>
      </c>
    </row>
    <row r="335" spans="1:17" x14ac:dyDescent="0.25">
      <c r="A335" t="s">
        <v>1059</v>
      </c>
      <c r="B335" t="s">
        <v>1058</v>
      </c>
      <c r="C335" t="s">
        <v>175</v>
      </c>
      <c r="D335" t="s">
        <v>491</v>
      </c>
      <c r="E335" t="s">
        <v>492</v>
      </c>
      <c r="F335">
        <v>14</v>
      </c>
      <c r="G335" t="s">
        <v>179</v>
      </c>
      <c r="H335">
        <v>0</v>
      </c>
      <c r="I335">
        <v>0</v>
      </c>
      <c r="J335" s="10">
        <v>0</v>
      </c>
      <c r="K335" s="10">
        <f>SUMIFS(F:F,D:D,DST_123_ÜRETİM_İHTİYAÇ_RAPORU_BURAK_YENI1309[[#This Row],[ALT_KOD]])-(SUMIFS(H:H,D:D,DST_123_ÜRETİM_İHTİYAÇ_RAPORU_BURAK_YENI1309[[#This Row],[ALT_KOD]])+AVERAGEIFS(I:I,D:D,DST_123_ÜRETİM_İHTİYAÇ_RAPORU_BURAK_YENI1309[[#This Row],[ALT_KOD]])+AVERAGEIFS(L:L,D:D,DST_123_ÜRETİM_İHTİYAÇ_RAPORU_BURAK_YENI1309[[#This Row],[ALT_KOD]]))</f>
        <v>58</v>
      </c>
      <c r="L335">
        <v>200</v>
      </c>
      <c r="M335">
        <f>IF((DST_123_ÜRETİM_İHTİYAÇ_RAPORU_BURAK_YENI1309[[#This Row],[SATINALMA]]*DST_123_ÜRETİM_İHTİYAÇ_RAPORU_BURAK_YENI1309[[#This Row],[BIRIM_FIYATLAR]])&lt;1,VALUE("0"),DST_123_ÜRETİM_İHTİYAÇ_RAPORU_BURAK_YENI1309[[#This Row],[SATINALMA]]*DST_123_ÜRETİM_İHTİYAÇ_RAPORU_BURAK_YENI1309[[#This Row],[BIRIM_FIYATLAR]])</f>
        <v>232.57999999999998</v>
      </c>
      <c r="N335">
        <v>4.01</v>
      </c>
      <c r="O335" t="s">
        <v>707</v>
      </c>
      <c r="P335">
        <v>56.14</v>
      </c>
      <c r="Q335" t="s">
        <v>184</v>
      </c>
    </row>
    <row r="336" spans="1:17" x14ac:dyDescent="0.25">
      <c r="A336" t="s">
        <v>1143</v>
      </c>
      <c r="B336" t="s">
        <v>1056</v>
      </c>
      <c r="C336" t="s">
        <v>175</v>
      </c>
      <c r="D336" t="s">
        <v>491</v>
      </c>
      <c r="E336" t="s">
        <v>492</v>
      </c>
      <c r="F336">
        <v>14</v>
      </c>
      <c r="G336" t="s">
        <v>179</v>
      </c>
      <c r="H336">
        <v>0</v>
      </c>
      <c r="I336">
        <v>0</v>
      </c>
      <c r="J336" s="10">
        <v>0</v>
      </c>
      <c r="K336" s="10">
        <f>SUMIFS(F:F,D:D,DST_123_ÜRETİM_İHTİYAÇ_RAPORU_BURAK_YENI1309[[#This Row],[ALT_KOD]])-(SUMIFS(H:H,D:D,DST_123_ÜRETİM_İHTİYAÇ_RAPORU_BURAK_YENI1309[[#This Row],[ALT_KOD]])+AVERAGEIFS(I:I,D:D,DST_123_ÜRETİM_İHTİYAÇ_RAPORU_BURAK_YENI1309[[#This Row],[ALT_KOD]])+AVERAGEIFS(L:L,D:D,DST_123_ÜRETİM_İHTİYAÇ_RAPORU_BURAK_YENI1309[[#This Row],[ALT_KOD]]))</f>
        <v>58</v>
      </c>
      <c r="L336">
        <v>200</v>
      </c>
      <c r="M336">
        <f>IF((DST_123_ÜRETİM_İHTİYAÇ_RAPORU_BURAK_YENI1309[[#This Row],[SATINALMA]]*DST_123_ÜRETİM_İHTİYAÇ_RAPORU_BURAK_YENI1309[[#This Row],[BIRIM_FIYATLAR]])&lt;1,VALUE("0"),DST_123_ÜRETİM_İHTİYAÇ_RAPORU_BURAK_YENI1309[[#This Row],[SATINALMA]]*DST_123_ÜRETİM_İHTİYAÇ_RAPORU_BURAK_YENI1309[[#This Row],[BIRIM_FIYATLAR]])</f>
        <v>232.57999999999998</v>
      </c>
      <c r="N336">
        <v>4.01</v>
      </c>
      <c r="O336" t="s">
        <v>707</v>
      </c>
      <c r="P336">
        <v>56.14</v>
      </c>
      <c r="Q336" t="s">
        <v>184</v>
      </c>
    </row>
    <row r="337" spans="1:17" x14ac:dyDescent="0.25">
      <c r="A337" t="s">
        <v>1059</v>
      </c>
      <c r="B337" t="s">
        <v>1058</v>
      </c>
      <c r="C337" t="s">
        <v>175</v>
      </c>
      <c r="D337" t="s">
        <v>231</v>
      </c>
      <c r="E337" t="s">
        <v>232</v>
      </c>
      <c r="F337">
        <v>2</v>
      </c>
      <c r="G337" t="s">
        <v>176</v>
      </c>
      <c r="H337">
        <v>0</v>
      </c>
      <c r="I337">
        <v>239</v>
      </c>
      <c r="J337" s="10">
        <v>90</v>
      </c>
      <c r="K337" s="10">
        <f>SUMIFS(F:F,D:D,DST_123_ÜRETİM_İHTİYAÇ_RAPORU_BURAK_YENI1309[[#This Row],[ALT_KOD]])-(SUMIFS(H:H,D:D,DST_123_ÜRETİM_İHTİYAÇ_RAPORU_BURAK_YENI1309[[#This Row],[ALT_KOD]])+AVERAGEIFS(I:I,D:D,DST_123_ÜRETİM_İHTİYAÇ_RAPORU_BURAK_YENI1309[[#This Row],[ALT_KOD]])+AVERAGEIFS(L:L,D:D,DST_123_ÜRETİM_İHTİYAÇ_RAPORU_BURAK_YENI1309[[#This Row],[ALT_KOD]]))</f>
        <v>-201</v>
      </c>
      <c r="L337">
        <v>0</v>
      </c>
      <c r="M337">
        <f>IF((DST_123_ÜRETİM_İHTİYAÇ_RAPORU_BURAK_YENI1309[[#This Row],[SATINALMA]]*DST_123_ÜRETİM_İHTİYAÇ_RAPORU_BURAK_YENI1309[[#This Row],[BIRIM_FIYATLAR]])&lt;1,VALUE("0"),DST_123_ÜRETİM_İHTİYAÇ_RAPORU_BURAK_YENI1309[[#This Row],[SATINALMA]]*DST_123_ÜRETİM_İHTİYAÇ_RAPORU_BURAK_YENI1309[[#This Row],[BIRIM_FIYATLAR]])</f>
        <v>0</v>
      </c>
      <c r="N337">
        <v>4</v>
      </c>
      <c r="O337" t="s">
        <v>220</v>
      </c>
      <c r="P337">
        <v>8</v>
      </c>
      <c r="Q337" t="s">
        <v>221</v>
      </c>
    </row>
    <row r="338" spans="1:17" x14ac:dyDescent="0.25">
      <c r="A338" t="s">
        <v>1095</v>
      </c>
      <c r="B338" t="s">
        <v>1096</v>
      </c>
      <c r="C338" t="s">
        <v>175</v>
      </c>
      <c r="D338" t="s">
        <v>231</v>
      </c>
      <c r="E338" t="s">
        <v>232</v>
      </c>
      <c r="F338">
        <v>2</v>
      </c>
      <c r="G338" t="s">
        <v>176</v>
      </c>
      <c r="H338">
        <v>0</v>
      </c>
      <c r="I338">
        <v>239</v>
      </c>
      <c r="J338" s="10">
        <v>90</v>
      </c>
      <c r="K338" s="10">
        <f>SUMIFS(F:F,D:D,DST_123_ÜRETİM_İHTİYAÇ_RAPORU_BURAK_YENI1309[[#This Row],[ALT_KOD]])-(SUMIFS(H:H,D:D,DST_123_ÜRETİM_İHTİYAÇ_RAPORU_BURAK_YENI1309[[#This Row],[ALT_KOD]])+AVERAGEIFS(I:I,D:D,DST_123_ÜRETİM_İHTİYAÇ_RAPORU_BURAK_YENI1309[[#This Row],[ALT_KOD]])+AVERAGEIFS(L:L,D:D,DST_123_ÜRETİM_İHTİYAÇ_RAPORU_BURAK_YENI1309[[#This Row],[ALT_KOD]]))</f>
        <v>-201</v>
      </c>
      <c r="L338">
        <v>0</v>
      </c>
      <c r="M338">
        <f>IF((DST_123_ÜRETİM_İHTİYAÇ_RAPORU_BURAK_YENI1309[[#This Row],[SATINALMA]]*DST_123_ÜRETİM_İHTİYAÇ_RAPORU_BURAK_YENI1309[[#This Row],[BIRIM_FIYATLAR]])&lt;1,VALUE("0"),DST_123_ÜRETİM_İHTİYAÇ_RAPORU_BURAK_YENI1309[[#This Row],[SATINALMA]]*DST_123_ÜRETİM_İHTİYAÇ_RAPORU_BURAK_YENI1309[[#This Row],[BIRIM_FIYATLAR]])</f>
        <v>0</v>
      </c>
      <c r="N338">
        <v>4</v>
      </c>
      <c r="O338" t="s">
        <v>220</v>
      </c>
      <c r="P338">
        <v>8</v>
      </c>
      <c r="Q338" t="s">
        <v>221</v>
      </c>
    </row>
    <row r="339" spans="1:17" x14ac:dyDescent="0.25">
      <c r="A339" t="s">
        <v>1143</v>
      </c>
      <c r="B339" t="s">
        <v>1056</v>
      </c>
      <c r="C339" t="s">
        <v>175</v>
      </c>
      <c r="D339" t="s">
        <v>28</v>
      </c>
      <c r="E339" t="s">
        <v>29</v>
      </c>
      <c r="F339">
        <v>106</v>
      </c>
      <c r="G339" t="s">
        <v>176</v>
      </c>
      <c r="H339">
        <v>0</v>
      </c>
      <c r="I339">
        <v>3000</v>
      </c>
      <c r="J339" s="10">
        <v>1048</v>
      </c>
      <c r="K339" s="10">
        <f>SUMIFS(F:F,D:D,DST_123_ÜRETİM_İHTİYAÇ_RAPORU_BURAK_YENI1309[[#This Row],[ALT_KOD]])-(SUMIFS(H:H,D:D,DST_123_ÜRETİM_İHTİYAÇ_RAPORU_BURAK_YENI1309[[#This Row],[ALT_KOD]])+AVERAGEIFS(I:I,D:D,DST_123_ÜRETİM_İHTİYAÇ_RAPORU_BURAK_YENI1309[[#This Row],[ALT_KOD]])+AVERAGEIFS(L:L,D:D,DST_123_ÜRETİM_İHTİYAÇ_RAPORU_BURAK_YENI1309[[#This Row],[ALT_KOD]]))</f>
        <v>-967</v>
      </c>
      <c r="L339">
        <v>0</v>
      </c>
      <c r="M339">
        <f>IF((DST_123_ÜRETİM_İHTİYAÇ_RAPORU_BURAK_YENI1309[[#This Row],[SATINALMA]]*DST_123_ÜRETİM_İHTİYAÇ_RAPORU_BURAK_YENI1309[[#This Row],[BIRIM_FIYATLAR]])&lt;1,VALUE("0"),DST_123_ÜRETİM_İHTİYAÇ_RAPORU_BURAK_YENI1309[[#This Row],[SATINALMA]]*DST_123_ÜRETİM_İHTİYAÇ_RAPORU_BURAK_YENI1309[[#This Row],[BIRIM_FIYATLAR]])</f>
        <v>0</v>
      </c>
      <c r="N339">
        <v>2.92</v>
      </c>
      <c r="O339" t="s">
        <v>628</v>
      </c>
      <c r="P339">
        <v>309.52</v>
      </c>
      <c r="Q339" t="s">
        <v>180</v>
      </c>
    </row>
    <row r="340" spans="1:17" x14ac:dyDescent="0.25">
      <c r="A340" t="s">
        <v>1060</v>
      </c>
      <c r="B340" t="s">
        <v>1061</v>
      </c>
      <c r="C340" t="s">
        <v>175</v>
      </c>
      <c r="D340" t="s">
        <v>484</v>
      </c>
      <c r="E340" t="s">
        <v>485</v>
      </c>
      <c r="F340">
        <v>2</v>
      </c>
      <c r="G340" t="s">
        <v>176</v>
      </c>
      <c r="H340">
        <v>0</v>
      </c>
      <c r="I340">
        <v>35</v>
      </c>
      <c r="J340" s="10">
        <v>8</v>
      </c>
      <c r="K340" s="10">
        <f>SUMIFS(F:F,D:D,DST_123_ÜRETİM_İHTİYAÇ_RAPORU_BURAK_YENI1309[[#This Row],[ALT_KOD]])-(SUMIFS(H:H,D:D,DST_123_ÜRETİM_İHTİYAÇ_RAPORU_BURAK_YENI1309[[#This Row],[ALT_KOD]])+AVERAGEIFS(I:I,D:D,DST_123_ÜRETİM_İHTİYAÇ_RAPORU_BURAK_YENI1309[[#This Row],[ALT_KOD]])+AVERAGEIFS(L:L,D:D,DST_123_ÜRETİM_İHTİYAÇ_RAPORU_BURAK_YENI1309[[#This Row],[ALT_KOD]]))</f>
        <v>-29</v>
      </c>
      <c r="L340">
        <v>0</v>
      </c>
      <c r="M340">
        <f>IF((DST_123_ÜRETİM_İHTİYAÇ_RAPORU_BURAK_YENI1309[[#This Row],[SATINALMA]]*DST_123_ÜRETİM_İHTİYAÇ_RAPORU_BURAK_YENI1309[[#This Row],[BIRIM_FIYATLAR]])&lt;1,VALUE("0"),DST_123_ÜRETİM_İHTİYAÇ_RAPORU_BURAK_YENI1309[[#This Row],[SATINALMA]]*DST_123_ÜRETİM_İHTİYAÇ_RAPORU_BURAK_YENI1309[[#This Row],[BIRIM_FIYATLAR]])</f>
        <v>0</v>
      </c>
      <c r="N340">
        <v>94.17</v>
      </c>
      <c r="O340" t="s">
        <v>482</v>
      </c>
      <c r="P340">
        <v>188.34</v>
      </c>
      <c r="Q340" t="s">
        <v>483</v>
      </c>
    </row>
    <row r="341" spans="1:17" x14ac:dyDescent="0.25">
      <c r="A341" t="s">
        <v>1057</v>
      </c>
      <c r="B341" t="s">
        <v>1058</v>
      </c>
      <c r="C341" t="s">
        <v>175</v>
      </c>
      <c r="D341" t="s">
        <v>484</v>
      </c>
      <c r="E341" t="s">
        <v>485</v>
      </c>
      <c r="F341">
        <v>2</v>
      </c>
      <c r="G341" t="s">
        <v>176</v>
      </c>
      <c r="H341">
        <v>0</v>
      </c>
      <c r="I341">
        <v>35</v>
      </c>
      <c r="J341" s="10">
        <v>8</v>
      </c>
      <c r="K341" s="10">
        <f>SUMIFS(F:F,D:D,DST_123_ÜRETİM_İHTİYAÇ_RAPORU_BURAK_YENI1309[[#This Row],[ALT_KOD]])-(SUMIFS(H:H,D:D,DST_123_ÜRETİM_İHTİYAÇ_RAPORU_BURAK_YENI1309[[#This Row],[ALT_KOD]])+AVERAGEIFS(I:I,D:D,DST_123_ÜRETİM_İHTİYAÇ_RAPORU_BURAK_YENI1309[[#This Row],[ALT_KOD]])+AVERAGEIFS(L:L,D:D,DST_123_ÜRETİM_İHTİYAÇ_RAPORU_BURAK_YENI1309[[#This Row],[ALT_KOD]]))</f>
        <v>-29</v>
      </c>
      <c r="L341">
        <v>0</v>
      </c>
      <c r="M341">
        <f>IF((DST_123_ÜRETİM_İHTİYAÇ_RAPORU_BURAK_YENI1309[[#This Row],[SATINALMA]]*DST_123_ÜRETİM_İHTİYAÇ_RAPORU_BURAK_YENI1309[[#This Row],[BIRIM_FIYATLAR]])&lt;1,VALUE("0"),DST_123_ÜRETİM_İHTİYAÇ_RAPORU_BURAK_YENI1309[[#This Row],[SATINALMA]]*DST_123_ÜRETİM_İHTİYAÇ_RAPORU_BURAK_YENI1309[[#This Row],[BIRIM_FIYATLAR]])</f>
        <v>0</v>
      </c>
      <c r="N341">
        <v>94.17</v>
      </c>
      <c r="O341" t="s">
        <v>482</v>
      </c>
      <c r="P341">
        <v>188.34</v>
      </c>
      <c r="Q341" t="s">
        <v>483</v>
      </c>
    </row>
    <row r="342" spans="1:17" x14ac:dyDescent="0.25">
      <c r="A342" t="s">
        <v>1100</v>
      </c>
      <c r="B342" t="s">
        <v>1058</v>
      </c>
      <c r="C342" t="s">
        <v>175</v>
      </c>
      <c r="D342" t="s">
        <v>1103</v>
      </c>
      <c r="E342" t="s">
        <v>1104</v>
      </c>
      <c r="F342">
        <v>3</v>
      </c>
      <c r="G342" t="s">
        <v>179</v>
      </c>
      <c r="H342">
        <v>0</v>
      </c>
      <c r="I342">
        <v>0</v>
      </c>
      <c r="J342" s="10">
        <v>0</v>
      </c>
      <c r="K342" s="10">
        <f>SUMIFS(F:F,D:D,DST_123_ÜRETİM_İHTİYAÇ_RAPORU_BURAK_YENI1309[[#This Row],[ALT_KOD]])-(SUMIFS(H:H,D:D,DST_123_ÜRETİM_İHTİYAÇ_RAPORU_BURAK_YENI1309[[#This Row],[ALT_KOD]])+AVERAGEIFS(I:I,D:D,DST_123_ÜRETİM_İHTİYAÇ_RAPORU_BURAK_YENI1309[[#This Row],[ALT_KOD]])+AVERAGEIFS(L:L,D:D,DST_123_ÜRETİM_İHTİYAÇ_RAPORU_BURAK_YENI1309[[#This Row],[ALT_KOD]]))</f>
        <v>3</v>
      </c>
      <c r="L342">
        <v>0</v>
      </c>
      <c r="M342">
        <f>IF((DST_123_ÜRETİM_İHTİYAÇ_RAPORU_BURAK_YENI1309[[#This Row],[SATINALMA]]*DST_123_ÜRETİM_İHTİYAÇ_RAPORU_BURAK_YENI1309[[#This Row],[BIRIM_FIYATLAR]])&lt;1,VALUE("0"),DST_123_ÜRETİM_İHTİYAÇ_RAPORU_BURAK_YENI1309[[#This Row],[SATINALMA]]*DST_123_ÜRETİM_İHTİYAÇ_RAPORU_BURAK_YENI1309[[#This Row],[BIRIM_FIYATLAR]])</f>
        <v>288</v>
      </c>
      <c r="N342">
        <v>96</v>
      </c>
      <c r="P342">
        <v>288</v>
      </c>
      <c r="Q342" t="s">
        <v>184</v>
      </c>
    </row>
    <row r="343" spans="1:17" x14ac:dyDescent="0.25">
      <c r="A343" t="s">
        <v>1057</v>
      </c>
      <c r="B343" t="s">
        <v>1058</v>
      </c>
      <c r="C343" t="s">
        <v>175</v>
      </c>
      <c r="D343" t="s">
        <v>231</v>
      </c>
      <c r="E343" t="s">
        <v>232</v>
      </c>
      <c r="F343">
        <v>2</v>
      </c>
      <c r="G343" t="s">
        <v>176</v>
      </c>
      <c r="H343">
        <v>0</v>
      </c>
      <c r="I343">
        <v>239</v>
      </c>
      <c r="J343" s="10">
        <v>90</v>
      </c>
      <c r="K343" s="10">
        <f>SUMIFS(F:F,D:D,DST_123_ÜRETİM_İHTİYAÇ_RAPORU_BURAK_YENI1309[[#This Row],[ALT_KOD]])-(SUMIFS(H:H,D:D,DST_123_ÜRETİM_İHTİYAÇ_RAPORU_BURAK_YENI1309[[#This Row],[ALT_KOD]])+AVERAGEIFS(I:I,D:D,DST_123_ÜRETİM_İHTİYAÇ_RAPORU_BURAK_YENI1309[[#This Row],[ALT_KOD]])+AVERAGEIFS(L:L,D:D,DST_123_ÜRETİM_İHTİYAÇ_RAPORU_BURAK_YENI1309[[#This Row],[ALT_KOD]]))</f>
        <v>-201</v>
      </c>
      <c r="L343">
        <v>0</v>
      </c>
      <c r="M343">
        <f>IF((DST_123_ÜRETİM_İHTİYAÇ_RAPORU_BURAK_YENI1309[[#This Row],[SATINALMA]]*DST_123_ÜRETİM_İHTİYAÇ_RAPORU_BURAK_YENI1309[[#This Row],[BIRIM_FIYATLAR]])&lt;1,VALUE("0"),DST_123_ÜRETİM_İHTİYAÇ_RAPORU_BURAK_YENI1309[[#This Row],[SATINALMA]]*DST_123_ÜRETİM_İHTİYAÇ_RAPORU_BURAK_YENI1309[[#This Row],[BIRIM_FIYATLAR]])</f>
        <v>0</v>
      </c>
      <c r="N343">
        <v>4</v>
      </c>
      <c r="O343" t="s">
        <v>220</v>
      </c>
      <c r="P343">
        <v>8</v>
      </c>
      <c r="Q343" t="s">
        <v>221</v>
      </c>
    </row>
    <row r="344" spans="1:17" x14ac:dyDescent="0.25">
      <c r="A344" t="s">
        <v>1147</v>
      </c>
      <c r="B344" t="s">
        <v>1145</v>
      </c>
      <c r="C344" t="s">
        <v>175</v>
      </c>
      <c r="D344" t="s">
        <v>15</v>
      </c>
      <c r="E344" t="s">
        <v>16</v>
      </c>
      <c r="F344">
        <v>1</v>
      </c>
      <c r="G344" t="s">
        <v>176</v>
      </c>
      <c r="H344">
        <v>0</v>
      </c>
      <c r="I344">
        <v>7</v>
      </c>
      <c r="J344" s="10">
        <v>10</v>
      </c>
      <c r="K344" s="10">
        <f>SUMIFS(F:F,D:D,DST_123_ÜRETİM_İHTİYAÇ_RAPORU_BURAK_YENI1309[[#This Row],[ALT_KOD]])-(SUMIFS(H:H,D:D,DST_123_ÜRETİM_İHTİYAÇ_RAPORU_BURAK_YENI1309[[#This Row],[ALT_KOD]])+AVERAGEIFS(I:I,D:D,DST_123_ÜRETİM_İHTİYAÇ_RAPORU_BURAK_YENI1309[[#This Row],[ALT_KOD]])+AVERAGEIFS(L:L,D:D,DST_123_ÜRETİM_İHTİYAÇ_RAPORU_BURAK_YENI1309[[#This Row],[ALT_KOD]]))</f>
        <v>6</v>
      </c>
      <c r="L344">
        <v>0</v>
      </c>
      <c r="M344">
        <f>IF((DST_123_ÜRETİM_İHTİYAÇ_RAPORU_BURAK_YENI1309[[#This Row],[SATINALMA]]*DST_123_ÜRETİM_İHTİYAÇ_RAPORU_BURAK_YENI1309[[#This Row],[BIRIM_FIYATLAR]])&lt;1,VALUE("0"),DST_123_ÜRETİM_İHTİYAÇ_RAPORU_BURAK_YENI1309[[#This Row],[SATINALMA]]*DST_123_ÜRETİM_İHTİYAÇ_RAPORU_BURAK_YENI1309[[#This Row],[BIRIM_FIYATLAR]])</f>
        <v>20303.939999999999</v>
      </c>
      <c r="N344">
        <v>3383.99</v>
      </c>
      <c r="O344" t="s">
        <v>215</v>
      </c>
      <c r="P344">
        <v>3383.99</v>
      </c>
      <c r="Q344" t="s">
        <v>221</v>
      </c>
    </row>
    <row r="345" spans="1:17" x14ac:dyDescent="0.25">
      <c r="A345" t="s">
        <v>1100</v>
      </c>
      <c r="B345" t="s">
        <v>1058</v>
      </c>
      <c r="C345" t="s">
        <v>175</v>
      </c>
      <c r="D345" t="s">
        <v>15</v>
      </c>
      <c r="E345" t="s">
        <v>16</v>
      </c>
      <c r="F345">
        <v>1</v>
      </c>
      <c r="G345" t="s">
        <v>176</v>
      </c>
      <c r="H345">
        <v>1</v>
      </c>
      <c r="I345">
        <v>7</v>
      </c>
      <c r="J345" s="10">
        <v>10</v>
      </c>
      <c r="K345" s="10">
        <f>SUMIFS(F:F,D:D,DST_123_ÜRETİM_İHTİYAÇ_RAPORU_BURAK_YENI1309[[#This Row],[ALT_KOD]])-(SUMIFS(H:H,D:D,DST_123_ÜRETİM_İHTİYAÇ_RAPORU_BURAK_YENI1309[[#This Row],[ALT_KOD]])+AVERAGEIFS(I:I,D:D,DST_123_ÜRETİM_İHTİYAÇ_RAPORU_BURAK_YENI1309[[#This Row],[ALT_KOD]])+AVERAGEIFS(L:L,D:D,DST_123_ÜRETİM_İHTİYAÇ_RAPORU_BURAK_YENI1309[[#This Row],[ALT_KOD]]))</f>
        <v>6</v>
      </c>
      <c r="L345">
        <v>0</v>
      </c>
      <c r="M345">
        <f>IF((DST_123_ÜRETİM_İHTİYAÇ_RAPORU_BURAK_YENI1309[[#This Row],[SATINALMA]]*DST_123_ÜRETİM_İHTİYAÇ_RAPORU_BURAK_YENI1309[[#This Row],[BIRIM_FIYATLAR]])&lt;1,VALUE("0"),DST_123_ÜRETİM_İHTİYAÇ_RAPORU_BURAK_YENI1309[[#This Row],[SATINALMA]]*DST_123_ÜRETİM_İHTİYAÇ_RAPORU_BURAK_YENI1309[[#This Row],[BIRIM_FIYATLAR]])</f>
        <v>20303.939999999999</v>
      </c>
      <c r="N345">
        <v>3383.99</v>
      </c>
      <c r="O345" t="s">
        <v>215</v>
      </c>
      <c r="P345">
        <v>3383.99</v>
      </c>
      <c r="Q345" t="s">
        <v>221</v>
      </c>
    </row>
    <row r="346" spans="1:17" x14ac:dyDescent="0.25">
      <c r="A346" t="s">
        <v>1060</v>
      </c>
      <c r="B346" t="s">
        <v>1061</v>
      </c>
      <c r="C346" t="s">
        <v>175</v>
      </c>
      <c r="D346" t="s">
        <v>28</v>
      </c>
      <c r="E346" t="s">
        <v>29</v>
      </c>
      <c r="F346">
        <v>135</v>
      </c>
      <c r="G346" t="s">
        <v>176</v>
      </c>
      <c r="H346">
        <v>0</v>
      </c>
      <c r="I346">
        <v>3000</v>
      </c>
      <c r="J346" s="10">
        <v>1048</v>
      </c>
      <c r="K346" s="10">
        <f>SUMIFS(F:F,D:D,DST_123_ÜRETİM_İHTİYAÇ_RAPORU_BURAK_YENI1309[[#This Row],[ALT_KOD]])-(SUMIFS(H:H,D:D,DST_123_ÜRETİM_İHTİYAÇ_RAPORU_BURAK_YENI1309[[#This Row],[ALT_KOD]])+AVERAGEIFS(I:I,D:D,DST_123_ÜRETİM_İHTİYAÇ_RAPORU_BURAK_YENI1309[[#This Row],[ALT_KOD]])+AVERAGEIFS(L:L,D:D,DST_123_ÜRETİM_İHTİYAÇ_RAPORU_BURAK_YENI1309[[#This Row],[ALT_KOD]]))</f>
        <v>-967</v>
      </c>
      <c r="L346">
        <v>0</v>
      </c>
      <c r="M346">
        <f>IF((DST_123_ÜRETİM_İHTİYAÇ_RAPORU_BURAK_YENI1309[[#This Row],[SATINALMA]]*DST_123_ÜRETİM_İHTİYAÇ_RAPORU_BURAK_YENI1309[[#This Row],[BIRIM_FIYATLAR]])&lt;1,VALUE("0"),DST_123_ÜRETİM_İHTİYAÇ_RAPORU_BURAK_YENI1309[[#This Row],[SATINALMA]]*DST_123_ÜRETİM_İHTİYAÇ_RAPORU_BURAK_YENI1309[[#This Row],[BIRIM_FIYATLAR]])</f>
        <v>0</v>
      </c>
      <c r="N346">
        <v>2.92</v>
      </c>
      <c r="O346" t="s">
        <v>628</v>
      </c>
      <c r="P346">
        <v>394.2</v>
      </c>
      <c r="Q346" t="s">
        <v>180</v>
      </c>
    </row>
    <row r="347" spans="1:17" x14ac:dyDescent="0.25">
      <c r="A347" t="s">
        <v>1057</v>
      </c>
      <c r="B347" t="s">
        <v>1058</v>
      </c>
      <c r="C347" t="s">
        <v>175</v>
      </c>
      <c r="D347" t="s">
        <v>28</v>
      </c>
      <c r="E347" t="s">
        <v>29</v>
      </c>
      <c r="F347">
        <v>66</v>
      </c>
      <c r="G347" t="s">
        <v>176</v>
      </c>
      <c r="H347">
        <v>0</v>
      </c>
      <c r="I347">
        <v>3000</v>
      </c>
      <c r="J347" s="10">
        <v>1048</v>
      </c>
      <c r="K347" s="10">
        <f>SUMIFS(F:F,D:D,DST_123_ÜRETİM_İHTİYAÇ_RAPORU_BURAK_YENI1309[[#This Row],[ALT_KOD]])-(SUMIFS(H:H,D:D,DST_123_ÜRETİM_İHTİYAÇ_RAPORU_BURAK_YENI1309[[#This Row],[ALT_KOD]])+AVERAGEIFS(I:I,D:D,DST_123_ÜRETİM_İHTİYAÇ_RAPORU_BURAK_YENI1309[[#This Row],[ALT_KOD]])+AVERAGEIFS(L:L,D:D,DST_123_ÜRETİM_İHTİYAÇ_RAPORU_BURAK_YENI1309[[#This Row],[ALT_KOD]]))</f>
        <v>-967</v>
      </c>
      <c r="L347">
        <v>0</v>
      </c>
      <c r="M347">
        <f>IF((DST_123_ÜRETİM_İHTİYAÇ_RAPORU_BURAK_YENI1309[[#This Row],[SATINALMA]]*DST_123_ÜRETİM_İHTİYAÇ_RAPORU_BURAK_YENI1309[[#This Row],[BIRIM_FIYATLAR]])&lt;1,VALUE("0"),DST_123_ÜRETİM_İHTİYAÇ_RAPORU_BURAK_YENI1309[[#This Row],[SATINALMA]]*DST_123_ÜRETİM_İHTİYAÇ_RAPORU_BURAK_YENI1309[[#This Row],[BIRIM_FIYATLAR]])</f>
        <v>0</v>
      </c>
      <c r="N347">
        <v>2.92</v>
      </c>
      <c r="O347" t="s">
        <v>628</v>
      </c>
      <c r="P347">
        <v>192.72</v>
      </c>
      <c r="Q347" t="s">
        <v>180</v>
      </c>
    </row>
    <row r="348" spans="1:17" x14ac:dyDescent="0.25">
      <c r="A348" t="s">
        <v>1100</v>
      </c>
      <c r="B348" t="s">
        <v>1058</v>
      </c>
      <c r="C348" t="s">
        <v>175</v>
      </c>
      <c r="D348" t="s">
        <v>28</v>
      </c>
      <c r="E348" t="s">
        <v>29</v>
      </c>
      <c r="F348">
        <v>50</v>
      </c>
      <c r="G348" t="s">
        <v>176</v>
      </c>
      <c r="H348">
        <v>0</v>
      </c>
      <c r="I348">
        <v>3000</v>
      </c>
      <c r="J348" s="10">
        <v>1048</v>
      </c>
      <c r="K348" s="10">
        <f>SUMIFS(F:F,D:D,DST_123_ÜRETİM_İHTİYAÇ_RAPORU_BURAK_YENI1309[[#This Row],[ALT_KOD]])-(SUMIFS(H:H,D:D,DST_123_ÜRETİM_İHTİYAÇ_RAPORU_BURAK_YENI1309[[#This Row],[ALT_KOD]])+AVERAGEIFS(I:I,D:D,DST_123_ÜRETİM_İHTİYAÇ_RAPORU_BURAK_YENI1309[[#This Row],[ALT_KOD]])+AVERAGEIFS(L:L,D:D,DST_123_ÜRETİM_İHTİYAÇ_RAPORU_BURAK_YENI1309[[#This Row],[ALT_KOD]]))</f>
        <v>-967</v>
      </c>
      <c r="L348">
        <v>0</v>
      </c>
      <c r="M348">
        <f>IF((DST_123_ÜRETİM_İHTİYAÇ_RAPORU_BURAK_YENI1309[[#This Row],[SATINALMA]]*DST_123_ÜRETİM_İHTİYAÇ_RAPORU_BURAK_YENI1309[[#This Row],[BIRIM_FIYATLAR]])&lt;1,VALUE("0"),DST_123_ÜRETİM_İHTİYAÇ_RAPORU_BURAK_YENI1309[[#This Row],[SATINALMA]]*DST_123_ÜRETİM_İHTİYAÇ_RAPORU_BURAK_YENI1309[[#This Row],[BIRIM_FIYATLAR]])</f>
        <v>0</v>
      </c>
      <c r="N348">
        <v>2.92</v>
      </c>
      <c r="O348" t="s">
        <v>628</v>
      </c>
      <c r="P348">
        <v>146</v>
      </c>
      <c r="Q348" t="s">
        <v>180</v>
      </c>
    </row>
    <row r="349" spans="1:17" x14ac:dyDescent="0.25">
      <c r="A349" t="s">
        <v>1196</v>
      </c>
      <c r="B349" t="s">
        <v>1197</v>
      </c>
      <c r="C349" t="s">
        <v>175</v>
      </c>
      <c r="D349" t="s">
        <v>536</v>
      </c>
      <c r="E349" t="s">
        <v>537</v>
      </c>
      <c r="F349">
        <v>45</v>
      </c>
      <c r="G349" t="s">
        <v>176</v>
      </c>
      <c r="H349">
        <v>0</v>
      </c>
      <c r="I349">
        <v>2200</v>
      </c>
      <c r="J349" s="10">
        <v>0</v>
      </c>
      <c r="K349" s="10">
        <f>SUMIFS(F:F,D:D,DST_123_ÜRETİM_İHTİYAÇ_RAPORU_BURAK_YENI1309[[#This Row],[ALT_KOD]])-(SUMIFS(H:H,D:D,DST_123_ÜRETİM_İHTİYAÇ_RAPORU_BURAK_YENI1309[[#This Row],[ALT_KOD]])+AVERAGEIFS(I:I,D:D,DST_123_ÜRETİM_İHTİYAÇ_RAPORU_BURAK_YENI1309[[#This Row],[ALT_KOD]])+AVERAGEIFS(L:L,D:D,DST_123_ÜRETİM_İHTİYAÇ_RAPORU_BURAK_YENI1309[[#This Row],[ALT_KOD]]))</f>
        <v>-1626</v>
      </c>
      <c r="L349">
        <v>0</v>
      </c>
      <c r="M349">
        <f>IF((DST_123_ÜRETİM_İHTİYAÇ_RAPORU_BURAK_YENI1309[[#This Row],[SATINALMA]]*DST_123_ÜRETİM_İHTİYAÇ_RAPORU_BURAK_YENI1309[[#This Row],[BIRIM_FIYATLAR]])&lt;1,VALUE("0"),DST_123_ÜRETİM_İHTİYAÇ_RAPORU_BURAK_YENI1309[[#This Row],[SATINALMA]]*DST_123_ÜRETİM_İHTİYAÇ_RAPORU_BURAK_YENI1309[[#This Row],[BIRIM_FIYATLAR]])</f>
        <v>0</v>
      </c>
      <c r="N349">
        <v>0.7</v>
      </c>
      <c r="O349" t="s">
        <v>240</v>
      </c>
      <c r="P349">
        <v>31.499999999999996</v>
      </c>
      <c r="Q349" t="s">
        <v>180</v>
      </c>
    </row>
    <row r="350" spans="1:17" x14ac:dyDescent="0.25">
      <c r="A350" t="s">
        <v>1098</v>
      </c>
      <c r="B350" t="s">
        <v>1096</v>
      </c>
      <c r="C350" t="s">
        <v>175</v>
      </c>
      <c r="D350" t="s">
        <v>71</v>
      </c>
      <c r="E350" t="s">
        <v>249</v>
      </c>
      <c r="F350">
        <v>11.199999999999998</v>
      </c>
      <c r="G350" t="s">
        <v>176</v>
      </c>
      <c r="H350">
        <v>0</v>
      </c>
      <c r="I350">
        <v>96</v>
      </c>
      <c r="J350" s="10">
        <v>195.44000000000014</v>
      </c>
      <c r="K350" s="10">
        <f>SUMIFS(F:F,D:D,DST_123_ÜRETİM_İHTİYAÇ_RAPORU_BURAK_YENI1309[[#This Row],[ALT_KOD]])-(SUMIFS(H:H,D:D,DST_123_ÜRETİM_İHTİYAÇ_RAPORU_BURAK_YENI1309[[#This Row],[ALT_KOD]])+AVERAGEIFS(I:I,D:D,DST_123_ÜRETİM_İHTİYAÇ_RAPORU_BURAK_YENI1309[[#This Row],[ALT_KOD]])+AVERAGEIFS(L:L,D:D,DST_123_ÜRETİM_İHTİYAÇ_RAPORU_BURAK_YENI1309[[#This Row],[ALT_KOD]]))</f>
        <v>63.319999999999951</v>
      </c>
      <c r="L350">
        <v>0</v>
      </c>
      <c r="M350">
        <f>IF((DST_123_ÜRETİM_İHTİYAÇ_RAPORU_BURAK_YENI1309[[#This Row],[SATINALMA]]*DST_123_ÜRETİM_İHTİYAÇ_RAPORU_BURAK_YENI1309[[#This Row],[BIRIM_FIYATLAR]])&lt;1,VALUE("0"),DST_123_ÜRETİM_İHTİYAÇ_RAPORU_BURAK_YENI1309[[#This Row],[SATINALMA]]*DST_123_ÜRETİM_İHTİYAÇ_RAPORU_BURAK_YENI1309[[#This Row],[BIRIM_FIYATLAR]])</f>
        <v>8163.8475999999937</v>
      </c>
      <c r="N350">
        <v>128.93</v>
      </c>
      <c r="O350" t="s">
        <v>250</v>
      </c>
      <c r="P350">
        <v>1444.0159999999998</v>
      </c>
      <c r="Q350" t="s">
        <v>180</v>
      </c>
    </row>
    <row r="351" spans="1:17" x14ac:dyDescent="0.25">
      <c r="A351" t="s">
        <v>1098</v>
      </c>
      <c r="B351" t="s">
        <v>1096</v>
      </c>
      <c r="C351" t="s">
        <v>175</v>
      </c>
      <c r="D351" t="s">
        <v>1030</v>
      </c>
      <c r="E351" t="s">
        <v>1031</v>
      </c>
      <c r="F351">
        <v>0.125</v>
      </c>
      <c r="G351" t="s">
        <v>182</v>
      </c>
      <c r="H351">
        <v>0</v>
      </c>
      <c r="I351">
        <v>40</v>
      </c>
      <c r="J351" s="10">
        <v>20</v>
      </c>
      <c r="K351" s="10">
        <f>SUMIFS(F:F,D:D,DST_123_ÜRETİM_İHTİYAÇ_RAPORU_BURAK_YENI1309[[#This Row],[ALT_KOD]])-(SUMIFS(H:H,D:D,DST_123_ÜRETİM_İHTİYAÇ_RAPORU_BURAK_YENI1309[[#This Row],[ALT_KOD]])+AVERAGEIFS(I:I,D:D,DST_123_ÜRETİM_İHTİYAÇ_RAPORU_BURAK_YENI1309[[#This Row],[ALT_KOD]])+AVERAGEIFS(L:L,D:D,DST_123_ÜRETİM_İHTİYAÇ_RAPORU_BURAK_YENI1309[[#This Row],[ALT_KOD]]))</f>
        <v>-35.625</v>
      </c>
      <c r="L351">
        <v>0</v>
      </c>
      <c r="M351">
        <f>IF((DST_123_ÜRETİM_İHTİYAÇ_RAPORU_BURAK_YENI1309[[#This Row],[SATINALMA]]*DST_123_ÜRETİM_İHTİYAÇ_RAPORU_BURAK_YENI1309[[#This Row],[BIRIM_FIYATLAR]])&lt;1,VALUE("0"),DST_123_ÜRETİM_İHTİYAÇ_RAPORU_BURAK_YENI1309[[#This Row],[SATINALMA]]*DST_123_ÜRETİM_İHTİYAÇ_RAPORU_BURAK_YENI1309[[#This Row],[BIRIM_FIYATLAR]])</f>
        <v>0</v>
      </c>
      <c r="N351">
        <v>54.17</v>
      </c>
      <c r="O351" t="s">
        <v>453</v>
      </c>
      <c r="P351">
        <v>6.7712500000000002</v>
      </c>
      <c r="Q351" t="s">
        <v>183</v>
      </c>
    </row>
    <row r="352" spans="1:17" x14ac:dyDescent="0.25">
      <c r="A352" t="s">
        <v>1060</v>
      </c>
      <c r="B352" t="s">
        <v>1061</v>
      </c>
      <c r="C352" t="s">
        <v>175</v>
      </c>
      <c r="D352" t="s">
        <v>536</v>
      </c>
      <c r="E352" t="s">
        <v>537</v>
      </c>
      <c r="F352">
        <v>45</v>
      </c>
      <c r="G352" t="s">
        <v>176</v>
      </c>
      <c r="H352">
        <v>0</v>
      </c>
      <c r="I352">
        <v>2200</v>
      </c>
      <c r="J352" s="10">
        <v>0</v>
      </c>
      <c r="K352" s="10">
        <f>SUMIFS(F:F,D:D,DST_123_ÜRETİM_İHTİYAÇ_RAPORU_BURAK_YENI1309[[#This Row],[ALT_KOD]])-(SUMIFS(H:H,D:D,DST_123_ÜRETİM_İHTİYAÇ_RAPORU_BURAK_YENI1309[[#This Row],[ALT_KOD]])+AVERAGEIFS(I:I,D:D,DST_123_ÜRETİM_İHTİYAÇ_RAPORU_BURAK_YENI1309[[#This Row],[ALT_KOD]])+AVERAGEIFS(L:L,D:D,DST_123_ÜRETİM_İHTİYAÇ_RAPORU_BURAK_YENI1309[[#This Row],[ALT_KOD]]))</f>
        <v>-1626</v>
      </c>
      <c r="L352">
        <v>0</v>
      </c>
      <c r="M352">
        <f>IF((DST_123_ÜRETİM_İHTİYAÇ_RAPORU_BURAK_YENI1309[[#This Row],[SATINALMA]]*DST_123_ÜRETİM_İHTİYAÇ_RAPORU_BURAK_YENI1309[[#This Row],[BIRIM_FIYATLAR]])&lt;1,VALUE("0"),DST_123_ÜRETİM_İHTİYAÇ_RAPORU_BURAK_YENI1309[[#This Row],[SATINALMA]]*DST_123_ÜRETİM_İHTİYAÇ_RAPORU_BURAK_YENI1309[[#This Row],[BIRIM_FIYATLAR]])</f>
        <v>0</v>
      </c>
      <c r="N352">
        <v>0.7</v>
      </c>
      <c r="O352" t="s">
        <v>240</v>
      </c>
      <c r="P352">
        <v>31.499999999999996</v>
      </c>
      <c r="Q352" t="s">
        <v>180</v>
      </c>
    </row>
    <row r="353" spans="1:17" x14ac:dyDescent="0.25">
      <c r="A353" t="s">
        <v>1057</v>
      </c>
      <c r="B353" t="s">
        <v>1058</v>
      </c>
      <c r="C353" t="s">
        <v>175</v>
      </c>
      <c r="D353" t="s">
        <v>536</v>
      </c>
      <c r="E353" t="s">
        <v>537</v>
      </c>
      <c r="F353">
        <v>40</v>
      </c>
      <c r="G353" t="s">
        <v>176</v>
      </c>
      <c r="H353">
        <v>0</v>
      </c>
      <c r="I353">
        <v>2200</v>
      </c>
      <c r="J353" s="10">
        <v>0</v>
      </c>
      <c r="K353" s="10">
        <f>SUMIFS(F:F,D:D,DST_123_ÜRETİM_İHTİYAÇ_RAPORU_BURAK_YENI1309[[#This Row],[ALT_KOD]])-(SUMIFS(H:H,D:D,DST_123_ÜRETİM_İHTİYAÇ_RAPORU_BURAK_YENI1309[[#This Row],[ALT_KOD]])+AVERAGEIFS(I:I,D:D,DST_123_ÜRETİM_İHTİYAÇ_RAPORU_BURAK_YENI1309[[#This Row],[ALT_KOD]])+AVERAGEIFS(L:L,D:D,DST_123_ÜRETİM_İHTİYAÇ_RAPORU_BURAK_YENI1309[[#This Row],[ALT_KOD]]))</f>
        <v>-1626</v>
      </c>
      <c r="L353">
        <v>0</v>
      </c>
      <c r="M353">
        <f>IF((DST_123_ÜRETİM_İHTİYAÇ_RAPORU_BURAK_YENI1309[[#This Row],[SATINALMA]]*DST_123_ÜRETİM_İHTİYAÇ_RAPORU_BURAK_YENI1309[[#This Row],[BIRIM_FIYATLAR]])&lt;1,VALUE("0"),DST_123_ÜRETİM_İHTİYAÇ_RAPORU_BURAK_YENI1309[[#This Row],[SATINALMA]]*DST_123_ÜRETİM_İHTİYAÇ_RAPORU_BURAK_YENI1309[[#This Row],[BIRIM_FIYATLAR]])</f>
        <v>0</v>
      </c>
      <c r="N353">
        <v>0.7</v>
      </c>
      <c r="O353" t="s">
        <v>240</v>
      </c>
      <c r="P353">
        <v>28</v>
      </c>
      <c r="Q353" t="s">
        <v>180</v>
      </c>
    </row>
    <row r="354" spans="1:17" x14ac:dyDescent="0.25">
      <c r="A354" t="s">
        <v>1100</v>
      </c>
      <c r="B354" t="s">
        <v>1058</v>
      </c>
      <c r="C354" t="s">
        <v>175</v>
      </c>
      <c r="D354" t="s">
        <v>536</v>
      </c>
      <c r="E354" t="s">
        <v>537</v>
      </c>
      <c r="F354">
        <v>40</v>
      </c>
      <c r="G354" t="s">
        <v>176</v>
      </c>
      <c r="H354">
        <v>0</v>
      </c>
      <c r="I354">
        <v>2200</v>
      </c>
      <c r="J354" s="10">
        <v>0</v>
      </c>
      <c r="K354" s="10">
        <f>SUMIFS(F:F,D:D,DST_123_ÜRETİM_İHTİYAÇ_RAPORU_BURAK_YENI1309[[#This Row],[ALT_KOD]])-(SUMIFS(H:H,D:D,DST_123_ÜRETİM_İHTİYAÇ_RAPORU_BURAK_YENI1309[[#This Row],[ALT_KOD]])+AVERAGEIFS(I:I,D:D,DST_123_ÜRETİM_İHTİYAÇ_RAPORU_BURAK_YENI1309[[#This Row],[ALT_KOD]])+AVERAGEIFS(L:L,D:D,DST_123_ÜRETİM_İHTİYAÇ_RAPORU_BURAK_YENI1309[[#This Row],[ALT_KOD]]))</f>
        <v>-1626</v>
      </c>
      <c r="L354">
        <v>0</v>
      </c>
      <c r="M354">
        <f>IF((DST_123_ÜRETİM_İHTİYAÇ_RAPORU_BURAK_YENI1309[[#This Row],[SATINALMA]]*DST_123_ÜRETİM_İHTİYAÇ_RAPORU_BURAK_YENI1309[[#This Row],[BIRIM_FIYATLAR]])&lt;1,VALUE("0"),DST_123_ÜRETİM_İHTİYAÇ_RAPORU_BURAK_YENI1309[[#This Row],[SATINALMA]]*DST_123_ÜRETİM_İHTİYAÇ_RAPORU_BURAK_YENI1309[[#This Row],[BIRIM_FIYATLAR]])</f>
        <v>0</v>
      </c>
      <c r="N354">
        <v>0.7</v>
      </c>
      <c r="O354" t="s">
        <v>240</v>
      </c>
      <c r="P354">
        <v>28</v>
      </c>
      <c r="Q354" t="s">
        <v>180</v>
      </c>
    </row>
    <row r="355" spans="1:17" x14ac:dyDescent="0.25">
      <c r="A355" t="s">
        <v>1148</v>
      </c>
      <c r="B355" t="s">
        <v>1056</v>
      </c>
      <c r="C355" t="s">
        <v>175</v>
      </c>
      <c r="D355" t="s">
        <v>536</v>
      </c>
      <c r="E355" t="s">
        <v>537</v>
      </c>
      <c r="F355">
        <v>7</v>
      </c>
      <c r="G355" t="s">
        <v>176</v>
      </c>
      <c r="H355">
        <v>0</v>
      </c>
      <c r="I355">
        <v>2200</v>
      </c>
      <c r="J355" s="10">
        <v>0</v>
      </c>
      <c r="K355" s="10">
        <f>SUMIFS(F:F,D:D,DST_123_ÜRETİM_İHTİYAÇ_RAPORU_BURAK_YENI1309[[#This Row],[ALT_KOD]])-(SUMIFS(H:H,D:D,DST_123_ÜRETİM_İHTİYAÇ_RAPORU_BURAK_YENI1309[[#This Row],[ALT_KOD]])+AVERAGEIFS(I:I,D:D,DST_123_ÜRETİM_İHTİYAÇ_RAPORU_BURAK_YENI1309[[#This Row],[ALT_KOD]])+AVERAGEIFS(L:L,D:D,DST_123_ÜRETİM_İHTİYAÇ_RAPORU_BURAK_YENI1309[[#This Row],[ALT_KOD]]))</f>
        <v>-1626</v>
      </c>
      <c r="L355">
        <v>0</v>
      </c>
      <c r="M355">
        <f>IF((DST_123_ÜRETİM_İHTİYAÇ_RAPORU_BURAK_YENI1309[[#This Row],[SATINALMA]]*DST_123_ÜRETİM_İHTİYAÇ_RAPORU_BURAK_YENI1309[[#This Row],[BIRIM_FIYATLAR]])&lt;1,VALUE("0"),DST_123_ÜRETİM_İHTİYAÇ_RAPORU_BURAK_YENI1309[[#This Row],[SATINALMA]]*DST_123_ÜRETİM_İHTİYAÇ_RAPORU_BURAK_YENI1309[[#This Row],[BIRIM_FIYATLAR]])</f>
        <v>0</v>
      </c>
      <c r="N355">
        <v>0.7</v>
      </c>
      <c r="O355" t="s">
        <v>240</v>
      </c>
      <c r="P355">
        <v>4.8999999999999995</v>
      </c>
      <c r="Q355" t="s">
        <v>180</v>
      </c>
    </row>
    <row r="356" spans="1:17" x14ac:dyDescent="0.25">
      <c r="A356" t="s">
        <v>1147</v>
      </c>
      <c r="B356" t="s">
        <v>1145</v>
      </c>
      <c r="C356" t="s">
        <v>175</v>
      </c>
      <c r="D356" t="s">
        <v>668</v>
      </c>
      <c r="E356" t="s">
        <v>669</v>
      </c>
      <c r="F356">
        <v>1</v>
      </c>
      <c r="G356" t="s">
        <v>176</v>
      </c>
      <c r="H356">
        <v>0</v>
      </c>
      <c r="I356">
        <v>13</v>
      </c>
      <c r="J356" s="10">
        <v>4</v>
      </c>
      <c r="K356" s="10">
        <f>SUMIFS(F:F,D:D,DST_123_ÜRETİM_İHTİYAÇ_RAPORU_BURAK_YENI1309[[#This Row],[ALT_KOD]])-(SUMIFS(H:H,D:D,DST_123_ÜRETİM_İHTİYAÇ_RAPORU_BURAK_YENI1309[[#This Row],[ALT_KOD]])+AVERAGEIFS(I:I,D:D,DST_123_ÜRETİM_İHTİYAÇ_RAPORU_BURAK_YENI1309[[#This Row],[ALT_KOD]])+AVERAGEIFS(L:L,D:D,DST_123_ÜRETİM_İHTİYAÇ_RAPORU_BURAK_YENI1309[[#This Row],[ALT_KOD]]))</f>
        <v>-6</v>
      </c>
      <c r="L356">
        <v>0</v>
      </c>
      <c r="M356">
        <f>IF((DST_123_ÜRETİM_İHTİYAÇ_RAPORU_BURAK_YENI1309[[#This Row],[SATINALMA]]*DST_123_ÜRETİM_İHTİYAÇ_RAPORU_BURAK_YENI1309[[#This Row],[BIRIM_FIYATLAR]])&lt;1,VALUE("0"),DST_123_ÜRETİM_İHTİYAÇ_RAPORU_BURAK_YENI1309[[#This Row],[SATINALMA]]*DST_123_ÜRETİM_İHTİYAÇ_RAPORU_BURAK_YENI1309[[#This Row],[BIRIM_FIYATLAR]])</f>
        <v>0</v>
      </c>
      <c r="N356">
        <v>1250</v>
      </c>
      <c r="O356" t="s">
        <v>337</v>
      </c>
      <c r="P356">
        <v>1250</v>
      </c>
      <c r="Q356" t="s">
        <v>177</v>
      </c>
    </row>
    <row r="357" spans="1:17" x14ac:dyDescent="0.25">
      <c r="A357" t="s">
        <v>1148</v>
      </c>
      <c r="B357" t="s">
        <v>1056</v>
      </c>
      <c r="C357" t="s">
        <v>175</v>
      </c>
      <c r="D357" t="s">
        <v>668</v>
      </c>
      <c r="E357" t="s">
        <v>669</v>
      </c>
      <c r="F357">
        <v>1</v>
      </c>
      <c r="G357" t="s">
        <v>176</v>
      </c>
      <c r="H357">
        <v>0</v>
      </c>
      <c r="I357">
        <v>13</v>
      </c>
      <c r="J357" s="10">
        <v>4</v>
      </c>
      <c r="K357" s="10">
        <f>SUMIFS(F:F,D:D,DST_123_ÜRETİM_İHTİYAÇ_RAPORU_BURAK_YENI1309[[#This Row],[ALT_KOD]])-(SUMIFS(H:H,D:D,DST_123_ÜRETİM_İHTİYAÇ_RAPORU_BURAK_YENI1309[[#This Row],[ALT_KOD]])+AVERAGEIFS(I:I,D:D,DST_123_ÜRETİM_İHTİYAÇ_RAPORU_BURAK_YENI1309[[#This Row],[ALT_KOD]])+AVERAGEIFS(L:L,D:D,DST_123_ÜRETİM_İHTİYAÇ_RAPORU_BURAK_YENI1309[[#This Row],[ALT_KOD]]))</f>
        <v>-6</v>
      </c>
      <c r="L357">
        <v>0</v>
      </c>
      <c r="M357">
        <f>IF((DST_123_ÜRETİM_İHTİYAÇ_RAPORU_BURAK_YENI1309[[#This Row],[SATINALMA]]*DST_123_ÜRETİM_İHTİYAÇ_RAPORU_BURAK_YENI1309[[#This Row],[BIRIM_FIYATLAR]])&lt;1,VALUE("0"),DST_123_ÜRETİM_İHTİYAÇ_RAPORU_BURAK_YENI1309[[#This Row],[SATINALMA]]*DST_123_ÜRETİM_İHTİYAÇ_RAPORU_BURAK_YENI1309[[#This Row],[BIRIM_FIYATLAR]])</f>
        <v>0</v>
      </c>
      <c r="N357">
        <v>1250</v>
      </c>
      <c r="O357" t="s">
        <v>337</v>
      </c>
      <c r="P357">
        <v>1250</v>
      </c>
      <c r="Q357" t="s">
        <v>177</v>
      </c>
    </row>
    <row r="358" spans="1:17" x14ac:dyDescent="0.25">
      <c r="A358" t="s">
        <v>1150</v>
      </c>
      <c r="B358" t="s">
        <v>1145</v>
      </c>
      <c r="C358" t="s">
        <v>175</v>
      </c>
      <c r="D358" t="s">
        <v>536</v>
      </c>
      <c r="E358" t="s">
        <v>537</v>
      </c>
      <c r="F358">
        <v>45</v>
      </c>
      <c r="G358" t="s">
        <v>176</v>
      </c>
      <c r="H358">
        <v>0</v>
      </c>
      <c r="I358">
        <v>2200</v>
      </c>
      <c r="J358" s="10">
        <v>0</v>
      </c>
      <c r="K358" s="10">
        <f>SUMIFS(F:F,D:D,DST_123_ÜRETİM_İHTİYAÇ_RAPORU_BURAK_YENI1309[[#This Row],[ALT_KOD]])-(SUMIFS(H:H,D:D,DST_123_ÜRETİM_İHTİYAÇ_RAPORU_BURAK_YENI1309[[#This Row],[ALT_KOD]])+AVERAGEIFS(I:I,D:D,DST_123_ÜRETİM_İHTİYAÇ_RAPORU_BURAK_YENI1309[[#This Row],[ALT_KOD]])+AVERAGEIFS(L:L,D:D,DST_123_ÜRETİM_İHTİYAÇ_RAPORU_BURAK_YENI1309[[#This Row],[ALT_KOD]]))</f>
        <v>-1626</v>
      </c>
      <c r="L358">
        <v>0</v>
      </c>
      <c r="M358">
        <f>IF((DST_123_ÜRETİM_İHTİYAÇ_RAPORU_BURAK_YENI1309[[#This Row],[SATINALMA]]*DST_123_ÜRETİM_İHTİYAÇ_RAPORU_BURAK_YENI1309[[#This Row],[BIRIM_FIYATLAR]])&lt;1,VALUE("0"),DST_123_ÜRETİM_İHTİYAÇ_RAPORU_BURAK_YENI1309[[#This Row],[SATINALMA]]*DST_123_ÜRETİM_İHTİYAÇ_RAPORU_BURAK_YENI1309[[#This Row],[BIRIM_FIYATLAR]])</f>
        <v>0</v>
      </c>
      <c r="N358">
        <v>0.7</v>
      </c>
      <c r="O358" t="s">
        <v>240</v>
      </c>
      <c r="P358">
        <v>31.499999999999996</v>
      </c>
      <c r="Q358" t="s">
        <v>180</v>
      </c>
    </row>
    <row r="359" spans="1:17" x14ac:dyDescent="0.25">
      <c r="A359" t="s">
        <v>1150</v>
      </c>
      <c r="B359" t="s">
        <v>1145</v>
      </c>
      <c r="C359" t="s">
        <v>175</v>
      </c>
      <c r="D359" t="s">
        <v>807</v>
      </c>
      <c r="E359" t="s">
        <v>808</v>
      </c>
      <c r="F359">
        <v>1</v>
      </c>
      <c r="G359" t="s">
        <v>176</v>
      </c>
      <c r="H359">
        <v>0</v>
      </c>
      <c r="I359">
        <v>11</v>
      </c>
      <c r="J359" s="10">
        <v>1</v>
      </c>
      <c r="K359" s="10">
        <f>SUMIFS(F:F,D:D,DST_123_ÜRETİM_İHTİYAÇ_RAPORU_BURAK_YENI1309[[#This Row],[ALT_KOD]])-(SUMIFS(H:H,D:D,DST_123_ÜRETİM_İHTİYAÇ_RAPORU_BURAK_YENI1309[[#This Row],[ALT_KOD]])+AVERAGEIFS(I:I,D:D,DST_123_ÜRETİM_İHTİYAÇ_RAPORU_BURAK_YENI1309[[#This Row],[ALT_KOD]])+AVERAGEIFS(L:L,D:D,DST_123_ÜRETİM_İHTİYAÇ_RAPORU_BURAK_YENI1309[[#This Row],[ALT_KOD]]))</f>
        <v>-4</v>
      </c>
      <c r="L359">
        <v>0</v>
      </c>
      <c r="M359">
        <f>IF((DST_123_ÜRETİM_İHTİYAÇ_RAPORU_BURAK_YENI1309[[#This Row],[SATINALMA]]*DST_123_ÜRETİM_İHTİYAÇ_RAPORU_BURAK_YENI1309[[#This Row],[BIRIM_FIYATLAR]])&lt;1,VALUE("0"),DST_123_ÜRETİM_İHTİYAÇ_RAPORU_BURAK_YENI1309[[#This Row],[SATINALMA]]*DST_123_ÜRETİM_İHTİYAÇ_RAPORU_BURAK_YENI1309[[#This Row],[BIRIM_FIYATLAR]])</f>
        <v>0</v>
      </c>
      <c r="N359">
        <v>582.5</v>
      </c>
      <c r="O359" t="s">
        <v>628</v>
      </c>
      <c r="P359">
        <v>582.5</v>
      </c>
      <c r="Q359" t="s">
        <v>177</v>
      </c>
    </row>
    <row r="360" spans="1:17" x14ac:dyDescent="0.25">
      <c r="A360" t="s">
        <v>1098</v>
      </c>
      <c r="B360" t="s">
        <v>1096</v>
      </c>
      <c r="C360" t="s">
        <v>175</v>
      </c>
      <c r="D360" t="s">
        <v>70</v>
      </c>
      <c r="E360" t="s">
        <v>287</v>
      </c>
      <c r="F360">
        <v>5.49</v>
      </c>
      <c r="G360" t="s">
        <v>185</v>
      </c>
      <c r="H360">
        <v>0</v>
      </c>
      <c r="I360">
        <v>0</v>
      </c>
      <c r="J360" s="10">
        <v>233.6899999999996</v>
      </c>
      <c r="K360" s="10">
        <f>SUMIFS(F:F,D:D,DST_123_ÜRETİM_İHTİYAÇ_RAPORU_BURAK_YENI1309[[#This Row],[ALT_KOD]])-(SUMIFS(H:H,D:D,DST_123_ÜRETİM_İHTİYAÇ_RAPORU_BURAK_YENI1309[[#This Row],[ALT_KOD]])+AVERAGEIFS(I:I,D:D,DST_123_ÜRETİM_İHTİYAÇ_RAPORU_BURAK_YENI1309[[#This Row],[ALT_KOD]])+AVERAGEIFS(L:L,D:D,DST_123_ÜRETİM_İHTİYAÇ_RAPORU_BURAK_YENI1309[[#This Row],[ALT_KOD]]))</f>
        <v>63.129999999999995</v>
      </c>
      <c r="L360">
        <v>0</v>
      </c>
      <c r="M360">
        <f>IF((DST_123_ÜRETİM_İHTİYAÇ_RAPORU_BURAK_YENI1309[[#This Row],[SATINALMA]]*DST_123_ÜRETİM_İHTİYAÇ_RAPORU_BURAK_YENI1309[[#This Row],[BIRIM_FIYATLAR]])&lt;1,VALUE("0"),DST_123_ÜRETİM_İHTİYAÇ_RAPORU_BURAK_YENI1309[[#This Row],[SATINALMA]]*DST_123_ÜRETİM_İHTİYAÇ_RAPORU_BURAK_YENI1309[[#This Row],[BIRIM_FIYATLAR]])</f>
        <v>6403.9071999999996</v>
      </c>
      <c r="N360">
        <v>101.44</v>
      </c>
      <c r="O360" t="s">
        <v>490</v>
      </c>
      <c r="P360">
        <v>556.90560000000005</v>
      </c>
      <c r="Q360" t="s">
        <v>183</v>
      </c>
    </row>
    <row r="361" spans="1:17" x14ac:dyDescent="0.25">
      <c r="A361" t="s">
        <v>1196</v>
      </c>
      <c r="B361" t="s">
        <v>1197</v>
      </c>
      <c r="C361" t="s">
        <v>175</v>
      </c>
      <c r="D361" t="s">
        <v>71</v>
      </c>
      <c r="E361" t="s">
        <v>249</v>
      </c>
      <c r="F361">
        <v>7.2999999999999989</v>
      </c>
      <c r="G361" t="s">
        <v>176</v>
      </c>
      <c r="H361">
        <v>0</v>
      </c>
      <c r="I361">
        <v>96</v>
      </c>
      <c r="J361" s="10">
        <v>195.44000000000014</v>
      </c>
      <c r="K361" s="10">
        <f>SUMIFS(F:F,D:D,DST_123_ÜRETİM_İHTİYAÇ_RAPORU_BURAK_YENI1309[[#This Row],[ALT_KOD]])-(SUMIFS(H:H,D:D,DST_123_ÜRETİM_İHTİYAÇ_RAPORU_BURAK_YENI1309[[#This Row],[ALT_KOD]])+AVERAGEIFS(I:I,D:D,DST_123_ÜRETİM_İHTİYAÇ_RAPORU_BURAK_YENI1309[[#This Row],[ALT_KOD]])+AVERAGEIFS(L:L,D:D,DST_123_ÜRETİM_İHTİYAÇ_RAPORU_BURAK_YENI1309[[#This Row],[ALT_KOD]]))</f>
        <v>63.319999999999951</v>
      </c>
      <c r="L361">
        <v>0</v>
      </c>
      <c r="M361">
        <f>IF((DST_123_ÜRETİM_İHTİYAÇ_RAPORU_BURAK_YENI1309[[#This Row],[SATINALMA]]*DST_123_ÜRETİM_İHTİYAÇ_RAPORU_BURAK_YENI1309[[#This Row],[BIRIM_FIYATLAR]])&lt;1,VALUE("0"),DST_123_ÜRETİM_İHTİYAÇ_RAPORU_BURAK_YENI1309[[#This Row],[SATINALMA]]*DST_123_ÜRETİM_İHTİYAÇ_RAPORU_BURAK_YENI1309[[#This Row],[BIRIM_FIYATLAR]])</f>
        <v>8163.8475999999937</v>
      </c>
      <c r="N361">
        <v>128.93</v>
      </c>
      <c r="O361" t="s">
        <v>250</v>
      </c>
      <c r="P361">
        <v>941.18899999999996</v>
      </c>
      <c r="Q361" t="s">
        <v>180</v>
      </c>
    </row>
    <row r="362" spans="1:17" x14ac:dyDescent="0.25">
      <c r="A362" t="s">
        <v>1099</v>
      </c>
      <c r="B362" t="s">
        <v>1055</v>
      </c>
      <c r="C362" t="s">
        <v>175</v>
      </c>
      <c r="D362" t="s">
        <v>71</v>
      </c>
      <c r="E362" t="s">
        <v>249</v>
      </c>
      <c r="F362">
        <v>9.0500000000000007</v>
      </c>
      <c r="G362" t="s">
        <v>176</v>
      </c>
      <c r="H362">
        <v>0</v>
      </c>
      <c r="I362">
        <v>96</v>
      </c>
      <c r="J362" s="10">
        <v>195.44000000000014</v>
      </c>
      <c r="K362" s="10">
        <f>SUMIFS(F:F,D:D,DST_123_ÜRETİM_İHTİYAÇ_RAPORU_BURAK_YENI1309[[#This Row],[ALT_KOD]])-(SUMIFS(H:H,D:D,DST_123_ÜRETİM_İHTİYAÇ_RAPORU_BURAK_YENI1309[[#This Row],[ALT_KOD]])+AVERAGEIFS(I:I,D:D,DST_123_ÜRETİM_İHTİYAÇ_RAPORU_BURAK_YENI1309[[#This Row],[ALT_KOD]])+AVERAGEIFS(L:L,D:D,DST_123_ÜRETİM_İHTİYAÇ_RAPORU_BURAK_YENI1309[[#This Row],[ALT_KOD]]))</f>
        <v>63.319999999999951</v>
      </c>
      <c r="L362">
        <v>0</v>
      </c>
      <c r="M362">
        <f>IF((DST_123_ÜRETİM_İHTİYAÇ_RAPORU_BURAK_YENI1309[[#This Row],[SATINALMA]]*DST_123_ÜRETİM_İHTİYAÇ_RAPORU_BURAK_YENI1309[[#This Row],[BIRIM_FIYATLAR]])&lt;1,VALUE("0"),DST_123_ÜRETİM_İHTİYAÇ_RAPORU_BURAK_YENI1309[[#This Row],[SATINALMA]]*DST_123_ÜRETİM_İHTİYAÇ_RAPORU_BURAK_YENI1309[[#This Row],[BIRIM_FIYATLAR]])</f>
        <v>8163.8475999999937</v>
      </c>
      <c r="N362">
        <v>128.93</v>
      </c>
      <c r="O362" t="s">
        <v>250</v>
      </c>
      <c r="P362">
        <v>1166.8165000000001</v>
      </c>
      <c r="Q362" t="s">
        <v>180</v>
      </c>
    </row>
    <row r="363" spans="1:17" x14ac:dyDescent="0.25">
      <c r="A363" t="s">
        <v>1146</v>
      </c>
      <c r="B363" t="s">
        <v>1145</v>
      </c>
      <c r="C363" t="s">
        <v>175</v>
      </c>
      <c r="D363" t="s">
        <v>327</v>
      </c>
      <c r="E363" t="s">
        <v>328</v>
      </c>
      <c r="F363">
        <v>0.05</v>
      </c>
      <c r="G363" t="s">
        <v>176</v>
      </c>
      <c r="H363">
        <v>0</v>
      </c>
      <c r="I363">
        <v>0</v>
      </c>
      <c r="J363" s="10">
        <v>1.929999999999999</v>
      </c>
      <c r="K363" s="10">
        <f>SUMIFS(F:F,D:D,DST_123_ÜRETİM_İHTİYAÇ_RAPORU_BURAK_YENI1309[[#This Row],[ALT_KOD]])-(SUMIFS(H:H,D:D,DST_123_ÜRETİM_İHTİYAÇ_RAPORU_BURAK_YENI1309[[#This Row],[ALT_KOD]])+AVERAGEIFS(I:I,D:D,DST_123_ÜRETİM_İHTİYAÇ_RAPORU_BURAK_YENI1309[[#This Row],[ALT_KOD]])+AVERAGEIFS(L:L,D:D,DST_123_ÜRETİM_İHTİYAÇ_RAPORU_BURAK_YENI1309[[#This Row],[ALT_KOD]]))</f>
        <v>1.2600000000000005</v>
      </c>
      <c r="L363">
        <v>0</v>
      </c>
      <c r="M363">
        <f>IF((DST_123_ÜRETİM_İHTİYAÇ_RAPORU_BURAK_YENI1309[[#This Row],[SATINALMA]]*DST_123_ÜRETİM_İHTİYAÇ_RAPORU_BURAK_YENI1309[[#This Row],[BIRIM_FIYATLAR]])&lt;1,VALUE("0"),DST_123_ÜRETİM_İHTİYAÇ_RAPORU_BURAK_YENI1309[[#This Row],[SATINALMA]]*DST_123_ÜRETİM_İHTİYAÇ_RAPORU_BURAK_YENI1309[[#This Row],[BIRIM_FIYATLAR]])</f>
        <v>1921.5000000000007</v>
      </c>
      <c r="N363">
        <v>1525</v>
      </c>
      <c r="O363" t="s">
        <v>240</v>
      </c>
      <c r="P363">
        <v>76.25</v>
      </c>
      <c r="Q363" t="s">
        <v>180</v>
      </c>
    </row>
    <row r="364" spans="1:17" x14ac:dyDescent="0.25">
      <c r="A364" t="s">
        <v>1149</v>
      </c>
      <c r="B364" t="s">
        <v>1145</v>
      </c>
      <c r="C364" t="s">
        <v>175</v>
      </c>
      <c r="D364" t="s">
        <v>805</v>
      </c>
      <c r="E364" t="s">
        <v>806</v>
      </c>
      <c r="F364">
        <v>1</v>
      </c>
      <c r="G364" t="s">
        <v>176</v>
      </c>
      <c r="H364">
        <v>0</v>
      </c>
      <c r="I364">
        <v>14</v>
      </c>
      <c r="J364" s="10">
        <v>1</v>
      </c>
      <c r="K364" s="10">
        <f>SUMIFS(F:F,D:D,DST_123_ÜRETİM_İHTİYAÇ_RAPORU_BURAK_YENI1309[[#This Row],[ALT_KOD]])-(SUMIFS(H:H,D:D,DST_123_ÜRETİM_İHTİYAÇ_RAPORU_BURAK_YENI1309[[#This Row],[ALT_KOD]])+AVERAGEIFS(I:I,D:D,DST_123_ÜRETİM_İHTİYAÇ_RAPORU_BURAK_YENI1309[[#This Row],[ALT_KOD]])+AVERAGEIFS(L:L,D:D,DST_123_ÜRETİM_İHTİYAÇ_RAPORU_BURAK_YENI1309[[#This Row],[ALT_KOD]]))</f>
        <v>-7</v>
      </c>
      <c r="L364">
        <v>0</v>
      </c>
      <c r="M364">
        <f>IF((DST_123_ÜRETİM_İHTİYAÇ_RAPORU_BURAK_YENI1309[[#This Row],[SATINALMA]]*DST_123_ÜRETİM_İHTİYAÇ_RAPORU_BURAK_YENI1309[[#This Row],[BIRIM_FIYATLAR]])&lt;1,VALUE("0"),DST_123_ÜRETİM_İHTİYAÇ_RAPORU_BURAK_YENI1309[[#This Row],[SATINALMA]]*DST_123_ÜRETİM_İHTİYAÇ_RAPORU_BURAK_YENI1309[[#This Row],[BIRIM_FIYATLAR]])</f>
        <v>0</v>
      </c>
      <c r="N364">
        <v>458.33</v>
      </c>
      <c r="O364" t="s">
        <v>628</v>
      </c>
      <c r="P364">
        <v>458.33</v>
      </c>
      <c r="Q364" t="s">
        <v>177</v>
      </c>
    </row>
    <row r="365" spans="1:17" x14ac:dyDescent="0.25">
      <c r="A365" t="s">
        <v>1095</v>
      </c>
      <c r="B365" t="s">
        <v>1096</v>
      </c>
      <c r="C365" t="s">
        <v>175</v>
      </c>
      <c r="D365" t="s">
        <v>906</v>
      </c>
      <c r="E365" t="s">
        <v>907</v>
      </c>
      <c r="F365">
        <v>1</v>
      </c>
      <c r="G365" t="s">
        <v>176</v>
      </c>
      <c r="H365">
        <v>0</v>
      </c>
      <c r="I365">
        <v>13</v>
      </c>
      <c r="J365" s="10">
        <v>6</v>
      </c>
      <c r="K365" s="10">
        <f>SUMIFS(F:F,D:D,DST_123_ÜRETİM_İHTİYAÇ_RAPORU_BURAK_YENI1309[[#This Row],[ALT_KOD]])-(SUMIFS(H:H,D:D,DST_123_ÜRETİM_İHTİYAÇ_RAPORU_BURAK_YENI1309[[#This Row],[ALT_KOD]])+AVERAGEIFS(I:I,D:D,DST_123_ÜRETİM_İHTİYAÇ_RAPORU_BURAK_YENI1309[[#This Row],[ALT_KOD]])+AVERAGEIFS(L:L,D:D,DST_123_ÜRETİM_İHTİYAÇ_RAPORU_BURAK_YENI1309[[#This Row],[ALT_KOD]]))</f>
        <v>-10</v>
      </c>
      <c r="L365">
        <v>0</v>
      </c>
      <c r="M365">
        <f>IF((DST_123_ÜRETİM_İHTİYAÇ_RAPORU_BURAK_YENI1309[[#This Row],[SATINALMA]]*DST_123_ÜRETİM_İHTİYAÇ_RAPORU_BURAK_YENI1309[[#This Row],[BIRIM_FIYATLAR]])&lt;1,VALUE("0"),DST_123_ÜRETİM_İHTİYAÇ_RAPORU_BURAK_YENI1309[[#This Row],[SATINALMA]]*DST_123_ÜRETİM_İHTİYAÇ_RAPORU_BURAK_YENI1309[[#This Row],[BIRIM_FIYATLAR]])</f>
        <v>0</v>
      </c>
      <c r="N365">
        <v>344.14</v>
      </c>
      <c r="O365" t="s">
        <v>908</v>
      </c>
      <c r="P365">
        <v>344.14</v>
      </c>
      <c r="Q365" t="s">
        <v>180</v>
      </c>
    </row>
    <row r="366" spans="1:17" x14ac:dyDescent="0.25">
      <c r="A366" t="s">
        <v>1097</v>
      </c>
      <c r="B366" t="s">
        <v>1055</v>
      </c>
      <c r="C366" t="s">
        <v>175</v>
      </c>
      <c r="D366" t="s">
        <v>327</v>
      </c>
      <c r="E366" t="s">
        <v>328</v>
      </c>
      <c r="F366">
        <v>0.1</v>
      </c>
      <c r="G366" t="s">
        <v>176</v>
      </c>
      <c r="H366">
        <v>0</v>
      </c>
      <c r="I366">
        <v>0</v>
      </c>
      <c r="J366" s="10">
        <v>1.929999999999999</v>
      </c>
      <c r="K366" s="10">
        <f>SUMIFS(F:F,D:D,DST_123_ÜRETİM_İHTİYAÇ_RAPORU_BURAK_YENI1309[[#This Row],[ALT_KOD]])-(SUMIFS(H:H,D:D,DST_123_ÜRETİM_İHTİYAÇ_RAPORU_BURAK_YENI1309[[#This Row],[ALT_KOD]])+AVERAGEIFS(I:I,D:D,DST_123_ÜRETİM_İHTİYAÇ_RAPORU_BURAK_YENI1309[[#This Row],[ALT_KOD]])+AVERAGEIFS(L:L,D:D,DST_123_ÜRETİM_İHTİYAÇ_RAPORU_BURAK_YENI1309[[#This Row],[ALT_KOD]]))</f>
        <v>1.2600000000000005</v>
      </c>
      <c r="L366">
        <v>0</v>
      </c>
      <c r="M366">
        <f>IF((DST_123_ÜRETİM_İHTİYAÇ_RAPORU_BURAK_YENI1309[[#This Row],[SATINALMA]]*DST_123_ÜRETİM_İHTİYAÇ_RAPORU_BURAK_YENI1309[[#This Row],[BIRIM_FIYATLAR]])&lt;1,VALUE("0"),DST_123_ÜRETİM_İHTİYAÇ_RAPORU_BURAK_YENI1309[[#This Row],[SATINALMA]]*DST_123_ÜRETİM_İHTİYAÇ_RAPORU_BURAK_YENI1309[[#This Row],[BIRIM_FIYATLAR]])</f>
        <v>1921.5000000000007</v>
      </c>
      <c r="N366">
        <v>1525</v>
      </c>
      <c r="O366" t="s">
        <v>240</v>
      </c>
      <c r="P366">
        <v>152.5</v>
      </c>
      <c r="Q366" t="s">
        <v>180</v>
      </c>
    </row>
    <row r="367" spans="1:17" x14ac:dyDescent="0.25">
      <c r="A367" t="s">
        <v>1059</v>
      </c>
      <c r="B367" t="s">
        <v>1058</v>
      </c>
      <c r="C367" t="s">
        <v>175</v>
      </c>
      <c r="D367" t="s">
        <v>327</v>
      </c>
      <c r="E367" t="s">
        <v>328</v>
      </c>
      <c r="F367">
        <v>0.05</v>
      </c>
      <c r="G367" t="s">
        <v>176</v>
      </c>
      <c r="H367">
        <v>0</v>
      </c>
      <c r="I367">
        <v>0</v>
      </c>
      <c r="J367" s="10">
        <v>1.929999999999999</v>
      </c>
      <c r="K367" s="10">
        <f>SUMIFS(F:F,D:D,DST_123_ÜRETİM_İHTİYAÇ_RAPORU_BURAK_YENI1309[[#This Row],[ALT_KOD]])-(SUMIFS(H:H,D:D,DST_123_ÜRETİM_İHTİYAÇ_RAPORU_BURAK_YENI1309[[#This Row],[ALT_KOD]])+AVERAGEIFS(I:I,D:D,DST_123_ÜRETİM_İHTİYAÇ_RAPORU_BURAK_YENI1309[[#This Row],[ALT_KOD]])+AVERAGEIFS(L:L,D:D,DST_123_ÜRETİM_İHTİYAÇ_RAPORU_BURAK_YENI1309[[#This Row],[ALT_KOD]]))</f>
        <v>1.2600000000000005</v>
      </c>
      <c r="L367">
        <v>0</v>
      </c>
      <c r="M367">
        <f>IF((DST_123_ÜRETİM_İHTİYAÇ_RAPORU_BURAK_YENI1309[[#This Row],[SATINALMA]]*DST_123_ÜRETİM_İHTİYAÇ_RAPORU_BURAK_YENI1309[[#This Row],[BIRIM_FIYATLAR]])&lt;1,VALUE("0"),DST_123_ÜRETİM_İHTİYAÇ_RAPORU_BURAK_YENI1309[[#This Row],[SATINALMA]]*DST_123_ÜRETİM_İHTİYAÇ_RAPORU_BURAK_YENI1309[[#This Row],[BIRIM_FIYATLAR]])</f>
        <v>1921.5000000000007</v>
      </c>
      <c r="N367">
        <v>1525</v>
      </c>
      <c r="O367" t="s">
        <v>240</v>
      </c>
      <c r="P367">
        <v>76.25</v>
      </c>
      <c r="Q367" t="s">
        <v>180</v>
      </c>
    </row>
    <row r="368" spans="1:17" x14ac:dyDescent="0.25">
      <c r="A368" t="s">
        <v>1196</v>
      </c>
      <c r="B368" t="s">
        <v>1197</v>
      </c>
      <c r="C368" t="s">
        <v>175</v>
      </c>
      <c r="D368" t="s">
        <v>805</v>
      </c>
      <c r="E368" t="s">
        <v>806</v>
      </c>
      <c r="F368">
        <v>1</v>
      </c>
      <c r="G368" t="s">
        <v>176</v>
      </c>
      <c r="H368">
        <v>0</v>
      </c>
      <c r="I368">
        <v>14</v>
      </c>
      <c r="J368" s="10">
        <v>1</v>
      </c>
      <c r="K368" s="10">
        <f>SUMIFS(F:F,D:D,DST_123_ÜRETİM_İHTİYAÇ_RAPORU_BURAK_YENI1309[[#This Row],[ALT_KOD]])-(SUMIFS(H:H,D:D,DST_123_ÜRETİM_İHTİYAÇ_RAPORU_BURAK_YENI1309[[#This Row],[ALT_KOD]])+AVERAGEIFS(I:I,D:D,DST_123_ÜRETİM_İHTİYAÇ_RAPORU_BURAK_YENI1309[[#This Row],[ALT_KOD]])+AVERAGEIFS(L:L,D:D,DST_123_ÜRETİM_İHTİYAÇ_RAPORU_BURAK_YENI1309[[#This Row],[ALT_KOD]]))</f>
        <v>-7</v>
      </c>
      <c r="L368">
        <v>0</v>
      </c>
      <c r="M368">
        <f>IF((DST_123_ÜRETİM_İHTİYAÇ_RAPORU_BURAK_YENI1309[[#This Row],[SATINALMA]]*DST_123_ÜRETİM_İHTİYAÇ_RAPORU_BURAK_YENI1309[[#This Row],[BIRIM_FIYATLAR]])&lt;1,VALUE("0"),DST_123_ÜRETİM_İHTİYAÇ_RAPORU_BURAK_YENI1309[[#This Row],[SATINALMA]]*DST_123_ÜRETİM_İHTİYAÇ_RAPORU_BURAK_YENI1309[[#This Row],[BIRIM_FIYATLAR]])</f>
        <v>0</v>
      </c>
      <c r="N368">
        <v>458.33</v>
      </c>
      <c r="O368" t="s">
        <v>628</v>
      </c>
      <c r="P368">
        <v>458.33</v>
      </c>
      <c r="Q368" t="s">
        <v>177</v>
      </c>
    </row>
    <row r="369" spans="1:17" x14ac:dyDescent="0.25">
      <c r="A369" t="s">
        <v>1149</v>
      </c>
      <c r="B369" t="s">
        <v>1145</v>
      </c>
      <c r="C369" t="s">
        <v>175</v>
      </c>
      <c r="D369" t="s">
        <v>327</v>
      </c>
      <c r="E369" t="s">
        <v>328</v>
      </c>
      <c r="F369">
        <v>0.05</v>
      </c>
      <c r="G369" t="s">
        <v>176</v>
      </c>
      <c r="H369">
        <v>0</v>
      </c>
      <c r="I369">
        <v>0</v>
      </c>
      <c r="J369" s="10">
        <v>1.929999999999999</v>
      </c>
      <c r="K369" s="10">
        <f>SUMIFS(F:F,D:D,DST_123_ÜRETİM_İHTİYAÇ_RAPORU_BURAK_YENI1309[[#This Row],[ALT_KOD]])-(SUMIFS(H:H,D:D,DST_123_ÜRETİM_İHTİYAÇ_RAPORU_BURAK_YENI1309[[#This Row],[ALT_KOD]])+AVERAGEIFS(I:I,D:D,DST_123_ÜRETİM_İHTİYAÇ_RAPORU_BURAK_YENI1309[[#This Row],[ALT_KOD]])+AVERAGEIFS(L:L,D:D,DST_123_ÜRETİM_İHTİYAÇ_RAPORU_BURAK_YENI1309[[#This Row],[ALT_KOD]]))</f>
        <v>1.2600000000000005</v>
      </c>
      <c r="L369">
        <v>0</v>
      </c>
      <c r="M369">
        <f>IF((DST_123_ÜRETİM_İHTİYAÇ_RAPORU_BURAK_YENI1309[[#This Row],[SATINALMA]]*DST_123_ÜRETİM_İHTİYAÇ_RAPORU_BURAK_YENI1309[[#This Row],[BIRIM_FIYATLAR]])&lt;1,VALUE("0"),DST_123_ÜRETİM_İHTİYAÇ_RAPORU_BURAK_YENI1309[[#This Row],[SATINALMA]]*DST_123_ÜRETİM_İHTİYAÇ_RAPORU_BURAK_YENI1309[[#This Row],[BIRIM_FIYATLAR]])</f>
        <v>1921.5000000000007</v>
      </c>
      <c r="N369">
        <v>1525</v>
      </c>
      <c r="O369" t="s">
        <v>240</v>
      </c>
      <c r="P369">
        <v>76.25</v>
      </c>
      <c r="Q369" t="s">
        <v>180</v>
      </c>
    </row>
    <row r="370" spans="1:17" x14ac:dyDescent="0.25">
      <c r="A370" t="s">
        <v>1143</v>
      </c>
      <c r="B370" t="s">
        <v>1056</v>
      </c>
      <c r="C370" t="s">
        <v>175</v>
      </c>
      <c r="D370" t="s">
        <v>327</v>
      </c>
      <c r="E370" t="s">
        <v>328</v>
      </c>
      <c r="F370">
        <v>0.11000000000000001</v>
      </c>
      <c r="G370" t="s">
        <v>176</v>
      </c>
      <c r="H370">
        <v>0</v>
      </c>
      <c r="I370">
        <v>0</v>
      </c>
      <c r="J370" s="10">
        <v>1.929999999999999</v>
      </c>
      <c r="K370" s="10">
        <f>SUMIFS(F:F,D:D,DST_123_ÜRETİM_İHTİYAÇ_RAPORU_BURAK_YENI1309[[#This Row],[ALT_KOD]])-(SUMIFS(H:H,D:D,DST_123_ÜRETİM_İHTİYAÇ_RAPORU_BURAK_YENI1309[[#This Row],[ALT_KOD]])+AVERAGEIFS(I:I,D:D,DST_123_ÜRETİM_İHTİYAÇ_RAPORU_BURAK_YENI1309[[#This Row],[ALT_KOD]])+AVERAGEIFS(L:L,D:D,DST_123_ÜRETİM_İHTİYAÇ_RAPORU_BURAK_YENI1309[[#This Row],[ALT_KOD]]))</f>
        <v>1.2600000000000005</v>
      </c>
      <c r="L370">
        <v>0</v>
      </c>
      <c r="M370">
        <f>IF((DST_123_ÜRETİM_İHTİYAÇ_RAPORU_BURAK_YENI1309[[#This Row],[SATINALMA]]*DST_123_ÜRETİM_İHTİYAÇ_RAPORU_BURAK_YENI1309[[#This Row],[BIRIM_FIYATLAR]])&lt;1,VALUE("0"),DST_123_ÜRETİM_İHTİYAÇ_RAPORU_BURAK_YENI1309[[#This Row],[SATINALMA]]*DST_123_ÜRETİM_İHTİYAÇ_RAPORU_BURAK_YENI1309[[#This Row],[BIRIM_FIYATLAR]])</f>
        <v>1921.5000000000007</v>
      </c>
      <c r="N370">
        <v>1525</v>
      </c>
      <c r="O370" t="s">
        <v>240</v>
      </c>
      <c r="P370">
        <v>167.75000000000003</v>
      </c>
      <c r="Q370" t="s">
        <v>180</v>
      </c>
    </row>
    <row r="371" spans="1:17" x14ac:dyDescent="0.25">
      <c r="A371" t="s">
        <v>1098</v>
      </c>
      <c r="B371" t="s">
        <v>1096</v>
      </c>
      <c r="C371" t="s">
        <v>175</v>
      </c>
      <c r="D371" t="s">
        <v>906</v>
      </c>
      <c r="E371" t="s">
        <v>907</v>
      </c>
      <c r="F371">
        <v>1</v>
      </c>
      <c r="G371" t="s">
        <v>176</v>
      </c>
      <c r="H371">
        <v>0</v>
      </c>
      <c r="I371">
        <v>13</v>
      </c>
      <c r="J371" s="10">
        <v>6</v>
      </c>
      <c r="K371" s="10">
        <f>SUMIFS(F:F,D:D,DST_123_ÜRETİM_İHTİYAÇ_RAPORU_BURAK_YENI1309[[#This Row],[ALT_KOD]])-(SUMIFS(H:H,D:D,DST_123_ÜRETİM_İHTİYAÇ_RAPORU_BURAK_YENI1309[[#This Row],[ALT_KOD]])+AVERAGEIFS(I:I,D:D,DST_123_ÜRETİM_İHTİYAÇ_RAPORU_BURAK_YENI1309[[#This Row],[ALT_KOD]])+AVERAGEIFS(L:L,D:D,DST_123_ÜRETİM_İHTİYAÇ_RAPORU_BURAK_YENI1309[[#This Row],[ALT_KOD]]))</f>
        <v>-10</v>
      </c>
      <c r="L371">
        <v>0</v>
      </c>
      <c r="M371">
        <f>IF((DST_123_ÜRETİM_İHTİYAÇ_RAPORU_BURAK_YENI1309[[#This Row],[SATINALMA]]*DST_123_ÜRETİM_İHTİYAÇ_RAPORU_BURAK_YENI1309[[#This Row],[BIRIM_FIYATLAR]])&lt;1,VALUE("0"),DST_123_ÜRETİM_İHTİYAÇ_RAPORU_BURAK_YENI1309[[#This Row],[SATINALMA]]*DST_123_ÜRETİM_İHTİYAÇ_RAPORU_BURAK_YENI1309[[#This Row],[BIRIM_FIYATLAR]])</f>
        <v>0</v>
      </c>
      <c r="N371">
        <v>344.14</v>
      </c>
      <c r="O371" t="s">
        <v>908</v>
      </c>
      <c r="P371">
        <v>344.14</v>
      </c>
      <c r="Q371" t="s">
        <v>180</v>
      </c>
    </row>
    <row r="372" spans="1:17" x14ac:dyDescent="0.25">
      <c r="A372" t="s">
        <v>1144</v>
      </c>
      <c r="B372" t="s">
        <v>1145</v>
      </c>
      <c r="C372" t="s">
        <v>175</v>
      </c>
      <c r="D372" t="s">
        <v>805</v>
      </c>
      <c r="E372" t="s">
        <v>806</v>
      </c>
      <c r="F372">
        <v>1</v>
      </c>
      <c r="G372" t="s">
        <v>176</v>
      </c>
      <c r="H372">
        <v>0</v>
      </c>
      <c r="I372">
        <v>14</v>
      </c>
      <c r="J372" s="10">
        <v>1</v>
      </c>
      <c r="K372" s="10">
        <f>SUMIFS(F:F,D:D,DST_123_ÜRETİM_İHTİYAÇ_RAPORU_BURAK_YENI1309[[#This Row],[ALT_KOD]])-(SUMIFS(H:H,D:D,DST_123_ÜRETİM_İHTİYAÇ_RAPORU_BURAK_YENI1309[[#This Row],[ALT_KOD]])+AVERAGEIFS(I:I,D:D,DST_123_ÜRETİM_İHTİYAÇ_RAPORU_BURAK_YENI1309[[#This Row],[ALT_KOD]])+AVERAGEIFS(L:L,D:D,DST_123_ÜRETİM_İHTİYAÇ_RAPORU_BURAK_YENI1309[[#This Row],[ALT_KOD]]))</f>
        <v>-7</v>
      </c>
      <c r="L372">
        <v>0</v>
      </c>
      <c r="M372">
        <f>IF((DST_123_ÜRETİM_İHTİYAÇ_RAPORU_BURAK_YENI1309[[#This Row],[SATINALMA]]*DST_123_ÜRETİM_İHTİYAÇ_RAPORU_BURAK_YENI1309[[#This Row],[BIRIM_FIYATLAR]])&lt;1,VALUE("0"),DST_123_ÜRETİM_İHTİYAÇ_RAPORU_BURAK_YENI1309[[#This Row],[SATINALMA]]*DST_123_ÜRETİM_İHTİYAÇ_RAPORU_BURAK_YENI1309[[#This Row],[BIRIM_FIYATLAR]])</f>
        <v>0</v>
      </c>
      <c r="N372">
        <v>458.33</v>
      </c>
      <c r="O372" t="s">
        <v>628</v>
      </c>
      <c r="P372">
        <v>458.33</v>
      </c>
      <c r="Q372" t="s">
        <v>177</v>
      </c>
    </row>
    <row r="373" spans="1:17" x14ac:dyDescent="0.25">
      <c r="A373" t="s">
        <v>1146</v>
      </c>
      <c r="B373" t="s">
        <v>1145</v>
      </c>
      <c r="C373" t="s">
        <v>175</v>
      </c>
      <c r="D373" t="s">
        <v>805</v>
      </c>
      <c r="E373" t="s">
        <v>806</v>
      </c>
      <c r="F373">
        <v>1</v>
      </c>
      <c r="G373" t="s">
        <v>176</v>
      </c>
      <c r="H373">
        <v>0</v>
      </c>
      <c r="I373">
        <v>14</v>
      </c>
      <c r="J373" s="10">
        <v>1</v>
      </c>
      <c r="K373" s="10">
        <f>SUMIFS(F:F,D:D,DST_123_ÜRETİM_İHTİYAÇ_RAPORU_BURAK_YENI1309[[#This Row],[ALT_KOD]])-(SUMIFS(H:H,D:D,DST_123_ÜRETİM_İHTİYAÇ_RAPORU_BURAK_YENI1309[[#This Row],[ALT_KOD]])+AVERAGEIFS(I:I,D:D,DST_123_ÜRETİM_İHTİYAÇ_RAPORU_BURAK_YENI1309[[#This Row],[ALT_KOD]])+AVERAGEIFS(L:L,D:D,DST_123_ÜRETİM_İHTİYAÇ_RAPORU_BURAK_YENI1309[[#This Row],[ALT_KOD]]))</f>
        <v>-7</v>
      </c>
      <c r="L373">
        <v>0</v>
      </c>
      <c r="M373">
        <f>IF((DST_123_ÜRETİM_İHTİYAÇ_RAPORU_BURAK_YENI1309[[#This Row],[SATINALMA]]*DST_123_ÜRETİM_İHTİYAÇ_RAPORU_BURAK_YENI1309[[#This Row],[BIRIM_FIYATLAR]])&lt;1,VALUE("0"),DST_123_ÜRETİM_İHTİYAÇ_RAPORU_BURAK_YENI1309[[#This Row],[SATINALMA]]*DST_123_ÜRETİM_İHTİYAÇ_RAPORU_BURAK_YENI1309[[#This Row],[BIRIM_FIYATLAR]])</f>
        <v>0</v>
      </c>
      <c r="N373">
        <v>458.33</v>
      </c>
      <c r="O373" t="s">
        <v>628</v>
      </c>
      <c r="P373">
        <v>458.33</v>
      </c>
      <c r="Q373" t="s">
        <v>177</v>
      </c>
    </row>
    <row r="374" spans="1:17" x14ac:dyDescent="0.25">
      <c r="A374" t="s">
        <v>1142</v>
      </c>
      <c r="B374" t="s">
        <v>1056</v>
      </c>
      <c r="C374" t="s">
        <v>175</v>
      </c>
      <c r="D374" t="s">
        <v>805</v>
      </c>
      <c r="E374" t="s">
        <v>806</v>
      </c>
      <c r="F374">
        <v>1</v>
      </c>
      <c r="G374" t="s">
        <v>176</v>
      </c>
      <c r="H374">
        <v>0</v>
      </c>
      <c r="I374">
        <v>14</v>
      </c>
      <c r="J374" s="10">
        <v>1</v>
      </c>
      <c r="K374" s="10">
        <f>SUMIFS(F:F,D:D,DST_123_ÜRETİM_İHTİYAÇ_RAPORU_BURAK_YENI1309[[#This Row],[ALT_KOD]])-(SUMIFS(H:H,D:D,DST_123_ÜRETİM_İHTİYAÇ_RAPORU_BURAK_YENI1309[[#This Row],[ALT_KOD]])+AVERAGEIFS(I:I,D:D,DST_123_ÜRETİM_İHTİYAÇ_RAPORU_BURAK_YENI1309[[#This Row],[ALT_KOD]])+AVERAGEIFS(L:L,D:D,DST_123_ÜRETİM_İHTİYAÇ_RAPORU_BURAK_YENI1309[[#This Row],[ALT_KOD]]))</f>
        <v>-7</v>
      </c>
      <c r="L374">
        <v>0</v>
      </c>
      <c r="M374">
        <f>IF((DST_123_ÜRETİM_İHTİYAÇ_RAPORU_BURAK_YENI1309[[#This Row],[SATINALMA]]*DST_123_ÜRETİM_İHTİYAÇ_RAPORU_BURAK_YENI1309[[#This Row],[BIRIM_FIYATLAR]])&lt;1,VALUE("0"),DST_123_ÜRETİM_İHTİYAÇ_RAPORU_BURAK_YENI1309[[#This Row],[SATINALMA]]*DST_123_ÜRETİM_İHTİYAÇ_RAPORU_BURAK_YENI1309[[#This Row],[BIRIM_FIYATLAR]])</f>
        <v>0</v>
      </c>
      <c r="N374">
        <v>458.33</v>
      </c>
      <c r="O374" t="s">
        <v>628</v>
      </c>
      <c r="P374">
        <v>458.33</v>
      </c>
      <c r="Q374" t="s">
        <v>177</v>
      </c>
    </row>
    <row r="375" spans="1:17" x14ac:dyDescent="0.25">
      <c r="A375" t="s">
        <v>1064</v>
      </c>
      <c r="B375" t="s">
        <v>1055</v>
      </c>
      <c r="C375" t="s">
        <v>175</v>
      </c>
      <c r="D375" t="s">
        <v>327</v>
      </c>
      <c r="E375" t="s">
        <v>328</v>
      </c>
      <c r="F375">
        <v>0.1</v>
      </c>
      <c r="G375" t="s">
        <v>176</v>
      </c>
      <c r="H375">
        <v>0</v>
      </c>
      <c r="I375">
        <v>0</v>
      </c>
      <c r="J375" s="10">
        <v>1.929999999999999</v>
      </c>
      <c r="K375" s="10">
        <f>SUMIFS(F:F,D:D,DST_123_ÜRETİM_İHTİYAÇ_RAPORU_BURAK_YENI1309[[#This Row],[ALT_KOD]])-(SUMIFS(H:H,D:D,DST_123_ÜRETİM_İHTİYAÇ_RAPORU_BURAK_YENI1309[[#This Row],[ALT_KOD]])+AVERAGEIFS(I:I,D:D,DST_123_ÜRETİM_İHTİYAÇ_RAPORU_BURAK_YENI1309[[#This Row],[ALT_KOD]])+AVERAGEIFS(L:L,D:D,DST_123_ÜRETİM_İHTİYAÇ_RAPORU_BURAK_YENI1309[[#This Row],[ALT_KOD]]))</f>
        <v>1.2600000000000005</v>
      </c>
      <c r="L375">
        <v>0</v>
      </c>
      <c r="M375">
        <f>IF((DST_123_ÜRETİM_İHTİYAÇ_RAPORU_BURAK_YENI1309[[#This Row],[SATINALMA]]*DST_123_ÜRETİM_İHTİYAÇ_RAPORU_BURAK_YENI1309[[#This Row],[BIRIM_FIYATLAR]])&lt;1,VALUE("0"),DST_123_ÜRETİM_İHTİYAÇ_RAPORU_BURAK_YENI1309[[#This Row],[SATINALMA]]*DST_123_ÜRETİM_İHTİYAÇ_RAPORU_BURAK_YENI1309[[#This Row],[BIRIM_FIYATLAR]])</f>
        <v>1921.5000000000007</v>
      </c>
      <c r="N375">
        <v>1525</v>
      </c>
      <c r="O375" t="s">
        <v>240</v>
      </c>
      <c r="P375">
        <v>152.5</v>
      </c>
      <c r="Q375" t="s">
        <v>180</v>
      </c>
    </row>
    <row r="376" spans="1:17" x14ac:dyDescent="0.25">
      <c r="A376" t="s">
        <v>1196</v>
      </c>
      <c r="B376" t="s">
        <v>1197</v>
      </c>
      <c r="C376" t="s">
        <v>175</v>
      </c>
      <c r="D376" t="s">
        <v>327</v>
      </c>
      <c r="E376" t="s">
        <v>328</v>
      </c>
      <c r="F376">
        <v>0.05</v>
      </c>
      <c r="G376" t="s">
        <v>176</v>
      </c>
      <c r="H376">
        <v>0</v>
      </c>
      <c r="I376">
        <v>0</v>
      </c>
      <c r="J376" s="10">
        <v>1.929999999999999</v>
      </c>
      <c r="K376" s="10">
        <f>SUMIFS(F:F,D:D,DST_123_ÜRETİM_İHTİYAÇ_RAPORU_BURAK_YENI1309[[#This Row],[ALT_KOD]])-(SUMIFS(H:H,D:D,DST_123_ÜRETİM_İHTİYAÇ_RAPORU_BURAK_YENI1309[[#This Row],[ALT_KOD]])+AVERAGEIFS(I:I,D:D,DST_123_ÜRETİM_İHTİYAÇ_RAPORU_BURAK_YENI1309[[#This Row],[ALT_KOD]])+AVERAGEIFS(L:L,D:D,DST_123_ÜRETİM_İHTİYAÇ_RAPORU_BURAK_YENI1309[[#This Row],[ALT_KOD]]))</f>
        <v>1.2600000000000005</v>
      </c>
      <c r="L376">
        <v>0</v>
      </c>
      <c r="M376">
        <f>IF((DST_123_ÜRETİM_İHTİYAÇ_RAPORU_BURAK_YENI1309[[#This Row],[SATINALMA]]*DST_123_ÜRETİM_İHTİYAÇ_RAPORU_BURAK_YENI1309[[#This Row],[BIRIM_FIYATLAR]])&lt;1,VALUE("0"),DST_123_ÜRETİM_İHTİYAÇ_RAPORU_BURAK_YENI1309[[#This Row],[SATINALMA]]*DST_123_ÜRETİM_İHTİYAÇ_RAPORU_BURAK_YENI1309[[#This Row],[BIRIM_FIYATLAR]])</f>
        <v>1921.5000000000007</v>
      </c>
      <c r="N376">
        <v>1525</v>
      </c>
      <c r="O376" t="s">
        <v>240</v>
      </c>
      <c r="P376">
        <v>76.25</v>
      </c>
      <c r="Q376" t="s">
        <v>180</v>
      </c>
    </row>
    <row r="377" spans="1:17" x14ac:dyDescent="0.25">
      <c r="A377" t="s">
        <v>1150</v>
      </c>
      <c r="B377" t="s">
        <v>1145</v>
      </c>
      <c r="C377" t="s">
        <v>175</v>
      </c>
      <c r="D377" t="s">
        <v>327</v>
      </c>
      <c r="E377" t="s">
        <v>328</v>
      </c>
      <c r="F377">
        <v>0.05</v>
      </c>
      <c r="G377" t="s">
        <v>176</v>
      </c>
      <c r="H377">
        <v>0</v>
      </c>
      <c r="I377">
        <v>0</v>
      </c>
      <c r="J377" s="10">
        <v>1.929999999999999</v>
      </c>
      <c r="K377" s="10">
        <f>SUMIFS(F:F,D:D,DST_123_ÜRETİM_İHTİYAÇ_RAPORU_BURAK_YENI1309[[#This Row],[ALT_KOD]])-(SUMIFS(H:H,D:D,DST_123_ÜRETİM_İHTİYAÇ_RAPORU_BURAK_YENI1309[[#This Row],[ALT_KOD]])+AVERAGEIFS(I:I,D:D,DST_123_ÜRETİM_İHTİYAÇ_RAPORU_BURAK_YENI1309[[#This Row],[ALT_KOD]])+AVERAGEIFS(L:L,D:D,DST_123_ÜRETİM_İHTİYAÇ_RAPORU_BURAK_YENI1309[[#This Row],[ALT_KOD]]))</f>
        <v>1.2600000000000005</v>
      </c>
      <c r="L377">
        <v>0</v>
      </c>
      <c r="M377">
        <f>IF((DST_123_ÜRETİM_İHTİYAÇ_RAPORU_BURAK_YENI1309[[#This Row],[SATINALMA]]*DST_123_ÜRETİM_İHTİYAÇ_RAPORU_BURAK_YENI1309[[#This Row],[BIRIM_FIYATLAR]])&lt;1,VALUE("0"),DST_123_ÜRETİM_İHTİYAÇ_RAPORU_BURAK_YENI1309[[#This Row],[SATINALMA]]*DST_123_ÜRETİM_İHTİYAÇ_RAPORU_BURAK_YENI1309[[#This Row],[BIRIM_FIYATLAR]])</f>
        <v>1921.5000000000007</v>
      </c>
      <c r="N377">
        <v>1525</v>
      </c>
      <c r="O377" t="s">
        <v>240</v>
      </c>
      <c r="P377">
        <v>76.25</v>
      </c>
      <c r="Q377" t="s">
        <v>180</v>
      </c>
    </row>
    <row r="378" spans="1:17" x14ac:dyDescent="0.25">
      <c r="A378" t="s">
        <v>1142</v>
      </c>
      <c r="B378" t="s">
        <v>1056</v>
      </c>
      <c r="C378" t="s">
        <v>175</v>
      </c>
      <c r="D378" t="s">
        <v>327</v>
      </c>
      <c r="E378" t="s">
        <v>328</v>
      </c>
      <c r="F378">
        <v>0.05</v>
      </c>
      <c r="G378" t="s">
        <v>176</v>
      </c>
      <c r="H378">
        <v>0</v>
      </c>
      <c r="I378">
        <v>0</v>
      </c>
      <c r="J378" s="10">
        <v>1.929999999999999</v>
      </c>
      <c r="K378" s="10">
        <f>SUMIFS(F:F,D:D,DST_123_ÜRETİM_İHTİYAÇ_RAPORU_BURAK_YENI1309[[#This Row],[ALT_KOD]])-(SUMIFS(H:H,D:D,DST_123_ÜRETİM_İHTİYAÇ_RAPORU_BURAK_YENI1309[[#This Row],[ALT_KOD]])+AVERAGEIFS(I:I,D:D,DST_123_ÜRETİM_İHTİYAÇ_RAPORU_BURAK_YENI1309[[#This Row],[ALT_KOD]])+AVERAGEIFS(L:L,D:D,DST_123_ÜRETİM_İHTİYAÇ_RAPORU_BURAK_YENI1309[[#This Row],[ALT_KOD]]))</f>
        <v>1.2600000000000005</v>
      </c>
      <c r="L378">
        <v>0</v>
      </c>
      <c r="M378">
        <f>IF((DST_123_ÜRETİM_İHTİYAÇ_RAPORU_BURAK_YENI1309[[#This Row],[SATINALMA]]*DST_123_ÜRETİM_İHTİYAÇ_RAPORU_BURAK_YENI1309[[#This Row],[BIRIM_FIYATLAR]])&lt;1,VALUE("0"),DST_123_ÜRETİM_İHTİYAÇ_RAPORU_BURAK_YENI1309[[#This Row],[SATINALMA]]*DST_123_ÜRETİM_İHTİYAÇ_RAPORU_BURAK_YENI1309[[#This Row],[BIRIM_FIYATLAR]])</f>
        <v>1921.5000000000007</v>
      </c>
      <c r="N378">
        <v>1525</v>
      </c>
      <c r="O378" t="s">
        <v>240</v>
      </c>
      <c r="P378">
        <v>76.25</v>
      </c>
      <c r="Q378" t="s">
        <v>180</v>
      </c>
    </row>
    <row r="379" spans="1:17" x14ac:dyDescent="0.25">
      <c r="A379" t="s">
        <v>1147</v>
      </c>
      <c r="B379" t="s">
        <v>1145</v>
      </c>
      <c r="C379" t="s">
        <v>175</v>
      </c>
      <c r="D379" t="s">
        <v>327</v>
      </c>
      <c r="E379" t="s">
        <v>328</v>
      </c>
      <c r="F379">
        <v>0.05</v>
      </c>
      <c r="G379" t="s">
        <v>176</v>
      </c>
      <c r="H379">
        <v>0</v>
      </c>
      <c r="I379">
        <v>0</v>
      </c>
      <c r="J379" s="10">
        <v>1.929999999999999</v>
      </c>
      <c r="K379" s="10">
        <f>SUMIFS(F:F,D:D,DST_123_ÜRETİM_İHTİYAÇ_RAPORU_BURAK_YENI1309[[#This Row],[ALT_KOD]])-(SUMIFS(H:H,D:D,DST_123_ÜRETİM_İHTİYAÇ_RAPORU_BURAK_YENI1309[[#This Row],[ALT_KOD]])+AVERAGEIFS(I:I,D:D,DST_123_ÜRETİM_İHTİYAÇ_RAPORU_BURAK_YENI1309[[#This Row],[ALT_KOD]])+AVERAGEIFS(L:L,D:D,DST_123_ÜRETİM_İHTİYAÇ_RAPORU_BURAK_YENI1309[[#This Row],[ALT_KOD]]))</f>
        <v>1.2600000000000005</v>
      </c>
      <c r="L379">
        <v>0</v>
      </c>
      <c r="M379">
        <f>IF((DST_123_ÜRETİM_İHTİYAÇ_RAPORU_BURAK_YENI1309[[#This Row],[SATINALMA]]*DST_123_ÜRETİM_İHTİYAÇ_RAPORU_BURAK_YENI1309[[#This Row],[BIRIM_FIYATLAR]])&lt;1,VALUE("0"),DST_123_ÜRETİM_İHTİYAÇ_RAPORU_BURAK_YENI1309[[#This Row],[SATINALMA]]*DST_123_ÜRETİM_İHTİYAÇ_RAPORU_BURAK_YENI1309[[#This Row],[BIRIM_FIYATLAR]])</f>
        <v>1921.5000000000007</v>
      </c>
      <c r="N379">
        <v>1525</v>
      </c>
      <c r="O379" t="s">
        <v>240</v>
      </c>
      <c r="P379">
        <v>76.25</v>
      </c>
      <c r="Q379" t="s">
        <v>180</v>
      </c>
    </row>
    <row r="380" spans="1:17" x14ac:dyDescent="0.25">
      <c r="A380" t="s">
        <v>1179</v>
      </c>
      <c r="B380" t="s">
        <v>1180</v>
      </c>
      <c r="C380" t="s">
        <v>175</v>
      </c>
      <c r="D380" t="s">
        <v>1187</v>
      </c>
      <c r="E380" t="s">
        <v>1188</v>
      </c>
      <c r="F380">
        <v>3.4499999999999997</v>
      </c>
      <c r="G380" t="s">
        <v>185</v>
      </c>
      <c r="H380">
        <v>0</v>
      </c>
      <c r="I380">
        <v>0</v>
      </c>
      <c r="J380" s="10">
        <v>0</v>
      </c>
      <c r="K380" s="10">
        <f>SUMIFS(F:F,D:D,DST_123_ÜRETİM_İHTİYAÇ_RAPORU_BURAK_YENI1309[[#This Row],[ALT_KOD]])-(SUMIFS(H:H,D:D,DST_123_ÜRETİM_İHTİYAÇ_RAPORU_BURAK_YENI1309[[#This Row],[ALT_KOD]])+AVERAGEIFS(I:I,D:D,DST_123_ÜRETİM_İHTİYAÇ_RAPORU_BURAK_YENI1309[[#This Row],[ALT_KOD]])+AVERAGEIFS(L:L,D:D,DST_123_ÜRETİM_İHTİYAÇ_RAPORU_BURAK_YENI1309[[#This Row],[ALT_KOD]]))</f>
        <v>3.4499999999999997</v>
      </c>
      <c r="L380">
        <v>0</v>
      </c>
      <c r="M380">
        <f>IF((DST_123_ÜRETİM_İHTİYAÇ_RAPORU_BURAK_YENI1309[[#This Row],[SATINALMA]]*DST_123_ÜRETİM_İHTİYAÇ_RAPORU_BURAK_YENI1309[[#This Row],[BIRIM_FIYATLAR]])&lt;1,VALUE("0"),DST_123_ÜRETİM_İHTİYAÇ_RAPORU_BURAK_YENI1309[[#This Row],[SATINALMA]]*DST_123_ÜRETİM_İHTİYAÇ_RAPORU_BURAK_YENI1309[[#This Row],[BIRIM_FIYATLAR]])</f>
        <v>399.44099999999997</v>
      </c>
      <c r="N380">
        <v>115.78</v>
      </c>
      <c r="O380" t="s">
        <v>490</v>
      </c>
      <c r="P380">
        <v>399.44099999999997</v>
      </c>
      <c r="Q380" t="s">
        <v>183</v>
      </c>
    </row>
    <row r="381" spans="1:17" x14ac:dyDescent="0.25">
      <c r="A381" t="s">
        <v>1101</v>
      </c>
      <c r="B381" t="s">
        <v>1102</v>
      </c>
      <c r="C381" t="s">
        <v>175</v>
      </c>
      <c r="D381" t="s">
        <v>116</v>
      </c>
      <c r="E381" t="s">
        <v>117</v>
      </c>
      <c r="F381">
        <v>125.66</v>
      </c>
      <c r="G381" t="s">
        <v>185</v>
      </c>
      <c r="H381">
        <v>125.66</v>
      </c>
      <c r="I381">
        <v>-690</v>
      </c>
      <c r="J381" s="10">
        <v>2123.619999999999</v>
      </c>
      <c r="K381" s="10">
        <f>SUMIFS(F:F,D:D,DST_123_ÜRETİM_İHTİYAÇ_RAPORU_BURAK_YENI1309[[#This Row],[ALT_KOD]])-(SUMIFS(H:H,D:D,DST_123_ÜRETİM_İHTİYAÇ_RAPORU_BURAK_YENI1309[[#This Row],[ALT_KOD]])+AVERAGEIFS(I:I,D:D,DST_123_ÜRETİM_İHTİYAÇ_RAPORU_BURAK_YENI1309[[#This Row],[ALT_KOD]])+AVERAGEIFS(L:L,D:D,DST_123_ÜRETİM_İHTİYAÇ_RAPORU_BURAK_YENI1309[[#This Row],[ALT_KOD]]))</f>
        <v>1819.8699999999994</v>
      </c>
      <c r="L381">
        <v>0</v>
      </c>
      <c r="M381">
        <f>IF((DST_123_ÜRETİM_İHTİYAÇ_RAPORU_BURAK_YENI1309[[#This Row],[SATINALMA]]*DST_123_ÜRETİM_İHTİYAÇ_RAPORU_BURAK_YENI1309[[#This Row],[BIRIM_FIYATLAR]])&lt;1,VALUE("0"),DST_123_ÜRETİM_İHTİYAÇ_RAPORU_BURAK_YENI1309[[#This Row],[SATINALMA]]*DST_123_ÜRETİM_İHTİYAÇ_RAPORU_BURAK_YENI1309[[#This Row],[BIRIM_FIYATLAR]])</f>
        <v>172651.06689999995</v>
      </c>
      <c r="N381">
        <v>94.87</v>
      </c>
      <c r="O381" t="s">
        <v>490</v>
      </c>
      <c r="P381">
        <v>11921.3642</v>
      </c>
      <c r="Q381" t="s">
        <v>183</v>
      </c>
    </row>
    <row r="382" spans="1:17" x14ac:dyDescent="0.25">
      <c r="A382" t="s">
        <v>1179</v>
      </c>
      <c r="B382" t="s">
        <v>1180</v>
      </c>
      <c r="C382" t="s">
        <v>175</v>
      </c>
      <c r="D382" t="s">
        <v>116</v>
      </c>
      <c r="E382" t="s">
        <v>117</v>
      </c>
      <c r="F382">
        <v>47.8</v>
      </c>
      <c r="G382" t="s">
        <v>185</v>
      </c>
      <c r="H382">
        <v>0</v>
      </c>
      <c r="I382">
        <v>-690</v>
      </c>
      <c r="J382" s="10">
        <v>2123.619999999999</v>
      </c>
      <c r="K382" s="10">
        <f>SUMIFS(F:F,D:D,DST_123_ÜRETİM_İHTİYAÇ_RAPORU_BURAK_YENI1309[[#This Row],[ALT_KOD]])-(SUMIFS(H:H,D:D,DST_123_ÜRETİM_İHTİYAÇ_RAPORU_BURAK_YENI1309[[#This Row],[ALT_KOD]])+AVERAGEIFS(I:I,D:D,DST_123_ÜRETİM_İHTİYAÇ_RAPORU_BURAK_YENI1309[[#This Row],[ALT_KOD]])+AVERAGEIFS(L:L,D:D,DST_123_ÜRETİM_İHTİYAÇ_RAPORU_BURAK_YENI1309[[#This Row],[ALT_KOD]]))</f>
        <v>1819.8699999999994</v>
      </c>
      <c r="L382">
        <v>0</v>
      </c>
      <c r="M382">
        <f>IF((DST_123_ÜRETİM_İHTİYAÇ_RAPORU_BURAK_YENI1309[[#This Row],[SATINALMA]]*DST_123_ÜRETİM_İHTİYAÇ_RAPORU_BURAK_YENI1309[[#This Row],[BIRIM_FIYATLAR]])&lt;1,VALUE("0"),DST_123_ÜRETİM_İHTİYAÇ_RAPORU_BURAK_YENI1309[[#This Row],[SATINALMA]]*DST_123_ÜRETİM_İHTİYAÇ_RAPORU_BURAK_YENI1309[[#This Row],[BIRIM_FIYATLAR]])</f>
        <v>172651.06689999995</v>
      </c>
      <c r="N382">
        <v>94.87</v>
      </c>
      <c r="O382" t="s">
        <v>490</v>
      </c>
      <c r="P382">
        <v>4534.7860000000001</v>
      </c>
      <c r="Q382" t="s">
        <v>183</v>
      </c>
    </row>
    <row r="383" spans="1:17" x14ac:dyDescent="0.25">
      <c r="A383" t="s">
        <v>1060</v>
      </c>
      <c r="B383" t="s">
        <v>1061</v>
      </c>
      <c r="C383" t="s">
        <v>175</v>
      </c>
      <c r="D383" t="s">
        <v>327</v>
      </c>
      <c r="E383" t="s">
        <v>328</v>
      </c>
      <c r="F383">
        <v>0.05</v>
      </c>
      <c r="G383" t="s">
        <v>176</v>
      </c>
      <c r="H383">
        <v>0</v>
      </c>
      <c r="I383">
        <v>0</v>
      </c>
      <c r="J383" s="10">
        <v>1.929999999999999</v>
      </c>
      <c r="K383" s="10">
        <f>SUMIFS(F:F,D:D,DST_123_ÜRETİM_İHTİYAÇ_RAPORU_BURAK_YENI1309[[#This Row],[ALT_KOD]])-(SUMIFS(H:H,D:D,DST_123_ÜRETİM_İHTİYAÇ_RAPORU_BURAK_YENI1309[[#This Row],[ALT_KOD]])+AVERAGEIFS(I:I,D:D,DST_123_ÜRETİM_İHTİYAÇ_RAPORU_BURAK_YENI1309[[#This Row],[ALT_KOD]])+AVERAGEIFS(L:L,D:D,DST_123_ÜRETİM_İHTİYAÇ_RAPORU_BURAK_YENI1309[[#This Row],[ALT_KOD]]))</f>
        <v>1.2600000000000005</v>
      </c>
      <c r="L383">
        <v>0</v>
      </c>
      <c r="M383">
        <f>IF((DST_123_ÜRETİM_İHTİYAÇ_RAPORU_BURAK_YENI1309[[#This Row],[SATINALMA]]*DST_123_ÜRETİM_İHTİYAÇ_RAPORU_BURAK_YENI1309[[#This Row],[BIRIM_FIYATLAR]])&lt;1,VALUE("0"),DST_123_ÜRETİM_İHTİYAÇ_RAPORU_BURAK_YENI1309[[#This Row],[SATINALMA]]*DST_123_ÜRETİM_İHTİYAÇ_RAPORU_BURAK_YENI1309[[#This Row],[BIRIM_FIYATLAR]])</f>
        <v>1921.5000000000007</v>
      </c>
      <c r="N383">
        <v>1525</v>
      </c>
      <c r="O383" t="s">
        <v>240</v>
      </c>
      <c r="P383">
        <v>76.25</v>
      </c>
      <c r="Q383" t="s">
        <v>180</v>
      </c>
    </row>
    <row r="384" spans="1:17" x14ac:dyDescent="0.25">
      <c r="A384" t="s">
        <v>1147</v>
      </c>
      <c r="B384" t="s">
        <v>1145</v>
      </c>
      <c r="C384" t="s">
        <v>175</v>
      </c>
      <c r="D384" t="s">
        <v>458</v>
      </c>
      <c r="E384" t="s">
        <v>459</v>
      </c>
      <c r="F384">
        <v>0.01</v>
      </c>
      <c r="G384" t="s">
        <v>176</v>
      </c>
      <c r="H384">
        <v>0</v>
      </c>
      <c r="I384">
        <v>6</v>
      </c>
      <c r="J384" s="10">
        <v>22.530000000000012</v>
      </c>
      <c r="K384" s="10">
        <f>SUMIFS(F:F,D:D,DST_123_ÜRETİM_İHTİYAÇ_RAPORU_BURAK_YENI1309[[#This Row],[ALT_KOD]])-(SUMIFS(H:H,D:D,DST_123_ÜRETİM_İHTİYAÇ_RAPORU_BURAK_YENI1309[[#This Row],[ALT_KOD]])+AVERAGEIFS(I:I,D:D,DST_123_ÜRETİM_İHTİYAÇ_RAPORU_BURAK_YENI1309[[#This Row],[ALT_KOD]])+AVERAGEIFS(L:L,D:D,DST_123_ÜRETİM_İHTİYAÇ_RAPORU_BURAK_YENI1309[[#This Row],[ALT_KOD]]))</f>
        <v>-5.5</v>
      </c>
      <c r="L384">
        <v>0</v>
      </c>
      <c r="M384">
        <f>IF((DST_123_ÜRETİM_İHTİYAÇ_RAPORU_BURAK_YENI1309[[#This Row],[SATINALMA]]*DST_123_ÜRETİM_İHTİYAÇ_RAPORU_BURAK_YENI1309[[#This Row],[BIRIM_FIYATLAR]])&lt;1,VALUE("0"),DST_123_ÜRETİM_İHTİYAÇ_RAPORU_BURAK_YENI1309[[#This Row],[SATINALMA]]*DST_123_ÜRETİM_İHTİYAÇ_RAPORU_BURAK_YENI1309[[#This Row],[BIRIM_FIYATLAR]])</f>
        <v>0</v>
      </c>
      <c r="N384">
        <v>133</v>
      </c>
      <c r="O384" t="s">
        <v>216</v>
      </c>
      <c r="P384">
        <v>1.33</v>
      </c>
      <c r="Q384" t="s">
        <v>183</v>
      </c>
    </row>
    <row r="385" spans="1:17" x14ac:dyDescent="0.25">
      <c r="A385" t="s">
        <v>1057</v>
      </c>
      <c r="B385" t="s">
        <v>1058</v>
      </c>
      <c r="C385" t="s">
        <v>175</v>
      </c>
      <c r="D385" t="s">
        <v>118</v>
      </c>
      <c r="E385" t="s">
        <v>119</v>
      </c>
      <c r="F385">
        <v>6</v>
      </c>
      <c r="G385" t="s">
        <v>176</v>
      </c>
      <c r="H385">
        <v>0</v>
      </c>
      <c r="I385">
        <v>84</v>
      </c>
      <c r="J385" s="10">
        <v>36</v>
      </c>
      <c r="K385" s="10">
        <f>SUMIFS(F:F,D:D,DST_123_ÜRETİM_İHTİYAÇ_RAPORU_BURAK_YENI1309[[#This Row],[ALT_KOD]])-(SUMIFS(H:H,D:D,DST_123_ÜRETİM_İHTİYAÇ_RAPORU_BURAK_YENI1309[[#This Row],[ALT_KOD]])+AVERAGEIFS(I:I,D:D,DST_123_ÜRETİM_İHTİYAÇ_RAPORU_BURAK_YENI1309[[#This Row],[ALT_KOD]])+AVERAGEIFS(L:L,D:D,DST_123_ÜRETİM_İHTİYAÇ_RAPORU_BURAK_YENI1309[[#This Row],[ALT_KOD]]))</f>
        <v>22</v>
      </c>
      <c r="L385">
        <v>0</v>
      </c>
      <c r="M385">
        <f>IF((DST_123_ÜRETİM_İHTİYAÇ_RAPORU_BURAK_YENI1309[[#This Row],[SATINALMA]]*DST_123_ÜRETİM_İHTİYAÇ_RAPORU_BURAK_YENI1309[[#This Row],[BIRIM_FIYATLAR]])&lt;1,VALUE("0"),DST_123_ÜRETİM_İHTİYAÇ_RAPORU_BURAK_YENI1309[[#This Row],[SATINALMA]]*DST_123_ÜRETİM_İHTİYAÇ_RAPORU_BURAK_YENI1309[[#This Row],[BIRIM_FIYATLAR]])</f>
        <v>440</v>
      </c>
      <c r="N385">
        <v>20</v>
      </c>
      <c r="O385" t="s">
        <v>240</v>
      </c>
      <c r="P385">
        <v>120</v>
      </c>
      <c r="Q385" t="s">
        <v>178</v>
      </c>
    </row>
    <row r="386" spans="1:17" x14ac:dyDescent="0.25">
      <c r="A386" t="s">
        <v>1101</v>
      </c>
      <c r="B386" t="s">
        <v>1102</v>
      </c>
      <c r="C386" t="s">
        <v>175</v>
      </c>
      <c r="D386" t="s">
        <v>118</v>
      </c>
      <c r="E386" t="s">
        <v>119</v>
      </c>
      <c r="F386">
        <v>6</v>
      </c>
      <c r="G386" t="s">
        <v>176</v>
      </c>
      <c r="H386">
        <v>0</v>
      </c>
      <c r="I386">
        <v>84</v>
      </c>
      <c r="J386" s="10">
        <v>36</v>
      </c>
      <c r="K386" s="10">
        <f>SUMIFS(F:F,D:D,DST_123_ÜRETİM_İHTİYAÇ_RAPORU_BURAK_YENI1309[[#This Row],[ALT_KOD]])-(SUMIFS(H:H,D:D,DST_123_ÜRETİM_İHTİYAÇ_RAPORU_BURAK_YENI1309[[#This Row],[ALT_KOD]])+AVERAGEIFS(I:I,D:D,DST_123_ÜRETİM_İHTİYAÇ_RAPORU_BURAK_YENI1309[[#This Row],[ALT_KOD]])+AVERAGEIFS(L:L,D:D,DST_123_ÜRETİM_İHTİYAÇ_RAPORU_BURAK_YENI1309[[#This Row],[ALT_KOD]]))</f>
        <v>22</v>
      </c>
      <c r="L386">
        <v>0</v>
      </c>
      <c r="M386">
        <f>IF((DST_123_ÜRETİM_İHTİYAÇ_RAPORU_BURAK_YENI1309[[#This Row],[SATINALMA]]*DST_123_ÜRETİM_İHTİYAÇ_RAPORU_BURAK_YENI1309[[#This Row],[BIRIM_FIYATLAR]])&lt;1,VALUE("0"),DST_123_ÜRETİM_İHTİYAÇ_RAPORU_BURAK_YENI1309[[#This Row],[SATINALMA]]*DST_123_ÜRETİM_İHTİYAÇ_RAPORU_BURAK_YENI1309[[#This Row],[BIRIM_FIYATLAR]])</f>
        <v>440</v>
      </c>
      <c r="N386">
        <v>20</v>
      </c>
      <c r="O386" t="s">
        <v>240</v>
      </c>
      <c r="P386">
        <v>120</v>
      </c>
      <c r="Q386" t="s">
        <v>178</v>
      </c>
    </row>
    <row r="387" spans="1:17" x14ac:dyDescent="0.25">
      <c r="A387" t="s">
        <v>1150</v>
      </c>
      <c r="B387" t="s">
        <v>1145</v>
      </c>
      <c r="C387" t="s">
        <v>175</v>
      </c>
      <c r="D387" t="s">
        <v>819</v>
      </c>
      <c r="E387" t="s">
        <v>820</v>
      </c>
      <c r="F387">
        <v>5</v>
      </c>
      <c r="G387" t="s">
        <v>176</v>
      </c>
      <c r="H387">
        <v>0</v>
      </c>
      <c r="I387">
        <v>15</v>
      </c>
      <c r="J387" s="10">
        <v>10</v>
      </c>
      <c r="K387" s="10">
        <f>SUMIFS(F:F,D:D,DST_123_ÜRETİM_İHTİYAÇ_RAPORU_BURAK_YENI1309[[#This Row],[ALT_KOD]])-(SUMIFS(H:H,D:D,DST_123_ÜRETİM_İHTİYAÇ_RAPORU_BURAK_YENI1309[[#This Row],[ALT_KOD]])+AVERAGEIFS(I:I,D:D,DST_123_ÜRETİM_İHTİYAÇ_RAPORU_BURAK_YENI1309[[#This Row],[ALT_KOD]])+AVERAGEIFS(L:L,D:D,DST_123_ÜRETİM_İHTİYAÇ_RAPORU_BURAK_YENI1309[[#This Row],[ALT_KOD]]))</f>
        <v>20</v>
      </c>
      <c r="L387">
        <v>0</v>
      </c>
      <c r="M387">
        <f>IF((DST_123_ÜRETİM_İHTİYAÇ_RAPORU_BURAK_YENI1309[[#This Row],[SATINALMA]]*DST_123_ÜRETİM_İHTİYAÇ_RAPORU_BURAK_YENI1309[[#This Row],[BIRIM_FIYATLAR]])&lt;1,VALUE("0"),DST_123_ÜRETİM_İHTİYAÇ_RAPORU_BURAK_YENI1309[[#This Row],[SATINALMA]]*DST_123_ÜRETİM_İHTİYAÇ_RAPORU_BURAK_YENI1309[[#This Row],[BIRIM_FIYATLAR]])</f>
        <v>3545.7999999999997</v>
      </c>
      <c r="N387">
        <v>177.29</v>
      </c>
      <c r="O387" t="s">
        <v>275</v>
      </c>
      <c r="P387">
        <v>886.44999999999993</v>
      </c>
      <c r="Q387" t="s">
        <v>180</v>
      </c>
    </row>
    <row r="388" spans="1:17" x14ac:dyDescent="0.25">
      <c r="A388" t="s">
        <v>1150</v>
      </c>
      <c r="B388" t="s">
        <v>1145</v>
      </c>
      <c r="C388" t="s">
        <v>175</v>
      </c>
      <c r="D388" t="s">
        <v>357</v>
      </c>
      <c r="E388" t="s">
        <v>358</v>
      </c>
      <c r="F388">
        <v>20</v>
      </c>
      <c r="G388" t="s">
        <v>176</v>
      </c>
      <c r="H388">
        <v>0</v>
      </c>
      <c r="I388">
        <v>500</v>
      </c>
      <c r="J388" s="10">
        <v>490</v>
      </c>
      <c r="K388" s="10">
        <f>SUMIFS(F:F,D:D,DST_123_ÜRETİM_İHTİYAÇ_RAPORU_BURAK_YENI1309[[#This Row],[ALT_KOD]])-(SUMIFS(H:H,D:D,DST_123_ÜRETİM_İHTİYAÇ_RAPORU_BURAK_YENI1309[[#This Row],[ALT_KOD]])+AVERAGEIFS(I:I,D:D,DST_123_ÜRETİM_İHTİYAÇ_RAPORU_BURAK_YENI1309[[#This Row],[ALT_KOD]])+AVERAGEIFS(L:L,D:D,DST_123_ÜRETİM_İHTİYAÇ_RAPORU_BURAK_YENI1309[[#This Row],[ALT_KOD]]))</f>
        <v>-294</v>
      </c>
      <c r="L388">
        <v>0</v>
      </c>
      <c r="M388">
        <f>IF((DST_123_ÜRETİM_İHTİYAÇ_RAPORU_BURAK_YENI1309[[#This Row],[SATINALMA]]*DST_123_ÜRETİM_İHTİYAÇ_RAPORU_BURAK_YENI1309[[#This Row],[BIRIM_FIYATLAR]])&lt;1,VALUE("0"),DST_123_ÜRETİM_İHTİYAÇ_RAPORU_BURAK_YENI1309[[#This Row],[SATINALMA]]*DST_123_ÜRETİM_İHTİYAÇ_RAPORU_BURAK_YENI1309[[#This Row],[BIRIM_FIYATLAR]])</f>
        <v>0</v>
      </c>
      <c r="N388">
        <v>1.6</v>
      </c>
      <c r="O388" t="s">
        <v>240</v>
      </c>
      <c r="P388">
        <v>32</v>
      </c>
      <c r="Q388" t="s">
        <v>180</v>
      </c>
    </row>
    <row r="389" spans="1:17" x14ac:dyDescent="0.25">
      <c r="A389" t="s">
        <v>1142</v>
      </c>
      <c r="B389" t="s">
        <v>1056</v>
      </c>
      <c r="C389" t="s">
        <v>175</v>
      </c>
      <c r="D389" t="s">
        <v>819</v>
      </c>
      <c r="E389" t="s">
        <v>820</v>
      </c>
      <c r="F389">
        <v>5</v>
      </c>
      <c r="G389" t="s">
        <v>176</v>
      </c>
      <c r="H389">
        <v>0</v>
      </c>
      <c r="I389">
        <v>15</v>
      </c>
      <c r="J389" s="10">
        <v>10</v>
      </c>
      <c r="K389" s="10">
        <f>SUMIFS(F:F,D:D,DST_123_ÜRETİM_İHTİYAÇ_RAPORU_BURAK_YENI1309[[#This Row],[ALT_KOD]])-(SUMIFS(H:H,D:D,DST_123_ÜRETİM_İHTİYAÇ_RAPORU_BURAK_YENI1309[[#This Row],[ALT_KOD]])+AVERAGEIFS(I:I,D:D,DST_123_ÜRETİM_İHTİYAÇ_RAPORU_BURAK_YENI1309[[#This Row],[ALT_KOD]])+AVERAGEIFS(L:L,D:D,DST_123_ÜRETİM_İHTİYAÇ_RAPORU_BURAK_YENI1309[[#This Row],[ALT_KOD]]))</f>
        <v>20</v>
      </c>
      <c r="L389">
        <v>0</v>
      </c>
      <c r="M389">
        <f>IF((DST_123_ÜRETİM_İHTİYAÇ_RAPORU_BURAK_YENI1309[[#This Row],[SATINALMA]]*DST_123_ÜRETİM_İHTİYAÇ_RAPORU_BURAK_YENI1309[[#This Row],[BIRIM_FIYATLAR]])&lt;1,VALUE("0"),DST_123_ÜRETİM_İHTİYAÇ_RAPORU_BURAK_YENI1309[[#This Row],[SATINALMA]]*DST_123_ÜRETİM_İHTİYAÇ_RAPORU_BURAK_YENI1309[[#This Row],[BIRIM_FIYATLAR]])</f>
        <v>3545.7999999999997</v>
      </c>
      <c r="N389">
        <v>177.29</v>
      </c>
      <c r="O389" t="s">
        <v>275</v>
      </c>
      <c r="P389">
        <v>886.44999999999993</v>
      </c>
      <c r="Q389" t="s">
        <v>180</v>
      </c>
    </row>
    <row r="390" spans="1:17" x14ac:dyDescent="0.25">
      <c r="A390" t="s">
        <v>1142</v>
      </c>
      <c r="B390" t="s">
        <v>1056</v>
      </c>
      <c r="C390" t="s">
        <v>175</v>
      </c>
      <c r="D390" t="s">
        <v>357</v>
      </c>
      <c r="E390" t="s">
        <v>358</v>
      </c>
      <c r="F390">
        <v>12</v>
      </c>
      <c r="G390" t="s">
        <v>176</v>
      </c>
      <c r="H390">
        <v>0</v>
      </c>
      <c r="I390">
        <v>500</v>
      </c>
      <c r="J390" s="10">
        <v>490</v>
      </c>
      <c r="K390" s="10">
        <f>SUMIFS(F:F,D:D,DST_123_ÜRETİM_İHTİYAÇ_RAPORU_BURAK_YENI1309[[#This Row],[ALT_KOD]])-(SUMIFS(H:H,D:D,DST_123_ÜRETİM_İHTİYAÇ_RAPORU_BURAK_YENI1309[[#This Row],[ALT_KOD]])+AVERAGEIFS(I:I,D:D,DST_123_ÜRETİM_İHTİYAÇ_RAPORU_BURAK_YENI1309[[#This Row],[ALT_KOD]])+AVERAGEIFS(L:L,D:D,DST_123_ÜRETİM_İHTİYAÇ_RAPORU_BURAK_YENI1309[[#This Row],[ALT_KOD]]))</f>
        <v>-294</v>
      </c>
      <c r="L390">
        <v>0</v>
      </c>
      <c r="M390">
        <f>IF((DST_123_ÜRETİM_İHTİYAÇ_RAPORU_BURAK_YENI1309[[#This Row],[SATINALMA]]*DST_123_ÜRETİM_İHTİYAÇ_RAPORU_BURAK_YENI1309[[#This Row],[BIRIM_FIYATLAR]])&lt;1,VALUE("0"),DST_123_ÜRETİM_İHTİYAÇ_RAPORU_BURAK_YENI1309[[#This Row],[SATINALMA]]*DST_123_ÜRETİM_İHTİYAÇ_RAPORU_BURAK_YENI1309[[#This Row],[BIRIM_FIYATLAR]])</f>
        <v>0</v>
      </c>
      <c r="N390">
        <v>1.6</v>
      </c>
      <c r="O390" t="s">
        <v>240</v>
      </c>
      <c r="P390">
        <v>19.200000000000003</v>
      </c>
      <c r="Q390" t="s">
        <v>180</v>
      </c>
    </row>
    <row r="391" spans="1:17" x14ac:dyDescent="0.25">
      <c r="A391" t="s">
        <v>1144</v>
      </c>
      <c r="B391" t="s">
        <v>1145</v>
      </c>
      <c r="C391" t="s">
        <v>175</v>
      </c>
      <c r="D391" t="s">
        <v>357</v>
      </c>
      <c r="E391" t="s">
        <v>358</v>
      </c>
      <c r="F391">
        <v>20</v>
      </c>
      <c r="G391" t="s">
        <v>176</v>
      </c>
      <c r="H391">
        <v>0</v>
      </c>
      <c r="I391">
        <v>500</v>
      </c>
      <c r="J391" s="10">
        <v>490</v>
      </c>
      <c r="K391" s="10">
        <f>SUMIFS(F:F,D:D,DST_123_ÜRETİM_İHTİYAÇ_RAPORU_BURAK_YENI1309[[#This Row],[ALT_KOD]])-(SUMIFS(H:H,D:D,DST_123_ÜRETİM_İHTİYAÇ_RAPORU_BURAK_YENI1309[[#This Row],[ALT_KOD]])+AVERAGEIFS(I:I,D:D,DST_123_ÜRETİM_İHTİYAÇ_RAPORU_BURAK_YENI1309[[#This Row],[ALT_KOD]])+AVERAGEIFS(L:L,D:D,DST_123_ÜRETİM_İHTİYAÇ_RAPORU_BURAK_YENI1309[[#This Row],[ALT_KOD]]))</f>
        <v>-294</v>
      </c>
      <c r="L391">
        <v>0</v>
      </c>
      <c r="M391">
        <f>IF((DST_123_ÜRETİM_İHTİYAÇ_RAPORU_BURAK_YENI1309[[#This Row],[SATINALMA]]*DST_123_ÜRETİM_İHTİYAÇ_RAPORU_BURAK_YENI1309[[#This Row],[BIRIM_FIYATLAR]])&lt;1,VALUE("0"),DST_123_ÜRETİM_İHTİYAÇ_RAPORU_BURAK_YENI1309[[#This Row],[SATINALMA]]*DST_123_ÜRETİM_İHTİYAÇ_RAPORU_BURAK_YENI1309[[#This Row],[BIRIM_FIYATLAR]])</f>
        <v>0</v>
      </c>
      <c r="N391">
        <v>1.6</v>
      </c>
      <c r="O391" t="s">
        <v>240</v>
      </c>
      <c r="P391">
        <v>32</v>
      </c>
      <c r="Q391" t="s">
        <v>180</v>
      </c>
    </row>
    <row r="392" spans="1:17" x14ac:dyDescent="0.25">
      <c r="A392" t="s">
        <v>1196</v>
      </c>
      <c r="B392" t="s">
        <v>1197</v>
      </c>
      <c r="C392" t="s">
        <v>175</v>
      </c>
      <c r="D392" t="s">
        <v>819</v>
      </c>
      <c r="E392" t="s">
        <v>820</v>
      </c>
      <c r="F392">
        <v>5</v>
      </c>
      <c r="G392" t="s">
        <v>176</v>
      </c>
      <c r="H392">
        <v>0</v>
      </c>
      <c r="I392">
        <v>15</v>
      </c>
      <c r="J392" s="10">
        <v>10</v>
      </c>
      <c r="K392" s="10">
        <f>SUMIFS(F:F,D:D,DST_123_ÜRETİM_İHTİYAÇ_RAPORU_BURAK_YENI1309[[#This Row],[ALT_KOD]])-(SUMIFS(H:H,D:D,DST_123_ÜRETİM_İHTİYAÇ_RAPORU_BURAK_YENI1309[[#This Row],[ALT_KOD]])+AVERAGEIFS(I:I,D:D,DST_123_ÜRETİM_İHTİYAÇ_RAPORU_BURAK_YENI1309[[#This Row],[ALT_KOD]])+AVERAGEIFS(L:L,D:D,DST_123_ÜRETİM_İHTİYAÇ_RAPORU_BURAK_YENI1309[[#This Row],[ALT_KOD]]))</f>
        <v>20</v>
      </c>
      <c r="L392">
        <v>0</v>
      </c>
      <c r="M392">
        <f>IF((DST_123_ÜRETİM_İHTİYAÇ_RAPORU_BURAK_YENI1309[[#This Row],[SATINALMA]]*DST_123_ÜRETİM_İHTİYAÇ_RAPORU_BURAK_YENI1309[[#This Row],[BIRIM_FIYATLAR]])&lt;1,VALUE("0"),DST_123_ÜRETİM_İHTİYAÇ_RAPORU_BURAK_YENI1309[[#This Row],[SATINALMA]]*DST_123_ÜRETİM_İHTİYAÇ_RAPORU_BURAK_YENI1309[[#This Row],[BIRIM_FIYATLAR]])</f>
        <v>3545.7999999999997</v>
      </c>
      <c r="N392">
        <v>177.29</v>
      </c>
      <c r="O392" t="s">
        <v>275</v>
      </c>
      <c r="P392">
        <v>886.44999999999993</v>
      </c>
      <c r="Q392" t="s">
        <v>180</v>
      </c>
    </row>
    <row r="393" spans="1:17" x14ac:dyDescent="0.25">
      <c r="A393" t="s">
        <v>1149</v>
      </c>
      <c r="B393" t="s">
        <v>1145</v>
      </c>
      <c r="C393" t="s">
        <v>175</v>
      </c>
      <c r="D393" t="s">
        <v>819</v>
      </c>
      <c r="E393" t="s">
        <v>820</v>
      </c>
      <c r="F393">
        <v>5</v>
      </c>
      <c r="G393" t="s">
        <v>176</v>
      </c>
      <c r="H393">
        <v>0</v>
      </c>
      <c r="I393">
        <v>15</v>
      </c>
      <c r="J393" s="10">
        <v>10</v>
      </c>
      <c r="K393" s="10">
        <f>SUMIFS(F:F,D:D,DST_123_ÜRETİM_İHTİYAÇ_RAPORU_BURAK_YENI1309[[#This Row],[ALT_KOD]])-(SUMIFS(H:H,D:D,DST_123_ÜRETİM_İHTİYAÇ_RAPORU_BURAK_YENI1309[[#This Row],[ALT_KOD]])+AVERAGEIFS(I:I,D:D,DST_123_ÜRETİM_İHTİYAÇ_RAPORU_BURAK_YENI1309[[#This Row],[ALT_KOD]])+AVERAGEIFS(L:L,D:D,DST_123_ÜRETİM_İHTİYAÇ_RAPORU_BURAK_YENI1309[[#This Row],[ALT_KOD]]))</f>
        <v>20</v>
      </c>
      <c r="L393">
        <v>0</v>
      </c>
      <c r="M393">
        <f>IF((DST_123_ÜRETİM_İHTİYAÇ_RAPORU_BURAK_YENI1309[[#This Row],[SATINALMA]]*DST_123_ÜRETİM_İHTİYAÇ_RAPORU_BURAK_YENI1309[[#This Row],[BIRIM_FIYATLAR]])&lt;1,VALUE("0"),DST_123_ÜRETİM_İHTİYAÇ_RAPORU_BURAK_YENI1309[[#This Row],[SATINALMA]]*DST_123_ÜRETİM_İHTİYAÇ_RAPORU_BURAK_YENI1309[[#This Row],[BIRIM_FIYATLAR]])</f>
        <v>3545.7999999999997</v>
      </c>
      <c r="N393">
        <v>177.29</v>
      </c>
      <c r="O393" t="s">
        <v>275</v>
      </c>
      <c r="P393">
        <v>886.44999999999993</v>
      </c>
      <c r="Q393" t="s">
        <v>180</v>
      </c>
    </row>
    <row r="394" spans="1:17" x14ac:dyDescent="0.25">
      <c r="A394" t="s">
        <v>1059</v>
      </c>
      <c r="B394" t="s">
        <v>1058</v>
      </c>
      <c r="C394" t="s">
        <v>175</v>
      </c>
      <c r="D394" t="s">
        <v>890</v>
      </c>
      <c r="E394" t="s">
        <v>891</v>
      </c>
      <c r="F394">
        <v>4</v>
      </c>
      <c r="G394" t="s">
        <v>176</v>
      </c>
      <c r="H394">
        <v>0</v>
      </c>
      <c r="I394">
        <v>634</v>
      </c>
      <c r="J394" s="10">
        <v>0</v>
      </c>
      <c r="K394" s="10">
        <f>SUMIFS(F:F,D:D,DST_123_ÜRETİM_İHTİYAÇ_RAPORU_BURAK_YENI1309[[#This Row],[ALT_KOD]])-(SUMIFS(H:H,D:D,DST_123_ÜRETİM_İHTİYAÇ_RAPORU_BURAK_YENI1309[[#This Row],[ALT_KOD]])+AVERAGEIFS(I:I,D:D,DST_123_ÜRETİM_İHTİYAÇ_RAPORU_BURAK_YENI1309[[#This Row],[ALT_KOD]])+AVERAGEIFS(L:L,D:D,DST_123_ÜRETİM_İHTİYAÇ_RAPORU_BURAK_YENI1309[[#This Row],[ALT_KOD]]))</f>
        <v>-618</v>
      </c>
      <c r="L394">
        <v>0</v>
      </c>
      <c r="M394">
        <f>IF((DST_123_ÜRETİM_İHTİYAÇ_RAPORU_BURAK_YENI1309[[#This Row],[SATINALMA]]*DST_123_ÜRETİM_İHTİYAÇ_RAPORU_BURAK_YENI1309[[#This Row],[BIRIM_FIYATLAR]])&lt;1,VALUE("0"),DST_123_ÜRETİM_İHTİYAÇ_RAPORU_BURAK_YENI1309[[#This Row],[SATINALMA]]*DST_123_ÜRETİM_İHTİYAÇ_RAPORU_BURAK_YENI1309[[#This Row],[BIRIM_FIYATLAR]])</f>
        <v>0</v>
      </c>
      <c r="N394">
        <v>1</v>
      </c>
      <c r="O394" t="s">
        <v>240</v>
      </c>
      <c r="P394">
        <v>4</v>
      </c>
      <c r="Q394" t="s">
        <v>180</v>
      </c>
    </row>
    <row r="395" spans="1:17" x14ac:dyDescent="0.25">
      <c r="A395" t="s">
        <v>1059</v>
      </c>
      <c r="B395" t="s">
        <v>1058</v>
      </c>
      <c r="C395" t="s">
        <v>175</v>
      </c>
      <c r="D395" t="s">
        <v>357</v>
      </c>
      <c r="E395" t="s">
        <v>358</v>
      </c>
      <c r="F395">
        <v>16</v>
      </c>
      <c r="G395" t="s">
        <v>176</v>
      </c>
      <c r="H395">
        <v>0</v>
      </c>
      <c r="I395">
        <v>500</v>
      </c>
      <c r="J395" s="10">
        <v>490</v>
      </c>
      <c r="K395" s="10">
        <f>SUMIFS(F:F,D:D,DST_123_ÜRETİM_İHTİYAÇ_RAPORU_BURAK_YENI1309[[#This Row],[ALT_KOD]])-(SUMIFS(H:H,D:D,DST_123_ÜRETİM_İHTİYAÇ_RAPORU_BURAK_YENI1309[[#This Row],[ALT_KOD]])+AVERAGEIFS(I:I,D:D,DST_123_ÜRETİM_İHTİYAÇ_RAPORU_BURAK_YENI1309[[#This Row],[ALT_KOD]])+AVERAGEIFS(L:L,D:D,DST_123_ÜRETİM_İHTİYAÇ_RAPORU_BURAK_YENI1309[[#This Row],[ALT_KOD]]))</f>
        <v>-294</v>
      </c>
      <c r="L395">
        <v>0</v>
      </c>
      <c r="M395">
        <f>IF((DST_123_ÜRETİM_İHTİYAÇ_RAPORU_BURAK_YENI1309[[#This Row],[SATINALMA]]*DST_123_ÜRETİM_İHTİYAÇ_RAPORU_BURAK_YENI1309[[#This Row],[BIRIM_FIYATLAR]])&lt;1,VALUE("0"),DST_123_ÜRETİM_İHTİYAÇ_RAPORU_BURAK_YENI1309[[#This Row],[SATINALMA]]*DST_123_ÜRETİM_İHTİYAÇ_RAPORU_BURAK_YENI1309[[#This Row],[BIRIM_FIYATLAR]])</f>
        <v>0</v>
      </c>
      <c r="N395">
        <v>1.6</v>
      </c>
      <c r="O395" t="s">
        <v>240</v>
      </c>
      <c r="P395">
        <v>25.6</v>
      </c>
      <c r="Q395" t="s">
        <v>180</v>
      </c>
    </row>
    <row r="396" spans="1:17" x14ac:dyDescent="0.25">
      <c r="A396" t="s">
        <v>1143</v>
      </c>
      <c r="B396" t="s">
        <v>1056</v>
      </c>
      <c r="C396" t="s">
        <v>175</v>
      </c>
      <c r="D396" t="s">
        <v>357</v>
      </c>
      <c r="E396" t="s">
        <v>358</v>
      </c>
      <c r="F396">
        <v>4</v>
      </c>
      <c r="G396" t="s">
        <v>176</v>
      </c>
      <c r="H396">
        <v>0</v>
      </c>
      <c r="I396">
        <v>500</v>
      </c>
      <c r="J396" s="10">
        <v>490</v>
      </c>
      <c r="K396" s="10">
        <f>SUMIFS(F:F,D:D,DST_123_ÜRETİM_İHTİYAÇ_RAPORU_BURAK_YENI1309[[#This Row],[ALT_KOD]])-(SUMIFS(H:H,D:D,DST_123_ÜRETİM_İHTİYAÇ_RAPORU_BURAK_YENI1309[[#This Row],[ALT_KOD]])+AVERAGEIFS(I:I,D:D,DST_123_ÜRETİM_İHTİYAÇ_RAPORU_BURAK_YENI1309[[#This Row],[ALT_KOD]])+AVERAGEIFS(L:L,D:D,DST_123_ÜRETİM_İHTİYAÇ_RAPORU_BURAK_YENI1309[[#This Row],[ALT_KOD]]))</f>
        <v>-294</v>
      </c>
      <c r="L396">
        <v>0</v>
      </c>
      <c r="M396">
        <f>IF((DST_123_ÜRETİM_İHTİYAÇ_RAPORU_BURAK_YENI1309[[#This Row],[SATINALMA]]*DST_123_ÜRETİM_İHTİYAÇ_RAPORU_BURAK_YENI1309[[#This Row],[BIRIM_FIYATLAR]])&lt;1,VALUE("0"),DST_123_ÜRETİM_İHTİYAÇ_RAPORU_BURAK_YENI1309[[#This Row],[SATINALMA]]*DST_123_ÜRETİM_İHTİYAÇ_RAPORU_BURAK_YENI1309[[#This Row],[BIRIM_FIYATLAR]])</f>
        <v>0</v>
      </c>
      <c r="N396">
        <v>1.6</v>
      </c>
      <c r="O396" t="s">
        <v>240</v>
      </c>
      <c r="P396">
        <v>6.4</v>
      </c>
      <c r="Q396" t="s">
        <v>180</v>
      </c>
    </row>
    <row r="397" spans="1:17" x14ac:dyDescent="0.25">
      <c r="A397" t="s">
        <v>1098</v>
      </c>
      <c r="B397" t="s">
        <v>1096</v>
      </c>
      <c r="C397" t="s">
        <v>175</v>
      </c>
      <c r="D397" t="s">
        <v>357</v>
      </c>
      <c r="E397" t="s">
        <v>358</v>
      </c>
      <c r="F397">
        <v>8</v>
      </c>
      <c r="G397" t="s">
        <v>176</v>
      </c>
      <c r="H397">
        <v>0</v>
      </c>
      <c r="I397">
        <v>500</v>
      </c>
      <c r="J397" s="10">
        <v>490</v>
      </c>
      <c r="K397" s="10">
        <f>SUMIFS(F:F,D:D,DST_123_ÜRETİM_İHTİYAÇ_RAPORU_BURAK_YENI1309[[#This Row],[ALT_KOD]])-(SUMIFS(H:H,D:D,DST_123_ÜRETİM_İHTİYAÇ_RAPORU_BURAK_YENI1309[[#This Row],[ALT_KOD]])+AVERAGEIFS(I:I,D:D,DST_123_ÜRETİM_İHTİYAÇ_RAPORU_BURAK_YENI1309[[#This Row],[ALT_KOD]])+AVERAGEIFS(L:L,D:D,DST_123_ÜRETİM_İHTİYAÇ_RAPORU_BURAK_YENI1309[[#This Row],[ALT_KOD]]))</f>
        <v>-294</v>
      </c>
      <c r="L397">
        <v>0</v>
      </c>
      <c r="M397">
        <f>IF((DST_123_ÜRETİM_İHTİYAÇ_RAPORU_BURAK_YENI1309[[#This Row],[SATINALMA]]*DST_123_ÜRETİM_İHTİYAÇ_RAPORU_BURAK_YENI1309[[#This Row],[BIRIM_FIYATLAR]])&lt;1,VALUE("0"),DST_123_ÜRETİM_İHTİYAÇ_RAPORU_BURAK_YENI1309[[#This Row],[SATINALMA]]*DST_123_ÜRETİM_İHTİYAÇ_RAPORU_BURAK_YENI1309[[#This Row],[BIRIM_FIYATLAR]])</f>
        <v>0</v>
      </c>
      <c r="N397">
        <v>1.6</v>
      </c>
      <c r="O397" t="s">
        <v>240</v>
      </c>
      <c r="P397">
        <v>12.8</v>
      </c>
      <c r="Q397" t="s">
        <v>180</v>
      </c>
    </row>
    <row r="398" spans="1:17" x14ac:dyDescent="0.25">
      <c r="A398" t="s">
        <v>1146</v>
      </c>
      <c r="B398" t="s">
        <v>1145</v>
      </c>
      <c r="C398" t="s">
        <v>175</v>
      </c>
      <c r="D398" t="s">
        <v>819</v>
      </c>
      <c r="E398" t="s">
        <v>820</v>
      </c>
      <c r="F398">
        <v>5</v>
      </c>
      <c r="G398" t="s">
        <v>176</v>
      </c>
      <c r="H398">
        <v>0</v>
      </c>
      <c r="I398">
        <v>15</v>
      </c>
      <c r="J398" s="10">
        <v>10</v>
      </c>
      <c r="K398" s="10">
        <f>SUMIFS(F:F,D:D,DST_123_ÜRETİM_İHTİYAÇ_RAPORU_BURAK_YENI1309[[#This Row],[ALT_KOD]])-(SUMIFS(H:H,D:D,DST_123_ÜRETİM_İHTİYAÇ_RAPORU_BURAK_YENI1309[[#This Row],[ALT_KOD]])+AVERAGEIFS(I:I,D:D,DST_123_ÜRETİM_İHTİYAÇ_RAPORU_BURAK_YENI1309[[#This Row],[ALT_KOD]])+AVERAGEIFS(L:L,D:D,DST_123_ÜRETİM_İHTİYAÇ_RAPORU_BURAK_YENI1309[[#This Row],[ALT_KOD]]))</f>
        <v>20</v>
      </c>
      <c r="L398">
        <v>0</v>
      </c>
      <c r="M398">
        <f>IF((DST_123_ÜRETİM_İHTİYAÇ_RAPORU_BURAK_YENI1309[[#This Row],[SATINALMA]]*DST_123_ÜRETİM_İHTİYAÇ_RAPORU_BURAK_YENI1309[[#This Row],[BIRIM_FIYATLAR]])&lt;1,VALUE("0"),DST_123_ÜRETİM_İHTİYAÇ_RAPORU_BURAK_YENI1309[[#This Row],[SATINALMA]]*DST_123_ÜRETİM_İHTİYAÇ_RAPORU_BURAK_YENI1309[[#This Row],[BIRIM_FIYATLAR]])</f>
        <v>3545.7999999999997</v>
      </c>
      <c r="N398">
        <v>177.29</v>
      </c>
      <c r="O398" t="s">
        <v>275</v>
      </c>
      <c r="P398">
        <v>886.44999999999993</v>
      </c>
      <c r="Q398" t="s">
        <v>180</v>
      </c>
    </row>
    <row r="399" spans="1:17" x14ac:dyDescent="0.25">
      <c r="A399" t="s">
        <v>1144</v>
      </c>
      <c r="B399" t="s">
        <v>1145</v>
      </c>
      <c r="C399" t="s">
        <v>175</v>
      </c>
      <c r="D399" t="s">
        <v>819</v>
      </c>
      <c r="E399" t="s">
        <v>820</v>
      </c>
      <c r="F399">
        <v>5</v>
      </c>
      <c r="G399" t="s">
        <v>176</v>
      </c>
      <c r="H399">
        <v>0</v>
      </c>
      <c r="I399">
        <v>15</v>
      </c>
      <c r="J399" s="10">
        <v>10</v>
      </c>
      <c r="K399" s="10">
        <f>SUMIFS(F:F,D:D,DST_123_ÜRETİM_İHTİYAÇ_RAPORU_BURAK_YENI1309[[#This Row],[ALT_KOD]])-(SUMIFS(H:H,D:D,DST_123_ÜRETİM_İHTİYAÇ_RAPORU_BURAK_YENI1309[[#This Row],[ALT_KOD]])+AVERAGEIFS(I:I,D:D,DST_123_ÜRETİM_İHTİYAÇ_RAPORU_BURAK_YENI1309[[#This Row],[ALT_KOD]])+AVERAGEIFS(L:L,D:D,DST_123_ÜRETİM_İHTİYAÇ_RAPORU_BURAK_YENI1309[[#This Row],[ALT_KOD]]))</f>
        <v>20</v>
      </c>
      <c r="L399">
        <v>0</v>
      </c>
      <c r="M399">
        <f>IF((DST_123_ÜRETİM_İHTİYAÇ_RAPORU_BURAK_YENI1309[[#This Row],[SATINALMA]]*DST_123_ÜRETİM_İHTİYAÇ_RAPORU_BURAK_YENI1309[[#This Row],[BIRIM_FIYATLAR]])&lt;1,VALUE("0"),DST_123_ÜRETİM_İHTİYAÇ_RAPORU_BURAK_YENI1309[[#This Row],[SATINALMA]]*DST_123_ÜRETİM_İHTİYAÇ_RAPORU_BURAK_YENI1309[[#This Row],[BIRIM_FIYATLAR]])</f>
        <v>3545.7999999999997</v>
      </c>
      <c r="N399">
        <v>177.29</v>
      </c>
      <c r="O399" t="s">
        <v>275</v>
      </c>
      <c r="P399">
        <v>886.44999999999993</v>
      </c>
      <c r="Q399" t="s">
        <v>180</v>
      </c>
    </row>
    <row r="400" spans="1:17" x14ac:dyDescent="0.25">
      <c r="A400" t="s">
        <v>1149</v>
      </c>
      <c r="B400" t="s">
        <v>1145</v>
      </c>
      <c r="C400" t="s">
        <v>175</v>
      </c>
      <c r="D400" t="s">
        <v>357</v>
      </c>
      <c r="E400" t="s">
        <v>358</v>
      </c>
      <c r="F400">
        <v>16</v>
      </c>
      <c r="G400" t="s">
        <v>176</v>
      </c>
      <c r="H400">
        <v>0</v>
      </c>
      <c r="I400">
        <v>500</v>
      </c>
      <c r="J400" s="10">
        <v>490</v>
      </c>
      <c r="K400" s="10">
        <f>SUMIFS(F:F,D:D,DST_123_ÜRETİM_İHTİYAÇ_RAPORU_BURAK_YENI1309[[#This Row],[ALT_KOD]])-(SUMIFS(H:H,D:D,DST_123_ÜRETİM_İHTİYAÇ_RAPORU_BURAK_YENI1309[[#This Row],[ALT_KOD]])+AVERAGEIFS(I:I,D:D,DST_123_ÜRETİM_İHTİYAÇ_RAPORU_BURAK_YENI1309[[#This Row],[ALT_KOD]])+AVERAGEIFS(L:L,D:D,DST_123_ÜRETİM_İHTİYAÇ_RAPORU_BURAK_YENI1309[[#This Row],[ALT_KOD]]))</f>
        <v>-294</v>
      </c>
      <c r="L400">
        <v>0</v>
      </c>
      <c r="M400">
        <f>IF((DST_123_ÜRETİM_İHTİYAÇ_RAPORU_BURAK_YENI1309[[#This Row],[SATINALMA]]*DST_123_ÜRETİM_İHTİYAÇ_RAPORU_BURAK_YENI1309[[#This Row],[BIRIM_FIYATLAR]])&lt;1,VALUE("0"),DST_123_ÜRETİM_İHTİYAÇ_RAPORU_BURAK_YENI1309[[#This Row],[SATINALMA]]*DST_123_ÜRETİM_İHTİYAÇ_RAPORU_BURAK_YENI1309[[#This Row],[BIRIM_FIYATLAR]])</f>
        <v>0</v>
      </c>
      <c r="N400">
        <v>1.6</v>
      </c>
      <c r="O400" t="s">
        <v>240</v>
      </c>
      <c r="P400">
        <v>25.6</v>
      </c>
      <c r="Q400" t="s">
        <v>180</v>
      </c>
    </row>
    <row r="401" spans="1:17" x14ac:dyDescent="0.25">
      <c r="A401" t="s">
        <v>1146</v>
      </c>
      <c r="B401" t="s">
        <v>1145</v>
      </c>
      <c r="C401" t="s">
        <v>175</v>
      </c>
      <c r="D401" t="s">
        <v>357</v>
      </c>
      <c r="E401" t="s">
        <v>358</v>
      </c>
      <c r="F401">
        <v>12</v>
      </c>
      <c r="G401" t="s">
        <v>176</v>
      </c>
      <c r="H401">
        <v>0</v>
      </c>
      <c r="I401">
        <v>500</v>
      </c>
      <c r="J401" s="10">
        <v>490</v>
      </c>
      <c r="K401" s="10">
        <f>SUMIFS(F:F,D:D,DST_123_ÜRETİM_İHTİYAÇ_RAPORU_BURAK_YENI1309[[#This Row],[ALT_KOD]])-(SUMIFS(H:H,D:D,DST_123_ÜRETİM_İHTİYAÇ_RAPORU_BURAK_YENI1309[[#This Row],[ALT_KOD]])+AVERAGEIFS(I:I,D:D,DST_123_ÜRETİM_İHTİYAÇ_RAPORU_BURAK_YENI1309[[#This Row],[ALT_KOD]])+AVERAGEIFS(L:L,D:D,DST_123_ÜRETİM_İHTİYAÇ_RAPORU_BURAK_YENI1309[[#This Row],[ALT_KOD]]))</f>
        <v>-294</v>
      </c>
      <c r="L401">
        <v>0</v>
      </c>
      <c r="M401">
        <f>IF((DST_123_ÜRETİM_İHTİYAÇ_RAPORU_BURAK_YENI1309[[#This Row],[SATINALMA]]*DST_123_ÜRETİM_İHTİYAÇ_RAPORU_BURAK_YENI1309[[#This Row],[BIRIM_FIYATLAR]])&lt;1,VALUE("0"),DST_123_ÜRETİM_İHTİYAÇ_RAPORU_BURAK_YENI1309[[#This Row],[SATINALMA]]*DST_123_ÜRETİM_İHTİYAÇ_RAPORU_BURAK_YENI1309[[#This Row],[BIRIM_FIYATLAR]])</f>
        <v>0</v>
      </c>
      <c r="N401">
        <v>1.6</v>
      </c>
      <c r="O401" t="s">
        <v>240</v>
      </c>
      <c r="P401">
        <v>19.200000000000003</v>
      </c>
      <c r="Q401" t="s">
        <v>180</v>
      </c>
    </row>
    <row r="402" spans="1:17" x14ac:dyDescent="0.25">
      <c r="A402" t="s">
        <v>1143</v>
      </c>
      <c r="B402" t="s">
        <v>1056</v>
      </c>
      <c r="C402" t="s">
        <v>175</v>
      </c>
      <c r="D402" t="s">
        <v>892</v>
      </c>
      <c r="E402" t="s">
        <v>893</v>
      </c>
      <c r="F402">
        <v>4.5</v>
      </c>
      <c r="G402" t="s">
        <v>179</v>
      </c>
      <c r="H402">
        <v>0</v>
      </c>
      <c r="I402">
        <v>50</v>
      </c>
      <c r="J402" s="10">
        <v>7.1054273576010019E-15</v>
      </c>
      <c r="K402" s="10">
        <f>SUMIFS(F:F,D:D,DST_123_ÜRETİM_İHTİYAÇ_RAPORU_BURAK_YENI1309[[#This Row],[ALT_KOD]])-(SUMIFS(H:H,D:D,DST_123_ÜRETİM_İHTİYAÇ_RAPORU_BURAK_YENI1309[[#This Row],[ALT_KOD]])+AVERAGEIFS(I:I,D:D,DST_123_ÜRETİM_İHTİYAÇ_RAPORU_BURAK_YENI1309[[#This Row],[ALT_KOD]])+AVERAGEIFS(L:L,D:D,DST_123_ÜRETİM_İHTİYAÇ_RAPORU_BURAK_YENI1309[[#This Row],[ALT_KOD]]))</f>
        <v>-41</v>
      </c>
      <c r="L402">
        <v>0</v>
      </c>
      <c r="M402">
        <f>IF((DST_123_ÜRETİM_İHTİYAÇ_RAPORU_BURAK_YENI1309[[#This Row],[SATINALMA]]*DST_123_ÜRETİM_İHTİYAÇ_RAPORU_BURAK_YENI1309[[#This Row],[BIRIM_FIYATLAR]])&lt;1,VALUE("0"),DST_123_ÜRETİM_İHTİYAÇ_RAPORU_BURAK_YENI1309[[#This Row],[SATINALMA]]*DST_123_ÜRETİM_İHTİYAÇ_RAPORU_BURAK_YENI1309[[#This Row],[BIRIM_FIYATLAR]])</f>
        <v>0</v>
      </c>
      <c r="N402">
        <v>150</v>
      </c>
      <c r="O402" t="s">
        <v>215</v>
      </c>
      <c r="P402">
        <v>675</v>
      </c>
      <c r="Q402" t="s">
        <v>180</v>
      </c>
    </row>
    <row r="403" spans="1:17" x14ac:dyDescent="0.25">
      <c r="A403" t="s">
        <v>1097</v>
      </c>
      <c r="B403" t="s">
        <v>1055</v>
      </c>
      <c r="C403" t="s">
        <v>175</v>
      </c>
      <c r="D403" t="s">
        <v>357</v>
      </c>
      <c r="E403" t="s">
        <v>358</v>
      </c>
      <c r="F403">
        <v>4</v>
      </c>
      <c r="G403" t="s">
        <v>176</v>
      </c>
      <c r="H403">
        <v>0</v>
      </c>
      <c r="I403">
        <v>500</v>
      </c>
      <c r="J403" s="10">
        <v>490</v>
      </c>
      <c r="K403" s="10">
        <f>SUMIFS(F:F,D:D,DST_123_ÜRETİM_İHTİYAÇ_RAPORU_BURAK_YENI1309[[#This Row],[ALT_KOD]])-(SUMIFS(H:H,D:D,DST_123_ÜRETİM_İHTİYAÇ_RAPORU_BURAK_YENI1309[[#This Row],[ALT_KOD]])+AVERAGEIFS(I:I,D:D,DST_123_ÜRETİM_İHTİYAÇ_RAPORU_BURAK_YENI1309[[#This Row],[ALT_KOD]])+AVERAGEIFS(L:L,D:D,DST_123_ÜRETİM_İHTİYAÇ_RAPORU_BURAK_YENI1309[[#This Row],[ALT_KOD]]))</f>
        <v>-294</v>
      </c>
      <c r="L403">
        <v>0</v>
      </c>
      <c r="M403">
        <f>IF((DST_123_ÜRETİM_İHTİYAÇ_RAPORU_BURAK_YENI1309[[#This Row],[SATINALMA]]*DST_123_ÜRETİM_İHTİYAÇ_RAPORU_BURAK_YENI1309[[#This Row],[BIRIM_FIYATLAR]])&lt;1,VALUE("0"),DST_123_ÜRETİM_İHTİYAÇ_RAPORU_BURAK_YENI1309[[#This Row],[SATINALMA]]*DST_123_ÜRETİM_İHTİYAÇ_RAPORU_BURAK_YENI1309[[#This Row],[BIRIM_FIYATLAR]])</f>
        <v>0</v>
      </c>
      <c r="N403">
        <v>1.6</v>
      </c>
      <c r="O403" t="s">
        <v>240</v>
      </c>
      <c r="P403">
        <v>6.4</v>
      </c>
      <c r="Q403" t="s">
        <v>180</v>
      </c>
    </row>
    <row r="404" spans="1:17" x14ac:dyDescent="0.25">
      <c r="A404" t="s">
        <v>1095</v>
      </c>
      <c r="B404" t="s">
        <v>1096</v>
      </c>
      <c r="C404" t="s">
        <v>175</v>
      </c>
      <c r="D404" t="s">
        <v>357</v>
      </c>
      <c r="E404" t="s">
        <v>358</v>
      </c>
      <c r="F404">
        <v>12</v>
      </c>
      <c r="G404" t="s">
        <v>176</v>
      </c>
      <c r="H404">
        <v>0</v>
      </c>
      <c r="I404">
        <v>500</v>
      </c>
      <c r="J404" s="10">
        <v>490</v>
      </c>
      <c r="K404" s="10">
        <f>SUMIFS(F:F,D:D,DST_123_ÜRETİM_İHTİYAÇ_RAPORU_BURAK_YENI1309[[#This Row],[ALT_KOD]])-(SUMIFS(H:H,D:D,DST_123_ÜRETİM_İHTİYAÇ_RAPORU_BURAK_YENI1309[[#This Row],[ALT_KOD]])+AVERAGEIFS(I:I,D:D,DST_123_ÜRETİM_İHTİYAÇ_RAPORU_BURAK_YENI1309[[#This Row],[ALT_KOD]])+AVERAGEIFS(L:L,D:D,DST_123_ÜRETİM_İHTİYAÇ_RAPORU_BURAK_YENI1309[[#This Row],[ALT_KOD]]))</f>
        <v>-294</v>
      </c>
      <c r="L404">
        <v>0</v>
      </c>
      <c r="M404">
        <f>IF((DST_123_ÜRETİM_İHTİYAÇ_RAPORU_BURAK_YENI1309[[#This Row],[SATINALMA]]*DST_123_ÜRETİM_İHTİYAÇ_RAPORU_BURAK_YENI1309[[#This Row],[BIRIM_FIYATLAR]])&lt;1,VALUE("0"),DST_123_ÜRETİM_İHTİYAÇ_RAPORU_BURAK_YENI1309[[#This Row],[SATINALMA]]*DST_123_ÜRETİM_İHTİYAÇ_RAPORU_BURAK_YENI1309[[#This Row],[BIRIM_FIYATLAR]])</f>
        <v>0</v>
      </c>
      <c r="N404">
        <v>1.6</v>
      </c>
      <c r="O404" t="s">
        <v>240</v>
      </c>
      <c r="P404">
        <v>19.200000000000003</v>
      </c>
      <c r="Q404" t="s">
        <v>180</v>
      </c>
    </row>
    <row r="405" spans="1:17" x14ac:dyDescent="0.25">
      <c r="A405" t="s">
        <v>1196</v>
      </c>
      <c r="B405" t="s">
        <v>1197</v>
      </c>
      <c r="C405" t="s">
        <v>175</v>
      </c>
      <c r="D405" t="s">
        <v>357</v>
      </c>
      <c r="E405" t="s">
        <v>358</v>
      </c>
      <c r="F405">
        <v>16</v>
      </c>
      <c r="G405" t="s">
        <v>176</v>
      </c>
      <c r="H405">
        <v>0</v>
      </c>
      <c r="I405">
        <v>500</v>
      </c>
      <c r="J405" s="10">
        <v>490</v>
      </c>
      <c r="K405" s="10">
        <f>SUMIFS(F:F,D:D,DST_123_ÜRETİM_İHTİYAÇ_RAPORU_BURAK_YENI1309[[#This Row],[ALT_KOD]])-(SUMIFS(H:H,D:D,DST_123_ÜRETİM_İHTİYAÇ_RAPORU_BURAK_YENI1309[[#This Row],[ALT_KOD]])+AVERAGEIFS(I:I,D:D,DST_123_ÜRETİM_İHTİYAÇ_RAPORU_BURAK_YENI1309[[#This Row],[ALT_KOD]])+AVERAGEIFS(L:L,D:D,DST_123_ÜRETİM_İHTİYAÇ_RAPORU_BURAK_YENI1309[[#This Row],[ALT_KOD]]))</f>
        <v>-294</v>
      </c>
      <c r="L405">
        <v>0</v>
      </c>
      <c r="M405">
        <f>IF((DST_123_ÜRETİM_İHTİYAÇ_RAPORU_BURAK_YENI1309[[#This Row],[SATINALMA]]*DST_123_ÜRETİM_İHTİYAÇ_RAPORU_BURAK_YENI1309[[#This Row],[BIRIM_FIYATLAR]])&lt;1,VALUE("0"),DST_123_ÜRETİM_İHTİYAÇ_RAPORU_BURAK_YENI1309[[#This Row],[SATINALMA]]*DST_123_ÜRETİM_İHTİYAÇ_RAPORU_BURAK_YENI1309[[#This Row],[BIRIM_FIYATLAR]])</f>
        <v>0</v>
      </c>
      <c r="N405">
        <v>1.6</v>
      </c>
      <c r="O405" t="s">
        <v>240</v>
      </c>
      <c r="P405">
        <v>25.6</v>
      </c>
      <c r="Q405" t="s">
        <v>180</v>
      </c>
    </row>
    <row r="406" spans="1:17" x14ac:dyDescent="0.25">
      <c r="A406" t="s">
        <v>1064</v>
      </c>
      <c r="B406" t="s">
        <v>1055</v>
      </c>
      <c r="C406" t="s">
        <v>175</v>
      </c>
      <c r="D406" t="s">
        <v>357</v>
      </c>
      <c r="E406" t="s">
        <v>358</v>
      </c>
      <c r="F406">
        <v>4</v>
      </c>
      <c r="G406" t="s">
        <v>176</v>
      </c>
      <c r="H406">
        <v>0</v>
      </c>
      <c r="I406">
        <v>500</v>
      </c>
      <c r="J406" s="10">
        <v>490</v>
      </c>
      <c r="K406" s="10">
        <f>SUMIFS(F:F,D:D,DST_123_ÜRETİM_İHTİYAÇ_RAPORU_BURAK_YENI1309[[#This Row],[ALT_KOD]])-(SUMIFS(H:H,D:D,DST_123_ÜRETİM_İHTİYAÇ_RAPORU_BURAK_YENI1309[[#This Row],[ALT_KOD]])+AVERAGEIFS(I:I,D:D,DST_123_ÜRETİM_İHTİYAÇ_RAPORU_BURAK_YENI1309[[#This Row],[ALT_KOD]])+AVERAGEIFS(L:L,D:D,DST_123_ÜRETİM_İHTİYAÇ_RAPORU_BURAK_YENI1309[[#This Row],[ALT_KOD]]))</f>
        <v>-294</v>
      </c>
      <c r="L406">
        <v>0</v>
      </c>
      <c r="M406">
        <f>IF((DST_123_ÜRETİM_İHTİYAÇ_RAPORU_BURAK_YENI1309[[#This Row],[SATINALMA]]*DST_123_ÜRETİM_İHTİYAÇ_RAPORU_BURAK_YENI1309[[#This Row],[BIRIM_FIYATLAR]])&lt;1,VALUE("0"),DST_123_ÜRETİM_İHTİYAÇ_RAPORU_BURAK_YENI1309[[#This Row],[SATINALMA]]*DST_123_ÜRETİM_İHTİYAÇ_RAPORU_BURAK_YENI1309[[#This Row],[BIRIM_FIYATLAR]])</f>
        <v>0</v>
      </c>
      <c r="N406">
        <v>1.6</v>
      </c>
      <c r="O406" t="s">
        <v>240</v>
      </c>
      <c r="P406">
        <v>6.4</v>
      </c>
      <c r="Q406" t="s">
        <v>180</v>
      </c>
    </row>
    <row r="407" spans="1:17" x14ac:dyDescent="0.25">
      <c r="A407" t="s">
        <v>1101</v>
      </c>
      <c r="B407" t="s">
        <v>1102</v>
      </c>
      <c r="C407" t="s">
        <v>175</v>
      </c>
      <c r="D407" t="s">
        <v>892</v>
      </c>
      <c r="E407" t="s">
        <v>893</v>
      </c>
      <c r="F407">
        <v>4.5</v>
      </c>
      <c r="G407" t="s">
        <v>179</v>
      </c>
      <c r="H407">
        <v>0</v>
      </c>
      <c r="I407">
        <v>50</v>
      </c>
      <c r="J407" s="10">
        <v>7.1054273576010019E-15</v>
      </c>
      <c r="K407" s="10">
        <f>SUMIFS(F:F,D:D,DST_123_ÜRETİM_İHTİYAÇ_RAPORU_BURAK_YENI1309[[#This Row],[ALT_KOD]])-(SUMIFS(H:H,D:D,DST_123_ÜRETİM_İHTİYAÇ_RAPORU_BURAK_YENI1309[[#This Row],[ALT_KOD]])+AVERAGEIFS(I:I,D:D,DST_123_ÜRETİM_İHTİYAÇ_RAPORU_BURAK_YENI1309[[#This Row],[ALT_KOD]])+AVERAGEIFS(L:L,D:D,DST_123_ÜRETİM_İHTİYAÇ_RAPORU_BURAK_YENI1309[[#This Row],[ALT_KOD]]))</f>
        <v>-41</v>
      </c>
      <c r="L407">
        <v>0</v>
      </c>
      <c r="M407">
        <f>IF((DST_123_ÜRETİM_İHTİYAÇ_RAPORU_BURAK_YENI1309[[#This Row],[SATINALMA]]*DST_123_ÜRETİM_İHTİYAÇ_RAPORU_BURAK_YENI1309[[#This Row],[BIRIM_FIYATLAR]])&lt;1,VALUE("0"),DST_123_ÜRETİM_İHTİYAÇ_RAPORU_BURAK_YENI1309[[#This Row],[SATINALMA]]*DST_123_ÜRETİM_İHTİYAÇ_RAPORU_BURAK_YENI1309[[#This Row],[BIRIM_FIYATLAR]])</f>
        <v>0</v>
      </c>
      <c r="N407">
        <v>150</v>
      </c>
      <c r="O407" t="s">
        <v>215</v>
      </c>
      <c r="P407">
        <v>675</v>
      </c>
      <c r="Q407" t="s">
        <v>180</v>
      </c>
    </row>
    <row r="408" spans="1:17" x14ac:dyDescent="0.25">
      <c r="A408" t="s">
        <v>1101</v>
      </c>
      <c r="B408" t="s">
        <v>1102</v>
      </c>
      <c r="C408" t="s">
        <v>175</v>
      </c>
      <c r="D408" t="s">
        <v>357</v>
      </c>
      <c r="E408" t="s">
        <v>358</v>
      </c>
      <c r="F408">
        <v>6</v>
      </c>
      <c r="G408" t="s">
        <v>176</v>
      </c>
      <c r="H408">
        <v>0</v>
      </c>
      <c r="I408">
        <v>500</v>
      </c>
      <c r="J408" s="10">
        <v>490</v>
      </c>
      <c r="K408" s="10">
        <f>SUMIFS(F:F,D:D,DST_123_ÜRETİM_İHTİYAÇ_RAPORU_BURAK_YENI1309[[#This Row],[ALT_KOD]])-(SUMIFS(H:H,D:D,DST_123_ÜRETİM_İHTİYAÇ_RAPORU_BURAK_YENI1309[[#This Row],[ALT_KOD]])+AVERAGEIFS(I:I,D:D,DST_123_ÜRETİM_İHTİYAÇ_RAPORU_BURAK_YENI1309[[#This Row],[ALT_KOD]])+AVERAGEIFS(L:L,D:D,DST_123_ÜRETİM_İHTİYAÇ_RAPORU_BURAK_YENI1309[[#This Row],[ALT_KOD]]))</f>
        <v>-294</v>
      </c>
      <c r="L408">
        <v>0</v>
      </c>
      <c r="M408">
        <f>IF((DST_123_ÜRETİM_İHTİYAÇ_RAPORU_BURAK_YENI1309[[#This Row],[SATINALMA]]*DST_123_ÜRETİM_İHTİYAÇ_RAPORU_BURAK_YENI1309[[#This Row],[BIRIM_FIYATLAR]])&lt;1,VALUE("0"),DST_123_ÜRETİM_İHTİYAÇ_RAPORU_BURAK_YENI1309[[#This Row],[SATINALMA]]*DST_123_ÜRETİM_İHTİYAÇ_RAPORU_BURAK_YENI1309[[#This Row],[BIRIM_FIYATLAR]])</f>
        <v>0</v>
      </c>
      <c r="N408">
        <v>1.6</v>
      </c>
      <c r="O408" t="s">
        <v>240</v>
      </c>
      <c r="P408">
        <v>9.6000000000000014</v>
      </c>
      <c r="Q408" t="s">
        <v>180</v>
      </c>
    </row>
    <row r="409" spans="1:17" x14ac:dyDescent="0.25">
      <c r="A409" t="s">
        <v>1060</v>
      </c>
      <c r="B409" t="s">
        <v>1061</v>
      </c>
      <c r="C409" t="s">
        <v>175</v>
      </c>
      <c r="D409" t="s">
        <v>573</v>
      </c>
      <c r="E409" t="s">
        <v>574</v>
      </c>
      <c r="F409">
        <v>0.5</v>
      </c>
      <c r="G409" t="s">
        <v>176</v>
      </c>
      <c r="H409">
        <v>0</v>
      </c>
      <c r="I409">
        <v>24</v>
      </c>
      <c r="J409" s="10">
        <v>-3.5527136788005009E-14</v>
      </c>
      <c r="K409" s="10">
        <f>SUMIFS(F:F,D:D,DST_123_ÜRETİM_İHTİYAÇ_RAPORU_BURAK_YENI1309[[#This Row],[ALT_KOD]])-(SUMIFS(H:H,D:D,DST_123_ÜRETİM_İHTİYAÇ_RAPORU_BURAK_YENI1309[[#This Row],[ALT_KOD]])+AVERAGEIFS(I:I,D:D,DST_123_ÜRETİM_İHTİYAÇ_RAPORU_BURAK_YENI1309[[#This Row],[ALT_KOD]])+AVERAGEIFS(L:L,D:D,DST_123_ÜRETİM_İHTİYAÇ_RAPORU_BURAK_YENI1309[[#This Row],[ALT_KOD]]))</f>
        <v>-7.600000000000005</v>
      </c>
      <c r="L409">
        <v>0</v>
      </c>
      <c r="M409">
        <f>IF((DST_123_ÜRETİM_İHTİYAÇ_RAPORU_BURAK_YENI1309[[#This Row],[SATINALMA]]*DST_123_ÜRETİM_İHTİYAÇ_RAPORU_BURAK_YENI1309[[#This Row],[BIRIM_FIYATLAR]])&lt;1,VALUE("0"),DST_123_ÜRETİM_İHTİYAÇ_RAPORU_BURAK_YENI1309[[#This Row],[SATINALMA]]*DST_123_ÜRETİM_İHTİYAÇ_RAPORU_BURAK_YENI1309[[#This Row],[BIRIM_FIYATLAR]])</f>
        <v>0</v>
      </c>
      <c r="N409">
        <v>120</v>
      </c>
      <c r="O409" t="s">
        <v>240</v>
      </c>
      <c r="P409">
        <v>60</v>
      </c>
      <c r="Q409" t="s">
        <v>183</v>
      </c>
    </row>
    <row r="410" spans="1:17" x14ac:dyDescent="0.25">
      <c r="A410" t="s">
        <v>1057</v>
      </c>
      <c r="B410" t="s">
        <v>1058</v>
      </c>
      <c r="C410" t="s">
        <v>175</v>
      </c>
      <c r="D410" t="s">
        <v>573</v>
      </c>
      <c r="E410" t="s">
        <v>574</v>
      </c>
      <c r="F410">
        <v>1</v>
      </c>
      <c r="G410" t="s">
        <v>176</v>
      </c>
      <c r="H410">
        <v>0</v>
      </c>
      <c r="I410">
        <v>24</v>
      </c>
      <c r="J410" s="10">
        <v>-3.5527136788005009E-14</v>
      </c>
      <c r="K410" s="10">
        <f>SUMIFS(F:F,D:D,DST_123_ÜRETİM_İHTİYAÇ_RAPORU_BURAK_YENI1309[[#This Row],[ALT_KOD]])-(SUMIFS(H:H,D:D,DST_123_ÜRETİM_İHTİYAÇ_RAPORU_BURAK_YENI1309[[#This Row],[ALT_KOD]])+AVERAGEIFS(I:I,D:D,DST_123_ÜRETİM_İHTİYAÇ_RAPORU_BURAK_YENI1309[[#This Row],[ALT_KOD]])+AVERAGEIFS(L:L,D:D,DST_123_ÜRETİM_İHTİYAÇ_RAPORU_BURAK_YENI1309[[#This Row],[ALT_KOD]]))</f>
        <v>-7.600000000000005</v>
      </c>
      <c r="L410">
        <v>0</v>
      </c>
      <c r="M410">
        <f>IF((DST_123_ÜRETİM_İHTİYAÇ_RAPORU_BURAK_YENI1309[[#This Row],[SATINALMA]]*DST_123_ÜRETİM_İHTİYAÇ_RAPORU_BURAK_YENI1309[[#This Row],[BIRIM_FIYATLAR]])&lt;1,VALUE("0"),DST_123_ÜRETİM_İHTİYAÇ_RAPORU_BURAK_YENI1309[[#This Row],[SATINALMA]]*DST_123_ÜRETİM_İHTİYAÇ_RAPORU_BURAK_YENI1309[[#This Row],[BIRIM_FIYATLAR]])</f>
        <v>0</v>
      </c>
      <c r="N410">
        <v>120</v>
      </c>
      <c r="O410" t="s">
        <v>240</v>
      </c>
      <c r="P410">
        <v>120</v>
      </c>
      <c r="Q410" t="s">
        <v>183</v>
      </c>
    </row>
    <row r="411" spans="1:17" x14ac:dyDescent="0.25">
      <c r="A411" t="s">
        <v>1100</v>
      </c>
      <c r="B411" t="s">
        <v>1058</v>
      </c>
      <c r="C411" t="s">
        <v>175</v>
      </c>
      <c r="D411" t="s">
        <v>573</v>
      </c>
      <c r="E411" t="s">
        <v>574</v>
      </c>
      <c r="F411">
        <v>1</v>
      </c>
      <c r="G411" t="s">
        <v>176</v>
      </c>
      <c r="H411">
        <v>0</v>
      </c>
      <c r="I411">
        <v>24</v>
      </c>
      <c r="J411" s="10">
        <v>-3.5527136788005009E-14</v>
      </c>
      <c r="K411" s="10">
        <f>SUMIFS(F:F,D:D,DST_123_ÜRETİM_İHTİYAÇ_RAPORU_BURAK_YENI1309[[#This Row],[ALT_KOD]])-(SUMIFS(H:H,D:D,DST_123_ÜRETİM_İHTİYAÇ_RAPORU_BURAK_YENI1309[[#This Row],[ALT_KOD]])+AVERAGEIFS(I:I,D:D,DST_123_ÜRETİM_İHTİYAÇ_RAPORU_BURAK_YENI1309[[#This Row],[ALT_KOD]])+AVERAGEIFS(L:L,D:D,DST_123_ÜRETİM_İHTİYAÇ_RAPORU_BURAK_YENI1309[[#This Row],[ALT_KOD]]))</f>
        <v>-7.600000000000005</v>
      </c>
      <c r="L411">
        <v>0</v>
      </c>
      <c r="M411">
        <f>IF((DST_123_ÜRETİM_İHTİYAÇ_RAPORU_BURAK_YENI1309[[#This Row],[SATINALMA]]*DST_123_ÜRETİM_İHTİYAÇ_RAPORU_BURAK_YENI1309[[#This Row],[BIRIM_FIYATLAR]])&lt;1,VALUE("0"),DST_123_ÜRETİM_İHTİYAÇ_RAPORU_BURAK_YENI1309[[#This Row],[SATINALMA]]*DST_123_ÜRETİM_İHTİYAÇ_RAPORU_BURAK_YENI1309[[#This Row],[BIRIM_FIYATLAR]])</f>
        <v>0</v>
      </c>
      <c r="N411">
        <v>120</v>
      </c>
      <c r="O411" t="s">
        <v>240</v>
      </c>
      <c r="P411">
        <v>120</v>
      </c>
      <c r="Q411" t="s">
        <v>183</v>
      </c>
    </row>
    <row r="412" spans="1:17" x14ac:dyDescent="0.25">
      <c r="A412" t="s">
        <v>1148</v>
      </c>
      <c r="B412" t="s">
        <v>1056</v>
      </c>
      <c r="C412" t="s">
        <v>175</v>
      </c>
      <c r="D412" t="s">
        <v>573</v>
      </c>
      <c r="E412" t="s">
        <v>574</v>
      </c>
      <c r="F412">
        <v>0.7</v>
      </c>
      <c r="G412" t="s">
        <v>176</v>
      </c>
      <c r="H412">
        <v>0</v>
      </c>
      <c r="I412">
        <v>24</v>
      </c>
      <c r="J412" s="10">
        <v>-3.5527136788005009E-14</v>
      </c>
      <c r="K412" s="10">
        <f>SUMIFS(F:F,D:D,DST_123_ÜRETİM_İHTİYAÇ_RAPORU_BURAK_YENI1309[[#This Row],[ALT_KOD]])-(SUMIFS(H:H,D:D,DST_123_ÜRETİM_İHTİYAÇ_RAPORU_BURAK_YENI1309[[#This Row],[ALT_KOD]])+AVERAGEIFS(I:I,D:D,DST_123_ÜRETİM_İHTİYAÇ_RAPORU_BURAK_YENI1309[[#This Row],[ALT_KOD]])+AVERAGEIFS(L:L,D:D,DST_123_ÜRETİM_İHTİYAÇ_RAPORU_BURAK_YENI1309[[#This Row],[ALT_KOD]]))</f>
        <v>-7.600000000000005</v>
      </c>
      <c r="L412">
        <v>0</v>
      </c>
      <c r="M412">
        <f>IF((DST_123_ÜRETİM_İHTİYAÇ_RAPORU_BURAK_YENI1309[[#This Row],[SATINALMA]]*DST_123_ÜRETİM_İHTİYAÇ_RAPORU_BURAK_YENI1309[[#This Row],[BIRIM_FIYATLAR]])&lt;1,VALUE("0"),DST_123_ÜRETİM_İHTİYAÇ_RAPORU_BURAK_YENI1309[[#This Row],[SATINALMA]]*DST_123_ÜRETİM_İHTİYAÇ_RAPORU_BURAK_YENI1309[[#This Row],[BIRIM_FIYATLAR]])</f>
        <v>0</v>
      </c>
      <c r="N412">
        <v>120</v>
      </c>
      <c r="O412" t="s">
        <v>240</v>
      </c>
      <c r="P412">
        <v>84</v>
      </c>
      <c r="Q412" t="s">
        <v>183</v>
      </c>
    </row>
    <row r="413" spans="1:17" x14ac:dyDescent="0.25">
      <c r="A413" t="s">
        <v>1150</v>
      </c>
      <c r="B413" t="s">
        <v>1145</v>
      </c>
      <c r="C413" t="s">
        <v>175</v>
      </c>
      <c r="D413" t="s">
        <v>19</v>
      </c>
      <c r="E413" t="s">
        <v>20</v>
      </c>
      <c r="F413">
        <v>4</v>
      </c>
      <c r="G413" t="s">
        <v>176</v>
      </c>
      <c r="H413">
        <v>0</v>
      </c>
      <c r="I413">
        <v>37</v>
      </c>
      <c r="J413" s="10">
        <v>28</v>
      </c>
      <c r="K413" s="10">
        <f>SUMIFS(F:F,D:D,DST_123_ÜRETİM_İHTİYAÇ_RAPORU_BURAK_YENI1309[[#This Row],[ALT_KOD]])-(SUMIFS(H:H,D:D,DST_123_ÜRETİM_İHTİYAÇ_RAPORU_BURAK_YENI1309[[#This Row],[ALT_KOD]])+AVERAGEIFS(I:I,D:D,DST_123_ÜRETİM_İHTİYAÇ_RAPORU_BURAK_YENI1309[[#This Row],[ALT_KOD]])+AVERAGEIFS(L:L,D:D,DST_123_ÜRETİM_İHTİYAÇ_RAPORU_BURAK_YENI1309[[#This Row],[ALT_KOD]]))</f>
        <v>-3</v>
      </c>
      <c r="L413">
        <v>0</v>
      </c>
      <c r="M413">
        <f>IF((DST_123_ÜRETİM_İHTİYAÇ_RAPORU_BURAK_YENI1309[[#This Row],[SATINALMA]]*DST_123_ÜRETİM_İHTİYAÇ_RAPORU_BURAK_YENI1309[[#This Row],[BIRIM_FIYATLAR]])&lt;1,VALUE("0"),DST_123_ÜRETİM_İHTİYAÇ_RAPORU_BURAK_YENI1309[[#This Row],[SATINALMA]]*DST_123_ÜRETİM_İHTİYAÇ_RAPORU_BURAK_YENI1309[[#This Row],[BIRIM_FIYATLAR]])</f>
        <v>0</v>
      </c>
      <c r="N413">
        <v>122.24</v>
      </c>
      <c r="O413" t="s">
        <v>227</v>
      </c>
      <c r="P413">
        <v>488.96</v>
      </c>
      <c r="Q413" t="s">
        <v>221</v>
      </c>
    </row>
    <row r="414" spans="1:17" x14ac:dyDescent="0.25">
      <c r="A414" t="s">
        <v>1150</v>
      </c>
      <c r="B414" t="s">
        <v>1145</v>
      </c>
      <c r="C414" t="s">
        <v>175</v>
      </c>
      <c r="D414" t="s">
        <v>365</v>
      </c>
      <c r="E414" t="s">
        <v>366</v>
      </c>
      <c r="F414">
        <v>8</v>
      </c>
      <c r="G414" t="s">
        <v>176</v>
      </c>
      <c r="H414">
        <v>0</v>
      </c>
      <c r="I414">
        <v>3750</v>
      </c>
      <c r="J414" s="10">
        <v>674</v>
      </c>
      <c r="K414" s="10">
        <f>SUMIFS(F:F,D:D,DST_123_ÜRETİM_İHTİYAÇ_RAPORU_BURAK_YENI1309[[#This Row],[ALT_KOD]])-(SUMIFS(H:H,D:D,DST_123_ÜRETİM_İHTİYAÇ_RAPORU_BURAK_YENI1309[[#This Row],[ALT_KOD]])+AVERAGEIFS(I:I,D:D,DST_123_ÜRETİM_İHTİYAÇ_RAPORU_BURAK_YENI1309[[#This Row],[ALT_KOD]])+AVERAGEIFS(L:L,D:D,DST_123_ÜRETİM_İHTİYAÇ_RAPORU_BURAK_YENI1309[[#This Row],[ALT_KOD]]))</f>
        <v>-3452</v>
      </c>
      <c r="L414">
        <v>0</v>
      </c>
      <c r="M414">
        <f>IF((DST_123_ÜRETİM_İHTİYAÇ_RAPORU_BURAK_YENI1309[[#This Row],[SATINALMA]]*DST_123_ÜRETİM_İHTİYAÇ_RAPORU_BURAK_YENI1309[[#This Row],[BIRIM_FIYATLAR]])&lt;1,VALUE("0"),DST_123_ÜRETİM_İHTİYAÇ_RAPORU_BURAK_YENI1309[[#This Row],[SATINALMA]]*DST_123_ÜRETİM_İHTİYAÇ_RAPORU_BURAK_YENI1309[[#This Row],[BIRIM_FIYATLAR]])</f>
        <v>0</v>
      </c>
      <c r="N414">
        <v>0.2</v>
      </c>
      <c r="O414" t="s">
        <v>240</v>
      </c>
      <c r="P414">
        <v>1.6</v>
      </c>
      <c r="Q414" t="s">
        <v>180</v>
      </c>
    </row>
    <row r="415" spans="1:17" x14ac:dyDescent="0.25">
      <c r="A415" t="s">
        <v>1099</v>
      </c>
      <c r="B415" t="s">
        <v>1055</v>
      </c>
      <c r="C415" t="s">
        <v>175</v>
      </c>
      <c r="D415" t="s">
        <v>488</v>
      </c>
      <c r="E415" t="s">
        <v>489</v>
      </c>
      <c r="F415">
        <v>2</v>
      </c>
      <c r="G415" t="s">
        <v>176</v>
      </c>
      <c r="H415">
        <v>0</v>
      </c>
      <c r="I415">
        <v>0</v>
      </c>
      <c r="J415" s="10">
        <v>0</v>
      </c>
      <c r="K415" s="10">
        <f>SUMIFS(F:F,D:D,DST_123_ÜRETİM_İHTİYAÇ_RAPORU_BURAK_YENI1309[[#This Row],[ALT_KOD]])-(SUMIFS(H:H,D:D,DST_123_ÜRETİM_İHTİYAÇ_RAPORU_BURAK_YENI1309[[#This Row],[ALT_KOD]])+AVERAGEIFS(I:I,D:D,DST_123_ÜRETİM_İHTİYAÇ_RAPORU_BURAK_YENI1309[[#This Row],[ALT_KOD]])+AVERAGEIFS(L:L,D:D,DST_123_ÜRETİM_İHTİYAÇ_RAPORU_BURAK_YENI1309[[#This Row],[ALT_KOD]]))</f>
        <v>14</v>
      </c>
      <c r="L415">
        <v>0</v>
      </c>
      <c r="M415">
        <f>IF((DST_123_ÜRETİM_İHTİYAÇ_RAPORU_BURAK_YENI1309[[#This Row],[SATINALMA]]*DST_123_ÜRETİM_İHTİYAÇ_RAPORU_BURAK_YENI1309[[#This Row],[BIRIM_FIYATLAR]])&lt;1,VALUE("0"),DST_123_ÜRETİM_İHTİYAÇ_RAPORU_BURAK_YENI1309[[#This Row],[SATINALMA]]*DST_123_ÜRETİM_İHTİYAÇ_RAPORU_BURAK_YENI1309[[#This Row],[BIRIM_FIYATLAR]])</f>
        <v>1050</v>
      </c>
      <c r="N415">
        <v>75</v>
      </c>
      <c r="O415" t="s">
        <v>482</v>
      </c>
      <c r="P415">
        <v>150</v>
      </c>
      <c r="Q415" t="s">
        <v>483</v>
      </c>
    </row>
    <row r="416" spans="1:17" x14ac:dyDescent="0.25">
      <c r="A416" t="s">
        <v>1098</v>
      </c>
      <c r="B416" t="s">
        <v>1096</v>
      </c>
      <c r="C416" t="s">
        <v>175</v>
      </c>
      <c r="D416" t="s">
        <v>19</v>
      </c>
      <c r="E416" t="s">
        <v>20</v>
      </c>
      <c r="F416">
        <v>2</v>
      </c>
      <c r="G416" t="s">
        <v>176</v>
      </c>
      <c r="H416">
        <v>0</v>
      </c>
      <c r="I416">
        <v>37</v>
      </c>
      <c r="J416" s="10">
        <v>28</v>
      </c>
      <c r="K416" s="10">
        <f>SUMIFS(F:F,D:D,DST_123_ÜRETİM_İHTİYAÇ_RAPORU_BURAK_YENI1309[[#This Row],[ALT_KOD]])-(SUMIFS(H:H,D:D,DST_123_ÜRETİM_İHTİYAÇ_RAPORU_BURAK_YENI1309[[#This Row],[ALT_KOD]])+AVERAGEIFS(I:I,D:D,DST_123_ÜRETİM_İHTİYAÇ_RAPORU_BURAK_YENI1309[[#This Row],[ALT_KOD]])+AVERAGEIFS(L:L,D:D,DST_123_ÜRETİM_İHTİYAÇ_RAPORU_BURAK_YENI1309[[#This Row],[ALT_KOD]]))</f>
        <v>-3</v>
      </c>
      <c r="L416">
        <v>0</v>
      </c>
      <c r="M416">
        <f>IF((DST_123_ÜRETİM_İHTİYAÇ_RAPORU_BURAK_YENI1309[[#This Row],[SATINALMA]]*DST_123_ÜRETİM_İHTİYAÇ_RAPORU_BURAK_YENI1309[[#This Row],[BIRIM_FIYATLAR]])&lt;1,VALUE("0"),DST_123_ÜRETİM_İHTİYAÇ_RAPORU_BURAK_YENI1309[[#This Row],[SATINALMA]]*DST_123_ÜRETİM_İHTİYAÇ_RAPORU_BURAK_YENI1309[[#This Row],[BIRIM_FIYATLAR]])</f>
        <v>0</v>
      </c>
      <c r="N416">
        <v>122.24</v>
      </c>
      <c r="O416" t="s">
        <v>227</v>
      </c>
      <c r="P416">
        <v>244.48</v>
      </c>
      <c r="Q416" t="s">
        <v>221</v>
      </c>
    </row>
    <row r="417" spans="1:17" x14ac:dyDescent="0.25">
      <c r="A417" t="s">
        <v>1098</v>
      </c>
      <c r="B417" t="s">
        <v>1096</v>
      </c>
      <c r="C417" t="s">
        <v>175</v>
      </c>
      <c r="D417" t="s">
        <v>365</v>
      </c>
      <c r="E417" t="s">
        <v>366</v>
      </c>
      <c r="F417">
        <v>18</v>
      </c>
      <c r="G417" t="s">
        <v>176</v>
      </c>
      <c r="H417">
        <v>0</v>
      </c>
      <c r="I417">
        <v>3750</v>
      </c>
      <c r="J417" s="10">
        <v>674</v>
      </c>
      <c r="K417" s="10">
        <f>SUMIFS(F:F,D:D,DST_123_ÜRETİM_İHTİYAÇ_RAPORU_BURAK_YENI1309[[#This Row],[ALT_KOD]])-(SUMIFS(H:H,D:D,DST_123_ÜRETİM_İHTİYAÇ_RAPORU_BURAK_YENI1309[[#This Row],[ALT_KOD]])+AVERAGEIFS(I:I,D:D,DST_123_ÜRETİM_İHTİYAÇ_RAPORU_BURAK_YENI1309[[#This Row],[ALT_KOD]])+AVERAGEIFS(L:L,D:D,DST_123_ÜRETİM_İHTİYAÇ_RAPORU_BURAK_YENI1309[[#This Row],[ALT_KOD]]))</f>
        <v>-3452</v>
      </c>
      <c r="L417">
        <v>0</v>
      </c>
      <c r="M417">
        <f>IF((DST_123_ÜRETİM_İHTİYAÇ_RAPORU_BURAK_YENI1309[[#This Row],[SATINALMA]]*DST_123_ÜRETİM_İHTİYAÇ_RAPORU_BURAK_YENI1309[[#This Row],[BIRIM_FIYATLAR]])&lt;1,VALUE("0"),DST_123_ÜRETİM_İHTİYAÇ_RAPORU_BURAK_YENI1309[[#This Row],[SATINALMA]]*DST_123_ÜRETİM_İHTİYAÇ_RAPORU_BURAK_YENI1309[[#This Row],[BIRIM_FIYATLAR]])</f>
        <v>0</v>
      </c>
      <c r="N417">
        <v>0.2</v>
      </c>
      <c r="O417" t="s">
        <v>240</v>
      </c>
      <c r="P417">
        <v>3.6</v>
      </c>
      <c r="Q417" t="s">
        <v>180</v>
      </c>
    </row>
    <row r="418" spans="1:17" x14ac:dyDescent="0.25">
      <c r="A418" t="s">
        <v>1196</v>
      </c>
      <c r="B418" t="s">
        <v>1197</v>
      </c>
      <c r="C418" t="s">
        <v>175</v>
      </c>
      <c r="D418" t="s">
        <v>19</v>
      </c>
      <c r="E418" t="s">
        <v>20</v>
      </c>
      <c r="F418">
        <v>4</v>
      </c>
      <c r="G418" t="s">
        <v>176</v>
      </c>
      <c r="H418">
        <v>0</v>
      </c>
      <c r="I418">
        <v>37</v>
      </c>
      <c r="J418" s="10">
        <v>28</v>
      </c>
      <c r="K418" s="10">
        <f>SUMIFS(F:F,D:D,DST_123_ÜRETİM_İHTİYAÇ_RAPORU_BURAK_YENI1309[[#This Row],[ALT_KOD]])-(SUMIFS(H:H,D:D,DST_123_ÜRETİM_İHTİYAÇ_RAPORU_BURAK_YENI1309[[#This Row],[ALT_KOD]])+AVERAGEIFS(I:I,D:D,DST_123_ÜRETİM_İHTİYAÇ_RAPORU_BURAK_YENI1309[[#This Row],[ALT_KOD]])+AVERAGEIFS(L:L,D:D,DST_123_ÜRETİM_İHTİYAÇ_RAPORU_BURAK_YENI1309[[#This Row],[ALT_KOD]]))</f>
        <v>-3</v>
      </c>
      <c r="L418">
        <v>0</v>
      </c>
      <c r="M418">
        <f>IF((DST_123_ÜRETİM_İHTİYAÇ_RAPORU_BURAK_YENI1309[[#This Row],[SATINALMA]]*DST_123_ÜRETİM_İHTİYAÇ_RAPORU_BURAK_YENI1309[[#This Row],[BIRIM_FIYATLAR]])&lt;1,VALUE("0"),DST_123_ÜRETİM_İHTİYAÇ_RAPORU_BURAK_YENI1309[[#This Row],[SATINALMA]]*DST_123_ÜRETİM_İHTİYAÇ_RAPORU_BURAK_YENI1309[[#This Row],[BIRIM_FIYATLAR]])</f>
        <v>0</v>
      </c>
      <c r="N418">
        <v>122.24</v>
      </c>
      <c r="O418" t="s">
        <v>227</v>
      </c>
      <c r="P418">
        <v>488.96</v>
      </c>
      <c r="Q418" t="s">
        <v>221</v>
      </c>
    </row>
    <row r="419" spans="1:17" x14ac:dyDescent="0.25">
      <c r="A419" t="s">
        <v>1064</v>
      </c>
      <c r="B419" t="s">
        <v>1055</v>
      </c>
      <c r="C419" t="s">
        <v>175</v>
      </c>
      <c r="D419" t="s">
        <v>365</v>
      </c>
      <c r="E419" t="s">
        <v>366</v>
      </c>
      <c r="F419">
        <v>34</v>
      </c>
      <c r="G419" t="s">
        <v>176</v>
      </c>
      <c r="H419">
        <v>0</v>
      </c>
      <c r="I419">
        <v>3750</v>
      </c>
      <c r="J419" s="10">
        <v>674</v>
      </c>
      <c r="K419" s="10">
        <f>SUMIFS(F:F,D:D,DST_123_ÜRETİM_İHTİYAÇ_RAPORU_BURAK_YENI1309[[#This Row],[ALT_KOD]])-(SUMIFS(H:H,D:D,DST_123_ÜRETİM_İHTİYAÇ_RAPORU_BURAK_YENI1309[[#This Row],[ALT_KOD]])+AVERAGEIFS(I:I,D:D,DST_123_ÜRETİM_İHTİYAÇ_RAPORU_BURAK_YENI1309[[#This Row],[ALT_KOD]])+AVERAGEIFS(L:L,D:D,DST_123_ÜRETİM_İHTİYAÇ_RAPORU_BURAK_YENI1309[[#This Row],[ALT_KOD]]))</f>
        <v>-3452</v>
      </c>
      <c r="L419">
        <v>0</v>
      </c>
      <c r="M419">
        <f>IF((DST_123_ÜRETİM_İHTİYAÇ_RAPORU_BURAK_YENI1309[[#This Row],[SATINALMA]]*DST_123_ÜRETİM_İHTİYAÇ_RAPORU_BURAK_YENI1309[[#This Row],[BIRIM_FIYATLAR]])&lt;1,VALUE("0"),DST_123_ÜRETİM_İHTİYAÇ_RAPORU_BURAK_YENI1309[[#This Row],[SATINALMA]]*DST_123_ÜRETİM_İHTİYAÇ_RAPORU_BURAK_YENI1309[[#This Row],[BIRIM_FIYATLAR]])</f>
        <v>0</v>
      </c>
      <c r="N419">
        <v>0.2</v>
      </c>
      <c r="O419" t="s">
        <v>240</v>
      </c>
      <c r="P419">
        <v>6.8000000000000007</v>
      </c>
      <c r="Q419" t="s">
        <v>180</v>
      </c>
    </row>
    <row r="420" spans="1:17" x14ac:dyDescent="0.25">
      <c r="A420" t="s">
        <v>1196</v>
      </c>
      <c r="B420" t="s">
        <v>1197</v>
      </c>
      <c r="C420" t="s">
        <v>175</v>
      </c>
      <c r="D420" t="s">
        <v>365</v>
      </c>
      <c r="E420" t="s">
        <v>366</v>
      </c>
      <c r="F420">
        <v>12</v>
      </c>
      <c r="G420" t="s">
        <v>176</v>
      </c>
      <c r="H420">
        <v>0</v>
      </c>
      <c r="I420">
        <v>3750</v>
      </c>
      <c r="J420" s="10">
        <v>674</v>
      </c>
      <c r="K420" s="10">
        <f>SUMIFS(F:F,D:D,DST_123_ÜRETİM_İHTİYAÇ_RAPORU_BURAK_YENI1309[[#This Row],[ALT_KOD]])-(SUMIFS(H:H,D:D,DST_123_ÜRETİM_İHTİYAÇ_RAPORU_BURAK_YENI1309[[#This Row],[ALT_KOD]])+AVERAGEIFS(I:I,D:D,DST_123_ÜRETİM_İHTİYAÇ_RAPORU_BURAK_YENI1309[[#This Row],[ALT_KOD]])+AVERAGEIFS(L:L,D:D,DST_123_ÜRETİM_İHTİYAÇ_RAPORU_BURAK_YENI1309[[#This Row],[ALT_KOD]]))</f>
        <v>-3452</v>
      </c>
      <c r="L420">
        <v>0</v>
      </c>
      <c r="M420">
        <f>IF((DST_123_ÜRETİM_İHTİYAÇ_RAPORU_BURAK_YENI1309[[#This Row],[SATINALMA]]*DST_123_ÜRETİM_İHTİYAÇ_RAPORU_BURAK_YENI1309[[#This Row],[BIRIM_FIYATLAR]])&lt;1,VALUE("0"),DST_123_ÜRETİM_İHTİYAÇ_RAPORU_BURAK_YENI1309[[#This Row],[SATINALMA]]*DST_123_ÜRETİM_İHTİYAÇ_RAPORU_BURAK_YENI1309[[#This Row],[BIRIM_FIYATLAR]])</f>
        <v>0</v>
      </c>
      <c r="N420">
        <v>0.2</v>
      </c>
      <c r="O420" t="s">
        <v>240</v>
      </c>
      <c r="P420">
        <v>2.4000000000000004</v>
      </c>
      <c r="Q420" t="s">
        <v>180</v>
      </c>
    </row>
    <row r="421" spans="1:17" x14ac:dyDescent="0.25">
      <c r="A421" t="s">
        <v>1149</v>
      </c>
      <c r="B421" t="s">
        <v>1145</v>
      </c>
      <c r="C421" t="s">
        <v>175</v>
      </c>
      <c r="D421" t="s">
        <v>19</v>
      </c>
      <c r="E421" t="s">
        <v>20</v>
      </c>
      <c r="F421">
        <v>3</v>
      </c>
      <c r="G421" t="s">
        <v>176</v>
      </c>
      <c r="H421">
        <v>0</v>
      </c>
      <c r="I421">
        <v>37</v>
      </c>
      <c r="J421" s="10">
        <v>28</v>
      </c>
      <c r="K421" s="10">
        <f>SUMIFS(F:F,D:D,DST_123_ÜRETİM_İHTİYAÇ_RAPORU_BURAK_YENI1309[[#This Row],[ALT_KOD]])-(SUMIFS(H:H,D:D,DST_123_ÜRETİM_İHTİYAÇ_RAPORU_BURAK_YENI1309[[#This Row],[ALT_KOD]])+AVERAGEIFS(I:I,D:D,DST_123_ÜRETİM_İHTİYAÇ_RAPORU_BURAK_YENI1309[[#This Row],[ALT_KOD]])+AVERAGEIFS(L:L,D:D,DST_123_ÜRETİM_İHTİYAÇ_RAPORU_BURAK_YENI1309[[#This Row],[ALT_KOD]]))</f>
        <v>-3</v>
      </c>
      <c r="L421">
        <v>0</v>
      </c>
      <c r="M421">
        <f>IF((DST_123_ÜRETİM_İHTİYAÇ_RAPORU_BURAK_YENI1309[[#This Row],[SATINALMA]]*DST_123_ÜRETİM_İHTİYAÇ_RAPORU_BURAK_YENI1309[[#This Row],[BIRIM_FIYATLAR]])&lt;1,VALUE("0"),DST_123_ÜRETİM_İHTİYAÇ_RAPORU_BURAK_YENI1309[[#This Row],[SATINALMA]]*DST_123_ÜRETİM_İHTİYAÇ_RAPORU_BURAK_YENI1309[[#This Row],[BIRIM_FIYATLAR]])</f>
        <v>0</v>
      </c>
      <c r="N421">
        <v>122.24</v>
      </c>
      <c r="O421" t="s">
        <v>227</v>
      </c>
      <c r="P421">
        <v>366.71999999999997</v>
      </c>
      <c r="Q421" t="s">
        <v>221</v>
      </c>
    </row>
    <row r="422" spans="1:17" x14ac:dyDescent="0.25">
      <c r="A422" t="s">
        <v>1149</v>
      </c>
      <c r="B422" t="s">
        <v>1145</v>
      </c>
      <c r="C422" t="s">
        <v>175</v>
      </c>
      <c r="D422" t="s">
        <v>365</v>
      </c>
      <c r="E422" t="s">
        <v>366</v>
      </c>
      <c r="F422">
        <v>12</v>
      </c>
      <c r="G422" t="s">
        <v>176</v>
      </c>
      <c r="H422">
        <v>0</v>
      </c>
      <c r="I422">
        <v>3750</v>
      </c>
      <c r="J422" s="10">
        <v>674</v>
      </c>
      <c r="K422" s="10">
        <f>SUMIFS(F:F,D:D,DST_123_ÜRETİM_İHTİYAÇ_RAPORU_BURAK_YENI1309[[#This Row],[ALT_KOD]])-(SUMIFS(H:H,D:D,DST_123_ÜRETİM_İHTİYAÇ_RAPORU_BURAK_YENI1309[[#This Row],[ALT_KOD]])+AVERAGEIFS(I:I,D:D,DST_123_ÜRETİM_İHTİYAÇ_RAPORU_BURAK_YENI1309[[#This Row],[ALT_KOD]])+AVERAGEIFS(L:L,D:D,DST_123_ÜRETİM_İHTİYAÇ_RAPORU_BURAK_YENI1309[[#This Row],[ALT_KOD]]))</f>
        <v>-3452</v>
      </c>
      <c r="L422">
        <v>0</v>
      </c>
      <c r="M422">
        <f>IF((DST_123_ÜRETİM_İHTİYAÇ_RAPORU_BURAK_YENI1309[[#This Row],[SATINALMA]]*DST_123_ÜRETİM_İHTİYAÇ_RAPORU_BURAK_YENI1309[[#This Row],[BIRIM_FIYATLAR]])&lt;1,VALUE("0"),DST_123_ÜRETİM_İHTİYAÇ_RAPORU_BURAK_YENI1309[[#This Row],[SATINALMA]]*DST_123_ÜRETİM_İHTİYAÇ_RAPORU_BURAK_YENI1309[[#This Row],[BIRIM_FIYATLAR]])</f>
        <v>0</v>
      </c>
      <c r="N422">
        <v>0.2</v>
      </c>
      <c r="O422" t="s">
        <v>240</v>
      </c>
      <c r="P422">
        <v>2.4000000000000004</v>
      </c>
      <c r="Q422" t="s">
        <v>180</v>
      </c>
    </row>
    <row r="423" spans="1:17" x14ac:dyDescent="0.25">
      <c r="A423" t="s">
        <v>1146</v>
      </c>
      <c r="B423" t="s">
        <v>1145</v>
      </c>
      <c r="C423" t="s">
        <v>175</v>
      </c>
      <c r="D423" t="s">
        <v>365</v>
      </c>
      <c r="E423" t="s">
        <v>366</v>
      </c>
      <c r="F423">
        <v>12</v>
      </c>
      <c r="G423" t="s">
        <v>176</v>
      </c>
      <c r="H423">
        <v>0</v>
      </c>
      <c r="I423">
        <v>3750</v>
      </c>
      <c r="J423" s="10">
        <v>674</v>
      </c>
      <c r="K423" s="10">
        <f>SUMIFS(F:F,D:D,DST_123_ÜRETİM_İHTİYAÇ_RAPORU_BURAK_YENI1309[[#This Row],[ALT_KOD]])-(SUMIFS(H:H,D:D,DST_123_ÜRETİM_İHTİYAÇ_RAPORU_BURAK_YENI1309[[#This Row],[ALT_KOD]])+AVERAGEIFS(I:I,D:D,DST_123_ÜRETİM_İHTİYAÇ_RAPORU_BURAK_YENI1309[[#This Row],[ALT_KOD]])+AVERAGEIFS(L:L,D:D,DST_123_ÜRETİM_İHTİYAÇ_RAPORU_BURAK_YENI1309[[#This Row],[ALT_KOD]]))</f>
        <v>-3452</v>
      </c>
      <c r="L423">
        <v>0</v>
      </c>
      <c r="M423">
        <f>IF((DST_123_ÜRETİM_İHTİYAÇ_RAPORU_BURAK_YENI1309[[#This Row],[SATINALMA]]*DST_123_ÜRETİM_İHTİYAÇ_RAPORU_BURAK_YENI1309[[#This Row],[BIRIM_FIYATLAR]])&lt;1,VALUE("0"),DST_123_ÜRETİM_İHTİYAÇ_RAPORU_BURAK_YENI1309[[#This Row],[SATINALMA]]*DST_123_ÜRETİM_İHTİYAÇ_RAPORU_BURAK_YENI1309[[#This Row],[BIRIM_FIYATLAR]])</f>
        <v>0</v>
      </c>
      <c r="N423">
        <v>0.2</v>
      </c>
      <c r="O423" t="s">
        <v>240</v>
      </c>
      <c r="P423">
        <v>2.4000000000000004</v>
      </c>
      <c r="Q423" t="s">
        <v>180</v>
      </c>
    </row>
    <row r="424" spans="1:17" x14ac:dyDescent="0.25">
      <c r="A424" t="s">
        <v>1095</v>
      </c>
      <c r="B424" t="s">
        <v>1096</v>
      </c>
      <c r="C424" t="s">
        <v>175</v>
      </c>
      <c r="D424" t="s">
        <v>488</v>
      </c>
      <c r="E424" t="s">
        <v>489</v>
      </c>
      <c r="F424">
        <v>2</v>
      </c>
      <c r="G424" t="s">
        <v>176</v>
      </c>
      <c r="H424">
        <v>0</v>
      </c>
      <c r="I424">
        <v>0</v>
      </c>
      <c r="J424" s="10">
        <v>0</v>
      </c>
      <c r="K424" s="10">
        <f>SUMIFS(F:F,D:D,DST_123_ÜRETİM_İHTİYAÇ_RAPORU_BURAK_YENI1309[[#This Row],[ALT_KOD]])-(SUMIFS(H:H,D:D,DST_123_ÜRETİM_İHTİYAÇ_RAPORU_BURAK_YENI1309[[#This Row],[ALT_KOD]])+AVERAGEIFS(I:I,D:D,DST_123_ÜRETİM_İHTİYAÇ_RAPORU_BURAK_YENI1309[[#This Row],[ALT_KOD]])+AVERAGEIFS(L:L,D:D,DST_123_ÜRETİM_İHTİYAÇ_RAPORU_BURAK_YENI1309[[#This Row],[ALT_KOD]]))</f>
        <v>14</v>
      </c>
      <c r="L424">
        <v>0</v>
      </c>
      <c r="M424">
        <f>IF((DST_123_ÜRETİM_İHTİYAÇ_RAPORU_BURAK_YENI1309[[#This Row],[SATINALMA]]*DST_123_ÜRETİM_İHTİYAÇ_RAPORU_BURAK_YENI1309[[#This Row],[BIRIM_FIYATLAR]])&lt;1,VALUE("0"),DST_123_ÜRETİM_İHTİYAÇ_RAPORU_BURAK_YENI1309[[#This Row],[SATINALMA]]*DST_123_ÜRETİM_İHTİYAÇ_RAPORU_BURAK_YENI1309[[#This Row],[BIRIM_FIYATLAR]])</f>
        <v>1050</v>
      </c>
      <c r="N424">
        <v>75</v>
      </c>
      <c r="O424" t="s">
        <v>482</v>
      </c>
      <c r="P424">
        <v>150</v>
      </c>
      <c r="Q424" t="s">
        <v>483</v>
      </c>
    </row>
    <row r="425" spans="1:17" x14ac:dyDescent="0.25">
      <c r="A425" t="s">
        <v>1097</v>
      </c>
      <c r="B425" t="s">
        <v>1055</v>
      </c>
      <c r="C425" t="s">
        <v>175</v>
      </c>
      <c r="D425" t="s">
        <v>488</v>
      </c>
      <c r="E425" t="s">
        <v>489</v>
      </c>
      <c r="F425">
        <v>2</v>
      </c>
      <c r="G425" t="s">
        <v>176</v>
      </c>
      <c r="H425">
        <v>0</v>
      </c>
      <c r="I425">
        <v>0</v>
      </c>
      <c r="J425" s="10">
        <v>0</v>
      </c>
      <c r="K425" s="10">
        <f>SUMIFS(F:F,D:D,DST_123_ÜRETİM_İHTİYAÇ_RAPORU_BURAK_YENI1309[[#This Row],[ALT_KOD]])-(SUMIFS(H:H,D:D,DST_123_ÜRETİM_İHTİYAÇ_RAPORU_BURAK_YENI1309[[#This Row],[ALT_KOD]])+AVERAGEIFS(I:I,D:D,DST_123_ÜRETİM_İHTİYAÇ_RAPORU_BURAK_YENI1309[[#This Row],[ALT_KOD]])+AVERAGEIFS(L:L,D:D,DST_123_ÜRETİM_İHTİYAÇ_RAPORU_BURAK_YENI1309[[#This Row],[ALT_KOD]]))</f>
        <v>14</v>
      </c>
      <c r="L425">
        <v>0</v>
      </c>
      <c r="M425">
        <f>IF((DST_123_ÜRETİM_İHTİYAÇ_RAPORU_BURAK_YENI1309[[#This Row],[SATINALMA]]*DST_123_ÜRETİM_İHTİYAÇ_RAPORU_BURAK_YENI1309[[#This Row],[BIRIM_FIYATLAR]])&lt;1,VALUE("0"),DST_123_ÜRETİM_İHTİYAÇ_RAPORU_BURAK_YENI1309[[#This Row],[SATINALMA]]*DST_123_ÜRETİM_İHTİYAÇ_RAPORU_BURAK_YENI1309[[#This Row],[BIRIM_FIYATLAR]])</f>
        <v>1050</v>
      </c>
      <c r="N425">
        <v>75</v>
      </c>
      <c r="O425" t="s">
        <v>482</v>
      </c>
      <c r="P425">
        <v>150</v>
      </c>
      <c r="Q425" t="s">
        <v>483</v>
      </c>
    </row>
    <row r="426" spans="1:17" x14ac:dyDescent="0.25">
      <c r="A426" t="s">
        <v>1143</v>
      </c>
      <c r="B426" t="s">
        <v>1056</v>
      </c>
      <c r="C426" t="s">
        <v>175</v>
      </c>
      <c r="D426" t="s">
        <v>19</v>
      </c>
      <c r="E426" t="s">
        <v>20</v>
      </c>
      <c r="F426">
        <v>6</v>
      </c>
      <c r="G426" t="s">
        <v>176</v>
      </c>
      <c r="H426">
        <v>0</v>
      </c>
      <c r="I426">
        <v>37</v>
      </c>
      <c r="J426" s="10">
        <v>28</v>
      </c>
      <c r="K426" s="10">
        <f>SUMIFS(F:F,D:D,DST_123_ÜRETİM_İHTİYAÇ_RAPORU_BURAK_YENI1309[[#This Row],[ALT_KOD]])-(SUMIFS(H:H,D:D,DST_123_ÜRETİM_İHTİYAÇ_RAPORU_BURAK_YENI1309[[#This Row],[ALT_KOD]])+AVERAGEIFS(I:I,D:D,DST_123_ÜRETİM_İHTİYAÇ_RAPORU_BURAK_YENI1309[[#This Row],[ALT_KOD]])+AVERAGEIFS(L:L,D:D,DST_123_ÜRETİM_İHTİYAÇ_RAPORU_BURAK_YENI1309[[#This Row],[ALT_KOD]]))</f>
        <v>-3</v>
      </c>
      <c r="L426">
        <v>0</v>
      </c>
      <c r="M426">
        <f>IF((DST_123_ÜRETİM_İHTİYAÇ_RAPORU_BURAK_YENI1309[[#This Row],[SATINALMA]]*DST_123_ÜRETİM_İHTİYAÇ_RAPORU_BURAK_YENI1309[[#This Row],[BIRIM_FIYATLAR]])&lt;1,VALUE("0"),DST_123_ÜRETİM_İHTİYAÇ_RAPORU_BURAK_YENI1309[[#This Row],[SATINALMA]]*DST_123_ÜRETİM_İHTİYAÇ_RAPORU_BURAK_YENI1309[[#This Row],[BIRIM_FIYATLAR]])</f>
        <v>0</v>
      </c>
      <c r="N426">
        <v>122.24</v>
      </c>
      <c r="O426" t="s">
        <v>227</v>
      </c>
      <c r="P426">
        <v>733.43999999999994</v>
      </c>
      <c r="Q426" t="s">
        <v>221</v>
      </c>
    </row>
    <row r="427" spans="1:17" x14ac:dyDescent="0.25">
      <c r="A427" t="s">
        <v>1098</v>
      </c>
      <c r="B427" t="s">
        <v>1096</v>
      </c>
      <c r="C427" t="s">
        <v>175</v>
      </c>
      <c r="D427" t="s">
        <v>488</v>
      </c>
      <c r="E427" t="s">
        <v>489</v>
      </c>
      <c r="F427">
        <v>2</v>
      </c>
      <c r="G427" t="s">
        <v>176</v>
      </c>
      <c r="H427">
        <v>0</v>
      </c>
      <c r="I427">
        <v>0</v>
      </c>
      <c r="J427" s="10">
        <v>0</v>
      </c>
      <c r="K427" s="10">
        <f>SUMIFS(F:F,D:D,DST_123_ÜRETİM_İHTİYAÇ_RAPORU_BURAK_YENI1309[[#This Row],[ALT_KOD]])-(SUMIFS(H:H,D:D,DST_123_ÜRETİM_İHTİYAÇ_RAPORU_BURAK_YENI1309[[#This Row],[ALT_KOD]])+AVERAGEIFS(I:I,D:D,DST_123_ÜRETİM_İHTİYAÇ_RAPORU_BURAK_YENI1309[[#This Row],[ALT_KOD]])+AVERAGEIFS(L:L,D:D,DST_123_ÜRETİM_İHTİYAÇ_RAPORU_BURAK_YENI1309[[#This Row],[ALT_KOD]]))</f>
        <v>14</v>
      </c>
      <c r="L427">
        <v>0</v>
      </c>
      <c r="M427">
        <f>IF((DST_123_ÜRETİM_İHTİYAÇ_RAPORU_BURAK_YENI1309[[#This Row],[SATINALMA]]*DST_123_ÜRETİM_İHTİYAÇ_RAPORU_BURAK_YENI1309[[#This Row],[BIRIM_FIYATLAR]])&lt;1,VALUE("0"),DST_123_ÜRETİM_İHTİYAÇ_RAPORU_BURAK_YENI1309[[#This Row],[SATINALMA]]*DST_123_ÜRETİM_İHTİYAÇ_RAPORU_BURAK_YENI1309[[#This Row],[BIRIM_FIYATLAR]])</f>
        <v>1050</v>
      </c>
      <c r="N427">
        <v>75</v>
      </c>
      <c r="O427" t="s">
        <v>482</v>
      </c>
      <c r="P427">
        <v>150</v>
      </c>
      <c r="Q427" t="s">
        <v>483</v>
      </c>
    </row>
    <row r="428" spans="1:17" x14ac:dyDescent="0.25">
      <c r="A428" t="s">
        <v>1099</v>
      </c>
      <c r="B428" t="s">
        <v>1055</v>
      </c>
      <c r="C428" t="s">
        <v>175</v>
      </c>
      <c r="D428" t="s">
        <v>365</v>
      </c>
      <c r="E428" t="s">
        <v>366</v>
      </c>
      <c r="F428">
        <v>18</v>
      </c>
      <c r="G428" t="s">
        <v>176</v>
      </c>
      <c r="H428">
        <v>0</v>
      </c>
      <c r="I428">
        <v>3750</v>
      </c>
      <c r="J428" s="10">
        <v>674</v>
      </c>
      <c r="K428" s="10">
        <f>SUMIFS(F:F,D:D,DST_123_ÜRETİM_İHTİYAÇ_RAPORU_BURAK_YENI1309[[#This Row],[ALT_KOD]])-(SUMIFS(H:H,D:D,DST_123_ÜRETİM_İHTİYAÇ_RAPORU_BURAK_YENI1309[[#This Row],[ALT_KOD]])+AVERAGEIFS(I:I,D:D,DST_123_ÜRETİM_İHTİYAÇ_RAPORU_BURAK_YENI1309[[#This Row],[ALT_KOD]])+AVERAGEIFS(L:L,D:D,DST_123_ÜRETİM_İHTİYAÇ_RAPORU_BURAK_YENI1309[[#This Row],[ALT_KOD]]))</f>
        <v>-3452</v>
      </c>
      <c r="L428">
        <v>0</v>
      </c>
      <c r="M428">
        <f>IF((DST_123_ÜRETİM_İHTİYAÇ_RAPORU_BURAK_YENI1309[[#This Row],[SATINALMA]]*DST_123_ÜRETİM_İHTİYAÇ_RAPORU_BURAK_YENI1309[[#This Row],[BIRIM_FIYATLAR]])&lt;1,VALUE("0"),DST_123_ÜRETİM_İHTİYAÇ_RAPORU_BURAK_YENI1309[[#This Row],[SATINALMA]]*DST_123_ÜRETİM_İHTİYAÇ_RAPORU_BURAK_YENI1309[[#This Row],[BIRIM_FIYATLAR]])</f>
        <v>0</v>
      </c>
      <c r="N428">
        <v>0.2</v>
      </c>
      <c r="O428" t="s">
        <v>240</v>
      </c>
      <c r="P428">
        <v>3.6</v>
      </c>
      <c r="Q428" t="s">
        <v>180</v>
      </c>
    </row>
    <row r="429" spans="1:17" x14ac:dyDescent="0.25">
      <c r="A429" t="s">
        <v>1144</v>
      </c>
      <c r="B429" t="s">
        <v>1145</v>
      </c>
      <c r="C429" t="s">
        <v>175</v>
      </c>
      <c r="D429" t="s">
        <v>19</v>
      </c>
      <c r="E429" t="s">
        <v>20</v>
      </c>
      <c r="F429">
        <v>4</v>
      </c>
      <c r="G429" t="s">
        <v>176</v>
      </c>
      <c r="H429">
        <v>0</v>
      </c>
      <c r="I429">
        <v>37</v>
      </c>
      <c r="J429" s="10">
        <v>28</v>
      </c>
      <c r="K429" s="10">
        <f>SUMIFS(F:F,D:D,DST_123_ÜRETİM_İHTİYAÇ_RAPORU_BURAK_YENI1309[[#This Row],[ALT_KOD]])-(SUMIFS(H:H,D:D,DST_123_ÜRETİM_İHTİYAÇ_RAPORU_BURAK_YENI1309[[#This Row],[ALT_KOD]])+AVERAGEIFS(I:I,D:D,DST_123_ÜRETİM_İHTİYAÇ_RAPORU_BURAK_YENI1309[[#This Row],[ALT_KOD]])+AVERAGEIFS(L:L,D:D,DST_123_ÜRETİM_İHTİYAÇ_RAPORU_BURAK_YENI1309[[#This Row],[ALT_KOD]]))</f>
        <v>-3</v>
      </c>
      <c r="L429">
        <v>0</v>
      </c>
      <c r="M429">
        <f>IF((DST_123_ÜRETİM_İHTİYAÇ_RAPORU_BURAK_YENI1309[[#This Row],[SATINALMA]]*DST_123_ÜRETİM_İHTİYAÇ_RAPORU_BURAK_YENI1309[[#This Row],[BIRIM_FIYATLAR]])&lt;1,VALUE("0"),DST_123_ÜRETİM_İHTİYAÇ_RAPORU_BURAK_YENI1309[[#This Row],[SATINALMA]]*DST_123_ÜRETİM_İHTİYAÇ_RAPORU_BURAK_YENI1309[[#This Row],[BIRIM_FIYATLAR]])</f>
        <v>0</v>
      </c>
      <c r="N429">
        <v>122.24</v>
      </c>
      <c r="O429" t="s">
        <v>227</v>
      </c>
      <c r="P429">
        <v>488.96</v>
      </c>
      <c r="Q429" t="s">
        <v>221</v>
      </c>
    </row>
    <row r="430" spans="1:17" x14ac:dyDescent="0.25">
      <c r="A430" t="s">
        <v>1144</v>
      </c>
      <c r="B430" t="s">
        <v>1145</v>
      </c>
      <c r="C430" t="s">
        <v>175</v>
      </c>
      <c r="D430" t="s">
        <v>365</v>
      </c>
      <c r="E430" t="s">
        <v>366</v>
      </c>
      <c r="F430">
        <v>12</v>
      </c>
      <c r="G430" t="s">
        <v>176</v>
      </c>
      <c r="H430">
        <v>0</v>
      </c>
      <c r="I430">
        <v>3750</v>
      </c>
      <c r="J430" s="10">
        <v>674</v>
      </c>
      <c r="K430" s="10">
        <f>SUMIFS(F:F,D:D,DST_123_ÜRETİM_İHTİYAÇ_RAPORU_BURAK_YENI1309[[#This Row],[ALT_KOD]])-(SUMIFS(H:H,D:D,DST_123_ÜRETİM_İHTİYAÇ_RAPORU_BURAK_YENI1309[[#This Row],[ALT_KOD]])+AVERAGEIFS(I:I,D:D,DST_123_ÜRETİM_İHTİYAÇ_RAPORU_BURAK_YENI1309[[#This Row],[ALT_KOD]])+AVERAGEIFS(L:L,D:D,DST_123_ÜRETİM_İHTİYAÇ_RAPORU_BURAK_YENI1309[[#This Row],[ALT_KOD]]))</f>
        <v>-3452</v>
      </c>
      <c r="L430">
        <v>0</v>
      </c>
      <c r="M430">
        <f>IF((DST_123_ÜRETİM_İHTİYAÇ_RAPORU_BURAK_YENI1309[[#This Row],[SATINALMA]]*DST_123_ÜRETİM_İHTİYAÇ_RAPORU_BURAK_YENI1309[[#This Row],[BIRIM_FIYATLAR]])&lt;1,VALUE("0"),DST_123_ÜRETİM_İHTİYAÇ_RAPORU_BURAK_YENI1309[[#This Row],[SATINALMA]]*DST_123_ÜRETİM_İHTİYAÇ_RAPORU_BURAK_YENI1309[[#This Row],[BIRIM_FIYATLAR]])</f>
        <v>0</v>
      </c>
      <c r="N430">
        <v>0.2</v>
      </c>
      <c r="O430" t="s">
        <v>240</v>
      </c>
      <c r="P430">
        <v>2.4000000000000004</v>
      </c>
      <c r="Q430" t="s">
        <v>180</v>
      </c>
    </row>
    <row r="431" spans="1:17" x14ac:dyDescent="0.25">
      <c r="A431" t="s">
        <v>1143</v>
      </c>
      <c r="B431" t="s">
        <v>1056</v>
      </c>
      <c r="C431" t="s">
        <v>175</v>
      </c>
      <c r="D431" t="s">
        <v>488</v>
      </c>
      <c r="E431" t="s">
        <v>489</v>
      </c>
      <c r="F431">
        <v>2</v>
      </c>
      <c r="G431" t="s">
        <v>176</v>
      </c>
      <c r="H431">
        <v>0</v>
      </c>
      <c r="I431">
        <v>0</v>
      </c>
      <c r="J431" s="10">
        <v>0</v>
      </c>
      <c r="K431" s="10">
        <f>SUMIFS(F:F,D:D,DST_123_ÜRETİM_İHTİYAÇ_RAPORU_BURAK_YENI1309[[#This Row],[ALT_KOD]])-(SUMIFS(H:H,D:D,DST_123_ÜRETİM_İHTİYAÇ_RAPORU_BURAK_YENI1309[[#This Row],[ALT_KOD]])+AVERAGEIFS(I:I,D:D,DST_123_ÜRETİM_İHTİYAÇ_RAPORU_BURAK_YENI1309[[#This Row],[ALT_KOD]])+AVERAGEIFS(L:L,D:D,DST_123_ÜRETİM_İHTİYAÇ_RAPORU_BURAK_YENI1309[[#This Row],[ALT_KOD]]))</f>
        <v>14</v>
      </c>
      <c r="L431">
        <v>0</v>
      </c>
      <c r="M431">
        <f>IF((DST_123_ÜRETİM_İHTİYAÇ_RAPORU_BURAK_YENI1309[[#This Row],[SATINALMA]]*DST_123_ÜRETİM_İHTİYAÇ_RAPORU_BURAK_YENI1309[[#This Row],[BIRIM_FIYATLAR]])&lt;1,VALUE("0"),DST_123_ÜRETİM_İHTİYAÇ_RAPORU_BURAK_YENI1309[[#This Row],[SATINALMA]]*DST_123_ÜRETİM_İHTİYAÇ_RAPORU_BURAK_YENI1309[[#This Row],[BIRIM_FIYATLAR]])</f>
        <v>1050</v>
      </c>
      <c r="N431">
        <v>75</v>
      </c>
      <c r="O431" t="s">
        <v>482</v>
      </c>
      <c r="P431">
        <v>150</v>
      </c>
      <c r="Q431" t="s">
        <v>483</v>
      </c>
    </row>
    <row r="432" spans="1:17" x14ac:dyDescent="0.25">
      <c r="A432" t="s">
        <v>1142</v>
      </c>
      <c r="B432" t="s">
        <v>1056</v>
      </c>
      <c r="C432" t="s">
        <v>175</v>
      </c>
      <c r="D432" t="s">
        <v>19</v>
      </c>
      <c r="E432" t="s">
        <v>20</v>
      </c>
      <c r="F432">
        <v>4</v>
      </c>
      <c r="G432" t="s">
        <v>176</v>
      </c>
      <c r="H432">
        <v>0</v>
      </c>
      <c r="I432">
        <v>37</v>
      </c>
      <c r="J432" s="10">
        <v>28</v>
      </c>
      <c r="K432" s="10">
        <f>SUMIFS(F:F,D:D,DST_123_ÜRETİM_İHTİYAÇ_RAPORU_BURAK_YENI1309[[#This Row],[ALT_KOD]])-(SUMIFS(H:H,D:D,DST_123_ÜRETİM_İHTİYAÇ_RAPORU_BURAK_YENI1309[[#This Row],[ALT_KOD]])+AVERAGEIFS(I:I,D:D,DST_123_ÜRETİM_İHTİYAÇ_RAPORU_BURAK_YENI1309[[#This Row],[ALT_KOD]])+AVERAGEIFS(L:L,D:D,DST_123_ÜRETİM_İHTİYAÇ_RAPORU_BURAK_YENI1309[[#This Row],[ALT_KOD]]))</f>
        <v>-3</v>
      </c>
      <c r="L432">
        <v>0</v>
      </c>
      <c r="M432">
        <f>IF((DST_123_ÜRETİM_İHTİYAÇ_RAPORU_BURAK_YENI1309[[#This Row],[SATINALMA]]*DST_123_ÜRETİM_İHTİYAÇ_RAPORU_BURAK_YENI1309[[#This Row],[BIRIM_FIYATLAR]])&lt;1,VALUE("0"),DST_123_ÜRETİM_İHTİYAÇ_RAPORU_BURAK_YENI1309[[#This Row],[SATINALMA]]*DST_123_ÜRETİM_İHTİYAÇ_RAPORU_BURAK_YENI1309[[#This Row],[BIRIM_FIYATLAR]])</f>
        <v>0</v>
      </c>
      <c r="N432">
        <v>122.24</v>
      </c>
      <c r="O432" t="s">
        <v>227</v>
      </c>
      <c r="P432">
        <v>488.96</v>
      </c>
      <c r="Q432" t="s">
        <v>221</v>
      </c>
    </row>
    <row r="433" spans="1:17" x14ac:dyDescent="0.25">
      <c r="A433" t="s">
        <v>1142</v>
      </c>
      <c r="B433" t="s">
        <v>1056</v>
      </c>
      <c r="C433" t="s">
        <v>175</v>
      </c>
      <c r="D433" t="s">
        <v>365</v>
      </c>
      <c r="E433" t="s">
        <v>366</v>
      </c>
      <c r="F433">
        <v>12</v>
      </c>
      <c r="G433" t="s">
        <v>176</v>
      </c>
      <c r="H433">
        <v>0</v>
      </c>
      <c r="I433">
        <v>3750</v>
      </c>
      <c r="J433" s="10">
        <v>674</v>
      </c>
      <c r="K433" s="10">
        <f>SUMIFS(F:F,D:D,DST_123_ÜRETİM_İHTİYAÇ_RAPORU_BURAK_YENI1309[[#This Row],[ALT_KOD]])-(SUMIFS(H:H,D:D,DST_123_ÜRETİM_İHTİYAÇ_RAPORU_BURAK_YENI1309[[#This Row],[ALT_KOD]])+AVERAGEIFS(I:I,D:D,DST_123_ÜRETİM_İHTİYAÇ_RAPORU_BURAK_YENI1309[[#This Row],[ALT_KOD]])+AVERAGEIFS(L:L,D:D,DST_123_ÜRETİM_İHTİYAÇ_RAPORU_BURAK_YENI1309[[#This Row],[ALT_KOD]]))</f>
        <v>-3452</v>
      </c>
      <c r="L433">
        <v>0</v>
      </c>
      <c r="M433">
        <f>IF((DST_123_ÜRETİM_İHTİYAÇ_RAPORU_BURAK_YENI1309[[#This Row],[SATINALMA]]*DST_123_ÜRETİM_İHTİYAÇ_RAPORU_BURAK_YENI1309[[#This Row],[BIRIM_FIYATLAR]])&lt;1,VALUE("0"),DST_123_ÜRETİM_İHTİYAÇ_RAPORU_BURAK_YENI1309[[#This Row],[SATINALMA]]*DST_123_ÜRETİM_İHTİYAÇ_RAPORU_BURAK_YENI1309[[#This Row],[BIRIM_FIYATLAR]])</f>
        <v>0</v>
      </c>
      <c r="N433">
        <v>0.2</v>
      </c>
      <c r="O433" t="s">
        <v>240</v>
      </c>
      <c r="P433">
        <v>2.4000000000000004</v>
      </c>
      <c r="Q433" t="s">
        <v>180</v>
      </c>
    </row>
    <row r="434" spans="1:17" x14ac:dyDescent="0.25">
      <c r="A434" t="s">
        <v>1099</v>
      </c>
      <c r="B434" t="s">
        <v>1055</v>
      </c>
      <c r="C434" t="s">
        <v>175</v>
      </c>
      <c r="D434" t="s">
        <v>374</v>
      </c>
      <c r="E434" t="s">
        <v>375</v>
      </c>
      <c r="F434">
        <v>2</v>
      </c>
      <c r="G434" t="s">
        <v>176</v>
      </c>
      <c r="H434">
        <v>0</v>
      </c>
      <c r="I434">
        <v>42</v>
      </c>
      <c r="J434" s="10">
        <v>34</v>
      </c>
      <c r="K434" s="10">
        <f>SUMIFS(F:F,D:D,DST_123_ÜRETİM_İHTİYAÇ_RAPORU_BURAK_YENI1309[[#This Row],[ALT_KOD]])-(SUMIFS(H:H,D:D,DST_123_ÜRETİM_İHTİYAÇ_RAPORU_BURAK_YENI1309[[#This Row],[ALT_KOD]])+AVERAGEIFS(I:I,D:D,DST_123_ÜRETİM_İHTİYAÇ_RAPORU_BURAK_YENI1309[[#This Row],[ALT_KOD]])+AVERAGEIFS(L:L,D:D,DST_123_ÜRETİM_İHTİYAÇ_RAPORU_BURAK_YENI1309[[#This Row],[ALT_KOD]]))</f>
        <v>-8</v>
      </c>
      <c r="L434">
        <v>0</v>
      </c>
      <c r="M434">
        <f>IF((DST_123_ÜRETİM_İHTİYAÇ_RAPORU_BURAK_YENI1309[[#This Row],[SATINALMA]]*DST_123_ÜRETİM_İHTİYAÇ_RAPORU_BURAK_YENI1309[[#This Row],[BIRIM_FIYATLAR]])&lt;1,VALUE("0"),DST_123_ÜRETİM_İHTİYAÇ_RAPORU_BURAK_YENI1309[[#This Row],[SATINALMA]]*DST_123_ÜRETİM_İHTİYAÇ_RAPORU_BURAK_YENI1309[[#This Row],[BIRIM_FIYATLAR]])</f>
        <v>0</v>
      </c>
      <c r="N434">
        <v>65</v>
      </c>
      <c r="O434" t="s">
        <v>240</v>
      </c>
      <c r="P434">
        <v>130</v>
      </c>
      <c r="Q434" t="s">
        <v>180</v>
      </c>
    </row>
    <row r="435" spans="1:17" x14ac:dyDescent="0.25">
      <c r="A435" t="s">
        <v>1101</v>
      </c>
      <c r="B435" t="s">
        <v>1102</v>
      </c>
      <c r="C435" t="s">
        <v>175</v>
      </c>
      <c r="D435" t="s">
        <v>488</v>
      </c>
      <c r="E435" t="s">
        <v>489</v>
      </c>
      <c r="F435">
        <v>2</v>
      </c>
      <c r="G435" t="s">
        <v>176</v>
      </c>
      <c r="H435">
        <v>0</v>
      </c>
      <c r="I435">
        <v>0</v>
      </c>
      <c r="J435" s="10">
        <v>0</v>
      </c>
      <c r="K435" s="10">
        <f>SUMIFS(F:F,D:D,DST_123_ÜRETİM_İHTİYAÇ_RAPORU_BURAK_YENI1309[[#This Row],[ALT_KOD]])-(SUMIFS(H:H,D:D,DST_123_ÜRETİM_İHTİYAÇ_RAPORU_BURAK_YENI1309[[#This Row],[ALT_KOD]])+AVERAGEIFS(I:I,D:D,DST_123_ÜRETİM_İHTİYAÇ_RAPORU_BURAK_YENI1309[[#This Row],[ALT_KOD]])+AVERAGEIFS(L:L,D:D,DST_123_ÜRETİM_İHTİYAÇ_RAPORU_BURAK_YENI1309[[#This Row],[ALT_KOD]]))</f>
        <v>14</v>
      </c>
      <c r="L435">
        <v>0</v>
      </c>
      <c r="M435">
        <f>IF((DST_123_ÜRETİM_İHTİYAÇ_RAPORU_BURAK_YENI1309[[#This Row],[SATINALMA]]*DST_123_ÜRETİM_İHTİYAÇ_RAPORU_BURAK_YENI1309[[#This Row],[BIRIM_FIYATLAR]])&lt;1,VALUE("0"),DST_123_ÜRETİM_İHTİYAÇ_RAPORU_BURAK_YENI1309[[#This Row],[SATINALMA]]*DST_123_ÜRETİM_İHTİYAÇ_RAPORU_BURAK_YENI1309[[#This Row],[BIRIM_FIYATLAR]])</f>
        <v>1050</v>
      </c>
      <c r="N435">
        <v>75</v>
      </c>
      <c r="O435" t="s">
        <v>482</v>
      </c>
      <c r="P435">
        <v>150</v>
      </c>
      <c r="Q435" t="s">
        <v>483</v>
      </c>
    </row>
    <row r="436" spans="1:17" x14ac:dyDescent="0.25">
      <c r="A436" t="s">
        <v>1196</v>
      </c>
      <c r="B436" t="s">
        <v>1197</v>
      </c>
      <c r="C436" t="s">
        <v>175</v>
      </c>
      <c r="D436" t="s">
        <v>374</v>
      </c>
      <c r="E436" t="s">
        <v>375</v>
      </c>
      <c r="F436">
        <v>2</v>
      </c>
      <c r="G436" t="s">
        <v>176</v>
      </c>
      <c r="H436">
        <v>0</v>
      </c>
      <c r="I436">
        <v>42</v>
      </c>
      <c r="J436" s="10">
        <v>34</v>
      </c>
      <c r="K436" s="10">
        <f>SUMIFS(F:F,D:D,DST_123_ÜRETİM_İHTİYAÇ_RAPORU_BURAK_YENI1309[[#This Row],[ALT_KOD]])-(SUMIFS(H:H,D:D,DST_123_ÜRETİM_İHTİYAÇ_RAPORU_BURAK_YENI1309[[#This Row],[ALT_KOD]])+AVERAGEIFS(I:I,D:D,DST_123_ÜRETİM_İHTİYAÇ_RAPORU_BURAK_YENI1309[[#This Row],[ALT_KOD]])+AVERAGEIFS(L:L,D:D,DST_123_ÜRETİM_İHTİYAÇ_RAPORU_BURAK_YENI1309[[#This Row],[ALT_KOD]]))</f>
        <v>-8</v>
      </c>
      <c r="L436">
        <v>0</v>
      </c>
      <c r="M436">
        <f>IF((DST_123_ÜRETİM_İHTİYAÇ_RAPORU_BURAK_YENI1309[[#This Row],[SATINALMA]]*DST_123_ÜRETİM_İHTİYAÇ_RAPORU_BURAK_YENI1309[[#This Row],[BIRIM_FIYATLAR]])&lt;1,VALUE("0"),DST_123_ÜRETİM_İHTİYAÇ_RAPORU_BURAK_YENI1309[[#This Row],[SATINALMA]]*DST_123_ÜRETİM_İHTİYAÇ_RAPORU_BURAK_YENI1309[[#This Row],[BIRIM_FIYATLAR]])</f>
        <v>0</v>
      </c>
      <c r="N436">
        <v>65</v>
      </c>
      <c r="O436" t="s">
        <v>240</v>
      </c>
      <c r="P436">
        <v>130</v>
      </c>
      <c r="Q436" t="s">
        <v>180</v>
      </c>
    </row>
    <row r="437" spans="1:17" x14ac:dyDescent="0.25">
      <c r="A437" t="s">
        <v>1060</v>
      </c>
      <c r="B437" t="s">
        <v>1061</v>
      </c>
      <c r="C437" t="s">
        <v>175</v>
      </c>
      <c r="D437" t="s">
        <v>374</v>
      </c>
      <c r="E437" t="s">
        <v>375</v>
      </c>
      <c r="F437">
        <v>2</v>
      </c>
      <c r="G437" t="s">
        <v>176</v>
      </c>
      <c r="H437">
        <v>0</v>
      </c>
      <c r="I437">
        <v>42</v>
      </c>
      <c r="J437" s="10">
        <v>34</v>
      </c>
      <c r="K437" s="10">
        <f>SUMIFS(F:F,D:D,DST_123_ÜRETİM_İHTİYAÇ_RAPORU_BURAK_YENI1309[[#This Row],[ALT_KOD]])-(SUMIFS(H:H,D:D,DST_123_ÜRETİM_İHTİYAÇ_RAPORU_BURAK_YENI1309[[#This Row],[ALT_KOD]])+AVERAGEIFS(I:I,D:D,DST_123_ÜRETİM_İHTİYAÇ_RAPORU_BURAK_YENI1309[[#This Row],[ALT_KOD]])+AVERAGEIFS(L:L,D:D,DST_123_ÜRETİM_İHTİYAÇ_RAPORU_BURAK_YENI1309[[#This Row],[ALT_KOD]]))</f>
        <v>-8</v>
      </c>
      <c r="L437">
        <v>0</v>
      </c>
      <c r="M437">
        <f>IF((DST_123_ÜRETİM_İHTİYAÇ_RAPORU_BURAK_YENI1309[[#This Row],[SATINALMA]]*DST_123_ÜRETİM_İHTİYAÇ_RAPORU_BURAK_YENI1309[[#This Row],[BIRIM_FIYATLAR]])&lt;1,VALUE("0"),DST_123_ÜRETİM_İHTİYAÇ_RAPORU_BURAK_YENI1309[[#This Row],[SATINALMA]]*DST_123_ÜRETİM_İHTİYAÇ_RAPORU_BURAK_YENI1309[[#This Row],[BIRIM_FIYATLAR]])</f>
        <v>0</v>
      </c>
      <c r="N437">
        <v>65</v>
      </c>
      <c r="O437" t="s">
        <v>240</v>
      </c>
      <c r="P437">
        <v>130</v>
      </c>
      <c r="Q437" t="s">
        <v>180</v>
      </c>
    </row>
    <row r="438" spans="1:17" x14ac:dyDescent="0.25">
      <c r="A438" t="s">
        <v>1147</v>
      </c>
      <c r="B438" t="s">
        <v>1145</v>
      </c>
      <c r="C438" t="s">
        <v>175</v>
      </c>
      <c r="D438" t="s">
        <v>374</v>
      </c>
      <c r="E438" t="s">
        <v>375</v>
      </c>
      <c r="F438">
        <v>2</v>
      </c>
      <c r="G438" t="s">
        <v>176</v>
      </c>
      <c r="H438">
        <v>0</v>
      </c>
      <c r="I438">
        <v>42</v>
      </c>
      <c r="J438" s="10">
        <v>34</v>
      </c>
      <c r="K438" s="10">
        <f>SUMIFS(F:F,D:D,DST_123_ÜRETİM_İHTİYAÇ_RAPORU_BURAK_YENI1309[[#This Row],[ALT_KOD]])-(SUMIFS(H:H,D:D,DST_123_ÜRETİM_İHTİYAÇ_RAPORU_BURAK_YENI1309[[#This Row],[ALT_KOD]])+AVERAGEIFS(I:I,D:D,DST_123_ÜRETİM_İHTİYAÇ_RAPORU_BURAK_YENI1309[[#This Row],[ALT_KOD]])+AVERAGEIFS(L:L,D:D,DST_123_ÜRETİM_İHTİYAÇ_RAPORU_BURAK_YENI1309[[#This Row],[ALT_KOD]]))</f>
        <v>-8</v>
      </c>
      <c r="L438">
        <v>0</v>
      </c>
      <c r="M438">
        <f>IF((DST_123_ÜRETİM_İHTİYAÇ_RAPORU_BURAK_YENI1309[[#This Row],[SATINALMA]]*DST_123_ÜRETİM_İHTİYAÇ_RAPORU_BURAK_YENI1309[[#This Row],[BIRIM_FIYATLAR]])&lt;1,VALUE("0"),DST_123_ÜRETİM_İHTİYAÇ_RAPORU_BURAK_YENI1309[[#This Row],[SATINALMA]]*DST_123_ÜRETİM_İHTİYAÇ_RAPORU_BURAK_YENI1309[[#This Row],[BIRIM_FIYATLAR]])</f>
        <v>0</v>
      </c>
      <c r="N438">
        <v>65</v>
      </c>
      <c r="O438" t="s">
        <v>240</v>
      </c>
      <c r="P438">
        <v>130</v>
      </c>
      <c r="Q438" t="s">
        <v>180</v>
      </c>
    </row>
    <row r="439" spans="1:17" x14ac:dyDescent="0.25">
      <c r="A439" t="s">
        <v>1059</v>
      </c>
      <c r="B439" t="s">
        <v>1058</v>
      </c>
      <c r="C439" t="s">
        <v>175</v>
      </c>
      <c r="D439" t="s">
        <v>365</v>
      </c>
      <c r="E439" t="s">
        <v>366</v>
      </c>
      <c r="F439">
        <v>8</v>
      </c>
      <c r="G439" t="s">
        <v>176</v>
      </c>
      <c r="H439">
        <v>0</v>
      </c>
      <c r="I439">
        <v>3750</v>
      </c>
      <c r="J439" s="10">
        <v>674</v>
      </c>
      <c r="K439" s="10">
        <f>SUMIFS(F:F,D:D,DST_123_ÜRETİM_İHTİYAÇ_RAPORU_BURAK_YENI1309[[#This Row],[ALT_KOD]])-(SUMIFS(H:H,D:D,DST_123_ÜRETİM_İHTİYAÇ_RAPORU_BURAK_YENI1309[[#This Row],[ALT_KOD]])+AVERAGEIFS(I:I,D:D,DST_123_ÜRETİM_İHTİYAÇ_RAPORU_BURAK_YENI1309[[#This Row],[ALT_KOD]])+AVERAGEIFS(L:L,D:D,DST_123_ÜRETİM_İHTİYAÇ_RAPORU_BURAK_YENI1309[[#This Row],[ALT_KOD]]))</f>
        <v>-3452</v>
      </c>
      <c r="L439">
        <v>0</v>
      </c>
      <c r="M439">
        <f>IF((DST_123_ÜRETİM_İHTİYAÇ_RAPORU_BURAK_YENI1309[[#This Row],[SATINALMA]]*DST_123_ÜRETİM_İHTİYAÇ_RAPORU_BURAK_YENI1309[[#This Row],[BIRIM_FIYATLAR]])&lt;1,VALUE("0"),DST_123_ÜRETİM_İHTİYAÇ_RAPORU_BURAK_YENI1309[[#This Row],[SATINALMA]]*DST_123_ÜRETİM_İHTİYAÇ_RAPORU_BURAK_YENI1309[[#This Row],[BIRIM_FIYATLAR]])</f>
        <v>0</v>
      </c>
      <c r="N439">
        <v>0.2</v>
      </c>
      <c r="O439" t="s">
        <v>240</v>
      </c>
      <c r="P439">
        <v>1.6</v>
      </c>
      <c r="Q439" t="s">
        <v>180</v>
      </c>
    </row>
    <row r="440" spans="1:17" x14ac:dyDescent="0.25">
      <c r="A440" t="s">
        <v>1144</v>
      </c>
      <c r="B440" t="s">
        <v>1145</v>
      </c>
      <c r="C440" t="s">
        <v>175</v>
      </c>
      <c r="D440" t="s">
        <v>528</v>
      </c>
      <c r="E440" t="s">
        <v>529</v>
      </c>
      <c r="F440">
        <v>10</v>
      </c>
      <c r="G440" t="s">
        <v>176</v>
      </c>
      <c r="H440">
        <v>0</v>
      </c>
      <c r="I440">
        <v>1800</v>
      </c>
      <c r="J440" s="10">
        <v>773</v>
      </c>
      <c r="K440" s="10">
        <f>SUMIFS(F:F,D:D,DST_123_ÜRETİM_İHTİYAÇ_RAPORU_BURAK_YENI1309[[#This Row],[ALT_KOD]])-(SUMIFS(H:H,D:D,DST_123_ÜRETİM_İHTİYAÇ_RAPORU_BURAK_YENI1309[[#This Row],[ALT_KOD]])+AVERAGEIFS(I:I,D:D,DST_123_ÜRETİM_İHTİYAÇ_RAPORU_BURAK_YENI1309[[#This Row],[ALT_KOD]])+AVERAGEIFS(L:L,D:D,DST_123_ÜRETİM_İHTİYAÇ_RAPORU_BURAK_YENI1309[[#This Row],[ALT_KOD]]))</f>
        <v>-1570</v>
      </c>
      <c r="L440">
        <v>0</v>
      </c>
      <c r="M440">
        <f>IF((DST_123_ÜRETİM_İHTİYAÇ_RAPORU_BURAK_YENI1309[[#This Row],[SATINALMA]]*DST_123_ÜRETİM_İHTİYAÇ_RAPORU_BURAK_YENI1309[[#This Row],[BIRIM_FIYATLAR]])&lt;1,VALUE("0"),DST_123_ÜRETİM_İHTİYAÇ_RAPORU_BURAK_YENI1309[[#This Row],[SATINALMA]]*DST_123_ÜRETİM_İHTİYAÇ_RAPORU_BURAK_YENI1309[[#This Row],[BIRIM_FIYATLAR]])</f>
        <v>0</v>
      </c>
      <c r="N440">
        <v>0.8</v>
      </c>
      <c r="O440" t="s">
        <v>240</v>
      </c>
      <c r="P440">
        <v>8</v>
      </c>
      <c r="Q440" t="s">
        <v>180</v>
      </c>
    </row>
    <row r="441" spans="1:17" x14ac:dyDescent="0.25">
      <c r="A441" t="s">
        <v>1146</v>
      </c>
      <c r="B441" t="s">
        <v>1145</v>
      </c>
      <c r="C441" t="s">
        <v>175</v>
      </c>
      <c r="D441" t="s">
        <v>528</v>
      </c>
      <c r="E441" t="s">
        <v>529</v>
      </c>
      <c r="F441">
        <v>10</v>
      </c>
      <c r="G441" t="s">
        <v>176</v>
      </c>
      <c r="H441">
        <v>0</v>
      </c>
      <c r="I441">
        <v>1800</v>
      </c>
      <c r="J441" s="10">
        <v>773</v>
      </c>
      <c r="K441" s="10">
        <f>SUMIFS(F:F,D:D,DST_123_ÜRETİM_İHTİYAÇ_RAPORU_BURAK_YENI1309[[#This Row],[ALT_KOD]])-(SUMIFS(H:H,D:D,DST_123_ÜRETİM_İHTİYAÇ_RAPORU_BURAK_YENI1309[[#This Row],[ALT_KOD]])+AVERAGEIFS(I:I,D:D,DST_123_ÜRETİM_İHTİYAÇ_RAPORU_BURAK_YENI1309[[#This Row],[ALT_KOD]])+AVERAGEIFS(L:L,D:D,DST_123_ÜRETİM_İHTİYAÇ_RAPORU_BURAK_YENI1309[[#This Row],[ALT_KOD]]))</f>
        <v>-1570</v>
      </c>
      <c r="L441">
        <v>0</v>
      </c>
      <c r="M441">
        <f>IF((DST_123_ÜRETİM_İHTİYAÇ_RAPORU_BURAK_YENI1309[[#This Row],[SATINALMA]]*DST_123_ÜRETİM_İHTİYAÇ_RAPORU_BURAK_YENI1309[[#This Row],[BIRIM_FIYATLAR]])&lt;1,VALUE("0"),DST_123_ÜRETİM_İHTİYAÇ_RAPORU_BURAK_YENI1309[[#This Row],[SATINALMA]]*DST_123_ÜRETİM_İHTİYAÇ_RAPORU_BURAK_YENI1309[[#This Row],[BIRIM_FIYATLAR]])</f>
        <v>0</v>
      </c>
      <c r="N441">
        <v>0.8</v>
      </c>
      <c r="O441" t="s">
        <v>240</v>
      </c>
      <c r="P441">
        <v>8</v>
      </c>
      <c r="Q441" t="s">
        <v>180</v>
      </c>
    </row>
    <row r="442" spans="1:17" x14ac:dyDescent="0.25">
      <c r="A442" t="s">
        <v>1149</v>
      </c>
      <c r="B442" t="s">
        <v>1145</v>
      </c>
      <c r="C442" t="s">
        <v>175</v>
      </c>
      <c r="D442" t="s">
        <v>64</v>
      </c>
      <c r="E442" t="s">
        <v>65</v>
      </c>
      <c r="F442">
        <v>1</v>
      </c>
      <c r="G442" t="s">
        <v>176</v>
      </c>
      <c r="H442">
        <v>0</v>
      </c>
      <c r="I442">
        <v>36</v>
      </c>
      <c r="J442" s="10">
        <v>12</v>
      </c>
      <c r="K442" s="10">
        <f>SUMIFS(F:F,D:D,DST_123_ÜRETİM_İHTİYAÇ_RAPORU_BURAK_YENI1309[[#This Row],[ALT_KOD]])-(SUMIFS(H:H,D:D,DST_123_ÜRETİM_İHTİYAÇ_RAPORU_BURAK_YENI1309[[#This Row],[ALT_KOD]])+AVERAGEIFS(I:I,D:D,DST_123_ÜRETİM_İHTİYAÇ_RAPORU_BURAK_YENI1309[[#This Row],[ALT_KOD]])+AVERAGEIFS(L:L,D:D,DST_123_ÜRETİM_İHTİYAÇ_RAPORU_BURAK_YENI1309[[#This Row],[ALT_KOD]]))</f>
        <v>-22</v>
      </c>
      <c r="L442">
        <v>0</v>
      </c>
      <c r="M442">
        <f>IF((DST_123_ÜRETİM_İHTİYAÇ_RAPORU_BURAK_YENI1309[[#This Row],[SATINALMA]]*DST_123_ÜRETİM_İHTİYAÇ_RAPORU_BURAK_YENI1309[[#This Row],[BIRIM_FIYATLAR]])&lt;1,VALUE("0"),DST_123_ÜRETİM_İHTİYAÇ_RAPORU_BURAK_YENI1309[[#This Row],[SATINALMA]]*DST_123_ÜRETİM_İHTİYAÇ_RAPORU_BURAK_YENI1309[[#This Row],[BIRIM_FIYATLAR]])</f>
        <v>0</v>
      </c>
      <c r="N442">
        <v>95</v>
      </c>
      <c r="O442" t="s">
        <v>217</v>
      </c>
      <c r="P442">
        <v>95</v>
      </c>
      <c r="Q442" t="s">
        <v>180</v>
      </c>
    </row>
    <row r="443" spans="1:17" x14ac:dyDescent="0.25">
      <c r="A443" t="s">
        <v>1097</v>
      </c>
      <c r="B443" t="s">
        <v>1055</v>
      </c>
      <c r="C443" t="s">
        <v>175</v>
      </c>
      <c r="D443" t="s">
        <v>528</v>
      </c>
      <c r="E443" t="s">
        <v>529</v>
      </c>
      <c r="F443">
        <v>21</v>
      </c>
      <c r="G443" t="s">
        <v>176</v>
      </c>
      <c r="H443">
        <v>0</v>
      </c>
      <c r="I443">
        <v>1800</v>
      </c>
      <c r="J443" s="10">
        <v>773</v>
      </c>
      <c r="K443" s="10">
        <f>SUMIFS(F:F,D:D,DST_123_ÜRETİM_İHTİYAÇ_RAPORU_BURAK_YENI1309[[#This Row],[ALT_KOD]])-(SUMIFS(H:H,D:D,DST_123_ÜRETİM_İHTİYAÇ_RAPORU_BURAK_YENI1309[[#This Row],[ALT_KOD]])+AVERAGEIFS(I:I,D:D,DST_123_ÜRETİM_İHTİYAÇ_RAPORU_BURAK_YENI1309[[#This Row],[ALT_KOD]])+AVERAGEIFS(L:L,D:D,DST_123_ÜRETİM_İHTİYAÇ_RAPORU_BURAK_YENI1309[[#This Row],[ALT_KOD]]))</f>
        <v>-1570</v>
      </c>
      <c r="L443">
        <v>0</v>
      </c>
      <c r="M443">
        <f>IF((DST_123_ÜRETİM_İHTİYAÇ_RAPORU_BURAK_YENI1309[[#This Row],[SATINALMA]]*DST_123_ÜRETİM_İHTİYAÇ_RAPORU_BURAK_YENI1309[[#This Row],[BIRIM_FIYATLAR]])&lt;1,VALUE("0"),DST_123_ÜRETİM_İHTİYAÇ_RAPORU_BURAK_YENI1309[[#This Row],[SATINALMA]]*DST_123_ÜRETİM_İHTİYAÇ_RAPORU_BURAK_YENI1309[[#This Row],[BIRIM_FIYATLAR]])</f>
        <v>0</v>
      </c>
      <c r="N443">
        <v>0.8</v>
      </c>
      <c r="O443" t="s">
        <v>240</v>
      </c>
      <c r="P443">
        <v>16.8</v>
      </c>
      <c r="Q443" t="s">
        <v>180</v>
      </c>
    </row>
    <row r="444" spans="1:17" x14ac:dyDescent="0.25">
      <c r="A444" t="s">
        <v>1059</v>
      </c>
      <c r="B444" t="s">
        <v>1058</v>
      </c>
      <c r="C444" t="s">
        <v>175</v>
      </c>
      <c r="D444" t="s">
        <v>528</v>
      </c>
      <c r="E444" t="s">
        <v>529</v>
      </c>
      <c r="F444">
        <v>3</v>
      </c>
      <c r="G444" t="s">
        <v>176</v>
      </c>
      <c r="H444">
        <v>0</v>
      </c>
      <c r="I444">
        <v>1800</v>
      </c>
      <c r="J444" s="10">
        <v>773</v>
      </c>
      <c r="K444" s="10">
        <f>SUMIFS(F:F,D:D,DST_123_ÜRETİM_İHTİYAÇ_RAPORU_BURAK_YENI1309[[#This Row],[ALT_KOD]])-(SUMIFS(H:H,D:D,DST_123_ÜRETİM_İHTİYAÇ_RAPORU_BURAK_YENI1309[[#This Row],[ALT_KOD]])+AVERAGEIFS(I:I,D:D,DST_123_ÜRETİM_İHTİYAÇ_RAPORU_BURAK_YENI1309[[#This Row],[ALT_KOD]])+AVERAGEIFS(L:L,D:D,DST_123_ÜRETİM_İHTİYAÇ_RAPORU_BURAK_YENI1309[[#This Row],[ALT_KOD]]))</f>
        <v>-1570</v>
      </c>
      <c r="L444">
        <v>0</v>
      </c>
      <c r="M444">
        <f>IF((DST_123_ÜRETİM_İHTİYAÇ_RAPORU_BURAK_YENI1309[[#This Row],[SATINALMA]]*DST_123_ÜRETİM_İHTİYAÇ_RAPORU_BURAK_YENI1309[[#This Row],[BIRIM_FIYATLAR]])&lt;1,VALUE("0"),DST_123_ÜRETİM_İHTİYAÇ_RAPORU_BURAK_YENI1309[[#This Row],[SATINALMA]]*DST_123_ÜRETİM_İHTİYAÇ_RAPORU_BURAK_YENI1309[[#This Row],[BIRIM_FIYATLAR]])</f>
        <v>0</v>
      </c>
      <c r="N444">
        <v>0.8</v>
      </c>
      <c r="O444" t="s">
        <v>240</v>
      </c>
      <c r="P444">
        <v>2.4000000000000004</v>
      </c>
      <c r="Q444" t="s">
        <v>180</v>
      </c>
    </row>
    <row r="445" spans="1:17" x14ac:dyDescent="0.25">
      <c r="A445" t="s">
        <v>1095</v>
      </c>
      <c r="B445" t="s">
        <v>1096</v>
      </c>
      <c r="C445" t="s">
        <v>175</v>
      </c>
      <c r="D445" t="s">
        <v>528</v>
      </c>
      <c r="E445" t="s">
        <v>529</v>
      </c>
      <c r="F445">
        <v>18</v>
      </c>
      <c r="G445" t="s">
        <v>176</v>
      </c>
      <c r="H445">
        <v>0</v>
      </c>
      <c r="I445">
        <v>1800</v>
      </c>
      <c r="J445" s="10">
        <v>773</v>
      </c>
      <c r="K445" s="10">
        <f>SUMIFS(F:F,D:D,DST_123_ÜRETİM_İHTİYAÇ_RAPORU_BURAK_YENI1309[[#This Row],[ALT_KOD]])-(SUMIFS(H:H,D:D,DST_123_ÜRETİM_İHTİYAÇ_RAPORU_BURAK_YENI1309[[#This Row],[ALT_KOD]])+AVERAGEIFS(I:I,D:D,DST_123_ÜRETİM_İHTİYAÇ_RAPORU_BURAK_YENI1309[[#This Row],[ALT_KOD]])+AVERAGEIFS(L:L,D:D,DST_123_ÜRETİM_İHTİYAÇ_RAPORU_BURAK_YENI1309[[#This Row],[ALT_KOD]]))</f>
        <v>-1570</v>
      </c>
      <c r="L445">
        <v>0</v>
      </c>
      <c r="M445">
        <f>IF((DST_123_ÜRETİM_İHTİYAÇ_RAPORU_BURAK_YENI1309[[#This Row],[SATINALMA]]*DST_123_ÜRETİM_İHTİYAÇ_RAPORU_BURAK_YENI1309[[#This Row],[BIRIM_FIYATLAR]])&lt;1,VALUE("0"),DST_123_ÜRETİM_İHTİYAÇ_RAPORU_BURAK_YENI1309[[#This Row],[SATINALMA]]*DST_123_ÜRETİM_İHTİYAÇ_RAPORU_BURAK_YENI1309[[#This Row],[BIRIM_FIYATLAR]])</f>
        <v>0</v>
      </c>
      <c r="N445">
        <v>0.8</v>
      </c>
      <c r="O445" t="s">
        <v>240</v>
      </c>
      <c r="P445">
        <v>14.4</v>
      </c>
      <c r="Q445" t="s">
        <v>180</v>
      </c>
    </row>
    <row r="446" spans="1:17" x14ac:dyDescent="0.25">
      <c r="A446" t="s">
        <v>1143</v>
      </c>
      <c r="B446" t="s">
        <v>1056</v>
      </c>
      <c r="C446" t="s">
        <v>175</v>
      </c>
      <c r="D446" t="s">
        <v>752</v>
      </c>
      <c r="E446" t="s">
        <v>753</v>
      </c>
      <c r="F446">
        <v>1</v>
      </c>
      <c r="G446" t="s">
        <v>176</v>
      </c>
      <c r="H446">
        <v>0</v>
      </c>
      <c r="I446">
        <v>4</v>
      </c>
      <c r="J446" s="10">
        <v>3</v>
      </c>
      <c r="K446" s="10">
        <f>SUMIFS(F:F,D:D,DST_123_ÜRETİM_İHTİYAÇ_RAPORU_BURAK_YENI1309[[#This Row],[ALT_KOD]])-(SUMIFS(H:H,D:D,DST_123_ÜRETİM_İHTİYAÇ_RAPORU_BURAK_YENI1309[[#This Row],[ALT_KOD]])+AVERAGEIFS(I:I,D:D,DST_123_ÜRETİM_İHTİYAÇ_RAPORU_BURAK_YENI1309[[#This Row],[ALT_KOD]])+AVERAGEIFS(L:L,D:D,DST_123_ÜRETİM_İHTİYAÇ_RAPORU_BURAK_YENI1309[[#This Row],[ALT_KOD]]))</f>
        <v>-1</v>
      </c>
      <c r="L446">
        <v>0</v>
      </c>
      <c r="M446">
        <f>IF((DST_123_ÜRETİM_İHTİYAÇ_RAPORU_BURAK_YENI1309[[#This Row],[SATINALMA]]*DST_123_ÜRETİM_İHTİYAÇ_RAPORU_BURAK_YENI1309[[#This Row],[BIRIM_FIYATLAR]])&lt;1,VALUE("0"),DST_123_ÜRETİM_İHTİYAÇ_RAPORU_BURAK_YENI1309[[#This Row],[SATINALMA]]*DST_123_ÜRETİM_İHTİYAÇ_RAPORU_BURAK_YENI1309[[#This Row],[BIRIM_FIYATLAR]])</f>
        <v>0</v>
      </c>
      <c r="N446">
        <v>7450</v>
      </c>
      <c r="O446" t="s">
        <v>584</v>
      </c>
      <c r="P446">
        <v>7450</v>
      </c>
      <c r="Q446" t="s">
        <v>177</v>
      </c>
    </row>
    <row r="447" spans="1:17" x14ac:dyDescent="0.25">
      <c r="A447" t="s">
        <v>1098</v>
      </c>
      <c r="B447" t="s">
        <v>1096</v>
      </c>
      <c r="C447" t="s">
        <v>175</v>
      </c>
      <c r="D447" t="s">
        <v>528</v>
      </c>
      <c r="E447" t="s">
        <v>529</v>
      </c>
      <c r="F447">
        <v>18</v>
      </c>
      <c r="G447" t="s">
        <v>176</v>
      </c>
      <c r="H447">
        <v>0</v>
      </c>
      <c r="I447">
        <v>1800</v>
      </c>
      <c r="J447" s="10">
        <v>773</v>
      </c>
      <c r="K447" s="10">
        <f>SUMIFS(F:F,D:D,DST_123_ÜRETİM_İHTİYAÇ_RAPORU_BURAK_YENI1309[[#This Row],[ALT_KOD]])-(SUMIFS(H:H,D:D,DST_123_ÜRETİM_İHTİYAÇ_RAPORU_BURAK_YENI1309[[#This Row],[ALT_KOD]])+AVERAGEIFS(I:I,D:D,DST_123_ÜRETİM_İHTİYAÇ_RAPORU_BURAK_YENI1309[[#This Row],[ALT_KOD]])+AVERAGEIFS(L:L,D:D,DST_123_ÜRETİM_İHTİYAÇ_RAPORU_BURAK_YENI1309[[#This Row],[ALT_KOD]]))</f>
        <v>-1570</v>
      </c>
      <c r="L447">
        <v>0</v>
      </c>
      <c r="M447">
        <f>IF((DST_123_ÜRETİM_İHTİYAÇ_RAPORU_BURAK_YENI1309[[#This Row],[SATINALMA]]*DST_123_ÜRETİM_İHTİYAÇ_RAPORU_BURAK_YENI1309[[#This Row],[BIRIM_FIYATLAR]])&lt;1,VALUE("0"),DST_123_ÜRETİM_İHTİYAÇ_RAPORU_BURAK_YENI1309[[#This Row],[SATINALMA]]*DST_123_ÜRETİM_İHTİYAÇ_RAPORU_BURAK_YENI1309[[#This Row],[BIRIM_FIYATLAR]])</f>
        <v>0</v>
      </c>
      <c r="N447">
        <v>0.8</v>
      </c>
      <c r="O447" t="s">
        <v>240</v>
      </c>
      <c r="P447">
        <v>14.4</v>
      </c>
      <c r="Q447" t="s">
        <v>180</v>
      </c>
    </row>
    <row r="448" spans="1:17" x14ac:dyDescent="0.25">
      <c r="A448" t="s">
        <v>1196</v>
      </c>
      <c r="B448" t="s">
        <v>1197</v>
      </c>
      <c r="C448" t="s">
        <v>175</v>
      </c>
      <c r="D448" t="s">
        <v>64</v>
      </c>
      <c r="E448" t="s">
        <v>65</v>
      </c>
      <c r="F448">
        <v>1</v>
      </c>
      <c r="G448" t="s">
        <v>176</v>
      </c>
      <c r="H448">
        <v>0</v>
      </c>
      <c r="I448">
        <v>36</v>
      </c>
      <c r="J448" s="10">
        <v>12</v>
      </c>
      <c r="K448" s="10">
        <f>SUMIFS(F:F,D:D,DST_123_ÜRETİM_İHTİYAÇ_RAPORU_BURAK_YENI1309[[#This Row],[ALT_KOD]])-(SUMIFS(H:H,D:D,DST_123_ÜRETİM_İHTİYAÇ_RAPORU_BURAK_YENI1309[[#This Row],[ALT_KOD]])+AVERAGEIFS(I:I,D:D,DST_123_ÜRETİM_İHTİYAÇ_RAPORU_BURAK_YENI1309[[#This Row],[ALT_KOD]])+AVERAGEIFS(L:L,D:D,DST_123_ÜRETİM_İHTİYAÇ_RAPORU_BURAK_YENI1309[[#This Row],[ALT_KOD]]))</f>
        <v>-22</v>
      </c>
      <c r="L448">
        <v>0</v>
      </c>
      <c r="M448">
        <f>IF((DST_123_ÜRETİM_İHTİYAÇ_RAPORU_BURAK_YENI1309[[#This Row],[SATINALMA]]*DST_123_ÜRETİM_İHTİYAÇ_RAPORU_BURAK_YENI1309[[#This Row],[BIRIM_FIYATLAR]])&lt;1,VALUE("0"),DST_123_ÜRETİM_İHTİYAÇ_RAPORU_BURAK_YENI1309[[#This Row],[SATINALMA]]*DST_123_ÜRETİM_İHTİYAÇ_RAPORU_BURAK_YENI1309[[#This Row],[BIRIM_FIYATLAR]])</f>
        <v>0</v>
      </c>
      <c r="N448">
        <v>95</v>
      </c>
      <c r="O448" t="s">
        <v>217</v>
      </c>
      <c r="P448">
        <v>95</v>
      </c>
      <c r="Q448" t="s">
        <v>180</v>
      </c>
    </row>
    <row r="449" spans="1:17" x14ac:dyDescent="0.25">
      <c r="A449" t="s">
        <v>1149</v>
      </c>
      <c r="B449" t="s">
        <v>1145</v>
      </c>
      <c r="C449" t="s">
        <v>175</v>
      </c>
      <c r="D449" t="s">
        <v>528</v>
      </c>
      <c r="E449" t="s">
        <v>529</v>
      </c>
      <c r="F449">
        <v>10</v>
      </c>
      <c r="G449" t="s">
        <v>176</v>
      </c>
      <c r="H449">
        <v>0</v>
      </c>
      <c r="I449">
        <v>1800</v>
      </c>
      <c r="J449" s="10">
        <v>773</v>
      </c>
      <c r="K449" s="10">
        <f>SUMIFS(F:F,D:D,DST_123_ÜRETİM_İHTİYAÇ_RAPORU_BURAK_YENI1309[[#This Row],[ALT_KOD]])-(SUMIFS(H:H,D:D,DST_123_ÜRETİM_İHTİYAÇ_RAPORU_BURAK_YENI1309[[#This Row],[ALT_KOD]])+AVERAGEIFS(I:I,D:D,DST_123_ÜRETİM_İHTİYAÇ_RAPORU_BURAK_YENI1309[[#This Row],[ALT_KOD]])+AVERAGEIFS(L:L,D:D,DST_123_ÜRETİM_İHTİYAÇ_RAPORU_BURAK_YENI1309[[#This Row],[ALT_KOD]]))</f>
        <v>-1570</v>
      </c>
      <c r="L449">
        <v>0</v>
      </c>
      <c r="M449">
        <f>IF((DST_123_ÜRETİM_İHTİYAÇ_RAPORU_BURAK_YENI1309[[#This Row],[SATINALMA]]*DST_123_ÜRETİM_İHTİYAÇ_RAPORU_BURAK_YENI1309[[#This Row],[BIRIM_FIYATLAR]])&lt;1,VALUE("0"),DST_123_ÜRETİM_İHTİYAÇ_RAPORU_BURAK_YENI1309[[#This Row],[SATINALMA]]*DST_123_ÜRETİM_İHTİYAÇ_RAPORU_BURAK_YENI1309[[#This Row],[BIRIM_FIYATLAR]])</f>
        <v>0</v>
      </c>
      <c r="N449">
        <v>0.8</v>
      </c>
      <c r="O449" t="s">
        <v>240</v>
      </c>
      <c r="P449">
        <v>8</v>
      </c>
      <c r="Q449" t="s">
        <v>180</v>
      </c>
    </row>
    <row r="450" spans="1:17" x14ac:dyDescent="0.25">
      <c r="A450" t="s">
        <v>1150</v>
      </c>
      <c r="B450" t="s">
        <v>1145</v>
      </c>
      <c r="C450" t="s">
        <v>175</v>
      </c>
      <c r="D450" t="s">
        <v>64</v>
      </c>
      <c r="E450" t="s">
        <v>65</v>
      </c>
      <c r="F450">
        <v>1</v>
      </c>
      <c r="G450" t="s">
        <v>176</v>
      </c>
      <c r="H450">
        <v>0</v>
      </c>
      <c r="I450">
        <v>36</v>
      </c>
      <c r="J450" s="10">
        <v>12</v>
      </c>
      <c r="K450" s="10">
        <f>SUMIFS(F:F,D:D,DST_123_ÜRETİM_İHTİYAÇ_RAPORU_BURAK_YENI1309[[#This Row],[ALT_KOD]])-(SUMIFS(H:H,D:D,DST_123_ÜRETİM_İHTİYAÇ_RAPORU_BURAK_YENI1309[[#This Row],[ALT_KOD]])+AVERAGEIFS(I:I,D:D,DST_123_ÜRETİM_İHTİYAÇ_RAPORU_BURAK_YENI1309[[#This Row],[ALT_KOD]])+AVERAGEIFS(L:L,D:D,DST_123_ÜRETİM_İHTİYAÇ_RAPORU_BURAK_YENI1309[[#This Row],[ALT_KOD]]))</f>
        <v>-22</v>
      </c>
      <c r="L450">
        <v>0</v>
      </c>
      <c r="M450">
        <f>IF((DST_123_ÜRETİM_İHTİYAÇ_RAPORU_BURAK_YENI1309[[#This Row],[SATINALMA]]*DST_123_ÜRETİM_İHTİYAÇ_RAPORU_BURAK_YENI1309[[#This Row],[BIRIM_FIYATLAR]])&lt;1,VALUE("0"),DST_123_ÜRETİM_İHTİYAÇ_RAPORU_BURAK_YENI1309[[#This Row],[SATINALMA]]*DST_123_ÜRETİM_İHTİYAÇ_RAPORU_BURAK_YENI1309[[#This Row],[BIRIM_FIYATLAR]])</f>
        <v>0</v>
      </c>
      <c r="N450">
        <v>95</v>
      </c>
      <c r="O450" t="s">
        <v>217</v>
      </c>
      <c r="P450">
        <v>95</v>
      </c>
      <c r="Q450" t="s">
        <v>180</v>
      </c>
    </row>
    <row r="451" spans="1:17" x14ac:dyDescent="0.25">
      <c r="A451" t="s">
        <v>1143</v>
      </c>
      <c r="B451" t="s">
        <v>1056</v>
      </c>
      <c r="C451" t="s">
        <v>175</v>
      </c>
      <c r="D451" t="s">
        <v>528</v>
      </c>
      <c r="E451" t="s">
        <v>529</v>
      </c>
      <c r="F451">
        <v>22</v>
      </c>
      <c r="G451" t="s">
        <v>176</v>
      </c>
      <c r="H451">
        <v>0</v>
      </c>
      <c r="I451">
        <v>1800</v>
      </c>
      <c r="J451" s="10">
        <v>773</v>
      </c>
      <c r="K451" s="10">
        <f>SUMIFS(F:F,D:D,DST_123_ÜRETİM_İHTİYAÇ_RAPORU_BURAK_YENI1309[[#This Row],[ALT_KOD]])-(SUMIFS(H:H,D:D,DST_123_ÜRETİM_İHTİYAÇ_RAPORU_BURAK_YENI1309[[#This Row],[ALT_KOD]])+AVERAGEIFS(I:I,D:D,DST_123_ÜRETİM_İHTİYAÇ_RAPORU_BURAK_YENI1309[[#This Row],[ALT_KOD]])+AVERAGEIFS(L:L,D:D,DST_123_ÜRETİM_İHTİYAÇ_RAPORU_BURAK_YENI1309[[#This Row],[ALT_KOD]]))</f>
        <v>-1570</v>
      </c>
      <c r="L451">
        <v>0</v>
      </c>
      <c r="M451">
        <f>IF((DST_123_ÜRETİM_İHTİYAÇ_RAPORU_BURAK_YENI1309[[#This Row],[SATINALMA]]*DST_123_ÜRETİM_İHTİYAÇ_RAPORU_BURAK_YENI1309[[#This Row],[BIRIM_FIYATLAR]])&lt;1,VALUE("0"),DST_123_ÜRETİM_İHTİYAÇ_RAPORU_BURAK_YENI1309[[#This Row],[SATINALMA]]*DST_123_ÜRETİM_İHTİYAÇ_RAPORU_BURAK_YENI1309[[#This Row],[BIRIM_FIYATLAR]])</f>
        <v>0</v>
      </c>
      <c r="N451">
        <v>0.8</v>
      </c>
      <c r="O451" t="s">
        <v>240</v>
      </c>
      <c r="P451">
        <v>17.600000000000001</v>
      </c>
      <c r="Q451" t="s">
        <v>180</v>
      </c>
    </row>
    <row r="452" spans="1:17" x14ac:dyDescent="0.25">
      <c r="A452" t="s">
        <v>1059</v>
      </c>
      <c r="B452" t="s">
        <v>1058</v>
      </c>
      <c r="C452" t="s">
        <v>175</v>
      </c>
      <c r="D452" t="s">
        <v>64</v>
      </c>
      <c r="E452" t="s">
        <v>65</v>
      </c>
      <c r="F452">
        <v>1</v>
      </c>
      <c r="G452" t="s">
        <v>176</v>
      </c>
      <c r="H452">
        <v>1</v>
      </c>
      <c r="I452">
        <v>36</v>
      </c>
      <c r="J452" s="10">
        <v>12</v>
      </c>
      <c r="K452" s="10">
        <f>SUMIFS(F:F,D:D,DST_123_ÜRETİM_İHTİYAÇ_RAPORU_BURAK_YENI1309[[#This Row],[ALT_KOD]])-(SUMIFS(H:H,D:D,DST_123_ÜRETİM_İHTİYAÇ_RAPORU_BURAK_YENI1309[[#This Row],[ALT_KOD]])+AVERAGEIFS(I:I,D:D,DST_123_ÜRETİM_İHTİYAÇ_RAPORU_BURAK_YENI1309[[#This Row],[ALT_KOD]])+AVERAGEIFS(L:L,D:D,DST_123_ÜRETİM_İHTİYAÇ_RAPORU_BURAK_YENI1309[[#This Row],[ALT_KOD]]))</f>
        <v>-22</v>
      </c>
      <c r="L452">
        <v>0</v>
      </c>
      <c r="M452">
        <f>IF((DST_123_ÜRETİM_İHTİYAÇ_RAPORU_BURAK_YENI1309[[#This Row],[SATINALMA]]*DST_123_ÜRETİM_İHTİYAÇ_RAPORU_BURAK_YENI1309[[#This Row],[BIRIM_FIYATLAR]])&lt;1,VALUE("0"),DST_123_ÜRETİM_İHTİYAÇ_RAPORU_BURAK_YENI1309[[#This Row],[SATINALMA]]*DST_123_ÜRETİM_İHTİYAÇ_RAPORU_BURAK_YENI1309[[#This Row],[BIRIM_FIYATLAR]])</f>
        <v>0</v>
      </c>
      <c r="N452">
        <v>95</v>
      </c>
      <c r="O452" t="s">
        <v>217</v>
      </c>
      <c r="P452">
        <v>95</v>
      </c>
      <c r="Q452" t="s">
        <v>180</v>
      </c>
    </row>
    <row r="453" spans="1:17" x14ac:dyDescent="0.25">
      <c r="A453" t="s">
        <v>1095</v>
      </c>
      <c r="B453" t="s">
        <v>1096</v>
      </c>
      <c r="C453" t="s">
        <v>175</v>
      </c>
      <c r="D453" t="s">
        <v>64</v>
      </c>
      <c r="E453" t="s">
        <v>65</v>
      </c>
      <c r="F453">
        <v>2</v>
      </c>
      <c r="G453" t="s">
        <v>176</v>
      </c>
      <c r="H453">
        <v>0</v>
      </c>
      <c r="I453">
        <v>36</v>
      </c>
      <c r="J453" s="10">
        <v>12</v>
      </c>
      <c r="K453" s="10">
        <f>SUMIFS(F:F,D:D,DST_123_ÜRETİM_İHTİYAÇ_RAPORU_BURAK_YENI1309[[#This Row],[ALT_KOD]])-(SUMIFS(H:H,D:D,DST_123_ÜRETİM_İHTİYAÇ_RAPORU_BURAK_YENI1309[[#This Row],[ALT_KOD]])+AVERAGEIFS(I:I,D:D,DST_123_ÜRETİM_İHTİYAÇ_RAPORU_BURAK_YENI1309[[#This Row],[ALT_KOD]])+AVERAGEIFS(L:L,D:D,DST_123_ÜRETİM_İHTİYAÇ_RAPORU_BURAK_YENI1309[[#This Row],[ALT_KOD]]))</f>
        <v>-22</v>
      </c>
      <c r="L453">
        <v>0</v>
      </c>
      <c r="M453">
        <f>IF((DST_123_ÜRETİM_İHTİYAÇ_RAPORU_BURAK_YENI1309[[#This Row],[SATINALMA]]*DST_123_ÜRETİM_İHTİYAÇ_RAPORU_BURAK_YENI1309[[#This Row],[BIRIM_FIYATLAR]])&lt;1,VALUE("0"),DST_123_ÜRETİM_İHTİYAÇ_RAPORU_BURAK_YENI1309[[#This Row],[SATINALMA]]*DST_123_ÜRETİM_İHTİYAÇ_RAPORU_BURAK_YENI1309[[#This Row],[BIRIM_FIYATLAR]])</f>
        <v>0</v>
      </c>
      <c r="N453">
        <v>95</v>
      </c>
      <c r="O453" t="s">
        <v>217</v>
      </c>
      <c r="P453">
        <v>190</v>
      </c>
      <c r="Q453" t="s">
        <v>180</v>
      </c>
    </row>
    <row r="454" spans="1:17" x14ac:dyDescent="0.25">
      <c r="A454" t="s">
        <v>1143</v>
      </c>
      <c r="B454" t="s">
        <v>1056</v>
      </c>
      <c r="C454" t="s">
        <v>175</v>
      </c>
      <c r="D454" t="s">
        <v>64</v>
      </c>
      <c r="E454" t="s">
        <v>65</v>
      </c>
      <c r="F454">
        <v>1</v>
      </c>
      <c r="G454" t="s">
        <v>176</v>
      </c>
      <c r="H454">
        <v>0</v>
      </c>
      <c r="I454">
        <v>36</v>
      </c>
      <c r="J454" s="10">
        <v>12</v>
      </c>
      <c r="K454" s="10">
        <f>SUMIFS(F:F,D:D,DST_123_ÜRETİM_İHTİYAÇ_RAPORU_BURAK_YENI1309[[#This Row],[ALT_KOD]])-(SUMIFS(H:H,D:D,DST_123_ÜRETİM_İHTİYAÇ_RAPORU_BURAK_YENI1309[[#This Row],[ALT_KOD]])+AVERAGEIFS(I:I,D:D,DST_123_ÜRETİM_İHTİYAÇ_RAPORU_BURAK_YENI1309[[#This Row],[ALT_KOD]])+AVERAGEIFS(L:L,D:D,DST_123_ÜRETİM_İHTİYAÇ_RAPORU_BURAK_YENI1309[[#This Row],[ALT_KOD]]))</f>
        <v>-22</v>
      </c>
      <c r="L454">
        <v>0</v>
      </c>
      <c r="M454">
        <f>IF((DST_123_ÜRETİM_İHTİYAÇ_RAPORU_BURAK_YENI1309[[#This Row],[SATINALMA]]*DST_123_ÜRETİM_İHTİYAÇ_RAPORU_BURAK_YENI1309[[#This Row],[BIRIM_FIYATLAR]])&lt;1,VALUE("0"),DST_123_ÜRETİM_İHTİYAÇ_RAPORU_BURAK_YENI1309[[#This Row],[SATINALMA]]*DST_123_ÜRETİM_İHTİYAÇ_RAPORU_BURAK_YENI1309[[#This Row],[BIRIM_FIYATLAR]])</f>
        <v>0</v>
      </c>
      <c r="N454">
        <v>95</v>
      </c>
      <c r="O454" t="s">
        <v>217</v>
      </c>
      <c r="P454">
        <v>95</v>
      </c>
      <c r="Q454" t="s">
        <v>180</v>
      </c>
    </row>
    <row r="455" spans="1:17" x14ac:dyDescent="0.25">
      <c r="A455" t="s">
        <v>1097</v>
      </c>
      <c r="B455" t="s">
        <v>1055</v>
      </c>
      <c r="C455" t="s">
        <v>175</v>
      </c>
      <c r="D455" t="s">
        <v>752</v>
      </c>
      <c r="E455" t="s">
        <v>753</v>
      </c>
      <c r="F455">
        <v>1</v>
      </c>
      <c r="G455" t="s">
        <v>176</v>
      </c>
      <c r="H455">
        <v>1</v>
      </c>
      <c r="I455">
        <v>4</v>
      </c>
      <c r="J455" s="10">
        <v>3</v>
      </c>
      <c r="K455" s="10">
        <f>SUMIFS(F:F,D:D,DST_123_ÜRETİM_İHTİYAÇ_RAPORU_BURAK_YENI1309[[#This Row],[ALT_KOD]])-(SUMIFS(H:H,D:D,DST_123_ÜRETİM_İHTİYAÇ_RAPORU_BURAK_YENI1309[[#This Row],[ALT_KOD]])+AVERAGEIFS(I:I,D:D,DST_123_ÜRETİM_İHTİYAÇ_RAPORU_BURAK_YENI1309[[#This Row],[ALT_KOD]])+AVERAGEIFS(L:L,D:D,DST_123_ÜRETİM_İHTİYAÇ_RAPORU_BURAK_YENI1309[[#This Row],[ALT_KOD]]))</f>
        <v>-1</v>
      </c>
      <c r="L455">
        <v>0</v>
      </c>
      <c r="M455">
        <f>IF((DST_123_ÜRETİM_İHTİYAÇ_RAPORU_BURAK_YENI1309[[#This Row],[SATINALMA]]*DST_123_ÜRETİM_İHTİYAÇ_RAPORU_BURAK_YENI1309[[#This Row],[BIRIM_FIYATLAR]])&lt;1,VALUE("0"),DST_123_ÜRETİM_İHTİYAÇ_RAPORU_BURAK_YENI1309[[#This Row],[SATINALMA]]*DST_123_ÜRETİM_İHTİYAÇ_RAPORU_BURAK_YENI1309[[#This Row],[BIRIM_FIYATLAR]])</f>
        <v>0</v>
      </c>
      <c r="N455">
        <v>7450</v>
      </c>
      <c r="O455" t="s">
        <v>584</v>
      </c>
      <c r="P455">
        <v>7450</v>
      </c>
      <c r="Q455" t="s">
        <v>177</v>
      </c>
    </row>
    <row r="456" spans="1:17" x14ac:dyDescent="0.25">
      <c r="A456" t="s">
        <v>1144</v>
      </c>
      <c r="B456" t="s">
        <v>1145</v>
      </c>
      <c r="C456" t="s">
        <v>175</v>
      </c>
      <c r="D456" t="s">
        <v>64</v>
      </c>
      <c r="E456" t="s">
        <v>65</v>
      </c>
      <c r="F456">
        <v>1</v>
      </c>
      <c r="G456" t="s">
        <v>176</v>
      </c>
      <c r="H456">
        <v>0</v>
      </c>
      <c r="I456">
        <v>36</v>
      </c>
      <c r="J456" s="10">
        <v>12</v>
      </c>
      <c r="K456" s="10">
        <f>SUMIFS(F:F,D:D,DST_123_ÜRETİM_İHTİYAÇ_RAPORU_BURAK_YENI1309[[#This Row],[ALT_KOD]])-(SUMIFS(H:H,D:D,DST_123_ÜRETİM_İHTİYAÇ_RAPORU_BURAK_YENI1309[[#This Row],[ALT_KOD]])+AVERAGEIFS(I:I,D:D,DST_123_ÜRETİM_İHTİYAÇ_RAPORU_BURAK_YENI1309[[#This Row],[ALT_KOD]])+AVERAGEIFS(L:L,D:D,DST_123_ÜRETİM_İHTİYAÇ_RAPORU_BURAK_YENI1309[[#This Row],[ALT_KOD]]))</f>
        <v>-22</v>
      </c>
      <c r="L456">
        <v>0</v>
      </c>
      <c r="M456">
        <f>IF((DST_123_ÜRETİM_İHTİYAÇ_RAPORU_BURAK_YENI1309[[#This Row],[SATINALMA]]*DST_123_ÜRETİM_İHTİYAÇ_RAPORU_BURAK_YENI1309[[#This Row],[BIRIM_FIYATLAR]])&lt;1,VALUE("0"),DST_123_ÜRETİM_İHTİYAÇ_RAPORU_BURAK_YENI1309[[#This Row],[SATINALMA]]*DST_123_ÜRETİM_İHTİYAÇ_RAPORU_BURAK_YENI1309[[#This Row],[BIRIM_FIYATLAR]])</f>
        <v>0</v>
      </c>
      <c r="N456">
        <v>95</v>
      </c>
      <c r="O456" t="s">
        <v>217</v>
      </c>
      <c r="P456">
        <v>95</v>
      </c>
      <c r="Q456" t="s">
        <v>180</v>
      </c>
    </row>
    <row r="457" spans="1:17" x14ac:dyDescent="0.25">
      <c r="A457" t="s">
        <v>1146</v>
      </c>
      <c r="B457" t="s">
        <v>1145</v>
      </c>
      <c r="C457" t="s">
        <v>175</v>
      </c>
      <c r="D457" t="s">
        <v>64</v>
      </c>
      <c r="E457" t="s">
        <v>65</v>
      </c>
      <c r="F457">
        <v>1</v>
      </c>
      <c r="G457" t="s">
        <v>176</v>
      </c>
      <c r="H457">
        <v>0</v>
      </c>
      <c r="I457">
        <v>36</v>
      </c>
      <c r="J457" s="10">
        <v>12</v>
      </c>
      <c r="K457" s="10">
        <f>SUMIFS(F:F,D:D,DST_123_ÜRETİM_İHTİYAÇ_RAPORU_BURAK_YENI1309[[#This Row],[ALT_KOD]])-(SUMIFS(H:H,D:D,DST_123_ÜRETİM_İHTİYAÇ_RAPORU_BURAK_YENI1309[[#This Row],[ALT_KOD]])+AVERAGEIFS(I:I,D:D,DST_123_ÜRETİM_İHTİYAÇ_RAPORU_BURAK_YENI1309[[#This Row],[ALT_KOD]])+AVERAGEIFS(L:L,D:D,DST_123_ÜRETİM_İHTİYAÇ_RAPORU_BURAK_YENI1309[[#This Row],[ALT_KOD]]))</f>
        <v>-22</v>
      </c>
      <c r="L457">
        <v>0</v>
      </c>
      <c r="M457">
        <f>IF((DST_123_ÜRETİM_İHTİYAÇ_RAPORU_BURAK_YENI1309[[#This Row],[SATINALMA]]*DST_123_ÜRETİM_İHTİYAÇ_RAPORU_BURAK_YENI1309[[#This Row],[BIRIM_FIYATLAR]])&lt;1,VALUE("0"),DST_123_ÜRETİM_İHTİYAÇ_RAPORU_BURAK_YENI1309[[#This Row],[SATINALMA]]*DST_123_ÜRETİM_İHTİYAÇ_RAPORU_BURAK_YENI1309[[#This Row],[BIRIM_FIYATLAR]])</f>
        <v>0</v>
      </c>
      <c r="N457">
        <v>95</v>
      </c>
      <c r="O457" t="s">
        <v>217</v>
      </c>
      <c r="P457">
        <v>95</v>
      </c>
      <c r="Q457" t="s">
        <v>180</v>
      </c>
    </row>
    <row r="458" spans="1:17" x14ac:dyDescent="0.25">
      <c r="A458" t="s">
        <v>1142</v>
      </c>
      <c r="B458" t="s">
        <v>1056</v>
      </c>
      <c r="C458" t="s">
        <v>175</v>
      </c>
      <c r="D458" t="s">
        <v>64</v>
      </c>
      <c r="E458" t="s">
        <v>65</v>
      </c>
      <c r="F458">
        <v>1</v>
      </c>
      <c r="G458" t="s">
        <v>176</v>
      </c>
      <c r="H458">
        <v>0</v>
      </c>
      <c r="I458">
        <v>36</v>
      </c>
      <c r="J458" s="10">
        <v>12</v>
      </c>
      <c r="K458" s="10">
        <f>SUMIFS(F:F,D:D,DST_123_ÜRETİM_İHTİYAÇ_RAPORU_BURAK_YENI1309[[#This Row],[ALT_KOD]])-(SUMIFS(H:H,D:D,DST_123_ÜRETİM_İHTİYAÇ_RAPORU_BURAK_YENI1309[[#This Row],[ALT_KOD]])+AVERAGEIFS(I:I,D:D,DST_123_ÜRETİM_İHTİYAÇ_RAPORU_BURAK_YENI1309[[#This Row],[ALT_KOD]])+AVERAGEIFS(L:L,D:D,DST_123_ÜRETİM_İHTİYAÇ_RAPORU_BURAK_YENI1309[[#This Row],[ALT_KOD]]))</f>
        <v>-22</v>
      </c>
      <c r="L458">
        <v>0</v>
      </c>
      <c r="M458">
        <f>IF((DST_123_ÜRETİM_İHTİYAÇ_RAPORU_BURAK_YENI1309[[#This Row],[SATINALMA]]*DST_123_ÜRETİM_İHTİYAÇ_RAPORU_BURAK_YENI1309[[#This Row],[BIRIM_FIYATLAR]])&lt;1,VALUE("0"),DST_123_ÜRETİM_İHTİYAÇ_RAPORU_BURAK_YENI1309[[#This Row],[SATINALMA]]*DST_123_ÜRETİM_İHTİYAÇ_RAPORU_BURAK_YENI1309[[#This Row],[BIRIM_FIYATLAR]])</f>
        <v>0</v>
      </c>
      <c r="N458">
        <v>95</v>
      </c>
      <c r="O458" t="s">
        <v>217</v>
      </c>
      <c r="P458">
        <v>95</v>
      </c>
      <c r="Q458" t="s">
        <v>180</v>
      </c>
    </row>
    <row r="459" spans="1:17" x14ac:dyDescent="0.25">
      <c r="A459" t="s">
        <v>1196</v>
      </c>
      <c r="B459" t="s">
        <v>1197</v>
      </c>
      <c r="C459" t="s">
        <v>175</v>
      </c>
      <c r="D459" t="s">
        <v>528</v>
      </c>
      <c r="E459" t="s">
        <v>529</v>
      </c>
      <c r="F459">
        <v>10</v>
      </c>
      <c r="G459" t="s">
        <v>176</v>
      </c>
      <c r="H459">
        <v>0</v>
      </c>
      <c r="I459">
        <v>1800</v>
      </c>
      <c r="J459" s="10">
        <v>773</v>
      </c>
      <c r="K459" s="10">
        <f>SUMIFS(F:F,D:D,DST_123_ÜRETİM_İHTİYAÇ_RAPORU_BURAK_YENI1309[[#This Row],[ALT_KOD]])-(SUMIFS(H:H,D:D,DST_123_ÜRETİM_İHTİYAÇ_RAPORU_BURAK_YENI1309[[#This Row],[ALT_KOD]])+AVERAGEIFS(I:I,D:D,DST_123_ÜRETİM_İHTİYAÇ_RAPORU_BURAK_YENI1309[[#This Row],[ALT_KOD]])+AVERAGEIFS(L:L,D:D,DST_123_ÜRETİM_İHTİYAÇ_RAPORU_BURAK_YENI1309[[#This Row],[ALT_KOD]]))</f>
        <v>-1570</v>
      </c>
      <c r="L459">
        <v>0</v>
      </c>
      <c r="M459">
        <f>IF((DST_123_ÜRETİM_İHTİYAÇ_RAPORU_BURAK_YENI1309[[#This Row],[SATINALMA]]*DST_123_ÜRETİM_İHTİYAÇ_RAPORU_BURAK_YENI1309[[#This Row],[BIRIM_FIYATLAR]])&lt;1,VALUE("0"),DST_123_ÜRETİM_İHTİYAÇ_RAPORU_BURAK_YENI1309[[#This Row],[SATINALMA]]*DST_123_ÜRETİM_İHTİYAÇ_RAPORU_BURAK_YENI1309[[#This Row],[BIRIM_FIYATLAR]])</f>
        <v>0</v>
      </c>
      <c r="N459">
        <v>0.8</v>
      </c>
      <c r="O459" t="s">
        <v>240</v>
      </c>
      <c r="P459">
        <v>8</v>
      </c>
      <c r="Q459" t="s">
        <v>180</v>
      </c>
    </row>
    <row r="460" spans="1:17" x14ac:dyDescent="0.25">
      <c r="A460" t="s">
        <v>1099</v>
      </c>
      <c r="B460" t="s">
        <v>1055</v>
      </c>
      <c r="C460" t="s">
        <v>175</v>
      </c>
      <c r="D460" t="s">
        <v>528</v>
      </c>
      <c r="E460" t="s">
        <v>529</v>
      </c>
      <c r="F460">
        <v>21</v>
      </c>
      <c r="G460" t="s">
        <v>176</v>
      </c>
      <c r="H460">
        <v>0</v>
      </c>
      <c r="I460">
        <v>1800</v>
      </c>
      <c r="J460" s="10">
        <v>773</v>
      </c>
      <c r="K460" s="10">
        <f>SUMIFS(F:F,D:D,DST_123_ÜRETİM_İHTİYAÇ_RAPORU_BURAK_YENI1309[[#This Row],[ALT_KOD]])-(SUMIFS(H:H,D:D,DST_123_ÜRETİM_İHTİYAÇ_RAPORU_BURAK_YENI1309[[#This Row],[ALT_KOD]])+AVERAGEIFS(I:I,D:D,DST_123_ÜRETİM_İHTİYAÇ_RAPORU_BURAK_YENI1309[[#This Row],[ALT_KOD]])+AVERAGEIFS(L:L,D:D,DST_123_ÜRETİM_İHTİYAÇ_RAPORU_BURAK_YENI1309[[#This Row],[ALT_KOD]]))</f>
        <v>-1570</v>
      </c>
      <c r="L460">
        <v>0</v>
      </c>
      <c r="M460">
        <f>IF((DST_123_ÜRETİM_İHTİYAÇ_RAPORU_BURAK_YENI1309[[#This Row],[SATINALMA]]*DST_123_ÜRETİM_İHTİYAÇ_RAPORU_BURAK_YENI1309[[#This Row],[BIRIM_FIYATLAR]])&lt;1,VALUE("0"),DST_123_ÜRETİM_İHTİYAÇ_RAPORU_BURAK_YENI1309[[#This Row],[SATINALMA]]*DST_123_ÜRETİM_İHTİYAÇ_RAPORU_BURAK_YENI1309[[#This Row],[BIRIM_FIYATLAR]])</f>
        <v>0</v>
      </c>
      <c r="N460">
        <v>0.8</v>
      </c>
      <c r="O460" t="s">
        <v>240</v>
      </c>
      <c r="P460">
        <v>16.8</v>
      </c>
      <c r="Q460" t="s">
        <v>180</v>
      </c>
    </row>
    <row r="461" spans="1:17" x14ac:dyDescent="0.25">
      <c r="A461" t="s">
        <v>1150</v>
      </c>
      <c r="B461" t="s">
        <v>1145</v>
      </c>
      <c r="C461" t="s">
        <v>175</v>
      </c>
      <c r="D461" t="s">
        <v>528</v>
      </c>
      <c r="E461" t="s">
        <v>529</v>
      </c>
      <c r="F461">
        <v>10</v>
      </c>
      <c r="G461" t="s">
        <v>176</v>
      </c>
      <c r="H461">
        <v>0</v>
      </c>
      <c r="I461">
        <v>1800</v>
      </c>
      <c r="J461" s="10">
        <v>773</v>
      </c>
      <c r="K461" s="10">
        <f>SUMIFS(F:F,D:D,DST_123_ÜRETİM_İHTİYAÇ_RAPORU_BURAK_YENI1309[[#This Row],[ALT_KOD]])-(SUMIFS(H:H,D:D,DST_123_ÜRETİM_İHTİYAÇ_RAPORU_BURAK_YENI1309[[#This Row],[ALT_KOD]])+AVERAGEIFS(I:I,D:D,DST_123_ÜRETİM_İHTİYAÇ_RAPORU_BURAK_YENI1309[[#This Row],[ALT_KOD]])+AVERAGEIFS(L:L,D:D,DST_123_ÜRETİM_İHTİYAÇ_RAPORU_BURAK_YENI1309[[#This Row],[ALT_KOD]]))</f>
        <v>-1570</v>
      </c>
      <c r="L461">
        <v>0</v>
      </c>
      <c r="M461">
        <f>IF((DST_123_ÜRETİM_İHTİYAÇ_RAPORU_BURAK_YENI1309[[#This Row],[SATINALMA]]*DST_123_ÜRETİM_İHTİYAÇ_RAPORU_BURAK_YENI1309[[#This Row],[BIRIM_FIYATLAR]])&lt;1,VALUE("0"),DST_123_ÜRETİM_İHTİYAÇ_RAPORU_BURAK_YENI1309[[#This Row],[SATINALMA]]*DST_123_ÜRETİM_İHTİYAÇ_RAPORU_BURAK_YENI1309[[#This Row],[BIRIM_FIYATLAR]])</f>
        <v>0</v>
      </c>
      <c r="N461">
        <v>0.8</v>
      </c>
      <c r="O461" t="s">
        <v>240</v>
      </c>
      <c r="P461">
        <v>8</v>
      </c>
      <c r="Q461" t="s">
        <v>180</v>
      </c>
    </row>
    <row r="462" spans="1:17" x14ac:dyDescent="0.25">
      <c r="A462" t="s">
        <v>1147</v>
      </c>
      <c r="B462" t="s">
        <v>1145</v>
      </c>
      <c r="C462" t="s">
        <v>175</v>
      </c>
      <c r="D462" t="s">
        <v>528</v>
      </c>
      <c r="E462" t="s">
        <v>529</v>
      </c>
      <c r="F462">
        <v>10</v>
      </c>
      <c r="G462" t="s">
        <v>176</v>
      </c>
      <c r="H462">
        <v>0</v>
      </c>
      <c r="I462">
        <v>1800</v>
      </c>
      <c r="J462" s="10">
        <v>773</v>
      </c>
      <c r="K462" s="10">
        <f>SUMIFS(F:F,D:D,DST_123_ÜRETİM_İHTİYAÇ_RAPORU_BURAK_YENI1309[[#This Row],[ALT_KOD]])-(SUMIFS(H:H,D:D,DST_123_ÜRETİM_İHTİYAÇ_RAPORU_BURAK_YENI1309[[#This Row],[ALT_KOD]])+AVERAGEIFS(I:I,D:D,DST_123_ÜRETİM_İHTİYAÇ_RAPORU_BURAK_YENI1309[[#This Row],[ALT_KOD]])+AVERAGEIFS(L:L,D:D,DST_123_ÜRETİM_İHTİYAÇ_RAPORU_BURAK_YENI1309[[#This Row],[ALT_KOD]]))</f>
        <v>-1570</v>
      </c>
      <c r="L462">
        <v>0</v>
      </c>
      <c r="M462">
        <f>IF((DST_123_ÜRETİM_İHTİYAÇ_RAPORU_BURAK_YENI1309[[#This Row],[SATINALMA]]*DST_123_ÜRETİM_İHTİYAÇ_RAPORU_BURAK_YENI1309[[#This Row],[BIRIM_FIYATLAR]])&lt;1,VALUE("0"),DST_123_ÜRETİM_İHTİYAÇ_RAPORU_BURAK_YENI1309[[#This Row],[SATINALMA]]*DST_123_ÜRETİM_İHTİYAÇ_RAPORU_BURAK_YENI1309[[#This Row],[BIRIM_FIYATLAR]])</f>
        <v>0</v>
      </c>
      <c r="N462">
        <v>0.8</v>
      </c>
      <c r="O462" t="s">
        <v>240</v>
      </c>
      <c r="P462">
        <v>8</v>
      </c>
      <c r="Q462" t="s">
        <v>180</v>
      </c>
    </row>
    <row r="463" spans="1:17" x14ac:dyDescent="0.25">
      <c r="A463" t="s">
        <v>1148</v>
      </c>
      <c r="B463" t="s">
        <v>1056</v>
      </c>
      <c r="C463" t="s">
        <v>175</v>
      </c>
      <c r="D463" t="s">
        <v>752</v>
      </c>
      <c r="E463" t="s">
        <v>753</v>
      </c>
      <c r="F463">
        <v>1</v>
      </c>
      <c r="G463" t="s">
        <v>176</v>
      </c>
      <c r="H463">
        <v>0</v>
      </c>
      <c r="I463">
        <v>4</v>
      </c>
      <c r="J463" s="10">
        <v>3</v>
      </c>
      <c r="K463" s="10">
        <f>SUMIFS(F:F,D:D,DST_123_ÜRETİM_İHTİYAÇ_RAPORU_BURAK_YENI1309[[#This Row],[ALT_KOD]])-(SUMIFS(H:H,D:D,DST_123_ÜRETİM_İHTİYAÇ_RAPORU_BURAK_YENI1309[[#This Row],[ALT_KOD]])+AVERAGEIFS(I:I,D:D,DST_123_ÜRETİM_İHTİYAÇ_RAPORU_BURAK_YENI1309[[#This Row],[ALT_KOD]])+AVERAGEIFS(L:L,D:D,DST_123_ÜRETİM_İHTİYAÇ_RAPORU_BURAK_YENI1309[[#This Row],[ALT_KOD]]))</f>
        <v>-1</v>
      </c>
      <c r="L463">
        <v>0</v>
      </c>
      <c r="M463">
        <f>IF((DST_123_ÜRETİM_İHTİYAÇ_RAPORU_BURAK_YENI1309[[#This Row],[SATINALMA]]*DST_123_ÜRETİM_İHTİYAÇ_RAPORU_BURAK_YENI1309[[#This Row],[BIRIM_FIYATLAR]])&lt;1,VALUE("0"),DST_123_ÜRETİM_İHTİYAÇ_RAPORU_BURAK_YENI1309[[#This Row],[SATINALMA]]*DST_123_ÜRETİM_İHTİYAÇ_RAPORU_BURAK_YENI1309[[#This Row],[BIRIM_FIYATLAR]])</f>
        <v>0</v>
      </c>
      <c r="N463">
        <v>7450</v>
      </c>
      <c r="O463" t="s">
        <v>584</v>
      </c>
      <c r="P463">
        <v>7450</v>
      </c>
      <c r="Q463" t="s">
        <v>177</v>
      </c>
    </row>
    <row r="464" spans="1:17" x14ac:dyDescent="0.25">
      <c r="A464" t="s">
        <v>1100</v>
      </c>
      <c r="B464" t="s">
        <v>1058</v>
      </c>
      <c r="C464" t="s">
        <v>175</v>
      </c>
      <c r="D464" t="s">
        <v>398</v>
      </c>
      <c r="E464" t="s">
        <v>399</v>
      </c>
      <c r="F464">
        <v>0.05</v>
      </c>
      <c r="G464" t="s">
        <v>185</v>
      </c>
      <c r="H464">
        <v>0</v>
      </c>
      <c r="I464">
        <v>3</v>
      </c>
      <c r="J464" s="10">
        <v>0</v>
      </c>
      <c r="K464" s="10">
        <f>SUMIFS(F:F,D:D,DST_123_ÜRETİM_İHTİYAÇ_RAPORU_BURAK_YENI1309[[#This Row],[ALT_KOD]])-(SUMIFS(H:H,D:D,DST_123_ÜRETİM_İHTİYAÇ_RAPORU_BURAK_YENI1309[[#This Row],[ALT_KOD]])+AVERAGEIFS(I:I,D:D,DST_123_ÜRETİM_İHTİYAÇ_RAPORU_BURAK_YENI1309[[#This Row],[ALT_KOD]])+AVERAGEIFS(L:L,D:D,DST_123_ÜRETİM_İHTİYAÇ_RAPORU_BURAK_YENI1309[[#This Row],[ALT_KOD]]))</f>
        <v>-2.75</v>
      </c>
      <c r="L464">
        <v>0</v>
      </c>
      <c r="M464">
        <f>IF((DST_123_ÜRETİM_İHTİYAÇ_RAPORU_BURAK_YENI1309[[#This Row],[SATINALMA]]*DST_123_ÜRETİM_İHTİYAÇ_RAPORU_BURAK_YENI1309[[#This Row],[BIRIM_FIYATLAR]])&lt;1,VALUE("0"),DST_123_ÜRETİM_İHTİYAÇ_RAPORU_BURAK_YENI1309[[#This Row],[SATINALMA]]*DST_123_ÜRETİM_İHTİYAÇ_RAPORU_BURAK_YENI1309[[#This Row],[BIRIM_FIYATLAR]])</f>
        <v>0</v>
      </c>
      <c r="N464">
        <v>148.31</v>
      </c>
      <c r="P464">
        <v>7.4155000000000006</v>
      </c>
      <c r="Q464" t="s">
        <v>183</v>
      </c>
    </row>
    <row r="465" spans="1:17" x14ac:dyDescent="0.25">
      <c r="A465" t="s">
        <v>1099</v>
      </c>
      <c r="B465" t="s">
        <v>1055</v>
      </c>
      <c r="C465" t="s">
        <v>175</v>
      </c>
      <c r="D465" t="s">
        <v>752</v>
      </c>
      <c r="E465" t="s">
        <v>753</v>
      </c>
      <c r="F465">
        <v>1</v>
      </c>
      <c r="G465" t="s">
        <v>176</v>
      </c>
      <c r="H465">
        <v>1</v>
      </c>
      <c r="I465">
        <v>4</v>
      </c>
      <c r="J465" s="10">
        <v>3</v>
      </c>
      <c r="K465" s="10">
        <f>SUMIFS(F:F,D:D,DST_123_ÜRETİM_İHTİYAÇ_RAPORU_BURAK_YENI1309[[#This Row],[ALT_KOD]])-(SUMIFS(H:H,D:D,DST_123_ÜRETİM_İHTİYAÇ_RAPORU_BURAK_YENI1309[[#This Row],[ALT_KOD]])+AVERAGEIFS(I:I,D:D,DST_123_ÜRETİM_İHTİYAÇ_RAPORU_BURAK_YENI1309[[#This Row],[ALT_KOD]])+AVERAGEIFS(L:L,D:D,DST_123_ÜRETİM_İHTİYAÇ_RAPORU_BURAK_YENI1309[[#This Row],[ALT_KOD]]))</f>
        <v>-1</v>
      </c>
      <c r="L465">
        <v>0</v>
      </c>
      <c r="M465">
        <f>IF((DST_123_ÜRETİM_İHTİYAÇ_RAPORU_BURAK_YENI1309[[#This Row],[SATINALMA]]*DST_123_ÜRETİM_İHTİYAÇ_RAPORU_BURAK_YENI1309[[#This Row],[BIRIM_FIYATLAR]])&lt;1,VALUE("0"),DST_123_ÜRETİM_İHTİYAÇ_RAPORU_BURAK_YENI1309[[#This Row],[SATINALMA]]*DST_123_ÜRETİM_İHTİYAÇ_RAPORU_BURAK_YENI1309[[#This Row],[BIRIM_FIYATLAR]])</f>
        <v>0</v>
      </c>
      <c r="N465">
        <v>7450</v>
      </c>
      <c r="O465" t="s">
        <v>584</v>
      </c>
      <c r="P465">
        <v>7450</v>
      </c>
      <c r="Q465" t="s">
        <v>177</v>
      </c>
    </row>
    <row r="466" spans="1:17" x14ac:dyDescent="0.25">
      <c r="A466" t="s">
        <v>1060</v>
      </c>
      <c r="B466" t="s">
        <v>1061</v>
      </c>
      <c r="C466" t="s">
        <v>175</v>
      </c>
      <c r="D466" t="s">
        <v>528</v>
      </c>
      <c r="E466" t="s">
        <v>529</v>
      </c>
      <c r="F466">
        <v>10</v>
      </c>
      <c r="G466" t="s">
        <v>176</v>
      </c>
      <c r="H466">
        <v>0</v>
      </c>
      <c r="I466">
        <v>1800</v>
      </c>
      <c r="J466" s="10">
        <v>773</v>
      </c>
      <c r="K466" s="10">
        <f>SUMIFS(F:F,D:D,DST_123_ÜRETİM_İHTİYAÇ_RAPORU_BURAK_YENI1309[[#This Row],[ALT_KOD]])-(SUMIFS(H:H,D:D,DST_123_ÜRETİM_İHTİYAÇ_RAPORU_BURAK_YENI1309[[#This Row],[ALT_KOD]])+AVERAGEIFS(I:I,D:D,DST_123_ÜRETİM_İHTİYAÇ_RAPORU_BURAK_YENI1309[[#This Row],[ALT_KOD]])+AVERAGEIFS(L:L,D:D,DST_123_ÜRETİM_İHTİYAÇ_RAPORU_BURAK_YENI1309[[#This Row],[ALT_KOD]]))</f>
        <v>-1570</v>
      </c>
      <c r="L466">
        <v>0</v>
      </c>
      <c r="M466">
        <f>IF((DST_123_ÜRETİM_İHTİYAÇ_RAPORU_BURAK_YENI1309[[#This Row],[SATINALMA]]*DST_123_ÜRETİM_İHTİYAÇ_RAPORU_BURAK_YENI1309[[#This Row],[BIRIM_FIYATLAR]])&lt;1,VALUE("0"),DST_123_ÜRETİM_İHTİYAÇ_RAPORU_BURAK_YENI1309[[#This Row],[SATINALMA]]*DST_123_ÜRETİM_İHTİYAÇ_RAPORU_BURAK_YENI1309[[#This Row],[BIRIM_FIYATLAR]])</f>
        <v>0</v>
      </c>
      <c r="N466">
        <v>0.8</v>
      </c>
      <c r="O466" t="s">
        <v>240</v>
      </c>
      <c r="P466">
        <v>8</v>
      </c>
      <c r="Q466" t="s">
        <v>180</v>
      </c>
    </row>
    <row r="467" spans="1:17" x14ac:dyDescent="0.25">
      <c r="A467" t="s">
        <v>1098</v>
      </c>
      <c r="B467" t="s">
        <v>1096</v>
      </c>
      <c r="C467" t="s">
        <v>175</v>
      </c>
      <c r="D467" t="s">
        <v>64</v>
      </c>
      <c r="E467" t="s">
        <v>65</v>
      </c>
      <c r="F467">
        <v>2</v>
      </c>
      <c r="G467" t="s">
        <v>176</v>
      </c>
      <c r="H467">
        <v>0</v>
      </c>
      <c r="I467">
        <v>36</v>
      </c>
      <c r="J467" s="10">
        <v>12</v>
      </c>
      <c r="K467" s="10">
        <f>SUMIFS(F:F,D:D,DST_123_ÜRETİM_İHTİYAÇ_RAPORU_BURAK_YENI1309[[#This Row],[ALT_KOD]])-(SUMIFS(H:H,D:D,DST_123_ÜRETİM_İHTİYAÇ_RAPORU_BURAK_YENI1309[[#This Row],[ALT_KOD]])+AVERAGEIFS(I:I,D:D,DST_123_ÜRETİM_İHTİYAÇ_RAPORU_BURAK_YENI1309[[#This Row],[ALT_KOD]])+AVERAGEIFS(L:L,D:D,DST_123_ÜRETİM_İHTİYAÇ_RAPORU_BURAK_YENI1309[[#This Row],[ALT_KOD]]))</f>
        <v>-22</v>
      </c>
      <c r="L467">
        <v>0</v>
      </c>
      <c r="M467">
        <f>IF((DST_123_ÜRETİM_İHTİYAÇ_RAPORU_BURAK_YENI1309[[#This Row],[SATINALMA]]*DST_123_ÜRETİM_İHTİYAÇ_RAPORU_BURAK_YENI1309[[#This Row],[BIRIM_FIYATLAR]])&lt;1,VALUE("0"),DST_123_ÜRETİM_İHTİYAÇ_RAPORU_BURAK_YENI1309[[#This Row],[SATINALMA]]*DST_123_ÜRETİM_İHTİYAÇ_RAPORU_BURAK_YENI1309[[#This Row],[BIRIM_FIYATLAR]])</f>
        <v>0</v>
      </c>
      <c r="N467">
        <v>95</v>
      </c>
      <c r="O467" t="s">
        <v>217</v>
      </c>
      <c r="P467">
        <v>190</v>
      </c>
      <c r="Q467" t="s">
        <v>180</v>
      </c>
    </row>
    <row r="468" spans="1:17" x14ac:dyDescent="0.25">
      <c r="A468" t="s">
        <v>1146</v>
      </c>
      <c r="B468" t="s">
        <v>1145</v>
      </c>
      <c r="C468" t="s">
        <v>175</v>
      </c>
      <c r="D468" t="s">
        <v>46</v>
      </c>
      <c r="E468" t="s">
        <v>47</v>
      </c>
      <c r="F468">
        <v>4</v>
      </c>
      <c r="G468" t="s">
        <v>176</v>
      </c>
      <c r="H468">
        <v>0</v>
      </c>
      <c r="I468">
        <v>75</v>
      </c>
      <c r="J468" s="10">
        <v>60</v>
      </c>
      <c r="K468" s="10">
        <f>SUMIFS(F:F,D:D,DST_123_ÜRETİM_İHTİYAÇ_RAPORU_BURAK_YENI1309[[#This Row],[ALT_KOD]])-(SUMIFS(H:H,D:D,DST_123_ÜRETİM_İHTİYAÇ_RAPORU_BURAK_YENI1309[[#This Row],[ALT_KOD]])+AVERAGEIFS(I:I,D:D,DST_123_ÜRETİM_İHTİYAÇ_RAPORU_BURAK_YENI1309[[#This Row],[ALT_KOD]])+AVERAGEIFS(L:L,D:D,DST_123_ÜRETİM_İHTİYAÇ_RAPORU_BURAK_YENI1309[[#This Row],[ALT_KOD]]))</f>
        <v>-31</v>
      </c>
      <c r="L468">
        <v>0</v>
      </c>
      <c r="M468">
        <f>IF((DST_123_ÜRETİM_İHTİYAÇ_RAPORU_BURAK_YENI1309[[#This Row],[SATINALMA]]*DST_123_ÜRETİM_İHTİYAÇ_RAPORU_BURAK_YENI1309[[#This Row],[BIRIM_FIYATLAR]])&lt;1,VALUE("0"),DST_123_ÜRETİM_İHTİYAÇ_RAPORU_BURAK_YENI1309[[#This Row],[SATINALMA]]*DST_123_ÜRETİM_İHTİYAÇ_RAPORU_BURAK_YENI1309[[#This Row],[BIRIM_FIYATLAR]])</f>
        <v>0</v>
      </c>
      <c r="N468">
        <v>170</v>
      </c>
      <c r="O468" t="s">
        <v>245</v>
      </c>
      <c r="P468">
        <v>680</v>
      </c>
      <c r="Q468" t="s">
        <v>180</v>
      </c>
    </row>
    <row r="469" spans="1:17" x14ac:dyDescent="0.25">
      <c r="A469" t="s">
        <v>1144</v>
      </c>
      <c r="B469" t="s">
        <v>1145</v>
      </c>
      <c r="C469" t="s">
        <v>175</v>
      </c>
      <c r="D469" t="s">
        <v>46</v>
      </c>
      <c r="E469" t="s">
        <v>47</v>
      </c>
      <c r="F469">
        <v>4</v>
      </c>
      <c r="G469" t="s">
        <v>176</v>
      </c>
      <c r="H469">
        <v>0</v>
      </c>
      <c r="I469">
        <v>75</v>
      </c>
      <c r="J469" s="10">
        <v>60</v>
      </c>
      <c r="K469" s="10">
        <f>SUMIFS(F:F,D:D,DST_123_ÜRETİM_İHTİYAÇ_RAPORU_BURAK_YENI1309[[#This Row],[ALT_KOD]])-(SUMIFS(H:H,D:D,DST_123_ÜRETİM_İHTİYAÇ_RAPORU_BURAK_YENI1309[[#This Row],[ALT_KOD]])+AVERAGEIFS(I:I,D:D,DST_123_ÜRETİM_İHTİYAÇ_RAPORU_BURAK_YENI1309[[#This Row],[ALT_KOD]])+AVERAGEIFS(L:L,D:D,DST_123_ÜRETİM_İHTİYAÇ_RAPORU_BURAK_YENI1309[[#This Row],[ALT_KOD]]))</f>
        <v>-31</v>
      </c>
      <c r="L469">
        <v>0</v>
      </c>
      <c r="M469">
        <f>IF((DST_123_ÜRETİM_İHTİYAÇ_RAPORU_BURAK_YENI1309[[#This Row],[SATINALMA]]*DST_123_ÜRETİM_İHTİYAÇ_RAPORU_BURAK_YENI1309[[#This Row],[BIRIM_FIYATLAR]])&lt;1,VALUE("0"),DST_123_ÜRETİM_İHTİYAÇ_RAPORU_BURAK_YENI1309[[#This Row],[SATINALMA]]*DST_123_ÜRETİM_İHTİYAÇ_RAPORU_BURAK_YENI1309[[#This Row],[BIRIM_FIYATLAR]])</f>
        <v>0</v>
      </c>
      <c r="N469">
        <v>170</v>
      </c>
      <c r="O469" t="s">
        <v>245</v>
      </c>
      <c r="P469">
        <v>680</v>
      </c>
      <c r="Q469" t="s">
        <v>180</v>
      </c>
    </row>
    <row r="470" spans="1:17" x14ac:dyDescent="0.25">
      <c r="A470" t="s">
        <v>1149</v>
      </c>
      <c r="B470" t="s">
        <v>1145</v>
      </c>
      <c r="C470" t="s">
        <v>175</v>
      </c>
      <c r="D470" t="s">
        <v>722</v>
      </c>
      <c r="E470" t="s">
        <v>723</v>
      </c>
      <c r="F470">
        <v>8</v>
      </c>
      <c r="G470" t="s">
        <v>176</v>
      </c>
      <c r="H470">
        <v>0</v>
      </c>
      <c r="I470">
        <v>1270</v>
      </c>
      <c r="J470" s="10">
        <v>698</v>
      </c>
      <c r="K470" s="10">
        <f>SUMIFS(F:F,D:D,DST_123_ÜRETİM_İHTİYAÇ_RAPORU_BURAK_YENI1309[[#This Row],[ALT_KOD]])-(SUMIFS(H:H,D:D,DST_123_ÜRETİM_İHTİYAÇ_RAPORU_BURAK_YENI1309[[#This Row],[ALT_KOD]])+AVERAGEIFS(I:I,D:D,DST_123_ÜRETİM_İHTİYAÇ_RAPORU_BURAK_YENI1309[[#This Row],[ALT_KOD]])+AVERAGEIFS(L:L,D:D,DST_123_ÜRETİM_İHTİYAÇ_RAPORU_BURAK_YENI1309[[#This Row],[ALT_KOD]]))</f>
        <v>-1174</v>
      </c>
      <c r="L470">
        <v>0</v>
      </c>
      <c r="M470">
        <f>IF((DST_123_ÜRETİM_İHTİYAÇ_RAPORU_BURAK_YENI1309[[#This Row],[SATINALMA]]*DST_123_ÜRETİM_İHTİYAÇ_RAPORU_BURAK_YENI1309[[#This Row],[BIRIM_FIYATLAR]])&lt;1,VALUE("0"),DST_123_ÜRETİM_İHTİYAÇ_RAPORU_BURAK_YENI1309[[#This Row],[SATINALMA]]*DST_123_ÜRETİM_İHTİYAÇ_RAPORU_BURAK_YENI1309[[#This Row],[BIRIM_FIYATLAR]])</f>
        <v>0</v>
      </c>
      <c r="N470">
        <v>0.55000000000000004</v>
      </c>
      <c r="O470" t="s">
        <v>240</v>
      </c>
      <c r="P470">
        <v>4.4000000000000004</v>
      </c>
      <c r="Q470" t="s">
        <v>180</v>
      </c>
    </row>
    <row r="471" spans="1:17" x14ac:dyDescent="0.25">
      <c r="A471" t="s">
        <v>1064</v>
      </c>
      <c r="B471" t="s">
        <v>1055</v>
      </c>
      <c r="C471" t="s">
        <v>175</v>
      </c>
      <c r="D471" t="s">
        <v>530</v>
      </c>
      <c r="E471" t="s">
        <v>531</v>
      </c>
      <c r="F471">
        <v>0.25</v>
      </c>
      <c r="G471" t="s">
        <v>176</v>
      </c>
      <c r="H471">
        <v>0.25</v>
      </c>
      <c r="I471">
        <v>5</v>
      </c>
      <c r="J471" s="10">
        <v>9.7999999999999954</v>
      </c>
      <c r="K471" s="10">
        <f>SUMIFS(F:F,D:D,DST_123_ÜRETİM_İHTİYAÇ_RAPORU_BURAK_YENI1309[[#This Row],[ALT_KOD]])-(SUMIFS(H:H,D:D,DST_123_ÜRETİM_İHTİYAÇ_RAPORU_BURAK_YENI1309[[#This Row],[ALT_KOD]])+AVERAGEIFS(I:I,D:D,DST_123_ÜRETİM_İHTİYAÇ_RAPORU_BURAK_YENI1309[[#This Row],[ALT_KOD]])+AVERAGEIFS(L:L,D:D,DST_123_ÜRETİM_İHTİYAÇ_RAPORU_BURAK_YENI1309[[#This Row],[ALT_KOD]]))</f>
        <v>0.19999999999999929</v>
      </c>
      <c r="L471">
        <v>0</v>
      </c>
      <c r="M471">
        <f>IF((DST_123_ÜRETİM_İHTİYAÇ_RAPORU_BURAK_YENI1309[[#This Row],[SATINALMA]]*DST_123_ÜRETİM_İHTİYAÇ_RAPORU_BURAK_YENI1309[[#This Row],[BIRIM_FIYATLAR]])&lt;1,VALUE("0"),DST_123_ÜRETİM_İHTİYAÇ_RAPORU_BURAK_YENI1309[[#This Row],[SATINALMA]]*DST_123_ÜRETİM_İHTİYAÇ_RAPORU_BURAK_YENI1309[[#This Row],[BIRIM_FIYATLAR]])</f>
        <v>7.599999999999973</v>
      </c>
      <c r="N471">
        <v>38</v>
      </c>
      <c r="O471" t="s">
        <v>240</v>
      </c>
      <c r="P471">
        <v>9.5</v>
      </c>
      <c r="Q471" t="s">
        <v>180</v>
      </c>
    </row>
    <row r="472" spans="1:17" x14ac:dyDescent="0.25">
      <c r="A472" t="s">
        <v>1196</v>
      </c>
      <c r="B472" t="s">
        <v>1197</v>
      </c>
      <c r="C472" t="s">
        <v>175</v>
      </c>
      <c r="D472" t="s">
        <v>530</v>
      </c>
      <c r="E472" t="s">
        <v>531</v>
      </c>
      <c r="F472">
        <v>0.35</v>
      </c>
      <c r="G472" t="s">
        <v>176</v>
      </c>
      <c r="H472">
        <v>0</v>
      </c>
      <c r="I472">
        <v>5</v>
      </c>
      <c r="J472" s="10">
        <v>9.7999999999999954</v>
      </c>
      <c r="K472" s="10">
        <f>SUMIFS(F:F,D:D,DST_123_ÜRETİM_İHTİYAÇ_RAPORU_BURAK_YENI1309[[#This Row],[ALT_KOD]])-(SUMIFS(H:H,D:D,DST_123_ÜRETİM_İHTİYAÇ_RAPORU_BURAK_YENI1309[[#This Row],[ALT_KOD]])+AVERAGEIFS(I:I,D:D,DST_123_ÜRETİM_İHTİYAÇ_RAPORU_BURAK_YENI1309[[#This Row],[ALT_KOD]])+AVERAGEIFS(L:L,D:D,DST_123_ÜRETİM_İHTİYAÇ_RAPORU_BURAK_YENI1309[[#This Row],[ALT_KOD]]))</f>
        <v>0.19999999999999929</v>
      </c>
      <c r="L472">
        <v>0</v>
      </c>
      <c r="M472">
        <f>IF((DST_123_ÜRETİM_İHTİYAÇ_RAPORU_BURAK_YENI1309[[#This Row],[SATINALMA]]*DST_123_ÜRETİM_İHTİYAÇ_RAPORU_BURAK_YENI1309[[#This Row],[BIRIM_FIYATLAR]])&lt;1,VALUE("0"),DST_123_ÜRETİM_İHTİYAÇ_RAPORU_BURAK_YENI1309[[#This Row],[SATINALMA]]*DST_123_ÜRETİM_İHTİYAÇ_RAPORU_BURAK_YENI1309[[#This Row],[BIRIM_FIYATLAR]])</f>
        <v>7.599999999999973</v>
      </c>
      <c r="N472">
        <v>38</v>
      </c>
      <c r="O472" t="s">
        <v>240</v>
      </c>
      <c r="P472">
        <v>13.299999999999999</v>
      </c>
      <c r="Q472" t="s">
        <v>180</v>
      </c>
    </row>
    <row r="473" spans="1:17" x14ac:dyDescent="0.25">
      <c r="A473" t="s">
        <v>1098</v>
      </c>
      <c r="B473" t="s">
        <v>1096</v>
      </c>
      <c r="C473" t="s">
        <v>175</v>
      </c>
      <c r="D473" t="s">
        <v>530</v>
      </c>
      <c r="E473" t="s">
        <v>531</v>
      </c>
      <c r="F473">
        <v>0.25</v>
      </c>
      <c r="G473" t="s">
        <v>176</v>
      </c>
      <c r="H473">
        <v>0</v>
      </c>
      <c r="I473">
        <v>5</v>
      </c>
      <c r="J473" s="10">
        <v>9.7999999999999954</v>
      </c>
      <c r="K473" s="10">
        <f>SUMIFS(F:F,D:D,DST_123_ÜRETİM_İHTİYAÇ_RAPORU_BURAK_YENI1309[[#This Row],[ALT_KOD]])-(SUMIFS(H:H,D:D,DST_123_ÜRETİM_İHTİYAÇ_RAPORU_BURAK_YENI1309[[#This Row],[ALT_KOD]])+AVERAGEIFS(I:I,D:D,DST_123_ÜRETİM_İHTİYAÇ_RAPORU_BURAK_YENI1309[[#This Row],[ALT_KOD]])+AVERAGEIFS(L:L,D:D,DST_123_ÜRETİM_İHTİYAÇ_RAPORU_BURAK_YENI1309[[#This Row],[ALT_KOD]]))</f>
        <v>0.19999999999999929</v>
      </c>
      <c r="L473">
        <v>0</v>
      </c>
      <c r="M473">
        <f>IF((DST_123_ÜRETİM_İHTİYAÇ_RAPORU_BURAK_YENI1309[[#This Row],[SATINALMA]]*DST_123_ÜRETİM_İHTİYAÇ_RAPORU_BURAK_YENI1309[[#This Row],[BIRIM_FIYATLAR]])&lt;1,VALUE("0"),DST_123_ÜRETİM_İHTİYAÇ_RAPORU_BURAK_YENI1309[[#This Row],[SATINALMA]]*DST_123_ÜRETİM_İHTİYAÇ_RAPORU_BURAK_YENI1309[[#This Row],[BIRIM_FIYATLAR]])</f>
        <v>7.599999999999973</v>
      </c>
      <c r="N473">
        <v>38</v>
      </c>
      <c r="O473" t="s">
        <v>240</v>
      </c>
      <c r="P473">
        <v>9.5</v>
      </c>
      <c r="Q473" t="s">
        <v>180</v>
      </c>
    </row>
    <row r="474" spans="1:17" x14ac:dyDescent="0.25">
      <c r="A474" t="s">
        <v>1064</v>
      </c>
      <c r="B474" t="s">
        <v>1055</v>
      </c>
      <c r="C474" t="s">
        <v>175</v>
      </c>
      <c r="D474" t="s">
        <v>370</v>
      </c>
      <c r="E474" t="s">
        <v>371</v>
      </c>
      <c r="F474">
        <v>14</v>
      </c>
      <c r="G474" t="s">
        <v>176</v>
      </c>
      <c r="H474">
        <v>0</v>
      </c>
      <c r="I474">
        <v>166</v>
      </c>
      <c r="J474" s="10">
        <v>61</v>
      </c>
      <c r="K474" s="10">
        <f>SUMIFS(F:F,D:D,DST_123_ÜRETİM_İHTİYAÇ_RAPORU_BURAK_YENI1309[[#This Row],[ALT_KOD]])-(SUMIFS(H:H,D:D,DST_123_ÜRETİM_İHTİYAÇ_RAPORU_BURAK_YENI1309[[#This Row],[ALT_KOD]])+AVERAGEIFS(I:I,D:D,DST_123_ÜRETİM_İHTİYAÇ_RAPORU_BURAK_YENI1309[[#This Row],[ALT_KOD]])+AVERAGEIFS(L:L,D:D,DST_123_ÜRETİM_İHTİYAÇ_RAPORU_BURAK_YENI1309[[#This Row],[ALT_KOD]]))</f>
        <v>48</v>
      </c>
      <c r="L474">
        <v>0</v>
      </c>
      <c r="M474">
        <f>IF((DST_123_ÜRETİM_İHTİYAÇ_RAPORU_BURAK_YENI1309[[#This Row],[SATINALMA]]*DST_123_ÜRETİM_İHTİYAÇ_RAPORU_BURAK_YENI1309[[#This Row],[BIRIM_FIYATLAR]])&lt;1,VALUE("0"),DST_123_ÜRETİM_İHTİYAÇ_RAPORU_BURAK_YENI1309[[#This Row],[SATINALMA]]*DST_123_ÜRETİM_İHTİYAÇ_RAPORU_BURAK_YENI1309[[#This Row],[BIRIM_FIYATLAR]])</f>
        <v>960</v>
      </c>
      <c r="N474">
        <v>20</v>
      </c>
      <c r="O474" t="s">
        <v>240</v>
      </c>
      <c r="P474">
        <v>280</v>
      </c>
      <c r="Q474" t="s">
        <v>180</v>
      </c>
    </row>
    <row r="475" spans="1:17" x14ac:dyDescent="0.25">
      <c r="A475" t="s">
        <v>1064</v>
      </c>
      <c r="B475" t="s">
        <v>1055</v>
      </c>
      <c r="C475" t="s">
        <v>175</v>
      </c>
      <c r="D475" t="s">
        <v>46</v>
      </c>
      <c r="E475" t="s">
        <v>47</v>
      </c>
      <c r="F475">
        <v>4</v>
      </c>
      <c r="G475" t="s">
        <v>176</v>
      </c>
      <c r="H475">
        <v>4</v>
      </c>
      <c r="I475">
        <v>75</v>
      </c>
      <c r="J475" s="10">
        <v>60</v>
      </c>
      <c r="K475" s="10">
        <f>SUMIFS(F:F,D:D,DST_123_ÜRETİM_İHTİYAÇ_RAPORU_BURAK_YENI1309[[#This Row],[ALT_KOD]])-(SUMIFS(H:H,D:D,DST_123_ÜRETİM_İHTİYAÇ_RAPORU_BURAK_YENI1309[[#This Row],[ALT_KOD]])+AVERAGEIFS(I:I,D:D,DST_123_ÜRETİM_İHTİYAÇ_RAPORU_BURAK_YENI1309[[#This Row],[ALT_KOD]])+AVERAGEIFS(L:L,D:D,DST_123_ÜRETİM_İHTİYAÇ_RAPORU_BURAK_YENI1309[[#This Row],[ALT_KOD]]))</f>
        <v>-31</v>
      </c>
      <c r="L475">
        <v>0</v>
      </c>
      <c r="M475">
        <f>IF((DST_123_ÜRETİM_İHTİYAÇ_RAPORU_BURAK_YENI1309[[#This Row],[SATINALMA]]*DST_123_ÜRETİM_İHTİYAÇ_RAPORU_BURAK_YENI1309[[#This Row],[BIRIM_FIYATLAR]])&lt;1,VALUE("0"),DST_123_ÜRETİM_İHTİYAÇ_RAPORU_BURAK_YENI1309[[#This Row],[SATINALMA]]*DST_123_ÜRETİM_İHTİYAÇ_RAPORU_BURAK_YENI1309[[#This Row],[BIRIM_FIYATLAR]])</f>
        <v>0</v>
      </c>
      <c r="N475">
        <v>170</v>
      </c>
      <c r="O475" t="s">
        <v>245</v>
      </c>
      <c r="P475">
        <v>680</v>
      </c>
      <c r="Q475" t="s">
        <v>180</v>
      </c>
    </row>
    <row r="476" spans="1:17" x14ac:dyDescent="0.25">
      <c r="A476" t="s">
        <v>1098</v>
      </c>
      <c r="B476" t="s">
        <v>1096</v>
      </c>
      <c r="C476" t="s">
        <v>175</v>
      </c>
      <c r="D476" t="s">
        <v>46</v>
      </c>
      <c r="E476" t="s">
        <v>47</v>
      </c>
      <c r="F476">
        <v>4</v>
      </c>
      <c r="G476" t="s">
        <v>176</v>
      </c>
      <c r="H476">
        <v>0</v>
      </c>
      <c r="I476">
        <v>75</v>
      </c>
      <c r="J476" s="10">
        <v>60</v>
      </c>
      <c r="K476" s="10">
        <f>SUMIFS(F:F,D:D,DST_123_ÜRETİM_İHTİYAÇ_RAPORU_BURAK_YENI1309[[#This Row],[ALT_KOD]])-(SUMIFS(H:H,D:D,DST_123_ÜRETİM_İHTİYAÇ_RAPORU_BURAK_YENI1309[[#This Row],[ALT_KOD]])+AVERAGEIFS(I:I,D:D,DST_123_ÜRETİM_İHTİYAÇ_RAPORU_BURAK_YENI1309[[#This Row],[ALT_KOD]])+AVERAGEIFS(L:L,D:D,DST_123_ÜRETİM_İHTİYAÇ_RAPORU_BURAK_YENI1309[[#This Row],[ALT_KOD]]))</f>
        <v>-31</v>
      </c>
      <c r="L476">
        <v>0</v>
      </c>
      <c r="M476">
        <f>IF((DST_123_ÜRETİM_İHTİYAÇ_RAPORU_BURAK_YENI1309[[#This Row],[SATINALMA]]*DST_123_ÜRETİM_İHTİYAÇ_RAPORU_BURAK_YENI1309[[#This Row],[BIRIM_FIYATLAR]])&lt;1,VALUE("0"),DST_123_ÜRETİM_İHTİYAÇ_RAPORU_BURAK_YENI1309[[#This Row],[SATINALMA]]*DST_123_ÜRETİM_İHTİYAÇ_RAPORU_BURAK_YENI1309[[#This Row],[BIRIM_FIYATLAR]])</f>
        <v>0</v>
      </c>
      <c r="N476">
        <v>170</v>
      </c>
      <c r="O476" t="s">
        <v>245</v>
      </c>
      <c r="P476">
        <v>680</v>
      </c>
      <c r="Q476" t="s">
        <v>180</v>
      </c>
    </row>
    <row r="477" spans="1:17" x14ac:dyDescent="0.25">
      <c r="A477" t="s">
        <v>1196</v>
      </c>
      <c r="B477" t="s">
        <v>1197</v>
      </c>
      <c r="C477" t="s">
        <v>175</v>
      </c>
      <c r="D477" t="s">
        <v>722</v>
      </c>
      <c r="E477" t="s">
        <v>723</v>
      </c>
      <c r="F477">
        <v>16</v>
      </c>
      <c r="G477" t="s">
        <v>176</v>
      </c>
      <c r="H477">
        <v>0</v>
      </c>
      <c r="I477">
        <v>1270</v>
      </c>
      <c r="J477" s="10">
        <v>698</v>
      </c>
      <c r="K477" s="10">
        <f>SUMIFS(F:F,D:D,DST_123_ÜRETİM_İHTİYAÇ_RAPORU_BURAK_YENI1309[[#This Row],[ALT_KOD]])-(SUMIFS(H:H,D:D,DST_123_ÜRETİM_İHTİYAÇ_RAPORU_BURAK_YENI1309[[#This Row],[ALT_KOD]])+AVERAGEIFS(I:I,D:D,DST_123_ÜRETİM_İHTİYAÇ_RAPORU_BURAK_YENI1309[[#This Row],[ALT_KOD]])+AVERAGEIFS(L:L,D:D,DST_123_ÜRETİM_İHTİYAÇ_RAPORU_BURAK_YENI1309[[#This Row],[ALT_KOD]]))</f>
        <v>-1174</v>
      </c>
      <c r="L477">
        <v>0</v>
      </c>
      <c r="M477">
        <f>IF((DST_123_ÜRETİM_İHTİYAÇ_RAPORU_BURAK_YENI1309[[#This Row],[SATINALMA]]*DST_123_ÜRETİM_İHTİYAÇ_RAPORU_BURAK_YENI1309[[#This Row],[BIRIM_FIYATLAR]])&lt;1,VALUE("0"),DST_123_ÜRETİM_İHTİYAÇ_RAPORU_BURAK_YENI1309[[#This Row],[SATINALMA]]*DST_123_ÜRETİM_İHTİYAÇ_RAPORU_BURAK_YENI1309[[#This Row],[BIRIM_FIYATLAR]])</f>
        <v>0</v>
      </c>
      <c r="N477">
        <v>0.55000000000000004</v>
      </c>
      <c r="O477" t="s">
        <v>240</v>
      </c>
      <c r="P477">
        <v>8.8000000000000007</v>
      </c>
      <c r="Q477" t="s">
        <v>180</v>
      </c>
    </row>
    <row r="478" spans="1:17" x14ac:dyDescent="0.25">
      <c r="A478" t="s">
        <v>1147</v>
      </c>
      <c r="B478" t="s">
        <v>1145</v>
      </c>
      <c r="C478" t="s">
        <v>175</v>
      </c>
      <c r="D478" t="s">
        <v>530</v>
      </c>
      <c r="E478" t="s">
        <v>531</v>
      </c>
      <c r="F478">
        <v>0.35</v>
      </c>
      <c r="G478" t="s">
        <v>176</v>
      </c>
      <c r="H478">
        <v>0</v>
      </c>
      <c r="I478">
        <v>5</v>
      </c>
      <c r="J478" s="10">
        <v>9.7999999999999954</v>
      </c>
      <c r="K478" s="10">
        <f>SUMIFS(F:F,D:D,DST_123_ÜRETİM_İHTİYAÇ_RAPORU_BURAK_YENI1309[[#This Row],[ALT_KOD]])-(SUMIFS(H:H,D:D,DST_123_ÜRETİM_İHTİYAÇ_RAPORU_BURAK_YENI1309[[#This Row],[ALT_KOD]])+AVERAGEIFS(I:I,D:D,DST_123_ÜRETİM_İHTİYAÇ_RAPORU_BURAK_YENI1309[[#This Row],[ALT_KOD]])+AVERAGEIFS(L:L,D:D,DST_123_ÜRETİM_İHTİYAÇ_RAPORU_BURAK_YENI1309[[#This Row],[ALT_KOD]]))</f>
        <v>0.19999999999999929</v>
      </c>
      <c r="L478">
        <v>0</v>
      </c>
      <c r="M478">
        <f>IF((DST_123_ÜRETİM_İHTİYAÇ_RAPORU_BURAK_YENI1309[[#This Row],[SATINALMA]]*DST_123_ÜRETİM_İHTİYAÇ_RAPORU_BURAK_YENI1309[[#This Row],[BIRIM_FIYATLAR]])&lt;1,VALUE("0"),DST_123_ÜRETİM_İHTİYAÇ_RAPORU_BURAK_YENI1309[[#This Row],[SATINALMA]]*DST_123_ÜRETİM_İHTİYAÇ_RAPORU_BURAK_YENI1309[[#This Row],[BIRIM_FIYATLAR]])</f>
        <v>7.599999999999973</v>
      </c>
      <c r="N478">
        <v>38</v>
      </c>
      <c r="O478" t="s">
        <v>240</v>
      </c>
      <c r="P478">
        <v>13.299999999999999</v>
      </c>
      <c r="Q478" t="s">
        <v>180</v>
      </c>
    </row>
    <row r="479" spans="1:17" x14ac:dyDescent="0.25">
      <c r="A479" t="s">
        <v>1057</v>
      </c>
      <c r="B479" t="s">
        <v>1058</v>
      </c>
      <c r="C479" t="s">
        <v>175</v>
      </c>
      <c r="D479" t="s">
        <v>530</v>
      </c>
      <c r="E479" t="s">
        <v>531</v>
      </c>
      <c r="F479">
        <v>0.5</v>
      </c>
      <c r="G479" t="s">
        <v>176</v>
      </c>
      <c r="H479">
        <v>0</v>
      </c>
      <c r="I479">
        <v>5</v>
      </c>
      <c r="J479" s="10">
        <v>9.7999999999999954</v>
      </c>
      <c r="K479" s="10">
        <f>SUMIFS(F:F,D:D,DST_123_ÜRETİM_İHTİYAÇ_RAPORU_BURAK_YENI1309[[#This Row],[ALT_KOD]])-(SUMIFS(H:H,D:D,DST_123_ÜRETİM_İHTİYAÇ_RAPORU_BURAK_YENI1309[[#This Row],[ALT_KOD]])+AVERAGEIFS(I:I,D:D,DST_123_ÜRETİM_İHTİYAÇ_RAPORU_BURAK_YENI1309[[#This Row],[ALT_KOD]])+AVERAGEIFS(L:L,D:D,DST_123_ÜRETİM_İHTİYAÇ_RAPORU_BURAK_YENI1309[[#This Row],[ALT_KOD]]))</f>
        <v>0.19999999999999929</v>
      </c>
      <c r="L479">
        <v>0</v>
      </c>
      <c r="M479">
        <f>IF((DST_123_ÜRETİM_İHTİYAÇ_RAPORU_BURAK_YENI1309[[#This Row],[SATINALMA]]*DST_123_ÜRETİM_İHTİYAÇ_RAPORU_BURAK_YENI1309[[#This Row],[BIRIM_FIYATLAR]])&lt;1,VALUE("0"),DST_123_ÜRETİM_İHTİYAÇ_RAPORU_BURAK_YENI1309[[#This Row],[SATINALMA]]*DST_123_ÜRETİM_İHTİYAÇ_RAPORU_BURAK_YENI1309[[#This Row],[BIRIM_FIYATLAR]])</f>
        <v>7.599999999999973</v>
      </c>
      <c r="N479">
        <v>38</v>
      </c>
      <c r="O479" t="s">
        <v>240</v>
      </c>
      <c r="P479">
        <v>19</v>
      </c>
      <c r="Q479" t="s">
        <v>180</v>
      </c>
    </row>
    <row r="480" spans="1:17" x14ac:dyDescent="0.25">
      <c r="A480" t="s">
        <v>1057</v>
      </c>
      <c r="B480" t="s">
        <v>1058</v>
      </c>
      <c r="C480" t="s">
        <v>175</v>
      </c>
      <c r="D480" t="s">
        <v>370</v>
      </c>
      <c r="E480" t="s">
        <v>371</v>
      </c>
      <c r="F480">
        <v>10</v>
      </c>
      <c r="G480" t="s">
        <v>176</v>
      </c>
      <c r="H480">
        <v>0</v>
      </c>
      <c r="I480">
        <v>166</v>
      </c>
      <c r="J480" s="10">
        <v>61</v>
      </c>
      <c r="K480" s="10">
        <f>SUMIFS(F:F,D:D,DST_123_ÜRETİM_İHTİYAÇ_RAPORU_BURAK_YENI1309[[#This Row],[ALT_KOD]])-(SUMIFS(H:H,D:D,DST_123_ÜRETİM_İHTİYAÇ_RAPORU_BURAK_YENI1309[[#This Row],[ALT_KOD]])+AVERAGEIFS(I:I,D:D,DST_123_ÜRETİM_İHTİYAÇ_RAPORU_BURAK_YENI1309[[#This Row],[ALT_KOD]])+AVERAGEIFS(L:L,D:D,DST_123_ÜRETİM_İHTİYAÇ_RAPORU_BURAK_YENI1309[[#This Row],[ALT_KOD]]))</f>
        <v>48</v>
      </c>
      <c r="L480">
        <v>0</v>
      </c>
      <c r="M480">
        <f>IF((DST_123_ÜRETİM_İHTİYAÇ_RAPORU_BURAK_YENI1309[[#This Row],[SATINALMA]]*DST_123_ÜRETİM_İHTİYAÇ_RAPORU_BURAK_YENI1309[[#This Row],[BIRIM_FIYATLAR]])&lt;1,VALUE("0"),DST_123_ÜRETİM_İHTİYAÇ_RAPORU_BURAK_YENI1309[[#This Row],[SATINALMA]]*DST_123_ÜRETİM_İHTİYAÇ_RAPORU_BURAK_YENI1309[[#This Row],[BIRIM_FIYATLAR]])</f>
        <v>960</v>
      </c>
      <c r="N480">
        <v>20</v>
      </c>
      <c r="O480" t="s">
        <v>240</v>
      </c>
      <c r="P480">
        <v>200</v>
      </c>
      <c r="Q480" t="s">
        <v>180</v>
      </c>
    </row>
    <row r="481" spans="1:17" x14ac:dyDescent="0.25">
      <c r="A481" t="s">
        <v>1100</v>
      </c>
      <c r="B481" t="s">
        <v>1058</v>
      </c>
      <c r="C481" t="s">
        <v>175</v>
      </c>
      <c r="D481" t="s">
        <v>370</v>
      </c>
      <c r="E481" t="s">
        <v>371</v>
      </c>
      <c r="F481">
        <v>6</v>
      </c>
      <c r="G481" t="s">
        <v>176</v>
      </c>
      <c r="H481">
        <v>0</v>
      </c>
      <c r="I481">
        <v>166</v>
      </c>
      <c r="J481" s="10">
        <v>61</v>
      </c>
      <c r="K481" s="10">
        <f>SUMIFS(F:F,D:D,DST_123_ÜRETİM_İHTİYAÇ_RAPORU_BURAK_YENI1309[[#This Row],[ALT_KOD]])-(SUMIFS(H:H,D:D,DST_123_ÜRETİM_İHTİYAÇ_RAPORU_BURAK_YENI1309[[#This Row],[ALT_KOD]])+AVERAGEIFS(I:I,D:D,DST_123_ÜRETİM_İHTİYAÇ_RAPORU_BURAK_YENI1309[[#This Row],[ALT_KOD]])+AVERAGEIFS(L:L,D:D,DST_123_ÜRETİM_İHTİYAÇ_RAPORU_BURAK_YENI1309[[#This Row],[ALT_KOD]]))</f>
        <v>48</v>
      </c>
      <c r="L481">
        <v>0</v>
      </c>
      <c r="M481">
        <f>IF((DST_123_ÜRETİM_İHTİYAÇ_RAPORU_BURAK_YENI1309[[#This Row],[SATINALMA]]*DST_123_ÜRETİM_İHTİYAÇ_RAPORU_BURAK_YENI1309[[#This Row],[BIRIM_FIYATLAR]])&lt;1,VALUE("0"),DST_123_ÜRETİM_İHTİYAÇ_RAPORU_BURAK_YENI1309[[#This Row],[SATINALMA]]*DST_123_ÜRETİM_İHTİYAÇ_RAPORU_BURAK_YENI1309[[#This Row],[BIRIM_FIYATLAR]])</f>
        <v>960</v>
      </c>
      <c r="N481">
        <v>20</v>
      </c>
      <c r="O481" t="s">
        <v>240</v>
      </c>
      <c r="P481">
        <v>120</v>
      </c>
      <c r="Q481" t="s">
        <v>180</v>
      </c>
    </row>
    <row r="482" spans="1:17" x14ac:dyDescent="0.25">
      <c r="A482" t="s">
        <v>1148</v>
      </c>
      <c r="B482" t="s">
        <v>1056</v>
      </c>
      <c r="C482" t="s">
        <v>175</v>
      </c>
      <c r="D482" t="s">
        <v>370</v>
      </c>
      <c r="E482" t="s">
        <v>371</v>
      </c>
      <c r="F482">
        <v>14</v>
      </c>
      <c r="G482" t="s">
        <v>176</v>
      </c>
      <c r="H482">
        <v>0</v>
      </c>
      <c r="I482">
        <v>166</v>
      </c>
      <c r="J482" s="10">
        <v>61</v>
      </c>
      <c r="K482" s="10">
        <f>SUMIFS(F:F,D:D,DST_123_ÜRETİM_İHTİYAÇ_RAPORU_BURAK_YENI1309[[#This Row],[ALT_KOD]])-(SUMIFS(H:H,D:D,DST_123_ÜRETİM_İHTİYAÇ_RAPORU_BURAK_YENI1309[[#This Row],[ALT_KOD]])+AVERAGEIFS(I:I,D:D,DST_123_ÜRETİM_İHTİYAÇ_RAPORU_BURAK_YENI1309[[#This Row],[ALT_KOD]])+AVERAGEIFS(L:L,D:D,DST_123_ÜRETİM_İHTİYAÇ_RAPORU_BURAK_YENI1309[[#This Row],[ALT_KOD]]))</f>
        <v>48</v>
      </c>
      <c r="L482">
        <v>0</v>
      </c>
      <c r="M482">
        <f>IF((DST_123_ÜRETİM_İHTİYAÇ_RAPORU_BURAK_YENI1309[[#This Row],[SATINALMA]]*DST_123_ÜRETİM_İHTİYAÇ_RAPORU_BURAK_YENI1309[[#This Row],[BIRIM_FIYATLAR]])&lt;1,VALUE("0"),DST_123_ÜRETİM_İHTİYAÇ_RAPORU_BURAK_YENI1309[[#This Row],[SATINALMA]]*DST_123_ÜRETİM_İHTİYAÇ_RAPORU_BURAK_YENI1309[[#This Row],[BIRIM_FIYATLAR]])</f>
        <v>960</v>
      </c>
      <c r="N482">
        <v>20</v>
      </c>
      <c r="O482" t="s">
        <v>240</v>
      </c>
      <c r="P482">
        <v>280</v>
      </c>
      <c r="Q482" t="s">
        <v>180</v>
      </c>
    </row>
    <row r="483" spans="1:17" x14ac:dyDescent="0.25">
      <c r="A483" t="s">
        <v>1098</v>
      </c>
      <c r="B483" t="s">
        <v>1096</v>
      </c>
      <c r="C483" t="s">
        <v>175</v>
      </c>
      <c r="D483" t="s">
        <v>370</v>
      </c>
      <c r="E483" t="s">
        <v>371</v>
      </c>
      <c r="F483">
        <v>14</v>
      </c>
      <c r="G483" t="s">
        <v>176</v>
      </c>
      <c r="H483">
        <v>0</v>
      </c>
      <c r="I483">
        <v>166</v>
      </c>
      <c r="J483" s="10">
        <v>61</v>
      </c>
      <c r="K483" s="10">
        <f>SUMIFS(F:F,D:D,DST_123_ÜRETİM_İHTİYAÇ_RAPORU_BURAK_YENI1309[[#This Row],[ALT_KOD]])-(SUMIFS(H:H,D:D,DST_123_ÜRETİM_İHTİYAÇ_RAPORU_BURAK_YENI1309[[#This Row],[ALT_KOD]])+AVERAGEIFS(I:I,D:D,DST_123_ÜRETİM_İHTİYAÇ_RAPORU_BURAK_YENI1309[[#This Row],[ALT_KOD]])+AVERAGEIFS(L:L,D:D,DST_123_ÜRETİM_İHTİYAÇ_RAPORU_BURAK_YENI1309[[#This Row],[ALT_KOD]]))</f>
        <v>48</v>
      </c>
      <c r="L483">
        <v>0</v>
      </c>
      <c r="M483">
        <f>IF((DST_123_ÜRETİM_İHTİYAÇ_RAPORU_BURAK_YENI1309[[#This Row],[SATINALMA]]*DST_123_ÜRETİM_İHTİYAÇ_RAPORU_BURAK_YENI1309[[#This Row],[BIRIM_FIYATLAR]])&lt;1,VALUE("0"),DST_123_ÜRETİM_İHTİYAÇ_RAPORU_BURAK_YENI1309[[#This Row],[SATINALMA]]*DST_123_ÜRETİM_İHTİYAÇ_RAPORU_BURAK_YENI1309[[#This Row],[BIRIM_FIYATLAR]])</f>
        <v>960</v>
      </c>
      <c r="N483">
        <v>20</v>
      </c>
      <c r="O483" t="s">
        <v>240</v>
      </c>
      <c r="P483">
        <v>280</v>
      </c>
      <c r="Q483" t="s">
        <v>180</v>
      </c>
    </row>
    <row r="484" spans="1:17" x14ac:dyDescent="0.25">
      <c r="A484" t="s">
        <v>1101</v>
      </c>
      <c r="B484" t="s">
        <v>1102</v>
      </c>
      <c r="C484" t="s">
        <v>175</v>
      </c>
      <c r="D484" t="s">
        <v>530</v>
      </c>
      <c r="E484" t="s">
        <v>531</v>
      </c>
      <c r="F484">
        <v>0.25</v>
      </c>
      <c r="G484" t="s">
        <v>176</v>
      </c>
      <c r="H484">
        <v>0</v>
      </c>
      <c r="I484">
        <v>5</v>
      </c>
      <c r="J484" s="10">
        <v>9.7999999999999954</v>
      </c>
      <c r="K484" s="10">
        <f>SUMIFS(F:F,D:D,DST_123_ÜRETİM_İHTİYAÇ_RAPORU_BURAK_YENI1309[[#This Row],[ALT_KOD]])-(SUMIFS(H:H,D:D,DST_123_ÜRETİM_İHTİYAÇ_RAPORU_BURAK_YENI1309[[#This Row],[ALT_KOD]])+AVERAGEIFS(I:I,D:D,DST_123_ÜRETİM_İHTİYAÇ_RAPORU_BURAK_YENI1309[[#This Row],[ALT_KOD]])+AVERAGEIFS(L:L,D:D,DST_123_ÜRETİM_İHTİYAÇ_RAPORU_BURAK_YENI1309[[#This Row],[ALT_KOD]]))</f>
        <v>0.19999999999999929</v>
      </c>
      <c r="L484">
        <v>0</v>
      </c>
      <c r="M484">
        <f>IF((DST_123_ÜRETİM_İHTİYAÇ_RAPORU_BURAK_YENI1309[[#This Row],[SATINALMA]]*DST_123_ÜRETİM_İHTİYAÇ_RAPORU_BURAK_YENI1309[[#This Row],[BIRIM_FIYATLAR]])&lt;1,VALUE("0"),DST_123_ÜRETİM_İHTİYAÇ_RAPORU_BURAK_YENI1309[[#This Row],[SATINALMA]]*DST_123_ÜRETİM_İHTİYAÇ_RAPORU_BURAK_YENI1309[[#This Row],[BIRIM_FIYATLAR]])</f>
        <v>7.599999999999973</v>
      </c>
      <c r="N484">
        <v>38</v>
      </c>
      <c r="O484" t="s">
        <v>240</v>
      </c>
      <c r="P484">
        <v>9.5</v>
      </c>
      <c r="Q484" t="s">
        <v>180</v>
      </c>
    </row>
    <row r="485" spans="1:17" x14ac:dyDescent="0.25">
      <c r="A485" t="s">
        <v>1101</v>
      </c>
      <c r="B485" t="s">
        <v>1102</v>
      </c>
      <c r="C485" t="s">
        <v>175</v>
      </c>
      <c r="D485" t="s">
        <v>370</v>
      </c>
      <c r="E485" t="s">
        <v>371</v>
      </c>
      <c r="F485">
        <v>8</v>
      </c>
      <c r="G485" t="s">
        <v>176</v>
      </c>
      <c r="H485">
        <v>0</v>
      </c>
      <c r="I485">
        <v>166</v>
      </c>
      <c r="J485" s="10">
        <v>61</v>
      </c>
      <c r="K485" s="10">
        <f>SUMIFS(F:F,D:D,DST_123_ÜRETİM_İHTİYAÇ_RAPORU_BURAK_YENI1309[[#This Row],[ALT_KOD]])-(SUMIFS(H:H,D:D,DST_123_ÜRETİM_İHTİYAÇ_RAPORU_BURAK_YENI1309[[#This Row],[ALT_KOD]])+AVERAGEIFS(I:I,D:D,DST_123_ÜRETİM_İHTİYAÇ_RAPORU_BURAK_YENI1309[[#This Row],[ALT_KOD]])+AVERAGEIFS(L:L,D:D,DST_123_ÜRETİM_İHTİYAÇ_RAPORU_BURAK_YENI1309[[#This Row],[ALT_KOD]]))</f>
        <v>48</v>
      </c>
      <c r="L485">
        <v>0</v>
      </c>
      <c r="M485">
        <f>IF((DST_123_ÜRETİM_İHTİYAÇ_RAPORU_BURAK_YENI1309[[#This Row],[SATINALMA]]*DST_123_ÜRETİM_İHTİYAÇ_RAPORU_BURAK_YENI1309[[#This Row],[BIRIM_FIYATLAR]])&lt;1,VALUE("0"),DST_123_ÜRETİM_İHTİYAÇ_RAPORU_BURAK_YENI1309[[#This Row],[SATINALMA]]*DST_123_ÜRETİM_İHTİYAÇ_RAPORU_BURAK_YENI1309[[#This Row],[BIRIM_FIYATLAR]])</f>
        <v>960</v>
      </c>
      <c r="N485">
        <v>20</v>
      </c>
      <c r="O485" t="s">
        <v>240</v>
      </c>
      <c r="P485">
        <v>160</v>
      </c>
      <c r="Q485" t="s">
        <v>180</v>
      </c>
    </row>
    <row r="486" spans="1:17" x14ac:dyDescent="0.25">
      <c r="A486" t="s">
        <v>1196</v>
      </c>
      <c r="B486" t="s">
        <v>1197</v>
      </c>
      <c r="C486" t="s">
        <v>175</v>
      </c>
      <c r="D486" t="s">
        <v>1191</v>
      </c>
      <c r="E486" t="s">
        <v>1192</v>
      </c>
      <c r="F486">
        <v>0.1</v>
      </c>
      <c r="G486" t="s">
        <v>185</v>
      </c>
      <c r="H486">
        <v>0</v>
      </c>
      <c r="I486">
        <v>32</v>
      </c>
      <c r="J486" s="10">
        <v>60</v>
      </c>
      <c r="K486" s="10">
        <f>SUMIFS(F:F,D:D,DST_123_ÜRETİM_İHTİYAÇ_RAPORU_BURAK_YENI1309[[#This Row],[ALT_KOD]])-(SUMIFS(H:H,D:D,DST_123_ÜRETİM_İHTİYAÇ_RAPORU_BURAK_YENI1309[[#This Row],[ALT_KOD]])+AVERAGEIFS(I:I,D:D,DST_123_ÜRETİM_İHTİYAÇ_RAPORU_BURAK_YENI1309[[#This Row],[ALT_KOD]])+AVERAGEIFS(L:L,D:D,DST_123_ÜRETİM_İHTİYAÇ_RAPORU_BURAK_YENI1309[[#This Row],[ALT_KOD]]))</f>
        <v>-31.4</v>
      </c>
      <c r="L486">
        <v>0</v>
      </c>
      <c r="M486">
        <f>IF((DST_123_ÜRETİM_İHTİYAÇ_RAPORU_BURAK_YENI1309[[#This Row],[SATINALMA]]*DST_123_ÜRETİM_İHTİYAÇ_RAPORU_BURAK_YENI1309[[#This Row],[BIRIM_FIYATLAR]])&lt;1,VALUE("0"),DST_123_ÜRETİM_İHTİYAÇ_RAPORU_BURAK_YENI1309[[#This Row],[SATINALMA]]*DST_123_ÜRETİM_İHTİYAÇ_RAPORU_BURAK_YENI1309[[#This Row],[BIRIM_FIYATLAR]])</f>
        <v>0</v>
      </c>
      <c r="N486">
        <v>110</v>
      </c>
      <c r="O486" t="s">
        <v>1193</v>
      </c>
      <c r="P486">
        <v>11</v>
      </c>
      <c r="Q486" t="s">
        <v>183</v>
      </c>
    </row>
    <row r="487" spans="1:17" x14ac:dyDescent="0.25">
      <c r="A487" t="s">
        <v>1099</v>
      </c>
      <c r="B487" t="s">
        <v>1055</v>
      </c>
      <c r="C487" t="s">
        <v>175</v>
      </c>
      <c r="D487" t="s">
        <v>349</v>
      </c>
      <c r="E487" t="s">
        <v>350</v>
      </c>
      <c r="F487">
        <v>0.5</v>
      </c>
      <c r="G487" t="s">
        <v>176</v>
      </c>
      <c r="H487">
        <v>0</v>
      </c>
      <c r="I487">
        <v>12</v>
      </c>
      <c r="J487" s="10">
        <v>3</v>
      </c>
      <c r="K487" s="10">
        <f>SUMIFS(F:F,D:D,DST_123_ÜRETİM_İHTİYAÇ_RAPORU_BURAK_YENI1309[[#This Row],[ALT_KOD]])-(SUMIFS(H:H,D:D,DST_123_ÜRETİM_İHTİYAÇ_RAPORU_BURAK_YENI1309[[#This Row],[ALT_KOD]])+AVERAGEIFS(I:I,D:D,DST_123_ÜRETİM_İHTİYAÇ_RAPORU_BURAK_YENI1309[[#This Row],[ALT_KOD]])+AVERAGEIFS(L:L,D:D,DST_123_ÜRETİM_İHTİYAÇ_RAPORU_BURAK_YENI1309[[#This Row],[ALT_KOD]]))</f>
        <v>-3</v>
      </c>
      <c r="L487">
        <v>0</v>
      </c>
      <c r="M487">
        <f>IF((DST_123_ÜRETİM_İHTİYAÇ_RAPORU_BURAK_YENI1309[[#This Row],[SATINALMA]]*DST_123_ÜRETİM_İHTİYAÇ_RAPORU_BURAK_YENI1309[[#This Row],[BIRIM_FIYATLAR]])&lt;1,VALUE("0"),DST_123_ÜRETİM_İHTİYAÇ_RAPORU_BURAK_YENI1309[[#This Row],[SATINALMA]]*DST_123_ÜRETİM_İHTİYAÇ_RAPORU_BURAK_YENI1309[[#This Row],[BIRIM_FIYATLAR]])</f>
        <v>0</v>
      </c>
      <c r="N487">
        <v>130</v>
      </c>
      <c r="O487" t="s">
        <v>226</v>
      </c>
      <c r="P487">
        <v>65</v>
      </c>
      <c r="Q487" t="s">
        <v>183</v>
      </c>
    </row>
    <row r="488" spans="1:17" x14ac:dyDescent="0.25">
      <c r="A488" t="s">
        <v>1196</v>
      </c>
      <c r="B488" t="s">
        <v>1197</v>
      </c>
      <c r="C488" t="s">
        <v>175</v>
      </c>
      <c r="D488" t="s">
        <v>349</v>
      </c>
      <c r="E488" t="s">
        <v>350</v>
      </c>
      <c r="F488">
        <v>0.5</v>
      </c>
      <c r="G488" t="s">
        <v>176</v>
      </c>
      <c r="H488">
        <v>0</v>
      </c>
      <c r="I488">
        <v>12</v>
      </c>
      <c r="J488" s="10">
        <v>3</v>
      </c>
      <c r="K488" s="10">
        <f>SUMIFS(F:F,D:D,DST_123_ÜRETİM_İHTİYAÇ_RAPORU_BURAK_YENI1309[[#This Row],[ALT_KOD]])-(SUMIFS(H:H,D:D,DST_123_ÜRETİM_İHTİYAÇ_RAPORU_BURAK_YENI1309[[#This Row],[ALT_KOD]])+AVERAGEIFS(I:I,D:D,DST_123_ÜRETİM_İHTİYAÇ_RAPORU_BURAK_YENI1309[[#This Row],[ALT_KOD]])+AVERAGEIFS(L:L,D:D,DST_123_ÜRETİM_İHTİYAÇ_RAPORU_BURAK_YENI1309[[#This Row],[ALT_KOD]]))</f>
        <v>-3</v>
      </c>
      <c r="L488">
        <v>0</v>
      </c>
      <c r="M488">
        <f>IF((DST_123_ÜRETİM_İHTİYAÇ_RAPORU_BURAK_YENI1309[[#This Row],[SATINALMA]]*DST_123_ÜRETİM_İHTİYAÇ_RAPORU_BURAK_YENI1309[[#This Row],[BIRIM_FIYATLAR]])&lt;1,VALUE("0"),DST_123_ÜRETİM_İHTİYAÇ_RAPORU_BURAK_YENI1309[[#This Row],[SATINALMA]]*DST_123_ÜRETİM_İHTİYAÇ_RAPORU_BURAK_YENI1309[[#This Row],[BIRIM_FIYATLAR]])</f>
        <v>0</v>
      </c>
      <c r="N488">
        <v>130</v>
      </c>
      <c r="O488" t="s">
        <v>226</v>
      </c>
      <c r="P488">
        <v>65</v>
      </c>
      <c r="Q488" t="s">
        <v>183</v>
      </c>
    </row>
    <row r="489" spans="1:17" x14ac:dyDescent="0.25">
      <c r="A489" t="s">
        <v>1099</v>
      </c>
      <c r="B489" t="s">
        <v>1055</v>
      </c>
      <c r="C489" t="s">
        <v>175</v>
      </c>
      <c r="D489" t="s">
        <v>86</v>
      </c>
      <c r="E489" t="s">
        <v>87</v>
      </c>
      <c r="F489">
        <v>5.5</v>
      </c>
      <c r="G489" t="s">
        <v>176</v>
      </c>
      <c r="H489">
        <v>0</v>
      </c>
      <c r="I489">
        <v>47</v>
      </c>
      <c r="J489" s="10">
        <v>1</v>
      </c>
      <c r="K489" s="10">
        <f>SUMIFS(F:F,D:D,DST_123_ÜRETİM_İHTİYAÇ_RAPORU_BURAK_YENI1309[[#This Row],[ALT_KOD]])-(SUMIFS(H:H,D:D,DST_123_ÜRETİM_İHTİYAÇ_RAPORU_BURAK_YENI1309[[#This Row],[ALT_KOD]])+AVERAGEIFS(I:I,D:D,DST_123_ÜRETİM_İHTİYAÇ_RAPORU_BURAK_YENI1309[[#This Row],[ALT_KOD]])+AVERAGEIFS(L:L,D:D,DST_123_ÜRETİM_İHTİYAÇ_RAPORU_BURAK_YENI1309[[#This Row],[ALT_KOD]]))</f>
        <v>23.61999999999999</v>
      </c>
      <c r="L489">
        <v>0</v>
      </c>
      <c r="M489">
        <f>IF((DST_123_ÜRETİM_İHTİYAÇ_RAPORU_BURAK_YENI1309[[#This Row],[SATINALMA]]*DST_123_ÜRETİM_İHTİYAÇ_RAPORU_BURAK_YENI1309[[#This Row],[BIRIM_FIYATLAR]])&lt;1,VALUE("0"),DST_123_ÜRETİM_İHTİYAÇ_RAPORU_BURAK_YENI1309[[#This Row],[SATINALMA]]*DST_123_ÜRETİM_İHTİYAÇ_RAPORU_BURAK_YENI1309[[#This Row],[BIRIM_FIYATLAR]])</f>
        <v>2361.9999999999991</v>
      </c>
      <c r="N489">
        <v>100</v>
      </c>
      <c r="O489" t="s">
        <v>240</v>
      </c>
      <c r="P489">
        <v>550</v>
      </c>
      <c r="Q489" t="s">
        <v>183</v>
      </c>
    </row>
    <row r="490" spans="1:17" x14ac:dyDescent="0.25">
      <c r="A490" t="s">
        <v>1057</v>
      </c>
      <c r="B490" t="s">
        <v>1058</v>
      </c>
      <c r="C490" t="s">
        <v>175</v>
      </c>
      <c r="D490" t="s">
        <v>722</v>
      </c>
      <c r="E490" t="s">
        <v>723</v>
      </c>
      <c r="F490">
        <v>8</v>
      </c>
      <c r="G490" t="s">
        <v>176</v>
      </c>
      <c r="H490">
        <v>8</v>
      </c>
      <c r="I490">
        <v>1270</v>
      </c>
      <c r="J490" s="10">
        <v>698</v>
      </c>
      <c r="K490" s="10">
        <f>SUMIFS(F:F,D:D,DST_123_ÜRETİM_İHTİYAÇ_RAPORU_BURAK_YENI1309[[#This Row],[ALT_KOD]])-(SUMIFS(H:H,D:D,DST_123_ÜRETİM_İHTİYAÇ_RAPORU_BURAK_YENI1309[[#This Row],[ALT_KOD]])+AVERAGEIFS(I:I,D:D,DST_123_ÜRETİM_İHTİYAÇ_RAPORU_BURAK_YENI1309[[#This Row],[ALT_KOD]])+AVERAGEIFS(L:L,D:D,DST_123_ÜRETİM_İHTİYAÇ_RAPORU_BURAK_YENI1309[[#This Row],[ALT_KOD]]))</f>
        <v>-1174</v>
      </c>
      <c r="L490">
        <v>0</v>
      </c>
      <c r="M490">
        <f>IF((DST_123_ÜRETİM_İHTİYAÇ_RAPORU_BURAK_YENI1309[[#This Row],[SATINALMA]]*DST_123_ÜRETİM_İHTİYAÇ_RAPORU_BURAK_YENI1309[[#This Row],[BIRIM_FIYATLAR]])&lt;1,VALUE("0"),DST_123_ÜRETİM_İHTİYAÇ_RAPORU_BURAK_YENI1309[[#This Row],[SATINALMA]]*DST_123_ÜRETİM_İHTİYAÇ_RAPORU_BURAK_YENI1309[[#This Row],[BIRIM_FIYATLAR]])</f>
        <v>0</v>
      </c>
      <c r="N490">
        <v>0.55000000000000004</v>
      </c>
      <c r="O490" t="s">
        <v>240</v>
      </c>
      <c r="P490">
        <v>4.4000000000000004</v>
      </c>
      <c r="Q490" t="s">
        <v>180</v>
      </c>
    </row>
    <row r="491" spans="1:17" x14ac:dyDescent="0.25">
      <c r="A491" t="s">
        <v>1147</v>
      </c>
      <c r="B491" t="s">
        <v>1145</v>
      </c>
      <c r="C491" t="s">
        <v>175</v>
      </c>
      <c r="D491" t="s">
        <v>1191</v>
      </c>
      <c r="E491" t="s">
        <v>1192</v>
      </c>
      <c r="F491">
        <v>0.1</v>
      </c>
      <c r="G491" t="s">
        <v>185</v>
      </c>
      <c r="H491">
        <v>0</v>
      </c>
      <c r="I491">
        <v>32</v>
      </c>
      <c r="J491" s="10">
        <v>60</v>
      </c>
      <c r="K491" s="10">
        <f>SUMIFS(F:F,D:D,DST_123_ÜRETİM_İHTİYAÇ_RAPORU_BURAK_YENI1309[[#This Row],[ALT_KOD]])-(SUMIFS(H:H,D:D,DST_123_ÜRETİM_İHTİYAÇ_RAPORU_BURAK_YENI1309[[#This Row],[ALT_KOD]])+AVERAGEIFS(I:I,D:D,DST_123_ÜRETİM_İHTİYAÇ_RAPORU_BURAK_YENI1309[[#This Row],[ALT_KOD]])+AVERAGEIFS(L:L,D:D,DST_123_ÜRETİM_İHTİYAÇ_RAPORU_BURAK_YENI1309[[#This Row],[ALT_KOD]]))</f>
        <v>-31.4</v>
      </c>
      <c r="L491">
        <v>0</v>
      </c>
      <c r="M491">
        <f>IF((DST_123_ÜRETİM_İHTİYAÇ_RAPORU_BURAK_YENI1309[[#This Row],[SATINALMA]]*DST_123_ÜRETİM_İHTİYAÇ_RAPORU_BURAK_YENI1309[[#This Row],[BIRIM_FIYATLAR]])&lt;1,VALUE("0"),DST_123_ÜRETİM_İHTİYAÇ_RAPORU_BURAK_YENI1309[[#This Row],[SATINALMA]]*DST_123_ÜRETİM_İHTİYAÇ_RAPORU_BURAK_YENI1309[[#This Row],[BIRIM_FIYATLAR]])</f>
        <v>0</v>
      </c>
      <c r="N491">
        <v>110</v>
      </c>
      <c r="O491" t="s">
        <v>1193</v>
      </c>
      <c r="P491">
        <v>11</v>
      </c>
      <c r="Q491" t="s">
        <v>183</v>
      </c>
    </row>
    <row r="492" spans="1:17" x14ac:dyDescent="0.25">
      <c r="A492" t="s">
        <v>1060</v>
      </c>
      <c r="B492" t="s">
        <v>1061</v>
      </c>
      <c r="C492" t="s">
        <v>175</v>
      </c>
      <c r="D492" t="s">
        <v>349</v>
      </c>
      <c r="E492" t="s">
        <v>350</v>
      </c>
      <c r="F492">
        <v>0.5</v>
      </c>
      <c r="G492" t="s">
        <v>176</v>
      </c>
      <c r="H492">
        <v>0</v>
      </c>
      <c r="I492">
        <v>12</v>
      </c>
      <c r="J492" s="10">
        <v>3</v>
      </c>
      <c r="K492" s="10">
        <f>SUMIFS(F:F,D:D,DST_123_ÜRETİM_İHTİYAÇ_RAPORU_BURAK_YENI1309[[#This Row],[ALT_KOD]])-(SUMIFS(H:H,D:D,DST_123_ÜRETİM_İHTİYAÇ_RAPORU_BURAK_YENI1309[[#This Row],[ALT_KOD]])+AVERAGEIFS(I:I,D:D,DST_123_ÜRETİM_İHTİYAÇ_RAPORU_BURAK_YENI1309[[#This Row],[ALT_KOD]])+AVERAGEIFS(L:L,D:D,DST_123_ÜRETİM_İHTİYAÇ_RAPORU_BURAK_YENI1309[[#This Row],[ALT_KOD]]))</f>
        <v>-3</v>
      </c>
      <c r="L492">
        <v>0</v>
      </c>
      <c r="M492">
        <f>IF((DST_123_ÜRETİM_İHTİYAÇ_RAPORU_BURAK_YENI1309[[#This Row],[SATINALMA]]*DST_123_ÜRETİM_İHTİYAÇ_RAPORU_BURAK_YENI1309[[#This Row],[BIRIM_FIYATLAR]])&lt;1,VALUE("0"),DST_123_ÜRETİM_İHTİYAÇ_RAPORU_BURAK_YENI1309[[#This Row],[SATINALMA]]*DST_123_ÜRETİM_İHTİYAÇ_RAPORU_BURAK_YENI1309[[#This Row],[BIRIM_FIYATLAR]])</f>
        <v>0</v>
      </c>
      <c r="N492">
        <v>130</v>
      </c>
      <c r="O492" t="s">
        <v>226</v>
      </c>
      <c r="P492">
        <v>65</v>
      </c>
      <c r="Q492" t="s">
        <v>183</v>
      </c>
    </row>
    <row r="493" spans="1:17" x14ac:dyDescent="0.25">
      <c r="A493" t="s">
        <v>1147</v>
      </c>
      <c r="B493" t="s">
        <v>1145</v>
      </c>
      <c r="C493" t="s">
        <v>175</v>
      </c>
      <c r="D493" t="s">
        <v>349</v>
      </c>
      <c r="E493" t="s">
        <v>350</v>
      </c>
      <c r="F493">
        <v>0.5</v>
      </c>
      <c r="G493" t="s">
        <v>176</v>
      </c>
      <c r="H493">
        <v>0</v>
      </c>
      <c r="I493">
        <v>12</v>
      </c>
      <c r="J493" s="10">
        <v>3</v>
      </c>
      <c r="K493" s="10">
        <f>SUMIFS(F:F,D:D,DST_123_ÜRETİM_İHTİYAÇ_RAPORU_BURAK_YENI1309[[#This Row],[ALT_KOD]])-(SUMIFS(H:H,D:D,DST_123_ÜRETİM_İHTİYAÇ_RAPORU_BURAK_YENI1309[[#This Row],[ALT_KOD]])+AVERAGEIFS(I:I,D:D,DST_123_ÜRETİM_İHTİYAÇ_RAPORU_BURAK_YENI1309[[#This Row],[ALT_KOD]])+AVERAGEIFS(L:L,D:D,DST_123_ÜRETİM_İHTİYAÇ_RAPORU_BURAK_YENI1309[[#This Row],[ALT_KOD]]))</f>
        <v>-3</v>
      </c>
      <c r="L493">
        <v>0</v>
      </c>
      <c r="M493">
        <f>IF((DST_123_ÜRETİM_İHTİYAÇ_RAPORU_BURAK_YENI1309[[#This Row],[SATINALMA]]*DST_123_ÜRETİM_İHTİYAÇ_RAPORU_BURAK_YENI1309[[#This Row],[BIRIM_FIYATLAR]])&lt;1,VALUE("0"),DST_123_ÜRETİM_İHTİYAÇ_RAPORU_BURAK_YENI1309[[#This Row],[SATINALMA]]*DST_123_ÜRETİM_İHTİYAÇ_RAPORU_BURAK_YENI1309[[#This Row],[BIRIM_FIYATLAR]])</f>
        <v>0</v>
      </c>
      <c r="N493">
        <v>130</v>
      </c>
      <c r="O493" t="s">
        <v>226</v>
      </c>
      <c r="P493">
        <v>65</v>
      </c>
      <c r="Q493" t="s">
        <v>183</v>
      </c>
    </row>
    <row r="494" spans="1:17" x14ac:dyDescent="0.25">
      <c r="A494" t="s">
        <v>1148</v>
      </c>
      <c r="B494" t="s">
        <v>1056</v>
      </c>
      <c r="C494" t="s">
        <v>175</v>
      </c>
      <c r="D494" t="s">
        <v>349</v>
      </c>
      <c r="E494" t="s">
        <v>350</v>
      </c>
      <c r="F494">
        <v>0.5</v>
      </c>
      <c r="G494" t="s">
        <v>176</v>
      </c>
      <c r="H494">
        <v>0</v>
      </c>
      <c r="I494">
        <v>12</v>
      </c>
      <c r="J494" s="10">
        <v>3</v>
      </c>
      <c r="K494" s="10">
        <f>SUMIFS(F:F,D:D,DST_123_ÜRETİM_İHTİYAÇ_RAPORU_BURAK_YENI1309[[#This Row],[ALT_KOD]])-(SUMIFS(H:H,D:D,DST_123_ÜRETİM_İHTİYAÇ_RAPORU_BURAK_YENI1309[[#This Row],[ALT_KOD]])+AVERAGEIFS(I:I,D:D,DST_123_ÜRETİM_İHTİYAÇ_RAPORU_BURAK_YENI1309[[#This Row],[ALT_KOD]])+AVERAGEIFS(L:L,D:D,DST_123_ÜRETİM_İHTİYAÇ_RAPORU_BURAK_YENI1309[[#This Row],[ALT_KOD]]))</f>
        <v>-3</v>
      </c>
      <c r="L494">
        <v>0</v>
      </c>
      <c r="M494">
        <f>IF((DST_123_ÜRETİM_İHTİYAÇ_RAPORU_BURAK_YENI1309[[#This Row],[SATINALMA]]*DST_123_ÜRETİM_İHTİYAÇ_RAPORU_BURAK_YENI1309[[#This Row],[BIRIM_FIYATLAR]])&lt;1,VALUE("0"),DST_123_ÜRETİM_İHTİYAÇ_RAPORU_BURAK_YENI1309[[#This Row],[SATINALMA]]*DST_123_ÜRETİM_İHTİYAÇ_RAPORU_BURAK_YENI1309[[#This Row],[BIRIM_FIYATLAR]])</f>
        <v>0</v>
      </c>
      <c r="N494">
        <v>130</v>
      </c>
      <c r="O494" t="s">
        <v>226</v>
      </c>
      <c r="P494">
        <v>65</v>
      </c>
      <c r="Q494" t="s">
        <v>183</v>
      </c>
    </row>
    <row r="495" spans="1:17" x14ac:dyDescent="0.25">
      <c r="A495" t="s">
        <v>1098</v>
      </c>
      <c r="B495" t="s">
        <v>1096</v>
      </c>
      <c r="C495" t="s">
        <v>175</v>
      </c>
      <c r="D495" t="s">
        <v>850</v>
      </c>
      <c r="E495" t="s">
        <v>851</v>
      </c>
      <c r="F495">
        <v>1</v>
      </c>
      <c r="G495" t="s">
        <v>176</v>
      </c>
      <c r="H495">
        <v>0</v>
      </c>
      <c r="I495">
        <v>10</v>
      </c>
      <c r="J495" s="10">
        <v>3</v>
      </c>
      <c r="K495" s="10">
        <f>SUMIFS(F:F,D:D,DST_123_ÜRETİM_İHTİYAÇ_RAPORU_BURAK_YENI1309[[#This Row],[ALT_KOD]])-(SUMIFS(H:H,D:D,DST_123_ÜRETİM_İHTİYAÇ_RAPORU_BURAK_YENI1309[[#This Row],[ALT_KOD]])+AVERAGEIFS(I:I,D:D,DST_123_ÜRETİM_İHTİYAÇ_RAPORU_BURAK_YENI1309[[#This Row],[ALT_KOD]])+AVERAGEIFS(L:L,D:D,DST_123_ÜRETİM_İHTİYAÇ_RAPORU_BURAK_YENI1309[[#This Row],[ALT_KOD]]))</f>
        <v>-3</v>
      </c>
      <c r="L495">
        <v>0</v>
      </c>
      <c r="M495">
        <f>IF((DST_123_ÜRETİM_İHTİYAÇ_RAPORU_BURAK_YENI1309[[#This Row],[SATINALMA]]*DST_123_ÜRETİM_İHTİYAÇ_RAPORU_BURAK_YENI1309[[#This Row],[BIRIM_FIYATLAR]])&lt;1,VALUE("0"),DST_123_ÜRETİM_İHTİYAÇ_RAPORU_BURAK_YENI1309[[#This Row],[SATINALMA]]*DST_123_ÜRETİM_İHTİYAÇ_RAPORU_BURAK_YENI1309[[#This Row],[BIRIM_FIYATLAR]])</f>
        <v>0</v>
      </c>
      <c r="N495">
        <v>45</v>
      </c>
      <c r="O495" t="s">
        <v>240</v>
      </c>
      <c r="P495">
        <v>45</v>
      </c>
      <c r="Q495" t="s">
        <v>180</v>
      </c>
    </row>
    <row r="496" spans="1:17" x14ac:dyDescent="0.25">
      <c r="A496" t="s">
        <v>1064</v>
      </c>
      <c r="B496" t="s">
        <v>1055</v>
      </c>
      <c r="C496" t="s">
        <v>175</v>
      </c>
      <c r="D496" t="s">
        <v>363</v>
      </c>
      <c r="E496" t="s">
        <v>364</v>
      </c>
      <c r="F496">
        <v>10</v>
      </c>
      <c r="G496" t="s">
        <v>179</v>
      </c>
      <c r="H496">
        <v>0</v>
      </c>
      <c r="I496">
        <v>100</v>
      </c>
      <c r="J496" s="10">
        <v>159.90000000000003</v>
      </c>
      <c r="K496" s="10">
        <f>SUMIFS(F:F,D:D,DST_123_ÜRETİM_İHTİYAÇ_RAPORU_BURAK_YENI1309[[#This Row],[ALT_KOD]])-(SUMIFS(H:H,D:D,DST_123_ÜRETİM_İHTİYAÇ_RAPORU_BURAK_YENI1309[[#This Row],[ALT_KOD]])+AVERAGEIFS(I:I,D:D,DST_123_ÜRETİM_İHTİYAÇ_RAPORU_BURAK_YENI1309[[#This Row],[ALT_KOD]])+AVERAGEIFS(L:L,D:D,DST_123_ÜRETİM_İHTİYAÇ_RAPORU_BURAK_YENI1309[[#This Row],[ALT_KOD]]))</f>
        <v>41.300000000000011</v>
      </c>
      <c r="L496">
        <v>0</v>
      </c>
      <c r="M496">
        <f>IF((DST_123_ÜRETİM_İHTİYAÇ_RAPORU_BURAK_YENI1309[[#This Row],[SATINALMA]]*DST_123_ÜRETİM_İHTİYAÇ_RAPORU_BURAK_YENI1309[[#This Row],[BIRIM_FIYATLAR]])&lt;1,VALUE("0"),DST_123_ÜRETİM_İHTİYAÇ_RAPORU_BURAK_YENI1309[[#This Row],[SATINALMA]]*DST_123_ÜRETİM_İHTİYAÇ_RAPORU_BURAK_YENI1309[[#This Row],[BIRIM_FIYATLAR]])</f>
        <v>929.25000000000023</v>
      </c>
      <c r="N496">
        <v>22.5</v>
      </c>
      <c r="O496" t="s">
        <v>314</v>
      </c>
      <c r="P496">
        <v>225</v>
      </c>
      <c r="Q496" t="s">
        <v>178</v>
      </c>
    </row>
    <row r="497" spans="1:17" x14ac:dyDescent="0.25">
      <c r="A497" t="s">
        <v>1101</v>
      </c>
      <c r="B497" t="s">
        <v>1102</v>
      </c>
      <c r="C497" t="s">
        <v>175</v>
      </c>
      <c r="D497" t="s">
        <v>416</v>
      </c>
      <c r="E497" t="s">
        <v>417</v>
      </c>
      <c r="F497">
        <v>52</v>
      </c>
      <c r="G497" t="s">
        <v>176</v>
      </c>
      <c r="H497">
        <v>0</v>
      </c>
      <c r="I497">
        <v>1000</v>
      </c>
      <c r="J497" s="10">
        <v>4807</v>
      </c>
      <c r="K497" s="10">
        <f>SUMIFS(F:F,D:D,DST_123_ÜRETİM_İHTİYAÇ_RAPORU_BURAK_YENI1309[[#This Row],[ALT_KOD]])-(SUMIFS(H:H,D:D,DST_123_ÜRETİM_İHTİYAÇ_RAPORU_BURAK_YENI1309[[#This Row],[ALT_KOD]])+AVERAGEIFS(I:I,D:D,DST_123_ÜRETİM_İHTİYAÇ_RAPORU_BURAK_YENI1309[[#This Row],[ALT_KOD]])+AVERAGEIFS(L:L,D:D,DST_123_ÜRETİM_İHTİYAÇ_RAPORU_BURAK_YENI1309[[#This Row],[ALT_KOD]]))</f>
        <v>-450</v>
      </c>
      <c r="L497">
        <v>0</v>
      </c>
      <c r="M497">
        <f>IF((DST_123_ÜRETİM_İHTİYAÇ_RAPORU_BURAK_YENI1309[[#This Row],[SATINALMA]]*DST_123_ÜRETİM_İHTİYAÇ_RAPORU_BURAK_YENI1309[[#This Row],[BIRIM_FIYATLAR]])&lt;1,VALUE("0"),DST_123_ÜRETİM_İHTİYAÇ_RAPORU_BURAK_YENI1309[[#This Row],[SATINALMA]]*DST_123_ÜRETİM_İHTİYAÇ_RAPORU_BURAK_YENI1309[[#This Row],[BIRIM_FIYATLAR]])</f>
        <v>0</v>
      </c>
      <c r="N497">
        <v>0.3</v>
      </c>
      <c r="O497" t="s">
        <v>628</v>
      </c>
      <c r="P497">
        <v>15.6</v>
      </c>
      <c r="Q497" t="s">
        <v>180</v>
      </c>
    </row>
    <row r="498" spans="1:17" x14ac:dyDescent="0.25">
      <c r="A498" t="s">
        <v>1095</v>
      </c>
      <c r="B498" t="s">
        <v>1096</v>
      </c>
      <c r="C498" t="s">
        <v>175</v>
      </c>
      <c r="D498" t="s">
        <v>456</v>
      </c>
      <c r="E498" t="s">
        <v>457</v>
      </c>
      <c r="F498">
        <v>70</v>
      </c>
      <c r="G498" t="s">
        <v>176</v>
      </c>
      <c r="H498">
        <v>0</v>
      </c>
      <c r="I498">
        <v>3000</v>
      </c>
      <c r="J498" s="10">
        <v>1138</v>
      </c>
      <c r="K498" s="10">
        <f>SUMIFS(F:F,D:D,DST_123_ÜRETİM_İHTİYAÇ_RAPORU_BURAK_YENI1309[[#This Row],[ALT_KOD]])-(SUMIFS(H:H,D:D,DST_123_ÜRETİM_İHTİYAÇ_RAPORU_BURAK_YENI1309[[#This Row],[ALT_KOD]])+AVERAGEIFS(I:I,D:D,DST_123_ÜRETİM_İHTİYAÇ_RAPORU_BURAK_YENI1309[[#This Row],[ALT_KOD]])+AVERAGEIFS(L:L,D:D,DST_123_ÜRETİM_İHTİYAÇ_RAPORU_BURAK_YENI1309[[#This Row],[ALT_KOD]]))</f>
        <v>-1738</v>
      </c>
      <c r="L498">
        <v>0</v>
      </c>
      <c r="M498">
        <f>IF((DST_123_ÜRETİM_İHTİYAÇ_RAPORU_BURAK_YENI1309[[#This Row],[SATINALMA]]*DST_123_ÜRETİM_İHTİYAÇ_RAPORU_BURAK_YENI1309[[#This Row],[BIRIM_FIYATLAR]])&lt;1,VALUE("0"),DST_123_ÜRETİM_İHTİYAÇ_RAPORU_BURAK_YENI1309[[#This Row],[SATINALMA]]*DST_123_ÜRETİM_İHTİYAÇ_RAPORU_BURAK_YENI1309[[#This Row],[BIRIM_FIYATLAR]])</f>
        <v>0</v>
      </c>
      <c r="N498">
        <v>0.93</v>
      </c>
      <c r="O498" t="s">
        <v>882</v>
      </c>
      <c r="P498">
        <v>65.100000000000009</v>
      </c>
      <c r="Q498" t="s">
        <v>180</v>
      </c>
    </row>
    <row r="499" spans="1:17" x14ac:dyDescent="0.25">
      <c r="A499" t="s">
        <v>1143</v>
      </c>
      <c r="B499" t="s">
        <v>1056</v>
      </c>
      <c r="C499" t="s">
        <v>175</v>
      </c>
      <c r="D499" t="s">
        <v>66</v>
      </c>
      <c r="E499" t="s">
        <v>1229</v>
      </c>
      <c r="F499">
        <v>9</v>
      </c>
      <c r="G499" t="s">
        <v>176</v>
      </c>
      <c r="H499">
        <v>0</v>
      </c>
      <c r="I499">
        <v>0</v>
      </c>
      <c r="J499" s="10">
        <v>128</v>
      </c>
      <c r="K499" s="10">
        <f>SUMIFS(F:F,D:D,DST_123_ÜRETİM_İHTİYAÇ_RAPORU_BURAK_YENI1309[[#This Row],[ALT_KOD]])-(SUMIFS(H:H,D:D,DST_123_ÜRETİM_İHTİYAÇ_RAPORU_BURAK_YENI1309[[#This Row],[ALT_KOD]])+AVERAGEIFS(I:I,D:D,DST_123_ÜRETİM_İHTİYAÇ_RAPORU_BURAK_YENI1309[[#This Row],[ALT_KOD]])+AVERAGEIFS(L:L,D:D,DST_123_ÜRETİM_İHTİYAÇ_RAPORU_BURAK_YENI1309[[#This Row],[ALT_KOD]]))</f>
        <v>70</v>
      </c>
      <c r="L499">
        <v>40</v>
      </c>
      <c r="M499">
        <f>IF((DST_123_ÜRETİM_İHTİYAÇ_RAPORU_BURAK_YENI1309[[#This Row],[SATINALMA]]*DST_123_ÜRETİM_İHTİYAÇ_RAPORU_BURAK_YENI1309[[#This Row],[BIRIM_FIYATLAR]])&lt;1,VALUE("0"),DST_123_ÜRETİM_İHTİYAÇ_RAPORU_BURAK_YENI1309[[#This Row],[SATINALMA]]*DST_123_ÜRETİM_İHTİYAÇ_RAPORU_BURAK_YENI1309[[#This Row],[BIRIM_FIYATLAR]])</f>
        <v>4200</v>
      </c>
      <c r="N499">
        <v>60</v>
      </c>
      <c r="O499" t="s">
        <v>821</v>
      </c>
      <c r="P499">
        <v>540</v>
      </c>
      <c r="Q499" t="s">
        <v>180</v>
      </c>
    </row>
    <row r="500" spans="1:17" x14ac:dyDescent="0.25">
      <c r="A500" t="s">
        <v>1059</v>
      </c>
      <c r="B500" t="s">
        <v>1058</v>
      </c>
      <c r="C500" t="s">
        <v>175</v>
      </c>
      <c r="D500" t="s">
        <v>66</v>
      </c>
      <c r="E500" t="s">
        <v>1229</v>
      </c>
      <c r="F500">
        <v>5</v>
      </c>
      <c r="G500" t="s">
        <v>176</v>
      </c>
      <c r="H500">
        <v>0</v>
      </c>
      <c r="I500">
        <v>0</v>
      </c>
      <c r="J500" s="10">
        <v>128</v>
      </c>
      <c r="K500" s="10">
        <f>SUMIFS(F:F,D:D,DST_123_ÜRETİM_İHTİYAÇ_RAPORU_BURAK_YENI1309[[#This Row],[ALT_KOD]])-(SUMIFS(H:H,D:D,DST_123_ÜRETİM_İHTİYAÇ_RAPORU_BURAK_YENI1309[[#This Row],[ALT_KOD]])+AVERAGEIFS(I:I,D:D,DST_123_ÜRETİM_İHTİYAÇ_RAPORU_BURAK_YENI1309[[#This Row],[ALT_KOD]])+AVERAGEIFS(L:L,D:D,DST_123_ÜRETİM_İHTİYAÇ_RAPORU_BURAK_YENI1309[[#This Row],[ALT_KOD]]))</f>
        <v>70</v>
      </c>
      <c r="L500">
        <v>40</v>
      </c>
      <c r="M500">
        <f>IF((DST_123_ÜRETİM_İHTİYAÇ_RAPORU_BURAK_YENI1309[[#This Row],[SATINALMA]]*DST_123_ÜRETİM_İHTİYAÇ_RAPORU_BURAK_YENI1309[[#This Row],[BIRIM_FIYATLAR]])&lt;1,VALUE("0"),DST_123_ÜRETİM_İHTİYAÇ_RAPORU_BURAK_YENI1309[[#This Row],[SATINALMA]]*DST_123_ÜRETİM_İHTİYAÇ_RAPORU_BURAK_YENI1309[[#This Row],[BIRIM_FIYATLAR]])</f>
        <v>4200</v>
      </c>
      <c r="N500">
        <v>60</v>
      </c>
      <c r="O500" t="s">
        <v>821</v>
      </c>
      <c r="P500">
        <v>300</v>
      </c>
      <c r="Q500" t="s">
        <v>180</v>
      </c>
    </row>
    <row r="501" spans="1:17" x14ac:dyDescent="0.25">
      <c r="A501" t="s">
        <v>1143</v>
      </c>
      <c r="B501" t="s">
        <v>1056</v>
      </c>
      <c r="C501" t="s">
        <v>175</v>
      </c>
      <c r="D501" t="s">
        <v>110</v>
      </c>
      <c r="E501" t="s">
        <v>111</v>
      </c>
      <c r="F501">
        <v>1</v>
      </c>
      <c r="G501" t="s">
        <v>176</v>
      </c>
      <c r="H501">
        <v>0</v>
      </c>
      <c r="I501">
        <v>0</v>
      </c>
      <c r="J501" s="10">
        <v>10</v>
      </c>
      <c r="K501" s="10">
        <f>SUMIFS(F:F,D:D,DST_123_ÜRETİM_İHTİYAÇ_RAPORU_BURAK_YENI1309[[#This Row],[ALT_KOD]])-(SUMIFS(H:H,D:D,DST_123_ÜRETİM_İHTİYAÇ_RAPORU_BURAK_YENI1309[[#This Row],[ALT_KOD]])+AVERAGEIFS(I:I,D:D,DST_123_ÜRETİM_İHTİYAÇ_RAPORU_BURAK_YENI1309[[#This Row],[ALT_KOD]])+AVERAGEIFS(L:L,D:D,DST_123_ÜRETİM_İHTİYAÇ_RAPORU_BURAK_YENI1309[[#This Row],[ALT_KOD]]))</f>
        <v>0</v>
      </c>
      <c r="L501">
        <v>11</v>
      </c>
      <c r="M501">
        <f>IF((DST_123_ÜRETİM_İHTİYAÇ_RAPORU_BURAK_YENI1309[[#This Row],[SATINALMA]]*DST_123_ÜRETİM_İHTİYAÇ_RAPORU_BURAK_YENI1309[[#This Row],[BIRIM_FIYATLAR]])&lt;1,VALUE("0"),DST_123_ÜRETİM_İHTİYAÇ_RAPORU_BURAK_YENI1309[[#This Row],[SATINALMA]]*DST_123_ÜRETİM_İHTİYAÇ_RAPORU_BURAK_YENI1309[[#This Row],[BIRIM_FIYATLAR]])</f>
        <v>0</v>
      </c>
      <c r="N501">
        <v>675</v>
      </c>
      <c r="O501" t="s">
        <v>632</v>
      </c>
      <c r="P501">
        <v>675</v>
      </c>
      <c r="Q501" t="s">
        <v>177</v>
      </c>
    </row>
    <row r="502" spans="1:17" x14ac:dyDescent="0.25">
      <c r="A502" t="s">
        <v>1098</v>
      </c>
      <c r="B502" t="s">
        <v>1096</v>
      </c>
      <c r="C502" t="s">
        <v>175</v>
      </c>
      <c r="D502" t="s">
        <v>359</v>
      </c>
      <c r="E502" t="s">
        <v>360</v>
      </c>
      <c r="F502">
        <v>14</v>
      </c>
      <c r="G502" t="s">
        <v>176</v>
      </c>
      <c r="H502">
        <v>0</v>
      </c>
      <c r="I502">
        <v>14472</v>
      </c>
      <c r="J502" s="10">
        <v>3376</v>
      </c>
      <c r="K502" s="10">
        <f>SUMIFS(F:F,D:D,DST_123_ÜRETİM_İHTİYAÇ_RAPORU_BURAK_YENI1309[[#This Row],[ALT_KOD]])-(SUMIFS(H:H,D:D,DST_123_ÜRETİM_İHTİYAÇ_RAPORU_BURAK_YENI1309[[#This Row],[ALT_KOD]])+AVERAGEIFS(I:I,D:D,DST_123_ÜRETİM_İHTİYAÇ_RAPORU_BURAK_YENI1309[[#This Row],[ALT_KOD]])+AVERAGEIFS(L:L,D:D,DST_123_ÜRETİM_İHTİYAÇ_RAPORU_BURAK_YENI1309[[#This Row],[ALT_KOD]]))</f>
        <v>-14340</v>
      </c>
      <c r="L502">
        <v>0</v>
      </c>
      <c r="M502">
        <f>IF((DST_123_ÜRETİM_İHTİYAÇ_RAPORU_BURAK_YENI1309[[#This Row],[SATINALMA]]*DST_123_ÜRETİM_İHTİYAÇ_RAPORU_BURAK_YENI1309[[#This Row],[BIRIM_FIYATLAR]])&lt;1,VALUE("0"),DST_123_ÜRETİM_İHTİYAÇ_RAPORU_BURAK_YENI1309[[#This Row],[SATINALMA]]*DST_123_ÜRETİM_İHTİYAÇ_RAPORU_BURAK_YENI1309[[#This Row],[BIRIM_FIYATLAR]])</f>
        <v>0</v>
      </c>
      <c r="N502">
        <v>0.04</v>
      </c>
      <c r="P502">
        <v>0.56000000000000005</v>
      </c>
      <c r="Q502" t="s">
        <v>180</v>
      </c>
    </row>
    <row r="503" spans="1:17" x14ac:dyDescent="0.25">
      <c r="A503" t="s">
        <v>1099</v>
      </c>
      <c r="B503" t="s">
        <v>1055</v>
      </c>
      <c r="C503" t="s">
        <v>175</v>
      </c>
      <c r="D503" t="s">
        <v>62</v>
      </c>
      <c r="E503" t="s">
        <v>63</v>
      </c>
      <c r="F503">
        <v>6</v>
      </c>
      <c r="G503" t="s">
        <v>179</v>
      </c>
      <c r="H503">
        <v>0</v>
      </c>
      <c r="I503">
        <v>260</v>
      </c>
      <c r="J503" s="10">
        <v>0</v>
      </c>
      <c r="K503" s="10">
        <f>SUMIFS(F:F,D:D,DST_123_ÜRETİM_İHTİYAÇ_RAPORU_BURAK_YENI1309[[#This Row],[ALT_KOD]])-(SUMIFS(H:H,D:D,DST_123_ÜRETİM_İHTİYAÇ_RAPORU_BURAK_YENI1309[[#This Row],[ALT_KOD]])+AVERAGEIFS(I:I,D:D,DST_123_ÜRETİM_İHTİYAÇ_RAPORU_BURAK_YENI1309[[#This Row],[ALT_KOD]])+AVERAGEIFS(L:L,D:D,DST_123_ÜRETİM_İHTİYAÇ_RAPORU_BURAK_YENI1309[[#This Row],[ALT_KOD]]))</f>
        <v>-248</v>
      </c>
      <c r="L503">
        <v>0</v>
      </c>
      <c r="M503">
        <f>IF((DST_123_ÜRETİM_İHTİYAÇ_RAPORU_BURAK_YENI1309[[#This Row],[SATINALMA]]*DST_123_ÜRETİM_İHTİYAÇ_RAPORU_BURAK_YENI1309[[#This Row],[BIRIM_FIYATLAR]])&lt;1,VALUE("0"),DST_123_ÜRETİM_İHTİYAÇ_RAPORU_BURAK_YENI1309[[#This Row],[SATINALMA]]*DST_123_ÜRETİM_İHTİYAÇ_RAPORU_BURAK_YENI1309[[#This Row],[BIRIM_FIYATLAR]])</f>
        <v>0</v>
      </c>
      <c r="N503">
        <v>8.4</v>
      </c>
      <c r="O503" t="s">
        <v>826</v>
      </c>
      <c r="P503">
        <v>50.400000000000006</v>
      </c>
      <c r="Q503" t="s">
        <v>180</v>
      </c>
    </row>
    <row r="504" spans="1:17" x14ac:dyDescent="0.25">
      <c r="A504" t="s">
        <v>1196</v>
      </c>
      <c r="B504" t="s">
        <v>1197</v>
      </c>
      <c r="C504" t="s">
        <v>175</v>
      </c>
      <c r="D504" t="s">
        <v>456</v>
      </c>
      <c r="E504" t="s">
        <v>457</v>
      </c>
      <c r="F504">
        <v>78</v>
      </c>
      <c r="G504" t="s">
        <v>176</v>
      </c>
      <c r="H504">
        <v>0</v>
      </c>
      <c r="I504">
        <v>3000</v>
      </c>
      <c r="J504" s="10">
        <v>1138</v>
      </c>
      <c r="K504" s="10">
        <f>SUMIFS(F:F,D:D,DST_123_ÜRETİM_İHTİYAÇ_RAPORU_BURAK_YENI1309[[#This Row],[ALT_KOD]])-(SUMIFS(H:H,D:D,DST_123_ÜRETİM_İHTİYAÇ_RAPORU_BURAK_YENI1309[[#This Row],[ALT_KOD]])+AVERAGEIFS(I:I,D:D,DST_123_ÜRETİM_İHTİYAÇ_RAPORU_BURAK_YENI1309[[#This Row],[ALT_KOD]])+AVERAGEIFS(L:L,D:D,DST_123_ÜRETİM_İHTİYAÇ_RAPORU_BURAK_YENI1309[[#This Row],[ALT_KOD]]))</f>
        <v>-1738</v>
      </c>
      <c r="L504">
        <v>0</v>
      </c>
      <c r="M504">
        <f>IF((DST_123_ÜRETİM_İHTİYAÇ_RAPORU_BURAK_YENI1309[[#This Row],[SATINALMA]]*DST_123_ÜRETİM_İHTİYAÇ_RAPORU_BURAK_YENI1309[[#This Row],[BIRIM_FIYATLAR]])&lt;1,VALUE("0"),DST_123_ÜRETİM_İHTİYAÇ_RAPORU_BURAK_YENI1309[[#This Row],[SATINALMA]]*DST_123_ÜRETİM_İHTİYAÇ_RAPORU_BURAK_YENI1309[[#This Row],[BIRIM_FIYATLAR]])</f>
        <v>0</v>
      </c>
      <c r="N504">
        <v>0.93</v>
      </c>
      <c r="O504" t="s">
        <v>882</v>
      </c>
      <c r="P504">
        <v>72.540000000000006</v>
      </c>
      <c r="Q504" t="s">
        <v>180</v>
      </c>
    </row>
    <row r="505" spans="1:17" x14ac:dyDescent="0.25">
      <c r="A505" t="s">
        <v>1098</v>
      </c>
      <c r="B505" t="s">
        <v>1096</v>
      </c>
      <c r="C505" t="s">
        <v>175</v>
      </c>
      <c r="D505" t="s">
        <v>456</v>
      </c>
      <c r="E505" t="s">
        <v>457</v>
      </c>
      <c r="F505">
        <v>70</v>
      </c>
      <c r="G505" t="s">
        <v>176</v>
      </c>
      <c r="H505">
        <v>0</v>
      </c>
      <c r="I505">
        <v>3000</v>
      </c>
      <c r="J505" s="10">
        <v>1138</v>
      </c>
      <c r="K505" s="10">
        <f>SUMIFS(F:F,D:D,DST_123_ÜRETİM_İHTİYAÇ_RAPORU_BURAK_YENI1309[[#This Row],[ALT_KOD]])-(SUMIFS(H:H,D:D,DST_123_ÜRETİM_İHTİYAÇ_RAPORU_BURAK_YENI1309[[#This Row],[ALT_KOD]])+AVERAGEIFS(I:I,D:D,DST_123_ÜRETİM_İHTİYAÇ_RAPORU_BURAK_YENI1309[[#This Row],[ALT_KOD]])+AVERAGEIFS(L:L,D:D,DST_123_ÜRETİM_İHTİYAÇ_RAPORU_BURAK_YENI1309[[#This Row],[ALT_KOD]]))</f>
        <v>-1738</v>
      </c>
      <c r="L505">
        <v>0</v>
      </c>
      <c r="M505">
        <f>IF((DST_123_ÜRETİM_İHTİYAÇ_RAPORU_BURAK_YENI1309[[#This Row],[SATINALMA]]*DST_123_ÜRETİM_İHTİYAÇ_RAPORU_BURAK_YENI1309[[#This Row],[BIRIM_FIYATLAR]])&lt;1,VALUE("0"),DST_123_ÜRETİM_İHTİYAÇ_RAPORU_BURAK_YENI1309[[#This Row],[SATINALMA]]*DST_123_ÜRETİM_İHTİYAÇ_RAPORU_BURAK_YENI1309[[#This Row],[BIRIM_FIYATLAR]])</f>
        <v>0</v>
      </c>
      <c r="N505">
        <v>0.93</v>
      </c>
      <c r="O505" t="s">
        <v>882</v>
      </c>
      <c r="P505">
        <v>65.100000000000009</v>
      </c>
      <c r="Q505" t="s">
        <v>180</v>
      </c>
    </row>
    <row r="506" spans="1:17" x14ac:dyDescent="0.25">
      <c r="A506" t="s">
        <v>1099</v>
      </c>
      <c r="B506" t="s">
        <v>1055</v>
      </c>
      <c r="C506" t="s">
        <v>175</v>
      </c>
      <c r="D506" t="s">
        <v>456</v>
      </c>
      <c r="E506" t="s">
        <v>457</v>
      </c>
      <c r="F506">
        <v>44</v>
      </c>
      <c r="G506" t="s">
        <v>176</v>
      </c>
      <c r="H506">
        <v>0</v>
      </c>
      <c r="I506">
        <v>3000</v>
      </c>
      <c r="J506" s="10">
        <v>1138</v>
      </c>
      <c r="K506" s="10">
        <f>SUMIFS(F:F,D:D,DST_123_ÜRETİM_İHTİYAÇ_RAPORU_BURAK_YENI1309[[#This Row],[ALT_KOD]])-(SUMIFS(H:H,D:D,DST_123_ÜRETİM_İHTİYAÇ_RAPORU_BURAK_YENI1309[[#This Row],[ALT_KOD]])+AVERAGEIFS(I:I,D:D,DST_123_ÜRETİM_İHTİYAÇ_RAPORU_BURAK_YENI1309[[#This Row],[ALT_KOD]])+AVERAGEIFS(L:L,D:D,DST_123_ÜRETİM_İHTİYAÇ_RAPORU_BURAK_YENI1309[[#This Row],[ALT_KOD]]))</f>
        <v>-1738</v>
      </c>
      <c r="L506">
        <v>0</v>
      </c>
      <c r="M506">
        <f>IF((DST_123_ÜRETİM_İHTİYAÇ_RAPORU_BURAK_YENI1309[[#This Row],[SATINALMA]]*DST_123_ÜRETİM_İHTİYAÇ_RAPORU_BURAK_YENI1309[[#This Row],[BIRIM_FIYATLAR]])&lt;1,VALUE("0"),DST_123_ÜRETİM_İHTİYAÇ_RAPORU_BURAK_YENI1309[[#This Row],[SATINALMA]]*DST_123_ÜRETİM_İHTİYAÇ_RAPORU_BURAK_YENI1309[[#This Row],[BIRIM_FIYATLAR]])</f>
        <v>0</v>
      </c>
      <c r="N506">
        <v>0.93</v>
      </c>
      <c r="O506" t="s">
        <v>882</v>
      </c>
      <c r="P506">
        <v>40.92</v>
      </c>
      <c r="Q506" t="s">
        <v>180</v>
      </c>
    </row>
    <row r="507" spans="1:17" x14ac:dyDescent="0.25">
      <c r="A507" t="s">
        <v>1098</v>
      </c>
      <c r="B507" t="s">
        <v>1096</v>
      </c>
      <c r="C507" t="s">
        <v>175</v>
      </c>
      <c r="D507" t="s">
        <v>66</v>
      </c>
      <c r="E507" t="s">
        <v>1229</v>
      </c>
      <c r="F507">
        <v>11</v>
      </c>
      <c r="G507" t="s">
        <v>176</v>
      </c>
      <c r="H507">
        <v>0</v>
      </c>
      <c r="I507">
        <v>0</v>
      </c>
      <c r="J507" s="10">
        <v>128</v>
      </c>
      <c r="K507" s="10">
        <f>SUMIFS(F:F,D:D,DST_123_ÜRETİM_İHTİYAÇ_RAPORU_BURAK_YENI1309[[#This Row],[ALT_KOD]])-(SUMIFS(H:H,D:D,DST_123_ÜRETİM_İHTİYAÇ_RAPORU_BURAK_YENI1309[[#This Row],[ALT_KOD]])+AVERAGEIFS(I:I,D:D,DST_123_ÜRETİM_İHTİYAÇ_RAPORU_BURAK_YENI1309[[#This Row],[ALT_KOD]])+AVERAGEIFS(L:L,D:D,DST_123_ÜRETİM_İHTİYAÇ_RAPORU_BURAK_YENI1309[[#This Row],[ALT_KOD]]))</f>
        <v>70</v>
      </c>
      <c r="L507">
        <v>40</v>
      </c>
      <c r="M507">
        <f>IF((DST_123_ÜRETİM_İHTİYAÇ_RAPORU_BURAK_YENI1309[[#This Row],[SATINALMA]]*DST_123_ÜRETİM_İHTİYAÇ_RAPORU_BURAK_YENI1309[[#This Row],[BIRIM_FIYATLAR]])&lt;1,VALUE("0"),DST_123_ÜRETİM_İHTİYAÇ_RAPORU_BURAK_YENI1309[[#This Row],[SATINALMA]]*DST_123_ÜRETİM_İHTİYAÇ_RAPORU_BURAK_YENI1309[[#This Row],[BIRIM_FIYATLAR]])</f>
        <v>4200</v>
      </c>
      <c r="N507">
        <v>60</v>
      </c>
      <c r="O507" t="s">
        <v>821</v>
      </c>
      <c r="P507">
        <v>660</v>
      </c>
      <c r="Q507" t="s">
        <v>180</v>
      </c>
    </row>
    <row r="508" spans="1:17" x14ac:dyDescent="0.25">
      <c r="A508" t="s">
        <v>1149</v>
      </c>
      <c r="B508" t="s">
        <v>1145</v>
      </c>
      <c r="C508" t="s">
        <v>175</v>
      </c>
      <c r="D508" t="s">
        <v>359</v>
      </c>
      <c r="E508" t="s">
        <v>360</v>
      </c>
      <c r="F508">
        <v>2</v>
      </c>
      <c r="G508" t="s">
        <v>176</v>
      </c>
      <c r="H508">
        <v>0</v>
      </c>
      <c r="I508">
        <v>14472</v>
      </c>
      <c r="J508" s="10">
        <v>3376</v>
      </c>
      <c r="K508" s="10">
        <f>SUMIFS(F:F,D:D,DST_123_ÜRETİM_İHTİYAÇ_RAPORU_BURAK_YENI1309[[#This Row],[ALT_KOD]])-(SUMIFS(H:H,D:D,DST_123_ÜRETİM_İHTİYAÇ_RAPORU_BURAK_YENI1309[[#This Row],[ALT_KOD]])+AVERAGEIFS(I:I,D:D,DST_123_ÜRETİM_İHTİYAÇ_RAPORU_BURAK_YENI1309[[#This Row],[ALT_KOD]])+AVERAGEIFS(L:L,D:D,DST_123_ÜRETİM_İHTİYAÇ_RAPORU_BURAK_YENI1309[[#This Row],[ALT_KOD]]))</f>
        <v>-14340</v>
      </c>
      <c r="L508">
        <v>0</v>
      </c>
      <c r="M508">
        <f>IF((DST_123_ÜRETİM_İHTİYAÇ_RAPORU_BURAK_YENI1309[[#This Row],[SATINALMA]]*DST_123_ÜRETİM_İHTİYAÇ_RAPORU_BURAK_YENI1309[[#This Row],[BIRIM_FIYATLAR]])&lt;1,VALUE("0"),DST_123_ÜRETİM_İHTİYAÇ_RAPORU_BURAK_YENI1309[[#This Row],[SATINALMA]]*DST_123_ÜRETİM_İHTİYAÇ_RAPORU_BURAK_YENI1309[[#This Row],[BIRIM_FIYATLAR]])</f>
        <v>0</v>
      </c>
      <c r="N508">
        <v>0.04</v>
      </c>
      <c r="P508">
        <v>0.08</v>
      </c>
      <c r="Q508" t="s">
        <v>180</v>
      </c>
    </row>
    <row r="509" spans="1:17" x14ac:dyDescent="0.25">
      <c r="A509" t="s">
        <v>1150</v>
      </c>
      <c r="B509" t="s">
        <v>1145</v>
      </c>
      <c r="C509" t="s">
        <v>175</v>
      </c>
      <c r="D509" t="s">
        <v>456</v>
      </c>
      <c r="E509" t="s">
        <v>457</v>
      </c>
      <c r="F509">
        <v>78</v>
      </c>
      <c r="G509" t="s">
        <v>176</v>
      </c>
      <c r="H509">
        <v>0</v>
      </c>
      <c r="I509">
        <v>3000</v>
      </c>
      <c r="J509" s="10">
        <v>1138</v>
      </c>
      <c r="K509" s="10">
        <f>SUMIFS(F:F,D:D,DST_123_ÜRETİM_İHTİYAÇ_RAPORU_BURAK_YENI1309[[#This Row],[ALT_KOD]])-(SUMIFS(H:H,D:D,DST_123_ÜRETİM_İHTİYAÇ_RAPORU_BURAK_YENI1309[[#This Row],[ALT_KOD]])+AVERAGEIFS(I:I,D:D,DST_123_ÜRETİM_İHTİYAÇ_RAPORU_BURAK_YENI1309[[#This Row],[ALT_KOD]])+AVERAGEIFS(L:L,D:D,DST_123_ÜRETİM_İHTİYAÇ_RAPORU_BURAK_YENI1309[[#This Row],[ALT_KOD]]))</f>
        <v>-1738</v>
      </c>
      <c r="L509">
        <v>0</v>
      </c>
      <c r="M509">
        <f>IF((DST_123_ÜRETİM_İHTİYAÇ_RAPORU_BURAK_YENI1309[[#This Row],[SATINALMA]]*DST_123_ÜRETİM_İHTİYAÇ_RAPORU_BURAK_YENI1309[[#This Row],[BIRIM_FIYATLAR]])&lt;1,VALUE("0"),DST_123_ÜRETİM_İHTİYAÇ_RAPORU_BURAK_YENI1309[[#This Row],[SATINALMA]]*DST_123_ÜRETİM_İHTİYAÇ_RAPORU_BURAK_YENI1309[[#This Row],[BIRIM_FIYATLAR]])</f>
        <v>0</v>
      </c>
      <c r="N509">
        <v>0.93</v>
      </c>
      <c r="O509" t="s">
        <v>882</v>
      </c>
      <c r="P509">
        <v>72.540000000000006</v>
      </c>
      <c r="Q509" t="s">
        <v>180</v>
      </c>
    </row>
    <row r="510" spans="1:17" x14ac:dyDescent="0.25">
      <c r="A510" t="s">
        <v>1149</v>
      </c>
      <c r="B510" t="s">
        <v>1145</v>
      </c>
      <c r="C510" t="s">
        <v>175</v>
      </c>
      <c r="D510" t="s">
        <v>66</v>
      </c>
      <c r="E510" t="s">
        <v>1229</v>
      </c>
      <c r="F510">
        <v>3</v>
      </c>
      <c r="G510" t="s">
        <v>176</v>
      </c>
      <c r="H510">
        <v>0</v>
      </c>
      <c r="I510">
        <v>0</v>
      </c>
      <c r="J510" s="10">
        <v>128</v>
      </c>
      <c r="K510" s="10">
        <f>SUMIFS(F:F,D:D,DST_123_ÜRETİM_İHTİYAÇ_RAPORU_BURAK_YENI1309[[#This Row],[ALT_KOD]])-(SUMIFS(H:H,D:D,DST_123_ÜRETİM_İHTİYAÇ_RAPORU_BURAK_YENI1309[[#This Row],[ALT_KOD]])+AVERAGEIFS(I:I,D:D,DST_123_ÜRETİM_İHTİYAÇ_RAPORU_BURAK_YENI1309[[#This Row],[ALT_KOD]])+AVERAGEIFS(L:L,D:D,DST_123_ÜRETİM_İHTİYAÇ_RAPORU_BURAK_YENI1309[[#This Row],[ALT_KOD]]))</f>
        <v>70</v>
      </c>
      <c r="L510">
        <v>40</v>
      </c>
      <c r="M510">
        <f>IF((DST_123_ÜRETİM_İHTİYAÇ_RAPORU_BURAK_YENI1309[[#This Row],[SATINALMA]]*DST_123_ÜRETİM_İHTİYAÇ_RAPORU_BURAK_YENI1309[[#This Row],[BIRIM_FIYATLAR]])&lt;1,VALUE("0"),DST_123_ÜRETİM_İHTİYAÇ_RAPORU_BURAK_YENI1309[[#This Row],[SATINALMA]]*DST_123_ÜRETİM_İHTİYAÇ_RAPORU_BURAK_YENI1309[[#This Row],[BIRIM_FIYATLAR]])</f>
        <v>4200</v>
      </c>
      <c r="N510">
        <v>60</v>
      </c>
      <c r="O510" t="s">
        <v>821</v>
      </c>
      <c r="P510">
        <v>180</v>
      </c>
      <c r="Q510" t="s">
        <v>180</v>
      </c>
    </row>
    <row r="511" spans="1:17" x14ac:dyDescent="0.25">
      <c r="A511" t="s">
        <v>1150</v>
      </c>
      <c r="B511" t="s">
        <v>1145</v>
      </c>
      <c r="C511" t="s">
        <v>175</v>
      </c>
      <c r="D511" t="s">
        <v>112</v>
      </c>
      <c r="E511" t="s">
        <v>113</v>
      </c>
      <c r="F511">
        <v>1</v>
      </c>
      <c r="G511" t="s">
        <v>176</v>
      </c>
      <c r="H511">
        <v>0</v>
      </c>
      <c r="I511">
        <v>2</v>
      </c>
      <c r="J511" s="10">
        <v>4</v>
      </c>
      <c r="K511" s="10">
        <f>SUMIFS(F:F,D:D,DST_123_ÜRETİM_İHTİYAÇ_RAPORU_BURAK_YENI1309[[#This Row],[ALT_KOD]])-(SUMIFS(H:H,D:D,DST_123_ÜRETİM_İHTİYAÇ_RAPORU_BURAK_YENI1309[[#This Row],[ALT_KOD]])+AVERAGEIFS(I:I,D:D,DST_123_ÜRETİM_İHTİYAÇ_RAPORU_BURAK_YENI1309[[#This Row],[ALT_KOD]])+AVERAGEIFS(L:L,D:D,DST_123_ÜRETİM_İHTİYAÇ_RAPORU_BURAK_YENI1309[[#This Row],[ALT_KOD]]))</f>
        <v>5</v>
      </c>
      <c r="L511">
        <v>0</v>
      </c>
      <c r="M511">
        <f>IF((DST_123_ÜRETİM_İHTİYAÇ_RAPORU_BURAK_YENI1309[[#This Row],[SATINALMA]]*DST_123_ÜRETİM_İHTİYAÇ_RAPORU_BURAK_YENI1309[[#This Row],[BIRIM_FIYATLAR]])&lt;1,VALUE("0"),DST_123_ÜRETİM_İHTİYAÇ_RAPORU_BURAK_YENI1309[[#This Row],[SATINALMA]]*DST_123_ÜRETİM_İHTİYAÇ_RAPORU_BURAK_YENI1309[[#This Row],[BIRIM_FIYATLAR]])</f>
        <v>37250</v>
      </c>
      <c r="N511">
        <v>7450</v>
      </c>
      <c r="O511" t="s">
        <v>584</v>
      </c>
      <c r="P511">
        <v>7450</v>
      </c>
      <c r="Q511" t="s">
        <v>177</v>
      </c>
    </row>
    <row r="512" spans="1:17" x14ac:dyDescent="0.25">
      <c r="A512" t="s">
        <v>1149</v>
      </c>
      <c r="B512" t="s">
        <v>1145</v>
      </c>
      <c r="C512" t="s">
        <v>175</v>
      </c>
      <c r="D512" t="s">
        <v>653</v>
      </c>
      <c r="E512" t="s">
        <v>654</v>
      </c>
      <c r="F512">
        <v>0.05</v>
      </c>
      <c r="G512" t="s">
        <v>185</v>
      </c>
      <c r="H512">
        <v>0</v>
      </c>
      <c r="I512">
        <v>0</v>
      </c>
      <c r="J512" s="10">
        <v>2.6000000000000014</v>
      </c>
      <c r="K512" s="10">
        <f>SUMIFS(F:F,D:D,DST_123_ÜRETİM_İHTİYAÇ_RAPORU_BURAK_YENI1309[[#This Row],[ALT_KOD]])-(SUMIFS(H:H,D:D,DST_123_ÜRETİM_İHTİYAÇ_RAPORU_BURAK_YENI1309[[#This Row],[ALT_KOD]])+AVERAGEIFS(I:I,D:D,DST_123_ÜRETİM_İHTİYAÇ_RAPORU_BURAK_YENI1309[[#This Row],[ALT_KOD]])+AVERAGEIFS(L:L,D:D,DST_123_ÜRETİM_İHTİYAÇ_RAPORU_BURAK_YENI1309[[#This Row],[ALT_KOD]]))</f>
        <v>0.29999999999999982</v>
      </c>
      <c r="L512">
        <v>0</v>
      </c>
      <c r="M512">
        <f>IF((DST_123_ÜRETİM_İHTİYAÇ_RAPORU_BURAK_YENI1309[[#This Row],[SATINALMA]]*DST_123_ÜRETİM_İHTİYAÇ_RAPORU_BURAK_YENI1309[[#This Row],[BIRIM_FIYATLAR]])&lt;1,VALUE("0"),DST_123_ÜRETİM_İHTİYAÇ_RAPORU_BURAK_YENI1309[[#This Row],[SATINALMA]]*DST_123_ÜRETİM_İHTİYAÇ_RAPORU_BURAK_YENI1309[[#This Row],[BIRIM_FIYATLAR]])</f>
        <v>193.70099999999988</v>
      </c>
      <c r="N512">
        <v>645.66999999999996</v>
      </c>
      <c r="O512" t="s">
        <v>490</v>
      </c>
      <c r="P512">
        <v>32.283499999999997</v>
      </c>
      <c r="Q512" t="s">
        <v>183</v>
      </c>
    </row>
    <row r="513" spans="1:17" x14ac:dyDescent="0.25">
      <c r="A513" t="s">
        <v>1146</v>
      </c>
      <c r="B513" t="s">
        <v>1145</v>
      </c>
      <c r="C513" t="s">
        <v>175</v>
      </c>
      <c r="D513" t="s">
        <v>653</v>
      </c>
      <c r="E513" t="s">
        <v>654</v>
      </c>
      <c r="F513">
        <v>0.05</v>
      </c>
      <c r="G513" t="s">
        <v>185</v>
      </c>
      <c r="H513">
        <v>0.05</v>
      </c>
      <c r="I513">
        <v>0</v>
      </c>
      <c r="J513" s="10">
        <v>2.6000000000000014</v>
      </c>
      <c r="K513" s="10">
        <f>SUMIFS(F:F,D:D,DST_123_ÜRETİM_İHTİYAÇ_RAPORU_BURAK_YENI1309[[#This Row],[ALT_KOD]])-(SUMIFS(H:H,D:D,DST_123_ÜRETİM_İHTİYAÇ_RAPORU_BURAK_YENI1309[[#This Row],[ALT_KOD]])+AVERAGEIFS(I:I,D:D,DST_123_ÜRETİM_İHTİYAÇ_RAPORU_BURAK_YENI1309[[#This Row],[ALT_KOD]])+AVERAGEIFS(L:L,D:D,DST_123_ÜRETİM_İHTİYAÇ_RAPORU_BURAK_YENI1309[[#This Row],[ALT_KOD]]))</f>
        <v>0.29999999999999982</v>
      </c>
      <c r="L513">
        <v>0</v>
      </c>
      <c r="M513">
        <f>IF((DST_123_ÜRETİM_İHTİYAÇ_RAPORU_BURAK_YENI1309[[#This Row],[SATINALMA]]*DST_123_ÜRETİM_İHTİYAÇ_RAPORU_BURAK_YENI1309[[#This Row],[BIRIM_FIYATLAR]])&lt;1,VALUE("0"),DST_123_ÜRETİM_İHTİYAÇ_RAPORU_BURAK_YENI1309[[#This Row],[SATINALMA]]*DST_123_ÜRETİM_İHTİYAÇ_RAPORU_BURAK_YENI1309[[#This Row],[BIRIM_FIYATLAR]])</f>
        <v>193.70099999999988</v>
      </c>
      <c r="N513">
        <v>645.66999999999996</v>
      </c>
      <c r="O513" t="s">
        <v>490</v>
      </c>
      <c r="P513">
        <v>32.283499999999997</v>
      </c>
      <c r="Q513" t="s">
        <v>183</v>
      </c>
    </row>
    <row r="514" spans="1:17" x14ac:dyDescent="0.25">
      <c r="A514" t="s">
        <v>1095</v>
      </c>
      <c r="B514" t="s">
        <v>1096</v>
      </c>
      <c r="C514" t="s">
        <v>175</v>
      </c>
      <c r="D514" t="s">
        <v>359</v>
      </c>
      <c r="E514" t="s">
        <v>360</v>
      </c>
      <c r="F514">
        <v>14</v>
      </c>
      <c r="G514" t="s">
        <v>176</v>
      </c>
      <c r="H514">
        <v>0</v>
      </c>
      <c r="I514">
        <v>14472</v>
      </c>
      <c r="J514" s="10">
        <v>3376</v>
      </c>
      <c r="K514" s="10">
        <f>SUMIFS(F:F,D:D,DST_123_ÜRETİM_İHTİYAÇ_RAPORU_BURAK_YENI1309[[#This Row],[ALT_KOD]])-(SUMIFS(H:H,D:D,DST_123_ÜRETİM_İHTİYAÇ_RAPORU_BURAK_YENI1309[[#This Row],[ALT_KOD]])+AVERAGEIFS(I:I,D:D,DST_123_ÜRETİM_İHTİYAÇ_RAPORU_BURAK_YENI1309[[#This Row],[ALT_KOD]])+AVERAGEIFS(L:L,D:D,DST_123_ÜRETİM_İHTİYAÇ_RAPORU_BURAK_YENI1309[[#This Row],[ALT_KOD]]))</f>
        <v>-14340</v>
      </c>
      <c r="L514">
        <v>0</v>
      </c>
      <c r="M514">
        <f>IF((DST_123_ÜRETİM_İHTİYAÇ_RAPORU_BURAK_YENI1309[[#This Row],[SATINALMA]]*DST_123_ÜRETİM_İHTİYAÇ_RAPORU_BURAK_YENI1309[[#This Row],[BIRIM_FIYATLAR]])&lt;1,VALUE("0"),DST_123_ÜRETİM_İHTİYAÇ_RAPORU_BURAK_YENI1309[[#This Row],[SATINALMA]]*DST_123_ÜRETİM_İHTİYAÇ_RAPORU_BURAK_YENI1309[[#This Row],[BIRIM_FIYATLAR]])</f>
        <v>0</v>
      </c>
      <c r="N514">
        <v>0.04</v>
      </c>
      <c r="P514">
        <v>0.56000000000000005</v>
      </c>
      <c r="Q514" t="s">
        <v>180</v>
      </c>
    </row>
    <row r="515" spans="1:17" x14ac:dyDescent="0.25">
      <c r="A515" t="s">
        <v>1097</v>
      </c>
      <c r="B515" t="s">
        <v>1055</v>
      </c>
      <c r="C515" t="s">
        <v>175</v>
      </c>
      <c r="D515" t="s">
        <v>359</v>
      </c>
      <c r="E515" t="s">
        <v>360</v>
      </c>
      <c r="F515">
        <v>6</v>
      </c>
      <c r="G515" t="s">
        <v>176</v>
      </c>
      <c r="H515">
        <v>0</v>
      </c>
      <c r="I515">
        <v>14472</v>
      </c>
      <c r="J515" s="10">
        <v>3376</v>
      </c>
      <c r="K515" s="10">
        <f>SUMIFS(F:F,D:D,DST_123_ÜRETİM_İHTİYAÇ_RAPORU_BURAK_YENI1309[[#This Row],[ALT_KOD]])-(SUMIFS(H:H,D:D,DST_123_ÜRETİM_İHTİYAÇ_RAPORU_BURAK_YENI1309[[#This Row],[ALT_KOD]])+AVERAGEIFS(I:I,D:D,DST_123_ÜRETİM_İHTİYAÇ_RAPORU_BURAK_YENI1309[[#This Row],[ALT_KOD]])+AVERAGEIFS(L:L,D:D,DST_123_ÜRETİM_İHTİYAÇ_RAPORU_BURAK_YENI1309[[#This Row],[ALT_KOD]]))</f>
        <v>-14340</v>
      </c>
      <c r="L515">
        <v>0</v>
      </c>
      <c r="M515">
        <f>IF((DST_123_ÜRETİM_İHTİYAÇ_RAPORU_BURAK_YENI1309[[#This Row],[SATINALMA]]*DST_123_ÜRETİM_İHTİYAÇ_RAPORU_BURAK_YENI1309[[#This Row],[BIRIM_FIYATLAR]])&lt;1,VALUE("0"),DST_123_ÜRETİM_İHTİYAÇ_RAPORU_BURAK_YENI1309[[#This Row],[SATINALMA]]*DST_123_ÜRETİM_İHTİYAÇ_RAPORU_BURAK_YENI1309[[#This Row],[BIRIM_FIYATLAR]])</f>
        <v>0</v>
      </c>
      <c r="N515">
        <v>0.04</v>
      </c>
      <c r="P515">
        <v>0.24</v>
      </c>
      <c r="Q515" t="s">
        <v>180</v>
      </c>
    </row>
    <row r="516" spans="1:17" x14ac:dyDescent="0.25">
      <c r="A516" t="s">
        <v>1142</v>
      </c>
      <c r="B516" t="s">
        <v>1056</v>
      </c>
      <c r="C516" t="s">
        <v>175</v>
      </c>
      <c r="D516" t="s">
        <v>456</v>
      </c>
      <c r="E516" t="s">
        <v>457</v>
      </c>
      <c r="F516">
        <v>78</v>
      </c>
      <c r="G516" t="s">
        <v>176</v>
      </c>
      <c r="H516">
        <v>0</v>
      </c>
      <c r="I516">
        <v>3000</v>
      </c>
      <c r="J516" s="10">
        <v>1138</v>
      </c>
      <c r="K516" s="10">
        <f>SUMIFS(F:F,D:D,DST_123_ÜRETİM_İHTİYAÇ_RAPORU_BURAK_YENI1309[[#This Row],[ALT_KOD]])-(SUMIFS(H:H,D:D,DST_123_ÜRETİM_İHTİYAÇ_RAPORU_BURAK_YENI1309[[#This Row],[ALT_KOD]])+AVERAGEIFS(I:I,D:D,DST_123_ÜRETİM_İHTİYAÇ_RAPORU_BURAK_YENI1309[[#This Row],[ALT_KOD]])+AVERAGEIFS(L:L,D:D,DST_123_ÜRETİM_İHTİYAÇ_RAPORU_BURAK_YENI1309[[#This Row],[ALT_KOD]]))</f>
        <v>-1738</v>
      </c>
      <c r="L516">
        <v>0</v>
      </c>
      <c r="M516">
        <f>IF((DST_123_ÜRETİM_İHTİYAÇ_RAPORU_BURAK_YENI1309[[#This Row],[SATINALMA]]*DST_123_ÜRETİM_İHTİYAÇ_RAPORU_BURAK_YENI1309[[#This Row],[BIRIM_FIYATLAR]])&lt;1,VALUE("0"),DST_123_ÜRETİM_İHTİYAÇ_RAPORU_BURAK_YENI1309[[#This Row],[SATINALMA]]*DST_123_ÜRETİM_İHTİYAÇ_RAPORU_BURAK_YENI1309[[#This Row],[BIRIM_FIYATLAR]])</f>
        <v>0</v>
      </c>
      <c r="N516">
        <v>0.93</v>
      </c>
      <c r="O516" t="s">
        <v>882</v>
      </c>
      <c r="P516">
        <v>72.540000000000006</v>
      </c>
      <c r="Q516" t="s">
        <v>180</v>
      </c>
    </row>
    <row r="517" spans="1:17" s="14" customFormat="1" x14ac:dyDescent="0.25">
      <c r="A517" s="14" t="s">
        <v>1097</v>
      </c>
      <c r="B517" s="14" t="s">
        <v>1055</v>
      </c>
      <c r="C517" t="s">
        <v>175</v>
      </c>
      <c r="D517" s="14" t="s">
        <v>66</v>
      </c>
      <c r="E517" s="14" t="s">
        <v>1229</v>
      </c>
      <c r="F517" s="14">
        <v>7</v>
      </c>
      <c r="G517" s="14" t="s">
        <v>176</v>
      </c>
      <c r="H517" s="14">
        <v>0</v>
      </c>
      <c r="I517" s="14">
        <v>0</v>
      </c>
      <c r="J517" s="15">
        <v>128</v>
      </c>
      <c r="K517" s="15">
        <f>SUMIFS(F:F,D:D,DST_123_ÜRETİM_İHTİYAÇ_RAPORU_BURAK_YENI1309[[#This Row],[ALT_KOD]])-(SUMIFS(H:H,D:D,DST_123_ÜRETİM_İHTİYAÇ_RAPORU_BURAK_YENI1309[[#This Row],[ALT_KOD]])+AVERAGEIFS(I:I,D:D,DST_123_ÜRETİM_İHTİYAÇ_RAPORU_BURAK_YENI1309[[#This Row],[ALT_KOD]])+AVERAGEIFS(L:L,D:D,DST_123_ÜRETİM_İHTİYAÇ_RAPORU_BURAK_YENI1309[[#This Row],[ALT_KOD]]))</f>
        <v>70</v>
      </c>
      <c r="L517" s="14">
        <v>40</v>
      </c>
      <c r="M517" s="14">
        <f>IF((DST_123_ÜRETİM_İHTİYAÇ_RAPORU_BURAK_YENI1309[[#This Row],[SATINALMA]]*DST_123_ÜRETİM_İHTİYAÇ_RAPORU_BURAK_YENI1309[[#This Row],[BIRIM_FIYATLAR]])&lt;1,VALUE("0"),DST_123_ÜRETİM_İHTİYAÇ_RAPORU_BURAK_YENI1309[[#This Row],[SATINALMA]]*DST_123_ÜRETİM_İHTİYAÇ_RAPORU_BURAK_YENI1309[[#This Row],[BIRIM_FIYATLAR]])</f>
        <v>4200</v>
      </c>
      <c r="N517" s="14">
        <v>60</v>
      </c>
      <c r="O517" s="14" t="s">
        <v>821</v>
      </c>
      <c r="P517" s="14">
        <v>420</v>
      </c>
      <c r="Q517" s="14" t="s">
        <v>180</v>
      </c>
    </row>
    <row r="518" spans="1:17" x14ac:dyDescent="0.25">
      <c r="A518" t="s">
        <v>1095</v>
      </c>
      <c r="B518" t="s">
        <v>1096</v>
      </c>
      <c r="C518" t="s">
        <v>175</v>
      </c>
      <c r="D518" t="s">
        <v>66</v>
      </c>
      <c r="E518" t="s">
        <v>1229</v>
      </c>
      <c r="F518">
        <v>11</v>
      </c>
      <c r="G518" t="s">
        <v>176</v>
      </c>
      <c r="H518">
        <v>0</v>
      </c>
      <c r="I518">
        <v>0</v>
      </c>
      <c r="J518" s="10">
        <v>128</v>
      </c>
      <c r="K518" s="10">
        <f>SUMIFS(F:F,D:D,DST_123_ÜRETİM_İHTİYAÇ_RAPORU_BURAK_YENI1309[[#This Row],[ALT_KOD]])-(SUMIFS(H:H,D:D,DST_123_ÜRETİM_İHTİYAÇ_RAPORU_BURAK_YENI1309[[#This Row],[ALT_KOD]])+AVERAGEIFS(I:I,D:D,DST_123_ÜRETİM_İHTİYAÇ_RAPORU_BURAK_YENI1309[[#This Row],[ALT_KOD]])+AVERAGEIFS(L:L,D:D,DST_123_ÜRETİM_İHTİYAÇ_RAPORU_BURAK_YENI1309[[#This Row],[ALT_KOD]]))</f>
        <v>70</v>
      </c>
      <c r="L518">
        <v>40</v>
      </c>
      <c r="M518">
        <f>IF((DST_123_ÜRETİM_İHTİYAÇ_RAPORU_BURAK_YENI1309[[#This Row],[SATINALMA]]*DST_123_ÜRETİM_İHTİYAÇ_RAPORU_BURAK_YENI1309[[#This Row],[BIRIM_FIYATLAR]])&lt;1,VALUE("0"),DST_123_ÜRETİM_İHTİYAÇ_RAPORU_BURAK_YENI1309[[#This Row],[SATINALMA]]*DST_123_ÜRETİM_İHTİYAÇ_RAPORU_BURAK_YENI1309[[#This Row],[BIRIM_FIYATLAR]])</f>
        <v>4200</v>
      </c>
      <c r="N518">
        <v>60</v>
      </c>
      <c r="O518" t="s">
        <v>821</v>
      </c>
      <c r="P518">
        <v>660</v>
      </c>
      <c r="Q518" t="s">
        <v>180</v>
      </c>
    </row>
    <row r="519" spans="1:17" x14ac:dyDescent="0.25">
      <c r="A519" t="s">
        <v>1095</v>
      </c>
      <c r="B519" t="s">
        <v>1096</v>
      </c>
      <c r="C519" t="s">
        <v>175</v>
      </c>
      <c r="D519" t="s">
        <v>110</v>
      </c>
      <c r="E519" t="s">
        <v>111</v>
      </c>
      <c r="F519">
        <v>1</v>
      </c>
      <c r="G519" t="s">
        <v>176</v>
      </c>
      <c r="H519">
        <v>0</v>
      </c>
      <c r="I519">
        <v>0</v>
      </c>
      <c r="J519" s="10">
        <v>10</v>
      </c>
      <c r="K519" s="10">
        <f>SUMIFS(F:F,D:D,DST_123_ÜRETİM_İHTİYAÇ_RAPORU_BURAK_YENI1309[[#This Row],[ALT_KOD]])-(SUMIFS(H:H,D:D,DST_123_ÜRETİM_İHTİYAÇ_RAPORU_BURAK_YENI1309[[#This Row],[ALT_KOD]])+AVERAGEIFS(I:I,D:D,DST_123_ÜRETİM_İHTİYAÇ_RAPORU_BURAK_YENI1309[[#This Row],[ALT_KOD]])+AVERAGEIFS(L:L,D:D,DST_123_ÜRETİM_İHTİYAÇ_RAPORU_BURAK_YENI1309[[#This Row],[ALT_KOD]]))</f>
        <v>0</v>
      </c>
      <c r="L519">
        <v>11</v>
      </c>
      <c r="M519">
        <f>IF((DST_123_ÜRETİM_İHTİYAÇ_RAPORU_BURAK_YENI1309[[#This Row],[SATINALMA]]*DST_123_ÜRETİM_İHTİYAÇ_RAPORU_BURAK_YENI1309[[#This Row],[BIRIM_FIYATLAR]])&lt;1,VALUE("0"),DST_123_ÜRETİM_İHTİYAÇ_RAPORU_BURAK_YENI1309[[#This Row],[SATINALMA]]*DST_123_ÜRETİM_İHTİYAÇ_RAPORU_BURAK_YENI1309[[#This Row],[BIRIM_FIYATLAR]])</f>
        <v>0</v>
      </c>
      <c r="N519">
        <v>675</v>
      </c>
      <c r="O519" t="s">
        <v>632</v>
      </c>
      <c r="P519">
        <v>675</v>
      </c>
      <c r="Q519" t="s">
        <v>177</v>
      </c>
    </row>
    <row r="520" spans="1:17" x14ac:dyDescent="0.25">
      <c r="A520" t="s">
        <v>1142</v>
      </c>
      <c r="B520" t="s">
        <v>1056</v>
      </c>
      <c r="C520" t="s">
        <v>175</v>
      </c>
      <c r="D520" t="s">
        <v>112</v>
      </c>
      <c r="E520" t="s">
        <v>113</v>
      </c>
      <c r="F520">
        <v>1</v>
      </c>
      <c r="G520" t="s">
        <v>176</v>
      </c>
      <c r="H520">
        <v>0</v>
      </c>
      <c r="I520">
        <v>2</v>
      </c>
      <c r="J520" s="10">
        <v>4</v>
      </c>
      <c r="K520" s="10">
        <f>SUMIFS(F:F,D:D,DST_123_ÜRETİM_İHTİYAÇ_RAPORU_BURAK_YENI1309[[#This Row],[ALT_KOD]])-(SUMIFS(H:H,D:D,DST_123_ÜRETİM_İHTİYAÇ_RAPORU_BURAK_YENI1309[[#This Row],[ALT_KOD]])+AVERAGEIFS(I:I,D:D,DST_123_ÜRETİM_İHTİYAÇ_RAPORU_BURAK_YENI1309[[#This Row],[ALT_KOD]])+AVERAGEIFS(L:L,D:D,DST_123_ÜRETİM_İHTİYAÇ_RAPORU_BURAK_YENI1309[[#This Row],[ALT_KOD]]))</f>
        <v>5</v>
      </c>
      <c r="L520">
        <v>0</v>
      </c>
      <c r="M520">
        <f>IF((DST_123_ÜRETİM_İHTİYAÇ_RAPORU_BURAK_YENI1309[[#This Row],[SATINALMA]]*DST_123_ÜRETİM_İHTİYAÇ_RAPORU_BURAK_YENI1309[[#This Row],[BIRIM_FIYATLAR]])&lt;1,VALUE("0"),DST_123_ÜRETİM_İHTİYAÇ_RAPORU_BURAK_YENI1309[[#This Row],[SATINALMA]]*DST_123_ÜRETİM_İHTİYAÇ_RAPORU_BURAK_YENI1309[[#This Row],[BIRIM_FIYATLAR]])</f>
        <v>37250</v>
      </c>
      <c r="N520">
        <v>7450</v>
      </c>
      <c r="O520" t="s">
        <v>584</v>
      </c>
      <c r="P520">
        <v>7450</v>
      </c>
      <c r="Q520" t="s">
        <v>177</v>
      </c>
    </row>
    <row r="521" spans="1:17" x14ac:dyDescent="0.25">
      <c r="A521" t="s">
        <v>1142</v>
      </c>
      <c r="B521" t="s">
        <v>1056</v>
      </c>
      <c r="C521" t="s">
        <v>175</v>
      </c>
      <c r="D521" t="s">
        <v>670</v>
      </c>
      <c r="E521" t="s">
        <v>671</v>
      </c>
      <c r="F521">
        <v>1</v>
      </c>
      <c r="G521" t="s">
        <v>176</v>
      </c>
      <c r="H521">
        <v>0</v>
      </c>
      <c r="I521">
        <v>12</v>
      </c>
      <c r="J521" s="10">
        <v>13</v>
      </c>
      <c r="K521" s="10">
        <f>SUMIFS(F:F,D:D,DST_123_ÜRETİM_İHTİYAÇ_RAPORU_BURAK_YENI1309[[#This Row],[ALT_KOD]])-(SUMIFS(H:H,D:D,DST_123_ÜRETİM_İHTİYAÇ_RAPORU_BURAK_YENI1309[[#This Row],[ALT_KOD]])+AVERAGEIFS(I:I,D:D,DST_123_ÜRETİM_İHTİYAÇ_RAPORU_BURAK_YENI1309[[#This Row],[ALT_KOD]])+AVERAGEIFS(L:L,D:D,DST_123_ÜRETİM_İHTİYAÇ_RAPORU_BURAK_YENI1309[[#This Row],[ALT_KOD]]))</f>
        <v>-5</v>
      </c>
      <c r="L521">
        <v>0</v>
      </c>
      <c r="M521">
        <f>IF((DST_123_ÜRETİM_İHTİYAÇ_RAPORU_BURAK_YENI1309[[#This Row],[SATINALMA]]*DST_123_ÜRETİM_İHTİYAÇ_RAPORU_BURAK_YENI1309[[#This Row],[BIRIM_FIYATLAR]])&lt;1,VALUE("0"),DST_123_ÜRETİM_İHTİYAÇ_RAPORU_BURAK_YENI1309[[#This Row],[SATINALMA]]*DST_123_ÜRETİM_İHTİYAÇ_RAPORU_BURAK_YENI1309[[#This Row],[BIRIM_FIYATLAR]])</f>
        <v>0</v>
      </c>
      <c r="N521">
        <v>28339.38</v>
      </c>
      <c r="O521" t="s">
        <v>214</v>
      </c>
      <c r="P521">
        <v>28339.38</v>
      </c>
      <c r="Q521" t="s">
        <v>177</v>
      </c>
    </row>
    <row r="522" spans="1:17" x14ac:dyDescent="0.25">
      <c r="A522" t="s">
        <v>1196</v>
      </c>
      <c r="B522" t="s">
        <v>1197</v>
      </c>
      <c r="C522" t="s">
        <v>175</v>
      </c>
      <c r="D522" t="s">
        <v>359</v>
      </c>
      <c r="E522" t="s">
        <v>360</v>
      </c>
      <c r="F522">
        <v>2</v>
      </c>
      <c r="G522" t="s">
        <v>176</v>
      </c>
      <c r="H522">
        <v>0</v>
      </c>
      <c r="I522">
        <v>14472</v>
      </c>
      <c r="J522" s="10">
        <v>3376</v>
      </c>
      <c r="K522" s="10">
        <f>SUMIFS(F:F,D:D,DST_123_ÜRETİM_İHTİYAÇ_RAPORU_BURAK_YENI1309[[#This Row],[ALT_KOD]])-(SUMIFS(H:H,D:D,DST_123_ÜRETİM_İHTİYAÇ_RAPORU_BURAK_YENI1309[[#This Row],[ALT_KOD]])+AVERAGEIFS(I:I,D:D,DST_123_ÜRETİM_İHTİYAÇ_RAPORU_BURAK_YENI1309[[#This Row],[ALT_KOD]])+AVERAGEIFS(L:L,D:D,DST_123_ÜRETİM_İHTİYAÇ_RAPORU_BURAK_YENI1309[[#This Row],[ALT_KOD]]))</f>
        <v>-14340</v>
      </c>
      <c r="L522">
        <v>0</v>
      </c>
      <c r="M522">
        <f>IF((DST_123_ÜRETİM_İHTİYAÇ_RAPORU_BURAK_YENI1309[[#This Row],[SATINALMA]]*DST_123_ÜRETİM_İHTİYAÇ_RAPORU_BURAK_YENI1309[[#This Row],[BIRIM_FIYATLAR]])&lt;1,VALUE("0"),DST_123_ÜRETİM_İHTİYAÇ_RAPORU_BURAK_YENI1309[[#This Row],[SATINALMA]]*DST_123_ÜRETİM_İHTİYAÇ_RAPORU_BURAK_YENI1309[[#This Row],[BIRIM_FIYATLAR]])</f>
        <v>0</v>
      </c>
      <c r="N522">
        <v>0.04</v>
      </c>
      <c r="P522">
        <v>0.08</v>
      </c>
      <c r="Q522" t="s">
        <v>180</v>
      </c>
    </row>
    <row r="523" spans="1:17" x14ac:dyDescent="0.25">
      <c r="A523" t="s">
        <v>1196</v>
      </c>
      <c r="B523" t="s">
        <v>1197</v>
      </c>
      <c r="C523" t="s">
        <v>175</v>
      </c>
      <c r="D523" t="s">
        <v>66</v>
      </c>
      <c r="E523" t="s">
        <v>1229</v>
      </c>
      <c r="F523">
        <v>3</v>
      </c>
      <c r="G523" t="s">
        <v>176</v>
      </c>
      <c r="H523">
        <v>0</v>
      </c>
      <c r="I523">
        <v>0</v>
      </c>
      <c r="J523" s="10">
        <v>128</v>
      </c>
      <c r="K523" s="10">
        <f>SUMIFS(F:F,D:D,DST_123_ÜRETİM_İHTİYAÇ_RAPORU_BURAK_YENI1309[[#This Row],[ALT_KOD]])-(SUMIFS(H:H,D:D,DST_123_ÜRETİM_İHTİYAÇ_RAPORU_BURAK_YENI1309[[#This Row],[ALT_KOD]])+AVERAGEIFS(I:I,D:D,DST_123_ÜRETİM_İHTİYAÇ_RAPORU_BURAK_YENI1309[[#This Row],[ALT_KOD]])+AVERAGEIFS(L:L,D:D,DST_123_ÜRETİM_İHTİYAÇ_RAPORU_BURAK_YENI1309[[#This Row],[ALT_KOD]]))</f>
        <v>70</v>
      </c>
      <c r="L523">
        <v>40</v>
      </c>
      <c r="M523">
        <f>IF((DST_123_ÜRETİM_İHTİYAÇ_RAPORU_BURAK_YENI1309[[#This Row],[SATINALMA]]*DST_123_ÜRETİM_İHTİYAÇ_RAPORU_BURAK_YENI1309[[#This Row],[BIRIM_FIYATLAR]])&lt;1,VALUE("0"),DST_123_ÜRETİM_İHTİYAÇ_RAPORU_BURAK_YENI1309[[#This Row],[SATINALMA]]*DST_123_ÜRETİM_İHTİYAÇ_RAPORU_BURAK_YENI1309[[#This Row],[BIRIM_FIYATLAR]])</f>
        <v>4200</v>
      </c>
      <c r="N523">
        <v>60</v>
      </c>
      <c r="O523" t="s">
        <v>821</v>
      </c>
      <c r="P523">
        <v>180</v>
      </c>
      <c r="Q523" t="s">
        <v>180</v>
      </c>
    </row>
    <row r="524" spans="1:17" x14ac:dyDescent="0.25">
      <c r="A524" t="s">
        <v>1098</v>
      </c>
      <c r="B524" t="s">
        <v>1096</v>
      </c>
      <c r="C524" t="s">
        <v>175</v>
      </c>
      <c r="D524" t="s">
        <v>110</v>
      </c>
      <c r="E524" t="s">
        <v>111</v>
      </c>
      <c r="F524">
        <v>1</v>
      </c>
      <c r="G524" t="s">
        <v>176</v>
      </c>
      <c r="H524">
        <v>0</v>
      </c>
      <c r="I524">
        <v>0</v>
      </c>
      <c r="J524" s="10">
        <v>10</v>
      </c>
      <c r="K524" s="10">
        <f>SUMIFS(F:F,D:D,DST_123_ÜRETİM_İHTİYAÇ_RAPORU_BURAK_YENI1309[[#This Row],[ALT_KOD]])-(SUMIFS(H:H,D:D,DST_123_ÜRETİM_İHTİYAÇ_RAPORU_BURAK_YENI1309[[#This Row],[ALT_KOD]])+AVERAGEIFS(I:I,D:D,DST_123_ÜRETİM_İHTİYAÇ_RAPORU_BURAK_YENI1309[[#This Row],[ALT_KOD]])+AVERAGEIFS(L:L,D:D,DST_123_ÜRETİM_İHTİYAÇ_RAPORU_BURAK_YENI1309[[#This Row],[ALT_KOD]]))</f>
        <v>0</v>
      </c>
      <c r="L524">
        <v>11</v>
      </c>
      <c r="M524">
        <f>IF((DST_123_ÜRETİM_İHTİYAÇ_RAPORU_BURAK_YENI1309[[#This Row],[SATINALMA]]*DST_123_ÜRETİM_İHTİYAÇ_RAPORU_BURAK_YENI1309[[#This Row],[BIRIM_FIYATLAR]])&lt;1,VALUE("0"),DST_123_ÜRETİM_İHTİYAÇ_RAPORU_BURAK_YENI1309[[#This Row],[SATINALMA]]*DST_123_ÜRETİM_İHTİYAÇ_RAPORU_BURAK_YENI1309[[#This Row],[BIRIM_FIYATLAR]])</f>
        <v>0</v>
      </c>
      <c r="N524">
        <v>675</v>
      </c>
      <c r="O524" t="s">
        <v>632</v>
      </c>
      <c r="P524">
        <v>675</v>
      </c>
      <c r="Q524" t="s">
        <v>177</v>
      </c>
    </row>
    <row r="525" spans="1:17" x14ac:dyDescent="0.25">
      <c r="A525" t="s">
        <v>1196</v>
      </c>
      <c r="B525" t="s">
        <v>1197</v>
      </c>
      <c r="C525" t="s">
        <v>175</v>
      </c>
      <c r="D525" t="s">
        <v>112</v>
      </c>
      <c r="E525" t="s">
        <v>113</v>
      </c>
      <c r="F525">
        <v>1</v>
      </c>
      <c r="G525" t="s">
        <v>176</v>
      </c>
      <c r="H525">
        <v>0</v>
      </c>
      <c r="I525">
        <v>2</v>
      </c>
      <c r="J525" s="10">
        <v>4</v>
      </c>
      <c r="K525" s="10">
        <f>SUMIFS(F:F,D:D,DST_123_ÜRETİM_İHTİYAÇ_RAPORU_BURAK_YENI1309[[#This Row],[ALT_KOD]])-(SUMIFS(H:H,D:D,DST_123_ÜRETİM_İHTİYAÇ_RAPORU_BURAK_YENI1309[[#This Row],[ALT_KOD]])+AVERAGEIFS(I:I,D:D,DST_123_ÜRETİM_İHTİYAÇ_RAPORU_BURAK_YENI1309[[#This Row],[ALT_KOD]])+AVERAGEIFS(L:L,D:D,DST_123_ÜRETİM_İHTİYAÇ_RAPORU_BURAK_YENI1309[[#This Row],[ALT_KOD]]))</f>
        <v>5</v>
      </c>
      <c r="L525">
        <v>0</v>
      </c>
      <c r="M525">
        <f>IF((DST_123_ÜRETİM_İHTİYAÇ_RAPORU_BURAK_YENI1309[[#This Row],[SATINALMA]]*DST_123_ÜRETİM_İHTİYAÇ_RAPORU_BURAK_YENI1309[[#This Row],[BIRIM_FIYATLAR]])&lt;1,VALUE("0"),DST_123_ÜRETİM_İHTİYAÇ_RAPORU_BURAK_YENI1309[[#This Row],[SATINALMA]]*DST_123_ÜRETİM_İHTİYAÇ_RAPORU_BURAK_YENI1309[[#This Row],[BIRIM_FIYATLAR]])</f>
        <v>37250</v>
      </c>
      <c r="N525">
        <v>7450</v>
      </c>
      <c r="O525" t="s">
        <v>584</v>
      </c>
      <c r="P525">
        <v>7450</v>
      </c>
      <c r="Q525" t="s">
        <v>177</v>
      </c>
    </row>
    <row r="526" spans="1:17" x14ac:dyDescent="0.25">
      <c r="A526" t="s">
        <v>1196</v>
      </c>
      <c r="B526" t="s">
        <v>1197</v>
      </c>
      <c r="C526" t="s">
        <v>175</v>
      </c>
      <c r="D526" t="s">
        <v>670</v>
      </c>
      <c r="E526" t="s">
        <v>671</v>
      </c>
      <c r="F526">
        <v>1</v>
      </c>
      <c r="G526" t="s">
        <v>176</v>
      </c>
      <c r="H526">
        <v>0</v>
      </c>
      <c r="I526">
        <v>12</v>
      </c>
      <c r="J526" s="10">
        <v>13</v>
      </c>
      <c r="K526" s="10">
        <f>SUMIFS(F:F,D:D,DST_123_ÜRETİM_İHTİYAÇ_RAPORU_BURAK_YENI1309[[#This Row],[ALT_KOD]])-(SUMIFS(H:H,D:D,DST_123_ÜRETİM_İHTİYAÇ_RAPORU_BURAK_YENI1309[[#This Row],[ALT_KOD]])+AVERAGEIFS(I:I,D:D,DST_123_ÜRETİM_İHTİYAÇ_RAPORU_BURAK_YENI1309[[#This Row],[ALT_KOD]])+AVERAGEIFS(L:L,D:D,DST_123_ÜRETİM_İHTİYAÇ_RAPORU_BURAK_YENI1309[[#This Row],[ALT_KOD]]))</f>
        <v>-5</v>
      </c>
      <c r="L526">
        <v>0</v>
      </c>
      <c r="M526">
        <f>IF((DST_123_ÜRETİM_İHTİYAÇ_RAPORU_BURAK_YENI1309[[#This Row],[SATINALMA]]*DST_123_ÜRETİM_İHTİYAÇ_RAPORU_BURAK_YENI1309[[#This Row],[BIRIM_FIYATLAR]])&lt;1,VALUE("0"),DST_123_ÜRETİM_İHTİYAÇ_RAPORU_BURAK_YENI1309[[#This Row],[SATINALMA]]*DST_123_ÜRETİM_İHTİYAÇ_RAPORU_BURAK_YENI1309[[#This Row],[BIRIM_FIYATLAR]])</f>
        <v>0</v>
      </c>
      <c r="N526">
        <v>28339.38</v>
      </c>
      <c r="O526" t="s">
        <v>214</v>
      </c>
      <c r="P526">
        <v>28339.38</v>
      </c>
      <c r="Q526" t="s">
        <v>177</v>
      </c>
    </row>
    <row r="527" spans="1:17" x14ac:dyDescent="0.25">
      <c r="A527" t="s">
        <v>1098</v>
      </c>
      <c r="B527" t="s">
        <v>1096</v>
      </c>
      <c r="C527" t="s">
        <v>175</v>
      </c>
      <c r="D527" t="s">
        <v>114</v>
      </c>
      <c r="E527" t="s">
        <v>115</v>
      </c>
      <c r="F527">
        <v>1.9259999999999999</v>
      </c>
      <c r="G527" t="s">
        <v>185</v>
      </c>
      <c r="H527">
        <v>0</v>
      </c>
      <c r="I527">
        <v>0</v>
      </c>
      <c r="J527" s="10">
        <v>65.03100000000002</v>
      </c>
      <c r="K527" s="10">
        <f>SUMIFS(F:F,D:D,DST_123_ÜRETİM_İHTİYAÇ_RAPORU_BURAK_YENI1309[[#This Row],[ALT_KOD]])-(SUMIFS(H:H,D:D,DST_123_ÜRETİM_İHTİYAÇ_RAPORU_BURAK_YENI1309[[#This Row],[ALT_KOD]])+AVERAGEIFS(I:I,D:D,DST_123_ÜRETİM_İHTİYAÇ_RAPORU_BURAK_YENI1309[[#This Row],[ALT_KOD]])+AVERAGEIFS(L:L,D:D,DST_123_ÜRETİM_İHTİYAÇ_RAPORU_BURAK_YENI1309[[#This Row],[ALT_KOD]]))</f>
        <v>17.948</v>
      </c>
      <c r="L527">
        <v>0</v>
      </c>
      <c r="M527">
        <f>IF((DST_123_ÜRETİM_İHTİYAÇ_RAPORU_BURAK_YENI1309[[#This Row],[SATINALMA]]*DST_123_ÜRETİM_İHTİYAÇ_RAPORU_BURAK_YENI1309[[#This Row],[BIRIM_FIYATLAR]])&lt;1,VALUE("0"),DST_123_ÜRETİM_İHTİYAÇ_RAPORU_BURAK_YENI1309[[#This Row],[SATINALMA]]*DST_123_ÜRETİM_İHTİYAÇ_RAPORU_BURAK_YENI1309[[#This Row],[BIRIM_FIYATLAR]])</f>
        <v>6991.2844399999994</v>
      </c>
      <c r="N527">
        <v>389.53</v>
      </c>
      <c r="O527" t="s">
        <v>490</v>
      </c>
      <c r="P527">
        <v>750.23477999999989</v>
      </c>
      <c r="Q527" t="s">
        <v>183</v>
      </c>
    </row>
    <row r="528" spans="1:17" x14ac:dyDescent="0.25">
      <c r="A528" t="s">
        <v>1060</v>
      </c>
      <c r="B528" t="s">
        <v>1061</v>
      </c>
      <c r="C528" t="s">
        <v>175</v>
      </c>
      <c r="D528" t="s">
        <v>359</v>
      </c>
      <c r="E528" t="s">
        <v>360</v>
      </c>
      <c r="F528">
        <v>2</v>
      </c>
      <c r="G528" t="s">
        <v>176</v>
      </c>
      <c r="H528">
        <v>0</v>
      </c>
      <c r="I528">
        <v>14472</v>
      </c>
      <c r="J528" s="10">
        <v>3376</v>
      </c>
      <c r="K528" s="10">
        <f>SUMIFS(F:F,D:D,DST_123_ÜRETİM_İHTİYAÇ_RAPORU_BURAK_YENI1309[[#This Row],[ALT_KOD]])-(SUMIFS(H:H,D:D,DST_123_ÜRETİM_İHTİYAÇ_RAPORU_BURAK_YENI1309[[#This Row],[ALT_KOD]])+AVERAGEIFS(I:I,D:D,DST_123_ÜRETİM_İHTİYAÇ_RAPORU_BURAK_YENI1309[[#This Row],[ALT_KOD]])+AVERAGEIFS(L:L,D:D,DST_123_ÜRETİM_İHTİYAÇ_RAPORU_BURAK_YENI1309[[#This Row],[ALT_KOD]]))</f>
        <v>-14340</v>
      </c>
      <c r="L528">
        <v>0</v>
      </c>
      <c r="M528">
        <f>IF((DST_123_ÜRETİM_İHTİYAÇ_RAPORU_BURAK_YENI1309[[#This Row],[SATINALMA]]*DST_123_ÜRETİM_İHTİYAÇ_RAPORU_BURAK_YENI1309[[#This Row],[BIRIM_FIYATLAR]])&lt;1,VALUE("0"),DST_123_ÜRETİM_İHTİYAÇ_RAPORU_BURAK_YENI1309[[#This Row],[SATINALMA]]*DST_123_ÜRETİM_İHTİYAÇ_RAPORU_BURAK_YENI1309[[#This Row],[BIRIM_FIYATLAR]])</f>
        <v>0</v>
      </c>
      <c r="N528">
        <v>0.04</v>
      </c>
      <c r="P528">
        <v>0.08</v>
      </c>
      <c r="Q528" t="s">
        <v>180</v>
      </c>
    </row>
    <row r="529" spans="1:17" x14ac:dyDescent="0.25">
      <c r="A529" t="s">
        <v>1057</v>
      </c>
      <c r="B529" t="s">
        <v>1058</v>
      </c>
      <c r="C529" t="s">
        <v>175</v>
      </c>
      <c r="D529" t="s">
        <v>359</v>
      </c>
      <c r="E529" t="s">
        <v>360</v>
      </c>
      <c r="F529">
        <v>16</v>
      </c>
      <c r="G529" t="s">
        <v>176</v>
      </c>
      <c r="H529">
        <v>0</v>
      </c>
      <c r="I529">
        <v>14472</v>
      </c>
      <c r="J529" s="10">
        <v>3376</v>
      </c>
      <c r="K529" s="10">
        <f>SUMIFS(F:F,D:D,DST_123_ÜRETİM_İHTİYAÇ_RAPORU_BURAK_YENI1309[[#This Row],[ALT_KOD]])-(SUMIFS(H:H,D:D,DST_123_ÜRETİM_İHTİYAÇ_RAPORU_BURAK_YENI1309[[#This Row],[ALT_KOD]])+AVERAGEIFS(I:I,D:D,DST_123_ÜRETİM_İHTİYAÇ_RAPORU_BURAK_YENI1309[[#This Row],[ALT_KOD]])+AVERAGEIFS(L:L,D:D,DST_123_ÜRETİM_İHTİYAÇ_RAPORU_BURAK_YENI1309[[#This Row],[ALT_KOD]]))</f>
        <v>-14340</v>
      </c>
      <c r="L529">
        <v>0</v>
      </c>
      <c r="M529">
        <f>IF((DST_123_ÜRETİM_İHTİYAÇ_RAPORU_BURAK_YENI1309[[#This Row],[SATINALMA]]*DST_123_ÜRETİM_İHTİYAÇ_RAPORU_BURAK_YENI1309[[#This Row],[BIRIM_FIYATLAR]])&lt;1,VALUE("0"),DST_123_ÜRETİM_İHTİYAÇ_RAPORU_BURAK_YENI1309[[#This Row],[SATINALMA]]*DST_123_ÜRETİM_İHTİYAÇ_RAPORU_BURAK_YENI1309[[#This Row],[BIRIM_FIYATLAR]])</f>
        <v>0</v>
      </c>
      <c r="N529">
        <v>0.04</v>
      </c>
      <c r="P529">
        <v>0.64</v>
      </c>
      <c r="Q529" t="s">
        <v>180</v>
      </c>
    </row>
    <row r="530" spans="1:17" x14ac:dyDescent="0.25">
      <c r="A530" t="s">
        <v>1100</v>
      </c>
      <c r="B530" t="s">
        <v>1058</v>
      </c>
      <c r="C530" t="s">
        <v>175</v>
      </c>
      <c r="D530" t="s">
        <v>359</v>
      </c>
      <c r="E530" t="s">
        <v>360</v>
      </c>
      <c r="F530">
        <v>16</v>
      </c>
      <c r="G530" t="s">
        <v>176</v>
      </c>
      <c r="H530">
        <v>0</v>
      </c>
      <c r="I530">
        <v>14472</v>
      </c>
      <c r="J530" s="10">
        <v>3376</v>
      </c>
      <c r="K530" s="10">
        <f>SUMIFS(F:F,D:D,DST_123_ÜRETİM_İHTİYAÇ_RAPORU_BURAK_YENI1309[[#This Row],[ALT_KOD]])-(SUMIFS(H:H,D:D,DST_123_ÜRETİM_İHTİYAÇ_RAPORU_BURAK_YENI1309[[#This Row],[ALT_KOD]])+AVERAGEIFS(I:I,D:D,DST_123_ÜRETİM_İHTİYAÇ_RAPORU_BURAK_YENI1309[[#This Row],[ALT_KOD]])+AVERAGEIFS(L:L,D:D,DST_123_ÜRETİM_İHTİYAÇ_RAPORU_BURAK_YENI1309[[#This Row],[ALT_KOD]]))</f>
        <v>-14340</v>
      </c>
      <c r="L530">
        <v>0</v>
      </c>
      <c r="M530">
        <f>IF((DST_123_ÜRETİM_İHTİYAÇ_RAPORU_BURAK_YENI1309[[#This Row],[SATINALMA]]*DST_123_ÜRETİM_İHTİYAÇ_RAPORU_BURAK_YENI1309[[#This Row],[BIRIM_FIYATLAR]])&lt;1,VALUE("0"),DST_123_ÜRETİM_İHTİYAÇ_RAPORU_BURAK_YENI1309[[#This Row],[SATINALMA]]*DST_123_ÜRETİM_İHTİYAÇ_RAPORU_BURAK_YENI1309[[#This Row],[BIRIM_FIYATLAR]])</f>
        <v>0</v>
      </c>
      <c r="N530">
        <v>0.04</v>
      </c>
      <c r="P530">
        <v>0.64</v>
      </c>
      <c r="Q530" t="s">
        <v>180</v>
      </c>
    </row>
    <row r="531" spans="1:17" x14ac:dyDescent="0.25">
      <c r="A531" t="s">
        <v>1100</v>
      </c>
      <c r="B531" t="s">
        <v>1058</v>
      </c>
      <c r="C531" t="s">
        <v>175</v>
      </c>
      <c r="D531" t="s">
        <v>62</v>
      </c>
      <c r="E531" t="s">
        <v>63</v>
      </c>
      <c r="F531">
        <v>6</v>
      </c>
      <c r="G531" t="s">
        <v>179</v>
      </c>
      <c r="H531">
        <v>0</v>
      </c>
      <c r="I531">
        <v>260</v>
      </c>
      <c r="J531" s="10">
        <v>0</v>
      </c>
      <c r="K531" s="10">
        <f>SUMIFS(F:F,D:D,DST_123_ÜRETİM_İHTİYAÇ_RAPORU_BURAK_YENI1309[[#This Row],[ALT_KOD]])-(SUMIFS(H:H,D:D,DST_123_ÜRETİM_İHTİYAÇ_RAPORU_BURAK_YENI1309[[#This Row],[ALT_KOD]])+AVERAGEIFS(I:I,D:D,DST_123_ÜRETİM_İHTİYAÇ_RAPORU_BURAK_YENI1309[[#This Row],[ALT_KOD]])+AVERAGEIFS(L:L,D:D,DST_123_ÜRETİM_İHTİYAÇ_RAPORU_BURAK_YENI1309[[#This Row],[ALT_KOD]]))</f>
        <v>-248</v>
      </c>
      <c r="L531">
        <v>0</v>
      </c>
      <c r="M531">
        <f>IF((DST_123_ÜRETİM_İHTİYAÇ_RAPORU_BURAK_YENI1309[[#This Row],[SATINALMA]]*DST_123_ÜRETİM_İHTİYAÇ_RAPORU_BURAK_YENI1309[[#This Row],[BIRIM_FIYATLAR]])&lt;1,VALUE("0"),DST_123_ÜRETİM_İHTİYAÇ_RAPORU_BURAK_YENI1309[[#This Row],[SATINALMA]]*DST_123_ÜRETİM_İHTİYAÇ_RAPORU_BURAK_YENI1309[[#This Row],[BIRIM_FIYATLAR]])</f>
        <v>0</v>
      </c>
      <c r="N531">
        <v>8.4</v>
      </c>
      <c r="O531" t="s">
        <v>826</v>
      </c>
      <c r="P531">
        <v>50.400000000000006</v>
      </c>
      <c r="Q531" t="s">
        <v>180</v>
      </c>
    </row>
    <row r="532" spans="1:17" x14ac:dyDescent="0.25">
      <c r="A532" t="s">
        <v>1147</v>
      </c>
      <c r="B532" t="s">
        <v>1145</v>
      </c>
      <c r="C532" t="s">
        <v>175</v>
      </c>
      <c r="D532" t="s">
        <v>456</v>
      </c>
      <c r="E532" t="s">
        <v>457</v>
      </c>
      <c r="F532">
        <v>78</v>
      </c>
      <c r="G532" t="s">
        <v>176</v>
      </c>
      <c r="H532">
        <v>0</v>
      </c>
      <c r="I532">
        <v>3000</v>
      </c>
      <c r="J532" s="10">
        <v>1138</v>
      </c>
      <c r="K532" s="10">
        <f>SUMIFS(F:F,D:D,DST_123_ÜRETİM_İHTİYAÇ_RAPORU_BURAK_YENI1309[[#This Row],[ALT_KOD]])-(SUMIFS(H:H,D:D,DST_123_ÜRETİM_İHTİYAÇ_RAPORU_BURAK_YENI1309[[#This Row],[ALT_KOD]])+AVERAGEIFS(I:I,D:D,DST_123_ÜRETİM_İHTİYAÇ_RAPORU_BURAK_YENI1309[[#This Row],[ALT_KOD]])+AVERAGEIFS(L:L,D:D,DST_123_ÜRETİM_İHTİYAÇ_RAPORU_BURAK_YENI1309[[#This Row],[ALT_KOD]]))</f>
        <v>-1738</v>
      </c>
      <c r="L532">
        <v>0</v>
      </c>
      <c r="M532">
        <f>IF((DST_123_ÜRETİM_İHTİYAÇ_RAPORU_BURAK_YENI1309[[#This Row],[SATINALMA]]*DST_123_ÜRETİM_İHTİYAÇ_RAPORU_BURAK_YENI1309[[#This Row],[BIRIM_FIYATLAR]])&lt;1,VALUE("0"),DST_123_ÜRETİM_İHTİYAÇ_RAPORU_BURAK_YENI1309[[#This Row],[SATINALMA]]*DST_123_ÜRETİM_İHTİYAÇ_RAPORU_BURAK_YENI1309[[#This Row],[BIRIM_FIYATLAR]])</f>
        <v>0</v>
      </c>
      <c r="N532">
        <v>0.93</v>
      </c>
      <c r="O532" t="s">
        <v>882</v>
      </c>
      <c r="P532">
        <v>72.540000000000006</v>
      </c>
      <c r="Q532" t="s">
        <v>180</v>
      </c>
    </row>
    <row r="533" spans="1:17" x14ac:dyDescent="0.25">
      <c r="A533" t="s">
        <v>1060</v>
      </c>
      <c r="B533" t="s">
        <v>1061</v>
      </c>
      <c r="C533" t="s">
        <v>175</v>
      </c>
      <c r="D533" t="s">
        <v>66</v>
      </c>
      <c r="E533" t="s">
        <v>1229</v>
      </c>
      <c r="F533">
        <v>3</v>
      </c>
      <c r="G533" t="s">
        <v>176</v>
      </c>
      <c r="H533">
        <v>0</v>
      </c>
      <c r="I533">
        <v>0</v>
      </c>
      <c r="J533" s="10">
        <v>128</v>
      </c>
      <c r="K533" s="10">
        <f>SUMIFS(F:F,D:D,DST_123_ÜRETİM_İHTİYAÇ_RAPORU_BURAK_YENI1309[[#This Row],[ALT_KOD]])-(SUMIFS(H:H,D:D,DST_123_ÜRETİM_İHTİYAÇ_RAPORU_BURAK_YENI1309[[#This Row],[ALT_KOD]])+AVERAGEIFS(I:I,D:D,DST_123_ÜRETİM_İHTİYAÇ_RAPORU_BURAK_YENI1309[[#This Row],[ALT_KOD]])+AVERAGEIFS(L:L,D:D,DST_123_ÜRETİM_İHTİYAÇ_RAPORU_BURAK_YENI1309[[#This Row],[ALT_KOD]]))</f>
        <v>70</v>
      </c>
      <c r="L533">
        <v>40</v>
      </c>
      <c r="M533">
        <f>IF((DST_123_ÜRETİM_İHTİYAÇ_RAPORU_BURAK_YENI1309[[#This Row],[SATINALMA]]*DST_123_ÜRETİM_İHTİYAÇ_RAPORU_BURAK_YENI1309[[#This Row],[BIRIM_FIYATLAR]])&lt;1,VALUE("0"),DST_123_ÜRETİM_İHTİYAÇ_RAPORU_BURAK_YENI1309[[#This Row],[SATINALMA]]*DST_123_ÜRETİM_İHTİYAÇ_RAPORU_BURAK_YENI1309[[#This Row],[BIRIM_FIYATLAR]])</f>
        <v>4200</v>
      </c>
      <c r="N533">
        <v>60</v>
      </c>
      <c r="O533" t="s">
        <v>821</v>
      </c>
      <c r="P533">
        <v>180</v>
      </c>
      <c r="Q533" t="s">
        <v>180</v>
      </c>
    </row>
    <row r="534" spans="1:17" x14ac:dyDescent="0.25">
      <c r="A534" t="s">
        <v>1057</v>
      </c>
      <c r="B534" t="s">
        <v>1058</v>
      </c>
      <c r="C534" t="s">
        <v>175</v>
      </c>
      <c r="D534" t="s">
        <v>66</v>
      </c>
      <c r="E534" t="s">
        <v>1229</v>
      </c>
      <c r="F534">
        <v>5</v>
      </c>
      <c r="G534" t="s">
        <v>176</v>
      </c>
      <c r="H534">
        <v>0</v>
      </c>
      <c r="I534">
        <v>0</v>
      </c>
      <c r="J534" s="10">
        <v>128</v>
      </c>
      <c r="K534" s="10">
        <f>SUMIFS(F:F,D:D,DST_123_ÜRETİM_İHTİYAÇ_RAPORU_BURAK_YENI1309[[#This Row],[ALT_KOD]])-(SUMIFS(H:H,D:D,DST_123_ÜRETİM_İHTİYAÇ_RAPORU_BURAK_YENI1309[[#This Row],[ALT_KOD]])+AVERAGEIFS(I:I,D:D,DST_123_ÜRETİM_İHTİYAÇ_RAPORU_BURAK_YENI1309[[#This Row],[ALT_KOD]])+AVERAGEIFS(L:L,D:D,DST_123_ÜRETİM_İHTİYAÇ_RAPORU_BURAK_YENI1309[[#This Row],[ALT_KOD]]))</f>
        <v>70</v>
      </c>
      <c r="L534">
        <v>40</v>
      </c>
      <c r="M534">
        <f>IF((DST_123_ÜRETİM_İHTİYAÇ_RAPORU_BURAK_YENI1309[[#This Row],[SATINALMA]]*DST_123_ÜRETİM_İHTİYAÇ_RAPORU_BURAK_YENI1309[[#This Row],[BIRIM_FIYATLAR]])&lt;1,VALUE("0"),DST_123_ÜRETİM_İHTİYAÇ_RAPORU_BURAK_YENI1309[[#This Row],[SATINALMA]]*DST_123_ÜRETİM_İHTİYAÇ_RAPORU_BURAK_YENI1309[[#This Row],[BIRIM_FIYATLAR]])</f>
        <v>4200</v>
      </c>
      <c r="N534">
        <v>60</v>
      </c>
      <c r="O534" t="s">
        <v>821</v>
      </c>
      <c r="P534">
        <v>300</v>
      </c>
      <c r="Q534" t="s">
        <v>180</v>
      </c>
    </row>
    <row r="535" spans="1:17" x14ac:dyDescent="0.25">
      <c r="A535" t="s">
        <v>1100</v>
      </c>
      <c r="B535" t="s">
        <v>1058</v>
      </c>
      <c r="C535" t="s">
        <v>175</v>
      </c>
      <c r="D535" t="s">
        <v>66</v>
      </c>
      <c r="E535" t="s">
        <v>1229</v>
      </c>
      <c r="F535">
        <v>5</v>
      </c>
      <c r="G535" t="s">
        <v>176</v>
      </c>
      <c r="H535">
        <v>0</v>
      </c>
      <c r="I535">
        <v>0</v>
      </c>
      <c r="J535" s="10">
        <v>128</v>
      </c>
      <c r="K535" s="10">
        <f>SUMIFS(F:F,D:D,DST_123_ÜRETİM_İHTİYAÇ_RAPORU_BURAK_YENI1309[[#This Row],[ALT_KOD]])-(SUMIFS(H:H,D:D,DST_123_ÜRETİM_İHTİYAÇ_RAPORU_BURAK_YENI1309[[#This Row],[ALT_KOD]])+AVERAGEIFS(I:I,D:D,DST_123_ÜRETİM_İHTİYAÇ_RAPORU_BURAK_YENI1309[[#This Row],[ALT_KOD]])+AVERAGEIFS(L:L,D:D,DST_123_ÜRETİM_İHTİYAÇ_RAPORU_BURAK_YENI1309[[#This Row],[ALT_KOD]]))</f>
        <v>70</v>
      </c>
      <c r="L535">
        <v>40</v>
      </c>
      <c r="M535">
        <f>IF((DST_123_ÜRETİM_İHTİYAÇ_RAPORU_BURAK_YENI1309[[#This Row],[SATINALMA]]*DST_123_ÜRETİM_İHTİYAÇ_RAPORU_BURAK_YENI1309[[#This Row],[BIRIM_FIYATLAR]])&lt;1,VALUE("0"),DST_123_ÜRETİM_İHTİYAÇ_RAPORU_BURAK_YENI1309[[#This Row],[SATINALMA]]*DST_123_ÜRETİM_İHTİYAÇ_RAPORU_BURAK_YENI1309[[#This Row],[BIRIM_FIYATLAR]])</f>
        <v>4200</v>
      </c>
      <c r="N535">
        <v>60</v>
      </c>
      <c r="O535" t="s">
        <v>821</v>
      </c>
      <c r="P535">
        <v>300</v>
      </c>
      <c r="Q535" t="s">
        <v>180</v>
      </c>
    </row>
    <row r="536" spans="1:17" x14ac:dyDescent="0.25">
      <c r="A536" t="s">
        <v>1057</v>
      </c>
      <c r="B536" t="s">
        <v>1058</v>
      </c>
      <c r="C536" t="s">
        <v>175</v>
      </c>
      <c r="D536" t="s">
        <v>110</v>
      </c>
      <c r="E536" t="s">
        <v>111</v>
      </c>
      <c r="F536">
        <v>1</v>
      </c>
      <c r="G536" t="s">
        <v>176</v>
      </c>
      <c r="H536">
        <v>1</v>
      </c>
      <c r="I536">
        <v>0</v>
      </c>
      <c r="J536" s="10">
        <v>10</v>
      </c>
      <c r="K536" s="10">
        <f>SUMIFS(F:F,D:D,DST_123_ÜRETİM_İHTİYAÇ_RAPORU_BURAK_YENI1309[[#This Row],[ALT_KOD]])-(SUMIFS(H:H,D:D,DST_123_ÜRETİM_İHTİYAÇ_RAPORU_BURAK_YENI1309[[#This Row],[ALT_KOD]])+AVERAGEIFS(I:I,D:D,DST_123_ÜRETİM_İHTİYAÇ_RAPORU_BURAK_YENI1309[[#This Row],[ALT_KOD]])+AVERAGEIFS(L:L,D:D,DST_123_ÜRETİM_İHTİYAÇ_RAPORU_BURAK_YENI1309[[#This Row],[ALT_KOD]]))</f>
        <v>0</v>
      </c>
      <c r="L536">
        <v>11</v>
      </c>
      <c r="M536">
        <f>IF((DST_123_ÜRETİM_İHTİYAÇ_RAPORU_BURAK_YENI1309[[#This Row],[SATINALMA]]*DST_123_ÜRETİM_İHTİYAÇ_RAPORU_BURAK_YENI1309[[#This Row],[BIRIM_FIYATLAR]])&lt;1,VALUE("0"),DST_123_ÜRETİM_İHTİYAÇ_RAPORU_BURAK_YENI1309[[#This Row],[SATINALMA]]*DST_123_ÜRETİM_İHTİYAÇ_RAPORU_BURAK_YENI1309[[#This Row],[BIRIM_FIYATLAR]])</f>
        <v>0</v>
      </c>
      <c r="N536">
        <v>675</v>
      </c>
      <c r="O536" t="s">
        <v>632</v>
      </c>
      <c r="P536">
        <v>675</v>
      </c>
      <c r="Q536" t="s">
        <v>177</v>
      </c>
    </row>
    <row r="537" spans="1:17" x14ac:dyDescent="0.25">
      <c r="A537" t="s">
        <v>1100</v>
      </c>
      <c r="B537" t="s">
        <v>1058</v>
      </c>
      <c r="C537" t="s">
        <v>175</v>
      </c>
      <c r="D537" t="s">
        <v>110</v>
      </c>
      <c r="E537" t="s">
        <v>111</v>
      </c>
      <c r="F537">
        <v>1</v>
      </c>
      <c r="G537" t="s">
        <v>176</v>
      </c>
      <c r="H537">
        <v>1</v>
      </c>
      <c r="I537">
        <v>0</v>
      </c>
      <c r="J537" s="10">
        <v>10</v>
      </c>
      <c r="K537" s="10">
        <f>SUMIFS(F:F,D:D,DST_123_ÜRETİM_İHTİYAÇ_RAPORU_BURAK_YENI1309[[#This Row],[ALT_KOD]])-(SUMIFS(H:H,D:D,DST_123_ÜRETİM_İHTİYAÇ_RAPORU_BURAK_YENI1309[[#This Row],[ALT_KOD]])+AVERAGEIFS(I:I,D:D,DST_123_ÜRETİM_İHTİYAÇ_RAPORU_BURAK_YENI1309[[#This Row],[ALT_KOD]])+AVERAGEIFS(L:L,D:D,DST_123_ÜRETİM_İHTİYAÇ_RAPORU_BURAK_YENI1309[[#This Row],[ALT_KOD]]))</f>
        <v>0</v>
      </c>
      <c r="L537">
        <v>11</v>
      </c>
      <c r="M537">
        <f>IF((DST_123_ÜRETİM_İHTİYAÇ_RAPORU_BURAK_YENI1309[[#This Row],[SATINALMA]]*DST_123_ÜRETİM_İHTİYAÇ_RAPORU_BURAK_YENI1309[[#This Row],[BIRIM_FIYATLAR]])&lt;1,VALUE("0"),DST_123_ÜRETİM_İHTİYAÇ_RAPORU_BURAK_YENI1309[[#This Row],[SATINALMA]]*DST_123_ÜRETİM_İHTİYAÇ_RAPORU_BURAK_YENI1309[[#This Row],[BIRIM_FIYATLAR]])</f>
        <v>0</v>
      </c>
      <c r="N537">
        <v>675</v>
      </c>
      <c r="O537" t="s">
        <v>632</v>
      </c>
      <c r="P537">
        <v>675</v>
      </c>
      <c r="Q537" t="s">
        <v>177</v>
      </c>
    </row>
    <row r="538" spans="1:17" x14ac:dyDescent="0.25">
      <c r="A538" t="s">
        <v>1147</v>
      </c>
      <c r="B538" t="s">
        <v>1145</v>
      </c>
      <c r="C538" t="s">
        <v>175</v>
      </c>
      <c r="D538" t="s">
        <v>112</v>
      </c>
      <c r="E538" t="s">
        <v>113</v>
      </c>
      <c r="F538">
        <v>1</v>
      </c>
      <c r="G538" t="s">
        <v>176</v>
      </c>
      <c r="H538">
        <v>0</v>
      </c>
      <c r="I538">
        <v>2</v>
      </c>
      <c r="J538" s="10">
        <v>4</v>
      </c>
      <c r="K538" s="10">
        <f>SUMIFS(F:F,D:D,DST_123_ÜRETİM_İHTİYAÇ_RAPORU_BURAK_YENI1309[[#This Row],[ALT_KOD]])-(SUMIFS(H:H,D:D,DST_123_ÜRETİM_İHTİYAÇ_RAPORU_BURAK_YENI1309[[#This Row],[ALT_KOD]])+AVERAGEIFS(I:I,D:D,DST_123_ÜRETİM_İHTİYAÇ_RAPORU_BURAK_YENI1309[[#This Row],[ALT_KOD]])+AVERAGEIFS(L:L,D:D,DST_123_ÜRETİM_İHTİYAÇ_RAPORU_BURAK_YENI1309[[#This Row],[ALT_KOD]]))</f>
        <v>5</v>
      </c>
      <c r="L538">
        <v>0</v>
      </c>
      <c r="M538">
        <f>IF((DST_123_ÜRETİM_İHTİYAÇ_RAPORU_BURAK_YENI1309[[#This Row],[SATINALMA]]*DST_123_ÜRETİM_İHTİYAÇ_RAPORU_BURAK_YENI1309[[#This Row],[BIRIM_FIYATLAR]])&lt;1,VALUE("0"),DST_123_ÜRETİM_İHTİYAÇ_RAPORU_BURAK_YENI1309[[#This Row],[SATINALMA]]*DST_123_ÜRETİM_İHTİYAÇ_RAPORU_BURAK_YENI1309[[#This Row],[BIRIM_FIYATLAR]])</f>
        <v>37250</v>
      </c>
      <c r="N538">
        <v>7450</v>
      </c>
      <c r="O538" t="s">
        <v>584</v>
      </c>
      <c r="P538">
        <v>7450</v>
      </c>
      <c r="Q538" t="s">
        <v>177</v>
      </c>
    </row>
    <row r="539" spans="1:17" x14ac:dyDescent="0.25">
      <c r="A539" t="s">
        <v>1147</v>
      </c>
      <c r="B539" t="s">
        <v>1145</v>
      </c>
      <c r="C539" t="s">
        <v>175</v>
      </c>
      <c r="D539" t="s">
        <v>670</v>
      </c>
      <c r="E539" t="s">
        <v>671</v>
      </c>
      <c r="F539">
        <v>1</v>
      </c>
      <c r="G539" t="s">
        <v>176</v>
      </c>
      <c r="H539">
        <v>0</v>
      </c>
      <c r="I539">
        <v>12</v>
      </c>
      <c r="J539" s="10">
        <v>13</v>
      </c>
      <c r="K539" s="10">
        <f>SUMIFS(F:F,D:D,DST_123_ÜRETİM_İHTİYAÇ_RAPORU_BURAK_YENI1309[[#This Row],[ALT_KOD]])-(SUMIFS(H:H,D:D,DST_123_ÜRETİM_İHTİYAÇ_RAPORU_BURAK_YENI1309[[#This Row],[ALT_KOD]])+AVERAGEIFS(I:I,D:D,DST_123_ÜRETİM_İHTİYAÇ_RAPORU_BURAK_YENI1309[[#This Row],[ALT_KOD]])+AVERAGEIFS(L:L,D:D,DST_123_ÜRETİM_İHTİYAÇ_RAPORU_BURAK_YENI1309[[#This Row],[ALT_KOD]]))</f>
        <v>-5</v>
      </c>
      <c r="L539">
        <v>0</v>
      </c>
      <c r="M539">
        <f>IF((DST_123_ÜRETİM_İHTİYAÇ_RAPORU_BURAK_YENI1309[[#This Row],[SATINALMA]]*DST_123_ÜRETİM_İHTİYAÇ_RAPORU_BURAK_YENI1309[[#This Row],[BIRIM_FIYATLAR]])&lt;1,VALUE("0"),DST_123_ÜRETİM_İHTİYAÇ_RAPORU_BURAK_YENI1309[[#This Row],[SATINALMA]]*DST_123_ÜRETİM_İHTİYAÇ_RAPORU_BURAK_YENI1309[[#This Row],[BIRIM_FIYATLAR]])</f>
        <v>0</v>
      </c>
      <c r="N539">
        <v>28339.38</v>
      </c>
      <c r="O539" t="s">
        <v>214</v>
      </c>
      <c r="P539">
        <v>28339.38</v>
      </c>
      <c r="Q539" t="s">
        <v>177</v>
      </c>
    </row>
    <row r="540" spans="1:17" x14ac:dyDescent="0.25">
      <c r="A540" t="s">
        <v>1196</v>
      </c>
      <c r="B540" t="s">
        <v>1197</v>
      </c>
      <c r="C540" t="s">
        <v>175</v>
      </c>
      <c r="D540" t="s">
        <v>1223</v>
      </c>
      <c r="E540" t="s">
        <v>1224</v>
      </c>
      <c r="F540">
        <v>1</v>
      </c>
      <c r="G540" t="s">
        <v>176</v>
      </c>
      <c r="H540">
        <v>0</v>
      </c>
      <c r="I540">
        <v>1</v>
      </c>
      <c r="J540" s="10">
        <v>0</v>
      </c>
      <c r="K540" s="10">
        <f>SUMIFS(F:F,D:D,DST_123_ÜRETİM_İHTİYAÇ_RAPORU_BURAK_YENI1309[[#This Row],[ALT_KOD]])-(SUMIFS(H:H,D:D,DST_123_ÜRETİM_İHTİYAÇ_RAPORU_BURAK_YENI1309[[#This Row],[ALT_KOD]])+AVERAGEIFS(I:I,D:D,DST_123_ÜRETİM_İHTİYAÇ_RAPORU_BURAK_YENI1309[[#This Row],[ALT_KOD]])+AVERAGEIFS(L:L,D:D,DST_123_ÜRETİM_İHTİYAÇ_RAPORU_BURAK_YENI1309[[#This Row],[ALT_KOD]]))</f>
        <v>0</v>
      </c>
      <c r="L540">
        <v>0</v>
      </c>
      <c r="M540">
        <f>IF((DST_123_ÜRETİM_İHTİYAÇ_RAPORU_BURAK_YENI1309[[#This Row],[SATINALMA]]*DST_123_ÜRETİM_İHTİYAÇ_RAPORU_BURAK_YENI1309[[#This Row],[BIRIM_FIYATLAR]])&lt;1,VALUE("0"),DST_123_ÜRETİM_İHTİYAÇ_RAPORU_BURAK_YENI1309[[#This Row],[SATINALMA]]*DST_123_ÜRETİM_İHTİYAÇ_RAPORU_BURAK_YENI1309[[#This Row],[BIRIM_FIYATLAR]])</f>
        <v>0</v>
      </c>
      <c r="N540">
        <v>4396.6000000000004</v>
      </c>
      <c r="O540" t="s">
        <v>634</v>
      </c>
      <c r="P540">
        <v>4396.6000000000004</v>
      </c>
      <c r="Q540" t="s">
        <v>177</v>
      </c>
    </row>
    <row r="541" spans="1:17" x14ac:dyDescent="0.25">
      <c r="A541" t="s">
        <v>1196</v>
      </c>
      <c r="B541" t="s">
        <v>1197</v>
      </c>
      <c r="C541" t="s">
        <v>175</v>
      </c>
      <c r="D541" t="s">
        <v>110</v>
      </c>
      <c r="E541" t="s">
        <v>111</v>
      </c>
      <c r="F541">
        <v>1</v>
      </c>
      <c r="G541" t="s">
        <v>176</v>
      </c>
      <c r="H541">
        <v>0</v>
      </c>
      <c r="I541">
        <v>0</v>
      </c>
      <c r="J541" s="10">
        <v>10</v>
      </c>
      <c r="K541" s="10">
        <f>SUMIFS(F:F,D:D,DST_123_ÜRETİM_İHTİYAÇ_RAPORU_BURAK_YENI1309[[#This Row],[ALT_KOD]])-(SUMIFS(H:H,D:D,DST_123_ÜRETİM_İHTİYAÇ_RAPORU_BURAK_YENI1309[[#This Row],[ALT_KOD]])+AVERAGEIFS(I:I,D:D,DST_123_ÜRETİM_İHTİYAÇ_RAPORU_BURAK_YENI1309[[#This Row],[ALT_KOD]])+AVERAGEIFS(L:L,D:D,DST_123_ÜRETİM_İHTİYAÇ_RAPORU_BURAK_YENI1309[[#This Row],[ALT_KOD]]))</f>
        <v>0</v>
      </c>
      <c r="L541">
        <v>11</v>
      </c>
      <c r="M541">
        <f>IF((DST_123_ÜRETİM_İHTİYAÇ_RAPORU_BURAK_YENI1309[[#This Row],[SATINALMA]]*DST_123_ÜRETİM_İHTİYAÇ_RAPORU_BURAK_YENI1309[[#This Row],[BIRIM_FIYATLAR]])&lt;1,VALUE("0"),DST_123_ÜRETİM_İHTİYAÇ_RAPORU_BURAK_YENI1309[[#This Row],[SATINALMA]]*DST_123_ÜRETİM_İHTİYAÇ_RAPORU_BURAK_YENI1309[[#This Row],[BIRIM_FIYATLAR]])</f>
        <v>0</v>
      </c>
      <c r="N541">
        <v>675</v>
      </c>
      <c r="O541" t="s">
        <v>632</v>
      </c>
      <c r="P541">
        <v>675</v>
      </c>
      <c r="Q541" t="s">
        <v>177</v>
      </c>
    </row>
    <row r="542" spans="1:17" x14ac:dyDescent="0.25">
      <c r="A542" t="s">
        <v>1196</v>
      </c>
      <c r="B542" t="s">
        <v>1197</v>
      </c>
      <c r="C542" t="s">
        <v>175</v>
      </c>
      <c r="D542" t="s">
        <v>653</v>
      </c>
      <c r="E542" t="s">
        <v>654</v>
      </c>
      <c r="F542">
        <v>0.05</v>
      </c>
      <c r="G542" t="s">
        <v>185</v>
      </c>
      <c r="H542">
        <v>0</v>
      </c>
      <c r="I542">
        <v>0</v>
      </c>
      <c r="J542" s="10">
        <v>2.6000000000000014</v>
      </c>
      <c r="K542" s="10">
        <f>SUMIFS(F:F,D:D,DST_123_ÜRETİM_İHTİYAÇ_RAPORU_BURAK_YENI1309[[#This Row],[ALT_KOD]])-(SUMIFS(H:H,D:D,DST_123_ÜRETİM_İHTİYAÇ_RAPORU_BURAK_YENI1309[[#This Row],[ALT_KOD]])+AVERAGEIFS(I:I,D:D,DST_123_ÜRETİM_İHTİYAÇ_RAPORU_BURAK_YENI1309[[#This Row],[ALT_KOD]])+AVERAGEIFS(L:L,D:D,DST_123_ÜRETİM_İHTİYAÇ_RAPORU_BURAK_YENI1309[[#This Row],[ALT_KOD]]))</f>
        <v>0.29999999999999982</v>
      </c>
      <c r="L542">
        <v>0</v>
      </c>
      <c r="M542">
        <f>IF((DST_123_ÜRETİM_İHTİYAÇ_RAPORU_BURAK_YENI1309[[#This Row],[SATINALMA]]*DST_123_ÜRETİM_İHTİYAÇ_RAPORU_BURAK_YENI1309[[#This Row],[BIRIM_FIYATLAR]])&lt;1,VALUE("0"),DST_123_ÜRETİM_İHTİYAÇ_RAPORU_BURAK_YENI1309[[#This Row],[SATINALMA]]*DST_123_ÜRETİM_İHTİYAÇ_RAPORU_BURAK_YENI1309[[#This Row],[BIRIM_FIYATLAR]])</f>
        <v>193.70099999999988</v>
      </c>
      <c r="N542">
        <v>645.66999999999996</v>
      </c>
      <c r="O542" t="s">
        <v>490</v>
      </c>
      <c r="P542">
        <v>32.283499999999997</v>
      </c>
      <c r="Q542" t="s">
        <v>183</v>
      </c>
    </row>
    <row r="543" spans="1:17" x14ac:dyDescent="0.25">
      <c r="A543" t="s">
        <v>1148</v>
      </c>
      <c r="B543" t="s">
        <v>1056</v>
      </c>
      <c r="C543" t="s">
        <v>175</v>
      </c>
      <c r="D543" t="s">
        <v>359</v>
      </c>
      <c r="E543" t="s">
        <v>360</v>
      </c>
      <c r="F543">
        <v>14</v>
      </c>
      <c r="G543" t="s">
        <v>176</v>
      </c>
      <c r="H543">
        <v>0</v>
      </c>
      <c r="I543">
        <v>14472</v>
      </c>
      <c r="J543" s="10">
        <v>3376</v>
      </c>
      <c r="K543" s="10">
        <f>SUMIFS(F:F,D:D,DST_123_ÜRETİM_İHTİYAÇ_RAPORU_BURAK_YENI1309[[#This Row],[ALT_KOD]])-(SUMIFS(H:H,D:D,DST_123_ÜRETİM_İHTİYAÇ_RAPORU_BURAK_YENI1309[[#This Row],[ALT_KOD]])+AVERAGEIFS(I:I,D:D,DST_123_ÜRETİM_İHTİYAÇ_RAPORU_BURAK_YENI1309[[#This Row],[ALT_KOD]])+AVERAGEIFS(L:L,D:D,DST_123_ÜRETİM_İHTİYAÇ_RAPORU_BURAK_YENI1309[[#This Row],[ALT_KOD]]))</f>
        <v>-14340</v>
      </c>
      <c r="L543">
        <v>0</v>
      </c>
      <c r="M543">
        <f>IF((DST_123_ÜRETİM_İHTİYAÇ_RAPORU_BURAK_YENI1309[[#This Row],[SATINALMA]]*DST_123_ÜRETİM_İHTİYAÇ_RAPORU_BURAK_YENI1309[[#This Row],[BIRIM_FIYATLAR]])&lt;1,VALUE("0"),DST_123_ÜRETİM_İHTİYAÇ_RAPORU_BURAK_YENI1309[[#This Row],[SATINALMA]]*DST_123_ÜRETİM_İHTİYAÇ_RAPORU_BURAK_YENI1309[[#This Row],[BIRIM_FIYATLAR]])</f>
        <v>0</v>
      </c>
      <c r="N543">
        <v>0.04</v>
      </c>
      <c r="P543">
        <v>0.56000000000000005</v>
      </c>
      <c r="Q543" t="s">
        <v>180</v>
      </c>
    </row>
    <row r="544" spans="1:17" x14ac:dyDescent="0.25">
      <c r="A544" t="s">
        <v>1147</v>
      </c>
      <c r="B544" t="s">
        <v>1145</v>
      </c>
      <c r="C544" t="s">
        <v>175</v>
      </c>
      <c r="D544" t="s">
        <v>359</v>
      </c>
      <c r="E544" t="s">
        <v>360</v>
      </c>
      <c r="F544">
        <v>2</v>
      </c>
      <c r="G544" t="s">
        <v>176</v>
      </c>
      <c r="H544">
        <v>0</v>
      </c>
      <c r="I544">
        <v>14472</v>
      </c>
      <c r="J544" s="10">
        <v>3376</v>
      </c>
      <c r="K544" s="10">
        <f>SUMIFS(F:F,D:D,DST_123_ÜRETİM_İHTİYAÇ_RAPORU_BURAK_YENI1309[[#This Row],[ALT_KOD]])-(SUMIFS(H:H,D:D,DST_123_ÜRETİM_İHTİYAÇ_RAPORU_BURAK_YENI1309[[#This Row],[ALT_KOD]])+AVERAGEIFS(I:I,D:D,DST_123_ÜRETİM_İHTİYAÇ_RAPORU_BURAK_YENI1309[[#This Row],[ALT_KOD]])+AVERAGEIFS(L:L,D:D,DST_123_ÜRETİM_İHTİYAÇ_RAPORU_BURAK_YENI1309[[#This Row],[ALT_KOD]]))</f>
        <v>-14340</v>
      </c>
      <c r="L544">
        <v>0</v>
      </c>
      <c r="M544">
        <f>IF((DST_123_ÜRETİM_İHTİYAÇ_RAPORU_BURAK_YENI1309[[#This Row],[SATINALMA]]*DST_123_ÜRETİM_İHTİYAÇ_RAPORU_BURAK_YENI1309[[#This Row],[BIRIM_FIYATLAR]])&lt;1,VALUE("0"),DST_123_ÜRETİM_İHTİYAÇ_RAPORU_BURAK_YENI1309[[#This Row],[SATINALMA]]*DST_123_ÜRETİM_İHTİYAÇ_RAPORU_BURAK_YENI1309[[#This Row],[BIRIM_FIYATLAR]])</f>
        <v>0</v>
      </c>
      <c r="N544">
        <v>0.04</v>
      </c>
      <c r="P544">
        <v>0.08</v>
      </c>
      <c r="Q544" t="s">
        <v>180</v>
      </c>
    </row>
    <row r="545" spans="1:17" x14ac:dyDescent="0.25">
      <c r="A545" t="s">
        <v>1148</v>
      </c>
      <c r="B545" t="s">
        <v>1056</v>
      </c>
      <c r="C545" t="s">
        <v>175</v>
      </c>
      <c r="D545" t="s">
        <v>456</v>
      </c>
      <c r="E545" t="s">
        <v>457</v>
      </c>
      <c r="F545">
        <v>70</v>
      </c>
      <c r="G545" t="s">
        <v>176</v>
      </c>
      <c r="H545">
        <v>0</v>
      </c>
      <c r="I545">
        <v>3000</v>
      </c>
      <c r="J545" s="10">
        <v>1138</v>
      </c>
      <c r="K545" s="10">
        <f>SUMIFS(F:F,D:D,DST_123_ÜRETİM_İHTİYAÇ_RAPORU_BURAK_YENI1309[[#This Row],[ALT_KOD]])-(SUMIFS(H:H,D:D,DST_123_ÜRETİM_İHTİYAÇ_RAPORU_BURAK_YENI1309[[#This Row],[ALT_KOD]])+AVERAGEIFS(I:I,D:D,DST_123_ÜRETİM_İHTİYAÇ_RAPORU_BURAK_YENI1309[[#This Row],[ALT_KOD]])+AVERAGEIFS(L:L,D:D,DST_123_ÜRETİM_İHTİYAÇ_RAPORU_BURAK_YENI1309[[#This Row],[ALT_KOD]]))</f>
        <v>-1738</v>
      </c>
      <c r="L545">
        <v>0</v>
      </c>
      <c r="M545">
        <f>IF((DST_123_ÜRETİM_İHTİYAÇ_RAPORU_BURAK_YENI1309[[#This Row],[SATINALMA]]*DST_123_ÜRETİM_İHTİYAÇ_RAPORU_BURAK_YENI1309[[#This Row],[BIRIM_FIYATLAR]])&lt;1,VALUE("0"),DST_123_ÜRETİM_İHTİYAÇ_RAPORU_BURAK_YENI1309[[#This Row],[SATINALMA]]*DST_123_ÜRETİM_İHTİYAÇ_RAPORU_BURAK_YENI1309[[#This Row],[BIRIM_FIYATLAR]])</f>
        <v>0</v>
      </c>
      <c r="N545">
        <v>0.93</v>
      </c>
      <c r="O545" t="s">
        <v>882</v>
      </c>
      <c r="P545">
        <v>65.100000000000009</v>
      </c>
      <c r="Q545" t="s">
        <v>180</v>
      </c>
    </row>
    <row r="546" spans="1:17" x14ac:dyDescent="0.25">
      <c r="A546" t="s">
        <v>1147</v>
      </c>
      <c r="B546" t="s">
        <v>1145</v>
      </c>
      <c r="C546" t="s">
        <v>175</v>
      </c>
      <c r="D546" t="s">
        <v>66</v>
      </c>
      <c r="E546" t="s">
        <v>1229</v>
      </c>
      <c r="F546">
        <v>3</v>
      </c>
      <c r="G546" t="s">
        <v>176</v>
      </c>
      <c r="H546">
        <v>0</v>
      </c>
      <c r="I546">
        <v>0</v>
      </c>
      <c r="J546" s="10">
        <v>128</v>
      </c>
      <c r="K546" s="10">
        <f>SUMIFS(F:F,D:D,DST_123_ÜRETİM_İHTİYAÇ_RAPORU_BURAK_YENI1309[[#This Row],[ALT_KOD]])-(SUMIFS(H:H,D:D,DST_123_ÜRETİM_İHTİYAÇ_RAPORU_BURAK_YENI1309[[#This Row],[ALT_KOD]])+AVERAGEIFS(I:I,D:D,DST_123_ÜRETİM_İHTİYAÇ_RAPORU_BURAK_YENI1309[[#This Row],[ALT_KOD]])+AVERAGEIFS(L:L,D:D,DST_123_ÜRETİM_İHTİYAÇ_RAPORU_BURAK_YENI1309[[#This Row],[ALT_KOD]]))</f>
        <v>70</v>
      </c>
      <c r="L546">
        <v>40</v>
      </c>
      <c r="M546">
        <f>IF((DST_123_ÜRETİM_İHTİYAÇ_RAPORU_BURAK_YENI1309[[#This Row],[SATINALMA]]*DST_123_ÜRETİM_İHTİYAÇ_RAPORU_BURAK_YENI1309[[#This Row],[BIRIM_FIYATLAR]])&lt;1,VALUE("0"),DST_123_ÜRETİM_İHTİYAÇ_RAPORU_BURAK_YENI1309[[#This Row],[SATINALMA]]*DST_123_ÜRETİM_İHTİYAÇ_RAPORU_BURAK_YENI1309[[#This Row],[BIRIM_FIYATLAR]])</f>
        <v>4200</v>
      </c>
      <c r="N546">
        <v>60</v>
      </c>
      <c r="O546" t="s">
        <v>821</v>
      </c>
      <c r="P546">
        <v>180</v>
      </c>
      <c r="Q546" t="s">
        <v>180</v>
      </c>
    </row>
    <row r="547" spans="1:17" x14ac:dyDescent="0.25">
      <c r="A547" s="14" t="s">
        <v>1147</v>
      </c>
      <c r="B547" s="14" t="s">
        <v>1145</v>
      </c>
      <c r="C547" t="s">
        <v>175</v>
      </c>
      <c r="D547" s="14" t="s">
        <v>110</v>
      </c>
      <c r="E547" s="14" t="s">
        <v>111</v>
      </c>
      <c r="F547" s="14">
        <v>1</v>
      </c>
      <c r="G547" s="14" t="s">
        <v>176</v>
      </c>
      <c r="H547">
        <v>0</v>
      </c>
      <c r="I547">
        <v>0</v>
      </c>
      <c r="J547" s="10">
        <v>10</v>
      </c>
      <c r="K547" s="10">
        <f>SUMIFS(F:F,D:D,DST_123_ÜRETİM_İHTİYAÇ_RAPORU_BURAK_YENI1309[[#This Row],[ALT_KOD]])-(SUMIFS(H:H,D:D,DST_123_ÜRETİM_İHTİYAÇ_RAPORU_BURAK_YENI1309[[#This Row],[ALT_KOD]])+AVERAGEIFS(I:I,D:D,DST_123_ÜRETİM_İHTİYAÇ_RAPORU_BURAK_YENI1309[[#This Row],[ALT_KOD]])+AVERAGEIFS(L:L,D:D,DST_123_ÜRETİM_İHTİYAÇ_RAPORU_BURAK_YENI1309[[#This Row],[ALT_KOD]]))</f>
        <v>0</v>
      </c>
      <c r="L547">
        <v>11</v>
      </c>
      <c r="M547">
        <f>IF((DST_123_ÜRETİM_İHTİYAÇ_RAPORU_BURAK_YENI1309[[#This Row],[SATINALMA]]*DST_123_ÜRETİM_İHTİYAÇ_RAPORU_BURAK_YENI1309[[#This Row],[BIRIM_FIYATLAR]])&lt;1,VALUE("0"),DST_123_ÜRETİM_İHTİYAÇ_RAPORU_BURAK_YENI1309[[#This Row],[SATINALMA]]*DST_123_ÜRETİM_İHTİYAÇ_RAPORU_BURAK_YENI1309[[#This Row],[BIRIM_FIYATLAR]])</f>
        <v>0</v>
      </c>
      <c r="N547">
        <v>675</v>
      </c>
      <c r="O547" t="s">
        <v>632</v>
      </c>
      <c r="P547">
        <v>675</v>
      </c>
      <c r="Q547" t="s">
        <v>177</v>
      </c>
    </row>
    <row r="548" spans="1:17" x14ac:dyDescent="0.25">
      <c r="A548" t="s">
        <v>1148</v>
      </c>
      <c r="B548" t="s">
        <v>1056</v>
      </c>
      <c r="C548" t="s">
        <v>175</v>
      </c>
      <c r="D548" t="s">
        <v>110</v>
      </c>
      <c r="E548" t="s">
        <v>111</v>
      </c>
      <c r="F548">
        <v>1</v>
      </c>
      <c r="G548" t="s">
        <v>176</v>
      </c>
      <c r="H548">
        <v>0</v>
      </c>
      <c r="I548">
        <v>0</v>
      </c>
      <c r="J548" s="10">
        <v>10</v>
      </c>
      <c r="K548" s="10">
        <f>SUMIFS(F:F,D:D,DST_123_ÜRETİM_İHTİYAÇ_RAPORU_BURAK_YENI1309[[#This Row],[ALT_KOD]])-(SUMIFS(H:H,D:D,DST_123_ÜRETİM_İHTİYAÇ_RAPORU_BURAK_YENI1309[[#This Row],[ALT_KOD]])+AVERAGEIFS(I:I,D:D,DST_123_ÜRETİM_İHTİYAÇ_RAPORU_BURAK_YENI1309[[#This Row],[ALT_KOD]])+AVERAGEIFS(L:L,D:D,DST_123_ÜRETİM_İHTİYAÇ_RAPORU_BURAK_YENI1309[[#This Row],[ALT_KOD]]))</f>
        <v>0</v>
      </c>
      <c r="L548">
        <v>11</v>
      </c>
      <c r="M548">
        <f>IF((DST_123_ÜRETİM_İHTİYAÇ_RAPORU_BURAK_YENI1309[[#This Row],[SATINALMA]]*DST_123_ÜRETİM_İHTİYAÇ_RAPORU_BURAK_YENI1309[[#This Row],[BIRIM_FIYATLAR]])&lt;1,VALUE("0"),DST_123_ÜRETİM_İHTİYAÇ_RAPORU_BURAK_YENI1309[[#This Row],[SATINALMA]]*DST_123_ÜRETİM_İHTİYAÇ_RAPORU_BURAK_YENI1309[[#This Row],[BIRIM_FIYATLAR]])</f>
        <v>0</v>
      </c>
      <c r="N548">
        <v>675</v>
      </c>
      <c r="O548" t="s">
        <v>632</v>
      </c>
      <c r="P548">
        <v>675</v>
      </c>
      <c r="Q548" t="s">
        <v>177</v>
      </c>
    </row>
    <row r="549" spans="1:17" x14ac:dyDescent="0.25">
      <c r="A549" t="s">
        <v>1148</v>
      </c>
      <c r="B549" t="s">
        <v>1056</v>
      </c>
      <c r="C549" t="s">
        <v>175</v>
      </c>
      <c r="D549" t="s">
        <v>670</v>
      </c>
      <c r="E549" t="s">
        <v>671</v>
      </c>
      <c r="F549">
        <v>1</v>
      </c>
      <c r="G549" t="s">
        <v>176</v>
      </c>
      <c r="H549">
        <v>0</v>
      </c>
      <c r="I549">
        <v>12</v>
      </c>
      <c r="J549" s="10">
        <v>13</v>
      </c>
      <c r="K549" s="10">
        <f>SUMIFS(F:F,D:D,DST_123_ÜRETİM_İHTİYAÇ_RAPORU_BURAK_YENI1309[[#This Row],[ALT_KOD]])-(SUMIFS(H:H,D:D,DST_123_ÜRETİM_İHTİYAÇ_RAPORU_BURAK_YENI1309[[#This Row],[ALT_KOD]])+AVERAGEIFS(I:I,D:D,DST_123_ÜRETİM_İHTİYAÇ_RAPORU_BURAK_YENI1309[[#This Row],[ALT_KOD]])+AVERAGEIFS(L:L,D:D,DST_123_ÜRETİM_İHTİYAÇ_RAPORU_BURAK_YENI1309[[#This Row],[ALT_KOD]]))</f>
        <v>-5</v>
      </c>
      <c r="L549">
        <v>0</v>
      </c>
      <c r="M549">
        <f>IF((DST_123_ÜRETİM_İHTİYAÇ_RAPORU_BURAK_YENI1309[[#This Row],[SATINALMA]]*DST_123_ÜRETİM_İHTİYAÇ_RAPORU_BURAK_YENI1309[[#This Row],[BIRIM_FIYATLAR]])&lt;1,VALUE("0"),DST_123_ÜRETİM_İHTİYAÇ_RAPORU_BURAK_YENI1309[[#This Row],[SATINALMA]]*DST_123_ÜRETİM_İHTİYAÇ_RAPORU_BURAK_YENI1309[[#This Row],[BIRIM_FIYATLAR]])</f>
        <v>0</v>
      </c>
      <c r="N549">
        <v>28339.38</v>
      </c>
      <c r="O549" t="s">
        <v>214</v>
      </c>
      <c r="P549">
        <v>28339.38</v>
      </c>
      <c r="Q549" t="s">
        <v>177</v>
      </c>
    </row>
    <row r="550" spans="1:17" x14ac:dyDescent="0.25">
      <c r="A550" t="s">
        <v>1100</v>
      </c>
      <c r="B550" t="s">
        <v>1058</v>
      </c>
      <c r="C550" t="s">
        <v>175</v>
      </c>
      <c r="D550" t="s">
        <v>653</v>
      </c>
      <c r="E550" t="s">
        <v>654</v>
      </c>
      <c r="F550">
        <v>0.2</v>
      </c>
      <c r="G550" t="s">
        <v>185</v>
      </c>
      <c r="H550">
        <v>0.2</v>
      </c>
      <c r="I550">
        <v>0</v>
      </c>
      <c r="J550" s="10">
        <v>2.6000000000000014</v>
      </c>
      <c r="K550" s="10">
        <f>SUMIFS(F:F,D:D,DST_123_ÜRETİM_İHTİYAÇ_RAPORU_BURAK_YENI1309[[#This Row],[ALT_KOD]])-(SUMIFS(H:H,D:D,DST_123_ÜRETİM_İHTİYAÇ_RAPORU_BURAK_YENI1309[[#This Row],[ALT_KOD]])+AVERAGEIFS(I:I,D:D,DST_123_ÜRETİM_İHTİYAÇ_RAPORU_BURAK_YENI1309[[#This Row],[ALT_KOD]])+AVERAGEIFS(L:L,D:D,DST_123_ÜRETİM_İHTİYAÇ_RAPORU_BURAK_YENI1309[[#This Row],[ALT_KOD]]))</f>
        <v>0.29999999999999982</v>
      </c>
      <c r="L550">
        <v>0</v>
      </c>
      <c r="M550">
        <f>IF((DST_123_ÜRETİM_İHTİYAÇ_RAPORU_BURAK_YENI1309[[#This Row],[SATINALMA]]*DST_123_ÜRETİM_İHTİYAÇ_RAPORU_BURAK_YENI1309[[#This Row],[BIRIM_FIYATLAR]])&lt;1,VALUE("0"),DST_123_ÜRETİM_İHTİYAÇ_RAPORU_BURAK_YENI1309[[#This Row],[SATINALMA]]*DST_123_ÜRETİM_İHTİYAÇ_RAPORU_BURAK_YENI1309[[#This Row],[BIRIM_FIYATLAR]])</f>
        <v>193.70099999999988</v>
      </c>
      <c r="N550">
        <v>645.66999999999996</v>
      </c>
      <c r="O550" t="s">
        <v>490</v>
      </c>
      <c r="P550">
        <v>129.13399999999999</v>
      </c>
      <c r="Q550" t="s">
        <v>183</v>
      </c>
    </row>
    <row r="551" spans="1:17" x14ac:dyDescent="0.25">
      <c r="A551" t="s">
        <v>1147</v>
      </c>
      <c r="B551" t="s">
        <v>1145</v>
      </c>
      <c r="C551" t="s">
        <v>175</v>
      </c>
      <c r="D551" t="s">
        <v>653</v>
      </c>
      <c r="E551" t="s">
        <v>654</v>
      </c>
      <c r="F551">
        <v>0.05</v>
      </c>
      <c r="G551" t="s">
        <v>185</v>
      </c>
      <c r="H551">
        <v>0</v>
      </c>
      <c r="I551">
        <v>0</v>
      </c>
      <c r="J551" s="10">
        <v>2.6000000000000014</v>
      </c>
      <c r="K551" s="10">
        <f>SUMIFS(F:F,D:D,DST_123_ÜRETİM_İHTİYAÇ_RAPORU_BURAK_YENI1309[[#This Row],[ALT_KOD]])-(SUMIFS(H:H,D:D,DST_123_ÜRETİM_İHTİYAÇ_RAPORU_BURAK_YENI1309[[#This Row],[ALT_KOD]])+AVERAGEIFS(I:I,D:D,DST_123_ÜRETİM_İHTİYAÇ_RAPORU_BURAK_YENI1309[[#This Row],[ALT_KOD]])+AVERAGEIFS(L:L,D:D,DST_123_ÜRETİM_İHTİYAÇ_RAPORU_BURAK_YENI1309[[#This Row],[ALT_KOD]]))</f>
        <v>0.29999999999999982</v>
      </c>
      <c r="L551">
        <v>0</v>
      </c>
      <c r="M551">
        <f>IF((DST_123_ÜRETİM_İHTİYAÇ_RAPORU_BURAK_YENI1309[[#This Row],[SATINALMA]]*DST_123_ÜRETİM_İHTİYAÇ_RAPORU_BURAK_YENI1309[[#This Row],[BIRIM_FIYATLAR]])&lt;1,VALUE("0"),DST_123_ÜRETİM_İHTİYAÇ_RAPORU_BURAK_YENI1309[[#This Row],[SATINALMA]]*DST_123_ÜRETİM_İHTİYAÇ_RAPORU_BURAK_YENI1309[[#This Row],[BIRIM_FIYATLAR]])</f>
        <v>193.70099999999988</v>
      </c>
      <c r="N551">
        <v>645.66999999999996</v>
      </c>
      <c r="O551" t="s">
        <v>490</v>
      </c>
      <c r="P551">
        <v>32.283499999999997</v>
      </c>
      <c r="Q551" t="s">
        <v>183</v>
      </c>
    </row>
    <row r="552" spans="1:17" x14ac:dyDescent="0.25">
      <c r="A552" t="s">
        <v>1148</v>
      </c>
      <c r="B552" t="s">
        <v>1056</v>
      </c>
      <c r="C552" t="s">
        <v>175</v>
      </c>
      <c r="D552" t="s">
        <v>114</v>
      </c>
      <c r="E552" t="s">
        <v>115</v>
      </c>
      <c r="F552">
        <v>1.9259999999999999</v>
      </c>
      <c r="G552" t="s">
        <v>185</v>
      </c>
      <c r="H552">
        <v>0</v>
      </c>
      <c r="I552">
        <v>0</v>
      </c>
      <c r="J552" s="10">
        <v>65.03100000000002</v>
      </c>
      <c r="K552" s="10">
        <f>SUMIFS(F:F,D:D,DST_123_ÜRETİM_İHTİYAÇ_RAPORU_BURAK_YENI1309[[#This Row],[ALT_KOD]])-(SUMIFS(H:H,D:D,DST_123_ÜRETİM_İHTİYAÇ_RAPORU_BURAK_YENI1309[[#This Row],[ALT_KOD]])+AVERAGEIFS(I:I,D:D,DST_123_ÜRETİM_İHTİYAÇ_RAPORU_BURAK_YENI1309[[#This Row],[ALT_KOD]])+AVERAGEIFS(L:L,D:D,DST_123_ÜRETİM_İHTİYAÇ_RAPORU_BURAK_YENI1309[[#This Row],[ALT_KOD]]))</f>
        <v>17.948</v>
      </c>
      <c r="L552">
        <v>0</v>
      </c>
      <c r="M552">
        <f>IF((DST_123_ÜRETİM_İHTİYAÇ_RAPORU_BURAK_YENI1309[[#This Row],[SATINALMA]]*DST_123_ÜRETİM_İHTİYAÇ_RAPORU_BURAK_YENI1309[[#This Row],[BIRIM_FIYATLAR]])&lt;1,VALUE("0"),DST_123_ÜRETİM_İHTİYAÇ_RAPORU_BURAK_YENI1309[[#This Row],[SATINALMA]]*DST_123_ÜRETİM_İHTİYAÇ_RAPORU_BURAK_YENI1309[[#This Row],[BIRIM_FIYATLAR]])</f>
        <v>6991.2844399999994</v>
      </c>
      <c r="N552">
        <v>389.53</v>
      </c>
      <c r="O552" t="s">
        <v>490</v>
      </c>
      <c r="P552">
        <v>750.23477999999989</v>
      </c>
      <c r="Q552" t="s">
        <v>183</v>
      </c>
    </row>
    <row r="553" spans="1:17" x14ac:dyDescent="0.25">
      <c r="A553" t="s">
        <v>1057</v>
      </c>
      <c r="B553" t="s">
        <v>1058</v>
      </c>
      <c r="C553" t="s">
        <v>175</v>
      </c>
      <c r="D553" t="s">
        <v>996</v>
      </c>
      <c r="E553" t="s">
        <v>997</v>
      </c>
      <c r="F553">
        <v>1</v>
      </c>
      <c r="G553" t="s">
        <v>176</v>
      </c>
      <c r="H553">
        <v>1</v>
      </c>
      <c r="I553">
        <v>10</v>
      </c>
      <c r="J553" s="10">
        <v>2</v>
      </c>
      <c r="K553" s="10">
        <f>SUMIFS(F:F,D:D,DST_123_ÜRETİM_İHTİYAÇ_RAPORU_BURAK_YENI1309[[#This Row],[ALT_KOD]])-(SUMIFS(H:H,D:D,DST_123_ÜRETİM_İHTİYAÇ_RAPORU_BURAK_YENI1309[[#This Row],[ALT_KOD]])+AVERAGEIFS(I:I,D:D,DST_123_ÜRETİM_İHTİYAÇ_RAPORU_BURAK_YENI1309[[#This Row],[ALT_KOD]])+AVERAGEIFS(L:L,D:D,DST_123_ÜRETİM_İHTİYAÇ_RAPORU_BURAK_YENI1309[[#This Row],[ALT_KOD]]))</f>
        <v>-10</v>
      </c>
      <c r="L553">
        <v>0</v>
      </c>
      <c r="M553">
        <f>IF((DST_123_ÜRETİM_İHTİYAÇ_RAPORU_BURAK_YENI1309[[#This Row],[SATINALMA]]*DST_123_ÜRETİM_İHTİYAÇ_RAPORU_BURAK_YENI1309[[#This Row],[BIRIM_FIYATLAR]])&lt;1,VALUE("0"),DST_123_ÜRETİM_İHTİYAÇ_RAPORU_BURAK_YENI1309[[#This Row],[SATINALMA]]*DST_123_ÜRETİM_İHTİYAÇ_RAPORU_BURAK_YENI1309[[#This Row],[BIRIM_FIYATLAR]])</f>
        <v>0</v>
      </c>
      <c r="N553">
        <v>3400</v>
      </c>
      <c r="O553" t="s">
        <v>251</v>
      </c>
      <c r="P553">
        <v>3400</v>
      </c>
      <c r="Q553" t="s">
        <v>178</v>
      </c>
    </row>
    <row r="554" spans="1:17" x14ac:dyDescent="0.25">
      <c r="A554" t="s">
        <v>1064</v>
      </c>
      <c r="B554" t="s">
        <v>1055</v>
      </c>
      <c r="C554" t="s">
        <v>175</v>
      </c>
      <c r="D554" t="s">
        <v>456</v>
      </c>
      <c r="E554" t="s">
        <v>457</v>
      </c>
      <c r="F554">
        <v>70</v>
      </c>
      <c r="G554" t="s">
        <v>176</v>
      </c>
      <c r="H554">
        <v>0</v>
      </c>
      <c r="I554">
        <v>3000</v>
      </c>
      <c r="J554" s="10">
        <v>1138</v>
      </c>
      <c r="K554" s="10">
        <f>SUMIFS(F:F,D:D,DST_123_ÜRETİM_İHTİYAÇ_RAPORU_BURAK_YENI1309[[#This Row],[ALT_KOD]])-(SUMIFS(H:H,D:D,DST_123_ÜRETİM_İHTİYAÇ_RAPORU_BURAK_YENI1309[[#This Row],[ALT_KOD]])+AVERAGEIFS(I:I,D:D,DST_123_ÜRETİM_İHTİYAÇ_RAPORU_BURAK_YENI1309[[#This Row],[ALT_KOD]])+AVERAGEIFS(L:L,D:D,DST_123_ÜRETİM_İHTİYAÇ_RAPORU_BURAK_YENI1309[[#This Row],[ALT_KOD]]))</f>
        <v>-1738</v>
      </c>
      <c r="L554">
        <v>0</v>
      </c>
      <c r="M554">
        <f>IF((DST_123_ÜRETİM_İHTİYAÇ_RAPORU_BURAK_YENI1309[[#This Row],[SATINALMA]]*DST_123_ÜRETİM_İHTİYAÇ_RAPORU_BURAK_YENI1309[[#This Row],[BIRIM_FIYATLAR]])&lt;1,VALUE("0"),DST_123_ÜRETİM_İHTİYAÇ_RAPORU_BURAK_YENI1309[[#This Row],[SATINALMA]]*DST_123_ÜRETİM_İHTİYAÇ_RAPORU_BURAK_YENI1309[[#This Row],[BIRIM_FIYATLAR]])</f>
        <v>0</v>
      </c>
      <c r="N554">
        <v>0.93</v>
      </c>
      <c r="O554" t="s">
        <v>882</v>
      </c>
      <c r="P554">
        <v>65.100000000000009</v>
      </c>
      <c r="Q554" t="s">
        <v>180</v>
      </c>
    </row>
    <row r="555" spans="1:17" x14ac:dyDescent="0.25">
      <c r="A555" t="s">
        <v>1064</v>
      </c>
      <c r="B555" t="s">
        <v>1055</v>
      </c>
      <c r="C555" t="s">
        <v>175</v>
      </c>
      <c r="D555" t="s">
        <v>66</v>
      </c>
      <c r="E555" t="s">
        <v>1229</v>
      </c>
      <c r="F555">
        <v>7</v>
      </c>
      <c r="G555" t="s">
        <v>176</v>
      </c>
      <c r="H555">
        <v>0</v>
      </c>
      <c r="I555">
        <v>0</v>
      </c>
      <c r="J555" s="10">
        <v>128</v>
      </c>
      <c r="K555" s="10">
        <f>SUMIFS(F:F,D:D,DST_123_ÜRETİM_İHTİYAÇ_RAPORU_BURAK_YENI1309[[#This Row],[ALT_KOD]])-(SUMIFS(H:H,D:D,DST_123_ÜRETİM_İHTİYAÇ_RAPORU_BURAK_YENI1309[[#This Row],[ALT_KOD]])+AVERAGEIFS(I:I,D:D,DST_123_ÜRETİM_İHTİYAÇ_RAPORU_BURAK_YENI1309[[#This Row],[ALT_KOD]])+AVERAGEIFS(L:L,D:D,DST_123_ÜRETİM_İHTİYAÇ_RAPORU_BURAK_YENI1309[[#This Row],[ALT_KOD]]))</f>
        <v>70</v>
      </c>
      <c r="L555">
        <v>40</v>
      </c>
      <c r="M555">
        <f>IF((DST_123_ÜRETİM_İHTİYAÇ_RAPORU_BURAK_YENI1309[[#This Row],[SATINALMA]]*DST_123_ÜRETİM_İHTİYAÇ_RAPORU_BURAK_YENI1309[[#This Row],[BIRIM_FIYATLAR]])&lt;1,VALUE("0"),DST_123_ÜRETİM_İHTİYAÇ_RAPORU_BURAK_YENI1309[[#This Row],[SATINALMA]]*DST_123_ÜRETİM_İHTİYAÇ_RAPORU_BURAK_YENI1309[[#This Row],[BIRIM_FIYATLAR]])</f>
        <v>4200</v>
      </c>
      <c r="N555">
        <v>60</v>
      </c>
      <c r="O555" t="s">
        <v>821</v>
      </c>
      <c r="P555">
        <v>420</v>
      </c>
      <c r="Q555" t="s">
        <v>180</v>
      </c>
    </row>
    <row r="556" spans="1:17" x14ac:dyDescent="0.25">
      <c r="A556" t="s">
        <v>1196</v>
      </c>
      <c r="B556" t="s">
        <v>1197</v>
      </c>
      <c r="C556" t="s">
        <v>175</v>
      </c>
      <c r="D556" t="s">
        <v>913</v>
      </c>
      <c r="E556" t="s">
        <v>914</v>
      </c>
      <c r="F556">
        <v>3</v>
      </c>
      <c r="G556" t="s">
        <v>179</v>
      </c>
      <c r="H556">
        <v>0</v>
      </c>
      <c r="I556">
        <v>100</v>
      </c>
      <c r="J556" s="10">
        <v>26</v>
      </c>
      <c r="K556" s="10">
        <f>SUMIFS(F:F,D:D,DST_123_ÜRETİM_İHTİYAÇ_RAPORU_BURAK_YENI1309[[#This Row],[ALT_KOD]])-(SUMIFS(H:H,D:D,DST_123_ÜRETİM_İHTİYAÇ_RAPORU_BURAK_YENI1309[[#This Row],[ALT_KOD]])+AVERAGEIFS(I:I,D:D,DST_123_ÜRETİM_İHTİYAÇ_RAPORU_BURAK_YENI1309[[#This Row],[ALT_KOD]])+AVERAGEIFS(L:L,D:D,DST_123_ÜRETİM_İHTİYAÇ_RAPORU_BURAK_YENI1309[[#This Row],[ALT_KOD]]))</f>
        <v>-85</v>
      </c>
      <c r="L556">
        <v>0</v>
      </c>
      <c r="M556">
        <f>IF((DST_123_ÜRETİM_İHTİYAÇ_RAPORU_BURAK_YENI1309[[#This Row],[SATINALMA]]*DST_123_ÜRETİM_İHTİYAÇ_RAPORU_BURAK_YENI1309[[#This Row],[BIRIM_FIYATLAR]])&lt;1,VALUE("0"),DST_123_ÜRETİM_İHTİYAÇ_RAPORU_BURAK_YENI1309[[#This Row],[SATINALMA]]*DST_123_ÜRETİM_İHTİYAÇ_RAPORU_BURAK_YENI1309[[#This Row],[BIRIM_FIYATLAR]])</f>
        <v>0</v>
      </c>
      <c r="N556">
        <v>49.1</v>
      </c>
      <c r="O556" t="s">
        <v>826</v>
      </c>
      <c r="P556">
        <v>147.30000000000001</v>
      </c>
      <c r="Q556" t="s">
        <v>221</v>
      </c>
    </row>
    <row r="557" spans="1:17" x14ac:dyDescent="0.25">
      <c r="A557" t="s">
        <v>1142</v>
      </c>
      <c r="B557" t="s">
        <v>1056</v>
      </c>
      <c r="C557" t="s">
        <v>175</v>
      </c>
      <c r="D557" t="s">
        <v>42</v>
      </c>
      <c r="E557" t="s">
        <v>43</v>
      </c>
      <c r="F557">
        <v>33</v>
      </c>
      <c r="G557" t="s">
        <v>176</v>
      </c>
      <c r="H557">
        <v>0</v>
      </c>
      <c r="I557">
        <v>2800</v>
      </c>
      <c r="J557" s="10">
        <v>2439</v>
      </c>
      <c r="K557" s="10">
        <f>SUMIFS(F:F,D:D,DST_123_ÜRETİM_İHTİYAÇ_RAPORU_BURAK_YENI1309[[#This Row],[ALT_KOD]])-(SUMIFS(H:H,D:D,DST_123_ÜRETİM_İHTİYAÇ_RAPORU_BURAK_YENI1309[[#This Row],[ALT_KOD]])+AVERAGEIFS(I:I,D:D,DST_123_ÜRETİM_İHTİYAÇ_RAPORU_BURAK_YENI1309[[#This Row],[ALT_KOD]])+AVERAGEIFS(L:L,D:D,DST_123_ÜRETİM_İHTİYAÇ_RAPORU_BURAK_YENI1309[[#This Row],[ALT_KOD]]))</f>
        <v>-1645</v>
      </c>
      <c r="L557">
        <v>0</v>
      </c>
      <c r="M557">
        <f>IF((DST_123_ÜRETİM_İHTİYAÇ_RAPORU_BURAK_YENI1309[[#This Row],[SATINALMA]]*DST_123_ÜRETİM_İHTİYAÇ_RAPORU_BURAK_YENI1309[[#This Row],[BIRIM_FIYATLAR]])&lt;1,VALUE("0"),DST_123_ÜRETİM_İHTİYAÇ_RAPORU_BURAK_YENI1309[[#This Row],[SATINALMA]]*DST_123_ÜRETİM_İHTİYAÇ_RAPORU_BURAK_YENI1309[[#This Row],[BIRIM_FIYATLAR]])</f>
        <v>0</v>
      </c>
      <c r="N557">
        <v>0.18</v>
      </c>
      <c r="O557" t="s">
        <v>240</v>
      </c>
      <c r="P557">
        <v>5.9399999999999995</v>
      </c>
      <c r="Q557" t="s">
        <v>180</v>
      </c>
    </row>
    <row r="558" spans="1:17" x14ac:dyDescent="0.25">
      <c r="A558" t="s">
        <v>1142</v>
      </c>
      <c r="B558" t="s">
        <v>1056</v>
      </c>
      <c r="C558" t="s">
        <v>175</v>
      </c>
      <c r="D558" t="s">
        <v>44</v>
      </c>
      <c r="E558" t="s">
        <v>45</v>
      </c>
      <c r="F558">
        <v>14</v>
      </c>
      <c r="G558" t="s">
        <v>176</v>
      </c>
      <c r="H558">
        <v>0</v>
      </c>
      <c r="I558">
        <v>170</v>
      </c>
      <c r="J558" s="10">
        <v>18</v>
      </c>
      <c r="K558" s="10">
        <f>SUMIFS(F:F,D:D,DST_123_ÜRETİM_İHTİYAÇ_RAPORU_BURAK_YENI1309[[#This Row],[ALT_KOD]])-(SUMIFS(H:H,D:D,DST_123_ÜRETİM_İHTİYAÇ_RAPORU_BURAK_YENI1309[[#This Row],[ALT_KOD]])+AVERAGEIFS(I:I,D:D,DST_123_ÜRETİM_İHTİYAÇ_RAPORU_BURAK_YENI1309[[#This Row],[ALT_KOD]])+AVERAGEIFS(L:L,D:D,DST_123_ÜRETİM_İHTİYAÇ_RAPORU_BURAK_YENI1309[[#This Row],[ALT_KOD]]))</f>
        <v>124</v>
      </c>
      <c r="L558">
        <v>0</v>
      </c>
      <c r="M558">
        <f>IF((DST_123_ÜRETİM_İHTİYAÇ_RAPORU_BURAK_YENI1309[[#This Row],[SATINALMA]]*DST_123_ÜRETİM_İHTİYAÇ_RAPORU_BURAK_YENI1309[[#This Row],[BIRIM_FIYATLAR]])&lt;1,VALUE("0"),DST_123_ÜRETİM_İHTİYAÇ_RAPORU_BURAK_YENI1309[[#This Row],[SATINALMA]]*DST_123_ÜRETİM_İHTİYAÇ_RAPORU_BURAK_YENI1309[[#This Row],[BIRIM_FIYATLAR]])</f>
        <v>2046</v>
      </c>
      <c r="N558">
        <v>16.5</v>
      </c>
      <c r="O558" t="s">
        <v>240</v>
      </c>
      <c r="P558">
        <v>231</v>
      </c>
      <c r="Q558" t="s">
        <v>180</v>
      </c>
    </row>
    <row r="559" spans="1:17" x14ac:dyDescent="0.25">
      <c r="A559" t="s">
        <v>1097</v>
      </c>
      <c r="B559" t="s">
        <v>1055</v>
      </c>
      <c r="C559" t="s">
        <v>175</v>
      </c>
      <c r="D559" t="s">
        <v>44</v>
      </c>
      <c r="E559" t="s">
        <v>45</v>
      </c>
      <c r="F559">
        <v>18</v>
      </c>
      <c r="G559" t="s">
        <v>176</v>
      </c>
      <c r="H559">
        <v>0</v>
      </c>
      <c r="I559">
        <v>170</v>
      </c>
      <c r="J559" s="10">
        <v>18</v>
      </c>
      <c r="K559" s="10">
        <f>SUMIFS(F:F,D:D,DST_123_ÜRETİM_İHTİYAÇ_RAPORU_BURAK_YENI1309[[#This Row],[ALT_KOD]])-(SUMIFS(H:H,D:D,DST_123_ÜRETİM_İHTİYAÇ_RAPORU_BURAK_YENI1309[[#This Row],[ALT_KOD]])+AVERAGEIFS(I:I,D:D,DST_123_ÜRETİM_İHTİYAÇ_RAPORU_BURAK_YENI1309[[#This Row],[ALT_KOD]])+AVERAGEIFS(L:L,D:D,DST_123_ÜRETİM_İHTİYAÇ_RAPORU_BURAK_YENI1309[[#This Row],[ALT_KOD]]))</f>
        <v>124</v>
      </c>
      <c r="L559">
        <v>0</v>
      </c>
      <c r="M559">
        <f>IF((DST_123_ÜRETİM_İHTİYAÇ_RAPORU_BURAK_YENI1309[[#This Row],[SATINALMA]]*DST_123_ÜRETİM_İHTİYAÇ_RAPORU_BURAK_YENI1309[[#This Row],[BIRIM_FIYATLAR]])&lt;1,VALUE("0"),DST_123_ÜRETİM_İHTİYAÇ_RAPORU_BURAK_YENI1309[[#This Row],[SATINALMA]]*DST_123_ÜRETİM_İHTİYAÇ_RAPORU_BURAK_YENI1309[[#This Row],[BIRIM_FIYATLAR]])</f>
        <v>2046</v>
      </c>
      <c r="N559">
        <v>16.5</v>
      </c>
      <c r="O559" t="s">
        <v>240</v>
      </c>
      <c r="P559">
        <v>297</v>
      </c>
      <c r="Q559" t="s">
        <v>180</v>
      </c>
    </row>
    <row r="560" spans="1:17" x14ac:dyDescent="0.25">
      <c r="A560" t="s">
        <v>1143</v>
      </c>
      <c r="B560" t="s">
        <v>1056</v>
      </c>
      <c r="C560" t="s">
        <v>175</v>
      </c>
      <c r="D560" t="s">
        <v>44</v>
      </c>
      <c r="E560" t="s">
        <v>45</v>
      </c>
      <c r="F560">
        <v>18</v>
      </c>
      <c r="G560" t="s">
        <v>176</v>
      </c>
      <c r="H560">
        <v>0</v>
      </c>
      <c r="I560">
        <v>170</v>
      </c>
      <c r="J560" s="10">
        <v>18</v>
      </c>
      <c r="K560" s="10">
        <f>SUMIFS(F:F,D:D,DST_123_ÜRETİM_İHTİYAÇ_RAPORU_BURAK_YENI1309[[#This Row],[ALT_KOD]])-(SUMIFS(H:H,D:D,DST_123_ÜRETİM_İHTİYAÇ_RAPORU_BURAK_YENI1309[[#This Row],[ALT_KOD]])+AVERAGEIFS(I:I,D:D,DST_123_ÜRETİM_İHTİYAÇ_RAPORU_BURAK_YENI1309[[#This Row],[ALT_KOD]])+AVERAGEIFS(L:L,D:D,DST_123_ÜRETİM_İHTİYAÇ_RAPORU_BURAK_YENI1309[[#This Row],[ALT_KOD]]))</f>
        <v>124</v>
      </c>
      <c r="L560">
        <v>0</v>
      </c>
      <c r="M560">
        <f>IF((DST_123_ÜRETİM_İHTİYAÇ_RAPORU_BURAK_YENI1309[[#This Row],[SATINALMA]]*DST_123_ÜRETİM_İHTİYAÇ_RAPORU_BURAK_YENI1309[[#This Row],[BIRIM_FIYATLAR]])&lt;1,VALUE("0"),DST_123_ÜRETİM_İHTİYAÇ_RAPORU_BURAK_YENI1309[[#This Row],[SATINALMA]]*DST_123_ÜRETİM_İHTİYAÇ_RAPORU_BURAK_YENI1309[[#This Row],[BIRIM_FIYATLAR]])</f>
        <v>2046</v>
      </c>
      <c r="N560">
        <v>16.5</v>
      </c>
      <c r="O560" t="s">
        <v>240</v>
      </c>
      <c r="P560">
        <v>297</v>
      </c>
      <c r="Q560" t="s">
        <v>180</v>
      </c>
    </row>
    <row r="561" spans="1:17" x14ac:dyDescent="0.25">
      <c r="A561" t="s">
        <v>1142</v>
      </c>
      <c r="B561" t="s">
        <v>1056</v>
      </c>
      <c r="C561" t="s">
        <v>175</v>
      </c>
      <c r="D561" t="s">
        <v>651</v>
      </c>
      <c r="E561" t="s">
        <v>652</v>
      </c>
      <c r="F561">
        <v>25</v>
      </c>
      <c r="G561" t="s">
        <v>176</v>
      </c>
      <c r="H561">
        <v>0</v>
      </c>
      <c r="I561">
        <v>776</v>
      </c>
      <c r="J561" s="10">
        <v>367</v>
      </c>
      <c r="K561" s="10">
        <f>SUMIFS(F:F,D:D,DST_123_ÜRETİM_İHTİYAÇ_RAPORU_BURAK_YENI1309[[#This Row],[ALT_KOD]])-(SUMIFS(H:H,D:D,DST_123_ÜRETİM_İHTİYAÇ_RAPORU_BURAK_YENI1309[[#This Row],[ALT_KOD]])+AVERAGEIFS(I:I,D:D,DST_123_ÜRETİM_İHTİYAÇ_RAPORU_BURAK_YENI1309[[#This Row],[ALT_KOD]])+AVERAGEIFS(L:L,D:D,DST_123_ÜRETİM_İHTİYAÇ_RAPORU_BURAK_YENI1309[[#This Row],[ALT_KOD]]))</f>
        <v>-308</v>
      </c>
      <c r="L561">
        <v>0</v>
      </c>
      <c r="M561">
        <f>IF((DST_123_ÜRETİM_İHTİYAÇ_RAPORU_BURAK_YENI1309[[#This Row],[SATINALMA]]*DST_123_ÜRETİM_İHTİYAÇ_RAPORU_BURAK_YENI1309[[#This Row],[BIRIM_FIYATLAR]])&lt;1,VALUE("0"),DST_123_ÜRETİM_İHTİYAÇ_RAPORU_BURAK_YENI1309[[#This Row],[SATINALMA]]*DST_123_ÜRETİM_İHTİYAÇ_RAPORU_BURAK_YENI1309[[#This Row],[BIRIM_FIYATLAR]])</f>
        <v>0</v>
      </c>
      <c r="N561">
        <v>3.46</v>
      </c>
      <c r="O561" t="s">
        <v>882</v>
      </c>
      <c r="P561">
        <v>86.5</v>
      </c>
      <c r="Q561" t="s">
        <v>180</v>
      </c>
    </row>
    <row r="562" spans="1:17" x14ac:dyDescent="0.25">
      <c r="A562" t="s">
        <v>1149</v>
      </c>
      <c r="B562" t="s">
        <v>1145</v>
      </c>
      <c r="C562" t="s">
        <v>175</v>
      </c>
      <c r="D562" t="s">
        <v>42</v>
      </c>
      <c r="E562" t="s">
        <v>43</v>
      </c>
      <c r="F562">
        <v>33</v>
      </c>
      <c r="G562" t="s">
        <v>176</v>
      </c>
      <c r="H562">
        <v>0</v>
      </c>
      <c r="I562">
        <v>2800</v>
      </c>
      <c r="J562" s="10">
        <v>2439</v>
      </c>
      <c r="K562" s="10">
        <f>SUMIFS(F:F,D:D,DST_123_ÜRETİM_İHTİYAÇ_RAPORU_BURAK_YENI1309[[#This Row],[ALT_KOD]])-(SUMIFS(H:H,D:D,DST_123_ÜRETİM_İHTİYAÇ_RAPORU_BURAK_YENI1309[[#This Row],[ALT_KOD]])+AVERAGEIFS(I:I,D:D,DST_123_ÜRETİM_İHTİYAÇ_RAPORU_BURAK_YENI1309[[#This Row],[ALT_KOD]])+AVERAGEIFS(L:L,D:D,DST_123_ÜRETİM_İHTİYAÇ_RAPORU_BURAK_YENI1309[[#This Row],[ALT_KOD]]))</f>
        <v>-1645</v>
      </c>
      <c r="L562">
        <v>0</v>
      </c>
      <c r="M562">
        <f>IF((DST_123_ÜRETİM_İHTİYAÇ_RAPORU_BURAK_YENI1309[[#This Row],[SATINALMA]]*DST_123_ÜRETİM_İHTİYAÇ_RAPORU_BURAK_YENI1309[[#This Row],[BIRIM_FIYATLAR]])&lt;1,VALUE("0"),DST_123_ÜRETİM_İHTİYAÇ_RAPORU_BURAK_YENI1309[[#This Row],[SATINALMA]]*DST_123_ÜRETİM_İHTİYAÇ_RAPORU_BURAK_YENI1309[[#This Row],[BIRIM_FIYATLAR]])</f>
        <v>0</v>
      </c>
      <c r="N562">
        <v>0.18</v>
      </c>
      <c r="O562" t="s">
        <v>240</v>
      </c>
      <c r="P562">
        <v>5.9399999999999995</v>
      </c>
      <c r="Q562" t="s">
        <v>180</v>
      </c>
    </row>
    <row r="563" spans="1:17" x14ac:dyDescent="0.25">
      <c r="A563" t="s">
        <v>1149</v>
      </c>
      <c r="B563" t="s">
        <v>1145</v>
      </c>
      <c r="C563" t="s">
        <v>175</v>
      </c>
      <c r="D563" t="s">
        <v>44</v>
      </c>
      <c r="E563" t="s">
        <v>45</v>
      </c>
      <c r="F563">
        <v>14</v>
      </c>
      <c r="G563" t="s">
        <v>176</v>
      </c>
      <c r="H563">
        <v>0</v>
      </c>
      <c r="I563">
        <v>170</v>
      </c>
      <c r="J563" s="10">
        <v>18</v>
      </c>
      <c r="K563" s="10">
        <f>SUMIFS(F:F,D:D,DST_123_ÜRETİM_İHTİYAÇ_RAPORU_BURAK_YENI1309[[#This Row],[ALT_KOD]])-(SUMIFS(H:H,D:D,DST_123_ÜRETİM_İHTİYAÇ_RAPORU_BURAK_YENI1309[[#This Row],[ALT_KOD]])+AVERAGEIFS(I:I,D:D,DST_123_ÜRETİM_İHTİYAÇ_RAPORU_BURAK_YENI1309[[#This Row],[ALT_KOD]])+AVERAGEIFS(L:L,D:D,DST_123_ÜRETİM_İHTİYAÇ_RAPORU_BURAK_YENI1309[[#This Row],[ALT_KOD]]))</f>
        <v>124</v>
      </c>
      <c r="L563">
        <v>0</v>
      </c>
      <c r="M563">
        <f>IF((DST_123_ÜRETİM_İHTİYAÇ_RAPORU_BURAK_YENI1309[[#This Row],[SATINALMA]]*DST_123_ÜRETİM_İHTİYAÇ_RAPORU_BURAK_YENI1309[[#This Row],[BIRIM_FIYATLAR]])&lt;1,VALUE("0"),DST_123_ÜRETİM_İHTİYAÇ_RAPORU_BURAK_YENI1309[[#This Row],[SATINALMA]]*DST_123_ÜRETİM_İHTİYAÇ_RAPORU_BURAK_YENI1309[[#This Row],[BIRIM_FIYATLAR]])</f>
        <v>2046</v>
      </c>
      <c r="N563">
        <v>16.5</v>
      </c>
      <c r="O563" t="s">
        <v>240</v>
      </c>
      <c r="P563">
        <v>231</v>
      </c>
      <c r="Q563" t="s">
        <v>180</v>
      </c>
    </row>
    <row r="564" spans="1:17" x14ac:dyDescent="0.25">
      <c r="A564" t="s">
        <v>1149</v>
      </c>
      <c r="B564" t="s">
        <v>1145</v>
      </c>
      <c r="C564" t="s">
        <v>175</v>
      </c>
      <c r="D564" t="s">
        <v>48</v>
      </c>
      <c r="E564" t="s">
        <v>49</v>
      </c>
      <c r="F564">
        <v>2</v>
      </c>
      <c r="G564" t="s">
        <v>176</v>
      </c>
      <c r="H564">
        <v>0</v>
      </c>
      <c r="I564">
        <v>21</v>
      </c>
      <c r="J564" s="10">
        <v>30</v>
      </c>
      <c r="K564" s="10">
        <f>SUMIFS(F:F,D:D,DST_123_ÜRETİM_İHTİYAÇ_RAPORU_BURAK_YENI1309[[#This Row],[ALT_KOD]])-(SUMIFS(H:H,D:D,DST_123_ÜRETİM_İHTİYAÇ_RAPORU_BURAK_YENI1309[[#This Row],[ALT_KOD]])+AVERAGEIFS(I:I,D:D,DST_123_ÜRETİM_İHTİYAÇ_RAPORU_BURAK_YENI1309[[#This Row],[ALT_KOD]])+AVERAGEIFS(L:L,D:D,DST_123_ÜRETİM_İHTİYAÇ_RAPORU_BURAK_YENI1309[[#This Row],[ALT_KOD]]))</f>
        <v>1</v>
      </c>
      <c r="L564">
        <v>0</v>
      </c>
      <c r="M564">
        <f>IF((DST_123_ÜRETİM_İHTİYAÇ_RAPORU_BURAK_YENI1309[[#This Row],[SATINALMA]]*DST_123_ÜRETİM_İHTİYAÇ_RAPORU_BURAK_YENI1309[[#This Row],[BIRIM_FIYATLAR]])&lt;1,VALUE("0"),DST_123_ÜRETİM_İHTİYAÇ_RAPORU_BURAK_YENI1309[[#This Row],[SATINALMA]]*DST_123_ÜRETİM_İHTİYAÇ_RAPORU_BURAK_YENI1309[[#This Row],[BIRIM_FIYATLAR]])</f>
        <v>42</v>
      </c>
      <c r="N564">
        <v>42</v>
      </c>
      <c r="O564" t="s">
        <v>245</v>
      </c>
      <c r="P564">
        <v>84</v>
      </c>
      <c r="Q564" t="s">
        <v>180</v>
      </c>
    </row>
    <row r="565" spans="1:17" x14ac:dyDescent="0.25">
      <c r="A565" t="s">
        <v>1149</v>
      </c>
      <c r="B565" t="s">
        <v>1145</v>
      </c>
      <c r="C565" t="s">
        <v>175</v>
      </c>
      <c r="D565" t="s">
        <v>355</v>
      </c>
      <c r="E565" t="s">
        <v>356</v>
      </c>
      <c r="F565">
        <v>16</v>
      </c>
      <c r="G565" t="s">
        <v>176</v>
      </c>
      <c r="H565">
        <v>0</v>
      </c>
      <c r="I565">
        <v>4822</v>
      </c>
      <c r="J565" s="10">
        <v>811</v>
      </c>
      <c r="K565" s="10">
        <f>SUMIFS(F:F,D:D,DST_123_ÜRETİM_İHTİYAÇ_RAPORU_BURAK_YENI1309[[#This Row],[ALT_KOD]])-(SUMIFS(H:H,D:D,DST_123_ÜRETİM_İHTİYAÇ_RAPORU_BURAK_YENI1309[[#This Row],[ALT_KOD]])+AVERAGEIFS(I:I,D:D,DST_123_ÜRETİM_İHTİYAÇ_RAPORU_BURAK_YENI1309[[#This Row],[ALT_KOD]])+AVERAGEIFS(L:L,D:D,DST_123_ÜRETİM_İHTİYAÇ_RAPORU_BURAK_YENI1309[[#This Row],[ALT_KOD]]))</f>
        <v>-4638</v>
      </c>
      <c r="L565">
        <v>0</v>
      </c>
      <c r="M565">
        <f>IF((DST_123_ÜRETİM_İHTİYAÇ_RAPORU_BURAK_YENI1309[[#This Row],[SATINALMA]]*DST_123_ÜRETİM_İHTİYAÇ_RAPORU_BURAK_YENI1309[[#This Row],[BIRIM_FIYATLAR]])&lt;1,VALUE("0"),DST_123_ÜRETİM_İHTİYAÇ_RAPORU_BURAK_YENI1309[[#This Row],[SATINALMA]]*DST_123_ÜRETİM_İHTİYAÇ_RAPORU_BURAK_YENI1309[[#This Row],[BIRIM_FIYATLAR]])</f>
        <v>0</v>
      </c>
      <c r="N565">
        <v>0.3</v>
      </c>
      <c r="O565" t="s">
        <v>240</v>
      </c>
      <c r="P565">
        <v>4.8</v>
      </c>
      <c r="Q565" t="s">
        <v>180</v>
      </c>
    </row>
    <row r="566" spans="1:17" x14ac:dyDescent="0.25">
      <c r="A566" t="s">
        <v>1149</v>
      </c>
      <c r="B566" t="s">
        <v>1145</v>
      </c>
      <c r="C566" t="s">
        <v>175</v>
      </c>
      <c r="D566" t="s">
        <v>651</v>
      </c>
      <c r="E566" t="s">
        <v>652</v>
      </c>
      <c r="F566">
        <v>25</v>
      </c>
      <c r="G566" t="s">
        <v>176</v>
      </c>
      <c r="H566">
        <v>0</v>
      </c>
      <c r="I566">
        <v>776</v>
      </c>
      <c r="J566" s="10">
        <v>367</v>
      </c>
      <c r="K566" s="10">
        <f>SUMIFS(F:F,D:D,DST_123_ÜRETİM_İHTİYAÇ_RAPORU_BURAK_YENI1309[[#This Row],[ALT_KOD]])-(SUMIFS(H:H,D:D,DST_123_ÜRETİM_İHTİYAÇ_RAPORU_BURAK_YENI1309[[#This Row],[ALT_KOD]])+AVERAGEIFS(I:I,D:D,DST_123_ÜRETİM_İHTİYAÇ_RAPORU_BURAK_YENI1309[[#This Row],[ALT_KOD]])+AVERAGEIFS(L:L,D:D,DST_123_ÜRETİM_İHTİYAÇ_RAPORU_BURAK_YENI1309[[#This Row],[ALT_KOD]]))</f>
        <v>-308</v>
      </c>
      <c r="L566">
        <v>0</v>
      </c>
      <c r="M566">
        <f>IF((DST_123_ÜRETİM_İHTİYAÇ_RAPORU_BURAK_YENI1309[[#This Row],[SATINALMA]]*DST_123_ÜRETİM_İHTİYAÇ_RAPORU_BURAK_YENI1309[[#This Row],[BIRIM_FIYATLAR]])&lt;1,VALUE("0"),DST_123_ÜRETİM_İHTİYAÇ_RAPORU_BURAK_YENI1309[[#This Row],[SATINALMA]]*DST_123_ÜRETİM_İHTİYAÇ_RAPORU_BURAK_YENI1309[[#This Row],[BIRIM_FIYATLAR]])</f>
        <v>0</v>
      </c>
      <c r="N566">
        <v>3.46</v>
      </c>
      <c r="O566" t="s">
        <v>882</v>
      </c>
      <c r="P566">
        <v>86.5</v>
      </c>
      <c r="Q566" t="s">
        <v>180</v>
      </c>
    </row>
    <row r="567" spans="1:17" x14ac:dyDescent="0.25">
      <c r="A567" t="s">
        <v>1146</v>
      </c>
      <c r="B567" t="s">
        <v>1145</v>
      </c>
      <c r="C567" t="s">
        <v>175</v>
      </c>
      <c r="D567" t="s">
        <v>651</v>
      </c>
      <c r="E567" t="s">
        <v>652</v>
      </c>
      <c r="F567">
        <v>25</v>
      </c>
      <c r="G567" t="s">
        <v>176</v>
      </c>
      <c r="H567">
        <v>0</v>
      </c>
      <c r="I567">
        <v>776</v>
      </c>
      <c r="J567" s="10">
        <v>367</v>
      </c>
      <c r="K567" s="10">
        <f>SUMIFS(F:F,D:D,DST_123_ÜRETİM_İHTİYAÇ_RAPORU_BURAK_YENI1309[[#This Row],[ALT_KOD]])-(SUMIFS(H:H,D:D,DST_123_ÜRETİM_İHTİYAÇ_RAPORU_BURAK_YENI1309[[#This Row],[ALT_KOD]])+AVERAGEIFS(I:I,D:D,DST_123_ÜRETİM_İHTİYAÇ_RAPORU_BURAK_YENI1309[[#This Row],[ALT_KOD]])+AVERAGEIFS(L:L,D:D,DST_123_ÜRETİM_İHTİYAÇ_RAPORU_BURAK_YENI1309[[#This Row],[ALT_KOD]]))</f>
        <v>-308</v>
      </c>
      <c r="L567">
        <v>0</v>
      </c>
      <c r="M567">
        <f>IF((DST_123_ÜRETİM_İHTİYAÇ_RAPORU_BURAK_YENI1309[[#This Row],[SATINALMA]]*DST_123_ÜRETİM_İHTİYAÇ_RAPORU_BURAK_YENI1309[[#This Row],[BIRIM_FIYATLAR]])&lt;1,VALUE("0"),DST_123_ÜRETİM_İHTİYAÇ_RAPORU_BURAK_YENI1309[[#This Row],[SATINALMA]]*DST_123_ÜRETİM_İHTİYAÇ_RAPORU_BURAK_YENI1309[[#This Row],[BIRIM_FIYATLAR]])</f>
        <v>0</v>
      </c>
      <c r="N567">
        <v>3.46</v>
      </c>
      <c r="O567" t="s">
        <v>882</v>
      </c>
      <c r="P567">
        <v>86.5</v>
      </c>
      <c r="Q567" t="s">
        <v>180</v>
      </c>
    </row>
    <row r="568" spans="1:17" x14ac:dyDescent="0.25">
      <c r="A568" t="s">
        <v>1144</v>
      </c>
      <c r="B568" t="s">
        <v>1145</v>
      </c>
      <c r="C568" t="s">
        <v>175</v>
      </c>
      <c r="D568" t="s">
        <v>384</v>
      </c>
      <c r="E568" t="s">
        <v>385</v>
      </c>
      <c r="F568">
        <v>37</v>
      </c>
      <c r="G568" t="s">
        <v>176</v>
      </c>
      <c r="H568">
        <v>0</v>
      </c>
      <c r="I568">
        <v>495</v>
      </c>
      <c r="J568" s="10">
        <v>146</v>
      </c>
      <c r="K568" s="10">
        <f>SUMIFS(F:F,D:D,DST_123_ÜRETİM_İHTİYAÇ_RAPORU_BURAK_YENI1309[[#This Row],[ALT_KOD]])-(SUMIFS(H:H,D:D,DST_123_ÜRETİM_İHTİYAÇ_RAPORU_BURAK_YENI1309[[#This Row],[ALT_KOD]])+AVERAGEIFS(I:I,D:D,DST_123_ÜRETİM_İHTİYAÇ_RAPORU_BURAK_YENI1309[[#This Row],[ALT_KOD]])+AVERAGEIFS(L:L,D:D,DST_123_ÜRETİM_İHTİYAÇ_RAPORU_BURAK_YENI1309[[#This Row],[ALT_KOD]]))</f>
        <v>-22</v>
      </c>
      <c r="L568">
        <v>0</v>
      </c>
      <c r="M568">
        <f>IF((DST_123_ÜRETİM_İHTİYAÇ_RAPORU_BURAK_YENI1309[[#This Row],[SATINALMA]]*DST_123_ÜRETİM_İHTİYAÇ_RAPORU_BURAK_YENI1309[[#This Row],[BIRIM_FIYATLAR]])&lt;1,VALUE("0"),DST_123_ÜRETİM_İHTİYAÇ_RAPORU_BURAK_YENI1309[[#This Row],[SATINALMA]]*DST_123_ÜRETİM_İHTİYAÇ_RAPORU_BURAK_YENI1309[[#This Row],[BIRIM_FIYATLAR]])</f>
        <v>0</v>
      </c>
      <c r="N568">
        <v>3.75</v>
      </c>
      <c r="O568" t="s">
        <v>628</v>
      </c>
      <c r="P568">
        <v>138.75</v>
      </c>
      <c r="Q568" t="s">
        <v>180</v>
      </c>
    </row>
    <row r="569" spans="1:17" x14ac:dyDescent="0.25">
      <c r="A569" t="s">
        <v>1144</v>
      </c>
      <c r="B569" t="s">
        <v>1145</v>
      </c>
      <c r="C569" t="s">
        <v>175</v>
      </c>
      <c r="D569" t="s">
        <v>651</v>
      </c>
      <c r="E569" t="s">
        <v>652</v>
      </c>
      <c r="F569">
        <v>31</v>
      </c>
      <c r="G569" t="s">
        <v>176</v>
      </c>
      <c r="H569">
        <v>0</v>
      </c>
      <c r="I569">
        <v>776</v>
      </c>
      <c r="J569" s="10">
        <v>367</v>
      </c>
      <c r="K569" s="10">
        <f>SUMIFS(F:F,D:D,DST_123_ÜRETİM_İHTİYAÇ_RAPORU_BURAK_YENI1309[[#This Row],[ALT_KOD]])-(SUMIFS(H:H,D:D,DST_123_ÜRETİM_İHTİYAÇ_RAPORU_BURAK_YENI1309[[#This Row],[ALT_KOD]])+AVERAGEIFS(I:I,D:D,DST_123_ÜRETİM_İHTİYAÇ_RAPORU_BURAK_YENI1309[[#This Row],[ALT_KOD]])+AVERAGEIFS(L:L,D:D,DST_123_ÜRETİM_İHTİYAÇ_RAPORU_BURAK_YENI1309[[#This Row],[ALT_KOD]]))</f>
        <v>-308</v>
      </c>
      <c r="L569">
        <v>0</v>
      </c>
      <c r="M569">
        <f>IF((DST_123_ÜRETİM_İHTİYAÇ_RAPORU_BURAK_YENI1309[[#This Row],[SATINALMA]]*DST_123_ÜRETİM_İHTİYAÇ_RAPORU_BURAK_YENI1309[[#This Row],[BIRIM_FIYATLAR]])&lt;1,VALUE("0"),DST_123_ÜRETİM_İHTİYAÇ_RAPORU_BURAK_YENI1309[[#This Row],[SATINALMA]]*DST_123_ÜRETİM_İHTİYAÇ_RAPORU_BURAK_YENI1309[[#This Row],[BIRIM_FIYATLAR]])</f>
        <v>0</v>
      </c>
      <c r="N569">
        <v>3.46</v>
      </c>
      <c r="O569" t="s">
        <v>882</v>
      </c>
      <c r="P569">
        <v>107.26</v>
      </c>
      <c r="Q569" t="s">
        <v>180</v>
      </c>
    </row>
    <row r="570" spans="1:17" x14ac:dyDescent="0.25">
      <c r="A570" t="s">
        <v>1150</v>
      </c>
      <c r="B570" t="s">
        <v>1145</v>
      </c>
      <c r="C570" t="s">
        <v>175</v>
      </c>
      <c r="D570" t="s">
        <v>384</v>
      </c>
      <c r="E570" t="s">
        <v>385</v>
      </c>
      <c r="F570">
        <v>37</v>
      </c>
      <c r="G570" t="s">
        <v>176</v>
      </c>
      <c r="H570">
        <v>0</v>
      </c>
      <c r="I570">
        <v>495</v>
      </c>
      <c r="J570" s="10">
        <v>146</v>
      </c>
      <c r="K570" s="10">
        <f>SUMIFS(F:F,D:D,DST_123_ÜRETİM_İHTİYAÇ_RAPORU_BURAK_YENI1309[[#This Row],[ALT_KOD]])-(SUMIFS(H:H,D:D,DST_123_ÜRETİM_İHTİYAÇ_RAPORU_BURAK_YENI1309[[#This Row],[ALT_KOD]])+AVERAGEIFS(I:I,D:D,DST_123_ÜRETİM_İHTİYAÇ_RAPORU_BURAK_YENI1309[[#This Row],[ALT_KOD]])+AVERAGEIFS(L:L,D:D,DST_123_ÜRETİM_İHTİYAÇ_RAPORU_BURAK_YENI1309[[#This Row],[ALT_KOD]]))</f>
        <v>-22</v>
      </c>
      <c r="L570">
        <v>0</v>
      </c>
      <c r="M570">
        <f>IF((DST_123_ÜRETİM_İHTİYAÇ_RAPORU_BURAK_YENI1309[[#This Row],[SATINALMA]]*DST_123_ÜRETİM_İHTİYAÇ_RAPORU_BURAK_YENI1309[[#This Row],[BIRIM_FIYATLAR]])&lt;1,VALUE("0"),DST_123_ÜRETİM_İHTİYAÇ_RAPORU_BURAK_YENI1309[[#This Row],[SATINALMA]]*DST_123_ÜRETİM_İHTİYAÇ_RAPORU_BURAK_YENI1309[[#This Row],[BIRIM_FIYATLAR]])</f>
        <v>0</v>
      </c>
      <c r="N570">
        <v>3.75</v>
      </c>
      <c r="O570" t="s">
        <v>628</v>
      </c>
      <c r="P570">
        <v>138.75</v>
      </c>
      <c r="Q570" t="s">
        <v>180</v>
      </c>
    </row>
    <row r="571" spans="1:17" x14ac:dyDescent="0.25">
      <c r="A571" t="s">
        <v>1098</v>
      </c>
      <c r="B571" t="s">
        <v>1096</v>
      </c>
      <c r="C571" t="s">
        <v>175</v>
      </c>
      <c r="D571" t="s">
        <v>44</v>
      </c>
      <c r="E571" t="s">
        <v>45</v>
      </c>
      <c r="F571">
        <v>18</v>
      </c>
      <c r="G571" t="s">
        <v>176</v>
      </c>
      <c r="H571">
        <v>0</v>
      </c>
      <c r="I571">
        <v>170</v>
      </c>
      <c r="J571" s="10">
        <v>18</v>
      </c>
      <c r="K571" s="10">
        <f>SUMIFS(F:F,D:D,DST_123_ÜRETİM_İHTİYAÇ_RAPORU_BURAK_YENI1309[[#This Row],[ALT_KOD]])-(SUMIFS(H:H,D:D,DST_123_ÜRETİM_İHTİYAÇ_RAPORU_BURAK_YENI1309[[#This Row],[ALT_KOD]])+AVERAGEIFS(I:I,D:D,DST_123_ÜRETİM_İHTİYAÇ_RAPORU_BURAK_YENI1309[[#This Row],[ALT_KOD]])+AVERAGEIFS(L:L,D:D,DST_123_ÜRETİM_İHTİYAÇ_RAPORU_BURAK_YENI1309[[#This Row],[ALT_KOD]]))</f>
        <v>124</v>
      </c>
      <c r="L571">
        <v>0</v>
      </c>
      <c r="M571">
        <f>IF((DST_123_ÜRETİM_İHTİYAÇ_RAPORU_BURAK_YENI1309[[#This Row],[SATINALMA]]*DST_123_ÜRETİM_İHTİYAÇ_RAPORU_BURAK_YENI1309[[#This Row],[BIRIM_FIYATLAR]])&lt;1,VALUE("0"),DST_123_ÜRETİM_İHTİYAÇ_RAPORU_BURAK_YENI1309[[#This Row],[SATINALMA]]*DST_123_ÜRETİM_İHTİYAÇ_RAPORU_BURAK_YENI1309[[#This Row],[BIRIM_FIYATLAR]])</f>
        <v>2046</v>
      </c>
      <c r="N571">
        <v>16.5</v>
      </c>
      <c r="O571" t="s">
        <v>240</v>
      </c>
      <c r="P571">
        <v>297</v>
      </c>
      <c r="Q571" t="s">
        <v>180</v>
      </c>
    </row>
    <row r="572" spans="1:17" x14ac:dyDescent="0.25">
      <c r="A572" t="s">
        <v>1098</v>
      </c>
      <c r="B572" t="s">
        <v>1096</v>
      </c>
      <c r="C572" t="s">
        <v>175</v>
      </c>
      <c r="D572" t="s">
        <v>651</v>
      </c>
      <c r="E572" t="s">
        <v>652</v>
      </c>
      <c r="F572">
        <v>25</v>
      </c>
      <c r="G572" t="s">
        <v>176</v>
      </c>
      <c r="H572">
        <v>0</v>
      </c>
      <c r="I572">
        <v>776</v>
      </c>
      <c r="J572" s="10">
        <v>367</v>
      </c>
      <c r="K572" s="10">
        <f>SUMIFS(F:F,D:D,DST_123_ÜRETİM_İHTİYAÇ_RAPORU_BURAK_YENI1309[[#This Row],[ALT_KOD]])-(SUMIFS(H:H,D:D,DST_123_ÜRETİM_İHTİYAÇ_RAPORU_BURAK_YENI1309[[#This Row],[ALT_KOD]])+AVERAGEIFS(I:I,D:D,DST_123_ÜRETİM_İHTİYAÇ_RAPORU_BURAK_YENI1309[[#This Row],[ALT_KOD]])+AVERAGEIFS(L:L,D:D,DST_123_ÜRETİM_İHTİYAÇ_RAPORU_BURAK_YENI1309[[#This Row],[ALT_KOD]]))</f>
        <v>-308</v>
      </c>
      <c r="L572">
        <v>0</v>
      </c>
      <c r="M572">
        <f>IF((DST_123_ÜRETİM_İHTİYAÇ_RAPORU_BURAK_YENI1309[[#This Row],[SATINALMA]]*DST_123_ÜRETİM_İHTİYAÇ_RAPORU_BURAK_YENI1309[[#This Row],[BIRIM_FIYATLAR]])&lt;1,VALUE("0"),DST_123_ÜRETİM_İHTİYAÇ_RAPORU_BURAK_YENI1309[[#This Row],[SATINALMA]]*DST_123_ÜRETİM_İHTİYAÇ_RAPORU_BURAK_YENI1309[[#This Row],[BIRIM_FIYATLAR]])</f>
        <v>0</v>
      </c>
      <c r="N572">
        <v>3.46</v>
      </c>
      <c r="O572" t="s">
        <v>882</v>
      </c>
      <c r="P572">
        <v>86.5</v>
      </c>
      <c r="Q572" t="s">
        <v>180</v>
      </c>
    </row>
    <row r="573" spans="1:17" x14ac:dyDescent="0.25">
      <c r="A573" t="s">
        <v>1057</v>
      </c>
      <c r="B573" t="s">
        <v>1058</v>
      </c>
      <c r="C573" t="s">
        <v>175</v>
      </c>
      <c r="D573" t="s">
        <v>915</v>
      </c>
      <c r="E573" t="s">
        <v>916</v>
      </c>
      <c r="F573">
        <v>3</v>
      </c>
      <c r="G573" t="s">
        <v>179</v>
      </c>
      <c r="H573">
        <v>0</v>
      </c>
      <c r="I573">
        <v>100</v>
      </c>
      <c r="J573" s="10">
        <v>26</v>
      </c>
      <c r="K573" s="10">
        <f>SUMIFS(F:F,D:D,DST_123_ÜRETİM_İHTİYAÇ_RAPORU_BURAK_YENI1309[[#This Row],[ALT_KOD]])-(SUMIFS(H:H,D:D,DST_123_ÜRETİM_İHTİYAÇ_RAPORU_BURAK_YENI1309[[#This Row],[ALT_KOD]])+AVERAGEIFS(I:I,D:D,DST_123_ÜRETİM_İHTİYAÇ_RAPORU_BURAK_YENI1309[[#This Row],[ALT_KOD]])+AVERAGEIFS(L:L,D:D,DST_123_ÜRETİM_İHTİYAÇ_RAPORU_BURAK_YENI1309[[#This Row],[ALT_KOD]]))</f>
        <v>-85</v>
      </c>
      <c r="L573">
        <v>0</v>
      </c>
      <c r="M573">
        <f>IF((DST_123_ÜRETİM_İHTİYAÇ_RAPORU_BURAK_YENI1309[[#This Row],[SATINALMA]]*DST_123_ÜRETİM_İHTİYAÇ_RAPORU_BURAK_YENI1309[[#This Row],[BIRIM_FIYATLAR]])&lt;1,VALUE("0"),DST_123_ÜRETİM_İHTİYAÇ_RAPORU_BURAK_YENI1309[[#This Row],[SATINALMA]]*DST_123_ÜRETİM_İHTİYAÇ_RAPORU_BURAK_YENI1309[[#This Row],[BIRIM_FIYATLAR]])</f>
        <v>0</v>
      </c>
      <c r="N573">
        <v>49.1</v>
      </c>
      <c r="O573" t="s">
        <v>826</v>
      </c>
      <c r="P573">
        <v>147.30000000000001</v>
      </c>
      <c r="Q573" t="s">
        <v>221</v>
      </c>
    </row>
    <row r="574" spans="1:17" x14ac:dyDescent="0.25">
      <c r="A574" t="s">
        <v>1057</v>
      </c>
      <c r="B574" t="s">
        <v>1058</v>
      </c>
      <c r="C574" t="s">
        <v>175</v>
      </c>
      <c r="D574" t="s">
        <v>42</v>
      </c>
      <c r="E574" t="s">
        <v>43</v>
      </c>
      <c r="F574">
        <v>143</v>
      </c>
      <c r="G574" t="s">
        <v>176</v>
      </c>
      <c r="H574">
        <v>0</v>
      </c>
      <c r="I574">
        <v>2800</v>
      </c>
      <c r="J574" s="10">
        <v>2439</v>
      </c>
      <c r="K574" s="10">
        <f>SUMIFS(F:F,D:D,DST_123_ÜRETİM_İHTİYAÇ_RAPORU_BURAK_YENI1309[[#This Row],[ALT_KOD]])-(SUMIFS(H:H,D:D,DST_123_ÜRETİM_İHTİYAÇ_RAPORU_BURAK_YENI1309[[#This Row],[ALT_KOD]])+AVERAGEIFS(I:I,D:D,DST_123_ÜRETİM_İHTİYAÇ_RAPORU_BURAK_YENI1309[[#This Row],[ALT_KOD]])+AVERAGEIFS(L:L,D:D,DST_123_ÜRETİM_İHTİYAÇ_RAPORU_BURAK_YENI1309[[#This Row],[ALT_KOD]]))</f>
        <v>-1645</v>
      </c>
      <c r="L574">
        <v>0</v>
      </c>
      <c r="M574">
        <f>IF((DST_123_ÜRETİM_İHTİYAÇ_RAPORU_BURAK_YENI1309[[#This Row],[SATINALMA]]*DST_123_ÜRETİM_İHTİYAÇ_RAPORU_BURAK_YENI1309[[#This Row],[BIRIM_FIYATLAR]])&lt;1,VALUE("0"),DST_123_ÜRETİM_İHTİYAÇ_RAPORU_BURAK_YENI1309[[#This Row],[SATINALMA]]*DST_123_ÜRETİM_İHTİYAÇ_RAPORU_BURAK_YENI1309[[#This Row],[BIRIM_FIYATLAR]])</f>
        <v>0</v>
      </c>
      <c r="N574">
        <v>0.18</v>
      </c>
      <c r="O574" t="s">
        <v>240</v>
      </c>
      <c r="P574">
        <v>25.74</v>
      </c>
      <c r="Q574" t="s">
        <v>180</v>
      </c>
    </row>
    <row r="575" spans="1:17" x14ac:dyDescent="0.25">
      <c r="A575" t="s">
        <v>1101</v>
      </c>
      <c r="B575" t="s">
        <v>1102</v>
      </c>
      <c r="C575" t="s">
        <v>175</v>
      </c>
      <c r="D575" t="s">
        <v>44</v>
      </c>
      <c r="E575" t="s">
        <v>45</v>
      </c>
      <c r="F575">
        <v>14</v>
      </c>
      <c r="G575" t="s">
        <v>176</v>
      </c>
      <c r="H575">
        <v>0</v>
      </c>
      <c r="I575">
        <v>170</v>
      </c>
      <c r="J575" s="10">
        <v>18</v>
      </c>
      <c r="K575" s="10">
        <f>SUMIFS(F:F,D:D,DST_123_ÜRETİM_İHTİYAÇ_RAPORU_BURAK_YENI1309[[#This Row],[ALT_KOD]])-(SUMIFS(H:H,D:D,DST_123_ÜRETİM_İHTİYAÇ_RAPORU_BURAK_YENI1309[[#This Row],[ALT_KOD]])+AVERAGEIFS(I:I,D:D,DST_123_ÜRETİM_İHTİYAÇ_RAPORU_BURAK_YENI1309[[#This Row],[ALT_KOD]])+AVERAGEIFS(L:L,D:D,DST_123_ÜRETİM_İHTİYAÇ_RAPORU_BURAK_YENI1309[[#This Row],[ALT_KOD]]))</f>
        <v>124</v>
      </c>
      <c r="L575">
        <v>0</v>
      </c>
      <c r="M575">
        <f>IF((DST_123_ÜRETİM_İHTİYAÇ_RAPORU_BURAK_YENI1309[[#This Row],[SATINALMA]]*DST_123_ÜRETİM_İHTİYAÇ_RAPORU_BURAK_YENI1309[[#This Row],[BIRIM_FIYATLAR]])&lt;1,VALUE("0"),DST_123_ÜRETİM_İHTİYAÇ_RAPORU_BURAK_YENI1309[[#This Row],[SATINALMA]]*DST_123_ÜRETİM_İHTİYAÇ_RAPORU_BURAK_YENI1309[[#This Row],[BIRIM_FIYATLAR]])</f>
        <v>2046</v>
      </c>
      <c r="N575">
        <v>16.5</v>
      </c>
      <c r="O575" t="s">
        <v>240</v>
      </c>
      <c r="P575">
        <v>231</v>
      </c>
      <c r="Q575" t="s">
        <v>180</v>
      </c>
    </row>
    <row r="576" spans="1:17" x14ac:dyDescent="0.25">
      <c r="A576" t="s">
        <v>1057</v>
      </c>
      <c r="B576" t="s">
        <v>1058</v>
      </c>
      <c r="C576" t="s">
        <v>175</v>
      </c>
      <c r="D576" t="s">
        <v>44</v>
      </c>
      <c r="E576" t="s">
        <v>45</v>
      </c>
      <c r="F576">
        <v>14</v>
      </c>
      <c r="G576" t="s">
        <v>176</v>
      </c>
      <c r="H576">
        <v>0</v>
      </c>
      <c r="I576">
        <v>170</v>
      </c>
      <c r="J576" s="10">
        <v>18</v>
      </c>
      <c r="K576" s="10">
        <f>SUMIFS(F:F,D:D,DST_123_ÜRETİM_İHTİYAÇ_RAPORU_BURAK_YENI1309[[#This Row],[ALT_KOD]])-(SUMIFS(H:H,D:D,DST_123_ÜRETİM_İHTİYAÇ_RAPORU_BURAK_YENI1309[[#This Row],[ALT_KOD]])+AVERAGEIFS(I:I,D:D,DST_123_ÜRETİM_İHTİYAÇ_RAPORU_BURAK_YENI1309[[#This Row],[ALT_KOD]])+AVERAGEIFS(L:L,D:D,DST_123_ÜRETİM_İHTİYAÇ_RAPORU_BURAK_YENI1309[[#This Row],[ALT_KOD]]))</f>
        <v>124</v>
      </c>
      <c r="L576">
        <v>0</v>
      </c>
      <c r="M576">
        <f>IF((DST_123_ÜRETİM_İHTİYAÇ_RAPORU_BURAK_YENI1309[[#This Row],[SATINALMA]]*DST_123_ÜRETİM_İHTİYAÇ_RAPORU_BURAK_YENI1309[[#This Row],[BIRIM_FIYATLAR]])&lt;1,VALUE("0"),DST_123_ÜRETİM_İHTİYAÇ_RAPORU_BURAK_YENI1309[[#This Row],[SATINALMA]]*DST_123_ÜRETİM_İHTİYAÇ_RAPORU_BURAK_YENI1309[[#This Row],[BIRIM_FIYATLAR]])</f>
        <v>2046</v>
      </c>
      <c r="N576">
        <v>16.5</v>
      </c>
      <c r="O576" t="s">
        <v>240</v>
      </c>
      <c r="P576">
        <v>231</v>
      </c>
      <c r="Q576" t="s">
        <v>180</v>
      </c>
    </row>
    <row r="577" spans="1:17" x14ac:dyDescent="0.25">
      <c r="A577" s="14" t="s">
        <v>1064</v>
      </c>
      <c r="B577" s="14" t="s">
        <v>1055</v>
      </c>
      <c r="C577" t="s">
        <v>175</v>
      </c>
      <c r="D577" s="14" t="s">
        <v>42</v>
      </c>
      <c r="E577" s="14" t="s">
        <v>43</v>
      </c>
      <c r="F577" s="14">
        <v>68</v>
      </c>
      <c r="G577" s="14" t="s">
        <v>176</v>
      </c>
      <c r="H577">
        <v>0</v>
      </c>
      <c r="I577">
        <v>2800</v>
      </c>
      <c r="J577" s="10">
        <v>2439</v>
      </c>
      <c r="K577" s="10">
        <f>SUMIFS(F:F,D:D,DST_123_ÜRETİM_İHTİYAÇ_RAPORU_BURAK_YENI1309[[#This Row],[ALT_KOD]])-(SUMIFS(H:H,D:D,DST_123_ÜRETİM_İHTİYAÇ_RAPORU_BURAK_YENI1309[[#This Row],[ALT_KOD]])+AVERAGEIFS(I:I,D:D,DST_123_ÜRETİM_İHTİYAÇ_RAPORU_BURAK_YENI1309[[#This Row],[ALT_KOD]])+AVERAGEIFS(L:L,D:D,DST_123_ÜRETİM_İHTİYAÇ_RAPORU_BURAK_YENI1309[[#This Row],[ALT_KOD]]))</f>
        <v>-1645</v>
      </c>
      <c r="L577">
        <v>0</v>
      </c>
      <c r="M577">
        <f>IF((DST_123_ÜRETİM_İHTİYAÇ_RAPORU_BURAK_YENI1309[[#This Row],[SATINALMA]]*DST_123_ÜRETİM_İHTİYAÇ_RAPORU_BURAK_YENI1309[[#This Row],[BIRIM_FIYATLAR]])&lt;1,VALUE("0"),DST_123_ÜRETİM_İHTİYAÇ_RAPORU_BURAK_YENI1309[[#This Row],[SATINALMA]]*DST_123_ÜRETİM_İHTİYAÇ_RAPORU_BURAK_YENI1309[[#This Row],[BIRIM_FIYATLAR]])</f>
        <v>0</v>
      </c>
      <c r="N577">
        <v>0.18</v>
      </c>
      <c r="O577" t="s">
        <v>240</v>
      </c>
      <c r="P577">
        <v>12.24</v>
      </c>
      <c r="Q577" t="s">
        <v>180</v>
      </c>
    </row>
    <row r="578" spans="1:17" x14ac:dyDescent="0.25">
      <c r="A578" t="s">
        <v>1064</v>
      </c>
      <c r="B578" t="s">
        <v>1055</v>
      </c>
      <c r="C578" t="s">
        <v>175</v>
      </c>
      <c r="D578" t="s">
        <v>44</v>
      </c>
      <c r="E578" t="s">
        <v>45</v>
      </c>
      <c r="F578">
        <v>18</v>
      </c>
      <c r="G578" t="s">
        <v>176</v>
      </c>
      <c r="H578">
        <v>0</v>
      </c>
      <c r="I578">
        <v>170</v>
      </c>
      <c r="J578" s="10">
        <v>18</v>
      </c>
      <c r="K578" s="10">
        <f>SUMIFS(F:F,D:D,DST_123_ÜRETİM_İHTİYAÇ_RAPORU_BURAK_YENI1309[[#This Row],[ALT_KOD]])-(SUMIFS(H:H,D:D,DST_123_ÜRETİM_İHTİYAÇ_RAPORU_BURAK_YENI1309[[#This Row],[ALT_KOD]])+AVERAGEIFS(I:I,D:D,DST_123_ÜRETİM_İHTİYAÇ_RAPORU_BURAK_YENI1309[[#This Row],[ALT_KOD]])+AVERAGEIFS(L:L,D:D,DST_123_ÜRETİM_İHTİYAÇ_RAPORU_BURAK_YENI1309[[#This Row],[ALT_KOD]]))</f>
        <v>124</v>
      </c>
      <c r="L578">
        <v>0</v>
      </c>
      <c r="M578">
        <f>IF((DST_123_ÜRETİM_İHTİYAÇ_RAPORU_BURAK_YENI1309[[#This Row],[SATINALMA]]*DST_123_ÜRETİM_İHTİYAÇ_RAPORU_BURAK_YENI1309[[#This Row],[BIRIM_FIYATLAR]])&lt;1,VALUE("0"),DST_123_ÜRETİM_İHTİYAÇ_RAPORU_BURAK_YENI1309[[#This Row],[SATINALMA]]*DST_123_ÜRETİM_İHTİYAÇ_RAPORU_BURAK_YENI1309[[#This Row],[BIRIM_FIYATLAR]])</f>
        <v>2046</v>
      </c>
      <c r="N578">
        <v>16.5</v>
      </c>
      <c r="O578" t="s">
        <v>240</v>
      </c>
      <c r="P578">
        <v>297</v>
      </c>
      <c r="Q578" t="s">
        <v>180</v>
      </c>
    </row>
    <row r="579" spans="1:17" x14ac:dyDescent="0.25">
      <c r="A579" t="s">
        <v>1064</v>
      </c>
      <c r="B579" t="s">
        <v>1055</v>
      </c>
      <c r="C579" t="s">
        <v>175</v>
      </c>
      <c r="D579" t="s">
        <v>651</v>
      </c>
      <c r="E579" t="s">
        <v>652</v>
      </c>
      <c r="F579">
        <v>25</v>
      </c>
      <c r="G579" t="s">
        <v>176</v>
      </c>
      <c r="H579">
        <v>0</v>
      </c>
      <c r="I579">
        <v>776</v>
      </c>
      <c r="J579" s="10">
        <v>367</v>
      </c>
      <c r="K579" s="10">
        <f>SUMIFS(F:F,D:D,DST_123_ÜRETİM_İHTİYAÇ_RAPORU_BURAK_YENI1309[[#This Row],[ALT_KOD]])-(SUMIFS(H:H,D:D,DST_123_ÜRETİM_İHTİYAÇ_RAPORU_BURAK_YENI1309[[#This Row],[ALT_KOD]])+AVERAGEIFS(I:I,D:D,DST_123_ÜRETİM_İHTİYAÇ_RAPORU_BURAK_YENI1309[[#This Row],[ALT_KOD]])+AVERAGEIFS(L:L,D:D,DST_123_ÜRETİM_İHTİYAÇ_RAPORU_BURAK_YENI1309[[#This Row],[ALT_KOD]]))</f>
        <v>-308</v>
      </c>
      <c r="L579">
        <v>0</v>
      </c>
      <c r="M579">
        <f>IF((DST_123_ÜRETİM_İHTİYAÇ_RAPORU_BURAK_YENI1309[[#This Row],[SATINALMA]]*DST_123_ÜRETİM_İHTİYAÇ_RAPORU_BURAK_YENI1309[[#This Row],[BIRIM_FIYATLAR]])&lt;1,VALUE("0"),DST_123_ÜRETİM_İHTİYAÇ_RAPORU_BURAK_YENI1309[[#This Row],[SATINALMA]]*DST_123_ÜRETİM_İHTİYAÇ_RAPORU_BURAK_YENI1309[[#This Row],[BIRIM_FIYATLAR]])</f>
        <v>0</v>
      </c>
      <c r="N579">
        <v>3.46</v>
      </c>
      <c r="O579" t="s">
        <v>882</v>
      </c>
      <c r="P579">
        <v>86.5</v>
      </c>
      <c r="Q579" t="s">
        <v>180</v>
      </c>
    </row>
    <row r="580" spans="1:17" x14ac:dyDescent="0.25">
      <c r="A580" t="s">
        <v>1064</v>
      </c>
      <c r="B580" t="s">
        <v>1055</v>
      </c>
      <c r="C580" t="s">
        <v>175</v>
      </c>
      <c r="D580" t="s">
        <v>384</v>
      </c>
      <c r="E580" t="s">
        <v>385</v>
      </c>
      <c r="F580">
        <v>20</v>
      </c>
      <c r="G580" t="s">
        <v>176</v>
      </c>
      <c r="H580">
        <v>0</v>
      </c>
      <c r="I580">
        <v>495</v>
      </c>
      <c r="J580" s="10">
        <v>146</v>
      </c>
      <c r="K580" s="10">
        <f>SUMIFS(F:F,D:D,DST_123_ÜRETİM_İHTİYAÇ_RAPORU_BURAK_YENI1309[[#This Row],[ALT_KOD]])-(SUMIFS(H:H,D:D,DST_123_ÜRETİM_İHTİYAÇ_RAPORU_BURAK_YENI1309[[#This Row],[ALT_KOD]])+AVERAGEIFS(I:I,D:D,DST_123_ÜRETİM_İHTİYAÇ_RAPORU_BURAK_YENI1309[[#This Row],[ALT_KOD]])+AVERAGEIFS(L:L,D:D,DST_123_ÜRETİM_İHTİYAÇ_RAPORU_BURAK_YENI1309[[#This Row],[ALT_KOD]]))</f>
        <v>-22</v>
      </c>
      <c r="L580">
        <v>0</v>
      </c>
      <c r="M580">
        <f>IF((DST_123_ÜRETİM_İHTİYAÇ_RAPORU_BURAK_YENI1309[[#This Row],[SATINALMA]]*DST_123_ÜRETİM_İHTİYAÇ_RAPORU_BURAK_YENI1309[[#This Row],[BIRIM_FIYATLAR]])&lt;1,VALUE("0"),DST_123_ÜRETİM_İHTİYAÇ_RAPORU_BURAK_YENI1309[[#This Row],[SATINALMA]]*DST_123_ÜRETİM_İHTİYAÇ_RAPORU_BURAK_YENI1309[[#This Row],[BIRIM_FIYATLAR]])</f>
        <v>0</v>
      </c>
      <c r="N580">
        <v>3.75</v>
      </c>
      <c r="O580" t="s">
        <v>628</v>
      </c>
      <c r="P580">
        <v>75</v>
      </c>
      <c r="Q580" t="s">
        <v>180</v>
      </c>
    </row>
    <row r="581" spans="1:17" x14ac:dyDescent="0.25">
      <c r="A581" t="s">
        <v>1099</v>
      </c>
      <c r="B581" t="s">
        <v>1055</v>
      </c>
      <c r="C581" t="s">
        <v>175</v>
      </c>
      <c r="D581" t="s">
        <v>384</v>
      </c>
      <c r="E581" t="s">
        <v>385</v>
      </c>
      <c r="F581">
        <v>16</v>
      </c>
      <c r="G581" t="s">
        <v>176</v>
      </c>
      <c r="H581">
        <v>0</v>
      </c>
      <c r="I581">
        <v>495</v>
      </c>
      <c r="J581" s="10">
        <v>146</v>
      </c>
      <c r="K581" s="10">
        <f>SUMIFS(F:F,D:D,DST_123_ÜRETİM_İHTİYAÇ_RAPORU_BURAK_YENI1309[[#This Row],[ALT_KOD]])-(SUMIFS(H:H,D:D,DST_123_ÜRETİM_İHTİYAÇ_RAPORU_BURAK_YENI1309[[#This Row],[ALT_KOD]])+AVERAGEIFS(I:I,D:D,DST_123_ÜRETİM_İHTİYAÇ_RAPORU_BURAK_YENI1309[[#This Row],[ALT_KOD]])+AVERAGEIFS(L:L,D:D,DST_123_ÜRETİM_İHTİYAÇ_RAPORU_BURAK_YENI1309[[#This Row],[ALT_KOD]]))</f>
        <v>-22</v>
      </c>
      <c r="L581">
        <v>0</v>
      </c>
      <c r="M581">
        <f>IF((DST_123_ÜRETİM_İHTİYAÇ_RAPORU_BURAK_YENI1309[[#This Row],[SATINALMA]]*DST_123_ÜRETİM_İHTİYAÇ_RAPORU_BURAK_YENI1309[[#This Row],[BIRIM_FIYATLAR]])&lt;1,VALUE("0"),DST_123_ÜRETİM_İHTİYAÇ_RAPORU_BURAK_YENI1309[[#This Row],[SATINALMA]]*DST_123_ÜRETİM_İHTİYAÇ_RAPORU_BURAK_YENI1309[[#This Row],[BIRIM_FIYATLAR]])</f>
        <v>0</v>
      </c>
      <c r="N581">
        <v>3.75</v>
      </c>
      <c r="O581" t="s">
        <v>628</v>
      </c>
      <c r="P581">
        <v>60</v>
      </c>
      <c r="Q581" t="s">
        <v>180</v>
      </c>
    </row>
    <row r="582" spans="1:17" x14ac:dyDescent="0.25">
      <c r="A582" t="s">
        <v>1064</v>
      </c>
      <c r="B582" t="s">
        <v>1055</v>
      </c>
      <c r="C582" t="s">
        <v>175</v>
      </c>
      <c r="D582" t="s">
        <v>394</v>
      </c>
      <c r="E582" t="s">
        <v>395</v>
      </c>
      <c r="F582">
        <v>1</v>
      </c>
      <c r="G582" t="s">
        <v>176</v>
      </c>
      <c r="H582">
        <v>0</v>
      </c>
      <c r="I582">
        <v>6</v>
      </c>
      <c r="J582" s="10">
        <v>14.000000000000005</v>
      </c>
      <c r="K582" s="10">
        <f>SUMIFS(F:F,D:D,DST_123_ÜRETİM_İHTİYAÇ_RAPORU_BURAK_YENI1309[[#This Row],[ALT_KOD]])-(SUMIFS(H:H,D:D,DST_123_ÜRETİM_İHTİYAÇ_RAPORU_BURAK_YENI1309[[#This Row],[ALT_KOD]])+AVERAGEIFS(I:I,D:D,DST_123_ÜRETİM_İHTİYAÇ_RAPORU_BURAK_YENI1309[[#This Row],[ALT_KOD]])+AVERAGEIFS(L:L,D:D,DST_123_ÜRETİM_İHTİYAÇ_RAPORU_BURAK_YENI1309[[#This Row],[ALT_KOD]]))</f>
        <v>28.1</v>
      </c>
      <c r="L582">
        <v>0</v>
      </c>
      <c r="M582">
        <f>IF((DST_123_ÜRETİM_İHTİYAÇ_RAPORU_BURAK_YENI1309[[#This Row],[SATINALMA]]*DST_123_ÜRETİM_İHTİYAÇ_RAPORU_BURAK_YENI1309[[#This Row],[BIRIM_FIYATLAR]])&lt;1,VALUE("0"),DST_123_ÜRETİM_İHTİYAÇ_RAPORU_BURAK_YENI1309[[#This Row],[SATINALMA]]*DST_123_ÜRETİM_İHTİYAÇ_RAPORU_BURAK_YENI1309[[#This Row],[BIRIM_FIYATLAR]])</f>
        <v>4097.8230000000003</v>
      </c>
      <c r="N582">
        <v>145.83000000000001</v>
      </c>
      <c r="O582" t="s">
        <v>628</v>
      </c>
      <c r="P582">
        <v>145.83000000000001</v>
      </c>
      <c r="Q582" t="s">
        <v>183</v>
      </c>
    </row>
    <row r="583" spans="1:17" x14ac:dyDescent="0.25">
      <c r="A583" t="s">
        <v>1196</v>
      </c>
      <c r="B583" t="s">
        <v>1197</v>
      </c>
      <c r="C583" t="s">
        <v>175</v>
      </c>
      <c r="D583" t="s">
        <v>394</v>
      </c>
      <c r="E583" t="s">
        <v>395</v>
      </c>
      <c r="F583">
        <v>3.1</v>
      </c>
      <c r="G583" t="s">
        <v>176</v>
      </c>
      <c r="H583">
        <v>0</v>
      </c>
      <c r="I583">
        <v>6</v>
      </c>
      <c r="J583" s="10">
        <v>14.000000000000005</v>
      </c>
      <c r="K583" s="10">
        <f>SUMIFS(F:F,D:D,DST_123_ÜRETİM_İHTİYAÇ_RAPORU_BURAK_YENI1309[[#This Row],[ALT_KOD]])-(SUMIFS(H:H,D:D,DST_123_ÜRETİM_İHTİYAÇ_RAPORU_BURAK_YENI1309[[#This Row],[ALT_KOD]])+AVERAGEIFS(I:I,D:D,DST_123_ÜRETİM_İHTİYAÇ_RAPORU_BURAK_YENI1309[[#This Row],[ALT_KOD]])+AVERAGEIFS(L:L,D:D,DST_123_ÜRETİM_İHTİYAÇ_RAPORU_BURAK_YENI1309[[#This Row],[ALT_KOD]]))</f>
        <v>28.1</v>
      </c>
      <c r="L583">
        <v>0</v>
      </c>
      <c r="M583">
        <f>IF((DST_123_ÜRETİM_İHTİYAÇ_RAPORU_BURAK_YENI1309[[#This Row],[SATINALMA]]*DST_123_ÜRETİM_İHTİYAÇ_RAPORU_BURAK_YENI1309[[#This Row],[BIRIM_FIYATLAR]])&lt;1,VALUE("0"),DST_123_ÜRETİM_İHTİYAÇ_RAPORU_BURAK_YENI1309[[#This Row],[SATINALMA]]*DST_123_ÜRETİM_İHTİYAÇ_RAPORU_BURAK_YENI1309[[#This Row],[BIRIM_FIYATLAR]])</f>
        <v>4097.8230000000003</v>
      </c>
      <c r="N583">
        <v>145.83000000000001</v>
      </c>
      <c r="O583" t="s">
        <v>628</v>
      </c>
      <c r="P583">
        <v>452.07300000000004</v>
      </c>
      <c r="Q583" t="s">
        <v>183</v>
      </c>
    </row>
    <row r="584" spans="1:17" x14ac:dyDescent="0.25">
      <c r="A584" t="s">
        <v>1099</v>
      </c>
      <c r="B584" t="s">
        <v>1055</v>
      </c>
      <c r="C584" t="s">
        <v>175</v>
      </c>
      <c r="D584" t="s">
        <v>394</v>
      </c>
      <c r="E584" t="s">
        <v>395</v>
      </c>
      <c r="F584">
        <v>2</v>
      </c>
      <c r="G584" t="s">
        <v>176</v>
      </c>
      <c r="H584">
        <v>0</v>
      </c>
      <c r="I584">
        <v>6</v>
      </c>
      <c r="J584" s="10">
        <v>14.000000000000005</v>
      </c>
      <c r="K584" s="10">
        <f>SUMIFS(F:F,D:D,DST_123_ÜRETİM_İHTİYAÇ_RAPORU_BURAK_YENI1309[[#This Row],[ALT_KOD]])-(SUMIFS(H:H,D:D,DST_123_ÜRETİM_İHTİYAÇ_RAPORU_BURAK_YENI1309[[#This Row],[ALT_KOD]])+AVERAGEIFS(I:I,D:D,DST_123_ÜRETİM_İHTİYAÇ_RAPORU_BURAK_YENI1309[[#This Row],[ALT_KOD]])+AVERAGEIFS(L:L,D:D,DST_123_ÜRETİM_İHTİYAÇ_RAPORU_BURAK_YENI1309[[#This Row],[ALT_KOD]]))</f>
        <v>28.1</v>
      </c>
      <c r="L584">
        <v>0</v>
      </c>
      <c r="M584">
        <f>IF((DST_123_ÜRETİM_İHTİYAÇ_RAPORU_BURAK_YENI1309[[#This Row],[SATINALMA]]*DST_123_ÜRETİM_İHTİYAÇ_RAPORU_BURAK_YENI1309[[#This Row],[BIRIM_FIYATLAR]])&lt;1,VALUE("0"),DST_123_ÜRETİM_İHTİYAÇ_RAPORU_BURAK_YENI1309[[#This Row],[SATINALMA]]*DST_123_ÜRETİM_İHTİYAÇ_RAPORU_BURAK_YENI1309[[#This Row],[BIRIM_FIYATLAR]])</f>
        <v>4097.8230000000003</v>
      </c>
      <c r="N584">
        <v>145.83000000000001</v>
      </c>
      <c r="O584" t="s">
        <v>628</v>
      </c>
      <c r="P584">
        <v>291.66000000000003</v>
      </c>
      <c r="Q584" t="s">
        <v>183</v>
      </c>
    </row>
    <row r="585" spans="1:17" x14ac:dyDescent="0.25">
      <c r="A585" t="s">
        <v>1064</v>
      </c>
      <c r="B585" t="s">
        <v>1055</v>
      </c>
      <c r="C585" t="s">
        <v>175</v>
      </c>
      <c r="D585" t="s">
        <v>809</v>
      </c>
      <c r="E585" t="s">
        <v>810</v>
      </c>
      <c r="F585">
        <v>4</v>
      </c>
      <c r="G585" t="s">
        <v>176</v>
      </c>
      <c r="H585">
        <v>0</v>
      </c>
      <c r="I585">
        <v>200</v>
      </c>
      <c r="J585" s="10">
        <v>180</v>
      </c>
      <c r="K585" s="10">
        <f>SUMIFS(F:F,D:D,DST_123_ÜRETİM_İHTİYAÇ_RAPORU_BURAK_YENI1309[[#This Row],[ALT_KOD]])-(SUMIFS(H:H,D:D,DST_123_ÜRETİM_İHTİYAÇ_RAPORU_BURAK_YENI1309[[#This Row],[ALT_KOD]])+AVERAGEIFS(I:I,D:D,DST_123_ÜRETİM_İHTİYAÇ_RAPORU_BURAK_YENI1309[[#This Row],[ALT_KOD]])+AVERAGEIFS(L:L,D:D,DST_123_ÜRETİM_İHTİYAÇ_RAPORU_BURAK_YENI1309[[#This Row],[ALT_KOD]]))</f>
        <v>-184</v>
      </c>
      <c r="L585">
        <v>0</v>
      </c>
      <c r="M585">
        <f>IF((DST_123_ÜRETİM_İHTİYAÇ_RAPORU_BURAK_YENI1309[[#This Row],[SATINALMA]]*DST_123_ÜRETİM_İHTİYAÇ_RAPORU_BURAK_YENI1309[[#This Row],[BIRIM_FIYATLAR]])&lt;1,VALUE("0"),DST_123_ÜRETİM_İHTİYAÇ_RAPORU_BURAK_YENI1309[[#This Row],[SATINALMA]]*DST_123_ÜRETİM_İHTİYAÇ_RAPORU_BURAK_YENI1309[[#This Row],[BIRIM_FIYATLAR]])</f>
        <v>0</v>
      </c>
      <c r="N585">
        <v>5.04</v>
      </c>
      <c r="O585" t="s">
        <v>882</v>
      </c>
      <c r="P585">
        <v>20.16</v>
      </c>
      <c r="Q585" t="s">
        <v>178</v>
      </c>
    </row>
    <row r="586" spans="1:17" x14ac:dyDescent="0.25">
      <c r="A586" t="s">
        <v>1064</v>
      </c>
      <c r="B586" t="s">
        <v>1055</v>
      </c>
      <c r="C586" t="s">
        <v>175</v>
      </c>
      <c r="D586" t="s">
        <v>88</v>
      </c>
      <c r="E586" t="s">
        <v>89</v>
      </c>
      <c r="F586">
        <v>5.5</v>
      </c>
      <c r="G586" t="s">
        <v>179</v>
      </c>
      <c r="H586">
        <v>0</v>
      </c>
      <c r="I586">
        <v>125</v>
      </c>
      <c r="J586" s="10">
        <v>37.499999999999908</v>
      </c>
      <c r="K586" s="10">
        <f>SUMIFS(F:F,D:D,DST_123_ÜRETİM_İHTİYAÇ_RAPORU_BURAK_YENI1309[[#This Row],[ALT_KOD]])-(SUMIFS(H:H,D:D,DST_123_ÜRETİM_İHTİYAÇ_RAPORU_BURAK_YENI1309[[#This Row],[ALT_KOD]])+AVERAGEIFS(I:I,D:D,DST_123_ÜRETİM_İHTİYAÇ_RAPORU_BURAK_YENI1309[[#This Row],[ALT_KOD]])+AVERAGEIFS(L:L,D:D,DST_123_ÜRETİM_İHTİYAÇ_RAPORU_BURAK_YENI1309[[#This Row],[ALT_KOD]]))</f>
        <v>-44.100000000000009</v>
      </c>
      <c r="L586">
        <v>0</v>
      </c>
      <c r="M586">
        <f>IF((DST_123_ÜRETİM_İHTİYAÇ_RAPORU_BURAK_YENI1309[[#This Row],[SATINALMA]]*DST_123_ÜRETİM_İHTİYAÇ_RAPORU_BURAK_YENI1309[[#This Row],[BIRIM_FIYATLAR]])&lt;1,VALUE("0"),DST_123_ÜRETİM_İHTİYAÇ_RAPORU_BURAK_YENI1309[[#This Row],[SATINALMA]]*DST_123_ÜRETİM_İHTİYAÇ_RAPORU_BURAK_YENI1309[[#This Row],[BIRIM_FIYATLAR]])</f>
        <v>0</v>
      </c>
      <c r="N586">
        <v>44</v>
      </c>
      <c r="O586" t="s">
        <v>314</v>
      </c>
      <c r="P586">
        <v>242</v>
      </c>
      <c r="Q586" t="s">
        <v>178</v>
      </c>
    </row>
    <row r="587" spans="1:17" x14ac:dyDescent="0.25">
      <c r="A587" t="s">
        <v>1064</v>
      </c>
      <c r="B587" t="s">
        <v>1055</v>
      </c>
      <c r="C587" t="s">
        <v>175</v>
      </c>
      <c r="D587" t="s">
        <v>90</v>
      </c>
      <c r="E587" t="s">
        <v>91</v>
      </c>
      <c r="F587">
        <v>1</v>
      </c>
      <c r="G587" t="s">
        <v>176</v>
      </c>
      <c r="H587">
        <v>1</v>
      </c>
      <c r="I587">
        <v>4</v>
      </c>
      <c r="J587" s="10">
        <v>12</v>
      </c>
      <c r="K587" s="10">
        <f>SUMIFS(F:F,D:D,DST_123_ÜRETİM_İHTİYAÇ_RAPORU_BURAK_YENI1309[[#This Row],[ALT_KOD]])-(SUMIFS(H:H,D:D,DST_123_ÜRETİM_İHTİYAÇ_RAPORU_BURAK_YENI1309[[#This Row],[ALT_KOD]])+AVERAGEIFS(I:I,D:D,DST_123_ÜRETİM_İHTİYAÇ_RAPORU_BURAK_YENI1309[[#This Row],[ALT_KOD]])+AVERAGEIFS(L:L,D:D,DST_123_ÜRETİM_İHTİYAÇ_RAPORU_BURAK_YENI1309[[#This Row],[ALT_KOD]]))</f>
        <v>7</v>
      </c>
      <c r="L587">
        <v>0</v>
      </c>
      <c r="M587">
        <f>IF((DST_123_ÜRETİM_İHTİYAÇ_RAPORU_BURAK_YENI1309[[#This Row],[SATINALMA]]*DST_123_ÜRETİM_İHTİYAÇ_RAPORU_BURAK_YENI1309[[#This Row],[BIRIM_FIYATLAR]])&lt;1,VALUE("0"),DST_123_ÜRETİM_İHTİYAÇ_RAPORU_BURAK_YENI1309[[#This Row],[SATINALMA]]*DST_123_ÜRETİM_İHTİYAÇ_RAPORU_BURAK_YENI1309[[#This Row],[BIRIM_FIYATLAR]])</f>
        <v>12435.01</v>
      </c>
      <c r="N587">
        <v>1776.43</v>
      </c>
      <c r="O587" t="s">
        <v>634</v>
      </c>
      <c r="P587">
        <v>1776.43</v>
      </c>
      <c r="Q587" t="s">
        <v>178</v>
      </c>
    </row>
    <row r="588" spans="1:17" x14ac:dyDescent="0.25">
      <c r="A588" t="s">
        <v>1064</v>
      </c>
      <c r="B588" t="s">
        <v>1055</v>
      </c>
      <c r="C588" t="s">
        <v>175</v>
      </c>
      <c r="D588" t="s">
        <v>331</v>
      </c>
      <c r="E588" t="s">
        <v>332</v>
      </c>
      <c r="F588">
        <v>4</v>
      </c>
      <c r="G588" t="s">
        <v>176</v>
      </c>
      <c r="H588">
        <v>0</v>
      </c>
      <c r="I588">
        <v>809</v>
      </c>
      <c r="J588" s="10">
        <v>0</v>
      </c>
      <c r="K588" s="10">
        <f>SUMIFS(F:F,D:D,DST_123_ÜRETİM_İHTİYAÇ_RAPORU_BURAK_YENI1309[[#This Row],[ALT_KOD]])-(SUMIFS(H:H,D:D,DST_123_ÜRETİM_İHTİYAÇ_RAPORU_BURAK_YENI1309[[#This Row],[ALT_KOD]])+AVERAGEIFS(I:I,D:D,DST_123_ÜRETİM_İHTİYAÇ_RAPORU_BURAK_YENI1309[[#This Row],[ALT_KOD]])+AVERAGEIFS(L:L,D:D,DST_123_ÜRETİM_İHTİYAÇ_RAPORU_BURAK_YENI1309[[#This Row],[ALT_KOD]]))</f>
        <v>-768</v>
      </c>
      <c r="L588">
        <v>0</v>
      </c>
      <c r="M588">
        <f>IF((DST_123_ÜRETİM_İHTİYAÇ_RAPORU_BURAK_YENI1309[[#This Row],[SATINALMA]]*DST_123_ÜRETİM_İHTİYAÇ_RAPORU_BURAK_YENI1309[[#This Row],[BIRIM_FIYATLAR]])&lt;1,VALUE("0"),DST_123_ÜRETİM_İHTİYAÇ_RAPORU_BURAK_YENI1309[[#This Row],[SATINALMA]]*DST_123_ÜRETİM_İHTİYAÇ_RAPORU_BURAK_YENI1309[[#This Row],[BIRIM_FIYATLAR]])</f>
        <v>0</v>
      </c>
      <c r="N588">
        <v>2.4</v>
      </c>
      <c r="O588" t="s">
        <v>240</v>
      </c>
      <c r="P588">
        <v>9.6</v>
      </c>
      <c r="Q588" t="s">
        <v>180</v>
      </c>
    </row>
    <row r="589" spans="1:17" x14ac:dyDescent="0.25">
      <c r="A589" t="s">
        <v>1101</v>
      </c>
      <c r="B589" t="s">
        <v>1102</v>
      </c>
      <c r="C589" t="s">
        <v>175</v>
      </c>
      <c r="D589" t="s">
        <v>355</v>
      </c>
      <c r="E589" t="s">
        <v>356</v>
      </c>
      <c r="F589">
        <v>16</v>
      </c>
      <c r="G589" t="s">
        <v>176</v>
      </c>
      <c r="H589">
        <v>0</v>
      </c>
      <c r="I589">
        <v>4822</v>
      </c>
      <c r="J589" s="10">
        <v>811</v>
      </c>
      <c r="K589" s="10">
        <f>SUMIFS(F:F,D:D,DST_123_ÜRETİM_İHTİYAÇ_RAPORU_BURAK_YENI1309[[#This Row],[ALT_KOD]])-(SUMIFS(H:H,D:D,DST_123_ÜRETİM_İHTİYAÇ_RAPORU_BURAK_YENI1309[[#This Row],[ALT_KOD]])+AVERAGEIFS(I:I,D:D,DST_123_ÜRETİM_İHTİYAÇ_RAPORU_BURAK_YENI1309[[#This Row],[ALT_KOD]])+AVERAGEIFS(L:L,D:D,DST_123_ÜRETİM_İHTİYAÇ_RAPORU_BURAK_YENI1309[[#This Row],[ALT_KOD]]))</f>
        <v>-4638</v>
      </c>
      <c r="L589">
        <v>0</v>
      </c>
      <c r="M589">
        <f>IF((DST_123_ÜRETİM_İHTİYAÇ_RAPORU_BURAK_YENI1309[[#This Row],[SATINALMA]]*DST_123_ÜRETİM_İHTİYAÇ_RAPORU_BURAK_YENI1309[[#This Row],[BIRIM_FIYATLAR]])&lt;1,VALUE("0"),DST_123_ÜRETİM_İHTİYAÇ_RAPORU_BURAK_YENI1309[[#This Row],[SATINALMA]]*DST_123_ÜRETİM_İHTİYAÇ_RAPORU_BURAK_YENI1309[[#This Row],[BIRIM_FIYATLAR]])</f>
        <v>0</v>
      </c>
      <c r="N589">
        <v>0.3</v>
      </c>
      <c r="O589" t="s">
        <v>240</v>
      </c>
      <c r="P589">
        <v>4.8</v>
      </c>
      <c r="Q589" t="s">
        <v>180</v>
      </c>
    </row>
    <row r="590" spans="1:17" x14ac:dyDescent="0.25">
      <c r="A590" t="s">
        <v>1147</v>
      </c>
      <c r="B590" t="s">
        <v>1145</v>
      </c>
      <c r="C590" t="s">
        <v>175</v>
      </c>
      <c r="D590" t="s">
        <v>394</v>
      </c>
      <c r="E590" t="s">
        <v>395</v>
      </c>
      <c r="F590">
        <v>3.1</v>
      </c>
      <c r="G590" t="s">
        <v>176</v>
      </c>
      <c r="H590">
        <v>0</v>
      </c>
      <c r="I590">
        <v>6</v>
      </c>
      <c r="J590" s="10">
        <v>14.000000000000005</v>
      </c>
      <c r="K590" s="10">
        <f>SUMIFS(F:F,D:D,DST_123_ÜRETİM_İHTİYAÇ_RAPORU_BURAK_YENI1309[[#This Row],[ALT_KOD]])-(SUMIFS(H:H,D:D,DST_123_ÜRETİM_İHTİYAÇ_RAPORU_BURAK_YENI1309[[#This Row],[ALT_KOD]])+AVERAGEIFS(I:I,D:D,DST_123_ÜRETİM_İHTİYAÇ_RAPORU_BURAK_YENI1309[[#This Row],[ALT_KOD]])+AVERAGEIFS(L:L,D:D,DST_123_ÜRETİM_İHTİYAÇ_RAPORU_BURAK_YENI1309[[#This Row],[ALT_KOD]]))</f>
        <v>28.1</v>
      </c>
      <c r="L590">
        <v>0</v>
      </c>
      <c r="M590">
        <f>IF((DST_123_ÜRETİM_İHTİYAÇ_RAPORU_BURAK_YENI1309[[#This Row],[SATINALMA]]*DST_123_ÜRETİM_İHTİYAÇ_RAPORU_BURAK_YENI1309[[#This Row],[BIRIM_FIYATLAR]])&lt;1,VALUE("0"),DST_123_ÜRETİM_İHTİYAÇ_RAPORU_BURAK_YENI1309[[#This Row],[SATINALMA]]*DST_123_ÜRETİM_İHTİYAÇ_RAPORU_BURAK_YENI1309[[#This Row],[BIRIM_FIYATLAR]])</f>
        <v>4097.8230000000003</v>
      </c>
      <c r="N590">
        <v>145.83000000000001</v>
      </c>
      <c r="O590" t="s">
        <v>628</v>
      </c>
      <c r="P590">
        <v>452.07300000000004</v>
      </c>
      <c r="Q590" t="s">
        <v>183</v>
      </c>
    </row>
    <row r="591" spans="1:17" x14ac:dyDescent="0.25">
      <c r="A591" t="s">
        <v>1196</v>
      </c>
      <c r="B591" t="s">
        <v>1197</v>
      </c>
      <c r="C591" t="s">
        <v>175</v>
      </c>
      <c r="D591" t="s">
        <v>48</v>
      </c>
      <c r="E591" t="s">
        <v>49</v>
      </c>
      <c r="F591">
        <v>2</v>
      </c>
      <c r="G591" t="s">
        <v>176</v>
      </c>
      <c r="H591">
        <v>0</v>
      </c>
      <c r="I591">
        <v>21</v>
      </c>
      <c r="J591" s="10">
        <v>30</v>
      </c>
      <c r="K591" s="10">
        <f>SUMIFS(F:F,D:D,DST_123_ÜRETİM_İHTİYAÇ_RAPORU_BURAK_YENI1309[[#This Row],[ALT_KOD]])-(SUMIFS(H:H,D:D,DST_123_ÜRETİM_İHTİYAÇ_RAPORU_BURAK_YENI1309[[#This Row],[ALT_KOD]])+AVERAGEIFS(I:I,D:D,DST_123_ÜRETİM_İHTİYAÇ_RAPORU_BURAK_YENI1309[[#This Row],[ALT_KOD]])+AVERAGEIFS(L:L,D:D,DST_123_ÜRETİM_İHTİYAÇ_RAPORU_BURAK_YENI1309[[#This Row],[ALT_KOD]]))</f>
        <v>1</v>
      </c>
      <c r="L591">
        <v>0</v>
      </c>
      <c r="M591">
        <f>IF((DST_123_ÜRETİM_İHTİYAÇ_RAPORU_BURAK_YENI1309[[#This Row],[SATINALMA]]*DST_123_ÜRETİM_İHTİYAÇ_RAPORU_BURAK_YENI1309[[#This Row],[BIRIM_FIYATLAR]])&lt;1,VALUE("0"),DST_123_ÜRETİM_İHTİYAÇ_RAPORU_BURAK_YENI1309[[#This Row],[SATINALMA]]*DST_123_ÜRETİM_İHTİYAÇ_RAPORU_BURAK_YENI1309[[#This Row],[BIRIM_FIYATLAR]])</f>
        <v>42</v>
      </c>
      <c r="N591">
        <v>42</v>
      </c>
      <c r="O591" t="s">
        <v>245</v>
      </c>
      <c r="P591">
        <v>84</v>
      </c>
      <c r="Q591" t="s">
        <v>180</v>
      </c>
    </row>
    <row r="592" spans="1:17" x14ac:dyDescent="0.25">
      <c r="A592" t="s">
        <v>1099</v>
      </c>
      <c r="B592" t="s">
        <v>1055</v>
      </c>
      <c r="C592" t="s">
        <v>175</v>
      </c>
      <c r="D592" t="s">
        <v>48</v>
      </c>
      <c r="E592" t="s">
        <v>49</v>
      </c>
      <c r="F592">
        <v>2</v>
      </c>
      <c r="G592" t="s">
        <v>176</v>
      </c>
      <c r="H592">
        <v>0</v>
      </c>
      <c r="I592">
        <v>21</v>
      </c>
      <c r="J592" s="10">
        <v>30</v>
      </c>
      <c r="K592" s="10">
        <f>SUMIFS(F:F,D:D,DST_123_ÜRETİM_İHTİYAÇ_RAPORU_BURAK_YENI1309[[#This Row],[ALT_KOD]])-(SUMIFS(H:H,D:D,DST_123_ÜRETİM_İHTİYAÇ_RAPORU_BURAK_YENI1309[[#This Row],[ALT_KOD]])+AVERAGEIFS(I:I,D:D,DST_123_ÜRETİM_İHTİYAÇ_RAPORU_BURAK_YENI1309[[#This Row],[ALT_KOD]])+AVERAGEIFS(L:L,D:D,DST_123_ÜRETİM_İHTİYAÇ_RAPORU_BURAK_YENI1309[[#This Row],[ALT_KOD]]))</f>
        <v>1</v>
      </c>
      <c r="L592">
        <v>0</v>
      </c>
      <c r="M592">
        <f>IF((DST_123_ÜRETİM_İHTİYAÇ_RAPORU_BURAK_YENI1309[[#This Row],[SATINALMA]]*DST_123_ÜRETİM_İHTİYAÇ_RAPORU_BURAK_YENI1309[[#This Row],[BIRIM_FIYATLAR]])&lt;1,VALUE("0"),DST_123_ÜRETİM_İHTİYAÇ_RAPORU_BURAK_YENI1309[[#This Row],[SATINALMA]]*DST_123_ÜRETİM_İHTİYAÇ_RAPORU_BURAK_YENI1309[[#This Row],[BIRIM_FIYATLAR]])</f>
        <v>42</v>
      </c>
      <c r="N592">
        <v>42</v>
      </c>
      <c r="O592" t="s">
        <v>245</v>
      </c>
      <c r="P592">
        <v>84</v>
      </c>
      <c r="Q592" t="s">
        <v>180</v>
      </c>
    </row>
    <row r="593" spans="1:17" x14ac:dyDescent="0.25">
      <c r="A593" t="s">
        <v>1098</v>
      </c>
      <c r="B593" t="s">
        <v>1096</v>
      </c>
      <c r="C593" t="s">
        <v>175</v>
      </c>
      <c r="D593" t="s">
        <v>355</v>
      </c>
      <c r="E593" t="s">
        <v>356</v>
      </c>
      <c r="F593">
        <v>16</v>
      </c>
      <c r="G593" t="s">
        <v>176</v>
      </c>
      <c r="H593">
        <v>0</v>
      </c>
      <c r="I593">
        <v>4822</v>
      </c>
      <c r="J593" s="10">
        <v>811</v>
      </c>
      <c r="K593" s="10">
        <f>SUMIFS(F:F,D:D,DST_123_ÜRETİM_İHTİYAÇ_RAPORU_BURAK_YENI1309[[#This Row],[ALT_KOD]])-(SUMIFS(H:H,D:D,DST_123_ÜRETİM_İHTİYAÇ_RAPORU_BURAK_YENI1309[[#This Row],[ALT_KOD]])+AVERAGEIFS(I:I,D:D,DST_123_ÜRETİM_İHTİYAÇ_RAPORU_BURAK_YENI1309[[#This Row],[ALT_KOD]])+AVERAGEIFS(L:L,D:D,DST_123_ÜRETİM_İHTİYAÇ_RAPORU_BURAK_YENI1309[[#This Row],[ALT_KOD]]))</f>
        <v>-4638</v>
      </c>
      <c r="L593">
        <v>0</v>
      </c>
      <c r="M593">
        <f>IF((DST_123_ÜRETİM_İHTİYAÇ_RAPORU_BURAK_YENI1309[[#This Row],[SATINALMA]]*DST_123_ÜRETİM_İHTİYAÇ_RAPORU_BURAK_YENI1309[[#This Row],[BIRIM_FIYATLAR]])&lt;1,VALUE("0"),DST_123_ÜRETİM_İHTİYAÇ_RAPORU_BURAK_YENI1309[[#This Row],[SATINALMA]]*DST_123_ÜRETİM_İHTİYAÇ_RAPORU_BURAK_YENI1309[[#This Row],[BIRIM_FIYATLAR]])</f>
        <v>0</v>
      </c>
      <c r="N593">
        <v>0.3</v>
      </c>
      <c r="O593" t="s">
        <v>240</v>
      </c>
      <c r="P593">
        <v>4.8</v>
      </c>
      <c r="Q593" t="s">
        <v>180</v>
      </c>
    </row>
    <row r="594" spans="1:17" x14ac:dyDescent="0.25">
      <c r="A594" t="s">
        <v>1099</v>
      </c>
      <c r="B594" t="s">
        <v>1055</v>
      </c>
      <c r="C594" t="s">
        <v>175</v>
      </c>
      <c r="D594" t="s">
        <v>355</v>
      </c>
      <c r="E594" t="s">
        <v>356</v>
      </c>
      <c r="F594">
        <v>24</v>
      </c>
      <c r="G594" t="s">
        <v>176</v>
      </c>
      <c r="H594">
        <v>0</v>
      </c>
      <c r="I594">
        <v>4822</v>
      </c>
      <c r="J594" s="10">
        <v>811</v>
      </c>
      <c r="K594" s="10">
        <f>SUMIFS(F:F,D:D,DST_123_ÜRETİM_İHTİYAÇ_RAPORU_BURAK_YENI1309[[#This Row],[ALT_KOD]])-(SUMIFS(H:H,D:D,DST_123_ÜRETİM_İHTİYAÇ_RAPORU_BURAK_YENI1309[[#This Row],[ALT_KOD]])+AVERAGEIFS(I:I,D:D,DST_123_ÜRETİM_İHTİYAÇ_RAPORU_BURAK_YENI1309[[#This Row],[ALT_KOD]])+AVERAGEIFS(L:L,D:D,DST_123_ÜRETİM_İHTİYAÇ_RAPORU_BURAK_YENI1309[[#This Row],[ALT_KOD]]))</f>
        <v>-4638</v>
      </c>
      <c r="L594">
        <v>0</v>
      </c>
      <c r="M594">
        <f>IF((DST_123_ÜRETİM_İHTİYAÇ_RAPORU_BURAK_YENI1309[[#This Row],[SATINALMA]]*DST_123_ÜRETİM_İHTİYAÇ_RAPORU_BURAK_YENI1309[[#This Row],[BIRIM_FIYATLAR]])&lt;1,VALUE("0"),DST_123_ÜRETİM_İHTİYAÇ_RAPORU_BURAK_YENI1309[[#This Row],[SATINALMA]]*DST_123_ÜRETİM_İHTİYAÇ_RAPORU_BURAK_YENI1309[[#This Row],[BIRIM_FIYATLAR]])</f>
        <v>0</v>
      </c>
      <c r="N594">
        <v>0.3</v>
      </c>
      <c r="O594" t="s">
        <v>240</v>
      </c>
      <c r="P594">
        <v>7.1999999999999993</v>
      </c>
      <c r="Q594" t="s">
        <v>180</v>
      </c>
    </row>
    <row r="595" spans="1:17" x14ac:dyDescent="0.25">
      <c r="A595" t="s">
        <v>1196</v>
      </c>
      <c r="B595" t="s">
        <v>1197</v>
      </c>
      <c r="C595" t="s">
        <v>175</v>
      </c>
      <c r="D595" t="s">
        <v>355</v>
      </c>
      <c r="E595" t="s">
        <v>356</v>
      </c>
      <c r="F595">
        <v>16</v>
      </c>
      <c r="G595" t="s">
        <v>176</v>
      </c>
      <c r="H595">
        <v>0</v>
      </c>
      <c r="I595">
        <v>4822</v>
      </c>
      <c r="J595" s="10">
        <v>811</v>
      </c>
      <c r="K595" s="10">
        <f>SUMIFS(F:F,D:D,DST_123_ÜRETİM_İHTİYAÇ_RAPORU_BURAK_YENI1309[[#This Row],[ALT_KOD]])-(SUMIFS(H:H,D:D,DST_123_ÜRETİM_İHTİYAÇ_RAPORU_BURAK_YENI1309[[#This Row],[ALT_KOD]])+AVERAGEIFS(I:I,D:D,DST_123_ÜRETİM_İHTİYAÇ_RAPORU_BURAK_YENI1309[[#This Row],[ALT_KOD]])+AVERAGEIFS(L:L,D:D,DST_123_ÜRETİM_İHTİYAÇ_RAPORU_BURAK_YENI1309[[#This Row],[ALT_KOD]]))</f>
        <v>-4638</v>
      </c>
      <c r="L595">
        <v>0</v>
      </c>
      <c r="M595">
        <f>IF((DST_123_ÜRETİM_İHTİYAÇ_RAPORU_BURAK_YENI1309[[#This Row],[SATINALMA]]*DST_123_ÜRETİM_İHTİYAÇ_RAPORU_BURAK_YENI1309[[#This Row],[BIRIM_FIYATLAR]])&lt;1,VALUE("0"),DST_123_ÜRETİM_İHTİYAÇ_RAPORU_BURAK_YENI1309[[#This Row],[SATINALMA]]*DST_123_ÜRETİM_İHTİYAÇ_RAPORU_BURAK_YENI1309[[#This Row],[BIRIM_FIYATLAR]])</f>
        <v>0</v>
      </c>
      <c r="N595">
        <v>0.3</v>
      </c>
      <c r="O595" t="s">
        <v>240</v>
      </c>
      <c r="P595">
        <v>4.8</v>
      </c>
      <c r="Q595" t="s">
        <v>180</v>
      </c>
    </row>
    <row r="596" spans="1:17" x14ac:dyDescent="0.25">
      <c r="A596" t="s">
        <v>1196</v>
      </c>
      <c r="B596" t="s">
        <v>1197</v>
      </c>
      <c r="C596" t="s">
        <v>175</v>
      </c>
      <c r="D596" t="s">
        <v>651</v>
      </c>
      <c r="E596" t="s">
        <v>652</v>
      </c>
      <c r="F596">
        <v>25</v>
      </c>
      <c r="G596" t="s">
        <v>176</v>
      </c>
      <c r="H596">
        <v>0</v>
      </c>
      <c r="I596">
        <v>776</v>
      </c>
      <c r="J596" s="10">
        <v>367</v>
      </c>
      <c r="K596" s="10">
        <f>SUMIFS(F:F,D:D,DST_123_ÜRETİM_İHTİYAÇ_RAPORU_BURAK_YENI1309[[#This Row],[ALT_KOD]])-(SUMIFS(H:H,D:D,DST_123_ÜRETİM_İHTİYAÇ_RAPORU_BURAK_YENI1309[[#This Row],[ALT_KOD]])+AVERAGEIFS(I:I,D:D,DST_123_ÜRETİM_İHTİYAÇ_RAPORU_BURAK_YENI1309[[#This Row],[ALT_KOD]])+AVERAGEIFS(L:L,D:D,DST_123_ÜRETİM_İHTİYAÇ_RAPORU_BURAK_YENI1309[[#This Row],[ALT_KOD]]))</f>
        <v>-308</v>
      </c>
      <c r="L596">
        <v>0</v>
      </c>
      <c r="M596">
        <f>IF((DST_123_ÜRETİM_İHTİYAÇ_RAPORU_BURAK_YENI1309[[#This Row],[SATINALMA]]*DST_123_ÜRETİM_İHTİYAÇ_RAPORU_BURAK_YENI1309[[#This Row],[BIRIM_FIYATLAR]])&lt;1,VALUE("0"),DST_123_ÜRETİM_İHTİYAÇ_RAPORU_BURAK_YENI1309[[#This Row],[SATINALMA]]*DST_123_ÜRETİM_İHTİYAÇ_RAPORU_BURAK_YENI1309[[#This Row],[BIRIM_FIYATLAR]])</f>
        <v>0</v>
      </c>
      <c r="N596">
        <v>3.46</v>
      </c>
      <c r="O596" t="s">
        <v>882</v>
      </c>
      <c r="P596">
        <v>86.5</v>
      </c>
      <c r="Q596" t="s">
        <v>180</v>
      </c>
    </row>
    <row r="597" spans="1:17" x14ac:dyDescent="0.25">
      <c r="A597" t="s">
        <v>1098</v>
      </c>
      <c r="B597" t="s">
        <v>1096</v>
      </c>
      <c r="C597" t="s">
        <v>175</v>
      </c>
      <c r="D597" t="s">
        <v>384</v>
      </c>
      <c r="E597" t="s">
        <v>385</v>
      </c>
      <c r="F597">
        <v>21</v>
      </c>
      <c r="G597" t="s">
        <v>176</v>
      </c>
      <c r="H597">
        <v>0</v>
      </c>
      <c r="I597">
        <v>495</v>
      </c>
      <c r="J597" s="10">
        <v>146</v>
      </c>
      <c r="K597" s="10">
        <f>SUMIFS(F:F,D:D,DST_123_ÜRETİM_İHTİYAÇ_RAPORU_BURAK_YENI1309[[#This Row],[ALT_KOD]])-(SUMIFS(H:H,D:D,DST_123_ÜRETİM_İHTİYAÇ_RAPORU_BURAK_YENI1309[[#This Row],[ALT_KOD]])+AVERAGEIFS(I:I,D:D,DST_123_ÜRETİM_İHTİYAÇ_RAPORU_BURAK_YENI1309[[#This Row],[ALT_KOD]])+AVERAGEIFS(L:L,D:D,DST_123_ÜRETİM_İHTİYAÇ_RAPORU_BURAK_YENI1309[[#This Row],[ALT_KOD]]))</f>
        <v>-22</v>
      </c>
      <c r="L597">
        <v>0</v>
      </c>
      <c r="M597">
        <f>IF((DST_123_ÜRETİM_İHTİYAÇ_RAPORU_BURAK_YENI1309[[#This Row],[SATINALMA]]*DST_123_ÜRETİM_İHTİYAÇ_RAPORU_BURAK_YENI1309[[#This Row],[BIRIM_FIYATLAR]])&lt;1,VALUE("0"),DST_123_ÜRETİM_İHTİYAÇ_RAPORU_BURAK_YENI1309[[#This Row],[SATINALMA]]*DST_123_ÜRETİM_İHTİYAÇ_RAPORU_BURAK_YENI1309[[#This Row],[BIRIM_FIYATLAR]])</f>
        <v>0</v>
      </c>
      <c r="N597">
        <v>3.75</v>
      </c>
      <c r="O597" t="s">
        <v>628</v>
      </c>
      <c r="P597">
        <v>78.75</v>
      </c>
      <c r="Q597" t="s">
        <v>180</v>
      </c>
    </row>
    <row r="598" spans="1:17" x14ac:dyDescent="0.25">
      <c r="A598" t="s">
        <v>1100</v>
      </c>
      <c r="B598" t="s">
        <v>1058</v>
      </c>
      <c r="C598" t="s">
        <v>175</v>
      </c>
      <c r="D598" t="s">
        <v>915</v>
      </c>
      <c r="E598" t="s">
        <v>916</v>
      </c>
      <c r="F598">
        <v>3</v>
      </c>
      <c r="G598" t="s">
        <v>179</v>
      </c>
      <c r="H598">
        <v>0</v>
      </c>
      <c r="I598">
        <v>100</v>
      </c>
      <c r="J598" s="10">
        <v>26</v>
      </c>
      <c r="K598" s="10">
        <f>SUMIFS(F:F,D:D,DST_123_ÜRETİM_İHTİYAÇ_RAPORU_BURAK_YENI1309[[#This Row],[ALT_KOD]])-(SUMIFS(H:H,D:D,DST_123_ÜRETİM_İHTİYAÇ_RAPORU_BURAK_YENI1309[[#This Row],[ALT_KOD]])+AVERAGEIFS(I:I,D:D,DST_123_ÜRETİM_İHTİYAÇ_RAPORU_BURAK_YENI1309[[#This Row],[ALT_KOD]])+AVERAGEIFS(L:L,D:D,DST_123_ÜRETİM_İHTİYAÇ_RAPORU_BURAK_YENI1309[[#This Row],[ALT_KOD]]))</f>
        <v>-85</v>
      </c>
      <c r="L598">
        <v>0</v>
      </c>
      <c r="M598">
        <f>IF((DST_123_ÜRETİM_İHTİYAÇ_RAPORU_BURAK_YENI1309[[#This Row],[SATINALMA]]*DST_123_ÜRETİM_İHTİYAÇ_RAPORU_BURAK_YENI1309[[#This Row],[BIRIM_FIYATLAR]])&lt;1,VALUE("0"),DST_123_ÜRETİM_İHTİYAÇ_RAPORU_BURAK_YENI1309[[#This Row],[SATINALMA]]*DST_123_ÜRETİM_İHTİYAÇ_RAPORU_BURAK_YENI1309[[#This Row],[BIRIM_FIYATLAR]])</f>
        <v>0</v>
      </c>
      <c r="N598">
        <v>49.1</v>
      </c>
      <c r="O598" t="s">
        <v>826</v>
      </c>
      <c r="P598">
        <v>147.30000000000001</v>
      </c>
      <c r="Q598" t="s">
        <v>221</v>
      </c>
    </row>
    <row r="599" spans="1:17" x14ac:dyDescent="0.25">
      <c r="A599" t="s">
        <v>1060</v>
      </c>
      <c r="B599" t="s">
        <v>1061</v>
      </c>
      <c r="C599" t="s">
        <v>175</v>
      </c>
      <c r="D599" t="s">
        <v>913</v>
      </c>
      <c r="E599" t="s">
        <v>914</v>
      </c>
      <c r="F599">
        <v>3</v>
      </c>
      <c r="G599" t="s">
        <v>179</v>
      </c>
      <c r="H599">
        <v>0</v>
      </c>
      <c r="I599">
        <v>100</v>
      </c>
      <c r="J599" s="10">
        <v>26</v>
      </c>
      <c r="K599" s="10">
        <f>SUMIFS(F:F,D:D,DST_123_ÜRETİM_İHTİYAÇ_RAPORU_BURAK_YENI1309[[#This Row],[ALT_KOD]])-(SUMIFS(H:H,D:D,DST_123_ÜRETİM_İHTİYAÇ_RAPORU_BURAK_YENI1309[[#This Row],[ALT_KOD]])+AVERAGEIFS(I:I,D:D,DST_123_ÜRETİM_İHTİYAÇ_RAPORU_BURAK_YENI1309[[#This Row],[ALT_KOD]])+AVERAGEIFS(L:L,D:D,DST_123_ÜRETİM_İHTİYAÇ_RAPORU_BURAK_YENI1309[[#This Row],[ALT_KOD]]))</f>
        <v>-85</v>
      </c>
      <c r="L599">
        <v>0</v>
      </c>
      <c r="M599">
        <f>IF((DST_123_ÜRETİM_İHTİYAÇ_RAPORU_BURAK_YENI1309[[#This Row],[SATINALMA]]*DST_123_ÜRETİM_İHTİYAÇ_RAPORU_BURAK_YENI1309[[#This Row],[BIRIM_FIYATLAR]])&lt;1,VALUE("0"),DST_123_ÜRETİM_İHTİYAÇ_RAPORU_BURAK_YENI1309[[#This Row],[SATINALMA]]*DST_123_ÜRETİM_İHTİYAÇ_RAPORU_BURAK_YENI1309[[#This Row],[BIRIM_FIYATLAR]])</f>
        <v>0</v>
      </c>
      <c r="N599">
        <v>49.1</v>
      </c>
      <c r="O599" t="s">
        <v>826</v>
      </c>
      <c r="P599">
        <v>147.30000000000001</v>
      </c>
      <c r="Q599" t="s">
        <v>221</v>
      </c>
    </row>
    <row r="600" spans="1:17" x14ac:dyDescent="0.25">
      <c r="A600" t="s">
        <v>1057</v>
      </c>
      <c r="B600" t="s">
        <v>1058</v>
      </c>
      <c r="C600" t="s">
        <v>175</v>
      </c>
      <c r="D600" t="s">
        <v>913</v>
      </c>
      <c r="E600" t="s">
        <v>914</v>
      </c>
      <c r="F600">
        <v>3</v>
      </c>
      <c r="G600" t="s">
        <v>179</v>
      </c>
      <c r="H600">
        <v>0</v>
      </c>
      <c r="I600">
        <v>100</v>
      </c>
      <c r="J600" s="10">
        <v>26</v>
      </c>
      <c r="K600" s="10">
        <f>SUMIFS(F:F,D:D,DST_123_ÜRETİM_İHTİYAÇ_RAPORU_BURAK_YENI1309[[#This Row],[ALT_KOD]])-(SUMIFS(H:H,D:D,DST_123_ÜRETİM_İHTİYAÇ_RAPORU_BURAK_YENI1309[[#This Row],[ALT_KOD]])+AVERAGEIFS(I:I,D:D,DST_123_ÜRETİM_İHTİYAÇ_RAPORU_BURAK_YENI1309[[#This Row],[ALT_KOD]])+AVERAGEIFS(L:L,D:D,DST_123_ÜRETİM_İHTİYAÇ_RAPORU_BURAK_YENI1309[[#This Row],[ALT_KOD]]))</f>
        <v>-85</v>
      </c>
      <c r="L600">
        <v>0</v>
      </c>
      <c r="M600">
        <f>IF((DST_123_ÜRETİM_İHTİYAÇ_RAPORU_BURAK_YENI1309[[#This Row],[SATINALMA]]*DST_123_ÜRETİM_İHTİYAÇ_RAPORU_BURAK_YENI1309[[#This Row],[BIRIM_FIYATLAR]])&lt;1,VALUE("0"),DST_123_ÜRETİM_İHTİYAÇ_RAPORU_BURAK_YENI1309[[#This Row],[SATINALMA]]*DST_123_ÜRETİM_İHTİYAÇ_RAPORU_BURAK_YENI1309[[#This Row],[BIRIM_FIYATLAR]])</f>
        <v>0</v>
      </c>
      <c r="N600">
        <v>49.1</v>
      </c>
      <c r="O600" t="s">
        <v>826</v>
      </c>
      <c r="P600">
        <v>147.30000000000001</v>
      </c>
      <c r="Q600" t="s">
        <v>221</v>
      </c>
    </row>
    <row r="601" spans="1:17" x14ac:dyDescent="0.25">
      <c r="A601" t="s">
        <v>1100</v>
      </c>
      <c r="B601" t="s">
        <v>1058</v>
      </c>
      <c r="C601" t="s">
        <v>175</v>
      </c>
      <c r="D601" t="s">
        <v>913</v>
      </c>
      <c r="E601" t="s">
        <v>914</v>
      </c>
      <c r="F601">
        <v>3</v>
      </c>
      <c r="G601" t="s">
        <v>179</v>
      </c>
      <c r="H601">
        <v>0</v>
      </c>
      <c r="I601">
        <v>100</v>
      </c>
      <c r="J601" s="10">
        <v>26</v>
      </c>
      <c r="K601" s="10">
        <f>SUMIFS(F:F,D:D,DST_123_ÜRETİM_İHTİYAÇ_RAPORU_BURAK_YENI1309[[#This Row],[ALT_KOD]])-(SUMIFS(H:H,D:D,DST_123_ÜRETİM_İHTİYAÇ_RAPORU_BURAK_YENI1309[[#This Row],[ALT_KOD]])+AVERAGEIFS(I:I,D:D,DST_123_ÜRETİM_İHTİYAÇ_RAPORU_BURAK_YENI1309[[#This Row],[ALT_KOD]])+AVERAGEIFS(L:L,D:D,DST_123_ÜRETİM_İHTİYAÇ_RAPORU_BURAK_YENI1309[[#This Row],[ALT_KOD]]))</f>
        <v>-85</v>
      </c>
      <c r="L601">
        <v>0</v>
      </c>
      <c r="M601">
        <f>IF((DST_123_ÜRETİM_İHTİYAÇ_RAPORU_BURAK_YENI1309[[#This Row],[SATINALMA]]*DST_123_ÜRETİM_İHTİYAÇ_RAPORU_BURAK_YENI1309[[#This Row],[BIRIM_FIYATLAR]])&lt;1,VALUE("0"),DST_123_ÜRETİM_İHTİYAÇ_RAPORU_BURAK_YENI1309[[#This Row],[SATINALMA]]*DST_123_ÜRETİM_İHTİYAÇ_RAPORU_BURAK_YENI1309[[#This Row],[BIRIM_FIYATLAR]])</f>
        <v>0</v>
      </c>
      <c r="N601">
        <v>49.1</v>
      </c>
      <c r="O601" t="s">
        <v>826</v>
      </c>
      <c r="P601">
        <v>147.30000000000001</v>
      </c>
      <c r="Q601" t="s">
        <v>221</v>
      </c>
    </row>
    <row r="602" spans="1:17" x14ac:dyDescent="0.25">
      <c r="A602" t="s">
        <v>1060</v>
      </c>
      <c r="B602" t="s">
        <v>1061</v>
      </c>
      <c r="C602" t="s">
        <v>175</v>
      </c>
      <c r="D602" t="s">
        <v>42</v>
      </c>
      <c r="E602" t="s">
        <v>43</v>
      </c>
      <c r="F602">
        <v>33</v>
      </c>
      <c r="G602" t="s">
        <v>176</v>
      </c>
      <c r="H602">
        <v>0</v>
      </c>
      <c r="I602">
        <v>2800</v>
      </c>
      <c r="J602" s="10">
        <v>2439</v>
      </c>
      <c r="K602" s="10">
        <f>SUMIFS(F:F,D:D,DST_123_ÜRETİM_İHTİYAÇ_RAPORU_BURAK_YENI1309[[#This Row],[ALT_KOD]])-(SUMIFS(H:H,D:D,DST_123_ÜRETİM_İHTİYAÇ_RAPORU_BURAK_YENI1309[[#This Row],[ALT_KOD]])+AVERAGEIFS(I:I,D:D,DST_123_ÜRETİM_İHTİYAÇ_RAPORU_BURAK_YENI1309[[#This Row],[ALT_KOD]])+AVERAGEIFS(L:L,D:D,DST_123_ÜRETİM_İHTİYAÇ_RAPORU_BURAK_YENI1309[[#This Row],[ALT_KOD]]))</f>
        <v>-1645</v>
      </c>
      <c r="L602">
        <v>0</v>
      </c>
      <c r="M602">
        <f>IF((DST_123_ÜRETİM_İHTİYAÇ_RAPORU_BURAK_YENI1309[[#This Row],[SATINALMA]]*DST_123_ÜRETİM_İHTİYAÇ_RAPORU_BURAK_YENI1309[[#This Row],[BIRIM_FIYATLAR]])&lt;1,VALUE("0"),DST_123_ÜRETİM_İHTİYAÇ_RAPORU_BURAK_YENI1309[[#This Row],[SATINALMA]]*DST_123_ÜRETİM_İHTİYAÇ_RAPORU_BURAK_YENI1309[[#This Row],[BIRIM_FIYATLAR]])</f>
        <v>0</v>
      </c>
      <c r="N602">
        <v>0.18</v>
      </c>
      <c r="O602" t="s">
        <v>240</v>
      </c>
      <c r="P602">
        <v>5.9399999999999995</v>
      </c>
      <c r="Q602" t="s">
        <v>180</v>
      </c>
    </row>
    <row r="603" spans="1:17" x14ac:dyDescent="0.25">
      <c r="A603" t="s">
        <v>1147</v>
      </c>
      <c r="B603" t="s">
        <v>1145</v>
      </c>
      <c r="C603" t="s">
        <v>175</v>
      </c>
      <c r="D603" t="s">
        <v>42</v>
      </c>
      <c r="E603" t="s">
        <v>43</v>
      </c>
      <c r="F603">
        <v>33</v>
      </c>
      <c r="G603" t="s">
        <v>176</v>
      </c>
      <c r="H603">
        <v>0</v>
      </c>
      <c r="I603">
        <v>2800</v>
      </c>
      <c r="J603" s="10">
        <v>2439</v>
      </c>
      <c r="K603" s="10">
        <f>SUMIFS(F:F,D:D,DST_123_ÜRETİM_İHTİYAÇ_RAPORU_BURAK_YENI1309[[#This Row],[ALT_KOD]])-(SUMIFS(H:H,D:D,DST_123_ÜRETİM_İHTİYAÇ_RAPORU_BURAK_YENI1309[[#This Row],[ALT_KOD]])+AVERAGEIFS(I:I,D:D,DST_123_ÜRETİM_İHTİYAÇ_RAPORU_BURAK_YENI1309[[#This Row],[ALT_KOD]])+AVERAGEIFS(L:L,D:D,DST_123_ÜRETİM_İHTİYAÇ_RAPORU_BURAK_YENI1309[[#This Row],[ALT_KOD]]))</f>
        <v>-1645</v>
      </c>
      <c r="L603">
        <v>0</v>
      </c>
      <c r="M603">
        <f>IF((DST_123_ÜRETİM_İHTİYAÇ_RAPORU_BURAK_YENI1309[[#This Row],[SATINALMA]]*DST_123_ÜRETİM_İHTİYAÇ_RAPORU_BURAK_YENI1309[[#This Row],[BIRIM_FIYATLAR]])&lt;1,VALUE("0"),DST_123_ÜRETİM_İHTİYAÇ_RAPORU_BURAK_YENI1309[[#This Row],[SATINALMA]]*DST_123_ÜRETİM_İHTİYAÇ_RAPORU_BURAK_YENI1309[[#This Row],[BIRIM_FIYATLAR]])</f>
        <v>0</v>
      </c>
      <c r="N603">
        <v>0.18</v>
      </c>
      <c r="O603" t="s">
        <v>240</v>
      </c>
      <c r="P603">
        <v>5.9399999999999995</v>
      </c>
      <c r="Q603" t="s">
        <v>180</v>
      </c>
    </row>
    <row r="604" spans="1:17" x14ac:dyDescent="0.25">
      <c r="A604" t="s">
        <v>1100</v>
      </c>
      <c r="B604" t="s">
        <v>1058</v>
      </c>
      <c r="C604" t="s">
        <v>175</v>
      </c>
      <c r="D604" t="s">
        <v>42</v>
      </c>
      <c r="E604" t="s">
        <v>43</v>
      </c>
      <c r="F604">
        <v>113</v>
      </c>
      <c r="G604" t="s">
        <v>176</v>
      </c>
      <c r="H604">
        <v>0</v>
      </c>
      <c r="I604">
        <v>2800</v>
      </c>
      <c r="J604" s="10">
        <v>2439</v>
      </c>
      <c r="K604" s="10">
        <f>SUMIFS(F:F,D:D,DST_123_ÜRETİM_İHTİYAÇ_RAPORU_BURAK_YENI1309[[#This Row],[ALT_KOD]])-(SUMIFS(H:H,D:D,DST_123_ÜRETİM_İHTİYAÇ_RAPORU_BURAK_YENI1309[[#This Row],[ALT_KOD]])+AVERAGEIFS(I:I,D:D,DST_123_ÜRETİM_İHTİYAÇ_RAPORU_BURAK_YENI1309[[#This Row],[ALT_KOD]])+AVERAGEIFS(L:L,D:D,DST_123_ÜRETİM_İHTİYAÇ_RAPORU_BURAK_YENI1309[[#This Row],[ALT_KOD]]))</f>
        <v>-1645</v>
      </c>
      <c r="L604">
        <v>0</v>
      </c>
      <c r="M604">
        <f>IF((DST_123_ÜRETİM_İHTİYAÇ_RAPORU_BURAK_YENI1309[[#This Row],[SATINALMA]]*DST_123_ÜRETİM_İHTİYAÇ_RAPORU_BURAK_YENI1309[[#This Row],[BIRIM_FIYATLAR]])&lt;1,VALUE("0"),DST_123_ÜRETİM_İHTİYAÇ_RAPORU_BURAK_YENI1309[[#This Row],[SATINALMA]]*DST_123_ÜRETİM_İHTİYAÇ_RAPORU_BURAK_YENI1309[[#This Row],[BIRIM_FIYATLAR]])</f>
        <v>0</v>
      </c>
      <c r="N604">
        <v>0.18</v>
      </c>
      <c r="O604" t="s">
        <v>240</v>
      </c>
      <c r="P604">
        <v>20.34</v>
      </c>
      <c r="Q604" t="s">
        <v>180</v>
      </c>
    </row>
    <row r="605" spans="1:17" x14ac:dyDescent="0.25">
      <c r="A605" t="s">
        <v>1095</v>
      </c>
      <c r="B605" t="s">
        <v>1096</v>
      </c>
      <c r="C605" t="s">
        <v>175</v>
      </c>
      <c r="D605" t="s">
        <v>396</v>
      </c>
      <c r="E605" t="s">
        <v>397</v>
      </c>
      <c r="F605">
        <v>30</v>
      </c>
      <c r="G605" t="s">
        <v>176</v>
      </c>
      <c r="H605">
        <v>0</v>
      </c>
      <c r="I605">
        <v>2000</v>
      </c>
      <c r="J605" s="10">
        <v>7604</v>
      </c>
      <c r="K605" s="10">
        <f>SUMIFS(F:F,D:D,DST_123_ÜRETİM_İHTİYAÇ_RAPORU_BURAK_YENI1309[[#This Row],[ALT_KOD]])-(SUMIFS(H:H,D:D,DST_123_ÜRETİM_İHTİYAÇ_RAPORU_BURAK_YENI1309[[#This Row],[ALT_KOD]])+AVERAGEIFS(I:I,D:D,DST_123_ÜRETİM_İHTİYAÇ_RAPORU_BURAK_YENI1309[[#This Row],[ALT_KOD]])+AVERAGEIFS(L:L,D:D,DST_123_ÜRETİM_İHTİYAÇ_RAPORU_BURAK_YENI1309[[#This Row],[ALT_KOD]]))</f>
        <v>-1531</v>
      </c>
      <c r="L605">
        <v>0</v>
      </c>
      <c r="M605">
        <f>IF((DST_123_ÜRETİM_İHTİYAÇ_RAPORU_BURAK_YENI1309[[#This Row],[SATINALMA]]*DST_123_ÜRETİM_İHTİYAÇ_RAPORU_BURAK_YENI1309[[#This Row],[BIRIM_FIYATLAR]])&lt;1,VALUE("0"),DST_123_ÜRETİM_İHTİYAÇ_RAPORU_BURAK_YENI1309[[#This Row],[SATINALMA]]*DST_123_ÜRETİM_İHTİYAÇ_RAPORU_BURAK_YENI1309[[#This Row],[BIRIM_FIYATLAR]])</f>
        <v>0</v>
      </c>
      <c r="N605">
        <v>0.3</v>
      </c>
      <c r="O605" t="s">
        <v>240</v>
      </c>
      <c r="P605">
        <v>9</v>
      </c>
      <c r="Q605" t="s">
        <v>180</v>
      </c>
    </row>
    <row r="606" spans="1:17" x14ac:dyDescent="0.25">
      <c r="A606" t="s">
        <v>1059</v>
      </c>
      <c r="B606" t="s">
        <v>1058</v>
      </c>
      <c r="C606" t="s">
        <v>175</v>
      </c>
      <c r="D606" t="s">
        <v>396</v>
      </c>
      <c r="E606" t="s">
        <v>397</v>
      </c>
      <c r="F606">
        <v>17</v>
      </c>
      <c r="G606" t="s">
        <v>176</v>
      </c>
      <c r="H606">
        <v>0</v>
      </c>
      <c r="I606">
        <v>2000</v>
      </c>
      <c r="J606" s="10">
        <v>7604</v>
      </c>
      <c r="K606" s="10">
        <f>SUMIFS(F:F,D:D,DST_123_ÜRETİM_İHTİYAÇ_RAPORU_BURAK_YENI1309[[#This Row],[ALT_KOD]])-(SUMIFS(H:H,D:D,DST_123_ÜRETİM_İHTİYAÇ_RAPORU_BURAK_YENI1309[[#This Row],[ALT_KOD]])+AVERAGEIFS(I:I,D:D,DST_123_ÜRETİM_İHTİYAÇ_RAPORU_BURAK_YENI1309[[#This Row],[ALT_KOD]])+AVERAGEIFS(L:L,D:D,DST_123_ÜRETİM_İHTİYAÇ_RAPORU_BURAK_YENI1309[[#This Row],[ALT_KOD]]))</f>
        <v>-1531</v>
      </c>
      <c r="L606">
        <v>0</v>
      </c>
      <c r="M606">
        <f>IF((DST_123_ÜRETİM_İHTİYAÇ_RAPORU_BURAK_YENI1309[[#This Row],[SATINALMA]]*DST_123_ÜRETİM_İHTİYAÇ_RAPORU_BURAK_YENI1309[[#This Row],[BIRIM_FIYATLAR]])&lt;1,VALUE("0"),DST_123_ÜRETİM_İHTİYAÇ_RAPORU_BURAK_YENI1309[[#This Row],[SATINALMA]]*DST_123_ÜRETİM_İHTİYAÇ_RAPORU_BURAK_YENI1309[[#This Row],[BIRIM_FIYATLAR]])</f>
        <v>0</v>
      </c>
      <c r="N606">
        <v>0.3</v>
      </c>
      <c r="O606" t="s">
        <v>240</v>
      </c>
      <c r="P606">
        <v>5.0999999999999996</v>
      </c>
      <c r="Q606" t="s">
        <v>180</v>
      </c>
    </row>
    <row r="607" spans="1:17" x14ac:dyDescent="0.25">
      <c r="A607" t="s">
        <v>1150</v>
      </c>
      <c r="B607" t="s">
        <v>1145</v>
      </c>
      <c r="C607" t="s">
        <v>175</v>
      </c>
      <c r="D607" t="s">
        <v>396</v>
      </c>
      <c r="E607" t="s">
        <v>397</v>
      </c>
      <c r="F607">
        <v>31</v>
      </c>
      <c r="G607" t="s">
        <v>176</v>
      </c>
      <c r="H607">
        <v>0</v>
      </c>
      <c r="I607">
        <v>2000</v>
      </c>
      <c r="J607" s="10">
        <v>7604</v>
      </c>
      <c r="K607" s="10">
        <f>SUMIFS(F:F,D:D,DST_123_ÜRETİM_İHTİYAÇ_RAPORU_BURAK_YENI1309[[#This Row],[ALT_KOD]])-(SUMIFS(H:H,D:D,DST_123_ÜRETİM_İHTİYAÇ_RAPORU_BURAK_YENI1309[[#This Row],[ALT_KOD]])+AVERAGEIFS(I:I,D:D,DST_123_ÜRETİM_İHTİYAÇ_RAPORU_BURAK_YENI1309[[#This Row],[ALT_KOD]])+AVERAGEIFS(L:L,D:D,DST_123_ÜRETİM_İHTİYAÇ_RAPORU_BURAK_YENI1309[[#This Row],[ALT_KOD]]))</f>
        <v>-1531</v>
      </c>
      <c r="L607">
        <v>0</v>
      </c>
      <c r="M607">
        <f>IF((DST_123_ÜRETİM_İHTİYAÇ_RAPORU_BURAK_YENI1309[[#This Row],[SATINALMA]]*DST_123_ÜRETİM_İHTİYAÇ_RAPORU_BURAK_YENI1309[[#This Row],[BIRIM_FIYATLAR]])&lt;1,VALUE("0"),DST_123_ÜRETİM_İHTİYAÇ_RAPORU_BURAK_YENI1309[[#This Row],[SATINALMA]]*DST_123_ÜRETİM_İHTİYAÇ_RAPORU_BURAK_YENI1309[[#This Row],[BIRIM_FIYATLAR]])</f>
        <v>0</v>
      </c>
      <c r="N607">
        <v>0.3</v>
      </c>
      <c r="O607" t="s">
        <v>240</v>
      </c>
      <c r="P607">
        <v>9.2999999999999989</v>
      </c>
      <c r="Q607" t="s">
        <v>180</v>
      </c>
    </row>
    <row r="608" spans="1:17" x14ac:dyDescent="0.25">
      <c r="A608" t="s">
        <v>1196</v>
      </c>
      <c r="B608" t="s">
        <v>1197</v>
      </c>
      <c r="C608" t="s">
        <v>175</v>
      </c>
      <c r="D608" t="s">
        <v>32</v>
      </c>
      <c r="E608" t="s">
        <v>33</v>
      </c>
      <c r="F608">
        <v>1</v>
      </c>
      <c r="G608" t="s">
        <v>176</v>
      </c>
      <c r="H608">
        <v>0</v>
      </c>
      <c r="I608">
        <v>0</v>
      </c>
      <c r="J608" s="10">
        <v>16</v>
      </c>
      <c r="K608" s="10">
        <f>SUMIFS(F:F,D:D,DST_123_ÜRETİM_İHTİYAÇ_RAPORU_BURAK_YENI1309[[#This Row],[ALT_KOD]])-(SUMIFS(H:H,D:D,DST_123_ÜRETİM_İHTİYAÇ_RAPORU_BURAK_YENI1309[[#This Row],[ALT_KOD]])+AVERAGEIFS(I:I,D:D,DST_123_ÜRETİM_İHTİYAÇ_RAPORU_BURAK_YENI1309[[#This Row],[ALT_KOD]])+AVERAGEIFS(L:L,D:D,DST_123_ÜRETİM_İHTİYAÇ_RAPORU_BURAK_YENI1309[[#This Row],[ALT_KOD]]))</f>
        <v>4</v>
      </c>
      <c r="L608">
        <v>20</v>
      </c>
      <c r="M608">
        <f>IF((DST_123_ÜRETİM_İHTİYAÇ_RAPORU_BURAK_YENI1309[[#This Row],[SATINALMA]]*DST_123_ÜRETİM_İHTİYAÇ_RAPORU_BURAK_YENI1309[[#This Row],[BIRIM_FIYATLAR]])&lt;1,VALUE("0"),DST_123_ÜRETİM_İHTİYAÇ_RAPORU_BURAK_YENI1309[[#This Row],[SATINALMA]]*DST_123_ÜRETİM_İHTİYAÇ_RAPORU_BURAK_YENI1309[[#This Row],[BIRIM_FIYATLAR]])</f>
        <v>10905.68</v>
      </c>
      <c r="N608">
        <v>2726.42</v>
      </c>
      <c r="O608" t="s">
        <v>1222</v>
      </c>
      <c r="P608">
        <v>2726.42</v>
      </c>
      <c r="Q608" t="s">
        <v>184</v>
      </c>
    </row>
    <row r="609" spans="1:17" x14ac:dyDescent="0.25">
      <c r="A609" t="s">
        <v>1099</v>
      </c>
      <c r="B609" t="s">
        <v>1055</v>
      </c>
      <c r="C609" t="s">
        <v>175</v>
      </c>
      <c r="D609" t="s">
        <v>32</v>
      </c>
      <c r="E609" t="s">
        <v>33</v>
      </c>
      <c r="F609">
        <v>1</v>
      </c>
      <c r="G609" t="s">
        <v>176</v>
      </c>
      <c r="H609">
        <v>0</v>
      </c>
      <c r="I609">
        <v>0</v>
      </c>
      <c r="J609" s="10">
        <v>16</v>
      </c>
      <c r="K609" s="10">
        <f>SUMIFS(F:F,D:D,DST_123_ÜRETİM_İHTİYAÇ_RAPORU_BURAK_YENI1309[[#This Row],[ALT_KOD]])-(SUMIFS(H:H,D:D,DST_123_ÜRETİM_İHTİYAÇ_RAPORU_BURAK_YENI1309[[#This Row],[ALT_KOD]])+AVERAGEIFS(I:I,D:D,DST_123_ÜRETİM_İHTİYAÇ_RAPORU_BURAK_YENI1309[[#This Row],[ALT_KOD]])+AVERAGEIFS(L:L,D:D,DST_123_ÜRETİM_İHTİYAÇ_RAPORU_BURAK_YENI1309[[#This Row],[ALT_KOD]]))</f>
        <v>4</v>
      </c>
      <c r="L609">
        <v>20</v>
      </c>
      <c r="M609">
        <f>IF((DST_123_ÜRETİM_İHTİYAÇ_RAPORU_BURAK_YENI1309[[#This Row],[SATINALMA]]*DST_123_ÜRETİM_İHTİYAÇ_RAPORU_BURAK_YENI1309[[#This Row],[BIRIM_FIYATLAR]])&lt;1,VALUE("0"),DST_123_ÜRETİM_İHTİYAÇ_RAPORU_BURAK_YENI1309[[#This Row],[SATINALMA]]*DST_123_ÜRETİM_İHTİYAÇ_RAPORU_BURAK_YENI1309[[#This Row],[BIRIM_FIYATLAR]])</f>
        <v>10905.68</v>
      </c>
      <c r="N609">
        <v>2726.42</v>
      </c>
      <c r="O609" t="s">
        <v>1222</v>
      </c>
      <c r="P609">
        <v>2726.42</v>
      </c>
      <c r="Q609" t="s">
        <v>184</v>
      </c>
    </row>
    <row r="610" spans="1:17" x14ac:dyDescent="0.25">
      <c r="A610" t="s">
        <v>1196</v>
      </c>
      <c r="B610" t="s">
        <v>1197</v>
      </c>
      <c r="C610" t="s">
        <v>175</v>
      </c>
      <c r="D610" t="s">
        <v>34</v>
      </c>
      <c r="E610" t="s">
        <v>35</v>
      </c>
      <c r="F610">
        <v>1</v>
      </c>
      <c r="G610" t="s">
        <v>176</v>
      </c>
      <c r="H610">
        <v>0</v>
      </c>
      <c r="I610">
        <v>17</v>
      </c>
      <c r="J610" s="10">
        <v>8</v>
      </c>
      <c r="K610" s="10">
        <f>SUMIFS(F:F,D:D,DST_123_ÜRETİM_İHTİYAÇ_RAPORU_BURAK_YENI1309[[#This Row],[ALT_KOD]])-(SUMIFS(H:H,D:D,DST_123_ÜRETİM_İHTİYAÇ_RAPORU_BURAK_YENI1309[[#This Row],[ALT_KOD]])+AVERAGEIFS(I:I,D:D,DST_123_ÜRETİM_İHTİYAÇ_RAPORU_BURAK_YENI1309[[#This Row],[ALT_KOD]])+AVERAGEIFS(L:L,D:D,DST_123_ÜRETİM_İHTİYAÇ_RAPORU_BURAK_YENI1309[[#This Row],[ALT_KOD]]))</f>
        <v>-1</v>
      </c>
      <c r="L610">
        <v>0</v>
      </c>
      <c r="M610">
        <f>IF((DST_123_ÜRETİM_İHTİYAÇ_RAPORU_BURAK_YENI1309[[#This Row],[SATINALMA]]*DST_123_ÜRETİM_İHTİYAÇ_RAPORU_BURAK_YENI1309[[#This Row],[BIRIM_FIYATLAR]])&lt;1,VALUE("0"),DST_123_ÜRETİM_İHTİYAÇ_RAPORU_BURAK_YENI1309[[#This Row],[SATINALMA]]*DST_123_ÜRETİM_İHTİYAÇ_RAPORU_BURAK_YENI1309[[#This Row],[BIRIM_FIYATLAR]])</f>
        <v>0</v>
      </c>
      <c r="N610">
        <v>33.340000000000003</v>
      </c>
      <c r="O610" t="s">
        <v>227</v>
      </c>
      <c r="P610">
        <v>33.340000000000003</v>
      </c>
      <c r="Q610" t="s">
        <v>221</v>
      </c>
    </row>
    <row r="611" spans="1:17" x14ac:dyDescent="0.25">
      <c r="A611" t="s">
        <v>1099</v>
      </c>
      <c r="B611" t="s">
        <v>1055</v>
      </c>
      <c r="C611" t="s">
        <v>175</v>
      </c>
      <c r="D611" t="s">
        <v>396</v>
      </c>
      <c r="E611" t="s">
        <v>397</v>
      </c>
      <c r="F611">
        <v>20</v>
      </c>
      <c r="G611" t="s">
        <v>176</v>
      </c>
      <c r="H611">
        <v>0</v>
      </c>
      <c r="I611">
        <v>2000</v>
      </c>
      <c r="J611" s="10">
        <v>7604</v>
      </c>
      <c r="K611" s="10">
        <f>SUMIFS(F:F,D:D,DST_123_ÜRETİM_İHTİYAÇ_RAPORU_BURAK_YENI1309[[#This Row],[ALT_KOD]])-(SUMIFS(H:H,D:D,DST_123_ÜRETİM_İHTİYAÇ_RAPORU_BURAK_YENI1309[[#This Row],[ALT_KOD]])+AVERAGEIFS(I:I,D:D,DST_123_ÜRETİM_İHTİYAÇ_RAPORU_BURAK_YENI1309[[#This Row],[ALT_KOD]])+AVERAGEIFS(L:L,D:D,DST_123_ÜRETİM_İHTİYAÇ_RAPORU_BURAK_YENI1309[[#This Row],[ALT_KOD]]))</f>
        <v>-1531</v>
      </c>
      <c r="L611">
        <v>0</v>
      </c>
      <c r="M611">
        <f>IF((DST_123_ÜRETİM_İHTİYAÇ_RAPORU_BURAK_YENI1309[[#This Row],[SATINALMA]]*DST_123_ÜRETİM_İHTİYAÇ_RAPORU_BURAK_YENI1309[[#This Row],[BIRIM_FIYATLAR]])&lt;1,VALUE("0"),DST_123_ÜRETİM_İHTİYAÇ_RAPORU_BURAK_YENI1309[[#This Row],[SATINALMA]]*DST_123_ÜRETİM_İHTİYAÇ_RAPORU_BURAK_YENI1309[[#This Row],[BIRIM_FIYATLAR]])</f>
        <v>0</v>
      </c>
      <c r="N611">
        <v>0.3</v>
      </c>
      <c r="O611" t="s">
        <v>240</v>
      </c>
      <c r="P611">
        <v>6</v>
      </c>
      <c r="Q611" t="s">
        <v>180</v>
      </c>
    </row>
    <row r="612" spans="1:17" x14ac:dyDescent="0.25">
      <c r="A612" t="s">
        <v>1196</v>
      </c>
      <c r="B612" t="s">
        <v>1197</v>
      </c>
      <c r="C612" t="s">
        <v>175</v>
      </c>
      <c r="D612" t="s">
        <v>396</v>
      </c>
      <c r="E612" t="s">
        <v>397</v>
      </c>
      <c r="F612">
        <v>31</v>
      </c>
      <c r="G612" t="s">
        <v>176</v>
      </c>
      <c r="H612">
        <v>0</v>
      </c>
      <c r="I612">
        <v>2000</v>
      </c>
      <c r="J612" s="10">
        <v>7604</v>
      </c>
      <c r="K612" s="10">
        <f>SUMIFS(F:F,D:D,DST_123_ÜRETİM_İHTİYAÇ_RAPORU_BURAK_YENI1309[[#This Row],[ALT_KOD]])-(SUMIFS(H:H,D:D,DST_123_ÜRETİM_İHTİYAÇ_RAPORU_BURAK_YENI1309[[#This Row],[ALT_KOD]])+AVERAGEIFS(I:I,D:D,DST_123_ÜRETİM_İHTİYAÇ_RAPORU_BURAK_YENI1309[[#This Row],[ALT_KOD]])+AVERAGEIFS(L:L,D:D,DST_123_ÜRETİM_İHTİYAÇ_RAPORU_BURAK_YENI1309[[#This Row],[ALT_KOD]]))</f>
        <v>-1531</v>
      </c>
      <c r="L612">
        <v>0</v>
      </c>
      <c r="M612">
        <f>IF((DST_123_ÜRETİM_İHTİYAÇ_RAPORU_BURAK_YENI1309[[#This Row],[SATINALMA]]*DST_123_ÜRETİM_İHTİYAÇ_RAPORU_BURAK_YENI1309[[#This Row],[BIRIM_FIYATLAR]])&lt;1,VALUE("0"),DST_123_ÜRETİM_İHTİYAÇ_RAPORU_BURAK_YENI1309[[#This Row],[SATINALMA]]*DST_123_ÜRETİM_İHTİYAÇ_RAPORU_BURAK_YENI1309[[#This Row],[BIRIM_FIYATLAR]])</f>
        <v>0</v>
      </c>
      <c r="N612">
        <v>0.3</v>
      </c>
      <c r="O612" t="s">
        <v>240</v>
      </c>
      <c r="P612">
        <v>9.2999999999999989</v>
      </c>
      <c r="Q612" t="s">
        <v>180</v>
      </c>
    </row>
    <row r="613" spans="1:17" x14ac:dyDescent="0.25">
      <c r="A613" t="s">
        <v>1060</v>
      </c>
      <c r="B613" t="s">
        <v>1061</v>
      </c>
      <c r="C613" t="s">
        <v>175</v>
      </c>
      <c r="D613" t="s">
        <v>32</v>
      </c>
      <c r="E613" t="s">
        <v>33</v>
      </c>
      <c r="F613">
        <v>1</v>
      </c>
      <c r="G613" t="s">
        <v>176</v>
      </c>
      <c r="H613">
        <v>0</v>
      </c>
      <c r="I613">
        <v>0</v>
      </c>
      <c r="J613" s="10">
        <v>16</v>
      </c>
      <c r="K613" s="10">
        <f>SUMIFS(F:F,D:D,DST_123_ÜRETİM_İHTİYAÇ_RAPORU_BURAK_YENI1309[[#This Row],[ALT_KOD]])-(SUMIFS(H:H,D:D,DST_123_ÜRETİM_İHTİYAÇ_RAPORU_BURAK_YENI1309[[#This Row],[ALT_KOD]])+AVERAGEIFS(I:I,D:D,DST_123_ÜRETİM_İHTİYAÇ_RAPORU_BURAK_YENI1309[[#This Row],[ALT_KOD]])+AVERAGEIFS(L:L,D:D,DST_123_ÜRETİM_İHTİYAÇ_RAPORU_BURAK_YENI1309[[#This Row],[ALT_KOD]]))</f>
        <v>4</v>
      </c>
      <c r="L613">
        <v>20</v>
      </c>
      <c r="M613">
        <f>IF((DST_123_ÜRETİM_İHTİYAÇ_RAPORU_BURAK_YENI1309[[#This Row],[SATINALMA]]*DST_123_ÜRETİM_İHTİYAÇ_RAPORU_BURAK_YENI1309[[#This Row],[BIRIM_FIYATLAR]])&lt;1,VALUE("0"),DST_123_ÜRETİM_İHTİYAÇ_RAPORU_BURAK_YENI1309[[#This Row],[SATINALMA]]*DST_123_ÜRETİM_İHTİYAÇ_RAPORU_BURAK_YENI1309[[#This Row],[BIRIM_FIYATLAR]])</f>
        <v>10905.68</v>
      </c>
      <c r="N613">
        <v>2726.42</v>
      </c>
      <c r="O613" t="s">
        <v>1222</v>
      </c>
      <c r="P613">
        <v>2726.42</v>
      </c>
      <c r="Q613" t="s">
        <v>184</v>
      </c>
    </row>
    <row r="614" spans="1:17" x14ac:dyDescent="0.25">
      <c r="A614" t="s">
        <v>1060</v>
      </c>
      <c r="B614" t="s">
        <v>1061</v>
      </c>
      <c r="C614" t="s">
        <v>175</v>
      </c>
      <c r="D614" t="s">
        <v>34</v>
      </c>
      <c r="E614" t="s">
        <v>35</v>
      </c>
      <c r="F614">
        <v>1</v>
      </c>
      <c r="G614" t="s">
        <v>176</v>
      </c>
      <c r="H614">
        <v>1</v>
      </c>
      <c r="I614">
        <v>17</v>
      </c>
      <c r="J614" s="10">
        <v>8</v>
      </c>
      <c r="K614" s="10">
        <f>SUMIFS(F:F,D:D,DST_123_ÜRETİM_İHTİYAÇ_RAPORU_BURAK_YENI1309[[#This Row],[ALT_KOD]])-(SUMIFS(H:H,D:D,DST_123_ÜRETİM_İHTİYAÇ_RAPORU_BURAK_YENI1309[[#This Row],[ALT_KOD]])+AVERAGEIFS(I:I,D:D,DST_123_ÜRETİM_İHTİYAÇ_RAPORU_BURAK_YENI1309[[#This Row],[ALT_KOD]])+AVERAGEIFS(L:L,D:D,DST_123_ÜRETİM_İHTİYAÇ_RAPORU_BURAK_YENI1309[[#This Row],[ALT_KOD]]))</f>
        <v>-1</v>
      </c>
      <c r="L614">
        <v>0</v>
      </c>
      <c r="M614">
        <f>IF((DST_123_ÜRETİM_İHTİYAÇ_RAPORU_BURAK_YENI1309[[#This Row],[SATINALMA]]*DST_123_ÜRETİM_İHTİYAÇ_RAPORU_BURAK_YENI1309[[#This Row],[BIRIM_FIYATLAR]])&lt;1,VALUE("0"),DST_123_ÜRETİM_İHTİYAÇ_RAPORU_BURAK_YENI1309[[#This Row],[SATINALMA]]*DST_123_ÜRETİM_İHTİYAÇ_RAPORU_BURAK_YENI1309[[#This Row],[BIRIM_FIYATLAR]])</f>
        <v>0</v>
      </c>
      <c r="N614">
        <v>33.340000000000003</v>
      </c>
      <c r="O614" t="s">
        <v>227</v>
      </c>
      <c r="P614">
        <v>33.340000000000003</v>
      </c>
      <c r="Q614" t="s">
        <v>221</v>
      </c>
    </row>
    <row r="615" spans="1:17" x14ac:dyDescent="0.25">
      <c r="A615" t="s">
        <v>1147</v>
      </c>
      <c r="B615" t="s">
        <v>1145</v>
      </c>
      <c r="C615" t="s">
        <v>175</v>
      </c>
      <c r="D615" t="s">
        <v>396</v>
      </c>
      <c r="E615" t="s">
        <v>397</v>
      </c>
      <c r="F615">
        <v>31</v>
      </c>
      <c r="G615" t="s">
        <v>176</v>
      </c>
      <c r="H615">
        <v>0</v>
      </c>
      <c r="I615">
        <v>2000</v>
      </c>
      <c r="J615" s="10">
        <v>7604</v>
      </c>
      <c r="K615" s="10">
        <f>SUMIFS(F:F,D:D,DST_123_ÜRETİM_İHTİYAÇ_RAPORU_BURAK_YENI1309[[#This Row],[ALT_KOD]])-(SUMIFS(H:H,D:D,DST_123_ÜRETİM_İHTİYAÇ_RAPORU_BURAK_YENI1309[[#This Row],[ALT_KOD]])+AVERAGEIFS(I:I,D:D,DST_123_ÜRETİM_İHTİYAÇ_RAPORU_BURAK_YENI1309[[#This Row],[ALT_KOD]])+AVERAGEIFS(L:L,D:D,DST_123_ÜRETİM_İHTİYAÇ_RAPORU_BURAK_YENI1309[[#This Row],[ALT_KOD]]))</f>
        <v>-1531</v>
      </c>
      <c r="L615">
        <v>0</v>
      </c>
      <c r="M615">
        <f>IF((DST_123_ÜRETİM_İHTİYAÇ_RAPORU_BURAK_YENI1309[[#This Row],[SATINALMA]]*DST_123_ÜRETİM_İHTİYAÇ_RAPORU_BURAK_YENI1309[[#This Row],[BIRIM_FIYATLAR]])&lt;1,VALUE("0"),DST_123_ÜRETİM_İHTİYAÇ_RAPORU_BURAK_YENI1309[[#This Row],[SATINALMA]]*DST_123_ÜRETİM_İHTİYAÇ_RAPORU_BURAK_YENI1309[[#This Row],[BIRIM_FIYATLAR]])</f>
        <v>0</v>
      </c>
      <c r="N615">
        <v>0.3</v>
      </c>
      <c r="O615" t="s">
        <v>240</v>
      </c>
      <c r="P615">
        <v>9.2999999999999989</v>
      </c>
      <c r="Q615" t="s">
        <v>180</v>
      </c>
    </row>
    <row r="616" spans="1:17" x14ac:dyDescent="0.25">
      <c r="A616" t="s">
        <v>1099</v>
      </c>
      <c r="B616" t="s">
        <v>1055</v>
      </c>
      <c r="C616" t="s">
        <v>175</v>
      </c>
      <c r="D616" t="s">
        <v>84</v>
      </c>
      <c r="E616" t="s">
        <v>85</v>
      </c>
      <c r="F616">
        <v>2</v>
      </c>
      <c r="G616" t="s">
        <v>176</v>
      </c>
      <c r="H616">
        <v>2</v>
      </c>
      <c r="I616">
        <v>40</v>
      </c>
      <c r="J616" s="10">
        <v>16</v>
      </c>
      <c r="K616" s="10">
        <f>SUMIFS(F:F,D:D,DST_123_ÜRETİM_İHTİYAÇ_RAPORU_BURAK_YENI1309[[#This Row],[ALT_KOD]])-(SUMIFS(H:H,D:D,DST_123_ÜRETİM_İHTİYAÇ_RAPORU_BURAK_YENI1309[[#This Row],[ALT_KOD]])+AVERAGEIFS(I:I,D:D,DST_123_ÜRETİM_İHTİYAÇ_RAPORU_BURAK_YENI1309[[#This Row],[ALT_KOD]])+AVERAGEIFS(L:L,D:D,DST_123_ÜRETİM_İHTİYAÇ_RAPORU_BURAK_YENI1309[[#This Row],[ALT_KOD]]))</f>
        <v>-18</v>
      </c>
      <c r="L616">
        <v>0</v>
      </c>
      <c r="M616">
        <f>IF((DST_123_ÜRETİM_İHTİYAÇ_RAPORU_BURAK_YENI1309[[#This Row],[SATINALMA]]*DST_123_ÜRETİM_İHTİYAÇ_RAPORU_BURAK_YENI1309[[#This Row],[BIRIM_FIYATLAR]])&lt;1,VALUE("0"),DST_123_ÜRETİM_İHTİYAÇ_RAPORU_BURAK_YENI1309[[#This Row],[SATINALMA]]*DST_123_ÜRETİM_İHTİYAÇ_RAPORU_BURAK_YENI1309[[#This Row],[BIRIM_FIYATLAR]])</f>
        <v>0</v>
      </c>
      <c r="N616">
        <v>375</v>
      </c>
      <c r="O616" t="s">
        <v>247</v>
      </c>
      <c r="P616">
        <v>750</v>
      </c>
      <c r="Q616" t="s">
        <v>177</v>
      </c>
    </row>
    <row r="617" spans="1:17" x14ac:dyDescent="0.25">
      <c r="A617" t="s">
        <v>1147</v>
      </c>
      <c r="B617" t="s">
        <v>1145</v>
      </c>
      <c r="C617" t="s">
        <v>175</v>
      </c>
      <c r="D617" t="s">
        <v>32</v>
      </c>
      <c r="E617" t="s">
        <v>33</v>
      </c>
      <c r="F617">
        <v>1</v>
      </c>
      <c r="G617" t="s">
        <v>176</v>
      </c>
      <c r="H617">
        <v>0</v>
      </c>
      <c r="I617">
        <v>0</v>
      </c>
      <c r="J617" s="10">
        <v>16</v>
      </c>
      <c r="K617" s="10">
        <f>SUMIFS(F:F,D:D,DST_123_ÜRETİM_İHTİYAÇ_RAPORU_BURAK_YENI1309[[#This Row],[ALT_KOD]])-(SUMIFS(H:H,D:D,DST_123_ÜRETİM_İHTİYAÇ_RAPORU_BURAK_YENI1309[[#This Row],[ALT_KOD]])+AVERAGEIFS(I:I,D:D,DST_123_ÜRETİM_İHTİYAÇ_RAPORU_BURAK_YENI1309[[#This Row],[ALT_KOD]])+AVERAGEIFS(L:L,D:D,DST_123_ÜRETİM_İHTİYAÇ_RAPORU_BURAK_YENI1309[[#This Row],[ALT_KOD]]))</f>
        <v>4</v>
      </c>
      <c r="L617">
        <v>20</v>
      </c>
      <c r="M617">
        <f>IF((DST_123_ÜRETİM_İHTİYAÇ_RAPORU_BURAK_YENI1309[[#This Row],[SATINALMA]]*DST_123_ÜRETİM_İHTİYAÇ_RAPORU_BURAK_YENI1309[[#This Row],[BIRIM_FIYATLAR]])&lt;1,VALUE("0"),DST_123_ÜRETİM_İHTİYAÇ_RAPORU_BURAK_YENI1309[[#This Row],[SATINALMA]]*DST_123_ÜRETİM_İHTİYAÇ_RAPORU_BURAK_YENI1309[[#This Row],[BIRIM_FIYATLAR]])</f>
        <v>10905.68</v>
      </c>
      <c r="N617">
        <v>2726.42</v>
      </c>
      <c r="O617" t="s">
        <v>1222</v>
      </c>
      <c r="P617">
        <v>2726.42</v>
      </c>
      <c r="Q617" t="s">
        <v>184</v>
      </c>
    </row>
    <row r="618" spans="1:17" x14ac:dyDescent="0.25">
      <c r="A618" t="s">
        <v>1147</v>
      </c>
      <c r="B618" t="s">
        <v>1145</v>
      </c>
      <c r="C618" t="s">
        <v>175</v>
      </c>
      <c r="D618" t="s">
        <v>34</v>
      </c>
      <c r="E618" t="s">
        <v>35</v>
      </c>
      <c r="F618">
        <v>1</v>
      </c>
      <c r="G618" t="s">
        <v>176</v>
      </c>
      <c r="H618">
        <v>0</v>
      </c>
      <c r="I618">
        <v>17</v>
      </c>
      <c r="J618" s="10">
        <v>8</v>
      </c>
      <c r="K618" s="10">
        <f>SUMIFS(F:F,D:D,DST_123_ÜRETİM_İHTİYAÇ_RAPORU_BURAK_YENI1309[[#This Row],[ALT_KOD]])-(SUMIFS(H:H,D:D,DST_123_ÜRETİM_İHTİYAÇ_RAPORU_BURAK_YENI1309[[#This Row],[ALT_KOD]])+AVERAGEIFS(I:I,D:D,DST_123_ÜRETİM_İHTİYAÇ_RAPORU_BURAK_YENI1309[[#This Row],[ALT_KOD]])+AVERAGEIFS(L:L,D:D,DST_123_ÜRETİM_İHTİYAÇ_RAPORU_BURAK_YENI1309[[#This Row],[ALT_KOD]]))</f>
        <v>-1</v>
      </c>
      <c r="L618">
        <v>0</v>
      </c>
      <c r="M618">
        <f>IF((DST_123_ÜRETİM_İHTİYAÇ_RAPORU_BURAK_YENI1309[[#This Row],[SATINALMA]]*DST_123_ÜRETİM_İHTİYAÇ_RAPORU_BURAK_YENI1309[[#This Row],[BIRIM_FIYATLAR]])&lt;1,VALUE("0"),DST_123_ÜRETİM_İHTİYAÇ_RAPORU_BURAK_YENI1309[[#This Row],[SATINALMA]]*DST_123_ÜRETİM_İHTİYAÇ_RAPORU_BURAK_YENI1309[[#This Row],[BIRIM_FIYATLAR]])</f>
        <v>0</v>
      </c>
      <c r="N618">
        <v>33.340000000000003</v>
      </c>
      <c r="O618" t="s">
        <v>227</v>
      </c>
      <c r="P618">
        <v>33.340000000000003</v>
      </c>
      <c r="Q618" t="s">
        <v>221</v>
      </c>
    </row>
    <row r="619" spans="1:17" x14ac:dyDescent="0.25">
      <c r="A619" t="s">
        <v>1148</v>
      </c>
      <c r="B619" t="s">
        <v>1056</v>
      </c>
      <c r="C619" t="s">
        <v>175</v>
      </c>
      <c r="D619" t="s">
        <v>34</v>
      </c>
      <c r="E619" t="s">
        <v>35</v>
      </c>
      <c r="F619">
        <v>3</v>
      </c>
      <c r="G619" t="s">
        <v>176</v>
      </c>
      <c r="H619">
        <v>0</v>
      </c>
      <c r="I619">
        <v>17</v>
      </c>
      <c r="J619" s="10">
        <v>8</v>
      </c>
      <c r="K619" s="10">
        <f>SUMIFS(F:F,D:D,DST_123_ÜRETİM_İHTİYAÇ_RAPORU_BURAK_YENI1309[[#This Row],[ALT_KOD]])-(SUMIFS(H:H,D:D,DST_123_ÜRETİM_İHTİYAÇ_RAPORU_BURAK_YENI1309[[#This Row],[ALT_KOD]])+AVERAGEIFS(I:I,D:D,DST_123_ÜRETİM_İHTİYAÇ_RAPORU_BURAK_YENI1309[[#This Row],[ALT_KOD]])+AVERAGEIFS(L:L,D:D,DST_123_ÜRETİM_İHTİYAÇ_RAPORU_BURAK_YENI1309[[#This Row],[ALT_KOD]]))</f>
        <v>-1</v>
      </c>
      <c r="L619">
        <v>0</v>
      </c>
      <c r="M619">
        <f>IF((DST_123_ÜRETİM_İHTİYAÇ_RAPORU_BURAK_YENI1309[[#This Row],[SATINALMA]]*DST_123_ÜRETİM_İHTİYAÇ_RAPORU_BURAK_YENI1309[[#This Row],[BIRIM_FIYATLAR]])&lt;1,VALUE("0"),DST_123_ÜRETİM_İHTİYAÇ_RAPORU_BURAK_YENI1309[[#This Row],[SATINALMA]]*DST_123_ÜRETİM_İHTİYAÇ_RAPORU_BURAK_YENI1309[[#This Row],[BIRIM_FIYATLAR]])</f>
        <v>0</v>
      </c>
      <c r="N619">
        <v>33.340000000000003</v>
      </c>
      <c r="O619" t="s">
        <v>227</v>
      </c>
      <c r="P619">
        <v>100.02000000000001</v>
      </c>
      <c r="Q619" t="s">
        <v>221</v>
      </c>
    </row>
    <row r="620" spans="1:17" x14ac:dyDescent="0.25">
      <c r="A620" t="s">
        <v>1148</v>
      </c>
      <c r="B620" t="s">
        <v>1056</v>
      </c>
      <c r="C620" t="s">
        <v>175</v>
      </c>
      <c r="D620" t="s">
        <v>911</v>
      </c>
      <c r="E620" t="s">
        <v>912</v>
      </c>
      <c r="F620">
        <v>16</v>
      </c>
      <c r="G620" t="s">
        <v>176</v>
      </c>
      <c r="H620">
        <v>0</v>
      </c>
      <c r="I620">
        <v>1000</v>
      </c>
      <c r="J620" s="10">
        <v>0</v>
      </c>
      <c r="K620" s="10">
        <f>SUMIFS(F:F,D:D,DST_123_ÜRETİM_İHTİYAÇ_RAPORU_BURAK_YENI1309[[#This Row],[ALT_KOD]])-(SUMIFS(H:H,D:D,DST_123_ÜRETİM_İHTİYAÇ_RAPORU_BURAK_YENI1309[[#This Row],[ALT_KOD]])+AVERAGEIFS(I:I,D:D,DST_123_ÜRETİM_İHTİYAÇ_RAPORU_BURAK_YENI1309[[#This Row],[ALT_KOD]])+AVERAGEIFS(L:L,D:D,DST_123_ÜRETİM_İHTİYAÇ_RAPORU_BURAK_YENI1309[[#This Row],[ALT_KOD]]))</f>
        <v>-936</v>
      </c>
      <c r="L620">
        <v>0</v>
      </c>
      <c r="M620">
        <f>IF((DST_123_ÜRETİM_İHTİYAÇ_RAPORU_BURAK_YENI1309[[#This Row],[SATINALMA]]*DST_123_ÜRETİM_İHTİYAÇ_RAPORU_BURAK_YENI1309[[#This Row],[BIRIM_FIYATLAR]])&lt;1,VALUE("0"),DST_123_ÜRETİM_İHTİYAÇ_RAPORU_BURAK_YENI1309[[#This Row],[SATINALMA]]*DST_123_ÜRETİM_İHTİYAÇ_RAPORU_BURAK_YENI1309[[#This Row],[BIRIM_FIYATLAR]])</f>
        <v>0</v>
      </c>
      <c r="N620">
        <v>0.15</v>
      </c>
      <c r="O620" t="s">
        <v>240</v>
      </c>
      <c r="P620">
        <v>2.4</v>
      </c>
      <c r="Q620" t="s">
        <v>180</v>
      </c>
    </row>
    <row r="621" spans="1:17" x14ac:dyDescent="0.25">
      <c r="A621" t="s">
        <v>1060</v>
      </c>
      <c r="B621" t="s">
        <v>1061</v>
      </c>
      <c r="C621" t="s">
        <v>175</v>
      </c>
      <c r="D621" t="s">
        <v>396</v>
      </c>
      <c r="E621" t="s">
        <v>397</v>
      </c>
      <c r="F621">
        <v>31</v>
      </c>
      <c r="G621" t="s">
        <v>176</v>
      </c>
      <c r="H621">
        <v>0</v>
      </c>
      <c r="I621">
        <v>2000</v>
      </c>
      <c r="J621" s="10">
        <v>7604</v>
      </c>
      <c r="K621" s="10">
        <f>SUMIFS(F:F,D:D,DST_123_ÜRETİM_İHTİYAÇ_RAPORU_BURAK_YENI1309[[#This Row],[ALT_KOD]])-(SUMIFS(H:H,D:D,DST_123_ÜRETİM_İHTİYAÇ_RAPORU_BURAK_YENI1309[[#This Row],[ALT_KOD]])+AVERAGEIFS(I:I,D:D,DST_123_ÜRETİM_İHTİYAÇ_RAPORU_BURAK_YENI1309[[#This Row],[ALT_KOD]])+AVERAGEIFS(L:L,D:D,DST_123_ÜRETİM_İHTİYAÇ_RAPORU_BURAK_YENI1309[[#This Row],[ALT_KOD]]))</f>
        <v>-1531</v>
      </c>
      <c r="L621">
        <v>0</v>
      </c>
      <c r="M621">
        <f>IF((DST_123_ÜRETİM_İHTİYAÇ_RAPORU_BURAK_YENI1309[[#This Row],[SATINALMA]]*DST_123_ÜRETİM_İHTİYAÇ_RAPORU_BURAK_YENI1309[[#This Row],[BIRIM_FIYATLAR]])&lt;1,VALUE("0"),DST_123_ÜRETİM_İHTİYAÇ_RAPORU_BURAK_YENI1309[[#This Row],[SATINALMA]]*DST_123_ÜRETİM_İHTİYAÇ_RAPORU_BURAK_YENI1309[[#This Row],[BIRIM_FIYATLAR]])</f>
        <v>0</v>
      </c>
      <c r="N621">
        <v>0.3</v>
      </c>
      <c r="O621" t="s">
        <v>240</v>
      </c>
      <c r="P621">
        <v>9.2999999999999989</v>
      </c>
      <c r="Q621" t="s">
        <v>180</v>
      </c>
    </row>
    <row r="622" spans="1:17" x14ac:dyDescent="0.25">
      <c r="A622" t="s">
        <v>1057</v>
      </c>
      <c r="B622" t="s">
        <v>1058</v>
      </c>
      <c r="C622" t="s">
        <v>175</v>
      </c>
      <c r="D622" t="s">
        <v>396</v>
      </c>
      <c r="E622" t="s">
        <v>397</v>
      </c>
      <c r="F622">
        <v>17</v>
      </c>
      <c r="G622" t="s">
        <v>176</v>
      </c>
      <c r="H622">
        <v>0</v>
      </c>
      <c r="I622">
        <v>2000</v>
      </c>
      <c r="J622" s="10">
        <v>7604</v>
      </c>
      <c r="K622" s="10">
        <f>SUMIFS(F:F,D:D,DST_123_ÜRETİM_İHTİYAÇ_RAPORU_BURAK_YENI1309[[#This Row],[ALT_KOD]])-(SUMIFS(H:H,D:D,DST_123_ÜRETİM_İHTİYAÇ_RAPORU_BURAK_YENI1309[[#This Row],[ALT_KOD]])+AVERAGEIFS(I:I,D:D,DST_123_ÜRETİM_İHTİYAÇ_RAPORU_BURAK_YENI1309[[#This Row],[ALT_KOD]])+AVERAGEIFS(L:L,D:D,DST_123_ÜRETİM_İHTİYAÇ_RAPORU_BURAK_YENI1309[[#This Row],[ALT_KOD]]))</f>
        <v>-1531</v>
      </c>
      <c r="L622">
        <v>0</v>
      </c>
      <c r="M622">
        <f>IF((DST_123_ÜRETİM_İHTİYAÇ_RAPORU_BURAK_YENI1309[[#This Row],[SATINALMA]]*DST_123_ÜRETİM_İHTİYAÇ_RAPORU_BURAK_YENI1309[[#This Row],[BIRIM_FIYATLAR]])&lt;1,VALUE("0"),DST_123_ÜRETİM_İHTİYAÇ_RAPORU_BURAK_YENI1309[[#This Row],[SATINALMA]]*DST_123_ÜRETİM_İHTİYAÇ_RAPORU_BURAK_YENI1309[[#This Row],[BIRIM_FIYATLAR]])</f>
        <v>0</v>
      </c>
      <c r="N622">
        <v>0.3</v>
      </c>
      <c r="O622" t="s">
        <v>240</v>
      </c>
      <c r="P622">
        <v>5.0999999999999996</v>
      </c>
      <c r="Q622" t="s">
        <v>180</v>
      </c>
    </row>
    <row r="623" spans="1:17" x14ac:dyDescent="0.25">
      <c r="A623" t="s">
        <v>1100</v>
      </c>
      <c r="B623" t="s">
        <v>1058</v>
      </c>
      <c r="C623" t="s">
        <v>175</v>
      </c>
      <c r="D623" t="s">
        <v>396</v>
      </c>
      <c r="E623" t="s">
        <v>397</v>
      </c>
      <c r="F623">
        <v>17</v>
      </c>
      <c r="G623" t="s">
        <v>176</v>
      </c>
      <c r="H623">
        <v>0</v>
      </c>
      <c r="I623">
        <v>2000</v>
      </c>
      <c r="J623" s="10">
        <v>7604</v>
      </c>
      <c r="K623" s="10">
        <f>SUMIFS(F:F,D:D,DST_123_ÜRETİM_İHTİYAÇ_RAPORU_BURAK_YENI1309[[#This Row],[ALT_KOD]])-(SUMIFS(H:H,D:D,DST_123_ÜRETİM_İHTİYAÇ_RAPORU_BURAK_YENI1309[[#This Row],[ALT_KOD]])+AVERAGEIFS(I:I,D:D,DST_123_ÜRETİM_İHTİYAÇ_RAPORU_BURAK_YENI1309[[#This Row],[ALT_KOD]])+AVERAGEIFS(L:L,D:D,DST_123_ÜRETİM_İHTİYAÇ_RAPORU_BURAK_YENI1309[[#This Row],[ALT_KOD]]))</f>
        <v>-1531</v>
      </c>
      <c r="L623">
        <v>0</v>
      </c>
      <c r="M623">
        <f>IF((DST_123_ÜRETİM_İHTİYAÇ_RAPORU_BURAK_YENI1309[[#This Row],[SATINALMA]]*DST_123_ÜRETİM_İHTİYAÇ_RAPORU_BURAK_YENI1309[[#This Row],[BIRIM_FIYATLAR]])&lt;1,VALUE("0"),DST_123_ÜRETİM_İHTİYAÇ_RAPORU_BURAK_YENI1309[[#This Row],[SATINALMA]]*DST_123_ÜRETİM_İHTİYAÇ_RAPORU_BURAK_YENI1309[[#This Row],[BIRIM_FIYATLAR]])</f>
        <v>0</v>
      </c>
      <c r="N623">
        <v>0.3</v>
      </c>
      <c r="O623" t="s">
        <v>240</v>
      </c>
      <c r="P623">
        <v>5.0999999999999996</v>
      </c>
      <c r="Q623" t="s">
        <v>180</v>
      </c>
    </row>
    <row r="624" spans="1:17" x14ac:dyDescent="0.25">
      <c r="A624" t="s">
        <v>1148</v>
      </c>
      <c r="B624" t="s">
        <v>1056</v>
      </c>
      <c r="C624" t="s">
        <v>175</v>
      </c>
      <c r="D624" t="s">
        <v>396</v>
      </c>
      <c r="E624" t="s">
        <v>397</v>
      </c>
      <c r="F624">
        <v>30</v>
      </c>
      <c r="G624" t="s">
        <v>176</v>
      </c>
      <c r="H624">
        <v>0</v>
      </c>
      <c r="I624">
        <v>2000</v>
      </c>
      <c r="J624" s="10">
        <v>7604</v>
      </c>
      <c r="K624" s="10">
        <f>SUMIFS(F:F,D:D,DST_123_ÜRETİM_İHTİYAÇ_RAPORU_BURAK_YENI1309[[#This Row],[ALT_KOD]])-(SUMIFS(H:H,D:D,DST_123_ÜRETİM_İHTİYAÇ_RAPORU_BURAK_YENI1309[[#This Row],[ALT_KOD]])+AVERAGEIFS(I:I,D:D,DST_123_ÜRETİM_İHTİYAÇ_RAPORU_BURAK_YENI1309[[#This Row],[ALT_KOD]])+AVERAGEIFS(L:L,D:D,DST_123_ÜRETİM_İHTİYAÇ_RAPORU_BURAK_YENI1309[[#This Row],[ALT_KOD]]))</f>
        <v>-1531</v>
      </c>
      <c r="L624">
        <v>0</v>
      </c>
      <c r="M624">
        <f>IF((DST_123_ÜRETİM_İHTİYAÇ_RAPORU_BURAK_YENI1309[[#This Row],[SATINALMA]]*DST_123_ÜRETİM_İHTİYAÇ_RAPORU_BURAK_YENI1309[[#This Row],[BIRIM_FIYATLAR]])&lt;1,VALUE("0"),DST_123_ÜRETİM_İHTİYAÇ_RAPORU_BURAK_YENI1309[[#This Row],[SATINALMA]]*DST_123_ÜRETİM_İHTİYAÇ_RAPORU_BURAK_YENI1309[[#This Row],[BIRIM_FIYATLAR]])</f>
        <v>0</v>
      </c>
      <c r="N624">
        <v>0.3</v>
      </c>
      <c r="O624" t="s">
        <v>240</v>
      </c>
      <c r="P624">
        <v>9</v>
      </c>
      <c r="Q624" t="s">
        <v>180</v>
      </c>
    </row>
    <row r="625" spans="1:17" x14ac:dyDescent="0.25">
      <c r="A625" t="s">
        <v>1196</v>
      </c>
      <c r="B625" t="s">
        <v>1197</v>
      </c>
      <c r="C625" t="s">
        <v>175</v>
      </c>
      <c r="D625" t="s">
        <v>198</v>
      </c>
      <c r="E625" t="s">
        <v>199</v>
      </c>
      <c r="F625">
        <v>1</v>
      </c>
      <c r="G625" t="s">
        <v>176</v>
      </c>
      <c r="H625">
        <v>0</v>
      </c>
      <c r="I625">
        <v>1</v>
      </c>
      <c r="J625" s="10">
        <v>8</v>
      </c>
      <c r="K625" s="10">
        <f>SUMIFS(F:F,D:D,DST_123_ÜRETİM_İHTİYAÇ_RAPORU_BURAK_YENI1309[[#This Row],[ALT_KOD]])-(SUMIFS(H:H,D:D,DST_123_ÜRETİM_İHTİYAÇ_RAPORU_BURAK_YENI1309[[#This Row],[ALT_KOD]])+AVERAGEIFS(I:I,D:D,DST_123_ÜRETİM_İHTİYAÇ_RAPORU_BURAK_YENI1309[[#This Row],[ALT_KOD]])+AVERAGEIFS(L:L,D:D,DST_123_ÜRETİM_İHTİYAÇ_RAPORU_BURAK_YENI1309[[#This Row],[ALT_KOD]]))</f>
        <v>10</v>
      </c>
      <c r="L625">
        <v>0</v>
      </c>
      <c r="M625">
        <f>IF((DST_123_ÜRETİM_İHTİYAÇ_RAPORU_BURAK_YENI1309[[#This Row],[SATINALMA]]*DST_123_ÜRETİM_İHTİYAÇ_RAPORU_BURAK_YENI1309[[#This Row],[BIRIM_FIYATLAR]])&lt;1,VALUE("0"),DST_123_ÜRETİM_İHTİYAÇ_RAPORU_BURAK_YENI1309[[#This Row],[SATINALMA]]*DST_123_ÜRETİM_İHTİYAÇ_RAPORU_BURAK_YENI1309[[#This Row],[BIRIM_FIYATLAR]])</f>
        <v>156184.20000000001</v>
      </c>
      <c r="N625">
        <v>15618.42</v>
      </c>
      <c r="O625" t="s">
        <v>215</v>
      </c>
      <c r="P625">
        <v>15618.42</v>
      </c>
      <c r="Q625" t="s">
        <v>177</v>
      </c>
    </row>
    <row r="626" spans="1:17" x14ac:dyDescent="0.25">
      <c r="A626" t="s">
        <v>1064</v>
      </c>
      <c r="B626" t="s">
        <v>1055</v>
      </c>
      <c r="C626" t="s">
        <v>175</v>
      </c>
      <c r="D626" t="s">
        <v>307</v>
      </c>
      <c r="E626" t="s">
        <v>308</v>
      </c>
      <c r="F626">
        <v>3</v>
      </c>
      <c r="G626" t="s">
        <v>176</v>
      </c>
      <c r="H626">
        <v>0</v>
      </c>
      <c r="I626">
        <v>13</v>
      </c>
      <c r="J626" s="10">
        <v>1</v>
      </c>
      <c r="K626" s="10">
        <f>SUMIFS(F:F,D:D,DST_123_ÜRETİM_İHTİYAÇ_RAPORU_BURAK_YENI1309[[#This Row],[ALT_KOD]])-(SUMIFS(H:H,D:D,DST_123_ÜRETİM_İHTİYAÇ_RAPORU_BURAK_YENI1309[[#This Row],[ALT_KOD]])+AVERAGEIFS(I:I,D:D,DST_123_ÜRETİM_İHTİYAÇ_RAPORU_BURAK_YENI1309[[#This Row],[ALT_KOD]])+AVERAGEIFS(L:L,D:D,DST_123_ÜRETİM_İHTİYAÇ_RAPORU_BURAK_YENI1309[[#This Row],[ALT_KOD]]))</f>
        <v>24</v>
      </c>
      <c r="L626">
        <v>0</v>
      </c>
      <c r="M626">
        <f>IF((DST_123_ÜRETİM_İHTİYAÇ_RAPORU_BURAK_YENI1309[[#This Row],[SATINALMA]]*DST_123_ÜRETİM_İHTİYAÇ_RAPORU_BURAK_YENI1309[[#This Row],[BIRIM_FIYATLAR]])&lt;1,VALUE("0"),DST_123_ÜRETİM_İHTİYAÇ_RAPORU_BURAK_YENI1309[[#This Row],[SATINALMA]]*DST_123_ÜRETİM_İHTİYAÇ_RAPORU_BURAK_YENI1309[[#This Row],[BIRIM_FIYATLAR]])</f>
        <v>1570.08</v>
      </c>
      <c r="N626">
        <v>65.42</v>
      </c>
      <c r="O626" t="s">
        <v>628</v>
      </c>
      <c r="P626">
        <v>196.26</v>
      </c>
      <c r="Q626" t="s">
        <v>178</v>
      </c>
    </row>
    <row r="627" spans="1:17" x14ac:dyDescent="0.25">
      <c r="A627" t="s">
        <v>1099</v>
      </c>
      <c r="B627" t="s">
        <v>1055</v>
      </c>
      <c r="C627" t="s">
        <v>175</v>
      </c>
      <c r="D627" t="s">
        <v>577</v>
      </c>
      <c r="E627" t="s">
        <v>578</v>
      </c>
      <c r="F627">
        <v>0.2</v>
      </c>
      <c r="G627" t="s">
        <v>185</v>
      </c>
      <c r="H627">
        <v>0</v>
      </c>
      <c r="I627">
        <v>12</v>
      </c>
      <c r="J627" s="10">
        <v>1.2000000000000011</v>
      </c>
      <c r="K627" s="10">
        <f>SUMIFS(F:F,D:D,DST_123_ÜRETİM_İHTİYAÇ_RAPORU_BURAK_YENI1309[[#This Row],[ALT_KOD]])-(SUMIFS(H:H,D:D,DST_123_ÜRETİM_İHTİYAÇ_RAPORU_BURAK_YENI1309[[#This Row],[ALT_KOD]])+AVERAGEIFS(I:I,D:D,DST_123_ÜRETİM_İHTİYAÇ_RAPORU_BURAK_YENI1309[[#This Row],[ALT_KOD]])+AVERAGEIFS(L:L,D:D,DST_123_ÜRETİM_İHTİYAÇ_RAPORU_BURAK_YENI1309[[#This Row],[ALT_KOD]]))</f>
        <v>-10.199999999999999</v>
      </c>
      <c r="L627">
        <v>0</v>
      </c>
      <c r="M627">
        <f>IF((DST_123_ÜRETİM_İHTİYAÇ_RAPORU_BURAK_YENI1309[[#This Row],[SATINALMA]]*DST_123_ÜRETİM_İHTİYAÇ_RAPORU_BURAK_YENI1309[[#This Row],[BIRIM_FIYATLAR]])&lt;1,VALUE("0"),DST_123_ÜRETİM_İHTİYAÇ_RAPORU_BURAK_YENI1309[[#This Row],[SATINALMA]]*DST_123_ÜRETİM_İHTİYAÇ_RAPORU_BURAK_YENI1309[[#This Row],[BIRIM_FIYATLAR]])</f>
        <v>0</v>
      </c>
      <c r="N627">
        <v>221.8</v>
      </c>
      <c r="O627" t="s">
        <v>490</v>
      </c>
      <c r="P627">
        <v>44.360000000000007</v>
      </c>
      <c r="Q627" t="s">
        <v>183</v>
      </c>
    </row>
    <row r="628" spans="1:17" x14ac:dyDescent="0.25">
      <c r="A628" t="s">
        <v>1100</v>
      </c>
      <c r="B628" t="s">
        <v>1058</v>
      </c>
      <c r="C628" t="s">
        <v>175</v>
      </c>
      <c r="D628" t="s">
        <v>1049</v>
      </c>
      <c r="E628" t="s">
        <v>1050</v>
      </c>
      <c r="F628">
        <v>8</v>
      </c>
      <c r="G628" t="s">
        <v>176</v>
      </c>
      <c r="H628">
        <v>0</v>
      </c>
      <c r="I628">
        <v>3000</v>
      </c>
      <c r="J628" s="10">
        <v>10000</v>
      </c>
      <c r="K628" s="10">
        <f>SUMIFS(F:F,D:D,DST_123_ÜRETİM_İHTİYAÇ_RAPORU_BURAK_YENI1309[[#This Row],[ALT_KOD]])-(SUMIFS(H:H,D:D,DST_123_ÜRETİM_İHTİYAÇ_RAPORU_BURAK_YENI1309[[#This Row],[ALT_KOD]])+AVERAGEIFS(I:I,D:D,DST_123_ÜRETİM_İHTİYAÇ_RAPORU_BURAK_YENI1309[[#This Row],[ALT_KOD]])+AVERAGEIFS(L:L,D:D,DST_123_ÜRETİM_İHTİYAÇ_RAPORU_BURAK_YENI1309[[#This Row],[ALT_KOD]]))</f>
        <v>-2984</v>
      </c>
      <c r="L628">
        <v>0</v>
      </c>
      <c r="M628">
        <f>IF((DST_123_ÜRETİM_İHTİYAÇ_RAPORU_BURAK_YENI1309[[#This Row],[SATINALMA]]*DST_123_ÜRETİM_İHTİYAÇ_RAPORU_BURAK_YENI1309[[#This Row],[BIRIM_FIYATLAR]])&lt;1,VALUE("0"),DST_123_ÜRETİM_İHTİYAÇ_RAPORU_BURAK_YENI1309[[#This Row],[SATINALMA]]*DST_123_ÜRETİM_İHTİYAÇ_RAPORU_BURAK_YENI1309[[#This Row],[BIRIM_FIYATLAR]])</f>
        <v>0</v>
      </c>
      <c r="N628">
        <v>0.3</v>
      </c>
      <c r="O628" t="s">
        <v>240</v>
      </c>
      <c r="P628">
        <v>2.4</v>
      </c>
      <c r="Q628" t="s">
        <v>180</v>
      </c>
    </row>
    <row r="629" spans="1:17" x14ac:dyDescent="0.25">
      <c r="A629" t="s">
        <v>1148</v>
      </c>
      <c r="B629" t="s">
        <v>1056</v>
      </c>
      <c r="C629" t="s">
        <v>175</v>
      </c>
      <c r="D629" t="s">
        <v>84</v>
      </c>
      <c r="E629" t="s">
        <v>85</v>
      </c>
      <c r="F629">
        <v>2</v>
      </c>
      <c r="G629" t="s">
        <v>176</v>
      </c>
      <c r="H629">
        <v>0</v>
      </c>
      <c r="I629">
        <v>40</v>
      </c>
      <c r="J629" s="10">
        <v>16</v>
      </c>
      <c r="K629" s="10">
        <f>SUMIFS(F:F,D:D,DST_123_ÜRETİM_İHTİYAÇ_RAPORU_BURAK_YENI1309[[#This Row],[ALT_KOD]])-(SUMIFS(H:H,D:D,DST_123_ÜRETİM_İHTİYAÇ_RAPORU_BURAK_YENI1309[[#This Row],[ALT_KOD]])+AVERAGEIFS(I:I,D:D,DST_123_ÜRETİM_İHTİYAÇ_RAPORU_BURAK_YENI1309[[#This Row],[ALT_KOD]])+AVERAGEIFS(L:L,D:D,DST_123_ÜRETİM_İHTİYAÇ_RAPORU_BURAK_YENI1309[[#This Row],[ALT_KOD]]))</f>
        <v>-18</v>
      </c>
      <c r="L629">
        <v>0</v>
      </c>
      <c r="M629">
        <f>IF((DST_123_ÜRETİM_İHTİYAÇ_RAPORU_BURAK_YENI1309[[#This Row],[SATINALMA]]*DST_123_ÜRETİM_İHTİYAÇ_RAPORU_BURAK_YENI1309[[#This Row],[BIRIM_FIYATLAR]])&lt;1,VALUE("0"),DST_123_ÜRETİM_İHTİYAÇ_RAPORU_BURAK_YENI1309[[#This Row],[SATINALMA]]*DST_123_ÜRETİM_İHTİYAÇ_RAPORU_BURAK_YENI1309[[#This Row],[BIRIM_FIYATLAR]])</f>
        <v>0</v>
      </c>
      <c r="N629">
        <v>375</v>
      </c>
      <c r="O629" t="s">
        <v>247</v>
      </c>
      <c r="P629">
        <v>750</v>
      </c>
      <c r="Q629" t="s">
        <v>177</v>
      </c>
    </row>
    <row r="630" spans="1:17" x14ac:dyDescent="0.25">
      <c r="A630" t="s">
        <v>1147</v>
      </c>
      <c r="B630" t="s">
        <v>1145</v>
      </c>
      <c r="C630" t="s">
        <v>175</v>
      </c>
      <c r="D630" t="s">
        <v>198</v>
      </c>
      <c r="E630" t="s">
        <v>199</v>
      </c>
      <c r="F630">
        <v>1</v>
      </c>
      <c r="G630" t="s">
        <v>176</v>
      </c>
      <c r="H630">
        <v>0</v>
      </c>
      <c r="I630">
        <v>1</v>
      </c>
      <c r="J630" s="10">
        <v>8</v>
      </c>
      <c r="K630" s="10">
        <f>SUMIFS(F:F,D:D,DST_123_ÜRETİM_İHTİYAÇ_RAPORU_BURAK_YENI1309[[#This Row],[ALT_KOD]])-(SUMIFS(H:H,D:D,DST_123_ÜRETİM_İHTİYAÇ_RAPORU_BURAK_YENI1309[[#This Row],[ALT_KOD]])+AVERAGEIFS(I:I,D:D,DST_123_ÜRETİM_İHTİYAÇ_RAPORU_BURAK_YENI1309[[#This Row],[ALT_KOD]])+AVERAGEIFS(L:L,D:D,DST_123_ÜRETİM_İHTİYAÇ_RAPORU_BURAK_YENI1309[[#This Row],[ALT_KOD]]))</f>
        <v>10</v>
      </c>
      <c r="L630">
        <v>0</v>
      </c>
      <c r="M630">
        <f>IF((DST_123_ÜRETİM_İHTİYAÇ_RAPORU_BURAK_YENI1309[[#This Row],[SATINALMA]]*DST_123_ÜRETİM_İHTİYAÇ_RAPORU_BURAK_YENI1309[[#This Row],[BIRIM_FIYATLAR]])&lt;1,VALUE("0"),DST_123_ÜRETİM_İHTİYAÇ_RAPORU_BURAK_YENI1309[[#This Row],[SATINALMA]]*DST_123_ÜRETİM_İHTİYAÇ_RAPORU_BURAK_YENI1309[[#This Row],[BIRIM_FIYATLAR]])</f>
        <v>156184.20000000001</v>
      </c>
      <c r="N630">
        <v>15618.42</v>
      </c>
      <c r="O630" t="s">
        <v>215</v>
      </c>
      <c r="P630">
        <v>15618.42</v>
      </c>
      <c r="Q630" t="s">
        <v>177</v>
      </c>
    </row>
    <row r="631" spans="1:17" x14ac:dyDescent="0.25">
      <c r="A631" t="s">
        <v>1098</v>
      </c>
      <c r="B631" t="s">
        <v>1096</v>
      </c>
      <c r="C631" t="s">
        <v>175</v>
      </c>
      <c r="D631" t="s">
        <v>327</v>
      </c>
      <c r="E631" t="s">
        <v>328</v>
      </c>
      <c r="F631">
        <v>0.1</v>
      </c>
      <c r="G631" t="s">
        <v>176</v>
      </c>
      <c r="H631">
        <v>0</v>
      </c>
      <c r="I631">
        <v>0</v>
      </c>
      <c r="J631" s="10">
        <v>1.929999999999999</v>
      </c>
      <c r="K631" s="10">
        <f>SUMIFS(F:F,D:D,DST_123_ÜRETİM_İHTİYAÇ_RAPORU_BURAK_YENI1309[[#This Row],[ALT_KOD]])-(SUMIFS(H:H,D:D,DST_123_ÜRETİM_İHTİYAÇ_RAPORU_BURAK_YENI1309[[#This Row],[ALT_KOD]])+AVERAGEIFS(I:I,D:D,DST_123_ÜRETİM_İHTİYAÇ_RAPORU_BURAK_YENI1309[[#This Row],[ALT_KOD]])+AVERAGEIFS(L:L,D:D,DST_123_ÜRETİM_İHTİYAÇ_RAPORU_BURAK_YENI1309[[#This Row],[ALT_KOD]]))</f>
        <v>1.2600000000000005</v>
      </c>
      <c r="L631">
        <v>0</v>
      </c>
      <c r="M631">
        <f>IF((DST_123_ÜRETİM_İHTİYAÇ_RAPORU_BURAK_YENI1309[[#This Row],[SATINALMA]]*DST_123_ÜRETİM_İHTİYAÇ_RAPORU_BURAK_YENI1309[[#This Row],[BIRIM_FIYATLAR]])&lt;1,VALUE("0"),DST_123_ÜRETİM_İHTİYAÇ_RAPORU_BURAK_YENI1309[[#This Row],[SATINALMA]]*DST_123_ÜRETİM_İHTİYAÇ_RAPORU_BURAK_YENI1309[[#This Row],[BIRIM_FIYATLAR]])</f>
        <v>1921.5000000000007</v>
      </c>
      <c r="N631">
        <v>1525</v>
      </c>
      <c r="O631" t="s">
        <v>240</v>
      </c>
      <c r="P631">
        <v>152.5</v>
      </c>
      <c r="Q631" t="s">
        <v>180</v>
      </c>
    </row>
    <row r="632" spans="1:17" x14ac:dyDescent="0.25">
      <c r="A632" t="s">
        <v>1196</v>
      </c>
      <c r="B632" t="s">
        <v>1197</v>
      </c>
      <c r="C632" t="s">
        <v>175</v>
      </c>
      <c r="D632" t="s">
        <v>116</v>
      </c>
      <c r="E632" t="s">
        <v>117</v>
      </c>
      <c r="F632">
        <v>108.87</v>
      </c>
      <c r="G632" t="s">
        <v>185</v>
      </c>
      <c r="H632">
        <v>0</v>
      </c>
      <c r="I632">
        <v>-690</v>
      </c>
      <c r="J632" s="10">
        <v>2123.619999999999</v>
      </c>
      <c r="K632" s="10">
        <f>SUMIFS(F:F,D:D,DST_123_ÜRETİM_İHTİYAÇ_RAPORU_BURAK_YENI1309[[#This Row],[ALT_KOD]])-(SUMIFS(H:H,D:D,DST_123_ÜRETİM_İHTİYAÇ_RAPORU_BURAK_YENI1309[[#This Row],[ALT_KOD]])+AVERAGEIFS(I:I,D:D,DST_123_ÜRETİM_İHTİYAÇ_RAPORU_BURAK_YENI1309[[#This Row],[ALT_KOD]])+AVERAGEIFS(L:L,D:D,DST_123_ÜRETİM_İHTİYAÇ_RAPORU_BURAK_YENI1309[[#This Row],[ALT_KOD]]))</f>
        <v>1819.8699999999994</v>
      </c>
      <c r="L632">
        <v>0</v>
      </c>
      <c r="M632">
        <f>IF((DST_123_ÜRETİM_İHTİYAÇ_RAPORU_BURAK_YENI1309[[#This Row],[SATINALMA]]*DST_123_ÜRETİM_İHTİYAÇ_RAPORU_BURAK_YENI1309[[#This Row],[BIRIM_FIYATLAR]])&lt;1,VALUE("0"),DST_123_ÜRETİM_İHTİYAÇ_RAPORU_BURAK_YENI1309[[#This Row],[SATINALMA]]*DST_123_ÜRETİM_İHTİYAÇ_RAPORU_BURAK_YENI1309[[#This Row],[BIRIM_FIYATLAR]])</f>
        <v>172651.06689999995</v>
      </c>
      <c r="N632">
        <v>94.87</v>
      </c>
      <c r="O632" t="s">
        <v>490</v>
      </c>
      <c r="P632">
        <v>10328.4969</v>
      </c>
      <c r="Q632" t="s">
        <v>183</v>
      </c>
    </row>
    <row r="633" spans="1:17" x14ac:dyDescent="0.25">
      <c r="A633" t="s">
        <v>1142</v>
      </c>
      <c r="B633" t="s">
        <v>1056</v>
      </c>
      <c r="C633" t="s">
        <v>175</v>
      </c>
      <c r="D633" t="s">
        <v>351</v>
      </c>
      <c r="E633" t="s">
        <v>352</v>
      </c>
      <c r="F633">
        <v>249</v>
      </c>
      <c r="G633" t="s">
        <v>176</v>
      </c>
      <c r="H633">
        <v>0</v>
      </c>
      <c r="I633">
        <v>4000</v>
      </c>
      <c r="J633" s="10">
        <v>7366</v>
      </c>
      <c r="K633" s="10">
        <f>SUMIFS(F:F,D:D,DST_123_ÜRETİM_İHTİYAÇ_RAPORU_BURAK_YENI1309[[#This Row],[ALT_KOD]])-(SUMIFS(H:H,D:D,DST_123_ÜRETİM_İHTİYAÇ_RAPORU_BURAK_YENI1309[[#This Row],[ALT_KOD]])+AVERAGEIFS(I:I,D:D,DST_123_ÜRETİM_İHTİYAÇ_RAPORU_BURAK_YENI1309[[#This Row],[ALT_KOD]])+AVERAGEIFS(L:L,D:D,DST_123_ÜRETİM_İHTİYAÇ_RAPORU_BURAK_YENI1309[[#This Row],[ALT_KOD]]))</f>
        <v>-714</v>
      </c>
      <c r="L633">
        <v>0</v>
      </c>
      <c r="M633">
        <f>IF((DST_123_ÜRETİM_İHTİYAÇ_RAPORU_BURAK_YENI1309[[#This Row],[SATINALMA]]*DST_123_ÜRETİM_İHTİYAÇ_RAPORU_BURAK_YENI1309[[#This Row],[BIRIM_FIYATLAR]])&lt;1,VALUE("0"),DST_123_ÜRETİM_İHTİYAÇ_RAPORU_BURAK_YENI1309[[#This Row],[SATINALMA]]*DST_123_ÜRETİM_İHTİYAÇ_RAPORU_BURAK_YENI1309[[#This Row],[BIRIM_FIYATLAR]])</f>
        <v>0</v>
      </c>
      <c r="N633">
        <v>0.35</v>
      </c>
      <c r="O633" t="s">
        <v>240</v>
      </c>
      <c r="P633">
        <v>87.149999999999991</v>
      </c>
      <c r="Q633" t="s">
        <v>180</v>
      </c>
    </row>
    <row r="634" spans="1:17" x14ac:dyDescent="0.25">
      <c r="A634" t="s">
        <v>1097</v>
      </c>
      <c r="B634" t="s">
        <v>1055</v>
      </c>
      <c r="C634" t="s">
        <v>175</v>
      </c>
      <c r="D634" t="s">
        <v>351</v>
      </c>
      <c r="E634" t="s">
        <v>352</v>
      </c>
      <c r="F634">
        <v>113</v>
      </c>
      <c r="G634" t="s">
        <v>176</v>
      </c>
      <c r="H634">
        <v>0</v>
      </c>
      <c r="I634">
        <v>4000</v>
      </c>
      <c r="J634" s="10">
        <v>7366</v>
      </c>
      <c r="K634" s="10">
        <f>SUMIFS(F:F,D:D,DST_123_ÜRETİM_İHTİYAÇ_RAPORU_BURAK_YENI1309[[#This Row],[ALT_KOD]])-(SUMIFS(H:H,D:D,DST_123_ÜRETİM_İHTİYAÇ_RAPORU_BURAK_YENI1309[[#This Row],[ALT_KOD]])+AVERAGEIFS(I:I,D:D,DST_123_ÜRETİM_İHTİYAÇ_RAPORU_BURAK_YENI1309[[#This Row],[ALT_KOD]])+AVERAGEIFS(L:L,D:D,DST_123_ÜRETİM_İHTİYAÇ_RAPORU_BURAK_YENI1309[[#This Row],[ALT_KOD]]))</f>
        <v>-714</v>
      </c>
      <c r="L634">
        <v>0</v>
      </c>
      <c r="M634">
        <f>IF((DST_123_ÜRETİM_İHTİYAÇ_RAPORU_BURAK_YENI1309[[#This Row],[SATINALMA]]*DST_123_ÜRETİM_İHTİYAÇ_RAPORU_BURAK_YENI1309[[#This Row],[BIRIM_FIYATLAR]])&lt;1,VALUE("0"),DST_123_ÜRETİM_İHTİYAÇ_RAPORU_BURAK_YENI1309[[#This Row],[SATINALMA]]*DST_123_ÜRETİM_İHTİYAÇ_RAPORU_BURAK_YENI1309[[#This Row],[BIRIM_FIYATLAR]])</f>
        <v>0</v>
      </c>
      <c r="N634">
        <v>0.35</v>
      </c>
      <c r="O634" t="s">
        <v>240</v>
      </c>
      <c r="P634">
        <v>39.549999999999997</v>
      </c>
      <c r="Q634" t="s">
        <v>180</v>
      </c>
    </row>
    <row r="635" spans="1:17" x14ac:dyDescent="0.25">
      <c r="A635" t="s">
        <v>1149</v>
      </c>
      <c r="B635" t="s">
        <v>1145</v>
      </c>
      <c r="C635" t="s">
        <v>175</v>
      </c>
      <c r="D635" t="s">
        <v>351</v>
      </c>
      <c r="E635" t="s">
        <v>352</v>
      </c>
      <c r="F635">
        <v>229</v>
      </c>
      <c r="G635" t="s">
        <v>176</v>
      </c>
      <c r="H635">
        <v>0</v>
      </c>
      <c r="I635">
        <v>4000</v>
      </c>
      <c r="J635" s="10">
        <v>7366</v>
      </c>
      <c r="K635" s="10">
        <f>SUMIFS(F:F,D:D,DST_123_ÜRETİM_İHTİYAÇ_RAPORU_BURAK_YENI1309[[#This Row],[ALT_KOD]])-(SUMIFS(H:H,D:D,DST_123_ÜRETİM_İHTİYAÇ_RAPORU_BURAK_YENI1309[[#This Row],[ALT_KOD]])+AVERAGEIFS(I:I,D:D,DST_123_ÜRETİM_İHTİYAÇ_RAPORU_BURAK_YENI1309[[#This Row],[ALT_KOD]])+AVERAGEIFS(L:L,D:D,DST_123_ÜRETİM_İHTİYAÇ_RAPORU_BURAK_YENI1309[[#This Row],[ALT_KOD]]))</f>
        <v>-714</v>
      </c>
      <c r="L635">
        <v>0</v>
      </c>
      <c r="M635">
        <f>IF((DST_123_ÜRETİM_İHTİYAÇ_RAPORU_BURAK_YENI1309[[#This Row],[SATINALMA]]*DST_123_ÜRETİM_İHTİYAÇ_RAPORU_BURAK_YENI1309[[#This Row],[BIRIM_FIYATLAR]])&lt;1,VALUE("0"),DST_123_ÜRETİM_İHTİYAÇ_RAPORU_BURAK_YENI1309[[#This Row],[SATINALMA]]*DST_123_ÜRETİM_İHTİYAÇ_RAPORU_BURAK_YENI1309[[#This Row],[BIRIM_FIYATLAR]])</f>
        <v>0</v>
      </c>
      <c r="N635">
        <v>0.35</v>
      </c>
      <c r="O635" t="s">
        <v>240</v>
      </c>
      <c r="P635">
        <v>80.149999999999991</v>
      </c>
      <c r="Q635" t="s">
        <v>180</v>
      </c>
    </row>
    <row r="636" spans="1:17" x14ac:dyDescent="0.25">
      <c r="A636" t="s">
        <v>1064</v>
      </c>
      <c r="B636" t="s">
        <v>1055</v>
      </c>
      <c r="C636" t="s">
        <v>175</v>
      </c>
      <c r="D636" t="s">
        <v>351</v>
      </c>
      <c r="E636" t="s">
        <v>352</v>
      </c>
      <c r="F636">
        <v>113</v>
      </c>
      <c r="G636" t="s">
        <v>176</v>
      </c>
      <c r="H636">
        <v>0</v>
      </c>
      <c r="I636">
        <v>4000</v>
      </c>
      <c r="J636" s="10">
        <v>7366</v>
      </c>
      <c r="K636" s="10">
        <f>SUMIFS(F:F,D:D,DST_123_ÜRETİM_İHTİYAÇ_RAPORU_BURAK_YENI1309[[#This Row],[ALT_KOD]])-(SUMIFS(H:H,D:D,DST_123_ÜRETİM_İHTİYAÇ_RAPORU_BURAK_YENI1309[[#This Row],[ALT_KOD]])+AVERAGEIFS(I:I,D:D,DST_123_ÜRETİM_İHTİYAÇ_RAPORU_BURAK_YENI1309[[#This Row],[ALT_KOD]])+AVERAGEIFS(L:L,D:D,DST_123_ÜRETİM_İHTİYAÇ_RAPORU_BURAK_YENI1309[[#This Row],[ALT_KOD]]))</f>
        <v>-714</v>
      </c>
      <c r="L636">
        <v>0</v>
      </c>
      <c r="M636">
        <f>IF((DST_123_ÜRETİM_İHTİYAÇ_RAPORU_BURAK_YENI1309[[#This Row],[SATINALMA]]*DST_123_ÜRETİM_İHTİYAÇ_RAPORU_BURAK_YENI1309[[#This Row],[BIRIM_FIYATLAR]])&lt;1,VALUE("0"),DST_123_ÜRETİM_İHTİYAÇ_RAPORU_BURAK_YENI1309[[#This Row],[SATINALMA]]*DST_123_ÜRETİM_İHTİYAÇ_RAPORU_BURAK_YENI1309[[#This Row],[BIRIM_FIYATLAR]])</f>
        <v>0</v>
      </c>
      <c r="N636">
        <v>0.35</v>
      </c>
      <c r="O636" t="s">
        <v>240</v>
      </c>
      <c r="P636">
        <v>39.549999999999997</v>
      </c>
      <c r="Q636" t="s">
        <v>180</v>
      </c>
    </row>
    <row r="637" spans="1:17" x14ac:dyDescent="0.25">
      <c r="A637" t="s">
        <v>1143</v>
      </c>
      <c r="B637" t="s">
        <v>1056</v>
      </c>
      <c r="C637" t="s">
        <v>175</v>
      </c>
      <c r="D637" t="s">
        <v>351</v>
      </c>
      <c r="E637" t="s">
        <v>352</v>
      </c>
      <c r="F637">
        <v>162</v>
      </c>
      <c r="G637" t="s">
        <v>176</v>
      </c>
      <c r="H637">
        <v>0</v>
      </c>
      <c r="I637">
        <v>4000</v>
      </c>
      <c r="J637" s="10">
        <v>7366</v>
      </c>
      <c r="K637" s="10">
        <f>SUMIFS(F:F,D:D,DST_123_ÜRETİM_İHTİYAÇ_RAPORU_BURAK_YENI1309[[#This Row],[ALT_KOD]])-(SUMIFS(H:H,D:D,DST_123_ÜRETİM_İHTİYAÇ_RAPORU_BURAK_YENI1309[[#This Row],[ALT_KOD]])+AVERAGEIFS(I:I,D:D,DST_123_ÜRETİM_İHTİYAÇ_RAPORU_BURAK_YENI1309[[#This Row],[ALT_KOD]])+AVERAGEIFS(L:L,D:D,DST_123_ÜRETİM_İHTİYAÇ_RAPORU_BURAK_YENI1309[[#This Row],[ALT_KOD]]))</f>
        <v>-714</v>
      </c>
      <c r="L637">
        <v>0</v>
      </c>
      <c r="M637">
        <f>IF((DST_123_ÜRETİM_İHTİYAÇ_RAPORU_BURAK_YENI1309[[#This Row],[SATINALMA]]*DST_123_ÜRETİM_İHTİYAÇ_RAPORU_BURAK_YENI1309[[#This Row],[BIRIM_FIYATLAR]])&lt;1,VALUE("0"),DST_123_ÜRETİM_İHTİYAÇ_RAPORU_BURAK_YENI1309[[#This Row],[SATINALMA]]*DST_123_ÜRETİM_İHTİYAÇ_RAPORU_BURAK_YENI1309[[#This Row],[BIRIM_FIYATLAR]])</f>
        <v>0</v>
      </c>
      <c r="N637">
        <v>0.35</v>
      </c>
      <c r="O637" t="s">
        <v>240</v>
      </c>
      <c r="P637">
        <v>56.699999999999996</v>
      </c>
      <c r="Q637" t="s">
        <v>180</v>
      </c>
    </row>
    <row r="638" spans="1:17" x14ac:dyDescent="0.25">
      <c r="A638" t="s">
        <v>1059</v>
      </c>
      <c r="B638" t="s">
        <v>1058</v>
      </c>
      <c r="C638" t="s">
        <v>175</v>
      </c>
      <c r="D638" t="s">
        <v>351</v>
      </c>
      <c r="E638" t="s">
        <v>352</v>
      </c>
      <c r="F638">
        <v>155</v>
      </c>
      <c r="G638" t="s">
        <v>176</v>
      </c>
      <c r="H638">
        <v>0</v>
      </c>
      <c r="I638">
        <v>4000</v>
      </c>
      <c r="J638" s="10">
        <v>7366</v>
      </c>
      <c r="K638" s="10">
        <f>SUMIFS(F:F,D:D,DST_123_ÜRETİM_İHTİYAÇ_RAPORU_BURAK_YENI1309[[#This Row],[ALT_KOD]])-(SUMIFS(H:H,D:D,DST_123_ÜRETİM_İHTİYAÇ_RAPORU_BURAK_YENI1309[[#This Row],[ALT_KOD]])+AVERAGEIFS(I:I,D:D,DST_123_ÜRETİM_İHTİYAÇ_RAPORU_BURAK_YENI1309[[#This Row],[ALT_KOD]])+AVERAGEIFS(L:L,D:D,DST_123_ÜRETİM_İHTİYAÇ_RAPORU_BURAK_YENI1309[[#This Row],[ALT_KOD]]))</f>
        <v>-714</v>
      </c>
      <c r="L638">
        <v>0</v>
      </c>
      <c r="M638">
        <f>IF((DST_123_ÜRETİM_İHTİYAÇ_RAPORU_BURAK_YENI1309[[#This Row],[SATINALMA]]*DST_123_ÜRETİM_İHTİYAÇ_RAPORU_BURAK_YENI1309[[#This Row],[BIRIM_FIYATLAR]])&lt;1,VALUE("0"),DST_123_ÜRETİM_İHTİYAÇ_RAPORU_BURAK_YENI1309[[#This Row],[SATINALMA]]*DST_123_ÜRETİM_İHTİYAÇ_RAPORU_BURAK_YENI1309[[#This Row],[BIRIM_FIYATLAR]])</f>
        <v>0</v>
      </c>
      <c r="N638">
        <v>0.35</v>
      </c>
      <c r="O638" t="s">
        <v>240</v>
      </c>
      <c r="P638">
        <v>54.25</v>
      </c>
      <c r="Q638" t="s">
        <v>180</v>
      </c>
    </row>
    <row r="639" spans="1:17" x14ac:dyDescent="0.25">
      <c r="A639" t="s">
        <v>1144</v>
      </c>
      <c r="B639" t="s">
        <v>1145</v>
      </c>
      <c r="C639" t="s">
        <v>175</v>
      </c>
      <c r="D639" t="s">
        <v>351</v>
      </c>
      <c r="E639" t="s">
        <v>352</v>
      </c>
      <c r="F639">
        <v>229</v>
      </c>
      <c r="G639" t="s">
        <v>176</v>
      </c>
      <c r="H639">
        <v>0</v>
      </c>
      <c r="I639">
        <v>4000</v>
      </c>
      <c r="J639" s="10">
        <v>7366</v>
      </c>
      <c r="K639" s="10">
        <f>SUMIFS(F:F,D:D,DST_123_ÜRETİM_İHTİYAÇ_RAPORU_BURAK_YENI1309[[#This Row],[ALT_KOD]])-(SUMIFS(H:H,D:D,DST_123_ÜRETİM_İHTİYAÇ_RAPORU_BURAK_YENI1309[[#This Row],[ALT_KOD]])+AVERAGEIFS(I:I,D:D,DST_123_ÜRETİM_İHTİYAÇ_RAPORU_BURAK_YENI1309[[#This Row],[ALT_KOD]])+AVERAGEIFS(L:L,D:D,DST_123_ÜRETİM_İHTİYAÇ_RAPORU_BURAK_YENI1309[[#This Row],[ALT_KOD]]))</f>
        <v>-714</v>
      </c>
      <c r="L639">
        <v>0</v>
      </c>
      <c r="M639">
        <f>IF((DST_123_ÜRETİM_İHTİYAÇ_RAPORU_BURAK_YENI1309[[#This Row],[SATINALMA]]*DST_123_ÜRETİM_İHTİYAÇ_RAPORU_BURAK_YENI1309[[#This Row],[BIRIM_FIYATLAR]])&lt;1,VALUE("0"),DST_123_ÜRETİM_İHTİYAÇ_RAPORU_BURAK_YENI1309[[#This Row],[SATINALMA]]*DST_123_ÜRETİM_İHTİYAÇ_RAPORU_BURAK_YENI1309[[#This Row],[BIRIM_FIYATLAR]])</f>
        <v>0</v>
      </c>
      <c r="N639">
        <v>0.35</v>
      </c>
      <c r="O639" t="s">
        <v>240</v>
      </c>
      <c r="P639">
        <v>80.149999999999991</v>
      </c>
      <c r="Q639" t="s">
        <v>180</v>
      </c>
    </row>
    <row r="640" spans="1:17" x14ac:dyDescent="0.25">
      <c r="A640" t="s">
        <v>1095</v>
      </c>
      <c r="B640" t="s">
        <v>1096</v>
      </c>
      <c r="C640" t="s">
        <v>175</v>
      </c>
      <c r="D640" t="s">
        <v>351</v>
      </c>
      <c r="E640" t="s">
        <v>352</v>
      </c>
      <c r="F640">
        <v>129</v>
      </c>
      <c r="G640" t="s">
        <v>176</v>
      </c>
      <c r="H640">
        <v>0</v>
      </c>
      <c r="I640">
        <v>4000</v>
      </c>
      <c r="J640" s="10">
        <v>7366</v>
      </c>
      <c r="K640" s="10">
        <f>SUMIFS(F:F,D:D,DST_123_ÜRETİM_İHTİYAÇ_RAPORU_BURAK_YENI1309[[#This Row],[ALT_KOD]])-(SUMIFS(H:H,D:D,DST_123_ÜRETİM_İHTİYAÇ_RAPORU_BURAK_YENI1309[[#This Row],[ALT_KOD]])+AVERAGEIFS(I:I,D:D,DST_123_ÜRETİM_İHTİYAÇ_RAPORU_BURAK_YENI1309[[#This Row],[ALT_KOD]])+AVERAGEIFS(L:L,D:D,DST_123_ÜRETİM_İHTİYAÇ_RAPORU_BURAK_YENI1309[[#This Row],[ALT_KOD]]))</f>
        <v>-714</v>
      </c>
      <c r="L640">
        <v>0</v>
      </c>
      <c r="M640">
        <f>IF((DST_123_ÜRETİM_İHTİYAÇ_RAPORU_BURAK_YENI1309[[#This Row],[SATINALMA]]*DST_123_ÜRETİM_İHTİYAÇ_RAPORU_BURAK_YENI1309[[#This Row],[BIRIM_FIYATLAR]])&lt;1,VALUE("0"),DST_123_ÜRETİM_İHTİYAÇ_RAPORU_BURAK_YENI1309[[#This Row],[SATINALMA]]*DST_123_ÜRETİM_İHTİYAÇ_RAPORU_BURAK_YENI1309[[#This Row],[BIRIM_FIYATLAR]])</f>
        <v>0</v>
      </c>
      <c r="N640">
        <v>0.35</v>
      </c>
      <c r="O640" t="s">
        <v>240</v>
      </c>
      <c r="P640">
        <v>45.15</v>
      </c>
      <c r="Q640" t="s">
        <v>180</v>
      </c>
    </row>
    <row r="641" spans="1:17" x14ac:dyDescent="0.25">
      <c r="A641" t="s">
        <v>1150</v>
      </c>
      <c r="B641" t="s">
        <v>1145</v>
      </c>
      <c r="C641" t="s">
        <v>175</v>
      </c>
      <c r="D641" t="s">
        <v>351</v>
      </c>
      <c r="E641" t="s">
        <v>352</v>
      </c>
      <c r="F641">
        <v>229</v>
      </c>
      <c r="G641" t="s">
        <v>176</v>
      </c>
      <c r="H641">
        <v>0</v>
      </c>
      <c r="I641">
        <v>4000</v>
      </c>
      <c r="J641" s="10">
        <v>7366</v>
      </c>
      <c r="K641" s="10">
        <f>SUMIFS(F:F,D:D,DST_123_ÜRETİM_İHTİYAÇ_RAPORU_BURAK_YENI1309[[#This Row],[ALT_KOD]])-(SUMIFS(H:H,D:D,DST_123_ÜRETİM_İHTİYAÇ_RAPORU_BURAK_YENI1309[[#This Row],[ALT_KOD]])+AVERAGEIFS(I:I,D:D,DST_123_ÜRETİM_İHTİYAÇ_RAPORU_BURAK_YENI1309[[#This Row],[ALT_KOD]])+AVERAGEIFS(L:L,D:D,DST_123_ÜRETİM_İHTİYAÇ_RAPORU_BURAK_YENI1309[[#This Row],[ALT_KOD]]))</f>
        <v>-714</v>
      </c>
      <c r="L641">
        <v>0</v>
      </c>
      <c r="M641">
        <f>IF((DST_123_ÜRETİM_İHTİYAÇ_RAPORU_BURAK_YENI1309[[#This Row],[SATINALMA]]*DST_123_ÜRETİM_İHTİYAÇ_RAPORU_BURAK_YENI1309[[#This Row],[BIRIM_FIYATLAR]])&lt;1,VALUE("0"),DST_123_ÜRETİM_İHTİYAÇ_RAPORU_BURAK_YENI1309[[#This Row],[SATINALMA]]*DST_123_ÜRETİM_İHTİYAÇ_RAPORU_BURAK_YENI1309[[#This Row],[BIRIM_FIYATLAR]])</f>
        <v>0</v>
      </c>
      <c r="N641">
        <v>0.35</v>
      </c>
      <c r="O641" t="s">
        <v>240</v>
      </c>
      <c r="P641">
        <v>80.149999999999991</v>
      </c>
      <c r="Q641" t="s">
        <v>180</v>
      </c>
    </row>
    <row r="642" spans="1:17" x14ac:dyDescent="0.25">
      <c r="A642" t="s">
        <v>1099</v>
      </c>
      <c r="B642" t="s">
        <v>1055</v>
      </c>
      <c r="C642" t="s">
        <v>175</v>
      </c>
      <c r="D642" t="s">
        <v>351</v>
      </c>
      <c r="E642" t="s">
        <v>352</v>
      </c>
      <c r="F642">
        <v>82</v>
      </c>
      <c r="G642" t="s">
        <v>176</v>
      </c>
      <c r="H642">
        <v>0</v>
      </c>
      <c r="I642">
        <v>4000</v>
      </c>
      <c r="J642" s="10">
        <v>7366</v>
      </c>
      <c r="K642" s="10">
        <f>SUMIFS(F:F,D:D,DST_123_ÜRETİM_İHTİYAÇ_RAPORU_BURAK_YENI1309[[#This Row],[ALT_KOD]])-(SUMIFS(H:H,D:D,DST_123_ÜRETİM_İHTİYAÇ_RAPORU_BURAK_YENI1309[[#This Row],[ALT_KOD]])+AVERAGEIFS(I:I,D:D,DST_123_ÜRETİM_İHTİYAÇ_RAPORU_BURAK_YENI1309[[#This Row],[ALT_KOD]])+AVERAGEIFS(L:L,D:D,DST_123_ÜRETİM_İHTİYAÇ_RAPORU_BURAK_YENI1309[[#This Row],[ALT_KOD]]))</f>
        <v>-714</v>
      </c>
      <c r="L642">
        <v>0</v>
      </c>
      <c r="M642">
        <f>IF((DST_123_ÜRETİM_İHTİYAÇ_RAPORU_BURAK_YENI1309[[#This Row],[SATINALMA]]*DST_123_ÜRETİM_İHTİYAÇ_RAPORU_BURAK_YENI1309[[#This Row],[BIRIM_FIYATLAR]])&lt;1,VALUE("0"),DST_123_ÜRETİM_İHTİYAÇ_RAPORU_BURAK_YENI1309[[#This Row],[SATINALMA]]*DST_123_ÜRETİM_İHTİYAÇ_RAPORU_BURAK_YENI1309[[#This Row],[BIRIM_FIYATLAR]])</f>
        <v>0</v>
      </c>
      <c r="N642">
        <v>0.35</v>
      </c>
      <c r="O642" t="s">
        <v>240</v>
      </c>
      <c r="P642">
        <v>28.7</v>
      </c>
      <c r="Q642" t="s">
        <v>180</v>
      </c>
    </row>
    <row r="643" spans="1:17" x14ac:dyDescent="0.25">
      <c r="A643" t="s">
        <v>1196</v>
      </c>
      <c r="B643" t="s">
        <v>1197</v>
      </c>
      <c r="C643" t="s">
        <v>175</v>
      </c>
      <c r="D643" t="s">
        <v>351</v>
      </c>
      <c r="E643" t="s">
        <v>352</v>
      </c>
      <c r="F643">
        <v>229</v>
      </c>
      <c r="G643" t="s">
        <v>176</v>
      </c>
      <c r="H643">
        <v>0</v>
      </c>
      <c r="I643">
        <v>4000</v>
      </c>
      <c r="J643" s="10">
        <v>7366</v>
      </c>
      <c r="K643" s="10">
        <f>SUMIFS(F:F,D:D,DST_123_ÜRETİM_İHTİYAÇ_RAPORU_BURAK_YENI1309[[#This Row],[ALT_KOD]])-(SUMIFS(H:H,D:D,DST_123_ÜRETİM_İHTİYAÇ_RAPORU_BURAK_YENI1309[[#This Row],[ALT_KOD]])+AVERAGEIFS(I:I,D:D,DST_123_ÜRETİM_İHTİYAÇ_RAPORU_BURAK_YENI1309[[#This Row],[ALT_KOD]])+AVERAGEIFS(L:L,D:D,DST_123_ÜRETİM_İHTİYAÇ_RAPORU_BURAK_YENI1309[[#This Row],[ALT_KOD]]))</f>
        <v>-714</v>
      </c>
      <c r="L643">
        <v>0</v>
      </c>
      <c r="M643">
        <f>IF((DST_123_ÜRETİM_İHTİYAÇ_RAPORU_BURAK_YENI1309[[#This Row],[SATINALMA]]*DST_123_ÜRETİM_İHTİYAÇ_RAPORU_BURAK_YENI1309[[#This Row],[BIRIM_FIYATLAR]])&lt;1,VALUE("0"),DST_123_ÜRETİM_İHTİYAÇ_RAPORU_BURAK_YENI1309[[#This Row],[SATINALMA]]*DST_123_ÜRETİM_İHTİYAÇ_RAPORU_BURAK_YENI1309[[#This Row],[BIRIM_FIYATLAR]])</f>
        <v>0</v>
      </c>
      <c r="N643">
        <v>0.35</v>
      </c>
      <c r="O643" t="s">
        <v>240</v>
      </c>
      <c r="P643">
        <v>80.149999999999991</v>
      </c>
      <c r="Q643" t="s">
        <v>180</v>
      </c>
    </row>
    <row r="644" spans="1:17" x14ac:dyDescent="0.25">
      <c r="A644" t="s">
        <v>1060</v>
      </c>
      <c r="B644" t="s">
        <v>1061</v>
      </c>
      <c r="C644" t="s">
        <v>175</v>
      </c>
      <c r="D644" t="s">
        <v>351</v>
      </c>
      <c r="E644" t="s">
        <v>352</v>
      </c>
      <c r="F644">
        <v>229</v>
      </c>
      <c r="G644" t="s">
        <v>176</v>
      </c>
      <c r="H644">
        <v>0</v>
      </c>
      <c r="I644">
        <v>4000</v>
      </c>
      <c r="J644" s="10">
        <v>7366</v>
      </c>
      <c r="K644" s="10">
        <f>SUMIFS(F:F,D:D,DST_123_ÜRETİM_İHTİYAÇ_RAPORU_BURAK_YENI1309[[#This Row],[ALT_KOD]])-(SUMIFS(H:H,D:D,DST_123_ÜRETİM_İHTİYAÇ_RAPORU_BURAK_YENI1309[[#This Row],[ALT_KOD]])+AVERAGEIFS(I:I,D:D,DST_123_ÜRETİM_İHTİYAÇ_RAPORU_BURAK_YENI1309[[#This Row],[ALT_KOD]])+AVERAGEIFS(L:L,D:D,DST_123_ÜRETİM_İHTİYAÇ_RAPORU_BURAK_YENI1309[[#This Row],[ALT_KOD]]))</f>
        <v>-714</v>
      </c>
      <c r="L644">
        <v>0</v>
      </c>
      <c r="M644">
        <f>IF((DST_123_ÜRETİM_İHTİYAÇ_RAPORU_BURAK_YENI1309[[#This Row],[SATINALMA]]*DST_123_ÜRETİM_İHTİYAÇ_RAPORU_BURAK_YENI1309[[#This Row],[BIRIM_FIYATLAR]])&lt;1,VALUE("0"),DST_123_ÜRETİM_İHTİYAÇ_RAPORU_BURAK_YENI1309[[#This Row],[SATINALMA]]*DST_123_ÜRETİM_İHTİYAÇ_RAPORU_BURAK_YENI1309[[#This Row],[BIRIM_FIYATLAR]])</f>
        <v>0</v>
      </c>
      <c r="N644">
        <v>0.35</v>
      </c>
      <c r="O644" t="s">
        <v>240</v>
      </c>
      <c r="P644">
        <v>80.149999999999991</v>
      </c>
      <c r="Q644" t="s">
        <v>180</v>
      </c>
    </row>
    <row r="645" spans="1:17" x14ac:dyDescent="0.25">
      <c r="A645" t="s">
        <v>1147</v>
      </c>
      <c r="B645" t="s">
        <v>1145</v>
      </c>
      <c r="C645" t="s">
        <v>175</v>
      </c>
      <c r="D645" t="s">
        <v>351</v>
      </c>
      <c r="E645" t="s">
        <v>352</v>
      </c>
      <c r="F645">
        <v>229</v>
      </c>
      <c r="G645" t="s">
        <v>176</v>
      </c>
      <c r="H645">
        <v>0</v>
      </c>
      <c r="I645">
        <v>4000</v>
      </c>
      <c r="J645" s="10">
        <v>7366</v>
      </c>
      <c r="K645" s="10">
        <f>SUMIFS(F:F,D:D,DST_123_ÜRETİM_İHTİYAÇ_RAPORU_BURAK_YENI1309[[#This Row],[ALT_KOD]])-(SUMIFS(H:H,D:D,DST_123_ÜRETİM_İHTİYAÇ_RAPORU_BURAK_YENI1309[[#This Row],[ALT_KOD]])+AVERAGEIFS(I:I,D:D,DST_123_ÜRETİM_İHTİYAÇ_RAPORU_BURAK_YENI1309[[#This Row],[ALT_KOD]])+AVERAGEIFS(L:L,D:D,DST_123_ÜRETİM_İHTİYAÇ_RAPORU_BURAK_YENI1309[[#This Row],[ALT_KOD]]))</f>
        <v>-714</v>
      </c>
      <c r="L645">
        <v>0</v>
      </c>
      <c r="M645">
        <f>IF((DST_123_ÜRETİM_İHTİYAÇ_RAPORU_BURAK_YENI1309[[#This Row],[SATINALMA]]*DST_123_ÜRETİM_İHTİYAÇ_RAPORU_BURAK_YENI1309[[#This Row],[BIRIM_FIYATLAR]])&lt;1,VALUE("0"),DST_123_ÜRETİM_İHTİYAÇ_RAPORU_BURAK_YENI1309[[#This Row],[SATINALMA]]*DST_123_ÜRETİM_İHTİYAÇ_RAPORU_BURAK_YENI1309[[#This Row],[BIRIM_FIYATLAR]])</f>
        <v>0</v>
      </c>
      <c r="N645">
        <v>0.35</v>
      </c>
      <c r="O645" t="s">
        <v>240</v>
      </c>
      <c r="P645">
        <v>80.149999999999991</v>
      </c>
      <c r="Q645" t="s">
        <v>180</v>
      </c>
    </row>
    <row r="646" spans="1:17" x14ac:dyDescent="0.25">
      <c r="A646" t="s">
        <v>1100</v>
      </c>
      <c r="B646" t="s">
        <v>1058</v>
      </c>
      <c r="C646" t="s">
        <v>175</v>
      </c>
      <c r="D646" t="s">
        <v>351</v>
      </c>
      <c r="E646" t="s">
        <v>352</v>
      </c>
      <c r="F646">
        <v>119</v>
      </c>
      <c r="G646" t="s">
        <v>176</v>
      </c>
      <c r="H646">
        <v>0</v>
      </c>
      <c r="I646">
        <v>4000</v>
      </c>
      <c r="J646" s="10">
        <v>7366</v>
      </c>
      <c r="K646" s="10">
        <f>SUMIFS(F:F,D:D,DST_123_ÜRETİM_İHTİYAÇ_RAPORU_BURAK_YENI1309[[#This Row],[ALT_KOD]])-(SUMIFS(H:H,D:D,DST_123_ÜRETİM_İHTİYAÇ_RAPORU_BURAK_YENI1309[[#This Row],[ALT_KOD]])+AVERAGEIFS(I:I,D:D,DST_123_ÜRETİM_İHTİYAÇ_RAPORU_BURAK_YENI1309[[#This Row],[ALT_KOD]])+AVERAGEIFS(L:L,D:D,DST_123_ÜRETİM_İHTİYAÇ_RAPORU_BURAK_YENI1309[[#This Row],[ALT_KOD]]))</f>
        <v>-714</v>
      </c>
      <c r="L646">
        <v>0</v>
      </c>
      <c r="M646">
        <f>IF((DST_123_ÜRETİM_İHTİYAÇ_RAPORU_BURAK_YENI1309[[#This Row],[SATINALMA]]*DST_123_ÜRETİM_İHTİYAÇ_RAPORU_BURAK_YENI1309[[#This Row],[BIRIM_FIYATLAR]])&lt;1,VALUE("0"),DST_123_ÜRETİM_İHTİYAÇ_RAPORU_BURAK_YENI1309[[#This Row],[SATINALMA]]*DST_123_ÜRETİM_İHTİYAÇ_RAPORU_BURAK_YENI1309[[#This Row],[BIRIM_FIYATLAR]])</f>
        <v>0</v>
      </c>
      <c r="N646">
        <v>0.35</v>
      </c>
      <c r="O646" t="s">
        <v>240</v>
      </c>
      <c r="P646">
        <v>41.65</v>
      </c>
      <c r="Q646" t="s">
        <v>180</v>
      </c>
    </row>
    <row r="647" spans="1:17" x14ac:dyDescent="0.25">
      <c r="A647" t="s">
        <v>1148</v>
      </c>
      <c r="B647" t="s">
        <v>1056</v>
      </c>
      <c r="C647" t="s">
        <v>175</v>
      </c>
      <c r="D647" t="s">
        <v>351</v>
      </c>
      <c r="E647" t="s">
        <v>352</v>
      </c>
      <c r="F647">
        <v>165</v>
      </c>
      <c r="G647" t="s">
        <v>176</v>
      </c>
      <c r="H647">
        <v>0</v>
      </c>
      <c r="I647">
        <v>4000</v>
      </c>
      <c r="J647" s="10">
        <v>7366</v>
      </c>
      <c r="K647" s="10">
        <f>SUMIFS(F:F,D:D,DST_123_ÜRETİM_İHTİYAÇ_RAPORU_BURAK_YENI1309[[#This Row],[ALT_KOD]])-(SUMIFS(H:H,D:D,DST_123_ÜRETİM_İHTİYAÇ_RAPORU_BURAK_YENI1309[[#This Row],[ALT_KOD]])+AVERAGEIFS(I:I,D:D,DST_123_ÜRETİM_İHTİYAÇ_RAPORU_BURAK_YENI1309[[#This Row],[ALT_KOD]])+AVERAGEIFS(L:L,D:D,DST_123_ÜRETİM_İHTİYAÇ_RAPORU_BURAK_YENI1309[[#This Row],[ALT_KOD]]))</f>
        <v>-714</v>
      </c>
      <c r="L647">
        <v>0</v>
      </c>
      <c r="M647">
        <f>IF((DST_123_ÜRETİM_İHTİYAÇ_RAPORU_BURAK_YENI1309[[#This Row],[SATINALMA]]*DST_123_ÜRETİM_İHTİYAÇ_RAPORU_BURAK_YENI1309[[#This Row],[BIRIM_FIYATLAR]])&lt;1,VALUE("0"),DST_123_ÜRETİM_İHTİYAÇ_RAPORU_BURAK_YENI1309[[#This Row],[SATINALMA]]*DST_123_ÜRETİM_İHTİYAÇ_RAPORU_BURAK_YENI1309[[#This Row],[BIRIM_FIYATLAR]])</f>
        <v>0</v>
      </c>
      <c r="N647">
        <v>0.35</v>
      </c>
      <c r="O647" t="s">
        <v>240</v>
      </c>
      <c r="P647">
        <v>57.749999999999993</v>
      </c>
      <c r="Q647" t="s">
        <v>180</v>
      </c>
    </row>
    <row r="648" spans="1:17" x14ac:dyDescent="0.25">
      <c r="A648" t="s">
        <v>1098</v>
      </c>
      <c r="B648" t="s">
        <v>1096</v>
      </c>
      <c r="C648" t="s">
        <v>175</v>
      </c>
      <c r="D648" t="s">
        <v>866</v>
      </c>
      <c r="E648" t="s">
        <v>867</v>
      </c>
      <c r="F648">
        <v>4</v>
      </c>
      <c r="G648" t="s">
        <v>176</v>
      </c>
      <c r="H648">
        <v>0</v>
      </c>
      <c r="I648">
        <v>415</v>
      </c>
      <c r="J648" s="10">
        <v>0</v>
      </c>
      <c r="K648" s="10">
        <f>SUMIFS(F:F,D:D,DST_123_ÜRETİM_İHTİYAÇ_RAPORU_BURAK_YENI1309[[#This Row],[ALT_KOD]])-(SUMIFS(H:H,D:D,DST_123_ÜRETİM_İHTİYAÇ_RAPORU_BURAK_YENI1309[[#This Row],[ALT_KOD]])+AVERAGEIFS(I:I,D:D,DST_123_ÜRETİM_İHTİYAÇ_RAPORU_BURAK_YENI1309[[#This Row],[ALT_KOD]])+AVERAGEIFS(L:L,D:D,DST_123_ÜRETİM_İHTİYAÇ_RAPORU_BURAK_YENI1309[[#This Row],[ALT_KOD]]))</f>
        <v>-393</v>
      </c>
      <c r="L648">
        <v>0</v>
      </c>
      <c r="M648">
        <f>IF((DST_123_ÜRETİM_İHTİYAÇ_RAPORU_BURAK_YENI1309[[#This Row],[SATINALMA]]*DST_123_ÜRETİM_İHTİYAÇ_RAPORU_BURAK_YENI1309[[#This Row],[BIRIM_FIYATLAR]])&lt;1,VALUE("0"),DST_123_ÜRETİM_İHTİYAÇ_RAPORU_BURAK_YENI1309[[#This Row],[SATINALMA]]*DST_123_ÜRETİM_İHTİYAÇ_RAPORU_BURAK_YENI1309[[#This Row],[BIRIM_FIYATLAR]])</f>
        <v>0</v>
      </c>
      <c r="N648">
        <v>4.25</v>
      </c>
      <c r="O648" t="s">
        <v>240</v>
      </c>
      <c r="P648">
        <v>17</v>
      </c>
      <c r="Q648" t="s">
        <v>178</v>
      </c>
    </row>
    <row r="649" spans="1:17" x14ac:dyDescent="0.25">
      <c r="A649" t="s">
        <v>1148</v>
      </c>
      <c r="B649" t="s">
        <v>1056</v>
      </c>
      <c r="C649" t="s">
        <v>175</v>
      </c>
      <c r="D649" t="s">
        <v>866</v>
      </c>
      <c r="E649" t="s">
        <v>867</v>
      </c>
      <c r="F649">
        <v>4</v>
      </c>
      <c r="G649" t="s">
        <v>176</v>
      </c>
      <c r="H649">
        <v>0</v>
      </c>
      <c r="I649">
        <v>415</v>
      </c>
      <c r="J649" s="10">
        <v>0</v>
      </c>
      <c r="K649" s="10">
        <f>SUMIFS(F:F,D:D,DST_123_ÜRETİM_İHTİYAÇ_RAPORU_BURAK_YENI1309[[#This Row],[ALT_KOD]])-(SUMIFS(H:H,D:D,DST_123_ÜRETİM_İHTİYAÇ_RAPORU_BURAK_YENI1309[[#This Row],[ALT_KOD]])+AVERAGEIFS(I:I,D:D,DST_123_ÜRETİM_İHTİYAÇ_RAPORU_BURAK_YENI1309[[#This Row],[ALT_KOD]])+AVERAGEIFS(L:L,D:D,DST_123_ÜRETİM_İHTİYAÇ_RAPORU_BURAK_YENI1309[[#This Row],[ALT_KOD]]))</f>
        <v>-393</v>
      </c>
      <c r="L649">
        <v>0</v>
      </c>
      <c r="M649">
        <f>IF((DST_123_ÜRETİM_İHTİYAÇ_RAPORU_BURAK_YENI1309[[#This Row],[SATINALMA]]*DST_123_ÜRETİM_İHTİYAÇ_RAPORU_BURAK_YENI1309[[#This Row],[BIRIM_FIYATLAR]])&lt;1,VALUE("0"),DST_123_ÜRETİM_İHTİYAÇ_RAPORU_BURAK_YENI1309[[#This Row],[SATINALMA]]*DST_123_ÜRETİM_İHTİYAÇ_RAPORU_BURAK_YENI1309[[#This Row],[BIRIM_FIYATLAR]])</f>
        <v>0</v>
      </c>
      <c r="N649">
        <v>4.25</v>
      </c>
      <c r="O649" t="s">
        <v>240</v>
      </c>
      <c r="P649">
        <v>17</v>
      </c>
      <c r="Q649" t="s">
        <v>178</v>
      </c>
    </row>
    <row r="650" spans="1:17" x14ac:dyDescent="0.25">
      <c r="A650" t="s">
        <v>1060</v>
      </c>
      <c r="B650" t="s">
        <v>1061</v>
      </c>
      <c r="C650" t="s">
        <v>175</v>
      </c>
      <c r="D650" t="s">
        <v>464</v>
      </c>
      <c r="E650" t="s">
        <v>465</v>
      </c>
      <c r="F650">
        <v>2</v>
      </c>
      <c r="G650" t="s">
        <v>176</v>
      </c>
      <c r="H650">
        <v>0</v>
      </c>
      <c r="I650">
        <v>222</v>
      </c>
      <c r="J650" s="10">
        <v>2</v>
      </c>
      <c r="K650" s="10">
        <f>SUMIFS(F:F,D:D,DST_123_ÜRETİM_İHTİYAÇ_RAPORU_BURAK_YENI1309[[#This Row],[ALT_KOD]])-(SUMIFS(H:H,D:D,DST_123_ÜRETİM_İHTİYAÇ_RAPORU_BURAK_YENI1309[[#This Row],[ALT_KOD]])+AVERAGEIFS(I:I,D:D,DST_123_ÜRETİM_İHTİYAÇ_RAPORU_BURAK_YENI1309[[#This Row],[ALT_KOD]])+AVERAGEIFS(L:L,D:D,DST_123_ÜRETİM_İHTİYAÇ_RAPORU_BURAK_YENI1309[[#This Row],[ALT_KOD]]))</f>
        <v>-166</v>
      </c>
      <c r="L650">
        <v>0</v>
      </c>
      <c r="M650">
        <f>IF((DST_123_ÜRETİM_İHTİYAÇ_RAPORU_BURAK_YENI1309[[#This Row],[SATINALMA]]*DST_123_ÜRETİM_İHTİYAÇ_RAPORU_BURAK_YENI1309[[#This Row],[BIRIM_FIYATLAR]])&lt;1,VALUE("0"),DST_123_ÜRETİM_İHTİYAÇ_RAPORU_BURAK_YENI1309[[#This Row],[SATINALMA]]*DST_123_ÜRETİM_İHTİYAÇ_RAPORU_BURAK_YENI1309[[#This Row],[BIRIM_FIYATLAR]])</f>
        <v>0</v>
      </c>
      <c r="N650">
        <v>11.5</v>
      </c>
      <c r="O650" t="s">
        <v>240</v>
      </c>
      <c r="P650">
        <v>23</v>
      </c>
      <c r="Q650" t="s">
        <v>178</v>
      </c>
    </row>
    <row r="651" spans="1:17" x14ac:dyDescent="0.25">
      <c r="A651" t="s">
        <v>1057</v>
      </c>
      <c r="B651" t="s">
        <v>1058</v>
      </c>
      <c r="C651" t="s">
        <v>175</v>
      </c>
      <c r="D651" t="s">
        <v>464</v>
      </c>
      <c r="E651" t="s">
        <v>465</v>
      </c>
      <c r="F651">
        <v>2</v>
      </c>
      <c r="G651" t="s">
        <v>176</v>
      </c>
      <c r="H651">
        <v>0</v>
      </c>
      <c r="I651">
        <v>222</v>
      </c>
      <c r="J651" s="10">
        <v>2</v>
      </c>
      <c r="K651" s="10">
        <f>SUMIFS(F:F,D:D,DST_123_ÜRETİM_İHTİYAÇ_RAPORU_BURAK_YENI1309[[#This Row],[ALT_KOD]])-(SUMIFS(H:H,D:D,DST_123_ÜRETİM_İHTİYAÇ_RAPORU_BURAK_YENI1309[[#This Row],[ALT_KOD]])+AVERAGEIFS(I:I,D:D,DST_123_ÜRETİM_İHTİYAÇ_RAPORU_BURAK_YENI1309[[#This Row],[ALT_KOD]])+AVERAGEIFS(L:L,D:D,DST_123_ÜRETİM_İHTİYAÇ_RAPORU_BURAK_YENI1309[[#This Row],[ALT_KOD]]))</f>
        <v>-166</v>
      </c>
      <c r="L651">
        <v>0</v>
      </c>
      <c r="M651">
        <f>IF((DST_123_ÜRETİM_İHTİYAÇ_RAPORU_BURAK_YENI1309[[#This Row],[SATINALMA]]*DST_123_ÜRETİM_İHTİYAÇ_RAPORU_BURAK_YENI1309[[#This Row],[BIRIM_FIYATLAR]])&lt;1,VALUE("0"),DST_123_ÜRETİM_İHTİYAÇ_RAPORU_BURAK_YENI1309[[#This Row],[SATINALMA]]*DST_123_ÜRETİM_İHTİYAÇ_RAPORU_BURAK_YENI1309[[#This Row],[BIRIM_FIYATLAR]])</f>
        <v>0</v>
      </c>
      <c r="N651">
        <v>11.5</v>
      </c>
      <c r="O651" t="s">
        <v>240</v>
      </c>
      <c r="P651">
        <v>23</v>
      </c>
      <c r="Q651" t="s">
        <v>178</v>
      </c>
    </row>
    <row r="652" spans="1:17" x14ac:dyDescent="0.25">
      <c r="A652" t="s">
        <v>1100</v>
      </c>
      <c r="B652" t="s">
        <v>1058</v>
      </c>
      <c r="C652" t="s">
        <v>175</v>
      </c>
      <c r="D652" t="s">
        <v>464</v>
      </c>
      <c r="E652" t="s">
        <v>465</v>
      </c>
      <c r="F652">
        <v>2</v>
      </c>
      <c r="G652" t="s">
        <v>176</v>
      </c>
      <c r="H652">
        <v>0</v>
      </c>
      <c r="I652">
        <v>222</v>
      </c>
      <c r="J652" s="10">
        <v>2</v>
      </c>
      <c r="K652" s="10">
        <f>SUMIFS(F:F,D:D,DST_123_ÜRETİM_İHTİYAÇ_RAPORU_BURAK_YENI1309[[#This Row],[ALT_KOD]])-(SUMIFS(H:H,D:D,DST_123_ÜRETİM_İHTİYAÇ_RAPORU_BURAK_YENI1309[[#This Row],[ALT_KOD]])+AVERAGEIFS(I:I,D:D,DST_123_ÜRETİM_İHTİYAÇ_RAPORU_BURAK_YENI1309[[#This Row],[ALT_KOD]])+AVERAGEIFS(L:L,D:D,DST_123_ÜRETİM_İHTİYAÇ_RAPORU_BURAK_YENI1309[[#This Row],[ALT_KOD]]))</f>
        <v>-166</v>
      </c>
      <c r="L652">
        <v>0</v>
      </c>
      <c r="M652">
        <f>IF((DST_123_ÜRETİM_İHTİYAÇ_RAPORU_BURAK_YENI1309[[#This Row],[SATINALMA]]*DST_123_ÜRETİM_İHTİYAÇ_RAPORU_BURAK_YENI1309[[#This Row],[BIRIM_FIYATLAR]])&lt;1,VALUE("0"),DST_123_ÜRETİM_İHTİYAÇ_RAPORU_BURAK_YENI1309[[#This Row],[SATINALMA]]*DST_123_ÜRETİM_İHTİYAÇ_RAPORU_BURAK_YENI1309[[#This Row],[BIRIM_FIYATLAR]])</f>
        <v>0</v>
      </c>
      <c r="N652">
        <v>11.5</v>
      </c>
      <c r="O652" t="s">
        <v>240</v>
      </c>
      <c r="P652">
        <v>23</v>
      </c>
      <c r="Q652" t="s">
        <v>178</v>
      </c>
    </row>
    <row r="653" spans="1:17" x14ac:dyDescent="0.25">
      <c r="A653" t="s">
        <v>1060</v>
      </c>
      <c r="B653" t="s">
        <v>1061</v>
      </c>
      <c r="C653" t="s">
        <v>175</v>
      </c>
      <c r="D653" t="s">
        <v>259</v>
      </c>
      <c r="E653" t="s">
        <v>260</v>
      </c>
      <c r="F653">
        <v>0.7</v>
      </c>
      <c r="G653" t="s">
        <v>176</v>
      </c>
      <c r="H653">
        <v>0</v>
      </c>
      <c r="I653">
        <v>2</v>
      </c>
      <c r="J653" s="10">
        <v>3.3000000000000052</v>
      </c>
      <c r="K653" s="10">
        <f>SUMIFS(F:F,D:D,DST_123_ÜRETİM_İHTİYAÇ_RAPORU_BURAK_YENI1309[[#This Row],[ALT_KOD]])-(SUMIFS(H:H,D:D,DST_123_ÜRETİM_İHTİYAÇ_RAPORU_BURAK_YENI1309[[#This Row],[ALT_KOD]])+AVERAGEIFS(I:I,D:D,DST_123_ÜRETİM_İHTİYAÇ_RAPORU_BURAK_YENI1309[[#This Row],[ALT_KOD]])+AVERAGEIFS(L:L,D:D,DST_123_ÜRETİM_İHTİYAÇ_RAPORU_BURAK_YENI1309[[#This Row],[ALT_KOD]]))</f>
        <v>12.649999999999999</v>
      </c>
      <c r="L653">
        <v>0</v>
      </c>
      <c r="M653">
        <f>IF((DST_123_ÜRETİM_İHTİYAÇ_RAPORU_BURAK_YENI1309[[#This Row],[SATINALMA]]*DST_123_ÜRETİM_İHTİYAÇ_RAPORU_BURAK_YENI1309[[#This Row],[BIRIM_FIYATLAR]])&lt;1,VALUE("0"),DST_123_ÜRETİM_İHTİYAÇ_RAPORU_BURAK_YENI1309[[#This Row],[SATINALMA]]*DST_123_ÜRETİM_İHTİYAÇ_RAPORU_BURAK_YENI1309[[#This Row],[BIRIM_FIYATLAR]])</f>
        <v>20523.36</v>
      </c>
      <c r="N653">
        <v>1622.4</v>
      </c>
      <c r="O653" t="s">
        <v>261</v>
      </c>
      <c r="P653">
        <v>1135.68</v>
      </c>
      <c r="Q653" t="s">
        <v>183</v>
      </c>
    </row>
    <row r="654" spans="1:17" x14ac:dyDescent="0.25">
      <c r="A654" t="s">
        <v>1057</v>
      </c>
      <c r="B654" t="s">
        <v>1058</v>
      </c>
      <c r="C654" t="s">
        <v>175</v>
      </c>
      <c r="D654" t="s">
        <v>259</v>
      </c>
      <c r="E654" t="s">
        <v>260</v>
      </c>
      <c r="F654">
        <v>0.7</v>
      </c>
      <c r="G654" t="s">
        <v>176</v>
      </c>
      <c r="H654">
        <v>0</v>
      </c>
      <c r="I654">
        <v>2</v>
      </c>
      <c r="J654" s="10">
        <v>3.3000000000000052</v>
      </c>
      <c r="K654" s="10">
        <f>SUMIFS(F:F,D:D,DST_123_ÜRETİM_İHTİYAÇ_RAPORU_BURAK_YENI1309[[#This Row],[ALT_KOD]])-(SUMIFS(H:H,D:D,DST_123_ÜRETİM_İHTİYAÇ_RAPORU_BURAK_YENI1309[[#This Row],[ALT_KOD]])+AVERAGEIFS(I:I,D:D,DST_123_ÜRETİM_İHTİYAÇ_RAPORU_BURAK_YENI1309[[#This Row],[ALT_KOD]])+AVERAGEIFS(L:L,D:D,DST_123_ÜRETİM_İHTİYAÇ_RAPORU_BURAK_YENI1309[[#This Row],[ALT_KOD]]))</f>
        <v>12.649999999999999</v>
      </c>
      <c r="L654">
        <v>0</v>
      </c>
      <c r="M654">
        <f>IF((DST_123_ÜRETİM_İHTİYAÇ_RAPORU_BURAK_YENI1309[[#This Row],[SATINALMA]]*DST_123_ÜRETİM_İHTİYAÇ_RAPORU_BURAK_YENI1309[[#This Row],[BIRIM_FIYATLAR]])&lt;1,VALUE("0"),DST_123_ÜRETİM_İHTİYAÇ_RAPORU_BURAK_YENI1309[[#This Row],[SATINALMA]]*DST_123_ÜRETİM_İHTİYAÇ_RAPORU_BURAK_YENI1309[[#This Row],[BIRIM_FIYATLAR]])</f>
        <v>20523.36</v>
      </c>
      <c r="N654">
        <v>1622.4</v>
      </c>
      <c r="O654" t="s">
        <v>261</v>
      </c>
      <c r="P654">
        <v>1135.68</v>
      </c>
      <c r="Q654" t="s">
        <v>183</v>
      </c>
    </row>
    <row r="655" spans="1:17" x14ac:dyDescent="0.25">
      <c r="A655" t="s">
        <v>1064</v>
      </c>
      <c r="B655" t="s">
        <v>1055</v>
      </c>
      <c r="C655" t="s">
        <v>175</v>
      </c>
      <c r="D655" t="s">
        <v>464</v>
      </c>
      <c r="E655" t="s">
        <v>465</v>
      </c>
      <c r="F655">
        <v>2</v>
      </c>
      <c r="G655" t="s">
        <v>176</v>
      </c>
      <c r="H655">
        <v>0</v>
      </c>
      <c r="I655">
        <v>222</v>
      </c>
      <c r="J655" s="10">
        <v>2</v>
      </c>
      <c r="K655" s="10">
        <f>SUMIFS(F:F,D:D,DST_123_ÜRETİM_İHTİYAÇ_RAPORU_BURAK_YENI1309[[#This Row],[ALT_KOD]])-(SUMIFS(H:H,D:D,DST_123_ÜRETİM_İHTİYAÇ_RAPORU_BURAK_YENI1309[[#This Row],[ALT_KOD]])+AVERAGEIFS(I:I,D:D,DST_123_ÜRETİM_İHTİYAÇ_RAPORU_BURAK_YENI1309[[#This Row],[ALT_KOD]])+AVERAGEIFS(L:L,D:D,DST_123_ÜRETİM_İHTİYAÇ_RAPORU_BURAK_YENI1309[[#This Row],[ALT_KOD]]))</f>
        <v>-166</v>
      </c>
      <c r="L655">
        <v>0</v>
      </c>
      <c r="M655">
        <f>IF((DST_123_ÜRETİM_İHTİYAÇ_RAPORU_BURAK_YENI1309[[#This Row],[SATINALMA]]*DST_123_ÜRETİM_İHTİYAÇ_RAPORU_BURAK_YENI1309[[#This Row],[BIRIM_FIYATLAR]])&lt;1,VALUE("0"),DST_123_ÜRETİM_İHTİYAÇ_RAPORU_BURAK_YENI1309[[#This Row],[SATINALMA]]*DST_123_ÜRETİM_İHTİYAÇ_RAPORU_BURAK_YENI1309[[#This Row],[BIRIM_FIYATLAR]])</f>
        <v>0</v>
      </c>
      <c r="N655">
        <v>11.5</v>
      </c>
      <c r="O655" t="s">
        <v>240</v>
      </c>
      <c r="P655">
        <v>23</v>
      </c>
      <c r="Q655" t="s">
        <v>178</v>
      </c>
    </row>
    <row r="656" spans="1:17" x14ac:dyDescent="0.25">
      <c r="A656" t="s">
        <v>1101</v>
      </c>
      <c r="B656" t="s">
        <v>1102</v>
      </c>
      <c r="C656" t="s">
        <v>175</v>
      </c>
      <c r="D656" t="s">
        <v>866</v>
      </c>
      <c r="E656" t="s">
        <v>867</v>
      </c>
      <c r="F656">
        <v>2</v>
      </c>
      <c r="G656" t="s">
        <v>176</v>
      </c>
      <c r="H656">
        <v>0</v>
      </c>
      <c r="I656">
        <v>415</v>
      </c>
      <c r="J656" s="10">
        <v>0</v>
      </c>
      <c r="K656" s="10">
        <f>SUMIFS(F:F,D:D,DST_123_ÜRETİM_İHTİYAÇ_RAPORU_BURAK_YENI1309[[#This Row],[ALT_KOD]])-(SUMIFS(H:H,D:D,DST_123_ÜRETİM_İHTİYAÇ_RAPORU_BURAK_YENI1309[[#This Row],[ALT_KOD]])+AVERAGEIFS(I:I,D:D,DST_123_ÜRETİM_İHTİYAÇ_RAPORU_BURAK_YENI1309[[#This Row],[ALT_KOD]])+AVERAGEIFS(L:L,D:D,DST_123_ÜRETİM_İHTİYAÇ_RAPORU_BURAK_YENI1309[[#This Row],[ALT_KOD]]))</f>
        <v>-393</v>
      </c>
      <c r="L656">
        <v>0</v>
      </c>
      <c r="M656">
        <f>IF((DST_123_ÜRETİM_İHTİYAÇ_RAPORU_BURAK_YENI1309[[#This Row],[SATINALMA]]*DST_123_ÜRETİM_İHTİYAÇ_RAPORU_BURAK_YENI1309[[#This Row],[BIRIM_FIYATLAR]])&lt;1,VALUE("0"),DST_123_ÜRETİM_İHTİYAÇ_RAPORU_BURAK_YENI1309[[#This Row],[SATINALMA]]*DST_123_ÜRETİM_İHTİYAÇ_RAPORU_BURAK_YENI1309[[#This Row],[BIRIM_FIYATLAR]])</f>
        <v>0</v>
      </c>
      <c r="N656">
        <v>4.25</v>
      </c>
      <c r="O656" t="s">
        <v>240</v>
      </c>
      <c r="P656">
        <v>8.5</v>
      </c>
      <c r="Q656" t="s">
        <v>178</v>
      </c>
    </row>
    <row r="657" spans="1:17" x14ac:dyDescent="0.25">
      <c r="A657" t="s">
        <v>1098</v>
      </c>
      <c r="B657" t="s">
        <v>1096</v>
      </c>
      <c r="C657" t="s">
        <v>175</v>
      </c>
      <c r="D657" t="s">
        <v>351</v>
      </c>
      <c r="E657" t="s">
        <v>352</v>
      </c>
      <c r="F657">
        <v>149</v>
      </c>
      <c r="G657" t="s">
        <v>176</v>
      </c>
      <c r="H657">
        <v>0</v>
      </c>
      <c r="I657">
        <v>4000</v>
      </c>
      <c r="J657" s="10">
        <v>7366</v>
      </c>
      <c r="K657" s="10">
        <f>SUMIFS(F:F,D:D,DST_123_ÜRETİM_İHTİYAÇ_RAPORU_BURAK_YENI1309[[#This Row],[ALT_KOD]])-(SUMIFS(H:H,D:D,DST_123_ÜRETİM_İHTİYAÇ_RAPORU_BURAK_YENI1309[[#This Row],[ALT_KOD]])+AVERAGEIFS(I:I,D:D,DST_123_ÜRETİM_İHTİYAÇ_RAPORU_BURAK_YENI1309[[#This Row],[ALT_KOD]])+AVERAGEIFS(L:L,D:D,DST_123_ÜRETİM_İHTİYAÇ_RAPORU_BURAK_YENI1309[[#This Row],[ALT_KOD]]))</f>
        <v>-714</v>
      </c>
      <c r="L657">
        <v>0</v>
      </c>
      <c r="M657">
        <f>IF((DST_123_ÜRETİM_İHTİYAÇ_RAPORU_BURAK_YENI1309[[#This Row],[SATINALMA]]*DST_123_ÜRETİM_İHTİYAÇ_RAPORU_BURAK_YENI1309[[#This Row],[BIRIM_FIYATLAR]])&lt;1,VALUE("0"),DST_123_ÜRETİM_İHTİYAÇ_RAPORU_BURAK_YENI1309[[#This Row],[SATINALMA]]*DST_123_ÜRETİM_İHTİYAÇ_RAPORU_BURAK_YENI1309[[#This Row],[BIRIM_FIYATLAR]])</f>
        <v>0</v>
      </c>
      <c r="N657">
        <v>0.35</v>
      </c>
      <c r="O657" t="s">
        <v>240</v>
      </c>
      <c r="P657">
        <v>52.15</v>
      </c>
      <c r="Q657" t="s">
        <v>180</v>
      </c>
    </row>
    <row r="658" spans="1:17" x14ac:dyDescent="0.25">
      <c r="A658" t="s">
        <v>1101</v>
      </c>
      <c r="B658" t="s">
        <v>1102</v>
      </c>
      <c r="C658" t="s">
        <v>175</v>
      </c>
      <c r="D658" t="s">
        <v>351</v>
      </c>
      <c r="E658" t="s">
        <v>352</v>
      </c>
      <c r="F658">
        <v>92</v>
      </c>
      <c r="G658" t="s">
        <v>176</v>
      </c>
      <c r="H658">
        <v>0</v>
      </c>
      <c r="I658">
        <v>4000</v>
      </c>
      <c r="J658" s="10">
        <v>7366</v>
      </c>
      <c r="K658" s="10">
        <f>SUMIFS(F:F,D:D,DST_123_ÜRETİM_İHTİYAÇ_RAPORU_BURAK_YENI1309[[#This Row],[ALT_KOD]])-(SUMIFS(H:H,D:D,DST_123_ÜRETİM_İHTİYAÇ_RAPORU_BURAK_YENI1309[[#This Row],[ALT_KOD]])+AVERAGEIFS(I:I,D:D,DST_123_ÜRETİM_İHTİYAÇ_RAPORU_BURAK_YENI1309[[#This Row],[ALT_KOD]])+AVERAGEIFS(L:L,D:D,DST_123_ÜRETİM_İHTİYAÇ_RAPORU_BURAK_YENI1309[[#This Row],[ALT_KOD]]))</f>
        <v>-714</v>
      </c>
      <c r="L658">
        <v>0</v>
      </c>
      <c r="M658">
        <f>IF((DST_123_ÜRETİM_İHTİYAÇ_RAPORU_BURAK_YENI1309[[#This Row],[SATINALMA]]*DST_123_ÜRETİM_İHTİYAÇ_RAPORU_BURAK_YENI1309[[#This Row],[BIRIM_FIYATLAR]])&lt;1,VALUE("0"),DST_123_ÜRETİM_İHTİYAÇ_RAPORU_BURAK_YENI1309[[#This Row],[SATINALMA]]*DST_123_ÜRETİM_İHTİYAÇ_RAPORU_BURAK_YENI1309[[#This Row],[BIRIM_FIYATLAR]])</f>
        <v>0</v>
      </c>
      <c r="N658">
        <v>0.35</v>
      </c>
      <c r="O658" t="s">
        <v>240</v>
      </c>
      <c r="P658">
        <v>32.199999999999996</v>
      </c>
      <c r="Q658" t="s">
        <v>180</v>
      </c>
    </row>
    <row r="659" spans="1:17" x14ac:dyDescent="0.25">
      <c r="A659" t="s">
        <v>1057</v>
      </c>
      <c r="B659" t="s">
        <v>1058</v>
      </c>
      <c r="C659" t="s">
        <v>175</v>
      </c>
      <c r="D659" t="s">
        <v>351</v>
      </c>
      <c r="E659" t="s">
        <v>352</v>
      </c>
      <c r="F659">
        <v>155</v>
      </c>
      <c r="G659" t="s">
        <v>176</v>
      </c>
      <c r="H659">
        <v>0</v>
      </c>
      <c r="I659">
        <v>4000</v>
      </c>
      <c r="J659" s="10">
        <v>7366</v>
      </c>
      <c r="K659" s="10">
        <f>SUMIFS(F:F,D:D,DST_123_ÜRETİM_İHTİYAÇ_RAPORU_BURAK_YENI1309[[#This Row],[ALT_KOD]])-(SUMIFS(H:H,D:D,DST_123_ÜRETİM_İHTİYAÇ_RAPORU_BURAK_YENI1309[[#This Row],[ALT_KOD]])+AVERAGEIFS(I:I,D:D,DST_123_ÜRETİM_İHTİYAÇ_RAPORU_BURAK_YENI1309[[#This Row],[ALT_KOD]])+AVERAGEIFS(L:L,D:D,DST_123_ÜRETİM_İHTİYAÇ_RAPORU_BURAK_YENI1309[[#This Row],[ALT_KOD]]))</f>
        <v>-714</v>
      </c>
      <c r="L659">
        <v>0</v>
      </c>
      <c r="M659">
        <f>IF((DST_123_ÜRETİM_İHTİYAÇ_RAPORU_BURAK_YENI1309[[#This Row],[SATINALMA]]*DST_123_ÜRETİM_İHTİYAÇ_RAPORU_BURAK_YENI1309[[#This Row],[BIRIM_FIYATLAR]])&lt;1,VALUE("0"),DST_123_ÜRETİM_İHTİYAÇ_RAPORU_BURAK_YENI1309[[#This Row],[SATINALMA]]*DST_123_ÜRETİM_İHTİYAÇ_RAPORU_BURAK_YENI1309[[#This Row],[BIRIM_FIYATLAR]])</f>
        <v>0</v>
      </c>
      <c r="N659">
        <v>0.35</v>
      </c>
      <c r="O659" t="s">
        <v>240</v>
      </c>
      <c r="P659">
        <v>54.25</v>
      </c>
      <c r="Q659" t="s">
        <v>180</v>
      </c>
    </row>
    <row r="660" spans="1:17" x14ac:dyDescent="0.25">
      <c r="A660" t="s">
        <v>1101</v>
      </c>
      <c r="B660" t="s">
        <v>1102</v>
      </c>
      <c r="C660" t="s">
        <v>175</v>
      </c>
      <c r="D660" t="s">
        <v>536</v>
      </c>
      <c r="E660" t="s">
        <v>537</v>
      </c>
      <c r="F660">
        <v>40</v>
      </c>
      <c r="G660" t="s">
        <v>176</v>
      </c>
      <c r="H660">
        <v>0</v>
      </c>
      <c r="I660">
        <v>2200</v>
      </c>
      <c r="J660" s="10">
        <v>0</v>
      </c>
      <c r="K660" s="10">
        <f>SUMIFS(F:F,D:D,DST_123_ÜRETİM_İHTİYAÇ_RAPORU_BURAK_YENI1309[[#This Row],[ALT_KOD]])-(SUMIFS(H:H,D:D,DST_123_ÜRETİM_İHTİYAÇ_RAPORU_BURAK_YENI1309[[#This Row],[ALT_KOD]])+AVERAGEIFS(I:I,D:D,DST_123_ÜRETİM_İHTİYAÇ_RAPORU_BURAK_YENI1309[[#This Row],[ALT_KOD]])+AVERAGEIFS(L:L,D:D,DST_123_ÜRETİM_İHTİYAÇ_RAPORU_BURAK_YENI1309[[#This Row],[ALT_KOD]]))</f>
        <v>-1626</v>
      </c>
      <c r="L660">
        <v>0</v>
      </c>
      <c r="M660">
        <f>IF((DST_123_ÜRETİM_İHTİYAÇ_RAPORU_BURAK_YENI1309[[#This Row],[SATINALMA]]*DST_123_ÜRETİM_İHTİYAÇ_RAPORU_BURAK_YENI1309[[#This Row],[BIRIM_FIYATLAR]])&lt;1,VALUE("0"),DST_123_ÜRETİM_İHTİYAÇ_RAPORU_BURAK_YENI1309[[#This Row],[SATINALMA]]*DST_123_ÜRETİM_İHTİYAÇ_RAPORU_BURAK_YENI1309[[#This Row],[BIRIM_FIYATLAR]])</f>
        <v>0</v>
      </c>
      <c r="N660">
        <v>0.7</v>
      </c>
      <c r="O660" t="s">
        <v>240</v>
      </c>
      <c r="P660">
        <v>28</v>
      </c>
      <c r="Q660" t="s">
        <v>180</v>
      </c>
    </row>
    <row r="661" spans="1:17" x14ac:dyDescent="0.25">
      <c r="A661" t="s">
        <v>1057</v>
      </c>
      <c r="B661" t="s">
        <v>1058</v>
      </c>
      <c r="C661" t="s">
        <v>175</v>
      </c>
      <c r="D661" t="s">
        <v>668</v>
      </c>
      <c r="E661" t="s">
        <v>669</v>
      </c>
      <c r="F661">
        <v>1</v>
      </c>
      <c r="G661" t="s">
        <v>176</v>
      </c>
      <c r="H661">
        <v>1</v>
      </c>
      <c r="I661">
        <v>13</v>
      </c>
      <c r="J661" s="10">
        <v>4</v>
      </c>
      <c r="K661" s="10">
        <f>SUMIFS(F:F,D:D,DST_123_ÜRETİM_İHTİYAÇ_RAPORU_BURAK_YENI1309[[#This Row],[ALT_KOD]])-(SUMIFS(H:H,D:D,DST_123_ÜRETİM_İHTİYAÇ_RAPORU_BURAK_YENI1309[[#This Row],[ALT_KOD]])+AVERAGEIFS(I:I,D:D,DST_123_ÜRETİM_İHTİYAÇ_RAPORU_BURAK_YENI1309[[#This Row],[ALT_KOD]])+AVERAGEIFS(L:L,D:D,DST_123_ÜRETİM_İHTİYAÇ_RAPORU_BURAK_YENI1309[[#This Row],[ALT_KOD]]))</f>
        <v>-6</v>
      </c>
      <c r="L661">
        <v>0</v>
      </c>
      <c r="M661">
        <f>IF((DST_123_ÜRETİM_İHTİYAÇ_RAPORU_BURAK_YENI1309[[#This Row],[SATINALMA]]*DST_123_ÜRETİM_İHTİYAÇ_RAPORU_BURAK_YENI1309[[#This Row],[BIRIM_FIYATLAR]])&lt;1,VALUE("0"),DST_123_ÜRETİM_İHTİYAÇ_RAPORU_BURAK_YENI1309[[#This Row],[SATINALMA]]*DST_123_ÜRETİM_İHTİYAÇ_RAPORU_BURAK_YENI1309[[#This Row],[BIRIM_FIYATLAR]])</f>
        <v>0</v>
      </c>
      <c r="N661">
        <v>1250</v>
      </c>
      <c r="O661" t="s">
        <v>337</v>
      </c>
      <c r="P661">
        <v>1250</v>
      </c>
      <c r="Q661" t="s">
        <v>177</v>
      </c>
    </row>
    <row r="662" spans="1:17" x14ac:dyDescent="0.25">
      <c r="A662" t="s">
        <v>1100</v>
      </c>
      <c r="B662" t="s">
        <v>1058</v>
      </c>
      <c r="C662" t="s">
        <v>175</v>
      </c>
      <c r="D662" t="s">
        <v>668</v>
      </c>
      <c r="E662" t="s">
        <v>669</v>
      </c>
      <c r="F662">
        <v>1</v>
      </c>
      <c r="G662" t="s">
        <v>176</v>
      </c>
      <c r="H662">
        <v>1</v>
      </c>
      <c r="I662">
        <v>13</v>
      </c>
      <c r="J662" s="10">
        <v>4</v>
      </c>
      <c r="K662" s="10">
        <f>SUMIFS(F:F,D:D,DST_123_ÜRETİM_İHTİYAÇ_RAPORU_BURAK_YENI1309[[#This Row],[ALT_KOD]])-(SUMIFS(H:H,D:D,DST_123_ÜRETİM_İHTİYAÇ_RAPORU_BURAK_YENI1309[[#This Row],[ALT_KOD]])+AVERAGEIFS(I:I,D:D,DST_123_ÜRETİM_İHTİYAÇ_RAPORU_BURAK_YENI1309[[#This Row],[ALT_KOD]])+AVERAGEIFS(L:L,D:D,DST_123_ÜRETİM_İHTİYAÇ_RAPORU_BURAK_YENI1309[[#This Row],[ALT_KOD]]))</f>
        <v>-6</v>
      </c>
      <c r="L662">
        <v>0</v>
      </c>
      <c r="M662">
        <f>IF((DST_123_ÜRETİM_İHTİYAÇ_RAPORU_BURAK_YENI1309[[#This Row],[SATINALMA]]*DST_123_ÜRETİM_İHTİYAÇ_RAPORU_BURAK_YENI1309[[#This Row],[BIRIM_FIYATLAR]])&lt;1,VALUE("0"),DST_123_ÜRETİM_İHTİYAÇ_RAPORU_BURAK_YENI1309[[#This Row],[SATINALMA]]*DST_123_ÜRETİM_İHTİYAÇ_RAPORU_BURAK_YENI1309[[#This Row],[BIRIM_FIYATLAR]])</f>
        <v>0</v>
      </c>
      <c r="N662">
        <v>1250</v>
      </c>
      <c r="O662" t="s">
        <v>337</v>
      </c>
      <c r="P662">
        <v>1250</v>
      </c>
      <c r="Q662" t="s">
        <v>177</v>
      </c>
    </row>
    <row r="663" spans="1:17" x14ac:dyDescent="0.25">
      <c r="A663" t="s">
        <v>1144</v>
      </c>
      <c r="B663" t="s">
        <v>1145</v>
      </c>
      <c r="C663" t="s">
        <v>175</v>
      </c>
      <c r="D663" t="s">
        <v>536</v>
      </c>
      <c r="E663" t="s">
        <v>537</v>
      </c>
      <c r="F663">
        <v>45</v>
      </c>
      <c r="G663" t="s">
        <v>176</v>
      </c>
      <c r="H663">
        <v>0</v>
      </c>
      <c r="I663">
        <v>2200</v>
      </c>
      <c r="J663" s="10">
        <v>0</v>
      </c>
      <c r="K663" s="10">
        <f>SUMIFS(F:F,D:D,DST_123_ÜRETİM_İHTİYAÇ_RAPORU_BURAK_YENI1309[[#This Row],[ALT_KOD]])-(SUMIFS(H:H,D:D,DST_123_ÜRETİM_İHTİYAÇ_RAPORU_BURAK_YENI1309[[#This Row],[ALT_KOD]])+AVERAGEIFS(I:I,D:D,DST_123_ÜRETİM_İHTİYAÇ_RAPORU_BURAK_YENI1309[[#This Row],[ALT_KOD]])+AVERAGEIFS(L:L,D:D,DST_123_ÜRETİM_İHTİYAÇ_RAPORU_BURAK_YENI1309[[#This Row],[ALT_KOD]]))</f>
        <v>-1626</v>
      </c>
      <c r="L663">
        <v>0</v>
      </c>
      <c r="M663">
        <f>IF((DST_123_ÜRETİM_İHTİYAÇ_RAPORU_BURAK_YENI1309[[#This Row],[SATINALMA]]*DST_123_ÜRETİM_İHTİYAÇ_RAPORU_BURAK_YENI1309[[#This Row],[BIRIM_FIYATLAR]])&lt;1,VALUE("0"),DST_123_ÜRETİM_İHTİYAÇ_RAPORU_BURAK_YENI1309[[#This Row],[SATINALMA]]*DST_123_ÜRETİM_İHTİYAÇ_RAPORU_BURAK_YENI1309[[#This Row],[BIRIM_FIYATLAR]])</f>
        <v>0</v>
      </c>
      <c r="N663">
        <v>0.7</v>
      </c>
      <c r="O663" t="s">
        <v>240</v>
      </c>
      <c r="P663">
        <v>31.499999999999996</v>
      </c>
      <c r="Q663" t="s">
        <v>180</v>
      </c>
    </row>
    <row r="664" spans="1:17" x14ac:dyDescent="0.25">
      <c r="A664" t="s">
        <v>1146</v>
      </c>
      <c r="B664" t="s">
        <v>1145</v>
      </c>
      <c r="C664" t="s">
        <v>175</v>
      </c>
      <c r="D664" t="s">
        <v>668</v>
      </c>
      <c r="E664" t="s">
        <v>669</v>
      </c>
      <c r="F664">
        <v>1</v>
      </c>
      <c r="G664" t="s">
        <v>176</v>
      </c>
      <c r="H664">
        <v>0</v>
      </c>
      <c r="I664">
        <v>13</v>
      </c>
      <c r="J664" s="10">
        <v>4</v>
      </c>
      <c r="K664" s="10">
        <f>SUMIFS(F:F,D:D,DST_123_ÜRETİM_İHTİYAÇ_RAPORU_BURAK_YENI1309[[#This Row],[ALT_KOD]])-(SUMIFS(H:H,D:D,DST_123_ÜRETİM_İHTİYAÇ_RAPORU_BURAK_YENI1309[[#This Row],[ALT_KOD]])+AVERAGEIFS(I:I,D:D,DST_123_ÜRETİM_İHTİYAÇ_RAPORU_BURAK_YENI1309[[#This Row],[ALT_KOD]])+AVERAGEIFS(L:L,D:D,DST_123_ÜRETİM_İHTİYAÇ_RAPORU_BURAK_YENI1309[[#This Row],[ALT_KOD]]))</f>
        <v>-6</v>
      </c>
      <c r="L664">
        <v>0</v>
      </c>
      <c r="M664">
        <f>IF((DST_123_ÜRETİM_İHTİYAÇ_RAPORU_BURAK_YENI1309[[#This Row],[SATINALMA]]*DST_123_ÜRETİM_İHTİYAÇ_RAPORU_BURAK_YENI1309[[#This Row],[BIRIM_FIYATLAR]])&lt;1,VALUE("0"),DST_123_ÜRETİM_İHTİYAÇ_RAPORU_BURAK_YENI1309[[#This Row],[SATINALMA]]*DST_123_ÜRETİM_İHTİYAÇ_RAPORU_BURAK_YENI1309[[#This Row],[BIRIM_FIYATLAR]])</f>
        <v>0</v>
      </c>
      <c r="N664">
        <v>1250</v>
      </c>
      <c r="O664" t="s">
        <v>337</v>
      </c>
      <c r="P664">
        <v>1250</v>
      </c>
      <c r="Q664" t="s">
        <v>177</v>
      </c>
    </row>
    <row r="665" spans="1:17" x14ac:dyDescent="0.25">
      <c r="A665" t="s">
        <v>1144</v>
      </c>
      <c r="B665" t="s">
        <v>1145</v>
      </c>
      <c r="C665" t="s">
        <v>175</v>
      </c>
      <c r="D665" t="s">
        <v>668</v>
      </c>
      <c r="E665" t="s">
        <v>669</v>
      </c>
      <c r="F665">
        <v>1</v>
      </c>
      <c r="G665" t="s">
        <v>176</v>
      </c>
      <c r="H665">
        <v>0</v>
      </c>
      <c r="I665">
        <v>13</v>
      </c>
      <c r="J665" s="10">
        <v>4</v>
      </c>
      <c r="K665" s="10">
        <f>SUMIFS(F:F,D:D,DST_123_ÜRETİM_İHTİYAÇ_RAPORU_BURAK_YENI1309[[#This Row],[ALT_KOD]])-(SUMIFS(H:H,D:D,DST_123_ÜRETİM_İHTİYAÇ_RAPORU_BURAK_YENI1309[[#This Row],[ALT_KOD]])+AVERAGEIFS(I:I,D:D,DST_123_ÜRETİM_İHTİYAÇ_RAPORU_BURAK_YENI1309[[#This Row],[ALT_KOD]])+AVERAGEIFS(L:L,D:D,DST_123_ÜRETİM_İHTİYAÇ_RAPORU_BURAK_YENI1309[[#This Row],[ALT_KOD]]))</f>
        <v>-6</v>
      </c>
      <c r="L665">
        <v>0</v>
      </c>
      <c r="M665">
        <f>IF((DST_123_ÜRETİM_İHTİYAÇ_RAPORU_BURAK_YENI1309[[#This Row],[SATINALMA]]*DST_123_ÜRETİM_İHTİYAÇ_RAPORU_BURAK_YENI1309[[#This Row],[BIRIM_FIYATLAR]])&lt;1,VALUE("0"),DST_123_ÜRETİM_İHTİYAÇ_RAPORU_BURAK_YENI1309[[#This Row],[SATINALMA]]*DST_123_ÜRETİM_İHTİYAÇ_RAPORU_BURAK_YENI1309[[#This Row],[BIRIM_FIYATLAR]])</f>
        <v>0</v>
      </c>
      <c r="N665">
        <v>1250</v>
      </c>
      <c r="O665" t="s">
        <v>337</v>
      </c>
      <c r="P665">
        <v>1250</v>
      </c>
      <c r="Q665" t="s">
        <v>177</v>
      </c>
    </row>
    <row r="666" spans="1:17" x14ac:dyDescent="0.25">
      <c r="A666" t="s">
        <v>1095</v>
      </c>
      <c r="B666" t="s">
        <v>1096</v>
      </c>
      <c r="C666" t="s">
        <v>175</v>
      </c>
      <c r="D666" t="s">
        <v>28</v>
      </c>
      <c r="E666" t="s">
        <v>29</v>
      </c>
      <c r="F666">
        <v>83</v>
      </c>
      <c r="G666" t="s">
        <v>176</v>
      </c>
      <c r="H666">
        <v>0</v>
      </c>
      <c r="I666">
        <v>3000</v>
      </c>
      <c r="J666" s="10">
        <v>1048</v>
      </c>
      <c r="K666" s="10">
        <f>SUMIFS(F:F,D:D,DST_123_ÜRETİM_İHTİYAÇ_RAPORU_BURAK_YENI1309[[#This Row],[ALT_KOD]])-(SUMIFS(H:H,D:D,DST_123_ÜRETİM_İHTİYAÇ_RAPORU_BURAK_YENI1309[[#This Row],[ALT_KOD]])+AVERAGEIFS(I:I,D:D,DST_123_ÜRETİM_İHTİYAÇ_RAPORU_BURAK_YENI1309[[#This Row],[ALT_KOD]])+AVERAGEIFS(L:L,D:D,DST_123_ÜRETİM_İHTİYAÇ_RAPORU_BURAK_YENI1309[[#This Row],[ALT_KOD]]))</f>
        <v>-967</v>
      </c>
      <c r="L666">
        <v>0</v>
      </c>
      <c r="M666">
        <f>IF((DST_123_ÜRETİM_İHTİYAÇ_RAPORU_BURAK_YENI1309[[#This Row],[SATINALMA]]*DST_123_ÜRETİM_İHTİYAÇ_RAPORU_BURAK_YENI1309[[#This Row],[BIRIM_FIYATLAR]])&lt;1,VALUE("0"),DST_123_ÜRETİM_İHTİYAÇ_RAPORU_BURAK_YENI1309[[#This Row],[SATINALMA]]*DST_123_ÜRETİM_İHTİYAÇ_RAPORU_BURAK_YENI1309[[#This Row],[BIRIM_FIYATLAR]])</f>
        <v>0</v>
      </c>
      <c r="N666">
        <v>2.92</v>
      </c>
      <c r="O666" t="s">
        <v>628</v>
      </c>
      <c r="P666">
        <v>242.35999999999999</v>
      </c>
      <c r="Q666" t="s">
        <v>180</v>
      </c>
    </row>
    <row r="667" spans="1:17" x14ac:dyDescent="0.25">
      <c r="A667" t="s">
        <v>1060</v>
      </c>
      <c r="B667" t="s">
        <v>1061</v>
      </c>
      <c r="C667" t="s">
        <v>175</v>
      </c>
      <c r="D667" t="s">
        <v>491</v>
      </c>
      <c r="E667" t="s">
        <v>492</v>
      </c>
      <c r="F667">
        <v>4</v>
      </c>
      <c r="G667" t="s">
        <v>179</v>
      </c>
      <c r="H667">
        <v>0</v>
      </c>
      <c r="I667">
        <v>0</v>
      </c>
      <c r="J667" s="10">
        <v>0</v>
      </c>
      <c r="K667" s="10">
        <f>SUMIFS(F:F,D:D,DST_123_ÜRETİM_İHTİYAÇ_RAPORU_BURAK_YENI1309[[#This Row],[ALT_KOD]])-(SUMIFS(H:H,D:D,DST_123_ÜRETİM_İHTİYAÇ_RAPORU_BURAK_YENI1309[[#This Row],[ALT_KOD]])+AVERAGEIFS(I:I,D:D,DST_123_ÜRETİM_İHTİYAÇ_RAPORU_BURAK_YENI1309[[#This Row],[ALT_KOD]])+AVERAGEIFS(L:L,D:D,DST_123_ÜRETİM_İHTİYAÇ_RAPORU_BURAK_YENI1309[[#This Row],[ALT_KOD]]))</f>
        <v>58</v>
      </c>
      <c r="L667">
        <v>200</v>
      </c>
      <c r="M667">
        <f>IF((DST_123_ÜRETİM_İHTİYAÇ_RAPORU_BURAK_YENI1309[[#This Row],[SATINALMA]]*DST_123_ÜRETİM_İHTİYAÇ_RAPORU_BURAK_YENI1309[[#This Row],[BIRIM_FIYATLAR]])&lt;1,VALUE("0"),DST_123_ÜRETİM_İHTİYAÇ_RAPORU_BURAK_YENI1309[[#This Row],[SATINALMA]]*DST_123_ÜRETİM_İHTİYAÇ_RAPORU_BURAK_YENI1309[[#This Row],[BIRIM_FIYATLAR]])</f>
        <v>232.57999999999998</v>
      </c>
      <c r="N667">
        <v>4.01</v>
      </c>
      <c r="O667" t="s">
        <v>707</v>
      </c>
      <c r="P667">
        <v>16.04</v>
      </c>
      <c r="Q667" t="s">
        <v>184</v>
      </c>
    </row>
    <row r="668" spans="1:17" x14ac:dyDescent="0.25">
      <c r="A668" s="13" t="s">
        <v>1101</v>
      </c>
      <c r="B668" s="13" t="s">
        <v>1102</v>
      </c>
      <c r="C668" t="s">
        <v>175</v>
      </c>
      <c r="D668" s="13" t="s">
        <v>491</v>
      </c>
      <c r="E668" s="13" t="s">
        <v>492</v>
      </c>
      <c r="F668" s="13">
        <v>14</v>
      </c>
      <c r="G668" s="13" t="s">
        <v>179</v>
      </c>
      <c r="H668">
        <v>0</v>
      </c>
      <c r="I668">
        <v>0</v>
      </c>
      <c r="J668" s="10">
        <v>0</v>
      </c>
      <c r="K668" s="10">
        <f>SUMIFS(F:F,D:D,DST_123_ÜRETİM_İHTİYAÇ_RAPORU_BURAK_YENI1309[[#This Row],[ALT_KOD]])-(SUMIFS(H:H,D:D,DST_123_ÜRETİM_İHTİYAÇ_RAPORU_BURAK_YENI1309[[#This Row],[ALT_KOD]])+AVERAGEIFS(I:I,D:D,DST_123_ÜRETİM_İHTİYAÇ_RAPORU_BURAK_YENI1309[[#This Row],[ALT_KOD]])+AVERAGEIFS(L:L,D:D,DST_123_ÜRETİM_İHTİYAÇ_RAPORU_BURAK_YENI1309[[#This Row],[ALT_KOD]]))</f>
        <v>58</v>
      </c>
      <c r="L668">
        <v>200</v>
      </c>
      <c r="M668">
        <f>IF((DST_123_ÜRETİM_İHTİYAÇ_RAPORU_BURAK_YENI1309[[#This Row],[SATINALMA]]*DST_123_ÜRETİM_İHTİYAÇ_RAPORU_BURAK_YENI1309[[#This Row],[BIRIM_FIYATLAR]])&lt;1,VALUE("0"),DST_123_ÜRETİM_İHTİYAÇ_RAPORU_BURAK_YENI1309[[#This Row],[SATINALMA]]*DST_123_ÜRETİM_İHTİYAÇ_RAPORU_BURAK_YENI1309[[#This Row],[BIRIM_FIYATLAR]])</f>
        <v>232.57999999999998</v>
      </c>
      <c r="N668">
        <v>4.01</v>
      </c>
      <c r="O668" t="s">
        <v>707</v>
      </c>
      <c r="P668">
        <v>56.14</v>
      </c>
      <c r="Q668" t="s">
        <v>184</v>
      </c>
    </row>
    <row r="669" spans="1:17" x14ac:dyDescent="0.25">
      <c r="A669" t="s">
        <v>1147</v>
      </c>
      <c r="B669" t="s">
        <v>1145</v>
      </c>
      <c r="C669" t="s">
        <v>175</v>
      </c>
      <c r="D669" t="s">
        <v>231</v>
      </c>
      <c r="E669" t="s">
        <v>232</v>
      </c>
      <c r="F669">
        <v>2</v>
      </c>
      <c r="G669" t="s">
        <v>176</v>
      </c>
      <c r="H669">
        <v>0</v>
      </c>
      <c r="I669">
        <v>239</v>
      </c>
      <c r="J669" s="10">
        <v>90</v>
      </c>
      <c r="K669" s="10">
        <f>SUMIFS(F:F,D:D,DST_123_ÜRETİM_İHTİYAÇ_RAPORU_BURAK_YENI1309[[#This Row],[ALT_KOD]])-(SUMIFS(H:H,D:D,DST_123_ÜRETİM_İHTİYAÇ_RAPORU_BURAK_YENI1309[[#This Row],[ALT_KOD]])+AVERAGEIFS(I:I,D:D,DST_123_ÜRETİM_İHTİYAÇ_RAPORU_BURAK_YENI1309[[#This Row],[ALT_KOD]])+AVERAGEIFS(L:L,D:D,DST_123_ÜRETİM_İHTİYAÇ_RAPORU_BURAK_YENI1309[[#This Row],[ALT_KOD]]))</f>
        <v>-201</v>
      </c>
      <c r="L669">
        <v>0</v>
      </c>
      <c r="M669">
        <f>IF((DST_123_ÜRETİM_İHTİYAÇ_RAPORU_BURAK_YENI1309[[#This Row],[SATINALMA]]*DST_123_ÜRETİM_İHTİYAÇ_RAPORU_BURAK_YENI1309[[#This Row],[BIRIM_FIYATLAR]])&lt;1,VALUE("0"),DST_123_ÜRETİM_İHTİYAÇ_RAPORU_BURAK_YENI1309[[#This Row],[SATINALMA]]*DST_123_ÜRETİM_İHTİYAÇ_RAPORU_BURAK_YENI1309[[#This Row],[BIRIM_FIYATLAR]])</f>
        <v>0</v>
      </c>
      <c r="N669">
        <v>4</v>
      </c>
      <c r="O669" t="s">
        <v>220</v>
      </c>
      <c r="P669">
        <v>8</v>
      </c>
      <c r="Q669" t="s">
        <v>221</v>
      </c>
    </row>
    <row r="670" spans="1:17" x14ac:dyDescent="0.25">
      <c r="A670" t="s">
        <v>1100</v>
      </c>
      <c r="B670" t="s">
        <v>1058</v>
      </c>
      <c r="C670" t="s">
        <v>175</v>
      </c>
      <c r="D670" t="s">
        <v>231</v>
      </c>
      <c r="E670" t="s">
        <v>232</v>
      </c>
      <c r="F670">
        <v>2</v>
      </c>
      <c r="G670" t="s">
        <v>176</v>
      </c>
      <c r="H670">
        <v>0</v>
      </c>
      <c r="I670">
        <v>239</v>
      </c>
      <c r="J670" s="10">
        <v>90</v>
      </c>
      <c r="K670" s="10">
        <f>SUMIFS(F:F,D:D,DST_123_ÜRETİM_İHTİYAÇ_RAPORU_BURAK_YENI1309[[#This Row],[ALT_KOD]])-(SUMIFS(H:H,D:D,DST_123_ÜRETİM_İHTİYAÇ_RAPORU_BURAK_YENI1309[[#This Row],[ALT_KOD]])+AVERAGEIFS(I:I,D:D,DST_123_ÜRETİM_İHTİYAÇ_RAPORU_BURAK_YENI1309[[#This Row],[ALT_KOD]])+AVERAGEIFS(L:L,D:D,DST_123_ÜRETİM_İHTİYAÇ_RAPORU_BURAK_YENI1309[[#This Row],[ALT_KOD]]))</f>
        <v>-201</v>
      </c>
      <c r="L670">
        <v>0</v>
      </c>
      <c r="M670">
        <f>IF((DST_123_ÜRETİM_İHTİYAÇ_RAPORU_BURAK_YENI1309[[#This Row],[SATINALMA]]*DST_123_ÜRETİM_İHTİYAÇ_RAPORU_BURAK_YENI1309[[#This Row],[BIRIM_FIYATLAR]])&lt;1,VALUE("0"),DST_123_ÜRETİM_İHTİYAÇ_RAPORU_BURAK_YENI1309[[#This Row],[SATINALMA]]*DST_123_ÜRETİM_İHTİYAÇ_RAPORU_BURAK_YENI1309[[#This Row],[BIRIM_FIYATLAR]])</f>
        <v>0</v>
      </c>
      <c r="N670">
        <v>4</v>
      </c>
      <c r="O670" t="s">
        <v>220</v>
      </c>
      <c r="P670">
        <v>8</v>
      </c>
      <c r="Q670" t="s">
        <v>221</v>
      </c>
    </row>
    <row r="671" spans="1:17" x14ac:dyDescent="0.25">
      <c r="A671" t="s">
        <v>1148</v>
      </c>
      <c r="B671" t="s">
        <v>1056</v>
      </c>
      <c r="C671" t="s">
        <v>175</v>
      </c>
      <c r="D671" t="s">
        <v>15</v>
      </c>
      <c r="E671" t="s">
        <v>16</v>
      </c>
      <c r="F671">
        <v>1</v>
      </c>
      <c r="G671" t="s">
        <v>176</v>
      </c>
      <c r="H671">
        <v>0</v>
      </c>
      <c r="I671">
        <v>7</v>
      </c>
      <c r="J671" s="10">
        <v>10</v>
      </c>
      <c r="K671" s="10">
        <f>SUMIFS(F:F,D:D,DST_123_ÜRETİM_İHTİYAÇ_RAPORU_BURAK_YENI1309[[#This Row],[ALT_KOD]])-(SUMIFS(H:H,D:D,DST_123_ÜRETİM_İHTİYAÇ_RAPORU_BURAK_YENI1309[[#This Row],[ALT_KOD]])+AVERAGEIFS(I:I,D:D,DST_123_ÜRETİM_İHTİYAÇ_RAPORU_BURAK_YENI1309[[#This Row],[ALT_KOD]])+AVERAGEIFS(L:L,D:D,DST_123_ÜRETİM_İHTİYAÇ_RAPORU_BURAK_YENI1309[[#This Row],[ALT_KOD]]))</f>
        <v>6</v>
      </c>
      <c r="L671">
        <v>0</v>
      </c>
      <c r="M671">
        <f>IF((DST_123_ÜRETİM_İHTİYAÇ_RAPORU_BURAK_YENI1309[[#This Row],[SATINALMA]]*DST_123_ÜRETİM_İHTİYAÇ_RAPORU_BURAK_YENI1309[[#This Row],[BIRIM_FIYATLAR]])&lt;1,VALUE("0"),DST_123_ÜRETİM_İHTİYAÇ_RAPORU_BURAK_YENI1309[[#This Row],[SATINALMA]]*DST_123_ÜRETİM_İHTİYAÇ_RAPORU_BURAK_YENI1309[[#This Row],[BIRIM_FIYATLAR]])</f>
        <v>20303.939999999999</v>
      </c>
      <c r="N671">
        <v>3383.99</v>
      </c>
      <c r="O671" t="s">
        <v>215</v>
      </c>
      <c r="P671">
        <v>3383.99</v>
      </c>
      <c r="Q671" t="s">
        <v>221</v>
      </c>
    </row>
    <row r="672" spans="1:17" x14ac:dyDescent="0.25">
      <c r="A672" t="s">
        <v>1147</v>
      </c>
      <c r="B672" t="s">
        <v>1145</v>
      </c>
      <c r="C672" t="s">
        <v>175</v>
      </c>
      <c r="D672" t="s">
        <v>28</v>
      </c>
      <c r="E672" t="s">
        <v>29</v>
      </c>
      <c r="F672">
        <v>135</v>
      </c>
      <c r="G672" t="s">
        <v>176</v>
      </c>
      <c r="H672">
        <v>0</v>
      </c>
      <c r="I672">
        <v>3000</v>
      </c>
      <c r="J672" s="10">
        <v>1048</v>
      </c>
      <c r="K672" s="10">
        <f>SUMIFS(F:F,D:D,DST_123_ÜRETİM_İHTİYAÇ_RAPORU_BURAK_YENI1309[[#This Row],[ALT_KOD]])-(SUMIFS(H:H,D:D,DST_123_ÜRETİM_İHTİYAÇ_RAPORU_BURAK_YENI1309[[#This Row],[ALT_KOD]])+AVERAGEIFS(I:I,D:D,DST_123_ÜRETİM_İHTİYAÇ_RAPORU_BURAK_YENI1309[[#This Row],[ALT_KOD]])+AVERAGEIFS(L:L,D:D,DST_123_ÜRETİM_İHTİYAÇ_RAPORU_BURAK_YENI1309[[#This Row],[ALT_KOD]]))</f>
        <v>-967</v>
      </c>
      <c r="L672">
        <v>0</v>
      </c>
      <c r="M672">
        <f>IF((DST_123_ÜRETİM_İHTİYAÇ_RAPORU_BURAK_YENI1309[[#This Row],[SATINALMA]]*DST_123_ÜRETİM_İHTİYAÇ_RAPORU_BURAK_YENI1309[[#This Row],[BIRIM_FIYATLAR]])&lt;1,VALUE("0"),DST_123_ÜRETİM_İHTİYAÇ_RAPORU_BURAK_YENI1309[[#This Row],[SATINALMA]]*DST_123_ÜRETİM_İHTİYAÇ_RAPORU_BURAK_YENI1309[[#This Row],[BIRIM_FIYATLAR]])</f>
        <v>0</v>
      </c>
      <c r="N672">
        <v>2.92</v>
      </c>
      <c r="O672" t="s">
        <v>628</v>
      </c>
      <c r="P672">
        <v>394.2</v>
      </c>
      <c r="Q672" t="s">
        <v>180</v>
      </c>
    </row>
    <row r="673" spans="1:17" x14ac:dyDescent="0.25">
      <c r="A673" t="s">
        <v>1099</v>
      </c>
      <c r="B673" t="s">
        <v>1055</v>
      </c>
      <c r="C673" t="s">
        <v>175</v>
      </c>
      <c r="D673" t="s">
        <v>536</v>
      </c>
      <c r="E673" t="s">
        <v>537</v>
      </c>
      <c r="F673">
        <v>7</v>
      </c>
      <c r="G673" t="s">
        <v>176</v>
      </c>
      <c r="H673">
        <v>0</v>
      </c>
      <c r="I673">
        <v>2200</v>
      </c>
      <c r="J673" s="10">
        <v>0</v>
      </c>
      <c r="K673" s="10">
        <f>SUMIFS(F:F,D:D,DST_123_ÜRETİM_İHTİYAÇ_RAPORU_BURAK_YENI1309[[#This Row],[ALT_KOD]])-(SUMIFS(H:H,D:D,DST_123_ÜRETİM_İHTİYAÇ_RAPORU_BURAK_YENI1309[[#This Row],[ALT_KOD]])+AVERAGEIFS(I:I,D:D,DST_123_ÜRETİM_İHTİYAÇ_RAPORU_BURAK_YENI1309[[#This Row],[ALT_KOD]])+AVERAGEIFS(L:L,D:D,DST_123_ÜRETİM_İHTİYAÇ_RAPORU_BURAK_YENI1309[[#This Row],[ALT_KOD]]))</f>
        <v>-1626</v>
      </c>
      <c r="L673">
        <v>0</v>
      </c>
      <c r="M673">
        <f>IF((DST_123_ÜRETİM_İHTİYAÇ_RAPORU_BURAK_YENI1309[[#This Row],[SATINALMA]]*DST_123_ÜRETİM_İHTİYAÇ_RAPORU_BURAK_YENI1309[[#This Row],[BIRIM_FIYATLAR]])&lt;1,VALUE("0"),DST_123_ÜRETİM_İHTİYAÇ_RAPORU_BURAK_YENI1309[[#This Row],[SATINALMA]]*DST_123_ÜRETİM_İHTİYAÇ_RAPORU_BURAK_YENI1309[[#This Row],[BIRIM_FIYATLAR]])</f>
        <v>0</v>
      </c>
      <c r="N673">
        <v>0.7</v>
      </c>
      <c r="O673" t="s">
        <v>240</v>
      </c>
      <c r="P673">
        <v>4.8999999999999995</v>
      </c>
      <c r="Q673" t="s">
        <v>180</v>
      </c>
    </row>
    <row r="674" spans="1:17" x14ac:dyDescent="0.25">
      <c r="A674" t="s">
        <v>1196</v>
      </c>
      <c r="B674" t="s">
        <v>1197</v>
      </c>
      <c r="C674" t="s">
        <v>175</v>
      </c>
      <c r="D674" t="s">
        <v>807</v>
      </c>
      <c r="E674" t="s">
        <v>808</v>
      </c>
      <c r="F674">
        <v>1</v>
      </c>
      <c r="G674" t="s">
        <v>176</v>
      </c>
      <c r="H674">
        <v>0</v>
      </c>
      <c r="I674">
        <v>11</v>
      </c>
      <c r="J674" s="10">
        <v>1</v>
      </c>
      <c r="K674" s="10">
        <f>SUMIFS(F:F,D:D,DST_123_ÜRETİM_İHTİYAÇ_RAPORU_BURAK_YENI1309[[#This Row],[ALT_KOD]])-(SUMIFS(H:H,D:D,DST_123_ÜRETİM_İHTİYAÇ_RAPORU_BURAK_YENI1309[[#This Row],[ALT_KOD]])+AVERAGEIFS(I:I,D:D,DST_123_ÜRETİM_İHTİYAÇ_RAPORU_BURAK_YENI1309[[#This Row],[ALT_KOD]])+AVERAGEIFS(L:L,D:D,DST_123_ÜRETİM_İHTİYAÇ_RAPORU_BURAK_YENI1309[[#This Row],[ALT_KOD]]))</f>
        <v>-4</v>
      </c>
      <c r="L674">
        <v>0</v>
      </c>
      <c r="M674">
        <f>IF((DST_123_ÜRETİM_İHTİYAÇ_RAPORU_BURAK_YENI1309[[#This Row],[SATINALMA]]*DST_123_ÜRETİM_İHTİYAÇ_RAPORU_BURAK_YENI1309[[#This Row],[BIRIM_FIYATLAR]])&lt;1,VALUE("0"),DST_123_ÜRETİM_İHTİYAÇ_RAPORU_BURAK_YENI1309[[#This Row],[SATINALMA]]*DST_123_ÜRETİM_İHTİYAÇ_RAPORU_BURAK_YENI1309[[#This Row],[BIRIM_FIYATLAR]])</f>
        <v>0</v>
      </c>
      <c r="N674">
        <v>582.5</v>
      </c>
      <c r="O674" t="s">
        <v>628</v>
      </c>
      <c r="P674">
        <v>582.5</v>
      </c>
      <c r="Q674" t="s">
        <v>177</v>
      </c>
    </row>
    <row r="675" spans="1:17" x14ac:dyDescent="0.25">
      <c r="A675" t="s">
        <v>1196</v>
      </c>
      <c r="B675" t="s">
        <v>1197</v>
      </c>
      <c r="C675" t="s">
        <v>175</v>
      </c>
      <c r="D675" t="s">
        <v>70</v>
      </c>
      <c r="E675" t="s">
        <v>287</v>
      </c>
      <c r="F675">
        <v>6.8</v>
      </c>
      <c r="G675" t="s">
        <v>185</v>
      </c>
      <c r="H675">
        <v>0</v>
      </c>
      <c r="I675">
        <v>0</v>
      </c>
      <c r="J675" s="10">
        <v>233.6899999999996</v>
      </c>
      <c r="K675" s="10">
        <f>SUMIFS(F:F,D:D,DST_123_ÜRETİM_İHTİYAÇ_RAPORU_BURAK_YENI1309[[#This Row],[ALT_KOD]])-(SUMIFS(H:H,D:D,DST_123_ÜRETİM_İHTİYAÇ_RAPORU_BURAK_YENI1309[[#This Row],[ALT_KOD]])+AVERAGEIFS(I:I,D:D,DST_123_ÜRETİM_İHTİYAÇ_RAPORU_BURAK_YENI1309[[#This Row],[ALT_KOD]])+AVERAGEIFS(L:L,D:D,DST_123_ÜRETİM_İHTİYAÇ_RAPORU_BURAK_YENI1309[[#This Row],[ALT_KOD]]))</f>
        <v>63.129999999999995</v>
      </c>
      <c r="L675">
        <v>0</v>
      </c>
      <c r="M675">
        <f>IF((DST_123_ÜRETİM_İHTİYAÇ_RAPORU_BURAK_YENI1309[[#This Row],[SATINALMA]]*DST_123_ÜRETİM_İHTİYAÇ_RAPORU_BURAK_YENI1309[[#This Row],[BIRIM_FIYATLAR]])&lt;1,VALUE("0"),DST_123_ÜRETİM_İHTİYAÇ_RAPORU_BURAK_YENI1309[[#This Row],[SATINALMA]]*DST_123_ÜRETİM_İHTİYAÇ_RAPORU_BURAK_YENI1309[[#This Row],[BIRIM_FIYATLAR]])</f>
        <v>6403.9071999999996</v>
      </c>
      <c r="N675">
        <v>101.44</v>
      </c>
      <c r="O675" t="s">
        <v>490</v>
      </c>
      <c r="P675">
        <v>689.79199999999992</v>
      </c>
      <c r="Q675" t="s">
        <v>183</v>
      </c>
    </row>
    <row r="676" spans="1:17" x14ac:dyDescent="0.25">
      <c r="A676" t="s">
        <v>1196</v>
      </c>
      <c r="B676" t="s">
        <v>1197</v>
      </c>
      <c r="C676" t="s">
        <v>175</v>
      </c>
      <c r="D676" t="s">
        <v>389</v>
      </c>
      <c r="E676" t="s">
        <v>390</v>
      </c>
      <c r="F676">
        <v>4</v>
      </c>
      <c r="G676" t="s">
        <v>176</v>
      </c>
      <c r="H676">
        <v>0</v>
      </c>
      <c r="I676">
        <v>100</v>
      </c>
      <c r="J676" s="10">
        <v>352</v>
      </c>
      <c r="K676" s="10">
        <f>SUMIFS(F:F,D:D,DST_123_ÜRETİM_İHTİYAÇ_RAPORU_BURAK_YENI1309[[#This Row],[ALT_KOD]])-(SUMIFS(H:H,D:D,DST_123_ÜRETİM_İHTİYAÇ_RAPORU_BURAK_YENI1309[[#This Row],[ALT_KOD]])+AVERAGEIFS(I:I,D:D,DST_123_ÜRETİM_İHTİYAÇ_RAPORU_BURAK_YENI1309[[#This Row],[ALT_KOD]])+AVERAGEIFS(L:L,D:D,DST_123_ÜRETİM_İHTİYAÇ_RAPORU_BURAK_YENI1309[[#This Row],[ALT_KOD]]))</f>
        <v>-28</v>
      </c>
      <c r="L676">
        <v>0</v>
      </c>
      <c r="M676">
        <f>IF((DST_123_ÜRETİM_İHTİYAÇ_RAPORU_BURAK_YENI1309[[#This Row],[SATINALMA]]*DST_123_ÜRETİM_İHTİYAÇ_RAPORU_BURAK_YENI1309[[#This Row],[BIRIM_FIYATLAR]])&lt;1,VALUE("0"),DST_123_ÜRETİM_İHTİYAÇ_RAPORU_BURAK_YENI1309[[#This Row],[SATINALMA]]*DST_123_ÜRETİM_İHTİYAÇ_RAPORU_BURAK_YENI1309[[#This Row],[BIRIM_FIYATLAR]])</f>
        <v>0</v>
      </c>
      <c r="N676">
        <v>6.4</v>
      </c>
      <c r="O676" t="s">
        <v>882</v>
      </c>
      <c r="P676">
        <v>25.6</v>
      </c>
      <c r="Q676" t="s">
        <v>178</v>
      </c>
    </row>
    <row r="677" spans="1:17" x14ac:dyDescent="0.25">
      <c r="A677" t="s">
        <v>1147</v>
      </c>
      <c r="B677" t="s">
        <v>1145</v>
      </c>
      <c r="C677" t="s">
        <v>175</v>
      </c>
      <c r="D677" t="s">
        <v>536</v>
      </c>
      <c r="E677" t="s">
        <v>537</v>
      </c>
      <c r="F677">
        <v>45</v>
      </c>
      <c r="G677" t="s">
        <v>176</v>
      </c>
      <c r="H677">
        <v>0</v>
      </c>
      <c r="I677">
        <v>2200</v>
      </c>
      <c r="J677" s="10">
        <v>0</v>
      </c>
      <c r="K677" s="10">
        <f>SUMIFS(F:F,D:D,DST_123_ÜRETİM_İHTİYAÇ_RAPORU_BURAK_YENI1309[[#This Row],[ALT_KOD]])-(SUMIFS(H:H,D:D,DST_123_ÜRETİM_İHTİYAÇ_RAPORU_BURAK_YENI1309[[#This Row],[ALT_KOD]])+AVERAGEIFS(I:I,D:D,DST_123_ÜRETİM_İHTİYAÇ_RAPORU_BURAK_YENI1309[[#This Row],[ALT_KOD]])+AVERAGEIFS(L:L,D:D,DST_123_ÜRETİM_İHTİYAÇ_RAPORU_BURAK_YENI1309[[#This Row],[ALT_KOD]]))</f>
        <v>-1626</v>
      </c>
      <c r="L677">
        <v>0</v>
      </c>
      <c r="M677">
        <f>IF((DST_123_ÜRETİM_İHTİYAÇ_RAPORU_BURAK_YENI1309[[#This Row],[SATINALMA]]*DST_123_ÜRETİM_İHTİYAÇ_RAPORU_BURAK_YENI1309[[#This Row],[BIRIM_FIYATLAR]])&lt;1,VALUE("0"),DST_123_ÜRETİM_İHTİYAÇ_RAPORU_BURAK_YENI1309[[#This Row],[SATINALMA]]*DST_123_ÜRETİM_İHTİYAÇ_RAPORU_BURAK_YENI1309[[#This Row],[BIRIM_FIYATLAR]])</f>
        <v>0</v>
      </c>
      <c r="N677">
        <v>0.7</v>
      </c>
      <c r="O677" t="s">
        <v>240</v>
      </c>
      <c r="P677">
        <v>31.499999999999996</v>
      </c>
      <c r="Q677" t="s">
        <v>180</v>
      </c>
    </row>
    <row r="678" spans="1:17" x14ac:dyDescent="0.25">
      <c r="A678" t="s">
        <v>1147</v>
      </c>
      <c r="B678" t="s">
        <v>1145</v>
      </c>
      <c r="C678" t="s">
        <v>175</v>
      </c>
      <c r="D678" t="s">
        <v>807</v>
      </c>
      <c r="E678" t="s">
        <v>808</v>
      </c>
      <c r="F678">
        <v>1</v>
      </c>
      <c r="G678" t="s">
        <v>176</v>
      </c>
      <c r="H678">
        <v>0</v>
      </c>
      <c r="I678">
        <v>11</v>
      </c>
      <c r="J678" s="10">
        <v>1</v>
      </c>
      <c r="K678" s="10">
        <f>SUMIFS(F:F,D:D,DST_123_ÜRETİM_İHTİYAÇ_RAPORU_BURAK_YENI1309[[#This Row],[ALT_KOD]])-(SUMIFS(H:H,D:D,DST_123_ÜRETİM_İHTİYAÇ_RAPORU_BURAK_YENI1309[[#This Row],[ALT_KOD]])+AVERAGEIFS(I:I,D:D,DST_123_ÜRETİM_İHTİYAÇ_RAPORU_BURAK_YENI1309[[#This Row],[ALT_KOD]])+AVERAGEIFS(L:L,D:D,DST_123_ÜRETİM_İHTİYAÇ_RAPORU_BURAK_YENI1309[[#This Row],[ALT_KOD]]))</f>
        <v>-4</v>
      </c>
      <c r="L678">
        <v>0</v>
      </c>
      <c r="M678">
        <f>IF((DST_123_ÜRETİM_İHTİYAÇ_RAPORU_BURAK_YENI1309[[#This Row],[SATINALMA]]*DST_123_ÜRETİM_İHTİYAÇ_RAPORU_BURAK_YENI1309[[#This Row],[BIRIM_FIYATLAR]])&lt;1,VALUE("0"),DST_123_ÜRETİM_İHTİYAÇ_RAPORU_BURAK_YENI1309[[#This Row],[SATINALMA]]*DST_123_ÜRETİM_İHTİYAÇ_RAPORU_BURAK_YENI1309[[#This Row],[BIRIM_FIYATLAR]])</f>
        <v>0</v>
      </c>
      <c r="N678">
        <v>582.5</v>
      </c>
      <c r="O678" t="s">
        <v>628</v>
      </c>
      <c r="P678">
        <v>582.5</v>
      </c>
      <c r="Q678" t="s">
        <v>177</v>
      </c>
    </row>
    <row r="679" spans="1:17" x14ac:dyDescent="0.25">
      <c r="A679" t="s">
        <v>1060</v>
      </c>
      <c r="B679" t="s">
        <v>1061</v>
      </c>
      <c r="C679" t="s">
        <v>175</v>
      </c>
      <c r="D679" t="s">
        <v>668</v>
      </c>
      <c r="E679" t="s">
        <v>669</v>
      </c>
      <c r="F679">
        <v>1</v>
      </c>
      <c r="G679" t="s">
        <v>176</v>
      </c>
      <c r="H679">
        <v>1</v>
      </c>
      <c r="I679">
        <v>13</v>
      </c>
      <c r="J679" s="10">
        <v>4</v>
      </c>
      <c r="K679" s="10">
        <f>SUMIFS(F:F,D:D,DST_123_ÜRETİM_İHTİYAÇ_RAPORU_BURAK_YENI1309[[#This Row],[ALT_KOD]])-(SUMIFS(H:H,D:D,DST_123_ÜRETİM_İHTİYAÇ_RAPORU_BURAK_YENI1309[[#This Row],[ALT_KOD]])+AVERAGEIFS(I:I,D:D,DST_123_ÜRETİM_İHTİYAÇ_RAPORU_BURAK_YENI1309[[#This Row],[ALT_KOD]])+AVERAGEIFS(L:L,D:D,DST_123_ÜRETİM_İHTİYAÇ_RAPORU_BURAK_YENI1309[[#This Row],[ALT_KOD]]))</f>
        <v>-6</v>
      </c>
      <c r="L679">
        <v>0</v>
      </c>
      <c r="M679">
        <f>IF((DST_123_ÜRETİM_İHTİYAÇ_RAPORU_BURAK_YENI1309[[#This Row],[SATINALMA]]*DST_123_ÜRETİM_İHTİYAÇ_RAPORU_BURAK_YENI1309[[#This Row],[BIRIM_FIYATLAR]])&lt;1,VALUE("0"),DST_123_ÜRETİM_İHTİYAÇ_RAPORU_BURAK_YENI1309[[#This Row],[SATINALMA]]*DST_123_ÜRETİM_İHTİYAÇ_RAPORU_BURAK_YENI1309[[#This Row],[BIRIM_FIYATLAR]])</f>
        <v>0</v>
      </c>
      <c r="N679">
        <v>1250</v>
      </c>
      <c r="O679" t="s">
        <v>337</v>
      </c>
      <c r="P679">
        <v>1250</v>
      </c>
      <c r="Q679" t="s">
        <v>177</v>
      </c>
    </row>
    <row r="680" spans="1:17" x14ac:dyDescent="0.25">
      <c r="A680" t="s">
        <v>1149</v>
      </c>
      <c r="B680" t="s">
        <v>1145</v>
      </c>
      <c r="C680" t="s">
        <v>175</v>
      </c>
      <c r="D680" t="s">
        <v>807</v>
      </c>
      <c r="E680" t="s">
        <v>808</v>
      </c>
      <c r="F680">
        <v>1</v>
      </c>
      <c r="G680" t="s">
        <v>176</v>
      </c>
      <c r="H680">
        <v>0</v>
      </c>
      <c r="I680">
        <v>11</v>
      </c>
      <c r="J680" s="10">
        <v>1</v>
      </c>
      <c r="K680" s="10">
        <f>SUMIFS(F:F,D:D,DST_123_ÜRETİM_İHTİYAÇ_RAPORU_BURAK_YENI1309[[#This Row],[ALT_KOD]])-(SUMIFS(H:H,D:D,DST_123_ÜRETİM_İHTİYAÇ_RAPORU_BURAK_YENI1309[[#This Row],[ALT_KOD]])+AVERAGEIFS(I:I,D:D,DST_123_ÜRETİM_İHTİYAÇ_RAPORU_BURAK_YENI1309[[#This Row],[ALT_KOD]])+AVERAGEIFS(L:L,D:D,DST_123_ÜRETİM_İHTİYAÇ_RAPORU_BURAK_YENI1309[[#This Row],[ALT_KOD]]))</f>
        <v>-4</v>
      </c>
      <c r="L680">
        <v>0</v>
      </c>
      <c r="M680">
        <f>IF((DST_123_ÜRETİM_İHTİYAÇ_RAPORU_BURAK_YENI1309[[#This Row],[SATINALMA]]*DST_123_ÜRETİM_İHTİYAÇ_RAPORU_BURAK_YENI1309[[#This Row],[BIRIM_FIYATLAR]])&lt;1,VALUE("0"),DST_123_ÜRETİM_İHTİYAÇ_RAPORU_BURAK_YENI1309[[#This Row],[SATINALMA]]*DST_123_ÜRETİM_İHTİYAÇ_RAPORU_BURAK_YENI1309[[#This Row],[BIRIM_FIYATLAR]])</f>
        <v>0</v>
      </c>
      <c r="N680">
        <v>582.5</v>
      </c>
      <c r="O680" t="s">
        <v>628</v>
      </c>
      <c r="P680">
        <v>582.5</v>
      </c>
      <c r="Q680" t="s">
        <v>177</v>
      </c>
    </row>
    <row r="681" spans="1:17" x14ac:dyDescent="0.25">
      <c r="A681" t="s">
        <v>1150</v>
      </c>
      <c r="B681" t="s">
        <v>1145</v>
      </c>
      <c r="C681" t="s">
        <v>175</v>
      </c>
      <c r="D681" t="s">
        <v>668</v>
      </c>
      <c r="E681" t="s">
        <v>669</v>
      </c>
      <c r="F681">
        <v>1</v>
      </c>
      <c r="G681" t="s">
        <v>176</v>
      </c>
      <c r="H681">
        <v>0</v>
      </c>
      <c r="I681">
        <v>13</v>
      </c>
      <c r="J681" s="10">
        <v>4</v>
      </c>
      <c r="K681" s="10">
        <f>SUMIFS(F:F,D:D,DST_123_ÜRETİM_İHTİYAÇ_RAPORU_BURAK_YENI1309[[#This Row],[ALT_KOD]])-(SUMIFS(H:H,D:D,DST_123_ÜRETİM_İHTİYAÇ_RAPORU_BURAK_YENI1309[[#This Row],[ALT_KOD]])+AVERAGEIFS(I:I,D:D,DST_123_ÜRETİM_İHTİYAÇ_RAPORU_BURAK_YENI1309[[#This Row],[ALT_KOD]])+AVERAGEIFS(L:L,D:D,DST_123_ÜRETİM_İHTİYAÇ_RAPORU_BURAK_YENI1309[[#This Row],[ALT_KOD]]))</f>
        <v>-6</v>
      </c>
      <c r="L681">
        <v>0</v>
      </c>
      <c r="M681">
        <f>IF((DST_123_ÜRETİM_İHTİYAÇ_RAPORU_BURAK_YENI1309[[#This Row],[SATINALMA]]*DST_123_ÜRETİM_İHTİYAÇ_RAPORU_BURAK_YENI1309[[#This Row],[BIRIM_FIYATLAR]])&lt;1,VALUE("0"),DST_123_ÜRETİM_İHTİYAÇ_RAPORU_BURAK_YENI1309[[#This Row],[SATINALMA]]*DST_123_ÜRETİM_İHTİYAÇ_RAPORU_BURAK_YENI1309[[#This Row],[BIRIM_FIYATLAR]])</f>
        <v>0</v>
      </c>
      <c r="N681">
        <v>1250</v>
      </c>
      <c r="O681" t="s">
        <v>337</v>
      </c>
      <c r="P681">
        <v>1250</v>
      </c>
      <c r="Q681" t="s">
        <v>177</v>
      </c>
    </row>
    <row r="682" spans="1:17" x14ac:dyDescent="0.25">
      <c r="A682" t="s">
        <v>1149</v>
      </c>
      <c r="B682" t="s">
        <v>1145</v>
      </c>
      <c r="C682" t="s">
        <v>175</v>
      </c>
      <c r="D682" t="s">
        <v>70</v>
      </c>
      <c r="E682" t="s">
        <v>287</v>
      </c>
      <c r="F682">
        <v>6.8</v>
      </c>
      <c r="G682" t="s">
        <v>185</v>
      </c>
      <c r="H682">
        <v>0</v>
      </c>
      <c r="I682">
        <v>0</v>
      </c>
      <c r="J682" s="10">
        <v>233.6899999999996</v>
      </c>
      <c r="K682" s="10">
        <f>SUMIFS(F:F,D:D,DST_123_ÜRETİM_İHTİYAÇ_RAPORU_BURAK_YENI1309[[#This Row],[ALT_KOD]])-(SUMIFS(H:H,D:D,DST_123_ÜRETİM_İHTİYAÇ_RAPORU_BURAK_YENI1309[[#This Row],[ALT_KOD]])+AVERAGEIFS(I:I,D:D,DST_123_ÜRETİM_İHTİYAÇ_RAPORU_BURAK_YENI1309[[#This Row],[ALT_KOD]])+AVERAGEIFS(L:L,D:D,DST_123_ÜRETİM_İHTİYAÇ_RAPORU_BURAK_YENI1309[[#This Row],[ALT_KOD]]))</f>
        <v>63.129999999999995</v>
      </c>
      <c r="L682">
        <v>0</v>
      </c>
      <c r="M682">
        <f>IF((DST_123_ÜRETİM_İHTİYAÇ_RAPORU_BURAK_YENI1309[[#This Row],[SATINALMA]]*DST_123_ÜRETİM_İHTİYAÇ_RAPORU_BURAK_YENI1309[[#This Row],[BIRIM_FIYATLAR]])&lt;1,VALUE("0"),DST_123_ÜRETİM_İHTİYAÇ_RAPORU_BURAK_YENI1309[[#This Row],[SATINALMA]]*DST_123_ÜRETİM_İHTİYAÇ_RAPORU_BURAK_YENI1309[[#This Row],[BIRIM_FIYATLAR]])</f>
        <v>6403.9071999999996</v>
      </c>
      <c r="N682">
        <v>101.44</v>
      </c>
      <c r="O682" t="s">
        <v>490</v>
      </c>
      <c r="P682">
        <v>689.79199999999992</v>
      </c>
      <c r="Q682" t="s">
        <v>183</v>
      </c>
    </row>
    <row r="683" spans="1:17" x14ac:dyDescent="0.25">
      <c r="A683" t="s">
        <v>1150</v>
      </c>
      <c r="B683" t="s">
        <v>1145</v>
      </c>
      <c r="C683" t="s">
        <v>175</v>
      </c>
      <c r="D683" t="s">
        <v>1030</v>
      </c>
      <c r="E683" t="s">
        <v>1031</v>
      </c>
      <c r="F683">
        <v>1</v>
      </c>
      <c r="G683" t="s">
        <v>182</v>
      </c>
      <c r="H683">
        <v>0</v>
      </c>
      <c r="I683">
        <v>40</v>
      </c>
      <c r="J683" s="10">
        <v>20</v>
      </c>
      <c r="K683" s="10">
        <f>SUMIFS(F:F,D:D,DST_123_ÜRETİM_İHTİYAÇ_RAPORU_BURAK_YENI1309[[#This Row],[ALT_KOD]])-(SUMIFS(H:H,D:D,DST_123_ÜRETİM_İHTİYAÇ_RAPORU_BURAK_YENI1309[[#This Row],[ALT_KOD]])+AVERAGEIFS(I:I,D:D,DST_123_ÜRETİM_İHTİYAÇ_RAPORU_BURAK_YENI1309[[#This Row],[ALT_KOD]])+AVERAGEIFS(L:L,D:D,DST_123_ÜRETİM_İHTİYAÇ_RAPORU_BURAK_YENI1309[[#This Row],[ALT_KOD]]))</f>
        <v>-35.625</v>
      </c>
      <c r="L683">
        <v>0</v>
      </c>
      <c r="M683">
        <f>IF((DST_123_ÜRETİM_İHTİYAÇ_RAPORU_BURAK_YENI1309[[#This Row],[SATINALMA]]*DST_123_ÜRETİM_İHTİYAÇ_RAPORU_BURAK_YENI1309[[#This Row],[BIRIM_FIYATLAR]])&lt;1,VALUE("0"),DST_123_ÜRETİM_İHTİYAÇ_RAPORU_BURAK_YENI1309[[#This Row],[SATINALMA]]*DST_123_ÜRETİM_İHTİYAÇ_RAPORU_BURAK_YENI1309[[#This Row],[BIRIM_FIYATLAR]])</f>
        <v>0</v>
      </c>
      <c r="N683">
        <v>54.17</v>
      </c>
      <c r="O683" t="s">
        <v>453</v>
      </c>
      <c r="P683">
        <v>54.17</v>
      </c>
      <c r="Q683" t="s">
        <v>183</v>
      </c>
    </row>
    <row r="684" spans="1:17" x14ac:dyDescent="0.25">
      <c r="A684" t="s">
        <v>1148</v>
      </c>
      <c r="B684" t="s">
        <v>1056</v>
      </c>
      <c r="C684" t="s">
        <v>175</v>
      </c>
      <c r="D684" t="s">
        <v>198</v>
      </c>
      <c r="E684" t="s">
        <v>199</v>
      </c>
      <c r="F684">
        <v>1</v>
      </c>
      <c r="G684" t="s">
        <v>176</v>
      </c>
      <c r="H684">
        <v>0</v>
      </c>
      <c r="I684">
        <v>1</v>
      </c>
      <c r="J684" s="10">
        <v>8</v>
      </c>
      <c r="K684" s="10">
        <f>SUMIFS(F:F,D:D,DST_123_ÜRETİM_İHTİYAÇ_RAPORU_BURAK_YENI1309[[#This Row],[ALT_KOD]])-(SUMIFS(H:H,D:D,DST_123_ÜRETİM_İHTİYAÇ_RAPORU_BURAK_YENI1309[[#This Row],[ALT_KOD]])+AVERAGEIFS(I:I,D:D,DST_123_ÜRETİM_İHTİYAÇ_RAPORU_BURAK_YENI1309[[#This Row],[ALT_KOD]])+AVERAGEIFS(L:L,D:D,DST_123_ÜRETİM_İHTİYAÇ_RAPORU_BURAK_YENI1309[[#This Row],[ALT_KOD]]))</f>
        <v>10</v>
      </c>
      <c r="L684">
        <v>0</v>
      </c>
      <c r="M684">
        <f>IF((DST_123_ÜRETİM_İHTİYAÇ_RAPORU_BURAK_YENI1309[[#This Row],[SATINALMA]]*DST_123_ÜRETİM_İHTİYAÇ_RAPORU_BURAK_YENI1309[[#This Row],[BIRIM_FIYATLAR]])&lt;1,VALUE("0"),DST_123_ÜRETİM_İHTİYAÇ_RAPORU_BURAK_YENI1309[[#This Row],[SATINALMA]]*DST_123_ÜRETİM_İHTİYAÇ_RAPORU_BURAK_YENI1309[[#This Row],[BIRIM_FIYATLAR]])</f>
        <v>156184.20000000001</v>
      </c>
      <c r="N684">
        <v>15618.42</v>
      </c>
      <c r="O684" t="s">
        <v>215</v>
      </c>
      <c r="P684">
        <v>15618.42</v>
      </c>
      <c r="Q684" t="s">
        <v>177</v>
      </c>
    </row>
    <row r="685" spans="1:17" x14ac:dyDescent="0.25">
      <c r="A685" t="s">
        <v>1150</v>
      </c>
      <c r="B685" t="s">
        <v>1145</v>
      </c>
      <c r="C685" t="s">
        <v>175</v>
      </c>
      <c r="D685" t="s">
        <v>84</v>
      </c>
      <c r="E685" t="s">
        <v>85</v>
      </c>
      <c r="F685">
        <v>2</v>
      </c>
      <c r="G685" t="s">
        <v>176</v>
      </c>
      <c r="H685">
        <v>0</v>
      </c>
      <c r="I685">
        <v>40</v>
      </c>
      <c r="J685" s="10">
        <v>16</v>
      </c>
      <c r="K685" s="10">
        <f>SUMIFS(F:F,D:D,DST_123_ÜRETİM_İHTİYAÇ_RAPORU_BURAK_YENI1309[[#This Row],[ALT_KOD]])-(SUMIFS(H:H,D:D,DST_123_ÜRETİM_İHTİYAÇ_RAPORU_BURAK_YENI1309[[#This Row],[ALT_KOD]])+AVERAGEIFS(I:I,D:D,DST_123_ÜRETİM_İHTİYAÇ_RAPORU_BURAK_YENI1309[[#This Row],[ALT_KOD]])+AVERAGEIFS(L:L,D:D,DST_123_ÜRETİM_İHTİYAÇ_RAPORU_BURAK_YENI1309[[#This Row],[ALT_KOD]]))</f>
        <v>-18</v>
      </c>
      <c r="L685">
        <v>0</v>
      </c>
      <c r="M685">
        <f>IF((DST_123_ÜRETİM_İHTİYAÇ_RAPORU_BURAK_YENI1309[[#This Row],[SATINALMA]]*DST_123_ÜRETİM_İHTİYAÇ_RAPORU_BURAK_YENI1309[[#This Row],[BIRIM_FIYATLAR]])&lt;1,VALUE("0"),DST_123_ÜRETİM_İHTİYAÇ_RAPORU_BURAK_YENI1309[[#This Row],[SATINALMA]]*DST_123_ÜRETİM_İHTİYAÇ_RAPORU_BURAK_YENI1309[[#This Row],[BIRIM_FIYATLAR]])</f>
        <v>0</v>
      </c>
      <c r="N685">
        <v>375</v>
      </c>
      <c r="O685" t="s">
        <v>247</v>
      </c>
      <c r="P685">
        <v>750</v>
      </c>
      <c r="Q685" t="s">
        <v>177</v>
      </c>
    </row>
    <row r="686" spans="1:17" x14ac:dyDescent="0.25">
      <c r="A686" s="13" t="s">
        <v>1101</v>
      </c>
      <c r="B686" s="13" t="s">
        <v>1102</v>
      </c>
      <c r="C686" t="s">
        <v>175</v>
      </c>
      <c r="D686" s="13" t="s">
        <v>32</v>
      </c>
      <c r="E686" s="13" t="s">
        <v>33</v>
      </c>
      <c r="F686" s="13">
        <v>2</v>
      </c>
      <c r="G686" s="13" t="s">
        <v>176</v>
      </c>
      <c r="H686">
        <v>0</v>
      </c>
      <c r="I686">
        <v>0</v>
      </c>
      <c r="J686" s="10">
        <v>16</v>
      </c>
      <c r="K686" s="10">
        <f>SUMIFS(F:F,D:D,DST_123_ÜRETİM_İHTİYAÇ_RAPORU_BURAK_YENI1309[[#This Row],[ALT_KOD]])-(SUMIFS(H:H,D:D,DST_123_ÜRETİM_İHTİYAÇ_RAPORU_BURAK_YENI1309[[#This Row],[ALT_KOD]])+AVERAGEIFS(I:I,D:D,DST_123_ÜRETİM_İHTİYAÇ_RAPORU_BURAK_YENI1309[[#This Row],[ALT_KOD]])+AVERAGEIFS(L:L,D:D,DST_123_ÜRETİM_İHTİYAÇ_RAPORU_BURAK_YENI1309[[#This Row],[ALT_KOD]]))</f>
        <v>4</v>
      </c>
      <c r="L686">
        <v>20</v>
      </c>
      <c r="M686">
        <f>IF((DST_123_ÜRETİM_İHTİYAÇ_RAPORU_BURAK_YENI1309[[#This Row],[SATINALMA]]*DST_123_ÜRETİM_İHTİYAÇ_RAPORU_BURAK_YENI1309[[#This Row],[BIRIM_FIYATLAR]])&lt;1,VALUE("0"),DST_123_ÜRETİM_İHTİYAÇ_RAPORU_BURAK_YENI1309[[#This Row],[SATINALMA]]*DST_123_ÜRETİM_İHTİYAÇ_RAPORU_BURAK_YENI1309[[#This Row],[BIRIM_FIYATLAR]])</f>
        <v>10905.68</v>
      </c>
      <c r="N686">
        <v>2726.42</v>
      </c>
      <c r="O686" t="s">
        <v>1222</v>
      </c>
      <c r="P686">
        <v>5452.84</v>
      </c>
      <c r="Q686" t="s">
        <v>184</v>
      </c>
    </row>
    <row r="687" spans="1:17" x14ac:dyDescent="0.25">
      <c r="A687" t="s">
        <v>1098</v>
      </c>
      <c r="B687" t="s">
        <v>1096</v>
      </c>
      <c r="C687" t="s">
        <v>175</v>
      </c>
      <c r="D687" t="s">
        <v>312</v>
      </c>
      <c r="E687" t="s">
        <v>313</v>
      </c>
      <c r="F687">
        <v>5</v>
      </c>
      <c r="G687" t="s">
        <v>179</v>
      </c>
      <c r="H687">
        <v>0</v>
      </c>
      <c r="I687">
        <v>125</v>
      </c>
      <c r="J687" s="10">
        <v>16.5</v>
      </c>
      <c r="K687" s="10">
        <f>SUMIFS(F:F,D:D,DST_123_ÜRETİM_İHTİYAÇ_RAPORU_BURAK_YENI1309[[#This Row],[ALT_KOD]])-(SUMIFS(H:H,D:D,DST_123_ÜRETİM_İHTİYAÇ_RAPORU_BURAK_YENI1309[[#This Row],[ALT_KOD]])+AVERAGEIFS(I:I,D:D,DST_123_ÜRETİM_İHTİYAÇ_RAPORU_BURAK_YENI1309[[#This Row],[ALT_KOD]])+AVERAGEIFS(L:L,D:D,DST_123_ÜRETİM_İHTİYAÇ_RAPORU_BURAK_YENI1309[[#This Row],[ALT_KOD]]))</f>
        <v>-24</v>
      </c>
      <c r="L687">
        <v>0</v>
      </c>
      <c r="M687">
        <f>IF((DST_123_ÜRETİM_İHTİYAÇ_RAPORU_BURAK_YENI1309[[#This Row],[SATINALMA]]*DST_123_ÜRETİM_İHTİYAÇ_RAPORU_BURAK_YENI1309[[#This Row],[BIRIM_FIYATLAR]])&lt;1,VALUE("0"),DST_123_ÜRETİM_İHTİYAÇ_RAPORU_BURAK_YENI1309[[#This Row],[SATINALMA]]*DST_123_ÜRETİM_İHTİYAÇ_RAPORU_BURAK_YENI1309[[#This Row],[BIRIM_FIYATLAR]])</f>
        <v>0</v>
      </c>
      <c r="N687">
        <v>80.84</v>
      </c>
      <c r="O687" t="s">
        <v>314</v>
      </c>
      <c r="P687">
        <v>404.20000000000005</v>
      </c>
      <c r="Q687" t="s">
        <v>178</v>
      </c>
    </row>
    <row r="688" spans="1:17" x14ac:dyDescent="0.25">
      <c r="A688" t="s">
        <v>1098</v>
      </c>
      <c r="B688" t="s">
        <v>1096</v>
      </c>
      <c r="C688" t="s">
        <v>175</v>
      </c>
      <c r="D688" t="s">
        <v>577</v>
      </c>
      <c r="E688" t="s">
        <v>578</v>
      </c>
      <c r="F688">
        <v>0.2</v>
      </c>
      <c r="G688" t="s">
        <v>185</v>
      </c>
      <c r="H688">
        <v>0</v>
      </c>
      <c r="I688">
        <v>12</v>
      </c>
      <c r="J688" s="10">
        <v>1.2000000000000011</v>
      </c>
      <c r="K688" s="10">
        <f>SUMIFS(F:F,D:D,DST_123_ÜRETİM_İHTİYAÇ_RAPORU_BURAK_YENI1309[[#This Row],[ALT_KOD]])-(SUMIFS(H:H,D:D,DST_123_ÜRETİM_İHTİYAÇ_RAPORU_BURAK_YENI1309[[#This Row],[ALT_KOD]])+AVERAGEIFS(I:I,D:D,DST_123_ÜRETİM_İHTİYAÇ_RAPORU_BURAK_YENI1309[[#This Row],[ALT_KOD]])+AVERAGEIFS(L:L,D:D,DST_123_ÜRETİM_İHTİYAÇ_RAPORU_BURAK_YENI1309[[#This Row],[ALT_KOD]]))</f>
        <v>-10.199999999999999</v>
      </c>
      <c r="L688">
        <v>0</v>
      </c>
      <c r="M688">
        <f>IF((DST_123_ÜRETİM_İHTİYAÇ_RAPORU_BURAK_YENI1309[[#This Row],[SATINALMA]]*DST_123_ÜRETİM_İHTİYAÇ_RAPORU_BURAK_YENI1309[[#This Row],[BIRIM_FIYATLAR]])&lt;1,VALUE("0"),DST_123_ÜRETİM_İHTİYAÇ_RAPORU_BURAK_YENI1309[[#This Row],[SATINALMA]]*DST_123_ÜRETİM_İHTİYAÇ_RAPORU_BURAK_YENI1309[[#This Row],[BIRIM_FIYATLAR]])</f>
        <v>0</v>
      </c>
      <c r="N688">
        <v>221.8</v>
      </c>
      <c r="O688" t="s">
        <v>490</v>
      </c>
      <c r="P688">
        <v>44.360000000000007</v>
      </c>
      <c r="Q688" t="s">
        <v>183</v>
      </c>
    </row>
    <row r="689" spans="1:17" x14ac:dyDescent="0.25">
      <c r="A689" t="s">
        <v>1057</v>
      </c>
      <c r="B689" t="s">
        <v>1058</v>
      </c>
      <c r="C689" t="s">
        <v>175</v>
      </c>
      <c r="D689" t="s">
        <v>823</v>
      </c>
      <c r="E689" t="s">
        <v>824</v>
      </c>
      <c r="F689">
        <v>8</v>
      </c>
      <c r="G689" t="s">
        <v>176</v>
      </c>
      <c r="H689">
        <v>0</v>
      </c>
      <c r="I689">
        <v>175</v>
      </c>
      <c r="J689" s="10">
        <v>0</v>
      </c>
      <c r="K689" s="10">
        <f>SUMIFS(F:F,D:D,DST_123_ÜRETİM_İHTİYAÇ_RAPORU_BURAK_YENI1309[[#This Row],[ALT_KOD]])-(SUMIFS(H:H,D:D,DST_123_ÜRETİM_İHTİYAÇ_RAPORU_BURAK_YENI1309[[#This Row],[ALT_KOD]])+AVERAGEIFS(I:I,D:D,DST_123_ÜRETİM_İHTİYAÇ_RAPORU_BURAK_YENI1309[[#This Row],[ALT_KOD]])+AVERAGEIFS(L:L,D:D,DST_123_ÜRETİM_İHTİYAÇ_RAPORU_BURAK_YENI1309[[#This Row],[ALT_KOD]]))</f>
        <v>-95</v>
      </c>
      <c r="L689">
        <v>0</v>
      </c>
      <c r="M689">
        <f>IF((DST_123_ÜRETİM_İHTİYAÇ_RAPORU_BURAK_YENI1309[[#This Row],[SATINALMA]]*DST_123_ÜRETİM_İHTİYAÇ_RAPORU_BURAK_YENI1309[[#This Row],[BIRIM_FIYATLAR]])&lt;1,VALUE("0"),DST_123_ÜRETİM_İHTİYAÇ_RAPORU_BURAK_YENI1309[[#This Row],[SATINALMA]]*DST_123_ÜRETİM_İHTİYAÇ_RAPORU_BURAK_YENI1309[[#This Row],[BIRIM_FIYATLAR]])</f>
        <v>0</v>
      </c>
      <c r="N689">
        <v>8.42</v>
      </c>
      <c r="O689" t="s">
        <v>882</v>
      </c>
      <c r="P689">
        <v>67.36</v>
      </c>
      <c r="Q689" t="s">
        <v>178</v>
      </c>
    </row>
    <row r="690" spans="1:17" x14ac:dyDescent="0.25">
      <c r="A690" t="s">
        <v>1057</v>
      </c>
      <c r="B690" t="s">
        <v>1058</v>
      </c>
      <c r="C690" t="s">
        <v>175</v>
      </c>
      <c r="D690" t="s">
        <v>312</v>
      </c>
      <c r="E690" t="s">
        <v>313</v>
      </c>
      <c r="F690">
        <v>4</v>
      </c>
      <c r="G690" t="s">
        <v>179</v>
      </c>
      <c r="H690">
        <v>0</v>
      </c>
      <c r="I690">
        <v>125</v>
      </c>
      <c r="J690" s="10">
        <v>16.5</v>
      </c>
      <c r="K690" s="10">
        <f>SUMIFS(F:F,D:D,DST_123_ÜRETİM_İHTİYAÇ_RAPORU_BURAK_YENI1309[[#This Row],[ALT_KOD]])-(SUMIFS(H:H,D:D,DST_123_ÜRETİM_İHTİYAÇ_RAPORU_BURAK_YENI1309[[#This Row],[ALT_KOD]])+AVERAGEIFS(I:I,D:D,DST_123_ÜRETİM_İHTİYAÇ_RAPORU_BURAK_YENI1309[[#This Row],[ALT_KOD]])+AVERAGEIFS(L:L,D:D,DST_123_ÜRETİM_İHTİYAÇ_RAPORU_BURAK_YENI1309[[#This Row],[ALT_KOD]]))</f>
        <v>-24</v>
      </c>
      <c r="L690">
        <v>0</v>
      </c>
      <c r="M690">
        <f>IF((DST_123_ÜRETİM_İHTİYAÇ_RAPORU_BURAK_YENI1309[[#This Row],[SATINALMA]]*DST_123_ÜRETİM_İHTİYAÇ_RAPORU_BURAK_YENI1309[[#This Row],[BIRIM_FIYATLAR]])&lt;1,VALUE("0"),DST_123_ÜRETİM_İHTİYAÇ_RAPORU_BURAK_YENI1309[[#This Row],[SATINALMA]]*DST_123_ÜRETİM_İHTİYAÇ_RAPORU_BURAK_YENI1309[[#This Row],[BIRIM_FIYATLAR]])</f>
        <v>0</v>
      </c>
      <c r="N690">
        <v>80.84</v>
      </c>
      <c r="O690" t="s">
        <v>314</v>
      </c>
      <c r="P690">
        <v>323.36</v>
      </c>
      <c r="Q690" t="s">
        <v>178</v>
      </c>
    </row>
    <row r="691" spans="1:17" x14ac:dyDescent="0.25">
      <c r="A691" t="s">
        <v>1101</v>
      </c>
      <c r="B691" t="s">
        <v>1102</v>
      </c>
      <c r="C691" t="s">
        <v>175</v>
      </c>
      <c r="D691" t="s">
        <v>312</v>
      </c>
      <c r="E691" t="s">
        <v>313</v>
      </c>
      <c r="F691">
        <v>6</v>
      </c>
      <c r="G691" t="s">
        <v>179</v>
      </c>
      <c r="H691">
        <v>0</v>
      </c>
      <c r="I691">
        <v>125</v>
      </c>
      <c r="J691" s="10">
        <v>16.5</v>
      </c>
      <c r="K691" s="10">
        <f>SUMIFS(F:F,D:D,DST_123_ÜRETİM_İHTİYAÇ_RAPORU_BURAK_YENI1309[[#This Row],[ALT_KOD]])-(SUMIFS(H:H,D:D,DST_123_ÜRETİM_İHTİYAÇ_RAPORU_BURAK_YENI1309[[#This Row],[ALT_KOD]])+AVERAGEIFS(I:I,D:D,DST_123_ÜRETİM_İHTİYAÇ_RAPORU_BURAK_YENI1309[[#This Row],[ALT_KOD]])+AVERAGEIFS(L:L,D:D,DST_123_ÜRETİM_İHTİYAÇ_RAPORU_BURAK_YENI1309[[#This Row],[ALT_KOD]]))</f>
        <v>-24</v>
      </c>
      <c r="L691">
        <v>0</v>
      </c>
      <c r="M691">
        <f>IF((DST_123_ÜRETİM_İHTİYAÇ_RAPORU_BURAK_YENI1309[[#This Row],[SATINALMA]]*DST_123_ÜRETİM_İHTİYAÇ_RAPORU_BURAK_YENI1309[[#This Row],[BIRIM_FIYATLAR]])&lt;1,VALUE("0"),DST_123_ÜRETİM_İHTİYAÇ_RAPORU_BURAK_YENI1309[[#This Row],[SATINALMA]]*DST_123_ÜRETİM_İHTİYAÇ_RAPORU_BURAK_YENI1309[[#This Row],[BIRIM_FIYATLAR]])</f>
        <v>0</v>
      </c>
      <c r="N691">
        <v>80.84</v>
      </c>
      <c r="O691" t="s">
        <v>314</v>
      </c>
      <c r="P691">
        <v>485.04</v>
      </c>
      <c r="Q691" t="s">
        <v>178</v>
      </c>
    </row>
    <row r="692" spans="1:17" x14ac:dyDescent="0.25">
      <c r="A692" t="s">
        <v>1098</v>
      </c>
      <c r="B692" t="s">
        <v>1096</v>
      </c>
      <c r="C692" t="s">
        <v>175</v>
      </c>
      <c r="D692" t="s">
        <v>911</v>
      </c>
      <c r="E692" t="s">
        <v>912</v>
      </c>
      <c r="F692">
        <v>16</v>
      </c>
      <c r="G692" t="s">
        <v>176</v>
      </c>
      <c r="H692">
        <v>0</v>
      </c>
      <c r="I692">
        <v>1000</v>
      </c>
      <c r="J692" s="10">
        <v>0</v>
      </c>
      <c r="K692" s="10">
        <f>SUMIFS(F:F,D:D,DST_123_ÜRETİM_İHTİYAÇ_RAPORU_BURAK_YENI1309[[#This Row],[ALT_KOD]])-(SUMIFS(H:H,D:D,DST_123_ÜRETİM_İHTİYAÇ_RAPORU_BURAK_YENI1309[[#This Row],[ALT_KOD]])+AVERAGEIFS(I:I,D:D,DST_123_ÜRETİM_İHTİYAÇ_RAPORU_BURAK_YENI1309[[#This Row],[ALT_KOD]])+AVERAGEIFS(L:L,D:D,DST_123_ÜRETİM_İHTİYAÇ_RAPORU_BURAK_YENI1309[[#This Row],[ALT_KOD]]))</f>
        <v>-936</v>
      </c>
      <c r="L692">
        <v>0</v>
      </c>
      <c r="M692">
        <f>IF((DST_123_ÜRETİM_İHTİYAÇ_RAPORU_BURAK_YENI1309[[#This Row],[SATINALMA]]*DST_123_ÜRETİM_İHTİYAÇ_RAPORU_BURAK_YENI1309[[#This Row],[BIRIM_FIYATLAR]])&lt;1,VALUE("0"),DST_123_ÜRETİM_İHTİYAÇ_RAPORU_BURAK_YENI1309[[#This Row],[SATINALMA]]*DST_123_ÜRETİM_İHTİYAÇ_RAPORU_BURAK_YENI1309[[#This Row],[BIRIM_FIYATLAR]])</f>
        <v>0</v>
      </c>
      <c r="N692">
        <v>0.15</v>
      </c>
      <c r="O692" t="s">
        <v>240</v>
      </c>
      <c r="P692">
        <v>2.4</v>
      </c>
      <c r="Q692" t="s">
        <v>180</v>
      </c>
    </row>
    <row r="693" spans="1:17" x14ac:dyDescent="0.25">
      <c r="A693" t="s">
        <v>1064</v>
      </c>
      <c r="B693" t="s">
        <v>1055</v>
      </c>
      <c r="C693" t="s">
        <v>175</v>
      </c>
      <c r="D693" t="s">
        <v>396</v>
      </c>
      <c r="E693" t="s">
        <v>397</v>
      </c>
      <c r="F693">
        <v>10</v>
      </c>
      <c r="G693" t="s">
        <v>176</v>
      </c>
      <c r="H693">
        <v>0</v>
      </c>
      <c r="I693">
        <v>2000</v>
      </c>
      <c r="J693" s="10">
        <v>7604</v>
      </c>
      <c r="K693" s="10">
        <f>SUMIFS(F:F,D:D,DST_123_ÜRETİM_İHTİYAÇ_RAPORU_BURAK_YENI1309[[#This Row],[ALT_KOD]])-(SUMIFS(H:H,D:D,DST_123_ÜRETİM_İHTİYAÇ_RAPORU_BURAK_YENI1309[[#This Row],[ALT_KOD]])+AVERAGEIFS(I:I,D:D,DST_123_ÜRETİM_İHTİYAÇ_RAPORU_BURAK_YENI1309[[#This Row],[ALT_KOD]])+AVERAGEIFS(L:L,D:D,DST_123_ÜRETİM_İHTİYAÇ_RAPORU_BURAK_YENI1309[[#This Row],[ALT_KOD]]))</f>
        <v>-1531</v>
      </c>
      <c r="L693">
        <v>0</v>
      </c>
      <c r="M693">
        <f>IF((DST_123_ÜRETİM_İHTİYAÇ_RAPORU_BURAK_YENI1309[[#This Row],[SATINALMA]]*DST_123_ÜRETİM_İHTİYAÇ_RAPORU_BURAK_YENI1309[[#This Row],[BIRIM_FIYATLAR]])&lt;1,VALUE("0"),DST_123_ÜRETİM_İHTİYAÇ_RAPORU_BURAK_YENI1309[[#This Row],[SATINALMA]]*DST_123_ÜRETİM_İHTİYAÇ_RAPORU_BURAK_YENI1309[[#This Row],[BIRIM_FIYATLAR]])</f>
        <v>0</v>
      </c>
      <c r="N693">
        <v>0.3</v>
      </c>
      <c r="O693" t="s">
        <v>240</v>
      </c>
      <c r="P693">
        <v>3</v>
      </c>
      <c r="Q693" t="s">
        <v>180</v>
      </c>
    </row>
    <row r="694" spans="1:17" x14ac:dyDescent="0.25">
      <c r="A694" t="s">
        <v>1098</v>
      </c>
      <c r="B694" t="s">
        <v>1096</v>
      </c>
      <c r="C694" t="s">
        <v>175</v>
      </c>
      <c r="D694" t="s">
        <v>396</v>
      </c>
      <c r="E694" t="s">
        <v>397</v>
      </c>
      <c r="F694">
        <v>30</v>
      </c>
      <c r="G694" t="s">
        <v>176</v>
      </c>
      <c r="H694">
        <v>0</v>
      </c>
      <c r="I694">
        <v>2000</v>
      </c>
      <c r="J694" s="10">
        <v>7604</v>
      </c>
      <c r="K694" s="10">
        <f>SUMIFS(F:F,D:D,DST_123_ÜRETİM_İHTİYAÇ_RAPORU_BURAK_YENI1309[[#This Row],[ALT_KOD]])-(SUMIFS(H:H,D:D,DST_123_ÜRETİM_İHTİYAÇ_RAPORU_BURAK_YENI1309[[#This Row],[ALT_KOD]])+AVERAGEIFS(I:I,D:D,DST_123_ÜRETİM_İHTİYAÇ_RAPORU_BURAK_YENI1309[[#This Row],[ALT_KOD]])+AVERAGEIFS(L:L,D:D,DST_123_ÜRETİM_İHTİYAÇ_RAPORU_BURAK_YENI1309[[#This Row],[ALT_KOD]]))</f>
        <v>-1531</v>
      </c>
      <c r="L694">
        <v>0</v>
      </c>
      <c r="M694">
        <f>IF((DST_123_ÜRETİM_İHTİYAÇ_RAPORU_BURAK_YENI1309[[#This Row],[SATINALMA]]*DST_123_ÜRETİM_İHTİYAÇ_RAPORU_BURAK_YENI1309[[#This Row],[BIRIM_FIYATLAR]])&lt;1,VALUE("0"),DST_123_ÜRETİM_İHTİYAÇ_RAPORU_BURAK_YENI1309[[#This Row],[SATINALMA]]*DST_123_ÜRETİM_İHTİYAÇ_RAPORU_BURAK_YENI1309[[#This Row],[BIRIM_FIYATLAR]])</f>
        <v>0</v>
      </c>
      <c r="N694">
        <v>0.3</v>
      </c>
      <c r="O694" t="s">
        <v>240</v>
      </c>
      <c r="P694">
        <v>9</v>
      </c>
      <c r="Q694" t="s">
        <v>180</v>
      </c>
    </row>
    <row r="695" spans="1:17" x14ac:dyDescent="0.25">
      <c r="A695" t="s">
        <v>1057</v>
      </c>
      <c r="B695" t="s">
        <v>1058</v>
      </c>
      <c r="C695" t="s">
        <v>175</v>
      </c>
      <c r="D695" t="s">
        <v>32</v>
      </c>
      <c r="E695" t="s">
        <v>33</v>
      </c>
      <c r="F695">
        <v>1</v>
      </c>
      <c r="G695" t="s">
        <v>176</v>
      </c>
      <c r="H695">
        <v>0</v>
      </c>
      <c r="I695">
        <v>0</v>
      </c>
      <c r="J695" s="10">
        <v>16</v>
      </c>
      <c r="K695" s="10">
        <f>SUMIFS(F:F,D:D,DST_123_ÜRETİM_İHTİYAÇ_RAPORU_BURAK_YENI1309[[#This Row],[ALT_KOD]])-(SUMIFS(H:H,D:D,DST_123_ÜRETİM_İHTİYAÇ_RAPORU_BURAK_YENI1309[[#This Row],[ALT_KOD]])+AVERAGEIFS(I:I,D:D,DST_123_ÜRETİM_İHTİYAÇ_RAPORU_BURAK_YENI1309[[#This Row],[ALT_KOD]])+AVERAGEIFS(L:L,D:D,DST_123_ÜRETİM_İHTİYAÇ_RAPORU_BURAK_YENI1309[[#This Row],[ALT_KOD]]))</f>
        <v>4</v>
      </c>
      <c r="L695">
        <v>20</v>
      </c>
      <c r="M695">
        <f>IF((DST_123_ÜRETİM_İHTİYAÇ_RAPORU_BURAK_YENI1309[[#This Row],[SATINALMA]]*DST_123_ÜRETİM_İHTİYAÇ_RAPORU_BURAK_YENI1309[[#This Row],[BIRIM_FIYATLAR]])&lt;1,VALUE("0"),DST_123_ÜRETİM_İHTİYAÇ_RAPORU_BURAK_YENI1309[[#This Row],[SATINALMA]]*DST_123_ÜRETİM_İHTİYAÇ_RAPORU_BURAK_YENI1309[[#This Row],[BIRIM_FIYATLAR]])</f>
        <v>10905.68</v>
      </c>
      <c r="N695">
        <v>2726.42</v>
      </c>
      <c r="O695" t="s">
        <v>1222</v>
      </c>
      <c r="P695">
        <v>2726.42</v>
      </c>
      <c r="Q695" t="s">
        <v>184</v>
      </c>
    </row>
    <row r="696" spans="1:17" x14ac:dyDescent="0.25">
      <c r="A696" t="s">
        <v>1100</v>
      </c>
      <c r="B696" t="s">
        <v>1058</v>
      </c>
      <c r="C696" t="s">
        <v>175</v>
      </c>
      <c r="D696" t="s">
        <v>32</v>
      </c>
      <c r="E696" t="s">
        <v>33</v>
      </c>
      <c r="F696">
        <v>1</v>
      </c>
      <c r="G696" t="s">
        <v>176</v>
      </c>
      <c r="H696">
        <v>0</v>
      </c>
      <c r="I696">
        <v>0</v>
      </c>
      <c r="J696" s="10">
        <v>16</v>
      </c>
      <c r="K696" s="10">
        <f>SUMIFS(F:F,D:D,DST_123_ÜRETİM_İHTİYAÇ_RAPORU_BURAK_YENI1309[[#This Row],[ALT_KOD]])-(SUMIFS(H:H,D:D,DST_123_ÜRETİM_İHTİYAÇ_RAPORU_BURAK_YENI1309[[#This Row],[ALT_KOD]])+AVERAGEIFS(I:I,D:D,DST_123_ÜRETİM_İHTİYAÇ_RAPORU_BURAK_YENI1309[[#This Row],[ALT_KOD]])+AVERAGEIFS(L:L,D:D,DST_123_ÜRETİM_İHTİYAÇ_RAPORU_BURAK_YENI1309[[#This Row],[ALT_KOD]]))</f>
        <v>4</v>
      </c>
      <c r="L696">
        <v>20</v>
      </c>
      <c r="M696">
        <f>IF((DST_123_ÜRETİM_İHTİYAÇ_RAPORU_BURAK_YENI1309[[#This Row],[SATINALMA]]*DST_123_ÜRETİM_İHTİYAÇ_RAPORU_BURAK_YENI1309[[#This Row],[BIRIM_FIYATLAR]])&lt;1,VALUE("0"),DST_123_ÜRETİM_İHTİYAÇ_RAPORU_BURAK_YENI1309[[#This Row],[SATINALMA]]*DST_123_ÜRETİM_İHTİYAÇ_RAPORU_BURAK_YENI1309[[#This Row],[BIRIM_FIYATLAR]])</f>
        <v>10905.68</v>
      </c>
      <c r="N696">
        <v>2726.42</v>
      </c>
      <c r="O696" t="s">
        <v>1222</v>
      </c>
      <c r="P696">
        <v>2726.42</v>
      </c>
      <c r="Q696" t="s">
        <v>184</v>
      </c>
    </row>
    <row r="697" spans="1:17" x14ac:dyDescent="0.25">
      <c r="A697" t="s">
        <v>1148</v>
      </c>
      <c r="B697" t="s">
        <v>1056</v>
      </c>
      <c r="C697" t="s">
        <v>175</v>
      </c>
      <c r="D697" t="s">
        <v>32</v>
      </c>
      <c r="E697" t="s">
        <v>33</v>
      </c>
      <c r="F697">
        <v>1</v>
      </c>
      <c r="G697" t="s">
        <v>176</v>
      </c>
      <c r="H697">
        <v>0</v>
      </c>
      <c r="I697">
        <v>0</v>
      </c>
      <c r="J697" s="10">
        <v>16</v>
      </c>
      <c r="K697" s="10">
        <f>SUMIFS(F:F,D:D,DST_123_ÜRETİM_İHTİYAÇ_RAPORU_BURAK_YENI1309[[#This Row],[ALT_KOD]])-(SUMIFS(H:H,D:D,DST_123_ÜRETİM_İHTİYAÇ_RAPORU_BURAK_YENI1309[[#This Row],[ALT_KOD]])+AVERAGEIFS(I:I,D:D,DST_123_ÜRETİM_İHTİYAÇ_RAPORU_BURAK_YENI1309[[#This Row],[ALT_KOD]])+AVERAGEIFS(L:L,D:D,DST_123_ÜRETİM_İHTİYAÇ_RAPORU_BURAK_YENI1309[[#This Row],[ALT_KOD]]))</f>
        <v>4</v>
      </c>
      <c r="L697">
        <v>20</v>
      </c>
      <c r="M697">
        <f>IF((DST_123_ÜRETİM_İHTİYAÇ_RAPORU_BURAK_YENI1309[[#This Row],[SATINALMA]]*DST_123_ÜRETİM_İHTİYAÇ_RAPORU_BURAK_YENI1309[[#This Row],[BIRIM_FIYATLAR]])&lt;1,VALUE("0"),DST_123_ÜRETİM_İHTİYAÇ_RAPORU_BURAK_YENI1309[[#This Row],[SATINALMA]]*DST_123_ÜRETİM_İHTİYAÇ_RAPORU_BURAK_YENI1309[[#This Row],[BIRIM_FIYATLAR]])</f>
        <v>10905.68</v>
      </c>
      <c r="N697">
        <v>2726.42</v>
      </c>
      <c r="O697" t="s">
        <v>1222</v>
      </c>
      <c r="P697">
        <v>2726.42</v>
      </c>
      <c r="Q697" t="s">
        <v>184</v>
      </c>
    </row>
    <row r="698" spans="1:17" x14ac:dyDescent="0.25">
      <c r="A698" t="s">
        <v>1057</v>
      </c>
      <c r="B698" t="s">
        <v>1058</v>
      </c>
      <c r="C698" t="s">
        <v>175</v>
      </c>
      <c r="D698" t="s">
        <v>34</v>
      </c>
      <c r="E698" t="s">
        <v>35</v>
      </c>
      <c r="F698">
        <v>1</v>
      </c>
      <c r="G698" t="s">
        <v>176</v>
      </c>
      <c r="H698">
        <v>1</v>
      </c>
      <c r="I698">
        <v>17</v>
      </c>
      <c r="J698" s="10">
        <v>8</v>
      </c>
      <c r="K698" s="10">
        <f>SUMIFS(F:F,D:D,DST_123_ÜRETİM_İHTİYAÇ_RAPORU_BURAK_YENI1309[[#This Row],[ALT_KOD]])-(SUMIFS(H:H,D:D,DST_123_ÜRETİM_İHTİYAÇ_RAPORU_BURAK_YENI1309[[#This Row],[ALT_KOD]])+AVERAGEIFS(I:I,D:D,DST_123_ÜRETİM_İHTİYAÇ_RAPORU_BURAK_YENI1309[[#This Row],[ALT_KOD]])+AVERAGEIFS(L:L,D:D,DST_123_ÜRETİM_İHTİYAÇ_RAPORU_BURAK_YENI1309[[#This Row],[ALT_KOD]]))</f>
        <v>-1</v>
      </c>
      <c r="L698">
        <v>0</v>
      </c>
      <c r="M698">
        <f>IF((DST_123_ÜRETİM_İHTİYAÇ_RAPORU_BURAK_YENI1309[[#This Row],[SATINALMA]]*DST_123_ÜRETİM_İHTİYAÇ_RAPORU_BURAK_YENI1309[[#This Row],[BIRIM_FIYATLAR]])&lt;1,VALUE("0"),DST_123_ÜRETİM_İHTİYAÇ_RAPORU_BURAK_YENI1309[[#This Row],[SATINALMA]]*DST_123_ÜRETİM_İHTİYAÇ_RAPORU_BURAK_YENI1309[[#This Row],[BIRIM_FIYATLAR]])</f>
        <v>0</v>
      </c>
      <c r="N698">
        <v>33.340000000000003</v>
      </c>
      <c r="O698" t="s">
        <v>227</v>
      </c>
      <c r="P698">
        <v>33.340000000000003</v>
      </c>
      <c r="Q698" t="s">
        <v>221</v>
      </c>
    </row>
    <row r="699" spans="1:17" x14ac:dyDescent="0.25">
      <c r="A699" t="s">
        <v>1101</v>
      </c>
      <c r="B699" t="s">
        <v>1102</v>
      </c>
      <c r="C699" t="s">
        <v>175</v>
      </c>
      <c r="D699" t="s">
        <v>396</v>
      </c>
      <c r="E699" t="s">
        <v>397</v>
      </c>
      <c r="F699">
        <v>10</v>
      </c>
      <c r="G699" t="s">
        <v>176</v>
      </c>
      <c r="H699">
        <v>0</v>
      </c>
      <c r="I699">
        <v>2000</v>
      </c>
      <c r="J699" s="10">
        <v>7604</v>
      </c>
      <c r="K699" s="10">
        <f>SUMIFS(F:F,D:D,DST_123_ÜRETİM_İHTİYAÇ_RAPORU_BURAK_YENI1309[[#This Row],[ALT_KOD]])-(SUMIFS(H:H,D:D,DST_123_ÜRETİM_İHTİYAÇ_RAPORU_BURAK_YENI1309[[#This Row],[ALT_KOD]])+AVERAGEIFS(I:I,D:D,DST_123_ÜRETİM_İHTİYAÇ_RAPORU_BURAK_YENI1309[[#This Row],[ALT_KOD]])+AVERAGEIFS(L:L,D:D,DST_123_ÜRETİM_İHTİYAÇ_RAPORU_BURAK_YENI1309[[#This Row],[ALT_KOD]]))</f>
        <v>-1531</v>
      </c>
      <c r="L699">
        <v>0</v>
      </c>
      <c r="M699">
        <f>IF((DST_123_ÜRETİM_İHTİYAÇ_RAPORU_BURAK_YENI1309[[#This Row],[SATINALMA]]*DST_123_ÜRETİM_İHTİYAÇ_RAPORU_BURAK_YENI1309[[#This Row],[BIRIM_FIYATLAR]])&lt;1,VALUE("0"),DST_123_ÜRETİM_İHTİYAÇ_RAPORU_BURAK_YENI1309[[#This Row],[SATINALMA]]*DST_123_ÜRETİM_İHTİYAÇ_RAPORU_BURAK_YENI1309[[#This Row],[BIRIM_FIYATLAR]])</f>
        <v>0</v>
      </c>
      <c r="N699">
        <v>0.3</v>
      </c>
      <c r="O699" t="s">
        <v>240</v>
      </c>
      <c r="P699">
        <v>3</v>
      </c>
      <c r="Q699" t="s">
        <v>180</v>
      </c>
    </row>
    <row r="700" spans="1:17" x14ac:dyDescent="0.25">
      <c r="A700" t="s">
        <v>1064</v>
      </c>
      <c r="B700" t="s">
        <v>1055</v>
      </c>
      <c r="C700" t="s">
        <v>175</v>
      </c>
      <c r="D700" t="s">
        <v>84</v>
      </c>
      <c r="E700" t="s">
        <v>85</v>
      </c>
      <c r="F700">
        <v>2</v>
      </c>
      <c r="G700" t="s">
        <v>176</v>
      </c>
      <c r="H700">
        <v>2</v>
      </c>
      <c r="I700">
        <v>40</v>
      </c>
      <c r="J700" s="10">
        <v>16</v>
      </c>
      <c r="K700" s="10">
        <f>SUMIFS(F:F,D:D,DST_123_ÜRETİM_İHTİYAÇ_RAPORU_BURAK_YENI1309[[#This Row],[ALT_KOD]])-(SUMIFS(H:H,D:D,DST_123_ÜRETİM_İHTİYAÇ_RAPORU_BURAK_YENI1309[[#This Row],[ALT_KOD]])+AVERAGEIFS(I:I,D:D,DST_123_ÜRETİM_İHTİYAÇ_RAPORU_BURAK_YENI1309[[#This Row],[ALT_KOD]])+AVERAGEIFS(L:L,D:D,DST_123_ÜRETİM_İHTİYAÇ_RAPORU_BURAK_YENI1309[[#This Row],[ALT_KOD]]))</f>
        <v>-18</v>
      </c>
      <c r="L700">
        <v>0</v>
      </c>
      <c r="M700">
        <f>IF((DST_123_ÜRETİM_İHTİYAÇ_RAPORU_BURAK_YENI1309[[#This Row],[SATINALMA]]*DST_123_ÜRETİM_İHTİYAÇ_RAPORU_BURAK_YENI1309[[#This Row],[BIRIM_FIYATLAR]])&lt;1,VALUE("0"),DST_123_ÜRETİM_İHTİYAÇ_RAPORU_BURAK_YENI1309[[#This Row],[SATINALMA]]*DST_123_ÜRETİM_İHTİYAÇ_RAPORU_BURAK_YENI1309[[#This Row],[BIRIM_FIYATLAR]])</f>
        <v>0</v>
      </c>
      <c r="N700">
        <v>375</v>
      </c>
      <c r="O700" t="s">
        <v>247</v>
      </c>
      <c r="P700">
        <v>750</v>
      </c>
      <c r="Q700" t="s">
        <v>177</v>
      </c>
    </row>
    <row r="701" spans="1:17" x14ac:dyDescent="0.25">
      <c r="A701" t="s">
        <v>1098</v>
      </c>
      <c r="B701" t="s">
        <v>1096</v>
      </c>
      <c r="C701" t="s">
        <v>175</v>
      </c>
      <c r="D701" t="s">
        <v>84</v>
      </c>
      <c r="E701" t="s">
        <v>85</v>
      </c>
      <c r="F701">
        <v>2</v>
      </c>
      <c r="G701" t="s">
        <v>176</v>
      </c>
      <c r="H701">
        <v>0</v>
      </c>
      <c r="I701">
        <v>40</v>
      </c>
      <c r="J701" s="10">
        <v>16</v>
      </c>
      <c r="K701" s="10">
        <f>SUMIFS(F:F,D:D,DST_123_ÜRETİM_İHTİYAÇ_RAPORU_BURAK_YENI1309[[#This Row],[ALT_KOD]])-(SUMIFS(H:H,D:D,DST_123_ÜRETİM_İHTİYAÇ_RAPORU_BURAK_YENI1309[[#This Row],[ALT_KOD]])+AVERAGEIFS(I:I,D:D,DST_123_ÜRETİM_İHTİYAÇ_RAPORU_BURAK_YENI1309[[#This Row],[ALT_KOD]])+AVERAGEIFS(L:L,D:D,DST_123_ÜRETİM_İHTİYAÇ_RAPORU_BURAK_YENI1309[[#This Row],[ALT_KOD]]))</f>
        <v>-18</v>
      </c>
      <c r="L701">
        <v>0</v>
      </c>
      <c r="M701">
        <f>IF((DST_123_ÜRETİM_İHTİYAÇ_RAPORU_BURAK_YENI1309[[#This Row],[SATINALMA]]*DST_123_ÜRETİM_İHTİYAÇ_RAPORU_BURAK_YENI1309[[#This Row],[BIRIM_FIYATLAR]])&lt;1,VALUE("0"),DST_123_ÜRETİM_İHTİYAÇ_RAPORU_BURAK_YENI1309[[#This Row],[SATINALMA]]*DST_123_ÜRETİM_İHTİYAÇ_RAPORU_BURAK_YENI1309[[#This Row],[BIRIM_FIYATLAR]])</f>
        <v>0</v>
      </c>
      <c r="N701">
        <v>375</v>
      </c>
      <c r="O701" t="s">
        <v>247</v>
      </c>
      <c r="P701">
        <v>750</v>
      </c>
      <c r="Q701" t="s">
        <v>177</v>
      </c>
    </row>
    <row r="702" spans="1:17" x14ac:dyDescent="0.25">
      <c r="A702" t="s">
        <v>1098</v>
      </c>
      <c r="B702" t="s">
        <v>1096</v>
      </c>
      <c r="C702" t="s">
        <v>175</v>
      </c>
      <c r="D702" t="s">
        <v>198</v>
      </c>
      <c r="E702" t="s">
        <v>199</v>
      </c>
      <c r="F702">
        <v>1</v>
      </c>
      <c r="G702" t="s">
        <v>176</v>
      </c>
      <c r="H702">
        <v>0</v>
      </c>
      <c r="I702">
        <v>1</v>
      </c>
      <c r="J702" s="10">
        <v>8</v>
      </c>
      <c r="K702" s="10">
        <f>SUMIFS(F:F,D:D,DST_123_ÜRETİM_İHTİYAÇ_RAPORU_BURAK_YENI1309[[#This Row],[ALT_KOD]])-(SUMIFS(H:H,D:D,DST_123_ÜRETİM_İHTİYAÇ_RAPORU_BURAK_YENI1309[[#This Row],[ALT_KOD]])+AVERAGEIFS(I:I,D:D,DST_123_ÜRETİM_İHTİYAÇ_RAPORU_BURAK_YENI1309[[#This Row],[ALT_KOD]])+AVERAGEIFS(L:L,D:D,DST_123_ÜRETİM_İHTİYAÇ_RAPORU_BURAK_YENI1309[[#This Row],[ALT_KOD]]))</f>
        <v>10</v>
      </c>
      <c r="L702">
        <v>0</v>
      </c>
      <c r="M702">
        <f>IF((DST_123_ÜRETİM_İHTİYAÇ_RAPORU_BURAK_YENI1309[[#This Row],[SATINALMA]]*DST_123_ÜRETİM_İHTİYAÇ_RAPORU_BURAK_YENI1309[[#This Row],[BIRIM_FIYATLAR]])&lt;1,VALUE("0"),DST_123_ÜRETİM_İHTİYAÇ_RAPORU_BURAK_YENI1309[[#This Row],[SATINALMA]]*DST_123_ÜRETİM_İHTİYAÇ_RAPORU_BURAK_YENI1309[[#This Row],[BIRIM_FIYATLAR]])</f>
        <v>156184.20000000001</v>
      </c>
      <c r="N702">
        <v>15618.42</v>
      </c>
      <c r="O702" t="s">
        <v>215</v>
      </c>
      <c r="P702">
        <v>15618.42</v>
      </c>
      <c r="Q702" t="s">
        <v>177</v>
      </c>
    </row>
    <row r="703" spans="1:17" x14ac:dyDescent="0.25">
      <c r="A703" t="s">
        <v>1196</v>
      </c>
      <c r="B703" t="s">
        <v>1197</v>
      </c>
      <c r="C703" t="s">
        <v>175</v>
      </c>
      <c r="D703" t="s">
        <v>823</v>
      </c>
      <c r="E703" t="s">
        <v>824</v>
      </c>
      <c r="F703">
        <v>8</v>
      </c>
      <c r="G703" t="s">
        <v>176</v>
      </c>
      <c r="H703">
        <v>0</v>
      </c>
      <c r="I703">
        <v>175</v>
      </c>
      <c r="J703" s="10">
        <v>0</v>
      </c>
      <c r="K703" s="10">
        <f>SUMIFS(F:F,D:D,DST_123_ÜRETİM_İHTİYAÇ_RAPORU_BURAK_YENI1309[[#This Row],[ALT_KOD]])-(SUMIFS(H:H,D:D,DST_123_ÜRETİM_İHTİYAÇ_RAPORU_BURAK_YENI1309[[#This Row],[ALT_KOD]])+AVERAGEIFS(I:I,D:D,DST_123_ÜRETİM_İHTİYAÇ_RAPORU_BURAK_YENI1309[[#This Row],[ALT_KOD]])+AVERAGEIFS(L:L,D:D,DST_123_ÜRETİM_İHTİYAÇ_RAPORU_BURAK_YENI1309[[#This Row],[ALT_KOD]]))</f>
        <v>-95</v>
      </c>
      <c r="L703">
        <v>0</v>
      </c>
      <c r="M703">
        <f>IF((DST_123_ÜRETİM_İHTİYAÇ_RAPORU_BURAK_YENI1309[[#This Row],[SATINALMA]]*DST_123_ÜRETİM_İHTİYAÇ_RAPORU_BURAK_YENI1309[[#This Row],[BIRIM_FIYATLAR]])&lt;1,VALUE("0"),DST_123_ÜRETİM_İHTİYAÇ_RAPORU_BURAK_YENI1309[[#This Row],[SATINALMA]]*DST_123_ÜRETİM_İHTİYAÇ_RAPORU_BURAK_YENI1309[[#This Row],[BIRIM_FIYATLAR]])</f>
        <v>0</v>
      </c>
      <c r="N703">
        <v>8.42</v>
      </c>
      <c r="O703" t="s">
        <v>882</v>
      </c>
      <c r="P703">
        <v>67.36</v>
      </c>
      <c r="Q703" t="s">
        <v>178</v>
      </c>
    </row>
    <row r="704" spans="1:17" x14ac:dyDescent="0.25">
      <c r="A704" t="s">
        <v>1064</v>
      </c>
      <c r="B704" t="s">
        <v>1055</v>
      </c>
      <c r="C704" t="s">
        <v>175</v>
      </c>
      <c r="D704" t="s">
        <v>312</v>
      </c>
      <c r="E704" t="s">
        <v>313</v>
      </c>
      <c r="F704">
        <v>12</v>
      </c>
      <c r="G704" t="s">
        <v>179</v>
      </c>
      <c r="H704">
        <v>0</v>
      </c>
      <c r="I704">
        <v>125</v>
      </c>
      <c r="J704" s="10">
        <v>16.5</v>
      </c>
      <c r="K704" s="10">
        <f>SUMIFS(F:F,D:D,DST_123_ÜRETİM_İHTİYAÇ_RAPORU_BURAK_YENI1309[[#This Row],[ALT_KOD]])-(SUMIFS(H:H,D:D,DST_123_ÜRETİM_İHTİYAÇ_RAPORU_BURAK_YENI1309[[#This Row],[ALT_KOD]])+AVERAGEIFS(I:I,D:D,DST_123_ÜRETİM_İHTİYAÇ_RAPORU_BURAK_YENI1309[[#This Row],[ALT_KOD]])+AVERAGEIFS(L:L,D:D,DST_123_ÜRETİM_İHTİYAÇ_RAPORU_BURAK_YENI1309[[#This Row],[ALT_KOD]]))</f>
        <v>-24</v>
      </c>
      <c r="L704">
        <v>0</v>
      </c>
      <c r="M704">
        <f>IF((DST_123_ÜRETİM_İHTİYAÇ_RAPORU_BURAK_YENI1309[[#This Row],[SATINALMA]]*DST_123_ÜRETİM_İHTİYAÇ_RAPORU_BURAK_YENI1309[[#This Row],[BIRIM_FIYATLAR]])&lt;1,VALUE("0"),DST_123_ÜRETİM_İHTİYAÇ_RAPORU_BURAK_YENI1309[[#This Row],[SATINALMA]]*DST_123_ÜRETİM_İHTİYAÇ_RAPORU_BURAK_YENI1309[[#This Row],[BIRIM_FIYATLAR]])</f>
        <v>0</v>
      </c>
      <c r="N704">
        <v>80.84</v>
      </c>
      <c r="O704" t="s">
        <v>314</v>
      </c>
      <c r="P704">
        <v>970.08</v>
      </c>
      <c r="Q704" t="s">
        <v>178</v>
      </c>
    </row>
    <row r="705" spans="1:17" x14ac:dyDescent="0.25">
      <c r="A705" t="s">
        <v>1196</v>
      </c>
      <c r="B705" t="s">
        <v>1197</v>
      </c>
      <c r="C705" t="s">
        <v>175</v>
      </c>
      <c r="D705" t="s">
        <v>312</v>
      </c>
      <c r="E705" t="s">
        <v>313</v>
      </c>
      <c r="F705">
        <v>4</v>
      </c>
      <c r="G705" t="s">
        <v>179</v>
      </c>
      <c r="H705">
        <v>0</v>
      </c>
      <c r="I705">
        <v>125</v>
      </c>
      <c r="J705" s="10">
        <v>16.5</v>
      </c>
      <c r="K705" s="10">
        <f>SUMIFS(F:F,D:D,DST_123_ÜRETİM_İHTİYAÇ_RAPORU_BURAK_YENI1309[[#This Row],[ALT_KOD]])-(SUMIFS(H:H,D:D,DST_123_ÜRETİM_İHTİYAÇ_RAPORU_BURAK_YENI1309[[#This Row],[ALT_KOD]])+AVERAGEIFS(I:I,D:D,DST_123_ÜRETİM_İHTİYAÇ_RAPORU_BURAK_YENI1309[[#This Row],[ALT_KOD]])+AVERAGEIFS(L:L,D:D,DST_123_ÜRETİM_İHTİYAÇ_RAPORU_BURAK_YENI1309[[#This Row],[ALT_KOD]]))</f>
        <v>-24</v>
      </c>
      <c r="L705">
        <v>0</v>
      </c>
      <c r="M705">
        <f>IF((DST_123_ÜRETİM_İHTİYAÇ_RAPORU_BURAK_YENI1309[[#This Row],[SATINALMA]]*DST_123_ÜRETİM_İHTİYAÇ_RAPORU_BURAK_YENI1309[[#This Row],[BIRIM_FIYATLAR]])&lt;1,VALUE("0"),DST_123_ÜRETİM_İHTİYAÇ_RAPORU_BURAK_YENI1309[[#This Row],[SATINALMA]]*DST_123_ÜRETİM_İHTİYAÇ_RAPORU_BURAK_YENI1309[[#This Row],[BIRIM_FIYATLAR]])</f>
        <v>0</v>
      </c>
      <c r="N705">
        <v>80.84</v>
      </c>
      <c r="O705" t="s">
        <v>314</v>
      </c>
      <c r="P705">
        <v>323.36</v>
      </c>
      <c r="Q705" t="s">
        <v>178</v>
      </c>
    </row>
    <row r="706" spans="1:17" x14ac:dyDescent="0.25">
      <c r="A706" t="s">
        <v>1099</v>
      </c>
      <c r="B706" t="s">
        <v>1055</v>
      </c>
      <c r="C706" t="s">
        <v>175</v>
      </c>
      <c r="D706" t="s">
        <v>312</v>
      </c>
      <c r="E706" t="s">
        <v>313</v>
      </c>
      <c r="F706">
        <v>7</v>
      </c>
      <c r="G706" t="s">
        <v>179</v>
      </c>
      <c r="H706">
        <v>0</v>
      </c>
      <c r="I706">
        <v>125</v>
      </c>
      <c r="J706" s="10">
        <v>16.5</v>
      </c>
      <c r="K706" s="10">
        <f>SUMIFS(F:F,D:D,DST_123_ÜRETİM_İHTİYAÇ_RAPORU_BURAK_YENI1309[[#This Row],[ALT_KOD]])-(SUMIFS(H:H,D:D,DST_123_ÜRETİM_İHTİYAÇ_RAPORU_BURAK_YENI1309[[#This Row],[ALT_KOD]])+AVERAGEIFS(I:I,D:D,DST_123_ÜRETİM_İHTİYAÇ_RAPORU_BURAK_YENI1309[[#This Row],[ALT_KOD]])+AVERAGEIFS(L:L,D:D,DST_123_ÜRETİM_İHTİYAÇ_RAPORU_BURAK_YENI1309[[#This Row],[ALT_KOD]]))</f>
        <v>-24</v>
      </c>
      <c r="L706">
        <v>0</v>
      </c>
      <c r="M706">
        <f>IF((DST_123_ÜRETİM_İHTİYAÇ_RAPORU_BURAK_YENI1309[[#This Row],[SATINALMA]]*DST_123_ÜRETİM_İHTİYAÇ_RAPORU_BURAK_YENI1309[[#This Row],[BIRIM_FIYATLAR]])&lt;1,VALUE("0"),DST_123_ÜRETİM_İHTİYAÇ_RAPORU_BURAK_YENI1309[[#This Row],[SATINALMA]]*DST_123_ÜRETİM_İHTİYAÇ_RAPORU_BURAK_YENI1309[[#This Row],[BIRIM_FIYATLAR]])</f>
        <v>0</v>
      </c>
      <c r="N706">
        <v>80.84</v>
      </c>
      <c r="O706" t="s">
        <v>314</v>
      </c>
      <c r="P706">
        <v>565.88</v>
      </c>
      <c r="Q706" t="s">
        <v>178</v>
      </c>
    </row>
    <row r="707" spans="1:17" x14ac:dyDescent="0.25">
      <c r="A707" t="s">
        <v>1196</v>
      </c>
      <c r="B707" t="s">
        <v>1197</v>
      </c>
      <c r="C707" t="s">
        <v>175</v>
      </c>
      <c r="D707" t="s">
        <v>307</v>
      </c>
      <c r="E707" t="s">
        <v>308</v>
      </c>
      <c r="F707">
        <v>1</v>
      </c>
      <c r="G707" t="s">
        <v>176</v>
      </c>
      <c r="H707">
        <v>0</v>
      </c>
      <c r="I707">
        <v>13</v>
      </c>
      <c r="J707" s="10">
        <v>1</v>
      </c>
      <c r="K707" s="10">
        <f>SUMIFS(F:F,D:D,DST_123_ÜRETİM_İHTİYAÇ_RAPORU_BURAK_YENI1309[[#This Row],[ALT_KOD]])-(SUMIFS(H:H,D:D,DST_123_ÜRETİM_İHTİYAÇ_RAPORU_BURAK_YENI1309[[#This Row],[ALT_KOD]])+AVERAGEIFS(I:I,D:D,DST_123_ÜRETİM_İHTİYAÇ_RAPORU_BURAK_YENI1309[[#This Row],[ALT_KOD]])+AVERAGEIFS(L:L,D:D,DST_123_ÜRETİM_İHTİYAÇ_RAPORU_BURAK_YENI1309[[#This Row],[ALT_KOD]]))</f>
        <v>24</v>
      </c>
      <c r="L707">
        <v>0</v>
      </c>
      <c r="M707">
        <f>IF((DST_123_ÜRETİM_İHTİYAÇ_RAPORU_BURAK_YENI1309[[#This Row],[SATINALMA]]*DST_123_ÜRETİM_İHTİYAÇ_RAPORU_BURAK_YENI1309[[#This Row],[BIRIM_FIYATLAR]])&lt;1,VALUE("0"),DST_123_ÜRETİM_İHTİYAÇ_RAPORU_BURAK_YENI1309[[#This Row],[SATINALMA]]*DST_123_ÜRETİM_İHTİYAÇ_RAPORU_BURAK_YENI1309[[#This Row],[BIRIM_FIYATLAR]])</f>
        <v>1570.08</v>
      </c>
      <c r="N707">
        <v>65.42</v>
      </c>
      <c r="O707" t="s">
        <v>628</v>
      </c>
      <c r="P707">
        <v>65.42</v>
      </c>
      <c r="Q707" t="s">
        <v>178</v>
      </c>
    </row>
    <row r="708" spans="1:17" x14ac:dyDescent="0.25">
      <c r="A708" s="13" t="s">
        <v>1147</v>
      </c>
      <c r="B708" s="13" t="s">
        <v>1145</v>
      </c>
      <c r="C708" t="s">
        <v>175</v>
      </c>
      <c r="D708" s="13" t="s">
        <v>84</v>
      </c>
      <c r="E708" s="13" t="s">
        <v>85</v>
      </c>
      <c r="F708" s="13">
        <v>2</v>
      </c>
      <c r="G708" s="13" t="s">
        <v>176</v>
      </c>
      <c r="H708">
        <v>0</v>
      </c>
      <c r="I708">
        <v>40</v>
      </c>
      <c r="J708" s="10">
        <v>16</v>
      </c>
      <c r="K708" s="10">
        <f>SUMIFS(F:F,D:D,DST_123_ÜRETİM_İHTİYAÇ_RAPORU_BURAK_YENI1309[[#This Row],[ALT_KOD]])-(SUMIFS(H:H,D:D,DST_123_ÜRETİM_İHTİYAÇ_RAPORU_BURAK_YENI1309[[#This Row],[ALT_KOD]])+AVERAGEIFS(I:I,D:D,DST_123_ÜRETİM_İHTİYAÇ_RAPORU_BURAK_YENI1309[[#This Row],[ALT_KOD]])+AVERAGEIFS(L:L,D:D,DST_123_ÜRETİM_İHTİYAÇ_RAPORU_BURAK_YENI1309[[#This Row],[ALT_KOD]]))</f>
        <v>-18</v>
      </c>
      <c r="L708">
        <v>0</v>
      </c>
      <c r="M708">
        <f>IF((DST_123_ÜRETİM_İHTİYAÇ_RAPORU_BURAK_YENI1309[[#This Row],[SATINALMA]]*DST_123_ÜRETİM_İHTİYAÇ_RAPORU_BURAK_YENI1309[[#This Row],[BIRIM_FIYATLAR]])&lt;1,VALUE("0"),DST_123_ÜRETİM_İHTİYAÇ_RAPORU_BURAK_YENI1309[[#This Row],[SATINALMA]]*DST_123_ÜRETİM_İHTİYAÇ_RAPORU_BURAK_YENI1309[[#This Row],[BIRIM_FIYATLAR]])</f>
        <v>0</v>
      </c>
      <c r="N708">
        <v>375</v>
      </c>
      <c r="O708" t="s">
        <v>247</v>
      </c>
      <c r="P708">
        <v>750</v>
      </c>
      <c r="Q708" t="s">
        <v>177</v>
      </c>
    </row>
    <row r="709" spans="1:17" x14ac:dyDescent="0.25">
      <c r="A709" t="s">
        <v>1060</v>
      </c>
      <c r="B709" t="s">
        <v>1061</v>
      </c>
      <c r="C709" t="s">
        <v>175</v>
      </c>
      <c r="D709" t="s">
        <v>198</v>
      </c>
      <c r="E709" t="s">
        <v>199</v>
      </c>
      <c r="F709">
        <v>1</v>
      </c>
      <c r="G709" t="s">
        <v>176</v>
      </c>
      <c r="H709">
        <v>1</v>
      </c>
      <c r="I709">
        <v>1</v>
      </c>
      <c r="J709" s="10">
        <v>8</v>
      </c>
      <c r="K709" s="10">
        <f>SUMIFS(F:F,D:D,DST_123_ÜRETİM_İHTİYAÇ_RAPORU_BURAK_YENI1309[[#This Row],[ALT_KOD]])-(SUMIFS(H:H,D:D,DST_123_ÜRETİM_İHTİYAÇ_RAPORU_BURAK_YENI1309[[#This Row],[ALT_KOD]])+AVERAGEIFS(I:I,D:D,DST_123_ÜRETİM_İHTİYAÇ_RAPORU_BURAK_YENI1309[[#This Row],[ALT_KOD]])+AVERAGEIFS(L:L,D:D,DST_123_ÜRETİM_İHTİYAÇ_RAPORU_BURAK_YENI1309[[#This Row],[ALT_KOD]]))</f>
        <v>10</v>
      </c>
      <c r="L709">
        <v>0</v>
      </c>
      <c r="M709">
        <f>IF((DST_123_ÜRETİM_İHTİYAÇ_RAPORU_BURAK_YENI1309[[#This Row],[SATINALMA]]*DST_123_ÜRETİM_İHTİYAÇ_RAPORU_BURAK_YENI1309[[#This Row],[BIRIM_FIYATLAR]])&lt;1,VALUE("0"),DST_123_ÜRETİM_İHTİYAÇ_RAPORU_BURAK_YENI1309[[#This Row],[SATINALMA]]*DST_123_ÜRETİM_İHTİYAÇ_RAPORU_BURAK_YENI1309[[#This Row],[BIRIM_FIYATLAR]])</f>
        <v>156184.20000000001</v>
      </c>
      <c r="N709">
        <v>15618.42</v>
      </c>
      <c r="O709" t="s">
        <v>215</v>
      </c>
      <c r="P709">
        <v>15618.42</v>
      </c>
      <c r="Q709" t="s">
        <v>177</v>
      </c>
    </row>
    <row r="710" spans="1:17" x14ac:dyDescent="0.25">
      <c r="A710" t="s">
        <v>1060</v>
      </c>
      <c r="B710" t="s">
        <v>1061</v>
      </c>
      <c r="C710" t="s">
        <v>175</v>
      </c>
      <c r="D710" t="s">
        <v>823</v>
      </c>
      <c r="E710" t="s">
        <v>824</v>
      </c>
      <c r="F710">
        <v>8</v>
      </c>
      <c r="G710" t="s">
        <v>176</v>
      </c>
      <c r="H710">
        <v>8</v>
      </c>
      <c r="I710">
        <v>175</v>
      </c>
      <c r="J710" s="10">
        <v>0</v>
      </c>
      <c r="K710" s="10">
        <f>SUMIFS(F:F,D:D,DST_123_ÜRETİM_İHTİYAÇ_RAPORU_BURAK_YENI1309[[#This Row],[ALT_KOD]])-(SUMIFS(H:H,D:D,DST_123_ÜRETİM_İHTİYAÇ_RAPORU_BURAK_YENI1309[[#This Row],[ALT_KOD]])+AVERAGEIFS(I:I,D:D,DST_123_ÜRETİM_İHTİYAÇ_RAPORU_BURAK_YENI1309[[#This Row],[ALT_KOD]])+AVERAGEIFS(L:L,D:D,DST_123_ÜRETİM_İHTİYAÇ_RAPORU_BURAK_YENI1309[[#This Row],[ALT_KOD]]))</f>
        <v>-95</v>
      </c>
      <c r="L710">
        <v>0</v>
      </c>
      <c r="M710">
        <f>IF((DST_123_ÜRETİM_İHTİYAÇ_RAPORU_BURAK_YENI1309[[#This Row],[SATINALMA]]*DST_123_ÜRETİM_İHTİYAÇ_RAPORU_BURAK_YENI1309[[#This Row],[BIRIM_FIYATLAR]])&lt;1,VALUE("0"),DST_123_ÜRETİM_İHTİYAÇ_RAPORU_BURAK_YENI1309[[#This Row],[SATINALMA]]*DST_123_ÜRETİM_İHTİYAÇ_RAPORU_BURAK_YENI1309[[#This Row],[BIRIM_FIYATLAR]])</f>
        <v>0</v>
      </c>
      <c r="N710">
        <v>8.42</v>
      </c>
      <c r="O710" t="s">
        <v>882</v>
      </c>
      <c r="P710">
        <v>67.36</v>
      </c>
      <c r="Q710" t="s">
        <v>178</v>
      </c>
    </row>
    <row r="711" spans="1:17" x14ac:dyDescent="0.25">
      <c r="A711" t="s">
        <v>1060</v>
      </c>
      <c r="B711" t="s">
        <v>1061</v>
      </c>
      <c r="C711" t="s">
        <v>175</v>
      </c>
      <c r="D711" t="s">
        <v>44</v>
      </c>
      <c r="E711" t="s">
        <v>45</v>
      </c>
      <c r="F711">
        <v>15</v>
      </c>
      <c r="G711" t="s">
        <v>176</v>
      </c>
      <c r="H711">
        <v>0</v>
      </c>
      <c r="I711">
        <v>170</v>
      </c>
      <c r="J711" s="10">
        <v>18</v>
      </c>
      <c r="K711" s="10">
        <f>SUMIFS(F:F,D:D,DST_123_ÜRETİM_İHTİYAÇ_RAPORU_BURAK_YENI1309[[#This Row],[ALT_KOD]])-(SUMIFS(H:H,D:D,DST_123_ÜRETİM_İHTİYAÇ_RAPORU_BURAK_YENI1309[[#This Row],[ALT_KOD]])+AVERAGEIFS(I:I,D:D,DST_123_ÜRETİM_İHTİYAÇ_RAPORU_BURAK_YENI1309[[#This Row],[ALT_KOD]])+AVERAGEIFS(L:L,D:D,DST_123_ÜRETİM_İHTİYAÇ_RAPORU_BURAK_YENI1309[[#This Row],[ALT_KOD]]))</f>
        <v>124</v>
      </c>
      <c r="L711">
        <v>0</v>
      </c>
      <c r="M711">
        <f>IF((DST_123_ÜRETİM_İHTİYAÇ_RAPORU_BURAK_YENI1309[[#This Row],[SATINALMA]]*DST_123_ÜRETİM_İHTİYAÇ_RAPORU_BURAK_YENI1309[[#This Row],[BIRIM_FIYATLAR]])&lt;1,VALUE("0"),DST_123_ÜRETİM_İHTİYAÇ_RAPORU_BURAK_YENI1309[[#This Row],[SATINALMA]]*DST_123_ÜRETİM_İHTİYAÇ_RAPORU_BURAK_YENI1309[[#This Row],[BIRIM_FIYATLAR]])</f>
        <v>2046</v>
      </c>
      <c r="N711">
        <v>16.5</v>
      </c>
      <c r="O711" t="s">
        <v>240</v>
      </c>
      <c r="P711">
        <v>247.5</v>
      </c>
      <c r="Q711" t="s">
        <v>180</v>
      </c>
    </row>
    <row r="712" spans="1:17" x14ac:dyDescent="0.25">
      <c r="A712" t="s">
        <v>1148</v>
      </c>
      <c r="B712" t="s">
        <v>1056</v>
      </c>
      <c r="C712" t="s">
        <v>175</v>
      </c>
      <c r="D712" t="s">
        <v>44</v>
      </c>
      <c r="E712" t="s">
        <v>45</v>
      </c>
      <c r="F712">
        <v>18</v>
      </c>
      <c r="G712" t="s">
        <v>176</v>
      </c>
      <c r="H712">
        <v>0</v>
      </c>
      <c r="I712">
        <v>170</v>
      </c>
      <c r="J712" s="10">
        <v>18</v>
      </c>
      <c r="K712" s="10">
        <f>SUMIFS(F:F,D:D,DST_123_ÜRETİM_İHTİYAÇ_RAPORU_BURAK_YENI1309[[#This Row],[ALT_KOD]])-(SUMIFS(H:H,D:D,DST_123_ÜRETİM_İHTİYAÇ_RAPORU_BURAK_YENI1309[[#This Row],[ALT_KOD]])+AVERAGEIFS(I:I,D:D,DST_123_ÜRETİM_İHTİYAÇ_RAPORU_BURAK_YENI1309[[#This Row],[ALT_KOD]])+AVERAGEIFS(L:L,D:D,DST_123_ÜRETİM_İHTİYAÇ_RAPORU_BURAK_YENI1309[[#This Row],[ALT_KOD]]))</f>
        <v>124</v>
      </c>
      <c r="L712">
        <v>0</v>
      </c>
      <c r="M712">
        <f>IF((DST_123_ÜRETİM_İHTİYAÇ_RAPORU_BURAK_YENI1309[[#This Row],[SATINALMA]]*DST_123_ÜRETİM_İHTİYAÇ_RAPORU_BURAK_YENI1309[[#This Row],[BIRIM_FIYATLAR]])&lt;1,VALUE("0"),DST_123_ÜRETİM_İHTİYAÇ_RAPORU_BURAK_YENI1309[[#This Row],[SATINALMA]]*DST_123_ÜRETİM_İHTİYAÇ_RAPORU_BURAK_YENI1309[[#This Row],[BIRIM_FIYATLAR]])</f>
        <v>2046</v>
      </c>
      <c r="N712">
        <v>16.5</v>
      </c>
      <c r="O712" t="s">
        <v>240</v>
      </c>
      <c r="P712">
        <v>297</v>
      </c>
      <c r="Q712" t="s">
        <v>180</v>
      </c>
    </row>
    <row r="713" spans="1:17" x14ac:dyDescent="0.25">
      <c r="A713" t="s">
        <v>1147</v>
      </c>
      <c r="B713" t="s">
        <v>1145</v>
      </c>
      <c r="C713" t="s">
        <v>175</v>
      </c>
      <c r="D713" t="s">
        <v>44</v>
      </c>
      <c r="E713" t="s">
        <v>45</v>
      </c>
      <c r="F713">
        <v>14</v>
      </c>
      <c r="G713" t="s">
        <v>176</v>
      </c>
      <c r="H713">
        <v>0</v>
      </c>
      <c r="I713">
        <v>170</v>
      </c>
      <c r="J713" s="10">
        <v>18</v>
      </c>
      <c r="K713" s="10">
        <f>SUMIFS(F:F,D:D,DST_123_ÜRETİM_İHTİYAÇ_RAPORU_BURAK_YENI1309[[#This Row],[ALT_KOD]])-(SUMIFS(H:H,D:D,DST_123_ÜRETİM_İHTİYAÇ_RAPORU_BURAK_YENI1309[[#This Row],[ALT_KOD]])+AVERAGEIFS(I:I,D:D,DST_123_ÜRETİM_İHTİYAÇ_RAPORU_BURAK_YENI1309[[#This Row],[ALT_KOD]])+AVERAGEIFS(L:L,D:D,DST_123_ÜRETİM_İHTİYAÇ_RAPORU_BURAK_YENI1309[[#This Row],[ALT_KOD]]))</f>
        <v>124</v>
      </c>
      <c r="L713">
        <v>0</v>
      </c>
      <c r="M713">
        <f>IF((DST_123_ÜRETİM_İHTİYAÇ_RAPORU_BURAK_YENI1309[[#This Row],[SATINALMA]]*DST_123_ÜRETİM_İHTİYAÇ_RAPORU_BURAK_YENI1309[[#This Row],[BIRIM_FIYATLAR]])&lt;1,VALUE("0"),DST_123_ÜRETİM_İHTİYAÇ_RAPORU_BURAK_YENI1309[[#This Row],[SATINALMA]]*DST_123_ÜRETİM_İHTİYAÇ_RAPORU_BURAK_YENI1309[[#This Row],[BIRIM_FIYATLAR]])</f>
        <v>2046</v>
      </c>
      <c r="N713">
        <v>16.5</v>
      </c>
      <c r="O713" t="s">
        <v>240</v>
      </c>
      <c r="P713">
        <v>231</v>
      </c>
      <c r="Q713" t="s">
        <v>180</v>
      </c>
    </row>
    <row r="714" spans="1:17" x14ac:dyDescent="0.25">
      <c r="A714" t="s">
        <v>1100</v>
      </c>
      <c r="B714" t="s">
        <v>1058</v>
      </c>
      <c r="C714" t="s">
        <v>175</v>
      </c>
      <c r="D714" t="s">
        <v>44</v>
      </c>
      <c r="E714" t="s">
        <v>45</v>
      </c>
      <c r="F714">
        <v>14</v>
      </c>
      <c r="G714" t="s">
        <v>176</v>
      </c>
      <c r="H714">
        <v>0</v>
      </c>
      <c r="I714">
        <v>170</v>
      </c>
      <c r="J714" s="10">
        <v>18</v>
      </c>
      <c r="K714" s="10">
        <f>SUMIFS(F:F,D:D,DST_123_ÜRETİM_İHTİYAÇ_RAPORU_BURAK_YENI1309[[#This Row],[ALT_KOD]])-(SUMIFS(H:H,D:D,DST_123_ÜRETİM_İHTİYAÇ_RAPORU_BURAK_YENI1309[[#This Row],[ALT_KOD]])+AVERAGEIFS(I:I,D:D,DST_123_ÜRETİM_İHTİYAÇ_RAPORU_BURAK_YENI1309[[#This Row],[ALT_KOD]])+AVERAGEIFS(L:L,D:D,DST_123_ÜRETİM_İHTİYAÇ_RAPORU_BURAK_YENI1309[[#This Row],[ALT_KOD]]))</f>
        <v>124</v>
      </c>
      <c r="L714">
        <v>0</v>
      </c>
      <c r="M714">
        <f>IF((DST_123_ÜRETİM_İHTİYAÇ_RAPORU_BURAK_YENI1309[[#This Row],[SATINALMA]]*DST_123_ÜRETİM_İHTİYAÇ_RAPORU_BURAK_YENI1309[[#This Row],[BIRIM_FIYATLAR]])&lt;1,VALUE("0"),DST_123_ÜRETİM_İHTİYAÇ_RAPORU_BURAK_YENI1309[[#This Row],[SATINALMA]]*DST_123_ÜRETİM_İHTİYAÇ_RAPORU_BURAK_YENI1309[[#This Row],[BIRIM_FIYATLAR]])</f>
        <v>2046</v>
      </c>
      <c r="N714">
        <v>16.5</v>
      </c>
      <c r="O714" t="s">
        <v>240</v>
      </c>
      <c r="P714">
        <v>231</v>
      </c>
      <c r="Q714" t="s">
        <v>180</v>
      </c>
    </row>
    <row r="715" spans="1:17" x14ac:dyDescent="0.25">
      <c r="A715" t="s">
        <v>1098</v>
      </c>
      <c r="B715" t="s">
        <v>1096</v>
      </c>
      <c r="C715" t="s">
        <v>175</v>
      </c>
      <c r="D715" t="s">
        <v>394</v>
      </c>
      <c r="E715" t="s">
        <v>395</v>
      </c>
      <c r="F715">
        <v>1</v>
      </c>
      <c r="G715" t="s">
        <v>176</v>
      </c>
      <c r="H715">
        <v>0</v>
      </c>
      <c r="I715">
        <v>6</v>
      </c>
      <c r="J715" s="10">
        <v>14.000000000000005</v>
      </c>
      <c r="K715" s="10">
        <f>SUMIFS(F:F,D:D,DST_123_ÜRETİM_İHTİYAÇ_RAPORU_BURAK_YENI1309[[#This Row],[ALT_KOD]])-(SUMIFS(H:H,D:D,DST_123_ÜRETİM_İHTİYAÇ_RAPORU_BURAK_YENI1309[[#This Row],[ALT_KOD]])+AVERAGEIFS(I:I,D:D,DST_123_ÜRETİM_İHTİYAÇ_RAPORU_BURAK_YENI1309[[#This Row],[ALT_KOD]])+AVERAGEIFS(L:L,D:D,DST_123_ÜRETİM_İHTİYAÇ_RAPORU_BURAK_YENI1309[[#This Row],[ALT_KOD]]))</f>
        <v>28.1</v>
      </c>
      <c r="L715">
        <v>0</v>
      </c>
      <c r="M715">
        <f>IF((DST_123_ÜRETİM_İHTİYAÇ_RAPORU_BURAK_YENI1309[[#This Row],[SATINALMA]]*DST_123_ÜRETİM_İHTİYAÇ_RAPORU_BURAK_YENI1309[[#This Row],[BIRIM_FIYATLAR]])&lt;1,VALUE("0"),DST_123_ÜRETİM_İHTİYAÇ_RAPORU_BURAK_YENI1309[[#This Row],[SATINALMA]]*DST_123_ÜRETİM_İHTİYAÇ_RAPORU_BURAK_YENI1309[[#This Row],[BIRIM_FIYATLAR]])</f>
        <v>4097.8230000000003</v>
      </c>
      <c r="N715">
        <v>145.83000000000001</v>
      </c>
      <c r="O715" t="s">
        <v>628</v>
      </c>
      <c r="P715">
        <v>145.83000000000001</v>
      </c>
      <c r="Q715" t="s">
        <v>183</v>
      </c>
    </row>
    <row r="716" spans="1:17" x14ac:dyDescent="0.25">
      <c r="A716" t="s">
        <v>1196</v>
      </c>
      <c r="B716" t="s">
        <v>1197</v>
      </c>
      <c r="C716" t="s">
        <v>175</v>
      </c>
      <c r="D716" t="s">
        <v>813</v>
      </c>
      <c r="E716" t="s">
        <v>814</v>
      </c>
      <c r="F716">
        <v>1</v>
      </c>
      <c r="G716" t="s">
        <v>176</v>
      </c>
      <c r="H716">
        <v>0</v>
      </c>
      <c r="I716">
        <v>7</v>
      </c>
      <c r="J716" s="10">
        <v>4</v>
      </c>
      <c r="K716" s="10">
        <f>SUMIFS(F:F,D:D,DST_123_ÜRETİM_İHTİYAÇ_RAPORU_BURAK_YENI1309[[#This Row],[ALT_KOD]])-(SUMIFS(H:H,D:D,DST_123_ÜRETİM_İHTİYAÇ_RAPORU_BURAK_YENI1309[[#This Row],[ALT_KOD]])+AVERAGEIFS(I:I,D:D,DST_123_ÜRETİM_İHTİYAÇ_RAPORU_BURAK_YENI1309[[#This Row],[ALT_KOD]])+AVERAGEIFS(L:L,D:D,DST_123_ÜRETİM_İHTİYAÇ_RAPORU_BURAK_YENI1309[[#This Row],[ALT_KOD]]))</f>
        <v>-6</v>
      </c>
      <c r="L716">
        <v>0</v>
      </c>
      <c r="M716">
        <f>IF((DST_123_ÜRETİM_İHTİYAÇ_RAPORU_BURAK_YENI1309[[#This Row],[SATINALMA]]*DST_123_ÜRETİM_İHTİYAÇ_RAPORU_BURAK_YENI1309[[#This Row],[BIRIM_FIYATLAR]])&lt;1,VALUE("0"),DST_123_ÜRETİM_İHTİYAÇ_RAPORU_BURAK_YENI1309[[#This Row],[SATINALMA]]*DST_123_ÜRETİM_İHTİYAÇ_RAPORU_BURAK_YENI1309[[#This Row],[BIRIM_FIYATLAR]])</f>
        <v>0</v>
      </c>
      <c r="N716">
        <v>460</v>
      </c>
      <c r="O716" t="s">
        <v>696</v>
      </c>
      <c r="P716">
        <v>460</v>
      </c>
      <c r="Q716" t="s">
        <v>178</v>
      </c>
    </row>
    <row r="717" spans="1:17" x14ac:dyDescent="0.25">
      <c r="A717" t="s">
        <v>1196</v>
      </c>
      <c r="B717" t="s">
        <v>1197</v>
      </c>
      <c r="C717" t="s">
        <v>175</v>
      </c>
      <c r="D717" t="s">
        <v>88</v>
      </c>
      <c r="E717" t="s">
        <v>89</v>
      </c>
      <c r="F717">
        <v>3.3</v>
      </c>
      <c r="G717" t="s">
        <v>179</v>
      </c>
      <c r="H717">
        <v>0</v>
      </c>
      <c r="I717">
        <v>125</v>
      </c>
      <c r="J717" s="10">
        <v>37.499999999999908</v>
      </c>
      <c r="K717" s="10">
        <f>SUMIFS(F:F,D:D,DST_123_ÜRETİM_İHTİYAÇ_RAPORU_BURAK_YENI1309[[#This Row],[ALT_KOD]])-(SUMIFS(H:H,D:D,DST_123_ÜRETİM_İHTİYAÇ_RAPORU_BURAK_YENI1309[[#This Row],[ALT_KOD]])+AVERAGEIFS(I:I,D:D,DST_123_ÜRETİM_İHTİYAÇ_RAPORU_BURAK_YENI1309[[#This Row],[ALT_KOD]])+AVERAGEIFS(L:L,D:D,DST_123_ÜRETİM_İHTİYAÇ_RAPORU_BURAK_YENI1309[[#This Row],[ALT_KOD]]))</f>
        <v>-44.100000000000009</v>
      </c>
      <c r="L717">
        <v>0</v>
      </c>
      <c r="M717">
        <f>IF((DST_123_ÜRETİM_İHTİYAÇ_RAPORU_BURAK_YENI1309[[#This Row],[SATINALMA]]*DST_123_ÜRETİM_İHTİYAÇ_RAPORU_BURAK_YENI1309[[#This Row],[BIRIM_FIYATLAR]])&lt;1,VALUE("0"),DST_123_ÜRETİM_İHTİYAÇ_RAPORU_BURAK_YENI1309[[#This Row],[SATINALMA]]*DST_123_ÜRETİM_İHTİYAÇ_RAPORU_BURAK_YENI1309[[#This Row],[BIRIM_FIYATLAR]])</f>
        <v>0</v>
      </c>
      <c r="N717">
        <v>44</v>
      </c>
      <c r="O717" t="s">
        <v>314</v>
      </c>
      <c r="P717">
        <v>145.19999999999999</v>
      </c>
      <c r="Q717" t="s">
        <v>178</v>
      </c>
    </row>
    <row r="718" spans="1:17" x14ac:dyDescent="0.25">
      <c r="A718" t="s">
        <v>1196</v>
      </c>
      <c r="B718" t="s">
        <v>1197</v>
      </c>
      <c r="C718" t="s">
        <v>175</v>
      </c>
      <c r="D718" t="s">
        <v>90</v>
      </c>
      <c r="E718" t="s">
        <v>91</v>
      </c>
      <c r="F718">
        <v>1</v>
      </c>
      <c r="G718" t="s">
        <v>176</v>
      </c>
      <c r="H718">
        <v>0</v>
      </c>
      <c r="I718">
        <v>4</v>
      </c>
      <c r="J718" s="10">
        <v>12</v>
      </c>
      <c r="K718" s="10">
        <f>SUMIFS(F:F,D:D,DST_123_ÜRETİM_İHTİYAÇ_RAPORU_BURAK_YENI1309[[#This Row],[ALT_KOD]])-(SUMIFS(H:H,D:D,DST_123_ÜRETİM_İHTİYAÇ_RAPORU_BURAK_YENI1309[[#This Row],[ALT_KOD]])+AVERAGEIFS(I:I,D:D,DST_123_ÜRETİM_İHTİYAÇ_RAPORU_BURAK_YENI1309[[#This Row],[ALT_KOD]])+AVERAGEIFS(L:L,D:D,DST_123_ÜRETİM_İHTİYAÇ_RAPORU_BURAK_YENI1309[[#This Row],[ALT_KOD]]))</f>
        <v>7</v>
      </c>
      <c r="L718">
        <v>0</v>
      </c>
      <c r="M718">
        <f>IF((DST_123_ÜRETİM_İHTİYAÇ_RAPORU_BURAK_YENI1309[[#This Row],[SATINALMA]]*DST_123_ÜRETİM_İHTİYAÇ_RAPORU_BURAK_YENI1309[[#This Row],[BIRIM_FIYATLAR]])&lt;1,VALUE("0"),DST_123_ÜRETİM_İHTİYAÇ_RAPORU_BURAK_YENI1309[[#This Row],[SATINALMA]]*DST_123_ÜRETİM_İHTİYAÇ_RAPORU_BURAK_YENI1309[[#This Row],[BIRIM_FIYATLAR]])</f>
        <v>12435.01</v>
      </c>
      <c r="N718">
        <v>1776.43</v>
      </c>
      <c r="O718" t="s">
        <v>634</v>
      </c>
      <c r="P718">
        <v>1776.43</v>
      </c>
      <c r="Q718" t="s">
        <v>178</v>
      </c>
    </row>
    <row r="719" spans="1:17" x14ac:dyDescent="0.25">
      <c r="A719" t="s">
        <v>1099</v>
      </c>
      <c r="B719" t="s">
        <v>1055</v>
      </c>
      <c r="C719" t="s">
        <v>175</v>
      </c>
      <c r="D719" t="s">
        <v>90</v>
      </c>
      <c r="E719" t="s">
        <v>91</v>
      </c>
      <c r="F719">
        <v>1</v>
      </c>
      <c r="G719" t="s">
        <v>176</v>
      </c>
      <c r="H719">
        <v>1</v>
      </c>
      <c r="I719">
        <v>4</v>
      </c>
      <c r="J719" s="10">
        <v>12</v>
      </c>
      <c r="K719" s="10">
        <f>SUMIFS(F:F,D:D,DST_123_ÜRETİM_İHTİYAÇ_RAPORU_BURAK_YENI1309[[#This Row],[ALT_KOD]])-(SUMIFS(H:H,D:D,DST_123_ÜRETİM_İHTİYAÇ_RAPORU_BURAK_YENI1309[[#This Row],[ALT_KOD]])+AVERAGEIFS(I:I,D:D,DST_123_ÜRETİM_İHTİYAÇ_RAPORU_BURAK_YENI1309[[#This Row],[ALT_KOD]])+AVERAGEIFS(L:L,D:D,DST_123_ÜRETİM_İHTİYAÇ_RAPORU_BURAK_YENI1309[[#This Row],[ALT_KOD]]))</f>
        <v>7</v>
      </c>
      <c r="L719">
        <v>0</v>
      </c>
      <c r="M719">
        <f>IF((DST_123_ÜRETİM_İHTİYAÇ_RAPORU_BURAK_YENI1309[[#This Row],[SATINALMA]]*DST_123_ÜRETİM_İHTİYAÇ_RAPORU_BURAK_YENI1309[[#This Row],[BIRIM_FIYATLAR]])&lt;1,VALUE("0"),DST_123_ÜRETİM_İHTİYAÇ_RAPORU_BURAK_YENI1309[[#This Row],[SATINALMA]]*DST_123_ÜRETİM_İHTİYAÇ_RAPORU_BURAK_YENI1309[[#This Row],[BIRIM_FIYATLAR]])</f>
        <v>12435.01</v>
      </c>
      <c r="N719">
        <v>1776.43</v>
      </c>
      <c r="O719" t="s">
        <v>634</v>
      </c>
      <c r="P719">
        <v>1776.43</v>
      </c>
      <c r="Q719" t="s">
        <v>178</v>
      </c>
    </row>
    <row r="720" spans="1:17" x14ac:dyDescent="0.25">
      <c r="A720" t="s">
        <v>1196</v>
      </c>
      <c r="B720" t="s">
        <v>1197</v>
      </c>
      <c r="C720" t="s">
        <v>175</v>
      </c>
      <c r="D720" t="s">
        <v>331</v>
      </c>
      <c r="E720" t="s">
        <v>332</v>
      </c>
      <c r="F720">
        <v>2</v>
      </c>
      <c r="G720" t="s">
        <v>176</v>
      </c>
      <c r="H720">
        <v>0</v>
      </c>
      <c r="I720">
        <v>809</v>
      </c>
      <c r="J720" s="10">
        <v>0</v>
      </c>
      <c r="K720" s="10">
        <f>SUMIFS(F:F,D:D,DST_123_ÜRETİM_İHTİYAÇ_RAPORU_BURAK_YENI1309[[#This Row],[ALT_KOD]])-(SUMIFS(H:H,D:D,DST_123_ÜRETİM_İHTİYAÇ_RAPORU_BURAK_YENI1309[[#This Row],[ALT_KOD]])+AVERAGEIFS(I:I,D:D,DST_123_ÜRETİM_İHTİYAÇ_RAPORU_BURAK_YENI1309[[#This Row],[ALT_KOD]])+AVERAGEIFS(L:L,D:D,DST_123_ÜRETİM_İHTİYAÇ_RAPORU_BURAK_YENI1309[[#This Row],[ALT_KOD]]))</f>
        <v>-768</v>
      </c>
      <c r="L720">
        <v>0</v>
      </c>
      <c r="M720">
        <f>IF((DST_123_ÜRETİM_İHTİYAÇ_RAPORU_BURAK_YENI1309[[#This Row],[SATINALMA]]*DST_123_ÜRETİM_İHTİYAÇ_RAPORU_BURAK_YENI1309[[#This Row],[BIRIM_FIYATLAR]])&lt;1,VALUE("0"),DST_123_ÜRETİM_İHTİYAÇ_RAPORU_BURAK_YENI1309[[#This Row],[SATINALMA]]*DST_123_ÜRETİM_İHTİYAÇ_RAPORU_BURAK_YENI1309[[#This Row],[BIRIM_FIYATLAR]])</f>
        <v>0</v>
      </c>
      <c r="N720">
        <v>2.4</v>
      </c>
      <c r="O720" t="s">
        <v>240</v>
      </c>
      <c r="P720">
        <v>4.8</v>
      </c>
      <c r="Q720" t="s">
        <v>180</v>
      </c>
    </row>
    <row r="721" spans="1:17" x14ac:dyDescent="0.25">
      <c r="A721" t="s">
        <v>1147</v>
      </c>
      <c r="B721" t="s">
        <v>1145</v>
      </c>
      <c r="C721" t="s">
        <v>175</v>
      </c>
      <c r="D721" t="s">
        <v>48</v>
      </c>
      <c r="E721" t="s">
        <v>49</v>
      </c>
      <c r="F721">
        <v>2</v>
      </c>
      <c r="G721" t="s">
        <v>176</v>
      </c>
      <c r="H721">
        <v>0</v>
      </c>
      <c r="I721">
        <v>21</v>
      </c>
      <c r="J721" s="10">
        <v>30</v>
      </c>
      <c r="K721" s="10">
        <f>SUMIFS(F:F,D:D,DST_123_ÜRETİM_İHTİYAÇ_RAPORU_BURAK_YENI1309[[#This Row],[ALT_KOD]])-(SUMIFS(H:H,D:D,DST_123_ÜRETİM_İHTİYAÇ_RAPORU_BURAK_YENI1309[[#This Row],[ALT_KOD]])+AVERAGEIFS(I:I,D:D,DST_123_ÜRETİM_İHTİYAÇ_RAPORU_BURAK_YENI1309[[#This Row],[ALT_KOD]])+AVERAGEIFS(L:L,D:D,DST_123_ÜRETİM_İHTİYAÇ_RAPORU_BURAK_YENI1309[[#This Row],[ALT_KOD]]))</f>
        <v>1</v>
      </c>
      <c r="L721">
        <v>0</v>
      </c>
      <c r="M721">
        <f>IF((DST_123_ÜRETİM_İHTİYAÇ_RAPORU_BURAK_YENI1309[[#This Row],[SATINALMA]]*DST_123_ÜRETİM_İHTİYAÇ_RAPORU_BURAK_YENI1309[[#This Row],[BIRIM_FIYATLAR]])&lt;1,VALUE("0"),DST_123_ÜRETİM_İHTİYAÇ_RAPORU_BURAK_YENI1309[[#This Row],[SATINALMA]]*DST_123_ÜRETİM_İHTİYAÇ_RAPORU_BURAK_YENI1309[[#This Row],[BIRIM_FIYATLAR]])</f>
        <v>42</v>
      </c>
      <c r="N721">
        <v>42</v>
      </c>
      <c r="O721" t="s">
        <v>245</v>
      </c>
      <c r="P721">
        <v>84</v>
      </c>
      <c r="Q721" t="s">
        <v>180</v>
      </c>
    </row>
    <row r="722" spans="1:17" x14ac:dyDescent="0.25">
      <c r="A722" t="s">
        <v>1148</v>
      </c>
      <c r="B722" t="s">
        <v>1056</v>
      </c>
      <c r="C722" t="s">
        <v>175</v>
      </c>
      <c r="D722" t="s">
        <v>48</v>
      </c>
      <c r="E722" t="s">
        <v>49</v>
      </c>
      <c r="F722">
        <v>2</v>
      </c>
      <c r="G722" t="s">
        <v>176</v>
      </c>
      <c r="H722">
        <v>0</v>
      </c>
      <c r="I722">
        <v>21</v>
      </c>
      <c r="J722" s="10">
        <v>30</v>
      </c>
      <c r="K722" s="10">
        <f>SUMIFS(F:F,D:D,DST_123_ÜRETİM_İHTİYAÇ_RAPORU_BURAK_YENI1309[[#This Row],[ALT_KOD]])-(SUMIFS(H:H,D:D,DST_123_ÜRETİM_İHTİYAÇ_RAPORU_BURAK_YENI1309[[#This Row],[ALT_KOD]])+AVERAGEIFS(I:I,D:D,DST_123_ÜRETİM_İHTİYAÇ_RAPORU_BURAK_YENI1309[[#This Row],[ALT_KOD]])+AVERAGEIFS(L:L,D:D,DST_123_ÜRETİM_İHTİYAÇ_RAPORU_BURAK_YENI1309[[#This Row],[ALT_KOD]]))</f>
        <v>1</v>
      </c>
      <c r="L722">
        <v>0</v>
      </c>
      <c r="M722">
        <f>IF((DST_123_ÜRETİM_İHTİYAÇ_RAPORU_BURAK_YENI1309[[#This Row],[SATINALMA]]*DST_123_ÜRETİM_İHTİYAÇ_RAPORU_BURAK_YENI1309[[#This Row],[BIRIM_FIYATLAR]])&lt;1,VALUE("0"),DST_123_ÜRETİM_İHTİYAÇ_RAPORU_BURAK_YENI1309[[#This Row],[SATINALMA]]*DST_123_ÜRETİM_İHTİYAÇ_RAPORU_BURAK_YENI1309[[#This Row],[BIRIM_FIYATLAR]])</f>
        <v>42</v>
      </c>
      <c r="N722">
        <v>42</v>
      </c>
      <c r="O722" t="s">
        <v>245</v>
      </c>
      <c r="P722">
        <v>84</v>
      </c>
      <c r="Q722" t="s">
        <v>180</v>
      </c>
    </row>
    <row r="723" spans="1:17" x14ac:dyDescent="0.25">
      <c r="A723" t="s">
        <v>1147</v>
      </c>
      <c r="B723" t="s">
        <v>1145</v>
      </c>
      <c r="C723" t="s">
        <v>175</v>
      </c>
      <c r="D723" t="s">
        <v>355</v>
      </c>
      <c r="E723" t="s">
        <v>356</v>
      </c>
      <c r="F723">
        <v>16</v>
      </c>
      <c r="G723" t="s">
        <v>176</v>
      </c>
      <c r="H723">
        <v>0</v>
      </c>
      <c r="I723">
        <v>4822</v>
      </c>
      <c r="J723" s="10">
        <v>811</v>
      </c>
      <c r="K723" s="10">
        <f>SUMIFS(F:F,D:D,DST_123_ÜRETİM_İHTİYAÇ_RAPORU_BURAK_YENI1309[[#This Row],[ALT_KOD]])-(SUMIFS(H:H,D:D,DST_123_ÜRETİM_İHTİYAÇ_RAPORU_BURAK_YENI1309[[#This Row],[ALT_KOD]])+AVERAGEIFS(I:I,D:D,DST_123_ÜRETİM_İHTİYAÇ_RAPORU_BURAK_YENI1309[[#This Row],[ALT_KOD]])+AVERAGEIFS(L:L,D:D,DST_123_ÜRETİM_İHTİYAÇ_RAPORU_BURAK_YENI1309[[#This Row],[ALT_KOD]]))</f>
        <v>-4638</v>
      </c>
      <c r="L723">
        <v>0</v>
      </c>
      <c r="M723">
        <f>IF((DST_123_ÜRETİM_İHTİYAÇ_RAPORU_BURAK_YENI1309[[#This Row],[SATINALMA]]*DST_123_ÜRETİM_İHTİYAÇ_RAPORU_BURAK_YENI1309[[#This Row],[BIRIM_FIYATLAR]])&lt;1,VALUE("0"),DST_123_ÜRETİM_İHTİYAÇ_RAPORU_BURAK_YENI1309[[#This Row],[SATINALMA]]*DST_123_ÜRETİM_İHTİYAÇ_RAPORU_BURAK_YENI1309[[#This Row],[BIRIM_FIYATLAR]])</f>
        <v>0</v>
      </c>
      <c r="N723">
        <v>0.3</v>
      </c>
      <c r="O723" t="s">
        <v>240</v>
      </c>
      <c r="P723">
        <v>4.8</v>
      </c>
      <c r="Q723" t="s">
        <v>180</v>
      </c>
    </row>
    <row r="724" spans="1:17" x14ac:dyDescent="0.25">
      <c r="A724" t="s">
        <v>1060</v>
      </c>
      <c r="B724" t="s">
        <v>1061</v>
      </c>
      <c r="C724" t="s">
        <v>175</v>
      </c>
      <c r="D724" t="s">
        <v>651</v>
      </c>
      <c r="E724" t="s">
        <v>652</v>
      </c>
      <c r="F724">
        <v>25</v>
      </c>
      <c r="G724" t="s">
        <v>176</v>
      </c>
      <c r="H724">
        <v>25</v>
      </c>
      <c r="I724">
        <v>776</v>
      </c>
      <c r="J724" s="10">
        <v>367</v>
      </c>
      <c r="K724" s="10">
        <f>SUMIFS(F:F,D:D,DST_123_ÜRETİM_İHTİYAÇ_RAPORU_BURAK_YENI1309[[#This Row],[ALT_KOD]])-(SUMIFS(H:H,D:D,DST_123_ÜRETİM_İHTİYAÇ_RAPORU_BURAK_YENI1309[[#This Row],[ALT_KOD]])+AVERAGEIFS(I:I,D:D,DST_123_ÜRETİM_İHTİYAÇ_RAPORU_BURAK_YENI1309[[#This Row],[ALT_KOD]])+AVERAGEIFS(L:L,D:D,DST_123_ÜRETİM_İHTİYAÇ_RAPORU_BURAK_YENI1309[[#This Row],[ALT_KOD]]))</f>
        <v>-308</v>
      </c>
      <c r="L724">
        <v>0</v>
      </c>
      <c r="M724">
        <f>IF((DST_123_ÜRETİM_İHTİYAÇ_RAPORU_BURAK_YENI1309[[#This Row],[SATINALMA]]*DST_123_ÜRETİM_İHTİYAÇ_RAPORU_BURAK_YENI1309[[#This Row],[BIRIM_FIYATLAR]])&lt;1,VALUE("0"),DST_123_ÜRETİM_İHTİYAÇ_RAPORU_BURAK_YENI1309[[#This Row],[SATINALMA]]*DST_123_ÜRETİM_İHTİYAÇ_RAPORU_BURAK_YENI1309[[#This Row],[BIRIM_FIYATLAR]])</f>
        <v>0</v>
      </c>
      <c r="N724">
        <v>3.46</v>
      </c>
      <c r="O724" t="s">
        <v>882</v>
      </c>
      <c r="P724">
        <v>86.5</v>
      </c>
      <c r="Q724" t="s">
        <v>180</v>
      </c>
    </row>
    <row r="725" spans="1:17" x14ac:dyDescent="0.25">
      <c r="A725" t="s">
        <v>1147</v>
      </c>
      <c r="B725" t="s">
        <v>1145</v>
      </c>
      <c r="C725" t="s">
        <v>175</v>
      </c>
      <c r="D725" t="s">
        <v>651</v>
      </c>
      <c r="E725" t="s">
        <v>652</v>
      </c>
      <c r="F725">
        <v>25</v>
      </c>
      <c r="G725" t="s">
        <v>176</v>
      </c>
      <c r="H725">
        <v>0</v>
      </c>
      <c r="I725">
        <v>776</v>
      </c>
      <c r="J725" s="10">
        <v>367</v>
      </c>
      <c r="K725" s="10">
        <f>SUMIFS(F:F,D:D,DST_123_ÜRETİM_İHTİYAÇ_RAPORU_BURAK_YENI1309[[#This Row],[ALT_KOD]])-(SUMIFS(H:H,D:D,DST_123_ÜRETİM_İHTİYAÇ_RAPORU_BURAK_YENI1309[[#This Row],[ALT_KOD]])+AVERAGEIFS(I:I,D:D,DST_123_ÜRETİM_İHTİYAÇ_RAPORU_BURAK_YENI1309[[#This Row],[ALT_KOD]])+AVERAGEIFS(L:L,D:D,DST_123_ÜRETİM_İHTİYAÇ_RAPORU_BURAK_YENI1309[[#This Row],[ALT_KOD]]))</f>
        <v>-308</v>
      </c>
      <c r="L725">
        <v>0</v>
      </c>
      <c r="M725">
        <f>IF((DST_123_ÜRETİM_İHTİYAÇ_RAPORU_BURAK_YENI1309[[#This Row],[SATINALMA]]*DST_123_ÜRETİM_İHTİYAÇ_RAPORU_BURAK_YENI1309[[#This Row],[BIRIM_FIYATLAR]])&lt;1,VALUE("0"),DST_123_ÜRETİM_İHTİYAÇ_RAPORU_BURAK_YENI1309[[#This Row],[SATINALMA]]*DST_123_ÜRETİM_İHTİYAÇ_RAPORU_BURAK_YENI1309[[#This Row],[BIRIM_FIYATLAR]])</f>
        <v>0</v>
      </c>
      <c r="N725">
        <v>3.46</v>
      </c>
      <c r="O725" t="s">
        <v>882</v>
      </c>
      <c r="P725">
        <v>86.5</v>
      </c>
      <c r="Q725" t="s">
        <v>180</v>
      </c>
    </row>
    <row r="726" spans="1:17" x14ac:dyDescent="0.25">
      <c r="A726" s="13" t="s">
        <v>1057</v>
      </c>
      <c r="B726" s="13" t="s">
        <v>1058</v>
      </c>
      <c r="C726" t="s">
        <v>175</v>
      </c>
      <c r="D726" s="13" t="s">
        <v>651</v>
      </c>
      <c r="E726" s="13" t="s">
        <v>652</v>
      </c>
      <c r="F726" s="13">
        <v>25</v>
      </c>
      <c r="G726" s="13" t="s">
        <v>176</v>
      </c>
      <c r="H726">
        <v>0</v>
      </c>
      <c r="I726">
        <v>776</v>
      </c>
      <c r="J726" s="10">
        <v>367</v>
      </c>
      <c r="K726" s="10">
        <f>SUMIFS(F:F,D:D,DST_123_ÜRETİM_İHTİYAÇ_RAPORU_BURAK_YENI1309[[#This Row],[ALT_KOD]])-(SUMIFS(H:H,D:D,DST_123_ÜRETİM_İHTİYAÇ_RAPORU_BURAK_YENI1309[[#This Row],[ALT_KOD]])+AVERAGEIFS(I:I,D:D,DST_123_ÜRETİM_İHTİYAÇ_RAPORU_BURAK_YENI1309[[#This Row],[ALT_KOD]])+AVERAGEIFS(L:L,D:D,DST_123_ÜRETİM_İHTİYAÇ_RAPORU_BURAK_YENI1309[[#This Row],[ALT_KOD]]))</f>
        <v>-308</v>
      </c>
      <c r="L726">
        <v>0</v>
      </c>
      <c r="M726">
        <f>IF((DST_123_ÜRETİM_İHTİYAÇ_RAPORU_BURAK_YENI1309[[#This Row],[SATINALMA]]*DST_123_ÜRETİM_İHTİYAÇ_RAPORU_BURAK_YENI1309[[#This Row],[BIRIM_FIYATLAR]])&lt;1,VALUE("0"),DST_123_ÜRETİM_İHTİYAÇ_RAPORU_BURAK_YENI1309[[#This Row],[SATINALMA]]*DST_123_ÜRETİM_İHTİYAÇ_RAPORU_BURAK_YENI1309[[#This Row],[BIRIM_FIYATLAR]])</f>
        <v>0</v>
      </c>
      <c r="N726">
        <v>3.46</v>
      </c>
      <c r="O726" t="s">
        <v>882</v>
      </c>
      <c r="P726">
        <v>86.5</v>
      </c>
      <c r="Q726" t="s">
        <v>180</v>
      </c>
    </row>
    <row r="727" spans="1:17" x14ac:dyDescent="0.25">
      <c r="A727" t="s">
        <v>1100</v>
      </c>
      <c r="B727" t="s">
        <v>1058</v>
      </c>
      <c r="C727" t="s">
        <v>175</v>
      </c>
      <c r="D727" t="s">
        <v>651</v>
      </c>
      <c r="E727" t="s">
        <v>652</v>
      </c>
      <c r="F727">
        <v>25</v>
      </c>
      <c r="G727" t="s">
        <v>176</v>
      </c>
      <c r="H727">
        <v>0</v>
      </c>
      <c r="I727">
        <v>776</v>
      </c>
      <c r="J727" s="10">
        <v>367</v>
      </c>
      <c r="K727" s="10">
        <f>SUMIFS(F:F,D:D,DST_123_ÜRETİM_İHTİYAÇ_RAPORU_BURAK_YENI1309[[#This Row],[ALT_KOD]])-(SUMIFS(H:H,D:D,DST_123_ÜRETİM_İHTİYAÇ_RAPORU_BURAK_YENI1309[[#This Row],[ALT_KOD]])+AVERAGEIFS(I:I,D:D,DST_123_ÜRETİM_İHTİYAÇ_RAPORU_BURAK_YENI1309[[#This Row],[ALT_KOD]])+AVERAGEIFS(L:L,D:D,DST_123_ÜRETİM_İHTİYAÇ_RAPORU_BURAK_YENI1309[[#This Row],[ALT_KOD]]))</f>
        <v>-308</v>
      </c>
      <c r="L727">
        <v>0</v>
      </c>
      <c r="M727">
        <f>IF((DST_123_ÜRETİM_İHTİYAÇ_RAPORU_BURAK_YENI1309[[#This Row],[SATINALMA]]*DST_123_ÜRETİM_İHTİYAÇ_RAPORU_BURAK_YENI1309[[#This Row],[BIRIM_FIYATLAR]])&lt;1,VALUE("0"),DST_123_ÜRETİM_İHTİYAÇ_RAPORU_BURAK_YENI1309[[#This Row],[SATINALMA]]*DST_123_ÜRETİM_İHTİYAÇ_RAPORU_BURAK_YENI1309[[#This Row],[BIRIM_FIYATLAR]])</f>
        <v>0</v>
      </c>
      <c r="N727">
        <v>3.46</v>
      </c>
      <c r="O727" t="s">
        <v>882</v>
      </c>
      <c r="P727">
        <v>86.5</v>
      </c>
      <c r="Q727" t="s">
        <v>180</v>
      </c>
    </row>
    <row r="728" spans="1:17" x14ac:dyDescent="0.25">
      <c r="A728" t="s">
        <v>1148</v>
      </c>
      <c r="B728" t="s">
        <v>1056</v>
      </c>
      <c r="C728" t="s">
        <v>175</v>
      </c>
      <c r="D728" t="s">
        <v>651</v>
      </c>
      <c r="E728" t="s">
        <v>652</v>
      </c>
      <c r="F728">
        <v>25</v>
      </c>
      <c r="G728" t="s">
        <v>176</v>
      </c>
      <c r="H728">
        <v>0</v>
      </c>
      <c r="I728">
        <v>776</v>
      </c>
      <c r="J728" s="10">
        <v>367</v>
      </c>
      <c r="K728" s="10">
        <f>SUMIFS(F:F,D:D,DST_123_ÜRETİM_İHTİYAÇ_RAPORU_BURAK_YENI1309[[#This Row],[ALT_KOD]])-(SUMIFS(H:H,D:D,DST_123_ÜRETİM_İHTİYAÇ_RAPORU_BURAK_YENI1309[[#This Row],[ALT_KOD]])+AVERAGEIFS(I:I,D:D,DST_123_ÜRETİM_İHTİYAÇ_RAPORU_BURAK_YENI1309[[#This Row],[ALT_KOD]])+AVERAGEIFS(L:L,D:D,DST_123_ÜRETİM_İHTİYAÇ_RAPORU_BURAK_YENI1309[[#This Row],[ALT_KOD]]))</f>
        <v>-308</v>
      </c>
      <c r="L728">
        <v>0</v>
      </c>
      <c r="M728">
        <f>IF((DST_123_ÜRETİM_İHTİYAÇ_RAPORU_BURAK_YENI1309[[#This Row],[SATINALMA]]*DST_123_ÜRETİM_İHTİYAÇ_RAPORU_BURAK_YENI1309[[#This Row],[BIRIM_FIYATLAR]])&lt;1,VALUE("0"),DST_123_ÜRETİM_İHTİYAÇ_RAPORU_BURAK_YENI1309[[#This Row],[SATINALMA]]*DST_123_ÜRETİM_İHTİYAÇ_RAPORU_BURAK_YENI1309[[#This Row],[BIRIM_FIYATLAR]])</f>
        <v>0</v>
      </c>
      <c r="N728">
        <v>3.46</v>
      </c>
      <c r="O728" t="s">
        <v>882</v>
      </c>
      <c r="P728">
        <v>86.5</v>
      </c>
      <c r="Q728" t="s">
        <v>180</v>
      </c>
    </row>
    <row r="729" spans="1:17" x14ac:dyDescent="0.25">
      <c r="A729" t="s">
        <v>1057</v>
      </c>
      <c r="B729" t="s">
        <v>1058</v>
      </c>
      <c r="C729" t="s">
        <v>175</v>
      </c>
      <c r="D729" t="s">
        <v>384</v>
      </c>
      <c r="E729" t="s">
        <v>385</v>
      </c>
      <c r="F729">
        <v>13</v>
      </c>
      <c r="G729" t="s">
        <v>176</v>
      </c>
      <c r="H729">
        <v>0</v>
      </c>
      <c r="I729">
        <v>495</v>
      </c>
      <c r="J729" s="10">
        <v>146</v>
      </c>
      <c r="K729" s="10">
        <f>SUMIFS(F:F,D:D,DST_123_ÜRETİM_İHTİYAÇ_RAPORU_BURAK_YENI1309[[#This Row],[ALT_KOD]])-(SUMIFS(H:H,D:D,DST_123_ÜRETİM_İHTİYAÇ_RAPORU_BURAK_YENI1309[[#This Row],[ALT_KOD]])+AVERAGEIFS(I:I,D:D,DST_123_ÜRETİM_İHTİYAÇ_RAPORU_BURAK_YENI1309[[#This Row],[ALT_KOD]])+AVERAGEIFS(L:L,D:D,DST_123_ÜRETİM_İHTİYAÇ_RAPORU_BURAK_YENI1309[[#This Row],[ALT_KOD]]))</f>
        <v>-22</v>
      </c>
      <c r="L729">
        <v>0</v>
      </c>
      <c r="M729">
        <f>IF((DST_123_ÜRETİM_İHTİYAÇ_RAPORU_BURAK_YENI1309[[#This Row],[SATINALMA]]*DST_123_ÜRETİM_İHTİYAÇ_RAPORU_BURAK_YENI1309[[#This Row],[BIRIM_FIYATLAR]])&lt;1,VALUE("0"),DST_123_ÜRETİM_İHTİYAÇ_RAPORU_BURAK_YENI1309[[#This Row],[SATINALMA]]*DST_123_ÜRETİM_İHTİYAÇ_RAPORU_BURAK_YENI1309[[#This Row],[BIRIM_FIYATLAR]])</f>
        <v>0</v>
      </c>
      <c r="N729">
        <v>3.75</v>
      </c>
      <c r="O729" t="s">
        <v>628</v>
      </c>
      <c r="P729">
        <v>48.75</v>
      </c>
      <c r="Q729" t="s">
        <v>180</v>
      </c>
    </row>
    <row r="730" spans="1:17" x14ac:dyDescent="0.25">
      <c r="A730" t="s">
        <v>1101</v>
      </c>
      <c r="B730" t="s">
        <v>1102</v>
      </c>
      <c r="C730" t="s">
        <v>175</v>
      </c>
      <c r="D730" t="s">
        <v>384</v>
      </c>
      <c r="E730" t="s">
        <v>385</v>
      </c>
      <c r="F730">
        <v>10</v>
      </c>
      <c r="G730" t="s">
        <v>176</v>
      </c>
      <c r="H730">
        <v>0</v>
      </c>
      <c r="I730">
        <v>495</v>
      </c>
      <c r="J730" s="10">
        <v>146</v>
      </c>
      <c r="K730" s="10">
        <f>SUMIFS(F:F,D:D,DST_123_ÜRETİM_İHTİYAÇ_RAPORU_BURAK_YENI1309[[#This Row],[ALT_KOD]])-(SUMIFS(H:H,D:D,DST_123_ÜRETİM_İHTİYAÇ_RAPORU_BURAK_YENI1309[[#This Row],[ALT_KOD]])+AVERAGEIFS(I:I,D:D,DST_123_ÜRETİM_İHTİYAÇ_RAPORU_BURAK_YENI1309[[#This Row],[ALT_KOD]])+AVERAGEIFS(L:L,D:D,DST_123_ÜRETİM_İHTİYAÇ_RAPORU_BURAK_YENI1309[[#This Row],[ALT_KOD]]))</f>
        <v>-22</v>
      </c>
      <c r="L730">
        <v>0</v>
      </c>
      <c r="M730">
        <f>IF((DST_123_ÜRETİM_İHTİYAÇ_RAPORU_BURAK_YENI1309[[#This Row],[SATINALMA]]*DST_123_ÜRETİM_İHTİYAÇ_RAPORU_BURAK_YENI1309[[#This Row],[BIRIM_FIYATLAR]])&lt;1,VALUE("0"),DST_123_ÜRETİM_İHTİYAÇ_RAPORU_BURAK_YENI1309[[#This Row],[SATINALMA]]*DST_123_ÜRETİM_İHTİYAÇ_RAPORU_BURAK_YENI1309[[#This Row],[BIRIM_FIYATLAR]])</f>
        <v>0</v>
      </c>
      <c r="N730">
        <v>3.75</v>
      </c>
      <c r="O730" t="s">
        <v>628</v>
      </c>
      <c r="P730">
        <v>37.5</v>
      </c>
      <c r="Q730" t="s">
        <v>180</v>
      </c>
    </row>
    <row r="731" spans="1:17" x14ac:dyDescent="0.25">
      <c r="A731" t="s">
        <v>1101</v>
      </c>
      <c r="B731" t="s">
        <v>1102</v>
      </c>
      <c r="C731" t="s">
        <v>175</v>
      </c>
      <c r="D731" t="s">
        <v>394</v>
      </c>
      <c r="E731" t="s">
        <v>395</v>
      </c>
      <c r="F731">
        <v>1</v>
      </c>
      <c r="G731" t="s">
        <v>176</v>
      </c>
      <c r="H731">
        <v>0</v>
      </c>
      <c r="I731">
        <v>6</v>
      </c>
      <c r="J731" s="10">
        <v>14.000000000000005</v>
      </c>
      <c r="K731" s="10">
        <f>SUMIFS(F:F,D:D,DST_123_ÜRETİM_İHTİYAÇ_RAPORU_BURAK_YENI1309[[#This Row],[ALT_KOD]])-(SUMIFS(H:H,D:D,DST_123_ÜRETİM_İHTİYAÇ_RAPORU_BURAK_YENI1309[[#This Row],[ALT_KOD]])+AVERAGEIFS(I:I,D:D,DST_123_ÜRETİM_İHTİYAÇ_RAPORU_BURAK_YENI1309[[#This Row],[ALT_KOD]])+AVERAGEIFS(L:L,D:D,DST_123_ÜRETİM_İHTİYAÇ_RAPORU_BURAK_YENI1309[[#This Row],[ALT_KOD]]))</f>
        <v>28.1</v>
      </c>
      <c r="L731">
        <v>0</v>
      </c>
      <c r="M731">
        <f>IF((DST_123_ÜRETİM_İHTİYAÇ_RAPORU_BURAK_YENI1309[[#This Row],[SATINALMA]]*DST_123_ÜRETİM_İHTİYAÇ_RAPORU_BURAK_YENI1309[[#This Row],[BIRIM_FIYATLAR]])&lt;1,VALUE("0"),DST_123_ÜRETİM_İHTİYAÇ_RAPORU_BURAK_YENI1309[[#This Row],[SATINALMA]]*DST_123_ÜRETİM_İHTİYAÇ_RAPORU_BURAK_YENI1309[[#This Row],[BIRIM_FIYATLAR]])</f>
        <v>4097.8230000000003</v>
      </c>
      <c r="N731">
        <v>145.83000000000001</v>
      </c>
      <c r="O731" t="s">
        <v>628</v>
      </c>
      <c r="P731">
        <v>145.83000000000001</v>
      </c>
      <c r="Q731" t="s">
        <v>183</v>
      </c>
    </row>
    <row r="732" spans="1:17" x14ac:dyDescent="0.25">
      <c r="A732" t="s">
        <v>1060</v>
      </c>
      <c r="B732" t="s">
        <v>1061</v>
      </c>
      <c r="C732" t="s">
        <v>175</v>
      </c>
      <c r="D732" t="s">
        <v>88</v>
      </c>
      <c r="E732" t="s">
        <v>89</v>
      </c>
      <c r="F732">
        <v>3.3</v>
      </c>
      <c r="G732" t="s">
        <v>179</v>
      </c>
      <c r="H732">
        <v>0</v>
      </c>
      <c r="I732">
        <v>125</v>
      </c>
      <c r="J732" s="10">
        <v>37.499999999999908</v>
      </c>
      <c r="K732" s="10">
        <f>SUMIFS(F:F,D:D,DST_123_ÜRETİM_İHTİYAÇ_RAPORU_BURAK_YENI1309[[#This Row],[ALT_KOD]])-(SUMIFS(H:H,D:D,DST_123_ÜRETİM_İHTİYAÇ_RAPORU_BURAK_YENI1309[[#This Row],[ALT_KOD]])+AVERAGEIFS(I:I,D:D,DST_123_ÜRETİM_İHTİYAÇ_RAPORU_BURAK_YENI1309[[#This Row],[ALT_KOD]])+AVERAGEIFS(L:L,D:D,DST_123_ÜRETİM_İHTİYAÇ_RAPORU_BURAK_YENI1309[[#This Row],[ALT_KOD]]))</f>
        <v>-44.100000000000009</v>
      </c>
      <c r="L732">
        <v>0</v>
      </c>
      <c r="M732">
        <f>IF((DST_123_ÜRETİM_İHTİYAÇ_RAPORU_BURAK_YENI1309[[#This Row],[SATINALMA]]*DST_123_ÜRETİM_İHTİYAÇ_RAPORU_BURAK_YENI1309[[#This Row],[BIRIM_FIYATLAR]])&lt;1,VALUE("0"),DST_123_ÜRETİM_İHTİYAÇ_RAPORU_BURAK_YENI1309[[#This Row],[SATINALMA]]*DST_123_ÜRETİM_İHTİYAÇ_RAPORU_BURAK_YENI1309[[#This Row],[BIRIM_FIYATLAR]])</f>
        <v>0</v>
      </c>
      <c r="N732">
        <v>44</v>
      </c>
      <c r="O732" t="s">
        <v>314</v>
      </c>
      <c r="P732">
        <v>145.19999999999999</v>
      </c>
      <c r="Q732" t="s">
        <v>178</v>
      </c>
    </row>
    <row r="733" spans="1:17" x14ac:dyDescent="0.25">
      <c r="A733" t="s">
        <v>1147</v>
      </c>
      <c r="B733" t="s">
        <v>1145</v>
      </c>
      <c r="C733" t="s">
        <v>175</v>
      </c>
      <c r="D733" t="s">
        <v>88</v>
      </c>
      <c r="E733" t="s">
        <v>89</v>
      </c>
      <c r="F733">
        <v>3.3</v>
      </c>
      <c r="G733" t="s">
        <v>179</v>
      </c>
      <c r="H733">
        <v>0</v>
      </c>
      <c r="I733">
        <v>125</v>
      </c>
      <c r="J733" s="10">
        <v>37.499999999999908</v>
      </c>
      <c r="K733" s="10">
        <f>SUMIFS(F:F,D:D,DST_123_ÜRETİM_İHTİYAÇ_RAPORU_BURAK_YENI1309[[#This Row],[ALT_KOD]])-(SUMIFS(H:H,D:D,DST_123_ÜRETİM_İHTİYAÇ_RAPORU_BURAK_YENI1309[[#This Row],[ALT_KOD]])+AVERAGEIFS(I:I,D:D,DST_123_ÜRETİM_İHTİYAÇ_RAPORU_BURAK_YENI1309[[#This Row],[ALT_KOD]])+AVERAGEIFS(L:L,D:D,DST_123_ÜRETİM_İHTİYAÇ_RAPORU_BURAK_YENI1309[[#This Row],[ALT_KOD]]))</f>
        <v>-44.100000000000009</v>
      </c>
      <c r="L733">
        <v>0</v>
      </c>
      <c r="M733">
        <f>IF((DST_123_ÜRETİM_İHTİYAÇ_RAPORU_BURAK_YENI1309[[#This Row],[SATINALMA]]*DST_123_ÜRETİM_İHTİYAÇ_RAPORU_BURAK_YENI1309[[#This Row],[BIRIM_FIYATLAR]])&lt;1,VALUE("0"),DST_123_ÜRETİM_İHTİYAÇ_RAPORU_BURAK_YENI1309[[#This Row],[SATINALMA]]*DST_123_ÜRETİM_İHTİYAÇ_RAPORU_BURAK_YENI1309[[#This Row],[BIRIM_FIYATLAR]])</f>
        <v>0</v>
      </c>
      <c r="N733">
        <v>44</v>
      </c>
      <c r="O733" t="s">
        <v>314</v>
      </c>
      <c r="P733">
        <v>145.19999999999999</v>
      </c>
      <c r="Q733" t="s">
        <v>178</v>
      </c>
    </row>
    <row r="734" spans="1:17" x14ac:dyDescent="0.25">
      <c r="A734" t="s">
        <v>1057</v>
      </c>
      <c r="B734" t="s">
        <v>1058</v>
      </c>
      <c r="C734" t="s">
        <v>175</v>
      </c>
      <c r="D734" t="s">
        <v>88</v>
      </c>
      <c r="E734" t="s">
        <v>89</v>
      </c>
      <c r="F734">
        <v>3.3</v>
      </c>
      <c r="G734" t="s">
        <v>179</v>
      </c>
      <c r="H734">
        <v>0</v>
      </c>
      <c r="I734">
        <v>125</v>
      </c>
      <c r="J734" s="10">
        <v>37.499999999999908</v>
      </c>
      <c r="K734" s="10">
        <f>SUMIFS(F:F,D:D,DST_123_ÜRETİM_İHTİYAÇ_RAPORU_BURAK_YENI1309[[#This Row],[ALT_KOD]])-(SUMIFS(H:H,D:D,DST_123_ÜRETİM_İHTİYAÇ_RAPORU_BURAK_YENI1309[[#This Row],[ALT_KOD]])+AVERAGEIFS(I:I,D:D,DST_123_ÜRETİM_İHTİYAÇ_RAPORU_BURAK_YENI1309[[#This Row],[ALT_KOD]])+AVERAGEIFS(L:L,D:D,DST_123_ÜRETİM_İHTİYAÇ_RAPORU_BURAK_YENI1309[[#This Row],[ALT_KOD]]))</f>
        <v>-44.100000000000009</v>
      </c>
      <c r="L734">
        <v>0</v>
      </c>
      <c r="M734">
        <f>IF((DST_123_ÜRETİM_İHTİYAÇ_RAPORU_BURAK_YENI1309[[#This Row],[SATINALMA]]*DST_123_ÜRETİM_İHTİYAÇ_RAPORU_BURAK_YENI1309[[#This Row],[BIRIM_FIYATLAR]])&lt;1,VALUE("0"),DST_123_ÜRETİM_İHTİYAÇ_RAPORU_BURAK_YENI1309[[#This Row],[SATINALMA]]*DST_123_ÜRETİM_İHTİYAÇ_RAPORU_BURAK_YENI1309[[#This Row],[BIRIM_FIYATLAR]])</f>
        <v>0</v>
      </c>
      <c r="N734">
        <v>44</v>
      </c>
      <c r="O734" t="s">
        <v>314</v>
      </c>
      <c r="P734">
        <v>145.19999999999999</v>
      </c>
      <c r="Q734" t="s">
        <v>178</v>
      </c>
    </row>
    <row r="735" spans="1:17" x14ac:dyDescent="0.25">
      <c r="A735" t="s">
        <v>1100</v>
      </c>
      <c r="B735" t="s">
        <v>1058</v>
      </c>
      <c r="C735" t="s">
        <v>175</v>
      </c>
      <c r="D735" t="s">
        <v>88</v>
      </c>
      <c r="E735" t="s">
        <v>89</v>
      </c>
      <c r="F735">
        <v>3.3</v>
      </c>
      <c r="G735" t="s">
        <v>179</v>
      </c>
      <c r="H735">
        <v>0</v>
      </c>
      <c r="I735">
        <v>125</v>
      </c>
      <c r="J735" s="10">
        <v>37.499999999999908</v>
      </c>
      <c r="K735" s="10">
        <f>SUMIFS(F:F,D:D,DST_123_ÜRETİM_İHTİYAÇ_RAPORU_BURAK_YENI1309[[#This Row],[ALT_KOD]])-(SUMIFS(H:H,D:D,DST_123_ÜRETİM_İHTİYAÇ_RAPORU_BURAK_YENI1309[[#This Row],[ALT_KOD]])+AVERAGEIFS(I:I,D:D,DST_123_ÜRETİM_İHTİYAÇ_RAPORU_BURAK_YENI1309[[#This Row],[ALT_KOD]])+AVERAGEIFS(L:L,D:D,DST_123_ÜRETİM_İHTİYAÇ_RAPORU_BURAK_YENI1309[[#This Row],[ALT_KOD]]))</f>
        <v>-44.100000000000009</v>
      </c>
      <c r="L735">
        <v>0</v>
      </c>
      <c r="M735">
        <f>IF((DST_123_ÜRETİM_İHTİYAÇ_RAPORU_BURAK_YENI1309[[#This Row],[SATINALMA]]*DST_123_ÜRETİM_İHTİYAÇ_RAPORU_BURAK_YENI1309[[#This Row],[BIRIM_FIYATLAR]])&lt;1,VALUE("0"),DST_123_ÜRETİM_İHTİYAÇ_RAPORU_BURAK_YENI1309[[#This Row],[SATINALMA]]*DST_123_ÜRETİM_İHTİYAÇ_RAPORU_BURAK_YENI1309[[#This Row],[BIRIM_FIYATLAR]])</f>
        <v>0</v>
      </c>
      <c r="N735">
        <v>44</v>
      </c>
      <c r="O735" t="s">
        <v>314</v>
      </c>
      <c r="P735">
        <v>145.19999999999999</v>
      </c>
      <c r="Q735" t="s">
        <v>178</v>
      </c>
    </row>
    <row r="736" spans="1:17" x14ac:dyDescent="0.25">
      <c r="A736" t="s">
        <v>1148</v>
      </c>
      <c r="B736" t="s">
        <v>1056</v>
      </c>
      <c r="C736" t="s">
        <v>175</v>
      </c>
      <c r="D736" t="s">
        <v>88</v>
      </c>
      <c r="E736" t="s">
        <v>89</v>
      </c>
      <c r="F736">
        <v>5.5</v>
      </c>
      <c r="G736" t="s">
        <v>179</v>
      </c>
      <c r="H736">
        <v>0</v>
      </c>
      <c r="I736">
        <v>125</v>
      </c>
      <c r="J736" s="10">
        <v>37.499999999999908</v>
      </c>
      <c r="K736" s="10">
        <f>SUMIFS(F:F,D:D,DST_123_ÜRETİM_İHTİYAÇ_RAPORU_BURAK_YENI1309[[#This Row],[ALT_KOD]])-(SUMIFS(H:H,D:D,DST_123_ÜRETİM_İHTİYAÇ_RAPORU_BURAK_YENI1309[[#This Row],[ALT_KOD]])+AVERAGEIFS(I:I,D:D,DST_123_ÜRETİM_İHTİYAÇ_RAPORU_BURAK_YENI1309[[#This Row],[ALT_KOD]])+AVERAGEIFS(L:L,D:D,DST_123_ÜRETİM_İHTİYAÇ_RAPORU_BURAK_YENI1309[[#This Row],[ALT_KOD]]))</f>
        <v>-44.100000000000009</v>
      </c>
      <c r="L736">
        <v>0</v>
      </c>
      <c r="M736">
        <f>IF((DST_123_ÜRETİM_İHTİYAÇ_RAPORU_BURAK_YENI1309[[#This Row],[SATINALMA]]*DST_123_ÜRETİM_İHTİYAÇ_RAPORU_BURAK_YENI1309[[#This Row],[BIRIM_FIYATLAR]])&lt;1,VALUE("0"),DST_123_ÜRETİM_İHTİYAÇ_RAPORU_BURAK_YENI1309[[#This Row],[SATINALMA]]*DST_123_ÜRETİM_İHTİYAÇ_RAPORU_BURAK_YENI1309[[#This Row],[BIRIM_FIYATLAR]])</f>
        <v>0</v>
      </c>
      <c r="N736">
        <v>44</v>
      </c>
      <c r="O736" t="s">
        <v>314</v>
      </c>
      <c r="P736">
        <v>242</v>
      </c>
      <c r="Q736" t="s">
        <v>178</v>
      </c>
    </row>
    <row r="737" spans="1:17" x14ac:dyDescent="0.25">
      <c r="A737" t="s">
        <v>1099</v>
      </c>
      <c r="B737" t="s">
        <v>1055</v>
      </c>
      <c r="C737" t="s">
        <v>175</v>
      </c>
      <c r="D737" t="s">
        <v>42</v>
      </c>
      <c r="E737" t="s">
        <v>43</v>
      </c>
      <c r="F737">
        <v>56</v>
      </c>
      <c r="G737" t="s">
        <v>176</v>
      </c>
      <c r="H737">
        <v>0</v>
      </c>
      <c r="I737">
        <v>2800</v>
      </c>
      <c r="J737" s="10">
        <v>2439</v>
      </c>
      <c r="K737" s="10">
        <f>SUMIFS(F:F,D:D,DST_123_ÜRETİM_İHTİYAÇ_RAPORU_BURAK_YENI1309[[#This Row],[ALT_KOD]])-(SUMIFS(H:H,D:D,DST_123_ÜRETİM_İHTİYAÇ_RAPORU_BURAK_YENI1309[[#This Row],[ALT_KOD]])+AVERAGEIFS(I:I,D:D,DST_123_ÜRETİM_İHTİYAÇ_RAPORU_BURAK_YENI1309[[#This Row],[ALT_KOD]])+AVERAGEIFS(L:L,D:D,DST_123_ÜRETİM_İHTİYAÇ_RAPORU_BURAK_YENI1309[[#This Row],[ALT_KOD]]))</f>
        <v>-1645</v>
      </c>
      <c r="L737">
        <v>0</v>
      </c>
      <c r="M737">
        <f>IF((DST_123_ÜRETİM_İHTİYAÇ_RAPORU_BURAK_YENI1309[[#This Row],[SATINALMA]]*DST_123_ÜRETİM_İHTİYAÇ_RAPORU_BURAK_YENI1309[[#This Row],[BIRIM_FIYATLAR]])&lt;1,VALUE("0"),DST_123_ÜRETİM_İHTİYAÇ_RAPORU_BURAK_YENI1309[[#This Row],[SATINALMA]]*DST_123_ÜRETİM_İHTİYAÇ_RAPORU_BURAK_YENI1309[[#This Row],[BIRIM_FIYATLAR]])</f>
        <v>0</v>
      </c>
      <c r="N737">
        <v>0.18</v>
      </c>
      <c r="O737" t="s">
        <v>240</v>
      </c>
      <c r="P737">
        <v>10.08</v>
      </c>
      <c r="Q737" t="s">
        <v>180</v>
      </c>
    </row>
    <row r="738" spans="1:17" x14ac:dyDescent="0.25">
      <c r="A738" t="s">
        <v>1099</v>
      </c>
      <c r="B738" t="s">
        <v>1055</v>
      </c>
      <c r="C738" t="s">
        <v>175</v>
      </c>
      <c r="D738" t="s">
        <v>651</v>
      </c>
      <c r="E738" t="s">
        <v>652</v>
      </c>
      <c r="F738">
        <v>25</v>
      </c>
      <c r="G738" t="s">
        <v>176</v>
      </c>
      <c r="H738">
        <v>0</v>
      </c>
      <c r="I738">
        <v>776</v>
      </c>
      <c r="J738" s="10">
        <v>367</v>
      </c>
      <c r="K738" s="10">
        <f>SUMIFS(F:F,D:D,DST_123_ÜRETİM_İHTİYAÇ_RAPORU_BURAK_YENI1309[[#This Row],[ALT_KOD]])-(SUMIFS(H:H,D:D,DST_123_ÜRETİM_İHTİYAÇ_RAPORU_BURAK_YENI1309[[#This Row],[ALT_KOD]])+AVERAGEIFS(I:I,D:D,DST_123_ÜRETİM_İHTİYAÇ_RAPORU_BURAK_YENI1309[[#This Row],[ALT_KOD]])+AVERAGEIFS(L:L,D:D,DST_123_ÜRETİM_İHTİYAÇ_RAPORU_BURAK_YENI1309[[#This Row],[ALT_KOD]]))</f>
        <v>-308</v>
      </c>
      <c r="L738">
        <v>0</v>
      </c>
      <c r="M738">
        <f>IF((DST_123_ÜRETİM_İHTİYAÇ_RAPORU_BURAK_YENI1309[[#This Row],[SATINALMA]]*DST_123_ÜRETİM_İHTİYAÇ_RAPORU_BURAK_YENI1309[[#This Row],[BIRIM_FIYATLAR]])&lt;1,VALUE("0"),DST_123_ÜRETİM_İHTİYAÇ_RAPORU_BURAK_YENI1309[[#This Row],[SATINALMA]]*DST_123_ÜRETİM_İHTİYAÇ_RAPORU_BURAK_YENI1309[[#This Row],[BIRIM_FIYATLAR]])</f>
        <v>0</v>
      </c>
      <c r="N738">
        <v>3.46</v>
      </c>
      <c r="O738" t="s">
        <v>882</v>
      </c>
      <c r="P738">
        <v>86.5</v>
      </c>
      <c r="Q738" t="s">
        <v>180</v>
      </c>
    </row>
    <row r="739" spans="1:17" x14ac:dyDescent="0.25">
      <c r="A739" t="s">
        <v>1196</v>
      </c>
      <c r="B739" t="s">
        <v>1197</v>
      </c>
      <c r="C739" t="s">
        <v>175</v>
      </c>
      <c r="D739" t="s">
        <v>384</v>
      </c>
      <c r="E739" t="s">
        <v>385</v>
      </c>
      <c r="F739">
        <v>37</v>
      </c>
      <c r="G739" t="s">
        <v>176</v>
      </c>
      <c r="H739">
        <v>0</v>
      </c>
      <c r="I739">
        <v>495</v>
      </c>
      <c r="J739" s="10">
        <v>146</v>
      </c>
      <c r="K739" s="10">
        <f>SUMIFS(F:F,D:D,DST_123_ÜRETİM_İHTİYAÇ_RAPORU_BURAK_YENI1309[[#This Row],[ALT_KOD]])-(SUMIFS(H:H,D:D,DST_123_ÜRETİM_İHTİYAÇ_RAPORU_BURAK_YENI1309[[#This Row],[ALT_KOD]])+AVERAGEIFS(I:I,D:D,DST_123_ÜRETİM_İHTİYAÇ_RAPORU_BURAK_YENI1309[[#This Row],[ALT_KOD]])+AVERAGEIFS(L:L,D:D,DST_123_ÜRETİM_İHTİYAÇ_RAPORU_BURAK_YENI1309[[#This Row],[ALT_KOD]]))</f>
        <v>-22</v>
      </c>
      <c r="L739">
        <v>0</v>
      </c>
      <c r="M739">
        <f>IF((DST_123_ÜRETİM_İHTİYAÇ_RAPORU_BURAK_YENI1309[[#This Row],[SATINALMA]]*DST_123_ÜRETİM_İHTİYAÇ_RAPORU_BURAK_YENI1309[[#This Row],[BIRIM_FIYATLAR]])&lt;1,VALUE("0"),DST_123_ÜRETİM_İHTİYAÇ_RAPORU_BURAK_YENI1309[[#This Row],[SATINALMA]]*DST_123_ÜRETİM_İHTİYAÇ_RAPORU_BURAK_YENI1309[[#This Row],[BIRIM_FIYATLAR]])</f>
        <v>0</v>
      </c>
      <c r="N739">
        <v>3.75</v>
      </c>
      <c r="O739" t="s">
        <v>628</v>
      </c>
      <c r="P739">
        <v>138.75</v>
      </c>
      <c r="Q739" t="s">
        <v>180</v>
      </c>
    </row>
    <row r="740" spans="1:17" x14ac:dyDescent="0.25">
      <c r="A740" t="s">
        <v>1148</v>
      </c>
      <c r="B740" t="s">
        <v>1056</v>
      </c>
      <c r="C740" t="s">
        <v>175</v>
      </c>
      <c r="D740" t="s">
        <v>42</v>
      </c>
      <c r="E740" t="s">
        <v>43</v>
      </c>
      <c r="F740">
        <v>83</v>
      </c>
      <c r="G740" t="s">
        <v>176</v>
      </c>
      <c r="H740">
        <v>0</v>
      </c>
      <c r="I740">
        <v>2800</v>
      </c>
      <c r="J740" s="10">
        <v>2439</v>
      </c>
      <c r="K740" s="10">
        <f>SUMIFS(F:F,D:D,DST_123_ÜRETİM_İHTİYAÇ_RAPORU_BURAK_YENI1309[[#This Row],[ALT_KOD]])-(SUMIFS(H:H,D:D,DST_123_ÜRETİM_İHTİYAÇ_RAPORU_BURAK_YENI1309[[#This Row],[ALT_KOD]])+AVERAGEIFS(I:I,D:D,DST_123_ÜRETİM_İHTİYAÇ_RAPORU_BURAK_YENI1309[[#This Row],[ALT_KOD]])+AVERAGEIFS(L:L,D:D,DST_123_ÜRETİM_İHTİYAÇ_RAPORU_BURAK_YENI1309[[#This Row],[ALT_KOD]]))</f>
        <v>-1645</v>
      </c>
      <c r="L740">
        <v>0</v>
      </c>
      <c r="M740">
        <f>IF((DST_123_ÜRETİM_İHTİYAÇ_RAPORU_BURAK_YENI1309[[#This Row],[SATINALMA]]*DST_123_ÜRETİM_İHTİYAÇ_RAPORU_BURAK_YENI1309[[#This Row],[BIRIM_FIYATLAR]])&lt;1,VALUE("0"),DST_123_ÜRETİM_İHTİYAÇ_RAPORU_BURAK_YENI1309[[#This Row],[SATINALMA]]*DST_123_ÜRETİM_İHTİYAÇ_RAPORU_BURAK_YENI1309[[#This Row],[BIRIM_FIYATLAR]])</f>
        <v>0</v>
      </c>
      <c r="N740">
        <v>0.18</v>
      </c>
      <c r="O740" t="s">
        <v>240</v>
      </c>
      <c r="P740">
        <v>14.94</v>
      </c>
      <c r="Q740" t="s">
        <v>180</v>
      </c>
    </row>
    <row r="741" spans="1:17" x14ac:dyDescent="0.25">
      <c r="A741" t="s">
        <v>1099</v>
      </c>
      <c r="B741" t="s">
        <v>1055</v>
      </c>
      <c r="C741" t="s">
        <v>175</v>
      </c>
      <c r="D741" t="s">
        <v>754</v>
      </c>
      <c r="E741" t="s">
        <v>755</v>
      </c>
      <c r="F741">
        <v>1</v>
      </c>
      <c r="G741" t="s">
        <v>176</v>
      </c>
      <c r="H741">
        <v>0</v>
      </c>
      <c r="I741">
        <v>0</v>
      </c>
      <c r="J741" s="10">
        <v>2</v>
      </c>
      <c r="K741" s="10">
        <f>SUMIFS(F:F,D:D,DST_123_ÜRETİM_İHTİYAÇ_RAPORU_BURAK_YENI1309[[#This Row],[ALT_KOD]])-(SUMIFS(H:H,D:D,DST_123_ÜRETİM_İHTİYAÇ_RAPORU_BURAK_YENI1309[[#This Row],[ALT_KOD]])+AVERAGEIFS(I:I,D:D,DST_123_ÜRETİM_İHTİYAÇ_RAPORU_BURAK_YENI1309[[#This Row],[ALT_KOD]])+AVERAGEIFS(L:L,D:D,DST_123_ÜRETİM_İHTİYAÇ_RAPORU_BURAK_YENI1309[[#This Row],[ALT_KOD]]))</f>
        <v>3</v>
      </c>
      <c r="L741">
        <v>0</v>
      </c>
      <c r="M741">
        <f>IF((DST_123_ÜRETİM_İHTİYAÇ_RAPORU_BURAK_YENI1309[[#This Row],[SATINALMA]]*DST_123_ÜRETİM_İHTİYAÇ_RAPORU_BURAK_YENI1309[[#This Row],[BIRIM_FIYATLAR]])&lt;1,VALUE("0"),DST_123_ÜRETİM_İHTİYAÇ_RAPORU_BURAK_YENI1309[[#This Row],[SATINALMA]]*DST_123_ÜRETİM_İHTİYAÇ_RAPORU_BURAK_YENI1309[[#This Row],[BIRIM_FIYATLAR]])</f>
        <v>97615.14</v>
      </c>
      <c r="N741">
        <v>32538.38</v>
      </c>
      <c r="O741" t="s">
        <v>215</v>
      </c>
      <c r="P741">
        <v>32538.38</v>
      </c>
      <c r="Q741" t="s">
        <v>177</v>
      </c>
    </row>
    <row r="742" spans="1:17" x14ac:dyDescent="0.25">
      <c r="A742" t="s">
        <v>1099</v>
      </c>
      <c r="B742" t="s">
        <v>1055</v>
      </c>
      <c r="C742" t="s">
        <v>175</v>
      </c>
      <c r="D742" t="s">
        <v>809</v>
      </c>
      <c r="E742" t="s">
        <v>810</v>
      </c>
      <c r="F742">
        <v>4</v>
      </c>
      <c r="G742" t="s">
        <v>176</v>
      </c>
      <c r="H742">
        <v>0</v>
      </c>
      <c r="I742">
        <v>200</v>
      </c>
      <c r="J742" s="10">
        <v>180</v>
      </c>
      <c r="K742" s="10">
        <f>SUMIFS(F:F,D:D,DST_123_ÜRETİM_İHTİYAÇ_RAPORU_BURAK_YENI1309[[#This Row],[ALT_KOD]])-(SUMIFS(H:H,D:D,DST_123_ÜRETİM_İHTİYAÇ_RAPORU_BURAK_YENI1309[[#This Row],[ALT_KOD]])+AVERAGEIFS(I:I,D:D,DST_123_ÜRETİM_İHTİYAÇ_RAPORU_BURAK_YENI1309[[#This Row],[ALT_KOD]])+AVERAGEIFS(L:L,D:D,DST_123_ÜRETİM_İHTİYAÇ_RAPORU_BURAK_YENI1309[[#This Row],[ALT_KOD]]))</f>
        <v>-184</v>
      </c>
      <c r="L742">
        <v>0</v>
      </c>
      <c r="M742">
        <f>IF((DST_123_ÜRETİM_İHTİYAÇ_RAPORU_BURAK_YENI1309[[#This Row],[SATINALMA]]*DST_123_ÜRETİM_İHTİYAÇ_RAPORU_BURAK_YENI1309[[#This Row],[BIRIM_FIYATLAR]])&lt;1,VALUE("0"),DST_123_ÜRETİM_İHTİYAÇ_RAPORU_BURAK_YENI1309[[#This Row],[SATINALMA]]*DST_123_ÜRETİM_İHTİYAÇ_RAPORU_BURAK_YENI1309[[#This Row],[BIRIM_FIYATLAR]])</f>
        <v>0</v>
      </c>
      <c r="N742">
        <v>5.04</v>
      </c>
      <c r="O742" t="s">
        <v>882</v>
      </c>
      <c r="P742">
        <v>20.16</v>
      </c>
      <c r="Q742" t="s">
        <v>178</v>
      </c>
    </row>
    <row r="743" spans="1:17" x14ac:dyDescent="0.25">
      <c r="A743" t="s">
        <v>1099</v>
      </c>
      <c r="B743" t="s">
        <v>1055</v>
      </c>
      <c r="C743" t="s">
        <v>175</v>
      </c>
      <c r="D743" t="s">
        <v>88</v>
      </c>
      <c r="E743" t="s">
        <v>89</v>
      </c>
      <c r="F743">
        <v>5.3</v>
      </c>
      <c r="G743" t="s">
        <v>179</v>
      </c>
      <c r="H743">
        <v>0</v>
      </c>
      <c r="I743">
        <v>125</v>
      </c>
      <c r="J743" s="10">
        <v>37.499999999999908</v>
      </c>
      <c r="K743" s="10">
        <f>SUMIFS(F:F,D:D,DST_123_ÜRETİM_İHTİYAÇ_RAPORU_BURAK_YENI1309[[#This Row],[ALT_KOD]])-(SUMIFS(H:H,D:D,DST_123_ÜRETİM_İHTİYAÇ_RAPORU_BURAK_YENI1309[[#This Row],[ALT_KOD]])+AVERAGEIFS(I:I,D:D,DST_123_ÜRETİM_İHTİYAÇ_RAPORU_BURAK_YENI1309[[#This Row],[ALT_KOD]])+AVERAGEIFS(L:L,D:D,DST_123_ÜRETİM_İHTİYAÇ_RAPORU_BURAK_YENI1309[[#This Row],[ALT_KOD]]))</f>
        <v>-44.100000000000009</v>
      </c>
      <c r="L743">
        <v>0</v>
      </c>
      <c r="M743">
        <f>IF((DST_123_ÜRETİM_İHTİYAÇ_RAPORU_BURAK_YENI1309[[#This Row],[SATINALMA]]*DST_123_ÜRETİM_İHTİYAÇ_RAPORU_BURAK_YENI1309[[#This Row],[BIRIM_FIYATLAR]])&lt;1,VALUE("0"),DST_123_ÜRETİM_İHTİYAÇ_RAPORU_BURAK_YENI1309[[#This Row],[SATINALMA]]*DST_123_ÜRETİM_İHTİYAÇ_RAPORU_BURAK_YENI1309[[#This Row],[BIRIM_FIYATLAR]])</f>
        <v>0</v>
      </c>
      <c r="N743">
        <v>44</v>
      </c>
      <c r="O743" t="s">
        <v>314</v>
      </c>
      <c r="P743">
        <v>233.2</v>
      </c>
      <c r="Q743" t="s">
        <v>178</v>
      </c>
    </row>
    <row r="744" spans="1:17" x14ac:dyDescent="0.25">
      <c r="A744" t="s">
        <v>1098</v>
      </c>
      <c r="B744" t="s">
        <v>1096</v>
      </c>
      <c r="C744" t="s">
        <v>175</v>
      </c>
      <c r="D744" t="s">
        <v>88</v>
      </c>
      <c r="E744" t="s">
        <v>89</v>
      </c>
      <c r="F744">
        <v>5.5</v>
      </c>
      <c r="G744" t="s">
        <v>179</v>
      </c>
      <c r="H744">
        <v>0</v>
      </c>
      <c r="I744">
        <v>125</v>
      </c>
      <c r="J744" s="10">
        <v>37.499999999999908</v>
      </c>
      <c r="K744" s="10">
        <f>SUMIFS(F:F,D:D,DST_123_ÜRETİM_İHTİYAÇ_RAPORU_BURAK_YENI1309[[#This Row],[ALT_KOD]])-(SUMIFS(H:H,D:D,DST_123_ÜRETİM_İHTİYAÇ_RAPORU_BURAK_YENI1309[[#This Row],[ALT_KOD]])+AVERAGEIFS(I:I,D:D,DST_123_ÜRETİM_İHTİYAÇ_RAPORU_BURAK_YENI1309[[#This Row],[ALT_KOD]])+AVERAGEIFS(L:L,D:D,DST_123_ÜRETİM_İHTİYAÇ_RAPORU_BURAK_YENI1309[[#This Row],[ALT_KOD]]))</f>
        <v>-44.100000000000009</v>
      </c>
      <c r="L744">
        <v>0</v>
      </c>
      <c r="M744">
        <f>IF((DST_123_ÜRETİM_İHTİYAÇ_RAPORU_BURAK_YENI1309[[#This Row],[SATINALMA]]*DST_123_ÜRETİM_İHTİYAÇ_RAPORU_BURAK_YENI1309[[#This Row],[BIRIM_FIYATLAR]])&lt;1,VALUE("0"),DST_123_ÜRETİM_İHTİYAÇ_RAPORU_BURAK_YENI1309[[#This Row],[SATINALMA]]*DST_123_ÜRETİM_İHTİYAÇ_RAPORU_BURAK_YENI1309[[#This Row],[BIRIM_FIYATLAR]])</f>
        <v>0</v>
      </c>
      <c r="N744">
        <v>44</v>
      </c>
      <c r="O744" t="s">
        <v>314</v>
      </c>
      <c r="P744">
        <v>242</v>
      </c>
      <c r="Q744" t="s">
        <v>178</v>
      </c>
    </row>
    <row r="745" spans="1:17" x14ac:dyDescent="0.25">
      <c r="A745" t="s">
        <v>1098</v>
      </c>
      <c r="B745" t="s">
        <v>1096</v>
      </c>
      <c r="C745" t="s">
        <v>175</v>
      </c>
      <c r="D745" t="s">
        <v>90</v>
      </c>
      <c r="E745" t="s">
        <v>91</v>
      </c>
      <c r="F745">
        <v>1</v>
      </c>
      <c r="G745" t="s">
        <v>176</v>
      </c>
      <c r="H745">
        <v>0</v>
      </c>
      <c r="I745">
        <v>4</v>
      </c>
      <c r="J745" s="10">
        <v>12</v>
      </c>
      <c r="K745" s="10">
        <f>SUMIFS(F:F,D:D,DST_123_ÜRETİM_İHTİYAÇ_RAPORU_BURAK_YENI1309[[#This Row],[ALT_KOD]])-(SUMIFS(H:H,D:D,DST_123_ÜRETİM_İHTİYAÇ_RAPORU_BURAK_YENI1309[[#This Row],[ALT_KOD]])+AVERAGEIFS(I:I,D:D,DST_123_ÜRETİM_İHTİYAÇ_RAPORU_BURAK_YENI1309[[#This Row],[ALT_KOD]])+AVERAGEIFS(L:L,D:D,DST_123_ÜRETİM_İHTİYAÇ_RAPORU_BURAK_YENI1309[[#This Row],[ALT_KOD]]))</f>
        <v>7</v>
      </c>
      <c r="L745">
        <v>0</v>
      </c>
      <c r="M745">
        <f>IF((DST_123_ÜRETİM_İHTİYAÇ_RAPORU_BURAK_YENI1309[[#This Row],[SATINALMA]]*DST_123_ÜRETİM_İHTİYAÇ_RAPORU_BURAK_YENI1309[[#This Row],[BIRIM_FIYATLAR]])&lt;1,VALUE("0"),DST_123_ÜRETİM_İHTİYAÇ_RAPORU_BURAK_YENI1309[[#This Row],[SATINALMA]]*DST_123_ÜRETİM_İHTİYAÇ_RAPORU_BURAK_YENI1309[[#This Row],[BIRIM_FIYATLAR]])</f>
        <v>12435.01</v>
      </c>
      <c r="N745">
        <v>1776.43</v>
      </c>
      <c r="O745" t="s">
        <v>634</v>
      </c>
      <c r="P745">
        <v>1776.43</v>
      </c>
      <c r="Q745" t="s">
        <v>178</v>
      </c>
    </row>
    <row r="746" spans="1:17" x14ac:dyDescent="0.25">
      <c r="A746" t="s">
        <v>1057</v>
      </c>
      <c r="B746" t="s">
        <v>1058</v>
      </c>
      <c r="C746" t="s">
        <v>175</v>
      </c>
      <c r="D746" t="s">
        <v>355</v>
      </c>
      <c r="E746" t="s">
        <v>356</v>
      </c>
      <c r="F746">
        <v>16</v>
      </c>
      <c r="G746" t="s">
        <v>176</v>
      </c>
      <c r="H746">
        <v>0</v>
      </c>
      <c r="I746">
        <v>4822</v>
      </c>
      <c r="J746" s="10">
        <v>811</v>
      </c>
      <c r="K746" s="10">
        <f>SUMIFS(F:F,D:D,DST_123_ÜRETİM_İHTİYAÇ_RAPORU_BURAK_YENI1309[[#This Row],[ALT_KOD]])-(SUMIFS(H:H,D:D,DST_123_ÜRETİM_İHTİYAÇ_RAPORU_BURAK_YENI1309[[#This Row],[ALT_KOD]])+AVERAGEIFS(I:I,D:D,DST_123_ÜRETİM_İHTİYAÇ_RAPORU_BURAK_YENI1309[[#This Row],[ALT_KOD]])+AVERAGEIFS(L:L,D:D,DST_123_ÜRETİM_İHTİYAÇ_RAPORU_BURAK_YENI1309[[#This Row],[ALT_KOD]]))</f>
        <v>-4638</v>
      </c>
      <c r="L746">
        <v>0</v>
      </c>
      <c r="M746">
        <f>IF((DST_123_ÜRETİM_İHTİYAÇ_RAPORU_BURAK_YENI1309[[#This Row],[SATINALMA]]*DST_123_ÜRETİM_İHTİYAÇ_RAPORU_BURAK_YENI1309[[#This Row],[BIRIM_FIYATLAR]])&lt;1,VALUE("0"),DST_123_ÜRETİM_İHTİYAÇ_RAPORU_BURAK_YENI1309[[#This Row],[SATINALMA]]*DST_123_ÜRETİM_İHTİYAÇ_RAPORU_BURAK_YENI1309[[#This Row],[BIRIM_FIYATLAR]])</f>
        <v>0</v>
      </c>
      <c r="N746">
        <v>0.3</v>
      </c>
      <c r="O746" t="s">
        <v>240</v>
      </c>
      <c r="P746">
        <v>4.8</v>
      </c>
      <c r="Q746" t="s">
        <v>180</v>
      </c>
    </row>
    <row r="747" spans="1:17" x14ac:dyDescent="0.25">
      <c r="A747" t="s">
        <v>1101</v>
      </c>
      <c r="B747" t="s">
        <v>1102</v>
      </c>
      <c r="C747" t="s">
        <v>175</v>
      </c>
      <c r="D747" t="s">
        <v>651</v>
      </c>
      <c r="E747" t="s">
        <v>652</v>
      </c>
      <c r="F747">
        <v>31</v>
      </c>
      <c r="G747" t="s">
        <v>176</v>
      </c>
      <c r="H747">
        <v>0</v>
      </c>
      <c r="I747">
        <v>776</v>
      </c>
      <c r="J747" s="10">
        <v>367</v>
      </c>
      <c r="K747" s="10">
        <f>SUMIFS(F:F,D:D,DST_123_ÜRETİM_İHTİYAÇ_RAPORU_BURAK_YENI1309[[#This Row],[ALT_KOD]])-(SUMIFS(H:H,D:D,DST_123_ÜRETİM_İHTİYAÇ_RAPORU_BURAK_YENI1309[[#This Row],[ALT_KOD]])+AVERAGEIFS(I:I,D:D,DST_123_ÜRETİM_İHTİYAÇ_RAPORU_BURAK_YENI1309[[#This Row],[ALT_KOD]])+AVERAGEIFS(L:L,D:D,DST_123_ÜRETİM_İHTİYAÇ_RAPORU_BURAK_YENI1309[[#This Row],[ALT_KOD]]))</f>
        <v>-308</v>
      </c>
      <c r="L747">
        <v>0</v>
      </c>
      <c r="M747">
        <f>IF((DST_123_ÜRETİM_İHTİYAÇ_RAPORU_BURAK_YENI1309[[#This Row],[SATINALMA]]*DST_123_ÜRETİM_İHTİYAÇ_RAPORU_BURAK_YENI1309[[#This Row],[BIRIM_FIYATLAR]])&lt;1,VALUE("0"),DST_123_ÜRETİM_İHTİYAÇ_RAPORU_BURAK_YENI1309[[#This Row],[SATINALMA]]*DST_123_ÜRETİM_İHTİYAÇ_RAPORU_BURAK_YENI1309[[#This Row],[BIRIM_FIYATLAR]])</f>
        <v>0</v>
      </c>
      <c r="N747">
        <v>3.46</v>
      </c>
      <c r="O747" t="s">
        <v>882</v>
      </c>
      <c r="P747">
        <v>107.26</v>
      </c>
      <c r="Q747" t="s">
        <v>180</v>
      </c>
    </row>
    <row r="748" spans="1:17" x14ac:dyDescent="0.25">
      <c r="A748" t="s">
        <v>1060</v>
      </c>
      <c r="B748" t="s">
        <v>1061</v>
      </c>
      <c r="C748" t="s">
        <v>175</v>
      </c>
      <c r="D748" t="s">
        <v>384</v>
      </c>
      <c r="E748" t="s">
        <v>385</v>
      </c>
      <c r="F748">
        <v>37</v>
      </c>
      <c r="G748" t="s">
        <v>176</v>
      </c>
      <c r="H748">
        <v>0</v>
      </c>
      <c r="I748">
        <v>495</v>
      </c>
      <c r="J748" s="10">
        <v>146</v>
      </c>
      <c r="K748" s="10">
        <f>SUMIFS(F:F,D:D,DST_123_ÜRETİM_İHTİYAÇ_RAPORU_BURAK_YENI1309[[#This Row],[ALT_KOD]])-(SUMIFS(H:H,D:D,DST_123_ÜRETİM_İHTİYAÇ_RAPORU_BURAK_YENI1309[[#This Row],[ALT_KOD]])+AVERAGEIFS(I:I,D:D,DST_123_ÜRETİM_İHTİYAÇ_RAPORU_BURAK_YENI1309[[#This Row],[ALT_KOD]])+AVERAGEIFS(L:L,D:D,DST_123_ÜRETİM_İHTİYAÇ_RAPORU_BURAK_YENI1309[[#This Row],[ALT_KOD]]))</f>
        <v>-22</v>
      </c>
      <c r="L748">
        <v>0</v>
      </c>
      <c r="M748">
        <f>IF((DST_123_ÜRETİM_İHTİYAÇ_RAPORU_BURAK_YENI1309[[#This Row],[SATINALMA]]*DST_123_ÜRETİM_İHTİYAÇ_RAPORU_BURAK_YENI1309[[#This Row],[BIRIM_FIYATLAR]])&lt;1,VALUE("0"),DST_123_ÜRETİM_İHTİYAÇ_RAPORU_BURAK_YENI1309[[#This Row],[SATINALMA]]*DST_123_ÜRETİM_İHTİYAÇ_RAPORU_BURAK_YENI1309[[#This Row],[BIRIM_FIYATLAR]])</f>
        <v>0</v>
      </c>
      <c r="N748">
        <v>3.75</v>
      </c>
      <c r="O748" t="s">
        <v>628</v>
      </c>
      <c r="P748">
        <v>138.75</v>
      </c>
      <c r="Q748" t="s">
        <v>180</v>
      </c>
    </row>
    <row r="749" spans="1:17" x14ac:dyDescent="0.25">
      <c r="A749" t="s">
        <v>1057</v>
      </c>
      <c r="B749" t="s">
        <v>1058</v>
      </c>
      <c r="C749" t="s">
        <v>175</v>
      </c>
      <c r="D749" t="s">
        <v>394</v>
      </c>
      <c r="E749" t="s">
        <v>395</v>
      </c>
      <c r="F749">
        <v>0.1</v>
      </c>
      <c r="G749" t="s">
        <v>176</v>
      </c>
      <c r="H749">
        <v>0</v>
      </c>
      <c r="I749">
        <v>6</v>
      </c>
      <c r="J749" s="10">
        <v>14.000000000000005</v>
      </c>
      <c r="K749" s="10">
        <f>SUMIFS(F:F,D:D,DST_123_ÜRETİM_İHTİYAÇ_RAPORU_BURAK_YENI1309[[#This Row],[ALT_KOD]])-(SUMIFS(H:H,D:D,DST_123_ÜRETİM_İHTİYAÇ_RAPORU_BURAK_YENI1309[[#This Row],[ALT_KOD]])+AVERAGEIFS(I:I,D:D,DST_123_ÜRETİM_İHTİYAÇ_RAPORU_BURAK_YENI1309[[#This Row],[ALT_KOD]])+AVERAGEIFS(L:L,D:D,DST_123_ÜRETİM_İHTİYAÇ_RAPORU_BURAK_YENI1309[[#This Row],[ALT_KOD]]))</f>
        <v>28.1</v>
      </c>
      <c r="L749">
        <v>0</v>
      </c>
      <c r="M749">
        <f>IF((DST_123_ÜRETİM_İHTİYAÇ_RAPORU_BURAK_YENI1309[[#This Row],[SATINALMA]]*DST_123_ÜRETİM_İHTİYAÇ_RAPORU_BURAK_YENI1309[[#This Row],[BIRIM_FIYATLAR]])&lt;1,VALUE("0"),DST_123_ÜRETİM_İHTİYAÇ_RAPORU_BURAK_YENI1309[[#This Row],[SATINALMA]]*DST_123_ÜRETİM_İHTİYAÇ_RAPORU_BURAK_YENI1309[[#This Row],[BIRIM_FIYATLAR]])</f>
        <v>4097.8230000000003</v>
      </c>
      <c r="N749">
        <v>145.83000000000001</v>
      </c>
      <c r="O749" t="s">
        <v>628</v>
      </c>
      <c r="P749">
        <v>14.583000000000002</v>
      </c>
      <c r="Q749" t="s">
        <v>183</v>
      </c>
    </row>
    <row r="750" spans="1:17" x14ac:dyDescent="0.25">
      <c r="A750" t="s">
        <v>1100</v>
      </c>
      <c r="B750" t="s">
        <v>1058</v>
      </c>
      <c r="C750" t="s">
        <v>175</v>
      </c>
      <c r="D750" t="s">
        <v>394</v>
      </c>
      <c r="E750" t="s">
        <v>395</v>
      </c>
      <c r="F750">
        <v>0.1</v>
      </c>
      <c r="G750" t="s">
        <v>176</v>
      </c>
      <c r="H750">
        <v>0</v>
      </c>
      <c r="I750">
        <v>6</v>
      </c>
      <c r="J750" s="10">
        <v>14.000000000000005</v>
      </c>
      <c r="K750" s="10">
        <f>SUMIFS(F:F,D:D,DST_123_ÜRETİM_İHTİYAÇ_RAPORU_BURAK_YENI1309[[#This Row],[ALT_KOD]])-(SUMIFS(H:H,D:D,DST_123_ÜRETİM_İHTİYAÇ_RAPORU_BURAK_YENI1309[[#This Row],[ALT_KOD]])+AVERAGEIFS(I:I,D:D,DST_123_ÜRETİM_İHTİYAÇ_RAPORU_BURAK_YENI1309[[#This Row],[ALT_KOD]])+AVERAGEIFS(L:L,D:D,DST_123_ÜRETİM_İHTİYAÇ_RAPORU_BURAK_YENI1309[[#This Row],[ALT_KOD]]))</f>
        <v>28.1</v>
      </c>
      <c r="L750">
        <v>0</v>
      </c>
      <c r="M750">
        <f>IF((DST_123_ÜRETİM_İHTİYAÇ_RAPORU_BURAK_YENI1309[[#This Row],[SATINALMA]]*DST_123_ÜRETİM_İHTİYAÇ_RAPORU_BURAK_YENI1309[[#This Row],[BIRIM_FIYATLAR]])&lt;1,VALUE("0"),DST_123_ÜRETİM_İHTİYAÇ_RAPORU_BURAK_YENI1309[[#This Row],[SATINALMA]]*DST_123_ÜRETİM_İHTİYAÇ_RAPORU_BURAK_YENI1309[[#This Row],[BIRIM_FIYATLAR]])</f>
        <v>4097.8230000000003</v>
      </c>
      <c r="N750">
        <v>145.83000000000001</v>
      </c>
      <c r="O750" t="s">
        <v>628</v>
      </c>
      <c r="P750">
        <v>14.583000000000002</v>
      </c>
      <c r="Q750" t="s">
        <v>183</v>
      </c>
    </row>
    <row r="751" spans="1:17" x14ac:dyDescent="0.25">
      <c r="A751" t="s">
        <v>1148</v>
      </c>
      <c r="B751" t="s">
        <v>1056</v>
      </c>
      <c r="C751" t="s">
        <v>175</v>
      </c>
      <c r="D751" t="s">
        <v>394</v>
      </c>
      <c r="E751" t="s">
        <v>395</v>
      </c>
      <c r="F751">
        <v>1</v>
      </c>
      <c r="G751" t="s">
        <v>176</v>
      </c>
      <c r="H751">
        <v>0</v>
      </c>
      <c r="I751">
        <v>6</v>
      </c>
      <c r="J751" s="10">
        <v>14.000000000000005</v>
      </c>
      <c r="K751" s="10">
        <f>SUMIFS(F:F,D:D,DST_123_ÜRETİM_İHTİYAÇ_RAPORU_BURAK_YENI1309[[#This Row],[ALT_KOD]])-(SUMIFS(H:H,D:D,DST_123_ÜRETİM_İHTİYAÇ_RAPORU_BURAK_YENI1309[[#This Row],[ALT_KOD]])+AVERAGEIFS(I:I,D:D,DST_123_ÜRETİM_İHTİYAÇ_RAPORU_BURAK_YENI1309[[#This Row],[ALT_KOD]])+AVERAGEIFS(L:L,D:D,DST_123_ÜRETİM_İHTİYAÇ_RAPORU_BURAK_YENI1309[[#This Row],[ALT_KOD]]))</f>
        <v>28.1</v>
      </c>
      <c r="L751">
        <v>0</v>
      </c>
      <c r="M751">
        <f>IF((DST_123_ÜRETİM_İHTİYAÇ_RAPORU_BURAK_YENI1309[[#This Row],[SATINALMA]]*DST_123_ÜRETİM_İHTİYAÇ_RAPORU_BURAK_YENI1309[[#This Row],[BIRIM_FIYATLAR]])&lt;1,VALUE("0"),DST_123_ÜRETİM_İHTİYAÇ_RAPORU_BURAK_YENI1309[[#This Row],[SATINALMA]]*DST_123_ÜRETİM_İHTİYAÇ_RAPORU_BURAK_YENI1309[[#This Row],[BIRIM_FIYATLAR]])</f>
        <v>4097.8230000000003</v>
      </c>
      <c r="N751">
        <v>145.83000000000001</v>
      </c>
      <c r="O751" t="s">
        <v>628</v>
      </c>
      <c r="P751">
        <v>145.83000000000001</v>
      </c>
      <c r="Q751" t="s">
        <v>183</v>
      </c>
    </row>
    <row r="752" spans="1:17" x14ac:dyDescent="0.25">
      <c r="A752" t="s">
        <v>1101</v>
      </c>
      <c r="B752" t="s">
        <v>1102</v>
      </c>
      <c r="C752" t="s">
        <v>175</v>
      </c>
      <c r="D752" t="s">
        <v>809</v>
      </c>
      <c r="E752" t="s">
        <v>810</v>
      </c>
      <c r="F752">
        <v>4</v>
      </c>
      <c r="G752" t="s">
        <v>176</v>
      </c>
      <c r="H752">
        <v>0</v>
      </c>
      <c r="I752">
        <v>200</v>
      </c>
      <c r="J752" s="10">
        <v>180</v>
      </c>
      <c r="K752" s="10">
        <f>SUMIFS(F:F,D:D,DST_123_ÜRETİM_İHTİYAÇ_RAPORU_BURAK_YENI1309[[#This Row],[ALT_KOD]])-(SUMIFS(H:H,D:D,DST_123_ÜRETİM_İHTİYAÇ_RAPORU_BURAK_YENI1309[[#This Row],[ALT_KOD]])+AVERAGEIFS(I:I,D:D,DST_123_ÜRETİM_İHTİYAÇ_RAPORU_BURAK_YENI1309[[#This Row],[ALT_KOD]])+AVERAGEIFS(L:L,D:D,DST_123_ÜRETİM_İHTİYAÇ_RAPORU_BURAK_YENI1309[[#This Row],[ALT_KOD]]))</f>
        <v>-184</v>
      </c>
      <c r="L752">
        <v>0</v>
      </c>
      <c r="M752">
        <f>IF((DST_123_ÜRETİM_İHTİYAÇ_RAPORU_BURAK_YENI1309[[#This Row],[SATINALMA]]*DST_123_ÜRETİM_İHTİYAÇ_RAPORU_BURAK_YENI1309[[#This Row],[BIRIM_FIYATLAR]])&lt;1,VALUE("0"),DST_123_ÜRETİM_İHTİYAÇ_RAPORU_BURAK_YENI1309[[#This Row],[SATINALMA]]*DST_123_ÜRETİM_İHTİYAÇ_RAPORU_BURAK_YENI1309[[#This Row],[BIRIM_FIYATLAR]])</f>
        <v>0</v>
      </c>
      <c r="N752">
        <v>5.04</v>
      </c>
      <c r="O752" t="s">
        <v>882</v>
      </c>
      <c r="P752">
        <v>20.16</v>
      </c>
      <c r="Q752" t="s">
        <v>178</v>
      </c>
    </row>
    <row r="753" spans="1:17" x14ac:dyDescent="0.25">
      <c r="A753" t="s">
        <v>1101</v>
      </c>
      <c r="B753" t="s">
        <v>1102</v>
      </c>
      <c r="C753" t="s">
        <v>175</v>
      </c>
      <c r="D753" t="s">
        <v>88</v>
      </c>
      <c r="E753" t="s">
        <v>89</v>
      </c>
      <c r="F753">
        <v>6.3</v>
      </c>
      <c r="G753" t="s">
        <v>179</v>
      </c>
      <c r="H753">
        <v>0</v>
      </c>
      <c r="I753">
        <v>125</v>
      </c>
      <c r="J753" s="10">
        <v>37.499999999999908</v>
      </c>
      <c r="K753" s="10">
        <f>SUMIFS(F:F,D:D,DST_123_ÜRETİM_İHTİYAÇ_RAPORU_BURAK_YENI1309[[#This Row],[ALT_KOD]])-(SUMIFS(H:H,D:D,DST_123_ÜRETİM_İHTİYAÇ_RAPORU_BURAK_YENI1309[[#This Row],[ALT_KOD]])+AVERAGEIFS(I:I,D:D,DST_123_ÜRETİM_İHTİYAÇ_RAPORU_BURAK_YENI1309[[#This Row],[ALT_KOD]])+AVERAGEIFS(L:L,D:D,DST_123_ÜRETİM_İHTİYAÇ_RAPORU_BURAK_YENI1309[[#This Row],[ALT_KOD]]))</f>
        <v>-44.100000000000009</v>
      </c>
      <c r="L753">
        <v>0</v>
      </c>
      <c r="M753">
        <f>IF((DST_123_ÜRETİM_İHTİYAÇ_RAPORU_BURAK_YENI1309[[#This Row],[SATINALMA]]*DST_123_ÜRETİM_İHTİYAÇ_RAPORU_BURAK_YENI1309[[#This Row],[BIRIM_FIYATLAR]])&lt;1,VALUE("0"),DST_123_ÜRETİM_İHTİYAÇ_RAPORU_BURAK_YENI1309[[#This Row],[SATINALMA]]*DST_123_ÜRETİM_İHTİYAÇ_RAPORU_BURAK_YENI1309[[#This Row],[BIRIM_FIYATLAR]])</f>
        <v>0</v>
      </c>
      <c r="N753">
        <v>44</v>
      </c>
      <c r="O753" t="s">
        <v>314</v>
      </c>
      <c r="P753">
        <v>277.2</v>
      </c>
      <c r="Q753" t="s">
        <v>178</v>
      </c>
    </row>
    <row r="754" spans="1:17" x14ac:dyDescent="0.25">
      <c r="A754" t="s">
        <v>1101</v>
      </c>
      <c r="B754" t="s">
        <v>1102</v>
      </c>
      <c r="C754" t="s">
        <v>175</v>
      </c>
      <c r="D754" t="s">
        <v>331</v>
      </c>
      <c r="E754" t="s">
        <v>332</v>
      </c>
      <c r="F754">
        <v>2</v>
      </c>
      <c r="G754" t="s">
        <v>176</v>
      </c>
      <c r="H754">
        <v>0</v>
      </c>
      <c r="I754">
        <v>809</v>
      </c>
      <c r="J754" s="10">
        <v>0</v>
      </c>
      <c r="K754" s="10">
        <f>SUMIFS(F:F,D:D,DST_123_ÜRETİM_İHTİYAÇ_RAPORU_BURAK_YENI1309[[#This Row],[ALT_KOD]])-(SUMIFS(H:H,D:D,DST_123_ÜRETİM_İHTİYAÇ_RAPORU_BURAK_YENI1309[[#This Row],[ALT_KOD]])+AVERAGEIFS(I:I,D:D,DST_123_ÜRETİM_İHTİYAÇ_RAPORU_BURAK_YENI1309[[#This Row],[ALT_KOD]])+AVERAGEIFS(L:L,D:D,DST_123_ÜRETİM_İHTİYAÇ_RAPORU_BURAK_YENI1309[[#This Row],[ALT_KOD]]))</f>
        <v>-768</v>
      </c>
      <c r="L754">
        <v>0</v>
      </c>
      <c r="M754">
        <f>IF((DST_123_ÜRETİM_İHTİYAÇ_RAPORU_BURAK_YENI1309[[#This Row],[SATINALMA]]*DST_123_ÜRETİM_İHTİYAÇ_RAPORU_BURAK_YENI1309[[#This Row],[BIRIM_FIYATLAR]])&lt;1,VALUE("0"),DST_123_ÜRETİM_İHTİYAÇ_RAPORU_BURAK_YENI1309[[#This Row],[SATINALMA]]*DST_123_ÜRETİM_İHTİYAÇ_RAPORU_BURAK_YENI1309[[#This Row],[BIRIM_FIYATLAR]])</f>
        <v>0</v>
      </c>
      <c r="N754">
        <v>2.4</v>
      </c>
      <c r="O754" t="s">
        <v>240</v>
      </c>
      <c r="P754">
        <v>4.8</v>
      </c>
      <c r="Q754" t="s">
        <v>180</v>
      </c>
    </row>
    <row r="755" spans="1:17" x14ac:dyDescent="0.25">
      <c r="A755" t="s">
        <v>1099</v>
      </c>
      <c r="B755" t="s">
        <v>1055</v>
      </c>
      <c r="C755" t="s">
        <v>175</v>
      </c>
      <c r="D755" t="s">
        <v>331</v>
      </c>
      <c r="E755" t="s">
        <v>332</v>
      </c>
      <c r="F755">
        <v>1</v>
      </c>
      <c r="G755" t="s">
        <v>176</v>
      </c>
      <c r="H755">
        <v>0</v>
      </c>
      <c r="I755">
        <v>809</v>
      </c>
      <c r="J755" s="10">
        <v>0</v>
      </c>
      <c r="K755" s="10">
        <f>SUMIFS(F:F,D:D,DST_123_ÜRETİM_İHTİYAÇ_RAPORU_BURAK_YENI1309[[#This Row],[ALT_KOD]])-(SUMIFS(H:H,D:D,DST_123_ÜRETİM_İHTİYAÇ_RAPORU_BURAK_YENI1309[[#This Row],[ALT_KOD]])+AVERAGEIFS(I:I,D:D,DST_123_ÜRETİM_İHTİYAÇ_RAPORU_BURAK_YENI1309[[#This Row],[ALT_KOD]])+AVERAGEIFS(L:L,D:D,DST_123_ÜRETİM_İHTİYAÇ_RAPORU_BURAK_YENI1309[[#This Row],[ALT_KOD]]))</f>
        <v>-768</v>
      </c>
      <c r="L755">
        <v>0</v>
      </c>
      <c r="M755">
        <f>IF((DST_123_ÜRETİM_İHTİYAÇ_RAPORU_BURAK_YENI1309[[#This Row],[SATINALMA]]*DST_123_ÜRETİM_İHTİYAÇ_RAPORU_BURAK_YENI1309[[#This Row],[BIRIM_FIYATLAR]])&lt;1,VALUE("0"),DST_123_ÜRETİM_İHTİYAÇ_RAPORU_BURAK_YENI1309[[#This Row],[SATINALMA]]*DST_123_ÜRETİM_İHTİYAÇ_RAPORU_BURAK_YENI1309[[#This Row],[BIRIM_FIYATLAR]])</f>
        <v>0</v>
      </c>
      <c r="N755">
        <v>2.4</v>
      </c>
      <c r="O755" t="s">
        <v>240</v>
      </c>
      <c r="P755">
        <v>2.4</v>
      </c>
      <c r="Q755" t="s">
        <v>180</v>
      </c>
    </row>
    <row r="756" spans="1:17" x14ac:dyDescent="0.25">
      <c r="A756" t="s">
        <v>1147</v>
      </c>
      <c r="B756" t="s">
        <v>1145</v>
      </c>
      <c r="C756" t="s">
        <v>175</v>
      </c>
      <c r="D756" t="s">
        <v>384</v>
      </c>
      <c r="E756" t="s">
        <v>385</v>
      </c>
      <c r="F756">
        <v>37</v>
      </c>
      <c r="G756" t="s">
        <v>176</v>
      </c>
      <c r="H756">
        <v>0</v>
      </c>
      <c r="I756">
        <v>495</v>
      </c>
      <c r="J756" s="10">
        <v>146</v>
      </c>
      <c r="K756" s="10">
        <f>SUMIFS(F:F,D:D,DST_123_ÜRETİM_İHTİYAÇ_RAPORU_BURAK_YENI1309[[#This Row],[ALT_KOD]])-(SUMIFS(H:H,D:D,DST_123_ÜRETİM_İHTİYAÇ_RAPORU_BURAK_YENI1309[[#This Row],[ALT_KOD]])+AVERAGEIFS(I:I,D:D,DST_123_ÜRETİM_İHTİYAÇ_RAPORU_BURAK_YENI1309[[#This Row],[ALT_KOD]])+AVERAGEIFS(L:L,D:D,DST_123_ÜRETİM_İHTİYAÇ_RAPORU_BURAK_YENI1309[[#This Row],[ALT_KOD]]))</f>
        <v>-22</v>
      </c>
      <c r="L756">
        <v>0</v>
      </c>
      <c r="M756">
        <f>IF((DST_123_ÜRETİM_İHTİYAÇ_RAPORU_BURAK_YENI1309[[#This Row],[SATINALMA]]*DST_123_ÜRETİM_İHTİYAÇ_RAPORU_BURAK_YENI1309[[#This Row],[BIRIM_FIYATLAR]])&lt;1,VALUE("0"),DST_123_ÜRETİM_İHTİYAÇ_RAPORU_BURAK_YENI1309[[#This Row],[SATINALMA]]*DST_123_ÜRETİM_İHTİYAÇ_RAPORU_BURAK_YENI1309[[#This Row],[BIRIM_FIYATLAR]])</f>
        <v>0</v>
      </c>
      <c r="N756">
        <v>3.75</v>
      </c>
      <c r="O756" t="s">
        <v>628</v>
      </c>
      <c r="P756">
        <v>138.75</v>
      </c>
      <c r="Q756" t="s">
        <v>180</v>
      </c>
    </row>
    <row r="757" spans="1:17" x14ac:dyDescent="0.25">
      <c r="A757" t="s">
        <v>1100</v>
      </c>
      <c r="B757" t="s">
        <v>1058</v>
      </c>
      <c r="C757" t="s">
        <v>175</v>
      </c>
      <c r="D757" t="s">
        <v>384</v>
      </c>
      <c r="E757" t="s">
        <v>385</v>
      </c>
      <c r="F757">
        <v>7</v>
      </c>
      <c r="G757" t="s">
        <v>176</v>
      </c>
      <c r="H757">
        <v>0</v>
      </c>
      <c r="I757">
        <v>495</v>
      </c>
      <c r="J757" s="10">
        <v>146</v>
      </c>
      <c r="K757" s="10">
        <f>SUMIFS(F:F,D:D,DST_123_ÜRETİM_İHTİYAÇ_RAPORU_BURAK_YENI1309[[#This Row],[ALT_KOD]])-(SUMIFS(H:H,D:D,DST_123_ÜRETİM_İHTİYAÇ_RAPORU_BURAK_YENI1309[[#This Row],[ALT_KOD]])+AVERAGEIFS(I:I,D:D,DST_123_ÜRETİM_İHTİYAÇ_RAPORU_BURAK_YENI1309[[#This Row],[ALT_KOD]])+AVERAGEIFS(L:L,D:D,DST_123_ÜRETİM_İHTİYAÇ_RAPORU_BURAK_YENI1309[[#This Row],[ALT_KOD]]))</f>
        <v>-22</v>
      </c>
      <c r="L757">
        <v>0</v>
      </c>
      <c r="M757">
        <f>IF((DST_123_ÜRETİM_İHTİYAÇ_RAPORU_BURAK_YENI1309[[#This Row],[SATINALMA]]*DST_123_ÜRETİM_İHTİYAÇ_RAPORU_BURAK_YENI1309[[#This Row],[BIRIM_FIYATLAR]])&lt;1,VALUE("0"),DST_123_ÜRETİM_İHTİYAÇ_RAPORU_BURAK_YENI1309[[#This Row],[SATINALMA]]*DST_123_ÜRETİM_İHTİYAÇ_RAPORU_BURAK_YENI1309[[#This Row],[BIRIM_FIYATLAR]])</f>
        <v>0</v>
      </c>
      <c r="N757">
        <v>3.75</v>
      </c>
      <c r="O757" t="s">
        <v>628</v>
      </c>
      <c r="P757">
        <v>26.25</v>
      </c>
      <c r="Q757" t="s">
        <v>180</v>
      </c>
    </row>
    <row r="758" spans="1:17" x14ac:dyDescent="0.25">
      <c r="A758" t="s">
        <v>1148</v>
      </c>
      <c r="B758" t="s">
        <v>1056</v>
      </c>
      <c r="C758" t="s">
        <v>175</v>
      </c>
      <c r="D758" t="s">
        <v>384</v>
      </c>
      <c r="E758" t="s">
        <v>385</v>
      </c>
      <c r="F758">
        <v>21</v>
      </c>
      <c r="G758" t="s">
        <v>176</v>
      </c>
      <c r="H758">
        <v>0</v>
      </c>
      <c r="I758">
        <v>495</v>
      </c>
      <c r="J758" s="10">
        <v>146</v>
      </c>
      <c r="K758" s="10">
        <f>SUMIFS(F:F,D:D,DST_123_ÜRETİM_İHTİYAÇ_RAPORU_BURAK_YENI1309[[#This Row],[ALT_KOD]])-(SUMIFS(H:H,D:D,DST_123_ÜRETİM_İHTİYAÇ_RAPORU_BURAK_YENI1309[[#This Row],[ALT_KOD]])+AVERAGEIFS(I:I,D:D,DST_123_ÜRETİM_İHTİYAÇ_RAPORU_BURAK_YENI1309[[#This Row],[ALT_KOD]])+AVERAGEIFS(L:L,D:D,DST_123_ÜRETİM_İHTİYAÇ_RAPORU_BURAK_YENI1309[[#This Row],[ALT_KOD]]))</f>
        <v>-22</v>
      </c>
      <c r="L758">
        <v>0</v>
      </c>
      <c r="M758">
        <f>IF((DST_123_ÜRETİM_İHTİYAÇ_RAPORU_BURAK_YENI1309[[#This Row],[SATINALMA]]*DST_123_ÜRETİM_İHTİYAÇ_RAPORU_BURAK_YENI1309[[#This Row],[BIRIM_FIYATLAR]])&lt;1,VALUE("0"),DST_123_ÜRETİM_İHTİYAÇ_RAPORU_BURAK_YENI1309[[#This Row],[SATINALMA]]*DST_123_ÜRETİM_İHTİYAÇ_RAPORU_BURAK_YENI1309[[#This Row],[BIRIM_FIYATLAR]])</f>
        <v>0</v>
      </c>
      <c r="N758">
        <v>3.75</v>
      </c>
      <c r="O758" t="s">
        <v>628</v>
      </c>
      <c r="P758">
        <v>78.75</v>
      </c>
      <c r="Q758" t="s">
        <v>180</v>
      </c>
    </row>
    <row r="759" spans="1:17" x14ac:dyDescent="0.25">
      <c r="A759" t="s">
        <v>1060</v>
      </c>
      <c r="B759" t="s">
        <v>1061</v>
      </c>
      <c r="C759" t="s">
        <v>175</v>
      </c>
      <c r="D759" t="s">
        <v>394</v>
      </c>
      <c r="E759" t="s">
        <v>395</v>
      </c>
      <c r="F759">
        <v>3.1</v>
      </c>
      <c r="G759" t="s">
        <v>176</v>
      </c>
      <c r="H759">
        <v>0</v>
      </c>
      <c r="I759">
        <v>6</v>
      </c>
      <c r="J759" s="10">
        <v>14.000000000000005</v>
      </c>
      <c r="K759" s="10">
        <f>SUMIFS(F:F,D:D,DST_123_ÜRETİM_İHTİYAÇ_RAPORU_BURAK_YENI1309[[#This Row],[ALT_KOD]])-(SUMIFS(H:H,D:D,DST_123_ÜRETİM_İHTİYAÇ_RAPORU_BURAK_YENI1309[[#This Row],[ALT_KOD]])+AVERAGEIFS(I:I,D:D,DST_123_ÜRETİM_İHTİYAÇ_RAPORU_BURAK_YENI1309[[#This Row],[ALT_KOD]])+AVERAGEIFS(L:L,D:D,DST_123_ÜRETİM_İHTİYAÇ_RAPORU_BURAK_YENI1309[[#This Row],[ALT_KOD]]))</f>
        <v>28.1</v>
      </c>
      <c r="L759">
        <v>0</v>
      </c>
      <c r="M759">
        <f>IF((DST_123_ÜRETİM_İHTİYAÇ_RAPORU_BURAK_YENI1309[[#This Row],[SATINALMA]]*DST_123_ÜRETİM_İHTİYAÇ_RAPORU_BURAK_YENI1309[[#This Row],[BIRIM_FIYATLAR]])&lt;1,VALUE("0"),DST_123_ÜRETİM_İHTİYAÇ_RAPORU_BURAK_YENI1309[[#This Row],[SATINALMA]]*DST_123_ÜRETİM_İHTİYAÇ_RAPORU_BURAK_YENI1309[[#This Row],[BIRIM_FIYATLAR]])</f>
        <v>4097.8230000000003</v>
      </c>
      <c r="N759">
        <v>145.83000000000001</v>
      </c>
      <c r="O759" t="s">
        <v>628</v>
      </c>
      <c r="P759">
        <v>452.07300000000004</v>
      </c>
      <c r="Q759" t="s">
        <v>183</v>
      </c>
    </row>
    <row r="760" spans="1:17" x14ac:dyDescent="0.25">
      <c r="A760" t="s">
        <v>1147</v>
      </c>
      <c r="B760" t="s">
        <v>1145</v>
      </c>
      <c r="C760" t="s">
        <v>175</v>
      </c>
      <c r="D760" t="s">
        <v>90</v>
      </c>
      <c r="E760" t="s">
        <v>91</v>
      </c>
      <c r="F760">
        <v>1</v>
      </c>
      <c r="G760" t="s">
        <v>176</v>
      </c>
      <c r="H760">
        <v>0</v>
      </c>
      <c r="I760">
        <v>4</v>
      </c>
      <c r="J760" s="10">
        <v>12</v>
      </c>
      <c r="K760" s="10">
        <f>SUMIFS(F:F,D:D,DST_123_ÜRETİM_İHTİYAÇ_RAPORU_BURAK_YENI1309[[#This Row],[ALT_KOD]])-(SUMIFS(H:H,D:D,DST_123_ÜRETİM_İHTİYAÇ_RAPORU_BURAK_YENI1309[[#This Row],[ALT_KOD]])+AVERAGEIFS(I:I,D:D,DST_123_ÜRETİM_İHTİYAÇ_RAPORU_BURAK_YENI1309[[#This Row],[ALT_KOD]])+AVERAGEIFS(L:L,D:D,DST_123_ÜRETİM_İHTİYAÇ_RAPORU_BURAK_YENI1309[[#This Row],[ALT_KOD]]))</f>
        <v>7</v>
      </c>
      <c r="L760">
        <v>0</v>
      </c>
      <c r="M760">
        <f>IF((DST_123_ÜRETİM_İHTİYAÇ_RAPORU_BURAK_YENI1309[[#This Row],[SATINALMA]]*DST_123_ÜRETİM_İHTİYAÇ_RAPORU_BURAK_YENI1309[[#This Row],[BIRIM_FIYATLAR]])&lt;1,VALUE("0"),DST_123_ÜRETİM_İHTİYAÇ_RAPORU_BURAK_YENI1309[[#This Row],[SATINALMA]]*DST_123_ÜRETİM_İHTİYAÇ_RAPORU_BURAK_YENI1309[[#This Row],[BIRIM_FIYATLAR]])</f>
        <v>12435.01</v>
      </c>
      <c r="N760">
        <v>1776.43</v>
      </c>
      <c r="O760" t="s">
        <v>634</v>
      </c>
      <c r="P760">
        <v>1776.43</v>
      </c>
      <c r="Q760" t="s">
        <v>178</v>
      </c>
    </row>
    <row r="761" spans="1:17" x14ac:dyDescent="0.25">
      <c r="A761" t="s">
        <v>1148</v>
      </c>
      <c r="B761" t="s">
        <v>1056</v>
      </c>
      <c r="C761" t="s">
        <v>175</v>
      </c>
      <c r="D761" t="s">
        <v>90</v>
      </c>
      <c r="E761" t="s">
        <v>91</v>
      </c>
      <c r="F761">
        <v>1</v>
      </c>
      <c r="G761" t="s">
        <v>176</v>
      </c>
      <c r="H761">
        <v>0</v>
      </c>
      <c r="I761">
        <v>4</v>
      </c>
      <c r="J761" s="10">
        <v>12</v>
      </c>
      <c r="K761" s="10">
        <f>SUMIFS(F:F,D:D,DST_123_ÜRETİM_İHTİYAÇ_RAPORU_BURAK_YENI1309[[#This Row],[ALT_KOD]])-(SUMIFS(H:H,D:D,DST_123_ÜRETİM_İHTİYAÇ_RAPORU_BURAK_YENI1309[[#This Row],[ALT_KOD]])+AVERAGEIFS(I:I,D:D,DST_123_ÜRETİM_İHTİYAÇ_RAPORU_BURAK_YENI1309[[#This Row],[ALT_KOD]])+AVERAGEIFS(L:L,D:D,DST_123_ÜRETİM_İHTİYAÇ_RAPORU_BURAK_YENI1309[[#This Row],[ALT_KOD]]))</f>
        <v>7</v>
      </c>
      <c r="L761">
        <v>0</v>
      </c>
      <c r="M761">
        <f>IF((DST_123_ÜRETİM_İHTİYAÇ_RAPORU_BURAK_YENI1309[[#This Row],[SATINALMA]]*DST_123_ÜRETİM_İHTİYAÇ_RAPORU_BURAK_YENI1309[[#This Row],[BIRIM_FIYATLAR]])&lt;1,VALUE("0"),DST_123_ÜRETİM_İHTİYAÇ_RAPORU_BURAK_YENI1309[[#This Row],[SATINALMA]]*DST_123_ÜRETİM_İHTİYAÇ_RAPORU_BURAK_YENI1309[[#This Row],[BIRIM_FIYATLAR]])</f>
        <v>12435.01</v>
      </c>
      <c r="N761">
        <v>1776.43</v>
      </c>
      <c r="O761" t="s">
        <v>634</v>
      </c>
      <c r="P761">
        <v>1776.43</v>
      </c>
      <c r="Q761" t="s">
        <v>178</v>
      </c>
    </row>
    <row r="762" spans="1:17" x14ac:dyDescent="0.25">
      <c r="A762" t="s">
        <v>1060</v>
      </c>
      <c r="B762" t="s">
        <v>1061</v>
      </c>
      <c r="C762" t="s">
        <v>175</v>
      </c>
      <c r="D762" t="s">
        <v>331</v>
      </c>
      <c r="E762" t="s">
        <v>332</v>
      </c>
      <c r="F762">
        <v>2</v>
      </c>
      <c r="G762" t="s">
        <v>176</v>
      </c>
      <c r="H762">
        <v>0</v>
      </c>
      <c r="I762">
        <v>809</v>
      </c>
      <c r="J762" s="10">
        <v>0</v>
      </c>
      <c r="K762" s="10">
        <f>SUMIFS(F:F,D:D,DST_123_ÜRETİM_İHTİYAÇ_RAPORU_BURAK_YENI1309[[#This Row],[ALT_KOD]])-(SUMIFS(H:H,D:D,DST_123_ÜRETİM_İHTİYAÇ_RAPORU_BURAK_YENI1309[[#This Row],[ALT_KOD]])+AVERAGEIFS(I:I,D:D,DST_123_ÜRETİM_İHTİYAÇ_RAPORU_BURAK_YENI1309[[#This Row],[ALT_KOD]])+AVERAGEIFS(L:L,D:D,DST_123_ÜRETİM_İHTİYAÇ_RAPORU_BURAK_YENI1309[[#This Row],[ALT_KOD]]))</f>
        <v>-768</v>
      </c>
      <c r="L762">
        <v>0</v>
      </c>
      <c r="M762">
        <f>IF((DST_123_ÜRETİM_İHTİYAÇ_RAPORU_BURAK_YENI1309[[#This Row],[SATINALMA]]*DST_123_ÜRETİM_İHTİYAÇ_RAPORU_BURAK_YENI1309[[#This Row],[BIRIM_FIYATLAR]])&lt;1,VALUE("0"),DST_123_ÜRETİM_İHTİYAÇ_RAPORU_BURAK_YENI1309[[#This Row],[SATINALMA]]*DST_123_ÜRETİM_İHTİYAÇ_RAPORU_BURAK_YENI1309[[#This Row],[BIRIM_FIYATLAR]])</f>
        <v>0</v>
      </c>
      <c r="N762">
        <v>2.4</v>
      </c>
      <c r="O762" t="s">
        <v>240</v>
      </c>
      <c r="P762">
        <v>4.8</v>
      </c>
      <c r="Q762" t="s">
        <v>180</v>
      </c>
    </row>
    <row r="763" spans="1:17" x14ac:dyDescent="0.25">
      <c r="A763" t="s">
        <v>1147</v>
      </c>
      <c r="B763" t="s">
        <v>1145</v>
      </c>
      <c r="C763" t="s">
        <v>175</v>
      </c>
      <c r="D763" t="s">
        <v>331</v>
      </c>
      <c r="E763" t="s">
        <v>332</v>
      </c>
      <c r="F763">
        <v>2</v>
      </c>
      <c r="G763" t="s">
        <v>176</v>
      </c>
      <c r="H763">
        <v>0</v>
      </c>
      <c r="I763">
        <v>809</v>
      </c>
      <c r="J763" s="10">
        <v>0</v>
      </c>
      <c r="K763" s="10">
        <f>SUMIFS(F:F,D:D,DST_123_ÜRETİM_İHTİYAÇ_RAPORU_BURAK_YENI1309[[#This Row],[ALT_KOD]])-(SUMIFS(H:H,D:D,DST_123_ÜRETİM_İHTİYAÇ_RAPORU_BURAK_YENI1309[[#This Row],[ALT_KOD]])+AVERAGEIFS(I:I,D:D,DST_123_ÜRETİM_İHTİYAÇ_RAPORU_BURAK_YENI1309[[#This Row],[ALT_KOD]])+AVERAGEIFS(L:L,D:D,DST_123_ÜRETİM_İHTİYAÇ_RAPORU_BURAK_YENI1309[[#This Row],[ALT_KOD]]))</f>
        <v>-768</v>
      </c>
      <c r="L763">
        <v>0</v>
      </c>
      <c r="M763">
        <f>IF((DST_123_ÜRETİM_İHTİYAÇ_RAPORU_BURAK_YENI1309[[#This Row],[SATINALMA]]*DST_123_ÜRETİM_İHTİYAÇ_RAPORU_BURAK_YENI1309[[#This Row],[BIRIM_FIYATLAR]])&lt;1,VALUE("0"),DST_123_ÜRETİM_İHTİYAÇ_RAPORU_BURAK_YENI1309[[#This Row],[SATINALMA]]*DST_123_ÜRETİM_İHTİYAÇ_RAPORU_BURAK_YENI1309[[#This Row],[BIRIM_FIYATLAR]])</f>
        <v>0</v>
      </c>
      <c r="N763">
        <v>2.4</v>
      </c>
      <c r="O763" t="s">
        <v>240</v>
      </c>
      <c r="P763">
        <v>4.8</v>
      </c>
      <c r="Q763" t="s">
        <v>180</v>
      </c>
    </row>
    <row r="764" spans="1:17" x14ac:dyDescent="0.25">
      <c r="A764" t="s">
        <v>1148</v>
      </c>
      <c r="B764" t="s">
        <v>1056</v>
      </c>
      <c r="C764" t="s">
        <v>175</v>
      </c>
      <c r="D764" t="s">
        <v>331</v>
      </c>
      <c r="E764" t="s">
        <v>332</v>
      </c>
      <c r="F764">
        <v>2</v>
      </c>
      <c r="G764" t="s">
        <v>176</v>
      </c>
      <c r="H764">
        <v>0</v>
      </c>
      <c r="I764">
        <v>809</v>
      </c>
      <c r="J764" s="10">
        <v>0</v>
      </c>
      <c r="K764" s="10">
        <f>SUMIFS(F:F,D:D,DST_123_ÜRETİM_İHTİYAÇ_RAPORU_BURAK_YENI1309[[#This Row],[ALT_KOD]])-(SUMIFS(H:H,D:D,DST_123_ÜRETİM_İHTİYAÇ_RAPORU_BURAK_YENI1309[[#This Row],[ALT_KOD]])+AVERAGEIFS(I:I,D:D,DST_123_ÜRETİM_İHTİYAÇ_RAPORU_BURAK_YENI1309[[#This Row],[ALT_KOD]])+AVERAGEIFS(L:L,D:D,DST_123_ÜRETİM_İHTİYAÇ_RAPORU_BURAK_YENI1309[[#This Row],[ALT_KOD]]))</f>
        <v>-768</v>
      </c>
      <c r="L764">
        <v>0</v>
      </c>
      <c r="M764">
        <f>IF((DST_123_ÜRETİM_İHTİYAÇ_RAPORU_BURAK_YENI1309[[#This Row],[SATINALMA]]*DST_123_ÜRETİM_İHTİYAÇ_RAPORU_BURAK_YENI1309[[#This Row],[BIRIM_FIYATLAR]])&lt;1,VALUE("0"),DST_123_ÜRETİM_İHTİYAÇ_RAPORU_BURAK_YENI1309[[#This Row],[SATINALMA]]*DST_123_ÜRETİM_İHTİYAÇ_RAPORU_BURAK_YENI1309[[#This Row],[BIRIM_FIYATLAR]])</f>
        <v>0</v>
      </c>
      <c r="N764">
        <v>2.4</v>
      </c>
      <c r="O764" t="s">
        <v>240</v>
      </c>
      <c r="P764">
        <v>4.8</v>
      </c>
      <c r="Q764" t="s">
        <v>180</v>
      </c>
    </row>
    <row r="765" spans="1:17" x14ac:dyDescent="0.25">
      <c r="A765" t="s">
        <v>1057</v>
      </c>
      <c r="B765" t="s">
        <v>1058</v>
      </c>
      <c r="C765" t="s">
        <v>175</v>
      </c>
      <c r="D765" t="s">
        <v>331</v>
      </c>
      <c r="E765" t="s">
        <v>332</v>
      </c>
      <c r="F765">
        <v>2</v>
      </c>
      <c r="G765" t="s">
        <v>176</v>
      </c>
      <c r="H765">
        <v>0</v>
      </c>
      <c r="I765">
        <v>809</v>
      </c>
      <c r="J765" s="10">
        <v>0</v>
      </c>
      <c r="K765" s="10">
        <f>SUMIFS(F:F,D:D,DST_123_ÜRETİM_İHTİYAÇ_RAPORU_BURAK_YENI1309[[#This Row],[ALT_KOD]])-(SUMIFS(H:H,D:D,DST_123_ÜRETİM_İHTİYAÇ_RAPORU_BURAK_YENI1309[[#This Row],[ALT_KOD]])+AVERAGEIFS(I:I,D:D,DST_123_ÜRETİM_İHTİYAÇ_RAPORU_BURAK_YENI1309[[#This Row],[ALT_KOD]])+AVERAGEIFS(L:L,D:D,DST_123_ÜRETİM_İHTİYAÇ_RAPORU_BURAK_YENI1309[[#This Row],[ALT_KOD]]))</f>
        <v>-768</v>
      </c>
      <c r="L765">
        <v>0</v>
      </c>
      <c r="M765">
        <f>IF((DST_123_ÜRETİM_İHTİYAÇ_RAPORU_BURAK_YENI1309[[#This Row],[SATINALMA]]*DST_123_ÜRETİM_İHTİYAÇ_RAPORU_BURAK_YENI1309[[#This Row],[BIRIM_FIYATLAR]])&lt;1,VALUE("0"),DST_123_ÜRETİM_İHTİYAÇ_RAPORU_BURAK_YENI1309[[#This Row],[SATINALMA]]*DST_123_ÜRETİM_İHTİYAÇ_RAPORU_BURAK_YENI1309[[#This Row],[BIRIM_FIYATLAR]])</f>
        <v>0</v>
      </c>
      <c r="N765">
        <v>2.4</v>
      </c>
      <c r="O765" t="s">
        <v>240</v>
      </c>
      <c r="P765">
        <v>4.8</v>
      </c>
      <c r="Q765" t="s">
        <v>180</v>
      </c>
    </row>
    <row r="766" spans="1:17" x14ac:dyDescent="0.25">
      <c r="A766" t="s">
        <v>1060</v>
      </c>
      <c r="B766" t="s">
        <v>1061</v>
      </c>
      <c r="C766" t="s">
        <v>175</v>
      </c>
      <c r="D766" t="s">
        <v>312</v>
      </c>
      <c r="E766" t="s">
        <v>313</v>
      </c>
      <c r="F766">
        <v>4</v>
      </c>
      <c r="G766" t="s">
        <v>179</v>
      </c>
      <c r="H766">
        <v>0</v>
      </c>
      <c r="I766">
        <v>125</v>
      </c>
      <c r="J766" s="10">
        <v>16.5</v>
      </c>
      <c r="K766" s="10">
        <f>SUMIFS(F:F,D:D,DST_123_ÜRETİM_İHTİYAÇ_RAPORU_BURAK_YENI1309[[#This Row],[ALT_KOD]])-(SUMIFS(H:H,D:D,DST_123_ÜRETİM_İHTİYAÇ_RAPORU_BURAK_YENI1309[[#This Row],[ALT_KOD]])+AVERAGEIFS(I:I,D:D,DST_123_ÜRETİM_İHTİYAÇ_RAPORU_BURAK_YENI1309[[#This Row],[ALT_KOD]])+AVERAGEIFS(L:L,D:D,DST_123_ÜRETİM_İHTİYAÇ_RAPORU_BURAK_YENI1309[[#This Row],[ALT_KOD]]))</f>
        <v>-24</v>
      </c>
      <c r="L766">
        <v>0</v>
      </c>
      <c r="M766">
        <f>IF((DST_123_ÜRETİM_İHTİYAÇ_RAPORU_BURAK_YENI1309[[#This Row],[SATINALMA]]*DST_123_ÜRETİM_İHTİYAÇ_RAPORU_BURAK_YENI1309[[#This Row],[BIRIM_FIYATLAR]])&lt;1,VALUE("0"),DST_123_ÜRETİM_İHTİYAÇ_RAPORU_BURAK_YENI1309[[#This Row],[SATINALMA]]*DST_123_ÜRETİM_İHTİYAÇ_RAPORU_BURAK_YENI1309[[#This Row],[BIRIM_FIYATLAR]])</f>
        <v>0</v>
      </c>
      <c r="N766">
        <v>80.84</v>
      </c>
      <c r="O766" t="s">
        <v>314</v>
      </c>
      <c r="P766">
        <v>323.36</v>
      </c>
      <c r="Q766" t="s">
        <v>178</v>
      </c>
    </row>
    <row r="767" spans="1:17" x14ac:dyDescent="0.25">
      <c r="A767" t="s">
        <v>1060</v>
      </c>
      <c r="B767" t="s">
        <v>1061</v>
      </c>
      <c r="C767" t="s">
        <v>175</v>
      </c>
      <c r="D767" t="s">
        <v>705</v>
      </c>
      <c r="E767" t="s">
        <v>706</v>
      </c>
      <c r="F767">
        <v>4</v>
      </c>
      <c r="G767" t="s">
        <v>176</v>
      </c>
      <c r="H767">
        <v>0</v>
      </c>
      <c r="I767">
        <v>1400</v>
      </c>
      <c r="J767" s="10">
        <v>602</v>
      </c>
      <c r="K767" s="10">
        <f>SUMIFS(F:F,D:D,DST_123_ÜRETİM_İHTİYAÇ_RAPORU_BURAK_YENI1309[[#This Row],[ALT_KOD]])-(SUMIFS(H:H,D:D,DST_123_ÜRETİM_İHTİYAÇ_RAPORU_BURAK_YENI1309[[#This Row],[ALT_KOD]])+AVERAGEIFS(I:I,D:D,DST_123_ÜRETİM_İHTİYAÇ_RAPORU_BURAK_YENI1309[[#This Row],[ALT_KOD]])+AVERAGEIFS(L:L,D:D,DST_123_ÜRETİM_İHTİYAÇ_RAPORU_BURAK_YENI1309[[#This Row],[ALT_KOD]]))</f>
        <v>-1296</v>
      </c>
      <c r="L767">
        <v>0</v>
      </c>
      <c r="M767">
        <f>IF((DST_123_ÜRETİM_İHTİYAÇ_RAPORU_BURAK_YENI1309[[#This Row],[SATINALMA]]*DST_123_ÜRETİM_İHTİYAÇ_RAPORU_BURAK_YENI1309[[#This Row],[BIRIM_FIYATLAR]])&lt;1,VALUE("0"),DST_123_ÜRETİM_İHTİYAÇ_RAPORU_BURAK_YENI1309[[#This Row],[SATINALMA]]*DST_123_ÜRETİM_İHTİYAÇ_RAPORU_BURAK_YENI1309[[#This Row],[BIRIM_FIYATLAR]])</f>
        <v>0</v>
      </c>
      <c r="N767">
        <v>0.6</v>
      </c>
      <c r="O767" t="s">
        <v>240</v>
      </c>
      <c r="P767">
        <v>2.4</v>
      </c>
      <c r="Q767" t="s">
        <v>180</v>
      </c>
    </row>
    <row r="768" spans="1:17" x14ac:dyDescent="0.25">
      <c r="A768" t="s">
        <v>1149</v>
      </c>
      <c r="B768" t="s">
        <v>1145</v>
      </c>
      <c r="C768" t="s">
        <v>175</v>
      </c>
      <c r="D768" t="s">
        <v>67</v>
      </c>
      <c r="E768" t="s">
        <v>585</v>
      </c>
      <c r="F768">
        <v>0.5</v>
      </c>
      <c r="G768" t="s">
        <v>176</v>
      </c>
      <c r="H768">
        <v>0</v>
      </c>
      <c r="I768">
        <v>13.5</v>
      </c>
      <c r="J768" s="10">
        <v>8.5</v>
      </c>
      <c r="K768" s="10">
        <f>SUMIFS(F:F,D:D,DST_123_ÜRETİM_İHTİYAÇ_RAPORU_BURAK_YENI1309[[#This Row],[ALT_KOD]])-(SUMIFS(H:H,D:D,DST_123_ÜRETİM_İHTİYAÇ_RAPORU_BURAK_YENI1309[[#This Row],[ALT_KOD]])+AVERAGEIFS(I:I,D:D,DST_123_ÜRETİM_İHTİYAÇ_RAPORU_BURAK_YENI1309[[#This Row],[ALT_KOD]])+AVERAGEIFS(L:L,D:D,DST_123_ÜRETİM_İHTİYAÇ_RAPORU_BURAK_YENI1309[[#This Row],[ALT_KOD]]))</f>
        <v>-5.3500000000000014</v>
      </c>
      <c r="L768">
        <v>0</v>
      </c>
      <c r="M768">
        <f>IF((DST_123_ÜRETİM_İHTİYAÇ_RAPORU_BURAK_YENI1309[[#This Row],[SATINALMA]]*DST_123_ÜRETİM_İHTİYAÇ_RAPORU_BURAK_YENI1309[[#This Row],[BIRIM_FIYATLAR]])&lt;1,VALUE("0"),DST_123_ÜRETİM_İHTİYAÇ_RAPORU_BURAK_YENI1309[[#This Row],[SATINALMA]]*DST_123_ÜRETİM_İHTİYAÇ_RAPORU_BURAK_YENI1309[[#This Row],[BIRIM_FIYATLAR]])</f>
        <v>0</v>
      </c>
      <c r="N768">
        <v>1600</v>
      </c>
      <c r="O768" t="s">
        <v>1053</v>
      </c>
      <c r="P768">
        <v>800</v>
      </c>
      <c r="Q768" t="s">
        <v>177</v>
      </c>
    </row>
    <row r="769" spans="1:17" x14ac:dyDescent="0.25">
      <c r="A769" t="s">
        <v>1150</v>
      </c>
      <c r="B769" t="s">
        <v>1145</v>
      </c>
      <c r="C769" t="s">
        <v>175</v>
      </c>
      <c r="D769" t="s">
        <v>72</v>
      </c>
      <c r="E769" t="s">
        <v>73</v>
      </c>
      <c r="F769">
        <v>1</v>
      </c>
      <c r="G769" t="s">
        <v>176</v>
      </c>
      <c r="H769">
        <v>0</v>
      </c>
      <c r="I769">
        <v>2</v>
      </c>
      <c r="J769" s="10">
        <v>8</v>
      </c>
      <c r="K769" s="10">
        <f>SUMIFS(F:F,D:D,DST_123_ÜRETİM_İHTİYAÇ_RAPORU_BURAK_YENI1309[[#This Row],[ALT_KOD]])-(SUMIFS(H:H,D:D,DST_123_ÜRETİM_İHTİYAÇ_RAPORU_BURAK_YENI1309[[#This Row],[ALT_KOD]])+AVERAGEIFS(I:I,D:D,DST_123_ÜRETİM_İHTİYAÇ_RAPORU_BURAK_YENI1309[[#This Row],[ALT_KOD]])+AVERAGEIFS(L:L,D:D,DST_123_ÜRETİM_İHTİYAÇ_RAPORU_BURAK_YENI1309[[#This Row],[ALT_KOD]]))</f>
        <v>8</v>
      </c>
      <c r="L769">
        <v>0</v>
      </c>
      <c r="M769">
        <f>IF((DST_123_ÜRETİM_İHTİYAÇ_RAPORU_BURAK_YENI1309[[#This Row],[SATINALMA]]*DST_123_ÜRETİM_İHTİYAÇ_RAPORU_BURAK_YENI1309[[#This Row],[BIRIM_FIYATLAR]])&lt;1,VALUE("0"),DST_123_ÜRETİM_İHTİYAÇ_RAPORU_BURAK_YENI1309[[#This Row],[SATINALMA]]*DST_123_ÜRETİM_İHTİYAÇ_RAPORU_BURAK_YENI1309[[#This Row],[BIRIM_FIYATLAR]])</f>
        <v>70583.44</v>
      </c>
      <c r="N769">
        <v>8822.93</v>
      </c>
      <c r="O769" t="s">
        <v>634</v>
      </c>
      <c r="P769">
        <v>8822.93</v>
      </c>
      <c r="Q769" t="s">
        <v>178</v>
      </c>
    </row>
    <row r="770" spans="1:17" x14ac:dyDescent="0.25">
      <c r="A770" t="s">
        <v>1150</v>
      </c>
      <c r="B770" t="s">
        <v>1145</v>
      </c>
      <c r="C770" t="s">
        <v>175</v>
      </c>
      <c r="D770" t="s">
        <v>380</v>
      </c>
      <c r="E770" t="s">
        <v>381</v>
      </c>
      <c r="F770">
        <v>1.1000000000000001</v>
      </c>
      <c r="G770" t="s">
        <v>179</v>
      </c>
      <c r="H770">
        <v>0</v>
      </c>
      <c r="I770">
        <v>0</v>
      </c>
      <c r="J770" s="10">
        <v>20.30000000000009</v>
      </c>
      <c r="K770" s="10">
        <f>SUMIFS(F:F,D:D,DST_123_ÜRETİM_İHTİYAÇ_RAPORU_BURAK_YENI1309[[#This Row],[ALT_KOD]])-(SUMIFS(H:H,D:D,DST_123_ÜRETİM_İHTİYAÇ_RAPORU_BURAK_YENI1309[[#This Row],[ALT_KOD]])+AVERAGEIFS(I:I,D:D,DST_123_ÜRETİM_İHTİYAÇ_RAPORU_BURAK_YENI1309[[#This Row],[ALT_KOD]])+AVERAGEIFS(L:L,D:D,DST_123_ÜRETİM_İHTİYAÇ_RAPORU_BURAK_YENI1309[[#This Row],[ALT_KOD]]))</f>
        <v>21.1</v>
      </c>
      <c r="L770">
        <v>0</v>
      </c>
      <c r="M770">
        <f>IF((DST_123_ÜRETİM_İHTİYAÇ_RAPORU_BURAK_YENI1309[[#This Row],[SATINALMA]]*DST_123_ÜRETİM_İHTİYAÇ_RAPORU_BURAK_YENI1309[[#This Row],[BIRIM_FIYATLAR]])&lt;1,VALUE("0"),DST_123_ÜRETİM_İHTİYAÇ_RAPORU_BURAK_YENI1309[[#This Row],[SATINALMA]]*DST_123_ÜRETİM_İHTİYAÇ_RAPORU_BURAK_YENI1309[[#This Row],[BIRIM_FIYATLAR]])</f>
        <v>2426.5</v>
      </c>
      <c r="N770">
        <v>115</v>
      </c>
      <c r="O770" t="s">
        <v>821</v>
      </c>
      <c r="P770">
        <v>126.50000000000001</v>
      </c>
      <c r="Q770" t="s">
        <v>178</v>
      </c>
    </row>
    <row r="771" spans="1:17" x14ac:dyDescent="0.25">
      <c r="A771" t="s">
        <v>1147</v>
      </c>
      <c r="B771" t="s">
        <v>1145</v>
      </c>
      <c r="C771" t="s">
        <v>175</v>
      </c>
      <c r="D771" t="s">
        <v>67</v>
      </c>
      <c r="E771" t="s">
        <v>585</v>
      </c>
      <c r="F771">
        <v>0.5</v>
      </c>
      <c r="G771" t="s">
        <v>176</v>
      </c>
      <c r="H771">
        <v>0</v>
      </c>
      <c r="I771">
        <v>13.5</v>
      </c>
      <c r="J771" s="10">
        <v>8.5</v>
      </c>
      <c r="K771" s="10">
        <f>SUMIFS(F:F,D:D,DST_123_ÜRETİM_İHTİYAÇ_RAPORU_BURAK_YENI1309[[#This Row],[ALT_KOD]])-(SUMIFS(H:H,D:D,DST_123_ÜRETİM_İHTİYAÇ_RAPORU_BURAK_YENI1309[[#This Row],[ALT_KOD]])+AVERAGEIFS(I:I,D:D,DST_123_ÜRETİM_İHTİYAÇ_RAPORU_BURAK_YENI1309[[#This Row],[ALT_KOD]])+AVERAGEIFS(L:L,D:D,DST_123_ÜRETİM_İHTİYAÇ_RAPORU_BURAK_YENI1309[[#This Row],[ALT_KOD]]))</f>
        <v>-5.3500000000000014</v>
      </c>
      <c r="L771">
        <v>0</v>
      </c>
      <c r="M771">
        <f>IF((DST_123_ÜRETİM_İHTİYAÇ_RAPORU_BURAK_YENI1309[[#This Row],[SATINALMA]]*DST_123_ÜRETİM_İHTİYAÇ_RAPORU_BURAK_YENI1309[[#This Row],[BIRIM_FIYATLAR]])&lt;1,VALUE("0"),DST_123_ÜRETİM_İHTİYAÇ_RAPORU_BURAK_YENI1309[[#This Row],[SATINALMA]]*DST_123_ÜRETİM_İHTİYAÇ_RAPORU_BURAK_YENI1309[[#This Row],[BIRIM_FIYATLAR]])</f>
        <v>0</v>
      </c>
      <c r="N771">
        <v>1600</v>
      </c>
      <c r="O771" t="s">
        <v>1053</v>
      </c>
      <c r="P771">
        <v>800</v>
      </c>
      <c r="Q771" t="s">
        <v>177</v>
      </c>
    </row>
    <row r="772" spans="1:17" x14ac:dyDescent="0.25">
      <c r="A772" t="s">
        <v>1101</v>
      </c>
      <c r="B772" t="s">
        <v>1102</v>
      </c>
      <c r="C772" t="s">
        <v>175</v>
      </c>
      <c r="D772" t="s">
        <v>285</v>
      </c>
      <c r="E772" t="s">
        <v>286</v>
      </c>
      <c r="F772">
        <v>0.36</v>
      </c>
      <c r="G772" t="s">
        <v>185</v>
      </c>
      <c r="H772">
        <v>0.36</v>
      </c>
      <c r="I772">
        <v>0</v>
      </c>
      <c r="J772" s="10">
        <v>24.129999999999985</v>
      </c>
      <c r="K772" s="10">
        <f>SUMIFS(F:F,D:D,DST_123_ÜRETİM_İHTİYAÇ_RAPORU_BURAK_YENI1309[[#This Row],[ALT_KOD]])-(SUMIFS(H:H,D:D,DST_123_ÜRETİM_İHTİYAÇ_RAPORU_BURAK_YENI1309[[#This Row],[ALT_KOD]])+AVERAGEIFS(I:I,D:D,DST_123_ÜRETİM_İHTİYAÇ_RAPORU_BURAK_YENI1309[[#This Row],[ALT_KOD]])+AVERAGEIFS(L:L,D:D,DST_123_ÜRETİM_İHTİYAÇ_RAPORU_BURAK_YENI1309[[#This Row],[ALT_KOD]]))</f>
        <v>4.1899999999999995</v>
      </c>
      <c r="L772">
        <v>0</v>
      </c>
      <c r="M772">
        <f>IF((DST_123_ÜRETİM_İHTİYAÇ_RAPORU_BURAK_YENI1309[[#This Row],[SATINALMA]]*DST_123_ÜRETİM_İHTİYAÇ_RAPORU_BURAK_YENI1309[[#This Row],[BIRIM_FIYATLAR]])&lt;1,VALUE("0"),DST_123_ÜRETİM_İHTİYAÇ_RAPORU_BURAK_YENI1309[[#This Row],[SATINALMA]]*DST_123_ÜRETİM_İHTİYAÇ_RAPORU_BURAK_YENI1309[[#This Row],[BIRIM_FIYATLAR]])</f>
        <v>1667.7456999999997</v>
      </c>
      <c r="N772">
        <v>398.03</v>
      </c>
      <c r="O772" t="s">
        <v>490</v>
      </c>
      <c r="P772">
        <v>143.29079999999999</v>
      </c>
      <c r="Q772" t="s">
        <v>183</v>
      </c>
    </row>
    <row r="773" spans="1:17" x14ac:dyDescent="0.25">
      <c r="A773" t="s">
        <v>1101</v>
      </c>
      <c r="B773" t="s">
        <v>1102</v>
      </c>
      <c r="C773" t="s">
        <v>175</v>
      </c>
      <c r="D773" t="s">
        <v>68</v>
      </c>
      <c r="E773" t="s">
        <v>69</v>
      </c>
      <c r="F773">
        <v>18.78</v>
      </c>
      <c r="G773" t="s">
        <v>185</v>
      </c>
      <c r="H773">
        <v>0</v>
      </c>
      <c r="I773">
        <v>134.9</v>
      </c>
      <c r="J773" s="10">
        <v>46.099999999999767</v>
      </c>
      <c r="K773" s="10">
        <f>SUMIFS(F:F,D:D,DST_123_ÜRETİM_İHTİYAÇ_RAPORU_BURAK_YENI1309[[#This Row],[ALT_KOD]])-(SUMIFS(H:H,D:D,DST_123_ÜRETİM_İHTİYAÇ_RAPORU_BURAK_YENI1309[[#This Row],[ALT_KOD]])+AVERAGEIFS(I:I,D:D,DST_123_ÜRETİM_İHTİYAÇ_RAPORU_BURAK_YENI1309[[#This Row],[ALT_KOD]])+AVERAGEIFS(L:L,D:D,DST_123_ÜRETİM_İHTİYAÇ_RAPORU_BURAK_YENI1309[[#This Row],[ALT_KOD]]))</f>
        <v>43.169999999999959</v>
      </c>
      <c r="L773">
        <v>0</v>
      </c>
      <c r="M773">
        <f>IF((DST_123_ÜRETİM_İHTİYAÇ_RAPORU_BURAK_YENI1309[[#This Row],[SATINALMA]]*DST_123_ÜRETİM_İHTİYAÇ_RAPORU_BURAK_YENI1309[[#This Row],[BIRIM_FIYATLAR]])&lt;1,VALUE("0"),DST_123_ÜRETİM_İHTİYAÇ_RAPORU_BURAK_YENI1309[[#This Row],[SATINALMA]]*DST_123_ÜRETİM_İHTİYAÇ_RAPORU_BURAK_YENI1309[[#This Row],[BIRIM_FIYATLAR]])</f>
        <v>4160.2928999999958</v>
      </c>
      <c r="N773">
        <v>96.37</v>
      </c>
      <c r="O773" t="s">
        <v>490</v>
      </c>
      <c r="P773">
        <v>1809.8286000000003</v>
      </c>
      <c r="Q773" t="s">
        <v>183</v>
      </c>
    </row>
    <row r="774" spans="1:17" x14ac:dyDescent="0.25">
      <c r="A774" t="s">
        <v>1060</v>
      </c>
      <c r="B774" t="s">
        <v>1061</v>
      </c>
      <c r="C774" t="s">
        <v>175</v>
      </c>
      <c r="D774" t="s">
        <v>896</v>
      </c>
      <c r="E774" t="s">
        <v>897</v>
      </c>
      <c r="F774">
        <v>0.2</v>
      </c>
      <c r="G774" t="s">
        <v>185</v>
      </c>
      <c r="H774">
        <v>0</v>
      </c>
      <c r="I774">
        <v>0</v>
      </c>
      <c r="J774" s="10">
        <v>0</v>
      </c>
      <c r="K774" s="10">
        <f>SUMIFS(F:F,D:D,DST_123_ÜRETİM_İHTİYAÇ_RAPORU_BURAK_YENI1309[[#This Row],[ALT_KOD]])-(SUMIFS(H:H,D:D,DST_123_ÜRETİM_İHTİYAÇ_RAPORU_BURAK_YENI1309[[#This Row],[ALT_KOD]])+AVERAGEIFS(I:I,D:D,DST_123_ÜRETİM_İHTİYAÇ_RAPORU_BURAK_YENI1309[[#This Row],[ALT_KOD]])+AVERAGEIFS(L:L,D:D,DST_123_ÜRETİM_İHTİYAÇ_RAPORU_BURAK_YENI1309[[#This Row],[ALT_KOD]]))</f>
        <v>0.8</v>
      </c>
      <c r="L774">
        <v>0</v>
      </c>
      <c r="M774">
        <f>IF((DST_123_ÜRETİM_İHTİYAÇ_RAPORU_BURAK_YENI1309[[#This Row],[SATINALMA]]*DST_123_ÜRETİM_İHTİYAÇ_RAPORU_BURAK_YENI1309[[#This Row],[BIRIM_FIYATLAR]])&lt;1,VALUE("0"),DST_123_ÜRETİM_İHTİYAÇ_RAPORU_BURAK_YENI1309[[#This Row],[SATINALMA]]*DST_123_ÜRETİM_İHTİYAÇ_RAPORU_BURAK_YENI1309[[#This Row],[BIRIM_FIYATLAR]])</f>
        <v>400</v>
      </c>
      <c r="N774">
        <v>500</v>
      </c>
      <c r="O774" t="s">
        <v>898</v>
      </c>
      <c r="P774">
        <v>100</v>
      </c>
      <c r="Q774" t="s">
        <v>183</v>
      </c>
    </row>
    <row r="775" spans="1:17" x14ac:dyDescent="0.25">
      <c r="A775" t="s">
        <v>1060</v>
      </c>
      <c r="B775" t="s">
        <v>1061</v>
      </c>
      <c r="C775" t="s">
        <v>175</v>
      </c>
      <c r="D775" t="s">
        <v>72</v>
      </c>
      <c r="E775" t="s">
        <v>73</v>
      </c>
      <c r="F775">
        <v>1</v>
      </c>
      <c r="G775" t="s">
        <v>176</v>
      </c>
      <c r="H775">
        <v>1</v>
      </c>
      <c r="I775">
        <v>2</v>
      </c>
      <c r="J775" s="10">
        <v>8</v>
      </c>
      <c r="K775" s="10">
        <f>SUMIFS(F:F,D:D,DST_123_ÜRETİM_İHTİYAÇ_RAPORU_BURAK_YENI1309[[#This Row],[ALT_KOD]])-(SUMIFS(H:H,D:D,DST_123_ÜRETİM_İHTİYAÇ_RAPORU_BURAK_YENI1309[[#This Row],[ALT_KOD]])+AVERAGEIFS(I:I,D:D,DST_123_ÜRETİM_İHTİYAÇ_RAPORU_BURAK_YENI1309[[#This Row],[ALT_KOD]])+AVERAGEIFS(L:L,D:D,DST_123_ÜRETİM_İHTİYAÇ_RAPORU_BURAK_YENI1309[[#This Row],[ALT_KOD]]))</f>
        <v>8</v>
      </c>
      <c r="L775">
        <v>0</v>
      </c>
      <c r="M775">
        <f>IF((DST_123_ÜRETİM_İHTİYAÇ_RAPORU_BURAK_YENI1309[[#This Row],[SATINALMA]]*DST_123_ÜRETİM_İHTİYAÇ_RAPORU_BURAK_YENI1309[[#This Row],[BIRIM_FIYATLAR]])&lt;1,VALUE("0"),DST_123_ÜRETİM_İHTİYAÇ_RAPORU_BURAK_YENI1309[[#This Row],[SATINALMA]]*DST_123_ÜRETİM_İHTİYAÇ_RAPORU_BURAK_YENI1309[[#This Row],[BIRIM_FIYATLAR]])</f>
        <v>70583.44</v>
      </c>
      <c r="N775">
        <v>8822.93</v>
      </c>
      <c r="O775" t="s">
        <v>634</v>
      </c>
      <c r="P775">
        <v>8822.93</v>
      </c>
      <c r="Q775" t="s">
        <v>178</v>
      </c>
    </row>
    <row r="776" spans="1:17" x14ac:dyDescent="0.25">
      <c r="A776" t="s">
        <v>1060</v>
      </c>
      <c r="B776" t="s">
        <v>1061</v>
      </c>
      <c r="C776" t="s">
        <v>175</v>
      </c>
      <c r="D776" t="s">
        <v>380</v>
      </c>
      <c r="E776" t="s">
        <v>381</v>
      </c>
      <c r="F776">
        <v>1.1000000000000001</v>
      </c>
      <c r="G776" t="s">
        <v>179</v>
      </c>
      <c r="H776">
        <v>0</v>
      </c>
      <c r="I776">
        <v>0</v>
      </c>
      <c r="J776" s="10">
        <v>20.30000000000009</v>
      </c>
      <c r="K776" s="10">
        <f>SUMIFS(F:F,D:D,DST_123_ÜRETİM_İHTİYAÇ_RAPORU_BURAK_YENI1309[[#This Row],[ALT_KOD]])-(SUMIFS(H:H,D:D,DST_123_ÜRETİM_İHTİYAÇ_RAPORU_BURAK_YENI1309[[#This Row],[ALT_KOD]])+AVERAGEIFS(I:I,D:D,DST_123_ÜRETİM_İHTİYAÇ_RAPORU_BURAK_YENI1309[[#This Row],[ALT_KOD]])+AVERAGEIFS(L:L,D:D,DST_123_ÜRETİM_İHTİYAÇ_RAPORU_BURAK_YENI1309[[#This Row],[ALT_KOD]]))</f>
        <v>21.1</v>
      </c>
      <c r="L776">
        <v>0</v>
      </c>
      <c r="M776">
        <f>IF((DST_123_ÜRETİM_İHTİYAÇ_RAPORU_BURAK_YENI1309[[#This Row],[SATINALMA]]*DST_123_ÜRETİM_İHTİYAÇ_RAPORU_BURAK_YENI1309[[#This Row],[BIRIM_FIYATLAR]])&lt;1,VALUE("0"),DST_123_ÜRETİM_İHTİYAÇ_RAPORU_BURAK_YENI1309[[#This Row],[SATINALMA]]*DST_123_ÜRETİM_İHTİYAÇ_RAPORU_BURAK_YENI1309[[#This Row],[BIRIM_FIYATLAR]])</f>
        <v>2426.5</v>
      </c>
      <c r="N776">
        <v>115</v>
      </c>
      <c r="O776" t="s">
        <v>821</v>
      </c>
      <c r="P776">
        <v>126.50000000000001</v>
      </c>
      <c r="Q776" t="s">
        <v>178</v>
      </c>
    </row>
    <row r="777" spans="1:17" x14ac:dyDescent="0.25">
      <c r="A777" t="s">
        <v>1146</v>
      </c>
      <c r="B777" t="s">
        <v>1145</v>
      </c>
      <c r="C777" t="s">
        <v>175</v>
      </c>
      <c r="D777" t="s">
        <v>72</v>
      </c>
      <c r="E777" t="s">
        <v>73</v>
      </c>
      <c r="F777">
        <v>1</v>
      </c>
      <c r="G777" t="s">
        <v>176</v>
      </c>
      <c r="H777">
        <v>0</v>
      </c>
      <c r="I777">
        <v>2</v>
      </c>
      <c r="J777" s="10">
        <v>8</v>
      </c>
      <c r="K777" s="10">
        <f>SUMIFS(F:F,D:D,DST_123_ÜRETİM_İHTİYAÇ_RAPORU_BURAK_YENI1309[[#This Row],[ALT_KOD]])-(SUMIFS(H:H,D:D,DST_123_ÜRETİM_İHTİYAÇ_RAPORU_BURAK_YENI1309[[#This Row],[ALT_KOD]])+AVERAGEIFS(I:I,D:D,DST_123_ÜRETİM_İHTİYAÇ_RAPORU_BURAK_YENI1309[[#This Row],[ALT_KOD]])+AVERAGEIFS(L:L,D:D,DST_123_ÜRETİM_İHTİYAÇ_RAPORU_BURAK_YENI1309[[#This Row],[ALT_KOD]]))</f>
        <v>8</v>
      </c>
      <c r="L777">
        <v>0</v>
      </c>
      <c r="M777">
        <f>IF((DST_123_ÜRETİM_İHTİYAÇ_RAPORU_BURAK_YENI1309[[#This Row],[SATINALMA]]*DST_123_ÜRETİM_İHTİYAÇ_RAPORU_BURAK_YENI1309[[#This Row],[BIRIM_FIYATLAR]])&lt;1,VALUE("0"),DST_123_ÜRETİM_İHTİYAÇ_RAPORU_BURAK_YENI1309[[#This Row],[SATINALMA]]*DST_123_ÜRETİM_İHTİYAÇ_RAPORU_BURAK_YENI1309[[#This Row],[BIRIM_FIYATLAR]])</f>
        <v>70583.44</v>
      </c>
      <c r="N777">
        <v>8822.93</v>
      </c>
      <c r="O777" t="s">
        <v>634</v>
      </c>
      <c r="P777">
        <v>8822.93</v>
      </c>
      <c r="Q777" t="s">
        <v>178</v>
      </c>
    </row>
    <row r="778" spans="1:17" x14ac:dyDescent="0.25">
      <c r="A778" t="s">
        <v>1144</v>
      </c>
      <c r="B778" t="s">
        <v>1145</v>
      </c>
      <c r="C778" t="s">
        <v>175</v>
      </c>
      <c r="D778" t="s">
        <v>72</v>
      </c>
      <c r="E778" t="s">
        <v>73</v>
      </c>
      <c r="F778">
        <v>1</v>
      </c>
      <c r="G778" t="s">
        <v>176</v>
      </c>
      <c r="H778">
        <v>0</v>
      </c>
      <c r="I778">
        <v>2</v>
      </c>
      <c r="J778" s="10">
        <v>8</v>
      </c>
      <c r="K778" s="10">
        <f>SUMIFS(F:F,D:D,DST_123_ÜRETİM_İHTİYAÇ_RAPORU_BURAK_YENI1309[[#This Row],[ALT_KOD]])-(SUMIFS(H:H,D:D,DST_123_ÜRETİM_İHTİYAÇ_RAPORU_BURAK_YENI1309[[#This Row],[ALT_KOD]])+AVERAGEIFS(I:I,D:D,DST_123_ÜRETİM_İHTİYAÇ_RAPORU_BURAK_YENI1309[[#This Row],[ALT_KOD]])+AVERAGEIFS(L:L,D:D,DST_123_ÜRETİM_İHTİYAÇ_RAPORU_BURAK_YENI1309[[#This Row],[ALT_KOD]]))</f>
        <v>8</v>
      </c>
      <c r="L778">
        <v>0</v>
      </c>
      <c r="M778">
        <f>IF((DST_123_ÜRETİM_İHTİYAÇ_RAPORU_BURAK_YENI1309[[#This Row],[SATINALMA]]*DST_123_ÜRETİM_İHTİYAÇ_RAPORU_BURAK_YENI1309[[#This Row],[BIRIM_FIYATLAR]])&lt;1,VALUE("0"),DST_123_ÜRETİM_İHTİYAÇ_RAPORU_BURAK_YENI1309[[#This Row],[SATINALMA]]*DST_123_ÜRETİM_İHTİYAÇ_RAPORU_BURAK_YENI1309[[#This Row],[BIRIM_FIYATLAR]])</f>
        <v>70583.44</v>
      </c>
      <c r="N778">
        <v>8822.93</v>
      </c>
      <c r="O778" t="s">
        <v>634</v>
      </c>
      <c r="P778">
        <v>8822.93</v>
      </c>
      <c r="Q778" t="s">
        <v>178</v>
      </c>
    </row>
    <row r="779" spans="1:17" x14ac:dyDescent="0.25">
      <c r="A779" t="s">
        <v>1144</v>
      </c>
      <c r="B779" t="s">
        <v>1145</v>
      </c>
      <c r="C779" t="s">
        <v>175</v>
      </c>
      <c r="D779" t="s">
        <v>380</v>
      </c>
      <c r="E779" t="s">
        <v>381</v>
      </c>
      <c r="F779">
        <v>1.1000000000000001</v>
      </c>
      <c r="G779" t="s">
        <v>179</v>
      </c>
      <c r="H779">
        <v>0</v>
      </c>
      <c r="I779">
        <v>0</v>
      </c>
      <c r="J779" s="10">
        <v>20.30000000000009</v>
      </c>
      <c r="K779" s="10">
        <f>SUMIFS(F:F,D:D,DST_123_ÜRETİM_İHTİYAÇ_RAPORU_BURAK_YENI1309[[#This Row],[ALT_KOD]])-(SUMIFS(H:H,D:D,DST_123_ÜRETİM_İHTİYAÇ_RAPORU_BURAK_YENI1309[[#This Row],[ALT_KOD]])+AVERAGEIFS(I:I,D:D,DST_123_ÜRETİM_İHTİYAÇ_RAPORU_BURAK_YENI1309[[#This Row],[ALT_KOD]])+AVERAGEIFS(L:L,D:D,DST_123_ÜRETİM_İHTİYAÇ_RAPORU_BURAK_YENI1309[[#This Row],[ALT_KOD]]))</f>
        <v>21.1</v>
      </c>
      <c r="L779">
        <v>0</v>
      </c>
      <c r="M779">
        <f>IF((DST_123_ÜRETİM_İHTİYAÇ_RAPORU_BURAK_YENI1309[[#This Row],[SATINALMA]]*DST_123_ÜRETİM_İHTİYAÇ_RAPORU_BURAK_YENI1309[[#This Row],[BIRIM_FIYATLAR]])&lt;1,VALUE("0"),DST_123_ÜRETİM_İHTİYAÇ_RAPORU_BURAK_YENI1309[[#This Row],[SATINALMA]]*DST_123_ÜRETİM_İHTİYAÇ_RAPORU_BURAK_YENI1309[[#This Row],[BIRIM_FIYATLAR]])</f>
        <v>2426.5</v>
      </c>
      <c r="N779">
        <v>115</v>
      </c>
      <c r="O779" t="s">
        <v>821</v>
      </c>
      <c r="P779">
        <v>126.50000000000001</v>
      </c>
      <c r="Q779" t="s">
        <v>178</v>
      </c>
    </row>
    <row r="780" spans="1:17" x14ac:dyDescent="0.25">
      <c r="A780" t="s">
        <v>1146</v>
      </c>
      <c r="B780" t="s">
        <v>1145</v>
      </c>
      <c r="C780" t="s">
        <v>175</v>
      </c>
      <c r="D780" t="s">
        <v>380</v>
      </c>
      <c r="E780" t="s">
        <v>381</v>
      </c>
      <c r="F780">
        <v>1.1000000000000001</v>
      </c>
      <c r="G780" t="s">
        <v>179</v>
      </c>
      <c r="H780">
        <v>0</v>
      </c>
      <c r="I780">
        <v>0</v>
      </c>
      <c r="J780" s="10">
        <v>20.30000000000009</v>
      </c>
      <c r="K780" s="10">
        <f>SUMIFS(F:F,D:D,DST_123_ÜRETİM_İHTİYAÇ_RAPORU_BURAK_YENI1309[[#This Row],[ALT_KOD]])-(SUMIFS(H:H,D:D,DST_123_ÜRETİM_İHTİYAÇ_RAPORU_BURAK_YENI1309[[#This Row],[ALT_KOD]])+AVERAGEIFS(I:I,D:D,DST_123_ÜRETİM_İHTİYAÇ_RAPORU_BURAK_YENI1309[[#This Row],[ALT_KOD]])+AVERAGEIFS(L:L,D:D,DST_123_ÜRETİM_İHTİYAÇ_RAPORU_BURAK_YENI1309[[#This Row],[ALT_KOD]]))</f>
        <v>21.1</v>
      </c>
      <c r="L780">
        <v>0</v>
      </c>
      <c r="M780">
        <f>IF((DST_123_ÜRETİM_İHTİYAÇ_RAPORU_BURAK_YENI1309[[#This Row],[SATINALMA]]*DST_123_ÜRETİM_İHTİYAÇ_RAPORU_BURAK_YENI1309[[#This Row],[BIRIM_FIYATLAR]])&lt;1,VALUE("0"),DST_123_ÜRETİM_İHTİYAÇ_RAPORU_BURAK_YENI1309[[#This Row],[SATINALMA]]*DST_123_ÜRETİM_İHTİYAÇ_RAPORU_BURAK_YENI1309[[#This Row],[BIRIM_FIYATLAR]])</f>
        <v>2426.5</v>
      </c>
      <c r="N780">
        <v>115</v>
      </c>
      <c r="O780" t="s">
        <v>821</v>
      </c>
      <c r="P780">
        <v>126.50000000000001</v>
      </c>
      <c r="Q780" t="s">
        <v>178</v>
      </c>
    </row>
    <row r="781" spans="1:17" x14ac:dyDescent="0.25">
      <c r="A781" t="s">
        <v>1101</v>
      </c>
      <c r="B781" t="s">
        <v>1102</v>
      </c>
      <c r="C781" t="s">
        <v>175</v>
      </c>
      <c r="D781" t="s">
        <v>67</v>
      </c>
      <c r="E781" t="s">
        <v>585</v>
      </c>
      <c r="F781">
        <v>0.5</v>
      </c>
      <c r="G781" t="s">
        <v>176</v>
      </c>
      <c r="H781">
        <v>0</v>
      </c>
      <c r="I781">
        <v>13.5</v>
      </c>
      <c r="J781" s="10">
        <v>8.5</v>
      </c>
      <c r="K781" s="10">
        <f>SUMIFS(F:F,D:D,DST_123_ÜRETİM_İHTİYAÇ_RAPORU_BURAK_YENI1309[[#This Row],[ALT_KOD]])-(SUMIFS(H:H,D:D,DST_123_ÜRETİM_İHTİYAÇ_RAPORU_BURAK_YENI1309[[#This Row],[ALT_KOD]])+AVERAGEIFS(I:I,D:D,DST_123_ÜRETİM_İHTİYAÇ_RAPORU_BURAK_YENI1309[[#This Row],[ALT_KOD]])+AVERAGEIFS(L:L,D:D,DST_123_ÜRETİM_İHTİYAÇ_RAPORU_BURAK_YENI1309[[#This Row],[ALT_KOD]]))</f>
        <v>-5.3500000000000014</v>
      </c>
      <c r="L781">
        <v>0</v>
      </c>
      <c r="M781">
        <f>IF((DST_123_ÜRETİM_İHTİYAÇ_RAPORU_BURAK_YENI1309[[#This Row],[SATINALMA]]*DST_123_ÜRETİM_İHTİYAÇ_RAPORU_BURAK_YENI1309[[#This Row],[BIRIM_FIYATLAR]])&lt;1,VALUE("0"),DST_123_ÜRETİM_İHTİYAÇ_RAPORU_BURAK_YENI1309[[#This Row],[SATINALMA]]*DST_123_ÜRETİM_İHTİYAÇ_RAPORU_BURAK_YENI1309[[#This Row],[BIRIM_FIYATLAR]])</f>
        <v>0</v>
      </c>
      <c r="N781">
        <v>1600</v>
      </c>
      <c r="O781" t="s">
        <v>1053</v>
      </c>
      <c r="P781">
        <v>800</v>
      </c>
      <c r="Q781" t="s">
        <v>177</v>
      </c>
    </row>
    <row r="782" spans="1:17" x14ac:dyDescent="0.25">
      <c r="A782" s="13" t="s">
        <v>1147</v>
      </c>
      <c r="B782" s="13" t="s">
        <v>1145</v>
      </c>
      <c r="C782" t="s">
        <v>175</v>
      </c>
      <c r="D782" s="13" t="s">
        <v>285</v>
      </c>
      <c r="E782" s="13" t="s">
        <v>286</v>
      </c>
      <c r="F782" s="13">
        <v>0.35</v>
      </c>
      <c r="G782" s="13" t="s">
        <v>185</v>
      </c>
      <c r="H782">
        <v>0</v>
      </c>
      <c r="I782">
        <v>0</v>
      </c>
      <c r="J782" s="10">
        <v>24.129999999999985</v>
      </c>
      <c r="K782" s="10">
        <f>SUMIFS(F:F,D:D,DST_123_ÜRETİM_İHTİYAÇ_RAPORU_BURAK_YENI1309[[#This Row],[ALT_KOD]])-(SUMIFS(H:H,D:D,DST_123_ÜRETİM_İHTİYAÇ_RAPORU_BURAK_YENI1309[[#This Row],[ALT_KOD]])+AVERAGEIFS(I:I,D:D,DST_123_ÜRETİM_İHTİYAÇ_RAPORU_BURAK_YENI1309[[#This Row],[ALT_KOD]])+AVERAGEIFS(L:L,D:D,DST_123_ÜRETİM_İHTİYAÇ_RAPORU_BURAK_YENI1309[[#This Row],[ALT_KOD]]))</f>
        <v>4.1899999999999995</v>
      </c>
      <c r="L782">
        <v>0</v>
      </c>
      <c r="M782">
        <f>IF((DST_123_ÜRETİM_İHTİYAÇ_RAPORU_BURAK_YENI1309[[#This Row],[SATINALMA]]*DST_123_ÜRETİM_İHTİYAÇ_RAPORU_BURAK_YENI1309[[#This Row],[BIRIM_FIYATLAR]])&lt;1,VALUE("0"),DST_123_ÜRETİM_İHTİYAÇ_RAPORU_BURAK_YENI1309[[#This Row],[SATINALMA]]*DST_123_ÜRETİM_İHTİYAÇ_RAPORU_BURAK_YENI1309[[#This Row],[BIRIM_FIYATLAR]])</f>
        <v>1667.7456999999997</v>
      </c>
      <c r="N782">
        <v>398.03</v>
      </c>
      <c r="O782" t="s">
        <v>490</v>
      </c>
      <c r="P782">
        <v>139.31049999999999</v>
      </c>
      <c r="Q782" t="s">
        <v>183</v>
      </c>
    </row>
    <row r="783" spans="1:17" x14ac:dyDescent="0.25">
      <c r="A783" t="s">
        <v>1147</v>
      </c>
      <c r="B783" t="s">
        <v>1145</v>
      </c>
      <c r="C783" t="s">
        <v>175</v>
      </c>
      <c r="D783" t="s">
        <v>68</v>
      </c>
      <c r="E783" t="s">
        <v>69</v>
      </c>
      <c r="F783">
        <v>8.5400000000000009</v>
      </c>
      <c r="G783" t="s">
        <v>185</v>
      </c>
      <c r="H783">
        <v>0</v>
      </c>
      <c r="I783">
        <v>134.9</v>
      </c>
      <c r="J783" s="10">
        <v>46.099999999999767</v>
      </c>
      <c r="K783" s="10">
        <f>SUMIFS(F:F,D:D,DST_123_ÜRETİM_İHTİYAÇ_RAPORU_BURAK_YENI1309[[#This Row],[ALT_KOD]])-(SUMIFS(H:H,D:D,DST_123_ÜRETİM_İHTİYAÇ_RAPORU_BURAK_YENI1309[[#This Row],[ALT_KOD]])+AVERAGEIFS(I:I,D:D,DST_123_ÜRETİM_İHTİYAÇ_RAPORU_BURAK_YENI1309[[#This Row],[ALT_KOD]])+AVERAGEIFS(L:L,D:D,DST_123_ÜRETİM_İHTİYAÇ_RAPORU_BURAK_YENI1309[[#This Row],[ALT_KOD]]))</f>
        <v>43.169999999999959</v>
      </c>
      <c r="L783">
        <v>0</v>
      </c>
      <c r="M783">
        <f>IF((DST_123_ÜRETİM_İHTİYAÇ_RAPORU_BURAK_YENI1309[[#This Row],[SATINALMA]]*DST_123_ÜRETİM_İHTİYAÇ_RAPORU_BURAK_YENI1309[[#This Row],[BIRIM_FIYATLAR]])&lt;1,VALUE("0"),DST_123_ÜRETİM_İHTİYAÇ_RAPORU_BURAK_YENI1309[[#This Row],[SATINALMA]]*DST_123_ÜRETİM_İHTİYAÇ_RAPORU_BURAK_YENI1309[[#This Row],[BIRIM_FIYATLAR]])</f>
        <v>4160.2928999999958</v>
      </c>
      <c r="N783">
        <v>96.37</v>
      </c>
      <c r="O783" t="s">
        <v>490</v>
      </c>
      <c r="P783">
        <v>822.99980000000016</v>
      </c>
      <c r="Q783" t="s">
        <v>183</v>
      </c>
    </row>
    <row r="784" spans="1:17" x14ac:dyDescent="0.25">
      <c r="A784" t="s">
        <v>1100</v>
      </c>
      <c r="B784" t="s">
        <v>1058</v>
      </c>
      <c r="C784" t="s">
        <v>175</v>
      </c>
      <c r="D784" t="s">
        <v>68</v>
      </c>
      <c r="E784" t="s">
        <v>69</v>
      </c>
      <c r="F784">
        <v>6.54</v>
      </c>
      <c r="G784" t="s">
        <v>185</v>
      </c>
      <c r="H784">
        <v>0</v>
      </c>
      <c r="I784">
        <v>134.9</v>
      </c>
      <c r="J784" s="10">
        <v>46.099999999999767</v>
      </c>
      <c r="K784" s="10">
        <f>SUMIFS(F:F,D:D,DST_123_ÜRETİM_İHTİYAÇ_RAPORU_BURAK_YENI1309[[#This Row],[ALT_KOD]])-(SUMIFS(H:H,D:D,DST_123_ÜRETİM_İHTİYAÇ_RAPORU_BURAK_YENI1309[[#This Row],[ALT_KOD]])+AVERAGEIFS(I:I,D:D,DST_123_ÜRETİM_İHTİYAÇ_RAPORU_BURAK_YENI1309[[#This Row],[ALT_KOD]])+AVERAGEIFS(L:L,D:D,DST_123_ÜRETİM_İHTİYAÇ_RAPORU_BURAK_YENI1309[[#This Row],[ALT_KOD]]))</f>
        <v>43.169999999999959</v>
      </c>
      <c r="L784">
        <v>0</v>
      </c>
      <c r="M784">
        <f>IF((DST_123_ÜRETİM_İHTİYAÇ_RAPORU_BURAK_YENI1309[[#This Row],[SATINALMA]]*DST_123_ÜRETİM_İHTİYAÇ_RAPORU_BURAK_YENI1309[[#This Row],[BIRIM_FIYATLAR]])&lt;1,VALUE("0"),DST_123_ÜRETİM_İHTİYAÇ_RAPORU_BURAK_YENI1309[[#This Row],[SATINALMA]]*DST_123_ÜRETİM_İHTİYAÇ_RAPORU_BURAK_YENI1309[[#This Row],[BIRIM_FIYATLAR]])</f>
        <v>4160.2928999999958</v>
      </c>
      <c r="N784">
        <v>96.37</v>
      </c>
      <c r="O784" t="s">
        <v>490</v>
      </c>
      <c r="P784">
        <v>630.25980000000004</v>
      </c>
      <c r="Q784" t="s">
        <v>183</v>
      </c>
    </row>
    <row r="785" spans="1:17" x14ac:dyDescent="0.25">
      <c r="A785" t="s">
        <v>1148</v>
      </c>
      <c r="B785" t="s">
        <v>1056</v>
      </c>
      <c r="C785" t="s">
        <v>175</v>
      </c>
      <c r="D785" t="s">
        <v>68</v>
      </c>
      <c r="E785" t="s">
        <v>69</v>
      </c>
      <c r="F785">
        <v>9.7099999999999991</v>
      </c>
      <c r="G785" t="s">
        <v>185</v>
      </c>
      <c r="H785">
        <v>0</v>
      </c>
      <c r="I785">
        <v>134.9</v>
      </c>
      <c r="J785" s="10">
        <v>46.099999999999767</v>
      </c>
      <c r="K785" s="10">
        <f>SUMIFS(F:F,D:D,DST_123_ÜRETİM_İHTİYAÇ_RAPORU_BURAK_YENI1309[[#This Row],[ALT_KOD]])-(SUMIFS(H:H,D:D,DST_123_ÜRETİM_İHTİYAÇ_RAPORU_BURAK_YENI1309[[#This Row],[ALT_KOD]])+AVERAGEIFS(I:I,D:D,DST_123_ÜRETİM_İHTİYAÇ_RAPORU_BURAK_YENI1309[[#This Row],[ALT_KOD]])+AVERAGEIFS(L:L,D:D,DST_123_ÜRETİM_İHTİYAÇ_RAPORU_BURAK_YENI1309[[#This Row],[ALT_KOD]]))</f>
        <v>43.169999999999959</v>
      </c>
      <c r="L785">
        <v>0</v>
      </c>
      <c r="M785">
        <f>IF((DST_123_ÜRETİM_İHTİYAÇ_RAPORU_BURAK_YENI1309[[#This Row],[SATINALMA]]*DST_123_ÜRETİM_İHTİYAÇ_RAPORU_BURAK_YENI1309[[#This Row],[BIRIM_FIYATLAR]])&lt;1,VALUE("0"),DST_123_ÜRETİM_İHTİYAÇ_RAPORU_BURAK_YENI1309[[#This Row],[SATINALMA]]*DST_123_ÜRETİM_İHTİYAÇ_RAPORU_BURAK_YENI1309[[#This Row],[BIRIM_FIYATLAR]])</f>
        <v>4160.2928999999958</v>
      </c>
      <c r="N785">
        <v>96.37</v>
      </c>
      <c r="O785" t="s">
        <v>490</v>
      </c>
      <c r="P785">
        <v>935.7527</v>
      </c>
      <c r="Q785" t="s">
        <v>183</v>
      </c>
    </row>
    <row r="786" spans="1:17" x14ac:dyDescent="0.25">
      <c r="A786" t="s">
        <v>1057</v>
      </c>
      <c r="B786" t="s">
        <v>1058</v>
      </c>
      <c r="C786" t="s">
        <v>175</v>
      </c>
      <c r="D786" t="s">
        <v>72</v>
      </c>
      <c r="E786" t="s">
        <v>73</v>
      </c>
      <c r="F786">
        <v>1</v>
      </c>
      <c r="G786" t="s">
        <v>176</v>
      </c>
      <c r="H786">
        <v>1</v>
      </c>
      <c r="I786">
        <v>2</v>
      </c>
      <c r="J786" s="10">
        <v>8</v>
      </c>
      <c r="K786" s="10">
        <f>SUMIFS(F:F,D:D,DST_123_ÜRETİM_İHTİYAÇ_RAPORU_BURAK_YENI1309[[#This Row],[ALT_KOD]])-(SUMIFS(H:H,D:D,DST_123_ÜRETİM_İHTİYAÇ_RAPORU_BURAK_YENI1309[[#This Row],[ALT_KOD]])+AVERAGEIFS(I:I,D:D,DST_123_ÜRETİM_İHTİYAÇ_RAPORU_BURAK_YENI1309[[#This Row],[ALT_KOD]])+AVERAGEIFS(L:L,D:D,DST_123_ÜRETİM_İHTİYAÇ_RAPORU_BURAK_YENI1309[[#This Row],[ALT_KOD]]))</f>
        <v>8</v>
      </c>
      <c r="L786">
        <v>0</v>
      </c>
      <c r="M786">
        <f>IF((DST_123_ÜRETİM_İHTİYAÇ_RAPORU_BURAK_YENI1309[[#This Row],[SATINALMA]]*DST_123_ÜRETİM_İHTİYAÇ_RAPORU_BURAK_YENI1309[[#This Row],[BIRIM_FIYATLAR]])&lt;1,VALUE("0"),DST_123_ÜRETİM_İHTİYAÇ_RAPORU_BURAK_YENI1309[[#This Row],[SATINALMA]]*DST_123_ÜRETİM_İHTİYAÇ_RAPORU_BURAK_YENI1309[[#This Row],[BIRIM_FIYATLAR]])</f>
        <v>70583.44</v>
      </c>
      <c r="N786">
        <v>8822.93</v>
      </c>
      <c r="O786" t="s">
        <v>634</v>
      </c>
      <c r="P786">
        <v>8822.93</v>
      </c>
      <c r="Q786" t="s">
        <v>178</v>
      </c>
    </row>
    <row r="787" spans="1:17" x14ac:dyDescent="0.25">
      <c r="A787" t="s">
        <v>1100</v>
      </c>
      <c r="B787" t="s">
        <v>1058</v>
      </c>
      <c r="C787" t="s">
        <v>175</v>
      </c>
      <c r="D787" t="s">
        <v>72</v>
      </c>
      <c r="E787" t="s">
        <v>73</v>
      </c>
      <c r="F787">
        <v>1</v>
      </c>
      <c r="G787" t="s">
        <v>176</v>
      </c>
      <c r="H787">
        <v>1</v>
      </c>
      <c r="I787">
        <v>2</v>
      </c>
      <c r="J787" s="10">
        <v>8</v>
      </c>
      <c r="K787" s="10">
        <f>SUMIFS(F:F,D:D,DST_123_ÜRETİM_İHTİYAÇ_RAPORU_BURAK_YENI1309[[#This Row],[ALT_KOD]])-(SUMIFS(H:H,D:D,DST_123_ÜRETİM_İHTİYAÇ_RAPORU_BURAK_YENI1309[[#This Row],[ALT_KOD]])+AVERAGEIFS(I:I,D:D,DST_123_ÜRETİM_İHTİYAÇ_RAPORU_BURAK_YENI1309[[#This Row],[ALT_KOD]])+AVERAGEIFS(L:L,D:D,DST_123_ÜRETİM_İHTİYAÇ_RAPORU_BURAK_YENI1309[[#This Row],[ALT_KOD]]))</f>
        <v>8</v>
      </c>
      <c r="L787">
        <v>0</v>
      </c>
      <c r="M787">
        <f>IF((DST_123_ÜRETİM_İHTİYAÇ_RAPORU_BURAK_YENI1309[[#This Row],[SATINALMA]]*DST_123_ÜRETİM_İHTİYAÇ_RAPORU_BURAK_YENI1309[[#This Row],[BIRIM_FIYATLAR]])&lt;1,VALUE("0"),DST_123_ÜRETİM_İHTİYAÇ_RAPORU_BURAK_YENI1309[[#This Row],[SATINALMA]]*DST_123_ÜRETİM_İHTİYAÇ_RAPORU_BURAK_YENI1309[[#This Row],[BIRIM_FIYATLAR]])</f>
        <v>70583.44</v>
      </c>
      <c r="N787">
        <v>8822.93</v>
      </c>
      <c r="O787" t="s">
        <v>634</v>
      </c>
      <c r="P787">
        <v>8822.93</v>
      </c>
      <c r="Q787" t="s">
        <v>178</v>
      </c>
    </row>
    <row r="788" spans="1:17" x14ac:dyDescent="0.25">
      <c r="A788" t="s">
        <v>1057</v>
      </c>
      <c r="B788" t="s">
        <v>1058</v>
      </c>
      <c r="C788" t="s">
        <v>175</v>
      </c>
      <c r="D788" t="s">
        <v>380</v>
      </c>
      <c r="E788" t="s">
        <v>381</v>
      </c>
      <c r="F788">
        <v>1.1000000000000001</v>
      </c>
      <c r="G788" t="s">
        <v>179</v>
      </c>
      <c r="H788">
        <v>0</v>
      </c>
      <c r="I788">
        <v>0</v>
      </c>
      <c r="J788" s="10">
        <v>20.30000000000009</v>
      </c>
      <c r="K788" s="10">
        <f>SUMIFS(F:F,D:D,DST_123_ÜRETİM_İHTİYAÇ_RAPORU_BURAK_YENI1309[[#This Row],[ALT_KOD]])-(SUMIFS(H:H,D:D,DST_123_ÜRETİM_İHTİYAÇ_RAPORU_BURAK_YENI1309[[#This Row],[ALT_KOD]])+AVERAGEIFS(I:I,D:D,DST_123_ÜRETİM_İHTİYAÇ_RAPORU_BURAK_YENI1309[[#This Row],[ALT_KOD]])+AVERAGEIFS(L:L,D:D,DST_123_ÜRETİM_İHTİYAÇ_RAPORU_BURAK_YENI1309[[#This Row],[ALT_KOD]]))</f>
        <v>21.1</v>
      </c>
      <c r="L788">
        <v>0</v>
      </c>
      <c r="M788">
        <f>IF((DST_123_ÜRETİM_İHTİYAÇ_RAPORU_BURAK_YENI1309[[#This Row],[SATINALMA]]*DST_123_ÜRETİM_İHTİYAÇ_RAPORU_BURAK_YENI1309[[#This Row],[BIRIM_FIYATLAR]])&lt;1,VALUE("0"),DST_123_ÜRETİM_İHTİYAÇ_RAPORU_BURAK_YENI1309[[#This Row],[SATINALMA]]*DST_123_ÜRETİM_İHTİYAÇ_RAPORU_BURAK_YENI1309[[#This Row],[BIRIM_FIYATLAR]])</f>
        <v>2426.5</v>
      </c>
      <c r="N788">
        <v>115</v>
      </c>
      <c r="O788" t="s">
        <v>821</v>
      </c>
      <c r="P788">
        <v>126.50000000000001</v>
      </c>
      <c r="Q788" t="s">
        <v>178</v>
      </c>
    </row>
    <row r="789" spans="1:17" x14ac:dyDescent="0.25">
      <c r="A789" t="s">
        <v>1100</v>
      </c>
      <c r="B789" t="s">
        <v>1058</v>
      </c>
      <c r="C789" t="s">
        <v>175</v>
      </c>
      <c r="D789" t="s">
        <v>380</v>
      </c>
      <c r="E789" t="s">
        <v>381</v>
      </c>
      <c r="F789">
        <v>1.1000000000000001</v>
      </c>
      <c r="G789" t="s">
        <v>179</v>
      </c>
      <c r="H789">
        <v>0</v>
      </c>
      <c r="I789">
        <v>0</v>
      </c>
      <c r="J789" s="10">
        <v>20.30000000000009</v>
      </c>
      <c r="K789" s="10">
        <f>SUMIFS(F:F,D:D,DST_123_ÜRETİM_İHTİYAÇ_RAPORU_BURAK_YENI1309[[#This Row],[ALT_KOD]])-(SUMIFS(H:H,D:D,DST_123_ÜRETİM_İHTİYAÇ_RAPORU_BURAK_YENI1309[[#This Row],[ALT_KOD]])+AVERAGEIFS(I:I,D:D,DST_123_ÜRETİM_İHTİYAÇ_RAPORU_BURAK_YENI1309[[#This Row],[ALT_KOD]])+AVERAGEIFS(L:L,D:D,DST_123_ÜRETİM_İHTİYAÇ_RAPORU_BURAK_YENI1309[[#This Row],[ALT_KOD]]))</f>
        <v>21.1</v>
      </c>
      <c r="L789">
        <v>0</v>
      </c>
      <c r="M789">
        <f>IF((DST_123_ÜRETİM_İHTİYAÇ_RAPORU_BURAK_YENI1309[[#This Row],[SATINALMA]]*DST_123_ÜRETİM_İHTİYAÇ_RAPORU_BURAK_YENI1309[[#This Row],[BIRIM_FIYATLAR]])&lt;1,VALUE("0"),DST_123_ÜRETİM_İHTİYAÇ_RAPORU_BURAK_YENI1309[[#This Row],[SATINALMA]]*DST_123_ÜRETİM_İHTİYAÇ_RAPORU_BURAK_YENI1309[[#This Row],[BIRIM_FIYATLAR]])</f>
        <v>2426.5</v>
      </c>
      <c r="N789">
        <v>115</v>
      </c>
      <c r="O789" t="s">
        <v>821</v>
      </c>
      <c r="P789">
        <v>126.50000000000001</v>
      </c>
      <c r="Q789" t="s">
        <v>178</v>
      </c>
    </row>
    <row r="790" spans="1:17" x14ac:dyDescent="0.25">
      <c r="A790" t="s">
        <v>1148</v>
      </c>
      <c r="B790" t="s">
        <v>1056</v>
      </c>
      <c r="C790" t="s">
        <v>175</v>
      </c>
      <c r="D790" t="s">
        <v>380</v>
      </c>
      <c r="E790" t="s">
        <v>381</v>
      </c>
      <c r="F790">
        <v>1.1000000000000001</v>
      </c>
      <c r="G790" t="s">
        <v>179</v>
      </c>
      <c r="H790">
        <v>0</v>
      </c>
      <c r="I790">
        <v>0</v>
      </c>
      <c r="J790" s="10">
        <v>20.30000000000009</v>
      </c>
      <c r="K790" s="10">
        <f>SUMIFS(F:F,D:D,DST_123_ÜRETİM_İHTİYAÇ_RAPORU_BURAK_YENI1309[[#This Row],[ALT_KOD]])-(SUMIFS(H:H,D:D,DST_123_ÜRETİM_İHTİYAÇ_RAPORU_BURAK_YENI1309[[#This Row],[ALT_KOD]])+AVERAGEIFS(I:I,D:D,DST_123_ÜRETİM_İHTİYAÇ_RAPORU_BURAK_YENI1309[[#This Row],[ALT_KOD]])+AVERAGEIFS(L:L,D:D,DST_123_ÜRETİM_İHTİYAÇ_RAPORU_BURAK_YENI1309[[#This Row],[ALT_KOD]]))</f>
        <v>21.1</v>
      </c>
      <c r="L790">
        <v>0</v>
      </c>
      <c r="M790">
        <f>IF((DST_123_ÜRETİM_İHTİYAÇ_RAPORU_BURAK_YENI1309[[#This Row],[SATINALMA]]*DST_123_ÜRETİM_İHTİYAÇ_RAPORU_BURAK_YENI1309[[#This Row],[BIRIM_FIYATLAR]])&lt;1,VALUE("0"),DST_123_ÜRETİM_İHTİYAÇ_RAPORU_BURAK_YENI1309[[#This Row],[SATINALMA]]*DST_123_ÜRETİM_İHTİYAÇ_RAPORU_BURAK_YENI1309[[#This Row],[BIRIM_FIYATLAR]])</f>
        <v>2426.5</v>
      </c>
      <c r="N790">
        <v>115</v>
      </c>
      <c r="O790" t="s">
        <v>821</v>
      </c>
      <c r="P790">
        <v>126.50000000000001</v>
      </c>
      <c r="Q790" t="s">
        <v>178</v>
      </c>
    </row>
    <row r="791" spans="1:17" x14ac:dyDescent="0.25">
      <c r="A791" t="s">
        <v>1149</v>
      </c>
      <c r="B791" t="s">
        <v>1145</v>
      </c>
      <c r="C791" t="s">
        <v>175</v>
      </c>
      <c r="D791" t="s">
        <v>324</v>
      </c>
      <c r="E791" t="s">
        <v>325</v>
      </c>
      <c r="F791">
        <v>0.10400000000000001</v>
      </c>
      <c r="G791" t="s">
        <v>176</v>
      </c>
      <c r="H791">
        <v>0</v>
      </c>
      <c r="I791">
        <v>0</v>
      </c>
      <c r="J791" s="10">
        <v>1.7763568394002505E-15</v>
      </c>
      <c r="K791" s="10">
        <f>SUMIFS(F:F,D:D,DST_123_ÜRETİM_İHTİYAÇ_RAPORU_BURAK_YENI1309[[#This Row],[ALT_KOD]])-(SUMIFS(H:H,D:D,DST_123_ÜRETİM_İHTİYAÇ_RAPORU_BURAK_YENI1309[[#This Row],[ALT_KOD]])+AVERAGEIFS(I:I,D:D,DST_123_ÜRETİM_İHTİYAÇ_RAPORU_BURAK_YENI1309[[#This Row],[ALT_KOD]])+AVERAGEIFS(L:L,D:D,DST_123_ÜRETİM_İHTİYAÇ_RAPORU_BURAK_YENI1309[[#This Row],[ALT_KOD]]))</f>
        <v>2.5820000000000007</v>
      </c>
      <c r="L791">
        <v>0</v>
      </c>
      <c r="M791">
        <f>IF((DST_123_ÜRETİM_İHTİYAÇ_RAPORU_BURAK_YENI1309[[#This Row],[SATINALMA]]*DST_123_ÜRETİM_İHTİYAÇ_RAPORU_BURAK_YENI1309[[#This Row],[BIRIM_FIYATLAR]])&lt;1,VALUE("0"),DST_123_ÜRETİM_İHTİYAÇ_RAPORU_BURAK_YENI1309[[#This Row],[SATINALMA]]*DST_123_ÜRETİM_İHTİYAÇ_RAPORU_BURAK_YENI1309[[#This Row],[BIRIM_FIYATLAR]])</f>
        <v>4066.650000000001</v>
      </c>
      <c r="N791">
        <v>1575</v>
      </c>
      <c r="O791" t="s">
        <v>326</v>
      </c>
      <c r="P791">
        <v>163.80000000000001</v>
      </c>
      <c r="Q791" t="s">
        <v>178</v>
      </c>
    </row>
    <row r="792" spans="1:17" x14ac:dyDescent="0.25">
      <c r="A792" t="s">
        <v>1146</v>
      </c>
      <c r="B792" t="s">
        <v>1145</v>
      </c>
      <c r="C792" t="s">
        <v>175</v>
      </c>
      <c r="D792" t="s">
        <v>324</v>
      </c>
      <c r="E792" t="s">
        <v>325</v>
      </c>
      <c r="F792">
        <v>0.10400000000000001</v>
      </c>
      <c r="G792" t="s">
        <v>176</v>
      </c>
      <c r="H792">
        <v>0</v>
      </c>
      <c r="I792">
        <v>0</v>
      </c>
      <c r="J792" s="10">
        <v>1.7763568394002505E-15</v>
      </c>
      <c r="K792" s="10">
        <f>SUMIFS(F:F,D:D,DST_123_ÜRETİM_İHTİYAÇ_RAPORU_BURAK_YENI1309[[#This Row],[ALT_KOD]])-(SUMIFS(H:H,D:D,DST_123_ÜRETİM_İHTİYAÇ_RAPORU_BURAK_YENI1309[[#This Row],[ALT_KOD]])+AVERAGEIFS(I:I,D:D,DST_123_ÜRETİM_İHTİYAÇ_RAPORU_BURAK_YENI1309[[#This Row],[ALT_KOD]])+AVERAGEIFS(L:L,D:D,DST_123_ÜRETİM_İHTİYAÇ_RAPORU_BURAK_YENI1309[[#This Row],[ALT_KOD]]))</f>
        <v>2.5820000000000007</v>
      </c>
      <c r="L792">
        <v>0</v>
      </c>
      <c r="M792">
        <f>IF((DST_123_ÜRETİM_İHTİYAÇ_RAPORU_BURAK_YENI1309[[#This Row],[SATINALMA]]*DST_123_ÜRETİM_İHTİYAÇ_RAPORU_BURAK_YENI1309[[#This Row],[BIRIM_FIYATLAR]])&lt;1,VALUE("0"),DST_123_ÜRETİM_İHTİYAÇ_RAPORU_BURAK_YENI1309[[#This Row],[SATINALMA]]*DST_123_ÜRETİM_İHTİYAÇ_RAPORU_BURAK_YENI1309[[#This Row],[BIRIM_FIYATLAR]])</f>
        <v>4066.650000000001</v>
      </c>
      <c r="N792">
        <v>1575</v>
      </c>
      <c r="O792" t="s">
        <v>326</v>
      </c>
      <c r="P792">
        <v>163.80000000000001</v>
      </c>
      <c r="Q792" t="s">
        <v>178</v>
      </c>
    </row>
    <row r="793" spans="1:17" x14ac:dyDescent="0.25">
      <c r="A793" t="s">
        <v>1146</v>
      </c>
      <c r="B793" t="s">
        <v>1145</v>
      </c>
      <c r="C793" t="s">
        <v>175</v>
      </c>
      <c r="D793" t="s">
        <v>149</v>
      </c>
      <c r="E793" t="s">
        <v>150</v>
      </c>
      <c r="F793">
        <v>1.3</v>
      </c>
      <c r="G793" t="s">
        <v>176</v>
      </c>
      <c r="H793">
        <v>0</v>
      </c>
      <c r="I793">
        <v>5</v>
      </c>
      <c r="J793" s="10">
        <v>0</v>
      </c>
      <c r="K793" s="10">
        <f>SUMIFS(F:F,D:D,DST_123_ÜRETİM_İHTİYAÇ_RAPORU_BURAK_YENI1309[[#This Row],[ALT_KOD]])-(SUMIFS(H:H,D:D,DST_123_ÜRETİM_İHTİYAÇ_RAPORU_BURAK_YENI1309[[#This Row],[ALT_KOD]])+AVERAGEIFS(I:I,D:D,DST_123_ÜRETİM_İHTİYAÇ_RAPORU_BURAK_YENI1309[[#This Row],[ALT_KOD]])+AVERAGEIFS(L:L,D:D,DST_123_ÜRETİM_İHTİYAÇ_RAPORU_BURAK_YENI1309[[#This Row],[ALT_KOD]]))</f>
        <v>4.6000000000000014</v>
      </c>
      <c r="L793">
        <v>5</v>
      </c>
      <c r="M793">
        <f>IF((DST_123_ÜRETİM_İHTİYAÇ_RAPORU_BURAK_YENI1309[[#This Row],[SATINALMA]]*DST_123_ÜRETİM_İHTİYAÇ_RAPORU_BURAK_YENI1309[[#This Row],[BIRIM_FIYATLAR]])&lt;1,VALUE("0"),DST_123_ÜRETİM_İHTİYAÇ_RAPORU_BURAK_YENI1309[[#This Row],[SATINALMA]]*DST_123_ÜRETİM_İHTİYAÇ_RAPORU_BURAK_YENI1309[[#This Row],[BIRIM_FIYATLAR]])</f>
        <v>5276.2000000000016</v>
      </c>
      <c r="N793">
        <v>1147</v>
      </c>
      <c r="O793" t="s">
        <v>672</v>
      </c>
      <c r="P793">
        <v>1491.1000000000001</v>
      </c>
      <c r="Q793" t="s">
        <v>184</v>
      </c>
    </row>
    <row r="794" spans="1:17" x14ac:dyDescent="0.25">
      <c r="A794" t="s">
        <v>1148</v>
      </c>
      <c r="B794" t="s">
        <v>1056</v>
      </c>
      <c r="C794" t="s">
        <v>175</v>
      </c>
      <c r="D794" t="s">
        <v>86</v>
      </c>
      <c r="E794" t="s">
        <v>87</v>
      </c>
      <c r="F794">
        <v>3</v>
      </c>
      <c r="G794" t="s">
        <v>176</v>
      </c>
      <c r="H794">
        <v>0</v>
      </c>
      <c r="I794">
        <v>47</v>
      </c>
      <c r="J794" s="10">
        <v>1</v>
      </c>
      <c r="K794" s="10">
        <f>SUMIFS(F:F,D:D,DST_123_ÜRETİM_İHTİYAÇ_RAPORU_BURAK_YENI1309[[#This Row],[ALT_KOD]])-(SUMIFS(H:H,D:D,DST_123_ÜRETİM_İHTİYAÇ_RAPORU_BURAK_YENI1309[[#This Row],[ALT_KOD]])+AVERAGEIFS(I:I,D:D,DST_123_ÜRETİM_İHTİYAÇ_RAPORU_BURAK_YENI1309[[#This Row],[ALT_KOD]])+AVERAGEIFS(L:L,D:D,DST_123_ÜRETİM_İHTİYAÇ_RAPORU_BURAK_YENI1309[[#This Row],[ALT_KOD]]))</f>
        <v>23.61999999999999</v>
      </c>
      <c r="L794">
        <v>0</v>
      </c>
      <c r="M794">
        <f>IF((DST_123_ÜRETİM_İHTİYAÇ_RAPORU_BURAK_YENI1309[[#This Row],[SATINALMA]]*DST_123_ÜRETİM_İHTİYAÇ_RAPORU_BURAK_YENI1309[[#This Row],[BIRIM_FIYATLAR]])&lt;1,VALUE("0"),DST_123_ÜRETİM_İHTİYAÇ_RAPORU_BURAK_YENI1309[[#This Row],[SATINALMA]]*DST_123_ÜRETİM_İHTİYAÇ_RAPORU_BURAK_YENI1309[[#This Row],[BIRIM_FIYATLAR]])</f>
        <v>2361.9999999999991</v>
      </c>
      <c r="N794">
        <v>100</v>
      </c>
      <c r="O794" t="s">
        <v>240</v>
      </c>
      <c r="P794">
        <v>300</v>
      </c>
      <c r="Q794" t="s">
        <v>183</v>
      </c>
    </row>
    <row r="795" spans="1:17" x14ac:dyDescent="0.25">
      <c r="A795" t="s">
        <v>1064</v>
      </c>
      <c r="B795" t="s">
        <v>1055</v>
      </c>
      <c r="C795" t="s">
        <v>175</v>
      </c>
      <c r="D795" t="s">
        <v>233</v>
      </c>
      <c r="E795" t="s">
        <v>234</v>
      </c>
      <c r="F795">
        <v>2</v>
      </c>
      <c r="G795" t="s">
        <v>176</v>
      </c>
      <c r="H795">
        <v>0</v>
      </c>
      <c r="I795">
        <v>222</v>
      </c>
      <c r="J795" s="10">
        <v>90</v>
      </c>
      <c r="K795" s="10">
        <f>SUMIFS(F:F,D:D,DST_123_ÜRETİM_İHTİYAÇ_RAPORU_BURAK_YENI1309[[#This Row],[ALT_KOD]])-(SUMIFS(H:H,D:D,DST_123_ÜRETİM_İHTİYAÇ_RAPORU_BURAK_YENI1309[[#This Row],[ALT_KOD]])+AVERAGEIFS(I:I,D:D,DST_123_ÜRETİM_İHTİYAÇ_RAPORU_BURAK_YENI1309[[#This Row],[ALT_KOD]])+AVERAGEIFS(L:L,D:D,DST_123_ÜRETİM_İHTİYAÇ_RAPORU_BURAK_YENI1309[[#This Row],[ALT_KOD]]))</f>
        <v>-184</v>
      </c>
      <c r="L795">
        <v>0</v>
      </c>
      <c r="M795">
        <f>IF((DST_123_ÜRETİM_İHTİYAÇ_RAPORU_BURAK_YENI1309[[#This Row],[SATINALMA]]*DST_123_ÜRETİM_İHTİYAÇ_RAPORU_BURAK_YENI1309[[#This Row],[BIRIM_FIYATLAR]])&lt;1,VALUE("0"),DST_123_ÜRETİM_İHTİYAÇ_RAPORU_BURAK_YENI1309[[#This Row],[SATINALMA]]*DST_123_ÜRETİM_İHTİYAÇ_RAPORU_BURAK_YENI1309[[#This Row],[BIRIM_FIYATLAR]])</f>
        <v>0</v>
      </c>
      <c r="N795">
        <v>4</v>
      </c>
      <c r="O795" t="s">
        <v>220</v>
      </c>
      <c r="P795">
        <v>8</v>
      </c>
      <c r="Q795" t="s">
        <v>221</v>
      </c>
    </row>
    <row r="796" spans="1:17" x14ac:dyDescent="0.25">
      <c r="A796" t="s">
        <v>1196</v>
      </c>
      <c r="B796" t="s">
        <v>1197</v>
      </c>
      <c r="C796" t="s">
        <v>175</v>
      </c>
      <c r="D796" t="s">
        <v>233</v>
      </c>
      <c r="E796" t="s">
        <v>234</v>
      </c>
      <c r="F796">
        <v>2</v>
      </c>
      <c r="G796" t="s">
        <v>176</v>
      </c>
      <c r="H796">
        <v>0</v>
      </c>
      <c r="I796">
        <v>222</v>
      </c>
      <c r="J796" s="10">
        <v>90</v>
      </c>
      <c r="K796" s="10">
        <f>SUMIFS(F:F,D:D,DST_123_ÜRETİM_İHTİYAÇ_RAPORU_BURAK_YENI1309[[#This Row],[ALT_KOD]])-(SUMIFS(H:H,D:D,DST_123_ÜRETİM_İHTİYAÇ_RAPORU_BURAK_YENI1309[[#This Row],[ALT_KOD]])+AVERAGEIFS(I:I,D:D,DST_123_ÜRETİM_İHTİYAÇ_RAPORU_BURAK_YENI1309[[#This Row],[ALT_KOD]])+AVERAGEIFS(L:L,D:D,DST_123_ÜRETİM_İHTİYAÇ_RAPORU_BURAK_YENI1309[[#This Row],[ALT_KOD]]))</f>
        <v>-184</v>
      </c>
      <c r="L796">
        <v>0</v>
      </c>
      <c r="M796">
        <f>IF((DST_123_ÜRETİM_İHTİYAÇ_RAPORU_BURAK_YENI1309[[#This Row],[SATINALMA]]*DST_123_ÜRETİM_İHTİYAÇ_RAPORU_BURAK_YENI1309[[#This Row],[BIRIM_FIYATLAR]])&lt;1,VALUE("0"),DST_123_ÜRETİM_İHTİYAÇ_RAPORU_BURAK_YENI1309[[#This Row],[SATINALMA]]*DST_123_ÜRETİM_İHTİYAÇ_RAPORU_BURAK_YENI1309[[#This Row],[BIRIM_FIYATLAR]])</f>
        <v>0</v>
      </c>
      <c r="N796">
        <v>4</v>
      </c>
      <c r="O796" t="s">
        <v>220</v>
      </c>
      <c r="P796">
        <v>8</v>
      </c>
      <c r="Q796" t="s">
        <v>221</v>
      </c>
    </row>
    <row r="797" spans="1:17" x14ac:dyDescent="0.25">
      <c r="A797" t="s">
        <v>1099</v>
      </c>
      <c r="B797" t="s">
        <v>1055</v>
      </c>
      <c r="C797" t="s">
        <v>175</v>
      </c>
      <c r="D797" t="s">
        <v>233</v>
      </c>
      <c r="E797" t="s">
        <v>234</v>
      </c>
      <c r="F797">
        <v>2</v>
      </c>
      <c r="G797" t="s">
        <v>176</v>
      </c>
      <c r="H797">
        <v>0</v>
      </c>
      <c r="I797">
        <v>222</v>
      </c>
      <c r="J797" s="10">
        <v>90</v>
      </c>
      <c r="K797" s="10">
        <f>SUMIFS(F:F,D:D,DST_123_ÜRETİM_İHTİYAÇ_RAPORU_BURAK_YENI1309[[#This Row],[ALT_KOD]])-(SUMIFS(H:H,D:D,DST_123_ÜRETİM_İHTİYAÇ_RAPORU_BURAK_YENI1309[[#This Row],[ALT_KOD]])+AVERAGEIFS(I:I,D:D,DST_123_ÜRETİM_İHTİYAÇ_RAPORU_BURAK_YENI1309[[#This Row],[ALT_KOD]])+AVERAGEIFS(L:L,D:D,DST_123_ÜRETİM_İHTİYAÇ_RAPORU_BURAK_YENI1309[[#This Row],[ALT_KOD]]))</f>
        <v>-184</v>
      </c>
      <c r="L797">
        <v>0</v>
      </c>
      <c r="M797">
        <f>IF((DST_123_ÜRETİM_İHTİYAÇ_RAPORU_BURAK_YENI1309[[#This Row],[SATINALMA]]*DST_123_ÜRETİM_İHTİYAÇ_RAPORU_BURAK_YENI1309[[#This Row],[BIRIM_FIYATLAR]])&lt;1,VALUE("0"),DST_123_ÜRETİM_İHTİYAÇ_RAPORU_BURAK_YENI1309[[#This Row],[SATINALMA]]*DST_123_ÜRETİM_İHTİYAÇ_RAPORU_BURAK_YENI1309[[#This Row],[BIRIM_FIYATLAR]])</f>
        <v>0</v>
      </c>
      <c r="N797">
        <v>4</v>
      </c>
      <c r="O797" t="s">
        <v>220</v>
      </c>
      <c r="P797">
        <v>8</v>
      </c>
      <c r="Q797" t="s">
        <v>221</v>
      </c>
    </row>
    <row r="798" spans="1:17" x14ac:dyDescent="0.25">
      <c r="A798" t="s">
        <v>1196</v>
      </c>
      <c r="B798" t="s">
        <v>1197</v>
      </c>
      <c r="C798" t="s">
        <v>175</v>
      </c>
      <c r="D798" t="s">
        <v>387</v>
      </c>
      <c r="E798" t="s">
        <v>388</v>
      </c>
      <c r="F798">
        <v>7</v>
      </c>
      <c r="G798" t="s">
        <v>176</v>
      </c>
      <c r="H798">
        <v>0</v>
      </c>
      <c r="I798">
        <v>1100</v>
      </c>
      <c r="J798" s="10">
        <v>780</v>
      </c>
      <c r="K798" s="10">
        <f>SUMIFS(F:F,D:D,DST_123_ÜRETİM_İHTİYAÇ_RAPORU_BURAK_YENI1309[[#This Row],[ALT_KOD]])-(SUMIFS(H:H,D:D,DST_123_ÜRETİM_İHTİYAÇ_RAPORU_BURAK_YENI1309[[#This Row],[ALT_KOD]])+AVERAGEIFS(I:I,D:D,DST_123_ÜRETİM_İHTİYAÇ_RAPORU_BURAK_YENI1309[[#This Row],[ALT_KOD]])+AVERAGEIFS(L:L,D:D,DST_123_ÜRETİM_İHTİYAÇ_RAPORU_BURAK_YENI1309[[#This Row],[ALT_KOD]]))</f>
        <v>-832</v>
      </c>
      <c r="L798">
        <v>0</v>
      </c>
      <c r="M798">
        <f>IF((DST_123_ÜRETİM_İHTİYAÇ_RAPORU_BURAK_YENI1309[[#This Row],[SATINALMA]]*DST_123_ÜRETİM_İHTİYAÇ_RAPORU_BURAK_YENI1309[[#This Row],[BIRIM_FIYATLAR]])&lt;1,VALUE("0"),DST_123_ÜRETİM_İHTİYAÇ_RAPORU_BURAK_YENI1309[[#This Row],[SATINALMA]]*DST_123_ÜRETİM_İHTİYAÇ_RAPORU_BURAK_YENI1309[[#This Row],[BIRIM_FIYATLAR]])</f>
        <v>0</v>
      </c>
      <c r="N798">
        <v>0.32</v>
      </c>
      <c r="O798" t="s">
        <v>240</v>
      </c>
      <c r="P798">
        <v>2.2400000000000002</v>
      </c>
      <c r="Q798" t="s">
        <v>180</v>
      </c>
    </row>
    <row r="799" spans="1:17" x14ac:dyDescent="0.25">
      <c r="A799" s="13" t="s">
        <v>1099</v>
      </c>
      <c r="B799" s="13" t="s">
        <v>1055</v>
      </c>
      <c r="C799" t="s">
        <v>175</v>
      </c>
      <c r="D799" s="13" t="s">
        <v>387</v>
      </c>
      <c r="E799" s="13" t="s">
        <v>388</v>
      </c>
      <c r="F799" s="13">
        <v>11</v>
      </c>
      <c r="G799" s="13" t="s">
        <v>176</v>
      </c>
      <c r="H799">
        <v>0</v>
      </c>
      <c r="I799">
        <v>1100</v>
      </c>
      <c r="J799" s="10">
        <v>780</v>
      </c>
      <c r="K799" s="10">
        <f>SUMIFS(F:F,D:D,DST_123_ÜRETİM_İHTİYAÇ_RAPORU_BURAK_YENI1309[[#This Row],[ALT_KOD]])-(SUMIFS(H:H,D:D,DST_123_ÜRETİM_İHTİYAÇ_RAPORU_BURAK_YENI1309[[#This Row],[ALT_KOD]])+AVERAGEIFS(I:I,D:D,DST_123_ÜRETİM_İHTİYAÇ_RAPORU_BURAK_YENI1309[[#This Row],[ALT_KOD]])+AVERAGEIFS(L:L,D:D,DST_123_ÜRETİM_İHTİYAÇ_RAPORU_BURAK_YENI1309[[#This Row],[ALT_KOD]]))</f>
        <v>-832</v>
      </c>
      <c r="L799">
        <v>0</v>
      </c>
      <c r="M799">
        <f>IF((DST_123_ÜRETİM_İHTİYAÇ_RAPORU_BURAK_YENI1309[[#This Row],[SATINALMA]]*DST_123_ÜRETİM_İHTİYAÇ_RAPORU_BURAK_YENI1309[[#This Row],[BIRIM_FIYATLAR]])&lt;1,VALUE("0"),DST_123_ÜRETİM_İHTİYAÇ_RAPORU_BURAK_YENI1309[[#This Row],[SATINALMA]]*DST_123_ÜRETİM_İHTİYAÇ_RAPORU_BURAK_YENI1309[[#This Row],[BIRIM_FIYATLAR]])</f>
        <v>0</v>
      </c>
      <c r="N799">
        <v>0.32</v>
      </c>
      <c r="O799" t="s">
        <v>240</v>
      </c>
      <c r="P799">
        <v>3.52</v>
      </c>
      <c r="Q799" t="s">
        <v>180</v>
      </c>
    </row>
    <row r="800" spans="1:17" x14ac:dyDescent="0.25">
      <c r="A800" t="s">
        <v>1196</v>
      </c>
      <c r="B800" t="s">
        <v>1197</v>
      </c>
      <c r="C800" t="s">
        <v>175</v>
      </c>
      <c r="D800" t="s">
        <v>98</v>
      </c>
      <c r="E800" t="s">
        <v>248</v>
      </c>
      <c r="F800">
        <v>7</v>
      </c>
      <c r="G800" t="s">
        <v>176</v>
      </c>
      <c r="H800">
        <v>0</v>
      </c>
      <c r="I800">
        <v>230</v>
      </c>
      <c r="J800" s="10">
        <v>72</v>
      </c>
      <c r="K800" s="10">
        <f>SUMIFS(F:F,D:D,DST_123_ÜRETİM_İHTİYAÇ_RAPORU_BURAK_YENI1309[[#This Row],[ALT_KOD]])-(SUMIFS(H:H,D:D,DST_123_ÜRETİM_İHTİYAÇ_RAPORU_BURAK_YENI1309[[#This Row],[ALT_KOD]])+AVERAGEIFS(I:I,D:D,DST_123_ÜRETİM_İHTİYAÇ_RAPORU_BURAK_YENI1309[[#This Row],[ALT_KOD]])+AVERAGEIFS(L:L,D:D,DST_123_ÜRETİM_İHTİYAÇ_RAPORU_BURAK_YENI1309[[#This Row],[ALT_KOD]]))</f>
        <v>-172</v>
      </c>
      <c r="L800">
        <v>0</v>
      </c>
      <c r="M800">
        <f>IF((DST_123_ÜRETİM_İHTİYAÇ_RAPORU_BURAK_YENI1309[[#This Row],[SATINALMA]]*DST_123_ÜRETİM_İHTİYAÇ_RAPORU_BURAK_YENI1309[[#This Row],[BIRIM_FIYATLAR]])&lt;1,VALUE("0"),DST_123_ÜRETİM_İHTİYAÇ_RAPORU_BURAK_YENI1309[[#This Row],[SATINALMA]]*DST_123_ÜRETİM_İHTİYAÇ_RAPORU_BURAK_YENI1309[[#This Row],[BIRIM_FIYATLAR]])</f>
        <v>0</v>
      </c>
      <c r="N800">
        <v>225</v>
      </c>
      <c r="O800" t="s">
        <v>825</v>
      </c>
      <c r="P800">
        <v>1575</v>
      </c>
      <c r="Q800" t="s">
        <v>177</v>
      </c>
    </row>
    <row r="801" spans="1:17" x14ac:dyDescent="0.25">
      <c r="A801" t="s">
        <v>1099</v>
      </c>
      <c r="B801" t="s">
        <v>1055</v>
      </c>
      <c r="C801" t="s">
        <v>175</v>
      </c>
      <c r="D801" t="s">
        <v>98</v>
      </c>
      <c r="E801" t="s">
        <v>248</v>
      </c>
      <c r="F801">
        <v>8</v>
      </c>
      <c r="G801" t="s">
        <v>176</v>
      </c>
      <c r="H801">
        <v>8</v>
      </c>
      <c r="I801">
        <v>230</v>
      </c>
      <c r="J801" s="10">
        <v>72</v>
      </c>
      <c r="K801" s="10">
        <f>SUMIFS(F:F,D:D,DST_123_ÜRETİM_İHTİYAÇ_RAPORU_BURAK_YENI1309[[#This Row],[ALT_KOD]])-(SUMIFS(H:H,D:D,DST_123_ÜRETİM_İHTİYAÇ_RAPORU_BURAK_YENI1309[[#This Row],[ALT_KOD]])+AVERAGEIFS(I:I,D:D,DST_123_ÜRETİM_İHTİYAÇ_RAPORU_BURAK_YENI1309[[#This Row],[ALT_KOD]])+AVERAGEIFS(L:L,D:D,DST_123_ÜRETİM_İHTİYAÇ_RAPORU_BURAK_YENI1309[[#This Row],[ALT_KOD]]))</f>
        <v>-172</v>
      </c>
      <c r="L801">
        <v>0</v>
      </c>
      <c r="M801">
        <f>IF((DST_123_ÜRETİM_İHTİYAÇ_RAPORU_BURAK_YENI1309[[#This Row],[SATINALMA]]*DST_123_ÜRETİM_İHTİYAÇ_RAPORU_BURAK_YENI1309[[#This Row],[BIRIM_FIYATLAR]])&lt;1,VALUE("0"),DST_123_ÜRETİM_İHTİYAÇ_RAPORU_BURAK_YENI1309[[#This Row],[SATINALMA]]*DST_123_ÜRETİM_İHTİYAÇ_RAPORU_BURAK_YENI1309[[#This Row],[BIRIM_FIYATLAR]])</f>
        <v>0</v>
      </c>
      <c r="N801">
        <v>225</v>
      </c>
      <c r="O801" t="s">
        <v>825</v>
      </c>
      <c r="P801">
        <v>1800</v>
      </c>
      <c r="Q801" t="s">
        <v>177</v>
      </c>
    </row>
    <row r="802" spans="1:17" x14ac:dyDescent="0.25">
      <c r="A802" t="s">
        <v>1095</v>
      </c>
      <c r="B802" t="s">
        <v>1096</v>
      </c>
      <c r="C802" t="s">
        <v>175</v>
      </c>
      <c r="D802" t="s">
        <v>1133</v>
      </c>
      <c r="E802" t="s">
        <v>1134</v>
      </c>
      <c r="F802">
        <v>1</v>
      </c>
      <c r="G802" t="s">
        <v>176</v>
      </c>
      <c r="H802">
        <v>0</v>
      </c>
      <c r="I802">
        <v>0</v>
      </c>
      <c r="J802" s="10">
        <v>0</v>
      </c>
      <c r="K802" s="10">
        <f>SUMIFS(F:F,D:D,DST_123_ÜRETİM_İHTİYAÇ_RAPORU_BURAK_YENI1309[[#This Row],[ALT_KOD]])-(SUMIFS(H:H,D:D,DST_123_ÜRETİM_İHTİYAÇ_RAPORU_BURAK_YENI1309[[#This Row],[ALT_KOD]])+AVERAGEIFS(I:I,D:D,DST_123_ÜRETİM_İHTİYAÇ_RAPORU_BURAK_YENI1309[[#This Row],[ALT_KOD]])+AVERAGEIFS(L:L,D:D,DST_123_ÜRETİM_İHTİYAÇ_RAPORU_BURAK_YENI1309[[#This Row],[ALT_KOD]]))</f>
        <v>2</v>
      </c>
      <c r="L802">
        <v>0</v>
      </c>
      <c r="M802">
        <f>IF((DST_123_ÜRETİM_İHTİYAÇ_RAPORU_BURAK_YENI1309[[#This Row],[SATINALMA]]*DST_123_ÜRETİM_İHTİYAÇ_RAPORU_BURAK_YENI1309[[#This Row],[BIRIM_FIYATLAR]])&lt;1,VALUE("0"),DST_123_ÜRETİM_İHTİYAÇ_RAPORU_BURAK_YENI1309[[#This Row],[SATINALMA]]*DST_123_ÜRETİM_İHTİYAÇ_RAPORU_BURAK_YENI1309[[#This Row],[BIRIM_FIYATLAR]])</f>
        <v>48928.1</v>
      </c>
      <c r="N802">
        <v>24464.05</v>
      </c>
      <c r="O802" t="s">
        <v>712</v>
      </c>
      <c r="P802">
        <v>24464.05</v>
      </c>
      <c r="Q802" t="s">
        <v>177</v>
      </c>
    </row>
    <row r="803" spans="1:17" x14ac:dyDescent="0.25">
      <c r="A803" t="s">
        <v>1095</v>
      </c>
      <c r="B803" t="s">
        <v>1096</v>
      </c>
      <c r="C803" t="s">
        <v>175</v>
      </c>
      <c r="D803" t="s">
        <v>387</v>
      </c>
      <c r="E803" t="s">
        <v>388</v>
      </c>
      <c r="F803">
        <v>32</v>
      </c>
      <c r="G803" t="s">
        <v>176</v>
      </c>
      <c r="H803">
        <v>0</v>
      </c>
      <c r="I803">
        <v>1100</v>
      </c>
      <c r="J803" s="10">
        <v>780</v>
      </c>
      <c r="K803" s="10">
        <f>SUMIFS(F:F,D:D,DST_123_ÜRETİM_İHTİYAÇ_RAPORU_BURAK_YENI1309[[#This Row],[ALT_KOD]])-(SUMIFS(H:H,D:D,DST_123_ÜRETİM_İHTİYAÇ_RAPORU_BURAK_YENI1309[[#This Row],[ALT_KOD]])+AVERAGEIFS(I:I,D:D,DST_123_ÜRETİM_İHTİYAÇ_RAPORU_BURAK_YENI1309[[#This Row],[ALT_KOD]])+AVERAGEIFS(L:L,D:D,DST_123_ÜRETİM_İHTİYAÇ_RAPORU_BURAK_YENI1309[[#This Row],[ALT_KOD]]))</f>
        <v>-832</v>
      </c>
      <c r="L803">
        <v>0</v>
      </c>
      <c r="M803">
        <f>IF((DST_123_ÜRETİM_İHTİYAÇ_RAPORU_BURAK_YENI1309[[#This Row],[SATINALMA]]*DST_123_ÜRETİM_İHTİYAÇ_RAPORU_BURAK_YENI1309[[#This Row],[BIRIM_FIYATLAR]])&lt;1,VALUE("0"),DST_123_ÜRETİM_İHTİYAÇ_RAPORU_BURAK_YENI1309[[#This Row],[SATINALMA]]*DST_123_ÜRETİM_İHTİYAÇ_RAPORU_BURAK_YENI1309[[#This Row],[BIRIM_FIYATLAR]])</f>
        <v>0</v>
      </c>
      <c r="N803">
        <v>0.32</v>
      </c>
      <c r="O803" t="s">
        <v>240</v>
      </c>
      <c r="P803">
        <v>10.24</v>
      </c>
      <c r="Q803" t="s">
        <v>180</v>
      </c>
    </row>
    <row r="804" spans="1:17" x14ac:dyDescent="0.25">
      <c r="A804" t="s">
        <v>1142</v>
      </c>
      <c r="B804" t="s">
        <v>1056</v>
      </c>
      <c r="C804" t="s">
        <v>175</v>
      </c>
      <c r="D804" t="s">
        <v>233</v>
      </c>
      <c r="E804" t="s">
        <v>234</v>
      </c>
      <c r="F804">
        <v>2</v>
      </c>
      <c r="G804" t="s">
        <v>176</v>
      </c>
      <c r="H804">
        <v>0</v>
      </c>
      <c r="I804">
        <v>222</v>
      </c>
      <c r="J804" s="10">
        <v>90</v>
      </c>
      <c r="K804" s="10">
        <f>SUMIFS(F:F,D:D,DST_123_ÜRETİM_İHTİYAÇ_RAPORU_BURAK_YENI1309[[#This Row],[ALT_KOD]])-(SUMIFS(H:H,D:D,DST_123_ÜRETİM_İHTİYAÇ_RAPORU_BURAK_YENI1309[[#This Row],[ALT_KOD]])+AVERAGEIFS(I:I,D:D,DST_123_ÜRETİM_İHTİYAÇ_RAPORU_BURAK_YENI1309[[#This Row],[ALT_KOD]])+AVERAGEIFS(L:L,D:D,DST_123_ÜRETİM_İHTİYAÇ_RAPORU_BURAK_YENI1309[[#This Row],[ALT_KOD]]))</f>
        <v>-184</v>
      </c>
      <c r="L804">
        <v>0</v>
      </c>
      <c r="M804">
        <f>IF((DST_123_ÜRETİM_İHTİYAÇ_RAPORU_BURAK_YENI1309[[#This Row],[SATINALMA]]*DST_123_ÜRETİM_İHTİYAÇ_RAPORU_BURAK_YENI1309[[#This Row],[BIRIM_FIYATLAR]])&lt;1,VALUE("0"),DST_123_ÜRETİM_İHTİYAÇ_RAPORU_BURAK_YENI1309[[#This Row],[SATINALMA]]*DST_123_ÜRETİM_İHTİYAÇ_RAPORU_BURAK_YENI1309[[#This Row],[BIRIM_FIYATLAR]])</f>
        <v>0</v>
      </c>
      <c r="N804">
        <v>4</v>
      </c>
      <c r="O804" t="s">
        <v>220</v>
      </c>
      <c r="P804">
        <v>8</v>
      </c>
      <c r="Q804" t="s">
        <v>221</v>
      </c>
    </row>
    <row r="805" spans="1:17" x14ac:dyDescent="0.25">
      <c r="A805" t="s">
        <v>1142</v>
      </c>
      <c r="B805" t="s">
        <v>1056</v>
      </c>
      <c r="C805" t="s">
        <v>175</v>
      </c>
      <c r="D805" t="s">
        <v>387</v>
      </c>
      <c r="E805" t="s">
        <v>388</v>
      </c>
      <c r="F805">
        <v>7</v>
      </c>
      <c r="G805" t="s">
        <v>176</v>
      </c>
      <c r="H805">
        <v>0</v>
      </c>
      <c r="I805">
        <v>1100</v>
      </c>
      <c r="J805" s="10">
        <v>780</v>
      </c>
      <c r="K805" s="10">
        <f>SUMIFS(F:F,D:D,DST_123_ÜRETİM_İHTİYAÇ_RAPORU_BURAK_YENI1309[[#This Row],[ALT_KOD]])-(SUMIFS(H:H,D:D,DST_123_ÜRETİM_İHTİYAÇ_RAPORU_BURAK_YENI1309[[#This Row],[ALT_KOD]])+AVERAGEIFS(I:I,D:D,DST_123_ÜRETİM_İHTİYAÇ_RAPORU_BURAK_YENI1309[[#This Row],[ALT_KOD]])+AVERAGEIFS(L:L,D:D,DST_123_ÜRETİM_İHTİYAÇ_RAPORU_BURAK_YENI1309[[#This Row],[ALT_KOD]]))</f>
        <v>-832</v>
      </c>
      <c r="L805">
        <v>0</v>
      </c>
      <c r="M805">
        <f>IF((DST_123_ÜRETİM_İHTİYAÇ_RAPORU_BURAK_YENI1309[[#This Row],[SATINALMA]]*DST_123_ÜRETİM_İHTİYAÇ_RAPORU_BURAK_YENI1309[[#This Row],[BIRIM_FIYATLAR]])&lt;1,VALUE("0"),DST_123_ÜRETİM_İHTİYAÇ_RAPORU_BURAK_YENI1309[[#This Row],[SATINALMA]]*DST_123_ÜRETİM_İHTİYAÇ_RAPORU_BURAK_YENI1309[[#This Row],[BIRIM_FIYATLAR]])</f>
        <v>0</v>
      </c>
      <c r="N805">
        <v>0.32</v>
      </c>
      <c r="O805" t="s">
        <v>240</v>
      </c>
      <c r="P805">
        <v>2.2400000000000002</v>
      </c>
      <c r="Q805" t="s">
        <v>180</v>
      </c>
    </row>
    <row r="806" spans="1:17" x14ac:dyDescent="0.25">
      <c r="A806" t="s">
        <v>1150</v>
      </c>
      <c r="B806" t="s">
        <v>1145</v>
      </c>
      <c r="C806" t="s">
        <v>175</v>
      </c>
      <c r="D806" t="s">
        <v>233</v>
      </c>
      <c r="E806" t="s">
        <v>234</v>
      </c>
      <c r="F806">
        <v>2</v>
      </c>
      <c r="G806" t="s">
        <v>176</v>
      </c>
      <c r="H806">
        <v>0</v>
      </c>
      <c r="I806">
        <v>222</v>
      </c>
      <c r="J806" s="10">
        <v>90</v>
      </c>
      <c r="K806" s="10">
        <f>SUMIFS(F:F,D:D,DST_123_ÜRETİM_İHTİYAÇ_RAPORU_BURAK_YENI1309[[#This Row],[ALT_KOD]])-(SUMIFS(H:H,D:D,DST_123_ÜRETİM_İHTİYAÇ_RAPORU_BURAK_YENI1309[[#This Row],[ALT_KOD]])+AVERAGEIFS(I:I,D:D,DST_123_ÜRETİM_İHTİYAÇ_RAPORU_BURAK_YENI1309[[#This Row],[ALT_KOD]])+AVERAGEIFS(L:L,D:D,DST_123_ÜRETİM_İHTİYAÇ_RAPORU_BURAK_YENI1309[[#This Row],[ALT_KOD]]))</f>
        <v>-184</v>
      </c>
      <c r="L806">
        <v>0</v>
      </c>
      <c r="M806">
        <f>IF((DST_123_ÜRETİM_İHTİYAÇ_RAPORU_BURAK_YENI1309[[#This Row],[SATINALMA]]*DST_123_ÜRETİM_İHTİYAÇ_RAPORU_BURAK_YENI1309[[#This Row],[BIRIM_FIYATLAR]])&lt;1,VALUE("0"),DST_123_ÜRETİM_İHTİYAÇ_RAPORU_BURAK_YENI1309[[#This Row],[SATINALMA]]*DST_123_ÜRETİM_İHTİYAÇ_RAPORU_BURAK_YENI1309[[#This Row],[BIRIM_FIYATLAR]])</f>
        <v>0</v>
      </c>
      <c r="N806">
        <v>4</v>
      </c>
      <c r="O806" t="s">
        <v>220</v>
      </c>
      <c r="P806">
        <v>8</v>
      </c>
      <c r="Q806" t="s">
        <v>221</v>
      </c>
    </row>
    <row r="807" spans="1:17" x14ac:dyDescent="0.25">
      <c r="A807" t="s">
        <v>1150</v>
      </c>
      <c r="B807" t="s">
        <v>1145</v>
      </c>
      <c r="C807" t="s">
        <v>175</v>
      </c>
      <c r="D807" t="s">
        <v>387</v>
      </c>
      <c r="E807" t="s">
        <v>388</v>
      </c>
      <c r="F807">
        <v>7</v>
      </c>
      <c r="G807" t="s">
        <v>176</v>
      </c>
      <c r="H807">
        <v>0</v>
      </c>
      <c r="I807">
        <v>1100</v>
      </c>
      <c r="J807" s="10">
        <v>780</v>
      </c>
      <c r="K807" s="10">
        <f>SUMIFS(F:F,D:D,DST_123_ÜRETİM_İHTİYAÇ_RAPORU_BURAK_YENI1309[[#This Row],[ALT_KOD]])-(SUMIFS(H:H,D:D,DST_123_ÜRETİM_İHTİYAÇ_RAPORU_BURAK_YENI1309[[#This Row],[ALT_KOD]])+AVERAGEIFS(I:I,D:D,DST_123_ÜRETİM_İHTİYAÇ_RAPORU_BURAK_YENI1309[[#This Row],[ALT_KOD]])+AVERAGEIFS(L:L,D:D,DST_123_ÜRETİM_İHTİYAÇ_RAPORU_BURAK_YENI1309[[#This Row],[ALT_KOD]]))</f>
        <v>-832</v>
      </c>
      <c r="L807">
        <v>0</v>
      </c>
      <c r="M807">
        <f>IF((DST_123_ÜRETİM_İHTİYAÇ_RAPORU_BURAK_YENI1309[[#This Row],[SATINALMA]]*DST_123_ÜRETİM_İHTİYAÇ_RAPORU_BURAK_YENI1309[[#This Row],[BIRIM_FIYATLAR]])&lt;1,VALUE("0"),DST_123_ÜRETİM_İHTİYAÇ_RAPORU_BURAK_YENI1309[[#This Row],[SATINALMA]]*DST_123_ÜRETİM_İHTİYAÇ_RAPORU_BURAK_YENI1309[[#This Row],[BIRIM_FIYATLAR]])</f>
        <v>0</v>
      </c>
      <c r="N807">
        <v>0.32</v>
      </c>
      <c r="O807" t="s">
        <v>240</v>
      </c>
      <c r="P807">
        <v>2.2400000000000002</v>
      </c>
      <c r="Q807" t="s">
        <v>180</v>
      </c>
    </row>
    <row r="808" spans="1:17" x14ac:dyDescent="0.25">
      <c r="A808" t="s">
        <v>1150</v>
      </c>
      <c r="B808" t="s">
        <v>1145</v>
      </c>
      <c r="C808" t="s">
        <v>175</v>
      </c>
      <c r="D808" t="s">
        <v>98</v>
      </c>
      <c r="E808" t="s">
        <v>248</v>
      </c>
      <c r="F808">
        <v>7</v>
      </c>
      <c r="G808" t="s">
        <v>176</v>
      </c>
      <c r="H808">
        <v>7</v>
      </c>
      <c r="I808">
        <v>230</v>
      </c>
      <c r="J808" s="10">
        <v>72</v>
      </c>
      <c r="K808" s="10">
        <f>SUMIFS(F:F,D:D,DST_123_ÜRETİM_İHTİYAÇ_RAPORU_BURAK_YENI1309[[#This Row],[ALT_KOD]])-(SUMIFS(H:H,D:D,DST_123_ÜRETİM_İHTİYAÇ_RAPORU_BURAK_YENI1309[[#This Row],[ALT_KOD]])+AVERAGEIFS(I:I,D:D,DST_123_ÜRETİM_İHTİYAÇ_RAPORU_BURAK_YENI1309[[#This Row],[ALT_KOD]])+AVERAGEIFS(L:L,D:D,DST_123_ÜRETİM_İHTİYAÇ_RAPORU_BURAK_YENI1309[[#This Row],[ALT_KOD]]))</f>
        <v>-172</v>
      </c>
      <c r="L808">
        <v>0</v>
      </c>
      <c r="M808">
        <f>IF((DST_123_ÜRETİM_İHTİYAÇ_RAPORU_BURAK_YENI1309[[#This Row],[SATINALMA]]*DST_123_ÜRETİM_İHTİYAÇ_RAPORU_BURAK_YENI1309[[#This Row],[BIRIM_FIYATLAR]])&lt;1,VALUE("0"),DST_123_ÜRETİM_İHTİYAÇ_RAPORU_BURAK_YENI1309[[#This Row],[SATINALMA]]*DST_123_ÜRETİM_İHTİYAÇ_RAPORU_BURAK_YENI1309[[#This Row],[BIRIM_FIYATLAR]])</f>
        <v>0</v>
      </c>
      <c r="N808">
        <v>225</v>
      </c>
      <c r="O808" t="s">
        <v>825</v>
      </c>
      <c r="P808">
        <v>1575</v>
      </c>
      <c r="Q808" t="s">
        <v>177</v>
      </c>
    </row>
    <row r="809" spans="1:17" x14ac:dyDescent="0.25">
      <c r="A809" t="s">
        <v>1098</v>
      </c>
      <c r="B809" t="s">
        <v>1096</v>
      </c>
      <c r="C809" t="s">
        <v>175</v>
      </c>
      <c r="D809" t="s">
        <v>233</v>
      </c>
      <c r="E809" t="s">
        <v>234</v>
      </c>
      <c r="F809">
        <v>2</v>
      </c>
      <c r="G809" t="s">
        <v>176</v>
      </c>
      <c r="H809">
        <v>0</v>
      </c>
      <c r="I809">
        <v>222</v>
      </c>
      <c r="J809" s="10">
        <v>90</v>
      </c>
      <c r="K809" s="10">
        <f>SUMIFS(F:F,D:D,DST_123_ÜRETİM_İHTİYAÇ_RAPORU_BURAK_YENI1309[[#This Row],[ALT_KOD]])-(SUMIFS(H:H,D:D,DST_123_ÜRETİM_İHTİYAÇ_RAPORU_BURAK_YENI1309[[#This Row],[ALT_KOD]])+AVERAGEIFS(I:I,D:D,DST_123_ÜRETİM_İHTİYAÇ_RAPORU_BURAK_YENI1309[[#This Row],[ALT_KOD]])+AVERAGEIFS(L:L,D:D,DST_123_ÜRETİM_İHTİYAÇ_RAPORU_BURAK_YENI1309[[#This Row],[ALT_KOD]]))</f>
        <v>-184</v>
      </c>
      <c r="L809">
        <v>0</v>
      </c>
      <c r="M809">
        <f>IF((DST_123_ÜRETİM_İHTİYAÇ_RAPORU_BURAK_YENI1309[[#This Row],[SATINALMA]]*DST_123_ÜRETİM_İHTİYAÇ_RAPORU_BURAK_YENI1309[[#This Row],[BIRIM_FIYATLAR]])&lt;1,VALUE("0"),DST_123_ÜRETİM_İHTİYAÇ_RAPORU_BURAK_YENI1309[[#This Row],[SATINALMA]]*DST_123_ÜRETİM_İHTİYAÇ_RAPORU_BURAK_YENI1309[[#This Row],[BIRIM_FIYATLAR]])</f>
        <v>0</v>
      </c>
      <c r="N809">
        <v>4</v>
      </c>
      <c r="O809" t="s">
        <v>220</v>
      </c>
      <c r="P809">
        <v>8</v>
      </c>
      <c r="Q809" t="s">
        <v>221</v>
      </c>
    </row>
    <row r="810" spans="1:17" x14ac:dyDescent="0.25">
      <c r="A810" t="s">
        <v>1064</v>
      </c>
      <c r="B810" t="s">
        <v>1055</v>
      </c>
      <c r="C810" t="s">
        <v>175</v>
      </c>
      <c r="D810" t="s">
        <v>387</v>
      </c>
      <c r="E810" t="s">
        <v>388</v>
      </c>
      <c r="F810">
        <v>26</v>
      </c>
      <c r="G810" t="s">
        <v>176</v>
      </c>
      <c r="H810">
        <v>0</v>
      </c>
      <c r="I810">
        <v>1100</v>
      </c>
      <c r="J810" s="10">
        <v>780</v>
      </c>
      <c r="K810" s="10">
        <f>SUMIFS(F:F,D:D,DST_123_ÜRETİM_İHTİYAÇ_RAPORU_BURAK_YENI1309[[#This Row],[ALT_KOD]])-(SUMIFS(H:H,D:D,DST_123_ÜRETİM_İHTİYAÇ_RAPORU_BURAK_YENI1309[[#This Row],[ALT_KOD]])+AVERAGEIFS(I:I,D:D,DST_123_ÜRETİM_İHTİYAÇ_RAPORU_BURAK_YENI1309[[#This Row],[ALT_KOD]])+AVERAGEIFS(L:L,D:D,DST_123_ÜRETİM_İHTİYAÇ_RAPORU_BURAK_YENI1309[[#This Row],[ALT_KOD]]))</f>
        <v>-832</v>
      </c>
      <c r="L810">
        <v>0</v>
      </c>
      <c r="M810">
        <f>IF((DST_123_ÜRETİM_İHTİYAÇ_RAPORU_BURAK_YENI1309[[#This Row],[SATINALMA]]*DST_123_ÜRETİM_İHTİYAÇ_RAPORU_BURAK_YENI1309[[#This Row],[BIRIM_FIYATLAR]])&lt;1,VALUE("0"),DST_123_ÜRETİM_İHTİYAÇ_RAPORU_BURAK_YENI1309[[#This Row],[SATINALMA]]*DST_123_ÜRETİM_İHTİYAÇ_RAPORU_BURAK_YENI1309[[#This Row],[BIRIM_FIYATLAR]])</f>
        <v>0</v>
      </c>
      <c r="N810">
        <v>0.32</v>
      </c>
      <c r="O810" t="s">
        <v>240</v>
      </c>
      <c r="P810">
        <v>8.32</v>
      </c>
      <c r="Q810" t="s">
        <v>180</v>
      </c>
    </row>
    <row r="811" spans="1:17" x14ac:dyDescent="0.25">
      <c r="A811" t="s">
        <v>1098</v>
      </c>
      <c r="B811" t="s">
        <v>1096</v>
      </c>
      <c r="C811" t="s">
        <v>175</v>
      </c>
      <c r="D811" t="s">
        <v>387</v>
      </c>
      <c r="E811" t="s">
        <v>388</v>
      </c>
      <c r="F811">
        <v>32</v>
      </c>
      <c r="G811" t="s">
        <v>176</v>
      </c>
      <c r="H811">
        <v>0</v>
      </c>
      <c r="I811">
        <v>1100</v>
      </c>
      <c r="J811" s="10">
        <v>780</v>
      </c>
      <c r="K811" s="10">
        <f>SUMIFS(F:F,D:D,DST_123_ÜRETİM_İHTİYAÇ_RAPORU_BURAK_YENI1309[[#This Row],[ALT_KOD]])-(SUMIFS(H:H,D:D,DST_123_ÜRETİM_İHTİYAÇ_RAPORU_BURAK_YENI1309[[#This Row],[ALT_KOD]])+AVERAGEIFS(I:I,D:D,DST_123_ÜRETİM_İHTİYAÇ_RAPORU_BURAK_YENI1309[[#This Row],[ALT_KOD]])+AVERAGEIFS(L:L,D:D,DST_123_ÜRETİM_İHTİYAÇ_RAPORU_BURAK_YENI1309[[#This Row],[ALT_KOD]]))</f>
        <v>-832</v>
      </c>
      <c r="L811">
        <v>0</v>
      </c>
      <c r="M811">
        <f>IF((DST_123_ÜRETİM_İHTİYAÇ_RAPORU_BURAK_YENI1309[[#This Row],[SATINALMA]]*DST_123_ÜRETİM_İHTİYAÇ_RAPORU_BURAK_YENI1309[[#This Row],[BIRIM_FIYATLAR]])&lt;1,VALUE("0"),DST_123_ÜRETİM_İHTİYAÇ_RAPORU_BURAK_YENI1309[[#This Row],[SATINALMA]]*DST_123_ÜRETİM_İHTİYAÇ_RAPORU_BURAK_YENI1309[[#This Row],[BIRIM_FIYATLAR]])</f>
        <v>0</v>
      </c>
      <c r="N811">
        <v>0.32</v>
      </c>
      <c r="O811" t="s">
        <v>240</v>
      </c>
      <c r="P811">
        <v>10.24</v>
      </c>
      <c r="Q811" t="s">
        <v>180</v>
      </c>
    </row>
    <row r="812" spans="1:17" x14ac:dyDescent="0.25">
      <c r="A812" t="s">
        <v>1064</v>
      </c>
      <c r="B812" t="s">
        <v>1055</v>
      </c>
      <c r="C812" t="s">
        <v>175</v>
      </c>
      <c r="D812" t="s">
        <v>98</v>
      </c>
      <c r="E812" t="s">
        <v>248</v>
      </c>
      <c r="F812">
        <v>9</v>
      </c>
      <c r="G812" t="s">
        <v>176</v>
      </c>
      <c r="H812">
        <v>0</v>
      </c>
      <c r="I812">
        <v>230</v>
      </c>
      <c r="J812" s="10">
        <v>72</v>
      </c>
      <c r="K812" s="10">
        <f>SUMIFS(F:F,D:D,DST_123_ÜRETİM_İHTİYAÇ_RAPORU_BURAK_YENI1309[[#This Row],[ALT_KOD]])-(SUMIFS(H:H,D:D,DST_123_ÜRETİM_İHTİYAÇ_RAPORU_BURAK_YENI1309[[#This Row],[ALT_KOD]])+AVERAGEIFS(I:I,D:D,DST_123_ÜRETİM_İHTİYAÇ_RAPORU_BURAK_YENI1309[[#This Row],[ALT_KOD]])+AVERAGEIFS(L:L,D:D,DST_123_ÜRETİM_İHTİYAÇ_RAPORU_BURAK_YENI1309[[#This Row],[ALT_KOD]]))</f>
        <v>-172</v>
      </c>
      <c r="L812">
        <v>0</v>
      </c>
      <c r="M812">
        <f>IF((DST_123_ÜRETİM_İHTİYAÇ_RAPORU_BURAK_YENI1309[[#This Row],[SATINALMA]]*DST_123_ÜRETİM_İHTİYAÇ_RAPORU_BURAK_YENI1309[[#This Row],[BIRIM_FIYATLAR]])&lt;1,VALUE("0"),DST_123_ÜRETİM_İHTİYAÇ_RAPORU_BURAK_YENI1309[[#This Row],[SATINALMA]]*DST_123_ÜRETİM_İHTİYAÇ_RAPORU_BURAK_YENI1309[[#This Row],[BIRIM_FIYATLAR]])</f>
        <v>0</v>
      </c>
      <c r="N812">
        <v>225</v>
      </c>
      <c r="O812" t="s">
        <v>825</v>
      </c>
      <c r="P812">
        <v>2025</v>
      </c>
      <c r="Q812" t="s">
        <v>177</v>
      </c>
    </row>
    <row r="813" spans="1:17" x14ac:dyDescent="0.25">
      <c r="A813" t="s">
        <v>1059</v>
      </c>
      <c r="B813" t="s">
        <v>1058</v>
      </c>
      <c r="C813" t="s">
        <v>175</v>
      </c>
      <c r="D813" t="s">
        <v>233</v>
      </c>
      <c r="E813" t="s">
        <v>234</v>
      </c>
      <c r="F813">
        <v>2</v>
      </c>
      <c r="G813" t="s">
        <v>176</v>
      </c>
      <c r="H813">
        <v>0</v>
      </c>
      <c r="I813">
        <v>222</v>
      </c>
      <c r="J813" s="10">
        <v>90</v>
      </c>
      <c r="K813" s="10">
        <f>SUMIFS(F:F,D:D,DST_123_ÜRETİM_İHTİYAÇ_RAPORU_BURAK_YENI1309[[#This Row],[ALT_KOD]])-(SUMIFS(H:H,D:D,DST_123_ÜRETİM_İHTİYAÇ_RAPORU_BURAK_YENI1309[[#This Row],[ALT_KOD]])+AVERAGEIFS(I:I,D:D,DST_123_ÜRETİM_İHTİYAÇ_RAPORU_BURAK_YENI1309[[#This Row],[ALT_KOD]])+AVERAGEIFS(L:L,D:D,DST_123_ÜRETİM_İHTİYAÇ_RAPORU_BURAK_YENI1309[[#This Row],[ALT_KOD]]))</f>
        <v>-184</v>
      </c>
      <c r="L813">
        <v>0</v>
      </c>
      <c r="M813">
        <f>IF((DST_123_ÜRETİM_İHTİYAÇ_RAPORU_BURAK_YENI1309[[#This Row],[SATINALMA]]*DST_123_ÜRETİM_İHTİYAÇ_RAPORU_BURAK_YENI1309[[#This Row],[BIRIM_FIYATLAR]])&lt;1,VALUE("0"),DST_123_ÜRETİM_İHTİYAÇ_RAPORU_BURAK_YENI1309[[#This Row],[SATINALMA]]*DST_123_ÜRETİM_İHTİYAÇ_RAPORU_BURAK_YENI1309[[#This Row],[BIRIM_FIYATLAR]])</f>
        <v>0</v>
      </c>
      <c r="N813">
        <v>4</v>
      </c>
      <c r="O813" t="s">
        <v>220</v>
      </c>
      <c r="P813">
        <v>8</v>
      </c>
      <c r="Q813" t="s">
        <v>221</v>
      </c>
    </row>
    <row r="814" spans="1:17" x14ac:dyDescent="0.25">
      <c r="A814" s="13" t="s">
        <v>1095</v>
      </c>
      <c r="B814" s="13" t="s">
        <v>1096</v>
      </c>
      <c r="C814" t="s">
        <v>175</v>
      </c>
      <c r="D814" s="13" t="s">
        <v>233</v>
      </c>
      <c r="E814" s="13" t="s">
        <v>234</v>
      </c>
      <c r="F814" s="13">
        <v>2</v>
      </c>
      <c r="G814" s="13" t="s">
        <v>176</v>
      </c>
      <c r="H814">
        <v>0</v>
      </c>
      <c r="I814">
        <v>222</v>
      </c>
      <c r="J814" s="10">
        <v>90</v>
      </c>
      <c r="K814" s="10">
        <f>SUMIFS(F:F,D:D,DST_123_ÜRETİM_İHTİYAÇ_RAPORU_BURAK_YENI1309[[#This Row],[ALT_KOD]])-(SUMIFS(H:H,D:D,DST_123_ÜRETİM_İHTİYAÇ_RAPORU_BURAK_YENI1309[[#This Row],[ALT_KOD]])+AVERAGEIFS(I:I,D:D,DST_123_ÜRETİM_İHTİYAÇ_RAPORU_BURAK_YENI1309[[#This Row],[ALT_KOD]])+AVERAGEIFS(L:L,D:D,DST_123_ÜRETİM_İHTİYAÇ_RAPORU_BURAK_YENI1309[[#This Row],[ALT_KOD]]))</f>
        <v>-184</v>
      </c>
      <c r="L814">
        <v>0</v>
      </c>
      <c r="M814">
        <f>IF((DST_123_ÜRETİM_İHTİYAÇ_RAPORU_BURAK_YENI1309[[#This Row],[SATINALMA]]*DST_123_ÜRETİM_İHTİYAÇ_RAPORU_BURAK_YENI1309[[#This Row],[BIRIM_FIYATLAR]])&lt;1,VALUE("0"),DST_123_ÜRETİM_İHTİYAÇ_RAPORU_BURAK_YENI1309[[#This Row],[SATINALMA]]*DST_123_ÜRETİM_İHTİYAÇ_RAPORU_BURAK_YENI1309[[#This Row],[BIRIM_FIYATLAR]])</f>
        <v>0</v>
      </c>
      <c r="N814">
        <v>4</v>
      </c>
      <c r="O814" t="s">
        <v>220</v>
      </c>
      <c r="P814">
        <v>8</v>
      </c>
      <c r="Q814" t="s">
        <v>221</v>
      </c>
    </row>
    <row r="815" spans="1:17" x14ac:dyDescent="0.25">
      <c r="A815" t="s">
        <v>1143</v>
      </c>
      <c r="B815" t="s">
        <v>1056</v>
      </c>
      <c r="C815" t="s">
        <v>175</v>
      </c>
      <c r="D815" t="s">
        <v>387</v>
      </c>
      <c r="E815" t="s">
        <v>388</v>
      </c>
      <c r="F815">
        <v>26</v>
      </c>
      <c r="G815" t="s">
        <v>176</v>
      </c>
      <c r="H815">
        <v>0</v>
      </c>
      <c r="I815">
        <v>1100</v>
      </c>
      <c r="J815" s="10">
        <v>780</v>
      </c>
      <c r="K815" s="10">
        <f>SUMIFS(F:F,D:D,DST_123_ÜRETİM_İHTİYAÇ_RAPORU_BURAK_YENI1309[[#This Row],[ALT_KOD]])-(SUMIFS(H:H,D:D,DST_123_ÜRETİM_İHTİYAÇ_RAPORU_BURAK_YENI1309[[#This Row],[ALT_KOD]])+AVERAGEIFS(I:I,D:D,DST_123_ÜRETİM_İHTİYAÇ_RAPORU_BURAK_YENI1309[[#This Row],[ALT_KOD]])+AVERAGEIFS(L:L,D:D,DST_123_ÜRETİM_İHTİYAÇ_RAPORU_BURAK_YENI1309[[#This Row],[ALT_KOD]]))</f>
        <v>-832</v>
      </c>
      <c r="L815">
        <v>0</v>
      </c>
      <c r="M815">
        <f>IF((DST_123_ÜRETİM_İHTİYAÇ_RAPORU_BURAK_YENI1309[[#This Row],[SATINALMA]]*DST_123_ÜRETİM_İHTİYAÇ_RAPORU_BURAK_YENI1309[[#This Row],[BIRIM_FIYATLAR]])&lt;1,VALUE("0"),DST_123_ÜRETİM_İHTİYAÇ_RAPORU_BURAK_YENI1309[[#This Row],[SATINALMA]]*DST_123_ÜRETİM_İHTİYAÇ_RAPORU_BURAK_YENI1309[[#This Row],[BIRIM_FIYATLAR]])</f>
        <v>0</v>
      </c>
      <c r="N815">
        <v>0.32</v>
      </c>
      <c r="O815" t="s">
        <v>240</v>
      </c>
      <c r="P815">
        <v>8.32</v>
      </c>
      <c r="Q815" t="s">
        <v>180</v>
      </c>
    </row>
    <row r="816" spans="1:17" x14ac:dyDescent="0.25">
      <c r="A816" t="s">
        <v>1059</v>
      </c>
      <c r="B816" t="s">
        <v>1058</v>
      </c>
      <c r="C816" t="s">
        <v>175</v>
      </c>
      <c r="D816" t="s">
        <v>387</v>
      </c>
      <c r="E816" t="s">
        <v>388</v>
      </c>
      <c r="F816">
        <v>7</v>
      </c>
      <c r="G816" t="s">
        <v>176</v>
      </c>
      <c r="H816">
        <v>0</v>
      </c>
      <c r="I816">
        <v>1100</v>
      </c>
      <c r="J816" s="10">
        <v>780</v>
      </c>
      <c r="K816" s="10">
        <f>SUMIFS(F:F,D:D,DST_123_ÜRETİM_İHTİYAÇ_RAPORU_BURAK_YENI1309[[#This Row],[ALT_KOD]])-(SUMIFS(H:H,D:D,DST_123_ÜRETİM_İHTİYAÇ_RAPORU_BURAK_YENI1309[[#This Row],[ALT_KOD]])+AVERAGEIFS(I:I,D:D,DST_123_ÜRETİM_İHTİYAÇ_RAPORU_BURAK_YENI1309[[#This Row],[ALT_KOD]])+AVERAGEIFS(L:L,D:D,DST_123_ÜRETİM_İHTİYAÇ_RAPORU_BURAK_YENI1309[[#This Row],[ALT_KOD]]))</f>
        <v>-832</v>
      </c>
      <c r="L816">
        <v>0</v>
      </c>
      <c r="M816">
        <f>IF((DST_123_ÜRETİM_İHTİYAÇ_RAPORU_BURAK_YENI1309[[#This Row],[SATINALMA]]*DST_123_ÜRETİM_İHTİYAÇ_RAPORU_BURAK_YENI1309[[#This Row],[BIRIM_FIYATLAR]])&lt;1,VALUE("0"),DST_123_ÜRETİM_İHTİYAÇ_RAPORU_BURAK_YENI1309[[#This Row],[SATINALMA]]*DST_123_ÜRETİM_İHTİYAÇ_RAPORU_BURAK_YENI1309[[#This Row],[BIRIM_FIYATLAR]])</f>
        <v>0</v>
      </c>
      <c r="N816">
        <v>0.32</v>
      </c>
      <c r="O816" t="s">
        <v>240</v>
      </c>
      <c r="P816">
        <v>2.2400000000000002</v>
      </c>
      <c r="Q816" t="s">
        <v>180</v>
      </c>
    </row>
    <row r="817" spans="1:17" x14ac:dyDescent="0.25">
      <c r="A817" t="s">
        <v>1144</v>
      </c>
      <c r="B817" t="s">
        <v>1145</v>
      </c>
      <c r="C817" t="s">
        <v>175</v>
      </c>
      <c r="D817" t="s">
        <v>233</v>
      </c>
      <c r="E817" t="s">
        <v>234</v>
      </c>
      <c r="F817">
        <v>2</v>
      </c>
      <c r="G817" t="s">
        <v>176</v>
      </c>
      <c r="H817">
        <v>0</v>
      </c>
      <c r="I817">
        <v>222</v>
      </c>
      <c r="J817" s="10">
        <v>90</v>
      </c>
      <c r="K817" s="10">
        <f>SUMIFS(F:F,D:D,DST_123_ÜRETİM_İHTİYAÇ_RAPORU_BURAK_YENI1309[[#This Row],[ALT_KOD]])-(SUMIFS(H:H,D:D,DST_123_ÜRETİM_İHTİYAÇ_RAPORU_BURAK_YENI1309[[#This Row],[ALT_KOD]])+AVERAGEIFS(I:I,D:D,DST_123_ÜRETİM_İHTİYAÇ_RAPORU_BURAK_YENI1309[[#This Row],[ALT_KOD]])+AVERAGEIFS(L:L,D:D,DST_123_ÜRETİM_İHTİYAÇ_RAPORU_BURAK_YENI1309[[#This Row],[ALT_KOD]]))</f>
        <v>-184</v>
      </c>
      <c r="L817">
        <v>0</v>
      </c>
      <c r="M817">
        <f>IF((DST_123_ÜRETİM_İHTİYAÇ_RAPORU_BURAK_YENI1309[[#This Row],[SATINALMA]]*DST_123_ÜRETİM_İHTİYAÇ_RAPORU_BURAK_YENI1309[[#This Row],[BIRIM_FIYATLAR]])&lt;1,VALUE("0"),DST_123_ÜRETİM_İHTİYAÇ_RAPORU_BURAK_YENI1309[[#This Row],[SATINALMA]]*DST_123_ÜRETİM_İHTİYAÇ_RAPORU_BURAK_YENI1309[[#This Row],[BIRIM_FIYATLAR]])</f>
        <v>0</v>
      </c>
      <c r="N817">
        <v>4</v>
      </c>
      <c r="O817" t="s">
        <v>220</v>
      </c>
      <c r="P817">
        <v>8</v>
      </c>
      <c r="Q817" t="s">
        <v>221</v>
      </c>
    </row>
    <row r="818" spans="1:17" x14ac:dyDescent="0.25">
      <c r="A818" t="s">
        <v>1146</v>
      </c>
      <c r="B818" t="s">
        <v>1145</v>
      </c>
      <c r="C818" t="s">
        <v>175</v>
      </c>
      <c r="D818" t="s">
        <v>233</v>
      </c>
      <c r="E818" t="s">
        <v>234</v>
      </c>
      <c r="F818">
        <v>2</v>
      </c>
      <c r="G818" t="s">
        <v>176</v>
      </c>
      <c r="H818">
        <v>0</v>
      </c>
      <c r="I818">
        <v>222</v>
      </c>
      <c r="J818" s="10">
        <v>90</v>
      </c>
      <c r="K818" s="10">
        <f>SUMIFS(F:F,D:D,DST_123_ÜRETİM_İHTİYAÇ_RAPORU_BURAK_YENI1309[[#This Row],[ALT_KOD]])-(SUMIFS(H:H,D:D,DST_123_ÜRETİM_İHTİYAÇ_RAPORU_BURAK_YENI1309[[#This Row],[ALT_KOD]])+AVERAGEIFS(I:I,D:D,DST_123_ÜRETİM_İHTİYAÇ_RAPORU_BURAK_YENI1309[[#This Row],[ALT_KOD]])+AVERAGEIFS(L:L,D:D,DST_123_ÜRETİM_İHTİYAÇ_RAPORU_BURAK_YENI1309[[#This Row],[ALT_KOD]]))</f>
        <v>-184</v>
      </c>
      <c r="L818">
        <v>0</v>
      </c>
      <c r="M818">
        <f>IF((DST_123_ÜRETİM_İHTİYAÇ_RAPORU_BURAK_YENI1309[[#This Row],[SATINALMA]]*DST_123_ÜRETİM_İHTİYAÇ_RAPORU_BURAK_YENI1309[[#This Row],[BIRIM_FIYATLAR]])&lt;1,VALUE("0"),DST_123_ÜRETİM_İHTİYAÇ_RAPORU_BURAK_YENI1309[[#This Row],[SATINALMA]]*DST_123_ÜRETİM_İHTİYAÇ_RAPORU_BURAK_YENI1309[[#This Row],[BIRIM_FIYATLAR]])</f>
        <v>0</v>
      </c>
      <c r="N818">
        <v>4</v>
      </c>
      <c r="O818" t="s">
        <v>220</v>
      </c>
      <c r="P818">
        <v>8</v>
      </c>
      <c r="Q818" t="s">
        <v>221</v>
      </c>
    </row>
    <row r="819" spans="1:17" x14ac:dyDescent="0.25">
      <c r="A819" t="s">
        <v>1146</v>
      </c>
      <c r="B819" t="s">
        <v>1145</v>
      </c>
      <c r="C819" t="s">
        <v>175</v>
      </c>
      <c r="D819" t="s">
        <v>387</v>
      </c>
      <c r="E819" t="s">
        <v>388</v>
      </c>
      <c r="F819">
        <v>7</v>
      </c>
      <c r="G819" t="s">
        <v>176</v>
      </c>
      <c r="H819">
        <v>0</v>
      </c>
      <c r="I819">
        <v>1100</v>
      </c>
      <c r="J819" s="10">
        <v>780</v>
      </c>
      <c r="K819" s="10">
        <f>SUMIFS(F:F,D:D,DST_123_ÜRETİM_İHTİYAÇ_RAPORU_BURAK_YENI1309[[#This Row],[ALT_KOD]])-(SUMIFS(H:H,D:D,DST_123_ÜRETİM_İHTİYAÇ_RAPORU_BURAK_YENI1309[[#This Row],[ALT_KOD]])+AVERAGEIFS(I:I,D:D,DST_123_ÜRETİM_İHTİYAÇ_RAPORU_BURAK_YENI1309[[#This Row],[ALT_KOD]])+AVERAGEIFS(L:L,D:D,DST_123_ÜRETİM_İHTİYAÇ_RAPORU_BURAK_YENI1309[[#This Row],[ALT_KOD]]))</f>
        <v>-832</v>
      </c>
      <c r="L819">
        <v>0</v>
      </c>
      <c r="M819">
        <f>IF((DST_123_ÜRETİM_İHTİYAÇ_RAPORU_BURAK_YENI1309[[#This Row],[SATINALMA]]*DST_123_ÜRETİM_İHTİYAÇ_RAPORU_BURAK_YENI1309[[#This Row],[BIRIM_FIYATLAR]])&lt;1,VALUE("0"),DST_123_ÜRETİM_İHTİYAÇ_RAPORU_BURAK_YENI1309[[#This Row],[SATINALMA]]*DST_123_ÜRETİM_İHTİYAÇ_RAPORU_BURAK_YENI1309[[#This Row],[BIRIM_FIYATLAR]])</f>
        <v>0</v>
      </c>
      <c r="N819">
        <v>0.32</v>
      </c>
      <c r="O819" t="s">
        <v>240</v>
      </c>
      <c r="P819">
        <v>2.2400000000000002</v>
      </c>
      <c r="Q819" t="s">
        <v>180</v>
      </c>
    </row>
    <row r="820" spans="1:17" x14ac:dyDescent="0.25">
      <c r="A820" t="s">
        <v>1144</v>
      </c>
      <c r="B820" t="s">
        <v>1145</v>
      </c>
      <c r="C820" t="s">
        <v>175</v>
      </c>
      <c r="D820" t="s">
        <v>98</v>
      </c>
      <c r="E820" t="s">
        <v>248</v>
      </c>
      <c r="F820">
        <v>7</v>
      </c>
      <c r="G820" t="s">
        <v>176</v>
      </c>
      <c r="H820">
        <v>7</v>
      </c>
      <c r="I820">
        <v>230</v>
      </c>
      <c r="J820" s="10">
        <v>72</v>
      </c>
      <c r="K820" s="10">
        <f>SUMIFS(F:F,D:D,DST_123_ÜRETİM_İHTİYAÇ_RAPORU_BURAK_YENI1309[[#This Row],[ALT_KOD]])-(SUMIFS(H:H,D:D,DST_123_ÜRETİM_İHTİYAÇ_RAPORU_BURAK_YENI1309[[#This Row],[ALT_KOD]])+AVERAGEIFS(I:I,D:D,DST_123_ÜRETİM_İHTİYAÇ_RAPORU_BURAK_YENI1309[[#This Row],[ALT_KOD]])+AVERAGEIFS(L:L,D:D,DST_123_ÜRETİM_İHTİYAÇ_RAPORU_BURAK_YENI1309[[#This Row],[ALT_KOD]]))</f>
        <v>-172</v>
      </c>
      <c r="L820">
        <v>0</v>
      </c>
      <c r="M820">
        <f>IF((DST_123_ÜRETİM_İHTİYAÇ_RAPORU_BURAK_YENI1309[[#This Row],[SATINALMA]]*DST_123_ÜRETİM_İHTİYAÇ_RAPORU_BURAK_YENI1309[[#This Row],[BIRIM_FIYATLAR]])&lt;1,VALUE("0"),DST_123_ÜRETİM_İHTİYAÇ_RAPORU_BURAK_YENI1309[[#This Row],[SATINALMA]]*DST_123_ÜRETİM_İHTİYAÇ_RAPORU_BURAK_YENI1309[[#This Row],[BIRIM_FIYATLAR]])</f>
        <v>0</v>
      </c>
      <c r="N820">
        <v>225</v>
      </c>
      <c r="O820" t="s">
        <v>825</v>
      </c>
      <c r="P820">
        <v>1575</v>
      </c>
      <c r="Q820" t="s">
        <v>177</v>
      </c>
    </row>
    <row r="821" spans="1:17" x14ac:dyDescent="0.25">
      <c r="A821" t="s">
        <v>1100</v>
      </c>
      <c r="B821" t="s">
        <v>1058</v>
      </c>
      <c r="C821" t="s">
        <v>175</v>
      </c>
      <c r="D821" t="s">
        <v>331</v>
      </c>
      <c r="E821" t="s">
        <v>332</v>
      </c>
      <c r="F821">
        <v>2</v>
      </c>
      <c r="G821" t="s">
        <v>176</v>
      </c>
      <c r="H821">
        <v>0</v>
      </c>
      <c r="I821">
        <v>809</v>
      </c>
      <c r="J821" s="10">
        <v>0</v>
      </c>
      <c r="K821" s="10">
        <f>SUMIFS(F:F,D:D,DST_123_ÜRETİM_İHTİYAÇ_RAPORU_BURAK_YENI1309[[#This Row],[ALT_KOD]])-(SUMIFS(H:H,D:D,DST_123_ÜRETİM_İHTİYAÇ_RAPORU_BURAK_YENI1309[[#This Row],[ALT_KOD]])+AVERAGEIFS(I:I,D:D,DST_123_ÜRETİM_İHTİYAÇ_RAPORU_BURAK_YENI1309[[#This Row],[ALT_KOD]])+AVERAGEIFS(L:L,D:D,DST_123_ÜRETİM_İHTİYAÇ_RAPORU_BURAK_YENI1309[[#This Row],[ALT_KOD]]))</f>
        <v>-768</v>
      </c>
      <c r="L821">
        <v>0</v>
      </c>
      <c r="M821">
        <f>IF((DST_123_ÜRETİM_İHTİYAÇ_RAPORU_BURAK_YENI1309[[#This Row],[SATINALMA]]*DST_123_ÜRETİM_İHTİYAÇ_RAPORU_BURAK_YENI1309[[#This Row],[BIRIM_FIYATLAR]])&lt;1,VALUE("0"),DST_123_ÜRETİM_İHTİYAÇ_RAPORU_BURAK_YENI1309[[#This Row],[SATINALMA]]*DST_123_ÜRETİM_İHTİYAÇ_RAPORU_BURAK_YENI1309[[#This Row],[BIRIM_FIYATLAR]])</f>
        <v>0</v>
      </c>
      <c r="N821">
        <v>2.4</v>
      </c>
      <c r="O821" t="s">
        <v>240</v>
      </c>
      <c r="P821">
        <v>4.8</v>
      </c>
      <c r="Q821" t="s">
        <v>180</v>
      </c>
    </row>
    <row r="822" spans="1:17" x14ac:dyDescent="0.25">
      <c r="A822" t="s">
        <v>1149</v>
      </c>
      <c r="B822" t="s">
        <v>1145</v>
      </c>
      <c r="C822" t="s">
        <v>175</v>
      </c>
      <c r="D822" t="s">
        <v>394</v>
      </c>
      <c r="E822" t="s">
        <v>395</v>
      </c>
      <c r="F822">
        <v>3.1</v>
      </c>
      <c r="G822" t="s">
        <v>176</v>
      </c>
      <c r="H822">
        <v>0</v>
      </c>
      <c r="I822">
        <v>6</v>
      </c>
      <c r="J822" s="10">
        <v>14.000000000000005</v>
      </c>
      <c r="K822" s="10">
        <f>SUMIFS(F:F,D:D,DST_123_ÜRETİM_İHTİYAÇ_RAPORU_BURAK_YENI1309[[#This Row],[ALT_KOD]])-(SUMIFS(H:H,D:D,DST_123_ÜRETİM_İHTİYAÇ_RAPORU_BURAK_YENI1309[[#This Row],[ALT_KOD]])+AVERAGEIFS(I:I,D:D,DST_123_ÜRETİM_İHTİYAÇ_RAPORU_BURAK_YENI1309[[#This Row],[ALT_KOD]])+AVERAGEIFS(L:L,D:D,DST_123_ÜRETİM_İHTİYAÇ_RAPORU_BURAK_YENI1309[[#This Row],[ALT_KOD]]))</f>
        <v>28.1</v>
      </c>
      <c r="L822">
        <v>0</v>
      </c>
      <c r="M822">
        <f>IF((DST_123_ÜRETİM_İHTİYAÇ_RAPORU_BURAK_YENI1309[[#This Row],[SATINALMA]]*DST_123_ÜRETİM_İHTİYAÇ_RAPORU_BURAK_YENI1309[[#This Row],[BIRIM_FIYATLAR]])&lt;1,VALUE("0"),DST_123_ÜRETİM_İHTİYAÇ_RAPORU_BURAK_YENI1309[[#This Row],[SATINALMA]]*DST_123_ÜRETİM_İHTİYAÇ_RAPORU_BURAK_YENI1309[[#This Row],[BIRIM_FIYATLAR]])</f>
        <v>4097.8230000000003</v>
      </c>
      <c r="N822">
        <v>145.83000000000001</v>
      </c>
      <c r="O822" t="s">
        <v>628</v>
      </c>
      <c r="P822">
        <v>452.07300000000004</v>
      </c>
      <c r="Q822" t="s">
        <v>183</v>
      </c>
    </row>
    <row r="823" spans="1:17" x14ac:dyDescent="0.25">
      <c r="A823" t="s">
        <v>1150</v>
      </c>
      <c r="B823" t="s">
        <v>1145</v>
      </c>
      <c r="C823" t="s">
        <v>175</v>
      </c>
      <c r="D823" t="s">
        <v>88</v>
      </c>
      <c r="E823" t="s">
        <v>89</v>
      </c>
      <c r="F823">
        <v>3.3</v>
      </c>
      <c r="G823" t="s">
        <v>179</v>
      </c>
      <c r="H823">
        <v>0</v>
      </c>
      <c r="I823">
        <v>125</v>
      </c>
      <c r="J823" s="10">
        <v>37.499999999999908</v>
      </c>
      <c r="K823" s="10">
        <f>SUMIFS(F:F,D:D,DST_123_ÜRETİM_İHTİYAÇ_RAPORU_BURAK_YENI1309[[#This Row],[ALT_KOD]])-(SUMIFS(H:H,D:D,DST_123_ÜRETİM_İHTİYAÇ_RAPORU_BURAK_YENI1309[[#This Row],[ALT_KOD]])+AVERAGEIFS(I:I,D:D,DST_123_ÜRETİM_İHTİYAÇ_RAPORU_BURAK_YENI1309[[#This Row],[ALT_KOD]])+AVERAGEIFS(L:L,D:D,DST_123_ÜRETİM_İHTİYAÇ_RAPORU_BURAK_YENI1309[[#This Row],[ALT_KOD]]))</f>
        <v>-44.100000000000009</v>
      </c>
      <c r="L823">
        <v>0</v>
      </c>
      <c r="M823">
        <f>IF((DST_123_ÜRETİM_İHTİYAÇ_RAPORU_BURAK_YENI1309[[#This Row],[SATINALMA]]*DST_123_ÜRETİM_İHTİYAÇ_RAPORU_BURAK_YENI1309[[#This Row],[BIRIM_FIYATLAR]])&lt;1,VALUE("0"),DST_123_ÜRETİM_İHTİYAÇ_RAPORU_BURAK_YENI1309[[#This Row],[SATINALMA]]*DST_123_ÜRETİM_İHTİYAÇ_RAPORU_BURAK_YENI1309[[#This Row],[BIRIM_FIYATLAR]])</f>
        <v>0</v>
      </c>
      <c r="N823">
        <v>44</v>
      </c>
      <c r="O823" t="s">
        <v>314</v>
      </c>
      <c r="P823">
        <v>145.19999999999999</v>
      </c>
      <c r="Q823" t="s">
        <v>178</v>
      </c>
    </row>
    <row r="824" spans="1:17" x14ac:dyDescent="0.25">
      <c r="A824" t="s">
        <v>1150</v>
      </c>
      <c r="B824" t="s">
        <v>1145</v>
      </c>
      <c r="C824" t="s">
        <v>175</v>
      </c>
      <c r="D824" t="s">
        <v>90</v>
      </c>
      <c r="E824" t="s">
        <v>91</v>
      </c>
      <c r="F824">
        <v>1</v>
      </c>
      <c r="G824" t="s">
        <v>176</v>
      </c>
      <c r="H824">
        <v>0</v>
      </c>
      <c r="I824">
        <v>4</v>
      </c>
      <c r="J824" s="10">
        <v>12</v>
      </c>
      <c r="K824" s="10">
        <f>SUMIFS(F:F,D:D,DST_123_ÜRETİM_İHTİYAÇ_RAPORU_BURAK_YENI1309[[#This Row],[ALT_KOD]])-(SUMIFS(H:H,D:D,DST_123_ÜRETİM_İHTİYAÇ_RAPORU_BURAK_YENI1309[[#This Row],[ALT_KOD]])+AVERAGEIFS(I:I,D:D,DST_123_ÜRETİM_İHTİYAÇ_RAPORU_BURAK_YENI1309[[#This Row],[ALT_KOD]])+AVERAGEIFS(L:L,D:D,DST_123_ÜRETİM_İHTİYAÇ_RAPORU_BURAK_YENI1309[[#This Row],[ALT_KOD]]))</f>
        <v>7</v>
      </c>
      <c r="L824">
        <v>0</v>
      </c>
      <c r="M824">
        <f>IF((DST_123_ÜRETİM_İHTİYAÇ_RAPORU_BURAK_YENI1309[[#This Row],[SATINALMA]]*DST_123_ÜRETİM_İHTİYAÇ_RAPORU_BURAK_YENI1309[[#This Row],[BIRIM_FIYATLAR]])&lt;1,VALUE("0"),DST_123_ÜRETİM_İHTİYAÇ_RAPORU_BURAK_YENI1309[[#This Row],[SATINALMA]]*DST_123_ÜRETİM_İHTİYAÇ_RAPORU_BURAK_YENI1309[[#This Row],[BIRIM_FIYATLAR]])</f>
        <v>12435.01</v>
      </c>
      <c r="N824">
        <v>1776.43</v>
      </c>
      <c r="O824" t="s">
        <v>634</v>
      </c>
      <c r="P824">
        <v>1776.43</v>
      </c>
      <c r="Q824" t="s">
        <v>178</v>
      </c>
    </row>
    <row r="825" spans="1:17" x14ac:dyDescent="0.25">
      <c r="A825" t="s">
        <v>1150</v>
      </c>
      <c r="B825" t="s">
        <v>1145</v>
      </c>
      <c r="C825" t="s">
        <v>175</v>
      </c>
      <c r="D825" t="s">
        <v>331</v>
      </c>
      <c r="E825" t="s">
        <v>332</v>
      </c>
      <c r="F825">
        <v>2</v>
      </c>
      <c r="G825" t="s">
        <v>176</v>
      </c>
      <c r="H825">
        <v>0</v>
      </c>
      <c r="I825">
        <v>809</v>
      </c>
      <c r="J825" s="10">
        <v>0</v>
      </c>
      <c r="K825" s="10">
        <f>SUMIFS(F:F,D:D,DST_123_ÜRETİM_İHTİYAÇ_RAPORU_BURAK_YENI1309[[#This Row],[ALT_KOD]])-(SUMIFS(H:H,D:D,DST_123_ÜRETİM_İHTİYAÇ_RAPORU_BURAK_YENI1309[[#This Row],[ALT_KOD]])+AVERAGEIFS(I:I,D:D,DST_123_ÜRETİM_İHTİYAÇ_RAPORU_BURAK_YENI1309[[#This Row],[ALT_KOD]])+AVERAGEIFS(L:L,D:D,DST_123_ÜRETİM_İHTİYAÇ_RAPORU_BURAK_YENI1309[[#This Row],[ALT_KOD]]))</f>
        <v>-768</v>
      </c>
      <c r="L825">
        <v>0</v>
      </c>
      <c r="M825">
        <f>IF((DST_123_ÜRETİM_İHTİYAÇ_RAPORU_BURAK_YENI1309[[#This Row],[SATINALMA]]*DST_123_ÜRETİM_İHTİYAÇ_RAPORU_BURAK_YENI1309[[#This Row],[BIRIM_FIYATLAR]])&lt;1,VALUE("0"),DST_123_ÜRETİM_İHTİYAÇ_RAPORU_BURAK_YENI1309[[#This Row],[SATINALMA]]*DST_123_ÜRETİM_İHTİYAÇ_RAPORU_BURAK_YENI1309[[#This Row],[BIRIM_FIYATLAR]])</f>
        <v>0</v>
      </c>
      <c r="N825">
        <v>2.4</v>
      </c>
      <c r="O825" t="s">
        <v>240</v>
      </c>
      <c r="P825">
        <v>4.8</v>
      </c>
      <c r="Q825" t="s">
        <v>180</v>
      </c>
    </row>
    <row r="826" spans="1:17" x14ac:dyDescent="0.25">
      <c r="A826" t="s">
        <v>1095</v>
      </c>
      <c r="B826" t="s">
        <v>1096</v>
      </c>
      <c r="C826" t="s">
        <v>175</v>
      </c>
      <c r="D826" t="s">
        <v>651</v>
      </c>
      <c r="E826" t="s">
        <v>652</v>
      </c>
      <c r="F826">
        <v>25</v>
      </c>
      <c r="G826" t="s">
        <v>176</v>
      </c>
      <c r="H826">
        <v>0</v>
      </c>
      <c r="I826">
        <v>776</v>
      </c>
      <c r="J826" s="10">
        <v>367</v>
      </c>
      <c r="K826" s="10">
        <f>SUMIFS(F:F,D:D,DST_123_ÜRETİM_İHTİYAÇ_RAPORU_BURAK_YENI1309[[#This Row],[ALT_KOD]])-(SUMIFS(H:H,D:D,DST_123_ÜRETİM_İHTİYAÇ_RAPORU_BURAK_YENI1309[[#This Row],[ALT_KOD]])+AVERAGEIFS(I:I,D:D,DST_123_ÜRETİM_İHTİYAÇ_RAPORU_BURAK_YENI1309[[#This Row],[ALT_KOD]])+AVERAGEIFS(L:L,D:D,DST_123_ÜRETİM_İHTİYAÇ_RAPORU_BURAK_YENI1309[[#This Row],[ALT_KOD]]))</f>
        <v>-308</v>
      </c>
      <c r="L826">
        <v>0</v>
      </c>
      <c r="M826">
        <f>IF((DST_123_ÜRETİM_İHTİYAÇ_RAPORU_BURAK_YENI1309[[#This Row],[SATINALMA]]*DST_123_ÜRETİM_İHTİYAÇ_RAPORU_BURAK_YENI1309[[#This Row],[BIRIM_FIYATLAR]])&lt;1,VALUE("0"),DST_123_ÜRETİM_İHTİYAÇ_RAPORU_BURAK_YENI1309[[#This Row],[SATINALMA]]*DST_123_ÜRETİM_İHTİYAÇ_RAPORU_BURAK_YENI1309[[#This Row],[BIRIM_FIYATLAR]])</f>
        <v>0</v>
      </c>
      <c r="N826">
        <v>3.46</v>
      </c>
      <c r="O826" t="s">
        <v>882</v>
      </c>
      <c r="P826">
        <v>86.5</v>
      </c>
      <c r="Q826" t="s">
        <v>180</v>
      </c>
    </row>
    <row r="827" spans="1:17" x14ac:dyDescent="0.25">
      <c r="A827" t="s">
        <v>1059</v>
      </c>
      <c r="B827" t="s">
        <v>1058</v>
      </c>
      <c r="C827" t="s">
        <v>175</v>
      </c>
      <c r="D827" t="s">
        <v>384</v>
      </c>
      <c r="E827" t="s">
        <v>385</v>
      </c>
      <c r="F827">
        <v>13</v>
      </c>
      <c r="G827" t="s">
        <v>176</v>
      </c>
      <c r="H827">
        <v>0</v>
      </c>
      <c r="I827">
        <v>495</v>
      </c>
      <c r="J827" s="10">
        <v>146</v>
      </c>
      <c r="K827" s="10">
        <f>SUMIFS(F:F,D:D,DST_123_ÜRETİM_İHTİYAÇ_RAPORU_BURAK_YENI1309[[#This Row],[ALT_KOD]])-(SUMIFS(H:H,D:D,DST_123_ÜRETİM_İHTİYAÇ_RAPORU_BURAK_YENI1309[[#This Row],[ALT_KOD]])+AVERAGEIFS(I:I,D:D,DST_123_ÜRETİM_İHTİYAÇ_RAPORU_BURAK_YENI1309[[#This Row],[ALT_KOD]])+AVERAGEIFS(L:L,D:D,DST_123_ÜRETİM_İHTİYAÇ_RAPORU_BURAK_YENI1309[[#This Row],[ALT_KOD]]))</f>
        <v>-22</v>
      </c>
      <c r="L827">
        <v>0</v>
      </c>
      <c r="M827">
        <f>IF((DST_123_ÜRETİM_İHTİYAÇ_RAPORU_BURAK_YENI1309[[#This Row],[SATINALMA]]*DST_123_ÜRETİM_İHTİYAÇ_RAPORU_BURAK_YENI1309[[#This Row],[BIRIM_FIYATLAR]])&lt;1,VALUE("0"),DST_123_ÜRETİM_İHTİYAÇ_RAPORU_BURAK_YENI1309[[#This Row],[SATINALMA]]*DST_123_ÜRETİM_İHTİYAÇ_RAPORU_BURAK_YENI1309[[#This Row],[BIRIM_FIYATLAR]])</f>
        <v>0</v>
      </c>
      <c r="N827">
        <v>3.75</v>
      </c>
      <c r="O827" t="s">
        <v>628</v>
      </c>
      <c r="P827">
        <v>48.75</v>
      </c>
      <c r="Q827" t="s">
        <v>180</v>
      </c>
    </row>
    <row r="828" spans="1:17" x14ac:dyDescent="0.25">
      <c r="A828" t="s">
        <v>1146</v>
      </c>
      <c r="B828" t="s">
        <v>1145</v>
      </c>
      <c r="C828" t="s">
        <v>175</v>
      </c>
      <c r="D828" t="s">
        <v>96</v>
      </c>
      <c r="E828" t="s">
        <v>97</v>
      </c>
      <c r="F828">
        <v>1</v>
      </c>
      <c r="G828" t="s">
        <v>176</v>
      </c>
      <c r="H828">
        <v>0</v>
      </c>
      <c r="I828">
        <v>0</v>
      </c>
      <c r="J828" s="10">
        <v>5</v>
      </c>
      <c r="K828" s="10">
        <f>SUMIFS(F:F,D:D,DST_123_ÜRETİM_İHTİYAÇ_RAPORU_BURAK_YENI1309[[#This Row],[ALT_KOD]])-(SUMIFS(H:H,D:D,DST_123_ÜRETİM_İHTİYAÇ_RAPORU_BURAK_YENI1309[[#This Row],[ALT_KOD]])+AVERAGEIFS(I:I,D:D,DST_123_ÜRETİM_İHTİYAÇ_RAPORU_BURAK_YENI1309[[#This Row],[ALT_KOD]])+AVERAGEIFS(L:L,D:D,DST_123_ÜRETİM_İHTİYAÇ_RAPORU_BURAK_YENI1309[[#This Row],[ALT_KOD]]))</f>
        <v>0</v>
      </c>
      <c r="L828">
        <v>7</v>
      </c>
      <c r="M828">
        <f>IF((DST_123_ÜRETİM_İHTİYAÇ_RAPORU_BURAK_YENI1309[[#This Row],[SATINALMA]]*DST_123_ÜRETİM_İHTİYAÇ_RAPORU_BURAK_YENI1309[[#This Row],[BIRIM_FIYATLAR]])&lt;1,VALUE("0"),DST_123_ÜRETİM_İHTİYAÇ_RAPORU_BURAK_YENI1309[[#This Row],[SATINALMA]]*DST_123_ÜRETİM_İHTİYAÇ_RAPORU_BURAK_YENI1309[[#This Row],[BIRIM_FIYATLAR]])</f>
        <v>0</v>
      </c>
      <c r="N828">
        <v>1491.67</v>
      </c>
      <c r="O828" t="s">
        <v>632</v>
      </c>
      <c r="P828">
        <v>1491.67</v>
      </c>
      <c r="Q828" t="s">
        <v>177</v>
      </c>
    </row>
    <row r="829" spans="1:17" x14ac:dyDescent="0.25">
      <c r="A829" t="s">
        <v>1144</v>
      </c>
      <c r="B829" t="s">
        <v>1145</v>
      </c>
      <c r="C829" t="s">
        <v>175</v>
      </c>
      <c r="D829" t="s">
        <v>96</v>
      </c>
      <c r="E829" t="s">
        <v>97</v>
      </c>
      <c r="F829">
        <v>1</v>
      </c>
      <c r="G829" t="s">
        <v>176</v>
      </c>
      <c r="H829">
        <v>0</v>
      </c>
      <c r="I829">
        <v>0</v>
      </c>
      <c r="J829" s="10">
        <v>5</v>
      </c>
      <c r="K829" s="10">
        <f>SUMIFS(F:F,D:D,DST_123_ÜRETİM_İHTİYAÇ_RAPORU_BURAK_YENI1309[[#This Row],[ALT_KOD]])-(SUMIFS(H:H,D:D,DST_123_ÜRETİM_İHTİYAÇ_RAPORU_BURAK_YENI1309[[#This Row],[ALT_KOD]])+AVERAGEIFS(I:I,D:D,DST_123_ÜRETİM_İHTİYAÇ_RAPORU_BURAK_YENI1309[[#This Row],[ALT_KOD]])+AVERAGEIFS(L:L,D:D,DST_123_ÜRETİM_İHTİYAÇ_RAPORU_BURAK_YENI1309[[#This Row],[ALT_KOD]]))</f>
        <v>0</v>
      </c>
      <c r="L829">
        <v>7</v>
      </c>
      <c r="M829">
        <f>IF((DST_123_ÜRETİM_İHTİYAÇ_RAPORU_BURAK_YENI1309[[#This Row],[SATINALMA]]*DST_123_ÜRETİM_İHTİYAÇ_RAPORU_BURAK_YENI1309[[#This Row],[BIRIM_FIYATLAR]])&lt;1,VALUE("0"),DST_123_ÜRETİM_İHTİYAÇ_RAPORU_BURAK_YENI1309[[#This Row],[SATINALMA]]*DST_123_ÜRETİM_İHTİYAÇ_RAPORU_BURAK_YENI1309[[#This Row],[BIRIM_FIYATLAR]])</f>
        <v>0</v>
      </c>
      <c r="N829">
        <v>1491.67</v>
      </c>
      <c r="O829" t="s">
        <v>632</v>
      </c>
      <c r="P829">
        <v>1491.67</v>
      </c>
      <c r="Q829" t="s">
        <v>177</v>
      </c>
    </row>
    <row r="830" spans="1:17" x14ac:dyDescent="0.25">
      <c r="A830" t="s">
        <v>1142</v>
      </c>
      <c r="B830" t="s">
        <v>1056</v>
      </c>
      <c r="C830" t="s">
        <v>175</v>
      </c>
      <c r="D830" t="s">
        <v>486</v>
      </c>
      <c r="E830" t="s">
        <v>487</v>
      </c>
      <c r="F830">
        <v>2</v>
      </c>
      <c r="G830" t="s">
        <v>176</v>
      </c>
      <c r="H830">
        <v>0</v>
      </c>
      <c r="I830">
        <v>20</v>
      </c>
      <c r="J830" s="10">
        <v>34</v>
      </c>
      <c r="K830" s="10">
        <f>SUMIFS(F:F,D:D,DST_123_ÜRETİM_İHTİYAÇ_RAPORU_BURAK_YENI1309[[#This Row],[ALT_KOD]])-(SUMIFS(H:H,D:D,DST_123_ÜRETİM_İHTİYAÇ_RAPORU_BURAK_YENI1309[[#This Row],[ALT_KOD]])+AVERAGEIFS(I:I,D:D,DST_123_ÜRETİM_İHTİYAÇ_RAPORU_BURAK_YENI1309[[#This Row],[ALT_KOD]])+AVERAGEIFS(L:L,D:D,DST_123_ÜRETİM_İHTİYAÇ_RAPORU_BURAK_YENI1309[[#This Row],[ALT_KOD]]))</f>
        <v>18</v>
      </c>
      <c r="L830">
        <v>0</v>
      </c>
      <c r="M830">
        <f>IF((DST_123_ÜRETİM_İHTİYAÇ_RAPORU_BURAK_YENI1309[[#This Row],[SATINALMA]]*DST_123_ÜRETİM_İHTİYAÇ_RAPORU_BURAK_YENI1309[[#This Row],[BIRIM_FIYATLAR]])&lt;1,VALUE("0"),DST_123_ÜRETİM_İHTİYAÇ_RAPORU_BURAK_YENI1309[[#This Row],[SATINALMA]]*DST_123_ÜRETİM_İHTİYAÇ_RAPORU_BURAK_YENI1309[[#This Row],[BIRIM_FIYATLAR]])</f>
        <v>1476</v>
      </c>
      <c r="N830">
        <v>82</v>
      </c>
      <c r="O830" t="s">
        <v>1089</v>
      </c>
      <c r="P830">
        <v>164</v>
      </c>
      <c r="Q830" t="s">
        <v>483</v>
      </c>
    </row>
    <row r="831" spans="1:17" x14ac:dyDescent="0.25">
      <c r="A831" s="13" t="s">
        <v>1143</v>
      </c>
      <c r="B831" s="13" t="s">
        <v>1056</v>
      </c>
      <c r="C831" t="s">
        <v>197</v>
      </c>
      <c r="D831" s="13" t="s">
        <v>498</v>
      </c>
      <c r="E831" s="13" t="s">
        <v>499</v>
      </c>
      <c r="F831" s="13">
        <v>1</v>
      </c>
      <c r="G831" s="13" t="s">
        <v>176</v>
      </c>
      <c r="H831">
        <v>0</v>
      </c>
      <c r="I831">
        <v>10</v>
      </c>
      <c r="J831" s="10">
        <v>9</v>
      </c>
      <c r="K831" s="10">
        <f>SUMIFS(F:F,D:D,DST_123_ÜRETİM_İHTİYAÇ_RAPORU_BURAK_YENI1309[[#This Row],[ALT_KOD]])-(SUMIFS(H:H,D:D,DST_123_ÜRETİM_İHTİYAÇ_RAPORU_BURAK_YENI1309[[#This Row],[ALT_KOD]])+AVERAGEIFS(I:I,D:D,DST_123_ÜRETİM_İHTİYAÇ_RAPORU_BURAK_YENI1309[[#This Row],[ALT_KOD]])+AVERAGEIFS(L:L,D:D,DST_123_ÜRETİM_İHTİYAÇ_RAPORU_BURAK_YENI1309[[#This Row],[ALT_KOD]]))</f>
        <v>2</v>
      </c>
      <c r="L831">
        <v>0</v>
      </c>
      <c r="M831">
        <f>IF((DST_123_ÜRETİM_İHTİYAÇ_RAPORU_BURAK_YENI1309[[#This Row],[SATINALMA]]*DST_123_ÜRETİM_İHTİYAÇ_RAPORU_BURAK_YENI1309[[#This Row],[BIRIM_FIYATLAR]])&lt;1,VALUE("0"),DST_123_ÜRETİM_İHTİYAÇ_RAPORU_BURAK_YENI1309[[#This Row],[SATINALMA]]*DST_123_ÜRETİM_İHTİYAÇ_RAPORU_BURAK_YENI1309[[#This Row],[BIRIM_FIYATLAR]])</f>
        <v>0</v>
      </c>
      <c r="O831" t="s">
        <v>713</v>
      </c>
      <c r="Q831" t="s">
        <v>760</v>
      </c>
    </row>
    <row r="832" spans="1:17" x14ac:dyDescent="0.25">
      <c r="A832" t="s">
        <v>1142</v>
      </c>
      <c r="B832" t="s">
        <v>1056</v>
      </c>
      <c r="C832" t="s">
        <v>175</v>
      </c>
      <c r="D832" t="s">
        <v>333</v>
      </c>
      <c r="E832" t="s">
        <v>334</v>
      </c>
      <c r="F832">
        <v>1</v>
      </c>
      <c r="G832" t="s">
        <v>176</v>
      </c>
      <c r="H832">
        <v>0</v>
      </c>
      <c r="I832">
        <v>25</v>
      </c>
      <c r="J832" s="10">
        <v>18</v>
      </c>
      <c r="K832" s="10">
        <f>SUMIFS(F:F,D:D,DST_123_ÜRETİM_İHTİYAÇ_RAPORU_BURAK_YENI1309[[#This Row],[ALT_KOD]])-(SUMIFS(H:H,D:D,DST_123_ÜRETİM_İHTİYAÇ_RAPORU_BURAK_YENI1309[[#This Row],[ALT_KOD]])+AVERAGEIFS(I:I,D:D,DST_123_ÜRETİM_İHTİYAÇ_RAPORU_BURAK_YENI1309[[#This Row],[ALT_KOD]])+AVERAGEIFS(L:L,D:D,DST_123_ÜRETİM_İHTİYAÇ_RAPORU_BURAK_YENI1309[[#This Row],[ALT_KOD]]))</f>
        <v>-6</v>
      </c>
      <c r="L832">
        <v>0</v>
      </c>
      <c r="M832">
        <f>IF((DST_123_ÜRETİM_İHTİYAÇ_RAPORU_BURAK_YENI1309[[#This Row],[SATINALMA]]*DST_123_ÜRETİM_İHTİYAÇ_RAPORU_BURAK_YENI1309[[#This Row],[BIRIM_FIYATLAR]])&lt;1,VALUE("0"),DST_123_ÜRETİM_İHTİYAÇ_RAPORU_BURAK_YENI1309[[#This Row],[SATINALMA]]*DST_123_ÜRETİM_İHTİYAÇ_RAPORU_BURAK_YENI1309[[#This Row],[BIRIM_FIYATLAR]])</f>
        <v>0</v>
      </c>
      <c r="N832">
        <v>225</v>
      </c>
      <c r="O832" t="s">
        <v>226</v>
      </c>
      <c r="P832">
        <v>225</v>
      </c>
      <c r="Q832" t="s">
        <v>180</v>
      </c>
    </row>
    <row r="833" spans="1:17" x14ac:dyDescent="0.25">
      <c r="A833" t="s">
        <v>1150</v>
      </c>
      <c r="B833" t="s">
        <v>1145</v>
      </c>
      <c r="C833" t="s">
        <v>175</v>
      </c>
      <c r="D833" t="s">
        <v>486</v>
      </c>
      <c r="E833" t="s">
        <v>487</v>
      </c>
      <c r="F833">
        <v>2</v>
      </c>
      <c r="G833" t="s">
        <v>176</v>
      </c>
      <c r="H833">
        <v>0</v>
      </c>
      <c r="I833">
        <v>20</v>
      </c>
      <c r="J833" s="10">
        <v>34</v>
      </c>
      <c r="K833" s="10">
        <f>SUMIFS(F:F,D:D,DST_123_ÜRETİM_İHTİYAÇ_RAPORU_BURAK_YENI1309[[#This Row],[ALT_KOD]])-(SUMIFS(H:H,D:D,DST_123_ÜRETİM_İHTİYAÇ_RAPORU_BURAK_YENI1309[[#This Row],[ALT_KOD]])+AVERAGEIFS(I:I,D:D,DST_123_ÜRETİM_İHTİYAÇ_RAPORU_BURAK_YENI1309[[#This Row],[ALT_KOD]])+AVERAGEIFS(L:L,D:D,DST_123_ÜRETİM_İHTİYAÇ_RAPORU_BURAK_YENI1309[[#This Row],[ALT_KOD]]))</f>
        <v>18</v>
      </c>
      <c r="L833">
        <v>0</v>
      </c>
      <c r="M833">
        <f>IF((DST_123_ÜRETİM_İHTİYAÇ_RAPORU_BURAK_YENI1309[[#This Row],[SATINALMA]]*DST_123_ÜRETİM_İHTİYAÇ_RAPORU_BURAK_YENI1309[[#This Row],[BIRIM_FIYATLAR]])&lt;1,VALUE("0"),DST_123_ÜRETİM_İHTİYAÇ_RAPORU_BURAK_YENI1309[[#This Row],[SATINALMA]]*DST_123_ÜRETİM_İHTİYAÇ_RAPORU_BURAK_YENI1309[[#This Row],[BIRIM_FIYATLAR]])</f>
        <v>1476</v>
      </c>
      <c r="N833">
        <v>82</v>
      </c>
      <c r="O833" t="s">
        <v>1089</v>
      </c>
      <c r="P833">
        <v>164</v>
      </c>
      <c r="Q833" t="s">
        <v>483</v>
      </c>
    </row>
    <row r="834" spans="1:17" x14ac:dyDescent="0.25">
      <c r="A834" t="s">
        <v>1144</v>
      </c>
      <c r="B834" t="s">
        <v>1145</v>
      </c>
      <c r="C834" t="s">
        <v>197</v>
      </c>
      <c r="D834" t="s">
        <v>498</v>
      </c>
      <c r="E834" t="s">
        <v>499</v>
      </c>
      <c r="F834">
        <v>1</v>
      </c>
      <c r="G834" t="s">
        <v>176</v>
      </c>
      <c r="H834">
        <v>0</v>
      </c>
      <c r="I834">
        <v>10</v>
      </c>
      <c r="J834" s="10">
        <v>9</v>
      </c>
      <c r="K834" s="10">
        <f>SUMIFS(F:F,D:D,DST_123_ÜRETİM_İHTİYAÇ_RAPORU_BURAK_YENI1309[[#This Row],[ALT_KOD]])-(SUMIFS(H:H,D:D,DST_123_ÜRETİM_İHTİYAÇ_RAPORU_BURAK_YENI1309[[#This Row],[ALT_KOD]])+AVERAGEIFS(I:I,D:D,DST_123_ÜRETİM_İHTİYAÇ_RAPORU_BURAK_YENI1309[[#This Row],[ALT_KOD]])+AVERAGEIFS(L:L,D:D,DST_123_ÜRETİM_İHTİYAÇ_RAPORU_BURAK_YENI1309[[#This Row],[ALT_KOD]]))</f>
        <v>2</v>
      </c>
      <c r="L834">
        <v>0</v>
      </c>
      <c r="M834">
        <f>IF((DST_123_ÜRETİM_İHTİYAÇ_RAPORU_BURAK_YENI1309[[#This Row],[SATINALMA]]*DST_123_ÜRETİM_İHTİYAÇ_RAPORU_BURAK_YENI1309[[#This Row],[BIRIM_FIYATLAR]])&lt;1,VALUE("0"),DST_123_ÜRETİM_İHTİYAÇ_RAPORU_BURAK_YENI1309[[#This Row],[SATINALMA]]*DST_123_ÜRETİM_İHTİYAÇ_RAPORU_BURAK_YENI1309[[#This Row],[BIRIM_FIYATLAR]])</f>
        <v>0</v>
      </c>
      <c r="O834" t="s">
        <v>713</v>
      </c>
      <c r="Q834" t="s">
        <v>760</v>
      </c>
    </row>
    <row r="835" spans="1:17" x14ac:dyDescent="0.25">
      <c r="A835" t="s">
        <v>1146</v>
      </c>
      <c r="B835" t="s">
        <v>1145</v>
      </c>
      <c r="C835" t="s">
        <v>197</v>
      </c>
      <c r="D835" t="s">
        <v>498</v>
      </c>
      <c r="E835" t="s">
        <v>499</v>
      </c>
      <c r="F835">
        <v>1</v>
      </c>
      <c r="G835" t="s">
        <v>176</v>
      </c>
      <c r="H835">
        <v>0</v>
      </c>
      <c r="I835">
        <v>10</v>
      </c>
      <c r="J835" s="10">
        <v>9</v>
      </c>
      <c r="K835" s="10">
        <f>SUMIFS(F:F,D:D,DST_123_ÜRETİM_İHTİYAÇ_RAPORU_BURAK_YENI1309[[#This Row],[ALT_KOD]])-(SUMIFS(H:H,D:D,DST_123_ÜRETİM_İHTİYAÇ_RAPORU_BURAK_YENI1309[[#This Row],[ALT_KOD]])+AVERAGEIFS(I:I,D:D,DST_123_ÜRETİM_İHTİYAÇ_RAPORU_BURAK_YENI1309[[#This Row],[ALT_KOD]])+AVERAGEIFS(L:L,D:D,DST_123_ÜRETİM_İHTİYAÇ_RAPORU_BURAK_YENI1309[[#This Row],[ALT_KOD]]))</f>
        <v>2</v>
      </c>
      <c r="L835">
        <v>0</v>
      </c>
      <c r="M835">
        <f>IF((DST_123_ÜRETİM_İHTİYAÇ_RAPORU_BURAK_YENI1309[[#This Row],[SATINALMA]]*DST_123_ÜRETİM_İHTİYAÇ_RAPORU_BURAK_YENI1309[[#This Row],[BIRIM_FIYATLAR]])&lt;1,VALUE("0"),DST_123_ÜRETİM_İHTİYAÇ_RAPORU_BURAK_YENI1309[[#This Row],[SATINALMA]]*DST_123_ÜRETİM_İHTİYAÇ_RAPORU_BURAK_YENI1309[[#This Row],[BIRIM_FIYATLAR]])</f>
        <v>0</v>
      </c>
      <c r="O835" t="s">
        <v>713</v>
      </c>
      <c r="Q835" t="s">
        <v>760</v>
      </c>
    </row>
    <row r="836" spans="1:17" x14ac:dyDescent="0.25">
      <c r="A836" t="s">
        <v>1150</v>
      </c>
      <c r="B836" t="s">
        <v>1145</v>
      </c>
      <c r="C836" t="s">
        <v>175</v>
      </c>
      <c r="D836" t="s">
        <v>333</v>
      </c>
      <c r="E836" t="s">
        <v>334</v>
      </c>
      <c r="F836">
        <v>1</v>
      </c>
      <c r="G836" t="s">
        <v>176</v>
      </c>
      <c r="H836">
        <v>0</v>
      </c>
      <c r="I836">
        <v>25</v>
      </c>
      <c r="J836" s="10">
        <v>18</v>
      </c>
      <c r="K836" s="10">
        <f>SUMIFS(F:F,D:D,DST_123_ÜRETİM_İHTİYAÇ_RAPORU_BURAK_YENI1309[[#This Row],[ALT_KOD]])-(SUMIFS(H:H,D:D,DST_123_ÜRETİM_İHTİYAÇ_RAPORU_BURAK_YENI1309[[#This Row],[ALT_KOD]])+AVERAGEIFS(I:I,D:D,DST_123_ÜRETİM_İHTİYAÇ_RAPORU_BURAK_YENI1309[[#This Row],[ALT_KOD]])+AVERAGEIFS(L:L,D:D,DST_123_ÜRETİM_İHTİYAÇ_RAPORU_BURAK_YENI1309[[#This Row],[ALT_KOD]]))</f>
        <v>-6</v>
      </c>
      <c r="L836">
        <v>0</v>
      </c>
      <c r="M836">
        <f>IF((DST_123_ÜRETİM_İHTİYAÇ_RAPORU_BURAK_YENI1309[[#This Row],[SATINALMA]]*DST_123_ÜRETİM_İHTİYAÇ_RAPORU_BURAK_YENI1309[[#This Row],[BIRIM_FIYATLAR]])&lt;1,VALUE("0"),DST_123_ÜRETİM_İHTİYAÇ_RAPORU_BURAK_YENI1309[[#This Row],[SATINALMA]]*DST_123_ÜRETİM_İHTİYAÇ_RAPORU_BURAK_YENI1309[[#This Row],[BIRIM_FIYATLAR]])</f>
        <v>0</v>
      </c>
      <c r="N836">
        <v>225</v>
      </c>
      <c r="O836" t="s">
        <v>226</v>
      </c>
      <c r="P836">
        <v>225</v>
      </c>
      <c r="Q836" t="s">
        <v>180</v>
      </c>
    </row>
    <row r="837" spans="1:17" x14ac:dyDescent="0.25">
      <c r="A837" t="s">
        <v>1150</v>
      </c>
      <c r="B837" t="s">
        <v>1145</v>
      </c>
      <c r="C837" t="s">
        <v>175</v>
      </c>
      <c r="D837" t="s">
        <v>96</v>
      </c>
      <c r="E837" t="s">
        <v>97</v>
      </c>
      <c r="F837">
        <v>1</v>
      </c>
      <c r="G837" t="s">
        <v>176</v>
      </c>
      <c r="H837">
        <v>0</v>
      </c>
      <c r="I837">
        <v>0</v>
      </c>
      <c r="J837" s="10">
        <v>5</v>
      </c>
      <c r="K837" s="10">
        <f>SUMIFS(F:F,D:D,DST_123_ÜRETİM_İHTİYAÇ_RAPORU_BURAK_YENI1309[[#This Row],[ALT_KOD]])-(SUMIFS(H:H,D:D,DST_123_ÜRETİM_İHTİYAÇ_RAPORU_BURAK_YENI1309[[#This Row],[ALT_KOD]])+AVERAGEIFS(I:I,D:D,DST_123_ÜRETİM_İHTİYAÇ_RAPORU_BURAK_YENI1309[[#This Row],[ALT_KOD]])+AVERAGEIFS(L:L,D:D,DST_123_ÜRETİM_İHTİYAÇ_RAPORU_BURAK_YENI1309[[#This Row],[ALT_KOD]]))</f>
        <v>0</v>
      </c>
      <c r="L837">
        <v>7</v>
      </c>
      <c r="M837">
        <f>IF((DST_123_ÜRETİM_İHTİYAÇ_RAPORU_BURAK_YENI1309[[#This Row],[SATINALMA]]*DST_123_ÜRETİM_İHTİYAÇ_RAPORU_BURAK_YENI1309[[#This Row],[BIRIM_FIYATLAR]])&lt;1,VALUE("0"),DST_123_ÜRETİM_İHTİYAÇ_RAPORU_BURAK_YENI1309[[#This Row],[SATINALMA]]*DST_123_ÜRETİM_İHTİYAÇ_RAPORU_BURAK_YENI1309[[#This Row],[BIRIM_FIYATLAR]])</f>
        <v>0</v>
      </c>
      <c r="N837">
        <v>1491.67</v>
      </c>
      <c r="O837" t="s">
        <v>632</v>
      </c>
      <c r="P837">
        <v>1491.67</v>
      </c>
      <c r="Q837" t="s">
        <v>177</v>
      </c>
    </row>
    <row r="838" spans="1:17" x14ac:dyDescent="0.25">
      <c r="A838" t="s">
        <v>1150</v>
      </c>
      <c r="B838" t="s">
        <v>1145</v>
      </c>
      <c r="C838" t="s">
        <v>175</v>
      </c>
      <c r="D838" t="s">
        <v>99</v>
      </c>
      <c r="E838" t="s">
        <v>100</v>
      </c>
      <c r="F838">
        <v>35.28</v>
      </c>
      <c r="G838" t="s">
        <v>185</v>
      </c>
      <c r="H838">
        <v>0</v>
      </c>
      <c r="I838">
        <v>0</v>
      </c>
      <c r="J838" s="10">
        <v>437.82000000000016</v>
      </c>
      <c r="K838" s="10">
        <f>SUMIFS(F:F,D:D,DST_123_ÜRETİM_İHTİYAÇ_RAPORU_BURAK_YENI1309[[#This Row],[ALT_KOD]])-(SUMIFS(H:H,D:D,DST_123_ÜRETİM_İHTİYAÇ_RAPORU_BURAK_YENI1309[[#This Row],[ALT_KOD]])+AVERAGEIFS(I:I,D:D,DST_123_ÜRETİM_İHTİYAÇ_RAPORU_BURAK_YENI1309[[#This Row],[ALT_KOD]])+AVERAGEIFS(L:L,D:D,DST_123_ÜRETİM_İHTİYAÇ_RAPORU_BURAK_YENI1309[[#This Row],[ALT_KOD]]))</f>
        <v>348.62999999999988</v>
      </c>
      <c r="L838">
        <v>0</v>
      </c>
      <c r="M838">
        <f>IF((DST_123_ÜRETİM_İHTİYAÇ_RAPORU_BURAK_YENI1309[[#This Row],[SATINALMA]]*DST_123_ÜRETİM_İHTİYAÇ_RAPORU_BURAK_YENI1309[[#This Row],[BIRIM_FIYATLAR]])&lt;1,VALUE("0"),DST_123_ÜRETİM_İHTİYAÇ_RAPORU_BURAK_YENI1309[[#This Row],[SATINALMA]]*DST_123_ÜRETİM_İHTİYAÇ_RAPORU_BURAK_YENI1309[[#This Row],[BIRIM_FIYATLAR]])</f>
        <v>33597.473099999988</v>
      </c>
      <c r="N838">
        <v>96.37</v>
      </c>
      <c r="O838" t="s">
        <v>490</v>
      </c>
      <c r="P838">
        <v>3399.9336000000003</v>
      </c>
      <c r="Q838" t="s">
        <v>183</v>
      </c>
    </row>
    <row r="839" spans="1:17" x14ac:dyDescent="0.25">
      <c r="A839" t="s">
        <v>1148</v>
      </c>
      <c r="B839" t="s">
        <v>1056</v>
      </c>
      <c r="C839" t="s">
        <v>175</v>
      </c>
      <c r="D839" t="s">
        <v>486</v>
      </c>
      <c r="E839" t="s">
        <v>487</v>
      </c>
      <c r="F839">
        <v>2</v>
      </c>
      <c r="G839" t="s">
        <v>176</v>
      </c>
      <c r="H839">
        <v>0</v>
      </c>
      <c r="I839">
        <v>20</v>
      </c>
      <c r="J839" s="10">
        <v>34</v>
      </c>
      <c r="K839" s="10">
        <f>SUMIFS(F:F,D:D,DST_123_ÜRETİM_İHTİYAÇ_RAPORU_BURAK_YENI1309[[#This Row],[ALT_KOD]])-(SUMIFS(H:H,D:D,DST_123_ÜRETİM_İHTİYAÇ_RAPORU_BURAK_YENI1309[[#This Row],[ALT_KOD]])+AVERAGEIFS(I:I,D:D,DST_123_ÜRETİM_İHTİYAÇ_RAPORU_BURAK_YENI1309[[#This Row],[ALT_KOD]])+AVERAGEIFS(L:L,D:D,DST_123_ÜRETİM_İHTİYAÇ_RAPORU_BURAK_YENI1309[[#This Row],[ALT_KOD]]))</f>
        <v>18</v>
      </c>
      <c r="L839">
        <v>0</v>
      </c>
      <c r="M839">
        <f>IF((DST_123_ÜRETİM_İHTİYAÇ_RAPORU_BURAK_YENI1309[[#This Row],[SATINALMA]]*DST_123_ÜRETİM_İHTİYAÇ_RAPORU_BURAK_YENI1309[[#This Row],[BIRIM_FIYATLAR]])&lt;1,VALUE("0"),DST_123_ÜRETİM_İHTİYAÇ_RAPORU_BURAK_YENI1309[[#This Row],[SATINALMA]]*DST_123_ÜRETİM_İHTİYAÇ_RAPORU_BURAK_YENI1309[[#This Row],[BIRIM_FIYATLAR]])</f>
        <v>1476</v>
      </c>
      <c r="N839">
        <v>82</v>
      </c>
      <c r="O839" t="s">
        <v>1089</v>
      </c>
      <c r="P839">
        <v>164</v>
      </c>
      <c r="Q839" t="s">
        <v>483</v>
      </c>
    </row>
    <row r="840" spans="1:17" x14ac:dyDescent="0.25">
      <c r="A840" t="s">
        <v>1101</v>
      </c>
      <c r="B840" t="s">
        <v>1102</v>
      </c>
      <c r="C840" t="s">
        <v>197</v>
      </c>
      <c r="D840" t="s">
        <v>498</v>
      </c>
      <c r="E840" t="s">
        <v>499</v>
      </c>
      <c r="F840">
        <v>1</v>
      </c>
      <c r="G840" t="s">
        <v>176</v>
      </c>
      <c r="H840">
        <v>1</v>
      </c>
      <c r="I840">
        <v>10</v>
      </c>
      <c r="J840" s="10">
        <v>9</v>
      </c>
      <c r="K840" s="10">
        <f>SUMIFS(F:F,D:D,DST_123_ÜRETİM_İHTİYAÇ_RAPORU_BURAK_YENI1309[[#This Row],[ALT_KOD]])-(SUMIFS(H:H,D:D,DST_123_ÜRETİM_İHTİYAÇ_RAPORU_BURAK_YENI1309[[#This Row],[ALT_KOD]])+AVERAGEIFS(I:I,D:D,DST_123_ÜRETİM_İHTİYAÇ_RAPORU_BURAK_YENI1309[[#This Row],[ALT_KOD]])+AVERAGEIFS(L:L,D:D,DST_123_ÜRETİM_İHTİYAÇ_RAPORU_BURAK_YENI1309[[#This Row],[ALT_KOD]]))</f>
        <v>2</v>
      </c>
      <c r="L840">
        <v>0</v>
      </c>
      <c r="M840">
        <f>IF((DST_123_ÜRETİM_İHTİYAÇ_RAPORU_BURAK_YENI1309[[#This Row],[SATINALMA]]*DST_123_ÜRETİM_İHTİYAÇ_RAPORU_BURAK_YENI1309[[#This Row],[BIRIM_FIYATLAR]])&lt;1,VALUE("0"),DST_123_ÜRETİM_İHTİYAÇ_RAPORU_BURAK_YENI1309[[#This Row],[SATINALMA]]*DST_123_ÜRETİM_İHTİYAÇ_RAPORU_BURAK_YENI1309[[#This Row],[BIRIM_FIYATLAR]])</f>
        <v>0</v>
      </c>
      <c r="O840" t="s">
        <v>713</v>
      </c>
      <c r="Q840" t="s">
        <v>760</v>
      </c>
    </row>
    <row r="841" spans="1:17" x14ac:dyDescent="0.25">
      <c r="A841" t="s">
        <v>1060</v>
      </c>
      <c r="B841" t="s">
        <v>1061</v>
      </c>
      <c r="C841" t="s">
        <v>175</v>
      </c>
      <c r="D841" t="s">
        <v>333</v>
      </c>
      <c r="E841" t="s">
        <v>334</v>
      </c>
      <c r="F841">
        <v>1</v>
      </c>
      <c r="G841" t="s">
        <v>176</v>
      </c>
      <c r="H841">
        <v>0</v>
      </c>
      <c r="I841">
        <v>25</v>
      </c>
      <c r="J841" s="10">
        <v>18</v>
      </c>
      <c r="K841" s="10">
        <f>SUMIFS(F:F,D:D,DST_123_ÜRETİM_İHTİYAÇ_RAPORU_BURAK_YENI1309[[#This Row],[ALT_KOD]])-(SUMIFS(H:H,D:D,DST_123_ÜRETİM_İHTİYAÇ_RAPORU_BURAK_YENI1309[[#This Row],[ALT_KOD]])+AVERAGEIFS(I:I,D:D,DST_123_ÜRETİM_İHTİYAÇ_RAPORU_BURAK_YENI1309[[#This Row],[ALT_KOD]])+AVERAGEIFS(L:L,D:D,DST_123_ÜRETİM_İHTİYAÇ_RAPORU_BURAK_YENI1309[[#This Row],[ALT_KOD]]))</f>
        <v>-6</v>
      </c>
      <c r="L841">
        <v>0</v>
      </c>
      <c r="M841">
        <f>IF((DST_123_ÜRETİM_İHTİYAÇ_RAPORU_BURAK_YENI1309[[#This Row],[SATINALMA]]*DST_123_ÜRETİM_İHTİYAÇ_RAPORU_BURAK_YENI1309[[#This Row],[BIRIM_FIYATLAR]])&lt;1,VALUE("0"),DST_123_ÜRETİM_İHTİYAÇ_RAPORU_BURAK_YENI1309[[#This Row],[SATINALMA]]*DST_123_ÜRETİM_İHTİYAÇ_RAPORU_BURAK_YENI1309[[#This Row],[BIRIM_FIYATLAR]])</f>
        <v>0</v>
      </c>
      <c r="N841">
        <v>225</v>
      </c>
      <c r="O841" t="s">
        <v>226</v>
      </c>
      <c r="P841">
        <v>225</v>
      </c>
      <c r="Q841" t="s">
        <v>180</v>
      </c>
    </row>
    <row r="842" spans="1:17" x14ac:dyDescent="0.25">
      <c r="A842" t="s">
        <v>1060</v>
      </c>
      <c r="B842" t="s">
        <v>1061</v>
      </c>
      <c r="C842" t="s">
        <v>175</v>
      </c>
      <c r="D842" t="s">
        <v>96</v>
      </c>
      <c r="E842" t="s">
        <v>97</v>
      </c>
      <c r="F842">
        <v>1</v>
      </c>
      <c r="G842" t="s">
        <v>176</v>
      </c>
      <c r="H842">
        <v>1</v>
      </c>
      <c r="I842">
        <v>0</v>
      </c>
      <c r="J842" s="10">
        <v>5</v>
      </c>
      <c r="K842" s="10">
        <f>SUMIFS(F:F,D:D,DST_123_ÜRETİM_İHTİYAÇ_RAPORU_BURAK_YENI1309[[#This Row],[ALT_KOD]])-(SUMIFS(H:H,D:D,DST_123_ÜRETİM_İHTİYAÇ_RAPORU_BURAK_YENI1309[[#This Row],[ALT_KOD]])+AVERAGEIFS(I:I,D:D,DST_123_ÜRETİM_İHTİYAÇ_RAPORU_BURAK_YENI1309[[#This Row],[ALT_KOD]])+AVERAGEIFS(L:L,D:D,DST_123_ÜRETİM_İHTİYAÇ_RAPORU_BURAK_YENI1309[[#This Row],[ALT_KOD]]))</f>
        <v>0</v>
      </c>
      <c r="L842">
        <v>7</v>
      </c>
      <c r="M842">
        <f>IF((DST_123_ÜRETİM_İHTİYAÇ_RAPORU_BURAK_YENI1309[[#This Row],[SATINALMA]]*DST_123_ÜRETİM_İHTİYAÇ_RAPORU_BURAK_YENI1309[[#This Row],[BIRIM_FIYATLAR]])&lt;1,VALUE("0"),DST_123_ÜRETİM_İHTİYAÇ_RAPORU_BURAK_YENI1309[[#This Row],[SATINALMA]]*DST_123_ÜRETİM_İHTİYAÇ_RAPORU_BURAK_YENI1309[[#This Row],[BIRIM_FIYATLAR]])</f>
        <v>0</v>
      </c>
      <c r="N842">
        <v>1491.67</v>
      </c>
      <c r="O842" t="s">
        <v>632</v>
      </c>
      <c r="P842">
        <v>1491.67</v>
      </c>
      <c r="Q842" t="s">
        <v>177</v>
      </c>
    </row>
    <row r="843" spans="1:17" x14ac:dyDescent="0.25">
      <c r="A843" t="s">
        <v>1060</v>
      </c>
      <c r="B843" t="s">
        <v>1061</v>
      </c>
      <c r="C843" t="s">
        <v>175</v>
      </c>
      <c r="D843" t="s">
        <v>99</v>
      </c>
      <c r="E843" t="s">
        <v>100</v>
      </c>
      <c r="F843">
        <v>32.279999999999994</v>
      </c>
      <c r="G843" t="s">
        <v>185</v>
      </c>
      <c r="H843">
        <v>32.279999999999994</v>
      </c>
      <c r="I843">
        <v>0</v>
      </c>
      <c r="J843" s="10">
        <v>437.82000000000016</v>
      </c>
      <c r="K843" s="10">
        <f>SUMIFS(F:F,D:D,DST_123_ÜRETİM_İHTİYAÇ_RAPORU_BURAK_YENI1309[[#This Row],[ALT_KOD]])-(SUMIFS(H:H,D:D,DST_123_ÜRETİM_İHTİYAÇ_RAPORU_BURAK_YENI1309[[#This Row],[ALT_KOD]])+AVERAGEIFS(I:I,D:D,DST_123_ÜRETİM_İHTİYAÇ_RAPORU_BURAK_YENI1309[[#This Row],[ALT_KOD]])+AVERAGEIFS(L:L,D:D,DST_123_ÜRETİM_İHTİYAÇ_RAPORU_BURAK_YENI1309[[#This Row],[ALT_KOD]]))</f>
        <v>348.62999999999988</v>
      </c>
      <c r="L843">
        <v>0</v>
      </c>
      <c r="M843">
        <f>IF((DST_123_ÜRETİM_İHTİYAÇ_RAPORU_BURAK_YENI1309[[#This Row],[SATINALMA]]*DST_123_ÜRETİM_İHTİYAÇ_RAPORU_BURAK_YENI1309[[#This Row],[BIRIM_FIYATLAR]])&lt;1,VALUE("0"),DST_123_ÜRETİM_İHTİYAÇ_RAPORU_BURAK_YENI1309[[#This Row],[SATINALMA]]*DST_123_ÜRETİM_İHTİYAÇ_RAPORU_BURAK_YENI1309[[#This Row],[BIRIM_FIYATLAR]])</f>
        <v>33597.473099999988</v>
      </c>
      <c r="N843">
        <v>96.37</v>
      </c>
      <c r="O843" t="s">
        <v>490</v>
      </c>
      <c r="P843">
        <v>3110.8235999999997</v>
      </c>
      <c r="Q843" t="s">
        <v>183</v>
      </c>
    </row>
    <row r="844" spans="1:17" x14ac:dyDescent="0.25">
      <c r="A844" t="s">
        <v>1057</v>
      </c>
      <c r="B844" t="s">
        <v>1058</v>
      </c>
      <c r="C844" t="s">
        <v>175</v>
      </c>
      <c r="D844" t="s">
        <v>101</v>
      </c>
      <c r="E844" t="s">
        <v>102</v>
      </c>
      <c r="F844">
        <v>2.1</v>
      </c>
      <c r="G844" t="s">
        <v>185</v>
      </c>
      <c r="H844">
        <v>2.1</v>
      </c>
      <c r="I844">
        <v>66</v>
      </c>
      <c r="J844" s="10">
        <v>36.349999999999987</v>
      </c>
      <c r="K844" s="10">
        <f>SUMIFS(F:F,D:D,DST_123_ÜRETİM_İHTİYAÇ_RAPORU_BURAK_YENI1309[[#This Row],[ALT_KOD]])-(SUMIFS(H:H,D:D,DST_123_ÜRETİM_İHTİYAÇ_RAPORU_BURAK_YENI1309[[#This Row],[ALT_KOD]])+AVERAGEIFS(I:I,D:D,DST_123_ÜRETİM_İHTİYAÇ_RAPORU_BURAK_YENI1309[[#This Row],[ALT_KOD]])+AVERAGEIFS(L:L,D:D,DST_123_ÜRETİM_İHTİYAÇ_RAPORU_BURAK_YENI1309[[#This Row],[ALT_KOD]]))</f>
        <v>-17.090000000000018</v>
      </c>
      <c r="L844">
        <v>0</v>
      </c>
      <c r="M844">
        <f>IF((DST_123_ÜRETİM_İHTİYAÇ_RAPORU_BURAK_YENI1309[[#This Row],[SATINALMA]]*DST_123_ÜRETİM_İHTİYAÇ_RAPORU_BURAK_YENI1309[[#This Row],[BIRIM_FIYATLAR]])&lt;1,VALUE("0"),DST_123_ÜRETİM_İHTİYAÇ_RAPORU_BURAK_YENI1309[[#This Row],[SATINALMA]]*DST_123_ÜRETİM_İHTİYAÇ_RAPORU_BURAK_YENI1309[[#This Row],[BIRIM_FIYATLAR]])</f>
        <v>0</v>
      </c>
      <c r="N844">
        <v>129.63</v>
      </c>
      <c r="O844" t="s">
        <v>240</v>
      </c>
      <c r="P844">
        <v>272.22300000000001</v>
      </c>
      <c r="Q844" t="s">
        <v>183</v>
      </c>
    </row>
    <row r="845" spans="1:17" x14ac:dyDescent="0.25">
      <c r="A845" t="s">
        <v>1101</v>
      </c>
      <c r="B845" t="s">
        <v>1102</v>
      </c>
      <c r="C845" t="s">
        <v>175</v>
      </c>
      <c r="D845" t="s">
        <v>101</v>
      </c>
      <c r="E845" t="s">
        <v>102</v>
      </c>
      <c r="F845">
        <v>8.9</v>
      </c>
      <c r="G845" t="s">
        <v>185</v>
      </c>
      <c r="H845">
        <v>0</v>
      </c>
      <c r="I845">
        <v>66</v>
      </c>
      <c r="J845" s="10">
        <v>36.349999999999987</v>
      </c>
      <c r="K845" s="10">
        <f>SUMIFS(F:F,D:D,DST_123_ÜRETİM_İHTİYAÇ_RAPORU_BURAK_YENI1309[[#This Row],[ALT_KOD]])-(SUMIFS(H:H,D:D,DST_123_ÜRETİM_İHTİYAÇ_RAPORU_BURAK_YENI1309[[#This Row],[ALT_KOD]])+AVERAGEIFS(I:I,D:D,DST_123_ÜRETİM_İHTİYAÇ_RAPORU_BURAK_YENI1309[[#This Row],[ALT_KOD]])+AVERAGEIFS(L:L,D:D,DST_123_ÜRETİM_İHTİYAÇ_RAPORU_BURAK_YENI1309[[#This Row],[ALT_KOD]]))</f>
        <v>-17.090000000000018</v>
      </c>
      <c r="L845">
        <v>0</v>
      </c>
      <c r="M845">
        <f>IF((DST_123_ÜRETİM_İHTİYAÇ_RAPORU_BURAK_YENI1309[[#This Row],[SATINALMA]]*DST_123_ÜRETİM_İHTİYAÇ_RAPORU_BURAK_YENI1309[[#This Row],[BIRIM_FIYATLAR]])&lt;1,VALUE("0"),DST_123_ÜRETİM_İHTİYAÇ_RAPORU_BURAK_YENI1309[[#This Row],[SATINALMA]]*DST_123_ÜRETİM_İHTİYAÇ_RAPORU_BURAK_YENI1309[[#This Row],[BIRIM_FIYATLAR]])</f>
        <v>0</v>
      </c>
      <c r="N845">
        <v>129.63</v>
      </c>
      <c r="O845" t="s">
        <v>240</v>
      </c>
      <c r="P845">
        <v>1153.7070000000001</v>
      </c>
      <c r="Q845" t="s">
        <v>183</v>
      </c>
    </row>
    <row r="846" spans="1:17" x14ac:dyDescent="0.25">
      <c r="A846" t="s">
        <v>1144</v>
      </c>
      <c r="B846" t="s">
        <v>1145</v>
      </c>
      <c r="C846" t="s">
        <v>175</v>
      </c>
      <c r="D846" t="s">
        <v>101</v>
      </c>
      <c r="E846" t="s">
        <v>102</v>
      </c>
      <c r="F846">
        <v>4</v>
      </c>
      <c r="G846" t="s">
        <v>185</v>
      </c>
      <c r="H846">
        <v>0</v>
      </c>
      <c r="I846">
        <v>66</v>
      </c>
      <c r="J846" s="10">
        <v>36.349999999999987</v>
      </c>
      <c r="K846" s="10">
        <f>SUMIFS(F:F,D:D,DST_123_ÜRETİM_İHTİYAÇ_RAPORU_BURAK_YENI1309[[#This Row],[ALT_KOD]])-(SUMIFS(H:H,D:D,DST_123_ÜRETİM_İHTİYAÇ_RAPORU_BURAK_YENI1309[[#This Row],[ALT_KOD]])+AVERAGEIFS(I:I,D:D,DST_123_ÜRETİM_İHTİYAÇ_RAPORU_BURAK_YENI1309[[#This Row],[ALT_KOD]])+AVERAGEIFS(L:L,D:D,DST_123_ÜRETİM_İHTİYAÇ_RAPORU_BURAK_YENI1309[[#This Row],[ALT_KOD]]))</f>
        <v>-17.090000000000018</v>
      </c>
      <c r="L846">
        <v>0</v>
      </c>
      <c r="M846">
        <f>IF((DST_123_ÜRETİM_İHTİYAÇ_RAPORU_BURAK_YENI1309[[#This Row],[SATINALMA]]*DST_123_ÜRETİM_İHTİYAÇ_RAPORU_BURAK_YENI1309[[#This Row],[BIRIM_FIYATLAR]])&lt;1,VALUE("0"),DST_123_ÜRETİM_İHTİYAÇ_RAPORU_BURAK_YENI1309[[#This Row],[SATINALMA]]*DST_123_ÜRETİM_İHTİYAÇ_RAPORU_BURAK_YENI1309[[#This Row],[BIRIM_FIYATLAR]])</f>
        <v>0</v>
      </c>
      <c r="N846">
        <v>129.63</v>
      </c>
      <c r="O846" t="s">
        <v>240</v>
      </c>
      <c r="P846">
        <v>518.52</v>
      </c>
      <c r="Q846" t="s">
        <v>183</v>
      </c>
    </row>
    <row r="847" spans="1:17" x14ac:dyDescent="0.25">
      <c r="A847" s="13" t="s">
        <v>1150</v>
      </c>
      <c r="B847" s="13" t="s">
        <v>1145</v>
      </c>
      <c r="C847" t="s">
        <v>197</v>
      </c>
      <c r="D847" s="13" t="s">
        <v>498</v>
      </c>
      <c r="E847" s="13" t="s">
        <v>499</v>
      </c>
      <c r="F847" s="13">
        <v>1</v>
      </c>
      <c r="G847" s="13" t="s">
        <v>176</v>
      </c>
      <c r="H847">
        <v>0</v>
      </c>
      <c r="I847">
        <v>10</v>
      </c>
      <c r="J847" s="10">
        <v>9</v>
      </c>
      <c r="K847" s="10">
        <f>SUMIFS(F:F,D:D,DST_123_ÜRETİM_İHTİYAÇ_RAPORU_BURAK_YENI1309[[#This Row],[ALT_KOD]])-(SUMIFS(H:H,D:D,DST_123_ÜRETİM_İHTİYAÇ_RAPORU_BURAK_YENI1309[[#This Row],[ALT_KOD]])+AVERAGEIFS(I:I,D:D,DST_123_ÜRETİM_İHTİYAÇ_RAPORU_BURAK_YENI1309[[#This Row],[ALT_KOD]])+AVERAGEIFS(L:L,D:D,DST_123_ÜRETİM_İHTİYAÇ_RAPORU_BURAK_YENI1309[[#This Row],[ALT_KOD]]))</f>
        <v>2</v>
      </c>
      <c r="L847">
        <v>0</v>
      </c>
      <c r="M847">
        <f>IF((DST_123_ÜRETİM_İHTİYAÇ_RAPORU_BURAK_YENI1309[[#This Row],[SATINALMA]]*DST_123_ÜRETİM_İHTİYAÇ_RAPORU_BURAK_YENI1309[[#This Row],[BIRIM_FIYATLAR]])&lt;1,VALUE("0"),DST_123_ÜRETİM_İHTİYAÇ_RAPORU_BURAK_YENI1309[[#This Row],[SATINALMA]]*DST_123_ÜRETİM_İHTİYAÇ_RAPORU_BURAK_YENI1309[[#This Row],[BIRIM_FIYATLAR]])</f>
        <v>0</v>
      </c>
      <c r="O847" t="s">
        <v>713</v>
      </c>
      <c r="Q847" t="s">
        <v>760</v>
      </c>
    </row>
    <row r="848" spans="1:17" x14ac:dyDescent="0.25">
      <c r="A848" t="s">
        <v>1100</v>
      </c>
      <c r="B848" t="s">
        <v>1058</v>
      </c>
      <c r="C848" t="s">
        <v>175</v>
      </c>
      <c r="D848" t="s">
        <v>3</v>
      </c>
      <c r="E848" t="s">
        <v>4</v>
      </c>
      <c r="F848">
        <v>21</v>
      </c>
      <c r="G848" t="s">
        <v>179</v>
      </c>
      <c r="H848">
        <v>0</v>
      </c>
      <c r="I848">
        <v>150</v>
      </c>
      <c r="J848" s="10">
        <v>0</v>
      </c>
      <c r="K848" s="10">
        <f>SUMIFS(F:F,D:D,DST_123_ÜRETİM_İHTİYAÇ_RAPORU_BURAK_YENI1309[[#This Row],[ALT_KOD]])-(SUMIFS(H:H,D:D,DST_123_ÜRETİM_İHTİYAÇ_RAPORU_BURAK_YENI1309[[#This Row],[ALT_KOD]])+AVERAGEIFS(I:I,D:D,DST_123_ÜRETİM_İHTİYAÇ_RAPORU_BURAK_YENI1309[[#This Row],[ALT_KOD]])+AVERAGEIFS(L:L,D:D,DST_123_ÜRETİM_İHTİYAÇ_RAPORU_BURAK_YENI1309[[#This Row],[ALT_KOD]]))</f>
        <v>-76</v>
      </c>
      <c r="L848">
        <v>0</v>
      </c>
      <c r="M848">
        <f>IF((DST_123_ÜRETİM_İHTİYAÇ_RAPORU_BURAK_YENI1309[[#This Row],[SATINALMA]]*DST_123_ÜRETİM_İHTİYAÇ_RAPORU_BURAK_YENI1309[[#This Row],[BIRIM_FIYATLAR]])&lt;1,VALUE("0"),DST_123_ÜRETİM_İHTİYAÇ_RAPORU_BURAK_YENI1309[[#This Row],[SATINALMA]]*DST_123_ÜRETİM_İHTİYAÇ_RAPORU_BURAK_YENI1309[[#This Row],[BIRIM_FIYATLAR]])</f>
        <v>0</v>
      </c>
      <c r="N848">
        <v>320</v>
      </c>
      <c r="O848" t="s">
        <v>1151</v>
      </c>
      <c r="P848">
        <v>6720</v>
      </c>
      <c r="Q848" t="s">
        <v>184</v>
      </c>
    </row>
    <row r="849" spans="1:17" x14ac:dyDescent="0.25">
      <c r="A849" t="s">
        <v>1060</v>
      </c>
      <c r="B849" t="s">
        <v>1061</v>
      </c>
      <c r="C849" t="s">
        <v>175</v>
      </c>
      <c r="D849" t="s">
        <v>486</v>
      </c>
      <c r="E849" t="s">
        <v>487</v>
      </c>
      <c r="F849">
        <v>2</v>
      </c>
      <c r="G849" t="s">
        <v>176</v>
      </c>
      <c r="H849">
        <v>0</v>
      </c>
      <c r="I849">
        <v>20</v>
      </c>
      <c r="J849" s="10">
        <v>34</v>
      </c>
      <c r="K849" s="10">
        <f>SUMIFS(F:F,D:D,DST_123_ÜRETİM_İHTİYAÇ_RAPORU_BURAK_YENI1309[[#This Row],[ALT_KOD]])-(SUMIFS(H:H,D:D,DST_123_ÜRETİM_İHTİYAÇ_RAPORU_BURAK_YENI1309[[#This Row],[ALT_KOD]])+AVERAGEIFS(I:I,D:D,DST_123_ÜRETİM_İHTİYAÇ_RAPORU_BURAK_YENI1309[[#This Row],[ALT_KOD]])+AVERAGEIFS(L:L,D:D,DST_123_ÜRETİM_İHTİYAÇ_RAPORU_BURAK_YENI1309[[#This Row],[ALT_KOD]]))</f>
        <v>18</v>
      </c>
      <c r="L849">
        <v>0</v>
      </c>
      <c r="M849">
        <f>IF((DST_123_ÜRETİM_İHTİYAÇ_RAPORU_BURAK_YENI1309[[#This Row],[SATINALMA]]*DST_123_ÜRETİM_İHTİYAÇ_RAPORU_BURAK_YENI1309[[#This Row],[BIRIM_FIYATLAR]])&lt;1,VALUE("0"),DST_123_ÜRETİM_İHTİYAÇ_RAPORU_BURAK_YENI1309[[#This Row],[SATINALMA]]*DST_123_ÜRETİM_İHTİYAÇ_RAPORU_BURAK_YENI1309[[#This Row],[BIRIM_FIYATLAR]])</f>
        <v>1476</v>
      </c>
      <c r="N849">
        <v>82</v>
      </c>
      <c r="O849" t="s">
        <v>1089</v>
      </c>
      <c r="P849">
        <v>164</v>
      </c>
      <c r="Q849" t="s">
        <v>483</v>
      </c>
    </row>
    <row r="850" spans="1:17" x14ac:dyDescent="0.25">
      <c r="A850" t="s">
        <v>1147</v>
      </c>
      <c r="B850" t="s">
        <v>1145</v>
      </c>
      <c r="C850" t="s">
        <v>175</v>
      </c>
      <c r="D850" t="s">
        <v>70</v>
      </c>
      <c r="E850" t="s">
        <v>287</v>
      </c>
      <c r="F850">
        <v>6.8</v>
      </c>
      <c r="G850" t="s">
        <v>185</v>
      </c>
      <c r="H850">
        <v>0</v>
      </c>
      <c r="I850">
        <v>0</v>
      </c>
      <c r="J850" s="10">
        <v>233.6899999999996</v>
      </c>
      <c r="K850" s="10">
        <f>SUMIFS(F:F,D:D,DST_123_ÜRETİM_İHTİYAÇ_RAPORU_BURAK_YENI1309[[#This Row],[ALT_KOD]])-(SUMIFS(H:H,D:D,DST_123_ÜRETİM_İHTİYAÇ_RAPORU_BURAK_YENI1309[[#This Row],[ALT_KOD]])+AVERAGEIFS(I:I,D:D,DST_123_ÜRETİM_İHTİYAÇ_RAPORU_BURAK_YENI1309[[#This Row],[ALT_KOD]])+AVERAGEIFS(L:L,D:D,DST_123_ÜRETİM_İHTİYAÇ_RAPORU_BURAK_YENI1309[[#This Row],[ALT_KOD]]))</f>
        <v>63.129999999999995</v>
      </c>
      <c r="L850">
        <v>0</v>
      </c>
      <c r="M850">
        <f>IF((DST_123_ÜRETİM_İHTİYAÇ_RAPORU_BURAK_YENI1309[[#This Row],[SATINALMA]]*DST_123_ÜRETİM_İHTİYAÇ_RAPORU_BURAK_YENI1309[[#This Row],[BIRIM_FIYATLAR]])&lt;1,VALUE("0"),DST_123_ÜRETİM_İHTİYAÇ_RAPORU_BURAK_YENI1309[[#This Row],[SATINALMA]]*DST_123_ÜRETİM_İHTİYAÇ_RAPORU_BURAK_YENI1309[[#This Row],[BIRIM_FIYATLAR]])</f>
        <v>6403.9071999999996</v>
      </c>
      <c r="N850">
        <v>101.44</v>
      </c>
      <c r="O850" t="s">
        <v>490</v>
      </c>
      <c r="P850">
        <v>689.79199999999992</v>
      </c>
      <c r="Q850" t="s">
        <v>183</v>
      </c>
    </row>
    <row r="851" spans="1:17" x14ac:dyDescent="0.25">
      <c r="A851" t="s">
        <v>1101</v>
      </c>
      <c r="B851" t="s">
        <v>1102</v>
      </c>
      <c r="C851" t="s">
        <v>175</v>
      </c>
      <c r="D851" t="s">
        <v>71</v>
      </c>
      <c r="E851" t="s">
        <v>249</v>
      </c>
      <c r="F851">
        <v>8.3999999999999986</v>
      </c>
      <c r="G851" t="s">
        <v>176</v>
      </c>
      <c r="H851">
        <v>0</v>
      </c>
      <c r="I851">
        <v>96</v>
      </c>
      <c r="J851" s="10">
        <v>195.44000000000014</v>
      </c>
      <c r="K851" s="10">
        <f>SUMIFS(F:F,D:D,DST_123_ÜRETİM_İHTİYAÇ_RAPORU_BURAK_YENI1309[[#This Row],[ALT_KOD]])-(SUMIFS(H:H,D:D,DST_123_ÜRETİM_İHTİYAÇ_RAPORU_BURAK_YENI1309[[#This Row],[ALT_KOD]])+AVERAGEIFS(I:I,D:D,DST_123_ÜRETİM_İHTİYAÇ_RAPORU_BURAK_YENI1309[[#This Row],[ALT_KOD]])+AVERAGEIFS(L:L,D:D,DST_123_ÜRETİM_İHTİYAÇ_RAPORU_BURAK_YENI1309[[#This Row],[ALT_KOD]]))</f>
        <v>63.319999999999951</v>
      </c>
      <c r="L851">
        <v>0</v>
      </c>
      <c r="M851">
        <f>IF((DST_123_ÜRETİM_İHTİYAÇ_RAPORU_BURAK_YENI1309[[#This Row],[SATINALMA]]*DST_123_ÜRETİM_İHTİYAÇ_RAPORU_BURAK_YENI1309[[#This Row],[BIRIM_FIYATLAR]])&lt;1,VALUE("0"),DST_123_ÜRETİM_İHTİYAÇ_RAPORU_BURAK_YENI1309[[#This Row],[SATINALMA]]*DST_123_ÜRETİM_İHTİYAÇ_RAPORU_BURAK_YENI1309[[#This Row],[BIRIM_FIYATLAR]])</f>
        <v>8163.8475999999937</v>
      </c>
      <c r="N851">
        <v>128.93</v>
      </c>
      <c r="O851" t="s">
        <v>250</v>
      </c>
      <c r="P851">
        <v>1083.0119999999999</v>
      </c>
      <c r="Q851" t="s">
        <v>180</v>
      </c>
    </row>
    <row r="852" spans="1:17" x14ac:dyDescent="0.25">
      <c r="A852" t="s">
        <v>1060</v>
      </c>
      <c r="B852" t="s">
        <v>1061</v>
      </c>
      <c r="C852" t="s">
        <v>175</v>
      </c>
      <c r="D852" t="s">
        <v>1030</v>
      </c>
      <c r="E852" t="s">
        <v>1031</v>
      </c>
      <c r="F852">
        <v>1</v>
      </c>
      <c r="G852" t="s">
        <v>182</v>
      </c>
      <c r="H852">
        <v>0</v>
      </c>
      <c r="I852">
        <v>40</v>
      </c>
      <c r="J852" s="10">
        <v>20</v>
      </c>
      <c r="K852" s="10">
        <f>SUMIFS(F:F,D:D,DST_123_ÜRETİM_İHTİYAÇ_RAPORU_BURAK_YENI1309[[#This Row],[ALT_KOD]])-(SUMIFS(H:H,D:D,DST_123_ÜRETİM_İHTİYAÇ_RAPORU_BURAK_YENI1309[[#This Row],[ALT_KOD]])+AVERAGEIFS(I:I,D:D,DST_123_ÜRETİM_İHTİYAÇ_RAPORU_BURAK_YENI1309[[#This Row],[ALT_KOD]])+AVERAGEIFS(L:L,D:D,DST_123_ÜRETİM_İHTİYAÇ_RAPORU_BURAK_YENI1309[[#This Row],[ALT_KOD]]))</f>
        <v>-35.625</v>
      </c>
      <c r="L852">
        <v>0</v>
      </c>
      <c r="M852">
        <f>IF((DST_123_ÜRETİM_İHTİYAÇ_RAPORU_BURAK_YENI1309[[#This Row],[SATINALMA]]*DST_123_ÜRETİM_İHTİYAÇ_RAPORU_BURAK_YENI1309[[#This Row],[BIRIM_FIYATLAR]])&lt;1,VALUE("0"),DST_123_ÜRETİM_İHTİYAÇ_RAPORU_BURAK_YENI1309[[#This Row],[SATINALMA]]*DST_123_ÜRETİM_İHTİYAÇ_RAPORU_BURAK_YENI1309[[#This Row],[BIRIM_FIYATLAR]])</f>
        <v>0</v>
      </c>
      <c r="N852">
        <v>54.17</v>
      </c>
      <c r="O852" t="s">
        <v>453</v>
      </c>
      <c r="P852">
        <v>54.17</v>
      </c>
      <c r="Q852" t="s">
        <v>183</v>
      </c>
    </row>
    <row r="853" spans="1:17" x14ac:dyDescent="0.25">
      <c r="A853" t="s">
        <v>1064</v>
      </c>
      <c r="B853" t="s">
        <v>1055</v>
      </c>
      <c r="C853" t="s">
        <v>175</v>
      </c>
      <c r="D853" t="s">
        <v>992</v>
      </c>
      <c r="E853" t="s">
        <v>993</v>
      </c>
      <c r="F853">
        <v>16</v>
      </c>
      <c r="G853" t="s">
        <v>176</v>
      </c>
      <c r="H853">
        <v>0</v>
      </c>
      <c r="I853">
        <v>1000</v>
      </c>
      <c r="J853" s="10">
        <v>3505</v>
      </c>
      <c r="K853" s="10">
        <f>SUMIFS(F:F,D:D,DST_123_ÜRETİM_İHTİYAÇ_RAPORU_BURAK_YENI1309[[#This Row],[ALT_KOD]])-(SUMIFS(H:H,D:D,DST_123_ÜRETİM_İHTİYAÇ_RAPORU_BURAK_YENI1309[[#This Row],[ALT_KOD]])+AVERAGEIFS(I:I,D:D,DST_123_ÜRETİM_İHTİYAÇ_RAPORU_BURAK_YENI1309[[#This Row],[ALT_KOD]])+AVERAGEIFS(L:L,D:D,DST_123_ÜRETİM_İHTİYAÇ_RAPORU_BURAK_YENI1309[[#This Row],[ALT_KOD]]))</f>
        <v>-914</v>
      </c>
      <c r="L853">
        <v>0</v>
      </c>
      <c r="M853">
        <f>IF((DST_123_ÜRETİM_İHTİYAÇ_RAPORU_BURAK_YENI1309[[#This Row],[SATINALMA]]*DST_123_ÜRETİM_İHTİYAÇ_RAPORU_BURAK_YENI1309[[#This Row],[BIRIM_FIYATLAR]])&lt;1,VALUE("0"),DST_123_ÜRETİM_İHTİYAÇ_RAPORU_BURAK_YENI1309[[#This Row],[SATINALMA]]*DST_123_ÜRETİM_İHTİYAÇ_RAPORU_BURAK_YENI1309[[#This Row],[BIRIM_FIYATLAR]])</f>
        <v>0</v>
      </c>
      <c r="N853">
        <v>0.63</v>
      </c>
      <c r="O853" t="s">
        <v>882</v>
      </c>
      <c r="P853">
        <v>10.08</v>
      </c>
      <c r="Q853" t="s">
        <v>180</v>
      </c>
    </row>
    <row r="854" spans="1:17" x14ac:dyDescent="0.25">
      <c r="A854" t="s">
        <v>1064</v>
      </c>
      <c r="B854" t="s">
        <v>1055</v>
      </c>
      <c r="C854" t="s">
        <v>175</v>
      </c>
      <c r="D854" t="s">
        <v>1069</v>
      </c>
      <c r="E854" t="s">
        <v>1070</v>
      </c>
      <c r="F854">
        <v>16</v>
      </c>
      <c r="G854" t="s">
        <v>176</v>
      </c>
      <c r="H854">
        <v>0</v>
      </c>
      <c r="I854">
        <v>0</v>
      </c>
      <c r="J854" s="10">
        <v>0</v>
      </c>
      <c r="K854" s="10">
        <f>SUMIFS(F:F,D:D,DST_123_ÜRETİM_İHTİYAÇ_RAPORU_BURAK_YENI1309[[#This Row],[ALT_KOD]])-(SUMIFS(H:H,D:D,DST_123_ÜRETİM_İHTİYAÇ_RAPORU_BURAK_YENI1309[[#This Row],[ALT_KOD]])+AVERAGEIFS(I:I,D:D,DST_123_ÜRETİM_İHTİYAÇ_RAPORU_BURAK_YENI1309[[#This Row],[ALT_KOD]])+AVERAGEIFS(L:L,D:D,DST_123_ÜRETİM_İHTİYAÇ_RAPORU_BURAK_YENI1309[[#This Row],[ALT_KOD]]))</f>
        <v>16</v>
      </c>
      <c r="L854">
        <v>0</v>
      </c>
      <c r="M854">
        <f>IF((DST_123_ÜRETİM_İHTİYAÇ_RAPORU_BURAK_YENI1309[[#This Row],[SATINALMA]]*DST_123_ÜRETİM_İHTİYAÇ_RAPORU_BURAK_YENI1309[[#This Row],[BIRIM_FIYATLAR]])&lt;1,VALUE("0"),DST_123_ÜRETİM_İHTİYAÇ_RAPORU_BURAK_YENI1309[[#This Row],[SATINALMA]]*DST_123_ÜRETİM_İHTİYAÇ_RAPORU_BURAK_YENI1309[[#This Row],[BIRIM_FIYATLAR]])</f>
        <v>0</v>
      </c>
      <c r="N854">
        <v>0</v>
      </c>
      <c r="P854">
        <v>0</v>
      </c>
      <c r="Q854" t="s">
        <v>180</v>
      </c>
    </row>
    <row r="855" spans="1:17" x14ac:dyDescent="0.25">
      <c r="A855" t="s">
        <v>1064</v>
      </c>
      <c r="B855" t="s">
        <v>1055</v>
      </c>
      <c r="C855" t="s">
        <v>175</v>
      </c>
      <c r="D855" t="s">
        <v>1216</v>
      </c>
      <c r="E855" t="s">
        <v>1217</v>
      </c>
      <c r="F855">
        <v>1</v>
      </c>
      <c r="G855" t="s">
        <v>176</v>
      </c>
      <c r="H855">
        <v>0</v>
      </c>
      <c r="I855">
        <v>0</v>
      </c>
      <c r="J855" s="10">
        <v>0</v>
      </c>
      <c r="K855" s="10">
        <f>SUMIFS(F:F,D:D,DST_123_ÜRETİM_İHTİYAÇ_RAPORU_BURAK_YENI1309[[#This Row],[ALT_KOD]])-(SUMIFS(H:H,D:D,DST_123_ÜRETİM_İHTİYAÇ_RAPORU_BURAK_YENI1309[[#This Row],[ALT_KOD]])+AVERAGEIFS(I:I,D:D,DST_123_ÜRETİM_İHTİYAÇ_RAPORU_BURAK_YENI1309[[#This Row],[ALT_KOD]])+AVERAGEIFS(L:L,D:D,DST_123_ÜRETİM_İHTİYAÇ_RAPORU_BURAK_YENI1309[[#This Row],[ALT_KOD]]))</f>
        <v>1</v>
      </c>
      <c r="L855">
        <v>0</v>
      </c>
      <c r="M855">
        <f>IF((DST_123_ÜRETİM_İHTİYAÇ_RAPORU_BURAK_YENI1309[[#This Row],[SATINALMA]]*DST_123_ÜRETİM_İHTİYAÇ_RAPORU_BURAK_YENI1309[[#This Row],[BIRIM_FIYATLAR]])&lt;1,VALUE("0"),DST_123_ÜRETİM_İHTİYAÇ_RAPORU_BURAK_YENI1309[[#This Row],[SATINALMA]]*DST_123_ÜRETİM_İHTİYAÇ_RAPORU_BURAK_YENI1309[[#This Row],[BIRIM_FIYATLAR]])</f>
        <v>8250</v>
      </c>
      <c r="N855">
        <v>8250</v>
      </c>
      <c r="O855" t="s">
        <v>829</v>
      </c>
      <c r="P855">
        <v>8250</v>
      </c>
      <c r="Q855" t="s">
        <v>221</v>
      </c>
    </row>
    <row r="856" spans="1:17" x14ac:dyDescent="0.25">
      <c r="A856" t="s">
        <v>1064</v>
      </c>
      <c r="B856" t="s">
        <v>1055</v>
      </c>
      <c r="C856" t="s">
        <v>175</v>
      </c>
      <c r="D856" t="s">
        <v>532</v>
      </c>
      <c r="E856" t="s">
        <v>533</v>
      </c>
      <c r="F856">
        <v>10</v>
      </c>
      <c r="G856" t="s">
        <v>179</v>
      </c>
      <c r="H856">
        <v>0</v>
      </c>
      <c r="I856">
        <v>0</v>
      </c>
      <c r="J856" s="10">
        <v>0</v>
      </c>
      <c r="K856" s="10">
        <f>SUMIFS(F:F,D:D,DST_123_ÜRETİM_İHTİYAÇ_RAPORU_BURAK_YENI1309[[#This Row],[ALT_KOD]])-(SUMIFS(H:H,D:D,DST_123_ÜRETİM_İHTİYAÇ_RAPORU_BURAK_YENI1309[[#This Row],[ALT_KOD]])+AVERAGEIFS(I:I,D:D,DST_123_ÜRETİM_İHTİYAÇ_RAPORU_BURAK_YENI1309[[#This Row],[ALT_KOD]])+AVERAGEIFS(L:L,D:D,DST_123_ÜRETİM_İHTİYAÇ_RAPORU_BURAK_YENI1309[[#This Row],[ALT_KOD]]))</f>
        <v>-220</v>
      </c>
      <c r="L856">
        <v>400</v>
      </c>
      <c r="M856">
        <f>IF((DST_123_ÜRETİM_İHTİYAÇ_RAPORU_BURAK_YENI1309[[#This Row],[SATINALMA]]*DST_123_ÜRETİM_İHTİYAÇ_RAPORU_BURAK_YENI1309[[#This Row],[BIRIM_FIYATLAR]])&lt;1,VALUE("0"),DST_123_ÜRETİM_İHTİYAÇ_RAPORU_BURAK_YENI1309[[#This Row],[SATINALMA]]*DST_123_ÜRETİM_İHTİYAÇ_RAPORU_BURAK_YENI1309[[#This Row],[BIRIM_FIYATLAR]])</f>
        <v>0</v>
      </c>
      <c r="N856">
        <v>5</v>
      </c>
      <c r="O856" t="s">
        <v>224</v>
      </c>
      <c r="P856">
        <v>50</v>
      </c>
      <c r="Q856" t="s">
        <v>180</v>
      </c>
    </row>
    <row r="857" spans="1:17" x14ac:dyDescent="0.25">
      <c r="A857" t="s">
        <v>1098</v>
      </c>
      <c r="B857" t="s">
        <v>1096</v>
      </c>
      <c r="C857" t="s">
        <v>175</v>
      </c>
      <c r="D857" t="s">
        <v>532</v>
      </c>
      <c r="E857" t="s">
        <v>533</v>
      </c>
      <c r="F857">
        <v>10</v>
      </c>
      <c r="G857" t="s">
        <v>179</v>
      </c>
      <c r="H857">
        <v>0</v>
      </c>
      <c r="I857">
        <v>0</v>
      </c>
      <c r="J857" s="10">
        <v>0</v>
      </c>
      <c r="K857" s="10">
        <f>SUMIFS(F:F,D:D,DST_123_ÜRETİM_İHTİYAÇ_RAPORU_BURAK_YENI1309[[#This Row],[ALT_KOD]])-(SUMIFS(H:H,D:D,DST_123_ÜRETİM_İHTİYAÇ_RAPORU_BURAK_YENI1309[[#This Row],[ALT_KOD]])+AVERAGEIFS(I:I,D:D,DST_123_ÜRETİM_İHTİYAÇ_RAPORU_BURAK_YENI1309[[#This Row],[ALT_KOD]])+AVERAGEIFS(L:L,D:D,DST_123_ÜRETİM_İHTİYAÇ_RAPORU_BURAK_YENI1309[[#This Row],[ALT_KOD]]))</f>
        <v>-220</v>
      </c>
      <c r="L857">
        <v>400</v>
      </c>
      <c r="M857">
        <f>IF((DST_123_ÜRETİM_İHTİYAÇ_RAPORU_BURAK_YENI1309[[#This Row],[SATINALMA]]*DST_123_ÜRETİM_İHTİYAÇ_RAPORU_BURAK_YENI1309[[#This Row],[BIRIM_FIYATLAR]])&lt;1,VALUE("0"),DST_123_ÜRETİM_İHTİYAÇ_RAPORU_BURAK_YENI1309[[#This Row],[SATINALMA]]*DST_123_ÜRETİM_İHTİYAÇ_RAPORU_BURAK_YENI1309[[#This Row],[BIRIM_FIYATLAR]])</f>
        <v>0</v>
      </c>
      <c r="N857">
        <v>5</v>
      </c>
      <c r="O857" t="s">
        <v>224</v>
      </c>
      <c r="P857">
        <v>50</v>
      </c>
      <c r="Q857" t="s">
        <v>180</v>
      </c>
    </row>
    <row r="858" spans="1:17" x14ac:dyDescent="0.25">
      <c r="A858" t="s">
        <v>1064</v>
      </c>
      <c r="B858" t="s">
        <v>1055</v>
      </c>
      <c r="C858" t="s">
        <v>175</v>
      </c>
      <c r="D858" t="s">
        <v>353</v>
      </c>
      <c r="E858" t="s">
        <v>354</v>
      </c>
      <c r="F858">
        <v>15</v>
      </c>
      <c r="G858" t="s">
        <v>176</v>
      </c>
      <c r="H858">
        <v>0</v>
      </c>
      <c r="I858">
        <v>391</v>
      </c>
      <c r="J858" s="10">
        <v>150</v>
      </c>
      <c r="K858" s="10">
        <f>SUMIFS(F:F,D:D,DST_123_ÜRETİM_İHTİYAÇ_RAPORU_BURAK_YENI1309[[#This Row],[ALT_KOD]])-(SUMIFS(H:H,D:D,DST_123_ÜRETİM_İHTİYAÇ_RAPORU_BURAK_YENI1309[[#This Row],[ALT_KOD]])+AVERAGEIFS(I:I,D:D,DST_123_ÜRETİM_İHTİYAÇ_RAPORU_BURAK_YENI1309[[#This Row],[ALT_KOD]])+AVERAGEIFS(L:L,D:D,DST_123_ÜRETİM_İHTİYAÇ_RAPORU_BURAK_YENI1309[[#This Row],[ALT_KOD]]))</f>
        <v>-33</v>
      </c>
      <c r="L858">
        <v>0</v>
      </c>
      <c r="M858">
        <f>IF((DST_123_ÜRETİM_İHTİYAÇ_RAPORU_BURAK_YENI1309[[#This Row],[SATINALMA]]*DST_123_ÜRETİM_İHTİYAÇ_RAPORU_BURAK_YENI1309[[#This Row],[BIRIM_FIYATLAR]])&lt;1,VALUE("0"),DST_123_ÜRETİM_İHTİYAÇ_RAPORU_BURAK_YENI1309[[#This Row],[SATINALMA]]*DST_123_ÜRETİM_İHTİYAÇ_RAPORU_BURAK_YENI1309[[#This Row],[BIRIM_FIYATLAR]])</f>
        <v>0</v>
      </c>
      <c r="N858">
        <v>10.65</v>
      </c>
      <c r="O858" t="s">
        <v>882</v>
      </c>
      <c r="P858">
        <v>159.75</v>
      </c>
      <c r="Q858" t="s">
        <v>180</v>
      </c>
    </row>
    <row r="859" spans="1:17" x14ac:dyDescent="0.25">
      <c r="A859" t="s">
        <v>1098</v>
      </c>
      <c r="B859" t="s">
        <v>1096</v>
      </c>
      <c r="C859" t="s">
        <v>175</v>
      </c>
      <c r="D859" t="s">
        <v>353</v>
      </c>
      <c r="E859" t="s">
        <v>354</v>
      </c>
      <c r="F859">
        <v>32</v>
      </c>
      <c r="G859" t="s">
        <v>176</v>
      </c>
      <c r="H859">
        <v>0</v>
      </c>
      <c r="I859">
        <v>391</v>
      </c>
      <c r="J859" s="10">
        <v>150</v>
      </c>
      <c r="K859" s="10">
        <f>SUMIFS(F:F,D:D,DST_123_ÜRETİM_İHTİYAÇ_RAPORU_BURAK_YENI1309[[#This Row],[ALT_KOD]])-(SUMIFS(H:H,D:D,DST_123_ÜRETİM_İHTİYAÇ_RAPORU_BURAK_YENI1309[[#This Row],[ALT_KOD]])+AVERAGEIFS(I:I,D:D,DST_123_ÜRETİM_İHTİYAÇ_RAPORU_BURAK_YENI1309[[#This Row],[ALT_KOD]])+AVERAGEIFS(L:L,D:D,DST_123_ÜRETİM_İHTİYAÇ_RAPORU_BURAK_YENI1309[[#This Row],[ALT_KOD]]))</f>
        <v>-33</v>
      </c>
      <c r="L859">
        <v>0</v>
      </c>
      <c r="M859">
        <f>IF((DST_123_ÜRETİM_İHTİYAÇ_RAPORU_BURAK_YENI1309[[#This Row],[SATINALMA]]*DST_123_ÜRETİM_İHTİYAÇ_RAPORU_BURAK_YENI1309[[#This Row],[BIRIM_FIYATLAR]])&lt;1,VALUE("0"),DST_123_ÜRETİM_İHTİYAÇ_RAPORU_BURAK_YENI1309[[#This Row],[SATINALMA]]*DST_123_ÜRETİM_İHTİYAÇ_RAPORU_BURAK_YENI1309[[#This Row],[BIRIM_FIYATLAR]])</f>
        <v>0</v>
      </c>
      <c r="N859">
        <v>10.65</v>
      </c>
      <c r="O859" t="s">
        <v>882</v>
      </c>
      <c r="P859">
        <v>340.8</v>
      </c>
      <c r="Q859" t="s">
        <v>180</v>
      </c>
    </row>
    <row r="860" spans="1:17" x14ac:dyDescent="0.25">
      <c r="A860" t="s">
        <v>1095</v>
      </c>
      <c r="B860" t="s">
        <v>1096</v>
      </c>
      <c r="C860" t="s">
        <v>175</v>
      </c>
      <c r="D860" t="s">
        <v>743</v>
      </c>
      <c r="E860" t="s">
        <v>744</v>
      </c>
      <c r="F860">
        <v>2</v>
      </c>
      <c r="G860" t="s">
        <v>179</v>
      </c>
      <c r="H860">
        <v>0</v>
      </c>
      <c r="I860">
        <v>0</v>
      </c>
      <c r="J860" s="10">
        <v>45.5</v>
      </c>
      <c r="K860" s="10">
        <f>SUMIFS(F:F,D:D,DST_123_ÜRETİM_İHTİYAÇ_RAPORU_BURAK_YENI1309[[#This Row],[ALT_KOD]])-(SUMIFS(H:H,D:D,DST_123_ÜRETİM_İHTİYAÇ_RAPORU_BURAK_YENI1309[[#This Row],[ALT_KOD]])+AVERAGEIFS(I:I,D:D,DST_123_ÜRETİM_İHTİYAÇ_RAPORU_BURAK_YENI1309[[#This Row],[ALT_KOD]])+AVERAGEIFS(L:L,D:D,DST_123_ÜRETİM_İHTİYAÇ_RAPORU_BURAK_YENI1309[[#This Row],[ALT_KOD]]))</f>
        <v>8.5</v>
      </c>
      <c r="L860">
        <v>0</v>
      </c>
      <c r="M860">
        <f>IF((DST_123_ÜRETİM_İHTİYAÇ_RAPORU_BURAK_YENI1309[[#This Row],[SATINALMA]]*DST_123_ÜRETİM_İHTİYAÇ_RAPORU_BURAK_YENI1309[[#This Row],[BIRIM_FIYATLAR]])&lt;1,VALUE("0"),DST_123_ÜRETİM_İHTİYAÇ_RAPORU_BURAK_YENI1309[[#This Row],[SATINALMA]]*DST_123_ÜRETİM_İHTİYAÇ_RAPORU_BURAK_YENI1309[[#This Row],[BIRIM_FIYATLAR]])</f>
        <v>1437.4350000000002</v>
      </c>
      <c r="N860">
        <v>169.11</v>
      </c>
      <c r="O860" t="s">
        <v>745</v>
      </c>
      <c r="P860">
        <v>338.22</v>
      </c>
      <c r="Q860" t="s">
        <v>184</v>
      </c>
    </row>
    <row r="861" spans="1:17" x14ac:dyDescent="0.25">
      <c r="A861" t="s">
        <v>1097</v>
      </c>
      <c r="B861" t="s">
        <v>1055</v>
      </c>
      <c r="C861" t="s">
        <v>175</v>
      </c>
      <c r="D861" t="s">
        <v>743</v>
      </c>
      <c r="E861" t="s">
        <v>744</v>
      </c>
      <c r="F861">
        <v>3</v>
      </c>
      <c r="G861" t="s">
        <v>179</v>
      </c>
      <c r="H861">
        <v>0</v>
      </c>
      <c r="I861">
        <v>0</v>
      </c>
      <c r="J861" s="10">
        <v>45.5</v>
      </c>
      <c r="K861" s="10">
        <f>SUMIFS(F:F,D:D,DST_123_ÜRETİM_İHTİYAÇ_RAPORU_BURAK_YENI1309[[#This Row],[ALT_KOD]])-(SUMIFS(H:H,D:D,DST_123_ÜRETİM_İHTİYAÇ_RAPORU_BURAK_YENI1309[[#This Row],[ALT_KOD]])+AVERAGEIFS(I:I,D:D,DST_123_ÜRETİM_İHTİYAÇ_RAPORU_BURAK_YENI1309[[#This Row],[ALT_KOD]])+AVERAGEIFS(L:L,D:D,DST_123_ÜRETİM_İHTİYAÇ_RAPORU_BURAK_YENI1309[[#This Row],[ALT_KOD]]))</f>
        <v>8.5</v>
      </c>
      <c r="L861">
        <v>0</v>
      </c>
      <c r="M861">
        <f>IF((DST_123_ÜRETİM_İHTİYAÇ_RAPORU_BURAK_YENI1309[[#This Row],[SATINALMA]]*DST_123_ÜRETİM_İHTİYAÇ_RAPORU_BURAK_YENI1309[[#This Row],[BIRIM_FIYATLAR]])&lt;1,VALUE("0"),DST_123_ÜRETİM_İHTİYAÇ_RAPORU_BURAK_YENI1309[[#This Row],[SATINALMA]]*DST_123_ÜRETİM_İHTİYAÇ_RAPORU_BURAK_YENI1309[[#This Row],[BIRIM_FIYATLAR]])</f>
        <v>1437.4350000000002</v>
      </c>
      <c r="N861">
        <v>169.11</v>
      </c>
      <c r="O861" t="s">
        <v>745</v>
      </c>
      <c r="P861">
        <v>507.33000000000004</v>
      </c>
      <c r="Q861" t="s">
        <v>184</v>
      </c>
    </row>
    <row r="862" spans="1:17" x14ac:dyDescent="0.25">
      <c r="A862" s="13" t="s">
        <v>1059</v>
      </c>
      <c r="B862" s="13" t="s">
        <v>1058</v>
      </c>
      <c r="C862" t="s">
        <v>175</v>
      </c>
      <c r="D862" s="13" t="s">
        <v>532</v>
      </c>
      <c r="E862" s="13" t="s">
        <v>533</v>
      </c>
      <c r="F862" s="13">
        <v>10</v>
      </c>
      <c r="G862" s="13" t="s">
        <v>179</v>
      </c>
      <c r="H862">
        <v>0</v>
      </c>
      <c r="I862">
        <v>0</v>
      </c>
      <c r="J862" s="10">
        <v>0</v>
      </c>
      <c r="K862" s="10">
        <f>SUMIFS(F:F,D:D,DST_123_ÜRETİM_İHTİYAÇ_RAPORU_BURAK_YENI1309[[#This Row],[ALT_KOD]])-(SUMIFS(H:H,D:D,DST_123_ÜRETİM_İHTİYAÇ_RAPORU_BURAK_YENI1309[[#This Row],[ALT_KOD]])+AVERAGEIFS(I:I,D:D,DST_123_ÜRETİM_İHTİYAÇ_RAPORU_BURAK_YENI1309[[#This Row],[ALT_KOD]])+AVERAGEIFS(L:L,D:D,DST_123_ÜRETİM_İHTİYAÇ_RAPORU_BURAK_YENI1309[[#This Row],[ALT_KOD]]))</f>
        <v>-220</v>
      </c>
      <c r="L862">
        <v>400</v>
      </c>
      <c r="M862">
        <f>IF((DST_123_ÜRETİM_İHTİYAÇ_RAPORU_BURAK_YENI1309[[#This Row],[SATINALMA]]*DST_123_ÜRETİM_İHTİYAÇ_RAPORU_BURAK_YENI1309[[#This Row],[BIRIM_FIYATLAR]])&lt;1,VALUE("0"),DST_123_ÜRETİM_İHTİYAÇ_RAPORU_BURAK_YENI1309[[#This Row],[SATINALMA]]*DST_123_ÜRETİM_İHTİYAÇ_RAPORU_BURAK_YENI1309[[#This Row],[BIRIM_FIYATLAR]])</f>
        <v>0</v>
      </c>
      <c r="N862">
        <v>5</v>
      </c>
      <c r="O862" t="s">
        <v>224</v>
      </c>
      <c r="P862">
        <v>50</v>
      </c>
      <c r="Q862" t="s">
        <v>180</v>
      </c>
    </row>
    <row r="863" spans="1:17" x14ac:dyDescent="0.25">
      <c r="A863" t="s">
        <v>1095</v>
      </c>
      <c r="B863" t="s">
        <v>1096</v>
      </c>
      <c r="C863" t="s">
        <v>175</v>
      </c>
      <c r="D863" t="s">
        <v>532</v>
      </c>
      <c r="E863" t="s">
        <v>533</v>
      </c>
      <c r="F863">
        <v>10</v>
      </c>
      <c r="G863" t="s">
        <v>179</v>
      </c>
      <c r="H863">
        <v>0</v>
      </c>
      <c r="I863">
        <v>0</v>
      </c>
      <c r="J863" s="10">
        <v>0</v>
      </c>
      <c r="K863" s="10">
        <f>SUMIFS(F:F,D:D,DST_123_ÜRETİM_İHTİYAÇ_RAPORU_BURAK_YENI1309[[#This Row],[ALT_KOD]])-(SUMIFS(H:H,D:D,DST_123_ÜRETİM_İHTİYAÇ_RAPORU_BURAK_YENI1309[[#This Row],[ALT_KOD]])+AVERAGEIFS(I:I,D:D,DST_123_ÜRETİM_İHTİYAÇ_RAPORU_BURAK_YENI1309[[#This Row],[ALT_KOD]])+AVERAGEIFS(L:L,D:D,DST_123_ÜRETİM_İHTİYAÇ_RAPORU_BURAK_YENI1309[[#This Row],[ALT_KOD]]))</f>
        <v>-220</v>
      </c>
      <c r="L863">
        <v>400</v>
      </c>
      <c r="M863">
        <f>IF((DST_123_ÜRETİM_İHTİYAÇ_RAPORU_BURAK_YENI1309[[#This Row],[SATINALMA]]*DST_123_ÜRETİM_İHTİYAÇ_RAPORU_BURAK_YENI1309[[#This Row],[BIRIM_FIYATLAR]])&lt;1,VALUE("0"),DST_123_ÜRETİM_İHTİYAÇ_RAPORU_BURAK_YENI1309[[#This Row],[SATINALMA]]*DST_123_ÜRETİM_İHTİYAÇ_RAPORU_BURAK_YENI1309[[#This Row],[BIRIM_FIYATLAR]])</f>
        <v>0</v>
      </c>
      <c r="N863">
        <v>5</v>
      </c>
      <c r="O863" t="s">
        <v>224</v>
      </c>
      <c r="P863">
        <v>50</v>
      </c>
      <c r="Q863" t="s">
        <v>180</v>
      </c>
    </row>
    <row r="864" spans="1:17" x14ac:dyDescent="0.25">
      <c r="A864" t="s">
        <v>1143</v>
      </c>
      <c r="B864" t="s">
        <v>1056</v>
      </c>
      <c r="C864" t="s">
        <v>175</v>
      </c>
      <c r="D864" t="s">
        <v>532</v>
      </c>
      <c r="E864" t="s">
        <v>533</v>
      </c>
      <c r="F864">
        <v>10</v>
      </c>
      <c r="G864" t="s">
        <v>179</v>
      </c>
      <c r="H864">
        <v>0</v>
      </c>
      <c r="I864">
        <v>0</v>
      </c>
      <c r="J864" s="10">
        <v>0</v>
      </c>
      <c r="K864" s="10">
        <f>SUMIFS(F:F,D:D,DST_123_ÜRETİM_İHTİYAÇ_RAPORU_BURAK_YENI1309[[#This Row],[ALT_KOD]])-(SUMIFS(H:H,D:D,DST_123_ÜRETİM_İHTİYAÇ_RAPORU_BURAK_YENI1309[[#This Row],[ALT_KOD]])+AVERAGEIFS(I:I,D:D,DST_123_ÜRETİM_İHTİYAÇ_RAPORU_BURAK_YENI1309[[#This Row],[ALT_KOD]])+AVERAGEIFS(L:L,D:D,DST_123_ÜRETİM_İHTİYAÇ_RAPORU_BURAK_YENI1309[[#This Row],[ALT_KOD]]))</f>
        <v>-220</v>
      </c>
      <c r="L864">
        <v>400</v>
      </c>
      <c r="M864">
        <f>IF((DST_123_ÜRETİM_İHTİYAÇ_RAPORU_BURAK_YENI1309[[#This Row],[SATINALMA]]*DST_123_ÜRETİM_İHTİYAÇ_RAPORU_BURAK_YENI1309[[#This Row],[BIRIM_FIYATLAR]])&lt;1,VALUE("0"),DST_123_ÜRETİM_İHTİYAÇ_RAPORU_BURAK_YENI1309[[#This Row],[SATINALMA]]*DST_123_ÜRETİM_İHTİYAÇ_RAPORU_BURAK_YENI1309[[#This Row],[BIRIM_FIYATLAR]])</f>
        <v>0</v>
      </c>
      <c r="N864">
        <v>5</v>
      </c>
      <c r="O864" t="s">
        <v>224</v>
      </c>
      <c r="P864">
        <v>50</v>
      </c>
      <c r="Q864" t="s">
        <v>180</v>
      </c>
    </row>
    <row r="865" spans="1:17" x14ac:dyDescent="0.25">
      <c r="A865" t="s">
        <v>1059</v>
      </c>
      <c r="B865" t="s">
        <v>1058</v>
      </c>
      <c r="C865" t="s">
        <v>175</v>
      </c>
      <c r="D865" t="s">
        <v>992</v>
      </c>
      <c r="E865" t="s">
        <v>993</v>
      </c>
      <c r="F865">
        <v>35</v>
      </c>
      <c r="G865" t="s">
        <v>176</v>
      </c>
      <c r="H865">
        <v>0</v>
      </c>
      <c r="I865">
        <v>1000</v>
      </c>
      <c r="J865" s="10">
        <v>3505</v>
      </c>
      <c r="K865" s="10">
        <f>SUMIFS(F:F,D:D,DST_123_ÜRETİM_İHTİYAÇ_RAPORU_BURAK_YENI1309[[#This Row],[ALT_KOD]])-(SUMIFS(H:H,D:D,DST_123_ÜRETİM_İHTİYAÇ_RAPORU_BURAK_YENI1309[[#This Row],[ALT_KOD]])+AVERAGEIFS(I:I,D:D,DST_123_ÜRETİM_İHTİYAÇ_RAPORU_BURAK_YENI1309[[#This Row],[ALT_KOD]])+AVERAGEIFS(L:L,D:D,DST_123_ÜRETİM_İHTİYAÇ_RAPORU_BURAK_YENI1309[[#This Row],[ALT_KOD]]))</f>
        <v>-914</v>
      </c>
      <c r="L865">
        <v>0</v>
      </c>
      <c r="M865">
        <f>IF((DST_123_ÜRETİM_İHTİYAÇ_RAPORU_BURAK_YENI1309[[#This Row],[SATINALMA]]*DST_123_ÜRETİM_İHTİYAÇ_RAPORU_BURAK_YENI1309[[#This Row],[BIRIM_FIYATLAR]])&lt;1,VALUE("0"),DST_123_ÜRETİM_İHTİYAÇ_RAPORU_BURAK_YENI1309[[#This Row],[SATINALMA]]*DST_123_ÜRETİM_İHTİYAÇ_RAPORU_BURAK_YENI1309[[#This Row],[BIRIM_FIYATLAR]])</f>
        <v>0</v>
      </c>
      <c r="N865">
        <v>0.63</v>
      </c>
      <c r="O865" t="s">
        <v>882</v>
      </c>
      <c r="P865">
        <v>22.05</v>
      </c>
      <c r="Q865" t="s">
        <v>180</v>
      </c>
    </row>
    <row r="866" spans="1:17" x14ac:dyDescent="0.25">
      <c r="A866" t="s">
        <v>1059</v>
      </c>
      <c r="B866" t="s">
        <v>1058</v>
      </c>
      <c r="C866" t="s">
        <v>175</v>
      </c>
      <c r="D866" t="s">
        <v>353</v>
      </c>
      <c r="E866" t="s">
        <v>354</v>
      </c>
      <c r="F866">
        <v>25</v>
      </c>
      <c r="G866" t="s">
        <v>176</v>
      </c>
      <c r="H866">
        <v>0</v>
      </c>
      <c r="I866">
        <v>391</v>
      </c>
      <c r="J866" s="10">
        <v>150</v>
      </c>
      <c r="K866" s="10">
        <f>SUMIFS(F:F,D:D,DST_123_ÜRETİM_İHTİYAÇ_RAPORU_BURAK_YENI1309[[#This Row],[ALT_KOD]])-(SUMIFS(H:H,D:D,DST_123_ÜRETİM_İHTİYAÇ_RAPORU_BURAK_YENI1309[[#This Row],[ALT_KOD]])+AVERAGEIFS(I:I,D:D,DST_123_ÜRETİM_İHTİYAÇ_RAPORU_BURAK_YENI1309[[#This Row],[ALT_KOD]])+AVERAGEIFS(L:L,D:D,DST_123_ÜRETİM_İHTİYAÇ_RAPORU_BURAK_YENI1309[[#This Row],[ALT_KOD]]))</f>
        <v>-33</v>
      </c>
      <c r="L866">
        <v>0</v>
      </c>
      <c r="M866">
        <f>IF((DST_123_ÜRETİM_İHTİYAÇ_RAPORU_BURAK_YENI1309[[#This Row],[SATINALMA]]*DST_123_ÜRETİM_İHTİYAÇ_RAPORU_BURAK_YENI1309[[#This Row],[BIRIM_FIYATLAR]])&lt;1,VALUE("0"),DST_123_ÜRETİM_İHTİYAÇ_RAPORU_BURAK_YENI1309[[#This Row],[SATINALMA]]*DST_123_ÜRETİM_İHTİYAÇ_RAPORU_BURAK_YENI1309[[#This Row],[BIRIM_FIYATLAR]])</f>
        <v>0</v>
      </c>
      <c r="N866">
        <v>10.65</v>
      </c>
      <c r="O866" t="s">
        <v>882</v>
      </c>
      <c r="P866">
        <v>266.25</v>
      </c>
      <c r="Q866" t="s">
        <v>180</v>
      </c>
    </row>
    <row r="867" spans="1:17" x14ac:dyDescent="0.25">
      <c r="A867" t="s">
        <v>1095</v>
      </c>
      <c r="B867" t="s">
        <v>1096</v>
      </c>
      <c r="C867" t="s">
        <v>175</v>
      </c>
      <c r="D867" t="s">
        <v>353</v>
      </c>
      <c r="E867" t="s">
        <v>354</v>
      </c>
      <c r="F867">
        <v>32</v>
      </c>
      <c r="G867" t="s">
        <v>176</v>
      </c>
      <c r="H867">
        <v>0</v>
      </c>
      <c r="I867">
        <v>391</v>
      </c>
      <c r="J867" s="10">
        <v>150</v>
      </c>
      <c r="K867" s="10">
        <f>SUMIFS(F:F,D:D,DST_123_ÜRETİM_İHTİYAÇ_RAPORU_BURAK_YENI1309[[#This Row],[ALT_KOD]])-(SUMIFS(H:H,D:D,DST_123_ÜRETİM_İHTİYAÇ_RAPORU_BURAK_YENI1309[[#This Row],[ALT_KOD]])+AVERAGEIFS(I:I,D:D,DST_123_ÜRETİM_İHTİYAÇ_RAPORU_BURAK_YENI1309[[#This Row],[ALT_KOD]])+AVERAGEIFS(L:L,D:D,DST_123_ÜRETİM_İHTİYAÇ_RAPORU_BURAK_YENI1309[[#This Row],[ALT_KOD]]))</f>
        <v>-33</v>
      </c>
      <c r="L867">
        <v>0</v>
      </c>
      <c r="M867">
        <f>IF((DST_123_ÜRETİM_İHTİYAÇ_RAPORU_BURAK_YENI1309[[#This Row],[SATINALMA]]*DST_123_ÜRETİM_İHTİYAÇ_RAPORU_BURAK_YENI1309[[#This Row],[BIRIM_FIYATLAR]])&lt;1,VALUE("0"),DST_123_ÜRETİM_İHTİYAÇ_RAPORU_BURAK_YENI1309[[#This Row],[SATINALMA]]*DST_123_ÜRETİM_İHTİYAÇ_RAPORU_BURAK_YENI1309[[#This Row],[BIRIM_FIYATLAR]])</f>
        <v>0</v>
      </c>
      <c r="N867">
        <v>10.65</v>
      </c>
      <c r="O867" t="s">
        <v>882</v>
      </c>
      <c r="P867">
        <v>340.8</v>
      </c>
      <c r="Q867" t="s">
        <v>180</v>
      </c>
    </row>
    <row r="868" spans="1:17" x14ac:dyDescent="0.25">
      <c r="A868" t="s">
        <v>1149</v>
      </c>
      <c r="B868" t="s">
        <v>1145</v>
      </c>
      <c r="C868" t="s">
        <v>175</v>
      </c>
      <c r="D868" t="s">
        <v>743</v>
      </c>
      <c r="E868" t="s">
        <v>744</v>
      </c>
      <c r="F868">
        <v>0.5</v>
      </c>
      <c r="G868" t="s">
        <v>179</v>
      </c>
      <c r="H868">
        <v>0</v>
      </c>
      <c r="I868">
        <v>0</v>
      </c>
      <c r="J868" s="10">
        <v>45.5</v>
      </c>
      <c r="K868" s="10">
        <f>SUMIFS(F:F,D:D,DST_123_ÜRETİM_İHTİYAÇ_RAPORU_BURAK_YENI1309[[#This Row],[ALT_KOD]])-(SUMIFS(H:H,D:D,DST_123_ÜRETİM_İHTİYAÇ_RAPORU_BURAK_YENI1309[[#This Row],[ALT_KOD]])+AVERAGEIFS(I:I,D:D,DST_123_ÜRETİM_İHTİYAÇ_RAPORU_BURAK_YENI1309[[#This Row],[ALT_KOD]])+AVERAGEIFS(L:L,D:D,DST_123_ÜRETİM_İHTİYAÇ_RAPORU_BURAK_YENI1309[[#This Row],[ALT_KOD]]))</f>
        <v>8.5</v>
      </c>
      <c r="L868">
        <v>0</v>
      </c>
      <c r="M868">
        <f>IF((DST_123_ÜRETİM_İHTİYAÇ_RAPORU_BURAK_YENI1309[[#This Row],[SATINALMA]]*DST_123_ÜRETİM_İHTİYAÇ_RAPORU_BURAK_YENI1309[[#This Row],[BIRIM_FIYATLAR]])&lt;1,VALUE("0"),DST_123_ÜRETİM_İHTİYAÇ_RAPORU_BURAK_YENI1309[[#This Row],[SATINALMA]]*DST_123_ÜRETİM_İHTİYAÇ_RAPORU_BURAK_YENI1309[[#This Row],[BIRIM_FIYATLAR]])</f>
        <v>1437.4350000000002</v>
      </c>
      <c r="N868">
        <v>169.11</v>
      </c>
      <c r="O868" t="s">
        <v>745</v>
      </c>
      <c r="P868">
        <v>84.555000000000007</v>
      </c>
      <c r="Q868" t="s">
        <v>184</v>
      </c>
    </row>
    <row r="869" spans="1:17" x14ac:dyDescent="0.25">
      <c r="A869" t="s">
        <v>1146</v>
      </c>
      <c r="B869" t="s">
        <v>1145</v>
      </c>
      <c r="C869" t="s">
        <v>175</v>
      </c>
      <c r="D869" t="s">
        <v>743</v>
      </c>
      <c r="E869" t="s">
        <v>744</v>
      </c>
      <c r="F869">
        <v>0.5</v>
      </c>
      <c r="G869" t="s">
        <v>179</v>
      </c>
      <c r="H869">
        <v>0</v>
      </c>
      <c r="I869">
        <v>0</v>
      </c>
      <c r="J869" s="10">
        <v>45.5</v>
      </c>
      <c r="K869" s="10">
        <f>SUMIFS(F:F,D:D,DST_123_ÜRETİM_İHTİYAÇ_RAPORU_BURAK_YENI1309[[#This Row],[ALT_KOD]])-(SUMIFS(H:H,D:D,DST_123_ÜRETİM_İHTİYAÇ_RAPORU_BURAK_YENI1309[[#This Row],[ALT_KOD]])+AVERAGEIFS(I:I,D:D,DST_123_ÜRETİM_İHTİYAÇ_RAPORU_BURAK_YENI1309[[#This Row],[ALT_KOD]])+AVERAGEIFS(L:L,D:D,DST_123_ÜRETİM_İHTİYAÇ_RAPORU_BURAK_YENI1309[[#This Row],[ALT_KOD]]))</f>
        <v>8.5</v>
      </c>
      <c r="L869">
        <v>0</v>
      </c>
      <c r="M869">
        <f>IF((DST_123_ÜRETİM_İHTİYAÇ_RAPORU_BURAK_YENI1309[[#This Row],[SATINALMA]]*DST_123_ÜRETİM_İHTİYAÇ_RAPORU_BURAK_YENI1309[[#This Row],[BIRIM_FIYATLAR]])&lt;1,VALUE("0"),DST_123_ÜRETİM_İHTİYAÇ_RAPORU_BURAK_YENI1309[[#This Row],[SATINALMA]]*DST_123_ÜRETİM_İHTİYAÇ_RAPORU_BURAK_YENI1309[[#This Row],[BIRIM_FIYATLAR]])</f>
        <v>1437.4350000000002</v>
      </c>
      <c r="N869">
        <v>169.11</v>
      </c>
      <c r="O869" t="s">
        <v>745</v>
      </c>
      <c r="P869">
        <v>84.555000000000007</v>
      </c>
      <c r="Q869" t="s">
        <v>184</v>
      </c>
    </row>
    <row r="870" spans="1:17" x14ac:dyDescent="0.25">
      <c r="A870" t="s">
        <v>1144</v>
      </c>
      <c r="B870" t="s">
        <v>1145</v>
      </c>
      <c r="C870" t="s">
        <v>175</v>
      </c>
      <c r="D870" t="s">
        <v>532</v>
      </c>
      <c r="E870" t="s">
        <v>533</v>
      </c>
      <c r="F870">
        <v>10</v>
      </c>
      <c r="G870" t="s">
        <v>179</v>
      </c>
      <c r="H870">
        <v>0</v>
      </c>
      <c r="I870">
        <v>0</v>
      </c>
      <c r="J870" s="10">
        <v>0</v>
      </c>
      <c r="K870" s="10">
        <f>SUMIFS(F:F,D:D,DST_123_ÜRETİM_İHTİYAÇ_RAPORU_BURAK_YENI1309[[#This Row],[ALT_KOD]])-(SUMIFS(H:H,D:D,DST_123_ÜRETİM_İHTİYAÇ_RAPORU_BURAK_YENI1309[[#This Row],[ALT_KOD]])+AVERAGEIFS(I:I,D:D,DST_123_ÜRETİM_İHTİYAÇ_RAPORU_BURAK_YENI1309[[#This Row],[ALT_KOD]])+AVERAGEIFS(L:L,D:D,DST_123_ÜRETİM_İHTİYAÇ_RAPORU_BURAK_YENI1309[[#This Row],[ALT_KOD]]))</f>
        <v>-220</v>
      </c>
      <c r="L870">
        <v>400</v>
      </c>
      <c r="M870">
        <f>IF((DST_123_ÜRETİM_İHTİYAÇ_RAPORU_BURAK_YENI1309[[#This Row],[SATINALMA]]*DST_123_ÜRETİM_İHTİYAÇ_RAPORU_BURAK_YENI1309[[#This Row],[BIRIM_FIYATLAR]])&lt;1,VALUE("0"),DST_123_ÜRETİM_İHTİYAÇ_RAPORU_BURAK_YENI1309[[#This Row],[SATINALMA]]*DST_123_ÜRETİM_İHTİYAÇ_RAPORU_BURAK_YENI1309[[#This Row],[BIRIM_FIYATLAR]])</f>
        <v>0</v>
      </c>
      <c r="N870">
        <v>5</v>
      </c>
      <c r="O870" t="s">
        <v>224</v>
      </c>
      <c r="P870">
        <v>50</v>
      </c>
      <c r="Q870" t="s">
        <v>180</v>
      </c>
    </row>
    <row r="871" spans="1:17" x14ac:dyDescent="0.25">
      <c r="A871" t="s">
        <v>1146</v>
      </c>
      <c r="B871" t="s">
        <v>1145</v>
      </c>
      <c r="C871" t="s">
        <v>175</v>
      </c>
      <c r="D871" t="s">
        <v>532</v>
      </c>
      <c r="E871" t="s">
        <v>533</v>
      </c>
      <c r="F871">
        <v>10</v>
      </c>
      <c r="G871" t="s">
        <v>179</v>
      </c>
      <c r="H871">
        <v>0</v>
      </c>
      <c r="I871">
        <v>0</v>
      </c>
      <c r="J871" s="10">
        <v>0</v>
      </c>
      <c r="K871" s="10">
        <f>SUMIFS(F:F,D:D,DST_123_ÜRETİM_İHTİYAÇ_RAPORU_BURAK_YENI1309[[#This Row],[ALT_KOD]])-(SUMIFS(H:H,D:D,DST_123_ÜRETİM_İHTİYAÇ_RAPORU_BURAK_YENI1309[[#This Row],[ALT_KOD]])+AVERAGEIFS(I:I,D:D,DST_123_ÜRETİM_İHTİYAÇ_RAPORU_BURAK_YENI1309[[#This Row],[ALT_KOD]])+AVERAGEIFS(L:L,D:D,DST_123_ÜRETİM_İHTİYAÇ_RAPORU_BURAK_YENI1309[[#This Row],[ALT_KOD]]))</f>
        <v>-220</v>
      </c>
      <c r="L871">
        <v>400</v>
      </c>
      <c r="M871">
        <f>IF((DST_123_ÜRETİM_İHTİYAÇ_RAPORU_BURAK_YENI1309[[#This Row],[SATINALMA]]*DST_123_ÜRETİM_İHTİYAÇ_RAPORU_BURAK_YENI1309[[#This Row],[BIRIM_FIYATLAR]])&lt;1,VALUE("0"),DST_123_ÜRETİM_İHTİYAÇ_RAPORU_BURAK_YENI1309[[#This Row],[SATINALMA]]*DST_123_ÜRETİM_İHTİYAÇ_RAPORU_BURAK_YENI1309[[#This Row],[BIRIM_FIYATLAR]])</f>
        <v>0</v>
      </c>
      <c r="N871">
        <v>5</v>
      </c>
      <c r="O871" t="s">
        <v>224</v>
      </c>
      <c r="P871">
        <v>50</v>
      </c>
      <c r="Q871" t="s">
        <v>180</v>
      </c>
    </row>
    <row r="872" spans="1:17" x14ac:dyDescent="0.25">
      <c r="A872" t="s">
        <v>1144</v>
      </c>
      <c r="B872" t="s">
        <v>1145</v>
      </c>
      <c r="C872" t="s">
        <v>175</v>
      </c>
      <c r="D872" t="s">
        <v>353</v>
      </c>
      <c r="E872" t="s">
        <v>354</v>
      </c>
      <c r="F872">
        <v>11</v>
      </c>
      <c r="G872" t="s">
        <v>176</v>
      </c>
      <c r="H872">
        <v>0</v>
      </c>
      <c r="I872">
        <v>391</v>
      </c>
      <c r="J872" s="10">
        <v>150</v>
      </c>
      <c r="K872" s="10">
        <f>SUMIFS(F:F,D:D,DST_123_ÜRETİM_İHTİYAÇ_RAPORU_BURAK_YENI1309[[#This Row],[ALT_KOD]])-(SUMIFS(H:H,D:D,DST_123_ÜRETİM_İHTİYAÇ_RAPORU_BURAK_YENI1309[[#This Row],[ALT_KOD]])+AVERAGEIFS(I:I,D:D,DST_123_ÜRETİM_İHTİYAÇ_RAPORU_BURAK_YENI1309[[#This Row],[ALT_KOD]])+AVERAGEIFS(L:L,D:D,DST_123_ÜRETİM_İHTİYAÇ_RAPORU_BURAK_YENI1309[[#This Row],[ALT_KOD]]))</f>
        <v>-33</v>
      </c>
      <c r="L872">
        <v>0</v>
      </c>
      <c r="M872">
        <f>IF((DST_123_ÜRETİM_İHTİYAÇ_RAPORU_BURAK_YENI1309[[#This Row],[SATINALMA]]*DST_123_ÜRETİM_İHTİYAÇ_RAPORU_BURAK_YENI1309[[#This Row],[BIRIM_FIYATLAR]])&lt;1,VALUE("0"),DST_123_ÜRETİM_İHTİYAÇ_RAPORU_BURAK_YENI1309[[#This Row],[SATINALMA]]*DST_123_ÜRETİM_İHTİYAÇ_RAPORU_BURAK_YENI1309[[#This Row],[BIRIM_FIYATLAR]])</f>
        <v>0</v>
      </c>
      <c r="N872">
        <v>10.65</v>
      </c>
      <c r="O872" t="s">
        <v>882</v>
      </c>
      <c r="P872">
        <v>117.15</v>
      </c>
      <c r="Q872" t="s">
        <v>180</v>
      </c>
    </row>
    <row r="873" spans="1:17" x14ac:dyDescent="0.25">
      <c r="A873" t="s">
        <v>1146</v>
      </c>
      <c r="B873" t="s">
        <v>1145</v>
      </c>
      <c r="C873" t="s">
        <v>175</v>
      </c>
      <c r="D873" t="s">
        <v>353</v>
      </c>
      <c r="E873" t="s">
        <v>354</v>
      </c>
      <c r="F873">
        <v>8</v>
      </c>
      <c r="G873" t="s">
        <v>176</v>
      </c>
      <c r="H873">
        <v>0</v>
      </c>
      <c r="I873">
        <v>391</v>
      </c>
      <c r="J873" s="10">
        <v>150</v>
      </c>
      <c r="K873" s="10">
        <f>SUMIFS(F:F,D:D,DST_123_ÜRETİM_İHTİYAÇ_RAPORU_BURAK_YENI1309[[#This Row],[ALT_KOD]])-(SUMIFS(H:H,D:D,DST_123_ÜRETİM_İHTİYAÇ_RAPORU_BURAK_YENI1309[[#This Row],[ALT_KOD]])+AVERAGEIFS(I:I,D:D,DST_123_ÜRETİM_İHTİYAÇ_RAPORU_BURAK_YENI1309[[#This Row],[ALT_KOD]])+AVERAGEIFS(L:L,D:D,DST_123_ÜRETİM_İHTİYAÇ_RAPORU_BURAK_YENI1309[[#This Row],[ALT_KOD]]))</f>
        <v>-33</v>
      </c>
      <c r="L873">
        <v>0</v>
      </c>
      <c r="M873">
        <f>IF((DST_123_ÜRETİM_İHTİYAÇ_RAPORU_BURAK_YENI1309[[#This Row],[SATINALMA]]*DST_123_ÜRETİM_İHTİYAÇ_RAPORU_BURAK_YENI1309[[#This Row],[BIRIM_FIYATLAR]])&lt;1,VALUE("0"),DST_123_ÜRETİM_İHTİYAÇ_RAPORU_BURAK_YENI1309[[#This Row],[SATINALMA]]*DST_123_ÜRETİM_İHTİYAÇ_RAPORU_BURAK_YENI1309[[#This Row],[BIRIM_FIYATLAR]])</f>
        <v>0</v>
      </c>
      <c r="N873">
        <v>10.65</v>
      </c>
      <c r="O873" t="s">
        <v>882</v>
      </c>
      <c r="P873">
        <v>85.2</v>
      </c>
      <c r="Q873" t="s">
        <v>180</v>
      </c>
    </row>
    <row r="874" spans="1:17" x14ac:dyDescent="0.25">
      <c r="A874" t="s">
        <v>1142</v>
      </c>
      <c r="B874" t="s">
        <v>1056</v>
      </c>
      <c r="C874" t="s">
        <v>175</v>
      </c>
      <c r="D874" t="s">
        <v>743</v>
      </c>
      <c r="E874" t="s">
        <v>744</v>
      </c>
      <c r="F874">
        <v>0.5</v>
      </c>
      <c r="G874" t="s">
        <v>179</v>
      </c>
      <c r="H874">
        <v>0</v>
      </c>
      <c r="I874">
        <v>0</v>
      </c>
      <c r="J874" s="10">
        <v>45.5</v>
      </c>
      <c r="K874" s="10">
        <f>SUMIFS(F:F,D:D,DST_123_ÜRETİM_İHTİYAÇ_RAPORU_BURAK_YENI1309[[#This Row],[ALT_KOD]])-(SUMIFS(H:H,D:D,DST_123_ÜRETİM_İHTİYAÇ_RAPORU_BURAK_YENI1309[[#This Row],[ALT_KOD]])+AVERAGEIFS(I:I,D:D,DST_123_ÜRETİM_İHTİYAÇ_RAPORU_BURAK_YENI1309[[#This Row],[ALT_KOD]])+AVERAGEIFS(L:L,D:D,DST_123_ÜRETİM_İHTİYAÇ_RAPORU_BURAK_YENI1309[[#This Row],[ALT_KOD]]))</f>
        <v>8.5</v>
      </c>
      <c r="L874">
        <v>0</v>
      </c>
      <c r="M874">
        <f>IF((DST_123_ÜRETİM_İHTİYAÇ_RAPORU_BURAK_YENI1309[[#This Row],[SATINALMA]]*DST_123_ÜRETİM_İHTİYAÇ_RAPORU_BURAK_YENI1309[[#This Row],[BIRIM_FIYATLAR]])&lt;1,VALUE("0"),DST_123_ÜRETİM_İHTİYAÇ_RAPORU_BURAK_YENI1309[[#This Row],[SATINALMA]]*DST_123_ÜRETİM_İHTİYAÇ_RAPORU_BURAK_YENI1309[[#This Row],[BIRIM_FIYATLAR]])</f>
        <v>1437.4350000000002</v>
      </c>
      <c r="N874">
        <v>169.11</v>
      </c>
      <c r="O874" t="s">
        <v>745</v>
      </c>
      <c r="P874">
        <v>84.555000000000007</v>
      </c>
      <c r="Q874" t="s">
        <v>184</v>
      </c>
    </row>
    <row r="875" spans="1:17" x14ac:dyDescent="0.25">
      <c r="A875" t="s">
        <v>1142</v>
      </c>
      <c r="B875" t="s">
        <v>1056</v>
      </c>
      <c r="C875" t="s">
        <v>175</v>
      </c>
      <c r="D875" t="s">
        <v>532</v>
      </c>
      <c r="E875" t="s">
        <v>533</v>
      </c>
      <c r="F875">
        <v>10</v>
      </c>
      <c r="G875" t="s">
        <v>179</v>
      </c>
      <c r="H875">
        <v>0</v>
      </c>
      <c r="I875">
        <v>0</v>
      </c>
      <c r="J875" s="10">
        <v>0</v>
      </c>
      <c r="K875" s="10">
        <f>SUMIFS(F:F,D:D,DST_123_ÜRETİM_İHTİYAÇ_RAPORU_BURAK_YENI1309[[#This Row],[ALT_KOD]])-(SUMIFS(H:H,D:D,DST_123_ÜRETİM_İHTİYAÇ_RAPORU_BURAK_YENI1309[[#This Row],[ALT_KOD]])+AVERAGEIFS(I:I,D:D,DST_123_ÜRETİM_İHTİYAÇ_RAPORU_BURAK_YENI1309[[#This Row],[ALT_KOD]])+AVERAGEIFS(L:L,D:D,DST_123_ÜRETİM_İHTİYAÇ_RAPORU_BURAK_YENI1309[[#This Row],[ALT_KOD]]))</f>
        <v>-220</v>
      </c>
      <c r="L875">
        <v>400</v>
      </c>
      <c r="M875">
        <f>IF((DST_123_ÜRETİM_İHTİYAÇ_RAPORU_BURAK_YENI1309[[#This Row],[SATINALMA]]*DST_123_ÜRETİM_İHTİYAÇ_RAPORU_BURAK_YENI1309[[#This Row],[BIRIM_FIYATLAR]])&lt;1,VALUE("0"),DST_123_ÜRETİM_İHTİYAÇ_RAPORU_BURAK_YENI1309[[#This Row],[SATINALMA]]*DST_123_ÜRETİM_İHTİYAÇ_RAPORU_BURAK_YENI1309[[#This Row],[BIRIM_FIYATLAR]])</f>
        <v>0</v>
      </c>
      <c r="N875">
        <v>5</v>
      </c>
      <c r="O875" t="s">
        <v>224</v>
      </c>
      <c r="P875">
        <v>50</v>
      </c>
      <c r="Q875" t="s">
        <v>180</v>
      </c>
    </row>
    <row r="876" spans="1:17" x14ac:dyDescent="0.25">
      <c r="A876" t="s">
        <v>1142</v>
      </c>
      <c r="B876" t="s">
        <v>1056</v>
      </c>
      <c r="C876" t="s">
        <v>175</v>
      </c>
      <c r="D876" t="s">
        <v>353</v>
      </c>
      <c r="E876" t="s">
        <v>354</v>
      </c>
      <c r="F876">
        <v>8</v>
      </c>
      <c r="G876" t="s">
        <v>176</v>
      </c>
      <c r="H876">
        <v>0</v>
      </c>
      <c r="I876">
        <v>391</v>
      </c>
      <c r="J876" s="10">
        <v>150</v>
      </c>
      <c r="K876" s="10">
        <f>SUMIFS(F:F,D:D,DST_123_ÜRETİM_İHTİYAÇ_RAPORU_BURAK_YENI1309[[#This Row],[ALT_KOD]])-(SUMIFS(H:H,D:D,DST_123_ÜRETİM_İHTİYAÇ_RAPORU_BURAK_YENI1309[[#This Row],[ALT_KOD]])+AVERAGEIFS(I:I,D:D,DST_123_ÜRETİM_İHTİYAÇ_RAPORU_BURAK_YENI1309[[#This Row],[ALT_KOD]])+AVERAGEIFS(L:L,D:D,DST_123_ÜRETİM_İHTİYAÇ_RAPORU_BURAK_YENI1309[[#This Row],[ALT_KOD]]))</f>
        <v>-33</v>
      </c>
      <c r="L876">
        <v>0</v>
      </c>
      <c r="M876">
        <f>IF((DST_123_ÜRETİM_İHTİYAÇ_RAPORU_BURAK_YENI1309[[#This Row],[SATINALMA]]*DST_123_ÜRETİM_İHTİYAÇ_RAPORU_BURAK_YENI1309[[#This Row],[BIRIM_FIYATLAR]])&lt;1,VALUE("0"),DST_123_ÜRETİM_İHTİYAÇ_RAPORU_BURAK_YENI1309[[#This Row],[SATINALMA]]*DST_123_ÜRETİM_İHTİYAÇ_RAPORU_BURAK_YENI1309[[#This Row],[BIRIM_FIYATLAR]])</f>
        <v>0</v>
      </c>
      <c r="N876">
        <v>10.65</v>
      </c>
      <c r="O876" t="s">
        <v>882</v>
      </c>
      <c r="P876">
        <v>85.2</v>
      </c>
      <c r="Q876" t="s">
        <v>180</v>
      </c>
    </row>
    <row r="877" spans="1:17" x14ac:dyDescent="0.25">
      <c r="A877" s="13" t="s">
        <v>1150</v>
      </c>
      <c r="B877" s="13" t="s">
        <v>1145</v>
      </c>
      <c r="C877" t="s">
        <v>175</v>
      </c>
      <c r="D877" s="13" t="s">
        <v>743</v>
      </c>
      <c r="E877" s="13" t="s">
        <v>744</v>
      </c>
      <c r="F877" s="13">
        <v>0.5</v>
      </c>
      <c r="G877" s="13" t="s">
        <v>179</v>
      </c>
      <c r="H877">
        <v>0</v>
      </c>
      <c r="I877">
        <v>0</v>
      </c>
      <c r="J877" s="10">
        <v>45.5</v>
      </c>
      <c r="K877" s="10">
        <f>SUMIFS(F:F,D:D,DST_123_ÜRETİM_İHTİYAÇ_RAPORU_BURAK_YENI1309[[#This Row],[ALT_KOD]])-(SUMIFS(H:H,D:D,DST_123_ÜRETİM_İHTİYAÇ_RAPORU_BURAK_YENI1309[[#This Row],[ALT_KOD]])+AVERAGEIFS(I:I,D:D,DST_123_ÜRETİM_İHTİYAÇ_RAPORU_BURAK_YENI1309[[#This Row],[ALT_KOD]])+AVERAGEIFS(L:L,D:D,DST_123_ÜRETİM_İHTİYAÇ_RAPORU_BURAK_YENI1309[[#This Row],[ALT_KOD]]))</f>
        <v>8.5</v>
      </c>
      <c r="L877">
        <v>0</v>
      </c>
      <c r="M877">
        <f>IF((DST_123_ÜRETİM_İHTİYAÇ_RAPORU_BURAK_YENI1309[[#This Row],[SATINALMA]]*DST_123_ÜRETİM_İHTİYAÇ_RAPORU_BURAK_YENI1309[[#This Row],[BIRIM_FIYATLAR]])&lt;1,VALUE("0"),DST_123_ÜRETİM_İHTİYAÇ_RAPORU_BURAK_YENI1309[[#This Row],[SATINALMA]]*DST_123_ÜRETİM_İHTİYAÇ_RAPORU_BURAK_YENI1309[[#This Row],[BIRIM_FIYATLAR]])</f>
        <v>1437.4350000000002</v>
      </c>
      <c r="N877">
        <v>169.11</v>
      </c>
      <c r="O877" t="s">
        <v>745</v>
      </c>
      <c r="P877">
        <v>84.555000000000007</v>
      </c>
      <c r="Q877" t="s">
        <v>184</v>
      </c>
    </row>
    <row r="878" spans="1:17" x14ac:dyDescent="0.25">
      <c r="A878" t="s">
        <v>1150</v>
      </c>
      <c r="B878" t="s">
        <v>1145</v>
      </c>
      <c r="C878" t="s">
        <v>175</v>
      </c>
      <c r="D878" t="s">
        <v>532</v>
      </c>
      <c r="E878" t="s">
        <v>533</v>
      </c>
      <c r="F878">
        <v>10</v>
      </c>
      <c r="G878" t="s">
        <v>179</v>
      </c>
      <c r="H878">
        <v>0</v>
      </c>
      <c r="I878">
        <v>0</v>
      </c>
      <c r="J878" s="10">
        <v>0</v>
      </c>
      <c r="K878" s="10">
        <f>SUMIFS(F:F,D:D,DST_123_ÜRETİM_İHTİYAÇ_RAPORU_BURAK_YENI1309[[#This Row],[ALT_KOD]])-(SUMIFS(H:H,D:D,DST_123_ÜRETİM_İHTİYAÇ_RAPORU_BURAK_YENI1309[[#This Row],[ALT_KOD]])+AVERAGEIFS(I:I,D:D,DST_123_ÜRETİM_İHTİYAÇ_RAPORU_BURAK_YENI1309[[#This Row],[ALT_KOD]])+AVERAGEIFS(L:L,D:D,DST_123_ÜRETİM_İHTİYAÇ_RAPORU_BURAK_YENI1309[[#This Row],[ALT_KOD]]))</f>
        <v>-220</v>
      </c>
      <c r="L878">
        <v>400</v>
      </c>
      <c r="M878">
        <f>IF((DST_123_ÜRETİM_İHTİYAÇ_RAPORU_BURAK_YENI1309[[#This Row],[SATINALMA]]*DST_123_ÜRETİM_İHTİYAÇ_RAPORU_BURAK_YENI1309[[#This Row],[BIRIM_FIYATLAR]])&lt;1,VALUE("0"),DST_123_ÜRETİM_İHTİYAÇ_RAPORU_BURAK_YENI1309[[#This Row],[SATINALMA]]*DST_123_ÜRETİM_İHTİYAÇ_RAPORU_BURAK_YENI1309[[#This Row],[BIRIM_FIYATLAR]])</f>
        <v>0</v>
      </c>
      <c r="N878">
        <v>5</v>
      </c>
      <c r="O878" t="s">
        <v>224</v>
      </c>
      <c r="P878">
        <v>50</v>
      </c>
      <c r="Q878" t="s">
        <v>180</v>
      </c>
    </row>
    <row r="879" spans="1:17" x14ac:dyDescent="0.25">
      <c r="A879" t="s">
        <v>1144</v>
      </c>
      <c r="B879" t="s">
        <v>1145</v>
      </c>
      <c r="C879" t="s">
        <v>175</v>
      </c>
      <c r="D879" t="s">
        <v>149</v>
      </c>
      <c r="E879" t="s">
        <v>150</v>
      </c>
      <c r="F879">
        <v>1.3</v>
      </c>
      <c r="G879" t="s">
        <v>176</v>
      </c>
      <c r="H879">
        <v>0</v>
      </c>
      <c r="I879">
        <v>5</v>
      </c>
      <c r="J879" s="10">
        <v>0</v>
      </c>
      <c r="K879" s="10">
        <f>SUMIFS(F:F,D:D,DST_123_ÜRETİM_İHTİYAÇ_RAPORU_BURAK_YENI1309[[#This Row],[ALT_KOD]])-(SUMIFS(H:H,D:D,DST_123_ÜRETİM_İHTİYAÇ_RAPORU_BURAK_YENI1309[[#This Row],[ALT_KOD]])+AVERAGEIFS(I:I,D:D,DST_123_ÜRETİM_İHTİYAÇ_RAPORU_BURAK_YENI1309[[#This Row],[ALT_KOD]])+AVERAGEIFS(L:L,D:D,DST_123_ÜRETİM_İHTİYAÇ_RAPORU_BURAK_YENI1309[[#This Row],[ALT_KOD]]))</f>
        <v>4.6000000000000014</v>
      </c>
      <c r="L879">
        <v>5</v>
      </c>
      <c r="M879">
        <f>IF((DST_123_ÜRETİM_İHTİYAÇ_RAPORU_BURAK_YENI1309[[#This Row],[SATINALMA]]*DST_123_ÜRETİM_İHTİYAÇ_RAPORU_BURAK_YENI1309[[#This Row],[BIRIM_FIYATLAR]])&lt;1,VALUE("0"),DST_123_ÜRETİM_İHTİYAÇ_RAPORU_BURAK_YENI1309[[#This Row],[SATINALMA]]*DST_123_ÜRETİM_İHTİYAÇ_RAPORU_BURAK_YENI1309[[#This Row],[BIRIM_FIYATLAR]])</f>
        <v>5276.2000000000016</v>
      </c>
      <c r="N879">
        <v>1147</v>
      </c>
      <c r="O879" t="s">
        <v>672</v>
      </c>
      <c r="P879">
        <v>1491.1000000000001</v>
      </c>
      <c r="Q879" t="s">
        <v>184</v>
      </c>
    </row>
    <row r="880" spans="1:17" x14ac:dyDescent="0.25">
      <c r="A880" t="s">
        <v>1098</v>
      </c>
      <c r="B880" t="s">
        <v>1096</v>
      </c>
      <c r="C880" t="s">
        <v>175</v>
      </c>
      <c r="D880" t="s">
        <v>208</v>
      </c>
      <c r="E880" t="s">
        <v>284</v>
      </c>
      <c r="F880">
        <v>25</v>
      </c>
      <c r="G880" t="s">
        <v>176</v>
      </c>
      <c r="H880">
        <v>0</v>
      </c>
      <c r="I880">
        <v>2600</v>
      </c>
      <c r="J880" s="10">
        <v>292</v>
      </c>
      <c r="K880" s="10">
        <f>SUMIFS(F:F,D:D,DST_123_ÜRETİM_İHTİYAÇ_RAPORU_BURAK_YENI1309[[#This Row],[ALT_KOD]])-(SUMIFS(H:H,D:D,DST_123_ÜRETİM_İHTİYAÇ_RAPORU_BURAK_YENI1309[[#This Row],[ALT_KOD]])+AVERAGEIFS(I:I,D:D,DST_123_ÜRETİM_İHTİYAÇ_RAPORU_BURAK_YENI1309[[#This Row],[ALT_KOD]])+AVERAGEIFS(L:L,D:D,DST_123_ÜRETİM_İHTİYAÇ_RAPORU_BURAK_YENI1309[[#This Row],[ALT_KOD]]))</f>
        <v>-2145</v>
      </c>
      <c r="L880">
        <v>0</v>
      </c>
      <c r="M880">
        <f>IF((DST_123_ÜRETİM_İHTİYAÇ_RAPORU_BURAK_YENI1309[[#This Row],[SATINALMA]]*DST_123_ÜRETİM_İHTİYAÇ_RAPORU_BURAK_YENI1309[[#This Row],[BIRIM_FIYATLAR]])&lt;1,VALUE("0"),DST_123_ÜRETİM_İHTİYAÇ_RAPORU_BURAK_YENI1309[[#This Row],[SATINALMA]]*DST_123_ÜRETİM_İHTİYAÇ_RAPORU_BURAK_YENI1309[[#This Row],[BIRIM_FIYATLAR]])</f>
        <v>0</v>
      </c>
      <c r="N880">
        <v>0.4</v>
      </c>
      <c r="O880" t="s">
        <v>240</v>
      </c>
      <c r="P880">
        <v>10</v>
      </c>
      <c r="Q880" t="s">
        <v>180</v>
      </c>
    </row>
    <row r="881" spans="1:17" x14ac:dyDescent="0.25">
      <c r="A881" t="s">
        <v>1098</v>
      </c>
      <c r="B881" t="s">
        <v>1096</v>
      </c>
      <c r="C881" t="s">
        <v>175</v>
      </c>
      <c r="D881" t="s">
        <v>748</v>
      </c>
      <c r="E881" t="s">
        <v>749</v>
      </c>
      <c r="F881">
        <v>4</v>
      </c>
      <c r="G881" t="s">
        <v>176</v>
      </c>
      <c r="H881">
        <v>0</v>
      </c>
      <c r="I881">
        <v>0</v>
      </c>
      <c r="J881" s="10">
        <v>250</v>
      </c>
      <c r="K881" s="10">
        <f>SUMIFS(F:F,D:D,DST_123_ÜRETİM_İHTİYAÇ_RAPORU_BURAK_YENI1309[[#This Row],[ALT_KOD]])-(SUMIFS(H:H,D:D,DST_123_ÜRETİM_İHTİYAÇ_RAPORU_BURAK_YENI1309[[#This Row],[ALT_KOD]])+AVERAGEIFS(I:I,D:D,DST_123_ÜRETİM_İHTİYAÇ_RAPORU_BURAK_YENI1309[[#This Row],[ALT_KOD]])+AVERAGEIFS(L:L,D:D,DST_123_ÜRETİM_İHTİYAÇ_RAPORU_BURAK_YENI1309[[#This Row],[ALT_KOD]]))</f>
        <v>32</v>
      </c>
      <c r="L881">
        <v>0</v>
      </c>
      <c r="M881">
        <f>IF((DST_123_ÜRETİM_İHTİYAÇ_RAPORU_BURAK_YENI1309[[#This Row],[SATINALMA]]*DST_123_ÜRETİM_İHTİYAÇ_RAPORU_BURAK_YENI1309[[#This Row],[BIRIM_FIYATLAR]])&lt;1,VALUE("0"),DST_123_ÜRETİM_İHTİYAÇ_RAPORU_BURAK_YENI1309[[#This Row],[SATINALMA]]*DST_123_ÜRETİM_İHTİYAÇ_RAPORU_BURAK_YENI1309[[#This Row],[BIRIM_FIYATLAR]])</f>
        <v>183.68</v>
      </c>
      <c r="N881">
        <v>5.74</v>
      </c>
      <c r="O881" t="s">
        <v>882</v>
      </c>
      <c r="P881">
        <v>22.96</v>
      </c>
      <c r="Q881" t="s">
        <v>180</v>
      </c>
    </row>
    <row r="882" spans="1:17" x14ac:dyDescent="0.25">
      <c r="A882" t="s">
        <v>1098</v>
      </c>
      <c r="B882" t="s">
        <v>1096</v>
      </c>
      <c r="C882" t="s">
        <v>175</v>
      </c>
      <c r="D882" t="s">
        <v>94</v>
      </c>
      <c r="E882" t="s">
        <v>95</v>
      </c>
      <c r="F882">
        <v>1</v>
      </c>
      <c r="G882" t="s">
        <v>176</v>
      </c>
      <c r="H882">
        <v>0</v>
      </c>
      <c r="I882">
        <v>11</v>
      </c>
      <c r="J882" s="10">
        <v>8</v>
      </c>
      <c r="K882" s="10">
        <f>SUMIFS(F:F,D:D,DST_123_ÜRETİM_İHTİYAÇ_RAPORU_BURAK_YENI1309[[#This Row],[ALT_KOD]])-(SUMIFS(H:H,D:D,DST_123_ÜRETİM_İHTİYAÇ_RAPORU_BURAK_YENI1309[[#This Row],[ALT_KOD]])+AVERAGEIFS(I:I,D:D,DST_123_ÜRETİM_İHTİYAÇ_RAPORU_BURAK_YENI1309[[#This Row],[ALT_KOD]])+AVERAGEIFS(L:L,D:D,DST_123_ÜRETİM_İHTİYAÇ_RAPORU_BURAK_YENI1309[[#This Row],[ALT_KOD]]))</f>
        <v>0</v>
      </c>
      <c r="L882">
        <v>0</v>
      </c>
      <c r="M882">
        <f>IF((DST_123_ÜRETİM_İHTİYAÇ_RAPORU_BURAK_YENI1309[[#This Row],[SATINALMA]]*DST_123_ÜRETİM_İHTİYAÇ_RAPORU_BURAK_YENI1309[[#This Row],[BIRIM_FIYATLAR]])&lt;1,VALUE("0"),DST_123_ÜRETİM_İHTİYAÇ_RAPORU_BURAK_YENI1309[[#This Row],[SATINALMA]]*DST_123_ÜRETİM_İHTİYAÇ_RAPORU_BURAK_YENI1309[[#This Row],[BIRIM_FIYATLAR]])</f>
        <v>0</v>
      </c>
      <c r="N882">
        <v>1145.83</v>
      </c>
      <c r="O882" t="s">
        <v>247</v>
      </c>
      <c r="P882">
        <v>1145.83</v>
      </c>
      <c r="Q882" t="s">
        <v>177</v>
      </c>
    </row>
    <row r="883" spans="1:17" x14ac:dyDescent="0.25">
      <c r="A883" t="s">
        <v>1059</v>
      </c>
      <c r="B883" t="s">
        <v>1058</v>
      </c>
      <c r="C883" t="s">
        <v>175</v>
      </c>
      <c r="D883" t="s">
        <v>919</v>
      </c>
      <c r="E883" t="s">
        <v>920</v>
      </c>
      <c r="F883">
        <v>1</v>
      </c>
      <c r="G883" t="s">
        <v>176</v>
      </c>
      <c r="H883">
        <v>1</v>
      </c>
      <c r="I883">
        <v>0</v>
      </c>
      <c r="J883" s="10">
        <v>1</v>
      </c>
      <c r="K883" s="10">
        <f>SUMIFS(F:F,D:D,DST_123_ÜRETİM_İHTİYAÇ_RAPORU_BURAK_YENI1309[[#This Row],[ALT_KOD]])-(SUMIFS(H:H,D:D,DST_123_ÜRETİM_İHTİYAÇ_RAPORU_BURAK_YENI1309[[#This Row],[ALT_KOD]])+AVERAGEIFS(I:I,D:D,DST_123_ÜRETİM_İHTİYAÇ_RAPORU_BURAK_YENI1309[[#This Row],[ALT_KOD]])+AVERAGEIFS(L:L,D:D,DST_123_ÜRETİM_İHTİYAÇ_RAPORU_BURAK_YENI1309[[#This Row],[ALT_KOD]]))</f>
        <v>0</v>
      </c>
      <c r="L883">
        <v>1</v>
      </c>
      <c r="M883">
        <f>IF((DST_123_ÜRETİM_İHTİYAÇ_RAPORU_BURAK_YENI1309[[#This Row],[SATINALMA]]*DST_123_ÜRETİM_İHTİYAÇ_RAPORU_BURAK_YENI1309[[#This Row],[BIRIM_FIYATLAR]])&lt;1,VALUE("0"),DST_123_ÜRETİM_İHTİYAÇ_RAPORU_BURAK_YENI1309[[#This Row],[SATINALMA]]*DST_123_ÜRETİM_İHTİYAÇ_RAPORU_BURAK_YENI1309[[#This Row],[BIRIM_FIYATLAR]])</f>
        <v>0</v>
      </c>
      <c r="N883">
        <v>12601.06</v>
      </c>
      <c r="O883" t="s">
        <v>507</v>
      </c>
      <c r="P883">
        <v>12601.06</v>
      </c>
      <c r="Q883" t="s">
        <v>221</v>
      </c>
    </row>
    <row r="884" spans="1:17" x14ac:dyDescent="0.25">
      <c r="A884" t="s">
        <v>1059</v>
      </c>
      <c r="B884" t="s">
        <v>1058</v>
      </c>
      <c r="C884" t="s">
        <v>175</v>
      </c>
      <c r="D884" t="s">
        <v>571</v>
      </c>
      <c r="E884" t="s">
        <v>572</v>
      </c>
      <c r="F884">
        <v>2.7</v>
      </c>
      <c r="G884" t="s">
        <v>179</v>
      </c>
      <c r="H884">
        <v>0</v>
      </c>
      <c r="I884">
        <v>50</v>
      </c>
      <c r="J884" s="10">
        <v>-1.4210854715202004E-14</v>
      </c>
      <c r="K884" s="10">
        <f>SUMIFS(F:F,D:D,DST_123_ÜRETİM_İHTİYAÇ_RAPORU_BURAK_YENI1309[[#This Row],[ALT_KOD]])-(SUMIFS(H:H,D:D,DST_123_ÜRETİM_İHTİYAÇ_RAPORU_BURAK_YENI1309[[#This Row],[ALT_KOD]])+AVERAGEIFS(I:I,D:D,DST_123_ÜRETİM_İHTİYAÇ_RAPORU_BURAK_YENI1309[[#This Row],[ALT_KOD]])+AVERAGEIFS(L:L,D:D,DST_123_ÜRETİM_İHTİYAÇ_RAPORU_BURAK_YENI1309[[#This Row],[ALT_KOD]]))</f>
        <v>-15.200000000000003</v>
      </c>
      <c r="L884">
        <v>0</v>
      </c>
      <c r="M884">
        <f>IF((DST_123_ÜRETİM_İHTİYAÇ_RAPORU_BURAK_YENI1309[[#This Row],[SATINALMA]]*DST_123_ÜRETİM_İHTİYAÇ_RAPORU_BURAK_YENI1309[[#This Row],[BIRIM_FIYATLAR]])&lt;1,VALUE("0"),DST_123_ÜRETİM_İHTİYAÇ_RAPORU_BURAK_YENI1309[[#This Row],[SATINALMA]]*DST_123_ÜRETİM_İHTİYAÇ_RAPORU_BURAK_YENI1309[[#This Row],[BIRIM_FIYATLAR]])</f>
        <v>0</v>
      </c>
      <c r="N884">
        <v>11</v>
      </c>
      <c r="O884" t="s">
        <v>226</v>
      </c>
      <c r="P884">
        <v>29.700000000000003</v>
      </c>
      <c r="Q884" t="s">
        <v>180</v>
      </c>
    </row>
    <row r="885" spans="1:17" x14ac:dyDescent="0.25">
      <c r="A885" t="s">
        <v>1099</v>
      </c>
      <c r="B885" t="s">
        <v>1055</v>
      </c>
      <c r="C885" t="s">
        <v>175</v>
      </c>
      <c r="D885" t="s">
        <v>571</v>
      </c>
      <c r="E885" t="s">
        <v>572</v>
      </c>
      <c r="F885">
        <v>2.4</v>
      </c>
      <c r="G885" t="s">
        <v>179</v>
      </c>
      <c r="H885">
        <v>0</v>
      </c>
      <c r="I885">
        <v>50</v>
      </c>
      <c r="J885" s="10">
        <v>-1.4210854715202004E-14</v>
      </c>
      <c r="K885" s="10">
        <f>SUMIFS(F:F,D:D,DST_123_ÜRETİM_İHTİYAÇ_RAPORU_BURAK_YENI1309[[#This Row],[ALT_KOD]])-(SUMIFS(H:H,D:D,DST_123_ÜRETİM_İHTİYAÇ_RAPORU_BURAK_YENI1309[[#This Row],[ALT_KOD]])+AVERAGEIFS(I:I,D:D,DST_123_ÜRETİM_İHTİYAÇ_RAPORU_BURAK_YENI1309[[#This Row],[ALT_KOD]])+AVERAGEIFS(L:L,D:D,DST_123_ÜRETİM_İHTİYAÇ_RAPORU_BURAK_YENI1309[[#This Row],[ALT_KOD]]))</f>
        <v>-15.200000000000003</v>
      </c>
      <c r="L885">
        <v>0</v>
      </c>
      <c r="M885">
        <f>IF((DST_123_ÜRETİM_İHTİYAÇ_RAPORU_BURAK_YENI1309[[#This Row],[SATINALMA]]*DST_123_ÜRETİM_İHTİYAÇ_RAPORU_BURAK_YENI1309[[#This Row],[BIRIM_FIYATLAR]])&lt;1,VALUE("0"),DST_123_ÜRETİM_İHTİYAÇ_RAPORU_BURAK_YENI1309[[#This Row],[SATINALMA]]*DST_123_ÜRETİM_İHTİYAÇ_RAPORU_BURAK_YENI1309[[#This Row],[BIRIM_FIYATLAR]])</f>
        <v>0</v>
      </c>
      <c r="N885">
        <v>11</v>
      </c>
      <c r="O885" t="s">
        <v>226</v>
      </c>
      <c r="P885">
        <v>26.4</v>
      </c>
      <c r="Q885" t="s">
        <v>180</v>
      </c>
    </row>
    <row r="886" spans="1:17" x14ac:dyDescent="0.25">
      <c r="A886" t="s">
        <v>1196</v>
      </c>
      <c r="B886" t="s">
        <v>1197</v>
      </c>
      <c r="C886" t="s">
        <v>175</v>
      </c>
      <c r="D886" t="s">
        <v>571</v>
      </c>
      <c r="E886" t="s">
        <v>572</v>
      </c>
      <c r="F886">
        <v>2.7</v>
      </c>
      <c r="G886" t="s">
        <v>179</v>
      </c>
      <c r="H886">
        <v>0</v>
      </c>
      <c r="I886">
        <v>50</v>
      </c>
      <c r="J886" s="10">
        <v>-1.4210854715202004E-14</v>
      </c>
      <c r="K886" s="10">
        <f>SUMIFS(F:F,D:D,DST_123_ÜRETİM_İHTİYAÇ_RAPORU_BURAK_YENI1309[[#This Row],[ALT_KOD]])-(SUMIFS(H:H,D:D,DST_123_ÜRETİM_İHTİYAÇ_RAPORU_BURAK_YENI1309[[#This Row],[ALT_KOD]])+AVERAGEIFS(I:I,D:D,DST_123_ÜRETİM_İHTİYAÇ_RAPORU_BURAK_YENI1309[[#This Row],[ALT_KOD]])+AVERAGEIFS(L:L,D:D,DST_123_ÜRETİM_İHTİYAÇ_RAPORU_BURAK_YENI1309[[#This Row],[ALT_KOD]]))</f>
        <v>-15.200000000000003</v>
      </c>
      <c r="L886">
        <v>0</v>
      </c>
      <c r="M886">
        <f>IF((DST_123_ÜRETİM_İHTİYAÇ_RAPORU_BURAK_YENI1309[[#This Row],[SATINALMA]]*DST_123_ÜRETİM_İHTİYAÇ_RAPORU_BURAK_YENI1309[[#This Row],[BIRIM_FIYATLAR]])&lt;1,VALUE("0"),DST_123_ÜRETİM_İHTİYAÇ_RAPORU_BURAK_YENI1309[[#This Row],[SATINALMA]]*DST_123_ÜRETİM_İHTİYAÇ_RAPORU_BURAK_YENI1309[[#This Row],[BIRIM_FIYATLAR]])</f>
        <v>0</v>
      </c>
      <c r="N886">
        <v>11</v>
      </c>
      <c r="O886" t="s">
        <v>226</v>
      </c>
      <c r="P886">
        <v>29.700000000000003</v>
      </c>
      <c r="Q886" t="s">
        <v>180</v>
      </c>
    </row>
    <row r="887" spans="1:17" x14ac:dyDescent="0.25">
      <c r="A887" t="s">
        <v>1064</v>
      </c>
      <c r="B887" t="s">
        <v>1055</v>
      </c>
      <c r="C887" t="s">
        <v>175</v>
      </c>
      <c r="D887" t="s">
        <v>208</v>
      </c>
      <c r="E887" t="s">
        <v>284</v>
      </c>
      <c r="F887">
        <v>81</v>
      </c>
      <c r="G887" t="s">
        <v>176</v>
      </c>
      <c r="H887">
        <v>0</v>
      </c>
      <c r="I887">
        <v>2600</v>
      </c>
      <c r="J887" s="10">
        <v>292</v>
      </c>
      <c r="K887" s="10">
        <f>SUMIFS(F:F,D:D,DST_123_ÜRETİM_İHTİYAÇ_RAPORU_BURAK_YENI1309[[#This Row],[ALT_KOD]])-(SUMIFS(H:H,D:D,DST_123_ÜRETİM_İHTİYAÇ_RAPORU_BURAK_YENI1309[[#This Row],[ALT_KOD]])+AVERAGEIFS(I:I,D:D,DST_123_ÜRETİM_İHTİYAÇ_RAPORU_BURAK_YENI1309[[#This Row],[ALT_KOD]])+AVERAGEIFS(L:L,D:D,DST_123_ÜRETİM_İHTİYAÇ_RAPORU_BURAK_YENI1309[[#This Row],[ALT_KOD]]))</f>
        <v>-2145</v>
      </c>
      <c r="L887">
        <v>0</v>
      </c>
      <c r="M887">
        <f>IF((DST_123_ÜRETİM_İHTİYAÇ_RAPORU_BURAK_YENI1309[[#This Row],[SATINALMA]]*DST_123_ÜRETİM_İHTİYAÇ_RAPORU_BURAK_YENI1309[[#This Row],[BIRIM_FIYATLAR]])&lt;1,VALUE("0"),DST_123_ÜRETİM_İHTİYAÇ_RAPORU_BURAK_YENI1309[[#This Row],[SATINALMA]]*DST_123_ÜRETİM_İHTİYAÇ_RAPORU_BURAK_YENI1309[[#This Row],[BIRIM_FIYATLAR]])</f>
        <v>0</v>
      </c>
      <c r="N887">
        <v>0.4</v>
      </c>
      <c r="O887" t="s">
        <v>240</v>
      </c>
      <c r="P887">
        <v>32.4</v>
      </c>
      <c r="Q887" t="s">
        <v>180</v>
      </c>
    </row>
    <row r="888" spans="1:17" x14ac:dyDescent="0.25">
      <c r="A888" t="s">
        <v>1099</v>
      </c>
      <c r="B888" t="s">
        <v>1055</v>
      </c>
      <c r="C888" t="s">
        <v>175</v>
      </c>
      <c r="D888" t="s">
        <v>748</v>
      </c>
      <c r="E888" t="s">
        <v>749</v>
      </c>
      <c r="F888">
        <v>4</v>
      </c>
      <c r="G888" t="s">
        <v>176</v>
      </c>
      <c r="H888">
        <v>0</v>
      </c>
      <c r="I888">
        <v>0</v>
      </c>
      <c r="J888" s="10">
        <v>250</v>
      </c>
      <c r="K888" s="10">
        <f>SUMIFS(F:F,D:D,DST_123_ÜRETİM_İHTİYAÇ_RAPORU_BURAK_YENI1309[[#This Row],[ALT_KOD]])-(SUMIFS(H:H,D:D,DST_123_ÜRETİM_İHTİYAÇ_RAPORU_BURAK_YENI1309[[#This Row],[ALT_KOD]])+AVERAGEIFS(I:I,D:D,DST_123_ÜRETİM_İHTİYAÇ_RAPORU_BURAK_YENI1309[[#This Row],[ALT_KOD]])+AVERAGEIFS(L:L,D:D,DST_123_ÜRETİM_İHTİYAÇ_RAPORU_BURAK_YENI1309[[#This Row],[ALT_KOD]]))</f>
        <v>32</v>
      </c>
      <c r="L888">
        <v>0</v>
      </c>
      <c r="M888">
        <f>IF((DST_123_ÜRETİM_İHTİYAÇ_RAPORU_BURAK_YENI1309[[#This Row],[SATINALMA]]*DST_123_ÜRETİM_İHTİYAÇ_RAPORU_BURAK_YENI1309[[#This Row],[BIRIM_FIYATLAR]])&lt;1,VALUE("0"),DST_123_ÜRETİM_İHTİYAÇ_RAPORU_BURAK_YENI1309[[#This Row],[SATINALMA]]*DST_123_ÜRETİM_İHTİYAÇ_RAPORU_BURAK_YENI1309[[#This Row],[BIRIM_FIYATLAR]])</f>
        <v>183.68</v>
      </c>
      <c r="N888">
        <v>5.74</v>
      </c>
      <c r="O888" t="s">
        <v>882</v>
      </c>
      <c r="P888">
        <v>22.96</v>
      </c>
      <c r="Q888" t="s">
        <v>180</v>
      </c>
    </row>
    <row r="889" spans="1:17" x14ac:dyDescent="0.25">
      <c r="A889" t="s">
        <v>1196</v>
      </c>
      <c r="B889" t="s">
        <v>1197</v>
      </c>
      <c r="C889" t="s">
        <v>175</v>
      </c>
      <c r="D889" t="s">
        <v>94</v>
      </c>
      <c r="E889" t="s">
        <v>95</v>
      </c>
      <c r="F889">
        <v>1</v>
      </c>
      <c r="G889" t="s">
        <v>176</v>
      </c>
      <c r="H889">
        <v>0</v>
      </c>
      <c r="I889">
        <v>11</v>
      </c>
      <c r="J889" s="10">
        <v>8</v>
      </c>
      <c r="K889" s="10">
        <f>SUMIFS(F:F,D:D,DST_123_ÜRETİM_İHTİYAÇ_RAPORU_BURAK_YENI1309[[#This Row],[ALT_KOD]])-(SUMIFS(H:H,D:D,DST_123_ÜRETİM_İHTİYAÇ_RAPORU_BURAK_YENI1309[[#This Row],[ALT_KOD]])+AVERAGEIFS(I:I,D:D,DST_123_ÜRETİM_İHTİYAÇ_RAPORU_BURAK_YENI1309[[#This Row],[ALT_KOD]])+AVERAGEIFS(L:L,D:D,DST_123_ÜRETİM_İHTİYAÇ_RAPORU_BURAK_YENI1309[[#This Row],[ALT_KOD]]))</f>
        <v>0</v>
      </c>
      <c r="L889">
        <v>0</v>
      </c>
      <c r="M889">
        <f>IF((DST_123_ÜRETİM_İHTİYAÇ_RAPORU_BURAK_YENI1309[[#This Row],[SATINALMA]]*DST_123_ÜRETİM_İHTİYAÇ_RAPORU_BURAK_YENI1309[[#This Row],[BIRIM_FIYATLAR]])&lt;1,VALUE("0"),DST_123_ÜRETİM_İHTİYAÇ_RAPORU_BURAK_YENI1309[[#This Row],[SATINALMA]]*DST_123_ÜRETİM_İHTİYAÇ_RAPORU_BURAK_YENI1309[[#This Row],[BIRIM_FIYATLAR]])</f>
        <v>0</v>
      </c>
      <c r="N889">
        <v>1145.83</v>
      </c>
      <c r="O889" t="s">
        <v>247</v>
      </c>
      <c r="P889">
        <v>1145.83</v>
      </c>
      <c r="Q889" t="s">
        <v>177</v>
      </c>
    </row>
    <row r="890" spans="1:17" x14ac:dyDescent="0.25">
      <c r="A890" t="s">
        <v>1059</v>
      </c>
      <c r="B890" t="s">
        <v>1058</v>
      </c>
      <c r="C890" t="s">
        <v>175</v>
      </c>
      <c r="D890" t="s">
        <v>208</v>
      </c>
      <c r="E890" t="s">
        <v>284</v>
      </c>
      <c r="F890">
        <v>17</v>
      </c>
      <c r="G890" t="s">
        <v>176</v>
      </c>
      <c r="H890">
        <v>0</v>
      </c>
      <c r="I890">
        <v>2600</v>
      </c>
      <c r="J890" s="10">
        <v>292</v>
      </c>
      <c r="K890" s="10">
        <f>SUMIFS(F:F,D:D,DST_123_ÜRETİM_İHTİYAÇ_RAPORU_BURAK_YENI1309[[#This Row],[ALT_KOD]])-(SUMIFS(H:H,D:D,DST_123_ÜRETİM_İHTİYAÇ_RAPORU_BURAK_YENI1309[[#This Row],[ALT_KOD]])+AVERAGEIFS(I:I,D:D,DST_123_ÜRETİM_İHTİYAÇ_RAPORU_BURAK_YENI1309[[#This Row],[ALT_KOD]])+AVERAGEIFS(L:L,D:D,DST_123_ÜRETİM_İHTİYAÇ_RAPORU_BURAK_YENI1309[[#This Row],[ALT_KOD]]))</f>
        <v>-2145</v>
      </c>
      <c r="L890">
        <v>0</v>
      </c>
      <c r="M890">
        <f>IF((DST_123_ÜRETİM_İHTİYAÇ_RAPORU_BURAK_YENI1309[[#This Row],[SATINALMA]]*DST_123_ÜRETİM_İHTİYAÇ_RAPORU_BURAK_YENI1309[[#This Row],[BIRIM_FIYATLAR]])&lt;1,VALUE("0"),DST_123_ÜRETİM_İHTİYAÇ_RAPORU_BURAK_YENI1309[[#This Row],[SATINALMA]]*DST_123_ÜRETİM_İHTİYAÇ_RAPORU_BURAK_YENI1309[[#This Row],[BIRIM_FIYATLAR]])</f>
        <v>0</v>
      </c>
      <c r="N890">
        <v>0.4</v>
      </c>
      <c r="O890" t="s">
        <v>240</v>
      </c>
      <c r="P890">
        <v>6.8000000000000007</v>
      </c>
      <c r="Q890" t="s">
        <v>180</v>
      </c>
    </row>
    <row r="891" spans="1:17" x14ac:dyDescent="0.25">
      <c r="A891" t="s">
        <v>1097</v>
      </c>
      <c r="B891" t="s">
        <v>1055</v>
      </c>
      <c r="C891" t="s">
        <v>175</v>
      </c>
      <c r="D891" t="s">
        <v>208</v>
      </c>
      <c r="E891" t="s">
        <v>284</v>
      </c>
      <c r="F891">
        <v>81</v>
      </c>
      <c r="G891" t="s">
        <v>176</v>
      </c>
      <c r="H891">
        <v>0</v>
      </c>
      <c r="I891">
        <v>2600</v>
      </c>
      <c r="J891" s="10">
        <v>292</v>
      </c>
      <c r="K891" s="10">
        <f>SUMIFS(F:F,D:D,DST_123_ÜRETİM_İHTİYAÇ_RAPORU_BURAK_YENI1309[[#This Row],[ALT_KOD]])-(SUMIFS(H:H,D:D,DST_123_ÜRETİM_İHTİYAÇ_RAPORU_BURAK_YENI1309[[#This Row],[ALT_KOD]])+AVERAGEIFS(I:I,D:D,DST_123_ÜRETİM_İHTİYAÇ_RAPORU_BURAK_YENI1309[[#This Row],[ALT_KOD]])+AVERAGEIFS(L:L,D:D,DST_123_ÜRETİM_İHTİYAÇ_RAPORU_BURAK_YENI1309[[#This Row],[ALT_KOD]]))</f>
        <v>-2145</v>
      </c>
      <c r="L891">
        <v>0</v>
      </c>
      <c r="M891">
        <f>IF((DST_123_ÜRETİM_İHTİYAÇ_RAPORU_BURAK_YENI1309[[#This Row],[SATINALMA]]*DST_123_ÜRETİM_İHTİYAÇ_RAPORU_BURAK_YENI1309[[#This Row],[BIRIM_FIYATLAR]])&lt;1,VALUE("0"),DST_123_ÜRETİM_İHTİYAÇ_RAPORU_BURAK_YENI1309[[#This Row],[SATINALMA]]*DST_123_ÜRETİM_İHTİYAÇ_RAPORU_BURAK_YENI1309[[#This Row],[BIRIM_FIYATLAR]])</f>
        <v>0</v>
      </c>
      <c r="N891">
        <v>0.4</v>
      </c>
      <c r="O891" t="s">
        <v>240</v>
      </c>
      <c r="P891">
        <v>32.4</v>
      </c>
      <c r="Q891" t="s">
        <v>180</v>
      </c>
    </row>
    <row r="892" spans="1:17" x14ac:dyDescent="0.25">
      <c r="A892" s="13" t="s">
        <v>1095</v>
      </c>
      <c r="B892" s="13" t="s">
        <v>1096</v>
      </c>
      <c r="C892" t="s">
        <v>175</v>
      </c>
      <c r="D892" s="13" t="s">
        <v>208</v>
      </c>
      <c r="E892" s="13" t="s">
        <v>284</v>
      </c>
      <c r="F892" s="13">
        <v>25</v>
      </c>
      <c r="G892" s="13" t="s">
        <v>176</v>
      </c>
      <c r="H892">
        <v>0</v>
      </c>
      <c r="I892">
        <v>2600</v>
      </c>
      <c r="J892" s="10">
        <v>292</v>
      </c>
      <c r="K892" s="10">
        <f>SUMIFS(F:F,D:D,DST_123_ÜRETİM_İHTİYAÇ_RAPORU_BURAK_YENI1309[[#This Row],[ALT_KOD]])-(SUMIFS(H:H,D:D,DST_123_ÜRETİM_İHTİYAÇ_RAPORU_BURAK_YENI1309[[#This Row],[ALT_KOD]])+AVERAGEIFS(I:I,D:D,DST_123_ÜRETİM_İHTİYAÇ_RAPORU_BURAK_YENI1309[[#This Row],[ALT_KOD]])+AVERAGEIFS(L:L,D:D,DST_123_ÜRETİM_İHTİYAÇ_RAPORU_BURAK_YENI1309[[#This Row],[ALT_KOD]]))</f>
        <v>-2145</v>
      </c>
      <c r="L892">
        <v>0</v>
      </c>
      <c r="M892">
        <f>IF((DST_123_ÜRETİM_İHTİYAÇ_RAPORU_BURAK_YENI1309[[#This Row],[SATINALMA]]*DST_123_ÜRETİM_İHTİYAÇ_RAPORU_BURAK_YENI1309[[#This Row],[BIRIM_FIYATLAR]])&lt;1,VALUE("0"),DST_123_ÜRETİM_İHTİYAÇ_RAPORU_BURAK_YENI1309[[#This Row],[SATINALMA]]*DST_123_ÜRETİM_İHTİYAÇ_RAPORU_BURAK_YENI1309[[#This Row],[BIRIM_FIYATLAR]])</f>
        <v>0</v>
      </c>
      <c r="N892">
        <v>0.4</v>
      </c>
      <c r="O892" t="s">
        <v>240</v>
      </c>
      <c r="P892">
        <v>10</v>
      </c>
      <c r="Q892" t="s">
        <v>180</v>
      </c>
    </row>
    <row r="893" spans="1:17" x14ac:dyDescent="0.25">
      <c r="A893" t="s">
        <v>1143</v>
      </c>
      <c r="B893" t="s">
        <v>1056</v>
      </c>
      <c r="C893" t="s">
        <v>175</v>
      </c>
      <c r="D893" t="s">
        <v>208</v>
      </c>
      <c r="E893" t="s">
        <v>284</v>
      </c>
      <c r="F893">
        <v>62</v>
      </c>
      <c r="G893" t="s">
        <v>176</v>
      </c>
      <c r="H893">
        <v>0</v>
      </c>
      <c r="I893">
        <v>2600</v>
      </c>
      <c r="J893" s="10">
        <v>292</v>
      </c>
      <c r="K893" s="10">
        <f>SUMIFS(F:F,D:D,DST_123_ÜRETİM_İHTİYAÇ_RAPORU_BURAK_YENI1309[[#This Row],[ALT_KOD]])-(SUMIFS(H:H,D:D,DST_123_ÜRETİM_İHTİYAÇ_RAPORU_BURAK_YENI1309[[#This Row],[ALT_KOD]])+AVERAGEIFS(I:I,D:D,DST_123_ÜRETİM_İHTİYAÇ_RAPORU_BURAK_YENI1309[[#This Row],[ALT_KOD]])+AVERAGEIFS(L:L,D:D,DST_123_ÜRETİM_İHTİYAÇ_RAPORU_BURAK_YENI1309[[#This Row],[ALT_KOD]]))</f>
        <v>-2145</v>
      </c>
      <c r="L893">
        <v>0</v>
      </c>
      <c r="M893">
        <f>IF((DST_123_ÜRETİM_İHTİYAÇ_RAPORU_BURAK_YENI1309[[#This Row],[SATINALMA]]*DST_123_ÜRETİM_İHTİYAÇ_RAPORU_BURAK_YENI1309[[#This Row],[BIRIM_FIYATLAR]])&lt;1,VALUE("0"),DST_123_ÜRETİM_İHTİYAÇ_RAPORU_BURAK_YENI1309[[#This Row],[SATINALMA]]*DST_123_ÜRETİM_İHTİYAÇ_RAPORU_BURAK_YENI1309[[#This Row],[BIRIM_FIYATLAR]])</f>
        <v>0</v>
      </c>
      <c r="N893">
        <v>0.4</v>
      </c>
      <c r="O893" t="s">
        <v>240</v>
      </c>
      <c r="P893">
        <v>24.8</v>
      </c>
      <c r="Q893" t="s">
        <v>180</v>
      </c>
    </row>
    <row r="894" spans="1:17" x14ac:dyDescent="0.25">
      <c r="A894" t="s">
        <v>1097</v>
      </c>
      <c r="B894" t="s">
        <v>1055</v>
      </c>
      <c r="C894" t="s">
        <v>175</v>
      </c>
      <c r="D894" t="s">
        <v>748</v>
      </c>
      <c r="E894" t="s">
        <v>749</v>
      </c>
      <c r="F894">
        <v>4</v>
      </c>
      <c r="G894" t="s">
        <v>176</v>
      </c>
      <c r="H894">
        <v>0</v>
      </c>
      <c r="I894">
        <v>0</v>
      </c>
      <c r="J894" s="10">
        <v>250</v>
      </c>
      <c r="K894" s="10">
        <f>SUMIFS(F:F,D:D,DST_123_ÜRETİM_İHTİYAÇ_RAPORU_BURAK_YENI1309[[#This Row],[ALT_KOD]])-(SUMIFS(H:H,D:D,DST_123_ÜRETİM_İHTİYAÇ_RAPORU_BURAK_YENI1309[[#This Row],[ALT_KOD]])+AVERAGEIFS(I:I,D:D,DST_123_ÜRETİM_İHTİYAÇ_RAPORU_BURAK_YENI1309[[#This Row],[ALT_KOD]])+AVERAGEIFS(L:L,D:D,DST_123_ÜRETİM_İHTİYAÇ_RAPORU_BURAK_YENI1309[[#This Row],[ALT_KOD]]))</f>
        <v>32</v>
      </c>
      <c r="L894">
        <v>0</v>
      </c>
      <c r="M894">
        <f>IF((DST_123_ÜRETİM_İHTİYAÇ_RAPORU_BURAK_YENI1309[[#This Row],[SATINALMA]]*DST_123_ÜRETİM_İHTİYAÇ_RAPORU_BURAK_YENI1309[[#This Row],[BIRIM_FIYATLAR]])&lt;1,VALUE("0"),DST_123_ÜRETİM_İHTİYAÇ_RAPORU_BURAK_YENI1309[[#This Row],[SATINALMA]]*DST_123_ÜRETİM_İHTİYAÇ_RAPORU_BURAK_YENI1309[[#This Row],[BIRIM_FIYATLAR]])</f>
        <v>183.68</v>
      </c>
      <c r="N894">
        <v>5.74</v>
      </c>
      <c r="O894" t="s">
        <v>882</v>
      </c>
      <c r="P894">
        <v>22.96</v>
      </c>
      <c r="Q894" t="s">
        <v>180</v>
      </c>
    </row>
    <row r="895" spans="1:17" x14ac:dyDescent="0.25">
      <c r="A895" t="s">
        <v>1149</v>
      </c>
      <c r="B895" t="s">
        <v>1145</v>
      </c>
      <c r="C895" t="s">
        <v>175</v>
      </c>
      <c r="D895" t="s">
        <v>571</v>
      </c>
      <c r="E895" t="s">
        <v>572</v>
      </c>
      <c r="F895">
        <v>2.7</v>
      </c>
      <c r="G895" t="s">
        <v>179</v>
      </c>
      <c r="H895">
        <v>0</v>
      </c>
      <c r="I895">
        <v>50</v>
      </c>
      <c r="J895" s="10">
        <v>-1.4210854715202004E-14</v>
      </c>
      <c r="K895" s="10">
        <f>SUMIFS(F:F,D:D,DST_123_ÜRETİM_İHTİYAÇ_RAPORU_BURAK_YENI1309[[#This Row],[ALT_KOD]])-(SUMIFS(H:H,D:D,DST_123_ÜRETİM_İHTİYAÇ_RAPORU_BURAK_YENI1309[[#This Row],[ALT_KOD]])+AVERAGEIFS(I:I,D:D,DST_123_ÜRETİM_İHTİYAÇ_RAPORU_BURAK_YENI1309[[#This Row],[ALT_KOD]])+AVERAGEIFS(L:L,D:D,DST_123_ÜRETİM_İHTİYAÇ_RAPORU_BURAK_YENI1309[[#This Row],[ALT_KOD]]))</f>
        <v>-15.200000000000003</v>
      </c>
      <c r="L895">
        <v>0</v>
      </c>
      <c r="M895">
        <f>IF((DST_123_ÜRETİM_İHTİYAÇ_RAPORU_BURAK_YENI1309[[#This Row],[SATINALMA]]*DST_123_ÜRETİM_İHTİYAÇ_RAPORU_BURAK_YENI1309[[#This Row],[BIRIM_FIYATLAR]])&lt;1,VALUE("0"),DST_123_ÜRETİM_İHTİYAÇ_RAPORU_BURAK_YENI1309[[#This Row],[SATINALMA]]*DST_123_ÜRETİM_İHTİYAÇ_RAPORU_BURAK_YENI1309[[#This Row],[BIRIM_FIYATLAR]])</f>
        <v>0</v>
      </c>
      <c r="N895">
        <v>11</v>
      </c>
      <c r="O895" t="s">
        <v>226</v>
      </c>
      <c r="P895">
        <v>29.700000000000003</v>
      </c>
      <c r="Q895" t="s">
        <v>180</v>
      </c>
    </row>
    <row r="896" spans="1:17" x14ac:dyDescent="0.25">
      <c r="A896" t="s">
        <v>1144</v>
      </c>
      <c r="B896" t="s">
        <v>1145</v>
      </c>
      <c r="C896" t="s">
        <v>175</v>
      </c>
      <c r="D896" t="s">
        <v>208</v>
      </c>
      <c r="E896" t="s">
        <v>284</v>
      </c>
      <c r="F896">
        <v>6</v>
      </c>
      <c r="G896" t="s">
        <v>176</v>
      </c>
      <c r="H896">
        <v>0</v>
      </c>
      <c r="I896">
        <v>2600</v>
      </c>
      <c r="J896" s="10">
        <v>292</v>
      </c>
      <c r="K896" s="10">
        <f>SUMIFS(F:F,D:D,DST_123_ÜRETİM_İHTİYAÇ_RAPORU_BURAK_YENI1309[[#This Row],[ALT_KOD]])-(SUMIFS(H:H,D:D,DST_123_ÜRETİM_İHTİYAÇ_RAPORU_BURAK_YENI1309[[#This Row],[ALT_KOD]])+AVERAGEIFS(I:I,D:D,DST_123_ÜRETİM_İHTİYAÇ_RAPORU_BURAK_YENI1309[[#This Row],[ALT_KOD]])+AVERAGEIFS(L:L,D:D,DST_123_ÜRETİM_İHTİYAÇ_RAPORU_BURAK_YENI1309[[#This Row],[ALT_KOD]]))</f>
        <v>-2145</v>
      </c>
      <c r="L896">
        <v>0</v>
      </c>
      <c r="M896">
        <f>IF((DST_123_ÜRETİM_İHTİYAÇ_RAPORU_BURAK_YENI1309[[#This Row],[SATINALMA]]*DST_123_ÜRETİM_İHTİYAÇ_RAPORU_BURAK_YENI1309[[#This Row],[BIRIM_FIYATLAR]])&lt;1,VALUE("0"),DST_123_ÜRETİM_İHTİYAÇ_RAPORU_BURAK_YENI1309[[#This Row],[SATINALMA]]*DST_123_ÜRETİM_İHTİYAÇ_RAPORU_BURAK_YENI1309[[#This Row],[BIRIM_FIYATLAR]])</f>
        <v>0</v>
      </c>
      <c r="N896">
        <v>0.4</v>
      </c>
      <c r="O896" t="s">
        <v>240</v>
      </c>
      <c r="P896">
        <v>2.4000000000000004</v>
      </c>
      <c r="Q896" t="s">
        <v>180</v>
      </c>
    </row>
    <row r="897" spans="1:17" x14ac:dyDescent="0.25">
      <c r="A897" t="s">
        <v>1146</v>
      </c>
      <c r="B897" t="s">
        <v>1145</v>
      </c>
      <c r="C897" t="s">
        <v>175</v>
      </c>
      <c r="D897" t="s">
        <v>208</v>
      </c>
      <c r="E897" t="s">
        <v>284</v>
      </c>
      <c r="F897">
        <v>6</v>
      </c>
      <c r="G897" t="s">
        <v>176</v>
      </c>
      <c r="H897">
        <v>0</v>
      </c>
      <c r="I897">
        <v>2600</v>
      </c>
      <c r="J897" s="10">
        <v>292</v>
      </c>
      <c r="K897" s="10">
        <f>SUMIFS(F:F,D:D,DST_123_ÜRETİM_İHTİYAÇ_RAPORU_BURAK_YENI1309[[#This Row],[ALT_KOD]])-(SUMIFS(H:H,D:D,DST_123_ÜRETİM_İHTİYAÇ_RAPORU_BURAK_YENI1309[[#This Row],[ALT_KOD]])+AVERAGEIFS(I:I,D:D,DST_123_ÜRETİM_İHTİYAÇ_RAPORU_BURAK_YENI1309[[#This Row],[ALT_KOD]])+AVERAGEIFS(L:L,D:D,DST_123_ÜRETİM_İHTİYAÇ_RAPORU_BURAK_YENI1309[[#This Row],[ALT_KOD]]))</f>
        <v>-2145</v>
      </c>
      <c r="L897">
        <v>0</v>
      </c>
      <c r="M897">
        <f>IF((DST_123_ÜRETİM_İHTİYAÇ_RAPORU_BURAK_YENI1309[[#This Row],[SATINALMA]]*DST_123_ÜRETİM_İHTİYAÇ_RAPORU_BURAK_YENI1309[[#This Row],[BIRIM_FIYATLAR]])&lt;1,VALUE("0"),DST_123_ÜRETİM_İHTİYAÇ_RAPORU_BURAK_YENI1309[[#This Row],[SATINALMA]]*DST_123_ÜRETİM_İHTİYAÇ_RAPORU_BURAK_YENI1309[[#This Row],[BIRIM_FIYATLAR]])</f>
        <v>0</v>
      </c>
      <c r="N897">
        <v>0.4</v>
      </c>
      <c r="O897" t="s">
        <v>240</v>
      </c>
      <c r="P897">
        <v>2.4000000000000004</v>
      </c>
      <c r="Q897" t="s">
        <v>180</v>
      </c>
    </row>
    <row r="898" spans="1:17" x14ac:dyDescent="0.25">
      <c r="A898" t="s">
        <v>1144</v>
      </c>
      <c r="B898" t="s">
        <v>1145</v>
      </c>
      <c r="C898" t="s">
        <v>175</v>
      </c>
      <c r="D898" t="s">
        <v>1047</v>
      </c>
      <c r="E898" t="s">
        <v>1048</v>
      </c>
      <c r="F898">
        <v>2</v>
      </c>
      <c r="G898" t="s">
        <v>176</v>
      </c>
      <c r="H898">
        <v>0</v>
      </c>
      <c r="I898">
        <v>233</v>
      </c>
      <c r="J898" s="10">
        <v>0</v>
      </c>
      <c r="K898" s="10">
        <f>SUMIFS(F:F,D:D,DST_123_ÜRETİM_İHTİYAÇ_RAPORU_BURAK_YENI1309[[#This Row],[ALT_KOD]])-(SUMIFS(H:H,D:D,DST_123_ÜRETİM_İHTİYAÇ_RAPORU_BURAK_YENI1309[[#This Row],[ALT_KOD]])+AVERAGEIFS(I:I,D:D,DST_123_ÜRETİM_İHTİYAÇ_RAPORU_BURAK_YENI1309[[#This Row],[ALT_KOD]])+AVERAGEIFS(L:L,D:D,DST_123_ÜRETİM_İHTİYAÇ_RAPORU_BURAK_YENI1309[[#This Row],[ALT_KOD]]))</f>
        <v>-225</v>
      </c>
      <c r="L898">
        <v>0</v>
      </c>
      <c r="M898">
        <f>IF((DST_123_ÜRETİM_İHTİYAÇ_RAPORU_BURAK_YENI1309[[#This Row],[SATINALMA]]*DST_123_ÜRETİM_İHTİYAÇ_RAPORU_BURAK_YENI1309[[#This Row],[BIRIM_FIYATLAR]])&lt;1,VALUE("0"),DST_123_ÜRETİM_İHTİYAÇ_RAPORU_BURAK_YENI1309[[#This Row],[SATINALMA]]*DST_123_ÜRETİM_İHTİYAÇ_RAPORU_BURAK_YENI1309[[#This Row],[BIRIM_FIYATLAR]])</f>
        <v>0</v>
      </c>
      <c r="N898">
        <v>7</v>
      </c>
      <c r="O898" t="s">
        <v>226</v>
      </c>
      <c r="P898">
        <v>14</v>
      </c>
      <c r="Q898" t="s">
        <v>180</v>
      </c>
    </row>
    <row r="899" spans="1:17" x14ac:dyDescent="0.25">
      <c r="A899" t="s">
        <v>1149</v>
      </c>
      <c r="B899" t="s">
        <v>1145</v>
      </c>
      <c r="C899" t="s">
        <v>175</v>
      </c>
      <c r="D899" t="s">
        <v>94</v>
      </c>
      <c r="E899" t="s">
        <v>95</v>
      </c>
      <c r="F899">
        <v>1</v>
      </c>
      <c r="G899" t="s">
        <v>176</v>
      </c>
      <c r="H899">
        <v>0</v>
      </c>
      <c r="I899">
        <v>11</v>
      </c>
      <c r="J899" s="10">
        <v>8</v>
      </c>
      <c r="K899" s="10">
        <f>SUMIFS(F:F,D:D,DST_123_ÜRETİM_İHTİYAÇ_RAPORU_BURAK_YENI1309[[#This Row],[ALT_KOD]])-(SUMIFS(H:H,D:D,DST_123_ÜRETİM_İHTİYAÇ_RAPORU_BURAK_YENI1309[[#This Row],[ALT_KOD]])+AVERAGEIFS(I:I,D:D,DST_123_ÜRETİM_İHTİYAÇ_RAPORU_BURAK_YENI1309[[#This Row],[ALT_KOD]])+AVERAGEIFS(L:L,D:D,DST_123_ÜRETİM_İHTİYAÇ_RAPORU_BURAK_YENI1309[[#This Row],[ALT_KOD]]))</f>
        <v>0</v>
      </c>
      <c r="L899">
        <v>0</v>
      </c>
      <c r="M899">
        <f>IF((DST_123_ÜRETİM_İHTİYAÇ_RAPORU_BURAK_YENI1309[[#This Row],[SATINALMA]]*DST_123_ÜRETİM_İHTİYAÇ_RAPORU_BURAK_YENI1309[[#This Row],[BIRIM_FIYATLAR]])&lt;1,VALUE("0"),DST_123_ÜRETİM_İHTİYAÇ_RAPORU_BURAK_YENI1309[[#This Row],[SATINALMA]]*DST_123_ÜRETİM_İHTİYAÇ_RAPORU_BURAK_YENI1309[[#This Row],[BIRIM_FIYATLAR]])</f>
        <v>0</v>
      </c>
      <c r="N899">
        <v>1145.83</v>
      </c>
      <c r="O899" t="s">
        <v>247</v>
      </c>
      <c r="P899">
        <v>1145.83</v>
      </c>
      <c r="Q899" t="s">
        <v>177</v>
      </c>
    </row>
    <row r="900" spans="1:17" x14ac:dyDescent="0.25">
      <c r="A900" t="s">
        <v>1146</v>
      </c>
      <c r="B900" t="s">
        <v>1145</v>
      </c>
      <c r="C900" t="s">
        <v>175</v>
      </c>
      <c r="D900" t="s">
        <v>94</v>
      </c>
      <c r="E900" t="s">
        <v>95</v>
      </c>
      <c r="F900">
        <v>1</v>
      </c>
      <c r="G900" t="s">
        <v>176</v>
      </c>
      <c r="H900">
        <v>0</v>
      </c>
      <c r="I900">
        <v>11</v>
      </c>
      <c r="J900" s="10">
        <v>8</v>
      </c>
      <c r="K900" s="10">
        <f>SUMIFS(F:F,D:D,DST_123_ÜRETİM_İHTİYAÇ_RAPORU_BURAK_YENI1309[[#This Row],[ALT_KOD]])-(SUMIFS(H:H,D:D,DST_123_ÜRETİM_İHTİYAÇ_RAPORU_BURAK_YENI1309[[#This Row],[ALT_KOD]])+AVERAGEIFS(I:I,D:D,DST_123_ÜRETİM_İHTİYAÇ_RAPORU_BURAK_YENI1309[[#This Row],[ALT_KOD]])+AVERAGEIFS(L:L,D:D,DST_123_ÜRETİM_İHTİYAÇ_RAPORU_BURAK_YENI1309[[#This Row],[ALT_KOD]]))</f>
        <v>0</v>
      </c>
      <c r="L900">
        <v>0</v>
      </c>
      <c r="M900">
        <f>IF((DST_123_ÜRETİM_İHTİYAÇ_RAPORU_BURAK_YENI1309[[#This Row],[SATINALMA]]*DST_123_ÜRETİM_İHTİYAÇ_RAPORU_BURAK_YENI1309[[#This Row],[BIRIM_FIYATLAR]])&lt;1,VALUE("0"),DST_123_ÜRETİM_İHTİYAÇ_RAPORU_BURAK_YENI1309[[#This Row],[SATINALMA]]*DST_123_ÜRETİM_İHTİYAÇ_RAPORU_BURAK_YENI1309[[#This Row],[BIRIM_FIYATLAR]])</f>
        <v>0</v>
      </c>
      <c r="N900">
        <v>1145.83</v>
      </c>
      <c r="O900" t="s">
        <v>247</v>
      </c>
      <c r="P900">
        <v>1145.83</v>
      </c>
      <c r="Q900" t="s">
        <v>177</v>
      </c>
    </row>
    <row r="901" spans="1:17" x14ac:dyDescent="0.25">
      <c r="A901" t="s">
        <v>1142</v>
      </c>
      <c r="B901" t="s">
        <v>1056</v>
      </c>
      <c r="C901" t="s">
        <v>175</v>
      </c>
      <c r="D901" t="s">
        <v>571</v>
      </c>
      <c r="E901" t="s">
        <v>572</v>
      </c>
      <c r="F901">
        <v>2.7</v>
      </c>
      <c r="G901" t="s">
        <v>179</v>
      </c>
      <c r="H901">
        <v>0</v>
      </c>
      <c r="I901">
        <v>50</v>
      </c>
      <c r="J901" s="10">
        <v>-1.4210854715202004E-14</v>
      </c>
      <c r="K901" s="10">
        <f>SUMIFS(F:F,D:D,DST_123_ÜRETİM_İHTİYAÇ_RAPORU_BURAK_YENI1309[[#This Row],[ALT_KOD]])-(SUMIFS(H:H,D:D,DST_123_ÜRETİM_İHTİYAÇ_RAPORU_BURAK_YENI1309[[#This Row],[ALT_KOD]])+AVERAGEIFS(I:I,D:D,DST_123_ÜRETİM_İHTİYAÇ_RAPORU_BURAK_YENI1309[[#This Row],[ALT_KOD]])+AVERAGEIFS(L:L,D:D,DST_123_ÜRETİM_İHTİYAÇ_RAPORU_BURAK_YENI1309[[#This Row],[ALT_KOD]]))</f>
        <v>-15.200000000000003</v>
      </c>
      <c r="L901">
        <v>0</v>
      </c>
      <c r="M901">
        <f>IF((DST_123_ÜRETİM_İHTİYAÇ_RAPORU_BURAK_YENI1309[[#This Row],[SATINALMA]]*DST_123_ÜRETİM_İHTİYAÇ_RAPORU_BURAK_YENI1309[[#This Row],[BIRIM_FIYATLAR]])&lt;1,VALUE("0"),DST_123_ÜRETİM_İHTİYAÇ_RAPORU_BURAK_YENI1309[[#This Row],[SATINALMA]]*DST_123_ÜRETİM_İHTİYAÇ_RAPORU_BURAK_YENI1309[[#This Row],[BIRIM_FIYATLAR]])</f>
        <v>0</v>
      </c>
      <c r="N901">
        <v>11</v>
      </c>
      <c r="O901" t="s">
        <v>226</v>
      </c>
      <c r="P901">
        <v>29.700000000000003</v>
      </c>
      <c r="Q901" t="s">
        <v>180</v>
      </c>
    </row>
    <row r="902" spans="1:17" x14ac:dyDescent="0.25">
      <c r="A902" t="s">
        <v>1142</v>
      </c>
      <c r="B902" t="s">
        <v>1056</v>
      </c>
      <c r="C902" t="s">
        <v>175</v>
      </c>
      <c r="D902" t="s">
        <v>208</v>
      </c>
      <c r="E902" t="s">
        <v>284</v>
      </c>
      <c r="F902">
        <v>6</v>
      </c>
      <c r="G902" t="s">
        <v>176</v>
      </c>
      <c r="H902">
        <v>0</v>
      </c>
      <c r="I902">
        <v>2600</v>
      </c>
      <c r="J902" s="10">
        <v>292</v>
      </c>
      <c r="K902" s="10">
        <f>SUMIFS(F:F,D:D,DST_123_ÜRETİM_İHTİYAÇ_RAPORU_BURAK_YENI1309[[#This Row],[ALT_KOD]])-(SUMIFS(H:H,D:D,DST_123_ÜRETİM_İHTİYAÇ_RAPORU_BURAK_YENI1309[[#This Row],[ALT_KOD]])+AVERAGEIFS(I:I,D:D,DST_123_ÜRETİM_İHTİYAÇ_RAPORU_BURAK_YENI1309[[#This Row],[ALT_KOD]])+AVERAGEIFS(L:L,D:D,DST_123_ÜRETİM_İHTİYAÇ_RAPORU_BURAK_YENI1309[[#This Row],[ALT_KOD]]))</f>
        <v>-2145</v>
      </c>
      <c r="L902">
        <v>0</v>
      </c>
      <c r="M902">
        <f>IF((DST_123_ÜRETİM_İHTİYAÇ_RAPORU_BURAK_YENI1309[[#This Row],[SATINALMA]]*DST_123_ÜRETİM_İHTİYAÇ_RAPORU_BURAK_YENI1309[[#This Row],[BIRIM_FIYATLAR]])&lt;1,VALUE("0"),DST_123_ÜRETİM_İHTİYAÇ_RAPORU_BURAK_YENI1309[[#This Row],[SATINALMA]]*DST_123_ÜRETİM_İHTİYAÇ_RAPORU_BURAK_YENI1309[[#This Row],[BIRIM_FIYATLAR]])</f>
        <v>0</v>
      </c>
      <c r="N902">
        <v>0.4</v>
      </c>
      <c r="O902" t="s">
        <v>240</v>
      </c>
      <c r="P902">
        <v>2.4000000000000004</v>
      </c>
      <c r="Q902" t="s">
        <v>180</v>
      </c>
    </row>
    <row r="903" spans="1:17" x14ac:dyDescent="0.25">
      <c r="A903" t="s">
        <v>1150</v>
      </c>
      <c r="B903" t="s">
        <v>1145</v>
      </c>
      <c r="C903" t="s">
        <v>175</v>
      </c>
      <c r="D903" t="s">
        <v>571</v>
      </c>
      <c r="E903" t="s">
        <v>572</v>
      </c>
      <c r="F903">
        <v>2.7</v>
      </c>
      <c r="G903" t="s">
        <v>179</v>
      </c>
      <c r="H903">
        <v>0</v>
      </c>
      <c r="I903">
        <v>50</v>
      </c>
      <c r="J903" s="10">
        <v>-1.4210854715202004E-14</v>
      </c>
      <c r="K903" s="10">
        <f>SUMIFS(F:F,D:D,DST_123_ÜRETİM_İHTİYAÇ_RAPORU_BURAK_YENI1309[[#This Row],[ALT_KOD]])-(SUMIFS(H:H,D:D,DST_123_ÜRETİM_İHTİYAÇ_RAPORU_BURAK_YENI1309[[#This Row],[ALT_KOD]])+AVERAGEIFS(I:I,D:D,DST_123_ÜRETİM_İHTİYAÇ_RAPORU_BURAK_YENI1309[[#This Row],[ALT_KOD]])+AVERAGEIFS(L:L,D:D,DST_123_ÜRETİM_İHTİYAÇ_RAPORU_BURAK_YENI1309[[#This Row],[ALT_KOD]]))</f>
        <v>-15.200000000000003</v>
      </c>
      <c r="L903">
        <v>0</v>
      </c>
      <c r="M903">
        <f>IF((DST_123_ÜRETİM_İHTİYAÇ_RAPORU_BURAK_YENI1309[[#This Row],[SATINALMA]]*DST_123_ÜRETİM_İHTİYAÇ_RAPORU_BURAK_YENI1309[[#This Row],[BIRIM_FIYATLAR]])&lt;1,VALUE("0"),DST_123_ÜRETİM_İHTİYAÇ_RAPORU_BURAK_YENI1309[[#This Row],[SATINALMA]]*DST_123_ÜRETİM_İHTİYAÇ_RAPORU_BURAK_YENI1309[[#This Row],[BIRIM_FIYATLAR]])</f>
        <v>0</v>
      </c>
      <c r="N903">
        <v>11</v>
      </c>
      <c r="O903" t="s">
        <v>226</v>
      </c>
      <c r="P903">
        <v>29.700000000000003</v>
      </c>
      <c r="Q903" t="s">
        <v>180</v>
      </c>
    </row>
    <row r="904" spans="1:17" x14ac:dyDescent="0.25">
      <c r="A904" t="s">
        <v>1150</v>
      </c>
      <c r="B904" t="s">
        <v>1145</v>
      </c>
      <c r="C904" t="s">
        <v>175</v>
      </c>
      <c r="D904" t="s">
        <v>208</v>
      </c>
      <c r="E904" t="s">
        <v>284</v>
      </c>
      <c r="F904">
        <v>6</v>
      </c>
      <c r="G904" t="s">
        <v>176</v>
      </c>
      <c r="H904">
        <v>0</v>
      </c>
      <c r="I904">
        <v>2600</v>
      </c>
      <c r="J904" s="10">
        <v>292</v>
      </c>
      <c r="K904" s="10">
        <f>SUMIFS(F:F,D:D,DST_123_ÜRETİM_İHTİYAÇ_RAPORU_BURAK_YENI1309[[#This Row],[ALT_KOD]])-(SUMIFS(H:H,D:D,DST_123_ÜRETİM_İHTİYAÇ_RAPORU_BURAK_YENI1309[[#This Row],[ALT_KOD]])+AVERAGEIFS(I:I,D:D,DST_123_ÜRETİM_İHTİYAÇ_RAPORU_BURAK_YENI1309[[#This Row],[ALT_KOD]])+AVERAGEIFS(L:L,D:D,DST_123_ÜRETİM_İHTİYAÇ_RAPORU_BURAK_YENI1309[[#This Row],[ALT_KOD]]))</f>
        <v>-2145</v>
      </c>
      <c r="L904">
        <v>0</v>
      </c>
      <c r="M904">
        <f>IF((DST_123_ÜRETİM_İHTİYAÇ_RAPORU_BURAK_YENI1309[[#This Row],[SATINALMA]]*DST_123_ÜRETİM_İHTİYAÇ_RAPORU_BURAK_YENI1309[[#This Row],[BIRIM_FIYATLAR]])&lt;1,VALUE("0"),DST_123_ÜRETİM_İHTİYAÇ_RAPORU_BURAK_YENI1309[[#This Row],[SATINALMA]]*DST_123_ÜRETİM_İHTİYAÇ_RAPORU_BURAK_YENI1309[[#This Row],[BIRIM_FIYATLAR]])</f>
        <v>0</v>
      </c>
      <c r="N904">
        <v>0.4</v>
      </c>
      <c r="O904" t="s">
        <v>240</v>
      </c>
      <c r="P904">
        <v>2.4000000000000004</v>
      </c>
      <c r="Q904" t="s">
        <v>180</v>
      </c>
    </row>
    <row r="905" spans="1:17" x14ac:dyDescent="0.25">
      <c r="A905" t="s">
        <v>1150</v>
      </c>
      <c r="B905" t="s">
        <v>1145</v>
      </c>
      <c r="C905" t="s">
        <v>175</v>
      </c>
      <c r="D905" t="s">
        <v>1047</v>
      </c>
      <c r="E905" t="s">
        <v>1048</v>
      </c>
      <c r="F905">
        <v>2</v>
      </c>
      <c r="G905" t="s">
        <v>176</v>
      </c>
      <c r="H905">
        <v>0</v>
      </c>
      <c r="I905">
        <v>233</v>
      </c>
      <c r="J905" s="10">
        <v>0</v>
      </c>
      <c r="K905" s="10">
        <f>SUMIFS(F:F,D:D,DST_123_ÜRETİM_İHTİYAÇ_RAPORU_BURAK_YENI1309[[#This Row],[ALT_KOD]])-(SUMIFS(H:H,D:D,DST_123_ÜRETİM_İHTİYAÇ_RAPORU_BURAK_YENI1309[[#This Row],[ALT_KOD]])+AVERAGEIFS(I:I,D:D,DST_123_ÜRETİM_İHTİYAÇ_RAPORU_BURAK_YENI1309[[#This Row],[ALT_KOD]])+AVERAGEIFS(L:L,D:D,DST_123_ÜRETİM_İHTİYAÇ_RAPORU_BURAK_YENI1309[[#This Row],[ALT_KOD]]))</f>
        <v>-225</v>
      </c>
      <c r="L905">
        <v>0</v>
      </c>
      <c r="M905">
        <f>IF((DST_123_ÜRETİM_İHTİYAÇ_RAPORU_BURAK_YENI1309[[#This Row],[SATINALMA]]*DST_123_ÜRETİM_İHTİYAÇ_RAPORU_BURAK_YENI1309[[#This Row],[BIRIM_FIYATLAR]])&lt;1,VALUE("0"),DST_123_ÜRETİM_İHTİYAÇ_RAPORU_BURAK_YENI1309[[#This Row],[SATINALMA]]*DST_123_ÜRETİM_İHTİYAÇ_RAPORU_BURAK_YENI1309[[#This Row],[BIRIM_FIYATLAR]])</f>
        <v>0</v>
      </c>
      <c r="N905">
        <v>7</v>
      </c>
      <c r="O905" t="s">
        <v>226</v>
      </c>
      <c r="P905">
        <v>14</v>
      </c>
      <c r="Q905" t="s">
        <v>180</v>
      </c>
    </row>
    <row r="906" spans="1:17" x14ac:dyDescent="0.25">
      <c r="A906" t="s">
        <v>1150</v>
      </c>
      <c r="B906" t="s">
        <v>1145</v>
      </c>
      <c r="C906" t="s">
        <v>175</v>
      </c>
      <c r="D906" t="s">
        <v>94</v>
      </c>
      <c r="E906" t="s">
        <v>95</v>
      </c>
      <c r="F906">
        <v>1</v>
      </c>
      <c r="G906" t="s">
        <v>176</v>
      </c>
      <c r="H906">
        <v>0</v>
      </c>
      <c r="I906">
        <v>11</v>
      </c>
      <c r="J906" s="10">
        <v>8</v>
      </c>
      <c r="K906" s="10">
        <f>SUMIFS(F:F,D:D,DST_123_ÜRETİM_İHTİYAÇ_RAPORU_BURAK_YENI1309[[#This Row],[ALT_KOD]])-(SUMIFS(H:H,D:D,DST_123_ÜRETİM_İHTİYAÇ_RAPORU_BURAK_YENI1309[[#This Row],[ALT_KOD]])+AVERAGEIFS(I:I,D:D,DST_123_ÜRETİM_İHTİYAÇ_RAPORU_BURAK_YENI1309[[#This Row],[ALT_KOD]])+AVERAGEIFS(L:L,D:D,DST_123_ÜRETİM_İHTİYAÇ_RAPORU_BURAK_YENI1309[[#This Row],[ALT_KOD]]))</f>
        <v>0</v>
      </c>
      <c r="L906">
        <v>0</v>
      </c>
      <c r="M906">
        <f>IF((DST_123_ÜRETİM_İHTİYAÇ_RAPORU_BURAK_YENI1309[[#This Row],[SATINALMA]]*DST_123_ÜRETİM_İHTİYAÇ_RAPORU_BURAK_YENI1309[[#This Row],[BIRIM_FIYATLAR]])&lt;1,VALUE("0"),DST_123_ÜRETİM_İHTİYAÇ_RAPORU_BURAK_YENI1309[[#This Row],[SATINALMA]]*DST_123_ÜRETİM_İHTİYAÇ_RAPORU_BURAK_YENI1309[[#This Row],[BIRIM_FIYATLAR]])</f>
        <v>0</v>
      </c>
      <c r="N906">
        <v>1145.83</v>
      </c>
      <c r="O906" t="s">
        <v>247</v>
      </c>
      <c r="P906">
        <v>1145.83</v>
      </c>
      <c r="Q906" t="s">
        <v>177</v>
      </c>
    </row>
    <row r="907" spans="1:17" x14ac:dyDescent="0.25">
      <c r="A907" s="13" t="s">
        <v>1060</v>
      </c>
      <c r="B907" s="13" t="s">
        <v>1061</v>
      </c>
      <c r="C907" t="s">
        <v>175</v>
      </c>
      <c r="D907" s="13" t="s">
        <v>571</v>
      </c>
      <c r="E907" s="13" t="s">
        <v>572</v>
      </c>
      <c r="F907" s="13">
        <v>2.7</v>
      </c>
      <c r="G907" s="13" t="s">
        <v>179</v>
      </c>
      <c r="H907">
        <v>0</v>
      </c>
      <c r="I907">
        <v>50</v>
      </c>
      <c r="J907" s="10">
        <v>-1.4210854715202004E-14</v>
      </c>
      <c r="K907" s="10">
        <f>SUMIFS(F:F,D:D,DST_123_ÜRETİM_İHTİYAÇ_RAPORU_BURAK_YENI1309[[#This Row],[ALT_KOD]])-(SUMIFS(H:H,D:D,DST_123_ÜRETİM_İHTİYAÇ_RAPORU_BURAK_YENI1309[[#This Row],[ALT_KOD]])+AVERAGEIFS(I:I,D:D,DST_123_ÜRETİM_İHTİYAÇ_RAPORU_BURAK_YENI1309[[#This Row],[ALT_KOD]])+AVERAGEIFS(L:L,D:D,DST_123_ÜRETİM_İHTİYAÇ_RAPORU_BURAK_YENI1309[[#This Row],[ALT_KOD]]))</f>
        <v>-15.200000000000003</v>
      </c>
      <c r="L907">
        <v>0</v>
      </c>
      <c r="M907">
        <f>IF((DST_123_ÜRETİM_İHTİYAÇ_RAPORU_BURAK_YENI1309[[#This Row],[SATINALMA]]*DST_123_ÜRETİM_İHTİYAÇ_RAPORU_BURAK_YENI1309[[#This Row],[BIRIM_FIYATLAR]])&lt;1,VALUE("0"),DST_123_ÜRETİM_İHTİYAÇ_RAPORU_BURAK_YENI1309[[#This Row],[SATINALMA]]*DST_123_ÜRETİM_İHTİYAÇ_RAPORU_BURAK_YENI1309[[#This Row],[BIRIM_FIYATLAR]])</f>
        <v>0</v>
      </c>
      <c r="N907">
        <v>11</v>
      </c>
      <c r="O907" t="s">
        <v>226</v>
      </c>
      <c r="P907">
        <v>29.700000000000003</v>
      </c>
      <c r="Q907" t="s">
        <v>180</v>
      </c>
    </row>
    <row r="908" spans="1:17" x14ac:dyDescent="0.25">
      <c r="A908" t="s">
        <v>1149</v>
      </c>
      <c r="B908" t="s">
        <v>1145</v>
      </c>
      <c r="C908" t="s">
        <v>175</v>
      </c>
      <c r="D908" t="s">
        <v>468</v>
      </c>
      <c r="E908" t="s">
        <v>579</v>
      </c>
      <c r="F908">
        <v>1.5</v>
      </c>
      <c r="G908" t="s">
        <v>185</v>
      </c>
      <c r="H908">
        <v>0</v>
      </c>
      <c r="I908">
        <v>30</v>
      </c>
      <c r="J908" s="10">
        <v>21.5</v>
      </c>
      <c r="K908" s="10">
        <f>SUMIFS(F:F,D:D,DST_123_ÜRETİM_İHTİYAÇ_RAPORU_BURAK_YENI1309[[#This Row],[ALT_KOD]])-(SUMIFS(H:H,D:D,DST_123_ÜRETİM_İHTİYAÇ_RAPORU_BURAK_YENI1309[[#This Row],[ALT_KOD]])+AVERAGEIFS(I:I,D:D,DST_123_ÜRETİM_İHTİYAÇ_RAPORU_BURAK_YENI1309[[#This Row],[ALT_KOD]])+AVERAGEIFS(L:L,D:D,DST_123_ÜRETİM_İHTİYAÇ_RAPORU_BURAK_YENI1309[[#This Row],[ALT_KOD]]))</f>
        <v>4</v>
      </c>
      <c r="L908">
        <v>0</v>
      </c>
      <c r="M908">
        <f>IF((DST_123_ÜRETİM_İHTİYAÇ_RAPORU_BURAK_YENI1309[[#This Row],[SATINALMA]]*DST_123_ÜRETİM_İHTİYAÇ_RAPORU_BURAK_YENI1309[[#This Row],[BIRIM_FIYATLAR]])&lt;1,VALUE("0"),DST_123_ÜRETİM_İHTİYAÇ_RAPORU_BURAK_YENI1309[[#This Row],[SATINALMA]]*DST_123_ÜRETİM_İHTİYAÇ_RAPORU_BURAK_YENI1309[[#This Row],[BIRIM_FIYATLAR]])</f>
        <v>472.56</v>
      </c>
      <c r="N908">
        <v>118.14</v>
      </c>
      <c r="O908" t="s">
        <v>393</v>
      </c>
      <c r="P908">
        <v>177.21</v>
      </c>
      <c r="Q908" t="s">
        <v>183</v>
      </c>
    </row>
    <row r="909" spans="1:17" x14ac:dyDescent="0.25">
      <c r="A909" t="s">
        <v>1146</v>
      </c>
      <c r="B909" t="s">
        <v>1145</v>
      </c>
      <c r="C909" t="s">
        <v>175</v>
      </c>
      <c r="D909" t="s">
        <v>285</v>
      </c>
      <c r="E909" t="s">
        <v>286</v>
      </c>
      <c r="F909">
        <v>0.35</v>
      </c>
      <c r="G909" t="s">
        <v>185</v>
      </c>
      <c r="H909">
        <v>0</v>
      </c>
      <c r="I909">
        <v>0</v>
      </c>
      <c r="J909" s="10">
        <v>24.129999999999985</v>
      </c>
      <c r="K909" s="10">
        <f>SUMIFS(F:F,D:D,DST_123_ÜRETİM_İHTİYAÇ_RAPORU_BURAK_YENI1309[[#This Row],[ALT_KOD]])-(SUMIFS(H:H,D:D,DST_123_ÜRETİM_İHTİYAÇ_RAPORU_BURAK_YENI1309[[#This Row],[ALT_KOD]])+AVERAGEIFS(I:I,D:D,DST_123_ÜRETİM_İHTİYAÇ_RAPORU_BURAK_YENI1309[[#This Row],[ALT_KOD]])+AVERAGEIFS(L:L,D:D,DST_123_ÜRETİM_İHTİYAÇ_RAPORU_BURAK_YENI1309[[#This Row],[ALT_KOD]]))</f>
        <v>4.1899999999999995</v>
      </c>
      <c r="L909">
        <v>0</v>
      </c>
      <c r="M909">
        <f>IF((DST_123_ÜRETİM_İHTİYAÇ_RAPORU_BURAK_YENI1309[[#This Row],[SATINALMA]]*DST_123_ÜRETİM_İHTİYAÇ_RAPORU_BURAK_YENI1309[[#This Row],[BIRIM_FIYATLAR]])&lt;1,VALUE("0"),DST_123_ÜRETİM_İHTİYAÇ_RAPORU_BURAK_YENI1309[[#This Row],[SATINALMA]]*DST_123_ÜRETİM_İHTİYAÇ_RAPORU_BURAK_YENI1309[[#This Row],[BIRIM_FIYATLAR]])</f>
        <v>1667.7456999999997</v>
      </c>
      <c r="N909">
        <v>398.03</v>
      </c>
      <c r="O909" t="s">
        <v>490</v>
      </c>
      <c r="P909">
        <v>139.31049999999999</v>
      </c>
      <c r="Q909" t="s">
        <v>183</v>
      </c>
    </row>
    <row r="910" spans="1:17" x14ac:dyDescent="0.25">
      <c r="A910" t="s">
        <v>1144</v>
      </c>
      <c r="B910" t="s">
        <v>1145</v>
      </c>
      <c r="C910" t="s">
        <v>175</v>
      </c>
      <c r="D910" t="s">
        <v>285</v>
      </c>
      <c r="E910" t="s">
        <v>286</v>
      </c>
      <c r="F910">
        <v>0.35</v>
      </c>
      <c r="G910" t="s">
        <v>185</v>
      </c>
      <c r="H910">
        <v>0</v>
      </c>
      <c r="I910">
        <v>0</v>
      </c>
      <c r="J910" s="10">
        <v>24.129999999999985</v>
      </c>
      <c r="K910" s="10">
        <f>SUMIFS(F:F,D:D,DST_123_ÜRETİM_İHTİYAÇ_RAPORU_BURAK_YENI1309[[#This Row],[ALT_KOD]])-(SUMIFS(H:H,D:D,DST_123_ÜRETİM_İHTİYAÇ_RAPORU_BURAK_YENI1309[[#This Row],[ALT_KOD]])+AVERAGEIFS(I:I,D:D,DST_123_ÜRETİM_İHTİYAÇ_RAPORU_BURAK_YENI1309[[#This Row],[ALT_KOD]])+AVERAGEIFS(L:L,D:D,DST_123_ÜRETİM_İHTİYAÇ_RAPORU_BURAK_YENI1309[[#This Row],[ALT_KOD]]))</f>
        <v>4.1899999999999995</v>
      </c>
      <c r="L910">
        <v>0</v>
      </c>
      <c r="M910">
        <f>IF((DST_123_ÜRETİM_İHTİYAÇ_RAPORU_BURAK_YENI1309[[#This Row],[SATINALMA]]*DST_123_ÜRETİM_İHTİYAÇ_RAPORU_BURAK_YENI1309[[#This Row],[BIRIM_FIYATLAR]])&lt;1,VALUE("0"),DST_123_ÜRETİM_İHTİYAÇ_RAPORU_BURAK_YENI1309[[#This Row],[SATINALMA]]*DST_123_ÜRETİM_İHTİYAÇ_RAPORU_BURAK_YENI1309[[#This Row],[BIRIM_FIYATLAR]])</f>
        <v>1667.7456999999997</v>
      </c>
      <c r="N910">
        <v>398.03</v>
      </c>
      <c r="O910" t="s">
        <v>490</v>
      </c>
      <c r="P910">
        <v>139.31049999999999</v>
      </c>
      <c r="Q910" t="s">
        <v>183</v>
      </c>
    </row>
    <row r="911" spans="1:17" x14ac:dyDescent="0.25">
      <c r="A911" t="s">
        <v>1150</v>
      </c>
      <c r="B911" t="s">
        <v>1145</v>
      </c>
      <c r="C911" t="s">
        <v>175</v>
      </c>
      <c r="D911" t="s">
        <v>68</v>
      </c>
      <c r="E911" t="s">
        <v>69</v>
      </c>
      <c r="F911">
        <v>8.5400000000000009</v>
      </c>
      <c r="G911" t="s">
        <v>185</v>
      </c>
      <c r="H911">
        <v>0</v>
      </c>
      <c r="I911">
        <v>134.9</v>
      </c>
      <c r="J911" s="10">
        <v>46.099999999999767</v>
      </c>
      <c r="K911" s="10">
        <f>SUMIFS(F:F,D:D,DST_123_ÜRETİM_İHTİYAÇ_RAPORU_BURAK_YENI1309[[#This Row],[ALT_KOD]])-(SUMIFS(H:H,D:D,DST_123_ÜRETİM_İHTİYAÇ_RAPORU_BURAK_YENI1309[[#This Row],[ALT_KOD]])+AVERAGEIFS(I:I,D:D,DST_123_ÜRETİM_İHTİYAÇ_RAPORU_BURAK_YENI1309[[#This Row],[ALT_KOD]])+AVERAGEIFS(L:L,D:D,DST_123_ÜRETİM_İHTİYAÇ_RAPORU_BURAK_YENI1309[[#This Row],[ALT_KOD]]))</f>
        <v>43.169999999999959</v>
      </c>
      <c r="L911">
        <v>0</v>
      </c>
      <c r="M911">
        <f>IF((DST_123_ÜRETİM_İHTİYAÇ_RAPORU_BURAK_YENI1309[[#This Row],[SATINALMA]]*DST_123_ÜRETİM_İHTİYAÇ_RAPORU_BURAK_YENI1309[[#This Row],[BIRIM_FIYATLAR]])&lt;1,VALUE("0"),DST_123_ÜRETİM_İHTİYAÇ_RAPORU_BURAK_YENI1309[[#This Row],[SATINALMA]]*DST_123_ÜRETİM_İHTİYAÇ_RAPORU_BURAK_YENI1309[[#This Row],[BIRIM_FIYATLAR]])</f>
        <v>4160.2928999999958</v>
      </c>
      <c r="N911">
        <v>96.37</v>
      </c>
      <c r="O911" t="s">
        <v>490</v>
      </c>
      <c r="P911">
        <v>822.99980000000016</v>
      </c>
      <c r="Q911" t="s">
        <v>183</v>
      </c>
    </row>
    <row r="912" spans="1:17" x14ac:dyDescent="0.25">
      <c r="A912" t="s">
        <v>1150</v>
      </c>
      <c r="B912" t="s">
        <v>1145</v>
      </c>
      <c r="C912" t="s">
        <v>175</v>
      </c>
      <c r="D912" t="s">
        <v>896</v>
      </c>
      <c r="E912" t="s">
        <v>897</v>
      </c>
      <c r="F912">
        <v>0.2</v>
      </c>
      <c r="G912" t="s">
        <v>185</v>
      </c>
      <c r="H912">
        <v>0</v>
      </c>
      <c r="I912">
        <v>0</v>
      </c>
      <c r="J912" s="10">
        <v>0</v>
      </c>
      <c r="K912" s="10">
        <f>SUMIFS(F:F,D:D,DST_123_ÜRETİM_İHTİYAÇ_RAPORU_BURAK_YENI1309[[#This Row],[ALT_KOD]])-(SUMIFS(H:H,D:D,DST_123_ÜRETİM_İHTİYAÇ_RAPORU_BURAK_YENI1309[[#This Row],[ALT_KOD]])+AVERAGEIFS(I:I,D:D,DST_123_ÜRETİM_İHTİYAÇ_RAPORU_BURAK_YENI1309[[#This Row],[ALT_KOD]])+AVERAGEIFS(L:L,D:D,DST_123_ÜRETİM_İHTİYAÇ_RAPORU_BURAK_YENI1309[[#This Row],[ALT_KOD]]))</f>
        <v>0.8</v>
      </c>
      <c r="L912">
        <v>0</v>
      </c>
      <c r="M912">
        <f>IF((DST_123_ÜRETİM_İHTİYAÇ_RAPORU_BURAK_YENI1309[[#This Row],[SATINALMA]]*DST_123_ÜRETİM_İHTİYAÇ_RAPORU_BURAK_YENI1309[[#This Row],[BIRIM_FIYATLAR]])&lt;1,VALUE("0"),DST_123_ÜRETİM_İHTİYAÇ_RAPORU_BURAK_YENI1309[[#This Row],[SATINALMA]]*DST_123_ÜRETİM_İHTİYAÇ_RAPORU_BURAK_YENI1309[[#This Row],[BIRIM_FIYATLAR]])</f>
        <v>400</v>
      </c>
      <c r="N912">
        <v>500</v>
      </c>
      <c r="O912" t="s">
        <v>898</v>
      </c>
      <c r="P912">
        <v>100</v>
      </c>
      <c r="Q912" t="s">
        <v>183</v>
      </c>
    </row>
    <row r="913" spans="1:17" x14ac:dyDescent="0.25">
      <c r="A913" t="s">
        <v>1057</v>
      </c>
      <c r="B913" t="s">
        <v>1058</v>
      </c>
      <c r="C913" t="s">
        <v>175</v>
      </c>
      <c r="D913" t="s">
        <v>67</v>
      </c>
      <c r="E913" t="s">
        <v>585</v>
      </c>
      <c r="F913">
        <v>0.5</v>
      </c>
      <c r="G913" t="s">
        <v>176</v>
      </c>
      <c r="H913">
        <v>0</v>
      </c>
      <c r="I913">
        <v>13.5</v>
      </c>
      <c r="J913" s="10">
        <v>8.5</v>
      </c>
      <c r="K913" s="10">
        <f>SUMIFS(F:F,D:D,DST_123_ÜRETİM_İHTİYAÇ_RAPORU_BURAK_YENI1309[[#This Row],[ALT_KOD]])-(SUMIFS(H:H,D:D,DST_123_ÜRETİM_İHTİYAÇ_RAPORU_BURAK_YENI1309[[#This Row],[ALT_KOD]])+AVERAGEIFS(I:I,D:D,DST_123_ÜRETİM_İHTİYAÇ_RAPORU_BURAK_YENI1309[[#This Row],[ALT_KOD]])+AVERAGEIFS(L:L,D:D,DST_123_ÜRETİM_İHTİYAÇ_RAPORU_BURAK_YENI1309[[#This Row],[ALT_KOD]]))</f>
        <v>-5.3500000000000014</v>
      </c>
      <c r="L913">
        <v>0</v>
      </c>
      <c r="M913">
        <f>IF((DST_123_ÜRETİM_İHTİYAÇ_RAPORU_BURAK_YENI1309[[#This Row],[SATINALMA]]*DST_123_ÜRETİM_İHTİYAÇ_RAPORU_BURAK_YENI1309[[#This Row],[BIRIM_FIYATLAR]])&lt;1,VALUE("0"),DST_123_ÜRETİM_İHTİYAÇ_RAPORU_BURAK_YENI1309[[#This Row],[SATINALMA]]*DST_123_ÜRETİM_İHTİYAÇ_RAPORU_BURAK_YENI1309[[#This Row],[BIRIM_FIYATLAR]])</f>
        <v>0</v>
      </c>
      <c r="N913">
        <v>1600</v>
      </c>
      <c r="O913" t="s">
        <v>1053</v>
      </c>
      <c r="P913">
        <v>800</v>
      </c>
      <c r="Q913" t="s">
        <v>177</v>
      </c>
    </row>
    <row r="914" spans="1:17" x14ac:dyDescent="0.25">
      <c r="A914" t="s">
        <v>1100</v>
      </c>
      <c r="B914" t="s">
        <v>1058</v>
      </c>
      <c r="C914" t="s">
        <v>175</v>
      </c>
      <c r="D914" t="s">
        <v>67</v>
      </c>
      <c r="E914" t="s">
        <v>585</v>
      </c>
      <c r="F914">
        <v>0.5</v>
      </c>
      <c r="G914" t="s">
        <v>176</v>
      </c>
      <c r="H914">
        <v>0</v>
      </c>
      <c r="I914">
        <v>13.5</v>
      </c>
      <c r="J914" s="10">
        <v>8.5</v>
      </c>
      <c r="K914" s="10">
        <f>SUMIFS(F:F,D:D,DST_123_ÜRETİM_İHTİYAÇ_RAPORU_BURAK_YENI1309[[#This Row],[ALT_KOD]])-(SUMIFS(H:H,D:D,DST_123_ÜRETİM_İHTİYAÇ_RAPORU_BURAK_YENI1309[[#This Row],[ALT_KOD]])+AVERAGEIFS(I:I,D:D,DST_123_ÜRETİM_İHTİYAÇ_RAPORU_BURAK_YENI1309[[#This Row],[ALT_KOD]])+AVERAGEIFS(L:L,D:D,DST_123_ÜRETİM_İHTİYAÇ_RAPORU_BURAK_YENI1309[[#This Row],[ALT_KOD]]))</f>
        <v>-5.3500000000000014</v>
      </c>
      <c r="L914">
        <v>0</v>
      </c>
      <c r="M914">
        <f>IF((DST_123_ÜRETİM_İHTİYAÇ_RAPORU_BURAK_YENI1309[[#This Row],[SATINALMA]]*DST_123_ÜRETİM_İHTİYAÇ_RAPORU_BURAK_YENI1309[[#This Row],[BIRIM_FIYATLAR]])&lt;1,VALUE("0"),DST_123_ÜRETİM_İHTİYAÇ_RAPORU_BURAK_YENI1309[[#This Row],[SATINALMA]]*DST_123_ÜRETİM_İHTİYAÇ_RAPORU_BURAK_YENI1309[[#This Row],[BIRIM_FIYATLAR]])</f>
        <v>0</v>
      </c>
      <c r="N914">
        <v>1600</v>
      </c>
      <c r="O914" t="s">
        <v>1053</v>
      </c>
      <c r="P914">
        <v>800</v>
      </c>
      <c r="Q914" t="s">
        <v>177</v>
      </c>
    </row>
    <row r="915" spans="1:17" x14ac:dyDescent="0.25">
      <c r="A915" t="s">
        <v>1148</v>
      </c>
      <c r="B915" t="s">
        <v>1056</v>
      </c>
      <c r="C915" t="s">
        <v>175</v>
      </c>
      <c r="D915" t="s">
        <v>67</v>
      </c>
      <c r="E915" t="s">
        <v>585</v>
      </c>
      <c r="F915">
        <v>0.05</v>
      </c>
      <c r="G915" t="s">
        <v>176</v>
      </c>
      <c r="H915">
        <v>0</v>
      </c>
      <c r="I915">
        <v>13.5</v>
      </c>
      <c r="J915" s="10">
        <v>8.5</v>
      </c>
      <c r="K915" s="10">
        <f>SUMIFS(F:F,D:D,DST_123_ÜRETİM_İHTİYAÇ_RAPORU_BURAK_YENI1309[[#This Row],[ALT_KOD]])-(SUMIFS(H:H,D:D,DST_123_ÜRETİM_İHTİYAÇ_RAPORU_BURAK_YENI1309[[#This Row],[ALT_KOD]])+AVERAGEIFS(I:I,D:D,DST_123_ÜRETİM_İHTİYAÇ_RAPORU_BURAK_YENI1309[[#This Row],[ALT_KOD]])+AVERAGEIFS(L:L,D:D,DST_123_ÜRETİM_İHTİYAÇ_RAPORU_BURAK_YENI1309[[#This Row],[ALT_KOD]]))</f>
        <v>-5.3500000000000014</v>
      </c>
      <c r="L915">
        <v>0</v>
      </c>
      <c r="M915">
        <f>IF((DST_123_ÜRETİM_İHTİYAÇ_RAPORU_BURAK_YENI1309[[#This Row],[SATINALMA]]*DST_123_ÜRETİM_İHTİYAÇ_RAPORU_BURAK_YENI1309[[#This Row],[BIRIM_FIYATLAR]])&lt;1,VALUE("0"),DST_123_ÜRETİM_İHTİYAÇ_RAPORU_BURAK_YENI1309[[#This Row],[SATINALMA]]*DST_123_ÜRETİM_İHTİYAÇ_RAPORU_BURAK_YENI1309[[#This Row],[BIRIM_FIYATLAR]])</f>
        <v>0</v>
      </c>
      <c r="N915">
        <v>1600</v>
      </c>
      <c r="O915" t="s">
        <v>1053</v>
      </c>
      <c r="P915">
        <v>80</v>
      </c>
      <c r="Q915" t="s">
        <v>177</v>
      </c>
    </row>
    <row r="916" spans="1:17" x14ac:dyDescent="0.25">
      <c r="A916" t="s">
        <v>1057</v>
      </c>
      <c r="B916" t="s">
        <v>1058</v>
      </c>
      <c r="C916" t="s">
        <v>175</v>
      </c>
      <c r="D916" t="s">
        <v>68</v>
      </c>
      <c r="E916" t="s">
        <v>69</v>
      </c>
      <c r="F916">
        <v>6.5400000000000009</v>
      </c>
      <c r="G916" t="s">
        <v>185</v>
      </c>
      <c r="H916">
        <v>0</v>
      </c>
      <c r="I916">
        <v>134.9</v>
      </c>
      <c r="J916" s="10">
        <v>46.099999999999767</v>
      </c>
      <c r="K916" s="10">
        <f>SUMIFS(F:F,D:D,DST_123_ÜRETİM_İHTİYAÇ_RAPORU_BURAK_YENI1309[[#This Row],[ALT_KOD]])-(SUMIFS(H:H,D:D,DST_123_ÜRETİM_İHTİYAÇ_RAPORU_BURAK_YENI1309[[#This Row],[ALT_KOD]])+AVERAGEIFS(I:I,D:D,DST_123_ÜRETİM_İHTİYAÇ_RAPORU_BURAK_YENI1309[[#This Row],[ALT_KOD]])+AVERAGEIFS(L:L,D:D,DST_123_ÜRETİM_İHTİYAÇ_RAPORU_BURAK_YENI1309[[#This Row],[ALT_KOD]]))</f>
        <v>43.169999999999959</v>
      </c>
      <c r="L916">
        <v>0</v>
      </c>
      <c r="M916">
        <f>IF((DST_123_ÜRETİM_İHTİYAÇ_RAPORU_BURAK_YENI1309[[#This Row],[SATINALMA]]*DST_123_ÜRETİM_İHTİYAÇ_RAPORU_BURAK_YENI1309[[#This Row],[BIRIM_FIYATLAR]])&lt;1,VALUE("0"),DST_123_ÜRETİM_İHTİYAÇ_RAPORU_BURAK_YENI1309[[#This Row],[SATINALMA]]*DST_123_ÜRETİM_İHTİYAÇ_RAPORU_BURAK_YENI1309[[#This Row],[BIRIM_FIYATLAR]])</f>
        <v>4160.2928999999958</v>
      </c>
      <c r="N916">
        <v>96.37</v>
      </c>
      <c r="O916" t="s">
        <v>490</v>
      </c>
      <c r="P916">
        <v>630.25980000000015</v>
      </c>
      <c r="Q916" t="s">
        <v>183</v>
      </c>
    </row>
    <row r="917" spans="1:17" x14ac:dyDescent="0.25">
      <c r="A917" t="s">
        <v>1147</v>
      </c>
      <c r="B917" t="s">
        <v>1145</v>
      </c>
      <c r="C917" t="s">
        <v>175</v>
      </c>
      <c r="D917" t="s">
        <v>72</v>
      </c>
      <c r="E917" t="s">
        <v>73</v>
      </c>
      <c r="F917">
        <v>1</v>
      </c>
      <c r="G917" t="s">
        <v>176</v>
      </c>
      <c r="H917">
        <v>0</v>
      </c>
      <c r="I917">
        <v>2</v>
      </c>
      <c r="J917" s="10">
        <v>8</v>
      </c>
      <c r="K917" s="10">
        <f>SUMIFS(F:F,D:D,DST_123_ÜRETİM_İHTİYAÇ_RAPORU_BURAK_YENI1309[[#This Row],[ALT_KOD]])-(SUMIFS(H:H,D:D,DST_123_ÜRETİM_İHTİYAÇ_RAPORU_BURAK_YENI1309[[#This Row],[ALT_KOD]])+AVERAGEIFS(I:I,D:D,DST_123_ÜRETİM_İHTİYAÇ_RAPORU_BURAK_YENI1309[[#This Row],[ALT_KOD]])+AVERAGEIFS(L:L,D:D,DST_123_ÜRETİM_İHTİYAÇ_RAPORU_BURAK_YENI1309[[#This Row],[ALT_KOD]]))</f>
        <v>8</v>
      </c>
      <c r="L917">
        <v>0</v>
      </c>
      <c r="M917">
        <f>IF((DST_123_ÜRETİM_İHTİYAÇ_RAPORU_BURAK_YENI1309[[#This Row],[SATINALMA]]*DST_123_ÜRETİM_İHTİYAÇ_RAPORU_BURAK_YENI1309[[#This Row],[BIRIM_FIYATLAR]])&lt;1,VALUE("0"),DST_123_ÜRETİM_İHTİYAÇ_RAPORU_BURAK_YENI1309[[#This Row],[SATINALMA]]*DST_123_ÜRETİM_İHTİYAÇ_RAPORU_BURAK_YENI1309[[#This Row],[BIRIM_FIYATLAR]])</f>
        <v>70583.44</v>
      </c>
      <c r="N917">
        <v>8822.93</v>
      </c>
      <c r="O917" t="s">
        <v>634</v>
      </c>
      <c r="P917">
        <v>8822.93</v>
      </c>
      <c r="Q917" t="s">
        <v>178</v>
      </c>
    </row>
    <row r="918" spans="1:17" x14ac:dyDescent="0.25">
      <c r="A918" t="s">
        <v>1148</v>
      </c>
      <c r="B918" t="s">
        <v>1056</v>
      </c>
      <c r="C918" t="s">
        <v>175</v>
      </c>
      <c r="D918" t="s">
        <v>72</v>
      </c>
      <c r="E918" t="s">
        <v>73</v>
      </c>
      <c r="F918">
        <v>1</v>
      </c>
      <c r="G918" t="s">
        <v>176</v>
      </c>
      <c r="H918">
        <v>0</v>
      </c>
      <c r="I918">
        <v>2</v>
      </c>
      <c r="J918" s="10">
        <v>8</v>
      </c>
      <c r="K918" s="10">
        <f>SUMIFS(F:F,D:D,DST_123_ÜRETİM_İHTİYAÇ_RAPORU_BURAK_YENI1309[[#This Row],[ALT_KOD]])-(SUMIFS(H:H,D:D,DST_123_ÜRETİM_İHTİYAÇ_RAPORU_BURAK_YENI1309[[#This Row],[ALT_KOD]])+AVERAGEIFS(I:I,D:D,DST_123_ÜRETİM_İHTİYAÇ_RAPORU_BURAK_YENI1309[[#This Row],[ALT_KOD]])+AVERAGEIFS(L:L,D:D,DST_123_ÜRETİM_İHTİYAÇ_RAPORU_BURAK_YENI1309[[#This Row],[ALT_KOD]]))</f>
        <v>8</v>
      </c>
      <c r="L918">
        <v>0</v>
      </c>
      <c r="M918">
        <f>IF((DST_123_ÜRETİM_İHTİYAÇ_RAPORU_BURAK_YENI1309[[#This Row],[SATINALMA]]*DST_123_ÜRETİM_İHTİYAÇ_RAPORU_BURAK_YENI1309[[#This Row],[BIRIM_FIYATLAR]])&lt;1,VALUE("0"),DST_123_ÜRETİM_İHTİYAÇ_RAPORU_BURAK_YENI1309[[#This Row],[SATINALMA]]*DST_123_ÜRETİM_İHTİYAÇ_RAPORU_BURAK_YENI1309[[#This Row],[BIRIM_FIYATLAR]])</f>
        <v>70583.44</v>
      </c>
      <c r="N918">
        <v>8822.93</v>
      </c>
      <c r="O918" t="s">
        <v>634</v>
      </c>
      <c r="P918">
        <v>8822.93</v>
      </c>
      <c r="Q918" t="s">
        <v>178</v>
      </c>
    </row>
    <row r="919" spans="1:17" x14ac:dyDescent="0.25">
      <c r="A919" t="s">
        <v>1147</v>
      </c>
      <c r="B919" t="s">
        <v>1145</v>
      </c>
      <c r="C919" t="s">
        <v>175</v>
      </c>
      <c r="D919" t="s">
        <v>380</v>
      </c>
      <c r="E919" t="s">
        <v>381</v>
      </c>
      <c r="F919">
        <v>1.1000000000000001</v>
      </c>
      <c r="G919" t="s">
        <v>179</v>
      </c>
      <c r="H919">
        <v>0</v>
      </c>
      <c r="I919">
        <v>0</v>
      </c>
      <c r="J919" s="10">
        <v>20.30000000000009</v>
      </c>
      <c r="K919" s="10">
        <f>SUMIFS(F:F,D:D,DST_123_ÜRETİM_İHTİYAÇ_RAPORU_BURAK_YENI1309[[#This Row],[ALT_KOD]])-(SUMIFS(H:H,D:D,DST_123_ÜRETİM_İHTİYAÇ_RAPORU_BURAK_YENI1309[[#This Row],[ALT_KOD]])+AVERAGEIFS(I:I,D:D,DST_123_ÜRETİM_İHTİYAÇ_RAPORU_BURAK_YENI1309[[#This Row],[ALT_KOD]])+AVERAGEIFS(L:L,D:D,DST_123_ÜRETİM_İHTİYAÇ_RAPORU_BURAK_YENI1309[[#This Row],[ALT_KOD]]))</f>
        <v>21.1</v>
      </c>
      <c r="L919">
        <v>0</v>
      </c>
      <c r="M919">
        <f>IF((DST_123_ÜRETİM_İHTİYAÇ_RAPORU_BURAK_YENI1309[[#This Row],[SATINALMA]]*DST_123_ÜRETİM_İHTİYAÇ_RAPORU_BURAK_YENI1309[[#This Row],[BIRIM_FIYATLAR]])&lt;1,VALUE("0"),DST_123_ÜRETİM_İHTİYAÇ_RAPORU_BURAK_YENI1309[[#This Row],[SATINALMA]]*DST_123_ÜRETİM_İHTİYAÇ_RAPORU_BURAK_YENI1309[[#This Row],[BIRIM_FIYATLAR]])</f>
        <v>2426.5</v>
      </c>
      <c r="N919">
        <v>115</v>
      </c>
      <c r="O919" t="s">
        <v>821</v>
      </c>
      <c r="P919">
        <v>126.50000000000001</v>
      </c>
      <c r="Q919" t="s">
        <v>178</v>
      </c>
    </row>
    <row r="920" spans="1:17" x14ac:dyDescent="0.25">
      <c r="A920" t="s">
        <v>1144</v>
      </c>
      <c r="B920" t="s">
        <v>1145</v>
      </c>
      <c r="C920" t="s">
        <v>175</v>
      </c>
      <c r="D920" t="s">
        <v>324</v>
      </c>
      <c r="E920" t="s">
        <v>325</v>
      </c>
      <c r="F920">
        <v>0.10400000000000001</v>
      </c>
      <c r="G920" t="s">
        <v>176</v>
      </c>
      <c r="H920">
        <v>0</v>
      </c>
      <c r="I920">
        <v>0</v>
      </c>
      <c r="J920" s="10">
        <v>1.7763568394002505E-15</v>
      </c>
      <c r="K920" s="10">
        <f>SUMIFS(F:F,D:D,DST_123_ÜRETİM_İHTİYAÇ_RAPORU_BURAK_YENI1309[[#This Row],[ALT_KOD]])-(SUMIFS(H:H,D:D,DST_123_ÜRETİM_İHTİYAÇ_RAPORU_BURAK_YENI1309[[#This Row],[ALT_KOD]])+AVERAGEIFS(I:I,D:D,DST_123_ÜRETİM_İHTİYAÇ_RAPORU_BURAK_YENI1309[[#This Row],[ALT_KOD]])+AVERAGEIFS(L:L,D:D,DST_123_ÜRETİM_İHTİYAÇ_RAPORU_BURAK_YENI1309[[#This Row],[ALT_KOD]]))</f>
        <v>2.5820000000000007</v>
      </c>
      <c r="L920">
        <v>0</v>
      </c>
      <c r="M920">
        <f>IF((DST_123_ÜRETİM_İHTİYAÇ_RAPORU_BURAK_YENI1309[[#This Row],[SATINALMA]]*DST_123_ÜRETİM_İHTİYAÇ_RAPORU_BURAK_YENI1309[[#This Row],[BIRIM_FIYATLAR]])&lt;1,VALUE("0"),DST_123_ÜRETİM_İHTİYAÇ_RAPORU_BURAK_YENI1309[[#This Row],[SATINALMA]]*DST_123_ÜRETİM_İHTİYAÇ_RAPORU_BURAK_YENI1309[[#This Row],[BIRIM_FIYATLAR]])</f>
        <v>4066.650000000001</v>
      </c>
      <c r="N920">
        <v>1575</v>
      </c>
      <c r="O920" t="s">
        <v>326</v>
      </c>
      <c r="P920">
        <v>163.80000000000001</v>
      </c>
      <c r="Q920" t="s">
        <v>178</v>
      </c>
    </row>
    <row r="921" spans="1:17" x14ac:dyDescent="0.25">
      <c r="A921" t="s">
        <v>1149</v>
      </c>
      <c r="B921" t="s">
        <v>1145</v>
      </c>
      <c r="C921" t="s">
        <v>175</v>
      </c>
      <c r="D921" t="s">
        <v>149</v>
      </c>
      <c r="E921" t="s">
        <v>150</v>
      </c>
      <c r="F921">
        <v>1.3</v>
      </c>
      <c r="G921" t="s">
        <v>176</v>
      </c>
      <c r="H921">
        <v>0</v>
      </c>
      <c r="I921">
        <v>5</v>
      </c>
      <c r="J921" s="10">
        <v>0</v>
      </c>
      <c r="K921" s="10">
        <f>SUMIFS(F:F,D:D,DST_123_ÜRETİM_İHTİYAÇ_RAPORU_BURAK_YENI1309[[#This Row],[ALT_KOD]])-(SUMIFS(H:H,D:D,DST_123_ÜRETİM_İHTİYAÇ_RAPORU_BURAK_YENI1309[[#This Row],[ALT_KOD]])+AVERAGEIFS(I:I,D:D,DST_123_ÜRETİM_İHTİYAÇ_RAPORU_BURAK_YENI1309[[#This Row],[ALT_KOD]])+AVERAGEIFS(L:L,D:D,DST_123_ÜRETİM_İHTİYAÇ_RAPORU_BURAK_YENI1309[[#This Row],[ALT_KOD]]))</f>
        <v>4.6000000000000014</v>
      </c>
      <c r="L921">
        <v>5</v>
      </c>
      <c r="M921">
        <f>IF((DST_123_ÜRETİM_İHTİYAÇ_RAPORU_BURAK_YENI1309[[#This Row],[SATINALMA]]*DST_123_ÜRETİM_İHTİYAÇ_RAPORU_BURAK_YENI1309[[#This Row],[BIRIM_FIYATLAR]])&lt;1,VALUE("0"),DST_123_ÜRETİM_İHTİYAÇ_RAPORU_BURAK_YENI1309[[#This Row],[SATINALMA]]*DST_123_ÜRETİM_İHTİYAÇ_RAPORU_BURAK_YENI1309[[#This Row],[BIRIM_FIYATLAR]])</f>
        <v>5276.2000000000016</v>
      </c>
      <c r="N921">
        <v>1147</v>
      </c>
      <c r="O921" t="s">
        <v>672</v>
      </c>
      <c r="P921">
        <v>1491.1000000000001</v>
      </c>
      <c r="Q921" t="s">
        <v>184</v>
      </c>
    </row>
    <row r="922" spans="1:17" x14ac:dyDescent="0.25">
      <c r="A922" s="13" t="s">
        <v>1146</v>
      </c>
      <c r="B922" s="13" t="s">
        <v>1145</v>
      </c>
      <c r="C922" t="s">
        <v>175</v>
      </c>
      <c r="D922" s="13" t="s">
        <v>67</v>
      </c>
      <c r="E922" s="13" t="s">
        <v>585</v>
      </c>
      <c r="F922" s="13">
        <v>0.5</v>
      </c>
      <c r="G922" s="13" t="s">
        <v>176</v>
      </c>
      <c r="H922">
        <v>0</v>
      </c>
      <c r="I922">
        <v>13.5</v>
      </c>
      <c r="J922" s="10">
        <v>8.5</v>
      </c>
      <c r="K922" s="10">
        <f>SUMIFS(F:F,D:D,DST_123_ÜRETİM_İHTİYAÇ_RAPORU_BURAK_YENI1309[[#This Row],[ALT_KOD]])-(SUMIFS(H:H,D:D,DST_123_ÜRETİM_İHTİYAÇ_RAPORU_BURAK_YENI1309[[#This Row],[ALT_KOD]])+AVERAGEIFS(I:I,D:D,DST_123_ÜRETİM_İHTİYAÇ_RAPORU_BURAK_YENI1309[[#This Row],[ALT_KOD]])+AVERAGEIFS(L:L,D:D,DST_123_ÜRETİM_İHTİYAÇ_RAPORU_BURAK_YENI1309[[#This Row],[ALT_KOD]]))</f>
        <v>-5.3500000000000014</v>
      </c>
      <c r="L922">
        <v>0</v>
      </c>
      <c r="M922">
        <f>IF((DST_123_ÜRETİM_İHTİYAÇ_RAPORU_BURAK_YENI1309[[#This Row],[SATINALMA]]*DST_123_ÜRETİM_İHTİYAÇ_RAPORU_BURAK_YENI1309[[#This Row],[BIRIM_FIYATLAR]])&lt;1,VALUE("0"),DST_123_ÜRETİM_İHTİYAÇ_RAPORU_BURAK_YENI1309[[#This Row],[SATINALMA]]*DST_123_ÜRETİM_İHTİYAÇ_RAPORU_BURAK_YENI1309[[#This Row],[BIRIM_FIYATLAR]])</f>
        <v>0</v>
      </c>
      <c r="N922">
        <v>1600</v>
      </c>
      <c r="O922" t="s">
        <v>1053</v>
      </c>
      <c r="P922">
        <v>800</v>
      </c>
      <c r="Q922" t="s">
        <v>177</v>
      </c>
    </row>
    <row r="923" spans="1:17" x14ac:dyDescent="0.25">
      <c r="A923" t="s">
        <v>1144</v>
      </c>
      <c r="B923" t="s">
        <v>1145</v>
      </c>
      <c r="C923" t="s">
        <v>175</v>
      </c>
      <c r="D923" t="s">
        <v>67</v>
      </c>
      <c r="E923" t="s">
        <v>585</v>
      </c>
      <c r="F923">
        <v>0.5</v>
      </c>
      <c r="G923" t="s">
        <v>176</v>
      </c>
      <c r="H923">
        <v>0</v>
      </c>
      <c r="I923">
        <v>13.5</v>
      </c>
      <c r="J923" s="10">
        <v>8.5</v>
      </c>
      <c r="K923" s="10">
        <f>SUMIFS(F:F,D:D,DST_123_ÜRETİM_İHTİYAÇ_RAPORU_BURAK_YENI1309[[#This Row],[ALT_KOD]])-(SUMIFS(H:H,D:D,DST_123_ÜRETİM_İHTİYAÇ_RAPORU_BURAK_YENI1309[[#This Row],[ALT_KOD]])+AVERAGEIFS(I:I,D:D,DST_123_ÜRETİM_İHTİYAÇ_RAPORU_BURAK_YENI1309[[#This Row],[ALT_KOD]])+AVERAGEIFS(L:L,D:D,DST_123_ÜRETİM_İHTİYAÇ_RAPORU_BURAK_YENI1309[[#This Row],[ALT_KOD]]))</f>
        <v>-5.3500000000000014</v>
      </c>
      <c r="L923">
        <v>0</v>
      </c>
      <c r="M923">
        <f>IF((DST_123_ÜRETİM_İHTİYAÇ_RAPORU_BURAK_YENI1309[[#This Row],[SATINALMA]]*DST_123_ÜRETİM_İHTİYAÇ_RAPORU_BURAK_YENI1309[[#This Row],[BIRIM_FIYATLAR]])&lt;1,VALUE("0"),DST_123_ÜRETİM_İHTİYAÇ_RAPORU_BURAK_YENI1309[[#This Row],[SATINALMA]]*DST_123_ÜRETİM_İHTİYAÇ_RAPORU_BURAK_YENI1309[[#This Row],[BIRIM_FIYATLAR]])</f>
        <v>0</v>
      </c>
      <c r="N923">
        <v>1600</v>
      </c>
      <c r="O923" t="s">
        <v>1053</v>
      </c>
      <c r="P923">
        <v>800</v>
      </c>
      <c r="Q923" t="s">
        <v>177</v>
      </c>
    </row>
    <row r="924" spans="1:17" x14ac:dyDescent="0.25">
      <c r="A924" t="s">
        <v>1150</v>
      </c>
      <c r="B924" t="s">
        <v>1145</v>
      </c>
      <c r="C924" t="s">
        <v>175</v>
      </c>
      <c r="D924" t="s">
        <v>285</v>
      </c>
      <c r="E924" t="s">
        <v>286</v>
      </c>
      <c r="F924">
        <v>0.35</v>
      </c>
      <c r="G924" t="s">
        <v>185</v>
      </c>
      <c r="H924">
        <v>0</v>
      </c>
      <c r="I924">
        <v>0</v>
      </c>
      <c r="J924" s="10">
        <v>24.129999999999985</v>
      </c>
      <c r="K924" s="10">
        <f>SUMIFS(F:F,D:D,DST_123_ÜRETİM_İHTİYAÇ_RAPORU_BURAK_YENI1309[[#This Row],[ALT_KOD]])-(SUMIFS(H:H,D:D,DST_123_ÜRETİM_İHTİYAÇ_RAPORU_BURAK_YENI1309[[#This Row],[ALT_KOD]])+AVERAGEIFS(I:I,D:D,DST_123_ÜRETİM_İHTİYAÇ_RAPORU_BURAK_YENI1309[[#This Row],[ALT_KOD]])+AVERAGEIFS(L:L,D:D,DST_123_ÜRETİM_İHTİYAÇ_RAPORU_BURAK_YENI1309[[#This Row],[ALT_KOD]]))</f>
        <v>4.1899999999999995</v>
      </c>
      <c r="L924">
        <v>0</v>
      </c>
      <c r="M924">
        <f>IF((DST_123_ÜRETİM_İHTİYAÇ_RAPORU_BURAK_YENI1309[[#This Row],[SATINALMA]]*DST_123_ÜRETİM_İHTİYAÇ_RAPORU_BURAK_YENI1309[[#This Row],[BIRIM_FIYATLAR]])&lt;1,VALUE("0"),DST_123_ÜRETİM_İHTİYAÇ_RAPORU_BURAK_YENI1309[[#This Row],[SATINALMA]]*DST_123_ÜRETİM_İHTİYAÇ_RAPORU_BURAK_YENI1309[[#This Row],[BIRIM_FIYATLAR]])</f>
        <v>1667.7456999999997</v>
      </c>
      <c r="N924">
        <v>398.03</v>
      </c>
      <c r="O924" t="s">
        <v>490</v>
      </c>
      <c r="P924">
        <v>139.31049999999999</v>
      </c>
      <c r="Q924" t="s">
        <v>183</v>
      </c>
    </row>
    <row r="925" spans="1:17" x14ac:dyDescent="0.25">
      <c r="A925" t="s">
        <v>1144</v>
      </c>
      <c r="B925" t="s">
        <v>1145</v>
      </c>
      <c r="C925" t="s">
        <v>175</v>
      </c>
      <c r="D925" t="s">
        <v>68</v>
      </c>
      <c r="E925" t="s">
        <v>69</v>
      </c>
      <c r="F925">
        <v>8.5400000000000009</v>
      </c>
      <c r="G925" t="s">
        <v>185</v>
      </c>
      <c r="H925">
        <v>0</v>
      </c>
      <c r="I925">
        <v>134.9</v>
      </c>
      <c r="J925" s="10">
        <v>46.099999999999767</v>
      </c>
      <c r="K925" s="10">
        <f>SUMIFS(F:F,D:D,DST_123_ÜRETİM_İHTİYAÇ_RAPORU_BURAK_YENI1309[[#This Row],[ALT_KOD]])-(SUMIFS(H:H,D:D,DST_123_ÜRETİM_İHTİYAÇ_RAPORU_BURAK_YENI1309[[#This Row],[ALT_KOD]])+AVERAGEIFS(I:I,D:D,DST_123_ÜRETİM_İHTİYAÇ_RAPORU_BURAK_YENI1309[[#This Row],[ALT_KOD]])+AVERAGEIFS(L:L,D:D,DST_123_ÜRETİM_İHTİYAÇ_RAPORU_BURAK_YENI1309[[#This Row],[ALT_KOD]]))</f>
        <v>43.169999999999959</v>
      </c>
      <c r="L925">
        <v>0</v>
      </c>
      <c r="M925">
        <f>IF((DST_123_ÜRETİM_İHTİYAÇ_RAPORU_BURAK_YENI1309[[#This Row],[SATINALMA]]*DST_123_ÜRETİM_İHTİYAÇ_RAPORU_BURAK_YENI1309[[#This Row],[BIRIM_FIYATLAR]])&lt;1,VALUE("0"),DST_123_ÜRETİM_İHTİYAÇ_RAPORU_BURAK_YENI1309[[#This Row],[SATINALMA]]*DST_123_ÜRETİM_İHTİYAÇ_RAPORU_BURAK_YENI1309[[#This Row],[BIRIM_FIYATLAR]])</f>
        <v>4160.2928999999958</v>
      </c>
      <c r="N925">
        <v>96.37</v>
      </c>
      <c r="O925" t="s">
        <v>490</v>
      </c>
      <c r="P925">
        <v>822.99980000000016</v>
      </c>
      <c r="Q925" t="s">
        <v>183</v>
      </c>
    </row>
    <row r="926" spans="1:17" x14ac:dyDescent="0.25">
      <c r="A926" t="s">
        <v>1146</v>
      </c>
      <c r="B926" t="s">
        <v>1145</v>
      </c>
      <c r="C926" t="s">
        <v>175</v>
      </c>
      <c r="D926" t="s">
        <v>68</v>
      </c>
      <c r="E926" t="s">
        <v>69</v>
      </c>
      <c r="F926">
        <v>8.5400000000000009</v>
      </c>
      <c r="G926" t="s">
        <v>185</v>
      </c>
      <c r="H926">
        <v>0</v>
      </c>
      <c r="I926">
        <v>134.9</v>
      </c>
      <c r="J926" s="10">
        <v>46.099999999999767</v>
      </c>
      <c r="K926" s="10">
        <f>SUMIFS(F:F,D:D,DST_123_ÜRETİM_İHTİYAÇ_RAPORU_BURAK_YENI1309[[#This Row],[ALT_KOD]])-(SUMIFS(H:H,D:D,DST_123_ÜRETİM_İHTİYAÇ_RAPORU_BURAK_YENI1309[[#This Row],[ALT_KOD]])+AVERAGEIFS(I:I,D:D,DST_123_ÜRETİM_İHTİYAÇ_RAPORU_BURAK_YENI1309[[#This Row],[ALT_KOD]])+AVERAGEIFS(L:L,D:D,DST_123_ÜRETİM_İHTİYAÇ_RAPORU_BURAK_YENI1309[[#This Row],[ALT_KOD]]))</f>
        <v>43.169999999999959</v>
      </c>
      <c r="L926">
        <v>0</v>
      </c>
      <c r="M926">
        <f>IF((DST_123_ÜRETİM_İHTİYAÇ_RAPORU_BURAK_YENI1309[[#This Row],[SATINALMA]]*DST_123_ÜRETİM_İHTİYAÇ_RAPORU_BURAK_YENI1309[[#This Row],[BIRIM_FIYATLAR]])&lt;1,VALUE("0"),DST_123_ÜRETİM_İHTİYAÇ_RAPORU_BURAK_YENI1309[[#This Row],[SATINALMA]]*DST_123_ÜRETİM_İHTİYAÇ_RAPORU_BURAK_YENI1309[[#This Row],[BIRIM_FIYATLAR]])</f>
        <v>4160.2928999999958</v>
      </c>
      <c r="N926">
        <v>96.37</v>
      </c>
      <c r="O926" t="s">
        <v>490</v>
      </c>
      <c r="P926">
        <v>822.99980000000016</v>
      </c>
      <c r="Q926" t="s">
        <v>183</v>
      </c>
    </row>
    <row r="927" spans="1:17" x14ac:dyDescent="0.25">
      <c r="A927" t="s">
        <v>1144</v>
      </c>
      <c r="B927" t="s">
        <v>1145</v>
      </c>
      <c r="C927" t="s">
        <v>175</v>
      </c>
      <c r="D927" t="s">
        <v>896</v>
      </c>
      <c r="E927" t="s">
        <v>897</v>
      </c>
      <c r="F927">
        <v>0.2</v>
      </c>
      <c r="G927" t="s">
        <v>185</v>
      </c>
      <c r="H927">
        <v>0</v>
      </c>
      <c r="I927">
        <v>0</v>
      </c>
      <c r="J927" s="10">
        <v>0</v>
      </c>
      <c r="K927" s="10">
        <f>SUMIFS(F:F,D:D,DST_123_ÜRETİM_İHTİYAÇ_RAPORU_BURAK_YENI1309[[#This Row],[ALT_KOD]])-(SUMIFS(H:H,D:D,DST_123_ÜRETİM_İHTİYAÇ_RAPORU_BURAK_YENI1309[[#This Row],[ALT_KOD]])+AVERAGEIFS(I:I,D:D,DST_123_ÜRETİM_İHTİYAÇ_RAPORU_BURAK_YENI1309[[#This Row],[ALT_KOD]])+AVERAGEIFS(L:L,D:D,DST_123_ÜRETİM_İHTİYAÇ_RAPORU_BURAK_YENI1309[[#This Row],[ALT_KOD]]))</f>
        <v>0.8</v>
      </c>
      <c r="L927">
        <v>0</v>
      </c>
      <c r="M927">
        <f>IF((DST_123_ÜRETİM_İHTİYAÇ_RAPORU_BURAK_YENI1309[[#This Row],[SATINALMA]]*DST_123_ÜRETİM_İHTİYAÇ_RAPORU_BURAK_YENI1309[[#This Row],[BIRIM_FIYATLAR]])&lt;1,VALUE("0"),DST_123_ÜRETİM_İHTİYAÇ_RAPORU_BURAK_YENI1309[[#This Row],[SATINALMA]]*DST_123_ÜRETİM_İHTİYAÇ_RAPORU_BURAK_YENI1309[[#This Row],[BIRIM_FIYATLAR]])</f>
        <v>400</v>
      </c>
      <c r="N927">
        <v>500</v>
      </c>
      <c r="O927" t="s">
        <v>898</v>
      </c>
      <c r="P927">
        <v>100</v>
      </c>
      <c r="Q927" t="s">
        <v>183</v>
      </c>
    </row>
    <row r="928" spans="1:17" x14ac:dyDescent="0.25">
      <c r="A928" t="s">
        <v>1149</v>
      </c>
      <c r="B928" t="s">
        <v>1145</v>
      </c>
      <c r="C928" t="s">
        <v>175</v>
      </c>
      <c r="D928" t="s">
        <v>72</v>
      </c>
      <c r="E928" t="s">
        <v>73</v>
      </c>
      <c r="F928">
        <v>1</v>
      </c>
      <c r="G928" t="s">
        <v>176</v>
      </c>
      <c r="H928">
        <v>0</v>
      </c>
      <c r="I928">
        <v>2</v>
      </c>
      <c r="J928" s="10">
        <v>8</v>
      </c>
      <c r="K928" s="10">
        <f>SUMIFS(F:F,D:D,DST_123_ÜRETİM_İHTİYAÇ_RAPORU_BURAK_YENI1309[[#This Row],[ALT_KOD]])-(SUMIFS(H:H,D:D,DST_123_ÜRETİM_İHTİYAÇ_RAPORU_BURAK_YENI1309[[#This Row],[ALT_KOD]])+AVERAGEIFS(I:I,D:D,DST_123_ÜRETİM_İHTİYAÇ_RAPORU_BURAK_YENI1309[[#This Row],[ALT_KOD]])+AVERAGEIFS(L:L,D:D,DST_123_ÜRETİM_İHTİYAÇ_RAPORU_BURAK_YENI1309[[#This Row],[ALT_KOD]]))</f>
        <v>8</v>
      </c>
      <c r="L928">
        <v>0</v>
      </c>
      <c r="M928">
        <f>IF((DST_123_ÜRETİM_İHTİYAÇ_RAPORU_BURAK_YENI1309[[#This Row],[SATINALMA]]*DST_123_ÜRETİM_İHTİYAÇ_RAPORU_BURAK_YENI1309[[#This Row],[BIRIM_FIYATLAR]])&lt;1,VALUE("0"),DST_123_ÜRETİM_İHTİYAÇ_RAPORU_BURAK_YENI1309[[#This Row],[SATINALMA]]*DST_123_ÜRETİM_İHTİYAÇ_RAPORU_BURAK_YENI1309[[#This Row],[BIRIM_FIYATLAR]])</f>
        <v>70583.44</v>
      </c>
      <c r="N928">
        <v>8822.93</v>
      </c>
      <c r="O928" t="s">
        <v>634</v>
      </c>
      <c r="P928">
        <v>8822.93</v>
      </c>
      <c r="Q928" t="s">
        <v>178</v>
      </c>
    </row>
    <row r="929" spans="1:17" x14ac:dyDescent="0.25">
      <c r="A929" t="s">
        <v>1149</v>
      </c>
      <c r="B929" t="s">
        <v>1145</v>
      </c>
      <c r="C929" t="s">
        <v>175</v>
      </c>
      <c r="D929" t="s">
        <v>380</v>
      </c>
      <c r="E929" t="s">
        <v>381</v>
      </c>
      <c r="F929">
        <v>1.1000000000000001</v>
      </c>
      <c r="G929" t="s">
        <v>179</v>
      </c>
      <c r="H929">
        <v>0</v>
      </c>
      <c r="I929">
        <v>0</v>
      </c>
      <c r="J929" s="10">
        <v>20.30000000000009</v>
      </c>
      <c r="K929" s="10">
        <f>SUMIFS(F:F,D:D,DST_123_ÜRETİM_İHTİYAÇ_RAPORU_BURAK_YENI1309[[#This Row],[ALT_KOD]])-(SUMIFS(H:H,D:D,DST_123_ÜRETİM_İHTİYAÇ_RAPORU_BURAK_YENI1309[[#This Row],[ALT_KOD]])+AVERAGEIFS(I:I,D:D,DST_123_ÜRETİM_İHTİYAÇ_RAPORU_BURAK_YENI1309[[#This Row],[ALT_KOD]])+AVERAGEIFS(L:L,D:D,DST_123_ÜRETİM_İHTİYAÇ_RAPORU_BURAK_YENI1309[[#This Row],[ALT_KOD]]))</f>
        <v>21.1</v>
      </c>
      <c r="L929">
        <v>0</v>
      </c>
      <c r="M929">
        <f>IF((DST_123_ÜRETİM_İHTİYAÇ_RAPORU_BURAK_YENI1309[[#This Row],[SATINALMA]]*DST_123_ÜRETİM_İHTİYAÇ_RAPORU_BURAK_YENI1309[[#This Row],[BIRIM_FIYATLAR]])&lt;1,VALUE("0"),DST_123_ÜRETİM_İHTİYAÇ_RAPORU_BURAK_YENI1309[[#This Row],[SATINALMA]]*DST_123_ÜRETİM_İHTİYAÇ_RAPORU_BURAK_YENI1309[[#This Row],[BIRIM_FIYATLAR]])</f>
        <v>2426.5</v>
      </c>
      <c r="N929">
        <v>115</v>
      </c>
      <c r="O929" t="s">
        <v>821</v>
      </c>
      <c r="P929">
        <v>126.50000000000001</v>
      </c>
      <c r="Q929" t="s">
        <v>178</v>
      </c>
    </row>
    <row r="930" spans="1:17" x14ac:dyDescent="0.25">
      <c r="A930" t="s">
        <v>1148</v>
      </c>
      <c r="B930" t="s">
        <v>1056</v>
      </c>
      <c r="C930" t="s">
        <v>175</v>
      </c>
      <c r="D930" t="s">
        <v>285</v>
      </c>
      <c r="E930" t="s">
        <v>286</v>
      </c>
      <c r="F930">
        <v>0.34</v>
      </c>
      <c r="G930" t="s">
        <v>185</v>
      </c>
      <c r="H930">
        <v>0</v>
      </c>
      <c r="I930">
        <v>0</v>
      </c>
      <c r="J930" s="10">
        <v>24.129999999999985</v>
      </c>
      <c r="K930" s="10">
        <f>SUMIFS(F:F,D:D,DST_123_ÜRETİM_İHTİYAÇ_RAPORU_BURAK_YENI1309[[#This Row],[ALT_KOD]])-(SUMIFS(H:H,D:D,DST_123_ÜRETİM_İHTİYAÇ_RAPORU_BURAK_YENI1309[[#This Row],[ALT_KOD]])+AVERAGEIFS(I:I,D:D,DST_123_ÜRETİM_İHTİYAÇ_RAPORU_BURAK_YENI1309[[#This Row],[ALT_KOD]])+AVERAGEIFS(L:L,D:D,DST_123_ÜRETİM_İHTİYAÇ_RAPORU_BURAK_YENI1309[[#This Row],[ALT_KOD]]))</f>
        <v>4.1899999999999995</v>
      </c>
      <c r="L930">
        <v>0</v>
      </c>
      <c r="M930">
        <f>IF((DST_123_ÜRETİM_İHTİYAÇ_RAPORU_BURAK_YENI1309[[#This Row],[SATINALMA]]*DST_123_ÜRETİM_İHTİYAÇ_RAPORU_BURAK_YENI1309[[#This Row],[BIRIM_FIYATLAR]])&lt;1,VALUE("0"),DST_123_ÜRETİM_İHTİYAÇ_RAPORU_BURAK_YENI1309[[#This Row],[SATINALMA]]*DST_123_ÜRETİM_İHTİYAÇ_RAPORU_BURAK_YENI1309[[#This Row],[BIRIM_FIYATLAR]])</f>
        <v>1667.7456999999997</v>
      </c>
      <c r="N930">
        <v>398.03</v>
      </c>
      <c r="O930" t="s">
        <v>490</v>
      </c>
      <c r="P930">
        <v>135.33019999999999</v>
      </c>
      <c r="Q930" t="s">
        <v>183</v>
      </c>
    </row>
    <row r="931" spans="1:17" x14ac:dyDescent="0.25">
      <c r="A931" t="s">
        <v>1179</v>
      </c>
      <c r="B931" t="s">
        <v>1180</v>
      </c>
      <c r="C931" t="s">
        <v>175</v>
      </c>
      <c r="D931" t="s">
        <v>68</v>
      </c>
      <c r="E931" t="s">
        <v>69</v>
      </c>
      <c r="F931">
        <v>9.0599999999999987</v>
      </c>
      <c r="G931" t="s">
        <v>185</v>
      </c>
      <c r="H931">
        <v>0</v>
      </c>
      <c r="I931">
        <v>134.9</v>
      </c>
      <c r="J931" s="10">
        <v>46.099999999999767</v>
      </c>
      <c r="K931" s="10">
        <f>SUMIFS(F:F,D:D,DST_123_ÜRETİM_İHTİYAÇ_RAPORU_BURAK_YENI1309[[#This Row],[ALT_KOD]])-(SUMIFS(H:H,D:D,DST_123_ÜRETİM_İHTİYAÇ_RAPORU_BURAK_YENI1309[[#This Row],[ALT_KOD]])+AVERAGEIFS(I:I,D:D,DST_123_ÜRETİM_İHTİYAÇ_RAPORU_BURAK_YENI1309[[#This Row],[ALT_KOD]])+AVERAGEIFS(L:L,D:D,DST_123_ÜRETİM_İHTİYAÇ_RAPORU_BURAK_YENI1309[[#This Row],[ALT_KOD]]))</f>
        <v>43.169999999999959</v>
      </c>
      <c r="L931">
        <v>0</v>
      </c>
      <c r="M931">
        <f>IF((DST_123_ÜRETİM_İHTİYAÇ_RAPORU_BURAK_YENI1309[[#This Row],[SATINALMA]]*DST_123_ÜRETİM_İHTİYAÇ_RAPORU_BURAK_YENI1309[[#This Row],[BIRIM_FIYATLAR]])&lt;1,VALUE("0"),DST_123_ÜRETİM_İHTİYAÇ_RAPORU_BURAK_YENI1309[[#This Row],[SATINALMA]]*DST_123_ÜRETİM_İHTİYAÇ_RAPORU_BURAK_YENI1309[[#This Row],[BIRIM_FIYATLAR]])</f>
        <v>4160.2928999999958</v>
      </c>
      <c r="N931">
        <v>96.37</v>
      </c>
      <c r="O931" t="s">
        <v>490</v>
      </c>
      <c r="P931">
        <v>873.11219999999992</v>
      </c>
      <c r="Q931" t="s">
        <v>183</v>
      </c>
    </row>
    <row r="932" spans="1:17" x14ac:dyDescent="0.25">
      <c r="A932" t="s">
        <v>1101</v>
      </c>
      <c r="B932" t="s">
        <v>1102</v>
      </c>
      <c r="C932" t="s">
        <v>175</v>
      </c>
      <c r="D932" t="s">
        <v>380</v>
      </c>
      <c r="E932" t="s">
        <v>381</v>
      </c>
      <c r="F932">
        <v>1.2</v>
      </c>
      <c r="G932" t="s">
        <v>179</v>
      </c>
      <c r="H932">
        <v>0</v>
      </c>
      <c r="I932">
        <v>0</v>
      </c>
      <c r="J932" s="10">
        <v>20.30000000000009</v>
      </c>
      <c r="K932" s="10">
        <f>SUMIFS(F:F,D:D,DST_123_ÜRETİM_İHTİYAÇ_RAPORU_BURAK_YENI1309[[#This Row],[ALT_KOD]])-(SUMIFS(H:H,D:D,DST_123_ÜRETİM_İHTİYAÇ_RAPORU_BURAK_YENI1309[[#This Row],[ALT_KOD]])+AVERAGEIFS(I:I,D:D,DST_123_ÜRETİM_İHTİYAÇ_RAPORU_BURAK_YENI1309[[#This Row],[ALT_KOD]])+AVERAGEIFS(L:L,D:D,DST_123_ÜRETİM_İHTİYAÇ_RAPORU_BURAK_YENI1309[[#This Row],[ALT_KOD]]))</f>
        <v>21.1</v>
      </c>
      <c r="L932">
        <v>0</v>
      </c>
      <c r="M932">
        <f>IF((DST_123_ÜRETİM_İHTİYAÇ_RAPORU_BURAK_YENI1309[[#This Row],[SATINALMA]]*DST_123_ÜRETİM_İHTİYAÇ_RAPORU_BURAK_YENI1309[[#This Row],[BIRIM_FIYATLAR]])&lt;1,VALUE("0"),DST_123_ÜRETİM_İHTİYAÇ_RAPORU_BURAK_YENI1309[[#This Row],[SATINALMA]]*DST_123_ÜRETİM_İHTİYAÇ_RAPORU_BURAK_YENI1309[[#This Row],[BIRIM_FIYATLAR]])</f>
        <v>2426.5</v>
      </c>
      <c r="N932">
        <v>115</v>
      </c>
      <c r="O932" t="s">
        <v>821</v>
      </c>
      <c r="P932">
        <v>138</v>
      </c>
      <c r="Q932" t="s">
        <v>178</v>
      </c>
    </row>
    <row r="933" spans="1:17" x14ac:dyDescent="0.25">
      <c r="A933" t="s">
        <v>1057</v>
      </c>
      <c r="B933" t="s">
        <v>1058</v>
      </c>
      <c r="C933" t="s">
        <v>175</v>
      </c>
      <c r="D933" t="s">
        <v>233</v>
      </c>
      <c r="E933" t="s">
        <v>234</v>
      </c>
      <c r="F933">
        <v>2</v>
      </c>
      <c r="G933" t="s">
        <v>176</v>
      </c>
      <c r="H933">
        <v>0</v>
      </c>
      <c r="I933">
        <v>222</v>
      </c>
      <c r="J933" s="10">
        <v>90</v>
      </c>
      <c r="K933" s="10">
        <f>SUMIFS(F:F,D:D,DST_123_ÜRETİM_İHTİYAÇ_RAPORU_BURAK_YENI1309[[#This Row],[ALT_KOD]])-(SUMIFS(H:H,D:D,DST_123_ÜRETİM_İHTİYAÇ_RAPORU_BURAK_YENI1309[[#This Row],[ALT_KOD]])+AVERAGEIFS(I:I,D:D,DST_123_ÜRETİM_İHTİYAÇ_RAPORU_BURAK_YENI1309[[#This Row],[ALT_KOD]])+AVERAGEIFS(L:L,D:D,DST_123_ÜRETİM_İHTİYAÇ_RAPORU_BURAK_YENI1309[[#This Row],[ALT_KOD]]))</f>
        <v>-184</v>
      </c>
      <c r="L933">
        <v>0</v>
      </c>
      <c r="M933">
        <f>IF((DST_123_ÜRETİM_İHTİYAÇ_RAPORU_BURAK_YENI1309[[#This Row],[SATINALMA]]*DST_123_ÜRETİM_İHTİYAÇ_RAPORU_BURAK_YENI1309[[#This Row],[BIRIM_FIYATLAR]])&lt;1,VALUE("0"),DST_123_ÜRETİM_İHTİYAÇ_RAPORU_BURAK_YENI1309[[#This Row],[SATINALMA]]*DST_123_ÜRETİM_İHTİYAÇ_RAPORU_BURAK_YENI1309[[#This Row],[BIRIM_FIYATLAR]])</f>
        <v>0</v>
      </c>
      <c r="N933">
        <v>4</v>
      </c>
      <c r="O933" t="s">
        <v>220</v>
      </c>
      <c r="P933">
        <v>8</v>
      </c>
      <c r="Q933" t="s">
        <v>221</v>
      </c>
    </row>
    <row r="934" spans="1:17" x14ac:dyDescent="0.25">
      <c r="A934" t="s">
        <v>1101</v>
      </c>
      <c r="B934" t="s">
        <v>1102</v>
      </c>
      <c r="C934" t="s">
        <v>175</v>
      </c>
      <c r="D934" t="s">
        <v>19</v>
      </c>
      <c r="E934" t="s">
        <v>20</v>
      </c>
      <c r="F934">
        <v>7</v>
      </c>
      <c r="G934" t="s">
        <v>176</v>
      </c>
      <c r="H934">
        <v>7</v>
      </c>
      <c r="I934">
        <v>37</v>
      </c>
      <c r="J934" s="10">
        <v>28</v>
      </c>
      <c r="K934" s="10">
        <f>SUMIFS(F:F,D:D,DST_123_ÜRETİM_İHTİYAÇ_RAPORU_BURAK_YENI1309[[#This Row],[ALT_KOD]])-(SUMIFS(H:H,D:D,DST_123_ÜRETİM_İHTİYAÇ_RAPORU_BURAK_YENI1309[[#This Row],[ALT_KOD]])+AVERAGEIFS(I:I,D:D,DST_123_ÜRETİM_İHTİYAÇ_RAPORU_BURAK_YENI1309[[#This Row],[ALT_KOD]])+AVERAGEIFS(L:L,D:D,DST_123_ÜRETİM_İHTİYAÇ_RAPORU_BURAK_YENI1309[[#This Row],[ALT_KOD]]))</f>
        <v>-3</v>
      </c>
      <c r="L934">
        <v>0</v>
      </c>
      <c r="M934">
        <f>IF((DST_123_ÜRETİM_İHTİYAÇ_RAPORU_BURAK_YENI1309[[#This Row],[SATINALMA]]*DST_123_ÜRETİM_İHTİYAÇ_RAPORU_BURAK_YENI1309[[#This Row],[BIRIM_FIYATLAR]])&lt;1,VALUE("0"),DST_123_ÜRETİM_İHTİYAÇ_RAPORU_BURAK_YENI1309[[#This Row],[SATINALMA]]*DST_123_ÜRETİM_İHTİYAÇ_RAPORU_BURAK_YENI1309[[#This Row],[BIRIM_FIYATLAR]])</f>
        <v>0</v>
      </c>
      <c r="N934">
        <v>122.24</v>
      </c>
      <c r="O934" t="s">
        <v>227</v>
      </c>
      <c r="P934">
        <v>855.68</v>
      </c>
      <c r="Q934" t="s">
        <v>221</v>
      </c>
    </row>
    <row r="935" spans="1:17" x14ac:dyDescent="0.25">
      <c r="A935" t="s">
        <v>1101</v>
      </c>
      <c r="B935" t="s">
        <v>1102</v>
      </c>
      <c r="C935" t="s">
        <v>175</v>
      </c>
      <c r="D935" t="s">
        <v>365</v>
      </c>
      <c r="E935" t="s">
        <v>366</v>
      </c>
      <c r="F935">
        <v>28</v>
      </c>
      <c r="G935" t="s">
        <v>176</v>
      </c>
      <c r="H935">
        <v>0</v>
      </c>
      <c r="I935">
        <v>3750</v>
      </c>
      <c r="J935" s="10">
        <v>674</v>
      </c>
      <c r="K935" s="10">
        <f>SUMIFS(F:F,D:D,DST_123_ÜRETİM_İHTİYAÇ_RAPORU_BURAK_YENI1309[[#This Row],[ALT_KOD]])-(SUMIFS(H:H,D:D,DST_123_ÜRETİM_İHTİYAÇ_RAPORU_BURAK_YENI1309[[#This Row],[ALT_KOD]])+AVERAGEIFS(I:I,D:D,DST_123_ÜRETİM_İHTİYAÇ_RAPORU_BURAK_YENI1309[[#This Row],[ALT_KOD]])+AVERAGEIFS(L:L,D:D,DST_123_ÜRETİM_İHTİYAÇ_RAPORU_BURAK_YENI1309[[#This Row],[ALT_KOD]]))</f>
        <v>-3452</v>
      </c>
      <c r="L935">
        <v>0</v>
      </c>
      <c r="M935">
        <f>IF((DST_123_ÜRETİM_İHTİYAÇ_RAPORU_BURAK_YENI1309[[#This Row],[SATINALMA]]*DST_123_ÜRETİM_İHTİYAÇ_RAPORU_BURAK_YENI1309[[#This Row],[BIRIM_FIYATLAR]])&lt;1,VALUE("0"),DST_123_ÜRETİM_İHTİYAÇ_RAPORU_BURAK_YENI1309[[#This Row],[SATINALMA]]*DST_123_ÜRETİM_İHTİYAÇ_RAPORU_BURAK_YENI1309[[#This Row],[BIRIM_FIYATLAR]])</f>
        <v>0</v>
      </c>
      <c r="N935">
        <v>0.2</v>
      </c>
      <c r="O935" t="s">
        <v>240</v>
      </c>
      <c r="P935">
        <v>5.6000000000000005</v>
      </c>
      <c r="Q935" t="s">
        <v>180</v>
      </c>
    </row>
    <row r="936" spans="1:17" x14ac:dyDescent="0.25">
      <c r="A936" t="s">
        <v>1149</v>
      </c>
      <c r="B936" t="s">
        <v>1145</v>
      </c>
      <c r="C936" t="s">
        <v>175</v>
      </c>
      <c r="D936" t="s">
        <v>374</v>
      </c>
      <c r="E936" t="s">
        <v>375</v>
      </c>
      <c r="F936">
        <v>2</v>
      </c>
      <c r="G936" t="s">
        <v>176</v>
      </c>
      <c r="H936">
        <v>0</v>
      </c>
      <c r="I936">
        <v>42</v>
      </c>
      <c r="J936" s="10">
        <v>34</v>
      </c>
      <c r="K936" s="10">
        <f>SUMIFS(F:F,D:D,DST_123_ÜRETİM_İHTİYAÇ_RAPORU_BURAK_YENI1309[[#This Row],[ALT_KOD]])-(SUMIFS(H:H,D:D,DST_123_ÜRETİM_İHTİYAÇ_RAPORU_BURAK_YENI1309[[#This Row],[ALT_KOD]])+AVERAGEIFS(I:I,D:D,DST_123_ÜRETİM_İHTİYAÇ_RAPORU_BURAK_YENI1309[[#This Row],[ALT_KOD]])+AVERAGEIFS(L:L,D:D,DST_123_ÜRETİM_İHTİYAÇ_RAPORU_BURAK_YENI1309[[#This Row],[ALT_KOD]]))</f>
        <v>-8</v>
      </c>
      <c r="L936">
        <v>0</v>
      </c>
      <c r="M936">
        <f>IF((DST_123_ÜRETİM_İHTİYAÇ_RAPORU_BURAK_YENI1309[[#This Row],[SATINALMA]]*DST_123_ÜRETİM_İHTİYAÇ_RAPORU_BURAK_YENI1309[[#This Row],[BIRIM_FIYATLAR]])&lt;1,VALUE("0"),DST_123_ÜRETİM_İHTİYAÇ_RAPORU_BURAK_YENI1309[[#This Row],[SATINALMA]]*DST_123_ÜRETİM_İHTİYAÇ_RAPORU_BURAK_YENI1309[[#This Row],[BIRIM_FIYATLAR]])</f>
        <v>0</v>
      </c>
      <c r="N936">
        <v>65</v>
      </c>
      <c r="O936" t="s">
        <v>240</v>
      </c>
      <c r="P936">
        <v>130</v>
      </c>
      <c r="Q936" t="s">
        <v>180</v>
      </c>
    </row>
    <row r="937" spans="1:17" x14ac:dyDescent="0.25">
      <c r="A937" t="s">
        <v>1146</v>
      </c>
      <c r="B937" t="s">
        <v>1145</v>
      </c>
      <c r="C937" t="s">
        <v>175</v>
      </c>
      <c r="D937" t="s">
        <v>374</v>
      </c>
      <c r="E937" t="s">
        <v>375</v>
      </c>
      <c r="F937">
        <v>2</v>
      </c>
      <c r="G937" t="s">
        <v>176</v>
      </c>
      <c r="H937">
        <v>0</v>
      </c>
      <c r="I937">
        <v>42</v>
      </c>
      <c r="J937" s="10">
        <v>34</v>
      </c>
      <c r="K937" s="10">
        <f>SUMIFS(F:F,D:D,DST_123_ÜRETİM_İHTİYAÇ_RAPORU_BURAK_YENI1309[[#This Row],[ALT_KOD]])-(SUMIFS(H:H,D:D,DST_123_ÜRETİM_İHTİYAÇ_RAPORU_BURAK_YENI1309[[#This Row],[ALT_KOD]])+AVERAGEIFS(I:I,D:D,DST_123_ÜRETİM_İHTİYAÇ_RAPORU_BURAK_YENI1309[[#This Row],[ALT_KOD]])+AVERAGEIFS(L:L,D:D,DST_123_ÜRETİM_İHTİYAÇ_RAPORU_BURAK_YENI1309[[#This Row],[ALT_KOD]]))</f>
        <v>-8</v>
      </c>
      <c r="L937">
        <v>0</v>
      </c>
      <c r="M937">
        <f>IF((DST_123_ÜRETİM_İHTİYAÇ_RAPORU_BURAK_YENI1309[[#This Row],[SATINALMA]]*DST_123_ÜRETİM_İHTİYAÇ_RAPORU_BURAK_YENI1309[[#This Row],[BIRIM_FIYATLAR]])&lt;1,VALUE("0"),DST_123_ÜRETİM_İHTİYAÇ_RAPORU_BURAK_YENI1309[[#This Row],[SATINALMA]]*DST_123_ÜRETİM_İHTİYAÇ_RAPORU_BURAK_YENI1309[[#This Row],[BIRIM_FIYATLAR]])</f>
        <v>0</v>
      </c>
      <c r="N937">
        <v>65</v>
      </c>
      <c r="O937" t="s">
        <v>240</v>
      </c>
      <c r="P937">
        <v>130</v>
      </c>
      <c r="Q937" t="s">
        <v>180</v>
      </c>
    </row>
    <row r="938" spans="1:17" x14ac:dyDescent="0.25">
      <c r="A938" t="s">
        <v>1060</v>
      </c>
      <c r="B938" t="s">
        <v>1061</v>
      </c>
      <c r="C938" t="s">
        <v>175</v>
      </c>
      <c r="D938" t="s">
        <v>365</v>
      </c>
      <c r="E938" t="s">
        <v>366</v>
      </c>
      <c r="F938">
        <v>12</v>
      </c>
      <c r="G938" t="s">
        <v>176</v>
      </c>
      <c r="H938">
        <v>0</v>
      </c>
      <c r="I938">
        <v>3750</v>
      </c>
      <c r="J938" s="10">
        <v>674</v>
      </c>
      <c r="K938" s="10">
        <f>SUMIFS(F:F,D:D,DST_123_ÜRETİM_İHTİYAÇ_RAPORU_BURAK_YENI1309[[#This Row],[ALT_KOD]])-(SUMIFS(H:H,D:D,DST_123_ÜRETİM_İHTİYAÇ_RAPORU_BURAK_YENI1309[[#This Row],[ALT_KOD]])+AVERAGEIFS(I:I,D:D,DST_123_ÜRETİM_İHTİYAÇ_RAPORU_BURAK_YENI1309[[#This Row],[ALT_KOD]])+AVERAGEIFS(L:L,D:D,DST_123_ÜRETİM_İHTİYAÇ_RAPORU_BURAK_YENI1309[[#This Row],[ALT_KOD]]))</f>
        <v>-3452</v>
      </c>
      <c r="L938">
        <v>0</v>
      </c>
      <c r="M938">
        <f>IF((DST_123_ÜRETİM_İHTİYAÇ_RAPORU_BURAK_YENI1309[[#This Row],[SATINALMA]]*DST_123_ÜRETİM_İHTİYAÇ_RAPORU_BURAK_YENI1309[[#This Row],[BIRIM_FIYATLAR]])&lt;1,VALUE("0"),DST_123_ÜRETİM_İHTİYAÇ_RAPORU_BURAK_YENI1309[[#This Row],[SATINALMA]]*DST_123_ÜRETİM_İHTİYAÇ_RAPORU_BURAK_YENI1309[[#This Row],[BIRIM_FIYATLAR]])</f>
        <v>0</v>
      </c>
      <c r="N938">
        <v>0.2</v>
      </c>
      <c r="O938" t="s">
        <v>240</v>
      </c>
      <c r="P938">
        <v>2.4000000000000004</v>
      </c>
      <c r="Q938" t="s">
        <v>180</v>
      </c>
    </row>
    <row r="939" spans="1:17" x14ac:dyDescent="0.25">
      <c r="A939" t="s">
        <v>1095</v>
      </c>
      <c r="B939" t="s">
        <v>1096</v>
      </c>
      <c r="C939" t="s">
        <v>175</v>
      </c>
      <c r="D939" t="s">
        <v>19</v>
      </c>
      <c r="E939" t="s">
        <v>20</v>
      </c>
      <c r="F939">
        <v>2</v>
      </c>
      <c r="G939" t="s">
        <v>176</v>
      </c>
      <c r="H939">
        <v>0</v>
      </c>
      <c r="I939">
        <v>37</v>
      </c>
      <c r="J939" s="10">
        <v>28</v>
      </c>
      <c r="K939" s="10">
        <f>SUMIFS(F:F,D:D,DST_123_ÜRETİM_İHTİYAÇ_RAPORU_BURAK_YENI1309[[#This Row],[ALT_KOD]])-(SUMIFS(H:H,D:D,DST_123_ÜRETİM_İHTİYAÇ_RAPORU_BURAK_YENI1309[[#This Row],[ALT_KOD]])+AVERAGEIFS(I:I,D:D,DST_123_ÜRETİM_İHTİYAÇ_RAPORU_BURAK_YENI1309[[#This Row],[ALT_KOD]])+AVERAGEIFS(L:L,D:D,DST_123_ÜRETİM_İHTİYAÇ_RAPORU_BURAK_YENI1309[[#This Row],[ALT_KOD]]))</f>
        <v>-3</v>
      </c>
      <c r="L939">
        <v>0</v>
      </c>
      <c r="M939">
        <f>IF((DST_123_ÜRETİM_İHTİYAÇ_RAPORU_BURAK_YENI1309[[#This Row],[SATINALMA]]*DST_123_ÜRETİM_İHTİYAÇ_RAPORU_BURAK_YENI1309[[#This Row],[BIRIM_FIYATLAR]])&lt;1,VALUE("0"),DST_123_ÜRETİM_İHTİYAÇ_RAPORU_BURAK_YENI1309[[#This Row],[SATINALMA]]*DST_123_ÜRETİM_İHTİYAÇ_RAPORU_BURAK_YENI1309[[#This Row],[BIRIM_FIYATLAR]])</f>
        <v>0</v>
      </c>
      <c r="N939">
        <v>122.24</v>
      </c>
      <c r="O939" t="s">
        <v>227</v>
      </c>
      <c r="P939">
        <v>244.48</v>
      </c>
      <c r="Q939" t="s">
        <v>221</v>
      </c>
    </row>
    <row r="940" spans="1:17" x14ac:dyDescent="0.25">
      <c r="A940" s="13" t="s">
        <v>1097</v>
      </c>
      <c r="B940" s="13" t="s">
        <v>1055</v>
      </c>
      <c r="C940" t="s">
        <v>175</v>
      </c>
      <c r="D940" s="13" t="s">
        <v>365</v>
      </c>
      <c r="E940" s="13" t="s">
        <v>366</v>
      </c>
      <c r="F940" s="13">
        <v>34</v>
      </c>
      <c r="G940" s="13" t="s">
        <v>176</v>
      </c>
      <c r="H940">
        <v>0</v>
      </c>
      <c r="I940">
        <v>3750</v>
      </c>
      <c r="J940" s="10">
        <v>674</v>
      </c>
      <c r="K940" s="10">
        <f>SUMIFS(F:F,D:D,DST_123_ÜRETİM_İHTİYAÇ_RAPORU_BURAK_YENI1309[[#This Row],[ALT_KOD]])-(SUMIFS(H:H,D:D,DST_123_ÜRETİM_İHTİYAÇ_RAPORU_BURAK_YENI1309[[#This Row],[ALT_KOD]])+AVERAGEIFS(I:I,D:D,DST_123_ÜRETİM_İHTİYAÇ_RAPORU_BURAK_YENI1309[[#This Row],[ALT_KOD]])+AVERAGEIFS(L:L,D:D,DST_123_ÜRETİM_İHTİYAÇ_RAPORU_BURAK_YENI1309[[#This Row],[ALT_KOD]]))</f>
        <v>-3452</v>
      </c>
      <c r="L940">
        <v>0</v>
      </c>
      <c r="M940">
        <f>IF((DST_123_ÜRETİM_İHTİYAÇ_RAPORU_BURAK_YENI1309[[#This Row],[SATINALMA]]*DST_123_ÜRETİM_İHTİYAÇ_RAPORU_BURAK_YENI1309[[#This Row],[BIRIM_FIYATLAR]])&lt;1,VALUE("0"),DST_123_ÜRETİM_İHTİYAÇ_RAPORU_BURAK_YENI1309[[#This Row],[SATINALMA]]*DST_123_ÜRETİM_İHTİYAÇ_RAPORU_BURAK_YENI1309[[#This Row],[BIRIM_FIYATLAR]])</f>
        <v>0</v>
      </c>
      <c r="N940">
        <v>0.2</v>
      </c>
      <c r="O940" t="s">
        <v>240</v>
      </c>
      <c r="P940">
        <v>6.8000000000000007</v>
      </c>
      <c r="Q940" t="s">
        <v>180</v>
      </c>
    </row>
    <row r="941" spans="1:17" x14ac:dyDescent="0.25">
      <c r="A941" t="s">
        <v>1143</v>
      </c>
      <c r="B941" t="s">
        <v>1056</v>
      </c>
      <c r="C941" t="s">
        <v>175</v>
      </c>
      <c r="D941" t="s">
        <v>365</v>
      </c>
      <c r="E941" t="s">
        <v>366</v>
      </c>
      <c r="F941">
        <v>14</v>
      </c>
      <c r="G941" t="s">
        <v>176</v>
      </c>
      <c r="H941">
        <v>0</v>
      </c>
      <c r="I941">
        <v>3750</v>
      </c>
      <c r="J941" s="10">
        <v>674</v>
      </c>
      <c r="K941" s="10">
        <f>SUMIFS(F:F,D:D,DST_123_ÜRETİM_İHTİYAÇ_RAPORU_BURAK_YENI1309[[#This Row],[ALT_KOD]])-(SUMIFS(H:H,D:D,DST_123_ÜRETİM_İHTİYAÇ_RAPORU_BURAK_YENI1309[[#This Row],[ALT_KOD]])+AVERAGEIFS(I:I,D:D,DST_123_ÜRETİM_İHTİYAÇ_RAPORU_BURAK_YENI1309[[#This Row],[ALT_KOD]])+AVERAGEIFS(L:L,D:D,DST_123_ÜRETİM_İHTİYAÇ_RAPORU_BURAK_YENI1309[[#This Row],[ALT_KOD]]))</f>
        <v>-3452</v>
      </c>
      <c r="L941">
        <v>0</v>
      </c>
      <c r="M941">
        <f>IF((DST_123_ÜRETİM_İHTİYAÇ_RAPORU_BURAK_YENI1309[[#This Row],[SATINALMA]]*DST_123_ÜRETİM_İHTİYAÇ_RAPORU_BURAK_YENI1309[[#This Row],[BIRIM_FIYATLAR]])&lt;1,VALUE("0"),DST_123_ÜRETİM_İHTİYAÇ_RAPORU_BURAK_YENI1309[[#This Row],[SATINALMA]]*DST_123_ÜRETİM_İHTİYAÇ_RAPORU_BURAK_YENI1309[[#This Row],[BIRIM_FIYATLAR]])</f>
        <v>0</v>
      </c>
      <c r="N941">
        <v>0.2</v>
      </c>
      <c r="O941" t="s">
        <v>240</v>
      </c>
      <c r="P941">
        <v>2.8000000000000003</v>
      </c>
      <c r="Q941" t="s">
        <v>180</v>
      </c>
    </row>
    <row r="942" spans="1:17" x14ac:dyDescent="0.25">
      <c r="A942" t="s">
        <v>1148</v>
      </c>
      <c r="B942" t="s">
        <v>1056</v>
      </c>
      <c r="C942" t="s">
        <v>175</v>
      </c>
      <c r="D942" t="s">
        <v>488</v>
      </c>
      <c r="E942" t="s">
        <v>489</v>
      </c>
      <c r="F942">
        <v>2</v>
      </c>
      <c r="G942" t="s">
        <v>176</v>
      </c>
      <c r="H942">
        <v>0</v>
      </c>
      <c r="I942">
        <v>0</v>
      </c>
      <c r="J942" s="10">
        <v>0</v>
      </c>
      <c r="K942" s="10">
        <f>SUMIFS(F:F,D:D,DST_123_ÜRETİM_İHTİYAÇ_RAPORU_BURAK_YENI1309[[#This Row],[ALT_KOD]])-(SUMIFS(H:H,D:D,DST_123_ÜRETİM_İHTİYAÇ_RAPORU_BURAK_YENI1309[[#This Row],[ALT_KOD]])+AVERAGEIFS(I:I,D:D,DST_123_ÜRETİM_İHTİYAÇ_RAPORU_BURAK_YENI1309[[#This Row],[ALT_KOD]])+AVERAGEIFS(L:L,D:D,DST_123_ÜRETİM_İHTİYAÇ_RAPORU_BURAK_YENI1309[[#This Row],[ALT_KOD]]))</f>
        <v>14</v>
      </c>
      <c r="L942">
        <v>0</v>
      </c>
      <c r="M942">
        <f>IF((DST_123_ÜRETİM_İHTİYAÇ_RAPORU_BURAK_YENI1309[[#This Row],[SATINALMA]]*DST_123_ÜRETİM_İHTİYAÇ_RAPORU_BURAK_YENI1309[[#This Row],[BIRIM_FIYATLAR]])&lt;1,VALUE("0"),DST_123_ÜRETİM_İHTİYAÇ_RAPORU_BURAK_YENI1309[[#This Row],[SATINALMA]]*DST_123_ÜRETİM_İHTİYAÇ_RAPORU_BURAK_YENI1309[[#This Row],[BIRIM_FIYATLAR]])</f>
        <v>1050</v>
      </c>
      <c r="N942">
        <v>75</v>
      </c>
      <c r="O942" t="s">
        <v>482</v>
      </c>
      <c r="P942">
        <v>150</v>
      </c>
      <c r="Q942" t="s">
        <v>483</v>
      </c>
    </row>
    <row r="943" spans="1:17" x14ac:dyDescent="0.25">
      <c r="A943" t="s">
        <v>1147</v>
      </c>
      <c r="B943" t="s">
        <v>1145</v>
      </c>
      <c r="C943" t="s">
        <v>175</v>
      </c>
      <c r="D943" t="s">
        <v>19</v>
      </c>
      <c r="E943" t="s">
        <v>20</v>
      </c>
      <c r="F943">
        <v>3</v>
      </c>
      <c r="G943" t="s">
        <v>176</v>
      </c>
      <c r="H943">
        <v>0</v>
      </c>
      <c r="I943">
        <v>37</v>
      </c>
      <c r="J943" s="10">
        <v>28</v>
      </c>
      <c r="K943" s="10">
        <f>SUMIFS(F:F,D:D,DST_123_ÜRETİM_İHTİYAÇ_RAPORU_BURAK_YENI1309[[#This Row],[ALT_KOD]])-(SUMIFS(H:H,D:D,DST_123_ÜRETİM_İHTİYAÇ_RAPORU_BURAK_YENI1309[[#This Row],[ALT_KOD]])+AVERAGEIFS(I:I,D:D,DST_123_ÜRETİM_İHTİYAÇ_RAPORU_BURAK_YENI1309[[#This Row],[ALT_KOD]])+AVERAGEIFS(L:L,D:D,DST_123_ÜRETİM_İHTİYAÇ_RAPORU_BURAK_YENI1309[[#This Row],[ALT_KOD]]))</f>
        <v>-3</v>
      </c>
      <c r="L943">
        <v>0</v>
      </c>
      <c r="M943">
        <f>IF((DST_123_ÜRETİM_İHTİYAÇ_RAPORU_BURAK_YENI1309[[#This Row],[SATINALMA]]*DST_123_ÜRETİM_İHTİYAÇ_RAPORU_BURAK_YENI1309[[#This Row],[BIRIM_FIYATLAR]])&lt;1,VALUE("0"),DST_123_ÜRETİM_İHTİYAÇ_RAPORU_BURAK_YENI1309[[#This Row],[SATINALMA]]*DST_123_ÜRETİM_İHTİYAÇ_RAPORU_BURAK_YENI1309[[#This Row],[BIRIM_FIYATLAR]])</f>
        <v>0</v>
      </c>
      <c r="N943">
        <v>122.24</v>
      </c>
      <c r="O943" t="s">
        <v>227</v>
      </c>
      <c r="P943">
        <v>366.71999999999997</v>
      </c>
      <c r="Q943" t="s">
        <v>221</v>
      </c>
    </row>
    <row r="944" spans="1:17" x14ac:dyDescent="0.25">
      <c r="A944" t="s">
        <v>1148</v>
      </c>
      <c r="B944" t="s">
        <v>1056</v>
      </c>
      <c r="C944" t="s">
        <v>175</v>
      </c>
      <c r="D944" t="s">
        <v>19</v>
      </c>
      <c r="E944" t="s">
        <v>20</v>
      </c>
      <c r="F944">
        <v>2</v>
      </c>
      <c r="G944" t="s">
        <v>176</v>
      </c>
      <c r="H944">
        <v>0</v>
      </c>
      <c r="I944">
        <v>37</v>
      </c>
      <c r="J944" s="10">
        <v>28</v>
      </c>
      <c r="K944" s="10">
        <f>SUMIFS(F:F,D:D,DST_123_ÜRETİM_İHTİYAÇ_RAPORU_BURAK_YENI1309[[#This Row],[ALT_KOD]])-(SUMIFS(H:H,D:D,DST_123_ÜRETİM_İHTİYAÇ_RAPORU_BURAK_YENI1309[[#This Row],[ALT_KOD]])+AVERAGEIFS(I:I,D:D,DST_123_ÜRETİM_İHTİYAÇ_RAPORU_BURAK_YENI1309[[#This Row],[ALT_KOD]])+AVERAGEIFS(L:L,D:D,DST_123_ÜRETİM_İHTİYAÇ_RAPORU_BURAK_YENI1309[[#This Row],[ALT_KOD]]))</f>
        <v>-3</v>
      </c>
      <c r="L944">
        <v>0</v>
      </c>
      <c r="M944">
        <f>IF((DST_123_ÜRETİM_İHTİYAÇ_RAPORU_BURAK_YENI1309[[#This Row],[SATINALMA]]*DST_123_ÜRETİM_İHTİYAÇ_RAPORU_BURAK_YENI1309[[#This Row],[BIRIM_FIYATLAR]])&lt;1,VALUE("0"),DST_123_ÜRETİM_İHTİYAÇ_RAPORU_BURAK_YENI1309[[#This Row],[SATINALMA]]*DST_123_ÜRETİM_İHTİYAÇ_RAPORU_BURAK_YENI1309[[#This Row],[BIRIM_FIYATLAR]])</f>
        <v>0</v>
      </c>
      <c r="N944">
        <v>122.24</v>
      </c>
      <c r="O944" t="s">
        <v>227</v>
      </c>
      <c r="P944">
        <v>244.48</v>
      </c>
      <c r="Q944" t="s">
        <v>221</v>
      </c>
    </row>
    <row r="945" spans="1:17" x14ac:dyDescent="0.25">
      <c r="A945" t="s">
        <v>1064</v>
      </c>
      <c r="B945" t="s">
        <v>1055</v>
      </c>
      <c r="C945" t="s">
        <v>175</v>
      </c>
      <c r="D945" t="s">
        <v>374</v>
      </c>
      <c r="E945" t="s">
        <v>375</v>
      </c>
      <c r="F945">
        <v>2</v>
      </c>
      <c r="G945" t="s">
        <v>176</v>
      </c>
      <c r="H945">
        <v>0</v>
      </c>
      <c r="I945">
        <v>42</v>
      </c>
      <c r="J945" s="10">
        <v>34</v>
      </c>
      <c r="K945" s="10">
        <f>SUMIFS(F:F,D:D,DST_123_ÜRETİM_İHTİYAÇ_RAPORU_BURAK_YENI1309[[#This Row],[ALT_KOD]])-(SUMIFS(H:H,D:D,DST_123_ÜRETİM_İHTİYAÇ_RAPORU_BURAK_YENI1309[[#This Row],[ALT_KOD]])+AVERAGEIFS(I:I,D:D,DST_123_ÜRETİM_İHTİYAÇ_RAPORU_BURAK_YENI1309[[#This Row],[ALT_KOD]])+AVERAGEIFS(L:L,D:D,DST_123_ÜRETİM_İHTİYAÇ_RAPORU_BURAK_YENI1309[[#This Row],[ALT_KOD]]))</f>
        <v>-8</v>
      </c>
      <c r="L945">
        <v>0</v>
      </c>
      <c r="M945">
        <f>IF((DST_123_ÜRETİM_İHTİYAÇ_RAPORU_BURAK_YENI1309[[#This Row],[SATINALMA]]*DST_123_ÜRETİM_İHTİYAÇ_RAPORU_BURAK_YENI1309[[#This Row],[BIRIM_FIYATLAR]])&lt;1,VALUE("0"),DST_123_ÜRETİM_İHTİYAÇ_RAPORU_BURAK_YENI1309[[#This Row],[SATINALMA]]*DST_123_ÜRETİM_İHTİYAÇ_RAPORU_BURAK_YENI1309[[#This Row],[BIRIM_FIYATLAR]])</f>
        <v>0</v>
      </c>
      <c r="N945">
        <v>65</v>
      </c>
      <c r="O945" t="s">
        <v>240</v>
      </c>
      <c r="P945">
        <v>130</v>
      </c>
      <c r="Q945" t="s">
        <v>180</v>
      </c>
    </row>
    <row r="946" spans="1:17" x14ac:dyDescent="0.25">
      <c r="A946" t="s">
        <v>1098</v>
      </c>
      <c r="B946" t="s">
        <v>1096</v>
      </c>
      <c r="C946" t="s">
        <v>175</v>
      </c>
      <c r="D946" t="s">
        <v>374</v>
      </c>
      <c r="E946" t="s">
        <v>375</v>
      </c>
      <c r="F946">
        <v>2</v>
      </c>
      <c r="G946" t="s">
        <v>176</v>
      </c>
      <c r="H946">
        <v>0</v>
      </c>
      <c r="I946">
        <v>42</v>
      </c>
      <c r="J946" s="10">
        <v>34</v>
      </c>
      <c r="K946" s="10">
        <f>SUMIFS(F:F,D:D,DST_123_ÜRETİM_İHTİYAÇ_RAPORU_BURAK_YENI1309[[#This Row],[ALT_KOD]])-(SUMIFS(H:H,D:D,DST_123_ÜRETİM_İHTİYAÇ_RAPORU_BURAK_YENI1309[[#This Row],[ALT_KOD]])+AVERAGEIFS(I:I,D:D,DST_123_ÜRETİM_İHTİYAÇ_RAPORU_BURAK_YENI1309[[#This Row],[ALT_KOD]])+AVERAGEIFS(L:L,D:D,DST_123_ÜRETİM_İHTİYAÇ_RAPORU_BURAK_YENI1309[[#This Row],[ALT_KOD]]))</f>
        <v>-8</v>
      </c>
      <c r="L946">
        <v>0</v>
      </c>
      <c r="M946">
        <f>IF((DST_123_ÜRETİM_İHTİYAÇ_RAPORU_BURAK_YENI1309[[#This Row],[SATINALMA]]*DST_123_ÜRETİM_İHTİYAÇ_RAPORU_BURAK_YENI1309[[#This Row],[BIRIM_FIYATLAR]])&lt;1,VALUE("0"),DST_123_ÜRETİM_İHTİYAÇ_RAPORU_BURAK_YENI1309[[#This Row],[SATINALMA]]*DST_123_ÜRETİM_İHTİYAÇ_RAPORU_BURAK_YENI1309[[#This Row],[BIRIM_FIYATLAR]])</f>
        <v>0</v>
      </c>
      <c r="N946">
        <v>65</v>
      </c>
      <c r="O946" t="s">
        <v>240</v>
      </c>
      <c r="P946">
        <v>130</v>
      </c>
      <c r="Q946" t="s">
        <v>180</v>
      </c>
    </row>
    <row r="947" spans="1:17" x14ac:dyDescent="0.25">
      <c r="A947" t="s">
        <v>1147</v>
      </c>
      <c r="B947" t="s">
        <v>1145</v>
      </c>
      <c r="C947" t="s">
        <v>175</v>
      </c>
      <c r="D947" t="s">
        <v>365</v>
      </c>
      <c r="E947" t="s">
        <v>366</v>
      </c>
      <c r="F947">
        <v>8</v>
      </c>
      <c r="G947" t="s">
        <v>176</v>
      </c>
      <c r="H947">
        <v>0</v>
      </c>
      <c r="I947">
        <v>3750</v>
      </c>
      <c r="J947" s="10">
        <v>674</v>
      </c>
      <c r="K947" s="10">
        <f>SUMIFS(F:F,D:D,DST_123_ÜRETİM_İHTİYAÇ_RAPORU_BURAK_YENI1309[[#This Row],[ALT_KOD]])-(SUMIFS(H:H,D:D,DST_123_ÜRETİM_İHTİYAÇ_RAPORU_BURAK_YENI1309[[#This Row],[ALT_KOD]])+AVERAGEIFS(I:I,D:D,DST_123_ÜRETİM_İHTİYAÇ_RAPORU_BURAK_YENI1309[[#This Row],[ALT_KOD]])+AVERAGEIFS(L:L,D:D,DST_123_ÜRETİM_İHTİYAÇ_RAPORU_BURAK_YENI1309[[#This Row],[ALT_KOD]]))</f>
        <v>-3452</v>
      </c>
      <c r="L947">
        <v>0</v>
      </c>
      <c r="M947">
        <f>IF((DST_123_ÜRETİM_İHTİYAÇ_RAPORU_BURAK_YENI1309[[#This Row],[SATINALMA]]*DST_123_ÜRETİM_İHTİYAÇ_RAPORU_BURAK_YENI1309[[#This Row],[BIRIM_FIYATLAR]])&lt;1,VALUE("0"),DST_123_ÜRETİM_İHTİYAÇ_RAPORU_BURAK_YENI1309[[#This Row],[SATINALMA]]*DST_123_ÜRETİM_İHTİYAÇ_RAPORU_BURAK_YENI1309[[#This Row],[BIRIM_FIYATLAR]])</f>
        <v>0</v>
      </c>
      <c r="N947">
        <v>0.2</v>
      </c>
      <c r="O947" t="s">
        <v>240</v>
      </c>
      <c r="P947">
        <v>1.6</v>
      </c>
      <c r="Q947" t="s">
        <v>180</v>
      </c>
    </row>
    <row r="948" spans="1:17" x14ac:dyDescent="0.25">
      <c r="A948" t="s">
        <v>1057</v>
      </c>
      <c r="B948" t="s">
        <v>1058</v>
      </c>
      <c r="C948" t="s">
        <v>175</v>
      </c>
      <c r="D948" t="s">
        <v>365</v>
      </c>
      <c r="E948" t="s">
        <v>366</v>
      </c>
      <c r="F948">
        <v>8</v>
      </c>
      <c r="G948" t="s">
        <v>176</v>
      </c>
      <c r="H948">
        <v>0</v>
      </c>
      <c r="I948">
        <v>3750</v>
      </c>
      <c r="J948" s="10">
        <v>674</v>
      </c>
      <c r="K948" s="10">
        <f>SUMIFS(F:F,D:D,DST_123_ÜRETİM_İHTİYAÇ_RAPORU_BURAK_YENI1309[[#This Row],[ALT_KOD]])-(SUMIFS(H:H,D:D,DST_123_ÜRETİM_İHTİYAÇ_RAPORU_BURAK_YENI1309[[#This Row],[ALT_KOD]])+AVERAGEIFS(I:I,D:D,DST_123_ÜRETİM_İHTİYAÇ_RAPORU_BURAK_YENI1309[[#This Row],[ALT_KOD]])+AVERAGEIFS(L:L,D:D,DST_123_ÜRETİM_İHTİYAÇ_RAPORU_BURAK_YENI1309[[#This Row],[ALT_KOD]]))</f>
        <v>-3452</v>
      </c>
      <c r="L948">
        <v>0</v>
      </c>
      <c r="M948">
        <f>IF((DST_123_ÜRETİM_İHTİYAÇ_RAPORU_BURAK_YENI1309[[#This Row],[SATINALMA]]*DST_123_ÜRETİM_İHTİYAÇ_RAPORU_BURAK_YENI1309[[#This Row],[BIRIM_FIYATLAR]])&lt;1,VALUE("0"),DST_123_ÜRETİM_İHTİYAÇ_RAPORU_BURAK_YENI1309[[#This Row],[SATINALMA]]*DST_123_ÜRETİM_İHTİYAÇ_RAPORU_BURAK_YENI1309[[#This Row],[BIRIM_FIYATLAR]])</f>
        <v>0</v>
      </c>
      <c r="N948">
        <v>0.2</v>
      </c>
      <c r="O948" t="s">
        <v>240</v>
      </c>
      <c r="P948">
        <v>1.6</v>
      </c>
      <c r="Q948" t="s">
        <v>180</v>
      </c>
    </row>
    <row r="949" spans="1:17" x14ac:dyDescent="0.25">
      <c r="A949" t="s">
        <v>1100</v>
      </c>
      <c r="B949" t="s">
        <v>1058</v>
      </c>
      <c r="C949" t="s">
        <v>175</v>
      </c>
      <c r="D949" t="s">
        <v>365</v>
      </c>
      <c r="E949" t="s">
        <v>366</v>
      </c>
      <c r="F949">
        <v>12</v>
      </c>
      <c r="G949" t="s">
        <v>176</v>
      </c>
      <c r="H949">
        <v>0</v>
      </c>
      <c r="I949">
        <v>3750</v>
      </c>
      <c r="J949" s="10">
        <v>674</v>
      </c>
      <c r="K949" s="10">
        <f>SUMIFS(F:F,D:D,DST_123_ÜRETİM_İHTİYAÇ_RAPORU_BURAK_YENI1309[[#This Row],[ALT_KOD]])-(SUMIFS(H:H,D:D,DST_123_ÜRETİM_İHTİYAÇ_RAPORU_BURAK_YENI1309[[#This Row],[ALT_KOD]])+AVERAGEIFS(I:I,D:D,DST_123_ÜRETİM_İHTİYAÇ_RAPORU_BURAK_YENI1309[[#This Row],[ALT_KOD]])+AVERAGEIFS(L:L,D:D,DST_123_ÜRETİM_İHTİYAÇ_RAPORU_BURAK_YENI1309[[#This Row],[ALT_KOD]]))</f>
        <v>-3452</v>
      </c>
      <c r="L949">
        <v>0</v>
      </c>
      <c r="M949">
        <f>IF((DST_123_ÜRETİM_İHTİYAÇ_RAPORU_BURAK_YENI1309[[#This Row],[SATINALMA]]*DST_123_ÜRETİM_İHTİYAÇ_RAPORU_BURAK_YENI1309[[#This Row],[BIRIM_FIYATLAR]])&lt;1,VALUE("0"),DST_123_ÜRETİM_İHTİYAÇ_RAPORU_BURAK_YENI1309[[#This Row],[SATINALMA]]*DST_123_ÜRETİM_İHTİYAÇ_RAPORU_BURAK_YENI1309[[#This Row],[BIRIM_FIYATLAR]])</f>
        <v>0</v>
      </c>
      <c r="N949">
        <v>0.2</v>
      </c>
      <c r="O949" t="s">
        <v>240</v>
      </c>
      <c r="P949">
        <v>2.4000000000000004</v>
      </c>
      <c r="Q949" t="s">
        <v>180</v>
      </c>
    </row>
    <row r="950" spans="1:17" x14ac:dyDescent="0.25">
      <c r="A950" t="s">
        <v>1148</v>
      </c>
      <c r="B950" t="s">
        <v>1056</v>
      </c>
      <c r="C950" t="s">
        <v>175</v>
      </c>
      <c r="D950" t="s">
        <v>365</v>
      </c>
      <c r="E950" t="s">
        <v>366</v>
      </c>
      <c r="F950">
        <v>18</v>
      </c>
      <c r="G950" t="s">
        <v>176</v>
      </c>
      <c r="H950">
        <v>0</v>
      </c>
      <c r="I950">
        <v>3750</v>
      </c>
      <c r="J950" s="10">
        <v>674</v>
      </c>
      <c r="K950" s="10">
        <f>SUMIFS(F:F,D:D,DST_123_ÜRETİM_İHTİYAÇ_RAPORU_BURAK_YENI1309[[#This Row],[ALT_KOD]])-(SUMIFS(H:H,D:D,DST_123_ÜRETİM_İHTİYAÇ_RAPORU_BURAK_YENI1309[[#This Row],[ALT_KOD]])+AVERAGEIFS(I:I,D:D,DST_123_ÜRETİM_İHTİYAÇ_RAPORU_BURAK_YENI1309[[#This Row],[ALT_KOD]])+AVERAGEIFS(L:L,D:D,DST_123_ÜRETİM_İHTİYAÇ_RAPORU_BURAK_YENI1309[[#This Row],[ALT_KOD]]))</f>
        <v>-3452</v>
      </c>
      <c r="L950">
        <v>0</v>
      </c>
      <c r="M950">
        <f>IF((DST_123_ÜRETİM_İHTİYAÇ_RAPORU_BURAK_YENI1309[[#This Row],[SATINALMA]]*DST_123_ÜRETİM_İHTİYAÇ_RAPORU_BURAK_YENI1309[[#This Row],[BIRIM_FIYATLAR]])&lt;1,VALUE("0"),DST_123_ÜRETİM_İHTİYAÇ_RAPORU_BURAK_YENI1309[[#This Row],[SATINALMA]]*DST_123_ÜRETİM_İHTİYAÇ_RAPORU_BURAK_YENI1309[[#This Row],[BIRIM_FIYATLAR]])</f>
        <v>0</v>
      </c>
      <c r="N950">
        <v>0.2</v>
      </c>
      <c r="O950" t="s">
        <v>240</v>
      </c>
      <c r="P950">
        <v>3.6</v>
      </c>
      <c r="Q950" t="s">
        <v>180</v>
      </c>
    </row>
    <row r="951" spans="1:17" x14ac:dyDescent="0.25">
      <c r="A951" t="s">
        <v>1144</v>
      </c>
      <c r="B951" t="s">
        <v>1145</v>
      </c>
      <c r="C951" t="s">
        <v>175</v>
      </c>
      <c r="D951" t="s">
        <v>374</v>
      </c>
      <c r="E951" t="s">
        <v>375</v>
      </c>
      <c r="F951">
        <v>2</v>
      </c>
      <c r="G951" t="s">
        <v>176</v>
      </c>
      <c r="H951">
        <v>0</v>
      </c>
      <c r="I951">
        <v>42</v>
      </c>
      <c r="J951" s="10">
        <v>34</v>
      </c>
      <c r="K951" s="10">
        <f>SUMIFS(F:F,D:D,DST_123_ÜRETİM_İHTİYAÇ_RAPORU_BURAK_YENI1309[[#This Row],[ALT_KOD]])-(SUMIFS(H:H,D:D,DST_123_ÜRETİM_İHTİYAÇ_RAPORU_BURAK_YENI1309[[#This Row],[ALT_KOD]])+AVERAGEIFS(I:I,D:D,DST_123_ÜRETİM_İHTİYAÇ_RAPORU_BURAK_YENI1309[[#This Row],[ALT_KOD]])+AVERAGEIFS(L:L,D:D,DST_123_ÜRETİM_İHTİYAÇ_RAPORU_BURAK_YENI1309[[#This Row],[ALT_KOD]]))</f>
        <v>-8</v>
      </c>
      <c r="L951">
        <v>0</v>
      </c>
      <c r="M951">
        <f>IF((DST_123_ÜRETİM_İHTİYAÇ_RAPORU_BURAK_YENI1309[[#This Row],[SATINALMA]]*DST_123_ÜRETİM_İHTİYAÇ_RAPORU_BURAK_YENI1309[[#This Row],[BIRIM_FIYATLAR]])&lt;1,VALUE("0"),DST_123_ÜRETİM_İHTİYAÇ_RAPORU_BURAK_YENI1309[[#This Row],[SATINALMA]]*DST_123_ÜRETİM_İHTİYAÇ_RAPORU_BURAK_YENI1309[[#This Row],[BIRIM_FIYATLAR]])</f>
        <v>0</v>
      </c>
      <c r="N951">
        <v>65</v>
      </c>
      <c r="O951" t="s">
        <v>240</v>
      </c>
      <c r="P951">
        <v>130</v>
      </c>
      <c r="Q951" t="s">
        <v>180</v>
      </c>
    </row>
    <row r="952" spans="1:17" x14ac:dyDescent="0.25">
      <c r="A952" t="s">
        <v>1150</v>
      </c>
      <c r="B952" t="s">
        <v>1145</v>
      </c>
      <c r="C952" t="s">
        <v>175</v>
      </c>
      <c r="D952" t="s">
        <v>868</v>
      </c>
      <c r="E952" t="s">
        <v>869</v>
      </c>
      <c r="F952">
        <v>3</v>
      </c>
      <c r="G952" t="s">
        <v>176</v>
      </c>
      <c r="H952">
        <v>0</v>
      </c>
      <c r="I952">
        <v>252</v>
      </c>
      <c r="J952" s="10">
        <v>51</v>
      </c>
      <c r="K952" s="10">
        <f>SUMIFS(F:F,D:D,DST_123_ÜRETİM_İHTİYAÇ_RAPORU_BURAK_YENI1309[[#This Row],[ALT_KOD]])-(SUMIFS(H:H,D:D,DST_123_ÜRETİM_İHTİYAÇ_RAPORU_BURAK_YENI1309[[#This Row],[ALT_KOD]])+AVERAGEIFS(I:I,D:D,DST_123_ÜRETİM_İHTİYAÇ_RAPORU_BURAK_YENI1309[[#This Row],[ALT_KOD]])+AVERAGEIFS(L:L,D:D,DST_123_ÜRETİM_İHTİYAÇ_RAPORU_BURAK_YENI1309[[#This Row],[ALT_KOD]]))</f>
        <v>-243</v>
      </c>
      <c r="L952">
        <v>0</v>
      </c>
      <c r="M952">
        <f>IF((DST_123_ÜRETİM_İHTİYAÇ_RAPORU_BURAK_YENI1309[[#This Row],[SATINALMA]]*DST_123_ÜRETİM_İHTİYAÇ_RAPORU_BURAK_YENI1309[[#This Row],[BIRIM_FIYATLAR]])&lt;1,VALUE("0"),DST_123_ÜRETİM_İHTİYAÇ_RAPORU_BURAK_YENI1309[[#This Row],[SATINALMA]]*DST_123_ÜRETİM_İHTİYAÇ_RAPORU_BURAK_YENI1309[[#This Row],[BIRIM_FIYATLAR]])</f>
        <v>0</v>
      </c>
      <c r="N952">
        <v>8</v>
      </c>
      <c r="O952" t="s">
        <v>240</v>
      </c>
      <c r="P952">
        <v>24</v>
      </c>
      <c r="Q952" t="s">
        <v>178</v>
      </c>
    </row>
    <row r="953" spans="1:17" x14ac:dyDescent="0.25">
      <c r="A953" t="s">
        <v>1150</v>
      </c>
      <c r="B953" t="s">
        <v>1145</v>
      </c>
      <c r="C953" t="s">
        <v>175</v>
      </c>
      <c r="D953" t="s">
        <v>838</v>
      </c>
      <c r="E953" t="s">
        <v>839</v>
      </c>
      <c r="F953">
        <v>0.05</v>
      </c>
      <c r="G953" t="s">
        <v>179</v>
      </c>
      <c r="H953">
        <v>0</v>
      </c>
      <c r="I953">
        <v>0</v>
      </c>
      <c r="J953" s="10">
        <v>0</v>
      </c>
      <c r="K953" s="10">
        <f>SUMIFS(F:F,D:D,DST_123_ÜRETİM_İHTİYAÇ_RAPORU_BURAK_YENI1309[[#This Row],[ALT_KOD]])-(SUMIFS(H:H,D:D,DST_123_ÜRETİM_İHTİYAÇ_RAPORU_BURAK_YENI1309[[#This Row],[ALT_KOD]])+AVERAGEIFS(I:I,D:D,DST_123_ÜRETİM_İHTİYAÇ_RAPORU_BURAK_YENI1309[[#This Row],[ALT_KOD]])+AVERAGEIFS(L:L,D:D,DST_123_ÜRETİM_İHTİYAÇ_RAPORU_BURAK_YENI1309[[#This Row],[ALT_KOD]]))</f>
        <v>1.8</v>
      </c>
      <c r="L953">
        <v>0</v>
      </c>
      <c r="M953">
        <f>IF((DST_123_ÜRETİM_İHTİYAÇ_RAPORU_BURAK_YENI1309[[#This Row],[SATINALMA]]*DST_123_ÜRETİM_İHTİYAÇ_RAPORU_BURAK_YENI1309[[#This Row],[BIRIM_FIYATLAR]])&lt;1,VALUE("0"),DST_123_ÜRETİM_İHTİYAÇ_RAPORU_BURAK_YENI1309[[#This Row],[SATINALMA]]*DST_123_ÜRETİM_İHTİYAÇ_RAPORU_BURAK_YENI1309[[#This Row],[BIRIM_FIYATLAR]])</f>
        <v>9</v>
      </c>
      <c r="N953">
        <v>5</v>
      </c>
      <c r="P953">
        <v>0.25</v>
      </c>
      <c r="Q953" t="s">
        <v>221</v>
      </c>
    </row>
    <row r="954" spans="1:17" x14ac:dyDescent="0.25">
      <c r="A954" t="s">
        <v>1101</v>
      </c>
      <c r="B954" t="s">
        <v>1102</v>
      </c>
      <c r="C954" t="s">
        <v>175</v>
      </c>
      <c r="D954" t="s">
        <v>868</v>
      </c>
      <c r="E954" t="s">
        <v>869</v>
      </c>
      <c r="F954">
        <v>3</v>
      </c>
      <c r="G954" t="s">
        <v>176</v>
      </c>
      <c r="H954">
        <v>0</v>
      </c>
      <c r="I954">
        <v>252</v>
      </c>
      <c r="J954" s="10">
        <v>51</v>
      </c>
      <c r="K954" s="10">
        <f>SUMIFS(F:F,D:D,DST_123_ÜRETİM_İHTİYAÇ_RAPORU_BURAK_YENI1309[[#This Row],[ALT_KOD]])-(SUMIFS(H:H,D:D,DST_123_ÜRETİM_İHTİYAÇ_RAPORU_BURAK_YENI1309[[#This Row],[ALT_KOD]])+AVERAGEIFS(I:I,D:D,DST_123_ÜRETİM_İHTİYAÇ_RAPORU_BURAK_YENI1309[[#This Row],[ALT_KOD]])+AVERAGEIFS(L:L,D:D,DST_123_ÜRETİM_İHTİYAÇ_RAPORU_BURAK_YENI1309[[#This Row],[ALT_KOD]]))</f>
        <v>-243</v>
      </c>
      <c r="L954">
        <v>0</v>
      </c>
      <c r="M954">
        <f>IF((DST_123_ÜRETİM_İHTİYAÇ_RAPORU_BURAK_YENI1309[[#This Row],[SATINALMA]]*DST_123_ÜRETİM_İHTİYAÇ_RAPORU_BURAK_YENI1309[[#This Row],[BIRIM_FIYATLAR]])&lt;1,VALUE("0"),DST_123_ÜRETİM_İHTİYAÇ_RAPORU_BURAK_YENI1309[[#This Row],[SATINALMA]]*DST_123_ÜRETİM_İHTİYAÇ_RAPORU_BURAK_YENI1309[[#This Row],[BIRIM_FIYATLAR]])</f>
        <v>0</v>
      </c>
      <c r="N954">
        <v>8</v>
      </c>
      <c r="O954" t="s">
        <v>240</v>
      </c>
      <c r="P954">
        <v>24</v>
      </c>
      <c r="Q954" t="s">
        <v>178</v>
      </c>
    </row>
    <row r="955" spans="1:17" x14ac:dyDescent="0.25">
      <c r="A955" s="13" t="s">
        <v>1149</v>
      </c>
      <c r="B955" s="13" t="s">
        <v>1145</v>
      </c>
      <c r="C955" t="s">
        <v>175</v>
      </c>
      <c r="D955" s="13" t="s">
        <v>838</v>
      </c>
      <c r="E955" s="13" t="s">
        <v>839</v>
      </c>
      <c r="F955" s="13">
        <v>0.05</v>
      </c>
      <c r="G955" s="13" t="s">
        <v>179</v>
      </c>
      <c r="H955">
        <v>0</v>
      </c>
      <c r="I955">
        <v>0</v>
      </c>
      <c r="J955" s="10">
        <v>0</v>
      </c>
      <c r="K955" s="10">
        <f>SUMIFS(F:F,D:D,DST_123_ÜRETİM_İHTİYAÇ_RAPORU_BURAK_YENI1309[[#This Row],[ALT_KOD]])-(SUMIFS(H:H,D:D,DST_123_ÜRETİM_İHTİYAÇ_RAPORU_BURAK_YENI1309[[#This Row],[ALT_KOD]])+AVERAGEIFS(I:I,D:D,DST_123_ÜRETİM_İHTİYAÇ_RAPORU_BURAK_YENI1309[[#This Row],[ALT_KOD]])+AVERAGEIFS(L:L,D:D,DST_123_ÜRETİM_İHTİYAÇ_RAPORU_BURAK_YENI1309[[#This Row],[ALT_KOD]]))</f>
        <v>1.8</v>
      </c>
      <c r="L955">
        <v>0</v>
      </c>
      <c r="M955">
        <f>IF((DST_123_ÜRETİM_İHTİYAÇ_RAPORU_BURAK_YENI1309[[#This Row],[SATINALMA]]*DST_123_ÜRETİM_İHTİYAÇ_RAPORU_BURAK_YENI1309[[#This Row],[BIRIM_FIYATLAR]])&lt;1,VALUE("0"),DST_123_ÜRETİM_İHTİYAÇ_RAPORU_BURAK_YENI1309[[#This Row],[SATINALMA]]*DST_123_ÜRETİM_İHTİYAÇ_RAPORU_BURAK_YENI1309[[#This Row],[BIRIM_FIYATLAR]])</f>
        <v>9</v>
      </c>
      <c r="N955">
        <v>5</v>
      </c>
      <c r="P955">
        <v>0.25</v>
      </c>
      <c r="Q955" t="s">
        <v>221</v>
      </c>
    </row>
    <row r="956" spans="1:17" x14ac:dyDescent="0.25">
      <c r="A956" t="s">
        <v>1148</v>
      </c>
      <c r="B956" t="s">
        <v>1056</v>
      </c>
      <c r="C956" t="s">
        <v>175</v>
      </c>
      <c r="D956" t="s">
        <v>374</v>
      </c>
      <c r="E956" t="s">
        <v>375</v>
      </c>
      <c r="F956">
        <v>2</v>
      </c>
      <c r="G956" t="s">
        <v>176</v>
      </c>
      <c r="H956">
        <v>0</v>
      </c>
      <c r="I956">
        <v>42</v>
      </c>
      <c r="J956" s="10">
        <v>34</v>
      </c>
      <c r="K956" s="10">
        <f>SUMIFS(F:F,D:D,DST_123_ÜRETİM_İHTİYAÇ_RAPORU_BURAK_YENI1309[[#This Row],[ALT_KOD]])-(SUMIFS(H:H,D:D,DST_123_ÜRETİM_İHTİYAÇ_RAPORU_BURAK_YENI1309[[#This Row],[ALT_KOD]])+AVERAGEIFS(I:I,D:D,DST_123_ÜRETİM_İHTİYAÇ_RAPORU_BURAK_YENI1309[[#This Row],[ALT_KOD]])+AVERAGEIFS(L:L,D:D,DST_123_ÜRETİM_İHTİYAÇ_RAPORU_BURAK_YENI1309[[#This Row],[ALT_KOD]]))</f>
        <v>-8</v>
      </c>
      <c r="L956">
        <v>0</v>
      </c>
      <c r="M956">
        <f>IF((DST_123_ÜRETİM_İHTİYAÇ_RAPORU_BURAK_YENI1309[[#This Row],[SATINALMA]]*DST_123_ÜRETİM_İHTİYAÇ_RAPORU_BURAK_YENI1309[[#This Row],[BIRIM_FIYATLAR]])&lt;1,VALUE("0"),DST_123_ÜRETİM_İHTİYAÇ_RAPORU_BURAK_YENI1309[[#This Row],[SATINALMA]]*DST_123_ÜRETİM_İHTİYAÇ_RAPORU_BURAK_YENI1309[[#This Row],[BIRIM_FIYATLAR]])</f>
        <v>0</v>
      </c>
      <c r="N956">
        <v>65</v>
      </c>
      <c r="O956" t="s">
        <v>240</v>
      </c>
      <c r="P956">
        <v>130</v>
      </c>
      <c r="Q956" t="s">
        <v>180</v>
      </c>
    </row>
    <row r="957" spans="1:17" x14ac:dyDescent="0.25">
      <c r="A957" t="s">
        <v>1057</v>
      </c>
      <c r="B957" t="s">
        <v>1058</v>
      </c>
      <c r="C957" t="s">
        <v>175</v>
      </c>
      <c r="D957" t="s">
        <v>374</v>
      </c>
      <c r="E957" t="s">
        <v>375</v>
      </c>
      <c r="F957">
        <v>2</v>
      </c>
      <c r="G957" t="s">
        <v>176</v>
      </c>
      <c r="H957">
        <v>0</v>
      </c>
      <c r="I957">
        <v>42</v>
      </c>
      <c r="J957" s="10">
        <v>34</v>
      </c>
      <c r="K957" s="10">
        <f>SUMIFS(F:F,D:D,DST_123_ÜRETİM_İHTİYAÇ_RAPORU_BURAK_YENI1309[[#This Row],[ALT_KOD]])-(SUMIFS(H:H,D:D,DST_123_ÜRETİM_İHTİYAÇ_RAPORU_BURAK_YENI1309[[#This Row],[ALT_KOD]])+AVERAGEIFS(I:I,D:D,DST_123_ÜRETİM_İHTİYAÇ_RAPORU_BURAK_YENI1309[[#This Row],[ALT_KOD]])+AVERAGEIFS(L:L,D:D,DST_123_ÜRETİM_İHTİYAÇ_RAPORU_BURAK_YENI1309[[#This Row],[ALT_KOD]]))</f>
        <v>-8</v>
      </c>
      <c r="L957">
        <v>0</v>
      </c>
      <c r="M957">
        <f>IF((DST_123_ÜRETİM_İHTİYAÇ_RAPORU_BURAK_YENI1309[[#This Row],[SATINALMA]]*DST_123_ÜRETİM_İHTİYAÇ_RAPORU_BURAK_YENI1309[[#This Row],[BIRIM_FIYATLAR]])&lt;1,VALUE("0"),DST_123_ÜRETİM_İHTİYAÇ_RAPORU_BURAK_YENI1309[[#This Row],[SATINALMA]]*DST_123_ÜRETİM_İHTİYAÇ_RAPORU_BURAK_YENI1309[[#This Row],[BIRIM_FIYATLAR]])</f>
        <v>0</v>
      </c>
      <c r="N957">
        <v>65</v>
      </c>
      <c r="O957" t="s">
        <v>240</v>
      </c>
      <c r="P957">
        <v>130</v>
      </c>
      <c r="Q957" t="s">
        <v>180</v>
      </c>
    </row>
    <row r="958" spans="1:17" x14ac:dyDescent="0.25">
      <c r="A958" t="s">
        <v>1150</v>
      </c>
      <c r="B958" t="s">
        <v>1145</v>
      </c>
      <c r="C958" t="s">
        <v>175</v>
      </c>
      <c r="D958" t="s">
        <v>374</v>
      </c>
      <c r="E958" t="s">
        <v>375</v>
      </c>
      <c r="F958">
        <v>2</v>
      </c>
      <c r="G958" t="s">
        <v>176</v>
      </c>
      <c r="H958">
        <v>0</v>
      </c>
      <c r="I958">
        <v>42</v>
      </c>
      <c r="J958" s="10">
        <v>34</v>
      </c>
      <c r="K958" s="10">
        <f>SUMIFS(F:F,D:D,DST_123_ÜRETİM_İHTİYAÇ_RAPORU_BURAK_YENI1309[[#This Row],[ALT_KOD]])-(SUMIFS(H:H,D:D,DST_123_ÜRETİM_İHTİYAÇ_RAPORU_BURAK_YENI1309[[#This Row],[ALT_KOD]])+AVERAGEIFS(I:I,D:D,DST_123_ÜRETİM_İHTİYAÇ_RAPORU_BURAK_YENI1309[[#This Row],[ALT_KOD]])+AVERAGEIFS(L:L,D:D,DST_123_ÜRETİM_İHTİYAÇ_RAPORU_BURAK_YENI1309[[#This Row],[ALT_KOD]]))</f>
        <v>-8</v>
      </c>
      <c r="L958">
        <v>0</v>
      </c>
      <c r="M958">
        <f>IF((DST_123_ÜRETİM_İHTİYAÇ_RAPORU_BURAK_YENI1309[[#This Row],[SATINALMA]]*DST_123_ÜRETİM_İHTİYAÇ_RAPORU_BURAK_YENI1309[[#This Row],[BIRIM_FIYATLAR]])&lt;1,VALUE("0"),DST_123_ÜRETİM_İHTİYAÇ_RAPORU_BURAK_YENI1309[[#This Row],[SATINALMA]]*DST_123_ÜRETİM_İHTİYAÇ_RAPORU_BURAK_YENI1309[[#This Row],[BIRIM_FIYATLAR]])</f>
        <v>0</v>
      </c>
      <c r="N958">
        <v>65</v>
      </c>
      <c r="O958" t="s">
        <v>240</v>
      </c>
      <c r="P958">
        <v>130</v>
      </c>
      <c r="Q958" t="s">
        <v>180</v>
      </c>
    </row>
    <row r="959" spans="1:17" x14ac:dyDescent="0.25">
      <c r="A959" t="s">
        <v>1150</v>
      </c>
      <c r="B959" t="s">
        <v>1145</v>
      </c>
      <c r="C959" t="s">
        <v>175</v>
      </c>
      <c r="D959" t="s">
        <v>23</v>
      </c>
      <c r="E959" t="s">
        <v>304</v>
      </c>
      <c r="F959">
        <v>1</v>
      </c>
      <c r="G959" t="s">
        <v>176</v>
      </c>
      <c r="H959">
        <v>0</v>
      </c>
      <c r="I959">
        <v>0</v>
      </c>
      <c r="J959" s="10">
        <v>7</v>
      </c>
      <c r="K959" s="10">
        <f>SUMIFS(F:F,D:D,DST_123_ÜRETİM_İHTİYAÇ_RAPORU_BURAK_YENI1309[[#This Row],[ALT_KOD]])-(SUMIFS(H:H,D:D,DST_123_ÜRETİM_İHTİYAÇ_RAPORU_BURAK_YENI1309[[#This Row],[ALT_KOD]])+AVERAGEIFS(I:I,D:D,DST_123_ÜRETİM_İHTİYAÇ_RAPORU_BURAK_YENI1309[[#This Row],[ALT_KOD]])+AVERAGEIFS(L:L,D:D,DST_123_ÜRETİM_İHTİYAÇ_RAPORU_BURAK_YENI1309[[#This Row],[ALT_KOD]]))</f>
        <v>19</v>
      </c>
      <c r="L959">
        <v>0</v>
      </c>
      <c r="M959">
        <f>IF((DST_123_ÜRETİM_İHTİYAÇ_RAPORU_BURAK_YENI1309[[#This Row],[SATINALMA]]*DST_123_ÜRETİM_İHTİYAÇ_RAPORU_BURAK_YENI1309[[#This Row],[BIRIM_FIYATLAR]])&lt;1,VALUE("0"),DST_123_ÜRETİM_İHTİYAÇ_RAPORU_BURAK_YENI1309[[#This Row],[SATINALMA]]*DST_123_ÜRETİM_İHTİYAÇ_RAPORU_BURAK_YENI1309[[#This Row],[BIRIM_FIYATLAR]])</f>
        <v>760</v>
      </c>
      <c r="N959">
        <v>40</v>
      </c>
      <c r="O959" t="s">
        <v>635</v>
      </c>
      <c r="P959">
        <v>40</v>
      </c>
      <c r="Q959" t="s">
        <v>221</v>
      </c>
    </row>
    <row r="960" spans="1:17" x14ac:dyDescent="0.25">
      <c r="A960" t="s">
        <v>1146</v>
      </c>
      <c r="B960" t="s">
        <v>1145</v>
      </c>
      <c r="C960" t="s">
        <v>175</v>
      </c>
      <c r="D960" t="s">
        <v>468</v>
      </c>
      <c r="E960" t="s">
        <v>579</v>
      </c>
      <c r="F960">
        <v>3</v>
      </c>
      <c r="G960" t="s">
        <v>185</v>
      </c>
      <c r="H960">
        <v>0</v>
      </c>
      <c r="I960">
        <v>30</v>
      </c>
      <c r="J960" s="10">
        <v>21.5</v>
      </c>
      <c r="K960" s="10">
        <f>SUMIFS(F:F,D:D,DST_123_ÜRETİM_İHTİYAÇ_RAPORU_BURAK_YENI1309[[#This Row],[ALT_KOD]])-(SUMIFS(H:H,D:D,DST_123_ÜRETİM_İHTİYAÇ_RAPORU_BURAK_YENI1309[[#This Row],[ALT_KOD]])+AVERAGEIFS(I:I,D:D,DST_123_ÜRETİM_İHTİYAÇ_RAPORU_BURAK_YENI1309[[#This Row],[ALT_KOD]])+AVERAGEIFS(L:L,D:D,DST_123_ÜRETİM_İHTİYAÇ_RAPORU_BURAK_YENI1309[[#This Row],[ALT_KOD]]))</f>
        <v>4</v>
      </c>
      <c r="L960">
        <v>0</v>
      </c>
      <c r="M960">
        <f>IF((DST_123_ÜRETİM_İHTİYAÇ_RAPORU_BURAK_YENI1309[[#This Row],[SATINALMA]]*DST_123_ÜRETİM_İHTİYAÇ_RAPORU_BURAK_YENI1309[[#This Row],[BIRIM_FIYATLAR]])&lt;1,VALUE("0"),DST_123_ÜRETİM_İHTİYAÇ_RAPORU_BURAK_YENI1309[[#This Row],[SATINALMA]]*DST_123_ÜRETİM_İHTİYAÇ_RAPORU_BURAK_YENI1309[[#This Row],[BIRIM_FIYATLAR]])</f>
        <v>472.56</v>
      </c>
      <c r="N960">
        <v>118.14</v>
      </c>
      <c r="O960" t="s">
        <v>393</v>
      </c>
      <c r="P960">
        <v>354.42</v>
      </c>
      <c r="Q960" t="s">
        <v>183</v>
      </c>
    </row>
    <row r="961" spans="1:17" x14ac:dyDescent="0.25">
      <c r="A961" t="s">
        <v>1144</v>
      </c>
      <c r="B961" t="s">
        <v>1145</v>
      </c>
      <c r="C961" t="s">
        <v>175</v>
      </c>
      <c r="D961" t="s">
        <v>468</v>
      </c>
      <c r="E961" t="s">
        <v>579</v>
      </c>
      <c r="F961">
        <v>1.5</v>
      </c>
      <c r="G961" t="s">
        <v>185</v>
      </c>
      <c r="H961">
        <v>0</v>
      </c>
      <c r="I961">
        <v>30</v>
      </c>
      <c r="J961" s="10">
        <v>21.5</v>
      </c>
      <c r="K961" s="10">
        <f>SUMIFS(F:F,D:D,DST_123_ÜRETİM_İHTİYAÇ_RAPORU_BURAK_YENI1309[[#This Row],[ALT_KOD]])-(SUMIFS(H:H,D:D,DST_123_ÜRETİM_İHTİYAÇ_RAPORU_BURAK_YENI1309[[#This Row],[ALT_KOD]])+AVERAGEIFS(I:I,D:D,DST_123_ÜRETİM_İHTİYAÇ_RAPORU_BURAK_YENI1309[[#This Row],[ALT_KOD]])+AVERAGEIFS(L:L,D:D,DST_123_ÜRETİM_İHTİYAÇ_RAPORU_BURAK_YENI1309[[#This Row],[ALT_KOD]]))</f>
        <v>4</v>
      </c>
      <c r="L961">
        <v>0</v>
      </c>
      <c r="M961">
        <f>IF((DST_123_ÜRETİM_İHTİYAÇ_RAPORU_BURAK_YENI1309[[#This Row],[SATINALMA]]*DST_123_ÜRETİM_İHTİYAÇ_RAPORU_BURAK_YENI1309[[#This Row],[BIRIM_FIYATLAR]])&lt;1,VALUE("0"),DST_123_ÜRETİM_İHTİYAÇ_RAPORU_BURAK_YENI1309[[#This Row],[SATINALMA]]*DST_123_ÜRETİM_İHTİYAÇ_RAPORU_BURAK_YENI1309[[#This Row],[BIRIM_FIYATLAR]])</f>
        <v>472.56</v>
      </c>
      <c r="N961">
        <v>118.14</v>
      </c>
      <c r="O961" t="s">
        <v>393</v>
      </c>
      <c r="P961">
        <v>177.21</v>
      </c>
      <c r="Q961" t="s">
        <v>183</v>
      </c>
    </row>
    <row r="962" spans="1:17" x14ac:dyDescent="0.25">
      <c r="A962" t="s">
        <v>1149</v>
      </c>
      <c r="B962" t="s">
        <v>1145</v>
      </c>
      <c r="C962" t="s">
        <v>175</v>
      </c>
      <c r="D962" t="s">
        <v>413</v>
      </c>
      <c r="E962" t="s">
        <v>664</v>
      </c>
      <c r="F962">
        <v>0.30000000000000004</v>
      </c>
      <c r="G962" t="s">
        <v>179</v>
      </c>
      <c r="H962">
        <v>0</v>
      </c>
      <c r="I962">
        <v>0</v>
      </c>
      <c r="J962" s="10">
        <v>93.800000000000011</v>
      </c>
      <c r="K962" s="10">
        <f>SUMIFS(F:F,D:D,DST_123_ÜRETİM_İHTİYAÇ_RAPORU_BURAK_YENI1309[[#This Row],[ALT_KOD]])-(SUMIFS(H:H,D:D,DST_123_ÜRETİM_İHTİYAÇ_RAPORU_BURAK_YENI1309[[#This Row],[ALT_KOD]])+AVERAGEIFS(I:I,D:D,DST_123_ÜRETİM_İHTİYAÇ_RAPORU_BURAK_YENI1309[[#This Row],[ALT_KOD]])+AVERAGEIFS(L:L,D:D,DST_123_ÜRETİM_İHTİYAÇ_RAPORU_BURAK_YENI1309[[#This Row],[ALT_KOD]]))</f>
        <v>5.0999999999999996</v>
      </c>
      <c r="L962">
        <v>0</v>
      </c>
      <c r="M962">
        <f>IF((DST_123_ÜRETİM_İHTİYAÇ_RAPORU_BURAK_YENI1309[[#This Row],[SATINALMA]]*DST_123_ÜRETİM_İHTİYAÇ_RAPORU_BURAK_YENI1309[[#This Row],[BIRIM_FIYATLAR]])&lt;1,VALUE("0"),DST_123_ÜRETİM_İHTİYAÇ_RAPORU_BURAK_YENI1309[[#This Row],[SATINALMA]]*DST_123_ÜRETİM_İHTİYAÇ_RAPORU_BURAK_YENI1309[[#This Row],[BIRIM_FIYATLAR]])</f>
        <v>34.526999999999994</v>
      </c>
      <c r="N962">
        <v>6.77</v>
      </c>
      <c r="O962" t="s">
        <v>635</v>
      </c>
      <c r="P962">
        <v>2.0310000000000001</v>
      </c>
      <c r="Q962" t="s">
        <v>221</v>
      </c>
    </row>
    <row r="963" spans="1:17" x14ac:dyDescent="0.25">
      <c r="A963" t="s">
        <v>1146</v>
      </c>
      <c r="B963" t="s">
        <v>1145</v>
      </c>
      <c r="C963" t="s">
        <v>175</v>
      </c>
      <c r="D963" t="s">
        <v>413</v>
      </c>
      <c r="E963" t="s">
        <v>664</v>
      </c>
      <c r="F963">
        <v>0.30000000000000004</v>
      </c>
      <c r="G963" t="s">
        <v>179</v>
      </c>
      <c r="H963">
        <v>0</v>
      </c>
      <c r="I963">
        <v>0</v>
      </c>
      <c r="J963" s="10">
        <v>93.800000000000011</v>
      </c>
      <c r="K963" s="10">
        <f>SUMIFS(F:F,D:D,DST_123_ÜRETİM_İHTİYAÇ_RAPORU_BURAK_YENI1309[[#This Row],[ALT_KOD]])-(SUMIFS(H:H,D:D,DST_123_ÜRETİM_İHTİYAÇ_RAPORU_BURAK_YENI1309[[#This Row],[ALT_KOD]])+AVERAGEIFS(I:I,D:D,DST_123_ÜRETİM_İHTİYAÇ_RAPORU_BURAK_YENI1309[[#This Row],[ALT_KOD]])+AVERAGEIFS(L:L,D:D,DST_123_ÜRETİM_İHTİYAÇ_RAPORU_BURAK_YENI1309[[#This Row],[ALT_KOD]]))</f>
        <v>5.0999999999999996</v>
      </c>
      <c r="L963">
        <v>0</v>
      </c>
      <c r="M963">
        <f>IF((DST_123_ÜRETİM_İHTİYAÇ_RAPORU_BURAK_YENI1309[[#This Row],[SATINALMA]]*DST_123_ÜRETİM_İHTİYAÇ_RAPORU_BURAK_YENI1309[[#This Row],[BIRIM_FIYATLAR]])&lt;1,VALUE("0"),DST_123_ÜRETİM_İHTİYAÇ_RAPORU_BURAK_YENI1309[[#This Row],[SATINALMA]]*DST_123_ÜRETİM_İHTİYAÇ_RAPORU_BURAK_YENI1309[[#This Row],[BIRIM_FIYATLAR]])</f>
        <v>34.526999999999994</v>
      </c>
      <c r="N963">
        <v>6.77</v>
      </c>
      <c r="O963" t="s">
        <v>635</v>
      </c>
      <c r="P963">
        <v>2.0310000000000001</v>
      </c>
      <c r="Q963" t="s">
        <v>221</v>
      </c>
    </row>
    <row r="964" spans="1:17" x14ac:dyDescent="0.25">
      <c r="A964" t="s">
        <v>1149</v>
      </c>
      <c r="B964" t="s">
        <v>1145</v>
      </c>
      <c r="C964" t="s">
        <v>175</v>
      </c>
      <c r="D964" t="s">
        <v>237</v>
      </c>
      <c r="E964" t="s">
        <v>306</v>
      </c>
      <c r="F964">
        <v>2</v>
      </c>
      <c r="G964" t="s">
        <v>176</v>
      </c>
      <c r="H964">
        <v>0</v>
      </c>
      <c r="I964">
        <v>37</v>
      </c>
      <c r="J964" s="10">
        <v>20</v>
      </c>
      <c r="K964" s="10">
        <f>SUMIFS(F:F,D:D,DST_123_ÜRETİM_İHTİYAÇ_RAPORU_BURAK_YENI1309[[#This Row],[ALT_KOD]])-(SUMIFS(H:H,D:D,DST_123_ÜRETİM_İHTİYAÇ_RAPORU_BURAK_YENI1309[[#This Row],[ALT_KOD]])+AVERAGEIFS(I:I,D:D,DST_123_ÜRETİM_İHTİYAÇ_RAPORU_BURAK_YENI1309[[#This Row],[ALT_KOD]])+AVERAGEIFS(L:L,D:D,DST_123_ÜRETİM_İHTİYAÇ_RAPORU_BURAK_YENI1309[[#This Row],[ALT_KOD]]))</f>
        <v>-13</v>
      </c>
      <c r="L964">
        <v>0</v>
      </c>
      <c r="M964">
        <f>IF((DST_123_ÜRETİM_İHTİYAÇ_RAPORU_BURAK_YENI1309[[#This Row],[SATINALMA]]*DST_123_ÜRETİM_İHTİYAÇ_RAPORU_BURAK_YENI1309[[#This Row],[BIRIM_FIYATLAR]])&lt;1,VALUE("0"),DST_123_ÜRETİM_İHTİYAÇ_RAPORU_BURAK_YENI1309[[#This Row],[SATINALMA]]*DST_123_ÜRETİM_İHTİYAÇ_RAPORU_BURAK_YENI1309[[#This Row],[BIRIM_FIYATLAR]])</f>
        <v>0</v>
      </c>
      <c r="N964">
        <v>45.3</v>
      </c>
      <c r="O964" t="s">
        <v>826</v>
      </c>
      <c r="P964">
        <v>90.6</v>
      </c>
      <c r="Q964" t="s">
        <v>221</v>
      </c>
    </row>
    <row r="965" spans="1:17" x14ac:dyDescent="0.25">
      <c r="A965" t="s">
        <v>1146</v>
      </c>
      <c r="B965" t="s">
        <v>1145</v>
      </c>
      <c r="C965" t="s">
        <v>175</v>
      </c>
      <c r="D965" t="s">
        <v>237</v>
      </c>
      <c r="E965" t="s">
        <v>306</v>
      </c>
      <c r="F965">
        <v>2</v>
      </c>
      <c r="G965" t="s">
        <v>176</v>
      </c>
      <c r="H965">
        <v>0</v>
      </c>
      <c r="I965">
        <v>37</v>
      </c>
      <c r="J965" s="10">
        <v>20</v>
      </c>
      <c r="K965" s="10">
        <f>SUMIFS(F:F,D:D,DST_123_ÜRETİM_İHTİYAÇ_RAPORU_BURAK_YENI1309[[#This Row],[ALT_KOD]])-(SUMIFS(H:H,D:D,DST_123_ÜRETİM_İHTİYAÇ_RAPORU_BURAK_YENI1309[[#This Row],[ALT_KOD]])+AVERAGEIFS(I:I,D:D,DST_123_ÜRETİM_İHTİYAÇ_RAPORU_BURAK_YENI1309[[#This Row],[ALT_KOD]])+AVERAGEIFS(L:L,D:D,DST_123_ÜRETİM_İHTİYAÇ_RAPORU_BURAK_YENI1309[[#This Row],[ALT_KOD]]))</f>
        <v>-13</v>
      </c>
      <c r="L965">
        <v>0</v>
      </c>
      <c r="M965">
        <f>IF((DST_123_ÜRETİM_İHTİYAÇ_RAPORU_BURAK_YENI1309[[#This Row],[SATINALMA]]*DST_123_ÜRETİM_İHTİYAÇ_RAPORU_BURAK_YENI1309[[#This Row],[BIRIM_FIYATLAR]])&lt;1,VALUE("0"),DST_123_ÜRETİM_İHTİYAÇ_RAPORU_BURAK_YENI1309[[#This Row],[SATINALMA]]*DST_123_ÜRETİM_İHTİYAÇ_RAPORU_BURAK_YENI1309[[#This Row],[BIRIM_FIYATLAR]])</f>
        <v>0</v>
      </c>
      <c r="N965">
        <v>45.3</v>
      </c>
      <c r="O965" t="s">
        <v>826</v>
      </c>
      <c r="P965">
        <v>90.6</v>
      </c>
      <c r="Q965" t="s">
        <v>221</v>
      </c>
    </row>
    <row r="966" spans="1:17" x14ac:dyDescent="0.25">
      <c r="A966" t="s">
        <v>1147</v>
      </c>
      <c r="B966" t="s">
        <v>1145</v>
      </c>
      <c r="C966" t="s">
        <v>175</v>
      </c>
      <c r="D966" t="s">
        <v>324</v>
      </c>
      <c r="E966" t="s">
        <v>325</v>
      </c>
      <c r="F966">
        <v>0.10400000000000001</v>
      </c>
      <c r="G966" t="s">
        <v>176</v>
      </c>
      <c r="H966">
        <v>0</v>
      </c>
      <c r="I966">
        <v>0</v>
      </c>
      <c r="J966" s="10">
        <v>1.7763568394002505E-15</v>
      </c>
      <c r="K966" s="10">
        <f>SUMIFS(F:F,D:D,DST_123_ÜRETİM_İHTİYAÇ_RAPORU_BURAK_YENI1309[[#This Row],[ALT_KOD]])-(SUMIFS(H:H,D:D,DST_123_ÜRETİM_İHTİYAÇ_RAPORU_BURAK_YENI1309[[#This Row],[ALT_KOD]])+AVERAGEIFS(I:I,D:D,DST_123_ÜRETİM_İHTİYAÇ_RAPORU_BURAK_YENI1309[[#This Row],[ALT_KOD]])+AVERAGEIFS(L:L,D:D,DST_123_ÜRETİM_İHTİYAÇ_RAPORU_BURAK_YENI1309[[#This Row],[ALT_KOD]]))</f>
        <v>2.5820000000000007</v>
      </c>
      <c r="L966">
        <v>0</v>
      </c>
      <c r="M966">
        <f>IF((DST_123_ÜRETİM_İHTİYAÇ_RAPORU_BURAK_YENI1309[[#This Row],[SATINALMA]]*DST_123_ÜRETİM_İHTİYAÇ_RAPORU_BURAK_YENI1309[[#This Row],[BIRIM_FIYATLAR]])&lt;1,VALUE("0"),DST_123_ÜRETİM_İHTİYAÇ_RAPORU_BURAK_YENI1309[[#This Row],[SATINALMA]]*DST_123_ÜRETİM_İHTİYAÇ_RAPORU_BURAK_YENI1309[[#This Row],[BIRIM_FIYATLAR]])</f>
        <v>4066.650000000001</v>
      </c>
      <c r="N966">
        <v>1575</v>
      </c>
      <c r="O966" t="s">
        <v>326</v>
      </c>
      <c r="P966">
        <v>163.80000000000001</v>
      </c>
      <c r="Q966" t="s">
        <v>178</v>
      </c>
    </row>
    <row r="967" spans="1:17" x14ac:dyDescent="0.25">
      <c r="A967" t="s">
        <v>1100</v>
      </c>
      <c r="B967" t="s">
        <v>1058</v>
      </c>
      <c r="C967" t="s">
        <v>175</v>
      </c>
      <c r="D967" t="s">
        <v>324</v>
      </c>
      <c r="E967" t="s">
        <v>325</v>
      </c>
      <c r="F967">
        <v>0.10400000000000001</v>
      </c>
      <c r="G967" t="s">
        <v>176</v>
      </c>
      <c r="H967">
        <v>0</v>
      </c>
      <c r="I967">
        <v>0</v>
      </c>
      <c r="J967" s="10">
        <v>1.7763568394002505E-15</v>
      </c>
      <c r="K967" s="10">
        <f>SUMIFS(F:F,D:D,DST_123_ÜRETİM_İHTİYAÇ_RAPORU_BURAK_YENI1309[[#This Row],[ALT_KOD]])-(SUMIFS(H:H,D:D,DST_123_ÜRETİM_İHTİYAÇ_RAPORU_BURAK_YENI1309[[#This Row],[ALT_KOD]])+AVERAGEIFS(I:I,D:D,DST_123_ÜRETİM_İHTİYAÇ_RAPORU_BURAK_YENI1309[[#This Row],[ALT_KOD]])+AVERAGEIFS(L:L,D:D,DST_123_ÜRETİM_İHTİYAÇ_RAPORU_BURAK_YENI1309[[#This Row],[ALT_KOD]]))</f>
        <v>2.5820000000000007</v>
      </c>
      <c r="L967">
        <v>0</v>
      </c>
      <c r="M967">
        <f>IF((DST_123_ÜRETİM_İHTİYAÇ_RAPORU_BURAK_YENI1309[[#This Row],[SATINALMA]]*DST_123_ÜRETİM_İHTİYAÇ_RAPORU_BURAK_YENI1309[[#This Row],[BIRIM_FIYATLAR]])&lt;1,VALUE("0"),DST_123_ÜRETİM_İHTİYAÇ_RAPORU_BURAK_YENI1309[[#This Row],[SATINALMA]]*DST_123_ÜRETİM_İHTİYAÇ_RAPORU_BURAK_YENI1309[[#This Row],[BIRIM_FIYATLAR]])</f>
        <v>4066.650000000001</v>
      </c>
      <c r="N967">
        <v>1575</v>
      </c>
      <c r="O967" t="s">
        <v>326</v>
      </c>
      <c r="P967">
        <v>163.80000000000001</v>
      </c>
      <c r="Q967" t="s">
        <v>178</v>
      </c>
    </row>
    <row r="968" spans="1:17" x14ac:dyDescent="0.25">
      <c r="A968" t="s">
        <v>1148</v>
      </c>
      <c r="B968" t="s">
        <v>1056</v>
      </c>
      <c r="C968" t="s">
        <v>175</v>
      </c>
      <c r="D968" t="s">
        <v>324</v>
      </c>
      <c r="E968" t="s">
        <v>325</v>
      </c>
      <c r="F968">
        <v>0.18</v>
      </c>
      <c r="G968" t="s">
        <v>176</v>
      </c>
      <c r="H968">
        <v>0</v>
      </c>
      <c r="I968">
        <v>0</v>
      </c>
      <c r="J968" s="10">
        <v>1.7763568394002505E-15</v>
      </c>
      <c r="K968" s="10">
        <f>SUMIFS(F:F,D:D,DST_123_ÜRETİM_İHTİYAÇ_RAPORU_BURAK_YENI1309[[#This Row],[ALT_KOD]])-(SUMIFS(H:H,D:D,DST_123_ÜRETİM_İHTİYAÇ_RAPORU_BURAK_YENI1309[[#This Row],[ALT_KOD]])+AVERAGEIFS(I:I,D:D,DST_123_ÜRETİM_İHTİYAÇ_RAPORU_BURAK_YENI1309[[#This Row],[ALT_KOD]])+AVERAGEIFS(L:L,D:D,DST_123_ÜRETİM_İHTİYAÇ_RAPORU_BURAK_YENI1309[[#This Row],[ALT_KOD]]))</f>
        <v>2.5820000000000007</v>
      </c>
      <c r="L968">
        <v>0</v>
      </c>
      <c r="M968">
        <f>IF((DST_123_ÜRETİM_İHTİYAÇ_RAPORU_BURAK_YENI1309[[#This Row],[SATINALMA]]*DST_123_ÜRETİM_İHTİYAÇ_RAPORU_BURAK_YENI1309[[#This Row],[BIRIM_FIYATLAR]])&lt;1,VALUE("0"),DST_123_ÜRETİM_İHTİYAÇ_RAPORU_BURAK_YENI1309[[#This Row],[SATINALMA]]*DST_123_ÜRETİM_İHTİYAÇ_RAPORU_BURAK_YENI1309[[#This Row],[BIRIM_FIYATLAR]])</f>
        <v>4066.650000000001</v>
      </c>
      <c r="N968">
        <v>1575</v>
      </c>
      <c r="O968" t="s">
        <v>326</v>
      </c>
      <c r="P968">
        <v>283.5</v>
      </c>
      <c r="Q968" t="s">
        <v>178</v>
      </c>
    </row>
    <row r="969" spans="1:17" x14ac:dyDescent="0.25">
      <c r="A969" t="s">
        <v>1057</v>
      </c>
      <c r="B969" t="s">
        <v>1058</v>
      </c>
      <c r="C969" t="s">
        <v>175</v>
      </c>
      <c r="D969" t="s">
        <v>149</v>
      </c>
      <c r="E969" t="s">
        <v>150</v>
      </c>
      <c r="F969">
        <v>1</v>
      </c>
      <c r="G969" t="s">
        <v>176</v>
      </c>
      <c r="H969">
        <v>0</v>
      </c>
      <c r="I969">
        <v>5</v>
      </c>
      <c r="J969" s="10">
        <v>0</v>
      </c>
      <c r="K969" s="10">
        <f>SUMIFS(F:F,D:D,DST_123_ÜRETİM_İHTİYAÇ_RAPORU_BURAK_YENI1309[[#This Row],[ALT_KOD]])-(SUMIFS(H:H,D:D,DST_123_ÜRETİM_İHTİYAÇ_RAPORU_BURAK_YENI1309[[#This Row],[ALT_KOD]])+AVERAGEIFS(I:I,D:D,DST_123_ÜRETİM_İHTİYAÇ_RAPORU_BURAK_YENI1309[[#This Row],[ALT_KOD]])+AVERAGEIFS(L:L,D:D,DST_123_ÜRETİM_İHTİYAÇ_RAPORU_BURAK_YENI1309[[#This Row],[ALT_KOD]]))</f>
        <v>4.6000000000000014</v>
      </c>
      <c r="L969">
        <v>5</v>
      </c>
      <c r="M969">
        <f>IF((DST_123_ÜRETİM_İHTİYAÇ_RAPORU_BURAK_YENI1309[[#This Row],[SATINALMA]]*DST_123_ÜRETİM_İHTİYAÇ_RAPORU_BURAK_YENI1309[[#This Row],[BIRIM_FIYATLAR]])&lt;1,VALUE("0"),DST_123_ÜRETİM_İHTİYAÇ_RAPORU_BURAK_YENI1309[[#This Row],[SATINALMA]]*DST_123_ÜRETİM_İHTİYAÇ_RAPORU_BURAK_YENI1309[[#This Row],[BIRIM_FIYATLAR]])</f>
        <v>5276.2000000000016</v>
      </c>
      <c r="N969">
        <v>1147</v>
      </c>
      <c r="O969" t="s">
        <v>672</v>
      </c>
      <c r="P969">
        <v>1147</v>
      </c>
      <c r="Q969" t="s">
        <v>184</v>
      </c>
    </row>
    <row r="970" spans="1:17" x14ac:dyDescent="0.25">
      <c r="A970" t="s">
        <v>1100</v>
      </c>
      <c r="B970" t="s">
        <v>1058</v>
      </c>
      <c r="C970" t="s">
        <v>175</v>
      </c>
      <c r="D970" t="s">
        <v>149</v>
      </c>
      <c r="E970" t="s">
        <v>150</v>
      </c>
      <c r="F970">
        <v>1</v>
      </c>
      <c r="G970" t="s">
        <v>176</v>
      </c>
      <c r="H970">
        <v>0</v>
      </c>
      <c r="I970">
        <v>5</v>
      </c>
      <c r="J970" s="10">
        <v>0</v>
      </c>
      <c r="K970" s="10">
        <f>SUMIFS(F:F,D:D,DST_123_ÜRETİM_İHTİYAÇ_RAPORU_BURAK_YENI1309[[#This Row],[ALT_KOD]])-(SUMIFS(H:H,D:D,DST_123_ÜRETİM_İHTİYAÇ_RAPORU_BURAK_YENI1309[[#This Row],[ALT_KOD]])+AVERAGEIFS(I:I,D:D,DST_123_ÜRETİM_İHTİYAÇ_RAPORU_BURAK_YENI1309[[#This Row],[ALT_KOD]])+AVERAGEIFS(L:L,D:D,DST_123_ÜRETİM_İHTİYAÇ_RAPORU_BURAK_YENI1309[[#This Row],[ALT_KOD]]))</f>
        <v>4.6000000000000014</v>
      </c>
      <c r="L970">
        <v>5</v>
      </c>
      <c r="M970">
        <f>IF((DST_123_ÜRETİM_İHTİYAÇ_RAPORU_BURAK_YENI1309[[#This Row],[SATINALMA]]*DST_123_ÜRETİM_İHTİYAÇ_RAPORU_BURAK_YENI1309[[#This Row],[BIRIM_FIYATLAR]])&lt;1,VALUE("0"),DST_123_ÜRETİM_İHTİYAÇ_RAPORU_BURAK_YENI1309[[#This Row],[SATINALMA]]*DST_123_ÜRETİM_İHTİYAÇ_RAPORU_BURAK_YENI1309[[#This Row],[BIRIM_FIYATLAR]])</f>
        <v>5276.2000000000016</v>
      </c>
      <c r="N970">
        <v>1147</v>
      </c>
      <c r="O970" t="s">
        <v>672</v>
      </c>
      <c r="P970">
        <v>1147</v>
      </c>
      <c r="Q970" t="s">
        <v>184</v>
      </c>
    </row>
    <row r="971" spans="1:17" x14ac:dyDescent="0.25">
      <c r="A971" t="s">
        <v>1057</v>
      </c>
      <c r="B971" t="s">
        <v>1058</v>
      </c>
      <c r="C971" t="s">
        <v>175</v>
      </c>
      <c r="D971" t="s">
        <v>468</v>
      </c>
      <c r="E971" t="s">
        <v>579</v>
      </c>
      <c r="F971">
        <v>2</v>
      </c>
      <c r="G971" t="s">
        <v>185</v>
      </c>
      <c r="H971">
        <v>0</v>
      </c>
      <c r="I971">
        <v>30</v>
      </c>
      <c r="J971" s="10">
        <v>21.5</v>
      </c>
      <c r="K971" s="10">
        <f>SUMIFS(F:F,D:D,DST_123_ÜRETİM_İHTİYAÇ_RAPORU_BURAK_YENI1309[[#This Row],[ALT_KOD]])-(SUMIFS(H:H,D:D,DST_123_ÜRETİM_İHTİYAÇ_RAPORU_BURAK_YENI1309[[#This Row],[ALT_KOD]])+AVERAGEIFS(I:I,D:D,DST_123_ÜRETİM_İHTİYAÇ_RAPORU_BURAK_YENI1309[[#This Row],[ALT_KOD]])+AVERAGEIFS(L:L,D:D,DST_123_ÜRETİM_İHTİYAÇ_RAPORU_BURAK_YENI1309[[#This Row],[ALT_KOD]]))</f>
        <v>4</v>
      </c>
      <c r="L971">
        <v>0</v>
      </c>
      <c r="M971">
        <f>IF((DST_123_ÜRETİM_İHTİYAÇ_RAPORU_BURAK_YENI1309[[#This Row],[SATINALMA]]*DST_123_ÜRETİM_İHTİYAÇ_RAPORU_BURAK_YENI1309[[#This Row],[BIRIM_FIYATLAR]])&lt;1,VALUE("0"),DST_123_ÜRETİM_İHTİYAÇ_RAPORU_BURAK_YENI1309[[#This Row],[SATINALMA]]*DST_123_ÜRETİM_İHTİYAÇ_RAPORU_BURAK_YENI1309[[#This Row],[BIRIM_FIYATLAR]])</f>
        <v>472.56</v>
      </c>
      <c r="N971">
        <v>118.14</v>
      </c>
      <c r="O971" t="s">
        <v>393</v>
      </c>
      <c r="P971">
        <v>236.28</v>
      </c>
      <c r="Q971" t="s">
        <v>183</v>
      </c>
    </row>
    <row r="972" spans="1:17" x14ac:dyDescent="0.25">
      <c r="A972" t="s">
        <v>1059</v>
      </c>
      <c r="B972" t="s">
        <v>1058</v>
      </c>
      <c r="C972" t="s">
        <v>175</v>
      </c>
      <c r="D972" t="s">
        <v>705</v>
      </c>
      <c r="E972" t="s">
        <v>706</v>
      </c>
      <c r="F972">
        <v>4</v>
      </c>
      <c r="G972" t="s">
        <v>176</v>
      </c>
      <c r="H972">
        <v>0</v>
      </c>
      <c r="I972">
        <v>1400</v>
      </c>
      <c r="J972" s="10">
        <v>602</v>
      </c>
      <c r="K972" s="10">
        <f>SUMIFS(F:F,D:D,DST_123_ÜRETİM_İHTİYAÇ_RAPORU_BURAK_YENI1309[[#This Row],[ALT_KOD]])-(SUMIFS(H:H,D:D,DST_123_ÜRETİM_İHTİYAÇ_RAPORU_BURAK_YENI1309[[#This Row],[ALT_KOD]])+AVERAGEIFS(I:I,D:D,DST_123_ÜRETİM_İHTİYAÇ_RAPORU_BURAK_YENI1309[[#This Row],[ALT_KOD]])+AVERAGEIFS(L:L,D:D,DST_123_ÜRETİM_İHTİYAÇ_RAPORU_BURAK_YENI1309[[#This Row],[ALT_KOD]]))</f>
        <v>-1296</v>
      </c>
      <c r="L972">
        <v>0</v>
      </c>
      <c r="M972">
        <f>IF((DST_123_ÜRETİM_İHTİYAÇ_RAPORU_BURAK_YENI1309[[#This Row],[SATINALMA]]*DST_123_ÜRETİM_İHTİYAÇ_RAPORU_BURAK_YENI1309[[#This Row],[BIRIM_FIYATLAR]])&lt;1,VALUE("0"),DST_123_ÜRETİM_İHTİYAÇ_RAPORU_BURAK_YENI1309[[#This Row],[SATINALMA]]*DST_123_ÜRETİM_İHTİYAÇ_RAPORU_BURAK_YENI1309[[#This Row],[BIRIM_FIYATLAR]])</f>
        <v>0</v>
      </c>
      <c r="N972">
        <v>0.6</v>
      </c>
      <c r="O972" t="s">
        <v>240</v>
      </c>
      <c r="P972">
        <v>2.4</v>
      </c>
      <c r="Q972" t="s">
        <v>180</v>
      </c>
    </row>
    <row r="973" spans="1:17" x14ac:dyDescent="0.25">
      <c r="A973" t="s">
        <v>1059</v>
      </c>
      <c r="B973" t="s">
        <v>1058</v>
      </c>
      <c r="C973" t="s">
        <v>175</v>
      </c>
      <c r="D973" t="s">
        <v>30</v>
      </c>
      <c r="E973" t="s">
        <v>31</v>
      </c>
      <c r="F973">
        <v>43</v>
      </c>
      <c r="G973" t="s">
        <v>176</v>
      </c>
      <c r="H973">
        <v>0</v>
      </c>
      <c r="I973">
        <v>4500</v>
      </c>
      <c r="J973" s="10">
        <v>2426</v>
      </c>
      <c r="K973" s="10">
        <f>SUMIFS(F:F,D:D,DST_123_ÜRETİM_İHTİYAÇ_RAPORU_BURAK_YENI1309[[#This Row],[ALT_KOD]])-(SUMIFS(H:H,D:D,DST_123_ÜRETİM_İHTİYAÇ_RAPORU_BURAK_YENI1309[[#This Row],[ALT_KOD]])+AVERAGEIFS(I:I,D:D,DST_123_ÜRETİM_İHTİYAÇ_RAPORU_BURAK_YENI1309[[#This Row],[ALT_KOD]])+AVERAGEIFS(L:L,D:D,DST_123_ÜRETİM_İHTİYAÇ_RAPORU_BURAK_YENI1309[[#This Row],[ALT_KOD]]))</f>
        <v>-3826</v>
      </c>
      <c r="L973">
        <v>0</v>
      </c>
      <c r="M973">
        <f>IF((DST_123_ÜRETİM_İHTİYAÇ_RAPORU_BURAK_YENI1309[[#This Row],[SATINALMA]]*DST_123_ÜRETİM_İHTİYAÇ_RAPORU_BURAK_YENI1309[[#This Row],[BIRIM_FIYATLAR]])&lt;1,VALUE("0"),DST_123_ÜRETİM_İHTİYAÇ_RAPORU_BURAK_YENI1309[[#This Row],[SATINALMA]]*DST_123_ÜRETİM_İHTİYAÇ_RAPORU_BURAK_YENI1309[[#This Row],[BIRIM_FIYATLAR]])</f>
        <v>0</v>
      </c>
      <c r="N973">
        <v>1</v>
      </c>
      <c r="P973">
        <v>43</v>
      </c>
      <c r="Q973" t="s">
        <v>180</v>
      </c>
    </row>
    <row r="974" spans="1:17" x14ac:dyDescent="0.25">
      <c r="A974" t="s">
        <v>1095</v>
      </c>
      <c r="B974" t="s">
        <v>1096</v>
      </c>
      <c r="C974" t="s">
        <v>175</v>
      </c>
      <c r="D974" t="s">
        <v>30</v>
      </c>
      <c r="E974" t="s">
        <v>31</v>
      </c>
      <c r="F974">
        <v>23</v>
      </c>
      <c r="G974" t="s">
        <v>176</v>
      </c>
      <c r="H974">
        <v>0</v>
      </c>
      <c r="I974">
        <v>4500</v>
      </c>
      <c r="J974" s="10">
        <v>2426</v>
      </c>
      <c r="K974" s="10">
        <f>SUMIFS(F:F,D:D,DST_123_ÜRETİM_İHTİYAÇ_RAPORU_BURAK_YENI1309[[#This Row],[ALT_KOD]])-(SUMIFS(H:H,D:D,DST_123_ÜRETİM_İHTİYAÇ_RAPORU_BURAK_YENI1309[[#This Row],[ALT_KOD]])+AVERAGEIFS(I:I,D:D,DST_123_ÜRETİM_İHTİYAÇ_RAPORU_BURAK_YENI1309[[#This Row],[ALT_KOD]])+AVERAGEIFS(L:L,D:D,DST_123_ÜRETİM_İHTİYAÇ_RAPORU_BURAK_YENI1309[[#This Row],[ALT_KOD]]))</f>
        <v>-3826</v>
      </c>
      <c r="L974">
        <v>0</v>
      </c>
      <c r="M974">
        <f>IF((DST_123_ÜRETİM_İHTİYAÇ_RAPORU_BURAK_YENI1309[[#This Row],[SATINALMA]]*DST_123_ÜRETİM_İHTİYAÇ_RAPORU_BURAK_YENI1309[[#This Row],[BIRIM_FIYATLAR]])&lt;1,VALUE("0"),DST_123_ÜRETİM_İHTİYAÇ_RAPORU_BURAK_YENI1309[[#This Row],[SATINALMA]]*DST_123_ÜRETİM_İHTİYAÇ_RAPORU_BURAK_YENI1309[[#This Row],[BIRIM_FIYATLAR]])</f>
        <v>0</v>
      </c>
      <c r="N974">
        <v>1</v>
      </c>
      <c r="P974">
        <v>23</v>
      </c>
      <c r="Q974" t="s">
        <v>180</v>
      </c>
    </row>
    <row r="975" spans="1:17" x14ac:dyDescent="0.25">
      <c r="A975" t="s">
        <v>1143</v>
      </c>
      <c r="B975" t="s">
        <v>1056</v>
      </c>
      <c r="C975" t="s">
        <v>175</v>
      </c>
      <c r="D975" t="s">
        <v>67</v>
      </c>
      <c r="E975" t="s">
        <v>585</v>
      </c>
      <c r="F975">
        <v>0.5</v>
      </c>
      <c r="G975" t="s">
        <v>176</v>
      </c>
      <c r="H975">
        <v>0</v>
      </c>
      <c r="I975">
        <v>13.5</v>
      </c>
      <c r="J975" s="10">
        <v>8.5</v>
      </c>
      <c r="K975" s="10">
        <f>SUMIFS(F:F,D:D,DST_123_ÜRETİM_İHTİYAÇ_RAPORU_BURAK_YENI1309[[#This Row],[ALT_KOD]])-(SUMIFS(H:H,D:D,DST_123_ÜRETİM_İHTİYAÇ_RAPORU_BURAK_YENI1309[[#This Row],[ALT_KOD]])+AVERAGEIFS(I:I,D:D,DST_123_ÜRETİM_İHTİYAÇ_RAPORU_BURAK_YENI1309[[#This Row],[ALT_KOD]])+AVERAGEIFS(L:L,D:D,DST_123_ÜRETİM_İHTİYAÇ_RAPORU_BURAK_YENI1309[[#This Row],[ALT_KOD]]))</f>
        <v>-5.3500000000000014</v>
      </c>
      <c r="L975">
        <v>0</v>
      </c>
      <c r="M975">
        <f>IF((DST_123_ÜRETİM_İHTİYAÇ_RAPORU_BURAK_YENI1309[[#This Row],[SATINALMA]]*DST_123_ÜRETİM_İHTİYAÇ_RAPORU_BURAK_YENI1309[[#This Row],[BIRIM_FIYATLAR]])&lt;1,VALUE("0"),DST_123_ÜRETİM_İHTİYAÇ_RAPORU_BURAK_YENI1309[[#This Row],[SATINALMA]]*DST_123_ÜRETİM_İHTİYAÇ_RAPORU_BURAK_YENI1309[[#This Row],[BIRIM_FIYATLAR]])</f>
        <v>0</v>
      </c>
      <c r="N975">
        <v>1600</v>
      </c>
      <c r="O975" t="s">
        <v>1053</v>
      </c>
      <c r="P975">
        <v>800</v>
      </c>
      <c r="Q975" t="s">
        <v>177</v>
      </c>
    </row>
    <row r="976" spans="1:17" x14ac:dyDescent="0.25">
      <c r="A976" t="s">
        <v>1057</v>
      </c>
      <c r="B976" t="s">
        <v>1058</v>
      </c>
      <c r="C976" t="s">
        <v>175</v>
      </c>
      <c r="D976" t="s">
        <v>324</v>
      </c>
      <c r="E976" t="s">
        <v>325</v>
      </c>
      <c r="F976">
        <v>0.10400000000000001</v>
      </c>
      <c r="G976" t="s">
        <v>176</v>
      </c>
      <c r="H976">
        <v>0</v>
      </c>
      <c r="I976">
        <v>0</v>
      </c>
      <c r="J976" s="10">
        <v>1.7763568394002505E-15</v>
      </c>
      <c r="K976" s="10">
        <f>SUMIFS(F:F,D:D,DST_123_ÜRETİM_İHTİYAÇ_RAPORU_BURAK_YENI1309[[#This Row],[ALT_KOD]])-(SUMIFS(H:H,D:D,DST_123_ÜRETİM_İHTİYAÇ_RAPORU_BURAK_YENI1309[[#This Row],[ALT_KOD]])+AVERAGEIFS(I:I,D:D,DST_123_ÜRETİM_İHTİYAÇ_RAPORU_BURAK_YENI1309[[#This Row],[ALT_KOD]])+AVERAGEIFS(L:L,D:D,DST_123_ÜRETİM_İHTİYAÇ_RAPORU_BURAK_YENI1309[[#This Row],[ALT_KOD]]))</f>
        <v>2.5820000000000007</v>
      </c>
      <c r="L976">
        <v>0</v>
      </c>
      <c r="M976">
        <f>IF((DST_123_ÜRETİM_İHTİYAÇ_RAPORU_BURAK_YENI1309[[#This Row],[SATINALMA]]*DST_123_ÜRETİM_İHTİYAÇ_RAPORU_BURAK_YENI1309[[#This Row],[BIRIM_FIYATLAR]])&lt;1,VALUE("0"),DST_123_ÜRETİM_İHTİYAÇ_RAPORU_BURAK_YENI1309[[#This Row],[SATINALMA]]*DST_123_ÜRETİM_İHTİYAÇ_RAPORU_BURAK_YENI1309[[#This Row],[BIRIM_FIYATLAR]])</f>
        <v>4066.650000000001</v>
      </c>
      <c r="N976">
        <v>1575</v>
      </c>
      <c r="O976" t="s">
        <v>326</v>
      </c>
      <c r="P976">
        <v>163.80000000000001</v>
      </c>
      <c r="Q976" t="s">
        <v>178</v>
      </c>
    </row>
    <row r="977" spans="1:17" x14ac:dyDescent="0.25">
      <c r="A977" t="s">
        <v>1101</v>
      </c>
      <c r="B977" t="s">
        <v>1102</v>
      </c>
      <c r="C977" t="s">
        <v>175</v>
      </c>
      <c r="D977" t="s">
        <v>324</v>
      </c>
      <c r="E977" t="s">
        <v>325</v>
      </c>
      <c r="F977">
        <v>0.254</v>
      </c>
      <c r="G977" t="s">
        <v>176</v>
      </c>
      <c r="H977">
        <v>0</v>
      </c>
      <c r="I977">
        <v>0</v>
      </c>
      <c r="J977" s="10">
        <v>1.7763568394002505E-15</v>
      </c>
      <c r="K977" s="10">
        <f>SUMIFS(F:F,D:D,DST_123_ÜRETİM_İHTİYAÇ_RAPORU_BURAK_YENI1309[[#This Row],[ALT_KOD]])-(SUMIFS(H:H,D:D,DST_123_ÜRETİM_İHTİYAÇ_RAPORU_BURAK_YENI1309[[#This Row],[ALT_KOD]])+AVERAGEIFS(I:I,D:D,DST_123_ÜRETİM_İHTİYAÇ_RAPORU_BURAK_YENI1309[[#This Row],[ALT_KOD]])+AVERAGEIFS(L:L,D:D,DST_123_ÜRETİM_İHTİYAÇ_RAPORU_BURAK_YENI1309[[#This Row],[ALT_KOD]]))</f>
        <v>2.5820000000000007</v>
      </c>
      <c r="L977">
        <v>0</v>
      </c>
      <c r="M977">
        <f>IF((DST_123_ÜRETİM_İHTİYAÇ_RAPORU_BURAK_YENI1309[[#This Row],[SATINALMA]]*DST_123_ÜRETİM_İHTİYAÇ_RAPORU_BURAK_YENI1309[[#This Row],[BIRIM_FIYATLAR]])&lt;1,VALUE("0"),DST_123_ÜRETİM_İHTİYAÇ_RAPORU_BURAK_YENI1309[[#This Row],[SATINALMA]]*DST_123_ÜRETİM_İHTİYAÇ_RAPORU_BURAK_YENI1309[[#This Row],[BIRIM_FIYATLAR]])</f>
        <v>4066.650000000001</v>
      </c>
      <c r="N977">
        <v>1575</v>
      </c>
      <c r="O977" t="s">
        <v>326</v>
      </c>
      <c r="P977">
        <v>400.05</v>
      </c>
      <c r="Q977" t="s">
        <v>178</v>
      </c>
    </row>
    <row r="978" spans="1:17" x14ac:dyDescent="0.25">
      <c r="A978" t="s">
        <v>1147</v>
      </c>
      <c r="B978" t="s">
        <v>1145</v>
      </c>
      <c r="C978" t="s">
        <v>175</v>
      </c>
      <c r="D978" t="s">
        <v>149</v>
      </c>
      <c r="E978" t="s">
        <v>150</v>
      </c>
      <c r="F978">
        <v>1.3</v>
      </c>
      <c r="G978" t="s">
        <v>176</v>
      </c>
      <c r="H978">
        <v>0</v>
      </c>
      <c r="I978">
        <v>5</v>
      </c>
      <c r="J978" s="10">
        <v>0</v>
      </c>
      <c r="K978" s="10">
        <f>SUMIFS(F:F,D:D,DST_123_ÜRETİM_İHTİYAÇ_RAPORU_BURAK_YENI1309[[#This Row],[ALT_KOD]])-(SUMIFS(H:H,D:D,DST_123_ÜRETİM_İHTİYAÇ_RAPORU_BURAK_YENI1309[[#This Row],[ALT_KOD]])+AVERAGEIFS(I:I,D:D,DST_123_ÜRETİM_İHTİYAÇ_RAPORU_BURAK_YENI1309[[#This Row],[ALT_KOD]])+AVERAGEIFS(L:L,D:D,DST_123_ÜRETİM_İHTİYAÇ_RAPORU_BURAK_YENI1309[[#This Row],[ALT_KOD]]))</f>
        <v>4.6000000000000014</v>
      </c>
      <c r="L978">
        <v>5</v>
      </c>
      <c r="M978">
        <f>IF((DST_123_ÜRETİM_İHTİYAÇ_RAPORU_BURAK_YENI1309[[#This Row],[SATINALMA]]*DST_123_ÜRETİM_İHTİYAÇ_RAPORU_BURAK_YENI1309[[#This Row],[BIRIM_FIYATLAR]])&lt;1,VALUE("0"),DST_123_ÜRETİM_İHTİYAÇ_RAPORU_BURAK_YENI1309[[#This Row],[SATINALMA]]*DST_123_ÜRETİM_İHTİYAÇ_RAPORU_BURAK_YENI1309[[#This Row],[BIRIM_FIYATLAR]])</f>
        <v>5276.2000000000016</v>
      </c>
      <c r="N978">
        <v>1147</v>
      </c>
      <c r="O978" t="s">
        <v>672</v>
      </c>
      <c r="P978">
        <v>1491.1000000000001</v>
      </c>
      <c r="Q978" t="s">
        <v>184</v>
      </c>
    </row>
    <row r="979" spans="1:17" x14ac:dyDescent="0.25">
      <c r="A979" t="s">
        <v>1142</v>
      </c>
      <c r="B979" t="s">
        <v>1056</v>
      </c>
      <c r="C979" t="s">
        <v>175</v>
      </c>
      <c r="D979" t="s">
        <v>30</v>
      </c>
      <c r="E979" t="s">
        <v>31</v>
      </c>
      <c r="F979">
        <v>43</v>
      </c>
      <c r="G979" t="s">
        <v>176</v>
      </c>
      <c r="H979">
        <v>0</v>
      </c>
      <c r="I979">
        <v>4500</v>
      </c>
      <c r="J979" s="10">
        <v>2426</v>
      </c>
      <c r="K979" s="10">
        <f>SUMIFS(F:F,D:D,DST_123_ÜRETİM_İHTİYAÇ_RAPORU_BURAK_YENI1309[[#This Row],[ALT_KOD]])-(SUMIFS(H:H,D:D,DST_123_ÜRETİM_İHTİYAÇ_RAPORU_BURAK_YENI1309[[#This Row],[ALT_KOD]])+AVERAGEIFS(I:I,D:D,DST_123_ÜRETİM_İHTİYAÇ_RAPORU_BURAK_YENI1309[[#This Row],[ALT_KOD]])+AVERAGEIFS(L:L,D:D,DST_123_ÜRETİM_İHTİYAÇ_RAPORU_BURAK_YENI1309[[#This Row],[ALT_KOD]]))</f>
        <v>-3826</v>
      </c>
      <c r="L979">
        <v>0</v>
      </c>
      <c r="M979">
        <f>IF((DST_123_ÜRETİM_İHTİYAÇ_RAPORU_BURAK_YENI1309[[#This Row],[SATINALMA]]*DST_123_ÜRETİM_İHTİYAÇ_RAPORU_BURAK_YENI1309[[#This Row],[BIRIM_FIYATLAR]])&lt;1,VALUE("0"),DST_123_ÜRETİM_İHTİYAÇ_RAPORU_BURAK_YENI1309[[#This Row],[SATINALMA]]*DST_123_ÜRETİM_İHTİYAÇ_RAPORU_BURAK_YENI1309[[#This Row],[BIRIM_FIYATLAR]])</f>
        <v>0</v>
      </c>
      <c r="N979">
        <v>1</v>
      </c>
      <c r="P979">
        <v>43</v>
      </c>
      <c r="Q979" t="s">
        <v>180</v>
      </c>
    </row>
    <row r="980" spans="1:17" x14ac:dyDescent="0.25">
      <c r="A980" t="s">
        <v>1097</v>
      </c>
      <c r="B980" t="s">
        <v>1055</v>
      </c>
      <c r="C980" t="s">
        <v>175</v>
      </c>
      <c r="D980" t="s">
        <v>30</v>
      </c>
      <c r="E980" t="s">
        <v>31</v>
      </c>
      <c r="F980">
        <v>23</v>
      </c>
      <c r="G980" t="s">
        <v>176</v>
      </c>
      <c r="H980">
        <v>0</v>
      </c>
      <c r="I980">
        <v>4500</v>
      </c>
      <c r="J980" s="10">
        <v>2426</v>
      </c>
      <c r="K980" s="10">
        <f>SUMIFS(F:F,D:D,DST_123_ÜRETİM_İHTİYAÇ_RAPORU_BURAK_YENI1309[[#This Row],[ALT_KOD]])-(SUMIFS(H:H,D:D,DST_123_ÜRETİM_İHTİYAÇ_RAPORU_BURAK_YENI1309[[#This Row],[ALT_KOD]])+AVERAGEIFS(I:I,D:D,DST_123_ÜRETİM_İHTİYAÇ_RAPORU_BURAK_YENI1309[[#This Row],[ALT_KOD]])+AVERAGEIFS(L:L,D:D,DST_123_ÜRETİM_İHTİYAÇ_RAPORU_BURAK_YENI1309[[#This Row],[ALT_KOD]]))</f>
        <v>-3826</v>
      </c>
      <c r="L980">
        <v>0</v>
      </c>
      <c r="M980">
        <f>IF((DST_123_ÜRETİM_İHTİYAÇ_RAPORU_BURAK_YENI1309[[#This Row],[SATINALMA]]*DST_123_ÜRETİM_İHTİYAÇ_RAPORU_BURAK_YENI1309[[#This Row],[BIRIM_FIYATLAR]])&lt;1,VALUE("0"),DST_123_ÜRETİM_İHTİYAÇ_RAPORU_BURAK_YENI1309[[#This Row],[SATINALMA]]*DST_123_ÜRETİM_İHTİYAÇ_RAPORU_BURAK_YENI1309[[#This Row],[BIRIM_FIYATLAR]])</f>
        <v>0</v>
      </c>
      <c r="N980">
        <v>1</v>
      </c>
      <c r="P980">
        <v>23</v>
      </c>
      <c r="Q980" t="s">
        <v>180</v>
      </c>
    </row>
    <row r="981" spans="1:17" x14ac:dyDescent="0.25">
      <c r="A981" t="s">
        <v>1143</v>
      </c>
      <c r="B981" t="s">
        <v>1056</v>
      </c>
      <c r="C981" t="s">
        <v>175</v>
      </c>
      <c r="D981" t="s">
        <v>30</v>
      </c>
      <c r="E981" t="s">
        <v>31</v>
      </c>
      <c r="F981">
        <v>29</v>
      </c>
      <c r="G981" t="s">
        <v>176</v>
      </c>
      <c r="H981">
        <v>0</v>
      </c>
      <c r="I981">
        <v>4500</v>
      </c>
      <c r="J981" s="10">
        <v>2426</v>
      </c>
      <c r="K981" s="10">
        <f>SUMIFS(F:F,D:D,DST_123_ÜRETİM_İHTİYAÇ_RAPORU_BURAK_YENI1309[[#This Row],[ALT_KOD]])-(SUMIFS(H:H,D:D,DST_123_ÜRETİM_İHTİYAÇ_RAPORU_BURAK_YENI1309[[#This Row],[ALT_KOD]])+AVERAGEIFS(I:I,D:D,DST_123_ÜRETİM_İHTİYAÇ_RAPORU_BURAK_YENI1309[[#This Row],[ALT_KOD]])+AVERAGEIFS(L:L,D:D,DST_123_ÜRETİM_İHTİYAÇ_RAPORU_BURAK_YENI1309[[#This Row],[ALT_KOD]]))</f>
        <v>-3826</v>
      </c>
      <c r="L981">
        <v>0</v>
      </c>
      <c r="M981">
        <f>IF((DST_123_ÜRETİM_İHTİYAÇ_RAPORU_BURAK_YENI1309[[#This Row],[SATINALMA]]*DST_123_ÜRETİM_İHTİYAÇ_RAPORU_BURAK_YENI1309[[#This Row],[BIRIM_FIYATLAR]])&lt;1,VALUE("0"),DST_123_ÜRETİM_İHTİYAÇ_RAPORU_BURAK_YENI1309[[#This Row],[SATINALMA]]*DST_123_ÜRETİM_İHTİYAÇ_RAPORU_BURAK_YENI1309[[#This Row],[BIRIM_FIYATLAR]])</f>
        <v>0</v>
      </c>
      <c r="N981">
        <v>1</v>
      </c>
      <c r="P981">
        <v>29</v>
      </c>
      <c r="Q981" t="s">
        <v>180</v>
      </c>
    </row>
    <row r="982" spans="1:17" x14ac:dyDescent="0.25">
      <c r="A982" t="s">
        <v>1144</v>
      </c>
      <c r="B982" t="s">
        <v>1145</v>
      </c>
      <c r="C982" t="s">
        <v>175</v>
      </c>
      <c r="D982" t="s">
        <v>413</v>
      </c>
      <c r="E982" t="s">
        <v>664</v>
      </c>
      <c r="F982">
        <v>0.30000000000000004</v>
      </c>
      <c r="G982" t="s">
        <v>179</v>
      </c>
      <c r="H982">
        <v>0</v>
      </c>
      <c r="I982">
        <v>0</v>
      </c>
      <c r="J982" s="10">
        <v>93.800000000000011</v>
      </c>
      <c r="K982" s="10">
        <f>SUMIFS(F:F,D:D,DST_123_ÜRETİM_İHTİYAÇ_RAPORU_BURAK_YENI1309[[#This Row],[ALT_KOD]])-(SUMIFS(H:H,D:D,DST_123_ÜRETİM_İHTİYAÇ_RAPORU_BURAK_YENI1309[[#This Row],[ALT_KOD]])+AVERAGEIFS(I:I,D:D,DST_123_ÜRETİM_İHTİYAÇ_RAPORU_BURAK_YENI1309[[#This Row],[ALT_KOD]])+AVERAGEIFS(L:L,D:D,DST_123_ÜRETİM_İHTİYAÇ_RAPORU_BURAK_YENI1309[[#This Row],[ALT_KOD]]))</f>
        <v>5.0999999999999996</v>
      </c>
      <c r="L982">
        <v>0</v>
      </c>
      <c r="M982">
        <f>IF((DST_123_ÜRETİM_İHTİYAÇ_RAPORU_BURAK_YENI1309[[#This Row],[SATINALMA]]*DST_123_ÜRETİM_İHTİYAÇ_RAPORU_BURAK_YENI1309[[#This Row],[BIRIM_FIYATLAR]])&lt;1,VALUE("0"),DST_123_ÜRETİM_İHTİYAÇ_RAPORU_BURAK_YENI1309[[#This Row],[SATINALMA]]*DST_123_ÜRETİM_İHTİYAÇ_RAPORU_BURAK_YENI1309[[#This Row],[BIRIM_FIYATLAR]])</f>
        <v>34.526999999999994</v>
      </c>
      <c r="N982">
        <v>6.77</v>
      </c>
      <c r="O982" t="s">
        <v>635</v>
      </c>
      <c r="P982">
        <v>2.0310000000000001</v>
      </c>
      <c r="Q982" t="s">
        <v>221</v>
      </c>
    </row>
    <row r="983" spans="1:17" x14ac:dyDescent="0.25">
      <c r="A983" t="s">
        <v>1144</v>
      </c>
      <c r="B983" t="s">
        <v>1145</v>
      </c>
      <c r="C983" t="s">
        <v>175</v>
      </c>
      <c r="D983" t="s">
        <v>237</v>
      </c>
      <c r="E983" t="s">
        <v>306</v>
      </c>
      <c r="F983">
        <v>2</v>
      </c>
      <c r="G983" t="s">
        <v>176</v>
      </c>
      <c r="H983">
        <v>0</v>
      </c>
      <c r="I983">
        <v>37</v>
      </c>
      <c r="J983" s="10">
        <v>20</v>
      </c>
      <c r="K983" s="10">
        <f>SUMIFS(F:F,D:D,DST_123_ÜRETİM_İHTİYAÇ_RAPORU_BURAK_YENI1309[[#This Row],[ALT_KOD]])-(SUMIFS(H:H,D:D,DST_123_ÜRETİM_İHTİYAÇ_RAPORU_BURAK_YENI1309[[#This Row],[ALT_KOD]])+AVERAGEIFS(I:I,D:D,DST_123_ÜRETİM_İHTİYAÇ_RAPORU_BURAK_YENI1309[[#This Row],[ALT_KOD]])+AVERAGEIFS(L:L,D:D,DST_123_ÜRETİM_İHTİYAÇ_RAPORU_BURAK_YENI1309[[#This Row],[ALT_KOD]]))</f>
        <v>-13</v>
      </c>
      <c r="L983">
        <v>0</v>
      </c>
      <c r="M983">
        <f>IF((DST_123_ÜRETİM_İHTİYAÇ_RAPORU_BURAK_YENI1309[[#This Row],[SATINALMA]]*DST_123_ÜRETİM_İHTİYAÇ_RAPORU_BURAK_YENI1309[[#This Row],[BIRIM_FIYATLAR]])&lt;1,VALUE("0"),DST_123_ÜRETİM_İHTİYAÇ_RAPORU_BURAK_YENI1309[[#This Row],[SATINALMA]]*DST_123_ÜRETİM_İHTİYAÇ_RAPORU_BURAK_YENI1309[[#This Row],[BIRIM_FIYATLAR]])</f>
        <v>0</v>
      </c>
      <c r="N983">
        <v>45.3</v>
      </c>
      <c r="O983" t="s">
        <v>826</v>
      </c>
      <c r="P983">
        <v>90.6</v>
      </c>
      <c r="Q983" t="s">
        <v>221</v>
      </c>
    </row>
    <row r="984" spans="1:17" x14ac:dyDescent="0.25">
      <c r="A984" t="s">
        <v>1101</v>
      </c>
      <c r="B984" t="s">
        <v>1102</v>
      </c>
      <c r="C984" t="s">
        <v>175</v>
      </c>
      <c r="D984" t="s">
        <v>149</v>
      </c>
      <c r="E984" t="s">
        <v>150</v>
      </c>
      <c r="F984">
        <v>1</v>
      </c>
      <c r="G984" t="s">
        <v>176</v>
      </c>
      <c r="H984">
        <v>0</v>
      </c>
      <c r="I984">
        <v>5</v>
      </c>
      <c r="J984" s="10">
        <v>0</v>
      </c>
      <c r="K984" s="10">
        <f>SUMIFS(F:F,D:D,DST_123_ÜRETİM_İHTİYAÇ_RAPORU_BURAK_YENI1309[[#This Row],[ALT_KOD]])-(SUMIFS(H:H,D:D,DST_123_ÜRETİM_İHTİYAÇ_RAPORU_BURAK_YENI1309[[#This Row],[ALT_KOD]])+AVERAGEIFS(I:I,D:D,DST_123_ÜRETİM_İHTİYAÇ_RAPORU_BURAK_YENI1309[[#This Row],[ALT_KOD]])+AVERAGEIFS(L:L,D:D,DST_123_ÜRETİM_İHTİYAÇ_RAPORU_BURAK_YENI1309[[#This Row],[ALT_KOD]]))</f>
        <v>4.6000000000000014</v>
      </c>
      <c r="L984">
        <v>5</v>
      </c>
      <c r="M984">
        <f>IF((DST_123_ÜRETİM_İHTİYAÇ_RAPORU_BURAK_YENI1309[[#This Row],[SATINALMA]]*DST_123_ÜRETİM_İHTİYAÇ_RAPORU_BURAK_YENI1309[[#This Row],[BIRIM_FIYATLAR]])&lt;1,VALUE("0"),DST_123_ÜRETİM_İHTİYAÇ_RAPORU_BURAK_YENI1309[[#This Row],[SATINALMA]]*DST_123_ÜRETİM_İHTİYAÇ_RAPORU_BURAK_YENI1309[[#This Row],[BIRIM_FIYATLAR]])</f>
        <v>5276.2000000000016</v>
      </c>
      <c r="N984">
        <v>1147</v>
      </c>
      <c r="O984" t="s">
        <v>672</v>
      </c>
      <c r="P984">
        <v>1147</v>
      </c>
      <c r="Q984" t="s">
        <v>184</v>
      </c>
    </row>
    <row r="985" spans="1:17" x14ac:dyDescent="0.25">
      <c r="A985" t="s">
        <v>1148</v>
      </c>
      <c r="B985" t="s">
        <v>1056</v>
      </c>
      <c r="C985" t="s">
        <v>175</v>
      </c>
      <c r="D985" t="s">
        <v>468</v>
      </c>
      <c r="E985" t="s">
        <v>579</v>
      </c>
      <c r="F985">
        <v>2</v>
      </c>
      <c r="G985" t="s">
        <v>185</v>
      </c>
      <c r="H985">
        <v>0</v>
      </c>
      <c r="I985">
        <v>30</v>
      </c>
      <c r="J985" s="10">
        <v>21.5</v>
      </c>
      <c r="K985" s="10">
        <f>SUMIFS(F:F,D:D,DST_123_ÜRETİM_İHTİYAÇ_RAPORU_BURAK_YENI1309[[#This Row],[ALT_KOD]])-(SUMIFS(H:H,D:D,DST_123_ÜRETİM_İHTİYAÇ_RAPORU_BURAK_YENI1309[[#This Row],[ALT_KOD]])+AVERAGEIFS(I:I,D:D,DST_123_ÜRETİM_İHTİYAÇ_RAPORU_BURAK_YENI1309[[#This Row],[ALT_KOD]])+AVERAGEIFS(L:L,D:D,DST_123_ÜRETİM_İHTİYAÇ_RAPORU_BURAK_YENI1309[[#This Row],[ALT_KOD]]))</f>
        <v>4</v>
      </c>
      <c r="L985">
        <v>0</v>
      </c>
      <c r="M985">
        <f>IF((DST_123_ÜRETİM_İHTİYAÇ_RAPORU_BURAK_YENI1309[[#This Row],[SATINALMA]]*DST_123_ÜRETİM_İHTİYAÇ_RAPORU_BURAK_YENI1309[[#This Row],[BIRIM_FIYATLAR]])&lt;1,VALUE("0"),DST_123_ÜRETİM_İHTİYAÇ_RAPORU_BURAK_YENI1309[[#This Row],[SATINALMA]]*DST_123_ÜRETİM_İHTİYAÇ_RAPORU_BURAK_YENI1309[[#This Row],[BIRIM_FIYATLAR]])</f>
        <v>472.56</v>
      </c>
      <c r="N985">
        <v>118.14</v>
      </c>
      <c r="O985" t="s">
        <v>393</v>
      </c>
      <c r="P985">
        <v>236.28</v>
      </c>
      <c r="Q985" t="s">
        <v>183</v>
      </c>
    </row>
    <row r="986" spans="1:17" x14ac:dyDescent="0.25">
      <c r="A986" t="s">
        <v>1059</v>
      </c>
      <c r="B986" t="s">
        <v>1058</v>
      </c>
      <c r="C986" t="s">
        <v>175</v>
      </c>
      <c r="D986" t="s">
        <v>67</v>
      </c>
      <c r="E986" t="s">
        <v>585</v>
      </c>
      <c r="F986">
        <v>0.5</v>
      </c>
      <c r="G986" t="s">
        <v>176</v>
      </c>
      <c r="H986">
        <v>0</v>
      </c>
      <c r="I986">
        <v>13.5</v>
      </c>
      <c r="J986" s="10">
        <v>8.5</v>
      </c>
      <c r="K986" s="10">
        <f>SUMIFS(F:F,D:D,DST_123_ÜRETİM_İHTİYAÇ_RAPORU_BURAK_YENI1309[[#This Row],[ALT_KOD]])-(SUMIFS(H:H,D:D,DST_123_ÜRETİM_İHTİYAÇ_RAPORU_BURAK_YENI1309[[#This Row],[ALT_KOD]])+AVERAGEIFS(I:I,D:D,DST_123_ÜRETİM_İHTİYAÇ_RAPORU_BURAK_YENI1309[[#This Row],[ALT_KOD]])+AVERAGEIFS(L:L,D:D,DST_123_ÜRETİM_İHTİYAÇ_RAPORU_BURAK_YENI1309[[#This Row],[ALT_KOD]]))</f>
        <v>-5.3500000000000014</v>
      </c>
      <c r="L986">
        <v>0</v>
      </c>
      <c r="M986">
        <f>IF((DST_123_ÜRETİM_İHTİYAÇ_RAPORU_BURAK_YENI1309[[#This Row],[SATINALMA]]*DST_123_ÜRETİM_İHTİYAÇ_RAPORU_BURAK_YENI1309[[#This Row],[BIRIM_FIYATLAR]])&lt;1,VALUE("0"),DST_123_ÜRETİM_İHTİYAÇ_RAPORU_BURAK_YENI1309[[#This Row],[SATINALMA]]*DST_123_ÜRETİM_İHTİYAÇ_RAPORU_BURAK_YENI1309[[#This Row],[BIRIM_FIYATLAR]])</f>
        <v>0</v>
      </c>
      <c r="N986">
        <v>1600</v>
      </c>
      <c r="O986" t="s">
        <v>1053</v>
      </c>
      <c r="P986">
        <v>800</v>
      </c>
      <c r="Q986" t="s">
        <v>177</v>
      </c>
    </row>
    <row r="987" spans="1:17" x14ac:dyDescent="0.25">
      <c r="A987" t="s">
        <v>1095</v>
      </c>
      <c r="B987" t="s">
        <v>1096</v>
      </c>
      <c r="C987" t="s">
        <v>175</v>
      </c>
      <c r="D987" t="s">
        <v>67</v>
      </c>
      <c r="E987" t="s">
        <v>585</v>
      </c>
      <c r="F987">
        <v>0.05</v>
      </c>
      <c r="G987" t="s">
        <v>176</v>
      </c>
      <c r="H987">
        <v>0</v>
      </c>
      <c r="I987">
        <v>13.5</v>
      </c>
      <c r="J987" s="10">
        <v>8.5</v>
      </c>
      <c r="K987" s="10">
        <f>SUMIFS(F:F,D:D,DST_123_ÜRETİM_İHTİYAÇ_RAPORU_BURAK_YENI1309[[#This Row],[ALT_KOD]])-(SUMIFS(H:H,D:D,DST_123_ÜRETİM_İHTİYAÇ_RAPORU_BURAK_YENI1309[[#This Row],[ALT_KOD]])+AVERAGEIFS(I:I,D:D,DST_123_ÜRETİM_İHTİYAÇ_RAPORU_BURAK_YENI1309[[#This Row],[ALT_KOD]])+AVERAGEIFS(L:L,D:D,DST_123_ÜRETİM_İHTİYAÇ_RAPORU_BURAK_YENI1309[[#This Row],[ALT_KOD]]))</f>
        <v>-5.3500000000000014</v>
      </c>
      <c r="L987">
        <v>0</v>
      </c>
      <c r="M987">
        <f>IF((DST_123_ÜRETİM_İHTİYAÇ_RAPORU_BURAK_YENI1309[[#This Row],[SATINALMA]]*DST_123_ÜRETİM_İHTİYAÇ_RAPORU_BURAK_YENI1309[[#This Row],[BIRIM_FIYATLAR]])&lt;1,VALUE("0"),DST_123_ÜRETİM_İHTİYAÇ_RAPORU_BURAK_YENI1309[[#This Row],[SATINALMA]]*DST_123_ÜRETİM_İHTİYAÇ_RAPORU_BURAK_YENI1309[[#This Row],[BIRIM_FIYATLAR]])</f>
        <v>0</v>
      </c>
      <c r="N987">
        <v>1600</v>
      </c>
      <c r="O987" t="s">
        <v>1053</v>
      </c>
      <c r="P987">
        <v>80</v>
      </c>
      <c r="Q987" t="s">
        <v>177</v>
      </c>
    </row>
    <row r="988" spans="1:17" x14ac:dyDescent="0.25">
      <c r="A988" t="s">
        <v>1147</v>
      </c>
      <c r="B988" t="s">
        <v>1145</v>
      </c>
      <c r="C988" t="s">
        <v>175</v>
      </c>
      <c r="D988" t="s">
        <v>486</v>
      </c>
      <c r="E988" t="s">
        <v>487</v>
      </c>
      <c r="F988">
        <v>2</v>
      </c>
      <c r="G988" t="s">
        <v>176</v>
      </c>
      <c r="H988">
        <v>0</v>
      </c>
      <c r="I988">
        <v>20</v>
      </c>
      <c r="J988" s="10">
        <v>34</v>
      </c>
      <c r="K988" s="10">
        <f>SUMIFS(F:F,D:D,DST_123_ÜRETİM_İHTİYAÇ_RAPORU_BURAK_YENI1309[[#This Row],[ALT_KOD]])-(SUMIFS(H:H,D:D,DST_123_ÜRETİM_İHTİYAÇ_RAPORU_BURAK_YENI1309[[#This Row],[ALT_KOD]])+AVERAGEIFS(I:I,D:D,DST_123_ÜRETİM_İHTİYAÇ_RAPORU_BURAK_YENI1309[[#This Row],[ALT_KOD]])+AVERAGEIFS(L:L,D:D,DST_123_ÜRETİM_İHTİYAÇ_RAPORU_BURAK_YENI1309[[#This Row],[ALT_KOD]]))</f>
        <v>18</v>
      </c>
      <c r="L988">
        <v>0</v>
      </c>
      <c r="M988">
        <f>IF((DST_123_ÜRETİM_İHTİYAÇ_RAPORU_BURAK_YENI1309[[#This Row],[SATINALMA]]*DST_123_ÜRETİM_İHTİYAÇ_RAPORU_BURAK_YENI1309[[#This Row],[BIRIM_FIYATLAR]])&lt;1,VALUE("0"),DST_123_ÜRETİM_İHTİYAÇ_RAPORU_BURAK_YENI1309[[#This Row],[SATINALMA]]*DST_123_ÜRETİM_İHTİYAÇ_RAPORU_BURAK_YENI1309[[#This Row],[BIRIM_FIYATLAR]])</f>
        <v>1476</v>
      </c>
      <c r="N988">
        <v>82</v>
      </c>
      <c r="O988" t="s">
        <v>1089</v>
      </c>
      <c r="P988">
        <v>164</v>
      </c>
      <c r="Q988" t="s">
        <v>483</v>
      </c>
    </row>
    <row r="989" spans="1:17" x14ac:dyDescent="0.25">
      <c r="A989" t="s">
        <v>1100</v>
      </c>
      <c r="B989" t="s">
        <v>1058</v>
      </c>
      <c r="C989" t="s">
        <v>175</v>
      </c>
      <c r="D989" t="s">
        <v>486</v>
      </c>
      <c r="E989" t="s">
        <v>487</v>
      </c>
      <c r="F989">
        <v>2</v>
      </c>
      <c r="G989" t="s">
        <v>176</v>
      </c>
      <c r="H989">
        <v>0</v>
      </c>
      <c r="I989">
        <v>20</v>
      </c>
      <c r="J989" s="10">
        <v>34</v>
      </c>
      <c r="K989" s="10">
        <f>SUMIFS(F:F,D:D,DST_123_ÜRETİM_İHTİYAÇ_RAPORU_BURAK_YENI1309[[#This Row],[ALT_KOD]])-(SUMIFS(H:H,D:D,DST_123_ÜRETİM_İHTİYAÇ_RAPORU_BURAK_YENI1309[[#This Row],[ALT_KOD]])+AVERAGEIFS(I:I,D:D,DST_123_ÜRETİM_İHTİYAÇ_RAPORU_BURAK_YENI1309[[#This Row],[ALT_KOD]])+AVERAGEIFS(L:L,D:D,DST_123_ÜRETİM_İHTİYAÇ_RAPORU_BURAK_YENI1309[[#This Row],[ALT_KOD]]))</f>
        <v>18</v>
      </c>
      <c r="L989">
        <v>0</v>
      </c>
      <c r="M989">
        <f>IF((DST_123_ÜRETİM_İHTİYAÇ_RAPORU_BURAK_YENI1309[[#This Row],[SATINALMA]]*DST_123_ÜRETİM_İHTİYAÇ_RAPORU_BURAK_YENI1309[[#This Row],[BIRIM_FIYATLAR]])&lt;1,VALUE("0"),DST_123_ÜRETİM_İHTİYAÇ_RAPORU_BURAK_YENI1309[[#This Row],[SATINALMA]]*DST_123_ÜRETİM_İHTİYAÇ_RAPORU_BURAK_YENI1309[[#This Row],[BIRIM_FIYATLAR]])</f>
        <v>1476</v>
      </c>
      <c r="N989">
        <v>82</v>
      </c>
      <c r="O989" t="s">
        <v>1089</v>
      </c>
      <c r="P989">
        <v>164</v>
      </c>
      <c r="Q989" t="s">
        <v>483</v>
      </c>
    </row>
    <row r="990" spans="1:17" x14ac:dyDescent="0.25">
      <c r="A990" t="s">
        <v>1147</v>
      </c>
      <c r="B990" t="s">
        <v>1145</v>
      </c>
      <c r="C990" t="s">
        <v>197</v>
      </c>
      <c r="D990" t="s">
        <v>498</v>
      </c>
      <c r="E990" t="s">
        <v>499</v>
      </c>
      <c r="F990">
        <v>1</v>
      </c>
      <c r="G990" t="s">
        <v>176</v>
      </c>
      <c r="H990">
        <v>0</v>
      </c>
      <c r="I990">
        <v>10</v>
      </c>
      <c r="J990" s="10">
        <v>9</v>
      </c>
      <c r="K990" s="10">
        <f>SUMIFS(F:F,D:D,DST_123_ÜRETİM_İHTİYAÇ_RAPORU_BURAK_YENI1309[[#This Row],[ALT_KOD]])-(SUMIFS(H:H,D:D,DST_123_ÜRETİM_İHTİYAÇ_RAPORU_BURAK_YENI1309[[#This Row],[ALT_KOD]])+AVERAGEIFS(I:I,D:D,DST_123_ÜRETİM_İHTİYAÇ_RAPORU_BURAK_YENI1309[[#This Row],[ALT_KOD]])+AVERAGEIFS(L:L,D:D,DST_123_ÜRETİM_İHTİYAÇ_RAPORU_BURAK_YENI1309[[#This Row],[ALT_KOD]]))</f>
        <v>2</v>
      </c>
      <c r="L990">
        <v>0</v>
      </c>
      <c r="M990">
        <f>IF((DST_123_ÜRETİM_İHTİYAÇ_RAPORU_BURAK_YENI1309[[#This Row],[SATINALMA]]*DST_123_ÜRETİM_İHTİYAÇ_RAPORU_BURAK_YENI1309[[#This Row],[BIRIM_FIYATLAR]])&lt;1,VALUE("0"),DST_123_ÜRETİM_İHTİYAÇ_RAPORU_BURAK_YENI1309[[#This Row],[SATINALMA]]*DST_123_ÜRETİM_İHTİYAÇ_RAPORU_BURAK_YENI1309[[#This Row],[BIRIM_FIYATLAR]])</f>
        <v>0</v>
      </c>
      <c r="O990" t="s">
        <v>713</v>
      </c>
      <c r="Q990" t="s">
        <v>760</v>
      </c>
    </row>
    <row r="991" spans="1:17" x14ac:dyDescent="0.25">
      <c r="A991" t="s">
        <v>1101</v>
      </c>
      <c r="B991" t="s">
        <v>1102</v>
      </c>
      <c r="C991" t="s">
        <v>175</v>
      </c>
      <c r="D991" t="s">
        <v>333</v>
      </c>
      <c r="E991" t="s">
        <v>334</v>
      </c>
      <c r="F991">
        <v>1</v>
      </c>
      <c r="G991" t="s">
        <v>176</v>
      </c>
      <c r="H991">
        <v>0</v>
      </c>
      <c r="I991">
        <v>25</v>
      </c>
      <c r="J991" s="10">
        <v>18</v>
      </c>
      <c r="K991" s="10">
        <f>SUMIFS(F:F,D:D,DST_123_ÜRETİM_İHTİYAÇ_RAPORU_BURAK_YENI1309[[#This Row],[ALT_KOD]])-(SUMIFS(H:H,D:D,DST_123_ÜRETİM_İHTİYAÇ_RAPORU_BURAK_YENI1309[[#This Row],[ALT_KOD]])+AVERAGEIFS(I:I,D:D,DST_123_ÜRETİM_İHTİYAÇ_RAPORU_BURAK_YENI1309[[#This Row],[ALT_KOD]])+AVERAGEIFS(L:L,D:D,DST_123_ÜRETİM_İHTİYAÇ_RAPORU_BURAK_YENI1309[[#This Row],[ALT_KOD]]))</f>
        <v>-6</v>
      </c>
      <c r="L991">
        <v>0</v>
      </c>
      <c r="M991">
        <f>IF((DST_123_ÜRETİM_İHTİYAÇ_RAPORU_BURAK_YENI1309[[#This Row],[SATINALMA]]*DST_123_ÜRETİM_İHTİYAÇ_RAPORU_BURAK_YENI1309[[#This Row],[BIRIM_FIYATLAR]])&lt;1,VALUE("0"),DST_123_ÜRETİM_İHTİYAÇ_RAPORU_BURAK_YENI1309[[#This Row],[SATINALMA]]*DST_123_ÜRETİM_İHTİYAÇ_RAPORU_BURAK_YENI1309[[#This Row],[BIRIM_FIYATLAR]])</f>
        <v>0</v>
      </c>
      <c r="N991">
        <v>225</v>
      </c>
      <c r="O991" t="s">
        <v>226</v>
      </c>
      <c r="P991">
        <v>225</v>
      </c>
      <c r="Q991" t="s">
        <v>180</v>
      </c>
    </row>
    <row r="992" spans="1:17" x14ac:dyDescent="0.25">
      <c r="A992" t="s">
        <v>1057</v>
      </c>
      <c r="B992" t="s">
        <v>1058</v>
      </c>
      <c r="C992" t="s">
        <v>175</v>
      </c>
      <c r="D992" t="s">
        <v>888</v>
      </c>
      <c r="E992" t="s">
        <v>889</v>
      </c>
      <c r="F992">
        <v>25</v>
      </c>
      <c r="G992" t="s">
        <v>176</v>
      </c>
      <c r="H992">
        <v>0</v>
      </c>
      <c r="I992">
        <v>5200</v>
      </c>
      <c r="J992" s="10">
        <v>0</v>
      </c>
      <c r="K992" s="10">
        <f>SUMIFS(F:F,D:D,DST_123_ÜRETİM_İHTİYAÇ_RAPORU_BURAK_YENI1309[[#This Row],[ALT_KOD]])-(SUMIFS(H:H,D:D,DST_123_ÜRETİM_İHTİYAÇ_RAPORU_BURAK_YENI1309[[#This Row],[ALT_KOD]])+AVERAGEIFS(I:I,D:D,DST_123_ÜRETİM_İHTİYAÇ_RAPORU_BURAK_YENI1309[[#This Row],[ALT_KOD]])+AVERAGEIFS(L:L,D:D,DST_123_ÜRETİM_İHTİYAÇ_RAPORU_BURAK_YENI1309[[#This Row],[ALT_KOD]]))</f>
        <v>-5125</v>
      </c>
      <c r="L992">
        <v>0</v>
      </c>
      <c r="M992">
        <f>IF((DST_123_ÜRETİM_İHTİYAÇ_RAPORU_BURAK_YENI1309[[#This Row],[SATINALMA]]*DST_123_ÜRETİM_İHTİYAÇ_RAPORU_BURAK_YENI1309[[#This Row],[BIRIM_FIYATLAR]])&lt;1,VALUE("0"),DST_123_ÜRETİM_İHTİYAÇ_RAPORU_BURAK_YENI1309[[#This Row],[SATINALMA]]*DST_123_ÜRETİM_İHTİYAÇ_RAPORU_BURAK_YENI1309[[#This Row],[BIRIM_FIYATLAR]])</f>
        <v>0</v>
      </c>
      <c r="N992">
        <v>0.08</v>
      </c>
      <c r="P992">
        <v>2</v>
      </c>
      <c r="Q992" t="s">
        <v>180</v>
      </c>
    </row>
    <row r="993" spans="1:17" x14ac:dyDescent="0.25">
      <c r="A993" t="s">
        <v>1100</v>
      </c>
      <c r="B993" t="s">
        <v>1058</v>
      </c>
      <c r="C993" t="s">
        <v>175</v>
      </c>
      <c r="D993" t="s">
        <v>888</v>
      </c>
      <c r="E993" t="s">
        <v>889</v>
      </c>
      <c r="F993">
        <v>25</v>
      </c>
      <c r="G993" t="s">
        <v>176</v>
      </c>
      <c r="H993">
        <v>0</v>
      </c>
      <c r="I993">
        <v>5200</v>
      </c>
      <c r="J993" s="10">
        <v>0</v>
      </c>
      <c r="K993" s="10">
        <f>SUMIFS(F:F,D:D,DST_123_ÜRETİM_İHTİYAÇ_RAPORU_BURAK_YENI1309[[#This Row],[ALT_KOD]])-(SUMIFS(H:H,D:D,DST_123_ÜRETİM_İHTİYAÇ_RAPORU_BURAK_YENI1309[[#This Row],[ALT_KOD]])+AVERAGEIFS(I:I,D:D,DST_123_ÜRETİM_İHTİYAÇ_RAPORU_BURAK_YENI1309[[#This Row],[ALT_KOD]])+AVERAGEIFS(L:L,D:D,DST_123_ÜRETİM_İHTİYAÇ_RAPORU_BURAK_YENI1309[[#This Row],[ALT_KOD]]))</f>
        <v>-5125</v>
      </c>
      <c r="L993">
        <v>0</v>
      </c>
      <c r="M993">
        <f>IF((DST_123_ÜRETİM_İHTİYAÇ_RAPORU_BURAK_YENI1309[[#This Row],[SATINALMA]]*DST_123_ÜRETİM_İHTİYAÇ_RAPORU_BURAK_YENI1309[[#This Row],[BIRIM_FIYATLAR]])&lt;1,VALUE("0"),DST_123_ÜRETİM_İHTİYAÇ_RAPORU_BURAK_YENI1309[[#This Row],[SATINALMA]]*DST_123_ÜRETİM_İHTİYAÇ_RAPORU_BURAK_YENI1309[[#This Row],[BIRIM_FIYATLAR]])</f>
        <v>0</v>
      </c>
      <c r="N993">
        <v>0.08</v>
      </c>
      <c r="P993">
        <v>2</v>
      </c>
      <c r="Q993" t="s">
        <v>180</v>
      </c>
    </row>
    <row r="994" spans="1:17" x14ac:dyDescent="0.25">
      <c r="A994" t="s">
        <v>1057</v>
      </c>
      <c r="B994" t="s">
        <v>1058</v>
      </c>
      <c r="C994" t="s">
        <v>175</v>
      </c>
      <c r="D994" t="s">
        <v>96</v>
      </c>
      <c r="E994" t="s">
        <v>97</v>
      </c>
      <c r="F994">
        <v>1</v>
      </c>
      <c r="G994" t="s">
        <v>176</v>
      </c>
      <c r="H994">
        <v>1</v>
      </c>
      <c r="I994">
        <v>0</v>
      </c>
      <c r="J994" s="10">
        <v>5</v>
      </c>
      <c r="K994" s="10">
        <f>SUMIFS(F:F,D:D,DST_123_ÜRETİM_İHTİYAÇ_RAPORU_BURAK_YENI1309[[#This Row],[ALT_KOD]])-(SUMIFS(H:H,D:D,DST_123_ÜRETİM_İHTİYAÇ_RAPORU_BURAK_YENI1309[[#This Row],[ALT_KOD]])+AVERAGEIFS(I:I,D:D,DST_123_ÜRETİM_İHTİYAÇ_RAPORU_BURAK_YENI1309[[#This Row],[ALT_KOD]])+AVERAGEIFS(L:L,D:D,DST_123_ÜRETİM_İHTİYAÇ_RAPORU_BURAK_YENI1309[[#This Row],[ALT_KOD]]))</f>
        <v>0</v>
      </c>
      <c r="L994">
        <v>7</v>
      </c>
      <c r="M994">
        <f>IF((DST_123_ÜRETİM_İHTİYAÇ_RAPORU_BURAK_YENI1309[[#This Row],[SATINALMA]]*DST_123_ÜRETİM_İHTİYAÇ_RAPORU_BURAK_YENI1309[[#This Row],[BIRIM_FIYATLAR]])&lt;1,VALUE("0"),DST_123_ÜRETİM_İHTİYAÇ_RAPORU_BURAK_YENI1309[[#This Row],[SATINALMA]]*DST_123_ÜRETİM_İHTİYAÇ_RAPORU_BURAK_YENI1309[[#This Row],[BIRIM_FIYATLAR]])</f>
        <v>0</v>
      </c>
      <c r="N994">
        <v>1491.67</v>
      </c>
      <c r="O994" t="s">
        <v>632</v>
      </c>
      <c r="P994">
        <v>1491.67</v>
      </c>
      <c r="Q994" t="s">
        <v>177</v>
      </c>
    </row>
    <row r="995" spans="1:17" x14ac:dyDescent="0.25">
      <c r="A995" t="s">
        <v>1100</v>
      </c>
      <c r="B995" t="s">
        <v>1058</v>
      </c>
      <c r="C995" t="s">
        <v>175</v>
      </c>
      <c r="D995" t="s">
        <v>96</v>
      </c>
      <c r="E995" t="s">
        <v>97</v>
      </c>
      <c r="F995">
        <v>1</v>
      </c>
      <c r="G995" t="s">
        <v>176</v>
      </c>
      <c r="H995">
        <v>1</v>
      </c>
      <c r="I995">
        <v>0</v>
      </c>
      <c r="J995" s="10">
        <v>5</v>
      </c>
      <c r="K995" s="10">
        <f>SUMIFS(F:F,D:D,DST_123_ÜRETİM_İHTİYAÇ_RAPORU_BURAK_YENI1309[[#This Row],[ALT_KOD]])-(SUMIFS(H:H,D:D,DST_123_ÜRETİM_İHTİYAÇ_RAPORU_BURAK_YENI1309[[#This Row],[ALT_KOD]])+AVERAGEIFS(I:I,D:D,DST_123_ÜRETİM_İHTİYAÇ_RAPORU_BURAK_YENI1309[[#This Row],[ALT_KOD]])+AVERAGEIFS(L:L,D:D,DST_123_ÜRETİM_İHTİYAÇ_RAPORU_BURAK_YENI1309[[#This Row],[ALT_KOD]]))</f>
        <v>0</v>
      </c>
      <c r="L995">
        <v>7</v>
      </c>
      <c r="M995">
        <f>IF((DST_123_ÜRETİM_İHTİYAÇ_RAPORU_BURAK_YENI1309[[#This Row],[SATINALMA]]*DST_123_ÜRETİM_İHTİYAÇ_RAPORU_BURAK_YENI1309[[#This Row],[BIRIM_FIYATLAR]])&lt;1,VALUE("0"),DST_123_ÜRETİM_İHTİYAÇ_RAPORU_BURAK_YENI1309[[#This Row],[SATINALMA]]*DST_123_ÜRETİM_İHTİYAÇ_RAPORU_BURAK_YENI1309[[#This Row],[BIRIM_FIYATLAR]])</f>
        <v>0</v>
      </c>
      <c r="N995">
        <v>1491.67</v>
      </c>
      <c r="O995" t="s">
        <v>632</v>
      </c>
      <c r="P995">
        <v>1491.67</v>
      </c>
      <c r="Q995" t="s">
        <v>177</v>
      </c>
    </row>
    <row r="996" spans="1:17" x14ac:dyDescent="0.25">
      <c r="A996" t="s">
        <v>1101</v>
      </c>
      <c r="B996" t="s">
        <v>1102</v>
      </c>
      <c r="C996" t="s">
        <v>175</v>
      </c>
      <c r="D996" t="s">
        <v>658</v>
      </c>
      <c r="E996" t="s">
        <v>659</v>
      </c>
      <c r="F996">
        <v>1</v>
      </c>
      <c r="G996" t="s">
        <v>176</v>
      </c>
      <c r="H996">
        <v>0</v>
      </c>
      <c r="I996">
        <v>0</v>
      </c>
      <c r="J996" s="10">
        <v>65</v>
      </c>
      <c r="K996" s="10">
        <f>SUMIFS(F:F,D:D,DST_123_ÜRETİM_İHTİYAÇ_RAPORU_BURAK_YENI1309[[#This Row],[ALT_KOD]])-(SUMIFS(H:H,D:D,DST_123_ÜRETİM_İHTİYAÇ_RAPORU_BURAK_YENI1309[[#This Row],[ALT_KOD]])+AVERAGEIFS(I:I,D:D,DST_123_ÜRETİM_İHTİYAÇ_RAPORU_BURAK_YENI1309[[#This Row],[ALT_KOD]])+AVERAGEIFS(L:L,D:D,DST_123_ÜRETİM_İHTİYAÇ_RAPORU_BURAK_YENI1309[[#This Row],[ALT_KOD]]))</f>
        <v>-94</v>
      </c>
      <c r="L996">
        <v>100</v>
      </c>
      <c r="M996">
        <f>IF((DST_123_ÜRETİM_İHTİYAÇ_RAPORU_BURAK_YENI1309[[#This Row],[SATINALMA]]*DST_123_ÜRETİM_İHTİYAÇ_RAPORU_BURAK_YENI1309[[#This Row],[BIRIM_FIYATLAR]])&lt;1,VALUE("0"),DST_123_ÜRETİM_İHTİYAÇ_RAPORU_BURAK_YENI1309[[#This Row],[SATINALMA]]*DST_123_ÜRETİM_İHTİYAÇ_RAPORU_BURAK_YENI1309[[#This Row],[BIRIM_FIYATLAR]])</f>
        <v>0</v>
      </c>
      <c r="N996">
        <v>115</v>
      </c>
      <c r="O996" t="s">
        <v>240</v>
      </c>
      <c r="P996">
        <v>115</v>
      </c>
      <c r="Q996" t="s">
        <v>180</v>
      </c>
    </row>
    <row r="997" spans="1:17" x14ac:dyDescent="0.25">
      <c r="A997" t="s">
        <v>1101</v>
      </c>
      <c r="B997" t="s">
        <v>1102</v>
      </c>
      <c r="C997" t="s">
        <v>175</v>
      </c>
      <c r="D997" t="s">
        <v>534</v>
      </c>
      <c r="E997" t="s">
        <v>535</v>
      </c>
      <c r="F997">
        <v>2</v>
      </c>
      <c r="G997" t="s">
        <v>176</v>
      </c>
      <c r="H997">
        <v>0</v>
      </c>
      <c r="I997">
        <v>212</v>
      </c>
      <c r="J997" s="10">
        <v>625</v>
      </c>
      <c r="K997" s="10">
        <f>SUMIFS(F:F,D:D,DST_123_ÜRETİM_İHTİYAÇ_RAPORU_BURAK_YENI1309[[#This Row],[ALT_KOD]])-(SUMIFS(H:H,D:D,DST_123_ÜRETİM_İHTİYAÇ_RAPORU_BURAK_YENI1309[[#This Row],[ALT_KOD]])+AVERAGEIFS(I:I,D:D,DST_123_ÜRETİM_İHTİYAÇ_RAPORU_BURAK_YENI1309[[#This Row],[ALT_KOD]])+AVERAGEIFS(L:L,D:D,DST_123_ÜRETİM_İHTİYAÇ_RAPORU_BURAK_YENI1309[[#This Row],[ALT_KOD]]))</f>
        <v>-146</v>
      </c>
      <c r="L997">
        <v>0</v>
      </c>
      <c r="M997">
        <f>IF((DST_123_ÜRETİM_İHTİYAÇ_RAPORU_BURAK_YENI1309[[#This Row],[SATINALMA]]*DST_123_ÜRETİM_İHTİYAÇ_RAPORU_BURAK_YENI1309[[#This Row],[BIRIM_FIYATLAR]])&lt;1,VALUE("0"),DST_123_ÜRETİM_İHTİYAÇ_RAPORU_BURAK_YENI1309[[#This Row],[SATINALMA]]*DST_123_ÜRETİM_İHTİYAÇ_RAPORU_BURAK_YENI1309[[#This Row],[BIRIM_FIYATLAR]])</f>
        <v>0</v>
      </c>
      <c r="N997">
        <v>3.95</v>
      </c>
      <c r="O997" t="s">
        <v>240</v>
      </c>
      <c r="P997">
        <v>7.9</v>
      </c>
      <c r="Q997" t="s">
        <v>180</v>
      </c>
    </row>
    <row r="998" spans="1:17" x14ac:dyDescent="0.25">
      <c r="A998" t="s">
        <v>1101</v>
      </c>
      <c r="B998" t="s">
        <v>1102</v>
      </c>
      <c r="C998" t="s">
        <v>175</v>
      </c>
      <c r="D998" t="s">
        <v>850</v>
      </c>
      <c r="E998" t="s">
        <v>851</v>
      </c>
      <c r="F998">
        <v>1</v>
      </c>
      <c r="G998" t="s">
        <v>176</v>
      </c>
      <c r="H998">
        <v>0</v>
      </c>
      <c r="I998">
        <v>10</v>
      </c>
      <c r="J998" s="10">
        <v>3</v>
      </c>
      <c r="K998" s="10">
        <f>SUMIFS(F:F,D:D,DST_123_ÜRETİM_İHTİYAÇ_RAPORU_BURAK_YENI1309[[#This Row],[ALT_KOD]])-(SUMIFS(H:H,D:D,DST_123_ÜRETİM_İHTİYAÇ_RAPORU_BURAK_YENI1309[[#This Row],[ALT_KOD]])+AVERAGEIFS(I:I,D:D,DST_123_ÜRETİM_İHTİYAÇ_RAPORU_BURAK_YENI1309[[#This Row],[ALT_KOD]])+AVERAGEIFS(L:L,D:D,DST_123_ÜRETİM_İHTİYAÇ_RAPORU_BURAK_YENI1309[[#This Row],[ALT_KOD]]))</f>
        <v>-3</v>
      </c>
      <c r="L998">
        <v>0</v>
      </c>
      <c r="M998">
        <f>IF((DST_123_ÜRETİM_İHTİYAÇ_RAPORU_BURAK_YENI1309[[#This Row],[SATINALMA]]*DST_123_ÜRETİM_İHTİYAÇ_RAPORU_BURAK_YENI1309[[#This Row],[BIRIM_FIYATLAR]])&lt;1,VALUE("0"),DST_123_ÜRETİM_İHTİYAÇ_RAPORU_BURAK_YENI1309[[#This Row],[SATINALMA]]*DST_123_ÜRETİM_İHTİYAÇ_RAPORU_BURAK_YENI1309[[#This Row],[BIRIM_FIYATLAR]])</f>
        <v>0</v>
      </c>
      <c r="N998">
        <v>45</v>
      </c>
      <c r="O998" t="s">
        <v>240</v>
      </c>
      <c r="P998">
        <v>45</v>
      </c>
      <c r="Q998" t="s">
        <v>180</v>
      </c>
    </row>
    <row r="999" spans="1:17" x14ac:dyDescent="0.25">
      <c r="A999" t="s">
        <v>1144</v>
      </c>
      <c r="B999" t="s">
        <v>1145</v>
      </c>
      <c r="C999" t="s">
        <v>175</v>
      </c>
      <c r="D999" t="s">
        <v>776</v>
      </c>
      <c r="E999" t="s">
        <v>777</v>
      </c>
      <c r="F999">
        <v>1</v>
      </c>
      <c r="G999" t="s">
        <v>176</v>
      </c>
      <c r="H999">
        <v>0</v>
      </c>
      <c r="I999">
        <v>6</v>
      </c>
      <c r="J999" s="10">
        <v>7</v>
      </c>
      <c r="K999" s="10">
        <f>SUMIFS(F:F,D:D,DST_123_ÜRETİM_İHTİYAÇ_RAPORU_BURAK_YENI1309[[#This Row],[ALT_KOD]])-(SUMIFS(H:H,D:D,DST_123_ÜRETİM_İHTİYAÇ_RAPORU_BURAK_YENI1309[[#This Row],[ALT_KOD]])+AVERAGEIFS(I:I,D:D,DST_123_ÜRETİM_İHTİYAÇ_RAPORU_BURAK_YENI1309[[#This Row],[ALT_KOD]])+AVERAGEIFS(L:L,D:D,DST_123_ÜRETİM_İHTİYAÇ_RAPORU_BURAK_YENI1309[[#This Row],[ALT_KOD]]))</f>
        <v>5</v>
      </c>
      <c r="L999">
        <v>0</v>
      </c>
      <c r="M999">
        <f>IF((DST_123_ÜRETİM_İHTİYAÇ_RAPORU_BURAK_YENI1309[[#This Row],[SATINALMA]]*DST_123_ÜRETİM_İHTİYAÇ_RAPORU_BURAK_YENI1309[[#This Row],[BIRIM_FIYATLAR]])&lt;1,VALUE("0"),DST_123_ÜRETİM_İHTİYAÇ_RAPORU_BURAK_YENI1309[[#This Row],[SATINALMA]]*DST_123_ÜRETİM_İHTİYAÇ_RAPORU_BURAK_YENI1309[[#This Row],[BIRIM_FIYATLAR]])</f>
        <v>12288.25</v>
      </c>
      <c r="N999">
        <v>2457.65</v>
      </c>
      <c r="O999" t="s">
        <v>634</v>
      </c>
      <c r="P999">
        <v>2457.65</v>
      </c>
      <c r="Q999" t="s">
        <v>177</v>
      </c>
    </row>
    <row r="1000" spans="1:17" x14ac:dyDescent="0.25">
      <c r="A1000" t="s">
        <v>1060</v>
      </c>
      <c r="B1000" t="s">
        <v>1061</v>
      </c>
      <c r="C1000" t="s">
        <v>175</v>
      </c>
      <c r="D1000" t="s">
        <v>363</v>
      </c>
      <c r="E1000" t="s">
        <v>364</v>
      </c>
      <c r="F1000">
        <v>7.5</v>
      </c>
      <c r="G1000" t="s">
        <v>179</v>
      </c>
      <c r="H1000">
        <v>0</v>
      </c>
      <c r="I1000">
        <v>100</v>
      </c>
      <c r="J1000" s="10">
        <v>159.90000000000003</v>
      </c>
      <c r="K1000" s="10">
        <f>SUMIFS(F:F,D:D,DST_123_ÜRETİM_İHTİYAÇ_RAPORU_BURAK_YENI1309[[#This Row],[ALT_KOD]])-(SUMIFS(H:H,D:D,DST_123_ÜRETİM_İHTİYAÇ_RAPORU_BURAK_YENI1309[[#This Row],[ALT_KOD]])+AVERAGEIFS(I:I,D:D,DST_123_ÜRETİM_İHTİYAÇ_RAPORU_BURAK_YENI1309[[#This Row],[ALT_KOD]])+AVERAGEIFS(L:L,D:D,DST_123_ÜRETİM_İHTİYAÇ_RAPORU_BURAK_YENI1309[[#This Row],[ALT_KOD]]))</f>
        <v>41.300000000000011</v>
      </c>
      <c r="L1000">
        <v>0</v>
      </c>
      <c r="M1000">
        <f>IF((DST_123_ÜRETİM_İHTİYAÇ_RAPORU_BURAK_YENI1309[[#This Row],[SATINALMA]]*DST_123_ÜRETİM_İHTİYAÇ_RAPORU_BURAK_YENI1309[[#This Row],[BIRIM_FIYATLAR]])&lt;1,VALUE("0"),DST_123_ÜRETİM_İHTİYAÇ_RAPORU_BURAK_YENI1309[[#This Row],[SATINALMA]]*DST_123_ÜRETİM_İHTİYAÇ_RAPORU_BURAK_YENI1309[[#This Row],[BIRIM_FIYATLAR]])</f>
        <v>929.25000000000023</v>
      </c>
      <c r="N1000">
        <v>22.5</v>
      </c>
      <c r="O1000" t="s">
        <v>314</v>
      </c>
      <c r="P1000">
        <v>168.75</v>
      </c>
      <c r="Q1000" t="s">
        <v>178</v>
      </c>
    </row>
    <row r="1001" spans="1:17" x14ac:dyDescent="0.25">
      <c r="A1001" t="s">
        <v>1150</v>
      </c>
      <c r="B1001" t="s">
        <v>1145</v>
      </c>
      <c r="C1001" t="s">
        <v>175</v>
      </c>
      <c r="D1001" t="s">
        <v>363</v>
      </c>
      <c r="E1001" t="s">
        <v>364</v>
      </c>
      <c r="F1001">
        <v>7.5</v>
      </c>
      <c r="G1001" t="s">
        <v>179</v>
      </c>
      <c r="H1001">
        <v>0</v>
      </c>
      <c r="I1001">
        <v>100</v>
      </c>
      <c r="J1001" s="10">
        <v>159.90000000000003</v>
      </c>
      <c r="K1001" s="10">
        <f>SUMIFS(F:F,D:D,DST_123_ÜRETİM_İHTİYAÇ_RAPORU_BURAK_YENI1309[[#This Row],[ALT_KOD]])-(SUMIFS(H:H,D:D,DST_123_ÜRETİM_İHTİYAÇ_RAPORU_BURAK_YENI1309[[#This Row],[ALT_KOD]])+AVERAGEIFS(I:I,D:D,DST_123_ÜRETİM_İHTİYAÇ_RAPORU_BURAK_YENI1309[[#This Row],[ALT_KOD]])+AVERAGEIFS(L:L,D:D,DST_123_ÜRETİM_İHTİYAÇ_RAPORU_BURAK_YENI1309[[#This Row],[ALT_KOD]]))</f>
        <v>41.300000000000011</v>
      </c>
      <c r="L1001">
        <v>0</v>
      </c>
      <c r="M1001">
        <f>IF((DST_123_ÜRETİM_İHTİYAÇ_RAPORU_BURAK_YENI1309[[#This Row],[SATINALMA]]*DST_123_ÜRETİM_İHTİYAÇ_RAPORU_BURAK_YENI1309[[#This Row],[BIRIM_FIYATLAR]])&lt;1,VALUE("0"),DST_123_ÜRETİM_İHTİYAÇ_RAPORU_BURAK_YENI1309[[#This Row],[SATINALMA]]*DST_123_ÜRETİM_İHTİYAÇ_RAPORU_BURAK_YENI1309[[#This Row],[BIRIM_FIYATLAR]])</f>
        <v>929.25000000000023</v>
      </c>
      <c r="N1001">
        <v>22.5</v>
      </c>
      <c r="O1001" t="s">
        <v>314</v>
      </c>
      <c r="P1001">
        <v>168.75</v>
      </c>
      <c r="Q1001" t="s">
        <v>178</v>
      </c>
    </row>
    <row r="1002" spans="1:17" x14ac:dyDescent="0.25">
      <c r="A1002" t="s">
        <v>1144</v>
      </c>
      <c r="B1002" t="s">
        <v>1145</v>
      </c>
      <c r="C1002" t="s">
        <v>175</v>
      </c>
      <c r="D1002" t="s">
        <v>1214</v>
      </c>
      <c r="E1002" t="s">
        <v>1215</v>
      </c>
      <c r="F1002">
        <v>0.3</v>
      </c>
      <c r="G1002" t="s">
        <v>185</v>
      </c>
      <c r="H1002">
        <v>0</v>
      </c>
      <c r="I1002">
        <v>0</v>
      </c>
      <c r="J1002" s="10">
        <v>22</v>
      </c>
      <c r="K1002" s="10">
        <f>SUMIFS(F:F,D:D,DST_123_ÜRETİM_İHTİYAÇ_RAPORU_BURAK_YENI1309[[#This Row],[ALT_KOD]])-(SUMIFS(H:H,D:D,DST_123_ÜRETİM_İHTİYAÇ_RAPORU_BURAK_YENI1309[[#This Row],[ALT_KOD]])+AVERAGEIFS(I:I,D:D,DST_123_ÜRETİM_İHTİYAÇ_RAPORU_BURAK_YENI1309[[#This Row],[ALT_KOD]])+AVERAGEIFS(L:L,D:D,DST_123_ÜRETİM_İHTİYAÇ_RAPORU_BURAK_YENI1309[[#This Row],[ALT_KOD]]))</f>
        <v>0.6</v>
      </c>
      <c r="L1002">
        <v>0</v>
      </c>
      <c r="M1002">
        <f>IF((DST_123_ÜRETİM_İHTİYAÇ_RAPORU_BURAK_YENI1309[[#This Row],[SATINALMA]]*DST_123_ÜRETİM_İHTİYAÇ_RAPORU_BURAK_YENI1309[[#This Row],[BIRIM_FIYATLAR]])&lt;1,VALUE("0"),DST_123_ÜRETİM_İHTİYAÇ_RAPORU_BURAK_YENI1309[[#This Row],[SATINALMA]]*DST_123_ÜRETİM_İHTİYAÇ_RAPORU_BURAK_YENI1309[[#This Row],[BIRIM_FIYATLAR]])</f>
        <v>162.54600000000002</v>
      </c>
      <c r="N1002">
        <v>270.91000000000003</v>
      </c>
      <c r="O1002" t="s">
        <v>1193</v>
      </c>
      <c r="P1002">
        <v>81.27300000000001</v>
      </c>
      <c r="Q1002" t="s">
        <v>183</v>
      </c>
    </row>
    <row r="1003" spans="1:17" x14ac:dyDescent="0.25">
      <c r="A1003" t="s">
        <v>1149</v>
      </c>
      <c r="B1003" t="s">
        <v>1145</v>
      </c>
      <c r="C1003" t="s">
        <v>175</v>
      </c>
      <c r="D1003" t="s">
        <v>363</v>
      </c>
      <c r="E1003" t="s">
        <v>364</v>
      </c>
      <c r="F1003">
        <v>7.5</v>
      </c>
      <c r="G1003" t="s">
        <v>179</v>
      </c>
      <c r="H1003">
        <v>0</v>
      </c>
      <c r="I1003">
        <v>100</v>
      </c>
      <c r="J1003" s="10">
        <v>159.90000000000003</v>
      </c>
      <c r="K1003" s="10">
        <f>SUMIFS(F:F,D:D,DST_123_ÜRETİM_İHTİYAÇ_RAPORU_BURAK_YENI1309[[#This Row],[ALT_KOD]])-(SUMIFS(H:H,D:D,DST_123_ÜRETİM_İHTİYAÇ_RAPORU_BURAK_YENI1309[[#This Row],[ALT_KOD]])+AVERAGEIFS(I:I,D:D,DST_123_ÜRETİM_İHTİYAÇ_RAPORU_BURAK_YENI1309[[#This Row],[ALT_KOD]])+AVERAGEIFS(L:L,D:D,DST_123_ÜRETİM_İHTİYAÇ_RAPORU_BURAK_YENI1309[[#This Row],[ALT_KOD]]))</f>
        <v>41.300000000000011</v>
      </c>
      <c r="L1003">
        <v>0</v>
      </c>
      <c r="M1003">
        <f>IF((DST_123_ÜRETİM_İHTİYAÇ_RAPORU_BURAK_YENI1309[[#This Row],[SATINALMA]]*DST_123_ÜRETİM_İHTİYAÇ_RAPORU_BURAK_YENI1309[[#This Row],[BIRIM_FIYATLAR]])&lt;1,VALUE("0"),DST_123_ÜRETİM_İHTİYAÇ_RAPORU_BURAK_YENI1309[[#This Row],[SATINALMA]]*DST_123_ÜRETİM_İHTİYAÇ_RAPORU_BURAK_YENI1309[[#This Row],[BIRIM_FIYATLAR]])</f>
        <v>929.25000000000023</v>
      </c>
      <c r="N1003">
        <v>22.5</v>
      </c>
      <c r="O1003" t="s">
        <v>314</v>
      </c>
      <c r="P1003">
        <v>168.75</v>
      </c>
      <c r="Q1003" t="s">
        <v>178</v>
      </c>
    </row>
    <row r="1004" spans="1:17" x14ac:dyDescent="0.25">
      <c r="A1004" t="s">
        <v>1149</v>
      </c>
      <c r="B1004" t="s">
        <v>1145</v>
      </c>
      <c r="C1004" t="s">
        <v>175</v>
      </c>
      <c r="D1004" t="s">
        <v>367</v>
      </c>
      <c r="E1004" t="s">
        <v>368</v>
      </c>
      <c r="F1004">
        <v>49</v>
      </c>
      <c r="G1004" t="s">
        <v>176</v>
      </c>
      <c r="H1004">
        <v>0</v>
      </c>
      <c r="I1004">
        <v>1000</v>
      </c>
      <c r="J1004" s="10">
        <v>396</v>
      </c>
      <c r="K1004" s="10">
        <f>SUMIFS(F:F,D:D,DST_123_ÜRETİM_İHTİYAÇ_RAPORU_BURAK_YENI1309[[#This Row],[ALT_KOD]])-(SUMIFS(H:H,D:D,DST_123_ÜRETİM_İHTİYAÇ_RAPORU_BURAK_YENI1309[[#This Row],[ALT_KOD]])+AVERAGEIFS(I:I,D:D,DST_123_ÜRETİM_İHTİYAÇ_RAPORU_BURAK_YENI1309[[#This Row],[ALT_KOD]])+AVERAGEIFS(L:L,D:D,DST_123_ÜRETİM_İHTİYAÇ_RAPORU_BURAK_YENI1309[[#This Row],[ALT_KOD]]))</f>
        <v>-91</v>
      </c>
      <c r="L1004">
        <v>0</v>
      </c>
      <c r="M1004">
        <f>IF((DST_123_ÜRETİM_İHTİYAÇ_RAPORU_BURAK_YENI1309[[#This Row],[SATINALMA]]*DST_123_ÜRETİM_İHTİYAÇ_RAPORU_BURAK_YENI1309[[#This Row],[BIRIM_FIYATLAR]])&lt;1,VALUE("0"),DST_123_ÜRETİM_İHTİYAÇ_RAPORU_BURAK_YENI1309[[#This Row],[SATINALMA]]*DST_123_ÜRETİM_İHTİYAÇ_RAPORU_BURAK_YENI1309[[#This Row],[BIRIM_FIYATLAR]])</f>
        <v>0</v>
      </c>
      <c r="N1004">
        <v>12.5</v>
      </c>
      <c r="O1004" t="s">
        <v>369</v>
      </c>
      <c r="P1004">
        <v>612.5</v>
      </c>
      <c r="Q1004" t="s">
        <v>180</v>
      </c>
    </row>
    <row r="1005" spans="1:17" x14ac:dyDescent="0.25">
      <c r="A1005" t="s">
        <v>1144</v>
      </c>
      <c r="B1005" t="s">
        <v>1145</v>
      </c>
      <c r="C1005" t="s">
        <v>175</v>
      </c>
      <c r="D1005" t="s">
        <v>367</v>
      </c>
      <c r="E1005" t="s">
        <v>368</v>
      </c>
      <c r="F1005">
        <v>49</v>
      </c>
      <c r="G1005" t="s">
        <v>176</v>
      </c>
      <c r="H1005">
        <v>0</v>
      </c>
      <c r="I1005">
        <v>1000</v>
      </c>
      <c r="J1005" s="10">
        <v>396</v>
      </c>
      <c r="K1005" s="10">
        <f>SUMIFS(F:F,D:D,DST_123_ÜRETİM_İHTİYAÇ_RAPORU_BURAK_YENI1309[[#This Row],[ALT_KOD]])-(SUMIFS(H:H,D:D,DST_123_ÜRETİM_İHTİYAÇ_RAPORU_BURAK_YENI1309[[#This Row],[ALT_KOD]])+AVERAGEIFS(I:I,D:D,DST_123_ÜRETİM_İHTİYAÇ_RAPORU_BURAK_YENI1309[[#This Row],[ALT_KOD]])+AVERAGEIFS(L:L,D:D,DST_123_ÜRETİM_İHTİYAÇ_RAPORU_BURAK_YENI1309[[#This Row],[ALT_KOD]]))</f>
        <v>-91</v>
      </c>
      <c r="L1005">
        <v>0</v>
      </c>
      <c r="M1005">
        <f>IF((DST_123_ÜRETİM_İHTİYAÇ_RAPORU_BURAK_YENI1309[[#This Row],[SATINALMA]]*DST_123_ÜRETİM_İHTİYAÇ_RAPORU_BURAK_YENI1309[[#This Row],[BIRIM_FIYATLAR]])&lt;1,VALUE("0"),DST_123_ÜRETİM_İHTİYAÇ_RAPORU_BURAK_YENI1309[[#This Row],[SATINALMA]]*DST_123_ÜRETİM_İHTİYAÇ_RAPORU_BURAK_YENI1309[[#This Row],[BIRIM_FIYATLAR]])</f>
        <v>0</v>
      </c>
      <c r="N1005">
        <v>12.5</v>
      </c>
      <c r="O1005" t="s">
        <v>369</v>
      </c>
      <c r="P1005">
        <v>612.5</v>
      </c>
      <c r="Q1005" t="s">
        <v>180</v>
      </c>
    </row>
    <row r="1006" spans="1:17" x14ac:dyDescent="0.25">
      <c r="A1006" t="s">
        <v>1146</v>
      </c>
      <c r="B1006" t="s">
        <v>1145</v>
      </c>
      <c r="C1006" t="s">
        <v>175</v>
      </c>
      <c r="D1006" t="s">
        <v>367</v>
      </c>
      <c r="E1006" t="s">
        <v>368</v>
      </c>
      <c r="F1006">
        <v>49</v>
      </c>
      <c r="G1006" t="s">
        <v>176</v>
      </c>
      <c r="H1006">
        <v>0</v>
      </c>
      <c r="I1006">
        <v>1000</v>
      </c>
      <c r="J1006" s="10">
        <v>396</v>
      </c>
      <c r="K1006" s="10">
        <f>SUMIFS(F:F,D:D,DST_123_ÜRETİM_İHTİYAÇ_RAPORU_BURAK_YENI1309[[#This Row],[ALT_KOD]])-(SUMIFS(H:H,D:D,DST_123_ÜRETİM_İHTİYAÇ_RAPORU_BURAK_YENI1309[[#This Row],[ALT_KOD]])+AVERAGEIFS(I:I,D:D,DST_123_ÜRETİM_İHTİYAÇ_RAPORU_BURAK_YENI1309[[#This Row],[ALT_KOD]])+AVERAGEIFS(L:L,D:D,DST_123_ÜRETİM_İHTİYAÇ_RAPORU_BURAK_YENI1309[[#This Row],[ALT_KOD]]))</f>
        <v>-91</v>
      </c>
      <c r="L1006">
        <v>0</v>
      </c>
      <c r="M1006">
        <f>IF((DST_123_ÜRETİM_İHTİYAÇ_RAPORU_BURAK_YENI1309[[#This Row],[SATINALMA]]*DST_123_ÜRETİM_İHTİYAÇ_RAPORU_BURAK_YENI1309[[#This Row],[BIRIM_FIYATLAR]])&lt;1,VALUE("0"),DST_123_ÜRETİM_İHTİYAÇ_RAPORU_BURAK_YENI1309[[#This Row],[SATINALMA]]*DST_123_ÜRETİM_İHTİYAÇ_RAPORU_BURAK_YENI1309[[#This Row],[BIRIM_FIYATLAR]])</f>
        <v>0</v>
      </c>
      <c r="N1006">
        <v>12.5</v>
      </c>
      <c r="O1006" t="s">
        <v>369</v>
      </c>
      <c r="P1006">
        <v>612.5</v>
      </c>
      <c r="Q1006" t="s">
        <v>180</v>
      </c>
    </row>
    <row r="1007" spans="1:17" x14ac:dyDescent="0.25">
      <c r="A1007" t="s">
        <v>1149</v>
      </c>
      <c r="B1007" t="s">
        <v>1145</v>
      </c>
      <c r="C1007" t="s">
        <v>175</v>
      </c>
      <c r="D1007" t="s">
        <v>155</v>
      </c>
      <c r="E1007" t="s">
        <v>156</v>
      </c>
      <c r="F1007">
        <v>0.01</v>
      </c>
      <c r="G1007" t="s">
        <v>179</v>
      </c>
      <c r="H1007">
        <v>0</v>
      </c>
      <c r="I1007">
        <v>200</v>
      </c>
      <c r="J1007" s="10">
        <v>74.999999999999957</v>
      </c>
      <c r="K1007" s="10">
        <f>SUMIFS(F:F,D:D,DST_123_ÜRETİM_İHTİYAÇ_RAPORU_BURAK_YENI1309[[#This Row],[ALT_KOD]])-(SUMIFS(H:H,D:D,DST_123_ÜRETİM_İHTİYAÇ_RAPORU_BURAK_YENI1309[[#This Row],[ALT_KOD]])+AVERAGEIFS(I:I,D:D,DST_123_ÜRETİM_İHTİYAÇ_RAPORU_BURAK_YENI1309[[#This Row],[ALT_KOD]])+AVERAGEIFS(L:L,D:D,DST_123_ÜRETİM_İHTİYAÇ_RAPORU_BURAK_YENI1309[[#This Row],[ALT_KOD]]))</f>
        <v>-198.95</v>
      </c>
      <c r="L1007">
        <v>0</v>
      </c>
      <c r="M1007">
        <f>IF((DST_123_ÜRETİM_İHTİYAÇ_RAPORU_BURAK_YENI1309[[#This Row],[SATINALMA]]*DST_123_ÜRETİM_İHTİYAÇ_RAPORU_BURAK_YENI1309[[#This Row],[BIRIM_FIYATLAR]])&lt;1,VALUE("0"),DST_123_ÜRETİM_İHTİYAÇ_RAPORU_BURAK_YENI1309[[#This Row],[SATINALMA]]*DST_123_ÜRETİM_İHTİYAÇ_RAPORU_BURAK_YENI1309[[#This Row],[BIRIM_FIYATLAR]])</f>
        <v>0</v>
      </c>
      <c r="N1007">
        <v>7.4</v>
      </c>
      <c r="O1007" t="s">
        <v>635</v>
      </c>
      <c r="P1007">
        <v>7.400000000000001E-2</v>
      </c>
      <c r="Q1007" t="s">
        <v>221</v>
      </c>
    </row>
    <row r="1008" spans="1:17" x14ac:dyDescent="0.25">
      <c r="A1008" t="s">
        <v>1148</v>
      </c>
      <c r="B1008" t="s">
        <v>1056</v>
      </c>
      <c r="C1008" t="s">
        <v>175</v>
      </c>
      <c r="D1008" t="s">
        <v>850</v>
      </c>
      <c r="E1008" t="s">
        <v>851</v>
      </c>
      <c r="F1008">
        <v>1</v>
      </c>
      <c r="G1008" t="s">
        <v>176</v>
      </c>
      <c r="H1008">
        <v>0</v>
      </c>
      <c r="I1008">
        <v>10</v>
      </c>
      <c r="J1008" s="10">
        <v>3</v>
      </c>
      <c r="K1008" s="10">
        <f>SUMIFS(F:F,D:D,DST_123_ÜRETİM_İHTİYAÇ_RAPORU_BURAK_YENI1309[[#This Row],[ALT_KOD]])-(SUMIFS(H:H,D:D,DST_123_ÜRETİM_İHTİYAÇ_RAPORU_BURAK_YENI1309[[#This Row],[ALT_KOD]])+AVERAGEIFS(I:I,D:D,DST_123_ÜRETİM_İHTİYAÇ_RAPORU_BURAK_YENI1309[[#This Row],[ALT_KOD]])+AVERAGEIFS(L:L,D:D,DST_123_ÜRETİM_İHTİYAÇ_RAPORU_BURAK_YENI1309[[#This Row],[ALT_KOD]]))</f>
        <v>-3</v>
      </c>
      <c r="L1008">
        <v>0</v>
      </c>
      <c r="M1008">
        <f>IF((DST_123_ÜRETİM_İHTİYAÇ_RAPORU_BURAK_YENI1309[[#This Row],[SATINALMA]]*DST_123_ÜRETİM_İHTİYAÇ_RAPORU_BURAK_YENI1309[[#This Row],[BIRIM_FIYATLAR]])&lt;1,VALUE("0"),DST_123_ÜRETİM_İHTİYAÇ_RAPORU_BURAK_YENI1309[[#This Row],[SATINALMA]]*DST_123_ÜRETİM_İHTİYAÇ_RAPORU_BURAK_YENI1309[[#This Row],[BIRIM_FIYATLAR]])</f>
        <v>0</v>
      </c>
      <c r="N1008">
        <v>45</v>
      </c>
      <c r="O1008" t="s">
        <v>240</v>
      </c>
      <c r="P1008">
        <v>45</v>
      </c>
      <c r="Q1008" t="s">
        <v>180</v>
      </c>
    </row>
    <row r="1009" spans="1:17" x14ac:dyDescent="0.25">
      <c r="A1009" t="s">
        <v>1057</v>
      </c>
      <c r="B1009" t="s">
        <v>1058</v>
      </c>
      <c r="C1009" t="s">
        <v>175</v>
      </c>
      <c r="D1009" t="s">
        <v>776</v>
      </c>
      <c r="E1009" t="s">
        <v>777</v>
      </c>
      <c r="F1009">
        <v>1</v>
      </c>
      <c r="G1009" t="s">
        <v>176</v>
      </c>
      <c r="H1009">
        <v>1</v>
      </c>
      <c r="I1009">
        <v>6</v>
      </c>
      <c r="J1009" s="10">
        <v>7</v>
      </c>
      <c r="K1009" s="10">
        <f>SUMIFS(F:F,D:D,DST_123_ÜRETİM_İHTİYAÇ_RAPORU_BURAK_YENI1309[[#This Row],[ALT_KOD]])-(SUMIFS(H:H,D:D,DST_123_ÜRETİM_İHTİYAÇ_RAPORU_BURAK_YENI1309[[#This Row],[ALT_KOD]])+AVERAGEIFS(I:I,D:D,DST_123_ÜRETİM_İHTİYAÇ_RAPORU_BURAK_YENI1309[[#This Row],[ALT_KOD]])+AVERAGEIFS(L:L,D:D,DST_123_ÜRETİM_İHTİYAÇ_RAPORU_BURAK_YENI1309[[#This Row],[ALT_KOD]]))</f>
        <v>5</v>
      </c>
      <c r="L1009">
        <v>0</v>
      </c>
      <c r="M1009">
        <f>IF((DST_123_ÜRETİM_İHTİYAÇ_RAPORU_BURAK_YENI1309[[#This Row],[SATINALMA]]*DST_123_ÜRETİM_İHTİYAÇ_RAPORU_BURAK_YENI1309[[#This Row],[BIRIM_FIYATLAR]])&lt;1,VALUE("0"),DST_123_ÜRETİM_İHTİYAÇ_RAPORU_BURAK_YENI1309[[#This Row],[SATINALMA]]*DST_123_ÜRETİM_İHTİYAÇ_RAPORU_BURAK_YENI1309[[#This Row],[BIRIM_FIYATLAR]])</f>
        <v>12288.25</v>
      </c>
      <c r="N1009">
        <v>2457.65</v>
      </c>
      <c r="O1009" t="s">
        <v>634</v>
      </c>
      <c r="P1009">
        <v>2457.65</v>
      </c>
      <c r="Q1009" t="s">
        <v>177</v>
      </c>
    </row>
    <row r="1010" spans="1:17" x14ac:dyDescent="0.25">
      <c r="A1010" t="s">
        <v>1150</v>
      </c>
      <c r="B1010" t="s">
        <v>1145</v>
      </c>
      <c r="C1010" t="s">
        <v>175</v>
      </c>
      <c r="D1010" t="s">
        <v>534</v>
      </c>
      <c r="E1010" t="s">
        <v>535</v>
      </c>
      <c r="F1010">
        <v>8</v>
      </c>
      <c r="G1010" t="s">
        <v>176</v>
      </c>
      <c r="H1010">
        <v>0</v>
      </c>
      <c r="I1010">
        <v>212</v>
      </c>
      <c r="J1010" s="10">
        <v>625</v>
      </c>
      <c r="K1010" s="10">
        <f>SUMIFS(F:F,D:D,DST_123_ÜRETİM_İHTİYAÇ_RAPORU_BURAK_YENI1309[[#This Row],[ALT_KOD]])-(SUMIFS(H:H,D:D,DST_123_ÜRETİM_İHTİYAÇ_RAPORU_BURAK_YENI1309[[#This Row],[ALT_KOD]])+AVERAGEIFS(I:I,D:D,DST_123_ÜRETİM_İHTİYAÇ_RAPORU_BURAK_YENI1309[[#This Row],[ALT_KOD]])+AVERAGEIFS(L:L,D:D,DST_123_ÜRETİM_İHTİYAÇ_RAPORU_BURAK_YENI1309[[#This Row],[ALT_KOD]]))</f>
        <v>-146</v>
      </c>
      <c r="L1010">
        <v>0</v>
      </c>
      <c r="M1010">
        <f>IF((DST_123_ÜRETİM_İHTİYAÇ_RAPORU_BURAK_YENI1309[[#This Row],[SATINALMA]]*DST_123_ÜRETİM_İHTİYAÇ_RAPORU_BURAK_YENI1309[[#This Row],[BIRIM_FIYATLAR]])&lt;1,VALUE("0"),DST_123_ÜRETİM_İHTİYAÇ_RAPORU_BURAK_YENI1309[[#This Row],[SATINALMA]]*DST_123_ÜRETİM_İHTİYAÇ_RAPORU_BURAK_YENI1309[[#This Row],[BIRIM_FIYATLAR]])</f>
        <v>0</v>
      </c>
      <c r="N1010">
        <v>3.95</v>
      </c>
      <c r="O1010" t="s">
        <v>240</v>
      </c>
      <c r="P1010">
        <v>31.6</v>
      </c>
      <c r="Q1010" t="s">
        <v>180</v>
      </c>
    </row>
    <row r="1011" spans="1:17" x14ac:dyDescent="0.25">
      <c r="A1011" t="s">
        <v>1150</v>
      </c>
      <c r="B1011" t="s">
        <v>1145</v>
      </c>
      <c r="C1011" t="s">
        <v>175</v>
      </c>
      <c r="D1011" t="s">
        <v>776</v>
      </c>
      <c r="E1011" t="s">
        <v>777</v>
      </c>
      <c r="F1011">
        <v>1</v>
      </c>
      <c r="G1011" t="s">
        <v>176</v>
      </c>
      <c r="H1011">
        <v>0</v>
      </c>
      <c r="I1011">
        <v>6</v>
      </c>
      <c r="J1011" s="10">
        <v>7</v>
      </c>
      <c r="K1011" s="10">
        <f>SUMIFS(F:F,D:D,DST_123_ÜRETİM_İHTİYAÇ_RAPORU_BURAK_YENI1309[[#This Row],[ALT_KOD]])-(SUMIFS(H:H,D:D,DST_123_ÜRETİM_İHTİYAÇ_RAPORU_BURAK_YENI1309[[#This Row],[ALT_KOD]])+AVERAGEIFS(I:I,D:D,DST_123_ÜRETİM_İHTİYAÇ_RAPORU_BURAK_YENI1309[[#This Row],[ALT_KOD]])+AVERAGEIFS(L:L,D:D,DST_123_ÜRETİM_İHTİYAÇ_RAPORU_BURAK_YENI1309[[#This Row],[ALT_KOD]]))</f>
        <v>5</v>
      </c>
      <c r="L1011">
        <v>0</v>
      </c>
      <c r="M1011">
        <f>IF((DST_123_ÜRETİM_İHTİYAÇ_RAPORU_BURAK_YENI1309[[#This Row],[SATINALMA]]*DST_123_ÜRETİM_İHTİYAÇ_RAPORU_BURAK_YENI1309[[#This Row],[BIRIM_FIYATLAR]])&lt;1,VALUE("0"),DST_123_ÜRETİM_İHTİYAÇ_RAPORU_BURAK_YENI1309[[#This Row],[SATINALMA]]*DST_123_ÜRETİM_İHTİYAÇ_RAPORU_BURAK_YENI1309[[#This Row],[BIRIM_FIYATLAR]])</f>
        <v>12288.25</v>
      </c>
      <c r="N1011">
        <v>2457.65</v>
      </c>
      <c r="O1011" t="s">
        <v>634</v>
      </c>
      <c r="P1011">
        <v>2457.65</v>
      </c>
      <c r="Q1011" t="s">
        <v>177</v>
      </c>
    </row>
    <row r="1012" spans="1:17" x14ac:dyDescent="0.25">
      <c r="A1012" t="s">
        <v>1148</v>
      </c>
      <c r="B1012" t="s">
        <v>1056</v>
      </c>
      <c r="C1012" t="s">
        <v>175</v>
      </c>
      <c r="D1012" t="s">
        <v>1105</v>
      </c>
      <c r="E1012" t="s">
        <v>1106</v>
      </c>
      <c r="F1012">
        <v>0.5</v>
      </c>
      <c r="G1012" t="s">
        <v>412</v>
      </c>
      <c r="H1012">
        <v>0</v>
      </c>
      <c r="I1012">
        <v>500</v>
      </c>
      <c r="J1012" s="10">
        <v>0</v>
      </c>
      <c r="K1012" s="10">
        <f>SUMIFS(F:F,D:D,DST_123_ÜRETİM_İHTİYAÇ_RAPORU_BURAK_YENI1309[[#This Row],[ALT_KOD]])-(SUMIFS(H:H,D:D,DST_123_ÜRETİM_İHTİYAÇ_RAPORU_BURAK_YENI1309[[#This Row],[ALT_KOD]])+AVERAGEIFS(I:I,D:D,DST_123_ÜRETİM_İHTİYAÇ_RAPORU_BURAK_YENI1309[[#This Row],[ALT_KOD]])+AVERAGEIFS(L:L,D:D,DST_123_ÜRETİM_İHTİYAÇ_RAPORU_BURAK_YENI1309[[#This Row],[ALT_KOD]]))</f>
        <v>-499</v>
      </c>
      <c r="L1012">
        <v>0</v>
      </c>
      <c r="M1012">
        <f>IF((DST_123_ÜRETİM_İHTİYAÇ_RAPORU_BURAK_YENI1309[[#This Row],[SATINALMA]]*DST_123_ÜRETİM_İHTİYAÇ_RAPORU_BURAK_YENI1309[[#This Row],[BIRIM_FIYATLAR]])&lt;1,VALUE("0"),DST_123_ÜRETİM_İHTİYAÇ_RAPORU_BURAK_YENI1309[[#This Row],[SATINALMA]]*DST_123_ÜRETİM_İHTİYAÇ_RAPORU_BURAK_YENI1309[[#This Row],[BIRIM_FIYATLAR]])</f>
        <v>0</v>
      </c>
      <c r="N1012">
        <v>4</v>
      </c>
      <c r="O1012" t="s">
        <v>346</v>
      </c>
      <c r="P1012">
        <v>2</v>
      </c>
      <c r="Q1012" t="s">
        <v>183</v>
      </c>
    </row>
    <row r="1013" spans="1:17" x14ac:dyDescent="0.25">
      <c r="A1013" t="s">
        <v>1147</v>
      </c>
      <c r="B1013" t="s">
        <v>1145</v>
      </c>
      <c r="C1013" t="s">
        <v>175</v>
      </c>
      <c r="D1013" t="s">
        <v>363</v>
      </c>
      <c r="E1013" t="s">
        <v>364</v>
      </c>
      <c r="F1013">
        <v>7.5</v>
      </c>
      <c r="G1013" t="s">
        <v>179</v>
      </c>
      <c r="H1013">
        <v>0</v>
      </c>
      <c r="I1013">
        <v>100</v>
      </c>
      <c r="J1013" s="10">
        <v>159.90000000000003</v>
      </c>
      <c r="K1013" s="10">
        <f>SUMIFS(F:F,D:D,DST_123_ÜRETİM_İHTİYAÇ_RAPORU_BURAK_YENI1309[[#This Row],[ALT_KOD]])-(SUMIFS(H:H,D:D,DST_123_ÜRETİM_İHTİYAÇ_RAPORU_BURAK_YENI1309[[#This Row],[ALT_KOD]])+AVERAGEIFS(I:I,D:D,DST_123_ÜRETİM_İHTİYAÇ_RAPORU_BURAK_YENI1309[[#This Row],[ALT_KOD]])+AVERAGEIFS(L:L,D:D,DST_123_ÜRETİM_İHTİYAÇ_RAPORU_BURAK_YENI1309[[#This Row],[ALT_KOD]]))</f>
        <v>41.300000000000011</v>
      </c>
      <c r="L1013">
        <v>0</v>
      </c>
      <c r="M1013">
        <f>IF((DST_123_ÜRETİM_İHTİYAÇ_RAPORU_BURAK_YENI1309[[#This Row],[SATINALMA]]*DST_123_ÜRETİM_İHTİYAÇ_RAPORU_BURAK_YENI1309[[#This Row],[BIRIM_FIYATLAR]])&lt;1,VALUE("0"),DST_123_ÜRETİM_İHTİYAÇ_RAPORU_BURAK_YENI1309[[#This Row],[SATINALMA]]*DST_123_ÜRETİM_İHTİYAÇ_RAPORU_BURAK_YENI1309[[#This Row],[BIRIM_FIYATLAR]])</f>
        <v>929.25000000000023</v>
      </c>
      <c r="N1013">
        <v>22.5</v>
      </c>
      <c r="O1013" t="s">
        <v>314</v>
      </c>
      <c r="P1013">
        <v>168.75</v>
      </c>
      <c r="Q1013" t="s">
        <v>178</v>
      </c>
    </row>
    <row r="1014" spans="1:17" x14ac:dyDescent="0.25">
      <c r="A1014" t="s">
        <v>1149</v>
      </c>
      <c r="B1014" t="s">
        <v>1145</v>
      </c>
      <c r="C1014" t="s">
        <v>175</v>
      </c>
      <c r="D1014" t="s">
        <v>404</v>
      </c>
      <c r="E1014" t="s">
        <v>405</v>
      </c>
      <c r="F1014">
        <v>5</v>
      </c>
      <c r="G1014" t="s">
        <v>176</v>
      </c>
      <c r="H1014">
        <v>0</v>
      </c>
      <c r="I1014">
        <v>234</v>
      </c>
      <c r="J1014" s="10">
        <v>30</v>
      </c>
      <c r="K1014" s="10">
        <f>SUMIFS(F:F,D:D,DST_123_ÜRETİM_İHTİYAÇ_RAPORU_BURAK_YENI1309[[#This Row],[ALT_KOD]])-(SUMIFS(H:H,D:D,DST_123_ÜRETİM_İHTİYAÇ_RAPORU_BURAK_YENI1309[[#This Row],[ALT_KOD]])+AVERAGEIFS(I:I,D:D,DST_123_ÜRETİM_İHTİYAÇ_RAPORU_BURAK_YENI1309[[#This Row],[ALT_KOD]])+AVERAGEIFS(L:L,D:D,DST_123_ÜRETİM_İHTİYAÇ_RAPORU_BURAK_YENI1309[[#This Row],[ALT_KOD]]))</f>
        <v>-169</v>
      </c>
      <c r="L1014">
        <v>0</v>
      </c>
      <c r="M1014">
        <f>IF((DST_123_ÜRETİM_İHTİYAÇ_RAPORU_BURAK_YENI1309[[#This Row],[SATINALMA]]*DST_123_ÜRETİM_İHTİYAÇ_RAPORU_BURAK_YENI1309[[#This Row],[BIRIM_FIYATLAR]])&lt;1,VALUE("0"),DST_123_ÜRETİM_İHTİYAÇ_RAPORU_BURAK_YENI1309[[#This Row],[SATINALMA]]*DST_123_ÜRETİM_İHTİYAÇ_RAPORU_BURAK_YENI1309[[#This Row],[BIRIM_FIYATLAR]])</f>
        <v>0</v>
      </c>
      <c r="N1014">
        <v>15.21</v>
      </c>
      <c r="O1014" t="s">
        <v>826</v>
      </c>
      <c r="P1014">
        <v>76.050000000000011</v>
      </c>
      <c r="Q1014" t="s">
        <v>221</v>
      </c>
    </row>
    <row r="1015" spans="1:17" x14ac:dyDescent="0.25">
      <c r="A1015" t="s">
        <v>1148</v>
      </c>
      <c r="B1015" t="s">
        <v>1056</v>
      </c>
      <c r="C1015" t="s">
        <v>175</v>
      </c>
      <c r="D1015" t="s">
        <v>902</v>
      </c>
      <c r="E1015" t="s">
        <v>903</v>
      </c>
      <c r="F1015">
        <v>4</v>
      </c>
      <c r="G1015" t="s">
        <v>176</v>
      </c>
      <c r="H1015">
        <v>0</v>
      </c>
      <c r="I1015">
        <v>102</v>
      </c>
      <c r="J1015" s="10">
        <v>0</v>
      </c>
      <c r="K1015" s="10">
        <f>SUMIFS(F:F,D:D,DST_123_ÜRETİM_İHTİYAÇ_RAPORU_BURAK_YENI1309[[#This Row],[ALT_KOD]])-(SUMIFS(H:H,D:D,DST_123_ÜRETİM_İHTİYAÇ_RAPORU_BURAK_YENI1309[[#This Row],[ALT_KOD]])+AVERAGEIFS(I:I,D:D,DST_123_ÜRETİM_İHTİYAÇ_RAPORU_BURAK_YENI1309[[#This Row],[ALT_KOD]])+AVERAGEIFS(L:L,D:D,DST_123_ÜRETİM_İHTİYAÇ_RAPORU_BURAK_YENI1309[[#This Row],[ALT_KOD]]))</f>
        <v>-90</v>
      </c>
      <c r="L1015">
        <v>0</v>
      </c>
      <c r="M1015">
        <f>IF((DST_123_ÜRETİM_İHTİYAÇ_RAPORU_BURAK_YENI1309[[#This Row],[SATINALMA]]*DST_123_ÜRETİM_İHTİYAÇ_RAPORU_BURAK_YENI1309[[#This Row],[BIRIM_FIYATLAR]])&lt;1,VALUE("0"),DST_123_ÜRETİM_İHTİYAÇ_RAPORU_BURAK_YENI1309[[#This Row],[SATINALMA]]*DST_123_ÜRETİM_İHTİYAÇ_RAPORU_BURAK_YENI1309[[#This Row],[BIRIM_FIYATLAR]])</f>
        <v>0</v>
      </c>
      <c r="N1015">
        <v>7</v>
      </c>
      <c r="P1015">
        <v>28</v>
      </c>
      <c r="Q1015" t="s">
        <v>180</v>
      </c>
    </row>
    <row r="1016" spans="1:17" x14ac:dyDescent="0.25">
      <c r="A1016" t="s">
        <v>1101</v>
      </c>
      <c r="B1016" t="s">
        <v>1102</v>
      </c>
      <c r="C1016" t="s">
        <v>175</v>
      </c>
      <c r="D1016" t="s">
        <v>894</v>
      </c>
      <c r="E1016" t="s">
        <v>895</v>
      </c>
      <c r="F1016">
        <v>0.05</v>
      </c>
      <c r="G1016" t="s">
        <v>185</v>
      </c>
      <c r="H1016">
        <v>0</v>
      </c>
      <c r="I1016">
        <v>0</v>
      </c>
      <c r="J1016" s="10">
        <v>1.3045120539345589E-15</v>
      </c>
      <c r="K1016" s="10">
        <f>SUMIFS(F:F,D:D,DST_123_ÜRETİM_İHTİYAÇ_RAPORU_BURAK_YENI1309[[#This Row],[ALT_KOD]])-(SUMIFS(H:H,D:D,DST_123_ÜRETİM_İHTİYAÇ_RAPORU_BURAK_YENI1309[[#This Row],[ALT_KOD]])+AVERAGEIFS(I:I,D:D,DST_123_ÜRETİM_İHTİYAÇ_RAPORU_BURAK_YENI1309[[#This Row],[ALT_KOD]])+AVERAGEIFS(L:L,D:D,DST_123_ÜRETİM_İHTİYAÇ_RAPORU_BURAK_YENI1309[[#This Row],[ALT_KOD]]))</f>
        <v>0.37</v>
      </c>
      <c r="L1016">
        <v>0</v>
      </c>
      <c r="M1016">
        <f>IF((DST_123_ÜRETİM_İHTİYAÇ_RAPORU_BURAK_YENI1309[[#This Row],[SATINALMA]]*DST_123_ÜRETİM_İHTİYAÇ_RAPORU_BURAK_YENI1309[[#This Row],[BIRIM_FIYATLAR]])&lt;1,VALUE("0"),DST_123_ÜRETİM_İHTİYAÇ_RAPORU_BURAK_YENI1309[[#This Row],[SATINALMA]]*DST_123_ÜRETİM_İHTİYAÇ_RAPORU_BURAK_YENI1309[[#This Row],[BIRIM_FIYATLAR]])</f>
        <v>52.725000000000001</v>
      </c>
      <c r="N1016">
        <v>142.5</v>
      </c>
      <c r="O1016" t="s">
        <v>226</v>
      </c>
      <c r="P1016">
        <v>7.125</v>
      </c>
      <c r="Q1016" t="s">
        <v>183</v>
      </c>
    </row>
    <row r="1017" spans="1:17" x14ac:dyDescent="0.25">
      <c r="A1017" t="s">
        <v>1147</v>
      </c>
      <c r="B1017" t="s">
        <v>1145</v>
      </c>
      <c r="C1017" t="s">
        <v>175</v>
      </c>
      <c r="D1017" t="s">
        <v>367</v>
      </c>
      <c r="E1017" t="s">
        <v>368</v>
      </c>
      <c r="F1017">
        <v>49</v>
      </c>
      <c r="G1017" t="s">
        <v>176</v>
      </c>
      <c r="H1017">
        <v>0</v>
      </c>
      <c r="I1017">
        <v>1000</v>
      </c>
      <c r="J1017" s="10">
        <v>396</v>
      </c>
      <c r="K1017" s="10">
        <f>SUMIFS(F:F,D:D,DST_123_ÜRETİM_İHTİYAÇ_RAPORU_BURAK_YENI1309[[#This Row],[ALT_KOD]])-(SUMIFS(H:H,D:D,DST_123_ÜRETİM_İHTİYAÇ_RAPORU_BURAK_YENI1309[[#This Row],[ALT_KOD]])+AVERAGEIFS(I:I,D:D,DST_123_ÜRETİM_İHTİYAÇ_RAPORU_BURAK_YENI1309[[#This Row],[ALT_KOD]])+AVERAGEIFS(L:L,D:D,DST_123_ÜRETİM_İHTİYAÇ_RAPORU_BURAK_YENI1309[[#This Row],[ALT_KOD]]))</f>
        <v>-91</v>
      </c>
      <c r="L1017">
        <v>0</v>
      </c>
      <c r="M1017">
        <f>IF((DST_123_ÜRETİM_İHTİYAÇ_RAPORU_BURAK_YENI1309[[#This Row],[SATINALMA]]*DST_123_ÜRETİM_İHTİYAÇ_RAPORU_BURAK_YENI1309[[#This Row],[BIRIM_FIYATLAR]])&lt;1,VALUE("0"),DST_123_ÜRETİM_İHTİYAÇ_RAPORU_BURAK_YENI1309[[#This Row],[SATINALMA]]*DST_123_ÜRETİM_İHTİYAÇ_RAPORU_BURAK_YENI1309[[#This Row],[BIRIM_FIYATLAR]])</f>
        <v>0</v>
      </c>
      <c r="N1017">
        <v>12.5</v>
      </c>
      <c r="O1017" t="s">
        <v>369</v>
      </c>
      <c r="P1017">
        <v>612.5</v>
      </c>
      <c r="Q1017" t="s">
        <v>180</v>
      </c>
    </row>
    <row r="1018" spans="1:17" x14ac:dyDescent="0.25">
      <c r="A1018" t="s">
        <v>1148</v>
      </c>
      <c r="B1018" t="s">
        <v>1056</v>
      </c>
      <c r="C1018" t="s">
        <v>175</v>
      </c>
      <c r="D1018" t="s">
        <v>367</v>
      </c>
      <c r="E1018" t="s">
        <v>368</v>
      </c>
      <c r="F1018">
        <v>48</v>
      </c>
      <c r="G1018" t="s">
        <v>176</v>
      </c>
      <c r="H1018">
        <v>0</v>
      </c>
      <c r="I1018">
        <v>1000</v>
      </c>
      <c r="J1018" s="10">
        <v>396</v>
      </c>
      <c r="K1018" s="10">
        <f>SUMIFS(F:F,D:D,DST_123_ÜRETİM_İHTİYAÇ_RAPORU_BURAK_YENI1309[[#This Row],[ALT_KOD]])-(SUMIFS(H:H,D:D,DST_123_ÜRETİM_İHTİYAÇ_RAPORU_BURAK_YENI1309[[#This Row],[ALT_KOD]])+AVERAGEIFS(I:I,D:D,DST_123_ÜRETİM_İHTİYAÇ_RAPORU_BURAK_YENI1309[[#This Row],[ALT_KOD]])+AVERAGEIFS(L:L,D:D,DST_123_ÜRETİM_İHTİYAÇ_RAPORU_BURAK_YENI1309[[#This Row],[ALT_KOD]]))</f>
        <v>-91</v>
      </c>
      <c r="L1018">
        <v>0</v>
      </c>
      <c r="M1018">
        <f>IF((DST_123_ÜRETİM_İHTİYAÇ_RAPORU_BURAK_YENI1309[[#This Row],[SATINALMA]]*DST_123_ÜRETİM_İHTİYAÇ_RAPORU_BURAK_YENI1309[[#This Row],[BIRIM_FIYATLAR]])&lt;1,VALUE("0"),DST_123_ÜRETİM_İHTİYAÇ_RAPORU_BURAK_YENI1309[[#This Row],[SATINALMA]]*DST_123_ÜRETİM_İHTİYAÇ_RAPORU_BURAK_YENI1309[[#This Row],[BIRIM_FIYATLAR]])</f>
        <v>0</v>
      </c>
      <c r="N1018">
        <v>12.5</v>
      </c>
      <c r="O1018" t="s">
        <v>369</v>
      </c>
      <c r="P1018">
        <v>600</v>
      </c>
      <c r="Q1018" t="s">
        <v>180</v>
      </c>
    </row>
    <row r="1019" spans="1:17" x14ac:dyDescent="0.25">
      <c r="A1019" t="s">
        <v>1101</v>
      </c>
      <c r="B1019" t="s">
        <v>1102</v>
      </c>
      <c r="C1019" t="s">
        <v>175</v>
      </c>
      <c r="D1019" t="s">
        <v>899</v>
      </c>
      <c r="E1019" t="s">
        <v>900</v>
      </c>
      <c r="F1019">
        <v>0.5</v>
      </c>
      <c r="G1019" t="s">
        <v>176</v>
      </c>
      <c r="H1019">
        <v>0</v>
      </c>
      <c r="I1019">
        <v>0</v>
      </c>
      <c r="J1019" s="10">
        <v>3.5527136788005009E-15</v>
      </c>
      <c r="K1019" s="10">
        <f>SUMIFS(F:F,D:D,DST_123_ÜRETİM_İHTİYAÇ_RAPORU_BURAK_YENI1309[[#This Row],[ALT_KOD]])-(SUMIFS(H:H,D:D,DST_123_ÜRETİM_İHTİYAÇ_RAPORU_BURAK_YENI1309[[#This Row],[ALT_KOD]])+AVERAGEIFS(I:I,D:D,DST_123_ÜRETİM_İHTİYAÇ_RAPORU_BURAK_YENI1309[[#This Row],[ALT_KOD]])+AVERAGEIFS(L:L,D:D,DST_123_ÜRETİM_İHTİYAÇ_RAPORU_BURAK_YENI1309[[#This Row],[ALT_KOD]]))</f>
        <v>-6.1</v>
      </c>
      <c r="L1019">
        <v>10</v>
      </c>
      <c r="M1019">
        <f>IF((DST_123_ÜRETİM_İHTİYAÇ_RAPORU_BURAK_YENI1309[[#This Row],[SATINALMA]]*DST_123_ÜRETİM_İHTİYAÇ_RAPORU_BURAK_YENI1309[[#This Row],[BIRIM_FIYATLAR]])&lt;1,VALUE("0"),DST_123_ÜRETİM_İHTİYAÇ_RAPORU_BURAK_YENI1309[[#This Row],[SATINALMA]]*DST_123_ÜRETİM_İHTİYAÇ_RAPORU_BURAK_YENI1309[[#This Row],[BIRIM_FIYATLAR]])</f>
        <v>0</v>
      </c>
      <c r="N1019">
        <v>255.55</v>
      </c>
      <c r="O1019" t="s">
        <v>901</v>
      </c>
      <c r="P1019">
        <v>127.77500000000001</v>
      </c>
      <c r="Q1019" t="s">
        <v>183</v>
      </c>
    </row>
    <row r="1020" spans="1:17" x14ac:dyDescent="0.25">
      <c r="A1020" t="s">
        <v>1148</v>
      </c>
      <c r="B1020" t="s">
        <v>1056</v>
      </c>
      <c r="C1020" t="s">
        <v>175</v>
      </c>
      <c r="D1020" t="s">
        <v>544</v>
      </c>
      <c r="E1020" t="s">
        <v>545</v>
      </c>
      <c r="F1020">
        <v>4</v>
      </c>
      <c r="G1020" t="s">
        <v>176</v>
      </c>
      <c r="H1020">
        <v>0</v>
      </c>
      <c r="I1020">
        <v>1000</v>
      </c>
      <c r="J1020" s="10">
        <v>0</v>
      </c>
      <c r="K1020" s="10">
        <f>SUMIFS(F:F,D:D,DST_123_ÜRETİM_İHTİYAÇ_RAPORU_BURAK_YENI1309[[#This Row],[ALT_KOD]])-(SUMIFS(H:H,D:D,DST_123_ÜRETİM_İHTİYAÇ_RAPORU_BURAK_YENI1309[[#This Row],[ALT_KOD]])+AVERAGEIFS(I:I,D:D,DST_123_ÜRETİM_İHTİYAÇ_RAPORU_BURAK_YENI1309[[#This Row],[ALT_KOD]])+AVERAGEIFS(L:L,D:D,DST_123_ÜRETİM_İHTİYAÇ_RAPORU_BURAK_YENI1309[[#This Row],[ALT_KOD]]))</f>
        <v>-960</v>
      </c>
      <c r="L1020">
        <v>0</v>
      </c>
      <c r="M1020">
        <f>IF((DST_123_ÜRETİM_İHTİYAÇ_RAPORU_BURAK_YENI1309[[#This Row],[SATINALMA]]*DST_123_ÜRETİM_İHTİYAÇ_RAPORU_BURAK_YENI1309[[#This Row],[BIRIM_FIYATLAR]])&lt;1,VALUE("0"),DST_123_ÜRETİM_İHTİYAÇ_RAPORU_BURAK_YENI1309[[#This Row],[SATINALMA]]*DST_123_ÜRETİM_İHTİYAÇ_RAPORU_BURAK_YENI1309[[#This Row],[BIRIM_FIYATLAR]])</f>
        <v>0</v>
      </c>
      <c r="N1020">
        <v>0.64</v>
      </c>
      <c r="O1020" t="s">
        <v>240</v>
      </c>
      <c r="P1020">
        <v>2.56</v>
      </c>
      <c r="Q1020" t="s">
        <v>180</v>
      </c>
    </row>
    <row r="1021" spans="1:17" x14ac:dyDescent="0.25">
      <c r="A1021" t="s">
        <v>1057</v>
      </c>
      <c r="B1021" t="s">
        <v>1058</v>
      </c>
      <c r="C1021" t="s">
        <v>175</v>
      </c>
      <c r="D1021" t="s">
        <v>586</v>
      </c>
      <c r="E1021" t="s">
        <v>587</v>
      </c>
      <c r="F1021">
        <v>1</v>
      </c>
      <c r="G1021" t="s">
        <v>176</v>
      </c>
      <c r="H1021">
        <v>0</v>
      </c>
      <c r="I1021">
        <v>0</v>
      </c>
      <c r="J1021" s="10">
        <v>0</v>
      </c>
      <c r="K1021" s="10">
        <f>SUMIFS(F:F,D:D,DST_123_ÜRETİM_İHTİYAÇ_RAPORU_BURAK_YENI1309[[#This Row],[ALT_KOD]])-(SUMIFS(H:H,D:D,DST_123_ÜRETİM_İHTİYAÇ_RAPORU_BURAK_YENI1309[[#This Row],[ALT_KOD]])+AVERAGEIFS(I:I,D:D,DST_123_ÜRETİM_İHTİYAÇ_RAPORU_BURAK_YENI1309[[#This Row],[ALT_KOD]])+AVERAGEIFS(L:L,D:D,DST_123_ÜRETİM_İHTİYAÇ_RAPORU_BURAK_YENI1309[[#This Row],[ALT_KOD]]))</f>
        <v>9</v>
      </c>
      <c r="L1021">
        <v>0</v>
      </c>
      <c r="M1021">
        <f>IF((DST_123_ÜRETİM_İHTİYAÇ_RAPORU_BURAK_YENI1309[[#This Row],[SATINALMA]]*DST_123_ÜRETİM_İHTİYAÇ_RAPORU_BURAK_YENI1309[[#This Row],[BIRIM_FIYATLAR]])&lt;1,VALUE("0"),DST_123_ÜRETİM_İHTİYAÇ_RAPORU_BURAK_YENI1309[[#This Row],[SATINALMA]]*DST_123_ÜRETİM_İHTİYAÇ_RAPORU_BURAK_YENI1309[[#This Row],[BIRIM_FIYATLAR]])</f>
        <v>540</v>
      </c>
      <c r="N1021">
        <v>60</v>
      </c>
      <c r="O1021" t="s">
        <v>428</v>
      </c>
      <c r="P1021">
        <v>60</v>
      </c>
      <c r="Q1021" t="s">
        <v>177</v>
      </c>
    </row>
    <row r="1022" spans="1:17" x14ac:dyDescent="0.25">
      <c r="A1022" t="s">
        <v>1100</v>
      </c>
      <c r="B1022" t="s">
        <v>1058</v>
      </c>
      <c r="C1022" t="s">
        <v>175</v>
      </c>
      <c r="D1022" t="s">
        <v>586</v>
      </c>
      <c r="E1022" t="s">
        <v>587</v>
      </c>
      <c r="F1022">
        <v>1</v>
      </c>
      <c r="G1022" t="s">
        <v>176</v>
      </c>
      <c r="H1022">
        <v>0</v>
      </c>
      <c r="I1022">
        <v>0</v>
      </c>
      <c r="J1022" s="10">
        <v>0</v>
      </c>
      <c r="K1022" s="10">
        <f>SUMIFS(F:F,D:D,DST_123_ÜRETİM_İHTİYAÇ_RAPORU_BURAK_YENI1309[[#This Row],[ALT_KOD]])-(SUMIFS(H:H,D:D,DST_123_ÜRETİM_İHTİYAÇ_RAPORU_BURAK_YENI1309[[#This Row],[ALT_KOD]])+AVERAGEIFS(I:I,D:D,DST_123_ÜRETİM_İHTİYAÇ_RAPORU_BURAK_YENI1309[[#This Row],[ALT_KOD]])+AVERAGEIFS(L:L,D:D,DST_123_ÜRETİM_İHTİYAÇ_RAPORU_BURAK_YENI1309[[#This Row],[ALT_KOD]]))</f>
        <v>9</v>
      </c>
      <c r="L1022">
        <v>0</v>
      </c>
      <c r="M1022">
        <f>IF((DST_123_ÜRETİM_İHTİYAÇ_RAPORU_BURAK_YENI1309[[#This Row],[SATINALMA]]*DST_123_ÜRETİM_İHTİYAÇ_RAPORU_BURAK_YENI1309[[#This Row],[BIRIM_FIYATLAR]])&lt;1,VALUE("0"),DST_123_ÜRETİM_İHTİYAÇ_RAPORU_BURAK_YENI1309[[#This Row],[SATINALMA]]*DST_123_ÜRETİM_İHTİYAÇ_RAPORU_BURAK_YENI1309[[#This Row],[BIRIM_FIYATLAR]])</f>
        <v>540</v>
      </c>
      <c r="N1022">
        <v>60</v>
      </c>
      <c r="O1022" t="s">
        <v>428</v>
      </c>
      <c r="P1022">
        <v>60</v>
      </c>
      <c r="Q1022" t="s">
        <v>177</v>
      </c>
    </row>
    <row r="1023" spans="1:17" x14ac:dyDescent="0.25">
      <c r="A1023" t="s">
        <v>1095</v>
      </c>
      <c r="B1023" t="s">
        <v>1096</v>
      </c>
      <c r="C1023" t="s">
        <v>175</v>
      </c>
      <c r="D1023" t="s">
        <v>658</v>
      </c>
      <c r="E1023" t="s">
        <v>659</v>
      </c>
      <c r="F1023">
        <v>1</v>
      </c>
      <c r="G1023" t="s">
        <v>176</v>
      </c>
      <c r="H1023">
        <v>0</v>
      </c>
      <c r="I1023">
        <v>0</v>
      </c>
      <c r="J1023" s="10">
        <v>65</v>
      </c>
      <c r="K1023" s="10">
        <f>SUMIFS(F:F,D:D,DST_123_ÜRETİM_İHTİYAÇ_RAPORU_BURAK_YENI1309[[#This Row],[ALT_KOD]])-(SUMIFS(H:H,D:D,DST_123_ÜRETİM_İHTİYAÇ_RAPORU_BURAK_YENI1309[[#This Row],[ALT_KOD]])+AVERAGEIFS(I:I,D:D,DST_123_ÜRETİM_İHTİYAÇ_RAPORU_BURAK_YENI1309[[#This Row],[ALT_KOD]])+AVERAGEIFS(L:L,D:D,DST_123_ÜRETİM_İHTİYAÇ_RAPORU_BURAK_YENI1309[[#This Row],[ALT_KOD]]))</f>
        <v>-94</v>
      </c>
      <c r="L1023">
        <v>100</v>
      </c>
      <c r="M1023">
        <f>IF((DST_123_ÜRETİM_İHTİYAÇ_RAPORU_BURAK_YENI1309[[#This Row],[SATINALMA]]*DST_123_ÜRETİM_İHTİYAÇ_RAPORU_BURAK_YENI1309[[#This Row],[BIRIM_FIYATLAR]])&lt;1,VALUE("0"),DST_123_ÜRETİM_İHTİYAÇ_RAPORU_BURAK_YENI1309[[#This Row],[SATINALMA]]*DST_123_ÜRETİM_İHTİYAÇ_RAPORU_BURAK_YENI1309[[#This Row],[BIRIM_FIYATLAR]])</f>
        <v>0</v>
      </c>
      <c r="N1023">
        <v>115</v>
      </c>
      <c r="O1023" t="s">
        <v>240</v>
      </c>
      <c r="P1023">
        <v>115</v>
      </c>
      <c r="Q1023" t="s">
        <v>180</v>
      </c>
    </row>
    <row r="1024" spans="1:17" x14ac:dyDescent="0.25">
      <c r="A1024" t="s">
        <v>1095</v>
      </c>
      <c r="B1024" t="s">
        <v>1096</v>
      </c>
      <c r="C1024" t="s">
        <v>175</v>
      </c>
      <c r="D1024" t="s">
        <v>776</v>
      </c>
      <c r="E1024" t="s">
        <v>777</v>
      </c>
      <c r="F1024">
        <v>1</v>
      </c>
      <c r="G1024" t="s">
        <v>176</v>
      </c>
      <c r="H1024">
        <v>0</v>
      </c>
      <c r="I1024">
        <v>6</v>
      </c>
      <c r="J1024" s="10">
        <v>7</v>
      </c>
      <c r="K1024" s="10">
        <f>SUMIFS(F:F,D:D,DST_123_ÜRETİM_İHTİYAÇ_RAPORU_BURAK_YENI1309[[#This Row],[ALT_KOD]])-(SUMIFS(H:H,D:D,DST_123_ÜRETİM_İHTİYAÇ_RAPORU_BURAK_YENI1309[[#This Row],[ALT_KOD]])+AVERAGEIFS(I:I,D:D,DST_123_ÜRETİM_İHTİYAÇ_RAPORU_BURAK_YENI1309[[#This Row],[ALT_KOD]])+AVERAGEIFS(L:L,D:D,DST_123_ÜRETİM_İHTİYAÇ_RAPORU_BURAK_YENI1309[[#This Row],[ALT_KOD]]))</f>
        <v>5</v>
      </c>
      <c r="L1024">
        <v>0</v>
      </c>
      <c r="M1024">
        <f>IF((DST_123_ÜRETİM_İHTİYAÇ_RAPORU_BURAK_YENI1309[[#This Row],[SATINALMA]]*DST_123_ÜRETİM_İHTİYAÇ_RAPORU_BURAK_YENI1309[[#This Row],[BIRIM_FIYATLAR]])&lt;1,VALUE("0"),DST_123_ÜRETİM_İHTİYAÇ_RAPORU_BURAK_YENI1309[[#This Row],[SATINALMA]]*DST_123_ÜRETİM_İHTİYAÇ_RAPORU_BURAK_YENI1309[[#This Row],[BIRIM_FIYATLAR]])</f>
        <v>12288.25</v>
      </c>
      <c r="N1024">
        <v>2457.65</v>
      </c>
      <c r="O1024" t="s">
        <v>634</v>
      </c>
      <c r="P1024">
        <v>2457.65</v>
      </c>
      <c r="Q1024" t="s">
        <v>177</v>
      </c>
    </row>
    <row r="1025" spans="1:17" x14ac:dyDescent="0.25">
      <c r="A1025" t="s">
        <v>1150</v>
      </c>
      <c r="B1025" t="s">
        <v>1145</v>
      </c>
      <c r="C1025" t="s">
        <v>175</v>
      </c>
      <c r="D1025" t="s">
        <v>367</v>
      </c>
      <c r="E1025" t="s">
        <v>368</v>
      </c>
      <c r="F1025">
        <v>49</v>
      </c>
      <c r="G1025" t="s">
        <v>176</v>
      </c>
      <c r="H1025">
        <v>0</v>
      </c>
      <c r="I1025">
        <v>1000</v>
      </c>
      <c r="J1025" s="10">
        <v>396</v>
      </c>
      <c r="K1025" s="10">
        <f>SUMIFS(F:F,D:D,DST_123_ÜRETİM_İHTİYAÇ_RAPORU_BURAK_YENI1309[[#This Row],[ALT_KOD]])-(SUMIFS(H:H,D:D,DST_123_ÜRETİM_İHTİYAÇ_RAPORU_BURAK_YENI1309[[#This Row],[ALT_KOD]])+AVERAGEIFS(I:I,D:D,DST_123_ÜRETİM_İHTİYAÇ_RAPORU_BURAK_YENI1309[[#This Row],[ALT_KOD]])+AVERAGEIFS(L:L,D:D,DST_123_ÜRETİM_İHTİYAÇ_RAPORU_BURAK_YENI1309[[#This Row],[ALT_KOD]]))</f>
        <v>-91</v>
      </c>
      <c r="L1025">
        <v>0</v>
      </c>
      <c r="M1025">
        <f>IF((DST_123_ÜRETİM_İHTİYAÇ_RAPORU_BURAK_YENI1309[[#This Row],[SATINALMA]]*DST_123_ÜRETİM_İHTİYAÇ_RAPORU_BURAK_YENI1309[[#This Row],[BIRIM_FIYATLAR]])&lt;1,VALUE("0"),DST_123_ÜRETİM_İHTİYAÇ_RAPORU_BURAK_YENI1309[[#This Row],[SATINALMA]]*DST_123_ÜRETİM_İHTİYAÇ_RAPORU_BURAK_YENI1309[[#This Row],[BIRIM_FIYATLAR]])</f>
        <v>0</v>
      </c>
      <c r="N1025">
        <v>12.5</v>
      </c>
      <c r="O1025" t="s">
        <v>369</v>
      </c>
      <c r="P1025">
        <v>612.5</v>
      </c>
      <c r="Q1025" t="s">
        <v>180</v>
      </c>
    </row>
    <row r="1026" spans="1:17" x14ac:dyDescent="0.25">
      <c r="A1026" t="s">
        <v>1150</v>
      </c>
      <c r="B1026" t="s">
        <v>1145</v>
      </c>
      <c r="C1026" t="s">
        <v>175</v>
      </c>
      <c r="D1026" t="s">
        <v>404</v>
      </c>
      <c r="E1026" t="s">
        <v>405</v>
      </c>
      <c r="F1026">
        <v>5</v>
      </c>
      <c r="G1026" t="s">
        <v>176</v>
      </c>
      <c r="H1026">
        <v>0</v>
      </c>
      <c r="I1026">
        <v>234</v>
      </c>
      <c r="J1026" s="10">
        <v>30</v>
      </c>
      <c r="K1026" s="10">
        <f>SUMIFS(F:F,D:D,DST_123_ÜRETİM_İHTİYAÇ_RAPORU_BURAK_YENI1309[[#This Row],[ALT_KOD]])-(SUMIFS(H:H,D:D,DST_123_ÜRETİM_İHTİYAÇ_RAPORU_BURAK_YENI1309[[#This Row],[ALT_KOD]])+AVERAGEIFS(I:I,D:D,DST_123_ÜRETİM_İHTİYAÇ_RAPORU_BURAK_YENI1309[[#This Row],[ALT_KOD]])+AVERAGEIFS(L:L,D:D,DST_123_ÜRETİM_İHTİYAÇ_RAPORU_BURAK_YENI1309[[#This Row],[ALT_KOD]]))</f>
        <v>-169</v>
      </c>
      <c r="L1026">
        <v>0</v>
      </c>
      <c r="M1026">
        <f>IF((DST_123_ÜRETİM_İHTİYAÇ_RAPORU_BURAK_YENI1309[[#This Row],[SATINALMA]]*DST_123_ÜRETİM_İHTİYAÇ_RAPORU_BURAK_YENI1309[[#This Row],[BIRIM_FIYATLAR]])&lt;1,VALUE("0"),DST_123_ÜRETİM_İHTİYAÇ_RAPORU_BURAK_YENI1309[[#This Row],[SATINALMA]]*DST_123_ÜRETİM_İHTİYAÇ_RAPORU_BURAK_YENI1309[[#This Row],[BIRIM_FIYATLAR]])</f>
        <v>0</v>
      </c>
      <c r="N1026">
        <v>15.21</v>
      </c>
      <c r="O1026" t="s">
        <v>826</v>
      </c>
      <c r="P1026">
        <v>76.050000000000011</v>
      </c>
      <c r="Q1026" t="s">
        <v>221</v>
      </c>
    </row>
    <row r="1027" spans="1:17" x14ac:dyDescent="0.25">
      <c r="A1027" t="s">
        <v>1148</v>
      </c>
      <c r="B1027" t="s">
        <v>1056</v>
      </c>
      <c r="C1027" t="s">
        <v>175</v>
      </c>
      <c r="D1027" t="s">
        <v>363</v>
      </c>
      <c r="E1027" t="s">
        <v>364</v>
      </c>
      <c r="F1027">
        <v>5.5</v>
      </c>
      <c r="G1027" t="s">
        <v>179</v>
      </c>
      <c r="H1027">
        <v>0</v>
      </c>
      <c r="I1027">
        <v>100</v>
      </c>
      <c r="J1027" s="10">
        <v>159.90000000000003</v>
      </c>
      <c r="K1027" s="10">
        <f>SUMIFS(F:F,D:D,DST_123_ÜRETİM_İHTİYAÇ_RAPORU_BURAK_YENI1309[[#This Row],[ALT_KOD]])-(SUMIFS(H:H,D:D,DST_123_ÜRETİM_İHTİYAÇ_RAPORU_BURAK_YENI1309[[#This Row],[ALT_KOD]])+AVERAGEIFS(I:I,D:D,DST_123_ÜRETİM_İHTİYAÇ_RAPORU_BURAK_YENI1309[[#This Row],[ALT_KOD]])+AVERAGEIFS(L:L,D:D,DST_123_ÜRETİM_İHTİYAÇ_RAPORU_BURAK_YENI1309[[#This Row],[ALT_KOD]]))</f>
        <v>41.300000000000011</v>
      </c>
      <c r="L1027">
        <v>0</v>
      </c>
      <c r="M1027">
        <f>IF((DST_123_ÜRETİM_İHTİYAÇ_RAPORU_BURAK_YENI1309[[#This Row],[SATINALMA]]*DST_123_ÜRETİM_İHTİYAÇ_RAPORU_BURAK_YENI1309[[#This Row],[BIRIM_FIYATLAR]])&lt;1,VALUE("0"),DST_123_ÜRETİM_İHTİYAÇ_RAPORU_BURAK_YENI1309[[#This Row],[SATINALMA]]*DST_123_ÜRETİM_İHTİYAÇ_RAPORU_BURAK_YENI1309[[#This Row],[BIRIM_FIYATLAR]])</f>
        <v>929.25000000000023</v>
      </c>
      <c r="N1027">
        <v>22.5</v>
      </c>
      <c r="O1027" t="s">
        <v>314</v>
      </c>
      <c r="P1027">
        <v>123.75</v>
      </c>
      <c r="Q1027" t="s">
        <v>178</v>
      </c>
    </row>
    <row r="1028" spans="1:17" x14ac:dyDescent="0.25">
      <c r="A1028" t="s">
        <v>1057</v>
      </c>
      <c r="B1028" t="s">
        <v>1058</v>
      </c>
      <c r="C1028" t="s">
        <v>175</v>
      </c>
      <c r="D1028" t="s">
        <v>894</v>
      </c>
      <c r="E1028" t="s">
        <v>895</v>
      </c>
      <c r="F1028">
        <v>0.05</v>
      </c>
      <c r="G1028" t="s">
        <v>185</v>
      </c>
      <c r="H1028">
        <v>0</v>
      </c>
      <c r="I1028">
        <v>0</v>
      </c>
      <c r="J1028" s="10">
        <v>1.3045120539345589E-15</v>
      </c>
      <c r="K1028" s="10">
        <f>SUMIFS(F:F,D:D,DST_123_ÜRETİM_İHTİYAÇ_RAPORU_BURAK_YENI1309[[#This Row],[ALT_KOD]])-(SUMIFS(H:H,D:D,DST_123_ÜRETİM_İHTİYAÇ_RAPORU_BURAK_YENI1309[[#This Row],[ALT_KOD]])+AVERAGEIFS(I:I,D:D,DST_123_ÜRETİM_İHTİYAÇ_RAPORU_BURAK_YENI1309[[#This Row],[ALT_KOD]])+AVERAGEIFS(L:L,D:D,DST_123_ÜRETİM_İHTİYAÇ_RAPORU_BURAK_YENI1309[[#This Row],[ALT_KOD]]))</f>
        <v>0.37</v>
      </c>
      <c r="L1028">
        <v>0</v>
      </c>
      <c r="M1028">
        <f>IF((DST_123_ÜRETİM_İHTİYAÇ_RAPORU_BURAK_YENI1309[[#This Row],[SATINALMA]]*DST_123_ÜRETİM_İHTİYAÇ_RAPORU_BURAK_YENI1309[[#This Row],[BIRIM_FIYATLAR]])&lt;1,VALUE("0"),DST_123_ÜRETİM_İHTİYAÇ_RAPORU_BURAK_YENI1309[[#This Row],[SATINALMA]]*DST_123_ÜRETİM_İHTİYAÇ_RAPORU_BURAK_YENI1309[[#This Row],[BIRIM_FIYATLAR]])</f>
        <v>52.725000000000001</v>
      </c>
      <c r="N1028">
        <v>142.5</v>
      </c>
      <c r="O1028" t="s">
        <v>226</v>
      </c>
      <c r="P1028">
        <v>7.125</v>
      </c>
      <c r="Q1028" t="s">
        <v>183</v>
      </c>
    </row>
    <row r="1029" spans="1:17" x14ac:dyDescent="0.25">
      <c r="A1029" t="s">
        <v>1148</v>
      </c>
      <c r="B1029" t="s">
        <v>1056</v>
      </c>
      <c r="C1029" t="s">
        <v>175</v>
      </c>
      <c r="D1029" t="s">
        <v>894</v>
      </c>
      <c r="E1029" t="s">
        <v>895</v>
      </c>
      <c r="F1029">
        <v>0.05</v>
      </c>
      <c r="G1029" t="s">
        <v>185</v>
      </c>
      <c r="H1029">
        <v>0</v>
      </c>
      <c r="I1029">
        <v>0</v>
      </c>
      <c r="J1029" s="10">
        <v>1.3045120539345589E-15</v>
      </c>
      <c r="K1029" s="10">
        <f>SUMIFS(F:F,D:D,DST_123_ÜRETİM_İHTİYAÇ_RAPORU_BURAK_YENI1309[[#This Row],[ALT_KOD]])-(SUMIFS(H:H,D:D,DST_123_ÜRETİM_İHTİYAÇ_RAPORU_BURAK_YENI1309[[#This Row],[ALT_KOD]])+AVERAGEIFS(I:I,D:D,DST_123_ÜRETİM_İHTİYAÇ_RAPORU_BURAK_YENI1309[[#This Row],[ALT_KOD]])+AVERAGEIFS(L:L,D:D,DST_123_ÜRETİM_İHTİYAÇ_RAPORU_BURAK_YENI1309[[#This Row],[ALT_KOD]]))</f>
        <v>0.37</v>
      </c>
      <c r="L1029">
        <v>0</v>
      </c>
      <c r="M1029">
        <f>IF((DST_123_ÜRETİM_İHTİYAÇ_RAPORU_BURAK_YENI1309[[#This Row],[SATINALMA]]*DST_123_ÜRETİM_İHTİYAÇ_RAPORU_BURAK_YENI1309[[#This Row],[BIRIM_FIYATLAR]])&lt;1,VALUE("0"),DST_123_ÜRETİM_İHTİYAÇ_RAPORU_BURAK_YENI1309[[#This Row],[SATINALMA]]*DST_123_ÜRETİM_İHTİYAÇ_RAPORU_BURAK_YENI1309[[#This Row],[BIRIM_FIYATLAR]])</f>
        <v>52.725000000000001</v>
      </c>
      <c r="N1029">
        <v>142.5</v>
      </c>
      <c r="O1029" t="s">
        <v>226</v>
      </c>
      <c r="P1029">
        <v>7.125</v>
      </c>
      <c r="Q1029" t="s">
        <v>183</v>
      </c>
    </row>
    <row r="1030" spans="1:17" x14ac:dyDescent="0.25">
      <c r="A1030" t="s">
        <v>1060</v>
      </c>
      <c r="B1030" t="s">
        <v>1061</v>
      </c>
      <c r="C1030" t="s">
        <v>175</v>
      </c>
      <c r="D1030" t="s">
        <v>367</v>
      </c>
      <c r="E1030" t="s">
        <v>368</v>
      </c>
      <c r="F1030">
        <v>49</v>
      </c>
      <c r="G1030" t="s">
        <v>176</v>
      </c>
      <c r="H1030">
        <v>0</v>
      </c>
      <c r="I1030">
        <v>1000</v>
      </c>
      <c r="J1030" s="10">
        <v>396</v>
      </c>
      <c r="K1030" s="10">
        <f>SUMIFS(F:F,D:D,DST_123_ÜRETİM_İHTİYAÇ_RAPORU_BURAK_YENI1309[[#This Row],[ALT_KOD]])-(SUMIFS(H:H,D:D,DST_123_ÜRETİM_İHTİYAÇ_RAPORU_BURAK_YENI1309[[#This Row],[ALT_KOD]])+AVERAGEIFS(I:I,D:D,DST_123_ÜRETİM_İHTİYAÇ_RAPORU_BURAK_YENI1309[[#This Row],[ALT_KOD]])+AVERAGEIFS(L:L,D:D,DST_123_ÜRETİM_İHTİYAÇ_RAPORU_BURAK_YENI1309[[#This Row],[ALT_KOD]]))</f>
        <v>-91</v>
      </c>
      <c r="L1030">
        <v>0</v>
      </c>
      <c r="M1030">
        <f>IF((DST_123_ÜRETİM_İHTİYAÇ_RAPORU_BURAK_YENI1309[[#This Row],[SATINALMA]]*DST_123_ÜRETİM_İHTİYAÇ_RAPORU_BURAK_YENI1309[[#This Row],[BIRIM_FIYATLAR]])&lt;1,VALUE("0"),DST_123_ÜRETİM_İHTİYAÇ_RAPORU_BURAK_YENI1309[[#This Row],[SATINALMA]]*DST_123_ÜRETİM_İHTİYAÇ_RAPORU_BURAK_YENI1309[[#This Row],[BIRIM_FIYATLAR]])</f>
        <v>0</v>
      </c>
      <c r="N1030">
        <v>12.5</v>
      </c>
      <c r="O1030" t="s">
        <v>369</v>
      </c>
      <c r="P1030">
        <v>612.5</v>
      </c>
      <c r="Q1030" t="s">
        <v>180</v>
      </c>
    </row>
    <row r="1031" spans="1:17" x14ac:dyDescent="0.25">
      <c r="A1031" t="s">
        <v>1057</v>
      </c>
      <c r="B1031" t="s">
        <v>1058</v>
      </c>
      <c r="C1031" t="s">
        <v>175</v>
      </c>
      <c r="D1031" t="s">
        <v>367</v>
      </c>
      <c r="E1031" t="s">
        <v>368</v>
      </c>
      <c r="F1031">
        <v>47</v>
      </c>
      <c r="G1031" t="s">
        <v>176</v>
      </c>
      <c r="H1031">
        <v>0</v>
      </c>
      <c r="I1031">
        <v>1000</v>
      </c>
      <c r="J1031" s="10">
        <v>396</v>
      </c>
      <c r="K1031" s="10">
        <f>SUMIFS(F:F,D:D,DST_123_ÜRETİM_İHTİYAÇ_RAPORU_BURAK_YENI1309[[#This Row],[ALT_KOD]])-(SUMIFS(H:H,D:D,DST_123_ÜRETİM_İHTİYAÇ_RAPORU_BURAK_YENI1309[[#This Row],[ALT_KOD]])+AVERAGEIFS(I:I,D:D,DST_123_ÜRETİM_İHTİYAÇ_RAPORU_BURAK_YENI1309[[#This Row],[ALT_KOD]])+AVERAGEIFS(L:L,D:D,DST_123_ÜRETİM_İHTİYAÇ_RAPORU_BURAK_YENI1309[[#This Row],[ALT_KOD]]))</f>
        <v>-91</v>
      </c>
      <c r="L1031">
        <v>0</v>
      </c>
      <c r="M1031">
        <f>IF((DST_123_ÜRETİM_İHTİYAÇ_RAPORU_BURAK_YENI1309[[#This Row],[SATINALMA]]*DST_123_ÜRETİM_İHTİYAÇ_RAPORU_BURAK_YENI1309[[#This Row],[BIRIM_FIYATLAR]])&lt;1,VALUE("0"),DST_123_ÜRETİM_İHTİYAÇ_RAPORU_BURAK_YENI1309[[#This Row],[SATINALMA]]*DST_123_ÜRETİM_İHTİYAÇ_RAPORU_BURAK_YENI1309[[#This Row],[BIRIM_FIYATLAR]])</f>
        <v>0</v>
      </c>
      <c r="N1031">
        <v>12.5</v>
      </c>
      <c r="O1031" t="s">
        <v>369</v>
      </c>
      <c r="P1031">
        <v>587.5</v>
      </c>
      <c r="Q1031" t="s">
        <v>180</v>
      </c>
    </row>
    <row r="1032" spans="1:17" x14ac:dyDescent="0.25">
      <c r="A1032" t="s">
        <v>1057</v>
      </c>
      <c r="B1032" t="s">
        <v>1058</v>
      </c>
      <c r="C1032" t="s">
        <v>175</v>
      </c>
      <c r="D1032" t="s">
        <v>899</v>
      </c>
      <c r="E1032" t="s">
        <v>900</v>
      </c>
      <c r="F1032">
        <v>0.4</v>
      </c>
      <c r="G1032" t="s">
        <v>176</v>
      </c>
      <c r="H1032">
        <v>0</v>
      </c>
      <c r="I1032">
        <v>0</v>
      </c>
      <c r="J1032" s="10">
        <v>3.5527136788005009E-15</v>
      </c>
      <c r="K1032" s="10">
        <f>SUMIFS(F:F,D:D,DST_123_ÜRETİM_İHTİYAÇ_RAPORU_BURAK_YENI1309[[#This Row],[ALT_KOD]])-(SUMIFS(H:H,D:D,DST_123_ÜRETİM_İHTİYAÇ_RAPORU_BURAK_YENI1309[[#This Row],[ALT_KOD]])+AVERAGEIFS(I:I,D:D,DST_123_ÜRETİM_İHTİYAÇ_RAPORU_BURAK_YENI1309[[#This Row],[ALT_KOD]])+AVERAGEIFS(L:L,D:D,DST_123_ÜRETİM_İHTİYAÇ_RAPORU_BURAK_YENI1309[[#This Row],[ALT_KOD]]))</f>
        <v>-6.1</v>
      </c>
      <c r="L1032">
        <v>10</v>
      </c>
      <c r="M1032">
        <f>IF((DST_123_ÜRETİM_İHTİYAÇ_RAPORU_BURAK_YENI1309[[#This Row],[SATINALMA]]*DST_123_ÜRETİM_İHTİYAÇ_RAPORU_BURAK_YENI1309[[#This Row],[BIRIM_FIYATLAR]])&lt;1,VALUE("0"),DST_123_ÜRETİM_İHTİYAÇ_RAPORU_BURAK_YENI1309[[#This Row],[SATINALMA]]*DST_123_ÜRETİM_İHTİYAÇ_RAPORU_BURAK_YENI1309[[#This Row],[BIRIM_FIYATLAR]])</f>
        <v>0</v>
      </c>
      <c r="N1032">
        <v>255.55</v>
      </c>
      <c r="O1032" t="s">
        <v>901</v>
      </c>
      <c r="P1032">
        <v>102.22000000000001</v>
      </c>
      <c r="Q1032" t="s">
        <v>183</v>
      </c>
    </row>
    <row r="1033" spans="1:17" x14ac:dyDescent="0.25">
      <c r="A1033" t="s">
        <v>1060</v>
      </c>
      <c r="B1033" t="s">
        <v>1061</v>
      </c>
      <c r="C1033" t="s">
        <v>175</v>
      </c>
      <c r="D1033" t="s">
        <v>544</v>
      </c>
      <c r="E1033" t="s">
        <v>545</v>
      </c>
      <c r="F1033">
        <v>4</v>
      </c>
      <c r="G1033" t="s">
        <v>176</v>
      </c>
      <c r="H1033">
        <v>0</v>
      </c>
      <c r="I1033">
        <v>1000</v>
      </c>
      <c r="J1033" s="10">
        <v>0</v>
      </c>
      <c r="K1033" s="10">
        <f>SUMIFS(F:F,D:D,DST_123_ÜRETİM_İHTİYAÇ_RAPORU_BURAK_YENI1309[[#This Row],[ALT_KOD]])-(SUMIFS(H:H,D:D,DST_123_ÜRETİM_İHTİYAÇ_RAPORU_BURAK_YENI1309[[#This Row],[ALT_KOD]])+AVERAGEIFS(I:I,D:D,DST_123_ÜRETİM_İHTİYAÇ_RAPORU_BURAK_YENI1309[[#This Row],[ALT_KOD]])+AVERAGEIFS(L:L,D:D,DST_123_ÜRETİM_İHTİYAÇ_RAPORU_BURAK_YENI1309[[#This Row],[ALT_KOD]]))</f>
        <v>-960</v>
      </c>
      <c r="L1033">
        <v>0</v>
      </c>
      <c r="M1033">
        <f>IF((DST_123_ÜRETİM_İHTİYAÇ_RAPORU_BURAK_YENI1309[[#This Row],[SATINALMA]]*DST_123_ÜRETİM_İHTİYAÇ_RAPORU_BURAK_YENI1309[[#This Row],[BIRIM_FIYATLAR]])&lt;1,VALUE("0"),DST_123_ÜRETİM_İHTİYAÇ_RAPORU_BURAK_YENI1309[[#This Row],[SATINALMA]]*DST_123_ÜRETİM_İHTİYAÇ_RAPORU_BURAK_YENI1309[[#This Row],[BIRIM_FIYATLAR]])</f>
        <v>0</v>
      </c>
      <c r="N1033">
        <v>0.64</v>
      </c>
      <c r="O1033" t="s">
        <v>240</v>
      </c>
      <c r="P1033">
        <v>2.56</v>
      </c>
      <c r="Q1033" t="s">
        <v>180</v>
      </c>
    </row>
    <row r="1034" spans="1:17" x14ac:dyDescent="0.25">
      <c r="A1034" t="s">
        <v>1057</v>
      </c>
      <c r="B1034" t="s">
        <v>1058</v>
      </c>
      <c r="C1034" t="s">
        <v>175</v>
      </c>
      <c r="D1034" t="s">
        <v>544</v>
      </c>
      <c r="E1034" t="s">
        <v>545</v>
      </c>
      <c r="F1034">
        <v>4</v>
      </c>
      <c r="G1034" t="s">
        <v>176</v>
      </c>
      <c r="H1034">
        <v>0</v>
      </c>
      <c r="I1034">
        <v>1000</v>
      </c>
      <c r="J1034" s="10">
        <v>0</v>
      </c>
      <c r="K1034" s="10">
        <f>SUMIFS(F:F,D:D,DST_123_ÜRETİM_İHTİYAÇ_RAPORU_BURAK_YENI1309[[#This Row],[ALT_KOD]])-(SUMIFS(H:H,D:D,DST_123_ÜRETİM_İHTİYAÇ_RAPORU_BURAK_YENI1309[[#This Row],[ALT_KOD]])+AVERAGEIFS(I:I,D:D,DST_123_ÜRETİM_İHTİYAÇ_RAPORU_BURAK_YENI1309[[#This Row],[ALT_KOD]])+AVERAGEIFS(L:L,D:D,DST_123_ÜRETİM_İHTİYAÇ_RAPORU_BURAK_YENI1309[[#This Row],[ALT_KOD]]))</f>
        <v>-960</v>
      </c>
      <c r="L1034">
        <v>0</v>
      </c>
      <c r="M1034">
        <f>IF((DST_123_ÜRETİM_İHTİYAÇ_RAPORU_BURAK_YENI1309[[#This Row],[SATINALMA]]*DST_123_ÜRETİM_İHTİYAÇ_RAPORU_BURAK_YENI1309[[#This Row],[BIRIM_FIYATLAR]])&lt;1,VALUE("0"),DST_123_ÜRETİM_İHTİYAÇ_RAPORU_BURAK_YENI1309[[#This Row],[SATINALMA]]*DST_123_ÜRETİM_İHTİYAÇ_RAPORU_BURAK_YENI1309[[#This Row],[BIRIM_FIYATLAR]])</f>
        <v>0</v>
      </c>
      <c r="N1034">
        <v>0.64</v>
      </c>
      <c r="O1034" t="s">
        <v>240</v>
      </c>
      <c r="P1034">
        <v>2.56</v>
      </c>
      <c r="Q1034" t="s">
        <v>180</v>
      </c>
    </row>
    <row r="1035" spans="1:17" x14ac:dyDescent="0.25">
      <c r="A1035" t="s">
        <v>1100</v>
      </c>
      <c r="B1035" t="s">
        <v>1058</v>
      </c>
      <c r="C1035" t="s">
        <v>175</v>
      </c>
      <c r="D1035" t="s">
        <v>544</v>
      </c>
      <c r="E1035" t="s">
        <v>545</v>
      </c>
      <c r="F1035">
        <v>4</v>
      </c>
      <c r="G1035" t="s">
        <v>176</v>
      </c>
      <c r="H1035">
        <v>0</v>
      </c>
      <c r="I1035">
        <v>1000</v>
      </c>
      <c r="J1035" s="10">
        <v>0</v>
      </c>
      <c r="K1035" s="10">
        <f>SUMIFS(F:F,D:D,DST_123_ÜRETİM_İHTİYAÇ_RAPORU_BURAK_YENI1309[[#This Row],[ALT_KOD]])-(SUMIFS(H:H,D:D,DST_123_ÜRETİM_İHTİYAÇ_RAPORU_BURAK_YENI1309[[#This Row],[ALT_KOD]])+AVERAGEIFS(I:I,D:D,DST_123_ÜRETİM_İHTİYAÇ_RAPORU_BURAK_YENI1309[[#This Row],[ALT_KOD]])+AVERAGEIFS(L:L,D:D,DST_123_ÜRETİM_İHTİYAÇ_RAPORU_BURAK_YENI1309[[#This Row],[ALT_KOD]]))</f>
        <v>-960</v>
      </c>
      <c r="L1035">
        <v>0</v>
      </c>
      <c r="M1035">
        <f>IF((DST_123_ÜRETİM_İHTİYAÇ_RAPORU_BURAK_YENI1309[[#This Row],[SATINALMA]]*DST_123_ÜRETİM_İHTİYAÇ_RAPORU_BURAK_YENI1309[[#This Row],[BIRIM_FIYATLAR]])&lt;1,VALUE("0"),DST_123_ÜRETİM_İHTİYAÇ_RAPORU_BURAK_YENI1309[[#This Row],[SATINALMA]]*DST_123_ÜRETİM_İHTİYAÇ_RAPORU_BURAK_YENI1309[[#This Row],[BIRIM_FIYATLAR]])</f>
        <v>0</v>
      </c>
      <c r="N1035">
        <v>0.64</v>
      </c>
      <c r="O1035" t="s">
        <v>240</v>
      </c>
      <c r="P1035">
        <v>2.56</v>
      </c>
      <c r="Q1035" t="s">
        <v>180</v>
      </c>
    </row>
    <row r="1036" spans="1:17" x14ac:dyDescent="0.25">
      <c r="A1036" t="s">
        <v>1143</v>
      </c>
      <c r="B1036" t="s">
        <v>1056</v>
      </c>
      <c r="C1036" t="s">
        <v>175</v>
      </c>
      <c r="D1036" t="s">
        <v>658</v>
      </c>
      <c r="E1036" t="s">
        <v>659</v>
      </c>
      <c r="F1036">
        <v>1</v>
      </c>
      <c r="G1036" t="s">
        <v>176</v>
      </c>
      <c r="H1036">
        <v>0</v>
      </c>
      <c r="I1036">
        <v>0</v>
      </c>
      <c r="J1036" s="10">
        <v>65</v>
      </c>
      <c r="K1036" s="10">
        <f>SUMIFS(F:F,D:D,DST_123_ÜRETİM_İHTİYAÇ_RAPORU_BURAK_YENI1309[[#This Row],[ALT_KOD]])-(SUMIFS(H:H,D:D,DST_123_ÜRETİM_İHTİYAÇ_RAPORU_BURAK_YENI1309[[#This Row],[ALT_KOD]])+AVERAGEIFS(I:I,D:D,DST_123_ÜRETİM_İHTİYAÇ_RAPORU_BURAK_YENI1309[[#This Row],[ALT_KOD]])+AVERAGEIFS(L:L,D:D,DST_123_ÜRETİM_İHTİYAÇ_RAPORU_BURAK_YENI1309[[#This Row],[ALT_KOD]]))</f>
        <v>-94</v>
      </c>
      <c r="L1036">
        <v>100</v>
      </c>
      <c r="M1036">
        <f>IF((DST_123_ÜRETİM_İHTİYAÇ_RAPORU_BURAK_YENI1309[[#This Row],[SATINALMA]]*DST_123_ÜRETİM_İHTİYAÇ_RAPORU_BURAK_YENI1309[[#This Row],[BIRIM_FIYATLAR]])&lt;1,VALUE("0"),DST_123_ÜRETİM_İHTİYAÇ_RAPORU_BURAK_YENI1309[[#This Row],[SATINALMA]]*DST_123_ÜRETİM_İHTİYAÇ_RAPORU_BURAK_YENI1309[[#This Row],[BIRIM_FIYATLAR]])</f>
        <v>0</v>
      </c>
      <c r="N1036">
        <v>115</v>
      </c>
      <c r="O1036" t="s">
        <v>240</v>
      </c>
      <c r="P1036">
        <v>115</v>
      </c>
      <c r="Q1036" t="s">
        <v>180</v>
      </c>
    </row>
    <row r="1037" spans="1:17" x14ac:dyDescent="0.25">
      <c r="A1037" t="s">
        <v>1143</v>
      </c>
      <c r="B1037" t="s">
        <v>1056</v>
      </c>
      <c r="C1037" t="s">
        <v>175</v>
      </c>
      <c r="D1037" t="s">
        <v>850</v>
      </c>
      <c r="E1037" t="s">
        <v>851</v>
      </c>
      <c r="F1037">
        <v>1</v>
      </c>
      <c r="G1037" t="s">
        <v>176</v>
      </c>
      <c r="H1037">
        <v>0</v>
      </c>
      <c r="I1037">
        <v>10</v>
      </c>
      <c r="J1037" s="10">
        <v>3</v>
      </c>
      <c r="K1037" s="10">
        <f>SUMIFS(F:F,D:D,DST_123_ÜRETİM_İHTİYAÇ_RAPORU_BURAK_YENI1309[[#This Row],[ALT_KOD]])-(SUMIFS(H:H,D:D,DST_123_ÜRETİM_İHTİYAÇ_RAPORU_BURAK_YENI1309[[#This Row],[ALT_KOD]])+AVERAGEIFS(I:I,D:D,DST_123_ÜRETİM_İHTİYAÇ_RAPORU_BURAK_YENI1309[[#This Row],[ALT_KOD]])+AVERAGEIFS(L:L,D:D,DST_123_ÜRETİM_İHTİYAÇ_RAPORU_BURAK_YENI1309[[#This Row],[ALT_KOD]]))</f>
        <v>-3</v>
      </c>
      <c r="L1037">
        <v>0</v>
      </c>
      <c r="M1037">
        <f>IF((DST_123_ÜRETİM_İHTİYAÇ_RAPORU_BURAK_YENI1309[[#This Row],[SATINALMA]]*DST_123_ÜRETİM_İHTİYAÇ_RAPORU_BURAK_YENI1309[[#This Row],[BIRIM_FIYATLAR]])&lt;1,VALUE("0"),DST_123_ÜRETİM_İHTİYAÇ_RAPORU_BURAK_YENI1309[[#This Row],[SATINALMA]]*DST_123_ÜRETİM_İHTİYAÇ_RAPORU_BURAK_YENI1309[[#This Row],[BIRIM_FIYATLAR]])</f>
        <v>0</v>
      </c>
      <c r="N1037">
        <v>45</v>
      </c>
      <c r="O1037" t="s">
        <v>240</v>
      </c>
      <c r="P1037">
        <v>45</v>
      </c>
      <c r="Q1037" t="s">
        <v>180</v>
      </c>
    </row>
    <row r="1038" spans="1:17" x14ac:dyDescent="0.25">
      <c r="A1038" t="s">
        <v>1095</v>
      </c>
      <c r="B1038" t="s">
        <v>1096</v>
      </c>
      <c r="C1038" t="s">
        <v>175</v>
      </c>
      <c r="D1038" t="s">
        <v>850</v>
      </c>
      <c r="E1038" t="s">
        <v>851</v>
      </c>
      <c r="F1038">
        <v>1</v>
      </c>
      <c r="G1038" t="s">
        <v>176</v>
      </c>
      <c r="H1038">
        <v>0</v>
      </c>
      <c r="I1038">
        <v>10</v>
      </c>
      <c r="J1038" s="10">
        <v>3</v>
      </c>
      <c r="K1038" s="10">
        <f>SUMIFS(F:F,D:D,DST_123_ÜRETİM_İHTİYAÇ_RAPORU_BURAK_YENI1309[[#This Row],[ALT_KOD]])-(SUMIFS(H:H,D:D,DST_123_ÜRETİM_İHTİYAÇ_RAPORU_BURAK_YENI1309[[#This Row],[ALT_KOD]])+AVERAGEIFS(I:I,D:D,DST_123_ÜRETİM_İHTİYAÇ_RAPORU_BURAK_YENI1309[[#This Row],[ALT_KOD]])+AVERAGEIFS(L:L,D:D,DST_123_ÜRETİM_İHTİYAÇ_RAPORU_BURAK_YENI1309[[#This Row],[ALT_KOD]]))</f>
        <v>-3</v>
      </c>
      <c r="L1038">
        <v>0</v>
      </c>
      <c r="M1038">
        <f>IF((DST_123_ÜRETİM_İHTİYAÇ_RAPORU_BURAK_YENI1309[[#This Row],[SATINALMA]]*DST_123_ÜRETİM_İHTİYAÇ_RAPORU_BURAK_YENI1309[[#This Row],[BIRIM_FIYATLAR]])&lt;1,VALUE("0"),DST_123_ÜRETİM_İHTİYAÇ_RAPORU_BURAK_YENI1309[[#This Row],[SATINALMA]]*DST_123_ÜRETİM_İHTİYAÇ_RAPORU_BURAK_YENI1309[[#This Row],[BIRIM_FIYATLAR]])</f>
        <v>0</v>
      </c>
      <c r="N1038">
        <v>45</v>
      </c>
      <c r="O1038" t="s">
        <v>240</v>
      </c>
      <c r="P1038">
        <v>45</v>
      </c>
      <c r="Q1038" t="s">
        <v>180</v>
      </c>
    </row>
    <row r="1039" spans="1:17" x14ac:dyDescent="0.25">
      <c r="A1039" t="s">
        <v>1143</v>
      </c>
      <c r="B1039" t="s">
        <v>1056</v>
      </c>
      <c r="C1039" t="s">
        <v>175</v>
      </c>
      <c r="D1039" t="s">
        <v>776</v>
      </c>
      <c r="E1039" t="s">
        <v>777</v>
      </c>
      <c r="F1039">
        <v>1</v>
      </c>
      <c r="G1039" t="s">
        <v>176</v>
      </c>
      <c r="H1039">
        <v>0</v>
      </c>
      <c r="I1039">
        <v>6</v>
      </c>
      <c r="J1039" s="10">
        <v>7</v>
      </c>
      <c r="K1039" s="10">
        <f>SUMIFS(F:F,D:D,DST_123_ÜRETİM_İHTİYAÇ_RAPORU_BURAK_YENI1309[[#This Row],[ALT_KOD]])-(SUMIFS(H:H,D:D,DST_123_ÜRETİM_İHTİYAÇ_RAPORU_BURAK_YENI1309[[#This Row],[ALT_KOD]])+AVERAGEIFS(I:I,D:D,DST_123_ÜRETİM_İHTİYAÇ_RAPORU_BURAK_YENI1309[[#This Row],[ALT_KOD]])+AVERAGEIFS(L:L,D:D,DST_123_ÜRETİM_İHTİYAÇ_RAPORU_BURAK_YENI1309[[#This Row],[ALT_KOD]]))</f>
        <v>5</v>
      </c>
      <c r="L1039">
        <v>0</v>
      </c>
      <c r="M1039">
        <f>IF((DST_123_ÜRETİM_İHTİYAÇ_RAPORU_BURAK_YENI1309[[#This Row],[SATINALMA]]*DST_123_ÜRETİM_İHTİYAÇ_RAPORU_BURAK_YENI1309[[#This Row],[BIRIM_FIYATLAR]])&lt;1,VALUE("0"),DST_123_ÜRETİM_İHTİYAÇ_RAPORU_BURAK_YENI1309[[#This Row],[SATINALMA]]*DST_123_ÜRETİM_İHTİYAÇ_RAPORU_BURAK_YENI1309[[#This Row],[BIRIM_FIYATLAR]])</f>
        <v>12288.25</v>
      </c>
      <c r="N1039">
        <v>2457.65</v>
      </c>
      <c r="O1039" t="s">
        <v>634</v>
      </c>
      <c r="P1039">
        <v>2457.65</v>
      </c>
      <c r="Q1039" t="s">
        <v>177</v>
      </c>
    </row>
    <row r="1040" spans="1:17" x14ac:dyDescent="0.25">
      <c r="A1040" t="s">
        <v>1146</v>
      </c>
      <c r="B1040" t="s">
        <v>1145</v>
      </c>
      <c r="C1040" t="s">
        <v>175</v>
      </c>
      <c r="D1040" t="s">
        <v>404</v>
      </c>
      <c r="E1040" t="s">
        <v>405</v>
      </c>
      <c r="F1040">
        <v>5</v>
      </c>
      <c r="G1040" t="s">
        <v>176</v>
      </c>
      <c r="H1040">
        <v>0</v>
      </c>
      <c r="I1040">
        <v>234</v>
      </c>
      <c r="J1040" s="10">
        <v>30</v>
      </c>
      <c r="K1040" s="10">
        <f>SUMIFS(F:F,D:D,DST_123_ÜRETİM_İHTİYAÇ_RAPORU_BURAK_YENI1309[[#This Row],[ALT_KOD]])-(SUMIFS(H:H,D:D,DST_123_ÜRETİM_İHTİYAÇ_RAPORU_BURAK_YENI1309[[#This Row],[ALT_KOD]])+AVERAGEIFS(I:I,D:D,DST_123_ÜRETİM_İHTİYAÇ_RAPORU_BURAK_YENI1309[[#This Row],[ALT_KOD]])+AVERAGEIFS(L:L,D:D,DST_123_ÜRETİM_İHTİYAÇ_RAPORU_BURAK_YENI1309[[#This Row],[ALT_KOD]]))</f>
        <v>-169</v>
      </c>
      <c r="L1040">
        <v>0</v>
      </c>
      <c r="M1040">
        <f>IF((DST_123_ÜRETİM_İHTİYAÇ_RAPORU_BURAK_YENI1309[[#This Row],[SATINALMA]]*DST_123_ÜRETİM_İHTİYAÇ_RAPORU_BURAK_YENI1309[[#This Row],[BIRIM_FIYATLAR]])&lt;1,VALUE("0"),DST_123_ÜRETİM_İHTİYAÇ_RAPORU_BURAK_YENI1309[[#This Row],[SATINALMA]]*DST_123_ÜRETİM_İHTİYAÇ_RAPORU_BURAK_YENI1309[[#This Row],[BIRIM_FIYATLAR]])</f>
        <v>0</v>
      </c>
      <c r="N1040">
        <v>15.21</v>
      </c>
      <c r="O1040" t="s">
        <v>826</v>
      </c>
      <c r="P1040">
        <v>76.050000000000011</v>
      </c>
      <c r="Q1040" t="s">
        <v>221</v>
      </c>
    </row>
    <row r="1041" spans="1:17" x14ac:dyDescent="0.25">
      <c r="A1041" t="s">
        <v>1144</v>
      </c>
      <c r="B1041" t="s">
        <v>1145</v>
      </c>
      <c r="C1041" t="s">
        <v>175</v>
      </c>
      <c r="D1041" t="s">
        <v>404</v>
      </c>
      <c r="E1041" t="s">
        <v>405</v>
      </c>
      <c r="F1041">
        <v>5</v>
      </c>
      <c r="G1041" t="s">
        <v>176</v>
      </c>
      <c r="H1041">
        <v>0</v>
      </c>
      <c r="I1041">
        <v>234</v>
      </c>
      <c r="J1041" s="10">
        <v>30</v>
      </c>
      <c r="K1041" s="10">
        <f>SUMIFS(F:F,D:D,DST_123_ÜRETİM_İHTİYAÇ_RAPORU_BURAK_YENI1309[[#This Row],[ALT_KOD]])-(SUMIFS(H:H,D:D,DST_123_ÜRETİM_İHTİYAÇ_RAPORU_BURAK_YENI1309[[#This Row],[ALT_KOD]])+AVERAGEIFS(I:I,D:D,DST_123_ÜRETİM_İHTİYAÇ_RAPORU_BURAK_YENI1309[[#This Row],[ALT_KOD]])+AVERAGEIFS(L:L,D:D,DST_123_ÜRETİM_İHTİYAÇ_RAPORU_BURAK_YENI1309[[#This Row],[ALT_KOD]]))</f>
        <v>-169</v>
      </c>
      <c r="L1041">
        <v>0</v>
      </c>
      <c r="M1041">
        <f>IF((DST_123_ÜRETİM_İHTİYAÇ_RAPORU_BURAK_YENI1309[[#This Row],[SATINALMA]]*DST_123_ÜRETİM_İHTİYAÇ_RAPORU_BURAK_YENI1309[[#This Row],[BIRIM_FIYATLAR]])&lt;1,VALUE("0"),DST_123_ÜRETİM_İHTİYAÇ_RAPORU_BURAK_YENI1309[[#This Row],[SATINALMA]]*DST_123_ÜRETİM_İHTİYAÇ_RAPORU_BURAK_YENI1309[[#This Row],[BIRIM_FIYATLAR]])</f>
        <v>0</v>
      </c>
      <c r="N1041">
        <v>15.21</v>
      </c>
      <c r="O1041" t="s">
        <v>826</v>
      </c>
      <c r="P1041">
        <v>76.050000000000011</v>
      </c>
      <c r="Q1041" t="s">
        <v>221</v>
      </c>
    </row>
    <row r="1042" spans="1:17" x14ac:dyDescent="0.25">
      <c r="A1042" t="s">
        <v>1101</v>
      </c>
      <c r="B1042" t="s">
        <v>1102</v>
      </c>
      <c r="C1042" t="s">
        <v>175</v>
      </c>
      <c r="D1042" t="s">
        <v>363</v>
      </c>
      <c r="E1042" t="s">
        <v>364</v>
      </c>
      <c r="F1042">
        <v>10</v>
      </c>
      <c r="G1042" t="s">
        <v>179</v>
      </c>
      <c r="H1042">
        <v>0</v>
      </c>
      <c r="I1042">
        <v>100</v>
      </c>
      <c r="J1042" s="10">
        <v>159.90000000000003</v>
      </c>
      <c r="K1042" s="10">
        <f>SUMIFS(F:F,D:D,DST_123_ÜRETİM_İHTİYAÇ_RAPORU_BURAK_YENI1309[[#This Row],[ALT_KOD]])-(SUMIFS(H:H,D:D,DST_123_ÜRETİM_İHTİYAÇ_RAPORU_BURAK_YENI1309[[#This Row],[ALT_KOD]])+AVERAGEIFS(I:I,D:D,DST_123_ÜRETİM_İHTİYAÇ_RAPORU_BURAK_YENI1309[[#This Row],[ALT_KOD]])+AVERAGEIFS(L:L,D:D,DST_123_ÜRETİM_İHTİYAÇ_RAPORU_BURAK_YENI1309[[#This Row],[ALT_KOD]]))</f>
        <v>41.300000000000011</v>
      </c>
      <c r="L1042">
        <v>0</v>
      </c>
      <c r="M1042">
        <f>IF((DST_123_ÜRETİM_İHTİYAÇ_RAPORU_BURAK_YENI1309[[#This Row],[SATINALMA]]*DST_123_ÜRETİM_İHTİYAÇ_RAPORU_BURAK_YENI1309[[#This Row],[BIRIM_FIYATLAR]])&lt;1,VALUE("0"),DST_123_ÜRETİM_İHTİYAÇ_RAPORU_BURAK_YENI1309[[#This Row],[SATINALMA]]*DST_123_ÜRETİM_İHTİYAÇ_RAPORU_BURAK_YENI1309[[#This Row],[BIRIM_FIYATLAR]])</f>
        <v>929.25000000000023</v>
      </c>
      <c r="N1042">
        <v>22.5</v>
      </c>
      <c r="O1042" t="s">
        <v>314</v>
      </c>
      <c r="P1042">
        <v>225</v>
      </c>
      <c r="Q1042" t="s">
        <v>178</v>
      </c>
    </row>
    <row r="1043" spans="1:17" x14ac:dyDescent="0.25">
      <c r="A1043" t="s">
        <v>1142</v>
      </c>
      <c r="B1043" t="s">
        <v>1056</v>
      </c>
      <c r="C1043" t="s">
        <v>175</v>
      </c>
      <c r="D1043" t="s">
        <v>534</v>
      </c>
      <c r="E1043" t="s">
        <v>535</v>
      </c>
      <c r="F1043">
        <v>4</v>
      </c>
      <c r="G1043" t="s">
        <v>176</v>
      </c>
      <c r="H1043">
        <v>0</v>
      </c>
      <c r="I1043">
        <v>212</v>
      </c>
      <c r="J1043" s="10">
        <v>625</v>
      </c>
      <c r="K1043" s="10">
        <f>SUMIFS(F:F,D:D,DST_123_ÜRETİM_İHTİYAÇ_RAPORU_BURAK_YENI1309[[#This Row],[ALT_KOD]])-(SUMIFS(H:H,D:D,DST_123_ÜRETİM_İHTİYAÇ_RAPORU_BURAK_YENI1309[[#This Row],[ALT_KOD]])+AVERAGEIFS(I:I,D:D,DST_123_ÜRETİM_İHTİYAÇ_RAPORU_BURAK_YENI1309[[#This Row],[ALT_KOD]])+AVERAGEIFS(L:L,D:D,DST_123_ÜRETİM_İHTİYAÇ_RAPORU_BURAK_YENI1309[[#This Row],[ALT_KOD]]))</f>
        <v>-146</v>
      </c>
      <c r="L1043">
        <v>0</v>
      </c>
      <c r="M1043">
        <f>IF((DST_123_ÜRETİM_İHTİYAÇ_RAPORU_BURAK_YENI1309[[#This Row],[SATINALMA]]*DST_123_ÜRETİM_İHTİYAÇ_RAPORU_BURAK_YENI1309[[#This Row],[BIRIM_FIYATLAR]])&lt;1,VALUE("0"),DST_123_ÜRETİM_İHTİYAÇ_RAPORU_BURAK_YENI1309[[#This Row],[SATINALMA]]*DST_123_ÜRETİM_İHTİYAÇ_RAPORU_BURAK_YENI1309[[#This Row],[BIRIM_FIYATLAR]])</f>
        <v>0</v>
      </c>
      <c r="N1043">
        <v>3.95</v>
      </c>
      <c r="O1043" t="s">
        <v>240</v>
      </c>
      <c r="P1043">
        <v>15.8</v>
      </c>
      <c r="Q1043" t="s">
        <v>180</v>
      </c>
    </row>
    <row r="1044" spans="1:17" x14ac:dyDescent="0.25">
      <c r="A1044" t="s">
        <v>1097</v>
      </c>
      <c r="B1044" t="s">
        <v>1055</v>
      </c>
      <c r="C1044" t="s">
        <v>175</v>
      </c>
      <c r="D1044" t="s">
        <v>850</v>
      </c>
      <c r="E1044" t="s">
        <v>851</v>
      </c>
      <c r="F1044">
        <v>1</v>
      </c>
      <c r="G1044" t="s">
        <v>176</v>
      </c>
      <c r="H1044">
        <v>0</v>
      </c>
      <c r="I1044">
        <v>10</v>
      </c>
      <c r="J1044" s="10">
        <v>3</v>
      </c>
      <c r="K1044" s="10">
        <f>SUMIFS(F:F,D:D,DST_123_ÜRETİM_İHTİYAÇ_RAPORU_BURAK_YENI1309[[#This Row],[ALT_KOD]])-(SUMIFS(H:H,D:D,DST_123_ÜRETİM_İHTİYAÇ_RAPORU_BURAK_YENI1309[[#This Row],[ALT_KOD]])+AVERAGEIFS(I:I,D:D,DST_123_ÜRETİM_İHTİYAÇ_RAPORU_BURAK_YENI1309[[#This Row],[ALT_KOD]])+AVERAGEIFS(L:L,D:D,DST_123_ÜRETİM_İHTİYAÇ_RAPORU_BURAK_YENI1309[[#This Row],[ALT_KOD]]))</f>
        <v>-3</v>
      </c>
      <c r="L1044">
        <v>0</v>
      </c>
      <c r="M1044">
        <f>IF((DST_123_ÜRETİM_İHTİYAÇ_RAPORU_BURAK_YENI1309[[#This Row],[SATINALMA]]*DST_123_ÜRETİM_İHTİYAÇ_RAPORU_BURAK_YENI1309[[#This Row],[BIRIM_FIYATLAR]])&lt;1,VALUE("0"),DST_123_ÜRETİM_İHTİYAÇ_RAPORU_BURAK_YENI1309[[#This Row],[SATINALMA]]*DST_123_ÜRETİM_İHTİYAÇ_RAPORU_BURAK_YENI1309[[#This Row],[BIRIM_FIYATLAR]])</f>
        <v>0</v>
      </c>
      <c r="N1044">
        <v>45</v>
      </c>
      <c r="O1044" t="s">
        <v>240</v>
      </c>
      <c r="P1044">
        <v>45</v>
      </c>
      <c r="Q1044" t="s">
        <v>180</v>
      </c>
    </row>
    <row r="1045" spans="1:17" x14ac:dyDescent="0.25">
      <c r="A1045" t="s">
        <v>1144</v>
      </c>
      <c r="B1045" t="s">
        <v>1145</v>
      </c>
      <c r="C1045" t="s">
        <v>175</v>
      </c>
      <c r="D1045" t="s">
        <v>23</v>
      </c>
      <c r="E1045" t="s">
        <v>304</v>
      </c>
      <c r="F1045">
        <v>1</v>
      </c>
      <c r="G1045" t="s">
        <v>176</v>
      </c>
      <c r="H1045">
        <v>0</v>
      </c>
      <c r="I1045">
        <v>0</v>
      </c>
      <c r="J1045" s="10">
        <v>7</v>
      </c>
      <c r="K1045" s="10">
        <f>SUMIFS(F:F,D:D,DST_123_ÜRETİM_İHTİYAÇ_RAPORU_BURAK_YENI1309[[#This Row],[ALT_KOD]])-(SUMIFS(H:H,D:D,DST_123_ÜRETİM_İHTİYAÇ_RAPORU_BURAK_YENI1309[[#This Row],[ALT_KOD]])+AVERAGEIFS(I:I,D:D,DST_123_ÜRETİM_İHTİYAÇ_RAPORU_BURAK_YENI1309[[#This Row],[ALT_KOD]])+AVERAGEIFS(L:L,D:D,DST_123_ÜRETİM_İHTİYAÇ_RAPORU_BURAK_YENI1309[[#This Row],[ALT_KOD]]))</f>
        <v>19</v>
      </c>
      <c r="L1045">
        <v>0</v>
      </c>
      <c r="M1045">
        <f>IF((DST_123_ÜRETİM_İHTİYAÇ_RAPORU_BURAK_YENI1309[[#This Row],[SATINALMA]]*DST_123_ÜRETİM_İHTİYAÇ_RAPORU_BURAK_YENI1309[[#This Row],[BIRIM_FIYATLAR]])&lt;1,VALUE("0"),DST_123_ÜRETİM_İHTİYAÇ_RAPORU_BURAK_YENI1309[[#This Row],[SATINALMA]]*DST_123_ÜRETİM_İHTİYAÇ_RAPORU_BURAK_YENI1309[[#This Row],[BIRIM_FIYATLAR]])</f>
        <v>760</v>
      </c>
      <c r="N1045">
        <v>40</v>
      </c>
      <c r="O1045" t="s">
        <v>635</v>
      </c>
      <c r="P1045">
        <v>40</v>
      </c>
      <c r="Q1045" t="s">
        <v>221</v>
      </c>
    </row>
    <row r="1046" spans="1:17" x14ac:dyDescent="0.25">
      <c r="A1046" t="s">
        <v>1196</v>
      </c>
      <c r="B1046" t="s">
        <v>1197</v>
      </c>
      <c r="C1046" t="s">
        <v>175</v>
      </c>
      <c r="D1046" t="s">
        <v>370</v>
      </c>
      <c r="E1046" t="s">
        <v>371</v>
      </c>
      <c r="F1046">
        <v>10</v>
      </c>
      <c r="G1046" t="s">
        <v>176</v>
      </c>
      <c r="H1046">
        <v>0</v>
      </c>
      <c r="I1046">
        <v>166</v>
      </c>
      <c r="J1046" s="10">
        <v>61</v>
      </c>
      <c r="K1046" s="10">
        <f>SUMIFS(F:F,D:D,DST_123_ÜRETİM_İHTİYAÇ_RAPORU_BURAK_YENI1309[[#This Row],[ALT_KOD]])-(SUMIFS(H:H,D:D,DST_123_ÜRETİM_İHTİYAÇ_RAPORU_BURAK_YENI1309[[#This Row],[ALT_KOD]])+AVERAGEIFS(I:I,D:D,DST_123_ÜRETİM_İHTİYAÇ_RAPORU_BURAK_YENI1309[[#This Row],[ALT_KOD]])+AVERAGEIFS(L:L,D:D,DST_123_ÜRETİM_İHTİYAÇ_RAPORU_BURAK_YENI1309[[#This Row],[ALT_KOD]]))</f>
        <v>48</v>
      </c>
      <c r="L1046">
        <v>0</v>
      </c>
      <c r="M1046">
        <f>IF((DST_123_ÜRETİM_İHTİYAÇ_RAPORU_BURAK_YENI1309[[#This Row],[SATINALMA]]*DST_123_ÜRETİM_İHTİYAÇ_RAPORU_BURAK_YENI1309[[#This Row],[BIRIM_FIYATLAR]])&lt;1,VALUE("0"),DST_123_ÜRETİM_İHTİYAÇ_RAPORU_BURAK_YENI1309[[#This Row],[SATINALMA]]*DST_123_ÜRETİM_İHTİYAÇ_RAPORU_BURAK_YENI1309[[#This Row],[BIRIM_FIYATLAR]])</f>
        <v>960</v>
      </c>
      <c r="N1046">
        <v>20</v>
      </c>
      <c r="O1046" t="s">
        <v>240</v>
      </c>
      <c r="P1046">
        <v>200</v>
      </c>
      <c r="Q1046" t="s">
        <v>180</v>
      </c>
    </row>
    <row r="1047" spans="1:17" x14ac:dyDescent="0.25">
      <c r="A1047" t="s">
        <v>1099</v>
      </c>
      <c r="B1047" t="s">
        <v>1055</v>
      </c>
      <c r="C1047" t="s">
        <v>175</v>
      </c>
      <c r="D1047" t="s">
        <v>370</v>
      </c>
      <c r="E1047" t="s">
        <v>371</v>
      </c>
      <c r="F1047">
        <v>16</v>
      </c>
      <c r="G1047" t="s">
        <v>176</v>
      </c>
      <c r="H1047">
        <v>0</v>
      </c>
      <c r="I1047">
        <v>166</v>
      </c>
      <c r="J1047" s="10">
        <v>61</v>
      </c>
      <c r="K1047" s="10">
        <f>SUMIFS(F:F,D:D,DST_123_ÜRETİM_İHTİYAÇ_RAPORU_BURAK_YENI1309[[#This Row],[ALT_KOD]])-(SUMIFS(H:H,D:D,DST_123_ÜRETİM_İHTİYAÇ_RAPORU_BURAK_YENI1309[[#This Row],[ALT_KOD]])+AVERAGEIFS(I:I,D:D,DST_123_ÜRETİM_İHTİYAÇ_RAPORU_BURAK_YENI1309[[#This Row],[ALT_KOD]])+AVERAGEIFS(L:L,D:D,DST_123_ÜRETİM_İHTİYAÇ_RAPORU_BURAK_YENI1309[[#This Row],[ALT_KOD]]))</f>
        <v>48</v>
      </c>
      <c r="L1047">
        <v>0</v>
      </c>
      <c r="M1047">
        <f>IF((DST_123_ÜRETİM_İHTİYAÇ_RAPORU_BURAK_YENI1309[[#This Row],[SATINALMA]]*DST_123_ÜRETİM_İHTİYAÇ_RAPORU_BURAK_YENI1309[[#This Row],[BIRIM_FIYATLAR]])&lt;1,VALUE("0"),DST_123_ÜRETİM_İHTİYAÇ_RAPORU_BURAK_YENI1309[[#This Row],[SATINALMA]]*DST_123_ÜRETİM_İHTİYAÇ_RAPORU_BURAK_YENI1309[[#This Row],[BIRIM_FIYATLAR]])</f>
        <v>960</v>
      </c>
      <c r="N1047">
        <v>20</v>
      </c>
      <c r="O1047" t="s">
        <v>240</v>
      </c>
      <c r="P1047">
        <v>320</v>
      </c>
      <c r="Q1047" t="s">
        <v>180</v>
      </c>
    </row>
    <row r="1048" spans="1:17" x14ac:dyDescent="0.25">
      <c r="A1048" t="s">
        <v>1196</v>
      </c>
      <c r="B1048" t="s">
        <v>1197</v>
      </c>
      <c r="C1048" t="s">
        <v>175</v>
      </c>
      <c r="D1048" t="s">
        <v>46</v>
      </c>
      <c r="E1048" t="s">
        <v>47</v>
      </c>
      <c r="F1048">
        <v>4</v>
      </c>
      <c r="G1048" t="s">
        <v>176</v>
      </c>
      <c r="H1048">
        <v>0</v>
      </c>
      <c r="I1048">
        <v>75</v>
      </c>
      <c r="J1048" s="10">
        <v>60</v>
      </c>
      <c r="K1048" s="10">
        <f>SUMIFS(F:F,D:D,DST_123_ÜRETİM_İHTİYAÇ_RAPORU_BURAK_YENI1309[[#This Row],[ALT_KOD]])-(SUMIFS(H:H,D:D,DST_123_ÜRETİM_İHTİYAÇ_RAPORU_BURAK_YENI1309[[#This Row],[ALT_KOD]])+AVERAGEIFS(I:I,D:D,DST_123_ÜRETİM_İHTİYAÇ_RAPORU_BURAK_YENI1309[[#This Row],[ALT_KOD]])+AVERAGEIFS(L:L,D:D,DST_123_ÜRETİM_İHTİYAÇ_RAPORU_BURAK_YENI1309[[#This Row],[ALT_KOD]]))</f>
        <v>-31</v>
      </c>
      <c r="L1048">
        <v>0</v>
      </c>
      <c r="M1048">
        <f>IF((DST_123_ÜRETİM_İHTİYAÇ_RAPORU_BURAK_YENI1309[[#This Row],[SATINALMA]]*DST_123_ÜRETİM_İHTİYAÇ_RAPORU_BURAK_YENI1309[[#This Row],[BIRIM_FIYATLAR]])&lt;1,VALUE("0"),DST_123_ÜRETİM_İHTİYAÇ_RAPORU_BURAK_YENI1309[[#This Row],[SATINALMA]]*DST_123_ÜRETİM_İHTİYAÇ_RAPORU_BURAK_YENI1309[[#This Row],[BIRIM_FIYATLAR]])</f>
        <v>0</v>
      </c>
      <c r="N1048">
        <v>170</v>
      </c>
      <c r="O1048" t="s">
        <v>245</v>
      </c>
      <c r="P1048">
        <v>680</v>
      </c>
      <c r="Q1048" t="s">
        <v>180</v>
      </c>
    </row>
    <row r="1049" spans="1:17" x14ac:dyDescent="0.25">
      <c r="A1049" t="s">
        <v>1148</v>
      </c>
      <c r="B1049" t="s">
        <v>1056</v>
      </c>
      <c r="C1049" t="s">
        <v>175</v>
      </c>
      <c r="D1049" t="s">
        <v>530</v>
      </c>
      <c r="E1049" t="s">
        <v>531</v>
      </c>
      <c r="F1049">
        <v>0.25</v>
      </c>
      <c r="G1049" t="s">
        <v>176</v>
      </c>
      <c r="H1049">
        <v>0</v>
      </c>
      <c r="I1049">
        <v>5</v>
      </c>
      <c r="J1049" s="10">
        <v>9.7999999999999954</v>
      </c>
      <c r="K1049" s="10">
        <f>SUMIFS(F:F,D:D,DST_123_ÜRETİM_İHTİYAÇ_RAPORU_BURAK_YENI1309[[#This Row],[ALT_KOD]])-(SUMIFS(H:H,D:D,DST_123_ÜRETİM_İHTİYAÇ_RAPORU_BURAK_YENI1309[[#This Row],[ALT_KOD]])+AVERAGEIFS(I:I,D:D,DST_123_ÜRETİM_İHTİYAÇ_RAPORU_BURAK_YENI1309[[#This Row],[ALT_KOD]])+AVERAGEIFS(L:L,D:D,DST_123_ÜRETİM_İHTİYAÇ_RAPORU_BURAK_YENI1309[[#This Row],[ALT_KOD]]))</f>
        <v>0.19999999999999929</v>
      </c>
      <c r="L1049">
        <v>0</v>
      </c>
      <c r="M1049">
        <f>IF((DST_123_ÜRETİM_İHTİYAÇ_RAPORU_BURAK_YENI1309[[#This Row],[SATINALMA]]*DST_123_ÜRETİM_İHTİYAÇ_RAPORU_BURAK_YENI1309[[#This Row],[BIRIM_FIYATLAR]])&lt;1,VALUE("0"),DST_123_ÜRETİM_İHTİYAÇ_RAPORU_BURAK_YENI1309[[#This Row],[SATINALMA]]*DST_123_ÜRETİM_İHTİYAÇ_RAPORU_BURAK_YENI1309[[#This Row],[BIRIM_FIYATLAR]])</f>
        <v>7.599999999999973</v>
      </c>
      <c r="N1049">
        <v>38</v>
      </c>
      <c r="O1049" t="s">
        <v>240</v>
      </c>
      <c r="P1049">
        <v>9.5</v>
      </c>
      <c r="Q1049" t="s">
        <v>180</v>
      </c>
    </row>
    <row r="1050" spans="1:17" x14ac:dyDescent="0.25">
      <c r="A1050" t="s">
        <v>1147</v>
      </c>
      <c r="B1050" t="s">
        <v>1145</v>
      </c>
      <c r="C1050" t="s">
        <v>175</v>
      </c>
      <c r="D1050" t="s">
        <v>370</v>
      </c>
      <c r="E1050" t="s">
        <v>371</v>
      </c>
      <c r="F1050">
        <v>10</v>
      </c>
      <c r="G1050" t="s">
        <v>176</v>
      </c>
      <c r="H1050">
        <v>0</v>
      </c>
      <c r="I1050">
        <v>166</v>
      </c>
      <c r="J1050" s="10">
        <v>61</v>
      </c>
      <c r="K1050" s="10">
        <f>SUMIFS(F:F,D:D,DST_123_ÜRETİM_İHTİYAÇ_RAPORU_BURAK_YENI1309[[#This Row],[ALT_KOD]])-(SUMIFS(H:H,D:D,DST_123_ÜRETİM_İHTİYAÇ_RAPORU_BURAK_YENI1309[[#This Row],[ALT_KOD]])+AVERAGEIFS(I:I,D:D,DST_123_ÜRETİM_İHTİYAÇ_RAPORU_BURAK_YENI1309[[#This Row],[ALT_KOD]])+AVERAGEIFS(L:L,D:D,DST_123_ÜRETİM_İHTİYAÇ_RAPORU_BURAK_YENI1309[[#This Row],[ALT_KOD]]))</f>
        <v>48</v>
      </c>
      <c r="L1050">
        <v>0</v>
      </c>
      <c r="M1050">
        <f>IF((DST_123_ÜRETİM_İHTİYAÇ_RAPORU_BURAK_YENI1309[[#This Row],[SATINALMA]]*DST_123_ÜRETİM_İHTİYAÇ_RAPORU_BURAK_YENI1309[[#This Row],[BIRIM_FIYATLAR]])&lt;1,VALUE("0"),DST_123_ÜRETİM_İHTİYAÇ_RAPORU_BURAK_YENI1309[[#This Row],[SATINALMA]]*DST_123_ÜRETİM_İHTİYAÇ_RAPORU_BURAK_YENI1309[[#This Row],[BIRIM_FIYATLAR]])</f>
        <v>960</v>
      </c>
      <c r="N1050">
        <v>20</v>
      </c>
      <c r="O1050" t="s">
        <v>240</v>
      </c>
      <c r="P1050">
        <v>200</v>
      </c>
      <c r="Q1050" t="s">
        <v>180</v>
      </c>
    </row>
    <row r="1051" spans="1:17" x14ac:dyDescent="0.25">
      <c r="A1051" t="s">
        <v>1100</v>
      </c>
      <c r="B1051" t="s">
        <v>1058</v>
      </c>
      <c r="C1051" t="s">
        <v>175</v>
      </c>
      <c r="D1051" t="s">
        <v>46</v>
      </c>
      <c r="E1051" t="s">
        <v>47</v>
      </c>
      <c r="F1051">
        <v>4</v>
      </c>
      <c r="G1051" t="s">
        <v>176</v>
      </c>
      <c r="H1051">
        <v>4</v>
      </c>
      <c r="I1051">
        <v>75</v>
      </c>
      <c r="J1051" s="10">
        <v>60</v>
      </c>
      <c r="K1051" s="10">
        <f>SUMIFS(F:F,D:D,DST_123_ÜRETİM_İHTİYAÇ_RAPORU_BURAK_YENI1309[[#This Row],[ALT_KOD]])-(SUMIFS(H:H,D:D,DST_123_ÜRETİM_İHTİYAÇ_RAPORU_BURAK_YENI1309[[#This Row],[ALT_KOD]])+AVERAGEIFS(I:I,D:D,DST_123_ÜRETİM_İHTİYAÇ_RAPORU_BURAK_YENI1309[[#This Row],[ALT_KOD]])+AVERAGEIFS(L:L,D:D,DST_123_ÜRETİM_İHTİYAÇ_RAPORU_BURAK_YENI1309[[#This Row],[ALT_KOD]]))</f>
        <v>-31</v>
      </c>
      <c r="L1051">
        <v>0</v>
      </c>
      <c r="M1051">
        <f>IF((DST_123_ÜRETİM_İHTİYAÇ_RAPORU_BURAK_YENI1309[[#This Row],[SATINALMA]]*DST_123_ÜRETİM_İHTİYAÇ_RAPORU_BURAK_YENI1309[[#This Row],[BIRIM_FIYATLAR]])&lt;1,VALUE("0"),DST_123_ÜRETİM_İHTİYAÇ_RAPORU_BURAK_YENI1309[[#This Row],[SATINALMA]]*DST_123_ÜRETİM_İHTİYAÇ_RAPORU_BURAK_YENI1309[[#This Row],[BIRIM_FIYATLAR]])</f>
        <v>0</v>
      </c>
      <c r="N1051">
        <v>170</v>
      </c>
      <c r="O1051" t="s">
        <v>245</v>
      </c>
      <c r="P1051">
        <v>680</v>
      </c>
      <c r="Q1051" t="s">
        <v>180</v>
      </c>
    </row>
    <row r="1052" spans="1:17" x14ac:dyDescent="0.25">
      <c r="A1052" t="s">
        <v>1148</v>
      </c>
      <c r="B1052" t="s">
        <v>1056</v>
      </c>
      <c r="C1052" t="s">
        <v>175</v>
      </c>
      <c r="D1052" t="s">
        <v>46</v>
      </c>
      <c r="E1052" t="s">
        <v>47</v>
      </c>
      <c r="F1052">
        <v>4</v>
      </c>
      <c r="G1052" t="s">
        <v>176</v>
      </c>
      <c r="H1052">
        <v>0</v>
      </c>
      <c r="I1052">
        <v>75</v>
      </c>
      <c r="J1052" s="10">
        <v>60</v>
      </c>
      <c r="K1052" s="10">
        <f>SUMIFS(F:F,D:D,DST_123_ÜRETİM_İHTİYAÇ_RAPORU_BURAK_YENI1309[[#This Row],[ALT_KOD]])-(SUMIFS(H:H,D:D,DST_123_ÜRETİM_İHTİYAÇ_RAPORU_BURAK_YENI1309[[#This Row],[ALT_KOD]])+AVERAGEIFS(I:I,D:D,DST_123_ÜRETİM_İHTİYAÇ_RAPORU_BURAK_YENI1309[[#This Row],[ALT_KOD]])+AVERAGEIFS(L:L,D:D,DST_123_ÜRETİM_İHTİYAÇ_RAPORU_BURAK_YENI1309[[#This Row],[ALT_KOD]]))</f>
        <v>-31</v>
      </c>
      <c r="L1052">
        <v>0</v>
      </c>
      <c r="M1052">
        <f>IF((DST_123_ÜRETİM_İHTİYAÇ_RAPORU_BURAK_YENI1309[[#This Row],[SATINALMA]]*DST_123_ÜRETİM_İHTİYAÇ_RAPORU_BURAK_YENI1309[[#This Row],[BIRIM_FIYATLAR]])&lt;1,VALUE("0"),DST_123_ÜRETİM_İHTİYAÇ_RAPORU_BURAK_YENI1309[[#This Row],[SATINALMA]]*DST_123_ÜRETİM_İHTİYAÇ_RAPORU_BURAK_YENI1309[[#This Row],[BIRIM_FIYATLAR]])</f>
        <v>0</v>
      </c>
      <c r="N1052">
        <v>170</v>
      </c>
      <c r="O1052" t="s">
        <v>245</v>
      </c>
      <c r="P1052">
        <v>680</v>
      </c>
      <c r="Q1052" t="s">
        <v>180</v>
      </c>
    </row>
    <row r="1053" spans="1:17" x14ac:dyDescent="0.25">
      <c r="A1053" t="s">
        <v>1101</v>
      </c>
      <c r="B1053" t="s">
        <v>1102</v>
      </c>
      <c r="C1053" t="s">
        <v>175</v>
      </c>
      <c r="D1053" t="s">
        <v>349</v>
      </c>
      <c r="E1053" t="s">
        <v>350</v>
      </c>
      <c r="F1053">
        <v>0.5</v>
      </c>
      <c r="G1053" t="s">
        <v>176</v>
      </c>
      <c r="H1053">
        <v>0</v>
      </c>
      <c r="I1053">
        <v>12</v>
      </c>
      <c r="J1053" s="10">
        <v>3</v>
      </c>
      <c r="K1053" s="10">
        <f>SUMIFS(F:F,D:D,DST_123_ÜRETİM_İHTİYAÇ_RAPORU_BURAK_YENI1309[[#This Row],[ALT_KOD]])-(SUMIFS(H:H,D:D,DST_123_ÜRETİM_İHTİYAÇ_RAPORU_BURAK_YENI1309[[#This Row],[ALT_KOD]])+AVERAGEIFS(I:I,D:D,DST_123_ÜRETİM_İHTİYAÇ_RAPORU_BURAK_YENI1309[[#This Row],[ALT_KOD]])+AVERAGEIFS(L:L,D:D,DST_123_ÜRETİM_İHTİYAÇ_RAPORU_BURAK_YENI1309[[#This Row],[ALT_KOD]]))</f>
        <v>-3</v>
      </c>
      <c r="L1053">
        <v>0</v>
      </c>
      <c r="M1053">
        <f>IF((DST_123_ÜRETİM_İHTİYAÇ_RAPORU_BURAK_YENI1309[[#This Row],[SATINALMA]]*DST_123_ÜRETİM_İHTİYAÇ_RAPORU_BURAK_YENI1309[[#This Row],[BIRIM_FIYATLAR]])&lt;1,VALUE("0"),DST_123_ÜRETİM_İHTİYAÇ_RAPORU_BURAK_YENI1309[[#This Row],[SATINALMA]]*DST_123_ÜRETİM_İHTİYAÇ_RAPORU_BURAK_YENI1309[[#This Row],[BIRIM_FIYATLAR]])</f>
        <v>0</v>
      </c>
      <c r="N1053">
        <v>130</v>
      </c>
      <c r="O1053" t="s">
        <v>226</v>
      </c>
      <c r="P1053">
        <v>65</v>
      </c>
      <c r="Q1053" t="s">
        <v>183</v>
      </c>
    </row>
    <row r="1054" spans="1:17" x14ac:dyDescent="0.25">
      <c r="A1054" t="s">
        <v>1057</v>
      </c>
      <c r="B1054" t="s">
        <v>1058</v>
      </c>
      <c r="C1054" t="s">
        <v>175</v>
      </c>
      <c r="D1054" t="s">
        <v>86</v>
      </c>
      <c r="E1054" t="s">
        <v>87</v>
      </c>
      <c r="F1054">
        <v>9</v>
      </c>
      <c r="G1054" t="s">
        <v>176</v>
      </c>
      <c r="H1054">
        <v>0</v>
      </c>
      <c r="I1054">
        <v>47</v>
      </c>
      <c r="J1054" s="10">
        <v>1</v>
      </c>
      <c r="K1054" s="10">
        <f>SUMIFS(F:F,D:D,DST_123_ÜRETİM_İHTİYAÇ_RAPORU_BURAK_YENI1309[[#This Row],[ALT_KOD]])-(SUMIFS(H:H,D:D,DST_123_ÜRETİM_İHTİYAÇ_RAPORU_BURAK_YENI1309[[#This Row],[ALT_KOD]])+AVERAGEIFS(I:I,D:D,DST_123_ÜRETİM_İHTİYAÇ_RAPORU_BURAK_YENI1309[[#This Row],[ALT_KOD]])+AVERAGEIFS(L:L,D:D,DST_123_ÜRETİM_İHTİYAÇ_RAPORU_BURAK_YENI1309[[#This Row],[ALT_KOD]]))</f>
        <v>23.61999999999999</v>
      </c>
      <c r="L1054">
        <v>0</v>
      </c>
      <c r="M1054">
        <f>IF((DST_123_ÜRETİM_İHTİYAÇ_RAPORU_BURAK_YENI1309[[#This Row],[SATINALMA]]*DST_123_ÜRETİM_İHTİYAÇ_RAPORU_BURAK_YENI1309[[#This Row],[BIRIM_FIYATLAR]])&lt;1,VALUE("0"),DST_123_ÜRETİM_İHTİYAÇ_RAPORU_BURAK_YENI1309[[#This Row],[SATINALMA]]*DST_123_ÜRETİM_İHTİYAÇ_RAPORU_BURAK_YENI1309[[#This Row],[BIRIM_FIYATLAR]])</f>
        <v>2361.9999999999991</v>
      </c>
      <c r="N1054">
        <v>100</v>
      </c>
      <c r="O1054" t="s">
        <v>240</v>
      </c>
      <c r="P1054">
        <v>900</v>
      </c>
      <c r="Q1054" t="s">
        <v>183</v>
      </c>
    </row>
    <row r="1055" spans="1:17" x14ac:dyDescent="0.25">
      <c r="A1055" t="s">
        <v>1060</v>
      </c>
      <c r="B1055" t="s">
        <v>1061</v>
      </c>
      <c r="C1055" t="s">
        <v>175</v>
      </c>
      <c r="D1055" t="s">
        <v>370</v>
      </c>
      <c r="E1055" t="s">
        <v>371</v>
      </c>
      <c r="F1055">
        <v>10</v>
      </c>
      <c r="G1055" t="s">
        <v>176</v>
      </c>
      <c r="H1055">
        <v>0</v>
      </c>
      <c r="I1055">
        <v>166</v>
      </c>
      <c r="J1055" s="10">
        <v>61</v>
      </c>
      <c r="K1055" s="10">
        <f>SUMIFS(F:F,D:D,DST_123_ÜRETİM_İHTİYAÇ_RAPORU_BURAK_YENI1309[[#This Row],[ALT_KOD]])-(SUMIFS(H:H,D:D,DST_123_ÜRETİM_İHTİYAÇ_RAPORU_BURAK_YENI1309[[#This Row],[ALT_KOD]])+AVERAGEIFS(I:I,D:D,DST_123_ÜRETİM_İHTİYAÇ_RAPORU_BURAK_YENI1309[[#This Row],[ALT_KOD]])+AVERAGEIFS(L:L,D:D,DST_123_ÜRETİM_İHTİYAÇ_RAPORU_BURAK_YENI1309[[#This Row],[ALT_KOD]]))</f>
        <v>48</v>
      </c>
      <c r="L1055">
        <v>0</v>
      </c>
      <c r="M1055">
        <f>IF((DST_123_ÜRETİM_İHTİYAÇ_RAPORU_BURAK_YENI1309[[#This Row],[SATINALMA]]*DST_123_ÜRETİM_İHTİYAÇ_RAPORU_BURAK_YENI1309[[#This Row],[BIRIM_FIYATLAR]])&lt;1,VALUE("0"),DST_123_ÜRETİM_İHTİYAÇ_RAPORU_BURAK_YENI1309[[#This Row],[SATINALMA]]*DST_123_ÜRETİM_İHTİYAÇ_RAPORU_BURAK_YENI1309[[#This Row],[BIRIM_FIYATLAR]])</f>
        <v>960</v>
      </c>
      <c r="N1055">
        <v>20</v>
      </c>
      <c r="O1055" t="s">
        <v>240</v>
      </c>
      <c r="P1055">
        <v>200</v>
      </c>
      <c r="Q1055" t="s">
        <v>180</v>
      </c>
    </row>
    <row r="1056" spans="1:17" x14ac:dyDescent="0.25">
      <c r="A1056" t="s">
        <v>1147</v>
      </c>
      <c r="B1056" t="s">
        <v>1145</v>
      </c>
      <c r="C1056" t="s">
        <v>175</v>
      </c>
      <c r="D1056" t="s">
        <v>46</v>
      </c>
      <c r="E1056" t="s">
        <v>47</v>
      </c>
      <c r="F1056">
        <v>4</v>
      </c>
      <c r="G1056" t="s">
        <v>176</v>
      </c>
      <c r="H1056">
        <v>0</v>
      </c>
      <c r="I1056">
        <v>75</v>
      </c>
      <c r="J1056" s="10">
        <v>60</v>
      </c>
      <c r="K1056" s="10">
        <f>SUMIFS(F:F,D:D,DST_123_ÜRETİM_İHTİYAÇ_RAPORU_BURAK_YENI1309[[#This Row],[ALT_KOD]])-(SUMIFS(H:H,D:D,DST_123_ÜRETİM_İHTİYAÇ_RAPORU_BURAK_YENI1309[[#This Row],[ALT_KOD]])+AVERAGEIFS(I:I,D:D,DST_123_ÜRETİM_İHTİYAÇ_RAPORU_BURAK_YENI1309[[#This Row],[ALT_KOD]])+AVERAGEIFS(L:L,D:D,DST_123_ÜRETİM_İHTİYAÇ_RAPORU_BURAK_YENI1309[[#This Row],[ALT_KOD]]))</f>
        <v>-31</v>
      </c>
      <c r="L1056">
        <v>0</v>
      </c>
      <c r="M1056">
        <f>IF((DST_123_ÜRETİM_İHTİYAÇ_RAPORU_BURAK_YENI1309[[#This Row],[SATINALMA]]*DST_123_ÜRETİM_İHTİYAÇ_RAPORU_BURAK_YENI1309[[#This Row],[BIRIM_FIYATLAR]])&lt;1,VALUE("0"),DST_123_ÜRETİM_İHTİYAÇ_RAPORU_BURAK_YENI1309[[#This Row],[SATINALMA]]*DST_123_ÜRETİM_İHTİYAÇ_RAPORU_BURAK_YENI1309[[#This Row],[BIRIM_FIYATLAR]])</f>
        <v>0</v>
      </c>
      <c r="N1056">
        <v>170</v>
      </c>
      <c r="O1056" t="s">
        <v>245</v>
      </c>
      <c r="P1056">
        <v>680</v>
      </c>
      <c r="Q1056" t="s">
        <v>180</v>
      </c>
    </row>
    <row r="1057" spans="1:17" x14ac:dyDescent="0.25">
      <c r="A1057" t="s">
        <v>1064</v>
      </c>
      <c r="B1057" t="s">
        <v>1055</v>
      </c>
      <c r="C1057" t="s">
        <v>175</v>
      </c>
      <c r="D1057" t="s">
        <v>349</v>
      </c>
      <c r="E1057" t="s">
        <v>350</v>
      </c>
      <c r="F1057">
        <v>0.5</v>
      </c>
      <c r="G1057" t="s">
        <v>176</v>
      </c>
      <c r="H1057">
        <v>0</v>
      </c>
      <c r="I1057">
        <v>12</v>
      </c>
      <c r="J1057" s="10">
        <v>3</v>
      </c>
      <c r="K1057" s="10">
        <f>SUMIFS(F:F,D:D,DST_123_ÜRETİM_İHTİYAÇ_RAPORU_BURAK_YENI1309[[#This Row],[ALT_KOD]])-(SUMIFS(H:H,D:D,DST_123_ÜRETİM_İHTİYAÇ_RAPORU_BURAK_YENI1309[[#This Row],[ALT_KOD]])+AVERAGEIFS(I:I,D:D,DST_123_ÜRETİM_İHTİYAÇ_RAPORU_BURAK_YENI1309[[#This Row],[ALT_KOD]])+AVERAGEIFS(L:L,D:D,DST_123_ÜRETİM_İHTİYAÇ_RAPORU_BURAK_YENI1309[[#This Row],[ALT_KOD]]))</f>
        <v>-3</v>
      </c>
      <c r="L1057">
        <v>0</v>
      </c>
      <c r="M1057">
        <f>IF((DST_123_ÜRETİM_İHTİYAÇ_RAPORU_BURAK_YENI1309[[#This Row],[SATINALMA]]*DST_123_ÜRETİM_İHTİYAÇ_RAPORU_BURAK_YENI1309[[#This Row],[BIRIM_FIYATLAR]])&lt;1,VALUE("0"),DST_123_ÜRETİM_İHTİYAÇ_RAPORU_BURAK_YENI1309[[#This Row],[SATINALMA]]*DST_123_ÜRETİM_İHTİYAÇ_RAPORU_BURAK_YENI1309[[#This Row],[BIRIM_FIYATLAR]])</f>
        <v>0</v>
      </c>
      <c r="N1057">
        <v>130</v>
      </c>
      <c r="O1057" t="s">
        <v>226</v>
      </c>
      <c r="P1057">
        <v>65</v>
      </c>
      <c r="Q1057" t="s">
        <v>183</v>
      </c>
    </row>
    <row r="1058" spans="1:17" x14ac:dyDescent="0.25">
      <c r="A1058" t="s">
        <v>1098</v>
      </c>
      <c r="B1058" t="s">
        <v>1096</v>
      </c>
      <c r="C1058" t="s">
        <v>175</v>
      </c>
      <c r="D1058" t="s">
        <v>349</v>
      </c>
      <c r="E1058" t="s">
        <v>350</v>
      </c>
      <c r="F1058">
        <v>0.5</v>
      </c>
      <c r="G1058" t="s">
        <v>176</v>
      </c>
      <c r="H1058">
        <v>0</v>
      </c>
      <c r="I1058">
        <v>12</v>
      </c>
      <c r="J1058" s="10">
        <v>3</v>
      </c>
      <c r="K1058" s="10">
        <f>SUMIFS(F:F,D:D,DST_123_ÜRETİM_İHTİYAÇ_RAPORU_BURAK_YENI1309[[#This Row],[ALT_KOD]])-(SUMIFS(H:H,D:D,DST_123_ÜRETİM_İHTİYAÇ_RAPORU_BURAK_YENI1309[[#This Row],[ALT_KOD]])+AVERAGEIFS(I:I,D:D,DST_123_ÜRETİM_İHTİYAÇ_RAPORU_BURAK_YENI1309[[#This Row],[ALT_KOD]])+AVERAGEIFS(L:L,D:D,DST_123_ÜRETİM_İHTİYAÇ_RAPORU_BURAK_YENI1309[[#This Row],[ALT_KOD]]))</f>
        <v>-3</v>
      </c>
      <c r="L1058">
        <v>0</v>
      </c>
      <c r="M1058">
        <f>IF((DST_123_ÜRETİM_İHTİYAÇ_RAPORU_BURAK_YENI1309[[#This Row],[SATINALMA]]*DST_123_ÜRETİM_İHTİYAÇ_RAPORU_BURAK_YENI1309[[#This Row],[BIRIM_FIYATLAR]])&lt;1,VALUE("0"),DST_123_ÜRETİM_İHTİYAÇ_RAPORU_BURAK_YENI1309[[#This Row],[SATINALMA]]*DST_123_ÜRETİM_İHTİYAÇ_RAPORU_BURAK_YENI1309[[#This Row],[BIRIM_FIYATLAR]])</f>
        <v>0</v>
      </c>
      <c r="N1058">
        <v>130</v>
      </c>
      <c r="O1058" t="s">
        <v>226</v>
      </c>
      <c r="P1058">
        <v>65</v>
      </c>
      <c r="Q1058" t="s">
        <v>183</v>
      </c>
    </row>
    <row r="1059" spans="1:17" x14ac:dyDescent="0.25">
      <c r="A1059" t="s">
        <v>1064</v>
      </c>
      <c r="B1059" t="s">
        <v>1055</v>
      </c>
      <c r="C1059" t="s">
        <v>175</v>
      </c>
      <c r="D1059" t="s">
        <v>86</v>
      </c>
      <c r="E1059" t="s">
        <v>87</v>
      </c>
      <c r="F1059">
        <v>3</v>
      </c>
      <c r="G1059" t="s">
        <v>176</v>
      </c>
      <c r="H1059">
        <v>0</v>
      </c>
      <c r="I1059">
        <v>47</v>
      </c>
      <c r="J1059" s="10">
        <v>1</v>
      </c>
      <c r="K1059" s="10">
        <f>SUMIFS(F:F,D:D,DST_123_ÜRETİM_İHTİYAÇ_RAPORU_BURAK_YENI1309[[#This Row],[ALT_KOD]])-(SUMIFS(H:H,D:D,DST_123_ÜRETİM_İHTİYAÇ_RAPORU_BURAK_YENI1309[[#This Row],[ALT_KOD]])+AVERAGEIFS(I:I,D:D,DST_123_ÜRETİM_İHTİYAÇ_RAPORU_BURAK_YENI1309[[#This Row],[ALT_KOD]])+AVERAGEIFS(L:L,D:D,DST_123_ÜRETİM_İHTİYAÇ_RAPORU_BURAK_YENI1309[[#This Row],[ALT_KOD]]))</f>
        <v>23.61999999999999</v>
      </c>
      <c r="L1059">
        <v>0</v>
      </c>
      <c r="M1059">
        <f>IF((DST_123_ÜRETİM_İHTİYAÇ_RAPORU_BURAK_YENI1309[[#This Row],[SATINALMA]]*DST_123_ÜRETİM_İHTİYAÇ_RAPORU_BURAK_YENI1309[[#This Row],[BIRIM_FIYATLAR]])&lt;1,VALUE("0"),DST_123_ÜRETİM_İHTİYAÇ_RAPORU_BURAK_YENI1309[[#This Row],[SATINALMA]]*DST_123_ÜRETİM_İHTİYAÇ_RAPORU_BURAK_YENI1309[[#This Row],[BIRIM_FIYATLAR]])</f>
        <v>2361.9999999999991</v>
      </c>
      <c r="N1059">
        <v>100</v>
      </c>
      <c r="O1059" t="s">
        <v>240</v>
      </c>
      <c r="P1059">
        <v>300</v>
      </c>
      <c r="Q1059" t="s">
        <v>183</v>
      </c>
    </row>
    <row r="1060" spans="1:17" x14ac:dyDescent="0.25">
      <c r="A1060" t="s">
        <v>1196</v>
      </c>
      <c r="B1060" t="s">
        <v>1197</v>
      </c>
      <c r="C1060" t="s">
        <v>175</v>
      </c>
      <c r="D1060" t="s">
        <v>86</v>
      </c>
      <c r="E1060" t="s">
        <v>87</v>
      </c>
      <c r="F1060">
        <v>2.02</v>
      </c>
      <c r="G1060" t="s">
        <v>176</v>
      </c>
      <c r="H1060">
        <v>0</v>
      </c>
      <c r="I1060">
        <v>47</v>
      </c>
      <c r="J1060" s="10">
        <v>1</v>
      </c>
      <c r="K1060" s="10">
        <f>SUMIFS(F:F,D:D,DST_123_ÜRETİM_İHTİYAÇ_RAPORU_BURAK_YENI1309[[#This Row],[ALT_KOD]])-(SUMIFS(H:H,D:D,DST_123_ÜRETİM_İHTİYAÇ_RAPORU_BURAK_YENI1309[[#This Row],[ALT_KOD]])+AVERAGEIFS(I:I,D:D,DST_123_ÜRETİM_İHTİYAÇ_RAPORU_BURAK_YENI1309[[#This Row],[ALT_KOD]])+AVERAGEIFS(L:L,D:D,DST_123_ÜRETİM_İHTİYAÇ_RAPORU_BURAK_YENI1309[[#This Row],[ALT_KOD]]))</f>
        <v>23.61999999999999</v>
      </c>
      <c r="L1060">
        <v>0</v>
      </c>
      <c r="M1060">
        <f>IF((DST_123_ÜRETİM_İHTİYAÇ_RAPORU_BURAK_YENI1309[[#This Row],[SATINALMA]]*DST_123_ÜRETİM_İHTİYAÇ_RAPORU_BURAK_YENI1309[[#This Row],[BIRIM_FIYATLAR]])&lt;1,VALUE("0"),DST_123_ÜRETİM_İHTİYAÇ_RAPORU_BURAK_YENI1309[[#This Row],[SATINALMA]]*DST_123_ÜRETİM_İHTİYAÇ_RAPORU_BURAK_YENI1309[[#This Row],[BIRIM_FIYATLAR]])</f>
        <v>2361.9999999999991</v>
      </c>
      <c r="N1060">
        <v>100</v>
      </c>
      <c r="O1060" t="s">
        <v>240</v>
      </c>
      <c r="P1060">
        <v>202</v>
      </c>
      <c r="Q1060" t="s">
        <v>183</v>
      </c>
    </row>
    <row r="1061" spans="1:17" x14ac:dyDescent="0.25">
      <c r="A1061" t="s">
        <v>1098</v>
      </c>
      <c r="B1061" t="s">
        <v>1096</v>
      </c>
      <c r="C1061" t="s">
        <v>175</v>
      </c>
      <c r="D1061" t="s">
        <v>86</v>
      </c>
      <c r="E1061" t="s">
        <v>87</v>
      </c>
      <c r="F1061">
        <v>3</v>
      </c>
      <c r="G1061" t="s">
        <v>176</v>
      </c>
      <c r="H1061">
        <v>0</v>
      </c>
      <c r="I1061">
        <v>47</v>
      </c>
      <c r="J1061" s="10">
        <v>1</v>
      </c>
      <c r="K1061" s="10">
        <f>SUMIFS(F:F,D:D,DST_123_ÜRETİM_İHTİYAÇ_RAPORU_BURAK_YENI1309[[#This Row],[ALT_KOD]])-(SUMIFS(H:H,D:D,DST_123_ÜRETİM_İHTİYAÇ_RAPORU_BURAK_YENI1309[[#This Row],[ALT_KOD]])+AVERAGEIFS(I:I,D:D,DST_123_ÜRETİM_İHTİYAÇ_RAPORU_BURAK_YENI1309[[#This Row],[ALT_KOD]])+AVERAGEIFS(L:L,D:D,DST_123_ÜRETİM_İHTİYAÇ_RAPORU_BURAK_YENI1309[[#This Row],[ALT_KOD]]))</f>
        <v>23.61999999999999</v>
      </c>
      <c r="L1061">
        <v>0</v>
      </c>
      <c r="M1061">
        <f>IF((DST_123_ÜRETİM_İHTİYAÇ_RAPORU_BURAK_YENI1309[[#This Row],[SATINALMA]]*DST_123_ÜRETİM_İHTİYAÇ_RAPORU_BURAK_YENI1309[[#This Row],[BIRIM_FIYATLAR]])&lt;1,VALUE("0"),DST_123_ÜRETİM_İHTİYAÇ_RAPORU_BURAK_YENI1309[[#This Row],[SATINALMA]]*DST_123_ÜRETİM_İHTİYAÇ_RAPORU_BURAK_YENI1309[[#This Row],[BIRIM_FIYATLAR]])</f>
        <v>2361.9999999999991</v>
      </c>
      <c r="N1061">
        <v>100</v>
      </c>
      <c r="O1061" t="s">
        <v>240</v>
      </c>
      <c r="P1061">
        <v>300</v>
      </c>
      <c r="Q1061" t="s">
        <v>183</v>
      </c>
    </row>
    <row r="1062" spans="1:17" x14ac:dyDescent="0.25">
      <c r="A1062" t="s">
        <v>1147</v>
      </c>
      <c r="B1062" t="s">
        <v>1145</v>
      </c>
      <c r="C1062" t="s">
        <v>175</v>
      </c>
      <c r="D1062" t="s">
        <v>722</v>
      </c>
      <c r="E1062" t="s">
        <v>723</v>
      </c>
      <c r="F1062">
        <v>8</v>
      </c>
      <c r="G1062" t="s">
        <v>176</v>
      </c>
      <c r="H1062">
        <v>0</v>
      </c>
      <c r="I1062">
        <v>1270</v>
      </c>
      <c r="J1062" s="10">
        <v>698</v>
      </c>
      <c r="K1062" s="10">
        <f>SUMIFS(F:F,D:D,DST_123_ÜRETİM_İHTİYAÇ_RAPORU_BURAK_YENI1309[[#This Row],[ALT_KOD]])-(SUMIFS(H:H,D:D,DST_123_ÜRETİM_İHTİYAÇ_RAPORU_BURAK_YENI1309[[#This Row],[ALT_KOD]])+AVERAGEIFS(I:I,D:D,DST_123_ÜRETİM_İHTİYAÇ_RAPORU_BURAK_YENI1309[[#This Row],[ALT_KOD]])+AVERAGEIFS(L:L,D:D,DST_123_ÜRETİM_İHTİYAÇ_RAPORU_BURAK_YENI1309[[#This Row],[ALT_KOD]]))</f>
        <v>-1174</v>
      </c>
      <c r="L1062">
        <v>0</v>
      </c>
      <c r="M1062">
        <f>IF((DST_123_ÜRETİM_İHTİYAÇ_RAPORU_BURAK_YENI1309[[#This Row],[SATINALMA]]*DST_123_ÜRETİM_İHTİYAÇ_RAPORU_BURAK_YENI1309[[#This Row],[BIRIM_FIYATLAR]])&lt;1,VALUE("0"),DST_123_ÜRETİM_İHTİYAÇ_RAPORU_BURAK_YENI1309[[#This Row],[SATINALMA]]*DST_123_ÜRETİM_İHTİYAÇ_RAPORU_BURAK_YENI1309[[#This Row],[BIRIM_FIYATLAR]])</f>
        <v>0</v>
      </c>
      <c r="N1062">
        <v>0.55000000000000004</v>
      </c>
      <c r="O1062" t="s">
        <v>240</v>
      </c>
      <c r="P1062">
        <v>4.4000000000000004</v>
      </c>
      <c r="Q1062" t="s">
        <v>180</v>
      </c>
    </row>
    <row r="1063" spans="1:17" x14ac:dyDescent="0.25">
      <c r="A1063" t="s">
        <v>1057</v>
      </c>
      <c r="B1063" t="s">
        <v>1058</v>
      </c>
      <c r="C1063" t="s">
        <v>175</v>
      </c>
      <c r="D1063" t="s">
        <v>349</v>
      </c>
      <c r="E1063" t="s">
        <v>350</v>
      </c>
      <c r="F1063">
        <v>0.5</v>
      </c>
      <c r="G1063" t="s">
        <v>176</v>
      </c>
      <c r="H1063">
        <v>0</v>
      </c>
      <c r="I1063">
        <v>12</v>
      </c>
      <c r="J1063" s="10">
        <v>3</v>
      </c>
      <c r="K1063" s="10">
        <f>SUMIFS(F:F,D:D,DST_123_ÜRETİM_İHTİYAÇ_RAPORU_BURAK_YENI1309[[#This Row],[ALT_KOD]])-(SUMIFS(H:H,D:D,DST_123_ÜRETİM_İHTİYAÇ_RAPORU_BURAK_YENI1309[[#This Row],[ALT_KOD]])+AVERAGEIFS(I:I,D:D,DST_123_ÜRETİM_İHTİYAÇ_RAPORU_BURAK_YENI1309[[#This Row],[ALT_KOD]])+AVERAGEIFS(L:L,D:D,DST_123_ÜRETİM_İHTİYAÇ_RAPORU_BURAK_YENI1309[[#This Row],[ALT_KOD]]))</f>
        <v>-3</v>
      </c>
      <c r="L1063">
        <v>0</v>
      </c>
      <c r="M1063">
        <f>IF((DST_123_ÜRETİM_İHTİYAÇ_RAPORU_BURAK_YENI1309[[#This Row],[SATINALMA]]*DST_123_ÜRETİM_İHTİYAÇ_RAPORU_BURAK_YENI1309[[#This Row],[BIRIM_FIYATLAR]])&lt;1,VALUE("0"),DST_123_ÜRETİM_İHTİYAÇ_RAPORU_BURAK_YENI1309[[#This Row],[SATINALMA]]*DST_123_ÜRETİM_İHTİYAÇ_RAPORU_BURAK_YENI1309[[#This Row],[BIRIM_FIYATLAR]])</f>
        <v>0</v>
      </c>
      <c r="N1063">
        <v>130</v>
      </c>
      <c r="O1063" t="s">
        <v>226</v>
      </c>
      <c r="P1063">
        <v>65</v>
      </c>
      <c r="Q1063" t="s">
        <v>183</v>
      </c>
    </row>
    <row r="1064" spans="1:17" x14ac:dyDescent="0.25">
      <c r="A1064" t="s">
        <v>1147</v>
      </c>
      <c r="B1064" t="s">
        <v>1145</v>
      </c>
      <c r="C1064" t="s">
        <v>175</v>
      </c>
      <c r="D1064" t="s">
        <v>86</v>
      </c>
      <c r="E1064" t="s">
        <v>87</v>
      </c>
      <c r="F1064">
        <v>2.02</v>
      </c>
      <c r="G1064" t="s">
        <v>176</v>
      </c>
      <c r="H1064">
        <v>0</v>
      </c>
      <c r="I1064">
        <v>47</v>
      </c>
      <c r="J1064" s="10">
        <v>1</v>
      </c>
      <c r="K1064" s="10">
        <f>SUMIFS(F:F,D:D,DST_123_ÜRETİM_İHTİYAÇ_RAPORU_BURAK_YENI1309[[#This Row],[ALT_KOD]])-(SUMIFS(H:H,D:D,DST_123_ÜRETİM_İHTİYAÇ_RAPORU_BURAK_YENI1309[[#This Row],[ALT_KOD]])+AVERAGEIFS(I:I,D:D,DST_123_ÜRETİM_İHTİYAÇ_RAPORU_BURAK_YENI1309[[#This Row],[ALT_KOD]])+AVERAGEIFS(L:L,D:D,DST_123_ÜRETİM_İHTİYAÇ_RAPORU_BURAK_YENI1309[[#This Row],[ALT_KOD]]))</f>
        <v>23.61999999999999</v>
      </c>
      <c r="L1064">
        <v>0</v>
      </c>
      <c r="M1064">
        <f>IF((DST_123_ÜRETİM_İHTİYAÇ_RAPORU_BURAK_YENI1309[[#This Row],[SATINALMA]]*DST_123_ÜRETİM_İHTİYAÇ_RAPORU_BURAK_YENI1309[[#This Row],[BIRIM_FIYATLAR]])&lt;1,VALUE("0"),DST_123_ÜRETİM_İHTİYAÇ_RAPORU_BURAK_YENI1309[[#This Row],[SATINALMA]]*DST_123_ÜRETİM_İHTİYAÇ_RAPORU_BURAK_YENI1309[[#This Row],[BIRIM_FIYATLAR]])</f>
        <v>2361.9999999999991</v>
      </c>
      <c r="N1064">
        <v>100</v>
      </c>
      <c r="O1064" t="s">
        <v>240</v>
      </c>
      <c r="P1064">
        <v>202</v>
      </c>
      <c r="Q1064" t="s">
        <v>183</v>
      </c>
    </row>
    <row r="1065" spans="1:17" x14ac:dyDescent="0.25">
      <c r="A1065" t="s">
        <v>1100</v>
      </c>
      <c r="B1065" t="s">
        <v>1058</v>
      </c>
      <c r="C1065" t="s">
        <v>175</v>
      </c>
      <c r="D1065" t="s">
        <v>86</v>
      </c>
      <c r="E1065" t="s">
        <v>87</v>
      </c>
      <c r="F1065">
        <v>9</v>
      </c>
      <c r="G1065" t="s">
        <v>176</v>
      </c>
      <c r="H1065">
        <v>0</v>
      </c>
      <c r="I1065">
        <v>47</v>
      </c>
      <c r="J1065" s="10">
        <v>1</v>
      </c>
      <c r="K1065" s="10">
        <f>SUMIFS(F:F,D:D,DST_123_ÜRETİM_İHTİYAÇ_RAPORU_BURAK_YENI1309[[#This Row],[ALT_KOD]])-(SUMIFS(H:H,D:D,DST_123_ÜRETİM_İHTİYAÇ_RAPORU_BURAK_YENI1309[[#This Row],[ALT_KOD]])+AVERAGEIFS(I:I,D:D,DST_123_ÜRETİM_İHTİYAÇ_RAPORU_BURAK_YENI1309[[#This Row],[ALT_KOD]])+AVERAGEIFS(L:L,D:D,DST_123_ÜRETİM_İHTİYAÇ_RAPORU_BURAK_YENI1309[[#This Row],[ALT_KOD]]))</f>
        <v>23.61999999999999</v>
      </c>
      <c r="L1065">
        <v>0</v>
      </c>
      <c r="M1065">
        <f>IF((DST_123_ÜRETİM_İHTİYAÇ_RAPORU_BURAK_YENI1309[[#This Row],[SATINALMA]]*DST_123_ÜRETİM_İHTİYAÇ_RAPORU_BURAK_YENI1309[[#This Row],[BIRIM_FIYATLAR]])&lt;1,VALUE("0"),DST_123_ÜRETİM_İHTİYAÇ_RAPORU_BURAK_YENI1309[[#This Row],[SATINALMA]]*DST_123_ÜRETİM_İHTİYAÇ_RAPORU_BURAK_YENI1309[[#This Row],[BIRIM_FIYATLAR]])</f>
        <v>2361.9999999999991</v>
      </c>
      <c r="N1065">
        <v>100</v>
      </c>
      <c r="O1065" t="s">
        <v>240</v>
      </c>
      <c r="P1065">
        <v>900</v>
      </c>
      <c r="Q1065" t="s">
        <v>183</v>
      </c>
    </row>
    <row r="1066" spans="1:17" x14ac:dyDescent="0.25">
      <c r="A1066" t="s">
        <v>1060</v>
      </c>
      <c r="B1066" t="s">
        <v>1061</v>
      </c>
      <c r="C1066" t="s">
        <v>175</v>
      </c>
      <c r="D1066" t="s">
        <v>722</v>
      </c>
      <c r="E1066" t="s">
        <v>723</v>
      </c>
      <c r="F1066">
        <v>16</v>
      </c>
      <c r="G1066" t="s">
        <v>176</v>
      </c>
      <c r="H1066">
        <v>0</v>
      </c>
      <c r="I1066">
        <v>1270</v>
      </c>
      <c r="J1066" s="10">
        <v>698</v>
      </c>
      <c r="K1066" s="10">
        <f>SUMIFS(F:F,D:D,DST_123_ÜRETİM_İHTİYAÇ_RAPORU_BURAK_YENI1309[[#This Row],[ALT_KOD]])-(SUMIFS(H:H,D:D,DST_123_ÜRETİM_İHTİYAÇ_RAPORU_BURAK_YENI1309[[#This Row],[ALT_KOD]])+AVERAGEIFS(I:I,D:D,DST_123_ÜRETİM_İHTİYAÇ_RAPORU_BURAK_YENI1309[[#This Row],[ALT_KOD]])+AVERAGEIFS(L:L,D:D,DST_123_ÜRETİM_İHTİYAÇ_RAPORU_BURAK_YENI1309[[#This Row],[ALT_KOD]]))</f>
        <v>-1174</v>
      </c>
      <c r="L1066">
        <v>0</v>
      </c>
      <c r="M1066">
        <f>IF((DST_123_ÜRETİM_İHTİYAÇ_RAPORU_BURAK_YENI1309[[#This Row],[SATINALMA]]*DST_123_ÜRETİM_İHTİYAÇ_RAPORU_BURAK_YENI1309[[#This Row],[BIRIM_FIYATLAR]])&lt;1,VALUE("0"),DST_123_ÜRETİM_İHTİYAÇ_RAPORU_BURAK_YENI1309[[#This Row],[SATINALMA]]*DST_123_ÜRETİM_İHTİYAÇ_RAPORU_BURAK_YENI1309[[#This Row],[BIRIM_FIYATLAR]])</f>
        <v>0</v>
      </c>
      <c r="N1066">
        <v>0.55000000000000004</v>
      </c>
      <c r="O1066" t="s">
        <v>240</v>
      </c>
      <c r="P1066">
        <v>8.8000000000000007</v>
      </c>
      <c r="Q1066" t="s">
        <v>180</v>
      </c>
    </row>
    <row r="1067" spans="1:17" x14ac:dyDescent="0.25">
      <c r="A1067" t="s">
        <v>1060</v>
      </c>
      <c r="B1067" t="s">
        <v>1061</v>
      </c>
      <c r="C1067" t="s">
        <v>175</v>
      </c>
      <c r="D1067" t="s">
        <v>86</v>
      </c>
      <c r="E1067" t="s">
        <v>87</v>
      </c>
      <c r="F1067">
        <v>2</v>
      </c>
      <c r="G1067" t="s">
        <v>176</v>
      </c>
      <c r="H1067">
        <v>0</v>
      </c>
      <c r="I1067">
        <v>47</v>
      </c>
      <c r="J1067" s="10">
        <v>1</v>
      </c>
      <c r="K1067" s="10">
        <f>SUMIFS(F:F,D:D,DST_123_ÜRETİM_İHTİYAÇ_RAPORU_BURAK_YENI1309[[#This Row],[ALT_KOD]])-(SUMIFS(H:H,D:D,DST_123_ÜRETİM_İHTİYAÇ_RAPORU_BURAK_YENI1309[[#This Row],[ALT_KOD]])+AVERAGEIFS(I:I,D:D,DST_123_ÜRETİM_İHTİYAÇ_RAPORU_BURAK_YENI1309[[#This Row],[ALT_KOD]])+AVERAGEIFS(L:L,D:D,DST_123_ÜRETİM_İHTİYAÇ_RAPORU_BURAK_YENI1309[[#This Row],[ALT_KOD]]))</f>
        <v>23.61999999999999</v>
      </c>
      <c r="L1067">
        <v>0</v>
      </c>
      <c r="M1067">
        <f>IF((DST_123_ÜRETİM_İHTİYAÇ_RAPORU_BURAK_YENI1309[[#This Row],[SATINALMA]]*DST_123_ÜRETİM_İHTİYAÇ_RAPORU_BURAK_YENI1309[[#This Row],[BIRIM_FIYATLAR]])&lt;1,VALUE("0"),DST_123_ÜRETİM_İHTİYAÇ_RAPORU_BURAK_YENI1309[[#This Row],[SATINALMA]]*DST_123_ÜRETİM_İHTİYAÇ_RAPORU_BURAK_YENI1309[[#This Row],[BIRIM_FIYATLAR]])</f>
        <v>2361.9999999999991</v>
      </c>
      <c r="N1067">
        <v>100</v>
      </c>
      <c r="O1067" t="s">
        <v>240</v>
      </c>
      <c r="P1067">
        <v>200</v>
      </c>
      <c r="Q1067" t="s">
        <v>183</v>
      </c>
    </row>
    <row r="1068" spans="1:17" x14ac:dyDescent="0.25">
      <c r="A1068" t="s">
        <v>1101</v>
      </c>
      <c r="B1068" t="s">
        <v>1102</v>
      </c>
      <c r="C1068" t="s">
        <v>175</v>
      </c>
      <c r="D1068" t="s">
        <v>86</v>
      </c>
      <c r="E1068" t="s">
        <v>87</v>
      </c>
      <c r="F1068">
        <v>4</v>
      </c>
      <c r="G1068" t="s">
        <v>176</v>
      </c>
      <c r="H1068">
        <v>0</v>
      </c>
      <c r="I1068">
        <v>47</v>
      </c>
      <c r="J1068" s="10">
        <v>1</v>
      </c>
      <c r="K1068" s="10">
        <f>SUMIFS(F:F,D:D,DST_123_ÜRETİM_İHTİYAÇ_RAPORU_BURAK_YENI1309[[#This Row],[ALT_KOD]])-(SUMIFS(H:H,D:D,DST_123_ÜRETİM_İHTİYAÇ_RAPORU_BURAK_YENI1309[[#This Row],[ALT_KOD]])+AVERAGEIFS(I:I,D:D,DST_123_ÜRETİM_İHTİYAÇ_RAPORU_BURAK_YENI1309[[#This Row],[ALT_KOD]])+AVERAGEIFS(L:L,D:D,DST_123_ÜRETİM_İHTİYAÇ_RAPORU_BURAK_YENI1309[[#This Row],[ALT_KOD]]))</f>
        <v>23.61999999999999</v>
      </c>
      <c r="L1068">
        <v>0</v>
      </c>
      <c r="M1068">
        <f>IF((DST_123_ÜRETİM_İHTİYAÇ_RAPORU_BURAK_YENI1309[[#This Row],[SATINALMA]]*DST_123_ÜRETİM_İHTİYAÇ_RAPORU_BURAK_YENI1309[[#This Row],[BIRIM_FIYATLAR]])&lt;1,VALUE("0"),DST_123_ÜRETİM_İHTİYAÇ_RAPORU_BURAK_YENI1309[[#This Row],[SATINALMA]]*DST_123_ÜRETİM_İHTİYAÇ_RAPORU_BURAK_YENI1309[[#This Row],[BIRIM_FIYATLAR]])</f>
        <v>2361.9999999999991</v>
      </c>
      <c r="N1068">
        <v>100</v>
      </c>
      <c r="O1068" t="s">
        <v>240</v>
      </c>
      <c r="P1068">
        <v>400</v>
      </c>
      <c r="Q1068" t="s">
        <v>183</v>
      </c>
    </row>
    <row r="1069" spans="1:17" x14ac:dyDescent="0.25">
      <c r="A1069" t="s">
        <v>1150</v>
      </c>
      <c r="B1069" t="s">
        <v>1145</v>
      </c>
      <c r="C1069" t="s">
        <v>175</v>
      </c>
      <c r="D1069" t="s">
        <v>1191</v>
      </c>
      <c r="E1069" t="s">
        <v>1192</v>
      </c>
      <c r="F1069">
        <v>0.1</v>
      </c>
      <c r="G1069" t="s">
        <v>185</v>
      </c>
      <c r="H1069">
        <v>0</v>
      </c>
      <c r="I1069">
        <v>32</v>
      </c>
      <c r="J1069" s="10">
        <v>60</v>
      </c>
      <c r="K1069" s="10">
        <f>SUMIFS(F:F,D:D,DST_123_ÜRETİM_İHTİYAÇ_RAPORU_BURAK_YENI1309[[#This Row],[ALT_KOD]])-(SUMIFS(H:H,D:D,DST_123_ÜRETİM_İHTİYAÇ_RAPORU_BURAK_YENI1309[[#This Row],[ALT_KOD]])+AVERAGEIFS(I:I,D:D,DST_123_ÜRETİM_İHTİYAÇ_RAPORU_BURAK_YENI1309[[#This Row],[ALT_KOD]])+AVERAGEIFS(L:L,D:D,DST_123_ÜRETİM_İHTİYAÇ_RAPORU_BURAK_YENI1309[[#This Row],[ALT_KOD]]))</f>
        <v>-31.4</v>
      </c>
      <c r="L1069">
        <v>0</v>
      </c>
      <c r="M1069">
        <f>IF((DST_123_ÜRETİM_İHTİYAÇ_RAPORU_BURAK_YENI1309[[#This Row],[SATINALMA]]*DST_123_ÜRETİM_İHTİYAÇ_RAPORU_BURAK_YENI1309[[#This Row],[BIRIM_FIYATLAR]])&lt;1,VALUE("0"),DST_123_ÜRETİM_İHTİYAÇ_RAPORU_BURAK_YENI1309[[#This Row],[SATINALMA]]*DST_123_ÜRETİM_İHTİYAÇ_RAPORU_BURAK_YENI1309[[#This Row],[BIRIM_FIYATLAR]])</f>
        <v>0</v>
      </c>
      <c r="N1069">
        <v>110</v>
      </c>
      <c r="O1069" t="s">
        <v>1193</v>
      </c>
      <c r="P1069">
        <v>11</v>
      </c>
      <c r="Q1069" t="s">
        <v>183</v>
      </c>
    </row>
    <row r="1070" spans="1:17" x14ac:dyDescent="0.25">
      <c r="A1070" t="s">
        <v>1149</v>
      </c>
      <c r="B1070" t="s">
        <v>1145</v>
      </c>
      <c r="C1070" t="s">
        <v>175</v>
      </c>
      <c r="D1070" t="s">
        <v>1191</v>
      </c>
      <c r="E1070" t="s">
        <v>1192</v>
      </c>
      <c r="F1070">
        <v>0.1</v>
      </c>
      <c r="G1070" t="s">
        <v>185</v>
      </c>
      <c r="H1070">
        <v>0</v>
      </c>
      <c r="I1070">
        <v>32</v>
      </c>
      <c r="J1070" s="10">
        <v>60</v>
      </c>
      <c r="K1070" s="10">
        <f>SUMIFS(F:F,D:D,DST_123_ÜRETİM_İHTİYAÇ_RAPORU_BURAK_YENI1309[[#This Row],[ALT_KOD]])-(SUMIFS(H:H,D:D,DST_123_ÜRETİM_İHTİYAÇ_RAPORU_BURAK_YENI1309[[#This Row],[ALT_KOD]])+AVERAGEIFS(I:I,D:D,DST_123_ÜRETİM_İHTİYAÇ_RAPORU_BURAK_YENI1309[[#This Row],[ALT_KOD]])+AVERAGEIFS(L:L,D:D,DST_123_ÜRETİM_İHTİYAÇ_RAPORU_BURAK_YENI1309[[#This Row],[ALT_KOD]]))</f>
        <v>-31.4</v>
      </c>
      <c r="L1070">
        <v>0</v>
      </c>
      <c r="M1070">
        <f>IF((DST_123_ÜRETİM_İHTİYAÇ_RAPORU_BURAK_YENI1309[[#This Row],[SATINALMA]]*DST_123_ÜRETİM_İHTİYAÇ_RAPORU_BURAK_YENI1309[[#This Row],[BIRIM_FIYATLAR]])&lt;1,VALUE("0"),DST_123_ÜRETİM_İHTİYAÇ_RAPORU_BURAK_YENI1309[[#This Row],[SATINALMA]]*DST_123_ÜRETİM_İHTİYAÇ_RAPORU_BURAK_YENI1309[[#This Row],[BIRIM_FIYATLAR]])</f>
        <v>0</v>
      </c>
      <c r="N1070">
        <v>110</v>
      </c>
      <c r="O1070" t="s">
        <v>1193</v>
      </c>
      <c r="P1070">
        <v>11</v>
      </c>
      <c r="Q1070" t="s">
        <v>183</v>
      </c>
    </row>
    <row r="1071" spans="1:17" x14ac:dyDescent="0.25">
      <c r="A1071" t="s">
        <v>1149</v>
      </c>
      <c r="B1071" t="s">
        <v>1145</v>
      </c>
      <c r="C1071" t="s">
        <v>175</v>
      </c>
      <c r="D1071" t="s">
        <v>349</v>
      </c>
      <c r="E1071" t="s">
        <v>350</v>
      </c>
      <c r="F1071">
        <v>0.5</v>
      </c>
      <c r="G1071" t="s">
        <v>176</v>
      </c>
      <c r="H1071">
        <v>0</v>
      </c>
      <c r="I1071">
        <v>12</v>
      </c>
      <c r="J1071" s="10">
        <v>3</v>
      </c>
      <c r="K1071" s="10">
        <f>SUMIFS(F:F,D:D,DST_123_ÜRETİM_İHTİYAÇ_RAPORU_BURAK_YENI1309[[#This Row],[ALT_KOD]])-(SUMIFS(H:H,D:D,DST_123_ÜRETİM_İHTİYAÇ_RAPORU_BURAK_YENI1309[[#This Row],[ALT_KOD]])+AVERAGEIFS(I:I,D:D,DST_123_ÜRETİM_İHTİYAÇ_RAPORU_BURAK_YENI1309[[#This Row],[ALT_KOD]])+AVERAGEIFS(L:L,D:D,DST_123_ÜRETİM_İHTİYAÇ_RAPORU_BURAK_YENI1309[[#This Row],[ALT_KOD]]))</f>
        <v>-3</v>
      </c>
      <c r="L1071">
        <v>0</v>
      </c>
      <c r="M1071">
        <f>IF((DST_123_ÜRETİM_İHTİYAÇ_RAPORU_BURAK_YENI1309[[#This Row],[SATINALMA]]*DST_123_ÜRETİM_İHTİYAÇ_RAPORU_BURAK_YENI1309[[#This Row],[BIRIM_FIYATLAR]])&lt;1,VALUE("0"),DST_123_ÜRETİM_İHTİYAÇ_RAPORU_BURAK_YENI1309[[#This Row],[SATINALMA]]*DST_123_ÜRETİM_İHTİYAÇ_RAPORU_BURAK_YENI1309[[#This Row],[BIRIM_FIYATLAR]])</f>
        <v>0</v>
      </c>
      <c r="N1071">
        <v>130</v>
      </c>
      <c r="O1071" t="s">
        <v>226</v>
      </c>
      <c r="P1071">
        <v>65</v>
      </c>
      <c r="Q1071" t="s">
        <v>183</v>
      </c>
    </row>
    <row r="1072" spans="1:17" x14ac:dyDescent="0.25">
      <c r="A1072" t="s">
        <v>1150</v>
      </c>
      <c r="B1072" t="s">
        <v>1145</v>
      </c>
      <c r="C1072" t="s">
        <v>175</v>
      </c>
      <c r="D1072" t="s">
        <v>353</v>
      </c>
      <c r="E1072" t="s">
        <v>354</v>
      </c>
      <c r="F1072">
        <v>11</v>
      </c>
      <c r="G1072" t="s">
        <v>176</v>
      </c>
      <c r="H1072">
        <v>0</v>
      </c>
      <c r="I1072">
        <v>391</v>
      </c>
      <c r="J1072" s="10">
        <v>150</v>
      </c>
      <c r="K1072" s="10">
        <f>SUMIFS(F:F,D:D,DST_123_ÜRETİM_İHTİYAÇ_RAPORU_BURAK_YENI1309[[#This Row],[ALT_KOD]])-(SUMIFS(H:H,D:D,DST_123_ÜRETİM_İHTİYAÇ_RAPORU_BURAK_YENI1309[[#This Row],[ALT_KOD]])+AVERAGEIFS(I:I,D:D,DST_123_ÜRETİM_İHTİYAÇ_RAPORU_BURAK_YENI1309[[#This Row],[ALT_KOD]])+AVERAGEIFS(L:L,D:D,DST_123_ÜRETİM_İHTİYAÇ_RAPORU_BURAK_YENI1309[[#This Row],[ALT_KOD]]))</f>
        <v>-33</v>
      </c>
      <c r="L1072">
        <v>0</v>
      </c>
      <c r="M1072">
        <f>IF((DST_123_ÜRETİM_İHTİYAÇ_RAPORU_BURAK_YENI1309[[#This Row],[SATINALMA]]*DST_123_ÜRETİM_İHTİYAÇ_RAPORU_BURAK_YENI1309[[#This Row],[BIRIM_FIYATLAR]])&lt;1,VALUE("0"),DST_123_ÜRETİM_İHTİYAÇ_RAPORU_BURAK_YENI1309[[#This Row],[SATINALMA]]*DST_123_ÜRETİM_İHTİYAÇ_RAPORU_BURAK_YENI1309[[#This Row],[BIRIM_FIYATLAR]])</f>
        <v>0</v>
      </c>
      <c r="N1072">
        <v>10.65</v>
      </c>
      <c r="O1072" t="s">
        <v>882</v>
      </c>
      <c r="P1072">
        <v>117.15</v>
      </c>
      <c r="Q1072" t="s">
        <v>180</v>
      </c>
    </row>
    <row r="1073" spans="1:17" x14ac:dyDescent="0.25">
      <c r="A1073" t="s">
        <v>1060</v>
      </c>
      <c r="B1073" t="s">
        <v>1061</v>
      </c>
      <c r="C1073" t="s">
        <v>175</v>
      </c>
      <c r="D1073" t="s">
        <v>743</v>
      </c>
      <c r="E1073" t="s">
        <v>744</v>
      </c>
      <c r="F1073">
        <v>0.5</v>
      </c>
      <c r="G1073" t="s">
        <v>179</v>
      </c>
      <c r="H1073">
        <v>0</v>
      </c>
      <c r="I1073">
        <v>0</v>
      </c>
      <c r="J1073" s="10">
        <v>45.5</v>
      </c>
      <c r="K1073" s="10">
        <f>SUMIFS(F:F,D:D,DST_123_ÜRETİM_İHTİYAÇ_RAPORU_BURAK_YENI1309[[#This Row],[ALT_KOD]])-(SUMIFS(H:H,D:D,DST_123_ÜRETİM_İHTİYAÇ_RAPORU_BURAK_YENI1309[[#This Row],[ALT_KOD]])+AVERAGEIFS(I:I,D:D,DST_123_ÜRETİM_İHTİYAÇ_RAPORU_BURAK_YENI1309[[#This Row],[ALT_KOD]])+AVERAGEIFS(L:L,D:D,DST_123_ÜRETİM_İHTİYAÇ_RAPORU_BURAK_YENI1309[[#This Row],[ALT_KOD]]))</f>
        <v>8.5</v>
      </c>
      <c r="L1073">
        <v>0</v>
      </c>
      <c r="M1073">
        <f>IF((DST_123_ÜRETİM_İHTİYAÇ_RAPORU_BURAK_YENI1309[[#This Row],[SATINALMA]]*DST_123_ÜRETİM_İHTİYAÇ_RAPORU_BURAK_YENI1309[[#This Row],[BIRIM_FIYATLAR]])&lt;1,VALUE("0"),DST_123_ÜRETİM_İHTİYAÇ_RAPORU_BURAK_YENI1309[[#This Row],[SATINALMA]]*DST_123_ÜRETİM_İHTİYAÇ_RAPORU_BURAK_YENI1309[[#This Row],[BIRIM_FIYATLAR]])</f>
        <v>1437.4350000000002</v>
      </c>
      <c r="N1073">
        <v>169.11</v>
      </c>
      <c r="O1073" t="s">
        <v>745</v>
      </c>
      <c r="P1073">
        <v>84.555000000000007</v>
      </c>
      <c r="Q1073" t="s">
        <v>184</v>
      </c>
    </row>
    <row r="1074" spans="1:17" x14ac:dyDescent="0.25">
      <c r="A1074" t="s">
        <v>1060</v>
      </c>
      <c r="B1074" t="s">
        <v>1061</v>
      </c>
      <c r="C1074" t="s">
        <v>175</v>
      </c>
      <c r="D1074" t="s">
        <v>353</v>
      </c>
      <c r="E1074" t="s">
        <v>354</v>
      </c>
      <c r="F1074">
        <v>8</v>
      </c>
      <c r="G1074" t="s">
        <v>176</v>
      </c>
      <c r="H1074">
        <v>0</v>
      </c>
      <c r="I1074">
        <v>391</v>
      </c>
      <c r="J1074" s="10">
        <v>150</v>
      </c>
      <c r="K1074" s="10">
        <f>SUMIFS(F:F,D:D,DST_123_ÜRETİM_İHTİYAÇ_RAPORU_BURAK_YENI1309[[#This Row],[ALT_KOD]])-(SUMIFS(H:H,D:D,DST_123_ÜRETİM_İHTİYAÇ_RAPORU_BURAK_YENI1309[[#This Row],[ALT_KOD]])+AVERAGEIFS(I:I,D:D,DST_123_ÜRETİM_İHTİYAÇ_RAPORU_BURAK_YENI1309[[#This Row],[ALT_KOD]])+AVERAGEIFS(L:L,D:D,DST_123_ÜRETİM_İHTİYAÇ_RAPORU_BURAK_YENI1309[[#This Row],[ALT_KOD]]))</f>
        <v>-33</v>
      </c>
      <c r="L1074">
        <v>0</v>
      </c>
      <c r="M1074">
        <f>IF((DST_123_ÜRETİM_İHTİYAÇ_RAPORU_BURAK_YENI1309[[#This Row],[SATINALMA]]*DST_123_ÜRETİM_İHTİYAÇ_RAPORU_BURAK_YENI1309[[#This Row],[BIRIM_FIYATLAR]])&lt;1,VALUE("0"),DST_123_ÜRETİM_İHTİYAÇ_RAPORU_BURAK_YENI1309[[#This Row],[SATINALMA]]*DST_123_ÜRETİM_İHTİYAÇ_RAPORU_BURAK_YENI1309[[#This Row],[BIRIM_FIYATLAR]])</f>
        <v>0</v>
      </c>
      <c r="N1074">
        <v>10.65</v>
      </c>
      <c r="O1074" t="s">
        <v>882</v>
      </c>
      <c r="P1074">
        <v>85.2</v>
      </c>
      <c r="Q1074" t="s">
        <v>180</v>
      </c>
    </row>
    <row r="1075" spans="1:17" x14ac:dyDescent="0.25">
      <c r="A1075" t="s">
        <v>1097</v>
      </c>
      <c r="B1075" t="s">
        <v>1055</v>
      </c>
      <c r="C1075" t="s">
        <v>175</v>
      </c>
      <c r="D1075" t="s">
        <v>353</v>
      </c>
      <c r="E1075" t="s">
        <v>354</v>
      </c>
      <c r="F1075">
        <v>15</v>
      </c>
      <c r="G1075" t="s">
        <v>176</v>
      </c>
      <c r="H1075">
        <v>0</v>
      </c>
      <c r="I1075">
        <v>391</v>
      </c>
      <c r="J1075" s="10">
        <v>150</v>
      </c>
      <c r="K1075" s="10">
        <f>SUMIFS(F:F,D:D,DST_123_ÜRETİM_İHTİYAÇ_RAPORU_BURAK_YENI1309[[#This Row],[ALT_KOD]])-(SUMIFS(H:H,D:D,DST_123_ÜRETİM_İHTİYAÇ_RAPORU_BURAK_YENI1309[[#This Row],[ALT_KOD]])+AVERAGEIFS(I:I,D:D,DST_123_ÜRETİM_İHTİYAÇ_RAPORU_BURAK_YENI1309[[#This Row],[ALT_KOD]])+AVERAGEIFS(L:L,D:D,DST_123_ÜRETİM_İHTİYAÇ_RAPORU_BURAK_YENI1309[[#This Row],[ALT_KOD]]))</f>
        <v>-33</v>
      </c>
      <c r="L1075">
        <v>0</v>
      </c>
      <c r="M1075">
        <f>IF((DST_123_ÜRETİM_İHTİYAÇ_RAPORU_BURAK_YENI1309[[#This Row],[SATINALMA]]*DST_123_ÜRETİM_İHTİYAÇ_RAPORU_BURAK_YENI1309[[#This Row],[BIRIM_FIYATLAR]])&lt;1,VALUE("0"),DST_123_ÜRETİM_İHTİYAÇ_RAPORU_BURAK_YENI1309[[#This Row],[SATINALMA]]*DST_123_ÜRETİM_İHTİYAÇ_RAPORU_BURAK_YENI1309[[#This Row],[BIRIM_FIYATLAR]])</f>
        <v>0</v>
      </c>
      <c r="N1075">
        <v>10.65</v>
      </c>
      <c r="O1075" t="s">
        <v>882</v>
      </c>
      <c r="P1075">
        <v>159.75</v>
      </c>
      <c r="Q1075" t="s">
        <v>180</v>
      </c>
    </row>
    <row r="1076" spans="1:17" x14ac:dyDescent="0.25">
      <c r="A1076" t="s">
        <v>1149</v>
      </c>
      <c r="B1076" t="s">
        <v>1145</v>
      </c>
      <c r="C1076" t="s">
        <v>175</v>
      </c>
      <c r="D1076" t="s">
        <v>71</v>
      </c>
      <c r="E1076" t="s">
        <v>249</v>
      </c>
      <c r="F1076">
        <v>8.6</v>
      </c>
      <c r="G1076" t="s">
        <v>176</v>
      </c>
      <c r="H1076">
        <v>0</v>
      </c>
      <c r="I1076">
        <v>96</v>
      </c>
      <c r="J1076" s="10">
        <v>195.44000000000014</v>
      </c>
      <c r="K1076" s="10">
        <f>SUMIFS(F:F,D:D,DST_123_ÜRETİM_İHTİYAÇ_RAPORU_BURAK_YENI1309[[#This Row],[ALT_KOD]])-(SUMIFS(H:H,D:D,DST_123_ÜRETİM_İHTİYAÇ_RAPORU_BURAK_YENI1309[[#This Row],[ALT_KOD]])+AVERAGEIFS(I:I,D:D,DST_123_ÜRETİM_İHTİYAÇ_RAPORU_BURAK_YENI1309[[#This Row],[ALT_KOD]])+AVERAGEIFS(L:L,D:D,DST_123_ÜRETİM_İHTİYAÇ_RAPORU_BURAK_YENI1309[[#This Row],[ALT_KOD]]))</f>
        <v>63.319999999999951</v>
      </c>
      <c r="L1076">
        <v>0</v>
      </c>
      <c r="M1076">
        <f>IF((DST_123_ÜRETİM_İHTİYAÇ_RAPORU_BURAK_YENI1309[[#This Row],[SATINALMA]]*DST_123_ÜRETİM_İHTİYAÇ_RAPORU_BURAK_YENI1309[[#This Row],[BIRIM_FIYATLAR]])&lt;1,VALUE("0"),DST_123_ÜRETİM_İHTİYAÇ_RAPORU_BURAK_YENI1309[[#This Row],[SATINALMA]]*DST_123_ÜRETİM_İHTİYAÇ_RAPORU_BURAK_YENI1309[[#This Row],[BIRIM_FIYATLAR]])</f>
        <v>8163.8475999999937</v>
      </c>
      <c r="N1076">
        <v>128.93</v>
      </c>
      <c r="O1076" t="s">
        <v>250</v>
      </c>
      <c r="P1076">
        <v>1108.798</v>
      </c>
      <c r="Q1076" t="s">
        <v>180</v>
      </c>
    </row>
    <row r="1077" spans="1:17" x14ac:dyDescent="0.25">
      <c r="A1077" t="s">
        <v>1144</v>
      </c>
      <c r="B1077" t="s">
        <v>1145</v>
      </c>
      <c r="C1077" t="s">
        <v>175</v>
      </c>
      <c r="D1077" t="s">
        <v>1030</v>
      </c>
      <c r="E1077" t="s">
        <v>1031</v>
      </c>
      <c r="F1077">
        <v>1</v>
      </c>
      <c r="G1077" t="s">
        <v>182</v>
      </c>
      <c r="H1077">
        <v>0</v>
      </c>
      <c r="I1077">
        <v>40</v>
      </c>
      <c r="J1077" s="10">
        <v>20</v>
      </c>
      <c r="K1077" s="10">
        <f>SUMIFS(F:F,D:D,DST_123_ÜRETİM_İHTİYAÇ_RAPORU_BURAK_YENI1309[[#This Row],[ALT_KOD]])-(SUMIFS(H:H,D:D,DST_123_ÜRETİM_İHTİYAÇ_RAPORU_BURAK_YENI1309[[#This Row],[ALT_KOD]])+AVERAGEIFS(I:I,D:D,DST_123_ÜRETİM_İHTİYAÇ_RAPORU_BURAK_YENI1309[[#This Row],[ALT_KOD]])+AVERAGEIFS(L:L,D:D,DST_123_ÜRETİM_İHTİYAÇ_RAPORU_BURAK_YENI1309[[#This Row],[ALT_KOD]]))</f>
        <v>-35.625</v>
      </c>
      <c r="L1077">
        <v>0</v>
      </c>
      <c r="M1077">
        <f>IF((DST_123_ÜRETİM_İHTİYAÇ_RAPORU_BURAK_YENI1309[[#This Row],[SATINALMA]]*DST_123_ÜRETİM_İHTİYAÇ_RAPORU_BURAK_YENI1309[[#This Row],[BIRIM_FIYATLAR]])&lt;1,VALUE("0"),DST_123_ÜRETİM_İHTİYAÇ_RAPORU_BURAK_YENI1309[[#This Row],[SATINALMA]]*DST_123_ÜRETİM_İHTİYAÇ_RAPORU_BURAK_YENI1309[[#This Row],[BIRIM_FIYATLAR]])</f>
        <v>0</v>
      </c>
      <c r="N1077">
        <v>54.17</v>
      </c>
      <c r="O1077" t="s">
        <v>453</v>
      </c>
      <c r="P1077">
        <v>54.17</v>
      </c>
      <c r="Q1077" t="s">
        <v>183</v>
      </c>
    </row>
    <row r="1078" spans="1:17" x14ac:dyDescent="0.25">
      <c r="A1078" t="s">
        <v>1148</v>
      </c>
      <c r="B1078" t="s">
        <v>1056</v>
      </c>
      <c r="C1078" t="s">
        <v>175</v>
      </c>
      <c r="D1078" t="s">
        <v>1030</v>
      </c>
      <c r="E1078" t="s">
        <v>1031</v>
      </c>
      <c r="F1078">
        <v>0.125</v>
      </c>
      <c r="G1078" t="s">
        <v>182</v>
      </c>
      <c r="H1078">
        <v>0</v>
      </c>
      <c r="I1078">
        <v>40</v>
      </c>
      <c r="J1078" s="10">
        <v>20</v>
      </c>
      <c r="K1078" s="10">
        <f>SUMIFS(F:F,D:D,DST_123_ÜRETİM_İHTİYAÇ_RAPORU_BURAK_YENI1309[[#This Row],[ALT_KOD]])-(SUMIFS(H:H,D:D,DST_123_ÜRETİM_İHTİYAÇ_RAPORU_BURAK_YENI1309[[#This Row],[ALT_KOD]])+AVERAGEIFS(I:I,D:D,DST_123_ÜRETİM_İHTİYAÇ_RAPORU_BURAK_YENI1309[[#This Row],[ALT_KOD]])+AVERAGEIFS(L:L,D:D,DST_123_ÜRETİM_İHTİYAÇ_RAPORU_BURAK_YENI1309[[#This Row],[ALT_KOD]]))</f>
        <v>-35.625</v>
      </c>
      <c r="L1078">
        <v>0</v>
      </c>
      <c r="M1078">
        <f>IF((DST_123_ÜRETİM_İHTİYAÇ_RAPORU_BURAK_YENI1309[[#This Row],[SATINALMA]]*DST_123_ÜRETİM_İHTİYAÇ_RAPORU_BURAK_YENI1309[[#This Row],[BIRIM_FIYATLAR]])&lt;1,VALUE("0"),DST_123_ÜRETİM_İHTİYAÇ_RAPORU_BURAK_YENI1309[[#This Row],[SATINALMA]]*DST_123_ÜRETİM_İHTİYAÇ_RAPORU_BURAK_YENI1309[[#This Row],[BIRIM_FIYATLAR]])</f>
        <v>0</v>
      </c>
      <c r="N1078">
        <v>54.17</v>
      </c>
      <c r="O1078" t="s">
        <v>453</v>
      </c>
      <c r="P1078">
        <v>6.7712500000000002</v>
      </c>
      <c r="Q1078" t="s">
        <v>183</v>
      </c>
    </row>
    <row r="1079" spans="1:17" x14ac:dyDescent="0.25">
      <c r="A1079" t="s">
        <v>1060</v>
      </c>
      <c r="B1079" t="s">
        <v>1061</v>
      </c>
      <c r="C1079" t="s">
        <v>175</v>
      </c>
      <c r="D1079" t="s">
        <v>389</v>
      </c>
      <c r="E1079" t="s">
        <v>390</v>
      </c>
      <c r="F1079">
        <v>4</v>
      </c>
      <c r="G1079" t="s">
        <v>176</v>
      </c>
      <c r="H1079">
        <v>0</v>
      </c>
      <c r="I1079">
        <v>100</v>
      </c>
      <c r="J1079" s="10">
        <v>352</v>
      </c>
      <c r="K1079" s="10">
        <f>SUMIFS(F:F,D:D,DST_123_ÜRETİM_İHTİYAÇ_RAPORU_BURAK_YENI1309[[#This Row],[ALT_KOD]])-(SUMIFS(H:H,D:D,DST_123_ÜRETİM_İHTİYAÇ_RAPORU_BURAK_YENI1309[[#This Row],[ALT_KOD]])+AVERAGEIFS(I:I,D:D,DST_123_ÜRETİM_İHTİYAÇ_RAPORU_BURAK_YENI1309[[#This Row],[ALT_KOD]])+AVERAGEIFS(L:L,D:D,DST_123_ÜRETİM_İHTİYAÇ_RAPORU_BURAK_YENI1309[[#This Row],[ALT_KOD]]))</f>
        <v>-28</v>
      </c>
      <c r="L1079">
        <v>0</v>
      </c>
      <c r="M1079">
        <f>IF((DST_123_ÜRETİM_İHTİYAÇ_RAPORU_BURAK_YENI1309[[#This Row],[SATINALMA]]*DST_123_ÜRETİM_İHTİYAÇ_RAPORU_BURAK_YENI1309[[#This Row],[BIRIM_FIYATLAR]])&lt;1,VALUE("0"),DST_123_ÜRETİM_İHTİYAÇ_RAPORU_BURAK_YENI1309[[#This Row],[SATINALMA]]*DST_123_ÜRETİM_İHTİYAÇ_RAPORU_BURAK_YENI1309[[#This Row],[BIRIM_FIYATLAR]])</f>
        <v>0</v>
      </c>
      <c r="N1079">
        <v>6.4</v>
      </c>
      <c r="O1079" t="s">
        <v>882</v>
      </c>
      <c r="P1079">
        <v>25.6</v>
      </c>
      <c r="Q1079" t="s">
        <v>178</v>
      </c>
    </row>
    <row r="1080" spans="1:17" x14ac:dyDescent="0.25">
      <c r="A1080" t="s">
        <v>1150</v>
      </c>
      <c r="B1080" t="s">
        <v>1145</v>
      </c>
      <c r="C1080" t="s">
        <v>175</v>
      </c>
      <c r="D1080" t="s">
        <v>389</v>
      </c>
      <c r="E1080" t="s">
        <v>390</v>
      </c>
      <c r="F1080">
        <v>8</v>
      </c>
      <c r="G1080" t="s">
        <v>176</v>
      </c>
      <c r="H1080">
        <v>0</v>
      </c>
      <c r="I1080">
        <v>100</v>
      </c>
      <c r="J1080" s="10">
        <v>352</v>
      </c>
      <c r="K1080" s="10">
        <f>SUMIFS(F:F,D:D,DST_123_ÜRETİM_İHTİYAÇ_RAPORU_BURAK_YENI1309[[#This Row],[ALT_KOD]])-(SUMIFS(H:H,D:D,DST_123_ÜRETİM_İHTİYAÇ_RAPORU_BURAK_YENI1309[[#This Row],[ALT_KOD]])+AVERAGEIFS(I:I,D:D,DST_123_ÜRETİM_İHTİYAÇ_RAPORU_BURAK_YENI1309[[#This Row],[ALT_KOD]])+AVERAGEIFS(L:L,D:D,DST_123_ÜRETİM_İHTİYAÇ_RAPORU_BURAK_YENI1309[[#This Row],[ALT_KOD]]))</f>
        <v>-28</v>
      </c>
      <c r="L1080">
        <v>0</v>
      </c>
      <c r="M1080">
        <f>IF((DST_123_ÜRETİM_İHTİYAÇ_RAPORU_BURAK_YENI1309[[#This Row],[SATINALMA]]*DST_123_ÜRETİM_İHTİYAÇ_RAPORU_BURAK_YENI1309[[#This Row],[BIRIM_FIYATLAR]])&lt;1,VALUE("0"),DST_123_ÜRETİM_İHTİYAÇ_RAPORU_BURAK_YENI1309[[#This Row],[SATINALMA]]*DST_123_ÜRETİM_İHTİYAÇ_RAPORU_BURAK_YENI1309[[#This Row],[BIRIM_FIYATLAR]])</f>
        <v>0</v>
      </c>
      <c r="N1080">
        <v>6.4</v>
      </c>
      <c r="O1080" t="s">
        <v>882</v>
      </c>
      <c r="P1080">
        <v>51.2</v>
      </c>
      <c r="Q1080" t="s">
        <v>178</v>
      </c>
    </row>
    <row r="1081" spans="1:17" x14ac:dyDescent="0.25">
      <c r="A1081" t="s">
        <v>1150</v>
      </c>
      <c r="B1081" t="s">
        <v>1145</v>
      </c>
      <c r="C1081" t="s">
        <v>175</v>
      </c>
      <c r="D1081" t="s">
        <v>462</v>
      </c>
      <c r="E1081" t="s">
        <v>463</v>
      </c>
      <c r="F1081">
        <v>0.54999999999999993</v>
      </c>
      <c r="G1081" t="s">
        <v>176</v>
      </c>
      <c r="H1081">
        <v>0</v>
      </c>
      <c r="I1081">
        <v>0</v>
      </c>
      <c r="J1081" s="10">
        <v>5.5999999999999988</v>
      </c>
      <c r="K1081" s="10">
        <f>SUMIFS(F:F,D:D,DST_123_ÜRETİM_İHTİYAÇ_RAPORU_BURAK_YENI1309[[#This Row],[ALT_KOD]])-(SUMIFS(H:H,D:D,DST_123_ÜRETİM_İHTİYAÇ_RAPORU_BURAK_YENI1309[[#This Row],[ALT_KOD]])+AVERAGEIFS(I:I,D:D,DST_123_ÜRETİM_İHTİYAÇ_RAPORU_BURAK_YENI1309[[#This Row],[ALT_KOD]])+AVERAGEIFS(L:L,D:D,DST_123_ÜRETİM_İHTİYAÇ_RAPORU_BURAK_YENI1309[[#This Row],[ALT_KOD]]))</f>
        <v>7.2</v>
      </c>
      <c r="L1081">
        <v>0</v>
      </c>
      <c r="M1081">
        <f>IF((DST_123_ÜRETİM_İHTİYAÇ_RAPORU_BURAK_YENI1309[[#This Row],[SATINALMA]]*DST_123_ÜRETİM_İHTİYAÇ_RAPORU_BURAK_YENI1309[[#This Row],[BIRIM_FIYATLAR]])&lt;1,VALUE("0"),DST_123_ÜRETİM_İHTİYAÇ_RAPORU_BURAK_YENI1309[[#This Row],[SATINALMA]]*DST_123_ÜRETİM_İHTİYAÇ_RAPORU_BURAK_YENI1309[[#This Row],[BIRIM_FIYATLAR]])</f>
        <v>1170.0719999999999</v>
      </c>
      <c r="N1081">
        <v>162.51</v>
      </c>
      <c r="O1081" t="s">
        <v>490</v>
      </c>
      <c r="P1081">
        <v>89.380499999999984</v>
      </c>
      <c r="Q1081" t="s">
        <v>183</v>
      </c>
    </row>
    <row r="1082" spans="1:17" x14ac:dyDescent="0.25">
      <c r="A1082" t="s">
        <v>1150</v>
      </c>
      <c r="B1082" t="s">
        <v>1145</v>
      </c>
      <c r="C1082" t="s">
        <v>175</v>
      </c>
      <c r="D1082" t="s">
        <v>70</v>
      </c>
      <c r="E1082" t="s">
        <v>287</v>
      </c>
      <c r="F1082">
        <v>6.8</v>
      </c>
      <c r="G1082" t="s">
        <v>185</v>
      </c>
      <c r="H1082">
        <v>0</v>
      </c>
      <c r="I1082">
        <v>0</v>
      </c>
      <c r="J1082" s="10">
        <v>233.6899999999996</v>
      </c>
      <c r="K1082" s="10">
        <f>SUMIFS(F:F,D:D,DST_123_ÜRETİM_İHTİYAÇ_RAPORU_BURAK_YENI1309[[#This Row],[ALT_KOD]])-(SUMIFS(H:H,D:D,DST_123_ÜRETİM_İHTİYAÇ_RAPORU_BURAK_YENI1309[[#This Row],[ALT_KOD]])+AVERAGEIFS(I:I,D:D,DST_123_ÜRETİM_İHTİYAÇ_RAPORU_BURAK_YENI1309[[#This Row],[ALT_KOD]])+AVERAGEIFS(L:L,D:D,DST_123_ÜRETİM_İHTİYAÇ_RAPORU_BURAK_YENI1309[[#This Row],[ALT_KOD]]))</f>
        <v>63.129999999999995</v>
      </c>
      <c r="L1082">
        <v>0</v>
      </c>
      <c r="M1082">
        <f>IF((DST_123_ÜRETİM_İHTİYAÇ_RAPORU_BURAK_YENI1309[[#This Row],[SATINALMA]]*DST_123_ÜRETİM_İHTİYAÇ_RAPORU_BURAK_YENI1309[[#This Row],[BIRIM_FIYATLAR]])&lt;1,VALUE("0"),DST_123_ÜRETİM_İHTİYAÇ_RAPORU_BURAK_YENI1309[[#This Row],[SATINALMA]]*DST_123_ÜRETİM_İHTİYAÇ_RAPORU_BURAK_YENI1309[[#This Row],[BIRIM_FIYATLAR]])</f>
        <v>6403.9071999999996</v>
      </c>
      <c r="N1082">
        <v>101.44</v>
      </c>
      <c r="O1082" t="s">
        <v>490</v>
      </c>
      <c r="P1082">
        <v>689.79199999999992</v>
      </c>
      <c r="Q1082" t="s">
        <v>183</v>
      </c>
    </row>
    <row r="1083" spans="1:17" x14ac:dyDescent="0.25">
      <c r="A1083" t="s">
        <v>1150</v>
      </c>
      <c r="B1083" t="s">
        <v>1145</v>
      </c>
      <c r="C1083" t="s">
        <v>175</v>
      </c>
      <c r="D1083" t="s">
        <v>71</v>
      </c>
      <c r="E1083" t="s">
        <v>249</v>
      </c>
      <c r="F1083">
        <v>8.1</v>
      </c>
      <c r="G1083" t="s">
        <v>176</v>
      </c>
      <c r="H1083">
        <v>0</v>
      </c>
      <c r="I1083">
        <v>96</v>
      </c>
      <c r="J1083" s="10">
        <v>195.44000000000014</v>
      </c>
      <c r="K1083" s="10">
        <f>SUMIFS(F:F,D:D,DST_123_ÜRETİM_İHTİYAÇ_RAPORU_BURAK_YENI1309[[#This Row],[ALT_KOD]])-(SUMIFS(H:H,D:D,DST_123_ÜRETİM_İHTİYAÇ_RAPORU_BURAK_YENI1309[[#This Row],[ALT_KOD]])+AVERAGEIFS(I:I,D:D,DST_123_ÜRETİM_İHTİYAÇ_RAPORU_BURAK_YENI1309[[#This Row],[ALT_KOD]])+AVERAGEIFS(L:L,D:D,DST_123_ÜRETİM_İHTİYAÇ_RAPORU_BURAK_YENI1309[[#This Row],[ALT_KOD]]))</f>
        <v>63.319999999999951</v>
      </c>
      <c r="L1083">
        <v>0</v>
      </c>
      <c r="M1083">
        <f>IF((DST_123_ÜRETİM_İHTİYAÇ_RAPORU_BURAK_YENI1309[[#This Row],[SATINALMA]]*DST_123_ÜRETİM_İHTİYAÇ_RAPORU_BURAK_YENI1309[[#This Row],[BIRIM_FIYATLAR]])&lt;1,VALUE("0"),DST_123_ÜRETİM_İHTİYAÇ_RAPORU_BURAK_YENI1309[[#This Row],[SATINALMA]]*DST_123_ÜRETİM_İHTİYAÇ_RAPORU_BURAK_YENI1309[[#This Row],[BIRIM_FIYATLAR]])</f>
        <v>8163.8475999999937</v>
      </c>
      <c r="N1083">
        <v>128.93</v>
      </c>
      <c r="O1083" t="s">
        <v>250</v>
      </c>
      <c r="P1083">
        <v>1044.3330000000001</v>
      </c>
      <c r="Q1083" t="s">
        <v>180</v>
      </c>
    </row>
    <row r="1084" spans="1:17" x14ac:dyDescent="0.25">
      <c r="A1084" t="s">
        <v>1148</v>
      </c>
      <c r="B1084" t="s">
        <v>1056</v>
      </c>
      <c r="C1084" t="s">
        <v>175</v>
      </c>
      <c r="D1084" t="s">
        <v>70</v>
      </c>
      <c r="E1084" t="s">
        <v>287</v>
      </c>
      <c r="F1084">
        <v>5.49</v>
      </c>
      <c r="G1084" t="s">
        <v>185</v>
      </c>
      <c r="H1084">
        <v>0</v>
      </c>
      <c r="I1084">
        <v>0</v>
      </c>
      <c r="J1084" s="10">
        <v>233.6899999999996</v>
      </c>
      <c r="K1084" s="10">
        <f>SUMIFS(F:F,D:D,DST_123_ÜRETİM_İHTİYAÇ_RAPORU_BURAK_YENI1309[[#This Row],[ALT_KOD]])-(SUMIFS(H:H,D:D,DST_123_ÜRETİM_İHTİYAÇ_RAPORU_BURAK_YENI1309[[#This Row],[ALT_KOD]])+AVERAGEIFS(I:I,D:D,DST_123_ÜRETİM_İHTİYAÇ_RAPORU_BURAK_YENI1309[[#This Row],[ALT_KOD]])+AVERAGEIFS(L:L,D:D,DST_123_ÜRETİM_İHTİYAÇ_RAPORU_BURAK_YENI1309[[#This Row],[ALT_KOD]]))</f>
        <v>63.129999999999995</v>
      </c>
      <c r="L1084">
        <v>0</v>
      </c>
      <c r="M1084">
        <f>IF((DST_123_ÜRETİM_İHTİYAÇ_RAPORU_BURAK_YENI1309[[#This Row],[SATINALMA]]*DST_123_ÜRETİM_İHTİYAÇ_RAPORU_BURAK_YENI1309[[#This Row],[BIRIM_FIYATLAR]])&lt;1,VALUE("0"),DST_123_ÜRETİM_İHTİYAÇ_RAPORU_BURAK_YENI1309[[#This Row],[SATINALMA]]*DST_123_ÜRETİM_İHTİYAÇ_RAPORU_BURAK_YENI1309[[#This Row],[BIRIM_FIYATLAR]])</f>
        <v>6403.9071999999996</v>
      </c>
      <c r="N1084">
        <v>101.44</v>
      </c>
      <c r="O1084" t="s">
        <v>490</v>
      </c>
      <c r="P1084">
        <v>556.90560000000005</v>
      </c>
      <c r="Q1084" t="s">
        <v>183</v>
      </c>
    </row>
    <row r="1085" spans="1:17" x14ac:dyDescent="0.25">
      <c r="A1085" t="s">
        <v>1060</v>
      </c>
      <c r="B1085" t="s">
        <v>1061</v>
      </c>
      <c r="C1085" t="s">
        <v>175</v>
      </c>
      <c r="D1085" t="s">
        <v>71</v>
      </c>
      <c r="E1085" t="s">
        <v>249</v>
      </c>
      <c r="F1085">
        <v>7.2999999999999989</v>
      </c>
      <c r="G1085" t="s">
        <v>176</v>
      </c>
      <c r="H1085">
        <v>7.2999999999999989</v>
      </c>
      <c r="I1085">
        <v>96</v>
      </c>
      <c r="J1085" s="10">
        <v>195.44000000000014</v>
      </c>
      <c r="K1085" s="10">
        <f>SUMIFS(F:F,D:D,DST_123_ÜRETİM_İHTİYAÇ_RAPORU_BURAK_YENI1309[[#This Row],[ALT_KOD]])-(SUMIFS(H:H,D:D,DST_123_ÜRETİM_İHTİYAÇ_RAPORU_BURAK_YENI1309[[#This Row],[ALT_KOD]])+AVERAGEIFS(I:I,D:D,DST_123_ÜRETİM_İHTİYAÇ_RAPORU_BURAK_YENI1309[[#This Row],[ALT_KOD]])+AVERAGEIFS(L:L,D:D,DST_123_ÜRETİM_İHTİYAÇ_RAPORU_BURAK_YENI1309[[#This Row],[ALT_KOD]]))</f>
        <v>63.319999999999951</v>
      </c>
      <c r="L1085">
        <v>0</v>
      </c>
      <c r="M1085">
        <f>IF((DST_123_ÜRETİM_İHTİYAÇ_RAPORU_BURAK_YENI1309[[#This Row],[SATINALMA]]*DST_123_ÜRETİM_İHTİYAÇ_RAPORU_BURAK_YENI1309[[#This Row],[BIRIM_FIYATLAR]])&lt;1,VALUE("0"),DST_123_ÜRETİM_İHTİYAÇ_RAPORU_BURAK_YENI1309[[#This Row],[SATINALMA]]*DST_123_ÜRETİM_İHTİYAÇ_RAPORU_BURAK_YENI1309[[#This Row],[BIRIM_FIYATLAR]])</f>
        <v>8163.8475999999937</v>
      </c>
      <c r="N1085">
        <v>128.93</v>
      </c>
      <c r="O1085" t="s">
        <v>250</v>
      </c>
      <c r="P1085">
        <v>941.18899999999996</v>
      </c>
      <c r="Q1085" t="s">
        <v>180</v>
      </c>
    </row>
    <row r="1086" spans="1:17" x14ac:dyDescent="0.25">
      <c r="A1086" t="s">
        <v>1057</v>
      </c>
      <c r="B1086" t="s">
        <v>1058</v>
      </c>
      <c r="C1086" t="s">
        <v>175</v>
      </c>
      <c r="D1086" t="s">
        <v>71</v>
      </c>
      <c r="E1086" t="s">
        <v>249</v>
      </c>
      <c r="F1086">
        <v>7.4999999999999991</v>
      </c>
      <c r="G1086" t="s">
        <v>176</v>
      </c>
      <c r="H1086">
        <v>0</v>
      </c>
      <c r="I1086">
        <v>96</v>
      </c>
      <c r="J1086" s="10">
        <v>195.44000000000014</v>
      </c>
      <c r="K1086" s="10">
        <f>SUMIFS(F:F,D:D,DST_123_ÜRETİM_İHTİYAÇ_RAPORU_BURAK_YENI1309[[#This Row],[ALT_KOD]])-(SUMIFS(H:H,D:D,DST_123_ÜRETİM_İHTİYAÇ_RAPORU_BURAK_YENI1309[[#This Row],[ALT_KOD]])+AVERAGEIFS(I:I,D:D,DST_123_ÜRETİM_İHTİYAÇ_RAPORU_BURAK_YENI1309[[#This Row],[ALT_KOD]])+AVERAGEIFS(L:L,D:D,DST_123_ÜRETİM_İHTİYAÇ_RAPORU_BURAK_YENI1309[[#This Row],[ALT_KOD]]))</f>
        <v>63.319999999999951</v>
      </c>
      <c r="L1086">
        <v>0</v>
      </c>
      <c r="M1086">
        <f>IF((DST_123_ÜRETİM_İHTİYAÇ_RAPORU_BURAK_YENI1309[[#This Row],[SATINALMA]]*DST_123_ÜRETİM_İHTİYAÇ_RAPORU_BURAK_YENI1309[[#This Row],[BIRIM_FIYATLAR]])&lt;1,VALUE("0"),DST_123_ÜRETİM_İHTİYAÇ_RAPORU_BURAK_YENI1309[[#This Row],[SATINALMA]]*DST_123_ÜRETİM_İHTİYAÇ_RAPORU_BURAK_YENI1309[[#This Row],[BIRIM_FIYATLAR]])</f>
        <v>8163.8475999999937</v>
      </c>
      <c r="N1086">
        <v>128.93</v>
      </c>
      <c r="O1086" t="s">
        <v>250</v>
      </c>
      <c r="P1086">
        <v>966.97499999999991</v>
      </c>
      <c r="Q1086" t="s">
        <v>180</v>
      </c>
    </row>
    <row r="1087" spans="1:17" x14ac:dyDescent="0.25">
      <c r="A1087" t="s">
        <v>1148</v>
      </c>
      <c r="B1087" t="s">
        <v>1056</v>
      </c>
      <c r="C1087" t="s">
        <v>175</v>
      </c>
      <c r="D1087" t="s">
        <v>71</v>
      </c>
      <c r="E1087" t="s">
        <v>249</v>
      </c>
      <c r="F1087">
        <v>11.099999999999998</v>
      </c>
      <c r="G1087" t="s">
        <v>176</v>
      </c>
      <c r="H1087">
        <v>0</v>
      </c>
      <c r="I1087">
        <v>96</v>
      </c>
      <c r="J1087" s="10">
        <v>195.44000000000014</v>
      </c>
      <c r="K1087" s="10">
        <f>SUMIFS(F:F,D:D,DST_123_ÜRETİM_İHTİYAÇ_RAPORU_BURAK_YENI1309[[#This Row],[ALT_KOD]])-(SUMIFS(H:H,D:D,DST_123_ÜRETİM_İHTİYAÇ_RAPORU_BURAK_YENI1309[[#This Row],[ALT_KOD]])+AVERAGEIFS(I:I,D:D,DST_123_ÜRETİM_İHTİYAÇ_RAPORU_BURAK_YENI1309[[#This Row],[ALT_KOD]])+AVERAGEIFS(L:L,D:D,DST_123_ÜRETİM_İHTİYAÇ_RAPORU_BURAK_YENI1309[[#This Row],[ALT_KOD]]))</f>
        <v>63.319999999999951</v>
      </c>
      <c r="L1087">
        <v>0</v>
      </c>
      <c r="M1087">
        <f>IF((DST_123_ÜRETİM_İHTİYAÇ_RAPORU_BURAK_YENI1309[[#This Row],[SATINALMA]]*DST_123_ÜRETİM_İHTİYAÇ_RAPORU_BURAK_YENI1309[[#This Row],[BIRIM_FIYATLAR]])&lt;1,VALUE("0"),DST_123_ÜRETİM_İHTİYAÇ_RAPORU_BURAK_YENI1309[[#This Row],[SATINALMA]]*DST_123_ÜRETİM_İHTİYAÇ_RAPORU_BURAK_YENI1309[[#This Row],[BIRIM_FIYATLAR]])</f>
        <v>8163.8475999999937</v>
      </c>
      <c r="N1087">
        <v>128.93</v>
      </c>
      <c r="O1087" t="s">
        <v>250</v>
      </c>
      <c r="P1087">
        <v>1431.1229999999998</v>
      </c>
      <c r="Q1087" t="s">
        <v>180</v>
      </c>
    </row>
    <row r="1088" spans="1:17" x14ac:dyDescent="0.25">
      <c r="A1088" t="s">
        <v>1100</v>
      </c>
      <c r="B1088" t="s">
        <v>1058</v>
      </c>
      <c r="C1088" t="s">
        <v>175</v>
      </c>
      <c r="D1088" t="s">
        <v>71</v>
      </c>
      <c r="E1088" t="s">
        <v>249</v>
      </c>
      <c r="F1088">
        <v>7.4999999999999991</v>
      </c>
      <c r="G1088" t="s">
        <v>176</v>
      </c>
      <c r="H1088">
        <v>0</v>
      </c>
      <c r="I1088">
        <v>96</v>
      </c>
      <c r="J1088" s="10">
        <v>195.44000000000014</v>
      </c>
      <c r="K1088" s="10">
        <f>SUMIFS(F:F,D:D,DST_123_ÜRETİM_İHTİYAÇ_RAPORU_BURAK_YENI1309[[#This Row],[ALT_KOD]])-(SUMIFS(H:H,D:D,DST_123_ÜRETİM_İHTİYAÇ_RAPORU_BURAK_YENI1309[[#This Row],[ALT_KOD]])+AVERAGEIFS(I:I,D:D,DST_123_ÜRETİM_İHTİYAÇ_RAPORU_BURAK_YENI1309[[#This Row],[ALT_KOD]])+AVERAGEIFS(L:L,D:D,DST_123_ÜRETİM_İHTİYAÇ_RAPORU_BURAK_YENI1309[[#This Row],[ALT_KOD]]))</f>
        <v>63.319999999999951</v>
      </c>
      <c r="L1088">
        <v>0</v>
      </c>
      <c r="M1088">
        <f>IF((DST_123_ÜRETİM_İHTİYAÇ_RAPORU_BURAK_YENI1309[[#This Row],[SATINALMA]]*DST_123_ÜRETİM_İHTİYAÇ_RAPORU_BURAK_YENI1309[[#This Row],[BIRIM_FIYATLAR]])&lt;1,VALUE("0"),DST_123_ÜRETİM_İHTİYAÇ_RAPORU_BURAK_YENI1309[[#This Row],[SATINALMA]]*DST_123_ÜRETİM_İHTİYAÇ_RAPORU_BURAK_YENI1309[[#This Row],[BIRIM_FIYATLAR]])</f>
        <v>8163.8475999999937</v>
      </c>
      <c r="N1088">
        <v>128.93</v>
      </c>
      <c r="O1088" t="s">
        <v>250</v>
      </c>
      <c r="P1088">
        <v>966.97499999999991</v>
      </c>
      <c r="Q1088" t="s">
        <v>180</v>
      </c>
    </row>
    <row r="1089" spans="1:17" x14ac:dyDescent="0.25">
      <c r="A1089" t="s">
        <v>1057</v>
      </c>
      <c r="B1089" t="s">
        <v>1058</v>
      </c>
      <c r="C1089" t="s">
        <v>175</v>
      </c>
      <c r="D1089" t="s">
        <v>389</v>
      </c>
      <c r="E1089" t="s">
        <v>390</v>
      </c>
      <c r="F1089">
        <v>8</v>
      </c>
      <c r="G1089" t="s">
        <v>176</v>
      </c>
      <c r="H1089">
        <v>0</v>
      </c>
      <c r="I1089">
        <v>100</v>
      </c>
      <c r="J1089" s="10">
        <v>352</v>
      </c>
      <c r="K1089" s="10">
        <f>SUMIFS(F:F,D:D,DST_123_ÜRETİM_İHTİYAÇ_RAPORU_BURAK_YENI1309[[#This Row],[ALT_KOD]])-(SUMIFS(H:H,D:D,DST_123_ÜRETİM_İHTİYAÇ_RAPORU_BURAK_YENI1309[[#This Row],[ALT_KOD]])+AVERAGEIFS(I:I,D:D,DST_123_ÜRETİM_İHTİYAÇ_RAPORU_BURAK_YENI1309[[#This Row],[ALT_KOD]])+AVERAGEIFS(L:L,D:D,DST_123_ÜRETİM_İHTİYAÇ_RAPORU_BURAK_YENI1309[[#This Row],[ALT_KOD]]))</f>
        <v>-28</v>
      </c>
      <c r="L1089">
        <v>0</v>
      </c>
      <c r="M1089">
        <f>IF((DST_123_ÜRETİM_İHTİYAÇ_RAPORU_BURAK_YENI1309[[#This Row],[SATINALMA]]*DST_123_ÜRETİM_İHTİYAÇ_RAPORU_BURAK_YENI1309[[#This Row],[BIRIM_FIYATLAR]])&lt;1,VALUE("0"),DST_123_ÜRETİM_İHTİYAÇ_RAPORU_BURAK_YENI1309[[#This Row],[SATINALMA]]*DST_123_ÜRETİM_İHTİYAÇ_RAPORU_BURAK_YENI1309[[#This Row],[BIRIM_FIYATLAR]])</f>
        <v>0</v>
      </c>
      <c r="N1089">
        <v>6.4</v>
      </c>
      <c r="O1089" t="s">
        <v>882</v>
      </c>
      <c r="P1089">
        <v>51.2</v>
      </c>
      <c r="Q1089" t="s">
        <v>178</v>
      </c>
    </row>
    <row r="1090" spans="1:17" x14ac:dyDescent="0.25">
      <c r="A1090" t="s">
        <v>1146</v>
      </c>
      <c r="B1090" t="s">
        <v>1145</v>
      </c>
      <c r="C1090" t="s">
        <v>175</v>
      </c>
      <c r="D1090" t="s">
        <v>536</v>
      </c>
      <c r="E1090" t="s">
        <v>537</v>
      </c>
      <c r="F1090">
        <v>45</v>
      </c>
      <c r="G1090" t="s">
        <v>176</v>
      </c>
      <c r="H1090">
        <v>0</v>
      </c>
      <c r="I1090">
        <v>2200</v>
      </c>
      <c r="J1090" s="10">
        <v>0</v>
      </c>
      <c r="K1090" s="10">
        <f>SUMIFS(F:F,D:D,DST_123_ÜRETİM_İHTİYAÇ_RAPORU_BURAK_YENI1309[[#This Row],[ALT_KOD]])-(SUMIFS(H:H,D:D,DST_123_ÜRETİM_İHTİYAÇ_RAPORU_BURAK_YENI1309[[#This Row],[ALT_KOD]])+AVERAGEIFS(I:I,D:D,DST_123_ÜRETİM_İHTİYAÇ_RAPORU_BURAK_YENI1309[[#This Row],[ALT_KOD]])+AVERAGEIFS(L:L,D:D,DST_123_ÜRETİM_İHTİYAÇ_RAPORU_BURAK_YENI1309[[#This Row],[ALT_KOD]]))</f>
        <v>-1626</v>
      </c>
      <c r="L1090">
        <v>0</v>
      </c>
      <c r="M1090">
        <f>IF((DST_123_ÜRETİM_İHTİYAÇ_RAPORU_BURAK_YENI1309[[#This Row],[SATINALMA]]*DST_123_ÜRETİM_İHTİYAÇ_RAPORU_BURAK_YENI1309[[#This Row],[BIRIM_FIYATLAR]])&lt;1,VALUE("0"),DST_123_ÜRETİM_İHTİYAÇ_RAPORU_BURAK_YENI1309[[#This Row],[SATINALMA]]*DST_123_ÜRETİM_İHTİYAÇ_RAPORU_BURAK_YENI1309[[#This Row],[BIRIM_FIYATLAR]])</f>
        <v>0</v>
      </c>
      <c r="N1090">
        <v>0.7</v>
      </c>
      <c r="O1090" t="s">
        <v>240</v>
      </c>
      <c r="P1090">
        <v>31.499999999999996</v>
      </c>
      <c r="Q1090" t="s">
        <v>180</v>
      </c>
    </row>
    <row r="1091" spans="1:17" x14ac:dyDescent="0.25">
      <c r="A1091" t="s">
        <v>1146</v>
      </c>
      <c r="B1091" t="s">
        <v>1145</v>
      </c>
      <c r="C1091" t="s">
        <v>175</v>
      </c>
      <c r="D1091" t="s">
        <v>807</v>
      </c>
      <c r="E1091" t="s">
        <v>808</v>
      </c>
      <c r="F1091">
        <v>1</v>
      </c>
      <c r="G1091" t="s">
        <v>176</v>
      </c>
      <c r="H1091">
        <v>0</v>
      </c>
      <c r="I1091">
        <v>11</v>
      </c>
      <c r="J1091" s="10">
        <v>1</v>
      </c>
      <c r="K1091" s="10">
        <f>SUMIFS(F:F,D:D,DST_123_ÜRETİM_İHTİYAÇ_RAPORU_BURAK_YENI1309[[#This Row],[ALT_KOD]])-(SUMIFS(H:H,D:D,DST_123_ÜRETİM_İHTİYAÇ_RAPORU_BURAK_YENI1309[[#This Row],[ALT_KOD]])+AVERAGEIFS(I:I,D:D,DST_123_ÜRETİM_İHTİYAÇ_RAPORU_BURAK_YENI1309[[#This Row],[ALT_KOD]])+AVERAGEIFS(L:L,D:D,DST_123_ÜRETİM_İHTİYAÇ_RAPORU_BURAK_YENI1309[[#This Row],[ALT_KOD]]))</f>
        <v>-4</v>
      </c>
      <c r="L1091">
        <v>0</v>
      </c>
      <c r="M1091">
        <f>IF((DST_123_ÜRETİM_İHTİYAÇ_RAPORU_BURAK_YENI1309[[#This Row],[SATINALMA]]*DST_123_ÜRETİM_İHTİYAÇ_RAPORU_BURAK_YENI1309[[#This Row],[BIRIM_FIYATLAR]])&lt;1,VALUE("0"),DST_123_ÜRETİM_İHTİYAÇ_RAPORU_BURAK_YENI1309[[#This Row],[SATINALMA]]*DST_123_ÜRETİM_İHTİYAÇ_RAPORU_BURAK_YENI1309[[#This Row],[BIRIM_FIYATLAR]])</f>
        <v>0</v>
      </c>
      <c r="N1091">
        <v>582.5</v>
      </c>
      <c r="O1091" t="s">
        <v>628</v>
      </c>
      <c r="P1091">
        <v>582.5</v>
      </c>
      <c r="Q1091" t="s">
        <v>177</v>
      </c>
    </row>
    <row r="1092" spans="1:17" x14ac:dyDescent="0.25">
      <c r="A1092" t="s">
        <v>1144</v>
      </c>
      <c r="B1092" t="s">
        <v>1145</v>
      </c>
      <c r="C1092" t="s">
        <v>175</v>
      </c>
      <c r="D1092" t="s">
        <v>807</v>
      </c>
      <c r="E1092" t="s">
        <v>808</v>
      </c>
      <c r="F1092">
        <v>1</v>
      </c>
      <c r="G1092" t="s">
        <v>176</v>
      </c>
      <c r="H1092">
        <v>0</v>
      </c>
      <c r="I1092">
        <v>11</v>
      </c>
      <c r="J1092" s="10">
        <v>1</v>
      </c>
      <c r="K1092" s="10">
        <f>SUMIFS(F:F,D:D,DST_123_ÜRETİM_İHTİYAÇ_RAPORU_BURAK_YENI1309[[#This Row],[ALT_KOD]])-(SUMIFS(H:H,D:D,DST_123_ÜRETİM_İHTİYAÇ_RAPORU_BURAK_YENI1309[[#This Row],[ALT_KOD]])+AVERAGEIFS(I:I,D:D,DST_123_ÜRETİM_İHTİYAÇ_RAPORU_BURAK_YENI1309[[#This Row],[ALT_KOD]])+AVERAGEIFS(L:L,D:D,DST_123_ÜRETİM_İHTİYAÇ_RAPORU_BURAK_YENI1309[[#This Row],[ALT_KOD]]))</f>
        <v>-4</v>
      </c>
      <c r="L1092">
        <v>0</v>
      </c>
      <c r="M1092">
        <f>IF((DST_123_ÜRETİM_İHTİYAÇ_RAPORU_BURAK_YENI1309[[#This Row],[SATINALMA]]*DST_123_ÜRETİM_İHTİYAÇ_RAPORU_BURAK_YENI1309[[#This Row],[BIRIM_FIYATLAR]])&lt;1,VALUE("0"),DST_123_ÜRETİM_İHTİYAÇ_RAPORU_BURAK_YENI1309[[#This Row],[SATINALMA]]*DST_123_ÜRETİM_İHTİYAÇ_RAPORU_BURAK_YENI1309[[#This Row],[BIRIM_FIYATLAR]])</f>
        <v>0</v>
      </c>
      <c r="N1092">
        <v>582.5</v>
      </c>
      <c r="O1092" t="s">
        <v>628</v>
      </c>
      <c r="P1092">
        <v>582.5</v>
      </c>
      <c r="Q1092" t="s">
        <v>177</v>
      </c>
    </row>
    <row r="1093" spans="1:17" x14ac:dyDescent="0.25">
      <c r="A1093" t="s">
        <v>1149</v>
      </c>
      <c r="B1093" t="s">
        <v>1145</v>
      </c>
      <c r="C1093" t="s">
        <v>175</v>
      </c>
      <c r="D1093" t="s">
        <v>668</v>
      </c>
      <c r="E1093" t="s">
        <v>669</v>
      </c>
      <c r="F1093">
        <v>1</v>
      </c>
      <c r="G1093" t="s">
        <v>176</v>
      </c>
      <c r="H1093">
        <v>0</v>
      </c>
      <c r="I1093">
        <v>13</v>
      </c>
      <c r="J1093" s="10">
        <v>4</v>
      </c>
      <c r="K1093" s="10">
        <f>SUMIFS(F:F,D:D,DST_123_ÜRETİM_İHTİYAÇ_RAPORU_BURAK_YENI1309[[#This Row],[ALT_KOD]])-(SUMIFS(H:H,D:D,DST_123_ÜRETİM_İHTİYAÇ_RAPORU_BURAK_YENI1309[[#This Row],[ALT_KOD]])+AVERAGEIFS(I:I,D:D,DST_123_ÜRETİM_İHTİYAÇ_RAPORU_BURAK_YENI1309[[#This Row],[ALT_KOD]])+AVERAGEIFS(L:L,D:D,DST_123_ÜRETİM_İHTİYAÇ_RAPORU_BURAK_YENI1309[[#This Row],[ALT_KOD]]))</f>
        <v>-6</v>
      </c>
      <c r="L1093">
        <v>0</v>
      </c>
      <c r="M1093">
        <f>IF((DST_123_ÜRETİM_İHTİYAÇ_RAPORU_BURAK_YENI1309[[#This Row],[SATINALMA]]*DST_123_ÜRETİM_İHTİYAÇ_RAPORU_BURAK_YENI1309[[#This Row],[BIRIM_FIYATLAR]])&lt;1,VALUE("0"),DST_123_ÜRETİM_İHTİYAÇ_RAPORU_BURAK_YENI1309[[#This Row],[SATINALMA]]*DST_123_ÜRETİM_İHTİYAÇ_RAPORU_BURAK_YENI1309[[#This Row],[BIRIM_FIYATLAR]])</f>
        <v>0</v>
      </c>
      <c r="N1093">
        <v>1250</v>
      </c>
      <c r="O1093" t="s">
        <v>337</v>
      </c>
      <c r="P1093">
        <v>1250</v>
      </c>
      <c r="Q1093" t="s">
        <v>177</v>
      </c>
    </row>
    <row r="1094" spans="1:17" x14ac:dyDescent="0.25">
      <c r="A1094" t="s">
        <v>1146</v>
      </c>
      <c r="B1094" t="s">
        <v>1145</v>
      </c>
      <c r="C1094" t="s">
        <v>175</v>
      </c>
      <c r="D1094" t="s">
        <v>70</v>
      </c>
      <c r="E1094" t="s">
        <v>287</v>
      </c>
      <c r="F1094">
        <v>6.5</v>
      </c>
      <c r="G1094" t="s">
        <v>185</v>
      </c>
      <c r="H1094">
        <v>6.5</v>
      </c>
      <c r="I1094">
        <v>0</v>
      </c>
      <c r="J1094" s="10">
        <v>233.6899999999996</v>
      </c>
      <c r="K1094" s="10">
        <f>SUMIFS(F:F,D:D,DST_123_ÜRETİM_İHTİYAÇ_RAPORU_BURAK_YENI1309[[#This Row],[ALT_KOD]])-(SUMIFS(H:H,D:D,DST_123_ÜRETİM_İHTİYAÇ_RAPORU_BURAK_YENI1309[[#This Row],[ALT_KOD]])+AVERAGEIFS(I:I,D:D,DST_123_ÜRETİM_İHTİYAÇ_RAPORU_BURAK_YENI1309[[#This Row],[ALT_KOD]])+AVERAGEIFS(L:L,D:D,DST_123_ÜRETİM_İHTİYAÇ_RAPORU_BURAK_YENI1309[[#This Row],[ALT_KOD]]))</f>
        <v>63.129999999999995</v>
      </c>
      <c r="L1094">
        <v>0</v>
      </c>
      <c r="M1094">
        <f>IF((DST_123_ÜRETİM_İHTİYAÇ_RAPORU_BURAK_YENI1309[[#This Row],[SATINALMA]]*DST_123_ÜRETİM_İHTİYAÇ_RAPORU_BURAK_YENI1309[[#This Row],[BIRIM_FIYATLAR]])&lt;1,VALUE("0"),DST_123_ÜRETİM_İHTİYAÇ_RAPORU_BURAK_YENI1309[[#This Row],[SATINALMA]]*DST_123_ÜRETİM_İHTİYAÇ_RAPORU_BURAK_YENI1309[[#This Row],[BIRIM_FIYATLAR]])</f>
        <v>6403.9071999999996</v>
      </c>
      <c r="N1094">
        <v>101.44</v>
      </c>
      <c r="O1094" t="s">
        <v>490</v>
      </c>
      <c r="P1094">
        <v>659.36</v>
      </c>
      <c r="Q1094" t="s">
        <v>183</v>
      </c>
    </row>
    <row r="1095" spans="1:17" x14ac:dyDescent="0.25">
      <c r="A1095" t="s">
        <v>1144</v>
      </c>
      <c r="B1095" t="s">
        <v>1145</v>
      </c>
      <c r="C1095" t="s">
        <v>175</v>
      </c>
      <c r="D1095" t="s">
        <v>70</v>
      </c>
      <c r="E1095" t="s">
        <v>287</v>
      </c>
      <c r="F1095">
        <v>6.8</v>
      </c>
      <c r="G1095" t="s">
        <v>185</v>
      </c>
      <c r="H1095">
        <v>0</v>
      </c>
      <c r="I1095">
        <v>0</v>
      </c>
      <c r="J1095" s="10">
        <v>233.6899999999996</v>
      </c>
      <c r="K1095" s="10">
        <f>SUMIFS(F:F,D:D,DST_123_ÜRETİM_İHTİYAÇ_RAPORU_BURAK_YENI1309[[#This Row],[ALT_KOD]])-(SUMIFS(H:H,D:D,DST_123_ÜRETİM_İHTİYAÇ_RAPORU_BURAK_YENI1309[[#This Row],[ALT_KOD]])+AVERAGEIFS(I:I,D:D,DST_123_ÜRETİM_İHTİYAÇ_RAPORU_BURAK_YENI1309[[#This Row],[ALT_KOD]])+AVERAGEIFS(L:L,D:D,DST_123_ÜRETİM_İHTİYAÇ_RAPORU_BURAK_YENI1309[[#This Row],[ALT_KOD]]))</f>
        <v>63.129999999999995</v>
      </c>
      <c r="L1095">
        <v>0</v>
      </c>
      <c r="M1095">
        <f>IF((DST_123_ÜRETİM_İHTİYAÇ_RAPORU_BURAK_YENI1309[[#This Row],[SATINALMA]]*DST_123_ÜRETİM_İHTİYAÇ_RAPORU_BURAK_YENI1309[[#This Row],[BIRIM_FIYATLAR]])&lt;1,VALUE("0"),DST_123_ÜRETİM_İHTİYAÇ_RAPORU_BURAK_YENI1309[[#This Row],[SATINALMA]]*DST_123_ÜRETİM_İHTİYAÇ_RAPORU_BURAK_YENI1309[[#This Row],[BIRIM_FIYATLAR]])</f>
        <v>6403.9071999999996</v>
      </c>
      <c r="N1095">
        <v>101.44</v>
      </c>
      <c r="O1095" t="s">
        <v>490</v>
      </c>
      <c r="P1095">
        <v>689.79199999999992</v>
      </c>
      <c r="Q1095" t="s">
        <v>183</v>
      </c>
    </row>
    <row r="1096" spans="1:17" x14ac:dyDescent="0.25">
      <c r="A1096" t="s">
        <v>1144</v>
      </c>
      <c r="B1096" t="s">
        <v>1145</v>
      </c>
      <c r="C1096" t="s">
        <v>175</v>
      </c>
      <c r="D1096" t="s">
        <v>71</v>
      </c>
      <c r="E1096" t="s">
        <v>249</v>
      </c>
      <c r="F1096">
        <v>8.1</v>
      </c>
      <c r="G1096" t="s">
        <v>176</v>
      </c>
      <c r="H1096">
        <v>0</v>
      </c>
      <c r="I1096">
        <v>96</v>
      </c>
      <c r="J1096" s="10">
        <v>195.44000000000014</v>
      </c>
      <c r="K1096" s="10">
        <f>SUMIFS(F:F,D:D,DST_123_ÜRETİM_İHTİYAÇ_RAPORU_BURAK_YENI1309[[#This Row],[ALT_KOD]])-(SUMIFS(H:H,D:D,DST_123_ÜRETİM_İHTİYAÇ_RAPORU_BURAK_YENI1309[[#This Row],[ALT_KOD]])+AVERAGEIFS(I:I,D:D,DST_123_ÜRETİM_İHTİYAÇ_RAPORU_BURAK_YENI1309[[#This Row],[ALT_KOD]])+AVERAGEIFS(L:L,D:D,DST_123_ÜRETİM_İHTİYAÇ_RAPORU_BURAK_YENI1309[[#This Row],[ALT_KOD]]))</f>
        <v>63.319999999999951</v>
      </c>
      <c r="L1096">
        <v>0</v>
      </c>
      <c r="M1096">
        <f>IF((DST_123_ÜRETİM_İHTİYAÇ_RAPORU_BURAK_YENI1309[[#This Row],[SATINALMA]]*DST_123_ÜRETİM_İHTİYAÇ_RAPORU_BURAK_YENI1309[[#This Row],[BIRIM_FIYATLAR]])&lt;1,VALUE("0"),DST_123_ÜRETİM_İHTİYAÇ_RAPORU_BURAK_YENI1309[[#This Row],[SATINALMA]]*DST_123_ÜRETİM_İHTİYAÇ_RAPORU_BURAK_YENI1309[[#This Row],[BIRIM_FIYATLAR]])</f>
        <v>8163.8475999999937</v>
      </c>
      <c r="N1096">
        <v>128.93</v>
      </c>
      <c r="O1096" t="s">
        <v>250</v>
      </c>
      <c r="P1096">
        <v>1044.3330000000001</v>
      </c>
      <c r="Q1096" t="s">
        <v>180</v>
      </c>
    </row>
    <row r="1097" spans="1:17" x14ac:dyDescent="0.25">
      <c r="A1097" t="s">
        <v>1146</v>
      </c>
      <c r="B1097" t="s">
        <v>1145</v>
      </c>
      <c r="C1097" t="s">
        <v>175</v>
      </c>
      <c r="D1097" t="s">
        <v>71</v>
      </c>
      <c r="E1097" t="s">
        <v>249</v>
      </c>
      <c r="F1097">
        <v>7.7999999999999989</v>
      </c>
      <c r="G1097" t="s">
        <v>176</v>
      </c>
      <c r="H1097">
        <v>0</v>
      </c>
      <c r="I1097">
        <v>96</v>
      </c>
      <c r="J1097" s="10">
        <v>195.44000000000014</v>
      </c>
      <c r="K1097" s="10">
        <f>SUMIFS(F:F,D:D,DST_123_ÜRETİM_İHTİYAÇ_RAPORU_BURAK_YENI1309[[#This Row],[ALT_KOD]])-(SUMIFS(H:H,D:D,DST_123_ÜRETİM_İHTİYAÇ_RAPORU_BURAK_YENI1309[[#This Row],[ALT_KOD]])+AVERAGEIFS(I:I,D:D,DST_123_ÜRETİM_İHTİYAÇ_RAPORU_BURAK_YENI1309[[#This Row],[ALT_KOD]])+AVERAGEIFS(L:L,D:D,DST_123_ÜRETİM_İHTİYAÇ_RAPORU_BURAK_YENI1309[[#This Row],[ALT_KOD]]))</f>
        <v>63.319999999999951</v>
      </c>
      <c r="L1097">
        <v>0</v>
      </c>
      <c r="M1097">
        <f>IF((DST_123_ÜRETİM_İHTİYAÇ_RAPORU_BURAK_YENI1309[[#This Row],[SATINALMA]]*DST_123_ÜRETİM_İHTİYAÇ_RAPORU_BURAK_YENI1309[[#This Row],[BIRIM_FIYATLAR]])&lt;1,VALUE("0"),DST_123_ÜRETİM_İHTİYAÇ_RAPORU_BURAK_YENI1309[[#This Row],[SATINALMA]]*DST_123_ÜRETİM_İHTİYAÇ_RAPORU_BURAK_YENI1309[[#This Row],[BIRIM_FIYATLAR]])</f>
        <v>8163.8475999999937</v>
      </c>
      <c r="N1097">
        <v>128.93</v>
      </c>
      <c r="O1097" t="s">
        <v>250</v>
      </c>
      <c r="P1097">
        <v>1005.6539999999999</v>
      </c>
      <c r="Q1097" t="s">
        <v>180</v>
      </c>
    </row>
    <row r="1098" spans="1:17" x14ac:dyDescent="0.25">
      <c r="A1098" t="s">
        <v>1059</v>
      </c>
      <c r="B1098" t="s">
        <v>1058</v>
      </c>
      <c r="C1098" t="s">
        <v>175</v>
      </c>
      <c r="D1098" t="s">
        <v>536</v>
      </c>
      <c r="E1098" t="s">
        <v>537</v>
      </c>
      <c r="F1098">
        <v>40</v>
      </c>
      <c r="G1098" t="s">
        <v>176</v>
      </c>
      <c r="H1098">
        <v>0</v>
      </c>
      <c r="I1098">
        <v>2200</v>
      </c>
      <c r="J1098" s="10">
        <v>0</v>
      </c>
      <c r="K1098" s="10">
        <f>SUMIFS(F:F,D:D,DST_123_ÜRETİM_İHTİYAÇ_RAPORU_BURAK_YENI1309[[#This Row],[ALT_KOD]])-(SUMIFS(H:H,D:D,DST_123_ÜRETİM_İHTİYAÇ_RAPORU_BURAK_YENI1309[[#This Row],[ALT_KOD]])+AVERAGEIFS(I:I,D:D,DST_123_ÜRETİM_İHTİYAÇ_RAPORU_BURAK_YENI1309[[#This Row],[ALT_KOD]])+AVERAGEIFS(L:L,D:D,DST_123_ÜRETİM_İHTİYAÇ_RAPORU_BURAK_YENI1309[[#This Row],[ALT_KOD]]))</f>
        <v>-1626</v>
      </c>
      <c r="L1098">
        <v>0</v>
      </c>
      <c r="M1098">
        <f>IF((DST_123_ÜRETİM_İHTİYAÇ_RAPORU_BURAK_YENI1309[[#This Row],[SATINALMA]]*DST_123_ÜRETİM_İHTİYAÇ_RAPORU_BURAK_YENI1309[[#This Row],[BIRIM_FIYATLAR]])&lt;1,VALUE("0"),DST_123_ÜRETİM_İHTİYAÇ_RAPORU_BURAK_YENI1309[[#This Row],[SATINALMA]]*DST_123_ÜRETİM_İHTİYAÇ_RAPORU_BURAK_YENI1309[[#This Row],[BIRIM_FIYATLAR]])</f>
        <v>0</v>
      </c>
      <c r="N1098">
        <v>0.7</v>
      </c>
      <c r="O1098" t="s">
        <v>240</v>
      </c>
      <c r="P1098">
        <v>28</v>
      </c>
      <c r="Q1098" t="s">
        <v>180</v>
      </c>
    </row>
    <row r="1099" spans="1:17" x14ac:dyDescent="0.25">
      <c r="A1099" t="s">
        <v>1144</v>
      </c>
      <c r="B1099" t="s">
        <v>1145</v>
      </c>
      <c r="C1099" t="s">
        <v>175</v>
      </c>
      <c r="D1099" t="s">
        <v>389</v>
      </c>
      <c r="E1099" t="s">
        <v>390</v>
      </c>
      <c r="F1099">
        <v>8</v>
      </c>
      <c r="G1099" t="s">
        <v>176</v>
      </c>
      <c r="H1099">
        <v>0</v>
      </c>
      <c r="I1099">
        <v>100</v>
      </c>
      <c r="J1099" s="10">
        <v>352</v>
      </c>
      <c r="K1099" s="10">
        <f>SUMIFS(F:F,D:D,DST_123_ÜRETİM_İHTİYAÇ_RAPORU_BURAK_YENI1309[[#This Row],[ALT_KOD]])-(SUMIFS(H:H,D:D,DST_123_ÜRETİM_İHTİYAÇ_RAPORU_BURAK_YENI1309[[#This Row],[ALT_KOD]])+AVERAGEIFS(I:I,D:D,DST_123_ÜRETİM_İHTİYAÇ_RAPORU_BURAK_YENI1309[[#This Row],[ALT_KOD]])+AVERAGEIFS(L:L,D:D,DST_123_ÜRETİM_İHTİYAÇ_RAPORU_BURAK_YENI1309[[#This Row],[ALT_KOD]]))</f>
        <v>-28</v>
      </c>
      <c r="L1099">
        <v>0</v>
      </c>
      <c r="M1099">
        <f>IF((DST_123_ÜRETİM_İHTİYAÇ_RAPORU_BURAK_YENI1309[[#This Row],[SATINALMA]]*DST_123_ÜRETİM_İHTİYAÇ_RAPORU_BURAK_YENI1309[[#This Row],[BIRIM_FIYATLAR]])&lt;1,VALUE("0"),DST_123_ÜRETİM_İHTİYAÇ_RAPORU_BURAK_YENI1309[[#This Row],[SATINALMA]]*DST_123_ÜRETİM_İHTİYAÇ_RAPORU_BURAK_YENI1309[[#This Row],[BIRIM_FIYATLAR]])</f>
        <v>0</v>
      </c>
      <c r="N1099">
        <v>6.4</v>
      </c>
      <c r="O1099" t="s">
        <v>882</v>
      </c>
      <c r="P1099">
        <v>51.2</v>
      </c>
      <c r="Q1099" t="s">
        <v>178</v>
      </c>
    </row>
    <row r="1100" spans="1:17" x14ac:dyDescent="0.25">
      <c r="A1100" t="s">
        <v>1144</v>
      </c>
      <c r="B1100" t="s">
        <v>1145</v>
      </c>
      <c r="C1100" t="s">
        <v>175</v>
      </c>
      <c r="D1100" t="s">
        <v>462</v>
      </c>
      <c r="E1100" t="s">
        <v>463</v>
      </c>
      <c r="F1100">
        <v>0.55000000000000004</v>
      </c>
      <c r="G1100" t="s">
        <v>176</v>
      </c>
      <c r="H1100">
        <v>0</v>
      </c>
      <c r="I1100">
        <v>0</v>
      </c>
      <c r="J1100" s="10">
        <v>5.5999999999999988</v>
      </c>
      <c r="K1100" s="10">
        <f>SUMIFS(F:F,D:D,DST_123_ÜRETİM_İHTİYAÇ_RAPORU_BURAK_YENI1309[[#This Row],[ALT_KOD]])-(SUMIFS(H:H,D:D,DST_123_ÜRETİM_İHTİYAÇ_RAPORU_BURAK_YENI1309[[#This Row],[ALT_KOD]])+AVERAGEIFS(I:I,D:D,DST_123_ÜRETİM_İHTİYAÇ_RAPORU_BURAK_YENI1309[[#This Row],[ALT_KOD]])+AVERAGEIFS(L:L,D:D,DST_123_ÜRETİM_İHTİYAÇ_RAPORU_BURAK_YENI1309[[#This Row],[ALT_KOD]]))</f>
        <v>7.2</v>
      </c>
      <c r="L1100">
        <v>0</v>
      </c>
      <c r="M1100">
        <f>IF((DST_123_ÜRETİM_İHTİYAÇ_RAPORU_BURAK_YENI1309[[#This Row],[SATINALMA]]*DST_123_ÜRETİM_İHTİYAÇ_RAPORU_BURAK_YENI1309[[#This Row],[BIRIM_FIYATLAR]])&lt;1,VALUE("0"),DST_123_ÜRETİM_İHTİYAÇ_RAPORU_BURAK_YENI1309[[#This Row],[SATINALMA]]*DST_123_ÜRETİM_İHTİYAÇ_RAPORU_BURAK_YENI1309[[#This Row],[BIRIM_FIYATLAR]])</f>
        <v>1170.0719999999999</v>
      </c>
      <c r="N1100">
        <v>162.51</v>
      </c>
      <c r="O1100" t="s">
        <v>490</v>
      </c>
      <c r="P1100">
        <v>89.380499999999998</v>
      </c>
      <c r="Q1100" t="s">
        <v>183</v>
      </c>
    </row>
    <row r="1101" spans="1:17" x14ac:dyDescent="0.25">
      <c r="A1101" t="s">
        <v>1146</v>
      </c>
      <c r="B1101" t="s">
        <v>1145</v>
      </c>
      <c r="C1101" t="s">
        <v>175</v>
      </c>
      <c r="D1101" t="s">
        <v>147</v>
      </c>
      <c r="E1101" t="s">
        <v>148</v>
      </c>
      <c r="F1101">
        <v>1</v>
      </c>
      <c r="G1101" t="s">
        <v>176</v>
      </c>
      <c r="H1101">
        <v>0</v>
      </c>
      <c r="I1101">
        <v>3</v>
      </c>
      <c r="J1101" s="10">
        <v>11</v>
      </c>
      <c r="K1101" s="10">
        <f>SUMIFS(F:F,D:D,DST_123_ÜRETİM_İHTİYAÇ_RAPORU_BURAK_YENI1309[[#This Row],[ALT_KOD]])-(SUMIFS(H:H,D:D,DST_123_ÜRETİM_İHTİYAÇ_RAPORU_BURAK_YENI1309[[#This Row],[ALT_KOD]])+AVERAGEIFS(I:I,D:D,DST_123_ÜRETİM_İHTİYAÇ_RAPORU_BURAK_YENI1309[[#This Row],[ALT_KOD]])+AVERAGEIFS(L:L,D:D,DST_123_ÜRETİM_İHTİYAÇ_RAPORU_BURAK_YENI1309[[#This Row],[ALT_KOD]]))</f>
        <v>7</v>
      </c>
      <c r="L1101">
        <v>0</v>
      </c>
      <c r="M1101">
        <f>IF((DST_123_ÜRETİM_İHTİYAÇ_RAPORU_BURAK_YENI1309[[#This Row],[SATINALMA]]*DST_123_ÜRETİM_İHTİYAÇ_RAPORU_BURAK_YENI1309[[#This Row],[BIRIM_FIYATLAR]])&lt;1,VALUE("0"),DST_123_ÜRETİM_İHTİYAÇ_RAPORU_BURAK_YENI1309[[#This Row],[SATINALMA]]*DST_123_ÜRETİM_İHTİYAÇ_RAPORU_BURAK_YENI1309[[#This Row],[BIRIM_FIYATLAR]])</f>
        <v>22092.98</v>
      </c>
      <c r="N1101">
        <v>3156.14</v>
      </c>
      <c r="O1101" t="s">
        <v>227</v>
      </c>
      <c r="P1101">
        <v>3156.14</v>
      </c>
      <c r="Q1101" t="s">
        <v>221</v>
      </c>
    </row>
    <row r="1102" spans="1:17" x14ac:dyDescent="0.25">
      <c r="A1102" t="s">
        <v>1142</v>
      </c>
      <c r="B1102" t="s">
        <v>1056</v>
      </c>
      <c r="C1102" t="s">
        <v>175</v>
      </c>
      <c r="D1102" t="s">
        <v>536</v>
      </c>
      <c r="E1102" t="s">
        <v>537</v>
      </c>
      <c r="F1102">
        <v>45</v>
      </c>
      <c r="G1102" t="s">
        <v>176</v>
      </c>
      <c r="H1102">
        <v>0</v>
      </c>
      <c r="I1102">
        <v>2200</v>
      </c>
      <c r="J1102" s="10">
        <v>0</v>
      </c>
      <c r="K1102" s="10">
        <f>SUMIFS(F:F,D:D,DST_123_ÜRETİM_İHTİYAÇ_RAPORU_BURAK_YENI1309[[#This Row],[ALT_KOD]])-(SUMIFS(H:H,D:D,DST_123_ÜRETİM_İHTİYAÇ_RAPORU_BURAK_YENI1309[[#This Row],[ALT_KOD]])+AVERAGEIFS(I:I,D:D,DST_123_ÜRETİM_İHTİYAÇ_RAPORU_BURAK_YENI1309[[#This Row],[ALT_KOD]])+AVERAGEIFS(L:L,D:D,DST_123_ÜRETİM_İHTİYAÇ_RAPORU_BURAK_YENI1309[[#This Row],[ALT_KOD]]))</f>
        <v>-1626</v>
      </c>
      <c r="L1102">
        <v>0</v>
      </c>
      <c r="M1102">
        <f>IF((DST_123_ÜRETİM_İHTİYAÇ_RAPORU_BURAK_YENI1309[[#This Row],[SATINALMA]]*DST_123_ÜRETİM_İHTİYAÇ_RAPORU_BURAK_YENI1309[[#This Row],[BIRIM_FIYATLAR]])&lt;1,VALUE("0"),DST_123_ÜRETİM_İHTİYAÇ_RAPORU_BURAK_YENI1309[[#This Row],[SATINALMA]]*DST_123_ÜRETİM_İHTİYAÇ_RAPORU_BURAK_YENI1309[[#This Row],[BIRIM_FIYATLAR]])</f>
        <v>0</v>
      </c>
      <c r="N1102">
        <v>0.7</v>
      </c>
      <c r="O1102" t="s">
        <v>240</v>
      </c>
      <c r="P1102">
        <v>31.499999999999996</v>
      </c>
      <c r="Q1102" t="s">
        <v>180</v>
      </c>
    </row>
    <row r="1103" spans="1:17" x14ac:dyDescent="0.25">
      <c r="A1103" t="s">
        <v>1097</v>
      </c>
      <c r="B1103" t="s">
        <v>1055</v>
      </c>
      <c r="C1103" t="s">
        <v>175</v>
      </c>
      <c r="D1103" t="s">
        <v>536</v>
      </c>
      <c r="E1103" t="s">
        <v>537</v>
      </c>
      <c r="F1103">
        <v>7</v>
      </c>
      <c r="G1103" t="s">
        <v>176</v>
      </c>
      <c r="H1103">
        <v>0</v>
      </c>
      <c r="I1103">
        <v>2200</v>
      </c>
      <c r="J1103" s="10">
        <v>0</v>
      </c>
      <c r="K1103" s="10">
        <f>SUMIFS(F:F,D:D,DST_123_ÜRETİM_İHTİYAÇ_RAPORU_BURAK_YENI1309[[#This Row],[ALT_KOD]])-(SUMIFS(H:H,D:D,DST_123_ÜRETİM_İHTİYAÇ_RAPORU_BURAK_YENI1309[[#This Row],[ALT_KOD]])+AVERAGEIFS(I:I,D:D,DST_123_ÜRETİM_İHTİYAÇ_RAPORU_BURAK_YENI1309[[#This Row],[ALT_KOD]])+AVERAGEIFS(L:L,D:D,DST_123_ÜRETİM_İHTİYAÇ_RAPORU_BURAK_YENI1309[[#This Row],[ALT_KOD]]))</f>
        <v>-1626</v>
      </c>
      <c r="L1103">
        <v>0</v>
      </c>
      <c r="M1103">
        <f>IF((DST_123_ÜRETİM_İHTİYAÇ_RAPORU_BURAK_YENI1309[[#This Row],[SATINALMA]]*DST_123_ÜRETİM_İHTİYAÇ_RAPORU_BURAK_YENI1309[[#This Row],[BIRIM_FIYATLAR]])&lt;1,VALUE("0"),DST_123_ÜRETİM_İHTİYAÇ_RAPORU_BURAK_YENI1309[[#This Row],[SATINALMA]]*DST_123_ÜRETİM_İHTİYAÇ_RAPORU_BURAK_YENI1309[[#This Row],[BIRIM_FIYATLAR]])</f>
        <v>0</v>
      </c>
      <c r="N1103">
        <v>0.7</v>
      </c>
      <c r="O1103" t="s">
        <v>240</v>
      </c>
      <c r="P1103">
        <v>4.8999999999999995</v>
      </c>
      <c r="Q1103" t="s">
        <v>180</v>
      </c>
    </row>
    <row r="1104" spans="1:17" x14ac:dyDescent="0.25">
      <c r="A1104" t="s">
        <v>1098</v>
      </c>
      <c r="B1104" t="s">
        <v>1096</v>
      </c>
      <c r="C1104" t="s">
        <v>175</v>
      </c>
      <c r="D1104" t="s">
        <v>116</v>
      </c>
      <c r="E1104" t="s">
        <v>117</v>
      </c>
      <c r="F1104">
        <v>105.7</v>
      </c>
      <c r="G1104" t="s">
        <v>185</v>
      </c>
      <c r="H1104">
        <v>0</v>
      </c>
      <c r="I1104">
        <v>-690</v>
      </c>
      <c r="J1104" s="10">
        <v>2123.619999999999</v>
      </c>
      <c r="K1104" s="10">
        <f>SUMIFS(F:F,D:D,DST_123_ÜRETİM_İHTİYAÇ_RAPORU_BURAK_YENI1309[[#This Row],[ALT_KOD]])-(SUMIFS(H:H,D:D,DST_123_ÜRETİM_İHTİYAÇ_RAPORU_BURAK_YENI1309[[#This Row],[ALT_KOD]])+AVERAGEIFS(I:I,D:D,DST_123_ÜRETİM_İHTİYAÇ_RAPORU_BURAK_YENI1309[[#This Row],[ALT_KOD]])+AVERAGEIFS(L:L,D:D,DST_123_ÜRETİM_İHTİYAÇ_RAPORU_BURAK_YENI1309[[#This Row],[ALT_KOD]]))</f>
        <v>1819.8699999999994</v>
      </c>
      <c r="L1104">
        <v>0</v>
      </c>
      <c r="M1104">
        <f>IF((DST_123_ÜRETİM_İHTİYAÇ_RAPORU_BURAK_YENI1309[[#This Row],[SATINALMA]]*DST_123_ÜRETİM_İHTİYAÇ_RAPORU_BURAK_YENI1309[[#This Row],[BIRIM_FIYATLAR]])&lt;1,VALUE("0"),DST_123_ÜRETİM_İHTİYAÇ_RAPORU_BURAK_YENI1309[[#This Row],[SATINALMA]]*DST_123_ÜRETİM_İHTİYAÇ_RAPORU_BURAK_YENI1309[[#This Row],[BIRIM_FIYATLAR]])</f>
        <v>172651.06689999995</v>
      </c>
      <c r="N1104">
        <v>94.87</v>
      </c>
      <c r="O1104" t="s">
        <v>490</v>
      </c>
      <c r="P1104">
        <v>10027.759</v>
      </c>
      <c r="Q1104" t="s">
        <v>183</v>
      </c>
    </row>
    <row r="1105" spans="1:17" x14ac:dyDescent="0.25">
      <c r="A1105" t="s">
        <v>1101</v>
      </c>
      <c r="B1105" t="s">
        <v>1102</v>
      </c>
      <c r="C1105" t="s">
        <v>175</v>
      </c>
      <c r="D1105" t="s">
        <v>327</v>
      </c>
      <c r="E1105" t="s">
        <v>328</v>
      </c>
      <c r="F1105">
        <v>0.1</v>
      </c>
      <c r="G1105" t="s">
        <v>176</v>
      </c>
      <c r="H1105">
        <v>0</v>
      </c>
      <c r="I1105">
        <v>0</v>
      </c>
      <c r="J1105" s="10">
        <v>1.929999999999999</v>
      </c>
      <c r="K1105" s="10">
        <f>SUMIFS(F:F,D:D,DST_123_ÜRETİM_İHTİYAÇ_RAPORU_BURAK_YENI1309[[#This Row],[ALT_KOD]])-(SUMIFS(H:H,D:D,DST_123_ÜRETİM_İHTİYAÇ_RAPORU_BURAK_YENI1309[[#This Row],[ALT_KOD]])+AVERAGEIFS(I:I,D:D,DST_123_ÜRETİM_İHTİYAÇ_RAPORU_BURAK_YENI1309[[#This Row],[ALT_KOD]])+AVERAGEIFS(L:L,D:D,DST_123_ÜRETİM_İHTİYAÇ_RAPORU_BURAK_YENI1309[[#This Row],[ALT_KOD]]))</f>
        <v>1.2600000000000005</v>
      </c>
      <c r="L1105">
        <v>0</v>
      </c>
      <c r="M1105">
        <f>IF((DST_123_ÜRETİM_İHTİYAÇ_RAPORU_BURAK_YENI1309[[#This Row],[SATINALMA]]*DST_123_ÜRETİM_İHTİYAÇ_RAPORU_BURAK_YENI1309[[#This Row],[BIRIM_FIYATLAR]])&lt;1,VALUE("0"),DST_123_ÜRETİM_İHTİYAÇ_RAPORU_BURAK_YENI1309[[#This Row],[SATINALMA]]*DST_123_ÜRETİM_İHTİYAÇ_RAPORU_BURAK_YENI1309[[#This Row],[BIRIM_FIYATLAR]])</f>
        <v>1921.5000000000007</v>
      </c>
      <c r="N1105">
        <v>1525</v>
      </c>
      <c r="O1105" t="s">
        <v>240</v>
      </c>
      <c r="P1105">
        <v>152.5</v>
      </c>
      <c r="Q1105" t="s">
        <v>180</v>
      </c>
    </row>
    <row r="1106" spans="1:17" x14ac:dyDescent="0.25">
      <c r="A1106" t="s">
        <v>1147</v>
      </c>
      <c r="B1106" t="s">
        <v>1145</v>
      </c>
      <c r="C1106" t="s">
        <v>175</v>
      </c>
      <c r="D1106" t="s">
        <v>116</v>
      </c>
      <c r="E1106" t="s">
        <v>117</v>
      </c>
      <c r="F1106">
        <v>108.01</v>
      </c>
      <c r="G1106" t="s">
        <v>185</v>
      </c>
      <c r="H1106">
        <v>0</v>
      </c>
      <c r="I1106">
        <v>-690</v>
      </c>
      <c r="J1106" s="10">
        <v>2123.619999999999</v>
      </c>
      <c r="K1106" s="10">
        <f>SUMIFS(F:F,D:D,DST_123_ÜRETİM_İHTİYAÇ_RAPORU_BURAK_YENI1309[[#This Row],[ALT_KOD]])-(SUMIFS(H:H,D:D,DST_123_ÜRETİM_İHTİYAÇ_RAPORU_BURAK_YENI1309[[#This Row],[ALT_KOD]])+AVERAGEIFS(I:I,D:D,DST_123_ÜRETİM_İHTİYAÇ_RAPORU_BURAK_YENI1309[[#This Row],[ALT_KOD]])+AVERAGEIFS(L:L,D:D,DST_123_ÜRETİM_İHTİYAÇ_RAPORU_BURAK_YENI1309[[#This Row],[ALT_KOD]]))</f>
        <v>1819.8699999999994</v>
      </c>
      <c r="L1106">
        <v>0</v>
      </c>
      <c r="M1106">
        <f>IF((DST_123_ÜRETİM_İHTİYAÇ_RAPORU_BURAK_YENI1309[[#This Row],[SATINALMA]]*DST_123_ÜRETİM_İHTİYAÇ_RAPORU_BURAK_YENI1309[[#This Row],[BIRIM_FIYATLAR]])&lt;1,VALUE("0"),DST_123_ÜRETİM_İHTİYAÇ_RAPORU_BURAK_YENI1309[[#This Row],[SATINALMA]]*DST_123_ÜRETİM_İHTİYAÇ_RAPORU_BURAK_YENI1309[[#This Row],[BIRIM_FIYATLAR]])</f>
        <v>172651.06689999995</v>
      </c>
      <c r="N1106">
        <v>94.87</v>
      </c>
      <c r="O1106" t="s">
        <v>490</v>
      </c>
      <c r="P1106">
        <v>10246.908700000002</v>
      </c>
      <c r="Q1106" t="s">
        <v>183</v>
      </c>
    </row>
    <row r="1107" spans="1:17" x14ac:dyDescent="0.25">
      <c r="A1107" t="s">
        <v>1060</v>
      </c>
      <c r="B1107" t="s">
        <v>1061</v>
      </c>
      <c r="C1107" t="s">
        <v>175</v>
      </c>
      <c r="D1107" t="s">
        <v>458</v>
      </c>
      <c r="E1107" t="s">
        <v>459</v>
      </c>
      <c r="F1107">
        <v>0.01</v>
      </c>
      <c r="G1107" t="s">
        <v>176</v>
      </c>
      <c r="H1107">
        <v>0</v>
      </c>
      <c r="I1107">
        <v>6</v>
      </c>
      <c r="J1107" s="10">
        <v>22.530000000000012</v>
      </c>
      <c r="K1107" s="10">
        <f>SUMIFS(F:F,D:D,DST_123_ÜRETİM_İHTİYAÇ_RAPORU_BURAK_YENI1309[[#This Row],[ALT_KOD]])-(SUMIFS(H:H,D:D,DST_123_ÜRETİM_İHTİYAÇ_RAPORU_BURAK_YENI1309[[#This Row],[ALT_KOD]])+AVERAGEIFS(I:I,D:D,DST_123_ÜRETİM_İHTİYAÇ_RAPORU_BURAK_YENI1309[[#This Row],[ALT_KOD]])+AVERAGEIFS(L:L,D:D,DST_123_ÜRETİM_İHTİYAÇ_RAPORU_BURAK_YENI1309[[#This Row],[ALT_KOD]]))</f>
        <v>-5.5</v>
      </c>
      <c r="L1107">
        <v>0</v>
      </c>
      <c r="M1107">
        <f>IF((DST_123_ÜRETİM_İHTİYAÇ_RAPORU_BURAK_YENI1309[[#This Row],[SATINALMA]]*DST_123_ÜRETİM_İHTİYAÇ_RAPORU_BURAK_YENI1309[[#This Row],[BIRIM_FIYATLAR]])&lt;1,VALUE("0"),DST_123_ÜRETİM_İHTİYAÇ_RAPORU_BURAK_YENI1309[[#This Row],[SATINALMA]]*DST_123_ÜRETİM_İHTİYAÇ_RAPORU_BURAK_YENI1309[[#This Row],[BIRIM_FIYATLAR]])</f>
        <v>0</v>
      </c>
      <c r="N1107">
        <v>133</v>
      </c>
      <c r="O1107" t="s">
        <v>216</v>
      </c>
      <c r="P1107">
        <v>1.33</v>
      </c>
      <c r="Q1107" t="s">
        <v>183</v>
      </c>
    </row>
    <row r="1108" spans="1:17" x14ac:dyDescent="0.25">
      <c r="A1108" t="s">
        <v>1057</v>
      </c>
      <c r="B1108" t="s">
        <v>1058</v>
      </c>
      <c r="C1108" t="s">
        <v>175</v>
      </c>
      <c r="D1108" t="s">
        <v>458</v>
      </c>
      <c r="E1108" t="s">
        <v>459</v>
      </c>
      <c r="F1108">
        <v>0.01</v>
      </c>
      <c r="G1108" t="s">
        <v>176</v>
      </c>
      <c r="H1108">
        <v>0</v>
      </c>
      <c r="I1108">
        <v>6</v>
      </c>
      <c r="J1108" s="10">
        <v>22.530000000000012</v>
      </c>
      <c r="K1108" s="10">
        <f>SUMIFS(F:F,D:D,DST_123_ÜRETİM_İHTİYAÇ_RAPORU_BURAK_YENI1309[[#This Row],[ALT_KOD]])-(SUMIFS(H:H,D:D,DST_123_ÜRETİM_İHTİYAÇ_RAPORU_BURAK_YENI1309[[#This Row],[ALT_KOD]])+AVERAGEIFS(I:I,D:D,DST_123_ÜRETİM_İHTİYAÇ_RAPORU_BURAK_YENI1309[[#This Row],[ALT_KOD]])+AVERAGEIFS(L:L,D:D,DST_123_ÜRETİM_İHTİYAÇ_RAPORU_BURAK_YENI1309[[#This Row],[ALT_KOD]]))</f>
        <v>-5.5</v>
      </c>
      <c r="L1108">
        <v>0</v>
      </c>
      <c r="M1108">
        <f>IF((DST_123_ÜRETİM_İHTİYAÇ_RAPORU_BURAK_YENI1309[[#This Row],[SATINALMA]]*DST_123_ÜRETİM_İHTİYAÇ_RAPORU_BURAK_YENI1309[[#This Row],[BIRIM_FIYATLAR]])&lt;1,VALUE("0"),DST_123_ÜRETİM_İHTİYAÇ_RAPORU_BURAK_YENI1309[[#This Row],[SATINALMA]]*DST_123_ÜRETİM_İHTİYAÇ_RAPORU_BURAK_YENI1309[[#This Row],[BIRIM_FIYATLAR]])</f>
        <v>0</v>
      </c>
      <c r="N1108">
        <v>133</v>
      </c>
      <c r="O1108" t="s">
        <v>216</v>
      </c>
      <c r="P1108">
        <v>1.33</v>
      </c>
      <c r="Q1108" t="s">
        <v>183</v>
      </c>
    </row>
    <row r="1109" spans="1:17" x14ac:dyDescent="0.25">
      <c r="A1109" t="s">
        <v>1100</v>
      </c>
      <c r="B1109" t="s">
        <v>1058</v>
      </c>
      <c r="C1109" t="s">
        <v>175</v>
      </c>
      <c r="D1109" t="s">
        <v>458</v>
      </c>
      <c r="E1109" t="s">
        <v>459</v>
      </c>
      <c r="F1109">
        <v>0.01</v>
      </c>
      <c r="G1109" t="s">
        <v>176</v>
      </c>
      <c r="H1109">
        <v>0</v>
      </c>
      <c r="I1109">
        <v>6</v>
      </c>
      <c r="J1109" s="10">
        <v>22.530000000000012</v>
      </c>
      <c r="K1109" s="10">
        <f>SUMIFS(F:F,D:D,DST_123_ÜRETİM_İHTİYAÇ_RAPORU_BURAK_YENI1309[[#This Row],[ALT_KOD]])-(SUMIFS(H:H,D:D,DST_123_ÜRETİM_İHTİYAÇ_RAPORU_BURAK_YENI1309[[#This Row],[ALT_KOD]])+AVERAGEIFS(I:I,D:D,DST_123_ÜRETİM_İHTİYAÇ_RAPORU_BURAK_YENI1309[[#This Row],[ALT_KOD]])+AVERAGEIFS(L:L,D:D,DST_123_ÜRETİM_İHTİYAÇ_RAPORU_BURAK_YENI1309[[#This Row],[ALT_KOD]]))</f>
        <v>-5.5</v>
      </c>
      <c r="L1109">
        <v>0</v>
      </c>
      <c r="M1109">
        <f>IF((DST_123_ÜRETİM_İHTİYAÇ_RAPORU_BURAK_YENI1309[[#This Row],[SATINALMA]]*DST_123_ÜRETİM_İHTİYAÇ_RAPORU_BURAK_YENI1309[[#This Row],[BIRIM_FIYATLAR]])&lt;1,VALUE("0"),DST_123_ÜRETİM_İHTİYAÇ_RAPORU_BURAK_YENI1309[[#This Row],[SATINALMA]]*DST_123_ÜRETİM_İHTİYAÇ_RAPORU_BURAK_YENI1309[[#This Row],[BIRIM_FIYATLAR]])</f>
        <v>0</v>
      </c>
      <c r="N1109">
        <v>133</v>
      </c>
      <c r="O1109" t="s">
        <v>216</v>
      </c>
      <c r="P1109">
        <v>1.33</v>
      </c>
      <c r="Q1109" t="s">
        <v>183</v>
      </c>
    </row>
    <row r="1110" spans="1:17" x14ac:dyDescent="0.25">
      <c r="A1110" t="s">
        <v>1148</v>
      </c>
      <c r="B1110" t="s">
        <v>1056</v>
      </c>
      <c r="C1110" t="s">
        <v>175</v>
      </c>
      <c r="D1110" t="s">
        <v>458</v>
      </c>
      <c r="E1110" t="s">
        <v>459</v>
      </c>
      <c r="F1110">
        <v>0.12000000000000001</v>
      </c>
      <c r="G1110" t="s">
        <v>176</v>
      </c>
      <c r="H1110">
        <v>0</v>
      </c>
      <c r="I1110">
        <v>6</v>
      </c>
      <c r="J1110" s="10">
        <v>22.530000000000012</v>
      </c>
      <c r="K1110" s="10">
        <f>SUMIFS(F:F,D:D,DST_123_ÜRETİM_İHTİYAÇ_RAPORU_BURAK_YENI1309[[#This Row],[ALT_KOD]])-(SUMIFS(H:H,D:D,DST_123_ÜRETİM_İHTİYAÇ_RAPORU_BURAK_YENI1309[[#This Row],[ALT_KOD]])+AVERAGEIFS(I:I,D:D,DST_123_ÜRETİM_İHTİYAÇ_RAPORU_BURAK_YENI1309[[#This Row],[ALT_KOD]])+AVERAGEIFS(L:L,D:D,DST_123_ÜRETİM_İHTİYAÇ_RAPORU_BURAK_YENI1309[[#This Row],[ALT_KOD]]))</f>
        <v>-5.5</v>
      </c>
      <c r="L1110">
        <v>0</v>
      </c>
      <c r="M1110">
        <f>IF((DST_123_ÜRETİM_İHTİYAÇ_RAPORU_BURAK_YENI1309[[#This Row],[SATINALMA]]*DST_123_ÜRETİM_İHTİYAÇ_RAPORU_BURAK_YENI1309[[#This Row],[BIRIM_FIYATLAR]])&lt;1,VALUE("0"),DST_123_ÜRETİM_İHTİYAÇ_RAPORU_BURAK_YENI1309[[#This Row],[SATINALMA]]*DST_123_ÜRETİM_İHTİYAÇ_RAPORU_BURAK_YENI1309[[#This Row],[BIRIM_FIYATLAR]])</f>
        <v>0</v>
      </c>
      <c r="N1110">
        <v>133</v>
      </c>
      <c r="O1110" t="s">
        <v>216</v>
      </c>
      <c r="P1110">
        <v>15.96</v>
      </c>
      <c r="Q1110" t="s">
        <v>183</v>
      </c>
    </row>
    <row r="1111" spans="1:17" x14ac:dyDescent="0.25">
      <c r="A1111" t="s">
        <v>1060</v>
      </c>
      <c r="B1111" t="s">
        <v>1061</v>
      </c>
      <c r="C1111" t="s">
        <v>175</v>
      </c>
      <c r="D1111" t="s">
        <v>118</v>
      </c>
      <c r="E1111" t="s">
        <v>119</v>
      </c>
      <c r="F1111">
        <v>6</v>
      </c>
      <c r="G1111" t="s">
        <v>176</v>
      </c>
      <c r="H1111">
        <v>0</v>
      </c>
      <c r="I1111">
        <v>84</v>
      </c>
      <c r="J1111" s="10">
        <v>36</v>
      </c>
      <c r="K1111" s="10">
        <f>SUMIFS(F:F,D:D,DST_123_ÜRETİM_İHTİYAÇ_RAPORU_BURAK_YENI1309[[#This Row],[ALT_KOD]])-(SUMIFS(H:H,D:D,DST_123_ÜRETİM_İHTİYAÇ_RAPORU_BURAK_YENI1309[[#This Row],[ALT_KOD]])+AVERAGEIFS(I:I,D:D,DST_123_ÜRETİM_İHTİYAÇ_RAPORU_BURAK_YENI1309[[#This Row],[ALT_KOD]])+AVERAGEIFS(L:L,D:D,DST_123_ÜRETİM_İHTİYAÇ_RAPORU_BURAK_YENI1309[[#This Row],[ALT_KOD]]))</f>
        <v>22</v>
      </c>
      <c r="L1111">
        <v>0</v>
      </c>
      <c r="M1111">
        <f>IF((DST_123_ÜRETİM_İHTİYAÇ_RAPORU_BURAK_YENI1309[[#This Row],[SATINALMA]]*DST_123_ÜRETİM_İHTİYAÇ_RAPORU_BURAK_YENI1309[[#This Row],[BIRIM_FIYATLAR]])&lt;1,VALUE("0"),DST_123_ÜRETİM_İHTİYAÇ_RAPORU_BURAK_YENI1309[[#This Row],[SATINALMA]]*DST_123_ÜRETİM_İHTİYAÇ_RAPORU_BURAK_YENI1309[[#This Row],[BIRIM_FIYATLAR]])</f>
        <v>440</v>
      </c>
      <c r="N1111">
        <v>20</v>
      </c>
      <c r="O1111" t="s">
        <v>240</v>
      </c>
      <c r="P1111">
        <v>120</v>
      </c>
      <c r="Q1111" t="s">
        <v>178</v>
      </c>
    </row>
    <row r="1112" spans="1:17" x14ac:dyDescent="0.25">
      <c r="A1112" t="s">
        <v>1100</v>
      </c>
      <c r="B1112" t="s">
        <v>1058</v>
      </c>
      <c r="C1112" t="s">
        <v>175</v>
      </c>
      <c r="D1112" t="s">
        <v>118</v>
      </c>
      <c r="E1112" t="s">
        <v>119</v>
      </c>
      <c r="F1112">
        <v>6</v>
      </c>
      <c r="G1112" t="s">
        <v>176</v>
      </c>
      <c r="H1112">
        <v>0</v>
      </c>
      <c r="I1112">
        <v>84</v>
      </c>
      <c r="J1112" s="10">
        <v>36</v>
      </c>
      <c r="K1112" s="10">
        <f>SUMIFS(F:F,D:D,DST_123_ÜRETİM_İHTİYAÇ_RAPORU_BURAK_YENI1309[[#This Row],[ALT_KOD]])-(SUMIFS(H:H,D:D,DST_123_ÜRETİM_İHTİYAÇ_RAPORU_BURAK_YENI1309[[#This Row],[ALT_KOD]])+AVERAGEIFS(I:I,D:D,DST_123_ÜRETİM_İHTİYAÇ_RAPORU_BURAK_YENI1309[[#This Row],[ALT_KOD]])+AVERAGEIFS(L:L,D:D,DST_123_ÜRETİM_İHTİYAÇ_RAPORU_BURAK_YENI1309[[#This Row],[ALT_KOD]]))</f>
        <v>22</v>
      </c>
      <c r="L1112">
        <v>0</v>
      </c>
      <c r="M1112">
        <f>IF((DST_123_ÜRETİM_İHTİYAÇ_RAPORU_BURAK_YENI1309[[#This Row],[SATINALMA]]*DST_123_ÜRETİM_İHTİYAÇ_RAPORU_BURAK_YENI1309[[#This Row],[BIRIM_FIYATLAR]])&lt;1,VALUE("0"),DST_123_ÜRETİM_İHTİYAÇ_RAPORU_BURAK_YENI1309[[#This Row],[SATINALMA]]*DST_123_ÜRETİM_İHTİYAÇ_RAPORU_BURAK_YENI1309[[#This Row],[BIRIM_FIYATLAR]])</f>
        <v>440</v>
      </c>
      <c r="N1112">
        <v>20</v>
      </c>
      <c r="O1112" t="s">
        <v>240</v>
      </c>
      <c r="P1112">
        <v>120</v>
      </c>
      <c r="Q1112" t="s">
        <v>178</v>
      </c>
    </row>
    <row r="1113" spans="1:17" x14ac:dyDescent="0.25">
      <c r="A1113" t="s">
        <v>1147</v>
      </c>
      <c r="B1113" t="s">
        <v>1145</v>
      </c>
      <c r="C1113" t="s">
        <v>175</v>
      </c>
      <c r="D1113" t="s">
        <v>118</v>
      </c>
      <c r="E1113" t="s">
        <v>119</v>
      </c>
      <c r="F1113">
        <v>6</v>
      </c>
      <c r="G1113" t="s">
        <v>176</v>
      </c>
      <c r="H1113">
        <v>0</v>
      </c>
      <c r="I1113">
        <v>84</v>
      </c>
      <c r="J1113" s="10">
        <v>36</v>
      </c>
      <c r="K1113" s="10">
        <f>SUMIFS(F:F,D:D,DST_123_ÜRETİM_İHTİYAÇ_RAPORU_BURAK_YENI1309[[#This Row],[ALT_KOD]])-(SUMIFS(H:H,D:D,DST_123_ÜRETİM_İHTİYAÇ_RAPORU_BURAK_YENI1309[[#This Row],[ALT_KOD]])+AVERAGEIFS(I:I,D:D,DST_123_ÜRETİM_İHTİYAÇ_RAPORU_BURAK_YENI1309[[#This Row],[ALT_KOD]])+AVERAGEIFS(L:L,D:D,DST_123_ÜRETİM_İHTİYAÇ_RAPORU_BURAK_YENI1309[[#This Row],[ALT_KOD]]))</f>
        <v>22</v>
      </c>
      <c r="L1113">
        <v>0</v>
      </c>
      <c r="M1113">
        <f>IF((DST_123_ÜRETİM_İHTİYAÇ_RAPORU_BURAK_YENI1309[[#This Row],[SATINALMA]]*DST_123_ÜRETİM_İHTİYAÇ_RAPORU_BURAK_YENI1309[[#This Row],[BIRIM_FIYATLAR]])&lt;1,VALUE("0"),DST_123_ÜRETİM_İHTİYAÇ_RAPORU_BURAK_YENI1309[[#This Row],[SATINALMA]]*DST_123_ÜRETİM_İHTİYAÇ_RAPORU_BURAK_YENI1309[[#This Row],[BIRIM_FIYATLAR]])</f>
        <v>440</v>
      </c>
      <c r="N1113">
        <v>20</v>
      </c>
      <c r="O1113" t="s">
        <v>240</v>
      </c>
      <c r="P1113">
        <v>120</v>
      </c>
      <c r="Q1113" t="s">
        <v>178</v>
      </c>
    </row>
    <row r="1114" spans="1:17" x14ac:dyDescent="0.25">
      <c r="A1114" t="s">
        <v>1148</v>
      </c>
      <c r="B1114" t="s">
        <v>1056</v>
      </c>
      <c r="C1114" t="s">
        <v>175</v>
      </c>
      <c r="D1114" t="s">
        <v>906</v>
      </c>
      <c r="E1114" t="s">
        <v>907</v>
      </c>
      <c r="F1114">
        <v>1</v>
      </c>
      <c r="G1114" t="s">
        <v>176</v>
      </c>
      <c r="H1114">
        <v>0</v>
      </c>
      <c r="I1114">
        <v>13</v>
      </c>
      <c r="J1114" s="10">
        <v>6</v>
      </c>
      <c r="K1114" s="10">
        <f>SUMIFS(F:F,D:D,DST_123_ÜRETİM_İHTİYAÇ_RAPORU_BURAK_YENI1309[[#This Row],[ALT_KOD]])-(SUMIFS(H:H,D:D,DST_123_ÜRETİM_İHTİYAÇ_RAPORU_BURAK_YENI1309[[#This Row],[ALT_KOD]])+AVERAGEIFS(I:I,D:D,DST_123_ÜRETİM_İHTİYAÇ_RAPORU_BURAK_YENI1309[[#This Row],[ALT_KOD]])+AVERAGEIFS(L:L,D:D,DST_123_ÜRETİM_İHTİYAÇ_RAPORU_BURAK_YENI1309[[#This Row],[ALT_KOD]]))</f>
        <v>-10</v>
      </c>
      <c r="L1114">
        <v>0</v>
      </c>
      <c r="M1114">
        <f>IF((DST_123_ÜRETİM_İHTİYAÇ_RAPORU_BURAK_YENI1309[[#This Row],[SATINALMA]]*DST_123_ÜRETİM_İHTİYAÇ_RAPORU_BURAK_YENI1309[[#This Row],[BIRIM_FIYATLAR]])&lt;1,VALUE("0"),DST_123_ÜRETİM_İHTİYAÇ_RAPORU_BURAK_YENI1309[[#This Row],[SATINALMA]]*DST_123_ÜRETİM_İHTİYAÇ_RAPORU_BURAK_YENI1309[[#This Row],[BIRIM_FIYATLAR]])</f>
        <v>0</v>
      </c>
      <c r="N1114">
        <v>344.14</v>
      </c>
      <c r="O1114" t="s">
        <v>908</v>
      </c>
      <c r="P1114">
        <v>344.14</v>
      </c>
      <c r="Q1114" t="s">
        <v>180</v>
      </c>
    </row>
    <row r="1115" spans="1:17" x14ac:dyDescent="0.25">
      <c r="A1115" t="s">
        <v>1057</v>
      </c>
      <c r="B1115" t="s">
        <v>1058</v>
      </c>
      <c r="C1115" t="s">
        <v>175</v>
      </c>
      <c r="D1115" t="s">
        <v>327</v>
      </c>
      <c r="E1115" t="s">
        <v>328</v>
      </c>
      <c r="F1115">
        <v>0.05</v>
      </c>
      <c r="G1115" t="s">
        <v>176</v>
      </c>
      <c r="H1115">
        <v>0</v>
      </c>
      <c r="I1115">
        <v>0</v>
      </c>
      <c r="J1115" s="10">
        <v>1.929999999999999</v>
      </c>
      <c r="K1115" s="10">
        <f>SUMIFS(F:F,D:D,DST_123_ÜRETİM_İHTİYAÇ_RAPORU_BURAK_YENI1309[[#This Row],[ALT_KOD]])-(SUMIFS(H:H,D:D,DST_123_ÜRETİM_İHTİYAÇ_RAPORU_BURAK_YENI1309[[#This Row],[ALT_KOD]])+AVERAGEIFS(I:I,D:D,DST_123_ÜRETİM_İHTİYAÇ_RAPORU_BURAK_YENI1309[[#This Row],[ALT_KOD]])+AVERAGEIFS(L:L,D:D,DST_123_ÜRETİM_İHTİYAÇ_RAPORU_BURAK_YENI1309[[#This Row],[ALT_KOD]]))</f>
        <v>1.2600000000000005</v>
      </c>
      <c r="L1115">
        <v>0</v>
      </c>
      <c r="M1115">
        <f>IF((DST_123_ÜRETİM_İHTİYAÇ_RAPORU_BURAK_YENI1309[[#This Row],[SATINALMA]]*DST_123_ÜRETİM_İHTİYAÇ_RAPORU_BURAK_YENI1309[[#This Row],[BIRIM_FIYATLAR]])&lt;1,VALUE("0"),DST_123_ÜRETİM_İHTİYAÇ_RAPORU_BURAK_YENI1309[[#This Row],[SATINALMA]]*DST_123_ÜRETİM_İHTİYAÇ_RAPORU_BURAK_YENI1309[[#This Row],[BIRIM_FIYATLAR]])</f>
        <v>1921.5000000000007</v>
      </c>
      <c r="N1115">
        <v>1525</v>
      </c>
      <c r="O1115" t="s">
        <v>240</v>
      </c>
      <c r="P1115">
        <v>76.25</v>
      </c>
      <c r="Q1115" t="s">
        <v>180</v>
      </c>
    </row>
    <row r="1116" spans="1:17" x14ac:dyDescent="0.25">
      <c r="A1116" t="s">
        <v>1100</v>
      </c>
      <c r="B1116" t="s">
        <v>1058</v>
      </c>
      <c r="C1116" t="s">
        <v>175</v>
      </c>
      <c r="D1116" t="s">
        <v>327</v>
      </c>
      <c r="E1116" t="s">
        <v>328</v>
      </c>
      <c r="F1116">
        <v>0.05</v>
      </c>
      <c r="G1116" t="s">
        <v>176</v>
      </c>
      <c r="H1116">
        <v>0</v>
      </c>
      <c r="I1116">
        <v>0</v>
      </c>
      <c r="J1116" s="10">
        <v>1.929999999999999</v>
      </c>
      <c r="K1116" s="10">
        <f>SUMIFS(F:F,D:D,DST_123_ÜRETİM_İHTİYAÇ_RAPORU_BURAK_YENI1309[[#This Row],[ALT_KOD]])-(SUMIFS(H:H,D:D,DST_123_ÜRETİM_İHTİYAÇ_RAPORU_BURAK_YENI1309[[#This Row],[ALT_KOD]])+AVERAGEIFS(I:I,D:D,DST_123_ÜRETİM_İHTİYAÇ_RAPORU_BURAK_YENI1309[[#This Row],[ALT_KOD]])+AVERAGEIFS(L:L,D:D,DST_123_ÜRETİM_İHTİYAÇ_RAPORU_BURAK_YENI1309[[#This Row],[ALT_KOD]]))</f>
        <v>1.2600000000000005</v>
      </c>
      <c r="L1116">
        <v>0</v>
      </c>
      <c r="M1116">
        <f>IF((DST_123_ÜRETİM_İHTİYAÇ_RAPORU_BURAK_YENI1309[[#This Row],[SATINALMA]]*DST_123_ÜRETİM_İHTİYAÇ_RAPORU_BURAK_YENI1309[[#This Row],[BIRIM_FIYATLAR]])&lt;1,VALUE("0"),DST_123_ÜRETİM_İHTİYAÇ_RAPORU_BURAK_YENI1309[[#This Row],[SATINALMA]]*DST_123_ÜRETİM_İHTİYAÇ_RAPORU_BURAK_YENI1309[[#This Row],[BIRIM_FIYATLAR]])</f>
        <v>1921.5000000000007</v>
      </c>
      <c r="N1116">
        <v>1525</v>
      </c>
      <c r="O1116" t="s">
        <v>240</v>
      </c>
      <c r="P1116">
        <v>76.25</v>
      </c>
      <c r="Q1116" t="s">
        <v>180</v>
      </c>
    </row>
    <row r="1117" spans="1:17" x14ac:dyDescent="0.25">
      <c r="A1117" t="s">
        <v>1148</v>
      </c>
      <c r="B1117" t="s">
        <v>1056</v>
      </c>
      <c r="C1117" t="s">
        <v>175</v>
      </c>
      <c r="D1117" t="s">
        <v>327</v>
      </c>
      <c r="E1117" t="s">
        <v>328</v>
      </c>
      <c r="F1117">
        <v>0.1</v>
      </c>
      <c r="G1117" t="s">
        <v>176</v>
      </c>
      <c r="H1117">
        <v>0</v>
      </c>
      <c r="I1117">
        <v>0</v>
      </c>
      <c r="J1117" s="10">
        <v>1.929999999999999</v>
      </c>
      <c r="K1117" s="10">
        <f>SUMIFS(F:F,D:D,DST_123_ÜRETİM_İHTİYAÇ_RAPORU_BURAK_YENI1309[[#This Row],[ALT_KOD]])-(SUMIFS(H:H,D:D,DST_123_ÜRETİM_İHTİYAÇ_RAPORU_BURAK_YENI1309[[#This Row],[ALT_KOD]])+AVERAGEIFS(I:I,D:D,DST_123_ÜRETİM_İHTİYAÇ_RAPORU_BURAK_YENI1309[[#This Row],[ALT_KOD]])+AVERAGEIFS(L:L,D:D,DST_123_ÜRETİM_İHTİYAÇ_RAPORU_BURAK_YENI1309[[#This Row],[ALT_KOD]]))</f>
        <v>1.2600000000000005</v>
      </c>
      <c r="L1117">
        <v>0</v>
      </c>
      <c r="M1117">
        <f>IF((DST_123_ÜRETİM_İHTİYAÇ_RAPORU_BURAK_YENI1309[[#This Row],[SATINALMA]]*DST_123_ÜRETİM_İHTİYAÇ_RAPORU_BURAK_YENI1309[[#This Row],[BIRIM_FIYATLAR]])&lt;1,VALUE("0"),DST_123_ÜRETİM_İHTİYAÇ_RAPORU_BURAK_YENI1309[[#This Row],[SATINALMA]]*DST_123_ÜRETİM_İHTİYAÇ_RAPORU_BURAK_YENI1309[[#This Row],[BIRIM_FIYATLAR]])</f>
        <v>1921.5000000000007</v>
      </c>
      <c r="N1117">
        <v>1525</v>
      </c>
      <c r="O1117" t="s">
        <v>240</v>
      </c>
      <c r="P1117">
        <v>152.5</v>
      </c>
      <c r="Q1117" t="s">
        <v>180</v>
      </c>
    </row>
    <row r="1118" spans="1:17" x14ac:dyDescent="0.25">
      <c r="A1118" t="s">
        <v>1147</v>
      </c>
      <c r="B1118" t="s">
        <v>1145</v>
      </c>
      <c r="C1118" t="s">
        <v>175</v>
      </c>
      <c r="D1118" t="s">
        <v>805</v>
      </c>
      <c r="E1118" t="s">
        <v>806</v>
      </c>
      <c r="F1118">
        <v>1</v>
      </c>
      <c r="G1118" t="s">
        <v>176</v>
      </c>
      <c r="H1118">
        <v>0</v>
      </c>
      <c r="I1118">
        <v>14</v>
      </c>
      <c r="J1118" s="10">
        <v>1</v>
      </c>
      <c r="K1118" s="10">
        <f>SUMIFS(F:F,D:D,DST_123_ÜRETİM_İHTİYAÇ_RAPORU_BURAK_YENI1309[[#This Row],[ALT_KOD]])-(SUMIFS(H:H,D:D,DST_123_ÜRETİM_İHTİYAÇ_RAPORU_BURAK_YENI1309[[#This Row],[ALT_KOD]])+AVERAGEIFS(I:I,D:D,DST_123_ÜRETİM_İHTİYAÇ_RAPORU_BURAK_YENI1309[[#This Row],[ALT_KOD]])+AVERAGEIFS(L:L,D:D,DST_123_ÜRETİM_İHTİYAÇ_RAPORU_BURAK_YENI1309[[#This Row],[ALT_KOD]]))</f>
        <v>-7</v>
      </c>
      <c r="L1118">
        <v>0</v>
      </c>
      <c r="M1118">
        <f>IF((DST_123_ÜRETİM_İHTİYAÇ_RAPORU_BURAK_YENI1309[[#This Row],[SATINALMA]]*DST_123_ÜRETİM_İHTİYAÇ_RAPORU_BURAK_YENI1309[[#This Row],[BIRIM_FIYATLAR]])&lt;1,VALUE("0"),DST_123_ÜRETİM_İHTİYAÇ_RAPORU_BURAK_YENI1309[[#This Row],[SATINALMA]]*DST_123_ÜRETİM_İHTİYAÇ_RAPORU_BURAK_YENI1309[[#This Row],[BIRIM_FIYATLAR]])</f>
        <v>0</v>
      </c>
      <c r="N1118">
        <v>458.33</v>
      </c>
      <c r="O1118" t="s">
        <v>628</v>
      </c>
      <c r="P1118">
        <v>458.33</v>
      </c>
      <c r="Q1118" t="s">
        <v>177</v>
      </c>
    </row>
    <row r="1119" spans="1:17" x14ac:dyDescent="0.25">
      <c r="A1119" t="s">
        <v>1148</v>
      </c>
      <c r="B1119" t="s">
        <v>1056</v>
      </c>
      <c r="C1119" t="s">
        <v>175</v>
      </c>
      <c r="D1119" t="s">
        <v>116</v>
      </c>
      <c r="E1119" t="s">
        <v>117</v>
      </c>
      <c r="F1119">
        <v>105.7</v>
      </c>
      <c r="G1119" t="s">
        <v>185</v>
      </c>
      <c r="H1119">
        <v>0</v>
      </c>
      <c r="I1119">
        <v>-690</v>
      </c>
      <c r="J1119" s="10">
        <v>2123.619999999999</v>
      </c>
      <c r="K1119" s="10">
        <f>SUMIFS(F:F,D:D,DST_123_ÜRETİM_İHTİYAÇ_RAPORU_BURAK_YENI1309[[#This Row],[ALT_KOD]])-(SUMIFS(H:H,D:D,DST_123_ÜRETİM_İHTİYAÇ_RAPORU_BURAK_YENI1309[[#This Row],[ALT_KOD]])+AVERAGEIFS(I:I,D:D,DST_123_ÜRETİM_İHTİYAÇ_RAPORU_BURAK_YENI1309[[#This Row],[ALT_KOD]])+AVERAGEIFS(L:L,D:D,DST_123_ÜRETİM_İHTİYAÇ_RAPORU_BURAK_YENI1309[[#This Row],[ALT_KOD]]))</f>
        <v>1819.8699999999994</v>
      </c>
      <c r="L1119">
        <v>0</v>
      </c>
      <c r="M1119">
        <f>IF((DST_123_ÜRETİM_İHTİYAÇ_RAPORU_BURAK_YENI1309[[#This Row],[SATINALMA]]*DST_123_ÜRETİM_İHTİYAÇ_RAPORU_BURAK_YENI1309[[#This Row],[BIRIM_FIYATLAR]])&lt;1,VALUE("0"),DST_123_ÜRETİM_İHTİYAÇ_RAPORU_BURAK_YENI1309[[#This Row],[SATINALMA]]*DST_123_ÜRETİM_İHTİYAÇ_RAPORU_BURAK_YENI1309[[#This Row],[BIRIM_FIYATLAR]])</f>
        <v>172651.06689999995</v>
      </c>
      <c r="N1119">
        <v>94.87</v>
      </c>
      <c r="O1119" t="s">
        <v>490</v>
      </c>
      <c r="P1119">
        <v>10027.759</v>
      </c>
      <c r="Q1119" t="s">
        <v>183</v>
      </c>
    </row>
    <row r="1120" spans="1:17" x14ac:dyDescent="0.25">
      <c r="A1120" t="s">
        <v>1101</v>
      </c>
      <c r="B1120" t="s">
        <v>1102</v>
      </c>
      <c r="C1120" t="s">
        <v>175</v>
      </c>
      <c r="D1120" t="s">
        <v>458</v>
      </c>
      <c r="E1120" t="s">
        <v>459</v>
      </c>
      <c r="F1120">
        <v>0.11</v>
      </c>
      <c r="G1120" t="s">
        <v>176</v>
      </c>
      <c r="H1120">
        <v>0.11</v>
      </c>
      <c r="I1120">
        <v>6</v>
      </c>
      <c r="J1120" s="10">
        <v>22.530000000000012</v>
      </c>
      <c r="K1120" s="10">
        <f>SUMIFS(F:F,D:D,DST_123_ÜRETİM_İHTİYAÇ_RAPORU_BURAK_YENI1309[[#This Row],[ALT_KOD]])-(SUMIFS(H:H,D:D,DST_123_ÜRETİM_İHTİYAÇ_RAPORU_BURAK_YENI1309[[#This Row],[ALT_KOD]])+AVERAGEIFS(I:I,D:D,DST_123_ÜRETİM_İHTİYAÇ_RAPORU_BURAK_YENI1309[[#This Row],[ALT_KOD]])+AVERAGEIFS(L:L,D:D,DST_123_ÜRETİM_İHTİYAÇ_RAPORU_BURAK_YENI1309[[#This Row],[ALT_KOD]]))</f>
        <v>-5.5</v>
      </c>
      <c r="L1120">
        <v>0</v>
      </c>
      <c r="M1120">
        <f>IF((DST_123_ÜRETİM_İHTİYAÇ_RAPORU_BURAK_YENI1309[[#This Row],[SATINALMA]]*DST_123_ÜRETİM_İHTİYAÇ_RAPORU_BURAK_YENI1309[[#This Row],[BIRIM_FIYATLAR]])&lt;1,VALUE("0"),DST_123_ÜRETİM_İHTİYAÇ_RAPORU_BURAK_YENI1309[[#This Row],[SATINALMA]]*DST_123_ÜRETİM_İHTİYAÇ_RAPORU_BURAK_YENI1309[[#This Row],[BIRIM_FIYATLAR]])</f>
        <v>0</v>
      </c>
      <c r="N1120">
        <v>133</v>
      </c>
      <c r="O1120" t="s">
        <v>216</v>
      </c>
      <c r="P1120">
        <v>14.63</v>
      </c>
      <c r="Q1120" t="s">
        <v>183</v>
      </c>
    </row>
    <row r="1121" spans="1:17" x14ac:dyDescent="0.25">
      <c r="A1121" t="s">
        <v>1148</v>
      </c>
      <c r="B1121" t="s">
        <v>1056</v>
      </c>
      <c r="C1121" t="s">
        <v>175</v>
      </c>
      <c r="D1121" t="s">
        <v>118</v>
      </c>
      <c r="E1121" t="s">
        <v>119</v>
      </c>
      <c r="F1121">
        <v>4</v>
      </c>
      <c r="G1121" t="s">
        <v>176</v>
      </c>
      <c r="H1121">
        <v>0</v>
      </c>
      <c r="I1121">
        <v>84</v>
      </c>
      <c r="J1121" s="10">
        <v>36</v>
      </c>
      <c r="K1121" s="10">
        <f>SUMIFS(F:F,D:D,DST_123_ÜRETİM_İHTİYAÇ_RAPORU_BURAK_YENI1309[[#This Row],[ALT_KOD]])-(SUMIFS(H:H,D:D,DST_123_ÜRETİM_İHTİYAÇ_RAPORU_BURAK_YENI1309[[#This Row],[ALT_KOD]])+AVERAGEIFS(I:I,D:D,DST_123_ÜRETİM_İHTİYAÇ_RAPORU_BURAK_YENI1309[[#This Row],[ALT_KOD]])+AVERAGEIFS(L:L,D:D,DST_123_ÜRETİM_İHTİYAÇ_RAPORU_BURAK_YENI1309[[#This Row],[ALT_KOD]]))</f>
        <v>22</v>
      </c>
      <c r="L1121">
        <v>0</v>
      </c>
      <c r="M1121">
        <f>IF((DST_123_ÜRETİM_İHTİYAÇ_RAPORU_BURAK_YENI1309[[#This Row],[SATINALMA]]*DST_123_ÜRETİM_İHTİYAÇ_RAPORU_BURAK_YENI1309[[#This Row],[BIRIM_FIYATLAR]])&lt;1,VALUE("0"),DST_123_ÜRETİM_İHTİYAÇ_RAPORU_BURAK_YENI1309[[#This Row],[SATINALMA]]*DST_123_ÜRETİM_İHTİYAÇ_RAPORU_BURAK_YENI1309[[#This Row],[BIRIM_FIYATLAR]])</f>
        <v>440</v>
      </c>
      <c r="N1121">
        <v>20</v>
      </c>
      <c r="O1121" t="s">
        <v>240</v>
      </c>
      <c r="P1121">
        <v>80</v>
      </c>
      <c r="Q1121" t="s">
        <v>178</v>
      </c>
    </row>
    <row r="1122" spans="1:17" x14ac:dyDescent="0.25">
      <c r="A1122" t="s">
        <v>1148</v>
      </c>
      <c r="B1122" t="s">
        <v>1056</v>
      </c>
      <c r="C1122" t="s">
        <v>175</v>
      </c>
      <c r="D1122" t="s">
        <v>52</v>
      </c>
      <c r="E1122" t="s">
        <v>53</v>
      </c>
      <c r="F1122">
        <v>1</v>
      </c>
      <c r="G1122" t="s">
        <v>176</v>
      </c>
      <c r="H1122">
        <v>0</v>
      </c>
      <c r="I1122">
        <v>5</v>
      </c>
      <c r="J1122" s="10">
        <v>10</v>
      </c>
      <c r="K1122" s="10">
        <f>SUMIFS(F:F,D:D,DST_123_ÜRETİM_İHTİYAÇ_RAPORU_BURAK_YENI1309[[#This Row],[ALT_KOD]])-(SUMIFS(H:H,D:D,DST_123_ÜRETİM_İHTİYAÇ_RAPORU_BURAK_YENI1309[[#This Row],[ALT_KOD]])+AVERAGEIFS(I:I,D:D,DST_123_ÜRETİM_İHTİYAÇ_RAPORU_BURAK_YENI1309[[#This Row],[ALT_KOD]])+AVERAGEIFS(L:L,D:D,DST_123_ÜRETİM_İHTİYAÇ_RAPORU_BURAK_YENI1309[[#This Row],[ALT_KOD]]))</f>
        <v>7</v>
      </c>
      <c r="L1122">
        <v>0</v>
      </c>
      <c r="M1122">
        <f>IF((DST_123_ÜRETİM_İHTİYAÇ_RAPORU_BURAK_YENI1309[[#This Row],[SATINALMA]]*DST_123_ÜRETİM_İHTİYAÇ_RAPORU_BURAK_YENI1309[[#This Row],[BIRIM_FIYATLAR]])&lt;1,VALUE("0"),DST_123_ÜRETİM_İHTİYAÇ_RAPORU_BURAK_YENI1309[[#This Row],[SATINALMA]]*DST_123_ÜRETİM_İHTİYAÇ_RAPORU_BURAK_YENI1309[[#This Row],[BIRIM_FIYATLAR]])</f>
        <v>85641.010000000009</v>
      </c>
      <c r="N1122">
        <v>12234.43</v>
      </c>
      <c r="O1122" t="s">
        <v>215</v>
      </c>
      <c r="P1122">
        <v>12234.43</v>
      </c>
      <c r="Q1122" t="s">
        <v>221</v>
      </c>
    </row>
    <row r="1123" spans="1:17" x14ac:dyDescent="0.25">
      <c r="A1123" t="s">
        <v>1057</v>
      </c>
      <c r="B1123" t="s">
        <v>1058</v>
      </c>
      <c r="C1123" t="s">
        <v>175</v>
      </c>
      <c r="D1123" t="s">
        <v>925</v>
      </c>
      <c r="E1123" t="s">
        <v>926</v>
      </c>
      <c r="F1123">
        <v>1</v>
      </c>
      <c r="G1123" t="s">
        <v>179</v>
      </c>
      <c r="H1123">
        <v>0</v>
      </c>
      <c r="I1123">
        <v>6400</v>
      </c>
      <c r="J1123" s="10">
        <v>186.50000000000006</v>
      </c>
      <c r="K1123" s="10">
        <f>SUMIFS(F:F,D:D,DST_123_ÜRETİM_İHTİYAÇ_RAPORU_BURAK_YENI1309[[#This Row],[ALT_KOD]])-(SUMIFS(H:H,D:D,DST_123_ÜRETİM_İHTİYAÇ_RAPORU_BURAK_YENI1309[[#This Row],[ALT_KOD]])+AVERAGEIFS(I:I,D:D,DST_123_ÜRETİM_İHTİYAÇ_RAPORU_BURAK_YENI1309[[#This Row],[ALT_KOD]])+AVERAGEIFS(L:L,D:D,DST_123_ÜRETİM_İHTİYAÇ_RAPORU_BURAK_YENI1309[[#This Row],[ALT_KOD]]))</f>
        <v>-6392</v>
      </c>
      <c r="L1123">
        <v>0</v>
      </c>
      <c r="M1123">
        <f>IF((DST_123_ÜRETİM_İHTİYAÇ_RAPORU_BURAK_YENI1309[[#This Row],[SATINALMA]]*DST_123_ÜRETİM_İHTİYAÇ_RAPORU_BURAK_YENI1309[[#This Row],[BIRIM_FIYATLAR]])&lt;1,VALUE("0"),DST_123_ÜRETİM_İHTİYAÇ_RAPORU_BURAK_YENI1309[[#This Row],[SATINALMA]]*DST_123_ÜRETİM_İHTİYAÇ_RAPORU_BURAK_YENI1309[[#This Row],[BIRIM_FIYATLAR]])</f>
        <v>0</v>
      </c>
      <c r="N1123">
        <v>2.1</v>
      </c>
      <c r="P1123">
        <v>2.1</v>
      </c>
      <c r="Q1123" t="s">
        <v>221</v>
      </c>
    </row>
    <row r="1124" spans="1:17" x14ac:dyDescent="0.25">
      <c r="A1124" t="s">
        <v>1150</v>
      </c>
      <c r="B1124" t="s">
        <v>1145</v>
      </c>
      <c r="C1124" t="s">
        <v>175</v>
      </c>
      <c r="D1124" t="s">
        <v>116</v>
      </c>
      <c r="E1124" t="s">
        <v>117</v>
      </c>
      <c r="F1124">
        <v>108.87</v>
      </c>
      <c r="G1124" t="s">
        <v>185</v>
      </c>
      <c r="H1124">
        <v>0</v>
      </c>
      <c r="I1124">
        <v>-690</v>
      </c>
      <c r="J1124" s="10">
        <v>2123.619999999999</v>
      </c>
      <c r="K1124" s="10">
        <f>SUMIFS(F:F,D:D,DST_123_ÜRETİM_İHTİYAÇ_RAPORU_BURAK_YENI1309[[#This Row],[ALT_KOD]])-(SUMIFS(H:H,D:D,DST_123_ÜRETİM_İHTİYAÇ_RAPORU_BURAK_YENI1309[[#This Row],[ALT_KOD]])+AVERAGEIFS(I:I,D:D,DST_123_ÜRETİM_İHTİYAÇ_RAPORU_BURAK_YENI1309[[#This Row],[ALT_KOD]])+AVERAGEIFS(L:L,D:D,DST_123_ÜRETİM_İHTİYAÇ_RAPORU_BURAK_YENI1309[[#This Row],[ALT_KOD]]))</f>
        <v>1819.8699999999994</v>
      </c>
      <c r="L1124">
        <v>0</v>
      </c>
      <c r="M1124">
        <f>IF((DST_123_ÜRETİM_İHTİYAÇ_RAPORU_BURAK_YENI1309[[#This Row],[SATINALMA]]*DST_123_ÜRETİM_İHTİYAÇ_RAPORU_BURAK_YENI1309[[#This Row],[BIRIM_FIYATLAR]])&lt;1,VALUE("0"),DST_123_ÜRETİM_İHTİYAÇ_RAPORU_BURAK_YENI1309[[#This Row],[SATINALMA]]*DST_123_ÜRETİM_İHTİYAÇ_RAPORU_BURAK_YENI1309[[#This Row],[BIRIM_FIYATLAR]])</f>
        <v>172651.06689999995</v>
      </c>
      <c r="N1124">
        <v>94.87</v>
      </c>
      <c r="O1124" t="s">
        <v>490</v>
      </c>
      <c r="P1124">
        <v>10328.4969</v>
      </c>
      <c r="Q1124" t="s">
        <v>183</v>
      </c>
    </row>
    <row r="1125" spans="1:17" x14ac:dyDescent="0.25">
      <c r="A1125" t="s">
        <v>1144</v>
      </c>
      <c r="B1125" t="s">
        <v>1145</v>
      </c>
      <c r="C1125" t="s">
        <v>175</v>
      </c>
      <c r="D1125" t="s">
        <v>52</v>
      </c>
      <c r="E1125" t="s">
        <v>53</v>
      </c>
      <c r="F1125">
        <v>1</v>
      </c>
      <c r="G1125" t="s">
        <v>176</v>
      </c>
      <c r="H1125">
        <v>0</v>
      </c>
      <c r="I1125">
        <v>5</v>
      </c>
      <c r="J1125" s="10">
        <v>10</v>
      </c>
      <c r="K1125" s="10">
        <f>SUMIFS(F:F,D:D,DST_123_ÜRETİM_İHTİYAÇ_RAPORU_BURAK_YENI1309[[#This Row],[ALT_KOD]])-(SUMIFS(H:H,D:D,DST_123_ÜRETİM_İHTİYAÇ_RAPORU_BURAK_YENI1309[[#This Row],[ALT_KOD]])+AVERAGEIFS(I:I,D:D,DST_123_ÜRETİM_İHTİYAÇ_RAPORU_BURAK_YENI1309[[#This Row],[ALT_KOD]])+AVERAGEIFS(L:L,D:D,DST_123_ÜRETİM_İHTİYAÇ_RAPORU_BURAK_YENI1309[[#This Row],[ALT_KOD]]))</f>
        <v>7</v>
      </c>
      <c r="L1125">
        <v>0</v>
      </c>
      <c r="M1125">
        <f>IF((DST_123_ÜRETİM_İHTİYAÇ_RAPORU_BURAK_YENI1309[[#This Row],[SATINALMA]]*DST_123_ÜRETİM_İHTİYAÇ_RAPORU_BURAK_YENI1309[[#This Row],[BIRIM_FIYATLAR]])&lt;1,VALUE("0"),DST_123_ÜRETİM_İHTİYAÇ_RAPORU_BURAK_YENI1309[[#This Row],[SATINALMA]]*DST_123_ÜRETİM_İHTİYAÇ_RAPORU_BURAK_YENI1309[[#This Row],[BIRIM_FIYATLAR]])</f>
        <v>85641.010000000009</v>
      </c>
      <c r="N1125">
        <v>12234.43</v>
      </c>
      <c r="O1125" t="s">
        <v>215</v>
      </c>
      <c r="P1125">
        <v>12234.43</v>
      </c>
      <c r="Q1125" t="s">
        <v>221</v>
      </c>
    </row>
    <row r="1126" spans="1:17" x14ac:dyDescent="0.25">
      <c r="A1126" t="s">
        <v>1146</v>
      </c>
      <c r="B1126" t="s">
        <v>1145</v>
      </c>
      <c r="C1126" t="s">
        <v>175</v>
      </c>
      <c r="D1126" t="s">
        <v>52</v>
      </c>
      <c r="E1126" t="s">
        <v>53</v>
      </c>
      <c r="F1126">
        <v>1</v>
      </c>
      <c r="G1126" t="s">
        <v>176</v>
      </c>
      <c r="H1126">
        <v>0</v>
      </c>
      <c r="I1126">
        <v>5</v>
      </c>
      <c r="J1126" s="10">
        <v>10</v>
      </c>
      <c r="K1126" s="10">
        <f>SUMIFS(F:F,D:D,DST_123_ÜRETİM_İHTİYAÇ_RAPORU_BURAK_YENI1309[[#This Row],[ALT_KOD]])-(SUMIFS(H:H,D:D,DST_123_ÜRETİM_İHTİYAÇ_RAPORU_BURAK_YENI1309[[#This Row],[ALT_KOD]])+AVERAGEIFS(I:I,D:D,DST_123_ÜRETİM_İHTİYAÇ_RAPORU_BURAK_YENI1309[[#This Row],[ALT_KOD]])+AVERAGEIFS(L:L,D:D,DST_123_ÜRETİM_İHTİYAÇ_RAPORU_BURAK_YENI1309[[#This Row],[ALT_KOD]]))</f>
        <v>7</v>
      </c>
      <c r="L1126">
        <v>0</v>
      </c>
      <c r="M1126">
        <f>IF((DST_123_ÜRETİM_İHTİYAÇ_RAPORU_BURAK_YENI1309[[#This Row],[SATINALMA]]*DST_123_ÜRETİM_İHTİYAÇ_RAPORU_BURAK_YENI1309[[#This Row],[BIRIM_FIYATLAR]])&lt;1,VALUE("0"),DST_123_ÜRETİM_İHTİYAÇ_RAPORU_BURAK_YENI1309[[#This Row],[SATINALMA]]*DST_123_ÜRETİM_İHTİYAÇ_RAPORU_BURAK_YENI1309[[#This Row],[BIRIM_FIYATLAR]])</f>
        <v>85641.010000000009</v>
      </c>
      <c r="N1126">
        <v>12234.43</v>
      </c>
      <c r="O1126" t="s">
        <v>215</v>
      </c>
      <c r="P1126">
        <v>12234.43</v>
      </c>
      <c r="Q1126" t="s">
        <v>221</v>
      </c>
    </row>
    <row r="1127" spans="1:17" x14ac:dyDescent="0.25">
      <c r="A1127" t="s">
        <v>1142</v>
      </c>
      <c r="B1127" t="s">
        <v>1056</v>
      </c>
      <c r="C1127" t="s">
        <v>175</v>
      </c>
      <c r="D1127" t="s">
        <v>776</v>
      </c>
      <c r="E1127" t="s">
        <v>777</v>
      </c>
      <c r="F1127">
        <v>1</v>
      </c>
      <c r="G1127" t="s">
        <v>176</v>
      </c>
      <c r="H1127">
        <v>0</v>
      </c>
      <c r="I1127">
        <v>6</v>
      </c>
      <c r="J1127" s="10">
        <v>7</v>
      </c>
      <c r="K1127" s="10">
        <f>SUMIFS(F:F,D:D,DST_123_ÜRETİM_İHTİYAÇ_RAPORU_BURAK_YENI1309[[#This Row],[ALT_KOD]])-(SUMIFS(H:H,D:D,DST_123_ÜRETİM_İHTİYAÇ_RAPORU_BURAK_YENI1309[[#This Row],[ALT_KOD]])+AVERAGEIFS(I:I,D:D,DST_123_ÜRETİM_İHTİYAÇ_RAPORU_BURAK_YENI1309[[#This Row],[ALT_KOD]])+AVERAGEIFS(L:L,D:D,DST_123_ÜRETİM_İHTİYAÇ_RAPORU_BURAK_YENI1309[[#This Row],[ALT_KOD]]))</f>
        <v>5</v>
      </c>
      <c r="L1127">
        <v>0</v>
      </c>
      <c r="M1127">
        <f>IF((DST_123_ÜRETİM_İHTİYAÇ_RAPORU_BURAK_YENI1309[[#This Row],[SATINALMA]]*DST_123_ÜRETİM_İHTİYAÇ_RAPORU_BURAK_YENI1309[[#This Row],[BIRIM_FIYATLAR]])&lt;1,VALUE("0"),DST_123_ÜRETİM_İHTİYAÇ_RAPORU_BURAK_YENI1309[[#This Row],[SATINALMA]]*DST_123_ÜRETİM_İHTİYAÇ_RAPORU_BURAK_YENI1309[[#This Row],[BIRIM_FIYATLAR]])</f>
        <v>12288.25</v>
      </c>
      <c r="N1127">
        <v>2457.65</v>
      </c>
      <c r="O1127" t="s">
        <v>634</v>
      </c>
      <c r="P1127">
        <v>2457.65</v>
      </c>
      <c r="Q1127" t="s">
        <v>177</v>
      </c>
    </row>
    <row r="1128" spans="1:17" x14ac:dyDescent="0.25">
      <c r="A1128" t="s">
        <v>1097</v>
      </c>
      <c r="B1128" t="s">
        <v>1055</v>
      </c>
      <c r="C1128" t="s">
        <v>175</v>
      </c>
      <c r="D1128" t="s">
        <v>363</v>
      </c>
      <c r="E1128" t="s">
        <v>364</v>
      </c>
      <c r="F1128">
        <v>10</v>
      </c>
      <c r="G1128" t="s">
        <v>179</v>
      </c>
      <c r="H1128">
        <v>0</v>
      </c>
      <c r="I1128">
        <v>100</v>
      </c>
      <c r="J1128" s="10">
        <v>159.90000000000003</v>
      </c>
      <c r="K1128" s="10">
        <f>SUMIFS(F:F,D:D,DST_123_ÜRETİM_İHTİYAÇ_RAPORU_BURAK_YENI1309[[#This Row],[ALT_KOD]])-(SUMIFS(H:H,D:D,DST_123_ÜRETİM_İHTİYAÇ_RAPORU_BURAK_YENI1309[[#This Row],[ALT_KOD]])+AVERAGEIFS(I:I,D:D,DST_123_ÜRETİM_İHTİYAÇ_RAPORU_BURAK_YENI1309[[#This Row],[ALT_KOD]])+AVERAGEIFS(L:L,D:D,DST_123_ÜRETİM_İHTİYAÇ_RAPORU_BURAK_YENI1309[[#This Row],[ALT_KOD]]))</f>
        <v>41.300000000000011</v>
      </c>
      <c r="L1128">
        <v>0</v>
      </c>
      <c r="M1128">
        <f>IF((DST_123_ÜRETİM_İHTİYAÇ_RAPORU_BURAK_YENI1309[[#This Row],[SATINALMA]]*DST_123_ÜRETİM_İHTİYAÇ_RAPORU_BURAK_YENI1309[[#This Row],[BIRIM_FIYATLAR]])&lt;1,VALUE("0"),DST_123_ÜRETİM_İHTİYAÇ_RAPORU_BURAK_YENI1309[[#This Row],[SATINALMA]]*DST_123_ÜRETİM_İHTİYAÇ_RAPORU_BURAK_YENI1309[[#This Row],[BIRIM_FIYATLAR]])</f>
        <v>929.25000000000023</v>
      </c>
      <c r="N1128">
        <v>22.5</v>
      </c>
      <c r="O1128" t="s">
        <v>314</v>
      </c>
      <c r="P1128">
        <v>225</v>
      </c>
      <c r="Q1128" t="s">
        <v>178</v>
      </c>
    </row>
    <row r="1129" spans="1:17" x14ac:dyDescent="0.25">
      <c r="A1129" t="s">
        <v>1142</v>
      </c>
      <c r="B1129" t="s">
        <v>1056</v>
      </c>
      <c r="C1129" t="s">
        <v>175</v>
      </c>
      <c r="D1129" t="s">
        <v>367</v>
      </c>
      <c r="E1129" t="s">
        <v>368</v>
      </c>
      <c r="F1129">
        <v>49</v>
      </c>
      <c r="G1129" t="s">
        <v>176</v>
      </c>
      <c r="H1129">
        <v>0</v>
      </c>
      <c r="I1129">
        <v>1000</v>
      </c>
      <c r="J1129" s="10">
        <v>396</v>
      </c>
      <c r="K1129" s="10">
        <f>SUMIFS(F:F,D:D,DST_123_ÜRETİM_İHTİYAÇ_RAPORU_BURAK_YENI1309[[#This Row],[ALT_KOD]])-(SUMIFS(H:H,D:D,DST_123_ÜRETİM_İHTİYAÇ_RAPORU_BURAK_YENI1309[[#This Row],[ALT_KOD]])+AVERAGEIFS(I:I,D:D,DST_123_ÜRETİM_İHTİYAÇ_RAPORU_BURAK_YENI1309[[#This Row],[ALT_KOD]])+AVERAGEIFS(L:L,D:D,DST_123_ÜRETİM_İHTİYAÇ_RAPORU_BURAK_YENI1309[[#This Row],[ALT_KOD]]))</f>
        <v>-91</v>
      </c>
      <c r="L1129">
        <v>0</v>
      </c>
      <c r="M1129">
        <f>IF((DST_123_ÜRETİM_İHTİYAÇ_RAPORU_BURAK_YENI1309[[#This Row],[SATINALMA]]*DST_123_ÜRETİM_İHTİYAÇ_RAPORU_BURAK_YENI1309[[#This Row],[BIRIM_FIYATLAR]])&lt;1,VALUE("0"),DST_123_ÜRETİM_İHTİYAÇ_RAPORU_BURAK_YENI1309[[#This Row],[SATINALMA]]*DST_123_ÜRETİM_İHTİYAÇ_RAPORU_BURAK_YENI1309[[#This Row],[BIRIM_FIYATLAR]])</f>
        <v>0</v>
      </c>
      <c r="N1129">
        <v>12.5</v>
      </c>
      <c r="O1129" t="s">
        <v>369</v>
      </c>
      <c r="P1129">
        <v>612.5</v>
      </c>
      <c r="Q1129" t="s">
        <v>180</v>
      </c>
    </row>
    <row r="1130" spans="1:17" x14ac:dyDescent="0.25">
      <c r="A1130" t="s">
        <v>1097</v>
      </c>
      <c r="B1130" t="s">
        <v>1055</v>
      </c>
      <c r="C1130" t="s">
        <v>175</v>
      </c>
      <c r="D1130" t="s">
        <v>367</v>
      </c>
      <c r="E1130" t="s">
        <v>368</v>
      </c>
      <c r="F1130">
        <v>46</v>
      </c>
      <c r="G1130" t="s">
        <v>176</v>
      </c>
      <c r="H1130">
        <v>0</v>
      </c>
      <c r="I1130">
        <v>1000</v>
      </c>
      <c r="J1130" s="10">
        <v>396</v>
      </c>
      <c r="K1130" s="10">
        <f>SUMIFS(F:F,D:D,DST_123_ÜRETİM_İHTİYAÇ_RAPORU_BURAK_YENI1309[[#This Row],[ALT_KOD]])-(SUMIFS(H:H,D:D,DST_123_ÜRETİM_İHTİYAÇ_RAPORU_BURAK_YENI1309[[#This Row],[ALT_KOD]])+AVERAGEIFS(I:I,D:D,DST_123_ÜRETİM_İHTİYAÇ_RAPORU_BURAK_YENI1309[[#This Row],[ALT_KOD]])+AVERAGEIFS(L:L,D:D,DST_123_ÜRETİM_İHTİYAÇ_RAPORU_BURAK_YENI1309[[#This Row],[ALT_KOD]]))</f>
        <v>-91</v>
      </c>
      <c r="L1130">
        <v>0</v>
      </c>
      <c r="M1130">
        <f>IF((DST_123_ÜRETİM_İHTİYAÇ_RAPORU_BURAK_YENI1309[[#This Row],[SATINALMA]]*DST_123_ÜRETİM_İHTİYAÇ_RAPORU_BURAK_YENI1309[[#This Row],[BIRIM_FIYATLAR]])&lt;1,VALUE("0"),DST_123_ÜRETİM_İHTİYAÇ_RAPORU_BURAK_YENI1309[[#This Row],[SATINALMA]]*DST_123_ÜRETİM_İHTİYAÇ_RAPORU_BURAK_YENI1309[[#This Row],[BIRIM_FIYATLAR]])</f>
        <v>0</v>
      </c>
      <c r="N1130">
        <v>12.5</v>
      </c>
      <c r="O1130" t="s">
        <v>369</v>
      </c>
      <c r="P1130">
        <v>575</v>
      </c>
      <c r="Q1130" t="s">
        <v>180</v>
      </c>
    </row>
    <row r="1131" spans="1:17" x14ac:dyDescent="0.25">
      <c r="A1131" t="s">
        <v>1179</v>
      </c>
      <c r="B1131" t="s">
        <v>1180</v>
      </c>
      <c r="C1131" t="s">
        <v>175</v>
      </c>
      <c r="D1131" t="s">
        <v>1202</v>
      </c>
      <c r="E1131" t="s">
        <v>1203</v>
      </c>
      <c r="F1131">
        <v>1</v>
      </c>
      <c r="G1131" t="s">
        <v>176</v>
      </c>
      <c r="H1131">
        <v>0</v>
      </c>
      <c r="I1131">
        <v>4</v>
      </c>
      <c r="J1131" s="10">
        <v>0</v>
      </c>
      <c r="K1131" s="10">
        <f>SUMIFS(F:F,D:D,DST_123_ÜRETİM_İHTİYAÇ_RAPORU_BURAK_YENI1309[[#This Row],[ALT_KOD]])-(SUMIFS(H:H,D:D,DST_123_ÜRETİM_İHTİYAÇ_RAPORU_BURAK_YENI1309[[#This Row],[ALT_KOD]])+AVERAGEIFS(I:I,D:D,DST_123_ÜRETİM_İHTİYAÇ_RAPORU_BURAK_YENI1309[[#This Row],[ALT_KOD]])+AVERAGEIFS(L:L,D:D,DST_123_ÜRETİM_İHTİYAÇ_RAPORU_BURAK_YENI1309[[#This Row],[ALT_KOD]]))</f>
        <v>-3</v>
      </c>
      <c r="L1131">
        <v>0</v>
      </c>
      <c r="M1131">
        <f>IF((DST_123_ÜRETİM_İHTİYAÇ_RAPORU_BURAK_YENI1309[[#This Row],[SATINALMA]]*DST_123_ÜRETİM_İHTİYAÇ_RAPORU_BURAK_YENI1309[[#This Row],[BIRIM_FIYATLAR]])&lt;1,VALUE("0"),DST_123_ÜRETİM_İHTİYAÇ_RAPORU_BURAK_YENI1309[[#This Row],[SATINALMA]]*DST_123_ÜRETİM_İHTİYAÇ_RAPORU_BURAK_YENI1309[[#This Row],[BIRIM_FIYATLAR]])</f>
        <v>0</v>
      </c>
      <c r="N1131">
        <v>873.08</v>
      </c>
      <c r="O1131" t="s">
        <v>289</v>
      </c>
      <c r="P1131">
        <v>873.08</v>
      </c>
      <c r="Q1131" t="s">
        <v>178</v>
      </c>
    </row>
    <row r="1132" spans="1:17" x14ac:dyDescent="0.25">
      <c r="A1132" t="s">
        <v>1057</v>
      </c>
      <c r="B1132" t="s">
        <v>1058</v>
      </c>
      <c r="C1132" t="s">
        <v>175</v>
      </c>
      <c r="D1132" t="s">
        <v>363</v>
      </c>
      <c r="E1132" t="s">
        <v>364</v>
      </c>
      <c r="F1132">
        <v>7.5</v>
      </c>
      <c r="G1132" t="s">
        <v>179</v>
      </c>
      <c r="H1132">
        <v>0</v>
      </c>
      <c r="I1132">
        <v>100</v>
      </c>
      <c r="J1132" s="10">
        <v>159.90000000000003</v>
      </c>
      <c r="K1132" s="10">
        <f>SUMIFS(F:F,D:D,DST_123_ÜRETİM_İHTİYAÇ_RAPORU_BURAK_YENI1309[[#This Row],[ALT_KOD]])-(SUMIFS(H:H,D:D,DST_123_ÜRETİM_İHTİYAÇ_RAPORU_BURAK_YENI1309[[#This Row],[ALT_KOD]])+AVERAGEIFS(I:I,D:D,DST_123_ÜRETİM_İHTİYAÇ_RAPORU_BURAK_YENI1309[[#This Row],[ALT_KOD]])+AVERAGEIFS(L:L,D:D,DST_123_ÜRETİM_İHTİYAÇ_RAPORU_BURAK_YENI1309[[#This Row],[ALT_KOD]]))</f>
        <v>41.300000000000011</v>
      </c>
      <c r="L1132">
        <v>0</v>
      </c>
      <c r="M1132">
        <f>IF((DST_123_ÜRETİM_İHTİYAÇ_RAPORU_BURAK_YENI1309[[#This Row],[SATINALMA]]*DST_123_ÜRETİM_İHTİYAÇ_RAPORU_BURAK_YENI1309[[#This Row],[BIRIM_FIYATLAR]])&lt;1,VALUE("0"),DST_123_ÜRETİM_İHTİYAÇ_RAPORU_BURAK_YENI1309[[#This Row],[SATINALMA]]*DST_123_ÜRETİM_İHTİYAÇ_RAPORU_BURAK_YENI1309[[#This Row],[BIRIM_FIYATLAR]])</f>
        <v>929.25000000000023</v>
      </c>
      <c r="N1132">
        <v>22.5</v>
      </c>
      <c r="O1132" t="s">
        <v>314</v>
      </c>
      <c r="P1132">
        <v>168.75</v>
      </c>
      <c r="Q1132" t="s">
        <v>178</v>
      </c>
    </row>
    <row r="1133" spans="1:17" x14ac:dyDescent="0.25">
      <c r="A1133" t="s">
        <v>1144</v>
      </c>
      <c r="B1133" t="s">
        <v>1145</v>
      </c>
      <c r="C1133" t="s">
        <v>175</v>
      </c>
      <c r="D1133" t="s">
        <v>363</v>
      </c>
      <c r="E1133" t="s">
        <v>364</v>
      </c>
      <c r="F1133">
        <v>7.5</v>
      </c>
      <c r="G1133" t="s">
        <v>179</v>
      </c>
      <c r="H1133">
        <v>0</v>
      </c>
      <c r="I1133">
        <v>100</v>
      </c>
      <c r="J1133" s="10">
        <v>159.90000000000003</v>
      </c>
      <c r="K1133" s="10">
        <f>SUMIFS(F:F,D:D,DST_123_ÜRETİM_İHTİYAÇ_RAPORU_BURAK_YENI1309[[#This Row],[ALT_KOD]])-(SUMIFS(H:H,D:D,DST_123_ÜRETİM_İHTİYAÇ_RAPORU_BURAK_YENI1309[[#This Row],[ALT_KOD]])+AVERAGEIFS(I:I,D:D,DST_123_ÜRETİM_İHTİYAÇ_RAPORU_BURAK_YENI1309[[#This Row],[ALT_KOD]])+AVERAGEIFS(L:L,D:D,DST_123_ÜRETİM_İHTİYAÇ_RAPORU_BURAK_YENI1309[[#This Row],[ALT_KOD]]))</f>
        <v>41.300000000000011</v>
      </c>
      <c r="L1133">
        <v>0</v>
      </c>
      <c r="M1133">
        <f>IF((DST_123_ÜRETİM_İHTİYAÇ_RAPORU_BURAK_YENI1309[[#This Row],[SATINALMA]]*DST_123_ÜRETİM_İHTİYAÇ_RAPORU_BURAK_YENI1309[[#This Row],[BIRIM_FIYATLAR]])&lt;1,VALUE("0"),DST_123_ÜRETİM_İHTİYAÇ_RAPORU_BURAK_YENI1309[[#This Row],[SATINALMA]]*DST_123_ÜRETİM_İHTİYAÇ_RAPORU_BURAK_YENI1309[[#This Row],[BIRIM_FIYATLAR]])</f>
        <v>929.25000000000023</v>
      </c>
      <c r="N1133">
        <v>22.5</v>
      </c>
      <c r="O1133" t="s">
        <v>314</v>
      </c>
      <c r="P1133">
        <v>168.75</v>
      </c>
      <c r="Q1133" t="s">
        <v>178</v>
      </c>
    </row>
    <row r="1134" spans="1:17" x14ac:dyDescent="0.25">
      <c r="A1134" t="s">
        <v>1146</v>
      </c>
      <c r="B1134" t="s">
        <v>1145</v>
      </c>
      <c r="C1134" t="s">
        <v>175</v>
      </c>
      <c r="D1134" t="s">
        <v>363</v>
      </c>
      <c r="E1134" t="s">
        <v>364</v>
      </c>
      <c r="F1134">
        <v>7.5</v>
      </c>
      <c r="G1134" t="s">
        <v>179</v>
      </c>
      <c r="H1134">
        <v>0</v>
      </c>
      <c r="I1134">
        <v>100</v>
      </c>
      <c r="J1134" s="10">
        <v>159.90000000000003</v>
      </c>
      <c r="K1134" s="10">
        <f>SUMIFS(F:F,D:D,DST_123_ÜRETİM_İHTİYAÇ_RAPORU_BURAK_YENI1309[[#This Row],[ALT_KOD]])-(SUMIFS(H:H,D:D,DST_123_ÜRETİM_İHTİYAÇ_RAPORU_BURAK_YENI1309[[#This Row],[ALT_KOD]])+AVERAGEIFS(I:I,D:D,DST_123_ÜRETİM_İHTİYAÇ_RAPORU_BURAK_YENI1309[[#This Row],[ALT_KOD]])+AVERAGEIFS(L:L,D:D,DST_123_ÜRETİM_İHTİYAÇ_RAPORU_BURAK_YENI1309[[#This Row],[ALT_KOD]]))</f>
        <v>41.300000000000011</v>
      </c>
      <c r="L1134">
        <v>0</v>
      </c>
      <c r="M1134">
        <f>IF((DST_123_ÜRETİM_İHTİYAÇ_RAPORU_BURAK_YENI1309[[#This Row],[SATINALMA]]*DST_123_ÜRETİM_İHTİYAÇ_RAPORU_BURAK_YENI1309[[#This Row],[BIRIM_FIYATLAR]])&lt;1,VALUE("0"),DST_123_ÜRETİM_İHTİYAÇ_RAPORU_BURAK_YENI1309[[#This Row],[SATINALMA]]*DST_123_ÜRETİM_İHTİYAÇ_RAPORU_BURAK_YENI1309[[#This Row],[BIRIM_FIYATLAR]])</f>
        <v>929.25000000000023</v>
      </c>
      <c r="N1134">
        <v>22.5</v>
      </c>
      <c r="O1134" t="s">
        <v>314</v>
      </c>
      <c r="P1134">
        <v>168.75</v>
      </c>
      <c r="Q1134" t="s">
        <v>178</v>
      </c>
    </row>
    <row r="1135" spans="1:17" x14ac:dyDescent="0.25">
      <c r="A1135" t="s">
        <v>1144</v>
      </c>
      <c r="B1135" t="s">
        <v>1145</v>
      </c>
      <c r="C1135" t="s">
        <v>175</v>
      </c>
      <c r="D1135" t="s">
        <v>155</v>
      </c>
      <c r="E1135" t="s">
        <v>156</v>
      </c>
      <c r="F1135">
        <v>0.01</v>
      </c>
      <c r="G1135" t="s">
        <v>179</v>
      </c>
      <c r="H1135">
        <v>0</v>
      </c>
      <c r="I1135">
        <v>200</v>
      </c>
      <c r="J1135" s="10">
        <v>74.999999999999957</v>
      </c>
      <c r="K1135" s="10">
        <f>SUMIFS(F:F,D:D,DST_123_ÜRETİM_İHTİYAÇ_RAPORU_BURAK_YENI1309[[#This Row],[ALT_KOD]])-(SUMIFS(H:H,D:D,DST_123_ÜRETİM_İHTİYAÇ_RAPORU_BURAK_YENI1309[[#This Row],[ALT_KOD]])+AVERAGEIFS(I:I,D:D,DST_123_ÜRETİM_İHTİYAÇ_RAPORU_BURAK_YENI1309[[#This Row],[ALT_KOD]])+AVERAGEIFS(L:L,D:D,DST_123_ÜRETİM_İHTİYAÇ_RAPORU_BURAK_YENI1309[[#This Row],[ALT_KOD]]))</f>
        <v>-198.95</v>
      </c>
      <c r="L1135">
        <v>0</v>
      </c>
      <c r="M1135">
        <f>IF((DST_123_ÜRETİM_İHTİYAÇ_RAPORU_BURAK_YENI1309[[#This Row],[SATINALMA]]*DST_123_ÜRETİM_İHTİYAÇ_RAPORU_BURAK_YENI1309[[#This Row],[BIRIM_FIYATLAR]])&lt;1,VALUE("0"),DST_123_ÜRETİM_İHTİYAÇ_RAPORU_BURAK_YENI1309[[#This Row],[SATINALMA]]*DST_123_ÜRETİM_İHTİYAÇ_RAPORU_BURAK_YENI1309[[#This Row],[BIRIM_FIYATLAR]])</f>
        <v>0</v>
      </c>
      <c r="N1135">
        <v>7.4</v>
      </c>
      <c r="O1135" t="s">
        <v>635</v>
      </c>
      <c r="P1135">
        <v>7.400000000000001E-2</v>
      </c>
      <c r="Q1135" t="s">
        <v>221</v>
      </c>
    </row>
    <row r="1136" spans="1:17" x14ac:dyDescent="0.25">
      <c r="A1136" t="s">
        <v>1099</v>
      </c>
      <c r="B1136" t="s">
        <v>1055</v>
      </c>
      <c r="C1136" t="s">
        <v>175</v>
      </c>
      <c r="D1136" t="s">
        <v>66</v>
      </c>
      <c r="E1136" t="s">
        <v>1229</v>
      </c>
      <c r="F1136">
        <v>8</v>
      </c>
      <c r="G1136" t="s">
        <v>176</v>
      </c>
      <c r="H1136">
        <v>0</v>
      </c>
      <c r="I1136">
        <v>0</v>
      </c>
      <c r="J1136" s="10">
        <v>128</v>
      </c>
      <c r="K1136" s="10">
        <f>SUMIFS(F:F,D:D,DST_123_ÜRETİM_İHTİYAÇ_RAPORU_BURAK_YENI1309[[#This Row],[ALT_KOD]])-(SUMIFS(H:H,D:D,DST_123_ÜRETİM_İHTİYAÇ_RAPORU_BURAK_YENI1309[[#This Row],[ALT_KOD]])+AVERAGEIFS(I:I,D:D,DST_123_ÜRETİM_İHTİYAÇ_RAPORU_BURAK_YENI1309[[#This Row],[ALT_KOD]])+AVERAGEIFS(L:L,D:D,DST_123_ÜRETİM_İHTİYAÇ_RAPORU_BURAK_YENI1309[[#This Row],[ALT_KOD]]))</f>
        <v>70</v>
      </c>
      <c r="L1136">
        <v>40</v>
      </c>
      <c r="M1136">
        <f>IF((DST_123_ÜRETİM_İHTİYAÇ_RAPORU_BURAK_YENI1309[[#This Row],[SATINALMA]]*DST_123_ÜRETİM_İHTİYAÇ_RAPORU_BURAK_YENI1309[[#This Row],[BIRIM_FIYATLAR]])&lt;1,VALUE("0"),DST_123_ÜRETİM_İHTİYAÇ_RAPORU_BURAK_YENI1309[[#This Row],[SATINALMA]]*DST_123_ÜRETİM_İHTİYAÇ_RAPORU_BURAK_YENI1309[[#This Row],[BIRIM_FIYATLAR]])</f>
        <v>4200</v>
      </c>
      <c r="N1136">
        <v>60</v>
      </c>
      <c r="O1136" t="s">
        <v>821</v>
      </c>
      <c r="P1136">
        <v>480</v>
      </c>
      <c r="Q1136" t="s">
        <v>180</v>
      </c>
    </row>
    <row r="1137" spans="1:17" x14ac:dyDescent="0.25">
      <c r="A1137" t="s">
        <v>1099</v>
      </c>
      <c r="B1137" t="s">
        <v>1055</v>
      </c>
      <c r="C1137" t="s">
        <v>175</v>
      </c>
      <c r="D1137" t="s">
        <v>110</v>
      </c>
      <c r="E1137" t="s">
        <v>111</v>
      </c>
      <c r="F1137">
        <v>1</v>
      </c>
      <c r="G1137" t="s">
        <v>176</v>
      </c>
      <c r="H1137">
        <v>1</v>
      </c>
      <c r="I1137">
        <v>0</v>
      </c>
      <c r="J1137" s="10">
        <v>10</v>
      </c>
      <c r="K1137" s="10">
        <f>SUMIFS(F:F,D:D,DST_123_ÜRETİM_İHTİYAÇ_RAPORU_BURAK_YENI1309[[#This Row],[ALT_KOD]])-(SUMIFS(H:H,D:D,DST_123_ÜRETİM_İHTİYAÇ_RAPORU_BURAK_YENI1309[[#This Row],[ALT_KOD]])+AVERAGEIFS(I:I,D:D,DST_123_ÜRETİM_İHTİYAÇ_RAPORU_BURAK_YENI1309[[#This Row],[ALT_KOD]])+AVERAGEIFS(L:L,D:D,DST_123_ÜRETİM_İHTİYAÇ_RAPORU_BURAK_YENI1309[[#This Row],[ALT_KOD]]))</f>
        <v>0</v>
      </c>
      <c r="L1137">
        <v>11</v>
      </c>
      <c r="M1137">
        <f>IF((DST_123_ÜRETİM_İHTİYAÇ_RAPORU_BURAK_YENI1309[[#This Row],[SATINALMA]]*DST_123_ÜRETİM_İHTİYAÇ_RAPORU_BURAK_YENI1309[[#This Row],[BIRIM_FIYATLAR]])&lt;1,VALUE("0"),DST_123_ÜRETİM_İHTİYAÇ_RAPORU_BURAK_YENI1309[[#This Row],[SATINALMA]]*DST_123_ÜRETİM_İHTİYAÇ_RAPORU_BURAK_YENI1309[[#This Row],[BIRIM_FIYATLAR]])</f>
        <v>0</v>
      </c>
      <c r="N1137">
        <v>675</v>
      </c>
      <c r="O1137" t="s">
        <v>632</v>
      </c>
      <c r="P1137">
        <v>675</v>
      </c>
      <c r="Q1137" t="s">
        <v>177</v>
      </c>
    </row>
    <row r="1138" spans="1:17" x14ac:dyDescent="0.25">
      <c r="A1138" t="s">
        <v>1196</v>
      </c>
      <c r="B1138" t="s">
        <v>1197</v>
      </c>
      <c r="C1138" t="s">
        <v>175</v>
      </c>
      <c r="D1138" t="s">
        <v>114</v>
      </c>
      <c r="E1138" t="s">
        <v>115</v>
      </c>
      <c r="F1138">
        <v>1.504</v>
      </c>
      <c r="G1138" t="s">
        <v>185</v>
      </c>
      <c r="H1138">
        <v>0</v>
      </c>
      <c r="I1138">
        <v>0</v>
      </c>
      <c r="J1138" s="10">
        <v>65.03100000000002</v>
      </c>
      <c r="K1138" s="10">
        <f>SUMIFS(F:F,D:D,DST_123_ÜRETİM_İHTİYAÇ_RAPORU_BURAK_YENI1309[[#This Row],[ALT_KOD]])-(SUMIFS(H:H,D:D,DST_123_ÜRETİM_İHTİYAÇ_RAPORU_BURAK_YENI1309[[#This Row],[ALT_KOD]])+AVERAGEIFS(I:I,D:D,DST_123_ÜRETİM_İHTİYAÇ_RAPORU_BURAK_YENI1309[[#This Row],[ALT_KOD]])+AVERAGEIFS(L:L,D:D,DST_123_ÜRETİM_İHTİYAÇ_RAPORU_BURAK_YENI1309[[#This Row],[ALT_KOD]]))</f>
        <v>17.948</v>
      </c>
      <c r="L1138">
        <v>0</v>
      </c>
      <c r="M1138">
        <f>IF((DST_123_ÜRETİM_İHTİYAÇ_RAPORU_BURAK_YENI1309[[#This Row],[SATINALMA]]*DST_123_ÜRETİM_İHTİYAÇ_RAPORU_BURAK_YENI1309[[#This Row],[BIRIM_FIYATLAR]])&lt;1,VALUE("0"),DST_123_ÜRETİM_İHTİYAÇ_RAPORU_BURAK_YENI1309[[#This Row],[SATINALMA]]*DST_123_ÜRETİM_İHTİYAÇ_RAPORU_BURAK_YENI1309[[#This Row],[BIRIM_FIYATLAR]])</f>
        <v>6991.2844399999994</v>
      </c>
      <c r="N1138">
        <v>389.53</v>
      </c>
      <c r="O1138" t="s">
        <v>490</v>
      </c>
      <c r="P1138">
        <v>585.85311999999999</v>
      </c>
      <c r="Q1138" t="s">
        <v>183</v>
      </c>
    </row>
    <row r="1139" spans="1:17" x14ac:dyDescent="0.25">
      <c r="A1139" t="s">
        <v>1101</v>
      </c>
      <c r="B1139" t="s">
        <v>1102</v>
      </c>
      <c r="C1139" t="s">
        <v>175</v>
      </c>
      <c r="D1139" t="s">
        <v>456</v>
      </c>
      <c r="E1139" t="s">
        <v>457</v>
      </c>
      <c r="F1139">
        <v>74</v>
      </c>
      <c r="G1139" t="s">
        <v>176</v>
      </c>
      <c r="H1139">
        <v>0</v>
      </c>
      <c r="I1139">
        <v>3000</v>
      </c>
      <c r="J1139" s="10">
        <v>1138</v>
      </c>
      <c r="K1139" s="10">
        <f>SUMIFS(F:F,D:D,DST_123_ÜRETİM_İHTİYAÇ_RAPORU_BURAK_YENI1309[[#This Row],[ALT_KOD]])-(SUMIFS(H:H,D:D,DST_123_ÜRETİM_İHTİYAÇ_RAPORU_BURAK_YENI1309[[#This Row],[ALT_KOD]])+AVERAGEIFS(I:I,D:D,DST_123_ÜRETİM_İHTİYAÇ_RAPORU_BURAK_YENI1309[[#This Row],[ALT_KOD]])+AVERAGEIFS(L:L,D:D,DST_123_ÜRETİM_İHTİYAÇ_RAPORU_BURAK_YENI1309[[#This Row],[ALT_KOD]]))</f>
        <v>-1738</v>
      </c>
      <c r="L1139">
        <v>0</v>
      </c>
      <c r="M1139">
        <f>IF((DST_123_ÜRETİM_İHTİYAÇ_RAPORU_BURAK_YENI1309[[#This Row],[SATINALMA]]*DST_123_ÜRETİM_İHTİYAÇ_RAPORU_BURAK_YENI1309[[#This Row],[BIRIM_FIYATLAR]])&lt;1,VALUE("0"),DST_123_ÜRETİM_İHTİYAÇ_RAPORU_BURAK_YENI1309[[#This Row],[SATINALMA]]*DST_123_ÜRETİM_İHTİYAÇ_RAPORU_BURAK_YENI1309[[#This Row],[BIRIM_FIYATLAR]])</f>
        <v>0</v>
      </c>
      <c r="N1139">
        <v>0.93</v>
      </c>
      <c r="O1139" t="s">
        <v>882</v>
      </c>
      <c r="P1139">
        <v>68.820000000000007</v>
      </c>
      <c r="Q1139" t="s">
        <v>180</v>
      </c>
    </row>
    <row r="1140" spans="1:17" x14ac:dyDescent="0.25">
      <c r="A1140" t="s">
        <v>1147</v>
      </c>
      <c r="B1140" t="s">
        <v>1145</v>
      </c>
      <c r="C1140" t="s">
        <v>175</v>
      </c>
      <c r="D1140" t="s">
        <v>114</v>
      </c>
      <c r="E1140" t="s">
        <v>115</v>
      </c>
      <c r="F1140">
        <v>1.4909999999999999</v>
      </c>
      <c r="G1140" t="s">
        <v>185</v>
      </c>
      <c r="H1140">
        <v>0</v>
      </c>
      <c r="I1140">
        <v>0</v>
      </c>
      <c r="J1140" s="10">
        <v>65.03100000000002</v>
      </c>
      <c r="K1140" s="10">
        <f>SUMIFS(F:F,D:D,DST_123_ÜRETİM_İHTİYAÇ_RAPORU_BURAK_YENI1309[[#This Row],[ALT_KOD]])-(SUMIFS(H:H,D:D,DST_123_ÜRETİM_İHTİYAÇ_RAPORU_BURAK_YENI1309[[#This Row],[ALT_KOD]])+AVERAGEIFS(I:I,D:D,DST_123_ÜRETİM_İHTİYAÇ_RAPORU_BURAK_YENI1309[[#This Row],[ALT_KOD]])+AVERAGEIFS(L:L,D:D,DST_123_ÜRETİM_İHTİYAÇ_RAPORU_BURAK_YENI1309[[#This Row],[ALT_KOD]]))</f>
        <v>17.948</v>
      </c>
      <c r="L1140">
        <v>0</v>
      </c>
      <c r="M1140">
        <f>IF((DST_123_ÜRETİM_İHTİYAÇ_RAPORU_BURAK_YENI1309[[#This Row],[SATINALMA]]*DST_123_ÜRETİM_İHTİYAÇ_RAPORU_BURAK_YENI1309[[#This Row],[BIRIM_FIYATLAR]])&lt;1,VALUE("0"),DST_123_ÜRETİM_İHTİYAÇ_RAPORU_BURAK_YENI1309[[#This Row],[SATINALMA]]*DST_123_ÜRETİM_İHTİYAÇ_RAPORU_BURAK_YENI1309[[#This Row],[BIRIM_FIYATLAR]])</f>
        <v>6991.2844399999994</v>
      </c>
      <c r="N1140">
        <v>389.53</v>
      </c>
      <c r="O1140" t="s">
        <v>490</v>
      </c>
      <c r="P1140">
        <v>580.78922999999986</v>
      </c>
      <c r="Q1140" t="s">
        <v>183</v>
      </c>
    </row>
    <row r="1141" spans="1:17" x14ac:dyDescent="0.25">
      <c r="A1141" t="s">
        <v>1179</v>
      </c>
      <c r="B1141" t="s">
        <v>1180</v>
      </c>
      <c r="C1141" t="s">
        <v>175</v>
      </c>
      <c r="D1141" t="s">
        <v>114</v>
      </c>
      <c r="E1141" t="s">
        <v>115</v>
      </c>
      <c r="F1141">
        <v>1.135</v>
      </c>
      <c r="G1141" t="s">
        <v>185</v>
      </c>
      <c r="H1141">
        <v>0</v>
      </c>
      <c r="I1141">
        <v>0</v>
      </c>
      <c r="J1141" s="10">
        <v>65.03100000000002</v>
      </c>
      <c r="K1141" s="10">
        <f>SUMIFS(F:F,D:D,DST_123_ÜRETİM_İHTİYAÇ_RAPORU_BURAK_YENI1309[[#This Row],[ALT_KOD]])-(SUMIFS(H:H,D:D,DST_123_ÜRETİM_İHTİYAÇ_RAPORU_BURAK_YENI1309[[#This Row],[ALT_KOD]])+AVERAGEIFS(I:I,D:D,DST_123_ÜRETİM_İHTİYAÇ_RAPORU_BURAK_YENI1309[[#This Row],[ALT_KOD]])+AVERAGEIFS(L:L,D:D,DST_123_ÜRETİM_İHTİYAÇ_RAPORU_BURAK_YENI1309[[#This Row],[ALT_KOD]]))</f>
        <v>17.948</v>
      </c>
      <c r="L1141">
        <v>0</v>
      </c>
      <c r="M1141">
        <f>IF((DST_123_ÜRETİM_İHTİYAÇ_RAPORU_BURAK_YENI1309[[#This Row],[SATINALMA]]*DST_123_ÜRETİM_İHTİYAÇ_RAPORU_BURAK_YENI1309[[#This Row],[BIRIM_FIYATLAR]])&lt;1,VALUE("0"),DST_123_ÜRETİM_İHTİYAÇ_RAPORU_BURAK_YENI1309[[#This Row],[SATINALMA]]*DST_123_ÜRETİM_İHTİYAÇ_RAPORU_BURAK_YENI1309[[#This Row],[BIRIM_FIYATLAR]])</f>
        <v>6991.2844399999994</v>
      </c>
      <c r="N1141">
        <v>389.53</v>
      </c>
      <c r="O1141" t="s">
        <v>490</v>
      </c>
      <c r="P1141">
        <v>442.11654999999996</v>
      </c>
      <c r="Q1141" t="s">
        <v>183</v>
      </c>
    </row>
    <row r="1142" spans="1:17" x14ac:dyDescent="0.25">
      <c r="A1142" t="s">
        <v>1101</v>
      </c>
      <c r="B1142" t="s">
        <v>1102</v>
      </c>
      <c r="C1142" t="s">
        <v>175</v>
      </c>
      <c r="D1142" t="s">
        <v>229</v>
      </c>
      <c r="E1142" t="s">
        <v>230</v>
      </c>
      <c r="F1142">
        <v>2</v>
      </c>
      <c r="G1142" t="s">
        <v>176</v>
      </c>
      <c r="H1142">
        <v>0</v>
      </c>
      <c r="I1142">
        <v>238</v>
      </c>
      <c r="J1142" s="10">
        <v>90</v>
      </c>
      <c r="K1142" s="10">
        <f>SUMIFS(F:F,D:D,DST_123_ÜRETİM_İHTİYAÇ_RAPORU_BURAK_YENI1309[[#This Row],[ALT_KOD]])-(SUMIFS(H:H,D:D,DST_123_ÜRETİM_İHTİYAÇ_RAPORU_BURAK_YENI1309[[#This Row],[ALT_KOD]])+AVERAGEIFS(I:I,D:D,DST_123_ÜRETİM_İHTİYAÇ_RAPORU_BURAK_YENI1309[[#This Row],[ALT_KOD]])+AVERAGEIFS(L:L,D:D,DST_123_ÜRETİM_İHTİYAÇ_RAPORU_BURAK_YENI1309[[#This Row],[ALT_KOD]]))</f>
        <v>-200</v>
      </c>
      <c r="L1142">
        <v>0</v>
      </c>
      <c r="M1142">
        <f>IF((DST_123_ÜRETİM_İHTİYAÇ_RAPORU_BURAK_YENI1309[[#This Row],[SATINALMA]]*DST_123_ÜRETİM_İHTİYAÇ_RAPORU_BURAK_YENI1309[[#This Row],[BIRIM_FIYATLAR]])&lt;1,VALUE("0"),DST_123_ÜRETİM_İHTİYAÇ_RAPORU_BURAK_YENI1309[[#This Row],[SATINALMA]]*DST_123_ÜRETİM_İHTİYAÇ_RAPORU_BURAK_YENI1309[[#This Row],[BIRIM_FIYATLAR]])</f>
        <v>0</v>
      </c>
      <c r="N1142">
        <v>4</v>
      </c>
      <c r="O1142" t="s">
        <v>220</v>
      </c>
      <c r="P1142">
        <v>8</v>
      </c>
      <c r="Q1142" t="s">
        <v>221</v>
      </c>
    </row>
    <row r="1143" spans="1:17" x14ac:dyDescent="0.25">
      <c r="A1143" t="s">
        <v>1101</v>
      </c>
      <c r="B1143" t="s">
        <v>1102</v>
      </c>
      <c r="C1143" t="s">
        <v>175</v>
      </c>
      <c r="D1143" t="s">
        <v>359</v>
      </c>
      <c r="E1143" t="s">
        <v>360</v>
      </c>
      <c r="F1143">
        <v>10</v>
      </c>
      <c r="G1143" t="s">
        <v>176</v>
      </c>
      <c r="H1143">
        <v>0</v>
      </c>
      <c r="I1143">
        <v>14472</v>
      </c>
      <c r="J1143" s="10">
        <v>3376</v>
      </c>
      <c r="K1143" s="10">
        <f>SUMIFS(F:F,D:D,DST_123_ÜRETİM_İHTİYAÇ_RAPORU_BURAK_YENI1309[[#This Row],[ALT_KOD]])-(SUMIFS(H:H,D:D,DST_123_ÜRETİM_İHTİYAÇ_RAPORU_BURAK_YENI1309[[#This Row],[ALT_KOD]])+AVERAGEIFS(I:I,D:D,DST_123_ÜRETİM_İHTİYAÇ_RAPORU_BURAK_YENI1309[[#This Row],[ALT_KOD]])+AVERAGEIFS(L:L,D:D,DST_123_ÜRETİM_İHTİYAÇ_RAPORU_BURAK_YENI1309[[#This Row],[ALT_KOD]]))</f>
        <v>-14340</v>
      </c>
      <c r="L1143">
        <v>0</v>
      </c>
      <c r="M1143">
        <f>IF((DST_123_ÜRETİM_İHTİYAÇ_RAPORU_BURAK_YENI1309[[#This Row],[SATINALMA]]*DST_123_ÜRETİM_İHTİYAÇ_RAPORU_BURAK_YENI1309[[#This Row],[BIRIM_FIYATLAR]])&lt;1,VALUE("0"),DST_123_ÜRETİM_İHTİYAÇ_RAPORU_BURAK_YENI1309[[#This Row],[SATINALMA]]*DST_123_ÜRETİM_İHTİYAÇ_RAPORU_BURAK_YENI1309[[#This Row],[BIRIM_FIYATLAR]])</f>
        <v>0</v>
      </c>
      <c r="N1143">
        <v>0.04</v>
      </c>
      <c r="P1143">
        <v>0.4</v>
      </c>
      <c r="Q1143" t="s">
        <v>180</v>
      </c>
    </row>
    <row r="1144" spans="1:17" x14ac:dyDescent="0.25">
      <c r="A1144" t="s">
        <v>1057</v>
      </c>
      <c r="B1144" t="s">
        <v>1058</v>
      </c>
      <c r="C1144" t="s">
        <v>175</v>
      </c>
      <c r="D1144" t="s">
        <v>456</v>
      </c>
      <c r="E1144" t="s">
        <v>457</v>
      </c>
      <c r="F1144">
        <v>58</v>
      </c>
      <c r="G1144" t="s">
        <v>176</v>
      </c>
      <c r="H1144">
        <v>0</v>
      </c>
      <c r="I1144">
        <v>3000</v>
      </c>
      <c r="J1144" s="10">
        <v>1138</v>
      </c>
      <c r="K1144" s="10">
        <f>SUMIFS(F:F,D:D,DST_123_ÜRETİM_İHTİYAÇ_RAPORU_BURAK_YENI1309[[#This Row],[ALT_KOD]])-(SUMIFS(H:H,D:D,DST_123_ÜRETİM_İHTİYAÇ_RAPORU_BURAK_YENI1309[[#This Row],[ALT_KOD]])+AVERAGEIFS(I:I,D:D,DST_123_ÜRETİM_İHTİYAÇ_RAPORU_BURAK_YENI1309[[#This Row],[ALT_KOD]])+AVERAGEIFS(L:L,D:D,DST_123_ÜRETİM_İHTİYAÇ_RAPORU_BURAK_YENI1309[[#This Row],[ALT_KOD]]))</f>
        <v>-1738</v>
      </c>
      <c r="L1144">
        <v>0</v>
      </c>
      <c r="M1144">
        <f>IF((DST_123_ÜRETİM_İHTİYAÇ_RAPORU_BURAK_YENI1309[[#This Row],[SATINALMA]]*DST_123_ÜRETİM_İHTİYAÇ_RAPORU_BURAK_YENI1309[[#This Row],[BIRIM_FIYATLAR]])&lt;1,VALUE("0"),DST_123_ÜRETİM_İHTİYAÇ_RAPORU_BURAK_YENI1309[[#This Row],[SATINALMA]]*DST_123_ÜRETİM_İHTİYAÇ_RAPORU_BURAK_YENI1309[[#This Row],[BIRIM_FIYATLAR]])</f>
        <v>0</v>
      </c>
      <c r="N1144">
        <v>0.93</v>
      </c>
      <c r="O1144" t="s">
        <v>882</v>
      </c>
      <c r="P1144">
        <v>53.940000000000005</v>
      </c>
      <c r="Q1144" t="s">
        <v>180</v>
      </c>
    </row>
    <row r="1145" spans="1:17" x14ac:dyDescent="0.25">
      <c r="A1145" t="s">
        <v>1100</v>
      </c>
      <c r="B1145" t="s">
        <v>1058</v>
      </c>
      <c r="C1145" t="s">
        <v>175</v>
      </c>
      <c r="D1145" t="s">
        <v>456</v>
      </c>
      <c r="E1145" t="s">
        <v>457</v>
      </c>
      <c r="F1145">
        <v>58</v>
      </c>
      <c r="G1145" t="s">
        <v>176</v>
      </c>
      <c r="H1145">
        <v>0</v>
      </c>
      <c r="I1145">
        <v>3000</v>
      </c>
      <c r="J1145" s="10">
        <v>1138</v>
      </c>
      <c r="K1145" s="10">
        <f>SUMIFS(F:F,D:D,DST_123_ÜRETİM_İHTİYAÇ_RAPORU_BURAK_YENI1309[[#This Row],[ALT_KOD]])-(SUMIFS(H:H,D:D,DST_123_ÜRETİM_İHTİYAÇ_RAPORU_BURAK_YENI1309[[#This Row],[ALT_KOD]])+AVERAGEIFS(I:I,D:D,DST_123_ÜRETİM_İHTİYAÇ_RAPORU_BURAK_YENI1309[[#This Row],[ALT_KOD]])+AVERAGEIFS(L:L,D:D,DST_123_ÜRETİM_İHTİYAÇ_RAPORU_BURAK_YENI1309[[#This Row],[ALT_KOD]]))</f>
        <v>-1738</v>
      </c>
      <c r="L1145">
        <v>0</v>
      </c>
      <c r="M1145">
        <f>IF((DST_123_ÜRETİM_İHTİYAÇ_RAPORU_BURAK_YENI1309[[#This Row],[SATINALMA]]*DST_123_ÜRETİM_İHTİYAÇ_RAPORU_BURAK_YENI1309[[#This Row],[BIRIM_FIYATLAR]])&lt;1,VALUE("0"),DST_123_ÜRETİM_İHTİYAÇ_RAPORU_BURAK_YENI1309[[#This Row],[SATINALMA]]*DST_123_ÜRETİM_İHTİYAÇ_RAPORU_BURAK_YENI1309[[#This Row],[BIRIM_FIYATLAR]])</f>
        <v>0</v>
      </c>
      <c r="N1145">
        <v>0.93</v>
      </c>
      <c r="O1145" t="s">
        <v>882</v>
      </c>
      <c r="P1145">
        <v>53.940000000000005</v>
      </c>
      <c r="Q1145" t="s">
        <v>180</v>
      </c>
    </row>
    <row r="1146" spans="1:17" x14ac:dyDescent="0.25">
      <c r="A1146" t="s">
        <v>1101</v>
      </c>
      <c r="B1146" t="s">
        <v>1102</v>
      </c>
      <c r="C1146" t="s">
        <v>175</v>
      </c>
      <c r="D1146" t="s">
        <v>66</v>
      </c>
      <c r="E1146" t="s">
        <v>1229</v>
      </c>
      <c r="F1146">
        <v>7</v>
      </c>
      <c r="G1146" t="s">
        <v>176</v>
      </c>
      <c r="H1146">
        <v>0</v>
      </c>
      <c r="I1146">
        <v>0</v>
      </c>
      <c r="J1146" s="10">
        <v>128</v>
      </c>
      <c r="K1146" s="10">
        <f>SUMIFS(F:F,D:D,DST_123_ÜRETİM_İHTİYAÇ_RAPORU_BURAK_YENI1309[[#This Row],[ALT_KOD]])-(SUMIFS(H:H,D:D,DST_123_ÜRETİM_İHTİYAÇ_RAPORU_BURAK_YENI1309[[#This Row],[ALT_KOD]])+AVERAGEIFS(I:I,D:D,DST_123_ÜRETİM_İHTİYAÇ_RAPORU_BURAK_YENI1309[[#This Row],[ALT_KOD]])+AVERAGEIFS(L:L,D:D,DST_123_ÜRETİM_İHTİYAÇ_RAPORU_BURAK_YENI1309[[#This Row],[ALT_KOD]]))</f>
        <v>70</v>
      </c>
      <c r="L1146">
        <v>40</v>
      </c>
      <c r="M1146">
        <f>IF((DST_123_ÜRETİM_İHTİYAÇ_RAPORU_BURAK_YENI1309[[#This Row],[SATINALMA]]*DST_123_ÜRETİM_İHTİYAÇ_RAPORU_BURAK_YENI1309[[#This Row],[BIRIM_FIYATLAR]])&lt;1,VALUE("0"),DST_123_ÜRETİM_İHTİYAÇ_RAPORU_BURAK_YENI1309[[#This Row],[SATINALMA]]*DST_123_ÜRETİM_İHTİYAÇ_RAPORU_BURAK_YENI1309[[#This Row],[BIRIM_FIYATLAR]])</f>
        <v>4200</v>
      </c>
      <c r="N1146">
        <v>60</v>
      </c>
      <c r="O1146" t="s">
        <v>821</v>
      </c>
      <c r="P1146">
        <v>420</v>
      </c>
      <c r="Q1146" t="s">
        <v>180</v>
      </c>
    </row>
    <row r="1147" spans="1:17" x14ac:dyDescent="0.25">
      <c r="A1147" t="s">
        <v>1057</v>
      </c>
      <c r="B1147" t="s">
        <v>1058</v>
      </c>
      <c r="C1147" t="s">
        <v>175</v>
      </c>
      <c r="D1147" t="s">
        <v>112</v>
      </c>
      <c r="E1147" t="s">
        <v>113</v>
      </c>
      <c r="F1147">
        <v>1</v>
      </c>
      <c r="G1147" t="s">
        <v>176</v>
      </c>
      <c r="H1147">
        <v>1</v>
      </c>
      <c r="I1147">
        <v>2</v>
      </c>
      <c r="J1147" s="10">
        <v>4</v>
      </c>
      <c r="K1147" s="10">
        <f>SUMIFS(F:F,D:D,DST_123_ÜRETİM_İHTİYAÇ_RAPORU_BURAK_YENI1309[[#This Row],[ALT_KOD]])-(SUMIFS(H:H,D:D,DST_123_ÜRETİM_İHTİYAÇ_RAPORU_BURAK_YENI1309[[#This Row],[ALT_KOD]])+AVERAGEIFS(I:I,D:D,DST_123_ÜRETİM_İHTİYAÇ_RAPORU_BURAK_YENI1309[[#This Row],[ALT_KOD]])+AVERAGEIFS(L:L,D:D,DST_123_ÜRETİM_İHTİYAÇ_RAPORU_BURAK_YENI1309[[#This Row],[ALT_KOD]]))</f>
        <v>5</v>
      </c>
      <c r="L1147">
        <v>0</v>
      </c>
      <c r="M1147">
        <f>IF((DST_123_ÜRETİM_İHTİYAÇ_RAPORU_BURAK_YENI1309[[#This Row],[SATINALMA]]*DST_123_ÜRETİM_İHTİYAÇ_RAPORU_BURAK_YENI1309[[#This Row],[BIRIM_FIYATLAR]])&lt;1,VALUE("0"),DST_123_ÜRETİM_İHTİYAÇ_RAPORU_BURAK_YENI1309[[#This Row],[SATINALMA]]*DST_123_ÜRETİM_İHTİYAÇ_RAPORU_BURAK_YENI1309[[#This Row],[BIRIM_FIYATLAR]])</f>
        <v>37250</v>
      </c>
      <c r="N1147">
        <v>7450</v>
      </c>
      <c r="O1147" t="s">
        <v>584</v>
      </c>
      <c r="P1147">
        <v>7450</v>
      </c>
      <c r="Q1147" t="s">
        <v>177</v>
      </c>
    </row>
    <row r="1148" spans="1:17" x14ac:dyDescent="0.25">
      <c r="A1148" t="s">
        <v>1100</v>
      </c>
      <c r="B1148" t="s">
        <v>1058</v>
      </c>
      <c r="C1148" t="s">
        <v>175</v>
      </c>
      <c r="D1148" t="s">
        <v>112</v>
      </c>
      <c r="E1148" t="s">
        <v>113</v>
      </c>
      <c r="F1148">
        <v>1</v>
      </c>
      <c r="G1148" t="s">
        <v>176</v>
      </c>
      <c r="H1148">
        <v>1</v>
      </c>
      <c r="I1148">
        <v>2</v>
      </c>
      <c r="J1148" s="10">
        <v>4</v>
      </c>
      <c r="K1148" s="10">
        <f>SUMIFS(F:F,D:D,DST_123_ÜRETİM_İHTİYAÇ_RAPORU_BURAK_YENI1309[[#This Row],[ALT_KOD]])-(SUMIFS(H:H,D:D,DST_123_ÜRETİM_İHTİYAÇ_RAPORU_BURAK_YENI1309[[#This Row],[ALT_KOD]])+AVERAGEIFS(I:I,D:D,DST_123_ÜRETİM_İHTİYAÇ_RAPORU_BURAK_YENI1309[[#This Row],[ALT_KOD]])+AVERAGEIFS(L:L,D:D,DST_123_ÜRETİM_İHTİYAÇ_RAPORU_BURAK_YENI1309[[#This Row],[ALT_KOD]]))</f>
        <v>5</v>
      </c>
      <c r="L1148">
        <v>0</v>
      </c>
      <c r="M1148">
        <f>IF((DST_123_ÜRETİM_İHTİYAÇ_RAPORU_BURAK_YENI1309[[#This Row],[SATINALMA]]*DST_123_ÜRETİM_İHTİYAÇ_RAPORU_BURAK_YENI1309[[#This Row],[BIRIM_FIYATLAR]])&lt;1,VALUE("0"),DST_123_ÜRETİM_İHTİYAÇ_RAPORU_BURAK_YENI1309[[#This Row],[SATINALMA]]*DST_123_ÜRETİM_İHTİYAÇ_RAPORU_BURAK_YENI1309[[#This Row],[BIRIM_FIYATLAR]])</f>
        <v>37250</v>
      </c>
      <c r="N1148">
        <v>7450</v>
      </c>
      <c r="O1148" t="s">
        <v>584</v>
      </c>
      <c r="P1148">
        <v>7450</v>
      </c>
      <c r="Q1148" t="s">
        <v>177</v>
      </c>
    </row>
    <row r="1149" spans="1:17" x14ac:dyDescent="0.25">
      <c r="A1149" t="s">
        <v>1179</v>
      </c>
      <c r="B1149" t="s">
        <v>1180</v>
      </c>
      <c r="C1149" t="s">
        <v>175</v>
      </c>
      <c r="D1149" t="s">
        <v>0</v>
      </c>
      <c r="E1149" t="s">
        <v>1</v>
      </c>
      <c r="F1149">
        <v>3</v>
      </c>
      <c r="G1149" t="s">
        <v>176</v>
      </c>
      <c r="H1149">
        <v>0</v>
      </c>
      <c r="I1149">
        <v>67</v>
      </c>
      <c r="J1149" s="10">
        <v>24</v>
      </c>
      <c r="K1149" s="10">
        <f>SUMIFS(F:F,D:D,DST_123_ÜRETİM_İHTİYAÇ_RAPORU_BURAK_YENI1309[[#This Row],[ALT_KOD]])-(SUMIFS(H:H,D:D,DST_123_ÜRETİM_İHTİYAÇ_RAPORU_BURAK_YENI1309[[#This Row],[ALT_KOD]])+AVERAGEIFS(I:I,D:D,DST_123_ÜRETİM_İHTİYAÇ_RAPORU_BURAK_YENI1309[[#This Row],[ALT_KOD]])+AVERAGEIFS(L:L,D:D,DST_123_ÜRETİM_İHTİYAÇ_RAPORU_BURAK_YENI1309[[#This Row],[ALT_KOD]]))</f>
        <v>-38</v>
      </c>
      <c r="L1149">
        <v>0</v>
      </c>
      <c r="M1149">
        <f>IF((DST_123_ÜRETİM_İHTİYAÇ_RAPORU_BURAK_YENI1309[[#This Row],[SATINALMA]]*DST_123_ÜRETİM_İHTİYAÇ_RAPORU_BURAK_YENI1309[[#This Row],[BIRIM_FIYATLAR]])&lt;1,VALUE("0"),DST_123_ÜRETİM_İHTİYAÇ_RAPORU_BURAK_YENI1309[[#This Row],[SATINALMA]]*DST_123_ÜRETİM_İHTİYAÇ_RAPORU_BURAK_YENI1309[[#This Row],[BIRIM_FIYATLAR]])</f>
        <v>0</v>
      </c>
      <c r="N1149">
        <v>640</v>
      </c>
      <c r="O1149" t="s">
        <v>220</v>
      </c>
      <c r="P1149">
        <v>1920</v>
      </c>
      <c r="Q1149" t="s">
        <v>221</v>
      </c>
    </row>
    <row r="1150" spans="1:17" x14ac:dyDescent="0.25">
      <c r="A1150" t="s">
        <v>1101</v>
      </c>
      <c r="B1150" t="s">
        <v>1102</v>
      </c>
      <c r="C1150" t="s">
        <v>175</v>
      </c>
      <c r="D1150" t="s">
        <v>0</v>
      </c>
      <c r="E1150" t="s">
        <v>1</v>
      </c>
      <c r="F1150">
        <v>2</v>
      </c>
      <c r="G1150" t="s">
        <v>176</v>
      </c>
      <c r="H1150">
        <v>2</v>
      </c>
      <c r="I1150">
        <v>67</v>
      </c>
      <c r="J1150" s="10">
        <v>24</v>
      </c>
      <c r="K1150" s="10">
        <f>SUMIFS(F:F,D:D,DST_123_ÜRETİM_İHTİYAÇ_RAPORU_BURAK_YENI1309[[#This Row],[ALT_KOD]])-(SUMIFS(H:H,D:D,DST_123_ÜRETİM_İHTİYAÇ_RAPORU_BURAK_YENI1309[[#This Row],[ALT_KOD]])+AVERAGEIFS(I:I,D:D,DST_123_ÜRETİM_İHTİYAÇ_RAPORU_BURAK_YENI1309[[#This Row],[ALT_KOD]])+AVERAGEIFS(L:L,D:D,DST_123_ÜRETİM_İHTİYAÇ_RAPORU_BURAK_YENI1309[[#This Row],[ALT_KOD]]))</f>
        <v>-38</v>
      </c>
      <c r="L1150">
        <v>0</v>
      </c>
      <c r="M1150">
        <f>IF((DST_123_ÜRETİM_İHTİYAÇ_RAPORU_BURAK_YENI1309[[#This Row],[SATINALMA]]*DST_123_ÜRETİM_İHTİYAÇ_RAPORU_BURAK_YENI1309[[#This Row],[BIRIM_FIYATLAR]])&lt;1,VALUE("0"),DST_123_ÜRETİM_İHTİYAÇ_RAPORU_BURAK_YENI1309[[#This Row],[SATINALMA]]*DST_123_ÜRETİM_İHTİYAÇ_RAPORU_BURAK_YENI1309[[#This Row],[BIRIM_FIYATLAR]])</f>
        <v>0</v>
      </c>
      <c r="N1150">
        <v>640</v>
      </c>
      <c r="O1150" t="s">
        <v>220</v>
      </c>
      <c r="P1150">
        <v>1280</v>
      </c>
      <c r="Q1150" t="s">
        <v>221</v>
      </c>
    </row>
    <row r="1151" spans="1:17" x14ac:dyDescent="0.25">
      <c r="A1151" t="s">
        <v>1057</v>
      </c>
      <c r="B1151" t="s">
        <v>1058</v>
      </c>
      <c r="C1151" t="s">
        <v>175</v>
      </c>
      <c r="D1151" t="s">
        <v>229</v>
      </c>
      <c r="E1151" t="s">
        <v>230</v>
      </c>
      <c r="F1151">
        <v>2</v>
      </c>
      <c r="G1151" t="s">
        <v>176</v>
      </c>
      <c r="H1151">
        <v>0</v>
      </c>
      <c r="I1151">
        <v>238</v>
      </c>
      <c r="J1151" s="10">
        <v>90</v>
      </c>
      <c r="K1151" s="10">
        <f>SUMIFS(F:F,D:D,DST_123_ÜRETİM_İHTİYAÇ_RAPORU_BURAK_YENI1309[[#This Row],[ALT_KOD]])-(SUMIFS(H:H,D:D,DST_123_ÜRETİM_İHTİYAÇ_RAPORU_BURAK_YENI1309[[#This Row],[ALT_KOD]])+AVERAGEIFS(I:I,D:D,DST_123_ÜRETİM_İHTİYAÇ_RAPORU_BURAK_YENI1309[[#This Row],[ALT_KOD]])+AVERAGEIFS(L:L,D:D,DST_123_ÜRETİM_İHTİYAÇ_RAPORU_BURAK_YENI1309[[#This Row],[ALT_KOD]]))</f>
        <v>-200</v>
      </c>
      <c r="L1151">
        <v>0</v>
      </c>
      <c r="M1151">
        <f>IF((DST_123_ÜRETİM_İHTİYAÇ_RAPORU_BURAK_YENI1309[[#This Row],[SATINALMA]]*DST_123_ÜRETİM_İHTİYAÇ_RAPORU_BURAK_YENI1309[[#This Row],[BIRIM_FIYATLAR]])&lt;1,VALUE("0"),DST_123_ÜRETİM_İHTİYAÇ_RAPORU_BURAK_YENI1309[[#This Row],[SATINALMA]]*DST_123_ÜRETİM_İHTİYAÇ_RAPORU_BURAK_YENI1309[[#This Row],[BIRIM_FIYATLAR]])</f>
        <v>0</v>
      </c>
      <c r="N1151">
        <v>4</v>
      </c>
      <c r="O1151" t="s">
        <v>220</v>
      </c>
      <c r="P1151">
        <v>8</v>
      </c>
      <c r="Q1151" t="s">
        <v>221</v>
      </c>
    </row>
    <row r="1152" spans="1:17" x14ac:dyDescent="0.25">
      <c r="A1152" t="s">
        <v>1100</v>
      </c>
      <c r="B1152" t="s">
        <v>1058</v>
      </c>
      <c r="C1152" t="s">
        <v>175</v>
      </c>
      <c r="D1152" t="s">
        <v>229</v>
      </c>
      <c r="E1152" t="s">
        <v>230</v>
      </c>
      <c r="F1152">
        <v>2</v>
      </c>
      <c r="G1152" t="s">
        <v>176</v>
      </c>
      <c r="H1152">
        <v>0</v>
      </c>
      <c r="I1152">
        <v>238</v>
      </c>
      <c r="J1152" s="10">
        <v>90</v>
      </c>
      <c r="K1152" s="10">
        <f>SUMIFS(F:F,D:D,DST_123_ÜRETİM_İHTİYAÇ_RAPORU_BURAK_YENI1309[[#This Row],[ALT_KOD]])-(SUMIFS(H:H,D:D,DST_123_ÜRETİM_İHTİYAÇ_RAPORU_BURAK_YENI1309[[#This Row],[ALT_KOD]])+AVERAGEIFS(I:I,D:D,DST_123_ÜRETİM_İHTİYAÇ_RAPORU_BURAK_YENI1309[[#This Row],[ALT_KOD]])+AVERAGEIFS(L:L,D:D,DST_123_ÜRETİM_İHTİYAÇ_RAPORU_BURAK_YENI1309[[#This Row],[ALT_KOD]]))</f>
        <v>-200</v>
      </c>
      <c r="L1152">
        <v>0</v>
      </c>
      <c r="M1152">
        <f>IF((DST_123_ÜRETİM_İHTİYAÇ_RAPORU_BURAK_YENI1309[[#This Row],[SATINALMA]]*DST_123_ÜRETİM_İHTİYAÇ_RAPORU_BURAK_YENI1309[[#This Row],[BIRIM_FIYATLAR]])&lt;1,VALUE("0"),DST_123_ÜRETİM_İHTİYAÇ_RAPORU_BURAK_YENI1309[[#This Row],[SATINALMA]]*DST_123_ÜRETİM_İHTİYAÇ_RAPORU_BURAK_YENI1309[[#This Row],[BIRIM_FIYATLAR]])</f>
        <v>0</v>
      </c>
      <c r="N1152">
        <v>4</v>
      </c>
      <c r="O1152" t="s">
        <v>220</v>
      </c>
      <c r="P1152">
        <v>8</v>
      </c>
      <c r="Q1152" t="s">
        <v>221</v>
      </c>
    </row>
    <row r="1153" spans="1:17" x14ac:dyDescent="0.25">
      <c r="A1153" t="s">
        <v>1148</v>
      </c>
      <c r="B1153" t="s">
        <v>1056</v>
      </c>
      <c r="C1153" t="s">
        <v>175</v>
      </c>
      <c r="D1153" t="s">
        <v>229</v>
      </c>
      <c r="E1153" t="s">
        <v>230</v>
      </c>
      <c r="F1153">
        <v>2</v>
      </c>
      <c r="G1153" t="s">
        <v>176</v>
      </c>
      <c r="H1153">
        <v>0</v>
      </c>
      <c r="I1153">
        <v>238</v>
      </c>
      <c r="J1153" s="10">
        <v>90</v>
      </c>
      <c r="K1153" s="10">
        <f>SUMIFS(F:F,D:D,DST_123_ÜRETİM_İHTİYAÇ_RAPORU_BURAK_YENI1309[[#This Row],[ALT_KOD]])-(SUMIFS(H:H,D:D,DST_123_ÜRETİM_İHTİYAÇ_RAPORU_BURAK_YENI1309[[#This Row],[ALT_KOD]])+AVERAGEIFS(I:I,D:D,DST_123_ÜRETİM_İHTİYAÇ_RAPORU_BURAK_YENI1309[[#This Row],[ALT_KOD]])+AVERAGEIFS(L:L,D:D,DST_123_ÜRETİM_İHTİYAÇ_RAPORU_BURAK_YENI1309[[#This Row],[ALT_KOD]]))</f>
        <v>-200</v>
      </c>
      <c r="L1153">
        <v>0</v>
      </c>
      <c r="M1153">
        <f>IF((DST_123_ÜRETİM_İHTİYAÇ_RAPORU_BURAK_YENI1309[[#This Row],[SATINALMA]]*DST_123_ÜRETİM_İHTİYAÇ_RAPORU_BURAK_YENI1309[[#This Row],[BIRIM_FIYATLAR]])&lt;1,VALUE("0"),DST_123_ÜRETİM_İHTİYAÇ_RAPORU_BURAK_YENI1309[[#This Row],[SATINALMA]]*DST_123_ÜRETİM_İHTİYAÇ_RAPORU_BURAK_YENI1309[[#This Row],[BIRIM_FIYATLAR]])</f>
        <v>0</v>
      </c>
      <c r="N1153">
        <v>4</v>
      </c>
      <c r="O1153" t="s">
        <v>220</v>
      </c>
      <c r="P1153">
        <v>8</v>
      </c>
      <c r="Q1153" t="s">
        <v>221</v>
      </c>
    </row>
    <row r="1154" spans="1:17" x14ac:dyDescent="0.25">
      <c r="A1154" t="s">
        <v>1144</v>
      </c>
      <c r="B1154" t="s">
        <v>1145</v>
      </c>
      <c r="C1154" t="s">
        <v>175</v>
      </c>
      <c r="D1154" t="s">
        <v>229</v>
      </c>
      <c r="E1154" t="s">
        <v>230</v>
      </c>
      <c r="F1154">
        <v>2</v>
      </c>
      <c r="G1154" t="s">
        <v>176</v>
      </c>
      <c r="H1154">
        <v>0</v>
      </c>
      <c r="I1154">
        <v>238</v>
      </c>
      <c r="J1154" s="10">
        <v>90</v>
      </c>
      <c r="K1154" s="10">
        <f>SUMIFS(F:F,D:D,DST_123_ÜRETİM_İHTİYAÇ_RAPORU_BURAK_YENI1309[[#This Row],[ALT_KOD]])-(SUMIFS(H:H,D:D,DST_123_ÜRETİM_İHTİYAÇ_RAPORU_BURAK_YENI1309[[#This Row],[ALT_KOD]])+AVERAGEIFS(I:I,D:D,DST_123_ÜRETİM_İHTİYAÇ_RAPORU_BURAK_YENI1309[[#This Row],[ALT_KOD]])+AVERAGEIFS(L:L,D:D,DST_123_ÜRETİM_İHTİYAÇ_RAPORU_BURAK_YENI1309[[#This Row],[ALT_KOD]]))</f>
        <v>-200</v>
      </c>
      <c r="L1154">
        <v>0</v>
      </c>
      <c r="M1154">
        <f>IF((DST_123_ÜRETİM_İHTİYAÇ_RAPORU_BURAK_YENI1309[[#This Row],[SATINALMA]]*DST_123_ÜRETİM_İHTİYAÇ_RAPORU_BURAK_YENI1309[[#This Row],[BIRIM_FIYATLAR]])&lt;1,VALUE("0"),DST_123_ÜRETİM_İHTİYAÇ_RAPORU_BURAK_YENI1309[[#This Row],[SATINALMA]]*DST_123_ÜRETİM_İHTİYAÇ_RAPORU_BURAK_YENI1309[[#This Row],[BIRIM_FIYATLAR]])</f>
        <v>0</v>
      </c>
      <c r="N1154">
        <v>4</v>
      </c>
      <c r="O1154" t="s">
        <v>220</v>
      </c>
      <c r="P1154">
        <v>8</v>
      </c>
      <c r="Q1154" t="s">
        <v>221</v>
      </c>
    </row>
    <row r="1155" spans="1:17" x14ac:dyDescent="0.25">
      <c r="A1155" t="s">
        <v>1146</v>
      </c>
      <c r="B1155" t="s">
        <v>1145</v>
      </c>
      <c r="C1155" t="s">
        <v>175</v>
      </c>
      <c r="D1155" t="s">
        <v>229</v>
      </c>
      <c r="E1155" t="s">
        <v>230</v>
      </c>
      <c r="F1155">
        <v>2</v>
      </c>
      <c r="G1155" t="s">
        <v>176</v>
      </c>
      <c r="H1155">
        <v>0</v>
      </c>
      <c r="I1155">
        <v>238</v>
      </c>
      <c r="J1155" s="10">
        <v>90</v>
      </c>
      <c r="K1155" s="10">
        <f>SUMIFS(F:F,D:D,DST_123_ÜRETİM_İHTİYAÇ_RAPORU_BURAK_YENI1309[[#This Row],[ALT_KOD]])-(SUMIFS(H:H,D:D,DST_123_ÜRETİM_İHTİYAÇ_RAPORU_BURAK_YENI1309[[#This Row],[ALT_KOD]])+AVERAGEIFS(I:I,D:D,DST_123_ÜRETİM_İHTİYAÇ_RAPORU_BURAK_YENI1309[[#This Row],[ALT_KOD]])+AVERAGEIFS(L:L,D:D,DST_123_ÜRETİM_İHTİYAÇ_RAPORU_BURAK_YENI1309[[#This Row],[ALT_KOD]]))</f>
        <v>-200</v>
      </c>
      <c r="L1155">
        <v>0</v>
      </c>
      <c r="M1155">
        <f>IF((DST_123_ÜRETİM_İHTİYAÇ_RAPORU_BURAK_YENI1309[[#This Row],[SATINALMA]]*DST_123_ÜRETİM_İHTİYAÇ_RAPORU_BURAK_YENI1309[[#This Row],[BIRIM_FIYATLAR]])&lt;1,VALUE("0"),DST_123_ÜRETİM_İHTİYAÇ_RAPORU_BURAK_YENI1309[[#This Row],[SATINALMA]]*DST_123_ÜRETİM_İHTİYAÇ_RAPORU_BURAK_YENI1309[[#This Row],[BIRIM_FIYATLAR]])</f>
        <v>0</v>
      </c>
      <c r="N1155">
        <v>4</v>
      </c>
      <c r="O1155" t="s">
        <v>220</v>
      </c>
      <c r="P1155">
        <v>8</v>
      </c>
      <c r="Q1155" t="s">
        <v>221</v>
      </c>
    </row>
    <row r="1156" spans="1:17" x14ac:dyDescent="0.25">
      <c r="A1156" t="s">
        <v>1144</v>
      </c>
      <c r="B1156" t="s">
        <v>1145</v>
      </c>
      <c r="C1156" t="s">
        <v>175</v>
      </c>
      <c r="D1156" t="s">
        <v>54</v>
      </c>
      <c r="E1156" t="s">
        <v>55</v>
      </c>
      <c r="F1156">
        <v>1</v>
      </c>
      <c r="G1156" t="s">
        <v>176</v>
      </c>
      <c r="H1156">
        <v>0</v>
      </c>
      <c r="I1156">
        <v>9</v>
      </c>
      <c r="J1156" s="10">
        <v>13</v>
      </c>
      <c r="K1156" s="10">
        <f>SUMIFS(F:F,D:D,DST_123_ÜRETİM_İHTİYAÇ_RAPORU_BURAK_YENI1309[[#This Row],[ALT_KOD]])-(SUMIFS(H:H,D:D,DST_123_ÜRETİM_İHTİYAÇ_RAPORU_BURAK_YENI1309[[#This Row],[ALT_KOD]])+AVERAGEIFS(I:I,D:D,DST_123_ÜRETİM_İHTİYAÇ_RAPORU_BURAK_YENI1309[[#This Row],[ALT_KOD]])+AVERAGEIFS(L:L,D:D,DST_123_ÜRETİM_İHTİYAÇ_RAPORU_BURAK_YENI1309[[#This Row],[ALT_KOD]]))</f>
        <v>-1</v>
      </c>
      <c r="L1156">
        <v>4</v>
      </c>
      <c r="M1156">
        <f>IF((DST_123_ÜRETİM_İHTİYAÇ_RAPORU_BURAK_YENI1309[[#This Row],[SATINALMA]]*DST_123_ÜRETİM_İHTİYAÇ_RAPORU_BURAK_YENI1309[[#This Row],[BIRIM_FIYATLAR]])&lt;1,VALUE("0"),DST_123_ÜRETİM_İHTİYAÇ_RAPORU_BURAK_YENI1309[[#This Row],[SATINALMA]]*DST_123_ÜRETİM_İHTİYAÇ_RAPORU_BURAK_YENI1309[[#This Row],[BIRIM_FIYATLAR]])</f>
        <v>0</v>
      </c>
      <c r="N1156">
        <v>1600</v>
      </c>
      <c r="O1156" t="s">
        <v>217</v>
      </c>
      <c r="P1156">
        <v>1600</v>
      </c>
      <c r="Q1156" t="s">
        <v>221</v>
      </c>
    </row>
    <row r="1157" spans="1:17" x14ac:dyDescent="0.25">
      <c r="A1157" t="s">
        <v>1144</v>
      </c>
      <c r="B1157" t="s">
        <v>1145</v>
      </c>
      <c r="C1157" t="s">
        <v>175</v>
      </c>
      <c r="D1157" t="s">
        <v>414</v>
      </c>
      <c r="E1157" t="s">
        <v>415</v>
      </c>
      <c r="F1157">
        <v>0.1</v>
      </c>
      <c r="G1157" t="s">
        <v>179</v>
      </c>
      <c r="H1157">
        <v>0</v>
      </c>
      <c r="I1157">
        <v>50</v>
      </c>
      <c r="J1157" s="10">
        <v>2.8310687127941492E-15</v>
      </c>
      <c r="K1157" s="10">
        <f>SUMIFS(F:F,D:D,DST_123_ÜRETİM_İHTİYAÇ_RAPORU_BURAK_YENI1309[[#This Row],[ALT_KOD]])-(SUMIFS(H:H,D:D,DST_123_ÜRETİM_İHTİYAÇ_RAPORU_BURAK_YENI1309[[#This Row],[ALT_KOD]])+AVERAGEIFS(I:I,D:D,DST_123_ÜRETİM_İHTİYAÇ_RAPORU_BURAK_YENI1309[[#This Row],[ALT_KOD]])+AVERAGEIFS(L:L,D:D,DST_123_ÜRETİM_İHTİYAÇ_RAPORU_BURAK_YENI1309[[#This Row],[ALT_KOD]]))</f>
        <v>-47.8</v>
      </c>
      <c r="L1157">
        <v>0</v>
      </c>
      <c r="M1157">
        <f>IF((DST_123_ÜRETİM_İHTİYAÇ_RAPORU_BURAK_YENI1309[[#This Row],[SATINALMA]]*DST_123_ÜRETİM_İHTİYAÇ_RAPORU_BURAK_YENI1309[[#This Row],[BIRIM_FIYATLAR]])&lt;1,VALUE("0"),DST_123_ÜRETİM_İHTİYAÇ_RAPORU_BURAK_YENI1309[[#This Row],[SATINALMA]]*DST_123_ÜRETİM_İHTİYAÇ_RAPORU_BURAK_YENI1309[[#This Row],[BIRIM_FIYATLAR]])</f>
        <v>0</v>
      </c>
      <c r="N1157">
        <v>25.41</v>
      </c>
      <c r="O1157" t="s">
        <v>826</v>
      </c>
      <c r="P1157">
        <v>2.5410000000000004</v>
      </c>
      <c r="Q1157" t="s">
        <v>221</v>
      </c>
    </row>
    <row r="1158" spans="1:17" x14ac:dyDescent="0.25">
      <c r="A1158" t="s">
        <v>1146</v>
      </c>
      <c r="B1158" t="s">
        <v>1145</v>
      </c>
      <c r="C1158" t="s">
        <v>175</v>
      </c>
      <c r="D1158" t="s">
        <v>414</v>
      </c>
      <c r="E1158" t="s">
        <v>415</v>
      </c>
      <c r="F1158">
        <v>0.1</v>
      </c>
      <c r="G1158" t="s">
        <v>179</v>
      </c>
      <c r="H1158">
        <v>0</v>
      </c>
      <c r="I1158">
        <v>50</v>
      </c>
      <c r="J1158" s="10">
        <v>2.8310687127941492E-15</v>
      </c>
      <c r="K1158" s="10">
        <f>SUMIFS(F:F,D:D,DST_123_ÜRETİM_İHTİYAÇ_RAPORU_BURAK_YENI1309[[#This Row],[ALT_KOD]])-(SUMIFS(H:H,D:D,DST_123_ÜRETİM_İHTİYAÇ_RAPORU_BURAK_YENI1309[[#This Row],[ALT_KOD]])+AVERAGEIFS(I:I,D:D,DST_123_ÜRETİM_İHTİYAÇ_RAPORU_BURAK_YENI1309[[#This Row],[ALT_KOD]])+AVERAGEIFS(L:L,D:D,DST_123_ÜRETİM_İHTİYAÇ_RAPORU_BURAK_YENI1309[[#This Row],[ALT_KOD]]))</f>
        <v>-47.8</v>
      </c>
      <c r="L1158">
        <v>0</v>
      </c>
      <c r="M1158">
        <f>IF((DST_123_ÜRETİM_İHTİYAÇ_RAPORU_BURAK_YENI1309[[#This Row],[SATINALMA]]*DST_123_ÜRETİM_İHTİYAÇ_RAPORU_BURAK_YENI1309[[#This Row],[BIRIM_FIYATLAR]])&lt;1,VALUE("0"),DST_123_ÜRETİM_İHTİYAÇ_RAPORU_BURAK_YENI1309[[#This Row],[SATINALMA]]*DST_123_ÜRETİM_İHTİYAÇ_RAPORU_BURAK_YENI1309[[#This Row],[BIRIM_FIYATLAR]])</f>
        <v>0</v>
      </c>
      <c r="N1158">
        <v>25.41</v>
      </c>
      <c r="O1158" t="s">
        <v>826</v>
      </c>
      <c r="P1158">
        <v>2.5410000000000004</v>
      </c>
      <c r="Q1158" t="s">
        <v>221</v>
      </c>
    </row>
    <row r="1159" spans="1:17" x14ac:dyDescent="0.25">
      <c r="A1159" t="s">
        <v>1144</v>
      </c>
      <c r="B1159" t="s">
        <v>1145</v>
      </c>
      <c r="C1159" t="s">
        <v>175</v>
      </c>
      <c r="D1159" t="s">
        <v>768</v>
      </c>
      <c r="E1159" t="s">
        <v>769</v>
      </c>
      <c r="F1159">
        <v>6</v>
      </c>
      <c r="G1159" t="s">
        <v>176</v>
      </c>
      <c r="H1159">
        <v>0</v>
      </c>
      <c r="I1159">
        <v>0</v>
      </c>
      <c r="J1159" s="10">
        <v>0</v>
      </c>
      <c r="K1159" s="10">
        <f>SUMIFS(F:F,D:D,DST_123_ÜRETİM_İHTİYAÇ_RAPORU_BURAK_YENI1309[[#This Row],[ALT_KOD]])-(SUMIFS(H:H,D:D,DST_123_ÜRETİM_İHTİYAÇ_RAPORU_BURAK_YENI1309[[#This Row],[ALT_KOD]])+AVERAGEIFS(I:I,D:D,DST_123_ÜRETİM_İHTİYAÇ_RAPORU_BURAK_YENI1309[[#This Row],[ALT_KOD]])+AVERAGEIFS(L:L,D:D,DST_123_ÜRETİM_İHTİYAÇ_RAPORU_BURAK_YENI1309[[#This Row],[ALT_KOD]]))</f>
        <v>54</v>
      </c>
      <c r="L1159">
        <v>0</v>
      </c>
      <c r="M1159">
        <f>IF((DST_123_ÜRETİM_İHTİYAÇ_RAPORU_BURAK_YENI1309[[#This Row],[SATINALMA]]*DST_123_ÜRETİM_İHTİYAÇ_RAPORU_BURAK_YENI1309[[#This Row],[BIRIM_FIYATLAR]])&lt;1,VALUE("0"),DST_123_ÜRETİM_İHTİYAÇ_RAPORU_BURAK_YENI1309[[#This Row],[SATINALMA]]*DST_123_ÜRETİM_İHTİYAÇ_RAPORU_BURAK_YENI1309[[#This Row],[BIRIM_FIYATLAR]])</f>
        <v>67.5</v>
      </c>
      <c r="N1159">
        <v>1.25</v>
      </c>
      <c r="O1159" t="s">
        <v>220</v>
      </c>
      <c r="P1159">
        <v>7.5</v>
      </c>
      <c r="Q1159" t="s">
        <v>221</v>
      </c>
    </row>
    <row r="1160" spans="1:17" x14ac:dyDescent="0.25">
      <c r="A1160" t="s">
        <v>1146</v>
      </c>
      <c r="B1160" t="s">
        <v>1145</v>
      </c>
      <c r="C1160" t="s">
        <v>175</v>
      </c>
      <c r="D1160" t="s">
        <v>768</v>
      </c>
      <c r="E1160" t="s">
        <v>769</v>
      </c>
      <c r="F1160">
        <v>6</v>
      </c>
      <c r="G1160" t="s">
        <v>176</v>
      </c>
      <c r="H1160">
        <v>0</v>
      </c>
      <c r="I1160">
        <v>0</v>
      </c>
      <c r="J1160" s="10">
        <v>0</v>
      </c>
      <c r="K1160" s="10">
        <f>SUMIFS(F:F,D:D,DST_123_ÜRETİM_İHTİYAÇ_RAPORU_BURAK_YENI1309[[#This Row],[ALT_KOD]])-(SUMIFS(H:H,D:D,DST_123_ÜRETİM_İHTİYAÇ_RAPORU_BURAK_YENI1309[[#This Row],[ALT_KOD]])+AVERAGEIFS(I:I,D:D,DST_123_ÜRETİM_İHTİYAÇ_RAPORU_BURAK_YENI1309[[#This Row],[ALT_KOD]])+AVERAGEIFS(L:L,D:D,DST_123_ÜRETİM_İHTİYAÇ_RAPORU_BURAK_YENI1309[[#This Row],[ALT_KOD]]))</f>
        <v>54</v>
      </c>
      <c r="L1160">
        <v>0</v>
      </c>
      <c r="M1160">
        <f>IF((DST_123_ÜRETİM_İHTİYAÇ_RAPORU_BURAK_YENI1309[[#This Row],[SATINALMA]]*DST_123_ÜRETİM_İHTİYAÇ_RAPORU_BURAK_YENI1309[[#This Row],[BIRIM_FIYATLAR]])&lt;1,VALUE("0"),DST_123_ÜRETİM_İHTİYAÇ_RAPORU_BURAK_YENI1309[[#This Row],[SATINALMA]]*DST_123_ÜRETİM_İHTİYAÇ_RAPORU_BURAK_YENI1309[[#This Row],[BIRIM_FIYATLAR]])</f>
        <v>67.5</v>
      </c>
      <c r="N1160">
        <v>1.25</v>
      </c>
      <c r="O1160" t="s">
        <v>220</v>
      </c>
      <c r="P1160">
        <v>7.5</v>
      </c>
      <c r="Q1160" t="s">
        <v>221</v>
      </c>
    </row>
    <row r="1161" spans="1:17" x14ac:dyDescent="0.25">
      <c r="A1161" t="s">
        <v>1060</v>
      </c>
      <c r="B1161" t="s">
        <v>1061</v>
      </c>
      <c r="C1161" t="s">
        <v>175</v>
      </c>
      <c r="D1161" t="s">
        <v>0</v>
      </c>
      <c r="E1161" t="s">
        <v>1</v>
      </c>
      <c r="F1161">
        <v>3</v>
      </c>
      <c r="G1161" t="s">
        <v>176</v>
      </c>
      <c r="H1161">
        <v>3</v>
      </c>
      <c r="I1161">
        <v>67</v>
      </c>
      <c r="J1161" s="10">
        <v>24</v>
      </c>
      <c r="K1161" s="10">
        <f>SUMIFS(F:F,D:D,DST_123_ÜRETİM_İHTİYAÇ_RAPORU_BURAK_YENI1309[[#This Row],[ALT_KOD]])-(SUMIFS(H:H,D:D,DST_123_ÜRETİM_İHTİYAÇ_RAPORU_BURAK_YENI1309[[#This Row],[ALT_KOD]])+AVERAGEIFS(I:I,D:D,DST_123_ÜRETİM_İHTİYAÇ_RAPORU_BURAK_YENI1309[[#This Row],[ALT_KOD]])+AVERAGEIFS(L:L,D:D,DST_123_ÜRETİM_İHTİYAÇ_RAPORU_BURAK_YENI1309[[#This Row],[ALT_KOD]]))</f>
        <v>-38</v>
      </c>
      <c r="L1161">
        <v>0</v>
      </c>
      <c r="M1161">
        <f>IF((DST_123_ÜRETİM_İHTİYAÇ_RAPORU_BURAK_YENI1309[[#This Row],[SATINALMA]]*DST_123_ÜRETİM_İHTİYAÇ_RAPORU_BURAK_YENI1309[[#This Row],[BIRIM_FIYATLAR]])&lt;1,VALUE("0"),DST_123_ÜRETİM_İHTİYAÇ_RAPORU_BURAK_YENI1309[[#This Row],[SATINALMA]]*DST_123_ÜRETİM_İHTİYAÇ_RAPORU_BURAK_YENI1309[[#This Row],[BIRIM_FIYATLAR]])</f>
        <v>0</v>
      </c>
      <c r="N1161">
        <v>640</v>
      </c>
      <c r="O1161" t="s">
        <v>220</v>
      </c>
      <c r="P1161">
        <v>1920</v>
      </c>
      <c r="Q1161" t="s">
        <v>221</v>
      </c>
    </row>
    <row r="1162" spans="1:17" x14ac:dyDescent="0.25">
      <c r="A1162" t="s">
        <v>1057</v>
      </c>
      <c r="B1162" t="s">
        <v>1058</v>
      </c>
      <c r="C1162" t="s">
        <v>175</v>
      </c>
      <c r="D1162" t="s">
        <v>0</v>
      </c>
      <c r="E1162" t="s">
        <v>1</v>
      </c>
      <c r="F1162">
        <v>2</v>
      </c>
      <c r="G1162" t="s">
        <v>176</v>
      </c>
      <c r="H1162">
        <v>2</v>
      </c>
      <c r="I1162">
        <v>67</v>
      </c>
      <c r="J1162" s="10">
        <v>24</v>
      </c>
      <c r="K1162" s="10">
        <f>SUMIFS(F:F,D:D,DST_123_ÜRETİM_İHTİYAÇ_RAPORU_BURAK_YENI1309[[#This Row],[ALT_KOD]])-(SUMIFS(H:H,D:D,DST_123_ÜRETİM_İHTİYAÇ_RAPORU_BURAK_YENI1309[[#This Row],[ALT_KOD]])+AVERAGEIFS(I:I,D:D,DST_123_ÜRETİM_İHTİYAÇ_RAPORU_BURAK_YENI1309[[#This Row],[ALT_KOD]])+AVERAGEIFS(L:L,D:D,DST_123_ÜRETİM_İHTİYAÇ_RAPORU_BURAK_YENI1309[[#This Row],[ALT_KOD]]))</f>
        <v>-38</v>
      </c>
      <c r="L1162">
        <v>0</v>
      </c>
      <c r="M1162">
        <f>IF((DST_123_ÜRETİM_İHTİYAÇ_RAPORU_BURAK_YENI1309[[#This Row],[SATINALMA]]*DST_123_ÜRETİM_İHTİYAÇ_RAPORU_BURAK_YENI1309[[#This Row],[BIRIM_FIYATLAR]])&lt;1,VALUE("0"),DST_123_ÜRETİM_İHTİYAÇ_RAPORU_BURAK_YENI1309[[#This Row],[SATINALMA]]*DST_123_ÜRETİM_İHTİYAÇ_RAPORU_BURAK_YENI1309[[#This Row],[BIRIM_FIYATLAR]])</f>
        <v>0</v>
      </c>
      <c r="N1162">
        <v>640</v>
      </c>
      <c r="O1162" t="s">
        <v>220</v>
      </c>
      <c r="P1162">
        <v>1280</v>
      </c>
      <c r="Q1162" t="s">
        <v>221</v>
      </c>
    </row>
    <row r="1163" spans="1:17" x14ac:dyDescent="0.25">
      <c r="A1163" t="s">
        <v>1147</v>
      </c>
      <c r="B1163" t="s">
        <v>1145</v>
      </c>
      <c r="C1163" t="s">
        <v>175</v>
      </c>
      <c r="D1163" t="s">
        <v>229</v>
      </c>
      <c r="E1163" t="s">
        <v>230</v>
      </c>
      <c r="F1163">
        <v>2</v>
      </c>
      <c r="G1163" t="s">
        <v>176</v>
      </c>
      <c r="H1163">
        <v>0</v>
      </c>
      <c r="I1163">
        <v>238</v>
      </c>
      <c r="J1163" s="10">
        <v>90</v>
      </c>
      <c r="K1163" s="10">
        <f>SUMIFS(F:F,D:D,DST_123_ÜRETİM_İHTİYAÇ_RAPORU_BURAK_YENI1309[[#This Row],[ALT_KOD]])-(SUMIFS(H:H,D:D,DST_123_ÜRETİM_İHTİYAÇ_RAPORU_BURAK_YENI1309[[#This Row],[ALT_KOD]])+AVERAGEIFS(I:I,D:D,DST_123_ÜRETİM_İHTİYAÇ_RAPORU_BURAK_YENI1309[[#This Row],[ALT_KOD]])+AVERAGEIFS(L:L,D:D,DST_123_ÜRETİM_İHTİYAÇ_RAPORU_BURAK_YENI1309[[#This Row],[ALT_KOD]]))</f>
        <v>-200</v>
      </c>
      <c r="L1163">
        <v>0</v>
      </c>
      <c r="M1163">
        <f>IF((DST_123_ÜRETİM_İHTİYAÇ_RAPORU_BURAK_YENI1309[[#This Row],[SATINALMA]]*DST_123_ÜRETİM_İHTİYAÇ_RAPORU_BURAK_YENI1309[[#This Row],[BIRIM_FIYATLAR]])&lt;1,VALUE("0"),DST_123_ÜRETİM_İHTİYAÇ_RAPORU_BURAK_YENI1309[[#This Row],[SATINALMA]]*DST_123_ÜRETİM_İHTİYAÇ_RAPORU_BURAK_YENI1309[[#This Row],[BIRIM_FIYATLAR]])</f>
        <v>0</v>
      </c>
      <c r="N1163">
        <v>4</v>
      </c>
      <c r="O1163" t="s">
        <v>220</v>
      </c>
      <c r="P1163">
        <v>8</v>
      </c>
      <c r="Q1163" t="s">
        <v>221</v>
      </c>
    </row>
    <row r="1164" spans="1:17" x14ac:dyDescent="0.25">
      <c r="A1164" t="s">
        <v>1144</v>
      </c>
      <c r="B1164" t="s">
        <v>1145</v>
      </c>
      <c r="C1164" t="s">
        <v>175</v>
      </c>
      <c r="D1164" t="s">
        <v>394</v>
      </c>
      <c r="E1164" t="s">
        <v>395</v>
      </c>
      <c r="F1164">
        <v>3.1</v>
      </c>
      <c r="G1164" t="s">
        <v>176</v>
      </c>
      <c r="H1164">
        <v>0</v>
      </c>
      <c r="I1164">
        <v>6</v>
      </c>
      <c r="J1164" s="10">
        <v>14.000000000000005</v>
      </c>
      <c r="K1164" s="10">
        <f>SUMIFS(F:F,D:D,DST_123_ÜRETİM_İHTİYAÇ_RAPORU_BURAK_YENI1309[[#This Row],[ALT_KOD]])-(SUMIFS(H:H,D:D,DST_123_ÜRETİM_İHTİYAÇ_RAPORU_BURAK_YENI1309[[#This Row],[ALT_KOD]])+AVERAGEIFS(I:I,D:D,DST_123_ÜRETİM_İHTİYAÇ_RAPORU_BURAK_YENI1309[[#This Row],[ALT_KOD]])+AVERAGEIFS(L:L,D:D,DST_123_ÜRETİM_İHTİYAÇ_RAPORU_BURAK_YENI1309[[#This Row],[ALT_KOD]]))</f>
        <v>28.1</v>
      </c>
      <c r="L1164">
        <v>0</v>
      </c>
      <c r="M1164">
        <f>IF((DST_123_ÜRETİM_İHTİYAÇ_RAPORU_BURAK_YENI1309[[#This Row],[SATINALMA]]*DST_123_ÜRETİM_İHTİYAÇ_RAPORU_BURAK_YENI1309[[#This Row],[BIRIM_FIYATLAR]])&lt;1,VALUE("0"),DST_123_ÜRETİM_İHTİYAÇ_RAPORU_BURAK_YENI1309[[#This Row],[SATINALMA]]*DST_123_ÜRETİM_İHTİYAÇ_RAPORU_BURAK_YENI1309[[#This Row],[BIRIM_FIYATLAR]])</f>
        <v>4097.8230000000003</v>
      </c>
      <c r="N1164">
        <v>145.83000000000001</v>
      </c>
      <c r="O1164" t="s">
        <v>628</v>
      </c>
      <c r="P1164">
        <v>452.07300000000004</v>
      </c>
      <c r="Q1164" t="s">
        <v>183</v>
      </c>
    </row>
    <row r="1165" spans="1:17" x14ac:dyDescent="0.25">
      <c r="A1165" t="s">
        <v>1146</v>
      </c>
      <c r="B1165" t="s">
        <v>1145</v>
      </c>
      <c r="C1165" t="s">
        <v>175</v>
      </c>
      <c r="D1165" t="s">
        <v>394</v>
      </c>
      <c r="E1165" t="s">
        <v>395</v>
      </c>
      <c r="F1165">
        <v>3.1</v>
      </c>
      <c r="G1165" t="s">
        <v>176</v>
      </c>
      <c r="H1165">
        <v>0</v>
      </c>
      <c r="I1165">
        <v>6</v>
      </c>
      <c r="J1165" s="10">
        <v>14.000000000000005</v>
      </c>
      <c r="K1165" s="10">
        <f>SUMIFS(F:F,D:D,DST_123_ÜRETİM_İHTİYAÇ_RAPORU_BURAK_YENI1309[[#This Row],[ALT_KOD]])-(SUMIFS(H:H,D:D,DST_123_ÜRETİM_İHTİYAÇ_RAPORU_BURAK_YENI1309[[#This Row],[ALT_KOD]])+AVERAGEIFS(I:I,D:D,DST_123_ÜRETİM_İHTİYAÇ_RAPORU_BURAK_YENI1309[[#This Row],[ALT_KOD]])+AVERAGEIFS(L:L,D:D,DST_123_ÜRETİM_İHTİYAÇ_RAPORU_BURAK_YENI1309[[#This Row],[ALT_KOD]]))</f>
        <v>28.1</v>
      </c>
      <c r="L1165">
        <v>0</v>
      </c>
      <c r="M1165">
        <f>IF((DST_123_ÜRETİM_İHTİYAÇ_RAPORU_BURAK_YENI1309[[#This Row],[SATINALMA]]*DST_123_ÜRETİM_İHTİYAÇ_RAPORU_BURAK_YENI1309[[#This Row],[BIRIM_FIYATLAR]])&lt;1,VALUE("0"),DST_123_ÜRETİM_İHTİYAÇ_RAPORU_BURAK_YENI1309[[#This Row],[SATINALMA]]*DST_123_ÜRETİM_İHTİYAÇ_RAPORU_BURAK_YENI1309[[#This Row],[BIRIM_FIYATLAR]])</f>
        <v>4097.8230000000003</v>
      </c>
      <c r="N1165">
        <v>145.83000000000001</v>
      </c>
      <c r="O1165" t="s">
        <v>628</v>
      </c>
      <c r="P1165">
        <v>452.07300000000004</v>
      </c>
      <c r="Q1165" t="s">
        <v>183</v>
      </c>
    </row>
    <row r="1166" spans="1:17" x14ac:dyDescent="0.25">
      <c r="A1166" t="s">
        <v>1144</v>
      </c>
      <c r="B1166" t="s">
        <v>1145</v>
      </c>
      <c r="C1166" t="s">
        <v>175</v>
      </c>
      <c r="D1166" t="s">
        <v>88</v>
      </c>
      <c r="E1166" t="s">
        <v>89</v>
      </c>
      <c r="F1166">
        <v>3.3</v>
      </c>
      <c r="G1166" t="s">
        <v>179</v>
      </c>
      <c r="H1166">
        <v>0</v>
      </c>
      <c r="I1166">
        <v>125</v>
      </c>
      <c r="J1166" s="10">
        <v>37.499999999999908</v>
      </c>
      <c r="K1166" s="10">
        <f>SUMIFS(F:F,D:D,DST_123_ÜRETİM_İHTİYAÇ_RAPORU_BURAK_YENI1309[[#This Row],[ALT_KOD]])-(SUMIFS(H:H,D:D,DST_123_ÜRETİM_İHTİYAÇ_RAPORU_BURAK_YENI1309[[#This Row],[ALT_KOD]])+AVERAGEIFS(I:I,D:D,DST_123_ÜRETİM_İHTİYAÇ_RAPORU_BURAK_YENI1309[[#This Row],[ALT_KOD]])+AVERAGEIFS(L:L,D:D,DST_123_ÜRETİM_İHTİYAÇ_RAPORU_BURAK_YENI1309[[#This Row],[ALT_KOD]]))</f>
        <v>-44.100000000000009</v>
      </c>
      <c r="L1166">
        <v>0</v>
      </c>
      <c r="M1166">
        <f>IF((DST_123_ÜRETİM_İHTİYAÇ_RAPORU_BURAK_YENI1309[[#This Row],[SATINALMA]]*DST_123_ÜRETİM_İHTİYAÇ_RAPORU_BURAK_YENI1309[[#This Row],[BIRIM_FIYATLAR]])&lt;1,VALUE("0"),DST_123_ÜRETİM_İHTİYAÇ_RAPORU_BURAK_YENI1309[[#This Row],[SATINALMA]]*DST_123_ÜRETİM_İHTİYAÇ_RAPORU_BURAK_YENI1309[[#This Row],[BIRIM_FIYATLAR]])</f>
        <v>0</v>
      </c>
      <c r="N1166">
        <v>44</v>
      </c>
      <c r="O1166" t="s">
        <v>314</v>
      </c>
      <c r="P1166">
        <v>145.19999999999999</v>
      </c>
      <c r="Q1166" t="s">
        <v>178</v>
      </c>
    </row>
    <row r="1167" spans="1:17" x14ac:dyDescent="0.25">
      <c r="A1167" t="s">
        <v>1144</v>
      </c>
      <c r="B1167" t="s">
        <v>1145</v>
      </c>
      <c r="C1167" t="s">
        <v>175</v>
      </c>
      <c r="D1167" t="s">
        <v>90</v>
      </c>
      <c r="E1167" t="s">
        <v>91</v>
      </c>
      <c r="F1167">
        <v>1</v>
      </c>
      <c r="G1167" t="s">
        <v>176</v>
      </c>
      <c r="H1167">
        <v>0</v>
      </c>
      <c r="I1167">
        <v>4</v>
      </c>
      <c r="J1167" s="10">
        <v>12</v>
      </c>
      <c r="K1167" s="10">
        <f>SUMIFS(F:F,D:D,DST_123_ÜRETİM_İHTİYAÇ_RAPORU_BURAK_YENI1309[[#This Row],[ALT_KOD]])-(SUMIFS(H:H,D:D,DST_123_ÜRETİM_İHTİYAÇ_RAPORU_BURAK_YENI1309[[#This Row],[ALT_KOD]])+AVERAGEIFS(I:I,D:D,DST_123_ÜRETİM_İHTİYAÇ_RAPORU_BURAK_YENI1309[[#This Row],[ALT_KOD]])+AVERAGEIFS(L:L,D:D,DST_123_ÜRETİM_İHTİYAÇ_RAPORU_BURAK_YENI1309[[#This Row],[ALT_KOD]]))</f>
        <v>7</v>
      </c>
      <c r="L1167">
        <v>0</v>
      </c>
      <c r="M1167">
        <f>IF((DST_123_ÜRETİM_İHTİYAÇ_RAPORU_BURAK_YENI1309[[#This Row],[SATINALMA]]*DST_123_ÜRETİM_İHTİYAÇ_RAPORU_BURAK_YENI1309[[#This Row],[BIRIM_FIYATLAR]])&lt;1,VALUE("0"),DST_123_ÜRETİM_İHTİYAÇ_RAPORU_BURAK_YENI1309[[#This Row],[SATINALMA]]*DST_123_ÜRETİM_İHTİYAÇ_RAPORU_BURAK_YENI1309[[#This Row],[BIRIM_FIYATLAR]])</f>
        <v>12435.01</v>
      </c>
      <c r="N1167">
        <v>1776.43</v>
      </c>
      <c r="O1167" t="s">
        <v>634</v>
      </c>
      <c r="P1167">
        <v>1776.43</v>
      </c>
      <c r="Q1167" t="s">
        <v>178</v>
      </c>
    </row>
    <row r="1168" spans="1:17" x14ac:dyDescent="0.25">
      <c r="A1168" t="s">
        <v>1146</v>
      </c>
      <c r="B1168" t="s">
        <v>1145</v>
      </c>
      <c r="C1168" t="s">
        <v>175</v>
      </c>
      <c r="D1168" t="s">
        <v>90</v>
      </c>
      <c r="E1168" t="s">
        <v>91</v>
      </c>
      <c r="F1168">
        <v>1</v>
      </c>
      <c r="G1168" t="s">
        <v>176</v>
      </c>
      <c r="H1168">
        <v>0</v>
      </c>
      <c r="I1168">
        <v>4</v>
      </c>
      <c r="J1168" s="10">
        <v>12</v>
      </c>
      <c r="K1168" s="10">
        <f>SUMIFS(F:F,D:D,DST_123_ÜRETİM_İHTİYAÇ_RAPORU_BURAK_YENI1309[[#This Row],[ALT_KOD]])-(SUMIFS(H:H,D:D,DST_123_ÜRETİM_İHTİYAÇ_RAPORU_BURAK_YENI1309[[#This Row],[ALT_KOD]])+AVERAGEIFS(I:I,D:D,DST_123_ÜRETİM_İHTİYAÇ_RAPORU_BURAK_YENI1309[[#This Row],[ALT_KOD]])+AVERAGEIFS(L:L,D:D,DST_123_ÜRETİM_İHTİYAÇ_RAPORU_BURAK_YENI1309[[#This Row],[ALT_KOD]]))</f>
        <v>7</v>
      </c>
      <c r="L1168">
        <v>0</v>
      </c>
      <c r="M1168">
        <f>IF((DST_123_ÜRETİM_İHTİYAÇ_RAPORU_BURAK_YENI1309[[#This Row],[SATINALMA]]*DST_123_ÜRETİM_İHTİYAÇ_RAPORU_BURAK_YENI1309[[#This Row],[BIRIM_FIYATLAR]])&lt;1,VALUE("0"),DST_123_ÜRETİM_İHTİYAÇ_RAPORU_BURAK_YENI1309[[#This Row],[SATINALMA]]*DST_123_ÜRETİM_İHTİYAÇ_RAPORU_BURAK_YENI1309[[#This Row],[BIRIM_FIYATLAR]])</f>
        <v>12435.01</v>
      </c>
      <c r="N1168">
        <v>1776.43</v>
      </c>
      <c r="O1168" t="s">
        <v>634</v>
      </c>
      <c r="P1168">
        <v>1776.43</v>
      </c>
      <c r="Q1168" t="s">
        <v>178</v>
      </c>
    </row>
    <row r="1169" spans="1:17" x14ac:dyDescent="0.25">
      <c r="A1169" t="s">
        <v>1144</v>
      </c>
      <c r="B1169" t="s">
        <v>1145</v>
      </c>
      <c r="C1169" t="s">
        <v>175</v>
      </c>
      <c r="D1169" t="s">
        <v>331</v>
      </c>
      <c r="E1169" t="s">
        <v>332</v>
      </c>
      <c r="F1169">
        <v>2</v>
      </c>
      <c r="G1169" t="s">
        <v>176</v>
      </c>
      <c r="H1169">
        <v>0</v>
      </c>
      <c r="I1169">
        <v>809</v>
      </c>
      <c r="J1169" s="10">
        <v>0</v>
      </c>
      <c r="K1169" s="10">
        <f>SUMIFS(F:F,D:D,DST_123_ÜRETİM_İHTİYAÇ_RAPORU_BURAK_YENI1309[[#This Row],[ALT_KOD]])-(SUMIFS(H:H,D:D,DST_123_ÜRETİM_İHTİYAÇ_RAPORU_BURAK_YENI1309[[#This Row],[ALT_KOD]])+AVERAGEIFS(I:I,D:D,DST_123_ÜRETİM_İHTİYAÇ_RAPORU_BURAK_YENI1309[[#This Row],[ALT_KOD]])+AVERAGEIFS(L:L,D:D,DST_123_ÜRETİM_İHTİYAÇ_RAPORU_BURAK_YENI1309[[#This Row],[ALT_KOD]]))</f>
        <v>-768</v>
      </c>
      <c r="L1169">
        <v>0</v>
      </c>
      <c r="M1169">
        <f>IF((DST_123_ÜRETİM_İHTİYAÇ_RAPORU_BURAK_YENI1309[[#This Row],[SATINALMA]]*DST_123_ÜRETİM_İHTİYAÇ_RAPORU_BURAK_YENI1309[[#This Row],[BIRIM_FIYATLAR]])&lt;1,VALUE("0"),DST_123_ÜRETİM_İHTİYAÇ_RAPORU_BURAK_YENI1309[[#This Row],[SATINALMA]]*DST_123_ÜRETİM_İHTİYAÇ_RAPORU_BURAK_YENI1309[[#This Row],[BIRIM_FIYATLAR]])</f>
        <v>0</v>
      </c>
      <c r="N1169">
        <v>2.4</v>
      </c>
      <c r="O1169" t="s">
        <v>240</v>
      </c>
      <c r="P1169">
        <v>4.8</v>
      </c>
      <c r="Q1169" t="s">
        <v>180</v>
      </c>
    </row>
    <row r="1170" spans="1:17" x14ac:dyDescent="0.25">
      <c r="A1170" t="s">
        <v>1059</v>
      </c>
      <c r="B1170" t="s">
        <v>1058</v>
      </c>
      <c r="C1170" t="s">
        <v>175</v>
      </c>
      <c r="D1170" t="s">
        <v>651</v>
      </c>
      <c r="E1170" t="s">
        <v>652</v>
      </c>
      <c r="F1170">
        <v>25</v>
      </c>
      <c r="G1170" t="s">
        <v>176</v>
      </c>
      <c r="H1170">
        <v>0</v>
      </c>
      <c r="I1170">
        <v>776</v>
      </c>
      <c r="J1170" s="10">
        <v>367</v>
      </c>
      <c r="K1170" s="10">
        <f>SUMIFS(F:F,D:D,DST_123_ÜRETİM_İHTİYAÇ_RAPORU_BURAK_YENI1309[[#This Row],[ALT_KOD]])-(SUMIFS(H:H,D:D,DST_123_ÜRETİM_İHTİYAÇ_RAPORU_BURAK_YENI1309[[#This Row],[ALT_KOD]])+AVERAGEIFS(I:I,D:D,DST_123_ÜRETİM_İHTİYAÇ_RAPORU_BURAK_YENI1309[[#This Row],[ALT_KOD]])+AVERAGEIFS(L:L,D:D,DST_123_ÜRETİM_İHTİYAÇ_RAPORU_BURAK_YENI1309[[#This Row],[ALT_KOD]]))</f>
        <v>-308</v>
      </c>
      <c r="L1170">
        <v>0</v>
      </c>
      <c r="M1170">
        <f>IF((DST_123_ÜRETİM_İHTİYAÇ_RAPORU_BURAK_YENI1309[[#This Row],[SATINALMA]]*DST_123_ÜRETİM_İHTİYAÇ_RAPORU_BURAK_YENI1309[[#This Row],[BIRIM_FIYATLAR]])&lt;1,VALUE("0"),DST_123_ÜRETİM_İHTİYAÇ_RAPORU_BURAK_YENI1309[[#This Row],[SATINALMA]]*DST_123_ÜRETİM_İHTİYAÇ_RAPORU_BURAK_YENI1309[[#This Row],[BIRIM_FIYATLAR]])</f>
        <v>0</v>
      </c>
      <c r="N1170">
        <v>3.46</v>
      </c>
      <c r="O1170" t="s">
        <v>882</v>
      </c>
      <c r="P1170">
        <v>86.5</v>
      </c>
      <c r="Q1170" t="s">
        <v>180</v>
      </c>
    </row>
    <row r="1171" spans="1:17" x14ac:dyDescent="0.25">
      <c r="A1171" t="s">
        <v>1143</v>
      </c>
      <c r="B1171" t="s">
        <v>1056</v>
      </c>
      <c r="C1171" t="s">
        <v>175</v>
      </c>
      <c r="D1171" t="s">
        <v>651</v>
      </c>
      <c r="E1171" t="s">
        <v>652</v>
      </c>
      <c r="F1171">
        <v>25</v>
      </c>
      <c r="G1171" t="s">
        <v>176</v>
      </c>
      <c r="H1171">
        <v>0</v>
      </c>
      <c r="I1171">
        <v>776</v>
      </c>
      <c r="J1171" s="10">
        <v>367</v>
      </c>
      <c r="K1171" s="10">
        <f>SUMIFS(F:F,D:D,DST_123_ÜRETİM_İHTİYAÇ_RAPORU_BURAK_YENI1309[[#This Row],[ALT_KOD]])-(SUMIFS(H:H,D:D,DST_123_ÜRETİM_İHTİYAÇ_RAPORU_BURAK_YENI1309[[#This Row],[ALT_KOD]])+AVERAGEIFS(I:I,D:D,DST_123_ÜRETİM_İHTİYAÇ_RAPORU_BURAK_YENI1309[[#This Row],[ALT_KOD]])+AVERAGEIFS(L:L,D:D,DST_123_ÜRETİM_İHTİYAÇ_RAPORU_BURAK_YENI1309[[#This Row],[ALT_KOD]]))</f>
        <v>-308</v>
      </c>
      <c r="L1171">
        <v>0</v>
      </c>
      <c r="M1171">
        <f>IF((DST_123_ÜRETİM_İHTİYAÇ_RAPORU_BURAK_YENI1309[[#This Row],[SATINALMA]]*DST_123_ÜRETİM_İHTİYAÇ_RAPORU_BURAK_YENI1309[[#This Row],[BIRIM_FIYATLAR]])&lt;1,VALUE("0"),DST_123_ÜRETİM_İHTİYAÇ_RAPORU_BURAK_YENI1309[[#This Row],[SATINALMA]]*DST_123_ÜRETİM_İHTİYAÇ_RAPORU_BURAK_YENI1309[[#This Row],[BIRIM_FIYATLAR]])</f>
        <v>0</v>
      </c>
      <c r="N1171">
        <v>3.46</v>
      </c>
      <c r="O1171" t="s">
        <v>882</v>
      </c>
      <c r="P1171">
        <v>86.5</v>
      </c>
      <c r="Q1171" t="s">
        <v>180</v>
      </c>
    </row>
    <row r="1172" spans="1:17" x14ac:dyDescent="0.25">
      <c r="A1172" t="s">
        <v>1142</v>
      </c>
      <c r="B1172" t="s">
        <v>1056</v>
      </c>
      <c r="C1172" t="s">
        <v>175</v>
      </c>
      <c r="D1172" t="s">
        <v>384</v>
      </c>
      <c r="E1172" t="s">
        <v>385</v>
      </c>
      <c r="F1172">
        <v>37</v>
      </c>
      <c r="G1172" t="s">
        <v>176</v>
      </c>
      <c r="H1172">
        <v>0</v>
      </c>
      <c r="I1172">
        <v>495</v>
      </c>
      <c r="J1172" s="10">
        <v>146</v>
      </c>
      <c r="K1172" s="10">
        <f>SUMIFS(F:F,D:D,DST_123_ÜRETİM_İHTİYAÇ_RAPORU_BURAK_YENI1309[[#This Row],[ALT_KOD]])-(SUMIFS(H:H,D:D,DST_123_ÜRETİM_İHTİYAÇ_RAPORU_BURAK_YENI1309[[#This Row],[ALT_KOD]])+AVERAGEIFS(I:I,D:D,DST_123_ÜRETİM_İHTİYAÇ_RAPORU_BURAK_YENI1309[[#This Row],[ALT_KOD]])+AVERAGEIFS(L:L,D:D,DST_123_ÜRETİM_İHTİYAÇ_RAPORU_BURAK_YENI1309[[#This Row],[ALT_KOD]]))</f>
        <v>-22</v>
      </c>
      <c r="L1172">
        <v>0</v>
      </c>
      <c r="M1172">
        <f>IF((DST_123_ÜRETİM_İHTİYAÇ_RAPORU_BURAK_YENI1309[[#This Row],[SATINALMA]]*DST_123_ÜRETİM_İHTİYAÇ_RAPORU_BURAK_YENI1309[[#This Row],[BIRIM_FIYATLAR]])&lt;1,VALUE("0"),DST_123_ÜRETİM_İHTİYAÇ_RAPORU_BURAK_YENI1309[[#This Row],[SATINALMA]]*DST_123_ÜRETİM_İHTİYAÇ_RAPORU_BURAK_YENI1309[[#This Row],[BIRIM_FIYATLAR]])</f>
        <v>0</v>
      </c>
      <c r="N1172">
        <v>3.75</v>
      </c>
      <c r="O1172" t="s">
        <v>628</v>
      </c>
      <c r="P1172">
        <v>138.75</v>
      </c>
      <c r="Q1172" t="s">
        <v>180</v>
      </c>
    </row>
    <row r="1173" spans="1:17" x14ac:dyDescent="0.25">
      <c r="A1173" t="s">
        <v>1143</v>
      </c>
      <c r="B1173" t="s">
        <v>1056</v>
      </c>
      <c r="C1173" t="s">
        <v>175</v>
      </c>
      <c r="D1173" t="s">
        <v>384</v>
      </c>
      <c r="E1173" t="s">
        <v>385</v>
      </c>
      <c r="F1173">
        <v>15</v>
      </c>
      <c r="G1173" t="s">
        <v>176</v>
      </c>
      <c r="H1173">
        <v>0</v>
      </c>
      <c r="I1173">
        <v>495</v>
      </c>
      <c r="J1173" s="10">
        <v>146</v>
      </c>
      <c r="K1173" s="10">
        <f>SUMIFS(F:F,D:D,DST_123_ÜRETİM_İHTİYAÇ_RAPORU_BURAK_YENI1309[[#This Row],[ALT_KOD]])-(SUMIFS(H:H,D:D,DST_123_ÜRETİM_İHTİYAÇ_RAPORU_BURAK_YENI1309[[#This Row],[ALT_KOD]])+AVERAGEIFS(I:I,D:D,DST_123_ÜRETİM_İHTİYAÇ_RAPORU_BURAK_YENI1309[[#This Row],[ALT_KOD]])+AVERAGEIFS(L:L,D:D,DST_123_ÜRETİM_İHTİYAÇ_RAPORU_BURAK_YENI1309[[#This Row],[ALT_KOD]]))</f>
        <v>-22</v>
      </c>
      <c r="L1173">
        <v>0</v>
      </c>
      <c r="M1173">
        <f>IF((DST_123_ÜRETİM_İHTİYAÇ_RAPORU_BURAK_YENI1309[[#This Row],[SATINALMA]]*DST_123_ÜRETİM_İHTİYAÇ_RAPORU_BURAK_YENI1309[[#This Row],[BIRIM_FIYATLAR]])&lt;1,VALUE("0"),DST_123_ÜRETİM_İHTİYAÇ_RAPORU_BURAK_YENI1309[[#This Row],[SATINALMA]]*DST_123_ÜRETİM_İHTİYAÇ_RAPORU_BURAK_YENI1309[[#This Row],[BIRIM_FIYATLAR]])</f>
        <v>0</v>
      </c>
      <c r="N1173">
        <v>3.75</v>
      </c>
      <c r="O1173" t="s">
        <v>628</v>
      </c>
      <c r="P1173">
        <v>56.25</v>
      </c>
      <c r="Q1173" t="s">
        <v>180</v>
      </c>
    </row>
    <row r="1174" spans="1:17" x14ac:dyDescent="0.25">
      <c r="A1174" t="s">
        <v>1095</v>
      </c>
      <c r="B1174" t="s">
        <v>1096</v>
      </c>
      <c r="C1174" t="s">
        <v>175</v>
      </c>
      <c r="D1174" t="s">
        <v>394</v>
      </c>
      <c r="E1174" t="s">
        <v>395</v>
      </c>
      <c r="F1174">
        <v>1</v>
      </c>
      <c r="G1174" t="s">
        <v>176</v>
      </c>
      <c r="H1174">
        <v>0</v>
      </c>
      <c r="I1174">
        <v>6</v>
      </c>
      <c r="J1174" s="10">
        <v>14.000000000000005</v>
      </c>
      <c r="K1174" s="10">
        <f>SUMIFS(F:F,D:D,DST_123_ÜRETİM_İHTİYAÇ_RAPORU_BURAK_YENI1309[[#This Row],[ALT_KOD]])-(SUMIFS(H:H,D:D,DST_123_ÜRETİM_İHTİYAÇ_RAPORU_BURAK_YENI1309[[#This Row],[ALT_KOD]])+AVERAGEIFS(I:I,D:D,DST_123_ÜRETİM_İHTİYAÇ_RAPORU_BURAK_YENI1309[[#This Row],[ALT_KOD]])+AVERAGEIFS(L:L,D:D,DST_123_ÜRETİM_İHTİYAÇ_RAPORU_BURAK_YENI1309[[#This Row],[ALT_KOD]]))</f>
        <v>28.1</v>
      </c>
      <c r="L1174">
        <v>0</v>
      </c>
      <c r="M1174">
        <f>IF((DST_123_ÜRETİM_İHTİYAÇ_RAPORU_BURAK_YENI1309[[#This Row],[SATINALMA]]*DST_123_ÜRETİM_İHTİYAÇ_RAPORU_BURAK_YENI1309[[#This Row],[BIRIM_FIYATLAR]])&lt;1,VALUE("0"),DST_123_ÜRETİM_İHTİYAÇ_RAPORU_BURAK_YENI1309[[#This Row],[SATINALMA]]*DST_123_ÜRETİM_İHTİYAÇ_RAPORU_BURAK_YENI1309[[#This Row],[BIRIM_FIYATLAR]])</f>
        <v>4097.8230000000003</v>
      </c>
      <c r="N1174">
        <v>145.83000000000001</v>
      </c>
      <c r="O1174" t="s">
        <v>628</v>
      </c>
      <c r="P1174">
        <v>145.83000000000001</v>
      </c>
      <c r="Q1174" t="s">
        <v>183</v>
      </c>
    </row>
    <row r="1175" spans="1:17" x14ac:dyDescent="0.25">
      <c r="A1175" t="s">
        <v>1097</v>
      </c>
      <c r="B1175" t="s">
        <v>1055</v>
      </c>
      <c r="C1175" t="s">
        <v>175</v>
      </c>
      <c r="D1175" t="s">
        <v>394</v>
      </c>
      <c r="E1175" t="s">
        <v>395</v>
      </c>
      <c r="F1175">
        <v>1</v>
      </c>
      <c r="G1175" t="s">
        <v>176</v>
      </c>
      <c r="H1175">
        <v>0</v>
      </c>
      <c r="I1175">
        <v>6</v>
      </c>
      <c r="J1175" s="10">
        <v>14.000000000000005</v>
      </c>
      <c r="K1175" s="10">
        <f>SUMIFS(F:F,D:D,DST_123_ÜRETİM_İHTİYAÇ_RAPORU_BURAK_YENI1309[[#This Row],[ALT_KOD]])-(SUMIFS(H:H,D:D,DST_123_ÜRETİM_İHTİYAÇ_RAPORU_BURAK_YENI1309[[#This Row],[ALT_KOD]])+AVERAGEIFS(I:I,D:D,DST_123_ÜRETİM_İHTİYAÇ_RAPORU_BURAK_YENI1309[[#This Row],[ALT_KOD]])+AVERAGEIFS(L:L,D:D,DST_123_ÜRETİM_İHTİYAÇ_RAPORU_BURAK_YENI1309[[#This Row],[ALT_KOD]]))</f>
        <v>28.1</v>
      </c>
      <c r="L1175">
        <v>0</v>
      </c>
      <c r="M1175">
        <f>IF((DST_123_ÜRETİM_İHTİYAÇ_RAPORU_BURAK_YENI1309[[#This Row],[SATINALMA]]*DST_123_ÜRETİM_İHTİYAÇ_RAPORU_BURAK_YENI1309[[#This Row],[BIRIM_FIYATLAR]])&lt;1,VALUE("0"),DST_123_ÜRETİM_İHTİYAÇ_RAPORU_BURAK_YENI1309[[#This Row],[SATINALMA]]*DST_123_ÜRETİM_İHTİYAÇ_RAPORU_BURAK_YENI1309[[#This Row],[BIRIM_FIYATLAR]])</f>
        <v>4097.8230000000003</v>
      </c>
      <c r="N1175">
        <v>145.83000000000001</v>
      </c>
      <c r="O1175" t="s">
        <v>628</v>
      </c>
      <c r="P1175">
        <v>145.83000000000001</v>
      </c>
      <c r="Q1175" t="s">
        <v>183</v>
      </c>
    </row>
    <row r="1176" spans="1:17" x14ac:dyDescent="0.25">
      <c r="A1176" t="s">
        <v>1059</v>
      </c>
      <c r="B1176" t="s">
        <v>1058</v>
      </c>
      <c r="C1176" t="s">
        <v>175</v>
      </c>
      <c r="D1176" t="s">
        <v>394</v>
      </c>
      <c r="E1176" t="s">
        <v>395</v>
      </c>
      <c r="F1176">
        <v>0.1</v>
      </c>
      <c r="G1176" t="s">
        <v>176</v>
      </c>
      <c r="H1176">
        <v>0</v>
      </c>
      <c r="I1176">
        <v>6</v>
      </c>
      <c r="J1176" s="10">
        <v>14.000000000000005</v>
      </c>
      <c r="K1176" s="10">
        <f>SUMIFS(F:F,D:D,DST_123_ÜRETİM_İHTİYAÇ_RAPORU_BURAK_YENI1309[[#This Row],[ALT_KOD]])-(SUMIFS(H:H,D:D,DST_123_ÜRETİM_İHTİYAÇ_RAPORU_BURAK_YENI1309[[#This Row],[ALT_KOD]])+AVERAGEIFS(I:I,D:D,DST_123_ÜRETİM_İHTİYAÇ_RAPORU_BURAK_YENI1309[[#This Row],[ALT_KOD]])+AVERAGEIFS(L:L,D:D,DST_123_ÜRETİM_İHTİYAÇ_RAPORU_BURAK_YENI1309[[#This Row],[ALT_KOD]]))</f>
        <v>28.1</v>
      </c>
      <c r="L1176">
        <v>0</v>
      </c>
      <c r="M1176">
        <f>IF((DST_123_ÜRETİM_İHTİYAÇ_RAPORU_BURAK_YENI1309[[#This Row],[SATINALMA]]*DST_123_ÜRETİM_İHTİYAÇ_RAPORU_BURAK_YENI1309[[#This Row],[BIRIM_FIYATLAR]])&lt;1,VALUE("0"),DST_123_ÜRETİM_İHTİYAÇ_RAPORU_BURAK_YENI1309[[#This Row],[SATINALMA]]*DST_123_ÜRETİM_İHTİYAÇ_RAPORU_BURAK_YENI1309[[#This Row],[BIRIM_FIYATLAR]])</f>
        <v>4097.8230000000003</v>
      </c>
      <c r="N1176">
        <v>145.83000000000001</v>
      </c>
      <c r="O1176" t="s">
        <v>628</v>
      </c>
      <c r="P1176">
        <v>14.583000000000002</v>
      </c>
      <c r="Q1176" t="s">
        <v>183</v>
      </c>
    </row>
    <row r="1177" spans="1:17" x14ac:dyDescent="0.25">
      <c r="A1177" t="s">
        <v>1143</v>
      </c>
      <c r="B1177" t="s">
        <v>1056</v>
      </c>
      <c r="C1177" t="s">
        <v>175</v>
      </c>
      <c r="D1177" t="s">
        <v>754</v>
      </c>
      <c r="E1177" t="s">
        <v>755</v>
      </c>
      <c r="F1177">
        <v>1</v>
      </c>
      <c r="G1177" t="s">
        <v>176</v>
      </c>
      <c r="H1177">
        <v>0</v>
      </c>
      <c r="I1177">
        <v>0</v>
      </c>
      <c r="J1177" s="10">
        <v>2</v>
      </c>
      <c r="K1177" s="10">
        <f>SUMIFS(F:F,D:D,DST_123_ÜRETİM_İHTİYAÇ_RAPORU_BURAK_YENI1309[[#This Row],[ALT_KOD]])-(SUMIFS(H:H,D:D,DST_123_ÜRETİM_İHTİYAÇ_RAPORU_BURAK_YENI1309[[#This Row],[ALT_KOD]])+AVERAGEIFS(I:I,D:D,DST_123_ÜRETİM_İHTİYAÇ_RAPORU_BURAK_YENI1309[[#This Row],[ALT_KOD]])+AVERAGEIFS(L:L,D:D,DST_123_ÜRETİM_İHTİYAÇ_RAPORU_BURAK_YENI1309[[#This Row],[ALT_KOD]]))</f>
        <v>3</v>
      </c>
      <c r="L1177">
        <v>0</v>
      </c>
      <c r="M1177">
        <f>IF((DST_123_ÜRETİM_İHTİYAÇ_RAPORU_BURAK_YENI1309[[#This Row],[SATINALMA]]*DST_123_ÜRETİM_İHTİYAÇ_RAPORU_BURAK_YENI1309[[#This Row],[BIRIM_FIYATLAR]])&lt;1,VALUE("0"),DST_123_ÜRETİM_İHTİYAÇ_RAPORU_BURAK_YENI1309[[#This Row],[SATINALMA]]*DST_123_ÜRETİM_İHTİYAÇ_RAPORU_BURAK_YENI1309[[#This Row],[BIRIM_FIYATLAR]])</f>
        <v>97615.14</v>
      </c>
      <c r="N1177">
        <v>32538.38</v>
      </c>
      <c r="O1177" t="s">
        <v>215</v>
      </c>
      <c r="P1177">
        <v>32538.38</v>
      </c>
      <c r="Q1177" t="s">
        <v>177</v>
      </c>
    </row>
    <row r="1178" spans="1:17" x14ac:dyDescent="0.25">
      <c r="A1178" t="s">
        <v>1143</v>
      </c>
      <c r="B1178" t="s">
        <v>1056</v>
      </c>
      <c r="C1178" t="s">
        <v>175</v>
      </c>
      <c r="D1178" t="s">
        <v>394</v>
      </c>
      <c r="E1178" t="s">
        <v>395</v>
      </c>
      <c r="F1178">
        <v>1</v>
      </c>
      <c r="G1178" t="s">
        <v>176</v>
      </c>
      <c r="H1178">
        <v>0</v>
      </c>
      <c r="I1178">
        <v>6</v>
      </c>
      <c r="J1178" s="10">
        <v>14.000000000000005</v>
      </c>
      <c r="K1178" s="10">
        <f>SUMIFS(F:F,D:D,DST_123_ÜRETİM_İHTİYAÇ_RAPORU_BURAK_YENI1309[[#This Row],[ALT_KOD]])-(SUMIFS(H:H,D:D,DST_123_ÜRETİM_İHTİYAÇ_RAPORU_BURAK_YENI1309[[#This Row],[ALT_KOD]])+AVERAGEIFS(I:I,D:D,DST_123_ÜRETİM_İHTİYAÇ_RAPORU_BURAK_YENI1309[[#This Row],[ALT_KOD]])+AVERAGEIFS(L:L,D:D,DST_123_ÜRETİM_İHTİYAÇ_RAPORU_BURAK_YENI1309[[#This Row],[ALT_KOD]]))</f>
        <v>28.1</v>
      </c>
      <c r="L1178">
        <v>0</v>
      </c>
      <c r="M1178">
        <f>IF((DST_123_ÜRETİM_İHTİYAÇ_RAPORU_BURAK_YENI1309[[#This Row],[SATINALMA]]*DST_123_ÜRETİM_İHTİYAÇ_RAPORU_BURAK_YENI1309[[#This Row],[BIRIM_FIYATLAR]])&lt;1,VALUE("0"),DST_123_ÜRETİM_İHTİYAÇ_RAPORU_BURAK_YENI1309[[#This Row],[SATINALMA]]*DST_123_ÜRETİM_İHTİYAÇ_RAPORU_BURAK_YENI1309[[#This Row],[BIRIM_FIYATLAR]])</f>
        <v>4097.8230000000003</v>
      </c>
      <c r="N1178">
        <v>145.83000000000001</v>
      </c>
      <c r="O1178" t="s">
        <v>628</v>
      </c>
      <c r="P1178">
        <v>145.83000000000001</v>
      </c>
      <c r="Q1178" t="s">
        <v>183</v>
      </c>
    </row>
    <row r="1179" spans="1:17" x14ac:dyDescent="0.25">
      <c r="A1179" t="s">
        <v>1095</v>
      </c>
      <c r="B1179" t="s">
        <v>1096</v>
      </c>
      <c r="C1179" t="s">
        <v>175</v>
      </c>
      <c r="D1179" t="s">
        <v>88</v>
      </c>
      <c r="E1179" t="s">
        <v>89</v>
      </c>
      <c r="F1179">
        <v>5.5</v>
      </c>
      <c r="G1179" t="s">
        <v>179</v>
      </c>
      <c r="H1179">
        <v>0</v>
      </c>
      <c r="I1179">
        <v>125</v>
      </c>
      <c r="J1179" s="10">
        <v>37.499999999999908</v>
      </c>
      <c r="K1179" s="10">
        <f>SUMIFS(F:F,D:D,DST_123_ÜRETİM_İHTİYAÇ_RAPORU_BURAK_YENI1309[[#This Row],[ALT_KOD]])-(SUMIFS(H:H,D:D,DST_123_ÜRETİM_İHTİYAÇ_RAPORU_BURAK_YENI1309[[#This Row],[ALT_KOD]])+AVERAGEIFS(I:I,D:D,DST_123_ÜRETİM_İHTİYAÇ_RAPORU_BURAK_YENI1309[[#This Row],[ALT_KOD]])+AVERAGEIFS(L:L,D:D,DST_123_ÜRETİM_İHTİYAÇ_RAPORU_BURAK_YENI1309[[#This Row],[ALT_KOD]]))</f>
        <v>-44.100000000000009</v>
      </c>
      <c r="L1179">
        <v>0</v>
      </c>
      <c r="M1179">
        <f>IF((DST_123_ÜRETİM_İHTİYAÇ_RAPORU_BURAK_YENI1309[[#This Row],[SATINALMA]]*DST_123_ÜRETİM_İHTİYAÇ_RAPORU_BURAK_YENI1309[[#This Row],[BIRIM_FIYATLAR]])&lt;1,VALUE("0"),DST_123_ÜRETİM_İHTİYAÇ_RAPORU_BURAK_YENI1309[[#This Row],[SATINALMA]]*DST_123_ÜRETİM_İHTİYAÇ_RAPORU_BURAK_YENI1309[[#This Row],[BIRIM_FIYATLAR]])</f>
        <v>0</v>
      </c>
      <c r="N1179">
        <v>44</v>
      </c>
      <c r="O1179" t="s">
        <v>314</v>
      </c>
      <c r="P1179">
        <v>242</v>
      </c>
      <c r="Q1179" t="s">
        <v>178</v>
      </c>
    </row>
    <row r="1180" spans="1:17" x14ac:dyDescent="0.25">
      <c r="A1180" t="s">
        <v>1150</v>
      </c>
      <c r="B1180" t="s">
        <v>1145</v>
      </c>
      <c r="C1180" t="s">
        <v>175</v>
      </c>
      <c r="D1180" t="s">
        <v>321</v>
      </c>
      <c r="E1180" t="s">
        <v>322</v>
      </c>
      <c r="F1180">
        <v>6</v>
      </c>
      <c r="G1180" t="s">
        <v>176</v>
      </c>
      <c r="H1180">
        <v>0</v>
      </c>
      <c r="I1180">
        <v>84</v>
      </c>
      <c r="J1180" s="10">
        <v>195.90000000000009</v>
      </c>
      <c r="K1180" s="10">
        <f>SUMIFS(F:F,D:D,DST_123_ÜRETİM_İHTİYAÇ_RAPORU_BURAK_YENI1309[[#This Row],[ALT_KOD]])-(SUMIFS(H:H,D:D,DST_123_ÜRETİM_İHTİYAÇ_RAPORU_BURAK_YENI1309[[#This Row],[ALT_KOD]])+AVERAGEIFS(I:I,D:D,DST_123_ÜRETİM_İHTİYAÇ_RAPORU_BURAK_YENI1309[[#This Row],[ALT_KOD]])+AVERAGEIFS(L:L,D:D,DST_123_ÜRETİM_İHTİYAÇ_RAPORU_BURAK_YENI1309[[#This Row],[ALT_KOD]]))</f>
        <v>-24.600000000000023</v>
      </c>
      <c r="L1180">
        <v>0</v>
      </c>
      <c r="M1180">
        <f>IF((DST_123_ÜRETİM_İHTİYAÇ_RAPORU_BURAK_YENI1309[[#This Row],[SATINALMA]]*DST_123_ÜRETİM_İHTİYAÇ_RAPORU_BURAK_YENI1309[[#This Row],[BIRIM_FIYATLAR]])&lt;1,VALUE("0"),DST_123_ÜRETİM_İHTİYAÇ_RAPORU_BURAK_YENI1309[[#This Row],[SATINALMA]]*DST_123_ÜRETİM_İHTİYAÇ_RAPORU_BURAK_YENI1309[[#This Row],[BIRIM_FIYATLAR]])</f>
        <v>0</v>
      </c>
      <c r="N1180">
        <v>29</v>
      </c>
      <c r="O1180" t="s">
        <v>240</v>
      </c>
      <c r="P1180">
        <v>174</v>
      </c>
      <c r="Q1180" t="s">
        <v>180</v>
      </c>
    </row>
    <row r="1181" spans="1:17" x14ac:dyDescent="0.25">
      <c r="A1181" t="s">
        <v>1144</v>
      </c>
      <c r="B1181" t="s">
        <v>1145</v>
      </c>
      <c r="C1181" t="s">
        <v>175</v>
      </c>
      <c r="D1181" t="s">
        <v>1191</v>
      </c>
      <c r="E1181" t="s">
        <v>1192</v>
      </c>
      <c r="F1181">
        <v>0.1</v>
      </c>
      <c r="G1181" t="s">
        <v>185</v>
      </c>
      <c r="H1181">
        <v>0</v>
      </c>
      <c r="I1181">
        <v>32</v>
      </c>
      <c r="J1181" s="10">
        <v>60</v>
      </c>
      <c r="K1181" s="10">
        <f>SUMIFS(F:F,D:D,DST_123_ÜRETİM_İHTİYAÇ_RAPORU_BURAK_YENI1309[[#This Row],[ALT_KOD]])-(SUMIFS(H:H,D:D,DST_123_ÜRETİM_İHTİYAÇ_RAPORU_BURAK_YENI1309[[#This Row],[ALT_KOD]])+AVERAGEIFS(I:I,D:D,DST_123_ÜRETİM_İHTİYAÇ_RAPORU_BURAK_YENI1309[[#This Row],[ALT_KOD]])+AVERAGEIFS(L:L,D:D,DST_123_ÜRETİM_İHTİYAÇ_RAPORU_BURAK_YENI1309[[#This Row],[ALT_KOD]]))</f>
        <v>-31.4</v>
      </c>
      <c r="L1181">
        <v>0</v>
      </c>
      <c r="M1181">
        <f>IF((DST_123_ÜRETİM_İHTİYAÇ_RAPORU_BURAK_YENI1309[[#This Row],[SATINALMA]]*DST_123_ÜRETİM_İHTİYAÇ_RAPORU_BURAK_YENI1309[[#This Row],[BIRIM_FIYATLAR]])&lt;1,VALUE("0"),DST_123_ÜRETİM_İHTİYAÇ_RAPORU_BURAK_YENI1309[[#This Row],[SATINALMA]]*DST_123_ÜRETİM_İHTİYAÇ_RAPORU_BURAK_YENI1309[[#This Row],[BIRIM_FIYATLAR]])</f>
        <v>0</v>
      </c>
      <c r="N1181">
        <v>110</v>
      </c>
      <c r="O1181" t="s">
        <v>1193</v>
      </c>
      <c r="P1181">
        <v>11</v>
      </c>
      <c r="Q1181" t="s">
        <v>183</v>
      </c>
    </row>
    <row r="1182" spans="1:17" x14ac:dyDescent="0.25">
      <c r="A1182" t="s">
        <v>1101</v>
      </c>
      <c r="B1182" t="s">
        <v>1102</v>
      </c>
      <c r="C1182" t="s">
        <v>175</v>
      </c>
      <c r="D1182" t="s">
        <v>528</v>
      </c>
      <c r="E1182" t="s">
        <v>529</v>
      </c>
      <c r="F1182">
        <v>2</v>
      </c>
      <c r="G1182" t="s">
        <v>176</v>
      </c>
      <c r="H1182">
        <v>0</v>
      </c>
      <c r="I1182">
        <v>1800</v>
      </c>
      <c r="J1182" s="10">
        <v>773</v>
      </c>
      <c r="K1182" s="10">
        <f>SUMIFS(F:F,D:D,DST_123_ÜRETİM_İHTİYAÇ_RAPORU_BURAK_YENI1309[[#This Row],[ALT_KOD]])-(SUMIFS(H:H,D:D,DST_123_ÜRETİM_İHTİYAÇ_RAPORU_BURAK_YENI1309[[#This Row],[ALT_KOD]])+AVERAGEIFS(I:I,D:D,DST_123_ÜRETİM_İHTİYAÇ_RAPORU_BURAK_YENI1309[[#This Row],[ALT_KOD]])+AVERAGEIFS(L:L,D:D,DST_123_ÜRETİM_İHTİYAÇ_RAPORU_BURAK_YENI1309[[#This Row],[ALT_KOD]]))</f>
        <v>-1570</v>
      </c>
      <c r="L1182">
        <v>0</v>
      </c>
      <c r="M1182">
        <f>IF((DST_123_ÜRETİM_İHTİYAÇ_RAPORU_BURAK_YENI1309[[#This Row],[SATINALMA]]*DST_123_ÜRETİM_İHTİYAÇ_RAPORU_BURAK_YENI1309[[#This Row],[BIRIM_FIYATLAR]])&lt;1,VALUE("0"),DST_123_ÜRETİM_İHTİYAÇ_RAPORU_BURAK_YENI1309[[#This Row],[SATINALMA]]*DST_123_ÜRETİM_İHTİYAÇ_RAPORU_BURAK_YENI1309[[#This Row],[BIRIM_FIYATLAR]])</f>
        <v>0</v>
      </c>
      <c r="N1182">
        <v>0.8</v>
      </c>
      <c r="O1182" t="s">
        <v>240</v>
      </c>
      <c r="P1182">
        <v>1.6</v>
      </c>
      <c r="Q1182" t="s">
        <v>180</v>
      </c>
    </row>
    <row r="1183" spans="1:17" x14ac:dyDescent="0.25">
      <c r="A1183" t="s">
        <v>1148</v>
      </c>
      <c r="B1183" t="s">
        <v>1056</v>
      </c>
      <c r="C1183" t="s">
        <v>175</v>
      </c>
      <c r="D1183" t="s">
        <v>64</v>
      </c>
      <c r="E1183" t="s">
        <v>65</v>
      </c>
      <c r="F1183">
        <v>2</v>
      </c>
      <c r="G1183" t="s">
        <v>176</v>
      </c>
      <c r="H1183">
        <v>0</v>
      </c>
      <c r="I1183">
        <v>36</v>
      </c>
      <c r="J1183" s="10">
        <v>12</v>
      </c>
      <c r="K1183" s="10">
        <f>SUMIFS(F:F,D:D,DST_123_ÜRETİM_İHTİYAÇ_RAPORU_BURAK_YENI1309[[#This Row],[ALT_KOD]])-(SUMIFS(H:H,D:D,DST_123_ÜRETİM_İHTİYAÇ_RAPORU_BURAK_YENI1309[[#This Row],[ALT_KOD]])+AVERAGEIFS(I:I,D:D,DST_123_ÜRETİM_İHTİYAÇ_RAPORU_BURAK_YENI1309[[#This Row],[ALT_KOD]])+AVERAGEIFS(L:L,D:D,DST_123_ÜRETİM_İHTİYAÇ_RAPORU_BURAK_YENI1309[[#This Row],[ALT_KOD]]))</f>
        <v>-22</v>
      </c>
      <c r="L1183">
        <v>0</v>
      </c>
      <c r="M1183">
        <f>IF((DST_123_ÜRETİM_İHTİYAÇ_RAPORU_BURAK_YENI1309[[#This Row],[SATINALMA]]*DST_123_ÜRETİM_İHTİYAÇ_RAPORU_BURAK_YENI1309[[#This Row],[BIRIM_FIYATLAR]])&lt;1,VALUE("0"),DST_123_ÜRETİM_İHTİYAÇ_RAPORU_BURAK_YENI1309[[#This Row],[SATINALMA]]*DST_123_ÜRETİM_İHTİYAÇ_RAPORU_BURAK_YENI1309[[#This Row],[BIRIM_FIYATLAR]])</f>
        <v>0</v>
      </c>
      <c r="N1183">
        <v>95</v>
      </c>
      <c r="O1183" t="s">
        <v>217</v>
      </c>
      <c r="P1183">
        <v>190</v>
      </c>
      <c r="Q1183" t="s">
        <v>180</v>
      </c>
    </row>
    <row r="1184" spans="1:17" x14ac:dyDescent="0.25">
      <c r="A1184" t="s">
        <v>1064</v>
      </c>
      <c r="B1184" t="s">
        <v>1055</v>
      </c>
      <c r="C1184" t="s">
        <v>175</v>
      </c>
      <c r="D1184" t="s">
        <v>752</v>
      </c>
      <c r="E1184" t="s">
        <v>753</v>
      </c>
      <c r="F1184">
        <v>1</v>
      </c>
      <c r="G1184" t="s">
        <v>176</v>
      </c>
      <c r="H1184">
        <v>1</v>
      </c>
      <c r="I1184">
        <v>4</v>
      </c>
      <c r="J1184" s="10">
        <v>3</v>
      </c>
      <c r="K1184" s="10">
        <f>SUMIFS(F:F,D:D,DST_123_ÜRETİM_İHTİYAÇ_RAPORU_BURAK_YENI1309[[#This Row],[ALT_KOD]])-(SUMIFS(H:H,D:D,DST_123_ÜRETİM_İHTİYAÇ_RAPORU_BURAK_YENI1309[[#This Row],[ALT_KOD]])+AVERAGEIFS(I:I,D:D,DST_123_ÜRETİM_İHTİYAÇ_RAPORU_BURAK_YENI1309[[#This Row],[ALT_KOD]])+AVERAGEIFS(L:L,D:D,DST_123_ÜRETİM_İHTİYAÇ_RAPORU_BURAK_YENI1309[[#This Row],[ALT_KOD]]))</f>
        <v>-1</v>
      </c>
      <c r="L1184">
        <v>0</v>
      </c>
      <c r="M1184">
        <f>IF((DST_123_ÜRETİM_İHTİYAÇ_RAPORU_BURAK_YENI1309[[#This Row],[SATINALMA]]*DST_123_ÜRETİM_İHTİYAÇ_RAPORU_BURAK_YENI1309[[#This Row],[BIRIM_FIYATLAR]])&lt;1,VALUE("0"),DST_123_ÜRETİM_İHTİYAÇ_RAPORU_BURAK_YENI1309[[#This Row],[SATINALMA]]*DST_123_ÜRETİM_İHTİYAÇ_RAPORU_BURAK_YENI1309[[#This Row],[BIRIM_FIYATLAR]])</f>
        <v>0</v>
      </c>
      <c r="N1184">
        <v>7450</v>
      </c>
      <c r="O1184" t="s">
        <v>584</v>
      </c>
      <c r="P1184">
        <v>7450</v>
      </c>
      <c r="Q1184" t="s">
        <v>177</v>
      </c>
    </row>
    <row r="1185" spans="1:17" x14ac:dyDescent="0.25">
      <c r="A1185" t="s">
        <v>1098</v>
      </c>
      <c r="B1185" t="s">
        <v>1096</v>
      </c>
      <c r="C1185" t="s">
        <v>175</v>
      </c>
      <c r="D1185" t="s">
        <v>752</v>
      </c>
      <c r="E1185" t="s">
        <v>753</v>
      </c>
      <c r="F1185">
        <v>1</v>
      </c>
      <c r="G1185" t="s">
        <v>176</v>
      </c>
      <c r="H1185">
        <v>0</v>
      </c>
      <c r="I1185">
        <v>4</v>
      </c>
      <c r="J1185" s="10">
        <v>3</v>
      </c>
      <c r="K1185" s="10">
        <f>SUMIFS(F:F,D:D,DST_123_ÜRETİM_İHTİYAÇ_RAPORU_BURAK_YENI1309[[#This Row],[ALT_KOD]])-(SUMIFS(H:H,D:D,DST_123_ÜRETİM_İHTİYAÇ_RAPORU_BURAK_YENI1309[[#This Row],[ALT_KOD]])+AVERAGEIFS(I:I,D:D,DST_123_ÜRETİM_İHTİYAÇ_RAPORU_BURAK_YENI1309[[#This Row],[ALT_KOD]])+AVERAGEIFS(L:L,D:D,DST_123_ÜRETİM_İHTİYAÇ_RAPORU_BURAK_YENI1309[[#This Row],[ALT_KOD]]))</f>
        <v>-1</v>
      </c>
      <c r="L1185">
        <v>0</v>
      </c>
      <c r="M1185">
        <f>IF((DST_123_ÜRETİM_İHTİYAÇ_RAPORU_BURAK_YENI1309[[#This Row],[SATINALMA]]*DST_123_ÜRETİM_İHTİYAÇ_RAPORU_BURAK_YENI1309[[#This Row],[BIRIM_FIYATLAR]])&lt;1,VALUE("0"),DST_123_ÜRETİM_İHTİYAÇ_RAPORU_BURAK_YENI1309[[#This Row],[SATINALMA]]*DST_123_ÜRETİM_İHTİYAÇ_RAPORU_BURAK_YENI1309[[#This Row],[BIRIM_FIYATLAR]])</f>
        <v>0</v>
      </c>
      <c r="N1185">
        <v>7450</v>
      </c>
      <c r="O1185" t="s">
        <v>584</v>
      </c>
      <c r="P1185">
        <v>7450</v>
      </c>
      <c r="Q1185" t="s">
        <v>177</v>
      </c>
    </row>
    <row r="1186" spans="1:17" x14ac:dyDescent="0.25">
      <c r="A1186" t="s">
        <v>1057</v>
      </c>
      <c r="B1186" t="s">
        <v>1058</v>
      </c>
      <c r="C1186" t="s">
        <v>175</v>
      </c>
      <c r="D1186" t="s">
        <v>528</v>
      </c>
      <c r="E1186" t="s">
        <v>529</v>
      </c>
      <c r="F1186">
        <v>3</v>
      </c>
      <c r="G1186" t="s">
        <v>176</v>
      </c>
      <c r="H1186">
        <v>0</v>
      </c>
      <c r="I1186">
        <v>1800</v>
      </c>
      <c r="J1186" s="10">
        <v>773</v>
      </c>
      <c r="K1186" s="10">
        <f>SUMIFS(F:F,D:D,DST_123_ÜRETİM_İHTİYAÇ_RAPORU_BURAK_YENI1309[[#This Row],[ALT_KOD]])-(SUMIFS(H:H,D:D,DST_123_ÜRETİM_İHTİYAÇ_RAPORU_BURAK_YENI1309[[#This Row],[ALT_KOD]])+AVERAGEIFS(I:I,D:D,DST_123_ÜRETİM_İHTİYAÇ_RAPORU_BURAK_YENI1309[[#This Row],[ALT_KOD]])+AVERAGEIFS(L:L,D:D,DST_123_ÜRETİM_İHTİYAÇ_RAPORU_BURAK_YENI1309[[#This Row],[ALT_KOD]]))</f>
        <v>-1570</v>
      </c>
      <c r="L1186">
        <v>0</v>
      </c>
      <c r="M1186">
        <f>IF((DST_123_ÜRETİM_İHTİYAÇ_RAPORU_BURAK_YENI1309[[#This Row],[SATINALMA]]*DST_123_ÜRETİM_İHTİYAÇ_RAPORU_BURAK_YENI1309[[#This Row],[BIRIM_FIYATLAR]])&lt;1,VALUE("0"),DST_123_ÜRETİM_İHTİYAÇ_RAPORU_BURAK_YENI1309[[#This Row],[SATINALMA]]*DST_123_ÜRETİM_İHTİYAÇ_RAPORU_BURAK_YENI1309[[#This Row],[BIRIM_FIYATLAR]])</f>
        <v>0</v>
      </c>
      <c r="N1186">
        <v>0.8</v>
      </c>
      <c r="O1186" t="s">
        <v>240</v>
      </c>
      <c r="P1186">
        <v>2.4000000000000004</v>
      </c>
      <c r="Q1186" t="s">
        <v>180</v>
      </c>
    </row>
    <row r="1187" spans="1:17" x14ac:dyDescent="0.25">
      <c r="A1187" t="s">
        <v>1100</v>
      </c>
      <c r="B1187" t="s">
        <v>1058</v>
      </c>
      <c r="C1187" t="s">
        <v>175</v>
      </c>
      <c r="D1187" t="s">
        <v>528</v>
      </c>
      <c r="E1187" t="s">
        <v>529</v>
      </c>
      <c r="F1187">
        <v>3</v>
      </c>
      <c r="G1187" t="s">
        <v>176</v>
      </c>
      <c r="H1187">
        <v>0</v>
      </c>
      <c r="I1187">
        <v>1800</v>
      </c>
      <c r="J1187" s="10">
        <v>773</v>
      </c>
      <c r="K1187" s="10">
        <f>SUMIFS(F:F,D:D,DST_123_ÜRETİM_İHTİYAÇ_RAPORU_BURAK_YENI1309[[#This Row],[ALT_KOD]])-(SUMIFS(H:H,D:D,DST_123_ÜRETİM_İHTİYAÇ_RAPORU_BURAK_YENI1309[[#This Row],[ALT_KOD]])+AVERAGEIFS(I:I,D:D,DST_123_ÜRETİM_İHTİYAÇ_RAPORU_BURAK_YENI1309[[#This Row],[ALT_KOD]])+AVERAGEIFS(L:L,D:D,DST_123_ÜRETİM_İHTİYAÇ_RAPORU_BURAK_YENI1309[[#This Row],[ALT_KOD]]))</f>
        <v>-1570</v>
      </c>
      <c r="L1187">
        <v>0</v>
      </c>
      <c r="M1187">
        <f>IF((DST_123_ÜRETİM_İHTİYAÇ_RAPORU_BURAK_YENI1309[[#This Row],[SATINALMA]]*DST_123_ÜRETİM_İHTİYAÇ_RAPORU_BURAK_YENI1309[[#This Row],[BIRIM_FIYATLAR]])&lt;1,VALUE("0"),DST_123_ÜRETİM_İHTİYAÇ_RAPORU_BURAK_YENI1309[[#This Row],[SATINALMA]]*DST_123_ÜRETİM_İHTİYAÇ_RAPORU_BURAK_YENI1309[[#This Row],[BIRIM_FIYATLAR]])</f>
        <v>0</v>
      </c>
      <c r="N1187">
        <v>0.8</v>
      </c>
      <c r="O1187" t="s">
        <v>240</v>
      </c>
      <c r="P1187">
        <v>2.4000000000000004</v>
      </c>
      <c r="Q1187" t="s">
        <v>180</v>
      </c>
    </row>
    <row r="1188" spans="1:17" x14ac:dyDescent="0.25">
      <c r="A1188" t="s">
        <v>1148</v>
      </c>
      <c r="B1188" t="s">
        <v>1056</v>
      </c>
      <c r="C1188" t="s">
        <v>175</v>
      </c>
      <c r="D1188" t="s">
        <v>528</v>
      </c>
      <c r="E1188" t="s">
        <v>529</v>
      </c>
      <c r="F1188">
        <v>18</v>
      </c>
      <c r="G1188" t="s">
        <v>176</v>
      </c>
      <c r="H1188">
        <v>0</v>
      </c>
      <c r="I1188">
        <v>1800</v>
      </c>
      <c r="J1188" s="10">
        <v>773</v>
      </c>
      <c r="K1188" s="10">
        <f>SUMIFS(F:F,D:D,DST_123_ÜRETİM_İHTİYAÇ_RAPORU_BURAK_YENI1309[[#This Row],[ALT_KOD]])-(SUMIFS(H:H,D:D,DST_123_ÜRETİM_İHTİYAÇ_RAPORU_BURAK_YENI1309[[#This Row],[ALT_KOD]])+AVERAGEIFS(I:I,D:D,DST_123_ÜRETİM_İHTİYAÇ_RAPORU_BURAK_YENI1309[[#This Row],[ALT_KOD]])+AVERAGEIFS(L:L,D:D,DST_123_ÜRETİM_İHTİYAÇ_RAPORU_BURAK_YENI1309[[#This Row],[ALT_KOD]]))</f>
        <v>-1570</v>
      </c>
      <c r="L1188">
        <v>0</v>
      </c>
      <c r="M1188">
        <f>IF((DST_123_ÜRETİM_İHTİYAÇ_RAPORU_BURAK_YENI1309[[#This Row],[SATINALMA]]*DST_123_ÜRETİM_İHTİYAÇ_RAPORU_BURAK_YENI1309[[#This Row],[BIRIM_FIYATLAR]])&lt;1,VALUE("0"),DST_123_ÜRETİM_İHTİYAÇ_RAPORU_BURAK_YENI1309[[#This Row],[SATINALMA]]*DST_123_ÜRETİM_İHTİYAÇ_RAPORU_BURAK_YENI1309[[#This Row],[BIRIM_FIYATLAR]])</f>
        <v>0</v>
      </c>
      <c r="N1188">
        <v>0.8</v>
      </c>
      <c r="O1188" t="s">
        <v>240</v>
      </c>
      <c r="P1188">
        <v>14.4</v>
      </c>
      <c r="Q1188" t="s">
        <v>180</v>
      </c>
    </row>
    <row r="1189" spans="1:17" x14ac:dyDescent="0.25">
      <c r="A1189" t="s">
        <v>1147</v>
      </c>
      <c r="B1189" t="s">
        <v>1145</v>
      </c>
      <c r="C1189" t="s">
        <v>175</v>
      </c>
      <c r="D1189" t="s">
        <v>64</v>
      </c>
      <c r="E1189" t="s">
        <v>65</v>
      </c>
      <c r="F1189">
        <v>1</v>
      </c>
      <c r="G1189" t="s">
        <v>176</v>
      </c>
      <c r="H1189">
        <v>0</v>
      </c>
      <c r="I1189">
        <v>36</v>
      </c>
      <c r="J1189" s="10">
        <v>12</v>
      </c>
      <c r="K1189" s="10">
        <f>SUMIFS(F:F,D:D,DST_123_ÜRETİM_İHTİYAÇ_RAPORU_BURAK_YENI1309[[#This Row],[ALT_KOD]])-(SUMIFS(H:H,D:D,DST_123_ÜRETİM_İHTİYAÇ_RAPORU_BURAK_YENI1309[[#This Row],[ALT_KOD]])+AVERAGEIFS(I:I,D:D,DST_123_ÜRETİM_İHTİYAÇ_RAPORU_BURAK_YENI1309[[#This Row],[ALT_KOD]])+AVERAGEIFS(L:L,D:D,DST_123_ÜRETİM_İHTİYAÇ_RAPORU_BURAK_YENI1309[[#This Row],[ALT_KOD]]))</f>
        <v>-22</v>
      </c>
      <c r="L1189">
        <v>0</v>
      </c>
      <c r="M1189">
        <f>IF((DST_123_ÜRETİM_İHTİYAÇ_RAPORU_BURAK_YENI1309[[#This Row],[SATINALMA]]*DST_123_ÜRETİM_İHTİYAÇ_RAPORU_BURAK_YENI1309[[#This Row],[BIRIM_FIYATLAR]])&lt;1,VALUE("0"),DST_123_ÜRETİM_İHTİYAÇ_RAPORU_BURAK_YENI1309[[#This Row],[SATINALMA]]*DST_123_ÜRETİM_İHTİYAÇ_RAPORU_BURAK_YENI1309[[#This Row],[BIRIM_FIYATLAR]])</f>
        <v>0</v>
      </c>
      <c r="N1189">
        <v>95</v>
      </c>
      <c r="O1189" t="s">
        <v>217</v>
      </c>
      <c r="P1189">
        <v>95</v>
      </c>
      <c r="Q1189" t="s">
        <v>180</v>
      </c>
    </row>
    <row r="1190" spans="1:17" x14ac:dyDescent="0.25">
      <c r="A1190" t="s">
        <v>1147</v>
      </c>
      <c r="B1190" t="s">
        <v>1145</v>
      </c>
      <c r="C1190" t="s">
        <v>175</v>
      </c>
      <c r="D1190" t="s">
        <v>398</v>
      </c>
      <c r="E1190" t="s">
        <v>399</v>
      </c>
      <c r="F1190">
        <v>0.02</v>
      </c>
      <c r="G1190" t="s">
        <v>185</v>
      </c>
      <c r="H1190">
        <v>0</v>
      </c>
      <c r="I1190">
        <v>3</v>
      </c>
      <c r="J1190" s="10">
        <v>0</v>
      </c>
      <c r="K1190" s="10">
        <f>SUMIFS(F:F,D:D,DST_123_ÜRETİM_İHTİYAÇ_RAPORU_BURAK_YENI1309[[#This Row],[ALT_KOD]])-(SUMIFS(H:H,D:D,DST_123_ÜRETİM_İHTİYAÇ_RAPORU_BURAK_YENI1309[[#This Row],[ALT_KOD]])+AVERAGEIFS(I:I,D:D,DST_123_ÜRETİM_İHTİYAÇ_RAPORU_BURAK_YENI1309[[#This Row],[ALT_KOD]])+AVERAGEIFS(L:L,D:D,DST_123_ÜRETİM_İHTİYAÇ_RAPORU_BURAK_YENI1309[[#This Row],[ALT_KOD]]))</f>
        <v>-2.75</v>
      </c>
      <c r="L1190">
        <v>0</v>
      </c>
      <c r="M1190">
        <f>IF((DST_123_ÜRETİM_İHTİYAÇ_RAPORU_BURAK_YENI1309[[#This Row],[SATINALMA]]*DST_123_ÜRETİM_İHTİYAÇ_RAPORU_BURAK_YENI1309[[#This Row],[BIRIM_FIYATLAR]])&lt;1,VALUE("0"),DST_123_ÜRETİM_İHTİYAÇ_RAPORU_BURAK_YENI1309[[#This Row],[SATINALMA]]*DST_123_ÜRETİM_İHTİYAÇ_RAPORU_BURAK_YENI1309[[#This Row],[BIRIM_FIYATLAR]])</f>
        <v>0</v>
      </c>
      <c r="N1190">
        <v>148.31</v>
      </c>
      <c r="P1190">
        <v>2.9662000000000002</v>
      </c>
      <c r="Q1190" t="s">
        <v>183</v>
      </c>
    </row>
    <row r="1191" spans="1:17" x14ac:dyDescent="0.25">
      <c r="A1191" t="s">
        <v>1057</v>
      </c>
      <c r="B1191" t="s">
        <v>1058</v>
      </c>
      <c r="C1191" t="s">
        <v>175</v>
      </c>
      <c r="D1191" t="s">
        <v>921</v>
      </c>
      <c r="E1191" t="s">
        <v>922</v>
      </c>
      <c r="F1191">
        <v>0.75</v>
      </c>
      <c r="G1191" t="s">
        <v>179</v>
      </c>
      <c r="H1191">
        <v>0</v>
      </c>
      <c r="I1191">
        <v>0</v>
      </c>
      <c r="J1191" s="10">
        <v>0</v>
      </c>
      <c r="K1191" s="10">
        <f>SUMIFS(F:F,D:D,DST_123_ÜRETİM_İHTİYAÇ_RAPORU_BURAK_YENI1309[[#This Row],[ALT_KOD]])-(SUMIFS(H:H,D:D,DST_123_ÜRETİM_İHTİYAÇ_RAPORU_BURAK_YENI1309[[#This Row],[ALT_KOD]])+AVERAGEIFS(I:I,D:D,DST_123_ÜRETİM_İHTİYAÇ_RAPORU_BURAK_YENI1309[[#This Row],[ALT_KOD]])+AVERAGEIFS(L:L,D:D,DST_123_ÜRETİM_İHTİYAÇ_RAPORU_BURAK_YENI1309[[#This Row],[ALT_KOD]]))</f>
        <v>0.75</v>
      </c>
      <c r="L1191">
        <v>0</v>
      </c>
      <c r="M1191">
        <f>IF((DST_123_ÜRETİM_İHTİYAÇ_RAPORU_BURAK_YENI1309[[#This Row],[SATINALMA]]*DST_123_ÜRETİM_İHTİYAÇ_RAPORU_BURAK_YENI1309[[#This Row],[BIRIM_FIYATLAR]])&lt;1,VALUE("0"),DST_123_ÜRETİM_İHTİYAÇ_RAPORU_BURAK_YENI1309[[#This Row],[SATINALMA]]*DST_123_ÜRETİM_İHTİYAÇ_RAPORU_BURAK_YENI1309[[#This Row],[BIRIM_FIYATLAR]])</f>
        <v>74.25</v>
      </c>
      <c r="N1191">
        <v>99</v>
      </c>
      <c r="P1191">
        <v>74.25</v>
      </c>
      <c r="Q1191" t="s">
        <v>184</v>
      </c>
    </row>
    <row r="1192" spans="1:17" x14ac:dyDescent="0.25">
      <c r="A1192" t="s">
        <v>1149</v>
      </c>
      <c r="B1192" t="s">
        <v>1145</v>
      </c>
      <c r="C1192" t="s">
        <v>175</v>
      </c>
      <c r="D1192" t="s">
        <v>398</v>
      </c>
      <c r="E1192" t="s">
        <v>399</v>
      </c>
      <c r="F1192">
        <v>0.02</v>
      </c>
      <c r="G1192" t="s">
        <v>185</v>
      </c>
      <c r="H1192">
        <v>0</v>
      </c>
      <c r="I1192">
        <v>3</v>
      </c>
      <c r="J1192" s="10">
        <v>0</v>
      </c>
      <c r="K1192" s="10">
        <f>SUMIFS(F:F,D:D,DST_123_ÜRETİM_İHTİYAÇ_RAPORU_BURAK_YENI1309[[#This Row],[ALT_KOD]])-(SUMIFS(H:H,D:D,DST_123_ÜRETİM_İHTİYAÇ_RAPORU_BURAK_YENI1309[[#This Row],[ALT_KOD]])+AVERAGEIFS(I:I,D:D,DST_123_ÜRETİM_İHTİYAÇ_RAPORU_BURAK_YENI1309[[#This Row],[ALT_KOD]])+AVERAGEIFS(L:L,D:D,DST_123_ÜRETİM_İHTİYAÇ_RAPORU_BURAK_YENI1309[[#This Row],[ALT_KOD]]))</f>
        <v>-2.75</v>
      </c>
      <c r="L1192">
        <v>0</v>
      </c>
      <c r="M1192">
        <f>IF((DST_123_ÜRETİM_İHTİYAÇ_RAPORU_BURAK_YENI1309[[#This Row],[SATINALMA]]*DST_123_ÜRETİM_İHTİYAÇ_RAPORU_BURAK_YENI1309[[#This Row],[BIRIM_FIYATLAR]])&lt;1,VALUE("0"),DST_123_ÜRETİM_İHTİYAÇ_RAPORU_BURAK_YENI1309[[#This Row],[SATINALMA]]*DST_123_ÜRETİM_İHTİYAÇ_RAPORU_BURAK_YENI1309[[#This Row],[BIRIM_FIYATLAR]])</f>
        <v>0</v>
      </c>
      <c r="N1192">
        <v>148.31</v>
      </c>
      <c r="P1192">
        <v>2.9662000000000002</v>
      </c>
      <c r="Q1192" t="s">
        <v>183</v>
      </c>
    </row>
    <row r="1193" spans="1:17" x14ac:dyDescent="0.25">
      <c r="A1193" t="s">
        <v>1149</v>
      </c>
      <c r="B1193" t="s">
        <v>1145</v>
      </c>
      <c r="C1193" t="s">
        <v>175</v>
      </c>
      <c r="D1193" t="s">
        <v>50</v>
      </c>
      <c r="E1193" t="s">
        <v>51</v>
      </c>
      <c r="F1193">
        <v>1</v>
      </c>
      <c r="G1193" t="s">
        <v>176</v>
      </c>
      <c r="H1193">
        <v>0</v>
      </c>
      <c r="I1193">
        <v>4</v>
      </c>
      <c r="J1193" s="10">
        <v>10</v>
      </c>
      <c r="K1193" s="10">
        <f>SUMIFS(F:F,D:D,DST_123_ÜRETİM_İHTİYAÇ_RAPORU_BURAK_YENI1309[[#This Row],[ALT_KOD]])-(SUMIFS(H:H,D:D,DST_123_ÜRETİM_İHTİYAÇ_RAPORU_BURAK_YENI1309[[#This Row],[ALT_KOD]])+AVERAGEIFS(I:I,D:D,DST_123_ÜRETİM_İHTİYAÇ_RAPORU_BURAK_YENI1309[[#This Row],[ALT_KOD]])+AVERAGEIFS(L:L,D:D,DST_123_ÜRETİM_İHTİYAÇ_RAPORU_BURAK_YENI1309[[#This Row],[ALT_KOD]]))</f>
        <v>8</v>
      </c>
      <c r="L1193">
        <v>0</v>
      </c>
      <c r="M1193">
        <f>IF((DST_123_ÜRETİM_İHTİYAÇ_RAPORU_BURAK_YENI1309[[#This Row],[SATINALMA]]*DST_123_ÜRETİM_İHTİYAÇ_RAPORU_BURAK_YENI1309[[#This Row],[BIRIM_FIYATLAR]])&lt;1,VALUE("0"),DST_123_ÜRETİM_İHTİYAÇ_RAPORU_BURAK_YENI1309[[#This Row],[SATINALMA]]*DST_123_ÜRETİM_İHTİYAÇ_RAPORU_BURAK_YENI1309[[#This Row],[BIRIM_FIYATLAR]])</f>
        <v>41649.120000000003</v>
      </c>
      <c r="N1193">
        <v>5206.1400000000003</v>
      </c>
      <c r="O1193" t="s">
        <v>215</v>
      </c>
      <c r="P1193">
        <v>5206.1400000000003</v>
      </c>
      <c r="Q1193" t="s">
        <v>221</v>
      </c>
    </row>
    <row r="1194" spans="1:17" x14ac:dyDescent="0.25">
      <c r="A1194" t="s">
        <v>1146</v>
      </c>
      <c r="B1194" t="s">
        <v>1145</v>
      </c>
      <c r="C1194" t="s">
        <v>175</v>
      </c>
      <c r="D1194" t="s">
        <v>50</v>
      </c>
      <c r="E1194" t="s">
        <v>51</v>
      </c>
      <c r="F1194">
        <v>1</v>
      </c>
      <c r="G1194" t="s">
        <v>176</v>
      </c>
      <c r="H1194">
        <v>0</v>
      </c>
      <c r="I1194">
        <v>4</v>
      </c>
      <c r="J1194" s="10">
        <v>10</v>
      </c>
      <c r="K1194" s="10">
        <f>SUMIFS(F:F,D:D,DST_123_ÜRETİM_İHTİYAÇ_RAPORU_BURAK_YENI1309[[#This Row],[ALT_KOD]])-(SUMIFS(H:H,D:D,DST_123_ÜRETİM_İHTİYAÇ_RAPORU_BURAK_YENI1309[[#This Row],[ALT_KOD]])+AVERAGEIFS(I:I,D:D,DST_123_ÜRETİM_İHTİYAÇ_RAPORU_BURAK_YENI1309[[#This Row],[ALT_KOD]])+AVERAGEIFS(L:L,D:D,DST_123_ÜRETİM_İHTİYAÇ_RAPORU_BURAK_YENI1309[[#This Row],[ALT_KOD]]))</f>
        <v>8</v>
      </c>
      <c r="L1194">
        <v>0</v>
      </c>
      <c r="M1194">
        <f>IF((DST_123_ÜRETİM_İHTİYAÇ_RAPORU_BURAK_YENI1309[[#This Row],[SATINALMA]]*DST_123_ÜRETİM_İHTİYAÇ_RAPORU_BURAK_YENI1309[[#This Row],[BIRIM_FIYATLAR]])&lt;1,VALUE("0"),DST_123_ÜRETİM_İHTİYAÇ_RAPORU_BURAK_YENI1309[[#This Row],[SATINALMA]]*DST_123_ÜRETİM_İHTİYAÇ_RAPORU_BURAK_YENI1309[[#This Row],[BIRIM_FIYATLAR]])</f>
        <v>41649.120000000003</v>
      </c>
      <c r="N1194">
        <v>5206.1400000000003</v>
      </c>
      <c r="O1194" t="s">
        <v>215</v>
      </c>
      <c r="P1194">
        <v>5206.1400000000003</v>
      </c>
      <c r="Q1194" t="s">
        <v>221</v>
      </c>
    </row>
    <row r="1195" spans="1:17" x14ac:dyDescent="0.25">
      <c r="A1195" t="s">
        <v>1144</v>
      </c>
      <c r="B1195" t="s">
        <v>1145</v>
      </c>
      <c r="C1195" t="s">
        <v>175</v>
      </c>
      <c r="D1195" t="s">
        <v>50</v>
      </c>
      <c r="E1195" t="s">
        <v>51</v>
      </c>
      <c r="F1195">
        <v>1</v>
      </c>
      <c r="G1195" t="s">
        <v>176</v>
      </c>
      <c r="H1195">
        <v>0</v>
      </c>
      <c r="I1195">
        <v>4</v>
      </c>
      <c r="J1195" s="10">
        <v>10</v>
      </c>
      <c r="K1195" s="10">
        <f>SUMIFS(F:F,D:D,DST_123_ÜRETİM_İHTİYAÇ_RAPORU_BURAK_YENI1309[[#This Row],[ALT_KOD]])-(SUMIFS(H:H,D:D,DST_123_ÜRETİM_İHTİYAÇ_RAPORU_BURAK_YENI1309[[#This Row],[ALT_KOD]])+AVERAGEIFS(I:I,D:D,DST_123_ÜRETİM_İHTİYAÇ_RAPORU_BURAK_YENI1309[[#This Row],[ALT_KOD]])+AVERAGEIFS(L:L,D:D,DST_123_ÜRETİM_İHTİYAÇ_RAPORU_BURAK_YENI1309[[#This Row],[ALT_KOD]]))</f>
        <v>8</v>
      </c>
      <c r="L1195">
        <v>0</v>
      </c>
      <c r="M1195">
        <f>IF((DST_123_ÜRETİM_İHTİYAÇ_RAPORU_BURAK_YENI1309[[#This Row],[SATINALMA]]*DST_123_ÜRETİM_İHTİYAÇ_RAPORU_BURAK_YENI1309[[#This Row],[BIRIM_FIYATLAR]])&lt;1,VALUE("0"),DST_123_ÜRETİM_İHTİYAÇ_RAPORU_BURAK_YENI1309[[#This Row],[SATINALMA]]*DST_123_ÜRETİM_İHTİYAÇ_RAPORU_BURAK_YENI1309[[#This Row],[BIRIM_FIYATLAR]])</f>
        <v>41649.120000000003</v>
      </c>
      <c r="N1195">
        <v>5206.1400000000003</v>
      </c>
      <c r="O1195" t="s">
        <v>215</v>
      </c>
      <c r="P1195">
        <v>5206.1400000000003</v>
      </c>
      <c r="Q1195" t="s">
        <v>221</v>
      </c>
    </row>
    <row r="1196" spans="1:17" x14ac:dyDescent="0.25">
      <c r="A1196" t="s">
        <v>1149</v>
      </c>
      <c r="B1196" t="s">
        <v>1145</v>
      </c>
      <c r="C1196" t="s">
        <v>175</v>
      </c>
      <c r="D1196" t="s">
        <v>1071</v>
      </c>
      <c r="E1196" t="s">
        <v>1072</v>
      </c>
      <c r="F1196">
        <v>0.5</v>
      </c>
      <c r="G1196" t="s">
        <v>176</v>
      </c>
      <c r="H1196">
        <v>0</v>
      </c>
      <c r="I1196">
        <v>0</v>
      </c>
      <c r="J1196" s="10">
        <v>-1.7763568394002505E-15</v>
      </c>
      <c r="K1196" s="10">
        <f>SUMIFS(F:F,D:D,DST_123_ÜRETİM_İHTİYAÇ_RAPORU_BURAK_YENI1309[[#This Row],[ALT_KOD]])-(SUMIFS(H:H,D:D,DST_123_ÜRETİM_İHTİYAÇ_RAPORU_BURAK_YENI1309[[#This Row],[ALT_KOD]])+AVERAGEIFS(I:I,D:D,DST_123_ÜRETİM_İHTİYAÇ_RAPORU_BURAK_YENI1309[[#This Row],[ALT_KOD]])+AVERAGEIFS(L:L,D:D,DST_123_ÜRETİM_İHTİYAÇ_RAPORU_BURAK_YENI1309[[#This Row],[ALT_KOD]]))</f>
        <v>2.5</v>
      </c>
      <c r="L1196">
        <v>0</v>
      </c>
      <c r="M1196">
        <f>IF((DST_123_ÜRETİM_İHTİYAÇ_RAPORU_BURAK_YENI1309[[#This Row],[SATINALMA]]*DST_123_ÜRETİM_İHTİYAÇ_RAPORU_BURAK_YENI1309[[#This Row],[BIRIM_FIYATLAR]])&lt;1,VALUE("0"),DST_123_ÜRETİM_İHTİYAÇ_RAPORU_BURAK_YENI1309[[#This Row],[SATINALMA]]*DST_123_ÜRETİM_İHTİYAÇ_RAPORU_BURAK_YENI1309[[#This Row],[BIRIM_FIYATLAR]])</f>
        <v>208.32499999999999</v>
      </c>
      <c r="N1196">
        <v>83.33</v>
      </c>
      <c r="O1196" t="s">
        <v>226</v>
      </c>
      <c r="P1196">
        <v>41.664999999999999</v>
      </c>
      <c r="Q1196" t="s">
        <v>183</v>
      </c>
    </row>
    <row r="1197" spans="1:17" x14ac:dyDescent="0.25">
      <c r="A1197" t="s">
        <v>1144</v>
      </c>
      <c r="B1197" t="s">
        <v>1145</v>
      </c>
      <c r="C1197" t="s">
        <v>175</v>
      </c>
      <c r="D1197" t="s">
        <v>130</v>
      </c>
      <c r="E1197" t="s">
        <v>131</v>
      </c>
      <c r="F1197">
        <v>88</v>
      </c>
      <c r="G1197" t="s">
        <v>176</v>
      </c>
      <c r="H1197">
        <v>0</v>
      </c>
      <c r="I1197">
        <v>2750</v>
      </c>
      <c r="J1197" s="10">
        <v>0</v>
      </c>
      <c r="K1197" s="10">
        <f>SUMIFS(F:F,D:D,DST_123_ÜRETİM_İHTİYAÇ_RAPORU_BURAK_YENI1309[[#This Row],[ALT_KOD]])-(SUMIFS(H:H,D:D,DST_123_ÜRETİM_İHTİYAÇ_RAPORU_BURAK_YENI1309[[#This Row],[ALT_KOD]])+AVERAGEIFS(I:I,D:D,DST_123_ÜRETİM_İHTİYAÇ_RAPORU_BURAK_YENI1309[[#This Row],[ALT_KOD]])+AVERAGEIFS(L:L,D:D,DST_123_ÜRETİM_İHTİYAÇ_RAPORU_BURAK_YENI1309[[#This Row],[ALT_KOD]]))</f>
        <v>-747</v>
      </c>
      <c r="L1197">
        <v>0</v>
      </c>
      <c r="M1197">
        <f>IF((DST_123_ÜRETİM_İHTİYAÇ_RAPORU_BURAK_YENI1309[[#This Row],[SATINALMA]]*DST_123_ÜRETİM_İHTİYAÇ_RAPORU_BURAK_YENI1309[[#This Row],[BIRIM_FIYATLAR]])&lt;1,VALUE("0"),DST_123_ÜRETİM_İHTİYAÇ_RAPORU_BURAK_YENI1309[[#This Row],[SATINALMA]]*DST_123_ÜRETİM_İHTİYAÇ_RAPORU_BURAK_YENI1309[[#This Row],[BIRIM_FIYATLAR]])</f>
        <v>0</v>
      </c>
      <c r="N1197">
        <v>0.7</v>
      </c>
      <c r="O1197" t="s">
        <v>240</v>
      </c>
      <c r="P1197">
        <v>61.599999999999994</v>
      </c>
      <c r="Q1197" t="s">
        <v>180</v>
      </c>
    </row>
    <row r="1198" spans="1:17" x14ac:dyDescent="0.25">
      <c r="A1198" t="s">
        <v>1146</v>
      </c>
      <c r="B1198" t="s">
        <v>1145</v>
      </c>
      <c r="C1198" t="s">
        <v>175</v>
      </c>
      <c r="D1198" t="s">
        <v>130</v>
      </c>
      <c r="E1198" t="s">
        <v>131</v>
      </c>
      <c r="F1198">
        <v>100</v>
      </c>
      <c r="G1198" t="s">
        <v>176</v>
      </c>
      <c r="H1198">
        <v>0</v>
      </c>
      <c r="I1198">
        <v>2750</v>
      </c>
      <c r="J1198" s="10">
        <v>0</v>
      </c>
      <c r="K1198" s="10">
        <f>SUMIFS(F:F,D:D,DST_123_ÜRETİM_İHTİYAÇ_RAPORU_BURAK_YENI1309[[#This Row],[ALT_KOD]])-(SUMIFS(H:H,D:D,DST_123_ÜRETİM_İHTİYAÇ_RAPORU_BURAK_YENI1309[[#This Row],[ALT_KOD]])+AVERAGEIFS(I:I,D:D,DST_123_ÜRETİM_İHTİYAÇ_RAPORU_BURAK_YENI1309[[#This Row],[ALT_KOD]])+AVERAGEIFS(L:L,D:D,DST_123_ÜRETİM_İHTİYAÇ_RAPORU_BURAK_YENI1309[[#This Row],[ALT_KOD]]))</f>
        <v>-747</v>
      </c>
      <c r="L1198">
        <v>0</v>
      </c>
      <c r="M1198">
        <f>IF((DST_123_ÜRETİM_İHTİYAÇ_RAPORU_BURAK_YENI1309[[#This Row],[SATINALMA]]*DST_123_ÜRETİM_İHTİYAÇ_RAPORU_BURAK_YENI1309[[#This Row],[BIRIM_FIYATLAR]])&lt;1,VALUE("0"),DST_123_ÜRETİM_İHTİYAÇ_RAPORU_BURAK_YENI1309[[#This Row],[SATINALMA]]*DST_123_ÜRETİM_İHTİYAÇ_RAPORU_BURAK_YENI1309[[#This Row],[BIRIM_FIYATLAR]])</f>
        <v>0</v>
      </c>
      <c r="N1198">
        <v>0.7</v>
      </c>
      <c r="O1198" t="s">
        <v>240</v>
      </c>
      <c r="P1198">
        <v>70</v>
      </c>
      <c r="Q1198" t="s">
        <v>180</v>
      </c>
    </row>
    <row r="1199" spans="1:17" x14ac:dyDescent="0.25">
      <c r="A1199" t="s">
        <v>1144</v>
      </c>
      <c r="B1199" t="s">
        <v>1145</v>
      </c>
      <c r="C1199" t="s">
        <v>175</v>
      </c>
      <c r="D1199" t="s">
        <v>124</v>
      </c>
      <c r="E1199" t="s">
        <v>125</v>
      </c>
      <c r="F1199">
        <v>7</v>
      </c>
      <c r="G1199" t="s">
        <v>185</v>
      </c>
      <c r="H1199">
        <v>0</v>
      </c>
      <c r="I1199">
        <v>0</v>
      </c>
      <c r="J1199" s="10">
        <v>297.61</v>
      </c>
      <c r="K1199" s="10">
        <f>SUMIFS(F:F,D:D,DST_123_ÜRETİM_İHTİYAÇ_RAPORU_BURAK_YENI1309[[#This Row],[ALT_KOD]])-(SUMIFS(H:H,D:D,DST_123_ÜRETİM_İHTİYAÇ_RAPORU_BURAK_YENI1309[[#This Row],[ALT_KOD]])+AVERAGEIFS(I:I,D:D,DST_123_ÜRETİM_İHTİYAÇ_RAPORU_BURAK_YENI1309[[#This Row],[ALT_KOD]])+AVERAGEIFS(L:L,D:D,DST_123_ÜRETİM_İHTİYAÇ_RAPORU_BURAK_YENI1309[[#This Row],[ALT_KOD]]))</f>
        <v>97.560000000000016</v>
      </c>
      <c r="L1199">
        <v>0</v>
      </c>
      <c r="M1199">
        <f>IF((DST_123_ÜRETİM_İHTİYAÇ_RAPORU_BURAK_YENI1309[[#This Row],[SATINALMA]]*DST_123_ÜRETİM_İHTİYAÇ_RAPORU_BURAK_YENI1309[[#This Row],[BIRIM_FIYATLAR]])&lt;1,VALUE("0"),DST_123_ÜRETİM_İHTİYAÇ_RAPORU_BURAK_YENI1309[[#This Row],[SATINALMA]]*DST_123_ÜRETİM_İHTİYAÇ_RAPORU_BURAK_YENI1309[[#This Row],[BIRIM_FIYATLAR]])</f>
        <v>13285.720800000003</v>
      </c>
      <c r="N1199">
        <v>136.18</v>
      </c>
      <c r="O1199" t="s">
        <v>252</v>
      </c>
      <c r="P1199">
        <v>953.26</v>
      </c>
      <c r="Q1199" t="s">
        <v>183</v>
      </c>
    </row>
    <row r="1200" spans="1:17" x14ac:dyDescent="0.25">
      <c r="A1200" t="s">
        <v>1149</v>
      </c>
      <c r="B1200" t="s">
        <v>1145</v>
      </c>
      <c r="C1200" t="s">
        <v>175</v>
      </c>
      <c r="D1200" t="s">
        <v>264</v>
      </c>
      <c r="E1200" t="s">
        <v>265</v>
      </c>
      <c r="F1200">
        <v>1</v>
      </c>
      <c r="G1200" t="s">
        <v>176</v>
      </c>
      <c r="H1200">
        <v>0</v>
      </c>
      <c r="I1200">
        <v>0</v>
      </c>
      <c r="J1200" s="10">
        <v>8</v>
      </c>
      <c r="K1200" s="10">
        <f>SUMIFS(F:F,D:D,DST_123_ÜRETİM_İHTİYAÇ_RAPORU_BURAK_YENI1309[[#This Row],[ALT_KOD]])-(SUMIFS(H:H,D:D,DST_123_ÜRETİM_İHTİYAÇ_RAPORU_BURAK_YENI1309[[#This Row],[ALT_KOD]])+AVERAGEIFS(I:I,D:D,DST_123_ÜRETİM_İHTİYAÇ_RAPORU_BURAK_YENI1309[[#This Row],[ALT_KOD]])+AVERAGEIFS(L:L,D:D,DST_123_ÜRETİM_İHTİYAÇ_RAPORU_BURAK_YENI1309[[#This Row],[ALT_KOD]]))</f>
        <v>12</v>
      </c>
      <c r="L1200">
        <v>0</v>
      </c>
      <c r="M1200">
        <f>IF((DST_123_ÜRETİM_İHTİYAÇ_RAPORU_BURAK_YENI1309[[#This Row],[SATINALMA]]*DST_123_ÜRETİM_İHTİYAÇ_RAPORU_BURAK_YENI1309[[#This Row],[BIRIM_FIYATLAR]])&lt;1,VALUE("0"),DST_123_ÜRETİM_İHTİYAÇ_RAPORU_BURAK_YENI1309[[#This Row],[SATINALMA]]*DST_123_ÜRETİM_İHTİYAÇ_RAPORU_BURAK_YENI1309[[#This Row],[BIRIM_FIYATLAR]])</f>
        <v>55600.08</v>
      </c>
      <c r="N1200">
        <v>4633.34</v>
      </c>
      <c r="O1200" t="s">
        <v>214</v>
      </c>
      <c r="P1200">
        <v>4633.34</v>
      </c>
      <c r="Q1200" t="s">
        <v>177</v>
      </c>
    </row>
    <row r="1201" spans="1:17" x14ac:dyDescent="0.25">
      <c r="A1201" t="s">
        <v>1148</v>
      </c>
      <c r="B1201" t="s">
        <v>1056</v>
      </c>
      <c r="C1201" t="s">
        <v>175</v>
      </c>
      <c r="D1201" t="s">
        <v>50</v>
      </c>
      <c r="E1201" t="s">
        <v>51</v>
      </c>
      <c r="F1201">
        <v>1</v>
      </c>
      <c r="G1201" t="s">
        <v>176</v>
      </c>
      <c r="H1201">
        <v>0</v>
      </c>
      <c r="I1201">
        <v>4</v>
      </c>
      <c r="J1201" s="10">
        <v>10</v>
      </c>
      <c r="K1201" s="10">
        <f>SUMIFS(F:F,D:D,DST_123_ÜRETİM_İHTİYAÇ_RAPORU_BURAK_YENI1309[[#This Row],[ALT_KOD]])-(SUMIFS(H:H,D:D,DST_123_ÜRETİM_İHTİYAÇ_RAPORU_BURAK_YENI1309[[#This Row],[ALT_KOD]])+AVERAGEIFS(I:I,D:D,DST_123_ÜRETİM_İHTİYAÇ_RAPORU_BURAK_YENI1309[[#This Row],[ALT_KOD]])+AVERAGEIFS(L:L,D:D,DST_123_ÜRETİM_İHTİYAÇ_RAPORU_BURAK_YENI1309[[#This Row],[ALT_KOD]]))</f>
        <v>8</v>
      </c>
      <c r="L1201">
        <v>0</v>
      </c>
      <c r="M1201">
        <f>IF((DST_123_ÜRETİM_İHTİYAÇ_RAPORU_BURAK_YENI1309[[#This Row],[SATINALMA]]*DST_123_ÜRETİM_İHTİYAÇ_RAPORU_BURAK_YENI1309[[#This Row],[BIRIM_FIYATLAR]])&lt;1,VALUE("0"),DST_123_ÜRETİM_İHTİYAÇ_RAPORU_BURAK_YENI1309[[#This Row],[SATINALMA]]*DST_123_ÜRETİM_İHTİYAÇ_RAPORU_BURAK_YENI1309[[#This Row],[BIRIM_FIYATLAR]])</f>
        <v>41649.120000000003</v>
      </c>
      <c r="N1201">
        <v>5206.1400000000003</v>
      </c>
      <c r="O1201" t="s">
        <v>215</v>
      </c>
      <c r="P1201">
        <v>5206.1400000000003</v>
      </c>
      <c r="Q1201" t="s">
        <v>221</v>
      </c>
    </row>
    <row r="1202" spans="1:17" x14ac:dyDescent="0.25">
      <c r="A1202" t="s">
        <v>1147</v>
      </c>
      <c r="B1202" t="s">
        <v>1145</v>
      </c>
      <c r="C1202" t="s">
        <v>175</v>
      </c>
      <c r="D1202" t="s">
        <v>50</v>
      </c>
      <c r="E1202" t="s">
        <v>51</v>
      </c>
      <c r="F1202">
        <v>1</v>
      </c>
      <c r="G1202" t="s">
        <v>176</v>
      </c>
      <c r="H1202">
        <v>0</v>
      </c>
      <c r="I1202">
        <v>4</v>
      </c>
      <c r="J1202" s="10">
        <v>10</v>
      </c>
      <c r="K1202" s="10">
        <f>SUMIFS(F:F,D:D,DST_123_ÜRETİM_İHTİYAÇ_RAPORU_BURAK_YENI1309[[#This Row],[ALT_KOD]])-(SUMIFS(H:H,D:D,DST_123_ÜRETİM_İHTİYAÇ_RAPORU_BURAK_YENI1309[[#This Row],[ALT_KOD]])+AVERAGEIFS(I:I,D:D,DST_123_ÜRETİM_İHTİYAÇ_RAPORU_BURAK_YENI1309[[#This Row],[ALT_KOD]])+AVERAGEIFS(L:L,D:D,DST_123_ÜRETİM_İHTİYAÇ_RAPORU_BURAK_YENI1309[[#This Row],[ALT_KOD]]))</f>
        <v>8</v>
      </c>
      <c r="L1202">
        <v>0</v>
      </c>
      <c r="M1202">
        <f>IF((DST_123_ÜRETİM_İHTİYAÇ_RAPORU_BURAK_YENI1309[[#This Row],[SATINALMA]]*DST_123_ÜRETİM_İHTİYAÇ_RAPORU_BURAK_YENI1309[[#This Row],[BIRIM_FIYATLAR]])&lt;1,VALUE("0"),DST_123_ÜRETİM_İHTİYAÇ_RAPORU_BURAK_YENI1309[[#This Row],[SATINALMA]]*DST_123_ÜRETİM_İHTİYAÇ_RAPORU_BURAK_YENI1309[[#This Row],[BIRIM_FIYATLAR]])</f>
        <v>41649.120000000003</v>
      </c>
      <c r="N1202">
        <v>5206.1400000000003</v>
      </c>
      <c r="O1202" t="s">
        <v>215</v>
      </c>
      <c r="P1202">
        <v>5206.1400000000003</v>
      </c>
      <c r="Q1202" t="s">
        <v>221</v>
      </c>
    </row>
    <row r="1203" spans="1:17" x14ac:dyDescent="0.25">
      <c r="A1203" t="s">
        <v>1150</v>
      </c>
      <c r="B1203" t="s">
        <v>1145</v>
      </c>
      <c r="C1203" t="s">
        <v>175</v>
      </c>
      <c r="D1203" t="s">
        <v>398</v>
      </c>
      <c r="E1203" t="s">
        <v>399</v>
      </c>
      <c r="F1203">
        <v>0.02</v>
      </c>
      <c r="G1203" t="s">
        <v>185</v>
      </c>
      <c r="H1203">
        <v>0</v>
      </c>
      <c r="I1203">
        <v>3</v>
      </c>
      <c r="J1203" s="10">
        <v>0</v>
      </c>
      <c r="K1203" s="10">
        <f>SUMIFS(F:F,D:D,DST_123_ÜRETİM_İHTİYAÇ_RAPORU_BURAK_YENI1309[[#This Row],[ALT_KOD]])-(SUMIFS(H:H,D:D,DST_123_ÜRETİM_İHTİYAÇ_RAPORU_BURAK_YENI1309[[#This Row],[ALT_KOD]])+AVERAGEIFS(I:I,D:D,DST_123_ÜRETİM_İHTİYAÇ_RAPORU_BURAK_YENI1309[[#This Row],[ALT_KOD]])+AVERAGEIFS(L:L,D:D,DST_123_ÜRETİM_İHTİYAÇ_RAPORU_BURAK_YENI1309[[#This Row],[ALT_KOD]]))</f>
        <v>-2.75</v>
      </c>
      <c r="L1203">
        <v>0</v>
      </c>
      <c r="M1203">
        <f>IF((DST_123_ÜRETİM_İHTİYAÇ_RAPORU_BURAK_YENI1309[[#This Row],[SATINALMA]]*DST_123_ÜRETİM_İHTİYAÇ_RAPORU_BURAK_YENI1309[[#This Row],[BIRIM_FIYATLAR]])&lt;1,VALUE("0"),DST_123_ÜRETİM_İHTİYAÇ_RAPORU_BURAK_YENI1309[[#This Row],[SATINALMA]]*DST_123_ÜRETİM_İHTİYAÇ_RAPORU_BURAK_YENI1309[[#This Row],[BIRIM_FIYATLAR]])</f>
        <v>0</v>
      </c>
      <c r="N1203">
        <v>148.31</v>
      </c>
      <c r="P1203">
        <v>2.9662000000000002</v>
      </c>
      <c r="Q1203" t="s">
        <v>183</v>
      </c>
    </row>
    <row r="1204" spans="1:17" x14ac:dyDescent="0.25">
      <c r="A1204" t="s">
        <v>1150</v>
      </c>
      <c r="B1204" t="s">
        <v>1145</v>
      </c>
      <c r="C1204" t="s">
        <v>175</v>
      </c>
      <c r="D1204" t="s">
        <v>130</v>
      </c>
      <c r="E1204" t="s">
        <v>131</v>
      </c>
      <c r="F1204">
        <v>88</v>
      </c>
      <c r="G1204" t="s">
        <v>176</v>
      </c>
      <c r="H1204">
        <v>0</v>
      </c>
      <c r="I1204">
        <v>2750</v>
      </c>
      <c r="J1204" s="10">
        <v>0</v>
      </c>
      <c r="K1204" s="10">
        <f>SUMIFS(F:F,D:D,DST_123_ÜRETİM_İHTİYAÇ_RAPORU_BURAK_YENI1309[[#This Row],[ALT_KOD]])-(SUMIFS(H:H,D:D,DST_123_ÜRETİM_İHTİYAÇ_RAPORU_BURAK_YENI1309[[#This Row],[ALT_KOD]])+AVERAGEIFS(I:I,D:D,DST_123_ÜRETİM_İHTİYAÇ_RAPORU_BURAK_YENI1309[[#This Row],[ALT_KOD]])+AVERAGEIFS(L:L,D:D,DST_123_ÜRETİM_İHTİYAÇ_RAPORU_BURAK_YENI1309[[#This Row],[ALT_KOD]]))</f>
        <v>-747</v>
      </c>
      <c r="L1204">
        <v>0</v>
      </c>
      <c r="M1204">
        <f>IF((DST_123_ÜRETİM_İHTİYAÇ_RAPORU_BURAK_YENI1309[[#This Row],[SATINALMA]]*DST_123_ÜRETİM_İHTİYAÇ_RAPORU_BURAK_YENI1309[[#This Row],[BIRIM_FIYATLAR]])&lt;1,VALUE("0"),DST_123_ÜRETİM_İHTİYAÇ_RAPORU_BURAK_YENI1309[[#This Row],[SATINALMA]]*DST_123_ÜRETİM_İHTİYAÇ_RAPORU_BURAK_YENI1309[[#This Row],[BIRIM_FIYATLAR]])</f>
        <v>0</v>
      </c>
      <c r="N1204">
        <v>0.7</v>
      </c>
      <c r="O1204" t="s">
        <v>240</v>
      </c>
      <c r="P1204">
        <v>61.599999999999994</v>
      </c>
      <c r="Q1204" t="s">
        <v>180</v>
      </c>
    </row>
    <row r="1205" spans="1:17" x14ac:dyDescent="0.25">
      <c r="A1205" t="s">
        <v>1149</v>
      </c>
      <c r="B1205" t="s">
        <v>1145</v>
      </c>
      <c r="C1205" t="s">
        <v>175</v>
      </c>
      <c r="D1205" t="s">
        <v>124</v>
      </c>
      <c r="E1205" t="s">
        <v>125</v>
      </c>
      <c r="F1205">
        <v>7</v>
      </c>
      <c r="G1205" t="s">
        <v>185</v>
      </c>
      <c r="H1205">
        <v>0</v>
      </c>
      <c r="I1205">
        <v>0</v>
      </c>
      <c r="J1205" s="10">
        <v>297.61</v>
      </c>
      <c r="K1205" s="10">
        <f>SUMIFS(F:F,D:D,DST_123_ÜRETİM_İHTİYAÇ_RAPORU_BURAK_YENI1309[[#This Row],[ALT_KOD]])-(SUMIFS(H:H,D:D,DST_123_ÜRETİM_İHTİYAÇ_RAPORU_BURAK_YENI1309[[#This Row],[ALT_KOD]])+AVERAGEIFS(I:I,D:D,DST_123_ÜRETİM_İHTİYAÇ_RAPORU_BURAK_YENI1309[[#This Row],[ALT_KOD]])+AVERAGEIFS(L:L,D:D,DST_123_ÜRETİM_İHTİYAÇ_RAPORU_BURAK_YENI1309[[#This Row],[ALT_KOD]]))</f>
        <v>97.560000000000016</v>
      </c>
      <c r="L1205">
        <v>0</v>
      </c>
      <c r="M1205">
        <f>IF((DST_123_ÜRETİM_İHTİYAÇ_RAPORU_BURAK_YENI1309[[#This Row],[SATINALMA]]*DST_123_ÜRETİM_İHTİYAÇ_RAPORU_BURAK_YENI1309[[#This Row],[BIRIM_FIYATLAR]])&lt;1,VALUE("0"),DST_123_ÜRETİM_İHTİYAÇ_RAPORU_BURAK_YENI1309[[#This Row],[SATINALMA]]*DST_123_ÜRETİM_İHTİYAÇ_RAPORU_BURAK_YENI1309[[#This Row],[BIRIM_FIYATLAR]])</f>
        <v>13285.720800000003</v>
      </c>
      <c r="N1205">
        <v>136.18</v>
      </c>
      <c r="O1205" t="s">
        <v>252</v>
      </c>
      <c r="P1205">
        <v>953.26</v>
      </c>
      <c r="Q1205" t="s">
        <v>183</v>
      </c>
    </row>
    <row r="1206" spans="1:17" x14ac:dyDescent="0.25">
      <c r="A1206" t="s">
        <v>1144</v>
      </c>
      <c r="B1206" t="s">
        <v>1145</v>
      </c>
      <c r="C1206" t="s">
        <v>175</v>
      </c>
      <c r="D1206" t="s">
        <v>264</v>
      </c>
      <c r="E1206" t="s">
        <v>265</v>
      </c>
      <c r="F1206">
        <v>1</v>
      </c>
      <c r="G1206" t="s">
        <v>176</v>
      </c>
      <c r="H1206">
        <v>0</v>
      </c>
      <c r="I1206">
        <v>0</v>
      </c>
      <c r="J1206" s="10">
        <v>8</v>
      </c>
      <c r="K1206" s="10">
        <f>SUMIFS(F:F,D:D,DST_123_ÜRETİM_İHTİYAÇ_RAPORU_BURAK_YENI1309[[#This Row],[ALT_KOD]])-(SUMIFS(H:H,D:D,DST_123_ÜRETİM_İHTİYAÇ_RAPORU_BURAK_YENI1309[[#This Row],[ALT_KOD]])+AVERAGEIFS(I:I,D:D,DST_123_ÜRETİM_İHTİYAÇ_RAPORU_BURAK_YENI1309[[#This Row],[ALT_KOD]])+AVERAGEIFS(L:L,D:D,DST_123_ÜRETİM_İHTİYAÇ_RAPORU_BURAK_YENI1309[[#This Row],[ALT_KOD]]))</f>
        <v>12</v>
      </c>
      <c r="L1206">
        <v>0</v>
      </c>
      <c r="M1206">
        <f>IF((DST_123_ÜRETİM_İHTİYAÇ_RAPORU_BURAK_YENI1309[[#This Row],[SATINALMA]]*DST_123_ÜRETİM_İHTİYAÇ_RAPORU_BURAK_YENI1309[[#This Row],[BIRIM_FIYATLAR]])&lt;1,VALUE("0"),DST_123_ÜRETİM_İHTİYAÇ_RAPORU_BURAK_YENI1309[[#This Row],[SATINALMA]]*DST_123_ÜRETİM_İHTİYAÇ_RAPORU_BURAK_YENI1309[[#This Row],[BIRIM_FIYATLAR]])</f>
        <v>55600.08</v>
      </c>
      <c r="N1206">
        <v>4633.34</v>
      </c>
      <c r="O1206" t="s">
        <v>214</v>
      </c>
      <c r="P1206">
        <v>4633.34</v>
      </c>
      <c r="Q1206" t="s">
        <v>177</v>
      </c>
    </row>
    <row r="1207" spans="1:17" x14ac:dyDescent="0.25">
      <c r="A1207" t="s">
        <v>1146</v>
      </c>
      <c r="B1207" t="s">
        <v>1145</v>
      </c>
      <c r="C1207" t="s">
        <v>175</v>
      </c>
      <c r="D1207" t="s">
        <v>264</v>
      </c>
      <c r="E1207" t="s">
        <v>265</v>
      </c>
      <c r="F1207">
        <v>1</v>
      </c>
      <c r="G1207" t="s">
        <v>176</v>
      </c>
      <c r="H1207">
        <v>0</v>
      </c>
      <c r="I1207">
        <v>0</v>
      </c>
      <c r="J1207" s="10">
        <v>8</v>
      </c>
      <c r="K1207" s="10">
        <f>SUMIFS(F:F,D:D,DST_123_ÜRETİM_İHTİYAÇ_RAPORU_BURAK_YENI1309[[#This Row],[ALT_KOD]])-(SUMIFS(H:H,D:D,DST_123_ÜRETİM_İHTİYAÇ_RAPORU_BURAK_YENI1309[[#This Row],[ALT_KOD]])+AVERAGEIFS(I:I,D:D,DST_123_ÜRETİM_İHTİYAÇ_RAPORU_BURAK_YENI1309[[#This Row],[ALT_KOD]])+AVERAGEIFS(L:L,D:D,DST_123_ÜRETİM_İHTİYAÇ_RAPORU_BURAK_YENI1309[[#This Row],[ALT_KOD]]))</f>
        <v>12</v>
      </c>
      <c r="L1207">
        <v>0</v>
      </c>
      <c r="M1207">
        <f>IF((DST_123_ÜRETİM_İHTİYAÇ_RAPORU_BURAK_YENI1309[[#This Row],[SATINALMA]]*DST_123_ÜRETİM_İHTİYAÇ_RAPORU_BURAK_YENI1309[[#This Row],[BIRIM_FIYATLAR]])&lt;1,VALUE("0"),DST_123_ÜRETİM_İHTİYAÇ_RAPORU_BURAK_YENI1309[[#This Row],[SATINALMA]]*DST_123_ÜRETİM_İHTİYAÇ_RAPORU_BURAK_YENI1309[[#This Row],[BIRIM_FIYATLAR]])</f>
        <v>55600.08</v>
      </c>
      <c r="N1207">
        <v>4633.34</v>
      </c>
      <c r="O1207" t="s">
        <v>214</v>
      </c>
      <c r="P1207">
        <v>4633.34</v>
      </c>
      <c r="Q1207" t="s">
        <v>177</v>
      </c>
    </row>
    <row r="1208" spans="1:17" x14ac:dyDescent="0.25">
      <c r="A1208" t="s">
        <v>1144</v>
      </c>
      <c r="B1208" t="s">
        <v>1145</v>
      </c>
      <c r="C1208" t="s">
        <v>175</v>
      </c>
      <c r="D1208" t="s">
        <v>770</v>
      </c>
      <c r="E1208" t="s">
        <v>771</v>
      </c>
      <c r="F1208">
        <v>6</v>
      </c>
      <c r="G1208" t="s">
        <v>176</v>
      </c>
      <c r="H1208">
        <v>0</v>
      </c>
      <c r="I1208">
        <v>0</v>
      </c>
      <c r="J1208" s="10">
        <v>0</v>
      </c>
      <c r="K1208" s="10">
        <f>SUMIFS(F:F,D:D,DST_123_ÜRETİM_İHTİYAÇ_RAPORU_BURAK_YENI1309[[#This Row],[ALT_KOD]])-(SUMIFS(H:H,D:D,DST_123_ÜRETİM_İHTİYAÇ_RAPORU_BURAK_YENI1309[[#This Row],[ALT_KOD]])+AVERAGEIFS(I:I,D:D,DST_123_ÜRETİM_İHTİYAÇ_RAPORU_BURAK_YENI1309[[#This Row],[ALT_KOD]])+AVERAGEIFS(L:L,D:D,DST_123_ÜRETİM_İHTİYAÇ_RAPORU_BURAK_YENI1309[[#This Row],[ALT_KOD]]))</f>
        <v>54</v>
      </c>
      <c r="L1208">
        <v>0</v>
      </c>
      <c r="M1208">
        <f>IF((DST_123_ÜRETİM_İHTİYAÇ_RAPORU_BURAK_YENI1309[[#This Row],[SATINALMA]]*DST_123_ÜRETİM_İHTİYAÇ_RAPORU_BURAK_YENI1309[[#This Row],[BIRIM_FIYATLAR]])&lt;1,VALUE("0"),DST_123_ÜRETİM_İHTİYAÇ_RAPORU_BURAK_YENI1309[[#This Row],[SATINALMA]]*DST_123_ÜRETİM_İHTİYAÇ_RAPORU_BURAK_YENI1309[[#This Row],[BIRIM_FIYATLAR]])</f>
        <v>35.64</v>
      </c>
      <c r="N1208">
        <v>0.66</v>
      </c>
      <c r="O1208" t="s">
        <v>220</v>
      </c>
      <c r="P1208">
        <v>3.96</v>
      </c>
      <c r="Q1208" t="s">
        <v>221</v>
      </c>
    </row>
    <row r="1209" spans="1:17" x14ac:dyDescent="0.25">
      <c r="A1209" t="s">
        <v>1146</v>
      </c>
      <c r="B1209" t="s">
        <v>1145</v>
      </c>
      <c r="C1209" t="s">
        <v>175</v>
      </c>
      <c r="D1209" t="s">
        <v>770</v>
      </c>
      <c r="E1209" t="s">
        <v>771</v>
      </c>
      <c r="F1209">
        <v>6</v>
      </c>
      <c r="G1209" t="s">
        <v>176</v>
      </c>
      <c r="H1209">
        <v>0</v>
      </c>
      <c r="I1209">
        <v>0</v>
      </c>
      <c r="J1209" s="10">
        <v>0</v>
      </c>
      <c r="K1209" s="10">
        <f>SUMIFS(F:F,D:D,DST_123_ÜRETİM_İHTİYAÇ_RAPORU_BURAK_YENI1309[[#This Row],[ALT_KOD]])-(SUMIFS(H:H,D:D,DST_123_ÜRETİM_İHTİYAÇ_RAPORU_BURAK_YENI1309[[#This Row],[ALT_KOD]])+AVERAGEIFS(I:I,D:D,DST_123_ÜRETİM_İHTİYAÇ_RAPORU_BURAK_YENI1309[[#This Row],[ALT_KOD]])+AVERAGEIFS(L:L,D:D,DST_123_ÜRETİM_İHTİYAÇ_RAPORU_BURAK_YENI1309[[#This Row],[ALT_KOD]]))</f>
        <v>54</v>
      </c>
      <c r="L1209">
        <v>0</v>
      </c>
      <c r="M1209">
        <f>IF((DST_123_ÜRETİM_İHTİYAÇ_RAPORU_BURAK_YENI1309[[#This Row],[SATINALMA]]*DST_123_ÜRETİM_İHTİYAÇ_RAPORU_BURAK_YENI1309[[#This Row],[BIRIM_FIYATLAR]])&lt;1,VALUE("0"),DST_123_ÜRETİM_İHTİYAÇ_RAPORU_BURAK_YENI1309[[#This Row],[SATINALMA]]*DST_123_ÜRETİM_İHTİYAÇ_RAPORU_BURAK_YENI1309[[#This Row],[BIRIM_FIYATLAR]])</f>
        <v>35.64</v>
      </c>
      <c r="N1209">
        <v>0.66</v>
      </c>
      <c r="O1209" t="s">
        <v>220</v>
      </c>
      <c r="P1209">
        <v>3.96</v>
      </c>
      <c r="Q1209" t="s">
        <v>221</v>
      </c>
    </row>
    <row r="1210" spans="1:17" x14ac:dyDescent="0.25">
      <c r="A1210" t="s">
        <v>1144</v>
      </c>
      <c r="B1210" t="s">
        <v>1145</v>
      </c>
      <c r="C1210" t="s">
        <v>175</v>
      </c>
      <c r="D1210" t="s">
        <v>290</v>
      </c>
      <c r="E1210" t="s">
        <v>291</v>
      </c>
      <c r="F1210">
        <v>6</v>
      </c>
      <c r="G1210" t="s">
        <v>176</v>
      </c>
      <c r="H1210">
        <v>0</v>
      </c>
      <c r="I1210">
        <v>125</v>
      </c>
      <c r="J1210" s="10">
        <v>54</v>
      </c>
      <c r="K1210" s="10">
        <f>SUMIFS(F:F,D:D,DST_123_ÜRETİM_İHTİYAÇ_RAPORU_BURAK_YENI1309[[#This Row],[ALT_KOD]])-(SUMIFS(H:H,D:D,DST_123_ÜRETİM_İHTİYAÇ_RAPORU_BURAK_YENI1309[[#This Row],[ALT_KOD]])+AVERAGEIFS(I:I,D:D,DST_123_ÜRETİM_İHTİYAÇ_RAPORU_BURAK_YENI1309[[#This Row],[ALT_KOD]])+AVERAGEIFS(L:L,D:D,DST_123_ÜRETİM_İHTİYAÇ_RAPORU_BURAK_YENI1309[[#This Row],[ALT_KOD]]))</f>
        <v>-49</v>
      </c>
      <c r="L1210">
        <v>0</v>
      </c>
      <c r="M1210">
        <f>IF((DST_123_ÜRETİM_İHTİYAÇ_RAPORU_BURAK_YENI1309[[#This Row],[SATINALMA]]*DST_123_ÜRETİM_İHTİYAÇ_RAPORU_BURAK_YENI1309[[#This Row],[BIRIM_FIYATLAR]])&lt;1,VALUE("0"),DST_123_ÜRETİM_İHTİYAÇ_RAPORU_BURAK_YENI1309[[#This Row],[SATINALMA]]*DST_123_ÜRETİM_İHTİYAÇ_RAPORU_BURAK_YENI1309[[#This Row],[BIRIM_FIYATLAR]])</f>
        <v>0</v>
      </c>
      <c r="N1210">
        <v>3.75</v>
      </c>
      <c r="O1210" t="s">
        <v>628</v>
      </c>
      <c r="P1210">
        <v>22.5</v>
      </c>
      <c r="Q1210" t="s">
        <v>180</v>
      </c>
    </row>
    <row r="1211" spans="1:17" x14ac:dyDescent="0.25">
      <c r="A1211" t="s">
        <v>1146</v>
      </c>
      <c r="B1211" t="s">
        <v>1145</v>
      </c>
      <c r="C1211" t="s">
        <v>175</v>
      </c>
      <c r="D1211" t="s">
        <v>290</v>
      </c>
      <c r="E1211" t="s">
        <v>291</v>
      </c>
      <c r="F1211">
        <v>6</v>
      </c>
      <c r="G1211" t="s">
        <v>176</v>
      </c>
      <c r="H1211">
        <v>0</v>
      </c>
      <c r="I1211">
        <v>125</v>
      </c>
      <c r="J1211" s="10">
        <v>54</v>
      </c>
      <c r="K1211" s="10">
        <f>SUMIFS(F:F,D:D,DST_123_ÜRETİM_İHTİYAÇ_RAPORU_BURAK_YENI1309[[#This Row],[ALT_KOD]])-(SUMIFS(H:H,D:D,DST_123_ÜRETİM_İHTİYAÇ_RAPORU_BURAK_YENI1309[[#This Row],[ALT_KOD]])+AVERAGEIFS(I:I,D:D,DST_123_ÜRETİM_İHTİYAÇ_RAPORU_BURAK_YENI1309[[#This Row],[ALT_KOD]])+AVERAGEIFS(L:L,D:D,DST_123_ÜRETİM_İHTİYAÇ_RAPORU_BURAK_YENI1309[[#This Row],[ALT_KOD]]))</f>
        <v>-49</v>
      </c>
      <c r="L1211">
        <v>0</v>
      </c>
      <c r="M1211">
        <f>IF((DST_123_ÜRETİM_İHTİYAÇ_RAPORU_BURAK_YENI1309[[#This Row],[SATINALMA]]*DST_123_ÜRETİM_İHTİYAÇ_RAPORU_BURAK_YENI1309[[#This Row],[BIRIM_FIYATLAR]])&lt;1,VALUE("0"),DST_123_ÜRETİM_İHTİYAÇ_RAPORU_BURAK_YENI1309[[#This Row],[SATINALMA]]*DST_123_ÜRETİM_İHTİYAÇ_RAPORU_BURAK_YENI1309[[#This Row],[BIRIM_FIYATLAR]])</f>
        <v>0</v>
      </c>
      <c r="N1211">
        <v>3.75</v>
      </c>
      <c r="O1211" t="s">
        <v>628</v>
      </c>
      <c r="P1211">
        <v>22.5</v>
      </c>
      <c r="Q1211" t="s">
        <v>180</v>
      </c>
    </row>
    <row r="1212" spans="1:17" x14ac:dyDescent="0.25">
      <c r="A1212" t="s">
        <v>1147</v>
      </c>
      <c r="B1212" t="s">
        <v>1145</v>
      </c>
      <c r="C1212" t="s">
        <v>175</v>
      </c>
      <c r="D1212" t="s">
        <v>52</v>
      </c>
      <c r="E1212" t="s">
        <v>53</v>
      </c>
      <c r="F1212">
        <v>1</v>
      </c>
      <c r="G1212" t="s">
        <v>176</v>
      </c>
      <c r="H1212">
        <v>0</v>
      </c>
      <c r="I1212">
        <v>5</v>
      </c>
      <c r="J1212" s="10">
        <v>10</v>
      </c>
      <c r="K1212" s="10">
        <f>SUMIFS(F:F,D:D,DST_123_ÜRETİM_İHTİYAÇ_RAPORU_BURAK_YENI1309[[#This Row],[ALT_KOD]])-(SUMIFS(H:H,D:D,DST_123_ÜRETİM_İHTİYAÇ_RAPORU_BURAK_YENI1309[[#This Row],[ALT_KOD]])+AVERAGEIFS(I:I,D:D,DST_123_ÜRETİM_İHTİYAÇ_RAPORU_BURAK_YENI1309[[#This Row],[ALT_KOD]])+AVERAGEIFS(L:L,D:D,DST_123_ÜRETİM_İHTİYAÇ_RAPORU_BURAK_YENI1309[[#This Row],[ALT_KOD]]))</f>
        <v>7</v>
      </c>
      <c r="L1212">
        <v>0</v>
      </c>
      <c r="M1212">
        <f>IF((DST_123_ÜRETİM_İHTİYAÇ_RAPORU_BURAK_YENI1309[[#This Row],[SATINALMA]]*DST_123_ÜRETİM_İHTİYAÇ_RAPORU_BURAK_YENI1309[[#This Row],[BIRIM_FIYATLAR]])&lt;1,VALUE("0"),DST_123_ÜRETİM_İHTİYAÇ_RAPORU_BURAK_YENI1309[[#This Row],[SATINALMA]]*DST_123_ÜRETİM_İHTİYAÇ_RAPORU_BURAK_YENI1309[[#This Row],[BIRIM_FIYATLAR]])</f>
        <v>85641.010000000009</v>
      </c>
      <c r="N1212">
        <v>12234.43</v>
      </c>
      <c r="O1212" t="s">
        <v>215</v>
      </c>
      <c r="P1212">
        <v>12234.43</v>
      </c>
      <c r="Q1212" t="s">
        <v>221</v>
      </c>
    </row>
    <row r="1213" spans="1:17" x14ac:dyDescent="0.25">
      <c r="A1213" t="s">
        <v>1149</v>
      </c>
      <c r="B1213" t="s">
        <v>1145</v>
      </c>
      <c r="C1213" t="s">
        <v>175</v>
      </c>
      <c r="D1213" t="s">
        <v>116</v>
      </c>
      <c r="E1213" t="s">
        <v>117</v>
      </c>
      <c r="F1213">
        <v>108.01</v>
      </c>
      <c r="G1213" t="s">
        <v>185</v>
      </c>
      <c r="H1213">
        <v>0</v>
      </c>
      <c r="I1213">
        <v>-690</v>
      </c>
      <c r="J1213" s="10">
        <v>2123.619999999999</v>
      </c>
      <c r="K1213" s="10">
        <f>SUMIFS(F:F,D:D,DST_123_ÜRETİM_İHTİYAÇ_RAPORU_BURAK_YENI1309[[#This Row],[ALT_KOD]])-(SUMIFS(H:H,D:D,DST_123_ÜRETİM_İHTİYAÇ_RAPORU_BURAK_YENI1309[[#This Row],[ALT_KOD]])+AVERAGEIFS(I:I,D:D,DST_123_ÜRETİM_İHTİYAÇ_RAPORU_BURAK_YENI1309[[#This Row],[ALT_KOD]])+AVERAGEIFS(L:L,D:D,DST_123_ÜRETİM_İHTİYAÇ_RAPORU_BURAK_YENI1309[[#This Row],[ALT_KOD]]))</f>
        <v>1819.8699999999994</v>
      </c>
      <c r="L1213">
        <v>0</v>
      </c>
      <c r="M1213">
        <f>IF((DST_123_ÜRETİM_İHTİYAÇ_RAPORU_BURAK_YENI1309[[#This Row],[SATINALMA]]*DST_123_ÜRETİM_İHTİYAÇ_RAPORU_BURAK_YENI1309[[#This Row],[BIRIM_FIYATLAR]])&lt;1,VALUE("0"),DST_123_ÜRETİM_İHTİYAÇ_RAPORU_BURAK_YENI1309[[#This Row],[SATINALMA]]*DST_123_ÜRETİM_İHTİYAÇ_RAPORU_BURAK_YENI1309[[#This Row],[BIRIM_FIYATLAR]])</f>
        <v>172651.06689999995</v>
      </c>
      <c r="N1213">
        <v>94.87</v>
      </c>
      <c r="O1213" t="s">
        <v>490</v>
      </c>
      <c r="P1213">
        <v>10246.908700000002</v>
      </c>
      <c r="Q1213" t="s">
        <v>183</v>
      </c>
    </row>
    <row r="1214" spans="1:17" x14ac:dyDescent="0.25">
      <c r="A1214" t="s">
        <v>1196</v>
      </c>
      <c r="B1214" t="s">
        <v>1197</v>
      </c>
      <c r="C1214" t="s">
        <v>175</v>
      </c>
      <c r="D1214" t="s">
        <v>464</v>
      </c>
      <c r="E1214" t="s">
        <v>465</v>
      </c>
      <c r="F1214">
        <v>2</v>
      </c>
      <c r="G1214" t="s">
        <v>176</v>
      </c>
      <c r="H1214">
        <v>0</v>
      </c>
      <c r="I1214">
        <v>222</v>
      </c>
      <c r="J1214" s="10">
        <v>2</v>
      </c>
      <c r="K1214" s="10">
        <f>SUMIFS(F:F,D:D,DST_123_ÜRETİM_İHTİYAÇ_RAPORU_BURAK_YENI1309[[#This Row],[ALT_KOD]])-(SUMIFS(H:H,D:D,DST_123_ÜRETİM_İHTİYAÇ_RAPORU_BURAK_YENI1309[[#This Row],[ALT_KOD]])+AVERAGEIFS(I:I,D:D,DST_123_ÜRETİM_İHTİYAÇ_RAPORU_BURAK_YENI1309[[#This Row],[ALT_KOD]])+AVERAGEIFS(L:L,D:D,DST_123_ÜRETİM_İHTİYAÇ_RAPORU_BURAK_YENI1309[[#This Row],[ALT_KOD]]))</f>
        <v>-166</v>
      </c>
      <c r="L1214">
        <v>0</v>
      </c>
      <c r="M1214">
        <f>IF((DST_123_ÜRETİM_İHTİYAÇ_RAPORU_BURAK_YENI1309[[#This Row],[SATINALMA]]*DST_123_ÜRETİM_İHTİYAÇ_RAPORU_BURAK_YENI1309[[#This Row],[BIRIM_FIYATLAR]])&lt;1,VALUE("0"),DST_123_ÜRETİM_İHTİYAÇ_RAPORU_BURAK_YENI1309[[#This Row],[SATINALMA]]*DST_123_ÜRETİM_İHTİYAÇ_RAPORU_BURAK_YENI1309[[#This Row],[BIRIM_FIYATLAR]])</f>
        <v>0</v>
      </c>
      <c r="N1214">
        <v>11.5</v>
      </c>
      <c r="O1214" t="s">
        <v>240</v>
      </c>
      <c r="P1214">
        <v>23</v>
      </c>
      <c r="Q1214" t="s">
        <v>178</v>
      </c>
    </row>
    <row r="1215" spans="1:17" x14ac:dyDescent="0.25">
      <c r="A1215" t="s">
        <v>1147</v>
      </c>
      <c r="B1215" t="s">
        <v>1145</v>
      </c>
      <c r="C1215" t="s">
        <v>175</v>
      </c>
      <c r="D1215" t="s">
        <v>464</v>
      </c>
      <c r="E1215" t="s">
        <v>465</v>
      </c>
      <c r="F1215">
        <v>2</v>
      </c>
      <c r="G1215" t="s">
        <v>176</v>
      </c>
      <c r="H1215">
        <v>0</v>
      </c>
      <c r="I1215">
        <v>222</v>
      </c>
      <c r="J1215" s="10">
        <v>2</v>
      </c>
      <c r="K1215" s="10">
        <f>SUMIFS(F:F,D:D,DST_123_ÜRETİM_İHTİYAÇ_RAPORU_BURAK_YENI1309[[#This Row],[ALT_KOD]])-(SUMIFS(H:H,D:D,DST_123_ÜRETİM_İHTİYAÇ_RAPORU_BURAK_YENI1309[[#This Row],[ALT_KOD]])+AVERAGEIFS(I:I,D:D,DST_123_ÜRETİM_İHTİYAÇ_RAPORU_BURAK_YENI1309[[#This Row],[ALT_KOD]])+AVERAGEIFS(L:L,D:D,DST_123_ÜRETİM_İHTİYAÇ_RAPORU_BURAK_YENI1309[[#This Row],[ALT_KOD]]))</f>
        <v>-166</v>
      </c>
      <c r="L1215">
        <v>0</v>
      </c>
      <c r="M1215">
        <f>IF((DST_123_ÜRETİM_İHTİYAÇ_RAPORU_BURAK_YENI1309[[#This Row],[SATINALMA]]*DST_123_ÜRETİM_İHTİYAÇ_RAPORU_BURAK_YENI1309[[#This Row],[BIRIM_FIYATLAR]])&lt;1,VALUE("0"),DST_123_ÜRETİM_İHTİYAÇ_RAPORU_BURAK_YENI1309[[#This Row],[SATINALMA]]*DST_123_ÜRETİM_İHTİYAÇ_RAPORU_BURAK_YENI1309[[#This Row],[BIRIM_FIYATLAR]])</f>
        <v>0</v>
      </c>
      <c r="N1215">
        <v>11.5</v>
      </c>
      <c r="O1215" t="s">
        <v>240</v>
      </c>
      <c r="P1215">
        <v>23</v>
      </c>
      <c r="Q1215" t="s">
        <v>178</v>
      </c>
    </row>
    <row r="1216" spans="1:17" x14ac:dyDescent="0.25">
      <c r="A1216" t="s">
        <v>1101</v>
      </c>
      <c r="B1216" t="s">
        <v>1102</v>
      </c>
      <c r="C1216" t="s">
        <v>175</v>
      </c>
      <c r="D1216" t="s">
        <v>464</v>
      </c>
      <c r="E1216" t="s">
        <v>465</v>
      </c>
      <c r="F1216">
        <v>2</v>
      </c>
      <c r="G1216" t="s">
        <v>176</v>
      </c>
      <c r="H1216">
        <v>0</v>
      </c>
      <c r="I1216">
        <v>222</v>
      </c>
      <c r="J1216" s="10">
        <v>2</v>
      </c>
      <c r="K1216" s="10">
        <f>SUMIFS(F:F,D:D,DST_123_ÜRETİM_İHTİYAÇ_RAPORU_BURAK_YENI1309[[#This Row],[ALT_KOD]])-(SUMIFS(H:H,D:D,DST_123_ÜRETİM_İHTİYAÇ_RAPORU_BURAK_YENI1309[[#This Row],[ALT_KOD]])+AVERAGEIFS(I:I,D:D,DST_123_ÜRETİM_İHTİYAÇ_RAPORU_BURAK_YENI1309[[#This Row],[ALT_KOD]])+AVERAGEIFS(L:L,D:D,DST_123_ÜRETİM_İHTİYAÇ_RAPORU_BURAK_YENI1309[[#This Row],[ALT_KOD]]))</f>
        <v>-166</v>
      </c>
      <c r="L1216">
        <v>0</v>
      </c>
      <c r="M1216">
        <f>IF((DST_123_ÜRETİM_İHTİYAÇ_RAPORU_BURAK_YENI1309[[#This Row],[SATINALMA]]*DST_123_ÜRETİM_İHTİYAÇ_RAPORU_BURAK_YENI1309[[#This Row],[BIRIM_FIYATLAR]])&lt;1,VALUE("0"),DST_123_ÜRETİM_İHTİYAÇ_RAPORU_BURAK_YENI1309[[#This Row],[SATINALMA]]*DST_123_ÜRETİM_İHTİYAÇ_RAPORU_BURAK_YENI1309[[#This Row],[BIRIM_FIYATLAR]])</f>
        <v>0</v>
      </c>
      <c r="N1216">
        <v>11.5</v>
      </c>
      <c r="O1216" t="s">
        <v>240</v>
      </c>
      <c r="P1216">
        <v>23</v>
      </c>
      <c r="Q1216" t="s">
        <v>178</v>
      </c>
    </row>
    <row r="1217" spans="1:17" x14ac:dyDescent="0.25">
      <c r="A1217" t="s">
        <v>1147</v>
      </c>
      <c r="B1217" t="s">
        <v>1145</v>
      </c>
      <c r="C1217" t="s">
        <v>175</v>
      </c>
      <c r="D1217" t="s">
        <v>259</v>
      </c>
      <c r="E1217" t="s">
        <v>260</v>
      </c>
      <c r="F1217">
        <v>0.7</v>
      </c>
      <c r="G1217" t="s">
        <v>176</v>
      </c>
      <c r="H1217">
        <v>0</v>
      </c>
      <c r="I1217">
        <v>2</v>
      </c>
      <c r="J1217" s="10">
        <v>3.3000000000000052</v>
      </c>
      <c r="K1217" s="10">
        <f>SUMIFS(F:F,D:D,DST_123_ÜRETİM_İHTİYAÇ_RAPORU_BURAK_YENI1309[[#This Row],[ALT_KOD]])-(SUMIFS(H:H,D:D,DST_123_ÜRETİM_İHTİYAÇ_RAPORU_BURAK_YENI1309[[#This Row],[ALT_KOD]])+AVERAGEIFS(I:I,D:D,DST_123_ÜRETİM_İHTİYAÇ_RAPORU_BURAK_YENI1309[[#This Row],[ALT_KOD]])+AVERAGEIFS(L:L,D:D,DST_123_ÜRETİM_İHTİYAÇ_RAPORU_BURAK_YENI1309[[#This Row],[ALT_KOD]]))</f>
        <v>12.649999999999999</v>
      </c>
      <c r="L1217">
        <v>0</v>
      </c>
      <c r="M1217">
        <f>IF((DST_123_ÜRETİM_İHTİYAÇ_RAPORU_BURAK_YENI1309[[#This Row],[SATINALMA]]*DST_123_ÜRETİM_İHTİYAÇ_RAPORU_BURAK_YENI1309[[#This Row],[BIRIM_FIYATLAR]])&lt;1,VALUE("0"),DST_123_ÜRETİM_İHTİYAÇ_RAPORU_BURAK_YENI1309[[#This Row],[SATINALMA]]*DST_123_ÜRETİM_İHTİYAÇ_RAPORU_BURAK_YENI1309[[#This Row],[BIRIM_FIYATLAR]])</f>
        <v>20523.36</v>
      </c>
      <c r="N1217">
        <v>1622.4</v>
      </c>
      <c r="O1217" t="s">
        <v>261</v>
      </c>
      <c r="P1217">
        <v>1135.68</v>
      </c>
      <c r="Q1217" t="s">
        <v>183</v>
      </c>
    </row>
    <row r="1218" spans="1:17" x14ac:dyDescent="0.25">
      <c r="A1218" t="s">
        <v>1101</v>
      </c>
      <c r="B1218" t="s">
        <v>1102</v>
      </c>
      <c r="C1218" t="s">
        <v>175</v>
      </c>
      <c r="D1218" t="s">
        <v>724</v>
      </c>
      <c r="E1218" t="s">
        <v>725</v>
      </c>
      <c r="F1218">
        <v>1</v>
      </c>
      <c r="G1218" t="s">
        <v>176</v>
      </c>
      <c r="H1218">
        <v>1</v>
      </c>
      <c r="I1218">
        <v>54</v>
      </c>
      <c r="J1218" s="10">
        <v>6</v>
      </c>
      <c r="K1218" s="10">
        <f>SUMIFS(F:F,D:D,DST_123_ÜRETİM_İHTİYAÇ_RAPORU_BURAK_YENI1309[[#This Row],[ALT_KOD]])-(SUMIFS(H:H,D:D,DST_123_ÜRETİM_İHTİYAÇ_RAPORU_BURAK_YENI1309[[#This Row],[ALT_KOD]])+AVERAGEIFS(I:I,D:D,DST_123_ÜRETİM_İHTİYAÇ_RAPORU_BURAK_YENI1309[[#This Row],[ALT_KOD]])+AVERAGEIFS(L:L,D:D,DST_123_ÜRETİM_İHTİYAÇ_RAPORU_BURAK_YENI1309[[#This Row],[ALT_KOD]]))</f>
        <v>-53</v>
      </c>
      <c r="L1218">
        <v>0</v>
      </c>
      <c r="M1218">
        <f>IF((DST_123_ÜRETİM_İHTİYAÇ_RAPORU_BURAK_YENI1309[[#This Row],[SATINALMA]]*DST_123_ÜRETİM_İHTİYAÇ_RAPORU_BURAK_YENI1309[[#This Row],[BIRIM_FIYATLAR]])&lt;1,VALUE("0"),DST_123_ÜRETİM_İHTİYAÇ_RAPORU_BURAK_YENI1309[[#This Row],[SATINALMA]]*DST_123_ÜRETİM_İHTİYAÇ_RAPORU_BURAK_YENI1309[[#This Row],[BIRIM_FIYATLAR]])</f>
        <v>0</v>
      </c>
      <c r="N1218">
        <v>16.5</v>
      </c>
      <c r="O1218" t="s">
        <v>240</v>
      </c>
      <c r="P1218">
        <v>16.5</v>
      </c>
      <c r="Q1218" t="s">
        <v>178</v>
      </c>
    </row>
    <row r="1219" spans="1:17" x14ac:dyDescent="0.25">
      <c r="A1219" t="s">
        <v>1146</v>
      </c>
      <c r="B1219" t="s">
        <v>1145</v>
      </c>
      <c r="C1219" t="s">
        <v>175</v>
      </c>
      <c r="D1219" t="s">
        <v>464</v>
      </c>
      <c r="E1219" t="s">
        <v>465</v>
      </c>
      <c r="F1219">
        <v>2</v>
      </c>
      <c r="G1219" t="s">
        <v>176</v>
      </c>
      <c r="H1219">
        <v>0</v>
      </c>
      <c r="I1219">
        <v>222</v>
      </c>
      <c r="J1219" s="10">
        <v>2</v>
      </c>
      <c r="K1219" s="10">
        <f>SUMIFS(F:F,D:D,DST_123_ÜRETİM_İHTİYAÇ_RAPORU_BURAK_YENI1309[[#This Row],[ALT_KOD]])-(SUMIFS(H:H,D:D,DST_123_ÜRETİM_İHTİYAÇ_RAPORU_BURAK_YENI1309[[#This Row],[ALT_KOD]])+AVERAGEIFS(I:I,D:D,DST_123_ÜRETİM_İHTİYAÇ_RAPORU_BURAK_YENI1309[[#This Row],[ALT_KOD]])+AVERAGEIFS(L:L,D:D,DST_123_ÜRETİM_İHTİYAÇ_RAPORU_BURAK_YENI1309[[#This Row],[ALT_KOD]]))</f>
        <v>-166</v>
      </c>
      <c r="L1219">
        <v>0</v>
      </c>
      <c r="M1219">
        <f>IF((DST_123_ÜRETİM_İHTİYAÇ_RAPORU_BURAK_YENI1309[[#This Row],[SATINALMA]]*DST_123_ÜRETİM_İHTİYAÇ_RAPORU_BURAK_YENI1309[[#This Row],[BIRIM_FIYATLAR]])&lt;1,VALUE("0"),DST_123_ÜRETİM_İHTİYAÇ_RAPORU_BURAK_YENI1309[[#This Row],[SATINALMA]]*DST_123_ÜRETİM_İHTİYAÇ_RAPORU_BURAK_YENI1309[[#This Row],[BIRIM_FIYATLAR]])</f>
        <v>0</v>
      </c>
      <c r="N1219">
        <v>11.5</v>
      </c>
      <c r="O1219" t="s">
        <v>240</v>
      </c>
      <c r="P1219">
        <v>23</v>
      </c>
      <c r="Q1219" t="s">
        <v>178</v>
      </c>
    </row>
    <row r="1220" spans="1:17" x14ac:dyDescent="0.25">
      <c r="A1220" t="s">
        <v>1144</v>
      </c>
      <c r="B1220" t="s">
        <v>1145</v>
      </c>
      <c r="C1220" t="s">
        <v>175</v>
      </c>
      <c r="D1220" t="s">
        <v>464</v>
      </c>
      <c r="E1220" t="s">
        <v>465</v>
      </c>
      <c r="F1220">
        <v>2</v>
      </c>
      <c r="G1220" t="s">
        <v>176</v>
      </c>
      <c r="H1220">
        <v>0</v>
      </c>
      <c r="I1220">
        <v>222</v>
      </c>
      <c r="J1220" s="10">
        <v>2</v>
      </c>
      <c r="K1220" s="10">
        <f>SUMIFS(F:F,D:D,DST_123_ÜRETİM_İHTİYAÇ_RAPORU_BURAK_YENI1309[[#This Row],[ALT_KOD]])-(SUMIFS(H:H,D:D,DST_123_ÜRETİM_İHTİYAÇ_RAPORU_BURAK_YENI1309[[#This Row],[ALT_KOD]])+AVERAGEIFS(I:I,D:D,DST_123_ÜRETİM_İHTİYAÇ_RAPORU_BURAK_YENI1309[[#This Row],[ALT_KOD]])+AVERAGEIFS(L:L,D:D,DST_123_ÜRETİM_İHTİYAÇ_RAPORU_BURAK_YENI1309[[#This Row],[ALT_KOD]]))</f>
        <v>-166</v>
      </c>
      <c r="L1220">
        <v>0</v>
      </c>
      <c r="M1220">
        <f>IF((DST_123_ÜRETİM_İHTİYAÇ_RAPORU_BURAK_YENI1309[[#This Row],[SATINALMA]]*DST_123_ÜRETİM_İHTİYAÇ_RAPORU_BURAK_YENI1309[[#This Row],[BIRIM_FIYATLAR]])&lt;1,VALUE("0"),DST_123_ÜRETİM_İHTİYAÇ_RAPORU_BURAK_YENI1309[[#This Row],[SATINALMA]]*DST_123_ÜRETİM_İHTİYAÇ_RAPORU_BURAK_YENI1309[[#This Row],[BIRIM_FIYATLAR]])</f>
        <v>0</v>
      </c>
      <c r="N1220">
        <v>11.5</v>
      </c>
      <c r="O1220" t="s">
        <v>240</v>
      </c>
      <c r="P1220">
        <v>23</v>
      </c>
      <c r="Q1220" t="s">
        <v>178</v>
      </c>
    </row>
    <row r="1221" spans="1:17" x14ac:dyDescent="0.25">
      <c r="A1221" t="s">
        <v>1146</v>
      </c>
      <c r="B1221" t="s">
        <v>1145</v>
      </c>
      <c r="C1221" t="s">
        <v>175</v>
      </c>
      <c r="D1221" t="s">
        <v>259</v>
      </c>
      <c r="E1221" t="s">
        <v>260</v>
      </c>
      <c r="F1221">
        <v>0.7</v>
      </c>
      <c r="G1221" t="s">
        <v>176</v>
      </c>
      <c r="H1221">
        <v>0</v>
      </c>
      <c r="I1221">
        <v>2</v>
      </c>
      <c r="J1221" s="10">
        <v>3.3000000000000052</v>
      </c>
      <c r="K1221" s="10">
        <f>SUMIFS(F:F,D:D,DST_123_ÜRETİM_İHTİYAÇ_RAPORU_BURAK_YENI1309[[#This Row],[ALT_KOD]])-(SUMIFS(H:H,D:D,DST_123_ÜRETİM_İHTİYAÇ_RAPORU_BURAK_YENI1309[[#This Row],[ALT_KOD]])+AVERAGEIFS(I:I,D:D,DST_123_ÜRETİM_İHTİYAÇ_RAPORU_BURAK_YENI1309[[#This Row],[ALT_KOD]])+AVERAGEIFS(L:L,D:D,DST_123_ÜRETİM_İHTİYAÇ_RAPORU_BURAK_YENI1309[[#This Row],[ALT_KOD]]))</f>
        <v>12.649999999999999</v>
      </c>
      <c r="L1221">
        <v>0</v>
      </c>
      <c r="M1221">
        <f>IF((DST_123_ÜRETİM_İHTİYAÇ_RAPORU_BURAK_YENI1309[[#This Row],[SATINALMA]]*DST_123_ÜRETİM_İHTİYAÇ_RAPORU_BURAK_YENI1309[[#This Row],[BIRIM_FIYATLAR]])&lt;1,VALUE("0"),DST_123_ÜRETİM_İHTİYAÇ_RAPORU_BURAK_YENI1309[[#This Row],[SATINALMA]]*DST_123_ÜRETİM_İHTİYAÇ_RAPORU_BURAK_YENI1309[[#This Row],[BIRIM_FIYATLAR]])</f>
        <v>20523.36</v>
      </c>
      <c r="N1221">
        <v>1622.4</v>
      </c>
      <c r="O1221" t="s">
        <v>261</v>
      </c>
      <c r="P1221">
        <v>1135.68</v>
      </c>
      <c r="Q1221" t="s">
        <v>183</v>
      </c>
    </row>
    <row r="1222" spans="1:17" x14ac:dyDescent="0.25">
      <c r="A1222" t="s">
        <v>1144</v>
      </c>
      <c r="B1222" t="s">
        <v>1145</v>
      </c>
      <c r="C1222" t="s">
        <v>175</v>
      </c>
      <c r="D1222" t="s">
        <v>259</v>
      </c>
      <c r="E1222" t="s">
        <v>260</v>
      </c>
      <c r="F1222">
        <v>0.7</v>
      </c>
      <c r="G1222" t="s">
        <v>176</v>
      </c>
      <c r="H1222">
        <v>0</v>
      </c>
      <c r="I1222">
        <v>2</v>
      </c>
      <c r="J1222" s="10">
        <v>3.3000000000000052</v>
      </c>
      <c r="K1222" s="10">
        <f>SUMIFS(F:F,D:D,DST_123_ÜRETİM_İHTİYAÇ_RAPORU_BURAK_YENI1309[[#This Row],[ALT_KOD]])-(SUMIFS(H:H,D:D,DST_123_ÜRETİM_İHTİYAÇ_RAPORU_BURAK_YENI1309[[#This Row],[ALT_KOD]])+AVERAGEIFS(I:I,D:D,DST_123_ÜRETİM_İHTİYAÇ_RAPORU_BURAK_YENI1309[[#This Row],[ALT_KOD]])+AVERAGEIFS(L:L,D:D,DST_123_ÜRETİM_İHTİYAÇ_RAPORU_BURAK_YENI1309[[#This Row],[ALT_KOD]]))</f>
        <v>12.649999999999999</v>
      </c>
      <c r="L1222">
        <v>0</v>
      </c>
      <c r="M1222">
        <f>IF((DST_123_ÜRETİM_İHTİYAÇ_RAPORU_BURAK_YENI1309[[#This Row],[SATINALMA]]*DST_123_ÜRETİM_İHTİYAÇ_RAPORU_BURAK_YENI1309[[#This Row],[BIRIM_FIYATLAR]])&lt;1,VALUE("0"),DST_123_ÜRETİM_İHTİYAÇ_RAPORU_BURAK_YENI1309[[#This Row],[SATINALMA]]*DST_123_ÜRETİM_İHTİYAÇ_RAPORU_BURAK_YENI1309[[#This Row],[BIRIM_FIYATLAR]])</f>
        <v>20523.36</v>
      </c>
      <c r="N1222">
        <v>1622.4</v>
      </c>
      <c r="O1222" t="s">
        <v>261</v>
      </c>
      <c r="P1222">
        <v>1135.68</v>
      </c>
      <c r="Q1222" t="s">
        <v>183</v>
      </c>
    </row>
    <row r="1223" spans="1:17" x14ac:dyDescent="0.25">
      <c r="A1223" t="s">
        <v>1148</v>
      </c>
      <c r="B1223" t="s">
        <v>1056</v>
      </c>
      <c r="C1223" t="s">
        <v>175</v>
      </c>
      <c r="D1223" t="s">
        <v>464</v>
      </c>
      <c r="E1223" t="s">
        <v>465</v>
      </c>
      <c r="F1223">
        <v>2</v>
      </c>
      <c r="G1223" t="s">
        <v>176</v>
      </c>
      <c r="H1223">
        <v>0</v>
      </c>
      <c r="I1223">
        <v>222</v>
      </c>
      <c r="J1223" s="10">
        <v>2</v>
      </c>
      <c r="K1223" s="10">
        <f>SUMIFS(F:F,D:D,DST_123_ÜRETİM_İHTİYAÇ_RAPORU_BURAK_YENI1309[[#This Row],[ALT_KOD]])-(SUMIFS(H:H,D:D,DST_123_ÜRETİM_İHTİYAÇ_RAPORU_BURAK_YENI1309[[#This Row],[ALT_KOD]])+AVERAGEIFS(I:I,D:D,DST_123_ÜRETİM_İHTİYAÇ_RAPORU_BURAK_YENI1309[[#This Row],[ALT_KOD]])+AVERAGEIFS(L:L,D:D,DST_123_ÜRETİM_İHTİYAÇ_RAPORU_BURAK_YENI1309[[#This Row],[ALT_KOD]]))</f>
        <v>-166</v>
      </c>
      <c r="L1223">
        <v>0</v>
      </c>
      <c r="M1223">
        <f>IF((DST_123_ÜRETİM_İHTİYAÇ_RAPORU_BURAK_YENI1309[[#This Row],[SATINALMA]]*DST_123_ÜRETİM_İHTİYAÇ_RAPORU_BURAK_YENI1309[[#This Row],[BIRIM_FIYATLAR]])&lt;1,VALUE("0"),DST_123_ÜRETİM_İHTİYAÇ_RAPORU_BURAK_YENI1309[[#This Row],[SATINALMA]]*DST_123_ÜRETİM_İHTİYAÇ_RAPORU_BURAK_YENI1309[[#This Row],[BIRIM_FIYATLAR]])</f>
        <v>0</v>
      </c>
      <c r="N1223">
        <v>11.5</v>
      </c>
      <c r="O1223" t="s">
        <v>240</v>
      </c>
      <c r="P1223">
        <v>23</v>
      </c>
      <c r="Q1223" t="s">
        <v>178</v>
      </c>
    </row>
    <row r="1224" spans="1:17" x14ac:dyDescent="0.25">
      <c r="A1224" t="s">
        <v>1149</v>
      </c>
      <c r="B1224" t="s">
        <v>1145</v>
      </c>
      <c r="C1224" t="s">
        <v>175</v>
      </c>
      <c r="D1224" t="s">
        <v>464</v>
      </c>
      <c r="E1224" t="s">
        <v>465</v>
      </c>
      <c r="F1224">
        <v>2</v>
      </c>
      <c r="G1224" t="s">
        <v>176</v>
      </c>
      <c r="H1224">
        <v>0</v>
      </c>
      <c r="I1224">
        <v>222</v>
      </c>
      <c r="J1224" s="10">
        <v>2</v>
      </c>
      <c r="K1224" s="10">
        <f>SUMIFS(F:F,D:D,DST_123_ÜRETİM_İHTİYAÇ_RAPORU_BURAK_YENI1309[[#This Row],[ALT_KOD]])-(SUMIFS(H:H,D:D,DST_123_ÜRETİM_İHTİYAÇ_RAPORU_BURAK_YENI1309[[#This Row],[ALT_KOD]])+AVERAGEIFS(I:I,D:D,DST_123_ÜRETİM_İHTİYAÇ_RAPORU_BURAK_YENI1309[[#This Row],[ALT_KOD]])+AVERAGEIFS(L:L,D:D,DST_123_ÜRETİM_İHTİYAÇ_RAPORU_BURAK_YENI1309[[#This Row],[ALT_KOD]]))</f>
        <v>-166</v>
      </c>
      <c r="L1224">
        <v>0</v>
      </c>
      <c r="M1224">
        <f>IF((DST_123_ÜRETİM_İHTİYAÇ_RAPORU_BURAK_YENI1309[[#This Row],[SATINALMA]]*DST_123_ÜRETİM_İHTİYAÇ_RAPORU_BURAK_YENI1309[[#This Row],[BIRIM_FIYATLAR]])&lt;1,VALUE("0"),DST_123_ÜRETİM_İHTİYAÇ_RAPORU_BURAK_YENI1309[[#This Row],[SATINALMA]]*DST_123_ÜRETİM_İHTİYAÇ_RAPORU_BURAK_YENI1309[[#This Row],[BIRIM_FIYATLAR]])</f>
        <v>0</v>
      </c>
      <c r="N1224">
        <v>11.5</v>
      </c>
      <c r="O1224" t="s">
        <v>240</v>
      </c>
      <c r="P1224">
        <v>23</v>
      </c>
      <c r="Q1224" t="s">
        <v>178</v>
      </c>
    </row>
    <row r="1225" spans="1:17" x14ac:dyDescent="0.25">
      <c r="A1225" t="s">
        <v>1146</v>
      </c>
      <c r="B1225" t="s">
        <v>1145</v>
      </c>
      <c r="C1225" t="s">
        <v>175</v>
      </c>
      <c r="D1225" t="s">
        <v>790</v>
      </c>
      <c r="E1225" t="s">
        <v>828</v>
      </c>
      <c r="F1225">
        <v>6</v>
      </c>
      <c r="G1225" t="s">
        <v>179</v>
      </c>
      <c r="H1225">
        <v>0</v>
      </c>
      <c r="I1225">
        <v>100</v>
      </c>
      <c r="J1225" s="10">
        <v>50</v>
      </c>
      <c r="K1225" s="10">
        <f>SUMIFS(F:F,D:D,DST_123_ÜRETİM_İHTİYAÇ_RAPORU_BURAK_YENI1309[[#This Row],[ALT_KOD]])-(SUMIFS(H:H,D:D,DST_123_ÜRETİM_İHTİYAÇ_RAPORU_BURAK_YENI1309[[#This Row],[ALT_KOD]])+AVERAGEIFS(I:I,D:D,DST_123_ÜRETİM_İHTİYAÇ_RAPORU_BURAK_YENI1309[[#This Row],[ALT_KOD]])+AVERAGEIFS(L:L,D:D,DST_123_ÜRETİM_İHTİYAÇ_RAPORU_BURAK_YENI1309[[#This Row],[ALT_KOD]]))</f>
        <v>-16</v>
      </c>
      <c r="L1225">
        <v>0</v>
      </c>
      <c r="M1225">
        <f>IF((DST_123_ÜRETİM_İHTİYAÇ_RAPORU_BURAK_YENI1309[[#This Row],[SATINALMA]]*DST_123_ÜRETİM_İHTİYAÇ_RAPORU_BURAK_YENI1309[[#This Row],[BIRIM_FIYATLAR]])&lt;1,VALUE("0"),DST_123_ÜRETİM_İHTİYAÇ_RAPORU_BURAK_YENI1309[[#This Row],[SATINALMA]]*DST_123_ÜRETİM_İHTİYAÇ_RAPORU_BURAK_YENI1309[[#This Row],[BIRIM_FIYATLAR]])</f>
        <v>0</v>
      </c>
      <c r="N1225">
        <v>46</v>
      </c>
      <c r="O1225" t="s">
        <v>791</v>
      </c>
      <c r="P1225">
        <v>276</v>
      </c>
      <c r="Q1225" t="s">
        <v>221</v>
      </c>
    </row>
    <row r="1226" spans="1:17" x14ac:dyDescent="0.25">
      <c r="A1226" t="s">
        <v>1144</v>
      </c>
      <c r="B1226" t="s">
        <v>1145</v>
      </c>
      <c r="C1226" t="s">
        <v>175</v>
      </c>
      <c r="D1226" t="s">
        <v>790</v>
      </c>
      <c r="E1226" t="s">
        <v>828</v>
      </c>
      <c r="F1226">
        <v>6</v>
      </c>
      <c r="G1226" t="s">
        <v>179</v>
      </c>
      <c r="H1226">
        <v>0</v>
      </c>
      <c r="I1226">
        <v>100</v>
      </c>
      <c r="J1226" s="10">
        <v>50</v>
      </c>
      <c r="K1226" s="10">
        <f>SUMIFS(F:F,D:D,DST_123_ÜRETİM_İHTİYAÇ_RAPORU_BURAK_YENI1309[[#This Row],[ALT_KOD]])-(SUMIFS(H:H,D:D,DST_123_ÜRETİM_İHTİYAÇ_RAPORU_BURAK_YENI1309[[#This Row],[ALT_KOD]])+AVERAGEIFS(I:I,D:D,DST_123_ÜRETİM_İHTİYAÇ_RAPORU_BURAK_YENI1309[[#This Row],[ALT_KOD]])+AVERAGEIFS(L:L,D:D,DST_123_ÜRETİM_İHTİYAÇ_RAPORU_BURAK_YENI1309[[#This Row],[ALT_KOD]]))</f>
        <v>-16</v>
      </c>
      <c r="L1226">
        <v>0</v>
      </c>
      <c r="M1226">
        <f>IF((DST_123_ÜRETİM_İHTİYAÇ_RAPORU_BURAK_YENI1309[[#This Row],[SATINALMA]]*DST_123_ÜRETİM_İHTİYAÇ_RAPORU_BURAK_YENI1309[[#This Row],[BIRIM_FIYATLAR]])&lt;1,VALUE("0"),DST_123_ÜRETİM_İHTİYAÇ_RAPORU_BURAK_YENI1309[[#This Row],[SATINALMA]]*DST_123_ÜRETİM_İHTİYAÇ_RAPORU_BURAK_YENI1309[[#This Row],[BIRIM_FIYATLAR]])</f>
        <v>0</v>
      </c>
      <c r="N1226">
        <v>46</v>
      </c>
      <c r="O1226" t="s">
        <v>791</v>
      </c>
      <c r="P1226">
        <v>276</v>
      </c>
      <c r="Q1226" t="s">
        <v>221</v>
      </c>
    </row>
    <row r="1227" spans="1:17" x14ac:dyDescent="0.25">
      <c r="A1227" t="s">
        <v>1149</v>
      </c>
      <c r="B1227" t="s">
        <v>1145</v>
      </c>
      <c r="C1227" t="s">
        <v>175</v>
      </c>
      <c r="D1227" t="s">
        <v>746</v>
      </c>
      <c r="E1227" t="s">
        <v>747</v>
      </c>
      <c r="F1227">
        <v>2</v>
      </c>
      <c r="G1227" t="s">
        <v>176</v>
      </c>
      <c r="H1227">
        <v>0</v>
      </c>
      <c r="I1227">
        <v>3</v>
      </c>
      <c r="J1227" s="10">
        <v>0</v>
      </c>
      <c r="K1227" s="10">
        <f>SUMIFS(F:F,D:D,DST_123_ÜRETİM_İHTİYAÇ_RAPORU_BURAK_YENI1309[[#This Row],[ALT_KOD]])-(SUMIFS(H:H,D:D,DST_123_ÜRETİM_İHTİYAÇ_RAPORU_BURAK_YENI1309[[#This Row],[ALT_KOD]])+AVERAGEIFS(I:I,D:D,DST_123_ÜRETİM_İHTİYAÇ_RAPORU_BURAK_YENI1309[[#This Row],[ALT_KOD]])+AVERAGEIFS(L:L,D:D,DST_123_ÜRETİM_İHTİYAÇ_RAPORU_BURAK_YENI1309[[#This Row],[ALT_KOD]]))</f>
        <v>13</v>
      </c>
      <c r="L1227">
        <v>0</v>
      </c>
      <c r="M1227">
        <f>IF((DST_123_ÜRETİM_İHTİYAÇ_RAPORU_BURAK_YENI1309[[#This Row],[SATINALMA]]*DST_123_ÜRETİM_İHTİYAÇ_RAPORU_BURAK_YENI1309[[#This Row],[BIRIM_FIYATLAR]])&lt;1,VALUE("0"),DST_123_ÜRETİM_İHTİYAÇ_RAPORU_BURAK_YENI1309[[#This Row],[SATINALMA]]*DST_123_ÜRETİM_İHTİYAÇ_RAPORU_BURAK_YENI1309[[#This Row],[BIRIM_FIYATLAR]])</f>
        <v>702</v>
      </c>
      <c r="N1227">
        <v>54</v>
      </c>
      <c r="O1227" t="s">
        <v>226</v>
      </c>
      <c r="P1227">
        <v>108</v>
      </c>
      <c r="Q1227" t="s">
        <v>180</v>
      </c>
    </row>
    <row r="1228" spans="1:17" x14ac:dyDescent="0.25">
      <c r="A1228" t="s">
        <v>1144</v>
      </c>
      <c r="B1228" t="s">
        <v>1145</v>
      </c>
      <c r="C1228" t="s">
        <v>175</v>
      </c>
      <c r="D1228" t="s">
        <v>92</v>
      </c>
      <c r="E1228" t="s">
        <v>93</v>
      </c>
      <c r="F1228">
        <v>4</v>
      </c>
      <c r="G1228" t="s">
        <v>176</v>
      </c>
      <c r="H1228">
        <v>0</v>
      </c>
      <c r="I1228">
        <v>105</v>
      </c>
      <c r="J1228" s="10">
        <v>56</v>
      </c>
      <c r="K1228" s="10">
        <f>SUMIFS(F:F,D:D,DST_123_ÜRETİM_İHTİYAÇ_RAPORU_BURAK_YENI1309[[#This Row],[ALT_KOD]])-(SUMIFS(H:H,D:D,DST_123_ÜRETİM_İHTİYAÇ_RAPORU_BURAK_YENI1309[[#This Row],[ALT_KOD]])+AVERAGEIFS(I:I,D:D,DST_123_ÜRETİM_İHTİYAÇ_RAPORU_BURAK_YENI1309[[#This Row],[ALT_KOD]])+AVERAGEIFS(L:L,D:D,DST_123_ÜRETİM_İHTİYAÇ_RAPORU_BURAK_YENI1309[[#This Row],[ALT_KOD]]))</f>
        <v>-8</v>
      </c>
      <c r="L1228">
        <v>0</v>
      </c>
      <c r="M1228">
        <f>IF((DST_123_ÜRETİM_İHTİYAÇ_RAPORU_BURAK_YENI1309[[#This Row],[SATINALMA]]*DST_123_ÜRETİM_İHTİYAÇ_RAPORU_BURAK_YENI1309[[#This Row],[BIRIM_FIYATLAR]])&lt;1,VALUE("0"),DST_123_ÜRETİM_İHTİYAÇ_RAPORU_BURAK_YENI1309[[#This Row],[SATINALMA]]*DST_123_ÜRETİM_İHTİYAÇ_RAPORU_BURAK_YENI1309[[#This Row],[BIRIM_FIYATLAR]])</f>
        <v>0</v>
      </c>
      <c r="N1228">
        <v>72.599999999999994</v>
      </c>
      <c r="O1228" t="s">
        <v>240</v>
      </c>
      <c r="P1228">
        <v>290.39999999999998</v>
      </c>
      <c r="Q1228" t="s">
        <v>178</v>
      </c>
    </row>
    <row r="1229" spans="1:17" x14ac:dyDescent="0.25">
      <c r="A1229" t="s">
        <v>1149</v>
      </c>
      <c r="B1229" t="s">
        <v>1145</v>
      </c>
      <c r="C1229" t="s">
        <v>175</v>
      </c>
      <c r="D1229" t="s">
        <v>846</v>
      </c>
      <c r="E1229" t="s">
        <v>847</v>
      </c>
      <c r="F1229">
        <v>2</v>
      </c>
      <c r="G1229" t="s">
        <v>182</v>
      </c>
      <c r="H1229">
        <v>0</v>
      </c>
      <c r="I1229">
        <v>0</v>
      </c>
      <c r="J1229" s="10">
        <v>-1.4210854715202004E-14</v>
      </c>
      <c r="K1229" s="10">
        <f>SUMIFS(F:F,D:D,DST_123_ÜRETİM_İHTİYAÇ_RAPORU_BURAK_YENI1309[[#This Row],[ALT_KOD]])-(SUMIFS(H:H,D:D,DST_123_ÜRETİM_İHTİYAÇ_RAPORU_BURAK_YENI1309[[#This Row],[ALT_KOD]])+AVERAGEIFS(I:I,D:D,DST_123_ÜRETİM_İHTİYAÇ_RAPORU_BURAK_YENI1309[[#This Row],[ALT_KOD]])+AVERAGEIFS(L:L,D:D,DST_123_ÜRETİM_İHTİYAÇ_RAPORU_BURAK_YENI1309[[#This Row],[ALT_KOD]]))</f>
        <v>52</v>
      </c>
      <c r="L1229">
        <v>0</v>
      </c>
      <c r="M1229">
        <f>IF((DST_123_ÜRETİM_İHTİYAÇ_RAPORU_BURAK_YENI1309[[#This Row],[SATINALMA]]*DST_123_ÜRETİM_İHTİYAÇ_RAPORU_BURAK_YENI1309[[#This Row],[BIRIM_FIYATLAR]])&lt;1,VALUE("0"),DST_123_ÜRETİM_İHTİYAÇ_RAPORU_BURAK_YENI1309[[#This Row],[SATINALMA]]*DST_123_ÜRETİM_İHTİYAÇ_RAPORU_BURAK_YENI1309[[#This Row],[BIRIM_FIYATLAR]])</f>
        <v>28423.200000000001</v>
      </c>
      <c r="N1229">
        <v>546.6</v>
      </c>
      <c r="O1229" t="s">
        <v>253</v>
      </c>
      <c r="P1229">
        <v>1093.2</v>
      </c>
      <c r="Q1229" t="s">
        <v>181</v>
      </c>
    </row>
    <row r="1230" spans="1:17" x14ac:dyDescent="0.25">
      <c r="A1230" t="s">
        <v>1146</v>
      </c>
      <c r="B1230" t="s">
        <v>1145</v>
      </c>
      <c r="C1230" t="s">
        <v>175</v>
      </c>
      <c r="D1230" t="s">
        <v>846</v>
      </c>
      <c r="E1230" t="s">
        <v>847</v>
      </c>
      <c r="F1230">
        <v>2</v>
      </c>
      <c r="G1230" t="s">
        <v>182</v>
      </c>
      <c r="H1230">
        <v>0</v>
      </c>
      <c r="I1230">
        <v>0</v>
      </c>
      <c r="J1230" s="10">
        <v>-1.4210854715202004E-14</v>
      </c>
      <c r="K1230" s="10">
        <f>SUMIFS(F:F,D:D,DST_123_ÜRETİM_İHTİYAÇ_RAPORU_BURAK_YENI1309[[#This Row],[ALT_KOD]])-(SUMIFS(H:H,D:D,DST_123_ÜRETİM_İHTİYAÇ_RAPORU_BURAK_YENI1309[[#This Row],[ALT_KOD]])+AVERAGEIFS(I:I,D:D,DST_123_ÜRETİM_İHTİYAÇ_RAPORU_BURAK_YENI1309[[#This Row],[ALT_KOD]])+AVERAGEIFS(L:L,D:D,DST_123_ÜRETİM_İHTİYAÇ_RAPORU_BURAK_YENI1309[[#This Row],[ALT_KOD]]))</f>
        <v>52</v>
      </c>
      <c r="L1230">
        <v>0</v>
      </c>
      <c r="M1230">
        <f>IF((DST_123_ÜRETİM_İHTİYAÇ_RAPORU_BURAK_YENI1309[[#This Row],[SATINALMA]]*DST_123_ÜRETİM_İHTİYAÇ_RAPORU_BURAK_YENI1309[[#This Row],[BIRIM_FIYATLAR]])&lt;1,VALUE("0"),DST_123_ÜRETİM_İHTİYAÇ_RAPORU_BURAK_YENI1309[[#This Row],[SATINALMA]]*DST_123_ÜRETİM_İHTİYAÇ_RAPORU_BURAK_YENI1309[[#This Row],[BIRIM_FIYATLAR]])</f>
        <v>28423.200000000001</v>
      </c>
      <c r="N1230">
        <v>546.6</v>
      </c>
      <c r="O1230" t="s">
        <v>253</v>
      </c>
      <c r="P1230">
        <v>1093.2</v>
      </c>
      <c r="Q1230" t="s">
        <v>181</v>
      </c>
    </row>
    <row r="1231" spans="1:17" x14ac:dyDescent="0.25">
      <c r="A1231" t="s">
        <v>1149</v>
      </c>
      <c r="B1231" t="s">
        <v>1145</v>
      </c>
      <c r="C1231" t="s">
        <v>175</v>
      </c>
      <c r="D1231" t="s">
        <v>269</v>
      </c>
      <c r="E1231" t="s">
        <v>270</v>
      </c>
      <c r="F1231">
        <v>1</v>
      </c>
      <c r="G1231" t="s">
        <v>176</v>
      </c>
      <c r="H1231">
        <v>0</v>
      </c>
      <c r="I1231">
        <v>13</v>
      </c>
      <c r="J1231" s="10">
        <v>9</v>
      </c>
      <c r="K1231" s="10">
        <f>SUMIFS(F:F,D:D,DST_123_ÜRETİM_İHTİYAÇ_RAPORU_BURAK_YENI1309[[#This Row],[ALT_KOD]])-(SUMIFS(H:H,D:D,DST_123_ÜRETİM_İHTİYAÇ_RAPORU_BURAK_YENI1309[[#This Row],[ALT_KOD]])+AVERAGEIFS(I:I,D:D,DST_123_ÜRETİM_İHTİYAÇ_RAPORU_BURAK_YENI1309[[#This Row],[ALT_KOD]])+AVERAGEIFS(L:L,D:D,DST_123_ÜRETİM_İHTİYAÇ_RAPORU_BURAK_YENI1309[[#This Row],[ALT_KOD]]))</f>
        <v>-1</v>
      </c>
      <c r="L1231">
        <v>0</v>
      </c>
      <c r="M1231">
        <f>IF((DST_123_ÜRETİM_İHTİYAÇ_RAPORU_BURAK_YENI1309[[#This Row],[SATINALMA]]*DST_123_ÜRETİM_İHTİYAÇ_RAPORU_BURAK_YENI1309[[#This Row],[BIRIM_FIYATLAR]])&lt;1,VALUE("0"),DST_123_ÜRETİM_İHTİYAÇ_RAPORU_BURAK_YENI1309[[#This Row],[SATINALMA]]*DST_123_ÜRETİM_İHTİYAÇ_RAPORU_BURAK_YENI1309[[#This Row],[BIRIM_FIYATLAR]])</f>
        <v>0</v>
      </c>
      <c r="N1231">
        <v>270</v>
      </c>
      <c r="O1231" t="s">
        <v>220</v>
      </c>
      <c r="P1231">
        <v>270</v>
      </c>
      <c r="Q1231" t="s">
        <v>221</v>
      </c>
    </row>
    <row r="1232" spans="1:17" x14ac:dyDescent="0.25">
      <c r="A1232" t="s">
        <v>1149</v>
      </c>
      <c r="B1232" t="s">
        <v>1145</v>
      </c>
      <c r="C1232" t="s">
        <v>175</v>
      </c>
      <c r="D1232" t="s">
        <v>1157</v>
      </c>
      <c r="E1232" t="s">
        <v>1158</v>
      </c>
      <c r="F1232">
        <v>10</v>
      </c>
      <c r="G1232" t="s">
        <v>176</v>
      </c>
      <c r="H1232">
        <v>0</v>
      </c>
      <c r="I1232">
        <v>0</v>
      </c>
      <c r="J1232" s="10">
        <v>0</v>
      </c>
      <c r="K1232" s="10">
        <f>SUMIFS(F:F,D:D,DST_123_ÜRETİM_İHTİYAÇ_RAPORU_BURAK_YENI1309[[#This Row],[ALT_KOD]])-(SUMIFS(H:H,D:D,DST_123_ÜRETİM_İHTİYAÇ_RAPORU_BURAK_YENI1309[[#This Row],[ALT_KOD]])+AVERAGEIFS(I:I,D:D,DST_123_ÜRETİM_İHTİYAÇ_RAPORU_BURAK_YENI1309[[#This Row],[ALT_KOD]])+AVERAGEIFS(L:L,D:D,DST_123_ÜRETİM_İHTİYAÇ_RAPORU_BURAK_YENI1309[[#This Row],[ALT_KOD]]))</f>
        <v>56</v>
      </c>
      <c r="L1232">
        <v>0</v>
      </c>
      <c r="M1232">
        <f>IF((DST_123_ÜRETİM_İHTİYAÇ_RAPORU_BURAK_YENI1309[[#This Row],[SATINALMA]]*DST_123_ÜRETİM_İHTİYAÇ_RAPORU_BURAK_YENI1309[[#This Row],[BIRIM_FIYATLAR]])&lt;1,VALUE("0"),DST_123_ÜRETİM_İHTİYAÇ_RAPORU_BURAK_YENI1309[[#This Row],[SATINALMA]]*DST_123_ÜRETİM_İHTİYAÇ_RAPORU_BURAK_YENI1309[[#This Row],[BIRIM_FIYATLAR]])</f>
        <v>0</v>
      </c>
      <c r="N1232">
        <v>0</v>
      </c>
      <c r="P1232">
        <v>0</v>
      </c>
      <c r="Q1232" t="s">
        <v>180</v>
      </c>
    </row>
    <row r="1233" spans="1:17" x14ac:dyDescent="0.25">
      <c r="A1233" t="s">
        <v>1149</v>
      </c>
      <c r="B1233" t="s">
        <v>1145</v>
      </c>
      <c r="C1233" t="s">
        <v>175</v>
      </c>
      <c r="D1233" t="s">
        <v>259</v>
      </c>
      <c r="E1233" t="s">
        <v>260</v>
      </c>
      <c r="F1233">
        <v>0.7</v>
      </c>
      <c r="G1233" t="s">
        <v>176</v>
      </c>
      <c r="H1233">
        <v>0</v>
      </c>
      <c r="I1233">
        <v>2</v>
      </c>
      <c r="J1233" s="10">
        <v>3.3000000000000052</v>
      </c>
      <c r="K1233" s="10">
        <f>SUMIFS(F:F,D:D,DST_123_ÜRETİM_İHTİYAÇ_RAPORU_BURAK_YENI1309[[#This Row],[ALT_KOD]])-(SUMIFS(H:H,D:D,DST_123_ÜRETİM_İHTİYAÇ_RAPORU_BURAK_YENI1309[[#This Row],[ALT_KOD]])+AVERAGEIFS(I:I,D:D,DST_123_ÜRETİM_İHTİYAÇ_RAPORU_BURAK_YENI1309[[#This Row],[ALT_KOD]])+AVERAGEIFS(L:L,D:D,DST_123_ÜRETİM_İHTİYAÇ_RAPORU_BURAK_YENI1309[[#This Row],[ALT_KOD]]))</f>
        <v>12.649999999999999</v>
      </c>
      <c r="L1233">
        <v>0</v>
      </c>
      <c r="M1233">
        <f>IF((DST_123_ÜRETİM_İHTİYAÇ_RAPORU_BURAK_YENI1309[[#This Row],[SATINALMA]]*DST_123_ÜRETİM_İHTİYAÇ_RAPORU_BURAK_YENI1309[[#This Row],[BIRIM_FIYATLAR]])&lt;1,VALUE("0"),DST_123_ÜRETİM_İHTİYAÇ_RAPORU_BURAK_YENI1309[[#This Row],[SATINALMA]]*DST_123_ÜRETİM_İHTİYAÇ_RAPORU_BURAK_YENI1309[[#This Row],[BIRIM_FIYATLAR]])</f>
        <v>20523.36</v>
      </c>
      <c r="N1233">
        <v>1622.4</v>
      </c>
      <c r="O1233" t="s">
        <v>261</v>
      </c>
      <c r="P1233">
        <v>1135.68</v>
      </c>
      <c r="Q1233" t="s">
        <v>183</v>
      </c>
    </row>
    <row r="1234" spans="1:17" x14ac:dyDescent="0.25">
      <c r="A1234" t="s">
        <v>1143</v>
      </c>
      <c r="B1234" t="s">
        <v>1056</v>
      </c>
      <c r="C1234" t="s">
        <v>175</v>
      </c>
      <c r="D1234" t="s">
        <v>866</v>
      </c>
      <c r="E1234" t="s">
        <v>867</v>
      </c>
      <c r="F1234">
        <v>4</v>
      </c>
      <c r="G1234" t="s">
        <v>176</v>
      </c>
      <c r="H1234">
        <v>0</v>
      </c>
      <c r="I1234">
        <v>415</v>
      </c>
      <c r="J1234" s="10">
        <v>0</v>
      </c>
      <c r="K1234" s="10">
        <f>SUMIFS(F:F,D:D,DST_123_ÜRETİM_İHTİYAÇ_RAPORU_BURAK_YENI1309[[#This Row],[ALT_KOD]])-(SUMIFS(H:H,D:D,DST_123_ÜRETİM_İHTİYAÇ_RAPORU_BURAK_YENI1309[[#This Row],[ALT_KOD]])+AVERAGEIFS(I:I,D:D,DST_123_ÜRETİM_İHTİYAÇ_RAPORU_BURAK_YENI1309[[#This Row],[ALT_KOD]])+AVERAGEIFS(L:L,D:D,DST_123_ÜRETİM_İHTİYAÇ_RAPORU_BURAK_YENI1309[[#This Row],[ALT_KOD]]))</f>
        <v>-393</v>
      </c>
      <c r="L1234">
        <v>0</v>
      </c>
      <c r="M1234">
        <f>IF((DST_123_ÜRETİM_İHTİYAÇ_RAPORU_BURAK_YENI1309[[#This Row],[SATINALMA]]*DST_123_ÜRETİM_İHTİYAÇ_RAPORU_BURAK_YENI1309[[#This Row],[BIRIM_FIYATLAR]])&lt;1,VALUE("0"),DST_123_ÜRETİM_İHTİYAÇ_RAPORU_BURAK_YENI1309[[#This Row],[SATINALMA]]*DST_123_ÜRETİM_İHTİYAÇ_RAPORU_BURAK_YENI1309[[#This Row],[BIRIM_FIYATLAR]])</f>
        <v>0</v>
      </c>
      <c r="N1234">
        <v>4.25</v>
      </c>
      <c r="O1234" t="s">
        <v>240</v>
      </c>
      <c r="P1234">
        <v>17</v>
      </c>
      <c r="Q1234" t="s">
        <v>178</v>
      </c>
    </row>
    <row r="1235" spans="1:17" x14ac:dyDescent="0.25">
      <c r="A1235" t="s">
        <v>1143</v>
      </c>
      <c r="B1235" t="s">
        <v>1056</v>
      </c>
      <c r="C1235" t="s">
        <v>175</v>
      </c>
      <c r="D1235" t="s">
        <v>724</v>
      </c>
      <c r="E1235" t="s">
        <v>725</v>
      </c>
      <c r="F1235">
        <v>1</v>
      </c>
      <c r="G1235" t="s">
        <v>176</v>
      </c>
      <c r="H1235">
        <v>0</v>
      </c>
      <c r="I1235">
        <v>54</v>
      </c>
      <c r="J1235" s="10">
        <v>6</v>
      </c>
      <c r="K1235" s="10">
        <f>SUMIFS(F:F,D:D,DST_123_ÜRETİM_İHTİYAÇ_RAPORU_BURAK_YENI1309[[#This Row],[ALT_KOD]])-(SUMIFS(H:H,D:D,DST_123_ÜRETİM_İHTİYAÇ_RAPORU_BURAK_YENI1309[[#This Row],[ALT_KOD]])+AVERAGEIFS(I:I,D:D,DST_123_ÜRETİM_İHTİYAÇ_RAPORU_BURAK_YENI1309[[#This Row],[ALT_KOD]])+AVERAGEIFS(L:L,D:D,DST_123_ÜRETİM_İHTİYAÇ_RAPORU_BURAK_YENI1309[[#This Row],[ALT_KOD]]))</f>
        <v>-53</v>
      </c>
      <c r="L1235">
        <v>0</v>
      </c>
      <c r="M1235">
        <f>IF((DST_123_ÜRETİM_İHTİYAÇ_RAPORU_BURAK_YENI1309[[#This Row],[SATINALMA]]*DST_123_ÜRETİM_İHTİYAÇ_RAPORU_BURAK_YENI1309[[#This Row],[BIRIM_FIYATLAR]])&lt;1,VALUE("0"),DST_123_ÜRETİM_İHTİYAÇ_RAPORU_BURAK_YENI1309[[#This Row],[SATINALMA]]*DST_123_ÜRETİM_İHTİYAÇ_RAPORU_BURAK_YENI1309[[#This Row],[BIRIM_FIYATLAR]])</f>
        <v>0</v>
      </c>
      <c r="N1235">
        <v>16.5</v>
      </c>
      <c r="O1235" t="s">
        <v>240</v>
      </c>
      <c r="P1235">
        <v>16.5</v>
      </c>
      <c r="Q1235" t="s">
        <v>178</v>
      </c>
    </row>
    <row r="1236" spans="1:17" x14ac:dyDescent="0.25">
      <c r="A1236" t="s">
        <v>1146</v>
      </c>
      <c r="B1236" t="s">
        <v>1145</v>
      </c>
      <c r="C1236" t="s">
        <v>175</v>
      </c>
      <c r="D1236" t="s">
        <v>746</v>
      </c>
      <c r="E1236" t="s">
        <v>747</v>
      </c>
      <c r="F1236">
        <v>2</v>
      </c>
      <c r="G1236" t="s">
        <v>176</v>
      </c>
      <c r="H1236">
        <v>0</v>
      </c>
      <c r="I1236">
        <v>3</v>
      </c>
      <c r="J1236" s="10">
        <v>0</v>
      </c>
      <c r="K1236" s="10">
        <f>SUMIFS(F:F,D:D,DST_123_ÜRETİM_İHTİYAÇ_RAPORU_BURAK_YENI1309[[#This Row],[ALT_KOD]])-(SUMIFS(H:H,D:D,DST_123_ÜRETİM_İHTİYAÇ_RAPORU_BURAK_YENI1309[[#This Row],[ALT_KOD]])+AVERAGEIFS(I:I,D:D,DST_123_ÜRETİM_İHTİYAÇ_RAPORU_BURAK_YENI1309[[#This Row],[ALT_KOD]])+AVERAGEIFS(L:L,D:D,DST_123_ÜRETİM_İHTİYAÇ_RAPORU_BURAK_YENI1309[[#This Row],[ALT_KOD]]))</f>
        <v>13</v>
      </c>
      <c r="L1236">
        <v>0</v>
      </c>
      <c r="M1236">
        <f>IF((DST_123_ÜRETİM_İHTİYAÇ_RAPORU_BURAK_YENI1309[[#This Row],[SATINALMA]]*DST_123_ÜRETİM_İHTİYAÇ_RAPORU_BURAK_YENI1309[[#This Row],[BIRIM_FIYATLAR]])&lt;1,VALUE("0"),DST_123_ÜRETİM_İHTİYAÇ_RAPORU_BURAK_YENI1309[[#This Row],[SATINALMA]]*DST_123_ÜRETİM_İHTİYAÇ_RAPORU_BURAK_YENI1309[[#This Row],[BIRIM_FIYATLAR]])</f>
        <v>702</v>
      </c>
      <c r="N1236">
        <v>54</v>
      </c>
      <c r="O1236" t="s">
        <v>226</v>
      </c>
      <c r="P1236">
        <v>108</v>
      </c>
      <c r="Q1236" t="s">
        <v>180</v>
      </c>
    </row>
    <row r="1237" spans="1:17" x14ac:dyDescent="0.25">
      <c r="A1237" t="s">
        <v>1142</v>
      </c>
      <c r="B1237" t="s">
        <v>1056</v>
      </c>
      <c r="C1237" t="s">
        <v>175</v>
      </c>
      <c r="D1237" t="s">
        <v>285</v>
      </c>
      <c r="E1237" t="s">
        <v>286</v>
      </c>
      <c r="F1237">
        <v>0.35</v>
      </c>
      <c r="G1237" t="s">
        <v>185</v>
      </c>
      <c r="H1237">
        <v>0</v>
      </c>
      <c r="I1237">
        <v>0</v>
      </c>
      <c r="J1237" s="10">
        <v>24.129999999999985</v>
      </c>
      <c r="K1237" s="10">
        <f>SUMIFS(F:F,D:D,DST_123_ÜRETİM_İHTİYAÇ_RAPORU_BURAK_YENI1309[[#This Row],[ALT_KOD]])-(SUMIFS(H:H,D:D,DST_123_ÜRETİM_İHTİYAÇ_RAPORU_BURAK_YENI1309[[#This Row],[ALT_KOD]])+AVERAGEIFS(I:I,D:D,DST_123_ÜRETİM_İHTİYAÇ_RAPORU_BURAK_YENI1309[[#This Row],[ALT_KOD]])+AVERAGEIFS(L:L,D:D,DST_123_ÜRETİM_İHTİYAÇ_RAPORU_BURAK_YENI1309[[#This Row],[ALT_KOD]]))</f>
        <v>4.1899999999999995</v>
      </c>
      <c r="L1237">
        <v>0</v>
      </c>
      <c r="M1237">
        <f>IF((DST_123_ÜRETİM_İHTİYAÇ_RAPORU_BURAK_YENI1309[[#This Row],[SATINALMA]]*DST_123_ÜRETİM_İHTİYAÇ_RAPORU_BURAK_YENI1309[[#This Row],[BIRIM_FIYATLAR]])&lt;1,VALUE("0"),DST_123_ÜRETİM_İHTİYAÇ_RAPORU_BURAK_YENI1309[[#This Row],[SATINALMA]]*DST_123_ÜRETİM_İHTİYAÇ_RAPORU_BURAK_YENI1309[[#This Row],[BIRIM_FIYATLAR]])</f>
        <v>1667.7456999999997</v>
      </c>
      <c r="N1237">
        <v>398.03</v>
      </c>
      <c r="O1237" t="s">
        <v>490</v>
      </c>
      <c r="P1237">
        <v>139.31049999999999</v>
      </c>
      <c r="Q1237" t="s">
        <v>183</v>
      </c>
    </row>
    <row r="1238" spans="1:17" x14ac:dyDescent="0.25">
      <c r="A1238" t="s">
        <v>1095</v>
      </c>
      <c r="B1238" t="s">
        <v>1096</v>
      </c>
      <c r="C1238" t="s">
        <v>175</v>
      </c>
      <c r="D1238" t="s">
        <v>68</v>
      </c>
      <c r="E1238" t="s">
        <v>69</v>
      </c>
      <c r="F1238">
        <v>9.7099999999999991</v>
      </c>
      <c r="G1238" t="s">
        <v>185</v>
      </c>
      <c r="H1238">
        <v>0</v>
      </c>
      <c r="I1238">
        <v>134.9</v>
      </c>
      <c r="J1238" s="10">
        <v>46.099999999999767</v>
      </c>
      <c r="K1238" s="10">
        <f>SUMIFS(F:F,D:D,DST_123_ÜRETİM_İHTİYAÇ_RAPORU_BURAK_YENI1309[[#This Row],[ALT_KOD]])-(SUMIFS(H:H,D:D,DST_123_ÜRETİM_İHTİYAÇ_RAPORU_BURAK_YENI1309[[#This Row],[ALT_KOD]])+AVERAGEIFS(I:I,D:D,DST_123_ÜRETİM_İHTİYAÇ_RAPORU_BURAK_YENI1309[[#This Row],[ALT_KOD]])+AVERAGEIFS(L:L,D:D,DST_123_ÜRETİM_İHTİYAÇ_RAPORU_BURAK_YENI1309[[#This Row],[ALT_KOD]]))</f>
        <v>43.169999999999959</v>
      </c>
      <c r="L1238">
        <v>0</v>
      </c>
      <c r="M1238">
        <f>IF((DST_123_ÜRETİM_İHTİYAÇ_RAPORU_BURAK_YENI1309[[#This Row],[SATINALMA]]*DST_123_ÜRETİM_İHTİYAÇ_RAPORU_BURAK_YENI1309[[#This Row],[BIRIM_FIYATLAR]])&lt;1,VALUE("0"),DST_123_ÜRETİM_İHTİYAÇ_RAPORU_BURAK_YENI1309[[#This Row],[SATINALMA]]*DST_123_ÜRETİM_İHTİYAÇ_RAPORU_BURAK_YENI1309[[#This Row],[BIRIM_FIYATLAR]])</f>
        <v>4160.2928999999958</v>
      </c>
      <c r="N1238">
        <v>96.37</v>
      </c>
      <c r="O1238" t="s">
        <v>490</v>
      </c>
      <c r="P1238">
        <v>935.7527</v>
      </c>
      <c r="Q1238" t="s">
        <v>183</v>
      </c>
    </row>
    <row r="1239" spans="1:17" x14ac:dyDescent="0.25">
      <c r="A1239" t="s">
        <v>1059</v>
      </c>
      <c r="B1239" t="s">
        <v>1058</v>
      </c>
      <c r="C1239" t="s">
        <v>175</v>
      </c>
      <c r="D1239" t="s">
        <v>68</v>
      </c>
      <c r="E1239" t="s">
        <v>69</v>
      </c>
      <c r="F1239">
        <v>6.54</v>
      </c>
      <c r="G1239" t="s">
        <v>185</v>
      </c>
      <c r="H1239">
        <v>0</v>
      </c>
      <c r="I1239">
        <v>134.9</v>
      </c>
      <c r="J1239" s="10">
        <v>46.099999999999767</v>
      </c>
      <c r="K1239" s="10">
        <f>SUMIFS(F:F,D:D,DST_123_ÜRETİM_İHTİYAÇ_RAPORU_BURAK_YENI1309[[#This Row],[ALT_KOD]])-(SUMIFS(H:H,D:D,DST_123_ÜRETİM_İHTİYAÇ_RAPORU_BURAK_YENI1309[[#This Row],[ALT_KOD]])+AVERAGEIFS(I:I,D:D,DST_123_ÜRETİM_İHTİYAÇ_RAPORU_BURAK_YENI1309[[#This Row],[ALT_KOD]])+AVERAGEIFS(L:L,D:D,DST_123_ÜRETİM_İHTİYAÇ_RAPORU_BURAK_YENI1309[[#This Row],[ALT_KOD]]))</f>
        <v>43.169999999999959</v>
      </c>
      <c r="L1239">
        <v>0</v>
      </c>
      <c r="M1239">
        <f>IF((DST_123_ÜRETİM_İHTİYAÇ_RAPORU_BURAK_YENI1309[[#This Row],[SATINALMA]]*DST_123_ÜRETİM_İHTİYAÇ_RAPORU_BURAK_YENI1309[[#This Row],[BIRIM_FIYATLAR]])&lt;1,VALUE("0"),DST_123_ÜRETİM_İHTİYAÇ_RAPORU_BURAK_YENI1309[[#This Row],[SATINALMA]]*DST_123_ÜRETİM_İHTİYAÇ_RAPORU_BURAK_YENI1309[[#This Row],[BIRIM_FIYATLAR]])</f>
        <v>4160.2928999999958</v>
      </c>
      <c r="N1239">
        <v>96.37</v>
      </c>
      <c r="O1239" t="s">
        <v>490</v>
      </c>
      <c r="P1239">
        <v>630.25980000000004</v>
      </c>
      <c r="Q1239" t="s">
        <v>183</v>
      </c>
    </row>
    <row r="1240" spans="1:17" x14ac:dyDescent="0.25">
      <c r="A1240" t="s">
        <v>1095</v>
      </c>
      <c r="B1240" t="s">
        <v>1096</v>
      </c>
      <c r="C1240" t="s">
        <v>175</v>
      </c>
      <c r="D1240" t="s">
        <v>72</v>
      </c>
      <c r="E1240" t="s">
        <v>73</v>
      </c>
      <c r="F1240">
        <v>1</v>
      </c>
      <c r="G1240" t="s">
        <v>176</v>
      </c>
      <c r="H1240">
        <v>0</v>
      </c>
      <c r="I1240">
        <v>2</v>
      </c>
      <c r="J1240" s="10">
        <v>8</v>
      </c>
      <c r="K1240" s="10">
        <f>SUMIFS(F:F,D:D,DST_123_ÜRETİM_İHTİYAÇ_RAPORU_BURAK_YENI1309[[#This Row],[ALT_KOD]])-(SUMIFS(H:H,D:D,DST_123_ÜRETİM_İHTİYAÇ_RAPORU_BURAK_YENI1309[[#This Row],[ALT_KOD]])+AVERAGEIFS(I:I,D:D,DST_123_ÜRETİM_İHTİYAÇ_RAPORU_BURAK_YENI1309[[#This Row],[ALT_KOD]])+AVERAGEIFS(L:L,D:D,DST_123_ÜRETİM_İHTİYAÇ_RAPORU_BURAK_YENI1309[[#This Row],[ALT_KOD]]))</f>
        <v>8</v>
      </c>
      <c r="L1240">
        <v>0</v>
      </c>
      <c r="M1240">
        <f>IF((DST_123_ÜRETİM_İHTİYAÇ_RAPORU_BURAK_YENI1309[[#This Row],[SATINALMA]]*DST_123_ÜRETİM_İHTİYAÇ_RAPORU_BURAK_YENI1309[[#This Row],[BIRIM_FIYATLAR]])&lt;1,VALUE("0"),DST_123_ÜRETİM_İHTİYAÇ_RAPORU_BURAK_YENI1309[[#This Row],[SATINALMA]]*DST_123_ÜRETİM_İHTİYAÇ_RAPORU_BURAK_YENI1309[[#This Row],[BIRIM_FIYATLAR]])</f>
        <v>70583.44</v>
      </c>
      <c r="N1240">
        <v>8822.93</v>
      </c>
      <c r="O1240" t="s">
        <v>634</v>
      </c>
      <c r="P1240">
        <v>8822.93</v>
      </c>
      <c r="Q1240" t="s">
        <v>178</v>
      </c>
    </row>
    <row r="1241" spans="1:17" x14ac:dyDescent="0.25">
      <c r="A1241" t="s">
        <v>1101</v>
      </c>
      <c r="B1241" t="s">
        <v>1102</v>
      </c>
      <c r="C1241" t="s">
        <v>175</v>
      </c>
      <c r="D1241" t="s">
        <v>307</v>
      </c>
      <c r="E1241" t="s">
        <v>308</v>
      </c>
      <c r="F1241">
        <v>1</v>
      </c>
      <c r="G1241" t="s">
        <v>176</v>
      </c>
      <c r="H1241">
        <v>0</v>
      </c>
      <c r="I1241">
        <v>13</v>
      </c>
      <c r="J1241" s="10">
        <v>1</v>
      </c>
      <c r="K1241" s="10">
        <f>SUMIFS(F:F,D:D,DST_123_ÜRETİM_İHTİYAÇ_RAPORU_BURAK_YENI1309[[#This Row],[ALT_KOD]])-(SUMIFS(H:H,D:D,DST_123_ÜRETİM_İHTİYAÇ_RAPORU_BURAK_YENI1309[[#This Row],[ALT_KOD]])+AVERAGEIFS(I:I,D:D,DST_123_ÜRETİM_İHTİYAÇ_RAPORU_BURAK_YENI1309[[#This Row],[ALT_KOD]])+AVERAGEIFS(L:L,D:D,DST_123_ÜRETİM_İHTİYAÇ_RAPORU_BURAK_YENI1309[[#This Row],[ALT_KOD]]))</f>
        <v>24</v>
      </c>
      <c r="L1241">
        <v>0</v>
      </c>
      <c r="M1241">
        <f>IF((DST_123_ÜRETİM_İHTİYAÇ_RAPORU_BURAK_YENI1309[[#This Row],[SATINALMA]]*DST_123_ÜRETİM_İHTİYAÇ_RAPORU_BURAK_YENI1309[[#This Row],[BIRIM_FIYATLAR]])&lt;1,VALUE("0"),DST_123_ÜRETİM_İHTİYAÇ_RAPORU_BURAK_YENI1309[[#This Row],[SATINALMA]]*DST_123_ÜRETİM_İHTİYAÇ_RAPORU_BURAK_YENI1309[[#This Row],[BIRIM_FIYATLAR]])</f>
        <v>1570.08</v>
      </c>
      <c r="N1241">
        <v>65.42</v>
      </c>
      <c r="O1241" t="s">
        <v>628</v>
      </c>
      <c r="P1241">
        <v>65.42</v>
      </c>
      <c r="Q1241" t="s">
        <v>178</v>
      </c>
    </row>
    <row r="1242" spans="1:17" x14ac:dyDescent="0.25">
      <c r="A1242" t="s">
        <v>1060</v>
      </c>
      <c r="B1242" t="s">
        <v>1061</v>
      </c>
      <c r="C1242" t="s">
        <v>175</v>
      </c>
      <c r="D1242" t="s">
        <v>577</v>
      </c>
      <c r="E1242" t="s">
        <v>578</v>
      </c>
      <c r="F1242">
        <v>0.2</v>
      </c>
      <c r="G1242" t="s">
        <v>185</v>
      </c>
      <c r="H1242">
        <v>0</v>
      </c>
      <c r="I1242">
        <v>12</v>
      </c>
      <c r="J1242" s="10">
        <v>1.2000000000000011</v>
      </c>
      <c r="K1242" s="10">
        <f>SUMIFS(F:F,D:D,DST_123_ÜRETİM_İHTİYAÇ_RAPORU_BURAK_YENI1309[[#This Row],[ALT_KOD]])-(SUMIFS(H:H,D:D,DST_123_ÜRETİM_İHTİYAÇ_RAPORU_BURAK_YENI1309[[#This Row],[ALT_KOD]])+AVERAGEIFS(I:I,D:D,DST_123_ÜRETİM_İHTİYAÇ_RAPORU_BURAK_YENI1309[[#This Row],[ALT_KOD]])+AVERAGEIFS(L:L,D:D,DST_123_ÜRETİM_İHTİYAÇ_RAPORU_BURAK_YENI1309[[#This Row],[ALT_KOD]]))</f>
        <v>-10.199999999999999</v>
      </c>
      <c r="L1242">
        <v>0</v>
      </c>
      <c r="M1242">
        <f>IF((DST_123_ÜRETİM_İHTİYAÇ_RAPORU_BURAK_YENI1309[[#This Row],[SATINALMA]]*DST_123_ÜRETİM_İHTİYAÇ_RAPORU_BURAK_YENI1309[[#This Row],[BIRIM_FIYATLAR]])&lt;1,VALUE("0"),DST_123_ÜRETİM_İHTİYAÇ_RAPORU_BURAK_YENI1309[[#This Row],[SATINALMA]]*DST_123_ÜRETİM_İHTİYAÇ_RAPORU_BURAK_YENI1309[[#This Row],[BIRIM_FIYATLAR]])</f>
        <v>0</v>
      </c>
      <c r="N1242">
        <v>221.8</v>
      </c>
      <c r="O1242" t="s">
        <v>490</v>
      </c>
      <c r="P1242">
        <v>44.360000000000007</v>
      </c>
      <c r="Q1242" t="s">
        <v>183</v>
      </c>
    </row>
    <row r="1243" spans="1:17" x14ac:dyDescent="0.25">
      <c r="A1243" t="s">
        <v>1098</v>
      </c>
      <c r="B1243" t="s">
        <v>1096</v>
      </c>
      <c r="C1243" t="s">
        <v>175</v>
      </c>
      <c r="D1243" t="s">
        <v>307</v>
      </c>
      <c r="E1243" t="s">
        <v>308</v>
      </c>
      <c r="F1243">
        <v>2</v>
      </c>
      <c r="G1243" t="s">
        <v>176</v>
      </c>
      <c r="H1243">
        <v>0</v>
      </c>
      <c r="I1243">
        <v>13</v>
      </c>
      <c r="J1243" s="10">
        <v>1</v>
      </c>
      <c r="K1243" s="10">
        <f>SUMIFS(F:F,D:D,DST_123_ÜRETİM_İHTİYAÇ_RAPORU_BURAK_YENI1309[[#This Row],[ALT_KOD]])-(SUMIFS(H:H,D:D,DST_123_ÜRETİM_İHTİYAÇ_RAPORU_BURAK_YENI1309[[#This Row],[ALT_KOD]])+AVERAGEIFS(I:I,D:D,DST_123_ÜRETİM_İHTİYAÇ_RAPORU_BURAK_YENI1309[[#This Row],[ALT_KOD]])+AVERAGEIFS(L:L,D:D,DST_123_ÜRETİM_İHTİYAÇ_RAPORU_BURAK_YENI1309[[#This Row],[ALT_KOD]]))</f>
        <v>24</v>
      </c>
      <c r="L1243">
        <v>0</v>
      </c>
      <c r="M1243">
        <f>IF((DST_123_ÜRETİM_İHTİYAÇ_RAPORU_BURAK_YENI1309[[#This Row],[SATINALMA]]*DST_123_ÜRETİM_İHTİYAÇ_RAPORU_BURAK_YENI1309[[#This Row],[BIRIM_FIYATLAR]])&lt;1,VALUE("0"),DST_123_ÜRETİM_İHTİYAÇ_RAPORU_BURAK_YENI1309[[#This Row],[SATINALMA]]*DST_123_ÜRETİM_İHTİYAÇ_RAPORU_BURAK_YENI1309[[#This Row],[BIRIM_FIYATLAR]])</f>
        <v>1570.08</v>
      </c>
      <c r="N1243">
        <v>65.42</v>
      </c>
      <c r="O1243" t="s">
        <v>628</v>
      </c>
      <c r="P1243">
        <v>130.84</v>
      </c>
      <c r="Q1243" t="s">
        <v>178</v>
      </c>
    </row>
    <row r="1244" spans="1:17" x14ac:dyDescent="0.25">
      <c r="A1244" t="s">
        <v>1099</v>
      </c>
      <c r="B1244" t="s">
        <v>1055</v>
      </c>
      <c r="C1244" t="s">
        <v>175</v>
      </c>
      <c r="D1244" t="s">
        <v>307</v>
      </c>
      <c r="E1244" t="s">
        <v>308</v>
      </c>
      <c r="F1244">
        <v>5</v>
      </c>
      <c r="G1244" t="s">
        <v>176</v>
      </c>
      <c r="H1244">
        <v>0</v>
      </c>
      <c r="I1244">
        <v>13</v>
      </c>
      <c r="J1244" s="10">
        <v>1</v>
      </c>
      <c r="K1244" s="10">
        <f>SUMIFS(F:F,D:D,DST_123_ÜRETİM_İHTİYAÇ_RAPORU_BURAK_YENI1309[[#This Row],[ALT_KOD]])-(SUMIFS(H:H,D:D,DST_123_ÜRETİM_İHTİYAÇ_RAPORU_BURAK_YENI1309[[#This Row],[ALT_KOD]])+AVERAGEIFS(I:I,D:D,DST_123_ÜRETİM_İHTİYAÇ_RAPORU_BURAK_YENI1309[[#This Row],[ALT_KOD]])+AVERAGEIFS(L:L,D:D,DST_123_ÜRETİM_İHTİYAÇ_RAPORU_BURAK_YENI1309[[#This Row],[ALT_KOD]]))</f>
        <v>24</v>
      </c>
      <c r="L1244">
        <v>0</v>
      </c>
      <c r="M1244">
        <f>IF((DST_123_ÜRETİM_İHTİYAÇ_RAPORU_BURAK_YENI1309[[#This Row],[SATINALMA]]*DST_123_ÜRETİM_İHTİYAÇ_RAPORU_BURAK_YENI1309[[#This Row],[BIRIM_FIYATLAR]])&lt;1,VALUE("0"),DST_123_ÜRETİM_İHTİYAÇ_RAPORU_BURAK_YENI1309[[#This Row],[SATINALMA]]*DST_123_ÜRETİM_İHTİYAÇ_RAPORU_BURAK_YENI1309[[#This Row],[BIRIM_FIYATLAR]])</f>
        <v>1570.08</v>
      </c>
      <c r="N1244">
        <v>65.42</v>
      </c>
      <c r="O1244" t="s">
        <v>628</v>
      </c>
      <c r="P1244">
        <v>327.10000000000002</v>
      </c>
      <c r="Q1244" t="s">
        <v>178</v>
      </c>
    </row>
    <row r="1245" spans="1:17" x14ac:dyDescent="0.25">
      <c r="A1245" t="s">
        <v>1064</v>
      </c>
      <c r="B1245" t="s">
        <v>1055</v>
      </c>
      <c r="C1245" t="s">
        <v>175</v>
      </c>
      <c r="D1245" t="s">
        <v>577</v>
      </c>
      <c r="E1245" t="s">
        <v>578</v>
      </c>
      <c r="F1245">
        <v>0.2</v>
      </c>
      <c r="G1245" t="s">
        <v>185</v>
      </c>
      <c r="H1245">
        <v>0</v>
      </c>
      <c r="I1245">
        <v>12</v>
      </c>
      <c r="J1245" s="10">
        <v>1.2000000000000011</v>
      </c>
      <c r="K1245" s="10">
        <f>SUMIFS(F:F,D:D,DST_123_ÜRETİM_İHTİYAÇ_RAPORU_BURAK_YENI1309[[#This Row],[ALT_KOD]])-(SUMIFS(H:H,D:D,DST_123_ÜRETİM_İHTİYAÇ_RAPORU_BURAK_YENI1309[[#This Row],[ALT_KOD]])+AVERAGEIFS(I:I,D:D,DST_123_ÜRETİM_İHTİYAÇ_RAPORU_BURAK_YENI1309[[#This Row],[ALT_KOD]])+AVERAGEIFS(L:L,D:D,DST_123_ÜRETİM_İHTİYAÇ_RAPORU_BURAK_YENI1309[[#This Row],[ALT_KOD]]))</f>
        <v>-10.199999999999999</v>
      </c>
      <c r="L1245">
        <v>0</v>
      </c>
      <c r="M1245">
        <f>IF((DST_123_ÜRETİM_İHTİYAÇ_RAPORU_BURAK_YENI1309[[#This Row],[SATINALMA]]*DST_123_ÜRETİM_İHTİYAÇ_RAPORU_BURAK_YENI1309[[#This Row],[BIRIM_FIYATLAR]])&lt;1,VALUE("0"),DST_123_ÜRETİM_İHTİYAÇ_RAPORU_BURAK_YENI1309[[#This Row],[SATINALMA]]*DST_123_ÜRETİM_İHTİYAÇ_RAPORU_BURAK_YENI1309[[#This Row],[BIRIM_FIYATLAR]])</f>
        <v>0</v>
      </c>
      <c r="N1245">
        <v>221.8</v>
      </c>
      <c r="O1245" t="s">
        <v>490</v>
      </c>
      <c r="P1245">
        <v>44.360000000000007</v>
      </c>
      <c r="Q1245" t="s">
        <v>183</v>
      </c>
    </row>
    <row r="1246" spans="1:17" x14ac:dyDescent="0.25">
      <c r="A1246" t="s">
        <v>1057</v>
      </c>
      <c r="B1246" t="s">
        <v>1058</v>
      </c>
      <c r="C1246" t="s">
        <v>175</v>
      </c>
      <c r="D1246" t="s">
        <v>198</v>
      </c>
      <c r="E1246" t="s">
        <v>199</v>
      </c>
      <c r="F1246">
        <v>1</v>
      </c>
      <c r="G1246" t="s">
        <v>176</v>
      </c>
      <c r="H1246">
        <v>1</v>
      </c>
      <c r="I1246">
        <v>1</v>
      </c>
      <c r="J1246" s="10">
        <v>8</v>
      </c>
      <c r="K1246" s="10">
        <f>SUMIFS(F:F,D:D,DST_123_ÜRETİM_İHTİYAÇ_RAPORU_BURAK_YENI1309[[#This Row],[ALT_KOD]])-(SUMIFS(H:H,D:D,DST_123_ÜRETİM_İHTİYAÇ_RAPORU_BURAK_YENI1309[[#This Row],[ALT_KOD]])+AVERAGEIFS(I:I,D:D,DST_123_ÜRETİM_İHTİYAÇ_RAPORU_BURAK_YENI1309[[#This Row],[ALT_KOD]])+AVERAGEIFS(L:L,D:D,DST_123_ÜRETİM_İHTİYAÇ_RAPORU_BURAK_YENI1309[[#This Row],[ALT_KOD]]))</f>
        <v>10</v>
      </c>
      <c r="L1246">
        <v>0</v>
      </c>
      <c r="M1246">
        <f>IF((DST_123_ÜRETİM_İHTİYAÇ_RAPORU_BURAK_YENI1309[[#This Row],[SATINALMA]]*DST_123_ÜRETİM_İHTİYAÇ_RAPORU_BURAK_YENI1309[[#This Row],[BIRIM_FIYATLAR]])&lt;1,VALUE("0"),DST_123_ÜRETİM_İHTİYAÇ_RAPORU_BURAK_YENI1309[[#This Row],[SATINALMA]]*DST_123_ÜRETİM_İHTİYAÇ_RAPORU_BURAK_YENI1309[[#This Row],[BIRIM_FIYATLAR]])</f>
        <v>156184.20000000001</v>
      </c>
      <c r="N1246">
        <v>15618.42</v>
      </c>
      <c r="O1246" t="s">
        <v>215</v>
      </c>
      <c r="P1246">
        <v>15618.42</v>
      </c>
      <c r="Q1246" t="s">
        <v>177</v>
      </c>
    </row>
    <row r="1247" spans="1:17" x14ac:dyDescent="0.25">
      <c r="A1247" t="s">
        <v>1100</v>
      </c>
      <c r="B1247" t="s">
        <v>1058</v>
      </c>
      <c r="C1247" t="s">
        <v>175</v>
      </c>
      <c r="D1247" t="s">
        <v>198</v>
      </c>
      <c r="E1247" t="s">
        <v>199</v>
      </c>
      <c r="F1247">
        <v>1</v>
      </c>
      <c r="G1247" t="s">
        <v>176</v>
      </c>
      <c r="H1247">
        <v>1</v>
      </c>
      <c r="I1247">
        <v>1</v>
      </c>
      <c r="J1247" s="10">
        <v>8</v>
      </c>
      <c r="K1247" s="10">
        <f>SUMIFS(F:F,D:D,DST_123_ÜRETİM_İHTİYAÇ_RAPORU_BURAK_YENI1309[[#This Row],[ALT_KOD]])-(SUMIFS(H:H,D:D,DST_123_ÜRETİM_İHTİYAÇ_RAPORU_BURAK_YENI1309[[#This Row],[ALT_KOD]])+AVERAGEIFS(I:I,D:D,DST_123_ÜRETİM_İHTİYAÇ_RAPORU_BURAK_YENI1309[[#This Row],[ALT_KOD]])+AVERAGEIFS(L:L,D:D,DST_123_ÜRETİM_İHTİYAÇ_RAPORU_BURAK_YENI1309[[#This Row],[ALT_KOD]]))</f>
        <v>10</v>
      </c>
      <c r="L1247">
        <v>0</v>
      </c>
      <c r="M1247">
        <f>IF((DST_123_ÜRETİM_İHTİYAÇ_RAPORU_BURAK_YENI1309[[#This Row],[SATINALMA]]*DST_123_ÜRETİM_İHTİYAÇ_RAPORU_BURAK_YENI1309[[#This Row],[BIRIM_FIYATLAR]])&lt;1,VALUE("0"),DST_123_ÜRETİM_İHTİYAÇ_RAPORU_BURAK_YENI1309[[#This Row],[SATINALMA]]*DST_123_ÜRETİM_İHTİYAÇ_RAPORU_BURAK_YENI1309[[#This Row],[BIRIM_FIYATLAR]])</f>
        <v>156184.20000000001</v>
      </c>
      <c r="N1247">
        <v>15618.42</v>
      </c>
      <c r="O1247" t="s">
        <v>215</v>
      </c>
      <c r="P1247">
        <v>15618.42</v>
      </c>
      <c r="Q1247" t="s">
        <v>177</v>
      </c>
    </row>
    <row r="1248" spans="1:17" x14ac:dyDescent="0.25">
      <c r="A1248" t="s">
        <v>1147</v>
      </c>
      <c r="B1248" t="s">
        <v>1145</v>
      </c>
      <c r="C1248" t="s">
        <v>175</v>
      </c>
      <c r="D1248" t="s">
        <v>823</v>
      </c>
      <c r="E1248" t="s">
        <v>824</v>
      </c>
      <c r="F1248">
        <v>8</v>
      </c>
      <c r="G1248" t="s">
        <v>176</v>
      </c>
      <c r="H1248">
        <v>0</v>
      </c>
      <c r="I1248">
        <v>175</v>
      </c>
      <c r="J1248" s="10">
        <v>0</v>
      </c>
      <c r="K1248" s="10">
        <f>SUMIFS(F:F,D:D,DST_123_ÜRETİM_İHTİYAÇ_RAPORU_BURAK_YENI1309[[#This Row],[ALT_KOD]])-(SUMIFS(H:H,D:D,DST_123_ÜRETİM_İHTİYAÇ_RAPORU_BURAK_YENI1309[[#This Row],[ALT_KOD]])+AVERAGEIFS(I:I,D:D,DST_123_ÜRETİM_İHTİYAÇ_RAPORU_BURAK_YENI1309[[#This Row],[ALT_KOD]])+AVERAGEIFS(L:L,D:D,DST_123_ÜRETİM_İHTİYAÇ_RAPORU_BURAK_YENI1309[[#This Row],[ALT_KOD]]))</f>
        <v>-95</v>
      </c>
      <c r="L1248">
        <v>0</v>
      </c>
      <c r="M1248">
        <f>IF((DST_123_ÜRETİM_İHTİYAÇ_RAPORU_BURAK_YENI1309[[#This Row],[SATINALMA]]*DST_123_ÜRETİM_İHTİYAÇ_RAPORU_BURAK_YENI1309[[#This Row],[BIRIM_FIYATLAR]])&lt;1,VALUE("0"),DST_123_ÜRETİM_İHTİYAÇ_RAPORU_BURAK_YENI1309[[#This Row],[SATINALMA]]*DST_123_ÜRETİM_İHTİYAÇ_RAPORU_BURAK_YENI1309[[#This Row],[BIRIM_FIYATLAR]])</f>
        <v>0</v>
      </c>
      <c r="N1248">
        <v>8.42</v>
      </c>
      <c r="O1248" t="s">
        <v>882</v>
      </c>
      <c r="P1248">
        <v>67.36</v>
      </c>
      <c r="Q1248" t="s">
        <v>178</v>
      </c>
    </row>
    <row r="1249" spans="1:17" x14ac:dyDescent="0.25">
      <c r="A1249" t="s">
        <v>1100</v>
      </c>
      <c r="B1249" t="s">
        <v>1058</v>
      </c>
      <c r="C1249" t="s">
        <v>175</v>
      </c>
      <c r="D1249" t="s">
        <v>823</v>
      </c>
      <c r="E1249" t="s">
        <v>824</v>
      </c>
      <c r="F1249">
        <v>8</v>
      </c>
      <c r="G1249" t="s">
        <v>176</v>
      </c>
      <c r="H1249">
        <v>0</v>
      </c>
      <c r="I1249">
        <v>175</v>
      </c>
      <c r="J1249" s="10">
        <v>0</v>
      </c>
      <c r="K1249" s="10">
        <f>SUMIFS(F:F,D:D,DST_123_ÜRETİM_İHTİYAÇ_RAPORU_BURAK_YENI1309[[#This Row],[ALT_KOD]])-(SUMIFS(H:H,D:D,DST_123_ÜRETİM_İHTİYAÇ_RAPORU_BURAK_YENI1309[[#This Row],[ALT_KOD]])+AVERAGEIFS(I:I,D:D,DST_123_ÜRETİM_İHTİYAÇ_RAPORU_BURAK_YENI1309[[#This Row],[ALT_KOD]])+AVERAGEIFS(L:L,D:D,DST_123_ÜRETİM_İHTİYAÇ_RAPORU_BURAK_YENI1309[[#This Row],[ALT_KOD]]))</f>
        <v>-95</v>
      </c>
      <c r="L1249">
        <v>0</v>
      </c>
      <c r="M1249">
        <f>IF((DST_123_ÜRETİM_İHTİYAÇ_RAPORU_BURAK_YENI1309[[#This Row],[SATINALMA]]*DST_123_ÜRETİM_İHTİYAÇ_RAPORU_BURAK_YENI1309[[#This Row],[BIRIM_FIYATLAR]])&lt;1,VALUE("0"),DST_123_ÜRETİM_İHTİYAÇ_RAPORU_BURAK_YENI1309[[#This Row],[SATINALMA]]*DST_123_ÜRETİM_İHTİYAÇ_RAPORU_BURAK_YENI1309[[#This Row],[BIRIM_FIYATLAR]])</f>
        <v>0</v>
      </c>
      <c r="N1249">
        <v>8.42</v>
      </c>
      <c r="O1249" t="s">
        <v>882</v>
      </c>
      <c r="P1249">
        <v>67.36</v>
      </c>
      <c r="Q1249" t="s">
        <v>178</v>
      </c>
    </row>
    <row r="1250" spans="1:17" x14ac:dyDescent="0.25">
      <c r="A1250" t="s">
        <v>1147</v>
      </c>
      <c r="B1250" t="s">
        <v>1145</v>
      </c>
      <c r="C1250" t="s">
        <v>175</v>
      </c>
      <c r="D1250" t="s">
        <v>312</v>
      </c>
      <c r="E1250" t="s">
        <v>313</v>
      </c>
      <c r="F1250">
        <v>4</v>
      </c>
      <c r="G1250" t="s">
        <v>179</v>
      </c>
      <c r="H1250">
        <v>0</v>
      </c>
      <c r="I1250">
        <v>125</v>
      </c>
      <c r="J1250" s="10">
        <v>16.5</v>
      </c>
      <c r="K1250" s="10">
        <f>SUMIFS(F:F,D:D,DST_123_ÜRETİM_İHTİYAÇ_RAPORU_BURAK_YENI1309[[#This Row],[ALT_KOD]])-(SUMIFS(H:H,D:D,DST_123_ÜRETİM_İHTİYAÇ_RAPORU_BURAK_YENI1309[[#This Row],[ALT_KOD]])+AVERAGEIFS(I:I,D:D,DST_123_ÜRETİM_İHTİYAÇ_RAPORU_BURAK_YENI1309[[#This Row],[ALT_KOD]])+AVERAGEIFS(L:L,D:D,DST_123_ÜRETİM_İHTİYAÇ_RAPORU_BURAK_YENI1309[[#This Row],[ALT_KOD]]))</f>
        <v>-24</v>
      </c>
      <c r="L1250">
        <v>0</v>
      </c>
      <c r="M1250">
        <f>IF((DST_123_ÜRETİM_İHTİYAÇ_RAPORU_BURAK_YENI1309[[#This Row],[SATINALMA]]*DST_123_ÜRETİM_İHTİYAÇ_RAPORU_BURAK_YENI1309[[#This Row],[BIRIM_FIYATLAR]])&lt;1,VALUE("0"),DST_123_ÜRETİM_İHTİYAÇ_RAPORU_BURAK_YENI1309[[#This Row],[SATINALMA]]*DST_123_ÜRETİM_İHTİYAÇ_RAPORU_BURAK_YENI1309[[#This Row],[BIRIM_FIYATLAR]])</f>
        <v>0</v>
      </c>
      <c r="N1250">
        <v>80.84</v>
      </c>
      <c r="O1250" t="s">
        <v>314</v>
      </c>
      <c r="P1250">
        <v>323.36</v>
      </c>
      <c r="Q1250" t="s">
        <v>178</v>
      </c>
    </row>
    <row r="1251" spans="1:17" x14ac:dyDescent="0.25">
      <c r="A1251" t="s">
        <v>1100</v>
      </c>
      <c r="B1251" t="s">
        <v>1058</v>
      </c>
      <c r="C1251" t="s">
        <v>175</v>
      </c>
      <c r="D1251" t="s">
        <v>312</v>
      </c>
      <c r="E1251" t="s">
        <v>313</v>
      </c>
      <c r="F1251">
        <v>4</v>
      </c>
      <c r="G1251" t="s">
        <v>179</v>
      </c>
      <c r="H1251">
        <v>0</v>
      </c>
      <c r="I1251">
        <v>125</v>
      </c>
      <c r="J1251" s="10">
        <v>16.5</v>
      </c>
      <c r="K1251" s="10">
        <f>SUMIFS(F:F,D:D,DST_123_ÜRETİM_İHTİYAÇ_RAPORU_BURAK_YENI1309[[#This Row],[ALT_KOD]])-(SUMIFS(H:H,D:D,DST_123_ÜRETİM_İHTİYAÇ_RAPORU_BURAK_YENI1309[[#This Row],[ALT_KOD]])+AVERAGEIFS(I:I,D:D,DST_123_ÜRETİM_İHTİYAÇ_RAPORU_BURAK_YENI1309[[#This Row],[ALT_KOD]])+AVERAGEIFS(L:L,D:D,DST_123_ÜRETİM_İHTİYAÇ_RAPORU_BURAK_YENI1309[[#This Row],[ALT_KOD]]))</f>
        <v>-24</v>
      </c>
      <c r="L1251">
        <v>0</v>
      </c>
      <c r="M1251">
        <f>IF((DST_123_ÜRETİM_İHTİYAÇ_RAPORU_BURAK_YENI1309[[#This Row],[SATINALMA]]*DST_123_ÜRETİM_İHTİYAÇ_RAPORU_BURAK_YENI1309[[#This Row],[BIRIM_FIYATLAR]])&lt;1,VALUE("0"),DST_123_ÜRETİM_İHTİYAÇ_RAPORU_BURAK_YENI1309[[#This Row],[SATINALMA]]*DST_123_ÜRETİM_İHTİYAÇ_RAPORU_BURAK_YENI1309[[#This Row],[BIRIM_FIYATLAR]])</f>
        <v>0</v>
      </c>
      <c r="N1251">
        <v>80.84</v>
      </c>
      <c r="O1251" t="s">
        <v>314</v>
      </c>
      <c r="P1251">
        <v>323.36</v>
      </c>
      <c r="Q1251" t="s">
        <v>178</v>
      </c>
    </row>
    <row r="1252" spans="1:17" x14ac:dyDescent="0.25">
      <c r="A1252" t="s">
        <v>1148</v>
      </c>
      <c r="B1252" t="s">
        <v>1056</v>
      </c>
      <c r="C1252" t="s">
        <v>175</v>
      </c>
      <c r="D1252" t="s">
        <v>312</v>
      </c>
      <c r="E1252" t="s">
        <v>313</v>
      </c>
      <c r="F1252">
        <v>5</v>
      </c>
      <c r="G1252" t="s">
        <v>179</v>
      </c>
      <c r="H1252">
        <v>0</v>
      </c>
      <c r="I1252">
        <v>125</v>
      </c>
      <c r="J1252" s="10">
        <v>16.5</v>
      </c>
      <c r="K1252" s="10">
        <f>SUMIFS(F:F,D:D,DST_123_ÜRETİM_İHTİYAÇ_RAPORU_BURAK_YENI1309[[#This Row],[ALT_KOD]])-(SUMIFS(H:H,D:D,DST_123_ÜRETİM_İHTİYAÇ_RAPORU_BURAK_YENI1309[[#This Row],[ALT_KOD]])+AVERAGEIFS(I:I,D:D,DST_123_ÜRETİM_İHTİYAÇ_RAPORU_BURAK_YENI1309[[#This Row],[ALT_KOD]])+AVERAGEIFS(L:L,D:D,DST_123_ÜRETİM_İHTİYAÇ_RAPORU_BURAK_YENI1309[[#This Row],[ALT_KOD]]))</f>
        <v>-24</v>
      </c>
      <c r="L1252">
        <v>0</v>
      </c>
      <c r="M1252">
        <f>IF((DST_123_ÜRETİM_İHTİYAÇ_RAPORU_BURAK_YENI1309[[#This Row],[SATINALMA]]*DST_123_ÜRETİM_İHTİYAÇ_RAPORU_BURAK_YENI1309[[#This Row],[BIRIM_FIYATLAR]])&lt;1,VALUE("0"),DST_123_ÜRETİM_İHTİYAÇ_RAPORU_BURAK_YENI1309[[#This Row],[SATINALMA]]*DST_123_ÜRETİM_İHTİYAÇ_RAPORU_BURAK_YENI1309[[#This Row],[BIRIM_FIYATLAR]])</f>
        <v>0</v>
      </c>
      <c r="N1252">
        <v>80.84</v>
      </c>
      <c r="O1252" t="s">
        <v>314</v>
      </c>
      <c r="P1252">
        <v>404.20000000000005</v>
      </c>
      <c r="Q1252" t="s">
        <v>178</v>
      </c>
    </row>
    <row r="1253" spans="1:17" x14ac:dyDescent="0.25">
      <c r="A1253" t="s">
        <v>1147</v>
      </c>
      <c r="B1253" t="s">
        <v>1145</v>
      </c>
      <c r="C1253" t="s">
        <v>175</v>
      </c>
      <c r="D1253" t="s">
        <v>307</v>
      </c>
      <c r="E1253" t="s">
        <v>308</v>
      </c>
      <c r="F1253">
        <v>1</v>
      </c>
      <c r="G1253" t="s">
        <v>176</v>
      </c>
      <c r="H1253">
        <v>0</v>
      </c>
      <c r="I1253">
        <v>13</v>
      </c>
      <c r="J1253" s="10">
        <v>1</v>
      </c>
      <c r="K1253" s="10">
        <f>SUMIFS(F:F,D:D,DST_123_ÜRETİM_İHTİYAÇ_RAPORU_BURAK_YENI1309[[#This Row],[ALT_KOD]])-(SUMIFS(H:H,D:D,DST_123_ÜRETİM_İHTİYAÇ_RAPORU_BURAK_YENI1309[[#This Row],[ALT_KOD]])+AVERAGEIFS(I:I,D:D,DST_123_ÜRETİM_İHTİYAÇ_RAPORU_BURAK_YENI1309[[#This Row],[ALT_KOD]])+AVERAGEIFS(L:L,D:D,DST_123_ÜRETİM_İHTİYAÇ_RAPORU_BURAK_YENI1309[[#This Row],[ALT_KOD]]))</f>
        <v>24</v>
      </c>
      <c r="L1253">
        <v>0</v>
      </c>
      <c r="M1253">
        <f>IF((DST_123_ÜRETİM_İHTİYAÇ_RAPORU_BURAK_YENI1309[[#This Row],[SATINALMA]]*DST_123_ÜRETİM_İHTİYAÇ_RAPORU_BURAK_YENI1309[[#This Row],[BIRIM_FIYATLAR]])&lt;1,VALUE("0"),DST_123_ÜRETİM_İHTİYAÇ_RAPORU_BURAK_YENI1309[[#This Row],[SATINALMA]]*DST_123_ÜRETİM_İHTİYAÇ_RAPORU_BURAK_YENI1309[[#This Row],[BIRIM_FIYATLAR]])</f>
        <v>1570.08</v>
      </c>
      <c r="N1253">
        <v>65.42</v>
      </c>
      <c r="O1253" t="s">
        <v>628</v>
      </c>
      <c r="P1253">
        <v>65.42</v>
      </c>
      <c r="Q1253" t="s">
        <v>178</v>
      </c>
    </row>
    <row r="1254" spans="1:17" x14ac:dyDescent="0.25">
      <c r="A1254" t="s">
        <v>1148</v>
      </c>
      <c r="B1254" t="s">
        <v>1056</v>
      </c>
      <c r="C1254" t="s">
        <v>175</v>
      </c>
      <c r="D1254" t="s">
        <v>307</v>
      </c>
      <c r="E1254" t="s">
        <v>308</v>
      </c>
      <c r="F1254">
        <v>2</v>
      </c>
      <c r="G1254" t="s">
        <v>176</v>
      </c>
      <c r="H1254">
        <v>0</v>
      </c>
      <c r="I1254">
        <v>13</v>
      </c>
      <c r="J1254" s="10">
        <v>1</v>
      </c>
      <c r="K1254" s="10">
        <f>SUMIFS(F:F,D:D,DST_123_ÜRETİM_İHTİYAÇ_RAPORU_BURAK_YENI1309[[#This Row],[ALT_KOD]])-(SUMIFS(H:H,D:D,DST_123_ÜRETİM_İHTİYAÇ_RAPORU_BURAK_YENI1309[[#This Row],[ALT_KOD]])+AVERAGEIFS(I:I,D:D,DST_123_ÜRETİM_İHTİYAÇ_RAPORU_BURAK_YENI1309[[#This Row],[ALT_KOD]])+AVERAGEIFS(L:L,D:D,DST_123_ÜRETİM_İHTİYAÇ_RAPORU_BURAK_YENI1309[[#This Row],[ALT_KOD]]))</f>
        <v>24</v>
      </c>
      <c r="L1254">
        <v>0</v>
      </c>
      <c r="M1254">
        <f>IF((DST_123_ÜRETİM_İHTİYAÇ_RAPORU_BURAK_YENI1309[[#This Row],[SATINALMA]]*DST_123_ÜRETİM_İHTİYAÇ_RAPORU_BURAK_YENI1309[[#This Row],[BIRIM_FIYATLAR]])&lt;1,VALUE("0"),DST_123_ÜRETİM_İHTİYAÇ_RAPORU_BURAK_YENI1309[[#This Row],[SATINALMA]]*DST_123_ÜRETİM_İHTİYAÇ_RAPORU_BURAK_YENI1309[[#This Row],[BIRIM_FIYATLAR]])</f>
        <v>1570.08</v>
      </c>
      <c r="N1254">
        <v>65.42</v>
      </c>
      <c r="O1254" t="s">
        <v>628</v>
      </c>
      <c r="P1254">
        <v>130.84</v>
      </c>
      <c r="Q1254" t="s">
        <v>178</v>
      </c>
    </row>
    <row r="1255" spans="1:17" x14ac:dyDescent="0.25">
      <c r="A1255" t="s">
        <v>1057</v>
      </c>
      <c r="B1255" t="s">
        <v>1058</v>
      </c>
      <c r="C1255" t="s">
        <v>175</v>
      </c>
      <c r="D1255" t="s">
        <v>577</v>
      </c>
      <c r="E1255" t="s">
        <v>578</v>
      </c>
      <c r="F1255">
        <v>0.2</v>
      </c>
      <c r="G1255" t="s">
        <v>185</v>
      </c>
      <c r="H1255">
        <v>0</v>
      </c>
      <c r="I1255">
        <v>12</v>
      </c>
      <c r="J1255" s="10">
        <v>1.2000000000000011</v>
      </c>
      <c r="K1255" s="10">
        <f>SUMIFS(F:F,D:D,DST_123_ÜRETİM_İHTİYAÇ_RAPORU_BURAK_YENI1309[[#This Row],[ALT_KOD]])-(SUMIFS(H:H,D:D,DST_123_ÜRETİM_İHTİYAÇ_RAPORU_BURAK_YENI1309[[#This Row],[ALT_KOD]])+AVERAGEIFS(I:I,D:D,DST_123_ÜRETİM_İHTİYAÇ_RAPORU_BURAK_YENI1309[[#This Row],[ALT_KOD]])+AVERAGEIFS(L:L,D:D,DST_123_ÜRETİM_İHTİYAÇ_RAPORU_BURAK_YENI1309[[#This Row],[ALT_KOD]]))</f>
        <v>-10.199999999999999</v>
      </c>
      <c r="L1255">
        <v>0</v>
      </c>
      <c r="M1255">
        <f>IF((DST_123_ÜRETİM_İHTİYAÇ_RAPORU_BURAK_YENI1309[[#This Row],[SATINALMA]]*DST_123_ÜRETİM_İHTİYAÇ_RAPORU_BURAK_YENI1309[[#This Row],[BIRIM_FIYATLAR]])&lt;1,VALUE("0"),DST_123_ÜRETİM_İHTİYAÇ_RAPORU_BURAK_YENI1309[[#This Row],[SATINALMA]]*DST_123_ÜRETİM_İHTİYAÇ_RAPORU_BURAK_YENI1309[[#This Row],[BIRIM_FIYATLAR]])</f>
        <v>0</v>
      </c>
      <c r="N1255">
        <v>221.8</v>
      </c>
      <c r="O1255" t="s">
        <v>490</v>
      </c>
      <c r="P1255">
        <v>44.360000000000007</v>
      </c>
      <c r="Q1255" t="s">
        <v>183</v>
      </c>
    </row>
    <row r="1256" spans="1:17" x14ac:dyDescent="0.25">
      <c r="A1256" t="s">
        <v>1148</v>
      </c>
      <c r="B1256" t="s">
        <v>1056</v>
      </c>
      <c r="C1256" t="s">
        <v>175</v>
      </c>
      <c r="D1256" t="s">
        <v>577</v>
      </c>
      <c r="E1256" t="s">
        <v>578</v>
      </c>
      <c r="F1256">
        <v>0.2</v>
      </c>
      <c r="G1256" t="s">
        <v>185</v>
      </c>
      <c r="H1256">
        <v>0</v>
      </c>
      <c r="I1256">
        <v>12</v>
      </c>
      <c r="J1256" s="10">
        <v>1.2000000000000011</v>
      </c>
      <c r="K1256" s="10">
        <f>SUMIFS(F:F,D:D,DST_123_ÜRETİM_İHTİYAÇ_RAPORU_BURAK_YENI1309[[#This Row],[ALT_KOD]])-(SUMIFS(H:H,D:D,DST_123_ÜRETİM_İHTİYAÇ_RAPORU_BURAK_YENI1309[[#This Row],[ALT_KOD]])+AVERAGEIFS(I:I,D:D,DST_123_ÜRETİM_İHTİYAÇ_RAPORU_BURAK_YENI1309[[#This Row],[ALT_KOD]])+AVERAGEIFS(L:L,D:D,DST_123_ÜRETİM_İHTİYAÇ_RAPORU_BURAK_YENI1309[[#This Row],[ALT_KOD]]))</f>
        <v>-10.199999999999999</v>
      </c>
      <c r="L1256">
        <v>0</v>
      </c>
      <c r="M1256">
        <f>IF((DST_123_ÜRETİM_İHTİYAÇ_RAPORU_BURAK_YENI1309[[#This Row],[SATINALMA]]*DST_123_ÜRETİM_İHTİYAÇ_RAPORU_BURAK_YENI1309[[#This Row],[BIRIM_FIYATLAR]])&lt;1,VALUE("0"),DST_123_ÜRETİM_İHTİYAÇ_RAPORU_BURAK_YENI1309[[#This Row],[SATINALMA]]*DST_123_ÜRETİM_İHTİYAÇ_RAPORU_BURAK_YENI1309[[#This Row],[BIRIM_FIYATLAR]])</f>
        <v>0</v>
      </c>
      <c r="N1256">
        <v>221.8</v>
      </c>
      <c r="O1256" t="s">
        <v>490</v>
      </c>
      <c r="P1256">
        <v>44.360000000000007</v>
      </c>
      <c r="Q1256" t="s">
        <v>183</v>
      </c>
    </row>
    <row r="1257" spans="1:17" x14ac:dyDescent="0.25">
      <c r="A1257" t="s">
        <v>1146</v>
      </c>
      <c r="B1257" t="s">
        <v>1145</v>
      </c>
      <c r="C1257" t="s">
        <v>175</v>
      </c>
      <c r="D1257" t="s">
        <v>198</v>
      </c>
      <c r="E1257" t="s">
        <v>199</v>
      </c>
      <c r="F1257">
        <v>1</v>
      </c>
      <c r="G1257" t="s">
        <v>176</v>
      </c>
      <c r="H1257">
        <v>0</v>
      </c>
      <c r="I1257">
        <v>1</v>
      </c>
      <c r="J1257" s="10">
        <v>8</v>
      </c>
      <c r="K1257" s="10">
        <f>SUMIFS(F:F,D:D,DST_123_ÜRETİM_İHTİYAÇ_RAPORU_BURAK_YENI1309[[#This Row],[ALT_KOD]])-(SUMIFS(H:H,D:D,DST_123_ÜRETİM_İHTİYAÇ_RAPORU_BURAK_YENI1309[[#This Row],[ALT_KOD]])+AVERAGEIFS(I:I,D:D,DST_123_ÜRETİM_İHTİYAÇ_RAPORU_BURAK_YENI1309[[#This Row],[ALT_KOD]])+AVERAGEIFS(L:L,D:D,DST_123_ÜRETİM_İHTİYAÇ_RAPORU_BURAK_YENI1309[[#This Row],[ALT_KOD]]))</f>
        <v>10</v>
      </c>
      <c r="L1257">
        <v>0</v>
      </c>
      <c r="M1257">
        <f>IF((DST_123_ÜRETİM_İHTİYAÇ_RAPORU_BURAK_YENI1309[[#This Row],[SATINALMA]]*DST_123_ÜRETİM_İHTİYAÇ_RAPORU_BURAK_YENI1309[[#This Row],[BIRIM_FIYATLAR]])&lt;1,VALUE("0"),DST_123_ÜRETİM_İHTİYAÇ_RAPORU_BURAK_YENI1309[[#This Row],[SATINALMA]]*DST_123_ÜRETİM_İHTİYAÇ_RAPORU_BURAK_YENI1309[[#This Row],[BIRIM_FIYATLAR]])</f>
        <v>156184.20000000001</v>
      </c>
      <c r="N1257">
        <v>15618.42</v>
      </c>
      <c r="O1257" t="s">
        <v>215</v>
      </c>
      <c r="P1257">
        <v>15618.42</v>
      </c>
      <c r="Q1257" t="s">
        <v>177</v>
      </c>
    </row>
    <row r="1258" spans="1:17" x14ac:dyDescent="0.25">
      <c r="A1258" t="s">
        <v>1144</v>
      </c>
      <c r="B1258" t="s">
        <v>1145</v>
      </c>
      <c r="C1258" t="s">
        <v>175</v>
      </c>
      <c r="D1258" t="s">
        <v>198</v>
      </c>
      <c r="E1258" t="s">
        <v>199</v>
      </c>
      <c r="F1258">
        <v>1</v>
      </c>
      <c r="G1258" t="s">
        <v>176</v>
      </c>
      <c r="H1258">
        <v>0</v>
      </c>
      <c r="I1258">
        <v>1</v>
      </c>
      <c r="J1258" s="10">
        <v>8</v>
      </c>
      <c r="K1258" s="10">
        <f>SUMIFS(F:F,D:D,DST_123_ÜRETİM_İHTİYAÇ_RAPORU_BURAK_YENI1309[[#This Row],[ALT_KOD]])-(SUMIFS(H:H,D:D,DST_123_ÜRETİM_İHTİYAÇ_RAPORU_BURAK_YENI1309[[#This Row],[ALT_KOD]])+AVERAGEIFS(I:I,D:D,DST_123_ÜRETİM_İHTİYAÇ_RAPORU_BURAK_YENI1309[[#This Row],[ALT_KOD]])+AVERAGEIFS(L:L,D:D,DST_123_ÜRETİM_İHTİYAÇ_RAPORU_BURAK_YENI1309[[#This Row],[ALT_KOD]]))</f>
        <v>10</v>
      </c>
      <c r="L1258">
        <v>0</v>
      </c>
      <c r="M1258">
        <f>IF((DST_123_ÜRETİM_İHTİYAÇ_RAPORU_BURAK_YENI1309[[#This Row],[SATINALMA]]*DST_123_ÜRETİM_İHTİYAÇ_RAPORU_BURAK_YENI1309[[#This Row],[BIRIM_FIYATLAR]])&lt;1,VALUE("0"),DST_123_ÜRETİM_İHTİYAÇ_RAPORU_BURAK_YENI1309[[#This Row],[SATINALMA]]*DST_123_ÜRETİM_İHTİYAÇ_RAPORU_BURAK_YENI1309[[#This Row],[BIRIM_FIYATLAR]])</f>
        <v>156184.20000000001</v>
      </c>
      <c r="N1258">
        <v>15618.42</v>
      </c>
      <c r="O1258" t="s">
        <v>215</v>
      </c>
      <c r="P1258">
        <v>15618.42</v>
      </c>
      <c r="Q1258" t="s">
        <v>177</v>
      </c>
    </row>
    <row r="1259" spans="1:17" x14ac:dyDescent="0.25">
      <c r="A1259" t="s">
        <v>1060</v>
      </c>
      <c r="B1259" t="s">
        <v>1061</v>
      </c>
      <c r="C1259" t="s">
        <v>175</v>
      </c>
      <c r="D1259" t="s">
        <v>307</v>
      </c>
      <c r="E1259" t="s">
        <v>308</v>
      </c>
      <c r="F1259">
        <v>3</v>
      </c>
      <c r="G1259" t="s">
        <v>176</v>
      </c>
      <c r="H1259">
        <v>0</v>
      </c>
      <c r="I1259">
        <v>13</v>
      </c>
      <c r="J1259" s="10">
        <v>1</v>
      </c>
      <c r="K1259" s="10">
        <f>SUMIFS(F:F,D:D,DST_123_ÜRETİM_İHTİYAÇ_RAPORU_BURAK_YENI1309[[#This Row],[ALT_KOD]])-(SUMIFS(H:H,D:D,DST_123_ÜRETİM_İHTİYAÇ_RAPORU_BURAK_YENI1309[[#This Row],[ALT_KOD]])+AVERAGEIFS(I:I,D:D,DST_123_ÜRETİM_İHTİYAÇ_RAPORU_BURAK_YENI1309[[#This Row],[ALT_KOD]])+AVERAGEIFS(L:L,D:D,DST_123_ÜRETİM_İHTİYAÇ_RAPORU_BURAK_YENI1309[[#This Row],[ALT_KOD]]))</f>
        <v>24</v>
      </c>
      <c r="L1259">
        <v>0</v>
      </c>
      <c r="M1259">
        <f>IF((DST_123_ÜRETİM_İHTİYAÇ_RAPORU_BURAK_YENI1309[[#This Row],[SATINALMA]]*DST_123_ÜRETİM_İHTİYAÇ_RAPORU_BURAK_YENI1309[[#This Row],[BIRIM_FIYATLAR]])&lt;1,VALUE("0"),DST_123_ÜRETİM_İHTİYAÇ_RAPORU_BURAK_YENI1309[[#This Row],[SATINALMA]]*DST_123_ÜRETİM_İHTİYAÇ_RAPORU_BURAK_YENI1309[[#This Row],[BIRIM_FIYATLAR]])</f>
        <v>1570.08</v>
      </c>
      <c r="N1259">
        <v>65.42</v>
      </c>
      <c r="O1259" t="s">
        <v>628</v>
      </c>
      <c r="P1259">
        <v>196.26</v>
      </c>
      <c r="Q1259" t="s">
        <v>178</v>
      </c>
    </row>
    <row r="1260" spans="1:17" x14ac:dyDescent="0.25">
      <c r="A1260" t="s">
        <v>1057</v>
      </c>
      <c r="B1260" t="s">
        <v>1058</v>
      </c>
      <c r="C1260" t="s">
        <v>175</v>
      </c>
      <c r="D1260" t="s">
        <v>307</v>
      </c>
      <c r="E1260" t="s">
        <v>308</v>
      </c>
      <c r="F1260">
        <v>2</v>
      </c>
      <c r="G1260" t="s">
        <v>176</v>
      </c>
      <c r="H1260">
        <v>0</v>
      </c>
      <c r="I1260">
        <v>13</v>
      </c>
      <c r="J1260" s="10">
        <v>1</v>
      </c>
      <c r="K1260" s="10">
        <f>SUMIFS(F:F,D:D,DST_123_ÜRETİM_İHTİYAÇ_RAPORU_BURAK_YENI1309[[#This Row],[ALT_KOD]])-(SUMIFS(H:H,D:D,DST_123_ÜRETİM_İHTİYAÇ_RAPORU_BURAK_YENI1309[[#This Row],[ALT_KOD]])+AVERAGEIFS(I:I,D:D,DST_123_ÜRETİM_İHTİYAÇ_RAPORU_BURAK_YENI1309[[#This Row],[ALT_KOD]])+AVERAGEIFS(L:L,D:D,DST_123_ÜRETİM_İHTİYAÇ_RAPORU_BURAK_YENI1309[[#This Row],[ALT_KOD]]))</f>
        <v>24</v>
      </c>
      <c r="L1260">
        <v>0</v>
      </c>
      <c r="M1260">
        <f>IF((DST_123_ÜRETİM_İHTİYAÇ_RAPORU_BURAK_YENI1309[[#This Row],[SATINALMA]]*DST_123_ÜRETİM_İHTİYAÇ_RAPORU_BURAK_YENI1309[[#This Row],[BIRIM_FIYATLAR]])&lt;1,VALUE("0"),DST_123_ÜRETİM_İHTİYAÇ_RAPORU_BURAK_YENI1309[[#This Row],[SATINALMA]]*DST_123_ÜRETİM_İHTİYAÇ_RAPORU_BURAK_YENI1309[[#This Row],[BIRIM_FIYATLAR]])</f>
        <v>1570.08</v>
      </c>
      <c r="N1260">
        <v>65.42</v>
      </c>
      <c r="O1260" t="s">
        <v>628</v>
      </c>
      <c r="P1260">
        <v>130.84</v>
      </c>
      <c r="Q1260" t="s">
        <v>178</v>
      </c>
    </row>
    <row r="1261" spans="1:17" x14ac:dyDescent="0.25">
      <c r="A1261" t="s">
        <v>1100</v>
      </c>
      <c r="B1261" t="s">
        <v>1058</v>
      </c>
      <c r="C1261" t="s">
        <v>175</v>
      </c>
      <c r="D1261" t="s">
        <v>307</v>
      </c>
      <c r="E1261" t="s">
        <v>308</v>
      </c>
      <c r="F1261">
        <v>2</v>
      </c>
      <c r="G1261" t="s">
        <v>176</v>
      </c>
      <c r="H1261">
        <v>0</v>
      </c>
      <c r="I1261">
        <v>13</v>
      </c>
      <c r="J1261" s="10">
        <v>1</v>
      </c>
      <c r="K1261" s="10">
        <f>SUMIFS(F:F,D:D,DST_123_ÜRETİM_İHTİYAÇ_RAPORU_BURAK_YENI1309[[#This Row],[ALT_KOD]])-(SUMIFS(H:H,D:D,DST_123_ÜRETİM_İHTİYAÇ_RAPORU_BURAK_YENI1309[[#This Row],[ALT_KOD]])+AVERAGEIFS(I:I,D:D,DST_123_ÜRETİM_İHTİYAÇ_RAPORU_BURAK_YENI1309[[#This Row],[ALT_KOD]])+AVERAGEIFS(L:L,D:D,DST_123_ÜRETİM_İHTİYAÇ_RAPORU_BURAK_YENI1309[[#This Row],[ALT_KOD]]))</f>
        <v>24</v>
      </c>
      <c r="L1261">
        <v>0</v>
      </c>
      <c r="M1261">
        <f>IF((DST_123_ÜRETİM_İHTİYAÇ_RAPORU_BURAK_YENI1309[[#This Row],[SATINALMA]]*DST_123_ÜRETİM_İHTİYAÇ_RAPORU_BURAK_YENI1309[[#This Row],[BIRIM_FIYATLAR]])&lt;1,VALUE("0"),DST_123_ÜRETİM_İHTİYAÇ_RAPORU_BURAK_YENI1309[[#This Row],[SATINALMA]]*DST_123_ÜRETİM_İHTİYAÇ_RAPORU_BURAK_YENI1309[[#This Row],[BIRIM_FIYATLAR]])</f>
        <v>1570.08</v>
      </c>
      <c r="N1261">
        <v>65.42</v>
      </c>
      <c r="O1261" t="s">
        <v>628</v>
      </c>
      <c r="P1261">
        <v>130.84</v>
      </c>
      <c r="Q1261" t="s">
        <v>178</v>
      </c>
    </row>
    <row r="1262" spans="1:17" x14ac:dyDescent="0.25">
      <c r="A1262" t="s">
        <v>1144</v>
      </c>
      <c r="B1262" t="s">
        <v>1145</v>
      </c>
      <c r="C1262" t="s">
        <v>175</v>
      </c>
      <c r="D1262" t="s">
        <v>84</v>
      </c>
      <c r="E1262" t="s">
        <v>85</v>
      </c>
      <c r="F1262">
        <v>2</v>
      </c>
      <c r="G1262" t="s">
        <v>176</v>
      </c>
      <c r="H1262">
        <v>0</v>
      </c>
      <c r="I1262">
        <v>40</v>
      </c>
      <c r="J1262" s="10">
        <v>16</v>
      </c>
      <c r="K1262" s="10">
        <f>SUMIFS(F:F,D:D,DST_123_ÜRETİM_İHTİYAÇ_RAPORU_BURAK_YENI1309[[#This Row],[ALT_KOD]])-(SUMIFS(H:H,D:D,DST_123_ÜRETİM_İHTİYAÇ_RAPORU_BURAK_YENI1309[[#This Row],[ALT_KOD]])+AVERAGEIFS(I:I,D:D,DST_123_ÜRETİM_İHTİYAÇ_RAPORU_BURAK_YENI1309[[#This Row],[ALT_KOD]])+AVERAGEIFS(L:L,D:D,DST_123_ÜRETİM_İHTİYAÇ_RAPORU_BURAK_YENI1309[[#This Row],[ALT_KOD]]))</f>
        <v>-18</v>
      </c>
      <c r="L1262">
        <v>0</v>
      </c>
      <c r="M1262">
        <f>IF((DST_123_ÜRETİM_İHTİYAÇ_RAPORU_BURAK_YENI1309[[#This Row],[SATINALMA]]*DST_123_ÜRETİM_İHTİYAÇ_RAPORU_BURAK_YENI1309[[#This Row],[BIRIM_FIYATLAR]])&lt;1,VALUE("0"),DST_123_ÜRETİM_İHTİYAÇ_RAPORU_BURAK_YENI1309[[#This Row],[SATINALMA]]*DST_123_ÜRETİM_İHTİYAÇ_RAPORU_BURAK_YENI1309[[#This Row],[BIRIM_FIYATLAR]])</f>
        <v>0</v>
      </c>
      <c r="N1262">
        <v>375</v>
      </c>
      <c r="O1262" t="s">
        <v>247</v>
      </c>
      <c r="P1262">
        <v>750</v>
      </c>
      <c r="Q1262" t="s">
        <v>177</v>
      </c>
    </row>
    <row r="1263" spans="1:17" x14ac:dyDescent="0.25">
      <c r="A1263" t="s">
        <v>1146</v>
      </c>
      <c r="B1263" t="s">
        <v>1145</v>
      </c>
      <c r="C1263" t="s">
        <v>175</v>
      </c>
      <c r="D1263" t="s">
        <v>84</v>
      </c>
      <c r="E1263" t="s">
        <v>85</v>
      </c>
      <c r="F1263">
        <v>2</v>
      </c>
      <c r="G1263" t="s">
        <v>176</v>
      </c>
      <c r="H1263">
        <v>0</v>
      </c>
      <c r="I1263">
        <v>40</v>
      </c>
      <c r="J1263" s="10">
        <v>16</v>
      </c>
      <c r="K1263" s="10">
        <f>SUMIFS(F:F,D:D,DST_123_ÜRETİM_İHTİYAÇ_RAPORU_BURAK_YENI1309[[#This Row],[ALT_KOD]])-(SUMIFS(H:H,D:D,DST_123_ÜRETİM_İHTİYAÇ_RAPORU_BURAK_YENI1309[[#This Row],[ALT_KOD]])+AVERAGEIFS(I:I,D:D,DST_123_ÜRETİM_İHTİYAÇ_RAPORU_BURAK_YENI1309[[#This Row],[ALT_KOD]])+AVERAGEIFS(L:L,D:D,DST_123_ÜRETİM_İHTİYAÇ_RAPORU_BURAK_YENI1309[[#This Row],[ALT_KOD]]))</f>
        <v>-18</v>
      </c>
      <c r="L1263">
        <v>0</v>
      </c>
      <c r="M1263">
        <f>IF((DST_123_ÜRETİM_İHTİYAÇ_RAPORU_BURAK_YENI1309[[#This Row],[SATINALMA]]*DST_123_ÜRETİM_İHTİYAÇ_RAPORU_BURAK_YENI1309[[#This Row],[BIRIM_FIYATLAR]])&lt;1,VALUE("0"),DST_123_ÜRETİM_İHTİYAÇ_RAPORU_BURAK_YENI1309[[#This Row],[SATINALMA]]*DST_123_ÜRETİM_İHTİYAÇ_RAPORU_BURAK_YENI1309[[#This Row],[BIRIM_FIYATLAR]])</f>
        <v>0</v>
      </c>
      <c r="N1263">
        <v>375</v>
      </c>
      <c r="O1263" t="s">
        <v>247</v>
      </c>
      <c r="P1263">
        <v>750</v>
      </c>
      <c r="Q1263" t="s">
        <v>177</v>
      </c>
    </row>
    <row r="1264" spans="1:17" x14ac:dyDescent="0.25">
      <c r="A1264" t="s">
        <v>1149</v>
      </c>
      <c r="B1264" t="s">
        <v>1145</v>
      </c>
      <c r="C1264" t="s">
        <v>175</v>
      </c>
      <c r="D1264" t="s">
        <v>198</v>
      </c>
      <c r="E1264" t="s">
        <v>199</v>
      </c>
      <c r="F1264">
        <v>1</v>
      </c>
      <c r="G1264" t="s">
        <v>176</v>
      </c>
      <c r="H1264">
        <v>0</v>
      </c>
      <c r="I1264">
        <v>1</v>
      </c>
      <c r="J1264" s="10">
        <v>8</v>
      </c>
      <c r="K1264" s="10">
        <f>SUMIFS(F:F,D:D,DST_123_ÜRETİM_İHTİYAÇ_RAPORU_BURAK_YENI1309[[#This Row],[ALT_KOD]])-(SUMIFS(H:H,D:D,DST_123_ÜRETİM_İHTİYAÇ_RAPORU_BURAK_YENI1309[[#This Row],[ALT_KOD]])+AVERAGEIFS(I:I,D:D,DST_123_ÜRETİM_İHTİYAÇ_RAPORU_BURAK_YENI1309[[#This Row],[ALT_KOD]])+AVERAGEIFS(L:L,D:D,DST_123_ÜRETİM_İHTİYAÇ_RAPORU_BURAK_YENI1309[[#This Row],[ALT_KOD]]))</f>
        <v>10</v>
      </c>
      <c r="L1264">
        <v>0</v>
      </c>
      <c r="M1264">
        <f>IF((DST_123_ÜRETİM_İHTİYAÇ_RAPORU_BURAK_YENI1309[[#This Row],[SATINALMA]]*DST_123_ÜRETİM_İHTİYAÇ_RAPORU_BURAK_YENI1309[[#This Row],[BIRIM_FIYATLAR]])&lt;1,VALUE("0"),DST_123_ÜRETİM_İHTİYAÇ_RAPORU_BURAK_YENI1309[[#This Row],[SATINALMA]]*DST_123_ÜRETİM_İHTİYAÇ_RAPORU_BURAK_YENI1309[[#This Row],[BIRIM_FIYATLAR]])</f>
        <v>156184.20000000001</v>
      </c>
      <c r="N1264">
        <v>15618.42</v>
      </c>
      <c r="O1264" t="s">
        <v>215</v>
      </c>
      <c r="P1264">
        <v>15618.42</v>
      </c>
      <c r="Q1264" t="s">
        <v>177</v>
      </c>
    </row>
    <row r="1265" spans="1:17" x14ac:dyDescent="0.25">
      <c r="A1265" t="s">
        <v>1150</v>
      </c>
      <c r="B1265" t="s">
        <v>1145</v>
      </c>
      <c r="C1265" t="s">
        <v>175</v>
      </c>
      <c r="D1265" t="s">
        <v>307</v>
      </c>
      <c r="E1265" t="s">
        <v>308</v>
      </c>
      <c r="F1265">
        <v>1</v>
      </c>
      <c r="G1265" t="s">
        <v>176</v>
      </c>
      <c r="H1265">
        <v>0</v>
      </c>
      <c r="I1265">
        <v>13</v>
      </c>
      <c r="J1265" s="10">
        <v>1</v>
      </c>
      <c r="K1265" s="10">
        <f>SUMIFS(F:F,D:D,DST_123_ÜRETİM_İHTİYAÇ_RAPORU_BURAK_YENI1309[[#This Row],[ALT_KOD]])-(SUMIFS(H:H,D:D,DST_123_ÜRETİM_İHTİYAÇ_RAPORU_BURAK_YENI1309[[#This Row],[ALT_KOD]])+AVERAGEIFS(I:I,D:D,DST_123_ÜRETİM_İHTİYAÇ_RAPORU_BURAK_YENI1309[[#This Row],[ALT_KOD]])+AVERAGEIFS(L:L,D:D,DST_123_ÜRETİM_İHTİYAÇ_RAPORU_BURAK_YENI1309[[#This Row],[ALT_KOD]]))</f>
        <v>24</v>
      </c>
      <c r="L1265">
        <v>0</v>
      </c>
      <c r="M1265">
        <f>IF((DST_123_ÜRETİM_İHTİYAÇ_RAPORU_BURAK_YENI1309[[#This Row],[SATINALMA]]*DST_123_ÜRETİM_İHTİYAÇ_RAPORU_BURAK_YENI1309[[#This Row],[BIRIM_FIYATLAR]])&lt;1,VALUE("0"),DST_123_ÜRETİM_İHTİYAÇ_RAPORU_BURAK_YENI1309[[#This Row],[SATINALMA]]*DST_123_ÜRETİM_İHTİYAÇ_RAPORU_BURAK_YENI1309[[#This Row],[BIRIM_FIYATLAR]])</f>
        <v>1570.08</v>
      </c>
      <c r="N1265">
        <v>65.42</v>
      </c>
      <c r="O1265" t="s">
        <v>628</v>
      </c>
      <c r="P1265">
        <v>65.42</v>
      </c>
      <c r="Q1265" t="s">
        <v>178</v>
      </c>
    </row>
    <row r="1266" spans="1:17" x14ac:dyDescent="0.25">
      <c r="A1266" t="s">
        <v>1097</v>
      </c>
      <c r="B1266" t="s">
        <v>1055</v>
      </c>
      <c r="C1266" t="s">
        <v>175</v>
      </c>
      <c r="D1266" t="s">
        <v>84</v>
      </c>
      <c r="E1266" t="s">
        <v>85</v>
      </c>
      <c r="F1266">
        <v>2</v>
      </c>
      <c r="G1266" t="s">
        <v>176</v>
      </c>
      <c r="H1266">
        <v>2</v>
      </c>
      <c r="I1266">
        <v>40</v>
      </c>
      <c r="J1266" s="10">
        <v>16</v>
      </c>
      <c r="K1266" s="10">
        <f>SUMIFS(F:F,D:D,DST_123_ÜRETİM_İHTİYAÇ_RAPORU_BURAK_YENI1309[[#This Row],[ALT_KOD]])-(SUMIFS(H:H,D:D,DST_123_ÜRETİM_İHTİYAÇ_RAPORU_BURAK_YENI1309[[#This Row],[ALT_KOD]])+AVERAGEIFS(I:I,D:D,DST_123_ÜRETİM_İHTİYAÇ_RAPORU_BURAK_YENI1309[[#This Row],[ALT_KOD]])+AVERAGEIFS(L:L,D:D,DST_123_ÜRETİM_İHTİYAÇ_RAPORU_BURAK_YENI1309[[#This Row],[ALT_KOD]]))</f>
        <v>-18</v>
      </c>
      <c r="L1266">
        <v>0</v>
      </c>
      <c r="M1266">
        <f>IF((DST_123_ÜRETİM_İHTİYAÇ_RAPORU_BURAK_YENI1309[[#This Row],[SATINALMA]]*DST_123_ÜRETİM_İHTİYAÇ_RAPORU_BURAK_YENI1309[[#This Row],[BIRIM_FIYATLAR]])&lt;1,VALUE("0"),DST_123_ÜRETİM_İHTİYAÇ_RAPORU_BURAK_YENI1309[[#This Row],[SATINALMA]]*DST_123_ÜRETİM_İHTİYAÇ_RAPORU_BURAK_YENI1309[[#This Row],[BIRIM_FIYATLAR]])</f>
        <v>0</v>
      </c>
      <c r="N1266">
        <v>375</v>
      </c>
      <c r="O1266" t="s">
        <v>247</v>
      </c>
      <c r="P1266">
        <v>750</v>
      </c>
      <c r="Q1266" t="s">
        <v>177</v>
      </c>
    </row>
    <row r="1267" spans="1:17" x14ac:dyDescent="0.25">
      <c r="A1267" t="s">
        <v>1149</v>
      </c>
      <c r="B1267" t="s">
        <v>1145</v>
      </c>
      <c r="C1267" t="s">
        <v>175</v>
      </c>
      <c r="D1267" t="s">
        <v>84</v>
      </c>
      <c r="E1267" t="s">
        <v>85</v>
      </c>
      <c r="F1267">
        <v>2</v>
      </c>
      <c r="G1267" t="s">
        <v>176</v>
      </c>
      <c r="H1267">
        <v>0</v>
      </c>
      <c r="I1267">
        <v>40</v>
      </c>
      <c r="J1267" s="10">
        <v>16</v>
      </c>
      <c r="K1267" s="10">
        <f>SUMIFS(F:F,D:D,DST_123_ÜRETİM_İHTİYAÇ_RAPORU_BURAK_YENI1309[[#This Row],[ALT_KOD]])-(SUMIFS(H:H,D:D,DST_123_ÜRETİM_İHTİYAÇ_RAPORU_BURAK_YENI1309[[#This Row],[ALT_KOD]])+AVERAGEIFS(I:I,D:D,DST_123_ÜRETİM_İHTİYAÇ_RAPORU_BURAK_YENI1309[[#This Row],[ALT_KOD]])+AVERAGEIFS(L:L,D:D,DST_123_ÜRETİM_İHTİYAÇ_RAPORU_BURAK_YENI1309[[#This Row],[ALT_KOD]]))</f>
        <v>-18</v>
      </c>
      <c r="L1267">
        <v>0</v>
      </c>
      <c r="M1267">
        <f>IF((DST_123_ÜRETİM_İHTİYAÇ_RAPORU_BURAK_YENI1309[[#This Row],[SATINALMA]]*DST_123_ÜRETİM_İHTİYAÇ_RAPORU_BURAK_YENI1309[[#This Row],[BIRIM_FIYATLAR]])&lt;1,VALUE("0"),DST_123_ÜRETİM_İHTİYAÇ_RAPORU_BURAK_YENI1309[[#This Row],[SATINALMA]]*DST_123_ÜRETİM_İHTİYAÇ_RAPORU_BURAK_YENI1309[[#This Row],[BIRIM_FIYATLAR]])</f>
        <v>0</v>
      </c>
      <c r="N1267">
        <v>375</v>
      </c>
      <c r="O1267" t="s">
        <v>247</v>
      </c>
      <c r="P1267">
        <v>750</v>
      </c>
      <c r="Q1267" t="s">
        <v>177</v>
      </c>
    </row>
    <row r="1268" spans="1:17" x14ac:dyDescent="0.25">
      <c r="A1268" t="s">
        <v>1196</v>
      </c>
      <c r="B1268" t="s">
        <v>1197</v>
      </c>
      <c r="C1268" t="s">
        <v>175</v>
      </c>
      <c r="D1268" t="s">
        <v>1225</v>
      </c>
      <c r="E1268" t="s">
        <v>1226</v>
      </c>
      <c r="F1268">
        <v>4</v>
      </c>
      <c r="G1268" t="s">
        <v>176</v>
      </c>
      <c r="H1268">
        <v>0</v>
      </c>
      <c r="I1268">
        <v>0</v>
      </c>
      <c r="J1268" s="10">
        <v>0</v>
      </c>
      <c r="K1268" s="10">
        <f>SUMIFS(F:F,D:D,DST_123_ÜRETİM_İHTİYAÇ_RAPORU_BURAK_YENI1309[[#This Row],[ALT_KOD]])-(SUMIFS(H:H,D:D,DST_123_ÜRETİM_İHTİYAÇ_RAPORU_BURAK_YENI1309[[#This Row],[ALT_KOD]])+AVERAGEIFS(I:I,D:D,DST_123_ÜRETİM_İHTİYAÇ_RAPORU_BURAK_YENI1309[[#This Row],[ALT_KOD]])+AVERAGEIFS(L:L,D:D,DST_123_ÜRETİM_İHTİYAÇ_RAPORU_BURAK_YENI1309[[#This Row],[ALT_KOD]]))</f>
        <v>4</v>
      </c>
      <c r="L1268">
        <v>0</v>
      </c>
      <c r="M1268">
        <f>IF((DST_123_ÜRETİM_İHTİYAÇ_RAPORU_BURAK_YENI1309[[#This Row],[SATINALMA]]*DST_123_ÜRETİM_İHTİYAÇ_RAPORU_BURAK_YENI1309[[#This Row],[BIRIM_FIYATLAR]])&lt;1,VALUE("0"),DST_123_ÜRETİM_İHTİYAÇ_RAPORU_BURAK_YENI1309[[#This Row],[SATINALMA]]*DST_123_ÜRETİM_İHTİYAÇ_RAPORU_BURAK_YENI1309[[#This Row],[BIRIM_FIYATLAR]])</f>
        <v>14357.64</v>
      </c>
      <c r="N1268">
        <v>3589.41</v>
      </c>
      <c r="O1268" t="s">
        <v>634</v>
      </c>
      <c r="P1268">
        <v>14357.64</v>
      </c>
      <c r="Q1268" t="s">
        <v>177</v>
      </c>
    </row>
    <row r="1269" spans="1:17" x14ac:dyDescent="0.25">
      <c r="A1269" t="s">
        <v>1057</v>
      </c>
      <c r="B1269" t="s">
        <v>1058</v>
      </c>
      <c r="C1269" t="s">
        <v>175</v>
      </c>
      <c r="D1269" t="s">
        <v>890</v>
      </c>
      <c r="E1269" t="s">
        <v>891</v>
      </c>
      <c r="F1269">
        <v>4</v>
      </c>
      <c r="G1269" t="s">
        <v>176</v>
      </c>
      <c r="H1269">
        <v>0</v>
      </c>
      <c r="I1269">
        <v>634</v>
      </c>
      <c r="J1269" s="10">
        <v>0</v>
      </c>
      <c r="K1269" s="10">
        <f>SUMIFS(F:F,D:D,DST_123_ÜRETİM_İHTİYAÇ_RAPORU_BURAK_YENI1309[[#This Row],[ALT_KOD]])-(SUMIFS(H:H,D:D,DST_123_ÜRETİM_İHTİYAÇ_RAPORU_BURAK_YENI1309[[#This Row],[ALT_KOD]])+AVERAGEIFS(I:I,D:D,DST_123_ÜRETİM_İHTİYAÇ_RAPORU_BURAK_YENI1309[[#This Row],[ALT_KOD]])+AVERAGEIFS(L:L,D:D,DST_123_ÜRETİM_İHTİYAÇ_RAPORU_BURAK_YENI1309[[#This Row],[ALT_KOD]]))</f>
        <v>-618</v>
      </c>
      <c r="L1269">
        <v>0</v>
      </c>
      <c r="M1269">
        <f>IF((DST_123_ÜRETİM_İHTİYAÇ_RAPORU_BURAK_YENI1309[[#This Row],[SATINALMA]]*DST_123_ÜRETİM_İHTİYAÇ_RAPORU_BURAK_YENI1309[[#This Row],[BIRIM_FIYATLAR]])&lt;1,VALUE("0"),DST_123_ÜRETİM_İHTİYAÇ_RAPORU_BURAK_YENI1309[[#This Row],[SATINALMA]]*DST_123_ÜRETİM_İHTİYAÇ_RAPORU_BURAK_YENI1309[[#This Row],[BIRIM_FIYATLAR]])</f>
        <v>0</v>
      </c>
      <c r="N1269">
        <v>1</v>
      </c>
      <c r="O1269" t="s">
        <v>240</v>
      </c>
      <c r="P1269">
        <v>4</v>
      </c>
      <c r="Q1269" t="s">
        <v>180</v>
      </c>
    </row>
    <row r="1270" spans="1:17" x14ac:dyDescent="0.25">
      <c r="A1270" t="s">
        <v>1100</v>
      </c>
      <c r="B1270" t="s">
        <v>1058</v>
      </c>
      <c r="C1270" t="s">
        <v>175</v>
      </c>
      <c r="D1270" t="s">
        <v>890</v>
      </c>
      <c r="E1270" t="s">
        <v>891</v>
      </c>
      <c r="F1270">
        <v>8</v>
      </c>
      <c r="G1270" t="s">
        <v>176</v>
      </c>
      <c r="H1270">
        <v>0</v>
      </c>
      <c r="I1270">
        <v>634</v>
      </c>
      <c r="J1270" s="10">
        <v>0</v>
      </c>
      <c r="K1270" s="10">
        <f>SUMIFS(F:F,D:D,DST_123_ÜRETİM_İHTİYAÇ_RAPORU_BURAK_YENI1309[[#This Row],[ALT_KOD]])-(SUMIFS(H:H,D:D,DST_123_ÜRETİM_İHTİYAÇ_RAPORU_BURAK_YENI1309[[#This Row],[ALT_KOD]])+AVERAGEIFS(I:I,D:D,DST_123_ÜRETİM_İHTİYAÇ_RAPORU_BURAK_YENI1309[[#This Row],[ALT_KOD]])+AVERAGEIFS(L:L,D:D,DST_123_ÜRETİM_İHTİYAÇ_RAPORU_BURAK_YENI1309[[#This Row],[ALT_KOD]]))</f>
        <v>-618</v>
      </c>
      <c r="L1270">
        <v>0</v>
      </c>
      <c r="M1270">
        <f>IF((DST_123_ÜRETİM_İHTİYAÇ_RAPORU_BURAK_YENI1309[[#This Row],[SATINALMA]]*DST_123_ÜRETİM_İHTİYAÇ_RAPORU_BURAK_YENI1309[[#This Row],[BIRIM_FIYATLAR]])&lt;1,VALUE("0"),DST_123_ÜRETİM_İHTİYAÇ_RAPORU_BURAK_YENI1309[[#This Row],[SATINALMA]]*DST_123_ÜRETİM_İHTİYAÇ_RAPORU_BURAK_YENI1309[[#This Row],[BIRIM_FIYATLAR]])</f>
        <v>0</v>
      </c>
      <c r="N1270">
        <v>1</v>
      </c>
      <c r="O1270" t="s">
        <v>240</v>
      </c>
      <c r="P1270">
        <v>8</v>
      </c>
      <c r="Q1270" t="s">
        <v>180</v>
      </c>
    </row>
    <row r="1271" spans="1:17" x14ac:dyDescent="0.25">
      <c r="A1271" t="s">
        <v>1057</v>
      </c>
      <c r="B1271" t="s">
        <v>1058</v>
      </c>
      <c r="C1271" t="s">
        <v>175</v>
      </c>
      <c r="D1271" t="s">
        <v>357</v>
      </c>
      <c r="E1271" t="s">
        <v>358</v>
      </c>
      <c r="F1271">
        <v>12</v>
      </c>
      <c r="G1271" t="s">
        <v>176</v>
      </c>
      <c r="H1271">
        <v>0</v>
      </c>
      <c r="I1271">
        <v>500</v>
      </c>
      <c r="J1271" s="10">
        <v>490</v>
      </c>
      <c r="K1271" s="10">
        <f>SUMIFS(F:F,D:D,DST_123_ÜRETİM_İHTİYAÇ_RAPORU_BURAK_YENI1309[[#This Row],[ALT_KOD]])-(SUMIFS(H:H,D:D,DST_123_ÜRETİM_İHTİYAÇ_RAPORU_BURAK_YENI1309[[#This Row],[ALT_KOD]])+AVERAGEIFS(I:I,D:D,DST_123_ÜRETİM_İHTİYAÇ_RAPORU_BURAK_YENI1309[[#This Row],[ALT_KOD]])+AVERAGEIFS(L:L,D:D,DST_123_ÜRETİM_İHTİYAÇ_RAPORU_BURAK_YENI1309[[#This Row],[ALT_KOD]]))</f>
        <v>-294</v>
      </c>
      <c r="L1271">
        <v>0</v>
      </c>
      <c r="M1271">
        <f>IF((DST_123_ÜRETİM_İHTİYAÇ_RAPORU_BURAK_YENI1309[[#This Row],[SATINALMA]]*DST_123_ÜRETİM_İHTİYAÇ_RAPORU_BURAK_YENI1309[[#This Row],[BIRIM_FIYATLAR]])&lt;1,VALUE("0"),DST_123_ÜRETİM_İHTİYAÇ_RAPORU_BURAK_YENI1309[[#This Row],[SATINALMA]]*DST_123_ÜRETİM_İHTİYAÇ_RAPORU_BURAK_YENI1309[[#This Row],[BIRIM_FIYATLAR]])</f>
        <v>0</v>
      </c>
      <c r="N1271">
        <v>1.6</v>
      </c>
      <c r="O1271" t="s">
        <v>240</v>
      </c>
      <c r="P1271">
        <v>19.200000000000003</v>
      </c>
      <c r="Q1271" t="s">
        <v>180</v>
      </c>
    </row>
    <row r="1272" spans="1:17" x14ac:dyDescent="0.25">
      <c r="A1272" t="s">
        <v>1100</v>
      </c>
      <c r="B1272" t="s">
        <v>1058</v>
      </c>
      <c r="C1272" t="s">
        <v>175</v>
      </c>
      <c r="D1272" t="s">
        <v>357</v>
      </c>
      <c r="E1272" t="s">
        <v>358</v>
      </c>
      <c r="F1272">
        <v>16</v>
      </c>
      <c r="G1272" t="s">
        <v>176</v>
      </c>
      <c r="H1272">
        <v>0</v>
      </c>
      <c r="I1272">
        <v>500</v>
      </c>
      <c r="J1272" s="10">
        <v>490</v>
      </c>
      <c r="K1272" s="10">
        <f>SUMIFS(F:F,D:D,DST_123_ÜRETİM_İHTİYAÇ_RAPORU_BURAK_YENI1309[[#This Row],[ALT_KOD]])-(SUMIFS(H:H,D:D,DST_123_ÜRETİM_İHTİYAÇ_RAPORU_BURAK_YENI1309[[#This Row],[ALT_KOD]])+AVERAGEIFS(I:I,D:D,DST_123_ÜRETİM_İHTİYAÇ_RAPORU_BURAK_YENI1309[[#This Row],[ALT_KOD]])+AVERAGEIFS(L:L,D:D,DST_123_ÜRETİM_İHTİYAÇ_RAPORU_BURAK_YENI1309[[#This Row],[ALT_KOD]]))</f>
        <v>-294</v>
      </c>
      <c r="L1272">
        <v>0</v>
      </c>
      <c r="M1272">
        <f>IF((DST_123_ÜRETİM_İHTİYAÇ_RAPORU_BURAK_YENI1309[[#This Row],[SATINALMA]]*DST_123_ÜRETİM_İHTİYAÇ_RAPORU_BURAK_YENI1309[[#This Row],[BIRIM_FIYATLAR]])&lt;1,VALUE("0"),DST_123_ÜRETİM_İHTİYAÇ_RAPORU_BURAK_YENI1309[[#This Row],[SATINALMA]]*DST_123_ÜRETİM_İHTİYAÇ_RAPORU_BURAK_YENI1309[[#This Row],[BIRIM_FIYATLAR]])</f>
        <v>0</v>
      </c>
      <c r="N1272">
        <v>1.6</v>
      </c>
      <c r="O1272" t="s">
        <v>240</v>
      </c>
      <c r="P1272">
        <v>25.6</v>
      </c>
      <c r="Q1272" t="s">
        <v>180</v>
      </c>
    </row>
    <row r="1273" spans="1:17" x14ac:dyDescent="0.25">
      <c r="A1273" t="s">
        <v>1147</v>
      </c>
      <c r="B1273" t="s">
        <v>1145</v>
      </c>
      <c r="C1273" t="s">
        <v>175</v>
      </c>
      <c r="D1273" t="s">
        <v>357</v>
      </c>
      <c r="E1273" t="s">
        <v>358</v>
      </c>
      <c r="F1273">
        <v>16</v>
      </c>
      <c r="G1273" t="s">
        <v>176</v>
      </c>
      <c r="H1273">
        <v>0</v>
      </c>
      <c r="I1273">
        <v>500</v>
      </c>
      <c r="J1273" s="10">
        <v>490</v>
      </c>
      <c r="K1273" s="10">
        <f>SUMIFS(F:F,D:D,DST_123_ÜRETİM_İHTİYAÇ_RAPORU_BURAK_YENI1309[[#This Row],[ALT_KOD]])-(SUMIFS(H:H,D:D,DST_123_ÜRETİM_İHTİYAÇ_RAPORU_BURAK_YENI1309[[#This Row],[ALT_KOD]])+AVERAGEIFS(I:I,D:D,DST_123_ÜRETİM_İHTİYAÇ_RAPORU_BURAK_YENI1309[[#This Row],[ALT_KOD]])+AVERAGEIFS(L:L,D:D,DST_123_ÜRETİM_İHTİYAÇ_RAPORU_BURAK_YENI1309[[#This Row],[ALT_KOD]]))</f>
        <v>-294</v>
      </c>
      <c r="L1273">
        <v>0</v>
      </c>
      <c r="M1273">
        <f>IF((DST_123_ÜRETİM_İHTİYAÇ_RAPORU_BURAK_YENI1309[[#This Row],[SATINALMA]]*DST_123_ÜRETİM_İHTİYAÇ_RAPORU_BURAK_YENI1309[[#This Row],[BIRIM_FIYATLAR]])&lt;1,VALUE("0"),DST_123_ÜRETİM_İHTİYAÇ_RAPORU_BURAK_YENI1309[[#This Row],[SATINALMA]]*DST_123_ÜRETİM_İHTİYAÇ_RAPORU_BURAK_YENI1309[[#This Row],[BIRIM_FIYATLAR]])</f>
        <v>0</v>
      </c>
      <c r="N1273">
        <v>1.6</v>
      </c>
      <c r="O1273" t="s">
        <v>240</v>
      </c>
      <c r="P1273">
        <v>25.6</v>
      </c>
      <c r="Q1273" t="s">
        <v>180</v>
      </c>
    </row>
    <row r="1274" spans="1:17" x14ac:dyDescent="0.25">
      <c r="A1274" t="s">
        <v>1148</v>
      </c>
      <c r="B1274" t="s">
        <v>1056</v>
      </c>
      <c r="C1274" t="s">
        <v>175</v>
      </c>
      <c r="D1274" t="s">
        <v>357</v>
      </c>
      <c r="E1274" t="s">
        <v>358</v>
      </c>
      <c r="F1274">
        <v>8</v>
      </c>
      <c r="G1274" t="s">
        <v>176</v>
      </c>
      <c r="H1274">
        <v>0</v>
      </c>
      <c r="I1274">
        <v>500</v>
      </c>
      <c r="J1274" s="10">
        <v>490</v>
      </c>
      <c r="K1274" s="10">
        <f>SUMIFS(F:F,D:D,DST_123_ÜRETİM_İHTİYAÇ_RAPORU_BURAK_YENI1309[[#This Row],[ALT_KOD]])-(SUMIFS(H:H,D:D,DST_123_ÜRETİM_İHTİYAÇ_RAPORU_BURAK_YENI1309[[#This Row],[ALT_KOD]])+AVERAGEIFS(I:I,D:D,DST_123_ÜRETİM_İHTİYAÇ_RAPORU_BURAK_YENI1309[[#This Row],[ALT_KOD]])+AVERAGEIFS(L:L,D:D,DST_123_ÜRETİM_İHTİYAÇ_RAPORU_BURAK_YENI1309[[#This Row],[ALT_KOD]]))</f>
        <v>-294</v>
      </c>
      <c r="L1274">
        <v>0</v>
      </c>
      <c r="M1274">
        <f>IF((DST_123_ÜRETİM_İHTİYAÇ_RAPORU_BURAK_YENI1309[[#This Row],[SATINALMA]]*DST_123_ÜRETİM_İHTİYAÇ_RAPORU_BURAK_YENI1309[[#This Row],[BIRIM_FIYATLAR]])&lt;1,VALUE("0"),DST_123_ÜRETİM_İHTİYAÇ_RAPORU_BURAK_YENI1309[[#This Row],[SATINALMA]]*DST_123_ÜRETİM_İHTİYAÇ_RAPORU_BURAK_YENI1309[[#This Row],[BIRIM_FIYATLAR]])</f>
        <v>0</v>
      </c>
      <c r="N1274">
        <v>1.6</v>
      </c>
      <c r="O1274" t="s">
        <v>240</v>
      </c>
      <c r="P1274">
        <v>12.8</v>
      </c>
      <c r="Q1274" t="s">
        <v>180</v>
      </c>
    </row>
    <row r="1275" spans="1:17" x14ac:dyDescent="0.25">
      <c r="A1275" t="s">
        <v>1101</v>
      </c>
      <c r="B1275" t="s">
        <v>1102</v>
      </c>
      <c r="C1275" t="s">
        <v>175</v>
      </c>
      <c r="D1275" t="s">
        <v>573</v>
      </c>
      <c r="E1275" t="s">
        <v>574</v>
      </c>
      <c r="F1275">
        <v>1</v>
      </c>
      <c r="G1275" t="s">
        <v>176</v>
      </c>
      <c r="H1275">
        <v>0</v>
      </c>
      <c r="I1275">
        <v>24</v>
      </c>
      <c r="J1275" s="10">
        <v>-3.5527136788005009E-14</v>
      </c>
      <c r="K1275" s="10">
        <f>SUMIFS(F:F,D:D,DST_123_ÜRETİM_İHTİYAÇ_RAPORU_BURAK_YENI1309[[#This Row],[ALT_KOD]])-(SUMIFS(H:H,D:D,DST_123_ÜRETİM_İHTİYAÇ_RAPORU_BURAK_YENI1309[[#This Row],[ALT_KOD]])+AVERAGEIFS(I:I,D:D,DST_123_ÜRETİM_İHTİYAÇ_RAPORU_BURAK_YENI1309[[#This Row],[ALT_KOD]])+AVERAGEIFS(L:L,D:D,DST_123_ÜRETİM_İHTİYAÇ_RAPORU_BURAK_YENI1309[[#This Row],[ALT_KOD]]))</f>
        <v>-7.600000000000005</v>
      </c>
      <c r="L1275">
        <v>0</v>
      </c>
      <c r="M1275">
        <f>IF((DST_123_ÜRETİM_İHTİYAÇ_RAPORU_BURAK_YENI1309[[#This Row],[SATINALMA]]*DST_123_ÜRETİM_İHTİYAÇ_RAPORU_BURAK_YENI1309[[#This Row],[BIRIM_FIYATLAR]])&lt;1,VALUE("0"),DST_123_ÜRETİM_İHTİYAÇ_RAPORU_BURAK_YENI1309[[#This Row],[SATINALMA]]*DST_123_ÜRETİM_İHTİYAÇ_RAPORU_BURAK_YENI1309[[#This Row],[BIRIM_FIYATLAR]])</f>
        <v>0</v>
      </c>
      <c r="N1275">
        <v>120</v>
      </c>
      <c r="O1275" t="s">
        <v>240</v>
      </c>
      <c r="P1275">
        <v>120</v>
      </c>
      <c r="Q1275" t="s">
        <v>183</v>
      </c>
    </row>
    <row r="1276" spans="1:17" x14ac:dyDescent="0.25">
      <c r="A1276" t="s">
        <v>1148</v>
      </c>
      <c r="B1276" t="s">
        <v>1056</v>
      </c>
      <c r="C1276" t="s">
        <v>175</v>
      </c>
      <c r="D1276" t="s">
        <v>201</v>
      </c>
      <c r="E1276" t="s">
        <v>225</v>
      </c>
      <c r="F1276">
        <v>3</v>
      </c>
      <c r="G1276" t="s">
        <v>176</v>
      </c>
      <c r="H1276">
        <v>0</v>
      </c>
      <c r="I1276">
        <v>65</v>
      </c>
      <c r="J1276" s="10">
        <v>31</v>
      </c>
      <c r="K1276" s="10">
        <f>SUMIFS(F:F,D:D,DST_123_ÜRETİM_İHTİYAÇ_RAPORU_BURAK_YENI1309[[#This Row],[ALT_KOD]])-(SUMIFS(H:H,D:D,DST_123_ÜRETİM_İHTİYAÇ_RAPORU_BURAK_YENI1309[[#This Row],[ALT_KOD]])+AVERAGEIFS(I:I,D:D,DST_123_ÜRETİM_İHTİYAÇ_RAPORU_BURAK_YENI1309[[#This Row],[ALT_KOD]])+AVERAGEIFS(L:L,D:D,DST_123_ÜRETİM_İHTİYAÇ_RAPORU_BURAK_YENI1309[[#This Row],[ALT_KOD]]))</f>
        <v>-31</v>
      </c>
      <c r="L1276">
        <v>0</v>
      </c>
      <c r="M1276">
        <f>IF((DST_123_ÜRETİM_İHTİYAÇ_RAPORU_BURAK_YENI1309[[#This Row],[SATINALMA]]*DST_123_ÜRETİM_İHTİYAÇ_RAPORU_BURAK_YENI1309[[#This Row],[BIRIM_FIYATLAR]])&lt;1,VALUE("0"),DST_123_ÜRETİM_İHTİYAÇ_RAPORU_BURAK_YENI1309[[#This Row],[SATINALMA]]*DST_123_ÜRETİM_İHTİYAÇ_RAPORU_BURAK_YENI1309[[#This Row],[BIRIM_FIYATLAR]])</f>
        <v>0</v>
      </c>
      <c r="N1276">
        <v>45.5</v>
      </c>
      <c r="O1276" t="s">
        <v>504</v>
      </c>
      <c r="P1276">
        <v>136.5</v>
      </c>
      <c r="Q1276" t="s">
        <v>221</v>
      </c>
    </row>
    <row r="1277" spans="1:17" x14ac:dyDescent="0.25">
      <c r="A1277" t="s">
        <v>1099</v>
      </c>
      <c r="B1277" t="s">
        <v>1055</v>
      </c>
      <c r="C1277" t="s">
        <v>175</v>
      </c>
      <c r="D1277" t="s">
        <v>357</v>
      </c>
      <c r="E1277" t="s">
        <v>358</v>
      </c>
      <c r="F1277">
        <v>4</v>
      </c>
      <c r="G1277" t="s">
        <v>176</v>
      </c>
      <c r="H1277">
        <v>0</v>
      </c>
      <c r="I1277">
        <v>500</v>
      </c>
      <c r="J1277" s="10">
        <v>490</v>
      </c>
      <c r="K1277" s="10">
        <f>SUMIFS(F:F,D:D,DST_123_ÜRETİM_İHTİYAÇ_RAPORU_BURAK_YENI1309[[#This Row],[ALT_KOD]])-(SUMIFS(H:H,D:D,DST_123_ÜRETİM_İHTİYAÇ_RAPORU_BURAK_YENI1309[[#This Row],[ALT_KOD]])+AVERAGEIFS(I:I,D:D,DST_123_ÜRETİM_İHTİYAÇ_RAPORU_BURAK_YENI1309[[#This Row],[ALT_KOD]])+AVERAGEIFS(L:L,D:D,DST_123_ÜRETİM_İHTİYAÇ_RAPORU_BURAK_YENI1309[[#This Row],[ALT_KOD]]))</f>
        <v>-294</v>
      </c>
      <c r="L1277">
        <v>0</v>
      </c>
      <c r="M1277">
        <f>IF((DST_123_ÜRETİM_İHTİYAÇ_RAPORU_BURAK_YENI1309[[#This Row],[SATINALMA]]*DST_123_ÜRETİM_İHTİYAÇ_RAPORU_BURAK_YENI1309[[#This Row],[BIRIM_FIYATLAR]])&lt;1,VALUE("0"),DST_123_ÜRETİM_İHTİYAÇ_RAPORU_BURAK_YENI1309[[#This Row],[SATINALMA]]*DST_123_ÜRETİM_İHTİYAÇ_RAPORU_BURAK_YENI1309[[#This Row],[BIRIM_FIYATLAR]])</f>
        <v>0</v>
      </c>
      <c r="N1277">
        <v>1.6</v>
      </c>
      <c r="O1277" t="s">
        <v>240</v>
      </c>
      <c r="P1277">
        <v>6.4</v>
      </c>
      <c r="Q1277" t="s">
        <v>180</v>
      </c>
    </row>
    <row r="1278" spans="1:17" x14ac:dyDescent="0.25">
      <c r="A1278" t="s">
        <v>1147</v>
      </c>
      <c r="B1278" t="s">
        <v>1145</v>
      </c>
      <c r="C1278" t="s">
        <v>175</v>
      </c>
      <c r="D1278" t="s">
        <v>819</v>
      </c>
      <c r="E1278" t="s">
        <v>820</v>
      </c>
      <c r="F1278">
        <v>5</v>
      </c>
      <c r="G1278" t="s">
        <v>176</v>
      </c>
      <c r="H1278">
        <v>0</v>
      </c>
      <c r="I1278">
        <v>15</v>
      </c>
      <c r="J1278" s="10">
        <v>10</v>
      </c>
      <c r="K1278" s="10">
        <f>SUMIFS(F:F,D:D,DST_123_ÜRETİM_İHTİYAÇ_RAPORU_BURAK_YENI1309[[#This Row],[ALT_KOD]])-(SUMIFS(H:H,D:D,DST_123_ÜRETİM_İHTİYAÇ_RAPORU_BURAK_YENI1309[[#This Row],[ALT_KOD]])+AVERAGEIFS(I:I,D:D,DST_123_ÜRETİM_İHTİYAÇ_RAPORU_BURAK_YENI1309[[#This Row],[ALT_KOD]])+AVERAGEIFS(L:L,D:D,DST_123_ÜRETİM_İHTİYAÇ_RAPORU_BURAK_YENI1309[[#This Row],[ALT_KOD]]))</f>
        <v>20</v>
      </c>
      <c r="L1278">
        <v>0</v>
      </c>
      <c r="M1278">
        <f>IF((DST_123_ÜRETİM_İHTİYAÇ_RAPORU_BURAK_YENI1309[[#This Row],[SATINALMA]]*DST_123_ÜRETİM_İHTİYAÇ_RAPORU_BURAK_YENI1309[[#This Row],[BIRIM_FIYATLAR]])&lt;1,VALUE("0"),DST_123_ÜRETİM_İHTİYAÇ_RAPORU_BURAK_YENI1309[[#This Row],[SATINALMA]]*DST_123_ÜRETİM_İHTİYAÇ_RAPORU_BURAK_YENI1309[[#This Row],[BIRIM_FIYATLAR]])</f>
        <v>3545.7999999999997</v>
      </c>
      <c r="N1278">
        <v>177.29</v>
      </c>
      <c r="O1278" t="s">
        <v>275</v>
      </c>
      <c r="P1278">
        <v>886.44999999999993</v>
      </c>
      <c r="Q1278" t="s">
        <v>180</v>
      </c>
    </row>
    <row r="1279" spans="1:17" x14ac:dyDescent="0.25">
      <c r="A1279" t="s">
        <v>1148</v>
      </c>
      <c r="B1279" t="s">
        <v>1056</v>
      </c>
      <c r="C1279" t="s">
        <v>175</v>
      </c>
      <c r="D1279" t="s">
        <v>1131</v>
      </c>
      <c r="E1279" t="s">
        <v>1132</v>
      </c>
      <c r="F1279">
        <v>1</v>
      </c>
      <c r="G1279" t="s">
        <v>176</v>
      </c>
      <c r="H1279">
        <v>0</v>
      </c>
      <c r="I1279">
        <v>0</v>
      </c>
      <c r="J1279" s="10">
        <v>0</v>
      </c>
      <c r="K1279" s="10">
        <f>SUMIFS(F:F,D:D,DST_123_ÜRETİM_İHTİYAÇ_RAPORU_BURAK_YENI1309[[#This Row],[ALT_KOD]])-(SUMIFS(H:H,D:D,DST_123_ÜRETİM_İHTİYAÇ_RAPORU_BURAK_YENI1309[[#This Row],[ALT_KOD]])+AVERAGEIFS(I:I,D:D,DST_123_ÜRETİM_İHTİYAÇ_RAPORU_BURAK_YENI1309[[#This Row],[ALT_KOD]])+AVERAGEIFS(L:L,D:D,DST_123_ÜRETİM_İHTİYAÇ_RAPORU_BURAK_YENI1309[[#This Row],[ALT_KOD]]))</f>
        <v>3</v>
      </c>
      <c r="L1279">
        <v>0</v>
      </c>
      <c r="M1279">
        <f>IF((DST_123_ÜRETİM_İHTİYAÇ_RAPORU_BURAK_YENI1309[[#This Row],[SATINALMA]]*DST_123_ÜRETİM_İHTİYAÇ_RAPORU_BURAK_YENI1309[[#This Row],[BIRIM_FIYATLAR]])&lt;1,VALUE("0"),DST_123_ÜRETİM_İHTİYAÇ_RAPORU_BURAK_YENI1309[[#This Row],[SATINALMA]]*DST_123_ÜRETİM_İHTİYAÇ_RAPORU_BURAK_YENI1309[[#This Row],[BIRIM_FIYATLAR]])</f>
        <v>40950.03</v>
      </c>
      <c r="N1279">
        <v>13650.01</v>
      </c>
      <c r="O1279" t="s">
        <v>227</v>
      </c>
      <c r="P1279">
        <v>13650.01</v>
      </c>
      <c r="Q1279" t="s">
        <v>221</v>
      </c>
    </row>
    <row r="1280" spans="1:17" x14ac:dyDescent="0.25">
      <c r="A1280" t="s">
        <v>1147</v>
      </c>
      <c r="B1280" t="s">
        <v>1145</v>
      </c>
      <c r="C1280" t="s">
        <v>175</v>
      </c>
      <c r="D1280" t="s">
        <v>201</v>
      </c>
      <c r="E1280" t="s">
        <v>225</v>
      </c>
      <c r="F1280">
        <v>3</v>
      </c>
      <c r="G1280" t="s">
        <v>176</v>
      </c>
      <c r="H1280">
        <v>0</v>
      </c>
      <c r="I1280">
        <v>65</v>
      </c>
      <c r="J1280" s="10">
        <v>31</v>
      </c>
      <c r="K1280" s="10">
        <f>SUMIFS(F:F,D:D,DST_123_ÜRETİM_İHTİYAÇ_RAPORU_BURAK_YENI1309[[#This Row],[ALT_KOD]])-(SUMIFS(H:H,D:D,DST_123_ÜRETİM_İHTİYAÇ_RAPORU_BURAK_YENI1309[[#This Row],[ALT_KOD]])+AVERAGEIFS(I:I,D:D,DST_123_ÜRETİM_İHTİYAÇ_RAPORU_BURAK_YENI1309[[#This Row],[ALT_KOD]])+AVERAGEIFS(L:L,D:D,DST_123_ÜRETİM_İHTİYAÇ_RAPORU_BURAK_YENI1309[[#This Row],[ALT_KOD]]))</f>
        <v>-31</v>
      </c>
      <c r="L1280">
        <v>0</v>
      </c>
      <c r="M1280">
        <f>IF((DST_123_ÜRETİM_İHTİYAÇ_RAPORU_BURAK_YENI1309[[#This Row],[SATINALMA]]*DST_123_ÜRETİM_İHTİYAÇ_RAPORU_BURAK_YENI1309[[#This Row],[BIRIM_FIYATLAR]])&lt;1,VALUE("0"),DST_123_ÜRETİM_İHTİYAÇ_RAPORU_BURAK_YENI1309[[#This Row],[SATINALMA]]*DST_123_ÜRETİM_İHTİYAÇ_RAPORU_BURAK_YENI1309[[#This Row],[BIRIM_FIYATLAR]])</f>
        <v>0</v>
      </c>
      <c r="N1280">
        <v>45.5</v>
      </c>
      <c r="O1280" t="s">
        <v>504</v>
      </c>
      <c r="P1280">
        <v>136.5</v>
      </c>
      <c r="Q1280" t="s">
        <v>221</v>
      </c>
    </row>
    <row r="1281" spans="1:17" x14ac:dyDescent="0.25">
      <c r="A1281" t="s">
        <v>1147</v>
      </c>
      <c r="B1281" t="s">
        <v>1145</v>
      </c>
      <c r="C1281" t="s">
        <v>175</v>
      </c>
      <c r="D1281" t="s">
        <v>573</v>
      </c>
      <c r="E1281" t="s">
        <v>574</v>
      </c>
      <c r="F1281">
        <v>1</v>
      </c>
      <c r="G1281" t="s">
        <v>176</v>
      </c>
      <c r="H1281">
        <v>0</v>
      </c>
      <c r="I1281">
        <v>24</v>
      </c>
      <c r="J1281" s="10">
        <v>-3.5527136788005009E-14</v>
      </c>
      <c r="K1281" s="10">
        <f>SUMIFS(F:F,D:D,DST_123_ÜRETİM_İHTİYAÇ_RAPORU_BURAK_YENI1309[[#This Row],[ALT_KOD]])-(SUMIFS(H:H,D:D,DST_123_ÜRETİM_İHTİYAÇ_RAPORU_BURAK_YENI1309[[#This Row],[ALT_KOD]])+AVERAGEIFS(I:I,D:D,DST_123_ÜRETİM_İHTİYAÇ_RAPORU_BURAK_YENI1309[[#This Row],[ALT_KOD]])+AVERAGEIFS(L:L,D:D,DST_123_ÜRETİM_İHTİYAÇ_RAPORU_BURAK_YENI1309[[#This Row],[ALT_KOD]]))</f>
        <v>-7.600000000000005</v>
      </c>
      <c r="L1281">
        <v>0</v>
      </c>
      <c r="M1281">
        <f>IF((DST_123_ÜRETİM_İHTİYAÇ_RAPORU_BURAK_YENI1309[[#This Row],[SATINALMA]]*DST_123_ÜRETİM_İHTİYAÇ_RAPORU_BURAK_YENI1309[[#This Row],[BIRIM_FIYATLAR]])&lt;1,VALUE("0"),DST_123_ÜRETİM_İHTİYAÇ_RAPORU_BURAK_YENI1309[[#This Row],[SATINALMA]]*DST_123_ÜRETİM_İHTİYAÇ_RAPORU_BURAK_YENI1309[[#This Row],[BIRIM_FIYATLAR]])</f>
        <v>0</v>
      </c>
      <c r="N1281">
        <v>120</v>
      </c>
      <c r="O1281" t="s">
        <v>240</v>
      </c>
      <c r="P1281">
        <v>120</v>
      </c>
      <c r="Q1281" t="s">
        <v>183</v>
      </c>
    </row>
    <row r="1282" spans="1:17" x14ac:dyDescent="0.25">
      <c r="A1282" t="s">
        <v>1060</v>
      </c>
      <c r="B1282" t="s">
        <v>1061</v>
      </c>
      <c r="C1282" t="s">
        <v>175</v>
      </c>
      <c r="D1282" t="s">
        <v>201</v>
      </c>
      <c r="E1282" t="s">
        <v>225</v>
      </c>
      <c r="F1282">
        <v>3</v>
      </c>
      <c r="G1282" t="s">
        <v>176</v>
      </c>
      <c r="H1282">
        <v>3</v>
      </c>
      <c r="I1282">
        <v>65</v>
      </c>
      <c r="J1282" s="10">
        <v>31</v>
      </c>
      <c r="K1282" s="10">
        <f>SUMIFS(F:F,D:D,DST_123_ÜRETİM_İHTİYAÇ_RAPORU_BURAK_YENI1309[[#This Row],[ALT_KOD]])-(SUMIFS(H:H,D:D,DST_123_ÜRETİM_İHTİYAÇ_RAPORU_BURAK_YENI1309[[#This Row],[ALT_KOD]])+AVERAGEIFS(I:I,D:D,DST_123_ÜRETİM_İHTİYAÇ_RAPORU_BURAK_YENI1309[[#This Row],[ALT_KOD]])+AVERAGEIFS(L:L,D:D,DST_123_ÜRETİM_İHTİYAÇ_RAPORU_BURAK_YENI1309[[#This Row],[ALT_KOD]]))</f>
        <v>-31</v>
      </c>
      <c r="L1282">
        <v>0</v>
      </c>
      <c r="M1282">
        <f>IF((DST_123_ÜRETİM_İHTİYAÇ_RAPORU_BURAK_YENI1309[[#This Row],[SATINALMA]]*DST_123_ÜRETİM_İHTİYAÇ_RAPORU_BURAK_YENI1309[[#This Row],[BIRIM_FIYATLAR]])&lt;1,VALUE("0"),DST_123_ÜRETİM_İHTİYAÇ_RAPORU_BURAK_YENI1309[[#This Row],[SATINALMA]]*DST_123_ÜRETİM_İHTİYAÇ_RAPORU_BURAK_YENI1309[[#This Row],[BIRIM_FIYATLAR]])</f>
        <v>0</v>
      </c>
      <c r="N1282">
        <v>45.5</v>
      </c>
      <c r="O1282" t="s">
        <v>504</v>
      </c>
      <c r="P1282">
        <v>136.5</v>
      </c>
      <c r="Q1282" t="s">
        <v>221</v>
      </c>
    </row>
    <row r="1283" spans="1:17" x14ac:dyDescent="0.25">
      <c r="A1283" t="s">
        <v>1149</v>
      </c>
      <c r="B1283" t="s">
        <v>1145</v>
      </c>
      <c r="C1283" t="s">
        <v>175</v>
      </c>
      <c r="D1283" t="s">
        <v>573</v>
      </c>
      <c r="E1283" t="s">
        <v>574</v>
      </c>
      <c r="F1283">
        <v>1</v>
      </c>
      <c r="G1283" t="s">
        <v>176</v>
      </c>
      <c r="H1283">
        <v>0</v>
      </c>
      <c r="I1283">
        <v>24</v>
      </c>
      <c r="J1283" s="10">
        <v>-3.5527136788005009E-14</v>
      </c>
      <c r="K1283" s="10">
        <f>SUMIFS(F:F,D:D,DST_123_ÜRETİM_İHTİYAÇ_RAPORU_BURAK_YENI1309[[#This Row],[ALT_KOD]])-(SUMIFS(H:H,D:D,DST_123_ÜRETİM_İHTİYAÇ_RAPORU_BURAK_YENI1309[[#This Row],[ALT_KOD]])+AVERAGEIFS(I:I,D:D,DST_123_ÜRETİM_İHTİYAÇ_RAPORU_BURAK_YENI1309[[#This Row],[ALT_KOD]])+AVERAGEIFS(L:L,D:D,DST_123_ÜRETİM_İHTİYAÇ_RAPORU_BURAK_YENI1309[[#This Row],[ALT_KOD]]))</f>
        <v>-7.600000000000005</v>
      </c>
      <c r="L1283">
        <v>0</v>
      </c>
      <c r="M1283">
        <f>IF((DST_123_ÜRETİM_İHTİYAÇ_RAPORU_BURAK_YENI1309[[#This Row],[SATINALMA]]*DST_123_ÜRETİM_İHTİYAÇ_RAPORU_BURAK_YENI1309[[#This Row],[BIRIM_FIYATLAR]])&lt;1,VALUE("0"),DST_123_ÜRETİM_İHTİYAÇ_RAPORU_BURAK_YENI1309[[#This Row],[SATINALMA]]*DST_123_ÜRETİM_İHTİYAÇ_RAPORU_BURAK_YENI1309[[#This Row],[BIRIM_FIYATLAR]])</f>
        <v>0</v>
      </c>
      <c r="N1283">
        <v>120</v>
      </c>
      <c r="O1283" t="s">
        <v>240</v>
      </c>
      <c r="P1283">
        <v>120</v>
      </c>
      <c r="Q1283" t="s">
        <v>183</v>
      </c>
    </row>
    <row r="1284" spans="1:17" x14ac:dyDescent="0.25">
      <c r="A1284" t="s">
        <v>1150</v>
      </c>
      <c r="B1284" t="s">
        <v>1145</v>
      </c>
      <c r="C1284" t="s">
        <v>175</v>
      </c>
      <c r="D1284" t="s">
        <v>201</v>
      </c>
      <c r="E1284" t="s">
        <v>225</v>
      </c>
      <c r="F1284">
        <v>3</v>
      </c>
      <c r="G1284" t="s">
        <v>176</v>
      </c>
      <c r="H1284">
        <v>0</v>
      </c>
      <c r="I1284">
        <v>65</v>
      </c>
      <c r="J1284" s="10">
        <v>31</v>
      </c>
      <c r="K1284" s="10">
        <f>SUMIFS(F:F,D:D,DST_123_ÜRETİM_İHTİYAÇ_RAPORU_BURAK_YENI1309[[#This Row],[ALT_KOD]])-(SUMIFS(H:H,D:D,DST_123_ÜRETİM_İHTİYAÇ_RAPORU_BURAK_YENI1309[[#This Row],[ALT_KOD]])+AVERAGEIFS(I:I,D:D,DST_123_ÜRETİM_İHTİYAÇ_RAPORU_BURAK_YENI1309[[#This Row],[ALT_KOD]])+AVERAGEIFS(L:L,D:D,DST_123_ÜRETİM_İHTİYAÇ_RAPORU_BURAK_YENI1309[[#This Row],[ALT_KOD]]))</f>
        <v>-31</v>
      </c>
      <c r="L1284">
        <v>0</v>
      </c>
      <c r="M1284">
        <f>IF((DST_123_ÜRETİM_İHTİYAÇ_RAPORU_BURAK_YENI1309[[#This Row],[SATINALMA]]*DST_123_ÜRETİM_İHTİYAÇ_RAPORU_BURAK_YENI1309[[#This Row],[BIRIM_FIYATLAR]])&lt;1,VALUE("0"),DST_123_ÜRETİM_İHTİYAÇ_RAPORU_BURAK_YENI1309[[#This Row],[SATINALMA]]*DST_123_ÜRETİM_İHTİYAÇ_RAPORU_BURAK_YENI1309[[#This Row],[BIRIM_FIYATLAR]])</f>
        <v>0</v>
      </c>
      <c r="N1284">
        <v>45.5</v>
      </c>
      <c r="O1284" t="s">
        <v>504</v>
      </c>
      <c r="P1284">
        <v>136.5</v>
      </c>
      <c r="Q1284" t="s">
        <v>221</v>
      </c>
    </row>
    <row r="1285" spans="1:17" x14ac:dyDescent="0.25">
      <c r="A1285" t="s">
        <v>1150</v>
      </c>
      <c r="B1285" t="s">
        <v>1145</v>
      </c>
      <c r="C1285" t="s">
        <v>175</v>
      </c>
      <c r="D1285" t="s">
        <v>128</v>
      </c>
      <c r="E1285" t="s">
        <v>129</v>
      </c>
      <c r="F1285">
        <v>7</v>
      </c>
      <c r="G1285" t="s">
        <v>185</v>
      </c>
      <c r="H1285">
        <v>0</v>
      </c>
      <c r="I1285">
        <v>0</v>
      </c>
      <c r="J1285" s="10">
        <v>260.61</v>
      </c>
      <c r="K1285" s="10">
        <f>SUMIFS(F:F,D:D,DST_123_ÜRETİM_İHTİYAÇ_RAPORU_BURAK_YENI1309[[#This Row],[ALT_KOD]])-(SUMIFS(H:H,D:D,DST_123_ÜRETİM_İHTİYAÇ_RAPORU_BURAK_YENI1309[[#This Row],[ALT_KOD]])+AVERAGEIFS(I:I,D:D,DST_123_ÜRETİM_İHTİYAÇ_RAPORU_BURAK_YENI1309[[#This Row],[ALT_KOD]])+AVERAGEIFS(L:L,D:D,DST_123_ÜRETİM_İHTİYAÇ_RAPORU_BURAK_YENI1309[[#This Row],[ALT_KOD]]))</f>
        <v>97.559999999999988</v>
      </c>
      <c r="L1285">
        <v>0</v>
      </c>
      <c r="M1285">
        <f>IF((DST_123_ÜRETİM_İHTİYAÇ_RAPORU_BURAK_YENI1309[[#This Row],[SATINALMA]]*DST_123_ÜRETİM_İHTİYAÇ_RAPORU_BURAK_YENI1309[[#This Row],[BIRIM_FIYATLAR]])&lt;1,VALUE("0"),DST_123_ÜRETİM_İHTİYAÇ_RAPORU_BURAK_YENI1309[[#This Row],[SATINALMA]]*DST_123_ÜRETİM_İHTİYAÇ_RAPORU_BURAK_YENI1309[[#This Row],[BIRIM_FIYATLAR]])</f>
        <v>13285.720799999999</v>
      </c>
      <c r="N1285">
        <v>136.18</v>
      </c>
      <c r="O1285" t="s">
        <v>252</v>
      </c>
      <c r="P1285">
        <v>953.26</v>
      </c>
      <c r="Q1285" t="s">
        <v>183</v>
      </c>
    </row>
    <row r="1286" spans="1:17" x14ac:dyDescent="0.25">
      <c r="A1286" t="s">
        <v>1150</v>
      </c>
      <c r="B1286" t="s">
        <v>1145</v>
      </c>
      <c r="C1286" t="s">
        <v>175</v>
      </c>
      <c r="D1286" t="s">
        <v>833</v>
      </c>
      <c r="E1286" t="s">
        <v>834</v>
      </c>
      <c r="F1286">
        <v>0.5</v>
      </c>
      <c r="G1286" t="s">
        <v>179</v>
      </c>
      <c r="H1286">
        <v>0</v>
      </c>
      <c r="I1286">
        <v>0</v>
      </c>
      <c r="J1286" s="10">
        <v>36.5</v>
      </c>
      <c r="K1286" s="10">
        <f>SUMIFS(F:F,D:D,DST_123_ÜRETİM_İHTİYAÇ_RAPORU_BURAK_YENI1309[[#This Row],[ALT_KOD]])-(SUMIFS(H:H,D:D,DST_123_ÜRETİM_İHTİYAÇ_RAPORU_BURAK_YENI1309[[#This Row],[ALT_KOD]])+AVERAGEIFS(I:I,D:D,DST_123_ÜRETİM_İHTİYAÇ_RAPORU_BURAK_YENI1309[[#This Row],[ALT_KOD]])+AVERAGEIFS(L:L,D:D,DST_123_ÜRETİM_İHTİYAÇ_RAPORU_BURAK_YENI1309[[#This Row],[ALT_KOD]]))</f>
        <v>9</v>
      </c>
      <c r="L1286">
        <v>0</v>
      </c>
      <c r="M1286">
        <f>IF((DST_123_ÜRETİM_İHTİYAÇ_RAPORU_BURAK_YENI1309[[#This Row],[SATINALMA]]*DST_123_ÜRETİM_İHTİYAÇ_RAPORU_BURAK_YENI1309[[#This Row],[BIRIM_FIYATLAR]])&lt;1,VALUE("0"),DST_123_ÜRETİM_İHTİYAÇ_RAPORU_BURAK_YENI1309[[#This Row],[SATINALMA]]*DST_123_ÜRETİM_İHTİYAÇ_RAPORU_BURAK_YENI1309[[#This Row],[BIRIM_FIYATLAR]])</f>
        <v>250.29</v>
      </c>
      <c r="N1286">
        <v>27.81</v>
      </c>
      <c r="O1286" t="s">
        <v>835</v>
      </c>
      <c r="P1286">
        <v>13.904999999999999</v>
      </c>
      <c r="Q1286" t="s">
        <v>184</v>
      </c>
    </row>
    <row r="1287" spans="1:17" x14ac:dyDescent="0.25">
      <c r="A1287" t="s">
        <v>1150</v>
      </c>
      <c r="B1287" t="s">
        <v>1145</v>
      </c>
      <c r="C1287" t="s">
        <v>175</v>
      </c>
      <c r="D1287" t="s">
        <v>372</v>
      </c>
      <c r="E1287" t="s">
        <v>373</v>
      </c>
      <c r="F1287">
        <v>6</v>
      </c>
      <c r="G1287" t="s">
        <v>176</v>
      </c>
      <c r="H1287">
        <v>0</v>
      </c>
      <c r="I1287">
        <v>65</v>
      </c>
      <c r="J1287" s="10">
        <v>54</v>
      </c>
      <c r="K1287" s="10">
        <f>SUMIFS(F:F,D:D,DST_123_ÜRETİM_İHTİYAÇ_RAPORU_BURAK_YENI1309[[#This Row],[ALT_KOD]])-(SUMIFS(H:H,D:D,DST_123_ÜRETİM_İHTİYAÇ_RAPORU_BURAK_YENI1309[[#This Row],[ALT_KOD]])+AVERAGEIFS(I:I,D:D,DST_123_ÜRETİM_İHTİYAÇ_RAPORU_BURAK_YENI1309[[#This Row],[ALT_KOD]])+AVERAGEIFS(L:L,D:D,DST_123_ÜRETİM_İHTİYAÇ_RAPORU_BURAK_YENI1309[[#This Row],[ALT_KOD]]))</f>
        <v>2</v>
      </c>
      <c r="L1287">
        <v>40</v>
      </c>
      <c r="M1287">
        <f>IF((DST_123_ÜRETİM_İHTİYAÇ_RAPORU_BURAK_YENI1309[[#This Row],[SATINALMA]]*DST_123_ÜRETİM_İHTİYAÇ_RAPORU_BURAK_YENI1309[[#This Row],[BIRIM_FIYATLAR]])&lt;1,VALUE("0"),DST_123_ÜRETİM_İHTİYAÇ_RAPORU_BURAK_YENI1309[[#This Row],[SATINALMA]]*DST_123_ÜRETİM_İHTİYAÇ_RAPORU_BURAK_YENI1309[[#This Row],[BIRIM_FIYATLAR]])</f>
        <v>148</v>
      </c>
      <c r="N1287">
        <v>74</v>
      </c>
      <c r="O1287" t="s">
        <v>821</v>
      </c>
      <c r="P1287">
        <v>444</v>
      </c>
      <c r="Q1287" t="s">
        <v>178</v>
      </c>
    </row>
    <row r="1288" spans="1:17" x14ac:dyDescent="0.25">
      <c r="A1288" t="s">
        <v>1150</v>
      </c>
      <c r="B1288" t="s">
        <v>1145</v>
      </c>
      <c r="C1288" t="s">
        <v>175</v>
      </c>
      <c r="D1288" t="s">
        <v>573</v>
      </c>
      <c r="E1288" t="s">
        <v>574</v>
      </c>
      <c r="F1288">
        <v>1</v>
      </c>
      <c r="G1288" t="s">
        <v>176</v>
      </c>
      <c r="H1288">
        <v>0</v>
      </c>
      <c r="I1288">
        <v>24</v>
      </c>
      <c r="J1288" s="10">
        <v>-3.5527136788005009E-14</v>
      </c>
      <c r="K1288" s="10">
        <f>SUMIFS(F:F,D:D,DST_123_ÜRETİM_İHTİYAÇ_RAPORU_BURAK_YENI1309[[#This Row],[ALT_KOD]])-(SUMIFS(H:H,D:D,DST_123_ÜRETİM_İHTİYAÇ_RAPORU_BURAK_YENI1309[[#This Row],[ALT_KOD]])+AVERAGEIFS(I:I,D:D,DST_123_ÜRETİM_İHTİYAÇ_RAPORU_BURAK_YENI1309[[#This Row],[ALT_KOD]])+AVERAGEIFS(L:L,D:D,DST_123_ÜRETİM_İHTİYAÇ_RAPORU_BURAK_YENI1309[[#This Row],[ALT_KOD]]))</f>
        <v>-7.600000000000005</v>
      </c>
      <c r="L1288">
        <v>0</v>
      </c>
      <c r="M1288">
        <f>IF((DST_123_ÜRETİM_İHTİYAÇ_RAPORU_BURAK_YENI1309[[#This Row],[SATINALMA]]*DST_123_ÜRETİM_İHTİYAÇ_RAPORU_BURAK_YENI1309[[#This Row],[BIRIM_FIYATLAR]])&lt;1,VALUE("0"),DST_123_ÜRETİM_İHTİYAÇ_RAPORU_BURAK_YENI1309[[#This Row],[SATINALMA]]*DST_123_ÜRETİM_İHTİYAÇ_RAPORU_BURAK_YENI1309[[#This Row],[BIRIM_FIYATLAR]])</f>
        <v>0</v>
      </c>
      <c r="N1288">
        <v>120</v>
      </c>
      <c r="O1288" t="s">
        <v>240</v>
      </c>
      <c r="P1288">
        <v>120</v>
      </c>
      <c r="Q1288" t="s">
        <v>183</v>
      </c>
    </row>
    <row r="1289" spans="1:17" x14ac:dyDescent="0.25">
      <c r="A1289" t="s">
        <v>1149</v>
      </c>
      <c r="B1289" t="s">
        <v>1145</v>
      </c>
      <c r="C1289" t="s">
        <v>175</v>
      </c>
      <c r="D1289" t="s">
        <v>201</v>
      </c>
      <c r="E1289" t="s">
        <v>225</v>
      </c>
      <c r="F1289">
        <v>3</v>
      </c>
      <c r="G1289" t="s">
        <v>176</v>
      </c>
      <c r="H1289">
        <v>0</v>
      </c>
      <c r="I1289">
        <v>65</v>
      </c>
      <c r="J1289" s="10">
        <v>31</v>
      </c>
      <c r="K1289" s="10">
        <f>SUMIFS(F:F,D:D,DST_123_ÜRETİM_İHTİYAÇ_RAPORU_BURAK_YENI1309[[#This Row],[ALT_KOD]])-(SUMIFS(H:H,D:D,DST_123_ÜRETİM_İHTİYAÇ_RAPORU_BURAK_YENI1309[[#This Row],[ALT_KOD]])+AVERAGEIFS(I:I,D:D,DST_123_ÜRETİM_İHTİYAÇ_RAPORU_BURAK_YENI1309[[#This Row],[ALT_KOD]])+AVERAGEIFS(L:L,D:D,DST_123_ÜRETİM_İHTİYAÇ_RAPORU_BURAK_YENI1309[[#This Row],[ALT_KOD]]))</f>
        <v>-31</v>
      </c>
      <c r="L1289">
        <v>0</v>
      </c>
      <c r="M1289">
        <f>IF((DST_123_ÜRETİM_İHTİYAÇ_RAPORU_BURAK_YENI1309[[#This Row],[SATINALMA]]*DST_123_ÜRETİM_İHTİYAÇ_RAPORU_BURAK_YENI1309[[#This Row],[BIRIM_FIYATLAR]])&lt;1,VALUE("0"),DST_123_ÜRETİM_İHTİYAÇ_RAPORU_BURAK_YENI1309[[#This Row],[SATINALMA]]*DST_123_ÜRETİM_İHTİYAÇ_RAPORU_BURAK_YENI1309[[#This Row],[BIRIM_FIYATLAR]])</f>
        <v>0</v>
      </c>
      <c r="N1289">
        <v>45.5</v>
      </c>
      <c r="O1289" t="s">
        <v>504</v>
      </c>
      <c r="P1289">
        <v>136.5</v>
      </c>
      <c r="Q1289" t="s">
        <v>221</v>
      </c>
    </row>
    <row r="1290" spans="1:17" x14ac:dyDescent="0.25">
      <c r="A1290" t="s">
        <v>1150</v>
      </c>
      <c r="B1290" t="s">
        <v>1145</v>
      </c>
      <c r="C1290" t="s">
        <v>175</v>
      </c>
      <c r="D1290" t="s">
        <v>2</v>
      </c>
      <c r="E1290" t="s">
        <v>423</v>
      </c>
      <c r="F1290">
        <v>2</v>
      </c>
      <c r="G1290" t="s">
        <v>176</v>
      </c>
      <c r="H1290">
        <v>0</v>
      </c>
      <c r="I1290">
        <v>20</v>
      </c>
      <c r="J1290" s="10">
        <v>20</v>
      </c>
      <c r="K1290" s="10">
        <f>SUMIFS(F:F,D:D,DST_123_ÜRETİM_İHTİYAÇ_RAPORU_BURAK_YENI1309[[#This Row],[ALT_KOD]])-(SUMIFS(H:H,D:D,DST_123_ÜRETİM_İHTİYAÇ_RAPORU_BURAK_YENI1309[[#This Row],[ALT_KOD]])+AVERAGEIFS(I:I,D:D,DST_123_ÜRETİM_İHTİYAÇ_RAPORU_BURAK_YENI1309[[#This Row],[ALT_KOD]])+AVERAGEIFS(L:L,D:D,DST_123_ÜRETİM_İHTİYAÇ_RAPORU_BURAK_YENI1309[[#This Row],[ALT_KOD]]))</f>
        <v>-6</v>
      </c>
      <c r="L1290">
        <v>10</v>
      </c>
      <c r="M1290">
        <f>IF((DST_123_ÜRETİM_İHTİYAÇ_RAPORU_BURAK_YENI1309[[#This Row],[SATINALMA]]*DST_123_ÜRETİM_İHTİYAÇ_RAPORU_BURAK_YENI1309[[#This Row],[BIRIM_FIYATLAR]])&lt;1,VALUE("0"),DST_123_ÜRETİM_İHTİYAÇ_RAPORU_BURAK_YENI1309[[#This Row],[SATINALMA]]*DST_123_ÜRETİM_İHTİYAÇ_RAPORU_BURAK_YENI1309[[#This Row],[BIRIM_FIYATLAR]])</f>
        <v>0</v>
      </c>
      <c r="N1290">
        <v>400</v>
      </c>
      <c r="O1290" t="s">
        <v>217</v>
      </c>
      <c r="P1290">
        <v>800</v>
      </c>
      <c r="Q1290" t="s">
        <v>221</v>
      </c>
    </row>
    <row r="1291" spans="1:17" x14ac:dyDescent="0.25">
      <c r="A1291" t="s">
        <v>1149</v>
      </c>
      <c r="B1291" t="s">
        <v>1145</v>
      </c>
      <c r="C1291" t="s">
        <v>175</v>
      </c>
      <c r="D1291" t="s">
        <v>123</v>
      </c>
      <c r="E1291" t="s">
        <v>633</v>
      </c>
      <c r="F1291">
        <v>0.2</v>
      </c>
      <c r="G1291" t="s">
        <v>179</v>
      </c>
      <c r="H1291">
        <v>0</v>
      </c>
      <c r="I1291">
        <v>200</v>
      </c>
      <c r="J1291" s="10">
        <v>5.6843418860808015E-14</v>
      </c>
      <c r="K1291" s="10">
        <f>SUMIFS(F:F,D:D,DST_123_ÜRETİM_İHTİYAÇ_RAPORU_BURAK_YENI1309[[#This Row],[ALT_KOD]])-(SUMIFS(H:H,D:D,DST_123_ÜRETİM_İHTİYAÇ_RAPORU_BURAK_YENI1309[[#This Row],[ALT_KOD]])+AVERAGEIFS(I:I,D:D,DST_123_ÜRETİM_İHTİYAÇ_RAPORU_BURAK_YENI1309[[#This Row],[ALT_KOD]])+AVERAGEIFS(L:L,D:D,DST_123_ÜRETİM_İHTİYAÇ_RAPORU_BURAK_YENI1309[[#This Row],[ALT_KOD]]))</f>
        <v>-196.15</v>
      </c>
      <c r="L1291">
        <v>0</v>
      </c>
      <c r="M1291">
        <f>IF((DST_123_ÜRETİM_İHTİYAÇ_RAPORU_BURAK_YENI1309[[#This Row],[SATINALMA]]*DST_123_ÜRETİM_İHTİYAÇ_RAPORU_BURAK_YENI1309[[#This Row],[BIRIM_FIYATLAR]])&lt;1,VALUE("0"),DST_123_ÜRETİM_İHTİYAÇ_RAPORU_BURAK_YENI1309[[#This Row],[SATINALMA]]*DST_123_ÜRETİM_İHTİYAÇ_RAPORU_BURAK_YENI1309[[#This Row],[BIRIM_FIYATLAR]])</f>
        <v>0</v>
      </c>
      <c r="N1291">
        <v>2.89</v>
      </c>
      <c r="O1291" t="s">
        <v>826</v>
      </c>
      <c r="P1291">
        <v>0.57800000000000007</v>
      </c>
      <c r="Q1291" t="s">
        <v>221</v>
      </c>
    </row>
    <row r="1292" spans="1:17" x14ac:dyDescent="0.25">
      <c r="A1292" t="s">
        <v>1149</v>
      </c>
      <c r="B1292" t="s">
        <v>1145</v>
      </c>
      <c r="C1292" t="s">
        <v>175</v>
      </c>
      <c r="D1292" t="s">
        <v>133</v>
      </c>
      <c r="E1292" t="s">
        <v>310</v>
      </c>
      <c r="F1292">
        <v>1</v>
      </c>
      <c r="G1292" t="s">
        <v>176</v>
      </c>
      <c r="H1292">
        <v>0</v>
      </c>
      <c r="I1292">
        <v>15</v>
      </c>
      <c r="J1292" s="10">
        <v>9</v>
      </c>
      <c r="K1292" s="10">
        <f>SUMIFS(F:F,D:D,DST_123_ÜRETİM_İHTİYAÇ_RAPORU_BURAK_YENI1309[[#This Row],[ALT_KOD]])-(SUMIFS(H:H,D:D,DST_123_ÜRETİM_İHTİYAÇ_RAPORU_BURAK_YENI1309[[#This Row],[ALT_KOD]])+AVERAGEIFS(I:I,D:D,DST_123_ÜRETİM_İHTİYAÇ_RAPORU_BURAK_YENI1309[[#This Row],[ALT_KOD]])+AVERAGEIFS(L:L,D:D,DST_123_ÜRETİM_İHTİYAÇ_RAPORU_BURAK_YENI1309[[#This Row],[ALT_KOD]]))</f>
        <v>-3</v>
      </c>
      <c r="L1292">
        <v>0</v>
      </c>
      <c r="M1292">
        <f>IF((DST_123_ÜRETİM_İHTİYAÇ_RAPORU_BURAK_YENI1309[[#This Row],[SATINALMA]]*DST_123_ÜRETİM_İHTİYAÇ_RAPORU_BURAK_YENI1309[[#This Row],[BIRIM_FIYATLAR]])&lt;1,VALUE("0"),DST_123_ÜRETİM_İHTİYAÇ_RAPORU_BURAK_YENI1309[[#This Row],[SATINALMA]]*DST_123_ÜRETİM_İHTİYAÇ_RAPORU_BURAK_YENI1309[[#This Row],[BIRIM_FIYATLAR]])</f>
        <v>0</v>
      </c>
      <c r="N1292">
        <v>224.46</v>
      </c>
      <c r="O1292" t="s">
        <v>826</v>
      </c>
      <c r="P1292">
        <v>224.46</v>
      </c>
      <c r="Q1292" t="s">
        <v>221</v>
      </c>
    </row>
    <row r="1293" spans="1:17" x14ac:dyDescent="0.25">
      <c r="A1293" t="s">
        <v>1146</v>
      </c>
      <c r="B1293" t="s">
        <v>1145</v>
      </c>
      <c r="C1293" t="s">
        <v>175</v>
      </c>
      <c r="D1293" t="s">
        <v>133</v>
      </c>
      <c r="E1293" t="s">
        <v>310</v>
      </c>
      <c r="F1293">
        <v>1</v>
      </c>
      <c r="G1293" t="s">
        <v>176</v>
      </c>
      <c r="H1293">
        <v>0</v>
      </c>
      <c r="I1293">
        <v>15</v>
      </c>
      <c r="J1293" s="10">
        <v>9</v>
      </c>
      <c r="K1293" s="10">
        <f>SUMIFS(F:F,D:D,DST_123_ÜRETİM_İHTİYAÇ_RAPORU_BURAK_YENI1309[[#This Row],[ALT_KOD]])-(SUMIFS(H:H,D:D,DST_123_ÜRETİM_İHTİYAÇ_RAPORU_BURAK_YENI1309[[#This Row],[ALT_KOD]])+AVERAGEIFS(I:I,D:D,DST_123_ÜRETİM_İHTİYAÇ_RAPORU_BURAK_YENI1309[[#This Row],[ALT_KOD]])+AVERAGEIFS(L:L,D:D,DST_123_ÜRETİM_İHTİYAÇ_RAPORU_BURAK_YENI1309[[#This Row],[ALT_KOD]]))</f>
        <v>-3</v>
      </c>
      <c r="L1293">
        <v>0</v>
      </c>
      <c r="M1293">
        <f>IF((DST_123_ÜRETİM_İHTİYAÇ_RAPORU_BURAK_YENI1309[[#This Row],[SATINALMA]]*DST_123_ÜRETİM_İHTİYAÇ_RAPORU_BURAK_YENI1309[[#This Row],[BIRIM_FIYATLAR]])&lt;1,VALUE("0"),DST_123_ÜRETİM_İHTİYAÇ_RAPORU_BURAK_YENI1309[[#This Row],[SATINALMA]]*DST_123_ÜRETİM_İHTİYAÇ_RAPORU_BURAK_YENI1309[[#This Row],[BIRIM_FIYATLAR]])</f>
        <v>0</v>
      </c>
      <c r="N1293">
        <v>224.46</v>
      </c>
      <c r="O1293" t="s">
        <v>826</v>
      </c>
      <c r="P1293">
        <v>224.46</v>
      </c>
      <c r="Q1293" t="s">
        <v>221</v>
      </c>
    </row>
    <row r="1294" spans="1:17" x14ac:dyDescent="0.25">
      <c r="A1294" t="s">
        <v>1147</v>
      </c>
      <c r="B1294" t="s">
        <v>1145</v>
      </c>
      <c r="C1294" t="s">
        <v>175</v>
      </c>
      <c r="D1294" t="s">
        <v>2</v>
      </c>
      <c r="E1294" t="s">
        <v>423</v>
      </c>
      <c r="F1294">
        <v>2</v>
      </c>
      <c r="G1294" t="s">
        <v>176</v>
      </c>
      <c r="H1294">
        <v>0</v>
      </c>
      <c r="I1294">
        <v>20</v>
      </c>
      <c r="J1294" s="10">
        <v>20</v>
      </c>
      <c r="K1294" s="10">
        <f>SUMIFS(F:F,D:D,DST_123_ÜRETİM_İHTİYAÇ_RAPORU_BURAK_YENI1309[[#This Row],[ALT_KOD]])-(SUMIFS(H:H,D:D,DST_123_ÜRETİM_İHTİYAÇ_RAPORU_BURAK_YENI1309[[#This Row],[ALT_KOD]])+AVERAGEIFS(I:I,D:D,DST_123_ÜRETİM_İHTİYAÇ_RAPORU_BURAK_YENI1309[[#This Row],[ALT_KOD]])+AVERAGEIFS(L:L,D:D,DST_123_ÜRETİM_İHTİYAÇ_RAPORU_BURAK_YENI1309[[#This Row],[ALT_KOD]]))</f>
        <v>-6</v>
      </c>
      <c r="L1294">
        <v>10</v>
      </c>
      <c r="M1294">
        <f>IF((DST_123_ÜRETİM_İHTİYAÇ_RAPORU_BURAK_YENI1309[[#This Row],[SATINALMA]]*DST_123_ÜRETİM_İHTİYAÇ_RAPORU_BURAK_YENI1309[[#This Row],[BIRIM_FIYATLAR]])&lt;1,VALUE("0"),DST_123_ÜRETİM_İHTİYAÇ_RAPORU_BURAK_YENI1309[[#This Row],[SATINALMA]]*DST_123_ÜRETİM_İHTİYAÇ_RAPORU_BURAK_YENI1309[[#This Row],[BIRIM_FIYATLAR]])</f>
        <v>0</v>
      </c>
      <c r="N1294">
        <v>400</v>
      </c>
      <c r="O1294" t="s">
        <v>217</v>
      </c>
      <c r="P1294">
        <v>800</v>
      </c>
      <c r="Q1294" t="s">
        <v>221</v>
      </c>
    </row>
    <row r="1295" spans="1:17" x14ac:dyDescent="0.25">
      <c r="A1295" t="s">
        <v>1148</v>
      </c>
      <c r="B1295" t="s">
        <v>1056</v>
      </c>
      <c r="C1295" t="s">
        <v>175</v>
      </c>
      <c r="D1295" t="s">
        <v>2</v>
      </c>
      <c r="E1295" t="s">
        <v>423</v>
      </c>
      <c r="F1295">
        <v>2</v>
      </c>
      <c r="G1295" t="s">
        <v>176</v>
      </c>
      <c r="H1295">
        <v>0</v>
      </c>
      <c r="I1295">
        <v>20</v>
      </c>
      <c r="J1295" s="10">
        <v>20</v>
      </c>
      <c r="K1295" s="10">
        <f>SUMIFS(F:F,D:D,DST_123_ÜRETİM_İHTİYAÇ_RAPORU_BURAK_YENI1309[[#This Row],[ALT_KOD]])-(SUMIFS(H:H,D:D,DST_123_ÜRETİM_İHTİYAÇ_RAPORU_BURAK_YENI1309[[#This Row],[ALT_KOD]])+AVERAGEIFS(I:I,D:D,DST_123_ÜRETİM_İHTİYAÇ_RAPORU_BURAK_YENI1309[[#This Row],[ALT_KOD]])+AVERAGEIFS(L:L,D:D,DST_123_ÜRETİM_İHTİYAÇ_RAPORU_BURAK_YENI1309[[#This Row],[ALT_KOD]]))</f>
        <v>-6</v>
      </c>
      <c r="L1295">
        <v>10</v>
      </c>
      <c r="M1295">
        <f>IF((DST_123_ÜRETİM_İHTİYAÇ_RAPORU_BURAK_YENI1309[[#This Row],[SATINALMA]]*DST_123_ÜRETİM_İHTİYAÇ_RAPORU_BURAK_YENI1309[[#This Row],[BIRIM_FIYATLAR]])&lt;1,VALUE("0"),DST_123_ÜRETİM_İHTİYAÇ_RAPORU_BURAK_YENI1309[[#This Row],[SATINALMA]]*DST_123_ÜRETİM_İHTİYAÇ_RAPORU_BURAK_YENI1309[[#This Row],[BIRIM_FIYATLAR]])</f>
        <v>0</v>
      </c>
      <c r="N1295">
        <v>400</v>
      </c>
      <c r="O1295" t="s">
        <v>217</v>
      </c>
      <c r="P1295">
        <v>800</v>
      </c>
      <c r="Q1295" t="s">
        <v>221</v>
      </c>
    </row>
    <row r="1296" spans="1:17" x14ac:dyDescent="0.25">
      <c r="A1296" t="s">
        <v>1150</v>
      </c>
      <c r="B1296" t="s">
        <v>1145</v>
      </c>
      <c r="C1296" t="s">
        <v>175</v>
      </c>
      <c r="D1296" t="s">
        <v>198</v>
      </c>
      <c r="E1296" t="s">
        <v>199</v>
      </c>
      <c r="F1296">
        <v>1</v>
      </c>
      <c r="G1296" t="s">
        <v>176</v>
      </c>
      <c r="H1296">
        <v>0</v>
      </c>
      <c r="I1296">
        <v>1</v>
      </c>
      <c r="J1296" s="10">
        <v>8</v>
      </c>
      <c r="K1296" s="10">
        <f>SUMIFS(F:F,D:D,DST_123_ÜRETİM_İHTİYAÇ_RAPORU_BURAK_YENI1309[[#This Row],[ALT_KOD]])-(SUMIFS(H:H,D:D,DST_123_ÜRETİM_İHTİYAÇ_RAPORU_BURAK_YENI1309[[#This Row],[ALT_KOD]])+AVERAGEIFS(I:I,D:D,DST_123_ÜRETİM_İHTİYAÇ_RAPORU_BURAK_YENI1309[[#This Row],[ALT_KOD]])+AVERAGEIFS(L:L,D:D,DST_123_ÜRETİM_İHTİYAÇ_RAPORU_BURAK_YENI1309[[#This Row],[ALT_KOD]]))</f>
        <v>10</v>
      </c>
      <c r="L1296">
        <v>0</v>
      </c>
      <c r="M1296">
        <f>IF((DST_123_ÜRETİM_İHTİYAÇ_RAPORU_BURAK_YENI1309[[#This Row],[SATINALMA]]*DST_123_ÜRETİM_İHTİYAÇ_RAPORU_BURAK_YENI1309[[#This Row],[BIRIM_FIYATLAR]])&lt;1,VALUE("0"),DST_123_ÜRETİM_İHTİYAÇ_RAPORU_BURAK_YENI1309[[#This Row],[SATINALMA]]*DST_123_ÜRETİM_İHTİYAÇ_RAPORU_BURAK_YENI1309[[#This Row],[BIRIM_FIYATLAR]])</f>
        <v>156184.20000000001</v>
      </c>
      <c r="N1296">
        <v>15618.42</v>
      </c>
      <c r="O1296" t="s">
        <v>215</v>
      </c>
      <c r="P1296">
        <v>15618.42</v>
      </c>
      <c r="Q1296" t="s">
        <v>177</v>
      </c>
    </row>
    <row r="1297" spans="1:17" x14ac:dyDescent="0.25">
      <c r="A1297" t="s">
        <v>1150</v>
      </c>
      <c r="B1297" t="s">
        <v>1145</v>
      </c>
      <c r="C1297" t="s">
        <v>175</v>
      </c>
      <c r="D1297" t="s">
        <v>823</v>
      </c>
      <c r="E1297" t="s">
        <v>824</v>
      </c>
      <c r="F1297">
        <v>8</v>
      </c>
      <c r="G1297" t="s">
        <v>176</v>
      </c>
      <c r="H1297">
        <v>0</v>
      </c>
      <c r="I1297">
        <v>175</v>
      </c>
      <c r="J1297" s="10">
        <v>0</v>
      </c>
      <c r="K1297" s="10">
        <f>SUMIFS(F:F,D:D,DST_123_ÜRETİM_İHTİYAÇ_RAPORU_BURAK_YENI1309[[#This Row],[ALT_KOD]])-(SUMIFS(H:H,D:D,DST_123_ÜRETİM_İHTİYAÇ_RAPORU_BURAK_YENI1309[[#This Row],[ALT_KOD]])+AVERAGEIFS(I:I,D:D,DST_123_ÜRETİM_İHTİYAÇ_RAPORU_BURAK_YENI1309[[#This Row],[ALT_KOD]])+AVERAGEIFS(L:L,D:D,DST_123_ÜRETİM_İHTİYAÇ_RAPORU_BURAK_YENI1309[[#This Row],[ALT_KOD]]))</f>
        <v>-95</v>
      </c>
      <c r="L1297">
        <v>0</v>
      </c>
      <c r="M1297">
        <f>IF((DST_123_ÜRETİM_İHTİYAÇ_RAPORU_BURAK_YENI1309[[#This Row],[SATINALMA]]*DST_123_ÜRETİM_İHTİYAÇ_RAPORU_BURAK_YENI1309[[#This Row],[BIRIM_FIYATLAR]])&lt;1,VALUE("0"),DST_123_ÜRETİM_İHTİYAÇ_RAPORU_BURAK_YENI1309[[#This Row],[SATINALMA]]*DST_123_ÜRETİM_İHTİYAÇ_RAPORU_BURAK_YENI1309[[#This Row],[BIRIM_FIYATLAR]])</f>
        <v>0</v>
      </c>
      <c r="N1297">
        <v>8.42</v>
      </c>
      <c r="O1297" t="s">
        <v>882</v>
      </c>
      <c r="P1297">
        <v>67.36</v>
      </c>
      <c r="Q1297" t="s">
        <v>178</v>
      </c>
    </row>
    <row r="1298" spans="1:17" x14ac:dyDescent="0.25">
      <c r="A1298" t="s">
        <v>1150</v>
      </c>
      <c r="B1298" t="s">
        <v>1145</v>
      </c>
      <c r="C1298" t="s">
        <v>175</v>
      </c>
      <c r="D1298" t="s">
        <v>312</v>
      </c>
      <c r="E1298" t="s">
        <v>313</v>
      </c>
      <c r="F1298">
        <v>4</v>
      </c>
      <c r="G1298" t="s">
        <v>179</v>
      </c>
      <c r="H1298">
        <v>0</v>
      </c>
      <c r="I1298">
        <v>125</v>
      </c>
      <c r="J1298" s="10">
        <v>16.5</v>
      </c>
      <c r="K1298" s="10">
        <f>SUMIFS(F:F,D:D,DST_123_ÜRETİM_İHTİYAÇ_RAPORU_BURAK_YENI1309[[#This Row],[ALT_KOD]])-(SUMIFS(H:H,D:D,DST_123_ÜRETİM_İHTİYAÇ_RAPORU_BURAK_YENI1309[[#This Row],[ALT_KOD]])+AVERAGEIFS(I:I,D:D,DST_123_ÜRETİM_İHTİYAÇ_RAPORU_BURAK_YENI1309[[#This Row],[ALT_KOD]])+AVERAGEIFS(L:L,D:D,DST_123_ÜRETİM_İHTİYAÇ_RAPORU_BURAK_YENI1309[[#This Row],[ALT_KOD]]))</f>
        <v>-24</v>
      </c>
      <c r="L1298">
        <v>0</v>
      </c>
      <c r="M1298">
        <f>IF((DST_123_ÜRETİM_İHTİYAÇ_RAPORU_BURAK_YENI1309[[#This Row],[SATINALMA]]*DST_123_ÜRETİM_İHTİYAÇ_RAPORU_BURAK_YENI1309[[#This Row],[BIRIM_FIYATLAR]])&lt;1,VALUE("0"),DST_123_ÜRETİM_İHTİYAÇ_RAPORU_BURAK_YENI1309[[#This Row],[SATINALMA]]*DST_123_ÜRETİM_İHTİYAÇ_RAPORU_BURAK_YENI1309[[#This Row],[BIRIM_FIYATLAR]])</f>
        <v>0</v>
      </c>
      <c r="N1298">
        <v>80.84</v>
      </c>
      <c r="O1298" t="s">
        <v>314</v>
      </c>
      <c r="P1298">
        <v>323.36</v>
      </c>
      <c r="Q1298" t="s">
        <v>178</v>
      </c>
    </row>
    <row r="1299" spans="1:17" x14ac:dyDescent="0.25">
      <c r="A1299" t="s">
        <v>1142</v>
      </c>
      <c r="B1299" t="s">
        <v>1056</v>
      </c>
      <c r="C1299" t="s">
        <v>175</v>
      </c>
      <c r="D1299" t="s">
        <v>198</v>
      </c>
      <c r="E1299" t="s">
        <v>199</v>
      </c>
      <c r="F1299">
        <v>1</v>
      </c>
      <c r="G1299" t="s">
        <v>176</v>
      </c>
      <c r="H1299">
        <v>0</v>
      </c>
      <c r="I1299">
        <v>1</v>
      </c>
      <c r="J1299" s="10">
        <v>8</v>
      </c>
      <c r="K1299" s="10">
        <f>SUMIFS(F:F,D:D,DST_123_ÜRETİM_İHTİYAÇ_RAPORU_BURAK_YENI1309[[#This Row],[ALT_KOD]])-(SUMIFS(H:H,D:D,DST_123_ÜRETİM_İHTİYAÇ_RAPORU_BURAK_YENI1309[[#This Row],[ALT_KOD]])+AVERAGEIFS(I:I,D:D,DST_123_ÜRETİM_İHTİYAÇ_RAPORU_BURAK_YENI1309[[#This Row],[ALT_KOD]])+AVERAGEIFS(L:L,D:D,DST_123_ÜRETİM_İHTİYAÇ_RAPORU_BURAK_YENI1309[[#This Row],[ALT_KOD]]))</f>
        <v>10</v>
      </c>
      <c r="L1299">
        <v>0</v>
      </c>
      <c r="M1299">
        <f>IF((DST_123_ÜRETİM_İHTİYAÇ_RAPORU_BURAK_YENI1309[[#This Row],[SATINALMA]]*DST_123_ÜRETİM_İHTİYAÇ_RAPORU_BURAK_YENI1309[[#This Row],[BIRIM_FIYATLAR]])&lt;1,VALUE("0"),DST_123_ÜRETİM_İHTİYAÇ_RAPORU_BURAK_YENI1309[[#This Row],[SATINALMA]]*DST_123_ÜRETİM_İHTİYAÇ_RAPORU_BURAK_YENI1309[[#This Row],[BIRIM_FIYATLAR]])</f>
        <v>156184.20000000001</v>
      </c>
      <c r="N1299">
        <v>15618.42</v>
      </c>
      <c r="O1299" t="s">
        <v>215</v>
      </c>
      <c r="P1299">
        <v>15618.42</v>
      </c>
      <c r="Q1299" t="s">
        <v>177</v>
      </c>
    </row>
    <row r="1300" spans="1:17" x14ac:dyDescent="0.25">
      <c r="A1300" t="s">
        <v>1142</v>
      </c>
      <c r="B1300" t="s">
        <v>1056</v>
      </c>
      <c r="C1300" t="s">
        <v>175</v>
      </c>
      <c r="D1300" t="s">
        <v>823</v>
      </c>
      <c r="E1300" t="s">
        <v>824</v>
      </c>
      <c r="F1300">
        <v>8</v>
      </c>
      <c r="G1300" t="s">
        <v>176</v>
      </c>
      <c r="H1300">
        <v>0</v>
      </c>
      <c r="I1300">
        <v>175</v>
      </c>
      <c r="J1300" s="10">
        <v>0</v>
      </c>
      <c r="K1300" s="10">
        <f>SUMIFS(F:F,D:D,DST_123_ÜRETİM_İHTİYAÇ_RAPORU_BURAK_YENI1309[[#This Row],[ALT_KOD]])-(SUMIFS(H:H,D:D,DST_123_ÜRETİM_İHTİYAÇ_RAPORU_BURAK_YENI1309[[#This Row],[ALT_KOD]])+AVERAGEIFS(I:I,D:D,DST_123_ÜRETİM_İHTİYAÇ_RAPORU_BURAK_YENI1309[[#This Row],[ALT_KOD]])+AVERAGEIFS(L:L,D:D,DST_123_ÜRETİM_İHTİYAÇ_RAPORU_BURAK_YENI1309[[#This Row],[ALT_KOD]]))</f>
        <v>-95</v>
      </c>
      <c r="L1300">
        <v>0</v>
      </c>
      <c r="M1300">
        <f>IF((DST_123_ÜRETİM_İHTİYAÇ_RAPORU_BURAK_YENI1309[[#This Row],[SATINALMA]]*DST_123_ÜRETİM_İHTİYAÇ_RAPORU_BURAK_YENI1309[[#This Row],[BIRIM_FIYATLAR]])&lt;1,VALUE("0"),DST_123_ÜRETİM_İHTİYAÇ_RAPORU_BURAK_YENI1309[[#This Row],[SATINALMA]]*DST_123_ÜRETİM_İHTİYAÇ_RAPORU_BURAK_YENI1309[[#This Row],[BIRIM_FIYATLAR]])</f>
        <v>0</v>
      </c>
      <c r="N1300">
        <v>8.42</v>
      </c>
      <c r="O1300" t="s">
        <v>882</v>
      </c>
      <c r="P1300">
        <v>67.36</v>
      </c>
      <c r="Q1300" t="s">
        <v>178</v>
      </c>
    </row>
    <row r="1301" spans="1:17" x14ac:dyDescent="0.25">
      <c r="A1301" t="s">
        <v>1142</v>
      </c>
      <c r="B1301" t="s">
        <v>1056</v>
      </c>
      <c r="C1301" t="s">
        <v>175</v>
      </c>
      <c r="D1301" t="s">
        <v>84</v>
      </c>
      <c r="E1301" t="s">
        <v>85</v>
      </c>
      <c r="F1301">
        <v>2</v>
      </c>
      <c r="G1301" t="s">
        <v>176</v>
      </c>
      <c r="H1301">
        <v>0</v>
      </c>
      <c r="I1301">
        <v>40</v>
      </c>
      <c r="J1301" s="10">
        <v>16</v>
      </c>
      <c r="K1301" s="10">
        <f>SUMIFS(F:F,D:D,DST_123_ÜRETİM_İHTİYAÇ_RAPORU_BURAK_YENI1309[[#This Row],[ALT_KOD]])-(SUMIFS(H:H,D:D,DST_123_ÜRETİM_İHTİYAÇ_RAPORU_BURAK_YENI1309[[#This Row],[ALT_KOD]])+AVERAGEIFS(I:I,D:D,DST_123_ÜRETİM_İHTİYAÇ_RAPORU_BURAK_YENI1309[[#This Row],[ALT_KOD]])+AVERAGEIFS(L:L,D:D,DST_123_ÜRETİM_İHTİYAÇ_RAPORU_BURAK_YENI1309[[#This Row],[ALT_KOD]]))</f>
        <v>-18</v>
      </c>
      <c r="L1301">
        <v>0</v>
      </c>
      <c r="M1301">
        <f>IF((DST_123_ÜRETİM_İHTİYAÇ_RAPORU_BURAK_YENI1309[[#This Row],[SATINALMA]]*DST_123_ÜRETİM_İHTİYAÇ_RAPORU_BURAK_YENI1309[[#This Row],[BIRIM_FIYATLAR]])&lt;1,VALUE("0"),DST_123_ÜRETİM_İHTİYAÇ_RAPORU_BURAK_YENI1309[[#This Row],[SATINALMA]]*DST_123_ÜRETİM_İHTİYAÇ_RAPORU_BURAK_YENI1309[[#This Row],[BIRIM_FIYATLAR]])</f>
        <v>0</v>
      </c>
      <c r="N1301">
        <v>375</v>
      </c>
      <c r="O1301" t="s">
        <v>247</v>
      </c>
      <c r="P1301">
        <v>750</v>
      </c>
      <c r="Q1301" t="s">
        <v>177</v>
      </c>
    </row>
    <row r="1302" spans="1:17" x14ac:dyDescent="0.25">
      <c r="A1302" t="s">
        <v>1059</v>
      </c>
      <c r="B1302" t="s">
        <v>1058</v>
      </c>
      <c r="C1302" t="s">
        <v>175</v>
      </c>
      <c r="D1302" t="s">
        <v>823</v>
      </c>
      <c r="E1302" t="s">
        <v>824</v>
      </c>
      <c r="F1302">
        <v>8</v>
      </c>
      <c r="G1302" t="s">
        <v>176</v>
      </c>
      <c r="H1302">
        <v>0</v>
      </c>
      <c r="I1302">
        <v>175</v>
      </c>
      <c r="J1302" s="10">
        <v>0</v>
      </c>
      <c r="K1302" s="10">
        <f>SUMIFS(F:F,D:D,DST_123_ÜRETİM_İHTİYAÇ_RAPORU_BURAK_YENI1309[[#This Row],[ALT_KOD]])-(SUMIFS(H:H,D:D,DST_123_ÜRETİM_İHTİYAÇ_RAPORU_BURAK_YENI1309[[#This Row],[ALT_KOD]])+AVERAGEIFS(I:I,D:D,DST_123_ÜRETİM_İHTİYAÇ_RAPORU_BURAK_YENI1309[[#This Row],[ALT_KOD]])+AVERAGEIFS(L:L,D:D,DST_123_ÜRETİM_İHTİYAÇ_RAPORU_BURAK_YENI1309[[#This Row],[ALT_KOD]]))</f>
        <v>-95</v>
      </c>
      <c r="L1302">
        <v>0</v>
      </c>
      <c r="M1302">
        <f>IF((DST_123_ÜRETİM_İHTİYAÇ_RAPORU_BURAK_YENI1309[[#This Row],[SATINALMA]]*DST_123_ÜRETİM_İHTİYAÇ_RAPORU_BURAK_YENI1309[[#This Row],[BIRIM_FIYATLAR]])&lt;1,VALUE("0"),DST_123_ÜRETİM_İHTİYAÇ_RAPORU_BURAK_YENI1309[[#This Row],[SATINALMA]]*DST_123_ÜRETİM_İHTİYAÇ_RAPORU_BURAK_YENI1309[[#This Row],[BIRIM_FIYATLAR]])</f>
        <v>0</v>
      </c>
      <c r="N1302">
        <v>8.42</v>
      </c>
      <c r="O1302" t="s">
        <v>882</v>
      </c>
      <c r="P1302">
        <v>67.36</v>
      </c>
      <c r="Q1302" t="s">
        <v>178</v>
      </c>
    </row>
    <row r="1303" spans="1:17" x14ac:dyDescent="0.25">
      <c r="A1303" t="s">
        <v>1095</v>
      </c>
      <c r="B1303" t="s">
        <v>1096</v>
      </c>
      <c r="C1303" t="s">
        <v>175</v>
      </c>
      <c r="D1303" t="s">
        <v>312</v>
      </c>
      <c r="E1303" t="s">
        <v>313</v>
      </c>
      <c r="F1303">
        <v>5</v>
      </c>
      <c r="G1303" t="s">
        <v>179</v>
      </c>
      <c r="H1303">
        <v>0</v>
      </c>
      <c r="I1303">
        <v>125</v>
      </c>
      <c r="J1303" s="10">
        <v>16.5</v>
      </c>
      <c r="K1303" s="10">
        <f>SUMIFS(F:F,D:D,DST_123_ÜRETİM_İHTİYAÇ_RAPORU_BURAK_YENI1309[[#This Row],[ALT_KOD]])-(SUMIFS(H:H,D:D,DST_123_ÜRETİM_İHTİYAÇ_RAPORU_BURAK_YENI1309[[#This Row],[ALT_KOD]])+AVERAGEIFS(I:I,D:D,DST_123_ÜRETİM_İHTİYAÇ_RAPORU_BURAK_YENI1309[[#This Row],[ALT_KOD]])+AVERAGEIFS(L:L,D:D,DST_123_ÜRETİM_İHTİYAÇ_RAPORU_BURAK_YENI1309[[#This Row],[ALT_KOD]]))</f>
        <v>-24</v>
      </c>
      <c r="L1303">
        <v>0</v>
      </c>
      <c r="M1303">
        <f>IF((DST_123_ÜRETİM_İHTİYAÇ_RAPORU_BURAK_YENI1309[[#This Row],[SATINALMA]]*DST_123_ÜRETİM_İHTİYAÇ_RAPORU_BURAK_YENI1309[[#This Row],[BIRIM_FIYATLAR]])&lt;1,VALUE("0"),DST_123_ÜRETİM_İHTİYAÇ_RAPORU_BURAK_YENI1309[[#This Row],[SATINALMA]]*DST_123_ÜRETİM_İHTİYAÇ_RAPORU_BURAK_YENI1309[[#This Row],[BIRIM_FIYATLAR]])</f>
        <v>0</v>
      </c>
      <c r="N1303">
        <v>80.84</v>
      </c>
      <c r="O1303" t="s">
        <v>314</v>
      </c>
      <c r="P1303">
        <v>404.20000000000005</v>
      </c>
      <c r="Q1303" t="s">
        <v>178</v>
      </c>
    </row>
    <row r="1304" spans="1:17" x14ac:dyDescent="0.25">
      <c r="A1304" t="s">
        <v>1059</v>
      </c>
      <c r="B1304" t="s">
        <v>1058</v>
      </c>
      <c r="C1304" t="s">
        <v>175</v>
      </c>
      <c r="D1304" t="s">
        <v>312</v>
      </c>
      <c r="E1304" t="s">
        <v>313</v>
      </c>
      <c r="F1304">
        <v>4</v>
      </c>
      <c r="G1304" t="s">
        <v>179</v>
      </c>
      <c r="H1304">
        <v>0</v>
      </c>
      <c r="I1304">
        <v>125</v>
      </c>
      <c r="J1304" s="10">
        <v>16.5</v>
      </c>
      <c r="K1304" s="10">
        <f>SUMIFS(F:F,D:D,DST_123_ÜRETİM_İHTİYAÇ_RAPORU_BURAK_YENI1309[[#This Row],[ALT_KOD]])-(SUMIFS(H:H,D:D,DST_123_ÜRETİM_İHTİYAÇ_RAPORU_BURAK_YENI1309[[#This Row],[ALT_KOD]])+AVERAGEIFS(I:I,D:D,DST_123_ÜRETİM_İHTİYAÇ_RAPORU_BURAK_YENI1309[[#This Row],[ALT_KOD]])+AVERAGEIFS(L:L,D:D,DST_123_ÜRETİM_İHTİYAÇ_RAPORU_BURAK_YENI1309[[#This Row],[ALT_KOD]]))</f>
        <v>-24</v>
      </c>
      <c r="L1304">
        <v>0</v>
      </c>
      <c r="M1304">
        <f>IF((DST_123_ÜRETİM_İHTİYAÇ_RAPORU_BURAK_YENI1309[[#This Row],[SATINALMA]]*DST_123_ÜRETİM_İHTİYAÇ_RAPORU_BURAK_YENI1309[[#This Row],[BIRIM_FIYATLAR]])&lt;1,VALUE("0"),DST_123_ÜRETİM_İHTİYAÇ_RAPORU_BURAK_YENI1309[[#This Row],[SATINALMA]]*DST_123_ÜRETİM_İHTİYAÇ_RAPORU_BURAK_YENI1309[[#This Row],[BIRIM_FIYATLAR]])</f>
        <v>0</v>
      </c>
      <c r="N1304">
        <v>80.84</v>
      </c>
      <c r="O1304" t="s">
        <v>314</v>
      </c>
      <c r="P1304">
        <v>323.36</v>
      </c>
      <c r="Q1304" t="s">
        <v>178</v>
      </c>
    </row>
    <row r="1305" spans="1:17" x14ac:dyDescent="0.25">
      <c r="A1305" t="s">
        <v>1143</v>
      </c>
      <c r="B1305" t="s">
        <v>1056</v>
      </c>
      <c r="C1305" t="s">
        <v>175</v>
      </c>
      <c r="D1305" t="s">
        <v>312</v>
      </c>
      <c r="E1305" t="s">
        <v>313</v>
      </c>
      <c r="F1305">
        <v>5</v>
      </c>
      <c r="G1305" t="s">
        <v>179</v>
      </c>
      <c r="H1305">
        <v>0</v>
      </c>
      <c r="I1305">
        <v>125</v>
      </c>
      <c r="J1305" s="10">
        <v>16.5</v>
      </c>
      <c r="K1305" s="10">
        <f>SUMIFS(F:F,D:D,DST_123_ÜRETİM_İHTİYAÇ_RAPORU_BURAK_YENI1309[[#This Row],[ALT_KOD]])-(SUMIFS(H:H,D:D,DST_123_ÜRETİM_İHTİYAÇ_RAPORU_BURAK_YENI1309[[#This Row],[ALT_KOD]])+AVERAGEIFS(I:I,D:D,DST_123_ÜRETİM_İHTİYAÇ_RAPORU_BURAK_YENI1309[[#This Row],[ALT_KOD]])+AVERAGEIFS(L:L,D:D,DST_123_ÜRETİM_İHTİYAÇ_RAPORU_BURAK_YENI1309[[#This Row],[ALT_KOD]]))</f>
        <v>-24</v>
      </c>
      <c r="L1305">
        <v>0</v>
      </c>
      <c r="M1305">
        <f>IF((DST_123_ÜRETİM_İHTİYAÇ_RAPORU_BURAK_YENI1309[[#This Row],[SATINALMA]]*DST_123_ÜRETİM_İHTİYAÇ_RAPORU_BURAK_YENI1309[[#This Row],[BIRIM_FIYATLAR]])&lt;1,VALUE("0"),DST_123_ÜRETİM_İHTİYAÇ_RAPORU_BURAK_YENI1309[[#This Row],[SATINALMA]]*DST_123_ÜRETİM_İHTİYAÇ_RAPORU_BURAK_YENI1309[[#This Row],[BIRIM_FIYATLAR]])</f>
        <v>0</v>
      </c>
      <c r="N1305">
        <v>80.84</v>
      </c>
      <c r="O1305" t="s">
        <v>314</v>
      </c>
      <c r="P1305">
        <v>404.20000000000005</v>
      </c>
      <c r="Q1305" t="s">
        <v>178</v>
      </c>
    </row>
    <row r="1306" spans="1:17" x14ac:dyDescent="0.25">
      <c r="A1306" t="s">
        <v>1150</v>
      </c>
      <c r="B1306" t="s">
        <v>1145</v>
      </c>
      <c r="C1306" t="s">
        <v>175</v>
      </c>
      <c r="D1306" t="s">
        <v>238</v>
      </c>
      <c r="E1306" t="s">
        <v>239</v>
      </c>
      <c r="F1306">
        <v>2.8</v>
      </c>
      <c r="G1306" t="s">
        <v>185</v>
      </c>
      <c r="H1306">
        <v>0</v>
      </c>
      <c r="I1306">
        <v>110</v>
      </c>
      <c r="J1306" s="10">
        <v>57.22</v>
      </c>
      <c r="K1306" s="10">
        <f>SUMIFS(F:F,D:D,DST_123_ÜRETİM_İHTİYAÇ_RAPORU_BURAK_YENI1309[[#This Row],[ALT_KOD]])-(SUMIFS(H:H,D:D,DST_123_ÜRETİM_İHTİYAÇ_RAPORU_BURAK_YENI1309[[#This Row],[ALT_KOD]])+AVERAGEIFS(I:I,D:D,DST_123_ÜRETİM_İHTİYAÇ_RAPORU_BURAK_YENI1309[[#This Row],[ALT_KOD]])+AVERAGEIFS(L:L,D:D,DST_123_ÜRETİM_İHTİYAÇ_RAPORU_BURAK_YENI1309[[#This Row],[ALT_KOD]]))</f>
        <v>-78.660000000000025</v>
      </c>
      <c r="L1306">
        <v>0</v>
      </c>
      <c r="M1306">
        <f>IF((DST_123_ÜRETİM_İHTİYAÇ_RAPORU_BURAK_YENI1309[[#This Row],[SATINALMA]]*DST_123_ÜRETİM_İHTİYAÇ_RAPORU_BURAK_YENI1309[[#This Row],[BIRIM_FIYATLAR]])&lt;1,VALUE("0"),DST_123_ÜRETİM_İHTİYAÇ_RAPORU_BURAK_YENI1309[[#This Row],[SATINALMA]]*DST_123_ÜRETİM_İHTİYAÇ_RAPORU_BURAK_YENI1309[[#This Row],[BIRIM_FIYATLAR]])</f>
        <v>0</v>
      </c>
      <c r="N1306">
        <v>40</v>
      </c>
      <c r="O1306" t="s">
        <v>240</v>
      </c>
      <c r="P1306">
        <v>112</v>
      </c>
      <c r="Q1306" t="s">
        <v>180</v>
      </c>
    </row>
    <row r="1307" spans="1:17" x14ac:dyDescent="0.25">
      <c r="A1307" t="s">
        <v>1149</v>
      </c>
      <c r="B1307" t="s">
        <v>1145</v>
      </c>
      <c r="C1307" t="s">
        <v>175</v>
      </c>
      <c r="D1307" t="s">
        <v>823</v>
      </c>
      <c r="E1307" t="s">
        <v>824</v>
      </c>
      <c r="F1307">
        <v>8</v>
      </c>
      <c r="G1307" t="s">
        <v>176</v>
      </c>
      <c r="H1307">
        <v>0</v>
      </c>
      <c r="I1307">
        <v>175</v>
      </c>
      <c r="J1307" s="10">
        <v>0</v>
      </c>
      <c r="K1307" s="10">
        <f>SUMIFS(F:F,D:D,DST_123_ÜRETİM_İHTİYAÇ_RAPORU_BURAK_YENI1309[[#This Row],[ALT_KOD]])-(SUMIFS(H:H,D:D,DST_123_ÜRETİM_İHTİYAÇ_RAPORU_BURAK_YENI1309[[#This Row],[ALT_KOD]])+AVERAGEIFS(I:I,D:D,DST_123_ÜRETİM_İHTİYAÇ_RAPORU_BURAK_YENI1309[[#This Row],[ALT_KOD]])+AVERAGEIFS(L:L,D:D,DST_123_ÜRETİM_İHTİYAÇ_RAPORU_BURAK_YENI1309[[#This Row],[ALT_KOD]]))</f>
        <v>-95</v>
      </c>
      <c r="L1307">
        <v>0</v>
      </c>
      <c r="M1307">
        <f>IF((DST_123_ÜRETİM_İHTİYAÇ_RAPORU_BURAK_YENI1309[[#This Row],[SATINALMA]]*DST_123_ÜRETİM_İHTİYAÇ_RAPORU_BURAK_YENI1309[[#This Row],[BIRIM_FIYATLAR]])&lt;1,VALUE("0"),DST_123_ÜRETİM_İHTİYAÇ_RAPORU_BURAK_YENI1309[[#This Row],[SATINALMA]]*DST_123_ÜRETİM_İHTİYAÇ_RAPORU_BURAK_YENI1309[[#This Row],[BIRIM_FIYATLAR]])</f>
        <v>0</v>
      </c>
      <c r="N1307">
        <v>8.42</v>
      </c>
      <c r="O1307" t="s">
        <v>882</v>
      </c>
      <c r="P1307">
        <v>67.36</v>
      </c>
      <c r="Q1307" t="s">
        <v>178</v>
      </c>
    </row>
    <row r="1308" spans="1:17" x14ac:dyDescent="0.25">
      <c r="A1308" t="s">
        <v>1149</v>
      </c>
      <c r="B1308" t="s">
        <v>1145</v>
      </c>
      <c r="C1308" t="s">
        <v>175</v>
      </c>
      <c r="D1308" t="s">
        <v>312</v>
      </c>
      <c r="E1308" t="s">
        <v>313</v>
      </c>
      <c r="F1308">
        <v>4</v>
      </c>
      <c r="G1308" t="s">
        <v>179</v>
      </c>
      <c r="H1308">
        <v>0</v>
      </c>
      <c r="I1308">
        <v>125</v>
      </c>
      <c r="J1308" s="10">
        <v>16.5</v>
      </c>
      <c r="K1308" s="10">
        <f>SUMIFS(F:F,D:D,DST_123_ÜRETİM_İHTİYAÇ_RAPORU_BURAK_YENI1309[[#This Row],[ALT_KOD]])-(SUMIFS(H:H,D:D,DST_123_ÜRETİM_İHTİYAÇ_RAPORU_BURAK_YENI1309[[#This Row],[ALT_KOD]])+AVERAGEIFS(I:I,D:D,DST_123_ÜRETİM_İHTİYAÇ_RAPORU_BURAK_YENI1309[[#This Row],[ALT_KOD]])+AVERAGEIFS(L:L,D:D,DST_123_ÜRETİM_İHTİYAÇ_RAPORU_BURAK_YENI1309[[#This Row],[ALT_KOD]]))</f>
        <v>-24</v>
      </c>
      <c r="L1308">
        <v>0</v>
      </c>
      <c r="M1308">
        <f>IF((DST_123_ÜRETİM_İHTİYAÇ_RAPORU_BURAK_YENI1309[[#This Row],[SATINALMA]]*DST_123_ÜRETİM_İHTİYAÇ_RAPORU_BURAK_YENI1309[[#This Row],[BIRIM_FIYATLAR]])&lt;1,VALUE("0"),DST_123_ÜRETİM_İHTİYAÇ_RAPORU_BURAK_YENI1309[[#This Row],[SATINALMA]]*DST_123_ÜRETİM_İHTİYAÇ_RAPORU_BURAK_YENI1309[[#This Row],[BIRIM_FIYATLAR]])</f>
        <v>0</v>
      </c>
      <c r="N1308">
        <v>80.84</v>
      </c>
      <c r="O1308" t="s">
        <v>314</v>
      </c>
      <c r="P1308">
        <v>323.36</v>
      </c>
      <c r="Q1308" t="s">
        <v>178</v>
      </c>
    </row>
    <row r="1309" spans="1:17" x14ac:dyDescent="0.25">
      <c r="A1309" t="s">
        <v>1149</v>
      </c>
      <c r="B1309" t="s">
        <v>1145</v>
      </c>
      <c r="C1309" t="s">
        <v>175</v>
      </c>
      <c r="D1309" t="s">
        <v>307</v>
      </c>
      <c r="E1309" t="s">
        <v>308</v>
      </c>
      <c r="F1309">
        <v>1</v>
      </c>
      <c r="G1309" t="s">
        <v>176</v>
      </c>
      <c r="H1309">
        <v>0</v>
      </c>
      <c r="I1309">
        <v>13</v>
      </c>
      <c r="J1309" s="10">
        <v>1</v>
      </c>
      <c r="K1309" s="10">
        <f>SUMIFS(F:F,D:D,DST_123_ÜRETİM_İHTİYAÇ_RAPORU_BURAK_YENI1309[[#This Row],[ALT_KOD]])-(SUMIFS(H:H,D:D,DST_123_ÜRETİM_İHTİYAÇ_RAPORU_BURAK_YENI1309[[#This Row],[ALT_KOD]])+AVERAGEIFS(I:I,D:D,DST_123_ÜRETİM_İHTİYAÇ_RAPORU_BURAK_YENI1309[[#This Row],[ALT_KOD]])+AVERAGEIFS(L:L,D:D,DST_123_ÜRETİM_İHTİYAÇ_RAPORU_BURAK_YENI1309[[#This Row],[ALT_KOD]]))</f>
        <v>24</v>
      </c>
      <c r="L1309">
        <v>0</v>
      </c>
      <c r="M1309">
        <f>IF((DST_123_ÜRETİM_İHTİYAÇ_RAPORU_BURAK_YENI1309[[#This Row],[SATINALMA]]*DST_123_ÜRETİM_İHTİYAÇ_RAPORU_BURAK_YENI1309[[#This Row],[BIRIM_FIYATLAR]])&lt;1,VALUE("0"),DST_123_ÜRETİM_İHTİYAÇ_RAPORU_BURAK_YENI1309[[#This Row],[SATINALMA]]*DST_123_ÜRETİM_İHTİYAÇ_RAPORU_BURAK_YENI1309[[#This Row],[BIRIM_FIYATLAR]])</f>
        <v>1570.08</v>
      </c>
      <c r="N1309">
        <v>65.42</v>
      </c>
      <c r="O1309" t="s">
        <v>628</v>
      </c>
      <c r="P1309">
        <v>65.42</v>
      </c>
      <c r="Q1309" t="s">
        <v>178</v>
      </c>
    </row>
    <row r="1310" spans="1:17" x14ac:dyDescent="0.25">
      <c r="A1310" t="s">
        <v>1059</v>
      </c>
      <c r="B1310" t="s">
        <v>1058</v>
      </c>
      <c r="C1310" t="s">
        <v>175</v>
      </c>
      <c r="D1310" t="s">
        <v>1049</v>
      </c>
      <c r="E1310" t="s">
        <v>1050</v>
      </c>
      <c r="F1310">
        <v>8</v>
      </c>
      <c r="G1310" t="s">
        <v>176</v>
      </c>
      <c r="H1310">
        <v>0</v>
      </c>
      <c r="I1310">
        <v>3000</v>
      </c>
      <c r="J1310" s="10">
        <v>10000</v>
      </c>
      <c r="K1310" s="10">
        <f>SUMIFS(F:F,D:D,DST_123_ÜRETİM_İHTİYAÇ_RAPORU_BURAK_YENI1309[[#This Row],[ALT_KOD]])-(SUMIFS(H:H,D:D,DST_123_ÜRETİM_İHTİYAÇ_RAPORU_BURAK_YENI1309[[#This Row],[ALT_KOD]])+AVERAGEIFS(I:I,D:D,DST_123_ÜRETİM_İHTİYAÇ_RAPORU_BURAK_YENI1309[[#This Row],[ALT_KOD]])+AVERAGEIFS(L:L,D:D,DST_123_ÜRETİM_İHTİYAÇ_RAPORU_BURAK_YENI1309[[#This Row],[ALT_KOD]]))</f>
        <v>-2984</v>
      </c>
      <c r="L1310">
        <v>0</v>
      </c>
      <c r="M1310">
        <f>IF((DST_123_ÜRETİM_İHTİYAÇ_RAPORU_BURAK_YENI1309[[#This Row],[SATINALMA]]*DST_123_ÜRETİM_İHTİYAÇ_RAPORU_BURAK_YENI1309[[#This Row],[BIRIM_FIYATLAR]])&lt;1,VALUE("0"),DST_123_ÜRETİM_İHTİYAÇ_RAPORU_BURAK_YENI1309[[#This Row],[SATINALMA]]*DST_123_ÜRETİM_İHTİYAÇ_RAPORU_BURAK_YENI1309[[#This Row],[BIRIM_FIYATLAR]])</f>
        <v>0</v>
      </c>
      <c r="N1310">
        <v>0.3</v>
      </c>
      <c r="O1310" t="s">
        <v>240</v>
      </c>
      <c r="P1310">
        <v>2.4</v>
      </c>
      <c r="Q1310" t="s">
        <v>180</v>
      </c>
    </row>
    <row r="1311" spans="1:17" x14ac:dyDescent="0.25">
      <c r="A1311" t="s">
        <v>1143</v>
      </c>
      <c r="B1311" t="s">
        <v>1056</v>
      </c>
      <c r="C1311" t="s">
        <v>175</v>
      </c>
      <c r="D1311" t="s">
        <v>84</v>
      </c>
      <c r="E1311" t="s">
        <v>85</v>
      </c>
      <c r="F1311">
        <v>2</v>
      </c>
      <c r="G1311" t="s">
        <v>176</v>
      </c>
      <c r="H1311">
        <v>0</v>
      </c>
      <c r="I1311">
        <v>40</v>
      </c>
      <c r="J1311" s="10">
        <v>16</v>
      </c>
      <c r="K1311" s="10">
        <f>SUMIFS(F:F,D:D,DST_123_ÜRETİM_İHTİYAÇ_RAPORU_BURAK_YENI1309[[#This Row],[ALT_KOD]])-(SUMIFS(H:H,D:D,DST_123_ÜRETİM_İHTİYAÇ_RAPORU_BURAK_YENI1309[[#This Row],[ALT_KOD]])+AVERAGEIFS(I:I,D:D,DST_123_ÜRETİM_İHTİYAÇ_RAPORU_BURAK_YENI1309[[#This Row],[ALT_KOD]])+AVERAGEIFS(L:L,D:D,DST_123_ÜRETİM_İHTİYAÇ_RAPORU_BURAK_YENI1309[[#This Row],[ALT_KOD]]))</f>
        <v>-18</v>
      </c>
      <c r="L1311">
        <v>0</v>
      </c>
      <c r="M1311">
        <f>IF((DST_123_ÜRETİM_İHTİYAÇ_RAPORU_BURAK_YENI1309[[#This Row],[SATINALMA]]*DST_123_ÜRETİM_İHTİYAÇ_RAPORU_BURAK_YENI1309[[#This Row],[BIRIM_FIYATLAR]])&lt;1,VALUE("0"),DST_123_ÜRETİM_İHTİYAÇ_RAPORU_BURAK_YENI1309[[#This Row],[SATINALMA]]*DST_123_ÜRETİM_İHTİYAÇ_RAPORU_BURAK_YENI1309[[#This Row],[BIRIM_FIYATLAR]])</f>
        <v>0</v>
      </c>
      <c r="N1311">
        <v>375</v>
      </c>
      <c r="O1311" t="s">
        <v>247</v>
      </c>
      <c r="P1311">
        <v>750</v>
      </c>
      <c r="Q1311" t="s">
        <v>177</v>
      </c>
    </row>
    <row r="1312" spans="1:17" x14ac:dyDescent="0.25">
      <c r="A1312" t="s">
        <v>1059</v>
      </c>
      <c r="B1312" t="s">
        <v>1058</v>
      </c>
      <c r="C1312" t="s">
        <v>175</v>
      </c>
      <c r="D1312" t="s">
        <v>198</v>
      </c>
      <c r="E1312" t="s">
        <v>199</v>
      </c>
      <c r="F1312">
        <v>1</v>
      </c>
      <c r="G1312" t="s">
        <v>176</v>
      </c>
      <c r="H1312">
        <v>0</v>
      </c>
      <c r="I1312">
        <v>1</v>
      </c>
      <c r="J1312" s="10">
        <v>8</v>
      </c>
      <c r="K1312" s="10">
        <f>SUMIFS(F:F,D:D,DST_123_ÜRETİM_İHTİYAÇ_RAPORU_BURAK_YENI1309[[#This Row],[ALT_KOD]])-(SUMIFS(H:H,D:D,DST_123_ÜRETİM_İHTİYAÇ_RAPORU_BURAK_YENI1309[[#This Row],[ALT_KOD]])+AVERAGEIFS(I:I,D:D,DST_123_ÜRETİM_İHTİYAÇ_RAPORU_BURAK_YENI1309[[#This Row],[ALT_KOD]])+AVERAGEIFS(L:L,D:D,DST_123_ÜRETİM_İHTİYAÇ_RAPORU_BURAK_YENI1309[[#This Row],[ALT_KOD]]))</f>
        <v>10</v>
      </c>
      <c r="L1312">
        <v>0</v>
      </c>
      <c r="M1312">
        <f>IF((DST_123_ÜRETİM_İHTİYAÇ_RAPORU_BURAK_YENI1309[[#This Row],[SATINALMA]]*DST_123_ÜRETİM_İHTİYAÇ_RAPORU_BURAK_YENI1309[[#This Row],[BIRIM_FIYATLAR]])&lt;1,VALUE("0"),DST_123_ÜRETİM_İHTİYAÇ_RAPORU_BURAK_YENI1309[[#This Row],[SATINALMA]]*DST_123_ÜRETİM_İHTİYAÇ_RAPORU_BURAK_YENI1309[[#This Row],[BIRIM_FIYATLAR]])</f>
        <v>156184.20000000001</v>
      </c>
      <c r="N1312">
        <v>15618.42</v>
      </c>
      <c r="O1312" t="s">
        <v>215</v>
      </c>
      <c r="P1312">
        <v>15618.42</v>
      </c>
      <c r="Q1312" t="s">
        <v>177</v>
      </c>
    </row>
    <row r="1313" spans="1:17" x14ac:dyDescent="0.25">
      <c r="A1313" t="s">
        <v>1097</v>
      </c>
      <c r="B1313" t="s">
        <v>1055</v>
      </c>
      <c r="C1313" t="s">
        <v>175</v>
      </c>
      <c r="D1313" t="s">
        <v>312</v>
      </c>
      <c r="E1313" t="s">
        <v>313</v>
      </c>
      <c r="F1313">
        <v>12</v>
      </c>
      <c r="G1313" t="s">
        <v>179</v>
      </c>
      <c r="H1313">
        <v>0</v>
      </c>
      <c r="I1313">
        <v>125</v>
      </c>
      <c r="J1313" s="10">
        <v>16.5</v>
      </c>
      <c r="K1313" s="10">
        <f>SUMIFS(F:F,D:D,DST_123_ÜRETİM_İHTİYAÇ_RAPORU_BURAK_YENI1309[[#This Row],[ALT_KOD]])-(SUMIFS(H:H,D:D,DST_123_ÜRETİM_İHTİYAÇ_RAPORU_BURAK_YENI1309[[#This Row],[ALT_KOD]])+AVERAGEIFS(I:I,D:D,DST_123_ÜRETİM_İHTİYAÇ_RAPORU_BURAK_YENI1309[[#This Row],[ALT_KOD]])+AVERAGEIFS(L:L,D:D,DST_123_ÜRETİM_İHTİYAÇ_RAPORU_BURAK_YENI1309[[#This Row],[ALT_KOD]]))</f>
        <v>-24</v>
      </c>
      <c r="L1313">
        <v>0</v>
      </c>
      <c r="M1313">
        <f>IF((DST_123_ÜRETİM_İHTİYAÇ_RAPORU_BURAK_YENI1309[[#This Row],[SATINALMA]]*DST_123_ÜRETİM_İHTİYAÇ_RAPORU_BURAK_YENI1309[[#This Row],[BIRIM_FIYATLAR]])&lt;1,VALUE("0"),DST_123_ÜRETİM_İHTİYAÇ_RAPORU_BURAK_YENI1309[[#This Row],[SATINALMA]]*DST_123_ÜRETİM_İHTİYAÇ_RAPORU_BURAK_YENI1309[[#This Row],[BIRIM_FIYATLAR]])</f>
        <v>0</v>
      </c>
      <c r="N1313">
        <v>80.84</v>
      </c>
      <c r="O1313" t="s">
        <v>314</v>
      </c>
      <c r="P1313">
        <v>970.08</v>
      </c>
      <c r="Q1313" t="s">
        <v>178</v>
      </c>
    </row>
    <row r="1314" spans="1:17" x14ac:dyDescent="0.25">
      <c r="A1314" t="s">
        <v>1149</v>
      </c>
      <c r="B1314" t="s">
        <v>1145</v>
      </c>
      <c r="C1314" t="s">
        <v>175</v>
      </c>
      <c r="D1314" t="s">
        <v>36</v>
      </c>
      <c r="E1314" t="s">
        <v>37</v>
      </c>
      <c r="F1314">
        <v>3</v>
      </c>
      <c r="G1314" t="s">
        <v>176</v>
      </c>
      <c r="H1314">
        <v>0</v>
      </c>
      <c r="I1314">
        <v>29</v>
      </c>
      <c r="J1314" s="10">
        <v>30</v>
      </c>
      <c r="K1314" s="10">
        <f>SUMIFS(F:F,D:D,DST_123_ÜRETİM_İHTİYAÇ_RAPORU_BURAK_YENI1309[[#This Row],[ALT_KOD]])-(SUMIFS(H:H,D:D,DST_123_ÜRETİM_İHTİYAÇ_RAPORU_BURAK_YENI1309[[#This Row],[ALT_KOD]])+AVERAGEIFS(I:I,D:D,DST_123_ÜRETİM_İHTİYAÇ_RAPORU_BURAK_YENI1309[[#This Row],[ALT_KOD]])+AVERAGEIFS(L:L,D:D,DST_123_ÜRETİM_İHTİYAÇ_RAPORU_BURAK_YENI1309[[#This Row],[ALT_KOD]]))</f>
        <v>10</v>
      </c>
      <c r="L1314">
        <v>0</v>
      </c>
      <c r="M1314">
        <f>IF((DST_123_ÜRETİM_İHTİYAÇ_RAPORU_BURAK_YENI1309[[#This Row],[SATINALMA]]*DST_123_ÜRETİM_İHTİYAÇ_RAPORU_BURAK_YENI1309[[#This Row],[BIRIM_FIYATLAR]])&lt;1,VALUE("0"),DST_123_ÜRETİM_İHTİYAÇ_RAPORU_BURAK_YENI1309[[#This Row],[SATINALMA]]*DST_123_ÜRETİM_İHTİYAÇ_RAPORU_BURAK_YENI1309[[#This Row],[BIRIM_FIYATLAR]])</f>
        <v>17500</v>
      </c>
      <c r="N1314">
        <v>1750</v>
      </c>
      <c r="O1314" t="s">
        <v>1220</v>
      </c>
      <c r="P1314">
        <v>5250</v>
      </c>
      <c r="Q1314" t="s">
        <v>221</v>
      </c>
    </row>
    <row r="1315" spans="1:17" x14ac:dyDescent="0.25">
      <c r="A1315" t="s">
        <v>1149</v>
      </c>
      <c r="B1315" t="s">
        <v>1145</v>
      </c>
      <c r="C1315" t="s">
        <v>175</v>
      </c>
      <c r="D1315" t="s">
        <v>238</v>
      </c>
      <c r="E1315" t="s">
        <v>239</v>
      </c>
      <c r="F1315">
        <v>2.8</v>
      </c>
      <c r="G1315" t="s">
        <v>185</v>
      </c>
      <c r="H1315">
        <v>0</v>
      </c>
      <c r="I1315">
        <v>110</v>
      </c>
      <c r="J1315" s="10">
        <v>57.22</v>
      </c>
      <c r="K1315" s="10">
        <f>SUMIFS(F:F,D:D,DST_123_ÜRETİM_İHTİYAÇ_RAPORU_BURAK_YENI1309[[#This Row],[ALT_KOD]])-(SUMIFS(H:H,D:D,DST_123_ÜRETİM_İHTİYAÇ_RAPORU_BURAK_YENI1309[[#This Row],[ALT_KOD]])+AVERAGEIFS(I:I,D:D,DST_123_ÜRETİM_İHTİYAÇ_RAPORU_BURAK_YENI1309[[#This Row],[ALT_KOD]])+AVERAGEIFS(L:L,D:D,DST_123_ÜRETİM_İHTİYAÇ_RAPORU_BURAK_YENI1309[[#This Row],[ALT_KOD]]))</f>
        <v>-78.660000000000025</v>
      </c>
      <c r="L1315">
        <v>0</v>
      </c>
      <c r="M1315">
        <f>IF((DST_123_ÜRETİM_İHTİYAÇ_RAPORU_BURAK_YENI1309[[#This Row],[SATINALMA]]*DST_123_ÜRETİM_İHTİYAÇ_RAPORU_BURAK_YENI1309[[#This Row],[BIRIM_FIYATLAR]])&lt;1,VALUE("0"),DST_123_ÜRETİM_İHTİYAÇ_RAPORU_BURAK_YENI1309[[#This Row],[SATINALMA]]*DST_123_ÜRETİM_İHTİYAÇ_RAPORU_BURAK_YENI1309[[#This Row],[BIRIM_FIYATLAR]])</f>
        <v>0</v>
      </c>
      <c r="N1315">
        <v>40</v>
      </c>
      <c r="O1315" t="s">
        <v>240</v>
      </c>
      <c r="P1315">
        <v>112</v>
      </c>
      <c r="Q1315" t="s">
        <v>180</v>
      </c>
    </row>
    <row r="1316" spans="1:17" x14ac:dyDescent="0.25">
      <c r="A1316" t="s">
        <v>1146</v>
      </c>
      <c r="B1316" t="s">
        <v>1145</v>
      </c>
      <c r="C1316" t="s">
        <v>175</v>
      </c>
      <c r="D1316" t="s">
        <v>883</v>
      </c>
      <c r="E1316" t="s">
        <v>884</v>
      </c>
      <c r="F1316">
        <v>9</v>
      </c>
      <c r="G1316" t="s">
        <v>179</v>
      </c>
      <c r="H1316">
        <v>0</v>
      </c>
      <c r="I1316">
        <v>480</v>
      </c>
      <c r="J1316" s="10">
        <v>0</v>
      </c>
      <c r="K1316" s="10">
        <f>SUMIFS(F:F,D:D,DST_123_ÜRETİM_İHTİYAÇ_RAPORU_BURAK_YENI1309[[#This Row],[ALT_KOD]])-(SUMIFS(H:H,D:D,DST_123_ÜRETİM_İHTİYAÇ_RAPORU_BURAK_YENI1309[[#This Row],[ALT_KOD]])+AVERAGEIFS(I:I,D:D,DST_123_ÜRETİM_İHTİYAÇ_RAPORU_BURAK_YENI1309[[#This Row],[ALT_KOD]])+AVERAGEIFS(L:L,D:D,DST_123_ÜRETİM_İHTİYAÇ_RAPORU_BURAK_YENI1309[[#This Row],[ALT_KOD]]))</f>
        <v>-408</v>
      </c>
      <c r="L1316">
        <v>0</v>
      </c>
      <c r="M1316">
        <f>IF((DST_123_ÜRETİM_İHTİYAÇ_RAPORU_BURAK_YENI1309[[#This Row],[SATINALMA]]*DST_123_ÜRETİM_İHTİYAÇ_RAPORU_BURAK_YENI1309[[#This Row],[BIRIM_FIYATLAR]])&lt;1,VALUE("0"),DST_123_ÜRETİM_İHTİYAÇ_RAPORU_BURAK_YENI1309[[#This Row],[SATINALMA]]*DST_123_ÜRETİM_İHTİYAÇ_RAPORU_BURAK_YENI1309[[#This Row],[BIRIM_FIYATLAR]])</f>
        <v>0</v>
      </c>
      <c r="N1316">
        <v>4</v>
      </c>
      <c r="P1316">
        <v>36</v>
      </c>
      <c r="Q1316" t="s">
        <v>181</v>
      </c>
    </row>
    <row r="1317" spans="1:17" x14ac:dyDescent="0.25">
      <c r="A1317" t="s">
        <v>1144</v>
      </c>
      <c r="B1317" t="s">
        <v>1145</v>
      </c>
      <c r="C1317" t="s">
        <v>175</v>
      </c>
      <c r="D1317" t="s">
        <v>883</v>
      </c>
      <c r="E1317" t="s">
        <v>884</v>
      </c>
      <c r="F1317">
        <v>9</v>
      </c>
      <c r="G1317" t="s">
        <v>179</v>
      </c>
      <c r="H1317">
        <v>0</v>
      </c>
      <c r="I1317">
        <v>480</v>
      </c>
      <c r="J1317" s="10">
        <v>0</v>
      </c>
      <c r="K1317" s="10">
        <f>SUMIFS(F:F,D:D,DST_123_ÜRETİM_İHTİYAÇ_RAPORU_BURAK_YENI1309[[#This Row],[ALT_KOD]])-(SUMIFS(H:H,D:D,DST_123_ÜRETİM_İHTİYAÇ_RAPORU_BURAK_YENI1309[[#This Row],[ALT_KOD]])+AVERAGEIFS(I:I,D:D,DST_123_ÜRETİM_İHTİYAÇ_RAPORU_BURAK_YENI1309[[#This Row],[ALT_KOD]])+AVERAGEIFS(L:L,D:D,DST_123_ÜRETİM_İHTİYAÇ_RAPORU_BURAK_YENI1309[[#This Row],[ALT_KOD]]))</f>
        <v>-408</v>
      </c>
      <c r="L1317">
        <v>0</v>
      </c>
      <c r="M1317">
        <f>IF((DST_123_ÜRETİM_İHTİYAÇ_RAPORU_BURAK_YENI1309[[#This Row],[SATINALMA]]*DST_123_ÜRETİM_İHTİYAÇ_RAPORU_BURAK_YENI1309[[#This Row],[BIRIM_FIYATLAR]])&lt;1,VALUE("0"),DST_123_ÜRETİM_İHTİYAÇ_RAPORU_BURAK_YENI1309[[#This Row],[SATINALMA]]*DST_123_ÜRETİM_İHTİYAÇ_RAPORU_BURAK_YENI1309[[#This Row],[BIRIM_FIYATLAR]])</f>
        <v>0</v>
      </c>
      <c r="N1317">
        <v>4</v>
      </c>
      <c r="P1317">
        <v>36</v>
      </c>
      <c r="Q1317" t="s">
        <v>181</v>
      </c>
    </row>
    <row r="1318" spans="1:17" x14ac:dyDescent="0.25">
      <c r="A1318" t="s">
        <v>1146</v>
      </c>
      <c r="B1318" t="s">
        <v>1145</v>
      </c>
      <c r="C1318" t="s">
        <v>175</v>
      </c>
      <c r="D1318" t="s">
        <v>823</v>
      </c>
      <c r="E1318" t="s">
        <v>824</v>
      </c>
      <c r="F1318">
        <v>8</v>
      </c>
      <c r="G1318" t="s">
        <v>176</v>
      </c>
      <c r="H1318">
        <v>0</v>
      </c>
      <c r="I1318">
        <v>175</v>
      </c>
      <c r="J1318" s="10">
        <v>0</v>
      </c>
      <c r="K1318" s="10">
        <f>SUMIFS(F:F,D:D,DST_123_ÜRETİM_İHTİYAÇ_RAPORU_BURAK_YENI1309[[#This Row],[ALT_KOD]])-(SUMIFS(H:H,D:D,DST_123_ÜRETİM_İHTİYAÇ_RAPORU_BURAK_YENI1309[[#This Row],[ALT_KOD]])+AVERAGEIFS(I:I,D:D,DST_123_ÜRETİM_İHTİYAÇ_RAPORU_BURAK_YENI1309[[#This Row],[ALT_KOD]])+AVERAGEIFS(L:L,D:D,DST_123_ÜRETİM_İHTİYAÇ_RAPORU_BURAK_YENI1309[[#This Row],[ALT_KOD]]))</f>
        <v>-95</v>
      </c>
      <c r="L1318">
        <v>0</v>
      </c>
      <c r="M1318">
        <f>IF((DST_123_ÜRETİM_İHTİYAÇ_RAPORU_BURAK_YENI1309[[#This Row],[SATINALMA]]*DST_123_ÜRETİM_İHTİYAÇ_RAPORU_BURAK_YENI1309[[#This Row],[BIRIM_FIYATLAR]])&lt;1,VALUE("0"),DST_123_ÜRETİM_İHTİYAÇ_RAPORU_BURAK_YENI1309[[#This Row],[SATINALMA]]*DST_123_ÜRETİM_İHTİYAÇ_RAPORU_BURAK_YENI1309[[#This Row],[BIRIM_FIYATLAR]])</f>
        <v>0</v>
      </c>
      <c r="N1318">
        <v>8.42</v>
      </c>
      <c r="O1318" t="s">
        <v>882</v>
      </c>
      <c r="P1318">
        <v>67.36</v>
      </c>
      <c r="Q1318" t="s">
        <v>178</v>
      </c>
    </row>
    <row r="1319" spans="1:17" x14ac:dyDescent="0.25">
      <c r="A1319" t="s">
        <v>1144</v>
      </c>
      <c r="B1319" t="s">
        <v>1145</v>
      </c>
      <c r="C1319" t="s">
        <v>175</v>
      </c>
      <c r="D1319" t="s">
        <v>823</v>
      </c>
      <c r="E1319" t="s">
        <v>824</v>
      </c>
      <c r="F1319">
        <v>8</v>
      </c>
      <c r="G1319" t="s">
        <v>176</v>
      </c>
      <c r="H1319">
        <v>0</v>
      </c>
      <c r="I1319">
        <v>175</v>
      </c>
      <c r="J1319" s="10">
        <v>0</v>
      </c>
      <c r="K1319" s="10">
        <f>SUMIFS(F:F,D:D,DST_123_ÜRETİM_İHTİYAÇ_RAPORU_BURAK_YENI1309[[#This Row],[ALT_KOD]])-(SUMIFS(H:H,D:D,DST_123_ÜRETİM_İHTİYAÇ_RAPORU_BURAK_YENI1309[[#This Row],[ALT_KOD]])+AVERAGEIFS(I:I,D:D,DST_123_ÜRETİM_İHTİYAÇ_RAPORU_BURAK_YENI1309[[#This Row],[ALT_KOD]])+AVERAGEIFS(L:L,D:D,DST_123_ÜRETİM_İHTİYAÇ_RAPORU_BURAK_YENI1309[[#This Row],[ALT_KOD]]))</f>
        <v>-95</v>
      </c>
      <c r="L1319">
        <v>0</v>
      </c>
      <c r="M1319">
        <f>IF((DST_123_ÜRETİM_İHTİYAÇ_RAPORU_BURAK_YENI1309[[#This Row],[SATINALMA]]*DST_123_ÜRETİM_İHTİYAÇ_RAPORU_BURAK_YENI1309[[#This Row],[BIRIM_FIYATLAR]])&lt;1,VALUE("0"),DST_123_ÜRETİM_İHTİYAÇ_RAPORU_BURAK_YENI1309[[#This Row],[SATINALMA]]*DST_123_ÜRETİM_İHTİYAÇ_RAPORU_BURAK_YENI1309[[#This Row],[BIRIM_FIYATLAR]])</f>
        <v>0</v>
      </c>
      <c r="N1319">
        <v>8.42</v>
      </c>
      <c r="O1319" t="s">
        <v>882</v>
      </c>
      <c r="P1319">
        <v>67.36</v>
      </c>
      <c r="Q1319" t="s">
        <v>178</v>
      </c>
    </row>
    <row r="1320" spans="1:17" x14ac:dyDescent="0.25">
      <c r="A1320" t="s">
        <v>1146</v>
      </c>
      <c r="B1320" t="s">
        <v>1145</v>
      </c>
      <c r="C1320" t="s">
        <v>175</v>
      </c>
      <c r="D1320" t="s">
        <v>312</v>
      </c>
      <c r="E1320" t="s">
        <v>313</v>
      </c>
      <c r="F1320">
        <v>4</v>
      </c>
      <c r="G1320" t="s">
        <v>179</v>
      </c>
      <c r="H1320">
        <v>0</v>
      </c>
      <c r="I1320">
        <v>125</v>
      </c>
      <c r="J1320" s="10">
        <v>16.5</v>
      </c>
      <c r="K1320" s="10">
        <f>SUMIFS(F:F,D:D,DST_123_ÜRETİM_İHTİYAÇ_RAPORU_BURAK_YENI1309[[#This Row],[ALT_KOD]])-(SUMIFS(H:H,D:D,DST_123_ÜRETİM_İHTİYAÇ_RAPORU_BURAK_YENI1309[[#This Row],[ALT_KOD]])+AVERAGEIFS(I:I,D:D,DST_123_ÜRETİM_İHTİYAÇ_RAPORU_BURAK_YENI1309[[#This Row],[ALT_KOD]])+AVERAGEIFS(L:L,D:D,DST_123_ÜRETİM_İHTİYAÇ_RAPORU_BURAK_YENI1309[[#This Row],[ALT_KOD]]))</f>
        <v>-24</v>
      </c>
      <c r="L1320">
        <v>0</v>
      </c>
      <c r="M1320">
        <f>IF((DST_123_ÜRETİM_İHTİYAÇ_RAPORU_BURAK_YENI1309[[#This Row],[SATINALMA]]*DST_123_ÜRETİM_İHTİYAÇ_RAPORU_BURAK_YENI1309[[#This Row],[BIRIM_FIYATLAR]])&lt;1,VALUE("0"),DST_123_ÜRETİM_İHTİYAÇ_RAPORU_BURAK_YENI1309[[#This Row],[SATINALMA]]*DST_123_ÜRETİM_İHTİYAÇ_RAPORU_BURAK_YENI1309[[#This Row],[BIRIM_FIYATLAR]])</f>
        <v>0</v>
      </c>
      <c r="N1320">
        <v>80.84</v>
      </c>
      <c r="O1320" t="s">
        <v>314</v>
      </c>
      <c r="P1320">
        <v>323.36</v>
      </c>
      <c r="Q1320" t="s">
        <v>178</v>
      </c>
    </row>
    <row r="1321" spans="1:17" x14ac:dyDescent="0.25">
      <c r="A1321" t="s">
        <v>1144</v>
      </c>
      <c r="B1321" t="s">
        <v>1145</v>
      </c>
      <c r="C1321" t="s">
        <v>175</v>
      </c>
      <c r="D1321" t="s">
        <v>312</v>
      </c>
      <c r="E1321" t="s">
        <v>313</v>
      </c>
      <c r="F1321">
        <v>4</v>
      </c>
      <c r="G1321" t="s">
        <v>179</v>
      </c>
      <c r="H1321">
        <v>0</v>
      </c>
      <c r="I1321">
        <v>125</v>
      </c>
      <c r="J1321" s="10">
        <v>16.5</v>
      </c>
      <c r="K1321" s="10">
        <f>SUMIFS(F:F,D:D,DST_123_ÜRETİM_İHTİYAÇ_RAPORU_BURAK_YENI1309[[#This Row],[ALT_KOD]])-(SUMIFS(H:H,D:D,DST_123_ÜRETİM_İHTİYAÇ_RAPORU_BURAK_YENI1309[[#This Row],[ALT_KOD]])+AVERAGEIFS(I:I,D:D,DST_123_ÜRETİM_İHTİYAÇ_RAPORU_BURAK_YENI1309[[#This Row],[ALT_KOD]])+AVERAGEIFS(L:L,D:D,DST_123_ÜRETİM_İHTİYAÇ_RAPORU_BURAK_YENI1309[[#This Row],[ALT_KOD]]))</f>
        <v>-24</v>
      </c>
      <c r="L1321">
        <v>0</v>
      </c>
      <c r="M1321">
        <f>IF((DST_123_ÜRETİM_İHTİYAÇ_RAPORU_BURAK_YENI1309[[#This Row],[SATINALMA]]*DST_123_ÜRETİM_İHTİYAÇ_RAPORU_BURAK_YENI1309[[#This Row],[BIRIM_FIYATLAR]])&lt;1,VALUE("0"),DST_123_ÜRETİM_İHTİYAÇ_RAPORU_BURAK_YENI1309[[#This Row],[SATINALMA]]*DST_123_ÜRETİM_İHTİYAÇ_RAPORU_BURAK_YENI1309[[#This Row],[BIRIM_FIYATLAR]])</f>
        <v>0</v>
      </c>
      <c r="N1321">
        <v>80.84</v>
      </c>
      <c r="O1321" t="s">
        <v>314</v>
      </c>
      <c r="P1321">
        <v>323.36</v>
      </c>
      <c r="Q1321" t="s">
        <v>178</v>
      </c>
    </row>
    <row r="1322" spans="1:17" x14ac:dyDescent="0.25">
      <c r="A1322" t="s">
        <v>1144</v>
      </c>
      <c r="B1322" t="s">
        <v>1145</v>
      </c>
      <c r="C1322" t="s">
        <v>175</v>
      </c>
      <c r="D1322" t="s">
        <v>307</v>
      </c>
      <c r="E1322" t="s">
        <v>308</v>
      </c>
      <c r="F1322">
        <v>1</v>
      </c>
      <c r="G1322" t="s">
        <v>176</v>
      </c>
      <c r="H1322">
        <v>0</v>
      </c>
      <c r="I1322">
        <v>13</v>
      </c>
      <c r="J1322" s="10">
        <v>1</v>
      </c>
      <c r="K1322" s="10">
        <f>SUMIFS(F:F,D:D,DST_123_ÜRETİM_İHTİYAÇ_RAPORU_BURAK_YENI1309[[#This Row],[ALT_KOD]])-(SUMIFS(H:H,D:D,DST_123_ÜRETİM_İHTİYAÇ_RAPORU_BURAK_YENI1309[[#This Row],[ALT_KOD]])+AVERAGEIFS(I:I,D:D,DST_123_ÜRETİM_İHTİYAÇ_RAPORU_BURAK_YENI1309[[#This Row],[ALT_KOD]])+AVERAGEIFS(L:L,D:D,DST_123_ÜRETİM_İHTİYAÇ_RAPORU_BURAK_YENI1309[[#This Row],[ALT_KOD]]))</f>
        <v>24</v>
      </c>
      <c r="L1322">
        <v>0</v>
      </c>
      <c r="M1322">
        <f>IF((DST_123_ÜRETİM_İHTİYAÇ_RAPORU_BURAK_YENI1309[[#This Row],[SATINALMA]]*DST_123_ÜRETİM_İHTİYAÇ_RAPORU_BURAK_YENI1309[[#This Row],[BIRIM_FIYATLAR]])&lt;1,VALUE("0"),DST_123_ÜRETİM_İHTİYAÇ_RAPORU_BURAK_YENI1309[[#This Row],[SATINALMA]]*DST_123_ÜRETİM_İHTİYAÇ_RAPORU_BURAK_YENI1309[[#This Row],[BIRIM_FIYATLAR]])</f>
        <v>1570.08</v>
      </c>
      <c r="N1322">
        <v>65.42</v>
      </c>
      <c r="O1322" t="s">
        <v>628</v>
      </c>
      <c r="P1322">
        <v>65.42</v>
      </c>
      <c r="Q1322" t="s">
        <v>178</v>
      </c>
    </row>
    <row r="1323" spans="1:17" x14ac:dyDescent="0.25">
      <c r="A1323" t="s">
        <v>1146</v>
      </c>
      <c r="B1323" t="s">
        <v>1145</v>
      </c>
      <c r="C1323" t="s">
        <v>175</v>
      </c>
      <c r="D1323" t="s">
        <v>307</v>
      </c>
      <c r="E1323" t="s">
        <v>308</v>
      </c>
      <c r="F1323">
        <v>1</v>
      </c>
      <c r="G1323" t="s">
        <v>176</v>
      </c>
      <c r="H1323">
        <v>0</v>
      </c>
      <c r="I1323">
        <v>13</v>
      </c>
      <c r="J1323" s="10">
        <v>1</v>
      </c>
      <c r="K1323" s="10">
        <f>SUMIFS(F:F,D:D,DST_123_ÜRETİM_İHTİYAÇ_RAPORU_BURAK_YENI1309[[#This Row],[ALT_KOD]])-(SUMIFS(H:H,D:D,DST_123_ÜRETİM_İHTİYAÇ_RAPORU_BURAK_YENI1309[[#This Row],[ALT_KOD]])+AVERAGEIFS(I:I,D:D,DST_123_ÜRETİM_İHTİYAÇ_RAPORU_BURAK_YENI1309[[#This Row],[ALT_KOD]])+AVERAGEIFS(L:L,D:D,DST_123_ÜRETİM_İHTİYAÇ_RAPORU_BURAK_YENI1309[[#This Row],[ALT_KOD]]))</f>
        <v>24</v>
      </c>
      <c r="L1323">
        <v>0</v>
      </c>
      <c r="M1323">
        <f>IF((DST_123_ÜRETİM_İHTİYAÇ_RAPORU_BURAK_YENI1309[[#This Row],[SATINALMA]]*DST_123_ÜRETİM_İHTİYAÇ_RAPORU_BURAK_YENI1309[[#This Row],[BIRIM_FIYATLAR]])&lt;1,VALUE("0"),DST_123_ÜRETİM_İHTİYAÇ_RAPORU_BURAK_YENI1309[[#This Row],[SATINALMA]]*DST_123_ÜRETİM_İHTİYAÇ_RAPORU_BURAK_YENI1309[[#This Row],[BIRIM_FIYATLAR]])</f>
        <v>1570.08</v>
      </c>
      <c r="N1323">
        <v>65.42</v>
      </c>
      <c r="O1323" t="s">
        <v>628</v>
      </c>
      <c r="P1323">
        <v>65.42</v>
      </c>
      <c r="Q1323" t="s">
        <v>178</v>
      </c>
    </row>
    <row r="1324" spans="1:17" x14ac:dyDescent="0.25">
      <c r="A1324" t="s">
        <v>1150</v>
      </c>
      <c r="B1324" t="s">
        <v>1145</v>
      </c>
      <c r="C1324" t="s">
        <v>175</v>
      </c>
      <c r="D1324" t="s">
        <v>324</v>
      </c>
      <c r="E1324" t="s">
        <v>325</v>
      </c>
      <c r="F1324">
        <v>0.10400000000000001</v>
      </c>
      <c r="G1324" t="s">
        <v>176</v>
      </c>
      <c r="H1324">
        <v>0</v>
      </c>
      <c r="I1324">
        <v>0</v>
      </c>
      <c r="J1324" s="10">
        <v>1.7763568394002505E-15</v>
      </c>
      <c r="K1324" s="10">
        <f>SUMIFS(F:F,D:D,DST_123_ÜRETİM_İHTİYAÇ_RAPORU_BURAK_YENI1309[[#This Row],[ALT_KOD]])-(SUMIFS(H:H,D:D,DST_123_ÜRETİM_İHTİYAÇ_RAPORU_BURAK_YENI1309[[#This Row],[ALT_KOD]])+AVERAGEIFS(I:I,D:D,DST_123_ÜRETİM_İHTİYAÇ_RAPORU_BURAK_YENI1309[[#This Row],[ALT_KOD]])+AVERAGEIFS(L:L,D:D,DST_123_ÜRETİM_İHTİYAÇ_RAPORU_BURAK_YENI1309[[#This Row],[ALT_KOD]]))</f>
        <v>2.5820000000000007</v>
      </c>
      <c r="L1324">
        <v>0</v>
      </c>
      <c r="M1324">
        <f>IF((DST_123_ÜRETİM_İHTİYAÇ_RAPORU_BURAK_YENI1309[[#This Row],[SATINALMA]]*DST_123_ÜRETİM_İHTİYAÇ_RAPORU_BURAK_YENI1309[[#This Row],[BIRIM_FIYATLAR]])&lt;1,VALUE("0"),DST_123_ÜRETİM_İHTİYAÇ_RAPORU_BURAK_YENI1309[[#This Row],[SATINALMA]]*DST_123_ÜRETİM_İHTİYAÇ_RAPORU_BURAK_YENI1309[[#This Row],[BIRIM_FIYATLAR]])</f>
        <v>4066.650000000001</v>
      </c>
      <c r="N1324">
        <v>1575</v>
      </c>
      <c r="O1324" t="s">
        <v>326</v>
      </c>
      <c r="P1324">
        <v>163.80000000000001</v>
      </c>
      <c r="Q1324" t="s">
        <v>178</v>
      </c>
    </row>
    <row r="1325" spans="1:17" x14ac:dyDescent="0.25">
      <c r="A1325" t="s">
        <v>1150</v>
      </c>
      <c r="B1325" t="s">
        <v>1145</v>
      </c>
      <c r="C1325" t="s">
        <v>175</v>
      </c>
      <c r="D1325" t="s">
        <v>149</v>
      </c>
      <c r="E1325" t="s">
        <v>150</v>
      </c>
      <c r="F1325">
        <v>1.3</v>
      </c>
      <c r="G1325" t="s">
        <v>176</v>
      </c>
      <c r="H1325">
        <v>0</v>
      </c>
      <c r="I1325">
        <v>5</v>
      </c>
      <c r="J1325" s="10">
        <v>0</v>
      </c>
      <c r="K1325" s="10">
        <f>SUMIFS(F:F,D:D,DST_123_ÜRETİM_İHTİYAÇ_RAPORU_BURAK_YENI1309[[#This Row],[ALT_KOD]])-(SUMIFS(H:H,D:D,DST_123_ÜRETİM_İHTİYAÇ_RAPORU_BURAK_YENI1309[[#This Row],[ALT_KOD]])+AVERAGEIFS(I:I,D:D,DST_123_ÜRETİM_İHTİYAÇ_RAPORU_BURAK_YENI1309[[#This Row],[ALT_KOD]])+AVERAGEIFS(L:L,D:D,DST_123_ÜRETİM_İHTİYAÇ_RAPORU_BURAK_YENI1309[[#This Row],[ALT_KOD]]))</f>
        <v>4.6000000000000014</v>
      </c>
      <c r="L1325">
        <v>5</v>
      </c>
      <c r="M1325">
        <f>IF((DST_123_ÜRETİM_İHTİYAÇ_RAPORU_BURAK_YENI1309[[#This Row],[SATINALMA]]*DST_123_ÜRETİM_İHTİYAÇ_RAPORU_BURAK_YENI1309[[#This Row],[BIRIM_FIYATLAR]])&lt;1,VALUE("0"),DST_123_ÜRETİM_İHTİYAÇ_RAPORU_BURAK_YENI1309[[#This Row],[SATINALMA]]*DST_123_ÜRETİM_İHTİYAÇ_RAPORU_BURAK_YENI1309[[#This Row],[BIRIM_FIYATLAR]])</f>
        <v>5276.2000000000016</v>
      </c>
      <c r="N1325">
        <v>1147</v>
      </c>
      <c r="O1325" t="s">
        <v>672</v>
      </c>
      <c r="P1325">
        <v>1491.1000000000001</v>
      </c>
      <c r="Q1325" t="s">
        <v>184</v>
      </c>
    </row>
    <row r="1326" spans="1:17" x14ac:dyDescent="0.25">
      <c r="A1326" t="s">
        <v>1150</v>
      </c>
      <c r="B1326" t="s">
        <v>1145</v>
      </c>
      <c r="C1326" t="s">
        <v>175</v>
      </c>
      <c r="D1326" t="s">
        <v>468</v>
      </c>
      <c r="E1326" t="s">
        <v>579</v>
      </c>
      <c r="F1326">
        <v>1.5</v>
      </c>
      <c r="G1326" t="s">
        <v>185</v>
      </c>
      <c r="H1326">
        <v>0</v>
      </c>
      <c r="I1326">
        <v>30</v>
      </c>
      <c r="J1326" s="10">
        <v>21.5</v>
      </c>
      <c r="K1326" s="10">
        <f>SUMIFS(F:F,D:D,DST_123_ÜRETİM_İHTİYAÇ_RAPORU_BURAK_YENI1309[[#This Row],[ALT_KOD]])-(SUMIFS(H:H,D:D,DST_123_ÜRETİM_İHTİYAÇ_RAPORU_BURAK_YENI1309[[#This Row],[ALT_KOD]])+AVERAGEIFS(I:I,D:D,DST_123_ÜRETİM_İHTİYAÇ_RAPORU_BURAK_YENI1309[[#This Row],[ALT_KOD]])+AVERAGEIFS(L:L,D:D,DST_123_ÜRETİM_İHTİYAÇ_RAPORU_BURAK_YENI1309[[#This Row],[ALT_KOD]]))</f>
        <v>4</v>
      </c>
      <c r="L1326">
        <v>0</v>
      </c>
      <c r="M1326">
        <f>IF((DST_123_ÜRETİM_İHTİYAÇ_RAPORU_BURAK_YENI1309[[#This Row],[SATINALMA]]*DST_123_ÜRETİM_İHTİYAÇ_RAPORU_BURAK_YENI1309[[#This Row],[BIRIM_FIYATLAR]])&lt;1,VALUE("0"),DST_123_ÜRETİM_İHTİYAÇ_RAPORU_BURAK_YENI1309[[#This Row],[SATINALMA]]*DST_123_ÜRETİM_İHTİYAÇ_RAPORU_BURAK_YENI1309[[#This Row],[BIRIM_FIYATLAR]])</f>
        <v>472.56</v>
      </c>
      <c r="N1326">
        <v>118.14</v>
      </c>
      <c r="O1326" t="s">
        <v>393</v>
      </c>
      <c r="P1326">
        <v>177.21</v>
      </c>
      <c r="Q1326" t="s">
        <v>183</v>
      </c>
    </row>
    <row r="1327" spans="1:17" x14ac:dyDescent="0.25">
      <c r="A1327" t="s">
        <v>1150</v>
      </c>
      <c r="B1327" t="s">
        <v>1145</v>
      </c>
      <c r="C1327" t="s">
        <v>175</v>
      </c>
      <c r="D1327" t="s">
        <v>413</v>
      </c>
      <c r="E1327" t="s">
        <v>664</v>
      </c>
      <c r="F1327">
        <v>0.30000000000000004</v>
      </c>
      <c r="G1327" t="s">
        <v>179</v>
      </c>
      <c r="H1327">
        <v>0</v>
      </c>
      <c r="I1327">
        <v>0</v>
      </c>
      <c r="J1327" s="10">
        <v>93.800000000000011</v>
      </c>
      <c r="K1327" s="10">
        <f>SUMIFS(F:F,D:D,DST_123_ÜRETİM_İHTİYAÇ_RAPORU_BURAK_YENI1309[[#This Row],[ALT_KOD]])-(SUMIFS(H:H,D:D,DST_123_ÜRETİM_İHTİYAÇ_RAPORU_BURAK_YENI1309[[#This Row],[ALT_KOD]])+AVERAGEIFS(I:I,D:D,DST_123_ÜRETİM_İHTİYAÇ_RAPORU_BURAK_YENI1309[[#This Row],[ALT_KOD]])+AVERAGEIFS(L:L,D:D,DST_123_ÜRETİM_İHTİYAÇ_RAPORU_BURAK_YENI1309[[#This Row],[ALT_KOD]]))</f>
        <v>5.0999999999999996</v>
      </c>
      <c r="L1327">
        <v>0</v>
      </c>
      <c r="M1327">
        <f>IF((DST_123_ÜRETİM_İHTİYAÇ_RAPORU_BURAK_YENI1309[[#This Row],[SATINALMA]]*DST_123_ÜRETİM_İHTİYAÇ_RAPORU_BURAK_YENI1309[[#This Row],[BIRIM_FIYATLAR]])&lt;1,VALUE("0"),DST_123_ÜRETİM_İHTİYAÇ_RAPORU_BURAK_YENI1309[[#This Row],[SATINALMA]]*DST_123_ÜRETİM_İHTİYAÇ_RAPORU_BURAK_YENI1309[[#This Row],[BIRIM_FIYATLAR]])</f>
        <v>34.526999999999994</v>
      </c>
      <c r="N1327">
        <v>6.77</v>
      </c>
      <c r="O1327" t="s">
        <v>635</v>
      </c>
      <c r="P1327">
        <v>2.0310000000000001</v>
      </c>
      <c r="Q1327" t="s">
        <v>221</v>
      </c>
    </row>
    <row r="1328" spans="1:17" x14ac:dyDescent="0.25">
      <c r="A1328" t="s">
        <v>1150</v>
      </c>
      <c r="B1328" t="s">
        <v>1145</v>
      </c>
      <c r="C1328" t="s">
        <v>175</v>
      </c>
      <c r="D1328" t="s">
        <v>237</v>
      </c>
      <c r="E1328" t="s">
        <v>306</v>
      </c>
      <c r="F1328">
        <v>2</v>
      </c>
      <c r="G1328" t="s">
        <v>176</v>
      </c>
      <c r="H1328">
        <v>0</v>
      </c>
      <c r="I1328">
        <v>37</v>
      </c>
      <c r="J1328" s="10">
        <v>20</v>
      </c>
      <c r="K1328" s="10">
        <f>SUMIFS(F:F,D:D,DST_123_ÜRETİM_İHTİYAÇ_RAPORU_BURAK_YENI1309[[#This Row],[ALT_KOD]])-(SUMIFS(H:H,D:D,DST_123_ÜRETİM_İHTİYAÇ_RAPORU_BURAK_YENI1309[[#This Row],[ALT_KOD]])+AVERAGEIFS(I:I,D:D,DST_123_ÜRETİM_İHTİYAÇ_RAPORU_BURAK_YENI1309[[#This Row],[ALT_KOD]])+AVERAGEIFS(L:L,D:D,DST_123_ÜRETİM_İHTİYAÇ_RAPORU_BURAK_YENI1309[[#This Row],[ALT_KOD]]))</f>
        <v>-13</v>
      </c>
      <c r="L1328">
        <v>0</v>
      </c>
      <c r="M1328">
        <f>IF((DST_123_ÜRETİM_İHTİYAÇ_RAPORU_BURAK_YENI1309[[#This Row],[SATINALMA]]*DST_123_ÜRETİM_İHTİYAÇ_RAPORU_BURAK_YENI1309[[#This Row],[BIRIM_FIYATLAR]])&lt;1,VALUE("0"),DST_123_ÜRETİM_İHTİYAÇ_RAPORU_BURAK_YENI1309[[#This Row],[SATINALMA]]*DST_123_ÜRETİM_İHTİYAÇ_RAPORU_BURAK_YENI1309[[#This Row],[BIRIM_FIYATLAR]])</f>
        <v>0</v>
      </c>
      <c r="N1328">
        <v>45.3</v>
      </c>
      <c r="O1328" t="s">
        <v>826</v>
      </c>
      <c r="P1328">
        <v>90.6</v>
      </c>
      <c r="Q1328" t="s">
        <v>221</v>
      </c>
    </row>
    <row r="1329" spans="1:17" x14ac:dyDescent="0.25">
      <c r="A1329" t="s">
        <v>1060</v>
      </c>
      <c r="B1329" t="s">
        <v>1061</v>
      </c>
      <c r="C1329" t="s">
        <v>175</v>
      </c>
      <c r="D1329" t="s">
        <v>324</v>
      </c>
      <c r="E1329" t="s">
        <v>325</v>
      </c>
      <c r="F1329">
        <v>0.10400000000000001</v>
      </c>
      <c r="G1329" t="s">
        <v>176</v>
      </c>
      <c r="H1329">
        <v>0</v>
      </c>
      <c r="I1329">
        <v>0</v>
      </c>
      <c r="J1329" s="10">
        <v>1.7763568394002505E-15</v>
      </c>
      <c r="K1329" s="10">
        <f>SUMIFS(F:F,D:D,DST_123_ÜRETİM_İHTİYAÇ_RAPORU_BURAK_YENI1309[[#This Row],[ALT_KOD]])-(SUMIFS(H:H,D:D,DST_123_ÜRETİM_İHTİYAÇ_RAPORU_BURAK_YENI1309[[#This Row],[ALT_KOD]])+AVERAGEIFS(I:I,D:D,DST_123_ÜRETİM_İHTİYAÇ_RAPORU_BURAK_YENI1309[[#This Row],[ALT_KOD]])+AVERAGEIFS(L:L,D:D,DST_123_ÜRETİM_İHTİYAÇ_RAPORU_BURAK_YENI1309[[#This Row],[ALT_KOD]]))</f>
        <v>2.5820000000000007</v>
      </c>
      <c r="L1329">
        <v>0</v>
      </c>
      <c r="M1329">
        <f>IF((DST_123_ÜRETİM_İHTİYAÇ_RAPORU_BURAK_YENI1309[[#This Row],[SATINALMA]]*DST_123_ÜRETİM_İHTİYAÇ_RAPORU_BURAK_YENI1309[[#This Row],[BIRIM_FIYATLAR]])&lt;1,VALUE("0"),DST_123_ÜRETİM_İHTİYAÇ_RAPORU_BURAK_YENI1309[[#This Row],[SATINALMA]]*DST_123_ÜRETİM_İHTİYAÇ_RAPORU_BURAK_YENI1309[[#This Row],[BIRIM_FIYATLAR]])</f>
        <v>4066.650000000001</v>
      </c>
      <c r="N1329">
        <v>1575</v>
      </c>
      <c r="O1329" t="s">
        <v>326</v>
      </c>
      <c r="P1329">
        <v>163.80000000000001</v>
      </c>
      <c r="Q1329" t="s">
        <v>178</v>
      </c>
    </row>
    <row r="1330" spans="1:17" x14ac:dyDescent="0.25">
      <c r="A1330" t="s">
        <v>1060</v>
      </c>
      <c r="B1330" t="s">
        <v>1061</v>
      </c>
      <c r="C1330" t="s">
        <v>175</v>
      </c>
      <c r="D1330" t="s">
        <v>149</v>
      </c>
      <c r="E1330" t="s">
        <v>150</v>
      </c>
      <c r="F1330">
        <v>1.3</v>
      </c>
      <c r="G1330" t="s">
        <v>176</v>
      </c>
      <c r="H1330">
        <v>0</v>
      </c>
      <c r="I1330">
        <v>5</v>
      </c>
      <c r="J1330" s="10">
        <v>0</v>
      </c>
      <c r="K1330" s="10">
        <f>SUMIFS(F:F,D:D,DST_123_ÜRETİM_İHTİYAÇ_RAPORU_BURAK_YENI1309[[#This Row],[ALT_KOD]])-(SUMIFS(H:H,D:D,DST_123_ÜRETİM_İHTİYAÇ_RAPORU_BURAK_YENI1309[[#This Row],[ALT_KOD]])+AVERAGEIFS(I:I,D:D,DST_123_ÜRETİM_İHTİYAÇ_RAPORU_BURAK_YENI1309[[#This Row],[ALT_KOD]])+AVERAGEIFS(L:L,D:D,DST_123_ÜRETİM_İHTİYAÇ_RAPORU_BURAK_YENI1309[[#This Row],[ALT_KOD]]))</f>
        <v>4.6000000000000014</v>
      </c>
      <c r="L1330">
        <v>5</v>
      </c>
      <c r="M1330">
        <f>IF((DST_123_ÜRETİM_İHTİYAÇ_RAPORU_BURAK_YENI1309[[#This Row],[SATINALMA]]*DST_123_ÜRETİM_İHTİYAÇ_RAPORU_BURAK_YENI1309[[#This Row],[BIRIM_FIYATLAR]])&lt;1,VALUE("0"),DST_123_ÜRETİM_İHTİYAÇ_RAPORU_BURAK_YENI1309[[#This Row],[SATINALMA]]*DST_123_ÜRETİM_İHTİYAÇ_RAPORU_BURAK_YENI1309[[#This Row],[BIRIM_FIYATLAR]])</f>
        <v>5276.2000000000016</v>
      </c>
      <c r="N1330">
        <v>1147</v>
      </c>
      <c r="O1330" t="s">
        <v>672</v>
      </c>
      <c r="P1330">
        <v>1491.1000000000001</v>
      </c>
      <c r="Q1330" t="s">
        <v>184</v>
      </c>
    </row>
    <row r="1331" spans="1:17" x14ac:dyDescent="0.25">
      <c r="A1331" t="s">
        <v>1060</v>
      </c>
      <c r="B1331" t="s">
        <v>1061</v>
      </c>
      <c r="C1331" t="s">
        <v>175</v>
      </c>
      <c r="D1331" t="s">
        <v>468</v>
      </c>
      <c r="E1331" t="s">
        <v>579</v>
      </c>
      <c r="F1331">
        <v>3</v>
      </c>
      <c r="G1331" t="s">
        <v>185</v>
      </c>
      <c r="H1331">
        <v>3</v>
      </c>
      <c r="I1331">
        <v>30</v>
      </c>
      <c r="J1331" s="10">
        <v>21.5</v>
      </c>
      <c r="K1331" s="10">
        <f>SUMIFS(F:F,D:D,DST_123_ÜRETİM_İHTİYAÇ_RAPORU_BURAK_YENI1309[[#This Row],[ALT_KOD]])-(SUMIFS(H:H,D:D,DST_123_ÜRETİM_İHTİYAÇ_RAPORU_BURAK_YENI1309[[#This Row],[ALT_KOD]])+AVERAGEIFS(I:I,D:D,DST_123_ÜRETİM_İHTİYAÇ_RAPORU_BURAK_YENI1309[[#This Row],[ALT_KOD]])+AVERAGEIFS(L:L,D:D,DST_123_ÜRETİM_İHTİYAÇ_RAPORU_BURAK_YENI1309[[#This Row],[ALT_KOD]]))</f>
        <v>4</v>
      </c>
      <c r="L1331">
        <v>0</v>
      </c>
      <c r="M1331">
        <f>IF((DST_123_ÜRETİM_İHTİYAÇ_RAPORU_BURAK_YENI1309[[#This Row],[SATINALMA]]*DST_123_ÜRETİM_İHTİYAÇ_RAPORU_BURAK_YENI1309[[#This Row],[BIRIM_FIYATLAR]])&lt;1,VALUE("0"),DST_123_ÜRETİM_İHTİYAÇ_RAPORU_BURAK_YENI1309[[#This Row],[SATINALMA]]*DST_123_ÜRETİM_İHTİYAÇ_RAPORU_BURAK_YENI1309[[#This Row],[BIRIM_FIYATLAR]])</f>
        <v>472.56</v>
      </c>
      <c r="N1331">
        <v>118.14</v>
      </c>
      <c r="O1331" t="s">
        <v>393</v>
      </c>
      <c r="P1331">
        <v>354.42</v>
      </c>
      <c r="Q1331" t="s">
        <v>183</v>
      </c>
    </row>
    <row r="1332" spans="1:17" x14ac:dyDescent="0.25">
      <c r="A1332" t="s">
        <v>1142</v>
      </c>
      <c r="B1332" t="s">
        <v>1056</v>
      </c>
      <c r="C1332" t="s">
        <v>175</v>
      </c>
      <c r="D1332" t="s">
        <v>705</v>
      </c>
      <c r="E1332" t="s">
        <v>706</v>
      </c>
      <c r="F1332">
        <v>12</v>
      </c>
      <c r="G1332" t="s">
        <v>176</v>
      </c>
      <c r="H1332">
        <v>0</v>
      </c>
      <c r="I1332">
        <v>1400</v>
      </c>
      <c r="J1332" s="10">
        <v>602</v>
      </c>
      <c r="K1332" s="10">
        <f>SUMIFS(F:F,D:D,DST_123_ÜRETİM_İHTİYAÇ_RAPORU_BURAK_YENI1309[[#This Row],[ALT_KOD]])-(SUMIFS(H:H,D:D,DST_123_ÜRETİM_İHTİYAÇ_RAPORU_BURAK_YENI1309[[#This Row],[ALT_KOD]])+AVERAGEIFS(I:I,D:D,DST_123_ÜRETİM_İHTİYAÇ_RAPORU_BURAK_YENI1309[[#This Row],[ALT_KOD]])+AVERAGEIFS(L:L,D:D,DST_123_ÜRETİM_İHTİYAÇ_RAPORU_BURAK_YENI1309[[#This Row],[ALT_KOD]]))</f>
        <v>-1296</v>
      </c>
      <c r="L1332">
        <v>0</v>
      </c>
      <c r="M1332">
        <f>IF((DST_123_ÜRETİM_İHTİYAÇ_RAPORU_BURAK_YENI1309[[#This Row],[SATINALMA]]*DST_123_ÜRETİM_İHTİYAÇ_RAPORU_BURAK_YENI1309[[#This Row],[BIRIM_FIYATLAR]])&lt;1,VALUE("0"),DST_123_ÜRETİM_İHTİYAÇ_RAPORU_BURAK_YENI1309[[#This Row],[SATINALMA]]*DST_123_ÜRETİM_İHTİYAÇ_RAPORU_BURAK_YENI1309[[#This Row],[BIRIM_FIYATLAR]])</f>
        <v>0</v>
      </c>
      <c r="N1332">
        <v>0.6</v>
      </c>
      <c r="O1332" t="s">
        <v>240</v>
      </c>
      <c r="P1332">
        <v>7.1999999999999993</v>
      </c>
      <c r="Q1332" t="s">
        <v>180</v>
      </c>
    </row>
    <row r="1333" spans="1:17" x14ac:dyDescent="0.25">
      <c r="A1333" t="s">
        <v>1143</v>
      </c>
      <c r="B1333" t="s">
        <v>1056</v>
      </c>
      <c r="C1333" t="s">
        <v>175</v>
      </c>
      <c r="D1333" t="s">
        <v>285</v>
      </c>
      <c r="E1333" t="s">
        <v>286</v>
      </c>
      <c r="F1333">
        <v>0.36</v>
      </c>
      <c r="G1333" t="s">
        <v>185</v>
      </c>
      <c r="H1333">
        <v>0</v>
      </c>
      <c r="I1333">
        <v>0</v>
      </c>
      <c r="J1333" s="10">
        <v>24.129999999999985</v>
      </c>
      <c r="K1333" s="10">
        <f>SUMIFS(F:F,D:D,DST_123_ÜRETİM_İHTİYAÇ_RAPORU_BURAK_YENI1309[[#This Row],[ALT_KOD]])-(SUMIFS(H:H,D:D,DST_123_ÜRETİM_İHTİYAÇ_RAPORU_BURAK_YENI1309[[#This Row],[ALT_KOD]])+AVERAGEIFS(I:I,D:D,DST_123_ÜRETİM_İHTİYAÇ_RAPORU_BURAK_YENI1309[[#This Row],[ALT_KOD]])+AVERAGEIFS(L:L,D:D,DST_123_ÜRETİM_İHTİYAÇ_RAPORU_BURAK_YENI1309[[#This Row],[ALT_KOD]]))</f>
        <v>4.1899999999999995</v>
      </c>
      <c r="L1333">
        <v>0</v>
      </c>
      <c r="M1333">
        <f>IF((DST_123_ÜRETİM_İHTİYAÇ_RAPORU_BURAK_YENI1309[[#This Row],[SATINALMA]]*DST_123_ÜRETİM_İHTİYAÇ_RAPORU_BURAK_YENI1309[[#This Row],[BIRIM_FIYATLAR]])&lt;1,VALUE("0"),DST_123_ÜRETİM_İHTİYAÇ_RAPORU_BURAK_YENI1309[[#This Row],[SATINALMA]]*DST_123_ÜRETİM_İHTİYAÇ_RAPORU_BURAK_YENI1309[[#This Row],[BIRIM_FIYATLAR]])</f>
        <v>1667.7456999999997</v>
      </c>
      <c r="N1333">
        <v>398.03</v>
      </c>
      <c r="O1333" t="s">
        <v>490</v>
      </c>
      <c r="P1333">
        <v>143.29079999999999</v>
      </c>
      <c r="Q1333" t="s">
        <v>183</v>
      </c>
    </row>
    <row r="1334" spans="1:17" x14ac:dyDescent="0.25">
      <c r="A1334" t="s">
        <v>1143</v>
      </c>
      <c r="B1334" t="s">
        <v>1056</v>
      </c>
      <c r="C1334" t="s">
        <v>175</v>
      </c>
      <c r="D1334" t="s">
        <v>68</v>
      </c>
      <c r="E1334" t="s">
        <v>69</v>
      </c>
      <c r="F1334">
        <v>10.14</v>
      </c>
      <c r="G1334" t="s">
        <v>185</v>
      </c>
      <c r="H1334">
        <v>0</v>
      </c>
      <c r="I1334">
        <v>134.9</v>
      </c>
      <c r="J1334" s="10">
        <v>46.099999999999767</v>
      </c>
      <c r="K1334" s="10">
        <f>SUMIFS(F:F,D:D,DST_123_ÜRETİM_İHTİYAÇ_RAPORU_BURAK_YENI1309[[#This Row],[ALT_KOD]])-(SUMIFS(H:H,D:D,DST_123_ÜRETİM_İHTİYAÇ_RAPORU_BURAK_YENI1309[[#This Row],[ALT_KOD]])+AVERAGEIFS(I:I,D:D,DST_123_ÜRETİM_İHTİYAÇ_RAPORU_BURAK_YENI1309[[#This Row],[ALT_KOD]])+AVERAGEIFS(L:L,D:D,DST_123_ÜRETİM_İHTİYAÇ_RAPORU_BURAK_YENI1309[[#This Row],[ALT_KOD]]))</f>
        <v>43.169999999999959</v>
      </c>
      <c r="L1334">
        <v>0</v>
      </c>
      <c r="M1334">
        <f>IF((DST_123_ÜRETİM_İHTİYAÇ_RAPORU_BURAK_YENI1309[[#This Row],[SATINALMA]]*DST_123_ÜRETİM_İHTİYAÇ_RAPORU_BURAK_YENI1309[[#This Row],[BIRIM_FIYATLAR]])&lt;1,VALUE("0"),DST_123_ÜRETİM_İHTİYAÇ_RAPORU_BURAK_YENI1309[[#This Row],[SATINALMA]]*DST_123_ÜRETİM_İHTİYAÇ_RAPORU_BURAK_YENI1309[[#This Row],[BIRIM_FIYATLAR]])</f>
        <v>4160.2928999999958</v>
      </c>
      <c r="N1334">
        <v>96.37</v>
      </c>
      <c r="O1334" t="s">
        <v>490</v>
      </c>
      <c r="P1334">
        <v>977.19180000000006</v>
      </c>
      <c r="Q1334" t="s">
        <v>183</v>
      </c>
    </row>
    <row r="1335" spans="1:17" x14ac:dyDescent="0.25">
      <c r="A1335" t="s">
        <v>1142</v>
      </c>
      <c r="B1335" t="s">
        <v>1056</v>
      </c>
      <c r="C1335" t="s">
        <v>175</v>
      </c>
      <c r="D1335" t="s">
        <v>72</v>
      </c>
      <c r="E1335" t="s">
        <v>73</v>
      </c>
      <c r="F1335">
        <v>1</v>
      </c>
      <c r="G1335" t="s">
        <v>176</v>
      </c>
      <c r="H1335">
        <v>0</v>
      </c>
      <c r="I1335">
        <v>2</v>
      </c>
      <c r="J1335" s="10">
        <v>8</v>
      </c>
      <c r="K1335" s="10">
        <f>SUMIFS(F:F,D:D,DST_123_ÜRETİM_İHTİYAÇ_RAPORU_BURAK_YENI1309[[#This Row],[ALT_KOD]])-(SUMIFS(H:H,D:D,DST_123_ÜRETİM_İHTİYAÇ_RAPORU_BURAK_YENI1309[[#This Row],[ALT_KOD]])+AVERAGEIFS(I:I,D:D,DST_123_ÜRETİM_İHTİYAÇ_RAPORU_BURAK_YENI1309[[#This Row],[ALT_KOD]])+AVERAGEIFS(L:L,D:D,DST_123_ÜRETİM_İHTİYAÇ_RAPORU_BURAK_YENI1309[[#This Row],[ALT_KOD]]))</f>
        <v>8</v>
      </c>
      <c r="L1335">
        <v>0</v>
      </c>
      <c r="M1335">
        <f>IF((DST_123_ÜRETİM_İHTİYAÇ_RAPORU_BURAK_YENI1309[[#This Row],[SATINALMA]]*DST_123_ÜRETİM_İHTİYAÇ_RAPORU_BURAK_YENI1309[[#This Row],[BIRIM_FIYATLAR]])&lt;1,VALUE("0"),DST_123_ÜRETİM_İHTİYAÇ_RAPORU_BURAK_YENI1309[[#This Row],[SATINALMA]]*DST_123_ÜRETİM_İHTİYAÇ_RAPORU_BURAK_YENI1309[[#This Row],[BIRIM_FIYATLAR]])</f>
        <v>70583.44</v>
      </c>
      <c r="N1335">
        <v>8822.93</v>
      </c>
      <c r="O1335" t="s">
        <v>634</v>
      </c>
      <c r="P1335">
        <v>8822.93</v>
      </c>
      <c r="Q1335" t="s">
        <v>178</v>
      </c>
    </row>
    <row r="1336" spans="1:17" x14ac:dyDescent="0.25">
      <c r="A1336" t="s">
        <v>1142</v>
      </c>
      <c r="B1336" t="s">
        <v>1056</v>
      </c>
      <c r="C1336" t="s">
        <v>175</v>
      </c>
      <c r="D1336" t="s">
        <v>380</v>
      </c>
      <c r="E1336" t="s">
        <v>381</v>
      </c>
      <c r="F1336">
        <v>1.1000000000000001</v>
      </c>
      <c r="G1336" t="s">
        <v>179</v>
      </c>
      <c r="H1336">
        <v>0</v>
      </c>
      <c r="I1336">
        <v>0</v>
      </c>
      <c r="J1336" s="10">
        <v>20.30000000000009</v>
      </c>
      <c r="K1336" s="10">
        <f>SUMIFS(F:F,D:D,DST_123_ÜRETİM_İHTİYAÇ_RAPORU_BURAK_YENI1309[[#This Row],[ALT_KOD]])-(SUMIFS(H:H,D:D,DST_123_ÜRETİM_İHTİYAÇ_RAPORU_BURAK_YENI1309[[#This Row],[ALT_KOD]])+AVERAGEIFS(I:I,D:D,DST_123_ÜRETİM_İHTİYAÇ_RAPORU_BURAK_YENI1309[[#This Row],[ALT_KOD]])+AVERAGEIFS(L:L,D:D,DST_123_ÜRETİM_İHTİYAÇ_RAPORU_BURAK_YENI1309[[#This Row],[ALT_KOD]]))</f>
        <v>21.1</v>
      </c>
      <c r="L1336">
        <v>0</v>
      </c>
      <c r="M1336">
        <f>IF((DST_123_ÜRETİM_İHTİYAÇ_RAPORU_BURAK_YENI1309[[#This Row],[SATINALMA]]*DST_123_ÜRETİM_İHTİYAÇ_RAPORU_BURAK_YENI1309[[#This Row],[BIRIM_FIYATLAR]])&lt;1,VALUE("0"),DST_123_ÜRETİM_İHTİYAÇ_RAPORU_BURAK_YENI1309[[#This Row],[SATINALMA]]*DST_123_ÜRETİM_İHTİYAÇ_RAPORU_BURAK_YENI1309[[#This Row],[BIRIM_FIYATLAR]])</f>
        <v>2426.5</v>
      </c>
      <c r="N1336">
        <v>115</v>
      </c>
      <c r="O1336" t="s">
        <v>821</v>
      </c>
      <c r="P1336">
        <v>126.50000000000001</v>
      </c>
      <c r="Q1336" t="s">
        <v>178</v>
      </c>
    </row>
    <row r="1337" spans="1:17" x14ac:dyDescent="0.25">
      <c r="A1337" t="s">
        <v>1142</v>
      </c>
      <c r="B1337" t="s">
        <v>1056</v>
      </c>
      <c r="C1337" t="s">
        <v>175</v>
      </c>
      <c r="D1337" t="s">
        <v>324</v>
      </c>
      <c r="E1337" t="s">
        <v>325</v>
      </c>
      <c r="F1337">
        <v>0.10400000000000001</v>
      </c>
      <c r="G1337" t="s">
        <v>176</v>
      </c>
      <c r="H1337">
        <v>0</v>
      </c>
      <c r="I1337">
        <v>0</v>
      </c>
      <c r="J1337" s="10">
        <v>1.7763568394002505E-15</v>
      </c>
      <c r="K1337" s="10">
        <f>SUMIFS(F:F,D:D,DST_123_ÜRETİM_İHTİYAÇ_RAPORU_BURAK_YENI1309[[#This Row],[ALT_KOD]])-(SUMIFS(H:H,D:D,DST_123_ÜRETİM_İHTİYAÇ_RAPORU_BURAK_YENI1309[[#This Row],[ALT_KOD]])+AVERAGEIFS(I:I,D:D,DST_123_ÜRETİM_İHTİYAÇ_RAPORU_BURAK_YENI1309[[#This Row],[ALT_KOD]])+AVERAGEIFS(L:L,D:D,DST_123_ÜRETİM_İHTİYAÇ_RAPORU_BURAK_YENI1309[[#This Row],[ALT_KOD]]))</f>
        <v>2.5820000000000007</v>
      </c>
      <c r="L1337">
        <v>0</v>
      </c>
      <c r="M1337">
        <f>IF((DST_123_ÜRETİM_İHTİYAÇ_RAPORU_BURAK_YENI1309[[#This Row],[SATINALMA]]*DST_123_ÜRETİM_İHTİYAÇ_RAPORU_BURAK_YENI1309[[#This Row],[BIRIM_FIYATLAR]])&lt;1,VALUE("0"),DST_123_ÜRETİM_İHTİYAÇ_RAPORU_BURAK_YENI1309[[#This Row],[SATINALMA]]*DST_123_ÜRETİM_İHTİYAÇ_RAPORU_BURAK_YENI1309[[#This Row],[BIRIM_FIYATLAR]])</f>
        <v>4066.650000000001</v>
      </c>
      <c r="N1337">
        <v>1575</v>
      </c>
      <c r="O1337" t="s">
        <v>326</v>
      </c>
      <c r="P1337">
        <v>163.80000000000001</v>
      </c>
      <c r="Q1337" t="s">
        <v>178</v>
      </c>
    </row>
    <row r="1338" spans="1:17" x14ac:dyDescent="0.25">
      <c r="A1338" t="s">
        <v>1142</v>
      </c>
      <c r="B1338" t="s">
        <v>1056</v>
      </c>
      <c r="C1338" t="s">
        <v>175</v>
      </c>
      <c r="D1338" t="s">
        <v>67</v>
      </c>
      <c r="E1338" t="s">
        <v>585</v>
      </c>
      <c r="F1338">
        <v>0.5</v>
      </c>
      <c r="G1338" t="s">
        <v>176</v>
      </c>
      <c r="H1338">
        <v>0</v>
      </c>
      <c r="I1338">
        <v>13.5</v>
      </c>
      <c r="J1338" s="10">
        <v>8.5</v>
      </c>
      <c r="K1338" s="10">
        <f>SUMIFS(F:F,D:D,DST_123_ÜRETİM_İHTİYAÇ_RAPORU_BURAK_YENI1309[[#This Row],[ALT_KOD]])-(SUMIFS(H:H,D:D,DST_123_ÜRETİM_İHTİYAÇ_RAPORU_BURAK_YENI1309[[#This Row],[ALT_KOD]])+AVERAGEIFS(I:I,D:D,DST_123_ÜRETİM_İHTİYAÇ_RAPORU_BURAK_YENI1309[[#This Row],[ALT_KOD]])+AVERAGEIFS(L:L,D:D,DST_123_ÜRETİM_İHTİYAÇ_RAPORU_BURAK_YENI1309[[#This Row],[ALT_KOD]]))</f>
        <v>-5.3500000000000014</v>
      </c>
      <c r="L1338">
        <v>0</v>
      </c>
      <c r="M1338">
        <f>IF((DST_123_ÜRETİM_İHTİYAÇ_RAPORU_BURAK_YENI1309[[#This Row],[SATINALMA]]*DST_123_ÜRETİM_İHTİYAÇ_RAPORU_BURAK_YENI1309[[#This Row],[BIRIM_FIYATLAR]])&lt;1,VALUE("0"),DST_123_ÜRETİM_İHTİYAÇ_RAPORU_BURAK_YENI1309[[#This Row],[SATINALMA]]*DST_123_ÜRETİM_İHTİYAÇ_RAPORU_BURAK_YENI1309[[#This Row],[BIRIM_FIYATLAR]])</f>
        <v>0</v>
      </c>
      <c r="N1338">
        <v>1600</v>
      </c>
      <c r="O1338" t="s">
        <v>1053</v>
      </c>
      <c r="P1338">
        <v>800</v>
      </c>
      <c r="Q1338" t="s">
        <v>177</v>
      </c>
    </row>
    <row r="1339" spans="1:17" x14ac:dyDescent="0.25">
      <c r="A1339" t="s">
        <v>1097</v>
      </c>
      <c r="B1339" t="s">
        <v>1055</v>
      </c>
      <c r="C1339" t="s">
        <v>175</v>
      </c>
      <c r="D1339" t="s">
        <v>67</v>
      </c>
      <c r="E1339" t="s">
        <v>585</v>
      </c>
      <c r="F1339">
        <v>0.5</v>
      </c>
      <c r="G1339" t="s">
        <v>176</v>
      </c>
      <c r="H1339">
        <v>0</v>
      </c>
      <c r="I1339">
        <v>13.5</v>
      </c>
      <c r="J1339" s="10">
        <v>8.5</v>
      </c>
      <c r="K1339" s="10">
        <f>SUMIFS(F:F,D:D,DST_123_ÜRETİM_İHTİYAÇ_RAPORU_BURAK_YENI1309[[#This Row],[ALT_KOD]])-(SUMIFS(H:H,D:D,DST_123_ÜRETİM_İHTİYAÇ_RAPORU_BURAK_YENI1309[[#This Row],[ALT_KOD]])+AVERAGEIFS(I:I,D:D,DST_123_ÜRETİM_İHTİYAÇ_RAPORU_BURAK_YENI1309[[#This Row],[ALT_KOD]])+AVERAGEIFS(L:L,D:D,DST_123_ÜRETİM_İHTİYAÇ_RAPORU_BURAK_YENI1309[[#This Row],[ALT_KOD]]))</f>
        <v>-5.3500000000000014</v>
      </c>
      <c r="L1339">
        <v>0</v>
      </c>
      <c r="M1339">
        <f>IF((DST_123_ÜRETİM_İHTİYAÇ_RAPORU_BURAK_YENI1309[[#This Row],[SATINALMA]]*DST_123_ÜRETİM_İHTİYAÇ_RAPORU_BURAK_YENI1309[[#This Row],[BIRIM_FIYATLAR]])&lt;1,VALUE("0"),DST_123_ÜRETİM_İHTİYAÇ_RAPORU_BURAK_YENI1309[[#This Row],[SATINALMA]]*DST_123_ÜRETİM_İHTİYAÇ_RAPORU_BURAK_YENI1309[[#This Row],[BIRIM_FIYATLAR]])</f>
        <v>0</v>
      </c>
      <c r="N1339">
        <v>1600</v>
      </c>
      <c r="O1339" t="s">
        <v>1053</v>
      </c>
      <c r="P1339">
        <v>800</v>
      </c>
      <c r="Q1339" t="s">
        <v>177</v>
      </c>
    </row>
    <row r="1340" spans="1:17" x14ac:dyDescent="0.25">
      <c r="A1340" t="s">
        <v>1095</v>
      </c>
      <c r="B1340" t="s">
        <v>1096</v>
      </c>
      <c r="C1340" t="s">
        <v>175</v>
      </c>
      <c r="D1340" t="s">
        <v>285</v>
      </c>
      <c r="E1340" t="s">
        <v>286</v>
      </c>
      <c r="F1340">
        <v>0.34</v>
      </c>
      <c r="G1340" t="s">
        <v>185</v>
      </c>
      <c r="H1340">
        <v>0</v>
      </c>
      <c r="I1340">
        <v>0</v>
      </c>
      <c r="J1340" s="10">
        <v>24.129999999999985</v>
      </c>
      <c r="K1340" s="10">
        <f>SUMIFS(F:F,D:D,DST_123_ÜRETİM_İHTİYAÇ_RAPORU_BURAK_YENI1309[[#This Row],[ALT_KOD]])-(SUMIFS(H:H,D:D,DST_123_ÜRETİM_İHTİYAÇ_RAPORU_BURAK_YENI1309[[#This Row],[ALT_KOD]])+AVERAGEIFS(I:I,D:D,DST_123_ÜRETİM_İHTİYAÇ_RAPORU_BURAK_YENI1309[[#This Row],[ALT_KOD]])+AVERAGEIFS(L:L,D:D,DST_123_ÜRETİM_İHTİYAÇ_RAPORU_BURAK_YENI1309[[#This Row],[ALT_KOD]]))</f>
        <v>4.1899999999999995</v>
      </c>
      <c r="L1340">
        <v>0</v>
      </c>
      <c r="M1340">
        <f>IF((DST_123_ÜRETİM_İHTİYAÇ_RAPORU_BURAK_YENI1309[[#This Row],[SATINALMA]]*DST_123_ÜRETİM_İHTİYAÇ_RAPORU_BURAK_YENI1309[[#This Row],[BIRIM_FIYATLAR]])&lt;1,VALUE("0"),DST_123_ÜRETİM_İHTİYAÇ_RAPORU_BURAK_YENI1309[[#This Row],[SATINALMA]]*DST_123_ÜRETİM_İHTİYAÇ_RAPORU_BURAK_YENI1309[[#This Row],[BIRIM_FIYATLAR]])</f>
        <v>1667.7456999999997</v>
      </c>
      <c r="N1340">
        <v>398.03</v>
      </c>
      <c r="O1340" t="s">
        <v>490</v>
      </c>
      <c r="P1340">
        <v>135.33019999999999</v>
      </c>
      <c r="Q1340" t="s">
        <v>183</v>
      </c>
    </row>
    <row r="1341" spans="1:17" x14ac:dyDescent="0.25">
      <c r="A1341" t="s">
        <v>1142</v>
      </c>
      <c r="B1341" t="s">
        <v>1056</v>
      </c>
      <c r="C1341" t="s">
        <v>175</v>
      </c>
      <c r="D1341" t="s">
        <v>68</v>
      </c>
      <c r="E1341" t="s">
        <v>69</v>
      </c>
      <c r="F1341">
        <v>8.5400000000000009</v>
      </c>
      <c r="G1341" t="s">
        <v>185</v>
      </c>
      <c r="H1341">
        <v>0</v>
      </c>
      <c r="I1341">
        <v>134.9</v>
      </c>
      <c r="J1341" s="10">
        <v>46.099999999999767</v>
      </c>
      <c r="K1341" s="10">
        <f>SUMIFS(F:F,D:D,DST_123_ÜRETİM_İHTİYAÇ_RAPORU_BURAK_YENI1309[[#This Row],[ALT_KOD]])-(SUMIFS(H:H,D:D,DST_123_ÜRETİM_İHTİYAÇ_RAPORU_BURAK_YENI1309[[#This Row],[ALT_KOD]])+AVERAGEIFS(I:I,D:D,DST_123_ÜRETİM_İHTİYAÇ_RAPORU_BURAK_YENI1309[[#This Row],[ALT_KOD]])+AVERAGEIFS(L:L,D:D,DST_123_ÜRETİM_İHTİYAÇ_RAPORU_BURAK_YENI1309[[#This Row],[ALT_KOD]]))</f>
        <v>43.169999999999959</v>
      </c>
      <c r="L1341">
        <v>0</v>
      </c>
      <c r="M1341">
        <f>IF((DST_123_ÜRETİM_İHTİYAÇ_RAPORU_BURAK_YENI1309[[#This Row],[SATINALMA]]*DST_123_ÜRETİM_İHTİYAÇ_RAPORU_BURAK_YENI1309[[#This Row],[BIRIM_FIYATLAR]])&lt;1,VALUE("0"),DST_123_ÜRETİM_İHTİYAÇ_RAPORU_BURAK_YENI1309[[#This Row],[SATINALMA]]*DST_123_ÜRETİM_İHTİYAÇ_RAPORU_BURAK_YENI1309[[#This Row],[BIRIM_FIYATLAR]])</f>
        <v>4160.2928999999958</v>
      </c>
      <c r="N1341">
        <v>96.37</v>
      </c>
      <c r="O1341" t="s">
        <v>490</v>
      </c>
      <c r="P1341">
        <v>822.99980000000016</v>
      </c>
      <c r="Q1341" t="s">
        <v>183</v>
      </c>
    </row>
    <row r="1342" spans="1:17" x14ac:dyDescent="0.25">
      <c r="A1342" t="s">
        <v>1059</v>
      </c>
      <c r="B1342" t="s">
        <v>1058</v>
      </c>
      <c r="C1342" t="s">
        <v>175</v>
      </c>
      <c r="D1342" t="s">
        <v>324</v>
      </c>
      <c r="E1342" t="s">
        <v>325</v>
      </c>
      <c r="F1342">
        <v>0.10400000000000001</v>
      </c>
      <c r="G1342" t="s">
        <v>176</v>
      </c>
      <c r="H1342">
        <v>0</v>
      </c>
      <c r="I1342">
        <v>0</v>
      </c>
      <c r="J1342" s="10">
        <v>1.7763568394002505E-15</v>
      </c>
      <c r="K1342" s="10">
        <f>SUMIFS(F:F,D:D,DST_123_ÜRETİM_İHTİYAÇ_RAPORU_BURAK_YENI1309[[#This Row],[ALT_KOD]])-(SUMIFS(H:H,D:D,DST_123_ÜRETİM_İHTİYAÇ_RAPORU_BURAK_YENI1309[[#This Row],[ALT_KOD]])+AVERAGEIFS(I:I,D:D,DST_123_ÜRETİM_İHTİYAÇ_RAPORU_BURAK_YENI1309[[#This Row],[ALT_KOD]])+AVERAGEIFS(L:L,D:D,DST_123_ÜRETİM_İHTİYAÇ_RAPORU_BURAK_YENI1309[[#This Row],[ALT_KOD]]))</f>
        <v>2.5820000000000007</v>
      </c>
      <c r="L1342">
        <v>0</v>
      </c>
      <c r="M1342">
        <f>IF((DST_123_ÜRETİM_İHTİYAÇ_RAPORU_BURAK_YENI1309[[#This Row],[SATINALMA]]*DST_123_ÜRETİM_İHTİYAÇ_RAPORU_BURAK_YENI1309[[#This Row],[BIRIM_FIYATLAR]])&lt;1,VALUE("0"),DST_123_ÜRETİM_İHTİYAÇ_RAPORU_BURAK_YENI1309[[#This Row],[SATINALMA]]*DST_123_ÜRETİM_İHTİYAÇ_RAPORU_BURAK_YENI1309[[#This Row],[BIRIM_FIYATLAR]])</f>
        <v>4066.650000000001</v>
      </c>
      <c r="N1342">
        <v>1575</v>
      </c>
      <c r="O1342" t="s">
        <v>326</v>
      </c>
      <c r="P1342">
        <v>163.80000000000001</v>
      </c>
      <c r="Q1342" t="s">
        <v>178</v>
      </c>
    </row>
    <row r="1343" spans="1:17" x14ac:dyDescent="0.25">
      <c r="A1343" t="s">
        <v>1143</v>
      </c>
      <c r="B1343" t="s">
        <v>1056</v>
      </c>
      <c r="C1343" t="s">
        <v>175</v>
      </c>
      <c r="D1343" t="s">
        <v>324</v>
      </c>
      <c r="E1343" t="s">
        <v>325</v>
      </c>
      <c r="F1343">
        <v>0.18</v>
      </c>
      <c r="G1343" t="s">
        <v>176</v>
      </c>
      <c r="H1343">
        <v>0</v>
      </c>
      <c r="I1343">
        <v>0</v>
      </c>
      <c r="J1343" s="10">
        <v>1.7763568394002505E-15</v>
      </c>
      <c r="K1343" s="10">
        <f>SUMIFS(F:F,D:D,DST_123_ÜRETİM_İHTİYAÇ_RAPORU_BURAK_YENI1309[[#This Row],[ALT_KOD]])-(SUMIFS(H:H,D:D,DST_123_ÜRETİM_İHTİYAÇ_RAPORU_BURAK_YENI1309[[#This Row],[ALT_KOD]])+AVERAGEIFS(I:I,D:D,DST_123_ÜRETİM_İHTİYAÇ_RAPORU_BURAK_YENI1309[[#This Row],[ALT_KOD]])+AVERAGEIFS(L:L,D:D,DST_123_ÜRETİM_İHTİYAÇ_RAPORU_BURAK_YENI1309[[#This Row],[ALT_KOD]]))</f>
        <v>2.5820000000000007</v>
      </c>
      <c r="L1343">
        <v>0</v>
      </c>
      <c r="M1343">
        <f>IF((DST_123_ÜRETİM_İHTİYAÇ_RAPORU_BURAK_YENI1309[[#This Row],[SATINALMA]]*DST_123_ÜRETİM_İHTİYAÇ_RAPORU_BURAK_YENI1309[[#This Row],[BIRIM_FIYATLAR]])&lt;1,VALUE("0"),DST_123_ÜRETİM_İHTİYAÇ_RAPORU_BURAK_YENI1309[[#This Row],[SATINALMA]]*DST_123_ÜRETİM_İHTİYAÇ_RAPORU_BURAK_YENI1309[[#This Row],[BIRIM_FIYATLAR]])</f>
        <v>4066.650000000001</v>
      </c>
      <c r="N1343">
        <v>1575</v>
      </c>
      <c r="O1343" t="s">
        <v>326</v>
      </c>
      <c r="P1343">
        <v>283.5</v>
      </c>
      <c r="Q1343" t="s">
        <v>178</v>
      </c>
    </row>
    <row r="1344" spans="1:17" x14ac:dyDescent="0.25">
      <c r="A1344" t="s">
        <v>1098</v>
      </c>
      <c r="B1344" t="s">
        <v>1096</v>
      </c>
      <c r="C1344" t="s">
        <v>175</v>
      </c>
      <c r="D1344" t="s">
        <v>324</v>
      </c>
      <c r="E1344" t="s">
        <v>325</v>
      </c>
      <c r="F1344">
        <v>0.18</v>
      </c>
      <c r="G1344" t="s">
        <v>176</v>
      </c>
      <c r="H1344">
        <v>0</v>
      </c>
      <c r="I1344">
        <v>0</v>
      </c>
      <c r="J1344" s="10">
        <v>1.7763568394002505E-15</v>
      </c>
      <c r="K1344" s="10">
        <f>SUMIFS(F:F,D:D,DST_123_ÜRETİM_İHTİYAÇ_RAPORU_BURAK_YENI1309[[#This Row],[ALT_KOD]])-(SUMIFS(H:H,D:D,DST_123_ÜRETİM_İHTİYAÇ_RAPORU_BURAK_YENI1309[[#This Row],[ALT_KOD]])+AVERAGEIFS(I:I,D:D,DST_123_ÜRETİM_İHTİYAÇ_RAPORU_BURAK_YENI1309[[#This Row],[ALT_KOD]])+AVERAGEIFS(L:L,D:D,DST_123_ÜRETİM_İHTİYAÇ_RAPORU_BURAK_YENI1309[[#This Row],[ALT_KOD]]))</f>
        <v>2.5820000000000007</v>
      </c>
      <c r="L1344">
        <v>0</v>
      </c>
      <c r="M1344">
        <f>IF((DST_123_ÜRETİM_İHTİYAÇ_RAPORU_BURAK_YENI1309[[#This Row],[SATINALMA]]*DST_123_ÜRETİM_İHTİYAÇ_RAPORU_BURAK_YENI1309[[#This Row],[BIRIM_FIYATLAR]])&lt;1,VALUE("0"),DST_123_ÜRETİM_İHTİYAÇ_RAPORU_BURAK_YENI1309[[#This Row],[SATINALMA]]*DST_123_ÜRETİM_İHTİYAÇ_RAPORU_BURAK_YENI1309[[#This Row],[BIRIM_FIYATLAR]])</f>
        <v>4066.650000000001</v>
      </c>
      <c r="N1344">
        <v>1575</v>
      </c>
      <c r="O1344" t="s">
        <v>326</v>
      </c>
      <c r="P1344">
        <v>283.5</v>
      </c>
      <c r="Q1344" t="s">
        <v>178</v>
      </c>
    </row>
    <row r="1345" spans="1:17" x14ac:dyDescent="0.25">
      <c r="A1345" t="s">
        <v>1099</v>
      </c>
      <c r="B1345" t="s">
        <v>1055</v>
      </c>
      <c r="C1345" t="s">
        <v>175</v>
      </c>
      <c r="D1345" t="s">
        <v>149</v>
      </c>
      <c r="E1345" t="s">
        <v>150</v>
      </c>
      <c r="F1345">
        <v>0.2</v>
      </c>
      <c r="G1345" t="s">
        <v>176</v>
      </c>
      <c r="H1345">
        <v>0</v>
      </c>
      <c r="I1345">
        <v>5</v>
      </c>
      <c r="J1345" s="10">
        <v>0</v>
      </c>
      <c r="K1345" s="10">
        <f>SUMIFS(F:F,D:D,DST_123_ÜRETİM_İHTİYAÇ_RAPORU_BURAK_YENI1309[[#This Row],[ALT_KOD]])-(SUMIFS(H:H,D:D,DST_123_ÜRETİM_İHTİYAÇ_RAPORU_BURAK_YENI1309[[#This Row],[ALT_KOD]])+AVERAGEIFS(I:I,D:D,DST_123_ÜRETİM_İHTİYAÇ_RAPORU_BURAK_YENI1309[[#This Row],[ALT_KOD]])+AVERAGEIFS(L:L,D:D,DST_123_ÜRETİM_İHTİYAÇ_RAPORU_BURAK_YENI1309[[#This Row],[ALT_KOD]]))</f>
        <v>4.6000000000000014</v>
      </c>
      <c r="L1345">
        <v>5</v>
      </c>
      <c r="M1345">
        <f>IF((DST_123_ÜRETİM_İHTİYAÇ_RAPORU_BURAK_YENI1309[[#This Row],[SATINALMA]]*DST_123_ÜRETİM_İHTİYAÇ_RAPORU_BURAK_YENI1309[[#This Row],[BIRIM_FIYATLAR]])&lt;1,VALUE("0"),DST_123_ÜRETİM_İHTİYAÇ_RAPORU_BURAK_YENI1309[[#This Row],[SATINALMA]]*DST_123_ÜRETİM_İHTİYAÇ_RAPORU_BURAK_YENI1309[[#This Row],[BIRIM_FIYATLAR]])</f>
        <v>5276.2000000000016</v>
      </c>
      <c r="N1345">
        <v>1147</v>
      </c>
      <c r="O1345" t="s">
        <v>672</v>
      </c>
      <c r="P1345">
        <v>229.4</v>
      </c>
      <c r="Q1345" t="s">
        <v>184</v>
      </c>
    </row>
    <row r="1346" spans="1:17" x14ac:dyDescent="0.25">
      <c r="A1346" t="s">
        <v>1196</v>
      </c>
      <c r="B1346" t="s">
        <v>1197</v>
      </c>
      <c r="C1346" t="s">
        <v>175</v>
      </c>
      <c r="D1346" t="s">
        <v>149</v>
      </c>
      <c r="E1346" t="s">
        <v>150</v>
      </c>
      <c r="F1346">
        <v>1.3</v>
      </c>
      <c r="G1346" t="s">
        <v>176</v>
      </c>
      <c r="H1346">
        <v>0</v>
      </c>
      <c r="I1346">
        <v>5</v>
      </c>
      <c r="J1346" s="10">
        <v>0</v>
      </c>
      <c r="K1346" s="10">
        <f>SUMIFS(F:F,D:D,DST_123_ÜRETİM_İHTİYAÇ_RAPORU_BURAK_YENI1309[[#This Row],[ALT_KOD]])-(SUMIFS(H:H,D:D,DST_123_ÜRETİM_İHTİYAÇ_RAPORU_BURAK_YENI1309[[#This Row],[ALT_KOD]])+AVERAGEIFS(I:I,D:D,DST_123_ÜRETİM_İHTİYAÇ_RAPORU_BURAK_YENI1309[[#This Row],[ALT_KOD]])+AVERAGEIFS(L:L,D:D,DST_123_ÜRETİM_İHTİYAÇ_RAPORU_BURAK_YENI1309[[#This Row],[ALT_KOD]]))</f>
        <v>4.6000000000000014</v>
      </c>
      <c r="L1346">
        <v>5</v>
      </c>
      <c r="M1346">
        <f>IF((DST_123_ÜRETİM_İHTİYAÇ_RAPORU_BURAK_YENI1309[[#This Row],[SATINALMA]]*DST_123_ÜRETİM_İHTİYAÇ_RAPORU_BURAK_YENI1309[[#This Row],[BIRIM_FIYATLAR]])&lt;1,VALUE("0"),DST_123_ÜRETİM_İHTİYAÇ_RAPORU_BURAK_YENI1309[[#This Row],[SATINALMA]]*DST_123_ÜRETİM_İHTİYAÇ_RAPORU_BURAK_YENI1309[[#This Row],[BIRIM_FIYATLAR]])</f>
        <v>5276.2000000000016</v>
      </c>
      <c r="N1346">
        <v>1147</v>
      </c>
      <c r="O1346" t="s">
        <v>672</v>
      </c>
      <c r="P1346">
        <v>1491.1000000000001</v>
      </c>
      <c r="Q1346" t="s">
        <v>184</v>
      </c>
    </row>
    <row r="1347" spans="1:17" x14ac:dyDescent="0.25">
      <c r="A1347" t="s">
        <v>1144</v>
      </c>
      <c r="B1347" t="s">
        <v>1145</v>
      </c>
      <c r="C1347" t="s">
        <v>175</v>
      </c>
      <c r="D1347" t="s">
        <v>746</v>
      </c>
      <c r="E1347" t="s">
        <v>747</v>
      </c>
      <c r="F1347">
        <v>2</v>
      </c>
      <c r="G1347" t="s">
        <v>176</v>
      </c>
      <c r="H1347">
        <v>0</v>
      </c>
      <c r="I1347">
        <v>3</v>
      </c>
      <c r="J1347" s="10">
        <v>0</v>
      </c>
      <c r="K1347" s="10">
        <f>SUMIFS(F:F,D:D,DST_123_ÜRETİM_İHTİYAÇ_RAPORU_BURAK_YENI1309[[#This Row],[ALT_KOD]])-(SUMIFS(H:H,D:D,DST_123_ÜRETİM_İHTİYAÇ_RAPORU_BURAK_YENI1309[[#This Row],[ALT_KOD]])+AVERAGEIFS(I:I,D:D,DST_123_ÜRETİM_İHTİYAÇ_RAPORU_BURAK_YENI1309[[#This Row],[ALT_KOD]])+AVERAGEIFS(L:L,D:D,DST_123_ÜRETİM_İHTİYAÇ_RAPORU_BURAK_YENI1309[[#This Row],[ALT_KOD]]))</f>
        <v>13</v>
      </c>
      <c r="L1347">
        <v>0</v>
      </c>
      <c r="M1347">
        <f>IF((DST_123_ÜRETİM_İHTİYAÇ_RAPORU_BURAK_YENI1309[[#This Row],[SATINALMA]]*DST_123_ÜRETİM_İHTİYAÇ_RAPORU_BURAK_YENI1309[[#This Row],[BIRIM_FIYATLAR]])&lt;1,VALUE("0"),DST_123_ÜRETİM_İHTİYAÇ_RAPORU_BURAK_YENI1309[[#This Row],[SATINALMA]]*DST_123_ÜRETİM_İHTİYAÇ_RAPORU_BURAK_YENI1309[[#This Row],[BIRIM_FIYATLAR]])</f>
        <v>702</v>
      </c>
      <c r="N1347">
        <v>54</v>
      </c>
      <c r="O1347" t="s">
        <v>226</v>
      </c>
      <c r="P1347">
        <v>108</v>
      </c>
      <c r="Q1347" t="s">
        <v>180</v>
      </c>
    </row>
    <row r="1348" spans="1:17" x14ac:dyDescent="0.25">
      <c r="A1348" t="s">
        <v>1144</v>
      </c>
      <c r="B1348" t="s">
        <v>1145</v>
      </c>
      <c r="C1348" t="s">
        <v>175</v>
      </c>
      <c r="D1348" t="s">
        <v>269</v>
      </c>
      <c r="E1348" t="s">
        <v>270</v>
      </c>
      <c r="F1348">
        <v>1</v>
      </c>
      <c r="G1348" t="s">
        <v>176</v>
      </c>
      <c r="H1348">
        <v>0</v>
      </c>
      <c r="I1348">
        <v>13</v>
      </c>
      <c r="J1348" s="10">
        <v>9</v>
      </c>
      <c r="K1348" s="10">
        <f>SUMIFS(F:F,D:D,DST_123_ÜRETİM_İHTİYAÇ_RAPORU_BURAK_YENI1309[[#This Row],[ALT_KOD]])-(SUMIFS(H:H,D:D,DST_123_ÜRETİM_İHTİYAÇ_RAPORU_BURAK_YENI1309[[#This Row],[ALT_KOD]])+AVERAGEIFS(I:I,D:D,DST_123_ÜRETİM_İHTİYAÇ_RAPORU_BURAK_YENI1309[[#This Row],[ALT_KOD]])+AVERAGEIFS(L:L,D:D,DST_123_ÜRETİM_İHTİYAÇ_RAPORU_BURAK_YENI1309[[#This Row],[ALT_KOD]]))</f>
        <v>-1</v>
      </c>
      <c r="L1348">
        <v>0</v>
      </c>
      <c r="M1348">
        <f>IF((DST_123_ÜRETİM_İHTİYAÇ_RAPORU_BURAK_YENI1309[[#This Row],[SATINALMA]]*DST_123_ÜRETİM_İHTİYAÇ_RAPORU_BURAK_YENI1309[[#This Row],[BIRIM_FIYATLAR]])&lt;1,VALUE("0"),DST_123_ÜRETİM_İHTİYAÇ_RAPORU_BURAK_YENI1309[[#This Row],[SATINALMA]]*DST_123_ÜRETİM_İHTİYAÇ_RAPORU_BURAK_YENI1309[[#This Row],[BIRIM_FIYATLAR]])</f>
        <v>0</v>
      </c>
      <c r="N1348">
        <v>270</v>
      </c>
      <c r="O1348" t="s">
        <v>220</v>
      </c>
      <c r="P1348">
        <v>270</v>
      </c>
      <c r="Q1348" t="s">
        <v>221</v>
      </c>
    </row>
    <row r="1349" spans="1:17" x14ac:dyDescent="0.25">
      <c r="A1349" t="s">
        <v>1146</v>
      </c>
      <c r="B1349" t="s">
        <v>1145</v>
      </c>
      <c r="C1349" t="s">
        <v>175</v>
      </c>
      <c r="D1349" t="s">
        <v>269</v>
      </c>
      <c r="E1349" t="s">
        <v>270</v>
      </c>
      <c r="F1349">
        <v>1</v>
      </c>
      <c r="G1349" t="s">
        <v>176</v>
      </c>
      <c r="H1349">
        <v>0</v>
      </c>
      <c r="I1349">
        <v>13</v>
      </c>
      <c r="J1349" s="10">
        <v>9</v>
      </c>
      <c r="K1349" s="10">
        <f>SUMIFS(F:F,D:D,DST_123_ÜRETİM_İHTİYAÇ_RAPORU_BURAK_YENI1309[[#This Row],[ALT_KOD]])-(SUMIFS(H:H,D:D,DST_123_ÜRETİM_İHTİYAÇ_RAPORU_BURAK_YENI1309[[#This Row],[ALT_KOD]])+AVERAGEIFS(I:I,D:D,DST_123_ÜRETİM_İHTİYAÇ_RAPORU_BURAK_YENI1309[[#This Row],[ALT_KOD]])+AVERAGEIFS(L:L,D:D,DST_123_ÜRETİM_İHTİYAÇ_RAPORU_BURAK_YENI1309[[#This Row],[ALT_KOD]]))</f>
        <v>-1</v>
      </c>
      <c r="L1349">
        <v>0</v>
      </c>
      <c r="M1349">
        <f>IF((DST_123_ÜRETİM_İHTİYAÇ_RAPORU_BURAK_YENI1309[[#This Row],[SATINALMA]]*DST_123_ÜRETİM_İHTİYAÇ_RAPORU_BURAK_YENI1309[[#This Row],[BIRIM_FIYATLAR]])&lt;1,VALUE("0"),DST_123_ÜRETİM_İHTİYAÇ_RAPORU_BURAK_YENI1309[[#This Row],[SATINALMA]]*DST_123_ÜRETİM_İHTİYAÇ_RAPORU_BURAK_YENI1309[[#This Row],[BIRIM_FIYATLAR]])</f>
        <v>0</v>
      </c>
      <c r="N1349">
        <v>270</v>
      </c>
      <c r="O1349" t="s">
        <v>220</v>
      </c>
      <c r="P1349">
        <v>270</v>
      </c>
      <c r="Q1349" t="s">
        <v>221</v>
      </c>
    </row>
    <row r="1350" spans="1:17" x14ac:dyDescent="0.25">
      <c r="A1350" t="s">
        <v>1146</v>
      </c>
      <c r="B1350" t="s">
        <v>1145</v>
      </c>
      <c r="C1350" t="s">
        <v>175</v>
      </c>
      <c r="D1350" t="s">
        <v>1157</v>
      </c>
      <c r="E1350" t="s">
        <v>1158</v>
      </c>
      <c r="F1350">
        <v>4</v>
      </c>
      <c r="G1350" t="s">
        <v>176</v>
      </c>
      <c r="H1350">
        <v>0</v>
      </c>
      <c r="I1350">
        <v>0</v>
      </c>
      <c r="J1350" s="10">
        <v>0</v>
      </c>
      <c r="K1350" s="10">
        <f>SUMIFS(F:F,D:D,DST_123_ÜRETİM_İHTİYAÇ_RAPORU_BURAK_YENI1309[[#This Row],[ALT_KOD]])-(SUMIFS(H:H,D:D,DST_123_ÜRETİM_İHTİYAÇ_RAPORU_BURAK_YENI1309[[#This Row],[ALT_KOD]])+AVERAGEIFS(I:I,D:D,DST_123_ÜRETİM_İHTİYAÇ_RAPORU_BURAK_YENI1309[[#This Row],[ALT_KOD]])+AVERAGEIFS(L:L,D:D,DST_123_ÜRETİM_İHTİYAÇ_RAPORU_BURAK_YENI1309[[#This Row],[ALT_KOD]]))</f>
        <v>56</v>
      </c>
      <c r="L1350">
        <v>0</v>
      </c>
      <c r="M1350">
        <f>IF((DST_123_ÜRETİM_İHTİYAÇ_RAPORU_BURAK_YENI1309[[#This Row],[SATINALMA]]*DST_123_ÜRETİM_İHTİYAÇ_RAPORU_BURAK_YENI1309[[#This Row],[BIRIM_FIYATLAR]])&lt;1,VALUE("0"),DST_123_ÜRETİM_İHTİYAÇ_RAPORU_BURAK_YENI1309[[#This Row],[SATINALMA]]*DST_123_ÜRETİM_İHTİYAÇ_RAPORU_BURAK_YENI1309[[#This Row],[BIRIM_FIYATLAR]])</f>
        <v>0</v>
      </c>
      <c r="N1350">
        <v>0</v>
      </c>
      <c r="P1350">
        <v>0</v>
      </c>
      <c r="Q1350" t="s">
        <v>180</v>
      </c>
    </row>
    <row r="1351" spans="1:17" x14ac:dyDescent="0.25">
      <c r="A1351" t="s">
        <v>1150</v>
      </c>
      <c r="B1351" t="s">
        <v>1145</v>
      </c>
      <c r="C1351" t="s">
        <v>175</v>
      </c>
      <c r="D1351" t="s">
        <v>464</v>
      </c>
      <c r="E1351" t="s">
        <v>465</v>
      </c>
      <c r="F1351">
        <v>2</v>
      </c>
      <c r="G1351" t="s">
        <v>176</v>
      </c>
      <c r="H1351">
        <v>0</v>
      </c>
      <c r="I1351">
        <v>222</v>
      </c>
      <c r="J1351" s="10">
        <v>2</v>
      </c>
      <c r="K1351" s="10">
        <f>SUMIFS(F:F,D:D,DST_123_ÜRETİM_İHTİYAÇ_RAPORU_BURAK_YENI1309[[#This Row],[ALT_KOD]])-(SUMIFS(H:H,D:D,DST_123_ÜRETİM_İHTİYAÇ_RAPORU_BURAK_YENI1309[[#This Row],[ALT_KOD]])+AVERAGEIFS(I:I,D:D,DST_123_ÜRETİM_İHTİYAÇ_RAPORU_BURAK_YENI1309[[#This Row],[ALT_KOD]])+AVERAGEIFS(L:L,D:D,DST_123_ÜRETİM_İHTİYAÇ_RAPORU_BURAK_YENI1309[[#This Row],[ALT_KOD]]))</f>
        <v>-166</v>
      </c>
      <c r="L1351">
        <v>0</v>
      </c>
      <c r="M1351">
        <f>IF((DST_123_ÜRETİM_İHTİYAÇ_RAPORU_BURAK_YENI1309[[#This Row],[SATINALMA]]*DST_123_ÜRETİM_İHTİYAÇ_RAPORU_BURAK_YENI1309[[#This Row],[BIRIM_FIYATLAR]])&lt;1,VALUE("0"),DST_123_ÜRETİM_İHTİYAÇ_RAPORU_BURAK_YENI1309[[#This Row],[SATINALMA]]*DST_123_ÜRETİM_İHTİYAÇ_RAPORU_BURAK_YENI1309[[#This Row],[BIRIM_FIYATLAR]])</f>
        <v>0</v>
      </c>
      <c r="N1351">
        <v>11.5</v>
      </c>
      <c r="O1351" t="s">
        <v>240</v>
      </c>
      <c r="P1351">
        <v>23</v>
      </c>
      <c r="Q1351" t="s">
        <v>178</v>
      </c>
    </row>
    <row r="1352" spans="1:17" x14ac:dyDescent="0.25">
      <c r="A1352" t="s">
        <v>1142</v>
      </c>
      <c r="B1352" t="s">
        <v>1056</v>
      </c>
      <c r="C1352" t="s">
        <v>175</v>
      </c>
      <c r="D1352" t="s">
        <v>807</v>
      </c>
      <c r="E1352" t="s">
        <v>808</v>
      </c>
      <c r="F1352">
        <v>1</v>
      </c>
      <c r="G1352" t="s">
        <v>176</v>
      </c>
      <c r="H1352">
        <v>0</v>
      </c>
      <c r="I1352">
        <v>11</v>
      </c>
      <c r="J1352" s="10">
        <v>1</v>
      </c>
      <c r="K1352" s="10">
        <f>SUMIFS(F:F,D:D,DST_123_ÜRETİM_İHTİYAÇ_RAPORU_BURAK_YENI1309[[#This Row],[ALT_KOD]])-(SUMIFS(H:H,D:D,DST_123_ÜRETİM_İHTİYAÇ_RAPORU_BURAK_YENI1309[[#This Row],[ALT_KOD]])+AVERAGEIFS(I:I,D:D,DST_123_ÜRETİM_İHTİYAÇ_RAPORU_BURAK_YENI1309[[#This Row],[ALT_KOD]])+AVERAGEIFS(L:L,D:D,DST_123_ÜRETİM_İHTİYAÇ_RAPORU_BURAK_YENI1309[[#This Row],[ALT_KOD]]))</f>
        <v>-4</v>
      </c>
      <c r="L1352">
        <v>0</v>
      </c>
      <c r="M1352">
        <f>IF((DST_123_ÜRETİM_İHTİYAÇ_RAPORU_BURAK_YENI1309[[#This Row],[SATINALMA]]*DST_123_ÜRETİM_İHTİYAÇ_RAPORU_BURAK_YENI1309[[#This Row],[BIRIM_FIYATLAR]])&lt;1,VALUE("0"),DST_123_ÜRETİM_İHTİYAÇ_RAPORU_BURAK_YENI1309[[#This Row],[SATINALMA]]*DST_123_ÜRETİM_İHTİYAÇ_RAPORU_BURAK_YENI1309[[#This Row],[BIRIM_FIYATLAR]])</f>
        <v>0</v>
      </c>
      <c r="N1352">
        <v>582.5</v>
      </c>
      <c r="O1352" t="s">
        <v>628</v>
      </c>
      <c r="P1352">
        <v>582.5</v>
      </c>
      <c r="Q1352" t="s">
        <v>177</v>
      </c>
    </row>
    <row r="1353" spans="1:17" x14ac:dyDescent="0.25">
      <c r="A1353" t="s">
        <v>1143</v>
      </c>
      <c r="B1353" t="s">
        <v>1056</v>
      </c>
      <c r="C1353" t="s">
        <v>175</v>
      </c>
      <c r="D1353" t="s">
        <v>536</v>
      </c>
      <c r="E1353" t="s">
        <v>537</v>
      </c>
      <c r="F1353">
        <v>12</v>
      </c>
      <c r="G1353" t="s">
        <v>176</v>
      </c>
      <c r="H1353">
        <v>0</v>
      </c>
      <c r="I1353">
        <v>2200</v>
      </c>
      <c r="J1353" s="10">
        <v>0</v>
      </c>
      <c r="K1353" s="10">
        <f>SUMIFS(F:F,D:D,DST_123_ÜRETİM_İHTİYAÇ_RAPORU_BURAK_YENI1309[[#This Row],[ALT_KOD]])-(SUMIFS(H:H,D:D,DST_123_ÜRETİM_İHTİYAÇ_RAPORU_BURAK_YENI1309[[#This Row],[ALT_KOD]])+AVERAGEIFS(I:I,D:D,DST_123_ÜRETİM_İHTİYAÇ_RAPORU_BURAK_YENI1309[[#This Row],[ALT_KOD]])+AVERAGEIFS(L:L,D:D,DST_123_ÜRETİM_İHTİYAÇ_RAPORU_BURAK_YENI1309[[#This Row],[ALT_KOD]]))</f>
        <v>-1626</v>
      </c>
      <c r="L1353">
        <v>0</v>
      </c>
      <c r="M1353">
        <f>IF((DST_123_ÜRETİM_İHTİYAÇ_RAPORU_BURAK_YENI1309[[#This Row],[SATINALMA]]*DST_123_ÜRETİM_İHTİYAÇ_RAPORU_BURAK_YENI1309[[#This Row],[BIRIM_FIYATLAR]])&lt;1,VALUE("0"),DST_123_ÜRETİM_İHTİYAÇ_RAPORU_BURAK_YENI1309[[#This Row],[SATINALMA]]*DST_123_ÜRETİM_İHTİYAÇ_RAPORU_BURAK_YENI1309[[#This Row],[BIRIM_FIYATLAR]])</f>
        <v>0</v>
      </c>
      <c r="N1353">
        <v>0.7</v>
      </c>
      <c r="O1353" t="s">
        <v>240</v>
      </c>
      <c r="P1353">
        <v>8.3999999999999986</v>
      </c>
      <c r="Q1353" t="s">
        <v>180</v>
      </c>
    </row>
    <row r="1354" spans="1:17" x14ac:dyDescent="0.25">
      <c r="A1354" t="s">
        <v>1095</v>
      </c>
      <c r="B1354" t="s">
        <v>1096</v>
      </c>
      <c r="C1354" t="s">
        <v>175</v>
      </c>
      <c r="D1354" t="s">
        <v>536</v>
      </c>
      <c r="E1354" t="s">
        <v>537</v>
      </c>
      <c r="F1354">
        <v>7</v>
      </c>
      <c r="G1354" t="s">
        <v>176</v>
      </c>
      <c r="H1354">
        <v>0</v>
      </c>
      <c r="I1354">
        <v>2200</v>
      </c>
      <c r="J1354" s="10">
        <v>0</v>
      </c>
      <c r="K1354" s="10">
        <f>SUMIFS(F:F,D:D,DST_123_ÜRETİM_İHTİYAÇ_RAPORU_BURAK_YENI1309[[#This Row],[ALT_KOD]])-(SUMIFS(H:H,D:D,DST_123_ÜRETİM_İHTİYAÇ_RAPORU_BURAK_YENI1309[[#This Row],[ALT_KOD]])+AVERAGEIFS(I:I,D:D,DST_123_ÜRETİM_İHTİYAÇ_RAPORU_BURAK_YENI1309[[#This Row],[ALT_KOD]])+AVERAGEIFS(L:L,D:D,DST_123_ÜRETİM_İHTİYAÇ_RAPORU_BURAK_YENI1309[[#This Row],[ALT_KOD]]))</f>
        <v>-1626</v>
      </c>
      <c r="L1354">
        <v>0</v>
      </c>
      <c r="M1354">
        <f>IF((DST_123_ÜRETİM_İHTİYAÇ_RAPORU_BURAK_YENI1309[[#This Row],[SATINALMA]]*DST_123_ÜRETİM_İHTİYAÇ_RAPORU_BURAK_YENI1309[[#This Row],[BIRIM_FIYATLAR]])&lt;1,VALUE("0"),DST_123_ÜRETİM_İHTİYAÇ_RAPORU_BURAK_YENI1309[[#This Row],[SATINALMA]]*DST_123_ÜRETİM_İHTİYAÇ_RAPORU_BURAK_YENI1309[[#This Row],[BIRIM_FIYATLAR]])</f>
        <v>0</v>
      </c>
      <c r="N1354">
        <v>0.7</v>
      </c>
      <c r="O1354" t="s">
        <v>240</v>
      </c>
      <c r="P1354">
        <v>4.8999999999999995</v>
      </c>
      <c r="Q1354" t="s">
        <v>180</v>
      </c>
    </row>
    <row r="1355" spans="1:17" x14ac:dyDescent="0.25">
      <c r="A1355" t="s">
        <v>1059</v>
      </c>
      <c r="B1355" t="s">
        <v>1058</v>
      </c>
      <c r="C1355" t="s">
        <v>175</v>
      </c>
      <c r="D1355" t="s">
        <v>70</v>
      </c>
      <c r="E1355" t="s">
        <v>287</v>
      </c>
      <c r="F1355">
        <v>4</v>
      </c>
      <c r="G1355" t="s">
        <v>185</v>
      </c>
      <c r="H1355">
        <v>4</v>
      </c>
      <c r="I1355">
        <v>0</v>
      </c>
      <c r="J1355" s="10">
        <v>233.6899999999996</v>
      </c>
      <c r="K1355" s="10">
        <f>SUMIFS(F:F,D:D,DST_123_ÜRETİM_İHTİYAÇ_RAPORU_BURAK_YENI1309[[#This Row],[ALT_KOD]])-(SUMIFS(H:H,D:D,DST_123_ÜRETİM_İHTİYAÇ_RAPORU_BURAK_YENI1309[[#This Row],[ALT_KOD]])+AVERAGEIFS(I:I,D:D,DST_123_ÜRETİM_İHTİYAÇ_RAPORU_BURAK_YENI1309[[#This Row],[ALT_KOD]])+AVERAGEIFS(L:L,D:D,DST_123_ÜRETİM_İHTİYAÇ_RAPORU_BURAK_YENI1309[[#This Row],[ALT_KOD]]))</f>
        <v>63.129999999999995</v>
      </c>
      <c r="L1355">
        <v>0</v>
      </c>
      <c r="M1355">
        <f>IF((DST_123_ÜRETİM_İHTİYAÇ_RAPORU_BURAK_YENI1309[[#This Row],[SATINALMA]]*DST_123_ÜRETİM_İHTİYAÇ_RAPORU_BURAK_YENI1309[[#This Row],[BIRIM_FIYATLAR]])&lt;1,VALUE("0"),DST_123_ÜRETİM_İHTİYAÇ_RAPORU_BURAK_YENI1309[[#This Row],[SATINALMA]]*DST_123_ÜRETİM_İHTİYAÇ_RAPORU_BURAK_YENI1309[[#This Row],[BIRIM_FIYATLAR]])</f>
        <v>6403.9071999999996</v>
      </c>
      <c r="N1355">
        <v>101.44</v>
      </c>
      <c r="O1355" t="s">
        <v>490</v>
      </c>
      <c r="P1355">
        <v>405.76</v>
      </c>
      <c r="Q1355" t="s">
        <v>183</v>
      </c>
    </row>
    <row r="1356" spans="1:17" x14ac:dyDescent="0.25">
      <c r="A1356" t="s">
        <v>1095</v>
      </c>
      <c r="B1356" t="s">
        <v>1096</v>
      </c>
      <c r="C1356" t="s">
        <v>175</v>
      </c>
      <c r="D1356" t="s">
        <v>70</v>
      </c>
      <c r="E1356" t="s">
        <v>287</v>
      </c>
      <c r="F1356">
        <v>5.49</v>
      </c>
      <c r="G1356" t="s">
        <v>185</v>
      </c>
      <c r="H1356">
        <v>0</v>
      </c>
      <c r="I1356">
        <v>0</v>
      </c>
      <c r="J1356" s="10">
        <v>233.6899999999996</v>
      </c>
      <c r="K1356" s="10">
        <f>SUMIFS(F:F,D:D,DST_123_ÜRETİM_İHTİYAÇ_RAPORU_BURAK_YENI1309[[#This Row],[ALT_KOD]])-(SUMIFS(H:H,D:D,DST_123_ÜRETİM_İHTİYAÇ_RAPORU_BURAK_YENI1309[[#This Row],[ALT_KOD]])+AVERAGEIFS(I:I,D:D,DST_123_ÜRETİM_İHTİYAÇ_RAPORU_BURAK_YENI1309[[#This Row],[ALT_KOD]])+AVERAGEIFS(L:L,D:D,DST_123_ÜRETİM_İHTİYAÇ_RAPORU_BURAK_YENI1309[[#This Row],[ALT_KOD]]))</f>
        <v>63.129999999999995</v>
      </c>
      <c r="L1356">
        <v>0</v>
      </c>
      <c r="M1356">
        <f>IF((DST_123_ÜRETİM_İHTİYAÇ_RAPORU_BURAK_YENI1309[[#This Row],[SATINALMA]]*DST_123_ÜRETİM_İHTİYAÇ_RAPORU_BURAK_YENI1309[[#This Row],[BIRIM_FIYATLAR]])&lt;1,VALUE("0"),DST_123_ÜRETİM_İHTİYAÇ_RAPORU_BURAK_YENI1309[[#This Row],[SATINALMA]]*DST_123_ÜRETİM_İHTİYAÇ_RAPORU_BURAK_YENI1309[[#This Row],[BIRIM_FIYATLAR]])</f>
        <v>6403.9071999999996</v>
      </c>
      <c r="N1356">
        <v>101.44</v>
      </c>
      <c r="O1356" t="s">
        <v>490</v>
      </c>
      <c r="P1356">
        <v>556.90560000000005</v>
      </c>
      <c r="Q1356" t="s">
        <v>183</v>
      </c>
    </row>
    <row r="1357" spans="1:17" x14ac:dyDescent="0.25">
      <c r="A1357" t="s">
        <v>1095</v>
      </c>
      <c r="B1357" t="s">
        <v>1096</v>
      </c>
      <c r="C1357" t="s">
        <v>175</v>
      </c>
      <c r="D1357" t="s">
        <v>71</v>
      </c>
      <c r="E1357" t="s">
        <v>249</v>
      </c>
      <c r="F1357">
        <v>11.2</v>
      </c>
      <c r="G1357" t="s">
        <v>176</v>
      </c>
      <c r="H1357">
        <v>0</v>
      </c>
      <c r="I1357">
        <v>96</v>
      </c>
      <c r="J1357" s="10">
        <v>195.44000000000014</v>
      </c>
      <c r="K1357" s="10">
        <f>SUMIFS(F:F,D:D,DST_123_ÜRETİM_İHTİYAÇ_RAPORU_BURAK_YENI1309[[#This Row],[ALT_KOD]])-(SUMIFS(H:H,D:D,DST_123_ÜRETİM_İHTİYAÇ_RAPORU_BURAK_YENI1309[[#This Row],[ALT_KOD]])+AVERAGEIFS(I:I,D:D,DST_123_ÜRETİM_İHTİYAÇ_RAPORU_BURAK_YENI1309[[#This Row],[ALT_KOD]])+AVERAGEIFS(L:L,D:D,DST_123_ÜRETİM_İHTİYAÇ_RAPORU_BURAK_YENI1309[[#This Row],[ALT_KOD]]))</f>
        <v>63.319999999999951</v>
      </c>
      <c r="L1357">
        <v>0</v>
      </c>
      <c r="M1357">
        <f>IF((DST_123_ÜRETİM_İHTİYAÇ_RAPORU_BURAK_YENI1309[[#This Row],[SATINALMA]]*DST_123_ÜRETİM_İHTİYAÇ_RAPORU_BURAK_YENI1309[[#This Row],[BIRIM_FIYATLAR]])&lt;1,VALUE("0"),DST_123_ÜRETİM_İHTİYAÇ_RAPORU_BURAK_YENI1309[[#This Row],[SATINALMA]]*DST_123_ÜRETİM_İHTİYAÇ_RAPORU_BURAK_YENI1309[[#This Row],[BIRIM_FIYATLAR]])</f>
        <v>8163.8475999999937</v>
      </c>
      <c r="N1357">
        <v>128.93</v>
      </c>
      <c r="O1357" t="s">
        <v>250</v>
      </c>
      <c r="P1357">
        <v>1444.0160000000001</v>
      </c>
      <c r="Q1357" t="s">
        <v>180</v>
      </c>
    </row>
    <row r="1358" spans="1:17" x14ac:dyDescent="0.25">
      <c r="A1358" t="s">
        <v>1059</v>
      </c>
      <c r="B1358" t="s">
        <v>1058</v>
      </c>
      <c r="C1358" t="s">
        <v>175</v>
      </c>
      <c r="D1358" t="s">
        <v>71</v>
      </c>
      <c r="E1358" t="s">
        <v>249</v>
      </c>
      <c r="F1358">
        <v>7.4999999999999991</v>
      </c>
      <c r="G1358" t="s">
        <v>176</v>
      </c>
      <c r="H1358">
        <v>0</v>
      </c>
      <c r="I1358">
        <v>96</v>
      </c>
      <c r="J1358" s="10">
        <v>195.44000000000014</v>
      </c>
      <c r="K1358" s="10">
        <f>SUMIFS(F:F,D:D,DST_123_ÜRETİM_İHTİYAÇ_RAPORU_BURAK_YENI1309[[#This Row],[ALT_KOD]])-(SUMIFS(H:H,D:D,DST_123_ÜRETİM_İHTİYAÇ_RAPORU_BURAK_YENI1309[[#This Row],[ALT_KOD]])+AVERAGEIFS(I:I,D:D,DST_123_ÜRETİM_İHTİYAÇ_RAPORU_BURAK_YENI1309[[#This Row],[ALT_KOD]])+AVERAGEIFS(L:L,D:D,DST_123_ÜRETİM_İHTİYAÇ_RAPORU_BURAK_YENI1309[[#This Row],[ALT_KOD]]))</f>
        <v>63.319999999999951</v>
      </c>
      <c r="L1358">
        <v>0</v>
      </c>
      <c r="M1358">
        <f>IF((DST_123_ÜRETİM_İHTİYAÇ_RAPORU_BURAK_YENI1309[[#This Row],[SATINALMA]]*DST_123_ÜRETİM_İHTİYAÇ_RAPORU_BURAK_YENI1309[[#This Row],[BIRIM_FIYATLAR]])&lt;1,VALUE("0"),DST_123_ÜRETİM_İHTİYAÇ_RAPORU_BURAK_YENI1309[[#This Row],[SATINALMA]]*DST_123_ÜRETİM_İHTİYAÇ_RAPORU_BURAK_YENI1309[[#This Row],[BIRIM_FIYATLAR]])</f>
        <v>8163.8475999999937</v>
      </c>
      <c r="N1358">
        <v>128.93</v>
      </c>
      <c r="O1358" t="s">
        <v>250</v>
      </c>
      <c r="P1358">
        <v>966.97499999999991</v>
      </c>
      <c r="Q1358" t="s">
        <v>180</v>
      </c>
    </row>
    <row r="1359" spans="1:17" x14ac:dyDescent="0.25">
      <c r="A1359" t="s">
        <v>1059</v>
      </c>
      <c r="B1359" t="s">
        <v>1058</v>
      </c>
      <c r="C1359" t="s">
        <v>175</v>
      </c>
      <c r="D1359" t="s">
        <v>389</v>
      </c>
      <c r="E1359" t="s">
        <v>390</v>
      </c>
      <c r="F1359">
        <v>8</v>
      </c>
      <c r="G1359" t="s">
        <v>176</v>
      </c>
      <c r="H1359">
        <v>0</v>
      </c>
      <c r="I1359">
        <v>100</v>
      </c>
      <c r="J1359" s="10">
        <v>352</v>
      </c>
      <c r="K1359" s="10">
        <f>SUMIFS(F:F,D:D,DST_123_ÜRETİM_İHTİYAÇ_RAPORU_BURAK_YENI1309[[#This Row],[ALT_KOD]])-(SUMIFS(H:H,D:D,DST_123_ÜRETİM_İHTİYAÇ_RAPORU_BURAK_YENI1309[[#This Row],[ALT_KOD]])+AVERAGEIFS(I:I,D:D,DST_123_ÜRETİM_İHTİYAÇ_RAPORU_BURAK_YENI1309[[#This Row],[ALT_KOD]])+AVERAGEIFS(L:L,D:D,DST_123_ÜRETİM_İHTİYAÇ_RAPORU_BURAK_YENI1309[[#This Row],[ALT_KOD]]))</f>
        <v>-28</v>
      </c>
      <c r="L1359">
        <v>0</v>
      </c>
      <c r="M1359">
        <f>IF((DST_123_ÜRETİM_İHTİYAÇ_RAPORU_BURAK_YENI1309[[#This Row],[SATINALMA]]*DST_123_ÜRETİM_İHTİYAÇ_RAPORU_BURAK_YENI1309[[#This Row],[BIRIM_FIYATLAR]])&lt;1,VALUE("0"),DST_123_ÜRETİM_İHTİYAÇ_RAPORU_BURAK_YENI1309[[#This Row],[SATINALMA]]*DST_123_ÜRETİM_İHTİYAÇ_RAPORU_BURAK_YENI1309[[#This Row],[BIRIM_FIYATLAR]])</f>
        <v>0</v>
      </c>
      <c r="N1359">
        <v>6.4</v>
      </c>
      <c r="O1359" t="s">
        <v>882</v>
      </c>
      <c r="P1359">
        <v>51.2</v>
      </c>
      <c r="Q1359" t="s">
        <v>178</v>
      </c>
    </row>
    <row r="1360" spans="1:17" x14ac:dyDescent="0.25">
      <c r="A1360" t="s">
        <v>1147</v>
      </c>
      <c r="B1360" t="s">
        <v>1145</v>
      </c>
      <c r="C1360" t="s">
        <v>175</v>
      </c>
      <c r="D1360" t="s">
        <v>389</v>
      </c>
      <c r="E1360" t="s">
        <v>390</v>
      </c>
      <c r="F1360">
        <v>8</v>
      </c>
      <c r="G1360" t="s">
        <v>176</v>
      </c>
      <c r="H1360">
        <v>0</v>
      </c>
      <c r="I1360">
        <v>100</v>
      </c>
      <c r="J1360" s="10">
        <v>352</v>
      </c>
      <c r="K1360" s="10">
        <f>SUMIFS(F:F,D:D,DST_123_ÜRETİM_İHTİYAÇ_RAPORU_BURAK_YENI1309[[#This Row],[ALT_KOD]])-(SUMIFS(H:H,D:D,DST_123_ÜRETİM_İHTİYAÇ_RAPORU_BURAK_YENI1309[[#This Row],[ALT_KOD]])+AVERAGEIFS(I:I,D:D,DST_123_ÜRETİM_İHTİYAÇ_RAPORU_BURAK_YENI1309[[#This Row],[ALT_KOD]])+AVERAGEIFS(L:L,D:D,DST_123_ÜRETİM_İHTİYAÇ_RAPORU_BURAK_YENI1309[[#This Row],[ALT_KOD]]))</f>
        <v>-28</v>
      </c>
      <c r="L1360">
        <v>0</v>
      </c>
      <c r="M1360">
        <f>IF((DST_123_ÜRETİM_İHTİYAÇ_RAPORU_BURAK_YENI1309[[#This Row],[SATINALMA]]*DST_123_ÜRETİM_İHTİYAÇ_RAPORU_BURAK_YENI1309[[#This Row],[BIRIM_FIYATLAR]])&lt;1,VALUE("0"),DST_123_ÜRETİM_İHTİYAÇ_RAPORU_BURAK_YENI1309[[#This Row],[SATINALMA]]*DST_123_ÜRETİM_İHTİYAÇ_RAPORU_BURAK_YENI1309[[#This Row],[BIRIM_FIYATLAR]])</f>
        <v>0</v>
      </c>
      <c r="N1360">
        <v>6.4</v>
      </c>
      <c r="O1360" t="s">
        <v>882</v>
      </c>
      <c r="P1360">
        <v>51.2</v>
      </c>
      <c r="Q1360" t="s">
        <v>178</v>
      </c>
    </row>
    <row r="1361" spans="1:17" x14ac:dyDescent="0.25">
      <c r="A1361" t="s">
        <v>1100</v>
      </c>
      <c r="B1361" t="s">
        <v>1058</v>
      </c>
      <c r="C1361" t="s">
        <v>175</v>
      </c>
      <c r="D1361" t="s">
        <v>389</v>
      </c>
      <c r="E1361" t="s">
        <v>390</v>
      </c>
      <c r="F1361">
        <v>8</v>
      </c>
      <c r="G1361" t="s">
        <v>176</v>
      </c>
      <c r="H1361">
        <v>0</v>
      </c>
      <c r="I1361">
        <v>100</v>
      </c>
      <c r="J1361" s="10">
        <v>352</v>
      </c>
      <c r="K1361" s="10">
        <f>SUMIFS(F:F,D:D,DST_123_ÜRETİM_İHTİYAÇ_RAPORU_BURAK_YENI1309[[#This Row],[ALT_KOD]])-(SUMIFS(H:H,D:D,DST_123_ÜRETİM_İHTİYAÇ_RAPORU_BURAK_YENI1309[[#This Row],[ALT_KOD]])+AVERAGEIFS(I:I,D:D,DST_123_ÜRETİM_İHTİYAÇ_RAPORU_BURAK_YENI1309[[#This Row],[ALT_KOD]])+AVERAGEIFS(L:L,D:D,DST_123_ÜRETİM_İHTİYAÇ_RAPORU_BURAK_YENI1309[[#This Row],[ALT_KOD]]))</f>
        <v>-28</v>
      </c>
      <c r="L1361">
        <v>0</v>
      </c>
      <c r="M1361">
        <f>IF((DST_123_ÜRETİM_İHTİYAÇ_RAPORU_BURAK_YENI1309[[#This Row],[SATINALMA]]*DST_123_ÜRETİM_İHTİYAÇ_RAPORU_BURAK_YENI1309[[#This Row],[BIRIM_FIYATLAR]])&lt;1,VALUE("0"),DST_123_ÜRETİM_İHTİYAÇ_RAPORU_BURAK_YENI1309[[#This Row],[SATINALMA]]*DST_123_ÜRETİM_İHTİYAÇ_RAPORU_BURAK_YENI1309[[#This Row],[BIRIM_FIYATLAR]])</f>
        <v>0</v>
      </c>
      <c r="N1361">
        <v>6.4</v>
      </c>
      <c r="O1361" t="s">
        <v>882</v>
      </c>
      <c r="P1361">
        <v>51.2</v>
      </c>
      <c r="Q1361" t="s">
        <v>178</v>
      </c>
    </row>
    <row r="1362" spans="1:17" x14ac:dyDescent="0.25">
      <c r="A1362" t="s">
        <v>1149</v>
      </c>
      <c r="B1362" t="s">
        <v>1145</v>
      </c>
      <c r="C1362" t="s">
        <v>175</v>
      </c>
      <c r="D1362" t="s">
        <v>389</v>
      </c>
      <c r="E1362" t="s">
        <v>390</v>
      </c>
      <c r="F1362">
        <v>8</v>
      </c>
      <c r="G1362" t="s">
        <v>176</v>
      </c>
      <c r="H1362">
        <v>0</v>
      </c>
      <c r="I1362">
        <v>100</v>
      </c>
      <c r="J1362" s="10">
        <v>352</v>
      </c>
      <c r="K1362" s="10">
        <f>SUMIFS(F:F,D:D,DST_123_ÜRETİM_İHTİYAÇ_RAPORU_BURAK_YENI1309[[#This Row],[ALT_KOD]])-(SUMIFS(H:H,D:D,DST_123_ÜRETİM_İHTİYAÇ_RAPORU_BURAK_YENI1309[[#This Row],[ALT_KOD]])+AVERAGEIFS(I:I,D:D,DST_123_ÜRETİM_İHTİYAÇ_RAPORU_BURAK_YENI1309[[#This Row],[ALT_KOD]])+AVERAGEIFS(L:L,D:D,DST_123_ÜRETİM_İHTİYAÇ_RAPORU_BURAK_YENI1309[[#This Row],[ALT_KOD]]))</f>
        <v>-28</v>
      </c>
      <c r="L1362">
        <v>0</v>
      </c>
      <c r="M1362">
        <f>IF((DST_123_ÜRETİM_İHTİYAÇ_RAPORU_BURAK_YENI1309[[#This Row],[SATINALMA]]*DST_123_ÜRETİM_İHTİYAÇ_RAPORU_BURAK_YENI1309[[#This Row],[BIRIM_FIYATLAR]])&lt;1,VALUE("0"),DST_123_ÜRETİM_İHTİYAÇ_RAPORU_BURAK_YENI1309[[#This Row],[SATINALMA]]*DST_123_ÜRETİM_İHTİYAÇ_RAPORU_BURAK_YENI1309[[#This Row],[BIRIM_FIYATLAR]])</f>
        <v>0</v>
      </c>
      <c r="N1362">
        <v>6.4</v>
      </c>
      <c r="O1362" t="s">
        <v>882</v>
      </c>
      <c r="P1362">
        <v>51.2</v>
      </c>
      <c r="Q1362" t="s">
        <v>178</v>
      </c>
    </row>
    <row r="1363" spans="1:17" x14ac:dyDescent="0.25">
      <c r="A1363" t="s">
        <v>1146</v>
      </c>
      <c r="B1363" t="s">
        <v>1145</v>
      </c>
      <c r="C1363" t="s">
        <v>175</v>
      </c>
      <c r="D1363" t="s">
        <v>389</v>
      </c>
      <c r="E1363" t="s">
        <v>390</v>
      </c>
      <c r="F1363">
        <v>4</v>
      </c>
      <c r="G1363" t="s">
        <v>176</v>
      </c>
      <c r="H1363">
        <v>0</v>
      </c>
      <c r="I1363">
        <v>100</v>
      </c>
      <c r="J1363" s="10">
        <v>352</v>
      </c>
      <c r="K1363" s="10">
        <f>SUMIFS(F:F,D:D,DST_123_ÜRETİM_İHTİYAÇ_RAPORU_BURAK_YENI1309[[#This Row],[ALT_KOD]])-(SUMIFS(H:H,D:D,DST_123_ÜRETİM_İHTİYAÇ_RAPORU_BURAK_YENI1309[[#This Row],[ALT_KOD]])+AVERAGEIFS(I:I,D:D,DST_123_ÜRETİM_İHTİYAÇ_RAPORU_BURAK_YENI1309[[#This Row],[ALT_KOD]])+AVERAGEIFS(L:L,D:D,DST_123_ÜRETİM_İHTİYAÇ_RAPORU_BURAK_YENI1309[[#This Row],[ALT_KOD]]))</f>
        <v>-28</v>
      </c>
      <c r="L1363">
        <v>0</v>
      </c>
      <c r="M1363">
        <f>IF((DST_123_ÜRETİM_İHTİYAÇ_RAPORU_BURAK_YENI1309[[#This Row],[SATINALMA]]*DST_123_ÜRETİM_İHTİYAÇ_RAPORU_BURAK_YENI1309[[#This Row],[BIRIM_FIYATLAR]])&lt;1,VALUE("0"),DST_123_ÜRETİM_İHTİYAÇ_RAPORU_BURAK_YENI1309[[#This Row],[SATINALMA]]*DST_123_ÜRETİM_İHTİYAÇ_RAPORU_BURAK_YENI1309[[#This Row],[BIRIM_FIYATLAR]])</f>
        <v>0</v>
      </c>
      <c r="N1363">
        <v>6.4</v>
      </c>
      <c r="O1363" t="s">
        <v>882</v>
      </c>
      <c r="P1363">
        <v>25.6</v>
      </c>
      <c r="Q1363" t="s">
        <v>178</v>
      </c>
    </row>
    <row r="1364" spans="1:17" x14ac:dyDescent="0.25">
      <c r="A1364" t="s">
        <v>1149</v>
      </c>
      <c r="B1364" t="s">
        <v>1145</v>
      </c>
      <c r="C1364" t="s">
        <v>175</v>
      </c>
      <c r="D1364" t="s">
        <v>462</v>
      </c>
      <c r="E1364" t="s">
        <v>463</v>
      </c>
      <c r="F1364">
        <v>0.54999999999999993</v>
      </c>
      <c r="G1364" t="s">
        <v>176</v>
      </c>
      <c r="H1364">
        <v>0</v>
      </c>
      <c r="I1364">
        <v>0</v>
      </c>
      <c r="J1364" s="10">
        <v>5.5999999999999988</v>
      </c>
      <c r="K1364" s="10">
        <f>SUMIFS(F:F,D:D,DST_123_ÜRETİM_İHTİYAÇ_RAPORU_BURAK_YENI1309[[#This Row],[ALT_KOD]])-(SUMIFS(H:H,D:D,DST_123_ÜRETİM_İHTİYAÇ_RAPORU_BURAK_YENI1309[[#This Row],[ALT_KOD]])+AVERAGEIFS(I:I,D:D,DST_123_ÜRETİM_İHTİYAÇ_RAPORU_BURAK_YENI1309[[#This Row],[ALT_KOD]])+AVERAGEIFS(L:L,D:D,DST_123_ÜRETİM_İHTİYAÇ_RAPORU_BURAK_YENI1309[[#This Row],[ALT_KOD]]))</f>
        <v>7.2</v>
      </c>
      <c r="L1364">
        <v>0</v>
      </c>
      <c r="M1364">
        <f>IF((DST_123_ÜRETİM_İHTİYAÇ_RAPORU_BURAK_YENI1309[[#This Row],[SATINALMA]]*DST_123_ÜRETİM_İHTİYAÇ_RAPORU_BURAK_YENI1309[[#This Row],[BIRIM_FIYATLAR]])&lt;1,VALUE("0"),DST_123_ÜRETİM_İHTİYAÇ_RAPORU_BURAK_YENI1309[[#This Row],[SATINALMA]]*DST_123_ÜRETİM_İHTİYAÇ_RAPORU_BURAK_YENI1309[[#This Row],[BIRIM_FIYATLAR]])</f>
        <v>1170.0719999999999</v>
      </c>
      <c r="N1364">
        <v>162.51</v>
      </c>
      <c r="O1364" t="s">
        <v>490</v>
      </c>
      <c r="P1364">
        <v>89.380499999999984</v>
      </c>
      <c r="Q1364" t="s">
        <v>183</v>
      </c>
    </row>
    <row r="1365" spans="1:17" x14ac:dyDescent="0.25">
      <c r="A1365" t="s">
        <v>1149</v>
      </c>
      <c r="B1365" t="s">
        <v>1145</v>
      </c>
      <c r="C1365" t="s">
        <v>175</v>
      </c>
      <c r="D1365" t="s">
        <v>147</v>
      </c>
      <c r="E1365" t="s">
        <v>148</v>
      </c>
      <c r="F1365">
        <v>1</v>
      </c>
      <c r="G1365" t="s">
        <v>176</v>
      </c>
      <c r="H1365">
        <v>0</v>
      </c>
      <c r="I1365">
        <v>3</v>
      </c>
      <c r="J1365" s="10">
        <v>11</v>
      </c>
      <c r="K1365" s="10">
        <f>SUMIFS(F:F,D:D,DST_123_ÜRETİM_İHTİYAÇ_RAPORU_BURAK_YENI1309[[#This Row],[ALT_KOD]])-(SUMIFS(H:H,D:D,DST_123_ÜRETİM_İHTİYAÇ_RAPORU_BURAK_YENI1309[[#This Row],[ALT_KOD]])+AVERAGEIFS(I:I,D:D,DST_123_ÜRETİM_İHTİYAÇ_RAPORU_BURAK_YENI1309[[#This Row],[ALT_KOD]])+AVERAGEIFS(L:L,D:D,DST_123_ÜRETİM_İHTİYAÇ_RAPORU_BURAK_YENI1309[[#This Row],[ALT_KOD]]))</f>
        <v>7</v>
      </c>
      <c r="L1365">
        <v>0</v>
      </c>
      <c r="M1365">
        <f>IF((DST_123_ÜRETİM_İHTİYAÇ_RAPORU_BURAK_YENI1309[[#This Row],[SATINALMA]]*DST_123_ÜRETİM_İHTİYAÇ_RAPORU_BURAK_YENI1309[[#This Row],[BIRIM_FIYATLAR]])&lt;1,VALUE("0"),DST_123_ÜRETİM_İHTİYAÇ_RAPORU_BURAK_YENI1309[[#This Row],[SATINALMA]]*DST_123_ÜRETİM_İHTİYAÇ_RAPORU_BURAK_YENI1309[[#This Row],[BIRIM_FIYATLAR]])</f>
        <v>22092.98</v>
      </c>
      <c r="N1365">
        <v>3156.14</v>
      </c>
      <c r="O1365" t="s">
        <v>227</v>
      </c>
      <c r="P1365">
        <v>3156.14</v>
      </c>
      <c r="Q1365" t="s">
        <v>221</v>
      </c>
    </row>
    <row r="1366" spans="1:17" x14ac:dyDescent="0.25">
      <c r="A1366" t="s">
        <v>1147</v>
      </c>
      <c r="B1366" t="s">
        <v>1145</v>
      </c>
      <c r="C1366" t="s">
        <v>175</v>
      </c>
      <c r="D1366" t="s">
        <v>462</v>
      </c>
      <c r="E1366" t="s">
        <v>463</v>
      </c>
      <c r="F1366">
        <v>0.54999999999999993</v>
      </c>
      <c r="G1366" t="s">
        <v>176</v>
      </c>
      <c r="H1366">
        <v>0</v>
      </c>
      <c r="I1366">
        <v>0</v>
      </c>
      <c r="J1366" s="10">
        <v>5.5999999999999988</v>
      </c>
      <c r="K1366" s="10">
        <f>SUMIFS(F:F,D:D,DST_123_ÜRETİM_İHTİYAÇ_RAPORU_BURAK_YENI1309[[#This Row],[ALT_KOD]])-(SUMIFS(H:H,D:D,DST_123_ÜRETİM_İHTİYAÇ_RAPORU_BURAK_YENI1309[[#This Row],[ALT_KOD]])+AVERAGEIFS(I:I,D:D,DST_123_ÜRETİM_İHTİYAÇ_RAPORU_BURAK_YENI1309[[#This Row],[ALT_KOD]])+AVERAGEIFS(L:L,D:D,DST_123_ÜRETİM_İHTİYAÇ_RAPORU_BURAK_YENI1309[[#This Row],[ALT_KOD]]))</f>
        <v>7.2</v>
      </c>
      <c r="L1366">
        <v>0</v>
      </c>
      <c r="M1366">
        <f>IF((DST_123_ÜRETİM_İHTİYAÇ_RAPORU_BURAK_YENI1309[[#This Row],[SATINALMA]]*DST_123_ÜRETİM_İHTİYAÇ_RAPORU_BURAK_YENI1309[[#This Row],[BIRIM_FIYATLAR]])&lt;1,VALUE("0"),DST_123_ÜRETİM_İHTİYAÇ_RAPORU_BURAK_YENI1309[[#This Row],[SATINALMA]]*DST_123_ÜRETİM_İHTİYAÇ_RAPORU_BURAK_YENI1309[[#This Row],[BIRIM_FIYATLAR]])</f>
        <v>1170.0719999999999</v>
      </c>
      <c r="N1366">
        <v>162.51</v>
      </c>
      <c r="O1366" t="s">
        <v>490</v>
      </c>
      <c r="P1366">
        <v>89.380499999999984</v>
      </c>
      <c r="Q1366" t="s">
        <v>183</v>
      </c>
    </row>
    <row r="1367" spans="1:17" x14ac:dyDescent="0.25">
      <c r="A1367" t="s">
        <v>1100</v>
      </c>
      <c r="B1367" t="s">
        <v>1058</v>
      </c>
      <c r="C1367" t="s">
        <v>175</v>
      </c>
      <c r="D1367" t="s">
        <v>462</v>
      </c>
      <c r="E1367" t="s">
        <v>463</v>
      </c>
      <c r="F1367">
        <v>0.6</v>
      </c>
      <c r="G1367" t="s">
        <v>176</v>
      </c>
      <c r="H1367">
        <v>0.6</v>
      </c>
      <c r="I1367">
        <v>0</v>
      </c>
      <c r="J1367" s="10">
        <v>5.5999999999999988</v>
      </c>
      <c r="K1367" s="10">
        <f>SUMIFS(F:F,D:D,DST_123_ÜRETİM_İHTİYAÇ_RAPORU_BURAK_YENI1309[[#This Row],[ALT_KOD]])-(SUMIFS(H:H,D:D,DST_123_ÜRETİM_İHTİYAÇ_RAPORU_BURAK_YENI1309[[#This Row],[ALT_KOD]])+AVERAGEIFS(I:I,D:D,DST_123_ÜRETİM_İHTİYAÇ_RAPORU_BURAK_YENI1309[[#This Row],[ALT_KOD]])+AVERAGEIFS(L:L,D:D,DST_123_ÜRETİM_İHTİYAÇ_RAPORU_BURAK_YENI1309[[#This Row],[ALT_KOD]]))</f>
        <v>7.2</v>
      </c>
      <c r="L1367">
        <v>0</v>
      </c>
      <c r="M1367">
        <f>IF((DST_123_ÜRETİM_İHTİYAÇ_RAPORU_BURAK_YENI1309[[#This Row],[SATINALMA]]*DST_123_ÜRETİM_İHTİYAÇ_RAPORU_BURAK_YENI1309[[#This Row],[BIRIM_FIYATLAR]])&lt;1,VALUE("0"),DST_123_ÜRETİM_İHTİYAÇ_RAPORU_BURAK_YENI1309[[#This Row],[SATINALMA]]*DST_123_ÜRETİM_İHTİYAÇ_RAPORU_BURAK_YENI1309[[#This Row],[BIRIM_FIYATLAR]])</f>
        <v>1170.0719999999999</v>
      </c>
      <c r="N1367">
        <v>162.51</v>
      </c>
      <c r="O1367" t="s">
        <v>490</v>
      </c>
      <c r="P1367">
        <v>97.505999999999986</v>
      </c>
      <c r="Q1367" t="s">
        <v>183</v>
      </c>
    </row>
    <row r="1368" spans="1:17" x14ac:dyDescent="0.25">
      <c r="A1368" t="s">
        <v>1148</v>
      </c>
      <c r="B1368" t="s">
        <v>1056</v>
      </c>
      <c r="C1368" t="s">
        <v>175</v>
      </c>
      <c r="D1368" t="s">
        <v>462</v>
      </c>
      <c r="E1368" t="s">
        <v>463</v>
      </c>
      <c r="F1368">
        <v>1.05</v>
      </c>
      <c r="G1368" t="s">
        <v>176</v>
      </c>
      <c r="H1368">
        <v>0</v>
      </c>
      <c r="I1368">
        <v>0</v>
      </c>
      <c r="J1368" s="10">
        <v>5.5999999999999988</v>
      </c>
      <c r="K1368" s="10">
        <f>SUMIFS(F:F,D:D,DST_123_ÜRETİM_İHTİYAÇ_RAPORU_BURAK_YENI1309[[#This Row],[ALT_KOD]])-(SUMIFS(H:H,D:D,DST_123_ÜRETİM_İHTİYAÇ_RAPORU_BURAK_YENI1309[[#This Row],[ALT_KOD]])+AVERAGEIFS(I:I,D:D,DST_123_ÜRETİM_İHTİYAÇ_RAPORU_BURAK_YENI1309[[#This Row],[ALT_KOD]])+AVERAGEIFS(L:L,D:D,DST_123_ÜRETİM_İHTİYAÇ_RAPORU_BURAK_YENI1309[[#This Row],[ALT_KOD]]))</f>
        <v>7.2</v>
      </c>
      <c r="L1368">
        <v>0</v>
      </c>
      <c r="M1368">
        <f>IF((DST_123_ÜRETİM_İHTİYAÇ_RAPORU_BURAK_YENI1309[[#This Row],[SATINALMA]]*DST_123_ÜRETİM_İHTİYAÇ_RAPORU_BURAK_YENI1309[[#This Row],[BIRIM_FIYATLAR]])&lt;1,VALUE("0"),DST_123_ÜRETİM_İHTİYAÇ_RAPORU_BURAK_YENI1309[[#This Row],[SATINALMA]]*DST_123_ÜRETİM_İHTİYAÇ_RAPORU_BURAK_YENI1309[[#This Row],[BIRIM_FIYATLAR]])</f>
        <v>1170.0719999999999</v>
      </c>
      <c r="N1368">
        <v>162.51</v>
      </c>
      <c r="O1368" t="s">
        <v>490</v>
      </c>
      <c r="P1368">
        <v>170.63550000000001</v>
      </c>
      <c r="Q1368" t="s">
        <v>183</v>
      </c>
    </row>
    <row r="1369" spans="1:17" x14ac:dyDescent="0.25">
      <c r="A1369" t="s">
        <v>1147</v>
      </c>
      <c r="B1369" t="s">
        <v>1145</v>
      </c>
      <c r="C1369" t="s">
        <v>175</v>
      </c>
      <c r="D1369" t="s">
        <v>147</v>
      </c>
      <c r="E1369" t="s">
        <v>148</v>
      </c>
      <c r="F1369">
        <v>1</v>
      </c>
      <c r="G1369" t="s">
        <v>176</v>
      </c>
      <c r="H1369">
        <v>0</v>
      </c>
      <c r="I1369">
        <v>3</v>
      </c>
      <c r="J1369" s="10">
        <v>11</v>
      </c>
      <c r="K1369" s="10">
        <f>SUMIFS(F:F,D:D,DST_123_ÜRETİM_İHTİYAÇ_RAPORU_BURAK_YENI1309[[#This Row],[ALT_KOD]])-(SUMIFS(H:H,D:D,DST_123_ÜRETİM_İHTİYAÇ_RAPORU_BURAK_YENI1309[[#This Row],[ALT_KOD]])+AVERAGEIFS(I:I,D:D,DST_123_ÜRETİM_İHTİYAÇ_RAPORU_BURAK_YENI1309[[#This Row],[ALT_KOD]])+AVERAGEIFS(L:L,D:D,DST_123_ÜRETİM_İHTİYAÇ_RAPORU_BURAK_YENI1309[[#This Row],[ALT_KOD]]))</f>
        <v>7</v>
      </c>
      <c r="L1369">
        <v>0</v>
      </c>
      <c r="M1369">
        <f>IF((DST_123_ÜRETİM_İHTİYAÇ_RAPORU_BURAK_YENI1309[[#This Row],[SATINALMA]]*DST_123_ÜRETİM_İHTİYAÇ_RAPORU_BURAK_YENI1309[[#This Row],[BIRIM_FIYATLAR]])&lt;1,VALUE("0"),DST_123_ÜRETİM_İHTİYAÇ_RAPORU_BURAK_YENI1309[[#This Row],[SATINALMA]]*DST_123_ÜRETİM_İHTİYAÇ_RAPORU_BURAK_YENI1309[[#This Row],[BIRIM_FIYATLAR]])</f>
        <v>22092.98</v>
      </c>
      <c r="N1369">
        <v>3156.14</v>
      </c>
      <c r="O1369" t="s">
        <v>227</v>
      </c>
      <c r="P1369">
        <v>3156.14</v>
      </c>
      <c r="Q1369" t="s">
        <v>221</v>
      </c>
    </row>
    <row r="1370" spans="1:17" x14ac:dyDescent="0.25">
      <c r="A1370" t="s">
        <v>1142</v>
      </c>
      <c r="B1370" t="s">
        <v>1056</v>
      </c>
      <c r="C1370" t="s">
        <v>175</v>
      </c>
      <c r="D1370" t="s">
        <v>668</v>
      </c>
      <c r="E1370" t="s">
        <v>669</v>
      </c>
      <c r="F1370">
        <v>1</v>
      </c>
      <c r="G1370" t="s">
        <v>176</v>
      </c>
      <c r="H1370">
        <v>0</v>
      </c>
      <c r="I1370">
        <v>13</v>
      </c>
      <c r="J1370" s="10">
        <v>4</v>
      </c>
      <c r="K1370" s="10">
        <f>SUMIFS(F:F,D:D,DST_123_ÜRETİM_İHTİYAÇ_RAPORU_BURAK_YENI1309[[#This Row],[ALT_KOD]])-(SUMIFS(H:H,D:D,DST_123_ÜRETİM_İHTİYAÇ_RAPORU_BURAK_YENI1309[[#This Row],[ALT_KOD]])+AVERAGEIFS(I:I,D:D,DST_123_ÜRETİM_İHTİYAÇ_RAPORU_BURAK_YENI1309[[#This Row],[ALT_KOD]])+AVERAGEIFS(L:L,D:D,DST_123_ÜRETİM_İHTİYAÇ_RAPORU_BURAK_YENI1309[[#This Row],[ALT_KOD]]))</f>
        <v>-6</v>
      </c>
      <c r="L1370">
        <v>0</v>
      </c>
      <c r="M1370">
        <f>IF((DST_123_ÜRETİM_İHTİYAÇ_RAPORU_BURAK_YENI1309[[#This Row],[SATINALMA]]*DST_123_ÜRETİM_İHTİYAÇ_RAPORU_BURAK_YENI1309[[#This Row],[BIRIM_FIYATLAR]])&lt;1,VALUE("0"),DST_123_ÜRETİM_İHTİYAÇ_RAPORU_BURAK_YENI1309[[#This Row],[SATINALMA]]*DST_123_ÜRETİM_İHTİYAÇ_RAPORU_BURAK_YENI1309[[#This Row],[BIRIM_FIYATLAR]])</f>
        <v>0</v>
      </c>
      <c r="N1370">
        <v>1250</v>
      </c>
      <c r="O1370" t="s">
        <v>337</v>
      </c>
      <c r="P1370">
        <v>1250</v>
      </c>
      <c r="Q1370" t="s">
        <v>177</v>
      </c>
    </row>
    <row r="1371" spans="1:17" x14ac:dyDescent="0.25">
      <c r="A1371" t="s">
        <v>1143</v>
      </c>
      <c r="B1371" t="s">
        <v>1056</v>
      </c>
      <c r="C1371" t="s">
        <v>175</v>
      </c>
      <c r="D1371" t="s">
        <v>71</v>
      </c>
      <c r="E1371" t="s">
        <v>249</v>
      </c>
      <c r="F1371">
        <v>9.4500000000000011</v>
      </c>
      <c r="G1371" t="s">
        <v>176</v>
      </c>
      <c r="H1371">
        <v>0</v>
      </c>
      <c r="I1371">
        <v>96</v>
      </c>
      <c r="J1371" s="10">
        <v>195.44000000000014</v>
      </c>
      <c r="K1371" s="10">
        <f>SUMIFS(F:F,D:D,DST_123_ÜRETİM_İHTİYAÇ_RAPORU_BURAK_YENI1309[[#This Row],[ALT_KOD]])-(SUMIFS(H:H,D:D,DST_123_ÜRETİM_İHTİYAÇ_RAPORU_BURAK_YENI1309[[#This Row],[ALT_KOD]])+AVERAGEIFS(I:I,D:D,DST_123_ÜRETİM_İHTİYAÇ_RAPORU_BURAK_YENI1309[[#This Row],[ALT_KOD]])+AVERAGEIFS(L:L,D:D,DST_123_ÜRETİM_İHTİYAÇ_RAPORU_BURAK_YENI1309[[#This Row],[ALT_KOD]]))</f>
        <v>63.319999999999951</v>
      </c>
      <c r="L1371">
        <v>0</v>
      </c>
      <c r="M1371">
        <f>IF((DST_123_ÜRETİM_İHTİYAÇ_RAPORU_BURAK_YENI1309[[#This Row],[SATINALMA]]*DST_123_ÜRETİM_İHTİYAÇ_RAPORU_BURAK_YENI1309[[#This Row],[BIRIM_FIYATLAR]])&lt;1,VALUE("0"),DST_123_ÜRETİM_İHTİYAÇ_RAPORU_BURAK_YENI1309[[#This Row],[SATINALMA]]*DST_123_ÜRETİM_İHTİYAÇ_RAPORU_BURAK_YENI1309[[#This Row],[BIRIM_FIYATLAR]])</f>
        <v>8163.8475999999937</v>
      </c>
      <c r="N1371">
        <v>128.93</v>
      </c>
      <c r="O1371" t="s">
        <v>250</v>
      </c>
      <c r="P1371">
        <v>1218.3885000000002</v>
      </c>
      <c r="Q1371" t="s">
        <v>180</v>
      </c>
    </row>
    <row r="1372" spans="1:17" x14ac:dyDescent="0.25">
      <c r="A1372" t="s">
        <v>1142</v>
      </c>
      <c r="B1372" t="s">
        <v>1056</v>
      </c>
      <c r="C1372" t="s">
        <v>175</v>
      </c>
      <c r="D1372" t="s">
        <v>70</v>
      </c>
      <c r="E1372" t="s">
        <v>287</v>
      </c>
      <c r="F1372">
        <v>6.8</v>
      </c>
      <c r="G1372" t="s">
        <v>185</v>
      </c>
      <c r="H1372">
        <v>0</v>
      </c>
      <c r="I1372">
        <v>0</v>
      </c>
      <c r="J1372" s="10">
        <v>233.6899999999996</v>
      </c>
      <c r="K1372" s="10">
        <f>SUMIFS(F:F,D:D,DST_123_ÜRETİM_İHTİYAÇ_RAPORU_BURAK_YENI1309[[#This Row],[ALT_KOD]])-(SUMIFS(H:H,D:D,DST_123_ÜRETİM_İHTİYAÇ_RAPORU_BURAK_YENI1309[[#This Row],[ALT_KOD]])+AVERAGEIFS(I:I,D:D,DST_123_ÜRETİM_İHTİYAÇ_RAPORU_BURAK_YENI1309[[#This Row],[ALT_KOD]])+AVERAGEIFS(L:L,D:D,DST_123_ÜRETİM_İHTİYAÇ_RAPORU_BURAK_YENI1309[[#This Row],[ALT_KOD]]))</f>
        <v>63.129999999999995</v>
      </c>
      <c r="L1372">
        <v>0</v>
      </c>
      <c r="M1372">
        <f>IF((DST_123_ÜRETİM_İHTİYAÇ_RAPORU_BURAK_YENI1309[[#This Row],[SATINALMA]]*DST_123_ÜRETİM_İHTİYAÇ_RAPORU_BURAK_YENI1309[[#This Row],[BIRIM_FIYATLAR]])&lt;1,VALUE("0"),DST_123_ÜRETİM_İHTİYAÇ_RAPORU_BURAK_YENI1309[[#This Row],[SATINALMA]]*DST_123_ÜRETİM_İHTİYAÇ_RAPORU_BURAK_YENI1309[[#This Row],[BIRIM_FIYATLAR]])</f>
        <v>6403.9071999999996</v>
      </c>
      <c r="N1372">
        <v>101.44</v>
      </c>
      <c r="O1372" t="s">
        <v>490</v>
      </c>
      <c r="P1372">
        <v>689.79199999999992</v>
      </c>
      <c r="Q1372" t="s">
        <v>183</v>
      </c>
    </row>
    <row r="1373" spans="1:17" x14ac:dyDescent="0.25">
      <c r="A1373" t="s">
        <v>1097</v>
      </c>
      <c r="B1373" t="s">
        <v>1055</v>
      </c>
      <c r="C1373" t="s">
        <v>175</v>
      </c>
      <c r="D1373" t="s">
        <v>70</v>
      </c>
      <c r="E1373" t="s">
        <v>287</v>
      </c>
      <c r="F1373">
        <v>6.28</v>
      </c>
      <c r="G1373" t="s">
        <v>185</v>
      </c>
      <c r="H1373">
        <v>6.28</v>
      </c>
      <c r="I1373">
        <v>0</v>
      </c>
      <c r="J1373" s="10">
        <v>233.6899999999996</v>
      </c>
      <c r="K1373" s="10">
        <f>SUMIFS(F:F,D:D,DST_123_ÜRETİM_İHTİYAÇ_RAPORU_BURAK_YENI1309[[#This Row],[ALT_KOD]])-(SUMIFS(H:H,D:D,DST_123_ÜRETİM_İHTİYAÇ_RAPORU_BURAK_YENI1309[[#This Row],[ALT_KOD]])+AVERAGEIFS(I:I,D:D,DST_123_ÜRETİM_İHTİYAÇ_RAPORU_BURAK_YENI1309[[#This Row],[ALT_KOD]])+AVERAGEIFS(L:L,D:D,DST_123_ÜRETİM_İHTİYAÇ_RAPORU_BURAK_YENI1309[[#This Row],[ALT_KOD]]))</f>
        <v>63.129999999999995</v>
      </c>
      <c r="L1373">
        <v>0</v>
      </c>
      <c r="M1373">
        <f>IF((DST_123_ÜRETİM_İHTİYAÇ_RAPORU_BURAK_YENI1309[[#This Row],[SATINALMA]]*DST_123_ÜRETİM_İHTİYAÇ_RAPORU_BURAK_YENI1309[[#This Row],[BIRIM_FIYATLAR]])&lt;1,VALUE("0"),DST_123_ÜRETİM_İHTİYAÇ_RAPORU_BURAK_YENI1309[[#This Row],[SATINALMA]]*DST_123_ÜRETİM_İHTİYAÇ_RAPORU_BURAK_YENI1309[[#This Row],[BIRIM_FIYATLAR]])</f>
        <v>6403.9071999999996</v>
      </c>
      <c r="N1373">
        <v>101.44</v>
      </c>
      <c r="O1373" t="s">
        <v>490</v>
      </c>
      <c r="P1373">
        <v>637.04319999999996</v>
      </c>
      <c r="Q1373" t="s">
        <v>183</v>
      </c>
    </row>
    <row r="1374" spans="1:17" x14ac:dyDescent="0.25">
      <c r="A1374" t="s">
        <v>1142</v>
      </c>
      <c r="B1374" t="s">
        <v>1056</v>
      </c>
      <c r="C1374" t="s">
        <v>175</v>
      </c>
      <c r="D1374" t="s">
        <v>71</v>
      </c>
      <c r="E1374" t="s">
        <v>249</v>
      </c>
      <c r="F1374">
        <v>9.5</v>
      </c>
      <c r="G1374" t="s">
        <v>176</v>
      </c>
      <c r="H1374">
        <v>0</v>
      </c>
      <c r="I1374">
        <v>96</v>
      </c>
      <c r="J1374" s="10">
        <v>195.44000000000014</v>
      </c>
      <c r="K1374" s="10">
        <f>SUMIFS(F:F,D:D,DST_123_ÜRETİM_İHTİYAÇ_RAPORU_BURAK_YENI1309[[#This Row],[ALT_KOD]])-(SUMIFS(H:H,D:D,DST_123_ÜRETİM_İHTİYAÇ_RAPORU_BURAK_YENI1309[[#This Row],[ALT_KOD]])+AVERAGEIFS(I:I,D:D,DST_123_ÜRETİM_İHTİYAÇ_RAPORU_BURAK_YENI1309[[#This Row],[ALT_KOD]])+AVERAGEIFS(L:L,D:D,DST_123_ÜRETİM_İHTİYAÇ_RAPORU_BURAK_YENI1309[[#This Row],[ALT_KOD]]))</f>
        <v>63.319999999999951</v>
      </c>
      <c r="L1374">
        <v>0</v>
      </c>
      <c r="M1374">
        <f>IF((DST_123_ÜRETİM_İHTİYAÇ_RAPORU_BURAK_YENI1309[[#This Row],[SATINALMA]]*DST_123_ÜRETİM_İHTİYAÇ_RAPORU_BURAK_YENI1309[[#This Row],[BIRIM_FIYATLAR]])&lt;1,VALUE("0"),DST_123_ÜRETİM_İHTİYAÇ_RAPORU_BURAK_YENI1309[[#This Row],[SATINALMA]]*DST_123_ÜRETİM_İHTİYAÇ_RAPORU_BURAK_YENI1309[[#This Row],[BIRIM_FIYATLAR]])</f>
        <v>8163.8475999999937</v>
      </c>
      <c r="N1374">
        <v>128.93</v>
      </c>
      <c r="O1374" t="s">
        <v>250</v>
      </c>
      <c r="P1374">
        <v>1224.835</v>
      </c>
      <c r="Q1374" t="s">
        <v>180</v>
      </c>
    </row>
    <row r="1375" spans="1:17" x14ac:dyDescent="0.25">
      <c r="A1375" t="s">
        <v>1150</v>
      </c>
      <c r="B1375" t="s">
        <v>1145</v>
      </c>
      <c r="C1375" t="s">
        <v>175</v>
      </c>
      <c r="D1375" t="s">
        <v>394</v>
      </c>
      <c r="E1375" t="s">
        <v>395</v>
      </c>
      <c r="F1375">
        <v>3.1</v>
      </c>
      <c r="G1375" t="s">
        <v>176</v>
      </c>
      <c r="H1375">
        <v>0</v>
      </c>
      <c r="I1375">
        <v>6</v>
      </c>
      <c r="J1375" s="10">
        <v>14.000000000000005</v>
      </c>
      <c r="K1375" s="10">
        <f>SUMIFS(F:F,D:D,DST_123_ÜRETİM_İHTİYAÇ_RAPORU_BURAK_YENI1309[[#This Row],[ALT_KOD]])-(SUMIFS(H:H,D:D,DST_123_ÜRETİM_İHTİYAÇ_RAPORU_BURAK_YENI1309[[#This Row],[ALT_KOD]])+AVERAGEIFS(I:I,D:D,DST_123_ÜRETİM_İHTİYAÇ_RAPORU_BURAK_YENI1309[[#This Row],[ALT_KOD]])+AVERAGEIFS(L:L,D:D,DST_123_ÜRETİM_İHTİYAÇ_RAPORU_BURAK_YENI1309[[#This Row],[ALT_KOD]]))</f>
        <v>28.1</v>
      </c>
      <c r="L1375">
        <v>0</v>
      </c>
      <c r="M1375">
        <f>IF((DST_123_ÜRETİM_İHTİYAÇ_RAPORU_BURAK_YENI1309[[#This Row],[SATINALMA]]*DST_123_ÜRETİM_İHTİYAÇ_RAPORU_BURAK_YENI1309[[#This Row],[BIRIM_FIYATLAR]])&lt;1,VALUE("0"),DST_123_ÜRETİM_İHTİYAÇ_RAPORU_BURAK_YENI1309[[#This Row],[SATINALMA]]*DST_123_ÜRETİM_İHTİYAÇ_RAPORU_BURAK_YENI1309[[#This Row],[BIRIM_FIYATLAR]])</f>
        <v>4097.8230000000003</v>
      </c>
      <c r="N1375">
        <v>145.83000000000001</v>
      </c>
      <c r="O1375" t="s">
        <v>628</v>
      </c>
      <c r="P1375">
        <v>452.07300000000004</v>
      </c>
      <c r="Q1375" t="s">
        <v>183</v>
      </c>
    </row>
    <row r="1376" spans="1:17" x14ac:dyDescent="0.25">
      <c r="A1376" t="s">
        <v>1095</v>
      </c>
      <c r="B1376" t="s">
        <v>1096</v>
      </c>
      <c r="C1376" t="s">
        <v>175</v>
      </c>
      <c r="D1376" t="s">
        <v>384</v>
      </c>
      <c r="E1376" t="s">
        <v>385</v>
      </c>
      <c r="F1376">
        <v>21</v>
      </c>
      <c r="G1376" t="s">
        <v>176</v>
      </c>
      <c r="H1376">
        <v>0</v>
      </c>
      <c r="I1376">
        <v>495</v>
      </c>
      <c r="J1376" s="10">
        <v>146</v>
      </c>
      <c r="K1376" s="10">
        <f>SUMIFS(F:F,D:D,DST_123_ÜRETİM_İHTİYAÇ_RAPORU_BURAK_YENI1309[[#This Row],[ALT_KOD]])-(SUMIFS(H:H,D:D,DST_123_ÜRETİM_İHTİYAÇ_RAPORU_BURAK_YENI1309[[#This Row],[ALT_KOD]])+AVERAGEIFS(I:I,D:D,DST_123_ÜRETİM_İHTİYAÇ_RAPORU_BURAK_YENI1309[[#This Row],[ALT_KOD]])+AVERAGEIFS(L:L,D:D,DST_123_ÜRETİM_İHTİYAÇ_RAPORU_BURAK_YENI1309[[#This Row],[ALT_KOD]]))</f>
        <v>-22</v>
      </c>
      <c r="L1376">
        <v>0</v>
      </c>
      <c r="M1376">
        <f>IF((DST_123_ÜRETİM_İHTİYAÇ_RAPORU_BURAK_YENI1309[[#This Row],[SATINALMA]]*DST_123_ÜRETİM_İHTİYAÇ_RAPORU_BURAK_YENI1309[[#This Row],[BIRIM_FIYATLAR]])&lt;1,VALUE("0"),DST_123_ÜRETİM_İHTİYAÇ_RAPORU_BURAK_YENI1309[[#This Row],[SATINALMA]]*DST_123_ÜRETİM_İHTİYAÇ_RAPORU_BURAK_YENI1309[[#This Row],[BIRIM_FIYATLAR]])</f>
        <v>0</v>
      </c>
      <c r="N1376">
        <v>3.75</v>
      </c>
      <c r="O1376" t="s">
        <v>628</v>
      </c>
      <c r="P1376">
        <v>78.75</v>
      </c>
      <c r="Q1376" t="s">
        <v>180</v>
      </c>
    </row>
    <row r="1377" spans="1:17" x14ac:dyDescent="0.25">
      <c r="A1377" t="s">
        <v>1097</v>
      </c>
      <c r="B1377" t="s">
        <v>1055</v>
      </c>
      <c r="C1377" t="s">
        <v>175</v>
      </c>
      <c r="D1377" t="s">
        <v>384</v>
      </c>
      <c r="E1377" t="s">
        <v>385</v>
      </c>
      <c r="F1377">
        <v>20</v>
      </c>
      <c r="G1377" t="s">
        <v>176</v>
      </c>
      <c r="H1377">
        <v>0</v>
      </c>
      <c r="I1377">
        <v>495</v>
      </c>
      <c r="J1377" s="10">
        <v>146</v>
      </c>
      <c r="K1377" s="10">
        <f>SUMIFS(F:F,D:D,DST_123_ÜRETİM_İHTİYAÇ_RAPORU_BURAK_YENI1309[[#This Row],[ALT_KOD]])-(SUMIFS(H:H,D:D,DST_123_ÜRETİM_İHTİYAÇ_RAPORU_BURAK_YENI1309[[#This Row],[ALT_KOD]])+AVERAGEIFS(I:I,D:D,DST_123_ÜRETİM_İHTİYAÇ_RAPORU_BURAK_YENI1309[[#This Row],[ALT_KOD]])+AVERAGEIFS(L:L,D:D,DST_123_ÜRETİM_İHTİYAÇ_RAPORU_BURAK_YENI1309[[#This Row],[ALT_KOD]]))</f>
        <v>-22</v>
      </c>
      <c r="L1377">
        <v>0</v>
      </c>
      <c r="M1377">
        <f>IF((DST_123_ÜRETİM_İHTİYAÇ_RAPORU_BURAK_YENI1309[[#This Row],[SATINALMA]]*DST_123_ÜRETİM_İHTİYAÇ_RAPORU_BURAK_YENI1309[[#This Row],[BIRIM_FIYATLAR]])&lt;1,VALUE("0"),DST_123_ÜRETİM_İHTİYAÇ_RAPORU_BURAK_YENI1309[[#This Row],[SATINALMA]]*DST_123_ÜRETİM_İHTİYAÇ_RAPORU_BURAK_YENI1309[[#This Row],[BIRIM_FIYATLAR]])</f>
        <v>0</v>
      </c>
      <c r="N1377">
        <v>3.75</v>
      </c>
      <c r="O1377" t="s">
        <v>628</v>
      </c>
      <c r="P1377">
        <v>75</v>
      </c>
      <c r="Q1377" t="s">
        <v>180</v>
      </c>
    </row>
    <row r="1378" spans="1:17" x14ac:dyDescent="0.25">
      <c r="A1378" t="s">
        <v>1142</v>
      </c>
      <c r="B1378" t="s">
        <v>1056</v>
      </c>
      <c r="C1378" t="s">
        <v>175</v>
      </c>
      <c r="D1378" t="s">
        <v>394</v>
      </c>
      <c r="E1378" t="s">
        <v>395</v>
      </c>
      <c r="F1378">
        <v>3.1</v>
      </c>
      <c r="G1378" t="s">
        <v>176</v>
      </c>
      <c r="H1378">
        <v>0</v>
      </c>
      <c r="I1378">
        <v>6</v>
      </c>
      <c r="J1378" s="10">
        <v>14.000000000000005</v>
      </c>
      <c r="K1378" s="10">
        <f>SUMIFS(F:F,D:D,DST_123_ÜRETİM_İHTİYAÇ_RAPORU_BURAK_YENI1309[[#This Row],[ALT_KOD]])-(SUMIFS(H:H,D:D,DST_123_ÜRETİM_İHTİYAÇ_RAPORU_BURAK_YENI1309[[#This Row],[ALT_KOD]])+AVERAGEIFS(I:I,D:D,DST_123_ÜRETİM_İHTİYAÇ_RAPORU_BURAK_YENI1309[[#This Row],[ALT_KOD]])+AVERAGEIFS(L:L,D:D,DST_123_ÜRETİM_İHTİYAÇ_RAPORU_BURAK_YENI1309[[#This Row],[ALT_KOD]]))</f>
        <v>28.1</v>
      </c>
      <c r="L1378">
        <v>0</v>
      </c>
      <c r="M1378">
        <f>IF((DST_123_ÜRETİM_İHTİYAÇ_RAPORU_BURAK_YENI1309[[#This Row],[SATINALMA]]*DST_123_ÜRETİM_İHTİYAÇ_RAPORU_BURAK_YENI1309[[#This Row],[BIRIM_FIYATLAR]])&lt;1,VALUE("0"),DST_123_ÜRETİM_İHTİYAÇ_RAPORU_BURAK_YENI1309[[#This Row],[SATINALMA]]*DST_123_ÜRETİM_İHTİYAÇ_RAPORU_BURAK_YENI1309[[#This Row],[BIRIM_FIYATLAR]])</f>
        <v>4097.8230000000003</v>
      </c>
      <c r="N1378">
        <v>145.83000000000001</v>
      </c>
      <c r="O1378" t="s">
        <v>628</v>
      </c>
      <c r="P1378">
        <v>452.07300000000004</v>
      </c>
      <c r="Q1378" t="s">
        <v>183</v>
      </c>
    </row>
    <row r="1379" spans="1:17" x14ac:dyDescent="0.25">
      <c r="A1379" t="s">
        <v>1150</v>
      </c>
      <c r="B1379" t="s">
        <v>1145</v>
      </c>
      <c r="C1379" t="s">
        <v>175</v>
      </c>
      <c r="D1379" t="s">
        <v>941</v>
      </c>
      <c r="E1379" t="s">
        <v>942</v>
      </c>
      <c r="F1379">
        <v>1</v>
      </c>
      <c r="G1379" t="s">
        <v>176</v>
      </c>
      <c r="H1379">
        <v>0</v>
      </c>
      <c r="I1379">
        <v>2</v>
      </c>
      <c r="J1379" s="10">
        <v>1</v>
      </c>
      <c r="K1379" s="10">
        <f>SUMIFS(F:F,D:D,DST_123_ÜRETİM_İHTİYAÇ_RAPORU_BURAK_YENI1309[[#This Row],[ALT_KOD]])-(SUMIFS(H:H,D:D,DST_123_ÜRETİM_İHTİYAÇ_RAPORU_BURAK_YENI1309[[#This Row],[ALT_KOD]])+AVERAGEIFS(I:I,D:D,DST_123_ÜRETİM_İHTİYAÇ_RAPORU_BURAK_YENI1309[[#This Row],[ALT_KOD]])+AVERAGEIFS(L:L,D:D,DST_123_ÜRETİM_İHTİYAÇ_RAPORU_BURAK_YENI1309[[#This Row],[ALT_KOD]]))</f>
        <v>2</v>
      </c>
      <c r="L1379">
        <v>0</v>
      </c>
      <c r="M1379">
        <f>IF((DST_123_ÜRETİM_İHTİYAÇ_RAPORU_BURAK_YENI1309[[#This Row],[SATINALMA]]*DST_123_ÜRETİM_İHTİYAÇ_RAPORU_BURAK_YENI1309[[#This Row],[BIRIM_FIYATLAR]])&lt;1,VALUE("0"),DST_123_ÜRETİM_İHTİYAÇ_RAPORU_BURAK_YENI1309[[#This Row],[SATINALMA]]*DST_123_ÜRETİM_İHTİYAÇ_RAPORU_BURAK_YENI1309[[#This Row],[BIRIM_FIYATLAR]])</f>
        <v>19880.7</v>
      </c>
      <c r="N1379">
        <v>9940.35</v>
      </c>
      <c r="O1379" t="s">
        <v>1054</v>
      </c>
      <c r="P1379">
        <v>9940.35</v>
      </c>
      <c r="Q1379" t="s">
        <v>221</v>
      </c>
    </row>
    <row r="1380" spans="1:17" x14ac:dyDescent="0.25">
      <c r="A1380" t="s">
        <v>1149</v>
      </c>
      <c r="B1380" t="s">
        <v>1145</v>
      </c>
      <c r="C1380" t="s">
        <v>175</v>
      </c>
      <c r="D1380" t="s">
        <v>321</v>
      </c>
      <c r="E1380" t="s">
        <v>322</v>
      </c>
      <c r="F1380">
        <v>6</v>
      </c>
      <c r="G1380" t="s">
        <v>176</v>
      </c>
      <c r="H1380">
        <v>0</v>
      </c>
      <c r="I1380">
        <v>84</v>
      </c>
      <c r="J1380" s="10">
        <v>195.90000000000009</v>
      </c>
      <c r="K1380" s="10">
        <f>SUMIFS(F:F,D:D,DST_123_ÜRETİM_İHTİYAÇ_RAPORU_BURAK_YENI1309[[#This Row],[ALT_KOD]])-(SUMIFS(H:H,D:D,DST_123_ÜRETİM_İHTİYAÇ_RAPORU_BURAK_YENI1309[[#This Row],[ALT_KOD]])+AVERAGEIFS(I:I,D:D,DST_123_ÜRETİM_İHTİYAÇ_RAPORU_BURAK_YENI1309[[#This Row],[ALT_KOD]])+AVERAGEIFS(L:L,D:D,DST_123_ÜRETİM_İHTİYAÇ_RAPORU_BURAK_YENI1309[[#This Row],[ALT_KOD]]))</f>
        <v>-24.600000000000023</v>
      </c>
      <c r="L1380">
        <v>0</v>
      </c>
      <c r="M1380">
        <f>IF((DST_123_ÜRETİM_İHTİYAÇ_RAPORU_BURAK_YENI1309[[#This Row],[SATINALMA]]*DST_123_ÜRETİM_İHTİYAÇ_RAPORU_BURAK_YENI1309[[#This Row],[BIRIM_FIYATLAR]])&lt;1,VALUE("0"),DST_123_ÜRETİM_İHTİYAÇ_RAPORU_BURAK_YENI1309[[#This Row],[SATINALMA]]*DST_123_ÜRETİM_İHTİYAÇ_RAPORU_BURAK_YENI1309[[#This Row],[BIRIM_FIYATLAR]])</f>
        <v>0</v>
      </c>
      <c r="N1380">
        <v>29</v>
      </c>
      <c r="O1380" t="s">
        <v>240</v>
      </c>
      <c r="P1380">
        <v>174</v>
      </c>
      <c r="Q1380" t="s">
        <v>180</v>
      </c>
    </row>
    <row r="1381" spans="1:17" x14ac:dyDescent="0.25">
      <c r="A1381" t="s">
        <v>1149</v>
      </c>
      <c r="B1381" t="s">
        <v>1145</v>
      </c>
      <c r="C1381" t="s">
        <v>175</v>
      </c>
      <c r="D1381" t="s">
        <v>88</v>
      </c>
      <c r="E1381" t="s">
        <v>89</v>
      </c>
      <c r="F1381">
        <v>3.3</v>
      </c>
      <c r="G1381" t="s">
        <v>179</v>
      </c>
      <c r="H1381">
        <v>0</v>
      </c>
      <c r="I1381">
        <v>125</v>
      </c>
      <c r="J1381" s="10">
        <v>37.499999999999908</v>
      </c>
      <c r="K1381" s="10">
        <f>SUMIFS(F:F,D:D,DST_123_ÜRETİM_İHTİYAÇ_RAPORU_BURAK_YENI1309[[#This Row],[ALT_KOD]])-(SUMIFS(H:H,D:D,DST_123_ÜRETİM_İHTİYAÇ_RAPORU_BURAK_YENI1309[[#This Row],[ALT_KOD]])+AVERAGEIFS(I:I,D:D,DST_123_ÜRETİM_İHTİYAÇ_RAPORU_BURAK_YENI1309[[#This Row],[ALT_KOD]])+AVERAGEIFS(L:L,D:D,DST_123_ÜRETİM_İHTİYAÇ_RAPORU_BURAK_YENI1309[[#This Row],[ALT_KOD]]))</f>
        <v>-44.100000000000009</v>
      </c>
      <c r="L1381">
        <v>0</v>
      </c>
      <c r="M1381">
        <f>IF((DST_123_ÜRETİM_İHTİYAÇ_RAPORU_BURAK_YENI1309[[#This Row],[SATINALMA]]*DST_123_ÜRETİM_İHTİYAÇ_RAPORU_BURAK_YENI1309[[#This Row],[BIRIM_FIYATLAR]])&lt;1,VALUE("0"),DST_123_ÜRETİM_İHTİYAÇ_RAPORU_BURAK_YENI1309[[#This Row],[SATINALMA]]*DST_123_ÜRETİM_İHTİYAÇ_RAPORU_BURAK_YENI1309[[#This Row],[BIRIM_FIYATLAR]])</f>
        <v>0</v>
      </c>
      <c r="N1381">
        <v>44</v>
      </c>
      <c r="O1381" t="s">
        <v>314</v>
      </c>
      <c r="P1381">
        <v>145.19999999999999</v>
      </c>
      <c r="Q1381" t="s">
        <v>178</v>
      </c>
    </row>
    <row r="1382" spans="1:17" x14ac:dyDescent="0.25">
      <c r="A1382" t="s">
        <v>1146</v>
      </c>
      <c r="B1382" t="s">
        <v>1145</v>
      </c>
      <c r="C1382" t="s">
        <v>175</v>
      </c>
      <c r="D1382" t="s">
        <v>88</v>
      </c>
      <c r="E1382" t="s">
        <v>89</v>
      </c>
      <c r="F1382">
        <v>3.3</v>
      </c>
      <c r="G1382" t="s">
        <v>179</v>
      </c>
      <c r="H1382">
        <v>0</v>
      </c>
      <c r="I1382">
        <v>125</v>
      </c>
      <c r="J1382" s="10">
        <v>37.499999999999908</v>
      </c>
      <c r="K1382" s="10">
        <f>SUMIFS(F:F,D:D,DST_123_ÜRETİM_İHTİYAÇ_RAPORU_BURAK_YENI1309[[#This Row],[ALT_KOD]])-(SUMIFS(H:H,D:D,DST_123_ÜRETİM_İHTİYAÇ_RAPORU_BURAK_YENI1309[[#This Row],[ALT_KOD]])+AVERAGEIFS(I:I,D:D,DST_123_ÜRETİM_İHTİYAÇ_RAPORU_BURAK_YENI1309[[#This Row],[ALT_KOD]])+AVERAGEIFS(L:L,D:D,DST_123_ÜRETİM_İHTİYAÇ_RAPORU_BURAK_YENI1309[[#This Row],[ALT_KOD]]))</f>
        <v>-44.100000000000009</v>
      </c>
      <c r="L1382">
        <v>0</v>
      </c>
      <c r="M1382">
        <f>IF((DST_123_ÜRETİM_İHTİYAÇ_RAPORU_BURAK_YENI1309[[#This Row],[SATINALMA]]*DST_123_ÜRETİM_İHTİYAÇ_RAPORU_BURAK_YENI1309[[#This Row],[BIRIM_FIYATLAR]])&lt;1,VALUE("0"),DST_123_ÜRETİM_İHTİYAÇ_RAPORU_BURAK_YENI1309[[#This Row],[SATINALMA]]*DST_123_ÜRETİM_İHTİYAÇ_RAPORU_BURAK_YENI1309[[#This Row],[BIRIM_FIYATLAR]])</f>
        <v>0</v>
      </c>
      <c r="N1382">
        <v>44</v>
      </c>
      <c r="O1382" t="s">
        <v>314</v>
      </c>
      <c r="P1382">
        <v>145.19999999999999</v>
      </c>
      <c r="Q1382" t="s">
        <v>178</v>
      </c>
    </row>
    <row r="1383" spans="1:17" x14ac:dyDescent="0.25">
      <c r="A1383" t="s">
        <v>1149</v>
      </c>
      <c r="B1383" t="s">
        <v>1145</v>
      </c>
      <c r="C1383" t="s">
        <v>175</v>
      </c>
      <c r="D1383" t="s">
        <v>90</v>
      </c>
      <c r="E1383" t="s">
        <v>91</v>
      </c>
      <c r="F1383">
        <v>1</v>
      </c>
      <c r="G1383" t="s">
        <v>176</v>
      </c>
      <c r="H1383">
        <v>0</v>
      </c>
      <c r="I1383">
        <v>4</v>
      </c>
      <c r="J1383" s="10">
        <v>12</v>
      </c>
      <c r="K1383" s="10">
        <f>SUMIFS(F:F,D:D,DST_123_ÜRETİM_İHTİYAÇ_RAPORU_BURAK_YENI1309[[#This Row],[ALT_KOD]])-(SUMIFS(H:H,D:D,DST_123_ÜRETİM_İHTİYAÇ_RAPORU_BURAK_YENI1309[[#This Row],[ALT_KOD]])+AVERAGEIFS(I:I,D:D,DST_123_ÜRETİM_İHTİYAÇ_RAPORU_BURAK_YENI1309[[#This Row],[ALT_KOD]])+AVERAGEIFS(L:L,D:D,DST_123_ÜRETİM_İHTİYAÇ_RAPORU_BURAK_YENI1309[[#This Row],[ALT_KOD]]))</f>
        <v>7</v>
      </c>
      <c r="L1383">
        <v>0</v>
      </c>
      <c r="M1383">
        <f>IF((DST_123_ÜRETİM_İHTİYAÇ_RAPORU_BURAK_YENI1309[[#This Row],[SATINALMA]]*DST_123_ÜRETİM_İHTİYAÇ_RAPORU_BURAK_YENI1309[[#This Row],[BIRIM_FIYATLAR]])&lt;1,VALUE("0"),DST_123_ÜRETİM_İHTİYAÇ_RAPORU_BURAK_YENI1309[[#This Row],[SATINALMA]]*DST_123_ÜRETİM_İHTİYAÇ_RAPORU_BURAK_YENI1309[[#This Row],[BIRIM_FIYATLAR]])</f>
        <v>12435.01</v>
      </c>
      <c r="N1383">
        <v>1776.43</v>
      </c>
      <c r="O1383" t="s">
        <v>634</v>
      </c>
      <c r="P1383">
        <v>1776.43</v>
      </c>
      <c r="Q1383" t="s">
        <v>178</v>
      </c>
    </row>
    <row r="1384" spans="1:17" x14ac:dyDescent="0.25">
      <c r="A1384" t="s">
        <v>1149</v>
      </c>
      <c r="B1384" t="s">
        <v>1145</v>
      </c>
      <c r="C1384" t="s">
        <v>175</v>
      </c>
      <c r="D1384" t="s">
        <v>331</v>
      </c>
      <c r="E1384" t="s">
        <v>332</v>
      </c>
      <c r="F1384">
        <v>2</v>
      </c>
      <c r="G1384" t="s">
        <v>176</v>
      </c>
      <c r="H1384">
        <v>0</v>
      </c>
      <c r="I1384">
        <v>809</v>
      </c>
      <c r="J1384" s="10">
        <v>0</v>
      </c>
      <c r="K1384" s="10">
        <f>SUMIFS(F:F,D:D,DST_123_ÜRETİM_İHTİYAÇ_RAPORU_BURAK_YENI1309[[#This Row],[ALT_KOD]])-(SUMIFS(H:H,D:D,DST_123_ÜRETİM_İHTİYAÇ_RAPORU_BURAK_YENI1309[[#This Row],[ALT_KOD]])+AVERAGEIFS(I:I,D:D,DST_123_ÜRETİM_İHTİYAÇ_RAPORU_BURAK_YENI1309[[#This Row],[ALT_KOD]])+AVERAGEIFS(L:L,D:D,DST_123_ÜRETİM_İHTİYAÇ_RAPORU_BURAK_YENI1309[[#This Row],[ALT_KOD]]))</f>
        <v>-768</v>
      </c>
      <c r="L1384">
        <v>0</v>
      </c>
      <c r="M1384">
        <f>IF((DST_123_ÜRETİM_İHTİYAÇ_RAPORU_BURAK_YENI1309[[#This Row],[SATINALMA]]*DST_123_ÜRETİM_İHTİYAÇ_RAPORU_BURAK_YENI1309[[#This Row],[BIRIM_FIYATLAR]])&lt;1,VALUE("0"),DST_123_ÜRETİM_İHTİYAÇ_RAPORU_BURAK_YENI1309[[#This Row],[SATINALMA]]*DST_123_ÜRETİM_İHTİYAÇ_RAPORU_BURAK_YENI1309[[#This Row],[BIRIM_FIYATLAR]])</f>
        <v>0</v>
      </c>
      <c r="N1384">
        <v>2.4</v>
      </c>
      <c r="O1384" t="s">
        <v>240</v>
      </c>
      <c r="P1384">
        <v>4.8</v>
      </c>
      <c r="Q1384" t="s">
        <v>180</v>
      </c>
    </row>
    <row r="1385" spans="1:17" x14ac:dyDescent="0.25">
      <c r="A1385" t="s">
        <v>1146</v>
      </c>
      <c r="B1385" t="s">
        <v>1145</v>
      </c>
      <c r="C1385" t="s">
        <v>175</v>
      </c>
      <c r="D1385" t="s">
        <v>155</v>
      </c>
      <c r="E1385" t="s">
        <v>156</v>
      </c>
      <c r="F1385">
        <v>0.01</v>
      </c>
      <c r="G1385" t="s">
        <v>179</v>
      </c>
      <c r="H1385">
        <v>0</v>
      </c>
      <c r="I1385">
        <v>200</v>
      </c>
      <c r="J1385" s="10">
        <v>74.999999999999957</v>
      </c>
      <c r="K1385" s="10">
        <f>SUMIFS(F:F,D:D,DST_123_ÜRETİM_İHTİYAÇ_RAPORU_BURAK_YENI1309[[#This Row],[ALT_KOD]])-(SUMIFS(H:H,D:D,DST_123_ÜRETİM_İHTİYAÇ_RAPORU_BURAK_YENI1309[[#This Row],[ALT_KOD]])+AVERAGEIFS(I:I,D:D,DST_123_ÜRETİM_İHTİYAÇ_RAPORU_BURAK_YENI1309[[#This Row],[ALT_KOD]])+AVERAGEIFS(L:L,D:D,DST_123_ÜRETİM_İHTİYAÇ_RAPORU_BURAK_YENI1309[[#This Row],[ALT_KOD]]))</f>
        <v>-198.95</v>
      </c>
      <c r="L1385">
        <v>0</v>
      </c>
      <c r="M1385">
        <f>IF((DST_123_ÜRETİM_İHTİYAÇ_RAPORU_BURAK_YENI1309[[#This Row],[SATINALMA]]*DST_123_ÜRETİM_İHTİYAÇ_RAPORU_BURAK_YENI1309[[#This Row],[BIRIM_FIYATLAR]])&lt;1,VALUE("0"),DST_123_ÜRETİM_İHTİYAÇ_RAPORU_BURAK_YENI1309[[#This Row],[SATINALMA]]*DST_123_ÜRETİM_İHTİYAÇ_RAPORU_BURAK_YENI1309[[#This Row],[BIRIM_FIYATLAR]])</f>
        <v>0</v>
      </c>
      <c r="N1385">
        <v>7.4</v>
      </c>
      <c r="O1385" t="s">
        <v>635</v>
      </c>
      <c r="P1385">
        <v>7.400000000000001E-2</v>
      </c>
      <c r="Q1385" t="s">
        <v>221</v>
      </c>
    </row>
    <row r="1386" spans="1:17" x14ac:dyDescent="0.25">
      <c r="A1386" t="s">
        <v>1100</v>
      </c>
      <c r="B1386" t="s">
        <v>1058</v>
      </c>
      <c r="C1386" t="s">
        <v>175</v>
      </c>
      <c r="D1386" t="s">
        <v>363</v>
      </c>
      <c r="E1386" t="s">
        <v>364</v>
      </c>
      <c r="F1386">
        <v>7.5</v>
      </c>
      <c r="G1386" t="s">
        <v>179</v>
      </c>
      <c r="H1386">
        <v>0</v>
      </c>
      <c r="I1386">
        <v>100</v>
      </c>
      <c r="J1386" s="10">
        <v>159.90000000000003</v>
      </c>
      <c r="K1386" s="10">
        <f>SUMIFS(F:F,D:D,DST_123_ÜRETİM_İHTİYAÇ_RAPORU_BURAK_YENI1309[[#This Row],[ALT_KOD]])-(SUMIFS(H:H,D:D,DST_123_ÜRETİM_İHTİYAÇ_RAPORU_BURAK_YENI1309[[#This Row],[ALT_KOD]])+AVERAGEIFS(I:I,D:D,DST_123_ÜRETİM_İHTİYAÇ_RAPORU_BURAK_YENI1309[[#This Row],[ALT_KOD]])+AVERAGEIFS(L:L,D:D,DST_123_ÜRETİM_İHTİYAÇ_RAPORU_BURAK_YENI1309[[#This Row],[ALT_KOD]]))</f>
        <v>41.300000000000011</v>
      </c>
      <c r="L1386">
        <v>0</v>
      </c>
      <c r="M1386">
        <f>IF((DST_123_ÜRETİM_İHTİYAÇ_RAPORU_BURAK_YENI1309[[#This Row],[SATINALMA]]*DST_123_ÜRETİM_İHTİYAÇ_RAPORU_BURAK_YENI1309[[#This Row],[BIRIM_FIYATLAR]])&lt;1,VALUE("0"),DST_123_ÜRETİM_İHTİYAÇ_RAPORU_BURAK_YENI1309[[#This Row],[SATINALMA]]*DST_123_ÜRETİM_İHTİYAÇ_RAPORU_BURAK_YENI1309[[#This Row],[BIRIM_FIYATLAR]])</f>
        <v>929.25000000000023</v>
      </c>
      <c r="N1386">
        <v>22.5</v>
      </c>
      <c r="O1386" t="s">
        <v>314</v>
      </c>
      <c r="P1386">
        <v>168.75</v>
      </c>
      <c r="Q1386" t="s">
        <v>178</v>
      </c>
    </row>
    <row r="1387" spans="1:17" x14ac:dyDescent="0.25">
      <c r="A1387" t="s">
        <v>1101</v>
      </c>
      <c r="B1387" t="s">
        <v>1102</v>
      </c>
      <c r="C1387" t="s">
        <v>175</v>
      </c>
      <c r="D1387" t="s">
        <v>367</v>
      </c>
      <c r="E1387" t="s">
        <v>368</v>
      </c>
      <c r="F1387">
        <v>50</v>
      </c>
      <c r="G1387" t="s">
        <v>176</v>
      </c>
      <c r="H1387">
        <v>0</v>
      </c>
      <c r="I1387">
        <v>1000</v>
      </c>
      <c r="J1387" s="10">
        <v>396</v>
      </c>
      <c r="K1387" s="10">
        <f>SUMIFS(F:F,D:D,DST_123_ÜRETİM_İHTİYAÇ_RAPORU_BURAK_YENI1309[[#This Row],[ALT_KOD]])-(SUMIFS(H:H,D:D,DST_123_ÜRETİM_İHTİYAÇ_RAPORU_BURAK_YENI1309[[#This Row],[ALT_KOD]])+AVERAGEIFS(I:I,D:D,DST_123_ÜRETİM_İHTİYAÇ_RAPORU_BURAK_YENI1309[[#This Row],[ALT_KOD]])+AVERAGEIFS(L:L,D:D,DST_123_ÜRETİM_İHTİYAÇ_RAPORU_BURAK_YENI1309[[#This Row],[ALT_KOD]]))</f>
        <v>-91</v>
      </c>
      <c r="L1387">
        <v>0</v>
      </c>
      <c r="M1387">
        <f>IF((DST_123_ÜRETİM_İHTİYAÇ_RAPORU_BURAK_YENI1309[[#This Row],[SATINALMA]]*DST_123_ÜRETİM_İHTİYAÇ_RAPORU_BURAK_YENI1309[[#This Row],[BIRIM_FIYATLAR]])&lt;1,VALUE("0"),DST_123_ÜRETİM_İHTİYAÇ_RAPORU_BURAK_YENI1309[[#This Row],[SATINALMA]]*DST_123_ÜRETİM_İHTİYAÇ_RAPORU_BURAK_YENI1309[[#This Row],[BIRIM_FIYATLAR]])</f>
        <v>0</v>
      </c>
      <c r="N1387">
        <v>12.5</v>
      </c>
      <c r="O1387" t="s">
        <v>369</v>
      </c>
      <c r="P1387">
        <v>625</v>
      </c>
      <c r="Q1387" t="s">
        <v>180</v>
      </c>
    </row>
    <row r="1388" spans="1:17" x14ac:dyDescent="0.25">
      <c r="A1388" t="s">
        <v>1148</v>
      </c>
      <c r="B1388" t="s">
        <v>1056</v>
      </c>
      <c r="C1388" t="s">
        <v>175</v>
      </c>
      <c r="D1388" t="s">
        <v>899</v>
      </c>
      <c r="E1388" t="s">
        <v>900</v>
      </c>
      <c r="F1388">
        <v>0.5</v>
      </c>
      <c r="G1388" t="s">
        <v>176</v>
      </c>
      <c r="H1388">
        <v>0</v>
      </c>
      <c r="I1388">
        <v>0</v>
      </c>
      <c r="J1388" s="10">
        <v>3.5527136788005009E-15</v>
      </c>
      <c r="K1388" s="10">
        <f>SUMIFS(F:F,D:D,DST_123_ÜRETİM_İHTİYAÇ_RAPORU_BURAK_YENI1309[[#This Row],[ALT_KOD]])-(SUMIFS(H:H,D:D,DST_123_ÜRETİM_İHTİYAÇ_RAPORU_BURAK_YENI1309[[#This Row],[ALT_KOD]])+AVERAGEIFS(I:I,D:D,DST_123_ÜRETİM_İHTİYAÇ_RAPORU_BURAK_YENI1309[[#This Row],[ALT_KOD]])+AVERAGEIFS(L:L,D:D,DST_123_ÜRETİM_İHTİYAÇ_RAPORU_BURAK_YENI1309[[#This Row],[ALT_KOD]]))</f>
        <v>-6.1</v>
      </c>
      <c r="L1388">
        <v>10</v>
      </c>
      <c r="M1388">
        <f>IF((DST_123_ÜRETİM_İHTİYAÇ_RAPORU_BURAK_YENI1309[[#This Row],[SATINALMA]]*DST_123_ÜRETİM_İHTİYAÇ_RAPORU_BURAK_YENI1309[[#This Row],[BIRIM_FIYATLAR]])&lt;1,VALUE("0"),DST_123_ÜRETİM_İHTİYAÇ_RAPORU_BURAK_YENI1309[[#This Row],[SATINALMA]]*DST_123_ÜRETİM_İHTİYAÇ_RAPORU_BURAK_YENI1309[[#This Row],[BIRIM_FIYATLAR]])</f>
        <v>0</v>
      </c>
      <c r="N1388">
        <v>255.55</v>
      </c>
      <c r="O1388" t="s">
        <v>901</v>
      </c>
      <c r="P1388">
        <v>127.77500000000001</v>
      </c>
      <c r="Q1388" t="s">
        <v>183</v>
      </c>
    </row>
    <row r="1389" spans="1:17" x14ac:dyDescent="0.25">
      <c r="A1389" t="s">
        <v>1060</v>
      </c>
      <c r="B1389" t="s">
        <v>1061</v>
      </c>
      <c r="C1389" t="s">
        <v>175</v>
      </c>
      <c r="D1389" t="s">
        <v>586</v>
      </c>
      <c r="E1389" t="s">
        <v>587</v>
      </c>
      <c r="F1389">
        <v>1</v>
      </c>
      <c r="G1389" t="s">
        <v>176</v>
      </c>
      <c r="H1389">
        <v>0</v>
      </c>
      <c r="I1389">
        <v>0</v>
      </c>
      <c r="J1389" s="10">
        <v>0</v>
      </c>
      <c r="K1389" s="10">
        <f>SUMIFS(F:F,D:D,DST_123_ÜRETİM_İHTİYAÇ_RAPORU_BURAK_YENI1309[[#This Row],[ALT_KOD]])-(SUMIFS(H:H,D:D,DST_123_ÜRETİM_İHTİYAÇ_RAPORU_BURAK_YENI1309[[#This Row],[ALT_KOD]])+AVERAGEIFS(I:I,D:D,DST_123_ÜRETİM_İHTİYAÇ_RAPORU_BURAK_YENI1309[[#This Row],[ALT_KOD]])+AVERAGEIFS(L:L,D:D,DST_123_ÜRETİM_İHTİYAÇ_RAPORU_BURAK_YENI1309[[#This Row],[ALT_KOD]]))</f>
        <v>9</v>
      </c>
      <c r="L1389">
        <v>0</v>
      </c>
      <c r="M1389">
        <f>IF((DST_123_ÜRETİM_İHTİYAÇ_RAPORU_BURAK_YENI1309[[#This Row],[SATINALMA]]*DST_123_ÜRETİM_İHTİYAÇ_RAPORU_BURAK_YENI1309[[#This Row],[BIRIM_FIYATLAR]])&lt;1,VALUE("0"),DST_123_ÜRETİM_İHTİYAÇ_RAPORU_BURAK_YENI1309[[#This Row],[SATINALMA]]*DST_123_ÜRETİM_İHTİYAÇ_RAPORU_BURAK_YENI1309[[#This Row],[BIRIM_FIYATLAR]])</f>
        <v>540</v>
      </c>
      <c r="N1389">
        <v>60</v>
      </c>
      <c r="O1389" t="s">
        <v>428</v>
      </c>
      <c r="P1389">
        <v>60</v>
      </c>
      <c r="Q1389" t="s">
        <v>177</v>
      </c>
    </row>
    <row r="1390" spans="1:17" x14ac:dyDescent="0.25">
      <c r="A1390" t="s">
        <v>1057</v>
      </c>
      <c r="B1390" t="s">
        <v>1058</v>
      </c>
      <c r="C1390" t="s">
        <v>175</v>
      </c>
      <c r="D1390" t="s">
        <v>1008</v>
      </c>
      <c r="E1390" t="s">
        <v>1009</v>
      </c>
      <c r="F1390">
        <v>2</v>
      </c>
      <c r="G1390" t="s">
        <v>179</v>
      </c>
      <c r="H1390">
        <v>0</v>
      </c>
      <c r="I1390">
        <v>54</v>
      </c>
      <c r="J1390" s="10">
        <v>10</v>
      </c>
      <c r="K1390" s="10">
        <f>SUMIFS(F:F,D:D,DST_123_ÜRETİM_İHTİYAÇ_RAPORU_BURAK_YENI1309[[#This Row],[ALT_KOD]])-(SUMIFS(H:H,D:D,DST_123_ÜRETİM_İHTİYAÇ_RAPORU_BURAK_YENI1309[[#This Row],[ALT_KOD]])+AVERAGEIFS(I:I,D:D,DST_123_ÜRETİM_İHTİYAÇ_RAPORU_BURAK_YENI1309[[#This Row],[ALT_KOD]])+AVERAGEIFS(L:L,D:D,DST_123_ÜRETİM_İHTİYAÇ_RAPORU_BURAK_YENI1309[[#This Row],[ALT_KOD]]))</f>
        <v>-50</v>
      </c>
      <c r="L1390">
        <v>0</v>
      </c>
      <c r="M1390">
        <f>IF((DST_123_ÜRETİM_İHTİYAÇ_RAPORU_BURAK_YENI1309[[#This Row],[SATINALMA]]*DST_123_ÜRETİM_İHTİYAÇ_RAPORU_BURAK_YENI1309[[#This Row],[BIRIM_FIYATLAR]])&lt;1,VALUE("0"),DST_123_ÜRETİM_İHTİYAÇ_RAPORU_BURAK_YENI1309[[#This Row],[SATINALMA]]*DST_123_ÜRETİM_İHTİYAÇ_RAPORU_BURAK_YENI1309[[#This Row],[BIRIM_FIYATLAR]])</f>
        <v>0</v>
      </c>
      <c r="N1390">
        <v>105.6</v>
      </c>
      <c r="O1390" t="s">
        <v>254</v>
      </c>
      <c r="P1390">
        <v>211.2</v>
      </c>
      <c r="Q1390" t="s">
        <v>180</v>
      </c>
    </row>
    <row r="1391" spans="1:17" x14ac:dyDescent="0.25">
      <c r="A1391" t="s">
        <v>1059</v>
      </c>
      <c r="B1391" t="s">
        <v>1058</v>
      </c>
      <c r="C1391" t="s">
        <v>175</v>
      </c>
      <c r="D1391" t="s">
        <v>776</v>
      </c>
      <c r="E1391" t="s">
        <v>777</v>
      </c>
      <c r="F1391">
        <v>1</v>
      </c>
      <c r="G1391" t="s">
        <v>176</v>
      </c>
      <c r="H1391">
        <v>1</v>
      </c>
      <c r="I1391">
        <v>6</v>
      </c>
      <c r="J1391" s="10">
        <v>7</v>
      </c>
      <c r="K1391" s="10">
        <f>SUMIFS(F:F,D:D,DST_123_ÜRETİM_İHTİYAÇ_RAPORU_BURAK_YENI1309[[#This Row],[ALT_KOD]])-(SUMIFS(H:H,D:D,DST_123_ÜRETİM_İHTİYAÇ_RAPORU_BURAK_YENI1309[[#This Row],[ALT_KOD]])+AVERAGEIFS(I:I,D:D,DST_123_ÜRETİM_İHTİYAÇ_RAPORU_BURAK_YENI1309[[#This Row],[ALT_KOD]])+AVERAGEIFS(L:L,D:D,DST_123_ÜRETİM_İHTİYAÇ_RAPORU_BURAK_YENI1309[[#This Row],[ALT_KOD]]))</f>
        <v>5</v>
      </c>
      <c r="L1391">
        <v>0</v>
      </c>
      <c r="M1391">
        <f>IF((DST_123_ÜRETİM_İHTİYAÇ_RAPORU_BURAK_YENI1309[[#This Row],[SATINALMA]]*DST_123_ÜRETİM_İHTİYAÇ_RAPORU_BURAK_YENI1309[[#This Row],[BIRIM_FIYATLAR]])&lt;1,VALUE("0"),DST_123_ÜRETİM_İHTİYAÇ_RAPORU_BURAK_YENI1309[[#This Row],[SATINALMA]]*DST_123_ÜRETİM_İHTİYAÇ_RAPORU_BURAK_YENI1309[[#This Row],[BIRIM_FIYATLAR]])</f>
        <v>12288.25</v>
      </c>
      <c r="N1391">
        <v>2457.65</v>
      </c>
      <c r="O1391" t="s">
        <v>634</v>
      </c>
      <c r="P1391">
        <v>2457.65</v>
      </c>
      <c r="Q1391" t="s">
        <v>177</v>
      </c>
    </row>
    <row r="1392" spans="1:17" x14ac:dyDescent="0.25">
      <c r="A1392" t="s">
        <v>1059</v>
      </c>
      <c r="B1392" t="s">
        <v>1058</v>
      </c>
      <c r="C1392" t="s">
        <v>175</v>
      </c>
      <c r="D1392" t="s">
        <v>363</v>
      </c>
      <c r="E1392" t="s">
        <v>364</v>
      </c>
      <c r="F1392">
        <v>7.5</v>
      </c>
      <c r="G1392" t="s">
        <v>179</v>
      </c>
      <c r="H1392">
        <v>0</v>
      </c>
      <c r="I1392">
        <v>100</v>
      </c>
      <c r="J1392" s="10">
        <v>159.90000000000003</v>
      </c>
      <c r="K1392" s="10">
        <f>SUMIFS(F:F,D:D,DST_123_ÜRETİM_İHTİYAÇ_RAPORU_BURAK_YENI1309[[#This Row],[ALT_KOD]])-(SUMIFS(H:H,D:D,DST_123_ÜRETİM_İHTİYAÇ_RAPORU_BURAK_YENI1309[[#This Row],[ALT_KOD]])+AVERAGEIFS(I:I,D:D,DST_123_ÜRETİM_İHTİYAÇ_RAPORU_BURAK_YENI1309[[#This Row],[ALT_KOD]])+AVERAGEIFS(L:L,D:D,DST_123_ÜRETİM_İHTİYAÇ_RAPORU_BURAK_YENI1309[[#This Row],[ALT_KOD]]))</f>
        <v>41.300000000000011</v>
      </c>
      <c r="L1392">
        <v>0</v>
      </c>
      <c r="M1392">
        <f>IF((DST_123_ÜRETİM_İHTİYAÇ_RAPORU_BURAK_YENI1309[[#This Row],[SATINALMA]]*DST_123_ÜRETİM_İHTİYAÇ_RAPORU_BURAK_YENI1309[[#This Row],[BIRIM_FIYATLAR]])&lt;1,VALUE("0"),DST_123_ÜRETİM_İHTİYAÇ_RAPORU_BURAK_YENI1309[[#This Row],[SATINALMA]]*DST_123_ÜRETİM_İHTİYAÇ_RAPORU_BURAK_YENI1309[[#This Row],[BIRIM_FIYATLAR]])</f>
        <v>929.25000000000023</v>
      </c>
      <c r="N1392">
        <v>22.5</v>
      </c>
      <c r="O1392" t="s">
        <v>314</v>
      </c>
      <c r="P1392">
        <v>168.75</v>
      </c>
      <c r="Q1392" t="s">
        <v>178</v>
      </c>
    </row>
    <row r="1393" spans="1:17" x14ac:dyDescent="0.25">
      <c r="A1393" t="s">
        <v>1059</v>
      </c>
      <c r="B1393" t="s">
        <v>1058</v>
      </c>
      <c r="C1393" t="s">
        <v>175</v>
      </c>
      <c r="D1393" t="s">
        <v>367</v>
      </c>
      <c r="E1393" t="s">
        <v>368</v>
      </c>
      <c r="F1393">
        <v>47</v>
      </c>
      <c r="G1393" t="s">
        <v>176</v>
      </c>
      <c r="H1393">
        <v>0</v>
      </c>
      <c r="I1393">
        <v>1000</v>
      </c>
      <c r="J1393" s="10">
        <v>396</v>
      </c>
      <c r="K1393" s="10">
        <f>SUMIFS(F:F,D:D,DST_123_ÜRETİM_İHTİYAÇ_RAPORU_BURAK_YENI1309[[#This Row],[ALT_KOD]])-(SUMIFS(H:H,D:D,DST_123_ÜRETİM_İHTİYAÇ_RAPORU_BURAK_YENI1309[[#This Row],[ALT_KOD]])+AVERAGEIFS(I:I,D:D,DST_123_ÜRETİM_İHTİYAÇ_RAPORU_BURAK_YENI1309[[#This Row],[ALT_KOD]])+AVERAGEIFS(L:L,D:D,DST_123_ÜRETİM_İHTİYAÇ_RAPORU_BURAK_YENI1309[[#This Row],[ALT_KOD]]))</f>
        <v>-91</v>
      </c>
      <c r="L1393">
        <v>0</v>
      </c>
      <c r="M1393">
        <f>IF((DST_123_ÜRETİM_İHTİYAÇ_RAPORU_BURAK_YENI1309[[#This Row],[SATINALMA]]*DST_123_ÜRETİM_İHTİYAÇ_RAPORU_BURAK_YENI1309[[#This Row],[BIRIM_FIYATLAR]])&lt;1,VALUE("0"),DST_123_ÜRETİM_İHTİYAÇ_RAPORU_BURAK_YENI1309[[#This Row],[SATINALMA]]*DST_123_ÜRETİM_İHTİYAÇ_RAPORU_BURAK_YENI1309[[#This Row],[BIRIM_FIYATLAR]])</f>
        <v>0</v>
      </c>
      <c r="N1393">
        <v>12.5</v>
      </c>
      <c r="O1393" t="s">
        <v>369</v>
      </c>
      <c r="P1393">
        <v>587.5</v>
      </c>
      <c r="Q1393" t="s">
        <v>180</v>
      </c>
    </row>
    <row r="1394" spans="1:17" x14ac:dyDescent="0.25">
      <c r="A1394" t="s">
        <v>1059</v>
      </c>
      <c r="B1394" t="s">
        <v>1058</v>
      </c>
      <c r="C1394" t="s">
        <v>175</v>
      </c>
      <c r="D1394" t="s">
        <v>544</v>
      </c>
      <c r="E1394" t="s">
        <v>545</v>
      </c>
      <c r="F1394">
        <v>4</v>
      </c>
      <c r="G1394" t="s">
        <v>176</v>
      </c>
      <c r="H1394">
        <v>0</v>
      </c>
      <c r="I1394">
        <v>1000</v>
      </c>
      <c r="J1394" s="10">
        <v>0</v>
      </c>
      <c r="K1394" s="10">
        <f>SUMIFS(F:F,D:D,DST_123_ÜRETİM_İHTİYAÇ_RAPORU_BURAK_YENI1309[[#This Row],[ALT_KOD]])-(SUMIFS(H:H,D:D,DST_123_ÜRETİM_İHTİYAÇ_RAPORU_BURAK_YENI1309[[#This Row],[ALT_KOD]])+AVERAGEIFS(I:I,D:D,DST_123_ÜRETİM_İHTİYAÇ_RAPORU_BURAK_YENI1309[[#This Row],[ALT_KOD]])+AVERAGEIFS(L:L,D:D,DST_123_ÜRETİM_İHTİYAÇ_RAPORU_BURAK_YENI1309[[#This Row],[ALT_KOD]]))</f>
        <v>-960</v>
      </c>
      <c r="L1394">
        <v>0</v>
      </c>
      <c r="M1394">
        <f>IF((DST_123_ÜRETİM_İHTİYAÇ_RAPORU_BURAK_YENI1309[[#This Row],[SATINALMA]]*DST_123_ÜRETİM_İHTİYAÇ_RAPORU_BURAK_YENI1309[[#This Row],[BIRIM_FIYATLAR]])&lt;1,VALUE("0"),DST_123_ÜRETİM_İHTİYAÇ_RAPORU_BURAK_YENI1309[[#This Row],[SATINALMA]]*DST_123_ÜRETİM_İHTİYAÇ_RAPORU_BURAK_YENI1309[[#This Row],[BIRIM_FIYATLAR]])</f>
        <v>0</v>
      </c>
      <c r="N1394">
        <v>0.64</v>
      </c>
      <c r="O1394" t="s">
        <v>240</v>
      </c>
      <c r="P1394">
        <v>2.56</v>
      </c>
      <c r="Q1394" t="s">
        <v>180</v>
      </c>
    </row>
    <row r="1395" spans="1:17" x14ac:dyDescent="0.25">
      <c r="A1395" t="s">
        <v>1099</v>
      </c>
      <c r="B1395" t="s">
        <v>1055</v>
      </c>
      <c r="C1395" t="s">
        <v>175</v>
      </c>
      <c r="D1395" t="s">
        <v>894</v>
      </c>
      <c r="E1395" t="s">
        <v>895</v>
      </c>
      <c r="F1395">
        <v>0.05</v>
      </c>
      <c r="G1395" t="s">
        <v>185</v>
      </c>
      <c r="H1395">
        <v>0</v>
      </c>
      <c r="I1395">
        <v>0</v>
      </c>
      <c r="J1395" s="10">
        <v>1.3045120539345589E-15</v>
      </c>
      <c r="K1395" s="10">
        <f>SUMIFS(F:F,D:D,DST_123_ÜRETİM_İHTİYAÇ_RAPORU_BURAK_YENI1309[[#This Row],[ALT_KOD]])-(SUMIFS(H:H,D:D,DST_123_ÜRETİM_İHTİYAÇ_RAPORU_BURAK_YENI1309[[#This Row],[ALT_KOD]])+AVERAGEIFS(I:I,D:D,DST_123_ÜRETİM_İHTİYAÇ_RAPORU_BURAK_YENI1309[[#This Row],[ALT_KOD]])+AVERAGEIFS(L:L,D:D,DST_123_ÜRETİM_İHTİYAÇ_RAPORU_BURAK_YENI1309[[#This Row],[ALT_KOD]]))</f>
        <v>0.37</v>
      </c>
      <c r="L1395">
        <v>0</v>
      </c>
      <c r="M1395">
        <f>IF((DST_123_ÜRETİM_İHTİYAÇ_RAPORU_BURAK_YENI1309[[#This Row],[SATINALMA]]*DST_123_ÜRETİM_İHTİYAÇ_RAPORU_BURAK_YENI1309[[#This Row],[BIRIM_FIYATLAR]])&lt;1,VALUE("0"),DST_123_ÜRETİM_İHTİYAÇ_RAPORU_BURAK_YENI1309[[#This Row],[SATINALMA]]*DST_123_ÜRETİM_İHTİYAÇ_RAPORU_BURAK_YENI1309[[#This Row],[BIRIM_FIYATLAR]])</f>
        <v>52.725000000000001</v>
      </c>
      <c r="N1395">
        <v>142.5</v>
      </c>
      <c r="O1395" t="s">
        <v>226</v>
      </c>
      <c r="P1395">
        <v>7.125</v>
      </c>
      <c r="Q1395" t="s">
        <v>183</v>
      </c>
    </row>
    <row r="1396" spans="1:17" x14ac:dyDescent="0.25">
      <c r="A1396" t="s">
        <v>1196</v>
      </c>
      <c r="B1396" t="s">
        <v>1197</v>
      </c>
      <c r="C1396" t="s">
        <v>175</v>
      </c>
      <c r="D1396" t="s">
        <v>894</v>
      </c>
      <c r="E1396" t="s">
        <v>895</v>
      </c>
      <c r="F1396">
        <v>0.02</v>
      </c>
      <c r="G1396" t="s">
        <v>185</v>
      </c>
      <c r="H1396">
        <v>0</v>
      </c>
      <c r="I1396">
        <v>0</v>
      </c>
      <c r="J1396" s="10">
        <v>1.3045120539345589E-15</v>
      </c>
      <c r="K1396" s="10">
        <f>SUMIFS(F:F,D:D,DST_123_ÜRETİM_İHTİYAÇ_RAPORU_BURAK_YENI1309[[#This Row],[ALT_KOD]])-(SUMIFS(H:H,D:D,DST_123_ÜRETİM_İHTİYAÇ_RAPORU_BURAK_YENI1309[[#This Row],[ALT_KOD]])+AVERAGEIFS(I:I,D:D,DST_123_ÜRETİM_İHTİYAÇ_RAPORU_BURAK_YENI1309[[#This Row],[ALT_KOD]])+AVERAGEIFS(L:L,D:D,DST_123_ÜRETİM_İHTİYAÇ_RAPORU_BURAK_YENI1309[[#This Row],[ALT_KOD]]))</f>
        <v>0.37</v>
      </c>
      <c r="L1396">
        <v>0</v>
      </c>
      <c r="M1396">
        <f>IF((DST_123_ÜRETİM_İHTİYAÇ_RAPORU_BURAK_YENI1309[[#This Row],[SATINALMA]]*DST_123_ÜRETİM_İHTİYAÇ_RAPORU_BURAK_YENI1309[[#This Row],[BIRIM_FIYATLAR]])&lt;1,VALUE("0"),DST_123_ÜRETİM_İHTİYAÇ_RAPORU_BURAK_YENI1309[[#This Row],[SATINALMA]]*DST_123_ÜRETİM_İHTİYAÇ_RAPORU_BURAK_YENI1309[[#This Row],[BIRIM_FIYATLAR]])</f>
        <v>52.725000000000001</v>
      </c>
      <c r="N1396">
        <v>142.5</v>
      </c>
      <c r="O1396" t="s">
        <v>226</v>
      </c>
      <c r="P1396">
        <v>2.85</v>
      </c>
      <c r="Q1396" t="s">
        <v>183</v>
      </c>
    </row>
    <row r="1397" spans="1:17" x14ac:dyDescent="0.25">
      <c r="A1397" t="s">
        <v>1095</v>
      </c>
      <c r="B1397" t="s">
        <v>1096</v>
      </c>
      <c r="C1397" t="s">
        <v>175</v>
      </c>
      <c r="D1397" t="s">
        <v>363</v>
      </c>
      <c r="E1397" t="s">
        <v>364</v>
      </c>
      <c r="F1397">
        <v>5.5</v>
      </c>
      <c r="G1397" t="s">
        <v>179</v>
      </c>
      <c r="H1397">
        <v>0</v>
      </c>
      <c r="I1397">
        <v>100</v>
      </c>
      <c r="J1397" s="10">
        <v>159.90000000000003</v>
      </c>
      <c r="K1397" s="10">
        <f>SUMIFS(F:F,D:D,DST_123_ÜRETİM_İHTİYAÇ_RAPORU_BURAK_YENI1309[[#This Row],[ALT_KOD]])-(SUMIFS(H:H,D:D,DST_123_ÜRETİM_İHTİYAÇ_RAPORU_BURAK_YENI1309[[#This Row],[ALT_KOD]])+AVERAGEIFS(I:I,D:D,DST_123_ÜRETİM_İHTİYAÇ_RAPORU_BURAK_YENI1309[[#This Row],[ALT_KOD]])+AVERAGEIFS(L:L,D:D,DST_123_ÜRETİM_İHTİYAÇ_RAPORU_BURAK_YENI1309[[#This Row],[ALT_KOD]]))</f>
        <v>41.300000000000011</v>
      </c>
      <c r="L1397">
        <v>0</v>
      </c>
      <c r="M1397">
        <f>IF((DST_123_ÜRETİM_İHTİYAÇ_RAPORU_BURAK_YENI1309[[#This Row],[SATINALMA]]*DST_123_ÜRETİM_İHTİYAÇ_RAPORU_BURAK_YENI1309[[#This Row],[BIRIM_FIYATLAR]])&lt;1,VALUE("0"),DST_123_ÜRETİM_İHTİYAÇ_RAPORU_BURAK_YENI1309[[#This Row],[SATINALMA]]*DST_123_ÜRETİM_İHTİYAÇ_RAPORU_BURAK_YENI1309[[#This Row],[BIRIM_FIYATLAR]])</f>
        <v>929.25000000000023</v>
      </c>
      <c r="N1397">
        <v>22.5</v>
      </c>
      <c r="O1397" t="s">
        <v>314</v>
      </c>
      <c r="P1397">
        <v>123.75</v>
      </c>
      <c r="Q1397" t="s">
        <v>178</v>
      </c>
    </row>
    <row r="1398" spans="1:17" x14ac:dyDescent="0.25">
      <c r="A1398" t="s">
        <v>1095</v>
      </c>
      <c r="B1398" t="s">
        <v>1096</v>
      </c>
      <c r="C1398" t="s">
        <v>175</v>
      </c>
      <c r="D1398" t="s">
        <v>894</v>
      </c>
      <c r="E1398" t="s">
        <v>895</v>
      </c>
      <c r="F1398">
        <v>0.05</v>
      </c>
      <c r="G1398" t="s">
        <v>185</v>
      </c>
      <c r="H1398">
        <v>0</v>
      </c>
      <c r="I1398">
        <v>0</v>
      </c>
      <c r="J1398" s="10">
        <v>1.3045120539345589E-15</v>
      </c>
      <c r="K1398" s="10">
        <f>SUMIFS(F:F,D:D,DST_123_ÜRETİM_İHTİYAÇ_RAPORU_BURAK_YENI1309[[#This Row],[ALT_KOD]])-(SUMIFS(H:H,D:D,DST_123_ÜRETİM_İHTİYAÇ_RAPORU_BURAK_YENI1309[[#This Row],[ALT_KOD]])+AVERAGEIFS(I:I,D:D,DST_123_ÜRETİM_İHTİYAÇ_RAPORU_BURAK_YENI1309[[#This Row],[ALT_KOD]])+AVERAGEIFS(L:L,D:D,DST_123_ÜRETİM_İHTİYAÇ_RAPORU_BURAK_YENI1309[[#This Row],[ALT_KOD]]))</f>
        <v>0.37</v>
      </c>
      <c r="L1398">
        <v>0</v>
      </c>
      <c r="M1398">
        <f>IF((DST_123_ÜRETİM_İHTİYAÇ_RAPORU_BURAK_YENI1309[[#This Row],[SATINALMA]]*DST_123_ÜRETİM_İHTİYAÇ_RAPORU_BURAK_YENI1309[[#This Row],[BIRIM_FIYATLAR]])&lt;1,VALUE("0"),DST_123_ÜRETİM_İHTİYAÇ_RAPORU_BURAK_YENI1309[[#This Row],[SATINALMA]]*DST_123_ÜRETİM_İHTİYAÇ_RAPORU_BURAK_YENI1309[[#This Row],[BIRIM_FIYATLAR]])</f>
        <v>52.725000000000001</v>
      </c>
      <c r="N1398">
        <v>142.5</v>
      </c>
      <c r="O1398" t="s">
        <v>226</v>
      </c>
      <c r="P1398">
        <v>7.125</v>
      </c>
      <c r="Q1398" t="s">
        <v>183</v>
      </c>
    </row>
    <row r="1399" spans="1:17" x14ac:dyDescent="0.25">
      <c r="A1399" t="s">
        <v>1143</v>
      </c>
      <c r="B1399" t="s">
        <v>1056</v>
      </c>
      <c r="C1399" t="s">
        <v>175</v>
      </c>
      <c r="D1399" t="s">
        <v>899</v>
      </c>
      <c r="E1399" t="s">
        <v>900</v>
      </c>
      <c r="F1399">
        <v>0.5</v>
      </c>
      <c r="G1399" t="s">
        <v>176</v>
      </c>
      <c r="H1399">
        <v>0</v>
      </c>
      <c r="I1399">
        <v>0</v>
      </c>
      <c r="J1399" s="10">
        <v>3.5527136788005009E-15</v>
      </c>
      <c r="K1399" s="10">
        <f>SUMIFS(F:F,D:D,DST_123_ÜRETİM_İHTİYAÇ_RAPORU_BURAK_YENI1309[[#This Row],[ALT_KOD]])-(SUMIFS(H:H,D:D,DST_123_ÜRETİM_İHTİYAÇ_RAPORU_BURAK_YENI1309[[#This Row],[ALT_KOD]])+AVERAGEIFS(I:I,D:D,DST_123_ÜRETİM_İHTİYAÇ_RAPORU_BURAK_YENI1309[[#This Row],[ALT_KOD]])+AVERAGEIFS(L:L,D:D,DST_123_ÜRETİM_İHTİYAÇ_RAPORU_BURAK_YENI1309[[#This Row],[ALT_KOD]]))</f>
        <v>-6.1</v>
      </c>
      <c r="L1399">
        <v>10</v>
      </c>
      <c r="M1399">
        <f>IF((DST_123_ÜRETİM_İHTİYAÇ_RAPORU_BURAK_YENI1309[[#This Row],[SATINALMA]]*DST_123_ÜRETİM_İHTİYAÇ_RAPORU_BURAK_YENI1309[[#This Row],[BIRIM_FIYATLAR]])&lt;1,VALUE("0"),DST_123_ÜRETİM_İHTİYAÇ_RAPORU_BURAK_YENI1309[[#This Row],[SATINALMA]]*DST_123_ÜRETİM_İHTİYAÇ_RAPORU_BURAK_YENI1309[[#This Row],[BIRIM_FIYATLAR]])</f>
        <v>0</v>
      </c>
      <c r="N1399">
        <v>255.55</v>
      </c>
      <c r="O1399" t="s">
        <v>901</v>
      </c>
      <c r="P1399">
        <v>127.77500000000001</v>
      </c>
      <c r="Q1399" t="s">
        <v>183</v>
      </c>
    </row>
    <row r="1400" spans="1:17" x14ac:dyDescent="0.25">
      <c r="A1400" t="s">
        <v>1099</v>
      </c>
      <c r="B1400" t="s">
        <v>1055</v>
      </c>
      <c r="C1400" t="s">
        <v>175</v>
      </c>
      <c r="D1400" t="s">
        <v>363</v>
      </c>
      <c r="E1400" t="s">
        <v>364</v>
      </c>
      <c r="F1400">
        <v>5.65</v>
      </c>
      <c r="G1400" t="s">
        <v>179</v>
      </c>
      <c r="H1400">
        <v>0</v>
      </c>
      <c r="I1400">
        <v>100</v>
      </c>
      <c r="J1400" s="10">
        <v>159.90000000000003</v>
      </c>
      <c r="K1400" s="10">
        <f>SUMIFS(F:F,D:D,DST_123_ÜRETİM_İHTİYAÇ_RAPORU_BURAK_YENI1309[[#This Row],[ALT_KOD]])-(SUMIFS(H:H,D:D,DST_123_ÜRETİM_İHTİYAÇ_RAPORU_BURAK_YENI1309[[#This Row],[ALT_KOD]])+AVERAGEIFS(I:I,D:D,DST_123_ÜRETİM_İHTİYAÇ_RAPORU_BURAK_YENI1309[[#This Row],[ALT_KOD]])+AVERAGEIFS(L:L,D:D,DST_123_ÜRETİM_İHTİYAÇ_RAPORU_BURAK_YENI1309[[#This Row],[ALT_KOD]]))</f>
        <v>41.300000000000011</v>
      </c>
      <c r="L1400">
        <v>0</v>
      </c>
      <c r="M1400">
        <f>IF((DST_123_ÜRETİM_İHTİYAÇ_RAPORU_BURAK_YENI1309[[#This Row],[SATINALMA]]*DST_123_ÜRETİM_İHTİYAÇ_RAPORU_BURAK_YENI1309[[#This Row],[BIRIM_FIYATLAR]])&lt;1,VALUE("0"),DST_123_ÜRETİM_İHTİYAÇ_RAPORU_BURAK_YENI1309[[#This Row],[SATINALMA]]*DST_123_ÜRETİM_İHTİYAÇ_RAPORU_BURAK_YENI1309[[#This Row],[BIRIM_FIYATLAR]])</f>
        <v>929.25000000000023</v>
      </c>
      <c r="N1400">
        <v>22.5</v>
      </c>
      <c r="O1400" t="s">
        <v>314</v>
      </c>
      <c r="P1400">
        <v>127.12500000000001</v>
      </c>
      <c r="Q1400" t="s">
        <v>178</v>
      </c>
    </row>
    <row r="1401" spans="1:17" x14ac:dyDescent="0.25">
      <c r="A1401" t="s">
        <v>1098</v>
      </c>
      <c r="B1401" t="s">
        <v>1096</v>
      </c>
      <c r="C1401" t="s">
        <v>175</v>
      </c>
      <c r="D1401" t="s">
        <v>902</v>
      </c>
      <c r="E1401" t="s">
        <v>903</v>
      </c>
      <c r="F1401">
        <v>4</v>
      </c>
      <c r="G1401" t="s">
        <v>176</v>
      </c>
      <c r="H1401">
        <v>0</v>
      </c>
      <c r="I1401">
        <v>102</v>
      </c>
      <c r="J1401" s="10">
        <v>0</v>
      </c>
      <c r="K1401" s="10">
        <f>SUMIFS(F:F,D:D,DST_123_ÜRETİM_İHTİYAÇ_RAPORU_BURAK_YENI1309[[#This Row],[ALT_KOD]])-(SUMIFS(H:H,D:D,DST_123_ÜRETİM_İHTİYAÇ_RAPORU_BURAK_YENI1309[[#This Row],[ALT_KOD]])+AVERAGEIFS(I:I,D:D,DST_123_ÜRETİM_İHTİYAÇ_RAPORU_BURAK_YENI1309[[#This Row],[ALT_KOD]])+AVERAGEIFS(L:L,D:D,DST_123_ÜRETİM_İHTİYAÇ_RAPORU_BURAK_YENI1309[[#This Row],[ALT_KOD]]))</f>
        <v>-90</v>
      </c>
      <c r="L1401">
        <v>0</v>
      </c>
      <c r="M1401">
        <f>IF((DST_123_ÜRETİM_İHTİYAÇ_RAPORU_BURAK_YENI1309[[#This Row],[SATINALMA]]*DST_123_ÜRETİM_İHTİYAÇ_RAPORU_BURAK_YENI1309[[#This Row],[BIRIM_FIYATLAR]])&lt;1,VALUE("0"),DST_123_ÜRETİM_İHTİYAÇ_RAPORU_BURAK_YENI1309[[#This Row],[SATINALMA]]*DST_123_ÜRETİM_İHTİYAÇ_RAPORU_BURAK_YENI1309[[#This Row],[BIRIM_FIYATLAR]])</f>
        <v>0</v>
      </c>
      <c r="N1401">
        <v>7</v>
      </c>
      <c r="P1401">
        <v>28</v>
      </c>
      <c r="Q1401" t="s">
        <v>180</v>
      </c>
    </row>
    <row r="1402" spans="1:17" x14ac:dyDescent="0.25">
      <c r="A1402" t="s">
        <v>1098</v>
      </c>
      <c r="B1402" t="s">
        <v>1096</v>
      </c>
      <c r="C1402" t="s">
        <v>175</v>
      </c>
      <c r="D1402" t="s">
        <v>894</v>
      </c>
      <c r="E1402" t="s">
        <v>895</v>
      </c>
      <c r="F1402">
        <v>0.05</v>
      </c>
      <c r="G1402" t="s">
        <v>185</v>
      </c>
      <c r="H1402">
        <v>0</v>
      </c>
      <c r="I1402">
        <v>0</v>
      </c>
      <c r="J1402" s="10">
        <v>1.3045120539345589E-15</v>
      </c>
      <c r="K1402" s="10">
        <f>SUMIFS(F:F,D:D,DST_123_ÜRETİM_İHTİYAÇ_RAPORU_BURAK_YENI1309[[#This Row],[ALT_KOD]])-(SUMIFS(H:H,D:D,DST_123_ÜRETİM_İHTİYAÇ_RAPORU_BURAK_YENI1309[[#This Row],[ALT_KOD]])+AVERAGEIFS(I:I,D:D,DST_123_ÜRETİM_İHTİYAÇ_RAPORU_BURAK_YENI1309[[#This Row],[ALT_KOD]])+AVERAGEIFS(L:L,D:D,DST_123_ÜRETİM_İHTİYAÇ_RAPORU_BURAK_YENI1309[[#This Row],[ALT_KOD]]))</f>
        <v>0.37</v>
      </c>
      <c r="L1402">
        <v>0</v>
      </c>
      <c r="M1402">
        <f>IF((DST_123_ÜRETİM_İHTİYAÇ_RAPORU_BURAK_YENI1309[[#This Row],[SATINALMA]]*DST_123_ÜRETİM_İHTİYAÇ_RAPORU_BURAK_YENI1309[[#This Row],[BIRIM_FIYATLAR]])&lt;1,VALUE("0"),DST_123_ÜRETİM_İHTİYAÇ_RAPORU_BURAK_YENI1309[[#This Row],[SATINALMA]]*DST_123_ÜRETİM_İHTİYAÇ_RAPORU_BURAK_YENI1309[[#This Row],[BIRIM_FIYATLAR]])</f>
        <v>52.725000000000001</v>
      </c>
      <c r="N1402">
        <v>142.5</v>
      </c>
      <c r="O1402" t="s">
        <v>226</v>
      </c>
      <c r="P1402">
        <v>7.125</v>
      </c>
      <c r="Q1402" t="s">
        <v>183</v>
      </c>
    </row>
    <row r="1403" spans="1:17" x14ac:dyDescent="0.25">
      <c r="A1403" t="s">
        <v>1098</v>
      </c>
      <c r="B1403" t="s">
        <v>1096</v>
      </c>
      <c r="C1403" t="s">
        <v>175</v>
      </c>
      <c r="D1403" t="s">
        <v>367</v>
      </c>
      <c r="E1403" t="s">
        <v>368</v>
      </c>
      <c r="F1403">
        <v>48</v>
      </c>
      <c r="G1403" t="s">
        <v>176</v>
      </c>
      <c r="H1403">
        <v>0</v>
      </c>
      <c r="I1403">
        <v>1000</v>
      </c>
      <c r="J1403" s="10">
        <v>396</v>
      </c>
      <c r="K1403" s="10">
        <f>SUMIFS(F:F,D:D,DST_123_ÜRETİM_İHTİYAÇ_RAPORU_BURAK_YENI1309[[#This Row],[ALT_KOD]])-(SUMIFS(H:H,D:D,DST_123_ÜRETİM_İHTİYAÇ_RAPORU_BURAK_YENI1309[[#This Row],[ALT_KOD]])+AVERAGEIFS(I:I,D:D,DST_123_ÜRETİM_İHTİYAÇ_RAPORU_BURAK_YENI1309[[#This Row],[ALT_KOD]])+AVERAGEIFS(L:L,D:D,DST_123_ÜRETİM_İHTİYAÇ_RAPORU_BURAK_YENI1309[[#This Row],[ALT_KOD]]))</f>
        <v>-91</v>
      </c>
      <c r="L1403">
        <v>0</v>
      </c>
      <c r="M1403">
        <f>IF((DST_123_ÜRETİM_İHTİYAÇ_RAPORU_BURAK_YENI1309[[#This Row],[SATINALMA]]*DST_123_ÜRETİM_İHTİYAÇ_RAPORU_BURAK_YENI1309[[#This Row],[BIRIM_FIYATLAR]])&lt;1,VALUE("0"),DST_123_ÜRETİM_İHTİYAÇ_RAPORU_BURAK_YENI1309[[#This Row],[SATINALMA]]*DST_123_ÜRETİM_İHTİYAÇ_RAPORU_BURAK_YENI1309[[#This Row],[BIRIM_FIYATLAR]])</f>
        <v>0</v>
      </c>
      <c r="N1403">
        <v>12.5</v>
      </c>
      <c r="O1403" t="s">
        <v>369</v>
      </c>
      <c r="P1403">
        <v>600</v>
      </c>
      <c r="Q1403" t="s">
        <v>180</v>
      </c>
    </row>
    <row r="1404" spans="1:17" x14ac:dyDescent="0.25">
      <c r="A1404" t="s">
        <v>1196</v>
      </c>
      <c r="B1404" t="s">
        <v>1197</v>
      </c>
      <c r="C1404" t="s">
        <v>175</v>
      </c>
      <c r="D1404" t="s">
        <v>899</v>
      </c>
      <c r="E1404" t="s">
        <v>900</v>
      </c>
      <c r="F1404">
        <v>1</v>
      </c>
      <c r="G1404" t="s">
        <v>176</v>
      </c>
      <c r="H1404">
        <v>0</v>
      </c>
      <c r="I1404">
        <v>0</v>
      </c>
      <c r="J1404" s="10">
        <v>3.5527136788005009E-15</v>
      </c>
      <c r="K1404" s="10">
        <f>SUMIFS(F:F,D:D,DST_123_ÜRETİM_İHTİYAÇ_RAPORU_BURAK_YENI1309[[#This Row],[ALT_KOD]])-(SUMIFS(H:H,D:D,DST_123_ÜRETİM_İHTİYAÇ_RAPORU_BURAK_YENI1309[[#This Row],[ALT_KOD]])+AVERAGEIFS(I:I,D:D,DST_123_ÜRETİM_İHTİYAÇ_RAPORU_BURAK_YENI1309[[#This Row],[ALT_KOD]])+AVERAGEIFS(L:L,D:D,DST_123_ÜRETİM_İHTİYAÇ_RAPORU_BURAK_YENI1309[[#This Row],[ALT_KOD]]))</f>
        <v>-6.1</v>
      </c>
      <c r="L1404">
        <v>10</v>
      </c>
      <c r="M1404">
        <f>IF((DST_123_ÜRETİM_İHTİYAÇ_RAPORU_BURAK_YENI1309[[#This Row],[SATINALMA]]*DST_123_ÜRETİM_İHTİYAÇ_RAPORU_BURAK_YENI1309[[#This Row],[BIRIM_FIYATLAR]])&lt;1,VALUE("0"),DST_123_ÜRETİM_İHTİYAÇ_RAPORU_BURAK_YENI1309[[#This Row],[SATINALMA]]*DST_123_ÜRETİM_İHTİYAÇ_RAPORU_BURAK_YENI1309[[#This Row],[BIRIM_FIYATLAR]])</f>
        <v>0</v>
      </c>
      <c r="N1404">
        <v>255.55</v>
      </c>
      <c r="O1404" t="s">
        <v>901</v>
      </c>
      <c r="P1404">
        <v>255.55</v>
      </c>
      <c r="Q1404" t="s">
        <v>183</v>
      </c>
    </row>
    <row r="1405" spans="1:17" x14ac:dyDescent="0.25">
      <c r="A1405" t="s">
        <v>1098</v>
      </c>
      <c r="B1405" t="s">
        <v>1096</v>
      </c>
      <c r="C1405" t="s">
        <v>175</v>
      </c>
      <c r="D1405" t="s">
        <v>899</v>
      </c>
      <c r="E1405" t="s">
        <v>900</v>
      </c>
      <c r="F1405">
        <v>0.5</v>
      </c>
      <c r="G1405" t="s">
        <v>176</v>
      </c>
      <c r="H1405">
        <v>0</v>
      </c>
      <c r="I1405">
        <v>0</v>
      </c>
      <c r="J1405" s="10">
        <v>3.5527136788005009E-15</v>
      </c>
      <c r="K1405" s="10">
        <f>SUMIFS(F:F,D:D,DST_123_ÜRETİM_İHTİYAÇ_RAPORU_BURAK_YENI1309[[#This Row],[ALT_KOD]])-(SUMIFS(H:H,D:D,DST_123_ÜRETİM_İHTİYAÇ_RAPORU_BURAK_YENI1309[[#This Row],[ALT_KOD]])+AVERAGEIFS(I:I,D:D,DST_123_ÜRETİM_İHTİYAÇ_RAPORU_BURAK_YENI1309[[#This Row],[ALT_KOD]])+AVERAGEIFS(L:L,D:D,DST_123_ÜRETİM_İHTİYAÇ_RAPORU_BURAK_YENI1309[[#This Row],[ALT_KOD]]))</f>
        <v>-6.1</v>
      </c>
      <c r="L1405">
        <v>10</v>
      </c>
      <c r="M1405">
        <f>IF((DST_123_ÜRETİM_İHTİYAÇ_RAPORU_BURAK_YENI1309[[#This Row],[SATINALMA]]*DST_123_ÜRETİM_İHTİYAÇ_RAPORU_BURAK_YENI1309[[#This Row],[BIRIM_FIYATLAR]])&lt;1,VALUE("0"),DST_123_ÜRETİM_İHTİYAÇ_RAPORU_BURAK_YENI1309[[#This Row],[SATINALMA]]*DST_123_ÜRETİM_İHTİYAÇ_RAPORU_BURAK_YENI1309[[#This Row],[BIRIM_FIYATLAR]])</f>
        <v>0</v>
      </c>
      <c r="N1405">
        <v>255.55</v>
      </c>
      <c r="O1405" t="s">
        <v>901</v>
      </c>
      <c r="P1405">
        <v>127.77500000000001</v>
      </c>
      <c r="Q1405" t="s">
        <v>183</v>
      </c>
    </row>
    <row r="1406" spans="1:17" x14ac:dyDescent="0.25">
      <c r="A1406" t="s">
        <v>1098</v>
      </c>
      <c r="B1406" t="s">
        <v>1096</v>
      </c>
      <c r="C1406" t="s">
        <v>175</v>
      </c>
      <c r="D1406" t="s">
        <v>544</v>
      </c>
      <c r="E1406" t="s">
        <v>545</v>
      </c>
      <c r="F1406">
        <v>4</v>
      </c>
      <c r="G1406" t="s">
        <v>176</v>
      </c>
      <c r="H1406">
        <v>0</v>
      </c>
      <c r="I1406">
        <v>1000</v>
      </c>
      <c r="J1406" s="10">
        <v>0</v>
      </c>
      <c r="K1406" s="10">
        <f>SUMIFS(F:F,D:D,DST_123_ÜRETİM_İHTİYAÇ_RAPORU_BURAK_YENI1309[[#This Row],[ALT_KOD]])-(SUMIFS(H:H,D:D,DST_123_ÜRETİM_İHTİYAÇ_RAPORU_BURAK_YENI1309[[#This Row],[ALT_KOD]])+AVERAGEIFS(I:I,D:D,DST_123_ÜRETİM_İHTİYAÇ_RAPORU_BURAK_YENI1309[[#This Row],[ALT_KOD]])+AVERAGEIFS(L:L,D:D,DST_123_ÜRETİM_İHTİYAÇ_RAPORU_BURAK_YENI1309[[#This Row],[ALT_KOD]]))</f>
        <v>-960</v>
      </c>
      <c r="L1406">
        <v>0</v>
      </c>
      <c r="M1406">
        <f>IF((DST_123_ÜRETİM_İHTİYAÇ_RAPORU_BURAK_YENI1309[[#This Row],[SATINALMA]]*DST_123_ÜRETİM_İHTİYAÇ_RAPORU_BURAK_YENI1309[[#This Row],[BIRIM_FIYATLAR]])&lt;1,VALUE("0"),DST_123_ÜRETİM_İHTİYAÇ_RAPORU_BURAK_YENI1309[[#This Row],[SATINALMA]]*DST_123_ÜRETİM_İHTİYAÇ_RAPORU_BURAK_YENI1309[[#This Row],[BIRIM_FIYATLAR]])</f>
        <v>0</v>
      </c>
      <c r="N1406">
        <v>0.64</v>
      </c>
      <c r="O1406" t="s">
        <v>240</v>
      </c>
      <c r="P1406">
        <v>2.56</v>
      </c>
      <c r="Q1406" t="s">
        <v>180</v>
      </c>
    </row>
    <row r="1407" spans="1:17" x14ac:dyDescent="0.25">
      <c r="A1407" t="s">
        <v>1098</v>
      </c>
      <c r="B1407" t="s">
        <v>1096</v>
      </c>
      <c r="C1407" t="s">
        <v>175</v>
      </c>
      <c r="D1407" t="s">
        <v>586</v>
      </c>
      <c r="E1407" t="s">
        <v>587</v>
      </c>
      <c r="F1407">
        <v>1</v>
      </c>
      <c r="G1407" t="s">
        <v>176</v>
      </c>
      <c r="H1407">
        <v>0</v>
      </c>
      <c r="I1407">
        <v>0</v>
      </c>
      <c r="J1407" s="10">
        <v>0</v>
      </c>
      <c r="K1407" s="10">
        <f>SUMIFS(F:F,D:D,DST_123_ÜRETİM_İHTİYAÇ_RAPORU_BURAK_YENI1309[[#This Row],[ALT_KOD]])-(SUMIFS(H:H,D:D,DST_123_ÜRETİM_İHTİYAÇ_RAPORU_BURAK_YENI1309[[#This Row],[ALT_KOD]])+AVERAGEIFS(I:I,D:D,DST_123_ÜRETİM_İHTİYAÇ_RAPORU_BURAK_YENI1309[[#This Row],[ALT_KOD]])+AVERAGEIFS(L:L,D:D,DST_123_ÜRETİM_İHTİYAÇ_RAPORU_BURAK_YENI1309[[#This Row],[ALT_KOD]]))</f>
        <v>9</v>
      </c>
      <c r="L1407">
        <v>0</v>
      </c>
      <c r="M1407">
        <f>IF((DST_123_ÜRETİM_İHTİYAÇ_RAPORU_BURAK_YENI1309[[#This Row],[SATINALMA]]*DST_123_ÜRETİM_İHTİYAÇ_RAPORU_BURAK_YENI1309[[#This Row],[BIRIM_FIYATLAR]])&lt;1,VALUE("0"),DST_123_ÜRETİM_İHTİYAÇ_RAPORU_BURAK_YENI1309[[#This Row],[SATINALMA]]*DST_123_ÜRETİM_İHTİYAÇ_RAPORU_BURAK_YENI1309[[#This Row],[BIRIM_FIYATLAR]])</f>
        <v>540</v>
      </c>
      <c r="N1407">
        <v>60</v>
      </c>
      <c r="O1407" t="s">
        <v>428</v>
      </c>
      <c r="P1407">
        <v>60</v>
      </c>
      <c r="Q1407" t="s">
        <v>177</v>
      </c>
    </row>
    <row r="1408" spans="1:17" x14ac:dyDescent="0.25">
      <c r="A1408" t="s">
        <v>1196</v>
      </c>
      <c r="B1408" t="s">
        <v>1197</v>
      </c>
      <c r="C1408" t="s">
        <v>175</v>
      </c>
      <c r="D1408" t="s">
        <v>155</v>
      </c>
      <c r="E1408" t="s">
        <v>156</v>
      </c>
      <c r="F1408">
        <v>0.01</v>
      </c>
      <c r="G1408" t="s">
        <v>179</v>
      </c>
      <c r="H1408">
        <v>0</v>
      </c>
      <c r="I1408">
        <v>200</v>
      </c>
      <c r="J1408" s="10">
        <v>74.999999999999957</v>
      </c>
      <c r="K1408" s="10">
        <f>SUMIFS(F:F,D:D,DST_123_ÜRETİM_İHTİYAÇ_RAPORU_BURAK_YENI1309[[#This Row],[ALT_KOD]])-(SUMIFS(H:H,D:D,DST_123_ÜRETİM_İHTİYAÇ_RAPORU_BURAK_YENI1309[[#This Row],[ALT_KOD]])+AVERAGEIFS(I:I,D:D,DST_123_ÜRETİM_İHTİYAÇ_RAPORU_BURAK_YENI1309[[#This Row],[ALT_KOD]])+AVERAGEIFS(L:L,D:D,DST_123_ÜRETİM_İHTİYAÇ_RAPORU_BURAK_YENI1309[[#This Row],[ALT_KOD]]))</f>
        <v>-198.95</v>
      </c>
      <c r="L1408">
        <v>0</v>
      </c>
      <c r="M1408">
        <f>IF((DST_123_ÜRETİM_İHTİYAÇ_RAPORU_BURAK_YENI1309[[#This Row],[SATINALMA]]*DST_123_ÜRETİM_İHTİYAÇ_RAPORU_BURAK_YENI1309[[#This Row],[BIRIM_FIYATLAR]])&lt;1,VALUE("0"),DST_123_ÜRETİM_İHTİYAÇ_RAPORU_BURAK_YENI1309[[#This Row],[SATINALMA]]*DST_123_ÜRETİM_İHTİYAÇ_RAPORU_BURAK_YENI1309[[#This Row],[BIRIM_FIYATLAR]])</f>
        <v>0</v>
      </c>
      <c r="N1408">
        <v>7.4</v>
      </c>
      <c r="O1408" t="s">
        <v>635</v>
      </c>
      <c r="P1408">
        <v>7.400000000000001E-2</v>
      </c>
      <c r="Q1408" t="s">
        <v>221</v>
      </c>
    </row>
    <row r="1409" spans="1:17" x14ac:dyDescent="0.25">
      <c r="A1409" t="s">
        <v>1142</v>
      </c>
      <c r="B1409" t="s">
        <v>1056</v>
      </c>
      <c r="C1409" t="s">
        <v>175</v>
      </c>
      <c r="D1409" t="s">
        <v>363</v>
      </c>
      <c r="E1409" t="s">
        <v>364</v>
      </c>
      <c r="F1409">
        <v>7.5</v>
      </c>
      <c r="G1409" t="s">
        <v>179</v>
      </c>
      <c r="H1409">
        <v>0</v>
      </c>
      <c r="I1409">
        <v>100</v>
      </c>
      <c r="J1409" s="10">
        <v>159.90000000000003</v>
      </c>
      <c r="K1409" s="10">
        <f>SUMIFS(F:F,D:D,DST_123_ÜRETİM_İHTİYAÇ_RAPORU_BURAK_YENI1309[[#This Row],[ALT_KOD]])-(SUMIFS(H:H,D:D,DST_123_ÜRETİM_İHTİYAÇ_RAPORU_BURAK_YENI1309[[#This Row],[ALT_KOD]])+AVERAGEIFS(I:I,D:D,DST_123_ÜRETİM_İHTİYAÇ_RAPORU_BURAK_YENI1309[[#This Row],[ALT_KOD]])+AVERAGEIFS(L:L,D:D,DST_123_ÜRETİM_İHTİYAÇ_RAPORU_BURAK_YENI1309[[#This Row],[ALT_KOD]]))</f>
        <v>41.300000000000011</v>
      </c>
      <c r="L1409">
        <v>0</v>
      </c>
      <c r="M1409">
        <f>IF((DST_123_ÜRETİM_İHTİYAÇ_RAPORU_BURAK_YENI1309[[#This Row],[SATINALMA]]*DST_123_ÜRETİM_İHTİYAÇ_RAPORU_BURAK_YENI1309[[#This Row],[BIRIM_FIYATLAR]])&lt;1,VALUE("0"),DST_123_ÜRETİM_İHTİYAÇ_RAPORU_BURAK_YENI1309[[#This Row],[SATINALMA]]*DST_123_ÜRETİM_İHTİYAÇ_RAPORU_BURAK_YENI1309[[#This Row],[BIRIM_FIYATLAR]])</f>
        <v>929.25000000000023</v>
      </c>
      <c r="N1409">
        <v>22.5</v>
      </c>
      <c r="O1409" t="s">
        <v>314</v>
      </c>
      <c r="P1409">
        <v>168.75</v>
      </c>
      <c r="Q1409" t="s">
        <v>178</v>
      </c>
    </row>
    <row r="1410" spans="1:17" x14ac:dyDescent="0.25">
      <c r="A1410" t="s">
        <v>1095</v>
      </c>
      <c r="B1410" t="s">
        <v>1096</v>
      </c>
      <c r="C1410" t="s">
        <v>175</v>
      </c>
      <c r="D1410" t="s">
        <v>902</v>
      </c>
      <c r="E1410" t="s">
        <v>903</v>
      </c>
      <c r="F1410">
        <v>4</v>
      </c>
      <c r="G1410" t="s">
        <v>176</v>
      </c>
      <c r="H1410">
        <v>0</v>
      </c>
      <c r="I1410">
        <v>102</v>
      </c>
      <c r="J1410" s="10">
        <v>0</v>
      </c>
      <c r="K1410" s="10">
        <f>SUMIFS(F:F,D:D,DST_123_ÜRETİM_İHTİYAÇ_RAPORU_BURAK_YENI1309[[#This Row],[ALT_KOD]])-(SUMIFS(H:H,D:D,DST_123_ÜRETİM_İHTİYAÇ_RAPORU_BURAK_YENI1309[[#This Row],[ALT_KOD]])+AVERAGEIFS(I:I,D:D,DST_123_ÜRETİM_İHTİYAÇ_RAPORU_BURAK_YENI1309[[#This Row],[ALT_KOD]])+AVERAGEIFS(L:L,D:D,DST_123_ÜRETİM_İHTİYAÇ_RAPORU_BURAK_YENI1309[[#This Row],[ALT_KOD]]))</f>
        <v>-90</v>
      </c>
      <c r="L1410">
        <v>0</v>
      </c>
      <c r="M1410">
        <f>IF((DST_123_ÜRETİM_İHTİYAÇ_RAPORU_BURAK_YENI1309[[#This Row],[SATINALMA]]*DST_123_ÜRETİM_İHTİYAÇ_RAPORU_BURAK_YENI1309[[#This Row],[BIRIM_FIYATLAR]])&lt;1,VALUE("0"),DST_123_ÜRETİM_İHTİYAÇ_RAPORU_BURAK_YENI1309[[#This Row],[SATINALMA]]*DST_123_ÜRETİM_İHTİYAÇ_RAPORU_BURAK_YENI1309[[#This Row],[BIRIM_FIYATLAR]])</f>
        <v>0</v>
      </c>
      <c r="N1410">
        <v>7</v>
      </c>
      <c r="P1410">
        <v>28</v>
      </c>
      <c r="Q1410" t="s">
        <v>180</v>
      </c>
    </row>
    <row r="1411" spans="1:17" x14ac:dyDescent="0.25">
      <c r="A1411" t="s">
        <v>1143</v>
      </c>
      <c r="B1411" t="s">
        <v>1056</v>
      </c>
      <c r="C1411" t="s">
        <v>175</v>
      </c>
      <c r="D1411" t="s">
        <v>894</v>
      </c>
      <c r="E1411" t="s">
        <v>895</v>
      </c>
      <c r="F1411">
        <v>0.05</v>
      </c>
      <c r="G1411" t="s">
        <v>185</v>
      </c>
      <c r="H1411">
        <v>0</v>
      </c>
      <c r="I1411">
        <v>0</v>
      </c>
      <c r="J1411" s="10">
        <v>1.3045120539345589E-15</v>
      </c>
      <c r="K1411" s="10">
        <f>SUMIFS(F:F,D:D,DST_123_ÜRETİM_İHTİYAÇ_RAPORU_BURAK_YENI1309[[#This Row],[ALT_KOD]])-(SUMIFS(H:H,D:D,DST_123_ÜRETİM_İHTİYAÇ_RAPORU_BURAK_YENI1309[[#This Row],[ALT_KOD]])+AVERAGEIFS(I:I,D:D,DST_123_ÜRETİM_İHTİYAÇ_RAPORU_BURAK_YENI1309[[#This Row],[ALT_KOD]])+AVERAGEIFS(L:L,D:D,DST_123_ÜRETİM_İHTİYAÇ_RAPORU_BURAK_YENI1309[[#This Row],[ALT_KOD]]))</f>
        <v>0.37</v>
      </c>
      <c r="L1411">
        <v>0</v>
      </c>
      <c r="M1411">
        <f>IF((DST_123_ÜRETİM_İHTİYAÇ_RAPORU_BURAK_YENI1309[[#This Row],[SATINALMA]]*DST_123_ÜRETİM_İHTİYAÇ_RAPORU_BURAK_YENI1309[[#This Row],[BIRIM_FIYATLAR]])&lt;1,VALUE("0"),DST_123_ÜRETİM_İHTİYAÇ_RAPORU_BURAK_YENI1309[[#This Row],[SATINALMA]]*DST_123_ÜRETİM_İHTİYAÇ_RAPORU_BURAK_YENI1309[[#This Row],[BIRIM_FIYATLAR]])</f>
        <v>52.725000000000001</v>
      </c>
      <c r="N1411">
        <v>142.5</v>
      </c>
      <c r="O1411" t="s">
        <v>226</v>
      </c>
      <c r="P1411">
        <v>7.125</v>
      </c>
      <c r="Q1411" t="s">
        <v>183</v>
      </c>
    </row>
    <row r="1412" spans="1:17" x14ac:dyDescent="0.25">
      <c r="A1412" t="s">
        <v>1095</v>
      </c>
      <c r="B1412" t="s">
        <v>1096</v>
      </c>
      <c r="C1412" t="s">
        <v>175</v>
      </c>
      <c r="D1412" t="s">
        <v>367</v>
      </c>
      <c r="E1412" t="s">
        <v>368</v>
      </c>
      <c r="F1412">
        <v>48</v>
      </c>
      <c r="G1412" t="s">
        <v>176</v>
      </c>
      <c r="H1412">
        <v>0</v>
      </c>
      <c r="I1412">
        <v>1000</v>
      </c>
      <c r="J1412" s="10">
        <v>396</v>
      </c>
      <c r="K1412" s="10">
        <f>SUMIFS(F:F,D:D,DST_123_ÜRETİM_İHTİYAÇ_RAPORU_BURAK_YENI1309[[#This Row],[ALT_KOD]])-(SUMIFS(H:H,D:D,DST_123_ÜRETİM_İHTİYAÇ_RAPORU_BURAK_YENI1309[[#This Row],[ALT_KOD]])+AVERAGEIFS(I:I,D:D,DST_123_ÜRETİM_İHTİYAÇ_RAPORU_BURAK_YENI1309[[#This Row],[ALT_KOD]])+AVERAGEIFS(L:L,D:D,DST_123_ÜRETİM_İHTİYAÇ_RAPORU_BURAK_YENI1309[[#This Row],[ALT_KOD]]))</f>
        <v>-91</v>
      </c>
      <c r="L1412">
        <v>0</v>
      </c>
      <c r="M1412">
        <f>IF((DST_123_ÜRETİM_İHTİYAÇ_RAPORU_BURAK_YENI1309[[#This Row],[SATINALMA]]*DST_123_ÜRETİM_İHTİYAÇ_RAPORU_BURAK_YENI1309[[#This Row],[BIRIM_FIYATLAR]])&lt;1,VALUE("0"),DST_123_ÜRETİM_İHTİYAÇ_RAPORU_BURAK_YENI1309[[#This Row],[SATINALMA]]*DST_123_ÜRETİM_İHTİYAÇ_RAPORU_BURAK_YENI1309[[#This Row],[BIRIM_FIYATLAR]])</f>
        <v>0</v>
      </c>
      <c r="N1412">
        <v>12.5</v>
      </c>
      <c r="O1412" t="s">
        <v>369</v>
      </c>
      <c r="P1412">
        <v>600</v>
      </c>
      <c r="Q1412" t="s">
        <v>180</v>
      </c>
    </row>
    <row r="1413" spans="1:17" x14ac:dyDescent="0.25">
      <c r="A1413" t="s">
        <v>1095</v>
      </c>
      <c r="B1413" t="s">
        <v>1096</v>
      </c>
      <c r="C1413" t="s">
        <v>175</v>
      </c>
      <c r="D1413" t="s">
        <v>544</v>
      </c>
      <c r="E1413" t="s">
        <v>545</v>
      </c>
      <c r="F1413">
        <v>4</v>
      </c>
      <c r="G1413" t="s">
        <v>176</v>
      </c>
      <c r="H1413">
        <v>0</v>
      </c>
      <c r="I1413">
        <v>1000</v>
      </c>
      <c r="J1413" s="10">
        <v>0</v>
      </c>
      <c r="K1413" s="10">
        <f>SUMIFS(F:F,D:D,DST_123_ÜRETİM_İHTİYAÇ_RAPORU_BURAK_YENI1309[[#This Row],[ALT_KOD]])-(SUMIFS(H:H,D:D,DST_123_ÜRETİM_İHTİYAÇ_RAPORU_BURAK_YENI1309[[#This Row],[ALT_KOD]])+AVERAGEIFS(I:I,D:D,DST_123_ÜRETİM_İHTİYAÇ_RAPORU_BURAK_YENI1309[[#This Row],[ALT_KOD]])+AVERAGEIFS(L:L,D:D,DST_123_ÜRETİM_İHTİYAÇ_RAPORU_BURAK_YENI1309[[#This Row],[ALT_KOD]]))</f>
        <v>-960</v>
      </c>
      <c r="L1413">
        <v>0</v>
      </c>
      <c r="M1413">
        <f>IF((DST_123_ÜRETİM_İHTİYAÇ_RAPORU_BURAK_YENI1309[[#This Row],[SATINALMA]]*DST_123_ÜRETİM_İHTİYAÇ_RAPORU_BURAK_YENI1309[[#This Row],[BIRIM_FIYATLAR]])&lt;1,VALUE("0"),DST_123_ÜRETİM_İHTİYAÇ_RAPORU_BURAK_YENI1309[[#This Row],[SATINALMA]]*DST_123_ÜRETİM_İHTİYAÇ_RAPORU_BURAK_YENI1309[[#This Row],[BIRIM_FIYATLAR]])</f>
        <v>0</v>
      </c>
      <c r="N1413">
        <v>0.64</v>
      </c>
      <c r="O1413" t="s">
        <v>240</v>
      </c>
      <c r="P1413">
        <v>2.56</v>
      </c>
      <c r="Q1413" t="s">
        <v>180</v>
      </c>
    </row>
    <row r="1414" spans="1:17" x14ac:dyDescent="0.25">
      <c r="A1414" t="s">
        <v>1097</v>
      </c>
      <c r="B1414" t="s">
        <v>1055</v>
      </c>
      <c r="C1414" t="s">
        <v>175</v>
      </c>
      <c r="D1414" t="s">
        <v>544</v>
      </c>
      <c r="E1414" t="s">
        <v>545</v>
      </c>
      <c r="F1414">
        <v>4</v>
      </c>
      <c r="G1414" t="s">
        <v>176</v>
      </c>
      <c r="H1414">
        <v>0</v>
      </c>
      <c r="I1414">
        <v>1000</v>
      </c>
      <c r="J1414" s="10">
        <v>0</v>
      </c>
      <c r="K1414" s="10">
        <f>SUMIFS(F:F,D:D,DST_123_ÜRETİM_İHTİYAÇ_RAPORU_BURAK_YENI1309[[#This Row],[ALT_KOD]])-(SUMIFS(H:H,D:D,DST_123_ÜRETİM_İHTİYAÇ_RAPORU_BURAK_YENI1309[[#This Row],[ALT_KOD]])+AVERAGEIFS(I:I,D:D,DST_123_ÜRETİM_İHTİYAÇ_RAPORU_BURAK_YENI1309[[#This Row],[ALT_KOD]])+AVERAGEIFS(L:L,D:D,DST_123_ÜRETİM_İHTİYAÇ_RAPORU_BURAK_YENI1309[[#This Row],[ALT_KOD]]))</f>
        <v>-960</v>
      </c>
      <c r="L1414">
        <v>0</v>
      </c>
      <c r="M1414">
        <f>IF((DST_123_ÜRETİM_İHTİYAÇ_RAPORU_BURAK_YENI1309[[#This Row],[SATINALMA]]*DST_123_ÜRETİM_İHTİYAÇ_RAPORU_BURAK_YENI1309[[#This Row],[BIRIM_FIYATLAR]])&lt;1,VALUE("0"),DST_123_ÜRETİM_İHTİYAÇ_RAPORU_BURAK_YENI1309[[#This Row],[SATINALMA]]*DST_123_ÜRETİM_İHTİYAÇ_RAPORU_BURAK_YENI1309[[#This Row],[BIRIM_FIYATLAR]])</f>
        <v>0</v>
      </c>
      <c r="N1414">
        <v>0.64</v>
      </c>
      <c r="O1414" t="s">
        <v>240</v>
      </c>
      <c r="P1414">
        <v>2.56</v>
      </c>
      <c r="Q1414" t="s">
        <v>180</v>
      </c>
    </row>
    <row r="1415" spans="1:17" x14ac:dyDescent="0.25">
      <c r="A1415" t="s">
        <v>1147</v>
      </c>
      <c r="B1415" t="s">
        <v>1145</v>
      </c>
      <c r="C1415" t="s">
        <v>175</v>
      </c>
      <c r="D1415" t="s">
        <v>54</v>
      </c>
      <c r="E1415" t="s">
        <v>55</v>
      </c>
      <c r="F1415">
        <v>1</v>
      </c>
      <c r="G1415" t="s">
        <v>176</v>
      </c>
      <c r="H1415">
        <v>0</v>
      </c>
      <c r="I1415">
        <v>9</v>
      </c>
      <c r="J1415" s="10">
        <v>13</v>
      </c>
      <c r="K1415" s="10">
        <f>SUMIFS(F:F,D:D,DST_123_ÜRETİM_İHTİYAÇ_RAPORU_BURAK_YENI1309[[#This Row],[ALT_KOD]])-(SUMIFS(H:H,D:D,DST_123_ÜRETİM_İHTİYAÇ_RAPORU_BURAK_YENI1309[[#This Row],[ALT_KOD]])+AVERAGEIFS(I:I,D:D,DST_123_ÜRETİM_İHTİYAÇ_RAPORU_BURAK_YENI1309[[#This Row],[ALT_KOD]])+AVERAGEIFS(L:L,D:D,DST_123_ÜRETİM_İHTİYAÇ_RAPORU_BURAK_YENI1309[[#This Row],[ALT_KOD]]))</f>
        <v>-1</v>
      </c>
      <c r="L1415">
        <v>4</v>
      </c>
      <c r="M1415">
        <f>IF((DST_123_ÜRETİM_İHTİYAÇ_RAPORU_BURAK_YENI1309[[#This Row],[SATINALMA]]*DST_123_ÜRETİM_İHTİYAÇ_RAPORU_BURAK_YENI1309[[#This Row],[BIRIM_FIYATLAR]])&lt;1,VALUE("0"),DST_123_ÜRETİM_İHTİYAÇ_RAPORU_BURAK_YENI1309[[#This Row],[SATINALMA]]*DST_123_ÜRETİM_İHTİYAÇ_RAPORU_BURAK_YENI1309[[#This Row],[BIRIM_FIYATLAR]])</f>
        <v>0</v>
      </c>
      <c r="N1415">
        <v>1600</v>
      </c>
      <c r="O1415" t="s">
        <v>217</v>
      </c>
      <c r="P1415">
        <v>1600</v>
      </c>
      <c r="Q1415" t="s">
        <v>221</v>
      </c>
    </row>
    <row r="1416" spans="1:17" x14ac:dyDescent="0.25">
      <c r="A1416" t="s">
        <v>1150</v>
      </c>
      <c r="B1416" t="s">
        <v>1145</v>
      </c>
      <c r="C1416" t="s">
        <v>175</v>
      </c>
      <c r="D1416" t="s">
        <v>0</v>
      </c>
      <c r="E1416" t="s">
        <v>1</v>
      </c>
      <c r="F1416">
        <v>2</v>
      </c>
      <c r="G1416" t="s">
        <v>176</v>
      </c>
      <c r="H1416">
        <v>0</v>
      </c>
      <c r="I1416">
        <v>67</v>
      </c>
      <c r="J1416" s="10">
        <v>24</v>
      </c>
      <c r="K1416" s="10">
        <f>SUMIFS(F:F,D:D,DST_123_ÜRETİM_İHTİYAÇ_RAPORU_BURAK_YENI1309[[#This Row],[ALT_KOD]])-(SUMIFS(H:H,D:D,DST_123_ÜRETİM_İHTİYAÇ_RAPORU_BURAK_YENI1309[[#This Row],[ALT_KOD]])+AVERAGEIFS(I:I,D:D,DST_123_ÜRETİM_İHTİYAÇ_RAPORU_BURAK_YENI1309[[#This Row],[ALT_KOD]])+AVERAGEIFS(L:L,D:D,DST_123_ÜRETİM_İHTİYAÇ_RAPORU_BURAK_YENI1309[[#This Row],[ALT_KOD]]))</f>
        <v>-38</v>
      </c>
      <c r="L1416">
        <v>0</v>
      </c>
      <c r="M1416">
        <f>IF((DST_123_ÜRETİM_İHTİYAÇ_RAPORU_BURAK_YENI1309[[#This Row],[SATINALMA]]*DST_123_ÜRETİM_İHTİYAÇ_RAPORU_BURAK_YENI1309[[#This Row],[BIRIM_FIYATLAR]])&lt;1,VALUE("0"),DST_123_ÜRETİM_İHTİYAÇ_RAPORU_BURAK_YENI1309[[#This Row],[SATINALMA]]*DST_123_ÜRETİM_İHTİYAÇ_RAPORU_BURAK_YENI1309[[#This Row],[BIRIM_FIYATLAR]])</f>
        <v>0</v>
      </c>
      <c r="N1416">
        <v>640</v>
      </c>
      <c r="O1416" t="s">
        <v>220</v>
      </c>
      <c r="P1416">
        <v>1280</v>
      </c>
      <c r="Q1416" t="s">
        <v>221</v>
      </c>
    </row>
    <row r="1417" spans="1:17" x14ac:dyDescent="0.25">
      <c r="A1417" t="s">
        <v>1150</v>
      </c>
      <c r="B1417" t="s">
        <v>1145</v>
      </c>
      <c r="C1417" t="s">
        <v>175</v>
      </c>
      <c r="D1417" t="s">
        <v>54</v>
      </c>
      <c r="E1417" t="s">
        <v>55</v>
      </c>
      <c r="F1417">
        <v>1</v>
      </c>
      <c r="G1417" t="s">
        <v>176</v>
      </c>
      <c r="H1417">
        <v>0</v>
      </c>
      <c r="I1417">
        <v>9</v>
      </c>
      <c r="J1417" s="10">
        <v>13</v>
      </c>
      <c r="K1417" s="10">
        <f>SUMIFS(F:F,D:D,DST_123_ÜRETİM_İHTİYAÇ_RAPORU_BURAK_YENI1309[[#This Row],[ALT_KOD]])-(SUMIFS(H:H,D:D,DST_123_ÜRETİM_İHTİYAÇ_RAPORU_BURAK_YENI1309[[#This Row],[ALT_KOD]])+AVERAGEIFS(I:I,D:D,DST_123_ÜRETİM_İHTİYAÇ_RAPORU_BURAK_YENI1309[[#This Row],[ALT_KOD]])+AVERAGEIFS(L:L,D:D,DST_123_ÜRETİM_İHTİYAÇ_RAPORU_BURAK_YENI1309[[#This Row],[ALT_KOD]]))</f>
        <v>-1</v>
      </c>
      <c r="L1417">
        <v>4</v>
      </c>
      <c r="M1417">
        <f>IF((DST_123_ÜRETİM_İHTİYAÇ_RAPORU_BURAK_YENI1309[[#This Row],[SATINALMA]]*DST_123_ÜRETİM_İHTİYAÇ_RAPORU_BURAK_YENI1309[[#This Row],[BIRIM_FIYATLAR]])&lt;1,VALUE("0"),DST_123_ÜRETİM_İHTİYAÇ_RAPORU_BURAK_YENI1309[[#This Row],[SATINALMA]]*DST_123_ÜRETİM_İHTİYAÇ_RAPORU_BURAK_YENI1309[[#This Row],[BIRIM_FIYATLAR]])</f>
        <v>0</v>
      </c>
      <c r="N1417">
        <v>1600</v>
      </c>
      <c r="O1417" t="s">
        <v>217</v>
      </c>
      <c r="P1417">
        <v>1600</v>
      </c>
      <c r="Q1417" t="s">
        <v>221</v>
      </c>
    </row>
    <row r="1418" spans="1:17" x14ac:dyDescent="0.25">
      <c r="A1418" t="s">
        <v>1150</v>
      </c>
      <c r="B1418" t="s">
        <v>1145</v>
      </c>
      <c r="C1418" t="s">
        <v>175</v>
      </c>
      <c r="D1418" t="s">
        <v>58</v>
      </c>
      <c r="E1418" t="s">
        <v>59</v>
      </c>
      <c r="F1418">
        <v>1</v>
      </c>
      <c r="G1418" t="s">
        <v>176</v>
      </c>
      <c r="H1418">
        <v>0</v>
      </c>
      <c r="I1418">
        <v>17</v>
      </c>
      <c r="J1418" s="10">
        <v>11</v>
      </c>
      <c r="K1418" s="10">
        <f>SUMIFS(F:F,D:D,DST_123_ÜRETİM_İHTİYAÇ_RAPORU_BURAK_YENI1309[[#This Row],[ALT_KOD]])-(SUMIFS(H:H,D:D,DST_123_ÜRETİM_İHTİYAÇ_RAPORU_BURAK_YENI1309[[#This Row],[ALT_KOD]])+AVERAGEIFS(I:I,D:D,DST_123_ÜRETİM_İHTİYAÇ_RAPORU_BURAK_YENI1309[[#This Row],[ALT_KOD]])+AVERAGEIFS(L:L,D:D,DST_123_ÜRETİM_İHTİYAÇ_RAPORU_BURAK_YENI1309[[#This Row],[ALT_KOD]]))</f>
        <v>-5</v>
      </c>
      <c r="L1418">
        <v>0</v>
      </c>
      <c r="M1418">
        <f>IF((DST_123_ÜRETİM_İHTİYAÇ_RAPORU_BURAK_YENI1309[[#This Row],[SATINALMA]]*DST_123_ÜRETİM_İHTİYAÇ_RAPORU_BURAK_YENI1309[[#This Row],[BIRIM_FIYATLAR]])&lt;1,VALUE("0"),DST_123_ÜRETİM_İHTİYAÇ_RAPORU_BURAK_YENI1309[[#This Row],[SATINALMA]]*DST_123_ÜRETİM_İHTİYAÇ_RAPORU_BURAK_YENI1309[[#This Row],[BIRIM_FIYATLAR]])</f>
        <v>0</v>
      </c>
      <c r="N1418">
        <v>1094.4000000000001</v>
      </c>
      <c r="O1418" t="s">
        <v>826</v>
      </c>
      <c r="P1418">
        <v>1094.4000000000001</v>
      </c>
      <c r="Q1418" t="s">
        <v>221</v>
      </c>
    </row>
    <row r="1419" spans="1:17" x14ac:dyDescent="0.25">
      <c r="A1419" t="s">
        <v>1150</v>
      </c>
      <c r="B1419" t="s">
        <v>1145</v>
      </c>
      <c r="C1419" t="s">
        <v>175</v>
      </c>
      <c r="D1419" t="s">
        <v>376</v>
      </c>
      <c r="E1419" t="s">
        <v>377</v>
      </c>
      <c r="F1419">
        <v>3</v>
      </c>
      <c r="G1419" t="s">
        <v>176</v>
      </c>
      <c r="H1419">
        <v>0</v>
      </c>
      <c r="I1419">
        <v>38</v>
      </c>
      <c r="J1419" s="10">
        <v>25</v>
      </c>
      <c r="K1419" s="10">
        <f>SUMIFS(F:F,D:D,DST_123_ÜRETİM_İHTİYAÇ_RAPORU_BURAK_YENI1309[[#This Row],[ALT_KOD]])-(SUMIFS(H:H,D:D,DST_123_ÜRETİM_İHTİYAÇ_RAPORU_BURAK_YENI1309[[#This Row],[ALT_KOD]])+AVERAGEIFS(I:I,D:D,DST_123_ÜRETİM_İHTİYAÇ_RAPORU_BURAK_YENI1309[[#This Row],[ALT_KOD]])+AVERAGEIFS(L:L,D:D,DST_123_ÜRETİM_İHTİYAÇ_RAPORU_BURAK_YENI1309[[#This Row],[ALT_KOD]]))</f>
        <v>-2</v>
      </c>
      <c r="L1419">
        <v>20</v>
      </c>
      <c r="M1419">
        <f>IF((DST_123_ÜRETİM_İHTİYAÇ_RAPORU_BURAK_YENI1309[[#This Row],[SATINALMA]]*DST_123_ÜRETİM_İHTİYAÇ_RAPORU_BURAK_YENI1309[[#This Row],[BIRIM_FIYATLAR]])&lt;1,VALUE("0"),DST_123_ÜRETİM_İHTİYAÇ_RAPORU_BURAK_YENI1309[[#This Row],[SATINALMA]]*DST_123_ÜRETİM_İHTİYAÇ_RAPORU_BURAK_YENI1309[[#This Row],[BIRIM_FIYATLAR]])</f>
        <v>0</v>
      </c>
      <c r="N1419">
        <v>245</v>
      </c>
      <c r="O1419" t="s">
        <v>821</v>
      </c>
      <c r="P1419">
        <v>735</v>
      </c>
      <c r="Q1419" t="s">
        <v>178</v>
      </c>
    </row>
    <row r="1420" spans="1:17" x14ac:dyDescent="0.25">
      <c r="A1420" t="s">
        <v>1147</v>
      </c>
      <c r="B1420" t="s">
        <v>1145</v>
      </c>
      <c r="C1420" t="s">
        <v>175</v>
      </c>
      <c r="D1420" t="s">
        <v>0</v>
      </c>
      <c r="E1420" t="s">
        <v>1</v>
      </c>
      <c r="F1420">
        <v>2</v>
      </c>
      <c r="G1420" t="s">
        <v>176</v>
      </c>
      <c r="H1420">
        <v>0</v>
      </c>
      <c r="I1420">
        <v>67</v>
      </c>
      <c r="J1420" s="10">
        <v>24</v>
      </c>
      <c r="K1420" s="10">
        <f>SUMIFS(F:F,D:D,DST_123_ÜRETİM_İHTİYAÇ_RAPORU_BURAK_YENI1309[[#This Row],[ALT_KOD]])-(SUMIFS(H:H,D:D,DST_123_ÜRETİM_İHTİYAÇ_RAPORU_BURAK_YENI1309[[#This Row],[ALT_KOD]])+AVERAGEIFS(I:I,D:D,DST_123_ÜRETİM_İHTİYAÇ_RAPORU_BURAK_YENI1309[[#This Row],[ALT_KOD]])+AVERAGEIFS(L:L,D:D,DST_123_ÜRETİM_İHTİYAÇ_RAPORU_BURAK_YENI1309[[#This Row],[ALT_KOD]]))</f>
        <v>-38</v>
      </c>
      <c r="L1420">
        <v>0</v>
      </c>
      <c r="M1420">
        <f>IF((DST_123_ÜRETİM_İHTİYAÇ_RAPORU_BURAK_YENI1309[[#This Row],[SATINALMA]]*DST_123_ÜRETİM_İHTİYAÇ_RAPORU_BURAK_YENI1309[[#This Row],[BIRIM_FIYATLAR]])&lt;1,VALUE("0"),DST_123_ÜRETİM_İHTİYAÇ_RAPORU_BURAK_YENI1309[[#This Row],[SATINALMA]]*DST_123_ÜRETİM_İHTİYAÇ_RAPORU_BURAK_YENI1309[[#This Row],[BIRIM_FIYATLAR]])</f>
        <v>0</v>
      </c>
      <c r="N1420">
        <v>640</v>
      </c>
      <c r="O1420" t="s">
        <v>220</v>
      </c>
      <c r="P1420">
        <v>1280</v>
      </c>
      <c r="Q1420" t="s">
        <v>221</v>
      </c>
    </row>
    <row r="1421" spans="1:17" x14ac:dyDescent="0.25">
      <c r="A1421" t="s">
        <v>1148</v>
      </c>
      <c r="B1421" t="s">
        <v>1056</v>
      </c>
      <c r="C1421" t="s">
        <v>175</v>
      </c>
      <c r="D1421" t="s">
        <v>0</v>
      </c>
      <c r="E1421" t="s">
        <v>1</v>
      </c>
      <c r="F1421">
        <v>2</v>
      </c>
      <c r="G1421" t="s">
        <v>176</v>
      </c>
      <c r="H1421">
        <v>0</v>
      </c>
      <c r="I1421">
        <v>67</v>
      </c>
      <c r="J1421" s="10">
        <v>24</v>
      </c>
      <c r="K1421" s="10">
        <f>SUMIFS(F:F,D:D,DST_123_ÜRETİM_İHTİYAÇ_RAPORU_BURAK_YENI1309[[#This Row],[ALT_KOD]])-(SUMIFS(H:H,D:D,DST_123_ÜRETİM_İHTİYAÇ_RAPORU_BURAK_YENI1309[[#This Row],[ALT_KOD]])+AVERAGEIFS(I:I,D:D,DST_123_ÜRETİM_İHTİYAÇ_RAPORU_BURAK_YENI1309[[#This Row],[ALT_KOD]])+AVERAGEIFS(L:L,D:D,DST_123_ÜRETİM_İHTİYAÇ_RAPORU_BURAK_YENI1309[[#This Row],[ALT_KOD]]))</f>
        <v>-38</v>
      </c>
      <c r="L1421">
        <v>0</v>
      </c>
      <c r="M1421">
        <f>IF((DST_123_ÜRETİM_İHTİYAÇ_RAPORU_BURAK_YENI1309[[#This Row],[SATINALMA]]*DST_123_ÜRETİM_İHTİYAÇ_RAPORU_BURAK_YENI1309[[#This Row],[BIRIM_FIYATLAR]])&lt;1,VALUE("0"),DST_123_ÜRETİM_İHTİYAÇ_RAPORU_BURAK_YENI1309[[#This Row],[SATINALMA]]*DST_123_ÜRETİM_İHTİYAÇ_RAPORU_BURAK_YENI1309[[#This Row],[BIRIM_FIYATLAR]])</f>
        <v>0</v>
      </c>
      <c r="N1421">
        <v>640</v>
      </c>
      <c r="O1421" t="s">
        <v>220</v>
      </c>
      <c r="P1421">
        <v>1280</v>
      </c>
      <c r="Q1421" t="s">
        <v>221</v>
      </c>
    </row>
    <row r="1422" spans="1:17" x14ac:dyDescent="0.25">
      <c r="A1422" t="s">
        <v>1060</v>
      </c>
      <c r="B1422" t="s">
        <v>1061</v>
      </c>
      <c r="C1422" t="s">
        <v>175</v>
      </c>
      <c r="D1422" t="s">
        <v>229</v>
      </c>
      <c r="E1422" t="s">
        <v>230</v>
      </c>
      <c r="F1422">
        <v>2</v>
      </c>
      <c r="G1422" t="s">
        <v>176</v>
      </c>
      <c r="H1422">
        <v>0</v>
      </c>
      <c r="I1422">
        <v>238</v>
      </c>
      <c r="J1422" s="10">
        <v>90</v>
      </c>
      <c r="K1422" s="10">
        <f>SUMIFS(F:F,D:D,DST_123_ÜRETİM_İHTİYAÇ_RAPORU_BURAK_YENI1309[[#This Row],[ALT_KOD]])-(SUMIFS(H:H,D:D,DST_123_ÜRETİM_İHTİYAÇ_RAPORU_BURAK_YENI1309[[#This Row],[ALT_KOD]])+AVERAGEIFS(I:I,D:D,DST_123_ÜRETİM_İHTİYAÇ_RAPORU_BURAK_YENI1309[[#This Row],[ALT_KOD]])+AVERAGEIFS(L:L,D:D,DST_123_ÜRETİM_İHTİYAÇ_RAPORU_BURAK_YENI1309[[#This Row],[ALT_KOD]]))</f>
        <v>-200</v>
      </c>
      <c r="L1422">
        <v>0</v>
      </c>
      <c r="M1422">
        <f>IF((DST_123_ÜRETİM_İHTİYAÇ_RAPORU_BURAK_YENI1309[[#This Row],[SATINALMA]]*DST_123_ÜRETİM_İHTİYAÇ_RAPORU_BURAK_YENI1309[[#This Row],[BIRIM_FIYATLAR]])&lt;1,VALUE("0"),DST_123_ÜRETİM_İHTİYAÇ_RAPORU_BURAK_YENI1309[[#This Row],[SATINALMA]]*DST_123_ÜRETİM_İHTİYAÇ_RAPORU_BURAK_YENI1309[[#This Row],[BIRIM_FIYATLAR]])</f>
        <v>0</v>
      </c>
      <c r="N1422">
        <v>4</v>
      </c>
      <c r="O1422" t="s">
        <v>220</v>
      </c>
      <c r="P1422">
        <v>8</v>
      </c>
      <c r="Q1422" t="s">
        <v>221</v>
      </c>
    </row>
    <row r="1423" spans="1:17" x14ac:dyDescent="0.25">
      <c r="A1423" t="s">
        <v>1148</v>
      </c>
      <c r="B1423" t="s">
        <v>1056</v>
      </c>
      <c r="C1423" t="s">
        <v>175</v>
      </c>
      <c r="D1423" t="s">
        <v>54</v>
      </c>
      <c r="E1423" t="s">
        <v>55</v>
      </c>
      <c r="F1423">
        <v>1</v>
      </c>
      <c r="G1423" t="s">
        <v>176</v>
      </c>
      <c r="H1423">
        <v>0</v>
      </c>
      <c r="I1423">
        <v>9</v>
      </c>
      <c r="J1423" s="10">
        <v>13</v>
      </c>
      <c r="K1423" s="10">
        <f>SUMIFS(F:F,D:D,DST_123_ÜRETİM_İHTİYAÇ_RAPORU_BURAK_YENI1309[[#This Row],[ALT_KOD]])-(SUMIFS(H:H,D:D,DST_123_ÜRETİM_İHTİYAÇ_RAPORU_BURAK_YENI1309[[#This Row],[ALT_KOD]])+AVERAGEIFS(I:I,D:D,DST_123_ÜRETİM_İHTİYAÇ_RAPORU_BURAK_YENI1309[[#This Row],[ALT_KOD]])+AVERAGEIFS(L:L,D:D,DST_123_ÜRETİM_İHTİYAÇ_RAPORU_BURAK_YENI1309[[#This Row],[ALT_KOD]]))</f>
        <v>-1</v>
      </c>
      <c r="L1423">
        <v>4</v>
      </c>
      <c r="M1423">
        <f>IF((DST_123_ÜRETİM_İHTİYAÇ_RAPORU_BURAK_YENI1309[[#This Row],[SATINALMA]]*DST_123_ÜRETİM_İHTİYAÇ_RAPORU_BURAK_YENI1309[[#This Row],[BIRIM_FIYATLAR]])&lt;1,VALUE("0"),DST_123_ÜRETİM_İHTİYAÇ_RAPORU_BURAK_YENI1309[[#This Row],[SATINALMA]]*DST_123_ÜRETİM_İHTİYAÇ_RAPORU_BURAK_YENI1309[[#This Row],[BIRIM_FIYATLAR]])</f>
        <v>0</v>
      </c>
      <c r="N1423">
        <v>1600</v>
      </c>
      <c r="O1423" t="s">
        <v>217</v>
      </c>
      <c r="P1423">
        <v>1600</v>
      </c>
      <c r="Q1423" t="s">
        <v>221</v>
      </c>
    </row>
    <row r="1424" spans="1:17" x14ac:dyDescent="0.25">
      <c r="A1424" t="s">
        <v>1144</v>
      </c>
      <c r="B1424" t="s">
        <v>1145</v>
      </c>
      <c r="C1424" t="s">
        <v>175</v>
      </c>
      <c r="D1424" t="s">
        <v>114</v>
      </c>
      <c r="E1424" t="s">
        <v>115</v>
      </c>
      <c r="F1424">
        <v>1.504</v>
      </c>
      <c r="G1424" t="s">
        <v>185</v>
      </c>
      <c r="H1424">
        <v>0</v>
      </c>
      <c r="I1424">
        <v>0</v>
      </c>
      <c r="J1424" s="10">
        <v>65.03100000000002</v>
      </c>
      <c r="K1424" s="10">
        <f>SUMIFS(F:F,D:D,DST_123_ÜRETİM_İHTİYAÇ_RAPORU_BURAK_YENI1309[[#This Row],[ALT_KOD]])-(SUMIFS(H:H,D:D,DST_123_ÜRETİM_İHTİYAÇ_RAPORU_BURAK_YENI1309[[#This Row],[ALT_KOD]])+AVERAGEIFS(I:I,D:D,DST_123_ÜRETİM_İHTİYAÇ_RAPORU_BURAK_YENI1309[[#This Row],[ALT_KOD]])+AVERAGEIFS(L:L,D:D,DST_123_ÜRETİM_İHTİYAÇ_RAPORU_BURAK_YENI1309[[#This Row],[ALT_KOD]]))</f>
        <v>17.948</v>
      </c>
      <c r="L1424">
        <v>0</v>
      </c>
      <c r="M1424">
        <f>IF((DST_123_ÜRETİM_İHTİYAÇ_RAPORU_BURAK_YENI1309[[#This Row],[SATINALMA]]*DST_123_ÜRETİM_İHTİYAÇ_RAPORU_BURAK_YENI1309[[#This Row],[BIRIM_FIYATLAR]])&lt;1,VALUE("0"),DST_123_ÜRETİM_İHTİYAÇ_RAPORU_BURAK_YENI1309[[#This Row],[SATINALMA]]*DST_123_ÜRETİM_İHTİYAÇ_RAPORU_BURAK_YENI1309[[#This Row],[BIRIM_FIYATLAR]])</f>
        <v>6991.2844399999994</v>
      </c>
      <c r="N1424">
        <v>389.53</v>
      </c>
      <c r="O1424" t="s">
        <v>490</v>
      </c>
      <c r="P1424">
        <v>585.85311999999999</v>
      </c>
      <c r="Q1424" t="s">
        <v>183</v>
      </c>
    </row>
    <row r="1425" spans="1:17" x14ac:dyDescent="0.25">
      <c r="A1425" t="s">
        <v>1149</v>
      </c>
      <c r="B1425" t="s">
        <v>1145</v>
      </c>
      <c r="C1425" t="s">
        <v>175</v>
      </c>
      <c r="D1425" t="s">
        <v>0</v>
      </c>
      <c r="E1425" t="s">
        <v>1</v>
      </c>
      <c r="F1425">
        <v>2</v>
      </c>
      <c r="G1425" t="s">
        <v>176</v>
      </c>
      <c r="H1425">
        <v>0</v>
      </c>
      <c r="I1425">
        <v>67</v>
      </c>
      <c r="J1425" s="10">
        <v>24</v>
      </c>
      <c r="K1425" s="10">
        <f>SUMIFS(F:F,D:D,DST_123_ÜRETİM_İHTİYAÇ_RAPORU_BURAK_YENI1309[[#This Row],[ALT_KOD]])-(SUMIFS(H:H,D:D,DST_123_ÜRETİM_İHTİYAÇ_RAPORU_BURAK_YENI1309[[#This Row],[ALT_KOD]])+AVERAGEIFS(I:I,D:D,DST_123_ÜRETİM_İHTİYAÇ_RAPORU_BURAK_YENI1309[[#This Row],[ALT_KOD]])+AVERAGEIFS(L:L,D:D,DST_123_ÜRETİM_İHTİYAÇ_RAPORU_BURAK_YENI1309[[#This Row],[ALT_KOD]]))</f>
        <v>-38</v>
      </c>
      <c r="L1425">
        <v>0</v>
      </c>
      <c r="M1425">
        <f>IF((DST_123_ÜRETİM_İHTİYAÇ_RAPORU_BURAK_YENI1309[[#This Row],[SATINALMA]]*DST_123_ÜRETİM_İHTİYAÇ_RAPORU_BURAK_YENI1309[[#This Row],[BIRIM_FIYATLAR]])&lt;1,VALUE("0"),DST_123_ÜRETİM_İHTİYAÇ_RAPORU_BURAK_YENI1309[[#This Row],[SATINALMA]]*DST_123_ÜRETİM_İHTİYAÇ_RAPORU_BURAK_YENI1309[[#This Row],[BIRIM_FIYATLAR]])</f>
        <v>0</v>
      </c>
      <c r="N1425">
        <v>640</v>
      </c>
      <c r="O1425" t="s">
        <v>220</v>
      </c>
      <c r="P1425">
        <v>1280</v>
      </c>
      <c r="Q1425" t="s">
        <v>221</v>
      </c>
    </row>
    <row r="1426" spans="1:17" x14ac:dyDescent="0.25">
      <c r="A1426" t="s">
        <v>1150</v>
      </c>
      <c r="B1426" t="s">
        <v>1145</v>
      </c>
      <c r="C1426" t="s">
        <v>175</v>
      </c>
      <c r="D1426" t="s">
        <v>229</v>
      </c>
      <c r="E1426" t="s">
        <v>230</v>
      </c>
      <c r="F1426">
        <v>2</v>
      </c>
      <c r="G1426" t="s">
        <v>176</v>
      </c>
      <c r="H1426">
        <v>0</v>
      </c>
      <c r="I1426">
        <v>238</v>
      </c>
      <c r="J1426" s="10">
        <v>90</v>
      </c>
      <c r="K1426" s="10">
        <f>SUMIFS(F:F,D:D,DST_123_ÜRETİM_İHTİYAÇ_RAPORU_BURAK_YENI1309[[#This Row],[ALT_KOD]])-(SUMIFS(H:H,D:D,DST_123_ÜRETİM_İHTİYAÇ_RAPORU_BURAK_YENI1309[[#This Row],[ALT_KOD]])+AVERAGEIFS(I:I,D:D,DST_123_ÜRETİM_İHTİYAÇ_RAPORU_BURAK_YENI1309[[#This Row],[ALT_KOD]])+AVERAGEIFS(L:L,D:D,DST_123_ÜRETİM_İHTİYAÇ_RAPORU_BURAK_YENI1309[[#This Row],[ALT_KOD]]))</f>
        <v>-200</v>
      </c>
      <c r="L1426">
        <v>0</v>
      </c>
      <c r="M1426">
        <f>IF((DST_123_ÜRETİM_İHTİYAÇ_RAPORU_BURAK_YENI1309[[#This Row],[SATINALMA]]*DST_123_ÜRETİM_İHTİYAÇ_RAPORU_BURAK_YENI1309[[#This Row],[BIRIM_FIYATLAR]])&lt;1,VALUE("0"),DST_123_ÜRETİM_İHTİYAÇ_RAPORU_BURAK_YENI1309[[#This Row],[SATINALMA]]*DST_123_ÜRETİM_İHTİYAÇ_RAPORU_BURAK_YENI1309[[#This Row],[BIRIM_FIYATLAR]])</f>
        <v>0</v>
      </c>
      <c r="N1426">
        <v>4</v>
      </c>
      <c r="O1426" t="s">
        <v>220</v>
      </c>
      <c r="P1426">
        <v>8</v>
      </c>
      <c r="Q1426" t="s">
        <v>221</v>
      </c>
    </row>
    <row r="1427" spans="1:17" x14ac:dyDescent="0.25">
      <c r="A1427" t="s">
        <v>1149</v>
      </c>
      <c r="B1427" t="s">
        <v>1145</v>
      </c>
      <c r="C1427" t="s">
        <v>175</v>
      </c>
      <c r="D1427" t="s">
        <v>58</v>
      </c>
      <c r="E1427" t="s">
        <v>59</v>
      </c>
      <c r="F1427">
        <v>1</v>
      </c>
      <c r="G1427" t="s">
        <v>176</v>
      </c>
      <c r="H1427">
        <v>0</v>
      </c>
      <c r="I1427">
        <v>17</v>
      </c>
      <c r="J1427" s="10">
        <v>11</v>
      </c>
      <c r="K1427" s="10">
        <f>SUMIFS(F:F,D:D,DST_123_ÜRETİM_İHTİYAÇ_RAPORU_BURAK_YENI1309[[#This Row],[ALT_KOD]])-(SUMIFS(H:H,D:D,DST_123_ÜRETİM_İHTİYAÇ_RAPORU_BURAK_YENI1309[[#This Row],[ALT_KOD]])+AVERAGEIFS(I:I,D:D,DST_123_ÜRETİM_İHTİYAÇ_RAPORU_BURAK_YENI1309[[#This Row],[ALT_KOD]])+AVERAGEIFS(L:L,D:D,DST_123_ÜRETİM_İHTİYAÇ_RAPORU_BURAK_YENI1309[[#This Row],[ALT_KOD]]))</f>
        <v>-5</v>
      </c>
      <c r="L1427">
        <v>0</v>
      </c>
      <c r="M1427">
        <f>IF((DST_123_ÜRETİM_İHTİYAÇ_RAPORU_BURAK_YENI1309[[#This Row],[SATINALMA]]*DST_123_ÜRETİM_İHTİYAÇ_RAPORU_BURAK_YENI1309[[#This Row],[BIRIM_FIYATLAR]])&lt;1,VALUE("0"),DST_123_ÜRETİM_İHTİYAÇ_RAPORU_BURAK_YENI1309[[#This Row],[SATINALMA]]*DST_123_ÜRETİM_İHTİYAÇ_RAPORU_BURAK_YENI1309[[#This Row],[BIRIM_FIYATLAR]])</f>
        <v>0</v>
      </c>
      <c r="N1427">
        <v>1094.4000000000001</v>
      </c>
      <c r="O1427" t="s">
        <v>826</v>
      </c>
      <c r="P1427">
        <v>1094.4000000000001</v>
      </c>
      <c r="Q1427" t="s">
        <v>221</v>
      </c>
    </row>
    <row r="1428" spans="1:17" x14ac:dyDescent="0.25">
      <c r="A1428" t="s">
        <v>1150</v>
      </c>
      <c r="B1428" t="s">
        <v>1145</v>
      </c>
      <c r="C1428" t="s">
        <v>175</v>
      </c>
      <c r="D1428" t="s">
        <v>414</v>
      </c>
      <c r="E1428" t="s">
        <v>415</v>
      </c>
      <c r="F1428">
        <v>0.1</v>
      </c>
      <c r="G1428" t="s">
        <v>179</v>
      </c>
      <c r="H1428">
        <v>0</v>
      </c>
      <c r="I1428">
        <v>50</v>
      </c>
      <c r="J1428" s="10">
        <v>2.8310687127941492E-15</v>
      </c>
      <c r="K1428" s="10">
        <f>SUMIFS(F:F,D:D,DST_123_ÜRETİM_İHTİYAÇ_RAPORU_BURAK_YENI1309[[#This Row],[ALT_KOD]])-(SUMIFS(H:H,D:D,DST_123_ÜRETİM_İHTİYAÇ_RAPORU_BURAK_YENI1309[[#This Row],[ALT_KOD]])+AVERAGEIFS(I:I,D:D,DST_123_ÜRETİM_İHTİYAÇ_RAPORU_BURAK_YENI1309[[#This Row],[ALT_KOD]])+AVERAGEIFS(L:L,D:D,DST_123_ÜRETİM_İHTİYAÇ_RAPORU_BURAK_YENI1309[[#This Row],[ALT_KOD]]))</f>
        <v>-47.8</v>
      </c>
      <c r="L1428">
        <v>0</v>
      </c>
      <c r="M1428">
        <f>IF((DST_123_ÜRETİM_İHTİYAÇ_RAPORU_BURAK_YENI1309[[#This Row],[SATINALMA]]*DST_123_ÜRETİM_İHTİYAÇ_RAPORU_BURAK_YENI1309[[#This Row],[BIRIM_FIYATLAR]])&lt;1,VALUE("0"),DST_123_ÜRETİM_İHTİYAÇ_RAPORU_BURAK_YENI1309[[#This Row],[SATINALMA]]*DST_123_ÜRETİM_İHTİYAÇ_RAPORU_BURAK_YENI1309[[#This Row],[BIRIM_FIYATLAR]])</f>
        <v>0</v>
      </c>
      <c r="N1428">
        <v>25.41</v>
      </c>
      <c r="O1428" t="s">
        <v>826</v>
      </c>
      <c r="P1428">
        <v>2.5410000000000004</v>
      </c>
      <c r="Q1428" t="s">
        <v>221</v>
      </c>
    </row>
    <row r="1429" spans="1:17" x14ac:dyDescent="0.25">
      <c r="A1429" t="s">
        <v>1149</v>
      </c>
      <c r="B1429" t="s">
        <v>1145</v>
      </c>
      <c r="C1429" t="s">
        <v>175</v>
      </c>
      <c r="D1429" t="s">
        <v>376</v>
      </c>
      <c r="E1429" t="s">
        <v>377</v>
      </c>
      <c r="F1429">
        <v>3</v>
      </c>
      <c r="G1429" t="s">
        <v>176</v>
      </c>
      <c r="H1429">
        <v>0</v>
      </c>
      <c r="I1429">
        <v>38</v>
      </c>
      <c r="J1429" s="10">
        <v>25</v>
      </c>
      <c r="K1429" s="10">
        <f>SUMIFS(F:F,D:D,DST_123_ÜRETİM_İHTİYAÇ_RAPORU_BURAK_YENI1309[[#This Row],[ALT_KOD]])-(SUMIFS(H:H,D:D,DST_123_ÜRETİM_İHTİYAÇ_RAPORU_BURAK_YENI1309[[#This Row],[ALT_KOD]])+AVERAGEIFS(I:I,D:D,DST_123_ÜRETİM_İHTİYAÇ_RAPORU_BURAK_YENI1309[[#This Row],[ALT_KOD]])+AVERAGEIFS(L:L,D:D,DST_123_ÜRETİM_İHTİYAÇ_RAPORU_BURAK_YENI1309[[#This Row],[ALT_KOD]]))</f>
        <v>-2</v>
      </c>
      <c r="L1429">
        <v>20</v>
      </c>
      <c r="M1429">
        <f>IF((DST_123_ÜRETİM_İHTİYAÇ_RAPORU_BURAK_YENI1309[[#This Row],[SATINALMA]]*DST_123_ÜRETİM_İHTİYAÇ_RAPORU_BURAK_YENI1309[[#This Row],[BIRIM_FIYATLAR]])&lt;1,VALUE("0"),DST_123_ÜRETİM_İHTİYAÇ_RAPORU_BURAK_YENI1309[[#This Row],[SATINALMA]]*DST_123_ÜRETİM_İHTİYAÇ_RAPORU_BURAK_YENI1309[[#This Row],[BIRIM_FIYATLAR]])</f>
        <v>0</v>
      </c>
      <c r="N1429">
        <v>245</v>
      </c>
      <c r="O1429" t="s">
        <v>821</v>
      </c>
      <c r="P1429">
        <v>735</v>
      </c>
      <c r="Q1429" t="s">
        <v>178</v>
      </c>
    </row>
    <row r="1430" spans="1:17" x14ac:dyDescent="0.25">
      <c r="A1430" t="s">
        <v>1144</v>
      </c>
      <c r="B1430" t="s">
        <v>1145</v>
      </c>
      <c r="C1430" t="s">
        <v>175</v>
      </c>
      <c r="D1430" t="s">
        <v>0</v>
      </c>
      <c r="E1430" t="s">
        <v>1</v>
      </c>
      <c r="F1430">
        <v>2</v>
      </c>
      <c r="G1430" t="s">
        <v>176</v>
      </c>
      <c r="H1430">
        <v>0</v>
      </c>
      <c r="I1430">
        <v>67</v>
      </c>
      <c r="J1430" s="10">
        <v>24</v>
      </c>
      <c r="K1430" s="10">
        <f>SUMIFS(F:F,D:D,DST_123_ÜRETİM_İHTİYAÇ_RAPORU_BURAK_YENI1309[[#This Row],[ALT_KOD]])-(SUMIFS(H:H,D:D,DST_123_ÜRETİM_İHTİYAÇ_RAPORU_BURAK_YENI1309[[#This Row],[ALT_KOD]])+AVERAGEIFS(I:I,D:D,DST_123_ÜRETİM_İHTİYAÇ_RAPORU_BURAK_YENI1309[[#This Row],[ALT_KOD]])+AVERAGEIFS(L:L,D:D,DST_123_ÜRETİM_İHTİYAÇ_RAPORU_BURAK_YENI1309[[#This Row],[ALT_KOD]]))</f>
        <v>-38</v>
      </c>
      <c r="L1430">
        <v>0</v>
      </c>
      <c r="M1430">
        <f>IF((DST_123_ÜRETİM_İHTİYAÇ_RAPORU_BURAK_YENI1309[[#This Row],[SATINALMA]]*DST_123_ÜRETİM_İHTİYAÇ_RAPORU_BURAK_YENI1309[[#This Row],[BIRIM_FIYATLAR]])&lt;1,VALUE("0"),DST_123_ÜRETİM_İHTİYAÇ_RAPORU_BURAK_YENI1309[[#This Row],[SATINALMA]]*DST_123_ÜRETİM_İHTİYAÇ_RAPORU_BURAK_YENI1309[[#This Row],[BIRIM_FIYATLAR]])</f>
        <v>0</v>
      </c>
      <c r="N1430">
        <v>640</v>
      </c>
      <c r="O1430" t="s">
        <v>220</v>
      </c>
      <c r="P1430">
        <v>1280</v>
      </c>
      <c r="Q1430" t="s">
        <v>221</v>
      </c>
    </row>
    <row r="1431" spans="1:17" x14ac:dyDescent="0.25">
      <c r="A1431" t="s">
        <v>1064</v>
      </c>
      <c r="B1431" t="s">
        <v>1055</v>
      </c>
      <c r="C1431" t="s">
        <v>175</v>
      </c>
      <c r="D1431" t="s">
        <v>462</v>
      </c>
      <c r="E1431" t="s">
        <v>463</v>
      </c>
      <c r="F1431">
        <v>0.81</v>
      </c>
      <c r="G1431" t="s">
        <v>176</v>
      </c>
      <c r="H1431">
        <v>0.81</v>
      </c>
      <c r="I1431">
        <v>0</v>
      </c>
      <c r="J1431" s="10">
        <v>5.5999999999999988</v>
      </c>
      <c r="K1431" s="10">
        <f>SUMIFS(F:F,D:D,DST_123_ÜRETİM_İHTİYAÇ_RAPORU_BURAK_YENI1309[[#This Row],[ALT_KOD]])-(SUMIFS(H:H,D:D,DST_123_ÜRETİM_İHTİYAÇ_RAPORU_BURAK_YENI1309[[#This Row],[ALT_KOD]])+AVERAGEIFS(I:I,D:D,DST_123_ÜRETİM_İHTİYAÇ_RAPORU_BURAK_YENI1309[[#This Row],[ALT_KOD]])+AVERAGEIFS(L:L,D:D,DST_123_ÜRETİM_İHTİYAÇ_RAPORU_BURAK_YENI1309[[#This Row],[ALT_KOD]]))</f>
        <v>7.2</v>
      </c>
      <c r="L1431">
        <v>0</v>
      </c>
      <c r="M1431">
        <f>IF((DST_123_ÜRETİM_İHTİYAÇ_RAPORU_BURAK_YENI1309[[#This Row],[SATINALMA]]*DST_123_ÜRETİM_İHTİYAÇ_RAPORU_BURAK_YENI1309[[#This Row],[BIRIM_FIYATLAR]])&lt;1,VALUE("0"),DST_123_ÜRETİM_İHTİYAÇ_RAPORU_BURAK_YENI1309[[#This Row],[SATINALMA]]*DST_123_ÜRETİM_İHTİYAÇ_RAPORU_BURAK_YENI1309[[#This Row],[BIRIM_FIYATLAR]])</f>
        <v>1170.0719999999999</v>
      </c>
      <c r="N1431">
        <v>162.51</v>
      </c>
      <c r="O1431" t="s">
        <v>490</v>
      </c>
      <c r="P1431">
        <v>131.63310000000001</v>
      </c>
      <c r="Q1431" t="s">
        <v>183</v>
      </c>
    </row>
    <row r="1432" spans="1:17" x14ac:dyDescent="0.25">
      <c r="A1432" t="s">
        <v>1064</v>
      </c>
      <c r="B1432" t="s">
        <v>1055</v>
      </c>
      <c r="C1432" t="s">
        <v>175</v>
      </c>
      <c r="D1432" t="s">
        <v>675</v>
      </c>
      <c r="E1432" t="s">
        <v>676</v>
      </c>
      <c r="F1432">
        <v>2</v>
      </c>
      <c r="G1432" t="s">
        <v>179</v>
      </c>
      <c r="H1432">
        <v>0</v>
      </c>
      <c r="I1432">
        <v>20</v>
      </c>
      <c r="J1432" s="10">
        <v>16</v>
      </c>
      <c r="K1432" s="10">
        <f>SUMIFS(F:F,D:D,DST_123_ÜRETİM_İHTİYAÇ_RAPORU_BURAK_YENI1309[[#This Row],[ALT_KOD]])-(SUMIFS(H:H,D:D,DST_123_ÜRETİM_İHTİYAÇ_RAPORU_BURAK_YENI1309[[#This Row],[ALT_KOD]])+AVERAGEIFS(I:I,D:D,DST_123_ÜRETİM_İHTİYAÇ_RAPORU_BURAK_YENI1309[[#This Row],[ALT_KOD]])+AVERAGEIFS(L:L,D:D,DST_123_ÜRETİM_İHTİYAÇ_RAPORU_BURAK_YENI1309[[#This Row],[ALT_KOD]]))</f>
        <v>-5</v>
      </c>
      <c r="L1432">
        <v>0</v>
      </c>
      <c r="M1432">
        <f>IF((DST_123_ÜRETİM_İHTİYAÇ_RAPORU_BURAK_YENI1309[[#This Row],[SATINALMA]]*DST_123_ÜRETİM_İHTİYAÇ_RAPORU_BURAK_YENI1309[[#This Row],[BIRIM_FIYATLAR]])&lt;1,VALUE("0"),DST_123_ÜRETİM_İHTİYAÇ_RAPORU_BURAK_YENI1309[[#This Row],[SATINALMA]]*DST_123_ÜRETİM_İHTİYAÇ_RAPORU_BURAK_YENI1309[[#This Row],[BIRIM_FIYATLAR]])</f>
        <v>0</v>
      </c>
      <c r="N1432">
        <v>97.17</v>
      </c>
      <c r="O1432" t="s">
        <v>254</v>
      </c>
      <c r="P1432">
        <v>194.34</v>
      </c>
      <c r="Q1432" t="s">
        <v>180</v>
      </c>
    </row>
    <row r="1433" spans="1:17" x14ac:dyDescent="0.25">
      <c r="A1433" t="s">
        <v>1099</v>
      </c>
      <c r="B1433" t="s">
        <v>1055</v>
      </c>
      <c r="C1433" t="s">
        <v>175</v>
      </c>
      <c r="D1433" t="s">
        <v>675</v>
      </c>
      <c r="E1433" t="s">
        <v>676</v>
      </c>
      <c r="F1433">
        <v>3</v>
      </c>
      <c r="G1433" t="s">
        <v>179</v>
      </c>
      <c r="H1433">
        <v>0</v>
      </c>
      <c r="I1433">
        <v>20</v>
      </c>
      <c r="J1433" s="10">
        <v>16</v>
      </c>
      <c r="K1433" s="10">
        <f>SUMIFS(F:F,D:D,DST_123_ÜRETİM_İHTİYAÇ_RAPORU_BURAK_YENI1309[[#This Row],[ALT_KOD]])-(SUMIFS(H:H,D:D,DST_123_ÜRETİM_İHTİYAÇ_RAPORU_BURAK_YENI1309[[#This Row],[ALT_KOD]])+AVERAGEIFS(I:I,D:D,DST_123_ÜRETİM_İHTİYAÇ_RAPORU_BURAK_YENI1309[[#This Row],[ALT_KOD]])+AVERAGEIFS(L:L,D:D,DST_123_ÜRETİM_İHTİYAÇ_RAPORU_BURAK_YENI1309[[#This Row],[ALT_KOD]]))</f>
        <v>-5</v>
      </c>
      <c r="L1433">
        <v>0</v>
      </c>
      <c r="M1433">
        <f>IF((DST_123_ÜRETİM_İHTİYAÇ_RAPORU_BURAK_YENI1309[[#This Row],[SATINALMA]]*DST_123_ÜRETİM_İHTİYAÇ_RAPORU_BURAK_YENI1309[[#This Row],[BIRIM_FIYATLAR]])&lt;1,VALUE("0"),DST_123_ÜRETİM_İHTİYAÇ_RAPORU_BURAK_YENI1309[[#This Row],[SATINALMA]]*DST_123_ÜRETİM_İHTİYAÇ_RAPORU_BURAK_YENI1309[[#This Row],[BIRIM_FIYATLAR]])</f>
        <v>0</v>
      </c>
      <c r="N1433">
        <v>97.17</v>
      </c>
      <c r="O1433" t="s">
        <v>254</v>
      </c>
      <c r="P1433">
        <v>291.51</v>
      </c>
      <c r="Q1433" t="s">
        <v>180</v>
      </c>
    </row>
    <row r="1434" spans="1:17" x14ac:dyDescent="0.25">
      <c r="A1434" t="s">
        <v>1143</v>
      </c>
      <c r="B1434" t="s">
        <v>1056</v>
      </c>
      <c r="C1434" t="s">
        <v>175</v>
      </c>
      <c r="D1434" t="s">
        <v>70</v>
      </c>
      <c r="E1434" t="s">
        <v>287</v>
      </c>
      <c r="F1434">
        <v>5.8599999999999994</v>
      </c>
      <c r="G1434" t="s">
        <v>185</v>
      </c>
      <c r="H1434">
        <v>0</v>
      </c>
      <c r="I1434">
        <v>0</v>
      </c>
      <c r="J1434" s="10">
        <v>233.6899999999996</v>
      </c>
      <c r="K1434" s="10">
        <f>SUMIFS(F:F,D:D,DST_123_ÜRETİM_İHTİYAÇ_RAPORU_BURAK_YENI1309[[#This Row],[ALT_KOD]])-(SUMIFS(H:H,D:D,DST_123_ÜRETİM_İHTİYAÇ_RAPORU_BURAK_YENI1309[[#This Row],[ALT_KOD]])+AVERAGEIFS(I:I,D:D,DST_123_ÜRETİM_İHTİYAÇ_RAPORU_BURAK_YENI1309[[#This Row],[ALT_KOD]])+AVERAGEIFS(L:L,D:D,DST_123_ÜRETİM_İHTİYAÇ_RAPORU_BURAK_YENI1309[[#This Row],[ALT_KOD]]))</f>
        <v>63.129999999999995</v>
      </c>
      <c r="L1434">
        <v>0</v>
      </c>
      <c r="M1434">
        <f>IF((DST_123_ÜRETİM_İHTİYAÇ_RAPORU_BURAK_YENI1309[[#This Row],[SATINALMA]]*DST_123_ÜRETİM_İHTİYAÇ_RAPORU_BURAK_YENI1309[[#This Row],[BIRIM_FIYATLAR]])&lt;1,VALUE("0"),DST_123_ÜRETİM_İHTİYAÇ_RAPORU_BURAK_YENI1309[[#This Row],[SATINALMA]]*DST_123_ÜRETİM_İHTİYAÇ_RAPORU_BURAK_YENI1309[[#This Row],[BIRIM_FIYATLAR]])</f>
        <v>6403.9071999999996</v>
      </c>
      <c r="N1434">
        <v>101.44</v>
      </c>
      <c r="O1434" t="s">
        <v>490</v>
      </c>
      <c r="P1434">
        <v>594.43839999999989</v>
      </c>
      <c r="Q1434" t="s">
        <v>183</v>
      </c>
    </row>
    <row r="1435" spans="1:17" x14ac:dyDescent="0.25">
      <c r="A1435" t="s">
        <v>1097</v>
      </c>
      <c r="B1435" t="s">
        <v>1055</v>
      </c>
      <c r="C1435" t="s">
        <v>175</v>
      </c>
      <c r="D1435" t="s">
        <v>71</v>
      </c>
      <c r="E1435" t="s">
        <v>249</v>
      </c>
      <c r="F1435">
        <v>9.51</v>
      </c>
      <c r="G1435" t="s">
        <v>176</v>
      </c>
      <c r="H1435">
        <v>0</v>
      </c>
      <c r="I1435">
        <v>96</v>
      </c>
      <c r="J1435" s="10">
        <v>195.44000000000014</v>
      </c>
      <c r="K1435" s="10">
        <f>SUMIFS(F:F,D:D,DST_123_ÜRETİM_İHTİYAÇ_RAPORU_BURAK_YENI1309[[#This Row],[ALT_KOD]])-(SUMIFS(H:H,D:D,DST_123_ÜRETİM_İHTİYAÇ_RAPORU_BURAK_YENI1309[[#This Row],[ALT_KOD]])+AVERAGEIFS(I:I,D:D,DST_123_ÜRETİM_İHTİYAÇ_RAPORU_BURAK_YENI1309[[#This Row],[ALT_KOD]])+AVERAGEIFS(L:L,D:D,DST_123_ÜRETİM_İHTİYAÇ_RAPORU_BURAK_YENI1309[[#This Row],[ALT_KOD]]))</f>
        <v>63.319999999999951</v>
      </c>
      <c r="L1435">
        <v>0</v>
      </c>
      <c r="M1435">
        <f>IF((DST_123_ÜRETİM_İHTİYAÇ_RAPORU_BURAK_YENI1309[[#This Row],[SATINALMA]]*DST_123_ÜRETİM_İHTİYAÇ_RAPORU_BURAK_YENI1309[[#This Row],[BIRIM_FIYATLAR]])&lt;1,VALUE("0"),DST_123_ÜRETİM_İHTİYAÇ_RAPORU_BURAK_YENI1309[[#This Row],[SATINALMA]]*DST_123_ÜRETİM_İHTİYAÇ_RAPORU_BURAK_YENI1309[[#This Row],[BIRIM_FIYATLAR]])</f>
        <v>8163.8475999999937</v>
      </c>
      <c r="N1435">
        <v>128.93</v>
      </c>
      <c r="O1435" t="s">
        <v>250</v>
      </c>
      <c r="P1435">
        <v>1226.1242999999999</v>
      </c>
      <c r="Q1435" t="s">
        <v>180</v>
      </c>
    </row>
    <row r="1436" spans="1:17" x14ac:dyDescent="0.25">
      <c r="A1436" t="s">
        <v>1144</v>
      </c>
      <c r="B1436" t="s">
        <v>1145</v>
      </c>
      <c r="C1436" t="s">
        <v>175</v>
      </c>
      <c r="D1436" t="s">
        <v>458</v>
      </c>
      <c r="E1436" t="s">
        <v>459</v>
      </c>
      <c r="F1436">
        <v>0.01</v>
      </c>
      <c r="G1436" t="s">
        <v>176</v>
      </c>
      <c r="H1436">
        <v>0</v>
      </c>
      <c r="I1436">
        <v>6</v>
      </c>
      <c r="J1436" s="10">
        <v>22.530000000000012</v>
      </c>
      <c r="K1436" s="10">
        <f>SUMIFS(F:F,D:D,DST_123_ÜRETİM_İHTİYAÇ_RAPORU_BURAK_YENI1309[[#This Row],[ALT_KOD]])-(SUMIFS(H:H,D:D,DST_123_ÜRETİM_İHTİYAÇ_RAPORU_BURAK_YENI1309[[#This Row],[ALT_KOD]])+AVERAGEIFS(I:I,D:D,DST_123_ÜRETİM_İHTİYAÇ_RAPORU_BURAK_YENI1309[[#This Row],[ALT_KOD]])+AVERAGEIFS(L:L,D:D,DST_123_ÜRETİM_İHTİYAÇ_RAPORU_BURAK_YENI1309[[#This Row],[ALT_KOD]]))</f>
        <v>-5.5</v>
      </c>
      <c r="L1436">
        <v>0</v>
      </c>
      <c r="M1436">
        <f>IF((DST_123_ÜRETİM_İHTİYAÇ_RAPORU_BURAK_YENI1309[[#This Row],[SATINALMA]]*DST_123_ÜRETİM_İHTİYAÇ_RAPORU_BURAK_YENI1309[[#This Row],[BIRIM_FIYATLAR]])&lt;1,VALUE("0"),DST_123_ÜRETİM_İHTİYAÇ_RAPORU_BURAK_YENI1309[[#This Row],[SATINALMA]]*DST_123_ÜRETİM_İHTİYAÇ_RAPORU_BURAK_YENI1309[[#This Row],[BIRIM_FIYATLAR]])</f>
        <v>0</v>
      </c>
      <c r="N1436">
        <v>133</v>
      </c>
      <c r="O1436" t="s">
        <v>216</v>
      </c>
      <c r="P1436">
        <v>1.33</v>
      </c>
      <c r="Q1436" t="s">
        <v>183</v>
      </c>
    </row>
    <row r="1437" spans="1:17" x14ac:dyDescent="0.25">
      <c r="A1437" t="s">
        <v>1146</v>
      </c>
      <c r="B1437" t="s">
        <v>1145</v>
      </c>
      <c r="C1437" t="s">
        <v>175</v>
      </c>
      <c r="D1437" t="s">
        <v>458</v>
      </c>
      <c r="E1437" t="s">
        <v>459</v>
      </c>
      <c r="F1437">
        <v>0.01</v>
      </c>
      <c r="G1437" t="s">
        <v>176</v>
      </c>
      <c r="H1437">
        <v>0</v>
      </c>
      <c r="I1437">
        <v>6</v>
      </c>
      <c r="J1437" s="10">
        <v>22.530000000000012</v>
      </c>
      <c r="K1437" s="10">
        <f>SUMIFS(F:F,D:D,DST_123_ÜRETİM_İHTİYAÇ_RAPORU_BURAK_YENI1309[[#This Row],[ALT_KOD]])-(SUMIFS(H:H,D:D,DST_123_ÜRETİM_İHTİYAÇ_RAPORU_BURAK_YENI1309[[#This Row],[ALT_KOD]])+AVERAGEIFS(I:I,D:D,DST_123_ÜRETİM_İHTİYAÇ_RAPORU_BURAK_YENI1309[[#This Row],[ALT_KOD]])+AVERAGEIFS(L:L,D:D,DST_123_ÜRETİM_İHTİYAÇ_RAPORU_BURAK_YENI1309[[#This Row],[ALT_KOD]]))</f>
        <v>-5.5</v>
      </c>
      <c r="L1437">
        <v>0</v>
      </c>
      <c r="M1437">
        <f>IF((DST_123_ÜRETİM_İHTİYAÇ_RAPORU_BURAK_YENI1309[[#This Row],[SATINALMA]]*DST_123_ÜRETİM_İHTİYAÇ_RAPORU_BURAK_YENI1309[[#This Row],[BIRIM_FIYATLAR]])&lt;1,VALUE("0"),DST_123_ÜRETİM_İHTİYAÇ_RAPORU_BURAK_YENI1309[[#This Row],[SATINALMA]]*DST_123_ÜRETİM_İHTİYAÇ_RAPORU_BURAK_YENI1309[[#This Row],[BIRIM_FIYATLAR]])</f>
        <v>0</v>
      </c>
      <c r="N1437">
        <v>133</v>
      </c>
      <c r="O1437" t="s">
        <v>216</v>
      </c>
      <c r="P1437">
        <v>1.33</v>
      </c>
      <c r="Q1437" t="s">
        <v>183</v>
      </c>
    </row>
    <row r="1438" spans="1:17" x14ac:dyDescent="0.25">
      <c r="A1438" t="s">
        <v>1149</v>
      </c>
      <c r="B1438" t="s">
        <v>1145</v>
      </c>
      <c r="C1438" t="s">
        <v>175</v>
      </c>
      <c r="D1438" t="s">
        <v>118</v>
      </c>
      <c r="E1438" t="s">
        <v>119</v>
      </c>
      <c r="F1438">
        <v>6</v>
      </c>
      <c r="G1438" t="s">
        <v>176</v>
      </c>
      <c r="H1438">
        <v>0</v>
      </c>
      <c r="I1438">
        <v>84</v>
      </c>
      <c r="J1438" s="10">
        <v>36</v>
      </c>
      <c r="K1438" s="10">
        <f>SUMIFS(F:F,D:D,DST_123_ÜRETİM_İHTİYAÇ_RAPORU_BURAK_YENI1309[[#This Row],[ALT_KOD]])-(SUMIFS(H:H,D:D,DST_123_ÜRETİM_İHTİYAÇ_RAPORU_BURAK_YENI1309[[#This Row],[ALT_KOD]])+AVERAGEIFS(I:I,D:D,DST_123_ÜRETİM_İHTİYAÇ_RAPORU_BURAK_YENI1309[[#This Row],[ALT_KOD]])+AVERAGEIFS(L:L,D:D,DST_123_ÜRETİM_İHTİYAÇ_RAPORU_BURAK_YENI1309[[#This Row],[ALT_KOD]]))</f>
        <v>22</v>
      </c>
      <c r="L1438">
        <v>0</v>
      </c>
      <c r="M1438">
        <f>IF((DST_123_ÜRETİM_İHTİYAÇ_RAPORU_BURAK_YENI1309[[#This Row],[SATINALMA]]*DST_123_ÜRETİM_İHTİYAÇ_RAPORU_BURAK_YENI1309[[#This Row],[BIRIM_FIYATLAR]])&lt;1,VALUE("0"),DST_123_ÜRETİM_İHTİYAÇ_RAPORU_BURAK_YENI1309[[#This Row],[SATINALMA]]*DST_123_ÜRETİM_İHTİYAÇ_RAPORU_BURAK_YENI1309[[#This Row],[BIRIM_FIYATLAR]])</f>
        <v>440</v>
      </c>
      <c r="N1438">
        <v>20</v>
      </c>
      <c r="O1438" t="s">
        <v>240</v>
      </c>
      <c r="P1438">
        <v>120</v>
      </c>
      <c r="Q1438" t="s">
        <v>178</v>
      </c>
    </row>
    <row r="1439" spans="1:17" x14ac:dyDescent="0.25">
      <c r="A1439" t="s">
        <v>1064</v>
      </c>
      <c r="B1439" t="s">
        <v>1055</v>
      </c>
      <c r="C1439" t="s">
        <v>175</v>
      </c>
      <c r="D1439" t="s">
        <v>118</v>
      </c>
      <c r="E1439" t="s">
        <v>119</v>
      </c>
      <c r="F1439">
        <v>6</v>
      </c>
      <c r="G1439" t="s">
        <v>176</v>
      </c>
      <c r="H1439">
        <v>0</v>
      </c>
      <c r="I1439">
        <v>84</v>
      </c>
      <c r="J1439" s="10">
        <v>36</v>
      </c>
      <c r="K1439" s="10">
        <f>SUMIFS(F:F,D:D,DST_123_ÜRETİM_İHTİYAÇ_RAPORU_BURAK_YENI1309[[#This Row],[ALT_KOD]])-(SUMIFS(H:H,D:D,DST_123_ÜRETİM_İHTİYAÇ_RAPORU_BURAK_YENI1309[[#This Row],[ALT_KOD]])+AVERAGEIFS(I:I,D:D,DST_123_ÜRETİM_İHTİYAÇ_RAPORU_BURAK_YENI1309[[#This Row],[ALT_KOD]])+AVERAGEIFS(L:L,D:D,DST_123_ÜRETİM_İHTİYAÇ_RAPORU_BURAK_YENI1309[[#This Row],[ALT_KOD]]))</f>
        <v>22</v>
      </c>
      <c r="L1439">
        <v>0</v>
      </c>
      <c r="M1439">
        <f>IF((DST_123_ÜRETİM_İHTİYAÇ_RAPORU_BURAK_YENI1309[[#This Row],[SATINALMA]]*DST_123_ÜRETİM_İHTİYAÇ_RAPORU_BURAK_YENI1309[[#This Row],[BIRIM_FIYATLAR]])&lt;1,VALUE("0"),DST_123_ÜRETİM_İHTİYAÇ_RAPORU_BURAK_YENI1309[[#This Row],[SATINALMA]]*DST_123_ÜRETİM_İHTİYAÇ_RAPORU_BURAK_YENI1309[[#This Row],[BIRIM_FIYATLAR]])</f>
        <v>440</v>
      </c>
      <c r="N1439">
        <v>20</v>
      </c>
      <c r="O1439" t="s">
        <v>240</v>
      </c>
      <c r="P1439">
        <v>120</v>
      </c>
      <c r="Q1439" t="s">
        <v>178</v>
      </c>
    </row>
    <row r="1440" spans="1:17" x14ac:dyDescent="0.25">
      <c r="A1440" t="s">
        <v>1060</v>
      </c>
      <c r="B1440" t="s">
        <v>1061</v>
      </c>
      <c r="C1440" t="s">
        <v>175</v>
      </c>
      <c r="D1440" t="s">
        <v>925</v>
      </c>
      <c r="E1440" t="s">
        <v>926</v>
      </c>
      <c r="F1440">
        <v>1</v>
      </c>
      <c r="G1440" t="s">
        <v>179</v>
      </c>
      <c r="H1440">
        <v>0</v>
      </c>
      <c r="I1440">
        <v>6400</v>
      </c>
      <c r="J1440" s="10">
        <v>186.50000000000006</v>
      </c>
      <c r="K1440" s="10">
        <f>SUMIFS(F:F,D:D,DST_123_ÜRETİM_İHTİYAÇ_RAPORU_BURAK_YENI1309[[#This Row],[ALT_KOD]])-(SUMIFS(H:H,D:D,DST_123_ÜRETİM_İHTİYAÇ_RAPORU_BURAK_YENI1309[[#This Row],[ALT_KOD]])+AVERAGEIFS(I:I,D:D,DST_123_ÜRETİM_İHTİYAÇ_RAPORU_BURAK_YENI1309[[#This Row],[ALT_KOD]])+AVERAGEIFS(L:L,D:D,DST_123_ÜRETİM_İHTİYAÇ_RAPORU_BURAK_YENI1309[[#This Row],[ALT_KOD]]))</f>
        <v>-6392</v>
      </c>
      <c r="L1440">
        <v>0</v>
      </c>
      <c r="M1440">
        <f>IF((DST_123_ÜRETİM_İHTİYAÇ_RAPORU_BURAK_YENI1309[[#This Row],[SATINALMA]]*DST_123_ÜRETİM_İHTİYAÇ_RAPORU_BURAK_YENI1309[[#This Row],[BIRIM_FIYATLAR]])&lt;1,VALUE("0"),DST_123_ÜRETİM_İHTİYAÇ_RAPORU_BURAK_YENI1309[[#This Row],[SATINALMA]]*DST_123_ÜRETİM_İHTİYAÇ_RAPORU_BURAK_YENI1309[[#This Row],[BIRIM_FIYATLAR]])</f>
        <v>0</v>
      </c>
      <c r="N1440">
        <v>2.1</v>
      </c>
      <c r="P1440">
        <v>2.1</v>
      </c>
      <c r="Q1440" t="s">
        <v>221</v>
      </c>
    </row>
    <row r="1441" spans="1:17" x14ac:dyDescent="0.25">
      <c r="A1441" t="s">
        <v>1144</v>
      </c>
      <c r="B1441" t="s">
        <v>1145</v>
      </c>
      <c r="C1441" t="s">
        <v>175</v>
      </c>
      <c r="D1441" t="s">
        <v>116</v>
      </c>
      <c r="E1441" t="s">
        <v>117</v>
      </c>
      <c r="F1441">
        <v>108.87</v>
      </c>
      <c r="G1441" t="s">
        <v>185</v>
      </c>
      <c r="H1441">
        <v>0</v>
      </c>
      <c r="I1441">
        <v>-690</v>
      </c>
      <c r="J1441" s="10">
        <v>2123.619999999999</v>
      </c>
      <c r="K1441" s="10">
        <f>SUMIFS(F:F,D:D,DST_123_ÜRETİM_İHTİYAÇ_RAPORU_BURAK_YENI1309[[#This Row],[ALT_KOD]])-(SUMIFS(H:H,D:D,DST_123_ÜRETİM_İHTİYAÇ_RAPORU_BURAK_YENI1309[[#This Row],[ALT_KOD]])+AVERAGEIFS(I:I,D:D,DST_123_ÜRETİM_İHTİYAÇ_RAPORU_BURAK_YENI1309[[#This Row],[ALT_KOD]])+AVERAGEIFS(L:L,D:D,DST_123_ÜRETİM_İHTİYAÇ_RAPORU_BURAK_YENI1309[[#This Row],[ALT_KOD]]))</f>
        <v>1819.8699999999994</v>
      </c>
      <c r="L1441">
        <v>0</v>
      </c>
      <c r="M1441">
        <f>IF((DST_123_ÜRETİM_İHTİYAÇ_RAPORU_BURAK_YENI1309[[#This Row],[SATINALMA]]*DST_123_ÜRETİM_İHTİYAÇ_RAPORU_BURAK_YENI1309[[#This Row],[BIRIM_FIYATLAR]])&lt;1,VALUE("0"),DST_123_ÜRETİM_İHTİYAÇ_RAPORU_BURAK_YENI1309[[#This Row],[SATINALMA]]*DST_123_ÜRETİM_İHTİYAÇ_RAPORU_BURAK_YENI1309[[#This Row],[BIRIM_FIYATLAR]])</f>
        <v>172651.06689999995</v>
      </c>
      <c r="N1441">
        <v>94.87</v>
      </c>
      <c r="O1441" t="s">
        <v>490</v>
      </c>
      <c r="P1441">
        <v>10328.4969</v>
      </c>
      <c r="Q1441" t="s">
        <v>183</v>
      </c>
    </row>
    <row r="1442" spans="1:17" x14ac:dyDescent="0.25">
      <c r="A1442" t="s">
        <v>1149</v>
      </c>
      <c r="B1442" t="s">
        <v>1145</v>
      </c>
      <c r="C1442" t="s">
        <v>175</v>
      </c>
      <c r="D1442" t="s">
        <v>458</v>
      </c>
      <c r="E1442" t="s">
        <v>459</v>
      </c>
      <c r="F1442">
        <v>0.01</v>
      </c>
      <c r="G1442" t="s">
        <v>176</v>
      </c>
      <c r="H1442">
        <v>0</v>
      </c>
      <c r="I1442">
        <v>6</v>
      </c>
      <c r="J1442" s="10">
        <v>22.530000000000012</v>
      </c>
      <c r="K1442" s="10">
        <f>SUMIFS(F:F,D:D,DST_123_ÜRETİM_İHTİYAÇ_RAPORU_BURAK_YENI1309[[#This Row],[ALT_KOD]])-(SUMIFS(H:H,D:D,DST_123_ÜRETİM_İHTİYAÇ_RAPORU_BURAK_YENI1309[[#This Row],[ALT_KOD]])+AVERAGEIFS(I:I,D:D,DST_123_ÜRETİM_İHTİYAÇ_RAPORU_BURAK_YENI1309[[#This Row],[ALT_KOD]])+AVERAGEIFS(L:L,D:D,DST_123_ÜRETİM_İHTİYAÇ_RAPORU_BURAK_YENI1309[[#This Row],[ALT_KOD]]))</f>
        <v>-5.5</v>
      </c>
      <c r="L1442">
        <v>0</v>
      </c>
      <c r="M1442">
        <f>IF((DST_123_ÜRETİM_İHTİYAÇ_RAPORU_BURAK_YENI1309[[#This Row],[SATINALMA]]*DST_123_ÜRETİM_İHTİYAÇ_RAPORU_BURAK_YENI1309[[#This Row],[BIRIM_FIYATLAR]])&lt;1,VALUE("0"),DST_123_ÜRETİM_İHTİYAÇ_RAPORU_BURAK_YENI1309[[#This Row],[SATINALMA]]*DST_123_ÜRETİM_İHTİYAÇ_RAPORU_BURAK_YENI1309[[#This Row],[BIRIM_FIYATLAR]])</f>
        <v>0</v>
      </c>
      <c r="N1442">
        <v>133</v>
      </c>
      <c r="O1442" t="s">
        <v>216</v>
      </c>
      <c r="P1442">
        <v>1.33</v>
      </c>
      <c r="Q1442" t="s">
        <v>183</v>
      </c>
    </row>
    <row r="1443" spans="1:17" x14ac:dyDescent="0.25">
      <c r="A1443" t="s">
        <v>1144</v>
      </c>
      <c r="B1443" t="s">
        <v>1145</v>
      </c>
      <c r="C1443" t="s">
        <v>175</v>
      </c>
      <c r="D1443" t="s">
        <v>118</v>
      </c>
      <c r="E1443" t="s">
        <v>119</v>
      </c>
      <c r="F1443">
        <v>6</v>
      </c>
      <c r="G1443" t="s">
        <v>176</v>
      </c>
      <c r="H1443">
        <v>0</v>
      </c>
      <c r="I1443">
        <v>84</v>
      </c>
      <c r="J1443" s="10">
        <v>36</v>
      </c>
      <c r="K1443" s="10">
        <f>SUMIFS(F:F,D:D,DST_123_ÜRETİM_İHTİYAÇ_RAPORU_BURAK_YENI1309[[#This Row],[ALT_KOD]])-(SUMIFS(H:H,D:D,DST_123_ÜRETİM_İHTİYAÇ_RAPORU_BURAK_YENI1309[[#This Row],[ALT_KOD]])+AVERAGEIFS(I:I,D:D,DST_123_ÜRETİM_İHTİYAÇ_RAPORU_BURAK_YENI1309[[#This Row],[ALT_KOD]])+AVERAGEIFS(L:L,D:D,DST_123_ÜRETİM_İHTİYAÇ_RAPORU_BURAK_YENI1309[[#This Row],[ALT_KOD]]))</f>
        <v>22</v>
      </c>
      <c r="L1443">
        <v>0</v>
      </c>
      <c r="M1443">
        <f>IF((DST_123_ÜRETİM_İHTİYAÇ_RAPORU_BURAK_YENI1309[[#This Row],[SATINALMA]]*DST_123_ÜRETİM_İHTİYAÇ_RAPORU_BURAK_YENI1309[[#This Row],[BIRIM_FIYATLAR]])&lt;1,VALUE("0"),DST_123_ÜRETİM_İHTİYAÇ_RAPORU_BURAK_YENI1309[[#This Row],[SATINALMA]]*DST_123_ÜRETİM_İHTİYAÇ_RAPORU_BURAK_YENI1309[[#This Row],[BIRIM_FIYATLAR]])</f>
        <v>440</v>
      </c>
      <c r="N1443">
        <v>20</v>
      </c>
      <c r="O1443" t="s">
        <v>240</v>
      </c>
      <c r="P1443">
        <v>120</v>
      </c>
      <c r="Q1443" t="s">
        <v>178</v>
      </c>
    </row>
    <row r="1444" spans="1:17" x14ac:dyDescent="0.25">
      <c r="A1444" t="s">
        <v>1146</v>
      </c>
      <c r="B1444" t="s">
        <v>1145</v>
      </c>
      <c r="C1444" t="s">
        <v>175</v>
      </c>
      <c r="D1444" t="s">
        <v>118</v>
      </c>
      <c r="E1444" t="s">
        <v>119</v>
      </c>
      <c r="F1444">
        <v>6</v>
      </c>
      <c r="G1444" t="s">
        <v>176</v>
      </c>
      <c r="H1444">
        <v>0</v>
      </c>
      <c r="I1444">
        <v>84</v>
      </c>
      <c r="J1444" s="10">
        <v>36</v>
      </c>
      <c r="K1444" s="10">
        <f>SUMIFS(F:F,D:D,DST_123_ÜRETİM_İHTİYAÇ_RAPORU_BURAK_YENI1309[[#This Row],[ALT_KOD]])-(SUMIFS(H:H,D:D,DST_123_ÜRETİM_İHTİYAÇ_RAPORU_BURAK_YENI1309[[#This Row],[ALT_KOD]])+AVERAGEIFS(I:I,D:D,DST_123_ÜRETİM_İHTİYAÇ_RAPORU_BURAK_YENI1309[[#This Row],[ALT_KOD]])+AVERAGEIFS(L:L,D:D,DST_123_ÜRETİM_İHTİYAÇ_RAPORU_BURAK_YENI1309[[#This Row],[ALT_KOD]]))</f>
        <v>22</v>
      </c>
      <c r="L1444">
        <v>0</v>
      </c>
      <c r="M1444">
        <f>IF((DST_123_ÜRETİM_İHTİYAÇ_RAPORU_BURAK_YENI1309[[#This Row],[SATINALMA]]*DST_123_ÜRETİM_İHTİYAÇ_RAPORU_BURAK_YENI1309[[#This Row],[BIRIM_FIYATLAR]])&lt;1,VALUE("0"),DST_123_ÜRETİM_İHTİYAÇ_RAPORU_BURAK_YENI1309[[#This Row],[SATINALMA]]*DST_123_ÜRETİM_İHTİYAÇ_RAPORU_BURAK_YENI1309[[#This Row],[BIRIM_FIYATLAR]])</f>
        <v>440</v>
      </c>
      <c r="N1444">
        <v>20</v>
      </c>
      <c r="O1444" t="s">
        <v>240</v>
      </c>
      <c r="P1444">
        <v>120</v>
      </c>
      <c r="Q1444" t="s">
        <v>178</v>
      </c>
    </row>
    <row r="1445" spans="1:17" x14ac:dyDescent="0.25">
      <c r="A1445" t="s">
        <v>1150</v>
      </c>
      <c r="B1445" t="s">
        <v>1145</v>
      </c>
      <c r="C1445" t="s">
        <v>175</v>
      </c>
      <c r="D1445" t="s">
        <v>52</v>
      </c>
      <c r="E1445" t="s">
        <v>53</v>
      </c>
      <c r="F1445">
        <v>1</v>
      </c>
      <c r="G1445" t="s">
        <v>176</v>
      </c>
      <c r="H1445">
        <v>0</v>
      </c>
      <c r="I1445">
        <v>5</v>
      </c>
      <c r="J1445" s="10">
        <v>10</v>
      </c>
      <c r="K1445" s="10">
        <f>SUMIFS(F:F,D:D,DST_123_ÜRETİM_İHTİYAÇ_RAPORU_BURAK_YENI1309[[#This Row],[ALT_KOD]])-(SUMIFS(H:H,D:D,DST_123_ÜRETİM_İHTİYAÇ_RAPORU_BURAK_YENI1309[[#This Row],[ALT_KOD]])+AVERAGEIFS(I:I,D:D,DST_123_ÜRETİM_İHTİYAÇ_RAPORU_BURAK_YENI1309[[#This Row],[ALT_KOD]])+AVERAGEIFS(L:L,D:D,DST_123_ÜRETİM_İHTİYAÇ_RAPORU_BURAK_YENI1309[[#This Row],[ALT_KOD]]))</f>
        <v>7</v>
      </c>
      <c r="L1445">
        <v>0</v>
      </c>
      <c r="M1445">
        <f>IF((DST_123_ÜRETİM_İHTİYAÇ_RAPORU_BURAK_YENI1309[[#This Row],[SATINALMA]]*DST_123_ÜRETİM_İHTİYAÇ_RAPORU_BURAK_YENI1309[[#This Row],[BIRIM_FIYATLAR]])&lt;1,VALUE("0"),DST_123_ÜRETİM_İHTİYAÇ_RAPORU_BURAK_YENI1309[[#This Row],[SATINALMA]]*DST_123_ÜRETİM_İHTİYAÇ_RAPORU_BURAK_YENI1309[[#This Row],[BIRIM_FIYATLAR]])</f>
        <v>85641.010000000009</v>
      </c>
      <c r="N1445">
        <v>12234.43</v>
      </c>
      <c r="O1445" t="s">
        <v>215</v>
      </c>
      <c r="P1445">
        <v>12234.43</v>
      </c>
      <c r="Q1445" t="s">
        <v>221</v>
      </c>
    </row>
    <row r="1446" spans="1:17" x14ac:dyDescent="0.25">
      <c r="A1446" t="s">
        <v>1150</v>
      </c>
      <c r="B1446" t="s">
        <v>1145</v>
      </c>
      <c r="C1446" t="s">
        <v>175</v>
      </c>
      <c r="D1446" t="s">
        <v>290</v>
      </c>
      <c r="E1446" t="s">
        <v>291</v>
      </c>
      <c r="F1446">
        <v>6</v>
      </c>
      <c r="G1446" t="s">
        <v>176</v>
      </c>
      <c r="H1446">
        <v>0</v>
      </c>
      <c r="I1446">
        <v>125</v>
      </c>
      <c r="J1446" s="10">
        <v>54</v>
      </c>
      <c r="K1446" s="10">
        <f>SUMIFS(F:F,D:D,DST_123_ÜRETİM_İHTİYAÇ_RAPORU_BURAK_YENI1309[[#This Row],[ALT_KOD]])-(SUMIFS(H:H,D:D,DST_123_ÜRETİM_İHTİYAÇ_RAPORU_BURAK_YENI1309[[#This Row],[ALT_KOD]])+AVERAGEIFS(I:I,D:D,DST_123_ÜRETİM_İHTİYAÇ_RAPORU_BURAK_YENI1309[[#This Row],[ALT_KOD]])+AVERAGEIFS(L:L,D:D,DST_123_ÜRETİM_İHTİYAÇ_RAPORU_BURAK_YENI1309[[#This Row],[ALT_KOD]]))</f>
        <v>-49</v>
      </c>
      <c r="L1446">
        <v>0</v>
      </c>
      <c r="M1446">
        <f>IF((DST_123_ÜRETİM_İHTİYAÇ_RAPORU_BURAK_YENI1309[[#This Row],[SATINALMA]]*DST_123_ÜRETİM_İHTİYAÇ_RAPORU_BURAK_YENI1309[[#This Row],[BIRIM_FIYATLAR]])&lt;1,VALUE("0"),DST_123_ÜRETİM_İHTİYAÇ_RAPORU_BURAK_YENI1309[[#This Row],[SATINALMA]]*DST_123_ÜRETİM_İHTİYAÇ_RAPORU_BURAK_YENI1309[[#This Row],[BIRIM_FIYATLAR]])</f>
        <v>0</v>
      </c>
      <c r="N1446">
        <v>3.75</v>
      </c>
      <c r="O1446" t="s">
        <v>628</v>
      </c>
      <c r="P1446">
        <v>22.5</v>
      </c>
      <c r="Q1446" t="s">
        <v>180</v>
      </c>
    </row>
    <row r="1447" spans="1:17" x14ac:dyDescent="0.25">
      <c r="A1447" t="s">
        <v>1100</v>
      </c>
      <c r="B1447" t="s">
        <v>1058</v>
      </c>
      <c r="C1447" t="s">
        <v>175</v>
      </c>
      <c r="D1447" t="s">
        <v>56</v>
      </c>
      <c r="E1447" t="s">
        <v>57</v>
      </c>
      <c r="F1447">
        <v>6</v>
      </c>
      <c r="G1447" t="s">
        <v>179</v>
      </c>
      <c r="H1447">
        <v>0</v>
      </c>
      <c r="I1447">
        <v>140</v>
      </c>
      <c r="J1447" s="10">
        <v>0</v>
      </c>
      <c r="K1447" s="10">
        <f>SUMIFS(F:F,D:D,DST_123_ÜRETİM_İHTİYAÇ_RAPORU_BURAK_YENI1309[[#This Row],[ALT_KOD]])-(SUMIFS(H:H,D:D,DST_123_ÜRETİM_İHTİYAÇ_RAPORU_BURAK_YENI1309[[#This Row],[ALT_KOD]])+AVERAGEIFS(I:I,D:D,DST_123_ÜRETİM_İHTİYAÇ_RAPORU_BURAK_YENI1309[[#This Row],[ALT_KOD]])+AVERAGEIFS(L:L,D:D,DST_123_ÜRETİM_İHTİYAÇ_RAPORU_BURAK_YENI1309[[#This Row],[ALT_KOD]]))</f>
        <v>-122</v>
      </c>
      <c r="L1447">
        <v>0</v>
      </c>
      <c r="M1447">
        <f>IF((DST_123_ÜRETİM_İHTİYAÇ_RAPORU_BURAK_YENI1309[[#This Row],[SATINALMA]]*DST_123_ÜRETİM_İHTİYAÇ_RAPORU_BURAK_YENI1309[[#This Row],[BIRIM_FIYATLAR]])&lt;1,VALUE("0"),DST_123_ÜRETİM_İHTİYAÇ_RAPORU_BURAK_YENI1309[[#This Row],[SATINALMA]]*DST_123_ÜRETİM_İHTİYAÇ_RAPORU_BURAK_YENI1309[[#This Row],[BIRIM_FIYATLAR]])</f>
        <v>0</v>
      </c>
      <c r="N1447">
        <v>25.42</v>
      </c>
      <c r="O1447" t="s">
        <v>826</v>
      </c>
      <c r="P1447">
        <v>152.52000000000001</v>
      </c>
      <c r="Q1447" t="s">
        <v>221</v>
      </c>
    </row>
    <row r="1448" spans="1:17" x14ac:dyDescent="0.25">
      <c r="A1448" t="s">
        <v>1150</v>
      </c>
      <c r="B1448" t="s">
        <v>1145</v>
      </c>
      <c r="C1448" t="s">
        <v>175</v>
      </c>
      <c r="D1448" t="s">
        <v>458</v>
      </c>
      <c r="E1448" t="s">
        <v>459</v>
      </c>
      <c r="F1448">
        <v>0.01</v>
      </c>
      <c r="G1448" t="s">
        <v>176</v>
      </c>
      <c r="H1448">
        <v>0</v>
      </c>
      <c r="I1448">
        <v>6</v>
      </c>
      <c r="J1448" s="10">
        <v>22.530000000000012</v>
      </c>
      <c r="K1448" s="10">
        <f>SUMIFS(F:F,D:D,DST_123_ÜRETİM_İHTİYAÇ_RAPORU_BURAK_YENI1309[[#This Row],[ALT_KOD]])-(SUMIFS(H:H,D:D,DST_123_ÜRETİM_İHTİYAÇ_RAPORU_BURAK_YENI1309[[#This Row],[ALT_KOD]])+AVERAGEIFS(I:I,D:D,DST_123_ÜRETİM_İHTİYAÇ_RAPORU_BURAK_YENI1309[[#This Row],[ALT_KOD]])+AVERAGEIFS(L:L,D:D,DST_123_ÜRETİM_İHTİYAÇ_RAPORU_BURAK_YENI1309[[#This Row],[ALT_KOD]]))</f>
        <v>-5.5</v>
      </c>
      <c r="L1448">
        <v>0</v>
      </c>
      <c r="M1448">
        <f>IF((DST_123_ÜRETİM_İHTİYAÇ_RAPORU_BURAK_YENI1309[[#This Row],[SATINALMA]]*DST_123_ÜRETİM_İHTİYAÇ_RAPORU_BURAK_YENI1309[[#This Row],[BIRIM_FIYATLAR]])&lt;1,VALUE("0"),DST_123_ÜRETİM_İHTİYAÇ_RAPORU_BURAK_YENI1309[[#This Row],[SATINALMA]]*DST_123_ÜRETİM_İHTİYAÇ_RAPORU_BURAK_YENI1309[[#This Row],[BIRIM_FIYATLAR]])</f>
        <v>0</v>
      </c>
      <c r="N1448">
        <v>133</v>
      </c>
      <c r="O1448" t="s">
        <v>216</v>
      </c>
      <c r="P1448">
        <v>1.33</v>
      </c>
      <c r="Q1448" t="s">
        <v>183</v>
      </c>
    </row>
    <row r="1449" spans="1:17" x14ac:dyDescent="0.25">
      <c r="A1449" t="s">
        <v>1150</v>
      </c>
      <c r="B1449" t="s">
        <v>1145</v>
      </c>
      <c r="C1449" t="s">
        <v>175</v>
      </c>
      <c r="D1449" t="s">
        <v>118</v>
      </c>
      <c r="E1449" t="s">
        <v>119</v>
      </c>
      <c r="F1449">
        <v>6</v>
      </c>
      <c r="G1449" t="s">
        <v>176</v>
      </c>
      <c r="H1449">
        <v>0</v>
      </c>
      <c r="I1449">
        <v>84</v>
      </c>
      <c r="J1449" s="10">
        <v>36</v>
      </c>
      <c r="K1449" s="10">
        <f>SUMIFS(F:F,D:D,DST_123_ÜRETİM_İHTİYAÇ_RAPORU_BURAK_YENI1309[[#This Row],[ALT_KOD]])-(SUMIFS(H:H,D:D,DST_123_ÜRETİM_İHTİYAÇ_RAPORU_BURAK_YENI1309[[#This Row],[ALT_KOD]])+AVERAGEIFS(I:I,D:D,DST_123_ÜRETİM_İHTİYAÇ_RAPORU_BURAK_YENI1309[[#This Row],[ALT_KOD]])+AVERAGEIFS(L:L,D:D,DST_123_ÜRETİM_İHTİYAÇ_RAPORU_BURAK_YENI1309[[#This Row],[ALT_KOD]]))</f>
        <v>22</v>
      </c>
      <c r="L1449">
        <v>0</v>
      </c>
      <c r="M1449">
        <f>IF((DST_123_ÜRETİM_İHTİYAÇ_RAPORU_BURAK_YENI1309[[#This Row],[SATINALMA]]*DST_123_ÜRETİM_İHTİYAÇ_RAPORU_BURAK_YENI1309[[#This Row],[BIRIM_FIYATLAR]])&lt;1,VALUE("0"),DST_123_ÜRETİM_İHTİYAÇ_RAPORU_BURAK_YENI1309[[#This Row],[SATINALMA]]*DST_123_ÜRETİM_İHTİYAÇ_RAPORU_BURAK_YENI1309[[#This Row],[BIRIM_FIYATLAR]])</f>
        <v>440</v>
      </c>
      <c r="N1449">
        <v>20</v>
      </c>
      <c r="O1449" t="s">
        <v>240</v>
      </c>
      <c r="P1449">
        <v>120</v>
      </c>
      <c r="Q1449" t="s">
        <v>178</v>
      </c>
    </row>
    <row r="1450" spans="1:17" x14ac:dyDescent="0.25">
      <c r="A1450" t="s">
        <v>1149</v>
      </c>
      <c r="B1450" t="s">
        <v>1145</v>
      </c>
      <c r="C1450" t="s">
        <v>175</v>
      </c>
      <c r="D1450" t="s">
        <v>52</v>
      </c>
      <c r="E1450" t="s">
        <v>53</v>
      </c>
      <c r="F1450">
        <v>1</v>
      </c>
      <c r="G1450" t="s">
        <v>176</v>
      </c>
      <c r="H1450">
        <v>0</v>
      </c>
      <c r="I1450">
        <v>5</v>
      </c>
      <c r="J1450" s="10">
        <v>10</v>
      </c>
      <c r="K1450" s="10">
        <f>SUMIFS(F:F,D:D,DST_123_ÜRETİM_İHTİYAÇ_RAPORU_BURAK_YENI1309[[#This Row],[ALT_KOD]])-(SUMIFS(H:H,D:D,DST_123_ÜRETİM_İHTİYAÇ_RAPORU_BURAK_YENI1309[[#This Row],[ALT_KOD]])+AVERAGEIFS(I:I,D:D,DST_123_ÜRETİM_İHTİYAÇ_RAPORU_BURAK_YENI1309[[#This Row],[ALT_KOD]])+AVERAGEIFS(L:L,D:D,DST_123_ÜRETİM_İHTİYAÇ_RAPORU_BURAK_YENI1309[[#This Row],[ALT_KOD]]))</f>
        <v>7</v>
      </c>
      <c r="L1450">
        <v>0</v>
      </c>
      <c r="M1450">
        <f>IF((DST_123_ÜRETİM_İHTİYAÇ_RAPORU_BURAK_YENI1309[[#This Row],[SATINALMA]]*DST_123_ÜRETİM_İHTİYAÇ_RAPORU_BURAK_YENI1309[[#This Row],[BIRIM_FIYATLAR]])&lt;1,VALUE("0"),DST_123_ÜRETİM_İHTİYAÇ_RAPORU_BURAK_YENI1309[[#This Row],[SATINALMA]]*DST_123_ÜRETİM_İHTİYAÇ_RAPORU_BURAK_YENI1309[[#This Row],[BIRIM_FIYATLAR]])</f>
        <v>85641.010000000009</v>
      </c>
      <c r="N1450">
        <v>12234.43</v>
      </c>
      <c r="O1450" t="s">
        <v>215</v>
      </c>
      <c r="P1450">
        <v>12234.43</v>
      </c>
      <c r="Q1450" t="s">
        <v>221</v>
      </c>
    </row>
    <row r="1451" spans="1:17" x14ac:dyDescent="0.25">
      <c r="A1451" t="s">
        <v>1149</v>
      </c>
      <c r="B1451" t="s">
        <v>1145</v>
      </c>
      <c r="C1451" t="s">
        <v>175</v>
      </c>
      <c r="D1451" t="s">
        <v>290</v>
      </c>
      <c r="E1451" t="s">
        <v>291</v>
      </c>
      <c r="F1451">
        <v>6</v>
      </c>
      <c r="G1451" t="s">
        <v>176</v>
      </c>
      <c r="H1451">
        <v>0</v>
      </c>
      <c r="I1451">
        <v>125</v>
      </c>
      <c r="J1451" s="10">
        <v>54</v>
      </c>
      <c r="K1451" s="10">
        <f>SUMIFS(F:F,D:D,DST_123_ÜRETİM_İHTİYAÇ_RAPORU_BURAK_YENI1309[[#This Row],[ALT_KOD]])-(SUMIFS(H:H,D:D,DST_123_ÜRETİM_İHTİYAÇ_RAPORU_BURAK_YENI1309[[#This Row],[ALT_KOD]])+AVERAGEIFS(I:I,D:D,DST_123_ÜRETİM_İHTİYAÇ_RAPORU_BURAK_YENI1309[[#This Row],[ALT_KOD]])+AVERAGEIFS(L:L,D:D,DST_123_ÜRETİM_İHTİYAÇ_RAPORU_BURAK_YENI1309[[#This Row],[ALT_KOD]]))</f>
        <v>-49</v>
      </c>
      <c r="L1451">
        <v>0</v>
      </c>
      <c r="M1451">
        <f>IF((DST_123_ÜRETİM_İHTİYAÇ_RAPORU_BURAK_YENI1309[[#This Row],[SATINALMA]]*DST_123_ÜRETİM_İHTİYAÇ_RAPORU_BURAK_YENI1309[[#This Row],[BIRIM_FIYATLAR]])&lt;1,VALUE("0"),DST_123_ÜRETİM_İHTİYAÇ_RAPORU_BURAK_YENI1309[[#This Row],[SATINALMA]]*DST_123_ÜRETİM_İHTİYAÇ_RAPORU_BURAK_YENI1309[[#This Row],[BIRIM_FIYATLAR]])</f>
        <v>0</v>
      </c>
      <c r="N1451">
        <v>3.75</v>
      </c>
      <c r="O1451" t="s">
        <v>628</v>
      </c>
      <c r="P1451">
        <v>22.5</v>
      </c>
      <c r="Q1451" t="s">
        <v>180</v>
      </c>
    </row>
    <row r="1452" spans="1:17" x14ac:dyDescent="0.25">
      <c r="A1452" t="s">
        <v>1196</v>
      </c>
      <c r="B1452" t="s">
        <v>1197</v>
      </c>
      <c r="C1452" t="s">
        <v>175</v>
      </c>
      <c r="D1452" t="s">
        <v>458</v>
      </c>
      <c r="E1452" t="s">
        <v>459</v>
      </c>
      <c r="F1452">
        <v>0.01</v>
      </c>
      <c r="G1452" t="s">
        <v>176</v>
      </c>
      <c r="H1452">
        <v>0</v>
      </c>
      <c r="I1452">
        <v>6</v>
      </c>
      <c r="J1452" s="10">
        <v>22.530000000000012</v>
      </c>
      <c r="K1452" s="10">
        <f>SUMIFS(F:F,D:D,DST_123_ÜRETİM_İHTİYAÇ_RAPORU_BURAK_YENI1309[[#This Row],[ALT_KOD]])-(SUMIFS(H:H,D:D,DST_123_ÜRETİM_İHTİYAÇ_RAPORU_BURAK_YENI1309[[#This Row],[ALT_KOD]])+AVERAGEIFS(I:I,D:D,DST_123_ÜRETİM_İHTİYAÇ_RAPORU_BURAK_YENI1309[[#This Row],[ALT_KOD]])+AVERAGEIFS(L:L,D:D,DST_123_ÜRETİM_İHTİYAÇ_RAPORU_BURAK_YENI1309[[#This Row],[ALT_KOD]]))</f>
        <v>-5.5</v>
      </c>
      <c r="L1452">
        <v>0</v>
      </c>
      <c r="M1452">
        <f>IF((DST_123_ÜRETİM_İHTİYAÇ_RAPORU_BURAK_YENI1309[[#This Row],[SATINALMA]]*DST_123_ÜRETİM_İHTİYAÇ_RAPORU_BURAK_YENI1309[[#This Row],[BIRIM_FIYATLAR]])&lt;1,VALUE("0"),DST_123_ÜRETİM_İHTİYAÇ_RAPORU_BURAK_YENI1309[[#This Row],[SATINALMA]]*DST_123_ÜRETİM_İHTİYAÇ_RAPORU_BURAK_YENI1309[[#This Row],[BIRIM_FIYATLAR]])</f>
        <v>0</v>
      </c>
      <c r="N1452">
        <v>133</v>
      </c>
      <c r="O1452" t="s">
        <v>216</v>
      </c>
      <c r="P1452">
        <v>1.33</v>
      </c>
      <c r="Q1452" t="s">
        <v>183</v>
      </c>
    </row>
    <row r="1453" spans="1:17" x14ac:dyDescent="0.25">
      <c r="A1453" t="s">
        <v>1064</v>
      </c>
      <c r="B1453" t="s">
        <v>1055</v>
      </c>
      <c r="C1453" t="s">
        <v>175</v>
      </c>
      <c r="D1453" t="s">
        <v>458</v>
      </c>
      <c r="E1453" t="s">
        <v>459</v>
      </c>
      <c r="F1453">
        <v>0.01</v>
      </c>
      <c r="G1453" t="s">
        <v>176</v>
      </c>
      <c r="H1453">
        <v>0</v>
      </c>
      <c r="I1453">
        <v>6</v>
      </c>
      <c r="J1453" s="10">
        <v>22.530000000000012</v>
      </c>
      <c r="K1453" s="10">
        <f>SUMIFS(F:F,D:D,DST_123_ÜRETİM_İHTİYAÇ_RAPORU_BURAK_YENI1309[[#This Row],[ALT_KOD]])-(SUMIFS(H:H,D:D,DST_123_ÜRETİM_İHTİYAÇ_RAPORU_BURAK_YENI1309[[#This Row],[ALT_KOD]])+AVERAGEIFS(I:I,D:D,DST_123_ÜRETİM_İHTİYAÇ_RAPORU_BURAK_YENI1309[[#This Row],[ALT_KOD]])+AVERAGEIFS(L:L,D:D,DST_123_ÜRETİM_İHTİYAÇ_RAPORU_BURAK_YENI1309[[#This Row],[ALT_KOD]]))</f>
        <v>-5.5</v>
      </c>
      <c r="L1453">
        <v>0</v>
      </c>
      <c r="M1453">
        <f>IF((DST_123_ÜRETİM_İHTİYAÇ_RAPORU_BURAK_YENI1309[[#This Row],[SATINALMA]]*DST_123_ÜRETİM_İHTİYAÇ_RAPORU_BURAK_YENI1309[[#This Row],[BIRIM_FIYATLAR]])&lt;1,VALUE("0"),DST_123_ÜRETİM_İHTİYAÇ_RAPORU_BURAK_YENI1309[[#This Row],[SATINALMA]]*DST_123_ÜRETİM_İHTİYAÇ_RAPORU_BURAK_YENI1309[[#This Row],[BIRIM_FIYATLAR]])</f>
        <v>0</v>
      </c>
      <c r="N1453">
        <v>133</v>
      </c>
      <c r="O1453" t="s">
        <v>216</v>
      </c>
      <c r="P1453">
        <v>1.33</v>
      </c>
      <c r="Q1453" t="s">
        <v>183</v>
      </c>
    </row>
    <row r="1454" spans="1:17" x14ac:dyDescent="0.25">
      <c r="A1454" t="s">
        <v>1099</v>
      </c>
      <c r="B1454" t="s">
        <v>1055</v>
      </c>
      <c r="C1454" t="s">
        <v>175</v>
      </c>
      <c r="D1454" t="s">
        <v>118</v>
      </c>
      <c r="E1454" t="s">
        <v>119</v>
      </c>
      <c r="F1454">
        <v>5</v>
      </c>
      <c r="G1454" t="s">
        <v>176</v>
      </c>
      <c r="H1454">
        <v>0</v>
      </c>
      <c r="I1454">
        <v>84</v>
      </c>
      <c r="J1454" s="10">
        <v>36</v>
      </c>
      <c r="K1454" s="10">
        <f>SUMIFS(F:F,D:D,DST_123_ÜRETİM_İHTİYAÇ_RAPORU_BURAK_YENI1309[[#This Row],[ALT_KOD]])-(SUMIFS(H:H,D:D,DST_123_ÜRETİM_İHTİYAÇ_RAPORU_BURAK_YENI1309[[#This Row],[ALT_KOD]])+AVERAGEIFS(I:I,D:D,DST_123_ÜRETİM_İHTİYAÇ_RAPORU_BURAK_YENI1309[[#This Row],[ALT_KOD]])+AVERAGEIFS(L:L,D:D,DST_123_ÜRETİM_İHTİYAÇ_RAPORU_BURAK_YENI1309[[#This Row],[ALT_KOD]]))</f>
        <v>22</v>
      </c>
      <c r="L1454">
        <v>0</v>
      </c>
      <c r="M1454">
        <f>IF((DST_123_ÜRETİM_İHTİYAÇ_RAPORU_BURAK_YENI1309[[#This Row],[SATINALMA]]*DST_123_ÜRETİM_İHTİYAÇ_RAPORU_BURAK_YENI1309[[#This Row],[BIRIM_FIYATLAR]])&lt;1,VALUE("0"),DST_123_ÜRETİM_İHTİYAÇ_RAPORU_BURAK_YENI1309[[#This Row],[SATINALMA]]*DST_123_ÜRETİM_İHTİYAÇ_RAPORU_BURAK_YENI1309[[#This Row],[BIRIM_FIYATLAR]])</f>
        <v>440</v>
      </c>
      <c r="N1454">
        <v>20</v>
      </c>
      <c r="O1454" t="s">
        <v>240</v>
      </c>
      <c r="P1454">
        <v>100</v>
      </c>
      <c r="Q1454" t="s">
        <v>178</v>
      </c>
    </row>
    <row r="1455" spans="1:17" x14ac:dyDescent="0.25">
      <c r="A1455" t="s">
        <v>1099</v>
      </c>
      <c r="B1455" t="s">
        <v>1055</v>
      </c>
      <c r="C1455" t="s">
        <v>175</v>
      </c>
      <c r="D1455" t="s">
        <v>56</v>
      </c>
      <c r="E1455" t="s">
        <v>57</v>
      </c>
      <c r="F1455">
        <v>6</v>
      </c>
      <c r="G1455" t="s">
        <v>179</v>
      </c>
      <c r="H1455">
        <v>0</v>
      </c>
      <c r="I1455">
        <v>140</v>
      </c>
      <c r="J1455" s="10">
        <v>0</v>
      </c>
      <c r="K1455" s="10">
        <f>SUMIFS(F:F,D:D,DST_123_ÜRETİM_İHTİYAÇ_RAPORU_BURAK_YENI1309[[#This Row],[ALT_KOD]])-(SUMIFS(H:H,D:D,DST_123_ÜRETİM_İHTİYAÇ_RAPORU_BURAK_YENI1309[[#This Row],[ALT_KOD]])+AVERAGEIFS(I:I,D:D,DST_123_ÜRETİM_İHTİYAÇ_RAPORU_BURAK_YENI1309[[#This Row],[ALT_KOD]])+AVERAGEIFS(L:L,D:D,DST_123_ÜRETİM_İHTİYAÇ_RAPORU_BURAK_YENI1309[[#This Row],[ALT_KOD]]))</f>
        <v>-122</v>
      </c>
      <c r="L1455">
        <v>0</v>
      </c>
      <c r="M1455">
        <f>IF((DST_123_ÜRETİM_İHTİYAÇ_RAPORU_BURAK_YENI1309[[#This Row],[SATINALMA]]*DST_123_ÜRETİM_İHTİYAÇ_RAPORU_BURAK_YENI1309[[#This Row],[BIRIM_FIYATLAR]])&lt;1,VALUE("0"),DST_123_ÜRETİM_İHTİYAÇ_RAPORU_BURAK_YENI1309[[#This Row],[SATINALMA]]*DST_123_ÜRETİM_İHTİYAÇ_RAPORU_BURAK_YENI1309[[#This Row],[BIRIM_FIYATLAR]])</f>
        <v>0</v>
      </c>
      <c r="N1455">
        <v>25.42</v>
      </c>
      <c r="O1455" t="s">
        <v>826</v>
      </c>
      <c r="P1455">
        <v>152.52000000000001</v>
      </c>
      <c r="Q1455" t="s">
        <v>221</v>
      </c>
    </row>
    <row r="1456" spans="1:17" x14ac:dyDescent="0.25">
      <c r="A1456" t="s">
        <v>1100</v>
      </c>
      <c r="B1456" t="s">
        <v>1058</v>
      </c>
      <c r="C1456" t="s">
        <v>175</v>
      </c>
      <c r="D1456" t="s">
        <v>925</v>
      </c>
      <c r="E1456" t="s">
        <v>926</v>
      </c>
      <c r="F1456">
        <v>1</v>
      </c>
      <c r="G1456" t="s">
        <v>179</v>
      </c>
      <c r="H1456">
        <v>0</v>
      </c>
      <c r="I1456">
        <v>6400</v>
      </c>
      <c r="J1456" s="10">
        <v>186.50000000000006</v>
      </c>
      <c r="K1456" s="10">
        <f>SUMIFS(F:F,D:D,DST_123_ÜRETİM_İHTİYAÇ_RAPORU_BURAK_YENI1309[[#This Row],[ALT_KOD]])-(SUMIFS(H:H,D:D,DST_123_ÜRETİM_İHTİYAÇ_RAPORU_BURAK_YENI1309[[#This Row],[ALT_KOD]])+AVERAGEIFS(I:I,D:D,DST_123_ÜRETİM_İHTİYAÇ_RAPORU_BURAK_YENI1309[[#This Row],[ALT_KOD]])+AVERAGEIFS(L:L,D:D,DST_123_ÜRETİM_İHTİYAÇ_RAPORU_BURAK_YENI1309[[#This Row],[ALT_KOD]]))</f>
        <v>-6392</v>
      </c>
      <c r="L1456">
        <v>0</v>
      </c>
      <c r="M1456">
        <f>IF((DST_123_ÜRETİM_İHTİYAÇ_RAPORU_BURAK_YENI1309[[#This Row],[SATINALMA]]*DST_123_ÜRETİM_İHTİYAÇ_RAPORU_BURAK_YENI1309[[#This Row],[BIRIM_FIYATLAR]])&lt;1,VALUE("0"),DST_123_ÜRETİM_İHTİYAÇ_RAPORU_BURAK_YENI1309[[#This Row],[SATINALMA]]*DST_123_ÜRETİM_İHTİYAÇ_RAPORU_BURAK_YENI1309[[#This Row],[BIRIM_FIYATLAR]])</f>
        <v>0</v>
      </c>
      <c r="N1456">
        <v>2.1</v>
      </c>
      <c r="P1456">
        <v>2.1</v>
      </c>
      <c r="Q1456" t="s">
        <v>221</v>
      </c>
    </row>
    <row r="1457" spans="1:17" x14ac:dyDescent="0.25">
      <c r="A1457" t="s">
        <v>1057</v>
      </c>
      <c r="B1457" t="s">
        <v>1058</v>
      </c>
      <c r="C1457" t="s">
        <v>175</v>
      </c>
      <c r="D1457" t="s">
        <v>290</v>
      </c>
      <c r="E1457" t="s">
        <v>291</v>
      </c>
      <c r="F1457">
        <v>12</v>
      </c>
      <c r="G1457" t="s">
        <v>176</v>
      </c>
      <c r="H1457">
        <v>12</v>
      </c>
      <c r="I1457">
        <v>125</v>
      </c>
      <c r="J1457" s="10">
        <v>54</v>
      </c>
      <c r="K1457" s="10">
        <f>SUMIFS(F:F,D:D,DST_123_ÜRETİM_İHTİYAÇ_RAPORU_BURAK_YENI1309[[#This Row],[ALT_KOD]])-(SUMIFS(H:H,D:D,DST_123_ÜRETİM_İHTİYAÇ_RAPORU_BURAK_YENI1309[[#This Row],[ALT_KOD]])+AVERAGEIFS(I:I,D:D,DST_123_ÜRETİM_İHTİYAÇ_RAPORU_BURAK_YENI1309[[#This Row],[ALT_KOD]])+AVERAGEIFS(L:L,D:D,DST_123_ÜRETİM_İHTİYAÇ_RAPORU_BURAK_YENI1309[[#This Row],[ALT_KOD]]))</f>
        <v>-49</v>
      </c>
      <c r="L1457">
        <v>0</v>
      </c>
      <c r="M1457">
        <f>IF((DST_123_ÜRETİM_İHTİYAÇ_RAPORU_BURAK_YENI1309[[#This Row],[SATINALMA]]*DST_123_ÜRETİM_İHTİYAÇ_RAPORU_BURAK_YENI1309[[#This Row],[BIRIM_FIYATLAR]])&lt;1,VALUE("0"),DST_123_ÜRETİM_İHTİYAÇ_RAPORU_BURAK_YENI1309[[#This Row],[SATINALMA]]*DST_123_ÜRETİM_İHTİYAÇ_RAPORU_BURAK_YENI1309[[#This Row],[BIRIM_FIYATLAR]])</f>
        <v>0</v>
      </c>
      <c r="N1457">
        <v>3.75</v>
      </c>
      <c r="O1457" t="s">
        <v>628</v>
      </c>
      <c r="P1457">
        <v>45</v>
      </c>
      <c r="Q1457" t="s">
        <v>180</v>
      </c>
    </row>
    <row r="1458" spans="1:17" x14ac:dyDescent="0.25">
      <c r="A1458" t="s">
        <v>1150</v>
      </c>
      <c r="B1458" t="s">
        <v>1145</v>
      </c>
      <c r="C1458" t="s">
        <v>175</v>
      </c>
      <c r="D1458" t="s">
        <v>50</v>
      </c>
      <c r="E1458" t="s">
        <v>51</v>
      </c>
      <c r="F1458">
        <v>1</v>
      </c>
      <c r="G1458" t="s">
        <v>176</v>
      </c>
      <c r="H1458">
        <v>0</v>
      </c>
      <c r="I1458">
        <v>4</v>
      </c>
      <c r="J1458" s="10">
        <v>10</v>
      </c>
      <c r="K1458" s="10">
        <f>SUMIFS(F:F,D:D,DST_123_ÜRETİM_İHTİYAÇ_RAPORU_BURAK_YENI1309[[#This Row],[ALT_KOD]])-(SUMIFS(H:H,D:D,DST_123_ÜRETİM_İHTİYAÇ_RAPORU_BURAK_YENI1309[[#This Row],[ALT_KOD]])+AVERAGEIFS(I:I,D:D,DST_123_ÜRETİM_İHTİYAÇ_RAPORU_BURAK_YENI1309[[#This Row],[ALT_KOD]])+AVERAGEIFS(L:L,D:D,DST_123_ÜRETİM_İHTİYAÇ_RAPORU_BURAK_YENI1309[[#This Row],[ALT_KOD]]))</f>
        <v>8</v>
      </c>
      <c r="L1458">
        <v>0</v>
      </c>
      <c r="M1458">
        <f>IF((DST_123_ÜRETİM_İHTİYAÇ_RAPORU_BURAK_YENI1309[[#This Row],[SATINALMA]]*DST_123_ÜRETİM_İHTİYAÇ_RAPORU_BURAK_YENI1309[[#This Row],[BIRIM_FIYATLAR]])&lt;1,VALUE("0"),DST_123_ÜRETİM_İHTİYAÇ_RAPORU_BURAK_YENI1309[[#This Row],[SATINALMA]]*DST_123_ÜRETİM_İHTİYAÇ_RAPORU_BURAK_YENI1309[[#This Row],[BIRIM_FIYATLAR]])</f>
        <v>41649.120000000003</v>
      </c>
      <c r="N1458">
        <v>5206.1400000000003</v>
      </c>
      <c r="O1458" t="s">
        <v>215</v>
      </c>
      <c r="P1458">
        <v>5206.1400000000003</v>
      </c>
      <c r="Q1458" t="s">
        <v>221</v>
      </c>
    </row>
    <row r="1459" spans="1:17" x14ac:dyDescent="0.25">
      <c r="A1459" t="s">
        <v>1144</v>
      </c>
      <c r="B1459" t="s">
        <v>1145</v>
      </c>
      <c r="C1459" t="s">
        <v>175</v>
      </c>
      <c r="D1459" t="s">
        <v>349</v>
      </c>
      <c r="E1459" t="s">
        <v>350</v>
      </c>
      <c r="F1459">
        <v>0.5</v>
      </c>
      <c r="G1459" t="s">
        <v>176</v>
      </c>
      <c r="H1459">
        <v>0</v>
      </c>
      <c r="I1459">
        <v>12</v>
      </c>
      <c r="J1459" s="10">
        <v>3</v>
      </c>
      <c r="K1459" s="10">
        <f>SUMIFS(F:F,D:D,DST_123_ÜRETİM_İHTİYAÇ_RAPORU_BURAK_YENI1309[[#This Row],[ALT_KOD]])-(SUMIFS(H:H,D:D,DST_123_ÜRETİM_İHTİYAÇ_RAPORU_BURAK_YENI1309[[#This Row],[ALT_KOD]])+AVERAGEIFS(I:I,D:D,DST_123_ÜRETİM_İHTİYAÇ_RAPORU_BURAK_YENI1309[[#This Row],[ALT_KOD]])+AVERAGEIFS(L:L,D:D,DST_123_ÜRETİM_İHTİYAÇ_RAPORU_BURAK_YENI1309[[#This Row],[ALT_KOD]]))</f>
        <v>-3</v>
      </c>
      <c r="L1459">
        <v>0</v>
      </c>
      <c r="M1459">
        <f>IF((DST_123_ÜRETİM_İHTİYAÇ_RAPORU_BURAK_YENI1309[[#This Row],[SATINALMA]]*DST_123_ÜRETİM_İHTİYAÇ_RAPORU_BURAK_YENI1309[[#This Row],[BIRIM_FIYATLAR]])&lt;1,VALUE("0"),DST_123_ÜRETİM_İHTİYAÇ_RAPORU_BURAK_YENI1309[[#This Row],[SATINALMA]]*DST_123_ÜRETİM_İHTİYAÇ_RAPORU_BURAK_YENI1309[[#This Row],[BIRIM_FIYATLAR]])</f>
        <v>0</v>
      </c>
      <c r="N1459">
        <v>130</v>
      </c>
      <c r="O1459" t="s">
        <v>226</v>
      </c>
      <c r="P1459">
        <v>65</v>
      </c>
      <c r="Q1459" t="s">
        <v>183</v>
      </c>
    </row>
    <row r="1460" spans="1:17" x14ac:dyDescent="0.25">
      <c r="A1460" t="s">
        <v>1146</v>
      </c>
      <c r="B1460" t="s">
        <v>1145</v>
      </c>
      <c r="C1460" t="s">
        <v>175</v>
      </c>
      <c r="D1460" t="s">
        <v>349</v>
      </c>
      <c r="E1460" t="s">
        <v>350</v>
      </c>
      <c r="F1460">
        <v>0.5</v>
      </c>
      <c r="G1460" t="s">
        <v>176</v>
      </c>
      <c r="H1460">
        <v>0</v>
      </c>
      <c r="I1460">
        <v>12</v>
      </c>
      <c r="J1460" s="10">
        <v>3</v>
      </c>
      <c r="K1460" s="10">
        <f>SUMIFS(F:F,D:D,DST_123_ÜRETİM_İHTİYAÇ_RAPORU_BURAK_YENI1309[[#This Row],[ALT_KOD]])-(SUMIFS(H:H,D:D,DST_123_ÜRETİM_İHTİYAÇ_RAPORU_BURAK_YENI1309[[#This Row],[ALT_KOD]])+AVERAGEIFS(I:I,D:D,DST_123_ÜRETİM_İHTİYAÇ_RAPORU_BURAK_YENI1309[[#This Row],[ALT_KOD]])+AVERAGEIFS(L:L,D:D,DST_123_ÜRETİM_İHTİYAÇ_RAPORU_BURAK_YENI1309[[#This Row],[ALT_KOD]]))</f>
        <v>-3</v>
      </c>
      <c r="L1460">
        <v>0</v>
      </c>
      <c r="M1460">
        <f>IF((DST_123_ÜRETİM_İHTİYAÇ_RAPORU_BURAK_YENI1309[[#This Row],[SATINALMA]]*DST_123_ÜRETİM_İHTİYAÇ_RAPORU_BURAK_YENI1309[[#This Row],[BIRIM_FIYATLAR]])&lt;1,VALUE("0"),DST_123_ÜRETİM_İHTİYAÇ_RAPORU_BURAK_YENI1309[[#This Row],[SATINALMA]]*DST_123_ÜRETİM_İHTİYAÇ_RAPORU_BURAK_YENI1309[[#This Row],[BIRIM_FIYATLAR]])</f>
        <v>0</v>
      </c>
      <c r="N1460">
        <v>130</v>
      </c>
      <c r="O1460" t="s">
        <v>226</v>
      </c>
      <c r="P1460">
        <v>65</v>
      </c>
      <c r="Q1460" t="s">
        <v>183</v>
      </c>
    </row>
    <row r="1461" spans="1:17" x14ac:dyDescent="0.25">
      <c r="A1461" t="s">
        <v>1149</v>
      </c>
      <c r="B1461" t="s">
        <v>1145</v>
      </c>
      <c r="C1461" t="s">
        <v>175</v>
      </c>
      <c r="D1461" t="s">
        <v>86</v>
      </c>
      <c r="E1461" t="s">
        <v>87</v>
      </c>
      <c r="F1461">
        <v>2.02</v>
      </c>
      <c r="G1461" t="s">
        <v>176</v>
      </c>
      <c r="H1461">
        <v>0</v>
      </c>
      <c r="I1461">
        <v>47</v>
      </c>
      <c r="J1461" s="10">
        <v>1</v>
      </c>
      <c r="K1461" s="10">
        <f>SUMIFS(F:F,D:D,DST_123_ÜRETİM_İHTİYAÇ_RAPORU_BURAK_YENI1309[[#This Row],[ALT_KOD]])-(SUMIFS(H:H,D:D,DST_123_ÜRETİM_İHTİYAÇ_RAPORU_BURAK_YENI1309[[#This Row],[ALT_KOD]])+AVERAGEIFS(I:I,D:D,DST_123_ÜRETİM_İHTİYAÇ_RAPORU_BURAK_YENI1309[[#This Row],[ALT_KOD]])+AVERAGEIFS(L:L,D:D,DST_123_ÜRETİM_İHTİYAÇ_RAPORU_BURAK_YENI1309[[#This Row],[ALT_KOD]]))</f>
        <v>23.61999999999999</v>
      </c>
      <c r="L1461">
        <v>0</v>
      </c>
      <c r="M1461">
        <f>IF((DST_123_ÜRETİM_İHTİYAÇ_RAPORU_BURAK_YENI1309[[#This Row],[SATINALMA]]*DST_123_ÜRETİM_İHTİYAÇ_RAPORU_BURAK_YENI1309[[#This Row],[BIRIM_FIYATLAR]])&lt;1,VALUE("0"),DST_123_ÜRETİM_İHTİYAÇ_RAPORU_BURAK_YENI1309[[#This Row],[SATINALMA]]*DST_123_ÜRETİM_İHTİYAÇ_RAPORU_BURAK_YENI1309[[#This Row],[BIRIM_FIYATLAR]])</f>
        <v>2361.9999999999991</v>
      </c>
      <c r="N1461">
        <v>100</v>
      </c>
      <c r="O1461" t="s">
        <v>240</v>
      </c>
      <c r="P1461">
        <v>202</v>
      </c>
      <c r="Q1461" t="s">
        <v>183</v>
      </c>
    </row>
    <row r="1462" spans="1:17" x14ac:dyDescent="0.25">
      <c r="A1462" t="s">
        <v>1095</v>
      </c>
      <c r="B1462" t="s">
        <v>1096</v>
      </c>
      <c r="C1462" t="s">
        <v>175</v>
      </c>
      <c r="D1462" t="s">
        <v>349</v>
      </c>
      <c r="E1462" t="s">
        <v>350</v>
      </c>
      <c r="F1462">
        <v>0.5</v>
      </c>
      <c r="G1462" t="s">
        <v>176</v>
      </c>
      <c r="H1462">
        <v>0</v>
      </c>
      <c r="I1462">
        <v>12</v>
      </c>
      <c r="J1462" s="10">
        <v>3</v>
      </c>
      <c r="K1462" s="10">
        <f>SUMIFS(F:F,D:D,DST_123_ÜRETİM_İHTİYAÇ_RAPORU_BURAK_YENI1309[[#This Row],[ALT_KOD]])-(SUMIFS(H:H,D:D,DST_123_ÜRETİM_İHTİYAÇ_RAPORU_BURAK_YENI1309[[#This Row],[ALT_KOD]])+AVERAGEIFS(I:I,D:D,DST_123_ÜRETİM_İHTİYAÇ_RAPORU_BURAK_YENI1309[[#This Row],[ALT_KOD]])+AVERAGEIFS(L:L,D:D,DST_123_ÜRETİM_İHTİYAÇ_RAPORU_BURAK_YENI1309[[#This Row],[ALT_KOD]]))</f>
        <v>-3</v>
      </c>
      <c r="L1462">
        <v>0</v>
      </c>
      <c r="M1462">
        <f>IF((DST_123_ÜRETİM_İHTİYAÇ_RAPORU_BURAK_YENI1309[[#This Row],[SATINALMA]]*DST_123_ÜRETİM_İHTİYAÇ_RAPORU_BURAK_YENI1309[[#This Row],[BIRIM_FIYATLAR]])&lt;1,VALUE("0"),DST_123_ÜRETİM_İHTİYAÇ_RAPORU_BURAK_YENI1309[[#This Row],[SATINALMA]]*DST_123_ÜRETİM_İHTİYAÇ_RAPORU_BURAK_YENI1309[[#This Row],[BIRIM_FIYATLAR]])</f>
        <v>0</v>
      </c>
      <c r="N1462">
        <v>130</v>
      </c>
      <c r="O1462" t="s">
        <v>226</v>
      </c>
      <c r="P1462">
        <v>65</v>
      </c>
      <c r="Q1462" t="s">
        <v>183</v>
      </c>
    </row>
    <row r="1463" spans="1:17" x14ac:dyDescent="0.25">
      <c r="A1463" t="s">
        <v>1059</v>
      </c>
      <c r="B1463" t="s">
        <v>1058</v>
      </c>
      <c r="C1463" t="s">
        <v>175</v>
      </c>
      <c r="D1463" t="s">
        <v>349</v>
      </c>
      <c r="E1463" t="s">
        <v>350</v>
      </c>
      <c r="F1463">
        <v>0.5</v>
      </c>
      <c r="G1463" t="s">
        <v>176</v>
      </c>
      <c r="H1463">
        <v>0</v>
      </c>
      <c r="I1463">
        <v>12</v>
      </c>
      <c r="J1463" s="10">
        <v>3</v>
      </c>
      <c r="K1463" s="10">
        <f>SUMIFS(F:F,D:D,DST_123_ÜRETİM_İHTİYAÇ_RAPORU_BURAK_YENI1309[[#This Row],[ALT_KOD]])-(SUMIFS(H:H,D:D,DST_123_ÜRETİM_İHTİYAÇ_RAPORU_BURAK_YENI1309[[#This Row],[ALT_KOD]])+AVERAGEIFS(I:I,D:D,DST_123_ÜRETİM_İHTİYAÇ_RAPORU_BURAK_YENI1309[[#This Row],[ALT_KOD]])+AVERAGEIFS(L:L,D:D,DST_123_ÜRETİM_İHTİYAÇ_RAPORU_BURAK_YENI1309[[#This Row],[ALT_KOD]]))</f>
        <v>-3</v>
      </c>
      <c r="L1463">
        <v>0</v>
      </c>
      <c r="M1463">
        <f>IF((DST_123_ÜRETİM_İHTİYAÇ_RAPORU_BURAK_YENI1309[[#This Row],[SATINALMA]]*DST_123_ÜRETİM_İHTİYAÇ_RAPORU_BURAK_YENI1309[[#This Row],[BIRIM_FIYATLAR]])&lt;1,VALUE("0"),DST_123_ÜRETİM_İHTİYAÇ_RAPORU_BURAK_YENI1309[[#This Row],[SATINALMA]]*DST_123_ÜRETİM_İHTİYAÇ_RAPORU_BURAK_YENI1309[[#This Row],[BIRIM_FIYATLAR]])</f>
        <v>0</v>
      </c>
      <c r="N1463">
        <v>130</v>
      </c>
      <c r="O1463" t="s">
        <v>226</v>
      </c>
      <c r="P1463">
        <v>65</v>
      </c>
      <c r="Q1463" t="s">
        <v>183</v>
      </c>
    </row>
    <row r="1464" spans="1:17" x14ac:dyDescent="0.25">
      <c r="A1464" t="s">
        <v>1095</v>
      </c>
      <c r="B1464" t="s">
        <v>1096</v>
      </c>
      <c r="C1464" t="s">
        <v>175</v>
      </c>
      <c r="D1464" t="s">
        <v>86</v>
      </c>
      <c r="E1464" t="s">
        <v>87</v>
      </c>
      <c r="F1464">
        <v>3</v>
      </c>
      <c r="G1464" t="s">
        <v>176</v>
      </c>
      <c r="H1464">
        <v>0</v>
      </c>
      <c r="I1464">
        <v>47</v>
      </c>
      <c r="J1464" s="10">
        <v>1</v>
      </c>
      <c r="K1464" s="10">
        <f>SUMIFS(F:F,D:D,DST_123_ÜRETİM_İHTİYAÇ_RAPORU_BURAK_YENI1309[[#This Row],[ALT_KOD]])-(SUMIFS(H:H,D:D,DST_123_ÜRETİM_İHTİYAÇ_RAPORU_BURAK_YENI1309[[#This Row],[ALT_KOD]])+AVERAGEIFS(I:I,D:D,DST_123_ÜRETİM_İHTİYAÇ_RAPORU_BURAK_YENI1309[[#This Row],[ALT_KOD]])+AVERAGEIFS(L:L,D:D,DST_123_ÜRETİM_İHTİYAÇ_RAPORU_BURAK_YENI1309[[#This Row],[ALT_KOD]]))</f>
        <v>23.61999999999999</v>
      </c>
      <c r="L1464">
        <v>0</v>
      </c>
      <c r="M1464">
        <f>IF((DST_123_ÜRETİM_İHTİYAÇ_RAPORU_BURAK_YENI1309[[#This Row],[SATINALMA]]*DST_123_ÜRETİM_İHTİYAÇ_RAPORU_BURAK_YENI1309[[#This Row],[BIRIM_FIYATLAR]])&lt;1,VALUE("0"),DST_123_ÜRETİM_İHTİYAÇ_RAPORU_BURAK_YENI1309[[#This Row],[SATINALMA]]*DST_123_ÜRETİM_İHTİYAÇ_RAPORU_BURAK_YENI1309[[#This Row],[BIRIM_FIYATLAR]])</f>
        <v>2361.9999999999991</v>
      </c>
      <c r="N1464">
        <v>100</v>
      </c>
      <c r="O1464" t="s">
        <v>240</v>
      </c>
      <c r="P1464">
        <v>300</v>
      </c>
      <c r="Q1464" t="s">
        <v>183</v>
      </c>
    </row>
    <row r="1465" spans="1:17" x14ac:dyDescent="0.25">
      <c r="A1465" t="s">
        <v>1143</v>
      </c>
      <c r="B1465" t="s">
        <v>1056</v>
      </c>
      <c r="C1465" t="s">
        <v>175</v>
      </c>
      <c r="D1465" t="s">
        <v>349</v>
      </c>
      <c r="E1465" t="s">
        <v>350</v>
      </c>
      <c r="F1465">
        <v>0.5</v>
      </c>
      <c r="G1465" t="s">
        <v>176</v>
      </c>
      <c r="H1465">
        <v>0</v>
      </c>
      <c r="I1465">
        <v>12</v>
      </c>
      <c r="J1465" s="10">
        <v>3</v>
      </c>
      <c r="K1465" s="10">
        <f>SUMIFS(F:F,D:D,DST_123_ÜRETİM_İHTİYAÇ_RAPORU_BURAK_YENI1309[[#This Row],[ALT_KOD]])-(SUMIFS(H:H,D:D,DST_123_ÜRETİM_İHTİYAÇ_RAPORU_BURAK_YENI1309[[#This Row],[ALT_KOD]])+AVERAGEIFS(I:I,D:D,DST_123_ÜRETİM_İHTİYAÇ_RAPORU_BURAK_YENI1309[[#This Row],[ALT_KOD]])+AVERAGEIFS(L:L,D:D,DST_123_ÜRETİM_İHTİYAÇ_RAPORU_BURAK_YENI1309[[#This Row],[ALT_KOD]]))</f>
        <v>-3</v>
      </c>
      <c r="L1465">
        <v>0</v>
      </c>
      <c r="M1465">
        <f>IF((DST_123_ÜRETİM_İHTİYAÇ_RAPORU_BURAK_YENI1309[[#This Row],[SATINALMA]]*DST_123_ÜRETİM_İHTİYAÇ_RAPORU_BURAK_YENI1309[[#This Row],[BIRIM_FIYATLAR]])&lt;1,VALUE("0"),DST_123_ÜRETİM_İHTİYAÇ_RAPORU_BURAK_YENI1309[[#This Row],[SATINALMA]]*DST_123_ÜRETİM_İHTİYAÇ_RAPORU_BURAK_YENI1309[[#This Row],[BIRIM_FIYATLAR]])</f>
        <v>0</v>
      </c>
      <c r="N1465">
        <v>130</v>
      </c>
      <c r="O1465" t="s">
        <v>226</v>
      </c>
      <c r="P1465">
        <v>65</v>
      </c>
      <c r="Q1465" t="s">
        <v>183</v>
      </c>
    </row>
    <row r="1466" spans="1:17" x14ac:dyDescent="0.25">
      <c r="A1466" t="s">
        <v>1097</v>
      </c>
      <c r="B1466" t="s">
        <v>1055</v>
      </c>
      <c r="C1466" t="s">
        <v>175</v>
      </c>
      <c r="D1466" t="s">
        <v>349</v>
      </c>
      <c r="E1466" t="s">
        <v>350</v>
      </c>
      <c r="F1466">
        <v>0.5</v>
      </c>
      <c r="G1466" t="s">
        <v>176</v>
      </c>
      <c r="H1466">
        <v>0</v>
      </c>
      <c r="I1466">
        <v>12</v>
      </c>
      <c r="J1466" s="10">
        <v>3</v>
      </c>
      <c r="K1466" s="10">
        <f>SUMIFS(F:F,D:D,DST_123_ÜRETİM_İHTİYAÇ_RAPORU_BURAK_YENI1309[[#This Row],[ALT_KOD]])-(SUMIFS(H:H,D:D,DST_123_ÜRETİM_İHTİYAÇ_RAPORU_BURAK_YENI1309[[#This Row],[ALT_KOD]])+AVERAGEIFS(I:I,D:D,DST_123_ÜRETİM_İHTİYAÇ_RAPORU_BURAK_YENI1309[[#This Row],[ALT_KOD]])+AVERAGEIFS(L:L,D:D,DST_123_ÜRETİM_İHTİYAÇ_RAPORU_BURAK_YENI1309[[#This Row],[ALT_KOD]]))</f>
        <v>-3</v>
      </c>
      <c r="L1466">
        <v>0</v>
      </c>
      <c r="M1466">
        <f>IF((DST_123_ÜRETİM_İHTİYAÇ_RAPORU_BURAK_YENI1309[[#This Row],[SATINALMA]]*DST_123_ÜRETİM_İHTİYAÇ_RAPORU_BURAK_YENI1309[[#This Row],[BIRIM_FIYATLAR]])&lt;1,VALUE("0"),DST_123_ÜRETİM_İHTİYAÇ_RAPORU_BURAK_YENI1309[[#This Row],[SATINALMA]]*DST_123_ÜRETİM_İHTİYAÇ_RAPORU_BURAK_YENI1309[[#This Row],[BIRIM_FIYATLAR]])</f>
        <v>0</v>
      </c>
      <c r="N1466">
        <v>130</v>
      </c>
      <c r="O1466" t="s">
        <v>226</v>
      </c>
      <c r="P1466">
        <v>65</v>
      </c>
      <c r="Q1466" t="s">
        <v>183</v>
      </c>
    </row>
    <row r="1467" spans="1:17" x14ac:dyDescent="0.25">
      <c r="A1467" t="s">
        <v>1142</v>
      </c>
      <c r="B1467" t="s">
        <v>1056</v>
      </c>
      <c r="C1467" t="s">
        <v>175</v>
      </c>
      <c r="D1467" t="s">
        <v>349</v>
      </c>
      <c r="E1467" t="s">
        <v>350</v>
      </c>
      <c r="F1467">
        <v>0.5</v>
      </c>
      <c r="G1467" t="s">
        <v>176</v>
      </c>
      <c r="H1467">
        <v>0</v>
      </c>
      <c r="I1467">
        <v>12</v>
      </c>
      <c r="J1467" s="10">
        <v>3</v>
      </c>
      <c r="K1467" s="10">
        <f>SUMIFS(F:F,D:D,DST_123_ÜRETİM_İHTİYAÇ_RAPORU_BURAK_YENI1309[[#This Row],[ALT_KOD]])-(SUMIFS(H:H,D:D,DST_123_ÜRETİM_İHTİYAÇ_RAPORU_BURAK_YENI1309[[#This Row],[ALT_KOD]])+AVERAGEIFS(I:I,D:D,DST_123_ÜRETİM_İHTİYAÇ_RAPORU_BURAK_YENI1309[[#This Row],[ALT_KOD]])+AVERAGEIFS(L:L,D:D,DST_123_ÜRETİM_İHTİYAÇ_RAPORU_BURAK_YENI1309[[#This Row],[ALT_KOD]]))</f>
        <v>-3</v>
      </c>
      <c r="L1467">
        <v>0</v>
      </c>
      <c r="M1467">
        <f>IF((DST_123_ÜRETİM_İHTİYAÇ_RAPORU_BURAK_YENI1309[[#This Row],[SATINALMA]]*DST_123_ÜRETİM_İHTİYAÇ_RAPORU_BURAK_YENI1309[[#This Row],[BIRIM_FIYATLAR]])&lt;1,VALUE("0"),DST_123_ÜRETİM_İHTİYAÇ_RAPORU_BURAK_YENI1309[[#This Row],[SATINALMA]]*DST_123_ÜRETİM_İHTİYAÇ_RAPORU_BURAK_YENI1309[[#This Row],[BIRIM_FIYATLAR]])</f>
        <v>0</v>
      </c>
      <c r="N1467">
        <v>130</v>
      </c>
      <c r="O1467" t="s">
        <v>226</v>
      </c>
      <c r="P1467">
        <v>65</v>
      </c>
      <c r="Q1467" t="s">
        <v>183</v>
      </c>
    </row>
    <row r="1468" spans="1:17" x14ac:dyDescent="0.25">
      <c r="A1468" t="s">
        <v>1059</v>
      </c>
      <c r="B1468" t="s">
        <v>1058</v>
      </c>
      <c r="C1468" t="s">
        <v>175</v>
      </c>
      <c r="D1468" t="s">
        <v>86</v>
      </c>
      <c r="E1468" t="s">
        <v>87</v>
      </c>
      <c r="F1468">
        <v>9</v>
      </c>
      <c r="G1468" t="s">
        <v>176</v>
      </c>
      <c r="H1468">
        <v>0</v>
      </c>
      <c r="I1468">
        <v>47</v>
      </c>
      <c r="J1468" s="10">
        <v>1</v>
      </c>
      <c r="K1468" s="10">
        <f>SUMIFS(F:F,D:D,DST_123_ÜRETİM_İHTİYAÇ_RAPORU_BURAK_YENI1309[[#This Row],[ALT_KOD]])-(SUMIFS(H:H,D:D,DST_123_ÜRETİM_İHTİYAÇ_RAPORU_BURAK_YENI1309[[#This Row],[ALT_KOD]])+AVERAGEIFS(I:I,D:D,DST_123_ÜRETİM_İHTİYAÇ_RAPORU_BURAK_YENI1309[[#This Row],[ALT_KOD]])+AVERAGEIFS(L:L,D:D,DST_123_ÜRETİM_İHTİYAÇ_RAPORU_BURAK_YENI1309[[#This Row],[ALT_KOD]]))</f>
        <v>23.61999999999999</v>
      </c>
      <c r="L1468">
        <v>0</v>
      </c>
      <c r="M1468">
        <f>IF((DST_123_ÜRETİM_İHTİYAÇ_RAPORU_BURAK_YENI1309[[#This Row],[SATINALMA]]*DST_123_ÜRETİM_İHTİYAÇ_RAPORU_BURAK_YENI1309[[#This Row],[BIRIM_FIYATLAR]])&lt;1,VALUE("0"),DST_123_ÜRETİM_İHTİYAÇ_RAPORU_BURAK_YENI1309[[#This Row],[SATINALMA]]*DST_123_ÜRETİM_İHTİYAÇ_RAPORU_BURAK_YENI1309[[#This Row],[BIRIM_FIYATLAR]])</f>
        <v>2361.9999999999991</v>
      </c>
      <c r="N1468">
        <v>100</v>
      </c>
      <c r="O1468" t="s">
        <v>240</v>
      </c>
      <c r="P1468">
        <v>900</v>
      </c>
      <c r="Q1468" t="s">
        <v>183</v>
      </c>
    </row>
    <row r="1469" spans="1:17" x14ac:dyDescent="0.25">
      <c r="A1469" t="s">
        <v>1097</v>
      </c>
      <c r="B1469" t="s">
        <v>1055</v>
      </c>
      <c r="C1469" t="s">
        <v>175</v>
      </c>
      <c r="D1469" t="s">
        <v>86</v>
      </c>
      <c r="E1469" t="s">
        <v>87</v>
      </c>
      <c r="F1469">
        <v>4</v>
      </c>
      <c r="G1469" t="s">
        <v>176</v>
      </c>
      <c r="H1469">
        <v>0</v>
      </c>
      <c r="I1469">
        <v>47</v>
      </c>
      <c r="J1469" s="10">
        <v>1</v>
      </c>
      <c r="K1469" s="10">
        <f>SUMIFS(F:F,D:D,DST_123_ÜRETİM_İHTİYAÇ_RAPORU_BURAK_YENI1309[[#This Row],[ALT_KOD]])-(SUMIFS(H:H,D:D,DST_123_ÜRETİM_İHTİYAÇ_RAPORU_BURAK_YENI1309[[#This Row],[ALT_KOD]])+AVERAGEIFS(I:I,D:D,DST_123_ÜRETİM_İHTİYAÇ_RAPORU_BURAK_YENI1309[[#This Row],[ALT_KOD]])+AVERAGEIFS(L:L,D:D,DST_123_ÜRETİM_İHTİYAÇ_RAPORU_BURAK_YENI1309[[#This Row],[ALT_KOD]]))</f>
        <v>23.61999999999999</v>
      </c>
      <c r="L1469">
        <v>0</v>
      </c>
      <c r="M1469">
        <f>IF((DST_123_ÜRETİM_İHTİYAÇ_RAPORU_BURAK_YENI1309[[#This Row],[SATINALMA]]*DST_123_ÜRETİM_İHTİYAÇ_RAPORU_BURAK_YENI1309[[#This Row],[BIRIM_FIYATLAR]])&lt;1,VALUE("0"),DST_123_ÜRETİM_İHTİYAÇ_RAPORU_BURAK_YENI1309[[#This Row],[SATINALMA]]*DST_123_ÜRETİM_İHTİYAÇ_RAPORU_BURAK_YENI1309[[#This Row],[BIRIM_FIYATLAR]])</f>
        <v>2361.9999999999991</v>
      </c>
      <c r="N1469">
        <v>100</v>
      </c>
      <c r="O1469" t="s">
        <v>240</v>
      </c>
      <c r="P1469">
        <v>400</v>
      </c>
      <c r="Q1469" t="s">
        <v>183</v>
      </c>
    </row>
    <row r="1470" spans="1:17" x14ac:dyDescent="0.25">
      <c r="A1470" t="s">
        <v>1143</v>
      </c>
      <c r="B1470" t="s">
        <v>1056</v>
      </c>
      <c r="C1470" t="s">
        <v>175</v>
      </c>
      <c r="D1470" t="s">
        <v>86</v>
      </c>
      <c r="E1470" t="s">
        <v>87</v>
      </c>
      <c r="F1470">
        <v>2</v>
      </c>
      <c r="G1470" t="s">
        <v>176</v>
      </c>
      <c r="H1470">
        <v>0</v>
      </c>
      <c r="I1470">
        <v>47</v>
      </c>
      <c r="J1470" s="10">
        <v>1</v>
      </c>
      <c r="K1470" s="10">
        <f>SUMIFS(F:F,D:D,DST_123_ÜRETİM_İHTİYAÇ_RAPORU_BURAK_YENI1309[[#This Row],[ALT_KOD]])-(SUMIFS(H:H,D:D,DST_123_ÜRETİM_İHTİYAÇ_RAPORU_BURAK_YENI1309[[#This Row],[ALT_KOD]])+AVERAGEIFS(I:I,D:D,DST_123_ÜRETİM_İHTİYAÇ_RAPORU_BURAK_YENI1309[[#This Row],[ALT_KOD]])+AVERAGEIFS(L:L,D:D,DST_123_ÜRETİM_İHTİYAÇ_RAPORU_BURAK_YENI1309[[#This Row],[ALT_KOD]]))</f>
        <v>23.61999999999999</v>
      </c>
      <c r="L1470">
        <v>0</v>
      </c>
      <c r="M1470">
        <f>IF((DST_123_ÜRETİM_İHTİYAÇ_RAPORU_BURAK_YENI1309[[#This Row],[SATINALMA]]*DST_123_ÜRETİM_İHTİYAÇ_RAPORU_BURAK_YENI1309[[#This Row],[BIRIM_FIYATLAR]])&lt;1,VALUE("0"),DST_123_ÜRETİM_İHTİYAÇ_RAPORU_BURAK_YENI1309[[#This Row],[SATINALMA]]*DST_123_ÜRETİM_İHTİYAÇ_RAPORU_BURAK_YENI1309[[#This Row],[BIRIM_FIYATLAR]])</f>
        <v>2361.9999999999991</v>
      </c>
      <c r="N1470">
        <v>100</v>
      </c>
      <c r="O1470" t="s">
        <v>240</v>
      </c>
      <c r="P1470">
        <v>200</v>
      </c>
      <c r="Q1470" t="s">
        <v>183</v>
      </c>
    </row>
    <row r="1471" spans="1:17" x14ac:dyDescent="0.25">
      <c r="A1471" t="s">
        <v>1144</v>
      </c>
      <c r="B1471" t="s">
        <v>1145</v>
      </c>
      <c r="C1471" t="s">
        <v>175</v>
      </c>
      <c r="D1471" t="s">
        <v>38</v>
      </c>
      <c r="E1471" t="s">
        <v>39</v>
      </c>
      <c r="F1471">
        <v>2</v>
      </c>
      <c r="G1471" t="s">
        <v>176</v>
      </c>
      <c r="H1471">
        <v>0</v>
      </c>
      <c r="I1471">
        <v>304</v>
      </c>
      <c r="J1471" s="10">
        <v>13</v>
      </c>
      <c r="K1471" s="10">
        <f>SUMIFS(F:F,D:D,DST_123_ÜRETİM_İHTİYAÇ_RAPORU_BURAK_YENI1309[[#This Row],[ALT_KOD]])-(SUMIFS(H:H,D:D,DST_123_ÜRETİM_İHTİYAÇ_RAPORU_BURAK_YENI1309[[#This Row],[ALT_KOD]])+AVERAGEIFS(I:I,D:D,DST_123_ÜRETİM_İHTİYAÇ_RAPORU_BURAK_YENI1309[[#This Row],[ALT_KOD]])+AVERAGEIFS(L:L,D:D,DST_123_ÜRETİM_İHTİYAÇ_RAPORU_BURAK_YENI1309[[#This Row],[ALT_KOD]]))</f>
        <v>-281</v>
      </c>
      <c r="L1471">
        <v>0</v>
      </c>
      <c r="M1471">
        <f>IF((DST_123_ÜRETİM_İHTİYAÇ_RAPORU_BURAK_YENI1309[[#This Row],[SATINALMA]]*DST_123_ÜRETİM_İHTİYAÇ_RAPORU_BURAK_YENI1309[[#This Row],[BIRIM_FIYATLAR]])&lt;1,VALUE("0"),DST_123_ÜRETİM_İHTİYAÇ_RAPORU_BURAK_YENI1309[[#This Row],[SATINALMA]]*DST_123_ÜRETİM_İHTİYAÇ_RAPORU_BURAK_YENI1309[[#This Row],[BIRIM_FIYATLAR]])</f>
        <v>0</v>
      </c>
      <c r="N1471">
        <v>210</v>
      </c>
      <c r="O1471" t="s">
        <v>220</v>
      </c>
      <c r="P1471">
        <v>420</v>
      </c>
      <c r="Q1471" t="s">
        <v>221</v>
      </c>
    </row>
    <row r="1472" spans="1:17" x14ac:dyDescent="0.25">
      <c r="A1472" t="s">
        <v>1146</v>
      </c>
      <c r="B1472" t="s">
        <v>1145</v>
      </c>
      <c r="C1472" t="s">
        <v>175</v>
      </c>
      <c r="D1472" t="s">
        <v>38</v>
      </c>
      <c r="E1472" t="s">
        <v>39</v>
      </c>
      <c r="F1472">
        <v>1</v>
      </c>
      <c r="G1472" t="s">
        <v>176</v>
      </c>
      <c r="H1472">
        <v>0</v>
      </c>
      <c r="I1472">
        <v>304</v>
      </c>
      <c r="J1472" s="10">
        <v>13</v>
      </c>
      <c r="K1472" s="10">
        <f>SUMIFS(F:F,D:D,DST_123_ÜRETİM_İHTİYAÇ_RAPORU_BURAK_YENI1309[[#This Row],[ALT_KOD]])-(SUMIFS(H:H,D:D,DST_123_ÜRETİM_İHTİYAÇ_RAPORU_BURAK_YENI1309[[#This Row],[ALT_KOD]])+AVERAGEIFS(I:I,D:D,DST_123_ÜRETİM_İHTİYAÇ_RAPORU_BURAK_YENI1309[[#This Row],[ALT_KOD]])+AVERAGEIFS(L:L,D:D,DST_123_ÜRETİM_İHTİYAÇ_RAPORU_BURAK_YENI1309[[#This Row],[ALT_KOD]]))</f>
        <v>-281</v>
      </c>
      <c r="L1472">
        <v>0</v>
      </c>
      <c r="M1472">
        <f>IF((DST_123_ÜRETİM_İHTİYAÇ_RAPORU_BURAK_YENI1309[[#This Row],[SATINALMA]]*DST_123_ÜRETİM_İHTİYAÇ_RAPORU_BURAK_YENI1309[[#This Row],[BIRIM_FIYATLAR]])&lt;1,VALUE("0"),DST_123_ÜRETİM_İHTİYAÇ_RAPORU_BURAK_YENI1309[[#This Row],[SATINALMA]]*DST_123_ÜRETİM_İHTİYAÇ_RAPORU_BURAK_YENI1309[[#This Row],[BIRIM_FIYATLAR]])</f>
        <v>0</v>
      </c>
      <c r="N1472">
        <v>210</v>
      </c>
      <c r="O1472" t="s">
        <v>220</v>
      </c>
      <c r="P1472">
        <v>210</v>
      </c>
      <c r="Q1472" t="s">
        <v>221</v>
      </c>
    </row>
    <row r="1473" spans="1:17" x14ac:dyDescent="0.25">
      <c r="A1473" t="s">
        <v>1144</v>
      </c>
      <c r="B1473" t="s">
        <v>1145</v>
      </c>
      <c r="C1473" t="s">
        <v>175</v>
      </c>
      <c r="D1473" t="s">
        <v>426</v>
      </c>
      <c r="E1473" t="s">
        <v>427</v>
      </c>
      <c r="F1473">
        <v>1</v>
      </c>
      <c r="G1473" t="s">
        <v>176</v>
      </c>
      <c r="H1473">
        <v>0</v>
      </c>
      <c r="I1473">
        <v>12</v>
      </c>
      <c r="J1473" s="10">
        <v>9</v>
      </c>
      <c r="K1473" s="10">
        <f>SUMIFS(F:F,D:D,DST_123_ÜRETİM_İHTİYAÇ_RAPORU_BURAK_YENI1309[[#This Row],[ALT_KOD]])-(SUMIFS(H:H,D:D,DST_123_ÜRETİM_İHTİYAÇ_RAPORU_BURAK_YENI1309[[#This Row],[ALT_KOD]])+AVERAGEIFS(I:I,D:D,DST_123_ÜRETİM_İHTİYAÇ_RAPORU_BURAK_YENI1309[[#This Row],[ALT_KOD]])+AVERAGEIFS(L:L,D:D,DST_123_ÜRETİM_İHTİYAÇ_RAPORU_BURAK_YENI1309[[#This Row],[ALT_KOD]]))</f>
        <v>0</v>
      </c>
      <c r="L1473">
        <v>0</v>
      </c>
      <c r="M1473">
        <f>IF((DST_123_ÜRETİM_İHTİYAÇ_RAPORU_BURAK_YENI1309[[#This Row],[SATINALMA]]*DST_123_ÜRETİM_İHTİYAÇ_RAPORU_BURAK_YENI1309[[#This Row],[BIRIM_FIYATLAR]])&lt;1,VALUE("0"),DST_123_ÜRETİM_İHTİYAÇ_RAPORU_BURAK_YENI1309[[#This Row],[SATINALMA]]*DST_123_ÜRETİM_İHTİYAÇ_RAPORU_BURAK_YENI1309[[#This Row],[BIRIM_FIYATLAR]])</f>
        <v>0</v>
      </c>
      <c r="N1473">
        <v>266.72000000000003</v>
      </c>
      <c r="O1473" t="s">
        <v>227</v>
      </c>
      <c r="P1473">
        <v>266.72000000000003</v>
      </c>
      <c r="Q1473" t="s">
        <v>221</v>
      </c>
    </row>
    <row r="1474" spans="1:17" x14ac:dyDescent="0.25">
      <c r="A1474" t="s">
        <v>1146</v>
      </c>
      <c r="B1474" t="s">
        <v>1145</v>
      </c>
      <c r="C1474" t="s">
        <v>175</v>
      </c>
      <c r="D1474" t="s">
        <v>426</v>
      </c>
      <c r="E1474" t="s">
        <v>427</v>
      </c>
      <c r="F1474">
        <v>1</v>
      </c>
      <c r="G1474" t="s">
        <v>176</v>
      </c>
      <c r="H1474">
        <v>0</v>
      </c>
      <c r="I1474">
        <v>12</v>
      </c>
      <c r="J1474" s="10">
        <v>9</v>
      </c>
      <c r="K1474" s="10">
        <f>SUMIFS(F:F,D:D,DST_123_ÜRETİM_İHTİYAÇ_RAPORU_BURAK_YENI1309[[#This Row],[ALT_KOD]])-(SUMIFS(H:H,D:D,DST_123_ÜRETİM_İHTİYAÇ_RAPORU_BURAK_YENI1309[[#This Row],[ALT_KOD]])+AVERAGEIFS(I:I,D:D,DST_123_ÜRETİM_İHTİYAÇ_RAPORU_BURAK_YENI1309[[#This Row],[ALT_KOD]])+AVERAGEIFS(L:L,D:D,DST_123_ÜRETİM_İHTİYAÇ_RAPORU_BURAK_YENI1309[[#This Row],[ALT_KOD]]))</f>
        <v>0</v>
      </c>
      <c r="L1474">
        <v>0</v>
      </c>
      <c r="M1474">
        <f>IF((DST_123_ÜRETİM_İHTİYAÇ_RAPORU_BURAK_YENI1309[[#This Row],[SATINALMA]]*DST_123_ÜRETİM_İHTİYAÇ_RAPORU_BURAK_YENI1309[[#This Row],[BIRIM_FIYATLAR]])&lt;1,VALUE("0"),DST_123_ÜRETİM_İHTİYAÇ_RAPORU_BURAK_YENI1309[[#This Row],[SATINALMA]]*DST_123_ÜRETİM_İHTİYAÇ_RAPORU_BURAK_YENI1309[[#This Row],[BIRIM_FIYATLAR]])</f>
        <v>0</v>
      </c>
      <c r="N1474">
        <v>266.72000000000003</v>
      </c>
      <c r="O1474" t="s">
        <v>227</v>
      </c>
      <c r="P1474">
        <v>266.72000000000003</v>
      </c>
      <c r="Q1474" t="s">
        <v>221</v>
      </c>
    </row>
    <row r="1475" spans="1:17" x14ac:dyDescent="0.25">
      <c r="A1475" t="s">
        <v>1150</v>
      </c>
      <c r="B1475" t="s">
        <v>1145</v>
      </c>
      <c r="C1475" t="s">
        <v>175</v>
      </c>
      <c r="D1475" t="s">
        <v>86</v>
      </c>
      <c r="E1475" t="s">
        <v>87</v>
      </c>
      <c r="F1475">
        <v>2.02</v>
      </c>
      <c r="G1475" t="s">
        <v>176</v>
      </c>
      <c r="H1475">
        <v>0</v>
      </c>
      <c r="I1475">
        <v>47</v>
      </c>
      <c r="J1475" s="10">
        <v>1</v>
      </c>
      <c r="K1475" s="10">
        <f>SUMIFS(F:F,D:D,DST_123_ÜRETİM_İHTİYAÇ_RAPORU_BURAK_YENI1309[[#This Row],[ALT_KOD]])-(SUMIFS(H:H,D:D,DST_123_ÜRETİM_İHTİYAÇ_RAPORU_BURAK_YENI1309[[#This Row],[ALT_KOD]])+AVERAGEIFS(I:I,D:D,DST_123_ÜRETİM_İHTİYAÇ_RAPORU_BURAK_YENI1309[[#This Row],[ALT_KOD]])+AVERAGEIFS(L:L,D:D,DST_123_ÜRETİM_İHTİYAÇ_RAPORU_BURAK_YENI1309[[#This Row],[ALT_KOD]]))</f>
        <v>23.61999999999999</v>
      </c>
      <c r="L1475">
        <v>0</v>
      </c>
      <c r="M1475">
        <f>IF((DST_123_ÜRETİM_İHTİYAÇ_RAPORU_BURAK_YENI1309[[#This Row],[SATINALMA]]*DST_123_ÜRETİM_İHTİYAÇ_RAPORU_BURAK_YENI1309[[#This Row],[BIRIM_FIYATLAR]])&lt;1,VALUE("0"),DST_123_ÜRETİM_İHTİYAÇ_RAPORU_BURAK_YENI1309[[#This Row],[SATINALMA]]*DST_123_ÜRETİM_İHTİYAÇ_RAPORU_BURAK_YENI1309[[#This Row],[BIRIM_FIYATLAR]])</f>
        <v>2361.9999999999991</v>
      </c>
      <c r="N1475">
        <v>100</v>
      </c>
      <c r="O1475" t="s">
        <v>240</v>
      </c>
      <c r="P1475">
        <v>202</v>
      </c>
      <c r="Q1475" t="s">
        <v>183</v>
      </c>
    </row>
    <row r="1476" spans="1:17" x14ac:dyDescent="0.25">
      <c r="A1476" t="s">
        <v>1142</v>
      </c>
      <c r="B1476" t="s">
        <v>1056</v>
      </c>
      <c r="C1476" t="s">
        <v>175</v>
      </c>
      <c r="D1476" t="s">
        <v>722</v>
      </c>
      <c r="E1476" t="s">
        <v>723</v>
      </c>
      <c r="F1476">
        <v>8</v>
      </c>
      <c r="G1476" t="s">
        <v>176</v>
      </c>
      <c r="H1476">
        <v>0</v>
      </c>
      <c r="I1476">
        <v>1270</v>
      </c>
      <c r="J1476" s="10">
        <v>698</v>
      </c>
      <c r="K1476" s="10">
        <f>SUMIFS(F:F,D:D,DST_123_ÜRETİM_İHTİYAÇ_RAPORU_BURAK_YENI1309[[#This Row],[ALT_KOD]])-(SUMIFS(H:H,D:D,DST_123_ÜRETİM_İHTİYAÇ_RAPORU_BURAK_YENI1309[[#This Row],[ALT_KOD]])+AVERAGEIFS(I:I,D:D,DST_123_ÜRETİM_İHTİYAÇ_RAPORU_BURAK_YENI1309[[#This Row],[ALT_KOD]])+AVERAGEIFS(L:L,D:D,DST_123_ÜRETİM_İHTİYAÇ_RAPORU_BURAK_YENI1309[[#This Row],[ALT_KOD]]))</f>
        <v>-1174</v>
      </c>
      <c r="L1476">
        <v>0</v>
      </c>
      <c r="M1476">
        <f>IF((DST_123_ÜRETİM_İHTİYAÇ_RAPORU_BURAK_YENI1309[[#This Row],[SATINALMA]]*DST_123_ÜRETİM_İHTİYAÇ_RAPORU_BURAK_YENI1309[[#This Row],[BIRIM_FIYATLAR]])&lt;1,VALUE("0"),DST_123_ÜRETİM_İHTİYAÇ_RAPORU_BURAK_YENI1309[[#This Row],[SATINALMA]]*DST_123_ÜRETİM_İHTİYAÇ_RAPORU_BURAK_YENI1309[[#This Row],[BIRIM_FIYATLAR]])</f>
        <v>0</v>
      </c>
      <c r="N1476">
        <v>0.55000000000000004</v>
      </c>
      <c r="O1476" t="s">
        <v>240</v>
      </c>
      <c r="P1476">
        <v>4.4000000000000004</v>
      </c>
      <c r="Q1476" t="s">
        <v>180</v>
      </c>
    </row>
    <row r="1477" spans="1:17" x14ac:dyDescent="0.25">
      <c r="A1477" t="s">
        <v>1142</v>
      </c>
      <c r="B1477" t="s">
        <v>1056</v>
      </c>
      <c r="C1477" t="s">
        <v>175</v>
      </c>
      <c r="D1477" t="s">
        <v>1191</v>
      </c>
      <c r="E1477" t="s">
        <v>1192</v>
      </c>
      <c r="F1477">
        <v>0.1</v>
      </c>
      <c r="G1477" t="s">
        <v>185</v>
      </c>
      <c r="H1477">
        <v>0</v>
      </c>
      <c r="I1477">
        <v>32</v>
      </c>
      <c r="J1477" s="10">
        <v>60</v>
      </c>
      <c r="K1477" s="10">
        <f>SUMIFS(F:F,D:D,DST_123_ÜRETİM_İHTİYAÇ_RAPORU_BURAK_YENI1309[[#This Row],[ALT_KOD]])-(SUMIFS(H:H,D:D,DST_123_ÜRETİM_İHTİYAÇ_RAPORU_BURAK_YENI1309[[#This Row],[ALT_KOD]])+AVERAGEIFS(I:I,D:D,DST_123_ÜRETİM_İHTİYAÇ_RAPORU_BURAK_YENI1309[[#This Row],[ALT_KOD]])+AVERAGEIFS(L:L,D:D,DST_123_ÜRETİM_İHTİYAÇ_RAPORU_BURAK_YENI1309[[#This Row],[ALT_KOD]]))</f>
        <v>-31.4</v>
      </c>
      <c r="L1477">
        <v>0</v>
      </c>
      <c r="M1477">
        <f>IF((DST_123_ÜRETİM_İHTİYAÇ_RAPORU_BURAK_YENI1309[[#This Row],[SATINALMA]]*DST_123_ÜRETİM_İHTİYAÇ_RAPORU_BURAK_YENI1309[[#This Row],[BIRIM_FIYATLAR]])&lt;1,VALUE("0"),DST_123_ÜRETİM_İHTİYAÇ_RAPORU_BURAK_YENI1309[[#This Row],[SATINALMA]]*DST_123_ÜRETİM_İHTİYAÇ_RAPORU_BURAK_YENI1309[[#This Row],[BIRIM_FIYATLAR]])</f>
        <v>0</v>
      </c>
      <c r="N1477">
        <v>110</v>
      </c>
      <c r="O1477" t="s">
        <v>1193</v>
      </c>
      <c r="P1477">
        <v>11</v>
      </c>
      <c r="Q1477" t="s">
        <v>183</v>
      </c>
    </row>
    <row r="1478" spans="1:17" x14ac:dyDescent="0.25">
      <c r="A1478" t="s">
        <v>1150</v>
      </c>
      <c r="B1478" t="s">
        <v>1145</v>
      </c>
      <c r="C1478" t="s">
        <v>175</v>
      </c>
      <c r="D1478" t="s">
        <v>349</v>
      </c>
      <c r="E1478" t="s">
        <v>350</v>
      </c>
      <c r="F1478">
        <v>0.5</v>
      </c>
      <c r="G1478" t="s">
        <v>176</v>
      </c>
      <c r="H1478">
        <v>0</v>
      </c>
      <c r="I1478">
        <v>12</v>
      </c>
      <c r="J1478" s="10">
        <v>3</v>
      </c>
      <c r="K1478" s="10">
        <f>SUMIFS(F:F,D:D,DST_123_ÜRETİM_İHTİYAÇ_RAPORU_BURAK_YENI1309[[#This Row],[ALT_KOD]])-(SUMIFS(H:H,D:D,DST_123_ÜRETİM_İHTİYAÇ_RAPORU_BURAK_YENI1309[[#This Row],[ALT_KOD]])+AVERAGEIFS(I:I,D:D,DST_123_ÜRETİM_İHTİYAÇ_RAPORU_BURAK_YENI1309[[#This Row],[ALT_KOD]])+AVERAGEIFS(L:L,D:D,DST_123_ÜRETİM_İHTİYAÇ_RAPORU_BURAK_YENI1309[[#This Row],[ALT_KOD]]))</f>
        <v>-3</v>
      </c>
      <c r="L1478">
        <v>0</v>
      </c>
      <c r="M1478">
        <f>IF((DST_123_ÜRETİM_İHTİYAÇ_RAPORU_BURAK_YENI1309[[#This Row],[SATINALMA]]*DST_123_ÜRETİM_İHTİYAÇ_RAPORU_BURAK_YENI1309[[#This Row],[BIRIM_FIYATLAR]])&lt;1,VALUE("0"),DST_123_ÜRETİM_İHTİYAÇ_RAPORU_BURAK_YENI1309[[#This Row],[SATINALMA]]*DST_123_ÜRETİM_İHTİYAÇ_RAPORU_BURAK_YENI1309[[#This Row],[BIRIM_FIYATLAR]])</f>
        <v>0</v>
      </c>
      <c r="N1478">
        <v>130</v>
      </c>
      <c r="O1478" t="s">
        <v>226</v>
      </c>
      <c r="P1478">
        <v>65</v>
      </c>
      <c r="Q1478" t="s">
        <v>183</v>
      </c>
    </row>
    <row r="1479" spans="1:17" x14ac:dyDescent="0.25">
      <c r="A1479" t="s">
        <v>1146</v>
      </c>
      <c r="B1479" t="s">
        <v>1145</v>
      </c>
      <c r="C1479" t="s">
        <v>175</v>
      </c>
      <c r="D1479" t="s">
        <v>86</v>
      </c>
      <c r="E1479" t="s">
        <v>87</v>
      </c>
      <c r="F1479">
        <v>2</v>
      </c>
      <c r="G1479" t="s">
        <v>176</v>
      </c>
      <c r="H1479">
        <v>0</v>
      </c>
      <c r="I1479">
        <v>47</v>
      </c>
      <c r="J1479" s="10">
        <v>1</v>
      </c>
      <c r="K1479" s="10">
        <f>SUMIFS(F:F,D:D,DST_123_ÜRETİM_İHTİYAÇ_RAPORU_BURAK_YENI1309[[#This Row],[ALT_KOD]])-(SUMIFS(H:H,D:D,DST_123_ÜRETİM_İHTİYAÇ_RAPORU_BURAK_YENI1309[[#This Row],[ALT_KOD]])+AVERAGEIFS(I:I,D:D,DST_123_ÜRETİM_İHTİYAÇ_RAPORU_BURAK_YENI1309[[#This Row],[ALT_KOD]])+AVERAGEIFS(L:L,D:D,DST_123_ÜRETİM_İHTİYAÇ_RAPORU_BURAK_YENI1309[[#This Row],[ALT_KOD]]))</f>
        <v>23.61999999999999</v>
      </c>
      <c r="L1479">
        <v>0</v>
      </c>
      <c r="M1479">
        <f>IF((DST_123_ÜRETİM_İHTİYAÇ_RAPORU_BURAK_YENI1309[[#This Row],[SATINALMA]]*DST_123_ÜRETİM_İHTİYAÇ_RAPORU_BURAK_YENI1309[[#This Row],[BIRIM_FIYATLAR]])&lt;1,VALUE("0"),DST_123_ÜRETİM_İHTİYAÇ_RAPORU_BURAK_YENI1309[[#This Row],[SATINALMA]]*DST_123_ÜRETİM_İHTİYAÇ_RAPORU_BURAK_YENI1309[[#This Row],[BIRIM_FIYATLAR]])</f>
        <v>2361.9999999999991</v>
      </c>
      <c r="N1479">
        <v>100</v>
      </c>
      <c r="O1479" t="s">
        <v>240</v>
      </c>
      <c r="P1479">
        <v>200</v>
      </c>
      <c r="Q1479" t="s">
        <v>183</v>
      </c>
    </row>
    <row r="1480" spans="1:17" x14ac:dyDescent="0.25">
      <c r="A1480" t="s">
        <v>1144</v>
      </c>
      <c r="B1480" t="s">
        <v>1145</v>
      </c>
      <c r="C1480" t="s">
        <v>175</v>
      </c>
      <c r="D1480" t="s">
        <v>86</v>
      </c>
      <c r="E1480" t="s">
        <v>87</v>
      </c>
      <c r="F1480">
        <v>2.02</v>
      </c>
      <c r="G1480" t="s">
        <v>176</v>
      </c>
      <c r="H1480">
        <v>0</v>
      </c>
      <c r="I1480">
        <v>47</v>
      </c>
      <c r="J1480" s="10">
        <v>1</v>
      </c>
      <c r="K1480" s="10">
        <f>SUMIFS(F:F,D:D,DST_123_ÜRETİM_İHTİYAÇ_RAPORU_BURAK_YENI1309[[#This Row],[ALT_KOD]])-(SUMIFS(H:H,D:D,DST_123_ÜRETİM_İHTİYAÇ_RAPORU_BURAK_YENI1309[[#This Row],[ALT_KOD]])+AVERAGEIFS(I:I,D:D,DST_123_ÜRETİM_İHTİYAÇ_RAPORU_BURAK_YENI1309[[#This Row],[ALT_KOD]])+AVERAGEIFS(L:L,D:D,DST_123_ÜRETİM_İHTİYAÇ_RAPORU_BURAK_YENI1309[[#This Row],[ALT_KOD]]))</f>
        <v>23.61999999999999</v>
      </c>
      <c r="L1480">
        <v>0</v>
      </c>
      <c r="M1480">
        <f>IF((DST_123_ÜRETİM_İHTİYAÇ_RAPORU_BURAK_YENI1309[[#This Row],[SATINALMA]]*DST_123_ÜRETİM_İHTİYAÇ_RAPORU_BURAK_YENI1309[[#This Row],[BIRIM_FIYATLAR]])&lt;1,VALUE("0"),DST_123_ÜRETİM_İHTİYAÇ_RAPORU_BURAK_YENI1309[[#This Row],[SATINALMA]]*DST_123_ÜRETİM_İHTİYAÇ_RAPORU_BURAK_YENI1309[[#This Row],[BIRIM_FIYATLAR]])</f>
        <v>2361.9999999999991</v>
      </c>
      <c r="N1480">
        <v>100</v>
      </c>
      <c r="O1480" t="s">
        <v>240</v>
      </c>
      <c r="P1480">
        <v>202</v>
      </c>
      <c r="Q1480" t="s">
        <v>183</v>
      </c>
    </row>
    <row r="1481" spans="1:17" x14ac:dyDescent="0.25">
      <c r="A1481" t="s">
        <v>1142</v>
      </c>
      <c r="B1481" t="s">
        <v>1056</v>
      </c>
      <c r="C1481" t="s">
        <v>175</v>
      </c>
      <c r="D1481" t="s">
        <v>86</v>
      </c>
      <c r="E1481" t="s">
        <v>87</v>
      </c>
      <c r="F1481">
        <v>2.02</v>
      </c>
      <c r="G1481" t="s">
        <v>176</v>
      </c>
      <c r="H1481">
        <v>0</v>
      </c>
      <c r="I1481">
        <v>47</v>
      </c>
      <c r="J1481" s="10">
        <v>1</v>
      </c>
      <c r="K1481" s="10">
        <f>SUMIFS(F:F,D:D,DST_123_ÜRETİM_İHTİYAÇ_RAPORU_BURAK_YENI1309[[#This Row],[ALT_KOD]])-(SUMIFS(H:H,D:D,DST_123_ÜRETİM_İHTİYAÇ_RAPORU_BURAK_YENI1309[[#This Row],[ALT_KOD]])+AVERAGEIFS(I:I,D:D,DST_123_ÜRETİM_İHTİYAÇ_RAPORU_BURAK_YENI1309[[#This Row],[ALT_KOD]])+AVERAGEIFS(L:L,D:D,DST_123_ÜRETİM_İHTİYAÇ_RAPORU_BURAK_YENI1309[[#This Row],[ALT_KOD]]))</f>
        <v>23.61999999999999</v>
      </c>
      <c r="L1481">
        <v>0</v>
      </c>
      <c r="M1481">
        <f>IF((DST_123_ÜRETİM_İHTİYAÇ_RAPORU_BURAK_YENI1309[[#This Row],[SATINALMA]]*DST_123_ÜRETİM_İHTİYAÇ_RAPORU_BURAK_YENI1309[[#This Row],[BIRIM_FIYATLAR]])&lt;1,VALUE("0"),DST_123_ÜRETİM_İHTİYAÇ_RAPORU_BURAK_YENI1309[[#This Row],[SATINALMA]]*DST_123_ÜRETİM_İHTİYAÇ_RAPORU_BURAK_YENI1309[[#This Row],[BIRIM_FIYATLAR]])</f>
        <v>2361.9999999999991</v>
      </c>
      <c r="N1481">
        <v>100</v>
      </c>
      <c r="O1481" t="s">
        <v>240</v>
      </c>
      <c r="P1481">
        <v>202</v>
      </c>
      <c r="Q1481" t="s">
        <v>183</v>
      </c>
    </row>
    <row r="1482" spans="1:17" x14ac:dyDescent="0.25">
      <c r="A1482" t="s">
        <v>1149</v>
      </c>
      <c r="B1482" t="s">
        <v>1145</v>
      </c>
      <c r="C1482" t="s">
        <v>175</v>
      </c>
      <c r="D1482" t="s">
        <v>38</v>
      </c>
      <c r="E1482" t="s">
        <v>39</v>
      </c>
      <c r="F1482">
        <v>2</v>
      </c>
      <c r="G1482" t="s">
        <v>176</v>
      </c>
      <c r="H1482">
        <v>0</v>
      </c>
      <c r="I1482">
        <v>304</v>
      </c>
      <c r="J1482" s="10">
        <v>13</v>
      </c>
      <c r="K1482" s="10">
        <f>SUMIFS(F:F,D:D,DST_123_ÜRETİM_İHTİYAÇ_RAPORU_BURAK_YENI1309[[#This Row],[ALT_KOD]])-(SUMIFS(H:H,D:D,DST_123_ÜRETİM_İHTİYAÇ_RAPORU_BURAK_YENI1309[[#This Row],[ALT_KOD]])+AVERAGEIFS(I:I,D:D,DST_123_ÜRETİM_İHTİYAÇ_RAPORU_BURAK_YENI1309[[#This Row],[ALT_KOD]])+AVERAGEIFS(L:L,D:D,DST_123_ÜRETİM_İHTİYAÇ_RAPORU_BURAK_YENI1309[[#This Row],[ALT_KOD]]))</f>
        <v>-281</v>
      </c>
      <c r="L1482">
        <v>0</v>
      </c>
      <c r="M1482">
        <f>IF((DST_123_ÜRETİM_İHTİYAÇ_RAPORU_BURAK_YENI1309[[#This Row],[SATINALMA]]*DST_123_ÜRETİM_İHTİYAÇ_RAPORU_BURAK_YENI1309[[#This Row],[BIRIM_FIYATLAR]])&lt;1,VALUE("0"),DST_123_ÜRETİM_İHTİYAÇ_RAPORU_BURAK_YENI1309[[#This Row],[SATINALMA]]*DST_123_ÜRETİM_İHTİYAÇ_RAPORU_BURAK_YENI1309[[#This Row],[BIRIM_FIYATLAR]])</f>
        <v>0</v>
      </c>
      <c r="N1482">
        <v>210</v>
      </c>
      <c r="O1482" t="s">
        <v>220</v>
      </c>
      <c r="P1482">
        <v>420</v>
      </c>
      <c r="Q1482" t="s">
        <v>221</v>
      </c>
    </row>
    <row r="1483" spans="1:17" x14ac:dyDescent="0.25">
      <c r="A1483" t="s">
        <v>1149</v>
      </c>
      <c r="B1483" t="s">
        <v>1145</v>
      </c>
      <c r="C1483" t="s">
        <v>175</v>
      </c>
      <c r="D1483" t="s">
        <v>426</v>
      </c>
      <c r="E1483" t="s">
        <v>427</v>
      </c>
      <c r="F1483">
        <v>1</v>
      </c>
      <c r="G1483" t="s">
        <v>176</v>
      </c>
      <c r="H1483">
        <v>0</v>
      </c>
      <c r="I1483">
        <v>12</v>
      </c>
      <c r="J1483" s="10">
        <v>9</v>
      </c>
      <c r="K1483" s="10">
        <f>SUMIFS(F:F,D:D,DST_123_ÜRETİM_İHTİYAÇ_RAPORU_BURAK_YENI1309[[#This Row],[ALT_KOD]])-(SUMIFS(H:H,D:D,DST_123_ÜRETİM_İHTİYAÇ_RAPORU_BURAK_YENI1309[[#This Row],[ALT_KOD]])+AVERAGEIFS(I:I,D:D,DST_123_ÜRETİM_İHTİYAÇ_RAPORU_BURAK_YENI1309[[#This Row],[ALT_KOD]])+AVERAGEIFS(L:L,D:D,DST_123_ÜRETİM_İHTİYAÇ_RAPORU_BURAK_YENI1309[[#This Row],[ALT_KOD]]))</f>
        <v>0</v>
      </c>
      <c r="L1483">
        <v>0</v>
      </c>
      <c r="M1483">
        <f>IF((DST_123_ÜRETİM_İHTİYAÇ_RAPORU_BURAK_YENI1309[[#This Row],[SATINALMA]]*DST_123_ÜRETİM_İHTİYAÇ_RAPORU_BURAK_YENI1309[[#This Row],[BIRIM_FIYATLAR]])&lt;1,VALUE("0"),DST_123_ÜRETİM_İHTİYAÇ_RAPORU_BURAK_YENI1309[[#This Row],[SATINALMA]]*DST_123_ÜRETİM_İHTİYAÇ_RAPORU_BURAK_YENI1309[[#This Row],[BIRIM_FIYATLAR]])</f>
        <v>0</v>
      </c>
      <c r="N1483">
        <v>266.72000000000003</v>
      </c>
      <c r="O1483" t="s">
        <v>227</v>
      </c>
      <c r="P1483">
        <v>266.72000000000003</v>
      </c>
      <c r="Q1483" t="s">
        <v>221</v>
      </c>
    </row>
    <row r="1484" spans="1:17" x14ac:dyDescent="0.25">
      <c r="A1484" t="s">
        <v>1064</v>
      </c>
      <c r="B1484" t="s">
        <v>1055</v>
      </c>
      <c r="C1484" t="s">
        <v>175</v>
      </c>
      <c r="D1484" t="s">
        <v>38</v>
      </c>
      <c r="E1484" t="s">
        <v>39</v>
      </c>
      <c r="F1484">
        <v>2</v>
      </c>
      <c r="G1484" t="s">
        <v>176</v>
      </c>
      <c r="H1484">
        <v>2</v>
      </c>
      <c r="I1484">
        <v>304</v>
      </c>
      <c r="J1484" s="10">
        <v>13</v>
      </c>
      <c r="K1484" s="10">
        <f>SUMIFS(F:F,D:D,DST_123_ÜRETİM_İHTİYAÇ_RAPORU_BURAK_YENI1309[[#This Row],[ALT_KOD]])-(SUMIFS(H:H,D:D,DST_123_ÜRETİM_İHTİYAÇ_RAPORU_BURAK_YENI1309[[#This Row],[ALT_KOD]])+AVERAGEIFS(I:I,D:D,DST_123_ÜRETİM_İHTİYAÇ_RAPORU_BURAK_YENI1309[[#This Row],[ALT_KOD]])+AVERAGEIFS(L:L,D:D,DST_123_ÜRETİM_İHTİYAÇ_RAPORU_BURAK_YENI1309[[#This Row],[ALT_KOD]]))</f>
        <v>-281</v>
      </c>
      <c r="L1484">
        <v>0</v>
      </c>
      <c r="M1484">
        <f>IF((DST_123_ÜRETİM_İHTİYAÇ_RAPORU_BURAK_YENI1309[[#This Row],[SATINALMA]]*DST_123_ÜRETİM_İHTİYAÇ_RAPORU_BURAK_YENI1309[[#This Row],[BIRIM_FIYATLAR]])&lt;1,VALUE("0"),DST_123_ÜRETİM_İHTİYAÇ_RAPORU_BURAK_YENI1309[[#This Row],[SATINALMA]]*DST_123_ÜRETİM_İHTİYAÇ_RAPORU_BURAK_YENI1309[[#This Row],[BIRIM_FIYATLAR]])</f>
        <v>0</v>
      </c>
      <c r="N1484">
        <v>210</v>
      </c>
      <c r="O1484" t="s">
        <v>220</v>
      </c>
      <c r="P1484">
        <v>420</v>
      </c>
      <c r="Q1484" t="s">
        <v>221</v>
      </c>
    </row>
    <row r="1485" spans="1:17" x14ac:dyDescent="0.25">
      <c r="A1485" t="s">
        <v>1099</v>
      </c>
      <c r="B1485" t="s">
        <v>1055</v>
      </c>
      <c r="C1485" t="s">
        <v>175</v>
      </c>
      <c r="D1485" t="s">
        <v>38</v>
      </c>
      <c r="E1485" t="s">
        <v>39</v>
      </c>
      <c r="F1485">
        <v>2</v>
      </c>
      <c r="G1485" t="s">
        <v>176</v>
      </c>
      <c r="H1485">
        <v>0</v>
      </c>
      <c r="I1485">
        <v>304</v>
      </c>
      <c r="J1485" s="10">
        <v>13</v>
      </c>
      <c r="K1485" s="10">
        <f>SUMIFS(F:F,D:D,DST_123_ÜRETİM_İHTİYAÇ_RAPORU_BURAK_YENI1309[[#This Row],[ALT_KOD]])-(SUMIFS(H:H,D:D,DST_123_ÜRETİM_İHTİYAÇ_RAPORU_BURAK_YENI1309[[#This Row],[ALT_KOD]])+AVERAGEIFS(I:I,D:D,DST_123_ÜRETİM_İHTİYAÇ_RAPORU_BURAK_YENI1309[[#This Row],[ALT_KOD]])+AVERAGEIFS(L:L,D:D,DST_123_ÜRETİM_İHTİYAÇ_RAPORU_BURAK_YENI1309[[#This Row],[ALT_KOD]]))</f>
        <v>-281</v>
      </c>
      <c r="L1485">
        <v>0</v>
      </c>
      <c r="M1485">
        <f>IF((DST_123_ÜRETİM_İHTİYAÇ_RAPORU_BURAK_YENI1309[[#This Row],[SATINALMA]]*DST_123_ÜRETİM_İHTİYAÇ_RAPORU_BURAK_YENI1309[[#This Row],[BIRIM_FIYATLAR]])&lt;1,VALUE("0"),DST_123_ÜRETİM_İHTİYAÇ_RAPORU_BURAK_YENI1309[[#This Row],[SATINALMA]]*DST_123_ÜRETİM_İHTİYAÇ_RAPORU_BURAK_YENI1309[[#This Row],[BIRIM_FIYATLAR]])</f>
        <v>0</v>
      </c>
      <c r="N1485">
        <v>210</v>
      </c>
      <c r="O1485" t="s">
        <v>220</v>
      </c>
      <c r="P1485">
        <v>420</v>
      </c>
      <c r="Q1485" t="s">
        <v>221</v>
      </c>
    </row>
    <row r="1486" spans="1:17" x14ac:dyDescent="0.25">
      <c r="A1486" t="s">
        <v>1150</v>
      </c>
      <c r="B1486" t="s">
        <v>1145</v>
      </c>
      <c r="C1486" t="s">
        <v>175</v>
      </c>
      <c r="D1486" t="s">
        <v>1071</v>
      </c>
      <c r="E1486" t="s">
        <v>1072</v>
      </c>
      <c r="F1486">
        <v>0.5</v>
      </c>
      <c r="G1486" t="s">
        <v>176</v>
      </c>
      <c r="H1486">
        <v>0</v>
      </c>
      <c r="I1486">
        <v>0</v>
      </c>
      <c r="J1486" s="10">
        <v>-1.7763568394002505E-15</v>
      </c>
      <c r="K1486" s="10">
        <f>SUMIFS(F:F,D:D,DST_123_ÜRETİM_İHTİYAÇ_RAPORU_BURAK_YENI1309[[#This Row],[ALT_KOD]])-(SUMIFS(H:H,D:D,DST_123_ÜRETİM_İHTİYAÇ_RAPORU_BURAK_YENI1309[[#This Row],[ALT_KOD]])+AVERAGEIFS(I:I,D:D,DST_123_ÜRETİM_İHTİYAÇ_RAPORU_BURAK_YENI1309[[#This Row],[ALT_KOD]])+AVERAGEIFS(L:L,D:D,DST_123_ÜRETİM_İHTİYAÇ_RAPORU_BURAK_YENI1309[[#This Row],[ALT_KOD]]))</f>
        <v>2.5</v>
      </c>
      <c r="L1486">
        <v>0</v>
      </c>
      <c r="M1486">
        <f>IF((DST_123_ÜRETİM_İHTİYAÇ_RAPORU_BURAK_YENI1309[[#This Row],[SATINALMA]]*DST_123_ÜRETİM_İHTİYAÇ_RAPORU_BURAK_YENI1309[[#This Row],[BIRIM_FIYATLAR]])&lt;1,VALUE("0"),DST_123_ÜRETİM_İHTİYAÇ_RAPORU_BURAK_YENI1309[[#This Row],[SATINALMA]]*DST_123_ÜRETİM_İHTİYAÇ_RAPORU_BURAK_YENI1309[[#This Row],[BIRIM_FIYATLAR]])</f>
        <v>208.32499999999999</v>
      </c>
      <c r="N1486">
        <v>83.33</v>
      </c>
      <c r="O1486" t="s">
        <v>226</v>
      </c>
      <c r="P1486">
        <v>41.664999999999999</v>
      </c>
      <c r="Q1486" t="s">
        <v>183</v>
      </c>
    </row>
    <row r="1487" spans="1:17" x14ac:dyDescent="0.25">
      <c r="A1487" t="s">
        <v>1057</v>
      </c>
      <c r="B1487" t="s">
        <v>1058</v>
      </c>
      <c r="C1487" t="s">
        <v>175</v>
      </c>
      <c r="D1487" t="s">
        <v>708</v>
      </c>
      <c r="E1487" t="s">
        <v>709</v>
      </c>
      <c r="F1487">
        <v>3</v>
      </c>
      <c r="G1487" t="s">
        <v>179</v>
      </c>
      <c r="H1487">
        <v>3</v>
      </c>
      <c r="I1487">
        <v>400</v>
      </c>
      <c r="J1487" s="10">
        <v>32</v>
      </c>
      <c r="K1487" s="10">
        <f>SUMIFS(F:F,D:D,DST_123_ÜRETİM_İHTİYAÇ_RAPORU_BURAK_YENI1309[[#This Row],[ALT_KOD]])-(SUMIFS(H:H,D:D,DST_123_ÜRETİM_İHTİYAÇ_RAPORU_BURAK_YENI1309[[#This Row],[ALT_KOD]])+AVERAGEIFS(I:I,D:D,DST_123_ÜRETİM_İHTİYAÇ_RAPORU_BURAK_YENI1309[[#This Row],[ALT_KOD]])+AVERAGEIFS(L:L,D:D,DST_123_ÜRETİM_İHTİYAÇ_RAPORU_BURAK_YENI1309[[#This Row],[ALT_KOD]]))</f>
        <v>-397</v>
      </c>
      <c r="L1487">
        <v>0</v>
      </c>
      <c r="M1487">
        <f>IF((DST_123_ÜRETİM_İHTİYAÇ_RAPORU_BURAK_YENI1309[[#This Row],[SATINALMA]]*DST_123_ÜRETİM_İHTİYAÇ_RAPORU_BURAK_YENI1309[[#This Row],[BIRIM_FIYATLAR]])&lt;1,VALUE("0"),DST_123_ÜRETİM_İHTİYAÇ_RAPORU_BURAK_YENI1309[[#This Row],[SATINALMA]]*DST_123_ÜRETİM_İHTİYAÇ_RAPORU_BURAK_YENI1309[[#This Row],[BIRIM_FIYATLAR]])</f>
        <v>0</v>
      </c>
      <c r="N1487">
        <v>11.5</v>
      </c>
      <c r="O1487" t="s">
        <v>635</v>
      </c>
      <c r="P1487">
        <v>34.5</v>
      </c>
      <c r="Q1487" t="s">
        <v>221</v>
      </c>
    </row>
    <row r="1488" spans="1:17" x14ac:dyDescent="0.25">
      <c r="A1488" t="s">
        <v>1100</v>
      </c>
      <c r="B1488" t="s">
        <v>1058</v>
      </c>
      <c r="C1488" t="s">
        <v>175</v>
      </c>
      <c r="D1488" t="s">
        <v>708</v>
      </c>
      <c r="E1488" t="s">
        <v>709</v>
      </c>
      <c r="F1488">
        <v>3</v>
      </c>
      <c r="G1488" t="s">
        <v>179</v>
      </c>
      <c r="H1488">
        <v>3</v>
      </c>
      <c r="I1488">
        <v>400</v>
      </c>
      <c r="J1488" s="10">
        <v>32</v>
      </c>
      <c r="K1488" s="10">
        <f>SUMIFS(F:F,D:D,DST_123_ÜRETİM_İHTİYAÇ_RAPORU_BURAK_YENI1309[[#This Row],[ALT_KOD]])-(SUMIFS(H:H,D:D,DST_123_ÜRETİM_İHTİYAÇ_RAPORU_BURAK_YENI1309[[#This Row],[ALT_KOD]])+AVERAGEIFS(I:I,D:D,DST_123_ÜRETİM_İHTİYAÇ_RAPORU_BURAK_YENI1309[[#This Row],[ALT_KOD]])+AVERAGEIFS(L:L,D:D,DST_123_ÜRETİM_İHTİYAÇ_RAPORU_BURAK_YENI1309[[#This Row],[ALT_KOD]]))</f>
        <v>-397</v>
      </c>
      <c r="L1488">
        <v>0</v>
      </c>
      <c r="M1488">
        <f>IF((DST_123_ÜRETİM_İHTİYAÇ_RAPORU_BURAK_YENI1309[[#This Row],[SATINALMA]]*DST_123_ÜRETİM_İHTİYAÇ_RAPORU_BURAK_YENI1309[[#This Row],[BIRIM_FIYATLAR]])&lt;1,VALUE("0"),DST_123_ÜRETİM_İHTİYAÇ_RAPORU_BURAK_YENI1309[[#This Row],[SATINALMA]]*DST_123_ÜRETİM_İHTİYAÇ_RAPORU_BURAK_YENI1309[[#This Row],[BIRIM_FIYATLAR]])</f>
        <v>0</v>
      </c>
      <c r="N1488">
        <v>11.5</v>
      </c>
      <c r="O1488" t="s">
        <v>635</v>
      </c>
      <c r="P1488">
        <v>34.5</v>
      </c>
      <c r="Q1488" t="s">
        <v>221</v>
      </c>
    </row>
    <row r="1489" spans="1:17" x14ac:dyDescent="0.25">
      <c r="A1489" t="s">
        <v>1144</v>
      </c>
      <c r="B1489" t="s">
        <v>1145</v>
      </c>
      <c r="C1489" t="s">
        <v>175</v>
      </c>
      <c r="D1489" t="s">
        <v>398</v>
      </c>
      <c r="E1489" t="s">
        <v>399</v>
      </c>
      <c r="F1489">
        <v>0.02</v>
      </c>
      <c r="G1489" t="s">
        <v>185</v>
      </c>
      <c r="H1489">
        <v>0</v>
      </c>
      <c r="I1489">
        <v>3</v>
      </c>
      <c r="J1489" s="10">
        <v>0</v>
      </c>
      <c r="K1489" s="10">
        <f>SUMIFS(F:F,D:D,DST_123_ÜRETİM_İHTİYAÇ_RAPORU_BURAK_YENI1309[[#This Row],[ALT_KOD]])-(SUMIFS(H:H,D:D,DST_123_ÜRETİM_İHTİYAÇ_RAPORU_BURAK_YENI1309[[#This Row],[ALT_KOD]])+AVERAGEIFS(I:I,D:D,DST_123_ÜRETİM_İHTİYAÇ_RAPORU_BURAK_YENI1309[[#This Row],[ALT_KOD]])+AVERAGEIFS(L:L,D:D,DST_123_ÜRETİM_İHTİYAÇ_RAPORU_BURAK_YENI1309[[#This Row],[ALT_KOD]]))</f>
        <v>-2.75</v>
      </c>
      <c r="L1489">
        <v>0</v>
      </c>
      <c r="M1489">
        <f>IF((DST_123_ÜRETİM_İHTİYAÇ_RAPORU_BURAK_YENI1309[[#This Row],[SATINALMA]]*DST_123_ÜRETİM_İHTİYAÇ_RAPORU_BURAK_YENI1309[[#This Row],[BIRIM_FIYATLAR]])&lt;1,VALUE("0"),DST_123_ÜRETİM_İHTİYAÇ_RAPORU_BURAK_YENI1309[[#This Row],[SATINALMA]]*DST_123_ÜRETİM_İHTİYAÇ_RAPORU_BURAK_YENI1309[[#This Row],[BIRIM_FIYATLAR]])</f>
        <v>0</v>
      </c>
      <c r="N1489">
        <v>148.31</v>
      </c>
      <c r="P1489">
        <v>2.9662000000000002</v>
      </c>
      <c r="Q1489" t="s">
        <v>183</v>
      </c>
    </row>
    <row r="1490" spans="1:17" x14ac:dyDescent="0.25">
      <c r="A1490" t="s">
        <v>1144</v>
      </c>
      <c r="B1490" t="s">
        <v>1145</v>
      </c>
      <c r="C1490" t="s">
        <v>175</v>
      </c>
      <c r="D1490" t="s">
        <v>1071</v>
      </c>
      <c r="E1490" t="s">
        <v>1072</v>
      </c>
      <c r="F1490">
        <v>0.5</v>
      </c>
      <c r="G1490" t="s">
        <v>176</v>
      </c>
      <c r="H1490">
        <v>0</v>
      </c>
      <c r="I1490">
        <v>0</v>
      </c>
      <c r="J1490" s="10">
        <v>-1.7763568394002505E-15</v>
      </c>
      <c r="K1490" s="10">
        <f>SUMIFS(F:F,D:D,DST_123_ÜRETİM_İHTİYAÇ_RAPORU_BURAK_YENI1309[[#This Row],[ALT_KOD]])-(SUMIFS(H:H,D:D,DST_123_ÜRETİM_İHTİYAÇ_RAPORU_BURAK_YENI1309[[#This Row],[ALT_KOD]])+AVERAGEIFS(I:I,D:D,DST_123_ÜRETİM_İHTİYAÇ_RAPORU_BURAK_YENI1309[[#This Row],[ALT_KOD]])+AVERAGEIFS(L:L,D:D,DST_123_ÜRETİM_İHTİYAÇ_RAPORU_BURAK_YENI1309[[#This Row],[ALT_KOD]]))</f>
        <v>2.5</v>
      </c>
      <c r="L1490">
        <v>0</v>
      </c>
      <c r="M1490">
        <f>IF((DST_123_ÜRETİM_İHTİYAÇ_RAPORU_BURAK_YENI1309[[#This Row],[SATINALMA]]*DST_123_ÜRETİM_İHTİYAÇ_RAPORU_BURAK_YENI1309[[#This Row],[BIRIM_FIYATLAR]])&lt;1,VALUE("0"),DST_123_ÜRETİM_İHTİYAÇ_RAPORU_BURAK_YENI1309[[#This Row],[SATINALMA]]*DST_123_ÜRETİM_İHTİYAÇ_RAPORU_BURAK_YENI1309[[#This Row],[BIRIM_FIYATLAR]])</f>
        <v>208.32499999999999</v>
      </c>
      <c r="N1490">
        <v>83.33</v>
      </c>
      <c r="O1490" t="s">
        <v>226</v>
      </c>
      <c r="P1490">
        <v>41.664999999999999</v>
      </c>
      <c r="Q1490" t="s">
        <v>183</v>
      </c>
    </row>
    <row r="1491" spans="1:17" x14ac:dyDescent="0.25">
      <c r="A1491" t="s">
        <v>1149</v>
      </c>
      <c r="B1491" t="s">
        <v>1145</v>
      </c>
      <c r="C1491" t="s">
        <v>175</v>
      </c>
      <c r="D1491" t="s">
        <v>130</v>
      </c>
      <c r="E1491" t="s">
        <v>131</v>
      </c>
      <c r="F1491">
        <v>100</v>
      </c>
      <c r="G1491" t="s">
        <v>176</v>
      </c>
      <c r="H1491">
        <v>0</v>
      </c>
      <c r="I1491">
        <v>2750</v>
      </c>
      <c r="J1491" s="10">
        <v>0</v>
      </c>
      <c r="K1491" s="10">
        <f>SUMIFS(F:F,D:D,DST_123_ÜRETİM_İHTİYAÇ_RAPORU_BURAK_YENI1309[[#This Row],[ALT_KOD]])-(SUMIFS(H:H,D:D,DST_123_ÜRETİM_İHTİYAÇ_RAPORU_BURAK_YENI1309[[#This Row],[ALT_KOD]])+AVERAGEIFS(I:I,D:D,DST_123_ÜRETİM_İHTİYAÇ_RAPORU_BURAK_YENI1309[[#This Row],[ALT_KOD]])+AVERAGEIFS(L:L,D:D,DST_123_ÜRETİM_İHTİYAÇ_RAPORU_BURAK_YENI1309[[#This Row],[ALT_KOD]]))</f>
        <v>-747</v>
      </c>
      <c r="L1491">
        <v>0</v>
      </c>
      <c r="M1491">
        <f>IF((DST_123_ÜRETİM_İHTİYAÇ_RAPORU_BURAK_YENI1309[[#This Row],[SATINALMA]]*DST_123_ÜRETİM_İHTİYAÇ_RAPORU_BURAK_YENI1309[[#This Row],[BIRIM_FIYATLAR]])&lt;1,VALUE("0"),DST_123_ÜRETİM_İHTİYAÇ_RAPORU_BURAK_YENI1309[[#This Row],[SATINALMA]]*DST_123_ÜRETİM_İHTİYAÇ_RAPORU_BURAK_YENI1309[[#This Row],[BIRIM_FIYATLAR]])</f>
        <v>0</v>
      </c>
      <c r="N1491">
        <v>0.7</v>
      </c>
      <c r="O1491" t="s">
        <v>240</v>
      </c>
      <c r="P1491">
        <v>70</v>
      </c>
      <c r="Q1491" t="s">
        <v>180</v>
      </c>
    </row>
    <row r="1492" spans="1:17" x14ac:dyDescent="0.25">
      <c r="A1492" t="s">
        <v>1150</v>
      </c>
      <c r="B1492" t="s">
        <v>1145</v>
      </c>
      <c r="C1492" t="s">
        <v>175</v>
      </c>
      <c r="D1492" t="s">
        <v>264</v>
      </c>
      <c r="E1492" t="s">
        <v>265</v>
      </c>
      <c r="F1492">
        <v>1</v>
      </c>
      <c r="G1492" t="s">
        <v>176</v>
      </c>
      <c r="H1492">
        <v>0</v>
      </c>
      <c r="I1492">
        <v>0</v>
      </c>
      <c r="J1492" s="10">
        <v>8</v>
      </c>
      <c r="K1492" s="10">
        <f>SUMIFS(F:F,D:D,DST_123_ÜRETİM_İHTİYAÇ_RAPORU_BURAK_YENI1309[[#This Row],[ALT_KOD]])-(SUMIFS(H:H,D:D,DST_123_ÜRETİM_İHTİYAÇ_RAPORU_BURAK_YENI1309[[#This Row],[ALT_KOD]])+AVERAGEIFS(I:I,D:D,DST_123_ÜRETİM_İHTİYAÇ_RAPORU_BURAK_YENI1309[[#This Row],[ALT_KOD]])+AVERAGEIFS(L:L,D:D,DST_123_ÜRETİM_İHTİYAÇ_RAPORU_BURAK_YENI1309[[#This Row],[ALT_KOD]]))</f>
        <v>12</v>
      </c>
      <c r="L1492">
        <v>0</v>
      </c>
      <c r="M1492">
        <f>IF((DST_123_ÜRETİM_İHTİYAÇ_RAPORU_BURAK_YENI1309[[#This Row],[SATINALMA]]*DST_123_ÜRETİM_İHTİYAÇ_RAPORU_BURAK_YENI1309[[#This Row],[BIRIM_FIYATLAR]])&lt;1,VALUE("0"),DST_123_ÜRETİM_İHTİYAÇ_RAPORU_BURAK_YENI1309[[#This Row],[SATINALMA]]*DST_123_ÜRETİM_İHTİYAÇ_RAPORU_BURAK_YENI1309[[#This Row],[BIRIM_FIYATLAR]])</f>
        <v>55600.08</v>
      </c>
      <c r="N1492">
        <v>4633.34</v>
      </c>
      <c r="O1492" t="s">
        <v>214</v>
      </c>
      <c r="P1492">
        <v>4633.34</v>
      </c>
      <c r="Q1492" t="s">
        <v>177</v>
      </c>
    </row>
    <row r="1493" spans="1:17" x14ac:dyDescent="0.25">
      <c r="A1493" t="s">
        <v>1150</v>
      </c>
      <c r="B1493" t="s">
        <v>1145</v>
      </c>
      <c r="C1493" t="s">
        <v>175</v>
      </c>
      <c r="D1493" t="s">
        <v>124</v>
      </c>
      <c r="E1493" t="s">
        <v>125</v>
      </c>
      <c r="F1493">
        <v>7</v>
      </c>
      <c r="G1493" t="s">
        <v>185</v>
      </c>
      <c r="H1493">
        <v>0</v>
      </c>
      <c r="I1493">
        <v>0</v>
      </c>
      <c r="J1493" s="10">
        <v>297.61</v>
      </c>
      <c r="K1493" s="10">
        <f>SUMIFS(F:F,D:D,DST_123_ÜRETİM_İHTİYAÇ_RAPORU_BURAK_YENI1309[[#This Row],[ALT_KOD]])-(SUMIFS(H:H,D:D,DST_123_ÜRETİM_İHTİYAÇ_RAPORU_BURAK_YENI1309[[#This Row],[ALT_KOD]])+AVERAGEIFS(I:I,D:D,DST_123_ÜRETİM_İHTİYAÇ_RAPORU_BURAK_YENI1309[[#This Row],[ALT_KOD]])+AVERAGEIFS(L:L,D:D,DST_123_ÜRETİM_İHTİYAÇ_RAPORU_BURAK_YENI1309[[#This Row],[ALT_KOD]]))</f>
        <v>97.560000000000016</v>
      </c>
      <c r="L1493">
        <v>0</v>
      </c>
      <c r="M1493">
        <f>IF((DST_123_ÜRETİM_İHTİYAÇ_RAPORU_BURAK_YENI1309[[#This Row],[SATINALMA]]*DST_123_ÜRETİM_İHTİYAÇ_RAPORU_BURAK_YENI1309[[#This Row],[BIRIM_FIYATLAR]])&lt;1,VALUE("0"),DST_123_ÜRETİM_İHTİYAÇ_RAPORU_BURAK_YENI1309[[#This Row],[SATINALMA]]*DST_123_ÜRETİM_İHTİYAÇ_RAPORU_BURAK_YENI1309[[#This Row],[BIRIM_FIYATLAR]])</f>
        <v>13285.720800000003</v>
      </c>
      <c r="N1493">
        <v>136.18</v>
      </c>
      <c r="O1493" t="s">
        <v>252</v>
      </c>
      <c r="P1493">
        <v>953.26</v>
      </c>
      <c r="Q1493" t="s">
        <v>183</v>
      </c>
    </row>
    <row r="1494" spans="1:17" x14ac:dyDescent="0.25">
      <c r="A1494" t="s">
        <v>1150</v>
      </c>
      <c r="B1494" t="s">
        <v>1145</v>
      </c>
      <c r="C1494" t="s">
        <v>175</v>
      </c>
      <c r="D1494" t="s">
        <v>770</v>
      </c>
      <c r="E1494" t="s">
        <v>771</v>
      </c>
      <c r="F1494">
        <v>6</v>
      </c>
      <c r="G1494" t="s">
        <v>176</v>
      </c>
      <c r="H1494">
        <v>0</v>
      </c>
      <c r="I1494">
        <v>0</v>
      </c>
      <c r="J1494" s="10">
        <v>0</v>
      </c>
      <c r="K1494" s="10">
        <f>SUMIFS(F:F,D:D,DST_123_ÜRETİM_İHTİYAÇ_RAPORU_BURAK_YENI1309[[#This Row],[ALT_KOD]])-(SUMIFS(H:H,D:D,DST_123_ÜRETİM_İHTİYAÇ_RAPORU_BURAK_YENI1309[[#This Row],[ALT_KOD]])+AVERAGEIFS(I:I,D:D,DST_123_ÜRETİM_İHTİYAÇ_RAPORU_BURAK_YENI1309[[#This Row],[ALT_KOD]])+AVERAGEIFS(L:L,D:D,DST_123_ÜRETİM_İHTİYAÇ_RAPORU_BURAK_YENI1309[[#This Row],[ALT_KOD]]))</f>
        <v>54</v>
      </c>
      <c r="L1494">
        <v>0</v>
      </c>
      <c r="M1494">
        <f>IF((DST_123_ÜRETİM_İHTİYAÇ_RAPORU_BURAK_YENI1309[[#This Row],[SATINALMA]]*DST_123_ÜRETİM_İHTİYAÇ_RAPORU_BURAK_YENI1309[[#This Row],[BIRIM_FIYATLAR]])&lt;1,VALUE("0"),DST_123_ÜRETİM_İHTİYAÇ_RAPORU_BURAK_YENI1309[[#This Row],[SATINALMA]]*DST_123_ÜRETİM_İHTİYAÇ_RAPORU_BURAK_YENI1309[[#This Row],[BIRIM_FIYATLAR]])</f>
        <v>35.64</v>
      </c>
      <c r="N1494">
        <v>0.66</v>
      </c>
      <c r="O1494" t="s">
        <v>220</v>
      </c>
      <c r="P1494">
        <v>3.96</v>
      </c>
      <c r="Q1494" t="s">
        <v>221</v>
      </c>
    </row>
    <row r="1495" spans="1:17" x14ac:dyDescent="0.25">
      <c r="A1495" t="s">
        <v>1099</v>
      </c>
      <c r="B1495" t="s">
        <v>1055</v>
      </c>
      <c r="C1495" t="s">
        <v>175</v>
      </c>
      <c r="D1495" t="s">
        <v>50</v>
      </c>
      <c r="E1495" t="s">
        <v>51</v>
      </c>
      <c r="F1495">
        <v>1</v>
      </c>
      <c r="G1495" t="s">
        <v>176</v>
      </c>
      <c r="H1495">
        <v>0</v>
      </c>
      <c r="I1495">
        <v>4</v>
      </c>
      <c r="J1495" s="10">
        <v>10</v>
      </c>
      <c r="K1495" s="10">
        <f>SUMIFS(F:F,D:D,DST_123_ÜRETİM_İHTİYAÇ_RAPORU_BURAK_YENI1309[[#This Row],[ALT_KOD]])-(SUMIFS(H:H,D:D,DST_123_ÜRETİM_İHTİYAÇ_RAPORU_BURAK_YENI1309[[#This Row],[ALT_KOD]])+AVERAGEIFS(I:I,D:D,DST_123_ÜRETİM_İHTİYAÇ_RAPORU_BURAK_YENI1309[[#This Row],[ALT_KOD]])+AVERAGEIFS(L:L,D:D,DST_123_ÜRETİM_İHTİYAÇ_RAPORU_BURAK_YENI1309[[#This Row],[ALT_KOD]]))</f>
        <v>8</v>
      </c>
      <c r="L1495">
        <v>0</v>
      </c>
      <c r="M1495">
        <f>IF((DST_123_ÜRETİM_İHTİYAÇ_RAPORU_BURAK_YENI1309[[#This Row],[SATINALMA]]*DST_123_ÜRETİM_İHTİYAÇ_RAPORU_BURAK_YENI1309[[#This Row],[BIRIM_FIYATLAR]])&lt;1,VALUE("0"),DST_123_ÜRETİM_İHTİYAÇ_RAPORU_BURAK_YENI1309[[#This Row],[SATINALMA]]*DST_123_ÜRETİM_İHTİYAÇ_RAPORU_BURAK_YENI1309[[#This Row],[BIRIM_FIYATLAR]])</f>
        <v>41649.120000000003</v>
      </c>
      <c r="N1495">
        <v>5206.1400000000003</v>
      </c>
      <c r="O1495" t="s">
        <v>215</v>
      </c>
      <c r="P1495">
        <v>5206.1400000000003</v>
      </c>
      <c r="Q1495" t="s">
        <v>221</v>
      </c>
    </row>
    <row r="1496" spans="1:17" x14ac:dyDescent="0.25">
      <c r="A1496" t="s">
        <v>1149</v>
      </c>
      <c r="B1496" t="s">
        <v>1145</v>
      </c>
      <c r="C1496" t="s">
        <v>175</v>
      </c>
      <c r="D1496" t="s">
        <v>770</v>
      </c>
      <c r="E1496" t="s">
        <v>771</v>
      </c>
      <c r="F1496">
        <v>6</v>
      </c>
      <c r="G1496" t="s">
        <v>176</v>
      </c>
      <c r="H1496">
        <v>0</v>
      </c>
      <c r="I1496">
        <v>0</v>
      </c>
      <c r="J1496" s="10">
        <v>0</v>
      </c>
      <c r="K1496" s="10">
        <f>SUMIFS(F:F,D:D,DST_123_ÜRETİM_İHTİYAÇ_RAPORU_BURAK_YENI1309[[#This Row],[ALT_KOD]])-(SUMIFS(H:H,D:D,DST_123_ÜRETİM_İHTİYAÇ_RAPORU_BURAK_YENI1309[[#This Row],[ALT_KOD]])+AVERAGEIFS(I:I,D:D,DST_123_ÜRETİM_İHTİYAÇ_RAPORU_BURAK_YENI1309[[#This Row],[ALT_KOD]])+AVERAGEIFS(L:L,D:D,DST_123_ÜRETİM_İHTİYAÇ_RAPORU_BURAK_YENI1309[[#This Row],[ALT_KOD]]))</f>
        <v>54</v>
      </c>
      <c r="L1496">
        <v>0</v>
      </c>
      <c r="M1496">
        <f>IF((DST_123_ÜRETİM_İHTİYAÇ_RAPORU_BURAK_YENI1309[[#This Row],[SATINALMA]]*DST_123_ÜRETİM_İHTİYAÇ_RAPORU_BURAK_YENI1309[[#This Row],[BIRIM_FIYATLAR]])&lt;1,VALUE("0"),DST_123_ÜRETİM_İHTİYAÇ_RAPORU_BURAK_YENI1309[[#This Row],[SATINALMA]]*DST_123_ÜRETİM_İHTİYAÇ_RAPORU_BURAK_YENI1309[[#This Row],[BIRIM_FIYATLAR]])</f>
        <v>35.64</v>
      </c>
      <c r="N1496">
        <v>0.66</v>
      </c>
      <c r="O1496" t="s">
        <v>220</v>
      </c>
      <c r="P1496">
        <v>3.96</v>
      </c>
      <c r="Q1496" t="s">
        <v>221</v>
      </c>
    </row>
    <row r="1497" spans="1:17" x14ac:dyDescent="0.25">
      <c r="A1497" t="s">
        <v>1064</v>
      </c>
      <c r="B1497" t="s">
        <v>1055</v>
      </c>
      <c r="C1497" t="s">
        <v>175</v>
      </c>
      <c r="D1497" t="s">
        <v>50</v>
      </c>
      <c r="E1497" t="s">
        <v>51</v>
      </c>
      <c r="F1497">
        <v>1</v>
      </c>
      <c r="G1497" t="s">
        <v>176</v>
      </c>
      <c r="H1497">
        <v>0</v>
      </c>
      <c r="I1497">
        <v>4</v>
      </c>
      <c r="J1497" s="10">
        <v>10</v>
      </c>
      <c r="K1497" s="10">
        <f>SUMIFS(F:F,D:D,DST_123_ÜRETİM_İHTİYAÇ_RAPORU_BURAK_YENI1309[[#This Row],[ALT_KOD]])-(SUMIFS(H:H,D:D,DST_123_ÜRETİM_İHTİYAÇ_RAPORU_BURAK_YENI1309[[#This Row],[ALT_KOD]])+AVERAGEIFS(I:I,D:D,DST_123_ÜRETİM_İHTİYAÇ_RAPORU_BURAK_YENI1309[[#This Row],[ALT_KOD]])+AVERAGEIFS(L:L,D:D,DST_123_ÜRETİM_İHTİYAÇ_RAPORU_BURAK_YENI1309[[#This Row],[ALT_KOD]]))</f>
        <v>8</v>
      </c>
      <c r="L1497">
        <v>0</v>
      </c>
      <c r="M1497">
        <f>IF((DST_123_ÜRETİM_İHTİYAÇ_RAPORU_BURAK_YENI1309[[#This Row],[SATINALMA]]*DST_123_ÜRETİM_İHTİYAÇ_RAPORU_BURAK_YENI1309[[#This Row],[BIRIM_FIYATLAR]])&lt;1,VALUE("0"),DST_123_ÜRETİM_İHTİYAÇ_RAPORU_BURAK_YENI1309[[#This Row],[SATINALMA]]*DST_123_ÜRETİM_İHTİYAÇ_RAPORU_BURAK_YENI1309[[#This Row],[BIRIM_FIYATLAR]])</f>
        <v>41649.120000000003</v>
      </c>
      <c r="N1497">
        <v>5206.1400000000003</v>
      </c>
      <c r="O1497" t="s">
        <v>215</v>
      </c>
      <c r="P1497">
        <v>5206.1400000000003</v>
      </c>
      <c r="Q1497" t="s">
        <v>221</v>
      </c>
    </row>
    <row r="1498" spans="1:17" x14ac:dyDescent="0.25">
      <c r="A1498" t="s">
        <v>1196</v>
      </c>
      <c r="B1498" t="s">
        <v>1197</v>
      </c>
      <c r="C1498" t="s">
        <v>175</v>
      </c>
      <c r="D1498" t="s">
        <v>50</v>
      </c>
      <c r="E1498" t="s">
        <v>51</v>
      </c>
      <c r="F1498">
        <v>1</v>
      </c>
      <c r="G1498" t="s">
        <v>176</v>
      </c>
      <c r="H1498">
        <v>0</v>
      </c>
      <c r="I1498">
        <v>4</v>
      </c>
      <c r="J1498" s="10">
        <v>10</v>
      </c>
      <c r="K1498" s="10">
        <f>SUMIFS(F:F,D:D,DST_123_ÜRETİM_İHTİYAÇ_RAPORU_BURAK_YENI1309[[#This Row],[ALT_KOD]])-(SUMIFS(H:H,D:D,DST_123_ÜRETİM_İHTİYAÇ_RAPORU_BURAK_YENI1309[[#This Row],[ALT_KOD]])+AVERAGEIFS(I:I,D:D,DST_123_ÜRETİM_İHTİYAÇ_RAPORU_BURAK_YENI1309[[#This Row],[ALT_KOD]])+AVERAGEIFS(L:L,D:D,DST_123_ÜRETİM_İHTİYAÇ_RAPORU_BURAK_YENI1309[[#This Row],[ALT_KOD]]))</f>
        <v>8</v>
      </c>
      <c r="L1498">
        <v>0</v>
      </c>
      <c r="M1498">
        <f>IF((DST_123_ÜRETİM_İHTİYAÇ_RAPORU_BURAK_YENI1309[[#This Row],[SATINALMA]]*DST_123_ÜRETİM_İHTİYAÇ_RAPORU_BURAK_YENI1309[[#This Row],[BIRIM_FIYATLAR]])&lt;1,VALUE("0"),DST_123_ÜRETİM_İHTİYAÇ_RAPORU_BURAK_YENI1309[[#This Row],[SATINALMA]]*DST_123_ÜRETİM_İHTİYAÇ_RAPORU_BURAK_YENI1309[[#This Row],[BIRIM_FIYATLAR]])</f>
        <v>41649.120000000003</v>
      </c>
      <c r="N1498">
        <v>5206.1400000000003</v>
      </c>
      <c r="O1498" t="s">
        <v>215</v>
      </c>
      <c r="P1498">
        <v>5206.1400000000003</v>
      </c>
      <c r="Q1498" t="s">
        <v>221</v>
      </c>
    </row>
    <row r="1499" spans="1:17" x14ac:dyDescent="0.25">
      <c r="A1499" t="s">
        <v>1098</v>
      </c>
      <c r="B1499" t="s">
        <v>1096</v>
      </c>
      <c r="C1499" t="s">
        <v>175</v>
      </c>
      <c r="D1499" t="s">
        <v>50</v>
      </c>
      <c r="E1499" t="s">
        <v>51</v>
      </c>
      <c r="F1499">
        <v>1</v>
      </c>
      <c r="G1499" t="s">
        <v>176</v>
      </c>
      <c r="H1499">
        <v>0</v>
      </c>
      <c r="I1499">
        <v>4</v>
      </c>
      <c r="J1499" s="10">
        <v>10</v>
      </c>
      <c r="K1499" s="10">
        <f>SUMIFS(F:F,D:D,DST_123_ÜRETİM_İHTİYAÇ_RAPORU_BURAK_YENI1309[[#This Row],[ALT_KOD]])-(SUMIFS(H:H,D:D,DST_123_ÜRETİM_İHTİYAÇ_RAPORU_BURAK_YENI1309[[#This Row],[ALT_KOD]])+AVERAGEIFS(I:I,D:D,DST_123_ÜRETİM_İHTİYAÇ_RAPORU_BURAK_YENI1309[[#This Row],[ALT_KOD]])+AVERAGEIFS(L:L,D:D,DST_123_ÜRETİM_İHTİYAÇ_RAPORU_BURAK_YENI1309[[#This Row],[ALT_KOD]]))</f>
        <v>8</v>
      </c>
      <c r="L1499">
        <v>0</v>
      </c>
      <c r="M1499">
        <f>IF((DST_123_ÜRETİM_İHTİYAÇ_RAPORU_BURAK_YENI1309[[#This Row],[SATINALMA]]*DST_123_ÜRETİM_İHTİYAÇ_RAPORU_BURAK_YENI1309[[#This Row],[BIRIM_FIYATLAR]])&lt;1,VALUE("0"),DST_123_ÜRETİM_İHTİYAÇ_RAPORU_BURAK_YENI1309[[#This Row],[SATINALMA]]*DST_123_ÜRETİM_İHTİYAÇ_RAPORU_BURAK_YENI1309[[#This Row],[BIRIM_FIYATLAR]])</f>
        <v>41649.120000000003</v>
      </c>
      <c r="N1499">
        <v>5206.1400000000003</v>
      </c>
      <c r="O1499" t="s">
        <v>215</v>
      </c>
      <c r="P1499">
        <v>5206.1400000000003</v>
      </c>
      <c r="Q1499" t="s">
        <v>221</v>
      </c>
    </row>
    <row r="1500" spans="1:17" x14ac:dyDescent="0.25">
      <c r="A1500" t="s">
        <v>1099</v>
      </c>
      <c r="B1500" t="s">
        <v>1055</v>
      </c>
      <c r="C1500" t="s">
        <v>175</v>
      </c>
      <c r="D1500" t="s">
        <v>708</v>
      </c>
      <c r="E1500" t="s">
        <v>709</v>
      </c>
      <c r="F1500">
        <v>3</v>
      </c>
      <c r="G1500" t="s">
        <v>179</v>
      </c>
      <c r="H1500">
        <v>0</v>
      </c>
      <c r="I1500">
        <v>400</v>
      </c>
      <c r="J1500" s="10">
        <v>32</v>
      </c>
      <c r="K1500" s="10">
        <f>SUMIFS(F:F,D:D,DST_123_ÜRETİM_İHTİYAÇ_RAPORU_BURAK_YENI1309[[#This Row],[ALT_KOD]])-(SUMIFS(H:H,D:D,DST_123_ÜRETİM_İHTİYAÇ_RAPORU_BURAK_YENI1309[[#This Row],[ALT_KOD]])+AVERAGEIFS(I:I,D:D,DST_123_ÜRETİM_İHTİYAÇ_RAPORU_BURAK_YENI1309[[#This Row],[ALT_KOD]])+AVERAGEIFS(L:L,D:D,DST_123_ÜRETİM_İHTİYAÇ_RAPORU_BURAK_YENI1309[[#This Row],[ALT_KOD]]))</f>
        <v>-397</v>
      </c>
      <c r="L1500">
        <v>0</v>
      </c>
      <c r="M1500">
        <f>IF((DST_123_ÜRETİM_İHTİYAÇ_RAPORU_BURAK_YENI1309[[#This Row],[SATINALMA]]*DST_123_ÜRETİM_İHTİYAÇ_RAPORU_BURAK_YENI1309[[#This Row],[BIRIM_FIYATLAR]])&lt;1,VALUE("0"),DST_123_ÜRETİM_İHTİYAÇ_RAPORU_BURAK_YENI1309[[#This Row],[SATINALMA]]*DST_123_ÜRETİM_İHTİYAÇ_RAPORU_BURAK_YENI1309[[#This Row],[BIRIM_FIYATLAR]])</f>
        <v>0</v>
      </c>
      <c r="N1500">
        <v>11.5</v>
      </c>
      <c r="O1500" t="s">
        <v>635</v>
      </c>
      <c r="P1500">
        <v>34.5</v>
      </c>
      <c r="Q1500" t="s">
        <v>221</v>
      </c>
    </row>
    <row r="1501" spans="1:17" x14ac:dyDescent="0.25">
      <c r="A1501" t="s">
        <v>1064</v>
      </c>
      <c r="B1501" t="s">
        <v>1055</v>
      </c>
      <c r="C1501" t="s">
        <v>175</v>
      </c>
      <c r="D1501" t="s">
        <v>130</v>
      </c>
      <c r="E1501" t="s">
        <v>131</v>
      </c>
      <c r="F1501">
        <v>96</v>
      </c>
      <c r="G1501" t="s">
        <v>176</v>
      </c>
      <c r="H1501">
        <v>0</v>
      </c>
      <c r="I1501">
        <v>2750</v>
      </c>
      <c r="J1501" s="10">
        <v>0</v>
      </c>
      <c r="K1501" s="10">
        <f>SUMIFS(F:F,D:D,DST_123_ÜRETİM_İHTİYAÇ_RAPORU_BURAK_YENI1309[[#This Row],[ALT_KOD]])-(SUMIFS(H:H,D:D,DST_123_ÜRETİM_İHTİYAÇ_RAPORU_BURAK_YENI1309[[#This Row],[ALT_KOD]])+AVERAGEIFS(I:I,D:D,DST_123_ÜRETİM_İHTİYAÇ_RAPORU_BURAK_YENI1309[[#This Row],[ALT_KOD]])+AVERAGEIFS(L:L,D:D,DST_123_ÜRETİM_İHTİYAÇ_RAPORU_BURAK_YENI1309[[#This Row],[ALT_KOD]]))</f>
        <v>-747</v>
      </c>
      <c r="L1501">
        <v>0</v>
      </c>
      <c r="M1501">
        <f>IF((DST_123_ÜRETİM_İHTİYAÇ_RAPORU_BURAK_YENI1309[[#This Row],[SATINALMA]]*DST_123_ÜRETİM_İHTİYAÇ_RAPORU_BURAK_YENI1309[[#This Row],[BIRIM_FIYATLAR]])&lt;1,VALUE("0"),DST_123_ÜRETİM_İHTİYAÇ_RAPORU_BURAK_YENI1309[[#This Row],[SATINALMA]]*DST_123_ÜRETİM_İHTİYAÇ_RAPORU_BURAK_YENI1309[[#This Row],[BIRIM_FIYATLAR]])</f>
        <v>0</v>
      </c>
      <c r="N1501">
        <v>0.7</v>
      </c>
      <c r="O1501" t="s">
        <v>240</v>
      </c>
      <c r="P1501">
        <v>67.199999999999989</v>
      </c>
      <c r="Q1501" t="s">
        <v>180</v>
      </c>
    </row>
    <row r="1502" spans="1:17" x14ac:dyDescent="0.25">
      <c r="A1502" t="s">
        <v>1098</v>
      </c>
      <c r="B1502" t="s">
        <v>1096</v>
      </c>
      <c r="C1502" t="s">
        <v>175</v>
      </c>
      <c r="D1502" t="s">
        <v>130</v>
      </c>
      <c r="E1502" t="s">
        <v>131</v>
      </c>
      <c r="F1502">
        <v>88</v>
      </c>
      <c r="G1502" t="s">
        <v>176</v>
      </c>
      <c r="H1502">
        <v>0</v>
      </c>
      <c r="I1502">
        <v>2750</v>
      </c>
      <c r="J1502" s="10">
        <v>0</v>
      </c>
      <c r="K1502" s="10">
        <f>SUMIFS(F:F,D:D,DST_123_ÜRETİM_İHTİYAÇ_RAPORU_BURAK_YENI1309[[#This Row],[ALT_KOD]])-(SUMIFS(H:H,D:D,DST_123_ÜRETİM_İHTİYAÇ_RAPORU_BURAK_YENI1309[[#This Row],[ALT_KOD]])+AVERAGEIFS(I:I,D:D,DST_123_ÜRETİM_İHTİYAÇ_RAPORU_BURAK_YENI1309[[#This Row],[ALT_KOD]])+AVERAGEIFS(L:L,D:D,DST_123_ÜRETİM_İHTİYAÇ_RAPORU_BURAK_YENI1309[[#This Row],[ALT_KOD]]))</f>
        <v>-747</v>
      </c>
      <c r="L1502">
        <v>0</v>
      </c>
      <c r="M1502">
        <f>IF((DST_123_ÜRETİM_İHTİYAÇ_RAPORU_BURAK_YENI1309[[#This Row],[SATINALMA]]*DST_123_ÜRETİM_İHTİYAÇ_RAPORU_BURAK_YENI1309[[#This Row],[BIRIM_FIYATLAR]])&lt;1,VALUE("0"),DST_123_ÜRETİM_İHTİYAÇ_RAPORU_BURAK_YENI1309[[#This Row],[SATINALMA]]*DST_123_ÜRETİM_İHTİYAÇ_RAPORU_BURAK_YENI1309[[#This Row],[BIRIM_FIYATLAR]])</f>
        <v>0</v>
      </c>
      <c r="N1502">
        <v>0.7</v>
      </c>
      <c r="O1502" t="s">
        <v>240</v>
      </c>
      <c r="P1502">
        <v>61.599999999999994</v>
      </c>
      <c r="Q1502" t="s">
        <v>180</v>
      </c>
    </row>
    <row r="1503" spans="1:17" x14ac:dyDescent="0.25">
      <c r="A1503" t="s">
        <v>1098</v>
      </c>
      <c r="B1503" t="s">
        <v>1096</v>
      </c>
      <c r="C1503" t="s">
        <v>175</v>
      </c>
      <c r="D1503" t="s">
        <v>124</v>
      </c>
      <c r="E1503" t="s">
        <v>125</v>
      </c>
      <c r="F1503">
        <v>8.89</v>
      </c>
      <c r="G1503" t="s">
        <v>185</v>
      </c>
      <c r="H1503">
        <v>0</v>
      </c>
      <c r="I1503">
        <v>0</v>
      </c>
      <c r="J1503" s="10">
        <v>297.61</v>
      </c>
      <c r="K1503" s="10">
        <f>SUMIFS(F:F,D:D,DST_123_ÜRETİM_İHTİYAÇ_RAPORU_BURAK_YENI1309[[#This Row],[ALT_KOD]])-(SUMIFS(H:H,D:D,DST_123_ÜRETİM_İHTİYAÇ_RAPORU_BURAK_YENI1309[[#This Row],[ALT_KOD]])+AVERAGEIFS(I:I,D:D,DST_123_ÜRETİM_İHTİYAÇ_RAPORU_BURAK_YENI1309[[#This Row],[ALT_KOD]])+AVERAGEIFS(L:L,D:D,DST_123_ÜRETİM_İHTİYAÇ_RAPORU_BURAK_YENI1309[[#This Row],[ALT_KOD]]))</f>
        <v>97.560000000000016</v>
      </c>
      <c r="L1503">
        <v>0</v>
      </c>
      <c r="M1503">
        <f>IF((DST_123_ÜRETİM_İHTİYAÇ_RAPORU_BURAK_YENI1309[[#This Row],[SATINALMA]]*DST_123_ÜRETİM_İHTİYAÇ_RAPORU_BURAK_YENI1309[[#This Row],[BIRIM_FIYATLAR]])&lt;1,VALUE("0"),DST_123_ÜRETİM_İHTİYAÇ_RAPORU_BURAK_YENI1309[[#This Row],[SATINALMA]]*DST_123_ÜRETİM_İHTİYAÇ_RAPORU_BURAK_YENI1309[[#This Row],[BIRIM_FIYATLAR]])</f>
        <v>13285.720800000003</v>
      </c>
      <c r="N1503">
        <v>136.18</v>
      </c>
      <c r="O1503" t="s">
        <v>252</v>
      </c>
      <c r="P1503">
        <v>1210.6402</v>
      </c>
      <c r="Q1503" t="s">
        <v>183</v>
      </c>
    </row>
    <row r="1504" spans="1:17" x14ac:dyDescent="0.25">
      <c r="A1504" t="s">
        <v>1196</v>
      </c>
      <c r="B1504" t="s">
        <v>1197</v>
      </c>
      <c r="C1504" t="s">
        <v>175</v>
      </c>
      <c r="D1504" t="s">
        <v>264</v>
      </c>
      <c r="E1504" t="s">
        <v>265</v>
      </c>
      <c r="F1504">
        <v>1</v>
      </c>
      <c r="G1504" t="s">
        <v>176</v>
      </c>
      <c r="H1504">
        <v>0</v>
      </c>
      <c r="I1504">
        <v>0</v>
      </c>
      <c r="J1504" s="10">
        <v>8</v>
      </c>
      <c r="K1504" s="10">
        <f>SUMIFS(F:F,D:D,DST_123_ÜRETİM_İHTİYAÇ_RAPORU_BURAK_YENI1309[[#This Row],[ALT_KOD]])-(SUMIFS(H:H,D:D,DST_123_ÜRETİM_İHTİYAÇ_RAPORU_BURAK_YENI1309[[#This Row],[ALT_KOD]])+AVERAGEIFS(I:I,D:D,DST_123_ÜRETİM_İHTİYAÇ_RAPORU_BURAK_YENI1309[[#This Row],[ALT_KOD]])+AVERAGEIFS(L:L,D:D,DST_123_ÜRETİM_İHTİYAÇ_RAPORU_BURAK_YENI1309[[#This Row],[ALT_KOD]]))</f>
        <v>12</v>
      </c>
      <c r="L1504">
        <v>0</v>
      </c>
      <c r="M1504">
        <f>IF((DST_123_ÜRETİM_İHTİYAÇ_RAPORU_BURAK_YENI1309[[#This Row],[SATINALMA]]*DST_123_ÜRETİM_İHTİYAÇ_RAPORU_BURAK_YENI1309[[#This Row],[BIRIM_FIYATLAR]])&lt;1,VALUE("0"),DST_123_ÜRETİM_İHTİYAÇ_RAPORU_BURAK_YENI1309[[#This Row],[SATINALMA]]*DST_123_ÜRETİM_İHTİYAÇ_RAPORU_BURAK_YENI1309[[#This Row],[BIRIM_FIYATLAR]])</f>
        <v>55600.08</v>
      </c>
      <c r="N1504">
        <v>4633.34</v>
      </c>
      <c r="O1504" t="s">
        <v>214</v>
      </c>
      <c r="P1504">
        <v>4633.34</v>
      </c>
      <c r="Q1504" t="s">
        <v>177</v>
      </c>
    </row>
    <row r="1505" spans="1:17" x14ac:dyDescent="0.25">
      <c r="A1505" t="s">
        <v>1064</v>
      </c>
      <c r="B1505" t="s">
        <v>1055</v>
      </c>
      <c r="C1505" t="s">
        <v>175</v>
      </c>
      <c r="D1505" t="s">
        <v>264</v>
      </c>
      <c r="E1505" t="s">
        <v>265</v>
      </c>
      <c r="F1505">
        <v>1</v>
      </c>
      <c r="G1505" t="s">
        <v>176</v>
      </c>
      <c r="H1505">
        <v>1</v>
      </c>
      <c r="I1505">
        <v>0</v>
      </c>
      <c r="J1505" s="10">
        <v>8</v>
      </c>
      <c r="K1505" s="10">
        <f>SUMIFS(F:F,D:D,DST_123_ÜRETİM_İHTİYAÇ_RAPORU_BURAK_YENI1309[[#This Row],[ALT_KOD]])-(SUMIFS(H:H,D:D,DST_123_ÜRETİM_İHTİYAÇ_RAPORU_BURAK_YENI1309[[#This Row],[ALT_KOD]])+AVERAGEIFS(I:I,D:D,DST_123_ÜRETİM_İHTİYAÇ_RAPORU_BURAK_YENI1309[[#This Row],[ALT_KOD]])+AVERAGEIFS(L:L,D:D,DST_123_ÜRETİM_İHTİYAÇ_RAPORU_BURAK_YENI1309[[#This Row],[ALT_KOD]]))</f>
        <v>12</v>
      </c>
      <c r="L1505">
        <v>0</v>
      </c>
      <c r="M1505">
        <f>IF((DST_123_ÜRETİM_İHTİYAÇ_RAPORU_BURAK_YENI1309[[#This Row],[SATINALMA]]*DST_123_ÜRETİM_İHTİYAÇ_RAPORU_BURAK_YENI1309[[#This Row],[BIRIM_FIYATLAR]])&lt;1,VALUE("0"),DST_123_ÜRETİM_İHTİYAÇ_RAPORU_BURAK_YENI1309[[#This Row],[SATINALMA]]*DST_123_ÜRETİM_İHTİYAÇ_RAPORU_BURAK_YENI1309[[#This Row],[BIRIM_FIYATLAR]])</f>
        <v>55600.08</v>
      </c>
      <c r="N1505">
        <v>4633.34</v>
      </c>
      <c r="O1505" t="s">
        <v>214</v>
      </c>
      <c r="P1505">
        <v>4633.34</v>
      </c>
      <c r="Q1505" t="s">
        <v>177</v>
      </c>
    </row>
    <row r="1506" spans="1:17" x14ac:dyDescent="0.25">
      <c r="A1506" t="s">
        <v>1099</v>
      </c>
      <c r="B1506" t="s">
        <v>1055</v>
      </c>
      <c r="C1506" t="s">
        <v>175</v>
      </c>
      <c r="D1506" t="s">
        <v>264</v>
      </c>
      <c r="E1506" t="s">
        <v>265</v>
      </c>
      <c r="F1506">
        <v>1</v>
      </c>
      <c r="G1506" t="s">
        <v>176</v>
      </c>
      <c r="H1506">
        <v>1</v>
      </c>
      <c r="I1506">
        <v>0</v>
      </c>
      <c r="J1506" s="10">
        <v>8</v>
      </c>
      <c r="K1506" s="10">
        <f>SUMIFS(F:F,D:D,DST_123_ÜRETİM_İHTİYAÇ_RAPORU_BURAK_YENI1309[[#This Row],[ALT_KOD]])-(SUMIFS(H:H,D:D,DST_123_ÜRETİM_İHTİYAÇ_RAPORU_BURAK_YENI1309[[#This Row],[ALT_KOD]])+AVERAGEIFS(I:I,D:D,DST_123_ÜRETİM_İHTİYAÇ_RAPORU_BURAK_YENI1309[[#This Row],[ALT_KOD]])+AVERAGEIFS(L:L,D:D,DST_123_ÜRETİM_İHTİYAÇ_RAPORU_BURAK_YENI1309[[#This Row],[ALT_KOD]]))</f>
        <v>12</v>
      </c>
      <c r="L1506">
        <v>0</v>
      </c>
      <c r="M1506">
        <f>IF((DST_123_ÜRETİM_İHTİYAÇ_RAPORU_BURAK_YENI1309[[#This Row],[SATINALMA]]*DST_123_ÜRETİM_İHTİYAÇ_RAPORU_BURAK_YENI1309[[#This Row],[BIRIM_FIYATLAR]])&lt;1,VALUE("0"),DST_123_ÜRETİM_İHTİYAÇ_RAPORU_BURAK_YENI1309[[#This Row],[SATINALMA]]*DST_123_ÜRETİM_İHTİYAÇ_RAPORU_BURAK_YENI1309[[#This Row],[BIRIM_FIYATLAR]])</f>
        <v>55600.08</v>
      </c>
      <c r="N1506">
        <v>4633.34</v>
      </c>
      <c r="O1506" t="s">
        <v>214</v>
      </c>
      <c r="P1506">
        <v>4633.34</v>
      </c>
      <c r="Q1506" t="s">
        <v>177</v>
      </c>
    </row>
    <row r="1507" spans="1:17" x14ac:dyDescent="0.25">
      <c r="A1507" t="s">
        <v>1196</v>
      </c>
      <c r="B1507" t="s">
        <v>1197</v>
      </c>
      <c r="C1507" t="s">
        <v>175</v>
      </c>
      <c r="D1507" t="s">
        <v>770</v>
      </c>
      <c r="E1507" t="s">
        <v>771</v>
      </c>
      <c r="F1507">
        <v>6</v>
      </c>
      <c r="G1507" t="s">
        <v>176</v>
      </c>
      <c r="H1507">
        <v>0</v>
      </c>
      <c r="I1507">
        <v>0</v>
      </c>
      <c r="J1507" s="10">
        <v>0</v>
      </c>
      <c r="K1507" s="10">
        <f>SUMIFS(F:F,D:D,DST_123_ÜRETİM_İHTİYAÇ_RAPORU_BURAK_YENI1309[[#This Row],[ALT_KOD]])-(SUMIFS(H:H,D:D,DST_123_ÜRETİM_İHTİYAÇ_RAPORU_BURAK_YENI1309[[#This Row],[ALT_KOD]])+AVERAGEIFS(I:I,D:D,DST_123_ÜRETİM_İHTİYAÇ_RAPORU_BURAK_YENI1309[[#This Row],[ALT_KOD]])+AVERAGEIFS(L:L,D:D,DST_123_ÜRETİM_İHTİYAÇ_RAPORU_BURAK_YENI1309[[#This Row],[ALT_KOD]]))</f>
        <v>54</v>
      </c>
      <c r="L1507">
        <v>0</v>
      </c>
      <c r="M1507">
        <f>IF((DST_123_ÜRETİM_İHTİYAÇ_RAPORU_BURAK_YENI1309[[#This Row],[SATINALMA]]*DST_123_ÜRETİM_İHTİYAÇ_RAPORU_BURAK_YENI1309[[#This Row],[BIRIM_FIYATLAR]])&lt;1,VALUE("0"),DST_123_ÜRETİM_İHTİYAÇ_RAPORU_BURAK_YENI1309[[#This Row],[SATINALMA]]*DST_123_ÜRETİM_İHTİYAÇ_RAPORU_BURAK_YENI1309[[#This Row],[BIRIM_FIYATLAR]])</f>
        <v>35.64</v>
      </c>
      <c r="N1507">
        <v>0.66</v>
      </c>
      <c r="O1507" t="s">
        <v>220</v>
      </c>
      <c r="P1507">
        <v>3.96</v>
      </c>
      <c r="Q1507" t="s">
        <v>221</v>
      </c>
    </row>
    <row r="1508" spans="1:17" x14ac:dyDescent="0.25">
      <c r="A1508" t="s">
        <v>1147</v>
      </c>
      <c r="B1508" t="s">
        <v>1145</v>
      </c>
      <c r="C1508" t="s">
        <v>175</v>
      </c>
      <c r="D1508" t="s">
        <v>1071</v>
      </c>
      <c r="E1508" t="s">
        <v>1072</v>
      </c>
      <c r="F1508">
        <v>0.5</v>
      </c>
      <c r="G1508" t="s">
        <v>176</v>
      </c>
      <c r="H1508">
        <v>0</v>
      </c>
      <c r="I1508">
        <v>0</v>
      </c>
      <c r="J1508" s="10">
        <v>-1.7763568394002505E-15</v>
      </c>
      <c r="K1508" s="10">
        <f>SUMIFS(F:F,D:D,DST_123_ÜRETİM_İHTİYAÇ_RAPORU_BURAK_YENI1309[[#This Row],[ALT_KOD]])-(SUMIFS(H:H,D:D,DST_123_ÜRETİM_İHTİYAÇ_RAPORU_BURAK_YENI1309[[#This Row],[ALT_KOD]])+AVERAGEIFS(I:I,D:D,DST_123_ÜRETİM_İHTİYAÇ_RAPORU_BURAK_YENI1309[[#This Row],[ALT_KOD]])+AVERAGEIFS(L:L,D:D,DST_123_ÜRETİM_İHTİYAÇ_RAPORU_BURAK_YENI1309[[#This Row],[ALT_KOD]]))</f>
        <v>2.5</v>
      </c>
      <c r="L1508">
        <v>0</v>
      </c>
      <c r="M1508">
        <f>IF((DST_123_ÜRETİM_İHTİYAÇ_RAPORU_BURAK_YENI1309[[#This Row],[SATINALMA]]*DST_123_ÜRETİM_İHTİYAÇ_RAPORU_BURAK_YENI1309[[#This Row],[BIRIM_FIYATLAR]])&lt;1,VALUE("0"),DST_123_ÜRETİM_İHTİYAÇ_RAPORU_BURAK_YENI1309[[#This Row],[SATINALMA]]*DST_123_ÜRETİM_İHTİYAÇ_RAPORU_BURAK_YENI1309[[#This Row],[BIRIM_FIYATLAR]])</f>
        <v>208.32499999999999</v>
      </c>
      <c r="N1508">
        <v>83.33</v>
      </c>
      <c r="O1508" t="s">
        <v>226</v>
      </c>
      <c r="P1508">
        <v>41.664999999999999</v>
      </c>
      <c r="Q1508" t="s">
        <v>183</v>
      </c>
    </row>
    <row r="1509" spans="1:17" x14ac:dyDescent="0.25">
      <c r="A1509" t="s">
        <v>1057</v>
      </c>
      <c r="B1509" t="s">
        <v>1058</v>
      </c>
      <c r="C1509" t="s">
        <v>175</v>
      </c>
      <c r="D1509" t="s">
        <v>130</v>
      </c>
      <c r="E1509" t="s">
        <v>131</v>
      </c>
      <c r="F1509">
        <v>118</v>
      </c>
      <c r="G1509" t="s">
        <v>176</v>
      </c>
      <c r="H1509">
        <v>0</v>
      </c>
      <c r="I1509">
        <v>2750</v>
      </c>
      <c r="J1509" s="10">
        <v>0</v>
      </c>
      <c r="K1509" s="10">
        <f>SUMIFS(F:F,D:D,DST_123_ÜRETİM_İHTİYAÇ_RAPORU_BURAK_YENI1309[[#This Row],[ALT_KOD]])-(SUMIFS(H:H,D:D,DST_123_ÜRETİM_İHTİYAÇ_RAPORU_BURAK_YENI1309[[#This Row],[ALT_KOD]])+AVERAGEIFS(I:I,D:D,DST_123_ÜRETİM_İHTİYAÇ_RAPORU_BURAK_YENI1309[[#This Row],[ALT_KOD]])+AVERAGEIFS(L:L,D:D,DST_123_ÜRETİM_İHTİYAÇ_RAPORU_BURAK_YENI1309[[#This Row],[ALT_KOD]]))</f>
        <v>-747</v>
      </c>
      <c r="L1509">
        <v>0</v>
      </c>
      <c r="M1509">
        <f>IF((DST_123_ÜRETİM_İHTİYAÇ_RAPORU_BURAK_YENI1309[[#This Row],[SATINALMA]]*DST_123_ÜRETİM_İHTİYAÇ_RAPORU_BURAK_YENI1309[[#This Row],[BIRIM_FIYATLAR]])&lt;1,VALUE("0"),DST_123_ÜRETİM_İHTİYAÇ_RAPORU_BURAK_YENI1309[[#This Row],[SATINALMA]]*DST_123_ÜRETİM_İHTİYAÇ_RAPORU_BURAK_YENI1309[[#This Row],[BIRIM_FIYATLAR]])</f>
        <v>0</v>
      </c>
      <c r="N1509">
        <v>0.7</v>
      </c>
      <c r="O1509" t="s">
        <v>240</v>
      </c>
      <c r="P1509">
        <v>82.6</v>
      </c>
      <c r="Q1509" t="s">
        <v>180</v>
      </c>
    </row>
    <row r="1510" spans="1:17" x14ac:dyDescent="0.25">
      <c r="A1510" t="s">
        <v>1101</v>
      </c>
      <c r="B1510" t="s">
        <v>1102</v>
      </c>
      <c r="C1510" t="s">
        <v>175</v>
      </c>
      <c r="D1510" t="s">
        <v>130</v>
      </c>
      <c r="E1510" t="s">
        <v>131</v>
      </c>
      <c r="F1510">
        <v>130</v>
      </c>
      <c r="G1510" t="s">
        <v>176</v>
      </c>
      <c r="H1510">
        <v>0</v>
      </c>
      <c r="I1510">
        <v>2750</v>
      </c>
      <c r="J1510" s="10">
        <v>0</v>
      </c>
      <c r="K1510" s="10">
        <f>SUMIFS(F:F,D:D,DST_123_ÜRETİM_İHTİYAÇ_RAPORU_BURAK_YENI1309[[#This Row],[ALT_KOD]])-(SUMIFS(H:H,D:D,DST_123_ÜRETİM_İHTİYAÇ_RAPORU_BURAK_YENI1309[[#This Row],[ALT_KOD]])+AVERAGEIFS(I:I,D:D,DST_123_ÜRETİM_İHTİYAÇ_RAPORU_BURAK_YENI1309[[#This Row],[ALT_KOD]])+AVERAGEIFS(L:L,D:D,DST_123_ÜRETİM_İHTİYAÇ_RAPORU_BURAK_YENI1309[[#This Row],[ALT_KOD]]))</f>
        <v>-747</v>
      </c>
      <c r="L1510">
        <v>0</v>
      </c>
      <c r="M1510">
        <f>IF((DST_123_ÜRETİM_İHTİYAÇ_RAPORU_BURAK_YENI1309[[#This Row],[SATINALMA]]*DST_123_ÜRETİM_İHTİYAÇ_RAPORU_BURAK_YENI1309[[#This Row],[BIRIM_FIYATLAR]])&lt;1,VALUE("0"),DST_123_ÜRETİM_İHTİYAÇ_RAPORU_BURAK_YENI1309[[#This Row],[SATINALMA]]*DST_123_ÜRETİM_İHTİYAÇ_RAPORU_BURAK_YENI1309[[#This Row],[BIRIM_FIYATLAR]])</f>
        <v>0</v>
      </c>
      <c r="N1510">
        <v>0.7</v>
      </c>
      <c r="O1510" t="s">
        <v>240</v>
      </c>
      <c r="P1510">
        <v>91</v>
      </c>
      <c r="Q1510" t="s">
        <v>180</v>
      </c>
    </row>
    <row r="1511" spans="1:17" x14ac:dyDescent="0.25">
      <c r="A1511" t="s">
        <v>1149</v>
      </c>
      <c r="B1511" t="s">
        <v>1145</v>
      </c>
      <c r="C1511" t="s">
        <v>175</v>
      </c>
      <c r="D1511" t="s">
        <v>548</v>
      </c>
      <c r="E1511" t="s">
        <v>549</v>
      </c>
      <c r="F1511">
        <v>28</v>
      </c>
      <c r="G1511" t="s">
        <v>176</v>
      </c>
      <c r="H1511">
        <v>0</v>
      </c>
      <c r="I1511">
        <v>800</v>
      </c>
      <c r="J1511" s="10">
        <v>0</v>
      </c>
      <c r="K1511" s="10">
        <f>SUMIFS(F:F,D:D,DST_123_ÜRETİM_İHTİYAÇ_RAPORU_BURAK_YENI1309[[#This Row],[ALT_KOD]])-(SUMIFS(H:H,D:D,DST_123_ÜRETİM_İHTİYAÇ_RAPORU_BURAK_YENI1309[[#This Row],[ALT_KOD]])+AVERAGEIFS(I:I,D:D,DST_123_ÜRETİM_İHTİYAÇ_RAPORU_BURAK_YENI1309[[#This Row],[ALT_KOD]])+AVERAGEIFS(L:L,D:D,DST_123_ÜRETİM_İHTİYAÇ_RAPORU_BURAK_YENI1309[[#This Row],[ALT_KOD]]))</f>
        <v>-414</v>
      </c>
      <c r="L1511">
        <v>0</v>
      </c>
      <c r="M1511">
        <f>IF((DST_123_ÜRETİM_İHTİYAÇ_RAPORU_BURAK_YENI1309[[#This Row],[SATINALMA]]*DST_123_ÜRETİM_İHTİYAÇ_RAPORU_BURAK_YENI1309[[#This Row],[BIRIM_FIYATLAR]])&lt;1,VALUE("0"),DST_123_ÜRETİM_İHTİYAÇ_RAPORU_BURAK_YENI1309[[#This Row],[SATINALMA]]*DST_123_ÜRETİM_İHTİYAÇ_RAPORU_BURAK_YENI1309[[#This Row],[BIRIM_FIYATLAR]])</f>
        <v>0</v>
      </c>
      <c r="N1511">
        <v>13.75</v>
      </c>
      <c r="O1511" t="s">
        <v>628</v>
      </c>
      <c r="P1511">
        <v>385</v>
      </c>
      <c r="Q1511" t="s">
        <v>180</v>
      </c>
    </row>
    <row r="1512" spans="1:17" x14ac:dyDescent="0.25">
      <c r="A1512" t="s">
        <v>1144</v>
      </c>
      <c r="B1512" t="s">
        <v>1145</v>
      </c>
      <c r="C1512" t="s">
        <v>175</v>
      </c>
      <c r="D1512" t="s">
        <v>548</v>
      </c>
      <c r="E1512" t="s">
        <v>549</v>
      </c>
      <c r="F1512">
        <v>28</v>
      </c>
      <c r="G1512" t="s">
        <v>176</v>
      </c>
      <c r="H1512">
        <v>0</v>
      </c>
      <c r="I1512">
        <v>800</v>
      </c>
      <c r="J1512" s="10">
        <v>0</v>
      </c>
      <c r="K1512" s="10">
        <f>SUMIFS(F:F,D:D,DST_123_ÜRETİM_İHTİYAÇ_RAPORU_BURAK_YENI1309[[#This Row],[ALT_KOD]])-(SUMIFS(H:H,D:D,DST_123_ÜRETİM_İHTİYAÇ_RAPORU_BURAK_YENI1309[[#This Row],[ALT_KOD]])+AVERAGEIFS(I:I,D:D,DST_123_ÜRETİM_İHTİYAÇ_RAPORU_BURAK_YENI1309[[#This Row],[ALT_KOD]])+AVERAGEIFS(L:L,D:D,DST_123_ÜRETİM_İHTİYAÇ_RAPORU_BURAK_YENI1309[[#This Row],[ALT_KOD]]))</f>
        <v>-414</v>
      </c>
      <c r="L1512">
        <v>0</v>
      </c>
      <c r="M1512">
        <f>IF((DST_123_ÜRETİM_İHTİYAÇ_RAPORU_BURAK_YENI1309[[#This Row],[SATINALMA]]*DST_123_ÜRETİM_İHTİYAÇ_RAPORU_BURAK_YENI1309[[#This Row],[BIRIM_FIYATLAR]])&lt;1,VALUE("0"),DST_123_ÜRETİM_İHTİYAÇ_RAPORU_BURAK_YENI1309[[#This Row],[SATINALMA]]*DST_123_ÜRETİM_İHTİYAÇ_RAPORU_BURAK_YENI1309[[#This Row],[BIRIM_FIYATLAR]])</f>
        <v>0</v>
      </c>
      <c r="N1512">
        <v>13.75</v>
      </c>
      <c r="O1512" t="s">
        <v>628</v>
      </c>
      <c r="P1512">
        <v>385</v>
      </c>
      <c r="Q1512" t="s">
        <v>180</v>
      </c>
    </row>
    <row r="1513" spans="1:17" x14ac:dyDescent="0.25">
      <c r="A1513" t="s">
        <v>1097</v>
      </c>
      <c r="B1513" t="s">
        <v>1055</v>
      </c>
      <c r="C1513" t="s">
        <v>175</v>
      </c>
      <c r="D1513" t="s">
        <v>285</v>
      </c>
      <c r="E1513" t="s">
        <v>286</v>
      </c>
      <c r="F1513">
        <v>0.4</v>
      </c>
      <c r="G1513" t="s">
        <v>185</v>
      </c>
      <c r="H1513">
        <v>0.4</v>
      </c>
      <c r="I1513">
        <v>0</v>
      </c>
      <c r="J1513" s="10">
        <v>24.129999999999985</v>
      </c>
      <c r="K1513" s="10">
        <f>SUMIFS(F:F,D:D,DST_123_ÜRETİM_İHTİYAÇ_RAPORU_BURAK_YENI1309[[#This Row],[ALT_KOD]])-(SUMIFS(H:H,D:D,DST_123_ÜRETİM_İHTİYAÇ_RAPORU_BURAK_YENI1309[[#This Row],[ALT_KOD]])+AVERAGEIFS(I:I,D:D,DST_123_ÜRETİM_İHTİYAÇ_RAPORU_BURAK_YENI1309[[#This Row],[ALT_KOD]])+AVERAGEIFS(L:L,D:D,DST_123_ÜRETİM_İHTİYAÇ_RAPORU_BURAK_YENI1309[[#This Row],[ALT_KOD]]))</f>
        <v>4.1899999999999995</v>
      </c>
      <c r="L1513">
        <v>0</v>
      </c>
      <c r="M1513">
        <f>IF((DST_123_ÜRETİM_İHTİYAÇ_RAPORU_BURAK_YENI1309[[#This Row],[SATINALMA]]*DST_123_ÜRETİM_İHTİYAÇ_RAPORU_BURAK_YENI1309[[#This Row],[BIRIM_FIYATLAR]])&lt;1,VALUE("0"),DST_123_ÜRETİM_İHTİYAÇ_RAPORU_BURAK_YENI1309[[#This Row],[SATINALMA]]*DST_123_ÜRETİM_İHTİYAÇ_RAPORU_BURAK_YENI1309[[#This Row],[BIRIM_FIYATLAR]])</f>
        <v>1667.7456999999997</v>
      </c>
      <c r="N1513">
        <v>398.03</v>
      </c>
      <c r="O1513" t="s">
        <v>490</v>
      </c>
      <c r="P1513">
        <v>159.21199999999999</v>
      </c>
      <c r="Q1513" t="s">
        <v>183</v>
      </c>
    </row>
    <row r="1514" spans="1:17" x14ac:dyDescent="0.25">
      <c r="A1514" t="s">
        <v>1097</v>
      </c>
      <c r="B1514" t="s">
        <v>1055</v>
      </c>
      <c r="C1514" t="s">
        <v>175</v>
      </c>
      <c r="D1514" t="s">
        <v>68</v>
      </c>
      <c r="E1514" t="s">
        <v>69</v>
      </c>
      <c r="F1514">
        <v>10.709999999999999</v>
      </c>
      <c r="G1514" t="s">
        <v>185</v>
      </c>
      <c r="H1514">
        <v>0</v>
      </c>
      <c r="I1514">
        <v>134.9</v>
      </c>
      <c r="J1514" s="10">
        <v>46.099999999999767</v>
      </c>
      <c r="K1514" s="10">
        <f>SUMIFS(F:F,D:D,DST_123_ÜRETİM_İHTİYAÇ_RAPORU_BURAK_YENI1309[[#This Row],[ALT_KOD]])-(SUMIFS(H:H,D:D,DST_123_ÜRETİM_İHTİYAÇ_RAPORU_BURAK_YENI1309[[#This Row],[ALT_KOD]])+AVERAGEIFS(I:I,D:D,DST_123_ÜRETİM_İHTİYAÇ_RAPORU_BURAK_YENI1309[[#This Row],[ALT_KOD]])+AVERAGEIFS(L:L,D:D,DST_123_ÜRETİM_İHTİYAÇ_RAPORU_BURAK_YENI1309[[#This Row],[ALT_KOD]]))</f>
        <v>43.169999999999959</v>
      </c>
      <c r="L1514">
        <v>0</v>
      </c>
      <c r="M1514">
        <f>IF((DST_123_ÜRETİM_İHTİYAÇ_RAPORU_BURAK_YENI1309[[#This Row],[SATINALMA]]*DST_123_ÜRETİM_İHTİYAÇ_RAPORU_BURAK_YENI1309[[#This Row],[BIRIM_FIYATLAR]])&lt;1,VALUE("0"),DST_123_ÜRETİM_İHTİYAÇ_RAPORU_BURAK_YENI1309[[#This Row],[SATINALMA]]*DST_123_ÜRETİM_İHTİYAÇ_RAPORU_BURAK_YENI1309[[#This Row],[BIRIM_FIYATLAR]])</f>
        <v>4160.2928999999958</v>
      </c>
      <c r="N1514">
        <v>96.37</v>
      </c>
      <c r="O1514" t="s">
        <v>490</v>
      </c>
      <c r="P1514">
        <v>1032.1226999999999</v>
      </c>
      <c r="Q1514" t="s">
        <v>183</v>
      </c>
    </row>
    <row r="1515" spans="1:17" x14ac:dyDescent="0.25">
      <c r="A1515" t="s">
        <v>1059</v>
      </c>
      <c r="B1515" t="s">
        <v>1058</v>
      </c>
      <c r="C1515" t="s">
        <v>175</v>
      </c>
      <c r="D1515" t="s">
        <v>380</v>
      </c>
      <c r="E1515" t="s">
        <v>381</v>
      </c>
      <c r="F1515">
        <v>1.1000000000000001</v>
      </c>
      <c r="G1515" t="s">
        <v>179</v>
      </c>
      <c r="H1515">
        <v>0</v>
      </c>
      <c r="I1515">
        <v>0</v>
      </c>
      <c r="J1515" s="10">
        <v>20.30000000000009</v>
      </c>
      <c r="K1515" s="10">
        <f>SUMIFS(F:F,D:D,DST_123_ÜRETİM_İHTİYAÇ_RAPORU_BURAK_YENI1309[[#This Row],[ALT_KOD]])-(SUMIFS(H:H,D:D,DST_123_ÜRETİM_İHTİYAÇ_RAPORU_BURAK_YENI1309[[#This Row],[ALT_KOD]])+AVERAGEIFS(I:I,D:D,DST_123_ÜRETİM_İHTİYAÇ_RAPORU_BURAK_YENI1309[[#This Row],[ALT_KOD]])+AVERAGEIFS(L:L,D:D,DST_123_ÜRETİM_İHTİYAÇ_RAPORU_BURAK_YENI1309[[#This Row],[ALT_KOD]]))</f>
        <v>21.1</v>
      </c>
      <c r="L1515">
        <v>0</v>
      </c>
      <c r="M1515">
        <f>IF((DST_123_ÜRETİM_İHTİYAÇ_RAPORU_BURAK_YENI1309[[#This Row],[SATINALMA]]*DST_123_ÜRETİM_İHTİYAÇ_RAPORU_BURAK_YENI1309[[#This Row],[BIRIM_FIYATLAR]])&lt;1,VALUE("0"),DST_123_ÜRETİM_İHTİYAÇ_RAPORU_BURAK_YENI1309[[#This Row],[SATINALMA]]*DST_123_ÜRETİM_İHTİYAÇ_RAPORU_BURAK_YENI1309[[#This Row],[BIRIM_FIYATLAR]])</f>
        <v>2426.5</v>
      </c>
      <c r="N1515">
        <v>115</v>
      </c>
      <c r="O1515" t="s">
        <v>821</v>
      </c>
      <c r="P1515">
        <v>126.50000000000001</v>
      </c>
      <c r="Q1515" t="s">
        <v>178</v>
      </c>
    </row>
    <row r="1516" spans="1:17" x14ac:dyDescent="0.25">
      <c r="A1516" t="s">
        <v>1097</v>
      </c>
      <c r="B1516" t="s">
        <v>1055</v>
      </c>
      <c r="C1516" t="s">
        <v>175</v>
      </c>
      <c r="D1516" t="s">
        <v>380</v>
      </c>
      <c r="E1516" t="s">
        <v>381</v>
      </c>
      <c r="F1516">
        <v>1.1000000000000001</v>
      </c>
      <c r="G1516" t="s">
        <v>179</v>
      </c>
      <c r="H1516">
        <v>0</v>
      </c>
      <c r="I1516">
        <v>0</v>
      </c>
      <c r="J1516" s="10">
        <v>20.30000000000009</v>
      </c>
      <c r="K1516" s="10">
        <f>SUMIFS(F:F,D:D,DST_123_ÜRETİM_İHTİYAÇ_RAPORU_BURAK_YENI1309[[#This Row],[ALT_KOD]])-(SUMIFS(H:H,D:D,DST_123_ÜRETİM_İHTİYAÇ_RAPORU_BURAK_YENI1309[[#This Row],[ALT_KOD]])+AVERAGEIFS(I:I,D:D,DST_123_ÜRETİM_İHTİYAÇ_RAPORU_BURAK_YENI1309[[#This Row],[ALT_KOD]])+AVERAGEIFS(L:L,D:D,DST_123_ÜRETİM_İHTİYAÇ_RAPORU_BURAK_YENI1309[[#This Row],[ALT_KOD]]))</f>
        <v>21.1</v>
      </c>
      <c r="L1516">
        <v>0</v>
      </c>
      <c r="M1516">
        <f>IF((DST_123_ÜRETİM_İHTİYAÇ_RAPORU_BURAK_YENI1309[[#This Row],[SATINALMA]]*DST_123_ÜRETİM_İHTİYAÇ_RAPORU_BURAK_YENI1309[[#This Row],[BIRIM_FIYATLAR]])&lt;1,VALUE("0"),DST_123_ÜRETİM_İHTİYAÇ_RAPORU_BURAK_YENI1309[[#This Row],[SATINALMA]]*DST_123_ÜRETİM_İHTİYAÇ_RAPORU_BURAK_YENI1309[[#This Row],[BIRIM_FIYATLAR]])</f>
        <v>2426.5</v>
      </c>
      <c r="N1516">
        <v>115</v>
      </c>
      <c r="O1516" t="s">
        <v>821</v>
      </c>
      <c r="P1516">
        <v>126.50000000000001</v>
      </c>
      <c r="Q1516" t="s">
        <v>178</v>
      </c>
    </row>
    <row r="1517" spans="1:17" x14ac:dyDescent="0.25">
      <c r="A1517" t="s">
        <v>1143</v>
      </c>
      <c r="B1517" t="s">
        <v>1056</v>
      </c>
      <c r="C1517" t="s">
        <v>175</v>
      </c>
      <c r="D1517" t="s">
        <v>380</v>
      </c>
      <c r="E1517" t="s">
        <v>381</v>
      </c>
      <c r="F1517">
        <v>1.1000000000000001</v>
      </c>
      <c r="G1517" t="s">
        <v>179</v>
      </c>
      <c r="H1517">
        <v>0</v>
      </c>
      <c r="I1517">
        <v>0</v>
      </c>
      <c r="J1517" s="10">
        <v>20.30000000000009</v>
      </c>
      <c r="K1517" s="10">
        <f>SUMIFS(F:F,D:D,DST_123_ÜRETİM_İHTİYAÇ_RAPORU_BURAK_YENI1309[[#This Row],[ALT_KOD]])-(SUMIFS(H:H,D:D,DST_123_ÜRETİM_İHTİYAÇ_RAPORU_BURAK_YENI1309[[#This Row],[ALT_KOD]])+AVERAGEIFS(I:I,D:D,DST_123_ÜRETİM_İHTİYAÇ_RAPORU_BURAK_YENI1309[[#This Row],[ALT_KOD]])+AVERAGEIFS(L:L,D:D,DST_123_ÜRETİM_İHTİYAÇ_RAPORU_BURAK_YENI1309[[#This Row],[ALT_KOD]]))</f>
        <v>21.1</v>
      </c>
      <c r="L1517">
        <v>0</v>
      </c>
      <c r="M1517">
        <f>IF((DST_123_ÜRETİM_İHTİYAÇ_RAPORU_BURAK_YENI1309[[#This Row],[SATINALMA]]*DST_123_ÜRETİM_İHTİYAÇ_RAPORU_BURAK_YENI1309[[#This Row],[BIRIM_FIYATLAR]])&lt;1,VALUE("0"),DST_123_ÜRETİM_İHTİYAÇ_RAPORU_BURAK_YENI1309[[#This Row],[SATINALMA]]*DST_123_ÜRETİM_İHTİYAÇ_RAPORU_BURAK_YENI1309[[#This Row],[BIRIM_FIYATLAR]])</f>
        <v>2426.5</v>
      </c>
      <c r="N1517">
        <v>115</v>
      </c>
      <c r="O1517" t="s">
        <v>821</v>
      </c>
      <c r="P1517">
        <v>126.50000000000001</v>
      </c>
      <c r="Q1517" t="s">
        <v>178</v>
      </c>
    </row>
    <row r="1518" spans="1:17" x14ac:dyDescent="0.25">
      <c r="A1518" t="s">
        <v>1144</v>
      </c>
      <c r="B1518" t="s">
        <v>1145</v>
      </c>
      <c r="C1518" t="s">
        <v>175</v>
      </c>
      <c r="D1518" t="s">
        <v>201</v>
      </c>
      <c r="E1518" t="s">
        <v>225</v>
      </c>
      <c r="F1518">
        <v>3</v>
      </c>
      <c r="G1518" t="s">
        <v>176</v>
      </c>
      <c r="H1518">
        <v>0</v>
      </c>
      <c r="I1518">
        <v>65</v>
      </c>
      <c r="J1518" s="10">
        <v>31</v>
      </c>
      <c r="K1518" s="10">
        <f>SUMIFS(F:F,D:D,DST_123_ÜRETİM_İHTİYAÇ_RAPORU_BURAK_YENI1309[[#This Row],[ALT_KOD]])-(SUMIFS(H:H,D:D,DST_123_ÜRETİM_İHTİYAÇ_RAPORU_BURAK_YENI1309[[#This Row],[ALT_KOD]])+AVERAGEIFS(I:I,D:D,DST_123_ÜRETİM_İHTİYAÇ_RAPORU_BURAK_YENI1309[[#This Row],[ALT_KOD]])+AVERAGEIFS(L:L,D:D,DST_123_ÜRETİM_İHTİYAÇ_RAPORU_BURAK_YENI1309[[#This Row],[ALT_KOD]]))</f>
        <v>-31</v>
      </c>
      <c r="L1518">
        <v>0</v>
      </c>
      <c r="M1518">
        <f>IF((DST_123_ÜRETİM_İHTİYAÇ_RAPORU_BURAK_YENI1309[[#This Row],[SATINALMA]]*DST_123_ÜRETİM_İHTİYAÇ_RAPORU_BURAK_YENI1309[[#This Row],[BIRIM_FIYATLAR]])&lt;1,VALUE("0"),DST_123_ÜRETİM_İHTİYAÇ_RAPORU_BURAK_YENI1309[[#This Row],[SATINALMA]]*DST_123_ÜRETİM_İHTİYAÇ_RAPORU_BURAK_YENI1309[[#This Row],[BIRIM_FIYATLAR]])</f>
        <v>0</v>
      </c>
      <c r="N1518">
        <v>45.5</v>
      </c>
      <c r="O1518" t="s">
        <v>504</v>
      </c>
      <c r="P1518">
        <v>136.5</v>
      </c>
      <c r="Q1518" t="s">
        <v>221</v>
      </c>
    </row>
    <row r="1519" spans="1:17" x14ac:dyDescent="0.25">
      <c r="A1519" t="s">
        <v>1146</v>
      </c>
      <c r="B1519" t="s">
        <v>1145</v>
      </c>
      <c r="C1519" t="s">
        <v>175</v>
      </c>
      <c r="D1519" t="s">
        <v>201</v>
      </c>
      <c r="E1519" t="s">
        <v>225</v>
      </c>
      <c r="F1519">
        <v>3</v>
      </c>
      <c r="G1519" t="s">
        <v>176</v>
      </c>
      <c r="H1519">
        <v>0</v>
      </c>
      <c r="I1519">
        <v>65</v>
      </c>
      <c r="J1519" s="10">
        <v>31</v>
      </c>
      <c r="K1519" s="10">
        <f>SUMIFS(F:F,D:D,DST_123_ÜRETİM_İHTİYAÇ_RAPORU_BURAK_YENI1309[[#This Row],[ALT_KOD]])-(SUMIFS(H:H,D:D,DST_123_ÜRETİM_İHTİYAÇ_RAPORU_BURAK_YENI1309[[#This Row],[ALT_KOD]])+AVERAGEIFS(I:I,D:D,DST_123_ÜRETİM_İHTİYAÇ_RAPORU_BURAK_YENI1309[[#This Row],[ALT_KOD]])+AVERAGEIFS(L:L,D:D,DST_123_ÜRETİM_İHTİYAÇ_RAPORU_BURAK_YENI1309[[#This Row],[ALT_KOD]]))</f>
        <v>-31</v>
      </c>
      <c r="L1519">
        <v>0</v>
      </c>
      <c r="M1519">
        <f>IF((DST_123_ÜRETİM_İHTİYAÇ_RAPORU_BURAK_YENI1309[[#This Row],[SATINALMA]]*DST_123_ÜRETİM_İHTİYAÇ_RAPORU_BURAK_YENI1309[[#This Row],[BIRIM_FIYATLAR]])&lt;1,VALUE("0"),DST_123_ÜRETİM_İHTİYAÇ_RAPORU_BURAK_YENI1309[[#This Row],[SATINALMA]]*DST_123_ÜRETİM_İHTİYAÇ_RAPORU_BURAK_YENI1309[[#This Row],[BIRIM_FIYATLAR]])</f>
        <v>0</v>
      </c>
      <c r="N1519">
        <v>45.5</v>
      </c>
      <c r="O1519" t="s">
        <v>504</v>
      </c>
      <c r="P1519">
        <v>136.5</v>
      </c>
      <c r="Q1519" t="s">
        <v>221</v>
      </c>
    </row>
    <row r="1520" spans="1:17" x14ac:dyDescent="0.25">
      <c r="A1520" t="s">
        <v>1149</v>
      </c>
      <c r="B1520" t="s">
        <v>1145</v>
      </c>
      <c r="C1520" t="s">
        <v>175</v>
      </c>
      <c r="D1520" t="s">
        <v>2</v>
      </c>
      <c r="E1520" t="s">
        <v>423</v>
      </c>
      <c r="F1520">
        <v>2</v>
      </c>
      <c r="G1520" t="s">
        <v>176</v>
      </c>
      <c r="H1520">
        <v>0</v>
      </c>
      <c r="I1520">
        <v>20</v>
      </c>
      <c r="J1520" s="10">
        <v>20</v>
      </c>
      <c r="K1520" s="10">
        <f>SUMIFS(F:F,D:D,DST_123_ÜRETİM_İHTİYAÇ_RAPORU_BURAK_YENI1309[[#This Row],[ALT_KOD]])-(SUMIFS(H:H,D:D,DST_123_ÜRETİM_İHTİYAÇ_RAPORU_BURAK_YENI1309[[#This Row],[ALT_KOD]])+AVERAGEIFS(I:I,D:D,DST_123_ÜRETİM_İHTİYAÇ_RAPORU_BURAK_YENI1309[[#This Row],[ALT_KOD]])+AVERAGEIFS(L:L,D:D,DST_123_ÜRETİM_İHTİYAÇ_RAPORU_BURAK_YENI1309[[#This Row],[ALT_KOD]]))</f>
        <v>-6</v>
      </c>
      <c r="L1520">
        <v>10</v>
      </c>
      <c r="M1520">
        <f>IF((DST_123_ÜRETİM_İHTİYAÇ_RAPORU_BURAK_YENI1309[[#This Row],[SATINALMA]]*DST_123_ÜRETİM_İHTİYAÇ_RAPORU_BURAK_YENI1309[[#This Row],[BIRIM_FIYATLAR]])&lt;1,VALUE("0"),DST_123_ÜRETİM_İHTİYAÇ_RAPORU_BURAK_YENI1309[[#This Row],[SATINALMA]]*DST_123_ÜRETİM_İHTİYAÇ_RAPORU_BURAK_YENI1309[[#This Row],[BIRIM_FIYATLAR]])</f>
        <v>0</v>
      </c>
      <c r="N1520">
        <v>400</v>
      </c>
      <c r="O1520" t="s">
        <v>217</v>
      </c>
      <c r="P1520">
        <v>800</v>
      </c>
      <c r="Q1520" t="s">
        <v>221</v>
      </c>
    </row>
    <row r="1521" spans="1:17" x14ac:dyDescent="0.25">
      <c r="A1521" t="s">
        <v>1144</v>
      </c>
      <c r="B1521" t="s">
        <v>1145</v>
      </c>
      <c r="C1521" t="s">
        <v>175</v>
      </c>
      <c r="D1521" t="s">
        <v>128</v>
      </c>
      <c r="E1521" t="s">
        <v>129</v>
      </c>
      <c r="F1521">
        <v>7</v>
      </c>
      <c r="G1521" t="s">
        <v>185</v>
      </c>
      <c r="H1521">
        <v>0</v>
      </c>
      <c r="I1521">
        <v>0</v>
      </c>
      <c r="J1521" s="10">
        <v>260.61</v>
      </c>
      <c r="K1521" s="10">
        <f>SUMIFS(F:F,D:D,DST_123_ÜRETİM_İHTİYAÇ_RAPORU_BURAK_YENI1309[[#This Row],[ALT_KOD]])-(SUMIFS(H:H,D:D,DST_123_ÜRETİM_İHTİYAÇ_RAPORU_BURAK_YENI1309[[#This Row],[ALT_KOD]])+AVERAGEIFS(I:I,D:D,DST_123_ÜRETİM_İHTİYAÇ_RAPORU_BURAK_YENI1309[[#This Row],[ALT_KOD]])+AVERAGEIFS(L:L,D:D,DST_123_ÜRETİM_İHTİYAÇ_RAPORU_BURAK_YENI1309[[#This Row],[ALT_KOD]]))</f>
        <v>97.559999999999988</v>
      </c>
      <c r="L1521">
        <v>0</v>
      </c>
      <c r="M1521">
        <f>IF((DST_123_ÜRETİM_İHTİYAÇ_RAPORU_BURAK_YENI1309[[#This Row],[SATINALMA]]*DST_123_ÜRETİM_İHTİYAÇ_RAPORU_BURAK_YENI1309[[#This Row],[BIRIM_FIYATLAR]])&lt;1,VALUE("0"),DST_123_ÜRETİM_İHTİYAÇ_RAPORU_BURAK_YENI1309[[#This Row],[SATINALMA]]*DST_123_ÜRETİM_İHTİYAÇ_RAPORU_BURAK_YENI1309[[#This Row],[BIRIM_FIYATLAR]])</f>
        <v>13285.720799999999</v>
      </c>
      <c r="N1521">
        <v>136.18</v>
      </c>
      <c r="O1521" t="s">
        <v>252</v>
      </c>
      <c r="P1521">
        <v>953.26</v>
      </c>
      <c r="Q1521" t="s">
        <v>183</v>
      </c>
    </row>
    <row r="1522" spans="1:17" x14ac:dyDescent="0.25">
      <c r="A1522" t="s">
        <v>1144</v>
      </c>
      <c r="B1522" t="s">
        <v>1145</v>
      </c>
      <c r="C1522" t="s">
        <v>175</v>
      </c>
      <c r="D1522" t="s">
        <v>833</v>
      </c>
      <c r="E1522" t="s">
        <v>834</v>
      </c>
      <c r="F1522">
        <v>0.5</v>
      </c>
      <c r="G1522" t="s">
        <v>179</v>
      </c>
      <c r="H1522">
        <v>0</v>
      </c>
      <c r="I1522">
        <v>0</v>
      </c>
      <c r="J1522" s="10">
        <v>36.5</v>
      </c>
      <c r="K1522" s="10">
        <f>SUMIFS(F:F,D:D,DST_123_ÜRETİM_İHTİYAÇ_RAPORU_BURAK_YENI1309[[#This Row],[ALT_KOD]])-(SUMIFS(H:H,D:D,DST_123_ÜRETİM_İHTİYAÇ_RAPORU_BURAK_YENI1309[[#This Row],[ALT_KOD]])+AVERAGEIFS(I:I,D:D,DST_123_ÜRETİM_İHTİYAÇ_RAPORU_BURAK_YENI1309[[#This Row],[ALT_KOD]])+AVERAGEIFS(L:L,D:D,DST_123_ÜRETİM_İHTİYAÇ_RAPORU_BURAK_YENI1309[[#This Row],[ALT_KOD]]))</f>
        <v>9</v>
      </c>
      <c r="L1522">
        <v>0</v>
      </c>
      <c r="M1522">
        <f>IF((DST_123_ÜRETİM_İHTİYAÇ_RAPORU_BURAK_YENI1309[[#This Row],[SATINALMA]]*DST_123_ÜRETİM_İHTİYAÇ_RAPORU_BURAK_YENI1309[[#This Row],[BIRIM_FIYATLAR]])&lt;1,VALUE("0"),DST_123_ÜRETİM_İHTİYAÇ_RAPORU_BURAK_YENI1309[[#This Row],[SATINALMA]]*DST_123_ÜRETİM_İHTİYAÇ_RAPORU_BURAK_YENI1309[[#This Row],[BIRIM_FIYATLAR]])</f>
        <v>250.29</v>
      </c>
      <c r="N1522">
        <v>27.81</v>
      </c>
      <c r="O1522" t="s">
        <v>835</v>
      </c>
      <c r="P1522">
        <v>13.904999999999999</v>
      </c>
      <c r="Q1522" t="s">
        <v>184</v>
      </c>
    </row>
    <row r="1523" spans="1:17" x14ac:dyDescent="0.25">
      <c r="A1523" t="s">
        <v>1146</v>
      </c>
      <c r="B1523" t="s">
        <v>1145</v>
      </c>
      <c r="C1523" t="s">
        <v>175</v>
      </c>
      <c r="D1523" t="s">
        <v>833</v>
      </c>
      <c r="E1523" t="s">
        <v>834</v>
      </c>
      <c r="F1523">
        <v>0.5</v>
      </c>
      <c r="G1523" t="s">
        <v>179</v>
      </c>
      <c r="H1523">
        <v>0</v>
      </c>
      <c r="I1523">
        <v>0</v>
      </c>
      <c r="J1523" s="10">
        <v>36.5</v>
      </c>
      <c r="K1523" s="10">
        <f>SUMIFS(F:F,D:D,DST_123_ÜRETİM_İHTİYAÇ_RAPORU_BURAK_YENI1309[[#This Row],[ALT_KOD]])-(SUMIFS(H:H,D:D,DST_123_ÜRETİM_İHTİYAÇ_RAPORU_BURAK_YENI1309[[#This Row],[ALT_KOD]])+AVERAGEIFS(I:I,D:D,DST_123_ÜRETİM_İHTİYAÇ_RAPORU_BURAK_YENI1309[[#This Row],[ALT_KOD]])+AVERAGEIFS(L:L,D:D,DST_123_ÜRETİM_İHTİYAÇ_RAPORU_BURAK_YENI1309[[#This Row],[ALT_KOD]]))</f>
        <v>9</v>
      </c>
      <c r="L1523">
        <v>0</v>
      </c>
      <c r="M1523">
        <f>IF((DST_123_ÜRETİM_İHTİYAÇ_RAPORU_BURAK_YENI1309[[#This Row],[SATINALMA]]*DST_123_ÜRETİM_İHTİYAÇ_RAPORU_BURAK_YENI1309[[#This Row],[BIRIM_FIYATLAR]])&lt;1,VALUE("0"),DST_123_ÜRETİM_İHTİYAÇ_RAPORU_BURAK_YENI1309[[#This Row],[SATINALMA]]*DST_123_ÜRETİM_İHTİYAÇ_RAPORU_BURAK_YENI1309[[#This Row],[BIRIM_FIYATLAR]])</f>
        <v>250.29</v>
      </c>
      <c r="N1523">
        <v>27.81</v>
      </c>
      <c r="O1523" t="s">
        <v>835</v>
      </c>
      <c r="P1523">
        <v>13.904999999999999</v>
      </c>
      <c r="Q1523" t="s">
        <v>184</v>
      </c>
    </row>
    <row r="1524" spans="1:17" x14ac:dyDescent="0.25">
      <c r="A1524" t="s">
        <v>1149</v>
      </c>
      <c r="B1524" t="s">
        <v>1145</v>
      </c>
      <c r="C1524" t="s">
        <v>175</v>
      </c>
      <c r="D1524" t="s">
        <v>372</v>
      </c>
      <c r="E1524" t="s">
        <v>373</v>
      </c>
      <c r="F1524">
        <v>6</v>
      </c>
      <c r="G1524" t="s">
        <v>176</v>
      </c>
      <c r="H1524">
        <v>0</v>
      </c>
      <c r="I1524">
        <v>65</v>
      </c>
      <c r="J1524" s="10">
        <v>54</v>
      </c>
      <c r="K1524" s="10">
        <f>SUMIFS(F:F,D:D,DST_123_ÜRETİM_İHTİYAÇ_RAPORU_BURAK_YENI1309[[#This Row],[ALT_KOD]])-(SUMIFS(H:H,D:D,DST_123_ÜRETİM_İHTİYAÇ_RAPORU_BURAK_YENI1309[[#This Row],[ALT_KOD]])+AVERAGEIFS(I:I,D:D,DST_123_ÜRETİM_İHTİYAÇ_RAPORU_BURAK_YENI1309[[#This Row],[ALT_KOD]])+AVERAGEIFS(L:L,D:D,DST_123_ÜRETİM_İHTİYAÇ_RAPORU_BURAK_YENI1309[[#This Row],[ALT_KOD]]))</f>
        <v>2</v>
      </c>
      <c r="L1524">
        <v>40</v>
      </c>
      <c r="M1524">
        <f>IF((DST_123_ÜRETİM_İHTİYAÇ_RAPORU_BURAK_YENI1309[[#This Row],[SATINALMA]]*DST_123_ÜRETİM_İHTİYAÇ_RAPORU_BURAK_YENI1309[[#This Row],[BIRIM_FIYATLAR]])&lt;1,VALUE("0"),DST_123_ÜRETİM_İHTİYAÇ_RAPORU_BURAK_YENI1309[[#This Row],[SATINALMA]]*DST_123_ÜRETİM_İHTİYAÇ_RAPORU_BURAK_YENI1309[[#This Row],[BIRIM_FIYATLAR]])</f>
        <v>148</v>
      </c>
      <c r="N1524">
        <v>74</v>
      </c>
      <c r="O1524" t="s">
        <v>821</v>
      </c>
      <c r="P1524">
        <v>444</v>
      </c>
      <c r="Q1524" t="s">
        <v>178</v>
      </c>
    </row>
    <row r="1525" spans="1:17" x14ac:dyDescent="0.25">
      <c r="A1525" t="s">
        <v>1146</v>
      </c>
      <c r="B1525" t="s">
        <v>1145</v>
      </c>
      <c r="C1525" t="s">
        <v>175</v>
      </c>
      <c r="D1525" t="s">
        <v>372</v>
      </c>
      <c r="E1525" t="s">
        <v>373</v>
      </c>
      <c r="F1525">
        <v>6</v>
      </c>
      <c r="G1525" t="s">
        <v>176</v>
      </c>
      <c r="H1525">
        <v>0</v>
      </c>
      <c r="I1525">
        <v>65</v>
      </c>
      <c r="J1525" s="10">
        <v>54</v>
      </c>
      <c r="K1525" s="10">
        <f>SUMIFS(F:F,D:D,DST_123_ÜRETİM_İHTİYAÇ_RAPORU_BURAK_YENI1309[[#This Row],[ALT_KOD]])-(SUMIFS(H:H,D:D,DST_123_ÜRETİM_İHTİYAÇ_RAPORU_BURAK_YENI1309[[#This Row],[ALT_KOD]])+AVERAGEIFS(I:I,D:D,DST_123_ÜRETİM_İHTİYAÇ_RAPORU_BURAK_YENI1309[[#This Row],[ALT_KOD]])+AVERAGEIFS(L:L,D:D,DST_123_ÜRETİM_İHTİYAÇ_RAPORU_BURAK_YENI1309[[#This Row],[ALT_KOD]]))</f>
        <v>2</v>
      </c>
      <c r="L1525">
        <v>40</v>
      </c>
      <c r="M1525">
        <f>IF((DST_123_ÜRETİM_İHTİYAÇ_RAPORU_BURAK_YENI1309[[#This Row],[SATINALMA]]*DST_123_ÜRETİM_İHTİYAÇ_RAPORU_BURAK_YENI1309[[#This Row],[BIRIM_FIYATLAR]])&lt;1,VALUE("0"),DST_123_ÜRETİM_İHTİYAÇ_RAPORU_BURAK_YENI1309[[#This Row],[SATINALMA]]*DST_123_ÜRETİM_İHTİYAÇ_RAPORU_BURAK_YENI1309[[#This Row],[BIRIM_FIYATLAR]])</f>
        <v>148</v>
      </c>
      <c r="N1525">
        <v>74</v>
      </c>
      <c r="O1525" t="s">
        <v>821</v>
      </c>
      <c r="P1525">
        <v>444</v>
      </c>
      <c r="Q1525" t="s">
        <v>178</v>
      </c>
    </row>
    <row r="1526" spans="1:17" x14ac:dyDescent="0.25">
      <c r="A1526" t="s">
        <v>1144</v>
      </c>
      <c r="B1526" t="s">
        <v>1145</v>
      </c>
      <c r="C1526" t="s">
        <v>175</v>
      </c>
      <c r="D1526" t="s">
        <v>573</v>
      </c>
      <c r="E1526" t="s">
        <v>574</v>
      </c>
      <c r="F1526">
        <v>1</v>
      </c>
      <c r="G1526" t="s">
        <v>176</v>
      </c>
      <c r="H1526">
        <v>0</v>
      </c>
      <c r="I1526">
        <v>24</v>
      </c>
      <c r="J1526" s="10">
        <v>-3.5527136788005009E-14</v>
      </c>
      <c r="K1526" s="10">
        <f>SUMIFS(F:F,D:D,DST_123_ÜRETİM_İHTİYAÇ_RAPORU_BURAK_YENI1309[[#This Row],[ALT_KOD]])-(SUMIFS(H:H,D:D,DST_123_ÜRETİM_İHTİYAÇ_RAPORU_BURAK_YENI1309[[#This Row],[ALT_KOD]])+AVERAGEIFS(I:I,D:D,DST_123_ÜRETİM_İHTİYAÇ_RAPORU_BURAK_YENI1309[[#This Row],[ALT_KOD]])+AVERAGEIFS(L:L,D:D,DST_123_ÜRETİM_İHTİYAÇ_RAPORU_BURAK_YENI1309[[#This Row],[ALT_KOD]]))</f>
        <v>-7.600000000000005</v>
      </c>
      <c r="L1526">
        <v>0</v>
      </c>
      <c r="M1526">
        <f>IF((DST_123_ÜRETİM_İHTİYAÇ_RAPORU_BURAK_YENI1309[[#This Row],[SATINALMA]]*DST_123_ÜRETİM_İHTİYAÇ_RAPORU_BURAK_YENI1309[[#This Row],[BIRIM_FIYATLAR]])&lt;1,VALUE("0"),DST_123_ÜRETİM_İHTİYAÇ_RAPORU_BURAK_YENI1309[[#This Row],[SATINALMA]]*DST_123_ÜRETİM_İHTİYAÇ_RAPORU_BURAK_YENI1309[[#This Row],[BIRIM_FIYATLAR]])</f>
        <v>0</v>
      </c>
      <c r="N1526">
        <v>120</v>
      </c>
      <c r="O1526" t="s">
        <v>240</v>
      </c>
      <c r="P1526">
        <v>120</v>
      </c>
      <c r="Q1526" t="s">
        <v>183</v>
      </c>
    </row>
    <row r="1527" spans="1:17" x14ac:dyDescent="0.25">
      <c r="A1527" t="s">
        <v>1146</v>
      </c>
      <c r="B1527" t="s">
        <v>1145</v>
      </c>
      <c r="C1527" t="s">
        <v>175</v>
      </c>
      <c r="D1527" t="s">
        <v>573</v>
      </c>
      <c r="E1527" t="s">
        <v>574</v>
      </c>
      <c r="F1527">
        <v>1</v>
      </c>
      <c r="G1527" t="s">
        <v>176</v>
      </c>
      <c r="H1527">
        <v>0</v>
      </c>
      <c r="I1527">
        <v>24</v>
      </c>
      <c r="J1527" s="10">
        <v>-3.5527136788005009E-14</v>
      </c>
      <c r="K1527" s="10">
        <f>SUMIFS(F:F,D:D,DST_123_ÜRETİM_İHTİYAÇ_RAPORU_BURAK_YENI1309[[#This Row],[ALT_KOD]])-(SUMIFS(H:H,D:D,DST_123_ÜRETİM_İHTİYAÇ_RAPORU_BURAK_YENI1309[[#This Row],[ALT_KOD]])+AVERAGEIFS(I:I,D:D,DST_123_ÜRETİM_İHTİYAÇ_RAPORU_BURAK_YENI1309[[#This Row],[ALT_KOD]])+AVERAGEIFS(L:L,D:D,DST_123_ÜRETİM_İHTİYAÇ_RAPORU_BURAK_YENI1309[[#This Row],[ALT_KOD]]))</f>
        <v>-7.600000000000005</v>
      </c>
      <c r="L1527">
        <v>0</v>
      </c>
      <c r="M1527">
        <f>IF((DST_123_ÜRETİM_İHTİYAÇ_RAPORU_BURAK_YENI1309[[#This Row],[SATINALMA]]*DST_123_ÜRETİM_İHTİYAÇ_RAPORU_BURAK_YENI1309[[#This Row],[BIRIM_FIYATLAR]])&lt;1,VALUE("0"),DST_123_ÜRETİM_İHTİYAÇ_RAPORU_BURAK_YENI1309[[#This Row],[SATINALMA]]*DST_123_ÜRETİM_İHTİYAÇ_RAPORU_BURAK_YENI1309[[#This Row],[BIRIM_FIYATLAR]])</f>
        <v>0</v>
      </c>
      <c r="N1527">
        <v>120</v>
      </c>
      <c r="O1527" t="s">
        <v>240</v>
      </c>
      <c r="P1527">
        <v>120</v>
      </c>
      <c r="Q1527" t="s">
        <v>183</v>
      </c>
    </row>
    <row r="1528" spans="1:17" x14ac:dyDescent="0.25">
      <c r="A1528" t="s">
        <v>1144</v>
      </c>
      <c r="B1528" t="s">
        <v>1145</v>
      </c>
      <c r="C1528" t="s">
        <v>175</v>
      </c>
      <c r="D1528" t="s">
        <v>2</v>
      </c>
      <c r="E1528" t="s">
        <v>423</v>
      </c>
      <c r="F1528">
        <v>2</v>
      </c>
      <c r="G1528" t="s">
        <v>176</v>
      </c>
      <c r="H1528">
        <v>0</v>
      </c>
      <c r="I1528">
        <v>20</v>
      </c>
      <c r="J1528" s="10">
        <v>20</v>
      </c>
      <c r="K1528" s="10">
        <f>SUMIFS(F:F,D:D,DST_123_ÜRETİM_İHTİYAÇ_RAPORU_BURAK_YENI1309[[#This Row],[ALT_KOD]])-(SUMIFS(H:H,D:D,DST_123_ÜRETİM_İHTİYAÇ_RAPORU_BURAK_YENI1309[[#This Row],[ALT_KOD]])+AVERAGEIFS(I:I,D:D,DST_123_ÜRETİM_İHTİYAÇ_RAPORU_BURAK_YENI1309[[#This Row],[ALT_KOD]])+AVERAGEIFS(L:L,D:D,DST_123_ÜRETİM_İHTİYAÇ_RAPORU_BURAK_YENI1309[[#This Row],[ALT_KOD]]))</f>
        <v>-6</v>
      </c>
      <c r="L1528">
        <v>10</v>
      </c>
      <c r="M1528">
        <f>IF((DST_123_ÜRETİM_İHTİYAÇ_RAPORU_BURAK_YENI1309[[#This Row],[SATINALMA]]*DST_123_ÜRETİM_İHTİYAÇ_RAPORU_BURAK_YENI1309[[#This Row],[BIRIM_FIYATLAR]])&lt;1,VALUE("0"),DST_123_ÜRETİM_İHTİYAÇ_RAPORU_BURAK_YENI1309[[#This Row],[SATINALMA]]*DST_123_ÜRETİM_İHTİYAÇ_RAPORU_BURAK_YENI1309[[#This Row],[BIRIM_FIYATLAR]])</f>
        <v>0</v>
      </c>
      <c r="N1528">
        <v>400</v>
      </c>
      <c r="O1528" t="s">
        <v>217</v>
      </c>
      <c r="P1528">
        <v>800</v>
      </c>
      <c r="Q1528" t="s">
        <v>221</v>
      </c>
    </row>
    <row r="1529" spans="1:17" x14ac:dyDescent="0.25">
      <c r="A1529" t="s">
        <v>1146</v>
      </c>
      <c r="B1529" t="s">
        <v>1145</v>
      </c>
      <c r="C1529" t="s">
        <v>175</v>
      </c>
      <c r="D1529" t="s">
        <v>2</v>
      </c>
      <c r="E1529" t="s">
        <v>423</v>
      </c>
      <c r="F1529">
        <v>2</v>
      </c>
      <c r="G1529" t="s">
        <v>176</v>
      </c>
      <c r="H1529">
        <v>0</v>
      </c>
      <c r="I1529">
        <v>20</v>
      </c>
      <c r="J1529" s="10">
        <v>20</v>
      </c>
      <c r="K1529" s="10">
        <f>SUMIFS(F:F,D:D,DST_123_ÜRETİM_İHTİYAÇ_RAPORU_BURAK_YENI1309[[#This Row],[ALT_KOD]])-(SUMIFS(H:H,D:D,DST_123_ÜRETİM_İHTİYAÇ_RAPORU_BURAK_YENI1309[[#This Row],[ALT_KOD]])+AVERAGEIFS(I:I,D:D,DST_123_ÜRETİM_İHTİYAÇ_RAPORU_BURAK_YENI1309[[#This Row],[ALT_KOD]])+AVERAGEIFS(L:L,D:D,DST_123_ÜRETİM_İHTİYAÇ_RAPORU_BURAK_YENI1309[[#This Row],[ALT_KOD]]))</f>
        <v>-6</v>
      </c>
      <c r="L1529">
        <v>10</v>
      </c>
      <c r="M1529">
        <f>IF((DST_123_ÜRETİM_İHTİYAÇ_RAPORU_BURAK_YENI1309[[#This Row],[SATINALMA]]*DST_123_ÜRETİM_İHTİYAÇ_RAPORU_BURAK_YENI1309[[#This Row],[BIRIM_FIYATLAR]])&lt;1,VALUE("0"),DST_123_ÜRETİM_İHTİYAÇ_RAPORU_BURAK_YENI1309[[#This Row],[SATINALMA]]*DST_123_ÜRETİM_İHTİYAÇ_RAPORU_BURAK_YENI1309[[#This Row],[BIRIM_FIYATLAR]])</f>
        <v>0</v>
      </c>
      <c r="N1529">
        <v>400</v>
      </c>
      <c r="O1529" t="s">
        <v>217</v>
      </c>
      <c r="P1529">
        <v>800</v>
      </c>
      <c r="Q1529" t="s">
        <v>221</v>
      </c>
    </row>
    <row r="1530" spans="1:17" x14ac:dyDescent="0.25">
      <c r="A1530" t="s">
        <v>1149</v>
      </c>
      <c r="B1530" t="s">
        <v>1145</v>
      </c>
      <c r="C1530" t="s">
        <v>175</v>
      </c>
      <c r="D1530" t="s">
        <v>128</v>
      </c>
      <c r="E1530" t="s">
        <v>129</v>
      </c>
      <c r="F1530">
        <v>7</v>
      </c>
      <c r="G1530" t="s">
        <v>185</v>
      </c>
      <c r="H1530">
        <v>0</v>
      </c>
      <c r="I1530">
        <v>0</v>
      </c>
      <c r="J1530" s="10">
        <v>260.61</v>
      </c>
      <c r="K1530" s="10">
        <f>SUMIFS(F:F,D:D,DST_123_ÜRETİM_İHTİYAÇ_RAPORU_BURAK_YENI1309[[#This Row],[ALT_KOD]])-(SUMIFS(H:H,D:D,DST_123_ÜRETİM_İHTİYAÇ_RAPORU_BURAK_YENI1309[[#This Row],[ALT_KOD]])+AVERAGEIFS(I:I,D:D,DST_123_ÜRETİM_İHTİYAÇ_RAPORU_BURAK_YENI1309[[#This Row],[ALT_KOD]])+AVERAGEIFS(L:L,D:D,DST_123_ÜRETİM_İHTİYAÇ_RAPORU_BURAK_YENI1309[[#This Row],[ALT_KOD]]))</f>
        <v>97.559999999999988</v>
      </c>
      <c r="L1530">
        <v>0</v>
      </c>
      <c r="M1530">
        <f>IF((DST_123_ÜRETİM_İHTİYAÇ_RAPORU_BURAK_YENI1309[[#This Row],[SATINALMA]]*DST_123_ÜRETİM_İHTİYAÇ_RAPORU_BURAK_YENI1309[[#This Row],[BIRIM_FIYATLAR]])&lt;1,VALUE("0"),DST_123_ÜRETİM_İHTİYAÇ_RAPORU_BURAK_YENI1309[[#This Row],[SATINALMA]]*DST_123_ÜRETİM_İHTİYAÇ_RAPORU_BURAK_YENI1309[[#This Row],[BIRIM_FIYATLAR]])</f>
        <v>13285.720799999999</v>
      </c>
      <c r="N1530">
        <v>136.18</v>
      </c>
      <c r="O1530" t="s">
        <v>252</v>
      </c>
      <c r="P1530">
        <v>953.26</v>
      </c>
      <c r="Q1530" t="s">
        <v>183</v>
      </c>
    </row>
    <row r="1531" spans="1:17" x14ac:dyDescent="0.25">
      <c r="A1531" t="s">
        <v>1149</v>
      </c>
      <c r="B1531" t="s">
        <v>1145</v>
      </c>
      <c r="C1531" t="s">
        <v>175</v>
      </c>
      <c r="D1531" t="s">
        <v>833</v>
      </c>
      <c r="E1531" t="s">
        <v>834</v>
      </c>
      <c r="F1531">
        <v>0.5</v>
      </c>
      <c r="G1531" t="s">
        <v>179</v>
      </c>
      <c r="H1531">
        <v>0</v>
      </c>
      <c r="I1531">
        <v>0</v>
      </c>
      <c r="J1531" s="10">
        <v>36.5</v>
      </c>
      <c r="K1531" s="10">
        <f>SUMIFS(F:F,D:D,DST_123_ÜRETİM_İHTİYAÇ_RAPORU_BURAK_YENI1309[[#This Row],[ALT_KOD]])-(SUMIFS(H:H,D:D,DST_123_ÜRETİM_İHTİYAÇ_RAPORU_BURAK_YENI1309[[#This Row],[ALT_KOD]])+AVERAGEIFS(I:I,D:D,DST_123_ÜRETİM_İHTİYAÇ_RAPORU_BURAK_YENI1309[[#This Row],[ALT_KOD]])+AVERAGEIFS(L:L,D:D,DST_123_ÜRETİM_İHTİYAÇ_RAPORU_BURAK_YENI1309[[#This Row],[ALT_KOD]]))</f>
        <v>9</v>
      </c>
      <c r="L1531">
        <v>0</v>
      </c>
      <c r="M1531">
        <f>IF((DST_123_ÜRETİM_İHTİYAÇ_RAPORU_BURAK_YENI1309[[#This Row],[SATINALMA]]*DST_123_ÜRETİM_İHTİYAÇ_RAPORU_BURAK_YENI1309[[#This Row],[BIRIM_FIYATLAR]])&lt;1,VALUE("0"),DST_123_ÜRETİM_İHTİYAÇ_RAPORU_BURAK_YENI1309[[#This Row],[SATINALMA]]*DST_123_ÜRETİM_İHTİYAÇ_RAPORU_BURAK_YENI1309[[#This Row],[BIRIM_FIYATLAR]])</f>
        <v>250.29</v>
      </c>
      <c r="N1531">
        <v>27.81</v>
      </c>
      <c r="O1531" t="s">
        <v>835</v>
      </c>
      <c r="P1531">
        <v>13.904999999999999</v>
      </c>
      <c r="Q1531" t="s">
        <v>184</v>
      </c>
    </row>
    <row r="1532" spans="1:17" x14ac:dyDescent="0.25">
      <c r="A1532" t="s">
        <v>1144</v>
      </c>
      <c r="B1532" t="s">
        <v>1145</v>
      </c>
      <c r="C1532" t="s">
        <v>175</v>
      </c>
      <c r="D1532" t="s">
        <v>372</v>
      </c>
      <c r="E1532" t="s">
        <v>373</v>
      </c>
      <c r="F1532">
        <v>6</v>
      </c>
      <c r="G1532" t="s">
        <v>176</v>
      </c>
      <c r="H1532">
        <v>0</v>
      </c>
      <c r="I1532">
        <v>65</v>
      </c>
      <c r="J1532" s="10">
        <v>54</v>
      </c>
      <c r="K1532" s="10">
        <f>SUMIFS(F:F,D:D,DST_123_ÜRETİM_İHTİYAÇ_RAPORU_BURAK_YENI1309[[#This Row],[ALT_KOD]])-(SUMIFS(H:H,D:D,DST_123_ÜRETİM_İHTİYAÇ_RAPORU_BURAK_YENI1309[[#This Row],[ALT_KOD]])+AVERAGEIFS(I:I,D:D,DST_123_ÜRETİM_İHTİYAÇ_RAPORU_BURAK_YENI1309[[#This Row],[ALT_KOD]])+AVERAGEIFS(L:L,D:D,DST_123_ÜRETİM_İHTİYAÇ_RAPORU_BURAK_YENI1309[[#This Row],[ALT_KOD]]))</f>
        <v>2</v>
      </c>
      <c r="L1532">
        <v>40</v>
      </c>
      <c r="M1532">
        <f>IF((DST_123_ÜRETİM_İHTİYAÇ_RAPORU_BURAK_YENI1309[[#This Row],[SATINALMA]]*DST_123_ÜRETİM_İHTİYAÇ_RAPORU_BURAK_YENI1309[[#This Row],[BIRIM_FIYATLAR]])&lt;1,VALUE("0"),DST_123_ÜRETİM_İHTİYAÇ_RAPORU_BURAK_YENI1309[[#This Row],[SATINALMA]]*DST_123_ÜRETİM_İHTİYAÇ_RAPORU_BURAK_YENI1309[[#This Row],[BIRIM_FIYATLAR]])</f>
        <v>148</v>
      </c>
      <c r="N1532">
        <v>74</v>
      </c>
      <c r="O1532" t="s">
        <v>821</v>
      </c>
      <c r="P1532">
        <v>444</v>
      </c>
      <c r="Q1532" t="s">
        <v>178</v>
      </c>
    </row>
    <row r="1533" spans="1:17" x14ac:dyDescent="0.25">
      <c r="A1533" t="s">
        <v>1150</v>
      </c>
      <c r="B1533" t="s">
        <v>1145</v>
      </c>
      <c r="C1533" t="s">
        <v>175</v>
      </c>
      <c r="D1533" t="s">
        <v>123</v>
      </c>
      <c r="E1533" t="s">
        <v>633</v>
      </c>
      <c r="F1533">
        <v>0.2</v>
      </c>
      <c r="G1533" t="s">
        <v>179</v>
      </c>
      <c r="H1533">
        <v>0</v>
      </c>
      <c r="I1533">
        <v>200</v>
      </c>
      <c r="J1533" s="10">
        <v>5.6843418860808015E-14</v>
      </c>
      <c r="K1533" s="10">
        <f>SUMIFS(F:F,D:D,DST_123_ÜRETİM_İHTİYAÇ_RAPORU_BURAK_YENI1309[[#This Row],[ALT_KOD]])-(SUMIFS(H:H,D:D,DST_123_ÜRETİM_İHTİYAÇ_RAPORU_BURAK_YENI1309[[#This Row],[ALT_KOD]])+AVERAGEIFS(I:I,D:D,DST_123_ÜRETİM_İHTİYAÇ_RAPORU_BURAK_YENI1309[[#This Row],[ALT_KOD]])+AVERAGEIFS(L:L,D:D,DST_123_ÜRETİM_İHTİYAÇ_RAPORU_BURAK_YENI1309[[#This Row],[ALT_KOD]]))</f>
        <v>-196.15</v>
      </c>
      <c r="L1533">
        <v>0</v>
      </c>
      <c r="M1533">
        <f>IF((DST_123_ÜRETİM_İHTİYAÇ_RAPORU_BURAK_YENI1309[[#This Row],[SATINALMA]]*DST_123_ÜRETİM_İHTİYAÇ_RAPORU_BURAK_YENI1309[[#This Row],[BIRIM_FIYATLAR]])&lt;1,VALUE("0"),DST_123_ÜRETİM_İHTİYAÇ_RAPORU_BURAK_YENI1309[[#This Row],[SATINALMA]]*DST_123_ÜRETİM_İHTİYAÇ_RAPORU_BURAK_YENI1309[[#This Row],[BIRIM_FIYATLAR]])</f>
        <v>0</v>
      </c>
      <c r="N1533">
        <v>2.89</v>
      </c>
      <c r="O1533" t="s">
        <v>826</v>
      </c>
      <c r="P1533">
        <v>0.57800000000000007</v>
      </c>
      <c r="Q1533" t="s">
        <v>221</v>
      </c>
    </row>
    <row r="1534" spans="1:17" x14ac:dyDescent="0.25">
      <c r="A1534" t="s">
        <v>1144</v>
      </c>
      <c r="B1534" t="s">
        <v>1145</v>
      </c>
      <c r="C1534" t="s">
        <v>175</v>
      </c>
      <c r="D1534" t="s">
        <v>123</v>
      </c>
      <c r="E1534" t="s">
        <v>633</v>
      </c>
      <c r="F1534">
        <v>0.2</v>
      </c>
      <c r="G1534" t="s">
        <v>179</v>
      </c>
      <c r="H1534">
        <v>0</v>
      </c>
      <c r="I1534">
        <v>200</v>
      </c>
      <c r="J1534" s="10">
        <v>5.6843418860808015E-14</v>
      </c>
      <c r="K1534" s="10">
        <f>SUMIFS(F:F,D:D,DST_123_ÜRETİM_İHTİYAÇ_RAPORU_BURAK_YENI1309[[#This Row],[ALT_KOD]])-(SUMIFS(H:H,D:D,DST_123_ÜRETİM_İHTİYAÇ_RAPORU_BURAK_YENI1309[[#This Row],[ALT_KOD]])+AVERAGEIFS(I:I,D:D,DST_123_ÜRETİM_İHTİYAÇ_RAPORU_BURAK_YENI1309[[#This Row],[ALT_KOD]])+AVERAGEIFS(L:L,D:D,DST_123_ÜRETİM_İHTİYAÇ_RAPORU_BURAK_YENI1309[[#This Row],[ALT_KOD]]))</f>
        <v>-196.15</v>
      </c>
      <c r="L1534">
        <v>0</v>
      </c>
      <c r="M1534">
        <f>IF((DST_123_ÜRETİM_İHTİYAÇ_RAPORU_BURAK_YENI1309[[#This Row],[SATINALMA]]*DST_123_ÜRETİM_İHTİYAÇ_RAPORU_BURAK_YENI1309[[#This Row],[BIRIM_FIYATLAR]])&lt;1,VALUE("0"),DST_123_ÜRETİM_İHTİYAÇ_RAPORU_BURAK_YENI1309[[#This Row],[SATINALMA]]*DST_123_ÜRETİM_İHTİYAÇ_RAPORU_BURAK_YENI1309[[#This Row],[BIRIM_FIYATLAR]])</f>
        <v>0</v>
      </c>
      <c r="N1534">
        <v>2.89</v>
      </c>
      <c r="O1534" t="s">
        <v>826</v>
      </c>
      <c r="P1534">
        <v>0.57800000000000007</v>
      </c>
      <c r="Q1534" t="s">
        <v>221</v>
      </c>
    </row>
    <row r="1535" spans="1:17" x14ac:dyDescent="0.25">
      <c r="A1535" t="s">
        <v>1146</v>
      </c>
      <c r="B1535" t="s">
        <v>1145</v>
      </c>
      <c r="C1535" t="s">
        <v>175</v>
      </c>
      <c r="D1535" t="s">
        <v>123</v>
      </c>
      <c r="E1535" t="s">
        <v>633</v>
      </c>
      <c r="F1535">
        <v>0.2</v>
      </c>
      <c r="G1535" t="s">
        <v>179</v>
      </c>
      <c r="H1535">
        <v>0</v>
      </c>
      <c r="I1535">
        <v>200</v>
      </c>
      <c r="J1535" s="10">
        <v>5.6843418860808015E-14</v>
      </c>
      <c r="K1535" s="10">
        <f>SUMIFS(F:F,D:D,DST_123_ÜRETİM_İHTİYAÇ_RAPORU_BURAK_YENI1309[[#This Row],[ALT_KOD]])-(SUMIFS(H:H,D:D,DST_123_ÜRETİM_İHTİYAÇ_RAPORU_BURAK_YENI1309[[#This Row],[ALT_KOD]])+AVERAGEIFS(I:I,D:D,DST_123_ÜRETİM_İHTİYAÇ_RAPORU_BURAK_YENI1309[[#This Row],[ALT_KOD]])+AVERAGEIFS(L:L,D:D,DST_123_ÜRETİM_İHTİYAÇ_RAPORU_BURAK_YENI1309[[#This Row],[ALT_KOD]]))</f>
        <v>-196.15</v>
      </c>
      <c r="L1535">
        <v>0</v>
      </c>
      <c r="M1535">
        <f>IF((DST_123_ÜRETİM_İHTİYAÇ_RAPORU_BURAK_YENI1309[[#This Row],[SATINALMA]]*DST_123_ÜRETİM_İHTİYAÇ_RAPORU_BURAK_YENI1309[[#This Row],[BIRIM_FIYATLAR]])&lt;1,VALUE("0"),DST_123_ÜRETİM_İHTİYAÇ_RAPORU_BURAK_YENI1309[[#This Row],[SATINALMA]]*DST_123_ÜRETİM_İHTİYAÇ_RAPORU_BURAK_YENI1309[[#This Row],[BIRIM_FIYATLAR]])</f>
        <v>0</v>
      </c>
      <c r="N1535">
        <v>2.89</v>
      </c>
      <c r="O1535" t="s">
        <v>826</v>
      </c>
      <c r="P1535">
        <v>0.57800000000000007</v>
      </c>
      <c r="Q1535" t="s">
        <v>221</v>
      </c>
    </row>
    <row r="1536" spans="1:17" x14ac:dyDescent="0.25">
      <c r="A1536" t="s">
        <v>1144</v>
      </c>
      <c r="B1536" t="s">
        <v>1145</v>
      </c>
      <c r="C1536" t="s">
        <v>175</v>
      </c>
      <c r="D1536" t="s">
        <v>133</v>
      </c>
      <c r="E1536" t="s">
        <v>310</v>
      </c>
      <c r="F1536">
        <v>1</v>
      </c>
      <c r="G1536" t="s">
        <v>176</v>
      </c>
      <c r="H1536">
        <v>0</v>
      </c>
      <c r="I1536">
        <v>15</v>
      </c>
      <c r="J1536" s="10">
        <v>9</v>
      </c>
      <c r="K1536" s="10">
        <f>SUMIFS(F:F,D:D,DST_123_ÜRETİM_İHTİYAÇ_RAPORU_BURAK_YENI1309[[#This Row],[ALT_KOD]])-(SUMIFS(H:H,D:D,DST_123_ÜRETİM_İHTİYAÇ_RAPORU_BURAK_YENI1309[[#This Row],[ALT_KOD]])+AVERAGEIFS(I:I,D:D,DST_123_ÜRETİM_İHTİYAÇ_RAPORU_BURAK_YENI1309[[#This Row],[ALT_KOD]])+AVERAGEIFS(L:L,D:D,DST_123_ÜRETİM_İHTİYAÇ_RAPORU_BURAK_YENI1309[[#This Row],[ALT_KOD]]))</f>
        <v>-3</v>
      </c>
      <c r="L1536">
        <v>0</v>
      </c>
      <c r="M1536">
        <f>IF((DST_123_ÜRETİM_İHTİYAÇ_RAPORU_BURAK_YENI1309[[#This Row],[SATINALMA]]*DST_123_ÜRETİM_İHTİYAÇ_RAPORU_BURAK_YENI1309[[#This Row],[BIRIM_FIYATLAR]])&lt;1,VALUE("0"),DST_123_ÜRETİM_İHTİYAÇ_RAPORU_BURAK_YENI1309[[#This Row],[SATINALMA]]*DST_123_ÜRETİM_İHTİYAÇ_RAPORU_BURAK_YENI1309[[#This Row],[BIRIM_FIYATLAR]])</f>
        <v>0</v>
      </c>
      <c r="N1536">
        <v>224.46</v>
      </c>
      <c r="O1536" t="s">
        <v>826</v>
      </c>
      <c r="P1536">
        <v>224.46</v>
      </c>
      <c r="Q1536" t="s">
        <v>221</v>
      </c>
    </row>
    <row r="1537" spans="1:17" x14ac:dyDescent="0.25">
      <c r="A1537" t="s">
        <v>1064</v>
      </c>
      <c r="B1537" t="s">
        <v>1055</v>
      </c>
      <c r="C1537" t="s">
        <v>175</v>
      </c>
      <c r="D1537" t="s">
        <v>573</v>
      </c>
      <c r="E1537" t="s">
        <v>574</v>
      </c>
      <c r="F1537">
        <v>0.7</v>
      </c>
      <c r="G1537" t="s">
        <v>176</v>
      </c>
      <c r="H1537">
        <v>0</v>
      </c>
      <c r="I1537">
        <v>24</v>
      </c>
      <c r="J1537" s="10">
        <v>-3.5527136788005009E-14</v>
      </c>
      <c r="K1537" s="10">
        <f>SUMIFS(F:F,D:D,DST_123_ÜRETİM_İHTİYAÇ_RAPORU_BURAK_YENI1309[[#This Row],[ALT_KOD]])-(SUMIFS(H:H,D:D,DST_123_ÜRETİM_İHTİYAÇ_RAPORU_BURAK_YENI1309[[#This Row],[ALT_KOD]])+AVERAGEIFS(I:I,D:D,DST_123_ÜRETİM_İHTİYAÇ_RAPORU_BURAK_YENI1309[[#This Row],[ALT_KOD]])+AVERAGEIFS(L:L,D:D,DST_123_ÜRETİM_İHTİYAÇ_RAPORU_BURAK_YENI1309[[#This Row],[ALT_KOD]]))</f>
        <v>-7.600000000000005</v>
      </c>
      <c r="L1537">
        <v>0</v>
      </c>
      <c r="M1537">
        <f>IF((DST_123_ÜRETİM_İHTİYAÇ_RAPORU_BURAK_YENI1309[[#This Row],[SATINALMA]]*DST_123_ÜRETİM_İHTİYAÇ_RAPORU_BURAK_YENI1309[[#This Row],[BIRIM_FIYATLAR]])&lt;1,VALUE("0"),DST_123_ÜRETİM_İHTİYAÇ_RAPORU_BURAK_YENI1309[[#This Row],[SATINALMA]]*DST_123_ÜRETİM_İHTİYAÇ_RAPORU_BURAK_YENI1309[[#This Row],[BIRIM_FIYATLAR]])</f>
        <v>0</v>
      </c>
      <c r="N1537">
        <v>120</v>
      </c>
      <c r="O1537" t="s">
        <v>240</v>
      </c>
      <c r="P1537">
        <v>84</v>
      </c>
      <c r="Q1537" t="s">
        <v>183</v>
      </c>
    </row>
    <row r="1538" spans="1:17" x14ac:dyDescent="0.25">
      <c r="A1538" t="s">
        <v>1098</v>
      </c>
      <c r="B1538" t="s">
        <v>1096</v>
      </c>
      <c r="C1538" t="s">
        <v>175</v>
      </c>
      <c r="D1538" t="s">
        <v>573</v>
      </c>
      <c r="E1538" t="s">
        <v>574</v>
      </c>
      <c r="F1538">
        <v>0.7</v>
      </c>
      <c r="G1538" t="s">
        <v>176</v>
      </c>
      <c r="H1538">
        <v>0</v>
      </c>
      <c r="I1538">
        <v>24</v>
      </c>
      <c r="J1538" s="10">
        <v>-3.5527136788005009E-14</v>
      </c>
      <c r="K1538" s="10">
        <f>SUMIFS(F:F,D:D,DST_123_ÜRETİM_İHTİYAÇ_RAPORU_BURAK_YENI1309[[#This Row],[ALT_KOD]])-(SUMIFS(H:H,D:D,DST_123_ÜRETİM_İHTİYAÇ_RAPORU_BURAK_YENI1309[[#This Row],[ALT_KOD]])+AVERAGEIFS(I:I,D:D,DST_123_ÜRETİM_İHTİYAÇ_RAPORU_BURAK_YENI1309[[#This Row],[ALT_KOD]])+AVERAGEIFS(L:L,D:D,DST_123_ÜRETİM_İHTİYAÇ_RAPORU_BURAK_YENI1309[[#This Row],[ALT_KOD]]))</f>
        <v>-7.600000000000005</v>
      </c>
      <c r="L1538">
        <v>0</v>
      </c>
      <c r="M1538">
        <f>IF((DST_123_ÜRETİM_İHTİYAÇ_RAPORU_BURAK_YENI1309[[#This Row],[SATINALMA]]*DST_123_ÜRETİM_İHTİYAÇ_RAPORU_BURAK_YENI1309[[#This Row],[BIRIM_FIYATLAR]])&lt;1,VALUE("0"),DST_123_ÜRETİM_İHTİYAÇ_RAPORU_BURAK_YENI1309[[#This Row],[SATINALMA]]*DST_123_ÜRETİM_İHTİYAÇ_RAPORU_BURAK_YENI1309[[#This Row],[BIRIM_FIYATLAR]])</f>
        <v>0</v>
      </c>
      <c r="N1538">
        <v>120</v>
      </c>
      <c r="O1538" t="s">
        <v>240</v>
      </c>
      <c r="P1538">
        <v>84</v>
      </c>
      <c r="Q1538" t="s">
        <v>183</v>
      </c>
    </row>
    <row r="1539" spans="1:17" x14ac:dyDescent="0.25">
      <c r="A1539" t="s">
        <v>1098</v>
      </c>
      <c r="B1539" t="s">
        <v>1096</v>
      </c>
      <c r="C1539" t="s">
        <v>175</v>
      </c>
      <c r="D1539" t="s">
        <v>1131</v>
      </c>
      <c r="E1539" t="s">
        <v>1132</v>
      </c>
      <c r="F1539">
        <v>1</v>
      </c>
      <c r="G1539" t="s">
        <v>176</v>
      </c>
      <c r="H1539">
        <v>0</v>
      </c>
      <c r="I1539">
        <v>0</v>
      </c>
      <c r="J1539" s="10">
        <v>0</v>
      </c>
      <c r="K1539" s="10">
        <f>SUMIFS(F:F,D:D,DST_123_ÜRETİM_İHTİYAÇ_RAPORU_BURAK_YENI1309[[#This Row],[ALT_KOD]])-(SUMIFS(H:H,D:D,DST_123_ÜRETİM_İHTİYAÇ_RAPORU_BURAK_YENI1309[[#This Row],[ALT_KOD]])+AVERAGEIFS(I:I,D:D,DST_123_ÜRETİM_İHTİYAÇ_RAPORU_BURAK_YENI1309[[#This Row],[ALT_KOD]])+AVERAGEIFS(L:L,D:D,DST_123_ÜRETİM_İHTİYAÇ_RAPORU_BURAK_YENI1309[[#This Row],[ALT_KOD]]))</f>
        <v>3</v>
      </c>
      <c r="L1539">
        <v>0</v>
      </c>
      <c r="M1539">
        <f>IF((DST_123_ÜRETİM_İHTİYAÇ_RAPORU_BURAK_YENI1309[[#This Row],[SATINALMA]]*DST_123_ÜRETİM_İHTİYAÇ_RAPORU_BURAK_YENI1309[[#This Row],[BIRIM_FIYATLAR]])&lt;1,VALUE("0"),DST_123_ÜRETİM_İHTİYAÇ_RAPORU_BURAK_YENI1309[[#This Row],[SATINALMA]]*DST_123_ÜRETİM_İHTİYAÇ_RAPORU_BURAK_YENI1309[[#This Row],[BIRIM_FIYATLAR]])</f>
        <v>40950.03</v>
      </c>
      <c r="N1539">
        <v>13650.01</v>
      </c>
      <c r="O1539" t="s">
        <v>227</v>
      </c>
      <c r="P1539">
        <v>13650.01</v>
      </c>
      <c r="Q1539" t="s">
        <v>221</v>
      </c>
    </row>
    <row r="1540" spans="1:17" x14ac:dyDescent="0.25">
      <c r="A1540" t="s">
        <v>1098</v>
      </c>
      <c r="B1540" t="s">
        <v>1096</v>
      </c>
      <c r="C1540" t="s">
        <v>175</v>
      </c>
      <c r="D1540" t="s">
        <v>201</v>
      </c>
      <c r="E1540" t="s">
        <v>225</v>
      </c>
      <c r="F1540">
        <v>3</v>
      </c>
      <c r="G1540" t="s">
        <v>176</v>
      </c>
      <c r="H1540">
        <v>0</v>
      </c>
      <c r="I1540">
        <v>65</v>
      </c>
      <c r="J1540" s="10">
        <v>31</v>
      </c>
      <c r="K1540" s="10">
        <f>SUMIFS(F:F,D:D,DST_123_ÜRETİM_İHTİYAÇ_RAPORU_BURAK_YENI1309[[#This Row],[ALT_KOD]])-(SUMIFS(H:H,D:D,DST_123_ÜRETİM_İHTİYAÇ_RAPORU_BURAK_YENI1309[[#This Row],[ALT_KOD]])+AVERAGEIFS(I:I,D:D,DST_123_ÜRETİM_İHTİYAÇ_RAPORU_BURAK_YENI1309[[#This Row],[ALT_KOD]])+AVERAGEIFS(L:L,D:D,DST_123_ÜRETİM_İHTİYAÇ_RAPORU_BURAK_YENI1309[[#This Row],[ALT_KOD]]))</f>
        <v>-31</v>
      </c>
      <c r="L1540">
        <v>0</v>
      </c>
      <c r="M1540">
        <f>IF((DST_123_ÜRETİM_İHTİYAÇ_RAPORU_BURAK_YENI1309[[#This Row],[SATINALMA]]*DST_123_ÜRETİM_İHTİYAÇ_RAPORU_BURAK_YENI1309[[#This Row],[BIRIM_FIYATLAR]])&lt;1,VALUE("0"),DST_123_ÜRETİM_İHTİYAÇ_RAPORU_BURAK_YENI1309[[#This Row],[SATINALMA]]*DST_123_ÜRETİM_İHTİYAÇ_RAPORU_BURAK_YENI1309[[#This Row],[BIRIM_FIYATLAR]])</f>
        <v>0</v>
      </c>
      <c r="N1540">
        <v>45.5</v>
      </c>
      <c r="O1540" t="s">
        <v>504</v>
      </c>
      <c r="P1540">
        <v>136.5</v>
      </c>
      <c r="Q1540" t="s">
        <v>221</v>
      </c>
    </row>
    <row r="1541" spans="1:17" x14ac:dyDescent="0.25">
      <c r="A1541" t="s">
        <v>1196</v>
      </c>
      <c r="B1541" t="s">
        <v>1197</v>
      </c>
      <c r="C1541" t="s">
        <v>175</v>
      </c>
      <c r="D1541" t="s">
        <v>124</v>
      </c>
      <c r="E1541" t="s">
        <v>125</v>
      </c>
      <c r="F1541">
        <v>7</v>
      </c>
      <c r="G1541" t="s">
        <v>185</v>
      </c>
      <c r="H1541">
        <v>0</v>
      </c>
      <c r="I1541">
        <v>0</v>
      </c>
      <c r="J1541" s="10">
        <v>297.61</v>
      </c>
      <c r="K1541" s="10">
        <f>SUMIFS(F:F,D:D,DST_123_ÜRETİM_İHTİYAÇ_RAPORU_BURAK_YENI1309[[#This Row],[ALT_KOD]])-(SUMIFS(H:H,D:D,DST_123_ÜRETİM_İHTİYAÇ_RAPORU_BURAK_YENI1309[[#This Row],[ALT_KOD]])+AVERAGEIFS(I:I,D:D,DST_123_ÜRETİM_İHTİYAÇ_RAPORU_BURAK_YENI1309[[#This Row],[ALT_KOD]])+AVERAGEIFS(L:L,D:D,DST_123_ÜRETİM_İHTİYAÇ_RAPORU_BURAK_YENI1309[[#This Row],[ALT_KOD]]))</f>
        <v>97.560000000000016</v>
      </c>
      <c r="L1541">
        <v>0</v>
      </c>
      <c r="M1541">
        <f>IF((DST_123_ÜRETİM_İHTİYAÇ_RAPORU_BURAK_YENI1309[[#This Row],[SATINALMA]]*DST_123_ÜRETİM_İHTİYAÇ_RAPORU_BURAK_YENI1309[[#This Row],[BIRIM_FIYATLAR]])&lt;1,VALUE("0"),DST_123_ÜRETİM_İHTİYAÇ_RAPORU_BURAK_YENI1309[[#This Row],[SATINALMA]]*DST_123_ÜRETİM_İHTİYAÇ_RAPORU_BURAK_YENI1309[[#This Row],[BIRIM_FIYATLAR]])</f>
        <v>13285.720800000003</v>
      </c>
      <c r="N1541">
        <v>136.18</v>
      </c>
      <c r="O1541" t="s">
        <v>252</v>
      </c>
      <c r="P1541">
        <v>953.26</v>
      </c>
      <c r="Q1541" t="s">
        <v>183</v>
      </c>
    </row>
    <row r="1542" spans="1:17" x14ac:dyDescent="0.25">
      <c r="A1542" t="s">
        <v>1100</v>
      </c>
      <c r="B1542" t="s">
        <v>1058</v>
      </c>
      <c r="C1542" t="s">
        <v>175</v>
      </c>
      <c r="D1542" t="s">
        <v>233</v>
      </c>
      <c r="E1542" t="s">
        <v>234</v>
      </c>
      <c r="F1542">
        <v>2</v>
      </c>
      <c r="G1542" t="s">
        <v>176</v>
      </c>
      <c r="H1542">
        <v>0</v>
      </c>
      <c r="I1542">
        <v>222</v>
      </c>
      <c r="J1542" s="10">
        <v>90</v>
      </c>
      <c r="K1542" s="10">
        <f>SUMIFS(F:F,D:D,DST_123_ÜRETİM_İHTİYAÇ_RAPORU_BURAK_YENI1309[[#This Row],[ALT_KOD]])-(SUMIFS(H:H,D:D,DST_123_ÜRETİM_İHTİYAÇ_RAPORU_BURAK_YENI1309[[#This Row],[ALT_KOD]])+AVERAGEIFS(I:I,D:D,DST_123_ÜRETİM_İHTİYAÇ_RAPORU_BURAK_YENI1309[[#This Row],[ALT_KOD]])+AVERAGEIFS(L:L,D:D,DST_123_ÜRETİM_İHTİYAÇ_RAPORU_BURAK_YENI1309[[#This Row],[ALT_KOD]]))</f>
        <v>-184</v>
      </c>
      <c r="L1542">
        <v>0</v>
      </c>
      <c r="M1542">
        <f>IF((DST_123_ÜRETİM_İHTİYAÇ_RAPORU_BURAK_YENI1309[[#This Row],[SATINALMA]]*DST_123_ÜRETİM_İHTİYAÇ_RAPORU_BURAK_YENI1309[[#This Row],[BIRIM_FIYATLAR]])&lt;1,VALUE("0"),DST_123_ÜRETİM_İHTİYAÇ_RAPORU_BURAK_YENI1309[[#This Row],[SATINALMA]]*DST_123_ÜRETİM_İHTİYAÇ_RAPORU_BURAK_YENI1309[[#This Row],[BIRIM_FIYATLAR]])</f>
        <v>0</v>
      </c>
      <c r="N1542">
        <v>4</v>
      </c>
      <c r="O1542" t="s">
        <v>220</v>
      </c>
      <c r="P1542">
        <v>8</v>
      </c>
      <c r="Q1542" t="s">
        <v>221</v>
      </c>
    </row>
    <row r="1543" spans="1:17" x14ac:dyDescent="0.25">
      <c r="A1543" t="s">
        <v>1148</v>
      </c>
      <c r="B1543" t="s">
        <v>1056</v>
      </c>
      <c r="C1543" t="s">
        <v>175</v>
      </c>
      <c r="D1543" t="s">
        <v>233</v>
      </c>
      <c r="E1543" t="s">
        <v>234</v>
      </c>
      <c r="F1543">
        <v>2</v>
      </c>
      <c r="G1543" t="s">
        <v>176</v>
      </c>
      <c r="H1543">
        <v>0</v>
      </c>
      <c r="I1543">
        <v>222</v>
      </c>
      <c r="J1543" s="10">
        <v>90</v>
      </c>
      <c r="K1543" s="10">
        <f>SUMIFS(F:F,D:D,DST_123_ÜRETİM_İHTİYAÇ_RAPORU_BURAK_YENI1309[[#This Row],[ALT_KOD]])-(SUMIFS(H:H,D:D,DST_123_ÜRETİM_İHTİYAÇ_RAPORU_BURAK_YENI1309[[#This Row],[ALT_KOD]])+AVERAGEIFS(I:I,D:D,DST_123_ÜRETİM_İHTİYAÇ_RAPORU_BURAK_YENI1309[[#This Row],[ALT_KOD]])+AVERAGEIFS(L:L,D:D,DST_123_ÜRETİM_İHTİYAÇ_RAPORU_BURAK_YENI1309[[#This Row],[ALT_KOD]]))</f>
        <v>-184</v>
      </c>
      <c r="L1543">
        <v>0</v>
      </c>
      <c r="M1543">
        <f>IF((DST_123_ÜRETİM_İHTİYAÇ_RAPORU_BURAK_YENI1309[[#This Row],[SATINALMA]]*DST_123_ÜRETİM_İHTİYAÇ_RAPORU_BURAK_YENI1309[[#This Row],[BIRIM_FIYATLAR]])&lt;1,VALUE("0"),DST_123_ÜRETİM_İHTİYAÇ_RAPORU_BURAK_YENI1309[[#This Row],[SATINALMA]]*DST_123_ÜRETİM_İHTİYAÇ_RAPORU_BURAK_YENI1309[[#This Row],[BIRIM_FIYATLAR]])</f>
        <v>0</v>
      </c>
      <c r="N1543">
        <v>4</v>
      </c>
      <c r="O1543" t="s">
        <v>220</v>
      </c>
      <c r="P1543">
        <v>8</v>
      </c>
      <c r="Q1543" t="s">
        <v>221</v>
      </c>
    </row>
    <row r="1544" spans="1:17" x14ac:dyDescent="0.25">
      <c r="A1544" t="s">
        <v>1101</v>
      </c>
      <c r="B1544" t="s">
        <v>1102</v>
      </c>
      <c r="C1544" t="s">
        <v>175</v>
      </c>
      <c r="D1544" t="s">
        <v>1133</v>
      </c>
      <c r="E1544" t="s">
        <v>1134</v>
      </c>
      <c r="F1544">
        <v>1</v>
      </c>
      <c r="G1544" t="s">
        <v>176</v>
      </c>
      <c r="H1544">
        <v>0</v>
      </c>
      <c r="I1544">
        <v>0</v>
      </c>
      <c r="J1544" s="10">
        <v>0</v>
      </c>
      <c r="K1544" s="10">
        <f>SUMIFS(F:F,D:D,DST_123_ÜRETİM_İHTİYAÇ_RAPORU_BURAK_YENI1309[[#This Row],[ALT_KOD]])-(SUMIFS(H:H,D:D,DST_123_ÜRETİM_İHTİYAÇ_RAPORU_BURAK_YENI1309[[#This Row],[ALT_KOD]])+AVERAGEIFS(I:I,D:D,DST_123_ÜRETİM_İHTİYAÇ_RAPORU_BURAK_YENI1309[[#This Row],[ALT_KOD]])+AVERAGEIFS(L:L,D:D,DST_123_ÜRETİM_İHTİYAÇ_RAPORU_BURAK_YENI1309[[#This Row],[ALT_KOD]]))</f>
        <v>2</v>
      </c>
      <c r="L1544">
        <v>0</v>
      </c>
      <c r="M1544">
        <f>IF((DST_123_ÜRETİM_İHTİYAÇ_RAPORU_BURAK_YENI1309[[#This Row],[SATINALMA]]*DST_123_ÜRETİM_İHTİYAÇ_RAPORU_BURAK_YENI1309[[#This Row],[BIRIM_FIYATLAR]])&lt;1,VALUE("0"),DST_123_ÜRETİM_İHTİYAÇ_RAPORU_BURAK_YENI1309[[#This Row],[SATINALMA]]*DST_123_ÜRETİM_İHTİYAÇ_RAPORU_BURAK_YENI1309[[#This Row],[BIRIM_FIYATLAR]])</f>
        <v>48928.1</v>
      </c>
      <c r="N1544">
        <v>24464.05</v>
      </c>
      <c r="O1544" t="s">
        <v>712</v>
      </c>
      <c r="P1544">
        <v>24464.05</v>
      </c>
      <c r="Q1544" t="s">
        <v>177</v>
      </c>
    </row>
    <row r="1545" spans="1:17" x14ac:dyDescent="0.25">
      <c r="A1545" t="s">
        <v>1057</v>
      </c>
      <c r="B1545" t="s">
        <v>1058</v>
      </c>
      <c r="C1545" t="s">
        <v>175</v>
      </c>
      <c r="D1545" t="s">
        <v>387</v>
      </c>
      <c r="E1545" t="s">
        <v>388</v>
      </c>
      <c r="F1545">
        <v>7</v>
      </c>
      <c r="G1545" t="s">
        <v>176</v>
      </c>
      <c r="H1545">
        <v>0</v>
      </c>
      <c r="I1545">
        <v>1100</v>
      </c>
      <c r="J1545" s="10">
        <v>780</v>
      </c>
      <c r="K1545" s="10">
        <f>SUMIFS(F:F,D:D,DST_123_ÜRETİM_İHTİYAÇ_RAPORU_BURAK_YENI1309[[#This Row],[ALT_KOD]])-(SUMIFS(H:H,D:D,DST_123_ÜRETİM_İHTİYAÇ_RAPORU_BURAK_YENI1309[[#This Row],[ALT_KOD]])+AVERAGEIFS(I:I,D:D,DST_123_ÜRETİM_İHTİYAÇ_RAPORU_BURAK_YENI1309[[#This Row],[ALT_KOD]])+AVERAGEIFS(L:L,D:D,DST_123_ÜRETİM_İHTİYAÇ_RAPORU_BURAK_YENI1309[[#This Row],[ALT_KOD]]))</f>
        <v>-832</v>
      </c>
      <c r="L1545">
        <v>0</v>
      </c>
      <c r="M1545">
        <f>IF((DST_123_ÜRETİM_İHTİYAÇ_RAPORU_BURAK_YENI1309[[#This Row],[SATINALMA]]*DST_123_ÜRETİM_İHTİYAÇ_RAPORU_BURAK_YENI1309[[#This Row],[BIRIM_FIYATLAR]])&lt;1,VALUE("0"),DST_123_ÜRETİM_İHTİYAÇ_RAPORU_BURAK_YENI1309[[#This Row],[SATINALMA]]*DST_123_ÜRETİM_İHTİYAÇ_RAPORU_BURAK_YENI1309[[#This Row],[BIRIM_FIYATLAR]])</f>
        <v>0</v>
      </c>
      <c r="N1545">
        <v>0.32</v>
      </c>
      <c r="O1545" t="s">
        <v>240</v>
      </c>
      <c r="P1545">
        <v>2.2400000000000002</v>
      </c>
      <c r="Q1545" t="s">
        <v>180</v>
      </c>
    </row>
    <row r="1546" spans="1:17" x14ac:dyDescent="0.25">
      <c r="A1546" t="s">
        <v>1100</v>
      </c>
      <c r="B1546" t="s">
        <v>1058</v>
      </c>
      <c r="C1546" t="s">
        <v>175</v>
      </c>
      <c r="D1546" t="s">
        <v>387</v>
      </c>
      <c r="E1546" t="s">
        <v>388</v>
      </c>
      <c r="F1546">
        <v>7</v>
      </c>
      <c r="G1546" t="s">
        <v>176</v>
      </c>
      <c r="H1546">
        <v>0</v>
      </c>
      <c r="I1546">
        <v>1100</v>
      </c>
      <c r="J1546" s="10">
        <v>780</v>
      </c>
      <c r="K1546" s="10">
        <f>SUMIFS(F:F,D:D,DST_123_ÜRETİM_İHTİYAÇ_RAPORU_BURAK_YENI1309[[#This Row],[ALT_KOD]])-(SUMIFS(H:H,D:D,DST_123_ÜRETİM_İHTİYAÇ_RAPORU_BURAK_YENI1309[[#This Row],[ALT_KOD]])+AVERAGEIFS(I:I,D:D,DST_123_ÜRETİM_İHTİYAÇ_RAPORU_BURAK_YENI1309[[#This Row],[ALT_KOD]])+AVERAGEIFS(L:L,D:D,DST_123_ÜRETİM_İHTİYAÇ_RAPORU_BURAK_YENI1309[[#This Row],[ALT_KOD]]))</f>
        <v>-832</v>
      </c>
      <c r="L1546">
        <v>0</v>
      </c>
      <c r="M1546">
        <f>IF((DST_123_ÜRETİM_İHTİYAÇ_RAPORU_BURAK_YENI1309[[#This Row],[SATINALMA]]*DST_123_ÜRETİM_İHTİYAÇ_RAPORU_BURAK_YENI1309[[#This Row],[BIRIM_FIYATLAR]])&lt;1,VALUE("0"),DST_123_ÜRETİM_İHTİYAÇ_RAPORU_BURAK_YENI1309[[#This Row],[SATINALMA]]*DST_123_ÜRETİM_İHTİYAÇ_RAPORU_BURAK_YENI1309[[#This Row],[BIRIM_FIYATLAR]])</f>
        <v>0</v>
      </c>
      <c r="N1546">
        <v>0.32</v>
      </c>
      <c r="O1546" t="s">
        <v>240</v>
      </c>
      <c r="P1546">
        <v>2.2400000000000002</v>
      </c>
      <c r="Q1546" t="s">
        <v>180</v>
      </c>
    </row>
    <row r="1547" spans="1:17" x14ac:dyDescent="0.25">
      <c r="A1547" t="s">
        <v>1100</v>
      </c>
      <c r="B1547" t="s">
        <v>1058</v>
      </c>
      <c r="C1547" t="s">
        <v>175</v>
      </c>
      <c r="D1547" t="s">
        <v>98</v>
      </c>
      <c r="E1547" t="s">
        <v>248</v>
      </c>
      <c r="F1547">
        <v>4</v>
      </c>
      <c r="G1547" t="s">
        <v>176</v>
      </c>
      <c r="H1547">
        <v>4</v>
      </c>
      <c r="I1547">
        <v>230</v>
      </c>
      <c r="J1547" s="10">
        <v>72</v>
      </c>
      <c r="K1547" s="10">
        <f>SUMIFS(F:F,D:D,DST_123_ÜRETİM_İHTİYAÇ_RAPORU_BURAK_YENI1309[[#This Row],[ALT_KOD]])-(SUMIFS(H:H,D:D,DST_123_ÜRETİM_İHTİYAÇ_RAPORU_BURAK_YENI1309[[#This Row],[ALT_KOD]])+AVERAGEIFS(I:I,D:D,DST_123_ÜRETİM_İHTİYAÇ_RAPORU_BURAK_YENI1309[[#This Row],[ALT_KOD]])+AVERAGEIFS(L:L,D:D,DST_123_ÜRETİM_İHTİYAÇ_RAPORU_BURAK_YENI1309[[#This Row],[ALT_KOD]]))</f>
        <v>-172</v>
      </c>
      <c r="L1547">
        <v>0</v>
      </c>
      <c r="M1547">
        <f>IF((DST_123_ÜRETİM_İHTİYAÇ_RAPORU_BURAK_YENI1309[[#This Row],[SATINALMA]]*DST_123_ÜRETİM_İHTİYAÇ_RAPORU_BURAK_YENI1309[[#This Row],[BIRIM_FIYATLAR]])&lt;1,VALUE("0"),DST_123_ÜRETİM_İHTİYAÇ_RAPORU_BURAK_YENI1309[[#This Row],[SATINALMA]]*DST_123_ÜRETİM_İHTİYAÇ_RAPORU_BURAK_YENI1309[[#This Row],[BIRIM_FIYATLAR]])</f>
        <v>0</v>
      </c>
      <c r="N1547">
        <v>225</v>
      </c>
      <c r="O1547" t="s">
        <v>825</v>
      </c>
      <c r="P1547">
        <v>900</v>
      </c>
      <c r="Q1547" t="s">
        <v>177</v>
      </c>
    </row>
    <row r="1548" spans="1:17" x14ac:dyDescent="0.25">
      <c r="A1548" t="s">
        <v>1147</v>
      </c>
      <c r="B1548" t="s">
        <v>1145</v>
      </c>
      <c r="C1548" t="s">
        <v>175</v>
      </c>
      <c r="D1548" t="s">
        <v>103</v>
      </c>
      <c r="E1548" t="s">
        <v>288</v>
      </c>
      <c r="F1548">
        <v>1</v>
      </c>
      <c r="G1548" t="s">
        <v>176</v>
      </c>
      <c r="H1548">
        <v>0</v>
      </c>
      <c r="I1548">
        <v>87</v>
      </c>
      <c r="J1548" s="10">
        <v>50.899999999999949</v>
      </c>
      <c r="K1548" s="10">
        <f>SUMIFS(F:F,D:D,DST_123_ÜRETİM_İHTİYAÇ_RAPORU_BURAK_YENI1309[[#This Row],[ALT_KOD]])-(SUMIFS(H:H,D:D,DST_123_ÜRETİM_İHTİYAÇ_RAPORU_BURAK_YENI1309[[#This Row],[ALT_KOD]])+AVERAGEIFS(I:I,D:D,DST_123_ÜRETİM_İHTİYAÇ_RAPORU_BURAK_YENI1309[[#This Row],[ALT_KOD]])+AVERAGEIFS(L:L,D:D,DST_123_ÜRETİM_İHTİYAÇ_RAPORU_BURAK_YENI1309[[#This Row],[ALT_KOD]]))</f>
        <v>-43.900000000000006</v>
      </c>
      <c r="L1548">
        <v>0</v>
      </c>
      <c r="M1548">
        <f>IF((DST_123_ÜRETİM_İHTİYAÇ_RAPORU_BURAK_YENI1309[[#This Row],[SATINALMA]]*DST_123_ÜRETİM_İHTİYAÇ_RAPORU_BURAK_YENI1309[[#This Row],[BIRIM_FIYATLAR]])&lt;1,VALUE("0"),DST_123_ÜRETİM_İHTİYAÇ_RAPORU_BURAK_YENI1309[[#This Row],[SATINALMA]]*DST_123_ÜRETİM_İHTİYAÇ_RAPORU_BURAK_YENI1309[[#This Row],[BIRIM_FIYATLAR]])</f>
        <v>0</v>
      </c>
      <c r="N1548">
        <v>122.09</v>
      </c>
      <c r="O1548" t="s">
        <v>250</v>
      </c>
      <c r="P1548">
        <v>122.09</v>
      </c>
      <c r="Q1548" t="s">
        <v>180</v>
      </c>
    </row>
    <row r="1549" spans="1:17" x14ac:dyDescent="0.25">
      <c r="A1549" t="s">
        <v>1147</v>
      </c>
      <c r="B1549" t="s">
        <v>1145</v>
      </c>
      <c r="C1549" t="s">
        <v>175</v>
      </c>
      <c r="D1549" t="s">
        <v>233</v>
      </c>
      <c r="E1549" t="s">
        <v>234</v>
      </c>
      <c r="F1549">
        <v>2</v>
      </c>
      <c r="G1549" t="s">
        <v>176</v>
      </c>
      <c r="H1549">
        <v>0</v>
      </c>
      <c r="I1549">
        <v>222</v>
      </c>
      <c r="J1549" s="10">
        <v>90</v>
      </c>
      <c r="K1549" s="10">
        <f>SUMIFS(F:F,D:D,DST_123_ÜRETİM_İHTİYAÇ_RAPORU_BURAK_YENI1309[[#This Row],[ALT_KOD]])-(SUMIFS(H:H,D:D,DST_123_ÜRETİM_İHTİYAÇ_RAPORU_BURAK_YENI1309[[#This Row],[ALT_KOD]])+AVERAGEIFS(I:I,D:D,DST_123_ÜRETİM_İHTİYAÇ_RAPORU_BURAK_YENI1309[[#This Row],[ALT_KOD]])+AVERAGEIFS(L:L,D:D,DST_123_ÜRETİM_İHTİYAÇ_RAPORU_BURAK_YENI1309[[#This Row],[ALT_KOD]]))</f>
        <v>-184</v>
      </c>
      <c r="L1549">
        <v>0</v>
      </c>
      <c r="M1549">
        <f>IF((DST_123_ÜRETİM_İHTİYAÇ_RAPORU_BURAK_YENI1309[[#This Row],[SATINALMA]]*DST_123_ÜRETİM_İHTİYAÇ_RAPORU_BURAK_YENI1309[[#This Row],[BIRIM_FIYATLAR]])&lt;1,VALUE("0"),DST_123_ÜRETİM_İHTİYAÇ_RAPORU_BURAK_YENI1309[[#This Row],[SATINALMA]]*DST_123_ÜRETİM_İHTİYAÇ_RAPORU_BURAK_YENI1309[[#This Row],[BIRIM_FIYATLAR]])</f>
        <v>0</v>
      </c>
      <c r="N1549">
        <v>4</v>
      </c>
      <c r="O1549" t="s">
        <v>220</v>
      </c>
      <c r="P1549">
        <v>8</v>
      </c>
      <c r="Q1549" t="s">
        <v>221</v>
      </c>
    </row>
    <row r="1550" spans="1:17" x14ac:dyDescent="0.25">
      <c r="A1550" t="s">
        <v>1147</v>
      </c>
      <c r="B1550" t="s">
        <v>1145</v>
      </c>
      <c r="C1550" t="s">
        <v>175</v>
      </c>
      <c r="D1550" t="s">
        <v>387</v>
      </c>
      <c r="E1550" t="s">
        <v>388</v>
      </c>
      <c r="F1550">
        <v>7</v>
      </c>
      <c r="G1550" t="s">
        <v>176</v>
      </c>
      <c r="H1550">
        <v>0</v>
      </c>
      <c r="I1550">
        <v>1100</v>
      </c>
      <c r="J1550" s="10">
        <v>780</v>
      </c>
      <c r="K1550" s="10">
        <f>SUMIFS(F:F,D:D,DST_123_ÜRETİM_İHTİYAÇ_RAPORU_BURAK_YENI1309[[#This Row],[ALT_KOD]])-(SUMIFS(H:H,D:D,DST_123_ÜRETİM_İHTİYAÇ_RAPORU_BURAK_YENI1309[[#This Row],[ALT_KOD]])+AVERAGEIFS(I:I,D:D,DST_123_ÜRETİM_İHTİYAÇ_RAPORU_BURAK_YENI1309[[#This Row],[ALT_KOD]])+AVERAGEIFS(L:L,D:D,DST_123_ÜRETİM_İHTİYAÇ_RAPORU_BURAK_YENI1309[[#This Row],[ALT_KOD]]))</f>
        <v>-832</v>
      </c>
      <c r="L1550">
        <v>0</v>
      </c>
      <c r="M1550">
        <f>IF((DST_123_ÜRETİM_İHTİYAÇ_RAPORU_BURAK_YENI1309[[#This Row],[SATINALMA]]*DST_123_ÜRETİM_İHTİYAÇ_RAPORU_BURAK_YENI1309[[#This Row],[BIRIM_FIYATLAR]])&lt;1,VALUE("0"),DST_123_ÜRETİM_İHTİYAÇ_RAPORU_BURAK_YENI1309[[#This Row],[SATINALMA]]*DST_123_ÜRETİM_İHTİYAÇ_RAPORU_BURAK_YENI1309[[#This Row],[BIRIM_FIYATLAR]])</f>
        <v>0</v>
      </c>
      <c r="N1550">
        <v>0.32</v>
      </c>
      <c r="O1550" t="s">
        <v>240</v>
      </c>
      <c r="P1550">
        <v>2.2400000000000002</v>
      </c>
      <c r="Q1550" t="s">
        <v>180</v>
      </c>
    </row>
    <row r="1551" spans="1:17" x14ac:dyDescent="0.25">
      <c r="A1551" t="s">
        <v>1148</v>
      </c>
      <c r="B1551" t="s">
        <v>1056</v>
      </c>
      <c r="C1551" t="s">
        <v>175</v>
      </c>
      <c r="D1551" t="s">
        <v>387</v>
      </c>
      <c r="E1551" t="s">
        <v>388</v>
      </c>
      <c r="F1551">
        <v>32</v>
      </c>
      <c r="G1551" t="s">
        <v>176</v>
      </c>
      <c r="H1551">
        <v>0</v>
      </c>
      <c r="I1551">
        <v>1100</v>
      </c>
      <c r="J1551" s="10">
        <v>780</v>
      </c>
      <c r="K1551" s="10">
        <f>SUMIFS(F:F,D:D,DST_123_ÜRETİM_İHTİYAÇ_RAPORU_BURAK_YENI1309[[#This Row],[ALT_KOD]])-(SUMIFS(H:H,D:D,DST_123_ÜRETİM_İHTİYAÇ_RAPORU_BURAK_YENI1309[[#This Row],[ALT_KOD]])+AVERAGEIFS(I:I,D:D,DST_123_ÜRETİM_İHTİYAÇ_RAPORU_BURAK_YENI1309[[#This Row],[ALT_KOD]])+AVERAGEIFS(L:L,D:D,DST_123_ÜRETİM_İHTİYAÇ_RAPORU_BURAK_YENI1309[[#This Row],[ALT_KOD]]))</f>
        <v>-832</v>
      </c>
      <c r="L1551">
        <v>0</v>
      </c>
      <c r="M1551">
        <f>IF((DST_123_ÜRETİM_İHTİYAÇ_RAPORU_BURAK_YENI1309[[#This Row],[SATINALMA]]*DST_123_ÜRETİM_İHTİYAÇ_RAPORU_BURAK_YENI1309[[#This Row],[BIRIM_FIYATLAR]])&lt;1,VALUE("0"),DST_123_ÜRETİM_İHTİYAÇ_RAPORU_BURAK_YENI1309[[#This Row],[SATINALMA]]*DST_123_ÜRETİM_İHTİYAÇ_RAPORU_BURAK_YENI1309[[#This Row],[BIRIM_FIYATLAR]])</f>
        <v>0</v>
      </c>
      <c r="N1551">
        <v>0.32</v>
      </c>
      <c r="O1551" t="s">
        <v>240</v>
      </c>
      <c r="P1551">
        <v>10.24</v>
      </c>
      <c r="Q1551" t="s">
        <v>180</v>
      </c>
    </row>
    <row r="1552" spans="1:17" x14ac:dyDescent="0.25">
      <c r="A1552" t="s">
        <v>1147</v>
      </c>
      <c r="B1552" t="s">
        <v>1145</v>
      </c>
      <c r="C1552" t="s">
        <v>175</v>
      </c>
      <c r="D1552" t="s">
        <v>98</v>
      </c>
      <c r="E1552" t="s">
        <v>248</v>
      </c>
      <c r="F1552">
        <v>7</v>
      </c>
      <c r="G1552" t="s">
        <v>176</v>
      </c>
      <c r="H1552">
        <v>0</v>
      </c>
      <c r="I1552">
        <v>230</v>
      </c>
      <c r="J1552" s="10">
        <v>72</v>
      </c>
      <c r="K1552" s="10">
        <f>SUMIFS(F:F,D:D,DST_123_ÜRETİM_İHTİYAÇ_RAPORU_BURAK_YENI1309[[#This Row],[ALT_KOD]])-(SUMIFS(H:H,D:D,DST_123_ÜRETİM_İHTİYAÇ_RAPORU_BURAK_YENI1309[[#This Row],[ALT_KOD]])+AVERAGEIFS(I:I,D:D,DST_123_ÜRETİM_İHTİYAÇ_RAPORU_BURAK_YENI1309[[#This Row],[ALT_KOD]])+AVERAGEIFS(L:L,D:D,DST_123_ÜRETİM_İHTİYAÇ_RAPORU_BURAK_YENI1309[[#This Row],[ALT_KOD]]))</f>
        <v>-172</v>
      </c>
      <c r="L1552">
        <v>0</v>
      </c>
      <c r="M1552">
        <f>IF((DST_123_ÜRETİM_İHTİYAÇ_RAPORU_BURAK_YENI1309[[#This Row],[SATINALMA]]*DST_123_ÜRETİM_İHTİYAÇ_RAPORU_BURAK_YENI1309[[#This Row],[BIRIM_FIYATLAR]])&lt;1,VALUE("0"),DST_123_ÜRETİM_İHTİYAÇ_RAPORU_BURAK_YENI1309[[#This Row],[SATINALMA]]*DST_123_ÜRETİM_İHTİYAÇ_RAPORU_BURAK_YENI1309[[#This Row],[BIRIM_FIYATLAR]])</f>
        <v>0</v>
      </c>
      <c r="N1552">
        <v>225</v>
      </c>
      <c r="O1552" t="s">
        <v>825</v>
      </c>
      <c r="P1552">
        <v>1575</v>
      </c>
      <c r="Q1552" t="s">
        <v>177</v>
      </c>
    </row>
    <row r="1553" spans="1:17" x14ac:dyDescent="0.25">
      <c r="A1553" t="s">
        <v>1098</v>
      </c>
      <c r="B1553" t="s">
        <v>1096</v>
      </c>
      <c r="C1553" t="s">
        <v>175</v>
      </c>
      <c r="D1553" t="s">
        <v>98</v>
      </c>
      <c r="E1553" t="s">
        <v>248</v>
      </c>
      <c r="F1553">
        <v>5</v>
      </c>
      <c r="G1553" t="s">
        <v>176</v>
      </c>
      <c r="H1553">
        <v>0</v>
      </c>
      <c r="I1553">
        <v>230</v>
      </c>
      <c r="J1553" s="10">
        <v>72</v>
      </c>
      <c r="K1553" s="10">
        <f>SUMIFS(F:F,D:D,DST_123_ÜRETİM_İHTİYAÇ_RAPORU_BURAK_YENI1309[[#This Row],[ALT_KOD]])-(SUMIFS(H:H,D:D,DST_123_ÜRETİM_İHTİYAÇ_RAPORU_BURAK_YENI1309[[#This Row],[ALT_KOD]])+AVERAGEIFS(I:I,D:D,DST_123_ÜRETİM_İHTİYAÇ_RAPORU_BURAK_YENI1309[[#This Row],[ALT_KOD]])+AVERAGEIFS(L:L,D:D,DST_123_ÜRETİM_İHTİYAÇ_RAPORU_BURAK_YENI1309[[#This Row],[ALT_KOD]]))</f>
        <v>-172</v>
      </c>
      <c r="L1553">
        <v>0</v>
      </c>
      <c r="M1553">
        <f>IF((DST_123_ÜRETİM_İHTİYAÇ_RAPORU_BURAK_YENI1309[[#This Row],[SATINALMA]]*DST_123_ÜRETİM_İHTİYAÇ_RAPORU_BURAK_YENI1309[[#This Row],[BIRIM_FIYATLAR]])&lt;1,VALUE("0"),DST_123_ÜRETİM_İHTİYAÇ_RAPORU_BURAK_YENI1309[[#This Row],[SATINALMA]]*DST_123_ÜRETİM_İHTİYAÇ_RAPORU_BURAK_YENI1309[[#This Row],[BIRIM_FIYATLAR]])</f>
        <v>0</v>
      </c>
      <c r="N1553">
        <v>225</v>
      </c>
      <c r="O1553" t="s">
        <v>825</v>
      </c>
      <c r="P1553">
        <v>1125</v>
      </c>
      <c r="Q1553" t="s">
        <v>177</v>
      </c>
    </row>
    <row r="1554" spans="1:17" x14ac:dyDescent="0.25">
      <c r="A1554" t="s">
        <v>1143</v>
      </c>
      <c r="B1554" t="s">
        <v>1056</v>
      </c>
      <c r="C1554" t="s">
        <v>175</v>
      </c>
      <c r="D1554" t="s">
        <v>233</v>
      </c>
      <c r="E1554" t="s">
        <v>234</v>
      </c>
      <c r="F1554">
        <v>2</v>
      </c>
      <c r="G1554" t="s">
        <v>176</v>
      </c>
      <c r="H1554">
        <v>0</v>
      </c>
      <c r="I1554">
        <v>222</v>
      </c>
      <c r="J1554" s="10">
        <v>90</v>
      </c>
      <c r="K1554" s="10">
        <f>SUMIFS(F:F,D:D,DST_123_ÜRETİM_İHTİYAÇ_RAPORU_BURAK_YENI1309[[#This Row],[ALT_KOD]])-(SUMIFS(H:H,D:D,DST_123_ÜRETİM_İHTİYAÇ_RAPORU_BURAK_YENI1309[[#This Row],[ALT_KOD]])+AVERAGEIFS(I:I,D:D,DST_123_ÜRETİM_İHTİYAÇ_RAPORU_BURAK_YENI1309[[#This Row],[ALT_KOD]])+AVERAGEIFS(L:L,D:D,DST_123_ÜRETİM_İHTİYAÇ_RAPORU_BURAK_YENI1309[[#This Row],[ALT_KOD]]))</f>
        <v>-184</v>
      </c>
      <c r="L1554">
        <v>0</v>
      </c>
      <c r="M1554">
        <f>IF((DST_123_ÜRETİM_İHTİYAÇ_RAPORU_BURAK_YENI1309[[#This Row],[SATINALMA]]*DST_123_ÜRETİM_İHTİYAÇ_RAPORU_BURAK_YENI1309[[#This Row],[BIRIM_FIYATLAR]])&lt;1,VALUE("0"),DST_123_ÜRETİM_İHTİYAÇ_RAPORU_BURAK_YENI1309[[#This Row],[SATINALMA]]*DST_123_ÜRETİM_İHTİYAÇ_RAPORU_BURAK_YENI1309[[#This Row],[BIRIM_FIYATLAR]])</f>
        <v>0</v>
      </c>
      <c r="N1554">
        <v>4</v>
      </c>
      <c r="O1554" t="s">
        <v>220</v>
      </c>
      <c r="P1554">
        <v>8</v>
      </c>
      <c r="Q1554" t="s">
        <v>221</v>
      </c>
    </row>
    <row r="1555" spans="1:17" x14ac:dyDescent="0.25">
      <c r="A1555" t="s">
        <v>1097</v>
      </c>
      <c r="B1555" t="s">
        <v>1055</v>
      </c>
      <c r="C1555" t="s">
        <v>175</v>
      </c>
      <c r="D1555" t="s">
        <v>233</v>
      </c>
      <c r="E1555" t="s">
        <v>234</v>
      </c>
      <c r="F1555">
        <v>2</v>
      </c>
      <c r="G1555" t="s">
        <v>176</v>
      </c>
      <c r="H1555">
        <v>0</v>
      </c>
      <c r="I1555">
        <v>222</v>
      </c>
      <c r="J1555" s="10">
        <v>90</v>
      </c>
      <c r="K1555" s="10">
        <f>SUMIFS(F:F,D:D,DST_123_ÜRETİM_İHTİYAÇ_RAPORU_BURAK_YENI1309[[#This Row],[ALT_KOD]])-(SUMIFS(H:H,D:D,DST_123_ÜRETİM_İHTİYAÇ_RAPORU_BURAK_YENI1309[[#This Row],[ALT_KOD]])+AVERAGEIFS(I:I,D:D,DST_123_ÜRETİM_İHTİYAÇ_RAPORU_BURAK_YENI1309[[#This Row],[ALT_KOD]])+AVERAGEIFS(L:L,D:D,DST_123_ÜRETİM_İHTİYAÇ_RAPORU_BURAK_YENI1309[[#This Row],[ALT_KOD]]))</f>
        <v>-184</v>
      </c>
      <c r="L1555">
        <v>0</v>
      </c>
      <c r="M1555">
        <f>IF((DST_123_ÜRETİM_İHTİYAÇ_RAPORU_BURAK_YENI1309[[#This Row],[SATINALMA]]*DST_123_ÜRETİM_İHTİYAÇ_RAPORU_BURAK_YENI1309[[#This Row],[BIRIM_FIYATLAR]])&lt;1,VALUE("0"),DST_123_ÜRETİM_İHTİYAÇ_RAPORU_BURAK_YENI1309[[#This Row],[SATINALMA]]*DST_123_ÜRETİM_İHTİYAÇ_RAPORU_BURAK_YENI1309[[#This Row],[BIRIM_FIYATLAR]])</f>
        <v>0</v>
      </c>
      <c r="N1555">
        <v>4</v>
      </c>
      <c r="O1555" t="s">
        <v>220</v>
      </c>
      <c r="P1555">
        <v>8</v>
      </c>
      <c r="Q1555" t="s">
        <v>221</v>
      </c>
    </row>
    <row r="1556" spans="1:17" x14ac:dyDescent="0.25">
      <c r="A1556" t="s">
        <v>1149</v>
      </c>
      <c r="B1556" t="s">
        <v>1145</v>
      </c>
      <c r="C1556" t="s">
        <v>175</v>
      </c>
      <c r="D1556" t="s">
        <v>233</v>
      </c>
      <c r="E1556" t="s">
        <v>234</v>
      </c>
      <c r="F1556">
        <v>2</v>
      </c>
      <c r="G1556" t="s">
        <v>176</v>
      </c>
      <c r="H1556">
        <v>0</v>
      </c>
      <c r="I1556">
        <v>222</v>
      </c>
      <c r="J1556" s="10">
        <v>90</v>
      </c>
      <c r="K1556" s="10">
        <f>SUMIFS(F:F,D:D,DST_123_ÜRETİM_İHTİYAÇ_RAPORU_BURAK_YENI1309[[#This Row],[ALT_KOD]])-(SUMIFS(H:H,D:D,DST_123_ÜRETİM_İHTİYAÇ_RAPORU_BURAK_YENI1309[[#This Row],[ALT_KOD]])+AVERAGEIFS(I:I,D:D,DST_123_ÜRETİM_İHTİYAÇ_RAPORU_BURAK_YENI1309[[#This Row],[ALT_KOD]])+AVERAGEIFS(L:L,D:D,DST_123_ÜRETİM_İHTİYAÇ_RAPORU_BURAK_YENI1309[[#This Row],[ALT_KOD]]))</f>
        <v>-184</v>
      </c>
      <c r="L1556">
        <v>0</v>
      </c>
      <c r="M1556">
        <f>IF((DST_123_ÜRETİM_İHTİYAÇ_RAPORU_BURAK_YENI1309[[#This Row],[SATINALMA]]*DST_123_ÜRETİM_İHTİYAÇ_RAPORU_BURAK_YENI1309[[#This Row],[BIRIM_FIYATLAR]])&lt;1,VALUE("0"),DST_123_ÜRETİM_İHTİYAÇ_RAPORU_BURAK_YENI1309[[#This Row],[SATINALMA]]*DST_123_ÜRETİM_İHTİYAÇ_RAPORU_BURAK_YENI1309[[#This Row],[BIRIM_FIYATLAR]])</f>
        <v>0</v>
      </c>
      <c r="N1556">
        <v>4</v>
      </c>
      <c r="O1556" t="s">
        <v>220</v>
      </c>
      <c r="P1556">
        <v>8</v>
      </c>
      <c r="Q1556" t="s">
        <v>221</v>
      </c>
    </row>
    <row r="1557" spans="1:17" x14ac:dyDescent="0.25">
      <c r="A1557" t="s">
        <v>1149</v>
      </c>
      <c r="B1557" t="s">
        <v>1145</v>
      </c>
      <c r="C1557" t="s">
        <v>175</v>
      </c>
      <c r="D1557" t="s">
        <v>387</v>
      </c>
      <c r="E1557" t="s">
        <v>388</v>
      </c>
      <c r="F1557">
        <v>7</v>
      </c>
      <c r="G1557" t="s">
        <v>176</v>
      </c>
      <c r="H1557">
        <v>0</v>
      </c>
      <c r="I1557">
        <v>1100</v>
      </c>
      <c r="J1557" s="10">
        <v>780</v>
      </c>
      <c r="K1557" s="10">
        <f>SUMIFS(F:F,D:D,DST_123_ÜRETİM_İHTİYAÇ_RAPORU_BURAK_YENI1309[[#This Row],[ALT_KOD]])-(SUMIFS(H:H,D:D,DST_123_ÜRETİM_İHTİYAÇ_RAPORU_BURAK_YENI1309[[#This Row],[ALT_KOD]])+AVERAGEIFS(I:I,D:D,DST_123_ÜRETİM_İHTİYAÇ_RAPORU_BURAK_YENI1309[[#This Row],[ALT_KOD]])+AVERAGEIFS(L:L,D:D,DST_123_ÜRETİM_İHTİYAÇ_RAPORU_BURAK_YENI1309[[#This Row],[ALT_KOD]]))</f>
        <v>-832</v>
      </c>
      <c r="L1557">
        <v>0</v>
      </c>
      <c r="M1557">
        <f>IF((DST_123_ÜRETİM_İHTİYAÇ_RAPORU_BURAK_YENI1309[[#This Row],[SATINALMA]]*DST_123_ÜRETİM_İHTİYAÇ_RAPORU_BURAK_YENI1309[[#This Row],[BIRIM_FIYATLAR]])&lt;1,VALUE("0"),DST_123_ÜRETİM_İHTİYAÇ_RAPORU_BURAK_YENI1309[[#This Row],[SATINALMA]]*DST_123_ÜRETİM_İHTİYAÇ_RAPORU_BURAK_YENI1309[[#This Row],[BIRIM_FIYATLAR]])</f>
        <v>0</v>
      </c>
      <c r="N1557">
        <v>0.32</v>
      </c>
      <c r="O1557" t="s">
        <v>240</v>
      </c>
      <c r="P1557">
        <v>2.2400000000000002</v>
      </c>
      <c r="Q1557" t="s">
        <v>180</v>
      </c>
    </row>
    <row r="1558" spans="1:17" x14ac:dyDescent="0.25">
      <c r="A1558" t="s">
        <v>1149</v>
      </c>
      <c r="B1558" t="s">
        <v>1145</v>
      </c>
      <c r="C1558" t="s">
        <v>175</v>
      </c>
      <c r="D1558" t="s">
        <v>98</v>
      </c>
      <c r="E1558" t="s">
        <v>248</v>
      </c>
      <c r="F1558">
        <v>7</v>
      </c>
      <c r="G1558" t="s">
        <v>176</v>
      </c>
      <c r="H1558">
        <v>0</v>
      </c>
      <c r="I1558">
        <v>230</v>
      </c>
      <c r="J1558" s="10">
        <v>72</v>
      </c>
      <c r="K1558" s="10">
        <f>SUMIFS(F:F,D:D,DST_123_ÜRETİM_İHTİYAÇ_RAPORU_BURAK_YENI1309[[#This Row],[ALT_KOD]])-(SUMIFS(H:H,D:D,DST_123_ÜRETİM_İHTİYAÇ_RAPORU_BURAK_YENI1309[[#This Row],[ALT_KOD]])+AVERAGEIFS(I:I,D:D,DST_123_ÜRETİM_İHTİYAÇ_RAPORU_BURAK_YENI1309[[#This Row],[ALT_KOD]])+AVERAGEIFS(L:L,D:D,DST_123_ÜRETİM_İHTİYAÇ_RAPORU_BURAK_YENI1309[[#This Row],[ALT_KOD]]))</f>
        <v>-172</v>
      </c>
      <c r="L1558">
        <v>0</v>
      </c>
      <c r="M1558">
        <f>IF((DST_123_ÜRETİM_İHTİYAÇ_RAPORU_BURAK_YENI1309[[#This Row],[SATINALMA]]*DST_123_ÜRETİM_İHTİYAÇ_RAPORU_BURAK_YENI1309[[#This Row],[BIRIM_FIYATLAR]])&lt;1,VALUE("0"),DST_123_ÜRETİM_İHTİYAÇ_RAPORU_BURAK_YENI1309[[#This Row],[SATINALMA]]*DST_123_ÜRETİM_İHTİYAÇ_RAPORU_BURAK_YENI1309[[#This Row],[BIRIM_FIYATLAR]])</f>
        <v>0</v>
      </c>
      <c r="N1558">
        <v>225</v>
      </c>
      <c r="O1558" t="s">
        <v>825</v>
      </c>
      <c r="P1558">
        <v>1575</v>
      </c>
      <c r="Q1558" t="s">
        <v>177</v>
      </c>
    </row>
    <row r="1559" spans="1:17" x14ac:dyDescent="0.25">
      <c r="A1559" t="s">
        <v>1101</v>
      </c>
      <c r="B1559" t="s">
        <v>1102</v>
      </c>
      <c r="C1559" t="s">
        <v>175</v>
      </c>
      <c r="D1559" t="s">
        <v>233</v>
      </c>
      <c r="E1559" t="s">
        <v>234</v>
      </c>
      <c r="F1559">
        <v>2</v>
      </c>
      <c r="G1559" t="s">
        <v>176</v>
      </c>
      <c r="H1559">
        <v>0</v>
      </c>
      <c r="I1559">
        <v>222</v>
      </c>
      <c r="J1559" s="10">
        <v>90</v>
      </c>
      <c r="K1559" s="10">
        <f>SUMIFS(F:F,D:D,DST_123_ÜRETİM_İHTİYAÇ_RAPORU_BURAK_YENI1309[[#This Row],[ALT_KOD]])-(SUMIFS(H:H,D:D,DST_123_ÜRETİM_İHTİYAÇ_RAPORU_BURAK_YENI1309[[#This Row],[ALT_KOD]])+AVERAGEIFS(I:I,D:D,DST_123_ÜRETİM_İHTİYAÇ_RAPORU_BURAK_YENI1309[[#This Row],[ALT_KOD]])+AVERAGEIFS(L:L,D:D,DST_123_ÜRETİM_İHTİYAÇ_RAPORU_BURAK_YENI1309[[#This Row],[ALT_KOD]]))</f>
        <v>-184</v>
      </c>
      <c r="L1559">
        <v>0</v>
      </c>
      <c r="M1559">
        <f>IF((DST_123_ÜRETİM_İHTİYAÇ_RAPORU_BURAK_YENI1309[[#This Row],[SATINALMA]]*DST_123_ÜRETİM_İHTİYAÇ_RAPORU_BURAK_YENI1309[[#This Row],[BIRIM_FIYATLAR]])&lt;1,VALUE("0"),DST_123_ÜRETİM_İHTİYAÇ_RAPORU_BURAK_YENI1309[[#This Row],[SATINALMA]]*DST_123_ÜRETİM_İHTİYAÇ_RAPORU_BURAK_YENI1309[[#This Row],[BIRIM_FIYATLAR]])</f>
        <v>0</v>
      </c>
      <c r="N1559">
        <v>4</v>
      </c>
      <c r="O1559" t="s">
        <v>220</v>
      </c>
      <c r="P1559">
        <v>8</v>
      </c>
      <c r="Q1559" t="s">
        <v>221</v>
      </c>
    </row>
    <row r="1560" spans="1:17" x14ac:dyDescent="0.25">
      <c r="A1560" t="s">
        <v>1101</v>
      </c>
      <c r="B1560" t="s">
        <v>1102</v>
      </c>
      <c r="C1560" t="s">
        <v>175</v>
      </c>
      <c r="D1560" t="s">
        <v>387</v>
      </c>
      <c r="E1560" t="s">
        <v>388</v>
      </c>
      <c r="F1560">
        <v>6</v>
      </c>
      <c r="G1560" t="s">
        <v>176</v>
      </c>
      <c r="H1560">
        <v>0</v>
      </c>
      <c r="I1560">
        <v>1100</v>
      </c>
      <c r="J1560" s="10">
        <v>780</v>
      </c>
      <c r="K1560" s="10">
        <f>SUMIFS(F:F,D:D,DST_123_ÜRETİM_İHTİYAÇ_RAPORU_BURAK_YENI1309[[#This Row],[ALT_KOD]])-(SUMIFS(H:H,D:D,DST_123_ÜRETİM_İHTİYAÇ_RAPORU_BURAK_YENI1309[[#This Row],[ALT_KOD]])+AVERAGEIFS(I:I,D:D,DST_123_ÜRETİM_İHTİYAÇ_RAPORU_BURAK_YENI1309[[#This Row],[ALT_KOD]])+AVERAGEIFS(L:L,D:D,DST_123_ÜRETİM_İHTİYAÇ_RAPORU_BURAK_YENI1309[[#This Row],[ALT_KOD]]))</f>
        <v>-832</v>
      </c>
      <c r="L1560">
        <v>0</v>
      </c>
      <c r="M1560">
        <f>IF((DST_123_ÜRETİM_İHTİYAÇ_RAPORU_BURAK_YENI1309[[#This Row],[SATINALMA]]*DST_123_ÜRETİM_İHTİYAÇ_RAPORU_BURAK_YENI1309[[#This Row],[BIRIM_FIYATLAR]])&lt;1,VALUE("0"),DST_123_ÜRETİM_İHTİYAÇ_RAPORU_BURAK_YENI1309[[#This Row],[SATINALMA]]*DST_123_ÜRETİM_İHTİYAÇ_RAPORU_BURAK_YENI1309[[#This Row],[BIRIM_FIYATLAR]])</f>
        <v>0</v>
      </c>
      <c r="N1560">
        <v>0.32</v>
      </c>
      <c r="O1560" t="s">
        <v>240</v>
      </c>
      <c r="P1560">
        <v>1.92</v>
      </c>
      <c r="Q1560" t="s">
        <v>180</v>
      </c>
    </row>
    <row r="1561" spans="1:17" x14ac:dyDescent="0.25">
      <c r="A1561" t="s">
        <v>1060</v>
      </c>
      <c r="B1561" t="s">
        <v>1061</v>
      </c>
      <c r="C1561" t="s">
        <v>175</v>
      </c>
      <c r="D1561" t="s">
        <v>233</v>
      </c>
      <c r="E1561" t="s">
        <v>234</v>
      </c>
      <c r="F1561">
        <v>2</v>
      </c>
      <c r="G1561" t="s">
        <v>176</v>
      </c>
      <c r="H1561">
        <v>0</v>
      </c>
      <c r="I1561">
        <v>222</v>
      </c>
      <c r="J1561" s="10">
        <v>90</v>
      </c>
      <c r="K1561" s="10">
        <f>SUMIFS(F:F,D:D,DST_123_ÜRETİM_İHTİYAÇ_RAPORU_BURAK_YENI1309[[#This Row],[ALT_KOD]])-(SUMIFS(H:H,D:D,DST_123_ÜRETİM_İHTİYAÇ_RAPORU_BURAK_YENI1309[[#This Row],[ALT_KOD]])+AVERAGEIFS(I:I,D:D,DST_123_ÜRETİM_İHTİYAÇ_RAPORU_BURAK_YENI1309[[#This Row],[ALT_KOD]])+AVERAGEIFS(L:L,D:D,DST_123_ÜRETİM_İHTİYAÇ_RAPORU_BURAK_YENI1309[[#This Row],[ALT_KOD]]))</f>
        <v>-184</v>
      </c>
      <c r="L1561">
        <v>0</v>
      </c>
      <c r="M1561">
        <f>IF((DST_123_ÜRETİM_İHTİYAÇ_RAPORU_BURAK_YENI1309[[#This Row],[SATINALMA]]*DST_123_ÜRETİM_İHTİYAÇ_RAPORU_BURAK_YENI1309[[#This Row],[BIRIM_FIYATLAR]])&lt;1,VALUE("0"),DST_123_ÜRETİM_İHTİYAÇ_RAPORU_BURAK_YENI1309[[#This Row],[SATINALMA]]*DST_123_ÜRETİM_İHTİYAÇ_RAPORU_BURAK_YENI1309[[#This Row],[BIRIM_FIYATLAR]])</f>
        <v>0</v>
      </c>
      <c r="N1561">
        <v>4</v>
      </c>
      <c r="O1561" t="s">
        <v>220</v>
      </c>
      <c r="P1561">
        <v>8</v>
      </c>
      <c r="Q1561" t="s">
        <v>221</v>
      </c>
    </row>
    <row r="1562" spans="1:17" x14ac:dyDescent="0.25">
      <c r="A1562" t="s">
        <v>1060</v>
      </c>
      <c r="B1562" t="s">
        <v>1061</v>
      </c>
      <c r="C1562" t="s">
        <v>175</v>
      </c>
      <c r="D1562" t="s">
        <v>387</v>
      </c>
      <c r="E1562" t="s">
        <v>388</v>
      </c>
      <c r="F1562">
        <v>7</v>
      </c>
      <c r="G1562" t="s">
        <v>176</v>
      </c>
      <c r="H1562">
        <v>0</v>
      </c>
      <c r="I1562">
        <v>1100</v>
      </c>
      <c r="J1562" s="10">
        <v>780</v>
      </c>
      <c r="K1562" s="10">
        <f>SUMIFS(F:F,D:D,DST_123_ÜRETİM_İHTİYAÇ_RAPORU_BURAK_YENI1309[[#This Row],[ALT_KOD]])-(SUMIFS(H:H,D:D,DST_123_ÜRETİM_İHTİYAÇ_RAPORU_BURAK_YENI1309[[#This Row],[ALT_KOD]])+AVERAGEIFS(I:I,D:D,DST_123_ÜRETİM_İHTİYAÇ_RAPORU_BURAK_YENI1309[[#This Row],[ALT_KOD]])+AVERAGEIFS(L:L,D:D,DST_123_ÜRETİM_İHTİYAÇ_RAPORU_BURAK_YENI1309[[#This Row],[ALT_KOD]]))</f>
        <v>-832</v>
      </c>
      <c r="L1562">
        <v>0</v>
      </c>
      <c r="M1562">
        <f>IF((DST_123_ÜRETİM_İHTİYAÇ_RAPORU_BURAK_YENI1309[[#This Row],[SATINALMA]]*DST_123_ÜRETİM_İHTİYAÇ_RAPORU_BURAK_YENI1309[[#This Row],[BIRIM_FIYATLAR]])&lt;1,VALUE("0"),DST_123_ÜRETİM_İHTİYAÇ_RAPORU_BURAK_YENI1309[[#This Row],[SATINALMA]]*DST_123_ÜRETİM_İHTİYAÇ_RAPORU_BURAK_YENI1309[[#This Row],[BIRIM_FIYATLAR]])</f>
        <v>0</v>
      </c>
      <c r="N1562">
        <v>0.32</v>
      </c>
      <c r="O1562" t="s">
        <v>240</v>
      </c>
      <c r="P1562">
        <v>2.2400000000000002</v>
      </c>
      <c r="Q1562" t="s">
        <v>180</v>
      </c>
    </row>
    <row r="1563" spans="1:17" x14ac:dyDescent="0.25">
      <c r="A1563" t="s">
        <v>1149</v>
      </c>
      <c r="B1563" t="s">
        <v>1145</v>
      </c>
      <c r="C1563" t="s">
        <v>175</v>
      </c>
      <c r="D1563" t="s">
        <v>103</v>
      </c>
      <c r="E1563" t="s">
        <v>288</v>
      </c>
      <c r="F1563">
        <v>1</v>
      </c>
      <c r="G1563" t="s">
        <v>176</v>
      </c>
      <c r="H1563">
        <v>0</v>
      </c>
      <c r="I1563">
        <v>87</v>
      </c>
      <c r="J1563" s="10">
        <v>50.899999999999949</v>
      </c>
      <c r="K1563" s="10">
        <f>SUMIFS(F:F,D:D,DST_123_ÜRETİM_İHTİYAÇ_RAPORU_BURAK_YENI1309[[#This Row],[ALT_KOD]])-(SUMIFS(H:H,D:D,DST_123_ÜRETİM_İHTİYAÇ_RAPORU_BURAK_YENI1309[[#This Row],[ALT_KOD]])+AVERAGEIFS(I:I,D:D,DST_123_ÜRETİM_İHTİYAÇ_RAPORU_BURAK_YENI1309[[#This Row],[ALT_KOD]])+AVERAGEIFS(L:L,D:D,DST_123_ÜRETİM_İHTİYAÇ_RAPORU_BURAK_YENI1309[[#This Row],[ALT_KOD]]))</f>
        <v>-43.900000000000006</v>
      </c>
      <c r="L1563">
        <v>0</v>
      </c>
      <c r="M1563">
        <f>IF((DST_123_ÜRETİM_İHTİYAÇ_RAPORU_BURAK_YENI1309[[#This Row],[SATINALMA]]*DST_123_ÜRETİM_İHTİYAÇ_RAPORU_BURAK_YENI1309[[#This Row],[BIRIM_FIYATLAR]])&lt;1,VALUE("0"),DST_123_ÜRETİM_İHTİYAÇ_RAPORU_BURAK_YENI1309[[#This Row],[SATINALMA]]*DST_123_ÜRETİM_İHTİYAÇ_RAPORU_BURAK_YENI1309[[#This Row],[BIRIM_FIYATLAR]])</f>
        <v>0</v>
      </c>
      <c r="N1563">
        <v>122.09</v>
      </c>
      <c r="O1563" t="s">
        <v>250</v>
      </c>
      <c r="P1563">
        <v>122.09</v>
      </c>
      <c r="Q1563" t="s">
        <v>180</v>
      </c>
    </row>
    <row r="1564" spans="1:17" x14ac:dyDescent="0.25">
      <c r="A1564" t="s">
        <v>1144</v>
      </c>
      <c r="B1564" t="s">
        <v>1145</v>
      </c>
      <c r="C1564" t="s">
        <v>175</v>
      </c>
      <c r="D1564" t="s">
        <v>256</v>
      </c>
      <c r="E1564" t="s">
        <v>257</v>
      </c>
      <c r="F1564">
        <v>2.7</v>
      </c>
      <c r="G1564" t="s">
        <v>176</v>
      </c>
      <c r="H1564">
        <v>0</v>
      </c>
      <c r="I1564">
        <v>14</v>
      </c>
      <c r="J1564" s="10">
        <v>6.8000000000000025</v>
      </c>
      <c r="K1564" s="10">
        <f>SUMIFS(F:F,D:D,DST_123_ÜRETİM_İHTİYAÇ_RAPORU_BURAK_YENI1309[[#This Row],[ALT_KOD]])-(SUMIFS(H:H,D:D,DST_123_ÜRETİM_İHTİYAÇ_RAPORU_BURAK_YENI1309[[#This Row],[ALT_KOD]])+AVERAGEIFS(I:I,D:D,DST_123_ÜRETİM_İHTİYAÇ_RAPORU_BURAK_YENI1309[[#This Row],[ALT_KOD]])+AVERAGEIFS(L:L,D:D,DST_123_ÜRETİM_İHTİYAÇ_RAPORU_BURAK_YENI1309[[#This Row],[ALT_KOD]]))</f>
        <v>7.7000000000000028</v>
      </c>
      <c r="L1564">
        <v>12</v>
      </c>
      <c r="M1564">
        <f>IF((DST_123_ÜRETİM_İHTİYAÇ_RAPORU_BURAK_YENI1309[[#This Row],[SATINALMA]]*DST_123_ÜRETİM_İHTİYAÇ_RAPORU_BURAK_YENI1309[[#This Row],[BIRIM_FIYATLAR]])&lt;1,VALUE("0"),DST_123_ÜRETİM_İHTİYAÇ_RAPORU_BURAK_YENI1309[[#This Row],[SATINALMA]]*DST_123_ÜRETİM_İHTİYAÇ_RAPORU_BURAK_YENI1309[[#This Row],[BIRIM_FIYATLAR]])</f>
        <v>2532.1450000000009</v>
      </c>
      <c r="N1564">
        <v>328.85</v>
      </c>
      <c r="O1564" t="s">
        <v>258</v>
      </c>
      <c r="P1564">
        <v>887.8950000000001</v>
      </c>
      <c r="Q1564" t="s">
        <v>183</v>
      </c>
    </row>
    <row r="1565" spans="1:17" x14ac:dyDescent="0.25">
      <c r="A1565" t="s">
        <v>1146</v>
      </c>
      <c r="B1565" t="s">
        <v>1145</v>
      </c>
      <c r="C1565" t="s">
        <v>175</v>
      </c>
      <c r="D1565" t="s">
        <v>256</v>
      </c>
      <c r="E1565" t="s">
        <v>257</v>
      </c>
      <c r="F1565">
        <v>1.5</v>
      </c>
      <c r="G1565" t="s">
        <v>176</v>
      </c>
      <c r="H1565">
        <v>0</v>
      </c>
      <c r="I1565">
        <v>14</v>
      </c>
      <c r="J1565" s="10">
        <v>6.8000000000000025</v>
      </c>
      <c r="K1565" s="10">
        <f>SUMIFS(F:F,D:D,DST_123_ÜRETİM_İHTİYAÇ_RAPORU_BURAK_YENI1309[[#This Row],[ALT_KOD]])-(SUMIFS(H:H,D:D,DST_123_ÜRETİM_İHTİYAÇ_RAPORU_BURAK_YENI1309[[#This Row],[ALT_KOD]])+AVERAGEIFS(I:I,D:D,DST_123_ÜRETİM_İHTİYAÇ_RAPORU_BURAK_YENI1309[[#This Row],[ALT_KOD]])+AVERAGEIFS(L:L,D:D,DST_123_ÜRETİM_İHTİYAÇ_RAPORU_BURAK_YENI1309[[#This Row],[ALT_KOD]]))</f>
        <v>7.7000000000000028</v>
      </c>
      <c r="L1565">
        <v>12</v>
      </c>
      <c r="M1565">
        <f>IF((DST_123_ÜRETİM_İHTİYAÇ_RAPORU_BURAK_YENI1309[[#This Row],[SATINALMA]]*DST_123_ÜRETİM_İHTİYAÇ_RAPORU_BURAK_YENI1309[[#This Row],[BIRIM_FIYATLAR]])&lt;1,VALUE("0"),DST_123_ÜRETİM_İHTİYAÇ_RAPORU_BURAK_YENI1309[[#This Row],[SATINALMA]]*DST_123_ÜRETİM_İHTİYAÇ_RAPORU_BURAK_YENI1309[[#This Row],[BIRIM_FIYATLAR]])</f>
        <v>2532.1450000000009</v>
      </c>
      <c r="N1565">
        <v>328.85</v>
      </c>
      <c r="O1565" t="s">
        <v>258</v>
      </c>
      <c r="P1565">
        <v>493.27500000000003</v>
      </c>
      <c r="Q1565" t="s">
        <v>183</v>
      </c>
    </row>
    <row r="1566" spans="1:17" x14ac:dyDescent="0.25">
      <c r="A1566" t="s">
        <v>1149</v>
      </c>
      <c r="B1566" t="s">
        <v>1145</v>
      </c>
      <c r="C1566" t="s">
        <v>175</v>
      </c>
      <c r="D1566" t="s">
        <v>665</v>
      </c>
      <c r="E1566" t="s">
        <v>666</v>
      </c>
      <c r="F1566">
        <v>1</v>
      </c>
      <c r="G1566" t="s">
        <v>176</v>
      </c>
      <c r="H1566">
        <v>0</v>
      </c>
      <c r="I1566">
        <v>0</v>
      </c>
      <c r="J1566" s="10">
        <v>4</v>
      </c>
      <c r="K1566" s="10">
        <f>SUMIFS(F:F,D:D,DST_123_ÜRETİM_İHTİYAÇ_RAPORU_BURAK_YENI1309[[#This Row],[ALT_KOD]])-(SUMIFS(H:H,D:D,DST_123_ÜRETİM_İHTİYAÇ_RAPORU_BURAK_YENI1309[[#This Row],[ALT_KOD]])+AVERAGEIFS(I:I,D:D,DST_123_ÜRETİM_İHTİYAÇ_RAPORU_BURAK_YENI1309[[#This Row],[ALT_KOD]])+AVERAGEIFS(L:L,D:D,DST_123_ÜRETİM_İHTİYAÇ_RAPORU_BURAK_YENI1309[[#This Row],[ALT_KOD]]))</f>
        <v>0</v>
      </c>
      <c r="L1566">
        <v>20</v>
      </c>
      <c r="M1566">
        <f>IF((DST_123_ÜRETİM_İHTİYAÇ_RAPORU_BURAK_YENI1309[[#This Row],[SATINALMA]]*DST_123_ÜRETİM_İHTİYAÇ_RAPORU_BURAK_YENI1309[[#This Row],[BIRIM_FIYATLAR]])&lt;1,VALUE("0"),DST_123_ÜRETİM_İHTİYAÇ_RAPORU_BURAK_YENI1309[[#This Row],[SATINALMA]]*DST_123_ÜRETİM_İHTİYAÇ_RAPORU_BURAK_YENI1309[[#This Row],[BIRIM_FIYATLAR]])</f>
        <v>0</v>
      </c>
      <c r="N1566">
        <v>28000</v>
      </c>
      <c r="O1566" t="s">
        <v>829</v>
      </c>
      <c r="P1566">
        <v>28000</v>
      </c>
      <c r="Q1566" t="s">
        <v>221</v>
      </c>
    </row>
    <row r="1567" spans="1:17" x14ac:dyDescent="0.25">
      <c r="A1567" t="s">
        <v>1149</v>
      </c>
      <c r="B1567" t="s">
        <v>1145</v>
      </c>
      <c r="C1567" t="s">
        <v>175</v>
      </c>
      <c r="D1567" t="s">
        <v>5</v>
      </c>
      <c r="E1567" t="s">
        <v>6</v>
      </c>
      <c r="F1567">
        <v>4.0999999999999996</v>
      </c>
      <c r="G1567" t="s">
        <v>179</v>
      </c>
      <c r="H1567">
        <v>0</v>
      </c>
      <c r="I1567">
        <v>100</v>
      </c>
      <c r="J1567" s="10">
        <v>2.0000000000000568</v>
      </c>
      <c r="K1567" s="10">
        <f>SUMIFS(F:F,D:D,DST_123_ÜRETİM_İHTİYAÇ_RAPORU_BURAK_YENI1309[[#This Row],[ALT_KOD]])-(SUMIFS(H:H,D:D,DST_123_ÜRETİM_İHTİYAÇ_RAPORU_BURAK_YENI1309[[#This Row],[ALT_KOD]])+AVERAGEIFS(I:I,D:D,DST_123_ÜRETİM_İHTİYAÇ_RAPORU_BURAK_YENI1309[[#This Row],[ALT_KOD]])+AVERAGEIFS(L:L,D:D,DST_123_ÜRETİM_İHTİYAÇ_RAPORU_BURAK_YENI1309[[#This Row],[ALT_KOD]]))</f>
        <v>-6.4000000000000057</v>
      </c>
      <c r="L1567">
        <v>0</v>
      </c>
      <c r="M1567">
        <f>IF((DST_123_ÜRETİM_İHTİYAÇ_RAPORU_BURAK_YENI1309[[#This Row],[SATINALMA]]*DST_123_ÜRETİM_İHTİYAÇ_RAPORU_BURAK_YENI1309[[#This Row],[BIRIM_FIYATLAR]])&lt;1,VALUE("0"),DST_123_ÜRETİM_İHTİYAÇ_RAPORU_BURAK_YENI1309[[#This Row],[SATINALMA]]*DST_123_ÜRETİM_İHTİYAÇ_RAPORU_BURAK_YENI1309[[#This Row],[BIRIM_FIYATLAR]])</f>
        <v>0</v>
      </c>
      <c r="N1567">
        <v>111</v>
      </c>
      <c r="O1567" t="s">
        <v>826</v>
      </c>
      <c r="P1567">
        <v>455.09999999999997</v>
      </c>
      <c r="Q1567" t="s">
        <v>221</v>
      </c>
    </row>
    <row r="1568" spans="1:17" x14ac:dyDescent="0.25">
      <c r="A1568" t="s">
        <v>1196</v>
      </c>
      <c r="B1568" t="s">
        <v>1197</v>
      </c>
      <c r="C1568" t="s">
        <v>175</v>
      </c>
      <c r="D1568" t="s">
        <v>2</v>
      </c>
      <c r="E1568" t="s">
        <v>423</v>
      </c>
      <c r="F1568">
        <v>2</v>
      </c>
      <c r="G1568" t="s">
        <v>176</v>
      </c>
      <c r="H1568">
        <v>0</v>
      </c>
      <c r="I1568">
        <v>20</v>
      </c>
      <c r="J1568" s="10">
        <v>20</v>
      </c>
      <c r="K1568" s="10">
        <f>SUMIFS(F:F,D:D,DST_123_ÜRETİM_İHTİYAÇ_RAPORU_BURAK_YENI1309[[#This Row],[ALT_KOD]])-(SUMIFS(H:H,D:D,DST_123_ÜRETİM_İHTİYAÇ_RAPORU_BURAK_YENI1309[[#This Row],[ALT_KOD]])+AVERAGEIFS(I:I,D:D,DST_123_ÜRETİM_İHTİYAÇ_RAPORU_BURAK_YENI1309[[#This Row],[ALT_KOD]])+AVERAGEIFS(L:L,D:D,DST_123_ÜRETİM_İHTİYAÇ_RAPORU_BURAK_YENI1309[[#This Row],[ALT_KOD]]))</f>
        <v>-6</v>
      </c>
      <c r="L1568">
        <v>10</v>
      </c>
      <c r="M1568">
        <f>IF((DST_123_ÜRETİM_İHTİYAÇ_RAPORU_BURAK_YENI1309[[#This Row],[SATINALMA]]*DST_123_ÜRETİM_İHTİYAÇ_RAPORU_BURAK_YENI1309[[#This Row],[BIRIM_FIYATLAR]])&lt;1,VALUE("0"),DST_123_ÜRETİM_İHTİYAÇ_RAPORU_BURAK_YENI1309[[#This Row],[SATINALMA]]*DST_123_ÜRETİM_İHTİYAÇ_RAPORU_BURAK_YENI1309[[#This Row],[BIRIM_FIYATLAR]])</f>
        <v>0</v>
      </c>
      <c r="N1568">
        <v>400</v>
      </c>
      <c r="O1568" t="s">
        <v>217</v>
      </c>
      <c r="P1568">
        <v>800</v>
      </c>
      <c r="Q1568" t="s">
        <v>221</v>
      </c>
    </row>
    <row r="1569" spans="1:17" x14ac:dyDescent="0.25">
      <c r="A1569" t="s">
        <v>1064</v>
      </c>
      <c r="B1569" t="s">
        <v>1055</v>
      </c>
      <c r="C1569" t="s">
        <v>175</v>
      </c>
      <c r="D1569" t="s">
        <v>126</v>
      </c>
      <c r="E1569" t="s">
        <v>127</v>
      </c>
      <c r="F1569">
        <v>50</v>
      </c>
      <c r="G1569" t="s">
        <v>179</v>
      </c>
      <c r="H1569">
        <v>50</v>
      </c>
      <c r="I1569">
        <v>0</v>
      </c>
      <c r="J1569" s="10">
        <v>2254.0000000000009</v>
      </c>
      <c r="K1569" s="10">
        <f>SUMIFS(F:F,D:D,DST_123_ÜRETİM_İHTİYAÇ_RAPORU_BURAK_YENI1309[[#This Row],[ALT_KOD]])-(SUMIFS(H:H,D:D,DST_123_ÜRETİM_İHTİYAÇ_RAPORU_BURAK_YENI1309[[#This Row],[ALT_KOD]])+AVERAGEIFS(I:I,D:D,DST_123_ÜRETİM_İHTİYAÇ_RAPORU_BURAK_YENI1309[[#This Row],[ALT_KOD]])+AVERAGEIFS(L:L,D:D,DST_123_ÜRETİM_İHTİYAÇ_RAPORU_BURAK_YENI1309[[#This Row],[ALT_KOD]]))</f>
        <v>300</v>
      </c>
      <c r="L1569">
        <v>0</v>
      </c>
      <c r="M1569">
        <f>IF((DST_123_ÜRETİM_İHTİYAÇ_RAPORU_BURAK_YENI1309[[#This Row],[SATINALMA]]*DST_123_ÜRETİM_İHTİYAÇ_RAPORU_BURAK_YENI1309[[#This Row],[BIRIM_FIYATLAR]])&lt;1,VALUE("0"),DST_123_ÜRETİM_İHTİYAÇ_RAPORU_BURAK_YENI1309[[#This Row],[SATINALMA]]*DST_123_ÜRETİM_İHTİYAÇ_RAPORU_BURAK_YENI1309[[#This Row],[BIRIM_FIYATLAR]])</f>
        <v>3110.9999999999995</v>
      </c>
      <c r="N1569">
        <v>10.37</v>
      </c>
      <c r="O1569" t="s">
        <v>223</v>
      </c>
      <c r="P1569">
        <v>518.5</v>
      </c>
      <c r="Q1569" t="s">
        <v>181</v>
      </c>
    </row>
    <row r="1570" spans="1:17" x14ac:dyDescent="0.25">
      <c r="A1570" t="s">
        <v>1098</v>
      </c>
      <c r="B1570" t="s">
        <v>1096</v>
      </c>
      <c r="C1570" t="s">
        <v>175</v>
      </c>
      <c r="D1570" t="s">
        <v>126</v>
      </c>
      <c r="E1570" t="s">
        <v>127</v>
      </c>
      <c r="F1570">
        <v>50</v>
      </c>
      <c r="G1570" t="s">
        <v>179</v>
      </c>
      <c r="H1570">
        <v>0</v>
      </c>
      <c r="I1570">
        <v>0</v>
      </c>
      <c r="J1570" s="10">
        <v>2254.0000000000009</v>
      </c>
      <c r="K1570" s="10">
        <f>SUMIFS(F:F,D:D,DST_123_ÜRETİM_İHTİYAÇ_RAPORU_BURAK_YENI1309[[#This Row],[ALT_KOD]])-(SUMIFS(H:H,D:D,DST_123_ÜRETİM_İHTİYAÇ_RAPORU_BURAK_YENI1309[[#This Row],[ALT_KOD]])+AVERAGEIFS(I:I,D:D,DST_123_ÜRETİM_İHTİYAÇ_RAPORU_BURAK_YENI1309[[#This Row],[ALT_KOD]])+AVERAGEIFS(L:L,D:D,DST_123_ÜRETİM_İHTİYAÇ_RAPORU_BURAK_YENI1309[[#This Row],[ALT_KOD]]))</f>
        <v>300</v>
      </c>
      <c r="L1570">
        <v>0</v>
      </c>
      <c r="M1570">
        <f>IF((DST_123_ÜRETİM_İHTİYAÇ_RAPORU_BURAK_YENI1309[[#This Row],[SATINALMA]]*DST_123_ÜRETİM_İHTİYAÇ_RAPORU_BURAK_YENI1309[[#This Row],[BIRIM_FIYATLAR]])&lt;1,VALUE("0"),DST_123_ÜRETİM_İHTİYAÇ_RAPORU_BURAK_YENI1309[[#This Row],[SATINALMA]]*DST_123_ÜRETİM_İHTİYAÇ_RAPORU_BURAK_YENI1309[[#This Row],[BIRIM_FIYATLAR]])</f>
        <v>3110.9999999999995</v>
      </c>
      <c r="N1570">
        <v>10.37</v>
      </c>
      <c r="O1570" t="s">
        <v>223</v>
      </c>
      <c r="P1570">
        <v>518.5</v>
      </c>
      <c r="Q1570" t="s">
        <v>181</v>
      </c>
    </row>
    <row r="1571" spans="1:17" x14ac:dyDescent="0.25">
      <c r="A1571" t="s">
        <v>1064</v>
      </c>
      <c r="B1571" t="s">
        <v>1055</v>
      </c>
      <c r="C1571" t="s">
        <v>175</v>
      </c>
      <c r="D1571" t="s">
        <v>128</v>
      </c>
      <c r="E1571" t="s">
        <v>129</v>
      </c>
      <c r="F1571">
        <v>10.62</v>
      </c>
      <c r="G1571" t="s">
        <v>185</v>
      </c>
      <c r="H1571">
        <v>10.62</v>
      </c>
      <c r="I1571">
        <v>0</v>
      </c>
      <c r="J1571" s="10">
        <v>260.61</v>
      </c>
      <c r="K1571" s="10">
        <f>SUMIFS(F:F,D:D,DST_123_ÜRETİM_İHTİYAÇ_RAPORU_BURAK_YENI1309[[#This Row],[ALT_KOD]])-(SUMIFS(H:H,D:D,DST_123_ÜRETİM_İHTİYAÇ_RAPORU_BURAK_YENI1309[[#This Row],[ALT_KOD]])+AVERAGEIFS(I:I,D:D,DST_123_ÜRETİM_İHTİYAÇ_RAPORU_BURAK_YENI1309[[#This Row],[ALT_KOD]])+AVERAGEIFS(L:L,D:D,DST_123_ÜRETİM_İHTİYAÇ_RAPORU_BURAK_YENI1309[[#This Row],[ALT_KOD]]))</f>
        <v>97.559999999999988</v>
      </c>
      <c r="L1571">
        <v>0</v>
      </c>
      <c r="M1571">
        <f>IF((DST_123_ÜRETİM_İHTİYAÇ_RAPORU_BURAK_YENI1309[[#This Row],[SATINALMA]]*DST_123_ÜRETİM_İHTİYAÇ_RAPORU_BURAK_YENI1309[[#This Row],[BIRIM_FIYATLAR]])&lt;1,VALUE("0"),DST_123_ÜRETİM_İHTİYAÇ_RAPORU_BURAK_YENI1309[[#This Row],[SATINALMA]]*DST_123_ÜRETİM_İHTİYAÇ_RAPORU_BURAK_YENI1309[[#This Row],[BIRIM_FIYATLAR]])</f>
        <v>13285.720799999999</v>
      </c>
      <c r="N1571">
        <v>136.18</v>
      </c>
      <c r="O1571" t="s">
        <v>252</v>
      </c>
      <c r="P1571">
        <v>1446.2316000000001</v>
      </c>
      <c r="Q1571" t="s">
        <v>183</v>
      </c>
    </row>
    <row r="1572" spans="1:17" x14ac:dyDescent="0.25">
      <c r="A1572" t="s">
        <v>1098</v>
      </c>
      <c r="B1572" t="s">
        <v>1096</v>
      </c>
      <c r="C1572" t="s">
        <v>175</v>
      </c>
      <c r="D1572" t="s">
        <v>128</v>
      </c>
      <c r="E1572" t="s">
        <v>129</v>
      </c>
      <c r="F1572">
        <v>8.89</v>
      </c>
      <c r="G1572" t="s">
        <v>185</v>
      </c>
      <c r="H1572">
        <v>0</v>
      </c>
      <c r="I1572">
        <v>0</v>
      </c>
      <c r="J1572" s="10">
        <v>260.61</v>
      </c>
      <c r="K1572" s="10">
        <f>SUMIFS(F:F,D:D,DST_123_ÜRETİM_İHTİYAÇ_RAPORU_BURAK_YENI1309[[#This Row],[ALT_KOD]])-(SUMIFS(H:H,D:D,DST_123_ÜRETİM_İHTİYAÇ_RAPORU_BURAK_YENI1309[[#This Row],[ALT_KOD]])+AVERAGEIFS(I:I,D:D,DST_123_ÜRETİM_İHTİYAÇ_RAPORU_BURAK_YENI1309[[#This Row],[ALT_KOD]])+AVERAGEIFS(L:L,D:D,DST_123_ÜRETİM_İHTİYAÇ_RAPORU_BURAK_YENI1309[[#This Row],[ALT_KOD]]))</f>
        <v>97.559999999999988</v>
      </c>
      <c r="L1572">
        <v>0</v>
      </c>
      <c r="M1572">
        <f>IF((DST_123_ÜRETİM_İHTİYAÇ_RAPORU_BURAK_YENI1309[[#This Row],[SATINALMA]]*DST_123_ÜRETİM_İHTİYAÇ_RAPORU_BURAK_YENI1309[[#This Row],[BIRIM_FIYATLAR]])&lt;1,VALUE("0"),DST_123_ÜRETİM_İHTİYAÇ_RAPORU_BURAK_YENI1309[[#This Row],[SATINALMA]]*DST_123_ÜRETİM_İHTİYAÇ_RAPORU_BURAK_YENI1309[[#This Row],[BIRIM_FIYATLAR]])</f>
        <v>13285.720799999999</v>
      </c>
      <c r="N1572">
        <v>136.18</v>
      </c>
      <c r="O1572" t="s">
        <v>252</v>
      </c>
      <c r="P1572">
        <v>1210.6402</v>
      </c>
      <c r="Q1572" t="s">
        <v>183</v>
      </c>
    </row>
    <row r="1573" spans="1:17" x14ac:dyDescent="0.25">
      <c r="A1573" t="s">
        <v>1060</v>
      </c>
      <c r="B1573" t="s">
        <v>1061</v>
      </c>
      <c r="C1573" t="s">
        <v>175</v>
      </c>
      <c r="D1573" t="s">
        <v>208</v>
      </c>
      <c r="E1573" t="s">
        <v>284</v>
      </c>
      <c r="F1573">
        <v>6</v>
      </c>
      <c r="G1573" t="s">
        <v>176</v>
      </c>
      <c r="H1573">
        <v>0</v>
      </c>
      <c r="I1573">
        <v>2600</v>
      </c>
      <c r="J1573" s="10">
        <v>292</v>
      </c>
      <c r="K1573" s="10">
        <f>SUMIFS(F:F,D:D,DST_123_ÜRETİM_İHTİYAÇ_RAPORU_BURAK_YENI1309[[#This Row],[ALT_KOD]])-(SUMIFS(H:H,D:D,DST_123_ÜRETİM_İHTİYAÇ_RAPORU_BURAK_YENI1309[[#This Row],[ALT_KOD]])+AVERAGEIFS(I:I,D:D,DST_123_ÜRETİM_İHTİYAÇ_RAPORU_BURAK_YENI1309[[#This Row],[ALT_KOD]])+AVERAGEIFS(L:L,D:D,DST_123_ÜRETİM_İHTİYAÇ_RAPORU_BURAK_YENI1309[[#This Row],[ALT_KOD]]))</f>
        <v>-2145</v>
      </c>
      <c r="L1573">
        <v>0</v>
      </c>
      <c r="M1573">
        <f>IF((DST_123_ÜRETİM_İHTİYAÇ_RAPORU_BURAK_YENI1309[[#This Row],[SATINALMA]]*DST_123_ÜRETİM_İHTİYAÇ_RAPORU_BURAK_YENI1309[[#This Row],[BIRIM_FIYATLAR]])&lt;1,VALUE("0"),DST_123_ÜRETİM_İHTİYAÇ_RAPORU_BURAK_YENI1309[[#This Row],[SATINALMA]]*DST_123_ÜRETİM_İHTİYAÇ_RAPORU_BURAK_YENI1309[[#This Row],[BIRIM_FIYATLAR]])</f>
        <v>0</v>
      </c>
      <c r="N1573">
        <v>0.4</v>
      </c>
      <c r="O1573" t="s">
        <v>240</v>
      </c>
      <c r="P1573">
        <v>2.4000000000000004</v>
      </c>
      <c r="Q1573" t="s">
        <v>180</v>
      </c>
    </row>
    <row r="1574" spans="1:17" x14ac:dyDescent="0.25">
      <c r="A1574" t="s">
        <v>1101</v>
      </c>
      <c r="B1574" t="s">
        <v>1102</v>
      </c>
      <c r="C1574" t="s">
        <v>175</v>
      </c>
      <c r="D1574" t="s">
        <v>748</v>
      </c>
      <c r="E1574" t="s">
        <v>749</v>
      </c>
      <c r="F1574">
        <v>4</v>
      </c>
      <c r="G1574" t="s">
        <v>176</v>
      </c>
      <c r="H1574">
        <v>0</v>
      </c>
      <c r="I1574">
        <v>0</v>
      </c>
      <c r="J1574" s="10">
        <v>250</v>
      </c>
      <c r="K1574" s="10">
        <f>SUMIFS(F:F,D:D,DST_123_ÜRETİM_İHTİYAÇ_RAPORU_BURAK_YENI1309[[#This Row],[ALT_KOD]])-(SUMIFS(H:H,D:D,DST_123_ÜRETİM_İHTİYAÇ_RAPORU_BURAK_YENI1309[[#This Row],[ALT_KOD]])+AVERAGEIFS(I:I,D:D,DST_123_ÜRETİM_İHTİYAÇ_RAPORU_BURAK_YENI1309[[#This Row],[ALT_KOD]])+AVERAGEIFS(L:L,D:D,DST_123_ÜRETİM_İHTİYAÇ_RAPORU_BURAK_YENI1309[[#This Row],[ALT_KOD]]))</f>
        <v>32</v>
      </c>
      <c r="L1574">
        <v>0</v>
      </c>
      <c r="M1574">
        <f>IF((DST_123_ÜRETİM_İHTİYAÇ_RAPORU_BURAK_YENI1309[[#This Row],[SATINALMA]]*DST_123_ÜRETİM_İHTİYAÇ_RAPORU_BURAK_YENI1309[[#This Row],[BIRIM_FIYATLAR]])&lt;1,VALUE("0"),DST_123_ÜRETİM_İHTİYAÇ_RAPORU_BURAK_YENI1309[[#This Row],[SATINALMA]]*DST_123_ÜRETİM_İHTİYAÇ_RAPORU_BURAK_YENI1309[[#This Row],[BIRIM_FIYATLAR]])</f>
        <v>183.68</v>
      </c>
      <c r="N1574">
        <v>5.74</v>
      </c>
      <c r="O1574" t="s">
        <v>882</v>
      </c>
      <c r="P1574">
        <v>22.96</v>
      </c>
      <c r="Q1574" t="s">
        <v>180</v>
      </c>
    </row>
    <row r="1575" spans="1:17" x14ac:dyDescent="0.25">
      <c r="A1575" t="s">
        <v>1060</v>
      </c>
      <c r="B1575" t="s">
        <v>1061</v>
      </c>
      <c r="C1575" t="s">
        <v>175</v>
      </c>
      <c r="D1575" t="s">
        <v>1047</v>
      </c>
      <c r="E1575" t="s">
        <v>1048</v>
      </c>
      <c r="F1575">
        <v>2</v>
      </c>
      <c r="G1575" t="s">
        <v>176</v>
      </c>
      <c r="H1575">
        <v>0</v>
      </c>
      <c r="I1575">
        <v>233</v>
      </c>
      <c r="J1575" s="10">
        <v>0</v>
      </c>
      <c r="K1575" s="10">
        <f>SUMIFS(F:F,D:D,DST_123_ÜRETİM_İHTİYAÇ_RAPORU_BURAK_YENI1309[[#This Row],[ALT_KOD]])-(SUMIFS(H:H,D:D,DST_123_ÜRETİM_İHTİYAÇ_RAPORU_BURAK_YENI1309[[#This Row],[ALT_KOD]])+AVERAGEIFS(I:I,D:D,DST_123_ÜRETİM_İHTİYAÇ_RAPORU_BURAK_YENI1309[[#This Row],[ALT_KOD]])+AVERAGEIFS(L:L,D:D,DST_123_ÜRETİM_İHTİYAÇ_RAPORU_BURAK_YENI1309[[#This Row],[ALT_KOD]]))</f>
        <v>-225</v>
      </c>
      <c r="L1575">
        <v>0</v>
      </c>
      <c r="M1575">
        <f>IF((DST_123_ÜRETİM_İHTİYAÇ_RAPORU_BURAK_YENI1309[[#This Row],[SATINALMA]]*DST_123_ÜRETİM_İHTİYAÇ_RAPORU_BURAK_YENI1309[[#This Row],[BIRIM_FIYATLAR]])&lt;1,VALUE("0"),DST_123_ÜRETİM_İHTİYAÇ_RAPORU_BURAK_YENI1309[[#This Row],[SATINALMA]]*DST_123_ÜRETİM_İHTİYAÇ_RAPORU_BURAK_YENI1309[[#This Row],[BIRIM_FIYATLAR]])</f>
        <v>0</v>
      </c>
      <c r="N1575">
        <v>7</v>
      </c>
      <c r="O1575" t="s">
        <v>226</v>
      </c>
      <c r="P1575">
        <v>14</v>
      </c>
      <c r="Q1575" t="s">
        <v>180</v>
      </c>
    </row>
    <row r="1576" spans="1:17" x14ac:dyDescent="0.25">
      <c r="A1576" t="s">
        <v>1060</v>
      </c>
      <c r="B1576" t="s">
        <v>1061</v>
      </c>
      <c r="C1576" t="s">
        <v>175</v>
      </c>
      <c r="D1576" t="s">
        <v>811</v>
      </c>
      <c r="E1576" t="s">
        <v>812</v>
      </c>
      <c r="F1576">
        <v>4</v>
      </c>
      <c r="G1576" t="s">
        <v>176</v>
      </c>
      <c r="H1576">
        <v>0</v>
      </c>
      <c r="I1576">
        <v>100</v>
      </c>
      <c r="J1576" s="10">
        <v>138</v>
      </c>
      <c r="K1576" s="10">
        <f>SUMIFS(F:F,D:D,DST_123_ÜRETİM_İHTİYAÇ_RAPORU_BURAK_YENI1309[[#This Row],[ALT_KOD]])-(SUMIFS(H:H,D:D,DST_123_ÜRETİM_İHTİYAÇ_RAPORU_BURAK_YENI1309[[#This Row],[ALT_KOD]])+AVERAGEIFS(I:I,D:D,DST_123_ÜRETİM_İHTİYAÇ_RAPORU_BURAK_YENI1309[[#This Row],[ALT_KOD]])+AVERAGEIFS(L:L,D:D,DST_123_ÜRETİM_İHTİYAÇ_RAPORU_BURAK_YENI1309[[#This Row],[ALT_KOD]]))</f>
        <v>-84</v>
      </c>
      <c r="L1576">
        <v>0</v>
      </c>
      <c r="M1576">
        <f>IF((DST_123_ÜRETİM_İHTİYAÇ_RAPORU_BURAK_YENI1309[[#This Row],[SATINALMA]]*DST_123_ÜRETİM_İHTİYAÇ_RAPORU_BURAK_YENI1309[[#This Row],[BIRIM_FIYATLAR]])&lt;1,VALUE("0"),DST_123_ÜRETİM_İHTİYAÇ_RAPORU_BURAK_YENI1309[[#This Row],[SATINALMA]]*DST_123_ÜRETİM_İHTİYAÇ_RAPORU_BURAK_YENI1309[[#This Row],[BIRIM_FIYATLAR]])</f>
        <v>0</v>
      </c>
      <c r="N1576">
        <v>8</v>
      </c>
      <c r="O1576" t="s">
        <v>882</v>
      </c>
      <c r="P1576">
        <v>32</v>
      </c>
      <c r="Q1576" t="s">
        <v>178</v>
      </c>
    </row>
    <row r="1577" spans="1:17" x14ac:dyDescent="0.25">
      <c r="A1577" t="s">
        <v>1060</v>
      </c>
      <c r="B1577" t="s">
        <v>1061</v>
      </c>
      <c r="C1577" t="s">
        <v>175</v>
      </c>
      <c r="D1577" t="s">
        <v>361</v>
      </c>
      <c r="E1577" t="s">
        <v>362</v>
      </c>
      <c r="F1577">
        <v>7.5</v>
      </c>
      <c r="G1577" t="s">
        <v>179</v>
      </c>
      <c r="H1577">
        <v>0</v>
      </c>
      <c r="I1577">
        <v>100</v>
      </c>
      <c r="J1577" s="10">
        <v>139.99999999999989</v>
      </c>
      <c r="K1577" s="10">
        <f>SUMIFS(F:F,D:D,DST_123_ÜRETİM_İHTİYAÇ_RAPORU_BURAK_YENI1309[[#This Row],[ALT_KOD]])-(SUMIFS(H:H,D:D,DST_123_ÜRETİM_İHTİYAÇ_RAPORU_BURAK_YENI1309[[#This Row],[ALT_KOD]])+AVERAGEIFS(I:I,D:D,DST_123_ÜRETİM_İHTİYAÇ_RAPORU_BURAK_YENI1309[[#This Row],[ALT_KOD]])+AVERAGEIFS(L:L,D:D,DST_123_ÜRETİM_İHTİYAÇ_RAPORU_BURAK_YENI1309[[#This Row],[ALT_KOD]]))</f>
        <v>41.300000000000011</v>
      </c>
      <c r="L1577">
        <v>0</v>
      </c>
      <c r="M1577">
        <f>IF((DST_123_ÜRETİM_İHTİYAÇ_RAPORU_BURAK_YENI1309[[#This Row],[SATINALMA]]*DST_123_ÜRETİM_İHTİYAÇ_RAPORU_BURAK_YENI1309[[#This Row],[BIRIM_FIYATLAR]])&lt;1,VALUE("0"),DST_123_ÜRETİM_İHTİYAÇ_RAPORU_BURAK_YENI1309[[#This Row],[SATINALMA]]*DST_123_ÜRETİM_İHTİYAÇ_RAPORU_BURAK_YENI1309[[#This Row],[BIRIM_FIYATLAR]])</f>
        <v>929.25000000000023</v>
      </c>
      <c r="N1577">
        <v>22.5</v>
      </c>
      <c r="O1577" t="s">
        <v>314</v>
      </c>
      <c r="P1577">
        <v>168.75</v>
      </c>
      <c r="Q1577" t="s">
        <v>178</v>
      </c>
    </row>
    <row r="1578" spans="1:17" x14ac:dyDescent="0.25">
      <c r="A1578" t="s">
        <v>1095</v>
      </c>
      <c r="B1578" t="s">
        <v>1096</v>
      </c>
      <c r="C1578" t="s">
        <v>175</v>
      </c>
      <c r="D1578" t="s">
        <v>748</v>
      </c>
      <c r="E1578" t="s">
        <v>749</v>
      </c>
      <c r="F1578">
        <v>4</v>
      </c>
      <c r="G1578" t="s">
        <v>176</v>
      </c>
      <c r="H1578">
        <v>0</v>
      </c>
      <c r="I1578">
        <v>0</v>
      </c>
      <c r="J1578" s="10">
        <v>250</v>
      </c>
      <c r="K1578" s="10">
        <f>SUMIFS(F:F,D:D,DST_123_ÜRETİM_İHTİYAÇ_RAPORU_BURAK_YENI1309[[#This Row],[ALT_KOD]])-(SUMIFS(H:H,D:D,DST_123_ÜRETİM_İHTİYAÇ_RAPORU_BURAK_YENI1309[[#This Row],[ALT_KOD]])+AVERAGEIFS(I:I,D:D,DST_123_ÜRETİM_İHTİYAÇ_RAPORU_BURAK_YENI1309[[#This Row],[ALT_KOD]])+AVERAGEIFS(L:L,D:D,DST_123_ÜRETİM_İHTİYAÇ_RAPORU_BURAK_YENI1309[[#This Row],[ALT_KOD]]))</f>
        <v>32</v>
      </c>
      <c r="L1578">
        <v>0</v>
      </c>
      <c r="M1578">
        <f>IF((DST_123_ÜRETİM_İHTİYAÇ_RAPORU_BURAK_YENI1309[[#This Row],[SATINALMA]]*DST_123_ÜRETİM_İHTİYAÇ_RAPORU_BURAK_YENI1309[[#This Row],[BIRIM_FIYATLAR]])&lt;1,VALUE("0"),DST_123_ÜRETİM_İHTİYAÇ_RAPORU_BURAK_YENI1309[[#This Row],[SATINALMA]]*DST_123_ÜRETİM_İHTİYAÇ_RAPORU_BURAK_YENI1309[[#This Row],[BIRIM_FIYATLAR]])</f>
        <v>183.68</v>
      </c>
      <c r="N1578">
        <v>5.74</v>
      </c>
      <c r="O1578" t="s">
        <v>882</v>
      </c>
      <c r="P1578">
        <v>22.96</v>
      </c>
      <c r="Q1578" t="s">
        <v>180</v>
      </c>
    </row>
    <row r="1579" spans="1:17" x14ac:dyDescent="0.25">
      <c r="A1579" t="s">
        <v>1143</v>
      </c>
      <c r="B1579" t="s">
        <v>1056</v>
      </c>
      <c r="C1579" t="s">
        <v>175</v>
      </c>
      <c r="D1579" t="s">
        <v>748</v>
      </c>
      <c r="E1579" t="s">
        <v>749</v>
      </c>
      <c r="F1579">
        <v>4</v>
      </c>
      <c r="G1579" t="s">
        <v>176</v>
      </c>
      <c r="H1579">
        <v>0</v>
      </c>
      <c r="I1579">
        <v>0</v>
      </c>
      <c r="J1579" s="10">
        <v>250</v>
      </c>
      <c r="K1579" s="10">
        <f>SUMIFS(F:F,D:D,DST_123_ÜRETİM_İHTİYAÇ_RAPORU_BURAK_YENI1309[[#This Row],[ALT_KOD]])-(SUMIFS(H:H,D:D,DST_123_ÜRETİM_İHTİYAÇ_RAPORU_BURAK_YENI1309[[#This Row],[ALT_KOD]])+AVERAGEIFS(I:I,D:D,DST_123_ÜRETİM_İHTİYAÇ_RAPORU_BURAK_YENI1309[[#This Row],[ALT_KOD]])+AVERAGEIFS(L:L,D:D,DST_123_ÜRETİM_İHTİYAÇ_RAPORU_BURAK_YENI1309[[#This Row],[ALT_KOD]]))</f>
        <v>32</v>
      </c>
      <c r="L1579">
        <v>0</v>
      </c>
      <c r="M1579">
        <f>IF((DST_123_ÜRETİM_İHTİYAÇ_RAPORU_BURAK_YENI1309[[#This Row],[SATINALMA]]*DST_123_ÜRETİM_İHTİYAÇ_RAPORU_BURAK_YENI1309[[#This Row],[BIRIM_FIYATLAR]])&lt;1,VALUE("0"),DST_123_ÜRETİM_İHTİYAÇ_RAPORU_BURAK_YENI1309[[#This Row],[SATINALMA]]*DST_123_ÜRETİM_İHTİYAÇ_RAPORU_BURAK_YENI1309[[#This Row],[BIRIM_FIYATLAR]])</f>
        <v>183.68</v>
      </c>
      <c r="N1579">
        <v>5.74</v>
      </c>
      <c r="O1579" t="s">
        <v>882</v>
      </c>
      <c r="P1579">
        <v>22.96</v>
      </c>
      <c r="Q1579" t="s">
        <v>180</v>
      </c>
    </row>
    <row r="1580" spans="1:17" x14ac:dyDescent="0.25">
      <c r="A1580" t="s">
        <v>1149</v>
      </c>
      <c r="B1580" t="s">
        <v>1145</v>
      </c>
      <c r="C1580" t="s">
        <v>175</v>
      </c>
      <c r="D1580" t="s">
        <v>208</v>
      </c>
      <c r="E1580" t="s">
        <v>284</v>
      </c>
      <c r="F1580">
        <v>6</v>
      </c>
      <c r="G1580" t="s">
        <v>176</v>
      </c>
      <c r="H1580">
        <v>0</v>
      </c>
      <c r="I1580">
        <v>2600</v>
      </c>
      <c r="J1580" s="10">
        <v>292</v>
      </c>
      <c r="K1580" s="10">
        <f>SUMIFS(F:F,D:D,DST_123_ÜRETİM_İHTİYAÇ_RAPORU_BURAK_YENI1309[[#This Row],[ALT_KOD]])-(SUMIFS(H:H,D:D,DST_123_ÜRETİM_İHTİYAÇ_RAPORU_BURAK_YENI1309[[#This Row],[ALT_KOD]])+AVERAGEIFS(I:I,D:D,DST_123_ÜRETİM_İHTİYAÇ_RAPORU_BURAK_YENI1309[[#This Row],[ALT_KOD]])+AVERAGEIFS(L:L,D:D,DST_123_ÜRETİM_İHTİYAÇ_RAPORU_BURAK_YENI1309[[#This Row],[ALT_KOD]]))</f>
        <v>-2145</v>
      </c>
      <c r="L1580">
        <v>0</v>
      </c>
      <c r="M1580">
        <f>IF((DST_123_ÜRETİM_İHTİYAÇ_RAPORU_BURAK_YENI1309[[#This Row],[SATINALMA]]*DST_123_ÜRETİM_İHTİYAÇ_RAPORU_BURAK_YENI1309[[#This Row],[BIRIM_FIYATLAR]])&lt;1,VALUE("0"),DST_123_ÜRETİM_İHTİYAÇ_RAPORU_BURAK_YENI1309[[#This Row],[SATINALMA]]*DST_123_ÜRETİM_İHTİYAÇ_RAPORU_BURAK_YENI1309[[#This Row],[BIRIM_FIYATLAR]])</f>
        <v>0</v>
      </c>
      <c r="N1580">
        <v>0.4</v>
      </c>
      <c r="O1580" t="s">
        <v>240</v>
      </c>
      <c r="P1580">
        <v>2.4000000000000004</v>
      </c>
      <c r="Q1580" t="s">
        <v>180</v>
      </c>
    </row>
    <row r="1581" spans="1:17" x14ac:dyDescent="0.25">
      <c r="A1581" t="s">
        <v>1101</v>
      </c>
      <c r="B1581" t="s">
        <v>1102</v>
      </c>
      <c r="C1581" t="s">
        <v>175</v>
      </c>
      <c r="D1581" t="s">
        <v>919</v>
      </c>
      <c r="E1581" t="s">
        <v>920</v>
      </c>
      <c r="F1581">
        <v>1</v>
      </c>
      <c r="G1581" t="s">
        <v>176</v>
      </c>
      <c r="H1581">
        <v>0</v>
      </c>
      <c r="I1581">
        <v>0</v>
      </c>
      <c r="J1581" s="10">
        <v>1</v>
      </c>
      <c r="K1581" s="10">
        <f>SUMIFS(F:F,D:D,DST_123_ÜRETİM_İHTİYAÇ_RAPORU_BURAK_YENI1309[[#This Row],[ALT_KOD]])-(SUMIFS(H:H,D:D,DST_123_ÜRETİM_İHTİYAÇ_RAPORU_BURAK_YENI1309[[#This Row],[ALT_KOD]])+AVERAGEIFS(I:I,D:D,DST_123_ÜRETİM_İHTİYAÇ_RAPORU_BURAK_YENI1309[[#This Row],[ALT_KOD]])+AVERAGEIFS(L:L,D:D,DST_123_ÜRETİM_İHTİYAÇ_RAPORU_BURAK_YENI1309[[#This Row],[ALT_KOD]]))</f>
        <v>0</v>
      </c>
      <c r="L1581">
        <v>1</v>
      </c>
      <c r="M1581">
        <f>IF((DST_123_ÜRETİM_İHTİYAÇ_RAPORU_BURAK_YENI1309[[#This Row],[SATINALMA]]*DST_123_ÜRETİM_İHTİYAÇ_RAPORU_BURAK_YENI1309[[#This Row],[BIRIM_FIYATLAR]])&lt;1,VALUE("0"),DST_123_ÜRETİM_İHTİYAÇ_RAPORU_BURAK_YENI1309[[#This Row],[SATINALMA]]*DST_123_ÜRETİM_İHTİYAÇ_RAPORU_BURAK_YENI1309[[#This Row],[BIRIM_FIYATLAR]])</f>
        <v>0</v>
      </c>
      <c r="N1581">
        <v>12601.06</v>
      </c>
      <c r="O1581" t="s">
        <v>507</v>
      </c>
      <c r="P1581">
        <v>12601.06</v>
      </c>
      <c r="Q1581" t="s">
        <v>221</v>
      </c>
    </row>
    <row r="1582" spans="1:17" x14ac:dyDescent="0.25">
      <c r="A1582" t="s">
        <v>1057</v>
      </c>
      <c r="B1582" t="s">
        <v>1058</v>
      </c>
      <c r="C1582" t="s">
        <v>175</v>
      </c>
      <c r="D1582" t="s">
        <v>571</v>
      </c>
      <c r="E1582" t="s">
        <v>572</v>
      </c>
      <c r="F1582">
        <v>2.7</v>
      </c>
      <c r="G1582" t="s">
        <v>179</v>
      </c>
      <c r="H1582">
        <v>0</v>
      </c>
      <c r="I1582">
        <v>50</v>
      </c>
      <c r="J1582" s="10">
        <v>-1.4210854715202004E-14</v>
      </c>
      <c r="K1582" s="10">
        <f>SUMIFS(F:F,D:D,DST_123_ÜRETİM_İHTİYAÇ_RAPORU_BURAK_YENI1309[[#This Row],[ALT_KOD]])-(SUMIFS(H:H,D:D,DST_123_ÜRETİM_İHTİYAÇ_RAPORU_BURAK_YENI1309[[#This Row],[ALT_KOD]])+AVERAGEIFS(I:I,D:D,DST_123_ÜRETİM_İHTİYAÇ_RAPORU_BURAK_YENI1309[[#This Row],[ALT_KOD]])+AVERAGEIFS(L:L,D:D,DST_123_ÜRETİM_İHTİYAÇ_RAPORU_BURAK_YENI1309[[#This Row],[ALT_KOD]]))</f>
        <v>-15.200000000000003</v>
      </c>
      <c r="L1582">
        <v>0</v>
      </c>
      <c r="M1582">
        <f>IF((DST_123_ÜRETİM_İHTİYAÇ_RAPORU_BURAK_YENI1309[[#This Row],[SATINALMA]]*DST_123_ÜRETİM_İHTİYAÇ_RAPORU_BURAK_YENI1309[[#This Row],[BIRIM_FIYATLAR]])&lt;1,VALUE("0"),DST_123_ÜRETİM_İHTİYAÇ_RAPORU_BURAK_YENI1309[[#This Row],[SATINALMA]]*DST_123_ÜRETİM_İHTİYAÇ_RAPORU_BURAK_YENI1309[[#This Row],[BIRIM_FIYATLAR]])</f>
        <v>0</v>
      </c>
      <c r="N1582">
        <v>11</v>
      </c>
      <c r="O1582" t="s">
        <v>226</v>
      </c>
      <c r="P1582">
        <v>29.700000000000003</v>
      </c>
      <c r="Q1582" t="s">
        <v>180</v>
      </c>
    </row>
    <row r="1583" spans="1:17" x14ac:dyDescent="0.25">
      <c r="A1583" t="s">
        <v>1101</v>
      </c>
      <c r="B1583" t="s">
        <v>1102</v>
      </c>
      <c r="C1583" t="s">
        <v>175</v>
      </c>
      <c r="D1583" t="s">
        <v>571</v>
      </c>
      <c r="E1583" t="s">
        <v>572</v>
      </c>
      <c r="F1583">
        <v>2.7</v>
      </c>
      <c r="G1583" t="s">
        <v>179</v>
      </c>
      <c r="H1583">
        <v>0</v>
      </c>
      <c r="I1583">
        <v>50</v>
      </c>
      <c r="J1583" s="10">
        <v>-1.4210854715202004E-14</v>
      </c>
      <c r="K1583" s="10">
        <f>SUMIFS(F:F,D:D,DST_123_ÜRETİM_İHTİYAÇ_RAPORU_BURAK_YENI1309[[#This Row],[ALT_KOD]])-(SUMIFS(H:H,D:D,DST_123_ÜRETİM_İHTİYAÇ_RAPORU_BURAK_YENI1309[[#This Row],[ALT_KOD]])+AVERAGEIFS(I:I,D:D,DST_123_ÜRETİM_İHTİYAÇ_RAPORU_BURAK_YENI1309[[#This Row],[ALT_KOD]])+AVERAGEIFS(L:L,D:D,DST_123_ÜRETİM_İHTİYAÇ_RAPORU_BURAK_YENI1309[[#This Row],[ALT_KOD]]))</f>
        <v>-15.200000000000003</v>
      </c>
      <c r="L1583">
        <v>0</v>
      </c>
      <c r="M1583">
        <f>IF((DST_123_ÜRETİM_İHTİYAÇ_RAPORU_BURAK_YENI1309[[#This Row],[SATINALMA]]*DST_123_ÜRETİM_İHTİYAÇ_RAPORU_BURAK_YENI1309[[#This Row],[BIRIM_FIYATLAR]])&lt;1,VALUE("0"),DST_123_ÜRETİM_İHTİYAÇ_RAPORU_BURAK_YENI1309[[#This Row],[SATINALMA]]*DST_123_ÜRETİM_İHTİYAÇ_RAPORU_BURAK_YENI1309[[#This Row],[BIRIM_FIYATLAR]])</f>
        <v>0</v>
      </c>
      <c r="N1583">
        <v>11</v>
      </c>
      <c r="O1583" t="s">
        <v>226</v>
      </c>
      <c r="P1583">
        <v>29.700000000000003</v>
      </c>
      <c r="Q1583" t="s">
        <v>180</v>
      </c>
    </row>
    <row r="1584" spans="1:17" x14ac:dyDescent="0.25">
      <c r="A1584" t="s">
        <v>1101</v>
      </c>
      <c r="B1584" t="s">
        <v>1102</v>
      </c>
      <c r="C1584" t="s">
        <v>175</v>
      </c>
      <c r="D1584" t="s">
        <v>208</v>
      </c>
      <c r="E1584" t="s">
        <v>284</v>
      </c>
      <c r="F1584">
        <v>31</v>
      </c>
      <c r="G1584" t="s">
        <v>176</v>
      </c>
      <c r="H1584">
        <v>0</v>
      </c>
      <c r="I1584">
        <v>2600</v>
      </c>
      <c r="J1584" s="10">
        <v>292</v>
      </c>
      <c r="K1584" s="10">
        <f>SUMIFS(F:F,D:D,DST_123_ÜRETİM_İHTİYAÇ_RAPORU_BURAK_YENI1309[[#This Row],[ALT_KOD]])-(SUMIFS(H:H,D:D,DST_123_ÜRETİM_İHTİYAÇ_RAPORU_BURAK_YENI1309[[#This Row],[ALT_KOD]])+AVERAGEIFS(I:I,D:D,DST_123_ÜRETİM_İHTİYAÇ_RAPORU_BURAK_YENI1309[[#This Row],[ALT_KOD]])+AVERAGEIFS(L:L,D:D,DST_123_ÜRETİM_İHTİYAÇ_RAPORU_BURAK_YENI1309[[#This Row],[ALT_KOD]]))</f>
        <v>-2145</v>
      </c>
      <c r="L1584">
        <v>0</v>
      </c>
      <c r="M1584">
        <f>IF((DST_123_ÜRETİM_İHTİYAÇ_RAPORU_BURAK_YENI1309[[#This Row],[SATINALMA]]*DST_123_ÜRETİM_İHTİYAÇ_RAPORU_BURAK_YENI1309[[#This Row],[BIRIM_FIYATLAR]])&lt;1,VALUE("0"),DST_123_ÜRETİM_İHTİYAÇ_RAPORU_BURAK_YENI1309[[#This Row],[SATINALMA]]*DST_123_ÜRETİM_İHTİYAÇ_RAPORU_BURAK_YENI1309[[#This Row],[BIRIM_FIYATLAR]])</f>
        <v>0</v>
      </c>
      <c r="N1584">
        <v>0.4</v>
      </c>
      <c r="O1584" t="s">
        <v>240</v>
      </c>
      <c r="P1584">
        <v>12.4</v>
      </c>
      <c r="Q1584" t="s">
        <v>180</v>
      </c>
    </row>
    <row r="1585" spans="1:17" x14ac:dyDescent="0.25">
      <c r="A1585" t="s">
        <v>1196</v>
      </c>
      <c r="B1585" t="s">
        <v>1197</v>
      </c>
      <c r="C1585" t="s">
        <v>175</v>
      </c>
      <c r="D1585" t="s">
        <v>208</v>
      </c>
      <c r="E1585" t="s">
        <v>284</v>
      </c>
      <c r="F1585">
        <v>6</v>
      </c>
      <c r="G1585" t="s">
        <v>176</v>
      </c>
      <c r="H1585">
        <v>0</v>
      </c>
      <c r="I1585">
        <v>2600</v>
      </c>
      <c r="J1585" s="10">
        <v>292</v>
      </c>
      <c r="K1585" s="10">
        <f>SUMIFS(F:F,D:D,DST_123_ÜRETİM_İHTİYAÇ_RAPORU_BURAK_YENI1309[[#This Row],[ALT_KOD]])-(SUMIFS(H:H,D:D,DST_123_ÜRETİM_İHTİYAÇ_RAPORU_BURAK_YENI1309[[#This Row],[ALT_KOD]])+AVERAGEIFS(I:I,D:D,DST_123_ÜRETİM_İHTİYAÇ_RAPORU_BURAK_YENI1309[[#This Row],[ALT_KOD]])+AVERAGEIFS(L:L,D:D,DST_123_ÜRETİM_İHTİYAÇ_RAPORU_BURAK_YENI1309[[#This Row],[ALT_KOD]]))</f>
        <v>-2145</v>
      </c>
      <c r="L1585">
        <v>0</v>
      </c>
      <c r="M1585">
        <f>IF((DST_123_ÜRETİM_İHTİYAÇ_RAPORU_BURAK_YENI1309[[#This Row],[SATINALMA]]*DST_123_ÜRETİM_İHTİYAÇ_RAPORU_BURAK_YENI1309[[#This Row],[BIRIM_FIYATLAR]])&lt;1,VALUE("0"),DST_123_ÜRETİM_İHTİYAÇ_RAPORU_BURAK_YENI1309[[#This Row],[SATINALMA]]*DST_123_ÜRETİM_İHTİYAÇ_RAPORU_BURAK_YENI1309[[#This Row],[BIRIM_FIYATLAR]])</f>
        <v>0</v>
      </c>
      <c r="N1585">
        <v>0.4</v>
      </c>
      <c r="O1585" t="s">
        <v>240</v>
      </c>
      <c r="P1585">
        <v>2.4000000000000004</v>
      </c>
      <c r="Q1585" t="s">
        <v>180</v>
      </c>
    </row>
    <row r="1586" spans="1:17" x14ac:dyDescent="0.25">
      <c r="A1586" t="s">
        <v>1064</v>
      </c>
      <c r="B1586" t="s">
        <v>1055</v>
      </c>
      <c r="C1586" t="s">
        <v>175</v>
      </c>
      <c r="D1586" t="s">
        <v>748</v>
      </c>
      <c r="E1586" t="s">
        <v>749</v>
      </c>
      <c r="F1586">
        <v>4</v>
      </c>
      <c r="G1586" t="s">
        <v>176</v>
      </c>
      <c r="H1586">
        <v>0</v>
      </c>
      <c r="I1586">
        <v>0</v>
      </c>
      <c r="J1586" s="10">
        <v>250</v>
      </c>
      <c r="K1586" s="10">
        <f>SUMIFS(F:F,D:D,DST_123_ÜRETİM_İHTİYAÇ_RAPORU_BURAK_YENI1309[[#This Row],[ALT_KOD]])-(SUMIFS(H:H,D:D,DST_123_ÜRETİM_İHTİYAÇ_RAPORU_BURAK_YENI1309[[#This Row],[ALT_KOD]])+AVERAGEIFS(I:I,D:D,DST_123_ÜRETİM_İHTİYAÇ_RAPORU_BURAK_YENI1309[[#This Row],[ALT_KOD]])+AVERAGEIFS(L:L,D:D,DST_123_ÜRETİM_İHTİYAÇ_RAPORU_BURAK_YENI1309[[#This Row],[ALT_KOD]]))</f>
        <v>32</v>
      </c>
      <c r="L1586">
        <v>0</v>
      </c>
      <c r="M1586">
        <f>IF((DST_123_ÜRETİM_İHTİYAÇ_RAPORU_BURAK_YENI1309[[#This Row],[SATINALMA]]*DST_123_ÜRETİM_İHTİYAÇ_RAPORU_BURAK_YENI1309[[#This Row],[BIRIM_FIYATLAR]])&lt;1,VALUE("0"),DST_123_ÜRETİM_İHTİYAÇ_RAPORU_BURAK_YENI1309[[#This Row],[SATINALMA]]*DST_123_ÜRETİM_İHTİYAÇ_RAPORU_BURAK_YENI1309[[#This Row],[BIRIM_FIYATLAR]])</f>
        <v>183.68</v>
      </c>
      <c r="N1586">
        <v>5.74</v>
      </c>
      <c r="O1586" t="s">
        <v>882</v>
      </c>
      <c r="P1586">
        <v>22.96</v>
      </c>
      <c r="Q1586" t="s">
        <v>180</v>
      </c>
    </row>
    <row r="1587" spans="1:17" x14ac:dyDescent="0.25">
      <c r="A1587" t="s">
        <v>1196</v>
      </c>
      <c r="B1587" t="s">
        <v>1197</v>
      </c>
      <c r="C1587" t="s">
        <v>175</v>
      </c>
      <c r="D1587" t="s">
        <v>1047</v>
      </c>
      <c r="E1587" t="s">
        <v>1048</v>
      </c>
      <c r="F1587">
        <v>2</v>
      </c>
      <c r="G1587" t="s">
        <v>176</v>
      </c>
      <c r="H1587">
        <v>0</v>
      </c>
      <c r="I1587">
        <v>233</v>
      </c>
      <c r="J1587" s="10">
        <v>0</v>
      </c>
      <c r="K1587" s="10">
        <f>SUMIFS(F:F,D:D,DST_123_ÜRETİM_İHTİYAÇ_RAPORU_BURAK_YENI1309[[#This Row],[ALT_KOD]])-(SUMIFS(H:H,D:D,DST_123_ÜRETİM_İHTİYAÇ_RAPORU_BURAK_YENI1309[[#This Row],[ALT_KOD]])+AVERAGEIFS(I:I,D:D,DST_123_ÜRETİM_İHTİYAÇ_RAPORU_BURAK_YENI1309[[#This Row],[ALT_KOD]])+AVERAGEIFS(L:L,D:D,DST_123_ÜRETİM_İHTİYAÇ_RAPORU_BURAK_YENI1309[[#This Row],[ALT_KOD]]))</f>
        <v>-225</v>
      </c>
      <c r="L1587">
        <v>0</v>
      </c>
      <c r="M1587">
        <f>IF((DST_123_ÜRETİM_İHTİYAÇ_RAPORU_BURAK_YENI1309[[#This Row],[SATINALMA]]*DST_123_ÜRETİM_İHTİYAÇ_RAPORU_BURAK_YENI1309[[#This Row],[BIRIM_FIYATLAR]])&lt;1,VALUE("0"),DST_123_ÜRETİM_İHTİYAÇ_RAPORU_BURAK_YENI1309[[#This Row],[SATINALMA]]*DST_123_ÜRETİM_İHTİYAÇ_RAPORU_BURAK_YENI1309[[#This Row],[BIRIM_FIYATLAR]])</f>
        <v>0</v>
      </c>
      <c r="N1587">
        <v>7</v>
      </c>
      <c r="O1587" t="s">
        <v>226</v>
      </c>
      <c r="P1587">
        <v>14</v>
      </c>
      <c r="Q1587" t="s">
        <v>180</v>
      </c>
    </row>
    <row r="1588" spans="1:17" x14ac:dyDescent="0.25">
      <c r="A1588" t="s">
        <v>1146</v>
      </c>
      <c r="B1588" t="s">
        <v>1145</v>
      </c>
      <c r="C1588" t="s">
        <v>175</v>
      </c>
      <c r="D1588" t="s">
        <v>571</v>
      </c>
      <c r="E1588" t="s">
        <v>572</v>
      </c>
      <c r="F1588">
        <v>2.7</v>
      </c>
      <c r="G1588" t="s">
        <v>179</v>
      </c>
      <c r="H1588">
        <v>0</v>
      </c>
      <c r="I1588">
        <v>50</v>
      </c>
      <c r="J1588" s="10">
        <v>-1.4210854715202004E-14</v>
      </c>
      <c r="K1588" s="10">
        <f>SUMIFS(F:F,D:D,DST_123_ÜRETİM_İHTİYAÇ_RAPORU_BURAK_YENI1309[[#This Row],[ALT_KOD]])-(SUMIFS(H:H,D:D,DST_123_ÜRETİM_İHTİYAÇ_RAPORU_BURAK_YENI1309[[#This Row],[ALT_KOD]])+AVERAGEIFS(I:I,D:D,DST_123_ÜRETİM_İHTİYAÇ_RAPORU_BURAK_YENI1309[[#This Row],[ALT_KOD]])+AVERAGEIFS(L:L,D:D,DST_123_ÜRETİM_İHTİYAÇ_RAPORU_BURAK_YENI1309[[#This Row],[ALT_KOD]]))</f>
        <v>-15.200000000000003</v>
      </c>
      <c r="L1588">
        <v>0</v>
      </c>
      <c r="M1588">
        <f>IF((DST_123_ÜRETİM_İHTİYAÇ_RAPORU_BURAK_YENI1309[[#This Row],[SATINALMA]]*DST_123_ÜRETİM_İHTİYAÇ_RAPORU_BURAK_YENI1309[[#This Row],[BIRIM_FIYATLAR]])&lt;1,VALUE("0"),DST_123_ÜRETİM_İHTİYAÇ_RAPORU_BURAK_YENI1309[[#This Row],[SATINALMA]]*DST_123_ÜRETİM_İHTİYAÇ_RAPORU_BURAK_YENI1309[[#This Row],[BIRIM_FIYATLAR]])</f>
        <v>0</v>
      </c>
      <c r="N1588">
        <v>11</v>
      </c>
      <c r="O1588" t="s">
        <v>226</v>
      </c>
      <c r="P1588">
        <v>29.700000000000003</v>
      </c>
      <c r="Q1588" t="s">
        <v>180</v>
      </c>
    </row>
    <row r="1589" spans="1:17" x14ac:dyDescent="0.25">
      <c r="A1589" t="s">
        <v>1144</v>
      </c>
      <c r="B1589" t="s">
        <v>1145</v>
      </c>
      <c r="C1589" t="s">
        <v>175</v>
      </c>
      <c r="D1589" t="s">
        <v>571</v>
      </c>
      <c r="E1589" t="s">
        <v>572</v>
      </c>
      <c r="F1589">
        <v>2.7</v>
      </c>
      <c r="G1589" t="s">
        <v>179</v>
      </c>
      <c r="H1589">
        <v>0</v>
      </c>
      <c r="I1589">
        <v>50</v>
      </c>
      <c r="J1589" s="10">
        <v>-1.4210854715202004E-14</v>
      </c>
      <c r="K1589" s="10">
        <f>SUMIFS(F:F,D:D,DST_123_ÜRETİM_İHTİYAÇ_RAPORU_BURAK_YENI1309[[#This Row],[ALT_KOD]])-(SUMIFS(H:H,D:D,DST_123_ÜRETİM_İHTİYAÇ_RAPORU_BURAK_YENI1309[[#This Row],[ALT_KOD]])+AVERAGEIFS(I:I,D:D,DST_123_ÜRETİM_İHTİYAÇ_RAPORU_BURAK_YENI1309[[#This Row],[ALT_KOD]])+AVERAGEIFS(L:L,D:D,DST_123_ÜRETİM_İHTİYAÇ_RAPORU_BURAK_YENI1309[[#This Row],[ALT_KOD]]))</f>
        <v>-15.200000000000003</v>
      </c>
      <c r="L1589">
        <v>0</v>
      </c>
      <c r="M1589">
        <f>IF((DST_123_ÜRETİM_İHTİYAÇ_RAPORU_BURAK_YENI1309[[#This Row],[SATINALMA]]*DST_123_ÜRETİM_İHTİYAÇ_RAPORU_BURAK_YENI1309[[#This Row],[BIRIM_FIYATLAR]])&lt;1,VALUE("0"),DST_123_ÜRETİM_İHTİYAÇ_RAPORU_BURAK_YENI1309[[#This Row],[SATINALMA]]*DST_123_ÜRETİM_İHTİYAÇ_RAPORU_BURAK_YENI1309[[#This Row],[BIRIM_FIYATLAR]])</f>
        <v>0</v>
      </c>
      <c r="N1589">
        <v>11</v>
      </c>
      <c r="O1589" t="s">
        <v>226</v>
      </c>
      <c r="P1589">
        <v>29.700000000000003</v>
      </c>
      <c r="Q1589" t="s">
        <v>180</v>
      </c>
    </row>
    <row r="1590" spans="1:17" x14ac:dyDescent="0.25">
      <c r="A1590" t="s">
        <v>1144</v>
      </c>
      <c r="B1590" t="s">
        <v>1145</v>
      </c>
      <c r="C1590" t="s">
        <v>175</v>
      </c>
      <c r="D1590" t="s">
        <v>94</v>
      </c>
      <c r="E1590" t="s">
        <v>95</v>
      </c>
      <c r="F1590">
        <v>1</v>
      </c>
      <c r="G1590" t="s">
        <v>176</v>
      </c>
      <c r="H1590">
        <v>0</v>
      </c>
      <c r="I1590">
        <v>11</v>
      </c>
      <c r="J1590" s="10">
        <v>8</v>
      </c>
      <c r="K1590" s="10">
        <f>SUMIFS(F:F,D:D,DST_123_ÜRETİM_İHTİYAÇ_RAPORU_BURAK_YENI1309[[#This Row],[ALT_KOD]])-(SUMIFS(H:H,D:D,DST_123_ÜRETİM_İHTİYAÇ_RAPORU_BURAK_YENI1309[[#This Row],[ALT_KOD]])+AVERAGEIFS(I:I,D:D,DST_123_ÜRETİM_İHTİYAÇ_RAPORU_BURAK_YENI1309[[#This Row],[ALT_KOD]])+AVERAGEIFS(L:L,D:D,DST_123_ÜRETİM_İHTİYAÇ_RAPORU_BURAK_YENI1309[[#This Row],[ALT_KOD]]))</f>
        <v>0</v>
      </c>
      <c r="L1590">
        <v>0</v>
      </c>
      <c r="M1590">
        <f>IF((DST_123_ÜRETİM_İHTİYAÇ_RAPORU_BURAK_YENI1309[[#This Row],[SATINALMA]]*DST_123_ÜRETİM_İHTİYAÇ_RAPORU_BURAK_YENI1309[[#This Row],[BIRIM_FIYATLAR]])&lt;1,VALUE("0"),DST_123_ÜRETİM_İHTİYAÇ_RAPORU_BURAK_YENI1309[[#This Row],[SATINALMA]]*DST_123_ÜRETİM_İHTİYAÇ_RAPORU_BURAK_YENI1309[[#This Row],[BIRIM_FIYATLAR]])</f>
        <v>0</v>
      </c>
      <c r="N1590">
        <v>1145.83</v>
      </c>
      <c r="O1590" t="s">
        <v>247</v>
      </c>
      <c r="P1590">
        <v>1145.83</v>
      </c>
      <c r="Q1590" t="s">
        <v>177</v>
      </c>
    </row>
    <row r="1591" spans="1:17" x14ac:dyDescent="0.25">
      <c r="A1591" t="s">
        <v>1147</v>
      </c>
      <c r="B1591" t="s">
        <v>1145</v>
      </c>
      <c r="C1591" t="s">
        <v>175</v>
      </c>
      <c r="D1591" t="s">
        <v>571</v>
      </c>
      <c r="E1591" t="s">
        <v>572</v>
      </c>
      <c r="F1591">
        <v>2.7</v>
      </c>
      <c r="G1591" t="s">
        <v>179</v>
      </c>
      <c r="H1591">
        <v>0</v>
      </c>
      <c r="I1591">
        <v>50</v>
      </c>
      <c r="J1591" s="10">
        <v>-1.4210854715202004E-14</v>
      </c>
      <c r="K1591" s="10">
        <f>SUMIFS(F:F,D:D,DST_123_ÜRETİM_İHTİYAÇ_RAPORU_BURAK_YENI1309[[#This Row],[ALT_KOD]])-(SUMIFS(H:H,D:D,DST_123_ÜRETİM_İHTİYAÇ_RAPORU_BURAK_YENI1309[[#This Row],[ALT_KOD]])+AVERAGEIFS(I:I,D:D,DST_123_ÜRETİM_İHTİYAÇ_RAPORU_BURAK_YENI1309[[#This Row],[ALT_KOD]])+AVERAGEIFS(L:L,D:D,DST_123_ÜRETİM_İHTİYAÇ_RAPORU_BURAK_YENI1309[[#This Row],[ALT_KOD]]))</f>
        <v>-15.200000000000003</v>
      </c>
      <c r="L1591">
        <v>0</v>
      </c>
      <c r="M1591">
        <f>IF((DST_123_ÜRETİM_İHTİYAÇ_RAPORU_BURAK_YENI1309[[#This Row],[SATINALMA]]*DST_123_ÜRETİM_İHTİYAÇ_RAPORU_BURAK_YENI1309[[#This Row],[BIRIM_FIYATLAR]])&lt;1,VALUE("0"),DST_123_ÜRETİM_İHTİYAÇ_RAPORU_BURAK_YENI1309[[#This Row],[SATINALMA]]*DST_123_ÜRETİM_İHTİYAÇ_RAPORU_BURAK_YENI1309[[#This Row],[BIRIM_FIYATLAR]])</f>
        <v>0</v>
      </c>
      <c r="N1591">
        <v>11</v>
      </c>
      <c r="O1591" t="s">
        <v>226</v>
      </c>
      <c r="P1591">
        <v>29.700000000000003</v>
      </c>
      <c r="Q1591" t="s">
        <v>180</v>
      </c>
    </row>
    <row r="1592" spans="1:17" x14ac:dyDescent="0.25">
      <c r="A1592" t="s">
        <v>1100</v>
      </c>
      <c r="B1592" t="s">
        <v>1058</v>
      </c>
      <c r="C1592" t="s">
        <v>175</v>
      </c>
      <c r="D1592" t="s">
        <v>571</v>
      </c>
      <c r="E1592" t="s">
        <v>572</v>
      </c>
      <c r="F1592">
        <v>2.7</v>
      </c>
      <c r="G1592" t="s">
        <v>179</v>
      </c>
      <c r="H1592">
        <v>0</v>
      </c>
      <c r="I1592">
        <v>50</v>
      </c>
      <c r="J1592" s="10">
        <v>-1.4210854715202004E-14</v>
      </c>
      <c r="K1592" s="10">
        <f>SUMIFS(F:F,D:D,DST_123_ÜRETİM_İHTİYAÇ_RAPORU_BURAK_YENI1309[[#This Row],[ALT_KOD]])-(SUMIFS(H:H,D:D,DST_123_ÜRETİM_İHTİYAÇ_RAPORU_BURAK_YENI1309[[#This Row],[ALT_KOD]])+AVERAGEIFS(I:I,D:D,DST_123_ÜRETİM_İHTİYAÇ_RAPORU_BURAK_YENI1309[[#This Row],[ALT_KOD]])+AVERAGEIFS(L:L,D:D,DST_123_ÜRETİM_İHTİYAÇ_RAPORU_BURAK_YENI1309[[#This Row],[ALT_KOD]]))</f>
        <v>-15.200000000000003</v>
      </c>
      <c r="L1592">
        <v>0</v>
      </c>
      <c r="M1592">
        <f>IF((DST_123_ÜRETİM_İHTİYAÇ_RAPORU_BURAK_YENI1309[[#This Row],[SATINALMA]]*DST_123_ÜRETİM_İHTİYAÇ_RAPORU_BURAK_YENI1309[[#This Row],[BIRIM_FIYATLAR]])&lt;1,VALUE("0"),DST_123_ÜRETİM_İHTİYAÇ_RAPORU_BURAK_YENI1309[[#This Row],[SATINALMA]]*DST_123_ÜRETİM_İHTİYAÇ_RAPORU_BURAK_YENI1309[[#This Row],[BIRIM_FIYATLAR]])</f>
        <v>0</v>
      </c>
      <c r="N1592">
        <v>11</v>
      </c>
      <c r="O1592" t="s">
        <v>226</v>
      </c>
      <c r="P1592">
        <v>29.700000000000003</v>
      </c>
      <c r="Q1592" t="s">
        <v>180</v>
      </c>
    </row>
    <row r="1593" spans="1:17" x14ac:dyDescent="0.25">
      <c r="A1593" t="s">
        <v>1057</v>
      </c>
      <c r="B1593" t="s">
        <v>1058</v>
      </c>
      <c r="C1593" t="s">
        <v>175</v>
      </c>
      <c r="D1593" t="s">
        <v>208</v>
      </c>
      <c r="E1593" t="s">
        <v>284</v>
      </c>
      <c r="F1593">
        <v>17</v>
      </c>
      <c r="G1593" t="s">
        <v>176</v>
      </c>
      <c r="H1593">
        <v>0</v>
      </c>
      <c r="I1593">
        <v>2600</v>
      </c>
      <c r="J1593" s="10">
        <v>292</v>
      </c>
      <c r="K1593" s="10">
        <f>SUMIFS(F:F,D:D,DST_123_ÜRETİM_İHTİYAÇ_RAPORU_BURAK_YENI1309[[#This Row],[ALT_KOD]])-(SUMIFS(H:H,D:D,DST_123_ÜRETİM_İHTİYAÇ_RAPORU_BURAK_YENI1309[[#This Row],[ALT_KOD]])+AVERAGEIFS(I:I,D:D,DST_123_ÜRETİM_İHTİYAÇ_RAPORU_BURAK_YENI1309[[#This Row],[ALT_KOD]])+AVERAGEIFS(L:L,D:D,DST_123_ÜRETİM_İHTİYAÇ_RAPORU_BURAK_YENI1309[[#This Row],[ALT_KOD]]))</f>
        <v>-2145</v>
      </c>
      <c r="L1593">
        <v>0</v>
      </c>
      <c r="M1593">
        <f>IF((DST_123_ÜRETİM_İHTİYAÇ_RAPORU_BURAK_YENI1309[[#This Row],[SATINALMA]]*DST_123_ÜRETİM_İHTİYAÇ_RAPORU_BURAK_YENI1309[[#This Row],[BIRIM_FIYATLAR]])&lt;1,VALUE("0"),DST_123_ÜRETİM_İHTİYAÇ_RAPORU_BURAK_YENI1309[[#This Row],[SATINALMA]]*DST_123_ÜRETİM_İHTİYAÇ_RAPORU_BURAK_YENI1309[[#This Row],[BIRIM_FIYATLAR]])</f>
        <v>0</v>
      </c>
      <c r="N1593">
        <v>0.4</v>
      </c>
      <c r="O1593" t="s">
        <v>240</v>
      </c>
      <c r="P1593">
        <v>6.8000000000000007</v>
      </c>
      <c r="Q1593" t="s">
        <v>180</v>
      </c>
    </row>
    <row r="1594" spans="1:17" x14ac:dyDescent="0.25">
      <c r="A1594" t="s">
        <v>1100</v>
      </c>
      <c r="B1594" t="s">
        <v>1058</v>
      </c>
      <c r="C1594" t="s">
        <v>175</v>
      </c>
      <c r="D1594" t="s">
        <v>208</v>
      </c>
      <c r="E1594" t="s">
        <v>284</v>
      </c>
      <c r="F1594">
        <v>12</v>
      </c>
      <c r="G1594" t="s">
        <v>176</v>
      </c>
      <c r="H1594">
        <v>0</v>
      </c>
      <c r="I1594">
        <v>2600</v>
      </c>
      <c r="J1594" s="10">
        <v>292</v>
      </c>
      <c r="K1594" s="10">
        <f>SUMIFS(F:F,D:D,DST_123_ÜRETİM_İHTİYAÇ_RAPORU_BURAK_YENI1309[[#This Row],[ALT_KOD]])-(SUMIFS(H:H,D:D,DST_123_ÜRETİM_İHTİYAÇ_RAPORU_BURAK_YENI1309[[#This Row],[ALT_KOD]])+AVERAGEIFS(I:I,D:D,DST_123_ÜRETİM_İHTİYAÇ_RAPORU_BURAK_YENI1309[[#This Row],[ALT_KOD]])+AVERAGEIFS(L:L,D:D,DST_123_ÜRETİM_İHTİYAÇ_RAPORU_BURAK_YENI1309[[#This Row],[ALT_KOD]]))</f>
        <v>-2145</v>
      </c>
      <c r="L1594">
        <v>0</v>
      </c>
      <c r="M1594">
        <f>IF((DST_123_ÜRETİM_İHTİYAÇ_RAPORU_BURAK_YENI1309[[#This Row],[SATINALMA]]*DST_123_ÜRETİM_İHTİYAÇ_RAPORU_BURAK_YENI1309[[#This Row],[BIRIM_FIYATLAR]])&lt;1,VALUE("0"),DST_123_ÜRETİM_İHTİYAÇ_RAPORU_BURAK_YENI1309[[#This Row],[SATINALMA]]*DST_123_ÜRETİM_İHTİYAÇ_RAPORU_BURAK_YENI1309[[#This Row],[BIRIM_FIYATLAR]])</f>
        <v>0</v>
      </c>
      <c r="N1594">
        <v>0.4</v>
      </c>
      <c r="O1594" t="s">
        <v>240</v>
      </c>
      <c r="P1594">
        <v>4.8000000000000007</v>
      </c>
      <c r="Q1594" t="s">
        <v>180</v>
      </c>
    </row>
    <row r="1595" spans="1:17" x14ac:dyDescent="0.25">
      <c r="A1595" t="s">
        <v>1147</v>
      </c>
      <c r="B1595" t="s">
        <v>1145</v>
      </c>
      <c r="C1595" t="s">
        <v>175</v>
      </c>
      <c r="D1595" t="s">
        <v>94</v>
      </c>
      <c r="E1595" t="s">
        <v>95</v>
      </c>
      <c r="F1595">
        <v>1</v>
      </c>
      <c r="G1595" t="s">
        <v>176</v>
      </c>
      <c r="H1595">
        <v>0</v>
      </c>
      <c r="I1595">
        <v>11</v>
      </c>
      <c r="J1595" s="10">
        <v>8</v>
      </c>
      <c r="K1595" s="10">
        <f>SUMIFS(F:F,D:D,DST_123_ÜRETİM_İHTİYAÇ_RAPORU_BURAK_YENI1309[[#This Row],[ALT_KOD]])-(SUMIFS(H:H,D:D,DST_123_ÜRETİM_İHTİYAÇ_RAPORU_BURAK_YENI1309[[#This Row],[ALT_KOD]])+AVERAGEIFS(I:I,D:D,DST_123_ÜRETİM_İHTİYAÇ_RAPORU_BURAK_YENI1309[[#This Row],[ALT_KOD]])+AVERAGEIFS(L:L,D:D,DST_123_ÜRETİM_İHTİYAÇ_RAPORU_BURAK_YENI1309[[#This Row],[ALT_KOD]]))</f>
        <v>0</v>
      </c>
      <c r="L1595">
        <v>0</v>
      </c>
      <c r="M1595">
        <f>IF((DST_123_ÜRETİM_İHTİYAÇ_RAPORU_BURAK_YENI1309[[#This Row],[SATINALMA]]*DST_123_ÜRETİM_İHTİYAÇ_RAPORU_BURAK_YENI1309[[#This Row],[BIRIM_FIYATLAR]])&lt;1,VALUE("0"),DST_123_ÜRETİM_İHTİYAÇ_RAPORU_BURAK_YENI1309[[#This Row],[SATINALMA]]*DST_123_ÜRETİM_İHTİYAÇ_RAPORU_BURAK_YENI1309[[#This Row],[BIRIM_FIYATLAR]])</f>
        <v>0</v>
      </c>
      <c r="N1595">
        <v>1145.83</v>
      </c>
      <c r="O1595" t="s">
        <v>247</v>
      </c>
      <c r="P1595">
        <v>1145.83</v>
      </c>
      <c r="Q1595" t="s">
        <v>177</v>
      </c>
    </row>
    <row r="1596" spans="1:17" x14ac:dyDescent="0.25">
      <c r="A1596" t="s">
        <v>1146</v>
      </c>
      <c r="B1596" t="s">
        <v>1145</v>
      </c>
      <c r="C1596" t="s">
        <v>175</v>
      </c>
      <c r="D1596" t="s">
        <v>0</v>
      </c>
      <c r="E1596" t="s">
        <v>1</v>
      </c>
      <c r="F1596">
        <v>3</v>
      </c>
      <c r="G1596" t="s">
        <v>176</v>
      </c>
      <c r="H1596">
        <v>0</v>
      </c>
      <c r="I1596">
        <v>67</v>
      </c>
      <c r="J1596" s="10">
        <v>24</v>
      </c>
      <c r="K1596" s="10">
        <f>SUMIFS(F:F,D:D,DST_123_ÜRETİM_İHTİYAÇ_RAPORU_BURAK_YENI1309[[#This Row],[ALT_KOD]])-(SUMIFS(H:H,D:D,DST_123_ÜRETİM_İHTİYAÇ_RAPORU_BURAK_YENI1309[[#This Row],[ALT_KOD]])+AVERAGEIFS(I:I,D:D,DST_123_ÜRETİM_İHTİYAÇ_RAPORU_BURAK_YENI1309[[#This Row],[ALT_KOD]])+AVERAGEIFS(L:L,D:D,DST_123_ÜRETİM_İHTİYAÇ_RAPORU_BURAK_YENI1309[[#This Row],[ALT_KOD]]))</f>
        <v>-38</v>
      </c>
      <c r="L1596">
        <v>0</v>
      </c>
      <c r="M1596">
        <f>IF((DST_123_ÜRETİM_İHTİYAÇ_RAPORU_BURAK_YENI1309[[#This Row],[SATINALMA]]*DST_123_ÜRETİM_İHTİYAÇ_RAPORU_BURAK_YENI1309[[#This Row],[BIRIM_FIYATLAR]])&lt;1,VALUE("0"),DST_123_ÜRETİM_İHTİYAÇ_RAPORU_BURAK_YENI1309[[#This Row],[SATINALMA]]*DST_123_ÜRETİM_İHTİYAÇ_RAPORU_BURAK_YENI1309[[#This Row],[BIRIM_FIYATLAR]])</f>
        <v>0</v>
      </c>
      <c r="N1596">
        <v>640</v>
      </c>
      <c r="O1596" t="s">
        <v>220</v>
      </c>
      <c r="P1596">
        <v>1920</v>
      </c>
      <c r="Q1596" t="s">
        <v>221</v>
      </c>
    </row>
    <row r="1597" spans="1:17" x14ac:dyDescent="0.25">
      <c r="A1597" t="s">
        <v>1149</v>
      </c>
      <c r="B1597" t="s">
        <v>1145</v>
      </c>
      <c r="C1597" t="s">
        <v>175</v>
      </c>
      <c r="D1597" t="s">
        <v>229</v>
      </c>
      <c r="E1597" t="s">
        <v>230</v>
      </c>
      <c r="F1597">
        <v>2</v>
      </c>
      <c r="G1597" t="s">
        <v>176</v>
      </c>
      <c r="H1597">
        <v>0</v>
      </c>
      <c r="I1597">
        <v>238</v>
      </c>
      <c r="J1597" s="10">
        <v>90</v>
      </c>
      <c r="K1597" s="10">
        <f>SUMIFS(F:F,D:D,DST_123_ÜRETİM_İHTİYAÇ_RAPORU_BURAK_YENI1309[[#This Row],[ALT_KOD]])-(SUMIFS(H:H,D:D,DST_123_ÜRETİM_İHTİYAÇ_RAPORU_BURAK_YENI1309[[#This Row],[ALT_KOD]])+AVERAGEIFS(I:I,D:D,DST_123_ÜRETİM_İHTİYAÇ_RAPORU_BURAK_YENI1309[[#This Row],[ALT_KOD]])+AVERAGEIFS(L:L,D:D,DST_123_ÜRETİM_İHTİYAÇ_RAPORU_BURAK_YENI1309[[#This Row],[ALT_KOD]]))</f>
        <v>-200</v>
      </c>
      <c r="L1597">
        <v>0</v>
      </c>
      <c r="M1597">
        <f>IF((DST_123_ÜRETİM_İHTİYAÇ_RAPORU_BURAK_YENI1309[[#This Row],[SATINALMA]]*DST_123_ÜRETİM_İHTİYAÇ_RAPORU_BURAK_YENI1309[[#This Row],[BIRIM_FIYATLAR]])&lt;1,VALUE("0"),DST_123_ÜRETİM_İHTİYAÇ_RAPORU_BURAK_YENI1309[[#This Row],[SATINALMA]]*DST_123_ÜRETİM_İHTİYAÇ_RAPORU_BURAK_YENI1309[[#This Row],[BIRIM_FIYATLAR]])</f>
        <v>0</v>
      </c>
      <c r="N1597">
        <v>4</v>
      </c>
      <c r="O1597" t="s">
        <v>220</v>
      </c>
      <c r="P1597">
        <v>8</v>
      </c>
      <c r="Q1597" t="s">
        <v>221</v>
      </c>
    </row>
    <row r="1598" spans="1:17" x14ac:dyDescent="0.25">
      <c r="A1598" t="s">
        <v>1149</v>
      </c>
      <c r="B1598" t="s">
        <v>1145</v>
      </c>
      <c r="C1598" t="s">
        <v>175</v>
      </c>
      <c r="D1598" t="s">
        <v>54</v>
      </c>
      <c r="E1598" t="s">
        <v>55</v>
      </c>
      <c r="F1598">
        <v>1</v>
      </c>
      <c r="G1598" t="s">
        <v>176</v>
      </c>
      <c r="H1598">
        <v>0</v>
      </c>
      <c r="I1598">
        <v>9</v>
      </c>
      <c r="J1598" s="10">
        <v>13</v>
      </c>
      <c r="K1598" s="10">
        <f>SUMIFS(F:F,D:D,DST_123_ÜRETİM_İHTİYAÇ_RAPORU_BURAK_YENI1309[[#This Row],[ALT_KOD]])-(SUMIFS(H:H,D:D,DST_123_ÜRETİM_İHTİYAÇ_RAPORU_BURAK_YENI1309[[#This Row],[ALT_KOD]])+AVERAGEIFS(I:I,D:D,DST_123_ÜRETİM_İHTİYAÇ_RAPORU_BURAK_YENI1309[[#This Row],[ALT_KOD]])+AVERAGEIFS(L:L,D:D,DST_123_ÜRETİM_İHTİYAÇ_RAPORU_BURAK_YENI1309[[#This Row],[ALT_KOD]]))</f>
        <v>-1</v>
      </c>
      <c r="L1598">
        <v>4</v>
      </c>
      <c r="M1598">
        <f>IF((DST_123_ÜRETİM_İHTİYAÇ_RAPORU_BURAK_YENI1309[[#This Row],[SATINALMA]]*DST_123_ÜRETİM_İHTİYAÇ_RAPORU_BURAK_YENI1309[[#This Row],[BIRIM_FIYATLAR]])&lt;1,VALUE("0"),DST_123_ÜRETİM_İHTİYAÇ_RAPORU_BURAK_YENI1309[[#This Row],[SATINALMA]]*DST_123_ÜRETİM_İHTİYAÇ_RAPORU_BURAK_YENI1309[[#This Row],[BIRIM_FIYATLAR]])</f>
        <v>0</v>
      </c>
      <c r="N1598">
        <v>1600</v>
      </c>
      <c r="O1598" t="s">
        <v>217</v>
      </c>
      <c r="P1598">
        <v>1600</v>
      </c>
      <c r="Q1598" t="s">
        <v>221</v>
      </c>
    </row>
    <row r="1599" spans="1:17" x14ac:dyDescent="0.25">
      <c r="A1599" t="s">
        <v>1146</v>
      </c>
      <c r="B1599" t="s">
        <v>1145</v>
      </c>
      <c r="C1599" t="s">
        <v>175</v>
      </c>
      <c r="D1599" t="s">
        <v>54</v>
      </c>
      <c r="E1599" t="s">
        <v>55</v>
      </c>
      <c r="F1599">
        <v>1</v>
      </c>
      <c r="G1599" t="s">
        <v>176</v>
      </c>
      <c r="H1599">
        <v>0</v>
      </c>
      <c r="I1599">
        <v>9</v>
      </c>
      <c r="J1599" s="10">
        <v>13</v>
      </c>
      <c r="K1599" s="10">
        <f>SUMIFS(F:F,D:D,DST_123_ÜRETİM_İHTİYAÇ_RAPORU_BURAK_YENI1309[[#This Row],[ALT_KOD]])-(SUMIFS(H:H,D:D,DST_123_ÜRETİM_İHTİYAÇ_RAPORU_BURAK_YENI1309[[#This Row],[ALT_KOD]])+AVERAGEIFS(I:I,D:D,DST_123_ÜRETİM_İHTİYAÇ_RAPORU_BURAK_YENI1309[[#This Row],[ALT_KOD]])+AVERAGEIFS(L:L,D:D,DST_123_ÜRETİM_İHTİYAÇ_RAPORU_BURAK_YENI1309[[#This Row],[ALT_KOD]]))</f>
        <v>-1</v>
      </c>
      <c r="L1599">
        <v>4</v>
      </c>
      <c r="M1599">
        <f>IF((DST_123_ÜRETİM_İHTİYAÇ_RAPORU_BURAK_YENI1309[[#This Row],[SATINALMA]]*DST_123_ÜRETİM_İHTİYAÇ_RAPORU_BURAK_YENI1309[[#This Row],[BIRIM_FIYATLAR]])&lt;1,VALUE("0"),DST_123_ÜRETİM_İHTİYAÇ_RAPORU_BURAK_YENI1309[[#This Row],[SATINALMA]]*DST_123_ÜRETİM_İHTİYAÇ_RAPORU_BURAK_YENI1309[[#This Row],[BIRIM_FIYATLAR]])</f>
        <v>0</v>
      </c>
      <c r="N1599">
        <v>1600</v>
      </c>
      <c r="O1599" t="s">
        <v>217</v>
      </c>
      <c r="P1599">
        <v>1600</v>
      </c>
      <c r="Q1599" t="s">
        <v>221</v>
      </c>
    </row>
    <row r="1600" spans="1:17" x14ac:dyDescent="0.25">
      <c r="A1600" t="s">
        <v>1144</v>
      </c>
      <c r="B1600" t="s">
        <v>1145</v>
      </c>
      <c r="C1600" t="s">
        <v>175</v>
      </c>
      <c r="D1600" t="s">
        <v>58</v>
      </c>
      <c r="E1600" t="s">
        <v>59</v>
      </c>
      <c r="F1600">
        <v>1</v>
      </c>
      <c r="G1600" t="s">
        <v>176</v>
      </c>
      <c r="H1600">
        <v>0</v>
      </c>
      <c r="I1600">
        <v>17</v>
      </c>
      <c r="J1600" s="10">
        <v>11</v>
      </c>
      <c r="K1600" s="10">
        <f>SUMIFS(F:F,D:D,DST_123_ÜRETİM_İHTİYAÇ_RAPORU_BURAK_YENI1309[[#This Row],[ALT_KOD]])-(SUMIFS(H:H,D:D,DST_123_ÜRETİM_İHTİYAÇ_RAPORU_BURAK_YENI1309[[#This Row],[ALT_KOD]])+AVERAGEIFS(I:I,D:D,DST_123_ÜRETİM_İHTİYAÇ_RAPORU_BURAK_YENI1309[[#This Row],[ALT_KOD]])+AVERAGEIFS(L:L,D:D,DST_123_ÜRETİM_İHTİYAÇ_RAPORU_BURAK_YENI1309[[#This Row],[ALT_KOD]]))</f>
        <v>-5</v>
      </c>
      <c r="L1600">
        <v>0</v>
      </c>
      <c r="M1600">
        <f>IF((DST_123_ÜRETİM_İHTİYAÇ_RAPORU_BURAK_YENI1309[[#This Row],[SATINALMA]]*DST_123_ÜRETİM_İHTİYAÇ_RAPORU_BURAK_YENI1309[[#This Row],[BIRIM_FIYATLAR]])&lt;1,VALUE("0"),DST_123_ÜRETİM_İHTİYAÇ_RAPORU_BURAK_YENI1309[[#This Row],[SATINALMA]]*DST_123_ÜRETİM_İHTİYAÇ_RAPORU_BURAK_YENI1309[[#This Row],[BIRIM_FIYATLAR]])</f>
        <v>0</v>
      </c>
      <c r="N1600">
        <v>1094.4000000000001</v>
      </c>
      <c r="O1600" t="s">
        <v>826</v>
      </c>
      <c r="P1600">
        <v>1094.4000000000001</v>
      </c>
      <c r="Q1600" t="s">
        <v>221</v>
      </c>
    </row>
    <row r="1601" spans="1:17" x14ac:dyDescent="0.25">
      <c r="A1601" t="s">
        <v>1146</v>
      </c>
      <c r="B1601" t="s">
        <v>1145</v>
      </c>
      <c r="C1601" t="s">
        <v>175</v>
      </c>
      <c r="D1601" t="s">
        <v>58</v>
      </c>
      <c r="E1601" t="s">
        <v>59</v>
      </c>
      <c r="F1601">
        <v>1</v>
      </c>
      <c r="G1601" t="s">
        <v>176</v>
      </c>
      <c r="H1601">
        <v>0</v>
      </c>
      <c r="I1601">
        <v>17</v>
      </c>
      <c r="J1601" s="10">
        <v>11</v>
      </c>
      <c r="K1601" s="10">
        <f>SUMIFS(F:F,D:D,DST_123_ÜRETİM_İHTİYAÇ_RAPORU_BURAK_YENI1309[[#This Row],[ALT_KOD]])-(SUMIFS(H:H,D:D,DST_123_ÜRETİM_İHTİYAÇ_RAPORU_BURAK_YENI1309[[#This Row],[ALT_KOD]])+AVERAGEIFS(I:I,D:D,DST_123_ÜRETİM_İHTİYAÇ_RAPORU_BURAK_YENI1309[[#This Row],[ALT_KOD]])+AVERAGEIFS(L:L,D:D,DST_123_ÜRETİM_İHTİYAÇ_RAPORU_BURAK_YENI1309[[#This Row],[ALT_KOD]]))</f>
        <v>-5</v>
      </c>
      <c r="L1601">
        <v>0</v>
      </c>
      <c r="M1601">
        <f>IF((DST_123_ÜRETİM_İHTİYAÇ_RAPORU_BURAK_YENI1309[[#This Row],[SATINALMA]]*DST_123_ÜRETİM_İHTİYAÇ_RAPORU_BURAK_YENI1309[[#This Row],[BIRIM_FIYATLAR]])&lt;1,VALUE("0"),DST_123_ÜRETİM_İHTİYAÇ_RAPORU_BURAK_YENI1309[[#This Row],[SATINALMA]]*DST_123_ÜRETİM_İHTİYAÇ_RAPORU_BURAK_YENI1309[[#This Row],[BIRIM_FIYATLAR]])</f>
        <v>0</v>
      </c>
      <c r="N1601">
        <v>1094.4000000000001</v>
      </c>
      <c r="O1601" t="s">
        <v>826</v>
      </c>
      <c r="P1601">
        <v>1094.4000000000001</v>
      </c>
      <c r="Q1601" t="s">
        <v>221</v>
      </c>
    </row>
    <row r="1602" spans="1:17" x14ac:dyDescent="0.25">
      <c r="A1602" t="s">
        <v>1149</v>
      </c>
      <c r="B1602" t="s">
        <v>1145</v>
      </c>
      <c r="C1602" t="s">
        <v>175</v>
      </c>
      <c r="D1602" t="s">
        <v>414</v>
      </c>
      <c r="E1602" t="s">
        <v>415</v>
      </c>
      <c r="F1602">
        <v>0.1</v>
      </c>
      <c r="G1602" t="s">
        <v>179</v>
      </c>
      <c r="H1602">
        <v>0</v>
      </c>
      <c r="I1602">
        <v>50</v>
      </c>
      <c r="J1602" s="10">
        <v>2.8310687127941492E-15</v>
      </c>
      <c r="K1602" s="10">
        <f>SUMIFS(F:F,D:D,DST_123_ÜRETİM_İHTİYAÇ_RAPORU_BURAK_YENI1309[[#This Row],[ALT_KOD]])-(SUMIFS(H:H,D:D,DST_123_ÜRETİM_İHTİYAÇ_RAPORU_BURAK_YENI1309[[#This Row],[ALT_KOD]])+AVERAGEIFS(I:I,D:D,DST_123_ÜRETİM_İHTİYAÇ_RAPORU_BURAK_YENI1309[[#This Row],[ALT_KOD]])+AVERAGEIFS(L:L,D:D,DST_123_ÜRETİM_İHTİYAÇ_RAPORU_BURAK_YENI1309[[#This Row],[ALT_KOD]]))</f>
        <v>-47.8</v>
      </c>
      <c r="L1602">
        <v>0</v>
      </c>
      <c r="M1602">
        <f>IF((DST_123_ÜRETİM_İHTİYAÇ_RAPORU_BURAK_YENI1309[[#This Row],[SATINALMA]]*DST_123_ÜRETİM_İHTİYAÇ_RAPORU_BURAK_YENI1309[[#This Row],[BIRIM_FIYATLAR]])&lt;1,VALUE("0"),DST_123_ÜRETİM_İHTİYAÇ_RAPORU_BURAK_YENI1309[[#This Row],[SATINALMA]]*DST_123_ÜRETİM_İHTİYAÇ_RAPORU_BURAK_YENI1309[[#This Row],[BIRIM_FIYATLAR]])</f>
        <v>0</v>
      </c>
      <c r="N1602">
        <v>25.41</v>
      </c>
      <c r="O1602" t="s">
        <v>826</v>
      </c>
      <c r="P1602">
        <v>2.5410000000000004</v>
      </c>
      <c r="Q1602" t="s">
        <v>221</v>
      </c>
    </row>
    <row r="1603" spans="1:17" x14ac:dyDescent="0.25">
      <c r="A1603" t="s">
        <v>1144</v>
      </c>
      <c r="B1603" t="s">
        <v>1145</v>
      </c>
      <c r="C1603" t="s">
        <v>175</v>
      </c>
      <c r="D1603" t="s">
        <v>376</v>
      </c>
      <c r="E1603" t="s">
        <v>377</v>
      </c>
      <c r="F1603">
        <v>3</v>
      </c>
      <c r="G1603" t="s">
        <v>176</v>
      </c>
      <c r="H1603">
        <v>0</v>
      </c>
      <c r="I1603">
        <v>38</v>
      </c>
      <c r="J1603" s="10">
        <v>25</v>
      </c>
      <c r="K1603" s="10">
        <f>SUMIFS(F:F,D:D,DST_123_ÜRETİM_İHTİYAÇ_RAPORU_BURAK_YENI1309[[#This Row],[ALT_KOD]])-(SUMIFS(H:H,D:D,DST_123_ÜRETİM_İHTİYAÇ_RAPORU_BURAK_YENI1309[[#This Row],[ALT_KOD]])+AVERAGEIFS(I:I,D:D,DST_123_ÜRETİM_İHTİYAÇ_RAPORU_BURAK_YENI1309[[#This Row],[ALT_KOD]])+AVERAGEIFS(L:L,D:D,DST_123_ÜRETİM_İHTİYAÇ_RAPORU_BURAK_YENI1309[[#This Row],[ALT_KOD]]))</f>
        <v>-2</v>
      </c>
      <c r="L1603">
        <v>20</v>
      </c>
      <c r="M1603">
        <f>IF((DST_123_ÜRETİM_İHTİYAÇ_RAPORU_BURAK_YENI1309[[#This Row],[SATINALMA]]*DST_123_ÜRETİM_İHTİYAÇ_RAPORU_BURAK_YENI1309[[#This Row],[BIRIM_FIYATLAR]])&lt;1,VALUE("0"),DST_123_ÜRETİM_İHTİYAÇ_RAPORU_BURAK_YENI1309[[#This Row],[SATINALMA]]*DST_123_ÜRETİM_İHTİYAÇ_RAPORU_BURAK_YENI1309[[#This Row],[BIRIM_FIYATLAR]])</f>
        <v>0</v>
      </c>
      <c r="N1603">
        <v>245</v>
      </c>
      <c r="O1603" t="s">
        <v>821</v>
      </c>
      <c r="P1603">
        <v>735</v>
      </c>
      <c r="Q1603" t="s">
        <v>178</v>
      </c>
    </row>
    <row r="1604" spans="1:17" x14ac:dyDescent="0.25">
      <c r="A1604" t="s">
        <v>1146</v>
      </c>
      <c r="B1604" t="s">
        <v>1145</v>
      </c>
      <c r="C1604" t="s">
        <v>175</v>
      </c>
      <c r="D1604" t="s">
        <v>376</v>
      </c>
      <c r="E1604" t="s">
        <v>377</v>
      </c>
      <c r="F1604">
        <v>3</v>
      </c>
      <c r="G1604" t="s">
        <v>176</v>
      </c>
      <c r="H1604">
        <v>0</v>
      </c>
      <c r="I1604">
        <v>38</v>
      </c>
      <c r="J1604" s="10">
        <v>25</v>
      </c>
      <c r="K1604" s="10">
        <f>SUMIFS(F:F,D:D,DST_123_ÜRETİM_İHTİYAÇ_RAPORU_BURAK_YENI1309[[#This Row],[ALT_KOD]])-(SUMIFS(H:H,D:D,DST_123_ÜRETİM_İHTİYAÇ_RAPORU_BURAK_YENI1309[[#This Row],[ALT_KOD]])+AVERAGEIFS(I:I,D:D,DST_123_ÜRETİM_İHTİYAÇ_RAPORU_BURAK_YENI1309[[#This Row],[ALT_KOD]])+AVERAGEIFS(L:L,D:D,DST_123_ÜRETİM_İHTİYAÇ_RAPORU_BURAK_YENI1309[[#This Row],[ALT_KOD]]))</f>
        <v>-2</v>
      </c>
      <c r="L1604">
        <v>20</v>
      </c>
      <c r="M1604">
        <f>IF((DST_123_ÜRETİM_İHTİYAÇ_RAPORU_BURAK_YENI1309[[#This Row],[SATINALMA]]*DST_123_ÜRETİM_İHTİYAÇ_RAPORU_BURAK_YENI1309[[#This Row],[BIRIM_FIYATLAR]])&lt;1,VALUE("0"),DST_123_ÜRETİM_İHTİYAÇ_RAPORU_BURAK_YENI1309[[#This Row],[SATINALMA]]*DST_123_ÜRETİM_İHTİYAÇ_RAPORU_BURAK_YENI1309[[#This Row],[BIRIM_FIYATLAR]])</f>
        <v>0</v>
      </c>
      <c r="N1604">
        <v>245</v>
      </c>
      <c r="O1604" t="s">
        <v>821</v>
      </c>
      <c r="P1604">
        <v>735</v>
      </c>
      <c r="Q1604" t="s">
        <v>178</v>
      </c>
    </row>
    <row r="1605" spans="1:17" x14ac:dyDescent="0.25">
      <c r="A1605" t="s">
        <v>1150</v>
      </c>
      <c r="B1605" t="s">
        <v>1145</v>
      </c>
      <c r="C1605" t="s">
        <v>175</v>
      </c>
      <c r="D1605" t="s">
        <v>768</v>
      </c>
      <c r="E1605" t="s">
        <v>769</v>
      </c>
      <c r="F1605">
        <v>6</v>
      </c>
      <c r="G1605" t="s">
        <v>176</v>
      </c>
      <c r="H1605">
        <v>0</v>
      </c>
      <c r="I1605">
        <v>0</v>
      </c>
      <c r="J1605" s="10">
        <v>0</v>
      </c>
      <c r="K1605" s="10">
        <f>SUMIFS(F:F,D:D,DST_123_ÜRETİM_İHTİYAÇ_RAPORU_BURAK_YENI1309[[#This Row],[ALT_KOD]])-(SUMIFS(H:H,D:D,DST_123_ÜRETİM_İHTİYAÇ_RAPORU_BURAK_YENI1309[[#This Row],[ALT_KOD]])+AVERAGEIFS(I:I,D:D,DST_123_ÜRETİM_İHTİYAÇ_RAPORU_BURAK_YENI1309[[#This Row],[ALT_KOD]])+AVERAGEIFS(L:L,D:D,DST_123_ÜRETİM_İHTİYAÇ_RAPORU_BURAK_YENI1309[[#This Row],[ALT_KOD]]))</f>
        <v>54</v>
      </c>
      <c r="L1605">
        <v>0</v>
      </c>
      <c r="M1605">
        <f>IF((DST_123_ÜRETİM_İHTİYAÇ_RAPORU_BURAK_YENI1309[[#This Row],[SATINALMA]]*DST_123_ÜRETİM_İHTİYAÇ_RAPORU_BURAK_YENI1309[[#This Row],[BIRIM_FIYATLAR]])&lt;1,VALUE("0"),DST_123_ÜRETİM_İHTİYAÇ_RAPORU_BURAK_YENI1309[[#This Row],[SATINALMA]]*DST_123_ÜRETİM_İHTİYAÇ_RAPORU_BURAK_YENI1309[[#This Row],[BIRIM_FIYATLAR]])</f>
        <v>67.5</v>
      </c>
      <c r="N1605">
        <v>1.25</v>
      </c>
      <c r="O1605" t="s">
        <v>220</v>
      </c>
      <c r="P1605">
        <v>7.5</v>
      </c>
      <c r="Q1605" t="s">
        <v>221</v>
      </c>
    </row>
    <row r="1606" spans="1:17" x14ac:dyDescent="0.25">
      <c r="A1606" t="s">
        <v>1196</v>
      </c>
      <c r="B1606" t="s">
        <v>1197</v>
      </c>
      <c r="C1606" t="s">
        <v>175</v>
      </c>
      <c r="D1606" t="s">
        <v>0</v>
      </c>
      <c r="E1606" t="s">
        <v>1</v>
      </c>
      <c r="F1606">
        <v>2</v>
      </c>
      <c r="G1606" t="s">
        <v>176</v>
      </c>
      <c r="H1606">
        <v>0</v>
      </c>
      <c r="I1606">
        <v>67</v>
      </c>
      <c r="J1606" s="10">
        <v>24</v>
      </c>
      <c r="K1606" s="10">
        <f>SUMIFS(F:F,D:D,DST_123_ÜRETİM_İHTİYAÇ_RAPORU_BURAK_YENI1309[[#This Row],[ALT_KOD]])-(SUMIFS(H:H,D:D,DST_123_ÜRETİM_İHTİYAÇ_RAPORU_BURAK_YENI1309[[#This Row],[ALT_KOD]])+AVERAGEIFS(I:I,D:D,DST_123_ÜRETİM_İHTİYAÇ_RAPORU_BURAK_YENI1309[[#This Row],[ALT_KOD]])+AVERAGEIFS(L:L,D:D,DST_123_ÜRETİM_İHTİYAÇ_RAPORU_BURAK_YENI1309[[#This Row],[ALT_KOD]]))</f>
        <v>-38</v>
      </c>
      <c r="L1606">
        <v>0</v>
      </c>
      <c r="M1606">
        <f>IF((DST_123_ÜRETİM_İHTİYAÇ_RAPORU_BURAK_YENI1309[[#This Row],[SATINALMA]]*DST_123_ÜRETİM_İHTİYAÇ_RAPORU_BURAK_YENI1309[[#This Row],[BIRIM_FIYATLAR]])&lt;1,VALUE("0"),DST_123_ÜRETİM_İHTİYAÇ_RAPORU_BURAK_YENI1309[[#This Row],[SATINALMA]]*DST_123_ÜRETİM_İHTİYAÇ_RAPORU_BURAK_YENI1309[[#This Row],[BIRIM_FIYATLAR]])</f>
        <v>0</v>
      </c>
      <c r="N1606">
        <v>640</v>
      </c>
      <c r="O1606" t="s">
        <v>220</v>
      </c>
      <c r="P1606">
        <v>1280</v>
      </c>
      <c r="Q1606" t="s">
        <v>221</v>
      </c>
    </row>
    <row r="1607" spans="1:17" x14ac:dyDescent="0.25">
      <c r="A1607" t="s">
        <v>1099</v>
      </c>
      <c r="B1607" t="s">
        <v>1055</v>
      </c>
      <c r="C1607" t="s">
        <v>175</v>
      </c>
      <c r="D1607" t="s">
        <v>294</v>
      </c>
      <c r="E1607" t="s">
        <v>295</v>
      </c>
      <c r="F1607">
        <v>3</v>
      </c>
      <c r="G1607" t="s">
        <v>179</v>
      </c>
      <c r="H1607">
        <v>0</v>
      </c>
      <c r="I1607">
        <v>118</v>
      </c>
      <c r="J1607" s="10">
        <v>21</v>
      </c>
      <c r="K1607" s="10">
        <f>SUMIFS(F:F,D:D,DST_123_ÜRETİM_İHTİYAÇ_RAPORU_BURAK_YENI1309[[#This Row],[ALT_KOD]])-(SUMIFS(H:H,D:D,DST_123_ÜRETİM_İHTİYAÇ_RAPORU_BURAK_YENI1309[[#This Row],[ALT_KOD]])+AVERAGEIFS(I:I,D:D,DST_123_ÜRETİM_İHTİYAÇ_RAPORU_BURAK_YENI1309[[#This Row],[ALT_KOD]])+AVERAGEIFS(L:L,D:D,DST_123_ÜRETİM_İHTİYAÇ_RAPORU_BURAK_YENI1309[[#This Row],[ALT_KOD]]))</f>
        <v>-115</v>
      </c>
      <c r="L1607">
        <v>0</v>
      </c>
      <c r="M1607">
        <f>IF((DST_123_ÜRETİM_İHTİYAÇ_RAPORU_BURAK_YENI1309[[#This Row],[SATINALMA]]*DST_123_ÜRETİM_İHTİYAÇ_RAPORU_BURAK_YENI1309[[#This Row],[BIRIM_FIYATLAR]])&lt;1,VALUE("0"),DST_123_ÜRETİM_İHTİYAÇ_RAPORU_BURAK_YENI1309[[#This Row],[SATINALMA]]*DST_123_ÜRETİM_İHTİYAÇ_RAPORU_BURAK_YENI1309[[#This Row],[BIRIM_FIYATLAR]])</f>
        <v>0</v>
      </c>
      <c r="N1607">
        <v>14.33</v>
      </c>
      <c r="O1607" t="s">
        <v>826</v>
      </c>
      <c r="P1607">
        <v>42.99</v>
      </c>
      <c r="Q1607" t="s">
        <v>221</v>
      </c>
    </row>
    <row r="1608" spans="1:17" x14ac:dyDescent="0.25">
      <c r="A1608" t="s">
        <v>1196</v>
      </c>
      <c r="B1608" t="s">
        <v>1197</v>
      </c>
      <c r="C1608" t="s">
        <v>175</v>
      </c>
      <c r="D1608" t="s">
        <v>58</v>
      </c>
      <c r="E1608" t="s">
        <v>59</v>
      </c>
      <c r="F1608">
        <v>1</v>
      </c>
      <c r="G1608" t="s">
        <v>176</v>
      </c>
      <c r="H1608">
        <v>0</v>
      </c>
      <c r="I1608">
        <v>17</v>
      </c>
      <c r="J1608" s="10">
        <v>11</v>
      </c>
      <c r="K1608" s="10">
        <f>SUMIFS(F:F,D:D,DST_123_ÜRETİM_İHTİYAÇ_RAPORU_BURAK_YENI1309[[#This Row],[ALT_KOD]])-(SUMIFS(H:H,D:D,DST_123_ÜRETİM_İHTİYAÇ_RAPORU_BURAK_YENI1309[[#This Row],[ALT_KOD]])+AVERAGEIFS(I:I,D:D,DST_123_ÜRETİM_İHTİYAÇ_RAPORU_BURAK_YENI1309[[#This Row],[ALT_KOD]])+AVERAGEIFS(L:L,D:D,DST_123_ÜRETİM_İHTİYAÇ_RAPORU_BURAK_YENI1309[[#This Row],[ALT_KOD]]))</f>
        <v>-5</v>
      </c>
      <c r="L1608">
        <v>0</v>
      </c>
      <c r="M1608">
        <f>IF((DST_123_ÜRETİM_İHTİYAÇ_RAPORU_BURAK_YENI1309[[#This Row],[SATINALMA]]*DST_123_ÜRETİM_İHTİYAÇ_RAPORU_BURAK_YENI1309[[#This Row],[BIRIM_FIYATLAR]])&lt;1,VALUE("0"),DST_123_ÜRETİM_İHTİYAÇ_RAPORU_BURAK_YENI1309[[#This Row],[SATINALMA]]*DST_123_ÜRETİM_İHTİYAÇ_RAPORU_BURAK_YENI1309[[#This Row],[BIRIM_FIYATLAR]])</f>
        <v>0</v>
      </c>
      <c r="N1608">
        <v>1094.4000000000001</v>
      </c>
      <c r="O1608" t="s">
        <v>826</v>
      </c>
      <c r="P1608">
        <v>1094.4000000000001</v>
      </c>
      <c r="Q1608" t="s">
        <v>221</v>
      </c>
    </row>
    <row r="1609" spans="1:17" x14ac:dyDescent="0.25">
      <c r="A1609" t="s">
        <v>1099</v>
      </c>
      <c r="B1609" t="s">
        <v>1055</v>
      </c>
      <c r="C1609" t="s">
        <v>175</v>
      </c>
      <c r="D1609" t="s">
        <v>58</v>
      </c>
      <c r="E1609" t="s">
        <v>59</v>
      </c>
      <c r="F1609">
        <v>1</v>
      </c>
      <c r="G1609" t="s">
        <v>176</v>
      </c>
      <c r="H1609">
        <v>0</v>
      </c>
      <c r="I1609">
        <v>17</v>
      </c>
      <c r="J1609" s="10">
        <v>11</v>
      </c>
      <c r="K1609" s="10">
        <f>SUMIFS(F:F,D:D,DST_123_ÜRETİM_İHTİYAÇ_RAPORU_BURAK_YENI1309[[#This Row],[ALT_KOD]])-(SUMIFS(H:H,D:D,DST_123_ÜRETİM_İHTİYAÇ_RAPORU_BURAK_YENI1309[[#This Row],[ALT_KOD]])+AVERAGEIFS(I:I,D:D,DST_123_ÜRETİM_İHTİYAÇ_RAPORU_BURAK_YENI1309[[#This Row],[ALT_KOD]])+AVERAGEIFS(L:L,D:D,DST_123_ÜRETİM_İHTİYAÇ_RAPORU_BURAK_YENI1309[[#This Row],[ALT_KOD]]))</f>
        <v>-5</v>
      </c>
      <c r="L1609">
        <v>0</v>
      </c>
      <c r="M1609">
        <f>IF((DST_123_ÜRETİM_İHTİYAÇ_RAPORU_BURAK_YENI1309[[#This Row],[SATINALMA]]*DST_123_ÜRETİM_İHTİYAÇ_RAPORU_BURAK_YENI1309[[#This Row],[BIRIM_FIYATLAR]])&lt;1,VALUE("0"),DST_123_ÜRETİM_İHTİYAÇ_RAPORU_BURAK_YENI1309[[#This Row],[SATINALMA]]*DST_123_ÜRETİM_İHTİYAÇ_RAPORU_BURAK_YENI1309[[#This Row],[BIRIM_FIYATLAR]])</f>
        <v>0</v>
      </c>
      <c r="N1609">
        <v>1094.4000000000001</v>
      </c>
      <c r="O1609" t="s">
        <v>826</v>
      </c>
      <c r="P1609">
        <v>1094.4000000000001</v>
      </c>
      <c r="Q1609" t="s">
        <v>221</v>
      </c>
    </row>
    <row r="1610" spans="1:17" x14ac:dyDescent="0.25">
      <c r="A1610" t="s">
        <v>1099</v>
      </c>
      <c r="B1610" t="s">
        <v>1055</v>
      </c>
      <c r="C1610" t="s">
        <v>175</v>
      </c>
      <c r="D1610" t="s">
        <v>414</v>
      </c>
      <c r="E1610" t="s">
        <v>415</v>
      </c>
      <c r="F1610">
        <v>0.2</v>
      </c>
      <c r="G1610" t="s">
        <v>179</v>
      </c>
      <c r="H1610">
        <v>0</v>
      </c>
      <c r="I1610">
        <v>50</v>
      </c>
      <c r="J1610" s="10">
        <v>2.8310687127941492E-15</v>
      </c>
      <c r="K1610" s="10">
        <f>SUMIFS(F:F,D:D,DST_123_ÜRETİM_İHTİYAÇ_RAPORU_BURAK_YENI1309[[#This Row],[ALT_KOD]])-(SUMIFS(H:H,D:D,DST_123_ÜRETİM_İHTİYAÇ_RAPORU_BURAK_YENI1309[[#This Row],[ALT_KOD]])+AVERAGEIFS(I:I,D:D,DST_123_ÜRETİM_İHTİYAÇ_RAPORU_BURAK_YENI1309[[#This Row],[ALT_KOD]])+AVERAGEIFS(L:L,D:D,DST_123_ÜRETİM_İHTİYAÇ_RAPORU_BURAK_YENI1309[[#This Row],[ALT_KOD]]))</f>
        <v>-47.8</v>
      </c>
      <c r="L1610">
        <v>0</v>
      </c>
      <c r="M1610">
        <f>IF((DST_123_ÜRETİM_İHTİYAÇ_RAPORU_BURAK_YENI1309[[#This Row],[SATINALMA]]*DST_123_ÜRETİM_İHTİYAÇ_RAPORU_BURAK_YENI1309[[#This Row],[BIRIM_FIYATLAR]])&lt;1,VALUE("0"),DST_123_ÜRETİM_İHTİYAÇ_RAPORU_BURAK_YENI1309[[#This Row],[SATINALMA]]*DST_123_ÜRETİM_İHTİYAÇ_RAPORU_BURAK_YENI1309[[#This Row],[BIRIM_FIYATLAR]])</f>
        <v>0</v>
      </c>
      <c r="N1610">
        <v>25.41</v>
      </c>
      <c r="O1610" t="s">
        <v>826</v>
      </c>
      <c r="P1610">
        <v>5.0820000000000007</v>
      </c>
      <c r="Q1610" t="s">
        <v>221</v>
      </c>
    </row>
    <row r="1611" spans="1:17" x14ac:dyDescent="0.25">
      <c r="A1611" t="s">
        <v>1196</v>
      </c>
      <c r="B1611" t="s">
        <v>1197</v>
      </c>
      <c r="C1611" t="s">
        <v>175</v>
      </c>
      <c r="D1611" t="s">
        <v>376</v>
      </c>
      <c r="E1611" t="s">
        <v>377</v>
      </c>
      <c r="F1611">
        <v>3</v>
      </c>
      <c r="G1611" t="s">
        <v>176</v>
      </c>
      <c r="H1611">
        <v>0</v>
      </c>
      <c r="I1611">
        <v>38</v>
      </c>
      <c r="J1611" s="10">
        <v>25</v>
      </c>
      <c r="K1611" s="10">
        <f>SUMIFS(F:F,D:D,DST_123_ÜRETİM_İHTİYAÇ_RAPORU_BURAK_YENI1309[[#This Row],[ALT_KOD]])-(SUMIFS(H:H,D:D,DST_123_ÜRETİM_İHTİYAÇ_RAPORU_BURAK_YENI1309[[#This Row],[ALT_KOD]])+AVERAGEIFS(I:I,D:D,DST_123_ÜRETİM_İHTİYAÇ_RAPORU_BURAK_YENI1309[[#This Row],[ALT_KOD]])+AVERAGEIFS(L:L,D:D,DST_123_ÜRETİM_İHTİYAÇ_RAPORU_BURAK_YENI1309[[#This Row],[ALT_KOD]]))</f>
        <v>-2</v>
      </c>
      <c r="L1611">
        <v>20</v>
      </c>
      <c r="M1611">
        <f>IF((DST_123_ÜRETİM_İHTİYAÇ_RAPORU_BURAK_YENI1309[[#This Row],[SATINALMA]]*DST_123_ÜRETİM_İHTİYAÇ_RAPORU_BURAK_YENI1309[[#This Row],[BIRIM_FIYATLAR]])&lt;1,VALUE("0"),DST_123_ÜRETİM_İHTİYAÇ_RAPORU_BURAK_YENI1309[[#This Row],[SATINALMA]]*DST_123_ÜRETİM_İHTİYAÇ_RAPORU_BURAK_YENI1309[[#This Row],[BIRIM_FIYATLAR]])</f>
        <v>0</v>
      </c>
      <c r="N1611">
        <v>245</v>
      </c>
      <c r="O1611" t="s">
        <v>821</v>
      </c>
      <c r="P1611">
        <v>735</v>
      </c>
      <c r="Q1611" t="s">
        <v>178</v>
      </c>
    </row>
    <row r="1612" spans="1:17" x14ac:dyDescent="0.25">
      <c r="A1612" t="s">
        <v>1099</v>
      </c>
      <c r="B1612" t="s">
        <v>1055</v>
      </c>
      <c r="C1612" t="s">
        <v>175</v>
      </c>
      <c r="D1612" t="s">
        <v>376</v>
      </c>
      <c r="E1612" t="s">
        <v>377</v>
      </c>
      <c r="F1612">
        <v>3</v>
      </c>
      <c r="G1612" t="s">
        <v>176</v>
      </c>
      <c r="H1612">
        <v>0</v>
      </c>
      <c r="I1612">
        <v>38</v>
      </c>
      <c r="J1612" s="10">
        <v>25</v>
      </c>
      <c r="K1612" s="10">
        <f>SUMIFS(F:F,D:D,DST_123_ÜRETİM_İHTİYAÇ_RAPORU_BURAK_YENI1309[[#This Row],[ALT_KOD]])-(SUMIFS(H:H,D:D,DST_123_ÜRETİM_İHTİYAÇ_RAPORU_BURAK_YENI1309[[#This Row],[ALT_KOD]])+AVERAGEIFS(I:I,D:D,DST_123_ÜRETİM_İHTİYAÇ_RAPORU_BURAK_YENI1309[[#This Row],[ALT_KOD]])+AVERAGEIFS(L:L,D:D,DST_123_ÜRETİM_İHTİYAÇ_RAPORU_BURAK_YENI1309[[#This Row],[ALT_KOD]]))</f>
        <v>-2</v>
      </c>
      <c r="L1612">
        <v>20</v>
      </c>
      <c r="M1612">
        <f>IF((DST_123_ÜRETİM_İHTİYAÇ_RAPORU_BURAK_YENI1309[[#This Row],[SATINALMA]]*DST_123_ÜRETİM_İHTİYAÇ_RAPORU_BURAK_YENI1309[[#This Row],[BIRIM_FIYATLAR]])&lt;1,VALUE("0"),DST_123_ÜRETİM_İHTİYAÇ_RAPORU_BURAK_YENI1309[[#This Row],[SATINALMA]]*DST_123_ÜRETİM_İHTİYAÇ_RAPORU_BURAK_YENI1309[[#This Row],[BIRIM_FIYATLAR]])</f>
        <v>0</v>
      </c>
      <c r="N1612">
        <v>245</v>
      </c>
      <c r="O1612" t="s">
        <v>821</v>
      </c>
      <c r="P1612">
        <v>735</v>
      </c>
      <c r="Q1612" t="s">
        <v>178</v>
      </c>
    </row>
    <row r="1613" spans="1:17" x14ac:dyDescent="0.25">
      <c r="A1613" t="s">
        <v>1098</v>
      </c>
      <c r="B1613" t="s">
        <v>1096</v>
      </c>
      <c r="C1613" t="s">
        <v>175</v>
      </c>
      <c r="D1613" t="s">
        <v>229</v>
      </c>
      <c r="E1613" t="s">
        <v>230</v>
      </c>
      <c r="F1613">
        <v>2</v>
      </c>
      <c r="G1613" t="s">
        <v>176</v>
      </c>
      <c r="H1613">
        <v>0</v>
      </c>
      <c r="I1613">
        <v>238</v>
      </c>
      <c r="J1613" s="10">
        <v>90</v>
      </c>
      <c r="K1613" s="10">
        <f>SUMIFS(F:F,D:D,DST_123_ÜRETİM_İHTİYAÇ_RAPORU_BURAK_YENI1309[[#This Row],[ALT_KOD]])-(SUMIFS(H:H,D:D,DST_123_ÜRETİM_İHTİYAÇ_RAPORU_BURAK_YENI1309[[#This Row],[ALT_KOD]])+AVERAGEIFS(I:I,D:D,DST_123_ÜRETİM_İHTİYAÇ_RAPORU_BURAK_YENI1309[[#This Row],[ALT_KOD]])+AVERAGEIFS(L:L,D:D,DST_123_ÜRETİM_İHTİYAÇ_RAPORU_BURAK_YENI1309[[#This Row],[ALT_KOD]]))</f>
        <v>-200</v>
      </c>
      <c r="L1613">
        <v>0</v>
      </c>
      <c r="M1613">
        <f>IF((DST_123_ÜRETİM_İHTİYAÇ_RAPORU_BURAK_YENI1309[[#This Row],[SATINALMA]]*DST_123_ÜRETİM_İHTİYAÇ_RAPORU_BURAK_YENI1309[[#This Row],[BIRIM_FIYATLAR]])&lt;1,VALUE("0"),DST_123_ÜRETİM_İHTİYAÇ_RAPORU_BURAK_YENI1309[[#This Row],[SATINALMA]]*DST_123_ÜRETİM_İHTİYAÇ_RAPORU_BURAK_YENI1309[[#This Row],[BIRIM_FIYATLAR]])</f>
        <v>0</v>
      </c>
      <c r="N1613">
        <v>4</v>
      </c>
      <c r="O1613" t="s">
        <v>220</v>
      </c>
      <c r="P1613">
        <v>8</v>
      </c>
      <c r="Q1613" t="s">
        <v>221</v>
      </c>
    </row>
    <row r="1614" spans="1:17" x14ac:dyDescent="0.25">
      <c r="A1614" t="s">
        <v>1064</v>
      </c>
      <c r="B1614" t="s">
        <v>1055</v>
      </c>
      <c r="C1614" t="s">
        <v>175</v>
      </c>
      <c r="D1614" t="s">
        <v>414</v>
      </c>
      <c r="E1614" t="s">
        <v>415</v>
      </c>
      <c r="F1614">
        <v>0.1</v>
      </c>
      <c r="G1614" t="s">
        <v>179</v>
      </c>
      <c r="H1614">
        <v>0</v>
      </c>
      <c r="I1614">
        <v>50</v>
      </c>
      <c r="J1614" s="10">
        <v>2.8310687127941492E-15</v>
      </c>
      <c r="K1614" s="10">
        <f>SUMIFS(F:F,D:D,DST_123_ÜRETİM_İHTİYAÇ_RAPORU_BURAK_YENI1309[[#This Row],[ALT_KOD]])-(SUMIFS(H:H,D:D,DST_123_ÜRETİM_İHTİYAÇ_RAPORU_BURAK_YENI1309[[#This Row],[ALT_KOD]])+AVERAGEIFS(I:I,D:D,DST_123_ÜRETİM_İHTİYAÇ_RAPORU_BURAK_YENI1309[[#This Row],[ALT_KOD]])+AVERAGEIFS(L:L,D:D,DST_123_ÜRETİM_İHTİYAÇ_RAPORU_BURAK_YENI1309[[#This Row],[ALT_KOD]]))</f>
        <v>-47.8</v>
      </c>
      <c r="L1614">
        <v>0</v>
      </c>
      <c r="M1614">
        <f>IF((DST_123_ÜRETİM_İHTİYAÇ_RAPORU_BURAK_YENI1309[[#This Row],[SATINALMA]]*DST_123_ÜRETİM_İHTİYAÇ_RAPORU_BURAK_YENI1309[[#This Row],[BIRIM_FIYATLAR]])&lt;1,VALUE("0"),DST_123_ÜRETİM_İHTİYAÇ_RAPORU_BURAK_YENI1309[[#This Row],[SATINALMA]]*DST_123_ÜRETİM_İHTİYAÇ_RAPORU_BURAK_YENI1309[[#This Row],[BIRIM_FIYATLAR]])</f>
        <v>0</v>
      </c>
      <c r="N1614">
        <v>25.41</v>
      </c>
      <c r="O1614" t="s">
        <v>826</v>
      </c>
      <c r="P1614">
        <v>2.5410000000000004</v>
      </c>
      <c r="Q1614" t="s">
        <v>221</v>
      </c>
    </row>
    <row r="1615" spans="1:17" x14ac:dyDescent="0.25">
      <c r="A1615" t="s">
        <v>1098</v>
      </c>
      <c r="B1615" t="s">
        <v>1096</v>
      </c>
      <c r="C1615" t="s">
        <v>175</v>
      </c>
      <c r="D1615" t="s">
        <v>266</v>
      </c>
      <c r="E1615" t="s">
        <v>267</v>
      </c>
      <c r="F1615">
        <v>2</v>
      </c>
      <c r="G1615" t="s">
        <v>176</v>
      </c>
      <c r="H1615">
        <v>0</v>
      </c>
      <c r="I1615">
        <v>30</v>
      </c>
      <c r="J1615" s="10">
        <v>0</v>
      </c>
      <c r="K1615" s="10">
        <f>SUMIFS(F:F,D:D,DST_123_ÜRETİM_İHTİYAÇ_RAPORU_BURAK_YENI1309[[#This Row],[ALT_KOD]])-(SUMIFS(H:H,D:D,DST_123_ÜRETİM_İHTİYAÇ_RAPORU_BURAK_YENI1309[[#This Row],[ALT_KOD]])+AVERAGEIFS(I:I,D:D,DST_123_ÜRETİM_İHTİYAÇ_RAPORU_BURAK_YENI1309[[#This Row],[ALT_KOD]])+AVERAGEIFS(L:L,D:D,DST_123_ÜRETİM_İHTİYAÇ_RAPORU_BURAK_YENI1309[[#This Row],[ALT_KOD]]))</f>
        <v>-10</v>
      </c>
      <c r="L1615">
        <v>0</v>
      </c>
      <c r="M1615">
        <f>IF((DST_123_ÜRETİM_İHTİYAÇ_RAPORU_BURAK_YENI1309[[#This Row],[SATINALMA]]*DST_123_ÜRETİM_İHTİYAÇ_RAPORU_BURAK_YENI1309[[#This Row],[BIRIM_FIYATLAR]])&lt;1,VALUE("0"),DST_123_ÜRETİM_İHTİYAÇ_RAPORU_BURAK_YENI1309[[#This Row],[SATINALMA]]*DST_123_ÜRETİM_İHTİYAÇ_RAPORU_BURAK_YENI1309[[#This Row],[BIRIM_FIYATLAR]])</f>
        <v>0</v>
      </c>
      <c r="N1615">
        <v>60</v>
      </c>
      <c r="O1615" t="s">
        <v>226</v>
      </c>
      <c r="P1615">
        <v>120</v>
      </c>
      <c r="Q1615" t="s">
        <v>180</v>
      </c>
    </row>
    <row r="1616" spans="1:17" x14ac:dyDescent="0.25">
      <c r="A1616" t="s">
        <v>1149</v>
      </c>
      <c r="B1616" t="s">
        <v>1145</v>
      </c>
      <c r="C1616" t="s">
        <v>175</v>
      </c>
      <c r="D1616" t="s">
        <v>768</v>
      </c>
      <c r="E1616" t="s">
        <v>769</v>
      </c>
      <c r="F1616">
        <v>6</v>
      </c>
      <c r="G1616" t="s">
        <v>176</v>
      </c>
      <c r="H1616">
        <v>0</v>
      </c>
      <c r="I1616">
        <v>0</v>
      </c>
      <c r="J1616" s="10">
        <v>0</v>
      </c>
      <c r="K1616" s="10">
        <f>SUMIFS(F:F,D:D,DST_123_ÜRETİM_İHTİYAÇ_RAPORU_BURAK_YENI1309[[#This Row],[ALT_KOD]])-(SUMIFS(H:H,D:D,DST_123_ÜRETİM_İHTİYAÇ_RAPORU_BURAK_YENI1309[[#This Row],[ALT_KOD]])+AVERAGEIFS(I:I,D:D,DST_123_ÜRETİM_İHTİYAÇ_RAPORU_BURAK_YENI1309[[#This Row],[ALT_KOD]])+AVERAGEIFS(L:L,D:D,DST_123_ÜRETİM_İHTİYAÇ_RAPORU_BURAK_YENI1309[[#This Row],[ALT_KOD]]))</f>
        <v>54</v>
      </c>
      <c r="L1616">
        <v>0</v>
      </c>
      <c r="M1616">
        <f>IF((DST_123_ÜRETİM_İHTİYAÇ_RAPORU_BURAK_YENI1309[[#This Row],[SATINALMA]]*DST_123_ÜRETİM_İHTİYAÇ_RAPORU_BURAK_YENI1309[[#This Row],[BIRIM_FIYATLAR]])&lt;1,VALUE("0"),DST_123_ÜRETİM_İHTİYAÇ_RAPORU_BURAK_YENI1309[[#This Row],[SATINALMA]]*DST_123_ÜRETİM_İHTİYAÇ_RAPORU_BURAK_YENI1309[[#This Row],[BIRIM_FIYATLAR]])</f>
        <v>67.5</v>
      </c>
      <c r="N1616">
        <v>1.25</v>
      </c>
      <c r="O1616" t="s">
        <v>220</v>
      </c>
      <c r="P1616">
        <v>7.5</v>
      </c>
      <c r="Q1616" t="s">
        <v>221</v>
      </c>
    </row>
    <row r="1617" spans="1:17" x14ac:dyDescent="0.25">
      <c r="A1617" t="s">
        <v>1099</v>
      </c>
      <c r="B1617" t="s">
        <v>1055</v>
      </c>
      <c r="C1617" t="s">
        <v>175</v>
      </c>
      <c r="D1617" t="s">
        <v>0</v>
      </c>
      <c r="E1617" t="s">
        <v>1</v>
      </c>
      <c r="F1617">
        <v>3</v>
      </c>
      <c r="G1617" t="s">
        <v>176</v>
      </c>
      <c r="H1617">
        <v>0</v>
      </c>
      <c r="I1617">
        <v>67</v>
      </c>
      <c r="J1617" s="10">
        <v>24</v>
      </c>
      <c r="K1617" s="10">
        <f>SUMIFS(F:F,D:D,DST_123_ÜRETİM_İHTİYAÇ_RAPORU_BURAK_YENI1309[[#This Row],[ALT_KOD]])-(SUMIFS(H:H,D:D,DST_123_ÜRETİM_İHTİYAÇ_RAPORU_BURAK_YENI1309[[#This Row],[ALT_KOD]])+AVERAGEIFS(I:I,D:D,DST_123_ÜRETİM_İHTİYAÇ_RAPORU_BURAK_YENI1309[[#This Row],[ALT_KOD]])+AVERAGEIFS(L:L,D:D,DST_123_ÜRETİM_İHTİYAÇ_RAPORU_BURAK_YENI1309[[#This Row],[ALT_KOD]]))</f>
        <v>-38</v>
      </c>
      <c r="L1617">
        <v>0</v>
      </c>
      <c r="M1617">
        <f>IF((DST_123_ÜRETİM_İHTİYAÇ_RAPORU_BURAK_YENI1309[[#This Row],[SATINALMA]]*DST_123_ÜRETİM_İHTİYAÇ_RAPORU_BURAK_YENI1309[[#This Row],[BIRIM_FIYATLAR]])&lt;1,VALUE("0"),DST_123_ÜRETİM_İHTİYAÇ_RAPORU_BURAK_YENI1309[[#This Row],[SATINALMA]]*DST_123_ÜRETİM_İHTİYAÇ_RAPORU_BURAK_YENI1309[[#This Row],[BIRIM_FIYATLAR]])</f>
        <v>0</v>
      </c>
      <c r="N1617">
        <v>640</v>
      </c>
      <c r="O1617" t="s">
        <v>220</v>
      </c>
      <c r="P1617">
        <v>1920</v>
      </c>
      <c r="Q1617" t="s">
        <v>221</v>
      </c>
    </row>
    <row r="1618" spans="1:17" x14ac:dyDescent="0.25">
      <c r="A1618" t="s">
        <v>1064</v>
      </c>
      <c r="B1618" t="s">
        <v>1055</v>
      </c>
      <c r="C1618" t="s">
        <v>175</v>
      </c>
      <c r="D1618" t="s">
        <v>376</v>
      </c>
      <c r="E1618" t="s">
        <v>377</v>
      </c>
      <c r="F1618">
        <v>3</v>
      </c>
      <c r="G1618" t="s">
        <v>176</v>
      </c>
      <c r="H1618">
        <v>0</v>
      </c>
      <c r="I1618">
        <v>38</v>
      </c>
      <c r="J1618" s="10">
        <v>25</v>
      </c>
      <c r="K1618" s="10">
        <f>SUMIFS(F:F,D:D,DST_123_ÜRETİM_İHTİYAÇ_RAPORU_BURAK_YENI1309[[#This Row],[ALT_KOD]])-(SUMIFS(H:H,D:D,DST_123_ÜRETİM_İHTİYAÇ_RAPORU_BURAK_YENI1309[[#This Row],[ALT_KOD]])+AVERAGEIFS(I:I,D:D,DST_123_ÜRETİM_İHTİYAÇ_RAPORU_BURAK_YENI1309[[#This Row],[ALT_KOD]])+AVERAGEIFS(L:L,D:D,DST_123_ÜRETİM_İHTİYAÇ_RAPORU_BURAK_YENI1309[[#This Row],[ALT_KOD]]))</f>
        <v>-2</v>
      </c>
      <c r="L1618">
        <v>20</v>
      </c>
      <c r="M1618">
        <f>IF((DST_123_ÜRETİM_İHTİYAÇ_RAPORU_BURAK_YENI1309[[#This Row],[SATINALMA]]*DST_123_ÜRETİM_İHTİYAÇ_RAPORU_BURAK_YENI1309[[#This Row],[BIRIM_FIYATLAR]])&lt;1,VALUE("0"),DST_123_ÜRETİM_İHTİYAÇ_RAPORU_BURAK_YENI1309[[#This Row],[SATINALMA]]*DST_123_ÜRETİM_İHTİYAÇ_RAPORU_BURAK_YENI1309[[#This Row],[BIRIM_FIYATLAR]])</f>
        <v>0</v>
      </c>
      <c r="N1618">
        <v>245</v>
      </c>
      <c r="O1618" t="s">
        <v>821</v>
      </c>
      <c r="P1618">
        <v>735</v>
      </c>
      <c r="Q1618" t="s">
        <v>178</v>
      </c>
    </row>
    <row r="1619" spans="1:17" x14ac:dyDescent="0.25">
      <c r="A1619" t="s">
        <v>1064</v>
      </c>
      <c r="B1619" t="s">
        <v>1055</v>
      </c>
      <c r="C1619" t="s">
        <v>175</v>
      </c>
      <c r="D1619" t="s">
        <v>616</v>
      </c>
      <c r="E1619" t="s">
        <v>617</v>
      </c>
      <c r="F1619">
        <v>1</v>
      </c>
      <c r="G1619" t="s">
        <v>176</v>
      </c>
      <c r="H1619">
        <v>0</v>
      </c>
      <c r="I1619">
        <v>114</v>
      </c>
      <c r="J1619" s="10">
        <v>0</v>
      </c>
      <c r="K1619" s="10">
        <f>SUMIFS(F:F,D:D,DST_123_ÜRETİM_İHTİYAÇ_RAPORU_BURAK_YENI1309[[#This Row],[ALT_KOD]])-(SUMIFS(H:H,D:D,DST_123_ÜRETİM_İHTİYAÇ_RAPORU_BURAK_YENI1309[[#This Row],[ALT_KOD]])+AVERAGEIFS(I:I,D:D,DST_123_ÜRETİM_İHTİYAÇ_RAPORU_BURAK_YENI1309[[#This Row],[ALT_KOD]])+AVERAGEIFS(L:L,D:D,DST_123_ÜRETİM_İHTİYAÇ_RAPORU_BURAK_YENI1309[[#This Row],[ALT_KOD]]))</f>
        <v>-109</v>
      </c>
      <c r="L1619">
        <v>0</v>
      </c>
      <c r="M1619">
        <f>IF((DST_123_ÜRETİM_İHTİYAÇ_RAPORU_BURAK_YENI1309[[#This Row],[SATINALMA]]*DST_123_ÜRETİM_İHTİYAÇ_RAPORU_BURAK_YENI1309[[#This Row],[BIRIM_FIYATLAR]])&lt;1,VALUE("0"),DST_123_ÜRETİM_İHTİYAÇ_RAPORU_BURAK_YENI1309[[#This Row],[SATINALMA]]*DST_123_ÜRETİM_İHTİYAÇ_RAPORU_BURAK_YENI1309[[#This Row],[BIRIM_FIYATLAR]])</f>
        <v>0</v>
      </c>
      <c r="N1619">
        <v>10</v>
      </c>
      <c r="P1619">
        <v>10</v>
      </c>
      <c r="Q1619" t="s">
        <v>178</v>
      </c>
    </row>
    <row r="1620" spans="1:17" x14ac:dyDescent="0.25">
      <c r="A1620" t="s">
        <v>1064</v>
      </c>
      <c r="B1620" t="s">
        <v>1055</v>
      </c>
      <c r="C1620" t="s">
        <v>175</v>
      </c>
      <c r="D1620" t="s">
        <v>266</v>
      </c>
      <c r="E1620" t="s">
        <v>267</v>
      </c>
      <c r="F1620">
        <v>2</v>
      </c>
      <c r="G1620" t="s">
        <v>176</v>
      </c>
      <c r="H1620">
        <v>0</v>
      </c>
      <c r="I1620">
        <v>30</v>
      </c>
      <c r="J1620" s="10">
        <v>0</v>
      </c>
      <c r="K1620" s="10">
        <f>SUMIFS(F:F,D:D,DST_123_ÜRETİM_İHTİYAÇ_RAPORU_BURAK_YENI1309[[#This Row],[ALT_KOD]])-(SUMIFS(H:H,D:D,DST_123_ÜRETİM_İHTİYAÇ_RAPORU_BURAK_YENI1309[[#This Row],[ALT_KOD]])+AVERAGEIFS(I:I,D:D,DST_123_ÜRETİM_İHTİYAÇ_RAPORU_BURAK_YENI1309[[#This Row],[ALT_KOD]])+AVERAGEIFS(L:L,D:D,DST_123_ÜRETİM_İHTİYAÇ_RAPORU_BURAK_YENI1309[[#This Row],[ALT_KOD]]))</f>
        <v>-10</v>
      </c>
      <c r="L1620">
        <v>0</v>
      </c>
      <c r="M1620">
        <f>IF((DST_123_ÜRETİM_İHTİYAÇ_RAPORU_BURAK_YENI1309[[#This Row],[SATINALMA]]*DST_123_ÜRETİM_İHTİYAÇ_RAPORU_BURAK_YENI1309[[#This Row],[BIRIM_FIYATLAR]])&lt;1,VALUE("0"),DST_123_ÜRETİM_İHTİYAÇ_RAPORU_BURAK_YENI1309[[#This Row],[SATINALMA]]*DST_123_ÜRETİM_İHTİYAÇ_RAPORU_BURAK_YENI1309[[#This Row],[BIRIM_FIYATLAR]])</f>
        <v>0</v>
      </c>
      <c r="N1620">
        <v>60</v>
      </c>
      <c r="O1620" t="s">
        <v>226</v>
      </c>
      <c r="P1620">
        <v>120</v>
      </c>
      <c r="Q1620" t="s">
        <v>180</v>
      </c>
    </row>
    <row r="1621" spans="1:17" x14ac:dyDescent="0.25">
      <c r="A1621" t="s">
        <v>1196</v>
      </c>
      <c r="B1621" t="s">
        <v>1197</v>
      </c>
      <c r="C1621" t="s">
        <v>175</v>
      </c>
      <c r="D1621" t="s">
        <v>817</v>
      </c>
      <c r="E1621" t="s">
        <v>818</v>
      </c>
      <c r="F1621">
        <v>1</v>
      </c>
      <c r="G1621" t="s">
        <v>176</v>
      </c>
      <c r="H1621">
        <v>0</v>
      </c>
      <c r="I1621">
        <v>4</v>
      </c>
      <c r="J1621" s="10">
        <v>3</v>
      </c>
      <c r="K1621" s="10">
        <f>SUMIFS(F:F,D:D,DST_123_ÜRETİM_İHTİYAÇ_RAPORU_BURAK_YENI1309[[#This Row],[ALT_KOD]])-(SUMIFS(H:H,D:D,DST_123_ÜRETİM_İHTİYAÇ_RAPORU_BURAK_YENI1309[[#This Row],[ALT_KOD]])+AVERAGEIFS(I:I,D:D,DST_123_ÜRETİM_İHTİYAÇ_RAPORU_BURAK_YENI1309[[#This Row],[ALT_KOD]])+AVERAGEIFS(L:L,D:D,DST_123_ÜRETİM_İHTİYAÇ_RAPORU_BURAK_YENI1309[[#This Row],[ALT_KOD]]))</f>
        <v>-3</v>
      </c>
      <c r="L1621">
        <v>0</v>
      </c>
      <c r="M1621">
        <f>IF((DST_123_ÜRETİM_İHTİYAÇ_RAPORU_BURAK_YENI1309[[#This Row],[SATINALMA]]*DST_123_ÜRETİM_İHTİYAÇ_RAPORU_BURAK_YENI1309[[#This Row],[BIRIM_FIYATLAR]])&lt;1,VALUE("0"),DST_123_ÜRETİM_İHTİYAÇ_RAPORU_BURAK_YENI1309[[#This Row],[SATINALMA]]*DST_123_ÜRETİM_İHTİYAÇ_RAPORU_BURAK_YENI1309[[#This Row],[BIRIM_FIYATLAR]])</f>
        <v>0</v>
      </c>
      <c r="N1621">
        <v>200</v>
      </c>
      <c r="O1621" t="s">
        <v>696</v>
      </c>
      <c r="P1621">
        <v>200</v>
      </c>
      <c r="Q1621" t="s">
        <v>178</v>
      </c>
    </row>
    <row r="1622" spans="1:17" x14ac:dyDescent="0.25">
      <c r="A1622" t="s">
        <v>1101</v>
      </c>
      <c r="B1622" t="s">
        <v>1102</v>
      </c>
      <c r="C1622" t="s">
        <v>175</v>
      </c>
      <c r="D1622" t="s">
        <v>414</v>
      </c>
      <c r="E1622" t="s">
        <v>415</v>
      </c>
      <c r="F1622">
        <v>0.2</v>
      </c>
      <c r="G1622" t="s">
        <v>179</v>
      </c>
      <c r="H1622">
        <v>0</v>
      </c>
      <c r="I1622">
        <v>50</v>
      </c>
      <c r="J1622" s="10">
        <v>2.8310687127941492E-15</v>
      </c>
      <c r="K1622" s="10">
        <f>SUMIFS(F:F,D:D,DST_123_ÜRETİM_İHTİYAÇ_RAPORU_BURAK_YENI1309[[#This Row],[ALT_KOD]])-(SUMIFS(H:H,D:D,DST_123_ÜRETİM_İHTİYAÇ_RAPORU_BURAK_YENI1309[[#This Row],[ALT_KOD]])+AVERAGEIFS(I:I,D:D,DST_123_ÜRETİM_İHTİYAÇ_RAPORU_BURAK_YENI1309[[#This Row],[ALT_KOD]])+AVERAGEIFS(L:L,D:D,DST_123_ÜRETİM_İHTİYAÇ_RAPORU_BURAK_YENI1309[[#This Row],[ALT_KOD]]))</f>
        <v>-47.8</v>
      </c>
      <c r="L1622">
        <v>0</v>
      </c>
      <c r="M1622">
        <f>IF((DST_123_ÜRETİM_İHTİYAÇ_RAPORU_BURAK_YENI1309[[#This Row],[SATINALMA]]*DST_123_ÜRETİM_İHTİYAÇ_RAPORU_BURAK_YENI1309[[#This Row],[BIRIM_FIYATLAR]])&lt;1,VALUE("0"),DST_123_ÜRETİM_İHTİYAÇ_RAPORU_BURAK_YENI1309[[#This Row],[SATINALMA]]*DST_123_ÜRETİM_İHTİYAÇ_RAPORU_BURAK_YENI1309[[#This Row],[BIRIM_FIYATLAR]])</f>
        <v>0</v>
      </c>
      <c r="N1622">
        <v>25.41</v>
      </c>
      <c r="O1622" t="s">
        <v>826</v>
      </c>
      <c r="P1622">
        <v>5.0820000000000007</v>
      </c>
      <c r="Q1622" t="s">
        <v>221</v>
      </c>
    </row>
    <row r="1623" spans="1:17" x14ac:dyDescent="0.25">
      <c r="A1623" t="s">
        <v>1057</v>
      </c>
      <c r="B1623" t="s">
        <v>1058</v>
      </c>
      <c r="C1623" t="s">
        <v>175</v>
      </c>
      <c r="D1623" t="s">
        <v>94</v>
      </c>
      <c r="E1623" t="s">
        <v>95</v>
      </c>
      <c r="F1623">
        <v>1</v>
      </c>
      <c r="G1623" t="s">
        <v>176</v>
      </c>
      <c r="H1623">
        <v>1</v>
      </c>
      <c r="I1623">
        <v>11</v>
      </c>
      <c r="J1623" s="10">
        <v>8</v>
      </c>
      <c r="K1623" s="10">
        <f>SUMIFS(F:F,D:D,DST_123_ÜRETİM_İHTİYAÇ_RAPORU_BURAK_YENI1309[[#This Row],[ALT_KOD]])-(SUMIFS(H:H,D:D,DST_123_ÜRETİM_İHTİYAÇ_RAPORU_BURAK_YENI1309[[#This Row],[ALT_KOD]])+AVERAGEIFS(I:I,D:D,DST_123_ÜRETİM_İHTİYAÇ_RAPORU_BURAK_YENI1309[[#This Row],[ALT_KOD]])+AVERAGEIFS(L:L,D:D,DST_123_ÜRETİM_İHTİYAÇ_RAPORU_BURAK_YENI1309[[#This Row],[ALT_KOD]]))</f>
        <v>0</v>
      </c>
      <c r="L1623">
        <v>0</v>
      </c>
      <c r="M1623">
        <f>IF((DST_123_ÜRETİM_İHTİYAÇ_RAPORU_BURAK_YENI1309[[#This Row],[SATINALMA]]*DST_123_ÜRETİM_İHTİYAÇ_RAPORU_BURAK_YENI1309[[#This Row],[BIRIM_FIYATLAR]])&lt;1,VALUE("0"),DST_123_ÜRETİM_İHTİYAÇ_RAPORU_BURAK_YENI1309[[#This Row],[SATINALMA]]*DST_123_ÜRETİM_İHTİYAÇ_RAPORU_BURAK_YENI1309[[#This Row],[BIRIM_FIYATLAR]])</f>
        <v>0</v>
      </c>
      <c r="N1623">
        <v>1145.83</v>
      </c>
      <c r="O1623" t="s">
        <v>247</v>
      </c>
      <c r="P1623">
        <v>1145.83</v>
      </c>
      <c r="Q1623" t="s">
        <v>177</v>
      </c>
    </row>
    <row r="1624" spans="1:17" x14ac:dyDescent="0.25">
      <c r="A1624" t="s">
        <v>1148</v>
      </c>
      <c r="B1624" t="s">
        <v>1056</v>
      </c>
      <c r="C1624" t="s">
        <v>175</v>
      </c>
      <c r="D1624" t="s">
        <v>94</v>
      </c>
      <c r="E1624" t="s">
        <v>95</v>
      </c>
      <c r="F1624">
        <v>1</v>
      </c>
      <c r="G1624" t="s">
        <v>176</v>
      </c>
      <c r="H1624">
        <v>0</v>
      </c>
      <c r="I1624">
        <v>11</v>
      </c>
      <c r="J1624" s="10">
        <v>8</v>
      </c>
      <c r="K1624" s="10">
        <f>SUMIFS(F:F,D:D,DST_123_ÜRETİM_İHTİYAÇ_RAPORU_BURAK_YENI1309[[#This Row],[ALT_KOD]])-(SUMIFS(H:H,D:D,DST_123_ÜRETİM_İHTİYAÇ_RAPORU_BURAK_YENI1309[[#This Row],[ALT_KOD]])+AVERAGEIFS(I:I,D:D,DST_123_ÜRETİM_İHTİYAÇ_RAPORU_BURAK_YENI1309[[#This Row],[ALT_KOD]])+AVERAGEIFS(L:L,D:D,DST_123_ÜRETİM_İHTİYAÇ_RAPORU_BURAK_YENI1309[[#This Row],[ALT_KOD]]))</f>
        <v>0</v>
      </c>
      <c r="L1624">
        <v>0</v>
      </c>
      <c r="M1624">
        <f>IF((DST_123_ÜRETİM_İHTİYAÇ_RAPORU_BURAK_YENI1309[[#This Row],[SATINALMA]]*DST_123_ÜRETİM_İHTİYAÇ_RAPORU_BURAK_YENI1309[[#This Row],[BIRIM_FIYATLAR]])&lt;1,VALUE("0"),DST_123_ÜRETİM_İHTİYAÇ_RAPORU_BURAK_YENI1309[[#This Row],[SATINALMA]]*DST_123_ÜRETİM_İHTİYAÇ_RAPORU_BURAK_YENI1309[[#This Row],[BIRIM_FIYATLAR]])</f>
        <v>0</v>
      </c>
      <c r="N1624">
        <v>1145.83</v>
      </c>
      <c r="O1624" t="s">
        <v>247</v>
      </c>
      <c r="P1624">
        <v>1145.83</v>
      </c>
      <c r="Q1624" t="s">
        <v>177</v>
      </c>
    </row>
    <row r="1625" spans="1:17" x14ac:dyDescent="0.25">
      <c r="A1625" t="s">
        <v>1057</v>
      </c>
      <c r="B1625" t="s">
        <v>1058</v>
      </c>
      <c r="C1625" t="s">
        <v>175</v>
      </c>
      <c r="D1625" t="s">
        <v>361</v>
      </c>
      <c r="E1625" t="s">
        <v>362</v>
      </c>
      <c r="F1625">
        <v>7.5</v>
      </c>
      <c r="G1625" t="s">
        <v>179</v>
      </c>
      <c r="H1625">
        <v>0</v>
      </c>
      <c r="I1625">
        <v>100</v>
      </c>
      <c r="J1625" s="10">
        <v>139.99999999999989</v>
      </c>
      <c r="K1625" s="10">
        <f>SUMIFS(F:F,D:D,DST_123_ÜRETİM_İHTİYAÇ_RAPORU_BURAK_YENI1309[[#This Row],[ALT_KOD]])-(SUMIFS(H:H,D:D,DST_123_ÜRETİM_İHTİYAÇ_RAPORU_BURAK_YENI1309[[#This Row],[ALT_KOD]])+AVERAGEIFS(I:I,D:D,DST_123_ÜRETİM_İHTİYAÇ_RAPORU_BURAK_YENI1309[[#This Row],[ALT_KOD]])+AVERAGEIFS(L:L,D:D,DST_123_ÜRETİM_İHTİYAÇ_RAPORU_BURAK_YENI1309[[#This Row],[ALT_KOD]]))</f>
        <v>41.300000000000011</v>
      </c>
      <c r="L1625">
        <v>0</v>
      </c>
      <c r="M1625">
        <f>IF((DST_123_ÜRETİM_İHTİYAÇ_RAPORU_BURAK_YENI1309[[#This Row],[SATINALMA]]*DST_123_ÜRETİM_İHTİYAÇ_RAPORU_BURAK_YENI1309[[#This Row],[BIRIM_FIYATLAR]])&lt;1,VALUE("0"),DST_123_ÜRETİM_İHTİYAÇ_RAPORU_BURAK_YENI1309[[#This Row],[SATINALMA]]*DST_123_ÜRETİM_İHTİYAÇ_RAPORU_BURAK_YENI1309[[#This Row],[BIRIM_FIYATLAR]])</f>
        <v>929.25000000000023</v>
      </c>
      <c r="N1625">
        <v>22.5</v>
      </c>
      <c r="O1625" t="s">
        <v>314</v>
      </c>
      <c r="P1625">
        <v>168.75</v>
      </c>
      <c r="Q1625" t="s">
        <v>178</v>
      </c>
    </row>
    <row r="1626" spans="1:17" x14ac:dyDescent="0.25">
      <c r="A1626" t="s">
        <v>1100</v>
      </c>
      <c r="B1626" t="s">
        <v>1058</v>
      </c>
      <c r="C1626" t="s">
        <v>175</v>
      </c>
      <c r="D1626" t="s">
        <v>361</v>
      </c>
      <c r="E1626" t="s">
        <v>362</v>
      </c>
      <c r="F1626">
        <v>7.5</v>
      </c>
      <c r="G1626" t="s">
        <v>179</v>
      </c>
      <c r="H1626">
        <v>0</v>
      </c>
      <c r="I1626">
        <v>100</v>
      </c>
      <c r="J1626" s="10">
        <v>139.99999999999989</v>
      </c>
      <c r="K1626" s="10">
        <f>SUMIFS(F:F,D:D,DST_123_ÜRETİM_İHTİYAÇ_RAPORU_BURAK_YENI1309[[#This Row],[ALT_KOD]])-(SUMIFS(H:H,D:D,DST_123_ÜRETİM_İHTİYAÇ_RAPORU_BURAK_YENI1309[[#This Row],[ALT_KOD]])+AVERAGEIFS(I:I,D:D,DST_123_ÜRETİM_İHTİYAÇ_RAPORU_BURAK_YENI1309[[#This Row],[ALT_KOD]])+AVERAGEIFS(L:L,D:D,DST_123_ÜRETİM_İHTİYAÇ_RAPORU_BURAK_YENI1309[[#This Row],[ALT_KOD]]))</f>
        <v>41.300000000000011</v>
      </c>
      <c r="L1626">
        <v>0</v>
      </c>
      <c r="M1626">
        <f>IF((DST_123_ÜRETİM_İHTİYAÇ_RAPORU_BURAK_YENI1309[[#This Row],[SATINALMA]]*DST_123_ÜRETİM_İHTİYAÇ_RAPORU_BURAK_YENI1309[[#This Row],[BIRIM_FIYATLAR]])&lt;1,VALUE("0"),DST_123_ÜRETİM_İHTİYAÇ_RAPORU_BURAK_YENI1309[[#This Row],[SATINALMA]]*DST_123_ÜRETİM_İHTİYAÇ_RAPORU_BURAK_YENI1309[[#This Row],[BIRIM_FIYATLAR]])</f>
        <v>929.25000000000023</v>
      </c>
      <c r="N1626">
        <v>22.5</v>
      </c>
      <c r="O1626" t="s">
        <v>314</v>
      </c>
      <c r="P1626">
        <v>168.75</v>
      </c>
      <c r="Q1626" t="s">
        <v>178</v>
      </c>
    </row>
    <row r="1627" spans="1:17" x14ac:dyDescent="0.25">
      <c r="A1627" t="s">
        <v>1150</v>
      </c>
      <c r="B1627" t="s">
        <v>1145</v>
      </c>
      <c r="C1627" t="s">
        <v>175</v>
      </c>
      <c r="D1627" t="s">
        <v>811</v>
      </c>
      <c r="E1627" t="s">
        <v>812</v>
      </c>
      <c r="F1627">
        <v>4</v>
      </c>
      <c r="G1627" t="s">
        <v>176</v>
      </c>
      <c r="H1627">
        <v>0</v>
      </c>
      <c r="I1627">
        <v>100</v>
      </c>
      <c r="J1627" s="10">
        <v>138</v>
      </c>
      <c r="K1627" s="10">
        <f>SUMIFS(F:F,D:D,DST_123_ÜRETİM_İHTİYAÇ_RAPORU_BURAK_YENI1309[[#This Row],[ALT_KOD]])-(SUMIFS(H:H,D:D,DST_123_ÜRETİM_İHTİYAÇ_RAPORU_BURAK_YENI1309[[#This Row],[ALT_KOD]])+AVERAGEIFS(I:I,D:D,DST_123_ÜRETİM_İHTİYAÇ_RAPORU_BURAK_YENI1309[[#This Row],[ALT_KOD]])+AVERAGEIFS(L:L,D:D,DST_123_ÜRETİM_İHTİYAÇ_RAPORU_BURAK_YENI1309[[#This Row],[ALT_KOD]]))</f>
        <v>-84</v>
      </c>
      <c r="L1627">
        <v>0</v>
      </c>
      <c r="M1627">
        <f>IF((DST_123_ÜRETİM_İHTİYAÇ_RAPORU_BURAK_YENI1309[[#This Row],[SATINALMA]]*DST_123_ÜRETİM_İHTİYAÇ_RAPORU_BURAK_YENI1309[[#This Row],[BIRIM_FIYATLAR]])&lt;1,VALUE("0"),DST_123_ÜRETİM_İHTİYAÇ_RAPORU_BURAK_YENI1309[[#This Row],[SATINALMA]]*DST_123_ÜRETİM_İHTİYAÇ_RAPORU_BURAK_YENI1309[[#This Row],[BIRIM_FIYATLAR]])</f>
        <v>0</v>
      </c>
      <c r="N1627">
        <v>8</v>
      </c>
      <c r="O1627" t="s">
        <v>882</v>
      </c>
      <c r="P1627">
        <v>32</v>
      </c>
      <c r="Q1627" t="s">
        <v>178</v>
      </c>
    </row>
    <row r="1628" spans="1:17" x14ac:dyDescent="0.25">
      <c r="A1628" t="s">
        <v>1064</v>
      </c>
      <c r="B1628" t="s">
        <v>1055</v>
      </c>
      <c r="C1628" t="s">
        <v>175</v>
      </c>
      <c r="D1628" t="s">
        <v>833</v>
      </c>
      <c r="E1628" t="s">
        <v>834</v>
      </c>
      <c r="F1628">
        <v>0.5</v>
      </c>
      <c r="G1628" t="s">
        <v>179</v>
      </c>
      <c r="H1628">
        <v>0</v>
      </c>
      <c r="I1628">
        <v>0</v>
      </c>
      <c r="J1628" s="10">
        <v>36.5</v>
      </c>
      <c r="K1628" s="10">
        <f>SUMIFS(F:F,D:D,DST_123_ÜRETİM_İHTİYAÇ_RAPORU_BURAK_YENI1309[[#This Row],[ALT_KOD]])-(SUMIFS(H:H,D:D,DST_123_ÜRETİM_İHTİYAÇ_RAPORU_BURAK_YENI1309[[#This Row],[ALT_KOD]])+AVERAGEIFS(I:I,D:D,DST_123_ÜRETİM_İHTİYAÇ_RAPORU_BURAK_YENI1309[[#This Row],[ALT_KOD]])+AVERAGEIFS(L:L,D:D,DST_123_ÜRETİM_İHTİYAÇ_RAPORU_BURAK_YENI1309[[#This Row],[ALT_KOD]]))</f>
        <v>9</v>
      </c>
      <c r="L1628">
        <v>0</v>
      </c>
      <c r="M1628">
        <f>IF((DST_123_ÜRETİM_İHTİYAÇ_RAPORU_BURAK_YENI1309[[#This Row],[SATINALMA]]*DST_123_ÜRETİM_İHTİYAÇ_RAPORU_BURAK_YENI1309[[#This Row],[BIRIM_FIYATLAR]])&lt;1,VALUE("0"),DST_123_ÜRETİM_İHTİYAÇ_RAPORU_BURAK_YENI1309[[#This Row],[SATINALMA]]*DST_123_ÜRETİM_İHTİYAÇ_RAPORU_BURAK_YENI1309[[#This Row],[BIRIM_FIYATLAR]])</f>
        <v>250.29</v>
      </c>
      <c r="N1628">
        <v>27.81</v>
      </c>
      <c r="O1628" t="s">
        <v>835</v>
      </c>
      <c r="P1628">
        <v>13.904999999999999</v>
      </c>
      <c r="Q1628" t="s">
        <v>184</v>
      </c>
    </row>
    <row r="1629" spans="1:17" x14ac:dyDescent="0.25">
      <c r="A1629" t="s">
        <v>1098</v>
      </c>
      <c r="B1629" t="s">
        <v>1096</v>
      </c>
      <c r="C1629" t="s">
        <v>175</v>
      </c>
      <c r="D1629" t="s">
        <v>833</v>
      </c>
      <c r="E1629" t="s">
        <v>834</v>
      </c>
      <c r="F1629">
        <v>0.5</v>
      </c>
      <c r="G1629" t="s">
        <v>179</v>
      </c>
      <c r="H1629">
        <v>0</v>
      </c>
      <c r="I1629">
        <v>0</v>
      </c>
      <c r="J1629" s="10">
        <v>36.5</v>
      </c>
      <c r="K1629" s="10">
        <f>SUMIFS(F:F,D:D,DST_123_ÜRETİM_İHTİYAÇ_RAPORU_BURAK_YENI1309[[#This Row],[ALT_KOD]])-(SUMIFS(H:H,D:D,DST_123_ÜRETİM_İHTİYAÇ_RAPORU_BURAK_YENI1309[[#This Row],[ALT_KOD]])+AVERAGEIFS(I:I,D:D,DST_123_ÜRETİM_İHTİYAÇ_RAPORU_BURAK_YENI1309[[#This Row],[ALT_KOD]])+AVERAGEIFS(L:L,D:D,DST_123_ÜRETİM_İHTİYAÇ_RAPORU_BURAK_YENI1309[[#This Row],[ALT_KOD]]))</f>
        <v>9</v>
      </c>
      <c r="L1629">
        <v>0</v>
      </c>
      <c r="M1629">
        <f>IF((DST_123_ÜRETİM_İHTİYAÇ_RAPORU_BURAK_YENI1309[[#This Row],[SATINALMA]]*DST_123_ÜRETİM_İHTİYAÇ_RAPORU_BURAK_YENI1309[[#This Row],[BIRIM_FIYATLAR]])&lt;1,VALUE("0"),DST_123_ÜRETİM_İHTİYAÇ_RAPORU_BURAK_YENI1309[[#This Row],[SATINALMA]]*DST_123_ÜRETİM_İHTİYAÇ_RAPORU_BURAK_YENI1309[[#This Row],[BIRIM_FIYATLAR]])</f>
        <v>250.29</v>
      </c>
      <c r="N1629">
        <v>27.81</v>
      </c>
      <c r="O1629" t="s">
        <v>835</v>
      </c>
      <c r="P1629">
        <v>13.904999999999999</v>
      </c>
      <c r="Q1629" t="s">
        <v>184</v>
      </c>
    </row>
    <row r="1630" spans="1:17" x14ac:dyDescent="0.25">
      <c r="A1630" t="s">
        <v>1196</v>
      </c>
      <c r="B1630" t="s">
        <v>1197</v>
      </c>
      <c r="C1630" t="s">
        <v>175</v>
      </c>
      <c r="D1630" t="s">
        <v>372</v>
      </c>
      <c r="E1630" t="s">
        <v>373</v>
      </c>
      <c r="F1630">
        <v>6</v>
      </c>
      <c r="G1630" t="s">
        <v>176</v>
      </c>
      <c r="H1630">
        <v>0</v>
      </c>
      <c r="I1630">
        <v>65</v>
      </c>
      <c r="J1630" s="10">
        <v>54</v>
      </c>
      <c r="K1630" s="10">
        <f>SUMIFS(F:F,D:D,DST_123_ÜRETİM_İHTİYAÇ_RAPORU_BURAK_YENI1309[[#This Row],[ALT_KOD]])-(SUMIFS(H:H,D:D,DST_123_ÜRETİM_İHTİYAÇ_RAPORU_BURAK_YENI1309[[#This Row],[ALT_KOD]])+AVERAGEIFS(I:I,D:D,DST_123_ÜRETİM_İHTİYAÇ_RAPORU_BURAK_YENI1309[[#This Row],[ALT_KOD]])+AVERAGEIFS(L:L,D:D,DST_123_ÜRETİM_İHTİYAÇ_RAPORU_BURAK_YENI1309[[#This Row],[ALT_KOD]]))</f>
        <v>2</v>
      </c>
      <c r="L1630">
        <v>40</v>
      </c>
      <c r="M1630">
        <f>IF((DST_123_ÜRETİM_İHTİYAÇ_RAPORU_BURAK_YENI1309[[#This Row],[SATINALMA]]*DST_123_ÜRETİM_İHTİYAÇ_RAPORU_BURAK_YENI1309[[#This Row],[BIRIM_FIYATLAR]])&lt;1,VALUE("0"),DST_123_ÜRETİM_İHTİYAÇ_RAPORU_BURAK_YENI1309[[#This Row],[SATINALMA]]*DST_123_ÜRETİM_İHTİYAÇ_RAPORU_BURAK_YENI1309[[#This Row],[BIRIM_FIYATLAR]])</f>
        <v>148</v>
      </c>
      <c r="N1630">
        <v>74</v>
      </c>
      <c r="O1630" t="s">
        <v>821</v>
      </c>
      <c r="P1630">
        <v>444</v>
      </c>
      <c r="Q1630" t="s">
        <v>178</v>
      </c>
    </row>
    <row r="1631" spans="1:17" x14ac:dyDescent="0.25">
      <c r="A1631" t="s">
        <v>1098</v>
      </c>
      <c r="B1631" t="s">
        <v>1096</v>
      </c>
      <c r="C1631" t="s">
        <v>175</v>
      </c>
      <c r="D1631" t="s">
        <v>372</v>
      </c>
      <c r="E1631" t="s">
        <v>373</v>
      </c>
      <c r="F1631">
        <v>5</v>
      </c>
      <c r="G1631" t="s">
        <v>176</v>
      </c>
      <c r="H1631">
        <v>0</v>
      </c>
      <c r="I1631">
        <v>65</v>
      </c>
      <c r="J1631" s="10">
        <v>54</v>
      </c>
      <c r="K1631" s="10">
        <f>SUMIFS(F:F,D:D,DST_123_ÜRETİM_İHTİYAÇ_RAPORU_BURAK_YENI1309[[#This Row],[ALT_KOD]])-(SUMIFS(H:H,D:D,DST_123_ÜRETİM_İHTİYAÇ_RAPORU_BURAK_YENI1309[[#This Row],[ALT_KOD]])+AVERAGEIFS(I:I,D:D,DST_123_ÜRETİM_İHTİYAÇ_RAPORU_BURAK_YENI1309[[#This Row],[ALT_KOD]])+AVERAGEIFS(L:L,D:D,DST_123_ÜRETİM_İHTİYAÇ_RAPORU_BURAK_YENI1309[[#This Row],[ALT_KOD]]))</f>
        <v>2</v>
      </c>
      <c r="L1631">
        <v>40</v>
      </c>
      <c r="M1631">
        <f>IF((DST_123_ÜRETİM_İHTİYAÇ_RAPORU_BURAK_YENI1309[[#This Row],[SATINALMA]]*DST_123_ÜRETİM_İHTİYAÇ_RAPORU_BURAK_YENI1309[[#This Row],[BIRIM_FIYATLAR]])&lt;1,VALUE("0"),DST_123_ÜRETİM_İHTİYAÇ_RAPORU_BURAK_YENI1309[[#This Row],[SATINALMA]]*DST_123_ÜRETİM_İHTİYAÇ_RAPORU_BURAK_YENI1309[[#This Row],[BIRIM_FIYATLAR]])</f>
        <v>148</v>
      </c>
      <c r="N1631">
        <v>74</v>
      </c>
      <c r="O1631" t="s">
        <v>821</v>
      </c>
      <c r="P1631">
        <v>370</v>
      </c>
      <c r="Q1631" t="s">
        <v>178</v>
      </c>
    </row>
    <row r="1632" spans="1:17" x14ac:dyDescent="0.25">
      <c r="A1632" t="s">
        <v>1196</v>
      </c>
      <c r="B1632" t="s">
        <v>1197</v>
      </c>
      <c r="C1632" t="s">
        <v>175</v>
      </c>
      <c r="D1632" t="s">
        <v>573</v>
      </c>
      <c r="E1632" t="s">
        <v>574</v>
      </c>
      <c r="F1632">
        <v>1</v>
      </c>
      <c r="G1632" t="s">
        <v>176</v>
      </c>
      <c r="H1632">
        <v>0</v>
      </c>
      <c r="I1632">
        <v>24</v>
      </c>
      <c r="J1632" s="10">
        <v>-3.5527136788005009E-14</v>
      </c>
      <c r="K1632" s="10">
        <f>SUMIFS(F:F,D:D,DST_123_ÜRETİM_İHTİYAÇ_RAPORU_BURAK_YENI1309[[#This Row],[ALT_KOD]])-(SUMIFS(H:H,D:D,DST_123_ÜRETİM_İHTİYAÇ_RAPORU_BURAK_YENI1309[[#This Row],[ALT_KOD]])+AVERAGEIFS(I:I,D:D,DST_123_ÜRETİM_İHTİYAÇ_RAPORU_BURAK_YENI1309[[#This Row],[ALT_KOD]])+AVERAGEIFS(L:L,D:D,DST_123_ÜRETİM_İHTİYAÇ_RAPORU_BURAK_YENI1309[[#This Row],[ALT_KOD]]))</f>
        <v>-7.600000000000005</v>
      </c>
      <c r="L1632">
        <v>0</v>
      </c>
      <c r="M1632">
        <f>IF((DST_123_ÜRETİM_İHTİYAÇ_RAPORU_BURAK_YENI1309[[#This Row],[SATINALMA]]*DST_123_ÜRETİM_İHTİYAÇ_RAPORU_BURAK_YENI1309[[#This Row],[BIRIM_FIYATLAR]])&lt;1,VALUE("0"),DST_123_ÜRETİM_İHTİYAÇ_RAPORU_BURAK_YENI1309[[#This Row],[SATINALMA]]*DST_123_ÜRETİM_İHTİYAÇ_RAPORU_BURAK_YENI1309[[#This Row],[BIRIM_FIYATLAR]])</f>
        <v>0</v>
      </c>
      <c r="N1632">
        <v>120</v>
      </c>
      <c r="O1632" t="s">
        <v>240</v>
      </c>
      <c r="P1632">
        <v>120</v>
      </c>
      <c r="Q1632" t="s">
        <v>183</v>
      </c>
    </row>
    <row r="1633" spans="1:17" x14ac:dyDescent="0.25">
      <c r="A1633" t="s">
        <v>1099</v>
      </c>
      <c r="B1633" t="s">
        <v>1055</v>
      </c>
      <c r="C1633" t="s">
        <v>175</v>
      </c>
      <c r="D1633" t="s">
        <v>573</v>
      </c>
      <c r="E1633" t="s">
        <v>574</v>
      </c>
      <c r="F1633">
        <v>0.7</v>
      </c>
      <c r="G1633" t="s">
        <v>176</v>
      </c>
      <c r="H1633">
        <v>0</v>
      </c>
      <c r="I1633">
        <v>24</v>
      </c>
      <c r="J1633" s="10">
        <v>-3.5527136788005009E-14</v>
      </c>
      <c r="K1633" s="10">
        <f>SUMIFS(F:F,D:D,DST_123_ÜRETİM_İHTİYAÇ_RAPORU_BURAK_YENI1309[[#This Row],[ALT_KOD]])-(SUMIFS(H:H,D:D,DST_123_ÜRETİM_İHTİYAÇ_RAPORU_BURAK_YENI1309[[#This Row],[ALT_KOD]])+AVERAGEIFS(I:I,D:D,DST_123_ÜRETİM_İHTİYAÇ_RAPORU_BURAK_YENI1309[[#This Row],[ALT_KOD]])+AVERAGEIFS(L:L,D:D,DST_123_ÜRETİM_İHTİYAÇ_RAPORU_BURAK_YENI1309[[#This Row],[ALT_KOD]]))</f>
        <v>-7.600000000000005</v>
      </c>
      <c r="L1633">
        <v>0</v>
      </c>
      <c r="M1633">
        <f>IF((DST_123_ÜRETİM_İHTİYAÇ_RAPORU_BURAK_YENI1309[[#This Row],[SATINALMA]]*DST_123_ÜRETİM_İHTİYAÇ_RAPORU_BURAK_YENI1309[[#This Row],[BIRIM_FIYATLAR]])&lt;1,VALUE("0"),DST_123_ÜRETİM_İHTİYAÇ_RAPORU_BURAK_YENI1309[[#This Row],[SATINALMA]]*DST_123_ÜRETİM_İHTİYAÇ_RAPORU_BURAK_YENI1309[[#This Row],[BIRIM_FIYATLAR]])</f>
        <v>0</v>
      </c>
      <c r="N1633">
        <v>120</v>
      </c>
      <c r="O1633" t="s">
        <v>240</v>
      </c>
      <c r="P1633">
        <v>84</v>
      </c>
      <c r="Q1633" t="s">
        <v>183</v>
      </c>
    </row>
    <row r="1634" spans="1:17" x14ac:dyDescent="0.25">
      <c r="A1634" t="s">
        <v>1099</v>
      </c>
      <c r="B1634" t="s">
        <v>1055</v>
      </c>
      <c r="C1634" t="s">
        <v>175</v>
      </c>
      <c r="D1634" t="s">
        <v>372</v>
      </c>
      <c r="E1634" t="s">
        <v>373</v>
      </c>
      <c r="F1634">
        <v>6</v>
      </c>
      <c r="G1634" t="s">
        <v>176</v>
      </c>
      <c r="H1634">
        <v>0</v>
      </c>
      <c r="I1634">
        <v>65</v>
      </c>
      <c r="J1634" s="10">
        <v>54</v>
      </c>
      <c r="K1634" s="10">
        <f>SUMIFS(F:F,D:D,DST_123_ÜRETİM_İHTİYAÇ_RAPORU_BURAK_YENI1309[[#This Row],[ALT_KOD]])-(SUMIFS(H:H,D:D,DST_123_ÜRETİM_İHTİYAÇ_RAPORU_BURAK_YENI1309[[#This Row],[ALT_KOD]])+AVERAGEIFS(I:I,D:D,DST_123_ÜRETİM_İHTİYAÇ_RAPORU_BURAK_YENI1309[[#This Row],[ALT_KOD]])+AVERAGEIFS(L:L,D:D,DST_123_ÜRETİM_İHTİYAÇ_RAPORU_BURAK_YENI1309[[#This Row],[ALT_KOD]]))</f>
        <v>2</v>
      </c>
      <c r="L1634">
        <v>40</v>
      </c>
      <c r="M1634">
        <f>IF((DST_123_ÜRETİM_İHTİYAÇ_RAPORU_BURAK_YENI1309[[#This Row],[SATINALMA]]*DST_123_ÜRETİM_İHTİYAÇ_RAPORU_BURAK_YENI1309[[#This Row],[BIRIM_FIYATLAR]])&lt;1,VALUE("0"),DST_123_ÜRETİM_İHTİYAÇ_RAPORU_BURAK_YENI1309[[#This Row],[SATINALMA]]*DST_123_ÜRETİM_İHTİYAÇ_RAPORU_BURAK_YENI1309[[#This Row],[BIRIM_FIYATLAR]])</f>
        <v>148</v>
      </c>
      <c r="N1634">
        <v>74</v>
      </c>
      <c r="O1634" t="s">
        <v>821</v>
      </c>
      <c r="P1634">
        <v>444</v>
      </c>
      <c r="Q1634" t="s">
        <v>178</v>
      </c>
    </row>
    <row r="1635" spans="1:17" x14ac:dyDescent="0.25">
      <c r="A1635" t="s">
        <v>1099</v>
      </c>
      <c r="B1635" t="s">
        <v>1055</v>
      </c>
      <c r="C1635" t="s">
        <v>175</v>
      </c>
      <c r="D1635" t="s">
        <v>133</v>
      </c>
      <c r="E1635" t="s">
        <v>310</v>
      </c>
      <c r="F1635">
        <v>1</v>
      </c>
      <c r="G1635" t="s">
        <v>176</v>
      </c>
      <c r="H1635">
        <v>0</v>
      </c>
      <c r="I1635">
        <v>15</v>
      </c>
      <c r="J1635" s="10">
        <v>9</v>
      </c>
      <c r="K1635" s="10">
        <f>SUMIFS(F:F,D:D,DST_123_ÜRETİM_İHTİYAÇ_RAPORU_BURAK_YENI1309[[#This Row],[ALT_KOD]])-(SUMIFS(H:H,D:D,DST_123_ÜRETİM_İHTİYAÇ_RAPORU_BURAK_YENI1309[[#This Row],[ALT_KOD]])+AVERAGEIFS(I:I,D:D,DST_123_ÜRETİM_İHTİYAÇ_RAPORU_BURAK_YENI1309[[#This Row],[ALT_KOD]])+AVERAGEIFS(L:L,D:D,DST_123_ÜRETİM_İHTİYAÇ_RAPORU_BURAK_YENI1309[[#This Row],[ALT_KOD]]))</f>
        <v>-3</v>
      </c>
      <c r="L1635">
        <v>0</v>
      </c>
      <c r="M1635">
        <f>IF((DST_123_ÜRETİM_İHTİYAÇ_RAPORU_BURAK_YENI1309[[#This Row],[SATINALMA]]*DST_123_ÜRETİM_İHTİYAÇ_RAPORU_BURAK_YENI1309[[#This Row],[BIRIM_FIYATLAR]])&lt;1,VALUE("0"),DST_123_ÜRETİM_İHTİYAÇ_RAPORU_BURAK_YENI1309[[#This Row],[SATINALMA]]*DST_123_ÜRETİM_İHTİYAÇ_RAPORU_BURAK_YENI1309[[#This Row],[BIRIM_FIYATLAR]])</f>
        <v>0</v>
      </c>
      <c r="N1635">
        <v>224.46</v>
      </c>
      <c r="O1635" t="s">
        <v>826</v>
      </c>
      <c r="P1635">
        <v>224.46</v>
      </c>
      <c r="Q1635" t="s">
        <v>221</v>
      </c>
    </row>
    <row r="1636" spans="1:17" x14ac:dyDescent="0.25">
      <c r="A1636" t="s">
        <v>1150</v>
      </c>
      <c r="B1636" t="s">
        <v>1145</v>
      </c>
      <c r="C1636" t="s">
        <v>175</v>
      </c>
      <c r="D1636" t="s">
        <v>133</v>
      </c>
      <c r="E1636" t="s">
        <v>310</v>
      </c>
      <c r="F1636">
        <v>1</v>
      </c>
      <c r="G1636" t="s">
        <v>176</v>
      </c>
      <c r="H1636">
        <v>0</v>
      </c>
      <c r="I1636">
        <v>15</v>
      </c>
      <c r="J1636" s="10">
        <v>9</v>
      </c>
      <c r="K1636" s="10">
        <f>SUMIFS(F:F,D:D,DST_123_ÜRETİM_İHTİYAÇ_RAPORU_BURAK_YENI1309[[#This Row],[ALT_KOD]])-(SUMIFS(H:H,D:D,DST_123_ÜRETİM_İHTİYAÇ_RAPORU_BURAK_YENI1309[[#This Row],[ALT_KOD]])+AVERAGEIFS(I:I,D:D,DST_123_ÜRETİM_İHTİYAÇ_RAPORU_BURAK_YENI1309[[#This Row],[ALT_KOD]])+AVERAGEIFS(L:L,D:D,DST_123_ÜRETİM_İHTİYAÇ_RAPORU_BURAK_YENI1309[[#This Row],[ALT_KOD]]))</f>
        <v>-3</v>
      </c>
      <c r="L1636">
        <v>0</v>
      </c>
      <c r="M1636">
        <f>IF((DST_123_ÜRETİM_İHTİYAÇ_RAPORU_BURAK_YENI1309[[#This Row],[SATINALMA]]*DST_123_ÜRETİM_İHTİYAÇ_RAPORU_BURAK_YENI1309[[#This Row],[BIRIM_FIYATLAR]])&lt;1,VALUE("0"),DST_123_ÜRETİM_İHTİYAÇ_RAPORU_BURAK_YENI1309[[#This Row],[SATINALMA]]*DST_123_ÜRETİM_İHTİYAÇ_RAPORU_BURAK_YENI1309[[#This Row],[BIRIM_FIYATLAR]])</f>
        <v>0</v>
      </c>
      <c r="N1636">
        <v>224.46</v>
      </c>
      <c r="O1636" t="s">
        <v>826</v>
      </c>
      <c r="P1636">
        <v>224.46</v>
      </c>
      <c r="Q1636" t="s">
        <v>221</v>
      </c>
    </row>
    <row r="1637" spans="1:17" x14ac:dyDescent="0.25">
      <c r="A1637" t="s">
        <v>1196</v>
      </c>
      <c r="B1637" t="s">
        <v>1197</v>
      </c>
      <c r="C1637" t="s">
        <v>175</v>
      </c>
      <c r="D1637" t="s">
        <v>201</v>
      </c>
      <c r="E1637" t="s">
        <v>225</v>
      </c>
      <c r="F1637">
        <v>3</v>
      </c>
      <c r="G1637" t="s">
        <v>176</v>
      </c>
      <c r="H1637">
        <v>0</v>
      </c>
      <c r="I1637">
        <v>65</v>
      </c>
      <c r="J1637" s="10">
        <v>31</v>
      </c>
      <c r="K1637" s="10">
        <f>SUMIFS(F:F,D:D,DST_123_ÜRETİM_İHTİYAÇ_RAPORU_BURAK_YENI1309[[#This Row],[ALT_KOD]])-(SUMIFS(H:H,D:D,DST_123_ÜRETİM_İHTİYAÇ_RAPORU_BURAK_YENI1309[[#This Row],[ALT_KOD]])+AVERAGEIFS(I:I,D:D,DST_123_ÜRETİM_İHTİYAÇ_RAPORU_BURAK_YENI1309[[#This Row],[ALT_KOD]])+AVERAGEIFS(L:L,D:D,DST_123_ÜRETİM_İHTİYAÇ_RAPORU_BURAK_YENI1309[[#This Row],[ALT_KOD]]))</f>
        <v>-31</v>
      </c>
      <c r="L1637">
        <v>0</v>
      </c>
      <c r="M1637">
        <f>IF((DST_123_ÜRETİM_İHTİYAÇ_RAPORU_BURAK_YENI1309[[#This Row],[SATINALMA]]*DST_123_ÜRETİM_İHTİYAÇ_RAPORU_BURAK_YENI1309[[#This Row],[BIRIM_FIYATLAR]])&lt;1,VALUE("0"),DST_123_ÜRETİM_İHTİYAÇ_RAPORU_BURAK_YENI1309[[#This Row],[SATINALMA]]*DST_123_ÜRETİM_İHTİYAÇ_RAPORU_BURAK_YENI1309[[#This Row],[BIRIM_FIYATLAR]])</f>
        <v>0</v>
      </c>
      <c r="N1637">
        <v>45.5</v>
      </c>
      <c r="O1637" t="s">
        <v>504</v>
      </c>
      <c r="P1637">
        <v>136.5</v>
      </c>
      <c r="Q1637" t="s">
        <v>221</v>
      </c>
    </row>
    <row r="1638" spans="1:17" x14ac:dyDescent="0.25">
      <c r="A1638" t="s">
        <v>1196</v>
      </c>
      <c r="B1638" t="s">
        <v>1197</v>
      </c>
      <c r="C1638" t="s">
        <v>175</v>
      </c>
      <c r="D1638" t="s">
        <v>123</v>
      </c>
      <c r="E1638" t="s">
        <v>633</v>
      </c>
      <c r="F1638">
        <v>0.2</v>
      </c>
      <c r="G1638" t="s">
        <v>179</v>
      </c>
      <c r="H1638">
        <v>0</v>
      </c>
      <c r="I1638">
        <v>200</v>
      </c>
      <c r="J1638" s="10">
        <v>5.6843418860808015E-14</v>
      </c>
      <c r="K1638" s="10">
        <f>SUMIFS(F:F,D:D,DST_123_ÜRETİM_İHTİYAÇ_RAPORU_BURAK_YENI1309[[#This Row],[ALT_KOD]])-(SUMIFS(H:H,D:D,DST_123_ÜRETİM_İHTİYAÇ_RAPORU_BURAK_YENI1309[[#This Row],[ALT_KOD]])+AVERAGEIFS(I:I,D:D,DST_123_ÜRETİM_İHTİYAÇ_RAPORU_BURAK_YENI1309[[#This Row],[ALT_KOD]])+AVERAGEIFS(L:L,D:D,DST_123_ÜRETİM_İHTİYAÇ_RAPORU_BURAK_YENI1309[[#This Row],[ALT_KOD]]))</f>
        <v>-196.15</v>
      </c>
      <c r="L1638">
        <v>0</v>
      </c>
      <c r="M1638">
        <f>IF((DST_123_ÜRETİM_İHTİYAÇ_RAPORU_BURAK_YENI1309[[#This Row],[SATINALMA]]*DST_123_ÜRETİM_İHTİYAÇ_RAPORU_BURAK_YENI1309[[#This Row],[BIRIM_FIYATLAR]])&lt;1,VALUE("0"),DST_123_ÜRETİM_İHTİYAÇ_RAPORU_BURAK_YENI1309[[#This Row],[SATINALMA]]*DST_123_ÜRETİM_İHTİYAÇ_RAPORU_BURAK_YENI1309[[#This Row],[BIRIM_FIYATLAR]])</f>
        <v>0</v>
      </c>
      <c r="N1638">
        <v>2.89</v>
      </c>
      <c r="O1638" t="s">
        <v>826</v>
      </c>
      <c r="P1638">
        <v>0.57800000000000007</v>
      </c>
      <c r="Q1638" t="s">
        <v>221</v>
      </c>
    </row>
    <row r="1639" spans="1:17" x14ac:dyDescent="0.25">
      <c r="A1639" t="s">
        <v>1196</v>
      </c>
      <c r="B1639" t="s">
        <v>1197</v>
      </c>
      <c r="C1639" t="s">
        <v>175</v>
      </c>
      <c r="D1639" t="s">
        <v>133</v>
      </c>
      <c r="E1639" t="s">
        <v>310</v>
      </c>
      <c r="F1639">
        <v>1</v>
      </c>
      <c r="G1639" t="s">
        <v>176</v>
      </c>
      <c r="H1639">
        <v>0</v>
      </c>
      <c r="I1639">
        <v>15</v>
      </c>
      <c r="J1639" s="10">
        <v>9</v>
      </c>
      <c r="K1639" s="10">
        <f>SUMIFS(F:F,D:D,DST_123_ÜRETİM_İHTİYAÇ_RAPORU_BURAK_YENI1309[[#This Row],[ALT_KOD]])-(SUMIFS(H:H,D:D,DST_123_ÜRETİM_İHTİYAÇ_RAPORU_BURAK_YENI1309[[#This Row],[ALT_KOD]])+AVERAGEIFS(I:I,D:D,DST_123_ÜRETİM_İHTİYAÇ_RAPORU_BURAK_YENI1309[[#This Row],[ALT_KOD]])+AVERAGEIFS(L:L,D:D,DST_123_ÜRETİM_İHTİYAÇ_RAPORU_BURAK_YENI1309[[#This Row],[ALT_KOD]]))</f>
        <v>-3</v>
      </c>
      <c r="L1639">
        <v>0</v>
      </c>
      <c r="M1639">
        <f>IF((DST_123_ÜRETİM_İHTİYAÇ_RAPORU_BURAK_YENI1309[[#This Row],[SATINALMA]]*DST_123_ÜRETİM_İHTİYAÇ_RAPORU_BURAK_YENI1309[[#This Row],[BIRIM_FIYATLAR]])&lt;1,VALUE("0"),DST_123_ÜRETİM_İHTİYAÇ_RAPORU_BURAK_YENI1309[[#This Row],[SATINALMA]]*DST_123_ÜRETİM_İHTİYAÇ_RAPORU_BURAK_YENI1309[[#This Row],[BIRIM_FIYATLAR]])</f>
        <v>0</v>
      </c>
      <c r="N1639">
        <v>224.46</v>
      </c>
      <c r="O1639" t="s">
        <v>826</v>
      </c>
      <c r="P1639">
        <v>224.46</v>
      </c>
      <c r="Q1639" t="s">
        <v>221</v>
      </c>
    </row>
    <row r="1640" spans="1:17" x14ac:dyDescent="0.25">
      <c r="A1640" t="s">
        <v>1101</v>
      </c>
      <c r="B1640" t="s">
        <v>1102</v>
      </c>
      <c r="C1640" t="s">
        <v>175</v>
      </c>
      <c r="D1640" t="s">
        <v>126</v>
      </c>
      <c r="E1640" t="s">
        <v>127</v>
      </c>
      <c r="F1640">
        <v>50</v>
      </c>
      <c r="G1640" t="s">
        <v>179</v>
      </c>
      <c r="H1640">
        <v>0</v>
      </c>
      <c r="I1640">
        <v>0</v>
      </c>
      <c r="J1640" s="10">
        <v>2254.0000000000009</v>
      </c>
      <c r="K1640" s="10">
        <f>SUMIFS(F:F,D:D,DST_123_ÜRETİM_İHTİYAÇ_RAPORU_BURAK_YENI1309[[#This Row],[ALT_KOD]])-(SUMIFS(H:H,D:D,DST_123_ÜRETİM_İHTİYAÇ_RAPORU_BURAK_YENI1309[[#This Row],[ALT_KOD]])+AVERAGEIFS(I:I,D:D,DST_123_ÜRETİM_İHTİYAÇ_RAPORU_BURAK_YENI1309[[#This Row],[ALT_KOD]])+AVERAGEIFS(L:L,D:D,DST_123_ÜRETİM_İHTİYAÇ_RAPORU_BURAK_YENI1309[[#This Row],[ALT_KOD]]))</f>
        <v>300</v>
      </c>
      <c r="L1640">
        <v>0</v>
      </c>
      <c r="M1640">
        <f>IF((DST_123_ÜRETİM_İHTİYAÇ_RAPORU_BURAK_YENI1309[[#This Row],[SATINALMA]]*DST_123_ÜRETİM_İHTİYAÇ_RAPORU_BURAK_YENI1309[[#This Row],[BIRIM_FIYATLAR]])&lt;1,VALUE("0"),DST_123_ÜRETİM_İHTİYAÇ_RAPORU_BURAK_YENI1309[[#This Row],[SATINALMA]]*DST_123_ÜRETİM_İHTİYAÇ_RAPORU_BURAK_YENI1309[[#This Row],[BIRIM_FIYATLAR]])</f>
        <v>3110.9999999999995</v>
      </c>
      <c r="N1640">
        <v>10.37</v>
      </c>
      <c r="O1640" t="s">
        <v>223</v>
      </c>
      <c r="P1640">
        <v>518.5</v>
      </c>
      <c r="Q1640" t="s">
        <v>181</v>
      </c>
    </row>
    <row r="1641" spans="1:17" x14ac:dyDescent="0.25">
      <c r="A1641" t="s">
        <v>1101</v>
      </c>
      <c r="B1641" t="s">
        <v>1102</v>
      </c>
      <c r="C1641" t="s">
        <v>175</v>
      </c>
      <c r="D1641" t="s">
        <v>128</v>
      </c>
      <c r="E1641" t="s">
        <v>129</v>
      </c>
      <c r="F1641">
        <v>9.6300000000000008</v>
      </c>
      <c r="G1641" t="s">
        <v>185</v>
      </c>
      <c r="H1641">
        <v>0</v>
      </c>
      <c r="I1641">
        <v>0</v>
      </c>
      <c r="J1641" s="10">
        <v>260.61</v>
      </c>
      <c r="K1641" s="10">
        <f>SUMIFS(F:F,D:D,DST_123_ÜRETİM_İHTİYAÇ_RAPORU_BURAK_YENI1309[[#This Row],[ALT_KOD]])-(SUMIFS(H:H,D:D,DST_123_ÜRETİM_İHTİYAÇ_RAPORU_BURAK_YENI1309[[#This Row],[ALT_KOD]])+AVERAGEIFS(I:I,D:D,DST_123_ÜRETİM_İHTİYAÇ_RAPORU_BURAK_YENI1309[[#This Row],[ALT_KOD]])+AVERAGEIFS(L:L,D:D,DST_123_ÜRETİM_İHTİYAÇ_RAPORU_BURAK_YENI1309[[#This Row],[ALT_KOD]]))</f>
        <v>97.559999999999988</v>
      </c>
      <c r="L1641">
        <v>0</v>
      </c>
      <c r="M1641">
        <f>IF((DST_123_ÜRETİM_İHTİYAÇ_RAPORU_BURAK_YENI1309[[#This Row],[SATINALMA]]*DST_123_ÜRETİM_İHTİYAÇ_RAPORU_BURAK_YENI1309[[#This Row],[BIRIM_FIYATLAR]])&lt;1,VALUE("0"),DST_123_ÜRETİM_İHTİYAÇ_RAPORU_BURAK_YENI1309[[#This Row],[SATINALMA]]*DST_123_ÜRETİM_İHTİYAÇ_RAPORU_BURAK_YENI1309[[#This Row],[BIRIM_FIYATLAR]])</f>
        <v>13285.720799999999</v>
      </c>
      <c r="N1641">
        <v>136.18</v>
      </c>
      <c r="O1641" t="s">
        <v>252</v>
      </c>
      <c r="P1641">
        <v>1311.4134000000001</v>
      </c>
      <c r="Q1641" t="s">
        <v>183</v>
      </c>
    </row>
    <row r="1642" spans="1:17" x14ac:dyDescent="0.25">
      <c r="A1642" t="s">
        <v>1101</v>
      </c>
      <c r="B1642" t="s">
        <v>1102</v>
      </c>
      <c r="C1642" t="s">
        <v>175</v>
      </c>
      <c r="D1642" t="s">
        <v>833</v>
      </c>
      <c r="E1642" t="s">
        <v>834</v>
      </c>
      <c r="F1642">
        <v>0.5</v>
      </c>
      <c r="G1642" t="s">
        <v>179</v>
      </c>
      <c r="H1642">
        <v>0</v>
      </c>
      <c r="I1642">
        <v>0</v>
      </c>
      <c r="J1642" s="10">
        <v>36.5</v>
      </c>
      <c r="K1642" s="10">
        <f>SUMIFS(F:F,D:D,DST_123_ÜRETİM_İHTİYAÇ_RAPORU_BURAK_YENI1309[[#This Row],[ALT_KOD]])-(SUMIFS(H:H,D:D,DST_123_ÜRETİM_İHTİYAÇ_RAPORU_BURAK_YENI1309[[#This Row],[ALT_KOD]])+AVERAGEIFS(I:I,D:D,DST_123_ÜRETİM_İHTİYAÇ_RAPORU_BURAK_YENI1309[[#This Row],[ALT_KOD]])+AVERAGEIFS(L:L,D:D,DST_123_ÜRETİM_İHTİYAÇ_RAPORU_BURAK_YENI1309[[#This Row],[ALT_KOD]]))</f>
        <v>9</v>
      </c>
      <c r="L1642">
        <v>0</v>
      </c>
      <c r="M1642">
        <f>IF((DST_123_ÜRETİM_İHTİYAÇ_RAPORU_BURAK_YENI1309[[#This Row],[SATINALMA]]*DST_123_ÜRETİM_İHTİYAÇ_RAPORU_BURAK_YENI1309[[#This Row],[BIRIM_FIYATLAR]])&lt;1,VALUE("0"),DST_123_ÜRETİM_İHTİYAÇ_RAPORU_BURAK_YENI1309[[#This Row],[SATINALMA]]*DST_123_ÜRETİM_İHTİYAÇ_RAPORU_BURAK_YENI1309[[#This Row],[BIRIM_FIYATLAR]])</f>
        <v>250.29</v>
      </c>
      <c r="N1642">
        <v>27.81</v>
      </c>
      <c r="O1642" t="s">
        <v>835</v>
      </c>
      <c r="P1642">
        <v>13.904999999999999</v>
      </c>
      <c r="Q1642" t="s">
        <v>184</v>
      </c>
    </row>
    <row r="1643" spans="1:17" x14ac:dyDescent="0.25">
      <c r="A1643" t="s">
        <v>1142</v>
      </c>
      <c r="B1643" t="s">
        <v>1056</v>
      </c>
      <c r="C1643" t="s">
        <v>175</v>
      </c>
      <c r="D1643" t="s">
        <v>573</v>
      </c>
      <c r="E1643" t="s">
        <v>574</v>
      </c>
      <c r="F1643">
        <v>1</v>
      </c>
      <c r="G1643" t="s">
        <v>176</v>
      </c>
      <c r="H1643">
        <v>0</v>
      </c>
      <c r="I1643">
        <v>24</v>
      </c>
      <c r="J1643" s="10">
        <v>-3.5527136788005009E-14</v>
      </c>
      <c r="K1643" s="10">
        <f>SUMIFS(F:F,D:D,DST_123_ÜRETİM_İHTİYAÇ_RAPORU_BURAK_YENI1309[[#This Row],[ALT_KOD]])-(SUMIFS(H:H,D:D,DST_123_ÜRETİM_İHTİYAÇ_RAPORU_BURAK_YENI1309[[#This Row],[ALT_KOD]])+AVERAGEIFS(I:I,D:D,DST_123_ÜRETİM_İHTİYAÇ_RAPORU_BURAK_YENI1309[[#This Row],[ALT_KOD]])+AVERAGEIFS(L:L,D:D,DST_123_ÜRETİM_İHTİYAÇ_RAPORU_BURAK_YENI1309[[#This Row],[ALT_KOD]]))</f>
        <v>-7.600000000000005</v>
      </c>
      <c r="L1643">
        <v>0</v>
      </c>
      <c r="M1643">
        <f>IF((DST_123_ÜRETİM_İHTİYAÇ_RAPORU_BURAK_YENI1309[[#This Row],[SATINALMA]]*DST_123_ÜRETİM_İHTİYAÇ_RAPORU_BURAK_YENI1309[[#This Row],[BIRIM_FIYATLAR]])&lt;1,VALUE("0"),DST_123_ÜRETİM_İHTİYAÇ_RAPORU_BURAK_YENI1309[[#This Row],[SATINALMA]]*DST_123_ÜRETİM_İHTİYAÇ_RAPORU_BURAK_YENI1309[[#This Row],[BIRIM_FIYATLAR]])</f>
        <v>0</v>
      </c>
      <c r="N1643">
        <v>120</v>
      </c>
      <c r="O1643" t="s">
        <v>240</v>
      </c>
      <c r="P1643">
        <v>120</v>
      </c>
      <c r="Q1643" t="s">
        <v>183</v>
      </c>
    </row>
    <row r="1644" spans="1:17" x14ac:dyDescent="0.25">
      <c r="A1644" t="s">
        <v>1097</v>
      </c>
      <c r="B1644" t="s">
        <v>1055</v>
      </c>
      <c r="C1644" t="s">
        <v>175</v>
      </c>
      <c r="D1644" t="s">
        <v>573</v>
      </c>
      <c r="E1644" t="s">
        <v>574</v>
      </c>
      <c r="F1644">
        <v>0.7</v>
      </c>
      <c r="G1644" t="s">
        <v>176</v>
      </c>
      <c r="H1644">
        <v>0</v>
      </c>
      <c r="I1644">
        <v>24</v>
      </c>
      <c r="J1644" s="10">
        <v>-3.5527136788005009E-14</v>
      </c>
      <c r="K1644" s="10">
        <f>SUMIFS(F:F,D:D,DST_123_ÜRETİM_İHTİYAÇ_RAPORU_BURAK_YENI1309[[#This Row],[ALT_KOD]])-(SUMIFS(H:H,D:D,DST_123_ÜRETİM_İHTİYAÇ_RAPORU_BURAK_YENI1309[[#This Row],[ALT_KOD]])+AVERAGEIFS(I:I,D:D,DST_123_ÜRETİM_İHTİYAÇ_RAPORU_BURAK_YENI1309[[#This Row],[ALT_KOD]])+AVERAGEIFS(L:L,D:D,DST_123_ÜRETİM_İHTİYAÇ_RAPORU_BURAK_YENI1309[[#This Row],[ALT_KOD]]))</f>
        <v>-7.600000000000005</v>
      </c>
      <c r="L1644">
        <v>0</v>
      </c>
      <c r="M1644">
        <f>IF((DST_123_ÜRETİM_İHTİYAÇ_RAPORU_BURAK_YENI1309[[#This Row],[SATINALMA]]*DST_123_ÜRETİM_İHTİYAÇ_RAPORU_BURAK_YENI1309[[#This Row],[BIRIM_FIYATLAR]])&lt;1,VALUE("0"),DST_123_ÜRETİM_İHTİYAÇ_RAPORU_BURAK_YENI1309[[#This Row],[SATINALMA]]*DST_123_ÜRETİM_İHTİYAÇ_RAPORU_BURAK_YENI1309[[#This Row],[BIRIM_FIYATLAR]])</f>
        <v>0</v>
      </c>
      <c r="N1644">
        <v>120</v>
      </c>
      <c r="O1644" t="s">
        <v>240</v>
      </c>
      <c r="P1644">
        <v>84</v>
      </c>
      <c r="Q1644" t="s">
        <v>183</v>
      </c>
    </row>
    <row r="1645" spans="1:17" x14ac:dyDescent="0.25">
      <c r="A1645" t="s">
        <v>1098</v>
      </c>
      <c r="B1645" t="s">
        <v>1096</v>
      </c>
      <c r="C1645" t="s">
        <v>175</v>
      </c>
      <c r="D1645" t="s">
        <v>2</v>
      </c>
      <c r="E1645" t="s">
        <v>423</v>
      </c>
      <c r="F1645">
        <v>2</v>
      </c>
      <c r="G1645" t="s">
        <v>176</v>
      </c>
      <c r="H1645">
        <v>0</v>
      </c>
      <c r="I1645">
        <v>20</v>
      </c>
      <c r="J1645" s="10">
        <v>20</v>
      </c>
      <c r="K1645" s="10">
        <f>SUMIFS(F:F,D:D,DST_123_ÜRETİM_İHTİYAÇ_RAPORU_BURAK_YENI1309[[#This Row],[ALT_KOD]])-(SUMIFS(H:H,D:D,DST_123_ÜRETİM_İHTİYAÇ_RAPORU_BURAK_YENI1309[[#This Row],[ALT_KOD]])+AVERAGEIFS(I:I,D:D,DST_123_ÜRETİM_İHTİYAÇ_RAPORU_BURAK_YENI1309[[#This Row],[ALT_KOD]])+AVERAGEIFS(L:L,D:D,DST_123_ÜRETİM_İHTİYAÇ_RAPORU_BURAK_YENI1309[[#This Row],[ALT_KOD]]))</f>
        <v>-6</v>
      </c>
      <c r="L1645">
        <v>10</v>
      </c>
      <c r="M1645">
        <f>IF((DST_123_ÜRETİM_İHTİYAÇ_RAPORU_BURAK_YENI1309[[#This Row],[SATINALMA]]*DST_123_ÜRETİM_İHTİYAÇ_RAPORU_BURAK_YENI1309[[#This Row],[BIRIM_FIYATLAR]])&lt;1,VALUE("0"),DST_123_ÜRETİM_İHTİYAÇ_RAPORU_BURAK_YENI1309[[#This Row],[SATINALMA]]*DST_123_ÜRETİM_İHTİYAÇ_RAPORU_BURAK_YENI1309[[#This Row],[BIRIM_FIYATLAR]])</f>
        <v>0</v>
      </c>
      <c r="N1645">
        <v>400</v>
      </c>
      <c r="O1645" t="s">
        <v>217</v>
      </c>
      <c r="P1645">
        <v>800</v>
      </c>
      <c r="Q1645" t="s">
        <v>221</v>
      </c>
    </row>
    <row r="1646" spans="1:17" x14ac:dyDescent="0.25">
      <c r="A1646" t="s">
        <v>1099</v>
      </c>
      <c r="B1646" t="s">
        <v>1055</v>
      </c>
      <c r="C1646" t="s">
        <v>175</v>
      </c>
      <c r="D1646" t="s">
        <v>126</v>
      </c>
      <c r="E1646" t="s">
        <v>127</v>
      </c>
      <c r="F1646">
        <v>50</v>
      </c>
      <c r="G1646" t="s">
        <v>179</v>
      </c>
      <c r="H1646">
        <v>0</v>
      </c>
      <c r="I1646">
        <v>0</v>
      </c>
      <c r="J1646" s="10">
        <v>2254.0000000000009</v>
      </c>
      <c r="K1646" s="10">
        <f>SUMIFS(F:F,D:D,DST_123_ÜRETİM_İHTİYAÇ_RAPORU_BURAK_YENI1309[[#This Row],[ALT_KOD]])-(SUMIFS(H:H,D:D,DST_123_ÜRETİM_İHTİYAÇ_RAPORU_BURAK_YENI1309[[#This Row],[ALT_KOD]])+AVERAGEIFS(I:I,D:D,DST_123_ÜRETİM_İHTİYAÇ_RAPORU_BURAK_YENI1309[[#This Row],[ALT_KOD]])+AVERAGEIFS(L:L,D:D,DST_123_ÜRETİM_İHTİYAÇ_RAPORU_BURAK_YENI1309[[#This Row],[ALT_KOD]]))</f>
        <v>300</v>
      </c>
      <c r="L1646">
        <v>0</v>
      </c>
      <c r="M1646">
        <f>IF((DST_123_ÜRETİM_İHTİYAÇ_RAPORU_BURAK_YENI1309[[#This Row],[SATINALMA]]*DST_123_ÜRETİM_İHTİYAÇ_RAPORU_BURAK_YENI1309[[#This Row],[BIRIM_FIYATLAR]])&lt;1,VALUE("0"),DST_123_ÜRETİM_İHTİYAÇ_RAPORU_BURAK_YENI1309[[#This Row],[SATINALMA]]*DST_123_ÜRETİM_İHTİYAÇ_RAPORU_BURAK_YENI1309[[#This Row],[BIRIM_FIYATLAR]])</f>
        <v>3110.9999999999995</v>
      </c>
      <c r="N1646">
        <v>10.37</v>
      </c>
      <c r="O1646" t="s">
        <v>223</v>
      </c>
      <c r="P1646">
        <v>518.5</v>
      </c>
      <c r="Q1646" t="s">
        <v>181</v>
      </c>
    </row>
    <row r="1647" spans="1:17" x14ac:dyDescent="0.25">
      <c r="A1647" t="s">
        <v>1196</v>
      </c>
      <c r="B1647" t="s">
        <v>1197</v>
      </c>
      <c r="C1647" t="s">
        <v>175</v>
      </c>
      <c r="D1647" t="s">
        <v>126</v>
      </c>
      <c r="E1647" t="s">
        <v>127</v>
      </c>
      <c r="F1647">
        <v>50</v>
      </c>
      <c r="G1647" t="s">
        <v>179</v>
      </c>
      <c r="H1647">
        <v>0</v>
      </c>
      <c r="I1647">
        <v>0</v>
      </c>
      <c r="J1647" s="10">
        <v>2254.0000000000009</v>
      </c>
      <c r="K1647" s="10">
        <f>SUMIFS(F:F,D:D,DST_123_ÜRETİM_İHTİYAÇ_RAPORU_BURAK_YENI1309[[#This Row],[ALT_KOD]])-(SUMIFS(H:H,D:D,DST_123_ÜRETİM_İHTİYAÇ_RAPORU_BURAK_YENI1309[[#This Row],[ALT_KOD]])+AVERAGEIFS(I:I,D:D,DST_123_ÜRETİM_İHTİYAÇ_RAPORU_BURAK_YENI1309[[#This Row],[ALT_KOD]])+AVERAGEIFS(L:L,D:D,DST_123_ÜRETİM_İHTİYAÇ_RAPORU_BURAK_YENI1309[[#This Row],[ALT_KOD]]))</f>
        <v>300</v>
      </c>
      <c r="L1647">
        <v>0</v>
      </c>
      <c r="M1647">
        <f>IF((DST_123_ÜRETİM_İHTİYAÇ_RAPORU_BURAK_YENI1309[[#This Row],[SATINALMA]]*DST_123_ÜRETİM_İHTİYAÇ_RAPORU_BURAK_YENI1309[[#This Row],[BIRIM_FIYATLAR]])&lt;1,VALUE("0"),DST_123_ÜRETİM_İHTİYAÇ_RAPORU_BURAK_YENI1309[[#This Row],[SATINALMA]]*DST_123_ÜRETİM_İHTİYAÇ_RAPORU_BURAK_YENI1309[[#This Row],[BIRIM_FIYATLAR]])</f>
        <v>3110.9999999999995</v>
      </c>
      <c r="N1647">
        <v>10.37</v>
      </c>
      <c r="O1647" t="s">
        <v>223</v>
      </c>
      <c r="P1647">
        <v>518.5</v>
      </c>
      <c r="Q1647" t="s">
        <v>181</v>
      </c>
    </row>
    <row r="1648" spans="1:17" x14ac:dyDescent="0.25">
      <c r="A1648" t="s">
        <v>1196</v>
      </c>
      <c r="B1648" t="s">
        <v>1197</v>
      </c>
      <c r="C1648" t="s">
        <v>175</v>
      </c>
      <c r="D1648" t="s">
        <v>128</v>
      </c>
      <c r="E1648" t="s">
        <v>129</v>
      </c>
      <c r="F1648">
        <v>7</v>
      </c>
      <c r="G1648" t="s">
        <v>185</v>
      </c>
      <c r="H1648">
        <v>0</v>
      </c>
      <c r="I1648">
        <v>0</v>
      </c>
      <c r="J1648" s="10">
        <v>260.61</v>
      </c>
      <c r="K1648" s="10">
        <f>SUMIFS(F:F,D:D,DST_123_ÜRETİM_İHTİYAÇ_RAPORU_BURAK_YENI1309[[#This Row],[ALT_KOD]])-(SUMIFS(H:H,D:D,DST_123_ÜRETİM_İHTİYAÇ_RAPORU_BURAK_YENI1309[[#This Row],[ALT_KOD]])+AVERAGEIFS(I:I,D:D,DST_123_ÜRETİM_İHTİYAÇ_RAPORU_BURAK_YENI1309[[#This Row],[ALT_KOD]])+AVERAGEIFS(L:L,D:D,DST_123_ÜRETİM_İHTİYAÇ_RAPORU_BURAK_YENI1309[[#This Row],[ALT_KOD]]))</f>
        <v>97.559999999999988</v>
      </c>
      <c r="L1648">
        <v>0</v>
      </c>
      <c r="M1648">
        <f>IF((DST_123_ÜRETİM_İHTİYAÇ_RAPORU_BURAK_YENI1309[[#This Row],[SATINALMA]]*DST_123_ÜRETİM_İHTİYAÇ_RAPORU_BURAK_YENI1309[[#This Row],[BIRIM_FIYATLAR]])&lt;1,VALUE("0"),DST_123_ÜRETİM_İHTİYAÇ_RAPORU_BURAK_YENI1309[[#This Row],[SATINALMA]]*DST_123_ÜRETİM_İHTİYAÇ_RAPORU_BURAK_YENI1309[[#This Row],[BIRIM_FIYATLAR]])</f>
        <v>13285.720799999999</v>
      </c>
      <c r="N1648">
        <v>136.18</v>
      </c>
      <c r="O1648" t="s">
        <v>252</v>
      </c>
      <c r="P1648">
        <v>953.26</v>
      </c>
      <c r="Q1648" t="s">
        <v>183</v>
      </c>
    </row>
    <row r="1649" spans="1:17" x14ac:dyDescent="0.25">
      <c r="A1649" t="s">
        <v>1099</v>
      </c>
      <c r="B1649" t="s">
        <v>1055</v>
      </c>
      <c r="C1649" t="s">
        <v>175</v>
      </c>
      <c r="D1649" t="s">
        <v>128</v>
      </c>
      <c r="E1649" t="s">
        <v>129</v>
      </c>
      <c r="F1649">
        <v>9.6300000000000008</v>
      </c>
      <c r="G1649" t="s">
        <v>185</v>
      </c>
      <c r="H1649">
        <v>0</v>
      </c>
      <c r="I1649">
        <v>0</v>
      </c>
      <c r="J1649" s="10">
        <v>260.61</v>
      </c>
      <c r="K1649" s="10">
        <f>SUMIFS(F:F,D:D,DST_123_ÜRETİM_İHTİYAÇ_RAPORU_BURAK_YENI1309[[#This Row],[ALT_KOD]])-(SUMIFS(H:H,D:D,DST_123_ÜRETİM_İHTİYAÇ_RAPORU_BURAK_YENI1309[[#This Row],[ALT_KOD]])+AVERAGEIFS(I:I,D:D,DST_123_ÜRETİM_İHTİYAÇ_RAPORU_BURAK_YENI1309[[#This Row],[ALT_KOD]])+AVERAGEIFS(L:L,D:D,DST_123_ÜRETİM_İHTİYAÇ_RAPORU_BURAK_YENI1309[[#This Row],[ALT_KOD]]))</f>
        <v>97.559999999999988</v>
      </c>
      <c r="L1649">
        <v>0</v>
      </c>
      <c r="M1649">
        <f>IF((DST_123_ÜRETİM_İHTİYAÇ_RAPORU_BURAK_YENI1309[[#This Row],[SATINALMA]]*DST_123_ÜRETİM_İHTİYAÇ_RAPORU_BURAK_YENI1309[[#This Row],[BIRIM_FIYATLAR]])&lt;1,VALUE("0"),DST_123_ÜRETİM_İHTİYAÇ_RAPORU_BURAK_YENI1309[[#This Row],[SATINALMA]]*DST_123_ÜRETİM_İHTİYAÇ_RAPORU_BURAK_YENI1309[[#This Row],[BIRIM_FIYATLAR]])</f>
        <v>13285.720799999999</v>
      </c>
      <c r="N1649">
        <v>136.18</v>
      </c>
      <c r="O1649" t="s">
        <v>252</v>
      </c>
      <c r="P1649">
        <v>1311.4134000000001</v>
      </c>
      <c r="Q1649" t="s">
        <v>183</v>
      </c>
    </row>
    <row r="1650" spans="1:17" x14ac:dyDescent="0.25">
      <c r="A1650" t="s">
        <v>1196</v>
      </c>
      <c r="B1650" t="s">
        <v>1197</v>
      </c>
      <c r="C1650" t="s">
        <v>175</v>
      </c>
      <c r="D1650" t="s">
        <v>833</v>
      </c>
      <c r="E1650" t="s">
        <v>834</v>
      </c>
      <c r="F1650">
        <v>0.5</v>
      </c>
      <c r="G1650" t="s">
        <v>179</v>
      </c>
      <c r="H1650">
        <v>0</v>
      </c>
      <c r="I1650">
        <v>0</v>
      </c>
      <c r="J1650" s="10">
        <v>36.5</v>
      </c>
      <c r="K1650" s="10">
        <f>SUMIFS(F:F,D:D,DST_123_ÜRETİM_İHTİYAÇ_RAPORU_BURAK_YENI1309[[#This Row],[ALT_KOD]])-(SUMIFS(H:H,D:D,DST_123_ÜRETİM_İHTİYAÇ_RAPORU_BURAK_YENI1309[[#This Row],[ALT_KOD]])+AVERAGEIFS(I:I,D:D,DST_123_ÜRETİM_İHTİYAÇ_RAPORU_BURAK_YENI1309[[#This Row],[ALT_KOD]])+AVERAGEIFS(L:L,D:D,DST_123_ÜRETİM_İHTİYAÇ_RAPORU_BURAK_YENI1309[[#This Row],[ALT_KOD]]))</f>
        <v>9</v>
      </c>
      <c r="L1650">
        <v>0</v>
      </c>
      <c r="M1650">
        <f>IF((DST_123_ÜRETİM_İHTİYAÇ_RAPORU_BURAK_YENI1309[[#This Row],[SATINALMA]]*DST_123_ÜRETİM_İHTİYAÇ_RAPORU_BURAK_YENI1309[[#This Row],[BIRIM_FIYATLAR]])&lt;1,VALUE("0"),DST_123_ÜRETİM_İHTİYAÇ_RAPORU_BURAK_YENI1309[[#This Row],[SATINALMA]]*DST_123_ÜRETİM_İHTİYAÇ_RAPORU_BURAK_YENI1309[[#This Row],[BIRIM_FIYATLAR]])</f>
        <v>250.29</v>
      </c>
      <c r="N1650">
        <v>27.81</v>
      </c>
      <c r="O1650" t="s">
        <v>835</v>
      </c>
      <c r="P1650">
        <v>13.904999999999999</v>
      </c>
      <c r="Q1650" t="s">
        <v>184</v>
      </c>
    </row>
    <row r="1651" spans="1:17" x14ac:dyDescent="0.25">
      <c r="A1651" t="s">
        <v>1100</v>
      </c>
      <c r="B1651" t="s">
        <v>1058</v>
      </c>
      <c r="C1651" t="s">
        <v>175</v>
      </c>
      <c r="D1651" t="s">
        <v>290</v>
      </c>
      <c r="E1651" t="s">
        <v>291</v>
      </c>
      <c r="F1651">
        <v>12</v>
      </c>
      <c r="G1651" t="s">
        <v>176</v>
      </c>
      <c r="H1651">
        <v>12</v>
      </c>
      <c r="I1651">
        <v>125</v>
      </c>
      <c r="J1651" s="10">
        <v>54</v>
      </c>
      <c r="K1651" s="10">
        <f>SUMIFS(F:F,D:D,DST_123_ÜRETİM_İHTİYAÇ_RAPORU_BURAK_YENI1309[[#This Row],[ALT_KOD]])-(SUMIFS(H:H,D:D,DST_123_ÜRETİM_İHTİYAÇ_RAPORU_BURAK_YENI1309[[#This Row],[ALT_KOD]])+AVERAGEIFS(I:I,D:D,DST_123_ÜRETİM_İHTİYAÇ_RAPORU_BURAK_YENI1309[[#This Row],[ALT_KOD]])+AVERAGEIFS(L:L,D:D,DST_123_ÜRETİM_İHTİYAÇ_RAPORU_BURAK_YENI1309[[#This Row],[ALT_KOD]]))</f>
        <v>-49</v>
      </c>
      <c r="L1651">
        <v>0</v>
      </c>
      <c r="M1651">
        <f>IF((DST_123_ÜRETİM_İHTİYAÇ_RAPORU_BURAK_YENI1309[[#This Row],[SATINALMA]]*DST_123_ÜRETİM_İHTİYAÇ_RAPORU_BURAK_YENI1309[[#This Row],[BIRIM_FIYATLAR]])&lt;1,VALUE("0"),DST_123_ÜRETİM_İHTİYAÇ_RAPORU_BURAK_YENI1309[[#This Row],[SATINALMA]]*DST_123_ÜRETİM_İHTİYAÇ_RAPORU_BURAK_YENI1309[[#This Row],[BIRIM_FIYATLAR]])</f>
        <v>0</v>
      </c>
      <c r="N1651">
        <v>3.75</v>
      </c>
      <c r="O1651" t="s">
        <v>628</v>
      </c>
      <c r="P1651">
        <v>45</v>
      </c>
      <c r="Q1651" t="s">
        <v>180</v>
      </c>
    </row>
    <row r="1652" spans="1:17" x14ac:dyDescent="0.25">
      <c r="A1652" t="s">
        <v>1098</v>
      </c>
      <c r="B1652" t="s">
        <v>1096</v>
      </c>
      <c r="C1652" t="s">
        <v>175</v>
      </c>
      <c r="D1652" t="s">
        <v>458</v>
      </c>
      <c r="E1652" t="s">
        <v>459</v>
      </c>
      <c r="F1652">
        <v>0.12000000000000001</v>
      </c>
      <c r="G1652" t="s">
        <v>176</v>
      </c>
      <c r="H1652">
        <v>0</v>
      </c>
      <c r="I1652">
        <v>6</v>
      </c>
      <c r="J1652" s="10">
        <v>22.530000000000012</v>
      </c>
      <c r="K1652" s="10">
        <f>SUMIFS(F:F,D:D,DST_123_ÜRETİM_İHTİYAÇ_RAPORU_BURAK_YENI1309[[#This Row],[ALT_KOD]])-(SUMIFS(H:H,D:D,DST_123_ÜRETİM_İHTİYAÇ_RAPORU_BURAK_YENI1309[[#This Row],[ALT_KOD]])+AVERAGEIFS(I:I,D:D,DST_123_ÜRETİM_İHTİYAÇ_RAPORU_BURAK_YENI1309[[#This Row],[ALT_KOD]])+AVERAGEIFS(L:L,D:D,DST_123_ÜRETİM_İHTİYAÇ_RAPORU_BURAK_YENI1309[[#This Row],[ALT_KOD]]))</f>
        <v>-5.5</v>
      </c>
      <c r="L1652">
        <v>0</v>
      </c>
      <c r="M1652">
        <f>IF((DST_123_ÜRETİM_İHTİYAÇ_RAPORU_BURAK_YENI1309[[#This Row],[SATINALMA]]*DST_123_ÜRETİM_İHTİYAÇ_RAPORU_BURAK_YENI1309[[#This Row],[BIRIM_FIYATLAR]])&lt;1,VALUE("0"),DST_123_ÜRETİM_İHTİYAÇ_RAPORU_BURAK_YENI1309[[#This Row],[SATINALMA]]*DST_123_ÜRETİM_İHTİYAÇ_RAPORU_BURAK_YENI1309[[#This Row],[BIRIM_FIYATLAR]])</f>
        <v>0</v>
      </c>
      <c r="N1652">
        <v>133</v>
      </c>
      <c r="O1652" t="s">
        <v>216</v>
      </c>
      <c r="P1652">
        <v>15.96</v>
      </c>
      <c r="Q1652" t="s">
        <v>183</v>
      </c>
    </row>
    <row r="1653" spans="1:17" x14ac:dyDescent="0.25">
      <c r="A1653" t="s">
        <v>1196</v>
      </c>
      <c r="B1653" t="s">
        <v>1197</v>
      </c>
      <c r="C1653" t="s">
        <v>175</v>
      </c>
      <c r="D1653" t="s">
        <v>118</v>
      </c>
      <c r="E1653" t="s">
        <v>119</v>
      </c>
      <c r="F1653">
        <v>6</v>
      </c>
      <c r="G1653" t="s">
        <v>176</v>
      </c>
      <c r="H1653">
        <v>0</v>
      </c>
      <c r="I1653">
        <v>84</v>
      </c>
      <c r="J1653" s="10">
        <v>36</v>
      </c>
      <c r="K1653" s="10">
        <f>SUMIFS(F:F,D:D,DST_123_ÜRETİM_İHTİYAÇ_RAPORU_BURAK_YENI1309[[#This Row],[ALT_KOD]])-(SUMIFS(H:H,D:D,DST_123_ÜRETİM_İHTİYAÇ_RAPORU_BURAK_YENI1309[[#This Row],[ALT_KOD]])+AVERAGEIFS(I:I,D:D,DST_123_ÜRETİM_İHTİYAÇ_RAPORU_BURAK_YENI1309[[#This Row],[ALT_KOD]])+AVERAGEIFS(L:L,D:D,DST_123_ÜRETİM_İHTİYAÇ_RAPORU_BURAK_YENI1309[[#This Row],[ALT_KOD]]))</f>
        <v>22</v>
      </c>
      <c r="L1653">
        <v>0</v>
      </c>
      <c r="M1653">
        <f>IF((DST_123_ÜRETİM_İHTİYAÇ_RAPORU_BURAK_YENI1309[[#This Row],[SATINALMA]]*DST_123_ÜRETİM_İHTİYAÇ_RAPORU_BURAK_YENI1309[[#This Row],[BIRIM_FIYATLAR]])&lt;1,VALUE("0"),DST_123_ÜRETİM_İHTİYAÇ_RAPORU_BURAK_YENI1309[[#This Row],[SATINALMA]]*DST_123_ÜRETİM_İHTİYAÇ_RAPORU_BURAK_YENI1309[[#This Row],[BIRIM_FIYATLAR]])</f>
        <v>440</v>
      </c>
      <c r="N1653">
        <v>20</v>
      </c>
      <c r="O1653" t="s">
        <v>240</v>
      </c>
      <c r="P1653">
        <v>120</v>
      </c>
      <c r="Q1653" t="s">
        <v>178</v>
      </c>
    </row>
    <row r="1654" spans="1:17" x14ac:dyDescent="0.25">
      <c r="A1654" t="s">
        <v>1098</v>
      </c>
      <c r="B1654" t="s">
        <v>1096</v>
      </c>
      <c r="C1654" t="s">
        <v>175</v>
      </c>
      <c r="D1654" t="s">
        <v>118</v>
      </c>
      <c r="E1654" t="s">
        <v>119</v>
      </c>
      <c r="F1654">
        <v>4</v>
      </c>
      <c r="G1654" t="s">
        <v>176</v>
      </c>
      <c r="H1654">
        <v>0</v>
      </c>
      <c r="I1654">
        <v>84</v>
      </c>
      <c r="J1654" s="10">
        <v>36</v>
      </c>
      <c r="K1654" s="10">
        <f>SUMIFS(F:F,D:D,DST_123_ÜRETİM_İHTİYAÇ_RAPORU_BURAK_YENI1309[[#This Row],[ALT_KOD]])-(SUMIFS(H:H,D:D,DST_123_ÜRETİM_İHTİYAÇ_RAPORU_BURAK_YENI1309[[#This Row],[ALT_KOD]])+AVERAGEIFS(I:I,D:D,DST_123_ÜRETİM_İHTİYAÇ_RAPORU_BURAK_YENI1309[[#This Row],[ALT_KOD]])+AVERAGEIFS(L:L,D:D,DST_123_ÜRETİM_İHTİYAÇ_RAPORU_BURAK_YENI1309[[#This Row],[ALT_KOD]]))</f>
        <v>22</v>
      </c>
      <c r="L1654">
        <v>0</v>
      </c>
      <c r="M1654">
        <f>IF((DST_123_ÜRETİM_İHTİYAÇ_RAPORU_BURAK_YENI1309[[#This Row],[SATINALMA]]*DST_123_ÜRETİM_İHTİYAÇ_RAPORU_BURAK_YENI1309[[#This Row],[BIRIM_FIYATLAR]])&lt;1,VALUE("0"),DST_123_ÜRETİM_İHTİYAÇ_RAPORU_BURAK_YENI1309[[#This Row],[SATINALMA]]*DST_123_ÜRETİM_İHTİYAÇ_RAPORU_BURAK_YENI1309[[#This Row],[BIRIM_FIYATLAR]])</f>
        <v>440</v>
      </c>
      <c r="N1654">
        <v>20</v>
      </c>
      <c r="O1654" t="s">
        <v>240</v>
      </c>
      <c r="P1654">
        <v>80</v>
      </c>
      <c r="Q1654" t="s">
        <v>178</v>
      </c>
    </row>
    <row r="1655" spans="1:17" x14ac:dyDescent="0.25">
      <c r="A1655" t="s">
        <v>1098</v>
      </c>
      <c r="B1655" t="s">
        <v>1096</v>
      </c>
      <c r="C1655" t="s">
        <v>175</v>
      </c>
      <c r="D1655" t="s">
        <v>52</v>
      </c>
      <c r="E1655" t="s">
        <v>53</v>
      </c>
      <c r="F1655">
        <v>1</v>
      </c>
      <c r="G1655" t="s">
        <v>176</v>
      </c>
      <c r="H1655">
        <v>0</v>
      </c>
      <c r="I1655">
        <v>5</v>
      </c>
      <c r="J1655" s="10">
        <v>10</v>
      </c>
      <c r="K1655" s="10">
        <f>SUMIFS(F:F,D:D,DST_123_ÜRETİM_İHTİYAÇ_RAPORU_BURAK_YENI1309[[#This Row],[ALT_KOD]])-(SUMIFS(H:H,D:D,DST_123_ÜRETİM_İHTİYAÇ_RAPORU_BURAK_YENI1309[[#This Row],[ALT_KOD]])+AVERAGEIFS(I:I,D:D,DST_123_ÜRETİM_İHTİYAÇ_RAPORU_BURAK_YENI1309[[#This Row],[ALT_KOD]])+AVERAGEIFS(L:L,D:D,DST_123_ÜRETİM_İHTİYAÇ_RAPORU_BURAK_YENI1309[[#This Row],[ALT_KOD]]))</f>
        <v>7</v>
      </c>
      <c r="L1655">
        <v>0</v>
      </c>
      <c r="M1655">
        <f>IF((DST_123_ÜRETİM_İHTİYAÇ_RAPORU_BURAK_YENI1309[[#This Row],[SATINALMA]]*DST_123_ÜRETİM_İHTİYAÇ_RAPORU_BURAK_YENI1309[[#This Row],[BIRIM_FIYATLAR]])&lt;1,VALUE("0"),DST_123_ÜRETİM_İHTİYAÇ_RAPORU_BURAK_YENI1309[[#This Row],[SATINALMA]]*DST_123_ÜRETİM_İHTİYAÇ_RAPORU_BURAK_YENI1309[[#This Row],[BIRIM_FIYATLAR]])</f>
        <v>85641.010000000009</v>
      </c>
      <c r="N1655">
        <v>12234.43</v>
      </c>
      <c r="O1655" t="s">
        <v>215</v>
      </c>
      <c r="P1655">
        <v>12234.43</v>
      </c>
      <c r="Q1655" t="s">
        <v>221</v>
      </c>
    </row>
    <row r="1656" spans="1:17" x14ac:dyDescent="0.25">
      <c r="A1656" t="s">
        <v>1095</v>
      </c>
      <c r="B1656" t="s">
        <v>1096</v>
      </c>
      <c r="C1656" t="s">
        <v>175</v>
      </c>
      <c r="D1656" t="s">
        <v>866</v>
      </c>
      <c r="E1656" t="s">
        <v>867</v>
      </c>
      <c r="F1656">
        <v>8</v>
      </c>
      <c r="G1656" t="s">
        <v>176</v>
      </c>
      <c r="H1656">
        <v>0</v>
      </c>
      <c r="I1656">
        <v>415</v>
      </c>
      <c r="J1656" s="10">
        <v>0</v>
      </c>
      <c r="K1656" s="10">
        <f>SUMIFS(F:F,D:D,DST_123_ÜRETİM_İHTİYAÇ_RAPORU_BURAK_YENI1309[[#This Row],[ALT_KOD]])-(SUMIFS(H:H,D:D,DST_123_ÜRETİM_İHTİYAÇ_RAPORU_BURAK_YENI1309[[#This Row],[ALT_KOD]])+AVERAGEIFS(I:I,D:D,DST_123_ÜRETİM_İHTİYAÇ_RAPORU_BURAK_YENI1309[[#This Row],[ALT_KOD]])+AVERAGEIFS(L:L,D:D,DST_123_ÜRETİM_İHTİYAÇ_RAPORU_BURAK_YENI1309[[#This Row],[ALT_KOD]]))</f>
        <v>-393</v>
      </c>
      <c r="L1656">
        <v>0</v>
      </c>
      <c r="M1656">
        <f>IF((DST_123_ÜRETİM_İHTİYAÇ_RAPORU_BURAK_YENI1309[[#This Row],[SATINALMA]]*DST_123_ÜRETİM_İHTİYAÇ_RAPORU_BURAK_YENI1309[[#This Row],[BIRIM_FIYATLAR]])&lt;1,VALUE("0"),DST_123_ÜRETİM_İHTİYAÇ_RAPORU_BURAK_YENI1309[[#This Row],[SATINALMA]]*DST_123_ÜRETİM_İHTİYAÇ_RAPORU_BURAK_YENI1309[[#This Row],[BIRIM_FIYATLAR]])</f>
        <v>0</v>
      </c>
      <c r="N1656">
        <v>4.25</v>
      </c>
      <c r="O1656" t="s">
        <v>240</v>
      </c>
      <c r="P1656">
        <v>34</v>
      </c>
      <c r="Q1656" t="s">
        <v>178</v>
      </c>
    </row>
    <row r="1657" spans="1:17" x14ac:dyDescent="0.25">
      <c r="A1657" t="s">
        <v>1150</v>
      </c>
      <c r="B1657" t="s">
        <v>1145</v>
      </c>
      <c r="C1657" t="s">
        <v>175</v>
      </c>
      <c r="D1657" t="s">
        <v>259</v>
      </c>
      <c r="E1657" t="s">
        <v>260</v>
      </c>
      <c r="F1657">
        <v>0.7</v>
      </c>
      <c r="G1657" t="s">
        <v>176</v>
      </c>
      <c r="H1657">
        <v>0</v>
      </c>
      <c r="I1657">
        <v>2</v>
      </c>
      <c r="J1657" s="10">
        <v>3.3000000000000052</v>
      </c>
      <c r="K1657" s="10">
        <f>SUMIFS(F:F,D:D,DST_123_ÜRETİM_İHTİYAÇ_RAPORU_BURAK_YENI1309[[#This Row],[ALT_KOD]])-(SUMIFS(H:H,D:D,DST_123_ÜRETİM_İHTİYAÇ_RAPORU_BURAK_YENI1309[[#This Row],[ALT_KOD]])+AVERAGEIFS(I:I,D:D,DST_123_ÜRETİM_İHTİYAÇ_RAPORU_BURAK_YENI1309[[#This Row],[ALT_KOD]])+AVERAGEIFS(L:L,D:D,DST_123_ÜRETİM_İHTİYAÇ_RAPORU_BURAK_YENI1309[[#This Row],[ALT_KOD]]))</f>
        <v>12.649999999999999</v>
      </c>
      <c r="L1657">
        <v>0</v>
      </c>
      <c r="M1657">
        <f>IF((DST_123_ÜRETİM_İHTİYAÇ_RAPORU_BURAK_YENI1309[[#This Row],[SATINALMA]]*DST_123_ÜRETİM_İHTİYAÇ_RAPORU_BURAK_YENI1309[[#This Row],[BIRIM_FIYATLAR]])&lt;1,VALUE("0"),DST_123_ÜRETİM_İHTİYAÇ_RAPORU_BURAK_YENI1309[[#This Row],[SATINALMA]]*DST_123_ÜRETİM_İHTİYAÇ_RAPORU_BURAK_YENI1309[[#This Row],[BIRIM_FIYATLAR]])</f>
        <v>20523.36</v>
      </c>
      <c r="N1657">
        <v>1622.4</v>
      </c>
      <c r="O1657" t="s">
        <v>261</v>
      </c>
      <c r="P1657">
        <v>1135.68</v>
      </c>
      <c r="Q1657" t="s">
        <v>183</v>
      </c>
    </row>
    <row r="1658" spans="1:17" x14ac:dyDescent="0.25">
      <c r="A1658" t="s">
        <v>1150</v>
      </c>
      <c r="B1658" t="s">
        <v>1145</v>
      </c>
      <c r="C1658" t="s">
        <v>175</v>
      </c>
      <c r="D1658" t="s">
        <v>790</v>
      </c>
      <c r="E1658" t="s">
        <v>828</v>
      </c>
      <c r="F1658">
        <v>6</v>
      </c>
      <c r="G1658" t="s">
        <v>179</v>
      </c>
      <c r="H1658">
        <v>0</v>
      </c>
      <c r="I1658">
        <v>100</v>
      </c>
      <c r="J1658" s="10">
        <v>50</v>
      </c>
      <c r="K1658" s="10">
        <f>SUMIFS(F:F,D:D,DST_123_ÜRETİM_İHTİYAÇ_RAPORU_BURAK_YENI1309[[#This Row],[ALT_KOD]])-(SUMIFS(H:H,D:D,DST_123_ÜRETİM_İHTİYAÇ_RAPORU_BURAK_YENI1309[[#This Row],[ALT_KOD]])+AVERAGEIFS(I:I,D:D,DST_123_ÜRETİM_İHTİYAÇ_RAPORU_BURAK_YENI1309[[#This Row],[ALT_KOD]])+AVERAGEIFS(L:L,D:D,DST_123_ÜRETİM_İHTİYAÇ_RAPORU_BURAK_YENI1309[[#This Row],[ALT_KOD]]))</f>
        <v>-16</v>
      </c>
      <c r="L1658">
        <v>0</v>
      </c>
      <c r="M1658">
        <f>IF((DST_123_ÜRETİM_İHTİYAÇ_RAPORU_BURAK_YENI1309[[#This Row],[SATINALMA]]*DST_123_ÜRETİM_İHTİYAÇ_RAPORU_BURAK_YENI1309[[#This Row],[BIRIM_FIYATLAR]])&lt;1,VALUE("0"),DST_123_ÜRETİM_İHTİYAÇ_RAPORU_BURAK_YENI1309[[#This Row],[SATINALMA]]*DST_123_ÜRETİM_İHTİYAÇ_RAPORU_BURAK_YENI1309[[#This Row],[BIRIM_FIYATLAR]])</f>
        <v>0</v>
      </c>
      <c r="N1658">
        <v>46</v>
      </c>
      <c r="O1658" t="s">
        <v>791</v>
      </c>
      <c r="P1658">
        <v>276</v>
      </c>
      <c r="Q1658" t="s">
        <v>221</v>
      </c>
    </row>
    <row r="1659" spans="1:17" x14ac:dyDescent="0.25">
      <c r="A1659" t="s">
        <v>1149</v>
      </c>
      <c r="B1659" t="s">
        <v>1145</v>
      </c>
      <c r="C1659" t="s">
        <v>175</v>
      </c>
      <c r="D1659" t="s">
        <v>790</v>
      </c>
      <c r="E1659" t="s">
        <v>828</v>
      </c>
      <c r="F1659">
        <v>6</v>
      </c>
      <c r="G1659" t="s">
        <v>179</v>
      </c>
      <c r="H1659">
        <v>0</v>
      </c>
      <c r="I1659">
        <v>100</v>
      </c>
      <c r="J1659" s="10">
        <v>50</v>
      </c>
      <c r="K1659" s="10">
        <f>SUMIFS(F:F,D:D,DST_123_ÜRETİM_İHTİYAÇ_RAPORU_BURAK_YENI1309[[#This Row],[ALT_KOD]])-(SUMIFS(H:H,D:D,DST_123_ÜRETİM_İHTİYAÇ_RAPORU_BURAK_YENI1309[[#This Row],[ALT_KOD]])+AVERAGEIFS(I:I,D:D,DST_123_ÜRETİM_İHTİYAÇ_RAPORU_BURAK_YENI1309[[#This Row],[ALT_KOD]])+AVERAGEIFS(L:L,D:D,DST_123_ÜRETİM_İHTİYAÇ_RAPORU_BURAK_YENI1309[[#This Row],[ALT_KOD]]))</f>
        <v>-16</v>
      </c>
      <c r="L1659">
        <v>0</v>
      </c>
      <c r="M1659">
        <f>IF((DST_123_ÜRETİM_İHTİYAÇ_RAPORU_BURAK_YENI1309[[#This Row],[SATINALMA]]*DST_123_ÜRETİM_İHTİYAÇ_RAPORU_BURAK_YENI1309[[#This Row],[BIRIM_FIYATLAR]])&lt;1,VALUE("0"),DST_123_ÜRETİM_İHTİYAÇ_RAPORU_BURAK_YENI1309[[#This Row],[SATINALMA]]*DST_123_ÜRETİM_İHTİYAÇ_RAPORU_BURAK_YENI1309[[#This Row],[BIRIM_FIYATLAR]])</f>
        <v>0</v>
      </c>
      <c r="N1659">
        <v>46</v>
      </c>
      <c r="O1659" t="s">
        <v>791</v>
      </c>
      <c r="P1659">
        <v>276</v>
      </c>
      <c r="Q1659" t="s">
        <v>221</v>
      </c>
    </row>
    <row r="1660" spans="1:17" x14ac:dyDescent="0.25">
      <c r="A1660" t="s">
        <v>1150</v>
      </c>
      <c r="B1660" t="s">
        <v>1145</v>
      </c>
      <c r="C1660" t="s">
        <v>175</v>
      </c>
      <c r="D1660" t="s">
        <v>746</v>
      </c>
      <c r="E1660" t="s">
        <v>747</v>
      </c>
      <c r="F1660">
        <v>2</v>
      </c>
      <c r="G1660" t="s">
        <v>176</v>
      </c>
      <c r="H1660">
        <v>0</v>
      </c>
      <c r="I1660">
        <v>3</v>
      </c>
      <c r="J1660" s="10">
        <v>0</v>
      </c>
      <c r="K1660" s="10">
        <f>SUMIFS(F:F,D:D,DST_123_ÜRETİM_İHTİYAÇ_RAPORU_BURAK_YENI1309[[#This Row],[ALT_KOD]])-(SUMIFS(H:H,D:D,DST_123_ÜRETİM_İHTİYAÇ_RAPORU_BURAK_YENI1309[[#This Row],[ALT_KOD]])+AVERAGEIFS(I:I,D:D,DST_123_ÜRETİM_İHTİYAÇ_RAPORU_BURAK_YENI1309[[#This Row],[ALT_KOD]])+AVERAGEIFS(L:L,D:D,DST_123_ÜRETİM_İHTİYAÇ_RAPORU_BURAK_YENI1309[[#This Row],[ALT_KOD]]))</f>
        <v>13</v>
      </c>
      <c r="L1660">
        <v>0</v>
      </c>
      <c r="M1660">
        <f>IF((DST_123_ÜRETİM_İHTİYAÇ_RAPORU_BURAK_YENI1309[[#This Row],[SATINALMA]]*DST_123_ÜRETİM_İHTİYAÇ_RAPORU_BURAK_YENI1309[[#This Row],[BIRIM_FIYATLAR]])&lt;1,VALUE("0"),DST_123_ÜRETİM_İHTİYAÇ_RAPORU_BURAK_YENI1309[[#This Row],[SATINALMA]]*DST_123_ÜRETİM_İHTİYAÇ_RAPORU_BURAK_YENI1309[[#This Row],[BIRIM_FIYATLAR]])</f>
        <v>702</v>
      </c>
      <c r="N1660">
        <v>54</v>
      </c>
      <c r="O1660" t="s">
        <v>226</v>
      </c>
      <c r="P1660">
        <v>108</v>
      </c>
      <c r="Q1660" t="s">
        <v>180</v>
      </c>
    </row>
    <row r="1661" spans="1:17" x14ac:dyDescent="0.25">
      <c r="A1661" t="s">
        <v>1149</v>
      </c>
      <c r="B1661" t="s">
        <v>1145</v>
      </c>
      <c r="C1661" t="s">
        <v>175</v>
      </c>
      <c r="D1661" t="s">
        <v>92</v>
      </c>
      <c r="E1661" t="s">
        <v>93</v>
      </c>
      <c r="F1661">
        <v>4</v>
      </c>
      <c r="G1661" t="s">
        <v>176</v>
      </c>
      <c r="H1661">
        <v>0</v>
      </c>
      <c r="I1661">
        <v>105</v>
      </c>
      <c r="J1661" s="10">
        <v>56</v>
      </c>
      <c r="K1661" s="10">
        <f>SUMIFS(F:F,D:D,DST_123_ÜRETİM_İHTİYAÇ_RAPORU_BURAK_YENI1309[[#This Row],[ALT_KOD]])-(SUMIFS(H:H,D:D,DST_123_ÜRETİM_İHTİYAÇ_RAPORU_BURAK_YENI1309[[#This Row],[ALT_KOD]])+AVERAGEIFS(I:I,D:D,DST_123_ÜRETİM_İHTİYAÇ_RAPORU_BURAK_YENI1309[[#This Row],[ALT_KOD]])+AVERAGEIFS(L:L,D:D,DST_123_ÜRETİM_İHTİYAÇ_RAPORU_BURAK_YENI1309[[#This Row],[ALT_KOD]]))</f>
        <v>-8</v>
      </c>
      <c r="L1661">
        <v>0</v>
      </c>
      <c r="M1661">
        <f>IF((DST_123_ÜRETİM_İHTİYAÇ_RAPORU_BURAK_YENI1309[[#This Row],[SATINALMA]]*DST_123_ÜRETİM_İHTİYAÇ_RAPORU_BURAK_YENI1309[[#This Row],[BIRIM_FIYATLAR]])&lt;1,VALUE("0"),DST_123_ÜRETİM_İHTİYAÇ_RAPORU_BURAK_YENI1309[[#This Row],[SATINALMA]]*DST_123_ÜRETİM_İHTİYAÇ_RAPORU_BURAK_YENI1309[[#This Row],[BIRIM_FIYATLAR]])</f>
        <v>0</v>
      </c>
      <c r="N1661">
        <v>72.599999999999994</v>
      </c>
      <c r="O1661" t="s">
        <v>240</v>
      </c>
      <c r="P1661">
        <v>290.39999999999998</v>
      </c>
      <c r="Q1661" t="s">
        <v>178</v>
      </c>
    </row>
    <row r="1662" spans="1:17" x14ac:dyDescent="0.25">
      <c r="A1662" t="s">
        <v>1144</v>
      </c>
      <c r="B1662" t="s">
        <v>1145</v>
      </c>
      <c r="C1662" t="s">
        <v>175</v>
      </c>
      <c r="D1662" t="s">
        <v>846</v>
      </c>
      <c r="E1662" t="s">
        <v>847</v>
      </c>
      <c r="F1662">
        <v>2</v>
      </c>
      <c r="G1662" t="s">
        <v>182</v>
      </c>
      <c r="H1662">
        <v>0</v>
      </c>
      <c r="I1662">
        <v>0</v>
      </c>
      <c r="J1662" s="10">
        <v>-1.4210854715202004E-14</v>
      </c>
      <c r="K1662" s="10">
        <f>SUMIFS(F:F,D:D,DST_123_ÜRETİM_İHTİYAÇ_RAPORU_BURAK_YENI1309[[#This Row],[ALT_KOD]])-(SUMIFS(H:H,D:D,DST_123_ÜRETİM_İHTİYAÇ_RAPORU_BURAK_YENI1309[[#This Row],[ALT_KOD]])+AVERAGEIFS(I:I,D:D,DST_123_ÜRETİM_İHTİYAÇ_RAPORU_BURAK_YENI1309[[#This Row],[ALT_KOD]])+AVERAGEIFS(L:L,D:D,DST_123_ÜRETİM_İHTİYAÇ_RAPORU_BURAK_YENI1309[[#This Row],[ALT_KOD]]))</f>
        <v>52</v>
      </c>
      <c r="L1662">
        <v>0</v>
      </c>
      <c r="M1662">
        <f>IF((DST_123_ÜRETİM_İHTİYAÇ_RAPORU_BURAK_YENI1309[[#This Row],[SATINALMA]]*DST_123_ÜRETİM_İHTİYAÇ_RAPORU_BURAK_YENI1309[[#This Row],[BIRIM_FIYATLAR]])&lt;1,VALUE("0"),DST_123_ÜRETİM_İHTİYAÇ_RAPORU_BURAK_YENI1309[[#This Row],[SATINALMA]]*DST_123_ÜRETİM_İHTİYAÇ_RAPORU_BURAK_YENI1309[[#This Row],[BIRIM_FIYATLAR]])</f>
        <v>28423.200000000001</v>
      </c>
      <c r="N1662">
        <v>546.6</v>
      </c>
      <c r="O1662" t="s">
        <v>253</v>
      </c>
      <c r="P1662">
        <v>1093.2</v>
      </c>
      <c r="Q1662" t="s">
        <v>181</v>
      </c>
    </row>
    <row r="1663" spans="1:17" x14ac:dyDescent="0.25">
      <c r="A1663" t="s">
        <v>1150</v>
      </c>
      <c r="B1663" t="s">
        <v>1145</v>
      </c>
      <c r="C1663" t="s">
        <v>175</v>
      </c>
      <c r="D1663" t="s">
        <v>269</v>
      </c>
      <c r="E1663" t="s">
        <v>270</v>
      </c>
      <c r="F1663">
        <v>1</v>
      </c>
      <c r="G1663" t="s">
        <v>176</v>
      </c>
      <c r="H1663">
        <v>0</v>
      </c>
      <c r="I1663">
        <v>13</v>
      </c>
      <c r="J1663" s="10">
        <v>9</v>
      </c>
      <c r="K1663" s="10">
        <f>SUMIFS(F:F,D:D,DST_123_ÜRETİM_İHTİYAÇ_RAPORU_BURAK_YENI1309[[#This Row],[ALT_KOD]])-(SUMIFS(H:H,D:D,DST_123_ÜRETİM_İHTİYAÇ_RAPORU_BURAK_YENI1309[[#This Row],[ALT_KOD]])+AVERAGEIFS(I:I,D:D,DST_123_ÜRETİM_İHTİYAÇ_RAPORU_BURAK_YENI1309[[#This Row],[ALT_KOD]])+AVERAGEIFS(L:L,D:D,DST_123_ÜRETİM_İHTİYAÇ_RAPORU_BURAK_YENI1309[[#This Row],[ALT_KOD]]))</f>
        <v>-1</v>
      </c>
      <c r="L1663">
        <v>0</v>
      </c>
      <c r="M1663">
        <f>IF((DST_123_ÜRETİM_İHTİYAÇ_RAPORU_BURAK_YENI1309[[#This Row],[SATINALMA]]*DST_123_ÜRETİM_İHTİYAÇ_RAPORU_BURAK_YENI1309[[#This Row],[BIRIM_FIYATLAR]])&lt;1,VALUE("0"),DST_123_ÜRETİM_İHTİYAÇ_RAPORU_BURAK_YENI1309[[#This Row],[SATINALMA]]*DST_123_ÜRETİM_İHTİYAÇ_RAPORU_BURAK_YENI1309[[#This Row],[BIRIM_FIYATLAR]])</f>
        <v>0</v>
      </c>
      <c r="N1663">
        <v>270</v>
      </c>
      <c r="O1663" t="s">
        <v>220</v>
      </c>
      <c r="P1663">
        <v>270</v>
      </c>
      <c r="Q1663" t="s">
        <v>221</v>
      </c>
    </row>
    <row r="1664" spans="1:17" x14ac:dyDescent="0.25">
      <c r="A1664" t="s">
        <v>1099</v>
      </c>
      <c r="B1664" t="s">
        <v>1055</v>
      </c>
      <c r="C1664" t="s">
        <v>175</v>
      </c>
      <c r="D1664" t="s">
        <v>464</v>
      </c>
      <c r="E1664" t="s">
        <v>465</v>
      </c>
      <c r="F1664">
        <v>2</v>
      </c>
      <c r="G1664" t="s">
        <v>176</v>
      </c>
      <c r="H1664">
        <v>0</v>
      </c>
      <c r="I1664">
        <v>222</v>
      </c>
      <c r="J1664" s="10">
        <v>2</v>
      </c>
      <c r="K1664" s="10">
        <f>SUMIFS(F:F,D:D,DST_123_ÜRETİM_İHTİYAÇ_RAPORU_BURAK_YENI1309[[#This Row],[ALT_KOD]])-(SUMIFS(H:H,D:D,DST_123_ÜRETİM_İHTİYAÇ_RAPORU_BURAK_YENI1309[[#This Row],[ALT_KOD]])+AVERAGEIFS(I:I,D:D,DST_123_ÜRETİM_İHTİYAÇ_RAPORU_BURAK_YENI1309[[#This Row],[ALT_KOD]])+AVERAGEIFS(L:L,D:D,DST_123_ÜRETİM_İHTİYAÇ_RAPORU_BURAK_YENI1309[[#This Row],[ALT_KOD]]))</f>
        <v>-166</v>
      </c>
      <c r="L1664">
        <v>0</v>
      </c>
      <c r="M1664">
        <f>IF((DST_123_ÜRETİM_İHTİYAÇ_RAPORU_BURAK_YENI1309[[#This Row],[SATINALMA]]*DST_123_ÜRETİM_İHTİYAÇ_RAPORU_BURAK_YENI1309[[#This Row],[BIRIM_FIYATLAR]])&lt;1,VALUE("0"),DST_123_ÜRETİM_İHTİYAÇ_RAPORU_BURAK_YENI1309[[#This Row],[SATINALMA]]*DST_123_ÜRETİM_İHTİYAÇ_RAPORU_BURAK_YENI1309[[#This Row],[BIRIM_FIYATLAR]])</f>
        <v>0</v>
      </c>
      <c r="N1664">
        <v>11.5</v>
      </c>
      <c r="O1664" t="s">
        <v>240</v>
      </c>
      <c r="P1664">
        <v>23</v>
      </c>
      <c r="Q1664" t="s">
        <v>178</v>
      </c>
    </row>
    <row r="1665" spans="1:17" x14ac:dyDescent="0.25">
      <c r="A1665" t="s">
        <v>1099</v>
      </c>
      <c r="B1665" t="s">
        <v>1055</v>
      </c>
      <c r="C1665" t="s">
        <v>175</v>
      </c>
      <c r="D1665" t="s">
        <v>790</v>
      </c>
      <c r="E1665" t="s">
        <v>828</v>
      </c>
      <c r="F1665">
        <v>6</v>
      </c>
      <c r="G1665" t="s">
        <v>179</v>
      </c>
      <c r="H1665">
        <v>0</v>
      </c>
      <c r="I1665">
        <v>100</v>
      </c>
      <c r="J1665" s="10">
        <v>50</v>
      </c>
      <c r="K1665" s="10">
        <f>SUMIFS(F:F,D:D,DST_123_ÜRETİM_İHTİYAÇ_RAPORU_BURAK_YENI1309[[#This Row],[ALT_KOD]])-(SUMIFS(H:H,D:D,DST_123_ÜRETİM_İHTİYAÇ_RAPORU_BURAK_YENI1309[[#This Row],[ALT_KOD]])+AVERAGEIFS(I:I,D:D,DST_123_ÜRETİM_İHTİYAÇ_RAPORU_BURAK_YENI1309[[#This Row],[ALT_KOD]])+AVERAGEIFS(L:L,D:D,DST_123_ÜRETİM_İHTİYAÇ_RAPORU_BURAK_YENI1309[[#This Row],[ALT_KOD]]))</f>
        <v>-16</v>
      </c>
      <c r="L1665">
        <v>0</v>
      </c>
      <c r="M1665">
        <f>IF((DST_123_ÜRETİM_İHTİYAÇ_RAPORU_BURAK_YENI1309[[#This Row],[SATINALMA]]*DST_123_ÜRETİM_İHTİYAÇ_RAPORU_BURAK_YENI1309[[#This Row],[BIRIM_FIYATLAR]])&lt;1,VALUE("0"),DST_123_ÜRETİM_İHTİYAÇ_RAPORU_BURAK_YENI1309[[#This Row],[SATINALMA]]*DST_123_ÜRETİM_İHTİYAÇ_RAPORU_BURAK_YENI1309[[#This Row],[BIRIM_FIYATLAR]])</f>
        <v>0</v>
      </c>
      <c r="N1665">
        <v>46</v>
      </c>
      <c r="O1665" t="s">
        <v>791</v>
      </c>
      <c r="P1665">
        <v>276</v>
      </c>
      <c r="Q1665" t="s">
        <v>221</v>
      </c>
    </row>
    <row r="1666" spans="1:17" x14ac:dyDescent="0.25">
      <c r="A1666" t="s">
        <v>1099</v>
      </c>
      <c r="B1666" t="s">
        <v>1055</v>
      </c>
      <c r="C1666" t="s">
        <v>175</v>
      </c>
      <c r="D1666" t="s">
        <v>92</v>
      </c>
      <c r="E1666" t="s">
        <v>93</v>
      </c>
      <c r="F1666">
        <v>7</v>
      </c>
      <c r="G1666" t="s">
        <v>176</v>
      </c>
      <c r="H1666">
        <v>0</v>
      </c>
      <c r="I1666">
        <v>105</v>
      </c>
      <c r="J1666" s="10">
        <v>56</v>
      </c>
      <c r="K1666" s="10">
        <f>SUMIFS(F:F,D:D,DST_123_ÜRETİM_İHTİYAÇ_RAPORU_BURAK_YENI1309[[#This Row],[ALT_KOD]])-(SUMIFS(H:H,D:D,DST_123_ÜRETİM_İHTİYAÇ_RAPORU_BURAK_YENI1309[[#This Row],[ALT_KOD]])+AVERAGEIFS(I:I,D:D,DST_123_ÜRETİM_İHTİYAÇ_RAPORU_BURAK_YENI1309[[#This Row],[ALT_KOD]])+AVERAGEIFS(L:L,D:D,DST_123_ÜRETİM_İHTİYAÇ_RAPORU_BURAK_YENI1309[[#This Row],[ALT_KOD]]))</f>
        <v>-8</v>
      </c>
      <c r="L1666">
        <v>0</v>
      </c>
      <c r="M1666">
        <f>IF((DST_123_ÜRETİM_İHTİYAÇ_RAPORU_BURAK_YENI1309[[#This Row],[SATINALMA]]*DST_123_ÜRETİM_İHTİYAÇ_RAPORU_BURAK_YENI1309[[#This Row],[BIRIM_FIYATLAR]])&lt;1,VALUE("0"),DST_123_ÜRETİM_İHTİYAÇ_RAPORU_BURAK_YENI1309[[#This Row],[SATINALMA]]*DST_123_ÜRETİM_İHTİYAÇ_RAPORU_BURAK_YENI1309[[#This Row],[BIRIM_FIYATLAR]])</f>
        <v>0</v>
      </c>
      <c r="N1666">
        <v>72.599999999999994</v>
      </c>
      <c r="O1666" t="s">
        <v>240</v>
      </c>
      <c r="P1666">
        <v>508.19999999999993</v>
      </c>
      <c r="Q1666" t="s">
        <v>178</v>
      </c>
    </row>
    <row r="1667" spans="1:17" x14ac:dyDescent="0.25">
      <c r="A1667" t="s">
        <v>1196</v>
      </c>
      <c r="B1667" t="s">
        <v>1197</v>
      </c>
      <c r="C1667" t="s">
        <v>175</v>
      </c>
      <c r="D1667" t="s">
        <v>92</v>
      </c>
      <c r="E1667" t="s">
        <v>93</v>
      </c>
      <c r="F1667">
        <v>4</v>
      </c>
      <c r="G1667" t="s">
        <v>176</v>
      </c>
      <c r="H1667">
        <v>0</v>
      </c>
      <c r="I1667">
        <v>105</v>
      </c>
      <c r="J1667" s="10">
        <v>56</v>
      </c>
      <c r="K1667" s="10">
        <f>SUMIFS(F:F,D:D,DST_123_ÜRETİM_İHTİYAÇ_RAPORU_BURAK_YENI1309[[#This Row],[ALT_KOD]])-(SUMIFS(H:H,D:D,DST_123_ÜRETİM_İHTİYAÇ_RAPORU_BURAK_YENI1309[[#This Row],[ALT_KOD]])+AVERAGEIFS(I:I,D:D,DST_123_ÜRETİM_İHTİYAÇ_RAPORU_BURAK_YENI1309[[#This Row],[ALT_KOD]])+AVERAGEIFS(L:L,D:D,DST_123_ÜRETİM_İHTİYAÇ_RAPORU_BURAK_YENI1309[[#This Row],[ALT_KOD]]))</f>
        <v>-8</v>
      </c>
      <c r="L1667">
        <v>0</v>
      </c>
      <c r="M1667">
        <f>IF((DST_123_ÜRETİM_İHTİYAÇ_RAPORU_BURAK_YENI1309[[#This Row],[SATINALMA]]*DST_123_ÜRETİM_İHTİYAÇ_RAPORU_BURAK_YENI1309[[#This Row],[BIRIM_FIYATLAR]])&lt;1,VALUE("0"),DST_123_ÜRETİM_İHTİYAÇ_RAPORU_BURAK_YENI1309[[#This Row],[SATINALMA]]*DST_123_ÜRETİM_İHTİYAÇ_RAPORU_BURAK_YENI1309[[#This Row],[BIRIM_FIYATLAR]])</f>
        <v>0</v>
      </c>
      <c r="N1667">
        <v>72.599999999999994</v>
      </c>
      <c r="O1667" t="s">
        <v>240</v>
      </c>
      <c r="P1667">
        <v>290.39999999999998</v>
      </c>
      <c r="Q1667" t="s">
        <v>178</v>
      </c>
    </row>
    <row r="1668" spans="1:17" x14ac:dyDescent="0.25">
      <c r="A1668" t="s">
        <v>1098</v>
      </c>
      <c r="B1668" t="s">
        <v>1096</v>
      </c>
      <c r="C1668" t="s">
        <v>175</v>
      </c>
      <c r="D1668" t="s">
        <v>846</v>
      </c>
      <c r="E1668" t="s">
        <v>847</v>
      </c>
      <c r="F1668">
        <v>3</v>
      </c>
      <c r="G1668" t="s">
        <v>182</v>
      </c>
      <c r="H1668">
        <v>0</v>
      </c>
      <c r="I1668">
        <v>0</v>
      </c>
      <c r="J1668" s="10">
        <v>-1.4210854715202004E-14</v>
      </c>
      <c r="K1668" s="10">
        <f>SUMIFS(F:F,D:D,DST_123_ÜRETİM_İHTİYAÇ_RAPORU_BURAK_YENI1309[[#This Row],[ALT_KOD]])-(SUMIFS(H:H,D:D,DST_123_ÜRETİM_İHTİYAÇ_RAPORU_BURAK_YENI1309[[#This Row],[ALT_KOD]])+AVERAGEIFS(I:I,D:D,DST_123_ÜRETİM_İHTİYAÇ_RAPORU_BURAK_YENI1309[[#This Row],[ALT_KOD]])+AVERAGEIFS(L:L,D:D,DST_123_ÜRETİM_İHTİYAÇ_RAPORU_BURAK_YENI1309[[#This Row],[ALT_KOD]]))</f>
        <v>52</v>
      </c>
      <c r="L1668">
        <v>0</v>
      </c>
      <c r="M1668">
        <f>IF((DST_123_ÜRETİM_İHTİYAÇ_RAPORU_BURAK_YENI1309[[#This Row],[SATINALMA]]*DST_123_ÜRETİM_İHTİYAÇ_RAPORU_BURAK_YENI1309[[#This Row],[BIRIM_FIYATLAR]])&lt;1,VALUE("0"),DST_123_ÜRETİM_İHTİYAÇ_RAPORU_BURAK_YENI1309[[#This Row],[SATINALMA]]*DST_123_ÜRETİM_İHTİYAÇ_RAPORU_BURAK_YENI1309[[#This Row],[BIRIM_FIYATLAR]])</f>
        <v>28423.200000000001</v>
      </c>
      <c r="N1668">
        <v>546.6</v>
      </c>
      <c r="O1668" t="s">
        <v>253</v>
      </c>
      <c r="P1668">
        <v>1639.8000000000002</v>
      </c>
      <c r="Q1668" t="s">
        <v>181</v>
      </c>
    </row>
    <row r="1669" spans="1:17" x14ac:dyDescent="0.25">
      <c r="A1669" t="s">
        <v>1150</v>
      </c>
      <c r="B1669" t="s">
        <v>1145</v>
      </c>
      <c r="C1669" t="s">
        <v>175</v>
      </c>
      <c r="D1669" t="s">
        <v>92</v>
      </c>
      <c r="E1669" t="s">
        <v>93</v>
      </c>
      <c r="F1669">
        <v>4</v>
      </c>
      <c r="G1669" t="s">
        <v>176</v>
      </c>
      <c r="H1669">
        <v>0</v>
      </c>
      <c r="I1669">
        <v>105</v>
      </c>
      <c r="J1669" s="10">
        <v>56</v>
      </c>
      <c r="K1669" s="10">
        <f>SUMIFS(F:F,D:D,DST_123_ÜRETİM_İHTİYAÇ_RAPORU_BURAK_YENI1309[[#This Row],[ALT_KOD]])-(SUMIFS(H:H,D:D,DST_123_ÜRETİM_İHTİYAÇ_RAPORU_BURAK_YENI1309[[#This Row],[ALT_KOD]])+AVERAGEIFS(I:I,D:D,DST_123_ÜRETİM_İHTİYAÇ_RAPORU_BURAK_YENI1309[[#This Row],[ALT_KOD]])+AVERAGEIFS(L:L,D:D,DST_123_ÜRETİM_İHTİYAÇ_RAPORU_BURAK_YENI1309[[#This Row],[ALT_KOD]]))</f>
        <v>-8</v>
      </c>
      <c r="L1669">
        <v>0</v>
      </c>
      <c r="M1669">
        <f>IF((DST_123_ÜRETİM_İHTİYAÇ_RAPORU_BURAK_YENI1309[[#This Row],[SATINALMA]]*DST_123_ÜRETİM_İHTİYAÇ_RAPORU_BURAK_YENI1309[[#This Row],[BIRIM_FIYATLAR]])&lt;1,VALUE("0"),DST_123_ÜRETİM_İHTİYAÇ_RAPORU_BURAK_YENI1309[[#This Row],[SATINALMA]]*DST_123_ÜRETİM_İHTİYAÇ_RAPORU_BURAK_YENI1309[[#This Row],[BIRIM_FIYATLAR]])</f>
        <v>0</v>
      </c>
      <c r="N1669">
        <v>72.599999999999994</v>
      </c>
      <c r="O1669" t="s">
        <v>240</v>
      </c>
      <c r="P1669">
        <v>290.39999999999998</v>
      </c>
      <c r="Q1669" t="s">
        <v>178</v>
      </c>
    </row>
    <row r="1670" spans="1:17" x14ac:dyDescent="0.25">
      <c r="A1670" t="s">
        <v>1150</v>
      </c>
      <c r="B1670" t="s">
        <v>1145</v>
      </c>
      <c r="C1670" t="s">
        <v>175</v>
      </c>
      <c r="D1670" t="s">
        <v>1157</v>
      </c>
      <c r="E1670" t="s">
        <v>1158</v>
      </c>
      <c r="F1670">
        <v>6</v>
      </c>
      <c r="G1670" t="s">
        <v>176</v>
      </c>
      <c r="H1670">
        <v>0</v>
      </c>
      <c r="I1670">
        <v>0</v>
      </c>
      <c r="J1670" s="10">
        <v>0</v>
      </c>
      <c r="K1670" s="10">
        <f>SUMIFS(F:F,D:D,DST_123_ÜRETİM_İHTİYAÇ_RAPORU_BURAK_YENI1309[[#This Row],[ALT_KOD]])-(SUMIFS(H:H,D:D,DST_123_ÜRETİM_İHTİYAÇ_RAPORU_BURAK_YENI1309[[#This Row],[ALT_KOD]])+AVERAGEIFS(I:I,D:D,DST_123_ÜRETİM_İHTİYAÇ_RAPORU_BURAK_YENI1309[[#This Row],[ALT_KOD]])+AVERAGEIFS(L:L,D:D,DST_123_ÜRETİM_İHTİYAÇ_RAPORU_BURAK_YENI1309[[#This Row],[ALT_KOD]]))</f>
        <v>56</v>
      </c>
      <c r="L1670">
        <v>0</v>
      </c>
      <c r="M1670">
        <f>IF((DST_123_ÜRETİM_İHTİYAÇ_RAPORU_BURAK_YENI1309[[#This Row],[SATINALMA]]*DST_123_ÜRETİM_İHTİYAÇ_RAPORU_BURAK_YENI1309[[#This Row],[BIRIM_FIYATLAR]])&lt;1,VALUE("0"),DST_123_ÜRETİM_İHTİYAÇ_RAPORU_BURAK_YENI1309[[#This Row],[SATINALMA]]*DST_123_ÜRETİM_İHTİYAÇ_RAPORU_BURAK_YENI1309[[#This Row],[BIRIM_FIYATLAR]])</f>
        <v>0</v>
      </c>
      <c r="N1670">
        <v>0</v>
      </c>
      <c r="P1670">
        <v>0</v>
      </c>
      <c r="Q1670" t="s">
        <v>180</v>
      </c>
    </row>
    <row r="1671" spans="1:17" x14ac:dyDescent="0.25">
      <c r="A1671" t="s">
        <v>1098</v>
      </c>
      <c r="B1671" t="s">
        <v>1096</v>
      </c>
      <c r="C1671" t="s">
        <v>175</v>
      </c>
      <c r="D1671" t="s">
        <v>464</v>
      </c>
      <c r="E1671" t="s">
        <v>465</v>
      </c>
      <c r="F1671">
        <v>2</v>
      </c>
      <c r="G1671" t="s">
        <v>176</v>
      </c>
      <c r="H1671">
        <v>0</v>
      </c>
      <c r="I1671">
        <v>222</v>
      </c>
      <c r="J1671" s="10">
        <v>2</v>
      </c>
      <c r="K1671" s="10">
        <f>SUMIFS(F:F,D:D,DST_123_ÜRETİM_İHTİYAÇ_RAPORU_BURAK_YENI1309[[#This Row],[ALT_KOD]])-(SUMIFS(H:H,D:D,DST_123_ÜRETİM_İHTİYAÇ_RAPORU_BURAK_YENI1309[[#This Row],[ALT_KOD]])+AVERAGEIFS(I:I,D:D,DST_123_ÜRETİM_İHTİYAÇ_RAPORU_BURAK_YENI1309[[#This Row],[ALT_KOD]])+AVERAGEIFS(L:L,D:D,DST_123_ÜRETİM_İHTİYAÇ_RAPORU_BURAK_YENI1309[[#This Row],[ALT_KOD]]))</f>
        <v>-166</v>
      </c>
      <c r="L1671">
        <v>0</v>
      </c>
      <c r="M1671">
        <f>IF((DST_123_ÜRETİM_İHTİYAÇ_RAPORU_BURAK_YENI1309[[#This Row],[SATINALMA]]*DST_123_ÜRETİM_İHTİYAÇ_RAPORU_BURAK_YENI1309[[#This Row],[BIRIM_FIYATLAR]])&lt;1,VALUE("0"),DST_123_ÜRETİM_İHTİYAÇ_RAPORU_BURAK_YENI1309[[#This Row],[SATINALMA]]*DST_123_ÜRETİM_İHTİYAÇ_RAPORU_BURAK_YENI1309[[#This Row],[BIRIM_FIYATLAR]])</f>
        <v>0</v>
      </c>
      <c r="N1671">
        <v>11.5</v>
      </c>
      <c r="O1671" t="s">
        <v>240</v>
      </c>
      <c r="P1671">
        <v>23</v>
      </c>
      <c r="Q1671" t="s">
        <v>178</v>
      </c>
    </row>
    <row r="1672" spans="1:17" x14ac:dyDescent="0.25">
      <c r="A1672" t="s">
        <v>1098</v>
      </c>
      <c r="B1672" t="s">
        <v>1096</v>
      </c>
      <c r="C1672" t="s">
        <v>175</v>
      </c>
      <c r="D1672" t="s">
        <v>259</v>
      </c>
      <c r="E1672" t="s">
        <v>260</v>
      </c>
      <c r="F1672">
        <v>0.85000000000000009</v>
      </c>
      <c r="G1672" t="s">
        <v>176</v>
      </c>
      <c r="H1672">
        <v>0</v>
      </c>
      <c r="I1672">
        <v>2</v>
      </c>
      <c r="J1672" s="10">
        <v>3.3000000000000052</v>
      </c>
      <c r="K1672" s="10">
        <f>SUMIFS(F:F,D:D,DST_123_ÜRETİM_İHTİYAÇ_RAPORU_BURAK_YENI1309[[#This Row],[ALT_KOD]])-(SUMIFS(H:H,D:D,DST_123_ÜRETİM_İHTİYAÇ_RAPORU_BURAK_YENI1309[[#This Row],[ALT_KOD]])+AVERAGEIFS(I:I,D:D,DST_123_ÜRETİM_İHTİYAÇ_RAPORU_BURAK_YENI1309[[#This Row],[ALT_KOD]])+AVERAGEIFS(L:L,D:D,DST_123_ÜRETİM_İHTİYAÇ_RAPORU_BURAK_YENI1309[[#This Row],[ALT_KOD]]))</f>
        <v>12.649999999999999</v>
      </c>
      <c r="L1672">
        <v>0</v>
      </c>
      <c r="M1672">
        <f>IF((DST_123_ÜRETİM_İHTİYAÇ_RAPORU_BURAK_YENI1309[[#This Row],[SATINALMA]]*DST_123_ÜRETİM_İHTİYAÇ_RAPORU_BURAK_YENI1309[[#This Row],[BIRIM_FIYATLAR]])&lt;1,VALUE("0"),DST_123_ÜRETİM_İHTİYAÇ_RAPORU_BURAK_YENI1309[[#This Row],[SATINALMA]]*DST_123_ÜRETİM_İHTİYAÇ_RAPORU_BURAK_YENI1309[[#This Row],[BIRIM_FIYATLAR]])</f>
        <v>20523.36</v>
      </c>
      <c r="N1672">
        <v>1622.4</v>
      </c>
      <c r="O1672" t="s">
        <v>261</v>
      </c>
      <c r="P1672">
        <v>1379.0400000000002</v>
      </c>
      <c r="Q1672" t="s">
        <v>183</v>
      </c>
    </row>
    <row r="1673" spans="1:17" x14ac:dyDescent="0.25">
      <c r="A1673" t="s">
        <v>1098</v>
      </c>
      <c r="B1673" t="s">
        <v>1096</v>
      </c>
      <c r="C1673" t="s">
        <v>175</v>
      </c>
      <c r="D1673" t="s">
        <v>728</v>
      </c>
      <c r="E1673" t="s">
        <v>729</v>
      </c>
      <c r="F1673">
        <v>9</v>
      </c>
      <c r="G1673" t="s">
        <v>179</v>
      </c>
      <c r="H1673">
        <v>0</v>
      </c>
      <c r="I1673">
        <v>0</v>
      </c>
      <c r="J1673" s="10">
        <v>344</v>
      </c>
      <c r="K1673" s="10">
        <f>SUMIFS(F:F,D:D,DST_123_ÜRETİM_İHTİYAÇ_RAPORU_BURAK_YENI1309[[#This Row],[ALT_KOD]])-(SUMIFS(H:H,D:D,DST_123_ÜRETİM_İHTİYAÇ_RAPORU_BURAK_YENI1309[[#This Row],[ALT_KOD]])+AVERAGEIFS(I:I,D:D,DST_123_ÜRETİM_İHTİYAÇ_RAPORU_BURAK_YENI1309[[#This Row],[ALT_KOD]])+AVERAGEIFS(L:L,D:D,DST_123_ÜRETİM_İHTİYAÇ_RAPORU_BURAK_YENI1309[[#This Row],[ALT_KOD]]))</f>
        <v>54</v>
      </c>
      <c r="L1673">
        <v>0</v>
      </c>
      <c r="M1673">
        <f>IF((DST_123_ÜRETİM_İHTİYAÇ_RAPORU_BURAK_YENI1309[[#This Row],[SATINALMA]]*DST_123_ÜRETİM_İHTİYAÇ_RAPORU_BURAK_YENI1309[[#This Row],[BIRIM_FIYATLAR]])&lt;1,VALUE("0"),DST_123_ÜRETİM_İHTİYAÇ_RAPORU_BURAK_YENI1309[[#This Row],[SATINALMA]]*DST_123_ÜRETİM_İHTİYAÇ_RAPORU_BURAK_YENI1309[[#This Row],[BIRIM_FIYATLAR]])</f>
        <v>1102.68</v>
      </c>
      <c r="N1673">
        <v>20.420000000000002</v>
      </c>
      <c r="O1673" t="s">
        <v>223</v>
      </c>
      <c r="P1673">
        <v>183.78000000000003</v>
      </c>
      <c r="Q1673" t="s">
        <v>181</v>
      </c>
    </row>
    <row r="1674" spans="1:17" x14ac:dyDescent="0.25">
      <c r="A1674" t="s">
        <v>1196</v>
      </c>
      <c r="B1674" t="s">
        <v>1197</v>
      </c>
      <c r="C1674" t="s">
        <v>175</v>
      </c>
      <c r="D1674" t="s">
        <v>746</v>
      </c>
      <c r="E1674" t="s">
        <v>747</v>
      </c>
      <c r="F1674">
        <v>2</v>
      </c>
      <c r="G1674" t="s">
        <v>176</v>
      </c>
      <c r="H1674">
        <v>0</v>
      </c>
      <c r="I1674">
        <v>3</v>
      </c>
      <c r="J1674" s="10">
        <v>0</v>
      </c>
      <c r="K1674" s="10">
        <f>SUMIFS(F:F,D:D,DST_123_ÜRETİM_İHTİYAÇ_RAPORU_BURAK_YENI1309[[#This Row],[ALT_KOD]])-(SUMIFS(H:H,D:D,DST_123_ÜRETİM_İHTİYAÇ_RAPORU_BURAK_YENI1309[[#This Row],[ALT_KOD]])+AVERAGEIFS(I:I,D:D,DST_123_ÜRETİM_İHTİYAÇ_RAPORU_BURAK_YENI1309[[#This Row],[ALT_KOD]])+AVERAGEIFS(L:L,D:D,DST_123_ÜRETİM_İHTİYAÇ_RAPORU_BURAK_YENI1309[[#This Row],[ALT_KOD]]))</f>
        <v>13</v>
      </c>
      <c r="L1674">
        <v>0</v>
      </c>
      <c r="M1674">
        <f>IF((DST_123_ÜRETİM_İHTİYAÇ_RAPORU_BURAK_YENI1309[[#This Row],[SATINALMA]]*DST_123_ÜRETİM_İHTİYAÇ_RAPORU_BURAK_YENI1309[[#This Row],[BIRIM_FIYATLAR]])&lt;1,VALUE("0"),DST_123_ÜRETİM_İHTİYAÇ_RAPORU_BURAK_YENI1309[[#This Row],[SATINALMA]]*DST_123_ÜRETİM_İHTİYAÇ_RAPORU_BURAK_YENI1309[[#This Row],[BIRIM_FIYATLAR]])</f>
        <v>702</v>
      </c>
      <c r="N1674">
        <v>54</v>
      </c>
      <c r="O1674" t="s">
        <v>226</v>
      </c>
      <c r="P1674">
        <v>108</v>
      </c>
      <c r="Q1674" t="s">
        <v>180</v>
      </c>
    </row>
    <row r="1675" spans="1:17" x14ac:dyDescent="0.25">
      <c r="A1675" t="s">
        <v>1098</v>
      </c>
      <c r="B1675" t="s">
        <v>1096</v>
      </c>
      <c r="C1675" t="s">
        <v>175</v>
      </c>
      <c r="D1675" t="s">
        <v>92</v>
      </c>
      <c r="E1675" t="s">
        <v>93</v>
      </c>
      <c r="F1675">
        <v>6</v>
      </c>
      <c r="G1675" t="s">
        <v>176</v>
      </c>
      <c r="H1675">
        <v>0</v>
      </c>
      <c r="I1675">
        <v>105</v>
      </c>
      <c r="J1675" s="10">
        <v>56</v>
      </c>
      <c r="K1675" s="10">
        <f>SUMIFS(F:F,D:D,DST_123_ÜRETİM_İHTİYAÇ_RAPORU_BURAK_YENI1309[[#This Row],[ALT_KOD]])-(SUMIFS(H:H,D:D,DST_123_ÜRETİM_İHTİYAÇ_RAPORU_BURAK_YENI1309[[#This Row],[ALT_KOD]])+AVERAGEIFS(I:I,D:D,DST_123_ÜRETİM_İHTİYAÇ_RAPORU_BURAK_YENI1309[[#This Row],[ALT_KOD]])+AVERAGEIFS(L:L,D:D,DST_123_ÜRETİM_İHTİYAÇ_RAPORU_BURAK_YENI1309[[#This Row],[ALT_KOD]]))</f>
        <v>-8</v>
      </c>
      <c r="L1675">
        <v>0</v>
      </c>
      <c r="M1675">
        <f>IF((DST_123_ÜRETİM_İHTİYAÇ_RAPORU_BURAK_YENI1309[[#This Row],[SATINALMA]]*DST_123_ÜRETİM_İHTİYAÇ_RAPORU_BURAK_YENI1309[[#This Row],[BIRIM_FIYATLAR]])&lt;1,VALUE("0"),DST_123_ÜRETİM_İHTİYAÇ_RAPORU_BURAK_YENI1309[[#This Row],[SATINALMA]]*DST_123_ÜRETİM_İHTİYAÇ_RAPORU_BURAK_YENI1309[[#This Row],[BIRIM_FIYATLAR]])</f>
        <v>0</v>
      </c>
      <c r="N1675">
        <v>72.599999999999994</v>
      </c>
      <c r="O1675" t="s">
        <v>240</v>
      </c>
      <c r="P1675">
        <v>435.59999999999997</v>
      </c>
      <c r="Q1675" t="s">
        <v>178</v>
      </c>
    </row>
    <row r="1676" spans="1:17" x14ac:dyDescent="0.25">
      <c r="A1676" t="s">
        <v>1196</v>
      </c>
      <c r="B1676" t="s">
        <v>1197</v>
      </c>
      <c r="C1676" t="s">
        <v>175</v>
      </c>
      <c r="D1676" t="s">
        <v>846</v>
      </c>
      <c r="E1676" t="s">
        <v>847</v>
      </c>
      <c r="F1676">
        <v>2</v>
      </c>
      <c r="G1676" t="s">
        <v>182</v>
      </c>
      <c r="H1676">
        <v>0</v>
      </c>
      <c r="I1676">
        <v>0</v>
      </c>
      <c r="J1676" s="10">
        <v>-1.4210854715202004E-14</v>
      </c>
      <c r="K1676" s="10">
        <f>SUMIFS(F:F,D:D,DST_123_ÜRETİM_İHTİYAÇ_RAPORU_BURAK_YENI1309[[#This Row],[ALT_KOD]])-(SUMIFS(H:H,D:D,DST_123_ÜRETİM_İHTİYAÇ_RAPORU_BURAK_YENI1309[[#This Row],[ALT_KOD]])+AVERAGEIFS(I:I,D:D,DST_123_ÜRETİM_İHTİYAÇ_RAPORU_BURAK_YENI1309[[#This Row],[ALT_KOD]])+AVERAGEIFS(L:L,D:D,DST_123_ÜRETİM_İHTİYAÇ_RAPORU_BURAK_YENI1309[[#This Row],[ALT_KOD]]))</f>
        <v>52</v>
      </c>
      <c r="L1676">
        <v>0</v>
      </c>
      <c r="M1676">
        <f>IF((DST_123_ÜRETİM_İHTİYAÇ_RAPORU_BURAK_YENI1309[[#This Row],[SATINALMA]]*DST_123_ÜRETİM_İHTİYAÇ_RAPORU_BURAK_YENI1309[[#This Row],[BIRIM_FIYATLAR]])&lt;1,VALUE("0"),DST_123_ÜRETİM_İHTİYAÇ_RAPORU_BURAK_YENI1309[[#This Row],[SATINALMA]]*DST_123_ÜRETİM_İHTİYAÇ_RAPORU_BURAK_YENI1309[[#This Row],[BIRIM_FIYATLAR]])</f>
        <v>28423.200000000001</v>
      </c>
      <c r="N1676">
        <v>546.6</v>
      </c>
      <c r="O1676" t="s">
        <v>253</v>
      </c>
      <c r="P1676">
        <v>1093.2</v>
      </c>
      <c r="Q1676" t="s">
        <v>181</v>
      </c>
    </row>
    <row r="1677" spans="1:17" x14ac:dyDescent="0.25">
      <c r="A1677" t="s">
        <v>1059</v>
      </c>
      <c r="B1677" t="s">
        <v>1058</v>
      </c>
      <c r="C1677" t="s">
        <v>175</v>
      </c>
      <c r="D1677" t="s">
        <v>464</v>
      </c>
      <c r="E1677" t="s">
        <v>465</v>
      </c>
      <c r="F1677">
        <v>2</v>
      </c>
      <c r="G1677" t="s">
        <v>176</v>
      </c>
      <c r="H1677">
        <v>0</v>
      </c>
      <c r="I1677">
        <v>222</v>
      </c>
      <c r="J1677" s="10">
        <v>2</v>
      </c>
      <c r="K1677" s="10">
        <f>SUMIFS(F:F,D:D,DST_123_ÜRETİM_İHTİYAÇ_RAPORU_BURAK_YENI1309[[#This Row],[ALT_KOD]])-(SUMIFS(H:H,D:D,DST_123_ÜRETİM_İHTİYAÇ_RAPORU_BURAK_YENI1309[[#This Row],[ALT_KOD]])+AVERAGEIFS(I:I,D:D,DST_123_ÜRETİM_İHTİYAÇ_RAPORU_BURAK_YENI1309[[#This Row],[ALT_KOD]])+AVERAGEIFS(L:L,D:D,DST_123_ÜRETİM_İHTİYAÇ_RAPORU_BURAK_YENI1309[[#This Row],[ALT_KOD]]))</f>
        <v>-166</v>
      </c>
      <c r="L1677">
        <v>0</v>
      </c>
      <c r="M1677">
        <f>IF((DST_123_ÜRETİM_İHTİYAÇ_RAPORU_BURAK_YENI1309[[#This Row],[SATINALMA]]*DST_123_ÜRETİM_İHTİYAÇ_RAPORU_BURAK_YENI1309[[#This Row],[BIRIM_FIYATLAR]])&lt;1,VALUE("0"),DST_123_ÜRETİM_İHTİYAÇ_RAPORU_BURAK_YENI1309[[#This Row],[SATINALMA]]*DST_123_ÜRETİM_İHTİYAÇ_RAPORU_BURAK_YENI1309[[#This Row],[BIRIM_FIYATLAR]])</f>
        <v>0</v>
      </c>
      <c r="N1677">
        <v>11.5</v>
      </c>
      <c r="O1677" t="s">
        <v>240</v>
      </c>
      <c r="P1677">
        <v>23</v>
      </c>
      <c r="Q1677" t="s">
        <v>178</v>
      </c>
    </row>
    <row r="1678" spans="1:17" x14ac:dyDescent="0.25">
      <c r="A1678" t="s">
        <v>1099</v>
      </c>
      <c r="B1678" t="s">
        <v>1055</v>
      </c>
      <c r="C1678" t="s">
        <v>175</v>
      </c>
      <c r="D1678" t="s">
        <v>833</v>
      </c>
      <c r="E1678" t="s">
        <v>834</v>
      </c>
      <c r="F1678">
        <v>0.5</v>
      </c>
      <c r="G1678" t="s">
        <v>179</v>
      </c>
      <c r="H1678">
        <v>0</v>
      </c>
      <c r="I1678">
        <v>0</v>
      </c>
      <c r="J1678" s="10">
        <v>36.5</v>
      </c>
      <c r="K1678" s="10">
        <f>SUMIFS(F:F,D:D,DST_123_ÜRETİM_İHTİYAÇ_RAPORU_BURAK_YENI1309[[#This Row],[ALT_KOD]])-(SUMIFS(H:H,D:D,DST_123_ÜRETİM_İHTİYAÇ_RAPORU_BURAK_YENI1309[[#This Row],[ALT_KOD]])+AVERAGEIFS(I:I,D:D,DST_123_ÜRETİM_İHTİYAÇ_RAPORU_BURAK_YENI1309[[#This Row],[ALT_KOD]])+AVERAGEIFS(L:L,D:D,DST_123_ÜRETİM_İHTİYAÇ_RAPORU_BURAK_YENI1309[[#This Row],[ALT_KOD]]))</f>
        <v>9</v>
      </c>
      <c r="L1678">
        <v>0</v>
      </c>
      <c r="M1678">
        <f>IF((DST_123_ÜRETİM_İHTİYAÇ_RAPORU_BURAK_YENI1309[[#This Row],[SATINALMA]]*DST_123_ÜRETİM_İHTİYAÇ_RAPORU_BURAK_YENI1309[[#This Row],[BIRIM_FIYATLAR]])&lt;1,VALUE("0"),DST_123_ÜRETİM_İHTİYAÇ_RAPORU_BURAK_YENI1309[[#This Row],[SATINALMA]]*DST_123_ÜRETİM_İHTİYAÇ_RAPORU_BURAK_YENI1309[[#This Row],[BIRIM_FIYATLAR]])</f>
        <v>250.29</v>
      </c>
      <c r="N1678">
        <v>27.81</v>
      </c>
      <c r="O1678" t="s">
        <v>835</v>
      </c>
      <c r="P1678">
        <v>13.904999999999999</v>
      </c>
      <c r="Q1678" t="s">
        <v>184</v>
      </c>
    </row>
    <row r="1679" spans="1:17" x14ac:dyDescent="0.25">
      <c r="A1679" t="s">
        <v>1148</v>
      </c>
      <c r="B1679" t="s">
        <v>1056</v>
      </c>
      <c r="C1679" t="s">
        <v>175</v>
      </c>
      <c r="D1679" t="s">
        <v>126</v>
      </c>
      <c r="E1679" t="s">
        <v>127</v>
      </c>
      <c r="F1679">
        <v>50</v>
      </c>
      <c r="G1679" t="s">
        <v>179</v>
      </c>
      <c r="H1679">
        <v>0</v>
      </c>
      <c r="I1679">
        <v>0</v>
      </c>
      <c r="J1679" s="10">
        <v>2254.0000000000009</v>
      </c>
      <c r="K1679" s="10">
        <f>SUMIFS(F:F,D:D,DST_123_ÜRETİM_İHTİYAÇ_RAPORU_BURAK_YENI1309[[#This Row],[ALT_KOD]])-(SUMIFS(H:H,D:D,DST_123_ÜRETİM_İHTİYAÇ_RAPORU_BURAK_YENI1309[[#This Row],[ALT_KOD]])+AVERAGEIFS(I:I,D:D,DST_123_ÜRETİM_İHTİYAÇ_RAPORU_BURAK_YENI1309[[#This Row],[ALT_KOD]])+AVERAGEIFS(L:L,D:D,DST_123_ÜRETİM_İHTİYAÇ_RAPORU_BURAK_YENI1309[[#This Row],[ALT_KOD]]))</f>
        <v>300</v>
      </c>
      <c r="L1679">
        <v>0</v>
      </c>
      <c r="M1679">
        <f>IF((DST_123_ÜRETİM_İHTİYAÇ_RAPORU_BURAK_YENI1309[[#This Row],[SATINALMA]]*DST_123_ÜRETİM_İHTİYAÇ_RAPORU_BURAK_YENI1309[[#This Row],[BIRIM_FIYATLAR]])&lt;1,VALUE("0"),DST_123_ÜRETİM_İHTİYAÇ_RAPORU_BURAK_YENI1309[[#This Row],[SATINALMA]]*DST_123_ÜRETİM_İHTİYAÇ_RAPORU_BURAK_YENI1309[[#This Row],[BIRIM_FIYATLAR]])</f>
        <v>3110.9999999999995</v>
      </c>
      <c r="N1679">
        <v>10.37</v>
      </c>
      <c r="O1679" t="s">
        <v>223</v>
      </c>
      <c r="P1679">
        <v>518.5</v>
      </c>
      <c r="Q1679" t="s">
        <v>181</v>
      </c>
    </row>
    <row r="1680" spans="1:17" x14ac:dyDescent="0.25">
      <c r="A1680" t="s">
        <v>1060</v>
      </c>
      <c r="B1680" t="s">
        <v>1061</v>
      </c>
      <c r="C1680" t="s">
        <v>175</v>
      </c>
      <c r="D1680" t="s">
        <v>128</v>
      </c>
      <c r="E1680" t="s">
        <v>129</v>
      </c>
      <c r="F1680">
        <v>7</v>
      </c>
      <c r="G1680" t="s">
        <v>185</v>
      </c>
      <c r="H1680">
        <v>7</v>
      </c>
      <c r="I1680">
        <v>0</v>
      </c>
      <c r="J1680" s="10">
        <v>260.61</v>
      </c>
      <c r="K1680" s="10">
        <f>SUMIFS(F:F,D:D,DST_123_ÜRETİM_İHTİYAÇ_RAPORU_BURAK_YENI1309[[#This Row],[ALT_KOD]])-(SUMIFS(H:H,D:D,DST_123_ÜRETİM_İHTİYAÇ_RAPORU_BURAK_YENI1309[[#This Row],[ALT_KOD]])+AVERAGEIFS(I:I,D:D,DST_123_ÜRETİM_İHTİYAÇ_RAPORU_BURAK_YENI1309[[#This Row],[ALT_KOD]])+AVERAGEIFS(L:L,D:D,DST_123_ÜRETİM_İHTİYAÇ_RAPORU_BURAK_YENI1309[[#This Row],[ALT_KOD]]))</f>
        <v>97.559999999999988</v>
      </c>
      <c r="L1680">
        <v>0</v>
      </c>
      <c r="M1680">
        <f>IF((DST_123_ÜRETİM_İHTİYAÇ_RAPORU_BURAK_YENI1309[[#This Row],[SATINALMA]]*DST_123_ÜRETİM_İHTİYAÇ_RAPORU_BURAK_YENI1309[[#This Row],[BIRIM_FIYATLAR]])&lt;1,VALUE("0"),DST_123_ÜRETİM_İHTİYAÇ_RAPORU_BURAK_YENI1309[[#This Row],[SATINALMA]]*DST_123_ÜRETİM_İHTİYAÇ_RAPORU_BURAK_YENI1309[[#This Row],[BIRIM_FIYATLAR]])</f>
        <v>13285.720799999999</v>
      </c>
      <c r="N1680">
        <v>136.18</v>
      </c>
      <c r="O1680" t="s">
        <v>252</v>
      </c>
      <c r="P1680">
        <v>953.26</v>
      </c>
      <c r="Q1680" t="s">
        <v>183</v>
      </c>
    </row>
    <row r="1681" spans="1:17" x14ac:dyDescent="0.25">
      <c r="A1681" t="s">
        <v>1100</v>
      </c>
      <c r="B1681" t="s">
        <v>1058</v>
      </c>
      <c r="C1681" t="s">
        <v>175</v>
      </c>
      <c r="D1681" t="s">
        <v>128</v>
      </c>
      <c r="E1681" t="s">
        <v>129</v>
      </c>
      <c r="F1681">
        <v>6</v>
      </c>
      <c r="G1681" t="s">
        <v>185</v>
      </c>
      <c r="H1681">
        <v>6</v>
      </c>
      <c r="I1681">
        <v>0</v>
      </c>
      <c r="J1681" s="10">
        <v>260.61</v>
      </c>
      <c r="K1681" s="10">
        <f>SUMIFS(F:F,D:D,DST_123_ÜRETİM_İHTİYAÇ_RAPORU_BURAK_YENI1309[[#This Row],[ALT_KOD]])-(SUMIFS(H:H,D:D,DST_123_ÜRETİM_İHTİYAÇ_RAPORU_BURAK_YENI1309[[#This Row],[ALT_KOD]])+AVERAGEIFS(I:I,D:D,DST_123_ÜRETİM_İHTİYAÇ_RAPORU_BURAK_YENI1309[[#This Row],[ALT_KOD]])+AVERAGEIFS(L:L,D:D,DST_123_ÜRETİM_İHTİYAÇ_RAPORU_BURAK_YENI1309[[#This Row],[ALT_KOD]]))</f>
        <v>97.559999999999988</v>
      </c>
      <c r="L1681">
        <v>0</v>
      </c>
      <c r="M1681">
        <f>IF((DST_123_ÜRETİM_İHTİYAÇ_RAPORU_BURAK_YENI1309[[#This Row],[SATINALMA]]*DST_123_ÜRETİM_İHTİYAÇ_RAPORU_BURAK_YENI1309[[#This Row],[BIRIM_FIYATLAR]])&lt;1,VALUE("0"),DST_123_ÜRETİM_İHTİYAÇ_RAPORU_BURAK_YENI1309[[#This Row],[SATINALMA]]*DST_123_ÜRETİM_İHTİYAÇ_RAPORU_BURAK_YENI1309[[#This Row],[BIRIM_FIYATLAR]])</f>
        <v>13285.720799999999</v>
      </c>
      <c r="N1681">
        <v>136.18</v>
      </c>
      <c r="O1681" t="s">
        <v>252</v>
      </c>
      <c r="P1681">
        <v>817.08</v>
      </c>
      <c r="Q1681" t="s">
        <v>183</v>
      </c>
    </row>
    <row r="1682" spans="1:17" x14ac:dyDescent="0.25">
      <c r="A1682" t="s">
        <v>1147</v>
      </c>
      <c r="B1682" t="s">
        <v>1145</v>
      </c>
      <c r="C1682" t="s">
        <v>175</v>
      </c>
      <c r="D1682" t="s">
        <v>128</v>
      </c>
      <c r="E1682" t="s">
        <v>129</v>
      </c>
      <c r="F1682">
        <v>7</v>
      </c>
      <c r="G1682" t="s">
        <v>185</v>
      </c>
      <c r="H1682">
        <v>0</v>
      </c>
      <c r="I1682">
        <v>0</v>
      </c>
      <c r="J1682" s="10">
        <v>260.61</v>
      </c>
      <c r="K1682" s="10">
        <f>SUMIFS(F:F,D:D,DST_123_ÜRETİM_İHTİYAÇ_RAPORU_BURAK_YENI1309[[#This Row],[ALT_KOD]])-(SUMIFS(H:H,D:D,DST_123_ÜRETİM_İHTİYAÇ_RAPORU_BURAK_YENI1309[[#This Row],[ALT_KOD]])+AVERAGEIFS(I:I,D:D,DST_123_ÜRETİM_İHTİYAÇ_RAPORU_BURAK_YENI1309[[#This Row],[ALT_KOD]])+AVERAGEIFS(L:L,D:D,DST_123_ÜRETİM_İHTİYAÇ_RAPORU_BURAK_YENI1309[[#This Row],[ALT_KOD]]))</f>
        <v>97.559999999999988</v>
      </c>
      <c r="L1682">
        <v>0</v>
      </c>
      <c r="M1682">
        <f>IF((DST_123_ÜRETİM_İHTİYAÇ_RAPORU_BURAK_YENI1309[[#This Row],[SATINALMA]]*DST_123_ÜRETİM_İHTİYAÇ_RAPORU_BURAK_YENI1309[[#This Row],[BIRIM_FIYATLAR]])&lt;1,VALUE("0"),DST_123_ÜRETİM_İHTİYAÇ_RAPORU_BURAK_YENI1309[[#This Row],[SATINALMA]]*DST_123_ÜRETİM_İHTİYAÇ_RAPORU_BURAK_YENI1309[[#This Row],[BIRIM_FIYATLAR]])</f>
        <v>13285.720799999999</v>
      </c>
      <c r="N1682">
        <v>136.18</v>
      </c>
      <c r="O1682" t="s">
        <v>252</v>
      </c>
      <c r="P1682">
        <v>953.26</v>
      </c>
      <c r="Q1682" t="s">
        <v>183</v>
      </c>
    </row>
    <row r="1683" spans="1:17" x14ac:dyDescent="0.25">
      <c r="A1683" t="s">
        <v>1148</v>
      </c>
      <c r="B1683" t="s">
        <v>1056</v>
      </c>
      <c r="C1683" t="s">
        <v>175</v>
      </c>
      <c r="D1683" t="s">
        <v>128</v>
      </c>
      <c r="E1683" t="s">
        <v>129</v>
      </c>
      <c r="F1683">
        <v>8.89</v>
      </c>
      <c r="G1683" t="s">
        <v>185</v>
      </c>
      <c r="H1683">
        <v>0</v>
      </c>
      <c r="I1683">
        <v>0</v>
      </c>
      <c r="J1683" s="10">
        <v>260.61</v>
      </c>
      <c r="K1683" s="10">
        <f>SUMIFS(F:F,D:D,DST_123_ÜRETİM_İHTİYAÇ_RAPORU_BURAK_YENI1309[[#This Row],[ALT_KOD]])-(SUMIFS(H:H,D:D,DST_123_ÜRETİM_İHTİYAÇ_RAPORU_BURAK_YENI1309[[#This Row],[ALT_KOD]])+AVERAGEIFS(I:I,D:D,DST_123_ÜRETİM_İHTİYAÇ_RAPORU_BURAK_YENI1309[[#This Row],[ALT_KOD]])+AVERAGEIFS(L:L,D:D,DST_123_ÜRETİM_İHTİYAÇ_RAPORU_BURAK_YENI1309[[#This Row],[ALT_KOD]]))</f>
        <v>97.559999999999988</v>
      </c>
      <c r="L1683">
        <v>0</v>
      </c>
      <c r="M1683">
        <f>IF((DST_123_ÜRETİM_İHTİYAÇ_RAPORU_BURAK_YENI1309[[#This Row],[SATINALMA]]*DST_123_ÜRETİM_İHTİYAÇ_RAPORU_BURAK_YENI1309[[#This Row],[BIRIM_FIYATLAR]])&lt;1,VALUE("0"),DST_123_ÜRETİM_İHTİYAÇ_RAPORU_BURAK_YENI1309[[#This Row],[SATINALMA]]*DST_123_ÜRETİM_İHTİYAÇ_RAPORU_BURAK_YENI1309[[#This Row],[BIRIM_FIYATLAR]])</f>
        <v>13285.720799999999</v>
      </c>
      <c r="N1683">
        <v>136.18</v>
      </c>
      <c r="O1683" t="s">
        <v>252</v>
      </c>
      <c r="P1683">
        <v>1210.6402</v>
      </c>
      <c r="Q1683" t="s">
        <v>183</v>
      </c>
    </row>
    <row r="1684" spans="1:17" x14ac:dyDescent="0.25">
      <c r="A1684" t="s">
        <v>1095</v>
      </c>
      <c r="B1684" t="s">
        <v>1096</v>
      </c>
      <c r="C1684" t="s">
        <v>175</v>
      </c>
      <c r="D1684" t="s">
        <v>84</v>
      </c>
      <c r="E1684" t="s">
        <v>85</v>
      </c>
      <c r="F1684">
        <v>2</v>
      </c>
      <c r="G1684" t="s">
        <v>176</v>
      </c>
      <c r="H1684">
        <v>0</v>
      </c>
      <c r="I1684">
        <v>40</v>
      </c>
      <c r="J1684" s="10">
        <v>16</v>
      </c>
      <c r="K1684" s="10">
        <f>SUMIFS(F:F,D:D,DST_123_ÜRETİM_İHTİYAÇ_RAPORU_BURAK_YENI1309[[#This Row],[ALT_KOD]])-(SUMIFS(H:H,D:D,DST_123_ÜRETİM_İHTİYAÇ_RAPORU_BURAK_YENI1309[[#This Row],[ALT_KOD]])+AVERAGEIFS(I:I,D:D,DST_123_ÜRETİM_İHTİYAÇ_RAPORU_BURAK_YENI1309[[#This Row],[ALT_KOD]])+AVERAGEIFS(L:L,D:D,DST_123_ÜRETİM_İHTİYAÇ_RAPORU_BURAK_YENI1309[[#This Row],[ALT_KOD]]))</f>
        <v>-18</v>
      </c>
      <c r="L1684">
        <v>0</v>
      </c>
      <c r="M1684">
        <f>IF((DST_123_ÜRETİM_İHTİYAÇ_RAPORU_BURAK_YENI1309[[#This Row],[SATINALMA]]*DST_123_ÜRETİM_İHTİYAÇ_RAPORU_BURAK_YENI1309[[#This Row],[BIRIM_FIYATLAR]])&lt;1,VALUE("0"),DST_123_ÜRETİM_İHTİYAÇ_RAPORU_BURAK_YENI1309[[#This Row],[SATINALMA]]*DST_123_ÜRETİM_İHTİYAÇ_RAPORU_BURAK_YENI1309[[#This Row],[BIRIM_FIYATLAR]])</f>
        <v>0</v>
      </c>
      <c r="N1684">
        <v>375</v>
      </c>
      <c r="O1684" t="s">
        <v>247</v>
      </c>
      <c r="P1684">
        <v>750</v>
      </c>
      <c r="Q1684" t="s">
        <v>177</v>
      </c>
    </row>
    <row r="1685" spans="1:17" x14ac:dyDescent="0.25">
      <c r="A1685" t="s">
        <v>1095</v>
      </c>
      <c r="B1685" t="s">
        <v>1096</v>
      </c>
      <c r="C1685" t="s">
        <v>175</v>
      </c>
      <c r="D1685" t="s">
        <v>198</v>
      </c>
      <c r="E1685" t="s">
        <v>199</v>
      </c>
      <c r="F1685">
        <v>1</v>
      </c>
      <c r="G1685" t="s">
        <v>176</v>
      </c>
      <c r="H1685">
        <v>0</v>
      </c>
      <c r="I1685">
        <v>1</v>
      </c>
      <c r="J1685" s="10">
        <v>8</v>
      </c>
      <c r="K1685" s="10">
        <f>SUMIFS(F:F,D:D,DST_123_ÜRETİM_İHTİYAÇ_RAPORU_BURAK_YENI1309[[#This Row],[ALT_KOD]])-(SUMIFS(H:H,D:D,DST_123_ÜRETİM_İHTİYAÇ_RAPORU_BURAK_YENI1309[[#This Row],[ALT_KOD]])+AVERAGEIFS(I:I,D:D,DST_123_ÜRETİM_İHTİYAÇ_RAPORU_BURAK_YENI1309[[#This Row],[ALT_KOD]])+AVERAGEIFS(L:L,D:D,DST_123_ÜRETİM_İHTİYAÇ_RAPORU_BURAK_YENI1309[[#This Row],[ALT_KOD]]))</f>
        <v>10</v>
      </c>
      <c r="L1685">
        <v>0</v>
      </c>
      <c r="M1685">
        <f>IF((DST_123_ÜRETİM_İHTİYAÇ_RAPORU_BURAK_YENI1309[[#This Row],[SATINALMA]]*DST_123_ÜRETİM_İHTİYAÇ_RAPORU_BURAK_YENI1309[[#This Row],[BIRIM_FIYATLAR]])&lt;1,VALUE("0"),DST_123_ÜRETİM_İHTİYAÇ_RAPORU_BURAK_YENI1309[[#This Row],[SATINALMA]]*DST_123_ÜRETİM_İHTİYAÇ_RAPORU_BURAK_YENI1309[[#This Row],[BIRIM_FIYATLAR]])</f>
        <v>156184.20000000001</v>
      </c>
      <c r="N1685">
        <v>15618.42</v>
      </c>
      <c r="O1685" t="s">
        <v>215</v>
      </c>
      <c r="P1685">
        <v>15618.42</v>
      </c>
      <c r="Q1685" t="s">
        <v>177</v>
      </c>
    </row>
    <row r="1686" spans="1:17" x14ac:dyDescent="0.25">
      <c r="A1686" t="s">
        <v>1142</v>
      </c>
      <c r="B1686" t="s">
        <v>1056</v>
      </c>
      <c r="C1686" t="s">
        <v>175</v>
      </c>
      <c r="D1686" t="s">
        <v>312</v>
      </c>
      <c r="E1686" t="s">
        <v>313</v>
      </c>
      <c r="F1686">
        <v>4</v>
      </c>
      <c r="G1686" t="s">
        <v>179</v>
      </c>
      <c r="H1686">
        <v>0</v>
      </c>
      <c r="I1686">
        <v>125</v>
      </c>
      <c r="J1686" s="10">
        <v>16.5</v>
      </c>
      <c r="K1686" s="10">
        <f>SUMIFS(F:F,D:D,DST_123_ÜRETİM_İHTİYAÇ_RAPORU_BURAK_YENI1309[[#This Row],[ALT_KOD]])-(SUMIFS(H:H,D:D,DST_123_ÜRETİM_İHTİYAÇ_RAPORU_BURAK_YENI1309[[#This Row],[ALT_KOD]])+AVERAGEIFS(I:I,D:D,DST_123_ÜRETİM_İHTİYAÇ_RAPORU_BURAK_YENI1309[[#This Row],[ALT_KOD]])+AVERAGEIFS(L:L,D:D,DST_123_ÜRETİM_İHTİYAÇ_RAPORU_BURAK_YENI1309[[#This Row],[ALT_KOD]]))</f>
        <v>-24</v>
      </c>
      <c r="L1686">
        <v>0</v>
      </c>
      <c r="M1686">
        <f>IF((DST_123_ÜRETİM_İHTİYAÇ_RAPORU_BURAK_YENI1309[[#This Row],[SATINALMA]]*DST_123_ÜRETİM_İHTİYAÇ_RAPORU_BURAK_YENI1309[[#This Row],[BIRIM_FIYATLAR]])&lt;1,VALUE("0"),DST_123_ÜRETİM_İHTİYAÇ_RAPORU_BURAK_YENI1309[[#This Row],[SATINALMA]]*DST_123_ÜRETİM_İHTİYAÇ_RAPORU_BURAK_YENI1309[[#This Row],[BIRIM_FIYATLAR]])</f>
        <v>0</v>
      </c>
      <c r="N1686">
        <v>80.84</v>
      </c>
      <c r="O1686" t="s">
        <v>314</v>
      </c>
      <c r="P1686">
        <v>323.36</v>
      </c>
      <c r="Q1686" t="s">
        <v>178</v>
      </c>
    </row>
    <row r="1687" spans="1:17" x14ac:dyDescent="0.25">
      <c r="A1687" t="s">
        <v>1146</v>
      </c>
      <c r="B1687" t="s">
        <v>1145</v>
      </c>
      <c r="C1687" t="s">
        <v>175</v>
      </c>
      <c r="D1687" t="s">
        <v>36</v>
      </c>
      <c r="E1687" t="s">
        <v>37</v>
      </c>
      <c r="F1687">
        <v>3</v>
      </c>
      <c r="G1687" t="s">
        <v>176</v>
      </c>
      <c r="H1687">
        <v>0</v>
      </c>
      <c r="I1687">
        <v>29</v>
      </c>
      <c r="J1687" s="10">
        <v>30</v>
      </c>
      <c r="K1687" s="10">
        <f>SUMIFS(F:F,D:D,DST_123_ÜRETİM_İHTİYAÇ_RAPORU_BURAK_YENI1309[[#This Row],[ALT_KOD]])-(SUMIFS(H:H,D:D,DST_123_ÜRETİM_İHTİYAÇ_RAPORU_BURAK_YENI1309[[#This Row],[ALT_KOD]])+AVERAGEIFS(I:I,D:D,DST_123_ÜRETİM_İHTİYAÇ_RAPORU_BURAK_YENI1309[[#This Row],[ALT_KOD]])+AVERAGEIFS(L:L,D:D,DST_123_ÜRETİM_İHTİYAÇ_RAPORU_BURAK_YENI1309[[#This Row],[ALT_KOD]]))</f>
        <v>10</v>
      </c>
      <c r="L1687">
        <v>0</v>
      </c>
      <c r="M1687">
        <f>IF((DST_123_ÜRETİM_İHTİYAÇ_RAPORU_BURAK_YENI1309[[#This Row],[SATINALMA]]*DST_123_ÜRETİM_İHTİYAÇ_RAPORU_BURAK_YENI1309[[#This Row],[BIRIM_FIYATLAR]])&lt;1,VALUE("0"),DST_123_ÜRETİM_İHTİYAÇ_RAPORU_BURAK_YENI1309[[#This Row],[SATINALMA]]*DST_123_ÜRETİM_İHTİYAÇ_RAPORU_BURAK_YENI1309[[#This Row],[BIRIM_FIYATLAR]])</f>
        <v>17500</v>
      </c>
      <c r="N1687">
        <v>1750</v>
      </c>
      <c r="O1687" t="s">
        <v>1220</v>
      </c>
      <c r="P1687">
        <v>5250</v>
      </c>
      <c r="Q1687" t="s">
        <v>221</v>
      </c>
    </row>
    <row r="1688" spans="1:17" x14ac:dyDescent="0.25">
      <c r="A1688" t="s">
        <v>1150</v>
      </c>
      <c r="B1688" t="s">
        <v>1145</v>
      </c>
      <c r="C1688" t="s">
        <v>175</v>
      </c>
      <c r="D1688" t="s">
        <v>36</v>
      </c>
      <c r="E1688" t="s">
        <v>37</v>
      </c>
      <c r="F1688">
        <v>3</v>
      </c>
      <c r="G1688" t="s">
        <v>176</v>
      </c>
      <c r="H1688">
        <v>0</v>
      </c>
      <c r="I1688">
        <v>29</v>
      </c>
      <c r="J1688" s="10">
        <v>30</v>
      </c>
      <c r="K1688" s="10">
        <f>SUMIFS(F:F,D:D,DST_123_ÜRETİM_İHTİYAÇ_RAPORU_BURAK_YENI1309[[#This Row],[ALT_KOD]])-(SUMIFS(H:H,D:D,DST_123_ÜRETİM_İHTİYAÇ_RAPORU_BURAK_YENI1309[[#This Row],[ALT_KOD]])+AVERAGEIFS(I:I,D:D,DST_123_ÜRETİM_İHTİYAÇ_RAPORU_BURAK_YENI1309[[#This Row],[ALT_KOD]])+AVERAGEIFS(L:L,D:D,DST_123_ÜRETİM_İHTİYAÇ_RAPORU_BURAK_YENI1309[[#This Row],[ALT_KOD]]))</f>
        <v>10</v>
      </c>
      <c r="L1688">
        <v>0</v>
      </c>
      <c r="M1688">
        <f>IF((DST_123_ÜRETİM_İHTİYAÇ_RAPORU_BURAK_YENI1309[[#This Row],[SATINALMA]]*DST_123_ÜRETİM_İHTİYAÇ_RAPORU_BURAK_YENI1309[[#This Row],[BIRIM_FIYATLAR]])&lt;1,VALUE("0"),DST_123_ÜRETİM_İHTİYAÇ_RAPORU_BURAK_YENI1309[[#This Row],[SATINALMA]]*DST_123_ÜRETİM_İHTİYAÇ_RAPORU_BURAK_YENI1309[[#This Row],[BIRIM_FIYATLAR]])</f>
        <v>17500</v>
      </c>
      <c r="N1688">
        <v>1750</v>
      </c>
      <c r="O1688" t="s">
        <v>1220</v>
      </c>
      <c r="P1688">
        <v>5250</v>
      </c>
      <c r="Q1688" t="s">
        <v>221</v>
      </c>
    </row>
    <row r="1689" spans="1:17" x14ac:dyDescent="0.25">
      <c r="A1689" t="s">
        <v>1150</v>
      </c>
      <c r="B1689" t="s">
        <v>1145</v>
      </c>
      <c r="C1689" t="s">
        <v>175</v>
      </c>
      <c r="D1689" t="s">
        <v>883</v>
      </c>
      <c r="E1689" t="s">
        <v>884</v>
      </c>
      <c r="F1689">
        <v>9</v>
      </c>
      <c r="G1689" t="s">
        <v>179</v>
      </c>
      <c r="H1689">
        <v>0</v>
      </c>
      <c r="I1689">
        <v>480</v>
      </c>
      <c r="J1689" s="10">
        <v>0</v>
      </c>
      <c r="K1689" s="10">
        <f>SUMIFS(F:F,D:D,DST_123_ÜRETİM_İHTİYAÇ_RAPORU_BURAK_YENI1309[[#This Row],[ALT_KOD]])-(SUMIFS(H:H,D:D,DST_123_ÜRETİM_İHTİYAÇ_RAPORU_BURAK_YENI1309[[#This Row],[ALT_KOD]])+AVERAGEIFS(I:I,D:D,DST_123_ÜRETİM_İHTİYAÇ_RAPORU_BURAK_YENI1309[[#This Row],[ALT_KOD]])+AVERAGEIFS(L:L,D:D,DST_123_ÜRETİM_İHTİYAÇ_RAPORU_BURAK_YENI1309[[#This Row],[ALT_KOD]]))</f>
        <v>-408</v>
      </c>
      <c r="L1689">
        <v>0</v>
      </c>
      <c r="M1689">
        <f>IF((DST_123_ÜRETİM_İHTİYAÇ_RAPORU_BURAK_YENI1309[[#This Row],[SATINALMA]]*DST_123_ÜRETİM_İHTİYAÇ_RAPORU_BURAK_YENI1309[[#This Row],[BIRIM_FIYATLAR]])&lt;1,VALUE("0"),DST_123_ÜRETİM_İHTİYAÇ_RAPORU_BURAK_YENI1309[[#This Row],[SATINALMA]]*DST_123_ÜRETİM_İHTİYAÇ_RAPORU_BURAK_YENI1309[[#This Row],[BIRIM_FIYATLAR]])</f>
        <v>0</v>
      </c>
      <c r="N1689">
        <v>4</v>
      </c>
      <c r="P1689">
        <v>36</v>
      </c>
      <c r="Q1689" t="s">
        <v>181</v>
      </c>
    </row>
    <row r="1690" spans="1:17" x14ac:dyDescent="0.25">
      <c r="A1690" t="s">
        <v>1150</v>
      </c>
      <c r="B1690" t="s">
        <v>1145</v>
      </c>
      <c r="C1690" t="s">
        <v>175</v>
      </c>
      <c r="D1690" t="s">
        <v>961</v>
      </c>
      <c r="E1690" t="s">
        <v>962</v>
      </c>
      <c r="F1690">
        <v>1</v>
      </c>
      <c r="G1690" t="s">
        <v>176</v>
      </c>
      <c r="H1690">
        <v>0</v>
      </c>
      <c r="I1690">
        <v>4</v>
      </c>
      <c r="J1690" s="10">
        <v>2</v>
      </c>
      <c r="K1690" s="10">
        <f>SUMIFS(F:F,D:D,DST_123_ÜRETİM_İHTİYAÇ_RAPORU_BURAK_YENI1309[[#This Row],[ALT_KOD]])-(SUMIFS(H:H,D:D,DST_123_ÜRETİM_İHTİYAÇ_RAPORU_BURAK_YENI1309[[#This Row],[ALT_KOD]])+AVERAGEIFS(I:I,D:D,DST_123_ÜRETİM_İHTİYAÇ_RAPORU_BURAK_YENI1309[[#This Row],[ALT_KOD]])+AVERAGEIFS(L:L,D:D,DST_123_ÜRETİM_İHTİYAÇ_RAPORU_BURAK_YENI1309[[#This Row],[ALT_KOD]]))</f>
        <v>0</v>
      </c>
      <c r="L1690">
        <v>0</v>
      </c>
      <c r="M1690">
        <f>IF((DST_123_ÜRETİM_İHTİYAÇ_RAPORU_BURAK_YENI1309[[#This Row],[SATINALMA]]*DST_123_ÜRETİM_İHTİYAÇ_RAPORU_BURAK_YENI1309[[#This Row],[BIRIM_FIYATLAR]])&lt;1,VALUE("0"),DST_123_ÜRETİM_İHTİYAÇ_RAPORU_BURAK_YENI1309[[#This Row],[SATINALMA]]*DST_123_ÜRETİM_İHTİYAÇ_RAPORU_BURAK_YENI1309[[#This Row],[BIRIM_FIYATLAR]])</f>
        <v>0</v>
      </c>
      <c r="N1690">
        <v>2249.17</v>
      </c>
      <c r="O1690" t="s">
        <v>1073</v>
      </c>
      <c r="P1690">
        <v>2249.17</v>
      </c>
      <c r="Q1690" t="s">
        <v>177</v>
      </c>
    </row>
    <row r="1691" spans="1:17" x14ac:dyDescent="0.25">
      <c r="A1691" t="s">
        <v>1099</v>
      </c>
      <c r="B1691" t="s">
        <v>1055</v>
      </c>
      <c r="C1691" t="s">
        <v>175</v>
      </c>
      <c r="D1691" t="s">
        <v>796</v>
      </c>
      <c r="E1691" t="s">
        <v>797</v>
      </c>
      <c r="F1691">
        <v>30</v>
      </c>
      <c r="G1691" t="s">
        <v>176</v>
      </c>
      <c r="H1691">
        <v>0</v>
      </c>
      <c r="I1691">
        <v>100</v>
      </c>
      <c r="J1691" s="10">
        <v>161</v>
      </c>
      <c r="K1691" s="10">
        <f>SUMIFS(F:F,D:D,DST_123_ÜRETİM_İHTİYAÇ_RAPORU_BURAK_YENI1309[[#This Row],[ALT_KOD]])-(SUMIFS(H:H,D:D,DST_123_ÜRETİM_İHTİYAÇ_RAPORU_BURAK_YENI1309[[#This Row],[ALT_KOD]])+AVERAGEIFS(I:I,D:D,DST_123_ÜRETİM_İHTİYAÇ_RAPORU_BURAK_YENI1309[[#This Row],[ALT_KOD]])+AVERAGEIFS(L:L,D:D,DST_123_ÜRETİM_İHTİYAÇ_RAPORU_BURAK_YENI1309[[#This Row],[ALT_KOD]]))</f>
        <v>-40</v>
      </c>
      <c r="L1691">
        <v>0</v>
      </c>
      <c r="M1691">
        <f>IF((DST_123_ÜRETİM_İHTİYAÇ_RAPORU_BURAK_YENI1309[[#This Row],[SATINALMA]]*DST_123_ÜRETİM_İHTİYAÇ_RAPORU_BURAK_YENI1309[[#This Row],[BIRIM_FIYATLAR]])&lt;1,VALUE("0"),DST_123_ÜRETİM_İHTİYAÇ_RAPORU_BURAK_YENI1309[[#This Row],[SATINALMA]]*DST_123_ÜRETİM_İHTİYAÇ_RAPORU_BURAK_YENI1309[[#This Row],[BIRIM_FIYATLAR]])</f>
        <v>0</v>
      </c>
      <c r="N1691">
        <v>12</v>
      </c>
      <c r="O1691" t="s">
        <v>226</v>
      </c>
      <c r="P1691">
        <v>360</v>
      </c>
      <c r="Q1691" t="s">
        <v>180</v>
      </c>
    </row>
    <row r="1692" spans="1:17" x14ac:dyDescent="0.25">
      <c r="A1692" t="s">
        <v>1099</v>
      </c>
      <c r="B1692" t="s">
        <v>1055</v>
      </c>
      <c r="C1692" t="s">
        <v>175</v>
      </c>
      <c r="D1692" t="s">
        <v>678</v>
      </c>
      <c r="E1692" t="s">
        <v>679</v>
      </c>
      <c r="F1692">
        <v>15</v>
      </c>
      <c r="G1692" t="s">
        <v>176</v>
      </c>
      <c r="H1692">
        <v>0</v>
      </c>
      <c r="I1692">
        <v>350</v>
      </c>
      <c r="J1692" s="10">
        <v>210</v>
      </c>
      <c r="K1692" s="10">
        <f>SUMIFS(F:F,D:D,DST_123_ÜRETİM_İHTİYAÇ_RAPORU_BURAK_YENI1309[[#This Row],[ALT_KOD]])-(SUMIFS(H:H,D:D,DST_123_ÜRETİM_İHTİYAÇ_RAPORU_BURAK_YENI1309[[#This Row],[ALT_KOD]])+AVERAGEIFS(I:I,D:D,DST_123_ÜRETİM_İHTİYAÇ_RAPORU_BURAK_YENI1309[[#This Row],[ALT_KOD]])+AVERAGEIFS(L:L,D:D,DST_123_ÜRETİM_İHTİYAÇ_RAPORU_BURAK_YENI1309[[#This Row],[ALT_KOD]]))</f>
        <v>-245</v>
      </c>
      <c r="L1692">
        <v>0</v>
      </c>
      <c r="M1692">
        <f>IF((DST_123_ÜRETİM_İHTİYAÇ_RAPORU_BURAK_YENI1309[[#This Row],[SATINALMA]]*DST_123_ÜRETİM_İHTİYAÇ_RAPORU_BURAK_YENI1309[[#This Row],[BIRIM_FIYATLAR]])&lt;1,VALUE("0"),DST_123_ÜRETİM_İHTİYAÇ_RAPORU_BURAK_YENI1309[[#This Row],[SATINALMA]]*DST_123_ÜRETİM_İHTİYAÇ_RAPORU_BURAK_YENI1309[[#This Row],[BIRIM_FIYATLAR]])</f>
        <v>0</v>
      </c>
      <c r="N1692">
        <v>4</v>
      </c>
      <c r="O1692" t="s">
        <v>226</v>
      </c>
      <c r="P1692">
        <v>60</v>
      </c>
      <c r="Q1692" t="s">
        <v>180</v>
      </c>
    </row>
    <row r="1693" spans="1:17" x14ac:dyDescent="0.25">
      <c r="A1693" t="s">
        <v>1144</v>
      </c>
      <c r="B1693" t="s">
        <v>1145</v>
      </c>
      <c r="C1693" t="s">
        <v>175</v>
      </c>
      <c r="D1693" t="s">
        <v>36</v>
      </c>
      <c r="E1693" t="s">
        <v>37</v>
      </c>
      <c r="F1693">
        <v>3</v>
      </c>
      <c r="G1693" t="s">
        <v>176</v>
      </c>
      <c r="H1693">
        <v>0</v>
      </c>
      <c r="I1693">
        <v>29</v>
      </c>
      <c r="J1693" s="10">
        <v>30</v>
      </c>
      <c r="K1693" s="10">
        <f>SUMIFS(F:F,D:D,DST_123_ÜRETİM_İHTİYAÇ_RAPORU_BURAK_YENI1309[[#This Row],[ALT_KOD]])-(SUMIFS(H:H,D:D,DST_123_ÜRETİM_İHTİYAÇ_RAPORU_BURAK_YENI1309[[#This Row],[ALT_KOD]])+AVERAGEIFS(I:I,D:D,DST_123_ÜRETİM_İHTİYAÇ_RAPORU_BURAK_YENI1309[[#This Row],[ALT_KOD]])+AVERAGEIFS(L:L,D:D,DST_123_ÜRETİM_İHTİYAÇ_RAPORU_BURAK_YENI1309[[#This Row],[ALT_KOD]]))</f>
        <v>10</v>
      </c>
      <c r="L1693">
        <v>0</v>
      </c>
      <c r="M1693">
        <f>IF((DST_123_ÜRETİM_İHTİYAÇ_RAPORU_BURAK_YENI1309[[#This Row],[SATINALMA]]*DST_123_ÜRETİM_İHTİYAÇ_RAPORU_BURAK_YENI1309[[#This Row],[BIRIM_FIYATLAR]])&lt;1,VALUE("0"),DST_123_ÜRETİM_İHTİYAÇ_RAPORU_BURAK_YENI1309[[#This Row],[SATINALMA]]*DST_123_ÜRETİM_İHTİYAÇ_RAPORU_BURAK_YENI1309[[#This Row],[BIRIM_FIYATLAR]])</f>
        <v>17500</v>
      </c>
      <c r="N1693">
        <v>1750</v>
      </c>
      <c r="O1693" t="s">
        <v>1220</v>
      </c>
      <c r="P1693">
        <v>5250</v>
      </c>
      <c r="Q1693" t="s">
        <v>221</v>
      </c>
    </row>
    <row r="1694" spans="1:17" x14ac:dyDescent="0.25">
      <c r="A1694" t="s">
        <v>1144</v>
      </c>
      <c r="B1694" t="s">
        <v>1145</v>
      </c>
      <c r="C1694" t="s">
        <v>175</v>
      </c>
      <c r="D1694" t="s">
        <v>238</v>
      </c>
      <c r="E1694" t="s">
        <v>239</v>
      </c>
      <c r="F1694">
        <v>2.8</v>
      </c>
      <c r="G1694" t="s">
        <v>185</v>
      </c>
      <c r="H1694">
        <v>0</v>
      </c>
      <c r="I1694">
        <v>110</v>
      </c>
      <c r="J1694" s="10">
        <v>57.22</v>
      </c>
      <c r="K1694" s="10">
        <f>SUMIFS(F:F,D:D,DST_123_ÜRETİM_İHTİYAÇ_RAPORU_BURAK_YENI1309[[#This Row],[ALT_KOD]])-(SUMIFS(H:H,D:D,DST_123_ÜRETİM_İHTİYAÇ_RAPORU_BURAK_YENI1309[[#This Row],[ALT_KOD]])+AVERAGEIFS(I:I,D:D,DST_123_ÜRETİM_İHTİYAÇ_RAPORU_BURAK_YENI1309[[#This Row],[ALT_KOD]])+AVERAGEIFS(L:L,D:D,DST_123_ÜRETİM_İHTİYAÇ_RAPORU_BURAK_YENI1309[[#This Row],[ALT_KOD]]))</f>
        <v>-78.660000000000025</v>
      </c>
      <c r="L1694">
        <v>0</v>
      </c>
      <c r="M1694">
        <f>IF((DST_123_ÜRETİM_İHTİYAÇ_RAPORU_BURAK_YENI1309[[#This Row],[SATINALMA]]*DST_123_ÜRETİM_İHTİYAÇ_RAPORU_BURAK_YENI1309[[#This Row],[BIRIM_FIYATLAR]])&lt;1,VALUE("0"),DST_123_ÜRETİM_İHTİYAÇ_RAPORU_BURAK_YENI1309[[#This Row],[SATINALMA]]*DST_123_ÜRETİM_İHTİYAÇ_RAPORU_BURAK_YENI1309[[#This Row],[BIRIM_FIYATLAR]])</f>
        <v>0</v>
      </c>
      <c r="N1694">
        <v>40</v>
      </c>
      <c r="O1694" t="s">
        <v>240</v>
      </c>
      <c r="P1694">
        <v>112</v>
      </c>
      <c r="Q1694" t="s">
        <v>180</v>
      </c>
    </row>
    <row r="1695" spans="1:17" x14ac:dyDescent="0.25">
      <c r="A1695" t="s">
        <v>1149</v>
      </c>
      <c r="B1695" t="s">
        <v>1145</v>
      </c>
      <c r="C1695" t="s">
        <v>175</v>
      </c>
      <c r="D1695" t="s">
        <v>883</v>
      </c>
      <c r="E1695" t="s">
        <v>884</v>
      </c>
      <c r="F1695">
        <v>9</v>
      </c>
      <c r="G1695" t="s">
        <v>179</v>
      </c>
      <c r="H1695">
        <v>0</v>
      </c>
      <c r="I1695">
        <v>480</v>
      </c>
      <c r="J1695" s="10">
        <v>0</v>
      </c>
      <c r="K1695" s="10">
        <f>SUMIFS(F:F,D:D,DST_123_ÜRETİM_İHTİYAÇ_RAPORU_BURAK_YENI1309[[#This Row],[ALT_KOD]])-(SUMIFS(H:H,D:D,DST_123_ÜRETİM_İHTİYAÇ_RAPORU_BURAK_YENI1309[[#This Row],[ALT_KOD]])+AVERAGEIFS(I:I,D:D,DST_123_ÜRETİM_İHTİYAÇ_RAPORU_BURAK_YENI1309[[#This Row],[ALT_KOD]])+AVERAGEIFS(L:L,D:D,DST_123_ÜRETİM_İHTİYAÇ_RAPORU_BURAK_YENI1309[[#This Row],[ALT_KOD]]))</f>
        <v>-408</v>
      </c>
      <c r="L1695">
        <v>0</v>
      </c>
      <c r="M1695">
        <f>IF((DST_123_ÜRETİM_İHTİYAÇ_RAPORU_BURAK_YENI1309[[#This Row],[SATINALMA]]*DST_123_ÜRETİM_İHTİYAÇ_RAPORU_BURAK_YENI1309[[#This Row],[BIRIM_FIYATLAR]])&lt;1,VALUE("0"),DST_123_ÜRETİM_İHTİYAÇ_RAPORU_BURAK_YENI1309[[#This Row],[SATINALMA]]*DST_123_ÜRETİM_İHTİYAÇ_RAPORU_BURAK_YENI1309[[#This Row],[BIRIM_FIYATLAR]])</f>
        <v>0</v>
      </c>
      <c r="N1695">
        <v>4</v>
      </c>
      <c r="P1695">
        <v>36</v>
      </c>
      <c r="Q1695" t="s">
        <v>181</v>
      </c>
    </row>
    <row r="1696" spans="1:17" x14ac:dyDescent="0.25">
      <c r="A1696" t="s">
        <v>1144</v>
      </c>
      <c r="B1696" t="s">
        <v>1145</v>
      </c>
      <c r="C1696" t="s">
        <v>175</v>
      </c>
      <c r="D1696" t="s">
        <v>961</v>
      </c>
      <c r="E1696" t="s">
        <v>962</v>
      </c>
      <c r="F1696">
        <v>1</v>
      </c>
      <c r="G1696" t="s">
        <v>176</v>
      </c>
      <c r="H1696">
        <v>0</v>
      </c>
      <c r="I1696">
        <v>4</v>
      </c>
      <c r="J1696" s="10">
        <v>2</v>
      </c>
      <c r="K1696" s="10">
        <f>SUMIFS(F:F,D:D,DST_123_ÜRETİM_İHTİYAÇ_RAPORU_BURAK_YENI1309[[#This Row],[ALT_KOD]])-(SUMIFS(H:H,D:D,DST_123_ÜRETİM_İHTİYAÇ_RAPORU_BURAK_YENI1309[[#This Row],[ALT_KOD]])+AVERAGEIFS(I:I,D:D,DST_123_ÜRETİM_İHTİYAÇ_RAPORU_BURAK_YENI1309[[#This Row],[ALT_KOD]])+AVERAGEIFS(L:L,D:D,DST_123_ÜRETİM_İHTİYAÇ_RAPORU_BURAK_YENI1309[[#This Row],[ALT_KOD]]))</f>
        <v>0</v>
      </c>
      <c r="L1696">
        <v>0</v>
      </c>
      <c r="M1696">
        <f>IF((DST_123_ÜRETİM_İHTİYAÇ_RAPORU_BURAK_YENI1309[[#This Row],[SATINALMA]]*DST_123_ÜRETİM_İHTİYAÇ_RAPORU_BURAK_YENI1309[[#This Row],[BIRIM_FIYATLAR]])&lt;1,VALUE("0"),DST_123_ÜRETİM_İHTİYAÇ_RAPORU_BURAK_YENI1309[[#This Row],[SATINALMA]]*DST_123_ÜRETİM_İHTİYAÇ_RAPORU_BURAK_YENI1309[[#This Row],[BIRIM_FIYATLAR]])</f>
        <v>0</v>
      </c>
      <c r="N1696">
        <v>2249.17</v>
      </c>
      <c r="O1696" t="s">
        <v>1073</v>
      </c>
      <c r="P1696">
        <v>2249.17</v>
      </c>
      <c r="Q1696" t="s">
        <v>177</v>
      </c>
    </row>
    <row r="1697" spans="1:17" x14ac:dyDescent="0.25">
      <c r="A1697" t="s">
        <v>1099</v>
      </c>
      <c r="B1697" t="s">
        <v>1055</v>
      </c>
      <c r="C1697" t="s">
        <v>175</v>
      </c>
      <c r="D1697" t="s">
        <v>36</v>
      </c>
      <c r="E1697" t="s">
        <v>37</v>
      </c>
      <c r="F1697">
        <v>3</v>
      </c>
      <c r="G1697" t="s">
        <v>176</v>
      </c>
      <c r="H1697">
        <v>0</v>
      </c>
      <c r="I1697">
        <v>29</v>
      </c>
      <c r="J1697" s="10">
        <v>30</v>
      </c>
      <c r="K1697" s="10">
        <f>SUMIFS(F:F,D:D,DST_123_ÜRETİM_İHTİYAÇ_RAPORU_BURAK_YENI1309[[#This Row],[ALT_KOD]])-(SUMIFS(H:H,D:D,DST_123_ÜRETİM_İHTİYAÇ_RAPORU_BURAK_YENI1309[[#This Row],[ALT_KOD]])+AVERAGEIFS(I:I,D:D,DST_123_ÜRETİM_İHTİYAÇ_RAPORU_BURAK_YENI1309[[#This Row],[ALT_KOD]])+AVERAGEIFS(L:L,D:D,DST_123_ÜRETİM_İHTİYAÇ_RAPORU_BURAK_YENI1309[[#This Row],[ALT_KOD]]))</f>
        <v>10</v>
      </c>
      <c r="L1697">
        <v>0</v>
      </c>
      <c r="M1697">
        <f>IF((DST_123_ÜRETİM_İHTİYAÇ_RAPORU_BURAK_YENI1309[[#This Row],[SATINALMA]]*DST_123_ÜRETİM_İHTİYAÇ_RAPORU_BURAK_YENI1309[[#This Row],[BIRIM_FIYATLAR]])&lt;1,VALUE("0"),DST_123_ÜRETİM_İHTİYAÇ_RAPORU_BURAK_YENI1309[[#This Row],[SATINALMA]]*DST_123_ÜRETİM_İHTİYAÇ_RAPORU_BURAK_YENI1309[[#This Row],[BIRIM_FIYATLAR]])</f>
        <v>17500</v>
      </c>
      <c r="N1697">
        <v>1750</v>
      </c>
      <c r="O1697" t="s">
        <v>1220</v>
      </c>
      <c r="P1697">
        <v>5250</v>
      </c>
      <c r="Q1697" t="s">
        <v>221</v>
      </c>
    </row>
    <row r="1698" spans="1:17" x14ac:dyDescent="0.25">
      <c r="A1698" t="s">
        <v>1099</v>
      </c>
      <c r="B1698" t="s">
        <v>1055</v>
      </c>
      <c r="C1698" t="s">
        <v>175</v>
      </c>
      <c r="D1698" t="s">
        <v>238</v>
      </c>
      <c r="E1698" t="s">
        <v>239</v>
      </c>
      <c r="F1698">
        <v>3.71</v>
      </c>
      <c r="G1698" t="s">
        <v>185</v>
      </c>
      <c r="H1698">
        <v>3.71</v>
      </c>
      <c r="I1698">
        <v>110</v>
      </c>
      <c r="J1698" s="10">
        <v>57.22</v>
      </c>
      <c r="K1698" s="10">
        <f>SUMIFS(F:F,D:D,DST_123_ÜRETİM_İHTİYAÇ_RAPORU_BURAK_YENI1309[[#This Row],[ALT_KOD]])-(SUMIFS(H:H,D:D,DST_123_ÜRETİM_İHTİYAÇ_RAPORU_BURAK_YENI1309[[#This Row],[ALT_KOD]])+AVERAGEIFS(I:I,D:D,DST_123_ÜRETİM_İHTİYAÇ_RAPORU_BURAK_YENI1309[[#This Row],[ALT_KOD]])+AVERAGEIFS(L:L,D:D,DST_123_ÜRETİM_İHTİYAÇ_RAPORU_BURAK_YENI1309[[#This Row],[ALT_KOD]]))</f>
        <v>-78.660000000000025</v>
      </c>
      <c r="L1698">
        <v>0</v>
      </c>
      <c r="M1698">
        <f>IF((DST_123_ÜRETİM_İHTİYAÇ_RAPORU_BURAK_YENI1309[[#This Row],[SATINALMA]]*DST_123_ÜRETİM_İHTİYAÇ_RAPORU_BURAK_YENI1309[[#This Row],[BIRIM_FIYATLAR]])&lt;1,VALUE("0"),DST_123_ÜRETİM_İHTİYAÇ_RAPORU_BURAK_YENI1309[[#This Row],[SATINALMA]]*DST_123_ÜRETİM_İHTİYAÇ_RAPORU_BURAK_YENI1309[[#This Row],[BIRIM_FIYATLAR]])</f>
        <v>0</v>
      </c>
      <c r="N1698">
        <v>40</v>
      </c>
      <c r="O1698" t="s">
        <v>240</v>
      </c>
      <c r="P1698">
        <v>148.4</v>
      </c>
      <c r="Q1698" t="s">
        <v>180</v>
      </c>
    </row>
    <row r="1699" spans="1:17" x14ac:dyDescent="0.25">
      <c r="A1699" t="s">
        <v>1196</v>
      </c>
      <c r="B1699" t="s">
        <v>1197</v>
      </c>
      <c r="C1699" t="s">
        <v>175</v>
      </c>
      <c r="D1699" t="s">
        <v>36</v>
      </c>
      <c r="E1699" t="s">
        <v>37</v>
      </c>
      <c r="F1699">
        <v>3</v>
      </c>
      <c r="G1699" t="s">
        <v>176</v>
      </c>
      <c r="H1699">
        <v>0</v>
      </c>
      <c r="I1699">
        <v>29</v>
      </c>
      <c r="J1699" s="10">
        <v>30</v>
      </c>
      <c r="K1699" s="10">
        <f>SUMIFS(F:F,D:D,DST_123_ÜRETİM_İHTİYAÇ_RAPORU_BURAK_YENI1309[[#This Row],[ALT_KOD]])-(SUMIFS(H:H,D:D,DST_123_ÜRETİM_İHTİYAÇ_RAPORU_BURAK_YENI1309[[#This Row],[ALT_KOD]])+AVERAGEIFS(I:I,D:D,DST_123_ÜRETİM_İHTİYAÇ_RAPORU_BURAK_YENI1309[[#This Row],[ALT_KOD]])+AVERAGEIFS(L:L,D:D,DST_123_ÜRETİM_İHTİYAÇ_RAPORU_BURAK_YENI1309[[#This Row],[ALT_KOD]]))</f>
        <v>10</v>
      </c>
      <c r="L1699">
        <v>0</v>
      </c>
      <c r="M1699">
        <f>IF((DST_123_ÜRETİM_İHTİYAÇ_RAPORU_BURAK_YENI1309[[#This Row],[SATINALMA]]*DST_123_ÜRETİM_İHTİYAÇ_RAPORU_BURAK_YENI1309[[#This Row],[BIRIM_FIYATLAR]])&lt;1,VALUE("0"),DST_123_ÜRETİM_İHTİYAÇ_RAPORU_BURAK_YENI1309[[#This Row],[SATINALMA]]*DST_123_ÜRETİM_İHTİYAÇ_RAPORU_BURAK_YENI1309[[#This Row],[BIRIM_FIYATLAR]])</f>
        <v>17500</v>
      </c>
      <c r="N1699">
        <v>1750</v>
      </c>
      <c r="O1699" t="s">
        <v>1220</v>
      </c>
      <c r="P1699">
        <v>5250</v>
      </c>
      <c r="Q1699" t="s">
        <v>221</v>
      </c>
    </row>
    <row r="1700" spans="1:17" x14ac:dyDescent="0.25">
      <c r="A1700" t="s">
        <v>1098</v>
      </c>
      <c r="B1700" t="s">
        <v>1096</v>
      </c>
      <c r="C1700" t="s">
        <v>175</v>
      </c>
      <c r="D1700" t="s">
        <v>36</v>
      </c>
      <c r="E1700" t="s">
        <v>37</v>
      </c>
      <c r="F1700">
        <v>3</v>
      </c>
      <c r="G1700" t="s">
        <v>176</v>
      </c>
      <c r="H1700">
        <v>0</v>
      </c>
      <c r="I1700">
        <v>29</v>
      </c>
      <c r="J1700" s="10">
        <v>30</v>
      </c>
      <c r="K1700" s="10">
        <f>SUMIFS(F:F,D:D,DST_123_ÜRETİM_İHTİYAÇ_RAPORU_BURAK_YENI1309[[#This Row],[ALT_KOD]])-(SUMIFS(H:H,D:D,DST_123_ÜRETİM_İHTİYAÇ_RAPORU_BURAK_YENI1309[[#This Row],[ALT_KOD]])+AVERAGEIFS(I:I,D:D,DST_123_ÜRETİM_İHTİYAÇ_RAPORU_BURAK_YENI1309[[#This Row],[ALT_KOD]])+AVERAGEIFS(L:L,D:D,DST_123_ÜRETİM_İHTİYAÇ_RAPORU_BURAK_YENI1309[[#This Row],[ALT_KOD]]))</f>
        <v>10</v>
      </c>
      <c r="L1700">
        <v>0</v>
      </c>
      <c r="M1700">
        <f>IF((DST_123_ÜRETİM_İHTİYAÇ_RAPORU_BURAK_YENI1309[[#This Row],[SATINALMA]]*DST_123_ÜRETİM_İHTİYAÇ_RAPORU_BURAK_YENI1309[[#This Row],[BIRIM_FIYATLAR]])&lt;1,VALUE("0"),DST_123_ÜRETİM_İHTİYAÇ_RAPORU_BURAK_YENI1309[[#This Row],[SATINALMA]]*DST_123_ÜRETİM_İHTİYAÇ_RAPORU_BURAK_YENI1309[[#This Row],[BIRIM_FIYATLAR]])</f>
        <v>17500</v>
      </c>
      <c r="N1700">
        <v>1750</v>
      </c>
      <c r="O1700" t="s">
        <v>1220</v>
      </c>
      <c r="P1700">
        <v>5250</v>
      </c>
      <c r="Q1700" t="s">
        <v>221</v>
      </c>
    </row>
    <row r="1701" spans="1:17" x14ac:dyDescent="0.25">
      <c r="A1701" t="s">
        <v>1064</v>
      </c>
      <c r="B1701" t="s">
        <v>1055</v>
      </c>
      <c r="C1701" t="s">
        <v>175</v>
      </c>
      <c r="D1701" t="s">
        <v>238</v>
      </c>
      <c r="E1701" t="s">
        <v>239</v>
      </c>
      <c r="F1701">
        <v>3.07</v>
      </c>
      <c r="G1701" t="s">
        <v>185</v>
      </c>
      <c r="H1701">
        <v>3.07</v>
      </c>
      <c r="I1701">
        <v>110</v>
      </c>
      <c r="J1701" s="10">
        <v>57.22</v>
      </c>
      <c r="K1701" s="10">
        <f>SUMIFS(F:F,D:D,DST_123_ÜRETİM_İHTİYAÇ_RAPORU_BURAK_YENI1309[[#This Row],[ALT_KOD]])-(SUMIFS(H:H,D:D,DST_123_ÜRETİM_İHTİYAÇ_RAPORU_BURAK_YENI1309[[#This Row],[ALT_KOD]])+AVERAGEIFS(I:I,D:D,DST_123_ÜRETİM_İHTİYAÇ_RAPORU_BURAK_YENI1309[[#This Row],[ALT_KOD]])+AVERAGEIFS(L:L,D:D,DST_123_ÜRETİM_İHTİYAÇ_RAPORU_BURAK_YENI1309[[#This Row],[ALT_KOD]]))</f>
        <v>-78.660000000000025</v>
      </c>
      <c r="L1701">
        <v>0</v>
      </c>
      <c r="M1701">
        <f>IF((DST_123_ÜRETİM_İHTİYAÇ_RAPORU_BURAK_YENI1309[[#This Row],[SATINALMA]]*DST_123_ÜRETİM_İHTİYAÇ_RAPORU_BURAK_YENI1309[[#This Row],[BIRIM_FIYATLAR]])&lt;1,VALUE("0"),DST_123_ÜRETİM_İHTİYAÇ_RAPORU_BURAK_YENI1309[[#This Row],[SATINALMA]]*DST_123_ÜRETİM_İHTİYAÇ_RAPORU_BURAK_YENI1309[[#This Row],[BIRIM_FIYATLAR]])</f>
        <v>0</v>
      </c>
      <c r="N1701">
        <v>40</v>
      </c>
      <c r="O1701" t="s">
        <v>240</v>
      </c>
      <c r="P1701">
        <v>122.8</v>
      </c>
      <c r="Q1701" t="s">
        <v>180</v>
      </c>
    </row>
    <row r="1702" spans="1:17" x14ac:dyDescent="0.25">
      <c r="A1702" t="s">
        <v>1196</v>
      </c>
      <c r="B1702" t="s">
        <v>1197</v>
      </c>
      <c r="C1702" t="s">
        <v>175</v>
      </c>
      <c r="D1702" t="s">
        <v>238</v>
      </c>
      <c r="E1702" t="s">
        <v>239</v>
      </c>
      <c r="F1702">
        <v>2.8</v>
      </c>
      <c r="G1702" t="s">
        <v>185</v>
      </c>
      <c r="H1702">
        <v>0</v>
      </c>
      <c r="I1702">
        <v>110</v>
      </c>
      <c r="J1702" s="10">
        <v>57.22</v>
      </c>
      <c r="K1702" s="10">
        <f>SUMIFS(F:F,D:D,DST_123_ÜRETİM_İHTİYAÇ_RAPORU_BURAK_YENI1309[[#This Row],[ALT_KOD]])-(SUMIFS(H:H,D:D,DST_123_ÜRETİM_İHTİYAÇ_RAPORU_BURAK_YENI1309[[#This Row],[ALT_KOD]])+AVERAGEIFS(I:I,D:D,DST_123_ÜRETİM_İHTİYAÇ_RAPORU_BURAK_YENI1309[[#This Row],[ALT_KOD]])+AVERAGEIFS(L:L,D:D,DST_123_ÜRETİM_İHTİYAÇ_RAPORU_BURAK_YENI1309[[#This Row],[ALT_KOD]]))</f>
        <v>-78.660000000000025</v>
      </c>
      <c r="L1702">
        <v>0</v>
      </c>
      <c r="M1702">
        <f>IF((DST_123_ÜRETİM_İHTİYAÇ_RAPORU_BURAK_YENI1309[[#This Row],[SATINALMA]]*DST_123_ÜRETİM_İHTİYAÇ_RAPORU_BURAK_YENI1309[[#This Row],[BIRIM_FIYATLAR]])&lt;1,VALUE("0"),DST_123_ÜRETİM_İHTİYAÇ_RAPORU_BURAK_YENI1309[[#This Row],[SATINALMA]]*DST_123_ÜRETİM_İHTİYAÇ_RAPORU_BURAK_YENI1309[[#This Row],[BIRIM_FIYATLAR]])</f>
        <v>0</v>
      </c>
      <c r="N1702">
        <v>40</v>
      </c>
      <c r="O1702" t="s">
        <v>240</v>
      </c>
      <c r="P1702">
        <v>112</v>
      </c>
      <c r="Q1702" t="s">
        <v>180</v>
      </c>
    </row>
    <row r="1703" spans="1:17" x14ac:dyDescent="0.25">
      <c r="A1703" t="s">
        <v>1098</v>
      </c>
      <c r="B1703" t="s">
        <v>1096</v>
      </c>
      <c r="C1703" t="s">
        <v>175</v>
      </c>
      <c r="D1703" t="s">
        <v>238</v>
      </c>
      <c r="E1703" t="s">
        <v>239</v>
      </c>
      <c r="F1703">
        <v>3.6100000000000003</v>
      </c>
      <c r="G1703" t="s">
        <v>185</v>
      </c>
      <c r="H1703">
        <v>0</v>
      </c>
      <c r="I1703">
        <v>110</v>
      </c>
      <c r="J1703" s="10">
        <v>57.22</v>
      </c>
      <c r="K1703" s="10">
        <f>SUMIFS(F:F,D:D,DST_123_ÜRETİM_İHTİYAÇ_RAPORU_BURAK_YENI1309[[#This Row],[ALT_KOD]])-(SUMIFS(H:H,D:D,DST_123_ÜRETİM_İHTİYAÇ_RAPORU_BURAK_YENI1309[[#This Row],[ALT_KOD]])+AVERAGEIFS(I:I,D:D,DST_123_ÜRETİM_İHTİYAÇ_RAPORU_BURAK_YENI1309[[#This Row],[ALT_KOD]])+AVERAGEIFS(L:L,D:D,DST_123_ÜRETİM_İHTİYAÇ_RAPORU_BURAK_YENI1309[[#This Row],[ALT_KOD]]))</f>
        <v>-78.660000000000025</v>
      </c>
      <c r="L1703">
        <v>0</v>
      </c>
      <c r="M1703">
        <f>IF((DST_123_ÜRETİM_İHTİYAÇ_RAPORU_BURAK_YENI1309[[#This Row],[SATINALMA]]*DST_123_ÜRETİM_İHTİYAÇ_RAPORU_BURAK_YENI1309[[#This Row],[BIRIM_FIYATLAR]])&lt;1,VALUE("0"),DST_123_ÜRETİM_İHTİYAÇ_RAPORU_BURAK_YENI1309[[#This Row],[SATINALMA]]*DST_123_ÜRETİM_İHTİYAÇ_RAPORU_BURAK_YENI1309[[#This Row],[BIRIM_FIYATLAR]])</f>
        <v>0</v>
      </c>
      <c r="N1703">
        <v>40</v>
      </c>
      <c r="O1703" t="s">
        <v>240</v>
      </c>
      <c r="P1703">
        <v>144.4</v>
      </c>
      <c r="Q1703" t="s">
        <v>180</v>
      </c>
    </row>
    <row r="1704" spans="1:17" x14ac:dyDescent="0.25">
      <c r="A1704" t="s">
        <v>1064</v>
      </c>
      <c r="B1704" t="s">
        <v>1055</v>
      </c>
      <c r="C1704" t="s">
        <v>175</v>
      </c>
      <c r="D1704" t="s">
        <v>678</v>
      </c>
      <c r="E1704" t="s">
        <v>679</v>
      </c>
      <c r="F1704">
        <v>15</v>
      </c>
      <c r="G1704" t="s">
        <v>176</v>
      </c>
      <c r="H1704">
        <v>0</v>
      </c>
      <c r="I1704">
        <v>350</v>
      </c>
      <c r="J1704" s="10">
        <v>210</v>
      </c>
      <c r="K1704" s="10">
        <f>SUMIFS(F:F,D:D,DST_123_ÜRETİM_İHTİYAÇ_RAPORU_BURAK_YENI1309[[#This Row],[ALT_KOD]])-(SUMIFS(H:H,D:D,DST_123_ÜRETİM_İHTİYAÇ_RAPORU_BURAK_YENI1309[[#This Row],[ALT_KOD]])+AVERAGEIFS(I:I,D:D,DST_123_ÜRETİM_İHTİYAÇ_RAPORU_BURAK_YENI1309[[#This Row],[ALT_KOD]])+AVERAGEIFS(L:L,D:D,DST_123_ÜRETİM_İHTİYAÇ_RAPORU_BURAK_YENI1309[[#This Row],[ALT_KOD]]))</f>
        <v>-245</v>
      </c>
      <c r="L1704">
        <v>0</v>
      </c>
      <c r="M1704">
        <f>IF((DST_123_ÜRETİM_İHTİYAÇ_RAPORU_BURAK_YENI1309[[#This Row],[SATINALMA]]*DST_123_ÜRETİM_İHTİYAÇ_RAPORU_BURAK_YENI1309[[#This Row],[BIRIM_FIYATLAR]])&lt;1,VALUE("0"),DST_123_ÜRETİM_İHTİYAÇ_RAPORU_BURAK_YENI1309[[#This Row],[SATINALMA]]*DST_123_ÜRETİM_İHTİYAÇ_RAPORU_BURAK_YENI1309[[#This Row],[BIRIM_FIYATLAR]])</f>
        <v>0</v>
      </c>
      <c r="N1704">
        <v>4</v>
      </c>
      <c r="O1704" t="s">
        <v>226</v>
      </c>
      <c r="P1704">
        <v>60</v>
      </c>
      <c r="Q1704" t="s">
        <v>180</v>
      </c>
    </row>
    <row r="1705" spans="1:17" x14ac:dyDescent="0.25">
      <c r="A1705" t="s">
        <v>1098</v>
      </c>
      <c r="B1705" t="s">
        <v>1096</v>
      </c>
      <c r="C1705" t="s">
        <v>175</v>
      </c>
      <c r="D1705" t="s">
        <v>0</v>
      </c>
      <c r="E1705" t="s">
        <v>1</v>
      </c>
      <c r="F1705">
        <v>2</v>
      </c>
      <c r="G1705" t="s">
        <v>176</v>
      </c>
      <c r="H1705">
        <v>0</v>
      </c>
      <c r="I1705">
        <v>67</v>
      </c>
      <c r="J1705" s="10">
        <v>24</v>
      </c>
      <c r="K1705" s="10">
        <f>SUMIFS(F:F,D:D,DST_123_ÜRETİM_İHTİYAÇ_RAPORU_BURAK_YENI1309[[#This Row],[ALT_KOD]])-(SUMIFS(H:H,D:D,DST_123_ÜRETİM_İHTİYAÇ_RAPORU_BURAK_YENI1309[[#This Row],[ALT_KOD]])+AVERAGEIFS(I:I,D:D,DST_123_ÜRETİM_İHTİYAÇ_RAPORU_BURAK_YENI1309[[#This Row],[ALT_KOD]])+AVERAGEIFS(L:L,D:D,DST_123_ÜRETİM_İHTİYAÇ_RAPORU_BURAK_YENI1309[[#This Row],[ALT_KOD]]))</f>
        <v>-38</v>
      </c>
      <c r="L1705">
        <v>0</v>
      </c>
      <c r="M1705">
        <f>IF((DST_123_ÜRETİM_İHTİYAÇ_RAPORU_BURAK_YENI1309[[#This Row],[SATINALMA]]*DST_123_ÜRETİM_İHTİYAÇ_RAPORU_BURAK_YENI1309[[#This Row],[BIRIM_FIYATLAR]])&lt;1,VALUE("0"),DST_123_ÜRETİM_İHTİYAÇ_RAPORU_BURAK_YENI1309[[#This Row],[SATINALMA]]*DST_123_ÜRETİM_İHTİYAÇ_RAPORU_BURAK_YENI1309[[#This Row],[BIRIM_FIYATLAR]])</f>
        <v>0</v>
      </c>
      <c r="N1705">
        <v>640</v>
      </c>
      <c r="O1705" t="s">
        <v>220</v>
      </c>
      <c r="P1705">
        <v>1280</v>
      </c>
      <c r="Q1705" t="s">
        <v>221</v>
      </c>
    </row>
    <row r="1706" spans="1:17" x14ac:dyDescent="0.25">
      <c r="A1706" t="s">
        <v>1064</v>
      </c>
      <c r="B1706" t="s">
        <v>1055</v>
      </c>
      <c r="C1706" t="s">
        <v>175</v>
      </c>
      <c r="D1706" t="s">
        <v>229</v>
      </c>
      <c r="E1706" t="s">
        <v>230</v>
      </c>
      <c r="F1706">
        <v>2</v>
      </c>
      <c r="G1706" t="s">
        <v>176</v>
      </c>
      <c r="H1706">
        <v>0</v>
      </c>
      <c r="I1706">
        <v>238</v>
      </c>
      <c r="J1706" s="10">
        <v>90</v>
      </c>
      <c r="K1706" s="10">
        <f>SUMIFS(F:F,D:D,DST_123_ÜRETİM_İHTİYAÇ_RAPORU_BURAK_YENI1309[[#This Row],[ALT_KOD]])-(SUMIFS(H:H,D:D,DST_123_ÜRETİM_İHTİYAÇ_RAPORU_BURAK_YENI1309[[#This Row],[ALT_KOD]])+AVERAGEIFS(I:I,D:D,DST_123_ÜRETİM_İHTİYAÇ_RAPORU_BURAK_YENI1309[[#This Row],[ALT_KOD]])+AVERAGEIFS(L:L,D:D,DST_123_ÜRETİM_İHTİYAÇ_RAPORU_BURAK_YENI1309[[#This Row],[ALT_KOD]]))</f>
        <v>-200</v>
      </c>
      <c r="L1706">
        <v>0</v>
      </c>
      <c r="M1706">
        <f>IF((DST_123_ÜRETİM_İHTİYAÇ_RAPORU_BURAK_YENI1309[[#This Row],[SATINALMA]]*DST_123_ÜRETİM_İHTİYAÇ_RAPORU_BURAK_YENI1309[[#This Row],[BIRIM_FIYATLAR]])&lt;1,VALUE("0"),DST_123_ÜRETİM_İHTİYAÇ_RAPORU_BURAK_YENI1309[[#This Row],[SATINALMA]]*DST_123_ÜRETİM_İHTİYAÇ_RAPORU_BURAK_YENI1309[[#This Row],[BIRIM_FIYATLAR]])</f>
        <v>0</v>
      </c>
      <c r="N1706">
        <v>4</v>
      </c>
      <c r="O1706" t="s">
        <v>220</v>
      </c>
      <c r="P1706">
        <v>8</v>
      </c>
      <c r="Q1706" t="s">
        <v>221</v>
      </c>
    </row>
    <row r="1707" spans="1:17" x14ac:dyDescent="0.25">
      <c r="A1707" t="s">
        <v>1196</v>
      </c>
      <c r="B1707" t="s">
        <v>1197</v>
      </c>
      <c r="C1707" t="s">
        <v>175</v>
      </c>
      <c r="D1707" t="s">
        <v>229</v>
      </c>
      <c r="E1707" t="s">
        <v>230</v>
      </c>
      <c r="F1707">
        <v>2</v>
      </c>
      <c r="G1707" t="s">
        <v>176</v>
      </c>
      <c r="H1707">
        <v>0</v>
      </c>
      <c r="I1707">
        <v>238</v>
      </c>
      <c r="J1707" s="10">
        <v>90</v>
      </c>
      <c r="K1707" s="10">
        <f>SUMIFS(F:F,D:D,DST_123_ÜRETİM_İHTİYAÇ_RAPORU_BURAK_YENI1309[[#This Row],[ALT_KOD]])-(SUMIFS(H:H,D:D,DST_123_ÜRETİM_İHTİYAÇ_RAPORU_BURAK_YENI1309[[#This Row],[ALT_KOD]])+AVERAGEIFS(I:I,D:D,DST_123_ÜRETİM_İHTİYAÇ_RAPORU_BURAK_YENI1309[[#This Row],[ALT_KOD]])+AVERAGEIFS(L:L,D:D,DST_123_ÜRETİM_İHTİYAÇ_RAPORU_BURAK_YENI1309[[#This Row],[ALT_KOD]]))</f>
        <v>-200</v>
      </c>
      <c r="L1707">
        <v>0</v>
      </c>
      <c r="M1707">
        <f>IF((DST_123_ÜRETİM_İHTİYAÇ_RAPORU_BURAK_YENI1309[[#This Row],[SATINALMA]]*DST_123_ÜRETİM_İHTİYAÇ_RAPORU_BURAK_YENI1309[[#This Row],[BIRIM_FIYATLAR]])&lt;1,VALUE("0"),DST_123_ÜRETİM_İHTİYAÇ_RAPORU_BURAK_YENI1309[[#This Row],[SATINALMA]]*DST_123_ÜRETİM_İHTİYAÇ_RAPORU_BURAK_YENI1309[[#This Row],[BIRIM_FIYATLAR]])</f>
        <v>0</v>
      </c>
      <c r="N1707">
        <v>4</v>
      </c>
      <c r="O1707" t="s">
        <v>220</v>
      </c>
      <c r="P1707">
        <v>8</v>
      </c>
      <c r="Q1707" t="s">
        <v>221</v>
      </c>
    </row>
    <row r="1708" spans="1:17" x14ac:dyDescent="0.25">
      <c r="A1708" t="s">
        <v>1099</v>
      </c>
      <c r="B1708" t="s">
        <v>1055</v>
      </c>
      <c r="C1708" t="s">
        <v>175</v>
      </c>
      <c r="D1708" t="s">
        <v>229</v>
      </c>
      <c r="E1708" t="s">
        <v>230</v>
      </c>
      <c r="F1708">
        <v>2</v>
      </c>
      <c r="G1708" t="s">
        <v>176</v>
      </c>
      <c r="H1708">
        <v>0</v>
      </c>
      <c r="I1708">
        <v>238</v>
      </c>
      <c r="J1708" s="10">
        <v>90</v>
      </c>
      <c r="K1708" s="10">
        <f>SUMIFS(F:F,D:D,DST_123_ÜRETİM_İHTİYAÇ_RAPORU_BURAK_YENI1309[[#This Row],[ALT_KOD]])-(SUMIFS(H:H,D:D,DST_123_ÜRETİM_İHTİYAÇ_RAPORU_BURAK_YENI1309[[#This Row],[ALT_KOD]])+AVERAGEIFS(I:I,D:D,DST_123_ÜRETİM_İHTİYAÇ_RAPORU_BURAK_YENI1309[[#This Row],[ALT_KOD]])+AVERAGEIFS(L:L,D:D,DST_123_ÜRETİM_İHTİYAÇ_RAPORU_BURAK_YENI1309[[#This Row],[ALT_KOD]]))</f>
        <v>-200</v>
      </c>
      <c r="L1708">
        <v>0</v>
      </c>
      <c r="M1708">
        <f>IF((DST_123_ÜRETİM_İHTİYAÇ_RAPORU_BURAK_YENI1309[[#This Row],[SATINALMA]]*DST_123_ÜRETİM_İHTİYAÇ_RAPORU_BURAK_YENI1309[[#This Row],[BIRIM_FIYATLAR]])&lt;1,VALUE("0"),DST_123_ÜRETİM_İHTİYAÇ_RAPORU_BURAK_YENI1309[[#This Row],[SATINALMA]]*DST_123_ÜRETİM_İHTİYAÇ_RAPORU_BURAK_YENI1309[[#This Row],[BIRIM_FIYATLAR]])</f>
        <v>0</v>
      </c>
      <c r="N1708">
        <v>4</v>
      </c>
      <c r="O1708" t="s">
        <v>220</v>
      </c>
      <c r="P1708">
        <v>8</v>
      </c>
      <c r="Q1708" t="s">
        <v>221</v>
      </c>
    </row>
    <row r="1709" spans="1:17" x14ac:dyDescent="0.25">
      <c r="A1709" t="s">
        <v>1196</v>
      </c>
      <c r="B1709" t="s">
        <v>1197</v>
      </c>
      <c r="C1709" t="s">
        <v>175</v>
      </c>
      <c r="D1709" t="s">
        <v>54</v>
      </c>
      <c r="E1709" t="s">
        <v>55</v>
      </c>
      <c r="F1709">
        <v>1</v>
      </c>
      <c r="G1709" t="s">
        <v>176</v>
      </c>
      <c r="H1709">
        <v>0</v>
      </c>
      <c r="I1709">
        <v>9</v>
      </c>
      <c r="J1709" s="10">
        <v>13</v>
      </c>
      <c r="K1709" s="10">
        <f>SUMIFS(F:F,D:D,DST_123_ÜRETİM_İHTİYAÇ_RAPORU_BURAK_YENI1309[[#This Row],[ALT_KOD]])-(SUMIFS(H:H,D:D,DST_123_ÜRETİM_İHTİYAÇ_RAPORU_BURAK_YENI1309[[#This Row],[ALT_KOD]])+AVERAGEIFS(I:I,D:D,DST_123_ÜRETİM_İHTİYAÇ_RAPORU_BURAK_YENI1309[[#This Row],[ALT_KOD]])+AVERAGEIFS(L:L,D:D,DST_123_ÜRETİM_İHTİYAÇ_RAPORU_BURAK_YENI1309[[#This Row],[ALT_KOD]]))</f>
        <v>-1</v>
      </c>
      <c r="L1709">
        <v>4</v>
      </c>
      <c r="M1709">
        <f>IF((DST_123_ÜRETİM_İHTİYAÇ_RAPORU_BURAK_YENI1309[[#This Row],[SATINALMA]]*DST_123_ÜRETİM_İHTİYAÇ_RAPORU_BURAK_YENI1309[[#This Row],[BIRIM_FIYATLAR]])&lt;1,VALUE("0"),DST_123_ÜRETİM_İHTİYAÇ_RAPORU_BURAK_YENI1309[[#This Row],[SATINALMA]]*DST_123_ÜRETİM_İHTİYAÇ_RAPORU_BURAK_YENI1309[[#This Row],[BIRIM_FIYATLAR]])</f>
        <v>0</v>
      </c>
      <c r="N1709">
        <v>1600</v>
      </c>
      <c r="O1709" t="s">
        <v>217</v>
      </c>
      <c r="P1709">
        <v>1600</v>
      </c>
      <c r="Q1709" t="s">
        <v>221</v>
      </c>
    </row>
    <row r="1710" spans="1:17" x14ac:dyDescent="0.25">
      <c r="A1710" t="s">
        <v>1098</v>
      </c>
      <c r="B1710" t="s">
        <v>1096</v>
      </c>
      <c r="C1710" t="s">
        <v>175</v>
      </c>
      <c r="D1710" t="s">
        <v>54</v>
      </c>
      <c r="E1710" t="s">
        <v>55</v>
      </c>
      <c r="F1710">
        <v>1</v>
      </c>
      <c r="G1710" t="s">
        <v>176</v>
      </c>
      <c r="H1710">
        <v>0</v>
      </c>
      <c r="I1710">
        <v>9</v>
      </c>
      <c r="J1710" s="10">
        <v>13</v>
      </c>
      <c r="K1710" s="10">
        <f>SUMIFS(F:F,D:D,DST_123_ÜRETİM_İHTİYAÇ_RAPORU_BURAK_YENI1309[[#This Row],[ALT_KOD]])-(SUMIFS(H:H,D:D,DST_123_ÜRETİM_İHTİYAÇ_RAPORU_BURAK_YENI1309[[#This Row],[ALT_KOD]])+AVERAGEIFS(I:I,D:D,DST_123_ÜRETİM_İHTİYAÇ_RAPORU_BURAK_YENI1309[[#This Row],[ALT_KOD]])+AVERAGEIFS(L:L,D:D,DST_123_ÜRETİM_İHTİYAÇ_RAPORU_BURAK_YENI1309[[#This Row],[ALT_KOD]]))</f>
        <v>-1</v>
      </c>
      <c r="L1710">
        <v>4</v>
      </c>
      <c r="M1710">
        <f>IF((DST_123_ÜRETİM_İHTİYAÇ_RAPORU_BURAK_YENI1309[[#This Row],[SATINALMA]]*DST_123_ÜRETİM_İHTİYAÇ_RAPORU_BURAK_YENI1309[[#This Row],[BIRIM_FIYATLAR]])&lt;1,VALUE("0"),DST_123_ÜRETİM_İHTİYAÇ_RAPORU_BURAK_YENI1309[[#This Row],[SATINALMA]]*DST_123_ÜRETİM_İHTİYAÇ_RAPORU_BURAK_YENI1309[[#This Row],[BIRIM_FIYATLAR]])</f>
        <v>0</v>
      </c>
      <c r="N1710">
        <v>1600</v>
      </c>
      <c r="O1710" t="s">
        <v>217</v>
      </c>
      <c r="P1710">
        <v>1600</v>
      </c>
      <c r="Q1710" t="s">
        <v>221</v>
      </c>
    </row>
    <row r="1711" spans="1:17" x14ac:dyDescent="0.25">
      <c r="A1711" t="s">
        <v>1098</v>
      </c>
      <c r="B1711" t="s">
        <v>1096</v>
      </c>
      <c r="C1711" t="s">
        <v>175</v>
      </c>
      <c r="D1711" t="s">
        <v>58</v>
      </c>
      <c r="E1711" t="s">
        <v>59</v>
      </c>
      <c r="F1711">
        <v>1</v>
      </c>
      <c r="G1711" t="s">
        <v>176</v>
      </c>
      <c r="H1711">
        <v>0</v>
      </c>
      <c r="I1711">
        <v>17</v>
      </c>
      <c r="J1711" s="10">
        <v>11</v>
      </c>
      <c r="K1711" s="10">
        <f>SUMIFS(F:F,D:D,DST_123_ÜRETİM_İHTİYAÇ_RAPORU_BURAK_YENI1309[[#This Row],[ALT_KOD]])-(SUMIFS(H:H,D:D,DST_123_ÜRETİM_İHTİYAÇ_RAPORU_BURAK_YENI1309[[#This Row],[ALT_KOD]])+AVERAGEIFS(I:I,D:D,DST_123_ÜRETİM_İHTİYAÇ_RAPORU_BURAK_YENI1309[[#This Row],[ALT_KOD]])+AVERAGEIFS(L:L,D:D,DST_123_ÜRETİM_İHTİYAÇ_RAPORU_BURAK_YENI1309[[#This Row],[ALT_KOD]]))</f>
        <v>-5</v>
      </c>
      <c r="L1711">
        <v>0</v>
      </c>
      <c r="M1711">
        <f>IF((DST_123_ÜRETİM_İHTİYAÇ_RAPORU_BURAK_YENI1309[[#This Row],[SATINALMA]]*DST_123_ÜRETİM_İHTİYAÇ_RAPORU_BURAK_YENI1309[[#This Row],[BIRIM_FIYATLAR]])&lt;1,VALUE("0"),DST_123_ÜRETİM_İHTİYAÇ_RAPORU_BURAK_YENI1309[[#This Row],[SATINALMA]]*DST_123_ÜRETİM_İHTİYAÇ_RAPORU_BURAK_YENI1309[[#This Row],[BIRIM_FIYATLAR]])</f>
        <v>0</v>
      </c>
      <c r="N1711">
        <v>1094.4000000000001</v>
      </c>
      <c r="O1711" t="s">
        <v>826</v>
      </c>
      <c r="P1711">
        <v>1094.4000000000001</v>
      </c>
      <c r="Q1711" t="s">
        <v>221</v>
      </c>
    </row>
    <row r="1712" spans="1:17" x14ac:dyDescent="0.25">
      <c r="A1712" t="s">
        <v>1196</v>
      </c>
      <c r="B1712" t="s">
        <v>1197</v>
      </c>
      <c r="C1712" t="s">
        <v>175</v>
      </c>
      <c r="D1712" t="s">
        <v>414</v>
      </c>
      <c r="E1712" t="s">
        <v>415</v>
      </c>
      <c r="F1712">
        <v>0.1</v>
      </c>
      <c r="G1712" t="s">
        <v>179</v>
      </c>
      <c r="H1712">
        <v>0</v>
      </c>
      <c r="I1712">
        <v>50</v>
      </c>
      <c r="J1712" s="10">
        <v>2.8310687127941492E-15</v>
      </c>
      <c r="K1712" s="10">
        <f>SUMIFS(F:F,D:D,DST_123_ÜRETİM_İHTİYAÇ_RAPORU_BURAK_YENI1309[[#This Row],[ALT_KOD]])-(SUMIFS(H:H,D:D,DST_123_ÜRETİM_İHTİYAÇ_RAPORU_BURAK_YENI1309[[#This Row],[ALT_KOD]])+AVERAGEIFS(I:I,D:D,DST_123_ÜRETİM_İHTİYAÇ_RAPORU_BURAK_YENI1309[[#This Row],[ALT_KOD]])+AVERAGEIFS(L:L,D:D,DST_123_ÜRETİM_İHTİYAÇ_RAPORU_BURAK_YENI1309[[#This Row],[ALT_KOD]]))</f>
        <v>-47.8</v>
      </c>
      <c r="L1712">
        <v>0</v>
      </c>
      <c r="M1712">
        <f>IF((DST_123_ÜRETİM_İHTİYAÇ_RAPORU_BURAK_YENI1309[[#This Row],[SATINALMA]]*DST_123_ÜRETİM_İHTİYAÇ_RAPORU_BURAK_YENI1309[[#This Row],[BIRIM_FIYATLAR]])&lt;1,VALUE("0"),DST_123_ÜRETİM_İHTİYAÇ_RAPORU_BURAK_YENI1309[[#This Row],[SATINALMA]]*DST_123_ÜRETİM_İHTİYAÇ_RAPORU_BURAK_YENI1309[[#This Row],[BIRIM_FIYATLAR]])</f>
        <v>0</v>
      </c>
      <c r="N1712">
        <v>25.41</v>
      </c>
      <c r="O1712" t="s">
        <v>826</v>
      </c>
      <c r="P1712">
        <v>2.5410000000000004</v>
      </c>
      <c r="Q1712" t="s">
        <v>221</v>
      </c>
    </row>
    <row r="1713" spans="1:17" x14ac:dyDescent="0.25">
      <c r="A1713" t="s">
        <v>1098</v>
      </c>
      <c r="B1713" t="s">
        <v>1096</v>
      </c>
      <c r="C1713" t="s">
        <v>175</v>
      </c>
      <c r="D1713" t="s">
        <v>414</v>
      </c>
      <c r="E1713" t="s">
        <v>415</v>
      </c>
      <c r="F1713">
        <v>0.1</v>
      </c>
      <c r="G1713" t="s">
        <v>179</v>
      </c>
      <c r="H1713">
        <v>0</v>
      </c>
      <c r="I1713">
        <v>50</v>
      </c>
      <c r="J1713" s="10">
        <v>2.8310687127941492E-15</v>
      </c>
      <c r="K1713" s="10">
        <f>SUMIFS(F:F,D:D,DST_123_ÜRETİM_İHTİYAÇ_RAPORU_BURAK_YENI1309[[#This Row],[ALT_KOD]])-(SUMIFS(H:H,D:D,DST_123_ÜRETİM_İHTİYAÇ_RAPORU_BURAK_YENI1309[[#This Row],[ALT_KOD]])+AVERAGEIFS(I:I,D:D,DST_123_ÜRETİM_İHTİYAÇ_RAPORU_BURAK_YENI1309[[#This Row],[ALT_KOD]])+AVERAGEIFS(L:L,D:D,DST_123_ÜRETİM_İHTİYAÇ_RAPORU_BURAK_YENI1309[[#This Row],[ALT_KOD]]))</f>
        <v>-47.8</v>
      </c>
      <c r="L1713">
        <v>0</v>
      </c>
      <c r="M1713">
        <f>IF((DST_123_ÜRETİM_İHTİYAÇ_RAPORU_BURAK_YENI1309[[#This Row],[SATINALMA]]*DST_123_ÜRETİM_İHTİYAÇ_RAPORU_BURAK_YENI1309[[#This Row],[BIRIM_FIYATLAR]])&lt;1,VALUE("0"),DST_123_ÜRETİM_İHTİYAÇ_RAPORU_BURAK_YENI1309[[#This Row],[SATINALMA]]*DST_123_ÜRETİM_İHTİYAÇ_RAPORU_BURAK_YENI1309[[#This Row],[BIRIM_FIYATLAR]])</f>
        <v>0</v>
      </c>
      <c r="N1713">
        <v>25.41</v>
      </c>
      <c r="O1713" t="s">
        <v>826</v>
      </c>
      <c r="P1713">
        <v>2.5410000000000004</v>
      </c>
      <c r="Q1713" t="s">
        <v>221</v>
      </c>
    </row>
    <row r="1714" spans="1:17" x14ac:dyDescent="0.25">
      <c r="A1714" t="s">
        <v>1098</v>
      </c>
      <c r="B1714" t="s">
        <v>1096</v>
      </c>
      <c r="C1714" t="s">
        <v>175</v>
      </c>
      <c r="D1714" t="s">
        <v>756</v>
      </c>
      <c r="E1714" t="s">
        <v>757</v>
      </c>
      <c r="F1714">
        <v>1</v>
      </c>
      <c r="G1714" t="s">
        <v>176</v>
      </c>
      <c r="H1714">
        <v>0</v>
      </c>
      <c r="I1714">
        <v>2</v>
      </c>
      <c r="J1714" s="10">
        <v>4</v>
      </c>
      <c r="K1714" s="10">
        <f>SUMIFS(F:F,D:D,DST_123_ÜRETİM_İHTİYAÇ_RAPORU_BURAK_YENI1309[[#This Row],[ALT_KOD]])-(SUMIFS(H:H,D:D,DST_123_ÜRETİM_İHTİYAÇ_RAPORU_BURAK_YENI1309[[#This Row],[ALT_KOD]])+AVERAGEIFS(I:I,D:D,DST_123_ÜRETİM_İHTİYAÇ_RAPORU_BURAK_YENI1309[[#This Row],[ALT_KOD]])+AVERAGEIFS(L:L,D:D,DST_123_ÜRETİM_İHTİYAÇ_RAPORU_BURAK_YENI1309[[#This Row],[ALT_KOD]]))</f>
        <v>0</v>
      </c>
      <c r="L1714">
        <v>2</v>
      </c>
      <c r="M1714">
        <f>IF((DST_123_ÜRETİM_İHTİYAÇ_RAPORU_BURAK_YENI1309[[#This Row],[SATINALMA]]*DST_123_ÜRETİM_İHTİYAÇ_RAPORU_BURAK_YENI1309[[#This Row],[BIRIM_FIYATLAR]])&lt;1,VALUE("0"),DST_123_ÜRETİM_İHTİYAÇ_RAPORU_BURAK_YENI1309[[#This Row],[SATINALMA]]*DST_123_ÜRETİM_İHTİYAÇ_RAPORU_BURAK_YENI1309[[#This Row],[BIRIM_FIYATLAR]])</f>
        <v>0</v>
      </c>
      <c r="N1714">
        <v>1667.14</v>
      </c>
      <c r="O1714" t="s">
        <v>632</v>
      </c>
      <c r="P1714">
        <v>1667.14</v>
      </c>
      <c r="Q1714" t="s">
        <v>177</v>
      </c>
    </row>
    <row r="1715" spans="1:17" x14ac:dyDescent="0.25">
      <c r="A1715" t="s">
        <v>1098</v>
      </c>
      <c r="B1715" t="s">
        <v>1096</v>
      </c>
      <c r="C1715" t="s">
        <v>175</v>
      </c>
      <c r="D1715" t="s">
        <v>376</v>
      </c>
      <c r="E1715" t="s">
        <v>377</v>
      </c>
      <c r="F1715">
        <v>3</v>
      </c>
      <c r="G1715" t="s">
        <v>176</v>
      </c>
      <c r="H1715">
        <v>0</v>
      </c>
      <c r="I1715">
        <v>38</v>
      </c>
      <c r="J1715" s="10">
        <v>25</v>
      </c>
      <c r="K1715" s="10">
        <f>SUMIFS(F:F,D:D,DST_123_ÜRETİM_İHTİYAÇ_RAPORU_BURAK_YENI1309[[#This Row],[ALT_KOD]])-(SUMIFS(H:H,D:D,DST_123_ÜRETİM_İHTİYAÇ_RAPORU_BURAK_YENI1309[[#This Row],[ALT_KOD]])+AVERAGEIFS(I:I,D:D,DST_123_ÜRETİM_İHTİYAÇ_RAPORU_BURAK_YENI1309[[#This Row],[ALT_KOD]])+AVERAGEIFS(L:L,D:D,DST_123_ÜRETİM_İHTİYAÇ_RAPORU_BURAK_YENI1309[[#This Row],[ALT_KOD]]))</f>
        <v>-2</v>
      </c>
      <c r="L1715">
        <v>20</v>
      </c>
      <c r="M1715">
        <f>IF((DST_123_ÜRETİM_İHTİYAÇ_RAPORU_BURAK_YENI1309[[#This Row],[SATINALMA]]*DST_123_ÜRETİM_İHTİYAÇ_RAPORU_BURAK_YENI1309[[#This Row],[BIRIM_FIYATLAR]])&lt;1,VALUE("0"),DST_123_ÜRETİM_İHTİYAÇ_RAPORU_BURAK_YENI1309[[#This Row],[SATINALMA]]*DST_123_ÜRETİM_İHTİYAÇ_RAPORU_BURAK_YENI1309[[#This Row],[BIRIM_FIYATLAR]])</f>
        <v>0</v>
      </c>
      <c r="N1715">
        <v>245</v>
      </c>
      <c r="O1715" t="s">
        <v>821</v>
      </c>
      <c r="P1715">
        <v>735</v>
      </c>
      <c r="Q1715" t="s">
        <v>178</v>
      </c>
    </row>
    <row r="1716" spans="1:17" x14ac:dyDescent="0.25">
      <c r="A1716" t="s">
        <v>1196</v>
      </c>
      <c r="B1716" t="s">
        <v>1197</v>
      </c>
      <c r="C1716" t="s">
        <v>175</v>
      </c>
      <c r="D1716" t="s">
        <v>768</v>
      </c>
      <c r="E1716" t="s">
        <v>769</v>
      </c>
      <c r="F1716">
        <v>6</v>
      </c>
      <c r="G1716" t="s">
        <v>176</v>
      </c>
      <c r="H1716">
        <v>0</v>
      </c>
      <c r="I1716">
        <v>0</v>
      </c>
      <c r="J1716" s="10">
        <v>0</v>
      </c>
      <c r="K1716" s="10">
        <f>SUMIFS(F:F,D:D,DST_123_ÜRETİM_İHTİYAÇ_RAPORU_BURAK_YENI1309[[#This Row],[ALT_KOD]])-(SUMIFS(H:H,D:D,DST_123_ÜRETİM_İHTİYAÇ_RAPORU_BURAK_YENI1309[[#This Row],[ALT_KOD]])+AVERAGEIFS(I:I,D:D,DST_123_ÜRETİM_İHTİYAÇ_RAPORU_BURAK_YENI1309[[#This Row],[ALT_KOD]])+AVERAGEIFS(L:L,D:D,DST_123_ÜRETİM_İHTİYAÇ_RAPORU_BURAK_YENI1309[[#This Row],[ALT_KOD]]))</f>
        <v>54</v>
      </c>
      <c r="L1716">
        <v>0</v>
      </c>
      <c r="M1716">
        <f>IF((DST_123_ÜRETİM_İHTİYAÇ_RAPORU_BURAK_YENI1309[[#This Row],[SATINALMA]]*DST_123_ÜRETİM_İHTİYAÇ_RAPORU_BURAK_YENI1309[[#This Row],[BIRIM_FIYATLAR]])&lt;1,VALUE("0"),DST_123_ÜRETİM_İHTİYAÇ_RAPORU_BURAK_YENI1309[[#This Row],[SATINALMA]]*DST_123_ÜRETİM_İHTİYAÇ_RAPORU_BURAK_YENI1309[[#This Row],[BIRIM_FIYATLAR]])</f>
        <v>67.5</v>
      </c>
      <c r="N1716">
        <v>1.25</v>
      </c>
      <c r="O1716" t="s">
        <v>220</v>
      </c>
      <c r="P1716">
        <v>7.5</v>
      </c>
      <c r="Q1716" t="s">
        <v>221</v>
      </c>
    </row>
    <row r="1717" spans="1:17" x14ac:dyDescent="0.25">
      <c r="A1717" t="s">
        <v>1060</v>
      </c>
      <c r="B1717" t="s">
        <v>1061</v>
      </c>
      <c r="C1717" t="s">
        <v>175</v>
      </c>
      <c r="D1717" t="s">
        <v>58</v>
      </c>
      <c r="E1717" t="s">
        <v>59</v>
      </c>
      <c r="F1717">
        <v>1</v>
      </c>
      <c r="G1717" t="s">
        <v>176</v>
      </c>
      <c r="H1717">
        <v>1</v>
      </c>
      <c r="I1717">
        <v>17</v>
      </c>
      <c r="J1717" s="10">
        <v>11</v>
      </c>
      <c r="K1717" s="10">
        <f>SUMIFS(F:F,D:D,DST_123_ÜRETİM_İHTİYAÇ_RAPORU_BURAK_YENI1309[[#This Row],[ALT_KOD]])-(SUMIFS(H:H,D:D,DST_123_ÜRETİM_İHTİYAÇ_RAPORU_BURAK_YENI1309[[#This Row],[ALT_KOD]])+AVERAGEIFS(I:I,D:D,DST_123_ÜRETİM_İHTİYAÇ_RAPORU_BURAK_YENI1309[[#This Row],[ALT_KOD]])+AVERAGEIFS(L:L,D:D,DST_123_ÜRETİM_İHTİYAÇ_RAPORU_BURAK_YENI1309[[#This Row],[ALT_KOD]]))</f>
        <v>-5</v>
      </c>
      <c r="L1717">
        <v>0</v>
      </c>
      <c r="M1717">
        <f>IF((DST_123_ÜRETİM_İHTİYAÇ_RAPORU_BURAK_YENI1309[[#This Row],[SATINALMA]]*DST_123_ÜRETİM_İHTİYAÇ_RAPORU_BURAK_YENI1309[[#This Row],[BIRIM_FIYATLAR]])&lt;1,VALUE("0"),DST_123_ÜRETİM_İHTİYAÇ_RAPORU_BURAK_YENI1309[[#This Row],[SATINALMA]]*DST_123_ÜRETİM_İHTİYAÇ_RAPORU_BURAK_YENI1309[[#This Row],[BIRIM_FIYATLAR]])</f>
        <v>0</v>
      </c>
      <c r="N1717">
        <v>1094.4000000000001</v>
      </c>
      <c r="O1717" t="s">
        <v>826</v>
      </c>
      <c r="P1717">
        <v>1094.4000000000001</v>
      </c>
      <c r="Q1717" t="s">
        <v>221</v>
      </c>
    </row>
    <row r="1718" spans="1:17" x14ac:dyDescent="0.25">
      <c r="A1718" t="s">
        <v>1146</v>
      </c>
      <c r="B1718" t="s">
        <v>1145</v>
      </c>
      <c r="C1718" t="s">
        <v>175</v>
      </c>
      <c r="D1718" t="s">
        <v>331</v>
      </c>
      <c r="E1718" t="s">
        <v>332</v>
      </c>
      <c r="F1718">
        <v>2</v>
      </c>
      <c r="G1718" t="s">
        <v>176</v>
      </c>
      <c r="H1718">
        <v>0</v>
      </c>
      <c r="I1718">
        <v>809</v>
      </c>
      <c r="J1718" s="10">
        <v>0</v>
      </c>
      <c r="K1718" s="10">
        <f>SUMIFS(F:F,D:D,DST_123_ÜRETİM_İHTİYAÇ_RAPORU_BURAK_YENI1309[[#This Row],[ALT_KOD]])-(SUMIFS(H:H,D:D,DST_123_ÜRETİM_İHTİYAÇ_RAPORU_BURAK_YENI1309[[#This Row],[ALT_KOD]])+AVERAGEIFS(I:I,D:D,DST_123_ÜRETİM_İHTİYAÇ_RAPORU_BURAK_YENI1309[[#This Row],[ALT_KOD]])+AVERAGEIFS(L:L,D:D,DST_123_ÜRETİM_İHTİYAÇ_RAPORU_BURAK_YENI1309[[#This Row],[ALT_KOD]]))</f>
        <v>-768</v>
      </c>
      <c r="L1718">
        <v>0</v>
      </c>
      <c r="M1718">
        <f>IF((DST_123_ÜRETİM_İHTİYAÇ_RAPORU_BURAK_YENI1309[[#This Row],[SATINALMA]]*DST_123_ÜRETİM_İHTİYAÇ_RAPORU_BURAK_YENI1309[[#This Row],[BIRIM_FIYATLAR]])&lt;1,VALUE("0"),DST_123_ÜRETİM_İHTİYAÇ_RAPORU_BURAK_YENI1309[[#This Row],[SATINALMA]]*DST_123_ÜRETİM_İHTİYAÇ_RAPORU_BURAK_YENI1309[[#This Row],[BIRIM_FIYATLAR]])</f>
        <v>0</v>
      </c>
      <c r="N1718">
        <v>2.4</v>
      </c>
      <c r="O1718" t="s">
        <v>240</v>
      </c>
      <c r="P1718">
        <v>4.8</v>
      </c>
      <c r="Q1718" t="s">
        <v>180</v>
      </c>
    </row>
    <row r="1719" spans="1:17" x14ac:dyDescent="0.25">
      <c r="A1719" t="s">
        <v>1097</v>
      </c>
      <c r="B1719" t="s">
        <v>1055</v>
      </c>
      <c r="C1719" t="s">
        <v>175</v>
      </c>
      <c r="D1719" t="s">
        <v>651</v>
      </c>
      <c r="E1719" t="s">
        <v>652</v>
      </c>
      <c r="F1719">
        <v>25</v>
      </c>
      <c r="G1719" t="s">
        <v>176</v>
      </c>
      <c r="H1719">
        <v>0</v>
      </c>
      <c r="I1719">
        <v>776</v>
      </c>
      <c r="J1719" s="10">
        <v>367</v>
      </c>
      <c r="K1719" s="10">
        <f>SUMIFS(F:F,D:D,DST_123_ÜRETİM_İHTİYAÇ_RAPORU_BURAK_YENI1309[[#This Row],[ALT_KOD]])-(SUMIFS(H:H,D:D,DST_123_ÜRETİM_İHTİYAÇ_RAPORU_BURAK_YENI1309[[#This Row],[ALT_KOD]])+AVERAGEIFS(I:I,D:D,DST_123_ÜRETİM_İHTİYAÇ_RAPORU_BURAK_YENI1309[[#This Row],[ALT_KOD]])+AVERAGEIFS(L:L,D:D,DST_123_ÜRETİM_İHTİYAÇ_RAPORU_BURAK_YENI1309[[#This Row],[ALT_KOD]]))</f>
        <v>-308</v>
      </c>
      <c r="L1719">
        <v>0</v>
      </c>
      <c r="M1719">
        <f>IF((DST_123_ÜRETİM_İHTİYAÇ_RAPORU_BURAK_YENI1309[[#This Row],[SATINALMA]]*DST_123_ÜRETİM_İHTİYAÇ_RAPORU_BURAK_YENI1309[[#This Row],[BIRIM_FIYATLAR]])&lt;1,VALUE("0"),DST_123_ÜRETİM_İHTİYAÇ_RAPORU_BURAK_YENI1309[[#This Row],[SATINALMA]]*DST_123_ÜRETİM_İHTİYAÇ_RAPORU_BURAK_YENI1309[[#This Row],[BIRIM_FIYATLAR]])</f>
        <v>0</v>
      </c>
      <c r="N1719">
        <v>3.46</v>
      </c>
      <c r="O1719" t="s">
        <v>882</v>
      </c>
      <c r="P1719">
        <v>86.5</v>
      </c>
      <c r="Q1719" t="s">
        <v>180</v>
      </c>
    </row>
    <row r="1720" spans="1:17" x14ac:dyDescent="0.25">
      <c r="A1720" t="s">
        <v>1097</v>
      </c>
      <c r="B1720" t="s">
        <v>1055</v>
      </c>
      <c r="C1720" t="s">
        <v>175</v>
      </c>
      <c r="D1720" t="s">
        <v>754</v>
      </c>
      <c r="E1720" t="s">
        <v>755</v>
      </c>
      <c r="F1720">
        <v>1</v>
      </c>
      <c r="G1720" t="s">
        <v>176</v>
      </c>
      <c r="H1720">
        <v>0</v>
      </c>
      <c r="I1720">
        <v>0</v>
      </c>
      <c r="J1720" s="10">
        <v>2</v>
      </c>
      <c r="K1720" s="10">
        <f>SUMIFS(F:F,D:D,DST_123_ÜRETİM_İHTİYAÇ_RAPORU_BURAK_YENI1309[[#This Row],[ALT_KOD]])-(SUMIFS(H:H,D:D,DST_123_ÜRETİM_İHTİYAÇ_RAPORU_BURAK_YENI1309[[#This Row],[ALT_KOD]])+AVERAGEIFS(I:I,D:D,DST_123_ÜRETİM_İHTİYAÇ_RAPORU_BURAK_YENI1309[[#This Row],[ALT_KOD]])+AVERAGEIFS(L:L,D:D,DST_123_ÜRETİM_İHTİYAÇ_RAPORU_BURAK_YENI1309[[#This Row],[ALT_KOD]]))</f>
        <v>3</v>
      </c>
      <c r="L1720">
        <v>0</v>
      </c>
      <c r="M1720">
        <f>IF((DST_123_ÜRETİM_İHTİYAÇ_RAPORU_BURAK_YENI1309[[#This Row],[SATINALMA]]*DST_123_ÜRETİM_İHTİYAÇ_RAPORU_BURAK_YENI1309[[#This Row],[BIRIM_FIYATLAR]])&lt;1,VALUE("0"),DST_123_ÜRETİM_İHTİYAÇ_RAPORU_BURAK_YENI1309[[#This Row],[SATINALMA]]*DST_123_ÜRETİM_İHTİYAÇ_RAPORU_BURAK_YENI1309[[#This Row],[BIRIM_FIYATLAR]])</f>
        <v>97615.14</v>
      </c>
      <c r="N1720">
        <v>32538.38</v>
      </c>
      <c r="O1720" t="s">
        <v>215</v>
      </c>
      <c r="P1720">
        <v>32538.38</v>
      </c>
      <c r="Q1720" t="s">
        <v>177</v>
      </c>
    </row>
    <row r="1721" spans="1:17" x14ac:dyDescent="0.25">
      <c r="A1721" t="s">
        <v>1097</v>
      </c>
      <c r="B1721" t="s">
        <v>1055</v>
      </c>
      <c r="C1721" t="s">
        <v>175</v>
      </c>
      <c r="D1721" t="s">
        <v>809</v>
      </c>
      <c r="E1721" t="s">
        <v>810</v>
      </c>
      <c r="F1721">
        <v>4</v>
      </c>
      <c r="G1721" t="s">
        <v>176</v>
      </c>
      <c r="H1721">
        <v>0</v>
      </c>
      <c r="I1721">
        <v>200</v>
      </c>
      <c r="J1721" s="10">
        <v>180</v>
      </c>
      <c r="K1721" s="10">
        <f>SUMIFS(F:F,D:D,DST_123_ÜRETİM_İHTİYAÇ_RAPORU_BURAK_YENI1309[[#This Row],[ALT_KOD]])-(SUMIFS(H:H,D:D,DST_123_ÜRETİM_İHTİYAÇ_RAPORU_BURAK_YENI1309[[#This Row],[ALT_KOD]])+AVERAGEIFS(I:I,D:D,DST_123_ÜRETİM_İHTİYAÇ_RAPORU_BURAK_YENI1309[[#This Row],[ALT_KOD]])+AVERAGEIFS(L:L,D:D,DST_123_ÜRETİM_İHTİYAÇ_RAPORU_BURAK_YENI1309[[#This Row],[ALT_KOD]]))</f>
        <v>-184</v>
      </c>
      <c r="L1721">
        <v>0</v>
      </c>
      <c r="M1721">
        <f>IF((DST_123_ÜRETİM_İHTİYAÇ_RAPORU_BURAK_YENI1309[[#This Row],[SATINALMA]]*DST_123_ÜRETİM_İHTİYAÇ_RAPORU_BURAK_YENI1309[[#This Row],[BIRIM_FIYATLAR]])&lt;1,VALUE("0"),DST_123_ÜRETİM_İHTİYAÇ_RAPORU_BURAK_YENI1309[[#This Row],[SATINALMA]]*DST_123_ÜRETİM_İHTİYAÇ_RAPORU_BURAK_YENI1309[[#This Row],[BIRIM_FIYATLAR]])</f>
        <v>0</v>
      </c>
      <c r="N1721">
        <v>5.04</v>
      </c>
      <c r="O1721" t="s">
        <v>882</v>
      </c>
      <c r="P1721">
        <v>20.16</v>
      </c>
      <c r="Q1721" t="s">
        <v>178</v>
      </c>
    </row>
    <row r="1722" spans="1:17" x14ac:dyDescent="0.25">
      <c r="A1722" t="s">
        <v>1142</v>
      </c>
      <c r="B1722" t="s">
        <v>1056</v>
      </c>
      <c r="C1722" t="s">
        <v>175</v>
      </c>
      <c r="D1722" t="s">
        <v>88</v>
      </c>
      <c r="E1722" t="s">
        <v>89</v>
      </c>
      <c r="F1722">
        <v>3.3</v>
      </c>
      <c r="G1722" t="s">
        <v>179</v>
      </c>
      <c r="H1722">
        <v>0</v>
      </c>
      <c r="I1722">
        <v>125</v>
      </c>
      <c r="J1722" s="10">
        <v>37.499999999999908</v>
      </c>
      <c r="K1722" s="10">
        <f>SUMIFS(F:F,D:D,DST_123_ÜRETİM_İHTİYAÇ_RAPORU_BURAK_YENI1309[[#This Row],[ALT_KOD]])-(SUMIFS(H:H,D:D,DST_123_ÜRETİM_İHTİYAÇ_RAPORU_BURAK_YENI1309[[#This Row],[ALT_KOD]])+AVERAGEIFS(I:I,D:D,DST_123_ÜRETİM_İHTİYAÇ_RAPORU_BURAK_YENI1309[[#This Row],[ALT_KOD]])+AVERAGEIFS(L:L,D:D,DST_123_ÜRETİM_İHTİYAÇ_RAPORU_BURAK_YENI1309[[#This Row],[ALT_KOD]]))</f>
        <v>-44.100000000000009</v>
      </c>
      <c r="L1722">
        <v>0</v>
      </c>
      <c r="M1722">
        <f>IF((DST_123_ÜRETİM_İHTİYAÇ_RAPORU_BURAK_YENI1309[[#This Row],[SATINALMA]]*DST_123_ÜRETİM_İHTİYAÇ_RAPORU_BURAK_YENI1309[[#This Row],[BIRIM_FIYATLAR]])&lt;1,VALUE("0"),DST_123_ÜRETİM_İHTİYAÇ_RAPORU_BURAK_YENI1309[[#This Row],[SATINALMA]]*DST_123_ÜRETİM_İHTİYAÇ_RAPORU_BURAK_YENI1309[[#This Row],[BIRIM_FIYATLAR]])</f>
        <v>0</v>
      </c>
      <c r="N1722">
        <v>44</v>
      </c>
      <c r="O1722" t="s">
        <v>314</v>
      </c>
      <c r="P1722">
        <v>145.19999999999999</v>
      </c>
      <c r="Q1722" t="s">
        <v>178</v>
      </c>
    </row>
    <row r="1723" spans="1:17" x14ac:dyDescent="0.25">
      <c r="A1723" t="s">
        <v>1097</v>
      </c>
      <c r="B1723" t="s">
        <v>1055</v>
      </c>
      <c r="C1723" t="s">
        <v>175</v>
      </c>
      <c r="D1723" t="s">
        <v>88</v>
      </c>
      <c r="E1723" t="s">
        <v>89</v>
      </c>
      <c r="F1723">
        <v>5.5</v>
      </c>
      <c r="G1723" t="s">
        <v>179</v>
      </c>
      <c r="H1723">
        <v>0</v>
      </c>
      <c r="I1723">
        <v>125</v>
      </c>
      <c r="J1723" s="10">
        <v>37.499999999999908</v>
      </c>
      <c r="K1723" s="10">
        <f>SUMIFS(F:F,D:D,DST_123_ÜRETİM_İHTİYAÇ_RAPORU_BURAK_YENI1309[[#This Row],[ALT_KOD]])-(SUMIFS(H:H,D:D,DST_123_ÜRETİM_İHTİYAÇ_RAPORU_BURAK_YENI1309[[#This Row],[ALT_KOD]])+AVERAGEIFS(I:I,D:D,DST_123_ÜRETİM_İHTİYAÇ_RAPORU_BURAK_YENI1309[[#This Row],[ALT_KOD]])+AVERAGEIFS(L:L,D:D,DST_123_ÜRETİM_İHTİYAÇ_RAPORU_BURAK_YENI1309[[#This Row],[ALT_KOD]]))</f>
        <v>-44.100000000000009</v>
      </c>
      <c r="L1723">
        <v>0</v>
      </c>
      <c r="M1723">
        <f>IF((DST_123_ÜRETİM_İHTİYAÇ_RAPORU_BURAK_YENI1309[[#This Row],[SATINALMA]]*DST_123_ÜRETİM_İHTİYAÇ_RAPORU_BURAK_YENI1309[[#This Row],[BIRIM_FIYATLAR]])&lt;1,VALUE("0"),DST_123_ÜRETİM_İHTİYAÇ_RAPORU_BURAK_YENI1309[[#This Row],[SATINALMA]]*DST_123_ÜRETİM_İHTİYAÇ_RAPORU_BURAK_YENI1309[[#This Row],[BIRIM_FIYATLAR]])</f>
        <v>0</v>
      </c>
      <c r="N1723">
        <v>44</v>
      </c>
      <c r="O1723" t="s">
        <v>314</v>
      </c>
      <c r="P1723">
        <v>242</v>
      </c>
      <c r="Q1723" t="s">
        <v>178</v>
      </c>
    </row>
    <row r="1724" spans="1:17" x14ac:dyDescent="0.25">
      <c r="A1724" t="s">
        <v>1143</v>
      </c>
      <c r="B1724" t="s">
        <v>1056</v>
      </c>
      <c r="C1724" t="s">
        <v>175</v>
      </c>
      <c r="D1724" t="s">
        <v>88</v>
      </c>
      <c r="E1724" t="s">
        <v>89</v>
      </c>
      <c r="F1724">
        <v>5.5</v>
      </c>
      <c r="G1724" t="s">
        <v>179</v>
      </c>
      <c r="H1724">
        <v>0</v>
      </c>
      <c r="I1724">
        <v>125</v>
      </c>
      <c r="J1724" s="10">
        <v>37.499999999999908</v>
      </c>
      <c r="K1724" s="10">
        <f>SUMIFS(F:F,D:D,DST_123_ÜRETİM_İHTİYAÇ_RAPORU_BURAK_YENI1309[[#This Row],[ALT_KOD]])-(SUMIFS(H:H,D:D,DST_123_ÜRETİM_İHTİYAÇ_RAPORU_BURAK_YENI1309[[#This Row],[ALT_KOD]])+AVERAGEIFS(I:I,D:D,DST_123_ÜRETİM_İHTİYAÇ_RAPORU_BURAK_YENI1309[[#This Row],[ALT_KOD]])+AVERAGEIFS(L:L,D:D,DST_123_ÜRETİM_İHTİYAÇ_RAPORU_BURAK_YENI1309[[#This Row],[ALT_KOD]]))</f>
        <v>-44.100000000000009</v>
      </c>
      <c r="L1724">
        <v>0</v>
      </c>
      <c r="M1724">
        <f>IF((DST_123_ÜRETİM_İHTİYAÇ_RAPORU_BURAK_YENI1309[[#This Row],[SATINALMA]]*DST_123_ÜRETİM_İHTİYAÇ_RAPORU_BURAK_YENI1309[[#This Row],[BIRIM_FIYATLAR]])&lt;1,VALUE("0"),DST_123_ÜRETİM_İHTİYAÇ_RAPORU_BURAK_YENI1309[[#This Row],[SATINALMA]]*DST_123_ÜRETİM_İHTİYAÇ_RAPORU_BURAK_YENI1309[[#This Row],[BIRIM_FIYATLAR]])</f>
        <v>0</v>
      </c>
      <c r="N1724">
        <v>44</v>
      </c>
      <c r="O1724" t="s">
        <v>314</v>
      </c>
      <c r="P1724">
        <v>242</v>
      </c>
      <c r="Q1724" t="s">
        <v>178</v>
      </c>
    </row>
    <row r="1725" spans="1:17" x14ac:dyDescent="0.25">
      <c r="A1725" t="s">
        <v>1059</v>
      </c>
      <c r="B1725" t="s">
        <v>1058</v>
      </c>
      <c r="C1725" t="s">
        <v>175</v>
      </c>
      <c r="D1725" t="s">
        <v>88</v>
      </c>
      <c r="E1725" t="s">
        <v>89</v>
      </c>
      <c r="F1725">
        <v>3.3</v>
      </c>
      <c r="G1725" t="s">
        <v>179</v>
      </c>
      <c r="H1725">
        <v>0</v>
      </c>
      <c r="I1725">
        <v>125</v>
      </c>
      <c r="J1725" s="10">
        <v>37.499999999999908</v>
      </c>
      <c r="K1725" s="10">
        <f>SUMIFS(F:F,D:D,DST_123_ÜRETİM_İHTİYAÇ_RAPORU_BURAK_YENI1309[[#This Row],[ALT_KOD]])-(SUMIFS(H:H,D:D,DST_123_ÜRETİM_İHTİYAÇ_RAPORU_BURAK_YENI1309[[#This Row],[ALT_KOD]])+AVERAGEIFS(I:I,D:D,DST_123_ÜRETİM_İHTİYAÇ_RAPORU_BURAK_YENI1309[[#This Row],[ALT_KOD]])+AVERAGEIFS(L:L,D:D,DST_123_ÜRETİM_İHTİYAÇ_RAPORU_BURAK_YENI1309[[#This Row],[ALT_KOD]]))</f>
        <v>-44.100000000000009</v>
      </c>
      <c r="L1725">
        <v>0</v>
      </c>
      <c r="M1725">
        <f>IF((DST_123_ÜRETİM_İHTİYAÇ_RAPORU_BURAK_YENI1309[[#This Row],[SATINALMA]]*DST_123_ÜRETİM_İHTİYAÇ_RAPORU_BURAK_YENI1309[[#This Row],[BIRIM_FIYATLAR]])&lt;1,VALUE("0"),DST_123_ÜRETİM_İHTİYAÇ_RAPORU_BURAK_YENI1309[[#This Row],[SATINALMA]]*DST_123_ÜRETİM_İHTİYAÇ_RAPORU_BURAK_YENI1309[[#This Row],[BIRIM_FIYATLAR]])</f>
        <v>0</v>
      </c>
      <c r="N1725">
        <v>44</v>
      </c>
      <c r="O1725" t="s">
        <v>314</v>
      </c>
      <c r="P1725">
        <v>145.19999999999999</v>
      </c>
      <c r="Q1725" t="s">
        <v>178</v>
      </c>
    </row>
    <row r="1726" spans="1:17" x14ac:dyDescent="0.25">
      <c r="A1726" t="s">
        <v>1144</v>
      </c>
      <c r="B1726" t="s">
        <v>1145</v>
      </c>
      <c r="C1726" t="s">
        <v>175</v>
      </c>
      <c r="D1726" t="s">
        <v>941</v>
      </c>
      <c r="E1726" t="s">
        <v>942</v>
      </c>
      <c r="F1726">
        <v>1</v>
      </c>
      <c r="G1726" t="s">
        <v>176</v>
      </c>
      <c r="H1726">
        <v>0</v>
      </c>
      <c r="I1726">
        <v>2</v>
      </c>
      <c r="J1726" s="10">
        <v>1</v>
      </c>
      <c r="K1726" s="10">
        <f>SUMIFS(F:F,D:D,DST_123_ÜRETİM_İHTİYAÇ_RAPORU_BURAK_YENI1309[[#This Row],[ALT_KOD]])-(SUMIFS(H:H,D:D,DST_123_ÜRETİM_İHTİYAÇ_RAPORU_BURAK_YENI1309[[#This Row],[ALT_KOD]])+AVERAGEIFS(I:I,D:D,DST_123_ÜRETİM_İHTİYAÇ_RAPORU_BURAK_YENI1309[[#This Row],[ALT_KOD]])+AVERAGEIFS(L:L,D:D,DST_123_ÜRETİM_İHTİYAÇ_RAPORU_BURAK_YENI1309[[#This Row],[ALT_KOD]]))</f>
        <v>2</v>
      </c>
      <c r="L1726">
        <v>0</v>
      </c>
      <c r="M1726">
        <f>IF((DST_123_ÜRETİM_İHTİYAÇ_RAPORU_BURAK_YENI1309[[#This Row],[SATINALMA]]*DST_123_ÜRETİM_İHTİYAÇ_RAPORU_BURAK_YENI1309[[#This Row],[BIRIM_FIYATLAR]])&lt;1,VALUE("0"),DST_123_ÜRETİM_İHTİYAÇ_RAPORU_BURAK_YENI1309[[#This Row],[SATINALMA]]*DST_123_ÜRETİM_İHTİYAÇ_RAPORU_BURAK_YENI1309[[#This Row],[BIRIM_FIYATLAR]])</f>
        <v>19880.7</v>
      </c>
      <c r="N1726">
        <v>9940.35</v>
      </c>
      <c r="O1726" t="s">
        <v>1054</v>
      </c>
      <c r="P1726">
        <v>9940.35</v>
      </c>
      <c r="Q1726" t="s">
        <v>221</v>
      </c>
    </row>
    <row r="1727" spans="1:17" x14ac:dyDescent="0.25">
      <c r="A1727" t="s">
        <v>1143</v>
      </c>
      <c r="B1727" t="s">
        <v>1056</v>
      </c>
      <c r="C1727" t="s">
        <v>175</v>
      </c>
      <c r="D1727" t="s">
        <v>331</v>
      </c>
      <c r="E1727" t="s">
        <v>332</v>
      </c>
      <c r="F1727">
        <v>2</v>
      </c>
      <c r="G1727" t="s">
        <v>176</v>
      </c>
      <c r="H1727">
        <v>0</v>
      </c>
      <c r="I1727">
        <v>809</v>
      </c>
      <c r="J1727" s="10">
        <v>0</v>
      </c>
      <c r="K1727" s="10">
        <f>SUMIFS(F:F,D:D,DST_123_ÜRETİM_İHTİYAÇ_RAPORU_BURAK_YENI1309[[#This Row],[ALT_KOD]])-(SUMIFS(H:H,D:D,DST_123_ÜRETİM_İHTİYAÇ_RAPORU_BURAK_YENI1309[[#This Row],[ALT_KOD]])+AVERAGEIFS(I:I,D:D,DST_123_ÜRETİM_İHTİYAÇ_RAPORU_BURAK_YENI1309[[#This Row],[ALT_KOD]])+AVERAGEIFS(L:L,D:D,DST_123_ÜRETİM_İHTİYAÇ_RAPORU_BURAK_YENI1309[[#This Row],[ALT_KOD]]))</f>
        <v>-768</v>
      </c>
      <c r="L1727">
        <v>0</v>
      </c>
      <c r="M1727">
        <f>IF((DST_123_ÜRETİM_İHTİYAÇ_RAPORU_BURAK_YENI1309[[#This Row],[SATINALMA]]*DST_123_ÜRETİM_İHTİYAÇ_RAPORU_BURAK_YENI1309[[#This Row],[BIRIM_FIYATLAR]])&lt;1,VALUE("0"),DST_123_ÜRETİM_İHTİYAÇ_RAPORU_BURAK_YENI1309[[#This Row],[SATINALMA]]*DST_123_ÜRETİM_İHTİYAÇ_RAPORU_BURAK_YENI1309[[#This Row],[BIRIM_FIYATLAR]])</f>
        <v>0</v>
      </c>
      <c r="N1727">
        <v>2.4</v>
      </c>
      <c r="O1727" t="s">
        <v>240</v>
      </c>
      <c r="P1727">
        <v>4.8</v>
      </c>
      <c r="Q1727" t="s">
        <v>180</v>
      </c>
    </row>
    <row r="1728" spans="1:17" x14ac:dyDescent="0.25">
      <c r="A1728" t="s">
        <v>1059</v>
      </c>
      <c r="B1728" t="s">
        <v>1058</v>
      </c>
      <c r="C1728" t="s">
        <v>175</v>
      </c>
      <c r="D1728" t="s">
        <v>331</v>
      </c>
      <c r="E1728" t="s">
        <v>332</v>
      </c>
      <c r="F1728">
        <v>2</v>
      </c>
      <c r="G1728" t="s">
        <v>176</v>
      </c>
      <c r="H1728">
        <v>0</v>
      </c>
      <c r="I1728">
        <v>809</v>
      </c>
      <c r="J1728" s="10">
        <v>0</v>
      </c>
      <c r="K1728" s="10">
        <f>SUMIFS(F:F,D:D,DST_123_ÜRETİM_İHTİYAÇ_RAPORU_BURAK_YENI1309[[#This Row],[ALT_KOD]])-(SUMIFS(H:H,D:D,DST_123_ÜRETİM_İHTİYAÇ_RAPORU_BURAK_YENI1309[[#This Row],[ALT_KOD]])+AVERAGEIFS(I:I,D:D,DST_123_ÜRETİM_İHTİYAÇ_RAPORU_BURAK_YENI1309[[#This Row],[ALT_KOD]])+AVERAGEIFS(L:L,D:D,DST_123_ÜRETİM_İHTİYAÇ_RAPORU_BURAK_YENI1309[[#This Row],[ALT_KOD]]))</f>
        <v>-768</v>
      </c>
      <c r="L1728">
        <v>0</v>
      </c>
      <c r="M1728">
        <f>IF((DST_123_ÜRETİM_İHTİYAÇ_RAPORU_BURAK_YENI1309[[#This Row],[SATINALMA]]*DST_123_ÜRETİM_İHTİYAÇ_RAPORU_BURAK_YENI1309[[#This Row],[BIRIM_FIYATLAR]])&lt;1,VALUE("0"),DST_123_ÜRETİM_İHTİYAÇ_RAPORU_BURAK_YENI1309[[#This Row],[SATINALMA]]*DST_123_ÜRETİM_İHTİYAÇ_RAPORU_BURAK_YENI1309[[#This Row],[BIRIM_FIYATLAR]])</f>
        <v>0</v>
      </c>
      <c r="N1728">
        <v>2.4</v>
      </c>
      <c r="O1728" t="s">
        <v>240</v>
      </c>
      <c r="P1728">
        <v>4.8</v>
      </c>
      <c r="Q1728" t="s">
        <v>180</v>
      </c>
    </row>
    <row r="1729" spans="1:17" x14ac:dyDescent="0.25">
      <c r="A1729" t="s">
        <v>1144</v>
      </c>
      <c r="B1729" t="s">
        <v>1145</v>
      </c>
      <c r="C1729" t="s">
        <v>175</v>
      </c>
      <c r="D1729" t="s">
        <v>321</v>
      </c>
      <c r="E1729" t="s">
        <v>322</v>
      </c>
      <c r="F1729">
        <v>6</v>
      </c>
      <c r="G1729" t="s">
        <v>176</v>
      </c>
      <c r="H1729">
        <v>0</v>
      </c>
      <c r="I1729">
        <v>84</v>
      </c>
      <c r="J1729" s="10">
        <v>195.90000000000009</v>
      </c>
      <c r="K1729" s="10">
        <f>SUMIFS(F:F,D:D,DST_123_ÜRETİM_İHTİYAÇ_RAPORU_BURAK_YENI1309[[#This Row],[ALT_KOD]])-(SUMIFS(H:H,D:D,DST_123_ÜRETİM_İHTİYAÇ_RAPORU_BURAK_YENI1309[[#This Row],[ALT_KOD]])+AVERAGEIFS(I:I,D:D,DST_123_ÜRETİM_İHTİYAÇ_RAPORU_BURAK_YENI1309[[#This Row],[ALT_KOD]])+AVERAGEIFS(L:L,D:D,DST_123_ÜRETİM_İHTİYAÇ_RAPORU_BURAK_YENI1309[[#This Row],[ALT_KOD]]))</f>
        <v>-24.600000000000023</v>
      </c>
      <c r="L1729">
        <v>0</v>
      </c>
      <c r="M1729">
        <f>IF((DST_123_ÜRETİM_İHTİYAÇ_RAPORU_BURAK_YENI1309[[#This Row],[SATINALMA]]*DST_123_ÜRETİM_İHTİYAÇ_RAPORU_BURAK_YENI1309[[#This Row],[BIRIM_FIYATLAR]])&lt;1,VALUE("0"),DST_123_ÜRETİM_İHTİYAÇ_RAPORU_BURAK_YENI1309[[#This Row],[SATINALMA]]*DST_123_ÜRETİM_İHTİYAÇ_RAPORU_BURAK_YENI1309[[#This Row],[BIRIM_FIYATLAR]])</f>
        <v>0</v>
      </c>
      <c r="N1729">
        <v>29</v>
      </c>
      <c r="O1729" t="s">
        <v>240</v>
      </c>
      <c r="P1729">
        <v>174</v>
      </c>
      <c r="Q1729" t="s">
        <v>180</v>
      </c>
    </row>
    <row r="1730" spans="1:17" x14ac:dyDescent="0.25">
      <c r="A1730" t="s">
        <v>1099</v>
      </c>
      <c r="B1730" t="s">
        <v>1055</v>
      </c>
      <c r="C1730" t="s">
        <v>175</v>
      </c>
      <c r="D1730" t="s">
        <v>565</v>
      </c>
      <c r="E1730" t="s">
        <v>566</v>
      </c>
      <c r="F1730">
        <v>2</v>
      </c>
      <c r="G1730" t="s">
        <v>176</v>
      </c>
      <c r="H1730">
        <v>0</v>
      </c>
      <c r="I1730">
        <v>26</v>
      </c>
      <c r="J1730" s="10">
        <v>46</v>
      </c>
      <c r="K1730" s="10">
        <f>SUMIFS(F:F,D:D,DST_123_ÜRETİM_İHTİYAÇ_RAPORU_BURAK_YENI1309[[#This Row],[ALT_KOD]])-(SUMIFS(H:H,D:D,DST_123_ÜRETİM_İHTİYAÇ_RAPORU_BURAK_YENI1309[[#This Row],[ALT_KOD]])+AVERAGEIFS(I:I,D:D,DST_123_ÜRETİM_İHTİYAÇ_RAPORU_BURAK_YENI1309[[#This Row],[ALT_KOD]])+AVERAGEIFS(L:L,D:D,DST_123_ÜRETİM_İHTİYAÇ_RAPORU_BURAK_YENI1309[[#This Row],[ALT_KOD]]))</f>
        <v>-10</v>
      </c>
      <c r="L1730">
        <v>0</v>
      </c>
      <c r="M1730">
        <f>IF((DST_123_ÜRETİM_İHTİYAÇ_RAPORU_BURAK_YENI1309[[#This Row],[SATINALMA]]*DST_123_ÜRETİM_İHTİYAÇ_RAPORU_BURAK_YENI1309[[#This Row],[BIRIM_FIYATLAR]])&lt;1,VALUE("0"),DST_123_ÜRETİM_İHTİYAÇ_RAPORU_BURAK_YENI1309[[#This Row],[SATINALMA]]*DST_123_ÜRETİM_İHTİYAÇ_RAPORU_BURAK_YENI1309[[#This Row],[BIRIM_FIYATLAR]])</f>
        <v>0</v>
      </c>
      <c r="N1730">
        <v>12</v>
      </c>
      <c r="O1730" t="s">
        <v>226</v>
      </c>
      <c r="P1730">
        <v>24</v>
      </c>
      <c r="Q1730" t="s">
        <v>180</v>
      </c>
    </row>
    <row r="1731" spans="1:17" x14ac:dyDescent="0.25">
      <c r="A1731" t="s">
        <v>1142</v>
      </c>
      <c r="B1731" t="s">
        <v>1056</v>
      </c>
      <c r="C1731" t="s">
        <v>175</v>
      </c>
      <c r="D1731" t="s">
        <v>90</v>
      </c>
      <c r="E1731" t="s">
        <v>91</v>
      </c>
      <c r="F1731">
        <v>1</v>
      </c>
      <c r="G1731" t="s">
        <v>176</v>
      </c>
      <c r="H1731">
        <v>0</v>
      </c>
      <c r="I1731">
        <v>4</v>
      </c>
      <c r="J1731" s="10">
        <v>12</v>
      </c>
      <c r="K1731" s="10">
        <f>SUMIFS(F:F,D:D,DST_123_ÜRETİM_İHTİYAÇ_RAPORU_BURAK_YENI1309[[#This Row],[ALT_KOD]])-(SUMIFS(H:H,D:D,DST_123_ÜRETİM_İHTİYAÇ_RAPORU_BURAK_YENI1309[[#This Row],[ALT_KOD]])+AVERAGEIFS(I:I,D:D,DST_123_ÜRETİM_İHTİYAÇ_RAPORU_BURAK_YENI1309[[#This Row],[ALT_KOD]])+AVERAGEIFS(L:L,D:D,DST_123_ÜRETİM_İHTİYAÇ_RAPORU_BURAK_YENI1309[[#This Row],[ALT_KOD]]))</f>
        <v>7</v>
      </c>
      <c r="L1731">
        <v>0</v>
      </c>
      <c r="M1731">
        <f>IF((DST_123_ÜRETİM_İHTİYAÇ_RAPORU_BURAK_YENI1309[[#This Row],[SATINALMA]]*DST_123_ÜRETİM_İHTİYAÇ_RAPORU_BURAK_YENI1309[[#This Row],[BIRIM_FIYATLAR]])&lt;1,VALUE("0"),DST_123_ÜRETİM_İHTİYAÇ_RAPORU_BURAK_YENI1309[[#This Row],[SATINALMA]]*DST_123_ÜRETİM_İHTİYAÇ_RAPORU_BURAK_YENI1309[[#This Row],[BIRIM_FIYATLAR]])</f>
        <v>12435.01</v>
      </c>
      <c r="N1731">
        <v>1776.43</v>
      </c>
      <c r="O1731" t="s">
        <v>634</v>
      </c>
      <c r="P1731">
        <v>1776.43</v>
      </c>
      <c r="Q1731" t="s">
        <v>178</v>
      </c>
    </row>
    <row r="1732" spans="1:17" x14ac:dyDescent="0.25">
      <c r="A1732" t="s">
        <v>1143</v>
      </c>
      <c r="B1732" t="s">
        <v>1056</v>
      </c>
      <c r="C1732" t="s">
        <v>175</v>
      </c>
      <c r="D1732" t="s">
        <v>90</v>
      </c>
      <c r="E1732" t="s">
        <v>91</v>
      </c>
      <c r="F1732">
        <v>1</v>
      </c>
      <c r="G1732" t="s">
        <v>176</v>
      </c>
      <c r="H1732">
        <v>0</v>
      </c>
      <c r="I1732">
        <v>4</v>
      </c>
      <c r="J1732" s="10">
        <v>12</v>
      </c>
      <c r="K1732" s="10">
        <f>SUMIFS(F:F,D:D,DST_123_ÜRETİM_İHTİYAÇ_RAPORU_BURAK_YENI1309[[#This Row],[ALT_KOD]])-(SUMIFS(H:H,D:D,DST_123_ÜRETİM_İHTİYAÇ_RAPORU_BURAK_YENI1309[[#This Row],[ALT_KOD]])+AVERAGEIFS(I:I,D:D,DST_123_ÜRETİM_İHTİYAÇ_RAPORU_BURAK_YENI1309[[#This Row],[ALT_KOD]])+AVERAGEIFS(L:L,D:D,DST_123_ÜRETİM_İHTİYAÇ_RAPORU_BURAK_YENI1309[[#This Row],[ALT_KOD]]))</f>
        <v>7</v>
      </c>
      <c r="L1732">
        <v>0</v>
      </c>
      <c r="M1732">
        <f>IF((DST_123_ÜRETİM_İHTİYAÇ_RAPORU_BURAK_YENI1309[[#This Row],[SATINALMA]]*DST_123_ÜRETİM_İHTİYAÇ_RAPORU_BURAK_YENI1309[[#This Row],[BIRIM_FIYATLAR]])&lt;1,VALUE("0"),DST_123_ÜRETİM_İHTİYAÇ_RAPORU_BURAK_YENI1309[[#This Row],[SATINALMA]]*DST_123_ÜRETİM_İHTİYAÇ_RAPORU_BURAK_YENI1309[[#This Row],[BIRIM_FIYATLAR]])</f>
        <v>12435.01</v>
      </c>
      <c r="N1732">
        <v>1776.43</v>
      </c>
      <c r="O1732" t="s">
        <v>634</v>
      </c>
      <c r="P1732">
        <v>1776.43</v>
      </c>
      <c r="Q1732" t="s">
        <v>178</v>
      </c>
    </row>
    <row r="1733" spans="1:17" x14ac:dyDescent="0.25">
      <c r="A1733" t="s">
        <v>1098</v>
      </c>
      <c r="B1733" t="s">
        <v>1096</v>
      </c>
      <c r="C1733" t="s">
        <v>175</v>
      </c>
      <c r="D1733" t="s">
        <v>678</v>
      </c>
      <c r="E1733" t="s">
        <v>679</v>
      </c>
      <c r="F1733">
        <v>15</v>
      </c>
      <c r="G1733" t="s">
        <v>176</v>
      </c>
      <c r="H1733">
        <v>0</v>
      </c>
      <c r="I1733">
        <v>350</v>
      </c>
      <c r="J1733" s="10">
        <v>210</v>
      </c>
      <c r="K1733" s="10">
        <f>SUMIFS(F:F,D:D,DST_123_ÜRETİM_İHTİYAÇ_RAPORU_BURAK_YENI1309[[#This Row],[ALT_KOD]])-(SUMIFS(H:H,D:D,DST_123_ÜRETİM_İHTİYAÇ_RAPORU_BURAK_YENI1309[[#This Row],[ALT_KOD]])+AVERAGEIFS(I:I,D:D,DST_123_ÜRETİM_İHTİYAÇ_RAPORU_BURAK_YENI1309[[#This Row],[ALT_KOD]])+AVERAGEIFS(L:L,D:D,DST_123_ÜRETİM_İHTİYAÇ_RAPORU_BURAK_YENI1309[[#This Row],[ALT_KOD]]))</f>
        <v>-245</v>
      </c>
      <c r="L1733">
        <v>0</v>
      </c>
      <c r="M1733">
        <f>IF((DST_123_ÜRETİM_İHTİYAÇ_RAPORU_BURAK_YENI1309[[#This Row],[SATINALMA]]*DST_123_ÜRETİM_İHTİYAÇ_RAPORU_BURAK_YENI1309[[#This Row],[BIRIM_FIYATLAR]])&lt;1,VALUE("0"),DST_123_ÜRETİM_İHTİYAÇ_RAPORU_BURAK_YENI1309[[#This Row],[SATINALMA]]*DST_123_ÜRETİM_İHTİYAÇ_RAPORU_BURAK_YENI1309[[#This Row],[BIRIM_FIYATLAR]])</f>
        <v>0</v>
      </c>
      <c r="N1733">
        <v>4</v>
      </c>
      <c r="O1733" t="s">
        <v>226</v>
      </c>
      <c r="P1733">
        <v>60</v>
      </c>
      <c r="Q1733" t="s">
        <v>180</v>
      </c>
    </row>
    <row r="1734" spans="1:17" x14ac:dyDescent="0.25">
      <c r="A1734" t="s">
        <v>1095</v>
      </c>
      <c r="B1734" t="s">
        <v>1096</v>
      </c>
      <c r="C1734" t="s">
        <v>175</v>
      </c>
      <c r="D1734" t="s">
        <v>307</v>
      </c>
      <c r="E1734" t="s">
        <v>308</v>
      </c>
      <c r="F1734">
        <v>2</v>
      </c>
      <c r="G1734" t="s">
        <v>176</v>
      </c>
      <c r="H1734">
        <v>0</v>
      </c>
      <c r="I1734">
        <v>13</v>
      </c>
      <c r="J1734" s="10">
        <v>1</v>
      </c>
      <c r="K1734" s="10">
        <f>SUMIFS(F:F,D:D,DST_123_ÜRETİM_İHTİYAÇ_RAPORU_BURAK_YENI1309[[#This Row],[ALT_KOD]])-(SUMIFS(H:H,D:D,DST_123_ÜRETİM_İHTİYAÇ_RAPORU_BURAK_YENI1309[[#This Row],[ALT_KOD]])+AVERAGEIFS(I:I,D:D,DST_123_ÜRETİM_İHTİYAÇ_RAPORU_BURAK_YENI1309[[#This Row],[ALT_KOD]])+AVERAGEIFS(L:L,D:D,DST_123_ÜRETİM_İHTİYAÇ_RAPORU_BURAK_YENI1309[[#This Row],[ALT_KOD]]))</f>
        <v>24</v>
      </c>
      <c r="L1734">
        <v>0</v>
      </c>
      <c r="M1734">
        <f>IF((DST_123_ÜRETİM_İHTİYAÇ_RAPORU_BURAK_YENI1309[[#This Row],[SATINALMA]]*DST_123_ÜRETİM_İHTİYAÇ_RAPORU_BURAK_YENI1309[[#This Row],[BIRIM_FIYATLAR]])&lt;1,VALUE("0"),DST_123_ÜRETİM_İHTİYAÇ_RAPORU_BURAK_YENI1309[[#This Row],[SATINALMA]]*DST_123_ÜRETİM_İHTİYAÇ_RAPORU_BURAK_YENI1309[[#This Row],[BIRIM_FIYATLAR]])</f>
        <v>1570.08</v>
      </c>
      <c r="N1734">
        <v>65.42</v>
      </c>
      <c r="O1734" t="s">
        <v>628</v>
      </c>
      <c r="P1734">
        <v>130.84</v>
      </c>
      <c r="Q1734" t="s">
        <v>178</v>
      </c>
    </row>
    <row r="1735" spans="1:17" x14ac:dyDescent="0.25">
      <c r="A1735" t="s">
        <v>1097</v>
      </c>
      <c r="B1735" t="s">
        <v>1055</v>
      </c>
      <c r="C1735" t="s">
        <v>175</v>
      </c>
      <c r="D1735" t="s">
        <v>307</v>
      </c>
      <c r="E1735" t="s">
        <v>308</v>
      </c>
      <c r="F1735">
        <v>3</v>
      </c>
      <c r="G1735" t="s">
        <v>176</v>
      </c>
      <c r="H1735">
        <v>0</v>
      </c>
      <c r="I1735">
        <v>13</v>
      </c>
      <c r="J1735" s="10">
        <v>1</v>
      </c>
      <c r="K1735" s="10">
        <f>SUMIFS(F:F,D:D,DST_123_ÜRETİM_İHTİYAÇ_RAPORU_BURAK_YENI1309[[#This Row],[ALT_KOD]])-(SUMIFS(H:H,D:D,DST_123_ÜRETİM_İHTİYAÇ_RAPORU_BURAK_YENI1309[[#This Row],[ALT_KOD]])+AVERAGEIFS(I:I,D:D,DST_123_ÜRETİM_İHTİYAÇ_RAPORU_BURAK_YENI1309[[#This Row],[ALT_KOD]])+AVERAGEIFS(L:L,D:D,DST_123_ÜRETİM_İHTİYAÇ_RAPORU_BURAK_YENI1309[[#This Row],[ALT_KOD]]))</f>
        <v>24</v>
      </c>
      <c r="L1735">
        <v>0</v>
      </c>
      <c r="M1735">
        <f>IF((DST_123_ÜRETİM_İHTİYAÇ_RAPORU_BURAK_YENI1309[[#This Row],[SATINALMA]]*DST_123_ÜRETİM_İHTİYAÇ_RAPORU_BURAK_YENI1309[[#This Row],[BIRIM_FIYATLAR]])&lt;1,VALUE("0"),DST_123_ÜRETİM_İHTİYAÇ_RAPORU_BURAK_YENI1309[[#This Row],[SATINALMA]]*DST_123_ÜRETİM_İHTİYAÇ_RAPORU_BURAK_YENI1309[[#This Row],[BIRIM_FIYATLAR]])</f>
        <v>1570.08</v>
      </c>
      <c r="N1735">
        <v>65.42</v>
      </c>
      <c r="O1735" t="s">
        <v>628</v>
      </c>
      <c r="P1735">
        <v>196.26</v>
      </c>
      <c r="Q1735" t="s">
        <v>178</v>
      </c>
    </row>
    <row r="1736" spans="1:17" x14ac:dyDescent="0.25">
      <c r="A1736" t="s">
        <v>1097</v>
      </c>
      <c r="B1736" t="s">
        <v>1055</v>
      </c>
      <c r="C1736" t="s">
        <v>175</v>
      </c>
      <c r="D1736" t="s">
        <v>577</v>
      </c>
      <c r="E1736" t="s">
        <v>578</v>
      </c>
      <c r="F1736">
        <v>0.2</v>
      </c>
      <c r="G1736" t="s">
        <v>185</v>
      </c>
      <c r="H1736">
        <v>0</v>
      </c>
      <c r="I1736">
        <v>12</v>
      </c>
      <c r="J1736" s="10">
        <v>1.2000000000000011</v>
      </c>
      <c r="K1736" s="10">
        <f>SUMIFS(F:F,D:D,DST_123_ÜRETİM_İHTİYAÇ_RAPORU_BURAK_YENI1309[[#This Row],[ALT_KOD]])-(SUMIFS(H:H,D:D,DST_123_ÜRETİM_İHTİYAÇ_RAPORU_BURAK_YENI1309[[#This Row],[ALT_KOD]])+AVERAGEIFS(I:I,D:D,DST_123_ÜRETİM_İHTİYAÇ_RAPORU_BURAK_YENI1309[[#This Row],[ALT_KOD]])+AVERAGEIFS(L:L,D:D,DST_123_ÜRETİM_İHTİYAÇ_RAPORU_BURAK_YENI1309[[#This Row],[ALT_KOD]]))</f>
        <v>-10.199999999999999</v>
      </c>
      <c r="L1736">
        <v>0</v>
      </c>
      <c r="M1736">
        <f>IF((DST_123_ÜRETİM_İHTİYAÇ_RAPORU_BURAK_YENI1309[[#This Row],[SATINALMA]]*DST_123_ÜRETİM_İHTİYAÇ_RAPORU_BURAK_YENI1309[[#This Row],[BIRIM_FIYATLAR]])&lt;1,VALUE("0"),DST_123_ÜRETİM_İHTİYAÇ_RAPORU_BURAK_YENI1309[[#This Row],[SATINALMA]]*DST_123_ÜRETİM_İHTİYAÇ_RAPORU_BURAK_YENI1309[[#This Row],[BIRIM_FIYATLAR]])</f>
        <v>0</v>
      </c>
      <c r="N1736">
        <v>221.8</v>
      </c>
      <c r="O1736" t="s">
        <v>490</v>
      </c>
      <c r="P1736">
        <v>44.360000000000007</v>
      </c>
      <c r="Q1736" t="s">
        <v>183</v>
      </c>
    </row>
    <row r="1737" spans="1:17" x14ac:dyDescent="0.25">
      <c r="A1737" t="s">
        <v>1143</v>
      </c>
      <c r="B1737" t="s">
        <v>1056</v>
      </c>
      <c r="C1737" t="s">
        <v>175</v>
      </c>
      <c r="D1737" t="s">
        <v>577</v>
      </c>
      <c r="E1737" t="s">
        <v>578</v>
      </c>
      <c r="F1737">
        <v>0.2</v>
      </c>
      <c r="G1737" t="s">
        <v>185</v>
      </c>
      <c r="H1737">
        <v>0</v>
      </c>
      <c r="I1737">
        <v>12</v>
      </c>
      <c r="J1737" s="10">
        <v>1.2000000000000011</v>
      </c>
      <c r="K1737" s="10">
        <f>SUMIFS(F:F,D:D,DST_123_ÜRETİM_İHTİYAÇ_RAPORU_BURAK_YENI1309[[#This Row],[ALT_KOD]])-(SUMIFS(H:H,D:D,DST_123_ÜRETİM_İHTİYAÇ_RAPORU_BURAK_YENI1309[[#This Row],[ALT_KOD]])+AVERAGEIFS(I:I,D:D,DST_123_ÜRETİM_İHTİYAÇ_RAPORU_BURAK_YENI1309[[#This Row],[ALT_KOD]])+AVERAGEIFS(L:L,D:D,DST_123_ÜRETİM_İHTİYAÇ_RAPORU_BURAK_YENI1309[[#This Row],[ALT_KOD]]))</f>
        <v>-10.199999999999999</v>
      </c>
      <c r="L1737">
        <v>0</v>
      </c>
      <c r="M1737">
        <f>IF((DST_123_ÜRETİM_İHTİYAÇ_RAPORU_BURAK_YENI1309[[#This Row],[SATINALMA]]*DST_123_ÜRETİM_İHTİYAÇ_RAPORU_BURAK_YENI1309[[#This Row],[BIRIM_FIYATLAR]])&lt;1,VALUE("0"),DST_123_ÜRETİM_İHTİYAÇ_RAPORU_BURAK_YENI1309[[#This Row],[SATINALMA]]*DST_123_ÜRETİM_İHTİYAÇ_RAPORU_BURAK_YENI1309[[#This Row],[BIRIM_FIYATLAR]])</f>
        <v>0</v>
      </c>
      <c r="N1737">
        <v>221.8</v>
      </c>
      <c r="O1737" t="s">
        <v>490</v>
      </c>
      <c r="P1737">
        <v>44.360000000000007</v>
      </c>
      <c r="Q1737" t="s">
        <v>183</v>
      </c>
    </row>
    <row r="1738" spans="1:17" x14ac:dyDescent="0.25">
      <c r="A1738" t="s">
        <v>1095</v>
      </c>
      <c r="B1738" t="s">
        <v>1096</v>
      </c>
      <c r="C1738" t="s">
        <v>175</v>
      </c>
      <c r="D1738" t="s">
        <v>577</v>
      </c>
      <c r="E1738" t="s">
        <v>578</v>
      </c>
      <c r="F1738">
        <v>0.2</v>
      </c>
      <c r="G1738" t="s">
        <v>185</v>
      </c>
      <c r="H1738">
        <v>0</v>
      </c>
      <c r="I1738">
        <v>12</v>
      </c>
      <c r="J1738" s="10">
        <v>1.2000000000000011</v>
      </c>
      <c r="K1738" s="10">
        <f>SUMIFS(F:F,D:D,DST_123_ÜRETİM_İHTİYAÇ_RAPORU_BURAK_YENI1309[[#This Row],[ALT_KOD]])-(SUMIFS(H:H,D:D,DST_123_ÜRETİM_İHTİYAÇ_RAPORU_BURAK_YENI1309[[#This Row],[ALT_KOD]])+AVERAGEIFS(I:I,D:D,DST_123_ÜRETİM_İHTİYAÇ_RAPORU_BURAK_YENI1309[[#This Row],[ALT_KOD]])+AVERAGEIFS(L:L,D:D,DST_123_ÜRETİM_İHTİYAÇ_RAPORU_BURAK_YENI1309[[#This Row],[ALT_KOD]]))</f>
        <v>-10.199999999999999</v>
      </c>
      <c r="L1738">
        <v>0</v>
      </c>
      <c r="M1738">
        <f>IF((DST_123_ÜRETİM_İHTİYAÇ_RAPORU_BURAK_YENI1309[[#This Row],[SATINALMA]]*DST_123_ÜRETİM_İHTİYAÇ_RAPORU_BURAK_YENI1309[[#This Row],[BIRIM_FIYATLAR]])&lt;1,VALUE("0"),DST_123_ÜRETİM_İHTİYAÇ_RAPORU_BURAK_YENI1309[[#This Row],[SATINALMA]]*DST_123_ÜRETİM_İHTİYAÇ_RAPORU_BURAK_YENI1309[[#This Row],[BIRIM_FIYATLAR]])</f>
        <v>0</v>
      </c>
      <c r="N1738">
        <v>221.8</v>
      </c>
      <c r="O1738" t="s">
        <v>490</v>
      </c>
      <c r="P1738">
        <v>44.360000000000007</v>
      </c>
      <c r="Q1738" t="s">
        <v>183</v>
      </c>
    </row>
    <row r="1739" spans="1:17" x14ac:dyDescent="0.25">
      <c r="A1739" t="s">
        <v>1059</v>
      </c>
      <c r="B1739" t="s">
        <v>1058</v>
      </c>
      <c r="C1739" t="s">
        <v>175</v>
      </c>
      <c r="D1739" t="s">
        <v>542</v>
      </c>
      <c r="E1739" t="s">
        <v>543</v>
      </c>
      <c r="F1739">
        <v>1</v>
      </c>
      <c r="G1739" t="s">
        <v>176</v>
      </c>
      <c r="H1739">
        <v>0</v>
      </c>
      <c r="I1739">
        <v>18</v>
      </c>
      <c r="J1739" s="10">
        <v>28</v>
      </c>
      <c r="K1739" s="10">
        <f>SUMIFS(F:F,D:D,DST_123_ÜRETİM_İHTİYAÇ_RAPORU_BURAK_YENI1309[[#This Row],[ALT_KOD]])-(SUMIFS(H:H,D:D,DST_123_ÜRETİM_İHTİYAÇ_RAPORU_BURAK_YENI1309[[#This Row],[ALT_KOD]])+AVERAGEIFS(I:I,D:D,DST_123_ÜRETİM_İHTİYAÇ_RAPORU_BURAK_YENI1309[[#This Row],[ALT_KOD]])+AVERAGEIFS(L:L,D:D,DST_123_ÜRETİM_İHTİYAÇ_RAPORU_BURAK_YENI1309[[#This Row],[ALT_KOD]]))</f>
        <v>-17</v>
      </c>
      <c r="L1739">
        <v>0</v>
      </c>
      <c r="M1739">
        <f>IF((DST_123_ÜRETİM_İHTİYAÇ_RAPORU_BURAK_YENI1309[[#This Row],[SATINALMA]]*DST_123_ÜRETİM_İHTİYAÇ_RAPORU_BURAK_YENI1309[[#This Row],[BIRIM_FIYATLAR]])&lt;1,VALUE("0"),DST_123_ÜRETİM_İHTİYAÇ_RAPORU_BURAK_YENI1309[[#This Row],[SATINALMA]]*DST_123_ÜRETİM_İHTİYAÇ_RAPORU_BURAK_YENI1309[[#This Row],[BIRIM_FIYATLAR]])</f>
        <v>0</v>
      </c>
      <c r="N1739">
        <v>2</v>
      </c>
      <c r="P1739">
        <v>2</v>
      </c>
      <c r="Q1739" t="s">
        <v>180</v>
      </c>
    </row>
    <row r="1740" spans="1:17" x14ac:dyDescent="0.25">
      <c r="A1740" t="s">
        <v>1147</v>
      </c>
      <c r="B1740" t="s">
        <v>1145</v>
      </c>
      <c r="C1740" t="s">
        <v>175</v>
      </c>
      <c r="D1740" t="s">
        <v>833</v>
      </c>
      <c r="E1740" t="s">
        <v>834</v>
      </c>
      <c r="F1740">
        <v>0.5</v>
      </c>
      <c r="G1740" t="s">
        <v>179</v>
      </c>
      <c r="H1740">
        <v>0</v>
      </c>
      <c r="I1740">
        <v>0</v>
      </c>
      <c r="J1740" s="10">
        <v>36.5</v>
      </c>
      <c r="K1740" s="10">
        <f>SUMIFS(F:F,D:D,DST_123_ÜRETİM_İHTİYAÇ_RAPORU_BURAK_YENI1309[[#This Row],[ALT_KOD]])-(SUMIFS(H:H,D:D,DST_123_ÜRETİM_İHTİYAÇ_RAPORU_BURAK_YENI1309[[#This Row],[ALT_KOD]])+AVERAGEIFS(I:I,D:D,DST_123_ÜRETİM_İHTİYAÇ_RAPORU_BURAK_YENI1309[[#This Row],[ALT_KOD]])+AVERAGEIFS(L:L,D:D,DST_123_ÜRETİM_İHTİYAÇ_RAPORU_BURAK_YENI1309[[#This Row],[ALT_KOD]]))</f>
        <v>9</v>
      </c>
      <c r="L1740">
        <v>0</v>
      </c>
      <c r="M1740">
        <f>IF((DST_123_ÜRETİM_İHTİYAÇ_RAPORU_BURAK_YENI1309[[#This Row],[SATINALMA]]*DST_123_ÜRETİM_İHTİYAÇ_RAPORU_BURAK_YENI1309[[#This Row],[BIRIM_FIYATLAR]])&lt;1,VALUE("0"),DST_123_ÜRETİM_İHTİYAÇ_RAPORU_BURAK_YENI1309[[#This Row],[SATINALMA]]*DST_123_ÜRETİM_İHTİYAÇ_RAPORU_BURAK_YENI1309[[#This Row],[BIRIM_FIYATLAR]])</f>
        <v>250.29</v>
      </c>
      <c r="N1740">
        <v>27.81</v>
      </c>
      <c r="O1740" t="s">
        <v>835</v>
      </c>
      <c r="P1740">
        <v>13.904999999999999</v>
      </c>
      <c r="Q1740" t="s">
        <v>184</v>
      </c>
    </row>
    <row r="1741" spans="1:17" x14ac:dyDescent="0.25">
      <c r="A1741" t="s">
        <v>1148</v>
      </c>
      <c r="B1741" t="s">
        <v>1056</v>
      </c>
      <c r="C1741" t="s">
        <v>175</v>
      </c>
      <c r="D1741" t="s">
        <v>833</v>
      </c>
      <c r="E1741" t="s">
        <v>834</v>
      </c>
      <c r="F1741">
        <v>0.5</v>
      </c>
      <c r="G1741" t="s">
        <v>179</v>
      </c>
      <c r="H1741">
        <v>0</v>
      </c>
      <c r="I1741">
        <v>0</v>
      </c>
      <c r="J1741" s="10">
        <v>36.5</v>
      </c>
      <c r="K1741" s="10">
        <f>SUMIFS(F:F,D:D,DST_123_ÜRETİM_İHTİYAÇ_RAPORU_BURAK_YENI1309[[#This Row],[ALT_KOD]])-(SUMIFS(H:H,D:D,DST_123_ÜRETİM_İHTİYAÇ_RAPORU_BURAK_YENI1309[[#This Row],[ALT_KOD]])+AVERAGEIFS(I:I,D:D,DST_123_ÜRETİM_İHTİYAÇ_RAPORU_BURAK_YENI1309[[#This Row],[ALT_KOD]])+AVERAGEIFS(L:L,D:D,DST_123_ÜRETİM_İHTİYAÇ_RAPORU_BURAK_YENI1309[[#This Row],[ALT_KOD]]))</f>
        <v>9</v>
      </c>
      <c r="L1741">
        <v>0</v>
      </c>
      <c r="M1741">
        <f>IF((DST_123_ÜRETİM_İHTİYAÇ_RAPORU_BURAK_YENI1309[[#This Row],[SATINALMA]]*DST_123_ÜRETİM_İHTİYAÇ_RAPORU_BURAK_YENI1309[[#This Row],[BIRIM_FIYATLAR]])&lt;1,VALUE("0"),DST_123_ÜRETİM_İHTİYAÇ_RAPORU_BURAK_YENI1309[[#This Row],[SATINALMA]]*DST_123_ÜRETİM_İHTİYAÇ_RAPORU_BURAK_YENI1309[[#This Row],[BIRIM_FIYATLAR]])</f>
        <v>250.29</v>
      </c>
      <c r="N1741">
        <v>27.81</v>
      </c>
      <c r="O1741" t="s">
        <v>835</v>
      </c>
      <c r="P1741">
        <v>13.904999999999999</v>
      </c>
      <c r="Q1741" t="s">
        <v>184</v>
      </c>
    </row>
    <row r="1742" spans="1:17" x14ac:dyDescent="0.25">
      <c r="A1742" t="s">
        <v>1059</v>
      </c>
      <c r="B1742" t="s">
        <v>1058</v>
      </c>
      <c r="C1742" t="s">
        <v>175</v>
      </c>
      <c r="D1742" t="s">
        <v>573</v>
      </c>
      <c r="E1742" t="s">
        <v>574</v>
      </c>
      <c r="F1742">
        <v>1</v>
      </c>
      <c r="G1742" t="s">
        <v>176</v>
      </c>
      <c r="H1742">
        <v>0</v>
      </c>
      <c r="I1742">
        <v>24</v>
      </c>
      <c r="J1742" s="10">
        <v>-3.5527136788005009E-14</v>
      </c>
      <c r="K1742" s="10">
        <f>SUMIFS(F:F,D:D,DST_123_ÜRETİM_İHTİYAÇ_RAPORU_BURAK_YENI1309[[#This Row],[ALT_KOD]])-(SUMIFS(H:H,D:D,DST_123_ÜRETİM_İHTİYAÇ_RAPORU_BURAK_YENI1309[[#This Row],[ALT_KOD]])+AVERAGEIFS(I:I,D:D,DST_123_ÜRETİM_İHTİYAÇ_RAPORU_BURAK_YENI1309[[#This Row],[ALT_KOD]])+AVERAGEIFS(L:L,D:D,DST_123_ÜRETİM_İHTİYAÇ_RAPORU_BURAK_YENI1309[[#This Row],[ALT_KOD]]))</f>
        <v>-7.600000000000005</v>
      </c>
      <c r="L1742">
        <v>0</v>
      </c>
      <c r="M1742">
        <f>IF((DST_123_ÜRETİM_İHTİYAÇ_RAPORU_BURAK_YENI1309[[#This Row],[SATINALMA]]*DST_123_ÜRETİM_İHTİYAÇ_RAPORU_BURAK_YENI1309[[#This Row],[BIRIM_FIYATLAR]])&lt;1,VALUE("0"),DST_123_ÜRETİM_İHTİYAÇ_RAPORU_BURAK_YENI1309[[#This Row],[SATINALMA]]*DST_123_ÜRETİM_İHTİYAÇ_RAPORU_BURAK_YENI1309[[#This Row],[BIRIM_FIYATLAR]])</f>
        <v>0</v>
      </c>
      <c r="N1742">
        <v>120</v>
      </c>
      <c r="O1742" t="s">
        <v>240</v>
      </c>
      <c r="P1742">
        <v>120</v>
      </c>
      <c r="Q1742" t="s">
        <v>183</v>
      </c>
    </row>
    <row r="1743" spans="1:17" x14ac:dyDescent="0.25">
      <c r="A1743" t="s">
        <v>1095</v>
      </c>
      <c r="B1743" t="s">
        <v>1096</v>
      </c>
      <c r="C1743" t="s">
        <v>175</v>
      </c>
      <c r="D1743" t="s">
        <v>573</v>
      </c>
      <c r="E1743" t="s">
        <v>574</v>
      </c>
      <c r="F1743">
        <v>0.7</v>
      </c>
      <c r="G1743" t="s">
        <v>176</v>
      </c>
      <c r="H1743">
        <v>0</v>
      </c>
      <c r="I1743">
        <v>24</v>
      </c>
      <c r="J1743" s="10">
        <v>-3.5527136788005009E-14</v>
      </c>
      <c r="K1743" s="10">
        <f>SUMIFS(F:F,D:D,DST_123_ÜRETİM_İHTİYAÇ_RAPORU_BURAK_YENI1309[[#This Row],[ALT_KOD]])-(SUMIFS(H:H,D:D,DST_123_ÜRETİM_İHTİYAÇ_RAPORU_BURAK_YENI1309[[#This Row],[ALT_KOD]])+AVERAGEIFS(I:I,D:D,DST_123_ÜRETİM_İHTİYAÇ_RAPORU_BURAK_YENI1309[[#This Row],[ALT_KOD]])+AVERAGEIFS(L:L,D:D,DST_123_ÜRETİM_İHTİYAÇ_RAPORU_BURAK_YENI1309[[#This Row],[ALT_KOD]]))</f>
        <v>-7.600000000000005</v>
      </c>
      <c r="L1743">
        <v>0</v>
      </c>
      <c r="M1743">
        <f>IF((DST_123_ÜRETİM_İHTİYAÇ_RAPORU_BURAK_YENI1309[[#This Row],[SATINALMA]]*DST_123_ÜRETİM_İHTİYAÇ_RAPORU_BURAK_YENI1309[[#This Row],[BIRIM_FIYATLAR]])&lt;1,VALUE("0"),DST_123_ÜRETİM_İHTİYAÇ_RAPORU_BURAK_YENI1309[[#This Row],[SATINALMA]]*DST_123_ÜRETİM_İHTİYAÇ_RAPORU_BURAK_YENI1309[[#This Row],[BIRIM_FIYATLAR]])</f>
        <v>0</v>
      </c>
      <c r="N1743">
        <v>120</v>
      </c>
      <c r="O1743" t="s">
        <v>240</v>
      </c>
      <c r="P1743">
        <v>84</v>
      </c>
      <c r="Q1743" t="s">
        <v>183</v>
      </c>
    </row>
    <row r="1744" spans="1:17" x14ac:dyDescent="0.25">
      <c r="A1744" t="s">
        <v>1143</v>
      </c>
      <c r="B1744" t="s">
        <v>1056</v>
      </c>
      <c r="C1744" t="s">
        <v>175</v>
      </c>
      <c r="D1744" t="s">
        <v>201</v>
      </c>
      <c r="E1744" t="s">
        <v>225</v>
      </c>
      <c r="F1744">
        <v>4</v>
      </c>
      <c r="G1744" t="s">
        <v>176</v>
      </c>
      <c r="H1744">
        <v>0</v>
      </c>
      <c r="I1744">
        <v>65</v>
      </c>
      <c r="J1744" s="10">
        <v>31</v>
      </c>
      <c r="K1744" s="10">
        <f>SUMIFS(F:F,D:D,DST_123_ÜRETİM_İHTİYAÇ_RAPORU_BURAK_YENI1309[[#This Row],[ALT_KOD]])-(SUMIFS(H:H,D:D,DST_123_ÜRETİM_İHTİYAÇ_RAPORU_BURAK_YENI1309[[#This Row],[ALT_KOD]])+AVERAGEIFS(I:I,D:D,DST_123_ÜRETİM_İHTİYAÇ_RAPORU_BURAK_YENI1309[[#This Row],[ALT_KOD]])+AVERAGEIFS(L:L,D:D,DST_123_ÜRETİM_İHTİYAÇ_RAPORU_BURAK_YENI1309[[#This Row],[ALT_KOD]]))</f>
        <v>-31</v>
      </c>
      <c r="L1744">
        <v>0</v>
      </c>
      <c r="M1744">
        <f>IF((DST_123_ÜRETİM_İHTİYAÇ_RAPORU_BURAK_YENI1309[[#This Row],[SATINALMA]]*DST_123_ÜRETİM_İHTİYAÇ_RAPORU_BURAK_YENI1309[[#This Row],[BIRIM_FIYATLAR]])&lt;1,VALUE("0"),DST_123_ÜRETİM_İHTİYAÇ_RAPORU_BURAK_YENI1309[[#This Row],[SATINALMA]]*DST_123_ÜRETİM_İHTİYAÇ_RAPORU_BURAK_YENI1309[[#This Row],[BIRIM_FIYATLAR]])</f>
        <v>0</v>
      </c>
      <c r="N1744">
        <v>45.5</v>
      </c>
      <c r="O1744" t="s">
        <v>504</v>
      </c>
      <c r="P1744">
        <v>182</v>
      </c>
      <c r="Q1744" t="s">
        <v>221</v>
      </c>
    </row>
    <row r="1745" spans="1:17" x14ac:dyDescent="0.25">
      <c r="A1745" t="s">
        <v>1064</v>
      </c>
      <c r="B1745" t="s">
        <v>1055</v>
      </c>
      <c r="C1745" t="s">
        <v>175</v>
      </c>
      <c r="D1745" t="s">
        <v>372</v>
      </c>
      <c r="E1745" t="s">
        <v>373</v>
      </c>
      <c r="F1745">
        <v>6</v>
      </c>
      <c r="G1745" t="s">
        <v>176</v>
      </c>
      <c r="H1745">
        <v>0</v>
      </c>
      <c r="I1745">
        <v>65</v>
      </c>
      <c r="J1745" s="10">
        <v>54</v>
      </c>
      <c r="K1745" s="10">
        <f>SUMIFS(F:F,D:D,DST_123_ÜRETİM_İHTİYAÇ_RAPORU_BURAK_YENI1309[[#This Row],[ALT_KOD]])-(SUMIFS(H:H,D:D,DST_123_ÜRETİM_İHTİYAÇ_RAPORU_BURAK_YENI1309[[#This Row],[ALT_KOD]])+AVERAGEIFS(I:I,D:D,DST_123_ÜRETİM_İHTİYAÇ_RAPORU_BURAK_YENI1309[[#This Row],[ALT_KOD]])+AVERAGEIFS(L:L,D:D,DST_123_ÜRETİM_İHTİYAÇ_RAPORU_BURAK_YENI1309[[#This Row],[ALT_KOD]]))</f>
        <v>2</v>
      </c>
      <c r="L1745">
        <v>40</v>
      </c>
      <c r="M1745">
        <f>IF((DST_123_ÜRETİM_İHTİYAÇ_RAPORU_BURAK_YENI1309[[#This Row],[SATINALMA]]*DST_123_ÜRETİM_İHTİYAÇ_RAPORU_BURAK_YENI1309[[#This Row],[BIRIM_FIYATLAR]])&lt;1,VALUE("0"),DST_123_ÜRETİM_İHTİYAÇ_RAPORU_BURAK_YENI1309[[#This Row],[SATINALMA]]*DST_123_ÜRETİM_İHTİYAÇ_RAPORU_BURAK_YENI1309[[#This Row],[BIRIM_FIYATLAR]])</f>
        <v>148</v>
      </c>
      <c r="N1745">
        <v>74</v>
      </c>
      <c r="O1745" t="s">
        <v>821</v>
      </c>
      <c r="P1745">
        <v>444</v>
      </c>
      <c r="Q1745" t="s">
        <v>178</v>
      </c>
    </row>
    <row r="1746" spans="1:17" x14ac:dyDescent="0.25">
      <c r="A1746" t="s">
        <v>1098</v>
      </c>
      <c r="B1746" t="s">
        <v>1096</v>
      </c>
      <c r="C1746" t="s">
        <v>175</v>
      </c>
      <c r="D1746" t="s">
        <v>123</v>
      </c>
      <c r="E1746" t="s">
        <v>633</v>
      </c>
      <c r="F1746">
        <v>0.2</v>
      </c>
      <c r="G1746" t="s">
        <v>179</v>
      </c>
      <c r="H1746">
        <v>0</v>
      </c>
      <c r="I1746">
        <v>200</v>
      </c>
      <c r="J1746" s="10">
        <v>5.6843418860808015E-14</v>
      </c>
      <c r="K1746" s="10">
        <f>SUMIFS(F:F,D:D,DST_123_ÜRETİM_İHTİYAÇ_RAPORU_BURAK_YENI1309[[#This Row],[ALT_KOD]])-(SUMIFS(H:H,D:D,DST_123_ÜRETİM_İHTİYAÇ_RAPORU_BURAK_YENI1309[[#This Row],[ALT_KOD]])+AVERAGEIFS(I:I,D:D,DST_123_ÜRETİM_İHTİYAÇ_RAPORU_BURAK_YENI1309[[#This Row],[ALT_KOD]])+AVERAGEIFS(L:L,D:D,DST_123_ÜRETİM_İHTİYAÇ_RAPORU_BURAK_YENI1309[[#This Row],[ALT_KOD]]))</f>
        <v>-196.15</v>
      </c>
      <c r="L1746">
        <v>0</v>
      </c>
      <c r="M1746">
        <f>IF((DST_123_ÜRETİM_İHTİYAÇ_RAPORU_BURAK_YENI1309[[#This Row],[SATINALMA]]*DST_123_ÜRETİM_İHTİYAÇ_RAPORU_BURAK_YENI1309[[#This Row],[BIRIM_FIYATLAR]])&lt;1,VALUE("0"),DST_123_ÜRETİM_İHTİYAÇ_RAPORU_BURAK_YENI1309[[#This Row],[SATINALMA]]*DST_123_ÜRETİM_İHTİYAÇ_RAPORU_BURAK_YENI1309[[#This Row],[BIRIM_FIYATLAR]])</f>
        <v>0</v>
      </c>
      <c r="N1746">
        <v>2.89</v>
      </c>
      <c r="O1746" t="s">
        <v>826</v>
      </c>
      <c r="P1746">
        <v>0.57800000000000007</v>
      </c>
      <c r="Q1746" t="s">
        <v>221</v>
      </c>
    </row>
    <row r="1747" spans="1:17" x14ac:dyDescent="0.25">
      <c r="A1747" t="s">
        <v>1098</v>
      </c>
      <c r="B1747" t="s">
        <v>1096</v>
      </c>
      <c r="C1747" t="s">
        <v>175</v>
      </c>
      <c r="D1747" t="s">
        <v>133</v>
      </c>
      <c r="E1747" t="s">
        <v>310</v>
      </c>
      <c r="F1747">
        <v>1</v>
      </c>
      <c r="G1747" t="s">
        <v>176</v>
      </c>
      <c r="H1747">
        <v>0</v>
      </c>
      <c r="I1747">
        <v>15</v>
      </c>
      <c r="J1747" s="10">
        <v>9</v>
      </c>
      <c r="K1747" s="10">
        <f>SUMIFS(F:F,D:D,DST_123_ÜRETİM_İHTİYAÇ_RAPORU_BURAK_YENI1309[[#This Row],[ALT_KOD]])-(SUMIFS(H:H,D:D,DST_123_ÜRETİM_İHTİYAÇ_RAPORU_BURAK_YENI1309[[#This Row],[ALT_KOD]])+AVERAGEIFS(I:I,D:D,DST_123_ÜRETİM_İHTİYAÇ_RAPORU_BURAK_YENI1309[[#This Row],[ALT_KOD]])+AVERAGEIFS(L:L,D:D,DST_123_ÜRETİM_İHTİYAÇ_RAPORU_BURAK_YENI1309[[#This Row],[ALT_KOD]]))</f>
        <v>-3</v>
      </c>
      <c r="L1747">
        <v>0</v>
      </c>
      <c r="M1747">
        <f>IF((DST_123_ÜRETİM_İHTİYAÇ_RAPORU_BURAK_YENI1309[[#This Row],[SATINALMA]]*DST_123_ÜRETİM_İHTİYAÇ_RAPORU_BURAK_YENI1309[[#This Row],[BIRIM_FIYATLAR]])&lt;1,VALUE("0"),DST_123_ÜRETİM_İHTİYAÇ_RAPORU_BURAK_YENI1309[[#This Row],[SATINALMA]]*DST_123_ÜRETİM_İHTİYAÇ_RAPORU_BURAK_YENI1309[[#This Row],[BIRIM_FIYATLAR]])</f>
        <v>0</v>
      </c>
      <c r="N1747">
        <v>224.46</v>
      </c>
      <c r="O1747" t="s">
        <v>826</v>
      </c>
      <c r="P1747">
        <v>224.46</v>
      </c>
      <c r="Q1747" t="s">
        <v>221</v>
      </c>
    </row>
    <row r="1748" spans="1:17" x14ac:dyDescent="0.25">
      <c r="A1748" t="s">
        <v>1057</v>
      </c>
      <c r="B1748" t="s">
        <v>1058</v>
      </c>
      <c r="C1748" t="s">
        <v>175</v>
      </c>
      <c r="D1748" t="s">
        <v>128</v>
      </c>
      <c r="E1748" t="s">
        <v>129</v>
      </c>
      <c r="F1748">
        <v>6</v>
      </c>
      <c r="G1748" t="s">
        <v>185</v>
      </c>
      <c r="H1748">
        <v>6</v>
      </c>
      <c r="I1748">
        <v>0</v>
      </c>
      <c r="J1748" s="10">
        <v>260.61</v>
      </c>
      <c r="K1748" s="10">
        <f>SUMIFS(F:F,D:D,DST_123_ÜRETİM_İHTİYAÇ_RAPORU_BURAK_YENI1309[[#This Row],[ALT_KOD]])-(SUMIFS(H:H,D:D,DST_123_ÜRETİM_İHTİYAÇ_RAPORU_BURAK_YENI1309[[#This Row],[ALT_KOD]])+AVERAGEIFS(I:I,D:D,DST_123_ÜRETİM_İHTİYAÇ_RAPORU_BURAK_YENI1309[[#This Row],[ALT_KOD]])+AVERAGEIFS(L:L,D:D,DST_123_ÜRETİM_İHTİYAÇ_RAPORU_BURAK_YENI1309[[#This Row],[ALT_KOD]]))</f>
        <v>97.559999999999988</v>
      </c>
      <c r="L1748">
        <v>0</v>
      </c>
      <c r="M1748">
        <f>IF((DST_123_ÜRETİM_İHTİYAÇ_RAPORU_BURAK_YENI1309[[#This Row],[SATINALMA]]*DST_123_ÜRETİM_İHTİYAÇ_RAPORU_BURAK_YENI1309[[#This Row],[BIRIM_FIYATLAR]])&lt;1,VALUE("0"),DST_123_ÜRETİM_İHTİYAÇ_RAPORU_BURAK_YENI1309[[#This Row],[SATINALMA]]*DST_123_ÜRETİM_İHTİYAÇ_RAPORU_BURAK_YENI1309[[#This Row],[BIRIM_FIYATLAR]])</f>
        <v>13285.720799999999</v>
      </c>
      <c r="N1748">
        <v>136.18</v>
      </c>
      <c r="O1748" t="s">
        <v>252</v>
      </c>
      <c r="P1748">
        <v>817.08</v>
      </c>
      <c r="Q1748" t="s">
        <v>183</v>
      </c>
    </row>
    <row r="1749" spans="1:17" x14ac:dyDescent="0.25">
      <c r="A1749" t="s">
        <v>1057</v>
      </c>
      <c r="B1749" t="s">
        <v>1058</v>
      </c>
      <c r="C1749" t="s">
        <v>175</v>
      </c>
      <c r="D1749" t="s">
        <v>833</v>
      </c>
      <c r="E1749" t="s">
        <v>834</v>
      </c>
      <c r="F1749">
        <v>0.5</v>
      </c>
      <c r="G1749" t="s">
        <v>179</v>
      </c>
      <c r="H1749">
        <v>0</v>
      </c>
      <c r="I1749">
        <v>0</v>
      </c>
      <c r="J1749" s="10">
        <v>36.5</v>
      </c>
      <c r="K1749" s="10">
        <f>SUMIFS(F:F,D:D,DST_123_ÜRETİM_İHTİYAÇ_RAPORU_BURAK_YENI1309[[#This Row],[ALT_KOD]])-(SUMIFS(H:H,D:D,DST_123_ÜRETİM_İHTİYAÇ_RAPORU_BURAK_YENI1309[[#This Row],[ALT_KOD]])+AVERAGEIFS(I:I,D:D,DST_123_ÜRETİM_İHTİYAÇ_RAPORU_BURAK_YENI1309[[#This Row],[ALT_KOD]])+AVERAGEIFS(L:L,D:D,DST_123_ÜRETİM_İHTİYAÇ_RAPORU_BURAK_YENI1309[[#This Row],[ALT_KOD]]))</f>
        <v>9</v>
      </c>
      <c r="L1749">
        <v>0</v>
      </c>
      <c r="M1749">
        <f>IF((DST_123_ÜRETİM_İHTİYAÇ_RAPORU_BURAK_YENI1309[[#This Row],[SATINALMA]]*DST_123_ÜRETİM_İHTİYAÇ_RAPORU_BURAK_YENI1309[[#This Row],[BIRIM_FIYATLAR]])&lt;1,VALUE("0"),DST_123_ÜRETİM_İHTİYAÇ_RAPORU_BURAK_YENI1309[[#This Row],[SATINALMA]]*DST_123_ÜRETİM_İHTİYAÇ_RAPORU_BURAK_YENI1309[[#This Row],[BIRIM_FIYATLAR]])</f>
        <v>250.29</v>
      </c>
      <c r="N1749">
        <v>27.81</v>
      </c>
      <c r="O1749" t="s">
        <v>835</v>
      </c>
      <c r="P1749">
        <v>13.904999999999999</v>
      </c>
      <c r="Q1749" t="s">
        <v>184</v>
      </c>
    </row>
    <row r="1750" spans="1:17" x14ac:dyDescent="0.25">
      <c r="A1750" t="s">
        <v>1057</v>
      </c>
      <c r="B1750" t="s">
        <v>1058</v>
      </c>
      <c r="C1750" t="s">
        <v>175</v>
      </c>
      <c r="D1750" t="s">
        <v>372</v>
      </c>
      <c r="E1750" t="s">
        <v>373</v>
      </c>
      <c r="F1750">
        <v>6</v>
      </c>
      <c r="G1750" t="s">
        <v>176</v>
      </c>
      <c r="H1750">
        <v>0</v>
      </c>
      <c r="I1750">
        <v>65</v>
      </c>
      <c r="J1750" s="10">
        <v>54</v>
      </c>
      <c r="K1750" s="10">
        <f>SUMIFS(F:F,D:D,DST_123_ÜRETİM_İHTİYAÇ_RAPORU_BURAK_YENI1309[[#This Row],[ALT_KOD]])-(SUMIFS(H:H,D:D,DST_123_ÜRETİM_İHTİYAÇ_RAPORU_BURAK_YENI1309[[#This Row],[ALT_KOD]])+AVERAGEIFS(I:I,D:D,DST_123_ÜRETİM_İHTİYAÇ_RAPORU_BURAK_YENI1309[[#This Row],[ALT_KOD]])+AVERAGEIFS(L:L,D:D,DST_123_ÜRETİM_İHTİYAÇ_RAPORU_BURAK_YENI1309[[#This Row],[ALT_KOD]]))</f>
        <v>2</v>
      </c>
      <c r="L1750">
        <v>40</v>
      </c>
      <c r="M1750">
        <f>IF((DST_123_ÜRETİM_İHTİYAÇ_RAPORU_BURAK_YENI1309[[#This Row],[SATINALMA]]*DST_123_ÜRETİM_İHTİYAÇ_RAPORU_BURAK_YENI1309[[#This Row],[BIRIM_FIYATLAR]])&lt;1,VALUE("0"),DST_123_ÜRETİM_İHTİYAÇ_RAPORU_BURAK_YENI1309[[#This Row],[SATINALMA]]*DST_123_ÜRETİM_İHTİYAÇ_RAPORU_BURAK_YENI1309[[#This Row],[BIRIM_FIYATLAR]])</f>
        <v>148</v>
      </c>
      <c r="N1750">
        <v>74</v>
      </c>
      <c r="O1750" t="s">
        <v>821</v>
      </c>
      <c r="P1750">
        <v>444</v>
      </c>
      <c r="Q1750" t="s">
        <v>178</v>
      </c>
    </row>
    <row r="1751" spans="1:17" x14ac:dyDescent="0.25">
      <c r="A1751" t="s">
        <v>1143</v>
      </c>
      <c r="B1751" t="s">
        <v>1056</v>
      </c>
      <c r="C1751" t="s">
        <v>175</v>
      </c>
      <c r="D1751" t="s">
        <v>573</v>
      </c>
      <c r="E1751" t="s">
        <v>574</v>
      </c>
      <c r="F1751">
        <v>0.7</v>
      </c>
      <c r="G1751" t="s">
        <v>176</v>
      </c>
      <c r="H1751">
        <v>0</v>
      </c>
      <c r="I1751">
        <v>24</v>
      </c>
      <c r="J1751" s="10">
        <v>-3.5527136788005009E-14</v>
      </c>
      <c r="K1751" s="10">
        <f>SUMIFS(F:F,D:D,DST_123_ÜRETİM_İHTİYAÇ_RAPORU_BURAK_YENI1309[[#This Row],[ALT_KOD]])-(SUMIFS(H:H,D:D,DST_123_ÜRETİM_İHTİYAÇ_RAPORU_BURAK_YENI1309[[#This Row],[ALT_KOD]])+AVERAGEIFS(I:I,D:D,DST_123_ÜRETİM_İHTİYAÇ_RAPORU_BURAK_YENI1309[[#This Row],[ALT_KOD]])+AVERAGEIFS(L:L,D:D,DST_123_ÜRETİM_İHTİYAÇ_RAPORU_BURAK_YENI1309[[#This Row],[ALT_KOD]]))</f>
        <v>-7.600000000000005</v>
      </c>
      <c r="L1751">
        <v>0</v>
      </c>
      <c r="M1751">
        <f>IF((DST_123_ÜRETİM_İHTİYAÇ_RAPORU_BURAK_YENI1309[[#This Row],[SATINALMA]]*DST_123_ÜRETİM_İHTİYAÇ_RAPORU_BURAK_YENI1309[[#This Row],[BIRIM_FIYATLAR]])&lt;1,VALUE("0"),DST_123_ÜRETİM_İHTİYAÇ_RAPORU_BURAK_YENI1309[[#This Row],[SATINALMA]]*DST_123_ÜRETİM_İHTİYAÇ_RAPORU_BURAK_YENI1309[[#This Row],[BIRIM_FIYATLAR]])</f>
        <v>0</v>
      </c>
      <c r="N1751">
        <v>120</v>
      </c>
      <c r="O1751" t="s">
        <v>240</v>
      </c>
      <c r="P1751">
        <v>84</v>
      </c>
      <c r="Q1751" t="s">
        <v>183</v>
      </c>
    </row>
    <row r="1752" spans="1:17" x14ac:dyDescent="0.25">
      <c r="A1752" t="s">
        <v>1095</v>
      </c>
      <c r="B1752" t="s">
        <v>1096</v>
      </c>
      <c r="C1752" t="s">
        <v>175</v>
      </c>
      <c r="D1752" t="s">
        <v>1131</v>
      </c>
      <c r="E1752" t="s">
        <v>1132</v>
      </c>
      <c r="F1752">
        <v>1</v>
      </c>
      <c r="G1752" t="s">
        <v>176</v>
      </c>
      <c r="H1752">
        <v>0</v>
      </c>
      <c r="I1752">
        <v>0</v>
      </c>
      <c r="J1752" s="10">
        <v>0</v>
      </c>
      <c r="K1752" s="10">
        <f>SUMIFS(F:F,D:D,DST_123_ÜRETİM_İHTİYAÇ_RAPORU_BURAK_YENI1309[[#This Row],[ALT_KOD]])-(SUMIFS(H:H,D:D,DST_123_ÜRETİM_İHTİYAÇ_RAPORU_BURAK_YENI1309[[#This Row],[ALT_KOD]])+AVERAGEIFS(I:I,D:D,DST_123_ÜRETİM_İHTİYAÇ_RAPORU_BURAK_YENI1309[[#This Row],[ALT_KOD]])+AVERAGEIFS(L:L,D:D,DST_123_ÜRETİM_İHTİYAÇ_RAPORU_BURAK_YENI1309[[#This Row],[ALT_KOD]]))</f>
        <v>3</v>
      </c>
      <c r="L1752">
        <v>0</v>
      </c>
      <c r="M1752">
        <f>IF((DST_123_ÜRETİM_İHTİYAÇ_RAPORU_BURAK_YENI1309[[#This Row],[SATINALMA]]*DST_123_ÜRETİM_İHTİYAÇ_RAPORU_BURAK_YENI1309[[#This Row],[BIRIM_FIYATLAR]])&lt;1,VALUE("0"),DST_123_ÜRETİM_İHTİYAÇ_RAPORU_BURAK_YENI1309[[#This Row],[SATINALMA]]*DST_123_ÜRETİM_İHTİYAÇ_RAPORU_BURAK_YENI1309[[#This Row],[BIRIM_FIYATLAR]])</f>
        <v>40950.03</v>
      </c>
      <c r="N1752">
        <v>13650.01</v>
      </c>
      <c r="O1752" t="s">
        <v>227</v>
      </c>
      <c r="P1752">
        <v>13650.01</v>
      </c>
      <c r="Q1752" t="s">
        <v>221</v>
      </c>
    </row>
    <row r="1753" spans="1:17" x14ac:dyDescent="0.25">
      <c r="A1753" t="s">
        <v>1095</v>
      </c>
      <c r="B1753" t="s">
        <v>1096</v>
      </c>
      <c r="C1753" t="s">
        <v>175</v>
      </c>
      <c r="D1753" t="s">
        <v>201</v>
      </c>
      <c r="E1753" t="s">
        <v>225</v>
      </c>
      <c r="F1753">
        <v>3</v>
      </c>
      <c r="G1753" t="s">
        <v>176</v>
      </c>
      <c r="H1753">
        <v>0</v>
      </c>
      <c r="I1753">
        <v>65</v>
      </c>
      <c r="J1753" s="10">
        <v>31</v>
      </c>
      <c r="K1753" s="10">
        <f>SUMIFS(F:F,D:D,DST_123_ÜRETİM_İHTİYAÇ_RAPORU_BURAK_YENI1309[[#This Row],[ALT_KOD]])-(SUMIFS(H:H,D:D,DST_123_ÜRETİM_İHTİYAÇ_RAPORU_BURAK_YENI1309[[#This Row],[ALT_KOD]])+AVERAGEIFS(I:I,D:D,DST_123_ÜRETİM_İHTİYAÇ_RAPORU_BURAK_YENI1309[[#This Row],[ALT_KOD]])+AVERAGEIFS(L:L,D:D,DST_123_ÜRETİM_İHTİYAÇ_RAPORU_BURAK_YENI1309[[#This Row],[ALT_KOD]]))</f>
        <v>-31</v>
      </c>
      <c r="L1753">
        <v>0</v>
      </c>
      <c r="M1753">
        <f>IF((DST_123_ÜRETİM_İHTİYAÇ_RAPORU_BURAK_YENI1309[[#This Row],[SATINALMA]]*DST_123_ÜRETİM_İHTİYAÇ_RAPORU_BURAK_YENI1309[[#This Row],[BIRIM_FIYATLAR]])&lt;1,VALUE("0"),DST_123_ÜRETİM_İHTİYAÇ_RAPORU_BURAK_YENI1309[[#This Row],[SATINALMA]]*DST_123_ÜRETİM_İHTİYAÇ_RAPORU_BURAK_YENI1309[[#This Row],[BIRIM_FIYATLAR]])</f>
        <v>0</v>
      </c>
      <c r="N1753">
        <v>45.5</v>
      </c>
      <c r="O1753" t="s">
        <v>504</v>
      </c>
      <c r="P1753">
        <v>136.5</v>
      </c>
      <c r="Q1753" t="s">
        <v>221</v>
      </c>
    </row>
    <row r="1754" spans="1:17" x14ac:dyDescent="0.25">
      <c r="A1754" t="s">
        <v>1097</v>
      </c>
      <c r="B1754" t="s">
        <v>1055</v>
      </c>
      <c r="C1754" t="s">
        <v>175</v>
      </c>
      <c r="D1754" t="s">
        <v>2</v>
      </c>
      <c r="E1754" t="s">
        <v>423</v>
      </c>
      <c r="F1754">
        <v>2</v>
      </c>
      <c r="G1754" t="s">
        <v>176</v>
      </c>
      <c r="H1754">
        <v>2</v>
      </c>
      <c r="I1754">
        <v>20</v>
      </c>
      <c r="J1754" s="10">
        <v>20</v>
      </c>
      <c r="K1754" s="10">
        <f>SUMIFS(F:F,D:D,DST_123_ÜRETİM_İHTİYAÇ_RAPORU_BURAK_YENI1309[[#This Row],[ALT_KOD]])-(SUMIFS(H:H,D:D,DST_123_ÜRETİM_İHTİYAÇ_RAPORU_BURAK_YENI1309[[#This Row],[ALT_KOD]])+AVERAGEIFS(I:I,D:D,DST_123_ÜRETİM_İHTİYAÇ_RAPORU_BURAK_YENI1309[[#This Row],[ALT_KOD]])+AVERAGEIFS(L:L,D:D,DST_123_ÜRETİM_İHTİYAÇ_RAPORU_BURAK_YENI1309[[#This Row],[ALT_KOD]]))</f>
        <v>-6</v>
      </c>
      <c r="L1754">
        <v>10</v>
      </c>
      <c r="M1754">
        <f>IF((DST_123_ÜRETİM_İHTİYAÇ_RAPORU_BURAK_YENI1309[[#This Row],[SATINALMA]]*DST_123_ÜRETİM_İHTİYAÇ_RAPORU_BURAK_YENI1309[[#This Row],[BIRIM_FIYATLAR]])&lt;1,VALUE("0"),DST_123_ÜRETİM_İHTİYAÇ_RAPORU_BURAK_YENI1309[[#This Row],[SATINALMA]]*DST_123_ÜRETİM_İHTİYAÇ_RAPORU_BURAK_YENI1309[[#This Row],[BIRIM_FIYATLAR]])</f>
        <v>0</v>
      </c>
      <c r="N1754">
        <v>400</v>
      </c>
      <c r="O1754" t="s">
        <v>217</v>
      </c>
      <c r="P1754">
        <v>800</v>
      </c>
      <c r="Q1754" t="s">
        <v>221</v>
      </c>
    </row>
    <row r="1755" spans="1:17" x14ac:dyDescent="0.25">
      <c r="A1755" t="s">
        <v>1100</v>
      </c>
      <c r="B1755" t="s">
        <v>1058</v>
      </c>
      <c r="C1755" t="s">
        <v>175</v>
      </c>
      <c r="D1755" t="s">
        <v>372</v>
      </c>
      <c r="E1755" t="s">
        <v>373</v>
      </c>
      <c r="F1755">
        <v>3</v>
      </c>
      <c r="G1755" t="s">
        <v>176</v>
      </c>
      <c r="H1755">
        <v>0</v>
      </c>
      <c r="I1755">
        <v>65</v>
      </c>
      <c r="J1755" s="10">
        <v>54</v>
      </c>
      <c r="K1755" s="10">
        <f>SUMIFS(F:F,D:D,DST_123_ÜRETİM_İHTİYAÇ_RAPORU_BURAK_YENI1309[[#This Row],[ALT_KOD]])-(SUMIFS(H:H,D:D,DST_123_ÜRETİM_İHTİYAÇ_RAPORU_BURAK_YENI1309[[#This Row],[ALT_KOD]])+AVERAGEIFS(I:I,D:D,DST_123_ÜRETİM_İHTİYAÇ_RAPORU_BURAK_YENI1309[[#This Row],[ALT_KOD]])+AVERAGEIFS(L:L,D:D,DST_123_ÜRETİM_İHTİYAÇ_RAPORU_BURAK_YENI1309[[#This Row],[ALT_KOD]]))</f>
        <v>2</v>
      </c>
      <c r="L1755">
        <v>40</v>
      </c>
      <c r="M1755">
        <f>IF((DST_123_ÜRETİM_İHTİYAÇ_RAPORU_BURAK_YENI1309[[#This Row],[SATINALMA]]*DST_123_ÜRETİM_İHTİYAÇ_RAPORU_BURAK_YENI1309[[#This Row],[BIRIM_FIYATLAR]])&lt;1,VALUE("0"),DST_123_ÜRETİM_İHTİYAÇ_RAPORU_BURAK_YENI1309[[#This Row],[SATINALMA]]*DST_123_ÜRETİM_İHTİYAÇ_RAPORU_BURAK_YENI1309[[#This Row],[BIRIM_FIYATLAR]])</f>
        <v>148</v>
      </c>
      <c r="N1755">
        <v>74</v>
      </c>
      <c r="O1755" t="s">
        <v>821</v>
      </c>
      <c r="P1755">
        <v>222</v>
      </c>
      <c r="Q1755" t="s">
        <v>178</v>
      </c>
    </row>
    <row r="1756" spans="1:17" x14ac:dyDescent="0.25">
      <c r="A1756" t="s">
        <v>1147</v>
      </c>
      <c r="B1756" t="s">
        <v>1145</v>
      </c>
      <c r="C1756" t="s">
        <v>175</v>
      </c>
      <c r="D1756" t="s">
        <v>372</v>
      </c>
      <c r="E1756" t="s">
        <v>373</v>
      </c>
      <c r="F1756">
        <v>6</v>
      </c>
      <c r="G1756" t="s">
        <v>176</v>
      </c>
      <c r="H1756">
        <v>0</v>
      </c>
      <c r="I1756">
        <v>65</v>
      </c>
      <c r="J1756" s="10">
        <v>54</v>
      </c>
      <c r="K1756" s="10">
        <f>SUMIFS(F:F,D:D,DST_123_ÜRETİM_İHTİYAÇ_RAPORU_BURAK_YENI1309[[#This Row],[ALT_KOD]])-(SUMIFS(H:H,D:D,DST_123_ÜRETİM_İHTİYAÇ_RAPORU_BURAK_YENI1309[[#This Row],[ALT_KOD]])+AVERAGEIFS(I:I,D:D,DST_123_ÜRETİM_İHTİYAÇ_RAPORU_BURAK_YENI1309[[#This Row],[ALT_KOD]])+AVERAGEIFS(L:L,D:D,DST_123_ÜRETİM_İHTİYAÇ_RAPORU_BURAK_YENI1309[[#This Row],[ALT_KOD]]))</f>
        <v>2</v>
      </c>
      <c r="L1756">
        <v>40</v>
      </c>
      <c r="M1756">
        <f>IF((DST_123_ÜRETİM_İHTİYAÇ_RAPORU_BURAK_YENI1309[[#This Row],[SATINALMA]]*DST_123_ÜRETİM_İHTİYAÇ_RAPORU_BURAK_YENI1309[[#This Row],[BIRIM_FIYATLAR]])&lt;1,VALUE("0"),DST_123_ÜRETİM_İHTİYAÇ_RAPORU_BURAK_YENI1309[[#This Row],[SATINALMA]]*DST_123_ÜRETİM_İHTİYAÇ_RAPORU_BURAK_YENI1309[[#This Row],[BIRIM_FIYATLAR]])</f>
        <v>148</v>
      </c>
      <c r="N1756">
        <v>74</v>
      </c>
      <c r="O1756" t="s">
        <v>821</v>
      </c>
      <c r="P1756">
        <v>444</v>
      </c>
      <c r="Q1756" t="s">
        <v>178</v>
      </c>
    </row>
    <row r="1757" spans="1:17" x14ac:dyDescent="0.25">
      <c r="A1757" t="s">
        <v>1057</v>
      </c>
      <c r="B1757" t="s">
        <v>1058</v>
      </c>
      <c r="C1757" t="s">
        <v>175</v>
      </c>
      <c r="D1757" t="s">
        <v>123</v>
      </c>
      <c r="E1757" t="s">
        <v>633</v>
      </c>
      <c r="F1757">
        <v>0.2</v>
      </c>
      <c r="G1757" t="s">
        <v>179</v>
      </c>
      <c r="H1757">
        <v>0</v>
      </c>
      <c r="I1757">
        <v>200</v>
      </c>
      <c r="J1757" s="10">
        <v>5.6843418860808015E-14</v>
      </c>
      <c r="K1757" s="10">
        <f>SUMIFS(F:F,D:D,DST_123_ÜRETİM_İHTİYAÇ_RAPORU_BURAK_YENI1309[[#This Row],[ALT_KOD]])-(SUMIFS(H:H,D:D,DST_123_ÜRETİM_İHTİYAÇ_RAPORU_BURAK_YENI1309[[#This Row],[ALT_KOD]])+AVERAGEIFS(I:I,D:D,DST_123_ÜRETİM_İHTİYAÇ_RAPORU_BURAK_YENI1309[[#This Row],[ALT_KOD]])+AVERAGEIFS(L:L,D:D,DST_123_ÜRETİM_İHTİYAÇ_RAPORU_BURAK_YENI1309[[#This Row],[ALT_KOD]]))</f>
        <v>-196.15</v>
      </c>
      <c r="L1757">
        <v>0</v>
      </c>
      <c r="M1757">
        <f>IF((DST_123_ÜRETİM_İHTİYAÇ_RAPORU_BURAK_YENI1309[[#This Row],[SATINALMA]]*DST_123_ÜRETİM_İHTİYAÇ_RAPORU_BURAK_YENI1309[[#This Row],[BIRIM_FIYATLAR]])&lt;1,VALUE("0"),DST_123_ÜRETİM_İHTİYAÇ_RAPORU_BURAK_YENI1309[[#This Row],[SATINALMA]]*DST_123_ÜRETİM_İHTİYAÇ_RAPORU_BURAK_YENI1309[[#This Row],[BIRIM_FIYATLAR]])</f>
        <v>0</v>
      </c>
      <c r="N1757">
        <v>2.89</v>
      </c>
      <c r="O1757" t="s">
        <v>826</v>
      </c>
      <c r="P1757">
        <v>0.57800000000000007</v>
      </c>
      <c r="Q1757" t="s">
        <v>221</v>
      </c>
    </row>
    <row r="1758" spans="1:17" x14ac:dyDescent="0.25">
      <c r="A1758" t="s">
        <v>1101</v>
      </c>
      <c r="B1758" t="s">
        <v>1102</v>
      </c>
      <c r="C1758" t="s">
        <v>175</v>
      </c>
      <c r="D1758" t="s">
        <v>123</v>
      </c>
      <c r="E1758" t="s">
        <v>633</v>
      </c>
      <c r="F1758">
        <v>0.2</v>
      </c>
      <c r="G1758" t="s">
        <v>179</v>
      </c>
      <c r="H1758">
        <v>0</v>
      </c>
      <c r="I1758">
        <v>200</v>
      </c>
      <c r="J1758" s="10">
        <v>5.6843418860808015E-14</v>
      </c>
      <c r="K1758" s="10">
        <f>SUMIFS(F:F,D:D,DST_123_ÜRETİM_İHTİYAÇ_RAPORU_BURAK_YENI1309[[#This Row],[ALT_KOD]])-(SUMIFS(H:H,D:D,DST_123_ÜRETİM_İHTİYAÇ_RAPORU_BURAK_YENI1309[[#This Row],[ALT_KOD]])+AVERAGEIFS(I:I,D:D,DST_123_ÜRETİM_İHTİYAÇ_RAPORU_BURAK_YENI1309[[#This Row],[ALT_KOD]])+AVERAGEIFS(L:L,D:D,DST_123_ÜRETİM_İHTİYAÇ_RAPORU_BURAK_YENI1309[[#This Row],[ALT_KOD]]))</f>
        <v>-196.15</v>
      </c>
      <c r="L1758">
        <v>0</v>
      </c>
      <c r="M1758">
        <f>IF((DST_123_ÜRETİM_İHTİYAÇ_RAPORU_BURAK_YENI1309[[#This Row],[SATINALMA]]*DST_123_ÜRETİM_İHTİYAÇ_RAPORU_BURAK_YENI1309[[#This Row],[BIRIM_FIYATLAR]])&lt;1,VALUE("0"),DST_123_ÜRETİM_İHTİYAÇ_RAPORU_BURAK_YENI1309[[#This Row],[SATINALMA]]*DST_123_ÜRETİM_İHTİYAÇ_RAPORU_BURAK_YENI1309[[#This Row],[BIRIM_FIYATLAR]])</f>
        <v>0</v>
      </c>
      <c r="N1758">
        <v>2.89</v>
      </c>
      <c r="O1758" t="s">
        <v>826</v>
      </c>
      <c r="P1758">
        <v>0.57800000000000007</v>
      </c>
      <c r="Q1758" t="s">
        <v>221</v>
      </c>
    </row>
    <row r="1759" spans="1:17" x14ac:dyDescent="0.25">
      <c r="A1759" t="s">
        <v>1143</v>
      </c>
      <c r="B1759" t="s">
        <v>1056</v>
      </c>
      <c r="C1759" t="s">
        <v>175</v>
      </c>
      <c r="D1759" t="s">
        <v>2</v>
      </c>
      <c r="E1759" t="s">
        <v>423</v>
      </c>
      <c r="F1759">
        <v>2</v>
      </c>
      <c r="G1759" t="s">
        <v>176</v>
      </c>
      <c r="H1759">
        <v>0</v>
      </c>
      <c r="I1759">
        <v>20</v>
      </c>
      <c r="J1759" s="10">
        <v>20</v>
      </c>
      <c r="K1759" s="10">
        <f>SUMIFS(F:F,D:D,DST_123_ÜRETİM_İHTİYAÇ_RAPORU_BURAK_YENI1309[[#This Row],[ALT_KOD]])-(SUMIFS(H:H,D:D,DST_123_ÜRETİM_İHTİYAÇ_RAPORU_BURAK_YENI1309[[#This Row],[ALT_KOD]])+AVERAGEIFS(I:I,D:D,DST_123_ÜRETİM_İHTİYAÇ_RAPORU_BURAK_YENI1309[[#This Row],[ALT_KOD]])+AVERAGEIFS(L:L,D:D,DST_123_ÜRETİM_İHTİYAÇ_RAPORU_BURAK_YENI1309[[#This Row],[ALT_KOD]]))</f>
        <v>-6</v>
      </c>
      <c r="L1759">
        <v>10</v>
      </c>
      <c r="M1759">
        <f>IF((DST_123_ÜRETİM_İHTİYAÇ_RAPORU_BURAK_YENI1309[[#This Row],[SATINALMA]]*DST_123_ÜRETİM_İHTİYAÇ_RAPORU_BURAK_YENI1309[[#This Row],[BIRIM_FIYATLAR]])&lt;1,VALUE("0"),DST_123_ÜRETİM_İHTİYAÇ_RAPORU_BURAK_YENI1309[[#This Row],[SATINALMA]]*DST_123_ÜRETİM_İHTİYAÇ_RAPORU_BURAK_YENI1309[[#This Row],[BIRIM_FIYATLAR]])</f>
        <v>0</v>
      </c>
      <c r="N1759">
        <v>400</v>
      </c>
      <c r="O1759" t="s">
        <v>217</v>
      </c>
      <c r="P1759">
        <v>800</v>
      </c>
      <c r="Q1759" t="s">
        <v>221</v>
      </c>
    </row>
    <row r="1760" spans="1:17" x14ac:dyDescent="0.25">
      <c r="A1760" t="s">
        <v>1095</v>
      </c>
      <c r="B1760" t="s">
        <v>1096</v>
      </c>
      <c r="C1760" t="s">
        <v>175</v>
      </c>
      <c r="D1760" t="s">
        <v>2</v>
      </c>
      <c r="E1760" t="s">
        <v>423</v>
      </c>
      <c r="F1760">
        <v>2</v>
      </c>
      <c r="G1760" t="s">
        <v>176</v>
      </c>
      <c r="H1760">
        <v>0</v>
      </c>
      <c r="I1760">
        <v>20</v>
      </c>
      <c r="J1760" s="10">
        <v>20</v>
      </c>
      <c r="K1760" s="10">
        <f>SUMIFS(F:F,D:D,DST_123_ÜRETİM_İHTİYAÇ_RAPORU_BURAK_YENI1309[[#This Row],[ALT_KOD]])-(SUMIFS(H:H,D:D,DST_123_ÜRETİM_İHTİYAÇ_RAPORU_BURAK_YENI1309[[#This Row],[ALT_KOD]])+AVERAGEIFS(I:I,D:D,DST_123_ÜRETİM_İHTİYAÇ_RAPORU_BURAK_YENI1309[[#This Row],[ALT_KOD]])+AVERAGEIFS(L:L,D:D,DST_123_ÜRETİM_İHTİYAÇ_RAPORU_BURAK_YENI1309[[#This Row],[ALT_KOD]]))</f>
        <v>-6</v>
      </c>
      <c r="L1760">
        <v>10</v>
      </c>
      <c r="M1760">
        <f>IF((DST_123_ÜRETİM_İHTİYAÇ_RAPORU_BURAK_YENI1309[[#This Row],[SATINALMA]]*DST_123_ÜRETİM_İHTİYAÇ_RAPORU_BURAK_YENI1309[[#This Row],[BIRIM_FIYATLAR]])&lt;1,VALUE("0"),DST_123_ÜRETİM_İHTİYAÇ_RAPORU_BURAK_YENI1309[[#This Row],[SATINALMA]]*DST_123_ÜRETİM_İHTİYAÇ_RAPORU_BURAK_YENI1309[[#This Row],[BIRIM_FIYATLAR]])</f>
        <v>0</v>
      </c>
      <c r="N1760">
        <v>400</v>
      </c>
      <c r="O1760" t="s">
        <v>217</v>
      </c>
      <c r="P1760">
        <v>800</v>
      </c>
      <c r="Q1760" t="s">
        <v>221</v>
      </c>
    </row>
    <row r="1761" spans="1:17" x14ac:dyDescent="0.25">
      <c r="A1761" t="s">
        <v>1149</v>
      </c>
      <c r="B1761" t="s">
        <v>1145</v>
      </c>
      <c r="C1761" t="s">
        <v>175</v>
      </c>
      <c r="D1761" t="s">
        <v>7</v>
      </c>
      <c r="E1761" t="s">
        <v>8</v>
      </c>
      <c r="F1761">
        <v>1</v>
      </c>
      <c r="G1761" t="s">
        <v>176</v>
      </c>
      <c r="H1761">
        <v>0</v>
      </c>
      <c r="I1761">
        <v>6</v>
      </c>
      <c r="J1761" s="10">
        <v>7</v>
      </c>
      <c r="K1761" s="10">
        <f>SUMIFS(F:F,D:D,DST_123_ÜRETİM_İHTİYAÇ_RAPORU_BURAK_YENI1309[[#This Row],[ALT_KOD]])-(SUMIFS(H:H,D:D,DST_123_ÜRETİM_İHTİYAÇ_RAPORU_BURAK_YENI1309[[#This Row],[ALT_KOD]])+AVERAGEIFS(I:I,D:D,DST_123_ÜRETİM_İHTİYAÇ_RAPORU_BURAK_YENI1309[[#This Row],[ALT_KOD]])+AVERAGEIFS(L:L,D:D,DST_123_ÜRETİM_İHTİYAÇ_RAPORU_BURAK_YENI1309[[#This Row],[ALT_KOD]]))</f>
        <v>2</v>
      </c>
      <c r="L1761">
        <v>0</v>
      </c>
      <c r="M1761">
        <f>IF((DST_123_ÜRETİM_İHTİYAÇ_RAPORU_BURAK_YENI1309[[#This Row],[SATINALMA]]*DST_123_ÜRETİM_İHTİYAÇ_RAPORU_BURAK_YENI1309[[#This Row],[BIRIM_FIYATLAR]])&lt;1,VALUE("0"),DST_123_ÜRETİM_İHTİYAÇ_RAPORU_BURAK_YENI1309[[#This Row],[SATINALMA]]*DST_123_ÜRETİM_İHTİYAÇ_RAPORU_BURAK_YENI1309[[#This Row],[BIRIM_FIYATLAR]])</f>
        <v>4960.92</v>
      </c>
      <c r="N1761">
        <v>2480.46</v>
      </c>
      <c r="O1761" t="s">
        <v>227</v>
      </c>
      <c r="P1761">
        <v>2480.46</v>
      </c>
      <c r="Q1761" t="s">
        <v>221</v>
      </c>
    </row>
    <row r="1762" spans="1:17" x14ac:dyDescent="0.25">
      <c r="A1762" t="s">
        <v>1146</v>
      </c>
      <c r="B1762" t="s">
        <v>1145</v>
      </c>
      <c r="C1762" t="s">
        <v>175</v>
      </c>
      <c r="D1762" t="s">
        <v>7</v>
      </c>
      <c r="E1762" t="s">
        <v>8</v>
      </c>
      <c r="F1762">
        <v>1</v>
      </c>
      <c r="G1762" t="s">
        <v>176</v>
      </c>
      <c r="H1762">
        <v>0</v>
      </c>
      <c r="I1762">
        <v>6</v>
      </c>
      <c r="J1762" s="10">
        <v>7</v>
      </c>
      <c r="K1762" s="10">
        <f>SUMIFS(F:F,D:D,DST_123_ÜRETİM_İHTİYAÇ_RAPORU_BURAK_YENI1309[[#This Row],[ALT_KOD]])-(SUMIFS(H:H,D:D,DST_123_ÜRETİM_İHTİYAÇ_RAPORU_BURAK_YENI1309[[#This Row],[ALT_KOD]])+AVERAGEIFS(I:I,D:D,DST_123_ÜRETİM_İHTİYAÇ_RAPORU_BURAK_YENI1309[[#This Row],[ALT_KOD]])+AVERAGEIFS(L:L,D:D,DST_123_ÜRETİM_İHTİYAÇ_RAPORU_BURAK_YENI1309[[#This Row],[ALT_KOD]]))</f>
        <v>2</v>
      </c>
      <c r="L1762">
        <v>0</v>
      </c>
      <c r="M1762">
        <f>IF((DST_123_ÜRETİM_İHTİYAÇ_RAPORU_BURAK_YENI1309[[#This Row],[SATINALMA]]*DST_123_ÜRETİM_İHTİYAÇ_RAPORU_BURAK_YENI1309[[#This Row],[BIRIM_FIYATLAR]])&lt;1,VALUE("0"),DST_123_ÜRETİM_İHTİYAÇ_RAPORU_BURAK_YENI1309[[#This Row],[SATINALMA]]*DST_123_ÜRETİM_İHTİYAÇ_RAPORU_BURAK_YENI1309[[#This Row],[BIRIM_FIYATLAR]])</f>
        <v>4960.92</v>
      </c>
      <c r="N1762">
        <v>2480.46</v>
      </c>
      <c r="O1762" t="s">
        <v>227</v>
      </c>
      <c r="P1762">
        <v>2480.46</v>
      </c>
      <c r="Q1762" t="s">
        <v>221</v>
      </c>
    </row>
    <row r="1763" spans="1:17" x14ac:dyDescent="0.25">
      <c r="A1763" t="s">
        <v>1099</v>
      </c>
      <c r="B1763" t="s">
        <v>1055</v>
      </c>
      <c r="C1763" t="s">
        <v>175</v>
      </c>
      <c r="D1763" t="s">
        <v>124</v>
      </c>
      <c r="E1763" t="s">
        <v>125</v>
      </c>
      <c r="F1763">
        <v>9.6300000000000008</v>
      </c>
      <c r="G1763" t="s">
        <v>185</v>
      </c>
      <c r="H1763">
        <v>0</v>
      </c>
      <c r="I1763">
        <v>0</v>
      </c>
      <c r="J1763" s="10">
        <v>297.61</v>
      </c>
      <c r="K1763" s="10">
        <f>SUMIFS(F:F,D:D,DST_123_ÜRETİM_İHTİYAÇ_RAPORU_BURAK_YENI1309[[#This Row],[ALT_KOD]])-(SUMIFS(H:H,D:D,DST_123_ÜRETİM_İHTİYAÇ_RAPORU_BURAK_YENI1309[[#This Row],[ALT_KOD]])+AVERAGEIFS(I:I,D:D,DST_123_ÜRETİM_İHTİYAÇ_RAPORU_BURAK_YENI1309[[#This Row],[ALT_KOD]])+AVERAGEIFS(L:L,D:D,DST_123_ÜRETİM_İHTİYAÇ_RAPORU_BURAK_YENI1309[[#This Row],[ALT_KOD]]))</f>
        <v>97.560000000000016</v>
      </c>
      <c r="L1763">
        <v>0</v>
      </c>
      <c r="M1763">
        <f>IF((DST_123_ÜRETİM_İHTİYAÇ_RAPORU_BURAK_YENI1309[[#This Row],[SATINALMA]]*DST_123_ÜRETİM_İHTİYAÇ_RAPORU_BURAK_YENI1309[[#This Row],[BIRIM_FIYATLAR]])&lt;1,VALUE("0"),DST_123_ÜRETİM_İHTİYAÇ_RAPORU_BURAK_YENI1309[[#This Row],[SATINALMA]]*DST_123_ÜRETİM_İHTİYAÇ_RAPORU_BURAK_YENI1309[[#This Row],[BIRIM_FIYATLAR]])</f>
        <v>13285.720800000003</v>
      </c>
      <c r="N1763">
        <v>136.18</v>
      </c>
      <c r="O1763" t="s">
        <v>252</v>
      </c>
      <c r="P1763">
        <v>1311.4134000000001</v>
      </c>
      <c r="Q1763" t="s">
        <v>183</v>
      </c>
    </row>
    <row r="1764" spans="1:17" x14ac:dyDescent="0.25">
      <c r="A1764" t="s">
        <v>1098</v>
      </c>
      <c r="B1764" t="s">
        <v>1096</v>
      </c>
      <c r="C1764" t="s">
        <v>175</v>
      </c>
      <c r="D1764" t="s">
        <v>264</v>
      </c>
      <c r="E1764" t="s">
        <v>265</v>
      </c>
      <c r="F1764">
        <v>1</v>
      </c>
      <c r="G1764" t="s">
        <v>176</v>
      </c>
      <c r="H1764">
        <v>0</v>
      </c>
      <c r="I1764">
        <v>0</v>
      </c>
      <c r="J1764" s="10">
        <v>8</v>
      </c>
      <c r="K1764" s="10">
        <f>SUMIFS(F:F,D:D,DST_123_ÜRETİM_İHTİYAÇ_RAPORU_BURAK_YENI1309[[#This Row],[ALT_KOD]])-(SUMIFS(H:H,D:D,DST_123_ÜRETİM_İHTİYAÇ_RAPORU_BURAK_YENI1309[[#This Row],[ALT_KOD]])+AVERAGEIFS(I:I,D:D,DST_123_ÜRETİM_İHTİYAÇ_RAPORU_BURAK_YENI1309[[#This Row],[ALT_KOD]])+AVERAGEIFS(L:L,D:D,DST_123_ÜRETİM_İHTİYAÇ_RAPORU_BURAK_YENI1309[[#This Row],[ALT_KOD]]))</f>
        <v>12</v>
      </c>
      <c r="L1764">
        <v>0</v>
      </c>
      <c r="M1764">
        <f>IF((DST_123_ÜRETİM_İHTİYAÇ_RAPORU_BURAK_YENI1309[[#This Row],[SATINALMA]]*DST_123_ÜRETİM_İHTİYAÇ_RAPORU_BURAK_YENI1309[[#This Row],[BIRIM_FIYATLAR]])&lt;1,VALUE("0"),DST_123_ÜRETİM_İHTİYAÇ_RAPORU_BURAK_YENI1309[[#This Row],[SATINALMA]]*DST_123_ÜRETİM_İHTİYAÇ_RAPORU_BURAK_YENI1309[[#This Row],[BIRIM_FIYATLAR]])</f>
        <v>55600.08</v>
      </c>
      <c r="N1764">
        <v>4633.34</v>
      </c>
      <c r="O1764" t="s">
        <v>214</v>
      </c>
      <c r="P1764">
        <v>4633.34</v>
      </c>
      <c r="Q1764" t="s">
        <v>177</v>
      </c>
    </row>
    <row r="1765" spans="1:17" x14ac:dyDescent="0.25">
      <c r="A1765" t="s">
        <v>1196</v>
      </c>
      <c r="B1765" t="s">
        <v>1197</v>
      </c>
      <c r="C1765" t="s">
        <v>175</v>
      </c>
      <c r="D1765" t="s">
        <v>130</v>
      </c>
      <c r="E1765" t="s">
        <v>131</v>
      </c>
      <c r="F1765">
        <v>88</v>
      </c>
      <c r="G1765" t="s">
        <v>176</v>
      </c>
      <c r="H1765">
        <v>0</v>
      </c>
      <c r="I1765">
        <v>2750</v>
      </c>
      <c r="J1765" s="10">
        <v>0</v>
      </c>
      <c r="K1765" s="10">
        <f>SUMIFS(F:F,D:D,DST_123_ÜRETİM_İHTİYAÇ_RAPORU_BURAK_YENI1309[[#This Row],[ALT_KOD]])-(SUMIFS(H:H,D:D,DST_123_ÜRETİM_İHTİYAÇ_RAPORU_BURAK_YENI1309[[#This Row],[ALT_KOD]])+AVERAGEIFS(I:I,D:D,DST_123_ÜRETİM_İHTİYAÇ_RAPORU_BURAK_YENI1309[[#This Row],[ALT_KOD]])+AVERAGEIFS(L:L,D:D,DST_123_ÜRETİM_İHTİYAÇ_RAPORU_BURAK_YENI1309[[#This Row],[ALT_KOD]]))</f>
        <v>-747</v>
      </c>
      <c r="L1765">
        <v>0</v>
      </c>
      <c r="M1765">
        <f>IF((DST_123_ÜRETİM_İHTİYAÇ_RAPORU_BURAK_YENI1309[[#This Row],[SATINALMA]]*DST_123_ÜRETİM_İHTİYAÇ_RAPORU_BURAK_YENI1309[[#This Row],[BIRIM_FIYATLAR]])&lt;1,VALUE("0"),DST_123_ÜRETİM_İHTİYAÇ_RAPORU_BURAK_YENI1309[[#This Row],[SATINALMA]]*DST_123_ÜRETİM_İHTİYAÇ_RAPORU_BURAK_YENI1309[[#This Row],[BIRIM_FIYATLAR]])</f>
        <v>0</v>
      </c>
      <c r="N1765">
        <v>0.7</v>
      </c>
      <c r="O1765" t="s">
        <v>240</v>
      </c>
      <c r="P1765">
        <v>61.599999999999994</v>
      </c>
      <c r="Q1765" t="s">
        <v>180</v>
      </c>
    </row>
    <row r="1766" spans="1:17" x14ac:dyDescent="0.25">
      <c r="A1766" t="s">
        <v>1099</v>
      </c>
      <c r="B1766" t="s">
        <v>1055</v>
      </c>
      <c r="C1766" t="s">
        <v>175</v>
      </c>
      <c r="D1766" t="s">
        <v>130</v>
      </c>
      <c r="E1766" t="s">
        <v>131</v>
      </c>
      <c r="F1766">
        <v>146</v>
      </c>
      <c r="G1766" t="s">
        <v>176</v>
      </c>
      <c r="H1766">
        <v>0</v>
      </c>
      <c r="I1766">
        <v>2750</v>
      </c>
      <c r="J1766" s="10">
        <v>0</v>
      </c>
      <c r="K1766" s="10">
        <f>SUMIFS(F:F,D:D,DST_123_ÜRETİM_İHTİYAÇ_RAPORU_BURAK_YENI1309[[#This Row],[ALT_KOD]])-(SUMIFS(H:H,D:D,DST_123_ÜRETİM_İHTİYAÇ_RAPORU_BURAK_YENI1309[[#This Row],[ALT_KOD]])+AVERAGEIFS(I:I,D:D,DST_123_ÜRETİM_İHTİYAÇ_RAPORU_BURAK_YENI1309[[#This Row],[ALT_KOD]])+AVERAGEIFS(L:L,D:D,DST_123_ÜRETİM_İHTİYAÇ_RAPORU_BURAK_YENI1309[[#This Row],[ALT_KOD]]))</f>
        <v>-747</v>
      </c>
      <c r="L1766">
        <v>0</v>
      </c>
      <c r="M1766">
        <f>IF((DST_123_ÜRETİM_İHTİYAÇ_RAPORU_BURAK_YENI1309[[#This Row],[SATINALMA]]*DST_123_ÜRETİM_İHTİYAÇ_RAPORU_BURAK_YENI1309[[#This Row],[BIRIM_FIYATLAR]])&lt;1,VALUE("0"),DST_123_ÜRETİM_İHTİYAÇ_RAPORU_BURAK_YENI1309[[#This Row],[SATINALMA]]*DST_123_ÜRETİM_İHTİYAÇ_RAPORU_BURAK_YENI1309[[#This Row],[BIRIM_FIYATLAR]])</f>
        <v>0</v>
      </c>
      <c r="N1766">
        <v>0.7</v>
      </c>
      <c r="O1766" t="s">
        <v>240</v>
      </c>
      <c r="P1766">
        <v>102.19999999999999</v>
      </c>
      <c r="Q1766" t="s">
        <v>180</v>
      </c>
    </row>
    <row r="1767" spans="1:17" x14ac:dyDescent="0.25">
      <c r="A1767" t="s">
        <v>1060</v>
      </c>
      <c r="B1767" t="s">
        <v>1061</v>
      </c>
      <c r="C1767" t="s">
        <v>175</v>
      </c>
      <c r="D1767" t="s">
        <v>130</v>
      </c>
      <c r="E1767" t="s">
        <v>131</v>
      </c>
      <c r="F1767">
        <v>104</v>
      </c>
      <c r="G1767" t="s">
        <v>176</v>
      </c>
      <c r="H1767">
        <v>0</v>
      </c>
      <c r="I1767">
        <v>2750</v>
      </c>
      <c r="J1767" s="10">
        <v>0</v>
      </c>
      <c r="K1767" s="10">
        <f>SUMIFS(F:F,D:D,DST_123_ÜRETİM_İHTİYAÇ_RAPORU_BURAK_YENI1309[[#This Row],[ALT_KOD]])-(SUMIFS(H:H,D:D,DST_123_ÜRETİM_İHTİYAÇ_RAPORU_BURAK_YENI1309[[#This Row],[ALT_KOD]])+AVERAGEIFS(I:I,D:D,DST_123_ÜRETİM_İHTİYAÇ_RAPORU_BURAK_YENI1309[[#This Row],[ALT_KOD]])+AVERAGEIFS(L:L,D:D,DST_123_ÜRETİM_İHTİYAÇ_RAPORU_BURAK_YENI1309[[#This Row],[ALT_KOD]]))</f>
        <v>-747</v>
      </c>
      <c r="L1767">
        <v>0</v>
      </c>
      <c r="M1767">
        <f>IF((DST_123_ÜRETİM_İHTİYAÇ_RAPORU_BURAK_YENI1309[[#This Row],[SATINALMA]]*DST_123_ÜRETİM_İHTİYAÇ_RAPORU_BURAK_YENI1309[[#This Row],[BIRIM_FIYATLAR]])&lt;1,VALUE("0"),DST_123_ÜRETİM_İHTİYAÇ_RAPORU_BURAK_YENI1309[[#This Row],[SATINALMA]]*DST_123_ÜRETİM_İHTİYAÇ_RAPORU_BURAK_YENI1309[[#This Row],[BIRIM_FIYATLAR]])</f>
        <v>0</v>
      </c>
      <c r="N1767">
        <v>0.7</v>
      </c>
      <c r="O1767" t="s">
        <v>240</v>
      </c>
      <c r="P1767">
        <v>72.8</v>
      </c>
      <c r="Q1767" t="s">
        <v>180</v>
      </c>
    </row>
    <row r="1768" spans="1:17" x14ac:dyDescent="0.25">
      <c r="A1768" t="s">
        <v>1147</v>
      </c>
      <c r="B1768" t="s">
        <v>1145</v>
      </c>
      <c r="C1768" t="s">
        <v>175</v>
      </c>
      <c r="D1768" t="s">
        <v>130</v>
      </c>
      <c r="E1768" t="s">
        <v>131</v>
      </c>
      <c r="F1768">
        <v>100</v>
      </c>
      <c r="G1768" t="s">
        <v>176</v>
      </c>
      <c r="H1768">
        <v>0</v>
      </c>
      <c r="I1768">
        <v>2750</v>
      </c>
      <c r="J1768" s="10">
        <v>0</v>
      </c>
      <c r="K1768" s="10">
        <f>SUMIFS(F:F,D:D,DST_123_ÜRETİM_İHTİYAÇ_RAPORU_BURAK_YENI1309[[#This Row],[ALT_KOD]])-(SUMIFS(H:H,D:D,DST_123_ÜRETİM_İHTİYAÇ_RAPORU_BURAK_YENI1309[[#This Row],[ALT_KOD]])+AVERAGEIFS(I:I,D:D,DST_123_ÜRETİM_İHTİYAÇ_RAPORU_BURAK_YENI1309[[#This Row],[ALT_KOD]])+AVERAGEIFS(L:L,D:D,DST_123_ÜRETİM_İHTİYAÇ_RAPORU_BURAK_YENI1309[[#This Row],[ALT_KOD]]))</f>
        <v>-747</v>
      </c>
      <c r="L1768">
        <v>0</v>
      </c>
      <c r="M1768">
        <f>IF((DST_123_ÜRETİM_İHTİYAÇ_RAPORU_BURAK_YENI1309[[#This Row],[SATINALMA]]*DST_123_ÜRETİM_İHTİYAÇ_RAPORU_BURAK_YENI1309[[#This Row],[BIRIM_FIYATLAR]])&lt;1,VALUE("0"),DST_123_ÜRETİM_İHTİYAÇ_RAPORU_BURAK_YENI1309[[#This Row],[SATINALMA]]*DST_123_ÜRETİM_İHTİYAÇ_RAPORU_BURAK_YENI1309[[#This Row],[BIRIM_FIYATLAR]])</f>
        <v>0</v>
      </c>
      <c r="N1768">
        <v>0.7</v>
      </c>
      <c r="O1768" t="s">
        <v>240</v>
      </c>
      <c r="P1768">
        <v>70</v>
      </c>
      <c r="Q1768" t="s">
        <v>180</v>
      </c>
    </row>
    <row r="1769" spans="1:17" x14ac:dyDescent="0.25">
      <c r="A1769" t="s">
        <v>1148</v>
      </c>
      <c r="B1769" t="s">
        <v>1056</v>
      </c>
      <c r="C1769" t="s">
        <v>175</v>
      </c>
      <c r="D1769" t="s">
        <v>130</v>
      </c>
      <c r="E1769" t="s">
        <v>131</v>
      </c>
      <c r="F1769">
        <v>100</v>
      </c>
      <c r="G1769" t="s">
        <v>176</v>
      </c>
      <c r="H1769">
        <v>0</v>
      </c>
      <c r="I1769">
        <v>2750</v>
      </c>
      <c r="J1769" s="10">
        <v>0</v>
      </c>
      <c r="K1769" s="10">
        <f>SUMIFS(F:F,D:D,DST_123_ÜRETİM_İHTİYAÇ_RAPORU_BURAK_YENI1309[[#This Row],[ALT_KOD]])-(SUMIFS(H:H,D:D,DST_123_ÜRETİM_İHTİYAÇ_RAPORU_BURAK_YENI1309[[#This Row],[ALT_KOD]])+AVERAGEIFS(I:I,D:D,DST_123_ÜRETİM_İHTİYAÇ_RAPORU_BURAK_YENI1309[[#This Row],[ALT_KOD]])+AVERAGEIFS(L:L,D:D,DST_123_ÜRETİM_İHTİYAÇ_RAPORU_BURAK_YENI1309[[#This Row],[ALT_KOD]]))</f>
        <v>-747</v>
      </c>
      <c r="L1769">
        <v>0</v>
      </c>
      <c r="M1769">
        <f>IF((DST_123_ÜRETİM_İHTİYAÇ_RAPORU_BURAK_YENI1309[[#This Row],[SATINALMA]]*DST_123_ÜRETİM_İHTİYAÇ_RAPORU_BURAK_YENI1309[[#This Row],[BIRIM_FIYATLAR]])&lt;1,VALUE("0"),DST_123_ÜRETİM_İHTİYAÇ_RAPORU_BURAK_YENI1309[[#This Row],[SATINALMA]]*DST_123_ÜRETİM_İHTİYAÇ_RAPORU_BURAK_YENI1309[[#This Row],[BIRIM_FIYATLAR]])</f>
        <v>0</v>
      </c>
      <c r="N1769">
        <v>0.7</v>
      </c>
      <c r="O1769" t="s">
        <v>240</v>
      </c>
      <c r="P1769">
        <v>70</v>
      </c>
      <c r="Q1769" t="s">
        <v>180</v>
      </c>
    </row>
    <row r="1770" spans="1:17" x14ac:dyDescent="0.25">
      <c r="A1770" t="s">
        <v>1100</v>
      </c>
      <c r="B1770" t="s">
        <v>1058</v>
      </c>
      <c r="C1770" t="s">
        <v>175</v>
      </c>
      <c r="D1770" t="s">
        <v>929</v>
      </c>
      <c r="E1770" t="s">
        <v>930</v>
      </c>
      <c r="F1770">
        <v>3</v>
      </c>
      <c r="G1770" t="s">
        <v>176</v>
      </c>
      <c r="H1770">
        <v>3</v>
      </c>
      <c r="I1770">
        <v>16</v>
      </c>
      <c r="J1770" s="10">
        <v>9</v>
      </c>
      <c r="K1770" s="10">
        <f>SUMIFS(F:F,D:D,DST_123_ÜRETİM_İHTİYAÇ_RAPORU_BURAK_YENI1309[[#This Row],[ALT_KOD]])-(SUMIFS(H:H,D:D,DST_123_ÜRETİM_İHTİYAÇ_RAPORU_BURAK_YENI1309[[#This Row],[ALT_KOD]])+AVERAGEIFS(I:I,D:D,DST_123_ÜRETİM_İHTİYAÇ_RAPORU_BURAK_YENI1309[[#This Row],[ALT_KOD]])+AVERAGEIFS(L:L,D:D,DST_123_ÜRETİM_İHTİYAÇ_RAPORU_BURAK_YENI1309[[#This Row],[ALT_KOD]]))</f>
        <v>-16</v>
      </c>
      <c r="L1770">
        <v>0</v>
      </c>
      <c r="M1770">
        <f>IF((DST_123_ÜRETİM_İHTİYAÇ_RAPORU_BURAK_YENI1309[[#This Row],[SATINALMA]]*DST_123_ÜRETİM_İHTİYAÇ_RAPORU_BURAK_YENI1309[[#This Row],[BIRIM_FIYATLAR]])&lt;1,VALUE("0"),DST_123_ÜRETİM_İHTİYAÇ_RAPORU_BURAK_YENI1309[[#This Row],[SATINALMA]]*DST_123_ÜRETİM_İHTİYAÇ_RAPORU_BURAK_YENI1309[[#This Row],[BIRIM_FIYATLAR]])</f>
        <v>0</v>
      </c>
      <c r="N1770">
        <v>110</v>
      </c>
      <c r="O1770" t="s">
        <v>931</v>
      </c>
      <c r="P1770">
        <v>330</v>
      </c>
      <c r="Q1770" t="s">
        <v>177</v>
      </c>
    </row>
    <row r="1771" spans="1:17" x14ac:dyDescent="0.25">
      <c r="A1771" t="s">
        <v>1059</v>
      </c>
      <c r="B1771" t="s">
        <v>1058</v>
      </c>
      <c r="C1771" t="s">
        <v>175</v>
      </c>
      <c r="D1771" t="s">
        <v>398</v>
      </c>
      <c r="E1771" t="s">
        <v>399</v>
      </c>
      <c r="F1771">
        <v>0.05</v>
      </c>
      <c r="G1771" t="s">
        <v>185</v>
      </c>
      <c r="H1771">
        <v>0</v>
      </c>
      <c r="I1771">
        <v>3</v>
      </c>
      <c r="J1771" s="10">
        <v>0</v>
      </c>
      <c r="K1771" s="10">
        <f>SUMIFS(F:F,D:D,DST_123_ÜRETİM_İHTİYAÇ_RAPORU_BURAK_YENI1309[[#This Row],[ALT_KOD]])-(SUMIFS(H:H,D:D,DST_123_ÜRETİM_İHTİYAÇ_RAPORU_BURAK_YENI1309[[#This Row],[ALT_KOD]])+AVERAGEIFS(I:I,D:D,DST_123_ÜRETİM_İHTİYAÇ_RAPORU_BURAK_YENI1309[[#This Row],[ALT_KOD]])+AVERAGEIFS(L:L,D:D,DST_123_ÜRETİM_İHTİYAÇ_RAPORU_BURAK_YENI1309[[#This Row],[ALT_KOD]]))</f>
        <v>-2.75</v>
      </c>
      <c r="L1771">
        <v>0</v>
      </c>
      <c r="M1771">
        <f>IF((DST_123_ÜRETİM_İHTİYAÇ_RAPORU_BURAK_YENI1309[[#This Row],[SATINALMA]]*DST_123_ÜRETİM_İHTİYAÇ_RAPORU_BURAK_YENI1309[[#This Row],[BIRIM_FIYATLAR]])&lt;1,VALUE("0"),DST_123_ÜRETİM_İHTİYAÇ_RAPORU_BURAK_YENI1309[[#This Row],[SATINALMA]]*DST_123_ÜRETİM_İHTİYAÇ_RAPORU_BURAK_YENI1309[[#This Row],[BIRIM_FIYATLAR]])</f>
        <v>0</v>
      </c>
      <c r="N1771">
        <v>148.31</v>
      </c>
      <c r="P1771">
        <v>7.4155000000000006</v>
      </c>
      <c r="Q1771" t="s">
        <v>183</v>
      </c>
    </row>
    <row r="1772" spans="1:17" x14ac:dyDescent="0.25">
      <c r="A1772" t="s">
        <v>1097</v>
      </c>
      <c r="B1772" t="s">
        <v>1055</v>
      </c>
      <c r="C1772" t="s">
        <v>175</v>
      </c>
      <c r="D1772" t="s">
        <v>398</v>
      </c>
      <c r="E1772" t="s">
        <v>399</v>
      </c>
      <c r="F1772">
        <v>0.05</v>
      </c>
      <c r="G1772" t="s">
        <v>185</v>
      </c>
      <c r="H1772">
        <v>0</v>
      </c>
      <c r="I1772">
        <v>3</v>
      </c>
      <c r="J1772" s="10">
        <v>0</v>
      </c>
      <c r="K1772" s="10">
        <f>SUMIFS(F:F,D:D,DST_123_ÜRETİM_İHTİYAÇ_RAPORU_BURAK_YENI1309[[#This Row],[ALT_KOD]])-(SUMIFS(H:H,D:D,DST_123_ÜRETİM_İHTİYAÇ_RAPORU_BURAK_YENI1309[[#This Row],[ALT_KOD]])+AVERAGEIFS(I:I,D:D,DST_123_ÜRETİM_İHTİYAÇ_RAPORU_BURAK_YENI1309[[#This Row],[ALT_KOD]])+AVERAGEIFS(L:L,D:D,DST_123_ÜRETİM_İHTİYAÇ_RAPORU_BURAK_YENI1309[[#This Row],[ALT_KOD]]))</f>
        <v>-2.75</v>
      </c>
      <c r="L1772">
        <v>0</v>
      </c>
      <c r="M1772">
        <f>IF((DST_123_ÜRETİM_İHTİYAÇ_RAPORU_BURAK_YENI1309[[#This Row],[SATINALMA]]*DST_123_ÜRETİM_İHTİYAÇ_RAPORU_BURAK_YENI1309[[#This Row],[BIRIM_FIYATLAR]])&lt;1,VALUE("0"),DST_123_ÜRETİM_İHTİYAÇ_RAPORU_BURAK_YENI1309[[#This Row],[SATINALMA]]*DST_123_ÜRETİM_İHTİYAÇ_RAPORU_BURAK_YENI1309[[#This Row],[BIRIM_FIYATLAR]])</f>
        <v>0</v>
      </c>
      <c r="N1772">
        <v>148.31</v>
      </c>
      <c r="P1772">
        <v>7.4155000000000006</v>
      </c>
      <c r="Q1772" t="s">
        <v>183</v>
      </c>
    </row>
    <row r="1773" spans="1:17" x14ac:dyDescent="0.25">
      <c r="A1773" t="s">
        <v>1196</v>
      </c>
      <c r="B1773" t="s">
        <v>1197</v>
      </c>
      <c r="C1773" t="s">
        <v>175</v>
      </c>
      <c r="D1773" t="s">
        <v>548</v>
      </c>
      <c r="E1773" t="s">
        <v>549</v>
      </c>
      <c r="F1773">
        <v>28</v>
      </c>
      <c r="G1773" t="s">
        <v>176</v>
      </c>
      <c r="H1773">
        <v>0</v>
      </c>
      <c r="I1773">
        <v>800</v>
      </c>
      <c r="J1773" s="10">
        <v>0</v>
      </c>
      <c r="K1773" s="10">
        <f>SUMIFS(F:F,D:D,DST_123_ÜRETİM_İHTİYAÇ_RAPORU_BURAK_YENI1309[[#This Row],[ALT_KOD]])-(SUMIFS(H:H,D:D,DST_123_ÜRETİM_İHTİYAÇ_RAPORU_BURAK_YENI1309[[#This Row],[ALT_KOD]])+AVERAGEIFS(I:I,D:D,DST_123_ÜRETİM_İHTİYAÇ_RAPORU_BURAK_YENI1309[[#This Row],[ALT_KOD]])+AVERAGEIFS(L:L,D:D,DST_123_ÜRETİM_İHTİYAÇ_RAPORU_BURAK_YENI1309[[#This Row],[ALT_KOD]]))</f>
        <v>-414</v>
      </c>
      <c r="L1773">
        <v>0</v>
      </c>
      <c r="M1773">
        <f>IF((DST_123_ÜRETİM_İHTİYAÇ_RAPORU_BURAK_YENI1309[[#This Row],[SATINALMA]]*DST_123_ÜRETİM_İHTİYAÇ_RAPORU_BURAK_YENI1309[[#This Row],[BIRIM_FIYATLAR]])&lt;1,VALUE("0"),DST_123_ÜRETİM_İHTİYAÇ_RAPORU_BURAK_YENI1309[[#This Row],[SATINALMA]]*DST_123_ÜRETİM_İHTİYAÇ_RAPORU_BURAK_YENI1309[[#This Row],[BIRIM_FIYATLAR]])</f>
        <v>0</v>
      </c>
      <c r="N1773">
        <v>13.75</v>
      </c>
      <c r="O1773" t="s">
        <v>628</v>
      </c>
      <c r="P1773">
        <v>385</v>
      </c>
      <c r="Q1773" t="s">
        <v>180</v>
      </c>
    </row>
    <row r="1774" spans="1:17" x14ac:dyDescent="0.25">
      <c r="A1774" t="s">
        <v>1101</v>
      </c>
      <c r="B1774" t="s">
        <v>1102</v>
      </c>
      <c r="C1774" t="s">
        <v>175</v>
      </c>
      <c r="D1774" t="s">
        <v>124</v>
      </c>
      <c r="E1774" t="s">
        <v>125</v>
      </c>
      <c r="F1774">
        <v>9.6300000000000008</v>
      </c>
      <c r="G1774" t="s">
        <v>185</v>
      </c>
      <c r="H1774">
        <v>0</v>
      </c>
      <c r="I1774">
        <v>0</v>
      </c>
      <c r="J1774" s="10">
        <v>297.61</v>
      </c>
      <c r="K1774" s="10">
        <f>SUMIFS(F:F,D:D,DST_123_ÜRETİM_İHTİYAÇ_RAPORU_BURAK_YENI1309[[#This Row],[ALT_KOD]])-(SUMIFS(H:H,D:D,DST_123_ÜRETİM_İHTİYAÇ_RAPORU_BURAK_YENI1309[[#This Row],[ALT_KOD]])+AVERAGEIFS(I:I,D:D,DST_123_ÜRETİM_İHTİYAÇ_RAPORU_BURAK_YENI1309[[#This Row],[ALT_KOD]])+AVERAGEIFS(L:L,D:D,DST_123_ÜRETİM_İHTİYAÇ_RAPORU_BURAK_YENI1309[[#This Row],[ALT_KOD]]))</f>
        <v>97.560000000000016</v>
      </c>
      <c r="L1774">
        <v>0</v>
      </c>
      <c r="M1774">
        <f>IF((DST_123_ÜRETİM_İHTİYAÇ_RAPORU_BURAK_YENI1309[[#This Row],[SATINALMA]]*DST_123_ÜRETİM_İHTİYAÇ_RAPORU_BURAK_YENI1309[[#This Row],[BIRIM_FIYATLAR]])&lt;1,VALUE("0"),DST_123_ÜRETİM_İHTİYAÇ_RAPORU_BURAK_YENI1309[[#This Row],[SATINALMA]]*DST_123_ÜRETİM_İHTİYAÇ_RAPORU_BURAK_YENI1309[[#This Row],[BIRIM_FIYATLAR]])</f>
        <v>13285.720800000003</v>
      </c>
      <c r="N1774">
        <v>136.18</v>
      </c>
      <c r="O1774" t="s">
        <v>252</v>
      </c>
      <c r="P1774">
        <v>1311.4134000000001</v>
      </c>
      <c r="Q1774" t="s">
        <v>183</v>
      </c>
    </row>
    <row r="1775" spans="1:17" x14ac:dyDescent="0.25">
      <c r="A1775" t="s">
        <v>1060</v>
      </c>
      <c r="B1775" t="s">
        <v>1061</v>
      </c>
      <c r="C1775" t="s">
        <v>175</v>
      </c>
      <c r="D1775" t="s">
        <v>548</v>
      </c>
      <c r="E1775" t="s">
        <v>549</v>
      </c>
      <c r="F1775">
        <v>28</v>
      </c>
      <c r="G1775" t="s">
        <v>176</v>
      </c>
      <c r="H1775">
        <v>28</v>
      </c>
      <c r="I1775">
        <v>800</v>
      </c>
      <c r="J1775" s="10">
        <v>0</v>
      </c>
      <c r="K1775" s="10">
        <f>SUMIFS(F:F,D:D,DST_123_ÜRETİM_İHTİYAÇ_RAPORU_BURAK_YENI1309[[#This Row],[ALT_KOD]])-(SUMIFS(H:H,D:D,DST_123_ÜRETİM_İHTİYAÇ_RAPORU_BURAK_YENI1309[[#This Row],[ALT_KOD]])+AVERAGEIFS(I:I,D:D,DST_123_ÜRETİM_İHTİYAÇ_RAPORU_BURAK_YENI1309[[#This Row],[ALT_KOD]])+AVERAGEIFS(L:L,D:D,DST_123_ÜRETİM_İHTİYAÇ_RAPORU_BURAK_YENI1309[[#This Row],[ALT_KOD]]))</f>
        <v>-414</v>
      </c>
      <c r="L1775">
        <v>0</v>
      </c>
      <c r="M1775">
        <f>IF((DST_123_ÜRETİM_İHTİYAÇ_RAPORU_BURAK_YENI1309[[#This Row],[SATINALMA]]*DST_123_ÜRETİM_İHTİYAÇ_RAPORU_BURAK_YENI1309[[#This Row],[BIRIM_FIYATLAR]])&lt;1,VALUE("0"),DST_123_ÜRETİM_İHTİYAÇ_RAPORU_BURAK_YENI1309[[#This Row],[SATINALMA]]*DST_123_ÜRETİM_İHTİYAÇ_RAPORU_BURAK_YENI1309[[#This Row],[BIRIM_FIYATLAR]])</f>
        <v>0</v>
      </c>
      <c r="N1775">
        <v>13.75</v>
      </c>
      <c r="O1775" t="s">
        <v>628</v>
      </c>
      <c r="P1775">
        <v>385</v>
      </c>
      <c r="Q1775" t="s">
        <v>180</v>
      </c>
    </row>
    <row r="1776" spans="1:17" x14ac:dyDescent="0.25">
      <c r="A1776" t="s">
        <v>1100</v>
      </c>
      <c r="B1776" t="s">
        <v>1058</v>
      </c>
      <c r="C1776" t="s">
        <v>175</v>
      </c>
      <c r="D1776" t="s">
        <v>548</v>
      </c>
      <c r="E1776" t="s">
        <v>549</v>
      </c>
      <c r="F1776">
        <v>23</v>
      </c>
      <c r="G1776" t="s">
        <v>176</v>
      </c>
      <c r="H1776">
        <v>23</v>
      </c>
      <c r="I1776">
        <v>800</v>
      </c>
      <c r="J1776" s="10">
        <v>0</v>
      </c>
      <c r="K1776" s="10">
        <f>SUMIFS(F:F,D:D,DST_123_ÜRETİM_İHTİYAÇ_RAPORU_BURAK_YENI1309[[#This Row],[ALT_KOD]])-(SUMIFS(H:H,D:D,DST_123_ÜRETİM_İHTİYAÇ_RAPORU_BURAK_YENI1309[[#This Row],[ALT_KOD]])+AVERAGEIFS(I:I,D:D,DST_123_ÜRETİM_İHTİYAÇ_RAPORU_BURAK_YENI1309[[#This Row],[ALT_KOD]])+AVERAGEIFS(L:L,D:D,DST_123_ÜRETİM_İHTİYAÇ_RAPORU_BURAK_YENI1309[[#This Row],[ALT_KOD]]))</f>
        <v>-414</v>
      </c>
      <c r="L1776">
        <v>0</v>
      </c>
      <c r="M1776">
        <f>IF((DST_123_ÜRETİM_İHTİYAÇ_RAPORU_BURAK_YENI1309[[#This Row],[SATINALMA]]*DST_123_ÜRETİM_İHTİYAÇ_RAPORU_BURAK_YENI1309[[#This Row],[BIRIM_FIYATLAR]])&lt;1,VALUE("0"),DST_123_ÜRETİM_İHTİYAÇ_RAPORU_BURAK_YENI1309[[#This Row],[SATINALMA]]*DST_123_ÜRETİM_İHTİYAÇ_RAPORU_BURAK_YENI1309[[#This Row],[BIRIM_FIYATLAR]])</f>
        <v>0</v>
      </c>
      <c r="N1776">
        <v>13.75</v>
      </c>
      <c r="O1776" t="s">
        <v>628</v>
      </c>
      <c r="P1776">
        <v>316.25</v>
      </c>
      <c r="Q1776" t="s">
        <v>180</v>
      </c>
    </row>
    <row r="1777" spans="1:17" x14ac:dyDescent="0.25">
      <c r="A1777" t="s">
        <v>1148</v>
      </c>
      <c r="B1777" t="s">
        <v>1056</v>
      </c>
      <c r="C1777" t="s">
        <v>175</v>
      </c>
      <c r="D1777" t="s">
        <v>548</v>
      </c>
      <c r="E1777" t="s">
        <v>549</v>
      </c>
      <c r="F1777">
        <v>30</v>
      </c>
      <c r="G1777" t="s">
        <v>176</v>
      </c>
      <c r="H1777">
        <v>0</v>
      </c>
      <c r="I1777">
        <v>800</v>
      </c>
      <c r="J1777" s="10">
        <v>0</v>
      </c>
      <c r="K1777" s="10">
        <f>SUMIFS(F:F,D:D,DST_123_ÜRETİM_İHTİYAÇ_RAPORU_BURAK_YENI1309[[#This Row],[ALT_KOD]])-(SUMIFS(H:H,D:D,DST_123_ÜRETİM_İHTİYAÇ_RAPORU_BURAK_YENI1309[[#This Row],[ALT_KOD]])+AVERAGEIFS(I:I,D:D,DST_123_ÜRETİM_İHTİYAÇ_RAPORU_BURAK_YENI1309[[#This Row],[ALT_KOD]])+AVERAGEIFS(L:L,D:D,DST_123_ÜRETİM_İHTİYAÇ_RAPORU_BURAK_YENI1309[[#This Row],[ALT_KOD]]))</f>
        <v>-414</v>
      </c>
      <c r="L1777">
        <v>0</v>
      </c>
      <c r="M1777">
        <f>IF((DST_123_ÜRETİM_İHTİYAÇ_RAPORU_BURAK_YENI1309[[#This Row],[SATINALMA]]*DST_123_ÜRETİM_İHTİYAÇ_RAPORU_BURAK_YENI1309[[#This Row],[BIRIM_FIYATLAR]])&lt;1,VALUE("0"),DST_123_ÜRETİM_İHTİYAÇ_RAPORU_BURAK_YENI1309[[#This Row],[SATINALMA]]*DST_123_ÜRETİM_İHTİYAÇ_RAPORU_BURAK_YENI1309[[#This Row],[BIRIM_FIYATLAR]])</f>
        <v>0</v>
      </c>
      <c r="N1777">
        <v>13.75</v>
      </c>
      <c r="O1777" t="s">
        <v>628</v>
      </c>
      <c r="P1777">
        <v>412.5</v>
      </c>
      <c r="Q1777" t="s">
        <v>180</v>
      </c>
    </row>
    <row r="1778" spans="1:17" x14ac:dyDescent="0.25">
      <c r="A1778" t="s">
        <v>1060</v>
      </c>
      <c r="B1778" t="s">
        <v>1061</v>
      </c>
      <c r="C1778" t="s">
        <v>175</v>
      </c>
      <c r="D1778" t="s">
        <v>552</v>
      </c>
      <c r="E1778" t="s">
        <v>553</v>
      </c>
      <c r="F1778">
        <v>0.5</v>
      </c>
      <c r="G1778" t="s">
        <v>176</v>
      </c>
      <c r="H1778">
        <v>0</v>
      </c>
      <c r="I1778">
        <v>14</v>
      </c>
      <c r="J1778" s="10">
        <v>9.9999999999999929</v>
      </c>
      <c r="K1778" s="10">
        <f>SUMIFS(F:F,D:D,DST_123_ÜRETİM_İHTİYAÇ_RAPORU_BURAK_YENI1309[[#This Row],[ALT_KOD]])-(SUMIFS(H:H,D:D,DST_123_ÜRETİM_İHTİYAÇ_RAPORU_BURAK_YENI1309[[#This Row],[ALT_KOD]])+AVERAGEIFS(I:I,D:D,DST_123_ÜRETİM_İHTİYAÇ_RAPORU_BURAK_YENI1309[[#This Row],[ALT_KOD]])+AVERAGEIFS(L:L,D:D,DST_123_ÜRETİM_İHTİYAÇ_RAPORU_BURAK_YENI1309[[#This Row],[ALT_KOD]]))</f>
        <v>2.5700000000000003</v>
      </c>
      <c r="L1778">
        <v>0</v>
      </c>
      <c r="M1778">
        <f>IF((DST_123_ÜRETİM_İHTİYAÇ_RAPORU_BURAK_YENI1309[[#This Row],[SATINALMA]]*DST_123_ÜRETİM_İHTİYAÇ_RAPORU_BURAK_YENI1309[[#This Row],[BIRIM_FIYATLAR]])&lt;1,VALUE("0"),DST_123_ÜRETİM_İHTİYAÇ_RAPORU_BURAK_YENI1309[[#This Row],[SATINALMA]]*DST_123_ÜRETİM_İHTİYAÇ_RAPORU_BURAK_YENI1309[[#This Row],[BIRIM_FIYATLAR]])</f>
        <v>552.55000000000007</v>
      </c>
      <c r="N1778">
        <v>215</v>
      </c>
      <c r="O1778" t="s">
        <v>240</v>
      </c>
      <c r="P1778">
        <v>107.5</v>
      </c>
      <c r="Q1778" t="s">
        <v>180</v>
      </c>
    </row>
    <row r="1779" spans="1:17" x14ac:dyDescent="0.25">
      <c r="A1779" t="s">
        <v>1057</v>
      </c>
      <c r="B1779" t="s">
        <v>1058</v>
      </c>
      <c r="C1779" t="s">
        <v>175</v>
      </c>
      <c r="D1779" t="s">
        <v>552</v>
      </c>
      <c r="E1779" t="s">
        <v>553</v>
      </c>
      <c r="F1779">
        <v>1</v>
      </c>
      <c r="G1779" t="s">
        <v>176</v>
      </c>
      <c r="H1779">
        <v>0</v>
      </c>
      <c r="I1779">
        <v>14</v>
      </c>
      <c r="J1779" s="10">
        <v>9.9999999999999929</v>
      </c>
      <c r="K1779" s="10">
        <f>SUMIFS(F:F,D:D,DST_123_ÜRETİM_İHTİYAÇ_RAPORU_BURAK_YENI1309[[#This Row],[ALT_KOD]])-(SUMIFS(H:H,D:D,DST_123_ÜRETİM_İHTİYAÇ_RAPORU_BURAK_YENI1309[[#This Row],[ALT_KOD]])+AVERAGEIFS(I:I,D:D,DST_123_ÜRETİM_İHTİYAÇ_RAPORU_BURAK_YENI1309[[#This Row],[ALT_KOD]])+AVERAGEIFS(L:L,D:D,DST_123_ÜRETİM_İHTİYAÇ_RAPORU_BURAK_YENI1309[[#This Row],[ALT_KOD]]))</f>
        <v>2.5700000000000003</v>
      </c>
      <c r="L1779">
        <v>0</v>
      </c>
      <c r="M1779">
        <f>IF((DST_123_ÜRETİM_İHTİYAÇ_RAPORU_BURAK_YENI1309[[#This Row],[SATINALMA]]*DST_123_ÜRETİM_İHTİYAÇ_RAPORU_BURAK_YENI1309[[#This Row],[BIRIM_FIYATLAR]])&lt;1,VALUE("0"),DST_123_ÜRETİM_İHTİYAÇ_RAPORU_BURAK_YENI1309[[#This Row],[SATINALMA]]*DST_123_ÜRETİM_İHTİYAÇ_RAPORU_BURAK_YENI1309[[#This Row],[BIRIM_FIYATLAR]])</f>
        <v>552.55000000000007</v>
      </c>
      <c r="N1779">
        <v>215</v>
      </c>
      <c r="O1779" t="s">
        <v>240</v>
      </c>
      <c r="P1779">
        <v>215</v>
      </c>
      <c r="Q1779" t="s">
        <v>180</v>
      </c>
    </row>
    <row r="1780" spans="1:17" x14ac:dyDescent="0.25">
      <c r="A1780" t="s">
        <v>1100</v>
      </c>
      <c r="B1780" t="s">
        <v>1058</v>
      </c>
      <c r="C1780" t="s">
        <v>175</v>
      </c>
      <c r="D1780" t="s">
        <v>552</v>
      </c>
      <c r="E1780" t="s">
        <v>553</v>
      </c>
      <c r="F1780">
        <v>1</v>
      </c>
      <c r="G1780" t="s">
        <v>176</v>
      </c>
      <c r="H1780">
        <v>0</v>
      </c>
      <c r="I1780">
        <v>14</v>
      </c>
      <c r="J1780" s="10">
        <v>9.9999999999999929</v>
      </c>
      <c r="K1780" s="10">
        <f>SUMIFS(F:F,D:D,DST_123_ÜRETİM_İHTİYAÇ_RAPORU_BURAK_YENI1309[[#This Row],[ALT_KOD]])-(SUMIFS(H:H,D:D,DST_123_ÜRETİM_İHTİYAÇ_RAPORU_BURAK_YENI1309[[#This Row],[ALT_KOD]])+AVERAGEIFS(I:I,D:D,DST_123_ÜRETİM_İHTİYAÇ_RAPORU_BURAK_YENI1309[[#This Row],[ALT_KOD]])+AVERAGEIFS(L:L,D:D,DST_123_ÜRETİM_İHTİYAÇ_RAPORU_BURAK_YENI1309[[#This Row],[ALT_KOD]]))</f>
        <v>2.5700000000000003</v>
      </c>
      <c r="L1780">
        <v>0</v>
      </c>
      <c r="M1780">
        <f>IF((DST_123_ÜRETİM_İHTİYAÇ_RAPORU_BURAK_YENI1309[[#This Row],[SATINALMA]]*DST_123_ÜRETİM_İHTİYAÇ_RAPORU_BURAK_YENI1309[[#This Row],[BIRIM_FIYATLAR]])&lt;1,VALUE("0"),DST_123_ÜRETİM_İHTİYAÇ_RAPORU_BURAK_YENI1309[[#This Row],[SATINALMA]]*DST_123_ÜRETİM_İHTİYAÇ_RAPORU_BURAK_YENI1309[[#This Row],[BIRIM_FIYATLAR]])</f>
        <v>552.55000000000007</v>
      </c>
      <c r="N1780">
        <v>215</v>
      </c>
      <c r="O1780" t="s">
        <v>240</v>
      </c>
      <c r="P1780">
        <v>215</v>
      </c>
      <c r="Q1780" t="s">
        <v>180</v>
      </c>
    </row>
    <row r="1781" spans="1:17" x14ac:dyDescent="0.25">
      <c r="A1781" t="s">
        <v>1147</v>
      </c>
      <c r="B1781" t="s">
        <v>1145</v>
      </c>
      <c r="C1781" t="s">
        <v>175</v>
      </c>
      <c r="D1781" t="s">
        <v>552</v>
      </c>
      <c r="E1781" t="s">
        <v>553</v>
      </c>
      <c r="F1781">
        <v>1</v>
      </c>
      <c r="G1781" t="s">
        <v>176</v>
      </c>
      <c r="H1781">
        <v>0</v>
      </c>
      <c r="I1781">
        <v>14</v>
      </c>
      <c r="J1781" s="10">
        <v>9.9999999999999929</v>
      </c>
      <c r="K1781" s="10">
        <f>SUMIFS(F:F,D:D,DST_123_ÜRETİM_İHTİYAÇ_RAPORU_BURAK_YENI1309[[#This Row],[ALT_KOD]])-(SUMIFS(H:H,D:D,DST_123_ÜRETİM_İHTİYAÇ_RAPORU_BURAK_YENI1309[[#This Row],[ALT_KOD]])+AVERAGEIFS(I:I,D:D,DST_123_ÜRETİM_İHTİYAÇ_RAPORU_BURAK_YENI1309[[#This Row],[ALT_KOD]])+AVERAGEIFS(L:L,D:D,DST_123_ÜRETİM_İHTİYAÇ_RAPORU_BURAK_YENI1309[[#This Row],[ALT_KOD]]))</f>
        <v>2.5700000000000003</v>
      </c>
      <c r="L1781">
        <v>0</v>
      </c>
      <c r="M1781">
        <f>IF((DST_123_ÜRETİM_İHTİYAÇ_RAPORU_BURAK_YENI1309[[#This Row],[SATINALMA]]*DST_123_ÜRETİM_İHTİYAÇ_RAPORU_BURAK_YENI1309[[#This Row],[BIRIM_FIYATLAR]])&lt;1,VALUE("0"),DST_123_ÜRETİM_İHTİYAÇ_RAPORU_BURAK_YENI1309[[#This Row],[SATINALMA]]*DST_123_ÜRETİM_İHTİYAÇ_RAPORU_BURAK_YENI1309[[#This Row],[BIRIM_FIYATLAR]])</f>
        <v>552.55000000000007</v>
      </c>
      <c r="N1781">
        <v>215</v>
      </c>
      <c r="O1781" t="s">
        <v>240</v>
      </c>
      <c r="P1781">
        <v>215</v>
      </c>
      <c r="Q1781" t="s">
        <v>180</v>
      </c>
    </row>
    <row r="1782" spans="1:17" x14ac:dyDescent="0.25">
      <c r="A1782" t="s">
        <v>1148</v>
      </c>
      <c r="B1782" t="s">
        <v>1056</v>
      </c>
      <c r="C1782" t="s">
        <v>175</v>
      </c>
      <c r="D1782" t="s">
        <v>552</v>
      </c>
      <c r="E1782" t="s">
        <v>553</v>
      </c>
      <c r="F1782">
        <v>0.67</v>
      </c>
      <c r="G1782" t="s">
        <v>176</v>
      </c>
      <c r="H1782">
        <v>0</v>
      </c>
      <c r="I1782">
        <v>14</v>
      </c>
      <c r="J1782" s="10">
        <v>9.9999999999999929</v>
      </c>
      <c r="K1782" s="10">
        <f>SUMIFS(F:F,D:D,DST_123_ÜRETİM_İHTİYAÇ_RAPORU_BURAK_YENI1309[[#This Row],[ALT_KOD]])-(SUMIFS(H:H,D:D,DST_123_ÜRETİM_İHTİYAÇ_RAPORU_BURAK_YENI1309[[#This Row],[ALT_KOD]])+AVERAGEIFS(I:I,D:D,DST_123_ÜRETİM_İHTİYAÇ_RAPORU_BURAK_YENI1309[[#This Row],[ALT_KOD]])+AVERAGEIFS(L:L,D:D,DST_123_ÜRETİM_İHTİYAÇ_RAPORU_BURAK_YENI1309[[#This Row],[ALT_KOD]]))</f>
        <v>2.5700000000000003</v>
      </c>
      <c r="L1782">
        <v>0</v>
      </c>
      <c r="M1782">
        <f>IF((DST_123_ÜRETİM_İHTİYAÇ_RAPORU_BURAK_YENI1309[[#This Row],[SATINALMA]]*DST_123_ÜRETİM_İHTİYAÇ_RAPORU_BURAK_YENI1309[[#This Row],[BIRIM_FIYATLAR]])&lt;1,VALUE("0"),DST_123_ÜRETİM_İHTİYAÇ_RAPORU_BURAK_YENI1309[[#This Row],[SATINALMA]]*DST_123_ÜRETİM_İHTİYAÇ_RAPORU_BURAK_YENI1309[[#This Row],[BIRIM_FIYATLAR]])</f>
        <v>552.55000000000007</v>
      </c>
      <c r="N1782">
        <v>215</v>
      </c>
      <c r="O1782" t="s">
        <v>240</v>
      </c>
      <c r="P1782">
        <v>144.05000000000001</v>
      </c>
      <c r="Q1782" t="s">
        <v>180</v>
      </c>
    </row>
    <row r="1783" spans="1:17" x14ac:dyDescent="0.25">
      <c r="A1783" t="s">
        <v>1057</v>
      </c>
      <c r="B1783" t="s">
        <v>1058</v>
      </c>
      <c r="C1783" t="s">
        <v>175</v>
      </c>
      <c r="D1783" t="s">
        <v>560</v>
      </c>
      <c r="E1783" t="s">
        <v>561</v>
      </c>
      <c r="F1783">
        <v>0.7</v>
      </c>
      <c r="G1783" t="s">
        <v>176</v>
      </c>
      <c r="H1783">
        <v>0</v>
      </c>
      <c r="I1783">
        <v>272</v>
      </c>
      <c r="J1783" s="10">
        <v>4.2999999999999652</v>
      </c>
      <c r="K1783" s="10">
        <f>SUMIFS(F:F,D:D,DST_123_ÜRETİM_İHTİYAÇ_RAPORU_BURAK_YENI1309[[#This Row],[ALT_KOD]])-(SUMIFS(H:H,D:D,DST_123_ÜRETİM_İHTİYAÇ_RAPORU_BURAK_YENI1309[[#This Row],[ALT_KOD]])+AVERAGEIFS(I:I,D:D,DST_123_ÜRETİM_İHTİYAÇ_RAPORU_BURAK_YENI1309[[#This Row],[ALT_KOD]])+AVERAGEIFS(L:L,D:D,DST_123_ÜRETİM_İHTİYAÇ_RAPORU_BURAK_YENI1309[[#This Row],[ALT_KOD]]))</f>
        <v>-233.2</v>
      </c>
      <c r="L1783">
        <v>0</v>
      </c>
      <c r="M1783">
        <f>IF((DST_123_ÜRETİM_İHTİYAÇ_RAPORU_BURAK_YENI1309[[#This Row],[SATINALMA]]*DST_123_ÜRETİM_İHTİYAÇ_RAPORU_BURAK_YENI1309[[#This Row],[BIRIM_FIYATLAR]])&lt;1,VALUE("0"),DST_123_ÜRETİM_İHTİYAÇ_RAPORU_BURAK_YENI1309[[#This Row],[SATINALMA]]*DST_123_ÜRETİM_İHTİYAÇ_RAPORU_BURAK_YENI1309[[#This Row],[BIRIM_FIYATLAR]])</f>
        <v>0</v>
      </c>
      <c r="N1783">
        <v>30</v>
      </c>
      <c r="O1783" t="s">
        <v>240</v>
      </c>
      <c r="P1783">
        <v>21</v>
      </c>
      <c r="Q1783" t="s">
        <v>180</v>
      </c>
    </row>
    <row r="1784" spans="1:17" x14ac:dyDescent="0.25">
      <c r="A1784" t="s">
        <v>1100</v>
      </c>
      <c r="B1784" t="s">
        <v>1058</v>
      </c>
      <c r="C1784" t="s">
        <v>175</v>
      </c>
      <c r="D1784" t="s">
        <v>560</v>
      </c>
      <c r="E1784" t="s">
        <v>561</v>
      </c>
      <c r="F1784">
        <v>0.5</v>
      </c>
      <c r="G1784" t="s">
        <v>176</v>
      </c>
      <c r="H1784">
        <v>0</v>
      </c>
      <c r="I1784">
        <v>272</v>
      </c>
      <c r="J1784" s="10">
        <v>4.2999999999999652</v>
      </c>
      <c r="K1784" s="10">
        <f>SUMIFS(F:F,D:D,DST_123_ÜRETİM_İHTİYAÇ_RAPORU_BURAK_YENI1309[[#This Row],[ALT_KOD]])-(SUMIFS(H:H,D:D,DST_123_ÜRETİM_İHTİYAÇ_RAPORU_BURAK_YENI1309[[#This Row],[ALT_KOD]])+AVERAGEIFS(I:I,D:D,DST_123_ÜRETİM_İHTİYAÇ_RAPORU_BURAK_YENI1309[[#This Row],[ALT_KOD]])+AVERAGEIFS(L:L,D:D,DST_123_ÜRETİM_İHTİYAÇ_RAPORU_BURAK_YENI1309[[#This Row],[ALT_KOD]]))</f>
        <v>-233.2</v>
      </c>
      <c r="L1784">
        <v>0</v>
      </c>
      <c r="M1784">
        <f>IF((DST_123_ÜRETİM_İHTİYAÇ_RAPORU_BURAK_YENI1309[[#This Row],[SATINALMA]]*DST_123_ÜRETİM_İHTİYAÇ_RAPORU_BURAK_YENI1309[[#This Row],[BIRIM_FIYATLAR]])&lt;1,VALUE("0"),DST_123_ÜRETİM_İHTİYAÇ_RAPORU_BURAK_YENI1309[[#This Row],[SATINALMA]]*DST_123_ÜRETİM_İHTİYAÇ_RAPORU_BURAK_YENI1309[[#This Row],[BIRIM_FIYATLAR]])</f>
        <v>0</v>
      </c>
      <c r="N1784">
        <v>30</v>
      </c>
      <c r="O1784" t="s">
        <v>240</v>
      </c>
      <c r="P1784">
        <v>15</v>
      </c>
      <c r="Q1784" t="s">
        <v>180</v>
      </c>
    </row>
    <row r="1785" spans="1:17" x14ac:dyDescent="0.25">
      <c r="A1785" t="s">
        <v>1095</v>
      </c>
      <c r="B1785" t="s">
        <v>1096</v>
      </c>
      <c r="C1785" t="s">
        <v>175</v>
      </c>
      <c r="D1785" t="s">
        <v>50</v>
      </c>
      <c r="E1785" t="s">
        <v>51</v>
      </c>
      <c r="F1785">
        <v>1</v>
      </c>
      <c r="G1785" t="s">
        <v>176</v>
      </c>
      <c r="H1785">
        <v>0</v>
      </c>
      <c r="I1785">
        <v>4</v>
      </c>
      <c r="J1785" s="10">
        <v>10</v>
      </c>
      <c r="K1785" s="10">
        <f>SUMIFS(F:F,D:D,DST_123_ÜRETİM_İHTİYAÇ_RAPORU_BURAK_YENI1309[[#This Row],[ALT_KOD]])-(SUMIFS(H:H,D:D,DST_123_ÜRETİM_İHTİYAÇ_RAPORU_BURAK_YENI1309[[#This Row],[ALT_KOD]])+AVERAGEIFS(I:I,D:D,DST_123_ÜRETİM_İHTİYAÇ_RAPORU_BURAK_YENI1309[[#This Row],[ALT_KOD]])+AVERAGEIFS(L:L,D:D,DST_123_ÜRETİM_İHTİYAÇ_RAPORU_BURAK_YENI1309[[#This Row],[ALT_KOD]]))</f>
        <v>8</v>
      </c>
      <c r="L1785">
        <v>0</v>
      </c>
      <c r="M1785">
        <f>IF((DST_123_ÜRETİM_İHTİYAÇ_RAPORU_BURAK_YENI1309[[#This Row],[SATINALMA]]*DST_123_ÜRETİM_İHTİYAÇ_RAPORU_BURAK_YENI1309[[#This Row],[BIRIM_FIYATLAR]])&lt;1,VALUE("0"),DST_123_ÜRETİM_İHTİYAÇ_RAPORU_BURAK_YENI1309[[#This Row],[SATINALMA]]*DST_123_ÜRETİM_İHTİYAÇ_RAPORU_BURAK_YENI1309[[#This Row],[BIRIM_FIYATLAR]])</f>
        <v>41649.120000000003</v>
      </c>
      <c r="N1785">
        <v>5206.1400000000003</v>
      </c>
      <c r="O1785" t="s">
        <v>215</v>
      </c>
      <c r="P1785">
        <v>5206.1400000000003</v>
      </c>
      <c r="Q1785" t="s">
        <v>221</v>
      </c>
    </row>
    <row r="1786" spans="1:17" x14ac:dyDescent="0.25">
      <c r="A1786" t="s">
        <v>1142</v>
      </c>
      <c r="B1786" t="s">
        <v>1056</v>
      </c>
      <c r="C1786" t="s">
        <v>175</v>
      </c>
      <c r="D1786" t="s">
        <v>398</v>
      </c>
      <c r="E1786" t="s">
        <v>399</v>
      </c>
      <c r="F1786">
        <v>0.02</v>
      </c>
      <c r="G1786" t="s">
        <v>185</v>
      </c>
      <c r="H1786">
        <v>0</v>
      </c>
      <c r="I1786">
        <v>3</v>
      </c>
      <c r="J1786" s="10">
        <v>0</v>
      </c>
      <c r="K1786" s="10">
        <f>SUMIFS(F:F,D:D,DST_123_ÜRETİM_İHTİYAÇ_RAPORU_BURAK_YENI1309[[#This Row],[ALT_KOD]])-(SUMIFS(H:H,D:D,DST_123_ÜRETİM_İHTİYAÇ_RAPORU_BURAK_YENI1309[[#This Row],[ALT_KOD]])+AVERAGEIFS(I:I,D:D,DST_123_ÜRETİM_İHTİYAÇ_RAPORU_BURAK_YENI1309[[#This Row],[ALT_KOD]])+AVERAGEIFS(L:L,D:D,DST_123_ÜRETİM_İHTİYAÇ_RAPORU_BURAK_YENI1309[[#This Row],[ALT_KOD]]))</f>
        <v>-2.75</v>
      </c>
      <c r="L1786">
        <v>0</v>
      </c>
      <c r="M1786">
        <f>IF((DST_123_ÜRETİM_İHTİYAÇ_RAPORU_BURAK_YENI1309[[#This Row],[SATINALMA]]*DST_123_ÜRETİM_İHTİYAÇ_RAPORU_BURAK_YENI1309[[#This Row],[BIRIM_FIYATLAR]])&lt;1,VALUE("0"),DST_123_ÜRETİM_İHTİYAÇ_RAPORU_BURAK_YENI1309[[#This Row],[SATINALMA]]*DST_123_ÜRETİM_İHTİYAÇ_RAPORU_BURAK_YENI1309[[#This Row],[BIRIM_FIYATLAR]])</f>
        <v>0</v>
      </c>
      <c r="N1786">
        <v>148.31</v>
      </c>
      <c r="P1786">
        <v>2.9662000000000002</v>
      </c>
      <c r="Q1786" t="s">
        <v>183</v>
      </c>
    </row>
    <row r="1787" spans="1:17" x14ac:dyDescent="0.25">
      <c r="A1787" t="s">
        <v>1060</v>
      </c>
      <c r="B1787" t="s">
        <v>1061</v>
      </c>
      <c r="C1787" t="s">
        <v>175</v>
      </c>
      <c r="D1787" t="s">
        <v>124</v>
      </c>
      <c r="E1787" t="s">
        <v>125</v>
      </c>
      <c r="F1787">
        <v>7</v>
      </c>
      <c r="G1787" t="s">
        <v>185</v>
      </c>
      <c r="H1787">
        <v>7</v>
      </c>
      <c r="I1787">
        <v>0</v>
      </c>
      <c r="J1787" s="10">
        <v>297.61</v>
      </c>
      <c r="K1787" s="10">
        <f>SUMIFS(F:F,D:D,DST_123_ÜRETİM_İHTİYAÇ_RAPORU_BURAK_YENI1309[[#This Row],[ALT_KOD]])-(SUMIFS(H:H,D:D,DST_123_ÜRETİM_İHTİYAÇ_RAPORU_BURAK_YENI1309[[#This Row],[ALT_KOD]])+AVERAGEIFS(I:I,D:D,DST_123_ÜRETİM_İHTİYAÇ_RAPORU_BURAK_YENI1309[[#This Row],[ALT_KOD]])+AVERAGEIFS(L:L,D:D,DST_123_ÜRETİM_İHTİYAÇ_RAPORU_BURAK_YENI1309[[#This Row],[ALT_KOD]]))</f>
        <v>97.560000000000016</v>
      </c>
      <c r="L1787">
        <v>0</v>
      </c>
      <c r="M1787">
        <f>IF((DST_123_ÜRETİM_İHTİYAÇ_RAPORU_BURAK_YENI1309[[#This Row],[SATINALMA]]*DST_123_ÜRETİM_İHTİYAÇ_RAPORU_BURAK_YENI1309[[#This Row],[BIRIM_FIYATLAR]])&lt;1,VALUE("0"),DST_123_ÜRETİM_İHTİYAÇ_RAPORU_BURAK_YENI1309[[#This Row],[SATINALMA]]*DST_123_ÜRETİM_İHTİYAÇ_RAPORU_BURAK_YENI1309[[#This Row],[BIRIM_FIYATLAR]])</f>
        <v>13285.720800000003</v>
      </c>
      <c r="N1787">
        <v>136.18</v>
      </c>
      <c r="O1787" t="s">
        <v>252</v>
      </c>
      <c r="P1787">
        <v>953.26</v>
      </c>
      <c r="Q1787" t="s">
        <v>183</v>
      </c>
    </row>
    <row r="1788" spans="1:17" x14ac:dyDescent="0.25">
      <c r="A1788" t="s">
        <v>1147</v>
      </c>
      <c r="B1788" t="s">
        <v>1145</v>
      </c>
      <c r="C1788" t="s">
        <v>175</v>
      </c>
      <c r="D1788" t="s">
        <v>124</v>
      </c>
      <c r="E1788" t="s">
        <v>125</v>
      </c>
      <c r="F1788">
        <v>7</v>
      </c>
      <c r="G1788" t="s">
        <v>185</v>
      </c>
      <c r="H1788">
        <v>0</v>
      </c>
      <c r="I1788">
        <v>0</v>
      </c>
      <c r="J1788" s="10">
        <v>297.61</v>
      </c>
      <c r="K1788" s="10">
        <f>SUMIFS(F:F,D:D,DST_123_ÜRETİM_İHTİYAÇ_RAPORU_BURAK_YENI1309[[#This Row],[ALT_KOD]])-(SUMIFS(H:H,D:D,DST_123_ÜRETİM_İHTİYAÇ_RAPORU_BURAK_YENI1309[[#This Row],[ALT_KOD]])+AVERAGEIFS(I:I,D:D,DST_123_ÜRETİM_İHTİYAÇ_RAPORU_BURAK_YENI1309[[#This Row],[ALT_KOD]])+AVERAGEIFS(L:L,D:D,DST_123_ÜRETİM_İHTİYAÇ_RAPORU_BURAK_YENI1309[[#This Row],[ALT_KOD]]))</f>
        <v>97.560000000000016</v>
      </c>
      <c r="L1788">
        <v>0</v>
      </c>
      <c r="M1788">
        <f>IF((DST_123_ÜRETİM_İHTİYAÇ_RAPORU_BURAK_YENI1309[[#This Row],[SATINALMA]]*DST_123_ÜRETİM_İHTİYAÇ_RAPORU_BURAK_YENI1309[[#This Row],[BIRIM_FIYATLAR]])&lt;1,VALUE("0"),DST_123_ÜRETİM_İHTİYAÇ_RAPORU_BURAK_YENI1309[[#This Row],[SATINALMA]]*DST_123_ÜRETİM_İHTİYAÇ_RAPORU_BURAK_YENI1309[[#This Row],[BIRIM_FIYATLAR]])</f>
        <v>13285.720800000003</v>
      </c>
      <c r="N1788">
        <v>136.18</v>
      </c>
      <c r="O1788" t="s">
        <v>252</v>
      </c>
      <c r="P1788">
        <v>953.26</v>
      </c>
      <c r="Q1788" t="s">
        <v>183</v>
      </c>
    </row>
    <row r="1789" spans="1:17" x14ac:dyDescent="0.25">
      <c r="A1789" t="s">
        <v>1148</v>
      </c>
      <c r="B1789" t="s">
        <v>1056</v>
      </c>
      <c r="C1789" t="s">
        <v>175</v>
      </c>
      <c r="D1789" t="s">
        <v>124</v>
      </c>
      <c r="E1789" t="s">
        <v>125</v>
      </c>
      <c r="F1789">
        <v>8.89</v>
      </c>
      <c r="G1789" t="s">
        <v>185</v>
      </c>
      <c r="H1789">
        <v>0</v>
      </c>
      <c r="I1789">
        <v>0</v>
      </c>
      <c r="J1789" s="10">
        <v>297.61</v>
      </c>
      <c r="K1789" s="10">
        <f>SUMIFS(F:F,D:D,DST_123_ÜRETİM_İHTİYAÇ_RAPORU_BURAK_YENI1309[[#This Row],[ALT_KOD]])-(SUMIFS(H:H,D:D,DST_123_ÜRETİM_İHTİYAÇ_RAPORU_BURAK_YENI1309[[#This Row],[ALT_KOD]])+AVERAGEIFS(I:I,D:D,DST_123_ÜRETİM_İHTİYAÇ_RAPORU_BURAK_YENI1309[[#This Row],[ALT_KOD]])+AVERAGEIFS(L:L,D:D,DST_123_ÜRETİM_İHTİYAÇ_RAPORU_BURAK_YENI1309[[#This Row],[ALT_KOD]]))</f>
        <v>97.560000000000016</v>
      </c>
      <c r="L1789">
        <v>0</v>
      </c>
      <c r="M1789">
        <f>IF((DST_123_ÜRETİM_İHTİYAÇ_RAPORU_BURAK_YENI1309[[#This Row],[SATINALMA]]*DST_123_ÜRETİM_İHTİYAÇ_RAPORU_BURAK_YENI1309[[#This Row],[BIRIM_FIYATLAR]])&lt;1,VALUE("0"),DST_123_ÜRETİM_İHTİYAÇ_RAPORU_BURAK_YENI1309[[#This Row],[SATINALMA]]*DST_123_ÜRETİM_İHTİYAÇ_RAPORU_BURAK_YENI1309[[#This Row],[BIRIM_FIYATLAR]])</f>
        <v>13285.720800000003</v>
      </c>
      <c r="N1789">
        <v>136.18</v>
      </c>
      <c r="O1789" t="s">
        <v>252</v>
      </c>
      <c r="P1789">
        <v>1210.6402</v>
      </c>
      <c r="Q1789" t="s">
        <v>183</v>
      </c>
    </row>
    <row r="1790" spans="1:17" x14ac:dyDescent="0.25">
      <c r="A1790" t="s">
        <v>1101</v>
      </c>
      <c r="B1790" t="s">
        <v>1102</v>
      </c>
      <c r="C1790" t="s">
        <v>175</v>
      </c>
      <c r="D1790" t="s">
        <v>770</v>
      </c>
      <c r="E1790" t="s">
        <v>771</v>
      </c>
      <c r="F1790">
        <v>6</v>
      </c>
      <c r="G1790" t="s">
        <v>176</v>
      </c>
      <c r="H1790">
        <v>0</v>
      </c>
      <c r="I1790">
        <v>0</v>
      </c>
      <c r="J1790" s="10">
        <v>0</v>
      </c>
      <c r="K1790" s="10">
        <f>SUMIFS(F:F,D:D,DST_123_ÜRETİM_İHTİYAÇ_RAPORU_BURAK_YENI1309[[#This Row],[ALT_KOD]])-(SUMIFS(H:H,D:D,DST_123_ÜRETİM_İHTİYAÇ_RAPORU_BURAK_YENI1309[[#This Row],[ALT_KOD]])+AVERAGEIFS(I:I,D:D,DST_123_ÜRETİM_İHTİYAÇ_RAPORU_BURAK_YENI1309[[#This Row],[ALT_KOD]])+AVERAGEIFS(L:L,D:D,DST_123_ÜRETİM_İHTİYAÇ_RAPORU_BURAK_YENI1309[[#This Row],[ALT_KOD]]))</f>
        <v>54</v>
      </c>
      <c r="L1790">
        <v>0</v>
      </c>
      <c r="M1790">
        <f>IF((DST_123_ÜRETİM_İHTİYAÇ_RAPORU_BURAK_YENI1309[[#This Row],[SATINALMA]]*DST_123_ÜRETİM_İHTİYAÇ_RAPORU_BURAK_YENI1309[[#This Row],[BIRIM_FIYATLAR]])&lt;1,VALUE("0"),DST_123_ÜRETİM_İHTİYAÇ_RAPORU_BURAK_YENI1309[[#This Row],[SATINALMA]]*DST_123_ÜRETİM_İHTİYAÇ_RAPORU_BURAK_YENI1309[[#This Row],[BIRIM_FIYATLAR]])</f>
        <v>35.64</v>
      </c>
      <c r="N1790">
        <v>0.66</v>
      </c>
      <c r="O1790" t="s">
        <v>220</v>
      </c>
      <c r="P1790">
        <v>3.96</v>
      </c>
      <c r="Q1790" t="s">
        <v>221</v>
      </c>
    </row>
    <row r="1791" spans="1:17" x14ac:dyDescent="0.25">
      <c r="A1791" t="s">
        <v>1147</v>
      </c>
      <c r="B1791" t="s">
        <v>1145</v>
      </c>
      <c r="C1791" t="s">
        <v>175</v>
      </c>
      <c r="D1791" t="s">
        <v>838</v>
      </c>
      <c r="E1791" t="s">
        <v>839</v>
      </c>
      <c r="F1791">
        <v>0.05</v>
      </c>
      <c r="G1791" t="s">
        <v>179</v>
      </c>
      <c r="H1791">
        <v>0</v>
      </c>
      <c r="I1791">
        <v>0</v>
      </c>
      <c r="J1791" s="10">
        <v>0</v>
      </c>
      <c r="K1791" s="10">
        <f>SUMIFS(F:F,D:D,DST_123_ÜRETİM_İHTİYAÇ_RAPORU_BURAK_YENI1309[[#This Row],[ALT_KOD]])-(SUMIFS(H:H,D:D,DST_123_ÜRETİM_İHTİYAÇ_RAPORU_BURAK_YENI1309[[#This Row],[ALT_KOD]])+AVERAGEIFS(I:I,D:D,DST_123_ÜRETİM_İHTİYAÇ_RAPORU_BURAK_YENI1309[[#This Row],[ALT_KOD]])+AVERAGEIFS(L:L,D:D,DST_123_ÜRETİM_İHTİYAÇ_RAPORU_BURAK_YENI1309[[#This Row],[ALT_KOD]]))</f>
        <v>1.8</v>
      </c>
      <c r="L1791">
        <v>0</v>
      </c>
      <c r="M1791">
        <f>IF((DST_123_ÜRETİM_İHTİYAÇ_RAPORU_BURAK_YENI1309[[#This Row],[SATINALMA]]*DST_123_ÜRETİM_İHTİYAÇ_RAPORU_BURAK_YENI1309[[#This Row],[BIRIM_FIYATLAR]])&lt;1,VALUE("0"),DST_123_ÜRETİM_İHTİYAÇ_RAPORU_BURAK_YENI1309[[#This Row],[SATINALMA]]*DST_123_ÜRETİM_İHTİYAÇ_RAPORU_BURAK_YENI1309[[#This Row],[BIRIM_FIYATLAR]])</f>
        <v>9</v>
      </c>
      <c r="N1791">
        <v>5</v>
      </c>
      <c r="P1791">
        <v>0.25</v>
      </c>
      <c r="Q1791" t="s">
        <v>221</v>
      </c>
    </row>
    <row r="1792" spans="1:17" x14ac:dyDescent="0.25">
      <c r="A1792" t="s">
        <v>1095</v>
      </c>
      <c r="B1792" t="s">
        <v>1096</v>
      </c>
      <c r="C1792" t="s">
        <v>175</v>
      </c>
      <c r="D1792" t="s">
        <v>374</v>
      </c>
      <c r="E1792" t="s">
        <v>375</v>
      </c>
      <c r="F1792">
        <v>2</v>
      </c>
      <c r="G1792" t="s">
        <v>176</v>
      </c>
      <c r="H1792">
        <v>0</v>
      </c>
      <c r="I1792">
        <v>42</v>
      </c>
      <c r="J1792" s="10">
        <v>34</v>
      </c>
      <c r="K1792" s="10">
        <f>SUMIFS(F:F,D:D,DST_123_ÜRETİM_İHTİYAÇ_RAPORU_BURAK_YENI1309[[#This Row],[ALT_KOD]])-(SUMIFS(H:H,D:D,DST_123_ÜRETİM_İHTİYAÇ_RAPORU_BURAK_YENI1309[[#This Row],[ALT_KOD]])+AVERAGEIFS(I:I,D:D,DST_123_ÜRETİM_İHTİYAÇ_RAPORU_BURAK_YENI1309[[#This Row],[ALT_KOD]])+AVERAGEIFS(L:L,D:D,DST_123_ÜRETİM_İHTİYAÇ_RAPORU_BURAK_YENI1309[[#This Row],[ALT_KOD]]))</f>
        <v>-8</v>
      </c>
      <c r="L1792">
        <v>0</v>
      </c>
      <c r="M1792">
        <f>IF((DST_123_ÜRETİM_İHTİYAÇ_RAPORU_BURAK_YENI1309[[#This Row],[SATINALMA]]*DST_123_ÜRETİM_İHTİYAÇ_RAPORU_BURAK_YENI1309[[#This Row],[BIRIM_FIYATLAR]])&lt;1,VALUE("0"),DST_123_ÜRETİM_İHTİYAÇ_RAPORU_BURAK_YENI1309[[#This Row],[SATINALMA]]*DST_123_ÜRETİM_İHTİYAÇ_RAPORU_BURAK_YENI1309[[#This Row],[BIRIM_FIYATLAR]])</f>
        <v>0</v>
      </c>
      <c r="N1792">
        <v>65</v>
      </c>
      <c r="O1792" t="s">
        <v>240</v>
      </c>
      <c r="P1792">
        <v>130</v>
      </c>
      <c r="Q1792" t="s">
        <v>180</v>
      </c>
    </row>
    <row r="1793" spans="1:17" x14ac:dyDescent="0.25">
      <c r="A1793" t="s">
        <v>1101</v>
      </c>
      <c r="B1793" t="s">
        <v>1102</v>
      </c>
      <c r="C1793" t="s">
        <v>175</v>
      </c>
      <c r="D1793" t="s">
        <v>838</v>
      </c>
      <c r="E1793" t="s">
        <v>839</v>
      </c>
      <c r="F1793">
        <v>0.05</v>
      </c>
      <c r="G1793" t="s">
        <v>179</v>
      </c>
      <c r="H1793">
        <v>0</v>
      </c>
      <c r="I1793">
        <v>0</v>
      </c>
      <c r="J1793" s="10">
        <v>0</v>
      </c>
      <c r="K1793" s="10">
        <f>SUMIFS(F:F,D:D,DST_123_ÜRETİM_İHTİYAÇ_RAPORU_BURAK_YENI1309[[#This Row],[ALT_KOD]])-(SUMIFS(H:H,D:D,DST_123_ÜRETİM_İHTİYAÇ_RAPORU_BURAK_YENI1309[[#This Row],[ALT_KOD]])+AVERAGEIFS(I:I,D:D,DST_123_ÜRETİM_İHTİYAÇ_RAPORU_BURAK_YENI1309[[#This Row],[ALT_KOD]])+AVERAGEIFS(L:L,D:D,DST_123_ÜRETİM_İHTİYAÇ_RAPORU_BURAK_YENI1309[[#This Row],[ALT_KOD]]))</f>
        <v>1.8</v>
      </c>
      <c r="L1793">
        <v>0</v>
      </c>
      <c r="M1793">
        <f>IF((DST_123_ÜRETİM_İHTİYAÇ_RAPORU_BURAK_YENI1309[[#This Row],[SATINALMA]]*DST_123_ÜRETİM_İHTİYAÇ_RAPORU_BURAK_YENI1309[[#This Row],[BIRIM_FIYATLAR]])&lt;1,VALUE("0"),DST_123_ÜRETİM_İHTİYAÇ_RAPORU_BURAK_YENI1309[[#This Row],[SATINALMA]]*DST_123_ÜRETİM_İHTİYAÇ_RAPORU_BURAK_YENI1309[[#This Row],[BIRIM_FIYATLAR]])</f>
        <v>9</v>
      </c>
      <c r="N1793">
        <v>5</v>
      </c>
      <c r="P1793">
        <v>0.25</v>
      </c>
      <c r="Q1793" t="s">
        <v>221</v>
      </c>
    </row>
    <row r="1794" spans="1:17" x14ac:dyDescent="0.25">
      <c r="A1794" t="s">
        <v>1142</v>
      </c>
      <c r="B1794" t="s">
        <v>1056</v>
      </c>
      <c r="C1794" t="s">
        <v>175</v>
      </c>
      <c r="D1794" t="s">
        <v>374</v>
      </c>
      <c r="E1794" t="s">
        <v>375</v>
      </c>
      <c r="F1794">
        <v>2</v>
      </c>
      <c r="G1794" t="s">
        <v>176</v>
      </c>
      <c r="H1794">
        <v>0</v>
      </c>
      <c r="I1794">
        <v>42</v>
      </c>
      <c r="J1794" s="10">
        <v>34</v>
      </c>
      <c r="K1794" s="10">
        <f>SUMIFS(F:F,D:D,DST_123_ÜRETİM_İHTİYAÇ_RAPORU_BURAK_YENI1309[[#This Row],[ALT_KOD]])-(SUMIFS(H:H,D:D,DST_123_ÜRETİM_İHTİYAÇ_RAPORU_BURAK_YENI1309[[#This Row],[ALT_KOD]])+AVERAGEIFS(I:I,D:D,DST_123_ÜRETİM_İHTİYAÇ_RAPORU_BURAK_YENI1309[[#This Row],[ALT_KOD]])+AVERAGEIFS(L:L,D:D,DST_123_ÜRETİM_İHTİYAÇ_RAPORU_BURAK_YENI1309[[#This Row],[ALT_KOD]]))</f>
        <v>-8</v>
      </c>
      <c r="L1794">
        <v>0</v>
      </c>
      <c r="M1794">
        <f>IF((DST_123_ÜRETİM_İHTİYAÇ_RAPORU_BURAK_YENI1309[[#This Row],[SATINALMA]]*DST_123_ÜRETİM_İHTİYAÇ_RAPORU_BURAK_YENI1309[[#This Row],[BIRIM_FIYATLAR]])&lt;1,VALUE("0"),DST_123_ÜRETİM_İHTİYAÇ_RAPORU_BURAK_YENI1309[[#This Row],[SATINALMA]]*DST_123_ÜRETİM_İHTİYAÇ_RAPORU_BURAK_YENI1309[[#This Row],[BIRIM_FIYATLAR]])</f>
        <v>0</v>
      </c>
      <c r="N1794">
        <v>65</v>
      </c>
      <c r="O1794" t="s">
        <v>240</v>
      </c>
      <c r="P1794">
        <v>130</v>
      </c>
      <c r="Q1794" t="s">
        <v>180</v>
      </c>
    </row>
    <row r="1795" spans="1:17" x14ac:dyDescent="0.25">
      <c r="A1795" t="s">
        <v>1097</v>
      </c>
      <c r="B1795" t="s">
        <v>1055</v>
      </c>
      <c r="C1795" t="s">
        <v>175</v>
      </c>
      <c r="D1795" t="s">
        <v>374</v>
      </c>
      <c r="E1795" t="s">
        <v>375</v>
      </c>
      <c r="F1795">
        <v>2</v>
      </c>
      <c r="G1795" t="s">
        <v>176</v>
      </c>
      <c r="H1795">
        <v>0</v>
      </c>
      <c r="I1795">
        <v>42</v>
      </c>
      <c r="J1795" s="10">
        <v>34</v>
      </c>
      <c r="K1795" s="10">
        <f>SUMIFS(F:F,D:D,DST_123_ÜRETİM_İHTİYAÇ_RAPORU_BURAK_YENI1309[[#This Row],[ALT_KOD]])-(SUMIFS(H:H,D:D,DST_123_ÜRETİM_İHTİYAÇ_RAPORU_BURAK_YENI1309[[#This Row],[ALT_KOD]])+AVERAGEIFS(I:I,D:D,DST_123_ÜRETİM_İHTİYAÇ_RAPORU_BURAK_YENI1309[[#This Row],[ALT_KOD]])+AVERAGEIFS(L:L,D:D,DST_123_ÜRETİM_İHTİYAÇ_RAPORU_BURAK_YENI1309[[#This Row],[ALT_KOD]]))</f>
        <v>-8</v>
      </c>
      <c r="L1795">
        <v>0</v>
      </c>
      <c r="M1795">
        <f>IF((DST_123_ÜRETİM_İHTİYAÇ_RAPORU_BURAK_YENI1309[[#This Row],[SATINALMA]]*DST_123_ÜRETİM_İHTİYAÇ_RAPORU_BURAK_YENI1309[[#This Row],[BIRIM_FIYATLAR]])&lt;1,VALUE("0"),DST_123_ÜRETİM_İHTİYAÇ_RAPORU_BURAK_YENI1309[[#This Row],[SATINALMA]]*DST_123_ÜRETİM_İHTİYAÇ_RAPORU_BURAK_YENI1309[[#This Row],[BIRIM_FIYATLAR]])</f>
        <v>0</v>
      </c>
      <c r="N1795">
        <v>65</v>
      </c>
      <c r="O1795" t="s">
        <v>240</v>
      </c>
      <c r="P1795">
        <v>130</v>
      </c>
      <c r="Q1795" t="s">
        <v>180</v>
      </c>
    </row>
    <row r="1796" spans="1:17" x14ac:dyDescent="0.25">
      <c r="A1796" t="s">
        <v>1144</v>
      </c>
      <c r="B1796" t="s">
        <v>1145</v>
      </c>
      <c r="C1796" t="s">
        <v>175</v>
      </c>
      <c r="D1796" t="s">
        <v>868</v>
      </c>
      <c r="E1796" t="s">
        <v>869</v>
      </c>
      <c r="F1796">
        <v>3</v>
      </c>
      <c r="G1796" t="s">
        <v>176</v>
      </c>
      <c r="H1796">
        <v>0</v>
      </c>
      <c r="I1796">
        <v>252</v>
      </c>
      <c r="J1796" s="10">
        <v>51</v>
      </c>
      <c r="K1796" s="10">
        <f>SUMIFS(F:F,D:D,DST_123_ÜRETİM_İHTİYAÇ_RAPORU_BURAK_YENI1309[[#This Row],[ALT_KOD]])-(SUMIFS(H:H,D:D,DST_123_ÜRETİM_İHTİYAÇ_RAPORU_BURAK_YENI1309[[#This Row],[ALT_KOD]])+AVERAGEIFS(I:I,D:D,DST_123_ÜRETİM_İHTİYAÇ_RAPORU_BURAK_YENI1309[[#This Row],[ALT_KOD]])+AVERAGEIFS(L:L,D:D,DST_123_ÜRETİM_İHTİYAÇ_RAPORU_BURAK_YENI1309[[#This Row],[ALT_KOD]]))</f>
        <v>-243</v>
      </c>
      <c r="L1796">
        <v>0</v>
      </c>
      <c r="M1796">
        <f>IF((DST_123_ÜRETİM_İHTİYAÇ_RAPORU_BURAK_YENI1309[[#This Row],[SATINALMA]]*DST_123_ÜRETİM_İHTİYAÇ_RAPORU_BURAK_YENI1309[[#This Row],[BIRIM_FIYATLAR]])&lt;1,VALUE("0"),DST_123_ÜRETİM_İHTİYAÇ_RAPORU_BURAK_YENI1309[[#This Row],[SATINALMA]]*DST_123_ÜRETİM_İHTİYAÇ_RAPORU_BURAK_YENI1309[[#This Row],[BIRIM_FIYATLAR]])</f>
        <v>0</v>
      </c>
      <c r="N1796">
        <v>8</v>
      </c>
      <c r="O1796" t="s">
        <v>240</v>
      </c>
      <c r="P1796">
        <v>24</v>
      </c>
      <c r="Q1796" t="s">
        <v>178</v>
      </c>
    </row>
    <row r="1797" spans="1:17" x14ac:dyDescent="0.25">
      <c r="A1797" t="s">
        <v>1146</v>
      </c>
      <c r="B1797" t="s">
        <v>1145</v>
      </c>
      <c r="C1797" t="s">
        <v>175</v>
      </c>
      <c r="D1797" t="s">
        <v>838</v>
      </c>
      <c r="E1797" t="s">
        <v>839</v>
      </c>
      <c r="F1797">
        <v>0.05</v>
      </c>
      <c r="G1797" t="s">
        <v>179</v>
      </c>
      <c r="H1797">
        <v>0</v>
      </c>
      <c r="I1797">
        <v>0</v>
      </c>
      <c r="J1797" s="10">
        <v>0</v>
      </c>
      <c r="K1797" s="10">
        <f>SUMIFS(F:F,D:D,DST_123_ÜRETİM_İHTİYAÇ_RAPORU_BURAK_YENI1309[[#This Row],[ALT_KOD]])-(SUMIFS(H:H,D:D,DST_123_ÜRETİM_İHTİYAÇ_RAPORU_BURAK_YENI1309[[#This Row],[ALT_KOD]])+AVERAGEIFS(I:I,D:D,DST_123_ÜRETİM_İHTİYAÇ_RAPORU_BURAK_YENI1309[[#This Row],[ALT_KOD]])+AVERAGEIFS(L:L,D:D,DST_123_ÜRETİM_İHTİYAÇ_RAPORU_BURAK_YENI1309[[#This Row],[ALT_KOD]]))</f>
        <v>1.8</v>
      </c>
      <c r="L1797">
        <v>0</v>
      </c>
      <c r="M1797">
        <f>IF((DST_123_ÜRETİM_İHTİYAÇ_RAPORU_BURAK_YENI1309[[#This Row],[SATINALMA]]*DST_123_ÜRETİM_İHTİYAÇ_RAPORU_BURAK_YENI1309[[#This Row],[BIRIM_FIYATLAR]])&lt;1,VALUE("0"),DST_123_ÜRETİM_İHTİYAÇ_RAPORU_BURAK_YENI1309[[#This Row],[SATINALMA]]*DST_123_ÜRETİM_İHTİYAÇ_RAPORU_BURAK_YENI1309[[#This Row],[BIRIM_FIYATLAR]])</f>
        <v>9</v>
      </c>
      <c r="N1797">
        <v>5</v>
      </c>
      <c r="P1797">
        <v>0.25</v>
      </c>
      <c r="Q1797" t="s">
        <v>221</v>
      </c>
    </row>
    <row r="1798" spans="1:17" x14ac:dyDescent="0.25">
      <c r="A1798" t="s">
        <v>1144</v>
      </c>
      <c r="B1798" t="s">
        <v>1145</v>
      </c>
      <c r="C1798" t="s">
        <v>175</v>
      </c>
      <c r="D1798" t="s">
        <v>838</v>
      </c>
      <c r="E1798" t="s">
        <v>839</v>
      </c>
      <c r="F1798">
        <v>0.05</v>
      </c>
      <c r="G1798" t="s">
        <v>179</v>
      </c>
      <c r="H1798">
        <v>0</v>
      </c>
      <c r="I1798">
        <v>0</v>
      </c>
      <c r="J1798" s="10">
        <v>0</v>
      </c>
      <c r="K1798" s="10">
        <f>SUMIFS(F:F,D:D,DST_123_ÜRETİM_İHTİYAÇ_RAPORU_BURAK_YENI1309[[#This Row],[ALT_KOD]])-(SUMIFS(H:H,D:D,DST_123_ÜRETİM_İHTİYAÇ_RAPORU_BURAK_YENI1309[[#This Row],[ALT_KOD]])+AVERAGEIFS(I:I,D:D,DST_123_ÜRETİM_İHTİYAÇ_RAPORU_BURAK_YENI1309[[#This Row],[ALT_KOD]])+AVERAGEIFS(L:L,D:D,DST_123_ÜRETİM_İHTİYAÇ_RAPORU_BURAK_YENI1309[[#This Row],[ALT_KOD]]))</f>
        <v>1.8</v>
      </c>
      <c r="L1798">
        <v>0</v>
      </c>
      <c r="M1798">
        <f>IF((DST_123_ÜRETİM_İHTİYAÇ_RAPORU_BURAK_YENI1309[[#This Row],[SATINALMA]]*DST_123_ÜRETİM_İHTİYAÇ_RAPORU_BURAK_YENI1309[[#This Row],[BIRIM_FIYATLAR]])&lt;1,VALUE("0"),DST_123_ÜRETİM_İHTİYAÇ_RAPORU_BURAK_YENI1309[[#This Row],[SATINALMA]]*DST_123_ÜRETİM_İHTİYAÇ_RAPORU_BURAK_YENI1309[[#This Row],[BIRIM_FIYATLAR]])</f>
        <v>9</v>
      </c>
      <c r="N1798">
        <v>5</v>
      </c>
      <c r="P1798">
        <v>0.25</v>
      </c>
      <c r="Q1798" t="s">
        <v>221</v>
      </c>
    </row>
    <row r="1799" spans="1:17" x14ac:dyDescent="0.25">
      <c r="A1799" t="s">
        <v>1149</v>
      </c>
      <c r="B1799" t="s">
        <v>1145</v>
      </c>
      <c r="C1799" t="s">
        <v>175</v>
      </c>
      <c r="D1799" t="s">
        <v>23</v>
      </c>
      <c r="E1799" t="s">
        <v>304</v>
      </c>
      <c r="F1799">
        <v>1</v>
      </c>
      <c r="G1799" t="s">
        <v>176</v>
      </c>
      <c r="H1799">
        <v>0</v>
      </c>
      <c r="I1799">
        <v>0</v>
      </c>
      <c r="J1799" s="10">
        <v>7</v>
      </c>
      <c r="K1799" s="10">
        <f>SUMIFS(F:F,D:D,DST_123_ÜRETİM_İHTİYAÇ_RAPORU_BURAK_YENI1309[[#This Row],[ALT_KOD]])-(SUMIFS(H:H,D:D,DST_123_ÜRETİM_İHTİYAÇ_RAPORU_BURAK_YENI1309[[#This Row],[ALT_KOD]])+AVERAGEIFS(I:I,D:D,DST_123_ÜRETİM_İHTİYAÇ_RAPORU_BURAK_YENI1309[[#This Row],[ALT_KOD]])+AVERAGEIFS(L:L,D:D,DST_123_ÜRETİM_İHTİYAÇ_RAPORU_BURAK_YENI1309[[#This Row],[ALT_KOD]]))</f>
        <v>19</v>
      </c>
      <c r="L1799">
        <v>0</v>
      </c>
      <c r="M1799">
        <f>IF((DST_123_ÜRETİM_İHTİYAÇ_RAPORU_BURAK_YENI1309[[#This Row],[SATINALMA]]*DST_123_ÜRETİM_İHTİYAÇ_RAPORU_BURAK_YENI1309[[#This Row],[BIRIM_FIYATLAR]])&lt;1,VALUE("0"),DST_123_ÜRETİM_İHTİYAÇ_RAPORU_BURAK_YENI1309[[#This Row],[SATINALMA]]*DST_123_ÜRETİM_İHTİYAÇ_RAPORU_BURAK_YENI1309[[#This Row],[BIRIM_FIYATLAR]])</f>
        <v>760</v>
      </c>
      <c r="N1799">
        <v>40</v>
      </c>
      <c r="O1799" t="s">
        <v>635</v>
      </c>
      <c r="P1799">
        <v>40</v>
      </c>
      <c r="Q1799" t="s">
        <v>221</v>
      </c>
    </row>
    <row r="1800" spans="1:17" x14ac:dyDescent="0.25">
      <c r="A1800" t="s">
        <v>1146</v>
      </c>
      <c r="B1800" t="s">
        <v>1145</v>
      </c>
      <c r="C1800" t="s">
        <v>175</v>
      </c>
      <c r="D1800" t="s">
        <v>23</v>
      </c>
      <c r="E1800" t="s">
        <v>304</v>
      </c>
      <c r="F1800">
        <v>1</v>
      </c>
      <c r="G1800" t="s">
        <v>176</v>
      </c>
      <c r="H1800">
        <v>0</v>
      </c>
      <c r="I1800">
        <v>0</v>
      </c>
      <c r="J1800" s="10">
        <v>7</v>
      </c>
      <c r="K1800" s="10">
        <f>SUMIFS(F:F,D:D,DST_123_ÜRETİM_İHTİYAÇ_RAPORU_BURAK_YENI1309[[#This Row],[ALT_KOD]])-(SUMIFS(H:H,D:D,DST_123_ÜRETİM_İHTİYAÇ_RAPORU_BURAK_YENI1309[[#This Row],[ALT_KOD]])+AVERAGEIFS(I:I,D:D,DST_123_ÜRETİM_İHTİYAÇ_RAPORU_BURAK_YENI1309[[#This Row],[ALT_KOD]])+AVERAGEIFS(L:L,D:D,DST_123_ÜRETİM_İHTİYAÇ_RAPORU_BURAK_YENI1309[[#This Row],[ALT_KOD]]))</f>
        <v>19</v>
      </c>
      <c r="L1800">
        <v>0</v>
      </c>
      <c r="M1800">
        <f>IF((DST_123_ÜRETİM_İHTİYAÇ_RAPORU_BURAK_YENI1309[[#This Row],[SATINALMA]]*DST_123_ÜRETİM_İHTİYAÇ_RAPORU_BURAK_YENI1309[[#This Row],[BIRIM_FIYATLAR]])&lt;1,VALUE("0"),DST_123_ÜRETİM_İHTİYAÇ_RAPORU_BURAK_YENI1309[[#This Row],[SATINALMA]]*DST_123_ÜRETİM_İHTİYAÇ_RAPORU_BURAK_YENI1309[[#This Row],[BIRIM_FIYATLAR]])</f>
        <v>760</v>
      </c>
      <c r="N1800">
        <v>40</v>
      </c>
      <c r="O1800" t="s">
        <v>635</v>
      </c>
      <c r="P1800">
        <v>40</v>
      </c>
      <c r="Q1800" t="s">
        <v>221</v>
      </c>
    </row>
    <row r="1801" spans="1:17" x14ac:dyDescent="0.25">
      <c r="A1801" t="s">
        <v>1100</v>
      </c>
      <c r="B1801" t="s">
        <v>1058</v>
      </c>
      <c r="C1801" t="s">
        <v>175</v>
      </c>
      <c r="D1801" t="s">
        <v>1027</v>
      </c>
      <c r="E1801" t="s">
        <v>1028</v>
      </c>
      <c r="F1801">
        <v>4</v>
      </c>
      <c r="G1801" t="s">
        <v>176</v>
      </c>
      <c r="H1801">
        <v>0</v>
      </c>
      <c r="I1801">
        <v>842</v>
      </c>
      <c r="J1801" s="10">
        <v>0</v>
      </c>
      <c r="K1801" s="10">
        <f>SUMIFS(F:F,D:D,DST_123_ÜRETİM_İHTİYAÇ_RAPORU_BURAK_YENI1309[[#This Row],[ALT_KOD]])-(SUMIFS(H:H,D:D,DST_123_ÜRETİM_İHTİYAÇ_RAPORU_BURAK_YENI1309[[#This Row],[ALT_KOD]])+AVERAGEIFS(I:I,D:D,DST_123_ÜRETİM_İHTİYAÇ_RAPORU_BURAK_YENI1309[[#This Row],[ALT_KOD]])+AVERAGEIFS(L:L,D:D,DST_123_ÜRETİM_İHTİYAÇ_RAPORU_BURAK_YENI1309[[#This Row],[ALT_KOD]]))</f>
        <v>-834</v>
      </c>
      <c r="L1801">
        <v>0</v>
      </c>
      <c r="M1801">
        <f>IF((DST_123_ÜRETİM_İHTİYAÇ_RAPORU_BURAK_YENI1309[[#This Row],[SATINALMA]]*DST_123_ÜRETİM_İHTİYAÇ_RAPORU_BURAK_YENI1309[[#This Row],[BIRIM_FIYATLAR]])&lt;1,VALUE("0"),DST_123_ÜRETİM_İHTİYAÇ_RAPORU_BURAK_YENI1309[[#This Row],[SATINALMA]]*DST_123_ÜRETİM_İHTİYAÇ_RAPORU_BURAK_YENI1309[[#This Row],[BIRIM_FIYATLAR]])</f>
        <v>0</v>
      </c>
      <c r="N1801">
        <v>0.93</v>
      </c>
      <c r="O1801" t="s">
        <v>1029</v>
      </c>
      <c r="P1801">
        <v>3.72</v>
      </c>
      <c r="Q1801" t="s">
        <v>180</v>
      </c>
    </row>
    <row r="1802" spans="1:17" x14ac:dyDescent="0.25">
      <c r="A1802" t="s">
        <v>1057</v>
      </c>
      <c r="B1802" t="s">
        <v>1058</v>
      </c>
      <c r="C1802" t="s">
        <v>175</v>
      </c>
      <c r="D1802" t="s">
        <v>838</v>
      </c>
      <c r="E1802" t="s">
        <v>839</v>
      </c>
      <c r="F1802">
        <v>0.05</v>
      </c>
      <c r="G1802" t="s">
        <v>179</v>
      </c>
      <c r="H1802">
        <v>0</v>
      </c>
      <c r="I1802">
        <v>0</v>
      </c>
      <c r="J1802" s="10">
        <v>0</v>
      </c>
      <c r="K1802" s="10">
        <f>SUMIFS(F:F,D:D,DST_123_ÜRETİM_İHTİYAÇ_RAPORU_BURAK_YENI1309[[#This Row],[ALT_KOD]])-(SUMIFS(H:H,D:D,DST_123_ÜRETİM_İHTİYAÇ_RAPORU_BURAK_YENI1309[[#This Row],[ALT_KOD]])+AVERAGEIFS(I:I,D:D,DST_123_ÜRETİM_İHTİYAÇ_RAPORU_BURAK_YENI1309[[#This Row],[ALT_KOD]])+AVERAGEIFS(L:L,D:D,DST_123_ÜRETİM_İHTİYAÇ_RAPORU_BURAK_YENI1309[[#This Row],[ALT_KOD]]))</f>
        <v>1.8</v>
      </c>
      <c r="L1802">
        <v>0</v>
      </c>
      <c r="M1802">
        <f>IF((DST_123_ÜRETİM_İHTİYAÇ_RAPORU_BURAK_YENI1309[[#This Row],[SATINALMA]]*DST_123_ÜRETİM_İHTİYAÇ_RAPORU_BURAK_YENI1309[[#This Row],[BIRIM_FIYATLAR]])&lt;1,VALUE("0"),DST_123_ÜRETİM_İHTİYAÇ_RAPORU_BURAK_YENI1309[[#This Row],[SATINALMA]]*DST_123_ÜRETİM_İHTİYAÇ_RAPORU_BURAK_YENI1309[[#This Row],[BIRIM_FIYATLAR]])</f>
        <v>9</v>
      </c>
      <c r="N1802">
        <v>5</v>
      </c>
      <c r="P1802">
        <v>0.25</v>
      </c>
      <c r="Q1802" t="s">
        <v>221</v>
      </c>
    </row>
    <row r="1803" spans="1:17" x14ac:dyDescent="0.25">
      <c r="A1803" t="s">
        <v>1100</v>
      </c>
      <c r="B1803" t="s">
        <v>1058</v>
      </c>
      <c r="C1803" t="s">
        <v>175</v>
      </c>
      <c r="D1803" t="s">
        <v>838</v>
      </c>
      <c r="E1803" t="s">
        <v>839</v>
      </c>
      <c r="F1803">
        <v>0.05</v>
      </c>
      <c r="G1803" t="s">
        <v>179</v>
      </c>
      <c r="H1803">
        <v>0</v>
      </c>
      <c r="I1803">
        <v>0</v>
      </c>
      <c r="J1803" s="10">
        <v>0</v>
      </c>
      <c r="K1803" s="10">
        <f>SUMIFS(F:F,D:D,DST_123_ÜRETİM_İHTİYAÇ_RAPORU_BURAK_YENI1309[[#This Row],[ALT_KOD]])-(SUMIFS(H:H,D:D,DST_123_ÜRETİM_İHTİYAÇ_RAPORU_BURAK_YENI1309[[#This Row],[ALT_KOD]])+AVERAGEIFS(I:I,D:D,DST_123_ÜRETİM_İHTİYAÇ_RAPORU_BURAK_YENI1309[[#This Row],[ALT_KOD]])+AVERAGEIFS(L:L,D:D,DST_123_ÜRETİM_İHTİYAÇ_RAPORU_BURAK_YENI1309[[#This Row],[ALT_KOD]]))</f>
        <v>1.8</v>
      </c>
      <c r="L1803">
        <v>0</v>
      </c>
      <c r="M1803">
        <f>IF((DST_123_ÜRETİM_İHTİYAÇ_RAPORU_BURAK_YENI1309[[#This Row],[SATINALMA]]*DST_123_ÜRETİM_İHTİYAÇ_RAPORU_BURAK_YENI1309[[#This Row],[BIRIM_FIYATLAR]])&lt;1,VALUE("0"),DST_123_ÜRETİM_İHTİYAÇ_RAPORU_BURAK_YENI1309[[#This Row],[SATINALMA]]*DST_123_ÜRETİM_İHTİYAÇ_RAPORU_BURAK_YENI1309[[#This Row],[BIRIM_FIYATLAR]])</f>
        <v>9</v>
      </c>
      <c r="N1803">
        <v>5</v>
      </c>
      <c r="P1803">
        <v>0.25</v>
      </c>
      <c r="Q1803" t="s">
        <v>221</v>
      </c>
    </row>
    <row r="1804" spans="1:17" x14ac:dyDescent="0.25">
      <c r="A1804" t="s">
        <v>1148</v>
      </c>
      <c r="B1804" t="s">
        <v>1056</v>
      </c>
      <c r="C1804" t="s">
        <v>175</v>
      </c>
      <c r="D1804" t="s">
        <v>838</v>
      </c>
      <c r="E1804" t="s">
        <v>839</v>
      </c>
      <c r="F1804">
        <v>0.2</v>
      </c>
      <c r="G1804" t="s">
        <v>179</v>
      </c>
      <c r="H1804">
        <v>0</v>
      </c>
      <c r="I1804">
        <v>0</v>
      </c>
      <c r="J1804" s="10">
        <v>0</v>
      </c>
      <c r="K1804" s="10">
        <f>SUMIFS(F:F,D:D,DST_123_ÜRETİM_İHTİYAÇ_RAPORU_BURAK_YENI1309[[#This Row],[ALT_KOD]])-(SUMIFS(H:H,D:D,DST_123_ÜRETİM_İHTİYAÇ_RAPORU_BURAK_YENI1309[[#This Row],[ALT_KOD]])+AVERAGEIFS(I:I,D:D,DST_123_ÜRETİM_İHTİYAÇ_RAPORU_BURAK_YENI1309[[#This Row],[ALT_KOD]])+AVERAGEIFS(L:L,D:D,DST_123_ÜRETİM_İHTİYAÇ_RAPORU_BURAK_YENI1309[[#This Row],[ALT_KOD]]))</f>
        <v>1.8</v>
      </c>
      <c r="L1804">
        <v>0</v>
      </c>
      <c r="M1804">
        <f>IF((DST_123_ÜRETİM_İHTİYAÇ_RAPORU_BURAK_YENI1309[[#This Row],[SATINALMA]]*DST_123_ÜRETİM_İHTİYAÇ_RAPORU_BURAK_YENI1309[[#This Row],[BIRIM_FIYATLAR]])&lt;1,VALUE("0"),DST_123_ÜRETİM_İHTİYAÇ_RAPORU_BURAK_YENI1309[[#This Row],[SATINALMA]]*DST_123_ÜRETİM_İHTİYAÇ_RAPORU_BURAK_YENI1309[[#This Row],[BIRIM_FIYATLAR]])</f>
        <v>9</v>
      </c>
      <c r="N1804">
        <v>5</v>
      </c>
      <c r="P1804">
        <v>1</v>
      </c>
      <c r="Q1804" t="s">
        <v>221</v>
      </c>
    </row>
    <row r="1805" spans="1:17" x14ac:dyDescent="0.25">
      <c r="A1805" t="s">
        <v>1095</v>
      </c>
      <c r="B1805" t="s">
        <v>1096</v>
      </c>
      <c r="C1805" t="s">
        <v>175</v>
      </c>
      <c r="D1805" t="s">
        <v>365</v>
      </c>
      <c r="E1805" t="s">
        <v>366</v>
      </c>
      <c r="F1805">
        <v>18</v>
      </c>
      <c r="G1805" t="s">
        <v>176</v>
      </c>
      <c r="H1805">
        <v>0</v>
      </c>
      <c r="I1805">
        <v>3750</v>
      </c>
      <c r="J1805" s="10">
        <v>674</v>
      </c>
      <c r="K1805" s="10">
        <f>SUMIFS(F:F,D:D,DST_123_ÜRETİM_İHTİYAÇ_RAPORU_BURAK_YENI1309[[#This Row],[ALT_KOD]])-(SUMIFS(H:H,D:D,DST_123_ÜRETİM_İHTİYAÇ_RAPORU_BURAK_YENI1309[[#This Row],[ALT_KOD]])+AVERAGEIFS(I:I,D:D,DST_123_ÜRETİM_İHTİYAÇ_RAPORU_BURAK_YENI1309[[#This Row],[ALT_KOD]])+AVERAGEIFS(L:L,D:D,DST_123_ÜRETİM_İHTİYAÇ_RAPORU_BURAK_YENI1309[[#This Row],[ALT_KOD]]))</f>
        <v>-3452</v>
      </c>
      <c r="L1805">
        <v>0</v>
      </c>
      <c r="M1805">
        <f>IF((DST_123_ÜRETİM_İHTİYAÇ_RAPORU_BURAK_YENI1309[[#This Row],[SATINALMA]]*DST_123_ÜRETİM_İHTİYAÇ_RAPORU_BURAK_YENI1309[[#This Row],[BIRIM_FIYATLAR]])&lt;1,VALUE("0"),DST_123_ÜRETİM_İHTİYAÇ_RAPORU_BURAK_YENI1309[[#This Row],[SATINALMA]]*DST_123_ÜRETİM_İHTİYAÇ_RAPORU_BURAK_YENI1309[[#This Row],[BIRIM_FIYATLAR]])</f>
        <v>0</v>
      </c>
      <c r="N1805">
        <v>0.2</v>
      </c>
      <c r="O1805" t="s">
        <v>240</v>
      </c>
      <c r="P1805">
        <v>3.6</v>
      </c>
      <c r="Q1805" t="s">
        <v>180</v>
      </c>
    </row>
    <row r="1806" spans="1:17" x14ac:dyDescent="0.25">
      <c r="A1806" t="s">
        <v>1143</v>
      </c>
      <c r="B1806" t="s">
        <v>1056</v>
      </c>
      <c r="C1806" t="s">
        <v>175</v>
      </c>
      <c r="D1806" t="s">
        <v>374</v>
      </c>
      <c r="E1806" t="s">
        <v>375</v>
      </c>
      <c r="F1806">
        <v>2</v>
      </c>
      <c r="G1806" t="s">
        <v>176</v>
      </c>
      <c r="H1806">
        <v>0</v>
      </c>
      <c r="I1806">
        <v>42</v>
      </c>
      <c r="J1806" s="10">
        <v>34</v>
      </c>
      <c r="K1806" s="10">
        <f>SUMIFS(F:F,D:D,DST_123_ÜRETİM_İHTİYAÇ_RAPORU_BURAK_YENI1309[[#This Row],[ALT_KOD]])-(SUMIFS(H:H,D:D,DST_123_ÜRETİM_İHTİYAÇ_RAPORU_BURAK_YENI1309[[#This Row],[ALT_KOD]])+AVERAGEIFS(I:I,D:D,DST_123_ÜRETİM_İHTİYAÇ_RAPORU_BURAK_YENI1309[[#This Row],[ALT_KOD]])+AVERAGEIFS(L:L,D:D,DST_123_ÜRETİM_İHTİYAÇ_RAPORU_BURAK_YENI1309[[#This Row],[ALT_KOD]]))</f>
        <v>-8</v>
      </c>
      <c r="L1806">
        <v>0</v>
      </c>
      <c r="M1806">
        <f>IF((DST_123_ÜRETİM_İHTİYAÇ_RAPORU_BURAK_YENI1309[[#This Row],[SATINALMA]]*DST_123_ÜRETİM_İHTİYAÇ_RAPORU_BURAK_YENI1309[[#This Row],[BIRIM_FIYATLAR]])&lt;1,VALUE("0"),DST_123_ÜRETİM_İHTİYAÇ_RAPORU_BURAK_YENI1309[[#This Row],[SATINALMA]]*DST_123_ÜRETİM_İHTİYAÇ_RAPORU_BURAK_YENI1309[[#This Row],[BIRIM_FIYATLAR]])</f>
        <v>0</v>
      </c>
      <c r="N1806">
        <v>65</v>
      </c>
      <c r="O1806" t="s">
        <v>240</v>
      </c>
      <c r="P1806">
        <v>130</v>
      </c>
      <c r="Q1806" t="s">
        <v>180</v>
      </c>
    </row>
    <row r="1807" spans="1:17" x14ac:dyDescent="0.25">
      <c r="A1807" t="s">
        <v>1059</v>
      </c>
      <c r="B1807" t="s">
        <v>1058</v>
      </c>
      <c r="C1807" t="s">
        <v>175</v>
      </c>
      <c r="D1807" t="s">
        <v>374</v>
      </c>
      <c r="E1807" t="s">
        <v>375</v>
      </c>
      <c r="F1807">
        <v>2</v>
      </c>
      <c r="G1807" t="s">
        <v>176</v>
      </c>
      <c r="H1807">
        <v>0</v>
      </c>
      <c r="I1807">
        <v>42</v>
      </c>
      <c r="J1807" s="10">
        <v>34</v>
      </c>
      <c r="K1807" s="10">
        <f>SUMIFS(F:F,D:D,DST_123_ÜRETİM_İHTİYAÇ_RAPORU_BURAK_YENI1309[[#This Row],[ALT_KOD]])-(SUMIFS(H:H,D:D,DST_123_ÜRETİM_İHTİYAÇ_RAPORU_BURAK_YENI1309[[#This Row],[ALT_KOD]])+AVERAGEIFS(I:I,D:D,DST_123_ÜRETİM_İHTİYAÇ_RAPORU_BURAK_YENI1309[[#This Row],[ALT_KOD]])+AVERAGEIFS(L:L,D:D,DST_123_ÜRETİM_İHTİYAÇ_RAPORU_BURAK_YENI1309[[#This Row],[ALT_KOD]]))</f>
        <v>-8</v>
      </c>
      <c r="L1807">
        <v>0</v>
      </c>
      <c r="M1807">
        <f>IF((DST_123_ÜRETİM_İHTİYAÇ_RAPORU_BURAK_YENI1309[[#This Row],[SATINALMA]]*DST_123_ÜRETİM_İHTİYAÇ_RAPORU_BURAK_YENI1309[[#This Row],[BIRIM_FIYATLAR]])&lt;1,VALUE("0"),DST_123_ÜRETİM_İHTİYAÇ_RAPORU_BURAK_YENI1309[[#This Row],[SATINALMA]]*DST_123_ÜRETİM_İHTİYAÇ_RAPORU_BURAK_YENI1309[[#This Row],[BIRIM_FIYATLAR]])</f>
        <v>0</v>
      </c>
      <c r="N1807">
        <v>65</v>
      </c>
      <c r="O1807" t="s">
        <v>240</v>
      </c>
      <c r="P1807">
        <v>130</v>
      </c>
      <c r="Q1807" t="s">
        <v>180</v>
      </c>
    </row>
    <row r="1808" spans="1:17" x14ac:dyDescent="0.25">
      <c r="A1808" t="s">
        <v>1059</v>
      </c>
      <c r="B1808" t="s">
        <v>1058</v>
      </c>
      <c r="C1808" t="s">
        <v>175</v>
      </c>
      <c r="D1808" t="s">
        <v>1027</v>
      </c>
      <c r="E1808" t="s">
        <v>1028</v>
      </c>
      <c r="F1808">
        <v>4</v>
      </c>
      <c r="G1808" t="s">
        <v>176</v>
      </c>
      <c r="H1808">
        <v>0</v>
      </c>
      <c r="I1808">
        <v>842</v>
      </c>
      <c r="J1808" s="10">
        <v>0</v>
      </c>
      <c r="K1808" s="10">
        <f>SUMIFS(F:F,D:D,DST_123_ÜRETİM_İHTİYAÇ_RAPORU_BURAK_YENI1309[[#This Row],[ALT_KOD]])-(SUMIFS(H:H,D:D,DST_123_ÜRETİM_İHTİYAÇ_RAPORU_BURAK_YENI1309[[#This Row],[ALT_KOD]])+AVERAGEIFS(I:I,D:D,DST_123_ÜRETİM_İHTİYAÇ_RAPORU_BURAK_YENI1309[[#This Row],[ALT_KOD]])+AVERAGEIFS(L:L,D:D,DST_123_ÜRETİM_İHTİYAÇ_RAPORU_BURAK_YENI1309[[#This Row],[ALT_KOD]]))</f>
        <v>-834</v>
      </c>
      <c r="L1808">
        <v>0</v>
      </c>
      <c r="M1808">
        <f>IF((DST_123_ÜRETİM_İHTİYAÇ_RAPORU_BURAK_YENI1309[[#This Row],[SATINALMA]]*DST_123_ÜRETİM_İHTİYAÇ_RAPORU_BURAK_YENI1309[[#This Row],[BIRIM_FIYATLAR]])&lt;1,VALUE("0"),DST_123_ÜRETİM_İHTİYAÇ_RAPORU_BURAK_YENI1309[[#This Row],[SATINALMA]]*DST_123_ÜRETİM_İHTİYAÇ_RAPORU_BURAK_YENI1309[[#This Row],[BIRIM_FIYATLAR]])</f>
        <v>0</v>
      </c>
      <c r="N1808">
        <v>0.93</v>
      </c>
      <c r="O1808" t="s">
        <v>1029</v>
      </c>
      <c r="P1808">
        <v>3.72</v>
      </c>
      <c r="Q1808" t="s">
        <v>180</v>
      </c>
    </row>
    <row r="1809" spans="1:17" x14ac:dyDescent="0.25">
      <c r="A1809" t="s">
        <v>1095</v>
      </c>
      <c r="B1809" t="s">
        <v>1096</v>
      </c>
      <c r="C1809" t="s">
        <v>175</v>
      </c>
      <c r="D1809" t="s">
        <v>1111</v>
      </c>
      <c r="E1809" t="s">
        <v>1112</v>
      </c>
      <c r="F1809">
        <v>1</v>
      </c>
      <c r="G1809" t="s">
        <v>176</v>
      </c>
      <c r="H1809">
        <v>0</v>
      </c>
      <c r="I1809">
        <v>0</v>
      </c>
      <c r="J1809" s="10">
        <v>0</v>
      </c>
      <c r="K1809" s="10">
        <f>SUMIFS(F:F,D:D,DST_123_ÜRETİM_İHTİYAÇ_RAPORU_BURAK_YENI1309[[#This Row],[ALT_KOD]])-(SUMIFS(H:H,D:D,DST_123_ÜRETİM_İHTİYAÇ_RAPORU_BURAK_YENI1309[[#This Row],[ALT_KOD]])+AVERAGEIFS(I:I,D:D,DST_123_ÜRETİM_İHTİYAÇ_RAPORU_BURAK_YENI1309[[#This Row],[ALT_KOD]])+AVERAGEIFS(L:L,D:D,DST_123_ÜRETİM_İHTİYAÇ_RAPORU_BURAK_YENI1309[[#This Row],[ALT_KOD]]))</f>
        <v>1</v>
      </c>
      <c r="L1809">
        <v>0</v>
      </c>
      <c r="M1809">
        <f>IF((DST_123_ÜRETİM_İHTİYAÇ_RAPORU_BURAK_YENI1309[[#This Row],[SATINALMA]]*DST_123_ÜRETİM_İHTİYAÇ_RAPORU_BURAK_YENI1309[[#This Row],[BIRIM_FIYATLAR]])&lt;1,VALUE("0"),DST_123_ÜRETİM_İHTİYAÇ_RAPORU_BURAK_YENI1309[[#This Row],[SATINALMA]]*DST_123_ÜRETİM_İHTİYAÇ_RAPORU_BURAK_YENI1309[[#This Row],[BIRIM_FIYATLAR]])</f>
        <v>2.12</v>
      </c>
      <c r="N1809">
        <v>2.12</v>
      </c>
      <c r="P1809">
        <v>2.12</v>
      </c>
      <c r="Q1809" t="s">
        <v>180</v>
      </c>
    </row>
    <row r="1810" spans="1:17" x14ac:dyDescent="0.25">
      <c r="A1810" t="s">
        <v>1059</v>
      </c>
      <c r="B1810" t="s">
        <v>1058</v>
      </c>
      <c r="C1810" t="s">
        <v>175</v>
      </c>
      <c r="D1810" t="s">
        <v>838</v>
      </c>
      <c r="E1810" t="s">
        <v>839</v>
      </c>
      <c r="F1810">
        <v>0.05</v>
      </c>
      <c r="G1810" t="s">
        <v>179</v>
      </c>
      <c r="H1810">
        <v>0</v>
      </c>
      <c r="I1810">
        <v>0</v>
      </c>
      <c r="J1810" s="10">
        <v>0</v>
      </c>
      <c r="K1810" s="10">
        <f>SUMIFS(F:F,D:D,DST_123_ÜRETİM_İHTİYAÇ_RAPORU_BURAK_YENI1309[[#This Row],[ALT_KOD]])-(SUMIFS(H:H,D:D,DST_123_ÜRETİM_İHTİYAÇ_RAPORU_BURAK_YENI1309[[#This Row],[ALT_KOD]])+AVERAGEIFS(I:I,D:D,DST_123_ÜRETİM_İHTİYAÇ_RAPORU_BURAK_YENI1309[[#This Row],[ALT_KOD]])+AVERAGEIFS(L:L,D:D,DST_123_ÜRETİM_İHTİYAÇ_RAPORU_BURAK_YENI1309[[#This Row],[ALT_KOD]]))</f>
        <v>1.8</v>
      </c>
      <c r="L1810">
        <v>0</v>
      </c>
      <c r="M1810">
        <f>IF((DST_123_ÜRETİM_İHTİYAÇ_RAPORU_BURAK_YENI1309[[#This Row],[SATINALMA]]*DST_123_ÜRETİM_İHTİYAÇ_RAPORU_BURAK_YENI1309[[#This Row],[BIRIM_FIYATLAR]])&lt;1,VALUE("0"),DST_123_ÜRETİM_İHTİYAÇ_RAPORU_BURAK_YENI1309[[#This Row],[SATINALMA]]*DST_123_ÜRETİM_İHTİYAÇ_RAPORU_BURAK_YENI1309[[#This Row],[BIRIM_FIYATLAR]])</f>
        <v>9</v>
      </c>
      <c r="N1810">
        <v>5</v>
      </c>
      <c r="P1810">
        <v>0.25</v>
      </c>
      <c r="Q1810" t="s">
        <v>221</v>
      </c>
    </row>
    <row r="1811" spans="1:17" x14ac:dyDescent="0.25">
      <c r="A1811" t="s">
        <v>1095</v>
      </c>
      <c r="B1811" t="s">
        <v>1096</v>
      </c>
      <c r="C1811" t="s">
        <v>175</v>
      </c>
      <c r="D1811" t="s">
        <v>838</v>
      </c>
      <c r="E1811" t="s">
        <v>839</v>
      </c>
      <c r="F1811">
        <v>0.2</v>
      </c>
      <c r="G1811" t="s">
        <v>179</v>
      </c>
      <c r="H1811">
        <v>0</v>
      </c>
      <c r="I1811">
        <v>0</v>
      </c>
      <c r="J1811" s="10">
        <v>0</v>
      </c>
      <c r="K1811" s="10">
        <f>SUMIFS(F:F,D:D,DST_123_ÜRETİM_İHTİYAÇ_RAPORU_BURAK_YENI1309[[#This Row],[ALT_KOD]])-(SUMIFS(H:H,D:D,DST_123_ÜRETİM_İHTİYAÇ_RAPORU_BURAK_YENI1309[[#This Row],[ALT_KOD]])+AVERAGEIFS(I:I,D:D,DST_123_ÜRETİM_İHTİYAÇ_RAPORU_BURAK_YENI1309[[#This Row],[ALT_KOD]])+AVERAGEIFS(L:L,D:D,DST_123_ÜRETİM_İHTİYAÇ_RAPORU_BURAK_YENI1309[[#This Row],[ALT_KOD]]))</f>
        <v>1.8</v>
      </c>
      <c r="L1811">
        <v>0</v>
      </c>
      <c r="M1811">
        <f>IF((DST_123_ÜRETİM_İHTİYAÇ_RAPORU_BURAK_YENI1309[[#This Row],[SATINALMA]]*DST_123_ÜRETİM_İHTİYAÇ_RAPORU_BURAK_YENI1309[[#This Row],[BIRIM_FIYATLAR]])&lt;1,VALUE("0"),DST_123_ÜRETİM_İHTİYAÇ_RAPORU_BURAK_YENI1309[[#This Row],[SATINALMA]]*DST_123_ÜRETİM_İHTİYAÇ_RAPORU_BURAK_YENI1309[[#This Row],[BIRIM_FIYATLAR]])</f>
        <v>9</v>
      </c>
      <c r="N1811">
        <v>5</v>
      </c>
      <c r="P1811">
        <v>1</v>
      </c>
      <c r="Q1811" t="s">
        <v>221</v>
      </c>
    </row>
    <row r="1812" spans="1:17" x14ac:dyDescent="0.25">
      <c r="A1812" t="s">
        <v>1196</v>
      </c>
      <c r="B1812" t="s">
        <v>1197</v>
      </c>
      <c r="C1812" t="s">
        <v>175</v>
      </c>
      <c r="D1812" t="s">
        <v>838</v>
      </c>
      <c r="E1812" t="s">
        <v>839</v>
      </c>
      <c r="F1812">
        <v>0.05</v>
      </c>
      <c r="G1812" t="s">
        <v>179</v>
      </c>
      <c r="H1812">
        <v>0</v>
      </c>
      <c r="I1812">
        <v>0</v>
      </c>
      <c r="J1812" s="10">
        <v>0</v>
      </c>
      <c r="K1812" s="10">
        <f>SUMIFS(F:F,D:D,DST_123_ÜRETİM_İHTİYAÇ_RAPORU_BURAK_YENI1309[[#This Row],[ALT_KOD]])-(SUMIFS(H:H,D:D,DST_123_ÜRETİM_İHTİYAÇ_RAPORU_BURAK_YENI1309[[#This Row],[ALT_KOD]])+AVERAGEIFS(I:I,D:D,DST_123_ÜRETİM_İHTİYAÇ_RAPORU_BURAK_YENI1309[[#This Row],[ALT_KOD]])+AVERAGEIFS(L:L,D:D,DST_123_ÜRETİM_İHTİYAÇ_RAPORU_BURAK_YENI1309[[#This Row],[ALT_KOD]]))</f>
        <v>1.8</v>
      </c>
      <c r="L1812">
        <v>0</v>
      </c>
      <c r="M1812">
        <f>IF((DST_123_ÜRETİM_İHTİYAÇ_RAPORU_BURAK_YENI1309[[#This Row],[SATINALMA]]*DST_123_ÜRETİM_İHTİYAÇ_RAPORU_BURAK_YENI1309[[#This Row],[BIRIM_FIYATLAR]])&lt;1,VALUE("0"),DST_123_ÜRETİM_İHTİYAÇ_RAPORU_BURAK_YENI1309[[#This Row],[SATINALMA]]*DST_123_ÜRETİM_İHTİYAÇ_RAPORU_BURAK_YENI1309[[#This Row],[BIRIM_FIYATLAR]])</f>
        <v>9</v>
      </c>
      <c r="N1812">
        <v>5</v>
      </c>
      <c r="P1812">
        <v>0.25</v>
      </c>
      <c r="Q1812" t="s">
        <v>221</v>
      </c>
    </row>
    <row r="1813" spans="1:17" x14ac:dyDescent="0.25">
      <c r="A1813" t="s">
        <v>1099</v>
      </c>
      <c r="B1813" t="s">
        <v>1055</v>
      </c>
      <c r="C1813" t="s">
        <v>175</v>
      </c>
      <c r="D1813" t="s">
        <v>23</v>
      </c>
      <c r="E1813" t="s">
        <v>304</v>
      </c>
      <c r="F1813">
        <v>1</v>
      </c>
      <c r="G1813" t="s">
        <v>176</v>
      </c>
      <c r="H1813">
        <v>0</v>
      </c>
      <c r="I1813">
        <v>0</v>
      </c>
      <c r="J1813" s="10">
        <v>7</v>
      </c>
      <c r="K1813" s="10">
        <f>SUMIFS(F:F,D:D,DST_123_ÜRETİM_İHTİYAÇ_RAPORU_BURAK_YENI1309[[#This Row],[ALT_KOD]])-(SUMIFS(H:H,D:D,DST_123_ÜRETİM_İHTİYAÇ_RAPORU_BURAK_YENI1309[[#This Row],[ALT_KOD]])+AVERAGEIFS(I:I,D:D,DST_123_ÜRETİM_İHTİYAÇ_RAPORU_BURAK_YENI1309[[#This Row],[ALT_KOD]])+AVERAGEIFS(L:L,D:D,DST_123_ÜRETİM_İHTİYAÇ_RAPORU_BURAK_YENI1309[[#This Row],[ALT_KOD]]))</f>
        <v>19</v>
      </c>
      <c r="L1813">
        <v>0</v>
      </c>
      <c r="M1813">
        <f>IF((DST_123_ÜRETİM_İHTİYAÇ_RAPORU_BURAK_YENI1309[[#This Row],[SATINALMA]]*DST_123_ÜRETİM_İHTİYAÇ_RAPORU_BURAK_YENI1309[[#This Row],[BIRIM_FIYATLAR]])&lt;1,VALUE("0"),DST_123_ÜRETİM_İHTİYAÇ_RAPORU_BURAK_YENI1309[[#This Row],[SATINALMA]]*DST_123_ÜRETİM_İHTİYAÇ_RAPORU_BURAK_YENI1309[[#This Row],[BIRIM_FIYATLAR]])</f>
        <v>760</v>
      </c>
      <c r="N1813">
        <v>40</v>
      </c>
      <c r="O1813" t="s">
        <v>635</v>
      </c>
      <c r="P1813">
        <v>40</v>
      </c>
      <c r="Q1813" t="s">
        <v>221</v>
      </c>
    </row>
    <row r="1814" spans="1:17" x14ac:dyDescent="0.25">
      <c r="A1814" t="s">
        <v>1142</v>
      </c>
      <c r="B1814" t="s">
        <v>1056</v>
      </c>
      <c r="C1814" t="s">
        <v>175</v>
      </c>
      <c r="D1814" t="s">
        <v>838</v>
      </c>
      <c r="E1814" t="s">
        <v>839</v>
      </c>
      <c r="F1814">
        <v>0.05</v>
      </c>
      <c r="G1814" t="s">
        <v>179</v>
      </c>
      <c r="H1814">
        <v>0</v>
      </c>
      <c r="I1814">
        <v>0</v>
      </c>
      <c r="J1814" s="10">
        <v>0</v>
      </c>
      <c r="K1814" s="10">
        <f>SUMIFS(F:F,D:D,DST_123_ÜRETİM_İHTİYAÇ_RAPORU_BURAK_YENI1309[[#This Row],[ALT_KOD]])-(SUMIFS(H:H,D:D,DST_123_ÜRETİM_İHTİYAÇ_RAPORU_BURAK_YENI1309[[#This Row],[ALT_KOD]])+AVERAGEIFS(I:I,D:D,DST_123_ÜRETİM_İHTİYAÇ_RAPORU_BURAK_YENI1309[[#This Row],[ALT_KOD]])+AVERAGEIFS(L:L,D:D,DST_123_ÜRETİM_İHTİYAÇ_RAPORU_BURAK_YENI1309[[#This Row],[ALT_KOD]]))</f>
        <v>1.8</v>
      </c>
      <c r="L1814">
        <v>0</v>
      </c>
      <c r="M1814">
        <f>IF((DST_123_ÜRETİM_İHTİYAÇ_RAPORU_BURAK_YENI1309[[#This Row],[SATINALMA]]*DST_123_ÜRETİM_İHTİYAÇ_RAPORU_BURAK_YENI1309[[#This Row],[BIRIM_FIYATLAR]])&lt;1,VALUE("0"),DST_123_ÜRETİM_İHTİYAÇ_RAPORU_BURAK_YENI1309[[#This Row],[SATINALMA]]*DST_123_ÜRETİM_İHTİYAÇ_RAPORU_BURAK_YENI1309[[#This Row],[BIRIM_FIYATLAR]])</f>
        <v>9</v>
      </c>
      <c r="N1814">
        <v>5</v>
      </c>
      <c r="P1814">
        <v>0.25</v>
      </c>
      <c r="Q1814" t="s">
        <v>221</v>
      </c>
    </row>
    <row r="1815" spans="1:17" x14ac:dyDescent="0.25">
      <c r="A1815" t="s">
        <v>1097</v>
      </c>
      <c r="B1815" t="s">
        <v>1055</v>
      </c>
      <c r="C1815" t="s">
        <v>175</v>
      </c>
      <c r="D1815" t="s">
        <v>1065</v>
      </c>
      <c r="E1815" t="s">
        <v>1066</v>
      </c>
      <c r="F1815">
        <v>0.4</v>
      </c>
      <c r="G1815" t="s">
        <v>179</v>
      </c>
      <c r="H1815">
        <v>0</v>
      </c>
      <c r="I1815">
        <v>0</v>
      </c>
      <c r="J1815" s="10">
        <v>0</v>
      </c>
      <c r="K1815" s="10">
        <f>SUMIFS(F:F,D:D,DST_123_ÜRETİM_İHTİYAÇ_RAPORU_BURAK_YENI1309[[#This Row],[ALT_KOD]])-(SUMIFS(H:H,D:D,DST_123_ÜRETİM_İHTİYAÇ_RAPORU_BURAK_YENI1309[[#This Row],[ALT_KOD]])+AVERAGEIFS(I:I,D:D,DST_123_ÜRETİM_İHTİYAÇ_RAPORU_BURAK_YENI1309[[#This Row],[ALT_KOD]])+AVERAGEIFS(L:L,D:D,DST_123_ÜRETİM_İHTİYAÇ_RAPORU_BURAK_YENI1309[[#This Row],[ALT_KOD]]))</f>
        <v>0.8</v>
      </c>
      <c r="L1815">
        <v>0</v>
      </c>
      <c r="M1815">
        <f>IF((DST_123_ÜRETİM_İHTİYAÇ_RAPORU_BURAK_YENI1309[[#This Row],[SATINALMA]]*DST_123_ÜRETİM_İHTİYAÇ_RAPORU_BURAK_YENI1309[[#This Row],[BIRIM_FIYATLAR]])&lt;1,VALUE("0"),DST_123_ÜRETİM_İHTİYAÇ_RAPORU_BURAK_YENI1309[[#This Row],[SATINALMA]]*DST_123_ÜRETİM_İHTİYAÇ_RAPORU_BURAK_YENI1309[[#This Row],[BIRIM_FIYATLAR]])</f>
        <v>2.4000000000000004</v>
      </c>
      <c r="N1815">
        <v>3</v>
      </c>
      <c r="P1815">
        <v>1.2000000000000002</v>
      </c>
      <c r="Q1815" t="s">
        <v>221</v>
      </c>
    </row>
    <row r="1816" spans="1:17" x14ac:dyDescent="0.25">
      <c r="A1816" t="s">
        <v>1143</v>
      </c>
      <c r="B1816" t="s">
        <v>1056</v>
      </c>
      <c r="C1816" t="s">
        <v>175</v>
      </c>
      <c r="D1816" t="s">
        <v>838</v>
      </c>
      <c r="E1816" t="s">
        <v>839</v>
      </c>
      <c r="F1816">
        <v>0.2</v>
      </c>
      <c r="G1816" t="s">
        <v>179</v>
      </c>
      <c r="H1816">
        <v>0</v>
      </c>
      <c r="I1816">
        <v>0</v>
      </c>
      <c r="J1816" s="10">
        <v>0</v>
      </c>
      <c r="K1816" s="10">
        <f>SUMIFS(F:F,D:D,DST_123_ÜRETİM_İHTİYAÇ_RAPORU_BURAK_YENI1309[[#This Row],[ALT_KOD]])-(SUMIFS(H:H,D:D,DST_123_ÜRETİM_İHTİYAÇ_RAPORU_BURAK_YENI1309[[#This Row],[ALT_KOD]])+AVERAGEIFS(I:I,D:D,DST_123_ÜRETİM_İHTİYAÇ_RAPORU_BURAK_YENI1309[[#This Row],[ALT_KOD]])+AVERAGEIFS(L:L,D:D,DST_123_ÜRETİM_İHTİYAÇ_RAPORU_BURAK_YENI1309[[#This Row],[ALT_KOD]]))</f>
        <v>1.8</v>
      </c>
      <c r="L1816">
        <v>0</v>
      </c>
      <c r="M1816">
        <f>IF((DST_123_ÜRETİM_İHTİYAÇ_RAPORU_BURAK_YENI1309[[#This Row],[SATINALMA]]*DST_123_ÜRETİM_İHTİYAÇ_RAPORU_BURAK_YENI1309[[#This Row],[BIRIM_FIYATLAR]])&lt;1,VALUE("0"),DST_123_ÜRETİM_İHTİYAÇ_RAPORU_BURAK_YENI1309[[#This Row],[SATINALMA]]*DST_123_ÜRETİM_İHTİYAÇ_RAPORU_BURAK_YENI1309[[#This Row],[BIRIM_FIYATLAR]])</f>
        <v>9</v>
      </c>
      <c r="N1816">
        <v>5</v>
      </c>
      <c r="P1816">
        <v>1</v>
      </c>
      <c r="Q1816" t="s">
        <v>221</v>
      </c>
    </row>
    <row r="1817" spans="1:17" x14ac:dyDescent="0.25">
      <c r="A1817" t="s">
        <v>1097</v>
      </c>
      <c r="B1817" t="s">
        <v>1055</v>
      </c>
      <c r="C1817" t="s">
        <v>175</v>
      </c>
      <c r="D1817" t="s">
        <v>838</v>
      </c>
      <c r="E1817" t="s">
        <v>839</v>
      </c>
      <c r="F1817">
        <v>0.2</v>
      </c>
      <c r="G1817" t="s">
        <v>179</v>
      </c>
      <c r="H1817">
        <v>0</v>
      </c>
      <c r="I1817">
        <v>0</v>
      </c>
      <c r="J1817" s="10">
        <v>0</v>
      </c>
      <c r="K1817" s="10">
        <f>SUMIFS(F:F,D:D,DST_123_ÜRETİM_İHTİYAÇ_RAPORU_BURAK_YENI1309[[#This Row],[ALT_KOD]])-(SUMIFS(H:H,D:D,DST_123_ÜRETİM_İHTİYAÇ_RAPORU_BURAK_YENI1309[[#This Row],[ALT_KOD]])+AVERAGEIFS(I:I,D:D,DST_123_ÜRETİM_İHTİYAÇ_RAPORU_BURAK_YENI1309[[#This Row],[ALT_KOD]])+AVERAGEIFS(L:L,D:D,DST_123_ÜRETİM_İHTİYAÇ_RAPORU_BURAK_YENI1309[[#This Row],[ALT_KOD]]))</f>
        <v>1.8</v>
      </c>
      <c r="L1817">
        <v>0</v>
      </c>
      <c r="M1817">
        <f>IF((DST_123_ÜRETİM_İHTİYAÇ_RAPORU_BURAK_YENI1309[[#This Row],[SATINALMA]]*DST_123_ÜRETİM_İHTİYAÇ_RAPORU_BURAK_YENI1309[[#This Row],[BIRIM_FIYATLAR]])&lt;1,VALUE("0"),DST_123_ÜRETİM_İHTİYAÇ_RAPORU_BURAK_YENI1309[[#This Row],[SATINALMA]]*DST_123_ÜRETİM_İHTİYAÇ_RAPORU_BURAK_YENI1309[[#This Row],[BIRIM_FIYATLAR]])</f>
        <v>9</v>
      </c>
      <c r="N1817">
        <v>5</v>
      </c>
      <c r="P1817">
        <v>1</v>
      </c>
      <c r="Q1817" t="s">
        <v>221</v>
      </c>
    </row>
    <row r="1818" spans="1:17" x14ac:dyDescent="0.25">
      <c r="A1818" t="s">
        <v>1059</v>
      </c>
      <c r="B1818" t="s">
        <v>1058</v>
      </c>
      <c r="C1818" t="s">
        <v>175</v>
      </c>
      <c r="D1818" t="s">
        <v>23</v>
      </c>
      <c r="E1818" t="s">
        <v>304</v>
      </c>
      <c r="F1818">
        <v>1</v>
      </c>
      <c r="G1818" t="s">
        <v>176</v>
      </c>
      <c r="H1818">
        <v>0</v>
      </c>
      <c r="I1818">
        <v>0</v>
      </c>
      <c r="J1818" s="10">
        <v>7</v>
      </c>
      <c r="K1818" s="10">
        <f>SUMIFS(F:F,D:D,DST_123_ÜRETİM_İHTİYAÇ_RAPORU_BURAK_YENI1309[[#This Row],[ALT_KOD]])-(SUMIFS(H:H,D:D,DST_123_ÜRETİM_İHTİYAÇ_RAPORU_BURAK_YENI1309[[#This Row],[ALT_KOD]])+AVERAGEIFS(I:I,D:D,DST_123_ÜRETİM_İHTİYAÇ_RAPORU_BURAK_YENI1309[[#This Row],[ALT_KOD]])+AVERAGEIFS(L:L,D:D,DST_123_ÜRETİM_İHTİYAÇ_RAPORU_BURAK_YENI1309[[#This Row],[ALT_KOD]]))</f>
        <v>19</v>
      </c>
      <c r="L1818">
        <v>0</v>
      </c>
      <c r="M1818">
        <f>IF((DST_123_ÜRETİM_İHTİYAÇ_RAPORU_BURAK_YENI1309[[#This Row],[SATINALMA]]*DST_123_ÜRETİM_İHTİYAÇ_RAPORU_BURAK_YENI1309[[#This Row],[BIRIM_FIYATLAR]])&lt;1,VALUE("0"),DST_123_ÜRETİM_İHTİYAÇ_RAPORU_BURAK_YENI1309[[#This Row],[SATINALMA]]*DST_123_ÜRETİM_İHTİYAÇ_RAPORU_BURAK_YENI1309[[#This Row],[BIRIM_FIYATLAR]])</f>
        <v>760</v>
      </c>
      <c r="N1818">
        <v>40</v>
      </c>
      <c r="O1818" t="s">
        <v>635</v>
      </c>
      <c r="P1818">
        <v>40</v>
      </c>
      <c r="Q1818" t="s">
        <v>221</v>
      </c>
    </row>
    <row r="1819" spans="1:17" x14ac:dyDescent="0.25">
      <c r="A1819" t="s">
        <v>1097</v>
      </c>
      <c r="B1819" t="s">
        <v>1055</v>
      </c>
      <c r="C1819" t="s">
        <v>175</v>
      </c>
      <c r="D1819" t="s">
        <v>979</v>
      </c>
      <c r="E1819" t="s">
        <v>980</v>
      </c>
      <c r="F1819">
        <v>0.16</v>
      </c>
      <c r="G1819" t="s">
        <v>176</v>
      </c>
      <c r="H1819">
        <v>0</v>
      </c>
      <c r="I1819">
        <v>80</v>
      </c>
      <c r="J1819" s="10">
        <v>56.839999999999961</v>
      </c>
      <c r="K1819" s="10">
        <f>SUMIFS(F:F,D:D,DST_123_ÜRETİM_İHTİYAÇ_RAPORU_BURAK_YENI1309[[#This Row],[ALT_KOD]])-(SUMIFS(H:H,D:D,DST_123_ÜRETİM_İHTİYAÇ_RAPORU_BURAK_YENI1309[[#This Row],[ALT_KOD]])+AVERAGEIFS(I:I,D:D,DST_123_ÜRETİM_İHTİYAÇ_RAPORU_BURAK_YENI1309[[#This Row],[ALT_KOD]])+AVERAGEIFS(L:L,D:D,DST_123_ÜRETİM_İHTİYAÇ_RAPORU_BURAK_YENI1309[[#This Row],[ALT_KOD]]))</f>
        <v>-79.680000000000007</v>
      </c>
      <c r="L1819">
        <v>0</v>
      </c>
      <c r="M1819">
        <f>IF((DST_123_ÜRETİM_İHTİYAÇ_RAPORU_BURAK_YENI1309[[#This Row],[SATINALMA]]*DST_123_ÜRETİM_İHTİYAÇ_RAPORU_BURAK_YENI1309[[#This Row],[BIRIM_FIYATLAR]])&lt;1,VALUE("0"),DST_123_ÜRETİM_İHTİYAÇ_RAPORU_BURAK_YENI1309[[#This Row],[SATINALMA]]*DST_123_ÜRETİM_İHTİYAÇ_RAPORU_BURAK_YENI1309[[#This Row],[BIRIM_FIYATLAR]])</f>
        <v>0</v>
      </c>
      <c r="N1819">
        <v>9.5</v>
      </c>
      <c r="O1819" t="s">
        <v>220</v>
      </c>
      <c r="P1819">
        <v>1.52</v>
      </c>
      <c r="Q1819" t="s">
        <v>180</v>
      </c>
    </row>
    <row r="1820" spans="1:17" x14ac:dyDescent="0.25">
      <c r="A1820" t="s">
        <v>1064</v>
      </c>
      <c r="B1820" t="s">
        <v>1055</v>
      </c>
      <c r="C1820" t="s">
        <v>175</v>
      </c>
      <c r="D1820" t="s">
        <v>1065</v>
      </c>
      <c r="E1820" t="s">
        <v>1066</v>
      </c>
      <c r="F1820">
        <v>0.4</v>
      </c>
      <c r="G1820" t="s">
        <v>179</v>
      </c>
      <c r="H1820">
        <v>0</v>
      </c>
      <c r="I1820">
        <v>0</v>
      </c>
      <c r="J1820" s="10">
        <v>0</v>
      </c>
      <c r="K1820" s="10">
        <f>SUMIFS(F:F,D:D,DST_123_ÜRETİM_İHTİYAÇ_RAPORU_BURAK_YENI1309[[#This Row],[ALT_KOD]])-(SUMIFS(H:H,D:D,DST_123_ÜRETİM_İHTİYAÇ_RAPORU_BURAK_YENI1309[[#This Row],[ALT_KOD]])+AVERAGEIFS(I:I,D:D,DST_123_ÜRETİM_İHTİYAÇ_RAPORU_BURAK_YENI1309[[#This Row],[ALT_KOD]])+AVERAGEIFS(L:L,D:D,DST_123_ÜRETİM_İHTİYAÇ_RAPORU_BURAK_YENI1309[[#This Row],[ALT_KOD]]))</f>
        <v>0.8</v>
      </c>
      <c r="L1820">
        <v>0</v>
      </c>
      <c r="M1820">
        <f>IF((DST_123_ÜRETİM_İHTİYAÇ_RAPORU_BURAK_YENI1309[[#This Row],[SATINALMA]]*DST_123_ÜRETİM_İHTİYAÇ_RAPORU_BURAK_YENI1309[[#This Row],[BIRIM_FIYATLAR]])&lt;1,VALUE("0"),DST_123_ÜRETİM_İHTİYAÇ_RAPORU_BURAK_YENI1309[[#This Row],[SATINALMA]]*DST_123_ÜRETİM_İHTİYAÇ_RAPORU_BURAK_YENI1309[[#This Row],[BIRIM_FIYATLAR]])</f>
        <v>2.4000000000000004</v>
      </c>
      <c r="N1820">
        <v>3</v>
      </c>
      <c r="P1820">
        <v>1.2000000000000002</v>
      </c>
      <c r="Q1820" t="s">
        <v>221</v>
      </c>
    </row>
    <row r="1821" spans="1:17" x14ac:dyDescent="0.25">
      <c r="A1821" t="s">
        <v>1064</v>
      </c>
      <c r="B1821" t="s">
        <v>1055</v>
      </c>
      <c r="C1821" t="s">
        <v>175</v>
      </c>
      <c r="D1821" t="s">
        <v>838</v>
      </c>
      <c r="E1821" t="s">
        <v>839</v>
      </c>
      <c r="F1821">
        <v>0.2</v>
      </c>
      <c r="G1821" t="s">
        <v>179</v>
      </c>
      <c r="H1821">
        <v>0</v>
      </c>
      <c r="I1821">
        <v>0</v>
      </c>
      <c r="J1821" s="10">
        <v>0</v>
      </c>
      <c r="K1821" s="10">
        <f>SUMIFS(F:F,D:D,DST_123_ÜRETİM_İHTİYAÇ_RAPORU_BURAK_YENI1309[[#This Row],[ALT_KOD]])-(SUMIFS(H:H,D:D,DST_123_ÜRETİM_İHTİYAÇ_RAPORU_BURAK_YENI1309[[#This Row],[ALT_KOD]])+AVERAGEIFS(I:I,D:D,DST_123_ÜRETİM_İHTİYAÇ_RAPORU_BURAK_YENI1309[[#This Row],[ALT_KOD]])+AVERAGEIFS(L:L,D:D,DST_123_ÜRETİM_İHTİYAÇ_RAPORU_BURAK_YENI1309[[#This Row],[ALT_KOD]]))</f>
        <v>1.8</v>
      </c>
      <c r="L1821">
        <v>0</v>
      </c>
      <c r="M1821">
        <f>IF((DST_123_ÜRETİM_İHTİYAÇ_RAPORU_BURAK_YENI1309[[#This Row],[SATINALMA]]*DST_123_ÜRETİM_İHTİYAÇ_RAPORU_BURAK_YENI1309[[#This Row],[BIRIM_FIYATLAR]])&lt;1,VALUE("0"),DST_123_ÜRETİM_İHTİYAÇ_RAPORU_BURAK_YENI1309[[#This Row],[SATINALMA]]*DST_123_ÜRETİM_İHTİYAÇ_RAPORU_BURAK_YENI1309[[#This Row],[BIRIM_FIYATLAR]])</f>
        <v>9</v>
      </c>
      <c r="N1821">
        <v>5</v>
      </c>
      <c r="P1821">
        <v>1</v>
      </c>
      <c r="Q1821" t="s">
        <v>221</v>
      </c>
    </row>
    <row r="1822" spans="1:17" x14ac:dyDescent="0.25">
      <c r="A1822" t="s">
        <v>1098</v>
      </c>
      <c r="B1822" t="s">
        <v>1096</v>
      </c>
      <c r="C1822" t="s">
        <v>175</v>
      </c>
      <c r="D1822" t="s">
        <v>838</v>
      </c>
      <c r="E1822" t="s">
        <v>839</v>
      </c>
      <c r="F1822">
        <v>0.2</v>
      </c>
      <c r="G1822" t="s">
        <v>179</v>
      </c>
      <c r="H1822">
        <v>0</v>
      </c>
      <c r="I1822">
        <v>0</v>
      </c>
      <c r="J1822" s="10">
        <v>0</v>
      </c>
      <c r="K1822" s="10">
        <f>SUMIFS(F:F,D:D,DST_123_ÜRETİM_İHTİYAÇ_RAPORU_BURAK_YENI1309[[#This Row],[ALT_KOD]])-(SUMIFS(H:H,D:D,DST_123_ÜRETİM_İHTİYAÇ_RAPORU_BURAK_YENI1309[[#This Row],[ALT_KOD]])+AVERAGEIFS(I:I,D:D,DST_123_ÜRETİM_İHTİYAÇ_RAPORU_BURAK_YENI1309[[#This Row],[ALT_KOD]])+AVERAGEIFS(L:L,D:D,DST_123_ÜRETİM_İHTİYAÇ_RAPORU_BURAK_YENI1309[[#This Row],[ALT_KOD]]))</f>
        <v>1.8</v>
      </c>
      <c r="L1822">
        <v>0</v>
      </c>
      <c r="M1822">
        <f>IF((DST_123_ÜRETİM_İHTİYAÇ_RAPORU_BURAK_YENI1309[[#This Row],[SATINALMA]]*DST_123_ÜRETİM_İHTİYAÇ_RAPORU_BURAK_YENI1309[[#This Row],[BIRIM_FIYATLAR]])&lt;1,VALUE("0"),DST_123_ÜRETİM_İHTİYAÇ_RAPORU_BURAK_YENI1309[[#This Row],[SATINALMA]]*DST_123_ÜRETİM_İHTİYAÇ_RAPORU_BURAK_YENI1309[[#This Row],[BIRIM_FIYATLAR]])</f>
        <v>9</v>
      </c>
      <c r="N1822">
        <v>5</v>
      </c>
      <c r="P1822">
        <v>1</v>
      </c>
      <c r="Q1822" t="s">
        <v>221</v>
      </c>
    </row>
    <row r="1823" spans="1:17" x14ac:dyDescent="0.25">
      <c r="A1823" t="s">
        <v>1098</v>
      </c>
      <c r="B1823" t="s">
        <v>1096</v>
      </c>
      <c r="C1823" t="s">
        <v>175</v>
      </c>
      <c r="D1823" t="s">
        <v>23</v>
      </c>
      <c r="E1823" t="s">
        <v>304</v>
      </c>
      <c r="F1823">
        <v>1</v>
      </c>
      <c r="G1823" t="s">
        <v>176</v>
      </c>
      <c r="H1823">
        <v>0</v>
      </c>
      <c r="I1823">
        <v>0</v>
      </c>
      <c r="J1823" s="10">
        <v>7</v>
      </c>
      <c r="K1823" s="10">
        <f>SUMIFS(F:F,D:D,DST_123_ÜRETİM_İHTİYAÇ_RAPORU_BURAK_YENI1309[[#This Row],[ALT_KOD]])-(SUMIFS(H:H,D:D,DST_123_ÜRETİM_İHTİYAÇ_RAPORU_BURAK_YENI1309[[#This Row],[ALT_KOD]])+AVERAGEIFS(I:I,D:D,DST_123_ÜRETİM_İHTİYAÇ_RAPORU_BURAK_YENI1309[[#This Row],[ALT_KOD]])+AVERAGEIFS(L:L,D:D,DST_123_ÜRETİM_İHTİYAÇ_RAPORU_BURAK_YENI1309[[#This Row],[ALT_KOD]]))</f>
        <v>19</v>
      </c>
      <c r="L1823">
        <v>0</v>
      </c>
      <c r="M1823">
        <f>IF((DST_123_ÜRETİM_İHTİYAÇ_RAPORU_BURAK_YENI1309[[#This Row],[SATINALMA]]*DST_123_ÜRETİM_İHTİYAÇ_RAPORU_BURAK_YENI1309[[#This Row],[BIRIM_FIYATLAR]])&lt;1,VALUE("0"),DST_123_ÜRETİM_İHTİYAÇ_RAPORU_BURAK_YENI1309[[#This Row],[SATINALMA]]*DST_123_ÜRETİM_İHTİYAÇ_RAPORU_BURAK_YENI1309[[#This Row],[BIRIM_FIYATLAR]])</f>
        <v>760</v>
      </c>
      <c r="N1823">
        <v>40</v>
      </c>
      <c r="O1823" t="s">
        <v>635</v>
      </c>
      <c r="P1823">
        <v>40</v>
      </c>
      <c r="Q1823" t="s">
        <v>221</v>
      </c>
    </row>
    <row r="1824" spans="1:17" x14ac:dyDescent="0.25">
      <c r="A1824" t="s">
        <v>1064</v>
      </c>
      <c r="B1824" t="s">
        <v>1055</v>
      </c>
      <c r="C1824" t="s">
        <v>175</v>
      </c>
      <c r="D1824" t="s">
        <v>23</v>
      </c>
      <c r="E1824" t="s">
        <v>304</v>
      </c>
      <c r="F1824">
        <v>1</v>
      </c>
      <c r="G1824" t="s">
        <v>176</v>
      </c>
      <c r="H1824">
        <v>0</v>
      </c>
      <c r="I1824">
        <v>0</v>
      </c>
      <c r="J1824" s="10">
        <v>7</v>
      </c>
      <c r="K1824" s="10">
        <f>SUMIFS(F:F,D:D,DST_123_ÜRETİM_İHTİYAÇ_RAPORU_BURAK_YENI1309[[#This Row],[ALT_KOD]])-(SUMIFS(H:H,D:D,DST_123_ÜRETİM_İHTİYAÇ_RAPORU_BURAK_YENI1309[[#This Row],[ALT_KOD]])+AVERAGEIFS(I:I,D:D,DST_123_ÜRETİM_İHTİYAÇ_RAPORU_BURAK_YENI1309[[#This Row],[ALT_KOD]])+AVERAGEIFS(L:L,D:D,DST_123_ÜRETİM_İHTİYAÇ_RAPORU_BURAK_YENI1309[[#This Row],[ALT_KOD]]))</f>
        <v>19</v>
      </c>
      <c r="L1824">
        <v>0</v>
      </c>
      <c r="M1824">
        <f>IF((DST_123_ÜRETİM_İHTİYAÇ_RAPORU_BURAK_YENI1309[[#This Row],[SATINALMA]]*DST_123_ÜRETİM_İHTİYAÇ_RAPORU_BURAK_YENI1309[[#This Row],[BIRIM_FIYATLAR]])&lt;1,VALUE("0"),DST_123_ÜRETİM_İHTİYAÇ_RAPORU_BURAK_YENI1309[[#This Row],[SATINALMA]]*DST_123_ÜRETİM_İHTİYAÇ_RAPORU_BURAK_YENI1309[[#This Row],[BIRIM_FIYATLAR]])</f>
        <v>760</v>
      </c>
      <c r="N1824">
        <v>40</v>
      </c>
      <c r="O1824" t="s">
        <v>635</v>
      </c>
      <c r="P1824">
        <v>40</v>
      </c>
      <c r="Q1824" t="s">
        <v>221</v>
      </c>
    </row>
    <row r="1825" spans="1:17" x14ac:dyDescent="0.25">
      <c r="A1825" t="s">
        <v>1149</v>
      </c>
      <c r="B1825" t="s">
        <v>1145</v>
      </c>
      <c r="C1825" t="s">
        <v>175</v>
      </c>
      <c r="D1825" t="s">
        <v>9</v>
      </c>
      <c r="E1825" t="s">
        <v>10</v>
      </c>
      <c r="F1825">
        <v>4</v>
      </c>
      <c r="G1825" t="s">
        <v>176</v>
      </c>
      <c r="H1825">
        <v>0</v>
      </c>
      <c r="I1825">
        <v>39</v>
      </c>
      <c r="J1825" s="10">
        <v>32</v>
      </c>
      <c r="K1825" s="10">
        <f>SUMIFS(F:F,D:D,DST_123_ÜRETİM_İHTİYAÇ_RAPORU_BURAK_YENI1309[[#This Row],[ALT_KOD]])-(SUMIFS(H:H,D:D,DST_123_ÜRETİM_İHTİYAÇ_RAPORU_BURAK_YENI1309[[#This Row],[ALT_KOD]])+AVERAGEIFS(I:I,D:D,DST_123_ÜRETİM_İHTİYAÇ_RAPORU_BURAK_YENI1309[[#This Row],[ALT_KOD]])+AVERAGEIFS(L:L,D:D,DST_123_ÜRETİM_İHTİYAÇ_RAPORU_BURAK_YENI1309[[#This Row],[ALT_KOD]]))</f>
        <v>-11</v>
      </c>
      <c r="L1825">
        <v>0</v>
      </c>
      <c r="M1825">
        <f>IF((DST_123_ÜRETİM_İHTİYAÇ_RAPORU_BURAK_YENI1309[[#This Row],[SATINALMA]]*DST_123_ÜRETİM_İHTİYAÇ_RAPORU_BURAK_YENI1309[[#This Row],[BIRIM_FIYATLAR]])&lt;1,VALUE("0"),DST_123_ÜRETİM_İHTİYAÇ_RAPORU_BURAK_YENI1309[[#This Row],[SATINALMA]]*DST_123_ÜRETİM_İHTİYAÇ_RAPORU_BURAK_YENI1309[[#This Row],[BIRIM_FIYATLAR]])</f>
        <v>0</v>
      </c>
      <c r="N1825">
        <v>73.349999999999994</v>
      </c>
      <c r="O1825" t="s">
        <v>227</v>
      </c>
      <c r="P1825">
        <v>293.39999999999998</v>
      </c>
      <c r="Q1825" t="s">
        <v>221</v>
      </c>
    </row>
    <row r="1826" spans="1:17" x14ac:dyDescent="0.25">
      <c r="A1826" t="s">
        <v>1146</v>
      </c>
      <c r="B1826" t="s">
        <v>1145</v>
      </c>
      <c r="C1826" t="s">
        <v>175</v>
      </c>
      <c r="D1826" t="s">
        <v>9</v>
      </c>
      <c r="E1826" t="s">
        <v>10</v>
      </c>
      <c r="F1826">
        <v>4</v>
      </c>
      <c r="G1826" t="s">
        <v>176</v>
      </c>
      <c r="H1826">
        <v>4</v>
      </c>
      <c r="I1826">
        <v>39</v>
      </c>
      <c r="J1826" s="10">
        <v>32</v>
      </c>
      <c r="K1826" s="10">
        <f>SUMIFS(F:F,D:D,DST_123_ÜRETİM_İHTİYAÇ_RAPORU_BURAK_YENI1309[[#This Row],[ALT_KOD]])-(SUMIFS(H:H,D:D,DST_123_ÜRETİM_İHTİYAÇ_RAPORU_BURAK_YENI1309[[#This Row],[ALT_KOD]])+AVERAGEIFS(I:I,D:D,DST_123_ÜRETİM_İHTİYAÇ_RAPORU_BURAK_YENI1309[[#This Row],[ALT_KOD]])+AVERAGEIFS(L:L,D:D,DST_123_ÜRETİM_İHTİYAÇ_RAPORU_BURAK_YENI1309[[#This Row],[ALT_KOD]]))</f>
        <v>-11</v>
      </c>
      <c r="L1826">
        <v>0</v>
      </c>
      <c r="M1826">
        <f>IF((DST_123_ÜRETİM_İHTİYAÇ_RAPORU_BURAK_YENI1309[[#This Row],[SATINALMA]]*DST_123_ÜRETİM_İHTİYAÇ_RAPORU_BURAK_YENI1309[[#This Row],[BIRIM_FIYATLAR]])&lt;1,VALUE("0"),DST_123_ÜRETİM_İHTİYAÇ_RAPORU_BURAK_YENI1309[[#This Row],[SATINALMA]]*DST_123_ÜRETİM_İHTİYAÇ_RAPORU_BURAK_YENI1309[[#This Row],[BIRIM_FIYATLAR]])</f>
        <v>0</v>
      </c>
      <c r="N1826">
        <v>73.349999999999994</v>
      </c>
      <c r="O1826" t="s">
        <v>227</v>
      </c>
      <c r="P1826">
        <v>293.39999999999998</v>
      </c>
      <c r="Q1826" t="s">
        <v>221</v>
      </c>
    </row>
    <row r="1827" spans="1:17" x14ac:dyDescent="0.25">
      <c r="A1827" t="s">
        <v>1144</v>
      </c>
      <c r="B1827" t="s">
        <v>1145</v>
      </c>
      <c r="C1827" t="s">
        <v>175</v>
      </c>
      <c r="D1827" t="s">
        <v>11</v>
      </c>
      <c r="E1827" t="s">
        <v>12</v>
      </c>
      <c r="F1827">
        <v>1</v>
      </c>
      <c r="G1827" t="s">
        <v>176</v>
      </c>
      <c r="H1827">
        <v>0</v>
      </c>
      <c r="I1827">
        <v>24</v>
      </c>
      <c r="J1827" s="10">
        <v>9</v>
      </c>
      <c r="K1827" s="10">
        <f>SUMIFS(F:F,D:D,DST_123_ÜRETİM_İHTİYAÇ_RAPORU_BURAK_YENI1309[[#This Row],[ALT_KOD]])-(SUMIFS(H:H,D:D,DST_123_ÜRETİM_İHTİYAÇ_RAPORU_BURAK_YENI1309[[#This Row],[ALT_KOD]])+AVERAGEIFS(I:I,D:D,DST_123_ÜRETİM_İHTİYAÇ_RAPORU_BURAK_YENI1309[[#This Row],[ALT_KOD]])+AVERAGEIFS(L:L,D:D,DST_123_ÜRETİM_İHTİYAÇ_RAPORU_BURAK_YENI1309[[#This Row],[ALT_KOD]]))</f>
        <v>-21</v>
      </c>
      <c r="L1827">
        <v>0</v>
      </c>
      <c r="M1827">
        <f>IF((DST_123_ÜRETİM_İHTİYAÇ_RAPORU_BURAK_YENI1309[[#This Row],[SATINALMA]]*DST_123_ÜRETİM_İHTİYAÇ_RAPORU_BURAK_YENI1309[[#This Row],[BIRIM_FIYATLAR]])&lt;1,VALUE("0"),DST_123_ÜRETİM_İHTİYAÇ_RAPORU_BURAK_YENI1309[[#This Row],[SATINALMA]]*DST_123_ÜRETİM_İHTİYAÇ_RAPORU_BURAK_YENI1309[[#This Row],[BIRIM_FIYATLAR]])</f>
        <v>0</v>
      </c>
      <c r="N1827">
        <v>368.07</v>
      </c>
      <c r="O1827" t="s">
        <v>589</v>
      </c>
      <c r="P1827">
        <v>368.07</v>
      </c>
      <c r="Q1827" t="s">
        <v>221</v>
      </c>
    </row>
    <row r="1828" spans="1:17" x14ac:dyDescent="0.25">
      <c r="A1828" t="s">
        <v>1144</v>
      </c>
      <c r="B1828" t="s">
        <v>1145</v>
      </c>
      <c r="C1828" t="s">
        <v>175</v>
      </c>
      <c r="D1828" t="s">
        <v>204</v>
      </c>
      <c r="E1828" t="s">
        <v>205</v>
      </c>
      <c r="F1828">
        <v>0.5</v>
      </c>
      <c r="G1828" t="s">
        <v>176</v>
      </c>
      <c r="H1828">
        <v>0</v>
      </c>
      <c r="I1828">
        <v>100</v>
      </c>
      <c r="J1828" s="10">
        <v>41</v>
      </c>
      <c r="K1828" s="10">
        <f>SUMIFS(F:F,D:D,DST_123_ÜRETİM_İHTİYAÇ_RAPORU_BURAK_YENI1309[[#This Row],[ALT_KOD]])-(SUMIFS(H:H,D:D,DST_123_ÜRETİM_İHTİYAÇ_RAPORU_BURAK_YENI1309[[#This Row],[ALT_KOD]])+AVERAGEIFS(I:I,D:D,DST_123_ÜRETİM_İHTİYAÇ_RAPORU_BURAK_YENI1309[[#This Row],[ALT_KOD]])+AVERAGEIFS(L:L,D:D,DST_123_ÜRETİM_İHTİYAÇ_RAPORU_BURAK_YENI1309[[#This Row],[ALT_KOD]]))</f>
        <v>-89.5</v>
      </c>
      <c r="L1828">
        <v>0</v>
      </c>
      <c r="M1828">
        <f>IF((DST_123_ÜRETİM_İHTİYAÇ_RAPORU_BURAK_YENI1309[[#This Row],[SATINALMA]]*DST_123_ÜRETİM_İHTİYAÇ_RAPORU_BURAK_YENI1309[[#This Row],[BIRIM_FIYATLAR]])&lt;1,VALUE("0"),DST_123_ÜRETİM_İHTİYAÇ_RAPORU_BURAK_YENI1309[[#This Row],[SATINALMA]]*DST_123_ÜRETİM_İHTİYAÇ_RAPORU_BURAK_YENI1309[[#This Row],[BIRIM_FIYATLAR]])</f>
        <v>0</v>
      </c>
      <c r="N1828">
        <v>60</v>
      </c>
      <c r="O1828" t="s">
        <v>220</v>
      </c>
      <c r="P1828">
        <v>30</v>
      </c>
      <c r="Q1828" t="s">
        <v>180</v>
      </c>
    </row>
    <row r="1829" spans="1:17" x14ac:dyDescent="0.25">
      <c r="A1829" t="s">
        <v>1146</v>
      </c>
      <c r="B1829" t="s">
        <v>1145</v>
      </c>
      <c r="C1829" t="s">
        <v>175</v>
      </c>
      <c r="D1829" t="s">
        <v>204</v>
      </c>
      <c r="E1829" t="s">
        <v>205</v>
      </c>
      <c r="F1829">
        <v>0.5</v>
      </c>
      <c r="G1829" t="s">
        <v>176</v>
      </c>
      <c r="H1829">
        <v>0</v>
      </c>
      <c r="I1829">
        <v>100</v>
      </c>
      <c r="J1829" s="10">
        <v>41</v>
      </c>
      <c r="K1829" s="10">
        <f>SUMIFS(F:F,D:D,DST_123_ÜRETİM_İHTİYAÇ_RAPORU_BURAK_YENI1309[[#This Row],[ALT_KOD]])-(SUMIFS(H:H,D:D,DST_123_ÜRETİM_İHTİYAÇ_RAPORU_BURAK_YENI1309[[#This Row],[ALT_KOD]])+AVERAGEIFS(I:I,D:D,DST_123_ÜRETİM_İHTİYAÇ_RAPORU_BURAK_YENI1309[[#This Row],[ALT_KOD]])+AVERAGEIFS(L:L,D:D,DST_123_ÜRETİM_İHTİYAÇ_RAPORU_BURAK_YENI1309[[#This Row],[ALT_KOD]]))</f>
        <v>-89.5</v>
      </c>
      <c r="L1829">
        <v>0</v>
      </c>
      <c r="M1829">
        <f>IF((DST_123_ÜRETİM_İHTİYAÇ_RAPORU_BURAK_YENI1309[[#This Row],[SATINALMA]]*DST_123_ÜRETİM_İHTİYAÇ_RAPORU_BURAK_YENI1309[[#This Row],[BIRIM_FIYATLAR]])&lt;1,VALUE("0"),DST_123_ÜRETİM_İHTİYAÇ_RAPORU_BURAK_YENI1309[[#This Row],[SATINALMA]]*DST_123_ÜRETİM_İHTİYAÇ_RAPORU_BURAK_YENI1309[[#This Row],[BIRIM_FIYATLAR]])</f>
        <v>0</v>
      </c>
      <c r="N1829">
        <v>60</v>
      </c>
      <c r="O1829" t="s">
        <v>220</v>
      </c>
      <c r="P1829">
        <v>30</v>
      </c>
      <c r="Q1829" t="s">
        <v>180</v>
      </c>
    </row>
    <row r="1830" spans="1:17" x14ac:dyDescent="0.25">
      <c r="A1830" t="s">
        <v>1149</v>
      </c>
      <c r="B1830" t="s">
        <v>1145</v>
      </c>
      <c r="C1830" t="s">
        <v>175</v>
      </c>
      <c r="D1830" t="s">
        <v>206</v>
      </c>
      <c r="E1830" t="s">
        <v>280</v>
      </c>
      <c r="F1830">
        <v>0.5099999999999999</v>
      </c>
      <c r="G1830" t="s">
        <v>176</v>
      </c>
      <c r="H1830">
        <v>0</v>
      </c>
      <c r="I1830">
        <v>10</v>
      </c>
      <c r="J1830" s="10">
        <v>126.66400000000034</v>
      </c>
      <c r="K1830" s="10">
        <f>SUMIFS(F:F,D:D,DST_123_ÜRETİM_İHTİYAÇ_RAPORU_BURAK_YENI1309[[#This Row],[ALT_KOD]])-(SUMIFS(H:H,D:D,DST_123_ÜRETİM_İHTİYAÇ_RAPORU_BURAK_YENI1309[[#This Row],[ALT_KOD]])+AVERAGEIFS(I:I,D:D,DST_123_ÜRETİM_İHTİYAÇ_RAPORU_BURAK_YENI1309[[#This Row],[ALT_KOD]])+AVERAGEIFS(L:L,D:D,DST_123_ÜRETİM_İHTİYAÇ_RAPORU_BURAK_YENI1309[[#This Row],[ALT_KOD]]))</f>
        <v>-1.1600000000000001</v>
      </c>
      <c r="L1830">
        <v>0</v>
      </c>
      <c r="M1830">
        <f>IF((DST_123_ÜRETİM_İHTİYAÇ_RAPORU_BURAK_YENI1309[[#This Row],[SATINALMA]]*DST_123_ÜRETİM_İHTİYAÇ_RAPORU_BURAK_YENI1309[[#This Row],[BIRIM_FIYATLAR]])&lt;1,VALUE("0"),DST_123_ÜRETİM_İHTİYAÇ_RAPORU_BURAK_YENI1309[[#This Row],[SATINALMA]]*DST_123_ÜRETİM_İHTİYAÇ_RAPORU_BURAK_YENI1309[[#This Row],[BIRIM_FIYATLAR]])</f>
        <v>0</v>
      </c>
      <c r="N1830">
        <v>185</v>
      </c>
      <c r="O1830" t="s">
        <v>240</v>
      </c>
      <c r="P1830">
        <v>94.34999999999998</v>
      </c>
      <c r="Q1830" t="s">
        <v>180</v>
      </c>
    </row>
    <row r="1831" spans="1:17" x14ac:dyDescent="0.25">
      <c r="A1831" t="s">
        <v>1144</v>
      </c>
      <c r="B1831" t="s">
        <v>1145</v>
      </c>
      <c r="C1831" t="s">
        <v>175</v>
      </c>
      <c r="D1831" t="s">
        <v>206</v>
      </c>
      <c r="E1831" t="s">
        <v>280</v>
      </c>
      <c r="F1831">
        <v>1.51</v>
      </c>
      <c r="G1831" t="s">
        <v>176</v>
      </c>
      <c r="H1831">
        <v>0</v>
      </c>
      <c r="I1831">
        <v>10</v>
      </c>
      <c r="J1831" s="10">
        <v>126.66400000000034</v>
      </c>
      <c r="K1831" s="10">
        <f>SUMIFS(F:F,D:D,DST_123_ÜRETİM_İHTİYAÇ_RAPORU_BURAK_YENI1309[[#This Row],[ALT_KOD]])-(SUMIFS(H:H,D:D,DST_123_ÜRETİM_İHTİYAÇ_RAPORU_BURAK_YENI1309[[#This Row],[ALT_KOD]])+AVERAGEIFS(I:I,D:D,DST_123_ÜRETİM_İHTİYAÇ_RAPORU_BURAK_YENI1309[[#This Row],[ALT_KOD]])+AVERAGEIFS(L:L,D:D,DST_123_ÜRETİM_İHTİYAÇ_RAPORU_BURAK_YENI1309[[#This Row],[ALT_KOD]]))</f>
        <v>-1.1600000000000001</v>
      </c>
      <c r="L1831">
        <v>0</v>
      </c>
      <c r="M1831">
        <f>IF((DST_123_ÜRETİM_İHTİYAÇ_RAPORU_BURAK_YENI1309[[#This Row],[SATINALMA]]*DST_123_ÜRETİM_İHTİYAÇ_RAPORU_BURAK_YENI1309[[#This Row],[BIRIM_FIYATLAR]])&lt;1,VALUE("0"),DST_123_ÜRETİM_İHTİYAÇ_RAPORU_BURAK_YENI1309[[#This Row],[SATINALMA]]*DST_123_ÜRETİM_İHTİYAÇ_RAPORU_BURAK_YENI1309[[#This Row],[BIRIM_FIYATLAR]])</f>
        <v>0</v>
      </c>
      <c r="N1831">
        <v>185</v>
      </c>
      <c r="O1831" t="s">
        <v>240</v>
      </c>
      <c r="P1831">
        <v>279.35000000000002</v>
      </c>
      <c r="Q1831" t="s">
        <v>180</v>
      </c>
    </row>
    <row r="1832" spans="1:17" x14ac:dyDescent="0.25">
      <c r="A1832" t="s">
        <v>1149</v>
      </c>
      <c r="B1832" t="s">
        <v>1145</v>
      </c>
      <c r="C1832" t="s">
        <v>175</v>
      </c>
      <c r="D1832" t="s">
        <v>344</v>
      </c>
      <c r="E1832" t="s">
        <v>345</v>
      </c>
      <c r="F1832">
        <v>3</v>
      </c>
      <c r="G1832" t="s">
        <v>176</v>
      </c>
      <c r="H1832">
        <v>0</v>
      </c>
      <c r="I1832">
        <v>228</v>
      </c>
      <c r="J1832" s="10">
        <v>4.2632564145606011E-14</v>
      </c>
      <c r="K1832" s="10">
        <f>SUMIFS(F:F,D:D,DST_123_ÜRETİM_İHTİYAÇ_RAPORU_BURAK_YENI1309[[#This Row],[ALT_KOD]])-(SUMIFS(H:H,D:D,DST_123_ÜRETİM_İHTİYAÇ_RAPORU_BURAK_YENI1309[[#This Row],[ALT_KOD]])+AVERAGEIFS(I:I,D:D,DST_123_ÜRETİM_İHTİYAÇ_RAPORU_BURAK_YENI1309[[#This Row],[ALT_KOD]])+AVERAGEIFS(L:L,D:D,DST_123_ÜRETİM_İHTİYAÇ_RAPORU_BURAK_YENI1309[[#This Row],[ALT_KOD]]))</f>
        <v>-186</v>
      </c>
      <c r="L1832">
        <v>0</v>
      </c>
      <c r="M1832">
        <f>IF((DST_123_ÜRETİM_İHTİYAÇ_RAPORU_BURAK_YENI1309[[#This Row],[SATINALMA]]*DST_123_ÜRETİM_İHTİYAÇ_RAPORU_BURAK_YENI1309[[#This Row],[BIRIM_FIYATLAR]])&lt;1,VALUE("0"),DST_123_ÜRETİM_İHTİYAÇ_RAPORU_BURAK_YENI1309[[#This Row],[SATINALMA]]*DST_123_ÜRETİM_İHTİYAÇ_RAPORU_BURAK_YENI1309[[#This Row],[BIRIM_FIYATLAR]])</f>
        <v>0</v>
      </c>
      <c r="N1832">
        <v>6</v>
      </c>
      <c r="O1832" t="s">
        <v>346</v>
      </c>
      <c r="P1832">
        <v>18</v>
      </c>
      <c r="Q1832" t="s">
        <v>180</v>
      </c>
    </row>
    <row r="1833" spans="1:17" x14ac:dyDescent="0.25">
      <c r="A1833" t="s">
        <v>1144</v>
      </c>
      <c r="B1833" t="s">
        <v>1145</v>
      </c>
      <c r="C1833" t="s">
        <v>175</v>
      </c>
      <c r="D1833" t="s">
        <v>344</v>
      </c>
      <c r="E1833" t="s">
        <v>345</v>
      </c>
      <c r="F1833">
        <v>3</v>
      </c>
      <c r="G1833" t="s">
        <v>176</v>
      </c>
      <c r="H1833">
        <v>0</v>
      </c>
      <c r="I1833">
        <v>228</v>
      </c>
      <c r="J1833" s="10">
        <v>4.2632564145606011E-14</v>
      </c>
      <c r="K1833" s="10">
        <f>SUMIFS(F:F,D:D,DST_123_ÜRETİM_İHTİYAÇ_RAPORU_BURAK_YENI1309[[#This Row],[ALT_KOD]])-(SUMIFS(H:H,D:D,DST_123_ÜRETİM_İHTİYAÇ_RAPORU_BURAK_YENI1309[[#This Row],[ALT_KOD]])+AVERAGEIFS(I:I,D:D,DST_123_ÜRETİM_İHTİYAÇ_RAPORU_BURAK_YENI1309[[#This Row],[ALT_KOD]])+AVERAGEIFS(L:L,D:D,DST_123_ÜRETİM_İHTİYAÇ_RAPORU_BURAK_YENI1309[[#This Row],[ALT_KOD]]))</f>
        <v>-186</v>
      </c>
      <c r="L1833">
        <v>0</v>
      </c>
      <c r="M1833">
        <f>IF((DST_123_ÜRETİM_İHTİYAÇ_RAPORU_BURAK_YENI1309[[#This Row],[SATINALMA]]*DST_123_ÜRETİM_İHTİYAÇ_RAPORU_BURAK_YENI1309[[#This Row],[BIRIM_FIYATLAR]])&lt;1,VALUE("0"),DST_123_ÜRETİM_İHTİYAÇ_RAPORU_BURAK_YENI1309[[#This Row],[SATINALMA]]*DST_123_ÜRETİM_İHTİYAÇ_RAPORU_BURAK_YENI1309[[#This Row],[BIRIM_FIYATLAR]])</f>
        <v>0</v>
      </c>
      <c r="N1833">
        <v>6</v>
      </c>
      <c r="O1833" t="s">
        <v>346</v>
      </c>
      <c r="P1833">
        <v>18</v>
      </c>
      <c r="Q1833" t="s">
        <v>180</v>
      </c>
    </row>
    <row r="1834" spans="1:17" x14ac:dyDescent="0.25">
      <c r="A1834" t="s">
        <v>1146</v>
      </c>
      <c r="B1834" t="s">
        <v>1145</v>
      </c>
      <c r="C1834" t="s">
        <v>175</v>
      </c>
      <c r="D1834" t="s">
        <v>344</v>
      </c>
      <c r="E1834" t="s">
        <v>345</v>
      </c>
      <c r="F1834">
        <v>2</v>
      </c>
      <c r="G1834" t="s">
        <v>176</v>
      </c>
      <c r="H1834">
        <v>0</v>
      </c>
      <c r="I1834">
        <v>228</v>
      </c>
      <c r="J1834" s="10">
        <v>4.2632564145606011E-14</v>
      </c>
      <c r="K1834" s="10">
        <f>SUMIFS(F:F,D:D,DST_123_ÜRETİM_İHTİYAÇ_RAPORU_BURAK_YENI1309[[#This Row],[ALT_KOD]])-(SUMIFS(H:H,D:D,DST_123_ÜRETİM_İHTİYAÇ_RAPORU_BURAK_YENI1309[[#This Row],[ALT_KOD]])+AVERAGEIFS(I:I,D:D,DST_123_ÜRETİM_İHTİYAÇ_RAPORU_BURAK_YENI1309[[#This Row],[ALT_KOD]])+AVERAGEIFS(L:L,D:D,DST_123_ÜRETİM_İHTİYAÇ_RAPORU_BURAK_YENI1309[[#This Row],[ALT_KOD]]))</f>
        <v>-186</v>
      </c>
      <c r="L1834">
        <v>0</v>
      </c>
      <c r="M1834">
        <f>IF((DST_123_ÜRETİM_İHTİYAÇ_RAPORU_BURAK_YENI1309[[#This Row],[SATINALMA]]*DST_123_ÜRETİM_İHTİYAÇ_RAPORU_BURAK_YENI1309[[#This Row],[BIRIM_FIYATLAR]])&lt;1,VALUE("0"),DST_123_ÜRETİM_İHTİYAÇ_RAPORU_BURAK_YENI1309[[#This Row],[SATINALMA]]*DST_123_ÜRETİM_İHTİYAÇ_RAPORU_BURAK_YENI1309[[#This Row],[BIRIM_FIYATLAR]])</f>
        <v>0</v>
      </c>
      <c r="N1834">
        <v>6</v>
      </c>
      <c r="O1834" t="s">
        <v>346</v>
      </c>
      <c r="P1834">
        <v>12</v>
      </c>
      <c r="Q1834" t="s">
        <v>180</v>
      </c>
    </row>
    <row r="1835" spans="1:17" x14ac:dyDescent="0.25">
      <c r="A1835" t="s">
        <v>1149</v>
      </c>
      <c r="B1835" t="s">
        <v>1145</v>
      </c>
      <c r="C1835" t="s">
        <v>175</v>
      </c>
      <c r="D1835" t="s">
        <v>418</v>
      </c>
      <c r="E1835" t="s">
        <v>1221</v>
      </c>
      <c r="F1835">
        <v>5</v>
      </c>
      <c r="G1835" t="s">
        <v>176</v>
      </c>
      <c r="H1835">
        <v>0</v>
      </c>
      <c r="I1835">
        <v>148</v>
      </c>
      <c r="J1835" s="10">
        <v>59</v>
      </c>
      <c r="K1835" s="10">
        <f>SUMIFS(F:F,D:D,DST_123_ÜRETİM_İHTİYAÇ_RAPORU_BURAK_YENI1309[[#This Row],[ALT_KOD]])-(SUMIFS(H:H,D:D,DST_123_ÜRETİM_İHTİYAÇ_RAPORU_BURAK_YENI1309[[#This Row],[ALT_KOD]])+AVERAGEIFS(I:I,D:D,DST_123_ÜRETİM_İHTİYAÇ_RAPORU_BURAK_YENI1309[[#This Row],[ALT_KOD]])+AVERAGEIFS(L:L,D:D,DST_123_ÜRETİM_İHTİYAÇ_RAPORU_BURAK_YENI1309[[#This Row],[ALT_KOD]]))</f>
        <v>-33</v>
      </c>
      <c r="L1835">
        <v>0</v>
      </c>
      <c r="M1835">
        <f>IF((DST_123_ÜRETİM_İHTİYAÇ_RAPORU_BURAK_YENI1309[[#This Row],[SATINALMA]]*DST_123_ÜRETİM_İHTİYAÇ_RAPORU_BURAK_YENI1309[[#This Row],[BIRIM_FIYATLAR]])&lt;1,VALUE("0"),DST_123_ÜRETİM_İHTİYAÇ_RAPORU_BURAK_YENI1309[[#This Row],[SATINALMA]]*DST_123_ÜRETİM_İHTİYAÇ_RAPORU_BURAK_YENI1309[[#This Row],[BIRIM_FIYATLAR]])</f>
        <v>0</v>
      </c>
      <c r="N1835">
        <v>24.17</v>
      </c>
      <c r="O1835" t="s">
        <v>628</v>
      </c>
      <c r="P1835">
        <v>120.85000000000001</v>
      </c>
      <c r="Q1835" t="s">
        <v>180</v>
      </c>
    </row>
    <row r="1836" spans="1:17" x14ac:dyDescent="0.25">
      <c r="A1836" t="s">
        <v>1146</v>
      </c>
      <c r="B1836" t="s">
        <v>1145</v>
      </c>
      <c r="C1836" t="s">
        <v>175</v>
      </c>
      <c r="D1836" t="s">
        <v>418</v>
      </c>
      <c r="E1836" t="s">
        <v>1221</v>
      </c>
      <c r="F1836">
        <v>5</v>
      </c>
      <c r="G1836" t="s">
        <v>176</v>
      </c>
      <c r="H1836">
        <v>0</v>
      </c>
      <c r="I1836">
        <v>148</v>
      </c>
      <c r="J1836" s="10">
        <v>59</v>
      </c>
      <c r="K1836" s="10">
        <f>SUMIFS(F:F,D:D,DST_123_ÜRETİM_İHTİYAÇ_RAPORU_BURAK_YENI1309[[#This Row],[ALT_KOD]])-(SUMIFS(H:H,D:D,DST_123_ÜRETİM_İHTİYAÇ_RAPORU_BURAK_YENI1309[[#This Row],[ALT_KOD]])+AVERAGEIFS(I:I,D:D,DST_123_ÜRETİM_İHTİYAÇ_RAPORU_BURAK_YENI1309[[#This Row],[ALT_KOD]])+AVERAGEIFS(L:L,D:D,DST_123_ÜRETİM_İHTİYAÇ_RAPORU_BURAK_YENI1309[[#This Row],[ALT_KOD]]))</f>
        <v>-33</v>
      </c>
      <c r="L1836">
        <v>0</v>
      </c>
      <c r="M1836">
        <f>IF((DST_123_ÜRETİM_İHTİYAÇ_RAPORU_BURAK_YENI1309[[#This Row],[SATINALMA]]*DST_123_ÜRETİM_İHTİYAÇ_RAPORU_BURAK_YENI1309[[#This Row],[BIRIM_FIYATLAR]])&lt;1,VALUE("0"),DST_123_ÜRETİM_İHTİYAÇ_RAPORU_BURAK_YENI1309[[#This Row],[SATINALMA]]*DST_123_ÜRETİM_İHTİYAÇ_RAPORU_BURAK_YENI1309[[#This Row],[BIRIM_FIYATLAR]])</f>
        <v>0</v>
      </c>
      <c r="N1836">
        <v>24.17</v>
      </c>
      <c r="O1836" t="s">
        <v>628</v>
      </c>
      <c r="P1836">
        <v>120.85000000000001</v>
      </c>
      <c r="Q1836" t="s">
        <v>180</v>
      </c>
    </row>
    <row r="1837" spans="1:17" x14ac:dyDescent="0.25">
      <c r="A1837" t="s">
        <v>1179</v>
      </c>
      <c r="B1837" t="s">
        <v>1180</v>
      </c>
      <c r="C1837" t="s">
        <v>175</v>
      </c>
      <c r="D1837" t="s">
        <v>1200</v>
      </c>
      <c r="E1837" t="s">
        <v>1201</v>
      </c>
      <c r="F1837">
        <v>23.209999999999997</v>
      </c>
      <c r="G1837" t="s">
        <v>185</v>
      </c>
      <c r="H1837">
        <v>0</v>
      </c>
      <c r="I1837">
        <v>0</v>
      </c>
      <c r="J1837" s="10">
        <v>-2.2026824808563106E-13</v>
      </c>
      <c r="K1837" s="10">
        <f>SUMIFS(F:F,D:D,DST_123_ÜRETİM_İHTİYAÇ_RAPORU_BURAK_YENI1309[[#This Row],[ALT_KOD]])-(SUMIFS(H:H,D:D,DST_123_ÜRETİM_İHTİYAÇ_RAPORU_BURAK_YENI1309[[#This Row],[ALT_KOD]])+AVERAGEIFS(I:I,D:D,DST_123_ÜRETİM_İHTİYAÇ_RAPORU_BURAK_YENI1309[[#This Row],[ALT_KOD]])+AVERAGEIFS(L:L,D:D,DST_123_ÜRETİM_İHTİYAÇ_RAPORU_BURAK_YENI1309[[#This Row],[ALT_KOD]]))</f>
        <v>23.209999999999997</v>
      </c>
      <c r="L1837">
        <v>0</v>
      </c>
      <c r="M1837">
        <f>IF((DST_123_ÜRETİM_İHTİYAÇ_RAPORU_BURAK_YENI1309[[#This Row],[SATINALMA]]*DST_123_ÜRETİM_İHTİYAÇ_RAPORU_BURAK_YENI1309[[#This Row],[BIRIM_FIYATLAR]])&lt;1,VALUE("0"),DST_123_ÜRETİM_İHTİYAÇ_RAPORU_BURAK_YENI1309[[#This Row],[SATINALMA]]*DST_123_ÜRETİM_İHTİYAÇ_RAPORU_BURAK_YENI1309[[#This Row],[BIRIM_FIYATLAR]])</f>
        <v>2800.9827999999998</v>
      </c>
      <c r="N1837">
        <v>120.68</v>
      </c>
      <c r="O1837" t="s">
        <v>490</v>
      </c>
      <c r="P1837">
        <v>2800.9827999999998</v>
      </c>
      <c r="Q1837" t="s">
        <v>183</v>
      </c>
    </row>
    <row r="1838" spans="1:17" x14ac:dyDescent="0.25">
      <c r="A1838" t="s">
        <v>1060</v>
      </c>
      <c r="B1838" t="s">
        <v>1061</v>
      </c>
      <c r="C1838" t="s">
        <v>175</v>
      </c>
      <c r="D1838" t="s">
        <v>103</v>
      </c>
      <c r="E1838" t="s">
        <v>288</v>
      </c>
      <c r="F1838">
        <v>0.5</v>
      </c>
      <c r="G1838" t="s">
        <v>176</v>
      </c>
      <c r="H1838">
        <v>0</v>
      </c>
      <c r="I1838">
        <v>87</v>
      </c>
      <c r="J1838" s="10">
        <v>50.899999999999949</v>
      </c>
      <c r="K1838" s="10">
        <f>SUMIFS(F:F,D:D,DST_123_ÜRETİM_İHTİYAÇ_RAPORU_BURAK_YENI1309[[#This Row],[ALT_KOD]])-(SUMIFS(H:H,D:D,DST_123_ÜRETİM_İHTİYAÇ_RAPORU_BURAK_YENI1309[[#This Row],[ALT_KOD]])+AVERAGEIFS(I:I,D:D,DST_123_ÜRETİM_İHTİYAÇ_RAPORU_BURAK_YENI1309[[#This Row],[ALT_KOD]])+AVERAGEIFS(L:L,D:D,DST_123_ÜRETİM_İHTİYAÇ_RAPORU_BURAK_YENI1309[[#This Row],[ALT_KOD]]))</f>
        <v>-43.900000000000006</v>
      </c>
      <c r="L1838">
        <v>0</v>
      </c>
      <c r="M1838">
        <f>IF((DST_123_ÜRETİM_İHTİYAÇ_RAPORU_BURAK_YENI1309[[#This Row],[SATINALMA]]*DST_123_ÜRETİM_İHTİYAÇ_RAPORU_BURAK_YENI1309[[#This Row],[BIRIM_FIYATLAR]])&lt;1,VALUE("0"),DST_123_ÜRETİM_İHTİYAÇ_RAPORU_BURAK_YENI1309[[#This Row],[SATINALMA]]*DST_123_ÜRETİM_İHTİYAÇ_RAPORU_BURAK_YENI1309[[#This Row],[BIRIM_FIYATLAR]])</f>
        <v>0</v>
      </c>
      <c r="N1838">
        <v>122.09</v>
      </c>
      <c r="O1838" t="s">
        <v>250</v>
      </c>
      <c r="P1838">
        <v>61.045000000000002</v>
      </c>
      <c r="Q1838" t="s">
        <v>180</v>
      </c>
    </row>
    <row r="1839" spans="1:17" x14ac:dyDescent="0.25">
      <c r="A1839" t="s">
        <v>1148</v>
      </c>
      <c r="B1839" t="s">
        <v>1056</v>
      </c>
      <c r="C1839" t="s">
        <v>175</v>
      </c>
      <c r="D1839" t="s">
        <v>103</v>
      </c>
      <c r="E1839" t="s">
        <v>288</v>
      </c>
      <c r="F1839">
        <v>6.3</v>
      </c>
      <c r="G1839" t="s">
        <v>176</v>
      </c>
      <c r="H1839">
        <v>0</v>
      </c>
      <c r="I1839">
        <v>87</v>
      </c>
      <c r="J1839" s="10">
        <v>50.899999999999949</v>
      </c>
      <c r="K1839" s="10">
        <f>SUMIFS(F:F,D:D,DST_123_ÜRETİM_İHTİYAÇ_RAPORU_BURAK_YENI1309[[#This Row],[ALT_KOD]])-(SUMIFS(H:H,D:D,DST_123_ÜRETİM_İHTİYAÇ_RAPORU_BURAK_YENI1309[[#This Row],[ALT_KOD]])+AVERAGEIFS(I:I,D:D,DST_123_ÜRETİM_İHTİYAÇ_RAPORU_BURAK_YENI1309[[#This Row],[ALT_KOD]])+AVERAGEIFS(L:L,D:D,DST_123_ÜRETİM_İHTİYAÇ_RAPORU_BURAK_YENI1309[[#This Row],[ALT_KOD]]))</f>
        <v>-43.900000000000006</v>
      </c>
      <c r="L1839">
        <v>0</v>
      </c>
      <c r="M1839">
        <f>IF((DST_123_ÜRETİM_İHTİYAÇ_RAPORU_BURAK_YENI1309[[#This Row],[SATINALMA]]*DST_123_ÜRETİM_İHTİYAÇ_RAPORU_BURAK_YENI1309[[#This Row],[BIRIM_FIYATLAR]])&lt;1,VALUE("0"),DST_123_ÜRETİM_İHTİYAÇ_RAPORU_BURAK_YENI1309[[#This Row],[SATINALMA]]*DST_123_ÜRETİM_İHTİYAÇ_RAPORU_BURAK_YENI1309[[#This Row],[BIRIM_FIYATLAR]])</f>
        <v>0</v>
      </c>
      <c r="N1839">
        <v>122.09</v>
      </c>
      <c r="O1839" t="s">
        <v>250</v>
      </c>
      <c r="P1839">
        <v>769.16700000000003</v>
      </c>
      <c r="Q1839" t="s">
        <v>180</v>
      </c>
    </row>
    <row r="1840" spans="1:17" x14ac:dyDescent="0.25">
      <c r="A1840" t="s">
        <v>1150</v>
      </c>
      <c r="B1840" t="s">
        <v>1145</v>
      </c>
      <c r="C1840" t="s">
        <v>175</v>
      </c>
      <c r="D1840" t="s">
        <v>103</v>
      </c>
      <c r="E1840" t="s">
        <v>288</v>
      </c>
      <c r="F1840">
        <v>1</v>
      </c>
      <c r="G1840" t="s">
        <v>176</v>
      </c>
      <c r="H1840">
        <v>0</v>
      </c>
      <c r="I1840">
        <v>87</v>
      </c>
      <c r="J1840" s="10">
        <v>50.899999999999949</v>
      </c>
      <c r="K1840" s="10">
        <f>SUMIFS(F:F,D:D,DST_123_ÜRETİM_İHTİYAÇ_RAPORU_BURAK_YENI1309[[#This Row],[ALT_KOD]])-(SUMIFS(H:H,D:D,DST_123_ÜRETİM_İHTİYAÇ_RAPORU_BURAK_YENI1309[[#This Row],[ALT_KOD]])+AVERAGEIFS(I:I,D:D,DST_123_ÜRETİM_İHTİYAÇ_RAPORU_BURAK_YENI1309[[#This Row],[ALT_KOD]])+AVERAGEIFS(L:L,D:D,DST_123_ÜRETİM_İHTİYAÇ_RAPORU_BURAK_YENI1309[[#This Row],[ALT_KOD]]))</f>
        <v>-43.900000000000006</v>
      </c>
      <c r="L1840">
        <v>0</v>
      </c>
      <c r="M1840">
        <f>IF((DST_123_ÜRETİM_İHTİYAÇ_RAPORU_BURAK_YENI1309[[#This Row],[SATINALMA]]*DST_123_ÜRETİM_İHTİYAÇ_RAPORU_BURAK_YENI1309[[#This Row],[BIRIM_FIYATLAR]])&lt;1,VALUE("0"),DST_123_ÜRETİM_İHTİYAÇ_RAPORU_BURAK_YENI1309[[#This Row],[SATINALMA]]*DST_123_ÜRETİM_İHTİYAÇ_RAPORU_BURAK_YENI1309[[#This Row],[BIRIM_FIYATLAR]])</f>
        <v>0</v>
      </c>
      <c r="N1840">
        <v>122.09</v>
      </c>
      <c r="O1840" t="s">
        <v>250</v>
      </c>
      <c r="P1840">
        <v>122.09</v>
      </c>
      <c r="Q1840" t="s">
        <v>180</v>
      </c>
    </row>
    <row r="1841" spans="1:17" x14ac:dyDescent="0.25">
      <c r="A1841" t="s">
        <v>1149</v>
      </c>
      <c r="B1841" t="s">
        <v>1145</v>
      </c>
      <c r="C1841" t="s">
        <v>175</v>
      </c>
      <c r="D1841" t="s">
        <v>256</v>
      </c>
      <c r="E1841" t="s">
        <v>257</v>
      </c>
      <c r="F1841">
        <v>1.5</v>
      </c>
      <c r="G1841" t="s">
        <v>176</v>
      </c>
      <c r="H1841">
        <v>0</v>
      </c>
      <c r="I1841">
        <v>14</v>
      </c>
      <c r="J1841" s="10">
        <v>6.8000000000000025</v>
      </c>
      <c r="K1841" s="10">
        <f>SUMIFS(F:F,D:D,DST_123_ÜRETİM_İHTİYAÇ_RAPORU_BURAK_YENI1309[[#This Row],[ALT_KOD]])-(SUMIFS(H:H,D:D,DST_123_ÜRETİM_İHTİYAÇ_RAPORU_BURAK_YENI1309[[#This Row],[ALT_KOD]])+AVERAGEIFS(I:I,D:D,DST_123_ÜRETİM_İHTİYAÇ_RAPORU_BURAK_YENI1309[[#This Row],[ALT_KOD]])+AVERAGEIFS(L:L,D:D,DST_123_ÜRETİM_İHTİYAÇ_RAPORU_BURAK_YENI1309[[#This Row],[ALT_KOD]]))</f>
        <v>7.7000000000000028</v>
      </c>
      <c r="L1841">
        <v>12</v>
      </c>
      <c r="M1841">
        <f>IF((DST_123_ÜRETİM_İHTİYAÇ_RAPORU_BURAK_YENI1309[[#This Row],[SATINALMA]]*DST_123_ÜRETİM_İHTİYAÇ_RAPORU_BURAK_YENI1309[[#This Row],[BIRIM_FIYATLAR]])&lt;1,VALUE("0"),DST_123_ÜRETİM_İHTİYAÇ_RAPORU_BURAK_YENI1309[[#This Row],[SATINALMA]]*DST_123_ÜRETİM_İHTİYAÇ_RAPORU_BURAK_YENI1309[[#This Row],[BIRIM_FIYATLAR]])</f>
        <v>2532.1450000000009</v>
      </c>
      <c r="N1841">
        <v>328.85</v>
      </c>
      <c r="O1841" t="s">
        <v>258</v>
      </c>
      <c r="P1841">
        <v>493.27500000000003</v>
      </c>
      <c r="Q1841" t="s">
        <v>183</v>
      </c>
    </row>
    <row r="1842" spans="1:17" x14ac:dyDescent="0.25">
      <c r="A1842" t="s">
        <v>1146</v>
      </c>
      <c r="B1842" t="s">
        <v>1145</v>
      </c>
      <c r="C1842" t="s">
        <v>175</v>
      </c>
      <c r="D1842" t="s">
        <v>665</v>
      </c>
      <c r="E1842" t="s">
        <v>666</v>
      </c>
      <c r="F1842">
        <v>1</v>
      </c>
      <c r="G1842" t="s">
        <v>176</v>
      </c>
      <c r="H1842">
        <v>0</v>
      </c>
      <c r="I1842">
        <v>0</v>
      </c>
      <c r="J1842" s="10">
        <v>4</v>
      </c>
      <c r="K1842" s="10">
        <f>SUMIFS(F:F,D:D,DST_123_ÜRETİM_İHTİYAÇ_RAPORU_BURAK_YENI1309[[#This Row],[ALT_KOD]])-(SUMIFS(H:H,D:D,DST_123_ÜRETİM_İHTİYAÇ_RAPORU_BURAK_YENI1309[[#This Row],[ALT_KOD]])+AVERAGEIFS(I:I,D:D,DST_123_ÜRETİM_İHTİYAÇ_RAPORU_BURAK_YENI1309[[#This Row],[ALT_KOD]])+AVERAGEIFS(L:L,D:D,DST_123_ÜRETİM_İHTİYAÇ_RAPORU_BURAK_YENI1309[[#This Row],[ALT_KOD]]))</f>
        <v>0</v>
      </c>
      <c r="L1842">
        <v>20</v>
      </c>
      <c r="M1842">
        <f>IF((DST_123_ÜRETİM_İHTİYAÇ_RAPORU_BURAK_YENI1309[[#This Row],[SATINALMA]]*DST_123_ÜRETİM_İHTİYAÇ_RAPORU_BURAK_YENI1309[[#This Row],[BIRIM_FIYATLAR]])&lt;1,VALUE("0"),DST_123_ÜRETİM_İHTİYAÇ_RAPORU_BURAK_YENI1309[[#This Row],[SATINALMA]]*DST_123_ÜRETİM_İHTİYAÇ_RAPORU_BURAK_YENI1309[[#This Row],[BIRIM_FIYATLAR]])</f>
        <v>0</v>
      </c>
      <c r="N1842">
        <v>28000</v>
      </c>
      <c r="O1842" t="s">
        <v>829</v>
      </c>
      <c r="P1842">
        <v>28000</v>
      </c>
      <c r="Q1842" t="s">
        <v>221</v>
      </c>
    </row>
    <row r="1843" spans="1:17" x14ac:dyDescent="0.25">
      <c r="A1843" t="s">
        <v>1144</v>
      </c>
      <c r="B1843" t="s">
        <v>1145</v>
      </c>
      <c r="C1843" t="s">
        <v>175</v>
      </c>
      <c r="D1843" t="s">
        <v>665</v>
      </c>
      <c r="E1843" t="s">
        <v>666</v>
      </c>
      <c r="F1843">
        <v>1</v>
      </c>
      <c r="G1843" t="s">
        <v>176</v>
      </c>
      <c r="H1843">
        <v>0</v>
      </c>
      <c r="I1843">
        <v>0</v>
      </c>
      <c r="J1843" s="10">
        <v>4</v>
      </c>
      <c r="K1843" s="10">
        <f>SUMIFS(F:F,D:D,DST_123_ÜRETİM_İHTİYAÇ_RAPORU_BURAK_YENI1309[[#This Row],[ALT_KOD]])-(SUMIFS(H:H,D:D,DST_123_ÜRETİM_İHTİYAÇ_RAPORU_BURAK_YENI1309[[#This Row],[ALT_KOD]])+AVERAGEIFS(I:I,D:D,DST_123_ÜRETİM_İHTİYAÇ_RAPORU_BURAK_YENI1309[[#This Row],[ALT_KOD]])+AVERAGEIFS(L:L,D:D,DST_123_ÜRETİM_İHTİYAÇ_RAPORU_BURAK_YENI1309[[#This Row],[ALT_KOD]]))</f>
        <v>0</v>
      </c>
      <c r="L1843">
        <v>20</v>
      </c>
      <c r="M1843">
        <f>IF((DST_123_ÜRETİM_İHTİYAÇ_RAPORU_BURAK_YENI1309[[#This Row],[SATINALMA]]*DST_123_ÜRETİM_İHTİYAÇ_RAPORU_BURAK_YENI1309[[#This Row],[BIRIM_FIYATLAR]])&lt;1,VALUE("0"),DST_123_ÜRETİM_İHTİYAÇ_RAPORU_BURAK_YENI1309[[#This Row],[SATINALMA]]*DST_123_ÜRETİM_İHTİYAÇ_RAPORU_BURAK_YENI1309[[#This Row],[BIRIM_FIYATLAR]])</f>
        <v>0</v>
      </c>
      <c r="N1843">
        <v>28000</v>
      </c>
      <c r="O1843" t="s">
        <v>829</v>
      </c>
      <c r="P1843">
        <v>28000</v>
      </c>
      <c r="Q1843" t="s">
        <v>221</v>
      </c>
    </row>
    <row r="1844" spans="1:17" x14ac:dyDescent="0.25">
      <c r="A1844" t="s">
        <v>1146</v>
      </c>
      <c r="B1844" t="s">
        <v>1145</v>
      </c>
      <c r="C1844" t="s">
        <v>175</v>
      </c>
      <c r="D1844" t="s">
        <v>5</v>
      </c>
      <c r="E1844" t="s">
        <v>6</v>
      </c>
      <c r="F1844">
        <v>4.0999999999999996</v>
      </c>
      <c r="G1844" t="s">
        <v>179</v>
      </c>
      <c r="H1844">
        <v>0</v>
      </c>
      <c r="I1844">
        <v>100</v>
      </c>
      <c r="J1844" s="10">
        <v>2.0000000000000568</v>
      </c>
      <c r="K1844" s="10">
        <f>SUMIFS(F:F,D:D,DST_123_ÜRETİM_İHTİYAÇ_RAPORU_BURAK_YENI1309[[#This Row],[ALT_KOD]])-(SUMIFS(H:H,D:D,DST_123_ÜRETİM_İHTİYAÇ_RAPORU_BURAK_YENI1309[[#This Row],[ALT_KOD]])+AVERAGEIFS(I:I,D:D,DST_123_ÜRETİM_İHTİYAÇ_RAPORU_BURAK_YENI1309[[#This Row],[ALT_KOD]])+AVERAGEIFS(L:L,D:D,DST_123_ÜRETİM_İHTİYAÇ_RAPORU_BURAK_YENI1309[[#This Row],[ALT_KOD]]))</f>
        <v>-6.4000000000000057</v>
      </c>
      <c r="L1844">
        <v>0</v>
      </c>
      <c r="M1844">
        <f>IF((DST_123_ÜRETİM_İHTİYAÇ_RAPORU_BURAK_YENI1309[[#This Row],[SATINALMA]]*DST_123_ÜRETİM_İHTİYAÇ_RAPORU_BURAK_YENI1309[[#This Row],[BIRIM_FIYATLAR]])&lt;1,VALUE("0"),DST_123_ÜRETİM_İHTİYAÇ_RAPORU_BURAK_YENI1309[[#This Row],[SATINALMA]]*DST_123_ÜRETİM_İHTİYAÇ_RAPORU_BURAK_YENI1309[[#This Row],[BIRIM_FIYATLAR]])</f>
        <v>0</v>
      </c>
      <c r="N1844">
        <v>111</v>
      </c>
      <c r="O1844" t="s">
        <v>826</v>
      </c>
      <c r="P1844">
        <v>455.09999999999997</v>
      </c>
      <c r="Q1844" t="s">
        <v>221</v>
      </c>
    </row>
    <row r="1845" spans="1:17" x14ac:dyDescent="0.25">
      <c r="A1845" t="s">
        <v>1150</v>
      </c>
      <c r="B1845" t="s">
        <v>1145</v>
      </c>
      <c r="C1845" t="s">
        <v>175</v>
      </c>
      <c r="D1845" t="s">
        <v>11</v>
      </c>
      <c r="E1845" t="s">
        <v>12</v>
      </c>
      <c r="F1845">
        <v>1</v>
      </c>
      <c r="G1845" t="s">
        <v>176</v>
      </c>
      <c r="H1845">
        <v>0</v>
      </c>
      <c r="I1845">
        <v>24</v>
      </c>
      <c r="J1845" s="10">
        <v>9</v>
      </c>
      <c r="K1845" s="10">
        <f>SUMIFS(F:F,D:D,DST_123_ÜRETİM_İHTİYAÇ_RAPORU_BURAK_YENI1309[[#This Row],[ALT_KOD]])-(SUMIFS(H:H,D:D,DST_123_ÜRETİM_İHTİYAÇ_RAPORU_BURAK_YENI1309[[#This Row],[ALT_KOD]])+AVERAGEIFS(I:I,D:D,DST_123_ÜRETİM_İHTİYAÇ_RAPORU_BURAK_YENI1309[[#This Row],[ALT_KOD]])+AVERAGEIFS(L:L,D:D,DST_123_ÜRETİM_İHTİYAÇ_RAPORU_BURAK_YENI1309[[#This Row],[ALT_KOD]]))</f>
        <v>-21</v>
      </c>
      <c r="L1845">
        <v>0</v>
      </c>
      <c r="M1845">
        <f>IF((DST_123_ÜRETİM_İHTİYAÇ_RAPORU_BURAK_YENI1309[[#This Row],[SATINALMA]]*DST_123_ÜRETİM_İHTİYAÇ_RAPORU_BURAK_YENI1309[[#This Row],[BIRIM_FIYATLAR]])&lt;1,VALUE("0"),DST_123_ÜRETİM_İHTİYAÇ_RAPORU_BURAK_YENI1309[[#This Row],[SATINALMA]]*DST_123_ÜRETİM_İHTİYAÇ_RAPORU_BURAK_YENI1309[[#This Row],[BIRIM_FIYATLAR]])</f>
        <v>0</v>
      </c>
      <c r="N1845">
        <v>368.07</v>
      </c>
      <c r="O1845" t="s">
        <v>589</v>
      </c>
      <c r="P1845">
        <v>368.07</v>
      </c>
      <c r="Q1845" t="s">
        <v>221</v>
      </c>
    </row>
    <row r="1846" spans="1:17" x14ac:dyDescent="0.25">
      <c r="A1846" t="s">
        <v>1144</v>
      </c>
      <c r="B1846" t="s">
        <v>1145</v>
      </c>
      <c r="C1846" t="s">
        <v>175</v>
      </c>
      <c r="D1846" t="s">
        <v>418</v>
      </c>
      <c r="E1846" t="s">
        <v>1221</v>
      </c>
      <c r="F1846">
        <v>5</v>
      </c>
      <c r="G1846" t="s">
        <v>176</v>
      </c>
      <c r="H1846">
        <v>0</v>
      </c>
      <c r="I1846">
        <v>148</v>
      </c>
      <c r="J1846" s="10">
        <v>59</v>
      </c>
      <c r="K1846" s="10">
        <f>SUMIFS(F:F,D:D,DST_123_ÜRETİM_İHTİYAÇ_RAPORU_BURAK_YENI1309[[#This Row],[ALT_KOD]])-(SUMIFS(H:H,D:D,DST_123_ÜRETİM_İHTİYAÇ_RAPORU_BURAK_YENI1309[[#This Row],[ALT_KOD]])+AVERAGEIFS(I:I,D:D,DST_123_ÜRETİM_İHTİYAÇ_RAPORU_BURAK_YENI1309[[#This Row],[ALT_KOD]])+AVERAGEIFS(L:L,D:D,DST_123_ÜRETİM_İHTİYAÇ_RAPORU_BURAK_YENI1309[[#This Row],[ALT_KOD]]))</f>
        <v>-33</v>
      </c>
      <c r="L1846">
        <v>0</v>
      </c>
      <c r="M1846">
        <f>IF((DST_123_ÜRETİM_İHTİYAÇ_RAPORU_BURAK_YENI1309[[#This Row],[SATINALMA]]*DST_123_ÜRETİM_İHTİYAÇ_RAPORU_BURAK_YENI1309[[#This Row],[BIRIM_FIYATLAR]])&lt;1,VALUE("0"),DST_123_ÜRETİM_İHTİYAÇ_RAPORU_BURAK_YENI1309[[#This Row],[SATINALMA]]*DST_123_ÜRETİM_İHTİYAÇ_RAPORU_BURAK_YENI1309[[#This Row],[BIRIM_FIYATLAR]])</f>
        <v>0</v>
      </c>
      <c r="N1846">
        <v>24.17</v>
      </c>
      <c r="O1846" t="s">
        <v>628</v>
      </c>
      <c r="P1846">
        <v>120.85000000000001</v>
      </c>
      <c r="Q1846" t="s">
        <v>180</v>
      </c>
    </row>
    <row r="1847" spans="1:17" x14ac:dyDescent="0.25">
      <c r="A1847" t="s">
        <v>1144</v>
      </c>
      <c r="B1847" t="s">
        <v>1145</v>
      </c>
      <c r="C1847" t="s">
        <v>175</v>
      </c>
      <c r="D1847" t="s">
        <v>104</v>
      </c>
      <c r="E1847" t="s">
        <v>105</v>
      </c>
      <c r="F1847">
        <v>5</v>
      </c>
      <c r="G1847" t="s">
        <v>176</v>
      </c>
      <c r="H1847">
        <v>0</v>
      </c>
      <c r="I1847">
        <v>0</v>
      </c>
      <c r="J1847" s="10">
        <v>75</v>
      </c>
      <c r="K1847" s="10">
        <f>SUMIFS(F:F,D:D,DST_123_ÜRETİM_İHTİYAÇ_RAPORU_BURAK_YENI1309[[#This Row],[ALT_KOD]])-(SUMIFS(H:H,D:D,DST_123_ÜRETİM_İHTİYAÇ_RAPORU_BURAK_YENI1309[[#This Row],[ALT_KOD]])+AVERAGEIFS(I:I,D:D,DST_123_ÜRETİM_İHTİYAÇ_RAPORU_BURAK_YENI1309[[#This Row],[ALT_KOD]])+AVERAGEIFS(L:L,D:D,DST_123_ÜRETİM_İHTİYAÇ_RAPORU_BURAK_YENI1309[[#This Row],[ALT_KOD]]))</f>
        <v>102</v>
      </c>
      <c r="L1847">
        <v>0</v>
      </c>
      <c r="M1847">
        <f>IF((DST_123_ÜRETİM_İHTİYAÇ_RAPORU_BURAK_YENI1309[[#This Row],[SATINALMA]]*DST_123_ÜRETİM_İHTİYAÇ_RAPORU_BURAK_YENI1309[[#This Row],[BIRIM_FIYATLAR]])&lt;1,VALUE("0"),DST_123_ÜRETİM_İHTİYAÇ_RAPORU_BURAK_YENI1309[[#This Row],[SATINALMA]]*DST_123_ÜRETİM_İHTİYAÇ_RAPORU_BURAK_YENI1309[[#This Row],[BIRIM_FIYATLAR]])</f>
        <v>10710</v>
      </c>
      <c r="N1847">
        <v>105</v>
      </c>
      <c r="O1847" t="s">
        <v>625</v>
      </c>
      <c r="P1847">
        <v>525</v>
      </c>
      <c r="Q1847" t="s">
        <v>178</v>
      </c>
    </row>
    <row r="1848" spans="1:17" x14ac:dyDescent="0.25">
      <c r="A1848" t="s">
        <v>1146</v>
      </c>
      <c r="B1848" t="s">
        <v>1145</v>
      </c>
      <c r="C1848" t="s">
        <v>175</v>
      </c>
      <c r="D1848" t="s">
        <v>104</v>
      </c>
      <c r="E1848" t="s">
        <v>105</v>
      </c>
      <c r="F1848">
        <v>5</v>
      </c>
      <c r="G1848" t="s">
        <v>176</v>
      </c>
      <c r="H1848">
        <v>0</v>
      </c>
      <c r="I1848">
        <v>0</v>
      </c>
      <c r="J1848" s="10">
        <v>75</v>
      </c>
      <c r="K1848" s="10">
        <f>SUMIFS(F:F,D:D,DST_123_ÜRETİM_İHTİYAÇ_RAPORU_BURAK_YENI1309[[#This Row],[ALT_KOD]])-(SUMIFS(H:H,D:D,DST_123_ÜRETİM_İHTİYAÇ_RAPORU_BURAK_YENI1309[[#This Row],[ALT_KOD]])+AVERAGEIFS(I:I,D:D,DST_123_ÜRETİM_İHTİYAÇ_RAPORU_BURAK_YENI1309[[#This Row],[ALT_KOD]])+AVERAGEIFS(L:L,D:D,DST_123_ÜRETİM_İHTİYAÇ_RAPORU_BURAK_YENI1309[[#This Row],[ALT_KOD]]))</f>
        <v>102</v>
      </c>
      <c r="L1848">
        <v>0</v>
      </c>
      <c r="M1848">
        <f>IF((DST_123_ÜRETİM_İHTİYAÇ_RAPORU_BURAK_YENI1309[[#This Row],[SATINALMA]]*DST_123_ÜRETİM_İHTİYAÇ_RAPORU_BURAK_YENI1309[[#This Row],[BIRIM_FIYATLAR]])&lt;1,VALUE("0"),DST_123_ÜRETİM_İHTİYAÇ_RAPORU_BURAK_YENI1309[[#This Row],[SATINALMA]]*DST_123_ÜRETİM_İHTİYAÇ_RAPORU_BURAK_YENI1309[[#This Row],[BIRIM_FIYATLAR]])</f>
        <v>10710</v>
      </c>
      <c r="N1848">
        <v>105</v>
      </c>
      <c r="O1848" t="s">
        <v>625</v>
      </c>
      <c r="P1848">
        <v>525</v>
      </c>
      <c r="Q1848" t="s">
        <v>178</v>
      </c>
    </row>
    <row r="1849" spans="1:17" x14ac:dyDescent="0.25">
      <c r="A1849" t="s">
        <v>1144</v>
      </c>
      <c r="B1849" t="s">
        <v>1145</v>
      </c>
      <c r="C1849" t="s">
        <v>175</v>
      </c>
      <c r="D1849" t="s">
        <v>103</v>
      </c>
      <c r="E1849" t="s">
        <v>288</v>
      </c>
      <c r="F1849">
        <v>1</v>
      </c>
      <c r="G1849" t="s">
        <v>176</v>
      </c>
      <c r="H1849">
        <v>0</v>
      </c>
      <c r="I1849">
        <v>87</v>
      </c>
      <c r="J1849" s="10">
        <v>50.899999999999949</v>
      </c>
      <c r="K1849" s="10">
        <f>SUMIFS(F:F,D:D,DST_123_ÜRETİM_İHTİYAÇ_RAPORU_BURAK_YENI1309[[#This Row],[ALT_KOD]])-(SUMIFS(H:H,D:D,DST_123_ÜRETİM_İHTİYAÇ_RAPORU_BURAK_YENI1309[[#This Row],[ALT_KOD]])+AVERAGEIFS(I:I,D:D,DST_123_ÜRETİM_İHTİYAÇ_RAPORU_BURAK_YENI1309[[#This Row],[ALT_KOD]])+AVERAGEIFS(L:L,D:D,DST_123_ÜRETİM_İHTİYAÇ_RAPORU_BURAK_YENI1309[[#This Row],[ALT_KOD]]))</f>
        <v>-43.900000000000006</v>
      </c>
      <c r="L1849">
        <v>0</v>
      </c>
      <c r="M1849">
        <f>IF((DST_123_ÜRETİM_İHTİYAÇ_RAPORU_BURAK_YENI1309[[#This Row],[SATINALMA]]*DST_123_ÜRETİM_İHTİYAÇ_RAPORU_BURAK_YENI1309[[#This Row],[BIRIM_FIYATLAR]])&lt;1,VALUE("0"),DST_123_ÜRETİM_İHTİYAÇ_RAPORU_BURAK_YENI1309[[#This Row],[SATINALMA]]*DST_123_ÜRETİM_İHTİYAÇ_RAPORU_BURAK_YENI1309[[#This Row],[BIRIM_FIYATLAR]])</f>
        <v>0</v>
      </c>
      <c r="N1849">
        <v>122.09</v>
      </c>
      <c r="O1849" t="s">
        <v>250</v>
      </c>
      <c r="P1849">
        <v>122.09</v>
      </c>
      <c r="Q1849" t="s">
        <v>180</v>
      </c>
    </row>
    <row r="1850" spans="1:17" x14ac:dyDescent="0.25">
      <c r="A1850" t="s">
        <v>1142</v>
      </c>
      <c r="B1850" t="s">
        <v>1056</v>
      </c>
      <c r="C1850" t="s">
        <v>175</v>
      </c>
      <c r="D1850" t="s">
        <v>331</v>
      </c>
      <c r="E1850" t="s">
        <v>332</v>
      </c>
      <c r="F1850">
        <v>2</v>
      </c>
      <c r="G1850" t="s">
        <v>176</v>
      </c>
      <c r="H1850">
        <v>0</v>
      </c>
      <c r="I1850">
        <v>809</v>
      </c>
      <c r="J1850" s="10">
        <v>0</v>
      </c>
      <c r="K1850" s="10">
        <f>SUMIFS(F:F,D:D,DST_123_ÜRETİM_İHTİYAÇ_RAPORU_BURAK_YENI1309[[#This Row],[ALT_KOD]])-(SUMIFS(H:H,D:D,DST_123_ÜRETİM_İHTİYAÇ_RAPORU_BURAK_YENI1309[[#This Row],[ALT_KOD]])+AVERAGEIFS(I:I,D:D,DST_123_ÜRETİM_İHTİYAÇ_RAPORU_BURAK_YENI1309[[#This Row],[ALT_KOD]])+AVERAGEIFS(L:L,D:D,DST_123_ÜRETİM_İHTİYAÇ_RAPORU_BURAK_YENI1309[[#This Row],[ALT_KOD]]))</f>
        <v>-768</v>
      </c>
      <c r="L1850">
        <v>0</v>
      </c>
      <c r="M1850">
        <f>IF((DST_123_ÜRETİM_İHTİYAÇ_RAPORU_BURAK_YENI1309[[#This Row],[SATINALMA]]*DST_123_ÜRETİM_İHTİYAÇ_RAPORU_BURAK_YENI1309[[#This Row],[BIRIM_FIYATLAR]])&lt;1,VALUE("0"),DST_123_ÜRETİM_İHTİYAÇ_RAPORU_BURAK_YENI1309[[#This Row],[SATINALMA]]*DST_123_ÜRETİM_İHTİYAÇ_RAPORU_BURAK_YENI1309[[#This Row],[BIRIM_FIYATLAR]])</f>
        <v>0</v>
      </c>
      <c r="N1850">
        <v>2.4</v>
      </c>
      <c r="O1850" t="s">
        <v>240</v>
      </c>
      <c r="P1850">
        <v>4.8</v>
      </c>
      <c r="Q1850" t="s">
        <v>180</v>
      </c>
    </row>
    <row r="1851" spans="1:17" x14ac:dyDescent="0.25">
      <c r="A1851" t="s">
        <v>1097</v>
      </c>
      <c r="B1851" t="s">
        <v>1055</v>
      </c>
      <c r="C1851" t="s">
        <v>175</v>
      </c>
      <c r="D1851" t="s">
        <v>331</v>
      </c>
      <c r="E1851" t="s">
        <v>332</v>
      </c>
      <c r="F1851">
        <v>4</v>
      </c>
      <c r="G1851" t="s">
        <v>176</v>
      </c>
      <c r="H1851">
        <v>0</v>
      </c>
      <c r="I1851">
        <v>809</v>
      </c>
      <c r="J1851" s="10">
        <v>0</v>
      </c>
      <c r="K1851" s="10">
        <f>SUMIFS(F:F,D:D,DST_123_ÜRETİM_İHTİYAÇ_RAPORU_BURAK_YENI1309[[#This Row],[ALT_KOD]])-(SUMIFS(H:H,D:D,DST_123_ÜRETİM_İHTİYAÇ_RAPORU_BURAK_YENI1309[[#This Row],[ALT_KOD]])+AVERAGEIFS(I:I,D:D,DST_123_ÜRETİM_İHTİYAÇ_RAPORU_BURAK_YENI1309[[#This Row],[ALT_KOD]])+AVERAGEIFS(L:L,D:D,DST_123_ÜRETİM_İHTİYAÇ_RAPORU_BURAK_YENI1309[[#This Row],[ALT_KOD]]))</f>
        <v>-768</v>
      </c>
      <c r="L1851">
        <v>0</v>
      </c>
      <c r="M1851">
        <f>IF((DST_123_ÜRETİM_İHTİYAÇ_RAPORU_BURAK_YENI1309[[#This Row],[SATINALMA]]*DST_123_ÜRETİM_İHTİYAÇ_RAPORU_BURAK_YENI1309[[#This Row],[BIRIM_FIYATLAR]])&lt;1,VALUE("0"),DST_123_ÜRETİM_İHTİYAÇ_RAPORU_BURAK_YENI1309[[#This Row],[SATINALMA]]*DST_123_ÜRETİM_İHTİYAÇ_RAPORU_BURAK_YENI1309[[#This Row],[BIRIM_FIYATLAR]])</f>
        <v>0</v>
      </c>
      <c r="N1851">
        <v>2.4</v>
      </c>
      <c r="O1851" t="s">
        <v>240</v>
      </c>
      <c r="P1851">
        <v>9.6</v>
      </c>
      <c r="Q1851" t="s">
        <v>180</v>
      </c>
    </row>
    <row r="1852" spans="1:17" x14ac:dyDescent="0.25">
      <c r="A1852" t="s">
        <v>1196</v>
      </c>
      <c r="B1852" t="s">
        <v>1197</v>
      </c>
      <c r="C1852" t="s">
        <v>175</v>
      </c>
      <c r="D1852" t="s">
        <v>321</v>
      </c>
      <c r="E1852" t="s">
        <v>322</v>
      </c>
      <c r="F1852">
        <v>6</v>
      </c>
      <c r="G1852" t="s">
        <v>176</v>
      </c>
      <c r="H1852">
        <v>0</v>
      </c>
      <c r="I1852">
        <v>84</v>
      </c>
      <c r="J1852" s="10">
        <v>195.90000000000009</v>
      </c>
      <c r="K1852" s="10">
        <f>SUMIFS(F:F,D:D,DST_123_ÜRETİM_İHTİYAÇ_RAPORU_BURAK_YENI1309[[#This Row],[ALT_KOD]])-(SUMIFS(H:H,D:D,DST_123_ÜRETİM_İHTİYAÇ_RAPORU_BURAK_YENI1309[[#This Row],[ALT_KOD]])+AVERAGEIFS(I:I,D:D,DST_123_ÜRETİM_İHTİYAÇ_RAPORU_BURAK_YENI1309[[#This Row],[ALT_KOD]])+AVERAGEIFS(L:L,D:D,DST_123_ÜRETİM_İHTİYAÇ_RAPORU_BURAK_YENI1309[[#This Row],[ALT_KOD]]))</f>
        <v>-24.600000000000023</v>
      </c>
      <c r="L1852">
        <v>0</v>
      </c>
      <c r="M1852">
        <f>IF((DST_123_ÜRETİM_İHTİYAÇ_RAPORU_BURAK_YENI1309[[#This Row],[SATINALMA]]*DST_123_ÜRETİM_İHTİYAÇ_RAPORU_BURAK_YENI1309[[#This Row],[BIRIM_FIYATLAR]])&lt;1,VALUE("0"),DST_123_ÜRETİM_İHTİYAÇ_RAPORU_BURAK_YENI1309[[#This Row],[SATINALMA]]*DST_123_ÜRETİM_İHTİYAÇ_RAPORU_BURAK_YENI1309[[#This Row],[BIRIM_FIYATLAR]])</f>
        <v>0</v>
      </c>
      <c r="N1852">
        <v>29</v>
      </c>
      <c r="O1852" t="s">
        <v>240</v>
      </c>
      <c r="P1852">
        <v>174</v>
      </c>
      <c r="Q1852" t="s">
        <v>180</v>
      </c>
    </row>
    <row r="1853" spans="1:17" x14ac:dyDescent="0.25">
      <c r="A1853" t="s">
        <v>1095</v>
      </c>
      <c r="B1853" t="s">
        <v>1096</v>
      </c>
      <c r="C1853" t="s">
        <v>175</v>
      </c>
      <c r="D1853" t="s">
        <v>321</v>
      </c>
      <c r="E1853" t="s">
        <v>322</v>
      </c>
      <c r="F1853">
        <v>6.35</v>
      </c>
      <c r="G1853" t="s">
        <v>176</v>
      </c>
      <c r="H1853">
        <v>0</v>
      </c>
      <c r="I1853">
        <v>84</v>
      </c>
      <c r="J1853" s="10">
        <v>195.90000000000009</v>
      </c>
      <c r="K1853" s="10">
        <f>SUMIFS(F:F,D:D,DST_123_ÜRETİM_İHTİYAÇ_RAPORU_BURAK_YENI1309[[#This Row],[ALT_KOD]])-(SUMIFS(H:H,D:D,DST_123_ÜRETİM_İHTİYAÇ_RAPORU_BURAK_YENI1309[[#This Row],[ALT_KOD]])+AVERAGEIFS(I:I,D:D,DST_123_ÜRETİM_İHTİYAÇ_RAPORU_BURAK_YENI1309[[#This Row],[ALT_KOD]])+AVERAGEIFS(L:L,D:D,DST_123_ÜRETİM_İHTİYAÇ_RAPORU_BURAK_YENI1309[[#This Row],[ALT_KOD]]))</f>
        <v>-24.600000000000023</v>
      </c>
      <c r="L1853">
        <v>0</v>
      </c>
      <c r="M1853">
        <f>IF((DST_123_ÜRETİM_İHTİYAÇ_RAPORU_BURAK_YENI1309[[#This Row],[SATINALMA]]*DST_123_ÜRETİM_İHTİYAÇ_RAPORU_BURAK_YENI1309[[#This Row],[BIRIM_FIYATLAR]])&lt;1,VALUE("0"),DST_123_ÜRETİM_İHTİYAÇ_RAPORU_BURAK_YENI1309[[#This Row],[SATINALMA]]*DST_123_ÜRETİM_İHTİYAÇ_RAPORU_BURAK_YENI1309[[#This Row],[BIRIM_FIYATLAR]])</f>
        <v>0</v>
      </c>
      <c r="N1853">
        <v>29</v>
      </c>
      <c r="O1853" t="s">
        <v>240</v>
      </c>
      <c r="P1853">
        <v>184.14999999999998</v>
      </c>
      <c r="Q1853" t="s">
        <v>180</v>
      </c>
    </row>
    <row r="1854" spans="1:17" x14ac:dyDescent="0.25">
      <c r="A1854" t="s">
        <v>1196</v>
      </c>
      <c r="B1854" t="s">
        <v>1197</v>
      </c>
      <c r="C1854" t="s">
        <v>175</v>
      </c>
      <c r="D1854" t="s">
        <v>941</v>
      </c>
      <c r="E1854" t="s">
        <v>942</v>
      </c>
      <c r="F1854">
        <v>1</v>
      </c>
      <c r="G1854" t="s">
        <v>176</v>
      </c>
      <c r="H1854">
        <v>0</v>
      </c>
      <c r="I1854">
        <v>2</v>
      </c>
      <c r="J1854" s="10">
        <v>1</v>
      </c>
      <c r="K1854" s="10">
        <f>SUMIFS(F:F,D:D,DST_123_ÜRETİM_İHTİYAÇ_RAPORU_BURAK_YENI1309[[#This Row],[ALT_KOD]])-(SUMIFS(H:H,D:D,DST_123_ÜRETİM_İHTİYAÇ_RAPORU_BURAK_YENI1309[[#This Row],[ALT_KOD]])+AVERAGEIFS(I:I,D:D,DST_123_ÜRETİM_İHTİYAÇ_RAPORU_BURAK_YENI1309[[#This Row],[ALT_KOD]])+AVERAGEIFS(L:L,D:D,DST_123_ÜRETİM_İHTİYAÇ_RAPORU_BURAK_YENI1309[[#This Row],[ALT_KOD]]))</f>
        <v>2</v>
      </c>
      <c r="L1854">
        <v>0</v>
      </c>
      <c r="M1854">
        <f>IF((DST_123_ÜRETİM_İHTİYAÇ_RAPORU_BURAK_YENI1309[[#This Row],[SATINALMA]]*DST_123_ÜRETİM_İHTİYAÇ_RAPORU_BURAK_YENI1309[[#This Row],[BIRIM_FIYATLAR]])&lt;1,VALUE("0"),DST_123_ÜRETİM_İHTİYAÇ_RAPORU_BURAK_YENI1309[[#This Row],[SATINALMA]]*DST_123_ÜRETİM_İHTİYAÇ_RAPORU_BURAK_YENI1309[[#This Row],[BIRIM_FIYATLAR]])</f>
        <v>19880.7</v>
      </c>
      <c r="N1854">
        <v>9940.35</v>
      </c>
      <c r="O1854" t="s">
        <v>1054</v>
      </c>
      <c r="P1854">
        <v>9940.35</v>
      </c>
      <c r="Q1854" t="s">
        <v>221</v>
      </c>
    </row>
    <row r="1855" spans="1:17" x14ac:dyDescent="0.25">
      <c r="A1855" t="s">
        <v>1098</v>
      </c>
      <c r="B1855" t="s">
        <v>1096</v>
      </c>
      <c r="C1855" t="s">
        <v>175</v>
      </c>
      <c r="D1855" t="s">
        <v>321</v>
      </c>
      <c r="E1855" t="s">
        <v>322</v>
      </c>
      <c r="F1855">
        <v>6.35</v>
      </c>
      <c r="G1855" t="s">
        <v>176</v>
      </c>
      <c r="H1855">
        <v>0</v>
      </c>
      <c r="I1855">
        <v>84</v>
      </c>
      <c r="J1855" s="10">
        <v>195.90000000000009</v>
      </c>
      <c r="K1855" s="10">
        <f>SUMIFS(F:F,D:D,DST_123_ÜRETİM_İHTİYAÇ_RAPORU_BURAK_YENI1309[[#This Row],[ALT_KOD]])-(SUMIFS(H:H,D:D,DST_123_ÜRETİM_İHTİYAÇ_RAPORU_BURAK_YENI1309[[#This Row],[ALT_KOD]])+AVERAGEIFS(I:I,D:D,DST_123_ÜRETİM_İHTİYAÇ_RAPORU_BURAK_YENI1309[[#This Row],[ALT_KOD]])+AVERAGEIFS(L:L,D:D,DST_123_ÜRETİM_İHTİYAÇ_RAPORU_BURAK_YENI1309[[#This Row],[ALT_KOD]]))</f>
        <v>-24.600000000000023</v>
      </c>
      <c r="L1855">
        <v>0</v>
      </c>
      <c r="M1855">
        <f>IF((DST_123_ÜRETİM_İHTİYAÇ_RAPORU_BURAK_YENI1309[[#This Row],[SATINALMA]]*DST_123_ÜRETİM_İHTİYAÇ_RAPORU_BURAK_YENI1309[[#This Row],[BIRIM_FIYATLAR]])&lt;1,VALUE("0"),DST_123_ÜRETİM_İHTİYAÇ_RAPORU_BURAK_YENI1309[[#This Row],[SATINALMA]]*DST_123_ÜRETİM_İHTİYAÇ_RAPORU_BURAK_YENI1309[[#This Row],[BIRIM_FIYATLAR]])</f>
        <v>0</v>
      </c>
      <c r="N1855">
        <v>29</v>
      </c>
      <c r="O1855" t="s">
        <v>240</v>
      </c>
      <c r="P1855">
        <v>184.14999999999998</v>
      </c>
      <c r="Q1855" t="s">
        <v>180</v>
      </c>
    </row>
    <row r="1856" spans="1:17" x14ac:dyDescent="0.25">
      <c r="A1856" t="s">
        <v>1098</v>
      </c>
      <c r="B1856" t="s">
        <v>1096</v>
      </c>
      <c r="C1856" t="s">
        <v>175</v>
      </c>
      <c r="D1856" t="s">
        <v>243</v>
      </c>
      <c r="E1856" t="s">
        <v>244</v>
      </c>
      <c r="F1856">
        <v>2</v>
      </c>
      <c r="G1856" t="s">
        <v>176</v>
      </c>
      <c r="H1856">
        <v>0</v>
      </c>
      <c r="I1856">
        <v>18</v>
      </c>
      <c r="J1856" s="10">
        <v>9</v>
      </c>
      <c r="K1856" s="10">
        <f>SUMIFS(F:F,D:D,DST_123_ÜRETİM_İHTİYAÇ_RAPORU_BURAK_YENI1309[[#This Row],[ALT_KOD]])-(SUMIFS(H:H,D:D,DST_123_ÜRETİM_İHTİYAÇ_RAPORU_BURAK_YENI1309[[#This Row],[ALT_KOD]])+AVERAGEIFS(I:I,D:D,DST_123_ÜRETİM_İHTİYAÇ_RAPORU_BURAK_YENI1309[[#This Row],[ALT_KOD]])+AVERAGEIFS(L:L,D:D,DST_123_ÜRETİM_İHTİYAÇ_RAPORU_BURAK_YENI1309[[#This Row],[ALT_KOD]]))</f>
        <v>-10</v>
      </c>
      <c r="L1856">
        <v>0</v>
      </c>
      <c r="M1856">
        <f>IF((DST_123_ÜRETİM_İHTİYAÇ_RAPORU_BURAK_YENI1309[[#This Row],[SATINALMA]]*DST_123_ÜRETİM_İHTİYAÇ_RAPORU_BURAK_YENI1309[[#This Row],[BIRIM_FIYATLAR]])&lt;1,VALUE("0"),DST_123_ÜRETİM_İHTİYAÇ_RAPORU_BURAK_YENI1309[[#This Row],[SATINALMA]]*DST_123_ÜRETİM_İHTİYAÇ_RAPORU_BURAK_YENI1309[[#This Row],[BIRIM_FIYATLAR]])</f>
        <v>0</v>
      </c>
      <c r="N1856">
        <v>60</v>
      </c>
      <c r="O1856" t="s">
        <v>628</v>
      </c>
      <c r="P1856">
        <v>120</v>
      </c>
      <c r="Q1856" t="s">
        <v>180</v>
      </c>
    </row>
    <row r="1857" spans="1:17" x14ac:dyDescent="0.25">
      <c r="A1857" t="s">
        <v>1095</v>
      </c>
      <c r="B1857" t="s">
        <v>1096</v>
      </c>
      <c r="C1857" t="s">
        <v>175</v>
      </c>
      <c r="D1857" t="s">
        <v>90</v>
      </c>
      <c r="E1857" t="s">
        <v>91</v>
      </c>
      <c r="F1857">
        <v>1</v>
      </c>
      <c r="G1857" t="s">
        <v>176</v>
      </c>
      <c r="H1857">
        <v>0</v>
      </c>
      <c r="I1857">
        <v>4</v>
      </c>
      <c r="J1857" s="10">
        <v>12</v>
      </c>
      <c r="K1857" s="10">
        <f>SUMIFS(F:F,D:D,DST_123_ÜRETİM_İHTİYAÇ_RAPORU_BURAK_YENI1309[[#This Row],[ALT_KOD]])-(SUMIFS(H:H,D:D,DST_123_ÜRETİM_İHTİYAÇ_RAPORU_BURAK_YENI1309[[#This Row],[ALT_KOD]])+AVERAGEIFS(I:I,D:D,DST_123_ÜRETİM_İHTİYAÇ_RAPORU_BURAK_YENI1309[[#This Row],[ALT_KOD]])+AVERAGEIFS(L:L,D:D,DST_123_ÜRETİM_İHTİYAÇ_RAPORU_BURAK_YENI1309[[#This Row],[ALT_KOD]]))</f>
        <v>7</v>
      </c>
      <c r="L1857">
        <v>0</v>
      </c>
      <c r="M1857">
        <f>IF((DST_123_ÜRETİM_İHTİYAÇ_RAPORU_BURAK_YENI1309[[#This Row],[SATINALMA]]*DST_123_ÜRETİM_İHTİYAÇ_RAPORU_BURAK_YENI1309[[#This Row],[BIRIM_FIYATLAR]])&lt;1,VALUE("0"),DST_123_ÜRETİM_İHTİYAÇ_RAPORU_BURAK_YENI1309[[#This Row],[SATINALMA]]*DST_123_ÜRETİM_İHTİYAÇ_RAPORU_BURAK_YENI1309[[#This Row],[BIRIM_FIYATLAR]])</f>
        <v>12435.01</v>
      </c>
      <c r="N1857">
        <v>1776.43</v>
      </c>
      <c r="O1857" t="s">
        <v>634</v>
      </c>
      <c r="P1857">
        <v>1776.43</v>
      </c>
      <c r="Q1857" t="s">
        <v>178</v>
      </c>
    </row>
    <row r="1858" spans="1:17" x14ac:dyDescent="0.25">
      <c r="A1858" t="s">
        <v>1095</v>
      </c>
      <c r="B1858" t="s">
        <v>1096</v>
      </c>
      <c r="C1858" t="s">
        <v>175</v>
      </c>
      <c r="D1858" t="s">
        <v>331</v>
      </c>
      <c r="E1858" t="s">
        <v>332</v>
      </c>
      <c r="F1858">
        <v>2</v>
      </c>
      <c r="G1858" t="s">
        <v>176</v>
      </c>
      <c r="H1858">
        <v>0</v>
      </c>
      <c r="I1858">
        <v>809</v>
      </c>
      <c r="J1858" s="10">
        <v>0</v>
      </c>
      <c r="K1858" s="10">
        <f>SUMIFS(F:F,D:D,DST_123_ÜRETİM_İHTİYAÇ_RAPORU_BURAK_YENI1309[[#This Row],[ALT_KOD]])-(SUMIFS(H:H,D:D,DST_123_ÜRETİM_İHTİYAÇ_RAPORU_BURAK_YENI1309[[#This Row],[ALT_KOD]])+AVERAGEIFS(I:I,D:D,DST_123_ÜRETİM_İHTİYAÇ_RAPORU_BURAK_YENI1309[[#This Row],[ALT_KOD]])+AVERAGEIFS(L:L,D:D,DST_123_ÜRETİM_İHTİYAÇ_RAPORU_BURAK_YENI1309[[#This Row],[ALT_KOD]]))</f>
        <v>-768</v>
      </c>
      <c r="L1858">
        <v>0</v>
      </c>
      <c r="M1858">
        <f>IF((DST_123_ÜRETİM_İHTİYAÇ_RAPORU_BURAK_YENI1309[[#This Row],[SATINALMA]]*DST_123_ÜRETİM_İHTİYAÇ_RAPORU_BURAK_YENI1309[[#This Row],[BIRIM_FIYATLAR]])&lt;1,VALUE("0"),DST_123_ÜRETİM_İHTİYAÇ_RAPORU_BURAK_YENI1309[[#This Row],[SATINALMA]]*DST_123_ÜRETİM_İHTİYAÇ_RAPORU_BURAK_YENI1309[[#This Row],[BIRIM_FIYATLAR]])</f>
        <v>0</v>
      </c>
      <c r="N1858">
        <v>2.4</v>
      </c>
      <c r="O1858" t="s">
        <v>240</v>
      </c>
      <c r="P1858">
        <v>4.8</v>
      </c>
      <c r="Q1858" t="s">
        <v>180</v>
      </c>
    </row>
    <row r="1859" spans="1:17" x14ac:dyDescent="0.25">
      <c r="A1859" t="s">
        <v>1143</v>
      </c>
      <c r="B1859" t="s">
        <v>1056</v>
      </c>
      <c r="C1859" t="s">
        <v>175</v>
      </c>
      <c r="D1859" t="s">
        <v>788</v>
      </c>
      <c r="E1859" t="s">
        <v>789</v>
      </c>
      <c r="F1859">
        <v>1</v>
      </c>
      <c r="G1859" t="s">
        <v>176</v>
      </c>
      <c r="H1859">
        <v>0</v>
      </c>
      <c r="I1859">
        <v>4</v>
      </c>
      <c r="J1859" s="10">
        <v>2</v>
      </c>
      <c r="K1859" s="10">
        <f>SUMIFS(F:F,D:D,DST_123_ÜRETİM_İHTİYAÇ_RAPORU_BURAK_YENI1309[[#This Row],[ALT_KOD]])-(SUMIFS(H:H,D:D,DST_123_ÜRETİM_İHTİYAÇ_RAPORU_BURAK_YENI1309[[#This Row],[ALT_KOD]])+AVERAGEIFS(I:I,D:D,DST_123_ÜRETİM_İHTİYAÇ_RAPORU_BURAK_YENI1309[[#This Row],[ALT_KOD]])+AVERAGEIFS(L:L,D:D,DST_123_ÜRETİM_İHTİYAÇ_RAPORU_BURAK_YENI1309[[#This Row],[ALT_KOD]]))</f>
        <v>0</v>
      </c>
      <c r="L1859">
        <v>0</v>
      </c>
      <c r="M1859">
        <f>IF((DST_123_ÜRETİM_İHTİYAÇ_RAPORU_BURAK_YENI1309[[#This Row],[SATINALMA]]*DST_123_ÜRETİM_İHTİYAÇ_RAPORU_BURAK_YENI1309[[#This Row],[BIRIM_FIYATLAR]])&lt;1,VALUE("0"),DST_123_ÜRETİM_İHTİYAÇ_RAPORU_BURAK_YENI1309[[#This Row],[SATINALMA]]*DST_123_ÜRETİM_İHTİYAÇ_RAPORU_BURAK_YENI1309[[#This Row],[BIRIM_FIYATLAR]])</f>
        <v>0</v>
      </c>
      <c r="N1859">
        <v>3467.31</v>
      </c>
      <c r="O1859" t="s">
        <v>227</v>
      </c>
      <c r="P1859">
        <v>3467.31</v>
      </c>
      <c r="Q1859" t="s">
        <v>221</v>
      </c>
    </row>
    <row r="1860" spans="1:17" x14ac:dyDescent="0.25">
      <c r="A1860" t="s">
        <v>1060</v>
      </c>
      <c r="B1860" t="s">
        <v>1061</v>
      </c>
      <c r="C1860" t="s">
        <v>175</v>
      </c>
      <c r="D1860" t="s">
        <v>209</v>
      </c>
      <c r="E1860" t="s">
        <v>292</v>
      </c>
      <c r="F1860">
        <v>9</v>
      </c>
      <c r="G1860" t="s">
        <v>176</v>
      </c>
      <c r="H1860">
        <v>0</v>
      </c>
      <c r="I1860">
        <v>0</v>
      </c>
      <c r="J1860" s="10">
        <v>0</v>
      </c>
      <c r="K1860" s="10">
        <f>SUMIFS(F:F,D:D,DST_123_ÜRETİM_İHTİYAÇ_RAPORU_BURAK_YENI1309[[#This Row],[ALT_KOD]])-(SUMIFS(H:H,D:D,DST_123_ÜRETİM_İHTİYAÇ_RAPORU_BURAK_YENI1309[[#This Row],[ALT_KOD]])+AVERAGEIFS(I:I,D:D,DST_123_ÜRETİM_İHTİYAÇ_RAPORU_BURAK_YENI1309[[#This Row],[ALT_KOD]])+AVERAGEIFS(L:L,D:D,DST_123_ÜRETİM_İHTİYAÇ_RAPORU_BURAK_YENI1309[[#This Row],[ALT_KOD]]))</f>
        <v>33</v>
      </c>
      <c r="L1860">
        <v>0</v>
      </c>
      <c r="M1860">
        <f>IF((DST_123_ÜRETİM_İHTİYAÇ_RAPORU_BURAK_YENI1309[[#This Row],[SATINALMA]]*DST_123_ÜRETİM_İHTİYAÇ_RAPORU_BURAK_YENI1309[[#This Row],[BIRIM_FIYATLAR]])&lt;1,VALUE("0"),DST_123_ÜRETİM_İHTİYAÇ_RAPORU_BURAK_YENI1309[[#This Row],[SATINALMA]]*DST_123_ÜRETİM_İHTİYAÇ_RAPORU_BURAK_YENI1309[[#This Row],[BIRIM_FIYATLAR]])</f>
        <v>3.96</v>
      </c>
      <c r="N1860">
        <v>0.12</v>
      </c>
      <c r="O1860" t="s">
        <v>228</v>
      </c>
      <c r="P1860">
        <v>1.08</v>
      </c>
      <c r="Q1860" t="s">
        <v>221</v>
      </c>
    </row>
    <row r="1861" spans="1:17" x14ac:dyDescent="0.25">
      <c r="A1861" t="s">
        <v>1057</v>
      </c>
      <c r="B1861" t="s">
        <v>1058</v>
      </c>
      <c r="C1861" t="s">
        <v>175</v>
      </c>
      <c r="D1861" t="s">
        <v>209</v>
      </c>
      <c r="E1861" t="s">
        <v>292</v>
      </c>
      <c r="F1861">
        <v>12</v>
      </c>
      <c r="G1861" t="s">
        <v>176</v>
      </c>
      <c r="H1861">
        <v>0</v>
      </c>
      <c r="I1861">
        <v>0</v>
      </c>
      <c r="J1861" s="10">
        <v>0</v>
      </c>
      <c r="K1861" s="10">
        <f>SUMIFS(F:F,D:D,DST_123_ÜRETİM_İHTİYAÇ_RAPORU_BURAK_YENI1309[[#This Row],[ALT_KOD]])-(SUMIFS(H:H,D:D,DST_123_ÜRETİM_İHTİYAÇ_RAPORU_BURAK_YENI1309[[#This Row],[ALT_KOD]])+AVERAGEIFS(I:I,D:D,DST_123_ÜRETİM_İHTİYAÇ_RAPORU_BURAK_YENI1309[[#This Row],[ALT_KOD]])+AVERAGEIFS(L:L,D:D,DST_123_ÜRETİM_İHTİYAÇ_RAPORU_BURAK_YENI1309[[#This Row],[ALT_KOD]]))</f>
        <v>33</v>
      </c>
      <c r="L1861">
        <v>0</v>
      </c>
      <c r="M1861">
        <f>IF((DST_123_ÜRETİM_İHTİYAÇ_RAPORU_BURAK_YENI1309[[#This Row],[SATINALMA]]*DST_123_ÜRETİM_İHTİYAÇ_RAPORU_BURAK_YENI1309[[#This Row],[BIRIM_FIYATLAR]])&lt;1,VALUE("0"),DST_123_ÜRETİM_İHTİYAÇ_RAPORU_BURAK_YENI1309[[#This Row],[SATINALMA]]*DST_123_ÜRETİM_İHTİYAÇ_RAPORU_BURAK_YENI1309[[#This Row],[BIRIM_FIYATLAR]])</f>
        <v>3.96</v>
      </c>
      <c r="N1861">
        <v>0.12</v>
      </c>
      <c r="O1861" t="s">
        <v>228</v>
      </c>
      <c r="P1861">
        <v>1.44</v>
      </c>
      <c r="Q1861" t="s">
        <v>221</v>
      </c>
    </row>
    <row r="1862" spans="1:17" x14ac:dyDescent="0.25">
      <c r="A1862" t="s">
        <v>1060</v>
      </c>
      <c r="B1862" t="s">
        <v>1061</v>
      </c>
      <c r="C1862" t="s">
        <v>175</v>
      </c>
      <c r="D1862" t="s">
        <v>321</v>
      </c>
      <c r="E1862" t="s">
        <v>322</v>
      </c>
      <c r="F1862">
        <v>4</v>
      </c>
      <c r="G1862" t="s">
        <v>176</v>
      </c>
      <c r="H1862">
        <v>4</v>
      </c>
      <c r="I1862">
        <v>84</v>
      </c>
      <c r="J1862" s="10">
        <v>195.90000000000009</v>
      </c>
      <c r="K1862" s="10">
        <f>SUMIFS(F:F,D:D,DST_123_ÜRETİM_İHTİYAÇ_RAPORU_BURAK_YENI1309[[#This Row],[ALT_KOD]])-(SUMIFS(H:H,D:D,DST_123_ÜRETİM_İHTİYAÇ_RAPORU_BURAK_YENI1309[[#This Row],[ALT_KOD]])+AVERAGEIFS(I:I,D:D,DST_123_ÜRETİM_İHTİYAÇ_RAPORU_BURAK_YENI1309[[#This Row],[ALT_KOD]])+AVERAGEIFS(L:L,D:D,DST_123_ÜRETİM_İHTİYAÇ_RAPORU_BURAK_YENI1309[[#This Row],[ALT_KOD]]))</f>
        <v>-24.600000000000023</v>
      </c>
      <c r="L1862">
        <v>0</v>
      </c>
      <c r="M1862">
        <f>IF((DST_123_ÜRETİM_İHTİYAÇ_RAPORU_BURAK_YENI1309[[#This Row],[SATINALMA]]*DST_123_ÜRETİM_İHTİYAÇ_RAPORU_BURAK_YENI1309[[#This Row],[BIRIM_FIYATLAR]])&lt;1,VALUE("0"),DST_123_ÜRETİM_İHTİYAÇ_RAPORU_BURAK_YENI1309[[#This Row],[SATINALMA]]*DST_123_ÜRETİM_İHTİYAÇ_RAPORU_BURAK_YENI1309[[#This Row],[BIRIM_FIYATLAR]])</f>
        <v>0</v>
      </c>
      <c r="N1862">
        <v>29</v>
      </c>
      <c r="O1862" t="s">
        <v>240</v>
      </c>
      <c r="P1862">
        <v>116</v>
      </c>
      <c r="Q1862" t="s">
        <v>180</v>
      </c>
    </row>
    <row r="1863" spans="1:17" x14ac:dyDescent="0.25">
      <c r="A1863" t="s">
        <v>1100</v>
      </c>
      <c r="B1863" t="s">
        <v>1058</v>
      </c>
      <c r="C1863" t="s">
        <v>175</v>
      </c>
      <c r="D1863" t="s">
        <v>58</v>
      </c>
      <c r="E1863" t="s">
        <v>59</v>
      </c>
      <c r="F1863">
        <v>1</v>
      </c>
      <c r="G1863" t="s">
        <v>176</v>
      </c>
      <c r="H1863">
        <v>1</v>
      </c>
      <c r="I1863">
        <v>17</v>
      </c>
      <c r="J1863" s="10">
        <v>11</v>
      </c>
      <c r="K1863" s="10">
        <f>SUMIFS(F:F,D:D,DST_123_ÜRETİM_İHTİYAÇ_RAPORU_BURAK_YENI1309[[#This Row],[ALT_KOD]])-(SUMIFS(H:H,D:D,DST_123_ÜRETİM_İHTİYAÇ_RAPORU_BURAK_YENI1309[[#This Row],[ALT_KOD]])+AVERAGEIFS(I:I,D:D,DST_123_ÜRETİM_İHTİYAÇ_RAPORU_BURAK_YENI1309[[#This Row],[ALT_KOD]])+AVERAGEIFS(L:L,D:D,DST_123_ÜRETİM_İHTİYAÇ_RAPORU_BURAK_YENI1309[[#This Row],[ALT_KOD]]))</f>
        <v>-5</v>
      </c>
      <c r="L1863">
        <v>0</v>
      </c>
      <c r="M1863">
        <f>IF((DST_123_ÜRETİM_İHTİYAÇ_RAPORU_BURAK_YENI1309[[#This Row],[SATINALMA]]*DST_123_ÜRETİM_İHTİYAÇ_RAPORU_BURAK_YENI1309[[#This Row],[BIRIM_FIYATLAR]])&lt;1,VALUE("0"),DST_123_ÜRETİM_İHTİYAÇ_RAPORU_BURAK_YENI1309[[#This Row],[SATINALMA]]*DST_123_ÜRETİM_İHTİYAÇ_RAPORU_BURAK_YENI1309[[#This Row],[BIRIM_FIYATLAR]])</f>
        <v>0</v>
      </c>
      <c r="N1863">
        <v>1094.4000000000001</v>
      </c>
      <c r="O1863" t="s">
        <v>826</v>
      </c>
      <c r="P1863">
        <v>1094.4000000000001</v>
      </c>
      <c r="Q1863" t="s">
        <v>221</v>
      </c>
    </row>
    <row r="1864" spans="1:17" x14ac:dyDescent="0.25">
      <c r="A1864" t="s">
        <v>1148</v>
      </c>
      <c r="B1864" t="s">
        <v>1056</v>
      </c>
      <c r="C1864" t="s">
        <v>175</v>
      </c>
      <c r="D1864" t="s">
        <v>58</v>
      </c>
      <c r="E1864" t="s">
        <v>59</v>
      </c>
      <c r="F1864">
        <v>1</v>
      </c>
      <c r="G1864" t="s">
        <v>176</v>
      </c>
      <c r="H1864">
        <v>0</v>
      </c>
      <c r="I1864">
        <v>17</v>
      </c>
      <c r="J1864" s="10">
        <v>11</v>
      </c>
      <c r="K1864" s="10">
        <f>SUMIFS(F:F,D:D,DST_123_ÜRETİM_İHTİYAÇ_RAPORU_BURAK_YENI1309[[#This Row],[ALT_KOD]])-(SUMIFS(H:H,D:D,DST_123_ÜRETİM_İHTİYAÇ_RAPORU_BURAK_YENI1309[[#This Row],[ALT_KOD]])+AVERAGEIFS(I:I,D:D,DST_123_ÜRETİM_İHTİYAÇ_RAPORU_BURAK_YENI1309[[#This Row],[ALT_KOD]])+AVERAGEIFS(L:L,D:D,DST_123_ÜRETİM_İHTİYAÇ_RAPORU_BURAK_YENI1309[[#This Row],[ALT_KOD]]))</f>
        <v>-5</v>
      </c>
      <c r="L1864">
        <v>0</v>
      </c>
      <c r="M1864">
        <f>IF((DST_123_ÜRETİM_İHTİYAÇ_RAPORU_BURAK_YENI1309[[#This Row],[SATINALMA]]*DST_123_ÜRETİM_İHTİYAÇ_RAPORU_BURAK_YENI1309[[#This Row],[BIRIM_FIYATLAR]])&lt;1,VALUE("0"),DST_123_ÜRETİM_İHTİYAÇ_RAPORU_BURAK_YENI1309[[#This Row],[SATINALMA]]*DST_123_ÜRETİM_İHTİYAÇ_RAPORU_BURAK_YENI1309[[#This Row],[BIRIM_FIYATLAR]])</f>
        <v>0</v>
      </c>
      <c r="N1864">
        <v>1094.4000000000001</v>
      </c>
      <c r="O1864" t="s">
        <v>826</v>
      </c>
      <c r="P1864">
        <v>1094.4000000000001</v>
      </c>
      <c r="Q1864" t="s">
        <v>221</v>
      </c>
    </row>
    <row r="1865" spans="1:17" x14ac:dyDescent="0.25">
      <c r="A1865" t="s">
        <v>1147</v>
      </c>
      <c r="B1865" t="s">
        <v>1145</v>
      </c>
      <c r="C1865" t="s">
        <v>175</v>
      </c>
      <c r="D1865" t="s">
        <v>414</v>
      </c>
      <c r="E1865" t="s">
        <v>415</v>
      </c>
      <c r="F1865">
        <v>0.1</v>
      </c>
      <c r="G1865" t="s">
        <v>179</v>
      </c>
      <c r="H1865">
        <v>0</v>
      </c>
      <c r="I1865">
        <v>50</v>
      </c>
      <c r="J1865" s="10">
        <v>2.8310687127941492E-15</v>
      </c>
      <c r="K1865" s="10">
        <f>SUMIFS(F:F,D:D,DST_123_ÜRETİM_İHTİYAÇ_RAPORU_BURAK_YENI1309[[#This Row],[ALT_KOD]])-(SUMIFS(H:H,D:D,DST_123_ÜRETİM_İHTİYAÇ_RAPORU_BURAK_YENI1309[[#This Row],[ALT_KOD]])+AVERAGEIFS(I:I,D:D,DST_123_ÜRETİM_İHTİYAÇ_RAPORU_BURAK_YENI1309[[#This Row],[ALT_KOD]])+AVERAGEIFS(L:L,D:D,DST_123_ÜRETİM_İHTİYAÇ_RAPORU_BURAK_YENI1309[[#This Row],[ALT_KOD]]))</f>
        <v>-47.8</v>
      </c>
      <c r="L1865">
        <v>0</v>
      </c>
      <c r="M1865">
        <f>IF((DST_123_ÜRETİM_İHTİYAÇ_RAPORU_BURAK_YENI1309[[#This Row],[SATINALMA]]*DST_123_ÜRETİM_İHTİYAÇ_RAPORU_BURAK_YENI1309[[#This Row],[BIRIM_FIYATLAR]])&lt;1,VALUE("0"),DST_123_ÜRETİM_İHTİYAÇ_RAPORU_BURAK_YENI1309[[#This Row],[SATINALMA]]*DST_123_ÜRETİM_İHTİYAÇ_RAPORU_BURAK_YENI1309[[#This Row],[BIRIM_FIYATLAR]])</f>
        <v>0</v>
      </c>
      <c r="N1865">
        <v>25.41</v>
      </c>
      <c r="O1865" t="s">
        <v>826</v>
      </c>
      <c r="P1865">
        <v>2.5410000000000004</v>
      </c>
      <c r="Q1865" t="s">
        <v>221</v>
      </c>
    </row>
    <row r="1866" spans="1:17" x14ac:dyDescent="0.25">
      <c r="A1866" t="s">
        <v>1148</v>
      </c>
      <c r="B1866" t="s">
        <v>1056</v>
      </c>
      <c r="C1866" t="s">
        <v>175</v>
      </c>
      <c r="D1866" t="s">
        <v>414</v>
      </c>
      <c r="E1866" t="s">
        <v>415</v>
      </c>
      <c r="F1866">
        <v>0.1</v>
      </c>
      <c r="G1866" t="s">
        <v>179</v>
      </c>
      <c r="H1866">
        <v>0</v>
      </c>
      <c r="I1866">
        <v>50</v>
      </c>
      <c r="J1866" s="10">
        <v>2.8310687127941492E-15</v>
      </c>
      <c r="K1866" s="10">
        <f>SUMIFS(F:F,D:D,DST_123_ÜRETİM_İHTİYAÇ_RAPORU_BURAK_YENI1309[[#This Row],[ALT_KOD]])-(SUMIFS(H:H,D:D,DST_123_ÜRETİM_İHTİYAÇ_RAPORU_BURAK_YENI1309[[#This Row],[ALT_KOD]])+AVERAGEIFS(I:I,D:D,DST_123_ÜRETİM_İHTİYAÇ_RAPORU_BURAK_YENI1309[[#This Row],[ALT_KOD]])+AVERAGEIFS(L:L,D:D,DST_123_ÜRETİM_İHTİYAÇ_RAPORU_BURAK_YENI1309[[#This Row],[ALT_KOD]]))</f>
        <v>-47.8</v>
      </c>
      <c r="L1866">
        <v>0</v>
      </c>
      <c r="M1866">
        <f>IF((DST_123_ÜRETİM_İHTİYAÇ_RAPORU_BURAK_YENI1309[[#This Row],[SATINALMA]]*DST_123_ÜRETİM_İHTİYAÇ_RAPORU_BURAK_YENI1309[[#This Row],[BIRIM_FIYATLAR]])&lt;1,VALUE("0"),DST_123_ÜRETİM_İHTİYAÇ_RAPORU_BURAK_YENI1309[[#This Row],[SATINALMA]]*DST_123_ÜRETİM_İHTİYAÇ_RAPORU_BURAK_YENI1309[[#This Row],[BIRIM_FIYATLAR]])</f>
        <v>0</v>
      </c>
      <c r="N1866">
        <v>25.41</v>
      </c>
      <c r="O1866" t="s">
        <v>826</v>
      </c>
      <c r="P1866">
        <v>2.5410000000000004</v>
      </c>
      <c r="Q1866" t="s">
        <v>221</v>
      </c>
    </row>
    <row r="1867" spans="1:17" x14ac:dyDescent="0.25">
      <c r="A1867" t="s">
        <v>1060</v>
      </c>
      <c r="B1867" t="s">
        <v>1061</v>
      </c>
      <c r="C1867" t="s">
        <v>175</v>
      </c>
      <c r="D1867" t="s">
        <v>376</v>
      </c>
      <c r="E1867" t="s">
        <v>377</v>
      </c>
      <c r="F1867">
        <v>3</v>
      </c>
      <c r="G1867" t="s">
        <v>176</v>
      </c>
      <c r="H1867">
        <v>0</v>
      </c>
      <c r="I1867">
        <v>38</v>
      </c>
      <c r="J1867" s="10">
        <v>25</v>
      </c>
      <c r="K1867" s="10">
        <f>SUMIFS(F:F,D:D,DST_123_ÜRETİM_İHTİYAÇ_RAPORU_BURAK_YENI1309[[#This Row],[ALT_KOD]])-(SUMIFS(H:H,D:D,DST_123_ÜRETİM_İHTİYAÇ_RAPORU_BURAK_YENI1309[[#This Row],[ALT_KOD]])+AVERAGEIFS(I:I,D:D,DST_123_ÜRETİM_İHTİYAÇ_RAPORU_BURAK_YENI1309[[#This Row],[ALT_KOD]])+AVERAGEIFS(L:L,D:D,DST_123_ÜRETİM_İHTİYAÇ_RAPORU_BURAK_YENI1309[[#This Row],[ALT_KOD]]))</f>
        <v>-2</v>
      </c>
      <c r="L1867">
        <v>20</v>
      </c>
      <c r="M1867">
        <f>IF((DST_123_ÜRETİM_İHTİYAÇ_RAPORU_BURAK_YENI1309[[#This Row],[SATINALMA]]*DST_123_ÜRETİM_İHTİYAÇ_RAPORU_BURAK_YENI1309[[#This Row],[BIRIM_FIYATLAR]])&lt;1,VALUE("0"),DST_123_ÜRETİM_İHTİYAÇ_RAPORU_BURAK_YENI1309[[#This Row],[SATINALMA]]*DST_123_ÜRETİM_İHTİYAÇ_RAPORU_BURAK_YENI1309[[#This Row],[BIRIM_FIYATLAR]])</f>
        <v>0</v>
      </c>
      <c r="N1867">
        <v>245</v>
      </c>
      <c r="O1867" t="s">
        <v>821</v>
      </c>
      <c r="P1867">
        <v>735</v>
      </c>
      <c r="Q1867" t="s">
        <v>178</v>
      </c>
    </row>
    <row r="1868" spans="1:17" x14ac:dyDescent="0.25">
      <c r="A1868" t="s">
        <v>1057</v>
      </c>
      <c r="B1868" t="s">
        <v>1058</v>
      </c>
      <c r="C1868" t="s">
        <v>175</v>
      </c>
      <c r="D1868" t="s">
        <v>376</v>
      </c>
      <c r="E1868" t="s">
        <v>377</v>
      </c>
      <c r="F1868">
        <v>3</v>
      </c>
      <c r="G1868" t="s">
        <v>176</v>
      </c>
      <c r="H1868">
        <v>0</v>
      </c>
      <c r="I1868">
        <v>38</v>
      </c>
      <c r="J1868" s="10">
        <v>25</v>
      </c>
      <c r="K1868" s="10">
        <f>SUMIFS(F:F,D:D,DST_123_ÜRETİM_İHTİYAÇ_RAPORU_BURAK_YENI1309[[#This Row],[ALT_KOD]])-(SUMIFS(H:H,D:D,DST_123_ÜRETİM_İHTİYAÇ_RAPORU_BURAK_YENI1309[[#This Row],[ALT_KOD]])+AVERAGEIFS(I:I,D:D,DST_123_ÜRETİM_İHTİYAÇ_RAPORU_BURAK_YENI1309[[#This Row],[ALT_KOD]])+AVERAGEIFS(L:L,D:D,DST_123_ÜRETİM_İHTİYAÇ_RAPORU_BURAK_YENI1309[[#This Row],[ALT_KOD]]))</f>
        <v>-2</v>
      </c>
      <c r="L1868">
        <v>20</v>
      </c>
      <c r="M1868">
        <f>IF((DST_123_ÜRETİM_İHTİYAÇ_RAPORU_BURAK_YENI1309[[#This Row],[SATINALMA]]*DST_123_ÜRETİM_İHTİYAÇ_RAPORU_BURAK_YENI1309[[#This Row],[BIRIM_FIYATLAR]])&lt;1,VALUE("0"),DST_123_ÜRETİM_İHTİYAÇ_RAPORU_BURAK_YENI1309[[#This Row],[SATINALMA]]*DST_123_ÜRETİM_İHTİYAÇ_RAPORU_BURAK_YENI1309[[#This Row],[BIRIM_FIYATLAR]])</f>
        <v>0</v>
      </c>
      <c r="N1868">
        <v>245</v>
      </c>
      <c r="O1868" t="s">
        <v>821</v>
      </c>
      <c r="P1868">
        <v>735</v>
      </c>
      <c r="Q1868" t="s">
        <v>178</v>
      </c>
    </row>
    <row r="1869" spans="1:17" x14ac:dyDescent="0.25">
      <c r="A1869" t="s">
        <v>1100</v>
      </c>
      <c r="B1869" t="s">
        <v>1058</v>
      </c>
      <c r="C1869" t="s">
        <v>175</v>
      </c>
      <c r="D1869" t="s">
        <v>376</v>
      </c>
      <c r="E1869" t="s">
        <v>377</v>
      </c>
      <c r="F1869">
        <v>2</v>
      </c>
      <c r="G1869" t="s">
        <v>176</v>
      </c>
      <c r="H1869">
        <v>0</v>
      </c>
      <c r="I1869">
        <v>38</v>
      </c>
      <c r="J1869" s="10">
        <v>25</v>
      </c>
      <c r="K1869" s="10">
        <f>SUMIFS(F:F,D:D,DST_123_ÜRETİM_İHTİYAÇ_RAPORU_BURAK_YENI1309[[#This Row],[ALT_KOD]])-(SUMIFS(H:H,D:D,DST_123_ÜRETİM_İHTİYAÇ_RAPORU_BURAK_YENI1309[[#This Row],[ALT_KOD]])+AVERAGEIFS(I:I,D:D,DST_123_ÜRETİM_İHTİYAÇ_RAPORU_BURAK_YENI1309[[#This Row],[ALT_KOD]])+AVERAGEIFS(L:L,D:D,DST_123_ÜRETİM_İHTİYAÇ_RAPORU_BURAK_YENI1309[[#This Row],[ALT_KOD]]))</f>
        <v>-2</v>
      </c>
      <c r="L1869">
        <v>20</v>
      </c>
      <c r="M1869">
        <f>IF((DST_123_ÜRETİM_İHTİYAÇ_RAPORU_BURAK_YENI1309[[#This Row],[SATINALMA]]*DST_123_ÜRETİM_İHTİYAÇ_RAPORU_BURAK_YENI1309[[#This Row],[BIRIM_FIYATLAR]])&lt;1,VALUE("0"),DST_123_ÜRETİM_İHTİYAÇ_RAPORU_BURAK_YENI1309[[#This Row],[SATINALMA]]*DST_123_ÜRETİM_İHTİYAÇ_RAPORU_BURAK_YENI1309[[#This Row],[BIRIM_FIYATLAR]])</f>
        <v>0</v>
      </c>
      <c r="N1869">
        <v>245</v>
      </c>
      <c r="O1869" t="s">
        <v>821</v>
      </c>
      <c r="P1869">
        <v>490</v>
      </c>
      <c r="Q1869" t="s">
        <v>178</v>
      </c>
    </row>
    <row r="1870" spans="1:17" x14ac:dyDescent="0.25">
      <c r="A1870" t="s">
        <v>1095</v>
      </c>
      <c r="B1870" t="s">
        <v>1096</v>
      </c>
      <c r="C1870" t="s">
        <v>175</v>
      </c>
      <c r="D1870" t="s">
        <v>670</v>
      </c>
      <c r="E1870" t="s">
        <v>671</v>
      </c>
      <c r="F1870">
        <v>1</v>
      </c>
      <c r="G1870" t="s">
        <v>176</v>
      </c>
      <c r="H1870">
        <v>0</v>
      </c>
      <c r="I1870">
        <v>12</v>
      </c>
      <c r="J1870" s="10">
        <v>13</v>
      </c>
      <c r="K1870" s="10">
        <f>SUMIFS(F:F,D:D,DST_123_ÜRETİM_İHTİYAÇ_RAPORU_BURAK_YENI1309[[#This Row],[ALT_KOD]])-(SUMIFS(H:H,D:D,DST_123_ÜRETİM_İHTİYAÇ_RAPORU_BURAK_YENI1309[[#This Row],[ALT_KOD]])+AVERAGEIFS(I:I,D:D,DST_123_ÜRETİM_İHTİYAÇ_RAPORU_BURAK_YENI1309[[#This Row],[ALT_KOD]])+AVERAGEIFS(L:L,D:D,DST_123_ÜRETİM_İHTİYAÇ_RAPORU_BURAK_YENI1309[[#This Row],[ALT_KOD]]))</f>
        <v>-5</v>
      </c>
      <c r="L1870">
        <v>0</v>
      </c>
      <c r="M1870">
        <f>IF((DST_123_ÜRETİM_İHTİYAÇ_RAPORU_BURAK_YENI1309[[#This Row],[SATINALMA]]*DST_123_ÜRETİM_İHTİYAÇ_RAPORU_BURAK_YENI1309[[#This Row],[BIRIM_FIYATLAR]])&lt;1,VALUE("0"),DST_123_ÜRETİM_İHTİYAÇ_RAPORU_BURAK_YENI1309[[#This Row],[SATINALMA]]*DST_123_ÜRETİM_İHTİYAÇ_RAPORU_BURAK_YENI1309[[#This Row],[BIRIM_FIYATLAR]])</f>
        <v>0</v>
      </c>
      <c r="N1870">
        <v>28339.38</v>
      </c>
      <c r="O1870" t="s">
        <v>214</v>
      </c>
      <c r="P1870">
        <v>28339.38</v>
      </c>
      <c r="Q1870" t="s">
        <v>177</v>
      </c>
    </row>
    <row r="1871" spans="1:17" x14ac:dyDescent="0.25">
      <c r="A1871" t="s">
        <v>1059</v>
      </c>
      <c r="B1871" t="s">
        <v>1058</v>
      </c>
      <c r="C1871" t="s">
        <v>175</v>
      </c>
      <c r="D1871" t="s">
        <v>653</v>
      </c>
      <c r="E1871" t="s">
        <v>654</v>
      </c>
      <c r="F1871">
        <v>0.2</v>
      </c>
      <c r="G1871" t="s">
        <v>185</v>
      </c>
      <c r="H1871">
        <v>0.2</v>
      </c>
      <c r="I1871">
        <v>0</v>
      </c>
      <c r="J1871" s="10">
        <v>2.6000000000000014</v>
      </c>
      <c r="K1871" s="10">
        <f>SUMIFS(F:F,D:D,DST_123_ÜRETİM_İHTİYAÇ_RAPORU_BURAK_YENI1309[[#This Row],[ALT_KOD]])-(SUMIFS(H:H,D:D,DST_123_ÜRETİM_İHTİYAÇ_RAPORU_BURAK_YENI1309[[#This Row],[ALT_KOD]])+AVERAGEIFS(I:I,D:D,DST_123_ÜRETİM_İHTİYAÇ_RAPORU_BURAK_YENI1309[[#This Row],[ALT_KOD]])+AVERAGEIFS(L:L,D:D,DST_123_ÜRETİM_İHTİYAÇ_RAPORU_BURAK_YENI1309[[#This Row],[ALT_KOD]]))</f>
        <v>0.29999999999999982</v>
      </c>
      <c r="L1871">
        <v>0</v>
      </c>
      <c r="M1871">
        <f>IF((DST_123_ÜRETİM_İHTİYAÇ_RAPORU_BURAK_YENI1309[[#This Row],[SATINALMA]]*DST_123_ÜRETİM_İHTİYAÇ_RAPORU_BURAK_YENI1309[[#This Row],[BIRIM_FIYATLAR]])&lt;1,VALUE("0"),DST_123_ÜRETİM_İHTİYAÇ_RAPORU_BURAK_YENI1309[[#This Row],[SATINALMA]]*DST_123_ÜRETİM_İHTİYAÇ_RAPORU_BURAK_YENI1309[[#This Row],[BIRIM_FIYATLAR]])</f>
        <v>193.70099999999988</v>
      </c>
      <c r="N1871">
        <v>645.66999999999996</v>
      </c>
      <c r="O1871" t="s">
        <v>490</v>
      </c>
      <c r="P1871">
        <v>129.13399999999999</v>
      </c>
      <c r="Q1871" t="s">
        <v>183</v>
      </c>
    </row>
    <row r="1872" spans="1:17" x14ac:dyDescent="0.25">
      <c r="A1872" t="s">
        <v>1143</v>
      </c>
      <c r="B1872" t="s">
        <v>1056</v>
      </c>
      <c r="C1872" t="s">
        <v>175</v>
      </c>
      <c r="D1872" t="s">
        <v>114</v>
      </c>
      <c r="E1872" t="s">
        <v>115</v>
      </c>
      <c r="F1872">
        <v>2.0499999999999998</v>
      </c>
      <c r="G1872" t="s">
        <v>185</v>
      </c>
      <c r="H1872">
        <v>0</v>
      </c>
      <c r="I1872">
        <v>0</v>
      </c>
      <c r="J1872" s="10">
        <v>65.03100000000002</v>
      </c>
      <c r="K1872" s="10">
        <f>SUMIFS(F:F,D:D,DST_123_ÜRETİM_İHTİYAÇ_RAPORU_BURAK_YENI1309[[#This Row],[ALT_KOD]])-(SUMIFS(H:H,D:D,DST_123_ÜRETİM_İHTİYAÇ_RAPORU_BURAK_YENI1309[[#This Row],[ALT_KOD]])+AVERAGEIFS(I:I,D:D,DST_123_ÜRETİM_İHTİYAÇ_RAPORU_BURAK_YENI1309[[#This Row],[ALT_KOD]])+AVERAGEIFS(L:L,D:D,DST_123_ÜRETİM_İHTİYAÇ_RAPORU_BURAK_YENI1309[[#This Row],[ALT_KOD]]))</f>
        <v>17.948</v>
      </c>
      <c r="L1872">
        <v>0</v>
      </c>
      <c r="M1872">
        <f>IF((DST_123_ÜRETİM_İHTİYAÇ_RAPORU_BURAK_YENI1309[[#This Row],[SATINALMA]]*DST_123_ÜRETİM_İHTİYAÇ_RAPORU_BURAK_YENI1309[[#This Row],[BIRIM_FIYATLAR]])&lt;1,VALUE("0"),DST_123_ÜRETİM_İHTİYAÇ_RAPORU_BURAK_YENI1309[[#This Row],[SATINALMA]]*DST_123_ÜRETİM_İHTİYAÇ_RAPORU_BURAK_YENI1309[[#This Row],[BIRIM_FIYATLAR]])</f>
        <v>6991.2844399999994</v>
      </c>
      <c r="N1872">
        <v>389.53</v>
      </c>
      <c r="O1872" t="s">
        <v>490</v>
      </c>
      <c r="P1872">
        <v>798.53649999999982</v>
      </c>
      <c r="Q1872" t="s">
        <v>183</v>
      </c>
    </row>
    <row r="1873" spans="1:17" x14ac:dyDescent="0.25">
      <c r="A1873" t="s">
        <v>1147</v>
      </c>
      <c r="B1873" t="s">
        <v>1145</v>
      </c>
      <c r="C1873" t="s">
        <v>175</v>
      </c>
      <c r="D1873" t="s">
        <v>58</v>
      </c>
      <c r="E1873" t="s">
        <v>59</v>
      </c>
      <c r="F1873">
        <v>1</v>
      </c>
      <c r="G1873" t="s">
        <v>176</v>
      </c>
      <c r="H1873">
        <v>0</v>
      </c>
      <c r="I1873">
        <v>17</v>
      </c>
      <c r="J1873" s="10">
        <v>11</v>
      </c>
      <c r="K1873" s="10">
        <f>SUMIFS(F:F,D:D,DST_123_ÜRETİM_İHTİYAÇ_RAPORU_BURAK_YENI1309[[#This Row],[ALT_KOD]])-(SUMIFS(H:H,D:D,DST_123_ÜRETİM_İHTİYAÇ_RAPORU_BURAK_YENI1309[[#This Row],[ALT_KOD]])+AVERAGEIFS(I:I,D:D,DST_123_ÜRETİM_İHTİYAÇ_RAPORU_BURAK_YENI1309[[#This Row],[ALT_KOD]])+AVERAGEIFS(L:L,D:D,DST_123_ÜRETİM_İHTİYAÇ_RAPORU_BURAK_YENI1309[[#This Row],[ALT_KOD]]))</f>
        <v>-5</v>
      </c>
      <c r="L1873">
        <v>0</v>
      </c>
      <c r="M1873">
        <f>IF((DST_123_ÜRETİM_İHTİYAÇ_RAPORU_BURAK_YENI1309[[#This Row],[SATINALMA]]*DST_123_ÜRETİM_İHTİYAÇ_RAPORU_BURAK_YENI1309[[#This Row],[BIRIM_FIYATLAR]])&lt;1,VALUE("0"),DST_123_ÜRETİM_İHTİYAÇ_RAPORU_BURAK_YENI1309[[#This Row],[SATINALMA]]*DST_123_ÜRETİM_İHTİYAÇ_RAPORU_BURAK_YENI1309[[#This Row],[BIRIM_FIYATLAR]])</f>
        <v>0</v>
      </c>
      <c r="N1873">
        <v>1094.4000000000001</v>
      </c>
      <c r="O1873" t="s">
        <v>826</v>
      </c>
      <c r="P1873">
        <v>1094.4000000000001</v>
      </c>
      <c r="Q1873" t="s">
        <v>221</v>
      </c>
    </row>
    <row r="1874" spans="1:17" x14ac:dyDescent="0.25">
      <c r="A1874" t="s">
        <v>1060</v>
      </c>
      <c r="B1874" t="s">
        <v>1061</v>
      </c>
      <c r="C1874" t="s">
        <v>175</v>
      </c>
      <c r="D1874" t="s">
        <v>414</v>
      </c>
      <c r="E1874" t="s">
        <v>415</v>
      </c>
      <c r="F1874">
        <v>0.1</v>
      </c>
      <c r="G1874" t="s">
        <v>179</v>
      </c>
      <c r="H1874">
        <v>0</v>
      </c>
      <c r="I1874">
        <v>50</v>
      </c>
      <c r="J1874" s="10">
        <v>2.8310687127941492E-15</v>
      </c>
      <c r="K1874" s="10">
        <f>SUMIFS(F:F,D:D,DST_123_ÜRETİM_İHTİYAÇ_RAPORU_BURAK_YENI1309[[#This Row],[ALT_KOD]])-(SUMIFS(H:H,D:D,DST_123_ÜRETİM_İHTİYAÇ_RAPORU_BURAK_YENI1309[[#This Row],[ALT_KOD]])+AVERAGEIFS(I:I,D:D,DST_123_ÜRETİM_İHTİYAÇ_RAPORU_BURAK_YENI1309[[#This Row],[ALT_KOD]])+AVERAGEIFS(L:L,D:D,DST_123_ÜRETİM_İHTİYAÇ_RAPORU_BURAK_YENI1309[[#This Row],[ALT_KOD]]))</f>
        <v>-47.8</v>
      </c>
      <c r="L1874">
        <v>0</v>
      </c>
      <c r="M1874">
        <f>IF((DST_123_ÜRETİM_İHTİYAÇ_RAPORU_BURAK_YENI1309[[#This Row],[SATINALMA]]*DST_123_ÜRETİM_İHTİYAÇ_RAPORU_BURAK_YENI1309[[#This Row],[BIRIM_FIYATLAR]])&lt;1,VALUE("0"),DST_123_ÜRETİM_İHTİYAÇ_RAPORU_BURAK_YENI1309[[#This Row],[SATINALMA]]*DST_123_ÜRETİM_İHTİYAÇ_RAPORU_BURAK_YENI1309[[#This Row],[BIRIM_FIYATLAR]])</f>
        <v>0</v>
      </c>
      <c r="N1874">
        <v>25.41</v>
      </c>
      <c r="O1874" t="s">
        <v>826</v>
      </c>
      <c r="P1874">
        <v>2.5410000000000004</v>
      </c>
      <c r="Q1874" t="s">
        <v>221</v>
      </c>
    </row>
    <row r="1875" spans="1:17" x14ac:dyDescent="0.25">
      <c r="A1875" t="s">
        <v>1148</v>
      </c>
      <c r="B1875" t="s">
        <v>1056</v>
      </c>
      <c r="C1875" t="s">
        <v>175</v>
      </c>
      <c r="D1875" t="s">
        <v>756</v>
      </c>
      <c r="E1875" t="s">
        <v>757</v>
      </c>
      <c r="F1875">
        <v>1</v>
      </c>
      <c r="G1875" t="s">
        <v>176</v>
      </c>
      <c r="H1875">
        <v>0</v>
      </c>
      <c r="I1875">
        <v>2</v>
      </c>
      <c r="J1875" s="10">
        <v>4</v>
      </c>
      <c r="K1875" s="10">
        <f>SUMIFS(F:F,D:D,DST_123_ÜRETİM_İHTİYAÇ_RAPORU_BURAK_YENI1309[[#This Row],[ALT_KOD]])-(SUMIFS(H:H,D:D,DST_123_ÜRETİM_İHTİYAÇ_RAPORU_BURAK_YENI1309[[#This Row],[ALT_KOD]])+AVERAGEIFS(I:I,D:D,DST_123_ÜRETİM_İHTİYAÇ_RAPORU_BURAK_YENI1309[[#This Row],[ALT_KOD]])+AVERAGEIFS(L:L,D:D,DST_123_ÜRETİM_İHTİYAÇ_RAPORU_BURAK_YENI1309[[#This Row],[ALT_KOD]]))</f>
        <v>0</v>
      </c>
      <c r="L1875">
        <v>2</v>
      </c>
      <c r="M1875">
        <f>IF((DST_123_ÜRETİM_İHTİYAÇ_RAPORU_BURAK_YENI1309[[#This Row],[SATINALMA]]*DST_123_ÜRETİM_İHTİYAÇ_RAPORU_BURAK_YENI1309[[#This Row],[BIRIM_FIYATLAR]])&lt;1,VALUE("0"),DST_123_ÜRETİM_İHTİYAÇ_RAPORU_BURAK_YENI1309[[#This Row],[SATINALMA]]*DST_123_ÜRETİM_İHTİYAÇ_RAPORU_BURAK_YENI1309[[#This Row],[BIRIM_FIYATLAR]])</f>
        <v>0</v>
      </c>
      <c r="N1875">
        <v>1667.14</v>
      </c>
      <c r="O1875" t="s">
        <v>632</v>
      </c>
      <c r="P1875">
        <v>1667.14</v>
      </c>
      <c r="Q1875" t="s">
        <v>177</v>
      </c>
    </row>
    <row r="1876" spans="1:17" x14ac:dyDescent="0.25">
      <c r="A1876" t="s">
        <v>1147</v>
      </c>
      <c r="B1876" t="s">
        <v>1145</v>
      </c>
      <c r="C1876" t="s">
        <v>175</v>
      </c>
      <c r="D1876" t="s">
        <v>376</v>
      </c>
      <c r="E1876" t="s">
        <v>377</v>
      </c>
      <c r="F1876">
        <v>3</v>
      </c>
      <c r="G1876" t="s">
        <v>176</v>
      </c>
      <c r="H1876">
        <v>0</v>
      </c>
      <c r="I1876">
        <v>38</v>
      </c>
      <c r="J1876" s="10">
        <v>25</v>
      </c>
      <c r="K1876" s="10">
        <f>SUMIFS(F:F,D:D,DST_123_ÜRETİM_İHTİYAÇ_RAPORU_BURAK_YENI1309[[#This Row],[ALT_KOD]])-(SUMIFS(H:H,D:D,DST_123_ÜRETİM_İHTİYAÇ_RAPORU_BURAK_YENI1309[[#This Row],[ALT_KOD]])+AVERAGEIFS(I:I,D:D,DST_123_ÜRETİM_İHTİYAÇ_RAPORU_BURAK_YENI1309[[#This Row],[ALT_KOD]])+AVERAGEIFS(L:L,D:D,DST_123_ÜRETİM_İHTİYAÇ_RAPORU_BURAK_YENI1309[[#This Row],[ALT_KOD]]))</f>
        <v>-2</v>
      </c>
      <c r="L1876">
        <v>20</v>
      </c>
      <c r="M1876">
        <f>IF((DST_123_ÜRETİM_İHTİYAÇ_RAPORU_BURAK_YENI1309[[#This Row],[SATINALMA]]*DST_123_ÜRETİM_İHTİYAÇ_RAPORU_BURAK_YENI1309[[#This Row],[BIRIM_FIYATLAR]])&lt;1,VALUE("0"),DST_123_ÜRETİM_İHTİYAÇ_RAPORU_BURAK_YENI1309[[#This Row],[SATINALMA]]*DST_123_ÜRETİM_İHTİYAÇ_RAPORU_BURAK_YENI1309[[#This Row],[BIRIM_FIYATLAR]])</f>
        <v>0</v>
      </c>
      <c r="N1876">
        <v>245</v>
      </c>
      <c r="O1876" t="s">
        <v>821</v>
      </c>
      <c r="P1876">
        <v>735</v>
      </c>
      <c r="Q1876" t="s">
        <v>178</v>
      </c>
    </row>
    <row r="1877" spans="1:17" x14ac:dyDescent="0.25">
      <c r="A1877" t="s">
        <v>1146</v>
      </c>
      <c r="B1877" t="s">
        <v>1145</v>
      </c>
      <c r="C1877" t="s">
        <v>175</v>
      </c>
      <c r="D1877" t="s">
        <v>103</v>
      </c>
      <c r="E1877" t="s">
        <v>288</v>
      </c>
      <c r="F1877">
        <v>0.5</v>
      </c>
      <c r="G1877" t="s">
        <v>176</v>
      </c>
      <c r="H1877">
        <v>0</v>
      </c>
      <c r="I1877">
        <v>87</v>
      </c>
      <c r="J1877" s="10">
        <v>50.899999999999949</v>
      </c>
      <c r="K1877" s="10">
        <f>SUMIFS(F:F,D:D,DST_123_ÜRETİM_İHTİYAÇ_RAPORU_BURAK_YENI1309[[#This Row],[ALT_KOD]])-(SUMIFS(H:H,D:D,DST_123_ÜRETİM_İHTİYAÇ_RAPORU_BURAK_YENI1309[[#This Row],[ALT_KOD]])+AVERAGEIFS(I:I,D:D,DST_123_ÜRETİM_İHTİYAÇ_RAPORU_BURAK_YENI1309[[#This Row],[ALT_KOD]])+AVERAGEIFS(L:L,D:D,DST_123_ÜRETİM_İHTİYAÇ_RAPORU_BURAK_YENI1309[[#This Row],[ALT_KOD]]))</f>
        <v>-43.900000000000006</v>
      </c>
      <c r="L1877">
        <v>0</v>
      </c>
      <c r="M1877">
        <f>IF((DST_123_ÜRETİM_İHTİYAÇ_RAPORU_BURAK_YENI1309[[#This Row],[SATINALMA]]*DST_123_ÜRETİM_İHTİYAÇ_RAPORU_BURAK_YENI1309[[#This Row],[BIRIM_FIYATLAR]])&lt;1,VALUE("0"),DST_123_ÜRETİM_İHTİYAÇ_RAPORU_BURAK_YENI1309[[#This Row],[SATINALMA]]*DST_123_ÜRETİM_İHTİYAÇ_RAPORU_BURAK_YENI1309[[#This Row],[BIRIM_FIYATLAR]])</f>
        <v>0</v>
      </c>
      <c r="N1877">
        <v>122.09</v>
      </c>
      <c r="O1877" t="s">
        <v>250</v>
      </c>
      <c r="P1877">
        <v>61.045000000000002</v>
      </c>
      <c r="Q1877" t="s">
        <v>180</v>
      </c>
    </row>
    <row r="1878" spans="1:17" x14ac:dyDescent="0.25">
      <c r="A1878" t="s">
        <v>1150</v>
      </c>
      <c r="B1878" t="s">
        <v>1145</v>
      </c>
      <c r="C1878" t="s">
        <v>175</v>
      </c>
      <c r="D1878" t="s">
        <v>665</v>
      </c>
      <c r="E1878" t="s">
        <v>666</v>
      </c>
      <c r="F1878">
        <v>1</v>
      </c>
      <c r="G1878" t="s">
        <v>176</v>
      </c>
      <c r="H1878">
        <v>0</v>
      </c>
      <c r="I1878">
        <v>0</v>
      </c>
      <c r="J1878" s="10">
        <v>4</v>
      </c>
      <c r="K1878" s="10">
        <f>SUMIFS(F:F,D:D,DST_123_ÜRETİM_İHTİYAÇ_RAPORU_BURAK_YENI1309[[#This Row],[ALT_KOD]])-(SUMIFS(H:H,D:D,DST_123_ÜRETİM_İHTİYAÇ_RAPORU_BURAK_YENI1309[[#This Row],[ALT_KOD]])+AVERAGEIFS(I:I,D:D,DST_123_ÜRETİM_İHTİYAÇ_RAPORU_BURAK_YENI1309[[#This Row],[ALT_KOD]])+AVERAGEIFS(L:L,D:D,DST_123_ÜRETİM_İHTİYAÇ_RAPORU_BURAK_YENI1309[[#This Row],[ALT_KOD]]))</f>
        <v>0</v>
      </c>
      <c r="L1878">
        <v>20</v>
      </c>
      <c r="M1878">
        <f>IF((DST_123_ÜRETİM_İHTİYAÇ_RAPORU_BURAK_YENI1309[[#This Row],[SATINALMA]]*DST_123_ÜRETİM_İHTİYAÇ_RAPORU_BURAK_YENI1309[[#This Row],[BIRIM_FIYATLAR]])&lt;1,VALUE("0"),DST_123_ÜRETİM_İHTİYAÇ_RAPORU_BURAK_YENI1309[[#This Row],[SATINALMA]]*DST_123_ÜRETİM_İHTİYAÇ_RAPORU_BURAK_YENI1309[[#This Row],[BIRIM_FIYATLAR]])</f>
        <v>0</v>
      </c>
      <c r="N1878">
        <v>28000</v>
      </c>
      <c r="O1878" t="s">
        <v>829</v>
      </c>
      <c r="P1878">
        <v>28000</v>
      </c>
      <c r="Q1878" t="s">
        <v>221</v>
      </c>
    </row>
    <row r="1879" spans="1:17" x14ac:dyDescent="0.25">
      <c r="A1879" t="s">
        <v>1150</v>
      </c>
      <c r="B1879" t="s">
        <v>1145</v>
      </c>
      <c r="C1879" t="s">
        <v>175</v>
      </c>
      <c r="D1879" t="s">
        <v>5</v>
      </c>
      <c r="E1879" t="s">
        <v>6</v>
      </c>
      <c r="F1879">
        <v>4.0999999999999996</v>
      </c>
      <c r="G1879" t="s">
        <v>179</v>
      </c>
      <c r="H1879">
        <v>0</v>
      </c>
      <c r="I1879">
        <v>100</v>
      </c>
      <c r="J1879" s="10">
        <v>2.0000000000000568</v>
      </c>
      <c r="K1879" s="10">
        <f>SUMIFS(F:F,D:D,DST_123_ÜRETİM_İHTİYAÇ_RAPORU_BURAK_YENI1309[[#This Row],[ALT_KOD]])-(SUMIFS(H:H,D:D,DST_123_ÜRETİM_İHTİYAÇ_RAPORU_BURAK_YENI1309[[#This Row],[ALT_KOD]])+AVERAGEIFS(I:I,D:D,DST_123_ÜRETİM_İHTİYAÇ_RAPORU_BURAK_YENI1309[[#This Row],[ALT_KOD]])+AVERAGEIFS(L:L,D:D,DST_123_ÜRETİM_İHTİYAÇ_RAPORU_BURAK_YENI1309[[#This Row],[ALT_KOD]]))</f>
        <v>-6.4000000000000057</v>
      </c>
      <c r="L1879">
        <v>0</v>
      </c>
      <c r="M1879">
        <f>IF((DST_123_ÜRETİM_İHTİYAÇ_RAPORU_BURAK_YENI1309[[#This Row],[SATINALMA]]*DST_123_ÜRETİM_İHTİYAÇ_RAPORU_BURAK_YENI1309[[#This Row],[BIRIM_FIYATLAR]])&lt;1,VALUE("0"),DST_123_ÜRETİM_İHTİYAÇ_RAPORU_BURAK_YENI1309[[#This Row],[SATINALMA]]*DST_123_ÜRETİM_İHTİYAÇ_RAPORU_BURAK_YENI1309[[#This Row],[BIRIM_FIYATLAR]])</f>
        <v>0</v>
      </c>
      <c r="N1879">
        <v>111</v>
      </c>
      <c r="O1879" t="s">
        <v>826</v>
      </c>
      <c r="P1879">
        <v>455.09999999999997</v>
      </c>
      <c r="Q1879" t="s">
        <v>221</v>
      </c>
    </row>
    <row r="1880" spans="1:17" x14ac:dyDescent="0.25">
      <c r="A1880" t="s">
        <v>1149</v>
      </c>
      <c r="B1880" t="s">
        <v>1145</v>
      </c>
      <c r="C1880" t="s">
        <v>175</v>
      </c>
      <c r="D1880" t="s">
        <v>204</v>
      </c>
      <c r="E1880" t="s">
        <v>205</v>
      </c>
      <c r="F1880">
        <v>0.5</v>
      </c>
      <c r="G1880" t="s">
        <v>176</v>
      </c>
      <c r="H1880">
        <v>0</v>
      </c>
      <c r="I1880">
        <v>100</v>
      </c>
      <c r="J1880" s="10">
        <v>41</v>
      </c>
      <c r="K1880" s="10">
        <f>SUMIFS(F:F,D:D,DST_123_ÜRETİM_İHTİYAÇ_RAPORU_BURAK_YENI1309[[#This Row],[ALT_KOD]])-(SUMIFS(H:H,D:D,DST_123_ÜRETİM_İHTİYAÇ_RAPORU_BURAK_YENI1309[[#This Row],[ALT_KOD]])+AVERAGEIFS(I:I,D:D,DST_123_ÜRETİM_İHTİYAÇ_RAPORU_BURAK_YENI1309[[#This Row],[ALT_KOD]])+AVERAGEIFS(L:L,D:D,DST_123_ÜRETİM_İHTİYAÇ_RAPORU_BURAK_YENI1309[[#This Row],[ALT_KOD]]))</f>
        <v>-89.5</v>
      </c>
      <c r="L1880">
        <v>0</v>
      </c>
      <c r="M1880">
        <f>IF((DST_123_ÜRETİM_İHTİYAÇ_RAPORU_BURAK_YENI1309[[#This Row],[SATINALMA]]*DST_123_ÜRETİM_İHTİYAÇ_RAPORU_BURAK_YENI1309[[#This Row],[BIRIM_FIYATLAR]])&lt;1,VALUE("0"),DST_123_ÜRETİM_İHTİYAÇ_RAPORU_BURAK_YENI1309[[#This Row],[SATINALMA]]*DST_123_ÜRETİM_İHTİYAÇ_RAPORU_BURAK_YENI1309[[#This Row],[BIRIM_FIYATLAR]])</f>
        <v>0</v>
      </c>
      <c r="N1880">
        <v>60</v>
      </c>
      <c r="O1880" t="s">
        <v>220</v>
      </c>
      <c r="P1880">
        <v>30</v>
      </c>
      <c r="Q1880" t="s">
        <v>180</v>
      </c>
    </row>
    <row r="1881" spans="1:17" x14ac:dyDescent="0.25">
      <c r="A1881" t="s">
        <v>1149</v>
      </c>
      <c r="B1881" t="s">
        <v>1145</v>
      </c>
      <c r="C1881" t="s">
        <v>175</v>
      </c>
      <c r="D1881" t="s">
        <v>159</v>
      </c>
      <c r="E1881" t="s">
        <v>160</v>
      </c>
      <c r="F1881">
        <v>0.25</v>
      </c>
      <c r="G1881" t="s">
        <v>179</v>
      </c>
      <c r="H1881">
        <v>0</v>
      </c>
      <c r="I1881">
        <v>52</v>
      </c>
      <c r="J1881" s="10">
        <v>38.620000000000005</v>
      </c>
      <c r="K1881" s="10">
        <f>SUMIFS(F:F,D:D,DST_123_ÜRETİM_İHTİYAÇ_RAPORU_BURAK_YENI1309[[#This Row],[ALT_KOD]])-(SUMIFS(H:H,D:D,DST_123_ÜRETİM_İHTİYAÇ_RAPORU_BURAK_YENI1309[[#This Row],[ALT_KOD]])+AVERAGEIFS(I:I,D:D,DST_123_ÜRETİM_İHTİYAÇ_RAPORU_BURAK_YENI1309[[#This Row],[ALT_KOD]])+AVERAGEIFS(L:L,D:D,DST_123_ÜRETİM_İHTİYAÇ_RAPORU_BURAK_YENI1309[[#This Row],[ALT_KOD]]))</f>
        <v>-47.39</v>
      </c>
      <c r="L1881">
        <v>0</v>
      </c>
      <c r="M1881">
        <f>IF((DST_123_ÜRETİM_İHTİYAÇ_RAPORU_BURAK_YENI1309[[#This Row],[SATINALMA]]*DST_123_ÜRETİM_İHTİYAÇ_RAPORU_BURAK_YENI1309[[#This Row],[BIRIM_FIYATLAR]])&lt;1,VALUE("0"),DST_123_ÜRETİM_İHTİYAÇ_RAPORU_BURAK_YENI1309[[#This Row],[SATINALMA]]*DST_123_ÜRETİM_İHTİYAÇ_RAPORU_BURAK_YENI1309[[#This Row],[BIRIM_FIYATLAR]])</f>
        <v>0</v>
      </c>
      <c r="N1881">
        <v>126.36</v>
      </c>
      <c r="O1881" t="s">
        <v>619</v>
      </c>
      <c r="P1881">
        <v>31.59</v>
      </c>
      <c r="Q1881" t="s">
        <v>178</v>
      </c>
    </row>
    <row r="1882" spans="1:17" x14ac:dyDescent="0.25">
      <c r="A1882" t="s">
        <v>1150</v>
      </c>
      <c r="B1882" t="s">
        <v>1145</v>
      </c>
      <c r="C1882" t="s">
        <v>175</v>
      </c>
      <c r="D1882" t="s">
        <v>104</v>
      </c>
      <c r="E1882" t="s">
        <v>105</v>
      </c>
      <c r="F1882">
        <v>5</v>
      </c>
      <c r="G1882" t="s">
        <v>176</v>
      </c>
      <c r="H1882">
        <v>0</v>
      </c>
      <c r="I1882">
        <v>0</v>
      </c>
      <c r="J1882" s="10">
        <v>75</v>
      </c>
      <c r="K1882" s="10">
        <f>SUMIFS(F:F,D:D,DST_123_ÜRETİM_İHTİYAÇ_RAPORU_BURAK_YENI1309[[#This Row],[ALT_KOD]])-(SUMIFS(H:H,D:D,DST_123_ÜRETİM_İHTİYAÇ_RAPORU_BURAK_YENI1309[[#This Row],[ALT_KOD]])+AVERAGEIFS(I:I,D:D,DST_123_ÜRETİM_İHTİYAÇ_RAPORU_BURAK_YENI1309[[#This Row],[ALT_KOD]])+AVERAGEIFS(L:L,D:D,DST_123_ÜRETİM_İHTİYAÇ_RAPORU_BURAK_YENI1309[[#This Row],[ALT_KOD]]))</f>
        <v>102</v>
      </c>
      <c r="L1882">
        <v>0</v>
      </c>
      <c r="M1882">
        <f>IF((DST_123_ÜRETİM_İHTİYAÇ_RAPORU_BURAK_YENI1309[[#This Row],[SATINALMA]]*DST_123_ÜRETİM_İHTİYAÇ_RAPORU_BURAK_YENI1309[[#This Row],[BIRIM_FIYATLAR]])&lt;1,VALUE("0"),DST_123_ÜRETİM_İHTİYAÇ_RAPORU_BURAK_YENI1309[[#This Row],[SATINALMA]]*DST_123_ÜRETİM_İHTİYAÇ_RAPORU_BURAK_YENI1309[[#This Row],[BIRIM_FIYATLAR]])</f>
        <v>10710</v>
      </c>
      <c r="N1882">
        <v>105</v>
      </c>
      <c r="O1882" t="s">
        <v>625</v>
      </c>
      <c r="P1882">
        <v>525</v>
      </c>
      <c r="Q1882" t="s">
        <v>178</v>
      </c>
    </row>
    <row r="1883" spans="1:17" x14ac:dyDescent="0.25">
      <c r="A1883" t="s">
        <v>1150</v>
      </c>
      <c r="B1883" t="s">
        <v>1145</v>
      </c>
      <c r="C1883" t="s">
        <v>175</v>
      </c>
      <c r="D1883" t="s">
        <v>378</v>
      </c>
      <c r="E1883" t="s">
        <v>379</v>
      </c>
      <c r="F1883">
        <v>2</v>
      </c>
      <c r="G1883" t="s">
        <v>176</v>
      </c>
      <c r="H1883">
        <v>0</v>
      </c>
      <c r="I1883">
        <v>50</v>
      </c>
      <c r="J1883" s="10">
        <v>33</v>
      </c>
      <c r="K1883" s="10">
        <f>SUMIFS(F:F,D:D,DST_123_ÜRETİM_İHTİYAÇ_RAPORU_BURAK_YENI1309[[#This Row],[ALT_KOD]])-(SUMIFS(H:H,D:D,DST_123_ÜRETİM_İHTİYAÇ_RAPORU_BURAK_YENI1309[[#This Row],[ALT_KOD]])+AVERAGEIFS(I:I,D:D,DST_123_ÜRETİM_İHTİYAÇ_RAPORU_BURAK_YENI1309[[#This Row],[ALT_KOD]])+AVERAGEIFS(L:L,D:D,DST_123_ÜRETİM_İHTİYAÇ_RAPORU_BURAK_YENI1309[[#This Row],[ALT_KOD]]))</f>
        <v>-15</v>
      </c>
      <c r="L1883">
        <v>0</v>
      </c>
      <c r="M1883">
        <f>IF((DST_123_ÜRETİM_İHTİYAÇ_RAPORU_BURAK_YENI1309[[#This Row],[SATINALMA]]*DST_123_ÜRETİM_İHTİYAÇ_RAPORU_BURAK_YENI1309[[#This Row],[BIRIM_FIYATLAR]])&lt;1,VALUE("0"),DST_123_ÜRETİM_İHTİYAÇ_RAPORU_BURAK_YENI1309[[#This Row],[SATINALMA]]*DST_123_ÜRETİM_İHTİYAÇ_RAPORU_BURAK_YENI1309[[#This Row],[BIRIM_FIYATLAR]])</f>
        <v>0</v>
      </c>
      <c r="N1883">
        <v>72.599999999999994</v>
      </c>
      <c r="O1883" t="s">
        <v>240</v>
      </c>
      <c r="P1883">
        <v>145.19999999999999</v>
      </c>
      <c r="Q1883" t="s">
        <v>178</v>
      </c>
    </row>
    <row r="1884" spans="1:17" x14ac:dyDescent="0.25">
      <c r="A1884" t="s">
        <v>1144</v>
      </c>
      <c r="B1884" t="s">
        <v>1145</v>
      </c>
      <c r="C1884" t="s">
        <v>175</v>
      </c>
      <c r="D1884" t="s">
        <v>159</v>
      </c>
      <c r="E1884" t="s">
        <v>160</v>
      </c>
      <c r="F1884">
        <v>0.25</v>
      </c>
      <c r="G1884" t="s">
        <v>179</v>
      </c>
      <c r="H1884">
        <v>0</v>
      </c>
      <c r="I1884">
        <v>52</v>
      </c>
      <c r="J1884" s="10">
        <v>38.620000000000005</v>
      </c>
      <c r="K1884" s="10">
        <f>SUMIFS(F:F,D:D,DST_123_ÜRETİM_İHTİYAÇ_RAPORU_BURAK_YENI1309[[#This Row],[ALT_KOD]])-(SUMIFS(H:H,D:D,DST_123_ÜRETİM_İHTİYAÇ_RAPORU_BURAK_YENI1309[[#This Row],[ALT_KOD]])+AVERAGEIFS(I:I,D:D,DST_123_ÜRETİM_İHTİYAÇ_RAPORU_BURAK_YENI1309[[#This Row],[ALT_KOD]])+AVERAGEIFS(L:L,D:D,DST_123_ÜRETİM_İHTİYAÇ_RAPORU_BURAK_YENI1309[[#This Row],[ALT_KOD]]))</f>
        <v>-47.39</v>
      </c>
      <c r="L1884">
        <v>0</v>
      </c>
      <c r="M1884">
        <f>IF((DST_123_ÜRETİM_İHTİYAÇ_RAPORU_BURAK_YENI1309[[#This Row],[SATINALMA]]*DST_123_ÜRETİM_İHTİYAÇ_RAPORU_BURAK_YENI1309[[#This Row],[BIRIM_FIYATLAR]])&lt;1,VALUE("0"),DST_123_ÜRETİM_İHTİYAÇ_RAPORU_BURAK_YENI1309[[#This Row],[SATINALMA]]*DST_123_ÜRETİM_İHTİYAÇ_RAPORU_BURAK_YENI1309[[#This Row],[BIRIM_FIYATLAR]])</f>
        <v>0</v>
      </c>
      <c r="N1884">
        <v>126.36</v>
      </c>
      <c r="O1884" t="s">
        <v>619</v>
      </c>
      <c r="P1884">
        <v>31.59</v>
      </c>
      <c r="Q1884" t="s">
        <v>178</v>
      </c>
    </row>
    <row r="1885" spans="1:17" x14ac:dyDescent="0.25">
      <c r="A1885" t="s">
        <v>1146</v>
      </c>
      <c r="B1885" t="s">
        <v>1145</v>
      </c>
      <c r="C1885" t="s">
        <v>175</v>
      </c>
      <c r="D1885" t="s">
        <v>159</v>
      </c>
      <c r="E1885" t="s">
        <v>160</v>
      </c>
      <c r="F1885">
        <v>0.25</v>
      </c>
      <c r="G1885" t="s">
        <v>179</v>
      </c>
      <c r="H1885">
        <v>0</v>
      </c>
      <c r="I1885">
        <v>52</v>
      </c>
      <c r="J1885" s="10">
        <v>38.620000000000005</v>
      </c>
      <c r="K1885" s="10">
        <f>SUMIFS(F:F,D:D,DST_123_ÜRETİM_İHTİYAÇ_RAPORU_BURAK_YENI1309[[#This Row],[ALT_KOD]])-(SUMIFS(H:H,D:D,DST_123_ÜRETİM_İHTİYAÇ_RAPORU_BURAK_YENI1309[[#This Row],[ALT_KOD]])+AVERAGEIFS(I:I,D:D,DST_123_ÜRETİM_İHTİYAÇ_RAPORU_BURAK_YENI1309[[#This Row],[ALT_KOD]])+AVERAGEIFS(L:L,D:D,DST_123_ÜRETİM_İHTİYAÇ_RAPORU_BURAK_YENI1309[[#This Row],[ALT_KOD]]))</f>
        <v>-47.39</v>
      </c>
      <c r="L1885">
        <v>0</v>
      </c>
      <c r="M1885">
        <f>IF((DST_123_ÜRETİM_İHTİYAÇ_RAPORU_BURAK_YENI1309[[#This Row],[SATINALMA]]*DST_123_ÜRETİM_İHTİYAÇ_RAPORU_BURAK_YENI1309[[#This Row],[BIRIM_FIYATLAR]])&lt;1,VALUE("0"),DST_123_ÜRETİM_İHTİYAÇ_RAPORU_BURAK_YENI1309[[#This Row],[SATINALMA]]*DST_123_ÜRETİM_İHTİYAÇ_RAPORU_BURAK_YENI1309[[#This Row],[BIRIM_FIYATLAR]])</f>
        <v>0</v>
      </c>
      <c r="N1885">
        <v>126.36</v>
      </c>
      <c r="O1885" t="s">
        <v>619</v>
      </c>
      <c r="P1885">
        <v>31.59</v>
      </c>
      <c r="Q1885" t="s">
        <v>178</v>
      </c>
    </row>
    <row r="1886" spans="1:17" x14ac:dyDescent="0.25">
      <c r="A1886" t="s">
        <v>1149</v>
      </c>
      <c r="B1886" t="s">
        <v>1145</v>
      </c>
      <c r="C1886" t="s">
        <v>175</v>
      </c>
      <c r="D1886" t="s">
        <v>104</v>
      </c>
      <c r="E1886" t="s">
        <v>105</v>
      </c>
      <c r="F1886">
        <v>5</v>
      </c>
      <c r="G1886" t="s">
        <v>176</v>
      </c>
      <c r="H1886">
        <v>0</v>
      </c>
      <c r="I1886">
        <v>0</v>
      </c>
      <c r="J1886" s="10">
        <v>75</v>
      </c>
      <c r="K1886" s="10">
        <f>SUMIFS(F:F,D:D,DST_123_ÜRETİM_İHTİYAÇ_RAPORU_BURAK_YENI1309[[#This Row],[ALT_KOD]])-(SUMIFS(H:H,D:D,DST_123_ÜRETİM_İHTİYAÇ_RAPORU_BURAK_YENI1309[[#This Row],[ALT_KOD]])+AVERAGEIFS(I:I,D:D,DST_123_ÜRETİM_İHTİYAÇ_RAPORU_BURAK_YENI1309[[#This Row],[ALT_KOD]])+AVERAGEIFS(L:L,D:D,DST_123_ÜRETİM_İHTİYAÇ_RAPORU_BURAK_YENI1309[[#This Row],[ALT_KOD]]))</f>
        <v>102</v>
      </c>
      <c r="L1886">
        <v>0</v>
      </c>
      <c r="M1886">
        <f>IF((DST_123_ÜRETİM_İHTİYAÇ_RAPORU_BURAK_YENI1309[[#This Row],[SATINALMA]]*DST_123_ÜRETİM_İHTİYAÇ_RAPORU_BURAK_YENI1309[[#This Row],[BIRIM_FIYATLAR]])&lt;1,VALUE("0"),DST_123_ÜRETİM_İHTİYAÇ_RAPORU_BURAK_YENI1309[[#This Row],[SATINALMA]]*DST_123_ÜRETİM_İHTİYAÇ_RAPORU_BURAK_YENI1309[[#This Row],[BIRIM_FIYATLAR]])</f>
        <v>10710</v>
      </c>
      <c r="N1886">
        <v>105</v>
      </c>
      <c r="O1886" t="s">
        <v>625</v>
      </c>
      <c r="P1886">
        <v>525</v>
      </c>
      <c r="Q1886" t="s">
        <v>178</v>
      </c>
    </row>
    <row r="1887" spans="1:17" x14ac:dyDescent="0.25">
      <c r="A1887" t="s">
        <v>1149</v>
      </c>
      <c r="B1887" t="s">
        <v>1145</v>
      </c>
      <c r="C1887" t="s">
        <v>175</v>
      </c>
      <c r="D1887" t="s">
        <v>378</v>
      </c>
      <c r="E1887" t="s">
        <v>379</v>
      </c>
      <c r="F1887">
        <v>2</v>
      </c>
      <c r="G1887" t="s">
        <v>176</v>
      </c>
      <c r="H1887">
        <v>0</v>
      </c>
      <c r="I1887">
        <v>50</v>
      </c>
      <c r="J1887" s="10">
        <v>33</v>
      </c>
      <c r="K1887" s="10">
        <f>SUMIFS(F:F,D:D,DST_123_ÜRETİM_İHTİYAÇ_RAPORU_BURAK_YENI1309[[#This Row],[ALT_KOD]])-(SUMIFS(H:H,D:D,DST_123_ÜRETİM_İHTİYAÇ_RAPORU_BURAK_YENI1309[[#This Row],[ALT_KOD]])+AVERAGEIFS(I:I,D:D,DST_123_ÜRETİM_İHTİYAÇ_RAPORU_BURAK_YENI1309[[#This Row],[ALT_KOD]])+AVERAGEIFS(L:L,D:D,DST_123_ÜRETİM_İHTİYAÇ_RAPORU_BURAK_YENI1309[[#This Row],[ALT_KOD]]))</f>
        <v>-15</v>
      </c>
      <c r="L1887">
        <v>0</v>
      </c>
      <c r="M1887">
        <f>IF((DST_123_ÜRETİM_İHTİYAÇ_RAPORU_BURAK_YENI1309[[#This Row],[SATINALMA]]*DST_123_ÜRETİM_İHTİYAÇ_RAPORU_BURAK_YENI1309[[#This Row],[BIRIM_FIYATLAR]])&lt;1,VALUE("0"),DST_123_ÜRETİM_İHTİYAÇ_RAPORU_BURAK_YENI1309[[#This Row],[SATINALMA]]*DST_123_ÜRETİM_İHTİYAÇ_RAPORU_BURAK_YENI1309[[#This Row],[BIRIM_FIYATLAR]])</f>
        <v>0</v>
      </c>
      <c r="N1887">
        <v>72.599999999999994</v>
      </c>
      <c r="O1887" t="s">
        <v>240</v>
      </c>
      <c r="P1887">
        <v>145.19999999999999</v>
      </c>
      <c r="Q1887" t="s">
        <v>178</v>
      </c>
    </row>
    <row r="1888" spans="1:17" x14ac:dyDescent="0.25">
      <c r="A1888" t="s">
        <v>1196</v>
      </c>
      <c r="B1888" t="s">
        <v>1197</v>
      </c>
      <c r="C1888" t="s">
        <v>175</v>
      </c>
      <c r="D1888" t="s">
        <v>103</v>
      </c>
      <c r="E1888" t="s">
        <v>288</v>
      </c>
      <c r="F1888">
        <v>1</v>
      </c>
      <c r="G1888" t="s">
        <v>176</v>
      </c>
      <c r="H1888">
        <v>0</v>
      </c>
      <c r="I1888">
        <v>87</v>
      </c>
      <c r="J1888" s="10">
        <v>50.899999999999949</v>
      </c>
      <c r="K1888" s="10">
        <f>SUMIFS(F:F,D:D,DST_123_ÜRETİM_İHTİYAÇ_RAPORU_BURAK_YENI1309[[#This Row],[ALT_KOD]])-(SUMIFS(H:H,D:D,DST_123_ÜRETİM_İHTİYAÇ_RAPORU_BURAK_YENI1309[[#This Row],[ALT_KOD]])+AVERAGEIFS(I:I,D:D,DST_123_ÜRETİM_İHTİYAÇ_RAPORU_BURAK_YENI1309[[#This Row],[ALT_KOD]])+AVERAGEIFS(L:L,D:D,DST_123_ÜRETİM_İHTİYAÇ_RAPORU_BURAK_YENI1309[[#This Row],[ALT_KOD]]))</f>
        <v>-43.900000000000006</v>
      </c>
      <c r="L1888">
        <v>0</v>
      </c>
      <c r="M1888">
        <f>IF((DST_123_ÜRETİM_İHTİYAÇ_RAPORU_BURAK_YENI1309[[#This Row],[SATINALMA]]*DST_123_ÜRETİM_İHTİYAÇ_RAPORU_BURAK_YENI1309[[#This Row],[BIRIM_FIYATLAR]])&lt;1,VALUE("0"),DST_123_ÜRETİM_İHTİYAÇ_RAPORU_BURAK_YENI1309[[#This Row],[SATINALMA]]*DST_123_ÜRETİM_İHTİYAÇ_RAPORU_BURAK_YENI1309[[#This Row],[BIRIM_FIYATLAR]])</f>
        <v>0</v>
      </c>
      <c r="N1888">
        <v>122.09</v>
      </c>
      <c r="O1888" t="s">
        <v>250</v>
      </c>
      <c r="P1888">
        <v>122.09</v>
      </c>
      <c r="Q1888" t="s">
        <v>180</v>
      </c>
    </row>
    <row r="1889" spans="1:17" x14ac:dyDescent="0.25">
      <c r="A1889" t="s">
        <v>1064</v>
      </c>
      <c r="B1889" t="s">
        <v>1055</v>
      </c>
      <c r="C1889" t="s">
        <v>175</v>
      </c>
      <c r="D1889" t="s">
        <v>540</v>
      </c>
      <c r="E1889" t="s">
        <v>541</v>
      </c>
      <c r="F1889">
        <v>4</v>
      </c>
      <c r="G1889" t="s">
        <v>176</v>
      </c>
      <c r="H1889">
        <v>0</v>
      </c>
      <c r="I1889">
        <v>1000</v>
      </c>
      <c r="J1889" s="10">
        <v>0</v>
      </c>
      <c r="K1889" s="10">
        <f>SUMIFS(F:F,D:D,DST_123_ÜRETİM_İHTİYAÇ_RAPORU_BURAK_YENI1309[[#This Row],[ALT_KOD]])-(SUMIFS(H:H,D:D,DST_123_ÜRETİM_İHTİYAÇ_RAPORU_BURAK_YENI1309[[#This Row],[ALT_KOD]])+AVERAGEIFS(I:I,D:D,DST_123_ÜRETİM_İHTİYAÇ_RAPORU_BURAK_YENI1309[[#This Row],[ALT_KOD]])+AVERAGEIFS(L:L,D:D,DST_123_ÜRETİM_İHTİYAÇ_RAPORU_BURAK_YENI1309[[#This Row],[ALT_KOD]]))</f>
        <v>-964</v>
      </c>
      <c r="L1889">
        <v>0</v>
      </c>
      <c r="M1889">
        <f>IF((DST_123_ÜRETİM_İHTİYAÇ_RAPORU_BURAK_YENI1309[[#This Row],[SATINALMA]]*DST_123_ÜRETİM_İHTİYAÇ_RAPORU_BURAK_YENI1309[[#This Row],[BIRIM_FIYATLAR]])&lt;1,VALUE("0"),DST_123_ÜRETİM_İHTİYAÇ_RAPORU_BURAK_YENI1309[[#This Row],[SATINALMA]]*DST_123_ÜRETİM_İHTİYAÇ_RAPORU_BURAK_YENI1309[[#This Row],[BIRIM_FIYATLAR]])</f>
        <v>0</v>
      </c>
      <c r="N1889">
        <v>1.2</v>
      </c>
      <c r="O1889" t="s">
        <v>240</v>
      </c>
      <c r="P1889">
        <v>4.8</v>
      </c>
      <c r="Q1889" t="s">
        <v>180</v>
      </c>
    </row>
    <row r="1890" spans="1:17" x14ac:dyDescent="0.25">
      <c r="A1890" t="s">
        <v>1098</v>
      </c>
      <c r="B1890" t="s">
        <v>1096</v>
      </c>
      <c r="C1890" t="s">
        <v>175</v>
      </c>
      <c r="D1890" t="s">
        <v>540</v>
      </c>
      <c r="E1890" t="s">
        <v>541</v>
      </c>
      <c r="F1890">
        <v>4</v>
      </c>
      <c r="G1890" t="s">
        <v>176</v>
      </c>
      <c r="H1890">
        <v>0</v>
      </c>
      <c r="I1890">
        <v>1000</v>
      </c>
      <c r="J1890" s="10">
        <v>0</v>
      </c>
      <c r="K1890" s="10">
        <f>SUMIFS(F:F,D:D,DST_123_ÜRETİM_İHTİYAÇ_RAPORU_BURAK_YENI1309[[#This Row],[ALT_KOD]])-(SUMIFS(H:H,D:D,DST_123_ÜRETİM_İHTİYAÇ_RAPORU_BURAK_YENI1309[[#This Row],[ALT_KOD]])+AVERAGEIFS(I:I,D:D,DST_123_ÜRETİM_İHTİYAÇ_RAPORU_BURAK_YENI1309[[#This Row],[ALT_KOD]])+AVERAGEIFS(L:L,D:D,DST_123_ÜRETİM_İHTİYAÇ_RAPORU_BURAK_YENI1309[[#This Row],[ALT_KOD]]))</f>
        <v>-964</v>
      </c>
      <c r="L1890">
        <v>0</v>
      </c>
      <c r="M1890">
        <f>IF((DST_123_ÜRETİM_İHTİYAÇ_RAPORU_BURAK_YENI1309[[#This Row],[SATINALMA]]*DST_123_ÜRETİM_İHTİYAÇ_RAPORU_BURAK_YENI1309[[#This Row],[BIRIM_FIYATLAR]])&lt;1,VALUE("0"),DST_123_ÜRETİM_İHTİYAÇ_RAPORU_BURAK_YENI1309[[#This Row],[SATINALMA]]*DST_123_ÜRETİM_İHTİYAÇ_RAPORU_BURAK_YENI1309[[#This Row],[BIRIM_FIYATLAR]])</f>
        <v>0</v>
      </c>
      <c r="N1890">
        <v>1.2</v>
      </c>
      <c r="O1890" t="s">
        <v>240</v>
      </c>
      <c r="P1890">
        <v>4.8</v>
      </c>
      <c r="Q1890" t="s">
        <v>180</v>
      </c>
    </row>
    <row r="1891" spans="1:17" x14ac:dyDescent="0.25">
      <c r="A1891" t="s">
        <v>1098</v>
      </c>
      <c r="B1891" t="s">
        <v>1096</v>
      </c>
      <c r="C1891" t="s">
        <v>175</v>
      </c>
      <c r="D1891" t="s">
        <v>256</v>
      </c>
      <c r="E1891" t="s">
        <v>257</v>
      </c>
      <c r="F1891">
        <v>3.2</v>
      </c>
      <c r="G1891" t="s">
        <v>176</v>
      </c>
      <c r="H1891">
        <v>0</v>
      </c>
      <c r="I1891">
        <v>14</v>
      </c>
      <c r="J1891" s="10">
        <v>6.8000000000000025</v>
      </c>
      <c r="K1891" s="10">
        <f>SUMIFS(F:F,D:D,DST_123_ÜRETİM_İHTİYAÇ_RAPORU_BURAK_YENI1309[[#This Row],[ALT_KOD]])-(SUMIFS(H:H,D:D,DST_123_ÜRETİM_İHTİYAÇ_RAPORU_BURAK_YENI1309[[#This Row],[ALT_KOD]])+AVERAGEIFS(I:I,D:D,DST_123_ÜRETİM_İHTİYAÇ_RAPORU_BURAK_YENI1309[[#This Row],[ALT_KOD]])+AVERAGEIFS(L:L,D:D,DST_123_ÜRETİM_İHTİYAÇ_RAPORU_BURAK_YENI1309[[#This Row],[ALT_KOD]]))</f>
        <v>7.7000000000000028</v>
      </c>
      <c r="L1891">
        <v>12</v>
      </c>
      <c r="M1891">
        <f>IF((DST_123_ÜRETİM_İHTİYAÇ_RAPORU_BURAK_YENI1309[[#This Row],[SATINALMA]]*DST_123_ÜRETİM_İHTİYAÇ_RAPORU_BURAK_YENI1309[[#This Row],[BIRIM_FIYATLAR]])&lt;1,VALUE("0"),DST_123_ÜRETİM_İHTİYAÇ_RAPORU_BURAK_YENI1309[[#This Row],[SATINALMA]]*DST_123_ÜRETİM_İHTİYAÇ_RAPORU_BURAK_YENI1309[[#This Row],[BIRIM_FIYATLAR]])</f>
        <v>2532.1450000000009</v>
      </c>
      <c r="N1891">
        <v>328.85</v>
      </c>
      <c r="O1891" t="s">
        <v>258</v>
      </c>
      <c r="P1891">
        <v>1052.3200000000002</v>
      </c>
      <c r="Q1891" t="s">
        <v>183</v>
      </c>
    </row>
    <row r="1892" spans="1:17" x14ac:dyDescent="0.25">
      <c r="A1892" t="s">
        <v>1064</v>
      </c>
      <c r="B1892" t="s">
        <v>1055</v>
      </c>
      <c r="C1892" t="s">
        <v>175</v>
      </c>
      <c r="D1892" t="s">
        <v>420</v>
      </c>
      <c r="E1892" t="s">
        <v>421</v>
      </c>
      <c r="F1892">
        <v>1</v>
      </c>
      <c r="G1892" t="s">
        <v>179</v>
      </c>
      <c r="H1892">
        <v>0</v>
      </c>
      <c r="I1892">
        <v>0</v>
      </c>
      <c r="J1892" s="10">
        <v>3.0000000000000142</v>
      </c>
      <c r="K1892" s="10">
        <f>SUMIFS(F:F,D:D,DST_123_ÜRETİM_İHTİYAÇ_RAPORU_BURAK_YENI1309[[#This Row],[ALT_KOD]])-(SUMIFS(H:H,D:D,DST_123_ÜRETİM_İHTİYAÇ_RAPORU_BURAK_YENI1309[[#This Row],[ALT_KOD]])+AVERAGEIFS(I:I,D:D,DST_123_ÜRETİM_İHTİYAÇ_RAPORU_BURAK_YENI1309[[#This Row],[ALT_KOD]])+AVERAGEIFS(L:L,D:D,DST_123_ÜRETİM_İHTİYAÇ_RAPORU_BURAK_YENI1309[[#This Row],[ALT_KOD]]))</f>
        <v>11</v>
      </c>
      <c r="L1892">
        <v>0</v>
      </c>
      <c r="M1892">
        <f>IF((DST_123_ÜRETİM_İHTİYAÇ_RAPORU_BURAK_YENI1309[[#This Row],[SATINALMA]]*DST_123_ÜRETİM_İHTİYAÇ_RAPORU_BURAK_YENI1309[[#This Row],[BIRIM_FIYATLAR]])&lt;1,VALUE("0"),DST_123_ÜRETİM_İHTİYAÇ_RAPORU_BURAK_YENI1309[[#This Row],[SATINALMA]]*DST_123_ÜRETİM_İHTİYAÇ_RAPORU_BURAK_YENI1309[[#This Row],[BIRIM_FIYATLAR]])</f>
        <v>5399.35</v>
      </c>
      <c r="N1892">
        <v>490.85</v>
      </c>
      <c r="O1892" t="s">
        <v>422</v>
      </c>
      <c r="P1892">
        <v>490.85</v>
      </c>
      <c r="Q1892" t="s">
        <v>184</v>
      </c>
    </row>
    <row r="1893" spans="1:17" x14ac:dyDescent="0.25">
      <c r="A1893" t="s">
        <v>1098</v>
      </c>
      <c r="B1893" t="s">
        <v>1096</v>
      </c>
      <c r="C1893" t="s">
        <v>175</v>
      </c>
      <c r="D1893" t="s">
        <v>420</v>
      </c>
      <c r="E1893" t="s">
        <v>421</v>
      </c>
      <c r="F1893">
        <v>1</v>
      </c>
      <c r="G1893" t="s">
        <v>179</v>
      </c>
      <c r="H1893">
        <v>0</v>
      </c>
      <c r="I1893">
        <v>0</v>
      </c>
      <c r="J1893" s="10">
        <v>3.0000000000000142</v>
      </c>
      <c r="K1893" s="10">
        <f>SUMIFS(F:F,D:D,DST_123_ÜRETİM_İHTİYAÇ_RAPORU_BURAK_YENI1309[[#This Row],[ALT_KOD]])-(SUMIFS(H:H,D:D,DST_123_ÜRETİM_İHTİYAÇ_RAPORU_BURAK_YENI1309[[#This Row],[ALT_KOD]])+AVERAGEIFS(I:I,D:D,DST_123_ÜRETİM_İHTİYAÇ_RAPORU_BURAK_YENI1309[[#This Row],[ALT_KOD]])+AVERAGEIFS(L:L,D:D,DST_123_ÜRETİM_İHTİYAÇ_RAPORU_BURAK_YENI1309[[#This Row],[ALT_KOD]]))</f>
        <v>11</v>
      </c>
      <c r="L1893">
        <v>0</v>
      </c>
      <c r="M1893">
        <f>IF((DST_123_ÜRETİM_İHTİYAÇ_RAPORU_BURAK_YENI1309[[#This Row],[SATINALMA]]*DST_123_ÜRETİM_İHTİYAÇ_RAPORU_BURAK_YENI1309[[#This Row],[BIRIM_FIYATLAR]])&lt;1,VALUE("0"),DST_123_ÜRETİM_İHTİYAÇ_RAPORU_BURAK_YENI1309[[#This Row],[SATINALMA]]*DST_123_ÜRETİM_İHTİYAÇ_RAPORU_BURAK_YENI1309[[#This Row],[BIRIM_FIYATLAR]])</f>
        <v>5399.35</v>
      </c>
      <c r="N1893">
        <v>490.85</v>
      </c>
      <c r="O1893" t="s">
        <v>422</v>
      </c>
      <c r="P1893">
        <v>490.85</v>
      </c>
      <c r="Q1893" t="s">
        <v>184</v>
      </c>
    </row>
    <row r="1894" spans="1:17" x14ac:dyDescent="0.25">
      <c r="A1894" t="s">
        <v>1064</v>
      </c>
      <c r="B1894" t="s">
        <v>1055</v>
      </c>
      <c r="C1894" t="s">
        <v>175</v>
      </c>
      <c r="D1894" t="s">
        <v>665</v>
      </c>
      <c r="E1894" t="s">
        <v>666</v>
      </c>
      <c r="F1894">
        <v>1</v>
      </c>
      <c r="G1894" t="s">
        <v>176</v>
      </c>
      <c r="H1894">
        <v>0</v>
      </c>
      <c r="I1894">
        <v>0</v>
      </c>
      <c r="J1894" s="10">
        <v>4</v>
      </c>
      <c r="K1894" s="10">
        <f>SUMIFS(F:F,D:D,DST_123_ÜRETİM_İHTİYAÇ_RAPORU_BURAK_YENI1309[[#This Row],[ALT_KOD]])-(SUMIFS(H:H,D:D,DST_123_ÜRETİM_İHTİYAÇ_RAPORU_BURAK_YENI1309[[#This Row],[ALT_KOD]])+AVERAGEIFS(I:I,D:D,DST_123_ÜRETİM_İHTİYAÇ_RAPORU_BURAK_YENI1309[[#This Row],[ALT_KOD]])+AVERAGEIFS(L:L,D:D,DST_123_ÜRETİM_İHTİYAÇ_RAPORU_BURAK_YENI1309[[#This Row],[ALT_KOD]]))</f>
        <v>0</v>
      </c>
      <c r="L1894">
        <v>20</v>
      </c>
      <c r="M1894">
        <f>IF((DST_123_ÜRETİM_İHTİYAÇ_RAPORU_BURAK_YENI1309[[#This Row],[SATINALMA]]*DST_123_ÜRETİM_İHTİYAÇ_RAPORU_BURAK_YENI1309[[#This Row],[BIRIM_FIYATLAR]])&lt;1,VALUE("0"),DST_123_ÜRETİM_İHTİYAÇ_RAPORU_BURAK_YENI1309[[#This Row],[SATINALMA]]*DST_123_ÜRETİM_İHTİYAÇ_RAPORU_BURAK_YENI1309[[#This Row],[BIRIM_FIYATLAR]])</f>
        <v>0</v>
      </c>
      <c r="N1894">
        <v>28000</v>
      </c>
      <c r="O1894" t="s">
        <v>829</v>
      </c>
      <c r="P1894">
        <v>28000</v>
      </c>
      <c r="Q1894" t="s">
        <v>221</v>
      </c>
    </row>
    <row r="1895" spans="1:17" x14ac:dyDescent="0.25">
      <c r="A1895" t="s">
        <v>1196</v>
      </c>
      <c r="B1895" t="s">
        <v>1197</v>
      </c>
      <c r="C1895" t="s">
        <v>175</v>
      </c>
      <c r="D1895" t="s">
        <v>665</v>
      </c>
      <c r="E1895" t="s">
        <v>666</v>
      </c>
      <c r="F1895">
        <v>1</v>
      </c>
      <c r="G1895" t="s">
        <v>176</v>
      </c>
      <c r="H1895">
        <v>0</v>
      </c>
      <c r="I1895">
        <v>0</v>
      </c>
      <c r="J1895" s="10">
        <v>4</v>
      </c>
      <c r="K1895" s="10">
        <f>SUMIFS(F:F,D:D,DST_123_ÜRETİM_İHTİYAÇ_RAPORU_BURAK_YENI1309[[#This Row],[ALT_KOD]])-(SUMIFS(H:H,D:D,DST_123_ÜRETİM_İHTİYAÇ_RAPORU_BURAK_YENI1309[[#This Row],[ALT_KOD]])+AVERAGEIFS(I:I,D:D,DST_123_ÜRETİM_İHTİYAÇ_RAPORU_BURAK_YENI1309[[#This Row],[ALT_KOD]])+AVERAGEIFS(L:L,D:D,DST_123_ÜRETİM_İHTİYAÇ_RAPORU_BURAK_YENI1309[[#This Row],[ALT_KOD]]))</f>
        <v>0</v>
      </c>
      <c r="L1895">
        <v>20</v>
      </c>
      <c r="M1895">
        <f>IF((DST_123_ÜRETİM_İHTİYAÇ_RAPORU_BURAK_YENI1309[[#This Row],[SATINALMA]]*DST_123_ÜRETİM_İHTİYAÇ_RAPORU_BURAK_YENI1309[[#This Row],[BIRIM_FIYATLAR]])&lt;1,VALUE("0"),DST_123_ÜRETİM_İHTİYAÇ_RAPORU_BURAK_YENI1309[[#This Row],[SATINALMA]]*DST_123_ÜRETİM_İHTİYAÇ_RAPORU_BURAK_YENI1309[[#This Row],[BIRIM_FIYATLAR]])</f>
        <v>0</v>
      </c>
      <c r="N1895">
        <v>28000</v>
      </c>
      <c r="O1895" t="s">
        <v>829</v>
      </c>
      <c r="P1895">
        <v>28000</v>
      </c>
      <c r="Q1895" t="s">
        <v>221</v>
      </c>
    </row>
    <row r="1896" spans="1:17" x14ac:dyDescent="0.25">
      <c r="A1896" t="s">
        <v>1099</v>
      </c>
      <c r="B1896" t="s">
        <v>1055</v>
      </c>
      <c r="C1896" t="s">
        <v>175</v>
      </c>
      <c r="D1896" t="s">
        <v>665</v>
      </c>
      <c r="E1896" t="s">
        <v>666</v>
      </c>
      <c r="F1896">
        <v>1</v>
      </c>
      <c r="G1896" t="s">
        <v>176</v>
      </c>
      <c r="H1896">
        <v>0</v>
      </c>
      <c r="I1896">
        <v>0</v>
      </c>
      <c r="J1896" s="10">
        <v>4</v>
      </c>
      <c r="K1896" s="10">
        <f>SUMIFS(F:F,D:D,DST_123_ÜRETİM_İHTİYAÇ_RAPORU_BURAK_YENI1309[[#This Row],[ALT_KOD]])-(SUMIFS(H:H,D:D,DST_123_ÜRETİM_İHTİYAÇ_RAPORU_BURAK_YENI1309[[#This Row],[ALT_KOD]])+AVERAGEIFS(I:I,D:D,DST_123_ÜRETİM_İHTİYAÇ_RAPORU_BURAK_YENI1309[[#This Row],[ALT_KOD]])+AVERAGEIFS(L:L,D:D,DST_123_ÜRETİM_İHTİYAÇ_RAPORU_BURAK_YENI1309[[#This Row],[ALT_KOD]]))</f>
        <v>0</v>
      </c>
      <c r="L1896">
        <v>20</v>
      </c>
      <c r="M1896">
        <f>IF((DST_123_ÜRETİM_İHTİYAÇ_RAPORU_BURAK_YENI1309[[#This Row],[SATINALMA]]*DST_123_ÜRETİM_İHTİYAÇ_RAPORU_BURAK_YENI1309[[#This Row],[BIRIM_FIYATLAR]])&lt;1,VALUE("0"),DST_123_ÜRETİM_İHTİYAÇ_RAPORU_BURAK_YENI1309[[#This Row],[SATINALMA]]*DST_123_ÜRETİM_İHTİYAÇ_RAPORU_BURAK_YENI1309[[#This Row],[BIRIM_FIYATLAR]])</f>
        <v>0</v>
      </c>
      <c r="N1896">
        <v>28000</v>
      </c>
      <c r="O1896" t="s">
        <v>829</v>
      </c>
      <c r="P1896">
        <v>28000</v>
      </c>
      <c r="Q1896" t="s">
        <v>221</v>
      </c>
    </row>
    <row r="1897" spans="1:17" x14ac:dyDescent="0.25">
      <c r="A1897" t="s">
        <v>1196</v>
      </c>
      <c r="B1897" t="s">
        <v>1197</v>
      </c>
      <c r="C1897" t="s">
        <v>175</v>
      </c>
      <c r="D1897" t="s">
        <v>5</v>
      </c>
      <c r="E1897" t="s">
        <v>6</v>
      </c>
      <c r="F1897">
        <v>4.0999999999999996</v>
      </c>
      <c r="G1897" t="s">
        <v>179</v>
      </c>
      <c r="H1897">
        <v>0</v>
      </c>
      <c r="I1897">
        <v>100</v>
      </c>
      <c r="J1897" s="10">
        <v>2.0000000000000568</v>
      </c>
      <c r="K1897" s="10">
        <f>SUMIFS(F:F,D:D,DST_123_ÜRETİM_İHTİYAÇ_RAPORU_BURAK_YENI1309[[#This Row],[ALT_KOD]])-(SUMIFS(H:H,D:D,DST_123_ÜRETİM_İHTİYAÇ_RAPORU_BURAK_YENI1309[[#This Row],[ALT_KOD]])+AVERAGEIFS(I:I,D:D,DST_123_ÜRETİM_İHTİYAÇ_RAPORU_BURAK_YENI1309[[#This Row],[ALT_KOD]])+AVERAGEIFS(L:L,D:D,DST_123_ÜRETİM_İHTİYAÇ_RAPORU_BURAK_YENI1309[[#This Row],[ALT_KOD]]))</f>
        <v>-6.4000000000000057</v>
      </c>
      <c r="L1897">
        <v>0</v>
      </c>
      <c r="M1897">
        <f>IF((DST_123_ÜRETİM_İHTİYAÇ_RAPORU_BURAK_YENI1309[[#This Row],[SATINALMA]]*DST_123_ÜRETİM_İHTİYAÇ_RAPORU_BURAK_YENI1309[[#This Row],[BIRIM_FIYATLAR]])&lt;1,VALUE("0"),DST_123_ÜRETİM_İHTİYAÇ_RAPORU_BURAK_YENI1309[[#This Row],[SATINALMA]]*DST_123_ÜRETİM_İHTİYAÇ_RAPORU_BURAK_YENI1309[[#This Row],[BIRIM_FIYATLAR]])</f>
        <v>0</v>
      </c>
      <c r="N1897">
        <v>111</v>
      </c>
      <c r="O1897" t="s">
        <v>826</v>
      </c>
      <c r="P1897">
        <v>455.09999999999997</v>
      </c>
      <c r="Q1897" t="s">
        <v>221</v>
      </c>
    </row>
    <row r="1898" spans="1:17" x14ac:dyDescent="0.25">
      <c r="A1898" t="s">
        <v>1098</v>
      </c>
      <c r="B1898" t="s">
        <v>1096</v>
      </c>
      <c r="C1898" t="s">
        <v>175</v>
      </c>
      <c r="D1898" t="s">
        <v>5</v>
      </c>
      <c r="E1898" t="s">
        <v>6</v>
      </c>
      <c r="F1898">
        <v>1.6</v>
      </c>
      <c r="G1898" t="s">
        <v>179</v>
      </c>
      <c r="H1898">
        <v>0</v>
      </c>
      <c r="I1898">
        <v>100</v>
      </c>
      <c r="J1898" s="10">
        <v>2.0000000000000568</v>
      </c>
      <c r="K1898" s="10">
        <f>SUMIFS(F:F,D:D,DST_123_ÜRETİM_İHTİYAÇ_RAPORU_BURAK_YENI1309[[#This Row],[ALT_KOD]])-(SUMIFS(H:H,D:D,DST_123_ÜRETİM_İHTİYAÇ_RAPORU_BURAK_YENI1309[[#This Row],[ALT_KOD]])+AVERAGEIFS(I:I,D:D,DST_123_ÜRETİM_İHTİYAÇ_RAPORU_BURAK_YENI1309[[#This Row],[ALT_KOD]])+AVERAGEIFS(L:L,D:D,DST_123_ÜRETİM_İHTİYAÇ_RAPORU_BURAK_YENI1309[[#This Row],[ALT_KOD]]))</f>
        <v>-6.4000000000000057</v>
      </c>
      <c r="L1898">
        <v>0</v>
      </c>
      <c r="M1898">
        <f>IF((DST_123_ÜRETİM_İHTİYAÇ_RAPORU_BURAK_YENI1309[[#This Row],[SATINALMA]]*DST_123_ÜRETİM_İHTİYAÇ_RAPORU_BURAK_YENI1309[[#This Row],[BIRIM_FIYATLAR]])&lt;1,VALUE("0"),DST_123_ÜRETİM_İHTİYAÇ_RAPORU_BURAK_YENI1309[[#This Row],[SATINALMA]]*DST_123_ÜRETİM_İHTİYAÇ_RAPORU_BURAK_YENI1309[[#This Row],[BIRIM_FIYATLAR]])</f>
        <v>0</v>
      </c>
      <c r="N1898">
        <v>111</v>
      </c>
      <c r="O1898" t="s">
        <v>826</v>
      </c>
      <c r="P1898">
        <v>177.60000000000002</v>
      </c>
      <c r="Q1898" t="s">
        <v>221</v>
      </c>
    </row>
    <row r="1899" spans="1:17" x14ac:dyDescent="0.25">
      <c r="A1899" t="s">
        <v>1099</v>
      </c>
      <c r="B1899" t="s">
        <v>1055</v>
      </c>
      <c r="C1899" t="s">
        <v>175</v>
      </c>
      <c r="D1899" t="s">
        <v>5</v>
      </c>
      <c r="E1899" t="s">
        <v>6</v>
      </c>
      <c r="F1899">
        <v>5.5</v>
      </c>
      <c r="G1899" t="s">
        <v>179</v>
      </c>
      <c r="H1899">
        <v>0</v>
      </c>
      <c r="I1899">
        <v>100</v>
      </c>
      <c r="J1899" s="10">
        <v>2.0000000000000568</v>
      </c>
      <c r="K1899" s="10">
        <f>SUMIFS(F:F,D:D,DST_123_ÜRETİM_İHTİYAÇ_RAPORU_BURAK_YENI1309[[#This Row],[ALT_KOD]])-(SUMIFS(H:H,D:D,DST_123_ÜRETİM_İHTİYAÇ_RAPORU_BURAK_YENI1309[[#This Row],[ALT_KOD]])+AVERAGEIFS(I:I,D:D,DST_123_ÜRETİM_İHTİYAÇ_RAPORU_BURAK_YENI1309[[#This Row],[ALT_KOD]])+AVERAGEIFS(L:L,D:D,DST_123_ÜRETİM_İHTİYAÇ_RAPORU_BURAK_YENI1309[[#This Row],[ALT_KOD]]))</f>
        <v>-6.4000000000000057</v>
      </c>
      <c r="L1899">
        <v>0</v>
      </c>
      <c r="M1899">
        <f>IF((DST_123_ÜRETİM_İHTİYAÇ_RAPORU_BURAK_YENI1309[[#This Row],[SATINALMA]]*DST_123_ÜRETİM_İHTİYAÇ_RAPORU_BURAK_YENI1309[[#This Row],[BIRIM_FIYATLAR]])&lt;1,VALUE("0"),DST_123_ÜRETİM_İHTİYAÇ_RAPORU_BURAK_YENI1309[[#This Row],[SATINALMA]]*DST_123_ÜRETİM_İHTİYAÇ_RAPORU_BURAK_YENI1309[[#This Row],[BIRIM_FIYATLAR]])</f>
        <v>0</v>
      </c>
      <c r="N1899">
        <v>111</v>
      </c>
      <c r="O1899" t="s">
        <v>826</v>
      </c>
      <c r="P1899">
        <v>610.5</v>
      </c>
      <c r="Q1899" t="s">
        <v>221</v>
      </c>
    </row>
    <row r="1900" spans="1:17" x14ac:dyDescent="0.25">
      <c r="A1900" t="s">
        <v>1098</v>
      </c>
      <c r="B1900" t="s">
        <v>1096</v>
      </c>
      <c r="C1900" t="s">
        <v>175</v>
      </c>
      <c r="D1900" t="s">
        <v>7</v>
      </c>
      <c r="E1900" t="s">
        <v>8</v>
      </c>
      <c r="F1900">
        <v>1</v>
      </c>
      <c r="G1900" t="s">
        <v>176</v>
      </c>
      <c r="H1900">
        <v>0</v>
      </c>
      <c r="I1900">
        <v>6</v>
      </c>
      <c r="J1900" s="10">
        <v>7</v>
      </c>
      <c r="K1900" s="10">
        <f>SUMIFS(F:F,D:D,DST_123_ÜRETİM_İHTİYAÇ_RAPORU_BURAK_YENI1309[[#This Row],[ALT_KOD]])-(SUMIFS(H:H,D:D,DST_123_ÜRETİM_İHTİYAÇ_RAPORU_BURAK_YENI1309[[#This Row],[ALT_KOD]])+AVERAGEIFS(I:I,D:D,DST_123_ÜRETİM_İHTİYAÇ_RAPORU_BURAK_YENI1309[[#This Row],[ALT_KOD]])+AVERAGEIFS(L:L,D:D,DST_123_ÜRETİM_İHTİYAÇ_RAPORU_BURAK_YENI1309[[#This Row],[ALT_KOD]]))</f>
        <v>2</v>
      </c>
      <c r="L1900">
        <v>0</v>
      </c>
      <c r="M1900">
        <f>IF((DST_123_ÜRETİM_İHTİYAÇ_RAPORU_BURAK_YENI1309[[#This Row],[SATINALMA]]*DST_123_ÜRETİM_İHTİYAÇ_RAPORU_BURAK_YENI1309[[#This Row],[BIRIM_FIYATLAR]])&lt;1,VALUE("0"),DST_123_ÜRETİM_İHTİYAÇ_RAPORU_BURAK_YENI1309[[#This Row],[SATINALMA]]*DST_123_ÜRETİM_İHTİYAÇ_RAPORU_BURAK_YENI1309[[#This Row],[BIRIM_FIYATLAR]])</f>
        <v>4960.92</v>
      </c>
      <c r="N1900">
        <v>2480.46</v>
      </c>
      <c r="O1900" t="s">
        <v>227</v>
      </c>
      <c r="P1900">
        <v>2480.46</v>
      </c>
      <c r="Q1900" t="s">
        <v>221</v>
      </c>
    </row>
    <row r="1901" spans="1:17" x14ac:dyDescent="0.25">
      <c r="A1901" t="s">
        <v>1099</v>
      </c>
      <c r="B1901" t="s">
        <v>1055</v>
      </c>
      <c r="C1901" t="s">
        <v>175</v>
      </c>
      <c r="D1901" t="s">
        <v>7</v>
      </c>
      <c r="E1901" t="s">
        <v>8</v>
      </c>
      <c r="F1901">
        <v>1</v>
      </c>
      <c r="G1901" t="s">
        <v>176</v>
      </c>
      <c r="H1901">
        <v>0</v>
      </c>
      <c r="I1901">
        <v>6</v>
      </c>
      <c r="J1901" s="10">
        <v>7</v>
      </c>
      <c r="K1901" s="10">
        <f>SUMIFS(F:F,D:D,DST_123_ÜRETİM_İHTİYAÇ_RAPORU_BURAK_YENI1309[[#This Row],[ALT_KOD]])-(SUMIFS(H:H,D:D,DST_123_ÜRETİM_İHTİYAÇ_RAPORU_BURAK_YENI1309[[#This Row],[ALT_KOD]])+AVERAGEIFS(I:I,D:D,DST_123_ÜRETİM_İHTİYAÇ_RAPORU_BURAK_YENI1309[[#This Row],[ALT_KOD]])+AVERAGEIFS(L:L,D:D,DST_123_ÜRETİM_İHTİYAÇ_RAPORU_BURAK_YENI1309[[#This Row],[ALT_KOD]]))</f>
        <v>2</v>
      </c>
      <c r="L1901">
        <v>0</v>
      </c>
      <c r="M1901">
        <f>IF((DST_123_ÜRETİM_İHTİYAÇ_RAPORU_BURAK_YENI1309[[#This Row],[SATINALMA]]*DST_123_ÜRETİM_İHTİYAÇ_RAPORU_BURAK_YENI1309[[#This Row],[BIRIM_FIYATLAR]])&lt;1,VALUE("0"),DST_123_ÜRETİM_İHTİYAÇ_RAPORU_BURAK_YENI1309[[#This Row],[SATINALMA]]*DST_123_ÜRETİM_İHTİYAÇ_RAPORU_BURAK_YENI1309[[#This Row],[BIRIM_FIYATLAR]])</f>
        <v>4960.92</v>
      </c>
      <c r="N1901">
        <v>2480.46</v>
      </c>
      <c r="O1901" t="s">
        <v>227</v>
      </c>
      <c r="P1901">
        <v>2480.46</v>
      </c>
      <c r="Q1901" t="s">
        <v>221</v>
      </c>
    </row>
    <row r="1902" spans="1:17" x14ac:dyDescent="0.25">
      <c r="A1902" t="s">
        <v>1098</v>
      </c>
      <c r="B1902" t="s">
        <v>1096</v>
      </c>
      <c r="C1902" t="s">
        <v>175</v>
      </c>
      <c r="D1902" t="s">
        <v>9</v>
      </c>
      <c r="E1902" t="s">
        <v>10</v>
      </c>
      <c r="F1902">
        <v>4</v>
      </c>
      <c r="G1902" t="s">
        <v>176</v>
      </c>
      <c r="H1902">
        <v>0</v>
      </c>
      <c r="I1902">
        <v>39</v>
      </c>
      <c r="J1902" s="10">
        <v>32</v>
      </c>
      <c r="K1902" s="10">
        <f>SUMIFS(F:F,D:D,DST_123_ÜRETİM_İHTİYAÇ_RAPORU_BURAK_YENI1309[[#This Row],[ALT_KOD]])-(SUMIFS(H:H,D:D,DST_123_ÜRETİM_İHTİYAÇ_RAPORU_BURAK_YENI1309[[#This Row],[ALT_KOD]])+AVERAGEIFS(I:I,D:D,DST_123_ÜRETİM_İHTİYAÇ_RAPORU_BURAK_YENI1309[[#This Row],[ALT_KOD]])+AVERAGEIFS(L:L,D:D,DST_123_ÜRETİM_İHTİYAÇ_RAPORU_BURAK_YENI1309[[#This Row],[ALT_KOD]]))</f>
        <v>-11</v>
      </c>
      <c r="L1902">
        <v>0</v>
      </c>
      <c r="M1902">
        <f>IF((DST_123_ÜRETİM_İHTİYAÇ_RAPORU_BURAK_YENI1309[[#This Row],[SATINALMA]]*DST_123_ÜRETİM_İHTİYAÇ_RAPORU_BURAK_YENI1309[[#This Row],[BIRIM_FIYATLAR]])&lt;1,VALUE("0"),DST_123_ÜRETİM_İHTİYAÇ_RAPORU_BURAK_YENI1309[[#This Row],[SATINALMA]]*DST_123_ÜRETİM_İHTİYAÇ_RAPORU_BURAK_YENI1309[[#This Row],[BIRIM_FIYATLAR]])</f>
        <v>0</v>
      </c>
      <c r="N1902">
        <v>73.349999999999994</v>
      </c>
      <c r="O1902" t="s">
        <v>227</v>
      </c>
      <c r="P1902">
        <v>293.39999999999998</v>
      </c>
      <c r="Q1902" t="s">
        <v>221</v>
      </c>
    </row>
    <row r="1903" spans="1:17" x14ac:dyDescent="0.25">
      <c r="A1903" t="s">
        <v>1098</v>
      </c>
      <c r="B1903" t="s">
        <v>1096</v>
      </c>
      <c r="C1903" t="s">
        <v>175</v>
      </c>
      <c r="D1903" t="s">
        <v>204</v>
      </c>
      <c r="E1903" t="s">
        <v>205</v>
      </c>
      <c r="F1903">
        <v>1</v>
      </c>
      <c r="G1903" t="s">
        <v>176</v>
      </c>
      <c r="H1903">
        <v>0</v>
      </c>
      <c r="I1903">
        <v>100</v>
      </c>
      <c r="J1903" s="10">
        <v>41</v>
      </c>
      <c r="K1903" s="10">
        <f>SUMIFS(F:F,D:D,DST_123_ÜRETİM_İHTİYAÇ_RAPORU_BURAK_YENI1309[[#This Row],[ALT_KOD]])-(SUMIFS(H:H,D:D,DST_123_ÜRETİM_İHTİYAÇ_RAPORU_BURAK_YENI1309[[#This Row],[ALT_KOD]])+AVERAGEIFS(I:I,D:D,DST_123_ÜRETİM_İHTİYAÇ_RAPORU_BURAK_YENI1309[[#This Row],[ALT_KOD]])+AVERAGEIFS(L:L,D:D,DST_123_ÜRETİM_İHTİYAÇ_RAPORU_BURAK_YENI1309[[#This Row],[ALT_KOD]]))</f>
        <v>-89.5</v>
      </c>
      <c r="L1903">
        <v>0</v>
      </c>
      <c r="M1903">
        <f>IF((DST_123_ÜRETİM_İHTİYAÇ_RAPORU_BURAK_YENI1309[[#This Row],[SATINALMA]]*DST_123_ÜRETİM_İHTİYAÇ_RAPORU_BURAK_YENI1309[[#This Row],[BIRIM_FIYATLAR]])&lt;1,VALUE("0"),DST_123_ÜRETİM_İHTİYAÇ_RAPORU_BURAK_YENI1309[[#This Row],[SATINALMA]]*DST_123_ÜRETİM_İHTİYAÇ_RAPORU_BURAK_YENI1309[[#This Row],[BIRIM_FIYATLAR]])</f>
        <v>0</v>
      </c>
      <c r="N1903">
        <v>60</v>
      </c>
      <c r="O1903" t="s">
        <v>220</v>
      </c>
      <c r="P1903">
        <v>60</v>
      </c>
      <c r="Q1903" t="s">
        <v>180</v>
      </c>
    </row>
    <row r="1904" spans="1:17" x14ac:dyDescent="0.25">
      <c r="A1904" t="s">
        <v>1150</v>
      </c>
      <c r="B1904" t="s">
        <v>1145</v>
      </c>
      <c r="C1904" t="s">
        <v>175</v>
      </c>
      <c r="D1904" t="s">
        <v>256</v>
      </c>
      <c r="E1904" t="s">
        <v>257</v>
      </c>
      <c r="F1904">
        <v>2.7</v>
      </c>
      <c r="G1904" t="s">
        <v>176</v>
      </c>
      <c r="H1904">
        <v>0</v>
      </c>
      <c r="I1904">
        <v>14</v>
      </c>
      <c r="J1904" s="10">
        <v>6.8000000000000025</v>
      </c>
      <c r="K1904" s="10">
        <f>SUMIFS(F:F,D:D,DST_123_ÜRETİM_İHTİYAÇ_RAPORU_BURAK_YENI1309[[#This Row],[ALT_KOD]])-(SUMIFS(H:H,D:D,DST_123_ÜRETİM_İHTİYAÇ_RAPORU_BURAK_YENI1309[[#This Row],[ALT_KOD]])+AVERAGEIFS(I:I,D:D,DST_123_ÜRETİM_İHTİYAÇ_RAPORU_BURAK_YENI1309[[#This Row],[ALT_KOD]])+AVERAGEIFS(L:L,D:D,DST_123_ÜRETİM_İHTİYAÇ_RAPORU_BURAK_YENI1309[[#This Row],[ALT_KOD]]))</f>
        <v>7.7000000000000028</v>
      </c>
      <c r="L1904">
        <v>12</v>
      </c>
      <c r="M1904">
        <f>IF((DST_123_ÜRETİM_İHTİYAÇ_RAPORU_BURAK_YENI1309[[#This Row],[SATINALMA]]*DST_123_ÜRETİM_İHTİYAÇ_RAPORU_BURAK_YENI1309[[#This Row],[BIRIM_FIYATLAR]])&lt;1,VALUE("0"),DST_123_ÜRETİM_İHTİYAÇ_RAPORU_BURAK_YENI1309[[#This Row],[SATINALMA]]*DST_123_ÜRETİM_İHTİYAÇ_RAPORU_BURAK_YENI1309[[#This Row],[BIRIM_FIYATLAR]])</f>
        <v>2532.1450000000009</v>
      </c>
      <c r="N1904">
        <v>328.85</v>
      </c>
      <c r="O1904" t="s">
        <v>258</v>
      </c>
      <c r="P1904">
        <v>887.8950000000001</v>
      </c>
      <c r="Q1904" t="s">
        <v>183</v>
      </c>
    </row>
    <row r="1905" spans="1:17" x14ac:dyDescent="0.25">
      <c r="A1905" t="s">
        <v>1148</v>
      </c>
      <c r="B1905" t="s">
        <v>1056</v>
      </c>
      <c r="C1905" t="s">
        <v>175</v>
      </c>
      <c r="D1905" t="s">
        <v>376</v>
      </c>
      <c r="E1905" t="s">
        <v>377</v>
      </c>
      <c r="F1905">
        <v>3</v>
      </c>
      <c r="G1905" t="s">
        <v>176</v>
      </c>
      <c r="H1905">
        <v>0</v>
      </c>
      <c r="I1905">
        <v>38</v>
      </c>
      <c r="J1905" s="10">
        <v>25</v>
      </c>
      <c r="K1905" s="10">
        <f>SUMIFS(F:F,D:D,DST_123_ÜRETİM_İHTİYAÇ_RAPORU_BURAK_YENI1309[[#This Row],[ALT_KOD]])-(SUMIFS(H:H,D:D,DST_123_ÜRETİM_İHTİYAÇ_RAPORU_BURAK_YENI1309[[#This Row],[ALT_KOD]])+AVERAGEIFS(I:I,D:D,DST_123_ÜRETİM_İHTİYAÇ_RAPORU_BURAK_YENI1309[[#This Row],[ALT_KOD]])+AVERAGEIFS(L:L,D:D,DST_123_ÜRETİM_İHTİYAÇ_RAPORU_BURAK_YENI1309[[#This Row],[ALT_KOD]]))</f>
        <v>-2</v>
      </c>
      <c r="L1905">
        <v>20</v>
      </c>
      <c r="M1905">
        <f>IF((DST_123_ÜRETİM_İHTİYAÇ_RAPORU_BURAK_YENI1309[[#This Row],[SATINALMA]]*DST_123_ÜRETİM_İHTİYAÇ_RAPORU_BURAK_YENI1309[[#This Row],[BIRIM_FIYATLAR]])&lt;1,VALUE("0"),DST_123_ÜRETİM_İHTİYAÇ_RAPORU_BURAK_YENI1309[[#This Row],[SATINALMA]]*DST_123_ÜRETİM_İHTİYAÇ_RAPORU_BURAK_YENI1309[[#This Row],[BIRIM_FIYATLAR]])</f>
        <v>0</v>
      </c>
      <c r="N1905">
        <v>245</v>
      </c>
      <c r="O1905" t="s">
        <v>821</v>
      </c>
      <c r="P1905">
        <v>735</v>
      </c>
      <c r="Q1905" t="s">
        <v>178</v>
      </c>
    </row>
    <row r="1906" spans="1:17" x14ac:dyDescent="0.25">
      <c r="A1906" t="s">
        <v>1095</v>
      </c>
      <c r="B1906" t="s">
        <v>1096</v>
      </c>
      <c r="C1906" t="s">
        <v>175</v>
      </c>
      <c r="D1906" t="s">
        <v>114</v>
      </c>
      <c r="E1906" t="s">
        <v>115</v>
      </c>
      <c r="F1906">
        <v>1.9259999999999999</v>
      </c>
      <c r="G1906" t="s">
        <v>185</v>
      </c>
      <c r="H1906">
        <v>0</v>
      </c>
      <c r="I1906">
        <v>0</v>
      </c>
      <c r="J1906" s="10">
        <v>65.03100000000002</v>
      </c>
      <c r="K1906" s="10">
        <f>SUMIFS(F:F,D:D,DST_123_ÜRETİM_İHTİYAÇ_RAPORU_BURAK_YENI1309[[#This Row],[ALT_KOD]])-(SUMIFS(H:H,D:D,DST_123_ÜRETİM_İHTİYAÇ_RAPORU_BURAK_YENI1309[[#This Row],[ALT_KOD]])+AVERAGEIFS(I:I,D:D,DST_123_ÜRETİM_İHTİYAÇ_RAPORU_BURAK_YENI1309[[#This Row],[ALT_KOD]])+AVERAGEIFS(L:L,D:D,DST_123_ÜRETİM_İHTİYAÇ_RAPORU_BURAK_YENI1309[[#This Row],[ALT_KOD]]))</f>
        <v>17.948</v>
      </c>
      <c r="L1906">
        <v>0</v>
      </c>
      <c r="M1906">
        <f>IF((DST_123_ÜRETİM_İHTİYAÇ_RAPORU_BURAK_YENI1309[[#This Row],[SATINALMA]]*DST_123_ÜRETİM_İHTİYAÇ_RAPORU_BURAK_YENI1309[[#This Row],[BIRIM_FIYATLAR]])&lt;1,VALUE("0"),DST_123_ÜRETİM_İHTİYAÇ_RAPORU_BURAK_YENI1309[[#This Row],[SATINALMA]]*DST_123_ÜRETİM_İHTİYAÇ_RAPORU_BURAK_YENI1309[[#This Row],[BIRIM_FIYATLAR]])</f>
        <v>6991.2844399999994</v>
      </c>
      <c r="N1906">
        <v>389.53</v>
      </c>
      <c r="O1906" t="s">
        <v>490</v>
      </c>
      <c r="P1906">
        <v>750.23477999999989</v>
      </c>
      <c r="Q1906" t="s">
        <v>183</v>
      </c>
    </row>
    <row r="1907" spans="1:17" x14ac:dyDescent="0.25">
      <c r="A1907" t="s">
        <v>1095</v>
      </c>
      <c r="B1907" t="s">
        <v>1096</v>
      </c>
      <c r="C1907" t="s">
        <v>175</v>
      </c>
      <c r="D1907" t="s">
        <v>0</v>
      </c>
      <c r="E1907" t="s">
        <v>1</v>
      </c>
      <c r="F1907">
        <v>2</v>
      </c>
      <c r="G1907" t="s">
        <v>176</v>
      </c>
      <c r="H1907">
        <v>0</v>
      </c>
      <c r="I1907">
        <v>67</v>
      </c>
      <c r="J1907" s="10">
        <v>24</v>
      </c>
      <c r="K1907" s="10">
        <f>SUMIFS(F:F,D:D,DST_123_ÜRETİM_İHTİYAÇ_RAPORU_BURAK_YENI1309[[#This Row],[ALT_KOD]])-(SUMIFS(H:H,D:D,DST_123_ÜRETİM_İHTİYAÇ_RAPORU_BURAK_YENI1309[[#This Row],[ALT_KOD]])+AVERAGEIFS(I:I,D:D,DST_123_ÜRETİM_İHTİYAÇ_RAPORU_BURAK_YENI1309[[#This Row],[ALT_KOD]])+AVERAGEIFS(L:L,D:D,DST_123_ÜRETİM_İHTİYAÇ_RAPORU_BURAK_YENI1309[[#This Row],[ALT_KOD]]))</f>
        <v>-38</v>
      </c>
      <c r="L1907">
        <v>0</v>
      </c>
      <c r="M1907">
        <f>IF((DST_123_ÜRETİM_İHTİYAÇ_RAPORU_BURAK_YENI1309[[#This Row],[SATINALMA]]*DST_123_ÜRETİM_İHTİYAÇ_RAPORU_BURAK_YENI1309[[#This Row],[BIRIM_FIYATLAR]])&lt;1,VALUE("0"),DST_123_ÜRETİM_İHTİYAÇ_RAPORU_BURAK_YENI1309[[#This Row],[SATINALMA]]*DST_123_ÜRETİM_İHTİYAÇ_RAPORU_BURAK_YENI1309[[#This Row],[BIRIM_FIYATLAR]])</f>
        <v>0</v>
      </c>
      <c r="N1907">
        <v>640</v>
      </c>
      <c r="O1907" t="s">
        <v>220</v>
      </c>
      <c r="P1907">
        <v>1280</v>
      </c>
      <c r="Q1907" t="s">
        <v>221</v>
      </c>
    </row>
    <row r="1908" spans="1:17" x14ac:dyDescent="0.25">
      <c r="A1908" t="s">
        <v>1142</v>
      </c>
      <c r="B1908" t="s">
        <v>1056</v>
      </c>
      <c r="C1908" t="s">
        <v>175</v>
      </c>
      <c r="D1908" t="s">
        <v>229</v>
      </c>
      <c r="E1908" t="s">
        <v>230</v>
      </c>
      <c r="F1908">
        <v>2</v>
      </c>
      <c r="G1908" t="s">
        <v>176</v>
      </c>
      <c r="H1908">
        <v>0</v>
      </c>
      <c r="I1908">
        <v>238</v>
      </c>
      <c r="J1908" s="10">
        <v>90</v>
      </c>
      <c r="K1908" s="10">
        <f>SUMIFS(F:F,D:D,DST_123_ÜRETİM_İHTİYAÇ_RAPORU_BURAK_YENI1309[[#This Row],[ALT_KOD]])-(SUMIFS(H:H,D:D,DST_123_ÜRETİM_İHTİYAÇ_RAPORU_BURAK_YENI1309[[#This Row],[ALT_KOD]])+AVERAGEIFS(I:I,D:D,DST_123_ÜRETİM_İHTİYAÇ_RAPORU_BURAK_YENI1309[[#This Row],[ALT_KOD]])+AVERAGEIFS(L:L,D:D,DST_123_ÜRETİM_İHTİYAÇ_RAPORU_BURAK_YENI1309[[#This Row],[ALT_KOD]]))</f>
        <v>-200</v>
      </c>
      <c r="L1908">
        <v>0</v>
      </c>
      <c r="M1908">
        <f>IF((DST_123_ÜRETİM_İHTİYAÇ_RAPORU_BURAK_YENI1309[[#This Row],[SATINALMA]]*DST_123_ÜRETİM_İHTİYAÇ_RAPORU_BURAK_YENI1309[[#This Row],[BIRIM_FIYATLAR]])&lt;1,VALUE("0"),DST_123_ÜRETİM_İHTİYAÇ_RAPORU_BURAK_YENI1309[[#This Row],[SATINALMA]]*DST_123_ÜRETİM_İHTİYAÇ_RAPORU_BURAK_YENI1309[[#This Row],[BIRIM_FIYATLAR]])</f>
        <v>0</v>
      </c>
      <c r="N1908">
        <v>4</v>
      </c>
      <c r="O1908" t="s">
        <v>220</v>
      </c>
      <c r="P1908">
        <v>8</v>
      </c>
      <c r="Q1908" t="s">
        <v>221</v>
      </c>
    </row>
    <row r="1909" spans="1:17" x14ac:dyDescent="0.25">
      <c r="A1909" t="s">
        <v>1143</v>
      </c>
      <c r="B1909" t="s">
        <v>1056</v>
      </c>
      <c r="C1909" t="s">
        <v>175</v>
      </c>
      <c r="D1909" t="s">
        <v>0</v>
      </c>
      <c r="E1909" t="s">
        <v>1</v>
      </c>
      <c r="F1909">
        <v>2</v>
      </c>
      <c r="G1909" t="s">
        <v>176</v>
      </c>
      <c r="H1909">
        <v>0</v>
      </c>
      <c r="I1909">
        <v>67</v>
      </c>
      <c r="J1909" s="10">
        <v>24</v>
      </c>
      <c r="K1909" s="10">
        <f>SUMIFS(F:F,D:D,DST_123_ÜRETİM_İHTİYAÇ_RAPORU_BURAK_YENI1309[[#This Row],[ALT_KOD]])-(SUMIFS(H:H,D:D,DST_123_ÜRETİM_İHTİYAÇ_RAPORU_BURAK_YENI1309[[#This Row],[ALT_KOD]])+AVERAGEIFS(I:I,D:D,DST_123_ÜRETİM_İHTİYAÇ_RAPORU_BURAK_YENI1309[[#This Row],[ALT_KOD]])+AVERAGEIFS(L:L,D:D,DST_123_ÜRETİM_İHTİYAÇ_RAPORU_BURAK_YENI1309[[#This Row],[ALT_KOD]]))</f>
        <v>-38</v>
      </c>
      <c r="L1909">
        <v>0</v>
      </c>
      <c r="M1909">
        <f>IF((DST_123_ÜRETİM_İHTİYAÇ_RAPORU_BURAK_YENI1309[[#This Row],[SATINALMA]]*DST_123_ÜRETİM_İHTİYAÇ_RAPORU_BURAK_YENI1309[[#This Row],[BIRIM_FIYATLAR]])&lt;1,VALUE("0"),DST_123_ÜRETİM_İHTİYAÇ_RAPORU_BURAK_YENI1309[[#This Row],[SATINALMA]]*DST_123_ÜRETİM_İHTİYAÇ_RAPORU_BURAK_YENI1309[[#This Row],[BIRIM_FIYATLAR]])</f>
        <v>0</v>
      </c>
      <c r="N1909">
        <v>640</v>
      </c>
      <c r="O1909" t="s">
        <v>220</v>
      </c>
      <c r="P1909">
        <v>1280</v>
      </c>
      <c r="Q1909" t="s">
        <v>221</v>
      </c>
    </row>
    <row r="1910" spans="1:17" x14ac:dyDescent="0.25">
      <c r="A1910" t="s">
        <v>1100</v>
      </c>
      <c r="B1910" t="s">
        <v>1058</v>
      </c>
      <c r="C1910" t="s">
        <v>175</v>
      </c>
      <c r="D1910" t="s">
        <v>616</v>
      </c>
      <c r="E1910" t="s">
        <v>617</v>
      </c>
      <c r="F1910">
        <v>1</v>
      </c>
      <c r="G1910" t="s">
        <v>176</v>
      </c>
      <c r="H1910">
        <v>0</v>
      </c>
      <c r="I1910">
        <v>114</v>
      </c>
      <c r="J1910" s="10">
        <v>0</v>
      </c>
      <c r="K1910" s="10">
        <f>SUMIFS(F:F,D:D,DST_123_ÜRETİM_İHTİYAÇ_RAPORU_BURAK_YENI1309[[#This Row],[ALT_KOD]])-(SUMIFS(H:H,D:D,DST_123_ÜRETİM_İHTİYAÇ_RAPORU_BURAK_YENI1309[[#This Row],[ALT_KOD]])+AVERAGEIFS(I:I,D:D,DST_123_ÜRETİM_İHTİYAÇ_RAPORU_BURAK_YENI1309[[#This Row],[ALT_KOD]])+AVERAGEIFS(L:L,D:D,DST_123_ÜRETİM_İHTİYAÇ_RAPORU_BURAK_YENI1309[[#This Row],[ALT_KOD]]))</f>
        <v>-109</v>
      </c>
      <c r="L1910">
        <v>0</v>
      </c>
      <c r="M1910">
        <f>IF((DST_123_ÜRETİM_İHTİYAÇ_RAPORU_BURAK_YENI1309[[#This Row],[SATINALMA]]*DST_123_ÜRETİM_İHTİYAÇ_RAPORU_BURAK_YENI1309[[#This Row],[BIRIM_FIYATLAR]])&lt;1,VALUE("0"),DST_123_ÜRETİM_İHTİYAÇ_RAPORU_BURAK_YENI1309[[#This Row],[SATINALMA]]*DST_123_ÜRETİM_İHTİYAÇ_RAPORU_BURAK_YENI1309[[#This Row],[BIRIM_FIYATLAR]])</f>
        <v>0</v>
      </c>
      <c r="N1910">
        <v>10</v>
      </c>
      <c r="P1910">
        <v>10</v>
      </c>
      <c r="Q1910" t="s">
        <v>178</v>
      </c>
    </row>
    <row r="1911" spans="1:17" x14ac:dyDescent="0.25">
      <c r="A1911" t="s">
        <v>1148</v>
      </c>
      <c r="B1911" t="s">
        <v>1056</v>
      </c>
      <c r="C1911" t="s">
        <v>175</v>
      </c>
      <c r="D1911" t="s">
        <v>266</v>
      </c>
      <c r="E1911" t="s">
        <v>267</v>
      </c>
      <c r="F1911">
        <v>2</v>
      </c>
      <c r="G1911" t="s">
        <v>176</v>
      </c>
      <c r="H1911">
        <v>0</v>
      </c>
      <c r="I1911">
        <v>30</v>
      </c>
      <c r="J1911" s="10">
        <v>0</v>
      </c>
      <c r="K1911" s="10">
        <f>SUMIFS(F:F,D:D,DST_123_ÜRETİM_İHTİYAÇ_RAPORU_BURAK_YENI1309[[#This Row],[ALT_KOD]])-(SUMIFS(H:H,D:D,DST_123_ÜRETİM_İHTİYAÇ_RAPORU_BURAK_YENI1309[[#This Row],[ALT_KOD]])+AVERAGEIFS(I:I,D:D,DST_123_ÜRETİM_İHTİYAÇ_RAPORU_BURAK_YENI1309[[#This Row],[ALT_KOD]])+AVERAGEIFS(L:L,D:D,DST_123_ÜRETİM_İHTİYAÇ_RAPORU_BURAK_YENI1309[[#This Row],[ALT_KOD]]))</f>
        <v>-10</v>
      </c>
      <c r="L1911">
        <v>0</v>
      </c>
      <c r="M1911">
        <f>IF((DST_123_ÜRETİM_İHTİYAÇ_RAPORU_BURAK_YENI1309[[#This Row],[SATINALMA]]*DST_123_ÜRETİM_İHTİYAÇ_RAPORU_BURAK_YENI1309[[#This Row],[BIRIM_FIYATLAR]])&lt;1,VALUE("0"),DST_123_ÜRETİM_İHTİYAÇ_RAPORU_BURAK_YENI1309[[#This Row],[SATINALMA]]*DST_123_ÜRETİM_İHTİYAÇ_RAPORU_BURAK_YENI1309[[#This Row],[BIRIM_FIYATLAR]])</f>
        <v>0</v>
      </c>
      <c r="N1911">
        <v>60</v>
      </c>
      <c r="O1911" t="s">
        <v>226</v>
      </c>
      <c r="P1911">
        <v>120</v>
      </c>
      <c r="Q1911" t="s">
        <v>180</v>
      </c>
    </row>
    <row r="1912" spans="1:17" x14ac:dyDescent="0.25">
      <c r="A1912" t="s">
        <v>1147</v>
      </c>
      <c r="B1912" t="s">
        <v>1145</v>
      </c>
      <c r="C1912" t="s">
        <v>175</v>
      </c>
      <c r="D1912" t="s">
        <v>768</v>
      </c>
      <c r="E1912" t="s">
        <v>769</v>
      </c>
      <c r="F1912">
        <v>6</v>
      </c>
      <c r="G1912" t="s">
        <v>176</v>
      </c>
      <c r="H1912">
        <v>0</v>
      </c>
      <c r="I1912">
        <v>0</v>
      </c>
      <c r="J1912" s="10">
        <v>0</v>
      </c>
      <c r="K1912" s="10">
        <f>SUMIFS(F:F,D:D,DST_123_ÜRETİM_İHTİYAÇ_RAPORU_BURAK_YENI1309[[#This Row],[ALT_KOD]])-(SUMIFS(H:H,D:D,DST_123_ÜRETİM_İHTİYAÇ_RAPORU_BURAK_YENI1309[[#This Row],[ALT_KOD]])+AVERAGEIFS(I:I,D:D,DST_123_ÜRETİM_İHTİYAÇ_RAPORU_BURAK_YENI1309[[#This Row],[ALT_KOD]])+AVERAGEIFS(L:L,D:D,DST_123_ÜRETİM_İHTİYAÇ_RAPORU_BURAK_YENI1309[[#This Row],[ALT_KOD]]))</f>
        <v>54</v>
      </c>
      <c r="L1912">
        <v>0</v>
      </c>
      <c r="M1912">
        <f>IF((DST_123_ÜRETİM_İHTİYAÇ_RAPORU_BURAK_YENI1309[[#This Row],[SATINALMA]]*DST_123_ÜRETİM_İHTİYAÇ_RAPORU_BURAK_YENI1309[[#This Row],[BIRIM_FIYATLAR]])&lt;1,VALUE("0"),DST_123_ÜRETİM_İHTİYAÇ_RAPORU_BURAK_YENI1309[[#This Row],[SATINALMA]]*DST_123_ÜRETİM_İHTİYAÇ_RAPORU_BURAK_YENI1309[[#This Row],[BIRIM_FIYATLAR]])</f>
        <v>67.5</v>
      </c>
      <c r="N1912">
        <v>1.25</v>
      </c>
      <c r="O1912" t="s">
        <v>220</v>
      </c>
      <c r="P1912">
        <v>7.5</v>
      </c>
      <c r="Q1912" t="s">
        <v>221</v>
      </c>
    </row>
    <row r="1913" spans="1:17" x14ac:dyDescent="0.25">
      <c r="A1913" t="s">
        <v>1095</v>
      </c>
      <c r="B1913" t="s">
        <v>1096</v>
      </c>
      <c r="C1913" t="s">
        <v>175</v>
      </c>
      <c r="D1913" t="s">
        <v>58</v>
      </c>
      <c r="E1913" t="s">
        <v>59</v>
      </c>
      <c r="F1913">
        <v>1</v>
      </c>
      <c r="G1913" t="s">
        <v>176</v>
      </c>
      <c r="H1913">
        <v>0</v>
      </c>
      <c r="I1913">
        <v>17</v>
      </c>
      <c r="J1913" s="10">
        <v>11</v>
      </c>
      <c r="K1913" s="10">
        <f>SUMIFS(F:F,D:D,DST_123_ÜRETİM_İHTİYAÇ_RAPORU_BURAK_YENI1309[[#This Row],[ALT_KOD]])-(SUMIFS(H:H,D:D,DST_123_ÜRETİM_İHTİYAÇ_RAPORU_BURAK_YENI1309[[#This Row],[ALT_KOD]])+AVERAGEIFS(I:I,D:D,DST_123_ÜRETİM_İHTİYAÇ_RAPORU_BURAK_YENI1309[[#This Row],[ALT_KOD]])+AVERAGEIFS(L:L,D:D,DST_123_ÜRETİM_İHTİYAÇ_RAPORU_BURAK_YENI1309[[#This Row],[ALT_KOD]]))</f>
        <v>-5</v>
      </c>
      <c r="L1913">
        <v>0</v>
      </c>
      <c r="M1913">
        <f>IF((DST_123_ÜRETİM_İHTİYAÇ_RAPORU_BURAK_YENI1309[[#This Row],[SATINALMA]]*DST_123_ÜRETİM_İHTİYAÇ_RAPORU_BURAK_YENI1309[[#This Row],[BIRIM_FIYATLAR]])&lt;1,VALUE("0"),DST_123_ÜRETİM_İHTİYAÇ_RAPORU_BURAK_YENI1309[[#This Row],[SATINALMA]]*DST_123_ÜRETİM_İHTİYAÇ_RAPORU_BURAK_YENI1309[[#This Row],[BIRIM_FIYATLAR]])</f>
        <v>0</v>
      </c>
      <c r="N1913">
        <v>1094.4000000000001</v>
      </c>
      <c r="O1913" t="s">
        <v>826</v>
      </c>
      <c r="P1913">
        <v>1094.4000000000001</v>
      </c>
      <c r="Q1913" t="s">
        <v>221</v>
      </c>
    </row>
    <row r="1914" spans="1:17" x14ac:dyDescent="0.25">
      <c r="A1914" t="s">
        <v>1143</v>
      </c>
      <c r="B1914" t="s">
        <v>1056</v>
      </c>
      <c r="C1914" t="s">
        <v>175</v>
      </c>
      <c r="D1914" t="s">
        <v>945</v>
      </c>
      <c r="E1914" t="s">
        <v>946</v>
      </c>
      <c r="F1914">
        <v>6</v>
      </c>
      <c r="G1914" t="s">
        <v>176</v>
      </c>
      <c r="H1914">
        <v>0</v>
      </c>
      <c r="I1914">
        <v>100</v>
      </c>
      <c r="J1914" s="10">
        <v>1016</v>
      </c>
      <c r="K1914" s="10">
        <f>SUMIFS(F:F,D:D,DST_123_ÜRETİM_İHTİYAÇ_RAPORU_BURAK_YENI1309[[#This Row],[ALT_KOD]])-(SUMIFS(H:H,D:D,DST_123_ÜRETİM_İHTİYAÇ_RAPORU_BURAK_YENI1309[[#This Row],[ALT_KOD]])+AVERAGEIFS(I:I,D:D,DST_123_ÜRETİM_İHTİYAÇ_RAPORU_BURAK_YENI1309[[#This Row],[ALT_KOD]])+AVERAGEIFS(L:L,D:D,DST_123_ÜRETİM_İHTİYAÇ_RAPORU_BURAK_YENI1309[[#This Row],[ALT_KOD]]))</f>
        <v>-94</v>
      </c>
      <c r="L1914">
        <v>0</v>
      </c>
      <c r="M1914">
        <f>IF((DST_123_ÜRETİM_İHTİYAÇ_RAPORU_BURAK_YENI1309[[#This Row],[SATINALMA]]*DST_123_ÜRETİM_İHTİYAÇ_RAPORU_BURAK_YENI1309[[#This Row],[BIRIM_FIYATLAR]])&lt;1,VALUE("0"),DST_123_ÜRETİM_İHTİYAÇ_RAPORU_BURAK_YENI1309[[#This Row],[SATINALMA]]*DST_123_ÜRETİM_İHTİYAÇ_RAPORU_BURAK_YENI1309[[#This Row],[BIRIM_FIYATLAR]])</f>
        <v>0</v>
      </c>
      <c r="N1914">
        <v>1.3</v>
      </c>
      <c r="O1914" t="s">
        <v>240</v>
      </c>
      <c r="P1914">
        <v>7.8000000000000007</v>
      </c>
      <c r="Q1914" t="s">
        <v>180</v>
      </c>
    </row>
    <row r="1915" spans="1:17" x14ac:dyDescent="0.25">
      <c r="A1915" t="s">
        <v>1095</v>
      </c>
      <c r="B1915" t="s">
        <v>1096</v>
      </c>
      <c r="C1915" t="s">
        <v>175</v>
      </c>
      <c r="D1915" t="s">
        <v>414</v>
      </c>
      <c r="E1915" t="s">
        <v>415</v>
      </c>
      <c r="F1915">
        <v>0.1</v>
      </c>
      <c r="G1915" t="s">
        <v>179</v>
      </c>
      <c r="H1915">
        <v>0</v>
      </c>
      <c r="I1915">
        <v>50</v>
      </c>
      <c r="J1915" s="10">
        <v>2.8310687127941492E-15</v>
      </c>
      <c r="K1915" s="10">
        <f>SUMIFS(F:F,D:D,DST_123_ÜRETİM_İHTİYAÇ_RAPORU_BURAK_YENI1309[[#This Row],[ALT_KOD]])-(SUMIFS(H:H,D:D,DST_123_ÜRETİM_İHTİYAÇ_RAPORU_BURAK_YENI1309[[#This Row],[ALT_KOD]])+AVERAGEIFS(I:I,D:D,DST_123_ÜRETİM_İHTİYAÇ_RAPORU_BURAK_YENI1309[[#This Row],[ALT_KOD]])+AVERAGEIFS(L:L,D:D,DST_123_ÜRETİM_İHTİYAÇ_RAPORU_BURAK_YENI1309[[#This Row],[ALT_KOD]]))</f>
        <v>-47.8</v>
      </c>
      <c r="L1915">
        <v>0</v>
      </c>
      <c r="M1915">
        <f>IF((DST_123_ÜRETİM_İHTİYAÇ_RAPORU_BURAK_YENI1309[[#This Row],[SATINALMA]]*DST_123_ÜRETİM_İHTİYAÇ_RAPORU_BURAK_YENI1309[[#This Row],[BIRIM_FIYATLAR]])&lt;1,VALUE("0"),DST_123_ÜRETİM_İHTİYAÇ_RAPORU_BURAK_YENI1309[[#This Row],[SATINALMA]]*DST_123_ÜRETİM_İHTİYAÇ_RAPORU_BURAK_YENI1309[[#This Row],[BIRIM_FIYATLAR]])</f>
        <v>0</v>
      </c>
      <c r="N1915">
        <v>25.41</v>
      </c>
      <c r="O1915" t="s">
        <v>826</v>
      </c>
      <c r="P1915">
        <v>2.5410000000000004</v>
      </c>
      <c r="Q1915" t="s">
        <v>221</v>
      </c>
    </row>
    <row r="1916" spans="1:17" x14ac:dyDescent="0.25">
      <c r="A1916" t="s">
        <v>1143</v>
      </c>
      <c r="B1916" t="s">
        <v>1056</v>
      </c>
      <c r="C1916" t="s">
        <v>175</v>
      </c>
      <c r="D1916" t="s">
        <v>756</v>
      </c>
      <c r="E1916" t="s">
        <v>757</v>
      </c>
      <c r="F1916">
        <v>1</v>
      </c>
      <c r="G1916" t="s">
        <v>176</v>
      </c>
      <c r="H1916">
        <v>0</v>
      </c>
      <c r="I1916">
        <v>2</v>
      </c>
      <c r="J1916" s="10">
        <v>4</v>
      </c>
      <c r="K1916" s="10">
        <f>SUMIFS(F:F,D:D,DST_123_ÜRETİM_İHTİYAÇ_RAPORU_BURAK_YENI1309[[#This Row],[ALT_KOD]])-(SUMIFS(H:H,D:D,DST_123_ÜRETİM_İHTİYAÇ_RAPORU_BURAK_YENI1309[[#This Row],[ALT_KOD]])+AVERAGEIFS(I:I,D:D,DST_123_ÜRETİM_İHTİYAÇ_RAPORU_BURAK_YENI1309[[#This Row],[ALT_KOD]])+AVERAGEIFS(L:L,D:D,DST_123_ÜRETİM_İHTİYAÇ_RAPORU_BURAK_YENI1309[[#This Row],[ALT_KOD]]))</f>
        <v>0</v>
      </c>
      <c r="L1916">
        <v>2</v>
      </c>
      <c r="M1916">
        <f>IF((DST_123_ÜRETİM_İHTİYAÇ_RAPORU_BURAK_YENI1309[[#This Row],[SATINALMA]]*DST_123_ÜRETİM_İHTİYAÇ_RAPORU_BURAK_YENI1309[[#This Row],[BIRIM_FIYATLAR]])&lt;1,VALUE("0"),DST_123_ÜRETİM_İHTİYAÇ_RAPORU_BURAK_YENI1309[[#This Row],[SATINALMA]]*DST_123_ÜRETİM_İHTİYAÇ_RAPORU_BURAK_YENI1309[[#This Row],[BIRIM_FIYATLAR]])</f>
        <v>0</v>
      </c>
      <c r="N1916">
        <v>1667.14</v>
      </c>
      <c r="O1916" t="s">
        <v>632</v>
      </c>
      <c r="P1916">
        <v>1667.14</v>
      </c>
      <c r="Q1916" t="s">
        <v>177</v>
      </c>
    </row>
    <row r="1917" spans="1:17" x14ac:dyDescent="0.25">
      <c r="A1917" t="s">
        <v>1059</v>
      </c>
      <c r="B1917" t="s">
        <v>1058</v>
      </c>
      <c r="C1917" t="s">
        <v>175</v>
      </c>
      <c r="D1917" t="s">
        <v>376</v>
      </c>
      <c r="E1917" t="s">
        <v>377</v>
      </c>
      <c r="F1917">
        <v>3</v>
      </c>
      <c r="G1917" t="s">
        <v>176</v>
      </c>
      <c r="H1917">
        <v>0</v>
      </c>
      <c r="I1917">
        <v>38</v>
      </c>
      <c r="J1917" s="10">
        <v>25</v>
      </c>
      <c r="K1917" s="10">
        <f>SUMIFS(F:F,D:D,DST_123_ÜRETİM_İHTİYAÇ_RAPORU_BURAK_YENI1309[[#This Row],[ALT_KOD]])-(SUMIFS(H:H,D:D,DST_123_ÜRETİM_İHTİYAÇ_RAPORU_BURAK_YENI1309[[#This Row],[ALT_KOD]])+AVERAGEIFS(I:I,D:D,DST_123_ÜRETİM_İHTİYAÇ_RAPORU_BURAK_YENI1309[[#This Row],[ALT_KOD]])+AVERAGEIFS(L:L,D:D,DST_123_ÜRETİM_İHTİYAÇ_RAPORU_BURAK_YENI1309[[#This Row],[ALT_KOD]]))</f>
        <v>-2</v>
      </c>
      <c r="L1917">
        <v>20</v>
      </c>
      <c r="M1917">
        <f>IF((DST_123_ÜRETİM_İHTİYAÇ_RAPORU_BURAK_YENI1309[[#This Row],[SATINALMA]]*DST_123_ÜRETİM_İHTİYAÇ_RAPORU_BURAK_YENI1309[[#This Row],[BIRIM_FIYATLAR]])&lt;1,VALUE("0"),DST_123_ÜRETİM_İHTİYAÇ_RAPORU_BURAK_YENI1309[[#This Row],[SATINALMA]]*DST_123_ÜRETİM_İHTİYAÇ_RAPORU_BURAK_YENI1309[[#This Row],[BIRIM_FIYATLAR]])</f>
        <v>0</v>
      </c>
      <c r="N1917">
        <v>245</v>
      </c>
      <c r="O1917" t="s">
        <v>821</v>
      </c>
      <c r="P1917">
        <v>735</v>
      </c>
      <c r="Q1917" t="s">
        <v>178</v>
      </c>
    </row>
    <row r="1918" spans="1:17" x14ac:dyDescent="0.25">
      <c r="A1918" t="s">
        <v>1143</v>
      </c>
      <c r="B1918" t="s">
        <v>1056</v>
      </c>
      <c r="C1918" t="s">
        <v>175</v>
      </c>
      <c r="D1918" t="s">
        <v>376</v>
      </c>
      <c r="E1918" t="s">
        <v>377</v>
      </c>
      <c r="F1918">
        <v>3</v>
      </c>
      <c r="G1918" t="s">
        <v>176</v>
      </c>
      <c r="H1918">
        <v>0</v>
      </c>
      <c r="I1918">
        <v>38</v>
      </c>
      <c r="J1918" s="10">
        <v>25</v>
      </c>
      <c r="K1918" s="10">
        <f>SUMIFS(F:F,D:D,DST_123_ÜRETİM_İHTİYAÇ_RAPORU_BURAK_YENI1309[[#This Row],[ALT_KOD]])-(SUMIFS(H:H,D:D,DST_123_ÜRETİM_İHTİYAÇ_RAPORU_BURAK_YENI1309[[#This Row],[ALT_KOD]])+AVERAGEIFS(I:I,D:D,DST_123_ÜRETİM_İHTİYAÇ_RAPORU_BURAK_YENI1309[[#This Row],[ALT_KOD]])+AVERAGEIFS(L:L,D:D,DST_123_ÜRETİM_İHTİYAÇ_RAPORU_BURAK_YENI1309[[#This Row],[ALT_KOD]]))</f>
        <v>-2</v>
      </c>
      <c r="L1918">
        <v>20</v>
      </c>
      <c r="M1918">
        <f>IF((DST_123_ÜRETİM_İHTİYAÇ_RAPORU_BURAK_YENI1309[[#This Row],[SATINALMA]]*DST_123_ÜRETİM_İHTİYAÇ_RAPORU_BURAK_YENI1309[[#This Row],[BIRIM_FIYATLAR]])&lt;1,VALUE("0"),DST_123_ÜRETİM_İHTİYAÇ_RAPORU_BURAK_YENI1309[[#This Row],[SATINALMA]]*DST_123_ÜRETİM_İHTİYAÇ_RAPORU_BURAK_YENI1309[[#This Row],[BIRIM_FIYATLAR]])</f>
        <v>0</v>
      </c>
      <c r="N1918">
        <v>245</v>
      </c>
      <c r="O1918" t="s">
        <v>821</v>
      </c>
      <c r="P1918">
        <v>735</v>
      </c>
      <c r="Q1918" t="s">
        <v>178</v>
      </c>
    </row>
    <row r="1919" spans="1:17" x14ac:dyDescent="0.25">
      <c r="A1919" t="s">
        <v>1147</v>
      </c>
      <c r="B1919" t="s">
        <v>1145</v>
      </c>
      <c r="C1919" t="s">
        <v>175</v>
      </c>
      <c r="D1919" t="s">
        <v>99</v>
      </c>
      <c r="E1919" t="s">
        <v>100</v>
      </c>
      <c r="F1919">
        <v>34.869999999999997</v>
      </c>
      <c r="G1919" t="s">
        <v>185</v>
      </c>
      <c r="H1919">
        <v>0</v>
      </c>
      <c r="I1919">
        <v>0</v>
      </c>
      <c r="J1919" s="10">
        <v>437.82000000000016</v>
      </c>
      <c r="K1919" s="10">
        <f>SUMIFS(F:F,D:D,DST_123_ÜRETİM_İHTİYAÇ_RAPORU_BURAK_YENI1309[[#This Row],[ALT_KOD]])-(SUMIFS(H:H,D:D,DST_123_ÜRETİM_İHTİYAÇ_RAPORU_BURAK_YENI1309[[#This Row],[ALT_KOD]])+AVERAGEIFS(I:I,D:D,DST_123_ÜRETİM_İHTİYAÇ_RAPORU_BURAK_YENI1309[[#This Row],[ALT_KOD]])+AVERAGEIFS(L:L,D:D,DST_123_ÜRETİM_İHTİYAÇ_RAPORU_BURAK_YENI1309[[#This Row],[ALT_KOD]]))</f>
        <v>348.62999999999988</v>
      </c>
      <c r="L1919">
        <v>0</v>
      </c>
      <c r="M1919">
        <f>IF((DST_123_ÜRETİM_İHTİYAÇ_RAPORU_BURAK_YENI1309[[#This Row],[SATINALMA]]*DST_123_ÜRETİM_İHTİYAÇ_RAPORU_BURAK_YENI1309[[#This Row],[BIRIM_FIYATLAR]])&lt;1,VALUE("0"),DST_123_ÜRETİM_İHTİYAÇ_RAPORU_BURAK_YENI1309[[#This Row],[SATINALMA]]*DST_123_ÜRETİM_İHTİYAÇ_RAPORU_BURAK_YENI1309[[#This Row],[BIRIM_FIYATLAR]])</f>
        <v>33597.473099999988</v>
      </c>
      <c r="N1919">
        <v>96.37</v>
      </c>
      <c r="O1919" t="s">
        <v>490</v>
      </c>
      <c r="P1919">
        <v>3360.4218999999998</v>
      </c>
      <c r="Q1919" t="s">
        <v>183</v>
      </c>
    </row>
    <row r="1920" spans="1:17" x14ac:dyDescent="0.25">
      <c r="A1920" t="s">
        <v>1179</v>
      </c>
      <c r="B1920" t="s">
        <v>1180</v>
      </c>
      <c r="C1920" t="s">
        <v>175</v>
      </c>
      <c r="D1920" t="s">
        <v>99</v>
      </c>
      <c r="E1920" t="s">
        <v>100</v>
      </c>
      <c r="F1920">
        <v>13.700000000000001</v>
      </c>
      <c r="G1920" t="s">
        <v>185</v>
      </c>
      <c r="H1920">
        <v>0</v>
      </c>
      <c r="I1920">
        <v>0</v>
      </c>
      <c r="J1920" s="10">
        <v>437.82000000000016</v>
      </c>
      <c r="K1920" s="10">
        <f>SUMIFS(F:F,D:D,DST_123_ÜRETİM_İHTİYAÇ_RAPORU_BURAK_YENI1309[[#This Row],[ALT_KOD]])-(SUMIFS(H:H,D:D,DST_123_ÜRETİM_İHTİYAÇ_RAPORU_BURAK_YENI1309[[#This Row],[ALT_KOD]])+AVERAGEIFS(I:I,D:D,DST_123_ÜRETİM_İHTİYAÇ_RAPORU_BURAK_YENI1309[[#This Row],[ALT_KOD]])+AVERAGEIFS(L:L,D:D,DST_123_ÜRETİM_İHTİYAÇ_RAPORU_BURAK_YENI1309[[#This Row],[ALT_KOD]]))</f>
        <v>348.62999999999988</v>
      </c>
      <c r="L1920">
        <v>0</v>
      </c>
      <c r="M1920">
        <f>IF((DST_123_ÜRETİM_İHTİYAÇ_RAPORU_BURAK_YENI1309[[#This Row],[SATINALMA]]*DST_123_ÜRETİM_İHTİYAÇ_RAPORU_BURAK_YENI1309[[#This Row],[BIRIM_FIYATLAR]])&lt;1,VALUE("0"),DST_123_ÜRETİM_İHTİYAÇ_RAPORU_BURAK_YENI1309[[#This Row],[SATINALMA]]*DST_123_ÜRETİM_İHTİYAÇ_RAPORU_BURAK_YENI1309[[#This Row],[BIRIM_FIYATLAR]])</f>
        <v>33597.473099999988</v>
      </c>
      <c r="N1920">
        <v>96.37</v>
      </c>
      <c r="O1920" t="s">
        <v>490</v>
      </c>
      <c r="P1920">
        <v>1320.2690000000002</v>
      </c>
      <c r="Q1920" t="s">
        <v>183</v>
      </c>
    </row>
    <row r="1921" spans="1:17" x14ac:dyDescent="0.25">
      <c r="A1921" t="s">
        <v>1064</v>
      </c>
      <c r="B1921" t="s">
        <v>1055</v>
      </c>
      <c r="C1921" t="s">
        <v>175</v>
      </c>
      <c r="D1921" t="s">
        <v>486</v>
      </c>
      <c r="E1921" t="s">
        <v>487</v>
      </c>
      <c r="F1921">
        <v>2</v>
      </c>
      <c r="G1921" t="s">
        <v>176</v>
      </c>
      <c r="H1921">
        <v>0</v>
      </c>
      <c r="I1921">
        <v>20</v>
      </c>
      <c r="J1921" s="10">
        <v>34</v>
      </c>
      <c r="K1921" s="10">
        <f>SUMIFS(F:F,D:D,DST_123_ÜRETİM_İHTİYAÇ_RAPORU_BURAK_YENI1309[[#This Row],[ALT_KOD]])-(SUMIFS(H:H,D:D,DST_123_ÜRETİM_İHTİYAÇ_RAPORU_BURAK_YENI1309[[#This Row],[ALT_KOD]])+AVERAGEIFS(I:I,D:D,DST_123_ÜRETİM_İHTİYAÇ_RAPORU_BURAK_YENI1309[[#This Row],[ALT_KOD]])+AVERAGEIFS(L:L,D:D,DST_123_ÜRETİM_İHTİYAÇ_RAPORU_BURAK_YENI1309[[#This Row],[ALT_KOD]]))</f>
        <v>18</v>
      </c>
      <c r="L1921">
        <v>0</v>
      </c>
      <c r="M1921">
        <f>IF((DST_123_ÜRETİM_İHTİYAÇ_RAPORU_BURAK_YENI1309[[#This Row],[SATINALMA]]*DST_123_ÜRETİM_İHTİYAÇ_RAPORU_BURAK_YENI1309[[#This Row],[BIRIM_FIYATLAR]])&lt;1,VALUE("0"),DST_123_ÜRETİM_İHTİYAÇ_RAPORU_BURAK_YENI1309[[#This Row],[SATINALMA]]*DST_123_ÜRETİM_İHTİYAÇ_RAPORU_BURAK_YENI1309[[#This Row],[BIRIM_FIYATLAR]])</f>
        <v>1476</v>
      </c>
      <c r="N1921">
        <v>82</v>
      </c>
      <c r="O1921" t="s">
        <v>1089</v>
      </c>
      <c r="P1921">
        <v>164</v>
      </c>
      <c r="Q1921" t="s">
        <v>483</v>
      </c>
    </row>
    <row r="1922" spans="1:17" x14ac:dyDescent="0.25">
      <c r="A1922" t="s">
        <v>1064</v>
      </c>
      <c r="B1922" t="s">
        <v>1055</v>
      </c>
      <c r="C1922" t="s">
        <v>175</v>
      </c>
      <c r="D1922" t="s">
        <v>333</v>
      </c>
      <c r="E1922" t="s">
        <v>334</v>
      </c>
      <c r="F1922">
        <v>1</v>
      </c>
      <c r="G1922" t="s">
        <v>176</v>
      </c>
      <c r="H1922">
        <v>0</v>
      </c>
      <c r="I1922">
        <v>25</v>
      </c>
      <c r="J1922" s="10">
        <v>18</v>
      </c>
      <c r="K1922" s="10">
        <f>SUMIFS(F:F,D:D,DST_123_ÜRETİM_İHTİYAÇ_RAPORU_BURAK_YENI1309[[#This Row],[ALT_KOD]])-(SUMIFS(H:H,D:D,DST_123_ÜRETİM_İHTİYAÇ_RAPORU_BURAK_YENI1309[[#This Row],[ALT_KOD]])+AVERAGEIFS(I:I,D:D,DST_123_ÜRETİM_İHTİYAÇ_RAPORU_BURAK_YENI1309[[#This Row],[ALT_KOD]])+AVERAGEIFS(L:L,D:D,DST_123_ÜRETİM_İHTİYAÇ_RAPORU_BURAK_YENI1309[[#This Row],[ALT_KOD]]))</f>
        <v>-6</v>
      </c>
      <c r="L1922">
        <v>0</v>
      </c>
      <c r="M1922">
        <f>IF((DST_123_ÜRETİM_İHTİYAÇ_RAPORU_BURAK_YENI1309[[#This Row],[SATINALMA]]*DST_123_ÜRETİM_İHTİYAÇ_RAPORU_BURAK_YENI1309[[#This Row],[BIRIM_FIYATLAR]])&lt;1,VALUE("0"),DST_123_ÜRETİM_İHTİYAÇ_RAPORU_BURAK_YENI1309[[#This Row],[SATINALMA]]*DST_123_ÜRETİM_İHTİYAÇ_RAPORU_BURAK_YENI1309[[#This Row],[BIRIM_FIYATLAR]])</f>
        <v>0</v>
      </c>
      <c r="N1922">
        <v>225</v>
      </c>
      <c r="O1922" t="s">
        <v>226</v>
      </c>
      <c r="P1922">
        <v>225</v>
      </c>
      <c r="Q1922" t="s">
        <v>180</v>
      </c>
    </row>
    <row r="1923" spans="1:17" x14ac:dyDescent="0.25">
      <c r="A1923" t="s">
        <v>1099</v>
      </c>
      <c r="B1923" t="s">
        <v>1055</v>
      </c>
      <c r="C1923" t="s">
        <v>175</v>
      </c>
      <c r="D1923" t="s">
        <v>333</v>
      </c>
      <c r="E1923" t="s">
        <v>334</v>
      </c>
      <c r="F1923">
        <v>1</v>
      </c>
      <c r="G1923" t="s">
        <v>176</v>
      </c>
      <c r="H1923">
        <v>0</v>
      </c>
      <c r="I1923">
        <v>25</v>
      </c>
      <c r="J1923" s="10">
        <v>18</v>
      </c>
      <c r="K1923" s="10">
        <f>SUMIFS(F:F,D:D,DST_123_ÜRETİM_İHTİYAÇ_RAPORU_BURAK_YENI1309[[#This Row],[ALT_KOD]])-(SUMIFS(H:H,D:D,DST_123_ÜRETİM_İHTİYAÇ_RAPORU_BURAK_YENI1309[[#This Row],[ALT_KOD]])+AVERAGEIFS(I:I,D:D,DST_123_ÜRETİM_İHTİYAÇ_RAPORU_BURAK_YENI1309[[#This Row],[ALT_KOD]])+AVERAGEIFS(L:L,D:D,DST_123_ÜRETİM_İHTİYAÇ_RAPORU_BURAK_YENI1309[[#This Row],[ALT_KOD]]))</f>
        <v>-6</v>
      </c>
      <c r="L1923">
        <v>0</v>
      </c>
      <c r="M1923">
        <f>IF((DST_123_ÜRETİM_İHTİYAÇ_RAPORU_BURAK_YENI1309[[#This Row],[SATINALMA]]*DST_123_ÜRETİM_İHTİYAÇ_RAPORU_BURAK_YENI1309[[#This Row],[BIRIM_FIYATLAR]])&lt;1,VALUE("0"),DST_123_ÜRETİM_İHTİYAÇ_RAPORU_BURAK_YENI1309[[#This Row],[SATINALMA]]*DST_123_ÜRETİM_İHTİYAÇ_RAPORU_BURAK_YENI1309[[#This Row],[BIRIM_FIYATLAR]])</f>
        <v>0</v>
      </c>
      <c r="N1923">
        <v>225</v>
      </c>
      <c r="O1923" t="s">
        <v>226</v>
      </c>
      <c r="P1923">
        <v>225</v>
      </c>
      <c r="Q1923" t="s">
        <v>180</v>
      </c>
    </row>
    <row r="1924" spans="1:17" x14ac:dyDescent="0.25">
      <c r="A1924" t="s">
        <v>1097</v>
      </c>
      <c r="B1924" t="s">
        <v>1055</v>
      </c>
      <c r="C1924" t="s">
        <v>175</v>
      </c>
      <c r="D1924" t="s">
        <v>3</v>
      </c>
      <c r="E1924" t="s">
        <v>4</v>
      </c>
      <c r="F1924">
        <v>32</v>
      </c>
      <c r="G1924" t="s">
        <v>179</v>
      </c>
      <c r="H1924">
        <v>0</v>
      </c>
      <c r="I1924">
        <v>150</v>
      </c>
      <c r="J1924" s="10">
        <v>0</v>
      </c>
      <c r="K1924" s="10">
        <f>SUMIFS(F:F,D:D,DST_123_ÜRETİM_İHTİYAÇ_RAPORU_BURAK_YENI1309[[#This Row],[ALT_KOD]])-(SUMIFS(H:H,D:D,DST_123_ÜRETİM_İHTİYAÇ_RAPORU_BURAK_YENI1309[[#This Row],[ALT_KOD]])+AVERAGEIFS(I:I,D:D,DST_123_ÜRETİM_İHTİYAÇ_RAPORU_BURAK_YENI1309[[#This Row],[ALT_KOD]])+AVERAGEIFS(L:L,D:D,DST_123_ÜRETİM_İHTİYAÇ_RAPORU_BURAK_YENI1309[[#This Row],[ALT_KOD]]))</f>
        <v>-76</v>
      </c>
      <c r="L1924">
        <v>0</v>
      </c>
      <c r="M1924">
        <f>IF((DST_123_ÜRETİM_İHTİYAÇ_RAPORU_BURAK_YENI1309[[#This Row],[SATINALMA]]*DST_123_ÜRETİM_İHTİYAÇ_RAPORU_BURAK_YENI1309[[#This Row],[BIRIM_FIYATLAR]])&lt;1,VALUE("0"),DST_123_ÜRETİM_İHTİYAÇ_RAPORU_BURAK_YENI1309[[#This Row],[SATINALMA]]*DST_123_ÜRETİM_İHTİYAÇ_RAPORU_BURAK_YENI1309[[#This Row],[BIRIM_FIYATLAR]])</f>
        <v>0</v>
      </c>
      <c r="N1924">
        <v>320</v>
      </c>
      <c r="O1924" t="s">
        <v>1151</v>
      </c>
      <c r="P1924">
        <v>10240</v>
      </c>
      <c r="Q1924" t="s">
        <v>184</v>
      </c>
    </row>
    <row r="1925" spans="1:17" x14ac:dyDescent="0.25">
      <c r="A1925" t="s">
        <v>1097</v>
      </c>
      <c r="B1925" t="s">
        <v>1055</v>
      </c>
      <c r="C1925" t="s">
        <v>175</v>
      </c>
      <c r="D1925" t="s">
        <v>486</v>
      </c>
      <c r="E1925" t="s">
        <v>487</v>
      </c>
      <c r="F1925">
        <v>2</v>
      </c>
      <c r="G1925" t="s">
        <v>176</v>
      </c>
      <c r="H1925">
        <v>0</v>
      </c>
      <c r="I1925">
        <v>20</v>
      </c>
      <c r="J1925" s="10">
        <v>34</v>
      </c>
      <c r="K1925" s="10">
        <f>SUMIFS(F:F,D:D,DST_123_ÜRETİM_İHTİYAÇ_RAPORU_BURAK_YENI1309[[#This Row],[ALT_KOD]])-(SUMIFS(H:H,D:D,DST_123_ÜRETİM_İHTİYAÇ_RAPORU_BURAK_YENI1309[[#This Row],[ALT_KOD]])+AVERAGEIFS(I:I,D:D,DST_123_ÜRETİM_İHTİYAÇ_RAPORU_BURAK_YENI1309[[#This Row],[ALT_KOD]])+AVERAGEIFS(L:L,D:D,DST_123_ÜRETİM_İHTİYAÇ_RAPORU_BURAK_YENI1309[[#This Row],[ALT_KOD]]))</f>
        <v>18</v>
      </c>
      <c r="L1925">
        <v>0</v>
      </c>
      <c r="M1925">
        <f>IF((DST_123_ÜRETİM_İHTİYAÇ_RAPORU_BURAK_YENI1309[[#This Row],[SATINALMA]]*DST_123_ÜRETİM_İHTİYAÇ_RAPORU_BURAK_YENI1309[[#This Row],[BIRIM_FIYATLAR]])&lt;1,VALUE("0"),DST_123_ÜRETİM_İHTİYAÇ_RAPORU_BURAK_YENI1309[[#This Row],[SATINALMA]]*DST_123_ÜRETİM_İHTİYAÇ_RAPORU_BURAK_YENI1309[[#This Row],[BIRIM_FIYATLAR]])</f>
        <v>1476</v>
      </c>
      <c r="N1925">
        <v>82</v>
      </c>
      <c r="O1925" t="s">
        <v>1089</v>
      </c>
      <c r="P1925">
        <v>164</v>
      </c>
      <c r="Q1925" t="s">
        <v>483</v>
      </c>
    </row>
    <row r="1926" spans="1:17" x14ac:dyDescent="0.25">
      <c r="A1926" t="s">
        <v>1142</v>
      </c>
      <c r="B1926" t="s">
        <v>1056</v>
      </c>
      <c r="C1926" t="s">
        <v>197</v>
      </c>
      <c r="D1926" t="s">
        <v>498</v>
      </c>
      <c r="E1926" t="s">
        <v>499</v>
      </c>
      <c r="F1926">
        <v>1</v>
      </c>
      <c r="G1926" t="s">
        <v>176</v>
      </c>
      <c r="H1926">
        <v>0</v>
      </c>
      <c r="I1926">
        <v>10</v>
      </c>
      <c r="J1926" s="10">
        <v>9</v>
      </c>
      <c r="K1926" s="10">
        <f>SUMIFS(F:F,D:D,DST_123_ÜRETİM_İHTİYAÇ_RAPORU_BURAK_YENI1309[[#This Row],[ALT_KOD]])-(SUMIFS(H:H,D:D,DST_123_ÜRETİM_İHTİYAÇ_RAPORU_BURAK_YENI1309[[#This Row],[ALT_KOD]])+AVERAGEIFS(I:I,D:D,DST_123_ÜRETİM_İHTİYAÇ_RAPORU_BURAK_YENI1309[[#This Row],[ALT_KOD]])+AVERAGEIFS(L:L,D:D,DST_123_ÜRETİM_İHTİYAÇ_RAPORU_BURAK_YENI1309[[#This Row],[ALT_KOD]]))</f>
        <v>2</v>
      </c>
      <c r="L1926">
        <v>0</v>
      </c>
      <c r="M1926">
        <f>IF((DST_123_ÜRETİM_İHTİYAÇ_RAPORU_BURAK_YENI1309[[#This Row],[SATINALMA]]*DST_123_ÜRETİM_İHTİYAÇ_RAPORU_BURAK_YENI1309[[#This Row],[BIRIM_FIYATLAR]])&lt;1,VALUE("0"),DST_123_ÜRETİM_İHTİYAÇ_RAPORU_BURAK_YENI1309[[#This Row],[SATINALMA]]*DST_123_ÜRETİM_İHTİYAÇ_RAPORU_BURAK_YENI1309[[#This Row],[BIRIM_FIYATLAR]])</f>
        <v>0</v>
      </c>
      <c r="O1926" t="s">
        <v>713</v>
      </c>
      <c r="Q1926" t="s">
        <v>760</v>
      </c>
    </row>
    <row r="1927" spans="1:17" x14ac:dyDescent="0.25">
      <c r="A1927" t="s">
        <v>1149</v>
      </c>
      <c r="B1927" t="s">
        <v>1145</v>
      </c>
      <c r="C1927" t="s">
        <v>175</v>
      </c>
      <c r="D1927" t="s">
        <v>486</v>
      </c>
      <c r="E1927" t="s">
        <v>487</v>
      </c>
      <c r="F1927">
        <v>2</v>
      </c>
      <c r="G1927" t="s">
        <v>176</v>
      </c>
      <c r="H1927">
        <v>0</v>
      </c>
      <c r="I1927">
        <v>20</v>
      </c>
      <c r="J1927" s="10">
        <v>34</v>
      </c>
      <c r="K1927" s="10">
        <f>SUMIFS(F:F,D:D,DST_123_ÜRETİM_İHTİYAÇ_RAPORU_BURAK_YENI1309[[#This Row],[ALT_KOD]])-(SUMIFS(H:H,D:D,DST_123_ÜRETİM_İHTİYAÇ_RAPORU_BURAK_YENI1309[[#This Row],[ALT_KOD]])+AVERAGEIFS(I:I,D:D,DST_123_ÜRETİM_İHTİYAÇ_RAPORU_BURAK_YENI1309[[#This Row],[ALT_KOD]])+AVERAGEIFS(L:L,D:D,DST_123_ÜRETİM_İHTİYAÇ_RAPORU_BURAK_YENI1309[[#This Row],[ALT_KOD]]))</f>
        <v>18</v>
      </c>
      <c r="L1927">
        <v>0</v>
      </c>
      <c r="M1927">
        <f>IF((DST_123_ÜRETİM_İHTİYAÇ_RAPORU_BURAK_YENI1309[[#This Row],[SATINALMA]]*DST_123_ÜRETİM_İHTİYAÇ_RAPORU_BURAK_YENI1309[[#This Row],[BIRIM_FIYATLAR]])&lt;1,VALUE("0"),DST_123_ÜRETİM_İHTİYAÇ_RAPORU_BURAK_YENI1309[[#This Row],[SATINALMA]]*DST_123_ÜRETİM_İHTİYAÇ_RAPORU_BURAK_YENI1309[[#This Row],[BIRIM_FIYATLAR]])</f>
        <v>1476</v>
      </c>
      <c r="N1927">
        <v>82</v>
      </c>
      <c r="O1927" t="s">
        <v>1089</v>
      </c>
      <c r="P1927">
        <v>164</v>
      </c>
      <c r="Q1927" t="s">
        <v>483</v>
      </c>
    </row>
    <row r="1928" spans="1:17" x14ac:dyDescent="0.25">
      <c r="A1928" t="s">
        <v>1149</v>
      </c>
      <c r="B1928" t="s">
        <v>1145</v>
      </c>
      <c r="C1928" t="s">
        <v>197</v>
      </c>
      <c r="D1928" t="s">
        <v>498</v>
      </c>
      <c r="E1928" t="s">
        <v>499</v>
      </c>
      <c r="F1928">
        <v>1</v>
      </c>
      <c r="G1928" t="s">
        <v>176</v>
      </c>
      <c r="H1928">
        <v>0</v>
      </c>
      <c r="I1928">
        <v>10</v>
      </c>
      <c r="J1928" s="10">
        <v>9</v>
      </c>
      <c r="K1928" s="10">
        <f>SUMIFS(F:F,D:D,DST_123_ÜRETİM_İHTİYAÇ_RAPORU_BURAK_YENI1309[[#This Row],[ALT_KOD]])-(SUMIFS(H:H,D:D,DST_123_ÜRETİM_İHTİYAÇ_RAPORU_BURAK_YENI1309[[#This Row],[ALT_KOD]])+AVERAGEIFS(I:I,D:D,DST_123_ÜRETİM_İHTİYAÇ_RAPORU_BURAK_YENI1309[[#This Row],[ALT_KOD]])+AVERAGEIFS(L:L,D:D,DST_123_ÜRETİM_İHTİYAÇ_RAPORU_BURAK_YENI1309[[#This Row],[ALT_KOD]]))</f>
        <v>2</v>
      </c>
      <c r="L1928">
        <v>0</v>
      </c>
      <c r="M1928">
        <f>IF((DST_123_ÜRETİM_İHTİYAÇ_RAPORU_BURAK_YENI1309[[#This Row],[SATINALMA]]*DST_123_ÜRETİM_İHTİYAÇ_RAPORU_BURAK_YENI1309[[#This Row],[BIRIM_FIYATLAR]])&lt;1,VALUE("0"),DST_123_ÜRETİM_İHTİYAÇ_RAPORU_BURAK_YENI1309[[#This Row],[SATINALMA]]*DST_123_ÜRETİM_İHTİYAÇ_RAPORU_BURAK_YENI1309[[#This Row],[BIRIM_FIYATLAR]])</f>
        <v>0</v>
      </c>
      <c r="O1928" t="s">
        <v>713</v>
      </c>
      <c r="Q1928" t="s">
        <v>760</v>
      </c>
    </row>
    <row r="1929" spans="1:17" x14ac:dyDescent="0.25">
      <c r="A1929" t="s">
        <v>1149</v>
      </c>
      <c r="B1929" t="s">
        <v>1145</v>
      </c>
      <c r="C1929" t="s">
        <v>175</v>
      </c>
      <c r="D1929" t="s">
        <v>99</v>
      </c>
      <c r="E1929" t="s">
        <v>100</v>
      </c>
      <c r="F1929">
        <v>34.869999999999997</v>
      </c>
      <c r="G1929" t="s">
        <v>185</v>
      </c>
      <c r="H1929">
        <v>0</v>
      </c>
      <c r="I1929">
        <v>0</v>
      </c>
      <c r="J1929" s="10">
        <v>437.82000000000016</v>
      </c>
      <c r="K1929" s="10">
        <f>SUMIFS(F:F,D:D,DST_123_ÜRETİM_İHTİYAÇ_RAPORU_BURAK_YENI1309[[#This Row],[ALT_KOD]])-(SUMIFS(H:H,D:D,DST_123_ÜRETİM_İHTİYAÇ_RAPORU_BURAK_YENI1309[[#This Row],[ALT_KOD]])+AVERAGEIFS(I:I,D:D,DST_123_ÜRETİM_İHTİYAÇ_RAPORU_BURAK_YENI1309[[#This Row],[ALT_KOD]])+AVERAGEIFS(L:L,D:D,DST_123_ÜRETİM_İHTİYAÇ_RAPORU_BURAK_YENI1309[[#This Row],[ALT_KOD]]))</f>
        <v>348.62999999999988</v>
      </c>
      <c r="L1929">
        <v>0</v>
      </c>
      <c r="M1929">
        <f>IF((DST_123_ÜRETİM_İHTİYAÇ_RAPORU_BURAK_YENI1309[[#This Row],[SATINALMA]]*DST_123_ÜRETİM_İHTİYAÇ_RAPORU_BURAK_YENI1309[[#This Row],[BIRIM_FIYATLAR]])&lt;1,VALUE("0"),DST_123_ÜRETİM_İHTİYAÇ_RAPORU_BURAK_YENI1309[[#This Row],[SATINALMA]]*DST_123_ÜRETİM_İHTİYAÇ_RAPORU_BURAK_YENI1309[[#This Row],[BIRIM_FIYATLAR]])</f>
        <v>33597.473099999988</v>
      </c>
      <c r="N1929">
        <v>96.37</v>
      </c>
      <c r="O1929" t="s">
        <v>490</v>
      </c>
      <c r="P1929">
        <v>3360.4218999999998</v>
      </c>
      <c r="Q1929" t="s">
        <v>183</v>
      </c>
    </row>
    <row r="1930" spans="1:17" x14ac:dyDescent="0.25">
      <c r="A1930" t="s">
        <v>1101</v>
      </c>
      <c r="B1930" t="s">
        <v>1102</v>
      </c>
      <c r="C1930" t="s">
        <v>175</v>
      </c>
      <c r="D1930" t="s">
        <v>486</v>
      </c>
      <c r="E1930" t="s">
        <v>487</v>
      </c>
      <c r="F1930">
        <v>2</v>
      </c>
      <c r="G1930" t="s">
        <v>176</v>
      </c>
      <c r="H1930">
        <v>0</v>
      </c>
      <c r="I1930">
        <v>20</v>
      </c>
      <c r="J1930" s="10">
        <v>34</v>
      </c>
      <c r="K1930" s="10">
        <f>SUMIFS(F:F,D:D,DST_123_ÜRETİM_İHTİYAÇ_RAPORU_BURAK_YENI1309[[#This Row],[ALT_KOD]])-(SUMIFS(H:H,D:D,DST_123_ÜRETİM_İHTİYAÇ_RAPORU_BURAK_YENI1309[[#This Row],[ALT_KOD]])+AVERAGEIFS(I:I,D:D,DST_123_ÜRETİM_İHTİYAÇ_RAPORU_BURAK_YENI1309[[#This Row],[ALT_KOD]])+AVERAGEIFS(L:L,D:D,DST_123_ÜRETİM_İHTİYAÇ_RAPORU_BURAK_YENI1309[[#This Row],[ALT_KOD]]))</f>
        <v>18</v>
      </c>
      <c r="L1930">
        <v>0</v>
      </c>
      <c r="M1930">
        <f>IF((DST_123_ÜRETİM_İHTİYAÇ_RAPORU_BURAK_YENI1309[[#This Row],[SATINALMA]]*DST_123_ÜRETİM_İHTİYAÇ_RAPORU_BURAK_YENI1309[[#This Row],[BIRIM_FIYATLAR]])&lt;1,VALUE("0"),DST_123_ÜRETİM_İHTİYAÇ_RAPORU_BURAK_YENI1309[[#This Row],[SATINALMA]]*DST_123_ÜRETİM_İHTİYAÇ_RAPORU_BURAK_YENI1309[[#This Row],[BIRIM_FIYATLAR]])</f>
        <v>1476</v>
      </c>
      <c r="N1930">
        <v>82</v>
      </c>
      <c r="O1930" t="s">
        <v>1089</v>
      </c>
      <c r="P1930">
        <v>164</v>
      </c>
      <c r="Q1930" t="s">
        <v>483</v>
      </c>
    </row>
    <row r="1931" spans="1:17" x14ac:dyDescent="0.25">
      <c r="A1931" t="s">
        <v>1147</v>
      </c>
      <c r="B1931" t="s">
        <v>1145</v>
      </c>
      <c r="C1931" t="s">
        <v>175</v>
      </c>
      <c r="D1931" t="s">
        <v>333</v>
      </c>
      <c r="E1931" t="s">
        <v>334</v>
      </c>
      <c r="F1931">
        <v>1</v>
      </c>
      <c r="G1931" t="s">
        <v>176</v>
      </c>
      <c r="H1931">
        <v>0</v>
      </c>
      <c r="I1931">
        <v>25</v>
      </c>
      <c r="J1931" s="10">
        <v>18</v>
      </c>
      <c r="K1931" s="10">
        <f>SUMIFS(F:F,D:D,DST_123_ÜRETİM_İHTİYAÇ_RAPORU_BURAK_YENI1309[[#This Row],[ALT_KOD]])-(SUMIFS(H:H,D:D,DST_123_ÜRETİM_İHTİYAÇ_RAPORU_BURAK_YENI1309[[#This Row],[ALT_KOD]])+AVERAGEIFS(I:I,D:D,DST_123_ÜRETİM_İHTİYAÇ_RAPORU_BURAK_YENI1309[[#This Row],[ALT_KOD]])+AVERAGEIFS(L:L,D:D,DST_123_ÜRETİM_İHTİYAÇ_RAPORU_BURAK_YENI1309[[#This Row],[ALT_KOD]]))</f>
        <v>-6</v>
      </c>
      <c r="L1931">
        <v>0</v>
      </c>
      <c r="M1931">
        <f>IF((DST_123_ÜRETİM_İHTİYAÇ_RAPORU_BURAK_YENI1309[[#This Row],[SATINALMA]]*DST_123_ÜRETİM_İHTİYAÇ_RAPORU_BURAK_YENI1309[[#This Row],[BIRIM_FIYATLAR]])&lt;1,VALUE("0"),DST_123_ÜRETİM_İHTİYAÇ_RAPORU_BURAK_YENI1309[[#This Row],[SATINALMA]]*DST_123_ÜRETİM_İHTİYAÇ_RAPORU_BURAK_YENI1309[[#This Row],[BIRIM_FIYATLAR]])</f>
        <v>0</v>
      </c>
      <c r="N1931">
        <v>225</v>
      </c>
      <c r="O1931" t="s">
        <v>226</v>
      </c>
      <c r="P1931">
        <v>225</v>
      </c>
      <c r="Q1931" t="s">
        <v>180</v>
      </c>
    </row>
    <row r="1932" spans="1:17" x14ac:dyDescent="0.25">
      <c r="A1932" t="s">
        <v>1057</v>
      </c>
      <c r="B1932" t="s">
        <v>1058</v>
      </c>
      <c r="C1932" t="s">
        <v>175</v>
      </c>
      <c r="D1932" t="s">
        <v>486</v>
      </c>
      <c r="E1932" t="s">
        <v>487</v>
      </c>
      <c r="F1932">
        <v>2</v>
      </c>
      <c r="G1932" t="s">
        <v>176</v>
      </c>
      <c r="H1932">
        <v>0</v>
      </c>
      <c r="I1932">
        <v>20</v>
      </c>
      <c r="J1932" s="10">
        <v>34</v>
      </c>
      <c r="K1932" s="10">
        <f>SUMIFS(F:F,D:D,DST_123_ÜRETİM_İHTİYAÇ_RAPORU_BURAK_YENI1309[[#This Row],[ALT_KOD]])-(SUMIFS(H:H,D:D,DST_123_ÜRETİM_İHTİYAÇ_RAPORU_BURAK_YENI1309[[#This Row],[ALT_KOD]])+AVERAGEIFS(I:I,D:D,DST_123_ÜRETİM_İHTİYAÇ_RAPORU_BURAK_YENI1309[[#This Row],[ALT_KOD]])+AVERAGEIFS(L:L,D:D,DST_123_ÜRETİM_İHTİYAÇ_RAPORU_BURAK_YENI1309[[#This Row],[ALT_KOD]]))</f>
        <v>18</v>
      </c>
      <c r="L1932">
        <v>0</v>
      </c>
      <c r="M1932">
        <f>IF((DST_123_ÜRETİM_İHTİYAÇ_RAPORU_BURAK_YENI1309[[#This Row],[SATINALMA]]*DST_123_ÜRETİM_İHTİYAÇ_RAPORU_BURAK_YENI1309[[#This Row],[BIRIM_FIYATLAR]])&lt;1,VALUE("0"),DST_123_ÜRETİM_İHTİYAÇ_RAPORU_BURAK_YENI1309[[#This Row],[SATINALMA]]*DST_123_ÜRETİM_İHTİYAÇ_RAPORU_BURAK_YENI1309[[#This Row],[BIRIM_FIYATLAR]])</f>
        <v>1476</v>
      </c>
      <c r="N1932">
        <v>82</v>
      </c>
      <c r="O1932" t="s">
        <v>1089</v>
      </c>
      <c r="P1932">
        <v>164</v>
      </c>
      <c r="Q1932" t="s">
        <v>483</v>
      </c>
    </row>
    <row r="1933" spans="1:17" x14ac:dyDescent="0.25">
      <c r="A1933" t="s">
        <v>1143</v>
      </c>
      <c r="B1933" t="s">
        <v>1056</v>
      </c>
      <c r="C1933" t="s">
        <v>175</v>
      </c>
      <c r="D1933" t="s">
        <v>464</v>
      </c>
      <c r="E1933" t="s">
        <v>465</v>
      </c>
      <c r="F1933">
        <v>20</v>
      </c>
      <c r="G1933" t="s">
        <v>176</v>
      </c>
      <c r="H1933">
        <v>0</v>
      </c>
      <c r="I1933">
        <v>222</v>
      </c>
      <c r="J1933" s="10">
        <v>2</v>
      </c>
      <c r="K1933" s="10">
        <f>SUMIFS(F:F,D:D,DST_123_ÜRETİM_İHTİYAÇ_RAPORU_BURAK_YENI1309[[#This Row],[ALT_KOD]])-(SUMIFS(H:H,D:D,DST_123_ÜRETİM_İHTİYAÇ_RAPORU_BURAK_YENI1309[[#This Row],[ALT_KOD]])+AVERAGEIFS(I:I,D:D,DST_123_ÜRETİM_İHTİYAÇ_RAPORU_BURAK_YENI1309[[#This Row],[ALT_KOD]])+AVERAGEIFS(L:L,D:D,DST_123_ÜRETİM_İHTİYAÇ_RAPORU_BURAK_YENI1309[[#This Row],[ALT_KOD]]))</f>
        <v>-166</v>
      </c>
      <c r="L1933">
        <v>0</v>
      </c>
      <c r="M1933">
        <f>IF((DST_123_ÜRETİM_İHTİYAÇ_RAPORU_BURAK_YENI1309[[#This Row],[SATINALMA]]*DST_123_ÜRETİM_İHTİYAÇ_RAPORU_BURAK_YENI1309[[#This Row],[BIRIM_FIYATLAR]])&lt;1,VALUE("0"),DST_123_ÜRETİM_İHTİYAÇ_RAPORU_BURAK_YENI1309[[#This Row],[SATINALMA]]*DST_123_ÜRETİM_İHTİYAÇ_RAPORU_BURAK_YENI1309[[#This Row],[BIRIM_FIYATLAR]])</f>
        <v>0</v>
      </c>
      <c r="N1933">
        <v>11.5</v>
      </c>
      <c r="O1933" t="s">
        <v>240</v>
      </c>
      <c r="P1933">
        <v>230</v>
      </c>
      <c r="Q1933" t="s">
        <v>178</v>
      </c>
    </row>
    <row r="1934" spans="1:17" x14ac:dyDescent="0.25">
      <c r="A1934" t="s">
        <v>1095</v>
      </c>
      <c r="B1934" t="s">
        <v>1096</v>
      </c>
      <c r="C1934" t="s">
        <v>175</v>
      </c>
      <c r="D1934" t="s">
        <v>259</v>
      </c>
      <c r="E1934" t="s">
        <v>260</v>
      </c>
      <c r="F1934">
        <v>0.85000000000000009</v>
      </c>
      <c r="G1934" t="s">
        <v>176</v>
      </c>
      <c r="H1934">
        <v>0</v>
      </c>
      <c r="I1934">
        <v>2</v>
      </c>
      <c r="J1934" s="10">
        <v>3.3000000000000052</v>
      </c>
      <c r="K1934" s="10">
        <f>SUMIFS(F:F,D:D,DST_123_ÜRETİM_İHTİYAÇ_RAPORU_BURAK_YENI1309[[#This Row],[ALT_KOD]])-(SUMIFS(H:H,D:D,DST_123_ÜRETİM_İHTİYAÇ_RAPORU_BURAK_YENI1309[[#This Row],[ALT_KOD]])+AVERAGEIFS(I:I,D:D,DST_123_ÜRETİM_İHTİYAÇ_RAPORU_BURAK_YENI1309[[#This Row],[ALT_KOD]])+AVERAGEIFS(L:L,D:D,DST_123_ÜRETİM_İHTİYAÇ_RAPORU_BURAK_YENI1309[[#This Row],[ALT_KOD]]))</f>
        <v>12.649999999999999</v>
      </c>
      <c r="L1934">
        <v>0</v>
      </c>
      <c r="M1934">
        <f>IF((DST_123_ÜRETİM_İHTİYAÇ_RAPORU_BURAK_YENI1309[[#This Row],[SATINALMA]]*DST_123_ÜRETİM_İHTİYAÇ_RAPORU_BURAK_YENI1309[[#This Row],[BIRIM_FIYATLAR]])&lt;1,VALUE("0"),DST_123_ÜRETİM_İHTİYAÇ_RAPORU_BURAK_YENI1309[[#This Row],[SATINALMA]]*DST_123_ÜRETİM_İHTİYAÇ_RAPORU_BURAK_YENI1309[[#This Row],[BIRIM_FIYATLAR]])</f>
        <v>20523.36</v>
      </c>
      <c r="N1934">
        <v>1622.4</v>
      </c>
      <c r="O1934" t="s">
        <v>261</v>
      </c>
      <c r="P1934">
        <v>1379.0400000000002</v>
      </c>
      <c r="Q1934" t="s">
        <v>183</v>
      </c>
    </row>
    <row r="1935" spans="1:17" x14ac:dyDescent="0.25">
      <c r="A1935" t="s">
        <v>1059</v>
      </c>
      <c r="B1935" t="s">
        <v>1058</v>
      </c>
      <c r="C1935" t="s">
        <v>175</v>
      </c>
      <c r="D1935" t="s">
        <v>259</v>
      </c>
      <c r="E1935" t="s">
        <v>260</v>
      </c>
      <c r="F1935">
        <v>0.7</v>
      </c>
      <c r="G1935" t="s">
        <v>176</v>
      </c>
      <c r="H1935">
        <v>0</v>
      </c>
      <c r="I1935">
        <v>2</v>
      </c>
      <c r="J1935" s="10">
        <v>3.3000000000000052</v>
      </c>
      <c r="K1935" s="10">
        <f>SUMIFS(F:F,D:D,DST_123_ÜRETİM_İHTİYAÇ_RAPORU_BURAK_YENI1309[[#This Row],[ALT_KOD]])-(SUMIFS(H:H,D:D,DST_123_ÜRETİM_İHTİYAÇ_RAPORU_BURAK_YENI1309[[#This Row],[ALT_KOD]])+AVERAGEIFS(I:I,D:D,DST_123_ÜRETİM_İHTİYAÇ_RAPORU_BURAK_YENI1309[[#This Row],[ALT_KOD]])+AVERAGEIFS(L:L,D:D,DST_123_ÜRETİM_İHTİYAÇ_RAPORU_BURAK_YENI1309[[#This Row],[ALT_KOD]]))</f>
        <v>12.649999999999999</v>
      </c>
      <c r="L1935">
        <v>0</v>
      </c>
      <c r="M1935">
        <f>IF((DST_123_ÜRETİM_İHTİYAÇ_RAPORU_BURAK_YENI1309[[#This Row],[SATINALMA]]*DST_123_ÜRETİM_İHTİYAÇ_RAPORU_BURAK_YENI1309[[#This Row],[BIRIM_FIYATLAR]])&lt;1,VALUE("0"),DST_123_ÜRETİM_İHTİYAÇ_RAPORU_BURAK_YENI1309[[#This Row],[SATINALMA]]*DST_123_ÜRETİM_İHTİYAÇ_RAPORU_BURAK_YENI1309[[#This Row],[BIRIM_FIYATLAR]])</f>
        <v>20523.36</v>
      </c>
      <c r="N1935">
        <v>1622.4</v>
      </c>
      <c r="O1935" t="s">
        <v>261</v>
      </c>
      <c r="P1935">
        <v>1135.68</v>
      </c>
      <c r="Q1935" t="s">
        <v>183</v>
      </c>
    </row>
    <row r="1936" spans="1:17" x14ac:dyDescent="0.25">
      <c r="A1936" t="s">
        <v>1144</v>
      </c>
      <c r="B1936" t="s">
        <v>1145</v>
      </c>
      <c r="C1936" t="s">
        <v>175</v>
      </c>
      <c r="D1936" t="s">
        <v>1157</v>
      </c>
      <c r="E1936" t="s">
        <v>1158</v>
      </c>
      <c r="F1936">
        <v>6</v>
      </c>
      <c r="G1936" t="s">
        <v>176</v>
      </c>
      <c r="H1936">
        <v>0</v>
      </c>
      <c r="I1936">
        <v>0</v>
      </c>
      <c r="J1936" s="10">
        <v>0</v>
      </c>
      <c r="K1936" s="10">
        <f>SUMIFS(F:F,D:D,DST_123_ÜRETİM_İHTİYAÇ_RAPORU_BURAK_YENI1309[[#This Row],[ALT_KOD]])-(SUMIFS(H:H,D:D,DST_123_ÜRETİM_İHTİYAÇ_RAPORU_BURAK_YENI1309[[#This Row],[ALT_KOD]])+AVERAGEIFS(I:I,D:D,DST_123_ÜRETİM_İHTİYAÇ_RAPORU_BURAK_YENI1309[[#This Row],[ALT_KOD]])+AVERAGEIFS(L:L,D:D,DST_123_ÜRETİM_İHTİYAÇ_RAPORU_BURAK_YENI1309[[#This Row],[ALT_KOD]]))</f>
        <v>56</v>
      </c>
      <c r="L1936">
        <v>0</v>
      </c>
      <c r="M1936">
        <f>IF((DST_123_ÜRETİM_İHTİYAÇ_RAPORU_BURAK_YENI1309[[#This Row],[SATINALMA]]*DST_123_ÜRETİM_İHTİYAÇ_RAPORU_BURAK_YENI1309[[#This Row],[BIRIM_FIYATLAR]])&lt;1,VALUE("0"),DST_123_ÜRETİM_İHTİYAÇ_RAPORU_BURAK_YENI1309[[#This Row],[SATINALMA]]*DST_123_ÜRETİM_İHTİYAÇ_RAPORU_BURAK_YENI1309[[#This Row],[BIRIM_FIYATLAR]])</f>
        <v>0</v>
      </c>
      <c r="N1936">
        <v>0</v>
      </c>
      <c r="P1936">
        <v>0</v>
      </c>
      <c r="Q1936" t="s">
        <v>180</v>
      </c>
    </row>
    <row r="1937" spans="1:17" x14ac:dyDescent="0.25">
      <c r="A1937" t="s">
        <v>1196</v>
      </c>
      <c r="B1937" t="s">
        <v>1197</v>
      </c>
      <c r="C1937" t="s">
        <v>175</v>
      </c>
      <c r="D1937" t="s">
        <v>259</v>
      </c>
      <c r="E1937" t="s">
        <v>260</v>
      </c>
      <c r="F1937">
        <v>0.7</v>
      </c>
      <c r="G1937" t="s">
        <v>176</v>
      </c>
      <c r="H1937">
        <v>0</v>
      </c>
      <c r="I1937">
        <v>2</v>
      </c>
      <c r="J1937" s="10">
        <v>3.3000000000000052</v>
      </c>
      <c r="K1937" s="10">
        <f>SUMIFS(F:F,D:D,DST_123_ÜRETİM_İHTİYAÇ_RAPORU_BURAK_YENI1309[[#This Row],[ALT_KOD]])-(SUMIFS(H:H,D:D,DST_123_ÜRETİM_İHTİYAÇ_RAPORU_BURAK_YENI1309[[#This Row],[ALT_KOD]])+AVERAGEIFS(I:I,D:D,DST_123_ÜRETİM_İHTİYAÇ_RAPORU_BURAK_YENI1309[[#This Row],[ALT_KOD]])+AVERAGEIFS(L:L,D:D,DST_123_ÜRETİM_İHTİYAÇ_RAPORU_BURAK_YENI1309[[#This Row],[ALT_KOD]]))</f>
        <v>12.649999999999999</v>
      </c>
      <c r="L1937">
        <v>0</v>
      </c>
      <c r="M1937">
        <f>IF((DST_123_ÜRETİM_İHTİYAÇ_RAPORU_BURAK_YENI1309[[#This Row],[SATINALMA]]*DST_123_ÜRETİM_İHTİYAÇ_RAPORU_BURAK_YENI1309[[#This Row],[BIRIM_FIYATLAR]])&lt;1,VALUE("0"),DST_123_ÜRETİM_İHTİYAÇ_RAPORU_BURAK_YENI1309[[#This Row],[SATINALMA]]*DST_123_ÜRETİM_İHTİYAÇ_RAPORU_BURAK_YENI1309[[#This Row],[BIRIM_FIYATLAR]])</f>
        <v>20523.36</v>
      </c>
      <c r="N1937">
        <v>1622.4</v>
      </c>
      <c r="O1937" t="s">
        <v>261</v>
      </c>
      <c r="P1937">
        <v>1135.68</v>
      </c>
      <c r="Q1937" t="s">
        <v>183</v>
      </c>
    </row>
    <row r="1938" spans="1:17" x14ac:dyDescent="0.25">
      <c r="A1938" t="s">
        <v>1099</v>
      </c>
      <c r="B1938" t="s">
        <v>1055</v>
      </c>
      <c r="C1938" t="s">
        <v>175</v>
      </c>
      <c r="D1938" t="s">
        <v>259</v>
      </c>
      <c r="E1938" t="s">
        <v>260</v>
      </c>
      <c r="F1938">
        <v>0.89999999999999991</v>
      </c>
      <c r="G1938" t="s">
        <v>176</v>
      </c>
      <c r="H1938">
        <v>0</v>
      </c>
      <c r="I1938">
        <v>2</v>
      </c>
      <c r="J1938" s="10">
        <v>3.3000000000000052</v>
      </c>
      <c r="K1938" s="10">
        <f>SUMIFS(F:F,D:D,DST_123_ÜRETİM_İHTİYAÇ_RAPORU_BURAK_YENI1309[[#This Row],[ALT_KOD]])-(SUMIFS(H:H,D:D,DST_123_ÜRETİM_İHTİYAÇ_RAPORU_BURAK_YENI1309[[#This Row],[ALT_KOD]])+AVERAGEIFS(I:I,D:D,DST_123_ÜRETİM_İHTİYAÇ_RAPORU_BURAK_YENI1309[[#This Row],[ALT_KOD]])+AVERAGEIFS(L:L,D:D,DST_123_ÜRETİM_İHTİYAÇ_RAPORU_BURAK_YENI1309[[#This Row],[ALT_KOD]]))</f>
        <v>12.649999999999999</v>
      </c>
      <c r="L1938">
        <v>0</v>
      </c>
      <c r="M1938">
        <f>IF((DST_123_ÜRETİM_İHTİYAÇ_RAPORU_BURAK_YENI1309[[#This Row],[SATINALMA]]*DST_123_ÜRETİM_İHTİYAÇ_RAPORU_BURAK_YENI1309[[#This Row],[BIRIM_FIYATLAR]])&lt;1,VALUE("0"),DST_123_ÜRETİM_İHTİYAÇ_RAPORU_BURAK_YENI1309[[#This Row],[SATINALMA]]*DST_123_ÜRETİM_İHTİYAÇ_RAPORU_BURAK_YENI1309[[#This Row],[BIRIM_FIYATLAR]])</f>
        <v>20523.36</v>
      </c>
      <c r="N1938">
        <v>1622.4</v>
      </c>
      <c r="O1938" t="s">
        <v>261</v>
      </c>
      <c r="P1938">
        <v>1460.1599999999999</v>
      </c>
      <c r="Q1938" t="s">
        <v>183</v>
      </c>
    </row>
    <row r="1939" spans="1:17" x14ac:dyDescent="0.25">
      <c r="A1939" t="s">
        <v>1144</v>
      </c>
      <c r="B1939" t="s">
        <v>1145</v>
      </c>
      <c r="C1939" t="s">
        <v>175</v>
      </c>
      <c r="D1939" t="s">
        <v>743</v>
      </c>
      <c r="E1939" t="s">
        <v>744</v>
      </c>
      <c r="F1939">
        <v>0.5</v>
      </c>
      <c r="G1939" t="s">
        <v>179</v>
      </c>
      <c r="H1939">
        <v>0</v>
      </c>
      <c r="I1939">
        <v>0</v>
      </c>
      <c r="J1939" s="10">
        <v>45.5</v>
      </c>
      <c r="K1939" s="10">
        <f>SUMIFS(F:F,D:D,DST_123_ÜRETİM_İHTİYAÇ_RAPORU_BURAK_YENI1309[[#This Row],[ALT_KOD]])-(SUMIFS(H:H,D:D,DST_123_ÜRETİM_İHTİYAÇ_RAPORU_BURAK_YENI1309[[#This Row],[ALT_KOD]])+AVERAGEIFS(I:I,D:D,DST_123_ÜRETİM_İHTİYAÇ_RAPORU_BURAK_YENI1309[[#This Row],[ALT_KOD]])+AVERAGEIFS(L:L,D:D,DST_123_ÜRETİM_İHTİYAÇ_RAPORU_BURAK_YENI1309[[#This Row],[ALT_KOD]]))</f>
        <v>8.5</v>
      </c>
      <c r="L1939">
        <v>0</v>
      </c>
      <c r="M1939">
        <f>IF((DST_123_ÜRETİM_İHTİYAÇ_RAPORU_BURAK_YENI1309[[#This Row],[SATINALMA]]*DST_123_ÜRETİM_İHTİYAÇ_RAPORU_BURAK_YENI1309[[#This Row],[BIRIM_FIYATLAR]])&lt;1,VALUE("0"),DST_123_ÜRETİM_İHTİYAÇ_RAPORU_BURAK_YENI1309[[#This Row],[SATINALMA]]*DST_123_ÜRETİM_İHTİYAÇ_RAPORU_BURAK_YENI1309[[#This Row],[BIRIM_FIYATLAR]])</f>
        <v>1437.4350000000002</v>
      </c>
      <c r="N1939">
        <v>169.11</v>
      </c>
      <c r="O1939" t="s">
        <v>745</v>
      </c>
      <c r="P1939">
        <v>84.555000000000007</v>
      </c>
      <c r="Q1939" t="s">
        <v>184</v>
      </c>
    </row>
    <row r="1940" spans="1:17" x14ac:dyDescent="0.25">
      <c r="A1940" t="s">
        <v>1149</v>
      </c>
      <c r="B1940" t="s">
        <v>1145</v>
      </c>
      <c r="C1940" t="s">
        <v>175</v>
      </c>
      <c r="D1940" t="s">
        <v>532</v>
      </c>
      <c r="E1940" t="s">
        <v>533</v>
      </c>
      <c r="F1940">
        <v>10</v>
      </c>
      <c r="G1940" t="s">
        <v>179</v>
      </c>
      <c r="H1940">
        <v>0</v>
      </c>
      <c r="I1940">
        <v>0</v>
      </c>
      <c r="J1940" s="10">
        <v>0</v>
      </c>
      <c r="K1940" s="10">
        <f>SUMIFS(F:F,D:D,DST_123_ÜRETİM_İHTİYAÇ_RAPORU_BURAK_YENI1309[[#This Row],[ALT_KOD]])-(SUMIFS(H:H,D:D,DST_123_ÜRETİM_İHTİYAÇ_RAPORU_BURAK_YENI1309[[#This Row],[ALT_KOD]])+AVERAGEIFS(I:I,D:D,DST_123_ÜRETİM_İHTİYAÇ_RAPORU_BURAK_YENI1309[[#This Row],[ALT_KOD]])+AVERAGEIFS(L:L,D:D,DST_123_ÜRETİM_İHTİYAÇ_RAPORU_BURAK_YENI1309[[#This Row],[ALT_KOD]]))</f>
        <v>-220</v>
      </c>
      <c r="L1940">
        <v>400</v>
      </c>
      <c r="M1940">
        <f>IF((DST_123_ÜRETİM_İHTİYAÇ_RAPORU_BURAK_YENI1309[[#This Row],[SATINALMA]]*DST_123_ÜRETİM_İHTİYAÇ_RAPORU_BURAK_YENI1309[[#This Row],[BIRIM_FIYATLAR]])&lt;1,VALUE("0"),DST_123_ÜRETİM_İHTİYAÇ_RAPORU_BURAK_YENI1309[[#This Row],[SATINALMA]]*DST_123_ÜRETİM_İHTİYAÇ_RAPORU_BURAK_YENI1309[[#This Row],[BIRIM_FIYATLAR]])</f>
        <v>0</v>
      </c>
      <c r="N1940">
        <v>5</v>
      </c>
      <c r="O1940" t="s">
        <v>224</v>
      </c>
      <c r="P1940">
        <v>50</v>
      </c>
      <c r="Q1940" t="s">
        <v>180</v>
      </c>
    </row>
    <row r="1941" spans="1:17" x14ac:dyDescent="0.25">
      <c r="A1941" t="s">
        <v>1149</v>
      </c>
      <c r="B1941" t="s">
        <v>1145</v>
      </c>
      <c r="C1941" t="s">
        <v>175</v>
      </c>
      <c r="D1941" t="s">
        <v>353</v>
      </c>
      <c r="E1941" t="s">
        <v>354</v>
      </c>
      <c r="F1941">
        <v>8</v>
      </c>
      <c r="G1941" t="s">
        <v>176</v>
      </c>
      <c r="H1941">
        <v>0</v>
      </c>
      <c r="I1941">
        <v>391</v>
      </c>
      <c r="J1941" s="10">
        <v>150</v>
      </c>
      <c r="K1941" s="10">
        <f>SUMIFS(F:F,D:D,DST_123_ÜRETİM_İHTİYAÇ_RAPORU_BURAK_YENI1309[[#This Row],[ALT_KOD]])-(SUMIFS(H:H,D:D,DST_123_ÜRETİM_İHTİYAÇ_RAPORU_BURAK_YENI1309[[#This Row],[ALT_KOD]])+AVERAGEIFS(I:I,D:D,DST_123_ÜRETİM_İHTİYAÇ_RAPORU_BURAK_YENI1309[[#This Row],[ALT_KOD]])+AVERAGEIFS(L:L,D:D,DST_123_ÜRETİM_İHTİYAÇ_RAPORU_BURAK_YENI1309[[#This Row],[ALT_KOD]]))</f>
        <v>-33</v>
      </c>
      <c r="L1941">
        <v>0</v>
      </c>
      <c r="M1941">
        <f>IF((DST_123_ÜRETİM_İHTİYAÇ_RAPORU_BURAK_YENI1309[[#This Row],[SATINALMA]]*DST_123_ÜRETİM_İHTİYAÇ_RAPORU_BURAK_YENI1309[[#This Row],[BIRIM_FIYATLAR]])&lt;1,VALUE("0"),DST_123_ÜRETİM_İHTİYAÇ_RAPORU_BURAK_YENI1309[[#This Row],[SATINALMA]]*DST_123_ÜRETİM_İHTİYAÇ_RAPORU_BURAK_YENI1309[[#This Row],[BIRIM_FIYATLAR]])</f>
        <v>0</v>
      </c>
      <c r="N1941">
        <v>10.65</v>
      </c>
      <c r="O1941" t="s">
        <v>882</v>
      </c>
      <c r="P1941">
        <v>85.2</v>
      </c>
      <c r="Q1941" t="s">
        <v>180</v>
      </c>
    </row>
    <row r="1942" spans="1:17" x14ac:dyDescent="0.25">
      <c r="A1942" t="s">
        <v>1101</v>
      </c>
      <c r="B1942" t="s">
        <v>1102</v>
      </c>
      <c r="C1942" t="s">
        <v>175</v>
      </c>
      <c r="D1942" t="s">
        <v>532</v>
      </c>
      <c r="E1942" t="s">
        <v>533</v>
      </c>
      <c r="F1942">
        <v>10</v>
      </c>
      <c r="G1942" t="s">
        <v>179</v>
      </c>
      <c r="H1942">
        <v>0</v>
      </c>
      <c r="I1942">
        <v>0</v>
      </c>
      <c r="J1942" s="10">
        <v>0</v>
      </c>
      <c r="K1942" s="10">
        <f>SUMIFS(F:F,D:D,DST_123_ÜRETİM_İHTİYAÇ_RAPORU_BURAK_YENI1309[[#This Row],[ALT_KOD]])-(SUMIFS(H:H,D:D,DST_123_ÜRETİM_İHTİYAÇ_RAPORU_BURAK_YENI1309[[#This Row],[ALT_KOD]])+AVERAGEIFS(I:I,D:D,DST_123_ÜRETİM_İHTİYAÇ_RAPORU_BURAK_YENI1309[[#This Row],[ALT_KOD]])+AVERAGEIFS(L:L,D:D,DST_123_ÜRETİM_İHTİYAÇ_RAPORU_BURAK_YENI1309[[#This Row],[ALT_KOD]]))</f>
        <v>-220</v>
      </c>
      <c r="L1942">
        <v>400</v>
      </c>
      <c r="M1942">
        <f>IF((DST_123_ÜRETİM_İHTİYAÇ_RAPORU_BURAK_YENI1309[[#This Row],[SATINALMA]]*DST_123_ÜRETİM_İHTİYAÇ_RAPORU_BURAK_YENI1309[[#This Row],[BIRIM_FIYATLAR]])&lt;1,VALUE("0"),DST_123_ÜRETİM_İHTİYAÇ_RAPORU_BURAK_YENI1309[[#This Row],[SATINALMA]]*DST_123_ÜRETİM_İHTİYAÇ_RAPORU_BURAK_YENI1309[[#This Row],[BIRIM_FIYATLAR]])</f>
        <v>0</v>
      </c>
      <c r="N1942">
        <v>5</v>
      </c>
      <c r="O1942" t="s">
        <v>224</v>
      </c>
      <c r="P1942">
        <v>50</v>
      </c>
      <c r="Q1942" t="s">
        <v>180</v>
      </c>
    </row>
    <row r="1943" spans="1:17" x14ac:dyDescent="0.25">
      <c r="A1943" t="s">
        <v>1101</v>
      </c>
      <c r="B1943" t="s">
        <v>1102</v>
      </c>
      <c r="C1943" t="s">
        <v>175</v>
      </c>
      <c r="D1943" t="s">
        <v>353</v>
      </c>
      <c r="E1943" t="s">
        <v>354</v>
      </c>
      <c r="F1943">
        <v>23</v>
      </c>
      <c r="G1943" t="s">
        <v>176</v>
      </c>
      <c r="H1943">
        <v>0</v>
      </c>
      <c r="I1943">
        <v>391</v>
      </c>
      <c r="J1943" s="10">
        <v>150</v>
      </c>
      <c r="K1943" s="10">
        <f>SUMIFS(F:F,D:D,DST_123_ÜRETİM_İHTİYAÇ_RAPORU_BURAK_YENI1309[[#This Row],[ALT_KOD]])-(SUMIFS(H:H,D:D,DST_123_ÜRETİM_İHTİYAÇ_RAPORU_BURAK_YENI1309[[#This Row],[ALT_KOD]])+AVERAGEIFS(I:I,D:D,DST_123_ÜRETİM_İHTİYAÇ_RAPORU_BURAK_YENI1309[[#This Row],[ALT_KOD]])+AVERAGEIFS(L:L,D:D,DST_123_ÜRETİM_İHTİYAÇ_RAPORU_BURAK_YENI1309[[#This Row],[ALT_KOD]]))</f>
        <v>-33</v>
      </c>
      <c r="L1943">
        <v>0</v>
      </c>
      <c r="M1943">
        <f>IF((DST_123_ÜRETİM_İHTİYAÇ_RAPORU_BURAK_YENI1309[[#This Row],[SATINALMA]]*DST_123_ÜRETİM_İHTİYAÇ_RAPORU_BURAK_YENI1309[[#This Row],[BIRIM_FIYATLAR]])&lt;1,VALUE("0"),DST_123_ÜRETİM_İHTİYAÇ_RAPORU_BURAK_YENI1309[[#This Row],[SATINALMA]]*DST_123_ÜRETİM_İHTİYAÇ_RAPORU_BURAK_YENI1309[[#This Row],[BIRIM_FIYATLAR]])</f>
        <v>0</v>
      </c>
      <c r="N1943">
        <v>10.65</v>
      </c>
      <c r="O1943" t="s">
        <v>882</v>
      </c>
      <c r="P1943">
        <v>244.95000000000002</v>
      </c>
      <c r="Q1943" t="s">
        <v>180</v>
      </c>
    </row>
    <row r="1944" spans="1:17" x14ac:dyDescent="0.25">
      <c r="A1944" t="s">
        <v>1196</v>
      </c>
      <c r="B1944" t="s">
        <v>1197</v>
      </c>
      <c r="C1944" t="s">
        <v>175</v>
      </c>
      <c r="D1944" t="s">
        <v>532</v>
      </c>
      <c r="E1944" t="s">
        <v>533</v>
      </c>
      <c r="F1944">
        <v>10</v>
      </c>
      <c r="G1944" t="s">
        <v>179</v>
      </c>
      <c r="H1944">
        <v>0</v>
      </c>
      <c r="I1944">
        <v>0</v>
      </c>
      <c r="J1944" s="10">
        <v>0</v>
      </c>
      <c r="K1944" s="10">
        <f>SUMIFS(F:F,D:D,DST_123_ÜRETİM_İHTİYAÇ_RAPORU_BURAK_YENI1309[[#This Row],[ALT_KOD]])-(SUMIFS(H:H,D:D,DST_123_ÜRETİM_İHTİYAÇ_RAPORU_BURAK_YENI1309[[#This Row],[ALT_KOD]])+AVERAGEIFS(I:I,D:D,DST_123_ÜRETİM_İHTİYAÇ_RAPORU_BURAK_YENI1309[[#This Row],[ALT_KOD]])+AVERAGEIFS(L:L,D:D,DST_123_ÜRETİM_İHTİYAÇ_RAPORU_BURAK_YENI1309[[#This Row],[ALT_KOD]]))</f>
        <v>-220</v>
      </c>
      <c r="L1944">
        <v>400</v>
      </c>
      <c r="M1944">
        <f>IF((DST_123_ÜRETİM_İHTİYAÇ_RAPORU_BURAK_YENI1309[[#This Row],[SATINALMA]]*DST_123_ÜRETİM_İHTİYAÇ_RAPORU_BURAK_YENI1309[[#This Row],[BIRIM_FIYATLAR]])&lt;1,VALUE("0"),DST_123_ÜRETİM_İHTİYAÇ_RAPORU_BURAK_YENI1309[[#This Row],[SATINALMA]]*DST_123_ÜRETİM_İHTİYAÇ_RAPORU_BURAK_YENI1309[[#This Row],[BIRIM_FIYATLAR]])</f>
        <v>0</v>
      </c>
      <c r="N1944">
        <v>5</v>
      </c>
      <c r="O1944" t="s">
        <v>224</v>
      </c>
      <c r="P1944">
        <v>50</v>
      </c>
      <c r="Q1944" t="s">
        <v>180</v>
      </c>
    </row>
    <row r="1945" spans="1:17" x14ac:dyDescent="0.25">
      <c r="A1945" t="s">
        <v>1099</v>
      </c>
      <c r="B1945" t="s">
        <v>1055</v>
      </c>
      <c r="C1945" t="s">
        <v>175</v>
      </c>
      <c r="D1945" t="s">
        <v>532</v>
      </c>
      <c r="E1945" t="s">
        <v>533</v>
      </c>
      <c r="F1945">
        <v>10</v>
      </c>
      <c r="G1945" t="s">
        <v>179</v>
      </c>
      <c r="H1945">
        <v>0</v>
      </c>
      <c r="I1945">
        <v>0</v>
      </c>
      <c r="J1945" s="10">
        <v>0</v>
      </c>
      <c r="K1945" s="10">
        <f>SUMIFS(F:F,D:D,DST_123_ÜRETİM_İHTİYAÇ_RAPORU_BURAK_YENI1309[[#This Row],[ALT_KOD]])-(SUMIFS(H:H,D:D,DST_123_ÜRETİM_İHTİYAÇ_RAPORU_BURAK_YENI1309[[#This Row],[ALT_KOD]])+AVERAGEIFS(I:I,D:D,DST_123_ÜRETİM_İHTİYAÇ_RAPORU_BURAK_YENI1309[[#This Row],[ALT_KOD]])+AVERAGEIFS(L:L,D:D,DST_123_ÜRETİM_İHTİYAÇ_RAPORU_BURAK_YENI1309[[#This Row],[ALT_KOD]]))</f>
        <v>-220</v>
      </c>
      <c r="L1945">
        <v>400</v>
      </c>
      <c r="M1945">
        <f>IF((DST_123_ÜRETİM_İHTİYAÇ_RAPORU_BURAK_YENI1309[[#This Row],[SATINALMA]]*DST_123_ÜRETİM_İHTİYAÇ_RAPORU_BURAK_YENI1309[[#This Row],[BIRIM_FIYATLAR]])&lt;1,VALUE("0"),DST_123_ÜRETİM_İHTİYAÇ_RAPORU_BURAK_YENI1309[[#This Row],[SATINALMA]]*DST_123_ÜRETİM_İHTİYAÇ_RAPORU_BURAK_YENI1309[[#This Row],[BIRIM_FIYATLAR]])</f>
        <v>0</v>
      </c>
      <c r="N1945">
        <v>5</v>
      </c>
      <c r="O1945" t="s">
        <v>224</v>
      </c>
      <c r="P1945">
        <v>50</v>
      </c>
      <c r="Q1945" t="s">
        <v>180</v>
      </c>
    </row>
    <row r="1946" spans="1:17" x14ac:dyDescent="0.25">
      <c r="A1946" t="s">
        <v>1196</v>
      </c>
      <c r="B1946" t="s">
        <v>1197</v>
      </c>
      <c r="C1946" t="s">
        <v>175</v>
      </c>
      <c r="D1946" t="s">
        <v>353</v>
      </c>
      <c r="E1946" t="s">
        <v>354</v>
      </c>
      <c r="F1946">
        <v>8</v>
      </c>
      <c r="G1946" t="s">
        <v>176</v>
      </c>
      <c r="H1946">
        <v>0</v>
      </c>
      <c r="I1946">
        <v>391</v>
      </c>
      <c r="J1946" s="10">
        <v>150</v>
      </c>
      <c r="K1946" s="10">
        <f>SUMIFS(F:F,D:D,DST_123_ÜRETİM_İHTİYAÇ_RAPORU_BURAK_YENI1309[[#This Row],[ALT_KOD]])-(SUMIFS(H:H,D:D,DST_123_ÜRETİM_İHTİYAÇ_RAPORU_BURAK_YENI1309[[#This Row],[ALT_KOD]])+AVERAGEIFS(I:I,D:D,DST_123_ÜRETİM_İHTİYAÇ_RAPORU_BURAK_YENI1309[[#This Row],[ALT_KOD]])+AVERAGEIFS(L:L,D:D,DST_123_ÜRETİM_İHTİYAÇ_RAPORU_BURAK_YENI1309[[#This Row],[ALT_KOD]]))</f>
        <v>-33</v>
      </c>
      <c r="L1946">
        <v>0</v>
      </c>
      <c r="M1946">
        <f>IF((DST_123_ÜRETİM_İHTİYAÇ_RAPORU_BURAK_YENI1309[[#This Row],[SATINALMA]]*DST_123_ÜRETİM_İHTİYAÇ_RAPORU_BURAK_YENI1309[[#This Row],[BIRIM_FIYATLAR]])&lt;1,VALUE("0"),DST_123_ÜRETİM_İHTİYAÇ_RAPORU_BURAK_YENI1309[[#This Row],[SATINALMA]]*DST_123_ÜRETİM_İHTİYAÇ_RAPORU_BURAK_YENI1309[[#This Row],[BIRIM_FIYATLAR]])</f>
        <v>0</v>
      </c>
      <c r="N1946">
        <v>10.65</v>
      </c>
      <c r="O1946" t="s">
        <v>882</v>
      </c>
      <c r="P1946">
        <v>85.2</v>
      </c>
      <c r="Q1946" t="s">
        <v>180</v>
      </c>
    </row>
    <row r="1947" spans="1:17" x14ac:dyDescent="0.25">
      <c r="A1947" t="s">
        <v>1099</v>
      </c>
      <c r="B1947" t="s">
        <v>1055</v>
      </c>
      <c r="C1947" t="s">
        <v>175</v>
      </c>
      <c r="D1947" t="s">
        <v>353</v>
      </c>
      <c r="E1947" t="s">
        <v>354</v>
      </c>
      <c r="F1947">
        <v>32</v>
      </c>
      <c r="G1947" t="s">
        <v>176</v>
      </c>
      <c r="H1947">
        <v>0</v>
      </c>
      <c r="I1947">
        <v>391</v>
      </c>
      <c r="J1947" s="10">
        <v>150</v>
      </c>
      <c r="K1947" s="10">
        <f>SUMIFS(F:F,D:D,DST_123_ÜRETİM_İHTİYAÇ_RAPORU_BURAK_YENI1309[[#This Row],[ALT_KOD]])-(SUMIFS(H:H,D:D,DST_123_ÜRETİM_İHTİYAÇ_RAPORU_BURAK_YENI1309[[#This Row],[ALT_KOD]])+AVERAGEIFS(I:I,D:D,DST_123_ÜRETİM_İHTİYAÇ_RAPORU_BURAK_YENI1309[[#This Row],[ALT_KOD]])+AVERAGEIFS(L:L,D:D,DST_123_ÜRETİM_İHTİYAÇ_RAPORU_BURAK_YENI1309[[#This Row],[ALT_KOD]]))</f>
        <v>-33</v>
      </c>
      <c r="L1947">
        <v>0</v>
      </c>
      <c r="M1947">
        <f>IF((DST_123_ÜRETİM_İHTİYAÇ_RAPORU_BURAK_YENI1309[[#This Row],[SATINALMA]]*DST_123_ÜRETİM_İHTİYAÇ_RAPORU_BURAK_YENI1309[[#This Row],[BIRIM_FIYATLAR]])&lt;1,VALUE("0"),DST_123_ÜRETİM_İHTİYAÇ_RAPORU_BURAK_YENI1309[[#This Row],[SATINALMA]]*DST_123_ÜRETİM_İHTİYAÇ_RAPORU_BURAK_YENI1309[[#This Row],[BIRIM_FIYATLAR]])</f>
        <v>0</v>
      </c>
      <c r="N1947">
        <v>10.65</v>
      </c>
      <c r="O1947" t="s">
        <v>882</v>
      </c>
      <c r="P1947">
        <v>340.8</v>
      </c>
      <c r="Q1947" t="s">
        <v>180</v>
      </c>
    </row>
    <row r="1948" spans="1:17" x14ac:dyDescent="0.25">
      <c r="A1948" t="s">
        <v>1147</v>
      </c>
      <c r="B1948" t="s">
        <v>1145</v>
      </c>
      <c r="C1948" t="s">
        <v>175</v>
      </c>
      <c r="D1948" t="s">
        <v>743</v>
      </c>
      <c r="E1948" t="s">
        <v>744</v>
      </c>
      <c r="F1948">
        <v>0.5</v>
      </c>
      <c r="G1948" t="s">
        <v>179</v>
      </c>
      <c r="H1948">
        <v>0</v>
      </c>
      <c r="I1948">
        <v>0</v>
      </c>
      <c r="J1948" s="10">
        <v>45.5</v>
      </c>
      <c r="K1948" s="10">
        <f>SUMIFS(F:F,D:D,DST_123_ÜRETİM_İHTİYAÇ_RAPORU_BURAK_YENI1309[[#This Row],[ALT_KOD]])-(SUMIFS(H:H,D:D,DST_123_ÜRETİM_İHTİYAÇ_RAPORU_BURAK_YENI1309[[#This Row],[ALT_KOD]])+AVERAGEIFS(I:I,D:D,DST_123_ÜRETİM_İHTİYAÇ_RAPORU_BURAK_YENI1309[[#This Row],[ALT_KOD]])+AVERAGEIFS(L:L,D:D,DST_123_ÜRETİM_İHTİYAÇ_RAPORU_BURAK_YENI1309[[#This Row],[ALT_KOD]]))</f>
        <v>8.5</v>
      </c>
      <c r="L1948">
        <v>0</v>
      </c>
      <c r="M1948">
        <f>IF((DST_123_ÜRETİM_İHTİYAÇ_RAPORU_BURAK_YENI1309[[#This Row],[SATINALMA]]*DST_123_ÜRETİM_İHTİYAÇ_RAPORU_BURAK_YENI1309[[#This Row],[BIRIM_FIYATLAR]])&lt;1,VALUE("0"),DST_123_ÜRETİM_İHTİYAÇ_RAPORU_BURAK_YENI1309[[#This Row],[SATINALMA]]*DST_123_ÜRETİM_İHTİYAÇ_RAPORU_BURAK_YENI1309[[#This Row],[BIRIM_FIYATLAR]])</f>
        <v>1437.4350000000002</v>
      </c>
      <c r="N1948">
        <v>169.11</v>
      </c>
      <c r="O1948" t="s">
        <v>745</v>
      </c>
      <c r="P1948">
        <v>84.555000000000007</v>
      </c>
      <c r="Q1948" t="s">
        <v>184</v>
      </c>
    </row>
    <row r="1949" spans="1:17" x14ac:dyDescent="0.25">
      <c r="A1949" t="s">
        <v>1057</v>
      </c>
      <c r="B1949" t="s">
        <v>1058</v>
      </c>
      <c r="C1949" t="s">
        <v>175</v>
      </c>
      <c r="D1949" t="s">
        <v>532</v>
      </c>
      <c r="E1949" t="s">
        <v>533</v>
      </c>
      <c r="F1949">
        <v>10</v>
      </c>
      <c r="G1949" t="s">
        <v>179</v>
      </c>
      <c r="H1949">
        <v>0</v>
      </c>
      <c r="I1949">
        <v>0</v>
      </c>
      <c r="J1949" s="10">
        <v>0</v>
      </c>
      <c r="K1949" s="10">
        <f>SUMIFS(F:F,D:D,DST_123_ÜRETİM_İHTİYAÇ_RAPORU_BURAK_YENI1309[[#This Row],[ALT_KOD]])-(SUMIFS(H:H,D:D,DST_123_ÜRETİM_İHTİYAÇ_RAPORU_BURAK_YENI1309[[#This Row],[ALT_KOD]])+AVERAGEIFS(I:I,D:D,DST_123_ÜRETİM_İHTİYAÇ_RAPORU_BURAK_YENI1309[[#This Row],[ALT_KOD]])+AVERAGEIFS(L:L,D:D,DST_123_ÜRETİM_İHTİYAÇ_RAPORU_BURAK_YENI1309[[#This Row],[ALT_KOD]]))</f>
        <v>-220</v>
      </c>
      <c r="L1949">
        <v>400</v>
      </c>
      <c r="M1949">
        <f>IF((DST_123_ÜRETİM_İHTİYAÇ_RAPORU_BURAK_YENI1309[[#This Row],[SATINALMA]]*DST_123_ÜRETİM_İHTİYAÇ_RAPORU_BURAK_YENI1309[[#This Row],[BIRIM_FIYATLAR]])&lt;1,VALUE("0"),DST_123_ÜRETİM_İHTİYAÇ_RAPORU_BURAK_YENI1309[[#This Row],[SATINALMA]]*DST_123_ÜRETİM_İHTİYAÇ_RAPORU_BURAK_YENI1309[[#This Row],[BIRIM_FIYATLAR]])</f>
        <v>0</v>
      </c>
      <c r="N1949">
        <v>5</v>
      </c>
      <c r="O1949" t="s">
        <v>224</v>
      </c>
      <c r="P1949">
        <v>50</v>
      </c>
      <c r="Q1949" t="s">
        <v>180</v>
      </c>
    </row>
    <row r="1950" spans="1:17" x14ac:dyDescent="0.25">
      <c r="A1950" t="s">
        <v>1100</v>
      </c>
      <c r="B1950" t="s">
        <v>1058</v>
      </c>
      <c r="C1950" t="s">
        <v>175</v>
      </c>
      <c r="D1950" t="s">
        <v>532</v>
      </c>
      <c r="E1950" t="s">
        <v>533</v>
      </c>
      <c r="F1950">
        <v>10</v>
      </c>
      <c r="G1950" t="s">
        <v>179</v>
      </c>
      <c r="H1950">
        <v>0</v>
      </c>
      <c r="I1950">
        <v>0</v>
      </c>
      <c r="J1950" s="10">
        <v>0</v>
      </c>
      <c r="K1950" s="10">
        <f>SUMIFS(F:F,D:D,DST_123_ÜRETİM_İHTİYAÇ_RAPORU_BURAK_YENI1309[[#This Row],[ALT_KOD]])-(SUMIFS(H:H,D:D,DST_123_ÜRETİM_İHTİYAÇ_RAPORU_BURAK_YENI1309[[#This Row],[ALT_KOD]])+AVERAGEIFS(I:I,D:D,DST_123_ÜRETİM_İHTİYAÇ_RAPORU_BURAK_YENI1309[[#This Row],[ALT_KOD]])+AVERAGEIFS(L:L,D:D,DST_123_ÜRETİM_İHTİYAÇ_RAPORU_BURAK_YENI1309[[#This Row],[ALT_KOD]]))</f>
        <v>-220</v>
      </c>
      <c r="L1950">
        <v>400</v>
      </c>
      <c r="M1950">
        <f>IF((DST_123_ÜRETİM_İHTİYAÇ_RAPORU_BURAK_YENI1309[[#This Row],[SATINALMA]]*DST_123_ÜRETİM_İHTİYAÇ_RAPORU_BURAK_YENI1309[[#This Row],[BIRIM_FIYATLAR]])&lt;1,VALUE("0"),DST_123_ÜRETİM_İHTİYAÇ_RAPORU_BURAK_YENI1309[[#This Row],[SATINALMA]]*DST_123_ÜRETİM_İHTİYAÇ_RAPORU_BURAK_YENI1309[[#This Row],[BIRIM_FIYATLAR]])</f>
        <v>0</v>
      </c>
      <c r="N1950">
        <v>5</v>
      </c>
      <c r="O1950" t="s">
        <v>224</v>
      </c>
      <c r="P1950">
        <v>50</v>
      </c>
      <c r="Q1950" t="s">
        <v>180</v>
      </c>
    </row>
    <row r="1951" spans="1:17" x14ac:dyDescent="0.25">
      <c r="A1951" t="s">
        <v>1148</v>
      </c>
      <c r="B1951" t="s">
        <v>1056</v>
      </c>
      <c r="C1951" t="s">
        <v>175</v>
      </c>
      <c r="D1951" t="s">
        <v>532</v>
      </c>
      <c r="E1951" t="s">
        <v>533</v>
      </c>
      <c r="F1951">
        <v>10</v>
      </c>
      <c r="G1951" t="s">
        <v>179</v>
      </c>
      <c r="H1951">
        <v>0</v>
      </c>
      <c r="I1951">
        <v>0</v>
      </c>
      <c r="J1951" s="10">
        <v>0</v>
      </c>
      <c r="K1951" s="10">
        <f>SUMIFS(F:F,D:D,DST_123_ÜRETİM_İHTİYAÇ_RAPORU_BURAK_YENI1309[[#This Row],[ALT_KOD]])-(SUMIFS(H:H,D:D,DST_123_ÜRETİM_İHTİYAÇ_RAPORU_BURAK_YENI1309[[#This Row],[ALT_KOD]])+AVERAGEIFS(I:I,D:D,DST_123_ÜRETİM_İHTİYAÇ_RAPORU_BURAK_YENI1309[[#This Row],[ALT_KOD]])+AVERAGEIFS(L:L,D:D,DST_123_ÜRETİM_İHTİYAÇ_RAPORU_BURAK_YENI1309[[#This Row],[ALT_KOD]]))</f>
        <v>-220</v>
      </c>
      <c r="L1951">
        <v>400</v>
      </c>
      <c r="M1951">
        <f>IF((DST_123_ÜRETİM_İHTİYAÇ_RAPORU_BURAK_YENI1309[[#This Row],[SATINALMA]]*DST_123_ÜRETİM_İHTİYAÇ_RAPORU_BURAK_YENI1309[[#This Row],[BIRIM_FIYATLAR]])&lt;1,VALUE("0"),DST_123_ÜRETİM_İHTİYAÇ_RAPORU_BURAK_YENI1309[[#This Row],[SATINALMA]]*DST_123_ÜRETİM_İHTİYAÇ_RAPORU_BURAK_YENI1309[[#This Row],[BIRIM_FIYATLAR]])</f>
        <v>0</v>
      </c>
      <c r="N1951">
        <v>5</v>
      </c>
      <c r="O1951" t="s">
        <v>224</v>
      </c>
      <c r="P1951">
        <v>50</v>
      </c>
      <c r="Q1951" t="s">
        <v>180</v>
      </c>
    </row>
    <row r="1952" spans="1:17" x14ac:dyDescent="0.25">
      <c r="A1952" t="s">
        <v>1057</v>
      </c>
      <c r="B1952" t="s">
        <v>1058</v>
      </c>
      <c r="C1952" t="s">
        <v>175</v>
      </c>
      <c r="D1952" t="s">
        <v>353</v>
      </c>
      <c r="E1952" t="s">
        <v>354</v>
      </c>
      <c r="F1952">
        <v>25</v>
      </c>
      <c r="G1952" t="s">
        <v>176</v>
      </c>
      <c r="H1952">
        <v>0</v>
      </c>
      <c r="I1952">
        <v>391</v>
      </c>
      <c r="J1952" s="10">
        <v>150</v>
      </c>
      <c r="K1952" s="10">
        <f>SUMIFS(F:F,D:D,DST_123_ÜRETİM_İHTİYAÇ_RAPORU_BURAK_YENI1309[[#This Row],[ALT_KOD]])-(SUMIFS(H:H,D:D,DST_123_ÜRETİM_İHTİYAÇ_RAPORU_BURAK_YENI1309[[#This Row],[ALT_KOD]])+AVERAGEIFS(I:I,D:D,DST_123_ÜRETİM_İHTİYAÇ_RAPORU_BURAK_YENI1309[[#This Row],[ALT_KOD]])+AVERAGEIFS(L:L,D:D,DST_123_ÜRETİM_İHTİYAÇ_RAPORU_BURAK_YENI1309[[#This Row],[ALT_KOD]]))</f>
        <v>-33</v>
      </c>
      <c r="L1952">
        <v>0</v>
      </c>
      <c r="M1952">
        <f>IF((DST_123_ÜRETİM_İHTİYAÇ_RAPORU_BURAK_YENI1309[[#This Row],[SATINALMA]]*DST_123_ÜRETİM_İHTİYAÇ_RAPORU_BURAK_YENI1309[[#This Row],[BIRIM_FIYATLAR]])&lt;1,VALUE("0"),DST_123_ÜRETİM_İHTİYAÇ_RAPORU_BURAK_YENI1309[[#This Row],[SATINALMA]]*DST_123_ÜRETİM_İHTİYAÇ_RAPORU_BURAK_YENI1309[[#This Row],[BIRIM_FIYATLAR]])</f>
        <v>0</v>
      </c>
      <c r="N1952">
        <v>10.65</v>
      </c>
      <c r="O1952" t="s">
        <v>882</v>
      </c>
      <c r="P1952">
        <v>266.25</v>
      </c>
      <c r="Q1952" t="s">
        <v>180</v>
      </c>
    </row>
    <row r="1953" spans="1:17" x14ac:dyDescent="0.25">
      <c r="A1953" t="s">
        <v>1100</v>
      </c>
      <c r="B1953" t="s">
        <v>1058</v>
      </c>
      <c r="C1953" t="s">
        <v>175</v>
      </c>
      <c r="D1953" t="s">
        <v>353</v>
      </c>
      <c r="E1953" t="s">
        <v>354</v>
      </c>
      <c r="F1953">
        <v>25</v>
      </c>
      <c r="G1953" t="s">
        <v>176</v>
      </c>
      <c r="H1953">
        <v>0</v>
      </c>
      <c r="I1953">
        <v>391</v>
      </c>
      <c r="J1953" s="10">
        <v>150</v>
      </c>
      <c r="K1953" s="10">
        <f>SUMIFS(F:F,D:D,DST_123_ÜRETİM_İHTİYAÇ_RAPORU_BURAK_YENI1309[[#This Row],[ALT_KOD]])-(SUMIFS(H:H,D:D,DST_123_ÜRETİM_İHTİYAÇ_RAPORU_BURAK_YENI1309[[#This Row],[ALT_KOD]])+AVERAGEIFS(I:I,D:D,DST_123_ÜRETİM_İHTİYAÇ_RAPORU_BURAK_YENI1309[[#This Row],[ALT_KOD]])+AVERAGEIFS(L:L,D:D,DST_123_ÜRETİM_İHTİYAÇ_RAPORU_BURAK_YENI1309[[#This Row],[ALT_KOD]]))</f>
        <v>-33</v>
      </c>
      <c r="L1953">
        <v>0</v>
      </c>
      <c r="M1953">
        <f>IF((DST_123_ÜRETİM_İHTİYAÇ_RAPORU_BURAK_YENI1309[[#This Row],[SATINALMA]]*DST_123_ÜRETİM_İHTİYAÇ_RAPORU_BURAK_YENI1309[[#This Row],[BIRIM_FIYATLAR]])&lt;1,VALUE("0"),DST_123_ÜRETİM_İHTİYAÇ_RAPORU_BURAK_YENI1309[[#This Row],[SATINALMA]]*DST_123_ÜRETİM_İHTİYAÇ_RAPORU_BURAK_YENI1309[[#This Row],[BIRIM_FIYATLAR]])</f>
        <v>0</v>
      </c>
      <c r="N1953">
        <v>10.65</v>
      </c>
      <c r="O1953" t="s">
        <v>882</v>
      </c>
      <c r="P1953">
        <v>266.25</v>
      </c>
      <c r="Q1953" t="s">
        <v>180</v>
      </c>
    </row>
    <row r="1954" spans="1:17" x14ac:dyDescent="0.25">
      <c r="A1954" t="s">
        <v>1148</v>
      </c>
      <c r="B1954" t="s">
        <v>1056</v>
      </c>
      <c r="C1954" t="s">
        <v>175</v>
      </c>
      <c r="D1954" t="s">
        <v>353</v>
      </c>
      <c r="E1954" t="s">
        <v>354</v>
      </c>
      <c r="F1954">
        <v>32</v>
      </c>
      <c r="G1954" t="s">
        <v>176</v>
      </c>
      <c r="H1954">
        <v>0</v>
      </c>
      <c r="I1954">
        <v>391</v>
      </c>
      <c r="J1954" s="10">
        <v>150</v>
      </c>
      <c r="K1954" s="10">
        <f>SUMIFS(F:F,D:D,DST_123_ÜRETİM_İHTİYAÇ_RAPORU_BURAK_YENI1309[[#This Row],[ALT_KOD]])-(SUMIFS(H:H,D:D,DST_123_ÜRETİM_İHTİYAÇ_RAPORU_BURAK_YENI1309[[#This Row],[ALT_KOD]])+AVERAGEIFS(I:I,D:D,DST_123_ÜRETİM_İHTİYAÇ_RAPORU_BURAK_YENI1309[[#This Row],[ALT_KOD]])+AVERAGEIFS(L:L,D:D,DST_123_ÜRETİM_İHTİYAÇ_RAPORU_BURAK_YENI1309[[#This Row],[ALT_KOD]]))</f>
        <v>-33</v>
      </c>
      <c r="L1954">
        <v>0</v>
      </c>
      <c r="M1954">
        <f>IF((DST_123_ÜRETİM_İHTİYAÇ_RAPORU_BURAK_YENI1309[[#This Row],[SATINALMA]]*DST_123_ÜRETİM_İHTİYAÇ_RAPORU_BURAK_YENI1309[[#This Row],[BIRIM_FIYATLAR]])&lt;1,VALUE("0"),DST_123_ÜRETİM_İHTİYAÇ_RAPORU_BURAK_YENI1309[[#This Row],[SATINALMA]]*DST_123_ÜRETİM_İHTİYAÇ_RAPORU_BURAK_YENI1309[[#This Row],[BIRIM_FIYATLAR]])</f>
        <v>0</v>
      </c>
      <c r="N1954">
        <v>10.65</v>
      </c>
      <c r="O1954" t="s">
        <v>882</v>
      </c>
      <c r="P1954">
        <v>340.8</v>
      </c>
      <c r="Q1954" t="s">
        <v>180</v>
      </c>
    </row>
    <row r="1955" spans="1:17" x14ac:dyDescent="0.25">
      <c r="A1955" t="s">
        <v>1179</v>
      </c>
      <c r="B1955" t="s">
        <v>1180</v>
      </c>
      <c r="C1955" t="s">
        <v>175</v>
      </c>
      <c r="D1955" t="s">
        <v>1184</v>
      </c>
      <c r="E1955" t="s">
        <v>1185</v>
      </c>
      <c r="F1955">
        <v>1</v>
      </c>
      <c r="G1955" t="s">
        <v>176</v>
      </c>
      <c r="H1955">
        <v>0</v>
      </c>
      <c r="I1955">
        <v>0</v>
      </c>
      <c r="J1955" s="10">
        <v>1</v>
      </c>
      <c r="K1955" s="10">
        <f>SUMIFS(F:F,D:D,DST_123_ÜRETİM_İHTİYAÇ_RAPORU_BURAK_YENI1309[[#This Row],[ALT_KOD]])-(SUMIFS(H:H,D:D,DST_123_ÜRETİM_İHTİYAÇ_RAPORU_BURAK_YENI1309[[#This Row],[ALT_KOD]])+AVERAGEIFS(I:I,D:D,DST_123_ÜRETİM_İHTİYAÇ_RAPORU_BURAK_YENI1309[[#This Row],[ALT_KOD]])+AVERAGEIFS(L:L,D:D,DST_123_ÜRETİM_İHTİYAÇ_RAPORU_BURAK_YENI1309[[#This Row],[ALT_KOD]]))</f>
        <v>1</v>
      </c>
      <c r="L1955">
        <v>0</v>
      </c>
      <c r="M1955">
        <f>IF((DST_123_ÜRETİM_İHTİYAÇ_RAPORU_BURAK_YENI1309[[#This Row],[SATINALMA]]*DST_123_ÜRETİM_İHTİYAÇ_RAPORU_BURAK_YENI1309[[#This Row],[BIRIM_FIYATLAR]])&lt;1,VALUE("0"),DST_123_ÜRETİM_İHTİYAÇ_RAPORU_BURAK_YENI1309[[#This Row],[SATINALMA]]*DST_123_ÜRETİM_İHTİYAÇ_RAPORU_BURAK_YENI1309[[#This Row],[BIRIM_FIYATLAR]])</f>
        <v>16009.7</v>
      </c>
      <c r="N1955">
        <v>16009.7</v>
      </c>
      <c r="O1955" t="s">
        <v>1186</v>
      </c>
      <c r="P1955">
        <v>16009.7</v>
      </c>
      <c r="Q1955" t="s">
        <v>177</v>
      </c>
    </row>
    <row r="1956" spans="1:17" x14ac:dyDescent="0.25">
      <c r="A1956" t="s">
        <v>1149</v>
      </c>
      <c r="B1956" t="s">
        <v>1145</v>
      </c>
      <c r="C1956" t="s">
        <v>175</v>
      </c>
      <c r="D1956" t="s">
        <v>516</v>
      </c>
      <c r="E1956" t="s">
        <v>517</v>
      </c>
      <c r="F1956">
        <v>1.5</v>
      </c>
      <c r="G1956" t="s">
        <v>176</v>
      </c>
      <c r="H1956">
        <v>0</v>
      </c>
      <c r="I1956">
        <v>91</v>
      </c>
      <c r="J1956" s="10">
        <v>17.799999999999997</v>
      </c>
      <c r="K1956" s="10">
        <f>SUMIFS(F:F,D:D,DST_123_ÜRETİM_İHTİYAÇ_RAPORU_BURAK_YENI1309[[#This Row],[ALT_KOD]])-(SUMIFS(H:H,D:D,DST_123_ÜRETİM_İHTİYAÇ_RAPORU_BURAK_YENI1309[[#This Row],[ALT_KOD]])+AVERAGEIFS(I:I,D:D,DST_123_ÜRETİM_İHTİYAÇ_RAPORU_BURAK_YENI1309[[#This Row],[ALT_KOD]])+AVERAGEIFS(L:L,D:D,DST_123_ÜRETİM_İHTİYAÇ_RAPORU_BURAK_YENI1309[[#This Row],[ALT_KOD]]))</f>
        <v>-74.5</v>
      </c>
      <c r="L1956">
        <v>0</v>
      </c>
      <c r="M1956">
        <f>IF((DST_123_ÜRETİM_İHTİYAÇ_RAPORU_BURAK_YENI1309[[#This Row],[SATINALMA]]*DST_123_ÜRETİM_İHTİYAÇ_RAPORU_BURAK_YENI1309[[#This Row],[BIRIM_FIYATLAR]])&lt;1,VALUE("0"),DST_123_ÜRETİM_İHTİYAÇ_RAPORU_BURAK_YENI1309[[#This Row],[SATINALMA]]*DST_123_ÜRETİM_İHTİYAÇ_RAPORU_BURAK_YENI1309[[#This Row],[BIRIM_FIYATLAR]])</f>
        <v>0</v>
      </c>
      <c r="N1956">
        <v>85</v>
      </c>
      <c r="O1956" t="s">
        <v>346</v>
      </c>
      <c r="P1956">
        <v>127.5</v>
      </c>
      <c r="Q1956" t="s">
        <v>180</v>
      </c>
    </row>
    <row r="1957" spans="1:17" x14ac:dyDescent="0.25">
      <c r="A1957" t="s">
        <v>1149</v>
      </c>
      <c r="B1957" t="s">
        <v>1145</v>
      </c>
      <c r="C1957" t="s">
        <v>175</v>
      </c>
      <c r="D1957" t="s">
        <v>137</v>
      </c>
      <c r="E1957" t="s">
        <v>138</v>
      </c>
      <c r="F1957">
        <v>2</v>
      </c>
      <c r="G1957" t="s">
        <v>176</v>
      </c>
      <c r="H1957">
        <v>0</v>
      </c>
      <c r="I1957">
        <v>23</v>
      </c>
      <c r="J1957" s="10">
        <v>22</v>
      </c>
      <c r="K1957" s="10">
        <f>SUMIFS(F:F,D:D,DST_123_ÜRETİM_İHTİYAÇ_RAPORU_BURAK_YENI1309[[#This Row],[ALT_KOD]])-(SUMIFS(H:H,D:D,DST_123_ÜRETİM_İHTİYAÇ_RAPORU_BURAK_YENI1309[[#This Row],[ALT_KOD]])+AVERAGEIFS(I:I,D:D,DST_123_ÜRETİM_İHTİYAÇ_RAPORU_BURAK_YENI1309[[#This Row],[ALT_KOD]])+AVERAGEIFS(L:L,D:D,DST_123_ÜRETİM_İHTİYAÇ_RAPORU_BURAK_YENI1309[[#This Row],[ALT_KOD]]))</f>
        <v>1</v>
      </c>
      <c r="L1957">
        <v>0</v>
      </c>
      <c r="M1957">
        <f>IF((DST_123_ÜRETİM_İHTİYAÇ_RAPORU_BURAK_YENI1309[[#This Row],[SATINALMA]]*DST_123_ÜRETİM_İHTİYAÇ_RAPORU_BURAK_YENI1309[[#This Row],[BIRIM_FIYATLAR]])&lt;1,VALUE("0"),DST_123_ÜRETİM_İHTİYAÇ_RAPORU_BURAK_YENI1309[[#This Row],[SATINALMA]]*DST_123_ÜRETİM_İHTİYAÇ_RAPORU_BURAK_YENI1309[[#This Row],[BIRIM_FIYATLAR]])</f>
        <v>73.349999999999994</v>
      </c>
      <c r="N1957">
        <v>73.349999999999994</v>
      </c>
      <c r="O1957" t="s">
        <v>227</v>
      </c>
      <c r="P1957">
        <v>146.69999999999999</v>
      </c>
      <c r="Q1957" t="s">
        <v>221</v>
      </c>
    </row>
    <row r="1958" spans="1:17" x14ac:dyDescent="0.25">
      <c r="A1958" t="s">
        <v>1149</v>
      </c>
      <c r="B1958" t="s">
        <v>1145</v>
      </c>
      <c r="C1958" t="s">
        <v>175</v>
      </c>
      <c r="D1958" t="s">
        <v>202</v>
      </c>
      <c r="E1958" t="s">
        <v>203</v>
      </c>
      <c r="F1958">
        <v>0.10100000000000001</v>
      </c>
      <c r="G1958" t="s">
        <v>179</v>
      </c>
      <c r="H1958">
        <v>0</v>
      </c>
      <c r="I1958">
        <v>50</v>
      </c>
      <c r="J1958" s="10">
        <v>-1.4210854715202004E-14</v>
      </c>
      <c r="K1958" s="10">
        <f>SUMIFS(F:F,D:D,DST_123_ÜRETİM_İHTİYAÇ_RAPORU_BURAK_YENI1309[[#This Row],[ALT_KOD]])-(SUMIFS(H:H,D:D,DST_123_ÜRETİM_İHTİYAÇ_RAPORU_BURAK_YENI1309[[#This Row],[ALT_KOD]])+AVERAGEIFS(I:I,D:D,DST_123_ÜRETİM_İHTİYAÇ_RAPORU_BURAK_YENI1309[[#This Row],[ALT_KOD]])+AVERAGEIFS(L:L,D:D,DST_123_ÜRETİM_İHTİYAÇ_RAPORU_BURAK_YENI1309[[#This Row],[ALT_KOD]]))</f>
        <v>-47.386000000000003</v>
      </c>
      <c r="L1958">
        <v>0</v>
      </c>
      <c r="M1958">
        <f>IF((DST_123_ÜRETİM_İHTİYAÇ_RAPORU_BURAK_YENI1309[[#This Row],[SATINALMA]]*DST_123_ÜRETİM_İHTİYAÇ_RAPORU_BURAK_YENI1309[[#This Row],[BIRIM_FIYATLAR]])&lt;1,VALUE("0"),DST_123_ÜRETİM_İHTİYAÇ_RAPORU_BURAK_YENI1309[[#This Row],[SATINALMA]]*DST_123_ÜRETİM_İHTİYAÇ_RAPORU_BURAK_YENI1309[[#This Row],[BIRIM_FIYATLAR]])</f>
        <v>0</v>
      </c>
      <c r="N1958">
        <v>10.61</v>
      </c>
      <c r="O1958" t="s">
        <v>235</v>
      </c>
      <c r="P1958">
        <v>1.07161</v>
      </c>
      <c r="Q1958" t="s">
        <v>221</v>
      </c>
    </row>
    <row r="1959" spans="1:17" x14ac:dyDescent="0.25">
      <c r="A1959" t="s">
        <v>1144</v>
      </c>
      <c r="B1959" t="s">
        <v>1145</v>
      </c>
      <c r="C1959" t="s">
        <v>175</v>
      </c>
      <c r="D1959" t="s">
        <v>202</v>
      </c>
      <c r="E1959" t="s">
        <v>203</v>
      </c>
      <c r="F1959">
        <v>0.10100000000000001</v>
      </c>
      <c r="G1959" t="s">
        <v>179</v>
      </c>
      <c r="H1959">
        <v>0</v>
      </c>
      <c r="I1959">
        <v>50</v>
      </c>
      <c r="J1959" s="10">
        <v>-1.4210854715202004E-14</v>
      </c>
      <c r="K1959" s="10">
        <f>SUMIFS(F:F,D:D,DST_123_ÜRETİM_İHTİYAÇ_RAPORU_BURAK_YENI1309[[#This Row],[ALT_KOD]])-(SUMIFS(H:H,D:D,DST_123_ÜRETİM_İHTİYAÇ_RAPORU_BURAK_YENI1309[[#This Row],[ALT_KOD]])+AVERAGEIFS(I:I,D:D,DST_123_ÜRETİM_İHTİYAÇ_RAPORU_BURAK_YENI1309[[#This Row],[ALT_KOD]])+AVERAGEIFS(L:L,D:D,DST_123_ÜRETİM_İHTİYAÇ_RAPORU_BURAK_YENI1309[[#This Row],[ALT_KOD]]))</f>
        <v>-47.386000000000003</v>
      </c>
      <c r="L1959">
        <v>0</v>
      </c>
      <c r="M1959">
        <f>IF((DST_123_ÜRETİM_İHTİYAÇ_RAPORU_BURAK_YENI1309[[#This Row],[SATINALMA]]*DST_123_ÜRETİM_İHTİYAÇ_RAPORU_BURAK_YENI1309[[#This Row],[BIRIM_FIYATLAR]])&lt;1,VALUE("0"),DST_123_ÜRETİM_İHTİYAÇ_RAPORU_BURAK_YENI1309[[#This Row],[SATINALMA]]*DST_123_ÜRETİM_İHTİYAÇ_RAPORU_BURAK_YENI1309[[#This Row],[BIRIM_FIYATLAR]])</f>
        <v>0</v>
      </c>
      <c r="N1959">
        <v>10.61</v>
      </c>
      <c r="O1959" t="s">
        <v>235</v>
      </c>
      <c r="P1959">
        <v>1.07161</v>
      </c>
      <c r="Q1959" t="s">
        <v>221</v>
      </c>
    </row>
    <row r="1960" spans="1:17" x14ac:dyDescent="0.25">
      <c r="A1960" t="s">
        <v>1146</v>
      </c>
      <c r="B1960" t="s">
        <v>1145</v>
      </c>
      <c r="C1960" t="s">
        <v>175</v>
      </c>
      <c r="D1960" t="s">
        <v>202</v>
      </c>
      <c r="E1960" t="s">
        <v>203</v>
      </c>
      <c r="F1960">
        <v>0.10100000000000001</v>
      </c>
      <c r="G1960" t="s">
        <v>179</v>
      </c>
      <c r="H1960">
        <v>0</v>
      </c>
      <c r="I1960">
        <v>50</v>
      </c>
      <c r="J1960" s="10">
        <v>-1.4210854715202004E-14</v>
      </c>
      <c r="K1960" s="10">
        <f>SUMIFS(F:F,D:D,DST_123_ÜRETİM_İHTİYAÇ_RAPORU_BURAK_YENI1309[[#This Row],[ALT_KOD]])-(SUMIFS(H:H,D:D,DST_123_ÜRETİM_İHTİYAÇ_RAPORU_BURAK_YENI1309[[#This Row],[ALT_KOD]])+AVERAGEIFS(I:I,D:D,DST_123_ÜRETİM_İHTİYAÇ_RAPORU_BURAK_YENI1309[[#This Row],[ALT_KOD]])+AVERAGEIFS(L:L,D:D,DST_123_ÜRETİM_İHTİYAÇ_RAPORU_BURAK_YENI1309[[#This Row],[ALT_KOD]]))</f>
        <v>-47.386000000000003</v>
      </c>
      <c r="L1960">
        <v>0</v>
      </c>
      <c r="M1960">
        <f>IF((DST_123_ÜRETİM_İHTİYAÇ_RAPORU_BURAK_YENI1309[[#This Row],[SATINALMA]]*DST_123_ÜRETİM_İHTİYAÇ_RAPORU_BURAK_YENI1309[[#This Row],[BIRIM_FIYATLAR]])&lt;1,VALUE("0"),DST_123_ÜRETİM_İHTİYAÇ_RAPORU_BURAK_YENI1309[[#This Row],[SATINALMA]]*DST_123_ÜRETİM_İHTİYAÇ_RAPORU_BURAK_YENI1309[[#This Row],[BIRIM_FIYATLAR]])</f>
        <v>0</v>
      </c>
      <c r="N1960">
        <v>10.61</v>
      </c>
      <c r="O1960" t="s">
        <v>235</v>
      </c>
      <c r="P1960">
        <v>1.07161</v>
      </c>
      <c r="Q1960" t="s">
        <v>221</v>
      </c>
    </row>
    <row r="1961" spans="1:17" x14ac:dyDescent="0.25">
      <c r="A1961" t="s">
        <v>1101</v>
      </c>
      <c r="B1961" t="s">
        <v>1102</v>
      </c>
      <c r="C1961" t="s">
        <v>175</v>
      </c>
      <c r="D1961" t="s">
        <v>372</v>
      </c>
      <c r="E1961" t="s">
        <v>373</v>
      </c>
      <c r="F1961">
        <v>3</v>
      </c>
      <c r="G1961" t="s">
        <v>176</v>
      </c>
      <c r="H1961">
        <v>0</v>
      </c>
      <c r="I1961">
        <v>65</v>
      </c>
      <c r="J1961" s="10">
        <v>54</v>
      </c>
      <c r="K1961" s="10">
        <f>SUMIFS(F:F,D:D,DST_123_ÜRETİM_İHTİYAÇ_RAPORU_BURAK_YENI1309[[#This Row],[ALT_KOD]])-(SUMIFS(H:H,D:D,DST_123_ÜRETİM_İHTİYAÇ_RAPORU_BURAK_YENI1309[[#This Row],[ALT_KOD]])+AVERAGEIFS(I:I,D:D,DST_123_ÜRETİM_İHTİYAÇ_RAPORU_BURAK_YENI1309[[#This Row],[ALT_KOD]])+AVERAGEIFS(L:L,D:D,DST_123_ÜRETİM_İHTİYAÇ_RAPORU_BURAK_YENI1309[[#This Row],[ALT_KOD]]))</f>
        <v>2</v>
      </c>
      <c r="L1961">
        <v>40</v>
      </c>
      <c r="M1961">
        <f>IF((DST_123_ÜRETİM_İHTİYAÇ_RAPORU_BURAK_YENI1309[[#This Row],[SATINALMA]]*DST_123_ÜRETİM_İHTİYAÇ_RAPORU_BURAK_YENI1309[[#This Row],[BIRIM_FIYATLAR]])&lt;1,VALUE("0"),DST_123_ÜRETİM_İHTİYAÇ_RAPORU_BURAK_YENI1309[[#This Row],[SATINALMA]]*DST_123_ÜRETİM_İHTİYAÇ_RAPORU_BURAK_YENI1309[[#This Row],[BIRIM_FIYATLAR]])</f>
        <v>148</v>
      </c>
      <c r="N1961">
        <v>74</v>
      </c>
      <c r="O1961" t="s">
        <v>821</v>
      </c>
      <c r="P1961">
        <v>222</v>
      </c>
      <c r="Q1961" t="s">
        <v>178</v>
      </c>
    </row>
    <row r="1962" spans="1:17" x14ac:dyDescent="0.25">
      <c r="A1962" t="s">
        <v>1095</v>
      </c>
      <c r="B1962" t="s">
        <v>1096</v>
      </c>
      <c r="C1962" t="s">
        <v>175</v>
      </c>
      <c r="D1962" t="s">
        <v>833</v>
      </c>
      <c r="E1962" t="s">
        <v>834</v>
      </c>
      <c r="F1962">
        <v>0.5</v>
      </c>
      <c r="G1962" t="s">
        <v>179</v>
      </c>
      <c r="H1962">
        <v>0</v>
      </c>
      <c r="I1962">
        <v>0</v>
      </c>
      <c r="J1962" s="10">
        <v>36.5</v>
      </c>
      <c r="K1962" s="10">
        <f>SUMIFS(F:F,D:D,DST_123_ÜRETİM_İHTİYAÇ_RAPORU_BURAK_YENI1309[[#This Row],[ALT_KOD]])-(SUMIFS(H:H,D:D,DST_123_ÜRETİM_İHTİYAÇ_RAPORU_BURAK_YENI1309[[#This Row],[ALT_KOD]])+AVERAGEIFS(I:I,D:D,DST_123_ÜRETİM_İHTİYAÇ_RAPORU_BURAK_YENI1309[[#This Row],[ALT_KOD]])+AVERAGEIFS(L:L,D:D,DST_123_ÜRETİM_İHTİYAÇ_RAPORU_BURAK_YENI1309[[#This Row],[ALT_KOD]]))</f>
        <v>9</v>
      </c>
      <c r="L1962">
        <v>0</v>
      </c>
      <c r="M1962">
        <f>IF((DST_123_ÜRETİM_İHTİYAÇ_RAPORU_BURAK_YENI1309[[#This Row],[SATINALMA]]*DST_123_ÜRETİM_İHTİYAÇ_RAPORU_BURAK_YENI1309[[#This Row],[BIRIM_FIYATLAR]])&lt;1,VALUE("0"),DST_123_ÜRETİM_İHTİYAÇ_RAPORU_BURAK_YENI1309[[#This Row],[SATINALMA]]*DST_123_ÜRETİM_İHTİYAÇ_RAPORU_BURAK_YENI1309[[#This Row],[BIRIM_FIYATLAR]])</f>
        <v>250.29</v>
      </c>
      <c r="N1962">
        <v>27.81</v>
      </c>
      <c r="O1962" t="s">
        <v>835</v>
      </c>
      <c r="P1962">
        <v>13.904999999999999</v>
      </c>
      <c r="Q1962" t="s">
        <v>184</v>
      </c>
    </row>
    <row r="1963" spans="1:17" x14ac:dyDescent="0.25">
      <c r="A1963" t="s">
        <v>1059</v>
      </c>
      <c r="B1963" t="s">
        <v>1058</v>
      </c>
      <c r="C1963" t="s">
        <v>175</v>
      </c>
      <c r="D1963" t="s">
        <v>372</v>
      </c>
      <c r="E1963" t="s">
        <v>373</v>
      </c>
      <c r="F1963">
        <v>6</v>
      </c>
      <c r="G1963" t="s">
        <v>176</v>
      </c>
      <c r="H1963">
        <v>0</v>
      </c>
      <c r="I1963">
        <v>65</v>
      </c>
      <c r="J1963" s="10">
        <v>54</v>
      </c>
      <c r="K1963" s="10">
        <f>SUMIFS(F:F,D:D,DST_123_ÜRETİM_İHTİYAÇ_RAPORU_BURAK_YENI1309[[#This Row],[ALT_KOD]])-(SUMIFS(H:H,D:D,DST_123_ÜRETİM_İHTİYAÇ_RAPORU_BURAK_YENI1309[[#This Row],[ALT_KOD]])+AVERAGEIFS(I:I,D:D,DST_123_ÜRETİM_İHTİYAÇ_RAPORU_BURAK_YENI1309[[#This Row],[ALT_KOD]])+AVERAGEIFS(L:L,D:D,DST_123_ÜRETİM_İHTİYAÇ_RAPORU_BURAK_YENI1309[[#This Row],[ALT_KOD]]))</f>
        <v>2</v>
      </c>
      <c r="L1963">
        <v>40</v>
      </c>
      <c r="M1963">
        <f>IF((DST_123_ÜRETİM_İHTİYAÇ_RAPORU_BURAK_YENI1309[[#This Row],[SATINALMA]]*DST_123_ÜRETİM_İHTİYAÇ_RAPORU_BURAK_YENI1309[[#This Row],[BIRIM_FIYATLAR]])&lt;1,VALUE("0"),DST_123_ÜRETİM_İHTİYAÇ_RAPORU_BURAK_YENI1309[[#This Row],[SATINALMA]]*DST_123_ÜRETİM_İHTİYAÇ_RAPORU_BURAK_YENI1309[[#This Row],[BIRIM_FIYATLAR]])</f>
        <v>148</v>
      </c>
      <c r="N1963">
        <v>74</v>
      </c>
      <c r="O1963" t="s">
        <v>821</v>
      </c>
      <c r="P1963">
        <v>444</v>
      </c>
      <c r="Q1963" t="s">
        <v>178</v>
      </c>
    </row>
    <row r="1964" spans="1:17" x14ac:dyDescent="0.25">
      <c r="A1964" t="s">
        <v>1143</v>
      </c>
      <c r="B1964" t="s">
        <v>1056</v>
      </c>
      <c r="C1964" t="s">
        <v>175</v>
      </c>
      <c r="D1964" t="s">
        <v>372</v>
      </c>
      <c r="E1964" t="s">
        <v>373</v>
      </c>
      <c r="F1964">
        <v>8</v>
      </c>
      <c r="G1964" t="s">
        <v>176</v>
      </c>
      <c r="H1964">
        <v>0</v>
      </c>
      <c r="I1964">
        <v>65</v>
      </c>
      <c r="J1964" s="10">
        <v>54</v>
      </c>
      <c r="K1964" s="10">
        <f>SUMIFS(F:F,D:D,DST_123_ÜRETİM_İHTİYAÇ_RAPORU_BURAK_YENI1309[[#This Row],[ALT_KOD]])-(SUMIFS(H:H,D:D,DST_123_ÜRETİM_İHTİYAÇ_RAPORU_BURAK_YENI1309[[#This Row],[ALT_KOD]])+AVERAGEIFS(I:I,D:D,DST_123_ÜRETİM_İHTİYAÇ_RAPORU_BURAK_YENI1309[[#This Row],[ALT_KOD]])+AVERAGEIFS(L:L,D:D,DST_123_ÜRETİM_İHTİYAÇ_RAPORU_BURAK_YENI1309[[#This Row],[ALT_KOD]]))</f>
        <v>2</v>
      </c>
      <c r="L1964">
        <v>40</v>
      </c>
      <c r="M1964">
        <f>IF((DST_123_ÜRETİM_İHTİYAÇ_RAPORU_BURAK_YENI1309[[#This Row],[SATINALMA]]*DST_123_ÜRETİM_İHTİYAÇ_RAPORU_BURAK_YENI1309[[#This Row],[BIRIM_FIYATLAR]])&lt;1,VALUE("0"),DST_123_ÜRETİM_İHTİYAÇ_RAPORU_BURAK_YENI1309[[#This Row],[SATINALMA]]*DST_123_ÜRETİM_İHTİYAÇ_RAPORU_BURAK_YENI1309[[#This Row],[BIRIM_FIYATLAR]])</f>
        <v>148</v>
      </c>
      <c r="N1964">
        <v>74</v>
      </c>
      <c r="O1964" t="s">
        <v>821</v>
      </c>
      <c r="P1964">
        <v>592</v>
      </c>
      <c r="Q1964" t="s">
        <v>178</v>
      </c>
    </row>
    <row r="1965" spans="1:17" x14ac:dyDescent="0.25">
      <c r="A1965" t="s">
        <v>1142</v>
      </c>
      <c r="B1965" t="s">
        <v>1056</v>
      </c>
      <c r="C1965" t="s">
        <v>175</v>
      </c>
      <c r="D1965" t="s">
        <v>2</v>
      </c>
      <c r="E1965" t="s">
        <v>423</v>
      </c>
      <c r="F1965">
        <v>2</v>
      </c>
      <c r="G1965" t="s">
        <v>176</v>
      </c>
      <c r="H1965">
        <v>0</v>
      </c>
      <c r="I1965">
        <v>20</v>
      </c>
      <c r="J1965" s="10">
        <v>20</v>
      </c>
      <c r="K1965" s="10">
        <f>SUMIFS(F:F,D:D,DST_123_ÜRETİM_İHTİYAÇ_RAPORU_BURAK_YENI1309[[#This Row],[ALT_KOD]])-(SUMIFS(H:H,D:D,DST_123_ÜRETİM_İHTİYAÇ_RAPORU_BURAK_YENI1309[[#This Row],[ALT_KOD]])+AVERAGEIFS(I:I,D:D,DST_123_ÜRETİM_İHTİYAÇ_RAPORU_BURAK_YENI1309[[#This Row],[ALT_KOD]])+AVERAGEIFS(L:L,D:D,DST_123_ÜRETİM_İHTİYAÇ_RAPORU_BURAK_YENI1309[[#This Row],[ALT_KOD]]))</f>
        <v>-6</v>
      </c>
      <c r="L1965">
        <v>10</v>
      </c>
      <c r="M1965">
        <f>IF((DST_123_ÜRETİM_İHTİYAÇ_RAPORU_BURAK_YENI1309[[#This Row],[SATINALMA]]*DST_123_ÜRETİM_İHTİYAÇ_RAPORU_BURAK_YENI1309[[#This Row],[BIRIM_FIYATLAR]])&lt;1,VALUE("0"),DST_123_ÜRETİM_İHTİYAÇ_RAPORU_BURAK_YENI1309[[#This Row],[SATINALMA]]*DST_123_ÜRETİM_İHTİYAÇ_RAPORU_BURAK_YENI1309[[#This Row],[BIRIM_FIYATLAR]])</f>
        <v>0</v>
      </c>
      <c r="N1965">
        <v>400</v>
      </c>
      <c r="O1965" t="s">
        <v>217</v>
      </c>
      <c r="P1965">
        <v>800</v>
      </c>
      <c r="Q1965" t="s">
        <v>221</v>
      </c>
    </row>
    <row r="1966" spans="1:17" x14ac:dyDescent="0.25">
      <c r="A1966" t="s">
        <v>1148</v>
      </c>
      <c r="B1966" t="s">
        <v>1056</v>
      </c>
      <c r="C1966" t="s">
        <v>175</v>
      </c>
      <c r="D1966" t="s">
        <v>372</v>
      </c>
      <c r="E1966" t="s">
        <v>373</v>
      </c>
      <c r="F1966">
        <v>5</v>
      </c>
      <c r="G1966" t="s">
        <v>176</v>
      </c>
      <c r="H1966">
        <v>0</v>
      </c>
      <c r="I1966">
        <v>65</v>
      </c>
      <c r="J1966" s="10">
        <v>54</v>
      </c>
      <c r="K1966" s="10">
        <f>SUMIFS(F:F,D:D,DST_123_ÜRETİM_İHTİYAÇ_RAPORU_BURAK_YENI1309[[#This Row],[ALT_KOD]])-(SUMIFS(H:H,D:D,DST_123_ÜRETİM_İHTİYAÇ_RAPORU_BURAK_YENI1309[[#This Row],[ALT_KOD]])+AVERAGEIFS(I:I,D:D,DST_123_ÜRETİM_İHTİYAÇ_RAPORU_BURAK_YENI1309[[#This Row],[ALT_KOD]])+AVERAGEIFS(L:L,D:D,DST_123_ÜRETİM_İHTİYAÇ_RAPORU_BURAK_YENI1309[[#This Row],[ALT_KOD]]))</f>
        <v>2</v>
      </c>
      <c r="L1966">
        <v>40</v>
      </c>
      <c r="M1966">
        <f>IF((DST_123_ÜRETİM_İHTİYAÇ_RAPORU_BURAK_YENI1309[[#This Row],[SATINALMA]]*DST_123_ÜRETİM_İHTİYAÇ_RAPORU_BURAK_YENI1309[[#This Row],[BIRIM_FIYATLAR]])&lt;1,VALUE("0"),DST_123_ÜRETİM_İHTİYAÇ_RAPORU_BURAK_YENI1309[[#This Row],[SATINALMA]]*DST_123_ÜRETİM_İHTİYAÇ_RAPORU_BURAK_YENI1309[[#This Row],[BIRIM_FIYATLAR]])</f>
        <v>148</v>
      </c>
      <c r="N1966">
        <v>74</v>
      </c>
      <c r="O1966" t="s">
        <v>821</v>
      </c>
      <c r="P1966">
        <v>370</v>
      </c>
      <c r="Q1966" t="s">
        <v>178</v>
      </c>
    </row>
    <row r="1967" spans="1:17" x14ac:dyDescent="0.25">
      <c r="A1967" t="s">
        <v>1060</v>
      </c>
      <c r="B1967" t="s">
        <v>1061</v>
      </c>
      <c r="C1967" t="s">
        <v>175</v>
      </c>
      <c r="D1967" t="s">
        <v>123</v>
      </c>
      <c r="E1967" t="s">
        <v>633</v>
      </c>
      <c r="F1967">
        <v>0.2</v>
      </c>
      <c r="G1967" t="s">
        <v>179</v>
      </c>
      <c r="H1967">
        <v>0</v>
      </c>
      <c r="I1967">
        <v>200</v>
      </c>
      <c r="J1967" s="10">
        <v>5.6843418860808015E-14</v>
      </c>
      <c r="K1967" s="10">
        <f>SUMIFS(F:F,D:D,DST_123_ÜRETİM_İHTİYAÇ_RAPORU_BURAK_YENI1309[[#This Row],[ALT_KOD]])-(SUMIFS(H:H,D:D,DST_123_ÜRETİM_İHTİYAÇ_RAPORU_BURAK_YENI1309[[#This Row],[ALT_KOD]])+AVERAGEIFS(I:I,D:D,DST_123_ÜRETİM_İHTİYAÇ_RAPORU_BURAK_YENI1309[[#This Row],[ALT_KOD]])+AVERAGEIFS(L:L,D:D,DST_123_ÜRETİM_İHTİYAÇ_RAPORU_BURAK_YENI1309[[#This Row],[ALT_KOD]]))</f>
        <v>-196.15</v>
      </c>
      <c r="L1967">
        <v>0</v>
      </c>
      <c r="M1967">
        <f>IF((DST_123_ÜRETİM_İHTİYAÇ_RAPORU_BURAK_YENI1309[[#This Row],[SATINALMA]]*DST_123_ÜRETİM_İHTİYAÇ_RAPORU_BURAK_YENI1309[[#This Row],[BIRIM_FIYATLAR]])&lt;1,VALUE("0"),DST_123_ÜRETİM_İHTİYAÇ_RAPORU_BURAK_YENI1309[[#This Row],[SATINALMA]]*DST_123_ÜRETİM_İHTİYAÇ_RAPORU_BURAK_YENI1309[[#This Row],[BIRIM_FIYATLAR]])</f>
        <v>0</v>
      </c>
      <c r="N1967">
        <v>2.89</v>
      </c>
      <c r="O1967" t="s">
        <v>826</v>
      </c>
      <c r="P1967">
        <v>0.57800000000000007</v>
      </c>
      <c r="Q1967" t="s">
        <v>221</v>
      </c>
    </row>
    <row r="1968" spans="1:17" x14ac:dyDescent="0.25">
      <c r="A1968" t="s">
        <v>1150</v>
      </c>
      <c r="B1968" t="s">
        <v>1145</v>
      </c>
      <c r="C1968" t="s">
        <v>175</v>
      </c>
      <c r="D1968" t="s">
        <v>361</v>
      </c>
      <c r="E1968" t="s">
        <v>362</v>
      </c>
      <c r="F1968">
        <v>7.5</v>
      </c>
      <c r="G1968" t="s">
        <v>179</v>
      </c>
      <c r="H1968">
        <v>0</v>
      </c>
      <c r="I1968">
        <v>100</v>
      </c>
      <c r="J1968" s="10">
        <v>139.99999999999989</v>
      </c>
      <c r="K1968" s="10">
        <f>SUMIFS(F:F,D:D,DST_123_ÜRETİM_İHTİYAÇ_RAPORU_BURAK_YENI1309[[#This Row],[ALT_KOD]])-(SUMIFS(H:H,D:D,DST_123_ÜRETİM_İHTİYAÇ_RAPORU_BURAK_YENI1309[[#This Row],[ALT_KOD]])+AVERAGEIFS(I:I,D:D,DST_123_ÜRETİM_İHTİYAÇ_RAPORU_BURAK_YENI1309[[#This Row],[ALT_KOD]])+AVERAGEIFS(L:L,D:D,DST_123_ÜRETİM_İHTİYAÇ_RAPORU_BURAK_YENI1309[[#This Row],[ALT_KOD]]))</f>
        <v>41.300000000000011</v>
      </c>
      <c r="L1968">
        <v>0</v>
      </c>
      <c r="M1968">
        <f>IF((DST_123_ÜRETİM_İHTİYAÇ_RAPORU_BURAK_YENI1309[[#This Row],[SATINALMA]]*DST_123_ÜRETİM_İHTİYAÇ_RAPORU_BURAK_YENI1309[[#This Row],[BIRIM_FIYATLAR]])&lt;1,VALUE("0"),DST_123_ÜRETİM_İHTİYAÇ_RAPORU_BURAK_YENI1309[[#This Row],[SATINALMA]]*DST_123_ÜRETİM_İHTİYAÇ_RAPORU_BURAK_YENI1309[[#This Row],[BIRIM_FIYATLAR]])</f>
        <v>929.25000000000023</v>
      </c>
      <c r="N1968">
        <v>22.5</v>
      </c>
      <c r="O1968" t="s">
        <v>314</v>
      </c>
      <c r="P1968">
        <v>168.75</v>
      </c>
      <c r="Q1968" t="s">
        <v>178</v>
      </c>
    </row>
    <row r="1969" spans="1:17" x14ac:dyDescent="0.25">
      <c r="A1969" t="s">
        <v>1149</v>
      </c>
      <c r="B1969" t="s">
        <v>1145</v>
      </c>
      <c r="C1969" t="s">
        <v>175</v>
      </c>
      <c r="D1969" t="s">
        <v>382</v>
      </c>
      <c r="E1969" t="s">
        <v>383</v>
      </c>
      <c r="F1969">
        <v>1</v>
      </c>
      <c r="G1969" t="s">
        <v>176</v>
      </c>
      <c r="H1969">
        <v>0</v>
      </c>
      <c r="I1969">
        <v>32</v>
      </c>
      <c r="J1969" s="10">
        <v>22</v>
      </c>
      <c r="K1969" s="10">
        <f>SUMIFS(F:F,D:D,DST_123_ÜRETİM_İHTİYAÇ_RAPORU_BURAK_YENI1309[[#This Row],[ALT_KOD]])-(SUMIFS(H:H,D:D,DST_123_ÜRETİM_İHTİYAÇ_RAPORU_BURAK_YENI1309[[#This Row],[ALT_KOD]])+AVERAGEIFS(I:I,D:D,DST_123_ÜRETİM_İHTİYAÇ_RAPORU_BURAK_YENI1309[[#This Row],[ALT_KOD]])+AVERAGEIFS(L:L,D:D,DST_123_ÜRETİM_İHTİYAÇ_RAPORU_BURAK_YENI1309[[#This Row],[ALT_KOD]]))</f>
        <v>-13</v>
      </c>
      <c r="L1969">
        <v>0</v>
      </c>
      <c r="M1969">
        <f>IF((DST_123_ÜRETİM_İHTİYAÇ_RAPORU_BURAK_YENI1309[[#This Row],[SATINALMA]]*DST_123_ÜRETİM_İHTİYAÇ_RAPORU_BURAK_YENI1309[[#This Row],[BIRIM_FIYATLAR]])&lt;1,VALUE("0"),DST_123_ÜRETİM_İHTİYAÇ_RAPORU_BURAK_YENI1309[[#This Row],[SATINALMA]]*DST_123_ÜRETİM_İHTİYAÇ_RAPORU_BURAK_YENI1309[[#This Row],[BIRIM_FIYATLAR]])</f>
        <v>0</v>
      </c>
      <c r="N1969">
        <v>34</v>
      </c>
      <c r="O1969" t="s">
        <v>240</v>
      </c>
      <c r="P1969">
        <v>34</v>
      </c>
      <c r="Q1969" t="s">
        <v>178</v>
      </c>
    </row>
    <row r="1970" spans="1:17" x14ac:dyDescent="0.25">
      <c r="A1970" t="s">
        <v>1150</v>
      </c>
      <c r="B1970" t="s">
        <v>1145</v>
      </c>
      <c r="C1970" t="s">
        <v>175</v>
      </c>
      <c r="D1970" t="s">
        <v>1153</v>
      </c>
      <c r="E1970" t="s">
        <v>1154</v>
      </c>
      <c r="F1970">
        <v>15</v>
      </c>
      <c r="G1970" t="s">
        <v>176</v>
      </c>
      <c r="H1970">
        <v>0</v>
      </c>
      <c r="I1970">
        <v>31</v>
      </c>
      <c r="J1970" s="10">
        <v>20</v>
      </c>
      <c r="K1970" s="10">
        <f>SUMIFS(F:F,D:D,DST_123_ÜRETİM_İHTİYAÇ_RAPORU_BURAK_YENI1309[[#This Row],[ALT_KOD]])-(SUMIFS(H:H,D:D,DST_123_ÜRETİM_İHTİYAÇ_RAPORU_BURAK_YENI1309[[#This Row],[ALT_KOD]])+AVERAGEIFS(I:I,D:D,DST_123_ÜRETİM_İHTİYAÇ_RAPORU_BURAK_YENI1309[[#This Row],[ALT_KOD]])+AVERAGEIFS(L:L,D:D,DST_123_ÜRETİM_İHTİYAÇ_RAPORU_BURAK_YENI1309[[#This Row],[ALT_KOD]]))</f>
        <v>14</v>
      </c>
      <c r="L1970">
        <v>0</v>
      </c>
      <c r="M1970">
        <f>IF((DST_123_ÜRETİM_İHTİYAÇ_RAPORU_BURAK_YENI1309[[#This Row],[SATINALMA]]*DST_123_ÜRETİM_İHTİYAÇ_RAPORU_BURAK_YENI1309[[#This Row],[BIRIM_FIYATLAR]])&lt;1,VALUE("0"),DST_123_ÜRETİM_İHTİYAÇ_RAPORU_BURAK_YENI1309[[#This Row],[SATINALMA]]*DST_123_ÜRETİM_İHTİYAÇ_RAPORU_BURAK_YENI1309[[#This Row],[BIRIM_FIYATLAR]])</f>
        <v>1225</v>
      </c>
      <c r="N1970">
        <v>87.5</v>
      </c>
      <c r="O1970" t="s">
        <v>628</v>
      </c>
      <c r="P1970">
        <v>1312.5</v>
      </c>
      <c r="Q1970" t="s">
        <v>180</v>
      </c>
    </row>
    <row r="1971" spans="1:17" x14ac:dyDescent="0.25">
      <c r="A1971" t="s">
        <v>1150</v>
      </c>
      <c r="B1971" t="s">
        <v>1145</v>
      </c>
      <c r="C1971" t="s">
        <v>175</v>
      </c>
      <c r="D1971" t="s">
        <v>255</v>
      </c>
      <c r="E1971" t="s">
        <v>309</v>
      </c>
      <c r="F1971">
        <v>2</v>
      </c>
      <c r="G1971" t="s">
        <v>176</v>
      </c>
      <c r="H1971">
        <v>0</v>
      </c>
      <c r="I1971">
        <v>38</v>
      </c>
      <c r="J1971" s="10">
        <v>20</v>
      </c>
      <c r="K1971" s="10">
        <f>SUMIFS(F:F,D:D,DST_123_ÜRETİM_İHTİYAÇ_RAPORU_BURAK_YENI1309[[#This Row],[ALT_KOD]])-(SUMIFS(H:H,D:D,DST_123_ÜRETİM_İHTİYAÇ_RAPORU_BURAK_YENI1309[[#This Row],[ALT_KOD]])+AVERAGEIFS(I:I,D:D,DST_123_ÜRETİM_İHTİYAÇ_RAPORU_BURAK_YENI1309[[#This Row],[ALT_KOD]])+AVERAGEIFS(L:L,D:D,DST_123_ÜRETİM_İHTİYAÇ_RAPORU_BURAK_YENI1309[[#This Row],[ALT_KOD]]))</f>
        <v>-14</v>
      </c>
      <c r="L1971">
        <v>0</v>
      </c>
      <c r="M1971">
        <f>IF((DST_123_ÜRETİM_İHTİYAÇ_RAPORU_BURAK_YENI1309[[#This Row],[SATINALMA]]*DST_123_ÜRETİM_İHTİYAÇ_RAPORU_BURAK_YENI1309[[#This Row],[BIRIM_FIYATLAR]])&lt;1,VALUE("0"),DST_123_ÜRETİM_İHTİYAÇ_RAPORU_BURAK_YENI1309[[#This Row],[SATINALMA]]*DST_123_ÜRETİM_İHTİYAÇ_RAPORU_BURAK_YENI1309[[#This Row],[BIRIM_FIYATLAR]])</f>
        <v>0</v>
      </c>
      <c r="N1971">
        <v>55</v>
      </c>
      <c r="O1971" t="s">
        <v>826</v>
      </c>
      <c r="P1971">
        <v>110</v>
      </c>
      <c r="Q1971" t="s">
        <v>221</v>
      </c>
    </row>
    <row r="1972" spans="1:17" x14ac:dyDescent="0.25">
      <c r="A1972" t="s">
        <v>1144</v>
      </c>
      <c r="B1972" t="s">
        <v>1145</v>
      </c>
      <c r="C1972" t="s">
        <v>175</v>
      </c>
      <c r="D1972" t="s">
        <v>382</v>
      </c>
      <c r="E1972" t="s">
        <v>383</v>
      </c>
      <c r="F1972">
        <v>1</v>
      </c>
      <c r="G1972" t="s">
        <v>176</v>
      </c>
      <c r="H1972">
        <v>0</v>
      </c>
      <c r="I1972">
        <v>32</v>
      </c>
      <c r="J1972" s="10">
        <v>22</v>
      </c>
      <c r="K1972" s="10">
        <f>SUMIFS(F:F,D:D,DST_123_ÜRETİM_İHTİYAÇ_RAPORU_BURAK_YENI1309[[#This Row],[ALT_KOD]])-(SUMIFS(H:H,D:D,DST_123_ÜRETİM_İHTİYAÇ_RAPORU_BURAK_YENI1309[[#This Row],[ALT_KOD]])+AVERAGEIFS(I:I,D:D,DST_123_ÜRETİM_İHTİYAÇ_RAPORU_BURAK_YENI1309[[#This Row],[ALT_KOD]])+AVERAGEIFS(L:L,D:D,DST_123_ÜRETİM_İHTİYAÇ_RAPORU_BURAK_YENI1309[[#This Row],[ALT_KOD]]))</f>
        <v>-13</v>
      </c>
      <c r="L1972">
        <v>0</v>
      </c>
      <c r="M1972">
        <f>IF((DST_123_ÜRETİM_İHTİYAÇ_RAPORU_BURAK_YENI1309[[#This Row],[SATINALMA]]*DST_123_ÜRETİM_İHTİYAÇ_RAPORU_BURAK_YENI1309[[#This Row],[BIRIM_FIYATLAR]])&lt;1,VALUE("0"),DST_123_ÜRETİM_İHTİYAÇ_RAPORU_BURAK_YENI1309[[#This Row],[SATINALMA]]*DST_123_ÜRETİM_İHTİYAÇ_RAPORU_BURAK_YENI1309[[#This Row],[BIRIM_FIYATLAR]])</f>
        <v>0</v>
      </c>
      <c r="N1972">
        <v>34</v>
      </c>
      <c r="O1972" t="s">
        <v>240</v>
      </c>
      <c r="P1972">
        <v>34</v>
      </c>
      <c r="Q1972" t="s">
        <v>178</v>
      </c>
    </row>
    <row r="1973" spans="1:17" x14ac:dyDescent="0.25">
      <c r="A1973" t="s">
        <v>1146</v>
      </c>
      <c r="B1973" t="s">
        <v>1145</v>
      </c>
      <c r="C1973" t="s">
        <v>175</v>
      </c>
      <c r="D1973" t="s">
        <v>382</v>
      </c>
      <c r="E1973" t="s">
        <v>383</v>
      </c>
      <c r="F1973">
        <v>1</v>
      </c>
      <c r="G1973" t="s">
        <v>176</v>
      </c>
      <c r="H1973">
        <v>0</v>
      </c>
      <c r="I1973">
        <v>32</v>
      </c>
      <c r="J1973" s="10">
        <v>22</v>
      </c>
      <c r="K1973" s="10">
        <f>SUMIFS(F:F,D:D,DST_123_ÜRETİM_İHTİYAÇ_RAPORU_BURAK_YENI1309[[#This Row],[ALT_KOD]])-(SUMIFS(H:H,D:D,DST_123_ÜRETİM_İHTİYAÇ_RAPORU_BURAK_YENI1309[[#This Row],[ALT_KOD]])+AVERAGEIFS(I:I,D:D,DST_123_ÜRETİM_İHTİYAÇ_RAPORU_BURAK_YENI1309[[#This Row],[ALT_KOD]])+AVERAGEIFS(L:L,D:D,DST_123_ÜRETİM_İHTİYAÇ_RAPORU_BURAK_YENI1309[[#This Row],[ALT_KOD]]))</f>
        <v>-13</v>
      </c>
      <c r="L1973">
        <v>0</v>
      </c>
      <c r="M1973">
        <f>IF((DST_123_ÜRETİM_İHTİYAÇ_RAPORU_BURAK_YENI1309[[#This Row],[SATINALMA]]*DST_123_ÜRETİM_İHTİYAÇ_RAPORU_BURAK_YENI1309[[#This Row],[BIRIM_FIYATLAR]])&lt;1,VALUE("0"),DST_123_ÜRETİM_İHTİYAÇ_RAPORU_BURAK_YENI1309[[#This Row],[SATINALMA]]*DST_123_ÜRETİM_İHTİYAÇ_RAPORU_BURAK_YENI1309[[#This Row],[BIRIM_FIYATLAR]])</f>
        <v>0</v>
      </c>
      <c r="N1973">
        <v>34</v>
      </c>
      <c r="O1973" t="s">
        <v>240</v>
      </c>
      <c r="P1973">
        <v>34</v>
      </c>
      <c r="Q1973" t="s">
        <v>178</v>
      </c>
    </row>
    <row r="1974" spans="1:17" x14ac:dyDescent="0.25">
      <c r="A1974" t="s">
        <v>1147</v>
      </c>
      <c r="B1974" t="s">
        <v>1145</v>
      </c>
      <c r="C1974" t="s">
        <v>175</v>
      </c>
      <c r="D1974" t="s">
        <v>208</v>
      </c>
      <c r="E1974" t="s">
        <v>284</v>
      </c>
      <c r="F1974">
        <v>6</v>
      </c>
      <c r="G1974" t="s">
        <v>176</v>
      </c>
      <c r="H1974">
        <v>0</v>
      </c>
      <c r="I1974">
        <v>2600</v>
      </c>
      <c r="J1974" s="10">
        <v>292</v>
      </c>
      <c r="K1974" s="10">
        <f>SUMIFS(F:F,D:D,DST_123_ÜRETİM_İHTİYAÇ_RAPORU_BURAK_YENI1309[[#This Row],[ALT_KOD]])-(SUMIFS(H:H,D:D,DST_123_ÜRETİM_İHTİYAÇ_RAPORU_BURAK_YENI1309[[#This Row],[ALT_KOD]])+AVERAGEIFS(I:I,D:D,DST_123_ÜRETİM_İHTİYAÇ_RAPORU_BURAK_YENI1309[[#This Row],[ALT_KOD]])+AVERAGEIFS(L:L,D:D,DST_123_ÜRETİM_İHTİYAÇ_RAPORU_BURAK_YENI1309[[#This Row],[ALT_KOD]]))</f>
        <v>-2145</v>
      </c>
      <c r="L1974">
        <v>0</v>
      </c>
      <c r="M1974">
        <f>IF((DST_123_ÜRETİM_İHTİYAÇ_RAPORU_BURAK_YENI1309[[#This Row],[SATINALMA]]*DST_123_ÜRETİM_İHTİYAÇ_RAPORU_BURAK_YENI1309[[#This Row],[BIRIM_FIYATLAR]])&lt;1,VALUE("0"),DST_123_ÜRETİM_İHTİYAÇ_RAPORU_BURAK_YENI1309[[#This Row],[SATINALMA]]*DST_123_ÜRETİM_İHTİYAÇ_RAPORU_BURAK_YENI1309[[#This Row],[BIRIM_FIYATLAR]])</f>
        <v>0</v>
      </c>
      <c r="N1974">
        <v>0.4</v>
      </c>
      <c r="O1974" t="s">
        <v>240</v>
      </c>
      <c r="P1974">
        <v>2.4000000000000004</v>
      </c>
      <c r="Q1974" t="s">
        <v>180</v>
      </c>
    </row>
    <row r="1975" spans="1:17" x14ac:dyDescent="0.25">
      <c r="A1975" t="s">
        <v>1147</v>
      </c>
      <c r="B1975" t="s">
        <v>1145</v>
      </c>
      <c r="C1975" t="s">
        <v>175</v>
      </c>
      <c r="D1975" t="s">
        <v>361</v>
      </c>
      <c r="E1975" t="s">
        <v>362</v>
      </c>
      <c r="F1975">
        <v>7.5</v>
      </c>
      <c r="G1975" t="s">
        <v>179</v>
      </c>
      <c r="H1975">
        <v>0</v>
      </c>
      <c r="I1975">
        <v>100</v>
      </c>
      <c r="J1975" s="10">
        <v>139.99999999999989</v>
      </c>
      <c r="K1975" s="10">
        <f>SUMIFS(F:F,D:D,DST_123_ÜRETİM_İHTİYAÇ_RAPORU_BURAK_YENI1309[[#This Row],[ALT_KOD]])-(SUMIFS(H:H,D:D,DST_123_ÜRETİM_İHTİYAÇ_RAPORU_BURAK_YENI1309[[#This Row],[ALT_KOD]])+AVERAGEIFS(I:I,D:D,DST_123_ÜRETİM_İHTİYAÇ_RAPORU_BURAK_YENI1309[[#This Row],[ALT_KOD]])+AVERAGEIFS(L:L,D:D,DST_123_ÜRETİM_İHTİYAÇ_RAPORU_BURAK_YENI1309[[#This Row],[ALT_KOD]]))</f>
        <v>41.300000000000011</v>
      </c>
      <c r="L1975">
        <v>0</v>
      </c>
      <c r="M1975">
        <f>IF((DST_123_ÜRETİM_İHTİYAÇ_RAPORU_BURAK_YENI1309[[#This Row],[SATINALMA]]*DST_123_ÜRETİM_İHTİYAÇ_RAPORU_BURAK_YENI1309[[#This Row],[BIRIM_FIYATLAR]])&lt;1,VALUE("0"),DST_123_ÜRETİM_İHTİYAÇ_RAPORU_BURAK_YENI1309[[#This Row],[SATINALMA]]*DST_123_ÜRETİM_İHTİYAÇ_RAPORU_BURAK_YENI1309[[#This Row],[BIRIM_FIYATLAR]])</f>
        <v>929.25000000000023</v>
      </c>
      <c r="N1975">
        <v>22.5</v>
      </c>
      <c r="O1975" t="s">
        <v>314</v>
      </c>
      <c r="P1975">
        <v>168.75</v>
      </c>
      <c r="Q1975" t="s">
        <v>178</v>
      </c>
    </row>
    <row r="1976" spans="1:17" x14ac:dyDescent="0.25">
      <c r="A1976" t="s">
        <v>1148</v>
      </c>
      <c r="B1976" t="s">
        <v>1056</v>
      </c>
      <c r="C1976" t="s">
        <v>175</v>
      </c>
      <c r="D1976" t="s">
        <v>361</v>
      </c>
      <c r="E1976" t="s">
        <v>362</v>
      </c>
      <c r="F1976">
        <v>5.5</v>
      </c>
      <c r="G1976" t="s">
        <v>179</v>
      </c>
      <c r="H1976">
        <v>0</v>
      </c>
      <c r="I1976">
        <v>100</v>
      </c>
      <c r="J1976" s="10">
        <v>139.99999999999989</v>
      </c>
      <c r="K1976" s="10">
        <f>SUMIFS(F:F,D:D,DST_123_ÜRETİM_İHTİYAÇ_RAPORU_BURAK_YENI1309[[#This Row],[ALT_KOD]])-(SUMIFS(H:H,D:D,DST_123_ÜRETİM_İHTİYAÇ_RAPORU_BURAK_YENI1309[[#This Row],[ALT_KOD]])+AVERAGEIFS(I:I,D:D,DST_123_ÜRETİM_İHTİYAÇ_RAPORU_BURAK_YENI1309[[#This Row],[ALT_KOD]])+AVERAGEIFS(L:L,D:D,DST_123_ÜRETİM_İHTİYAÇ_RAPORU_BURAK_YENI1309[[#This Row],[ALT_KOD]]))</f>
        <v>41.300000000000011</v>
      </c>
      <c r="L1976">
        <v>0</v>
      </c>
      <c r="M1976">
        <f>IF((DST_123_ÜRETİM_İHTİYAÇ_RAPORU_BURAK_YENI1309[[#This Row],[SATINALMA]]*DST_123_ÜRETİM_İHTİYAÇ_RAPORU_BURAK_YENI1309[[#This Row],[BIRIM_FIYATLAR]])&lt;1,VALUE("0"),DST_123_ÜRETİM_İHTİYAÇ_RAPORU_BURAK_YENI1309[[#This Row],[SATINALMA]]*DST_123_ÜRETİM_İHTİYAÇ_RAPORU_BURAK_YENI1309[[#This Row],[BIRIM_FIYATLAR]])</f>
        <v>929.25000000000023</v>
      </c>
      <c r="N1976">
        <v>22.5</v>
      </c>
      <c r="O1976" t="s">
        <v>314</v>
      </c>
      <c r="P1976">
        <v>123.75</v>
      </c>
      <c r="Q1976" t="s">
        <v>178</v>
      </c>
    </row>
    <row r="1977" spans="1:17" x14ac:dyDescent="0.25">
      <c r="A1977" t="s">
        <v>1144</v>
      </c>
      <c r="B1977" t="s">
        <v>1145</v>
      </c>
      <c r="C1977" t="s">
        <v>175</v>
      </c>
      <c r="D1977" t="s">
        <v>255</v>
      </c>
      <c r="E1977" t="s">
        <v>309</v>
      </c>
      <c r="F1977">
        <v>2</v>
      </c>
      <c r="G1977" t="s">
        <v>176</v>
      </c>
      <c r="H1977">
        <v>0</v>
      </c>
      <c r="I1977">
        <v>38</v>
      </c>
      <c r="J1977" s="10">
        <v>20</v>
      </c>
      <c r="K1977" s="10">
        <f>SUMIFS(F:F,D:D,DST_123_ÜRETİM_İHTİYAÇ_RAPORU_BURAK_YENI1309[[#This Row],[ALT_KOD]])-(SUMIFS(H:H,D:D,DST_123_ÜRETİM_İHTİYAÇ_RAPORU_BURAK_YENI1309[[#This Row],[ALT_KOD]])+AVERAGEIFS(I:I,D:D,DST_123_ÜRETİM_İHTİYAÇ_RAPORU_BURAK_YENI1309[[#This Row],[ALT_KOD]])+AVERAGEIFS(L:L,D:D,DST_123_ÜRETİM_İHTİYAÇ_RAPORU_BURAK_YENI1309[[#This Row],[ALT_KOD]]))</f>
        <v>-14</v>
      </c>
      <c r="L1977">
        <v>0</v>
      </c>
      <c r="M1977">
        <f>IF((DST_123_ÜRETİM_İHTİYAÇ_RAPORU_BURAK_YENI1309[[#This Row],[SATINALMA]]*DST_123_ÜRETİM_İHTİYAÇ_RAPORU_BURAK_YENI1309[[#This Row],[BIRIM_FIYATLAR]])&lt;1,VALUE("0"),DST_123_ÜRETİM_İHTİYAÇ_RAPORU_BURAK_YENI1309[[#This Row],[SATINALMA]]*DST_123_ÜRETİM_İHTİYAÇ_RAPORU_BURAK_YENI1309[[#This Row],[BIRIM_FIYATLAR]])</f>
        <v>0</v>
      </c>
      <c r="N1977">
        <v>55</v>
      </c>
      <c r="O1977" t="s">
        <v>826</v>
      </c>
      <c r="P1977">
        <v>110</v>
      </c>
      <c r="Q1977" t="s">
        <v>221</v>
      </c>
    </row>
    <row r="1978" spans="1:17" x14ac:dyDescent="0.25">
      <c r="A1978" t="s">
        <v>1146</v>
      </c>
      <c r="B1978" t="s">
        <v>1145</v>
      </c>
      <c r="C1978" t="s">
        <v>175</v>
      </c>
      <c r="D1978" t="s">
        <v>255</v>
      </c>
      <c r="E1978" t="s">
        <v>309</v>
      </c>
      <c r="F1978">
        <v>2</v>
      </c>
      <c r="G1978" t="s">
        <v>176</v>
      </c>
      <c r="H1978">
        <v>0</v>
      </c>
      <c r="I1978">
        <v>38</v>
      </c>
      <c r="J1978" s="10">
        <v>20</v>
      </c>
      <c r="K1978" s="10">
        <f>SUMIFS(F:F,D:D,DST_123_ÜRETİM_İHTİYAÇ_RAPORU_BURAK_YENI1309[[#This Row],[ALT_KOD]])-(SUMIFS(H:H,D:D,DST_123_ÜRETİM_İHTİYAÇ_RAPORU_BURAK_YENI1309[[#This Row],[ALT_KOD]])+AVERAGEIFS(I:I,D:D,DST_123_ÜRETİM_İHTİYAÇ_RAPORU_BURAK_YENI1309[[#This Row],[ALT_KOD]])+AVERAGEIFS(L:L,D:D,DST_123_ÜRETİM_İHTİYAÇ_RAPORU_BURAK_YENI1309[[#This Row],[ALT_KOD]]))</f>
        <v>-14</v>
      </c>
      <c r="L1978">
        <v>0</v>
      </c>
      <c r="M1978">
        <f>IF((DST_123_ÜRETİM_İHTİYAÇ_RAPORU_BURAK_YENI1309[[#This Row],[SATINALMA]]*DST_123_ÜRETİM_İHTİYAÇ_RAPORU_BURAK_YENI1309[[#This Row],[BIRIM_FIYATLAR]])&lt;1,VALUE("0"),DST_123_ÜRETİM_İHTİYAÇ_RAPORU_BURAK_YENI1309[[#This Row],[SATINALMA]]*DST_123_ÜRETİM_İHTİYAÇ_RAPORU_BURAK_YENI1309[[#This Row],[BIRIM_FIYATLAR]])</f>
        <v>0</v>
      </c>
      <c r="N1978">
        <v>55</v>
      </c>
      <c r="O1978" t="s">
        <v>826</v>
      </c>
      <c r="P1978">
        <v>110</v>
      </c>
      <c r="Q1978" t="s">
        <v>221</v>
      </c>
    </row>
    <row r="1979" spans="1:17" x14ac:dyDescent="0.25">
      <c r="A1979" t="s">
        <v>1150</v>
      </c>
      <c r="B1979" t="s">
        <v>1145</v>
      </c>
      <c r="C1979" t="s">
        <v>175</v>
      </c>
      <c r="D1979" t="s">
        <v>382</v>
      </c>
      <c r="E1979" t="s">
        <v>383</v>
      </c>
      <c r="F1979">
        <v>1</v>
      </c>
      <c r="G1979" t="s">
        <v>176</v>
      </c>
      <c r="H1979">
        <v>0</v>
      </c>
      <c r="I1979">
        <v>32</v>
      </c>
      <c r="J1979" s="10">
        <v>22</v>
      </c>
      <c r="K1979" s="10">
        <f>SUMIFS(F:F,D:D,DST_123_ÜRETİM_İHTİYAÇ_RAPORU_BURAK_YENI1309[[#This Row],[ALT_KOD]])-(SUMIFS(H:H,D:D,DST_123_ÜRETİM_İHTİYAÇ_RAPORU_BURAK_YENI1309[[#This Row],[ALT_KOD]])+AVERAGEIFS(I:I,D:D,DST_123_ÜRETİM_İHTİYAÇ_RAPORU_BURAK_YENI1309[[#This Row],[ALT_KOD]])+AVERAGEIFS(L:L,D:D,DST_123_ÜRETİM_İHTİYAÇ_RAPORU_BURAK_YENI1309[[#This Row],[ALT_KOD]]))</f>
        <v>-13</v>
      </c>
      <c r="L1979">
        <v>0</v>
      </c>
      <c r="M1979">
        <f>IF((DST_123_ÜRETİM_İHTİYAÇ_RAPORU_BURAK_YENI1309[[#This Row],[SATINALMA]]*DST_123_ÜRETİM_İHTİYAÇ_RAPORU_BURAK_YENI1309[[#This Row],[BIRIM_FIYATLAR]])&lt;1,VALUE("0"),DST_123_ÜRETİM_İHTİYAÇ_RAPORU_BURAK_YENI1309[[#This Row],[SATINALMA]]*DST_123_ÜRETİM_İHTİYAÇ_RAPORU_BURAK_YENI1309[[#This Row],[BIRIM_FIYATLAR]])</f>
        <v>0</v>
      </c>
      <c r="N1979">
        <v>34</v>
      </c>
      <c r="O1979" t="s">
        <v>240</v>
      </c>
      <c r="P1979">
        <v>34</v>
      </c>
      <c r="Q1979" t="s">
        <v>178</v>
      </c>
    </row>
    <row r="1980" spans="1:17" x14ac:dyDescent="0.25">
      <c r="A1980" t="s">
        <v>1150</v>
      </c>
      <c r="B1980" t="s">
        <v>1145</v>
      </c>
      <c r="C1980" t="s">
        <v>175</v>
      </c>
      <c r="D1980" t="s">
        <v>1123</v>
      </c>
      <c r="E1980" t="s">
        <v>1124</v>
      </c>
      <c r="F1980">
        <v>1</v>
      </c>
      <c r="G1980" t="s">
        <v>176</v>
      </c>
      <c r="H1980">
        <v>0</v>
      </c>
      <c r="I1980">
        <v>3</v>
      </c>
      <c r="J1980" s="10">
        <v>1</v>
      </c>
      <c r="K1980" s="10">
        <f>SUMIFS(F:F,D:D,DST_123_ÜRETİM_İHTİYAÇ_RAPORU_BURAK_YENI1309[[#This Row],[ALT_KOD]])-(SUMIFS(H:H,D:D,DST_123_ÜRETİM_İHTİYAÇ_RAPORU_BURAK_YENI1309[[#This Row],[ALT_KOD]])+AVERAGEIFS(I:I,D:D,DST_123_ÜRETİM_İHTİYAÇ_RAPORU_BURAK_YENI1309[[#This Row],[ALT_KOD]])+AVERAGEIFS(L:L,D:D,DST_123_ÜRETİM_İHTİYAÇ_RAPORU_BURAK_YENI1309[[#This Row],[ALT_KOD]]))</f>
        <v>-1</v>
      </c>
      <c r="L1980">
        <v>0</v>
      </c>
      <c r="M1980">
        <f>IF((DST_123_ÜRETİM_İHTİYAÇ_RAPORU_BURAK_YENI1309[[#This Row],[SATINALMA]]*DST_123_ÜRETİM_İHTİYAÇ_RAPORU_BURAK_YENI1309[[#This Row],[BIRIM_FIYATLAR]])&lt;1,VALUE("0"),DST_123_ÜRETİM_İHTİYAÇ_RAPORU_BURAK_YENI1309[[#This Row],[SATINALMA]]*DST_123_ÜRETİM_İHTİYAÇ_RAPORU_BURAK_YENI1309[[#This Row],[BIRIM_FIYATLAR]])</f>
        <v>0</v>
      </c>
      <c r="N1980">
        <v>3899.59</v>
      </c>
      <c r="O1980" t="s">
        <v>636</v>
      </c>
      <c r="P1980">
        <v>3899.59</v>
      </c>
      <c r="Q1980" t="s">
        <v>177</v>
      </c>
    </row>
    <row r="1981" spans="1:17" x14ac:dyDescent="0.25">
      <c r="A1981" t="s">
        <v>1196</v>
      </c>
      <c r="B1981" t="s">
        <v>1197</v>
      </c>
      <c r="C1981" t="s">
        <v>175</v>
      </c>
      <c r="D1981" t="s">
        <v>382</v>
      </c>
      <c r="E1981" t="s">
        <v>383</v>
      </c>
      <c r="F1981">
        <v>1</v>
      </c>
      <c r="G1981" t="s">
        <v>176</v>
      </c>
      <c r="H1981">
        <v>0</v>
      </c>
      <c r="I1981">
        <v>32</v>
      </c>
      <c r="J1981" s="10">
        <v>22</v>
      </c>
      <c r="K1981" s="10">
        <f>SUMIFS(F:F,D:D,DST_123_ÜRETİM_İHTİYAÇ_RAPORU_BURAK_YENI1309[[#This Row],[ALT_KOD]])-(SUMIFS(H:H,D:D,DST_123_ÜRETİM_İHTİYAÇ_RAPORU_BURAK_YENI1309[[#This Row],[ALT_KOD]])+AVERAGEIFS(I:I,D:D,DST_123_ÜRETİM_İHTİYAÇ_RAPORU_BURAK_YENI1309[[#This Row],[ALT_KOD]])+AVERAGEIFS(L:L,D:D,DST_123_ÜRETİM_İHTİYAÇ_RAPORU_BURAK_YENI1309[[#This Row],[ALT_KOD]]))</f>
        <v>-13</v>
      </c>
      <c r="L1981">
        <v>0</v>
      </c>
      <c r="M1981">
        <f>IF((DST_123_ÜRETİM_İHTİYAÇ_RAPORU_BURAK_YENI1309[[#This Row],[SATINALMA]]*DST_123_ÜRETİM_İHTİYAÇ_RAPORU_BURAK_YENI1309[[#This Row],[BIRIM_FIYATLAR]])&lt;1,VALUE("0"),DST_123_ÜRETİM_İHTİYAÇ_RAPORU_BURAK_YENI1309[[#This Row],[SATINALMA]]*DST_123_ÜRETİM_İHTİYAÇ_RAPORU_BURAK_YENI1309[[#This Row],[BIRIM_FIYATLAR]])</f>
        <v>0</v>
      </c>
      <c r="N1981">
        <v>34</v>
      </c>
      <c r="O1981" t="s">
        <v>240</v>
      </c>
      <c r="P1981">
        <v>34</v>
      </c>
      <c r="Q1981" t="s">
        <v>178</v>
      </c>
    </row>
    <row r="1982" spans="1:17" x14ac:dyDescent="0.25">
      <c r="A1982" t="s">
        <v>1099</v>
      </c>
      <c r="B1982" t="s">
        <v>1055</v>
      </c>
      <c r="C1982" t="s">
        <v>175</v>
      </c>
      <c r="D1982" t="s">
        <v>382</v>
      </c>
      <c r="E1982" t="s">
        <v>383</v>
      </c>
      <c r="F1982">
        <v>1</v>
      </c>
      <c r="G1982" t="s">
        <v>176</v>
      </c>
      <c r="H1982">
        <v>0</v>
      </c>
      <c r="I1982">
        <v>32</v>
      </c>
      <c r="J1982" s="10">
        <v>22</v>
      </c>
      <c r="K1982" s="10">
        <f>SUMIFS(F:F,D:D,DST_123_ÜRETİM_İHTİYAÇ_RAPORU_BURAK_YENI1309[[#This Row],[ALT_KOD]])-(SUMIFS(H:H,D:D,DST_123_ÜRETİM_İHTİYAÇ_RAPORU_BURAK_YENI1309[[#This Row],[ALT_KOD]])+AVERAGEIFS(I:I,D:D,DST_123_ÜRETİM_İHTİYAÇ_RAPORU_BURAK_YENI1309[[#This Row],[ALT_KOD]])+AVERAGEIFS(L:L,D:D,DST_123_ÜRETİM_İHTİYAÇ_RAPORU_BURAK_YENI1309[[#This Row],[ALT_KOD]]))</f>
        <v>-13</v>
      </c>
      <c r="L1982">
        <v>0</v>
      </c>
      <c r="M1982">
        <f>IF((DST_123_ÜRETİM_İHTİYAÇ_RAPORU_BURAK_YENI1309[[#This Row],[SATINALMA]]*DST_123_ÜRETİM_İHTİYAÇ_RAPORU_BURAK_YENI1309[[#This Row],[BIRIM_FIYATLAR]])&lt;1,VALUE("0"),DST_123_ÜRETİM_İHTİYAÇ_RAPORU_BURAK_YENI1309[[#This Row],[SATINALMA]]*DST_123_ÜRETİM_İHTİYAÇ_RAPORU_BURAK_YENI1309[[#This Row],[BIRIM_FIYATLAR]])</f>
        <v>0</v>
      </c>
      <c r="N1982">
        <v>34</v>
      </c>
      <c r="O1982" t="s">
        <v>240</v>
      </c>
      <c r="P1982">
        <v>34</v>
      </c>
      <c r="Q1982" t="s">
        <v>178</v>
      </c>
    </row>
    <row r="1983" spans="1:17" x14ac:dyDescent="0.25">
      <c r="A1983" t="s">
        <v>1099</v>
      </c>
      <c r="B1983" t="s">
        <v>1055</v>
      </c>
      <c r="C1983" t="s">
        <v>175</v>
      </c>
      <c r="D1983" t="s">
        <v>927</v>
      </c>
      <c r="E1983" t="s">
        <v>928</v>
      </c>
      <c r="F1983">
        <v>1</v>
      </c>
      <c r="G1983" t="s">
        <v>176</v>
      </c>
      <c r="H1983">
        <v>0</v>
      </c>
      <c r="I1983">
        <v>0</v>
      </c>
      <c r="J1983" s="10">
        <v>246</v>
      </c>
      <c r="K1983" s="10">
        <f>SUMIFS(F:F,D:D,DST_123_ÜRETİM_İHTİYAÇ_RAPORU_BURAK_YENI1309[[#This Row],[ALT_KOD]])-(SUMIFS(H:H,D:D,DST_123_ÜRETİM_İHTİYAÇ_RAPORU_BURAK_YENI1309[[#This Row],[ALT_KOD]])+AVERAGEIFS(I:I,D:D,DST_123_ÜRETİM_İHTİYAÇ_RAPORU_BURAK_YENI1309[[#This Row],[ALT_KOD]])+AVERAGEIFS(L:L,D:D,DST_123_ÜRETİM_İHTİYAÇ_RAPORU_BURAK_YENI1309[[#This Row],[ALT_KOD]]))</f>
        <v>6</v>
      </c>
      <c r="L1983">
        <v>0</v>
      </c>
      <c r="M1983">
        <f>IF((DST_123_ÜRETİM_İHTİYAÇ_RAPORU_BURAK_YENI1309[[#This Row],[SATINALMA]]*DST_123_ÜRETİM_İHTİYAÇ_RAPORU_BURAK_YENI1309[[#This Row],[BIRIM_FIYATLAR]])&lt;1,VALUE("0"),DST_123_ÜRETİM_İHTİYAÇ_RAPORU_BURAK_YENI1309[[#This Row],[SATINALMA]]*DST_123_ÜRETİM_İHTİYAÇ_RAPORU_BURAK_YENI1309[[#This Row],[BIRIM_FIYATLAR]])</f>
        <v>32.519999999999996</v>
      </c>
      <c r="N1983">
        <v>5.42</v>
      </c>
      <c r="O1983" t="s">
        <v>628</v>
      </c>
      <c r="P1983">
        <v>5.42</v>
      </c>
      <c r="Q1983" t="s">
        <v>180</v>
      </c>
    </row>
    <row r="1984" spans="1:17" x14ac:dyDescent="0.25">
      <c r="A1984" t="s">
        <v>1144</v>
      </c>
      <c r="B1984" t="s">
        <v>1145</v>
      </c>
      <c r="C1984" t="s">
        <v>175</v>
      </c>
      <c r="D1984" t="s">
        <v>811</v>
      </c>
      <c r="E1984" t="s">
        <v>812</v>
      </c>
      <c r="F1984">
        <v>4</v>
      </c>
      <c r="G1984" t="s">
        <v>176</v>
      </c>
      <c r="H1984">
        <v>0</v>
      </c>
      <c r="I1984">
        <v>100</v>
      </c>
      <c r="J1984" s="10">
        <v>138</v>
      </c>
      <c r="K1984" s="10">
        <f>SUMIFS(F:F,D:D,DST_123_ÜRETİM_İHTİYAÇ_RAPORU_BURAK_YENI1309[[#This Row],[ALT_KOD]])-(SUMIFS(H:H,D:D,DST_123_ÜRETİM_İHTİYAÇ_RAPORU_BURAK_YENI1309[[#This Row],[ALT_KOD]])+AVERAGEIFS(I:I,D:D,DST_123_ÜRETİM_İHTİYAÇ_RAPORU_BURAK_YENI1309[[#This Row],[ALT_KOD]])+AVERAGEIFS(L:L,D:D,DST_123_ÜRETİM_İHTİYAÇ_RAPORU_BURAK_YENI1309[[#This Row],[ALT_KOD]]))</f>
        <v>-84</v>
      </c>
      <c r="L1984">
        <v>0</v>
      </c>
      <c r="M1984">
        <f>IF((DST_123_ÜRETİM_İHTİYAÇ_RAPORU_BURAK_YENI1309[[#This Row],[SATINALMA]]*DST_123_ÜRETİM_İHTİYAÇ_RAPORU_BURAK_YENI1309[[#This Row],[BIRIM_FIYATLAR]])&lt;1,VALUE("0"),DST_123_ÜRETİM_İHTİYAÇ_RAPORU_BURAK_YENI1309[[#This Row],[SATINALMA]]*DST_123_ÜRETİM_İHTİYAÇ_RAPORU_BURAK_YENI1309[[#This Row],[BIRIM_FIYATLAR]])</f>
        <v>0</v>
      </c>
      <c r="N1984">
        <v>8</v>
      </c>
      <c r="O1984" t="s">
        <v>882</v>
      </c>
      <c r="P1984">
        <v>32</v>
      </c>
      <c r="Q1984" t="s">
        <v>178</v>
      </c>
    </row>
    <row r="1985" spans="1:17" x14ac:dyDescent="0.25">
      <c r="A1985" t="s">
        <v>1149</v>
      </c>
      <c r="B1985" t="s">
        <v>1145</v>
      </c>
      <c r="C1985" t="s">
        <v>175</v>
      </c>
      <c r="D1985" t="s">
        <v>361</v>
      </c>
      <c r="E1985" t="s">
        <v>362</v>
      </c>
      <c r="F1985">
        <v>7.5</v>
      </c>
      <c r="G1985" t="s">
        <v>179</v>
      </c>
      <c r="H1985">
        <v>0</v>
      </c>
      <c r="I1985">
        <v>100</v>
      </c>
      <c r="J1985" s="10">
        <v>139.99999999999989</v>
      </c>
      <c r="K1985" s="10">
        <f>SUMIFS(F:F,D:D,DST_123_ÜRETİM_İHTİYAÇ_RAPORU_BURAK_YENI1309[[#This Row],[ALT_KOD]])-(SUMIFS(H:H,D:D,DST_123_ÜRETİM_İHTİYAÇ_RAPORU_BURAK_YENI1309[[#This Row],[ALT_KOD]])+AVERAGEIFS(I:I,D:D,DST_123_ÜRETİM_İHTİYAÇ_RAPORU_BURAK_YENI1309[[#This Row],[ALT_KOD]])+AVERAGEIFS(L:L,D:D,DST_123_ÜRETİM_İHTİYAÇ_RAPORU_BURAK_YENI1309[[#This Row],[ALT_KOD]]))</f>
        <v>41.300000000000011</v>
      </c>
      <c r="L1985">
        <v>0</v>
      </c>
      <c r="M1985">
        <f>IF((DST_123_ÜRETİM_İHTİYAÇ_RAPORU_BURAK_YENI1309[[#This Row],[SATINALMA]]*DST_123_ÜRETİM_İHTİYAÇ_RAPORU_BURAK_YENI1309[[#This Row],[BIRIM_FIYATLAR]])&lt;1,VALUE("0"),DST_123_ÜRETİM_İHTİYAÇ_RAPORU_BURAK_YENI1309[[#This Row],[SATINALMA]]*DST_123_ÜRETİM_İHTİYAÇ_RAPORU_BURAK_YENI1309[[#This Row],[BIRIM_FIYATLAR]])</f>
        <v>929.25000000000023</v>
      </c>
      <c r="N1985">
        <v>22.5</v>
      </c>
      <c r="O1985" t="s">
        <v>314</v>
      </c>
      <c r="P1985">
        <v>168.75</v>
      </c>
      <c r="Q1985" t="s">
        <v>178</v>
      </c>
    </row>
    <row r="1986" spans="1:17" x14ac:dyDescent="0.25">
      <c r="A1986" t="s">
        <v>1144</v>
      </c>
      <c r="B1986" t="s">
        <v>1145</v>
      </c>
      <c r="C1986" t="s">
        <v>175</v>
      </c>
      <c r="D1986" t="s">
        <v>361</v>
      </c>
      <c r="E1986" t="s">
        <v>362</v>
      </c>
      <c r="F1986">
        <v>7.5</v>
      </c>
      <c r="G1986" t="s">
        <v>179</v>
      </c>
      <c r="H1986">
        <v>0</v>
      </c>
      <c r="I1986">
        <v>100</v>
      </c>
      <c r="J1986" s="10">
        <v>139.99999999999989</v>
      </c>
      <c r="K1986" s="10">
        <f>SUMIFS(F:F,D:D,DST_123_ÜRETİM_İHTİYAÇ_RAPORU_BURAK_YENI1309[[#This Row],[ALT_KOD]])-(SUMIFS(H:H,D:D,DST_123_ÜRETİM_İHTİYAÇ_RAPORU_BURAK_YENI1309[[#This Row],[ALT_KOD]])+AVERAGEIFS(I:I,D:D,DST_123_ÜRETİM_İHTİYAÇ_RAPORU_BURAK_YENI1309[[#This Row],[ALT_KOD]])+AVERAGEIFS(L:L,D:D,DST_123_ÜRETİM_İHTİYAÇ_RAPORU_BURAK_YENI1309[[#This Row],[ALT_KOD]]))</f>
        <v>41.300000000000011</v>
      </c>
      <c r="L1986">
        <v>0</v>
      </c>
      <c r="M1986">
        <f>IF((DST_123_ÜRETİM_İHTİYAÇ_RAPORU_BURAK_YENI1309[[#This Row],[SATINALMA]]*DST_123_ÜRETİM_İHTİYAÇ_RAPORU_BURAK_YENI1309[[#This Row],[BIRIM_FIYATLAR]])&lt;1,VALUE("0"),DST_123_ÜRETİM_İHTİYAÇ_RAPORU_BURAK_YENI1309[[#This Row],[SATINALMA]]*DST_123_ÜRETİM_İHTİYAÇ_RAPORU_BURAK_YENI1309[[#This Row],[BIRIM_FIYATLAR]])</f>
        <v>929.25000000000023</v>
      </c>
      <c r="N1986">
        <v>22.5</v>
      </c>
      <c r="O1986" t="s">
        <v>314</v>
      </c>
      <c r="P1986">
        <v>168.75</v>
      </c>
      <c r="Q1986" t="s">
        <v>178</v>
      </c>
    </row>
    <row r="1987" spans="1:17" x14ac:dyDescent="0.25">
      <c r="A1987" t="s">
        <v>1146</v>
      </c>
      <c r="B1987" t="s">
        <v>1145</v>
      </c>
      <c r="C1987" t="s">
        <v>175</v>
      </c>
      <c r="D1987" t="s">
        <v>361</v>
      </c>
      <c r="E1987" t="s">
        <v>362</v>
      </c>
      <c r="F1987">
        <v>7.5</v>
      </c>
      <c r="G1987" t="s">
        <v>179</v>
      </c>
      <c r="H1987">
        <v>0</v>
      </c>
      <c r="I1987">
        <v>100</v>
      </c>
      <c r="J1987" s="10">
        <v>139.99999999999989</v>
      </c>
      <c r="K1987" s="10">
        <f>SUMIFS(F:F,D:D,DST_123_ÜRETİM_İHTİYAÇ_RAPORU_BURAK_YENI1309[[#This Row],[ALT_KOD]])-(SUMIFS(H:H,D:D,DST_123_ÜRETİM_İHTİYAÇ_RAPORU_BURAK_YENI1309[[#This Row],[ALT_KOD]])+AVERAGEIFS(I:I,D:D,DST_123_ÜRETİM_İHTİYAÇ_RAPORU_BURAK_YENI1309[[#This Row],[ALT_KOD]])+AVERAGEIFS(L:L,D:D,DST_123_ÜRETİM_İHTİYAÇ_RAPORU_BURAK_YENI1309[[#This Row],[ALT_KOD]]))</f>
        <v>41.300000000000011</v>
      </c>
      <c r="L1987">
        <v>0</v>
      </c>
      <c r="M1987">
        <f>IF((DST_123_ÜRETİM_İHTİYAÇ_RAPORU_BURAK_YENI1309[[#This Row],[SATINALMA]]*DST_123_ÜRETİM_İHTİYAÇ_RAPORU_BURAK_YENI1309[[#This Row],[BIRIM_FIYATLAR]])&lt;1,VALUE("0"),DST_123_ÜRETİM_İHTİYAÇ_RAPORU_BURAK_YENI1309[[#This Row],[SATINALMA]]*DST_123_ÜRETİM_İHTİYAÇ_RAPORU_BURAK_YENI1309[[#This Row],[BIRIM_FIYATLAR]])</f>
        <v>929.25000000000023</v>
      </c>
      <c r="N1987">
        <v>22.5</v>
      </c>
      <c r="O1987" t="s">
        <v>314</v>
      </c>
      <c r="P1987">
        <v>168.75</v>
      </c>
      <c r="Q1987" t="s">
        <v>178</v>
      </c>
    </row>
    <row r="1988" spans="1:17" x14ac:dyDescent="0.25">
      <c r="A1988" t="s">
        <v>1149</v>
      </c>
      <c r="B1988" t="s">
        <v>1145</v>
      </c>
      <c r="C1988" t="s">
        <v>175</v>
      </c>
      <c r="D1988" t="s">
        <v>255</v>
      </c>
      <c r="E1988" t="s">
        <v>309</v>
      </c>
      <c r="F1988">
        <v>2</v>
      </c>
      <c r="G1988" t="s">
        <v>176</v>
      </c>
      <c r="H1988">
        <v>0</v>
      </c>
      <c r="I1988">
        <v>38</v>
      </c>
      <c r="J1988" s="10">
        <v>20</v>
      </c>
      <c r="K1988" s="10">
        <f>SUMIFS(F:F,D:D,DST_123_ÜRETİM_İHTİYAÇ_RAPORU_BURAK_YENI1309[[#This Row],[ALT_KOD]])-(SUMIFS(H:H,D:D,DST_123_ÜRETİM_İHTİYAÇ_RAPORU_BURAK_YENI1309[[#This Row],[ALT_KOD]])+AVERAGEIFS(I:I,D:D,DST_123_ÜRETİM_İHTİYAÇ_RAPORU_BURAK_YENI1309[[#This Row],[ALT_KOD]])+AVERAGEIFS(L:L,D:D,DST_123_ÜRETİM_İHTİYAÇ_RAPORU_BURAK_YENI1309[[#This Row],[ALT_KOD]]))</f>
        <v>-14</v>
      </c>
      <c r="L1988">
        <v>0</v>
      </c>
      <c r="M1988">
        <f>IF((DST_123_ÜRETİM_İHTİYAÇ_RAPORU_BURAK_YENI1309[[#This Row],[SATINALMA]]*DST_123_ÜRETİM_İHTİYAÇ_RAPORU_BURAK_YENI1309[[#This Row],[BIRIM_FIYATLAR]])&lt;1,VALUE("0"),DST_123_ÜRETİM_İHTİYAÇ_RAPORU_BURAK_YENI1309[[#This Row],[SATINALMA]]*DST_123_ÜRETİM_İHTİYAÇ_RAPORU_BURAK_YENI1309[[#This Row],[BIRIM_FIYATLAR]])</f>
        <v>0</v>
      </c>
      <c r="N1988">
        <v>55</v>
      </c>
      <c r="O1988" t="s">
        <v>826</v>
      </c>
      <c r="P1988">
        <v>110</v>
      </c>
      <c r="Q1988" t="s">
        <v>221</v>
      </c>
    </row>
    <row r="1989" spans="1:17" x14ac:dyDescent="0.25">
      <c r="A1989" t="s">
        <v>1144</v>
      </c>
      <c r="B1989" t="s">
        <v>1145</v>
      </c>
      <c r="C1989" t="s">
        <v>175</v>
      </c>
      <c r="D1989" t="s">
        <v>1153</v>
      </c>
      <c r="E1989" t="s">
        <v>1154</v>
      </c>
      <c r="F1989">
        <v>15</v>
      </c>
      <c r="G1989" t="s">
        <v>176</v>
      </c>
      <c r="H1989">
        <v>0</v>
      </c>
      <c r="I1989">
        <v>31</v>
      </c>
      <c r="J1989" s="10">
        <v>20</v>
      </c>
      <c r="K1989" s="10">
        <f>SUMIFS(F:F,D:D,DST_123_ÜRETİM_İHTİYAÇ_RAPORU_BURAK_YENI1309[[#This Row],[ALT_KOD]])-(SUMIFS(H:H,D:D,DST_123_ÜRETİM_İHTİYAÇ_RAPORU_BURAK_YENI1309[[#This Row],[ALT_KOD]])+AVERAGEIFS(I:I,D:D,DST_123_ÜRETİM_İHTİYAÇ_RAPORU_BURAK_YENI1309[[#This Row],[ALT_KOD]])+AVERAGEIFS(L:L,D:D,DST_123_ÜRETİM_İHTİYAÇ_RAPORU_BURAK_YENI1309[[#This Row],[ALT_KOD]]))</f>
        <v>14</v>
      </c>
      <c r="L1989">
        <v>0</v>
      </c>
      <c r="M1989">
        <f>IF((DST_123_ÜRETİM_İHTİYAÇ_RAPORU_BURAK_YENI1309[[#This Row],[SATINALMA]]*DST_123_ÜRETİM_İHTİYAÇ_RAPORU_BURAK_YENI1309[[#This Row],[BIRIM_FIYATLAR]])&lt;1,VALUE("0"),DST_123_ÜRETİM_İHTİYAÇ_RAPORU_BURAK_YENI1309[[#This Row],[SATINALMA]]*DST_123_ÜRETİM_İHTİYAÇ_RAPORU_BURAK_YENI1309[[#This Row],[BIRIM_FIYATLAR]])</f>
        <v>1225</v>
      </c>
      <c r="N1989">
        <v>87.5</v>
      </c>
      <c r="O1989" t="s">
        <v>628</v>
      </c>
      <c r="P1989">
        <v>1312.5</v>
      </c>
      <c r="Q1989" t="s">
        <v>180</v>
      </c>
    </row>
    <row r="1990" spans="1:17" x14ac:dyDescent="0.25">
      <c r="A1990" t="s">
        <v>1144</v>
      </c>
      <c r="B1990" t="s">
        <v>1145</v>
      </c>
      <c r="C1990" t="s">
        <v>175</v>
      </c>
      <c r="D1990" t="s">
        <v>1123</v>
      </c>
      <c r="E1990" t="s">
        <v>1124</v>
      </c>
      <c r="F1990">
        <v>1</v>
      </c>
      <c r="G1990" t="s">
        <v>176</v>
      </c>
      <c r="H1990">
        <v>0</v>
      </c>
      <c r="I1990">
        <v>3</v>
      </c>
      <c r="J1990" s="10">
        <v>1</v>
      </c>
      <c r="K1990" s="10">
        <f>SUMIFS(F:F,D:D,DST_123_ÜRETİM_İHTİYAÇ_RAPORU_BURAK_YENI1309[[#This Row],[ALT_KOD]])-(SUMIFS(H:H,D:D,DST_123_ÜRETİM_İHTİYAÇ_RAPORU_BURAK_YENI1309[[#This Row],[ALT_KOD]])+AVERAGEIFS(I:I,D:D,DST_123_ÜRETİM_İHTİYAÇ_RAPORU_BURAK_YENI1309[[#This Row],[ALT_KOD]])+AVERAGEIFS(L:L,D:D,DST_123_ÜRETİM_İHTİYAÇ_RAPORU_BURAK_YENI1309[[#This Row],[ALT_KOD]]))</f>
        <v>-1</v>
      </c>
      <c r="L1990">
        <v>0</v>
      </c>
      <c r="M1990">
        <f>IF((DST_123_ÜRETİM_İHTİYAÇ_RAPORU_BURAK_YENI1309[[#This Row],[SATINALMA]]*DST_123_ÜRETİM_İHTİYAÇ_RAPORU_BURAK_YENI1309[[#This Row],[BIRIM_FIYATLAR]])&lt;1,VALUE("0"),DST_123_ÜRETİM_İHTİYAÇ_RAPORU_BURAK_YENI1309[[#This Row],[SATINALMA]]*DST_123_ÜRETİM_İHTİYAÇ_RAPORU_BURAK_YENI1309[[#This Row],[BIRIM_FIYATLAR]])</f>
        <v>0</v>
      </c>
      <c r="N1990">
        <v>3899.59</v>
      </c>
      <c r="O1990" t="s">
        <v>636</v>
      </c>
      <c r="P1990">
        <v>3899.59</v>
      </c>
      <c r="Q1990" t="s">
        <v>177</v>
      </c>
    </row>
    <row r="1991" spans="1:17" x14ac:dyDescent="0.25">
      <c r="A1991" t="s">
        <v>1098</v>
      </c>
      <c r="B1991" t="s">
        <v>1096</v>
      </c>
      <c r="C1991" t="s">
        <v>175</v>
      </c>
      <c r="D1991" t="s">
        <v>361</v>
      </c>
      <c r="E1991" t="s">
        <v>362</v>
      </c>
      <c r="F1991">
        <v>5.5</v>
      </c>
      <c r="G1991" t="s">
        <v>179</v>
      </c>
      <c r="H1991">
        <v>0</v>
      </c>
      <c r="I1991">
        <v>100</v>
      </c>
      <c r="J1991" s="10">
        <v>139.99999999999989</v>
      </c>
      <c r="K1991" s="10">
        <f>SUMIFS(F:F,D:D,DST_123_ÜRETİM_İHTİYAÇ_RAPORU_BURAK_YENI1309[[#This Row],[ALT_KOD]])-(SUMIFS(H:H,D:D,DST_123_ÜRETİM_İHTİYAÇ_RAPORU_BURAK_YENI1309[[#This Row],[ALT_KOD]])+AVERAGEIFS(I:I,D:D,DST_123_ÜRETİM_İHTİYAÇ_RAPORU_BURAK_YENI1309[[#This Row],[ALT_KOD]])+AVERAGEIFS(L:L,D:D,DST_123_ÜRETİM_İHTİYAÇ_RAPORU_BURAK_YENI1309[[#This Row],[ALT_KOD]]))</f>
        <v>41.300000000000011</v>
      </c>
      <c r="L1991">
        <v>0</v>
      </c>
      <c r="M1991">
        <f>IF((DST_123_ÜRETİM_İHTİYAÇ_RAPORU_BURAK_YENI1309[[#This Row],[SATINALMA]]*DST_123_ÜRETİM_İHTİYAÇ_RAPORU_BURAK_YENI1309[[#This Row],[BIRIM_FIYATLAR]])&lt;1,VALUE("0"),DST_123_ÜRETİM_İHTİYAÇ_RAPORU_BURAK_YENI1309[[#This Row],[SATINALMA]]*DST_123_ÜRETİM_İHTİYAÇ_RAPORU_BURAK_YENI1309[[#This Row],[BIRIM_FIYATLAR]])</f>
        <v>929.25000000000023</v>
      </c>
      <c r="N1991">
        <v>22.5</v>
      </c>
      <c r="O1991" t="s">
        <v>314</v>
      </c>
      <c r="P1991">
        <v>123.75</v>
      </c>
      <c r="Q1991" t="s">
        <v>178</v>
      </c>
    </row>
    <row r="1992" spans="1:17" x14ac:dyDescent="0.25">
      <c r="A1992" t="s">
        <v>1064</v>
      </c>
      <c r="B1992" t="s">
        <v>1055</v>
      </c>
      <c r="C1992" t="s">
        <v>175</v>
      </c>
      <c r="D1992" t="s">
        <v>361</v>
      </c>
      <c r="E1992" t="s">
        <v>362</v>
      </c>
      <c r="F1992">
        <v>10</v>
      </c>
      <c r="G1992" t="s">
        <v>179</v>
      </c>
      <c r="H1992">
        <v>0</v>
      </c>
      <c r="I1992">
        <v>100</v>
      </c>
      <c r="J1992" s="10">
        <v>139.99999999999989</v>
      </c>
      <c r="K1992" s="10">
        <f>SUMIFS(F:F,D:D,DST_123_ÜRETİM_İHTİYAÇ_RAPORU_BURAK_YENI1309[[#This Row],[ALT_KOD]])-(SUMIFS(H:H,D:D,DST_123_ÜRETİM_İHTİYAÇ_RAPORU_BURAK_YENI1309[[#This Row],[ALT_KOD]])+AVERAGEIFS(I:I,D:D,DST_123_ÜRETİM_İHTİYAÇ_RAPORU_BURAK_YENI1309[[#This Row],[ALT_KOD]])+AVERAGEIFS(L:L,D:D,DST_123_ÜRETİM_İHTİYAÇ_RAPORU_BURAK_YENI1309[[#This Row],[ALT_KOD]]))</f>
        <v>41.300000000000011</v>
      </c>
      <c r="L1992">
        <v>0</v>
      </c>
      <c r="M1992">
        <f>IF((DST_123_ÜRETİM_İHTİYAÇ_RAPORU_BURAK_YENI1309[[#This Row],[SATINALMA]]*DST_123_ÜRETİM_İHTİYAÇ_RAPORU_BURAK_YENI1309[[#This Row],[BIRIM_FIYATLAR]])&lt;1,VALUE("0"),DST_123_ÜRETİM_İHTİYAÇ_RAPORU_BURAK_YENI1309[[#This Row],[SATINALMA]]*DST_123_ÜRETİM_İHTİYAÇ_RAPORU_BURAK_YENI1309[[#This Row],[BIRIM_FIYATLAR]])</f>
        <v>929.25000000000023</v>
      </c>
      <c r="N1992">
        <v>22.5</v>
      </c>
      <c r="O1992" t="s">
        <v>314</v>
      </c>
      <c r="P1992">
        <v>225</v>
      </c>
      <c r="Q1992" t="s">
        <v>178</v>
      </c>
    </row>
    <row r="1993" spans="1:17" x14ac:dyDescent="0.25">
      <c r="A1993" t="s">
        <v>1196</v>
      </c>
      <c r="B1993" t="s">
        <v>1197</v>
      </c>
      <c r="C1993" t="s">
        <v>175</v>
      </c>
      <c r="D1993" t="s">
        <v>255</v>
      </c>
      <c r="E1993" t="s">
        <v>309</v>
      </c>
      <c r="F1993">
        <v>2</v>
      </c>
      <c r="G1993" t="s">
        <v>176</v>
      </c>
      <c r="H1993">
        <v>0</v>
      </c>
      <c r="I1993">
        <v>38</v>
      </c>
      <c r="J1993" s="10">
        <v>20</v>
      </c>
      <c r="K1993" s="10">
        <f>SUMIFS(F:F,D:D,DST_123_ÜRETİM_İHTİYAÇ_RAPORU_BURAK_YENI1309[[#This Row],[ALT_KOD]])-(SUMIFS(H:H,D:D,DST_123_ÜRETİM_İHTİYAÇ_RAPORU_BURAK_YENI1309[[#This Row],[ALT_KOD]])+AVERAGEIFS(I:I,D:D,DST_123_ÜRETİM_İHTİYAÇ_RAPORU_BURAK_YENI1309[[#This Row],[ALT_KOD]])+AVERAGEIFS(L:L,D:D,DST_123_ÜRETİM_İHTİYAÇ_RAPORU_BURAK_YENI1309[[#This Row],[ALT_KOD]]))</f>
        <v>-14</v>
      </c>
      <c r="L1993">
        <v>0</v>
      </c>
      <c r="M1993">
        <f>IF((DST_123_ÜRETİM_İHTİYAÇ_RAPORU_BURAK_YENI1309[[#This Row],[SATINALMA]]*DST_123_ÜRETİM_İHTİYAÇ_RAPORU_BURAK_YENI1309[[#This Row],[BIRIM_FIYATLAR]])&lt;1,VALUE("0"),DST_123_ÜRETİM_İHTİYAÇ_RAPORU_BURAK_YENI1309[[#This Row],[SATINALMA]]*DST_123_ÜRETİM_İHTİYAÇ_RAPORU_BURAK_YENI1309[[#This Row],[BIRIM_FIYATLAR]])</f>
        <v>0</v>
      </c>
      <c r="N1993">
        <v>55</v>
      </c>
      <c r="O1993" t="s">
        <v>826</v>
      </c>
      <c r="P1993">
        <v>110</v>
      </c>
      <c r="Q1993" t="s">
        <v>221</v>
      </c>
    </row>
    <row r="1994" spans="1:17" x14ac:dyDescent="0.25">
      <c r="A1994" t="s">
        <v>1098</v>
      </c>
      <c r="B1994" t="s">
        <v>1096</v>
      </c>
      <c r="C1994" t="s">
        <v>175</v>
      </c>
      <c r="D1994" t="s">
        <v>255</v>
      </c>
      <c r="E1994" t="s">
        <v>309</v>
      </c>
      <c r="F1994">
        <v>2</v>
      </c>
      <c r="G1994" t="s">
        <v>176</v>
      </c>
      <c r="H1994">
        <v>0</v>
      </c>
      <c r="I1994">
        <v>38</v>
      </c>
      <c r="J1994" s="10">
        <v>20</v>
      </c>
      <c r="K1994" s="10">
        <f>SUMIFS(F:F,D:D,DST_123_ÜRETİM_İHTİYAÇ_RAPORU_BURAK_YENI1309[[#This Row],[ALT_KOD]])-(SUMIFS(H:H,D:D,DST_123_ÜRETİM_İHTİYAÇ_RAPORU_BURAK_YENI1309[[#This Row],[ALT_KOD]])+AVERAGEIFS(I:I,D:D,DST_123_ÜRETİM_İHTİYAÇ_RAPORU_BURAK_YENI1309[[#This Row],[ALT_KOD]])+AVERAGEIFS(L:L,D:D,DST_123_ÜRETİM_İHTİYAÇ_RAPORU_BURAK_YENI1309[[#This Row],[ALT_KOD]]))</f>
        <v>-14</v>
      </c>
      <c r="L1994">
        <v>0</v>
      </c>
      <c r="M1994">
        <f>IF((DST_123_ÜRETİM_İHTİYAÇ_RAPORU_BURAK_YENI1309[[#This Row],[SATINALMA]]*DST_123_ÜRETİM_İHTİYAÇ_RAPORU_BURAK_YENI1309[[#This Row],[BIRIM_FIYATLAR]])&lt;1,VALUE("0"),DST_123_ÜRETİM_İHTİYAÇ_RAPORU_BURAK_YENI1309[[#This Row],[SATINALMA]]*DST_123_ÜRETİM_İHTİYAÇ_RAPORU_BURAK_YENI1309[[#This Row],[BIRIM_FIYATLAR]])</f>
        <v>0</v>
      </c>
      <c r="N1994">
        <v>55</v>
      </c>
      <c r="O1994" t="s">
        <v>826</v>
      </c>
      <c r="P1994">
        <v>110</v>
      </c>
      <c r="Q1994" t="s">
        <v>221</v>
      </c>
    </row>
    <row r="1995" spans="1:17" x14ac:dyDescent="0.25">
      <c r="A1995" t="s">
        <v>1098</v>
      </c>
      <c r="B1995" t="s">
        <v>1096</v>
      </c>
      <c r="C1995" t="s">
        <v>175</v>
      </c>
      <c r="D1995" t="s">
        <v>382</v>
      </c>
      <c r="E1995" t="s">
        <v>383</v>
      </c>
      <c r="F1995">
        <v>1</v>
      </c>
      <c r="G1995" t="s">
        <v>176</v>
      </c>
      <c r="H1995">
        <v>0</v>
      </c>
      <c r="I1995">
        <v>32</v>
      </c>
      <c r="J1995" s="10">
        <v>22</v>
      </c>
      <c r="K1995" s="10">
        <f>SUMIFS(F:F,D:D,DST_123_ÜRETİM_İHTİYAÇ_RAPORU_BURAK_YENI1309[[#This Row],[ALT_KOD]])-(SUMIFS(H:H,D:D,DST_123_ÜRETİM_İHTİYAÇ_RAPORU_BURAK_YENI1309[[#This Row],[ALT_KOD]])+AVERAGEIFS(I:I,D:D,DST_123_ÜRETİM_İHTİYAÇ_RAPORU_BURAK_YENI1309[[#This Row],[ALT_KOD]])+AVERAGEIFS(L:L,D:D,DST_123_ÜRETİM_İHTİYAÇ_RAPORU_BURAK_YENI1309[[#This Row],[ALT_KOD]]))</f>
        <v>-13</v>
      </c>
      <c r="L1995">
        <v>0</v>
      </c>
      <c r="M1995">
        <f>IF((DST_123_ÜRETİM_İHTİYAÇ_RAPORU_BURAK_YENI1309[[#This Row],[SATINALMA]]*DST_123_ÜRETİM_İHTİYAÇ_RAPORU_BURAK_YENI1309[[#This Row],[BIRIM_FIYATLAR]])&lt;1,VALUE("0"),DST_123_ÜRETİM_İHTİYAÇ_RAPORU_BURAK_YENI1309[[#This Row],[SATINALMA]]*DST_123_ÜRETİM_İHTİYAÇ_RAPORU_BURAK_YENI1309[[#This Row],[BIRIM_FIYATLAR]])</f>
        <v>0</v>
      </c>
      <c r="N1995">
        <v>34</v>
      </c>
      <c r="O1995" t="s">
        <v>240</v>
      </c>
      <c r="P1995">
        <v>34</v>
      </c>
      <c r="Q1995" t="s">
        <v>178</v>
      </c>
    </row>
    <row r="1996" spans="1:17" x14ac:dyDescent="0.25">
      <c r="A1996" t="s">
        <v>1095</v>
      </c>
      <c r="B1996" t="s">
        <v>1096</v>
      </c>
      <c r="C1996" t="s">
        <v>175</v>
      </c>
      <c r="D1996" t="s">
        <v>380</v>
      </c>
      <c r="E1996" t="s">
        <v>381</v>
      </c>
      <c r="F1996">
        <v>1.1000000000000001</v>
      </c>
      <c r="G1996" t="s">
        <v>179</v>
      </c>
      <c r="H1996">
        <v>0</v>
      </c>
      <c r="I1996">
        <v>0</v>
      </c>
      <c r="J1996" s="10">
        <v>20.30000000000009</v>
      </c>
      <c r="K1996" s="10">
        <f>SUMIFS(F:F,D:D,DST_123_ÜRETİM_İHTİYAÇ_RAPORU_BURAK_YENI1309[[#This Row],[ALT_KOD]])-(SUMIFS(H:H,D:D,DST_123_ÜRETİM_İHTİYAÇ_RAPORU_BURAK_YENI1309[[#This Row],[ALT_KOD]])+AVERAGEIFS(I:I,D:D,DST_123_ÜRETİM_İHTİYAÇ_RAPORU_BURAK_YENI1309[[#This Row],[ALT_KOD]])+AVERAGEIFS(L:L,D:D,DST_123_ÜRETİM_İHTİYAÇ_RAPORU_BURAK_YENI1309[[#This Row],[ALT_KOD]]))</f>
        <v>21.1</v>
      </c>
      <c r="L1996">
        <v>0</v>
      </c>
      <c r="M1996">
        <f>IF((DST_123_ÜRETİM_İHTİYAÇ_RAPORU_BURAK_YENI1309[[#This Row],[SATINALMA]]*DST_123_ÜRETİM_İHTİYAÇ_RAPORU_BURAK_YENI1309[[#This Row],[BIRIM_FIYATLAR]])&lt;1,VALUE("0"),DST_123_ÜRETİM_İHTİYAÇ_RAPORU_BURAK_YENI1309[[#This Row],[SATINALMA]]*DST_123_ÜRETİM_İHTİYAÇ_RAPORU_BURAK_YENI1309[[#This Row],[BIRIM_FIYATLAR]])</f>
        <v>2426.5</v>
      </c>
      <c r="N1996">
        <v>115</v>
      </c>
      <c r="O1996" t="s">
        <v>821</v>
      </c>
      <c r="P1996">
        <v>126.50000000000001</v>
      </c>
      <c r="Q1996" t="s">
        <v>178</v>
      </c>
    </row>
    <row r="1997" spans="1:17" x14ac:dyDescent="0.25">
      <c r="A1997" t="s">
        <v>1095</v>
      </c>
      <c r="B1997" t="s">
        <v>1096</v>
      </c>
      <c r="C1997" t="s">
        <v>175</v>
      </c>
      <c r="D1997" t="s">
        <v>1113</v>
      </c>
      <c r="E1997" t="s">
        <v>1114</v>
      </c>
      <c r="F1997">
        <v>50</v>
      </c>
      <c r="G1997" t="s">
        <v>179</v>
      </c>
      <c r="H1997">
        <v>0</v>
      </c>
      <c r="I1997">
        <v>0</v>
      </c>
      <c r="J1997" s="10">
        <v>0</v>
      </c>
      <c r="K1997" s="10">
        <f>SUMIFS(F:F,D:D,DST_123_ÜRETİM_İHTİYAÇ_RAPORU_BURAK_YENI1309[[#This Row],[ALT_KOD]])-(SUMIFS(H:H,D:D,DST_123_ÜRETİM_İHTİYAÇ_RAPORU_BURAK_YENI1309[[#This Row],[ALT_KOD]])+AVERAGEIFS(I:I,D:D,DST_123_ÜRETİM_İHTİYAÇ_RAPORU_BURAK_YENI1309[[#This Row],[ALT_KOD]])+AVERAGEIFS(L:L,D:D,DST_123_ÜRETİM_İHTİYAÇ_RAPORU_BURAK_YENI1309[[#This Row],[ALT_KOD]]))</f>
        <v>50</v>
      </c>
      <c r="L1997">
        <v>0</v>
      </c>
      <c r="M1997">
        <f>IF((DST_123_ÜRETİM_İHTİYAÇ_RAPORU_BURAK_YENI1309[[#This Row],[SATINALMA]]*DST_123_ÜRETİM_İHTİYAÇ_RAPORU_BURAK_YENI1309[[#This Row],[BIRIM_FIYATLAR]])&lt;1,VALUE("0"),DST_123_ÜRETİM_İHTİYAÇ_RAPORU_BURAK_YENI1309[[#This Row],[SATINALMA]]*DST_123_ÜRETİM_İHTİYAÇ_RAPORU_BURAK_YENI1309[[#This Row],[BIRIM_FIYATLAR]])</f>
        <v>147.5</v>
      </c>
      <c r="N1997">
        <v>2.95</v>
      </c>
      <c r="P1997">
        <v>147.5</v>
      </c>
      <c r="Q1997" t="s">
        <v>181</v>
      </c>
    </row>
    <row r="1998" spans="1:17" x14ac:dyDescent="0.25">
      <c r="A1998" t="s">
        <v>1097</v>
      </c>
      <c r="B1998" t="s">
        <v>1055</v>
      </c>
      <c r="C1998" t="s">
        <v>175</v>
      </c>
      <c r="D1998" t="s">
        <v>324</v>
      </c>
      <c r="E1998" t="s">
        <v>325</v>
      </c>
      <c r="F1998">
        <v>0.18</v>
      </c>
      <c r="G1998" t="s">
        <v>176</v>
      </c>
      <c r="H1998">
        <v>0</v>
      </c>
      <c r="I1998">
        <v>0</v>
      </c>
      <c r="J1998" s="10">
        <v>1.7763568394002505E-15</v>
      </c>
      <c r="K1998" s="10">
        <f>SUMIFS(F:F,D:D,DST_123_ÜRETİM_İHTİYAÇ_RAPORU_BURAK_YENI1309[[#This Row],[ALT_KOD]])-(SUMIFS(H:H,D:D,DST_123_ÜRETİM_İHTİYAÇ_RAPORU_BURAK_YENI1309[[#This Row],[ALT_KOD]])+AVERAGEIFS(I:I,D:D,DST_123_ÜRETİM_İHTİYAÇ_RAPORU_BURAK_YENI1309[[#This Row],[ALT_KOD]])+AVERAGEIFS(L:L,D:D,DST_123_ÜRETİM_İHTİYAÇ_RAPORU_BURAK_YENI1309[[#This Row],[ALT_KOD]]))</f>
        <v>2.5820000000000007</v>
      </c>
      <c r="L1998">
        <v>0</v>
      </c>
      <c r="M1998">
        <f>IF((DST_123_ÜRETİM_İHTİYAÇ_RAPORU_BURAK_YENI1309[[#This Row],[SATINALMA]]*DST_123_ÜRETİM_İHTİYAÇ_RAPORU_BURAK_YENI1309[[#This Row],[BIRIM_FIYATLAR]])&lt;1,VALUE("0"),DST_123_ÜRETİM_İHTİYAÇ_RAPORU_BURAK_YENI1309[[#This Row],[SATINALMA]]*DST_123_ÜRETİM_İHTİYAÇ_RAPORU_BURAK_YENI1309[[#This Row],[BIRIM_FIYATLAR]])</f>
        <v>4066.650000000001</v>
      </c>
      <c r="N1998">
        <v>1575</v>
      </c>
      <c r="O1998" t="s">
        <v>326</v>
      </c>
      <c r="P1998">
        <v>283.5</v>
      </c>
      <c r="Q1998" t="s">
        <v>178</v>
      </c>
    </row>
    <row r="1999" spans="1:17" x14ac:dyDescent="0.25">
      <c r="A1999" t="s">
        <v>1095</v>
      </c>
      <c r="B1999" t="s">
        <v>1096</v>
      </c>
      <c r="C1999" t="s">
        <v>175</v>
      </c>
      <c r="D1999" t="s">
        <v>324</v>
      </c>
      <c r="E1999" t="s">
        <v>325</v>
      </c>
      <c r="F1999">
        <v>0.18</v>
      </c>
      <c r="G1999" t="s">
        <v>176</v>
      </c>
      <c r="H1999">
        <v>0</v>
      </c>
      <c r="I1999">
        <v>0</v>
      </c>
      <c r="J1999" s="10">
        <v>1.7763568394002505E-15</v>
      </c>
      <c r="K1999" s="10">
        <f>SUMIFS(F:F,D:D,DST_123_ÜRETİM_İHTİYAÇ_RAPORU_BURAK_YENI1309[[#This Row],[ALT_KOD]])-(SUMIFS(H:H,D:D,DST_123_ÜRETİM_İHTİYAÇ_RAPORU_BURAK_YENI1309[[#This Row],[ALT_KOD]])+AVERAGEIFS(I:I,D:D,DST_123_ÜRETİM_İHTİYAÇ_RAPORU_BURAK_YENI1309[[#This Row],[ALT_KOD]])+AVERAGEIFS(L:L,D:D,DST_123_ÜRETİM_İHTİYAÇ_RAPORU_BURAK_YENI1309[[#This Row],[ALT_KOD]]))</f>
        <v>2.5820000000000007</v>
      </c>
      <c r="L1999">
        <v>0</v>
      </c>
      <c r="M1999">
        <f>IF((DST_123_ÜRETİM_İHTİYAÇ_RAPORU_BURAK_YENI1309[[#This Row],[SATINALMA]]*DST_123_ÜRETİM_İHTİYAÇ_RAPORU_BURAK_YENI1309[[#This Row],[BIRIM_FIYATLAR]])&lt;1,VALUE("0"),DST_123_ÜRETİM_İHTİYAÇ_RAPORU_BURAK_YENI1309[[#This Row],[SATINALMA]]*DST_123_ÜRETİM_İHTİYAÇ_RAPORU_BURAK_YENI1309[[#This Row],[BIRIM_FIYATLAR]])</f>
        <v>4066.650000000001</v>
      </c>
      <c r="N1999">
        <v>1575</v>
      </c>
      <c r="O1999" t="s">
        <v>326</v>
      </c>
      <c r="P1999">
        <v>283.5</v>
      </c>
      <c r="Q1999" t="s">
        <v>178</v>
      </c>
    </row>
    <row r="2000" spans="1:17" x14ac:dyDescent="0.25">
      <c r="A2000" t="s">
        <v>1196</v>
      </c>
      <c r="B2000" t="s">
        <v>1197</v>
      </c>
      <c r="C2000" t="s">
        <v>175</v>
      </c>
      <c r="D2000" t="s">
        <v>324</v>
      </c>
      <c r="E2000" t="s">
        <v>325</v>
      </c>
      <c r="F2000">
        <v>0.10400000000000001</v>
      </c>
      <c r="G2000" t="s">
        <v>176</v>
      </c>
      <c r="H2000">
        <v>0</v>
      </c>
      <c r="I2000">
        <v>0</v>
      </c>
      <c r="J2000" s="10">
        <v>1.7763568394002505E-15</v>
      </c>
      <c r="K2000" s="10">
        <f>SUMIFS(F:F,D:D,DST_123_ÜRETİM_İHTİYAÇ_RAPORU_BURAK_YENI1309[[#This Row],[ALT_KOD]])-(SUMIFS(H:H,D:D,DST_123_ÜRETİM_İHTİYAÇ_RAPORU_BURAK_YENI1309[[#This Row],[ALT_KOD]])+AVERAGEIFS(I:I,D:D,DST_123_ÜRETİM_İHTİYAÇ_RAPORU_BURAK_YENI1309[[#This Row],[ALT_KOD]])+AVERAGEIFS(L:L,D:D,DST_123_ÜRETİM_İHTİYAÇ_RAPORU_BURAK_YENI1309[[#This Row],[ALT_KOD]]))</f>
        <v>2.5820000000000007</v>
      </c>
      <c r="L2000">
        <v>0</v>
      </c>
      <c r="M2000">
        <f>IF((DST_123_ÜRETİM_İHTİYAÇ_RAPORU_BURAK_YENI1309[[#This Row],[SATINALMA]]*DST_123_ÜRETİM_İHTİYAÇ_RAPORU_BURAK_YENI1309[[#This Row],[BIRIM_FIYATLAR]])&lt;1,VALUE("0"),DST_123_ÜRETİM_İHTİYAÇ_RAPORU_BURAK_YENI1309[[#This Row],[SATINALMA]]*DST_123_ÜRETİM_İHTİYAÇ_RAPORU_BURAK_YENI1309[[#This Row],[BIRIM_FIYATLAR]])</f>
        <v>4066.650000000001</v>
      </c>
      <c r="N2000">
        <v>1575</v>
      </c>
      <c r="O2000" t="s">
        <v>326</v>
      </c>
      <c r="P2000">
        <v>163.80000000000001</v>
      </c>
      <c r="Q2000" t="s">
        <v>178</v>
      </c>
    </row>
    <row r="2001" spans="1:17" x14ac:dyDescent="0.25">
      <c r="A2001" t="s">
        <v>1064</v>
      </c>
      <c r="B2001" t="s">
        <v>1055</v>
      </c>
      <c r="C2001" t="s">
        <v>175</v>
      </c>
      <c r="D2001" t="s">
        <v>324</v>
      </c>
      <c r="E2001" t="s">
        <v>325</v>
      </c>
      <c r="F2001">
        <v>0.18</v>
      </c>
      <c r="G2001" t="s">
        <v>176</v>
      </c>
      <c r="H2001">
        <v>0</v>
      </c>
      <c r="I2001">
        <v>0</v>
      </c>
      <c r="J2001" s="10">
        <v>1.7763568394002505E-15</v>
      </c>
      <c r="K2001" s="10">
        <f>SUMIFS(F:F,D:D,DST_123_ÜRETİM_İHTİYAÇ_RAPORU_BURAK_YENI1309[[#This Row],[ALT_KOD]])-(SUMIFS(H:H,D:D,DST_123_ÜRETİM_İHTİYAÇ_RAPORU_BURAK_YENI1309[[#This Row],[ALT_KOD]])+AVERAGEIFS(I:I,D:D,DST_123_ÜRETİM_İHTİYAÇ_RAPORU_BURAK_YENI1309[[#This Row],[ALT_KOD]])+AVERAGEIFS(L:L,D:D,DST_123_ÜRETİM_İHTİYAÇ_RAPORU_BURAK_YENI1309[[#This Row],[ALT_KOD]]))</f>
        <v>2.5820000000000007</v>
      </c>
      <c r="L2001">
        <v>0</v>
      </c>
      <c r="M2001">
        <f>IF((DST_123_ÜRETİM_İHTİYAÇ_RAPORU_BURAK_YENI1309[[#This Row],[SATINALMA]]*DST_123_ÜRETİM_İHTİYAÇ_RAPORU_BURAK_YENI1309[[#This Row],[BIRIM_FIYATLAR]])&lt;1,VALUE("0"),DST_123_ÜRETİM_İHTİYAÇ_RAPORU_BURAK_YENI1309[[#This Row],[SATINALMA]]*DST_123_ÜRETİM_İHTİYAÇ_RAPORU_BURAK_YENI1309[[#This Row],[BIRIM_FIYATLAR]])</f>
        <v>4066.650000000001</v>
      </c>
      <c r="N2001">
        <v>1575</v>
      </c>
      <c r="O2001" t="s">
        <v>326</v>
      </c>
      <c r="P2001">
        <v>283.5</v>
      </c>
      <c r="Q2001" t="s">
        <v>178</v>
      </c>
    </row>
    <row r="2002" spans="1:17" x14ac:dyDescent="0.25">
      <c r="A2002" t="s">
        <v>1099</v>
      </c>
      <c r="B2002" t="s">
        <v>1055</v>
      </c>
      <c r="C2002" t="s">
        <v>175</v>
      </c>
      <c r="D2002" t="s">
        <v>324</v>
      </c>
      <c r="E2002" t="s">
        <v>325</v>
      </c>
      <c r="F2002">
        <v>0.10400000000000001</v>
      </c>
      <c r="G2002" t="s">
        <v>176</v>
      </c>
      <c r="H2002">
        <v>0</v>
      </c>
      <c r="I2002">
        <v>0</v>
      </c>
      <c r="J2002" s="10">
        <v>1.7763568394002505E-15</v>
      </c>
      <c r="K2002" s="10">
        <f>SUMIFS(F:F,D:D,DST_123_ÜRETİM_İHTİYAÇ_RAPORU_BURAK_YENI1309[[#This Row],[ALT_KOD]])-(SUMIFS(H:H,D:D,DST_123_ÜRETİM_İHTİYAÇ_RAPORU_BURAK_YENI1309[[#This Row],[ALT_KOD]])+AVERAGEIFS(I:I,D:D,DST_123_ÜRETİM_İHTİYAÇ_RAPORU_BURAK_YENI1309[[#This Row],[ALT_KOD]])+AVERAGEIFS(L:L,D:D,DST_123_ÜRETİM_İHTİYAÇ_RAPORU_BURAK_YENI1309[[#This Row],[ALT_KOD]]))</f>
        <v>2.5820000000000007</v>
      </c>
      <c r="L2002">
        <v>0</v>
      </c>
      <c r="M2002">
        <f>IF((DST_123_ÜRETİM_İHTİYAÇ_RAPORU_BURAK_YENI1309[[#This Row],[SATINALMA]]*DST_123_ÜRETİM_İHTİYAÇ_RAPORU_BURAK_YENI1309[[#This Row],[BIRIM_FIYATLAR]])&lt;1,VALUE("0"),DST_123_ÜRETİM_İHTİYAÇ_RAPORU_BURAK_YENI1309[[#This Row],[SATINALMA]]*DST_123_ÜRETİM_İHTİYAÇ_RAPORU_BURAK_YENI1309[[#This Row],[BIRIM_FIYATLAR]])</f>
        <v>4066.650000000001</v>
      </c>
      <c r="N2002">
        <v>1575</v>
      </c>
      <c r="O2002" t="s">
        <v>326</v>
      </c>
      <c r="P2002">
        <v>163.80000000000001</v>
      </c>
      <c r="Q2002" t="s">
        <v>178</v>
      </c>
    </row>
    <row r="2003" spans="1:17" x14ac:dyDescent="0.25">
      <c r="A2003" t="s">
        <v>1196</v>
      </c>
      <c r="B2003" t="s">
        <v>1197</v>
      </c>
      <c r="C2003" t="s">
        <v>175</v>
      </c>
      <c r="D2003" t="s">
        <v>468</v>
      </c>
      <c r="E2003" t="s">
        <v>579</v>
      </c>
      <c r="F2003">
        <v>1.5</v>
      </c>
      <c r="G2003" t="s">
        <v>185</v>
      </c>
      <c r="H2003">
        <v>0</v>
      </c>
      <c r="I2003">
        <v>30</v>
      </c>
      <c r="J2003" s="10">
        <v>21.5</v>
      </c>
      <c r="K2003" s="10">
        <f>SUMIFS(F:F,D:D,DST_123_ÜRETİM_İHTİYAÇ_RAPORU_BURAK_YENI1309[[#This Row],[ALT_KOD]])-(SUMIFS(H:H,D:D,DST_123_ÜRETİM_İHTİYAÇ_RAPORU_BURAK_YENI1309[[#This Row],[ALT_KOD]])+AVERAGEIFS(I:I,D:D,DST_123_ÜRETİM_İHTİYAÇ_RAPORU_BURAK_YENI1309[[#This Row],[ALT_KOD]])+AVERAGEIFS(L:L,D:D,DST_123_ÜRETİM_İHTİYAÇ_RAPORU_BURAK_YENI1309[[#This Row],[ALT_KOD]]))</f>
        <v>4</v>
      </c>
      <c r="L2003">
        <v>0</v>
      </c>
      <c r="M2003">
        <f>IF((DST_123_ÜRETİM_İHTİYAÇ_RAPORU_BURAK_YENI1309[[#This Row],[SATINALMA]]*DST_123_ÜRETİM_İHTİYAÇ_RAPORU_BURAK_YENI1309[[#This Row],[BIRIM_FIYATLAR]])&lt;1,VALUE("0"),DST_123_ÜRETİM_İHTİYAÇ_RAPORU_BURAK_YENI1309[[#This Row],[SATINALMA]]*DST_123_ÜRETİM_İHTİYAÇ_RAPORU_BURAK_YENI1309[[#This Row],[BIRIM_FIYATLAR]])</f>
        <v>472.56</v>
      </c>
      <c r="N2003">
        <v>118.14</v>
      </c>
      <c r="O2003" t="s">
        <v>393</v>
      </c>
      <c r="P2003">
        <v>177.21</v>
      </c>
      <c r="Q2003" t="s">
        <v>183</v>
      </c>
    </row>
    <row r="2004" spans="1:17" x14ac:dyDescent="0.25">
      <c r="A2004" t="s">
        <v>1098</v>
      </c>
      <c r="B2004" t="s">
        <v>1096</v>
      </c>
      <c r="C2004" t="s">
        <v>175</v>
      </c>
      <c r="D2004" t="s">
        <v>468</v>
      </c>
      <c r="E2004" t="s">
        <v>579</v>
      </c>
      <c r="F2004">
        <v>2</v>
      </c>
      <c r="G2004" t="s">
        <v>185</v>
      </c>
      <c r="H2004">
        <v>0</v>
      </c>
      <c r="I2004">
        <v>30</v>
      </c>
      <c r="J2004" s="10">
        <v>21.5</v>
      </c>
      <c r="K2004" s="10">
        <f>SUMIFS(F:F,D:D,DST_123_ÜRETİM_İHTİYAÇ_RAPORU_BURAK_YENI1309[[#This Row],[ALT_KOD]])-(SUMIFS(H:H,D:D,DST_123_ÜRETİM_İHTİYAÇ_RAPORU_BURAK_YENI1309[[#This Row],[ALT_KOD]])+AVERAGEIFS(I:I,D:D,DST_123_ÜRETİM_İHTİYAÇ_RAPORU_BURAK_YENI1309[[#This Row],[ALT_KOD]])+AVERAGEIFS(L:L,D:D,DST_123_ÜRETİM_İHTİYAÇ_RAPORU_BURAK_YENI1309[[#This Row],[ALT_KOD]]))</f>
        <v>4</v>
      </c>
      <c r="L2004">
        <v>0</v>
      </c>
      <c r="M2004">
        <f>IF((DST_123_ÜRETİM_İHTİYAÇ_RAPORU_BURAK_YENI1309[[#This Row],[SATINALMA]]*DST_123_ÜRETİM_İHTİYAÇ_RAPORU_BURAK_YENI1309[[#This Row],[BIRIM_FIYATLAR]])&lt;1,VALUE("0"),DST_123_ÜRETİM_İHTİYAÇ_RAPORU_BURAK_YENI1309[[#This Row],[SATINALMA]]*DST_123_ÜRETİM_İHTİYAÇ_RAPORU_BURAK_YENI1309[[#This Row],[BIRIM_FIYATLAR]])</f>
        <v>472.56</v>
      </c>
      <c r="N2004">
        <v>118.14</v>
      </c>
      <c r="O2004" t="s">
        <v>393</v>
      </c>
      <c r="P2004">
        <v>236.28</v>
      </c>
      <c r="Q2004" t="s">
        <v>183</v>
      </c>
    </row>
    <row r="2005" spans="1:17" x14ac:dyDescent="0.25">
      <c r="A2005" t="s">
        <v>1099</v>
      </c>
      <c r="B2005" t="s">
        <v>1055</v>
      </c>
      <c r="C2005" t="s">
        <v>175</v>
      </c>
      <c r="D2005" t="s">
        <v>413</v>
      </c>
      <c r="E2005" t="s">
        <v>664</v>
      </c>
      <c r="F2005">
        <v>0.30000000000000004</v>
      </c>
      <c r="G2005" t="s">
        <v>179</v>
      </c>
      <c r="H2005">
        <v>0</v>
      </c>
      <c r="I2005">
        <v>0</v>
      </c>
      <c r="J2005" s="10">
        <v>93.800000000000011</v>
      </c>
      <c r="K2005" s="10">
        <f>SUMIFS(F:F,D:D,DST_123_ÜRETİM_İHTİYAÇ_RAPORU_BURAK_YENI1309[[#This Row],[ALT_KOD]])-(SUMIFS(H:H,D:D,DST_123_ÜRETİM_İHTİYAÇ_RAPORU_BURAK_YENI1309[[#This Row],[ALT_KOD]])+AVERAGEIFS(I:I,D:D,DST_123_ÜRETİM_İHTİYAÇ_RAPORU_BURAK_YENI1309[[#This Row],[ALT_KOD]])+AVERAGEIFS(L:L,D:D,DST_123_ÜRETİM_İHTİYAÇ_RAPORU_BURAK_YENI1309[[#This Row],[ALT_KOD]]))</f>
        <v>5.0999999999999996</v>
      </c>
      <c r="L2005">
        <v>0</v>
      </c>
      <c r="M2005">
        <f>IF((DST_123_ÜRETİM_İHTİYAÇ_RAPORU_BURAK_YENI1309[[#This Row],[SATINALMA]]*DST_123_ÜRETİM_İHTİYAÇ_RAPORU_BURAK_YENI1309[[#This Row],[BIRIM_FIYATLAR]])&lt;1,VALUE("0"),DST_123_ÜRETİM_İHTİYAÇ_RAPORU_BURAK_YENI1309[[#This Row],[SATINALMA]]*DST_123_ÜRETİM_İHTİYAÇ_RAPORU_BURAK_YENI1309[[#This Row],[BIRIM_FIYATLAR]])</f>
        <v>34.526999999999994</v>
      </c>
      <c r="N2005">
        <v>6.77</v>
      </c>
      <c r="O2005" t="s">
        <v>635</v>
      </c>
      <c r="P2005">
        <v>2.0310000000000001</v>
      </c>
      <c r="Q2005" t="s">
        <v>221</v>
      </c>
    </row>
    <row r="2006" spans="1:17" x14ac:dyDescent="0.25">
      <c r="A2006" t="s">
        <v>1099</v>
      </c>
      <c r="B2006" t="s">
        <v>1055</v>
      </c>
      <c r="C2006" t="s">
        <v>175</v>
      </c>
      <c r="D2006" t="s">
        <v>237</v>
      </c>
      <c r="E2006" t="s">
        <v>306</v>
      </c>
      <c r="F2006">
        <v>2</v>
      </c>
      <c r="G2006" t="s">
        <v>176</v>
      </c>
      <c r="H2006">
        <v>0</v>
      </c>
      <c r="I2006">
        <v>37</v>
      </c>
      <c r="J2006" s="10">
        <v>20</v>
      </c>
      <c r="K2006" s="10">
        <f>SUMIFS(F:F,D:D,DST_123_ÜRETİM_İHTİYAÇ_RAPORU_BURAK_YENI1309[[#This Row],[ALT_KOD]])-(SUMIFS(H:H,D:D,DST_123_ÜRETİM_İHTİYAÇ_RAPORU_BURAK_YENI1309[[#This Row],[ALT_KOD]])+AVERAGEIFS(I:I,D:D,DST_123_ÜRETİM_İHTİYAÇ_RAPORU_BURAK_YENI1309[[#This Row],[ALT_KOD]])+AVERAGEIFS(L:L,D:D,DST_123_ÜRETİM_İHTİYAÇ_RAPORU_BURAK_YENI1309[[#This Row],[ALT_KOD]]))</f>
        <v>-13</v>
      </c>
      <c r="L2006">
        <v>0</v>
      </c>
      <c r="M2006">
        <f>IF((DST_123_ÜRETİM_İHTİYAÇ_RAPORU_BURAK_YENI1309[[#This Row],[SATINALMA]]*DST_123_ÜRETİM_İHTİYAÇ_RAPORU_BURAK_YENI1309[[#This Row],[BIRIM_FIYATLAR]])&lt;1,VALUE("0"),DST_123_ÜRETİM_İHTİYAÇ_RAPORU_BURAK_YENI1309[[#This Row],[SATINALMA]]*DST_123_ÜRETİM_İHTİYAÇ_RAPORU_BURAK_YENI1309[[#This Row],[BIRIM_FIYATLAR]])</f>
        <v>0</v>
      </c>
      <c r="N2006">
        <v>45.3</v>
      </c>
      <c r="O2006" t="s">
        <v>826</v>
      </c>
      <c r="P2006">
        <v>90.6</v>
      </c>
      <c r="Q2006" t="s">
        <v>221</v>
      </c>
    </row>
    <row r="2007" spans="1:17" x14ac:dyDescent="0.25">
      <c r="A2007" t="s">
        <v>1095</v>
      </c>
      <c r="B2007" t="s">
        <v>1096</v>
      </c>
      <c r="C2007" t="s">
        <v>175</v>
      </c>
      <c r="D2007" t="s">
        <v>468</v>
      </c>
      <c r="E2007" t="s">
        <v>579</v>
      </c>
      <c r="F2007">
        <v>2</v>
      </c>
      <c r="G2007" t="s">
        <v>185</v>
      </c>
      <c r="H2007">
        <v>0</v>
      </c>
      <c r="I2007">
        <v>30</v>
      </c>
      <c r="J2007" s="10">
        <v>21.5</v>
      </c>
      <c r="K2007" s="10">
        <f>SUMIFS(F:F,D:D,DST_123_ÜRETİM_İHTİYAÇ_RAPORU_BURAK_YENI1309[[#This Row],[ALT_KOD]])-(SUMIFS(H:H,D:D,DST_123_ÜRETİM_İHTİYAÇ_RAPORU_BURAK_YENI1309[[#This Row],[ALT_KOD]])+AVERAGEIFS(I:I,D:D,DST_123_ÜRETİM_İHTİYAÇ_RAPORU_BURAK_YENI1309[[#This Row],[ALT_KOD]])+AVERAGEIFS(L:L,D:D,DST_123_ÜRETİM_İHTİYAÇ_RAPORU_BURAK_YENI1309[[#This Row],[ALT_KOD]]))</f>
        <v>4</v>
      </c>
      <c r="L2007">
        <v>0</v>
      </c>
      <c r="M2007">
        <f>IF((DST_123_ÜRETİM_İHTİYAÇ_RAPORU_BURAK_YENI1309[[#This Row],[SATINALMA]]*DST_123_ÜRETİM_İHTİYAÇ_RAPORU_BURAK_YENI1309[[#This Row],[BIRIM_FIYATLAR]])&lt;1,VALUE("0"),DST_123_ÜRETİM_İHTİYAÇ_RAPORU_BURAK_YENI1309[[#This Row],[SATINALMA]]*DST_123_ÜRETİM_İHTİYAÇ_RAPORU_BURAK_YENI1309[[#This Row],[BIRIM_FIYATLAR]])</f>
        <v>472.56</v>
      </c>
      <c r="N2007">
        <v>118.14</v>
      </c>
      <c r="O2007" t="s">
        <v>393</v>
      </c>
      <c r="P2007">
        <v>236.28</v>
      </c>
      <c r="Q2007" t="s">
        <v>183</v>
      </c>
    </row>
    <row r="2008" spans="1:17" x14ac:dyDescent="0.25">
      <c r="A2008" t="s">
        <v>1095</v>
      </c>
      <c r="B2008" t="s">
        <v>1096</v>
      </c>
      <c r="C2008" t="s">
        <v>175</v>
      </c>
      <c r="D2008" t="s">
        <v>413</v>
      </c>
      <c r="E2008" t="s">
        <v>664</v>
      </c>
      <c r="F2008">
        <v>0.2</v>
      </c>
      <c r="G2008" t="s">
        <v>179</v>
      </c>
      <c r="H2008">
        <v>0</v>
      </c>
      <c r="I2008">
        <v>0</v>
      </c>
      <c r="J2008" s="10">
        <v>93.800000000000011</v>
      </c>
      <c r="K2008" s="10">
        <f>SUMIFS(F:F,D:D,DST_123_ÜRETİM_İHTİYAÇ_RAPORU_BURAK_YENI1309[[#This Row],[ALT_KOD]])-(SUMIFS(H:H,D:D,DST_123_ÜRETİM_İHTİYAÇ_RAPORU_BURAK_YENI1309[[#This Row],[ALT_KOD]])+AVERAGEIFS(I:I,D:D,DST_123_ÜRETİM_İHTİYAÇ_RAPORU_BURAK_YENI1309[[#This Row],[ALT_KOD]])+AVERAGEIFS(L:L,D:D,DST_123_ÜRETİM_İHTİYAÇ_RAPORU_BURAK_YENI1309[[#This Row],[ALT_KOD]]))</f>
        <v>5.0999999999999996</v>
      </c>
      <c r="L2008">
        <v>0</v>
      </c>
      <c r="M2008">
        <f>IF((DST_123_ÜRETİM_İHTİYAÇ_RAPORU_BURAK_YENI1309[[#This Row],[SATINALMA]]*DST_123_ÜRETİM_İHTİYAÇ_RAPORU_BURAK_YENI1309[[#This Row],[BIRIM_FIYATLAR]])&lt;1,VALUE("0"),DST_123_ÜRETİM_İHTİYAÇ_RAPORU_BURAK_YENI1309[[#This Row],[SATINALMA]]*DST_123_ÜRETİM_İHTİYAÇ_RAPORU_BURAK_YENI1309[[#This Row],[BIRIM_FIYATLAR]])</f>
        <v>34.526999999999994</v>
      </c>
      <c r="N2008">
        <v>6.77</v>
      </c>
      <c r="O2008" t="s">
        <v>635</v>
      </c>
      <c r="P2008">
        <v>1.3540000000000001</v>
      </c>
      <c r="Q2008" t="s">
        <v>221</v>
      </c>
    </row>
    <row r="2009" spans="1:17" x14ac:dyDescent="0.25">
      <c r="A2009" t="s">
        <v>1095</v>
      </c>
      <c r="B2009" t="s">
        <v>1096</v>
      </c>
      <c r="C2009" t="s">
        <v>175</v>
      </c>
      <c r="D2009" t="s">
        <v>237</v>
      </c>
      <c r="E2009" t="s">
        <v>306</v>
      </c>
      <c r="F2009">
        <v>2</v>
      </c>
      <c r="G2009" t="s">
        <v>176</v>
      </c>
      <c r="H2009">
        <v>0</v>
      </c>
      <c r="I2009">
        <v>37</v>
      </c>
      <c r="J2009" s="10">
        <v>20</v>
      </c>
      <c r="K2009" s="10">
        <f>SUMIFS(F:F,D:D,DST_123_ÜRETİM_İHTİYAÇ_RAPORU_BURAK_YENI1309[[#This Row],[ALT_KOD]])-(SUMIFS(H:H,D:D,DST_123_ÜRETİM_İHTİYAÇ_RAPORU_BURAK_YENI1309[[#This Row],[ALT_KOD]])+AVERAGEIFS(I:I,D:D,DST_123_ÜRETİM_İHTİYAÇ_RAPORU_BURAK_YENI1309[[#This Row],[ALT_KOD]])+AVERAGEIFS(L:L,D:D,DST_123_ÜRETİM_İHTİYAÇ_RAPORU_BURAK_YENI1309[[#This Row],[ALT_KOD]]))</f>
        <v>-13</v>
      </c>
      <c r="L2009">
        <v>0</v>
      </c>
      <c r="M2009">
        <f>IF((DST_123_ÜRETİM_İHTİYAÇ_RAPORU_BURAK_YENI1309[[#This Row],[SATINALMA]]*DST_123_ÜRETİM_İHTİYAÇ_RAPORU_BURAK_YENI1309[[#This Row],[BIRIM_FIYATLAR]])&lt;1,VALUE("0"),DST_123_ÜRETİM_İHTİYAÇ_RAPORU_BURAK_YENI1309[[#This Row],[SATINALMA]]*DST_123_ÜRETİM_İHTİYAÇ_RAPORU_BURAK_YENI1309[[#This Row],[BIRIM_FIYATLAR]])</f>
        <v>0</v>
      </c>
      <c r="N2009">
        <v>45.3</v>
      </c>
      <c r="O2009" t="s">
        <v>826</v>
      </c>
      <c r="P2009">
        <v>90.6</v>
      </c>
      <c r="Q2009" t="s">
        <v>221</v>
      </c>
    </row>
    <row r="2010" spans="1:17" x14ac:dyDescent="0.25">
      <c r="A2010" t="s">
        <v>1099</v>
      </c>
      <c r="B2010" t="s">
        <v>1055</v>
      </c>
      <c r="C2010" t="s">
        <v>175</v>
      </c>
      <c r="D2010" t="s">
        <v>468</v>
      </c>
      <c r="E2010" t="s">
        <v>579</v>
      </c>
      <c r="F2010">
        <v>3</v>
      </c>
      <c r="G2010" t="s">
        <v>185</v>
      </c>
      <c r="H2010">
        <v>0</v>
      </c>
      <c r="I2010">
        <v>30</v>
      </c>
      <c r="J2010" s="10">
        <v>21.5</v>
      </c>
      <c r="K2010" s="10">
        <f>SUMIFS(F:F,D:D,DST_123_ÜRETİM_İHTİYAÇ_RAPORU_BURAK_YENI1309[[#This Row],[ALT_KOD]])-(SUMIFS(H:H,D:D,DST_123_ÜRETİM_İHTİYAÇ_RAPORU_BURAK_YENI1309[[#This Row],[ALT_KOD]])+AVERAGEIFS(I:I,D:D,DST_123_ÜRETİM_İHTİYAÇ_RAPORU_BURAK_YENI1309[[#This Row],[ALT_KOD]])+AVERAGEIFS(L:L,D:D,DST_123_ÜRETİM_İHTİYAÇ_RAPORU_BURAK_YENI1309[[#This Row],[ALT_KOD]]))</f>
        <v>4</v>
      </c>
      <c r="L2010">
        <v>0</v>
      </c>
      <c r="M2010">
        <f>IF((DST_123_ÜRETİM_İHTİYAÇ_RAPORU_BURAK_YENI1309[[#This Row],[SATINALMA]]*DST_123_ÜRETİM_İHTİYAÇ_RAPORU_BURAK_YENI1309[[#This Row],[BIRIM_FIYATLAR]])&lt;1,VALUE("0"),DST_123_ÜRETİM_İHTİYAÇ_RAPORU_BURAK_YENI1309[[#This Row],[SATINALMA]]*DST_123_ÜRETİM_İHTİYAÇ_RAPORU_BURAK_YENI1309[[#This Row],[BIRIM_FIYATLAR]])</f>
        <v>472.56</v>
      </c>
      <c r="N2010">
        <v>118.14</v>
      </c>
      <c r="O2010" t="s">
        <v>393</v>
      </c>
      <c r="P2010">
        <v>354.42</v>
      </c>
      <c r="Q2010" t="s">
        <v>183</v>
      </c>
    </row>
    <row r="2011" spans="1:17" x14ac:dyDescent="0.25">
      <c r="A2011" t="s">
        <v>1142</v>
      </c>
      <c r="B2011" t="s">
        <v>1056</v>
      </c>
      <c r="C2011" t="s">
        <v>175</v>
      </c>
      <c r="D2011" t="s">
        <v>149</v>
      </c>
      <c r="E2011" t="s">
        <v>150</v>
      </c>
      <c r="F2011">
        <v>1.3</v>
      </c>
      <c r="G2011" t="s">
        <v>176</v>
      </c>
      <c r="H2011">
        <v>0</v>
      </c>
      <c r="I2011">
        <v>5</v>
      </c>
      <c r="J2011" s="10">
        <v>0</v>
      </c>
      <c r="K2011" s="10">
        <f>SUMIFS(F:F,D:D,DST_123_ÜRETİM_İHTİYAÇ_RAPORU_BURAK_YENI1309[[#This Row],[ALT_KOD]])-(SUMIFS(H:H,D:D,DST_123_ÜRETİM_İHTİYAÇ_RAPORU_BURAK_YENI1309[[#This Row],[ALT_KOD]])+AVERAGEIFS(I:I,D:D,DST_123_ÜRETİM_İHTİYAÇ_RAPORU_BURAK_YENI1309[[#This Row],[ALT_KOD]])+AVERAGEIFS(L:L,D:D,DST_123_ÜRETİM_İHTİYAÇ_RAPORU_BURAK_YENI1309[[#This Row],[ALT_KOD]]))</f>
        <v>4.6000000000000014</v>
      </c>
      <c r="L2011">
        <v>5</v>
      </c>
      <c r="M2011">
        <f>IF((DST_123_ÜRETİM_İHTİYAÇ_RAPORU_BURAK_YENI1309[[#This Row],[SATINALMA]]*DST_123_ÜRETİM_İHTİYAÇ_RAPORU_BURAK_YENI1309[[#This Row],[BIRIM_FIYATLAR]])&lt;1,VALUE("0"),DST_123_ÜRETİM_İHTİYAÇ_RAPORU_BURAK_YENI1309[[#This Row],[SATINALMA]]*DST_123_ÜRETİM_İHTİYAÇ_RAPORU_BURAK_YENI1309[[#This Row],[BIRIM_FIYATLAR]])</f>
        <v>5276.2000000000016</v>
      </c>
      <c r="N2011">
        <v>1147</v>
      </c>
      <c r="O2011" t="s">
        <v>672</v>
      </c>
      <c r="P2011">
        <v>1491.1000000000001</v>
      </c>
      <c r="Q2011" t="s">
        <v>184</v>
      </c>
    </row>
    <row r="2012" spans="1:17" x14ac:dyDescent="0.25">
      <c r="A2012" t="s">
        <v>1142</v>
      </c>
      <c r="B2012" t="s">
        <v>1056</v>
      </c>
      <c r="C2012" t="s">
        <v>175</v>
      </c>
      <c r="D2012" t="s">
        <v>468</v>
      </c>
      <c r="E2012" t="s">
        <v>579</v>
      </c>
      <c r="F2012">
        <v>1.5</v>
      </c>
      <c r="G2012" t="s">
        <v>185</v>
      </c>
      <c r="H2012">
        <v>0</v>
      </c>
      <c r="I2012">
        <v>30</v>
      </c>
      <c r="J2012" s="10">
        <v>21.5</v>
      </c>
      <c r="K2012" s="10">
        <f>SUMIFS(F:F,D:D,DST_123_ÜRETİM_İHTİYAÇ_RAPORU_BURAK_YENI1309[[#This Row],[ALT_KOD]])-(SUMIFS(H:H,D:D,DST_123_ÜRETİM_İHTİYAÇ_RAPORU_BURAK_YENI1309[[#This Row],[ALT_KOD]])+AVERAGEIFS(I:I,D:D,DST_123_ÜRETİM_İHTİYAÇ_RAPORU_BURAK_YENI1309[[#This Row],[ALT_KOD]])+AVERAGEIFS(L:L,D:D,DST_123_ÜRETİM_İHTİYAÇ_RAPORU_BURAK_YENI1309[[#This Row],[ALT_KOD]]))</f>
        <v>4</v>
      </c>
      <c r="L2012">
        <v>0</v>
      </c>
      <c r="M2012">
        <f>IF((DST_123_ÜRETİM_İHTİYAÇ_RAPORU_BURAK_YENI1309[[#This Row],[SATINALMA]]*DST_123_ÜRETİM_İHTİYAÇ_RAPORU_BURAK_YENI1309[[#This Row],[BIRIM_FIYATLAR]])&lt;1,VALUE("0"),DST_123_ÜRETİM_İHTİYAÇ_RAPORU_BURAK_YENI1309[[#This Row],[SATINALMA]]*DST_123_ÜRETİM_İHTİYAÇ_RAPORU_BURAK_YENI1309[[#This Row],[BIRIM_FIYATLAR]])</f>
        <v>472.56</v>
      </c>
      <c r="N2012">
        <v>118.14</v>
      </c>
      <c r="O2012" t="s">
        <v>393</v>
      </c>
      <c r="P2012">
        <v>177.21</v>
      </c>
      <c r="Q2012" t="s">
        <v>183</v>
      </c>
    </row>
    <row r="2013" spans="1:17" x14ac:dyDescent="0.25">
      <c r="A2013" t="s">
        <v>1142</v>
      </c>
      <c r="B2013" t="s">
        <v>1056</v>
      </c>
      <c r="C2013" t="s">
        <v>175</v>
      </c>
      <c r="D2013" t="s">
        <v>413</v>
      </c>
      <c r="E2013" t="s">
        <v>664</v>
      </c>
      <c r="F2013">
        <v>0.30000000000000004</v>
      </c>
      <c r="G2013" t="s">
        <v>179</v>
      </c>
      <c r="H2013">
        <v>0</v>
      </c>
      <c r="I2013">
        <v>0</v>
      </c>
      <c r="J2013" s="10">
        <v>93.800000000000011</v>
      </c>
      <c r="K2013" s="10">
        <f>SUMIFS(F:F,D:D,DST_123_ÜRETİM_İHTİYAÇ_RAPORU_BURAK_YENI1309[[#This Row],[ALT_KOD]])-(SUMIFS(H:H,D:D,DST_123_ÜRETİM_İHTİYAÇ_RAPORU_BURAK_YENI1309[[#This Row],[ALT_KOD]])+AVERAGEIFS(I:I,D:D,DST_123_ÜRETİM_İHTİYAÇ_RAPORU_BURAK_YENI1309[[#This Row],[ALT_KOD]])+AVERAGEIFS(L:L,D:D,DST_123_ÜRETİM_İHTİYAÇ_RAPORU_BURAK_YENI1309[[#This Row],[ALT_KOD]]))</f>
        <v>5.0999999999999996</v>
      </c>
      <c r="L2013">
        <v>0</v>
      </c>
      <c r="M2013">
        <f>IF((DST_123_ÜRETİM_İHTİYAÇ_RAPORU_BURAK_YENI1309[[#This Row],[SATINALMA]]*DST_123_ÜRETİM_İHTİYAÇ_RAPORU_BURAK_YENI1309[[#This Row],[BIRIM_FIYATLAR]])&lt;1,VALUE("0"),DST_123_ÜRETİM_İHTİYAÇ_RAPORU_BURAK_YENI1309[[#This Row],[SATINALMA]]*DST_123_ÜRETİM_İHTİYAÇ_RAPORU_BURAK_YENI1309[[#This Row],[BIRIM_FIYATLAR]])</f>
        <v>34.526999999999994</v>
      </c>
      <c r="N2013">
        <v>6.77</v>
      </c>
      <c r="O2013" t="s">
        <v>635</v>
      </c>
      <c r="P2013">
        <v>2.0310000000000001</v>
      </c>
      <c r="Q2013" t="s">
        <v>221</v>
      </c>
    </row>
    <row r="2014" spans="1:17" x14ac:dyDescent="0.25">
      <c r="A2014" t="s">
        <v>1142</v>
      </c>
      <c r="B2014" t="s">
        <v>1056</v>
      </c>
      <c r="C2014" t="s">
        <v>175</v>
      </c>
      <c r="D2014" t="s">
        <v>237</v>
      </c>
      <c r="E2014" t="s">
        <v>306</v>
      </c>
      <c r="F2014">
        <v>2</v>
      </c>
      <c r="G2014" t="s">
        <v>176</v>
      </c>
      <c r="H2014">
        <v>0</v>
      </c>
      <c r="I2014">
        <v>37</v>
      </c>
      <c r="J2014" s="10">
        <v>20</v>
      </c>
      <c r="K2014" s="10">
        <f>SUMIFS(F:F,D:D,DST_123_ÜRETİM_İHTİYAÇ_RAPORU_BURAK_YENI1309[[#This Row],[ALT_KOD]])-(SUMIFS(H:H,D:D,DST_123_ÜRETİM_İHTİYAÇ_RAPORU_BURAK_YENI1309[[#This Row],[ALT_KOD]])+AVERAGEIFS(I:I,D:D,DST_123_ÜRETİM_İHTİYAÇ_RAPORU_BURAK_YENI1309[[#This Row],[ALT_KOD]])+AVERAGEIFS(L:L,D:D,DST_123_ÜRETİM_İHTİYAÇ_RAPORU_BURAK_YENI1309[[#This Row],[ALT_KOD]]))</f>
        <v>-13</v>
      </c>
      <c r="L2014">
        <v>0</v>
      </c>
      <c r="M2014">
        <f>IF((DST_123_ÜRETİM_İHTİYAÇ_RAPORU_BURAK_YENI1309[[#This Row],[SATINALMA]]*DST_123_ÜRETİM_İHTİYAÇ_RAPORU_BURAK_YENI1309[[#This Row],[BIRIM_FIYATLAR]])&lt;1,VALUE("0"),DST_123_ÜRETİM_İHTİYAÇ_RAPORU_BURAK_YENI1309[[#This Row],[SATINALMA]]*DST_123_ÜRETİM_İHTİYAÇ_RAPORU_BURAK_YENI1309[[#This Row],[BIRIM_FIYATLAR]])</f>
        <v>0</v>
      </c>
      <c r="N2014">
        <v>45.3</v>
      </c>
      <c r="O2014" t="s">
        <v>826</v>
      </c>
      <c r="P2014">
        <v>90.6</v>
      </c>
      <c r="Q2014" t="s">
        <v>221</v>
      </c>
    </row>
    <row r="2015" spans="1:17" x14ac:dyDescent="0.25">
      <c r="A2015" t="s">
        <v>1064</v>
      </c>
      <c r="B2015" t="s">
        <v>1055</v>
      </c>
      <c r="C2015" t="s">
        <v>175</v>
      </c>
      <c r="D2015" t="s">
        <v>413</v>
      </c>
      <c r="E2015" t="s">
        <v>664</v>
      </c>
      <c r="F2015">
        <v>0.2</v>
      </c>
      <c r="G2015" t="s">
        <v>179</v>
      </c>
      <c r="H2015">
        <v>0</v>
      </c>
      <c r="I2015">
        <v>0</v>
      </c>
      <c r="J2015" s="10">
        <v>93.800000000000011</v>
      </c>
      <c r="K2015" s="10">
        <f>SUMIFS(F:F,D:D,DST_123_ÜRETİM_İHTİYAÇ_RAPORU_BURAK_YENI1309[[#This Row],[ALT_KOD]])-(SUMIFS(H:H,D:D,DST_123_ÜRETİM_İHTİYAÇ_RAPORU_BURAK_YENI1309[[#This Row],[ALT_KOD]])+AVERAGEIFS(I:I,D:D,DST_123_ÜRETİM_İHTİYAÇ_RAPORU_BURAK_YENI1309[[#This Row],[ALT_KOD]])+AVERAGEIFS(L:L,D:D,DST_123_ÜRETİM_İHTİYAÇ_RAPORU_BURAK_YENI1309[[#This Row],[ALT_KOD]]))</f>
        <v>5.0999999999999996</v>
      </c>
      <c r="L2015">
        <v>0</v>
      </c>
      <c r="M2015">
        <f>IF((DST_123_ÜRETİM_İHTİYAÇ_RAPORU_BURAK_YENI1309[[#This Row],[SATINALMA]]*DST_123_ÜRETİM_İHTİYAÇ_RAPORU_BURAK_YENI1309[[#This Row],[BIRIM_FIYATLAR]])&lt;1,VALUE("0"),DST_123_ÜRETİM_İHTİYAÇ_RAPORU_BURAK_YENI1309[[#This Row],[SATINALMA]]*DST_123_ÜRETİM_İHTİYAÇ_RAPORU_BURAK_YENI1309[[#This Row],[BIRIM_FIYATLAR]])</f>
        <v>34.526999999999994</v>
      </c>
      <c r="N2015">
        <v>6.77</v>
      </c>
      <c r="O2015" t="s">
        <v>635</v>
      </c>
      <c r="P2015">
        <v>1.3540000000000001</v>
      </c>
      <c r="Q2015" t="s">
        <v>221</v>
      </c>
    </row>
    <row r="2016" spans="1:17" x14ac:dyDescent="0.25">
      <c r="A2016" t="s">
        <v>1100</v>
      </c>
      <c r="B2016" t="s">
        <v>1058</v>
      </c>
      <c r="C2016" t="s">
        <v>175</v>
      </c>
      <c r="D2016" t="s">
        <v>1129</v>
      </c>
      <c r="E2016" t="s">
        <v>1130</v>
      </c>
      <c r="F2016">
        <v>5</v>
      </c>
      <c r="G2016" t="s">
        <v>176</v>
      </c>
      <c r="H2016">
        <v>5</v>
      </c>
      <c r="I2016">
        <v>100</v>
      </c>
      <c r="J2016" s="10">
        <v>117</v>
      </c>
      <c r="K2016" s="10">
        <f>SUMIFS(F:F,D:D,DST_123_ÜRETİM_İHTİYAÇ_RAPORU_BURAK_YENI1309[[#This Row],[ALT_KOD]])-(SUMIFS(H:H,D:D,DST_123_ÜRETİM_İHTİYAÇ_RAPORU_BURAK_YENI1309[[#This Row],[ALT_KOD]])+AVERAGEIFS(I:I,D:D,DST_123_ÜRETİM_İHTİYAÇ_RAPORU_BURAK_YENI1309[[#This Row],[ALT_KOD]])+AVERAGEIFS(L:L,D:D,DST_123_ÜRETİM_İHTİYAÇ_RAPORU_BURAK_YENI1309[[#This Row],[ALT_KOD]]))</f>
        <v>-100</v>
      </c>
      <c r="L2016">
        <v>0</v>
      </c>
      <c r="M2016">
        <f>IF((DST_123_ÜRETİM_İHTİYAÇ_RAPORU_BURAK_YENI1309[[#This Row],[SATINALMA]]*DST_123_ÜRETİM_İHTİYAÇ_RAPORU_BURAK_YENI1309[[#This Row],[BIRIM_FIYATLAR]])&lt;1,VALUE("0"),DST_123_ÜRETİM_İHTİYAÇ_RAPORU_BURAK_YENI1309[[#This Row],[SATINALMA]]*DST_123_ÜRETİM_İHTİYAÇ_RAPORU_BURAK_YENI1309[[#This Row],[BIRIM_FIYATLAR]])</f>
        <v>0</v>
      </c>
      <c r="N2016">
        <v>13.5</v>
      </c>
      <c r="O2016" t="s">
        <v>240</v>
      </c>
      <c r="P2016">
        <v>67.5</v>
      </c>
      <c r="Q2016" t="s">
        <v>180</v>
      </c>
    </row>
    <row r="2017" spans="1:17" x14ac:dyDescent="0.25">
      <c r="A2017" t="s">
        <v>1100</v>
      </c>
      <c r="B2017" t="s">
        <v>1058</v>
      </c>
      <c r="C2017" t="s">
        <v>175</v>
      </c>
      <c r="D2017" t="s">
        <v>1198</v>
      </c>
      <c r="E2017" t="s">
        <v>1199</v>
      </c>
      <c r="F2017">
        <v>8</v>
      </c>
      <c r="G2017" t="s">
        <v>176</v>
      </c>
      <c r="H2017">
        <v>0</v>
      </c>
      <c r="I2017">
        <v>113</v>
      </c>
      <c r="J2017" s="10">
        <v>0</v>
      </c>
      <c r="K2017" s="10">
        <f>SUMIFS(F:F,D:D,DST_123_ÜRETİM_İHTİYAÇ_RAPORU_BURAK_YENI1309[[#This Row],[ALT_KOD]])-(SUMIFS(H:H,D:D,DST_123_ÜRETİM_İHTİYAÇ_RAPORU_BURAK_YENI1309[[#This Row],[ALT_KOD]])+AVERAGEIFS(I:I,D:D,DST_123_ÜRETİM_İHTİYAÇ_RAPORU_BURAK_YENI1309[[#This Row],[ALT_KOD]])+AVERAGEIFS(L:L,D:D,DST_123_ÜRETİM_İHTİYAÇ_RAPORU_BURAK_YENI1309[[#This Row],[ALT_KOD]]))</f>
        <v>-97</v>
      </c>
      <c r="L2017">
        <v>0</v>
      </c>
      <c r="M2017">
        <f>IF((DST_123_ÜRETİM_İHTİYAÇ_RAPORU_BURAK_YENI1309[[#This Row],[SATINALMA]]*DST_123_ÜRETİM_İHTİYAÇ_RAPORU_BURAK_YENI1309[[#This Row],[BIRIM_FIYATLAR]])&lt;1,VALUE("0"),DST_123_ÜRETİM_İHTİYAÇ_RAPORU_BURAK_YENI1309[[#This Row],[SATINALMA]]*DST_123_ÜRETİM_İHTİYAÇ_RAPORU_BURAK_YENI1309[[#This Row],[BIRIM_FIYATLAR]])</f>
        <v>0</v>
      </c>
      <c r="N2017">
        <v>75</v>
      </c>
      <c r="O2017" t="s">
        <v>761</v>
      </c>
      <c r="P2017">
        <v>600</v>
      </c>
      <c r="Q2017" t="s">
        <v>178</v>
      </c>
    </row>
    <row r="2018" spans="1:17" x14ac:dyDescent="0.25">
      <c r="A2018" t="s">
        <v>1148</v>
      </c>
      <c r="B2018" t="s">
        <v>1056</v>
      </c>
      <c r="C2018" t="s">
        <v>197</v>
      </c>
      <c r="D2018" t="s">
        <v>498</v>
      </c>
      <c r="E2018" t="s">
        <v>499</v>
      </c>
      <c r="F2018">
        <v>1</v>
      </c>
      <c r="G2018" t="s">
        <v>176</v>
      </c>
      <c r="H2018">
        <v>0</v>
      </c>
      <c r="I2018">
        <v>10</v>
      </c>
      <c r="J2018" s="10">
        <v>9</v>
      </c>
      <c r="K2018" s="10">
        <f>SUMIFS(F:F,D:D,DST_123_ÜRETİM_İHTİYAÇ_RAPORU_BURAK_YENI1309[[#This Row],[ALT_KOD]])-(SUMIFS(H:H,D:D,DST_123_ÜRETİM_İHTİYAÇ_RAPORU_BURAK_YENI1309[[#This Row],[ALT_KOD]])+AVERAGEIFS(I:I,D:D,DST_123_ÜRETİM_İHTİYAÇ_RAPORU_BURAK_YENI1309[[#This Row],[ALT_KOD]])+AVERAGEIFS(L:L,D:D,DST_123_ÜRETİM_İHTİYAÇ_RAPORU_BURAK_YENI1309[[#This Row],[ALT_KOD]]))</f>
        <v>2</v>
      </c>
      <c r="L2018">
        <v>0</v>
      </c>
      <c r="M2018">
        <f>IF((DST_123_ÜRETİM_İHTİYAÇ_RAPORU_BURAK_YENI1309[[#This Row],[SATINALMA]]*DST_123_ÜRETİM_İHTİYAÇ_RAPORU_BURAK_YENI1309[[#This Row],[BIRIM_FIYATLAR]])&lt;1,VALUE("0"),DST_123_ÜRETİM_İHTİYAÇ_RAPORU_BURAK_YENI1309[[#This Row],[SATINALMA]]*DST_123_ÜRETİM_İHTİYAÇ_RAPORU_BURAK_YENI1309[[#This Row],[BIRIM_FIYATLAR]])</f>
        <v>0</v>
      </c>
      <c r="O2018" t="s">
        <v>713</v>
      </c>
      <c r="Q2018" t="s">
        <v>760</v>
      </c>
    </row>
    <row r="2019" spans="1:17" x14ac:dyDescent="0.25">
      <c r="A2019" t="s">
        <v>1057</v>
      </c>
      <c r="B2019" t="s">
        <v>1058</v>
      </c>
      <c r="C2019" t="s">
        <v>175</v>
      </c>
      <c r="D2019" t="s">
        <v>333</v>
      </c>
      <c r="E2019" t="s">
        <v>334</v>
      </c>
      <c r="F2019">
        <v>1</v>
      </c>
      <c r="G2019" t="s">
        <v>176</v>
      </c>
      <c r="H2019">
        <v>0</v>
      </c>
      <c r="I2019">
        <v>25</v>
      </c>
      <c r="J2019" s="10">
        <v>18</v>
      </c>
      <c r="K2019" s="10">
        <f>SUMIFS(F:F,D:D,DST_123_ÜRETİM_İHTİYAÇ_RAPORU_BURAK_YENI1309[[#This Row],[ALT_KOD]])-(SUMIFS(H:H,D:D,DST_123_ÜRETİM_İHTİYAÇ_RAPORU_BURAK_YENI1309[[#This Row],[ALT_KOD]])+AVERAGEIFS(I:I,D:D,DST_123_ÜRETİM_İHTİYAÇ_RAPORU_BURAK_YENI1309[[#This Row],[ALT_KOD]])+AVERAGEIFS(L:L,D:D,DST_123_ÜRETİM_İHTİYAÇ_RAPORU_BURAK_YENI1309[[#This Row],[ALT_KOD]]))</f>
        <v>-6</v>
      </c>
      <c r="L2019">
        <v>0</v>
      </c>
      <c r="M2019">
        <f>IF((DST_123_ÜRETİM_İHTİYAÇ_RAPORU_BURAK_YENI1309[[#This Row],[SATINALMA]]*DST_123_ÜRETİM_İHTİYAÇ_RAPORU_BURAK_YENI1309[[#This Row],[BIRIM_FIYATLAR]])&lt;1,VALUE("0"),DST_123_ÜRETİM_İHTİYAÇ_RAPORU_BURAK_YENI1309[[#This Row],[SATINALMA]]*DST_123_ÜRETİM_İHTİYAÇ_RAPORU_BURAK_YENI1309[[#This Row],[BIRIM_FIYATLAR]])</f>
        <v>0</v>
      </c>
      <c r="N2019">
        <v>225</v>
      </c>
      <c r="O2019" t="s">
        <v>226</v>
      </c>
      <c r="P2019">
        <v>225</v>
      </c>
      <c r="Q2019" t="s">
        <v>180</v>
      </c>
    </row>
    <row r="2020" spans="1:17" x14ac:dyDescent="0.25">
      <c r="A2020" t="s">
        <v>1100</v>
      </c>
      <c r="B2020" t="s">
        <v>1058</v>
      </c>
      <c r="C2020" t="s">
        <v>175</v>
      </c>
      <c r="D2020" t="s">
        <v>333</v>
      </c>
      <c r="E2020" t="s">
        <v>334</v>
      </c>
      <c r="F2020">
        <v>1</v>
      </c>
      <c r="G2020" t="s">
        <v>176</v>
      </c>
      <c r="H2020">
        <v>0</v>
      </c>
      <c r="I2020">
        <v>25</v>
      </c>
      <c r="J2020" s="10">
        <v>18</v>
      </c>
      <c r="K2020" s="10">
        <f>SUMIFS(F:F,D:D,DST_123_ÜRETİM_İHTİYAÇ_RAPORU_BURAK_YENI1309[[#This Row],[ALT_KOD]])-(SUMIFS(H:H,D:D,DST_123_ÜRETİM_İHTİYAÇ_RAPORU_BURAK_YENI1309[[#This Row],[ALT_KOD]])+AVERAGEIFS(I:I,D:D,DST_123_ÜRETİM_İHTİYAÇ_RAPORU_BURAK_YENI1309[[#This Row],[ALT_KOD]])+AVERAGEIFS(L:L,D:D,DST_123_ÜRETİM_İHTİYAÇ_RAPORU_BURAK_YENI1309[[#This Row],[ALT_KOD]]))</f>
        <v>-6</v>
      </c>
      <c r="L2020">
        <v>0</v>
      </c>
      <c r="M2020">
        <f>IF((DST_123_ÜRETİM_İHTİYAÇ_RAPORU_BURAK_YENI1309[[#This Row],[SATINALMA]]*DST_123_ÜRETİM_İHTİYAÇ_RAPORU_BURAK_YENI1309[[#This Row],[BIRIM_FIYATLAR]])&lt;1,VALUE("0"),DST_123_ÜRETİM_İHTİYAÇ_RAPORU_BURAK_YENI1309[[#This Row],[SATINALMA]]*DST_123_ÜRETİM_İHTİYAÇ_RAPORU_BURAK_YENI1309[[#This Row],[BIRIM_FIYATLAR]])</f>
        <v>0</v>
      </c>
      <c r="N2020">
        <v>225</v>
      </c>
      <c r="O2020" t="s">
        <v>226</v>
      </c>
      <c r="P2020">
        <v>225</v>
      </c>
      <c r="Q2020" t="s">
        <v>180</v>
      </c>
    </row>
    <row r="2021" spans="1:17" x14ac:dyDescent="0.25">
      <c r="A2021" t="s">
        <v>1148</v>
      </c>
      <c r="B2021" t="s">
        <v>1056</v>
      </c>
      <c r="C2021" t="s">
        <v>175</v>
      </c>
      <c r="D2021" t="s">
        <v>333</v>
      </c>
      <c r="E2021" t="s">
        <v>334</v>
      </c>
      <c r="F2021">
        <v>1</v>
      </c>
      <c r="G2021" t="s">
        <v>176</v>
      </c>
      <c r="H2021">
        <v>0</v>
      </c>
      <c r="I2021">
        <v>25</v>
      </c>
      <c r="J2021" s="10">
        <v>18</v>
      </c>
      <c r="K2021" s="10">
        <f>SUMIFS(F:F,D:D,DST_123_ÜRETİM_İHTİYAÇ_RAPORU_BURAK_YENI1309[[#This Row],[ALT_KOD]])-(SUMIFS(H:H,D:D,DST_123_ÜRETİM_İHTİYAÇ_RAPORU_BURAK_YENI1309[[#This Row],[ALT_KOD]])+AVERAGEIFS(I:I,D:D,DST_123_ÜRETİM_İHTİYAÇ_RAPORU_BURAK_YENI1309[[#This Row],[ALT_KOD]])+AVERAGEIFS(L:L,D:D,DST_123_ÜRETİM_İHTİYAÇ_RAPORU_BURAK_YENI1309[[#This Row],[ALT_KOD]]))</f>
        <v>-6</v>
      </c>
      <c r="L2021">
        <v>0</v>
      </c>
      <c r="M2021">
        <f>IF((DST_123_ÜRETİM_İHTİYAÇ_RAPORU_BURAK_YENI1309[[#This Row],[SATINALMA]]*DST_123_ÜRETİM_İHTİYAÇ_RAPORU_BURAK_YENI1309[[#This Row],[BIRIM_FIYATLAR]])&lt;1,VALUE("0"),DST_123_ÜRETİM_İHTİYAÇ_RAPORU_BURAK_YENI1309[[#This Row],[SATINALMA]]*DST_123_ÜRETİM_İHTİYAÇ_RAPORU_BURAK_YENI1309[[#This Row],[BIRIM_FIYATLAR]])</f>
        <v>0</v>
      </c>
      <c r="N2021">
        <v>225</v>
      </c>
      <c r="O2021" t="s">
        <v>226</v>
      </c>
      <c r="P2021">
        <v>225</v>
      </c>
      <c r="Q2021" t="s">
        <v>180</v>
      </c>
    </row>
    <row r="2022" spans="1:17" x14ac:dyDescent="0.25">
      <c r="A2022" t="s">
        <v>1057</v>
      </c>
      <c r="B2022" t="s">
        <v>1058</v>
      </c>
      <c r="C2022" t="s">
        <v>175</v>
      </c>
      <c r="D2022" t="s">
        <v>99</v>
      </c>
      <c r="E2022" t="s">
        <v>100</v>
      </c>
      <c r="F2022">
        <v>24.65</v>
      </c>
      <c r="G2022" t="s">
        <v>185</v>
      </c>
      <c r="H2022">
        <v>24.65</v>
      </c>
      <c r="I2022">
        <v>0</v>
      </c>
      <c r="J2022" s="10">
        <v>437.82000000000016</v>
      </c>
      <c r="K2022" s="10">
        <f>SUMIFS(F:F,D:D,DST_123_ÜRETİM_İHTİYAÇ_RAPORU_BURAK_YENI1309[[#This Row],[ALT_KOD]])-(SUMIFS(H:H,D:D,DST_123_ÜRETİM_İHTİYAÇ_RAPORU_BURAK_YENI1309[[#This Row],[ALT_KOD]])+AVERAGEIFS(I:I,D:D,DST_123_ÜRETİM_İHTİYAÇ_RAPORU_BURAK_YENI1309[[#This Row],[ALT_KOD]])+AVERAGEIFS(L:L,D:D,DST_123_ÜRETİM_İHTİYAÇ_RAPORU_BURAK_YENI1309[[#This Row],[ALT_KOD]]))</f>
        <v>348.62999999999988</v>
      </c>
      <c r="L2022">
        <v>0</v>
      </c>
      <c r="M2022">
        <f>IF((DST_123_ÜRETİM_İHTİYAÇ_RAPORU_BURAK_YENI1309[[#This Row],[SATINALMA]]*DST_123_ÜRETİM_İHTİYAÇ_RAPORU_BURAK_YENI1309[[#This Row],[BIRIM_FIYATLAR]])&lt;1,VALUE("0"),DST_123_ÜRETİM_İHTİYAÇ_RAPORU_BURAK_YENI1309[[#This Row],[SATINALMA]]*DST_123_ÜRETİM_İHTİYAÇ_RAPORU_BURAK_YENI1309[[#This Row],[BIRIM_FIYATLAR]])</f>
        <v>33597.473099999988</v>
      </c>
      <c r="N2022">
        <v>96.37</v>
      </c>
      <c r="O2022" t="s">
        <v>490</v>
      </c>
      <c r="P2022">
        <v>2375.5205000000001</v>
      </c>
      <c r="Q2022" t="s">
        <v>183</v>
      </c>
    </row>
    <row r="2023" spans="1:17" x14ac:dyDescent="0.25">
      <c r="A2023" t="s">
        <v>1148</v>
      </c>
      <c r="B2023" t="s">
        <v>1056</v>
      </c>
      <c r="C2023" t="s">
        <v>175</v>
      </c>
      <c r="D2023" t="s">
        <v>99</v>
      </c>
      <c r="E2023" t="s">
        <v>100</v>
      </c>
      <c r="F2023">
        <v>30.519999999999996</v>
      </c>
      <c r="G2023" t="s">
        <v>185</v>
      </c>
      <c r="H2023">
        <v>0</v>
      </c>
      <c r="I2023">
        <v>0</v>
      </c>
      <c r="J2023" s="10">
        <v>437.82000000000016</v>
      </c>
      <c r="K2023" s="10">
        <f>SUMIFS(F:F,D:D,DST_123_ÜRETİM_İHTİYAÇ_RAPORU_BURAK_YENI1309[[#This Row],[ALT_KOD]])-(SUMIFS(H:H,D:D,DST_123_ÜRETİM_İHTİYAÇ_RAPORU_BURAK_YENI1309[[#This Row],[ALT_KOD]])+AVERAGEIFS(I:I,D:D,DST_123_ÜRETİM_İHTİYAÇ_RAPORU_BURAK_YENI1309[[#This Row],[ALT_KOD]])+AVERAGEIFS(L:L,D:D,DST_123_ÜRETİM_İHTİYAÇ_RAPORU_BURAK_YENI1309[[#This Row],[ALT_KOD]]))</f>
        <v>348.62999999999988</v>
      </c>
      <c r="L2023">
        <v>0</v>
      </c>
      <c r="M2023">
        <f>IF((DST_123_ÜRETİM_İHTİYAÇ_RAPORU_BURAK_YENI1309[[#This Row],[SATINALMA]]*DST_123_ÜRETİM_İHTİYAÇ_RAPORU_BURAK_YENI1309[[#This Row],[BIRIM_FIYATLAR]])&lt;1,VALUE("0"),DST_123_ÜRETİM_İHTİYAÇ_RAPORU_BURAK_YENI1309[[#This Row],[SATINALMA]]*DST_123_ÜRETİM_İHTİYAÇ_RAPORU_BURAK_YENI1309[[#This Row],[BIRIM_FIYATLAR]])</f>
        <v>33597.473099999988</v>
      </c>
      <c r="N2023">
        <v>96.37</v>
      </c>
      <c r="O2023" t="s">
        <v>490</v>
      </c>
      <c r="P2023">
        <v>2941.2123999999999</v>
      </c>
      <c r="Q2023" t="s">
        <v>183</v>
      </c>
    </row>
    <row r="2024" spans="1:17" x14ac:dyDescent="0.25">
      <c r="A2024" t="s">
        <v>1148</v>
      </c>
      <c r="B2024" t="s">
        <v>1056</v>
      </c>
      <c r="C2024" t="s">
        <v>175</v>
      </c>
      <c r="D2024" t="s">
        <v>101</v>
      </c>
      <c r="E2024" t="s">
        <v>102</v>
      </c>
      <c r="F2024">
        <v>2.9299999999999997</v>
      </c>
      <c r="G2024" t="s">
        <v>185</v>
      </c>
      <c r="H2024">
        <v>0</v>
      </c>
      <c r="I2024">
        <v>66</v>
      </c>
      <c r="J2024" s="10">
        <v>36.349999999999987</v>
      </c>
      <c r="K2024" s="10">
        <f>SUMIFS(F:F,D:D,DST_123_ÜRETİM_İHTİYAÇ_RAPORU_BURAK_YENI1309[[#This Row],[ALT_KOD]])-(SUMIFS(H:H,D:D,DST_123_ÜRETİM_İHTİYAÇ_RAPORU_BURAK_YENI1309[[#This Row],[ALT_KOD]])+AVERAGEIFS(I:I,D:D,DST_123_ÜRETİM_İHTİYAÇ_RAPORU_BURAK_YENI1309[[#This Row],[ALT_KOD]])+AVERAGEIFS(L:L,D:D,DST_123_ÜRETİM_İHTİYAÇ_RAPORU_BURAK_YENI1309[[#This Row],[ALT_KOD]]))</f>
        <v>-17.090000000000018</v>
      </c>
      <c r="L2024">
        <v>0</v>
      </c>
      <c r="M2024">
        <f>IF((DST_123_ÜRETİM_İHTİYAÇ_RAPORU_BURAK_YENI1309[[#This Row],[SATINALMA]]*DST_123_ÜRETİM_İHTİYAÇ_RAPORU_BURAK_YENI1309[[#This Row],[BIRIM_FIYATLAR]])&lt;1,VALUE("0"),DST_123_ÜRETİM_İHTİYAÇ_RAPORU_BURAK_YENI1309[[#This Row],[SATINALMA]]*DST_123_ÜRETİM_İHTİYAÇ_RAPORU_BURAK_YENI1309[[#This Row],[BIRIM_FIYATLAR]])</f>
        <v>0</v>
      </c>
      <c r="N2024">
        <v>129.63</v>
      </c>
      <c r="O2024" t="s">
        <v>240</v>
      </c>
      <c r="P2024">
        <v>379.81589999999994</v>
      </c>
      <c r="Q2024" t="s">
        <v>183</v>
      </c>
    </row>
    <row r="2025" spans="1:17" x14ac:dyDescent="0.25">
      <c r="A2025" t="s">
        <v>1144</v>
      </c>
      <c r="B2025" t="s">
        <v>1145</v>
      </c>
      <c r="C2025" t="s">
        <v>175</v>
      </c>
      <c r="D2025" t="s">
        <v>538</v>
      </c>
      <c r="E2025" t="s">
        <v>539</v>
      </c>
      <c r="F2025">
        <v>2</v>
      </c>
      <c r="G2025" t="s">
        <v>176</v>
      </c>
      <c r="H2025">
        <v>0</v>
      </c>
      <c r="I2025">
        <v>250</v>
      </c>
      <c r="J2025" s="10">
        <v>3</v>
      </c>
      <c r="K2025" s="10">
        <f>SUMIFS(F:F,D:D,DST_123_ÜRETİM_İHTİYAÇ_RAPORU_BURAK_YENI1309[[#This Row],[ALT_KOD]])-(SUMIFS(H:H,D:D,DST_123_ÜRETİM_İHTİYAÇ_RAPORU_BURAK_YENI1309[[#This Row],[ALT_KOD]])+AVERAGEIFS(I:I,D:D,DST_123_ÜRETİM_İHTİYAÇ_RAPORU_BURAK_YENI1309[[#This Row],[ALT_KOD]])+AVERAGEIFS(L:L,D:D,DST_123_ÜRETİM_İHTİYAÇ_RAPORU_BURAK_YENI1309[[#This Row],[ALT_KOD]]))</f>
        <v>-166</v>
      </c>
      <c r="L2025">
        <v>0</v>
      </c>
      <c r="M2025">
        <f>IF((DST_123_ÜRETİM_İHTİYAÇ_RAPORU_BURAK_YENI1309[[#This Row],[SATINALMA]]*DST_123_ÜRETİM_İHTİYAÇ_RAPORU_BURAK_YENI1309[[#This Row],[BIRIM_FIYATLAR]])&lt;1,VALUE("0"),DST_123_ÜRETİM_İHTİYAÇ_RAPORU_BURAK_YENI1309[[#This Row],[SATINALMA]]*DST_123_ÜRETİM_İHTİYAÇ_RAPORU_BURAK_YENI1309[[#This Row],[BIRIM_FIYATLAR]])</f>
        <v>0</v>
      </c>
      <c r="N2025">
        <v>2</v>
      </c>
      <c r="P2025">
        <v>4</v>
      </c>
      <c r="Q2025" t="s">
        <v>180</v>
      </c>
    </row>
    <row r="2026" spans="1:17" x14ac:dyDescent="0.25">
      <c r="A2026" t="s">
        <v>1144</v>
      </c>
      <c r="B2026" t="s">
        <v>1145</v>
      </c>
      <c r="C2026" t="s">
        <v>175</v>
      </c>
      <c r="D2026" t="s">
        <v>852</v>
      </c>
      <c r="E2026" t="s">
        <v>853</v>
      </c>
      <c r="F2026">
        <v>4</v>
      </c>
      <c r="G2026" t="s">
        <v>176</v>
      </c>
      <c r="H2026">
        <v>0</v>
      </c>
      <c r="I2026">
        <v>250</v>
      </c>
      <c r="J2026" s="10">
        <v>835</v>
      </c>
      <c r="K2026" s="10">
        <f>SUMIFS(F:F,D:D,DST_123_ÜRETİM_İHTİYAÇ_RAPORU_BURAK_YENI1309[[#This Row],[ALT_KOD]])-(SUMIFS(H:H,D:D,DST_123_ÜRETİM_İHTİYAÇ_RAPORU_BURAK_YENI1309[[#This Row],[ALT_KOD]])+AVERAGEIFS(I:I,D:D,DST_123_ÜRETİM_İHTİYAÇ_RAPORU_BURAK_YENI1309[[#This Row],[ALT_KOD]])+AVERAGEIFS(L:L,D:D,DST_123_ÜRETİM_İHTİYAÇ_RAPORU_BURAK_YENI1309[[#This Row],[ALT_KOD]]))</f>
        <v>-134</v>
      </c>
      <c r="L2026">
        <v>0</v>
      </c>
      <c r="M2026">
        <f>IF((DST_123_ÜRETİM_İHTİYAÇ_RAPORU_BURAK_YENI1309[[#This Row],[SATINALMA]]*DST_123_ÜRETİM_İHTİYAÇ_RAPORU_BURAK_YENI1309[[#This Row],[BIRIM_FIYATLAR]])&lt;1,VALUE("0"),DST_123_ÜRETİM_İHTİYAÇ_RAPORU_BURAK_YENI1309[[#This Row],[SATINALMA]]*DST_123_ÜRETİM_İHTİYAÇ_RAPORU_BURAK_YENI1309[[#This Row],[BIRIM_FIYATLAR]])</f>
        <v>0</v>
      </c>
      <c r="N2026">
        <v>1.58</v>
      </c>
      <c r="O2026" t="s">
        <v>882</v>
      </c>
      <c r="P2026">
        <v>6.32</v>
      </c>
      <c r="Q2026" t="s">
        <v>180</v>
      </c>
    </row>
    <row r="2027" spans="1:17" x14ac:dyDescent="0.25">
      <c r="A2027" t="s">
        <v>1144</v>
      </c>
      <c r="B2027" t="s">
        <v>1145</v>
      </c>
      <c r="C2027" t="s">
        <v>175</v>
      </c>
      <c r="D2027" t="s">
        <v>340</v>
      </c>
      <c r="E2027" t="s">
        <v>341</v>
      </c>
      <c r="F2027">
        <v>2</v>
      </c>
      <c r="G2027" t="s">
        <v>176</v>
      </c>
      <c r="H2027">
        <v>0</v>
      </c>
      <c r="I2027">
        <v>75</v>
      </c>
      <c r="J2027" s="10">
        <v>42.70000000000006</v>
      </c>
      <c r="K2027" s="10">
        <f>SUMIFS(F:F,D:D,DST_123_ÜRETİM_İHTİYAÇ_RAPORU_BURAK_YENI1309[[#This Row],[ALT_KOD]])-(SUMIFS(H:H,D:D,DST_123_ÜRETİM_İHTİYAÇ_RAPORU_BURAK_YENI1309[[#This Row],[ALT_KOD]])+AVERAGEIFS(I:I,D:D,DST_123_ÜRETİM_İHTİYAÇ_RAPORU_BURAK_YENI1309[[#This Row],[ALT_KOD]])+AVERAGEIFS(L:L,D:D,DST_123_ÜRETİM_İHTİYAÇ_RAPORU_BURAK_YENI1309[[#This Row],[ALT_KOD]]))</f>
        <v>-48.040000000000006</v>
      </c>
      <c r="L2027">
        <v>0</v>
      </c>
      <c r="M2027">
        <f>IF((DST_123_ÜRETİM_İHTİYAÇ_RAPORU_BURAK_YENI1309[[#This Row],[SATINALMA]]*DST_123_ÜRETİM_İHTİYAÇ_RAPORU_BURAK_YENI1309[[#This Row],[BIRIM_FIYATLAR]])&lt;1,VALUE("0"),DST_123_ÜRETİM_İHTİYAÇ_RAPORU_BURAK_YENI1309[[#This Row],[SATINALMA]]*DST_123_ÜRETİM_İHTİYAÇ_RAPORU_BURAK_YENI1309[[#This Row],[BIRIM_FIYATLAR]])</f>
        <v>0</v>
      </c>
      <c r="N2027">
        <v>15</v>
      </c>
      <c r="O2027" t="s">
        <v>240</v>
      </c>
      <c r="P2027">
        <v>30</v>
      </c>
      <c r="Q2027" t="s">
        <v>180</v>
      </c>
    </row>
    <row r="2028" spans="1:17" x14ac:dyDescent="0.25">
      <c r="A2028" t="s">
        <v>1144</v>
      </c>
      <c r="B2028" t="s">
        <v>1145</v>
      </c>
      <c r="C2028" t="s">
        <v>175</v>
      </c>
      <c r="D2028" t="s">
        <v>798</v>
      </c>
      <c r="E2028" t="s">
        <v>799</v>
      </c>
      <c r="F2028">
        <v>3</v>
      </c>
      <c r="G2028" t="s">
        <v>176</v>
      </c>
      <c r="H2028">
        <v>0</v>
      </c>
      <c r="I2028">
        <v>200</v>
      </c>
      <c r="J2028" s="10">
        <v>0</v>
      </c>
      <c r="K2028" s="10">
        <f>SUMIFS(F:F,D:D,DST_123_ÜRETİM_İHTİYAÇ_RAPORU_BURAK_YENI1309[[#This Row],[ALT_KOD]])-(SUMIFS(H:H,D:D,DST_123_ÜRETİM_İHTİYAÇ_RAPORU_BURAK_YENI1309[[#This Row],[ALT_KOD]])+AVERAGEIFS(I:I,D:D,DST_123_ÜRETİM_İHTİYAÇ_RAPORU_BURAK_YENI1309[[#This Row],[ALT_KOD]])+AVERAGEIFS(L:L,D:D,DST_123_ÜRETİM_İHTİYAÇ_RAPORU_BURAK_YENI1309[[#This Row],[ALT_KOD]]))</f>
        <v>-188</v>
      </c>
      <c r="L2028">
        <v>0</v>
      </c>
      <c r="M2028">
        <f>IF((DST_123_ÜRETİM_İHTİYAÇ_RAPORU_BURAK_YENI1309[[#This Row],[SATINALMA]]*DST_123_ÜRETİM_İHTİYAÇ_RAPORU_BURAK_YENI1309[[#This Row],[BIRIM_FIYATLAR]])&lt;1,VALUE("0"),DST_123_ÜRETİM_İHTİYAÇ_RAPORU_BURAK_YENI1309[[#This Row],[SATINALMA]]*DST_123_ÜRETİM_İHTİYAÇ_RAPORU_BURAK_YENI1309[[#This Row],[BIRIM_FIYATLAR]])</f>
        <v>0</v>
      </c>
      <c r="N2028">
        <v>10</v>
      </c>
      <c r="O2028" t="s">
        <v>226</v>
      </c>
      <c r="P2028">
        <v>30</v>
      </c>
      <c r="Q2028" t="s">
        <v>180</v>
      </c>
    </row>
    <row r="2029" spans="1:17" x14ac:dyDescent="0.25">
      <c r="A2029" t="s">
        <v>1150</v>
      </c>
      <c r="B2029" t="s">
        <v>1145</v>
      </c>
      <c r="C2029" t="s">
        <v>175</v>
      </c>
      <c r="D2029" t="s">
        <v>408</v>
      </c>
      <c r="E2029" t="s">
        <v>409</v>
      </c>
      <c r="F2029">
        <v>14</v>
      </c>
      <c r="G2029" t="s">
        <v>176</v>
      </c>
      <c r="H2029">
        <v>0</v>
      </c>
      <c r="I2029">
        <v>2698</v>
      </c>
      <c r="J2029" s="10">
        <v>0</v>
      </c>
      <c r="K2029" s="10">
        <f>SUMIFS(F:F,D:D,DST_123_ÜRETİM_İHTİYAÇ_RAPORU_BURAK_YENI1309[[#This Row],[ALT_KOD]])-(SUMIFS(H:H,D:D,DST_123_ÜRETİM_İHTİYAÇ_RAPORU_BURAK_YENI1309[[#This Row],[ALT_KOD]])+AVERAGEIFS(I:I,D:D,DST_123_ÜRETİM_İHTİYAÇ_RAPORU_BURAK_YENI1309[[#This Row],[ALT_KOD]])+AVERAGEIFS(L:L,D:D,DST_123_ÜRETİM_İHTİYAÇ_RAPORU_BURAK_YENI1309[[#This Row],[ALT_KOD]]))</f>
        <v>-2312</v>
      </c>
      <c r="L2029">
        <v>0</v>
      </c>
      <c r="M2029">
        <f>IF((DST_123_ÜRETİM_İHTİYAÇ_RAPORU_BURAK_YENI1309[[#This Row],[SATINALMA]]*DST_123_ÜRETİM_İHTİYAÇ_RAPORU_BURAK_YENI1309[[#This Row],[BIRIM_FIYATLAR]])&lt;1,VALUE("0"),DST_123_ÜRETİM_İHTİYAÇ_RAPORU_BURAK_YENI1309[[#This Row],[SATINALMA]]*DST_123_ÜRETİM_İHTİYAÇ_RAPORU_BURAK_YENI1309[[#This Row],[BIRIM_FIYATLAR]])</f>
        <v>0</v>
      </c>
      <c r="N2029">
        <v>1.55</v>
      </c>
      <c r="O2029" t="s">
        <v>220</v>
      </c>
      <c r="P2029">
        <v>21.7</v>
      </c>
      <c r="Q2029" t="s">
        <v>221</v>
      </c>
    </row>
    <row r="2030" spans="1:17" x14ac:dyDescent="0.25">
      <c r="A2030" t="s">
        <v>1147</v>
      </c>
      <c r="B2030" t="s">
        <v>1145</v>
      </c>
      <c r="C2030" t="s">
        <v>175</v>
      </c>
      <c r="D2030" t="s">
        <v>101</v>
      </c>
      <c r="E2030" t="s">
        <v>102</v>
      </c>
      <c r="F2030">
        <v>4</v>
      </c>
      <c r="G2030" t="s">
        <v>185</v>
      </c>
      <c r="H2030">
        <v>0</v>
      </c>
      <c r="I2030">
        <v>66</v>
      </c>
      <c r="J2030" s="10">
        <v>36.349999999999987</v>
      </c>
      <c r="K2030" s="10">
        <f>SUMIFS(F:F,D:D,DST_123_ÜRETİM_İHTİYAÇ_RAPORU_BURAK_YENI1309[[#This Row],[ALT_KOD]])-(SUMIFS(H:H,D:D,DST_123_ÜRETİM_İHTİYAÇ_RAPORU_BURAK_YENI1309[[#This Row],[ALT_KOD]])+AVERAGEIFS(I:I,D:D,DST_123_ÜRETİM_İHTİYAÇ_RAPORU_BURAK_YENI1309[[#This Row],[ALT_KOD]])+AVERAGEIFS(L:L,D:D,DST_123_ÜRETİM_İHTİYAÇ_RAPORU_BURAK_YENI1309[[#This Row],[ALT_KOD]]))</f>
        <v>-17.090000000000018</v>
      </c>
      <c r="L2030">
        <v>0</v>
      </c>
      <c r="M2030">
        <f>IF((DST_123_ÜRETİM_İHTİYAÇ_RAPORU_BURAK_YENI1309[[#This Row],[SATINALMA]]*DST_123_ÜRETİM_İHTİYAÇ_RAPORU_BURAK_YENI1309[[#This Row],[BIRIM_FIYATLAR]])&lt;1,VALUE("0"),DST_123_ÜRETİM_İHTİYAÇ_RAPORU_BURAK_YENI1309[[#This Row],[SATINALMA]]*DST_123_ÜRETİM_İHTİYAÇ_RAPORU_BURAK_YENI1309[[#This Row],[BIRIM_FIYATLAR]])</f>
        <v>0</v>
      </c>
      <c r="N2030">
        <v>129.63</v>
      </c>
      <c r="O2030" t="s">
        <v>240</v>
      </c>
      <c r="P2030">
        <v>518.52</v>
      </c>
      <c r="Q2030" t="s">
        <v>183</v>
      </c>
    </row>
    <row r="2031" spans="1:17" x14ac:dyDescent="0.25">
      <c r="A2031" t="s">
        <v>1059</v>
      </c>
      <c r="B2031" t="s">
        <v>1058</v>
      </c>
      <c r="C2031" t="s">
        <v>175</v>
      </c>
      <c r="D2031" t="s">
        <v>586</v>
      </c>
      <c r="E2031" t="s">
        <v>587</v>
      </c>
      <c r="F2031">
        <v>1</v>
      </c>
      <c r="G2031" t="s">
        <v>176</v>
      </c>
      <c r="H2031">
        <v>0</v>
      </c>
      <c r="I2031">
        <v>0</v>
      </c>
      <c r="J2031" s="10">
        <v>0</v>
      </c>
      <c r="K2031" s="10">
        <f>SUMIFS(F:F,D:D,DST_123_ÜRETİM_İHTİYAÇ_RAPORU_BURAK_YENI1309[[#This Row],[ALT_KOD]])-(SUMIFS(H:H,D:D,DST_123_ÜRETİM_İHTİYAÇ_RAPORU_BURAK_YENI1309[[#This Row],[ALT_KOD]])+AVERAGEIFS(I:I,D:D,DST_123_ÜRETİM_İHTİYAÇ_RAPORU_BURAK_YENI1309[[#This Row],[ALT_KOD]])+AVERAGEIFS(L:L,D:D,DST_123_ÜRETİM_İHTİYAÇ_RAPORU_BURAK_YENI1309[[#This Row],[ALT_KOD]]))</f>
        <v>9</v>
      </c>
      <c r="L2031">
        <v>0</v>
      </c>
      <c r="M2031">
        <f>IF((DST_123_ÜRETİM_İHTİYAÇ_RAPORU_BURAK_YENI1309[[#This Row],[SATINALMA]]*DST_123_ÜRETİM_İHTİYAÇ_RAPORU_BURAK_YENI1309[[#This Row],[BIRIM_FIYATLAR]])&lt;1,VALUE("0"),DST_123_ÜRETİM_İHTİYAÇ_RAPORU_BURAK_YENI1309[[#This Row],[SATINALMA]]*DST_123_ÜRETİM_İHTİYAÇ_RAPORU_BURAK_YENI1309[[#This Row],[BIRIM_FIYATLAR]])</f>
        <v>540</v>
      </c>
      <c r="N2031">
        <v>60</v>
      </c>
      <c r="O2031" t="s">
        <v>428</v>
      </c>
      <c r="P2031">
        <v>60</v>
      </c>
      <c r="Q2031" t="s">
        <v>177</v>
      </c>
    </row>
    <row r="2032" spans="1:17" x14ac:dyDescent="0.25">
      <c r="A2032" t="s">
        <v>1099</v>
      </c>
      <c r="B2032" t="s">
        <v>1055</v>
      </c>
      <c r="C2032" t="s">
        <v>175</v>
      </c>
      <c r="D2032" t="s">
        <v>367</v>
      </c>
      <c r="E2032" t="s">
        <v>368</v>
      </c>
      <c r="F2032">
        <v>48</v>
      </c>
      <c r="G2032" t="s">
        <v>176</v>
      </c>
      <c r="H2032">
        <v>0</v>
      </c>
      <c r="I2032">
        <v>1000</v>
      </c>
      <c r="J2032" s="10">
        <v>396</v>
      </c>
      <c r="K2032" s="10">
        <f>SUMIFS(F:F,D:D,DST_123_ÜRETİM_İHTİYAÇ_RAPORU_BURAK_YENI1309[[#This Row],[ALT_KOD]])-(SUMIFS(H:H,D:D,DST_123_ÜRETİM_İHTİYAÇ_RAPORU_BURAK_YENI1309[[#This Row],[ALT_KOD]])+AVERAGEIFS(I:I,D:D,DST_123_ÜRETİM_İHTİYAÇ_RAPORU_BURAK_YENI1309[[#This Row],[ALT_KOD]])+AVERAGEIFS(L:L,D:D,DST_123_ÜRETİM_İHTİYAÇ_RAPORU_BURAK_YENI1309[[#This Row],[ALT_KOD]]))</f>
        <v>-91</v>
      </c>
      <c r="L2032">
        <v>0</v>
      </c>
      <c r="M2032">
        <f>IF((DST_123_ÜRETİM_İHTİYAÇ_RAPORU_BURAK_YENI1309[[#This Row],[SATINALMA]]*DST_123_ÜRETİM_İHTİYAÇ_RAPORU_BURAK_YENI1309[[#This Row],[BIRIM_FIYATLAR]])&lt;1,VALUE("0"),DST_123_ÜRETİM_İHTİYAÇ_RAPORU_BURAK_YENI1309[[#This Row],[SATINALMA]]*DST_123_ÜRETİM_İHTİYAÇ_RAPORU_BURAK_YENI1309[[#This Row],[BIRIM_FIYATLAR]])</f>
        <v>0</v>
      </c>
      <c r="N2032">
        <v>12.5</v>
      </c>
      <c r="O2032" t="s">
        <v>369</v>
      </c>
      <c r="P2032">
        <v>600</v>
      </c>
      <c r="Q2032" t="s">
        <v>180</v>
      </c>
    </row>
    <row r="2033" spans="1:17" x14ac:dyDescent="0.25">
      <c r="A2033" t="s">
        <v>1064</v>
      </c>
      <c r="B2033" t="s">
        <v>1055</v>
      </c>
      <c r="C2033" t="s">
        <v>175</v>
      </c>
      <c r="D2033" t="s">
        <v>367</v>
      </c>
      <c r="E2033" t="s">
        <v>368</v>
      </c>
      <c r="F2033">
        <v>46</v>
      </c>
      <c r="G2033" t="s">
        <v>176</v>
      </c>
      <c r="H2033">
        <v>0</v>
      </c>
      <c r="I2033">
        <v>1000</v>
      </c>
      <c r="J2033" s="10">
        <v>396</v>
      </c>
      <c r="K2033" s="10">
        <f>SUMIFS(F:F,D:D,DST_123_ÜRETİM_İHTİYAÇ_RAPORU_BURAK_YENI1309[[#This Row],[ALT_KOD]])-(SUMIFS(H:H,D:D,DST_123_ÜRETİM_İHTİYAÇ_RAPORU_BURAK_YENI1309[[#This Row],[ALT_KOD]])+AVERAGEIFS(I:I,D:D,DST_123_ÜRETİM_İHTİYAÇ_RAPORU_BURAK_YENI1309[[#This Row],[ALT_KOD]])+AVERAGEIFS(L:L,D:D,DST_123_ÜRETİM_İHTİYAÇ_RAPORU_BURAK_YENI1309[[#This Row],[ALT_KOD]]))</f>
        <v>-91</v>
      </c>
      <c r="L2033">
        <v>0</v>
      </c>
      <c r="M2033">
        <f>IF((DST_123_ÜRETİM_İHTİYAÇ_RAPORU_BURAK_YENI1309[[#This Row],[SATINALMA]]*DST_123_ÜRETİM_İHTİYAÇ_RAPORU_BURAK_YENI1309[[#This Row],[BIRIM_FIYATLAR]])&lt;1,VALUE("0"),DST_123_ÜRETİM_İHTİYAÇ_RAPORU_BURAK_YENI1309[[#This Row],[SATINALMA]]*DST_123_ÜRETİM_İHTİYAÇ_RAPORU_BURAK_YENI1309[[#This Row],[BIRIM_FIYATLAR]])</f>
        <v>0</v>
      </c>
      <c r="N2033">
        <v>12.5</v>
      </c>
      <c r="O2033" t="s">
        <v>369</v>
      </c>
      <c r="P2033">
        <v>575</v>
      </c>
      <c r="Q2033" t="s">
        <v>180</v>
      </c>
    </row>
    <row r="2034" spans="1:17" x14ac:dyDescent="0.25">
      <c r="A2034" t="s">
        <v>1064</v>
      </c>
      <c r="B2034" t="s">
        <v>1055</v>
      </c>
      <c r="C2034" t="s">
        <v>175</v>
      </c>
      <c r="D2034" t="s">
        <v>544</v>
      </c>
      <c r="E2034" t="s">
        <v>545</v>
      </c>
      <c r="F2034">
        <v>4</v>
      </c>
      <c r="G2034" t="s">
        <v>176</v>
      </c>
      <c r="H2034">
        <v>0</v>
      </c>
      <c r="I2034">
        <v>1000</v>
      </c>
      <c r="J2034" s="10">
        <v>0</v>
      </c>
      <c r="K2034" s="10">
        <f>SUMIFS(F:F,D:D,DST_123_ÜRETİM_İHTİYAÇ_RAPORU_BURAK_YENI1309[[#This Row],[ALT_KOD]])-(SUMIFS(H:H,D:D,DST_123_ÜRETİM_İHTİYAÇ_RAPORU_BURAK_YENI1309[[#This Row],[ALT_KOD]])+AVERAGEIFS(I:I,D:D,DST_123_ÜRETİM_İHTİYAÇ_RAPORU_BURAK_YENI1309[[#This Row],[ALT_KOD]])+AVERAGEIFS(L:L,D:D,DST_123_ÜRETİM_İHTİYAÇ_RAPORU_BURAK_YENI1309[[#This Row],[ALT_KOD]]))</f>
        <v>-960</v>
      </c>
      <c r="L2034">
        <v>0</v>
      </c>
      <c r="M2034">
        <f>IF((DST_123_ÜRETİM_İHTİYAÇ_RAPORU_BURAK_YENI1309[[#This Row],[SATINALMA]]*DST_123_ÜRETİM_İHTİYAÇ_RAPORU_BURAK_YENI1309[[#This Row],[BIRIM_FIYATLAR]])&lt;1,VALUE("0"),DST_123_ÜRETİM_İHTİYAÇ_RAPORU_BURAK_YENI1309[[#This Row],[SATINALMA]]*DST_123_ÜRETİM_İHTİYAÇ_RAPORU_BURAK_YENI1309[[#This Row],[BIRIM_FIYATLAR]])</f>
        <v>0</v>
      </c>
      <c r="N2034">
        <v>0.64</v>
      </c>
      <c r="O2034" t="s">
        <v>240</v>
      </c>
      <c r="P2034">
        <v>2.56</v>
      </c>
      <c r="Q2034" t="s">
        <v>180</v>
      </c>
    </row>
    <row r="2035" spans="1:17" x14ac:dyDescent="0.25">
      <c r="A2035" t="s">
        <v>1099</v>
      </c>
      <c r="B2035" t="s">
        <v>1055</v>
      </c>
      <c r="C2035" t="s">
        <v>175</v>
      </c>
      <c r="D2035" t="s">
        <v>544</v>
      </c>
      <c r="E2035" t="s">
        <v>545</v>
      </c>
      <c r="F2035">
        <v>4</v>
      </c>
      <c r="G2035" t="s">
        <v>176</v>
      </c>
      <c r="H2035">
        <v>0</v>
      </c>
      <c r="I2035">
        <v>1000</v>
      </c>
      <c r="J2035" s="10">
        <v>0</v>
      </c>
      <c r="K2035" s="10">
        <f>SUMIFS(F:F,D:D,DST_123_ÜRETİM_İHTİYAÇ_RAPORU_BURAK_YENI1309[[#This Row],[ALT_KOD]])-(SUMIFS(H:H,D:D,DST_123_ÜRETİM_İHTİYAÇ_RAPORU_BURAK_YENI1309[[#This Row],[ALT_KOD]])+AVERAGEIFS(I:I,D:D,DST_123_ÜRETİM_İHTİYAÇ_RAPORU_BURAK_YENI1309[[#This Row],[ALT_KOD]])+AVERAGEIFS(L:L,D:D,DST_123_ÜRETİM_İHTİYAÇ_RAPORU_BURAK_YENI1309[[#This Row],[ALT_KOD]]))</f>
        <v>-960</v>
      </c>
      <c r="L2035">
        <v>0</v>
      </c>
      <c r="M2035">
        <f>IF((DST_123_ÜRETİM_İHTİYAÇ_RAPORU_BURAK_YENI1309[[#This Row],[SATINALMA]]*DST_123_ÜRETİM_İHTİYAÇ_RAPORU_BURAK_YENI1309[[#This Row],[BIRIM_FIYATLAR]])&lt;1,VALUE("0"),DST_123_ÜRETİM_İHTİYAÇ_RAPORU_BURAK_YENI1309[[#This Row],[SATINALMA]]*DST_123_ÜRETİM_İHTİYAÇ_RAPORU_BURAK_YENI1309[[#This Row],[BIRIM_FIYATLAR]])</f>
        <v>0</v>
      </c>
      <c r="N2035">
        <v>0.64</v>
      </c>
      <c r="O2035" t="s">
        <v>240</v>
      </c>
      <c r="P2035">
        <v>2.56</v>
      </c>
      <c r="Q2035" t="s">
        <v>180</v>
      </c>
    </row>
    <row r="2036" spans="1:17" x14ac:dyDescent="0.25">
      <c r="A2036" t="s">
        <v>1099</v>
      </c>
      <c r="B2036" t="s">
        <v>1055</v>
      </c>
      <c r="C2036" t="s">
        <v>175</v>
      </c>
      <c r="D2036" t="s">
        <v>586</v>
      </c>
      <c r="E2036" t="s">
        <v>587</v>
      </c>
      <c r="F2036">
        <v>1</v>
      </c>
      <c r="G2036" t="s">
        <v>176</v>
      </c>
      <c r="H2036">
        <v>0</v>
      </c>
      <c r="I2036">
        <v>0</v>
      </c>
      <c r="J2036" s="10">
        <v>0</v>
      </c>
      <c r="K2036" s="10">
        <f>SUMIFS(F:F,D:D,DST_123_ÜRETİM_İHTİYAÇ_RAPORU_BURAK_YENI1309[[#This Row],[ALT_KOD]])-(SUMIFS(H:H,D:D,DST_123_ÜRETİM_İHTİYAÇ_RAPORU_BURAK_YENI1309[[#This Row],[ALT_KOD]])+AVERAGEIFS(I:I,D:D,DST_123_ÜRETİM_İHTİYAÇ_RAPORU_BURAK_YENI1309[[#This Row],[ALT_KOD]])+AVERAGEIFS(L:L,D:D,DST_123_ÜRETİM_İHTİYAÇ_RAPORU_BURAK_YENI1309[[#This Row],[ALT_KOD]]))</f>
        <v>9</v>
      </c>
      <c r="L2036">
        <v>0</v>
      </c>
      <c r="M2036">
        <f>IF((DST_123_ÜRETİM_İHTİYAÇ_RAPORU_BURAK_YENI1309[[#This Row],[SATINALMA]]*DST_123_ÜRETİM_İHTİYAÇ_RAPORU_BURAK_YENI1309[[#This Row],[BIRIM_FIYATLAR]])&lt;1,VALUE("0"),DST_123_ÜRETİM_İHTİYAÇ_RAPORU_BURAK_YENI1309[[#This Row],[SATINALMA]]*DST_123_ÜRETİM_İHTİYAÇ_RAPORU_BURAK_YENI1309[[#This Row],[BIRIM_FIYATLAR]])</f>
        <v>540</v>
      </c>
      <c r="N2036">
        <v>60</v>
      </c>
      <c r="O2036" t="s">
        <v>428</v>
      </c>
      <c r="P2036">
        <v>60</v>
      </c>
      <c r="Q2036" t="s">
        <v>177</v>
      </c>
    </row>
    <row r="2037" spans="1:17" x14ac:dyDescent="0.25">
      <c r="A2037" t="s">
        <v>1142</v>
      </c>
      <c r="B2037" t="s">
        <v>1056</v>
      </c>
      <c r="C2037" t="s">
        <v>175</v>
      </c>
      <c r="D2037" t="s">
        <v>404</v>
      </c>
      <c r="E2037" t="s">
        <v>405</v>
      </c>
      <c r="F2037">
        <v>5</v>
      </c>
      <c r="G2037" t="s">
        <v>176</v>
      </c>
      <c r="H2037">
        <v>0</v>
      </c>
      <c r="I2037">
        <v>234</v>
      </c>
      <c r="J2037" s="10">
        <v>30</v>
      </c>
      <c r="K2037" s="10">
        <f>SUMIFS(F:F,D:D,DST_123_ÜRETİM_İHTİYAÇ_RAPORU_BURAK_YENI1309[[#This Row],[ALT_KOD]])-(SUMIFS(H:H,D:D,DST_123_ÜRETİM_İHTİYAÇ_RAPORU_BURAK_YENI1309[[#This Row],[ALT_KOD]])+AVERAGEIFS(I:I,D:D,DST_123_ÜRETİM_İHTİYAÇ_RAPORU_BURAK_YENI1309[[#This Row],[ALT_KOD]])+AVERAGEIFS(L:L,D:D,DST_123_ÜRETİM_İHTİYAÇ_RAPORU_BURAK_YENI1309[[#This Row],[ALT_KOD]]))</f>
        <v>-169</v>
      </c>
      <c r="L2037">
        <v>0</v>
      </c>
      <c r="M2037">
        <f>IF((DST_123_ÜRETİM_İHTİYAÇ_RAPORU_BURAK_YENI1309[[#This Row],[SATINALMA]]*DST_123_ÜRETİM_İHTİYAÇ_RAPORU_BURAK_YENI1309[[#This Row],[BIRIM_FIYATLAR]])&lt;1,VALUE("0"),DST_123_ÜRETİM_İHTİYAÇ_RAPORU_BURAK_YENI1309[[#This Row],[SATINALMA]]*DST_123_ÜRETİM_İHTİYAÇ_RAPORU_BURAK_YENI1309[[#This Row],[BIRIM_FIYATLAR]])</f>
        <v>0</v>
      </c>
      <c r="N2037">
        <v>15.21</v>
      </c>
      <c r="O2037" t="s">
        <v>826</v>
      </c>
      <c r="P2037">
        <v>76.050000000000011</v>
      </c>
      <c r="Q2037" t="s">
        <v>221</v>
      </c>
    </row>
    <row r="2038" spans="1:17" x14ac:dyDescent="0.25">
      <c r="A2038" t="s">
        <v>1064</v>
      </c>
      <c r="B2038" t="s">
        <v>1055</v>
      </c>
      <c r="C2038" t="s">
        <v>175</v>
      </c>
      <c r="D2038" t="s">
        <v>514</v>
      </c>
      <c r="E2038" t="s">
        <v>515</v>
      </c>
      <c r="F2038">
        <v>0.8</v>
      </c>
      <c r="G2038" t="s">
        <v>176</v>
      </c>
      <c r="H2038">
        <v>0</v>
      </c>
      <c r="I2038">
        <v>0</v>
      </c>
      <c r="J2038" s="10">
        <v>-1.7763568394002505E-15</v>
      </c>
      <c r="K2038" s="10">
        <f>SUMIFS(F:F,D:D,DST_123_ÜRETİM_İHTİYAÇ_RAPORU_BURAK_YENI1309[[#This Row],[ALT_KOD]])-(SUMIFS(H:H,D:D,DST_123_ÜRETİM_İHTİYAÇ_RAPORU_BURAK_YENI1309[[#This Row],[ALT_KOD]])+AVERAGEIFS(I:I,D:D,DST_123_ÜRETİM_İHTİYAÇ_RAPORU_BURAK_YENI1309[[#This Row],[ALT_KOD]])+AVERAGEIFS(L:L,D:D,DST_123_ÜRETİM_İHTİYAÇ_RAPORU_BURAK_YENI1309[[#This Row],[ALT_KOD]]))</f>
        <v>6.9999999999999991</v>
      </c>
      <c r="L2038">
        <v>0</v>
      </c>
      <c r="M2038">
        <f>IF((DST_123_ÜRETİM_İHTİYAÇ_RAPORU_BURAK_YENI1309[[#This Row],[SATINALMA]]*DST_123_ÜRETİM_İHTİYAÇ_RAPORU_BURAK_YENI1309[[#This Row],[BIRIM_FIYATLAR]])&lt;1,VALUE("0"),DST_123_ÜRETİM_İHTİYAÇ_RAPORU_BURAK_YENI1309[[#This Row],[SATINALMA]]*DST_123_ÜRETİM_İHTİYAÇ_RAPORU_BURAK_YENI1309[[#This Row],[BIRIM_FIYATLAR]])</f>
        <v>489.99999999999994</v>
      </c>
      <c r="N2038">
        <v>70</v>
      </c>
      <c r="O2038" t="s">
        <v>240</v>
      </c>
      <c r="P2038">
        <v>56</v>
      </c>
      <c r="Q2038" t="s">
        <v>180</v>
      </c>
    </row>
    <row r="2039" spans="1:17" x14ac:dyDescent="0.25">
      <c r="A2039" t="s">
        <v>1064</v>
      </c>
      <c r="B2039" t="s">
        <v>1055</v>
      </c>
      <c r="C2039" t="s">
        <v>175</v>
      </c>
      <c r="D2039" t="s">
        <v>207</v>
      </c>
      <c r="E2039" t="s">
        <v>281</v>
      </c>
      <c r="F2039">
        <v>4.04</v>
      </c>
      <c r="G2039" t="s">
        <v>176</v>
      </c>
      <c r="H2039">
        <v>0</v>
      </c>
      <c r="I2039">
        <v>52</v>
      </c>
      <c r="J2039" s="10">
        <v>10.269999999999982</v>
      </c>
      <c r="K2039" s="10">
        <f>SUMIFS(F:F,D:D,DST_123_ÜRETİM_İHTİYAÇ_RAPORU_BURAK_YENI1309[[#This Row],[ALT_KOD]])-(SUMIFS(H:H,D:D,DST_123_ÜRETİM_İHTİYAÇ_RAPORU_BURAK_YENI1309[[#This Row],[ALT_KOD]])+AVERAGEIFS(I:I,D:D,DST_123_ÜRETİM_İHTİYAÇ_RAPORU_BURAK_YENI1309[[#This Row],[ALT_KOD]])+AVERAGEIFS(L:L,D:D,DST_123_ÜRETİM_İHTİYAÇ_RAPORU_BURAK_YENI1309[[#This Row],[ALT_KOD]]))</f>
        <v>-5.0300000000000011</v>
      </c>
      <c r="L2039">
        <v>0</v>
      </c>
      <c r="M2039">
        <f>IF((DST_123_ÜRETİM_İHTİYAÇ_RAPORU_BURAK_YENI1309[[#This Row],[SATINALMA]]*DST_123_ÜRETİM_İHTİYAÇ_RAPORU_BURAK_YENI1309[[#This Row],[BIRIM_FIYATLAR]])&lt;1,VALUE("0"),DST_123_ÜRETİM_İHTİYAÇ_RAPORU_BURAK_YENI1309[[#This Row],[SATINALMA]]*DST_123_ÜRETİM_İHTİYAÇ_RAPORU_BURAK_YENI1309[[#This Row],[BIRIM_FIYATLAR]])</f>
        <v>0</v>
      </c>
      <c r="N2039">
        <v>28</v>
      </c>
      <c r="O2039" t="s">
        <v>240</v>
      </c>
      <c r="P2039">
        <v>113.12</v>
      </c>
      <c r="Q2039" t="s">
        <v>180</v>
      </c>
    </row>
    <row r="2040" spans="1:17" x14ac:dyDescent="0.25">
      <c r="A2040" t="s">
        <v>1196</v>
      </c>
      <c r="B2040" t="s">
        <v>1197</v>
      </c>
      <c r="C2040" t="s">
        <v>175</v>
      </c>
      <c r="D2040" t="s">
        <v>207</v>
      </c>
      <c r="E2040" t="s">
        <v>281</v>
      </c>
      <c r="F2040">
        <v>2.5</v>
      </c>
      <c r="G2040" t="s">
        <v>176</v>
      </c>
      <c r="H2040">
        <v>0</v>
      </c>
      <c r="I2040">
        <v>52</v>
      </c>
      <c r="J2040" s="10">
        <v>10.269999999999982</v>
      </c>
      <c r="K2040" s="10">
        <f>SUMIFS(F:F,D:D,DST_123_ÜRETİM_İHTİYAÇ_RAPORU_BURAK_YENI1309[[#This Row],[ALT_KOD]])-(SUMIFS(H:H,D:D,DST_123_ÜRETİM_İHTİYAÇ_RAPORU_BURAK_YENI1309[[#This Row],[ALT_KOD]])+AVERAGEIFS(I:I,D:D,DST_123_ÜRETİM_İHTİYAÇ_RAPORU_BURAK_YENI1309[[#This Row],[ALT_KOD]])+AVERAGEIFS(L:L,D:D,DST_123_ÜRETİM_İHTİYAÇ_RAPORU_BURAK_YENI1309[[#This Row],[ALT_KOD]]))</f>
        <v>-5.0300000000000011</v>
      </c>
      <c r="L2040">
        <v>0</v>
      </c>
      <c r="M2040">
        <f>IF((DST_123_ÜRETİM_İHTİYAÇ_RAPORU_BURAK_YENI1309[[#This Row],[SATINALMA]]*DST_123_ÜRETİM_İHTİYAÇ_RAPORU_BURAK_YENI1309[[#This Row],[BIRIM_FIYATLAR]])&lt;1,VALUE("0"),DST_123_ÜRETİM_İHTİYAÇ_RAPORU_BURAK_YENI1309[[#This Row],[SATINALMA]]*DST_123_ÜRETİM_İHTİYAÇ_RAPORU_BURAK_YENI1309[[#This Row],[BIRIM_FIYATLAR]])</f>
        <v>0</v>
      </c>
      <c r="N2040">
        <v>28</v>
      </c>
      <c r="O2040" t="s">
        <v>240</v>
      </c>
      <c r="P2040">
        <v>70</v>
      </c>
      <c r="Q2040" t="s">
        <v>180</v>
      </c>
    </row>
    <row r="2041" spans="1:17" x14ac:dyDescent="0.25">
      <c r="A2041" t="s">
        <v>1099</v>
      </c>
      <c r="B2041" t="s">
        <v>1055</v>
      </c>
      <c r="C2041" t="s">
        <v>175</v>
      </c>
      <c r="D2041" t="s">
        <v>207</v>
      </c>
      <c r="E2041" t="s">
        <v>281</v>
      </c>
      <c r="F2041">
        <v>3.65</v>
      </c>
      <c r="G2041" t="s">
        <v>176</v>
      </c>
      <c r="H2041">
        <v>0</v>
      </c>
      <c r="I2041">
        <v>52</v>
      </c>
      <c r="J2041" s="10">
        <v>10.269999999999982</v>
      </c>
      <c r="K2041" s="10">
        <f>SUMIFS(F:F,D:D,DST_123_ÜRETİM_İHTİYAÇ_RAPORU_BURAK_YENI1309[[#This Row],[ALT_KOD]])-(SUMIFS(H:H,D:D,DST_123_ÜRETİM_İHTİYAÇ_RAPORU_BURAK_YENI1309[[#This Row],[ALT_KOD]])+AVERAGEIFS(I:I,D:D,DST_123_ÜRETİM_İHTİYAÇ_RAPORU_BURAK_YENI1309[[#This Row],[ALT_KOD]])+AVERAGEIFS(L:L,D:D,DST_123_ÜRETİM_İHTİYAÇ_RAPORU_BURAK_YENI1309[[#This Row],[ALT_KOD]]))</f>
        <v>-5.0300000000000011</v>
      </c>
      <c r="L2041">
        <v>0</v>
      </c>
      <c r="M2041">
        <f>IF((DST_123_ÜRETİM_İHTİYAÇ_RAPORU_BURAK_YENI1309[[#This Row],[SATINALMA]]*DST_123_ÜRETİM_İHTİYAÇ_RAPORU_BURAK_YENI1309[[#This Row],[BIRIM_FIYATLAR]])&lt;1,VALUE("0"),DST_123_ÜRETİM_İHTİYAÇ_RAPORU_BURAK_YENI1309[[#This Row],[SATINALMA]]*DST_123_ÜRETİM_İHTİYAÇ_RAPORU_BURAK_YENI1309[[#This Row],[BIRIM_FIYATLAR]])</f>
        <v>0</v>
      </c>
      <c r="N2041">
        <v>28</v>
      </c>
      <c r="O2041" t="s">
        <v>240</v>
      </c>
      <c r="P2041">
        <v>102.2</v>
      </c>
      <c r="Q2041" t="s">
        <v>180</v>
      </c>
    </row>
    <row r="2042" spans="1:17" x14ac:dyDescent="0.25">
      <c r="A2042" t="s">
        <v>1099</v>
      </c>
      <c r="B2042" t="s">
        <v>1055</v>
      </c>
      <c r="C2042" t="s">
        <v>175</v>
      </c>
      <c r="D2042" t="s">
        <v>899</v>
      </c>
      <c r="E2042" t="s">
        <v>900</v>
      </c>
      <c r="F2042">
        <v>0.5</v>
      </c>
      <c r="G2042" t="s">
        <v>176</v>
      </c>
      <c r="H2042">
        <v>0</v>
      </c>
      <c r="I2042">
        <v>0</v>
      </c>
      <c r="J2042" s="10">
        <v>3.5527136788005009E-15</v>
      </c>
      <c r="K2042" s="10">
        <f>SUMIFS(F:F,D:D,DST_123_ÜRETİM_İHTİYAÇ_RAPORU_BURAK_YENI1309[[#This Row],[ALT_KOD]])-(SUMIFS(H:H,D:D,DST_123_ÜRETİM_İHTİYAÇ_RAPORU_BURAK_YENI1309[[#This Row],[ALT_KOD]])+AVERAGEIFS(I:I,D:D,DST_123_ÜRETİM_İHTİYAÇ_RAPORU_BURAK_YENI1309[[#This Row],[ALT_KOD]])+AVERAGEIFS(L:L,D:D,DST_123_ÜRETİM_İHTİYAÇ_RAPORU_BURAK_YENI1309[[#This Row],[ALT_KOD]]))</f>
        <v>-6.1</v>
      </c>
      <c r="L2042">
        <v>10</v>
      </c>
      <c r="M2042">
        <f>IF((DST_123_ÜRETİM_İHTİYAÇ_RAPORU_BURAK_YENI1309[[#This Row],[SATINALMA]]*DST_123_ÜRETİM_İHTİYAÇ_RAPORU_BURAK_YENI1309[[#This Row],[BIRIM_FIYATLAR]])&lt;1,VALUE("0"),DST_123_ÜRETİM_İHTİYAÇ_RAPORU_BURAK_YENI1309[[#This Row],[SATINALMA]]*DST_123_ÜRETİM_İHTİYAÇ_RAPORU_BURAK_YENI1309[[#This Row],[BIRIM_FIYATLAR]])</f>
        <v>0</v>
      </c>
      <c r="N2042">
        <v>255.55</v>
      </c>
      <c r="O2042" t="s">
        <v>901</v>
      </c>
      <c r="P2042">
        <v>127.77500000000001</v>
      </c>
      <c r="Q2042" t="s">
        <v>183</v>
      </c>
    </row>
    <row r="2043" spans="1:17" x14ac:dyDescent="0.25">
      <c r="A2043" t="s">
        <v>1059</v>
      </c>
      <c r="B2043" t="s">
        <v>1058</v>
      </c>
      <c r="C2043" t="s">
        <v>175</v>
      </c>
      <c r="D2043" t="s">
        <v>1008</v>
      </c>
      <c r="E2043" t="s">
        <v>1009</v>
      </c>
      <c r="F2043">
        <v>2</v>
      </c>
      <c r="G2043" t="s">
        <v>179</v>
      </c>
      <c r="H2043">
        <v>0</v>
      </c>
      <c r="I2043">
        <v>54</v>
      </c>
      <c r="J2043" s="10">
        <v>10</v>
      </c>
      <c r="K2043" s="10">
        <f>SUMIFS(F:F,D:D,DST_123_ÜRETİM_İHTİYAÇ_RAPORU_BURAK_YENI1309[[#This Row],[ALT_KOD]])-(SUMIFS(H:H,D:D,DST_123_ÜRETİM_İHTİYAÇ_RAPORU_BURAK_YENI1309[[#This Row],[ALT_KOD]])+AVERAGEIFS(I:I,D:D,DST_123_ÜRETİM_İHTİYAÇ_RAPORU_BURAK_YENI1309[[#This Row],[ALT_KOD]])+AVERAGEIFS(L:L,D:D,DST_123_ÜRETİM_İHTİYAÇ_RAPORU_BURAK_YENI1309[[#This Row],[ALT_KOD]]))</f>
        <v>-50</v>
      </c>
      <c r="L2043">
        <v>0</v>
      </c>
      <c r="M2043">
        <f>IF((DST_123_ÜRETİM_İHTİYAÇ_RAPORU_BURAK_YENI1309[[#This Row],[SATINALMA]]*DST_123_ÜRETİM_İHTİYAÇ_RAPORU_BURAK_YENI1309[[#This Row],[BIRIM_FIYATLAR]])&lt;1,VALUE("0"),DST_123_ÜRETİM_İHTİYAÇ_RAPORU_BURAK_YENI1309[[#This Row],[SATINALMA]]*DST_123_ÜRETİM_İHTİYAÇ_RAPORU_BURAK_YENI1309[[#This Row],[BIRIM_FIYATLAR]])</f>
        <v>0</v>
      </c>
      <c r="N2043">
        <v>105.6</v>
      </c>
      <c r="O2043" t="s">
        <v>254</v>
      </c>
      <c r="P2043">
        <v>211.2</v>
      </c>
      <c r="Q2043" t="s">
        <v>180</v>
      </c>
    </row>
    <row r="2044" spans="1:17" x14ac:dyDescent="0.25">
      <c r="A2044" t="s">
        <v>1143</v>
      </c>
      <c r="B2044" t="s">
        <v>1056</v>
      </c>
      <c r="C2044" t="s">
        <v>175</v>
      </c>
      <c r="D2044" t="s">
        <v>404</v>
      </c>
      <c r="E2044" t="s">
        <v>405</v>
      </c>
      <c r="F2044">
        <v>5</v>
      </c>
      <c r="G2044" t="s">
        <v>176</v>
      </c>
      <c r="H2044">
        <v>0</v>
      </c>
      <c r="I2044">
        <v>234</v>
      </c>
      <c r="J2044" s="10">
        <v>30</v>
      </c>
      <c r="K2044" s="10">
        <f>SUMIFS(F:F,D:D,DST_123_ÜRETİM_İHTİYAÇ_RAPORU_BURAK_YENI1309[[#This Row],[ALT_KOD]])-(SUMIFS(H:H,D:D,DST_123_ÜRETİM_İHTİYAÇ_RAPORU_BURAK_YENI1309[[#This Row],[ALT_KOD]])+AVERAGEIFS(I:I,D:D,DST_123_ÜRETİM_İHTİYAÇ_RAPORU_BURAK_YENI1309[[#This Row],[ALT_KOD]])+AVERAGEIFS(L:L,D:D,DST_123_ÜRETİM_İHTİYAÇ_RAPORU_BURAK_YENI1309[[#This Row],[ALT_KOD]]))</f>
        <v>-169</v>
      </c>
      <c r="L2044">
        <v>0</v>
      </c>
      <c r="M2044">
        <f>IF((DST_123_ÜRETİM_İHTİYAÇ_RAPORU_BURAK_YENI1309[[#This Row],[SATINALMA]]*DST_123_ÜRETİM_İHTİYAÇ_RAPORU_BURAK_YENI1309[[#This Row],[BIRIM_FIYATLAR]])&lt;1,VALUE("0"),DST_123_ÜRETİM_İHTİYAÇ_RAPORU_BURAK_YENI1309[[#This Row],[SATINALMA]]*DST_123_ÜRETİM_İHTİYAÇ_RAPORU_BURAK_YENI1309[[#This Row],[BIRIM_FIYATLAR]])</f>
        <v>0</v>
      </c>
      <c r="N2044">
        <v>15.21</v>
      </c>
      <c r="O2044" t="s">
        <v>826</v>
      </c>
      <c r="P2044">
        <v>76.050000000000011</v>
      </c>
      <c r="Q2044" t="s">
        <v>221</v>
      </c>
    </row>
    <row r="2045" spans="1:17" x14ac:dyDescent="0.25">
      <c r="A2045" t="s">
        <v>1059</v>
      </c>
      <c r="B2045" t="s">
        <v>1058</v>
      </c>
      <c r="C2045" t="s">
        <v>175</v>
      </c>
      <c r="D2045" t="s">
        <v>514</v>
      </c>
      <c r="E2045" t="s">
        <v>515</v>
      </c>
      <c r="F2045">
        <v>0.6</v>
      </c>
      <c r="G2045" t="s">
        <v>176</v>
      </c>
      <c r="H2045">
        <v>0</v>
      </c>
      <c r="I2045">
        <v>0</v>
      </c>
      <c r="J2045" s="10">
        <v>-1.7763568394002505E-15</v>
      </c>
      <c r="K2045" s="10">
        <f>SUMIFS(F:F,D:D,DST_123_ÜRETİM_İHTİYAÇ_RAPORU_BURAK_YENI1309[[#This Row],[ALT_KOD]])-(SUMIFS(H:H,D:D,DST_123_ÜRETİM_İHTİYAÇ_RAPORU_BURAK_YENI1309[[#This Row],[ALT_KOD]])+AVERAGEIFS(I:I,D:D,DST_123_ÜRETİM_İHTİYAÇ_RAPORU_BURAK_YENI1309[[#This Row],[ALT_KOD]])+AVERAGEIFS(L:L,D:D,DST_123_ÜRETİM_İHTİYAÇ_RAPORU_BURAK_YENI1309[[#This Row],[ALT_KOD]]))</f>
        <v>6.9999999999999991</v>
      </c>
      <c r="L2045">
        <v>0</v>
      </c>
      <c r="M2045">
        <f>IF((DST_123_ÜRETİM_İHTİYAÇ_RAPORU_BURAK_YENI1309[[#This Row],[SATINALMA]]*DST_123_ÜRETİM_İHTİYAÇ_RAPORU_BURAK_YENI1309[[#This Row],[BIRIM_FIYATLAR]])&lt;1,VALUE("0"),DST_123_ÜRETİM_İHTİYAÇ_RAPORU_BURAK_YENI1309[[#This Row],[SATINALMA]]*DST_123_ÜRETİM_İHTİYAÇ_RAPORU_BURAK_YENI1309[[#This Row],[BIRIM_FIYATLAR]])</f>
        <v>489.99999999999994</v>
      </c>
      <c r="N2045">
        <v>70</v>
      </c>
      <c r="O2045" t="s">
        <v>240</v>
      </c>
      <c r="P2045">
        <v>42</v>
      </c>
      <c r="Q2045" t="s">
        <v>180</v>
      </c>
    </row>
    <row r="2046" spans="1:17" x14ac:dyDescent="0.25">
      <c r="A2046" t="s">
        <v>1143</v>
      </c>
      <c r="B2046" t="s">
        <v>1056</v>
      </c>
      <c r="C2046" t="s">
        <v>175</v>
      </c>
      <c r="D2046" t="s">
        <v>514</v>
      </c>
      <c r="E2046" t="s">
        <v>515</v>
      </c>
      <c r="F2046">
        <v>0.75</v>
      </c>
      <c r="G2046" t="s">
        <v>176</v>
      </c>
      <c r="H2046">
        <v>0</v>
      </c>
      <c r="I2046">
        <v>0</v>
      </c>
      <c r="J2046" s="10">
        <v>-1.7763568394002505E-15</v>
      </c>
      <c r="K2046" s="10">
        <f>SUMIFS(F:F,D:D,DST_123_ÜRETİM_İHTİYAÇ_RAPORU_BURAK_YENI1309[[#This Row],[ALT_KOD]])-(SUMIFS(H:H,D:D,DST_123_ÜRETİM_İHTİYAÇ_RAPORU_BURAK_YENI1309[[#This Row],[ALT_KOD]])+AVERAGEIFS(I:I,D:D,DST_123_ÜRETİM_İHTİYAÇ_RAPORU_BURAK_YENI1309[[#This Row],[ALT_KOD]])+AVERAGEIFS(L:L,D:D,DST_123_ÜRETİM_İHTİYAÇ_RAPORU_BURAK_YENI1309[[#This Row],[ALT_KOD]]))</f>
        <v>6.9999999999999991</v>
      </c>
      <c r="L2046">
        <v>0</v>
      </c>
      <c r="M2046">
        <f>IF((DST_123_ÜRETİM_İHTİYAÇ_RAPORU_BURAK_YENI1309[[#This Row],[SATINALMA]]*DST_123_ÜRETİM_İHTİYAÇ_RAPORU_BURAK_YENI1309[[#This Row],[BIRIM_FIYATLAR]])&lt;1,VALUE("0"),DST_123_ÜRETİM_İHTİYAÇ_RAPORU_BURAK_YENI1309[[#This Row],[SATINALMA]]*DST_123_ÜRETİM_İHTİYAÇ_RAPORU_BURAK_YENI1309[[#This Row],[BIRIM_FIYATLAR]])</f>
        <v>489.99999999999994</v>
      </c>
      <c r="N2046">
        <v>70</v>
      </c>
      <c r="O2046" t="s">
        <v>240</v>
      </c>
      <c r="P2046">
        <v>52.5</v>
      </c>
      <c r="Q2046" t="s">
        <v>180</v>
      </c>
    </row>
    <row r="2047" spans="1:17" x14ac:dyDescent="0.25">
      <c r="A2047" t="s">
        <v>1142</v>
      </c>
      <c r="B2047" t="s">
        <v>1056</v>
      </c>
      <c r="C2047" t="s">
        <v>175</v>
      </c>
      <c r="D2047" t="s">
        <v>207</v>
      </c>
      <c r="E2047" t="s">
        <v>281</v>
      </c>
      <c r="F2047">
        <v>2.5</v>
      </c>
      <c r="G2047" t="s">
        <v>176</v>
      </c>
      <c r="H2047">
        <v>0</v>
      </c>
      <c r="I2047">
        <v>52</v>
      </c>
      <c r="J2047" s="10">
        <v>10.269999999999982</v>
      </c>
      <c r="K2047" s="10">
        <f>SUMIFS(F:F,D:D,DST_123_ÜRETİM_İHTİYAÇ_RAPORU_BURAK_YENI1309[[#This Row],[ALT_KOD]])-(SUMIFS(H:H,D:D,DST_123_ÜRETİM_İHTİYAÇ_RAPORU_BURAK_YENI1309[[#This Row],[ALT_KOD]])+AVERAGEIFS(I:I,D:D,DST_123_ÜRETİM_İHTİYAÇ_RAPORU_BURAK_YENI1309[[#This Row],[ALT_KOD]])+AVERAGEIFS(L:L,D:D,DST_123_ÜRETİM_İHTİYAÇ_RAPORU_BURAK_YENI1309[[#This Row],[ALT_KOD]]))</f>
        <v>-5.0300000000000011</v>
      </c>
      <c r="L2047">
        <v>0</v>
      </c>
      <c r="M2047">
        <f>IF((DST_123_ÜRETİM_İHTİYAÇ_RAPORU_BURAK_YENI1309[[#This Row],[SATINALMA]]*DST_123_ÜRETİM_İHTİYAÇ_RAPORU_BURAK_YENI1309[[#This Row],[BIRIM_FIYATLAR]])&lt;1,VALUE("0"),DST_123_ÜRETİM_İHTİYAÇ_RAPORU_BURAK_YENI1309[[#This Row],[SATINALMA]]*DST_123_ÜRETİM_İHTİYAÇ_RAPORU_BURAK_YENI1309[[#This Row],[BIRIM_FIYATLAR]])</f>
        <v>0</v>
      </c>
      <c r="N2047">
        <v>28</v>
      </c>
      <c r="O2047" t="s">
        <v>240</v>
      </c>
      <c r="P2047">
        <v>70</v>
      </c>
      <c r="Q2047" t="s">
        <v>180</v>
      </c>
    </row>
    <row r="2048" spans="1:17" x14ac:dyDescent="0.25">
      <c r="A2048" t="s">
        <v>1095</v>
      </c>
      <c r="B2048" t="s">
        <v>1096</v>
      </c>
      <c r="C2048" t="s">
        <v>175</v>
      </c>
      <c r="D2048" t="s">
        <v>586</v>
      </c>
      <c r="E2048" t="s">
        <v>587</v>
      </c>
      <c r="F2048">
        <v>1</v>
      </c>
      <c r="G2048" t="s">
        <v>176</v>
      </c>
      <c r="H2048">
        <v>0</v>
      </c>
      <c r="I2048">
        <v>0</v>
      </c>
      <c r="J2048" s="10">
        <v>0</v>
      </c>
      <c r="K2048" s="10">
        <f>SUMIFS(F:F,D:D,DST_123_ÜRETİM_İHTİYAÇ_RAPORU_BURAK_YENI1309[[#This Row],[ALT_KOD]])-(SUMIFS(H:H,D:D,DST_123_ÜRETİM_İHTİYAÇ_RAPORU_BURAK_YENI1309[[#This Row],[ALT_KOD]])+AVERAGEIFS(I:I,D:D,DST_123_ÜRETİM_İHTİYAÇ_RAPORU_BURAK_YENI1309[[#This Row],[ALT_KOD]])+AVERAGEIFS(L:L,D:D,DST_123_ÜRETİM_İHTİYAÇ_RAPORU_BURAK_YENI1309[[#This Row],[ALT_KOD]]))</f>
        <v>9</v>
      </c>
      <c r="L2048">
        <v>0</v>
      </c>
      <c r="M2048">
        <f>IF((DST_123_ÜRETİM_İHTİYAÇ_RAPORU_BURAK_YENI1309[[#This Row],[SATINALMA]]*DST_123_ÜRETİM_İHTİYAÇ_RAPORU_BURAK_YENI1309[[#This Row],[BIRIM_FIYATLAR]])&lt;1,VALUE("0"),DST_123_ÜRETİM_İHTİYAÇ_RAPORU_BURAK_YENI1309[[#This Row],[SATINALMA]]*DST_123_ÜRETİM_İHTİYAÇ_RAPORU_BURAK_YENI1309[[#This Row],[BIRIM_FIYATLAR]])</f>
        <v>540</v>
      </c>
      <c r="N2048">
        <v>60</v>
      </c>
      <c r="O2048" t="s">
        <v>428</v>
      </c>
      <c r="P2048">
        <v>60</v>
      </c>
      <c r="Q2048" t="s">
        <v>177</v>
      </c>
    </row>
    <row r="2049" spans="1:17" x14ac:dyDescent="0.25">
      <c r="A2049" t="s">
        <v>1097</v>
      </c>
      <c r="B2049" t="s">
        <v>1055</v>
      </c>
      <c r="C2049" t="s">
        <v>175</v>
      </c>
      <c r="D2049" t="s">
        <v>586</v>
      </c>
      <c r="E2049" t="s">
        <v>587</v>
      </c>
      <c r="F2049">
        <v>1</v>
      </c>
      <c r="G2049" t="s">
        <v>176</v>
      </c>
      <c r="H2049">
        <v>0</v>
      </c>
      <c r="I2049">
        <v>0</v>
      </c>
      <c r="J2049" s="10">
        <v>0</v>
      </c>
      <c r="K2049" s="10">
        <f>SUMIFS(F:F,D:D,DST_123_ÜRETİM_İHTİYAÇ_RAPORU_BURAK_YENI1309[[#This Row],[ALT_KOD]])-(SUMIFS(H:H,D:D,DST_123_ÜRETİM_İHTİYAÇ_RAPORU_BURAK_YENI1309[[#This Row],[ALT_KOD]])+AVERAGEIFS(I:I,D:D,DST_123_ÜRETİM_İHTİYAÇ_RAPORU_BURAK_YENI1309[[#This Row],[ALT_KOD]])+AVERAGEIFS(L:L,D:D,DST_123_ÜRETİM_İHTİYAÇ_RAPORU_BURAK_YENI1309[[#This Row],[ALT_KOD]]))</f>
        <v>9</v>
      </c>
      <c r="L2049">
        <v>0</v>
      </c>
      <c r="M2049">
        <f>IF((DST_123_ÜRETİM_İHTİYAÇ_RAPORU_BURAK_YENI1309[[#This Row],[SATINALMA]]*DST_123_ÜRETİM_İHTİYAÇ_RAPORU_BURAK_YENI1309[[#This Row],[BIRIM_FIYATLAR]])&lt;1,VALUE("0"),DST_123_ÜRETİM_İHTİYAÇ_RAPORU_BURAK_YENI1309[[#This Row],[SATINALMA]]*DST_123_ÜRETİM_İHTİYAÇ_RAPORU_BURAK_YENI1309[[#This Row],[BIRIM_FIYATLAR]])</f>
        <v>540</v>
      </c>
      <c r="N2049">
        <v>60</v>
      </c>
      <c r="O2049" t="s">
        <v>428</v>
      </c>
      <c r="P2049">
        <v>60</v>
      </c>
      <c r="Q2049" t="s">
        <v>177</v>
      </c>
    </row>
    <row r="2050" spans="1:17" x14ac:dyDescent="0.25">
      <c r="A2050" t="s">
        <v>1142</v>
      </c>
      <c r="B2050" t="s">
        <v>1056</v>
      </c>
      <c r="C2050" t="s">
        <v>175</v>
      </c>
      <c r="D2050" t="s">
        <v>155</v>
      </c>
      <c r="E2050" t="s">
        <v>156</v>
      </c>
      <c r="F2050">
        <v>0.01</v>
      </c>
      <c r="G2050" t="s">
        <v>179</v>
      </c>
      <c r="H2050">
        <v>0</v>
      </c>
      <c r="I2050">
        <v>200</v>
      </c>
      <c r="J2050" s="10">
        <v>74.999999999999957</v>
      </c>
      <c r="K2050" s="10">
        <f>SUMIFS(F:F,D:D,DST_123_ÜRETİM_İHTİYAÇ_RAPORU_BURAK_YENI1309[[#This Row],[ALT_KOD]])-(SUMIFS(H:H,D:D,DST_123_ÜRETİM_İHTİYAÇ_RAPORU_BURAK_YENI1309[[#This Row],[ALT_KOD]])+AVERAGEIFS(I:I,D:D,DST_123_ÜRETİM_İHTİYAÇ_RAPORU_BURAK_YENI1309[[#This Row],[ALT_KOD]])+AVERAGEIFS(L:L,D:D,DST_123_ÜRETİM_İHTİYAÇ_RAPORU_BURAK_YENI1309[[#This Row],[ALT_KOD]]))</f>
        <v>-198.95</v>
      </c>
      <c r="L2050">
        <v>0</v>
      </c>
      <c r="M2050">
        <f>IF((DST_123_ÜRETİM_İHTİYAÇ_RAPORU_BURAK_YENI1309[[#This Row],[SATINALMA]]*DST_123_ÜRETİM_İHTİYAÇ_RAPORU_BURAK_YENI1309[[#This Row],[BIRIM_FIYATLAR]])&lt;1,VALUE("0"),DST_123_ÜRETİM_İHTİYAÇ_RAPORU_BURAK_YENI1309[[#This Row],[SATINALMA]]*DST_123_ÜRETİM_İHTİYAÇ_RAPORU_BURAK_YENI1309[[#This Row],[BIRIM_FIYATLAR]])</f>
        <v>0</v>
      </c>
      <c r="N2050">
        <v>7.4</v>
      </c>
      <c r="O2050" t="s">
        <v>635</v>
      </c>
      <c r="P2050">
        <v>7.400000000000001E-2</v>
      </c>
      <c r="Q2050" t="s">
        <v>221</v>
      </c>
    </row>
    <row r="2051" spans="1:17" x14ac:dyDescent="0.25">
      <c r="A2051" t="s">
        <v>1097</v>
      </c>
      <c r="B2051" t="s">
        <v>1055</v>
      </c>
      <c r="C2051" t="s">
        <v>175</v>
      </c>
      <c r="D2051" t="s">
        <v>404</v>
      </c>
      <c r="E2051" t="s">
        <v>405</v>
      </c>
      <c r="F2051">
        <v>5</v>
      </c>
      <c r="G2051" t="s">
        <v>176</v>
      </c>
      <c r="H2051">
        <v>0</v>
      </c>
      <c r="I2051">
        <v>234</v>
      </c>
      <c r="J2051" s="10">
        <v>30</v>
      </c>
      <c r="K2051" s="10">
        <f>SUMIFS(F:F,D:D,DST_123_ÜRETİM_İHTİYAÇ_RAPORU_BURAK_YENI1309[[#This Row],[ALT_KOD]])-(SUMIFS(H:H,D:D,DST_123_ÜRETİM_İHTİYAÇ_RAPORU_BURAK_YENI1309[[#This Row],[ALT_KOD]])+AVERAGEIFS(I:I,D:D,DST_123_ÜRETİM_İHTİYAÇ_RAPORU_BURAK_YENI1309[[#This Row],[ALT_KOD]])+AVERAGEIFS(L:L,D:D,DST_123_ÜRETİM_İHTİYAÇ_RAPORU_BURAK_YENI1309[[#This Row],[ALT_KOD]]))</f>
        <v>-169</v>
      </c>
      <c r="L2051">
        <v>0</v>
      </c>
      <c r="M2051">
        <f>IF((DST_123_ÜRETİM_İHTİYAÇ_RAPORU_BURAK_YENI1309[[#This Row],[SATINALMA]]*DST_123_ÜRETİM_İHTİYAÇ_RAPORU_BURAK_YENI1309[[#This Row],[BIRIM_FIYATLAR]])&lt;1,VALUE("0"),DST_123_ÜRETİM_İHTİYAÇ_RAPORU_BURAK_YENI1309[[#This Row],[SATINALMA]]*DST_123_ÜRETİM_İHTİYAÇ_RAPORU_BURAK_YENI1309[[#This Row],[BIRIM_FIYATLAR]])</f>
        <v>0</v>
      </c>
      <c r="N2051">
        <v>15.21</v>
      </c>
      <c r="O2051" t="s">
        <v>826</v>
      </c>
      <c r="P2051">
        <v>76.050000000000011</v>
      </c>
      <c r="Q2051" t="s">
        <v>221</v>
      </c>
    </row>
    <row r="2052" spans="1:17" x14ac:dyDescent="0.25">
      <c r="A2052" t="s">
        <v>1095</v>
      </c>
      <c r="B2052" t="s">
        <v>1096</v>
      </c>
      <c r="C2052" t="s">
        <v>175</v>
      </c>
      <c r="D2052" t="s">
        <v>514</v>
      </c>
      <c r="E2052" t="s">
        <v>515</v>
      </c>
      <c r="F2052">
        <v>0.7</v>
      </c>
      <c r="G2052" t="s">
        <v>176</v>
      </c>
      <c r="H2052">
        <v>0</v>
      </c>
      <c r="I2052">
        <v>0</v>
      </c>
      <c r="J2052" s="10">
        <v>-1.7763568394002505E-15</v>
      </c>
      <c r="K2052" s="10">
        <f>SUMIFS(F:F,D:D,DST_123_ÜRETİM_İHTİYAÇ_RAPORU_BURAK_YENI1309[[#This Row],[ALT_KOD]])-(SUMIFS(H:H,D:D,DST_123_ÜRETİM_İHTİYAÇ_RAPORU_BURAK_YENI1309[[#This Row],[ALT_KOD]])+AVERAGEIFS(I:I,D:D,DST_123_ÜRETİM_İHTİYAÇ_RAPORU_BURAK_YENI1309[[#This Row],[ALT_KOD]])+AVERAGEIFS(L:L,D:D,DST_123_ÜRETİM_İHTİYAÇ_RAPORU_BURAK_YENI1309[[#This Row],[ALT_KOD]]))</f>
        <v>6.9999999999999991</v>
      </c>
      <c r="L2052">
        <v>0</v>
      </c>
      <c r="M2052">
        <f>IF((DST_123_ÜRETİM_İHTİYAÇ_RAPORU_BURAK_YENI1309[[#This Row],[SATINALMA]]*DST_123_ÜRETİM_İHTİYAÇ_RAPORU_BURAK_YENI1309[[#This Row],[BIRIM_FIYATLAR]])&lt;1,VALUE("0"),DST_123_ÜRETİM_İHTİYAÇ_RAPORU_BURAK_YENI1309[[#This Row],[SATINALMA]]*DST_123_ÜRETİM_İHTİYAÇ_RAPORU_BURAK_YENI1309[[#This Row],[BIRIM_FIYATLAR]])</f>
        <v>489.99999999999994</v>
      </c>
      <c r="N2052">
        <v>70</v>
      </c>
      <c r="O2052" t="s">
        <v>240</v>
      </c>
      <c r="P2052">
        <v>49</v>
      </c>
      <c r="Q2052" t="s">
        <v>180</v>
      </c>
    </row>
    <row r="2053" spans="1:17" x14ac:dyDescent="0.25">
      <c r="A2053" t="s">
        <v>1097</v>
      </c>
      <c r="B2053" t="s">
        <v>1055</v>
      </c>
      <c r="C2053" t="s">
        <v>175</v>
      </c>
      <c r="D2053" t="s">
        <v>514</v>
      </c>
      <c r="E2053" t="s">
        <v>515</v>
      </c>
      <c r="F2053">
        <v>0.8</v>
      </c>
      <c r="G2053" t="s">
        <v>176</v>
      </c>
      <c r="H2053">
        <v>0</v>
      </c>
      <c r="I2053">
        <v>0</v>
      </c>
      <c r="J2053" s="10">
        <v>-1.7763568394002505E-15</v>
      </c>
      <c r="K2053" s="10">
        <f>SUMIFS(F:F,D:D,DST_123_ÜRETİM_İHTİYAÇ_RAPORU_BURAK_YENI1309[[#This Row],[ALT_KOD]])-(SUMIFS(H:H,D:D,DST_123_ÜRETİM_İHTİYAÇ_RAPORU_BURAK_YENI1309[[#This Row],[ALT_KOD]])+AVERAGEIFS(I:I,D:D,DST_123_ÜRETİM_İHTİYAÇ_RAPORU_BURAK_YENI1309[[#This Row],[ALT_KOD]])+AVERAGEIFS(L:L,D:D,DST_123_ÜRETİM_İHTİYAÇ_RAPORU_BURAK_YENI1309[[#This Row],[ALT_KOD]]))</f>
        <v>6.9999999999999991</v>
      </c>
      <c r="L2053">
        <v>0</v>
      </c>
      <c r="M2053">
        <f>IF((DST_123_ÜRETİM_İHTİYAÇ_RAPORU_BURAK_YENI1309[[#This Row],[SATINALMA]]*DST_123_ÜRETİM_İHTİYAÇ_RAPORU_BURAK_YENI1309[[#This Row],[BIRIM_FIYATLAR]])&lt;1,VALUE("0"),DST_123_ÜRETİM_İHTİYAÇ_RAPORU_BURAK_YENI1309[[#This Row],[SATINALMA]]*DST_123_ÜRETİM_İHTİYAÇ_RAPORU_BURAK_YENI1309[[#This Row],[BIRIM_FIYATLAR]])</f>
        <v>489.99999999999994</v>
      </c>
      <c r="N2053">
        <v>70</v>
      </c>
      <c r="O2053" t="s">
        <v>240</v>
      </c>
      <c r="P2053">
        <v>56</v>
      </c>
      <c r="Q2053" t="s">
        <v>180</v>
      </c>
    </row>
    <row r="2054" spans="1:17" x14ac:dyDescent="0.25">
      <c r="A2054" t="s">
        <v>1097</v>
      </c>
      <c r="B2054" t="s">
        <v>1055</v>
      </c>
      <c r="C2054" t="s">
        <v>175</v>
      </c>
      <c r="D2054" t="s">
        <v>207</v>
      </c>
      <c r="E2054" t="s">
        <v>281</v>
      </c>
      <c r="F2054">
        <v>4.04</v>
      </c>
      <c r="G2054" t="s">
        <v>176</v>
      </c>
      <c r="H2054">
        <v>0</v>
      </c>
      <c r="I2054">
        <v>52</v>
      </c>
      <c r="J2054" s="10">
        <v>10.269999999999982</v>
      </c>
      <c r="K2054" s="10">
        <f>SUMIFS(F:F,D:D,DST_123_ÜRETİM_İHTİYAÇ_RAPORU_BURAK_YENI1309[[#This Row],[ALT_KOD]])-(SUMIFS(H:H,D:D,DST_123_ÜRETİM_İHTİYAÇ_RAPORU_BURAK_YENI1309[[#This Row],[ALT_KOD]])+AVERAGEIFS(I:I,D:D,DST_123_ÜRETİM_İHTİYAÇ_RAPORU_BURAK_YENI1309[[#This Row],[ALT_KOD]])+AVERAGEIFS(L:L,D:D,DST_123_ÜRETİM_İHTİYAÇ_RAPORU_BURAK_YENI1309[[#This Row],[ALT_KOD]]))</f>
        <v>-5.0300000000000011</v>
      </c>
      <c r="L2054">
        <v>0</v>
      </c>
      <c r="M2054">
        <f>IF((DST_123_ÜRETİM_İHTİYAÇ_RAPORU_BURAK_YENI1309[[#This Row],[SATINALMA]]*DST_123_ÜRETİM_İHTİYAÇ_RAPORU_BURAK_YENI1309[[#This Row],[BIRIM_FIYATLAR]])&lt;1,VALUE("0"),DST_123_ÜRETİM_İHTİYAÇ_RAPORU_BURAK_YENI1309[[#This Row],[SATINALMA]]*DST_123_ÜRETİM_İHTİYAÇ_RAPORU_BURAK_YENI1309[[#This Row],[BIRIM_FIYATLAR]])</f>
        <v>0</v>
      </c>
      <c r="N2054">
        <v>28</v>
      </c>
      <c r="O2054" t="s">
        <v>240</v>
      </c>
      <c r="P2054">
        <v>113.12</v>
      </c>
      <c r="Q2054" t="s">
        <v>180</v>
      </c>
    </row>
    <row r="2055" spans="1:17" x14ac:dyDescent="0.25">
      <c r="A2055" t="s">
        <v>1095</v>
      </c>
      <c r="B2055" t="s">
        <v>1096</v>
      </c>
      <c r="C2055" t="s">
        <v>175</v>
      </c>
      <c r="D2055" t="s">
        <v>207</v>
      </c>
      <c r="E2055" t="s">
        <v>281</v>
      </c>
      <c r="F2055">
        <v>3.3900000000000006</v>
      </c>
      <c r="G2055" t="s">
        <v>176</v>
      </c>
      <c r="H2055">
        <v>0</v>
      </c>
      <c r="I2055">
        <v>52</v>
      </c>
      <c r="J2055" s="10">
        <v>10.269999999999982</v>
      </c>
      <c r="K2055" s="10">
        <f>SUMIFS(F:F,D:D,DST_123_ÜRETİM_İHTİYAÇ_RAPORU_BURAK_YENI1309[[#This Row],[ALT_KOD]])-(SUMIFS(H:H,D:D,DST_123_ÜRETİM_İHTİYAÇ_RAPORU_BURAK_YENI1309[[#This Row],[ALT_KOD]])+AVERAGEIFS(I:I,D:D,DST_123_ÜRETİM_İHTİYAÇ_RAPORU_BURAK_YENI1309[[#This Row],[ALT_KOD]])+AVERAGEIFS(L:L,D:D,DST_123_ÜRETİM_İHTİYAÇ_RAPORU_BURAK_YENI1309[[#This Row],[ALT_KOD]]))</f>
        <v>-5.0300000000000011</v>
      </c>
      <c r="L2055">
        <v>0</v>
      </c>
      <c r="M2055">
        <f>IF((DST_123_ÜRETİM_İHTİYAÇ_RAPORU_BURAK_YENI1309[[#This Row],[SATINALMA]]*DST_123_ÜRETİM_İHTİYAÇ_RAPORU_BURAK_YENI1309[[#This Row],[BIRIM_FIYATLAR]])&lt;1,VALUE("0"),DST_123_ÜRETİM_İHTİYAÇ_RAPORU_BURAK_YENI1309[[#This Row],[SATINALMA]]*DST_123_ÜRETİM_İHTİYAÇ_RAPORU_BURAK_YENI1309[[#This Row],[BIRIM_FIYATLAR]])</f>
        <v>0</v>
      </c>
      <c r="N2055">
        <v>28</v>
      </c>
      <c r="O2055" t="s">
        <v>240</v>
      </c>
      <c r="P2055">
        <v>94.920000000000016</v>
      </c>
      <c r="Q2055" t="s">
        <v>180</v>
      </c>
    </row>
    <row r="2056" spans="1:17" x14ac:dyDescent="0.25">
      <c r="A2056" t="s">
        <v>1099</v>
      </c>
      <c r="B2056" t="s">
        <v>1055</v>
      </c>
      <c r="C2056" t="s">
        <v>175</v>
      </c>
      <c r="D2056" t="s">
        <v>404</v>
      </c>
      <c r="E2056" t="s">
        <v>405</v>
      </c>
      <c r="F2056">
        <v>5</v>
      </c>
      <c r="G2056" t="s">
        <v>176</v>
      </c>
      <c r="H2056">
        <v>0</v>
      </c>
      <c r="I2056">
        <v>234</v>
      </c>
      <c r="J2056" s="10">
        <v>30</v>
      </c>
      <c r="K2056" s="10">
        <f>SUMIFS(F:F,D:D,DST_123_ÜRETİM_İHTİYAÇ_RAPORU_BURAK_YENI1309[[#This Row],[ALT_KOD]])-(SUMIFS(H:H,D:D,DST_123_ÜRETİM_İHTİYAÇ_RAPORU_BURAK_YENI1309[[#This Row],[ALT_KOD]])+AVERAGEIFS(I:I,D:D,DST_123_ÜRETİM_İHTİYAÇ_RAPORU_BURAK_YENI1309[[#This Row],[ALT_KOD]])+AVERAGEIFS(L:L,D:D,DST_123_ÜRETİM_İHTİYAÇ_RAPORU_BURAK_YENI1309[[#This Row],[ALT_KOD]]))</f>
        <v>-169</v>
      </c>
      <c r="L2056">
        <v>0</v>
      </c>
      <c r="M2056">
        <f>IF((DST_123_ÜRETİM_İHTİYAÇ_RAPORU_BURAK_YENI1309[[#This Row],[SATINALMA]]*DST_123_ÜRETİM_İHTİYAÇ_RAPORU_BURAK_YENI1309[[#This Row],[BIRIM_FIYATLAR]])&lt;1,VALUE("0"),DST_123_ÜRETİM_İHTİYAÇ_RAPORU_BURAK_YENI1309[[#This Row],[SATINALMA]]*DST_123_ÜRETİM_İHTİYAÇ_RAPORU_BURAK_YENI1309[[#This Row],[BIRIM_FIYATLAR]])</f>
        <v>0</v>
      </c>
      <c r="N2056">
        <v>15.21</v>
      </c>
      <c r="O2056" t="s">
        <v>826</v>
      </c>
      <c r="P2056">
        <v>76.050000000000011</v>
      </c>
      <c r="Q2056" t="s">
        <v>221</v>
      </c>
    </row>
    <row r="2057" spans="1:17" x14ac:dyDescent="0.25">
      <c r="A2057" t="s">
        <v>1196</v>
      </c>
      <c r="B2057" t="s">
        <v>1197</v>
      </c>
      <c r="C2057" t="s">
        <v>175</v>
      </c>
      <c r="D2057" t="s">
        <v>404</v>
      </c>
      <c r="E2057" t="s">
        <v>405</v>
      </c>
      <c r="F2057">
        <v>5</v>
      </c>
      <c r="G2057" t="s">
        <v>176</v>
      </c>
      <c r="H2057">
        <v>0</v>
      </c>
      <c r="I2057">
        <v>234</v>
      </c>
      <c r="J2057" s="10">
        <v>30</v>
      </c>
      <c r="K2057" s="10">
        <f>SUMIFS(F:F,D:D,DST_123_ÜRETİM_İHTİYAÇ_RAPORU_BURAK_YENI1309[[#This Row],[ALT_KOD]])-(SUMIFS(H:H,D:D,DST_123_ÜRETİM_İHTİYAÇ_RAPORU_BURAK_YENI1309[[#This Row],[ALT_KOD]])+AVERAGEIFS(I:I,D:D,DST_123_ÜRETİM_İHTİYAÇ_RAPORU_BURAK_YENI1309[[#This Row],[ALT_KOD]])+AVERAGEIFS(L:L,D:D,DST_123_ÜRETİM_İHTİYAÇ_RAPORU_BURAK_YENI1309[[#This Row],[ALT_KOD]]))</f>
        <v>-169</v>
      </c>
      <c r="L2057">
        <v>0</v>
      </c>
      <c r="M2057">
        <f>IF((DST_123_ÜRETİM_İHTİYAÇ_RAPORU_BURAK_YENI1309[[#This Row],[SATINALMA]]*DST_123_ÜRETİM_İHTİYAÇ_RAPORU_BURAK_YENI1309[[#This Row],[BIRIM_FIYATLAR]])&lt;1,VALUE("0"),DST_123_ÜRETİM_İHTİYAÇ_RAPORU_BURAK_YENI1309[[#This Row],[SATINALMA]]*DST_123_ÜRETİM_İHTİYAÇ_RAPORU_BURAK_YENI1309[[#This Row],[BIRIM_FIYATLAR]])</f>
        <v>0</v>
      </c>
      <c r="N2057">
        <v>15.21</v>
      </c>
      <c r="O2057" t="s">
        <v>826</v>
      </c>
      <c r="P2057">
        <v>76.050000000000011</v>
      </c>
      <c r="Q2057" t="s">
        <v>221</v>
      </c>
    </row>
    <row r="2058" spans="1:17" x14ac:dyDescent="0.25">
      <c r="A2058" t="s">
        <v>1196</v>
      </c>
      <c r="B2058" t="s">
        <v>1197</v>
      </c>
      <c r="C2058" t="s">
        <v>175</v>
      </c>
      <c r="D2058" t="s">
        <v>24</v>
      </c>
      <c r="E2058" t="s">
        <v>25</v>
      </c>
      <c r="F2058">
        <v>2</v>
      </c>
      <c r="G2058" t="s">
        <v>176</v>
      </c>
      <c r="H2058">
        <v>0</v>
      </c>
      <c r="I2058">
        <v>30</v>
      </c>
      <c r="J2058" s="10">
        <v>20</v>
      </c>
      <c r="K2058" s="10">
        <f>SUMIFS(F:F,D:D,DST_123_ÜRETİM_İHTİYAÇ_RAPORU_BURAK_YENI1309[[#This Row],[ALT_KOD]])-(SUMIFS(H:H,D:D,DST_123_ÜRETİM_İHTİYAÇ_RAPORU_BURAK_YENI1309[[#This Row],[ALT_KOD]])+AVERAGEIFS(I:I,D:D,DST_123_ÜRETİM_İHTİYAÇ_RAPORU_BURAK_YENI1309[[#This Row],[ALT_KOD]])+AVERAGEIFS(L:L,D:D,DST_123_ÜRETİM_İHTİYAÇ_RAPORU_BURAK_YENI1309[[#This Row],[ALT_KOD]]))</f>
        <v>-7</v>
      </c>
      <c r="L2058">
        <v>0</v>
      </c>
      <c r="M2058">
        <f>IF((DST_123_ÜRETİM_İHTİYAÇ_RAPORU_BURAK_YENI1309[[#This Row],[SATINALMA]]*DST_123_ÜRETİM_İHTİYAÇ_RAPORU_BURAK_YENI1309[[#This Row],[BIRIM_FIYATLAR]])&lt;1,VALUE("0"),DST_123_ÜRETİM_İHTİYAÇ_RAPORU_BURAK_YENI1309[[#This Row],[SATINALMA]]*DST_123_ÜRETİM_İHTİYAÇ_RAPORU_BURAK_YENI1309[[#This Row],[BIRIM_FIYATLAR]])</f>
        <v>0</v>
      </c>
      <c r="N2058">
        <v>62.5</v>
      </c>
      <c r="O2058" t="s">
        <v>628</v>
      </c>
      <c r="P2058">
        <v>125</v>
      </c>
      <c r="Q2058" t="s">
        <v>180</v>
      </c>
    </row>
    <row r="2059" spans="1:17" x14ac:dyDescent="0.25">
      <c r="A2059" t="s">
        <v>1150</v>
      </c>
      <c r="B2059" t="s">
        <v>1145</v>
      </c>
      <c r="C2059" t="s">
        <v>175</v>
      </c>
      <c r="D2059" t="s">
        <v>101</v>
      </c>
      <c r="E2059" t="s">
        <v>102</v>
      </c>
      <c r="F2059">
        <v>4</v>
      </c>
      <c r="G2059" t="s">
        <v>185</v>
      </c>
      <c r="H2059">
        <v>0</v>
      </c>
      <c r="I2059">
        <v>66</v>
      </c>
      <c r="J2059" s="10">
        <v>36.349999999999987</v>
      </c>
      <c r="K2059" s="10">
        <f>SUMIFS(F:F,D:D,DST_123_ÜRETİM_İHTİYAÇ_RAPORU_BURAK_YENI1309[[#This Row],[ALT_KOD]])-(SUMIFS(H:H,D:D,DST_123_ÜRETİM_İHTİYAÇ_RAPORU_BURAK_YENI1309[[#This Row],[ALT_KOD]])+AVERAGEIFS(I:I,D:D,DST_123_ÜRETİM_İHTİYAÇ_RAPORU_BURAK_YENI1309[[#This Row],[ALT_KOD]])+AVERAGEIFS(L:L,D:D,DST_123_ÜRETİM_İHTİYAÇ_RAPORU_BURAK_YENI1309[[#This Row],[ALT_KOD]]))</f>
        <v>-17.090000000000018</v>
      </c>
      <c r="L2059">
        <v>0</v>
      </c>
      <c r="M2059">
        <f>IF((DST_123_ÜRETİM_İHTİYAÇ_RAPORU_BURAK_YENI1309[[#This Row],[SATINALMA]]*DST_123_ÜRETİM_İHTİYAÇ_RAPORU_BURAK_YENI1309[[#This Row],[BIRIM_FIYATLAR]])&lt;1,VALUE("0"),DST_123_ÜRETİM_İHTİYAÇ_RAPORU_BURAK_YENI1309[[#This Row],[SATINALMA]]*DST_123_ÜRETİM_İHTİYAÇ_RAPORU_BURAK_YENI1309[[#This Row],[BIRIM_FIYATLAR]])</f>
        <v>0</v>
      </c>
      <c r="N2059">
        <v>129.63</v>
      </c>
      <c r="O2059" t="s">
        <v>240</v>
      </c>
      <c r="P2059">
        <v>518.52</v>
      </c>
      <c r="Q2059" t="s">
        <v>183</v>
      </c>
    </row>
    <row r="2060" spans="1:17" x14ac:dyDescent="0.25">
      <c r="A2060" t="s">
        <v>1150</v>
      </c>
      <c r="B2060" t="s">
        <v>1145</v>
      </c>
      <c r="C2060" t="s">
        <v>175</v>
      </c>
      <c r="D2060" t="s">
        <v>538</v>
      </c>
      <c r="E2060" t="s">
        <v>539</v>
      </c>
      <c r="F2060">
        <v>2</v>
      </c>
      <c r="G2060" t="s">
        <v>176</v>
      </c>
      <c r="H2060">
        <v>0</v>
      </c>
      <c r="I2060">
        <v>250</v>
      </c>
      <c r="J2060" s="10">
        <v>3</v>
      </c>
      <c r="K2060" s="10">
        <f>SUMIFS(F:F,D:D,DST_123_ÜRETİM_İHTİYAÇ_RAPORU_BURAK_YENI1309[[#This Row],[ALT_KOD]])-(SUMIFS(H:H,D:D,DST_123_ÜRETİM_İHTİYAÇ_RAPORU_BURAK_YENI1309[[#This Row],[ALT_KOD]])+AVERAGEIFS(I:I,D:D,DST_123_ÜRETİM_İHTİYAÇ_RAPORU_BURAK_YENI1309[[#This Row],[ALT_KOD]])+AVERAGEIFS(L:L,D:D,DST_123_ÜRETİM_İHTİYAÇ_RAPORU_BURAK_YENI1309[[#This Row],[ALT_KOD]]))</f>
        <v>-166</v>
      </c>
      <c r="L2060">
        <v>0</v>
      </c>
      <c r="M2060">
        <f>IF((DST_123_ÜRETİM_İHTİYAÇ_RAPORU_BURAK_YENI1309[[#This Row],[SATINALMA]]*DST_123_ÜRETİM_İHTİYAÇ_RAPORU_BURAK_YENI1309[[#This Row],[BIRIM_FIYATLAR]])&lt;1,VALUE("0"),DST_123_ÜRETİM_İHTİYAÇ_RAPORU_BURAK_YENI1309[[#This Row],[SATINALMA]]*DST_123_ÜRETİM_İHTİYAÇ_RAPORU_BURAK_YENI1309[[#This Row],[BIRIM_FIYATLAR]])</f>
        <v>0</v>
      </c>
      <c r="N2060">
        <v>2</v>
      </c>
      <c r="P2060">
        <v>4</v>
      </c>
      <c r="Q2060" t="s">
        <v>180</v>
      </c>
    </row>
    <row r="2061" spans="1:17" x14ac:dyDescent="0.25">
      <c r="A2061" t="s">
        <v>1150</v>
      </c>
      <c r="B2061" t="s">
        <v>1145</v>
      </c>
      <c r="C2061" t="s">
        <v>175</v>
      </c>
      <c r="D2061" t="s">
        <v>340</v>
      </c>
      <c r="E2061" t="s">
        <v>341</v>
      </c>
      <c r="F2061">
        <v>2</v>
      </c>
      <c r="G2061" t="s">
        <v>176</v>
      </c>
      <c r="H2061">
        <v>0</v>
      </c>
      <c r="I2061">
        <v>75</v>
      </c>
      <c r="J2061" s="10">
        <v>42.70000000000006</v>
      </c>
      <c r="K2061" s="10">
        <f>SUMIFS(F:F,D:D,DST_123_ÜRETİM_İHTİYAÇ_RAPORU_BURAK_YENI1309[[#This Row],[ALT_KOD]])-(SUMIFS(H:H,D:D,DST_123_ÜRETİM_İHTİYAÇ_RAPORU_BURAK_YENI1309[[#This Row],[ALT_KOD]])+AVERAGEIFS(I:I,D:D,DST_123_ÜRETİM_İHTİYAÇ_RAPORU_BURAK_YENI1309[[#This Row],[ALT_KOD]])+AVERAGEIFS(L:L,D:D,DST_123_ÜRETİM_İHTİYAÇ_RAPORU_BURAK_YENI1309[[#This Row],[ALT_KOD]]))</f>
        <v>-48.040000000000006</v>
      </c>
      <c r="L2061">
        <v>0</v>
      </c>
      <c r="M2061">
        <f>IF((DST_123_ÜRETİM_İHTİYAÇ_RAPORU_BURAK_YENI1309[[#This Row],[SATINALMA]]*DST_123_ÜRETİM_İHTİYAÇ_RAPORU_BURAK_YENI1309[[#This Row],[BIRIM_FIYATLAR]])&lt;1,VALUE("0"),DST_123_ÜRETİM_İHTİYAÇ_RAPORU_BURAK_YENI1309[[#This Row],[SATINALMA]]*DST_123_ÜRETİM_İHTİYAÇ_RAPORU_BURAK_YENI1309[[#This Row],[BIRIM_FIYATLAR]])</f>
        <v>0</v>
      </c>
      <c r="N2061">
        <v>15</v>
      </c>
      <c r="O2061" t="s">
        <v>240</v>
      </c>
      <c r="P2061">
        <v>30</v>
      </c>
      <c r="Q2061" t="s">
        <v>180</v>
      </c>
    </row>
    <row r="2062" spans="1:17" x14ac:dyDescent="0.25">
      <c r="A2062" t="s">
        <v>1150</v>
      </c>
      <c r="B2062" t="s">
        <v>1145</v>
      </c>
      <c r="C2062" t="s">
        <v>175</v>
      </c>
      <c r="D2062" t="s">
        <v>798</v>
      </c>
      <c r="E2062" t="s">
        <v>799</v>
      </c>
      <c r="F2062">
        <v>3</v>
      </c>
      <c r="G2062" t="s">
        <v>176</v>
      </c>
      <c r="H2062">
        <v>0</v>
      </c>
      <c r="I2062">
        <v>200</v>
      </c>
      <c r="J2062" s="10">
        <v>0</v>
      </c>
      <c r="K2062" s="10">
        <f>SUMIFS(F:F,D:D,DST_123_ÜRETİM_İHTİYAÇ_RAPORU_BURAK_YENI1309[[#This Row],[ALT_KOD]])-(SUMIFS(H:H,D:D,DST_123_ÜRETİM_İHTİYAÇ_RAPORU_BURAK_YENI1309[[#This Row],[ALT_KOD]])+AVERAGEIFS(I:I,D:D,DST_123_ÜRETİM_İHTİYAÇ_RAPORU_BURAK_YENI1309[[#This Row],[ALT_KOD]])+AVERAGEIFS(L:L,D:D,DST_123_ÜRETİM_İHTİYAÇ_RAPORU_BURAK_YENI1309[[#This Row],[ALT_KOD]]))</f>
        <v>-188</v>
      </c>
      <c r="L2062">
        <v>0</v>
      </c>
      <c r="M2062">
        <f>IF((DST_123_ÜRETİM_İHTİYAÇ_RAPORU_BURAK_YENI1309[[#This Row],[SATINALMA]]*DST_123_ÜRETİM_İHTİYAÇ_RAPORU_BURAK_YENI1309[[#This Row],[BIRIM_FIYATLAR]])&lt;1,VALUE("0"),DST_123_ÜRETİM_İHTİYAÇ_RAPORU_BURAK_YENI1309[[#This Row],[SATINALMA]]*DST_123_ÜRETİM_İHTİYAÇ_RAPORU_BURAK_YENI1309[[#This Row],[BIRIM_FIYATLAR]])</f>
        <v>0</v>
      </c>
      <c r="N2062">
        <v>10</v>
      </c>
      <c r="O2062" t="s">
        <v>226</v>
      </c>
      <c r="P2062">
        <v>30</v>
      </c>
      <c r="Q2062" t="s">
        <v>180</v>
      </c>
    </row>
    <row r="2063" spans="1:17" x14ac:dyDescent="0.25">
      <c r="A2063" t="s">
        <v>1149</v>
      </c>
      <c r="B2063" t="s">
        <v>1145</v>
      </c>
      <c r="C2063" t="s">
        <v>175</v>
      </c>
      <c r="D2063" t="s">
        <v>408</v>
      </c>
      <c r="E2063" t="s">
        <v>409</v>
      </c>
      <c r="F2063">
        <v>14</v>
      </c>
      <c r="G2063" t="s">
        <v>176</v>
      </c>
      <c r="H2063">
        <v>0</v>
      </c>
      <c r="I2063">
        <v>2698</v>
      </c>
      <c r="J2063" s="10">
        <v>0</v>
      </c>
      <c r="K2063" s="10">
        <f>SUMIFS(F:F,D:D,DST_123_ÜRETİM_İHTİYAÇ_RAPORU_BURAK_YENI1309[[#This Row],[ALT_KOD]])-(SUMIFS(H:H,D:D,DST_123_ÜRETİM_İHTİYAÇ_RAPORU_BURAK_YENI1309[[#This Row],[ALT_KOD]])+AVERAGEIFS(I:I,D:D,DST_123_ÜRETİM_İHTİYAÇ_RAPORU_BURAK_YENI1309[[#This Row],[ALT_KOD]])+AVERAGEIFS(L:L,D:D,DST_123_ÜRETİM_İHTİYAÇ_RAPORU_BURAK_YENI1309[[#This Row],[ALT_KOD]]))</f>
        <v>-2312</v>
      </c>
      <c r="L2063">
        <v>0</v>
      </c>
      <c r="M2063">
        <f>IF((DST_123_ÜRETİM_İHTİYAÇ_RAPORU_BURAK_YENI1309[[#This Row],[SATINALMA]]*DST_123_ÜRETİM_İHTİYAÇ_RAPORU_BURAK_YENI1309[[#This Row],[BIRIM_FIYATLAR]])&lt;1,VALUE("0"),DST_123_ÜRETİM_İHTİYAÇ_RAPORU_BURAK_YENI1309[[#This Row],[SATINALMA]]*DST_123_ÜRETİM_İHTİYAÇ_RAPORU_BURAK_YENI1309[[#This Row],[BIRIM_FIYATLAR]])</f>
        <v>0</v>
      </c>
      <c r="N2063">
        <v>1.55</v>
      </c>
      <c r="O2063" t="s">
        <v>220</v>
      </c>
      <c r="P2063">
        <v>21.7</v>
      </c>
      <c r="Q2063" t="s">
        <v>221</v>
      </c>
    </row>
    <row r="2064" spans="1:17" x14ac:dyDescent="0.25">
      <c r="A2064" t="s">
        <v>1147</v>
      </c>
      <c r="B2064" t="s">
        <v>1145</v>
      </c>
      <c r="C2064" t="s">
        <v>175</v>
      </c>
      <c r="D2064" t="s">
        <v>96</v>
      </c>
      <c r="E2064" t="s">
        <v>97</v>
      </c>
      <c r="F2064">
        <v>1</v>
      </c>
      <c r="G2064" t="s">
        <v>176</v>
      </c>
      <c r="H2064">
        <v>0</v>
      </c>
      <c r="I2064">
        <v>0</v>
      </c>
      <c r="J2064" s="10">
        <v>5</v>
      </c>
      <c r="K2064" s="10">
        <f>SUMIFS(F:F,D:D,DST_123_ÜRETİM_İHTİYAÇ_RAPORU_BURAK_YENI1309[[#This Row],[ALT_KOD]])-(SUMIFS(H:H,D:D,DST_123_ÜRETİM_İHTİYAÇ_RAPORU_BURAK_YENI1309[[#This Row],[ALT_KOD]])+AVERAGEIFS(I:I,D:D,DST_123_ÜRETİM_İHTİYAÇ_RAPORU_BURAK_YENI1309[[#This Row],[ALT_KOD]])+AVERAGEIFS(L:L,D:D,DST_123_ÜRETİM_İHTİYAÇ_RAPORU_BURAK_YENI1309[[#This Row],[ALT_KOD]]))</f>
        <v>0</v>
      </c>
      <c r="L2064">
        <v>7</v>
      </c>
      <c r="M2064">
        <f>IF((DST_123_ÜRETİM_İHTİYAÇ_RAPORU_BURAK_YENI1309[[#This Row],[SATINALMA]]*DST_123_ÜRETİM_İHTİYAÇ_RAPORU_BURAK_YENI1309[[#This Row],[BIRIM_FIYATLAR]])&lt;1,VALUE("0"),DST_123_ÜRETİM_İHTİYAÇ_RAPORU_BURAK_YENI1309[[#This Row],[SATINALMA]]*DST_123_ÜRETİM_İHTİYAÇ_RAPORU_BURAK_YENI1309[[#This Row],[BIRIM_FIYATLAR]])</f>
        <v>0</v>
      </c>
      <c r="N2064">
        <v>1491.67</v>
      </c>
      <c r="O2064" t="s">
        <v>632</v>
      </c>
      <c r="P2064">
        <v>1491.67</v>
      </c>
      <c r="Q2064" t="s">
        <v>177</v>
      </c>
    </row>
    <row r="2065" spans="1:17" x14ac:dyDescent="0.25">
      <c r="A2065" t="s">
        <v>1149</v>
      </c>
      <c r="B2065" t="s">
        <v>1145</v>
      </c>
      <c r="C2065" t="s">
        <v>175</v>
      </c>
      <c r="D2065" t="s">
        <v>101</v>
      </c>
      <c r="E2065" t="s">
        <v>102</v>
      </c>
      <c r="F2065">
        <v>4</v>
      </c>
      <c r="G2065" t="s">
        <v>185</v>
      </c>
      <c r="H2065">
        <v>0</v>
      </c>
      <c r="I2065">
        <v>66</v>
      </c>
      <c r="J2065" s="10">
        <v>36.349999999999987</v>
      </c>
      <c r="K2065" s="10">
        <f>SUMIFS(F:F,D:D,DST_123_ÜRETİM_İHTİYAÇ_RAPORU_BURAK_YENI1309[[#This Row],[ALT_KOD]])-(SUMIFS(H:H,D:D,DST_123_ÜRETİM_İHTİYAÇ_RAPORU_BURAK_YENI1309[[#This Row],[ALT_KOD]])+AVERAGEIFS(I:I,D:D,DST_123_ÜRETİM_İHTİYAÇ_RAPORU_BURAK_YENI1309[[#This Row],[ALT_KOD]])+AVERAGEIFS(L:L,D:D,DST_123_ÜRETİM_İHTİYAÇ_RAPORU_BURAK_YENI1309[[#This Row],[ALT_KOD]]))</f>
        <v>-17.090000000000018</v>
      </c>
      <c r="L2065">
        <v>0</v>
      </c>
      <c r="M2065">
        <f>IF((DST_123_ÜRETİM_İHTİYAÇ_RAPORU_BURAK_YENI1309[[#This Row],[SATINALMA]]*DST_123_ÜRETİM_İHTİYAÇ_RAPORU_BURAK_YENI1309[[#This Row],[BIRIM_FIYATLAR]])&lt;1,VALUE("0"),DST_123_ÜRETİM_İHTİYAÇ_RAPORU_BURAK_YENI1309[[#This Row],[SATINALMA]]*DST_123_ÜRETİM_İHTİYAÇ_RAPORU_BURAK_YENI1309[[#This Row],[BIRIM_FIYATLAR]])</f>
        <v>0</v>
      </c>
      <c r="N2065">
        <v>129.63</v>
      </c>
      <c r="O2065" t="s">
        <v>240</v>
      </c>
      <c r="P2065">
        <v>518.52</v>
      </c>
      <c r="Q2065" t="s">
        <v>183</v>
      </c>
    </row>
    <row r="2066" spans="1:17" x14ac:dyDescent="0.25">
      <c r="A2066" t="s">
        <v>1146</v>
      </c>
      <c r="B2066" t="s">
        <v>1145</v>
      </c>
      <c r="C2066" t="s">
        <v>175</v>
      </c>
      <c r="D2066" t="s">
        <v>101</v>
      </c>
      <c r="E2066" t="s">
        <v>102</v>
      </c>
      <c r="F2066">
        <v>4</v>
      </c>
      <c r="G2066" t="s">
        <v>185</v>
      </c>
      <c r="H2066">
        <v>0</v>
      </c>
      <c r="I2066">
        <v>66</v>
      </c>
      <c r="J2066" s="10">
        <v>36.349999999999987</v>
      </c>
      <c r="K2066" s="10">
        <f>SUMIFS(F:F,D:D,DST_123_ÜRETİM_İHTİYAÇ_RAPORU_BURAK_YENI1309[[#This Row],[ALT_KOD]])-(SUMIFS(H:H,D:D,DST_123_ÜRETİM_İHTİYAÇ_RAPORU_BURAK_YENI1309[[#This Row],[ALT_KOD]])+AVERAGEIFS(I:I,D:D,DST_123_ÜRETİM_İHTİYAÇ_RAPORU_BURAK_YENI1309[[#This Row],[ALT_KOD]])+AVERAGEIFS(L:L,D:D,DST_123_ÜRETİM_İHTİYAÇ_RAPORU_BURAK_YENI1309[[#This Row],[ALT_KOD]]))</f>
        <v>-17.090000000000018</v>
      </c>
      <c r="L2066">
        <v>0</v>
      </c>
      <c r="M2066">
        <f>IF((DST_123_ÜRETİM_İHTİYAÇ_RAPORU_BURAK_YENI1309[[#This Row],[SATINALMA]]*DST_123_ÜRETİM_İHTİYAÇ_RAPORU_BURAK_YENI1309[[#This Row],[BIRIM_FIYATLAR]])&lt;1,VALUE("0"),DST_123_ÜRETİM_İHTİYAÇ_RAPORU_BURAK_YENI1309[[#This Row],[SATINALMA]]*DST_123_ÜRETİM_İHTİYAÇ_RAPORU_BURAK_YENI1309[[#This Row],[BIRIM_FIYATLAR]])</f>
        <v>0</v>
      </c>
      <c r="N2066">
        <v>129.63</v>
      </c>
      <c r="O2066" t="s">
        <v>240</v>
      </c>
      <c r="P2066">
        <v>518.52</v>
      </c>
      <c r="Q2066" t="s">
        <v>183</v>
      </c>
    </row>
    <row r="2067" spans="1:17" x14ac:dyDescent="0.25">
      <c r="A2067" t="s">
        <v>1149</v>
      </c>
      <c r="B2067" t="s">
        <v>1145</v>
      </c>
      <c r="C2067" t="s">
        <v>175</v>
      </c>
      <c r="D2067" t="s">
        <v>538</v>
      </c>
      <c r="E2067" t="s">
        <v>539</v>
      </c>
      <c r="F2067">
        <v>2</v>
      </c>
      <c r="G2067" t="s">
        <v>176</v>
      </c>
      <c r="H2067">
        <v>0</v>
      </c>
      <c r="I2067">
        <v>250</v>
      </c>
      <c r="J2067" s="10">
        <v>3</v>
      </c>
      <c r="K2067" s="10">
        <f>SUMIFS(F:F,D:D,DST_123_ÜRETİM_İHTİYAÇ_RAPORU_BURAK_YENI1309[[#This Row],[ALT_KOD]])-(SUMIFS(H:H,D:D,DST_123_ÜRETİM_İHTİYAÇ_RAPORU_BURAK_YENI1309[[#This Row],[ALT_KOD]])+AVERAGEIFS(I:I,D:D,DST_123_ÜRETİM_İHTİYAÇ_RAPORU_BURAK_YENI1309[[#This Row],[ALT_KOD]])+AVERAGEIFS(L:L,D:D,DST_123_ÜRETİM_İHTİYAÇ_RAPORU_BURAK_YENI1309[[#This Row],[ALT_KOD]]))</f>
        <v>-166</v>
      </c>
      <c r="L2067">
        <v>0</v>
      </c>
      <c r="M2067">
        <f>IF((DST_123_ÜRETİM_İHTİYAÇ_RAPORU_BURAK_YENI1309[[#This Row],[SATINALMA]]*DST_123_ÜRETİM_İHTİYAÇ_RAPORU_BURAK_YENI1309[[#This Row],[BIRIM_FIYATLAR]])&lt;1,VALUE("0"),DST_123_ÜRETİM_İHTİYAÇ_RAPORU_BURAK_YENI1309[[#This Row],[SATINALMA]]*DST_123_ÜRETİM_İHTİYAÇ_RAPORU_BURAK_YENI1309[[#This Row],[BIRIM_FIYATLAR]])</f>
        <v>0</v>
      </c>
      <c r="N2067">
        <v>2</v>
      </c>
      <c r="P2067">
        <v>4</v>
      </c>
      <c r="Q2067" t="s">
        <v>180</v>
      </c>
    </row>
    <row r="2068" spans="1:17" x14ac:dyDescent="0.25">
      <c r="A2068" t="s">
        <v>1146</v>
      </c>
      <c r="B2068" t="s">
        <v>1145</v>
      </c>
      <c r="C2068" t="s">
        <v>175</v>
      </c>
      <c r="D2068" t="s">
        <v>538</v>
      </c>
      <c r="E2068" t="s">
        <v>539</v>
      </c>
      <c r="F2068">
        <v>2</v>
      </c>
      <c r="G2068" t="s">
        <v>176</v>
      </c>
      <c r="H2068">
        <v>0</v>
      </c>
      <c r="I2068">
        <v>250</v>
      </c>
      <c r="J2068" s="10">
        <v>3</v>
      </c>
      <c r="K2068" s="10">
        <f>SUMIFS(F:F,D:D,DST_123_ÜRETİM_İHTİYAÇ_RAPORU_BURAK_YENI1309[[#This Row],[ALT_KOD]])-(SUMIFS(H:H,D:D,DST_123_ÜRETİM_İHTİYAÇ_RAPORU_BURAK_YENI1309[[#This Row],[ALT_KOD]])+AVERAGEIFS(I:I,D:D,DST_123_ÜRETİM_İHTİYAÇ_RAPORU_BURAK_YENI1309[[#This Row],[ALT_KOD]])+AVERAGEIFS(L:L,D:D,DST_123_ÜRETİM_İHTİYAÇ_RAPORU_BURAK_YENI1309[[#This Row],[ALT_KOD]]))</f>
        <v>-166</v>
      </c>
      <c r="L2068">
        <v>0</v>
      </c>
      <c r="M2068">
        <f>IF((DST_123_ÜRETİM_İHTİYAÇ_RAPORU_BURAK_YENI1309[[#This Row],[SATINALMA]]*DST_123_ÜRETİM_İHTİYAÇ_RAPORU_BURAK_YENI1309[[#This Row],[BIRIM_FIYATLAR]])&lt;1,VALUE("0"),DST_123_ÜRETİM_İHTİYAÇ_RAPORU_BURAK_YENI1309[[#This Row],[SATINALMA]]*DST_123_ÜRETİM_İHTİYAÇ_RAPORU_BURAK_YENI1309[[#This Row],[BIRIM_FIYATLAR]])</f>
        <v>0</v>
      </c>
      <c r="N2068">
        <v>2</v>
      </c>
      <c r="P2068">
        <v>4</v>
      </c>
      <c r="Q2068" t="s">
        <v>180</v>
      </c>
    </row>
    <row r="2069" spans="1:17" x14ac:dyDescent="0.25">
      <c r="A2069" t="s">
        <v>1149</v>
      </c>
      <c r="B2069" t="s">
        <v>1145</v>
      </c>
      <c r="C2069" t="s">
        <v>175</v>
      </c>
      <c r="D2069" t="s">
        <v>852</v>
      </c>
      <c r="E2069" t="s">
        <v>853</v>
      </c>
      <c r="F2069">
        <v>4</v>
      </c>
      <c r="G2069" t="s">
        <v>176</v>
      </c>
      <c r="H2069">
        <v>0</v>
      </c>
      <c r="I2069">
        <v>250</v>
      </c>
      <c r="J2069" s="10">
        <v>835</v>
      </c>
      <c r="K2069" s="10">
        <f>SUMIFS(F:F,D:D,DST_123_ÜRETİM_İHTİYAÇ_RAPORU_BURAK_YENI1309[[#This Row],[ALT_KOD]])-(SUMIFS(H:H,D:D,DST_123_ÜRETİM_İHTİYAÇ_RAPORU_BURAK_YENI1309[[#This Row],[ALT_KOD]])+AVERAGEIFS(I:I,D:D,DST_123_ÜRETİM_İHTİYAÇ_RAPORU_BURAK_YENI1309[[#This Row],[ALT_KOD]])+AVERAGEIFS(L:L,D:D,DST_123_ÜRETİM_İHTİYAÇ_RAPORU_BURAK_YENI1309[[#This Row],[ALT_KOD]]))</f>
        <v>-134</v>
      </c>
      <c r="L2069">
        <v>0</v>
      </c>
      <c r="M2069">
        <f>IF((DST_123_ÜRETİM_İHTİYAÇ_RAPORU_BURAK_YENI1309[[#This Row],[SATINALMA]]*DST_123_ÜRETİM_İHTİYAÇ_RAPORU_BURAK_YENI1309[[#This Row],[BIRIM_FIYATLAR]])&lt;1,VALUE("0"),DST_123_ÜRETİM_İHTİYAÇ_RAPORU_BURAK_YENI1309[[#This Row],[SATINALMA]]*DST_123_ÜRETİM_İHTİYAÇ_RAPORU_BURAK_YENI1309[[#This Row],[BIRIM_FIYATLAR]])</f>
        <v>0</v>
      </c>
      <c r="N2069">
        <v>1.58</v>
      </c>
      <c r="O2069" t="s">
        <v>882</v>
      </c>
      <c r="P2069">
        <v>6.32</v>
      </c>
      <c r="Q2069" t="s">
        <v>180</v>
      </c>
    </row>
    <row r="2070" spans="1:17" x14ac:dyDescent="0.25">
      <c r="A2070" t="s">
        <v>1149</v>
      </c>
      <c r="B2070" t="s">
        <v>1145</v>
      </c>
      <c r="C2070" t="s">
        <v>175</v>
      </c>
      <c r="D2070" t="s">
        <v>340</v>
      </c>
      <c r="E2070" t="s">
        <v>341</v>
      </c>
      <c r="F2070">
        <v>2</v>
      </c>
      <c r="G2070" t="s">
        <v>176</v>
      </c>
      <c r="H2070">
        <v>0</v>
      </c>
      <c r="I2070">
        <v>75</v>
      </c>
      <c r="J2070" s="10">
        <v>42.70000000000006</v>
      </c>
      <c r="K2070" s="10">
        <f>SUMIFS(F:F,D:D,DST_123_ÜRETİM_İHTİYAÇ_RAPORU_BURAK_YENI1309[[#This Row],[ALT_KOD]])-(SUMIFS(H:H,D:D,DST_123_ÜRETİM_İHTİYAÇ_RAPORU_BURAK_YENI1309[[#This Row],[ALT_KOD]])+AVERAGEIFS(I:I,D:D,DST_123_ÜRETİM_İHTİYAÇ_RAPORU_BURAK_YENI1309[[#This Row],[ALT_KOD]])+AVERAGEIFS(L:L,D:D,DST_123_ÜRETİM_İHTİYAÇ_RAPORU_BURAK_YENI1309[[#This Row],[ALT_KOD]]))</f>
        <v>-48.040000000000006</v>
      </c>
      <c r="L2070">
        <v>0</v>
      </c>
      <c r="M2070">
        <f>IF((DST_123_ÜRETİM_İHTİYAÇ_RAPORU_BURAK_YENI1309[[#This Row],[SATINALMA]]*DST_123_ÜRETİM_İHTİYAÇ_RAPORU_BURAK_YENI1309[[#This Row],[BIRIM_FIYATLAR]])&lt;1,VALUE("0"),DST_123_ÜRETİM_İHTİYAÇ_RAPORU_BURAK_YENI1309[[#This Row],[SATINALMA]]*DST_123_ÜRETİM_İHTİYAÇ_RAPORU_BURAK_YENI1309[[#This Row],[BIRIM_FIYATLAR]])</f>
        <v>0</v>
      </c>
      <c r="N2070">
        <v>15</v>
      </c>
      <c r="O2070" t="s">
        <v>240</v>
      </c>
      <c r="P2070">
        <v>30</v>
      </c>
      <c r="Q2070" t="s">
        <v>180</v>
      </c>
    </row>
    <row r="2071" spans="1:17" x14ac:dyDescent="0.25">
      <c r="A2071" t="s">
        <v>1146</v>
      </c>
      <c r="B2071" t="s">
        <v>1145</v>
      </c>
      <c r="C2071" t="s">
        <v>175</v>
      </c>
      <c r="D2071" t="s">
        <v>340</v>
      </c>
      <c r="E2071" t="s">
        <v>341</v>
      </c>
      <c r="F2071">
        <v>2</v>
      </c>
      <c r="G2071" t="s">
        <v>176</v>
      </c>
      <c r="H2071">
        <v>0</v>
      </c>
      <c r="I2071">
        <v>75</v>
      </c>
      <c r="J2071" s="10">
        <v>42.70000000000006</v>
      </c>
      <c r="K2071" s="10">
        <f>SUMIFS(F:F,D:D,DST_123_ÜRETİM_İHTİYAÇ_RAPORU_BURAK_YENI1309[[#This Row],[ALT_KOD]])-(SUMIFS(H:H,D:D,DST_123_ÜRETİM_İHTİYAÇ_RAPORU_BURAK_YENI1309[[#This Row],[ALT_KOD]])+AVERAGEIFS(I:I,D:D,DST_123_ÜRETİM_İHTİYAÇ_RAPORU_BURAK_YENI1309[[#This Row],[ALT_KOD]])+AVERAGEIFS(L:L,D:D,DST_123_ÜRETİM_İHTİYAÇ_RAPORU_BURAK_YENI1309[[#This Row],[ALT_KOD]]))</f>
        <v>-48.040000000000006</v>
      </c>
      <c r="L2071">
        <v>0</v>
      </c>
      <c r="M2071">
        <f>IF((DST_123_ÜRETİM_İHTİYAÇ_RAPORU_BURAK_YENI1309[[#This Row],[SATINALMA]]*DST_123_ÜRETİM_İHTİYAÇ_RAPORU_BURAK_YENI1309[[#This Row],[BIRIM_FIYATLAR]])&lt;1,VALUE("0"),DST_123_ÜRETİM_İHTİYAÇ_RAPORU_BURAK_YENI1309[[#This Row],[SATINALMA]]*DST_123_ÜRETİM_İHTİYAÇ_RAPORU_BURAK_YENI1309[[#This Row],[BIRIM_FIYATLAR]])</f>
        <v>0</v>
      </c>
      <c r="N2071">
        <v>15</v>
      </c>
      <c r="O2071" t="s">
        <v>240</v>
      </c>
      <c r="P2071">
        <v>30</v>
      </c>
      <c r="Q2071" t="s">
        <v>180</v>
      </c>
    </row>
    <row r="2072" spans="1:17" x14ac:dyDescent="0.25">
      <c r="A2072" t="s">
        <v>1150</v>
      </c>
      <c r="B2072" t="s">
        <v>1145</v>
      </c>
      <c r="C2072" t="s">
        <v>175</v>
      </c>
      <c r="D2072" t="s">
        <v>204</v>
      </c>
      <c r="E2072" t="s">
        <v>205</v>
      </c>
      <c r="F2072">
        <v>0.5</v>
      </c>
      <c r="G2072" t="s">
        <v>176</v>
      </c>
      <c r="H2072">
        <v>0</v>
      </c>
      <c r="I2072">
        <v>100</v>
      </c>
      <c r="J2072" s="10">
        <v>41</v>
      </c>
      <c r="K2072" s="10">
        <f>SUMIFS(F:F,D:D,DST_123_ÜRETİM_İHTİYAÇ_RAPORU_BURAK_YENI1309[[#This Row],[ALT_KOD]])-(SUMIFS(H:H,D:D,DST_123_ÜRETİM_İHTİYAÇ_RAPORU_BURAK_YENI1309[[#This Row],[ALT_KOD]])+AVERAGEIFS(I:I,D:D,DST_123_ÜRETİM_İHTİYAÇ_RAPORU_BURAK_YENI1309[[#This Row],[ALT_KOD]])+AVERAGEIFS(L:L,D:D,DST_123_ÜRETİM_İHTİYAÇ_RAPORU_BURAK_YENI1309[[#This Row],[ALT_KOD]]))</f>
        <v>-89.5</v>
      </c>
      <c r="L2072">
        <v>0</v>
      </c>
      <c r="M2072">
        <f>IF((DST_123_ÜRETİM_İHTİYAÇ_RAPORU_BURAK_YENI1309[[#This Row],[SATINALMA]]*DST_123_ÜRETİM_İHTİYAÇ_RAPORU_BURAK_YENI1309[[#This Row],[BIRIM_FIYATLAR]])&lt;1,VALUE("0"),DST_123_ÜRETİM_İHTİYAÇ_RAPORU_BURAK_YENI1309[[#This Row],[SATINALMA]]*DST_123_ÜRETİM_İHTİYAÇ_RAPORU_BURAK_YENI1309[[#This Row],[BIRIM_FIYATLAR]])</f>
        <v>0</v>
      </c>
      <c r="N2072">
        <v>60</v>
      </c>
      <c r="O2072" t="s">
        <v>220</v>
      </c>
      <c r="P2072">
        <v>30</v>
      </c>
      <c r="Q2072" t="s">
        <v>180</v>
      </c>
    </row>
    <row r="2073" spans="1:17" x14ac:dyDescent="0.25">
      <c r="A2073" t="s">
        <v>1150</v>
      </c>
      <c r="B2073" t="s">
        <v>1145</v>
      </c>
      <c r="C2073" t="s">
        <v>175</v>
      </c>
      <c r="D2073" t="s">
        <v>206</v>
      </c>
      <c r="E2073" t="s">
        <v>280</v>
      </c>
      <c r="F2073">
        <v>1.5099999999999998</v>
      </c>
      <c r="G2073" t="s">
        <v>176</v>
      </c>
      <c r="H2073">
        <v>0</v>
      </c>
      <c r="I2073">
        <v>10</v>
      </c>
      <c r="J2073" s="10">
        <v>126.66400000000034</v>
      </c>
      <c r="K2073" s="10">
        <f>SUMIFS(F:F,D:D,DST_123_ÜRETİM_İHTİYAÇ_RAPORU_BURAK_YENI1309[[#This Row],[ALT_KOD]])-(SUMIFS(H:H,D:D,DST_123_ÜRETİM_İHTİYAÇ_RAPORU_BURAK_YENI1309[[#This Row],[ALT_KOD]])+AVERAGEIFS(I:I,D:D,DST_123_ÜRETİM_İHTİYAÇ_RAPORU_BURAK_YENI1309[[#This Row],[ALT_KOD]])+AVERAGEIFS(L:L,D:D,DST_123_ÜRETİM_İHTİYAÇ_RAPORU_BURAK_YENI1309[[#This Row],[ALT_KOD]]))</f>
        <v>-1.1600000000000001</v>
      </c>
      <c r="L2073">
        <v>0</v>
      </c>
      <c r="M2073">
        <f>IF((DST_123_ÜRETİM_İHTİYAÇ_RAPORU_BURAK_YENI1309[[#This Row],[SATINALMA]]*DST_123_ÜRETİM_İHTİYAÇ_RAPORU_BURAK_YENI1309[[#This Row],[BIRIM_FIYATLAR]])&lt;1,VALUE("0"),DST_123_ÜRETİM_İHTİYAÇ_RAPORU_BURAK_YENI1309[[#This Row],[SATINALMA]]*DST_123_ÜRETİM_İHTİYAÇ_RAPORU_BURAK_YENI1309[[#This Row],[BIRIM_FIYATLAR]])</f>
        <v>0</v>
      </c>
      <c r="N2073">
        <v>185</v>
      </c>
      <c r="O2073" t="s">
        <v>240</v>
      </c>
      <c r="P2073">
        <v>279.34999999999997</v>
      </c>
      <c r="Q2073" t="s">
        <v>180</v>
      </c>
    </row>
    <row r="2074" spans="1:17" x14ac:dyDescent="0.25">
      <c r="A2074" t="s">
        <v>1150</v>
      </c>
      <c r="B2074" t="s">
        <v>1145</v>
      </c>
      <c r="C2074" t="s">
        <v>175</v>
      </c>
      <c r="D2074" t="s">
        <v>344</v>
      </c>
      <c r="E2074" t="s">
        <v>345</v>
      </c>
      <c r="F2074">
        <v>3</v>
      </c>
      <c r="G2074" t="s">
        <v>176</v>
      </c>
      <c r="H2074">
        <v>0</v>
      </c>
      <c r="I2074">
        <v>228</v>
      </c>
      <c r="J2074" s="10">
        <v>4.2632564145606011E-14</v>
      </c>
      <c r="K2074" s="10">
        <f>SUMIFS(F:F,D:D,DST_123_ÜRETİM_İHTİYAÇ_RAPORU_BURAK_YENI1309[[#This Row],[ALT_KOD]])-(SUMIFS(H:H,D:D,DST_123_ÜRETİM_İHTİYAÇ_RAPORU_BURAK_YENI1309[[#This Row],[ALT_KOD]])+AVERAGEIFS(I:I,D:D,DST_123_ÜRETİM_İHTİYAÇ_RAPORU_BURAK_YENI1309[[#This Row],[ALT_KOD]])+AVERAGEIFS(L:L,D:D,DST_123_ÜRETİM_İHTİYAÇ_RAPORU_BURAK_YENI1309[[#This Row],[ALT_KOD]]))</f>
        <v>-186</v>
      </c>
      <c r="L2074">
        <v>0</v>
      </c>
      <c r="M2074">
        <f>IF((DST_123_ÜRETİM_İHTİYAÇ_RAPORU_BURAK_YENI1309[[#This Row],[SATINALMA]]*DST_123_ÜRETİM_İHTİYAÇ_RAPORU_BURAK_YENI1309[[#This Row],[BIRIM_FIYATLAR]])&lt;1,VALUE("0"),DST_123_ÜRETİM_İHTİYAÇ_RAPORU_BURAK_YENI1309[[#This Row],[SATINALMA]]*DST_123_ÜRETİM_İHTİYAÇ_RAPORU_BURAK_YENI1309[[#This Row],[BIRIM_FIYATLAR]])</f>
        <v>0</v>
      </c>
      <c r="N2074">
        <v>6</v>
      </c>
      <c r="O2074" t="s">
        <v>346</v>
      </c>
      <c r="P2074">
        <v>18</v>
      </c>
      <c r="Q2074" t="s">
        <v>180</v>
      </c>
    </row>
    <row r="2075" spans="1:17" x14ac:dyDescent="0.25">
      <c r="A2075" t="s">
        <v>1150</v>
      </c>
      <c r="B2075" t="s">
        <v>1145</v>
      </c>
      <c r="C2075" t="s">
        <v>175</v>
      </c>
      <c r="D2075" t="s">
        <v>418</v>
      </c>
      <c r="E2075" t="s">
        <v>1221</v>
      </c>
      <c r="F2075">
        <v>5</v>
      </c>
      <c r="G2075" t="s">
        <v>176</v>
      </c>
      <c r="H2075">
        <v>0</v>
      </c>
      <c r="I2075">
        <v>148</v>
      </c>
      <c r="J2075" s="10">
        <v>59</v>
      </c>
      <c r="K2075" s="10">
        <f>SUMIFS(F:F,D:D,DST_123_ÜRETİM_İHTİYAÇ_RAPORU_BURAK_YENI1309[[#This Row],[ALT_KOD]])-(SUMIFS(H:H,D:D,DST_123_ÜRETİM_İHTİYAÇ_RAPORU_BURAK_YENI1309[[#This Row],[ALT_KOD]])+AVERAGEIFS(I:I,D:D,DST_123_ÜRETİM_İHTİYAÇ_RAPORU_BURAK_YENI1309[[#This Row],[ALT_KOD]])+AVERAGEIFS(L:L,D:D,DST_123_ÜRETİM_İHTİYAÇ_RAPORU_BURAK_YENI1309[[#This Row],[ALT_KOD]]))</f>
        <v>-33</v>
      </c>
      <c r="L2075">
        <v>0</v>
      </c>
      <c r="M2075">
        <f>IF((DST_123_ÜRETİM_İHTİYAÇ_RAPORU_BURAK_YENI1309[[#This Row],[SATINALMA]]*DST_123_ÜRETİM_İHTİYAÇ_RAPORU_BURAK_YENI1309[[#This Row],[BIRIM_FIYATLAR]])&lt;1,VALUE("0"),DST_123_ÜRETİM_İHTİYAÇ_RAPORU_BURAK_YENI1309[[#This Row],[SATINALMA]]*DST_123_ÜRETİM_İHTİYAÇ_RAPORU_BURAK_YENI1309[[#This Row],[BIRIM_FIYATLAR]])</f>
        <v>0</v>
      </c>
      <c r="N2075">
        <v>24.17</v>
      </c>
      <c r="O2075" t="s">
        <v>628</v>
      </c>
      <c r="P2075">
        <v>120.85000000000001</v>
      </c>
      <c r="Q2075" t="s">
        <v>180</v>
      </c>
    </row>
    <row r="2076" spans="1:17" x14ac:dyDescent="0.25">
      <c r="A2076" t="s">
        <v>1150</v>
      </c>
      <c r="B2076" t="s">
        <v>1145</v>
      </c>
      <c r="C2076" t="s">
        <v>175</v>
      </c>
      <c r="D2076" t="s">
        <v>159</v>
      </c>
      <c r="E2076" t="s">
        <v>160</v>
      </c>
      <c r="F2076">
        <v>0.25</v>
      </c>
      <c r="G2076" t="s">
        <v>179</v>
      </c>
      <c r="H2076">
        <v>0</v>
      </c>
      <c r="I2076">
        <v>52</v>
      </c>
      <c r="J2076" s="10">
        <v>38.620000000000005</v>
      </c>
      <c r="K2076" s="10">
        <f>SUMIFS(F:F,D:D,DST_123_ÜRETİM_İHTİYAÇ_RAPORU_BURAK_YENI1309[[#This Row],[ALT_KOD]])-(SUMIFS(H:H,D:D,DST_123_ÜRETİM_İHTİYAÇ_RAPORU_BURAK_YENI1309[[#This Row],[ALT_KOD]])+AVERAGEIFS(I:I,D:D,DST_123_ÜRETİM_İHTİYAÇ_RAPORU_BURAK_YENI1309[[#This Row],[ALT_KOD]])+AVERAGEIFS(L:L,D:D,DST_123_ÜRETİM_İHTİYAÇ_RAPORU_BURAK_YENI1309[[#This Row],[ALT_KOD]]))</f>
        <v>-47.39</v>
      </c>
      <c r="L2076">
        <v>0</v>
      </c>
      <c r="M2076">
        <f>IF((DST_123_ÜRETİM_İHTİYAÇ_RAPORU_BURAK_YENI1309[[#This Row],[SATINALMA]]*DST_123_ÜRETİM_İHTİYAÇ_RAPORU_BURAK_YENI1309[[#This Row],[BIRIM_FIYATLAR]])&lt;1,VALUE("0"),DST_123_ÜRETİM_İHTİYAÇ_RAPORU_BURAK_YENI1309[[#This Row],[SATINALMA]]*DST_123_ÜRETİM_İHTİYAÇ_RAPORU_BURAK_YENI1309[[#This Row],[BIRIM_FIYATLAR]])</f>
        <v>0</v>
      </c>
      <c r="N2076">
        <v>126.36</v>
      </c>
      <c r="O2076" t="s">
        <v>619</v>
      </c>
      <c r="P2076">
        <v>31.59</v>
      </c>
      <c r="Q2076" t="s">
        <v>178</v>
      </c>
    </row>
    <row r="2077" spans="1:17" x14ac:dyDescent="0.25">
      <c r="A2077" t="s">
        <v>1099</v>
      </c>
      <c r="B2077" t="s">
        <v>1055</v>
      </c>
      <c r="C2077" t="s">
        <v>175</v>
      </c>
      <c r="D2077" t="s">
        <v>540</v>
      </c>
      <c r="E2077" t="s">
        <v>541</v>
      </c>
      <c r="F2077">
        <v>4</v>
      </c>
      <c r="G2077" t="s">
        <v>176</v>
      </c>
      <c r="H2077">
        <v>0</v>
      </c>
      <c r="I2077">
        <v>1000</v>
      </c>
      <c r="J2077" s="10">
        <v>0</v>
      </c>
      <c r="K2077" s="10">
        <f>SUMIFS(F:F,D:D,DST_123_ÜRETİM_İHTİYAÇ_RAPORU_BURAK_YENI1309[[#This Row],[ALT_KOD]])-(SUMIFS(H:H,D:D,DST_123_ÜRETİM_İHTİYAÇ_RAPORU_BURAK_YENI1309[[#This Row],[ALT_KOD]])+AVERAGEIFS(I:I,D:D,DST_123_ÜRETİM_İHTİYAÇ_RAPORU_BURAK_YENI1309[[#This Row],[ALT_KOD]])+AVERAGEIFS(L:L,D:D,DST_123_ÜRETİM_İHTİYAÇ_RAPORU_BURAK_YENI1309[[#This Row],[ALT_KOD]]))</f>
        <v>-964</v>
      </c>
      <c r="L2077">
        <v>0</v>
      </c>
      <c r="M2077">
        <f>IF((DST_123_ÜRETİM_İHTİYAÇ_RAPORU_BURAK_YENI1309[[#This Row],[SATINALMA]]*DST_123_ÜRETİM_İHTİYAÇ_RAPORU_BURAK_YENI1309[[#This Row],[BIRIM_FIYATLAR]])&lt;1,VALUE("0"),DST_123_ÜRETİM_İHTİYAÇ_RAPORU_BURAK_YENI1309[[#This Row],[SATINALMA]]*DST_123_ÜRETİM_İHTİYAÇ_RAPORU_BURAK_YENI1309[[#This Row],[BIRIM_FIYATLAR]])</f>
        <v>0</v>
      </c>
      <c r="N2077">
        <v>1.2</v>
      </c>
      <c r="O2077" t="s">
        <v>240</v>
      </c>
      <c r="P2077">
        <v>4.8</v>
      </c>
      <c r="Q2077" t="s">
        <v>180</v>
      </c>
    </row>
    <row r="2078" spans="1:17" x14ac:dyDescent="0.25">
      <c r="A2078" t="s">
        <v>1144</v>
      </c>
      <c r="B2078" t="s">
        <v>1145</v>
      </c>
      <c r="C2078" t="s">
        <v>175</v>
      </c>
      <c r="D2078" t="s">
        <v>378</v>
      </c>
      <c r="E2078" t="s">
        <v>379</v>
      </c>
      <c r="F2078">
        <v>2</v>
      </c>
      <c r="G2078" t="s">
        <v>176</v>
      </c>
      <c r="H2078">
        <v>0</v>
      </c>
      <c r="I2078">
        <v>50</v>
      </c>
      <c r="J2078" s="10">
        <v>33</v>
      </c>
      <c r="K2078" s="10">
        <f>SUMIFS(F:F,D:D,DST_123_ÜRETİM_İHTİYAÇ_RAPORU_BURAK_YENI1309[[#This Row],[ALT_KOD]])-(SUMIFS(H:H,D:D,DST_123_ÜRETİM_İHTİYAÇ_RAPORU_BURAK_YENI1309[[#This Row],[ALT_KOD]])+AVERAGEIFS(I:I,D:D,DST_123_ÜRETİM_İHTİYAÇ_RAPORU_BURAK_YENI1309[[#This Row],[ALT_KOD]])+AVERAGEIFS(L:L,D:D,DST_123_ÜRETİM_İHTİYAÇ_RAPORU_BURAK_YENI1309[[#This Row],[ALT_KOD]]))</f>
        <v>-15</v>
      </c>
      <c r="L2078">
        <v>0</v>
      </c>
      <c r="M2078">
        <f>IF((DST_123_ÜRETİM_İHTİYAÇ_RAPORU_BURAK_YENI1309[[#This Row],[SATINALMA]]*DST_123_ÜRETİM_İHTİYAÇ_RAPORU_BURAK_YENI1309[[#This Row],[BIRIM_FIYATLAR]])&lt;1,VALUE("0"),DST_123_ÜRETİM_İHTİYAÇ_RAPORU_BURAK_YENI1309[[#This Row],[SATINALMA]]*DST_123_ÜRETİM_İHTİYAÇ_RAPORU_BURAK_YENI1309[[#This Row],[BIRIM_FIYATLAR]])</f>
        <v>0</v>
      </c>
      <c r="N2078">
        <v>72.599999999999994</v>
      </c>
      <c r="O2078" t="s">
        <v>240</v>
      </c>
      <c r="P2078">
        <v>145.19999999999999</v>
      </c>
      <c r="Q2078" t="s">
        <v>178</v>
      </c>
    </row>
    <row r="2079" spans="1:17" x14ac:dyDescent="0.25">
      <c r="A2079" t="s">
        <v>1146</v>
      </c>
      <c r="B2079" t="s">
        <v>1145</v>
      </c>
      <c r="C2079" t="s">
        <v>175</v>
      </c>
      <c r="D2079" t="s">
        <v>378</v>
      </c>
      <c r="E2079" t="s">
        <v>379</v>
      </c>
      <c r="F2079">
        <v>2</v>
      </c>
      <c r="G2079" t="s">
        <v>176</v>
      </c>
      <c r="H2079">
        <v>0</v>
      </c>
      <c r="I2079">
        <v>50</v>
      </c>
      <c r="J2079" s="10">
        <v>33</v>
      </c>
      <c r="K2079" s="10">
        <f>SUMIFS(F:F,D:D,DST_123_ÜRETİM_İHTİYAÇ_RAPORU_BURAK_YENI1309[[#This Row],[ALT_KOD]])-(SUMIFS(H:H,D:D,DST_123_ÜRETİM_İHTİYAÇ_RAPORU_BURAK_YENI1309[[#This Row],[ALT_KOD]])+AVERAGEIFS(I:I,D:D,DST_123_ÜRETİM_İHTİYAÇ_RAPORU_BURAK_YENI1309[[#This Row],[ALT_KOD]])+AVERAGEIFS(L:L,D:D,DST_123_ÜRETİM_İHTİYAÇ_RAPORU_BURAK_YENI1309[[#This Row],[ALT_KOD]]))</f>
        <v>-15</v>
      </c>
      <c r="L2079">
        <v>0</v>
      </c>
      <c r="M2079">
        <f>IF((DST_123_ÜRETİM_İHTİYAÇ_RAPORU_BURAK_YENI1309[[#This Row],[SATINALMA]]*DST_123_ÜRETİM_İHTİYAÇ_RAPORU_BURAK_YENI1309[[#This Row],[BIRIM_FIYATLAR]])&lt;1,VALUE("0"),DST_123_ÜRETİM_İHTİYAÇ_RAPORU_BURAK_YENI1309[[#This Row],[SATINALMA]]*DST_123_ÜRETİM_İHTİYAÇ_RAPORU_BURAK_YENI1309[[#This Row],[BIRIM_FIYATLAR]])</f>
        <v>0</v>
      </c>
      <c r="N2079">
        <v>72.599999999999994</v>
      </c>
      <c r="O2079" t="s">
        <v>240</v>
      </c>
      <c r="P2079">
        <v>145.19999999999999</v>
      </c>
      <c r="Q2079" t="s">
        <v>178</v>
      </c>
    </row>
    <row r="2080" spans="1:17" x14ac:dyDescent="0.25">
      <c r="A2080" t="s">
        <v>1098</v>
      </c>
      <c r="B2080" t="s">
        <v>1096</v>
      </c>
      <c r="C2080" t="s">
        <v>175</v>
      </c>
      <c r="D2080" t="s">
        <v>103</v>
      </c>
      <c r="E2080" t="s">
        <v>288</v>
      </c>
      <c r="F2080">
        <v>6.3</v>
      </c>
      <c r="G2080" t="s">
        <v>176</v>
      </c>
      <c r="H2080">
        <v>0</v>
      </c>
      <c r="I2080">
        <v>87</v>
      </c>
      <c r="J2080" s="10">
        <v>50.899999999999949</v>
      </c>
      <c r="K2080" s="10">
        <f>SUMIFS(F:F,D:D,DST_123_ÜRETİM_İHTİYAÇ_RAPORU_BURAK_YENI1309[[#This Row],[ALT_KOD]])-(SUMIFS(H:H,D:D,DST_123_ÜRETİM_İHTİYAÇ_RAPORU_BURAK_YENI1309[[#This Row],[ALT_KOD]])+AVERAGEIFS(I:I,D:D,DST_123_ÜRETİM_İHTİYAÇ_RAPORU_BURAK_YENI1309[[#This Row],[ALT_KOD]])+AVERAGEIFS(L:L,D:D,DST_123_ÜRETİM_İHTİYAÇ_RAPORU_BURAK_YENI1309[[#This Row],[ALT_KOD]]))</f>
        <v>-43.900000000000006</v>
      </c>
      <c r="L2080">
        <v>0</v>
      </c>
      <c r="M2080">
        <f>IF((DST_123_ÜRETİM_İHTİYAÇ_RAPORU_BURAK_YENI1309[[#This Row],[SATINALMA]]*DST_123_ÜRETİM_İHTİYAÇ_RAPORU_BURAK_YENI1309[[#This Row],[BIRIM_FIYATLAR]])&lt;1,VALUE("0"),DST_123_ÜRETİM_İHTİYAÇ_RAPORU_BURAK_YENI1309[[#This Row],[SATINALMA]]*DST_123_ÜRETİM_İHTİYAÇ_RAPORU_BURAK_YENI1309[[#This Row],[BIRIM_FIYATLAR]])</f>
        <v>0</v>
      </c>
      <c r="N2080">
        <v>122.09</v>
      </c>
      <c r="O2080" t="s">
        <v>250</v>
      </c>
      <c r="P2080">
        <v>769.16700000000003</v>
      </c>
      <c r="Q2080" t="s">
        <v>180</v>
      </c>
    </row>
    <row r="2081" spans="1:17" x14ac:dyDescent="0.25">
      <c r="A2081" t="s">
        <v>1064</v>
      </c>
      <c r="B2081" t="s">
        <v>1055</v>
      </c>
      <c r="C2081" t="s">
        <v>175</v>
      </c>
      <c r="D2081" t="s">
        <v>5</v>
      </c>
      <c r="E2081" t="s">
        <v>6</v>
      </c>
      <c r="F2081">
        <v>6.6</v>
      </c>
      <c r="G2081" t="s">
        <v>179</v>
      </c>
      <c r="H2081">
        <v>0</v>
      </c>
      <c r="I2081">
        <v>100</v>
      </c>
      <c r="J2081" s="10">
        <v>2.0000000000000568</v>
      </c>
      <c r="K2081" s="10">
        <f>SUMIFS(F:F,D:D,DST_123_ÜRETİM_İHTİYAÇ_RAPORU_BURAK_YENI1309[[#This Row],[ALT_KOD]])-(SUMIFS(H:H,D:D,DST_123_ÜRETİM_İHTİYAÇ_RAPORU_BURAK_YENI1309[[#This Row],[ALT_KOD]])+AVERAGEIFS(I:I,D:D,DST_123_ÜRETİM_İHTİYAÇ_RAPORU_BURAK_YENI1309[[#This Row],[ALT_KOD]])+AVERAGEIFS(L:L,D:D,DST_123_ÜRETİM_İHTİYAÇ_RAPORU_BURAK_YENI1309[[#This Row],[ALT_KOD]]))</f>
        <v>-6.4000000000000057</v>
      </c>
      <c r="L2081">
        <v>0</v>
      </c>
      <c r="M2081">
        <f>IF((DST_123_ÜRETİM_İHTİYAÇ_RAPORU_BURAK_YENI1309[[#This Row],[SATINALMA]]*DST_123_ÜRETİM_İHTİYAÇ_RAPORU_BURAK_YENI1309[[#This Row],[BIRIM_FIYATLAR]])&lt;1,VALUE("0"),DST_123_ÜRETİM_İHTİYAÇ_RAPORU_BURAK_YENI1309[[#This Row],[SATINALMA]]*DST_123_ÜRETİM_İHTİYAÇ_RAPORU_BURAK_YENI1309[[#This Row],[BIRIM_FIYATLAR]])</f>
        <v>0</v>
      </c>
      <c r="N2081">
        <v>111</v>
      </c>
      <c r="O2081" t="s">
        <v>826</v>
      </c>
      <c r="P2081">
        <v>732.59999999999991</v>
      </c>
      <c r="Q2081" t="s">
        <v>221</v>
      </c>
    </row>
    <row r="2082" spans="1:17" x14ac:dyDescent="0.25">
      <c r="A2082" t="s">
        <v>1196</v>
      </c>
      <c r="B2082" t="s">
        <v>1197</v>
      </c>
      <c r="C2082" t="s">
        <v>175</v>
      </c>
      <c r="D2082" t="s">
        <v>11</v>
      </c>
      <c r="E2082" t="s">
        <v>12</v>
      </c>
      <c r="F2082">
        <v>1</v>
      </c>
      <c r="G2082" t="s">
        <v>176</v>
      </c>
      <c r="H2082">
        <v>0</v>
      </c>
      <c r="I2082">
        <v>24</v>
      </c>
      <c r="J2082" s="10">
        <v>9</v>
      </c>
      <c r="K2082" s="10">
        <f>SUMIFS(F:F,D:D,DST_123_ÜRETİM_İHTİYAÇ_RAPORU_BURAK_YENI1309[[#This Row],[ALT_KOD]])-(SUMIFS(H:H,D:D,DST_123_ÜRETİM_İHTİYAÇ_RAPORU_BURAK_YENI1309[[#This Row],[ALT_KOD]])+AVERAGEIFS(I:I,D:D,DST_123_ÜRETİM_İHTİYAÇ_RAPORU_BURAK_YENI1309[[#This Row],[ALT_KOD]])+AVERAGEIFS(L:L,D:D,DST_123_ÜRETİM_İHTİYAÇ_RAPORU_BURAK_YENI1309[[#This Row],[ALT_KOD]]))</f>
        <v>-21</v>
      </c>
      <c r="L2082">
        <v>0</v>
      </c>
      <c r="M2082">
        <f>IF((DST_123_ÜRETİM_İHTİYAÇ_RAPORU_BURAK_YENI1309[[#This Row],[SATINALMA]]*DST_123_ÜRETİM_İHTİYAÇ_RAPORU_BURAK_YENI1309[[#This Row],[BIRIM_FIYATLAR]])&lt;1,VALUE("0"),DST_123_ÜRETİM_İHTİYAÇ_RAPORU_BURAK_YENI1309[[#This Row],[SATINALMA]]*DST_123_ÜRETİM_İHTİYAÇ_RAPORU_BURAK_YENI1309[[#This Row],[BIRIM_FIYATLAR]])</f>
        <v>0</v>
      </c>
      <c r="N2082">
        <v>368.07</v>
      </c>
      <c r="O2082" t="s">
        <v>589</v>
      </c>
      <c r="P2082">
        <v>368.07</v>
      </c>
      <c r="Q2082" t="s">
        <v>221</v>
      </c>
    </row>
    <row r="2083" spans="1:17" x14ac:dyDescent="0.25">
      <c r="A2083" t="s">
        <v>1196</v>
      </c>
      <c r="B2083" t="s">
        <v>1197</v>
      </c>
      <c r="C2083" t="s">
        <v>175</v>
      </c>
      <c r="D2083" t="s">
        <v>204</v>
      </c>
      <c r="E2083" t="s">
        <v>205</v>
      </c>
      <c r="F2083">
        <v>0.5</v>
      </c>
      <c r="G2083" t="s">
        <v>176</v>
      </c>
      <c r="H2083">
        <v>0</v>
      </c>
      <c r="I2083">
        <v>100</v>
      </c>
      <c r="J2083" s="10">
        <v>41</v>
      </c>
      <c r="K2083" s="10">
        <f>SUMIFS(F:F,D:D,DST_123_ÜRETİM_İHTİYAÇ_RAPORU_BURAK_YENI1309[[#This Row],[ALT_KOD]])-(SUMIFS(H:H,D:D,DST_123_ÜRETİM_İHTİYAÇ_RAPORU_BURAK_YENI1309[[#This Row],[ALT_KOD]])+AVERAGEIFS(I:I,D:D,DST_123_ÜRETİM_İHTİYAÇ_RAPORU_BURAK_YENI1309[[#This Row],[ALT_KOD]])+AVERAGEIFS(L:L,D:D,DST_123_ÜRETİM_İHTİYAÇ_RAPORU_BURAK_YENI1309[[#This Row],[ALT_KOD]]))</f>
        <v>-89.5</v>
      </c>
      <c r="L2083">
        <v>0</v>
      </c>
      <c r="M2083">
        <f>IF((DST_123_ÜRETİM_İHTİYAÇ_RAPORU_BURAK_YENI1309[[#This Row],[SATINALMA]]*DST_123_ÜRETİM_İHTİYAÇ_RAPORU_BURAK_YENI1309[[#This Row],[BIRIM_FIYATLAR]])&lt;1,VALUE("0"),DST_123_ÜRETİM_İHTİYAÇ_RAPORU_BURAK_YENI1309[[#This Row],[SATINALMA]]*DST_123_ÜRETİM_İHTİYAÇ_RAPORU_BURAK_YENI1309[[#This Row],[BIRIM_FIYATLAR]])</f>
        <v>0</v>
      </c>
      <c r="N2083">
        <v>60</v>
      </c>
      <c r="O2083" t="s">
        <v>220</v>
      </c>
      <c r="P2083">
        <v>30</v>
      </c>
      <c r="Q2083" t="s">
        <v>180</v>
      </c>
    </row>
    <row r="2084" spans="1:17" x14ac:dyDescent="0.25">
      <c r="A2084" t="s">
        <v>1196</v>
      </c>
      <c r="B2084" t="s">
        <v>1197</v>
      </c>
      <c r="C2084" t="s">
        <v>175</v>
      </c>
      <c r="D2084" t="s">
        <v>206</v>
      </c>
      <c r="E2084" t="s">
        <v>280</v>
      </c>
      <c r="F2084">
        <v>1.51</v>
      </c>
      <c r="G2084" t="s">
        <v>176</v>
      </c>
      <c r="H2084">
        <v>0</v>
      </c>
      <c r="I2084">
        <v>10</v>
      </c>
      <c r="J2084" s="10">
        <v>126.66400000000034</v>
      </c>
      <c r="K2084" s="10">
        <f>SUMIFS(F:F,D:D,DST_123_ÜRETİM_İHTİYAÇ_RAPORU_BURAK_YENI1309[[#This Row],[ALT_KOD]])-(SUMIFS(H:H,D:D,DST_123_ÜRETİM_İHTİYAÇ_RAPORU_BURAK_YENI1309[[#This Row],[ALT_KOD]])+AVERAGEIFS(I:I,D:D,DST_123_ÜRETİM_İHTİYAÇ_RAPORU_BURAK_YENI1309[[#This Row],[ALT_KOD]])+AVERAGEIFS(L:L,D:D,DST_123_ÜRETİM_İHTİYAÇ_RAPORU_BURAK_YENI1309[[#This Row],[ALT_KOD]]))</f>
        <v>-1.1600000000000001</v>
      </c>
      <c r="L2084">
        <v>0</v>
      </c>
      <c r="M2084">
        <f>IF((DST_123_ÜRETİM_İHTİYAÇ_RAPORU_BURAK_YENI1309[[#This Row],[SATINALMA]]*DST_123_ÜRETİM_İHTİYAÇ_RAPORU_BURAK_YENI1309[[#This Row],[BIRIM_FIYATLAR]])&lt;1,VALUE("0"),DST_123_ÜRETİM_İHTİYAÇ_RAPORU_BURAK_YENI1309[[#This Row],[SATINALMA]]*DST_123_ÜRETİM_İHTİYAÇ_RAPORU_BURAK_YENI1309[[#This Row],[BIRIM_FIYATLAR]])</f>
        <v>0</v>
      </c>
      <c r="N2084">
        <v>185</v>
      </c>
      <c r="O2084" t="s">
        <v>240</v>
      </c>
      <c r="P2084">
        <v>279.35000000000002</v>
      </c>
      <c r="Q2084" t="s">
        <v>180</v>
      </c>
    </row>
    <row r="2085" spans="1:17" x14ac:dyDescent="0.25">
      <c r="A2085" t="s">
        <v>1099</v>
      </c>
      <c r="B2085" t="s">
        <v>1055</v>
      </c>
      <c r="C2085" t="s">
        <v>175</v>
      </c>
      <c r="D2085" t="s">
        <v>206</v>
      </c>
      <c r="E2085" t="s">
        <v>280</v>
      </c>
      <c r="F2085">
        <v>0.7200000000000002</v>
      </c>
      <c r="G2085" t="s">
        <v>176</v>
      </c>
      <c r="H2085">
        <v>0.7200000000000002</v>
      </c>
      <c r="I2085">
        <v>10</v>
      </c>
      <c r="J2085" s="10">
        <v>126.66400000000034</v>
      </c>
      <c r="K2085" s="10">
        <f>SUMIFS(F:F,D:D,DST_123_ÜRETİM_İHTİYAÇ_RAPORU_BURAK_YENI1309[[#This Row],[ALT_KOD]])-(SUMIFS(H:H,D:D,DST_123_ÜRETİM_İHTİYAÇ_RAPORU_BURAK_YENI1309[[#This Row],[ALT_KOD]])+AVERAGEIFS(I:I,D:D,DST_123_ÜRETİM_İHTİYAÇ_RAPORU_BURAK_YENI1309[[#This Row],[ALT_KOD]])+AVERAGEIFS(L:L,D:D,DST_123_ÜRETİM_İHTİYAÇ_RAPORU_BURAK_YENI1309[[#This Row],[ALT_KOD]]))</f>
        <v>-1.1600000000000001</v>
      </c>
      <c r="L2085">
        <v>0</v>
      </c>
      <c r="M2085">
        <f>IF((DST_123_ÜRETİM_İHTİYAÇ_RAPORU_BURAK_YENI1309[[#This Row],[SATINALMA]]*DST_123_ÜRETİM_İHTİYAÇ_RAPORU_BURAK_YENI1309[[#This Row],[BIRIM_FIYATLAR]])&lt;1,VALUE("0"),DST_123_ÜRETİM_İHTİYAÇ_RAPORU_BURAK_YENI1309[[#This Row],[SATINALMA]]*DST_123_ÜRETİM_İHTİYAÇ_RAPORU_BURAK_YENI1309[[#This Row],[BIRIM_FIYATLAR]])</f>
        <v>0</v>
      </c>
      <c r="N2085">
        <v>185</v>
      </c>
      <c r="O2085" t="s">
        <v>240</v>
      </c>
      <c r="P2085">
        <v>133.20000000000005</v>
      </c>
      <c r="Q2085" t="s">
        <v>180</v>
      </c>
    </row>
    <row r="2086" spans="1:17" x14ac:dyDescent="0.25">
      <c r="A2086" t="s">
        <v>1099</v>
      </c>
      <c r="B2086" t="s">
        <v>1055</v>
      </c>
      <c r="C2086" t="s">
        <v>175</v>
      </c>
      <c r="D2086" t="s">
        <v>344</v>
      </c>
      <c r="E2086" t="s">
        <v>345</v>
      </c>
      <c r="F2086">
        <v>2</v>
      </c>
      <c r="G2086" t="s">
        <v>176</v>
      </c>
      <c r="H2086">
        <v>0</v>
      </c>
      <c r="I2086">
        <v>228</v>
      </c>
      <c r="J2086" s="10">
        <v>4.2632564145606011E-14</v>
      </c>
      <c r="K2086" s="10">
        <f>SUMIFS(F:F,D:D,DST_123_ÜRETİM_İHTİYAÇ_RAPORU_BURAK_YENI1309[[#This Row],[ALT_KOD]])-(SUMIFS(H:H,D:D,DST_123_ÜRETİM_İHTİYAÇ_RAPORU_BURAK_YENI1309[[#This Row],[ALT_KOD]])+AVERAGEIFS(I:I,D:D,DST_123_ÜRETİM_İHTİYAÇ_RAPORU_BURAK_YENI1309[[#This Row],[ALT_KOD]])+AVERAGEIFS(L:L,D:D,DST_123_ÜRETİM_İHTİYAÇ_RAPORU_BURAK_YENI1309[[#This Row],[ALT_KOD]]))</f>
        <v>-186</v>
      </c>
      <c r="L2086">
        <v>0</v>
      </c>
      <c r="M2086">
        <f>IF((DST_123_ÜRETİM_İHTİYAÇ_RAPORU_BURAK_YENI1309[[#This Row],[SATINALMA]]*DST_123_ÜRETİM_İHTİYAÇ_RAPORU_BURAK_YENI1309[[#This Row],[BIRIM_FIYATLAR]])&lt;1,VALUE("0"),DST_123_ÜRETİM_İHTİYAÇ_RAPORU_BURAK_YENI1309[[#This Row],[SATINALMA]]*DST_123_ÜRETİM_İHTİYAÇ_RAPORU_BURAK_YENI1309[[#This Row],[BIRIM_FIYATLAR]])</f>
        <v>0</v>
      </c>
      <c r="N2086">
        <v>6</v>
      </c>
      <c r="O2086" t="s">
        <v>346</v>
      </c>
      <c r="P2086">
        <v>12</v>
      </c>
      <c r="Q2086" t="s">
        <v>180</v>
      </c>
    </row>
    <row r="2087" spans="1:17" x14ac:dyDescent="0.25">
      <c r="A2087" t="s">
        <v>1099</v>
      </c>
      <c r="B2087" t="s">
        <v>1055</v>
      </c>
      <c r="C2087" t="s">
        <v>175</v>
      </c>
      <c r="D2087" t="s">
        <v>418</v>
      </c>
      <c r="E2087" t="s">
        <v>1221</v>
      </c>
      <c r="F2087">
        <v>9</v>
      </c>
      <c r="G2087" t="s">
        <v>176</v>
      </c>
      <c r="H2087">
        <v>0</v>
      </c>
      <c r="I2087">
        <v>148</v>
      </c>
      <c r="J2087" s="10">
        <v>59</v>
      </c>
      <c r="K2087" s="10">
        <f>SUMIFS(F:F,D:D,DST_123_ÜRETİM_İHTİYAÇ_RAPORU_BURAK_YENI1309[[#This Row],[ALT_KOD]])-(SUMIFS(H:H,D:D,DST_123_ÜRETİM_İHTİYAÇ_RAPORU_BURAK_YENI1309[[#This Row],[ALT_KOD]])+AVERAGEIFS(I:I,D:D,DST_123_ÜRETİM_İHTİYAÇ_RAPORU_BURAK_YENI1309[[#This Row],[ALT_KOD]])+AVERAGEIFS(L:L,D:D,DST_123_ÜRETİM_İHTİYAÇ_RAPORU_BURAK_YENI1309[[#This Row],[ALT_KOD]]))</f>
        <v>-33</v>
      </c>
      <c r="L2087">
        <v>0</v>
      </c>
      <c r="M2087">
        <f>IF((DST_123_ÜRETİM_İHTİYAÇ_RAPORU_BURAK_YENI1309[[#This Row],[SATINALMA]]*DST_123_ÜRETİM_İHTİYAÇ_RAPORU_BURAK_YENI1309[[#This Row],[BIRIM_FIYATLAR]])&lt;1,VALUE("0"),DST_123_ÜRETİM_İHTİYAÇ_RAPORU_BURAK_YENI1309[[#This Row],[SATINALMA]]*DST_123_ÜRETİM_İHTİYAÇ_RAPORU_BURAK_YENI1309[[#This Row],[BIRIM_FIYATLAR]])</f>
        <v>0</v>
      </c>
      <c r="N2087">
        <v>24.17</v>
      </c>
      <c r="O2087" t="s">
        <v>628</v>
      </c>
      <c r="P2087">
        <v>217.53000000000003</v>
      </c>
      <c r="Q2087" t="s">
        <v>180</v>
      </c>
    </row>
    <row r="2088" spans="1:17" x14ac:dyDescent="0.25">
      <c r="A2088" t="s">
        <v>1196</v>
      </c>
      <c r="B2088" t="s">
        <v>1197</v>
      </c>
      <c r="C2088" t="s">
        <v>175</v>
      </c>
      <c r="D2088" t="s">
        <v>159</v>
      </c>
      <c r="E2088" t="s">
        <v>160</v>
      </c>
      <c r="F2088">
        <v>0.25</v>
      </c>
      <c r="G2088" t="s">
        <v>179</v>
      </c>
      <c r="H2088">
        <v>0</v>
      </c>
      <c r="I2088">
        <v>52</v>
      </c>
      <c r="J2088" s="10">
        <v>38.620000000000005</v>
      </c>
      <c r="K2088" s="10">
        <f>SUMIFS(F:F,D:D,DST_123_ÜRETİM_İHTİYAÇ_RAPORU_BURAK_YENI1309[[#This Row],[ALT_KOD]])-(SUMIFS(H:H,D:D,DST_123_ÜRETİM_İHTİYAÇ_RAPORU_BURAK_YENI1309[[#This Row],[ALT_KOD]])+AVERAGEIFS(I:I,D:D,DST_123_ÜRETİM_İHTİYAÇ_RAPORU_BURAK_YENI1309[[#This Row],[ALT_KOD]])+AVERAGEIFS(L:L,D:D,DST_123_ÜRETİM_İHTİYAÇ_RAPORU_BURAK_YENI1309[[#This Row],[ALT_KOD]]))</f>
        <v>-47.39</v>
      </c>
      <c r="L2088">
        <v>0</v>
      </c>
      <c r="M2088">
        <f>IF((DST_123_ÜRETİM_İHTİYAÇ_RAPORU_BURAK_YENI1309[[#This Row],[SATINALMA]]*DST_123_ÜRETİM_İHTİYAÇ_RAPORU_BURAK_YENI1309[[#This Row],[BIRIM_FIYATLAR]])&lt;1,VALUE("0"),DST_123_ÜRETİM_İHTİYAÇ_RAPORU_BURAK_YENI1309[[#This Row],[SATINALMA]]*DST_123_ÜRETİM_İHTİYAÇ_RAPORU_BURAK_YENI1309[[#This Row],[BIRIM_FIYATLAR]])</f>
        <v>0</v>
      </c>
      <c r="N2088">
        <v>126.36</v>
      </c>
      <c r="O2088" t="s">
        <v>619</v>
      </c>
      <c r="P2088">
        <v>31.59</v>
      </c>
      <c r="Q2088" t="s">
        <v>178</v>
      </c>
    </row>
    <row r="2089" spans="1:17" x14ac:dyDescent="0.25">
      <c r="A2089" t="s">
        <v>1064</v>
      </c>
      <c r="B2089" t="s">
        <v>1055</v>
      </c>
      <c r="C2089" t="s">
        <v>175</v>
      </c>
      <c r="D2089" t="s">
        <v>104</v>
      </c>
      <c r="E2089" t="s">
        <v>105</v>
      </c>
      <c r="F2089">
        <v>7</v>
      </c>
      <c r="G2089" t="s">
        <v>176</v>
      </c>
      <c r="H2089">
        <v>0</v>
      </c>
      <c r="I2089">
        <v>0</v>
      </c>
      <c r="J2089" s="10">
        <v>75</v>
      </c>
      <c r="K2089" s="10">
        <f>SUMIFS(F:F,D:D,DST_123_ÜRETİM_İHTİYAÇ_RAPORU_BURAK_YENI1309[[#This Row],[ALT_KOD]])-(SUMIFS(H:H,D:D,DST_123_ÜRETİM_İHTİYAÇ_RAPORU_BURAK_YENI1309[[#This Row],[ALT_KOD]])+AVERAGEIFS(I:I,D:D,DST_123_ÜRETİM_İHTİYAÇ_RAPORU_BURAK_YENI1309[[#This Row],[ALT_KOD]])+AVERAGEIFS(L:L,D:D,DST_123_ÜRETİM_İHTİYAÇ_RAPORU_BURAK_YENI1309[[#This Row],[ALT_KOD]]))</f>
        <v>102</v>
      </c>
      <c r="L2089">
        <v>0</v>
      </c>
      <c r="M2089">
        <f>IF((DST_123_ÜRETİM_İHTİYAÇ_RAPORU_BURAK_YENI1309[[#This Row],[SATINALMA]]*DST_123_ÜRETİM_İHTİYAÇ_RAPORU_BURAK_YENI1309[[#This Row],[BIRIM_FIYATLAR]])&lt;1,VALUE("0"),DST_123_ÜRETİM_İHTİYAÇ_RAPORU_BURAK_YENI1309[[#This Row],[SATINALMA]]*DST_123_ÜRETİM_İHTİYAÇ_RAPORU_BURAK_YENI1309[[#This Row],[BIRIM_FIYATLAR]])</f>
        <v>10710</v>
      </c>
      <c r="N2089">
        <v>105</v>
      </c>
      <c r="O2089" t="s">
        <v>625</v>
      </c>
      <c r="P2089">
        <v>735</v>
      </c>
      <c r="Q2089" t="s">
        <v>178</v>
      </c>
    </row>
    <row r="2090" spans="1:17" x14ac:dyDescent="0.25">
      <c r="A2090" t="s">
        <v>1099</v>
      </c>
      <c r="B2090" t="s">
        <v>1055</v>
      </c>
      <c r="C2090" t="s">
        <v>175</v>
      </c>
      <c r="D2090" t="s">
        <v>256</v>
      </c>
      <c r="E2090" t="s">
        <v>257</v>
      </c>
      <c r="F2090">
        <v>1.5</v>
      </c>
      <c r="G2090" t="s">
        <v>176</v>
      </c>
      <c r="H2090">
        <v>0</v>
      </c>
      <c r="I2090">
        <v>14</v>
      </c>
      <c r="J2090" s="10">
        <v>6.8000000000000025</v>
      </c>
      <c r="K2090" s="10">
        <f>SUMIFS(F:F,D:D,DST_123_ÜRETİM_İHTİYAÇ_RAPORU_BURAK_YENI1309[[#This Row],[ALT_KOD]])-(SUMIFS(H:H,D:D,DST_123_ÜRETİM_İHTİYAÇ_RAPORU_BURAK_YENI1309[[#This Row],[ALT_KOD]])+AVERAGEIFS(I:I,D:D,DST_123_ÜRETİM_İHTİYAÇ_RAPORU_BURAK_YENI1309[[#This Row],[ALT_KOD]])+AVERAGEIFS(L:L,D:D,DST_123_ÜRETİM_İHTİYAÇ_RAPORU_BURAK_YENI1309[[#This Row],[ALT_KOD]]))</f>
        <v>7.7000000000000028</v>
      </c>
      <c r="L2090">
        <v>12</v>
      </c>
      <c r="M2090">
        <f>IF((DST_123_ÜRETİM_İHTİYAÇ_RAPORU_BURAK_YENI1309[[#This Row],[SATINALMA]]*DST_123_ÜRETİM_İHTİYAÇ_RAPORU_BURAK_YENI1309[[#This Row],[BIRIM_FIYATLAR]])&lt;1,VALUE("0"),DST_123_ÜRETİM_İHTİYAÇ_RAPORU_BURAK_YENI1309[[#This Row],[SATINALMA]]*DST_123_ÜRETİM_İHTİYAÇ_RAPORU_BURAK_YENI1309[[#This Row],[BIRIM_FIYATLAR]])</f>
        <v>2532.1450000000009</v>
      </c>
      <c r="N2090">
        <v>328.85</v>
      </c>
      <c r="O2090" t="s">
        <v>258</v>
      </c>
      <c r="P2090">
        <v>493.27500000000003</v>
      </c>
      <c r="Q2090" t="s">
        <v>183</v>
      </c>
    </row>
    <row r="2091" spans="1:17" x14ac:dyDescent="0.25">
      <c r="A2091" t="s">
        <v>1098</v>
      </c>
      <c r="B2091" t="s">
        <v>1096</v>
      </c>
      <c r="C2091" t="s">
        <v>175</v>
      </c>
      <c r="D2091" t="s">
        <v>418</v>
      </c>
      <c r="E2091" t="s">
        <v>1221</v>
      </c>
      <c r="F2091">
        <v>4</v>
      </c>
      <c r="G2091" t="s">
        <v>176</v>
      </c>
      <c r="H2091">
        <v>0</v>
      </c>
      <c r="I2091">
        <v>148</v>
      </c>
      <c r="J2091" s="10">
        <v>59</v>
      </c>
      <c r="K2091" s="10">
        <f>SUMIFS(F:F,D:D,DST_123_ÜRETİM_İHTİYAÇ_RAPORU_BURAK_YENI1309[[#This Row],[ALT_KOD]])-(SUMIFS(H:H,D:D,DST_123_ÜRETİM_İHTİYAÇ_RAPORU_BURAK_YENI1309[[#This Row],[ALT_KOD]])+AVERAGEIFS(I:I,D:D,DST_123_ÜRETİM_İHTİYAÇ_RAPORU_BURAK_YENI1309[[#This Row],[ALT_KOD]])+AVERAGEIFS(L:L,D:D,DST_123_ÜRETİM_İHTİYAÇ_RAPORU_BURAK_YENI1309[[#This Row],[ALT_KOD]]))</f>
        <v>-33</v>
      </c>
      <c r="L2091">
        <v>0</v>
      </c>
      <c r="M2091">
        <f>IF((DST_123_ÜRETİM_İHTİYAÇ_RAPORU_BURAK_YENI1309[[#This Row],[SATINALMA]]*DST_123_ÜRETİM_İHTİYAÇ_RAPORU_BURAK_YENI1309[[#This Row],[BIRIM_FIYATLAR]])&lt;1,VALUE("0"),DST_123_ÜRETİM_İHTİYAÇ_RAPORU_BURAK_YENI1309[[#This Row],[SATINALMA]]*DST_123_ÜRETİM_İHTİYAÇ_RAPORU_BURAK_YENI1309[[#This Row],[BIRIM_FIYATLAR]])</f>
        <v>0</v>
      </c>
      <c r="N2091">
        <v>24.17</v>
      </c>
      <c r="O2091" t="s">
        <v>628</v>
      </c>
      <c r="P2091">
        <v>96.68</v>
      </c>
      <c r="Q2091" t="s">
        <v>180</v>
      </c>
    </row>
    <row r="2092" spans="1:17" x14ac:dyDescent="0.25">
      <c r="A2092" t="s">
        <v>1143</v>
      </c>
      <c r="B2092" t="s">
        <v>1056</v>
      </c>
      <c r="C2092" t="s">
        <v>175</v>
      </c>
      <c r="D2092" t="s">
        <v>98</v>
      </c>
      <c r="E2092" t="s">
        <v>248</v>
      </c>
      <c r="F2092">
        <v>6</v>
      </c>
      <c r="G2092" t="s">
        <v>176</v>
      </c>
      <c r="H2092">
        <v>0</v>
      </c>
      <c r="I2092">
        <v>230</v>
      </c>
      <c r="J2092" s="10">
        <v>72</v>
      </c>
      <c r="K2092" s="10">
        <f>SUMIFS(F:F,D:D,DST_123_ÜRETİM_İHTİYAÇ_RAPORU_BURAK_YENI1309[[#This Row],[ALT_KOD]])-(SUMIFS(H:H,D:D,DST_123_ÜRETİM_İHTİYAÇ_RAPORU_BURAK_YENI1309[[#This Row],[ALT_KOD]])+AVERAGEIFS(I:I,D:D,DST_123_ÜRETİM_İHTİYAÇ_RAPORU_BURAK_YENI1309[[#This Row],[ALT_KOD]])+AVERAGEIFS(L:L,D:D,DST_123_ÜRETİM_İHTİYAÇ_RAPORU_BURAK_YENI1309[[#This Row],[ALT_KOD]]))</f>
        <v>-172</v>
      </c>
      <c r="L2092">
        <v>0</v>
      </c>
      <c r="M2092">
        <f>IF((DST_123_ÜRETİM_İHTİYAÇ_RAPORU_BURAK_YENI1309[[#This Row],[SATINALMA]]*DST_123_ÜRETİM_İHTİYAÇ_RAPORU_BURAK_YENI1309[[#This Row],[BIRIM_FIYATLAR]])&lt;1,VALUE("0"),DST_123_ÜRETİM_İHTİYAÇ_RAPORU_BURAK_YENI1309[[#This Row],[SATINALMA]]*DST_123_ÜRETİM_İHTİYAÇ_RAPORU_BURAK_YENI1309[[#This Row],[BIRIM_FIYATLAR]])</f>
        <v>0</v>
      </c>
      <c r="N2092">
        <v>225</v>
      </c>
      <c r="O2092" t="s">
        <v>825</v>
      </c>
      <c r="P2092">
        <v>1350</v>
      </c>
      <c r="Q2092" t="s">
        <v>177</v>
      </c>
    </row>
    <row r="2093" spans="1:17" x14ac:dyDescent="0.25">
      <c r="A2093" t="s">
        <v>1142</v>
      </c>
      <c r="B2093" t="s">
        <v>1056</v>
      </c>
      <c r="C2093" t="s">
        <v>175</v>
      </c>
      <c r="D2093" t="s">
        <v>103</v>
      </c>
      <c r="E2093" t="s">
        <v>288</v>
      </c>
      <c r="F2093">
        <v>1</v>
      </c>
      <c r="G2093" t="s">
        <v>176</v>
      </c>
      <c r="H2093">
        <v>0</v>
      </c>
      <c r="I2093">
        <v>87</v>
      </c>
      <c r="J2093" s="10">
        <v>50.899999999999949</v>
      </c>
      <c r="K2093" s="10">
        <f>SUMIFS(F:F,D:D,DST_123_ÜRETİM_İHTİYAÇ_RAPORU_BURAK_YENI1309[[#This Row],[ALT_KOD]])-(SUMIFS(H:H,D:D,DST_123_ÜRETİM_İHTİYAÇ_RAPORU_BURAK_YENI1309[[#This Row],[ALT_KOD]])+AVERAGEIFS(I:I,D:D,DST_123_ÜRETİM_İHTİYAÇ_RAPORU_BURAK_YENI1309[[#This Row],[ALT_KOD]])+AVERAGEIFS(L:L,D:D,DST_123_ÜRETİM_İHTİYAÇ_RAPORU_BURAK_YENI1309[[#This Row],[ALT_KOD]]))</f>
        <v>-43.900000000000006</v>
      </c>
      <c r="L2093">
        <v>0</v>
      </c>
      <c r="M2093">
        <f>IF((DST_123_ÜRETİM_İHTİYAÇ_RAPORU_BURAK_YENI1309[[#This Row],[SATINALMA]]*DST_123_ÜRETİM_İHTİYAÇ_RAPORU_BURAK_YENI1309[[#This Row],[BIRIM_FIYATLAR]])&lt;1,VALUE("0"),DST_123_ÜRETİM_İHTİYAÇ_RAPORU_BURAK_YENI1309[[#This Row],[SATINALMA]]*DST_123_ÜRETİM_İHTİYAÇ_RAPORU_BURAK_YENI1309[[#This Row],[BIRIM_FIYATLAR]])</f>
        <v>0</v>
      </c>
      <c r="N2093">
        <v>122.09</v>
      </c>
      <c r="O2093" t="s">
        <v>250</v>
      </c>
      <c r="P2093">
        <v>122.09</v>
      </c>
      <c r="Q2093" t="s">
        <v>180</v>
      </c>
    </row>
    <row r="2094" spans="1:17" x14ac:dyDescent="0.25">
      <c r="A2094" t="s">
        <v>1097</v>
      </c>
      <c r="B2094" t="s">
        <v>1055</v>
      </c>
      <c r="C2094" t="s">
        <v>175</v>
      </c>
      <c r="D2094" t="s">
        <v>540</v>
      </c>
      <c r="E2094" t="s">
        <v>541</v>
      </c>
      <c r="F2094">
        <v>4</v>
      </c>
      <c r="G2094" t="s">
        <v>176</v>
      </c>
      <c r="H2094">
        <v>0</v>
      </c>
      <c r="I2094">
        <v>1000</v>
      </c>
      <c r="J2094" s="10">
        <v>0</v>
      </c>
      <c r="K2094" s="10">
        <f>SUMIFS(F:F,D:D,DST_123_ÜRETİM_İHTİYAÇ_RAPORU_BURAK_YENI1309[[#This Row],[ALT_KOD]])-(SUMIFS(H:H,D:D,DST_123_ÜRETİM_İHTİYAÇ_RAPORU_BURAK_YENI1309[[#This Row],[ALT_KOD]])+AVERAGEIFS(I:I,D:D,DST_123_ÜRETİM_İHTİYAÇ_RAPORU_BURAK_YENI1309[[#This Row],[ALT_KOD]])+AVERAGEIFS(L:L,D:D,DST_123_ÜRETİM_İHTİYAÇ_RAPORU_BURAK_YENI1309[[#This Row],[ALT_KOD]]))</f>
        <v>-964</v>
      </c>
      <c r="L2094">
        <v>0</v>
      </c>
      <c r="M2094">
        <f>IF((DST_123_ÜRETİM_İHTİYAÇ_RAPORU_BURAK_YENI1309[[#This Row],[SATINALMA]]*DST_123_ÜRETİM_İHTİYAÇ_RAPORU_BURAK_YENI1309[[#This Row],[BIRIM_FIYATLAR]])&lt;1,VALUE("0"),DST_123_ÜRETİM_İHTİYAÇ_RAPORU_BURAK_YENI1309[[#This Row],[SATINALMA]]*DST_123_ÜRETİM_İHTİYAÇ_RAPORU_BURAK_YENI1309[[#This Row],[BIRIM_FIYATLAR]])</f>
        <v>0</v>
      </c>
      <c r="N2094">
        <v>1.2</v>
      </c>
      <c r="O2094" t="s">
        <v>240</v>
      </c>
      <c r="P2094">
        <v>4.8</v>
      </c>
      <c r="Q2094" t="s">
        <v>180</v>
      </c>
    </row>
    <row r="2095" spans="1:17" x14ac:dyDescent="0.25">
      <c r="A2095" t="s">
        <v>1095</v>
      </c>
      <c r="B2095" t="s">
        <v>1096</v>
      </c>
      <c r="C2095" t="s">
        <v>175</v>
      </c>
      <c r="D2095" t="s">
        <v>103</v>
      </c>
      <c r="E2095" t="s">
        <v>288</v>
      </c>
      <c r="F2095">
        <v>6.3</v>
      </c>
      <c r="G2095" t="s">
        <v>176</v>
      </c>
      <c r="H2095">
        <v>0</v>
      </c>
      <c r="I2095">
        <v>87</v>
      </c>
      <c r="J2095" s="10">
        <v>50.899999999999949</v>
      </c>
      <c r="K2095" s="10">
        <f>SUMIFS(F:F,D:D,DST_123_ÜRETİM_İHTİYAÇ_RAPORU_BURAK_YENI1309[[#This Row],[ALT_KOD]])-(SUMIFS(H:H,D:D,DST_123_ÜRETİM_İHTİYAÇ_RAPORU_BURAK_YENI1309[[#This Row],[ALT_KOD]])+AVERAGEIFS(I:I,D:D,DST_123_ÜRETİM_İHTİYAÇ_RAPORU_BURAK_YENI1309[[#This Row],[ALT_KOD]])+AVERAGEIFS(L:L,D:D,DST_123_ÜRETİM_İHTİYAÇ_RAPORU_BURAK_YENI1309[[#This Row],[ALT_KOD]]))</f>
        <v>-43.900000000000006</v>
      </c>
      <c r="L2095">
        <v>0</v>
      </c>
      <c r="M2095">
        <f>IF((DST_123_ÜRETİM_İHTİYAÇ_RAPORU_BURAK_YENI1309[[#This Row],[SATINALMA]]*DST_123_ÜRETİM_İHTİYAÇ_RAPORU_BURAK_YENI1309[[#This Row],[BIRIM_FIYATLAR]])&lt;1,VALUE("0"),DST_123_ÜRETİM_İHTİYAÇ_RAPORU_BURAK_YENI1309[[#This Row],[SATINALMA]]*DST_123_ÜRETİM_İHTİYAÇ_RAPORU_BURAK_YENI1309[[#This Row],[BIRIM_FIYATLAR]])</f>
        <v>0</v>
      </c>
      <c r="N2095">
        <v>122.09</v>
      </c>
      <c r="O2095" t="s">
        <v>250</v>
      </c>
      <c r="P2095">
        <v>769.16700000000003</v>
      </c>
      <c r="Q2095" t="s">
        <v>180</v>
      </c>
    </row>
    <row r="2096" spans="1:17" x14ac:dyDescent="0.25">
      <c r="A2096" t="s">
        <v>1143</v>
      </c>
      <c r="B2096" t="s">
        <v>1056</v>
      </c>
      <c r="C2096" t="s">
        <v>175</v>
      </c>
      <c r="D2096" t="s">
        <v>103</v>
      </c>
      <c r="E2096" t="s">
        <v>288</v>
      </c>
      <c r="F2096">
        <v>4.5999999999999996</v>
      </c>
      <c r="G2096" t="s">
        <v>176</v>
      </c>
      <c r="H2096">
        <v>0</v>
      </c>
      <c r="I2096">
        <v>87</v>
      </c>
      <c r="J2096" s="10">
        <v>50.899999999999949</v>
      </c>
      <c r="K2096" s="10">
        <f>SUMIFS(F:F,D:D,DST_123_ÜRETİM_İHTİYAÇ_RAPORU_BURAK_YENI1309[[#This Row],[ALT_KOD]])-(SUMIFS(H:H,D:D,DST_123_ÜRETİM_İHTİYAÇ_RAPORU_BURAK_YENI1309[[#This Row],[ALT_KOD]])+AVERAGEIFS(I:I,D:D,DST_123_ÜRETİM_İHTİYAÇ_RAPORU_BURAK_YENI1309[[#This Row],[ALT_KOD]])+AVERAGEIFS(L:L,D:D,DST_123_ÜRETİM_İHTİYAÇ_RAPORU_BURAK_YENI1309[[#This Row],[ALT_KOD]]))</f>
        <v>-43.900000000000006</v>
      </c>
      <c r="L2096">
        <v>0</v>
      </c>
      <c r="M2096">
        <f>IF((DST_123_ÜRETİM_İHTİYAÇ_RAPORU_BURAK_YENI1309[[#This Row],[SATINALMA]]*DST_123_ÜRETİM_İHTİYAÇ_RAPORU_BURAK_YENI1309[[#This Row],[BIRIM_FIYATLAR]])&lt;1,VALUE("0"),DST_123_ÜRETİM_İHTİYAÇ_RAPORU_BURAK_YENI1309[[#This Row],[SATINALMA]]*DST_123_ÜRETİM_İHTİYAÇ_RAPORU_BURAK_YENI1309[[#This Row],[BIRIM_FIYATLAR]])</f>
        <v>0</v>
      </c>
      <c r="N2096">
        <v>122.09</v>
      </c>
      <c r="O2096" t="s">
        <v>250</v>
      </c>
      <c r="P2096">
        <v>561.61399999999992</v>
      </c>
      <c r="Q2096" t="s">
        <v>180</v>
      </c>
    </row>
    <row r="2097" spans="1:17" x14ac:dyDescent="0.25">
      <c r="A2097" t="s">
        <v>1095</v>
      </c>
      <c r="B2097" t="s">
        <v>1096</v>
      </c>
      <c r="C2097" t="s">
        <v>175</v>
      </c>
      <c r="D2097" t="s">
        <v>540</v>
      </c>
      <c r="E2097" t="s">
        <v>541</v>
      </c>
      <c r="F2097">
        <v>4</v>
      </c>
      <c r="G2097" t="s">
        <v>176</v>
      </c>
      <c r="H2097">
        <v>0</v>
      </c>
      <c r="I2097">
        <v>1000</v>
      </c>
      <c r="J2097" s="10">
        <v>0</v>
      </c>
      <c r="K2097" s="10">
        <f>SUMIFS(F:F,D:D,DST_123_ÜRETİM_İHTİYAÇ_RAPORU_BURAK_YENI1309[[#This Row],[ALT_KOD]])-(SUMIFS(H:H,D:D,DST_123_ÜRETİM_İHTİYAÇ_RAPORU_BURAK_YENI1309[[#This Row],[ALT_KOD]])+AVERAGEIFS(I:I,D:D,DST_123_ÜRETİM_İHTİYAÇ_RAPORU_BURAK_YENI1309[[#This Row],[ALT_KOD]])+AVERAGEIFS(L:L,D:D,DST_123_ÜRETİM_İHTİYAÇ_RAPORU_BURAK_YENI1309[[#This Row],[ALT_KOD]]))</f>
        <v>-964</v>
      </c>
      <c r="L2097">
        <v>0</v>
      </c>
      <c r="M2097">
        <f>IF((DST_123_ÜRETİM_İHTİYAÇ_RAPORU_BURAK_YENI1309[[#This Row],[SATINALMA]]*DST_123_ÜRETİM_İHTİYAÇ_RAPORU_BURAK_YENI1309[[#This Row],[BIRIM_FIYATLAR]])&lt;1,VALUE("0"),DST_123_ÜRETİM_İHTİYAÇ_RAPORU_BURAK_YENI1309[[#This Row],[SATINALMA]]*DST_123_ÜRETİM_İHTİYAÇ_RAPORU_BURAK_YENI1309[[#This Row],[BIRIM_FIYATLAR]])</f>
        <v>0</v>
      </c>
      <c r="N2097">
        <v>1.2</v>
      </c>
      <c r="O2097" t="s">
        <v>240</v>
      </c>
      <c r="P2097">
        <v>4.8</v>
      </c>
      <c r="Q2097" t="s">
        <v>180</v>
      </c>
    </row>
    <row r="2098" spans="1:17" x14ac:dyDescent="0.25">
      <c r="A2098" t="s">
        <v>1101</v>
      </c>
      <c r="B2098" t="s">
        <v>1102</v>
      </c>
      <c r="C2098" t="s">
        <v>175</v>
      </c>
      <c r="D2098" t="s">
        <v>420</v>
      </c>
      <c r="E2098" t="s">
        <v>421</v>
      </c>
      <c r="F2098">
        <v>1</v>
      </c>
      <c r="G2098" t="s">
        <v>179</v>
      </c>
      <c r="H2098">
        <v>0</v>
      </c>
      <c r="I2098">
        <v>0</v>
      </c>
      <c r="J2098" s="10">
        <v>3.0000000000000142</v>
      </c>
      <c r="K2098" s="10">
        <f>SUMIFS(F:F,D:D,DST_123_ÜRETİM_İHTİYAÇ_RAPORU_BURAK_YENI1309[[#This Row],[ALT_KOD]])-(SUMIFS(H:H,D:D,DST_123_ÜRETİM_İHTİYAÇ_RAPORU_BURAK_YENI1309[[#This Row],[ALT_KOD]])+AVERAGEIFS(I:I,D:D,DST_123_ÜRETİM_İHTİYAÇ_RAPORU_BURAK_YENI1309[[#This Row],[ALT_KOD]])+AVERAGEIFS(L:L,D:D,DST_123_ÜRETİM_İHTİYAÇ_RAPORU_BURAK_YENI1309[[#This Row],[ALT_KOD]]))</f>
        <v>11</v>
      </c>
      <c r="L2098">
        <v>0</v>
      </c>
      <c r="M2098">
        <f>IF((DST_123_ÜRETİM_İHTİYAÇ_RAPORU_BURAK_YENI1309[[#This Row],[SATINALMA]]*DST_123_ÜRETİM_İHTİYAÇ_RAPORU_BURAK_YENI1309[[#This Row],[BIRIM_FIYATLAR]])&lt;1,VALUE("0"),DST_123_ÜRETİM_İHTİYAÇ_RAPORU_BURAK_YENI1309[[#This Row],[SATINALMA]]*DST_123_ÜRETİM_İHTİYAÇ_RAPORU_BURAK_YENI1309[[#This Row],[BIRIM_FIYATLAR]])</f>
        <v>5399.35</v>
      </c>
      <c r="N2098">
        <v>490.85</v>
      </c>
      <c r="O2098" t="s">
        <v>422</v>
      </c>
      <c r="P2098">
        <v>490.85</v>
      </c>
      <c r="Q2098" t="s">
        <v>184</v>
      </c>
    </row>
    <row r="2099" spans="1:17" x14ac:dyDescent="0.25">
      <c r="A2099" t="s">
        <v>1196</v>
      </c>
      <c r="B2099" t="s">
        <v>1197</v>
      </c>
      <c r="C2099" t="s">
        <v>175</v>
      </c>
      <c r="D2099" t="s">
        <v>413</v>
      </c>
      <c r="E2099" t="s">
        <v>664</v>
      </c>
      <c r="F2099">
        <v>0.30000000000000004</v>
      </c>
      <c r="G2099" t="s">
        <v>179</v>
      </c>
      <c r="H2099">
        <v>0</v>
      </c>
      <c r="I2099">
        <v>0</v>
      </c>
      <c r="J2099" s="10">
        <v>93.800000000000011</v>
      </c>
      <c r="K2099" s="10">
        <f>SUMIFS(F:F,D:D,DST_123_ÜRETİM_İHTİYAÇ_RAPORU_BURAK_YENI1309[[#This Row],[ALT_KOD]])-(SUMIFS(H:H,D:D,DST_123_ÜRETİM_İHTİYAÇ_RAPORU_BURAK_YENI1309[[#This Row],[ALT_KOD]])+AVERAGEIFS(I:I,D:D,DST_123_ÜRETİM_İHTİYAÇ_RAPORU_BURAK_YENI1309[[#This Row],[ALT_KOD]])+AVERAGEIFS(L:L,D:D,DST_123_ÜRETİM_İHTİYAÇ_RAPORU_BURAK_YENI1309[[#This Row],[ALT_KOD]]))</f>
        <v>5.0999999999999996</v>
      </c>
      <c r="L2099">
        <v>0</v>
      </c>
      <c r="M2099">
        <f>IF((DST_123_ÜRETİM_İHTİYAÇ_RAPORU_BURAK_YENI1309[[#This Row],[SATINALMA]]*DST_123_ÜRETİM_İHTİYAÇ_RAPORU_BURAK_YENI1309[[#This Row],[BIRIM_FIYATLAR]])&lt;1,VALUE("0"),DST_123_ÜRETİM_İHTİYAÇ_RAPORU_BURAK_YENI1309[[#This Row],[SATINALMA]]*DST_123_ÜRETİM_İHTİYAÇ_RAPORU_BURAK_YENI1309[[#This Row],[BIRIM_FIYATLAR]])</f>
        <v>34.526999999999994</v>
      </c>
      <c r="N2099">
        <v>6.77</v>
      </c>
      <c r="O2099" t="s">
        <v>635</v>
      </c>
      <c r="P2099">
        <v>2.0310000000000001</v>
      </c>
      <c r="Q2099" t="s">
        <v>221</v>
      </c>
    </row>
    <row r="2100" spans="1:17" x14ac:dyDescent="0.25">
      <c r="A2100" t="s">
        <v>1098</v>
      </c>
      <c r="B2100" t="s">
        <v>1096</v>
      </c>
      <c r="C2100" t="s">
        <v>175</v>
      </c>
      <c r="D2100" t="s">
        <v>413</v>
      </c>
      <c r="E2100" t="s">
        <v>664</v>
      </c>
      <c r="F2100">
        <v>0.2</v>
      </c>
      <c r="G2100" t="s">
        <v>179</v>
      </c>
      <c r="H2100">
        <v>0</v>
      </c>
      <c r="I2100">
        <v>0</v>
      </c>
      <c r="J2100" s="10">
        <v>93.800000000000011</v>
      </c>
      <c r="K2100" s="10">
        <f>SUMIFS(F:F,D:D,DST_123_ÜRETİM_İHTİYAÇ_RAPORU_BURAK_YENI1309[[#This Row],[ALT_KOD]])-(SUMIFS(H:H,D:D,DST_123_ÜRETİM_İHTİYAÇ_RAPORU_BURAK_YENI1309[[#This Row],[ALT_KOD]])+AVERAGEIFS(I:I,D:D,DST_123_ÜRETİM_İHTİYAÇ_RAPORU_BURAK_YENI1309[[#This Row],[ALT_KOD]])+AVERAGEIFS(L:L,D:D,DST_123_ÜRETİM_İHTİYAÇ_RAPORU_BURAK_YENI1309[[#This Row],[ALT_KOD]]))</f>
        <v>5.0999999999999996</v>
      </c>
      <c r="L2100">
        <v>0</v>
      </c>
      <c r="M2100">
        <f>IF((DST_123_ÜRETİM_İHTİYAÇ_RAPORU_BURAK_YENI1309[[#This Row],[SATINALMA]]*DST_123_ÜRETİM_İHTİYAÇ_RAPORU_BURAK_YENI1309[[#This Row],[BIRIM_FIYATLAR]])&lt;1,VALUE("0"),DST_123_ÜRETİM_İHTİYAÇ_RAPORU_BURAK_YENI1309[[#This Row],[SATINALMA]]*DST_123_ÜRETİM_İHTİYAÇ_RAPORU_BURAK_YENI1309[[#This Row],[BIRIM_FIYATLAR]])</f>
        <v>34.526999999999994</v>
      </c>
      <c r="N2100">
        <v>6.77</v>
      </c>
      <c r="O2100" t="s">
        <v>635</v>
      </c>
      <c r="P2100">
        <v>1.3540000000000001</v>
      </c>
      <c r="Q2100" t="s">
        <v>221</v>
      </c>
    </row>
    <row r="2101" spans="1:17" x14ac:dyDescent="0.25">
      <c r="A2101" t="s">
        <v>1196</v>
      </c>
      <c r="B2101" t="s">
        <v>1197</v>
      </c>
      <c r="C2101" t="s">
        <v>175</v>
      </c>
      <c r="D2101" t="s">
        <v>237</v>
      </c>
      <c r="E2101" t="s">
        <v>306</v>
      </c>
      <c r="F2101">
        <v>2</v>
      </c>
      <c r="G2101" t="s">
        <v>176</v>
      </c>
      <c r="H2101">
        <v>0</v>
      </c>
      <c r="I2101">
        <v>37</v>
      </c>
      <c r="J2101" s="10">
        <v>20</v>
      </c>
      <c r="K2101" s="10">
        <f>SUMIFS(F:F,D:D,DST_123_ÜRETİM_İHTİYAÇ_RAPORU_BURAK_YENI1309[[#This Row],[ALT_KOD]])-(SUMIFS(H:H,D:D,DST_123_ÜRETİM_İHTİYAÇ_RAPORU_BURAK_YENI1309[[#This Row],[ALT_KOD]])+AVERAGEIFS(I:I,D:D,DST_123_ÜRETİM_İHTİYAÇ_RAPORU_BURAK_YENI1309[[#This Row],[ALT_KOD]])+AVERAGEIFS(L:L,D:D,DST_123_ÜRETİM_İHTİYAÇ_RAPORU_BURAK_YENI1309[[#This Row],[ALT_KOD]]))</f>
        <v>-13</v>
      </c>
      <c r="L2101">
        <v>0</v>
      </c>
      <c r="M2101">
        <f>IF((DST_123_ÜRETİM_İHTİYAÇ_RAPORU_BURAK_YENI1309[[#This Row],[SATINALMA]]*DST_123_ÜRETİM_İHTİYAÇ_RAPORU_BURAK_YENI1309[[#This Row],[BIRIM_FIYATLAR]])&lt;1,VALUE("0"),DST_123_ÜRETİM_İHTİYAÇ_RAPORU_BURAK_YENI1309[[#This Row],[SATINALMA]]*DST_123_ÜRETİM_İHTİYAÇ_RAPORU_BURAK_YENI1309[[#This Row],[BIRIM_FIYATLAR]])</f>
        <v>0</v>
      </c>
      <c r="N2101">
        <v>45.3</v>
      </c>
      <c r="O2101" t="s">
        <v>826</v>
      </c>
      <c r="P2101">
        <v>90.6</v>
      </c>
      <c r="Q2101" t="s">
        <v>221</v>
      </c>
    </row>
    <row r="2102" spans="1:17" x14ac:dyDescent="0.25">
      <c r="A2102" t="s">
        <v>1098</v>
      </c>
      <c r="B2102" t="s">
        <v>1096</v>
      </c>
      <c r="C2102" t="s">
        <v>175</v>
      </c>
      <c r="D2102" t="s">
        <v>237</v>
      </c>
      <c r="E2102" t="s">
        <v>306</v>
      </c>
      <c r="F2102">
        <v>2</v>
      </c>
      <c r="G2102" t="s">
        <v>176</v>
      </c>
      <c r="H2102">
        <v>0</v>
      </c>
      <c r="I2102">
        <v>37</v>
      </c>
      <c r="J2102" s="10">
        <v>20</v>
      </c>
      <c r="K2102" s="10">
        <f>SUMIFS(F:F,D:D,DST_123_ÜRETİM_İHTİYAÇ_RAPORU_BURAK_YENI1309[[#This Row],[ALT_KOD]])-(SUMIFS(H:H,D:D,DST_123_ÜRETİM_İHTİYAÇ_RAPORU_BURAK_YENI1309[[#This Row],[ALT_KOD]])+AVERAGEIFS(I:I,D:D,DST_123_ÜRETİM_İHTİYAÇ_RAPORU_BURAK_YENI1309[[#This Row],[ALT_KOD]])+AVERAGEIFS(L:L,D:D,DST_123_ÜRETİM_İHTİYAÇ_RAPORU_BURAK_YENI1309[[#This Row],[ALT_KOD]]))</f>
        <v>-13</v>
      </c>
      <c r="L2102">
        <v>0</v>
      </c>
      <c r="M2102">
        <f>IF((DST_123_ÜRETİM_İHTİYAÇ_RAPORU_BURAK_YENI1309[[#This Row],[SATINALMA]]*DST_123_ÜRETİM_İHTİYAÇ_RAPORU_BURAK_YENI1309[[#This Row],[BIRIM_FIYATLAR]])&lt;1,VALUE("0"),DST_123_ÜRETİM_İHTİYAÇ_RAPORU_BURAK_YENI1309[[#This Row],[SATINALMA]]*DST_123_ÜRETİM_İHTİYAÇ_RAPORU_BURAK_YENI1309[[#This Row],[BIRIM_FIYATLAR]])</f>
        <v>0</v>
      </c>
      <c r="N2102">
        <v>45.3</v>
      </c>
      <c r="O2102" t="s">
        <v>826</v>
      </c>
      <c r="P2102">
        <v>90.6</v>
      </c>
      <c r="Q2102" t="s">
        <v>221</v>
      </c>
    </row>
    <row r="2103" spans="1:17" x14ac:dyDescent="0.25">
      <c r="A2103" t="s">
        <v>1059</v>
      </c>
      <c r="B2103" t="s">
        <v>1058</v>
      </c>
      <c r="C2103" t="s">
        <v>175</v>
      </c>
      <c r="D2103" t="s">
        <v>149</v>
      </c>
      <c r="E2103" t="s">
        <v>150</v>
      </c>
      <c r="F2103">
        <v>1</v>
      </c>
      <c r="G2103" t="s">
        <v>176</v>
      </c>
      <c r="H2103">
        <v>0</v>
      </c>
      <c r="I2103">
        <v>5</v>
      </c>
      <c r="J2103" s="10">
        <v>0</v>
      </c>
      <c r="K2103" s="10">
        <f>SUMIFS(F:F,D:D,DST_123_ÜRETİM_İHTİYAÇ_RAPORU_BURAK_YENI1309[[#This Row],[ALT_KOD]])-(SUMIFS(H:H,D:D,DST_123_ÜRETİM_İHTİYAÇ_RAPORU_BURAK_YENI1309[[#This Row],[ALT_KOD]])+AVERAGEIFS(I:I,D:D,DST_123_ÜRETİM_İHTİYAÇ_RAPORU_BURAK_YENI1309[[#This Row],[ALT_KOD]])+AVERAGEIFS(L:L,D:D,DST_123_ÜRETİM_İHTİYAÇ_RAPORU_BURAK_YENI1309[[#This Row],[ALT_KOD]]))</f>
        <v>4.6000000000000014</v>
      </c>
      <c r="L2103">
        <v>5</v>
      </c>
      <c r="M2103">
        <f>IF((DST_123_ÜRETİM_İHTİYAÇ_RAPORU_BURAK_YENI1309[[#This Row],[SATINALMA]]*DST_123_ÜRETİM_İHTİYAÇ_RAPORU_BURAK_YENI1309[[#This Row],[BIRIM_FIYATLAR]])&lt;1,VALUE("0"),DST_123_ÜRETİM_İHTİYAÇ_RAPORU_BURAK_YENI1309[[#This Row],[SATINALMA]]*DST_123_ÜRETİM_İHTİYAÇ_RAPORU_BURAK_YENI1309[[#This Row],[BIRIM_FIYATLAR]])</f>
        <v>5276.2000000000016</v>
      </c>
      <c r="N2103">
        <v>1147</v>
      </c>
      <c r="O2103" t="s">
        <v>672</v>
      </c>
      <c r="P2103">
        <v>1147</v>
      </c>
      <c r="Q2103" t="s">
        <v>184</v>
      </c>
    </row>
    <row r="2104" spans="1:17" x14ac:dyDescent="0.25">
      <c r="A2104" t="s">
        <v>1143</v>
      </c>
      <c r="B2104" t="s">
        <v>1056</v>
      </c>
      <c r="C2104" t="s">
        <v>175</v>
      </c>
      <c r="D2104" t="s">
        <v>468</v>
      </c>
      <c r="E2104" t="s">
        <v>579</v>
      </c>
      <c r="F2104">
        <v>2</v>
      </c>
      <c r="G2104" t="s">
        <v>185</v>
      </c>
      <c r="H2104">
        <v>0</v>
      </c>
      <c r="I2104">
        <v>30</v>
      </c>
      <c r="J2104" s="10">
        <v>21.5</v>
      </c>
      <c r="K2104" s="10">
        <f>SUMIFS(F:F,D:D,DST_123_ÜRETİM_İHTİYAÇ_RAPORU_BURAK_YENI1309[[#This Row],[ALT_KOD]])-(SUMIFS(H:H,D:D,DST_123_ÜRETİM_İHTİYAÇ_RAPORU_BURAK_YENI1309[[#This Row],[ALT_KOD]])+AVERAGEIFS(I:I,D:D,DST_123_ÜRETİM_İHTİYAÇ_RAPORU_BURAK_YENI1309[[#This Row],[ALT_KOD]])+AVERAGEIFS(L:L,D:D,DST_123_ÜRETİM_İHTİYAÇ_RAPORU_BURAK_YENI1309[[#This Row],[ALT_KOD]]))</f>
        <v>4</v>
      </c>
      <c r="L2104">
        <v>0</v>
      </c>
      <c r="M2104">
        <f>IF((DST_123_ÜRETİM_İHTİYAÇ_RAPORU_BURAK_YENI1309[[#This Row],[SATINALMA]]*DST_123_ÜRETİM_İHTİYAÇ_RAPORU_BURAK_YENI1309[[#This Row],[BIRIM_FIYATLAR]])&lt;1,VALUE("0"),DST_123_ÜRETİM_İHTİYAÇ_RAPORU_BURAK_YENI1309[[#This Row],[SATINALMA]]*DST_123_ÜRETİM_İHTİYAÇ_RAPORU_BURAK_YENI1309[[#This Row],[BIRIM_FIYATLAR]])</f>
        <v>472.56</v>
      </c>
      <c r="N2104">
        <v>118.14</v>
      </c>
      <c r="O2104" t="s">
        <v>393</v>
      </c>
      <c r="P2104">
        <v>236.28</v>
      </c>
      <c r="Q2104" t="s">
        <v>183</v>
      </c>
    </row>
    <row r="2105" spans="1:17" x14ac:dyDescent="0.25">
      <c r="A2105" t="s">
        <v>1097</v>
      </c>
      <c r="B2105" t="s">
        <v>1055</v>
      </c>
      <c r="C2105" t="s">
        <v>175</v>
      </c>
      <c r="D2105" t="s">
        <v>413</v>
      </c>
      <c r="E2105" t="s">
        <v>664</v>
      </c>
      <c r="F2105">
        <v>0.2</v>
      </c>
      <c r="G2105" t="s">
        <v>179</v>
      </c>
      <c r="H2105">
        <v>0</v>
      </c>
      <c r="I2105">
        <v>0</v>
      </c>
      <c r="J2105" s="10">
        <v>93.800000000000011</v>
      </c>
      <c r="K2105" s="10">
        <f>SUMIFS(F:F,D:D,DST_123_ÜRETİM_İHTİYAÇ_RAPORU_BURAK_YENI1309[[#This Row],[ALT_KOD]])-(SUMIFS(H:H,D:D,DST_123_ÜRETİM_İHTİYAÇ_RAPORU_BURAK_YENI1309[[#This Row],[ALT_KOD]])+AVERAGEIFS(I:I,D:D,DST_123_ÜRETİM_İHTİYAÇ_RAPORU_BURAK_YENI1309[[#This Row],[ALT_KOD]])+AVERAGEIFS(L:L,D:D,DST_123_ÜRETİM_İHTİYAÇ_RAPORU_BURAK_YENI1309[[#This Row],[ALT_KOD]]))</f>
        <v>5.0999999999999996</v>
      </c>
      <c r="L2105">
        <v>0</v>
      </c>
      <c r="M2105">
        <f>IF((DST_123_ÜRETİM_İHTİYAÇ_RAPORU_BURAK_YENI1309[[#This Row],[SATINALMA]]*DST_123_ÜRETİM_İHTİYAÇ_RAPORU_BURAK_YENI1309[[#This Row],[BIRIM_FIYATLAR]])&lt;1,VALUE("0"),DST_123_ÜRETİM_İHTİYAÇ_RAPORU_BURAK_YENI1309[[#This Row],[SATINALMA]]*DST_123_ÜRETİM_İHTİYAÇ_RAPORU_BURAK_YENI1309[[#This Row],[BIRIM_FIYATLAR]])</f>
        <v>34.526999999999994</v>
      </c>
      <c r="N2105">
        <v>6.77</v>
      </c>
      <c r="O2105" t="s">
        <v>635</v>
      </c>
      <c r="P2105">
        <v>1.3540000000000001</v>
      </c>
      <c r="Q2105" t="s">
        <v>221</v>
      </c>
    </row>
    <row r="2106" spans="1:17" x14ac:dyDescent="0.25">
      <c r="A2106" t="s">
        <v>1143</v>
      </c>
      <c r="B2106" t="s">
        <v>1056</v>
      </c>
      <c r="C2106" t="s">
        <v>175</v>
      </c>
      <c r="D2106" t="s">
        <v>237</v>
      </c>
      <c r="E2106" t="s">
        <v>306</v>
      </c>
      <c r="F2106">
        <v>2</v>
      </c>
      <c r="G2106" t="s">
        <v>176</v>
      </c>
      <c r="H2106">
        <v>0</v>
      </c>
      <c r="I2106">
        <v>37</v>
      </c>
      <c r="J2106" s="10">
        <v>20</v>
      </c>
      <c r="K2106" s="10">
        <f>SUMIFS(F:F,D:D,DST_123_ÜRETİM_İHTİYAÇ_RAPORU_BURAK_YENI1309[[#This Row],[ALT_KOD]])-(SUMIFS(H:H,D:D,DST_123_ÜRETİM_İHTİYAÇ_RAPORU_BURAK_YENI1309[[#This Row],[ALT_KOD]])+AVERAGEIFS(I:I,D:D,DST_123_ÜRETİM_İHTİYAÇ_RAPORU_BURAK_YENI1309[[#This Row],[ALT_KOD]])+AVERAGEIFS(L:L,D:D,DST_123_ÜRETİM_İHTİYAÇ_RAPORU_BURAK_YENI1309[[#This Row],[ALT_KOD]]))</f>
        <v>-13</v>
      </c>
      <c r="L2106">
        <v>0</v>
      </c>
      <c r="M2106">
        <f>IF((DST_123_ÜRETİM_İHTİYAÇ_RAPORU_BURAK_YENI1309[[#This Row],[SATINALMA]]*DST_123_ÜRETİM_İHTİYAÇ_RAPORU_BURAK_YENI1309[[#This Row],[BIRIM_FIYATLAR]])&lt;1,VALUE("0"),DST_123_ÜRETİM_İHTİYAÇ_RAPORU_BURAK_YENI1309[[#This Row],[SATINALMA]]*DST_123_ÜRETİM_İHTİYAÇ_RAPORU_BURAK_YENI1309[[#This Row],[BIRIM_FIYATLAR]])</f>
        <v>0</v>
      </c>
      <c r="N2106">
        <v>45.3</v>
      </c>
      <c r="O2106" t="s">
        <v>826</v>
      </c>
      <c r="P2106">
        <v>90.6</v>
      </c>
      <c r="Q2106" t="s">
        <v>221</v>
      </c>
    </row>
    <row r="2107" spans="1:17" x14ac:dyDescent="0.25">
      <c r="A2107" t="s">
        <v>1064</v>
      </c>
      <c r="B2107" t="s">
        <v>1055</v>
      </c>
      <c r="C2107" t="s">
        <v>175</v>
      </c>
      <c r="D2107" t="s">
        <v>382</v>
      </c>
      <c r="E2107" t="s">
        <v>383</v>
      </c>
      <c r="F2107">
        <v>1</v>
      </c>
      <c r="G2107" t="s">
        <v>176</v>
      </c>
      <c r="H2107">
        <v>0</v>
      </c>
      <c r="I2107">
        <v>32</v>
      </c>
      <c r="J2107" s="10">
        <v>22</v>
      </c>
      <c r="K2107" s="10">
        <f>SUMIFS(F:F,D:D,DST_123_ÜRETİM_İHTİYAÇ_RAPORU_BURAK_YENI1309[[#This Row],[ALT_KOD]])-(SUMIFS(H:H,D:D,DST_123_ÜRETİM_İHTİYAÇ_RAPORU_BURAK_YENI1309[[#This Row],[ALT_KOD]])+AVERAGEIFS(I:I,D:D,DST_123_ÜRETİM_İHTİYAÇ_RAPORU_BURAK_YENI1309[[#This Row],[ALT_KOD]])+AVERAGEIFS(L:L,D:D,DST_123_ÜRETİM_İHTİYAÇ_RAPORU_BURAK_YENI1309[[#This Row],[ALT_KOD]]))</f>
        <v>-13</v>
      </c>
      <c r="L2107">
        <v>0</v>
      </c>
      <c r="M2107">
        <f>IF((DST_123_ÜRETİM_İHTİYAÇ_RAPORU_BURAK_YENI1309[[#This Row],[SATINALMA]]*DST_123_ÜRETİM_İHTİYAÇ_RAPORU_BURAK_YENI1309[[#This Row],[BIRIM_FIYATLAR]])&lt;1,VALUE("0"),DST_123_ÜRETİM_İHTİYAÇ_RAPORU_BURAK_YENI1309[[#This Row],[SATINALMA]]*DST_123_ÜRETİM_İHTİYAÇ_RAPORU_BURAK_YENI1309[[#This Row],[BIRIM_FIYATLAR]])</f>
        <v>0</v>
      </c>
      <c r="N2107">
        <v>34</v>
      </c>
      <c r="O2107" t="s">
        <v>240</v>
      </c>
      <c r="P2107">
        <v>34</v>
      </c>
      <c r="Q2107" t="s">
        <v>178</v>
      </c>
    </row>
    <row r="2108" spans="1:17" x14ac:dyDescent="0.25">
      <c r="A2108" t="s">
        <v>1143</v>
      </c>
      <c r="B2108" t="s">
        <v>1056</v>
      </c>
      <c r="C2108" t="s">
        <v>175</v>
      </c>
      <c r="D2108" t="s">
        <v>94</v>
      </c>
      <c r="E2108" t="s">
        <v>95</v>
      </c>
      <c r="F2108">
        <v>1</v>
      </c>
      <c r="G2108" t="s">
        <v>176</v>
      </c>
      <c r="H2108">
        <v>0</v>
      </c>
      <c r="I2108">
        <v>11</v>
      </c>
      <c r="J2108" s="10">
        <v>8</v>
      </c>
      <c r="K2108" s="10">
        <f>SUMIFS(F:F,D:D,DST_123_ÜRETİM_İHTİYAÇ_RAPORU_BURAK_YENI1309[[#This Row],[ALT_KOD]])-(SUMIFS(H:H,D:D,DST_123_ÜRETİM_İHTİYAÇ_RAPORU_BURAK_YENI1309[[#This Row],[ALT_KOD]])+AVERAGEIFS(I:I,D:D,DST_123_ÜRETİM_İHTİYAÇ_RAPORU_BURAK_YENI1309[[#This Row],[ALT_KOD]])+AVERAGEIFS(L:L,D:D,DST_123_ÜRETİM_İHTİYAÇ_RAPORU_BURAK_YENI1309[[#This Row],[ALT_KOD]]))</f>
        <v>0</v>
      </c>
      <c r="L2108">
        <v>0</v>
      </c>
      <c r="M2108">
        <f>IF((DST_123_ÜRETİM_İHTİYAÇ_RAPORU_BURAK_YENI1309[[#This Row],[SATINALMA]]*DST_123_ÜRETİM_İHTİYAÇ_RAPORU_BURAK_YENI1309[[#This Row],[BIRIM_FIYATLAR]])&lt;1,VALUE("0"),DST_123_ÜRETİM_İHTİYAÇ_RAPORU_BURAK_YENI1309[[#This Row],[SATINALMA]]*DST_123_ÜRETİM_İHTİYAÇ_RAPORU_BURAK_YENI1309[[#This Row],[BIRIM_FIYATLAR]])</f>
        <v>0</v>
      </c>
      <c r="N2108">
        <v>1145.83</v>
      </c>
      <c r="O2108" t="s">
        <v>247</v>
      </c>
      <c r="P2108">
        <v>1145.83</v>
      </c>
      <c r="Q2108" t="s">
        <v>177</v>
      </c>
    </row>
    <row r="2109" spans="1:17" x14ac:dyDescent="0.25">
      <c r="A2109" t="s">
        <v>1196</v>
      </c>
      <c r="B2109" t="s">
        <v>1197</v>
      </c>
      <c r="C2109" t="s">
        <v>175</v>
      </c>
      <c r="D2109" t="s">
        <v>811</v>
      </c>
      <c r="E2109" t="s">
        <v>812</v>
      </c>
      <c r="F2109">
        <v>4</v>
      </c>
      <c r="G2109" t="s">
        <v>176</v>
      </c>
      <c r="H2109">
        <v>0</v>
      </c>
      <c r="I2109">
        <v>100</v>
      </c>
      <c r="J2109" s="10">
        <v>138</v>
      </c>
      <c r="K2109" s="10">
        <f>SUMIFS(F:F,D:D,DST_123_ÜRETİM_İHTİYAÇ_RAPORU_BURAK_YENI1309[[#This Row],[ALT_KOD]])-(SUMIFS(H:H,D:D,DST_123_ÜRETİM_İHTİYAÇ_RAPORU_BURAK_YENI1309[[#This Row],[ALT_KOD]])+AVERAGEIFS(I:I,D:D,DST_123_ÜRETİM_İHTİYAÇ_RAPORU_BURAK_YENI1309[[#This Row],[ALT_KOD]])+AVERAGEIFS(L:L,D:D,DST_123_ÜRETİM_İHTİYAÇ_RAPORU_BURAK_YENI1309[[#This Row],[ALT_KOD]]))</f>
        <v>-84</v>
      </c>
      <c r="L2109">
        <v>0</v>
      </c>
      <c r="M2109">
        <f>IF((DST_123_ÜRETİM_İHTİYAÇ_RAPORU_BURAK_YENI1309[[#This Row],[SATINALMA]]*DST_123_ÜRETİM_İHTİYAÇ_RAPORU_BURAK_YENI1309[[#This Row],[BIRIM_FIYATLAR]])&lt;1,VALUE("0"),DST_123_ÜRETİM_İHTİYAÇ_RAPORU_BURAK_YENI1309[[#This Row],[SATINALMA]]*DST_123_ÜRETİM_İHTİYAÇ_RAPORU_BURAK_YENI1309[[#This Row],[BIRIM_FIYATLAR]])</f>
        <v>0</v>
      </c>
      <c r="N2109">
        <v>8</v>
      </c>
      <c r="O2109" t="s">
        <v>882</v>
      </c>
      <c r="P2109">
        <v>32</v>
      </c>
      <c r="Q2109" t="s">
        <v>178</v>
      </c>
    </row>
    <row r="2110" spans="1:17" x14ac:dyDescent="0.25">
      <c r="A2110" t="s">
        <v>1196</v>
      </c>
      <c r="B2110" t="s">
        <v>1197</v>
      </c>
      <c r="C2110" t="s">
        <v>175</v>
      </c>
      <c r="D2110" t="s">
        <v>361</v>
      </c>
      <c r="E2110" t="s">
        <v>362</v>
      </c>
      <c r="F2110">
        <v>7.5</v>
      </c>
      <c r="G2110" t="s">
        <v>179</v>
      </c>
      <c r="H2110">
        <v>0</v>
      </c>
      <c r="I2110">
        <v>100</v>
      </c>
      <c r="J2110" s="10">
        <v>139.99999999999989</v>
      </c>
      <c r="K2110" s="10">
        <f>SUMIFS(F:F,D:D,DST_123_ÜRETİM_İHTİYAÇ_RAPORU_BURAK_YENI1309[[#This Row],[ALT_KOD]])-(SUMIFS(H:H,D:D,DST_123_ÜRETİM_İHTİYAÇ_RAPORU_BURAK_YENI1309[[#This Row],[ALT_KOD]])+AVERAGEIFS(I:I,D:D,DST_123_ÜRETİM_İHTİYAÇ_RAPORU_BURAK_YENI1309[[#This Row],[ALT_KOD]])+AVERAGEIFS(L:L,D:D,DST_123_ÜRETİM_İHTİYAÇ_RAPORU_BURAK_YENI1309[[#This Row],[ALT_KOD]]))</f>
        <v>41.300000000000011</v>
      </c>
      <c r="L2110">
        <v>0</v>
      </c>
      <c r="M2110">
        <f>IF((DST_123_ÜRETİM_İHTİYAÇ_RAPORU_BURAK_YENI1309[[#This Row],[SATINALMA]]*DST_123_ÜRETİM_İHTİYAÇ_RAPORU_BURAK_YENI1309[[#This Row],[BIRIM_FIYATLAR]])&lt;1,VALUE("0"),DST_123_ÜRETİM_İHTİYAÇ_RAPORU_BURAK_YENI1309[[#This Row],[SATINALMA]]*DST_123_ÜRETİM_İHTİYAÇ_RAPORU_BURAK_YENI1309[[#This Row],[BIRIM_FIYATLAR]])</f>
        <v>929.25000000000023</v>
      </c>
      <c r="N2110">
        <v>22.5</v>
      </c>
      <c r="O2110" t="s">
        <v>314</v>
      </c>
      <c r="P2110">
        <v>168.75</v>
      </c>
      <c r="Q2110" t="s">
        <v>178</v>
      </c>
    </row>
    <row r="2111" spans="1:17" x14ac:dyDescent="0.25">
      <c r="A2111" t="s">
        <v>1099</v>
      </c>
      <c r="B2111" t="s">
        <v>1055</v>
      </c>
      <c r="C2111" t="s">
        <v>175</v>
      </c>
      <c r="D2111" t="s">
        <v>361</v>
      </c>
      <c r="E2111" t="s">
        <v>362</v>
      </c>
      <c r="F2111">
        <v>5.65</v>
      </c>
      <c r="G2111" t="s">
        <v>179</v>
      </c>
      <c r="H2111">
        <v>0</v>
      </c>
      <c r="I2111">
        <v>100</v>
      </c>
      <c r="J2111" s="10">
        <v>139.99999999999989</v>
      </c>
      <c r="K2111" s="10">
        <f>SUMIFS(F:F,D:D,DST_123_ÜRETİM_İHTİYAÇ_RAPORU_BURAK_YENI1309[[#This Row],[ALT_KOD]])-(SUMIFS(H:H,D:D,DST_123_ÜRETİM_İHTİYAÇ_RAPORU_BURAK_YENI1309[[#This Row],[ALT_KOD]])+AVERAGEIFS(I:I,D:D,DST_123_ÜRETİM_İHTİYAÇ_RAPORU_BURAK_YENI1309[[#This Row],[ALT_KOD]])+AVERAGEIFS(L:L,D:D,DST_123_ÜRETİM_İHTİYAÇ_RAPORU_BURAK_YENI1309[[#This Row],[ALT_KOD]]))</f>
        <v>41.300000000000011</v>
      </c>
      <c r="L2111">
        <v>0</v>
      </c>
      <c r="M2111">
        <f>IF((DST_123_ÜRETİM_İHTİYAÇ_RAPORU_BURAK_YENI1309[[#This Row],[SATINALMA]]*DST_123_ÜRETİM_İHTİYAÇ_RAPORU_BURAK_YENI1309[[#This Row],[BIRIM_FIYATLAR]])&lt;1,VALUE("0"),DST_123_ÜRETİM_İHTİYAÇ_RAPORU_BURAK_YENI1309[[#This Row],[SATINALMA]]*DST_123_ÜRETİM_İHTİYAÇ_RAPORU_BURAK_YENI1309[[#This Row],[BIRIM_FIYATLAR]])</f>
        <v>929.25000000000023</v>
      </c>
      <c r="N2111">
        <v>22.5</v>
      </c>
      <c r="O2111" t="s">
        <v>314</v>
      </c>
      <c r="P2111">
        <v>127.12500000000001</v>
      </c>
      <c r="Q2111" t="s">
        <v>178</v>
      </c>
    </row>
    <row r="2112" spans="1:17" x14ac:dyDescent="0.25">
      <c r="A2112" t="s">
        <v>1099</v>
      </c>
      <c r="B2112" t="s">
        <v>1055</v>
      </c>
      <c r="C2112" t="s">
        <v>175</v>
      </c>
      <c r="D2112" t="s">
        <v>255</v>
      </c>
      <c r="E2112" t="s">
        <v>309</v>
      </c>
      <c r="F2112">
        <v>2</v>
      </c>
      <c r="G2112" t="s">
        <v>176</v>
      </c>
      <c r="H2112">
        <v>0</v>
      </c>
      <c r="I2112">
        <v>38</v>
      </c>
      <c r="J2112" s="10">
        <v>20</v>
      </c>
      <c r="K2112" s="10">
        <f>SUMIFS(F:F,D:D,DST_123_ÜRETİM_İHTİYAÇ_RAPORU_BURAK_YENI1309[[#This Row],[ALT_KOD]])-(SUMIFS(H:H,D:D,DST_123_ÜRETİM_İHTİYAÇ_RAPORU_BURAK_YENI1309[[#This Row],[ALT_KOD]])+AVERAGEIFS(I:I,D:D,DST_123_ÜRETİM_İHTİYAÇ_RAPORU_BURAK_YENI1309[[#This Row],[ALT_KOD]])+AVERAGEIFS(L:L,D:D,DST_123_ÜRETİM_İHTİYAÇ_RAPORU_BURAK_YENI1309[[#This Row],[ALT_KOD]]))</f>
        <v>-14</v>
      </c>
      <c r="L2112">
        <v>0</v>
      </c>
      <c r="M2112">
        <f>IF((DST_123_ÜRETİM_İHTİYAÇ_RAPORU_BURAK_YENI1309[[#This Row],[SATINALMA]]*DST_123_ÜRETİM_İHTİYAÇ_RAPORU_BURAK_YENI1309[[#This Row],[BIRIM_FIYATLAR]])&lt;1,VALUE("0"),DST_123_ÜRETİM_İHTİYAÇ_RAPORU_BURAK_YENI1309[[#This Row],[SATINALMA]]*DST_123_ÜRETİM_İHTİYAÇ_RAPORU_BURAK_YENI1309[[#This Row],[BIRIM_FIYATLAR]])</f>
        <v>0</v>
      </c>
      <c r="N2112">
        <v>55</v>
      </c>
      <c r="O2112" t="s">
        <v>826</v>
      </c>
      <c r="P2112">
        <v>110</v>
      </c>
      <c r="Q2112" t="s">
        <v>221</v>
      </c>
    </row>
    <row r="2113" spans="1:17" x14ac:dyDescent="0.25">
      <c r="A2113" t="s">
        <v>1196</v>
      </c>
      <c r="B2113" t="s">
        <v>1197</v>
      </c>
      <c r="C2113" t="s">
        <v>175</v>
      </c>
      <c r="D2113" t="s">
        <v>1153</v>
      </c>
      <c r="E2113" t="s">
        <v>1154</v>
      </c>
      <c r="F2113">
        <v>15</v>
      </c>
      <c r="G2113" t="s">
        <v>176</v>
      </c>
      <c r="H2113">
        <v>0</v>
      </c>
      <c r="I2113">
        <v>31</v>
      </c>
      <c r="J2113" s="10">
        <v>20</v>
      </c>
      <c r="K2113" s="10">
        <f>SUMIFS(F:F,D:D,DST_123_ÜRETİM_İHTİYAÇ_RAPORU_BURAK_YENI1309[[#This Row],[ALT_KOD]])-(SUMIFS(H:H,D:D,DST_123_ÜRETİM_İHTİYAÇ_RAPORU_BURAK_YENI1309[[#This Row],[ALT_KOD]])+AVERAGEIFS(I:I,D:D,DST_123_ÜRETİM_İHTİYAÇ_RAPORU_BURAK_YENI1309[[#This Row],[ALT_KOD]])+AVERAGEIFS(L:L,D:D,DST_123_ÜRETİM_İHTİYAÇ_RAPORU_BURAK_YENI1309[[#This Row],[ALT_KOD]]))</f>
        <v>14</v>
      </c>
      <c r="L2113">
        <v>0</v>
      </c>
      <c r="M2113">
        <f>IF((DST_123_ÜRETİM_İHTİYAÇ_RAPORU_BURAK_YENI1309[[#This Row],[SATINALMA]]*DST_123_ÜRETİM_İHTİYAÇ_RAPORU_BURAK_YENI1309[[#This Row],[BIRIM_FIYATLAR]])&lt;1,VALUE("0"),DST_123_ÜRETİM_İHTİYAÇ_RAPORU_BURAK_YENI1309[[#This Row],[SATINALMA]]*DST_123_ÜRETİM_İHTİYAÇ_RAPORU_BURAK_YENI1309[[#This Row],[BIRIM_FIYATLAR]])</f>
        <v>1225</v>
      </c>
      <c r="N2113">
        <v>87.5</v>
      </c>
      <c r="O2113" t="s">
        <v>628</v>
      </c>
      <c r="P2113">
        <v>1312.5</v>
      </c>
      <c r="Q2113" t="s">
        <v>180</v>
      </c>
    </row>
    <row r="2114" spans="1:17" x14ac:dyDescent="0.25">
      <c r="A2114" t="s">
        <v>1095</v>
      </c>
      <c r="B2114" t="s">
        <v>1096</v>
      </c>
      <c r="C2114" t="s">
        <v>175</v>
      </c>
      <c r="D2114" t="s">
        <v>361</v>
      </c>
      <c r="E2114" t="s">
        <v>362</v>
      </c>
      <c r="F2114">
        <v>5.5</v>
      </c>
      <c r="G2114" t="s">
        <v>179</v>
      </c>
      <c r="H2114">
        <v>0</v>
      </c>
      <c r="I2114">
        <v>100</v>
      </c>
      <c r="J2114" s="10">
        <v>139.99999999999989</v>
      </c>
      <c r="K2114" s="10">
        <f>SUMIFS(F:F,D:D,DST_123_ÜRETİM_İHTİYAÇ_RAPORU_BURAK_YENI1309[[#This Row],[ALT_KOD]])-(SUMIFS(H:H,D:D,DST_123_ÜRETİM_İHTİYAÇ_RAPORU_BURAK_YENI1309[[#This Row],[ALT_KOD]])+AVERAGEIFS(I:I,D:D,DST_123_ÜRETİM_İHTİYAÇ_RAPORU_BURAK_YENI1309[[#This Row],[ALT_KOD]])+AVERAGEIFS(L:L,D:D,DST_123_ÜRETİM_İHTİYAÇ_RAPORU_BURAK_YENI1309[[#This Row],[ALT_KOD]]))</f>
        <v>41.300000000000011</v>
      </c>
      <c r="L2114">
        <v>0</v>
      </c>
      <c r="M2114">
        <f>IF((DST_123_ÜRETİM_İHTİYAÇ_RAPORU_BURAK_YENI1309[[#This Row],[SATINALMA]]*DST_123_ÜRETİM_İHTİYAÇ_RAPORU_BURAK_YENI1309[[#This Row],[BIRIM_FIYATLAR]])&lt;1,VALUE("0"),DST_123_ÜRETİM_İHTİYAÇ_RAPORU_BURAK_YENI1309[[#This Row],[SATINALMA]]*DST_123_ÜRETİM_İHTİYAÇ_RAPORU_BURAK_YENI1309[[#This Row],[BIRIM_FIYATLAR]])</f>
        <v>929.25000000000023</v>
      </c>
      <c r="N2114">
        <v>22.5</v>
      </c>
      <c r="O2114" t="s">
        <v>314</v>
      </c>
      <c r="P2114">
        <v>123.75</v>
      </c>
      <c r="Q2114" t="s">
        <v>178</v>
      </c>
    </row>
    <row r="2115" spans="1:17" x14ac:dyDescent="0.25">
      <c r="A2115" t="s">
        <v>1142</v>
      </c>
      <c r="B2115" t="s">
        <v>1056</v>
      </c>
      <c r="C2115" t="s">
        <v>175</v>
      </c>
      <c r="D2115" t="s">
        <v>255</v>
      </c>
      <c r="E2115" t="s">
        <v>309</v>
      </c>
      <c r="F2115">
        <v>2</v>
      </c>
      <c r="G2115" t="s">
        <v>176</v>
      </c>
      <c r="H2115">
        <v>0</v>
      </c>
      <c r="I2115">
        <v>38</v>
      </c>
      <c r="J2115" s="10">
        <v>20</v>
      </c>
      <c r="K2115" s="10">
        <f>SUMIFS(F:F,D:D,DST_123_ÜRETİM_İHTİYAÇ_RAPORU_BURAK_YENI1309[[#This Row],[ALT_KOD]])-(SUMIFS(H:H,D:D,DST_123_ÜRETİM_İHTİYAÇ_RAPORU_BURAK_YENI1309[[#This Row],[ALT_KOD]])+AVERAGEIFS(I:I,D:D,DST_123_ÜRETİM_İHTİYAÇ_RAPORU_BURAK_YENI1309[[#This Row],[ALT_KOD]])+AVERAGEIFS(L:L,D:D,DST_123_ÜRETİM_İHTİYAÇ_RAPORU_BURAK_YENI1309[[#This Row],[ALT_KOD]]))</f>
        <v>-14</v>
      </c>
      <c r="L2115">
        <v>0</v>
      </c>
      <c r="M2115">
        <f>IF((DST_123_ÜRETİM_İHTİYAÇ_RAPORU_BURAK_YENI1309[[#This Row],[SATINALMA]]*DST_123_ÜRETİM_İHTİYAÇ_RAPORU_BURAK_YENI1309[[#This Row],[BIRIM_FIYATLAR]])&lt;1,VALUE("0"),DST_123_ÜRETİM_İHTİYAÇ_RAPORU_BURAK_YENI1309[[#This Row],[SATINALMA]]*DST_123_ÜRETİM_İHTİYAÇ_RAPORU_BURAK_YENI1309[[#This Row],[BIRIM_FIYATLAR]])</f>
        <v>0</v>
      </c>
      <c r="N2115">
        <v>55</v>
      </c>
      <c r="O2115" t="s">
        <v>826</v>
      </c>
      <c r="P2115">
        <v>110</v>
      </c>
      <c r="Q2115" t="s">
        <v>221</v>
      </c>
    </row>
    <row r="2116" spans="1:17" x14ac:dyDescent="0.25">
      <c r="A2116" t="s">
        <v>1059</v>
      </c>
      <c r="B2116" t="s">
        <v>1058</v>
      </c>
      <c r="C2116" t="s">
        <v>175</v>
      </c>
      <c r="D2116" t="s">
        <v>382</v>
      </c>
      <c r="E2116" t="s">
        <v>383</v>
      </c>
      <c r="F2116">
        <v>1</v>
      </c>
      <c r="G2116" t="s">
        <v>176</v>
      </c>
      <c r="H2116">
        <v>0</v>
      </c>
      <c r="I2116">
        <v>32</v>
      </c>
      <c r="J2116" s="10">
        <v>22</v>
      </c>
      <c r="K2116" s="10">
        <f>SUMIFS(F:F,D:D,DST_123_ÜRETİM_İHTİYAÇ_RAPORU_BURAK_YENI1309[[#This Row],[ALT_KOD]])-(SUMIFS(H:H,D:D,DST_123_ÜRETİM_İHTİYAÇ_RAPORU_BURAK_YENI1309[[#This Row],[ALT_KOD]])+AVERAGEIFS(I:I,D:D,DST_123_ÜRETİM_İHTİYAÇ_RAPORU_BURAK_YENI1309[[#This Row],[ALT_KOD]])+AVERAGEIFS(L:L,D:D,DST_123_ÜRETİM_İHTİYAÇ_RAPORU_BURAK_YENI1309[[#This Row],[ALT_KOD]]))</f>
        <v>-13</v>
      </c>
      <c r="L2116">
        <v>0</v>
      </c>
      <c r="M2116">
        <f>IF((DST_123_ÜRETİM_İHTİYAÇ_RAPORU_BURAK_YENI1309[[#This Row],[SATINALMA]]*DST_123_ÜRETİM_İHTİYAÇ_RAPORU_BURAK_YENI1309[[#This Row],[BIRIM_FIYATLAR]])&lt;1,VALUE("0"),DST_123_ÜRETİM_İHTİYAÇ_RAPORU_BURAK_YENI1309[[#This Row],[SATINALMA]]*DST_123_ÜRETİM_İHTİYAÇ_RAPORU_BURAK_YENI1309[[#This Row],[BIRIM_FIYATLAR]])</f>
        <v>0</v>
      </c>
      <c r="N2116">
        <v>34</v>
      </c>
      <c r="O2116" t="s">
        <v>240</v>
      </c>
      <c r="P2116">
        <v>34</v>
      </c>
      <c r="Q2116" t="s">
        <v>178</v>
      </c>
    </row>
    <row r="2117" spans="1:17" x14ac:dyDescent="0.25">
      <c r="A2117" t="s">
        <v>1059</v>
      </c>
      <c r="B2117" t="s">
        <v>1058</v>
      </c>
      <c r="C2117" t="s">
        <v>175</v>
      </c>
      <c r="D2117" t="s">
        <v>361</v>
      </c>
      <c r="E2117" t="s">
        <v>362</v>
      </c>
      <c r="F2117">
        <v>7.5</v>
      </c>
      <c r="G2117" t="s">
        <v>179</v>
      </c>
      <c r="H2117">
        <v>0</v>
      </c>
      <c r="I2117">
        <v>100</v>
      </c>
      <c r="J2117" s="10">
        <v>139.99999999999989</v>
      </c>
      <c r="K2117" s="10">
        <f>SUMIFS(F:F,D:D,DST_123_ÜRETİM_İHTİYAÇ_RAPORU_BURAK_YENI1309[[#This Row],[ALT_KOD]])-(SUMIFS(H:H,D:D,DST_123_ÜRETİM_İHTİYAÇ_RAPORU_BURAK_YENI1309[[#This Row],[ALT_KOD]])+AVERAGEIFS(I:I,D:D,DST_123_ÜRETİM_İHTİYAÇ_RAPORU_BURAK_YENI1309[[#This Row],[ALT_KOD]])+AVERAGEIFS(L:L,D:D,DST_123_ÜRETİM_İHTİYAÇ_RAPORU_BURAK_YENI1309[[#This Row],[ALT_KOD]]))</f>
        <v>41.300000000000011</v>
      </c>
      <c r="L2117">
        <v>0</v>
      </c>
      <c r="M2117">
        <f>IF((DST_123_ÜRETİM_İHTİYAÇ_RAPORU_BURAK_YENI1309[[#This Row],[SATINALMA]]*DST_123_ÜRETİM_İHTİYAÇ_RAPORU_BURAK_YENI1309[[#This Row],[BIRIM_FIYATLAR]])&lt;1,VALUE("0"),DST_123_ÜRETİM_İHTİYAÇ_RAPORU_BURAK_YENI1309[[#This Row],[SATINALMA]]*DST_123_ÜRETİM_İHTİYAÇ_RAPORU_BURAK_YENI1309[[#This Row],[BIRIM_FIYATLAR]])</f>
        <v>929.25000000000023</v>
      </c>
      <c r="N2117">
        <v>22.5</v>
      </c>
      <c r="O2117" t="s">
        <v>314</v>
      </c>
      <c r="P2117">
        <v>168.75</v>
      </c>
      <c r="Q2117" t="s">
        <v>178</v>
      </c>
    </row>
    <row r="2118" spans="1:17" x14ac:dyDescent="0.25">
      <c r="A2118" t="s">
        <v>1143</v>
      </c>
      <c r="B2118" t="s">
        <v>1056</v>
      </c>
      <c r="C2118" t="s">
        <v>175</v>
      </c>
      <c r="D2118" t="s">
        <v>255</v>
      </c>
      <c r="E2118" t="s">
        <v>309</v>
      </c>
      <c r="F2118">
        <v>2</v>
      </c>
      <c r="G2118" t="s">
        <v>176</v>
      </c>
      <c r="H2118">
        <v>0</v>
      </c>
      <c r="I2118">
        <v>38</v>
      </c>
      <c r="J2118" s="10">
        <v>20</v>
      </c>
      <c r="K2118" s="10">
        <f>SUMIFS(F:F,D:D,DST_123_ÜRETİM_İHTİYAÇ_RAPORU_BURAK_YENI1309[[#This Row],[ALT_KOD]])-(SUMIFS(H:H,D:D,DST_123_ÜRETİM_İHTİYAÇ_RAPORU_BURAK_YENI1309[[#This Row],[ALT_KOD]])+AVERAGEIFS(I:I,D:D,DST_123_ÜRETİM_İHTİYAÇ_RAPORU_BURAK_YENI1309[[#This Row],[ALT_KOD]])+AVERAGEIFS(L:L,D:D,DST_123_ÜRETİM_İHTİYAÇ_RAPORU_BURAK_YENI1309[[#This Row],[ALT_KOD]]))</f>
        <v>-14</v>
      </c>
      <c r="L2118">
        <v>0</v>
      </c>
      <c r="M2118">
        <f>IF((DST_123_ÜRETİM_İHTİYAÇ_RAPORU_BURAK_YENI1309[[#This Row],[SATINALMA]]*DST_123_ÜRETİM_İHTİYAÇ_RAPORU_BURAK_YENI1309[[#This Row],[BIRIM_FIYATLAR]])&lt;1,VALUE("0"),DST_123_ÜRETİM_İHTİYAÇ_RAPORU_BURAK_YENI1309[[#This Row],[SATINALMA]]*DST_123_ÜRETİM_İHTİYAÇ_RAPORU_BURAK_YENI1309[[#This Row],[BIRIM_FIYATLAR]])</f>
        <v>0</v>
      </c>
      <c r="N2118">
        <v>55</v>
      </c>
      <c r="O2118" t="s">
        <v>826</v>
      </c>
      <c r="P2118">
        <v>110</v>
      </c>
      <c r="Q2118" t="s">
        <v>221</v>
      </c>
    </row>
    <row r="2119" spans="1:17" x14ac:dyDescent="0.25">
      <c r="A2119" t="s">
        <v>1101</v>
      </c>
      <c r="B2119" t="s">
        <v>1102</v>
      </c>
      <c r="C2119" t="s">
        <v>175</v>
      </c>
      <c r="D2119" t="s">
        <v>361</v>
      </c>
      <c r="E2119" t="s">
        <v>362</v>
      </c>
      <c r="F2119">
        <v>10</v>
      </c>
      <c r="G2119" t="s">
        <v>179</v>
      </c>
      <c r="H2119">
        <v>0</v>
      </c>
      <c r="I2119">
        <v>100</v>
      </c>
      <c r="J2119" s="10">
        <v>139.99999999999989</v>
      </c>
      <c r="K2119" s="10">
        <f>SUMIFS(F:F,D:D,DST_123_ÜRETİM_İHTİYAÇ_RAPORU_BURAK_YENI1309[[#This Row],[ALT_KOD]])-(SUMIFS(H:H,D:D,DST_123_ÜRETİM_İHTİYAÇ_RAPORU_BURAK_YENI1309[[#This Row],[ALT_KOD]])+AVERAGEIFS(I:I,D:D,DST_123_ÜRETİM_İHTİYAÇ_RAPORU_BURAK_YENI1309[[#This Row],[ALT_KOD]])+AVERAGEIFS(L:L,D:D,DST_123_ÜRETİM_İHTİYAÇ_RAPORU_BURAK_YENI1309[[#This Row],[ALT_KOD]]))</f>
        <v>41.300000000000011</v>
      </c>
      <c r="L2119">
        <v>0</v>
      </c>
      <c r="M2119">
        <f>IF((DST_123_ÜRETİM_İHTİYAÇ_RAPORU_BURAK_YENI1309[[#This Row],[SATINALMA]]*DST_123_ÜRETİM_İHTİYAÇ_RAPORU_BURAK_YENI1309[[#This Row],[BIRIM_FIYATLAR]])&lt;1,VALUE("0"),DST_123_ÜRETİM_İHTİYAÇ_RAPORU_BURAK_YENI1309[[#This Row],[SATINALMA]]*DST_123_ÜRETİM_İHTİYAÇ_RAPORU_BURAK_YENI1309[[#This Row],[BIRIM_FIYATLAR]])</f>
        <v>929.25000000000023</v>
      </c>
      <c r="N2119">
        <v>22.5</v>
      </c>
      <c r="O2119" t="s">
        <v>314</v>
      </c>
      <c r="P2119">
        <v>225</v>
      </c>
      <c r="Q2119" t="s">
        <v>178</v>
      </c>
    </row>
    <row r="2120" spans="1:17" x14ac:dyDescent="0.25">
      <c r="A2120" t="s">
        <v>1101</v>
      </c>
      <c r="B2120" t="s">
        <v>1102</v>
      </c>
      <c r="C2120" t="s">
        <v>175</v>
      </c>
      <c r="D2120" t="s">
        <v>382</v>
      </c>
      <c r="E2120" t="s">
        <v>383</v>
      </c>
      <c r="F2120">
        <v>1</v>
      </c>
      <c r="G2120" t="s">
        <v>176</v>
      </c>
      <c r="H2120">
        <v>0</v>
      </c>
      <c r="I2120">
        <v>32</v>
      </c>
      <c r="J2120" s="10">
        <v>22</v>
      </c>
      <c r="K2120" s="10">
        <f>SUMIFS(F:F,D:D,DST_123_ÜRETİM_İHTİYAÇ_RAPORU_BURAK_YENI1309[[#This Row],[ALT_KOD]])-(SUMIFS(H:H,D:D,DST_123_ÜRETİM_İHTİYAÇ_RAPORU_BURAK_YENI1309[[#This Row],[ALT_KOD]])+AVERAGEIFS(I:I,D:D,DST_123_ÜRETİM_İHTİYAÇ_RAPORU_BURAK_YENI1309[[#This Row],[ALT_KOD]])+AVERAGEIFS(L:L,D:D,DST_123_ÜRETİM_İHTİYAÇ_RAPORU_BURAK_YENI1309[[#This Row],[ALT_KOD]]))</f>
        <v>-13</v>
      </c>
      <c r="L2120">
        <v>0</v>
      </c>
      <c r="M2120">
        <f>IF((DST_123_ÜRETİM_İHTİYAÇ_RAPORU_BURAK_YENI1309[[#This Row],[SATINALMA]]*DST_123_ÜRETİM_İHTİYAÇ_RAPORU_BURAK_YENI1309[[#This Row],[BIRIM_FIYATLAR]])&lt;1,VALUE("0"),DST_123_ÜRETİM_İHTİYAÇ_RAPORU_BURAK_YENI1309[[#This Row],[SATINALMA]]*DST_123_ÜRETİM_İHTİYAÇ_RAPORU_BURAK_YENI1309[[#This Row],[BIRIM_FIYATLAR]])</f>
        <v>0</v>
      </c>
      <c r="N2120">
        <v>34</v>
      </c>
      <c r="O2120" t="s">
        <v>240</v>
      </c>
      <c r="P2120">
        <v>34</v>
      </c>
      <c r="Q2120" t="s">
        <v>178</v>
      </c>
    </row>
    <row r="2121" spans="1:17" x14ac:dyDescent="0.25">
      <c r="A2121" t="s">
        <v>1142</v>
      </c>
      <c r="B2121" t="s">
        <v>1056</v>
      </c>
      <c r="C2121" t="s">
        <v>175</v>
      </c>
      <c r="D2121" t="s">
        <v>382</v>
      </c>
      <c r="E2121" t="s">
        <v>383</v>
      </c>
      <c r="F2121">
        <v>1</v>
      </c>
      <c r="G2121" t="s">
        <v>176</v>
      </c>
      <c r="H2121">
        <v>0</v>
      </c>
      <c r="I2121">
        <v>32</v>
      </c>
      <c r="J2121" s="10">
        <v>22</v>
      </c>
      <c r="K2121" s="10">
        <f>SUMIFS(F:F,D:D,DST_123_ÜRETİM_İHTİYAÇ_RAPORU_BURAK_YENI1309[[#This Row],[ALT_KOD]])-(SUMIFS(H:H,D:D,DST_123_ÜRETİM_İHTİYAÇ_RAPORU_BURAK_YENI1309[[#This Row],[ALT_KOD]])+AVERAGEIFS(I:I,D:D,DST_123_ÜRETİM_İHTİYAÇ_RAPORU_BURAK_YENI1309[[#This Row],[ALT_KOD]])+AVERAGEIFS(L:L,D:D,DST_123_ÜRETİM_İHTİYAÇ_RAPORU_BURAK_YENI1309[[#This Row],[ALT_KOD]]))</f>
        <v>-13</v>
      </c>
      <c r="L2121">
        <v>0</v>
      </c>
      <c r="M2121">
        <f>IF((DST_123_ÜRETİM_İHTİYAÇ_RAPORU_BURAK_YENI1309[[#This Row],[SATINALMA]]*DST_123_ÜRETİM_İHTİYAÇ_RAPORU_BURAK_YENI1309[[#This Row],[BIRIM_FIYATLAR]])&lt;1,VALUE("0"),DST_123_ÜRETİM_İHTİYAÇ_RAPORU_BURAK_YENI1309[[#This Row],[SATINALMA]]*DST_123_ÜRETİM_İHTİYAÇ_RAPORU_BURAK_YENI1309[[#This Row],[BIRIM_FIYATLAR]])</f>
        <v>0</v>
      </c>
      <c r="N2121">
        <v>34</v>
      </c>
      <c r="O2121" t="s">
        <v>240</v>
      </c>
      <c r="P2121">
        <v>34</v>
      </c>
      <c r="Q2121" t="s">
        <v>178</v>
      </c>
    </row>
    <row r="2122" spans="1:17" x14ac:dyDescent="0.25">
      <c r="A2122" t="s">
        <v>1097</v>
      </c>
      <c r="B2122" t="s">
        <v>1055</v>
      </c>
      <c r="C2122" t="s">
        <v>175</v>
      </c>
      <c r="D2122" t="s">
        <v>382</v>
      </c>
      <c r="E2122" t="s">
        <v>383</v>
      </c>
      <c r="F2122">
        <v>1</v>
      </c>
      <c r="G2122" t="s">
        <v>176</v>
      </c>
      <c r="H2122">
        <v>0</v>
      </c>
      <c r="I2122">
        <v>32</v>
      </c>
      <c r="J2122" s="10">
        <v>22</v>
      </c>
      <c r="K2122" s="10">
        <f>SUMIFS(F:F,D:D,DST_123_ÜRETİM_İHTİYAÇ_RAPORU_BURAK_YENI1309[[#This Row],[ALT_KOD]])-(SUMIFS(H:H,D:D,DST_123_ÜRETİM_İHTİYAÇ_RAPORU_BURAK_YENI1309[[#This Row],[ALT_KOD]])+AVERAGEIFS(I:I,D:D,DST_123_ÜRETİM_İHTİYAÇ_RAPORU_BURAK_YENI1309[[#This Row],[ALT_KOD]])+AVERAGEIFS(L:L,D:D,DST_123_ÜRETİM_İHTİYAÇ_RAPORU_BURAK_YENI1309[[#This Row],[ALT_KOD]]))</f>
        <v>-13</v>
      </c>
      <c r="L2122">
        <v>0</v>
      </c>
      <c r="M2122">
        <f>IF((DST_123_ÜRETİM_İHTİYAÇ_RAPORU_BURAK_YENI1309[[#This Row],[SATINALMA]]*DST_123_ÜRETİM_İHTİYAÇ_RAPORU_BURAK_YENI1309[[#This Row],[BIRIM_FIYATLAR]])&lt;1,VALUE("0"),DST_123_ÜRETİM_İHTİYAÇ_RAPORU_BURAK_YENI1309[[#This Row],[SATINALMA]]*DST_123_ÜRETİM_İHTİYAÇ_RAPORU_BURAK_YENI1309[[#This Row],[BIRIM_FIYATLAR]])</f>
        <v>0</v>
      </c>
      <c r="N2122">
        <v>34</v>
      </c>
      <c r="O2122" t="s">
        <v>240</v>
      </c>
      <c r="P2122">
        <v>34</v>
      </c>
      <c r="Q2122" t="s">
        <v>178</v>
      </c>
    </row>
    <row r="2123" spans="1:17" x14ac:dyDescent="0.25">
      <c r="A2123" t="s">
        <v>1057</v>
      </c>
      <c r="B2123" t="s">
        <v>1058</v>
      </c>
      <c r="C2123" t="s">
        <v>175</v>
      </c>
      <c r="D2123" t="s">
        <v>1000</v>
      </c>
      <c r="E2123" t="s">
        <v>1001</v>
      </c>
      <c r="F2123">
        <v>1</v>
      </c>
      <c r="G2123" t="s">
        <v>176</v>
      </c>
      <c r="H2123">
        <v>0</v>
      </c>
      <c r="I2123">
        <v>30</v>
      </c>
      <c r="J2123" s="10">
        <v>5.7000000000000028</v>
      </c>
      <c r="K2123" s="10">
        <f>SUMIFS(F:F,D:D,DST_123_ÜRETİM_İHTİYAÇ_RAPORU_BURAK_YENI1309[[#This Row],[ALT_KOD]])-(SUMIFS(H:H,D:D,DST_123_ÜRETİM_İHTİYAÇ_RAPORU_BURAK_YENI1309[[#This Row],[ALT_KOD]])+AVERAGEIFS(I:I,D:D,DST_123_ÜRETİM_İHTİYAÇ_RAPORU_BURAK_YENI1309[[#This Row],[ALT_KOD]])+AVERAGEIFS(L:L,D:D,DST_123_ÜRETİM_İHTİYAÇ_RAPORU_BURAK_YENI1309[[#This Row],[ALT_KOD]]))</f>
        <v>-28</v>
      </c>
      <c r="L2123">
        <v>0</v>
      </c>
      <c r="M2123">
        <f>IF((DST_123_ÜRETİM_İHTİYAÇ_RAPORU_BURAK_YENI1309[[#This Row],[SATINALMA]]*DST_123_ÜRETİM_İHTİYAÇ_RAPORU_BURAK_YENI1309[[#This Row],[BIRIM_FIYATLAR]])&lt;1,VALUE("0"),DST_123_ÜRETİM_İHTİYAÇ_RAPORU_BURAK_YENI1309[[#This Row],[SATINALMA]]*DST_123_ÜRETİM_İHTİYAÇ_RAPORU_BURAK_YENI1309[[#This Row],[BIRIM_FIYATLAR]])</f>
        <v>0</v>
      </c>
      <c r="N2123">
        <v>199.37</v>
      </c>
      <c r="O2123" t="s">
        <v>254</v>
      </c>
      <c r="P2123">
        <v>199.37</v>
      </c>
      <c r="Q2123" t="s">
        <v>180</v>
      </c>
    </row>
    <row r="2124" spans="1:17" x14ac:dyDescent="0.25">
      <c r="A2124" t="s">
        <v>1060</v>
      </c>
      <c r="B2124" t="s">
        <v>1061</v>
      </c>
      <c r="C2124" t="s">
        <v>175</v>
      </c>
      <c r="D2124" t="s">
        <v>382</v>
      </c>
      <c r="E2124" t="s">
        <v>383</v>
      </c>
      <c r="F2124">
        <v>1</v>
      </c>
      <c r="G2124" t="s">
        <v>176</v>
      </c>
      <c r="H2124">
        <v>0</v>
      </c>
      <c r="I2124">
        <v>32</v>
      </c>
      <c r="J2124" s="10">
        <v>22</v>
      </c>
      <c r="K2124" s="10">
        <f>SUMIFS(F:F,D:D,DST_123_ÜRETİM_İHTİYAÇ_RAPORU_BURAK_YENI1309[[#This Row],[ALT_KOD]])-(SUMIFS(H:H,D:D,DST_123_ÜRETİM_İHTİYAÇ_RAPORU_BURAK_YENI1309[[#This Row],[ALT_KOD]])+AVERAGEIFS(I:I,D:D,DST_123_ÜRETİM_İHTİYAÇ_RAPORU_BURAK_YENI1309[[#This Row],[ALT_KOD]])+AVERAGEIFS(L:L,D:D,DST_123_ÜRETİM_İHTİYAÇ_RAPORU_BURAK_YENI1309[[#This Row],[ALT_KOD]]))</f>
        <v>-13</v>
      </c>
      <c r="L2124">
        <v>0</v>
      </c>
      <c r="M2124">
        <f>IF((DST_123_ÜRETİM_İHTİYAÇ_RAPORU_BURAK_YENI1309[[#This Row],[SATINALMA]]*DST_123_ÜRETİM_İHTİYAÇ_RAPORU_BURAK_YENI1309[[#This Row],[BIRIM_FIYATLAR]])&lt;1,VALUE("0"),DST_123_ÜRETİM_İHTİYAÇ_RAPORU_BURAK_YENI1309[[#This Row],[SATINALMA]]*DST_123_ÜRETİM_İHTİYAÇ_RAPORU_BURAK_YENI1309[[#This Row],[BIRIM_FIYATLAR]])</f>
        <v>0</v>
      </c>
      <c r="N2124">
        <v>34</v>
      </c>
      <c r="O2124" t="s">
        <v>240</v>
      </c>
      <c r="P2124">
        <v>34</v>
      </c>
      <c r="Q2124" t="s">
        <v>178</v>
      </c>
    </row>
    <row r="2125" spans="1:17" x14ac:dyDescent="0.25">
      <c r="A2125" t="s">
        <v>1057</v>
      </c>
      <c r="B2125" t="s">
        <v>1058</v>
      </c>
      <c r="C2125" t="s">
        <v>175</v>
      </c>
      <c r="D2125" t="s">
        <v>382</v>
      </c>
      <c r="E2125" t="s">
        <v>383</v>
      </c>
      <c r="F2125">
        <v>1</v>
      </c>
      <c r="G2125" t="s">
        <v>176</v>
      </c>
      <c r="H2125">
        <v>0</v>
      </c>
      <c r="I2125">
        <v>32</v>
      </c>
      <c r="J2125" s="10">
        <v>22</v>
      </c>
      <c r="K2125" s="10">
        <f>SUMIFS(F:F,D:D,DST_123_ÜRETİM_İHTİYAÇ_RAPORU_BURAK_YENI1309[[#This Row],[ALT_KOD]])-(SUMIFS(H:H,D:D,DST_123_ÜRETİM_İHTİYAÇ_RAPORU_BURAK_YENI1309[[#This Row],[ALT_KOD]])+AVERAGEIFS(I:I,D:D,DST_123_ÜRETİM_İHTİYAÇ_RAPORU_BURAK_YENI1309[[#This Row],[ALT_KOD]])+AVERAGEIFS(L:L,D:D,DST_123_ÜRETİM_İHTİYAÇ_RAPORU_BURAK_YENI1309[[#This Row],[ALT_KOD]]))</f>
        <v>-13</v>
      </c>
      <c r="L2125">
        <v>0</v>
      </c>
      <c r="M2125">
        <f>IF((DST_123_ÜRETİM_İHTİYAÇ_RAPORU_BURAK_YENI1309[[#This Row],[SATINALMA]]*DST_123_ÜRETİM_İHTİYAÇ_RAPORU_BURAK_YENI1309[[#This Row],[BIRIM_FIYATLAR]])&lt;1,VALUE("0"),DST_123_ÜRETİM_İHTİYAÇ_RAPORU_BURAK_YENI1309[[#This Row],[SATINALMA]]*DST_123_ÜRETİM_İHTİYAÇ_RAPORU_BURAK_YENI1309[[#This Row],[BIRIM_FIYATLAR]])</f>
        <v>0</v>
      </c>
      <c r="N2125">
        <v>34</v>
      </c>
      <c r="O2125" t="s">
        <v>240</v>
      </c>
      <c r="P2125">
        <v>34</v>
      </c>
      <c r="Q2125" t="s">
        <v>178</v>
      </c>
    </row>
    <row r="2126" spans="1:17" x14ac:dyDescent="0.25">
      <c r="A2126" t="s">
        <v>1146</v>
      </c>
      <c r="B2126" t="s">
        <v>1145</v>
      </c>
      <c r="C2126" t="s">
        <v>175</v>
      </c>
      <c r="D2126" t="s">
        <v>106</v>
      </c>
      <c r="E2126" t="s">
        <v>107</v>
      </c>
      <c r="F2126">
        <v>1</v>
      </c>
      <c r="G2126" t="s">
        <v>176</v>
      </c>
      <c r="H2126">
        <v>0</v>
      </c>
      <c r="I2126">
        <v>7</v>
      </c>
      <c r="J2126" s="10">
        <v>10</v>
      </c>
      <c r="K2126" s="10">
        <f>SUMIFS(F:F,D:D,DST_123_ÜRETİM_İHTİYAÇ_RAPORU_BURAK_YENI1309[[#This Row],[ALT_KOD]])-(SUMIFS(H:H,D:D,DST_123_ÜRETİM_İHTİYAÇ_RAPORU_BURAK_YENI1309[[#This Row],[ALT_KOD]])+AVERAGEIFS(I:I,D:D,DST_123_ÜRETİM_İHTİYAÇ_RAPORU_BURAK_YENI1309[[#This Row],[ALT_KOD]])+AVERAGEIFS(L:L,D:D,DST_123_ÜRETİM_İHTİYAÇ_RAPORU_BURAK_YENI1309[[#This Row],[ALT_KOD]]))</f>
        <v>-1</v>
      </c>
      <c r="L2126">
        <v>5</v>
      </c>
      <c r="M2126">
        <f>IF((DST_123_ÜRETİM_İHTİYAÇ_RAPORU_BURAK_YENI1309[[#This Row],[SATINALMA]]*DST_123_ÜRETİM_İHTİYAÇ_RAPORU_BURAK_YENI1309[[#This Row],[BIRIM_FIYATLAR]])&lt;1,VALUE("0"),DST_123_ÜRETİM_İHTİYAÇ_RAPORU_BURAK_YENI1309[[#This Row],[SATINALMA]]*DST_123_ÜRETİM_İHTİYAÇ_RAPORU_BURAK_YENI1309[[#This Row],[BIRIM_FIYATLAR]])</f>
        <v>0</v>
      </c>
      <c r="N2126">
        <v>1200</v>
      </c>
      <c r="O2126" t="s">
        <v>217</v>
      </c>
      <c r="P2126">
        <v>1200</v>
      </c>
      <c r="Q2126" t="s">
        <v>178</v>
      </c>
    </row>
    <row r="2127" spans="1:17" x14ac:dyDescent="0.25">
      <c r="A2127" t="s">
        <v>1064</v>
      </c>
      <c r="B2127" t="s">
        <v>1055</v>
      </c>
      <c r="C2127" t="s">
        <v>175</v>
      </c>
      <c r="D2127" t="s">
        <v>852</v>
      </c>
      <c r="E2127" t="s">
        <v>853</v>
      </c>
      <c r="F2127">
        <v>8</v>
      </c>
      <c r="G2127" t="s">
        <v>176</v>
      </c>
      <c r="H2127">
        <v>0</v>
      </c>
      <c r="I2127">
        <v>250</v>
      </c>
      <c r="J2127" s="10">
        <v>835</v>
      </c>
      <c r="K2127" s="10">
        <f>SUMIFS(F:F,D:D,DST_123_ÜRETİM_İHTİYAÇ_RAPORU_BURAK_YENI1309[[#This Row],[ALT_KOD]])-(SUMIFS(H:H,D:D,DST_123_ÜRETİM_İHTİYAÇ_RAPORU_BURAK_YENI1309[[#This Row],[ALT_KOD]])+AVERAGEIFS(I:I,D:D,DST_123_ÜRETİM_İHTİYAÇ_RAPORU_BURAK_YENI1309[[#This Row],[ALT_KOD]])+AVERAGEIFS(L:L,D:D,DST_123_ÜRETİM_İHTİYAÇ_RAPORU_BURAK_YENI1309[[#This Row],[ALT_KOD]]))</f>
        <v>-134</v>
      </c>
      <c r="L2127">
        <v>0</v>
      </c>
      <c r="M2127">
        <f>IF((DST_123_ÜRETİM_İHTİYAÇ_RAPORU_BURAK_YENI1309[[#This Row],[SATINALMA]]*DST_123_ÜRETİM_İHTİYAÇ_RAPORU_BURAK_YENI1309[[#This Row],[BIRIM_FIYATLAR]])&lt;1,VALUE("0"),DST_123_ÜRETİM_İHTİYAÇ_RAPORU_BURAK_YENI1309[[#This Row],[SATINALMA]]*DST_123_ÜRETİM_İHTİYAÇ_RAPORU_BURAK_YENI1309[[#This Row],[BIRIM_FIYATLAR]])</f>
        <v>0</v>
      </c>
      <c r="N2127">
        <v>1.58</v>
      </c>
      <c r="O2127" t="s">
        <v>882</v>
      </c>
      <c r="P2127">
        <v>12.64</v>
      </c>
      <c r="Q2127" t="s">
        <v>180</v>
      </c>
    </row>
    <row r="2128" spans="1:17" x14ac:dyDescent="0.25">
      <c r="A2128" t="s">
        <v>1144</v>
      </c>
      <c r="B2128" t="s">
        <v>1145</v>
      </c>
      <c r="C2128" t="s">
        <v>175</v>
      </c>
      <c r="D2128" t="s">
        <v>99</v>
      </c>
      <c r="E2128" t="s">
        <v>100</v>
      </c>
      <c r="F2128">
        <v>35.279999999999994</v>
      </c>
      <c r="G2128" t="s">
        <v>185</v>
      </c>
      <c r="H2128">
        <v>0</v>
      </c>
      <c r="I2128">
        <v>0</v>
      </c>
      <c r="J2128" s="10">
        <v>437.82000000000016</v>
      </c>
      <c r="K2128" s="10">
        <f>SUMIFS(F:F,D:D,DST_123_ÜRETİM_İHTİYAÇ_RAPORU_BURAK_YENI1309[[#This Row],[ALT_KOD]])-(SUMIFS(H:H,D:D,DST_123_ÜRETİM_İHTİYAÇ_RAPORU_BURAK_YENI1309[[#This Row],[ALT_KOD]])+AVERAGEIFS(I:I,D:D,DST_123_ÜRETİM_İHTİYAÇ_RAPORU_BURAK_YENI1309[[#This Row],[ALT_KOD]])+AVERAGEIFS(L:L,D:D,DST_123_ÜRETİM_İHTİYAÇ_RAPORU_BURAK_YENI1309[[#This Row],[ALT_KOD]]))</f>
        <v>348.62999999999988</v>
      </c>
      <c r="L2128">
        <v>0</v>
      </c>
      <c r="M2128">
        <f>IF((DST_123_ÜRETİM_İHTİYAÇ_RAPORU_BURAK_YENI1309[[#This Row],[SATINALMA]]*DST_123_ÜRETİM_İHTİYAÇ_RAPORU_BURAK_YENI1309[[#This Row],[BIRIM_FIYATLAR]])&lt;1,VALUE("0"),DST_123_ÜRETİM_İHTİYAÇ_RAPORU_BURAK_YENI1309[[#This Row],[SATINALMA]]*DST_123_ÜRETİM_İHTİYAÇ_RAPORU_BURAK_YENI1309[[#This Row],[BIRIM_FIYATLAR]])</f>
        <v>33597.473099999988</v>
      </c>
      <c r="N2128">
        <v>96.37</v>
      </c>
      <c r="O2128" t="s">
        <v>490</v>
      </c>
      <c r="P2128">
        <v>3399.9335999999994</v>
      </c>
      <c r="Q2128" t="s">
        <v>183</v>
      </c>
    </row>
    <row r="2129" spans="1:17" x14ac:dyDescent="0.25">
      <c r="A2129" t="s">
        <v>1150</v>
      </c>
      <c r="B2129" t="s">
        <v>1145</v>
      </c>
      <c r="C2129" t="s">
        <v>175</v>
      </c>
      <c r="D2129" t="s">
        <v>852</v>
      </c>
      <c r="E2129" t="s">
        <v>853</v>
      </c>
      <c r="F2129">
        <v>4</v>
      </c>
      <c r="G2129" t="s">
        <v>176</v>
      </c>
      <c r="H2129">
        <v>0</v>
      </c>
      <c r="I2129">
        <v>250</v>
      </c>
      <c r="J2129" s="10">
        <v>835</v>
      </c>
      <c r="K2129" s="10">
        <f>SUMIFS(F:F,D:D,DST_123_ÜRETİM_İHTİYAÇ_RAPORU_BURAK_YENI1309[[#This Row],[ALT_KOD]])-(SUMIFS(H:H,D:D,DST_123_ÜRETİM_İHTİYAÇ_RAPORU_BURAK_YENI1309[[#This Row],[ALT_KOD]])+AVERAGEIFS(I:I,D:D,DST_123_ÜRETİM_İHTİYAÇ_RAPORU_BURAK_YENI1309[[#This Row],[ALT_KOD]])+AVERAGEIFS(L:L,D:D,DST_123_ÜRETİM_İHTİYAÇ_RAPORU_BURAK_YENI1309[[#This Row],[ALT_KOD]]))</f>
        <v>-134</v>
      </c>
      <c r="L2129">
        <v>0</v>
      </c>
      <c r="M2129">
        <f>IF((DST_123_ÜRETİM_İHTİYAÇ_RAPORU_BURAK_YENI1309[[#This Row],[SATINALMA]]*DST_123_ÜRETİM_İHTİYAÇ_RAPORU_BURAK_YENI1309[[#This Row],[BIRIM_FIYATLAR]])&lt;1,VALUE("0"),DST_123_ÜRETİM_İHTİYAÇ_RAPORU_BURAK_YENI1309[[#This Row],[SATINALMA]]*DST_123_ÜRETİM_İHTİYAÇ_RAPORU_BURAK_YENI1309[[#This Row],[BIRIM_FIYATLAR]])</f>
        <v>0</v>
      </c>
      <c r="N2129">
        <v>1.58</v>
      </c>
      <c r="O2129" t="s">
        <v>882</v>
      </c>
      <c r="P2129">
        <v>6.32</v>
      </c>
      <c r="Q2129" t="s">
        <v>180</v>
      </c>
    </row>
    <row r="2130" spans="1:17" x14ac:dyDescent="0.25">
      <c r="A2130" t="s">
        <v>1144</v>
      </c>
      <c r="B2130" t="s">
        <v>1145</v>
      </c>
      <c r="C2130" t="s">
        <v>175</v>
      </c>
      <c r="D2130" t="s">
        <v>408</v>
      </c>
      <c r="E2130" t="s">
        <v>409</v>
      </c>
      <c r="F2130">
        <v>14</v>
      </c>
      <c r="G2130" t="s">
        <v>176</v>
      </c>
      <c r="H2130">
        <v>0</v>
      </c>
      <c r="I2130">
        <v>2698</v>
      </c>
      <c r="J2130" s="10">
        <v>0</v>
      </c>
      <c r="K2130" s="10">
        <f>SUMIFS(F:F,D:D,DST_123_ÜRETİM_İHTİYAÇ_RAPORU_BURAK_YENI1309[[#This Row],[ALT_KOD]])-(SUMIFS(H:H,D:D,DST_123_ÜRETİM_İHTİYAÇ_RAPORU_BURAK_YENI1309[[#This Row],[ALT_KOD]])+AVERAGEIFS(I:I,D:D,DST_123_ÜRETİM_İHTİYAÇ_RAPORU_BURAK_YENI1309[[#This Row],[ALT_KOD]])+AVERAGEIFS(L:L,D:D,DST_123_ÜRETİM_İHTİYAÇ_RAPORU_BURAK_YENI1309[[#This Row],[ALT_KOD]]))</f>
        <v>-2312</v>
      </c>
      <c r="L2130">
        <v>0</v>
      </c>
      <c r="M2130">
        <f>IF((DST_123_ÜRETİM_İHTİYAÇ_RAPORU_BURAK_YENI1309[[#This Row],[SATINALMA]]*DST_123_ÜRETİM_İHTİYAÇ_RAPORU_BURAK_YENI1309[[#This Row],[BIRIM_FIYATLAR]])&lt;1,VALUE("0"),DST_123_ÜRETİM_İHTİYAÇ_RAPORU_BURAK_YENI1309[[#This Row],[SATINALMA]]*DST_123_ÜRETİM_İHTİYAÇ_RAPORU_BURAK_YENI1309[[#This Row],[BIRIM_FIYATLAR]])</f>
        <v>0</v>
      </c>
      <c r="N2130">
        <v>1.55</v>
      </c>
      <c r="O2130" t="s">
        <v>220</v>
      </c>
      <c r="P2130">
        <v>21.7</v>
      </c>
      <c r="Q2130" t="s">
        <v>221</v>
      </c>
    </row>
    <row r="2131" spans="1:17" x14ac:dyDescent="0.25">
      <c r="A2131" t="s">
        <v>1146</v>
      </c>
      <c r="B2131" t="s">
        <v>1145</v>
      </c>
      <c r="C2131" t="s">
        <v>175</v>
      </c>
      <c r="D2131" t="s">
        <v>408</v>
      </c>
      <c r="E2131" t="s">
        <v>409</v>
      </c>
      <c r="F2131">
        <v>14</v>
      </c>
      <c r="G2131" t="s">
        <v>176</v>
      </c>
      <c r="H2131">
        <v>0</v>
      </c>
      <c r="I2131">
        <v>2698</v>
      </c>
      <c r="J2131" s="10">
        <v>0</v>
      </c>
      <c r="K2131" s="10">
        <f>SUMIFS(F:F,D:D,DST_123_ÜRETİM_İHTİYAÇ_RAPORU_BURAK_YENI1309[[#This Row],[ALT_KOD]])-(SUMIFS(H:H,D:D,DST_123_ÜRETİM_İHTİYAÇ_RAPORU_BURAK_YENI1309[[#This Row],[ALT_KOD]])+AVERAGEIFS(I:I,D:D,DST_123_ÜRETİM_İHTİYAÇ_RAPORU_BURAK_YENI1309[[#This Row],[ALT_KOD]])+AVERAGEIFS(L:L,D:D,DST_123_ÜRETİM_İHTİYAÇ_RAPORU_BURAK_YENI1309[[#This Row],[ALT_KOD]]))</f>
        <v>-2312</v>
      </c>
      <c r="L2131">
        <v>0</v>
      </c>
      <c r="M2131">
        <f>IF((DST_123_ÜRETİM_İHTİYAÇ_RAPORU_BURAK_YENI1309[[#This Row],[SATINALMA]]*DST_123_ÜRETİM_İHTİYAÇ_RAPORU_BURAK_YENI1309[[#This Row],[BIRIM_FIYATLAR]])&lt;1,VALUE("0"),DST_123_ÜRETİM_İHTİYAÇ_RAPORU_BURAK_YENI1309[[#This Row],[SATINALMA]]*DST_123_ÜRETİM_İHTİYAÇ_RAPORU_BURAK_YENI1309[[#This Row],[BIRIM_FIYATLAR]])</f>
        <v>0</v>
      </c>
      <c r="N2131">
        <v>1.55</v>
      </c>
      <c r="O2131" t="s">
        <v>220</v>
      </c>
      <c r="P2131">
        <v>21.7</v>
      </c>
      <c r="Q2131" t="s">
        <v>221</v>
      </c>
    </row>
    <row r="2132" spans="1:17" x14ac:dyDescent="0.25">
      <c r="A2132" t="s">
        <v>1149</v>
      </c>
      <c r="B2132" t="s">
        <v>1145</v>
      </c>
      <c r="C2132" t="s">
        <v>175</v>
      </c>
      <c r="D2132" t="s">
        <v>106</v>
      </c>
      <c r="E2132" t="s">
        <v>107</v>
      </c>
      <c r="F2132">
        <v>1</v>
      </c>
      <c r="G2132" t="s">
        <v>176</v>
      </c>
      <c r="H2132">
        <v>0</v>
      </c>
      <c r="I2132">
        <v>7</v>
      </c>
      <c r="J2132" s="10">
        <v>10</v>
      </c>
      <c r="K2132" s="10">
        <f>SUMIFS(F:F,D:D,DST_123_ÜRETİM_İHTİYAÇ_RAPORU_BURAK_YENI1309[[#This Row],[ALT_KOD]])-(SUMIFS(H:H,D:D,DST_123_ÜRETİM_İHTİYAÇ_RAPORU_BURAK_YENI1309[[#This Row],[ALT_KOD]])+AVERAGEIFS(I:I,D:D,DST_123_ÜRETİM_İHTİYAÇ_RAPORU_BURAK_YENI1309[[#This Row],[ALT_KOD]])+AVERAGEIFS(L:L,D:D,DST_123_ÜRETİM_İHTİYAÇ_RAPORU_BURAK_YENI1309[[#This Row],[ALT_KOD]]))</f>
        <v>-1</v>
      </c>
      <c r="L2132">
        <v>5</v>
      </c>
      <c r="M2132">
        <f>IF((DST_123_ÜRETİM_İHTİYAÇ_RAPORU_BURAK_YENI1309[[#This Row],[SATINALMA]]*DST_123_ÜRETİM_İHTİYAÇ_RAPORU_BURAK_YENI1309[[#This Row],[BIRIM_FIYATLAR]])&lt;1,VALUE("0"),DST_123_ÜRETİM_İHTİYAÇ_RAPORU_BURAK_YENI1309[[#This Row],[SATINALMA]]*DST_123_ÜRETİM_İHTİYAÇ_RAPORU_BURAK_YENI1309[[#This Row],[BIRIM_FIYATLAR]])</f>
        <v>0</v>
      </c>
      <c r="N2132">
        <v>1200</v>
      </c>
      <c r="O2132" t="s">
        <v>217</v>
      </c>
      <c r="P2132">
        <v>1200</v>
      </c>
      <c r="Q2132" t="s">
        <v>178</v>
      </c>
    </row>
    <row r="2133" spans="1:17" x14ac:dyDescent="0.25">
      <c r="A2133" t="s">
        <v>1099</v>
      </c>
      <c r="B2133" t="s">
        <v>1055</v>
      </c>
      <c r="C2133" t="s">
        <v>175</v>
      </c>
      <c r="D2133" t="s">
        <v>538</v>
      </c>
      <c r="E2133" t="s">
        <v>539</v>
      </c>
      <c r="F2133">
        <v>8</v>
      </c>
      <c r="G2133" t="s">
        <v>176</v>
      </c>
      <c r="H2133">
        <v>0</v>
      </c>
      <c r="I2133">
        <v>250</v>
      </c>
      <c r="J2133" s="10">
        <v>3</v>
      </c>
      <c r="K2133" s="10">
        <f>SUMIFS(F:F,D:D,DST_123_ÜRETİM_İHTİYAÇ_RAPORU_BURAK_YENI1309[[#This Row],[ALT_KOD]])-(SUMIFS(H:H,D:D,DST_123_ÜRETİM_İHTİYAÇ_RAPORU_BURAK_YENI1309[[#This Row],[ALT_KOD]])+AVERAGEIFS(I:I,D:D,DST_123_ÜRETİM_İHTİYAÇ_RAPORU_BURAK_YENI1309[[#This Row],[ALT_KOD]])+AVERAGEIFS(L:L,D:D,DST_123_ÜRETİM_İHTİYAÇ_RAPORU_BURAK_YENI1309[[#This Row],[ALT_KOD]]))</f>
        <v>-166</v>
      </c>
      <c r="L2133">
        <v>0</v>
      </c>
      <c r="M2133">
        <f>IF((DST_123_ÜRETİM_İHTİYAÇ_RAPORU_BURAK_YENI1309[[#This Row],[SATINALMA]]*DST_123_ÜRETİM_İHTİYAÇ_RAPORU_BURAK_YENI1309[[#This Row],[BIRIM_FIYATLAR]])&lt;1,VALUE("0"),DST_123_ÜRETİM_İHTİYAÇ_RAPORU_BURAK_YENI1309[[#This Row],[SATINALMA]]*DST_123_ÜRETİM_İHTİYAÇ_RAPORU_BURAK_YENI1309[[#This Row],[BIRIM_FIYATLAR]])</f>
        <v>0</v>
      </c>
      <c r="N2133">
        <v>2</v>
      </c>
      <c r="P2133">
        <v>16</v>
      </c>
      <c r="Q2133" t="s">
        <v>180</v>
      </c>
    </row>
    <row r="2134" spans="1:17" x14ac:dyDescent="0.25">
      <c r="A2134" t="s">
        <v>1150</v>
      </c>
      <c r="B2134" t="s">
        <v>1145</v>
      </c>
      <c r="C2134" t="s">
        <v>175</v>
      </c>
      <c r="D2134" t="s">
        <v>106</v>
      </c>
      <c r="E2134" t="s">
        <v>107</v>
      </c>
      <c r="F2134">
        <v>1</v>
      </c>
      <c r="G2134" t="s">
        <v>176</v>
      </c>
      <c r="H2134">
        <v>0</v>
      </c>
      <c r="I2134">
        <v>7</v>
      </c>
      <c r="J2134" s="10">
        <v>10</v>
      </c>
      <c r="K2134" s="10">
        <f>SUMIFS(F:F,D:D,DST_123_ÜRETİM_İHTİYAÇ_RAPORU_BURAK_YENI1309[[#This Row],[ALT_KOD]])-(SUMIFS(H:H,D:D,DST_123_ÜRETİM_İHTİYAÇ_RAPORU_BURAK_YENI1309[[#This Row],[ALT_KOD]])+AVERAGEIFS(I:I,D:D,DST_123_ÜRETİM_İHTİYAÇ_RAPORU_BURAK_YENI1309[[#This Row],[ALT_KOD]])+AVERAGEIFS(L:L,D:D,DST_123_ÜRETİM_İHTİYAÇ_RAPORU_BURAK_YENI1309[[#This Row],[ALT_KOD]]))</f>
        <v>-1</v>
      </c>
      <c r="L2134">
        <v>5</v>
      </c>
      <c r="M2134">
        <f>IF((DST_123_ÜRETİM_İHTİYAÇ_RAPORU_BURAK_YENI1309[[#This Row],[SATINALMA]]*DST_123_ÜRETİM_İHTİYAÇ_RAPORU_BURAK_YENI1309[[#This Row],[BIRIM_FIYATLAR]])&lt;1,VALUE("0"),DST_123_ÜRETİM_İHTİYAÇ_RAPORU_BURAK_YENI1309[[#This Row],[SATINALMA]]*DST_123_ÜRETİM_İHTİYAÇ_RAPORU_BURAK_YENI1309[[#This Row],[BIRIM_FIYATLAR]])</f>
        <v>0</v>
      </c>
      <c r="N2134">
        <v>1200</v>
      </c>
      <c r="O2134" t="s">
        <v>217</v>
      </c>
      <c r="P2134">
        <v>1200</v>
      </c>
      <c r="Q2134" t="s">
        <v>178</v>
      </c>
    </row>
    <row r="2135" spans="1:17" x14ac:dyDescent="0.25">
      <c r="A2135" t="s">
        <v>1196</v>
      </c>
      <c r="B2135" t="s">
        <v>1197</v>
      </c>
      <c r="C2135" t="s">
        <v>175</v>
      </c>
      <c r="D2135" t="s">
        <v>101</v>
      </c>
      <c r="E2135" t="s">
        <v>102</v>
      </c>
      <c r="F2135">
        <v>4</v>
      </c>
      <c r="G2135" t="s">
        <v>185</v>
      </c>
      <c r="H2135">
        <v>0</v>
      </c>
      <c r="I2135">
        <v>66</v>
      </c>
      <c r="J2135" s="10">
        <v>36.349999999999987</v>
      </c>
      <c r="K2135" s="10">
        <f>SUMIFS(F:F,D:D,DST_123_ÜRETİM_İHTİYAÇ_RAPORU_BURAK_YENI1309[[#This Row],[ALT_KOD]])-(SUMIFS(H:H,D:D,DST_123_ÜRETİM_İHTİYAÇ_RAPORU_BURAK_YENI1309[[#This Row],[ALT_KOD]])+AVERAGEIFS(I:I,D:D,DST_123_ÜRETİM_İHTİYAÇ_RAPORU_BURAK_YENI1309[[#This Row],[ALT_KOD]])+AVERAGEIFS(L:L,D:D,DST_123_ÜRETİM_İHTİYAÇ_RAPORU_BURAK_YENI1309[[#This Row],[ALT_KOD]]))</f>
        <v>-17.090000000000018</v>
      </c>
      <c r="L2135">
        <v>0</v>
      </c>
      <c r="M2135">
        <f>IF((DST_123_ÜRETİM_İHTİYAÇ_RAPORU_BURAK_YENI1309[[#This Row],[SATINALMA]]*DST_123_ÜRETİM_İHTİYAÇ_RAPORU_BURAK_YENI1309[[#This Row],[BIRIM_FIYATLAR]])&lt;1,VALUE("0"),DST_123_ÜRETİM_İHTİYAÇ_RAPORU_BURAK_YENI1309[[#This Row],[SATINALMA]]*DST_123_ÜRETİM_İHTİYAÇ_RAPORU_BURAK_YENI1309[[#This Row],[BIRIM_FIYATLAR]])</f>
        <v>0</v>
      </c>
      <c r="N2135">
        <v>129.63</v>
      </c>
      <c r="O2135" t="s">
        <v>240</v>
      </c>
      <c r="P2135">
        <v>518.52</v>
      </c>
      <c r="Q2135" t="s">
        <v>183</v>
      </c>
    </row>
    <row r="2136" spans="1:17" x14ac:dyDescent="0.25">
      <c r="A2136" t="s">
        <v>1098</v>
      </c>
      <c r="B2136" t="s">
        <v>1096</v>
      </c>
      <c r="C2136" t="s">
        <v>175</v>
      </c>
      <c r="D2136" t="s">
        <v>101</v>
      </c>
      <c r="E2136" t="s">
        <v>102</v>
      </c>
      <c r="F2136">
        <v>2.9299999999999997</v>
      </c>
      <c r="G2136" t="s">
        <v>185</v>
      </c>
      <c r="H2136">
        <v>0</v>
      </c>
      <c r="I2136">
        <v>66</v>
      </c>
      <c r="J2136" s="10">
        <v>36.349999999999987</v>
      </c>
      <c r="K2136" s="10">
        <f>SUMIFS(F:F,D:D,DST_123_ÜRETİM_İHTİYAÇ_RAPORU_BURAK_YENI1309[[#This Row],[ALT_KOD]])-(SUMIFS(H:H,D:D,DST_123_ÜRETİM_İHTİYAÇ_RAPORU_BURAK_YENI1309[[#This Row],[ALT_KOD]])+AVERAGEIFS(I:I,D:D,DST_123_ÜRETİM_İHTİYAÇ_RAPORU_BURAK_YENI1309[[#This Row],[ALT_KOD]])+AVERAGEIFS(L:L,D:D,DST_123_ÜRETİM_İHTİYAÇ_RAPORU_BURAK_YENI1309[[#This Row],[ALT_KOD]]))</f>
        <v>-17.090000000000018</v>
      </c>
      <c r="L2136">
        <v>0</v>
      </c>
      <c r="M2136">
        <f>IF((DST_123_ÜRETİM_İHTİYAÇ_RAPORU_BURAK_YENI1309[[#This Row],[SATINALMA]]*DST_123_ÜRETİM_İHTİYAÇ_RAPORU_BURAK_YENI1309[[#This Row],[BIRIM_FIYATLAR]])&lt;1,VALUE("0"),DST_123_ÜRETİM_İHTİYAÇ_RAPORU_BURAK_YENI1309[[#This Row],[SATINALMA]]*DST_123_ÜRETİM_İHTİYAÇ_RAPORU_BURAK_YENI1309[[#This Row],[BIRIM_FIYATLAR]])</f>
        <v>0</v>
      </c>
      <c r="N2136">
        <v>129.63</v>
      </c>
      <c r="O2136" t="s">
        <v>240</v>
      </c>
      <c r="P2136">
        <v>379.81589999999994</v>
      </c>
      <c r="Q2136" t="s">
        <v>183</v>
      </c>
    </row>
    <row r="2137" spans="1:17" x14ac:dyDescent="0.25">
      <c r="A2137" t="s">
        <v>1196</v>
      </c>
      <c r="B2137" t="s">
        <v>1197</v>
      </c>
      <c r="C2137" t="s">
        <v>175</v>
      </c>
      <c r="D2137" t="s">
        <v>538</v>
      </c>
      <c r="E2137" t="s">
        <v>539</v>
      </c>
      <c r="F2137">
        <v>2</v>
      </c>
      <c r="G2137" t="s">
        <v>176</v>
      </c>
      <c r="H2137">
        <v>0</v>
      </c>
      <c r="I2137">
        <v>250</v>
      </c>
      <c r="J2137" s="10">
        <v>3</v>
      </c>
      <c r="K2137" s="10">
        <f>SUMIFS(F:F,D:D,DST_123_ÜRETİM_İHTİYAÇ_RAPORU_BURAK_YENI1309[[#This Row],[ALT_KOD]])-(SUMIFS(H:H,D:D,DST_123_ÜRETİM_İHTİYAÇ_RAPORU_BURAK_YENI1309[[#This Row],[ALT_KOD]])+AVERAGEIFS(I:I,D:D,DST_123_ÜRETİM_İHTİYAÇ_RAPORU_BURAK_YENI1309[[#This Row],[ALT_KOD]])+AVERAGEIFS(L:L,D:D,DST_123_ÜRETİM_İHTİYAÇ_RAPORU_BURAK_YENI1309[[#This Row],[ALT_KOD]]))</f>
        <v>-166</v>
      </c>
      <c r="L2137">
        <v>0</v>
      </c>
      <c r="M2137">
        <f>IF((DST_123_ÜRETİM_İHTİYAÇ_RAPORU_BURAK_YENI1309[[#This Row],[SATINALMA]]*DST_123_ÜRETİM_İHTİYAÇ_RAPORU_BURAK_YENI1309[[#This Row],[BIRIM_FIYATLAR]])&lt;1,VALUE("0"),DST_123_ÜRETİM_İHTİYAÇ_RAPORU_BURAK_YENI1309[[#This Row],[SATINALMA]]*DST_123_ÜRETİM_İHTİYAÇ_RAPORU_BURAK_YENI1309[[#This Row],[BIRIM_FIYATLAR]])</f>
        <v>0</v>
      </c>
      <c r="N2137">
        <v>2</v>
      </c>
      <c r="P2137">
        <v>4</v>
      </c>
      <c r="Q2137" t="s">
        <v>180</v>
      </c>
    </row>
    <row r="2138" spans="1:17" x14ac:dyDescent="0.25">
      <c r="A2138" t="s">
        <v>1098</v>
      </c>
      <c r="B2138" t="s">
        <v>1096</v>
      </c>
      <c r="C2138" t="s">
        <v>175</v>
      </c>
      <c r="D2138" t="s">
        <v>538</v>
      </c>
      <c r="E2138" t="s">
        <v>539</v>
      </c>
      <c r="F2138">
        <v>8</v>
      </c>
      <c r="G2138" t="s">
        <v>176</v>
      </c>
      <c r="H2138">
        <v>0</v>
      </c>
      <c r="I2138">
        <v>250</v>
      </c>
      <c r="J2138" s="10">
        <v>3</v>
      </c>
      <c r="K2138" s="10">
        <f>SUMIFS(F:F,D:D,DST_123_ÜRETİM_İHTİYAÇ_RAPORU_BURAK_YENI1309[[#This Row],[ALT_KOD]])-(SUMIFS(H:H,D:D,DST_123_ÜRETİM_İHTİYAÇ_RAPORU_BURAK_YENI1309[[#This Row],[ALT_KOD]])+AVERAGEIFS(I:I,D:D,DST_123_ÜRETİM_İHTİYAÇ_RAPORU_BURAK_YENI1309[[#This Row],[ALT_KOD]])+AVERAGEIFS(L:L,D:D,DST_123_ÜRETİM_İHTİYAÇ_RAPORU_BURAK_YENI1309[[#This Row],[ALT_KOD]]))</f>
        <v>-166</v>
      </c>
      <c r="L2138">
        <v>0</v>
      </c>
      <c r="M2138">
        <f>IF((DST_123_ÜRETİM_İHTİYAÇ_RAPORU_BURAK_YENI1309[[#This Row],[SATINALMA]]*DST_123_ÜRETİM_İHTİYAÇ_RAPORU_BURAK_YENI1309[[#This Row],[BIRIM_FIYATLAR]])&lt;1,VALUE("0"),DST_123_ÜRETİM_İHTİYAÇ_RAPORU_BURAK_YENI1309[[#This Row],[SATINALMA]]*DST_123_ÜRETİM_İHTİYAÇ_RAPORU_BURAK_YENI1309[[#This Row],[BIRIM_FIYATLAR]])</f>
        <v>0</v>
      </c>
      <c r="N2138">
        <v>2</v>
      </c>
      <c r="P2138">
        <v>16</v>
      </c>
      <c r="Q2138" t="s">
        <v>180</v>
      </c>
    </row>
    <row r="2139" spans="1:17" x14ac:dyDescent="0.25">
      <c r="A2139" t="s">
        <v>1098</v>
      </c>
      <c r="B2139" t="s">
        <v>1096</v>
      </c>
      <c r="C2139" t="s">
        <v>175</v>
      </c>
      <c r="D2139" t="s">
        <v>852</v>
      </c>
      <c r="E2139" t="s">
        <v>853</v>
      </c>
      <c r="F2139">
        <v>16</v>
      </c>
      <c r="G2139" t="s">
        <v>176</v>
      </c>
      <c r="H2139">
        <v>0</v>
      </c>
      <c r="I2139">
        <v>250</v>
      </c>
      <c r="J2139" s="10">
        <v>835</v>
      </c>
      <c r="K2139" s="10">
        <f>SUMIFS(F:F,D:D,DST_123_ÜRETİM_İHTİYAÇ_RAPORU_BURAK_YENI1309[[#This Row],[ALT_KOD]])-(SUMIFS(H:H,D:D,DST_123_ÜRETİM_İHTİYAÇ_RAPORU_BURAK_YENI1309[[#This Row],[ALT_KOD]])+AVERAGEIFS(I:I,D:D,DST_123_ÜRETİM_İHTİYAÇ_RAPORU_BURAK_YENI1309[[#This Row],[ALT_KOD]])+AVERAGEIFS(L:L,D:D,DST_123_ÜRETİM_İHTİYAÇ_RAPORU_BURAK_YENI1309[[#This Row],[ALT_KOD]]))</f>
        <v>-134</v>
      </c>
      <c r="L2139">
        <v>0</v>
      </c>
      <c r="M2139">
        <f>IF((DST_123_ÜRETİM_İHTİYAÇ_RAPORU_BURAK_YENI1309[[#This Row],[SATINALMA]]*DST_123_ÜRETİM_İHTİYAÇ_RAPORU_BURAK_YENI1309[[#This Row],[BIRIM_FIYATLAR]])&lt;1,VALUE("0"),DST_123_ÜRETİM_İHTİYAÇ_RAPORU_BURAK_YENI1309[[#This Row],[SATINALMA]]*DST_123_ÜRETİM_İHTİYAÇ_RAPORU_BURAK_YENI1309[[#This Row],[BIRIM_FIYATLAR]])</f>
        <v>0</v>
      </c>
      <c r="N2139">
        <v>1.58</v>
      </c>
      <c r="O2139" t="s">
        <v>882</v>
      </c>
      <c r="P2139">
        <v>25.28</v>
      </c>
      <c r="Q2139" t="s">
        <v>180</v>
      </c>
    </row>
    <row r="2140" spans="1:17" x14ac:dyDescent="0.25">
      <c r="A2140" t="s">
        <v>1196</v>
      </c>
      <c r="B2140" t="s">
        <v>1197</v>
      </c>
      <c r="C2140" t="s">
        <v>175</v>
      </c>
      <c r="D2140" t="s">
        <v>340</v>
      </c>
      <c r="E2140" t="s">
        <v>341</v>
      </c>
      <c r="F2140">
        <v>2</v>
      </c>
      <c r="G2140" t="s">
        <v>176</v>
      </c>
      <c r="H2140">
        <v>0</v>
      </c>
      <c r="I2140">
        <v>75</v>
      </c>
      <c r="J2140" s="10">
        <v>42.70000000000006</v>
      </c>
      <c r="K2140" s="10">
        <f>SUMIFS(F:F,D:D,DST_123_ÜRETİM_İHTİYAÇ_RAPORU_BURAK_YENI1309[[#This Row],[ALT_KOD]])-(SUMIFS(H:H,D:D,DST_123_ÜRETİM_İHTİYAÇ_RAPORU_BURAK_YENI1309[[#This Row],[ALT_KOD]])+AVERAGEIFS(I:I,D:D,DST_123_ÜRETİM_İHTİYAÇ_RAPORU_BURAK_YENI1309[[#This Row],[ALT_KOD]])+AVERAGEIFS(L:L,D:D,DST_123_ÜRETİM_İHTİYAÇ_RAPORU_BURAK_YENI1309[[#This Row],[ALT_KOD]]))</f>
        <v>-48.040000000000006</v>
      </c>
      <c r="L2140">
        <v>0</v>
      </c>
      <c r="M2140">
        <f>IF((DST_123_ÜRETİM_İHTİYAÇ_RAPORU_BURAK_YENI1309[[#This Row],[SATINALMA]]*DST_123_ÜRETİM_İHTİYAÇ_RAPORU_BURAK_YENI1309[[#This Row],[BIRIM_FIYATLAR]])&lt;1,VALUE("0"),DST_123_ÜRETİM_İHTİYAÇ_RAPORU_BURAK_YENI1309[[#This Row],[SATINALMA]]*DST_123_ÜRETİM_İHTİYAÇ_RAPORU_BURAK_YENI1309[[#This Row],[BIRIM_FIYATLAR]])</f>
        <v>0</v>
      </c>
      <c r="N2140">
        <v>15</v>
      </c>
      <c r="O2140" t="s">
        <v>240</v>
      </c>
      <c r="P2140">
        <v>30</v>
      </c>
      <c r="Q2140" t="s">
        <v>180</v>
      </c>
    </row>
    <row r="2141" spans="1:17" x14ac:dyDescent="0.25">
      <c r="A2141" t="s">
        <v>1098</v>
      </c>
      <c r="B2141" t="s">
        <v>1096</v>
      </c>
      <c r="C2141" t="s">
        <v>175</v>
      </c>
      <c r="D2141" t="s">
        <v>340</v>
      </c>
      <c r="E2141" t="s">
        <v>341</v>
      </c>
      <c r="F2141">
        <v>2.04</v>
      </c>
      <c r="G2141" t="s">
        <v>176</v>
      </c>
      <c r="H2141">
        <v>0</v>
      </c>
      <c r="I2141">
        <v>75</v>
      </c>
      <c r="J2141" s="10">
        <v>42.70000000000006</v>
      </c>
      <c r="K2141" s="10">
        <f>SUMIFS(F:F,D:D,DST_123_ÜRETİM_İHTİYAÇ_RAPORU_BURAK_YENI1309[[#This Row],[ALT_KOD]])-(SUMIFS(H:H,D:D,DST_123_ÜRETİM_İHTİYAÇ_RAPORU_BURAK_YENI1309[[#This Row],[ALT_KOD]])+AVERAGEIFS(I:I,D:D,DST_123_ÜRETİM_İHTİYAÇ_RAPORU_BURAK_YENI1309[[#This Row],[ALT_KOD]])+AVERAGEIFS(L:L,D:D,DST_123_ÜRETİM_İHTİYAÇ_RAPORU_BURAK_YENI1309[[#This Row],[ALT_KOD]]))</f>
        <v>-48.040000000000006</v>
      </c>
      <c r="L2141">
        <v>0</v>
      </c>
      <c r="M2141">
        <f>IF((DST_123_ÜRETİM_İHTİYAÇ_RAPORU_BURAK_YENI1309[[#This Row],[SATINALMA]]*DST_123_ÜRETİM_İHTİYAÇ_RAPORU_BURAK_YENI1309[[#This Row],[BIRIM_FIYATLAR]])&lt;1,VALUE("0"),DST_123_ÜRETİM_İHTİYAÇ_RAPORU_BURAK_YENI1309[[#This Row],[SATINALMA]]*DST_123_ÜRETİM_İHTİYAÇ_RAPORU_BURAK_YENI1309[[#This Row],[BIRIM_FIYATLAR]])</f>
        <v>0</v>
      </c>
      <c r="N2141">
        <v>15</v>
      </c>
      <c r="O2141" t="s">
        <v>240</v>
      </c>
      <c r="P2141">
        <v>30.6</v>
      </c>
      <c r="Q2141" t="s">
        <v>180</v>
      </c>
    </row>
    <row r="2142" spans="1:17" x14ac:dyDescent="0.25">
      <c r="A2142" t="s">
        <v>1196</v>
      </c>
      <c r="B2142" t="s">
        <v>1197</v>
      </c>
      <c r="C2142" t="s">
        <v>175</v>
      </c>
      <c r="D2142" t="s">
        <v>798</v>
      </c>
      <c r="E2142" t="s">
        <v>799</v>
      </c>
      <c r="F2142">
        <v>3</v>
      </c>
      <c r="G2142" t="s">
        <v>176</v>
      </c>
      <c r="H2142">
        <v>0</v>
      </c>
      <c r="I2142">
        <v>200</v>
      </c>
      <c r="J2142" s="10">
        <v>0</v>
      </c>
      <c r="K2142" s="10">
        <f>SUMIFS(F:F,D:D,DST_123_ÜRETİM_İHTİYAÇ_RAPORU_BURAK_YENI1309[[#This Row],[ALT_KOD]])-(SUMIFS(H:H,D:D,DST_123_ÜRETİM_İHTİYAÇ_RAPORU_BURAK_YENI1309[[#This Row],[ALT_KOD]])+AVERAGEIFS(I:I,D:D,DST_123_ÜRETİM_İHTİYAÇ_RAPORU_BURAK_YENI1309[[#This Row],[ALT_KOD]])+AVERAGEIFS(L:L,D:D,DST_123_ÜRETİM_İHTİYAÇ_RAPORU_BURAK_YENI1309[[#This Row],[ALT_KOD]]))</f>
        <v>-188</v>
      </c>
      <c r="L2142">
        <v>0</v>
      </c>
      <c r="M2142">
        <f>IF((DST_123_ÜRETİM_İHTİYAÇ_RAPORU_BURAK_YENI1309[[#This Row],[SATINALMA]]*DST_123_ÜRETİM_İHTİYAÇ_RAPORU_BURAK_YENI1309[[#This Row],[BIRIM_FIYATLAR]])&lt;1,VALUE("0"),DST_123_ÜRETİM_İHTİYAÇ_RAPORU_BURAK_YENI1309[[#This Row],[SATINALMA]]*DST_123_ÜRETİM_İHTİYAÇ_RAPORU_BURAK_YENI1309[[#This Row],[BIRIM_FIYATLAR]])</f>
        <v>0</v>
      </c>
      <c r="N2142">
        <v>10</v>
      </c>
      <c r="O2142" t="s">
        <v>226</v>
      </c>
      <c r="P2142">
        <v>30</v>
      </c>
      <c r="Q2142" t="s">
        <v>180</v>
      </c>
    </row>
    <row r="2143" spans="1:17" x14ac:dyDescent="0.25">
      <c r="A2143" t="s">
        <v>1098</v>
      </c>
      <c r="B2143" t="s">
        <v>1096</v>
      </c>
      <c r="C2143" t="s">
        <v>175</v>
      </c>
      <c r="D2143" t="s">
        <v>408</v>
      </c>
      <c r="E2143" t="s">
        <v>409</v>
      </c>
      <c r="F2143">
        <v>26</v>
      </c>
      <c r="G2143" t="s">
        <v>176</v>
      </c>
      <c r="H2143">
        <v>0</v>
      </c>
      <c r="I2143">
        <v>2698</v>
      </c>
      <c r="J2143" s="10">
        <v>0</v>
      </c>
      <c r="K2143" s="10">
        <f>SUMIFS(F:F,D:D,DST_123_ÜRETİM_İHTİYAÇ_RAPORU_BURAK_YENI1309[[#This Row],[ALT_KOD]])-(SUMIFS(H:H,D:D,DST_123_ÜRETİM_İHTİYAÇ_RAPORU_BURAK_YENI1309[[#This Row],[ALT_KOD]])+AVERAGEIFS(I:I,D:D,DST_123_ÜRETİM_İHTİYAÇ_RAPORU_BURAK_YENI1309[[#This Row],[ALT_KOD]])+AVERAGEIFS(L:L,D:D,DST_123_ÜRETİM_İHTİYAÇ_RAPORU_BURAK_YENI1309[[#This Row],[ALT_KOD]]))</f>
        <v>-2312</v>
      </c>
      <c r="L2143">
        <v>0</v>
      </c>
      <c r="M2143">
        <f>IF((DST_123_ÜRETİM_İHTİYAÇ_RAPORU_BURAK_YENI1309[[#This Row],[SATINALMA]]*DST_123_ÜRETİM_İHTİYAÇ_RAPORU_BURAK_YENI1309[[#This Row],[BIRIM_FIYATLAR]])&lt;1,VALUE("0"),DST_123_ÜRETİM_İHTİYAÇ_RAPORU_BURAK_YENI1309[[#This Row],[SATINALMA]]*DST_123_ÜRETİM_İHTİYAÇ_RAPORU_BURAK_YENI1309[[#This Row],[BIRIM_FIYATLAR]])</f>
        <v>0</v>
      </c>
      <c r="N2143">
        <v>1.55</v>
      </c>
      <c r="O2143" t="s">
        <v>220</v>
      </c>
      <c r="P2143">
        <v>40.300000000000004</v>
      </c>
      <c r="Q2143" t="s">
        <v>221</v>
      </c>
    </row>
    <row r="2144" spans="1:17" x14ac:dyDescent="0.25">
      <c r="A2144" t="s">
        <v>1098</v>
      </c>
      <c r="B2144" t="s">
        <v>1096</v>
      </c>
      <c r="C2144" t="s">
        <v>175</v>
      </c>
      <c r="D2144" t="s">
        <v>965</v>
      </c>
      <c r="E2144" t="s">
        <v>966</v>
      </c>
      <c r="F2144">
        <v>1</v>
      </c>
      <c r="G2144" t="s">
        <v>176</v>
      </c>
      <c r="H2144">
        <v>0</v>
      </c>
      <c r="I2144">
        <v>1</v>
      </c>
      <c r="J2144" s="10">
        <v>6</v>
      </c>
      <c r="K2144" s="10">
        <f>SUMIFS(F:F,D:D,DST_123_ÜRETİM_İHTİYAÇ_RAPORU_BURAK_YENI1309[[#This Row],[ALT_KOD]])-(SUMIFS(H:H,D:D,DST_123_ÜRETİM_İHTİYAÇ_RAPORU_BURAK_YENI1309[[#This Row],[ALT_KOD]])+AVERAGEIFS(I:I,D:D,DST_123_ÜRETİM_İHTİYAÇ_RAPORU_BURAK_YENI1309[[#This Row],[ALT_KOD]])+AVERAGEIFS(L:L,D:D,DST_123_ÜRETİM_İHTİYAÇ_RAPORU_BURAK_YENI1309[[#This Row],[ALT_KOD]]))</f>
        <v>2</v>
      </c>
      <c r="L2144">
        <v>0</v>
      </c>
      <c r="M2144">
        <f>IF((DST_123_ÜRETİM_İHTİYAÇ_RAPORU_BURAK_YENI1309[[#This Row],[SATINALMA]]*DST_123_ÜRETİM_İHTİYAÇ_RAPORU_BURAK_YENI1309[[#This Row],[BIRIM_FIYATLAR]])&lt;1,VALUE("0"),DST_123_ÜRETİM_İHTİYAÇ_RAPORU_BURAK_YENI1309[[#This Row],[SATINALMA]]*DST_123_ÜRETİM_İHTİYAÇ_RAPORU_BURAK_YENI1309[[#This Row],[BIRIM_FIYATLAR]])</f>
        <v>16849.34</v>
      </c>
      <c r="N2144">
        <v>8424.67</v>
      </c>
      <c r="O2144" t="s">
        <v>634</v>
      </c>
      <c r="P2144">
        <v>8424.67</v>
      </c>
      <c r="Q2144" t="s">
        <v>177</v>
      </c>
    </row>
    <row r="2145" spans="1:17" x14ac:dyDescent="0.25">
      <c r="A2145" t="s">
        <v>1144</v>
      </c>
      <c r="B2145" t="s">
        <v>1145</v>
      </c>
      <c r="C2145" t="s">
        <v>175</v>
      </c>
      <c r="D2145" t="s">
        <v>106</v>
      </c>
      <c r="E2145" t="s">
        <v>107</v>
      </c>
      <c r="F2145">
        <v>1</v>
      </c>
      <c r="G2145" t="s">
        <v>176</v>
      </c>
      <c r="H2145">
        <v>0</v>
      </c>
      <c r="I2145">
        <v>7</v>
      </c>
      <c r="J2145" s="10">
        <v>10</v>
      </c>
      <c r="K2145" s="10">
        <f>SUMIFS(F:F,D:D,DST_123_ÜRETİM_İHTİYAÇ_RAPORU_BURAK_YENI1309[[#This Row],[ALT_KOD]])-(SUMIFS(H:H,D:D,DST_123_ÜRETİM_İHTİYAÇ_RAPORU_BURAK_YENI1309[[#This Row],[ALT_KOD]])+AVERAGEIFS(I:I,D:D,DST_123_ÜRETİM_İHTİYAÇ_RAPORU_BURAK_YENI1309[[#This Row],[ALT_KOD]])+AVERAGEIFS(L:L,D:D,DST_123_ÜRETİM_İHTİYAÇ_RAPORU_BURAK_YENI1309[[#This Row],[ALT_KOD]]))</f>
        <v>-1</v>
      </c>
      <c r="L2145">
        <v>5</v>
      </c>
      <c r="M2145">
        <f>IF((DST_123_ÜRETİM_İHTİYAÇ_RAPORU_BURAK_YENI1309[[#This Row],[SATINALMA]]*DST_123_ÜRETİM_İHTİYAÇ_RAPORU_BURAK_YENI1309[[#This Row],[BIRIM_FIYATLAR]])&lt;1,VALUE("0"),DST_123_ÜRETİM_İHTİYAÇ_RAPORU_BURAK_YENI1309[[#This Row],[SATINALMA]]*DST_123_ÜRETİM_İHTİYAÇ_RAPORU_BURAK_YENI1309[[#This Row],[BIRIM_FIYATLAR]])</f>
        <v>0</v>
      </c>
      <c r="N2145">
        <v>1200</v>
      </c>
      <c r="O2145" t="s">
        <v>217</v>
      </c>
      <c r="P2145">
        <v>1200</v>
      </c>
      <c r="Q2145" t="s">
        <v>178</v>
      </c>
    </row>
    <row r="2146" spans="1:17" x14ac:dyDescent="0.25">
      <c r="A2146" t="s">
        <v>1064</v>
      </c>
      <c r="B2146" t="s">
        <v>1055</v>
      </c>
      <c r="C2146" t="s">
        <v>175</v>
      </c>
      <c r="D2146" t="s">
        <v>538</v>
      </c>
      <c r="E2146" t="s">
        <v>539</v>
      </c>
      <c r="F2146">
        <v>8</v>
      </c>
      <c r="G2146" t="s">
        <v>176</v>
      </c>
      <c r="H2146">
        <v>0</v>
      </c>
      <c r="I2146">
        <v>250</v>
      </c>
      <c r="J2146" s="10">
        <v>3</v>
      </c>
      <c r="K2146" s="10">
        <f>SUMIFS(F:F,D:D,DST_123_ÜRETİM_İHTİYAÇ_RAPORU_BURAK_YENI1309[[#This Row],[ALT_KOD]])-(SUMIFS(H:H,D:D,DST_123_ÜRETİM_İHTİYAÇ_RAPORU_BURAK_YENI1309[[#This Row],[ALT_KOD]])+AVERAGEIFS(I:I,D:D,DST_123_ÜRETİM_İHTİYAÇ_RAPORU_BURAK_YENI1309[[#This Row],[ALT_KOD]])+AVERAGEIFS(L:L,D:D,DST_123_ÜRETİM_İHTİYAÇ_RAPORU_BURAK_YENI1309[[#This Row],[ALT_KOD]]))</f>
        <v>-166</v>
      </c>
      <c r="L2146">
        <v>0</v>
      </c>
      <c r="M2146">
        <f>IF((DST_123_ÜRETİM_İHTİYAÇ_RAPORU_BURAK_YENI1309[[#This Row],[SATINALMA]]*DST_123_ÜRETİM_İHTİYAÇ_RAPORU_BURAK_YENI1309[[#This Row],[BIRIM_FIYATLAR]])&lt;1,VALUE("0"),DST_123_ÜRETİM_İHTİYAÇ_RAPORU_BURAK_YENI1309[[#This Row],[SATINALMA]]*DST_123_ÜRETİM_İHTİYAÇ_RAPORU_BURAK_YENI1309[[#This Row],[BIRIM_FIYATLAR]])</f>
        <v>0</v>
      </c>
      <c r="N2146">
        <v>2</v>
      </c>
      <c r="P2146">
        <v>16</v>
      </c>
      <c r="Q2146" t="s">
        <v>180</v>
      </c>
    </row>
    <row r="2147" spans="1:17" x14ac:dyDescent="0.25">
      <c r="A2147" t="s">
        <v>1064</v>
      </c>
      <c r="B2147" t="s">
        <v>1055</v>
      </c>
      <c r="C2147" t="s">
        <v>175</v>
      </c>
      <c r="D2147" t="s">
        <v>408</v>
      </c>
      <c r="E2147" t="s">
        <v>409</v>
      </c>
      <c r="F2147">
        <v>24</v>
      </c>
      <c r="G2147" t="s">
        <v>176</v>
      </c>
      <c r="H2147">
        <v>0</v>
      </c>
      <c r="I2147">
        <v>2698</v>
      </c>
      <c r="J2147" s="10">
        <v>0</v>
      </c>
      <c r="K2147" s="10">
        <f>SUMIFS(F:F,D:D,DST_123_ÜRETİM_İHTİYAÇ_RAPORU_BURAK_YENI1309[[#This Row],[ALT_KOD]])-(SUMIFS(H:H,D:D,DST_123_ÜRETİM_İHTİYAÇ_RAPORU_BURAK_YENI1309[[#This Row],[ALT_KOD]])+AVERAGEIFS(I:I,D:D,DST_123_ÜRETİM_İHTİYAÇ_RAPORU_BURAK_YENI1309[[#This Row],[ALT_KOD]])+AVERAGEIFS(L:L,D:D,DST_123_ÜRETİM_İHTİYAÇ_RAPORU_BURAK_YENI1309[[#This Row],[ALT_KOD]]))</f>
        <v>-2312</v>
      </c>
      <c r="L2147">
        <v>0</v>
      </c>
      <c r="M2147">
        <f>IF((DST_123_ÜRETİM_İHTİYAÇ_RAPORU_BURAK_YENI1309[[#This Row],[SATINALMA]]*DST_123_ÜRETİM_İHTİYAÇ_RAPORU_BURAK_YENI1309[[#This Row],[BIRIM_FIYATLAR]])&lt;1,VALUE("0"),DST_123_ÜRETİM_İHTİYAÇ_RAPORU_BURAK_YENI1309[[#This Row],[SATINALMA]]*DST_123_ÜRETİM_İHTİYAÇ_RAPORU_BURAK_YENI1309[[#This Row],[BIRIM_FIYATLAR]])</f>
        <v>0</v>
      </c>
      <c r="N2147">
        <v>1.55</v>
      </c>
      <c r="O2147" t="s">
        <v>220</v>
      </c>
      <c r="P2147">
        <v>37.200000000000003</v>
      </c>
      <c r="Q2147" t="s">
        <v>221</v>
      </c>
    </row>
    <row r="2148" spans="1:17" x14ac:dyDescent="0.25">
      <c r="A2148" t="s">
        <v>1196</v>
      </c>
      <c r="B2148" t="s">
        <v>1197</v>
      </c>
      <c r="C2148" t="s">
        <v>175</v>
      </c>
      <c r="D2148" t="s">
        <v>408</v>
      </c>
      <c r="E2148" t="s">
        <v>409</v>
      </c>
      <c r="F2148">
        <v>14</v>
      </c>
      <c r="G2148" t="s">
        <v>176</v>
      </c>
      <c r="H2148">
        <v>0</v>
      </c>
      <c r="I2148">
        <v>2698</v>
      </c>
      <c r="J2148" s="10">
        <v>0</v>
      </c>
      <c r="K2148" s="10">
        <f>SUMIFS(F:F,D:D,DST_123_ÜRETİM_İHTİYAÇ_RAPORU_BURAK_YENI1309[[#This Row],[ALT_KOD]])-(SUMIFS(H:H,D:D,DST_123_ÜRETİM_İHTİYAÇ_RAPORU_BURAK_YENI1309[[#This Row],[ALT_KOD]])+AVERAGEIFS(I:I,D:D,DST_123_ÜRETİM_İHTİYAÇ_RAPORU_BURAK_YENI1309[[#This Row],[ALT_KOD]])+AVERAGEIFS(L:L,D:D,DST_123_ÜRETİM_İHTİYAÇ_RAPORU_BURAK_YENI1309[[#This Row],[ALT_KOD]]))</f>
        <v>-2312</v>
      </c>
      <c r="L2148">
        <v>0</v>
      </c>
      <c r="M2148">
        <f>IF((DST_123_ÜRETİM_İHTİYAÇ_RAPORU_BURAK_YENI1309[[#This Row],[SATINALMA]]*DST_123_ÜRETİM_İHTİYAÇ_RAPORU_BURAK_YENI1309[[#This Row],[BIRIM_FIYATLAR]])&lt;1,VALUE("0"),DST_123_ÜRETİM_İHTİYAÇ_RAPORU_BURAK_YENI1309[[#This Row],[SATINALMA]]*DST_123_ÜRETİM_İHTİYAÇ_RAPORU_BURAK_YENI1309[[#This Row],[BIRIM_FIYATLAR]])</f>
        <v>0</v>
      </c>
      <c r="N2148">
        <v>1.55</v>
      </c>
      <c r="O2148" t="s">
        <v>220</v>
      </c>
      <c r="P2148">
        <v>21.7</v>
      </c>
      <c r="Q2148" t="s">
        <v>221</v>
      </c>
    </row>
    <row r="2149" spans="1:17" x14ac:dyDescent="0.25">
      <c r="A2149" t="s">
        <v>1099</v>
      </c>
      <c r="B2149" t="s">
        <v>1055</v>
      </c>
      <c r="C2149" t="s">
        <v>175</v>
      </c>
      <c r="D2149" t="s">
        <v>408</v>
      </c>
      <c r="E2149" t="s">
        <v>409</v>
      </c>
      <c r="F2149">
        <v>26</v>
      </c>
      <c r="G2149" t="s">
        <v>176</v>
      </c>
      <c r="H2149">
        <v>0</v>
      </c>
      <c r="I2149">
        <v>2698</v>
      </c>
      <c r="J2149" s="10">
        <v>0</v>
      </c>
      <c r="K2149" s="10">
        <f>SUMIFS(F:F,D:D,DST_123_ÜRETİM_İHTİYAÇ_RAPORU_BURAK_YENI1309[[#This Row],[ALT_KOD]])-(SUMIFS(H:H,D:D,DST_123_ÜRETİM_İHTİYAÇ_RAPORU_BURAK_YENI1309[[#This Row],[ALT_KOD]])+AVERAGEIFS(I:I,D:D,DST_123_ÜRETİM_İHTİYAÇ_RAPORU_BURAK_YENI1309[[#This Row],[ALT_KOD]])+AVERAGEIFS(L:L,D:D,DST_123_ÜRETİM_İHTİYAÇ_RAPORU_BURAK_YENI1309[[#This Row],[ALT_KOD]]))</f>
        <v>-2312</v>
      </c>
      <c r="L2149">
        <v>0</v>
      </c>
      <c r="M2149">
        <f>IF((DST_123_ÜRETİM_İHTİYAÇ_RAPORU_BURAK_YENI1309[[#This Row],[SATINALMA]]*DST_123_ÜRETİM_İHTİYAÇ_RAPORU_BURAK_YENI1309[[#This Row],[BIRIM_FIYATLAR]])&lt;1,VALUE("0"),DST_123_ÜRETİM_İHTİYAÇ_RAPORU_BURAK_YENI1309[[#This Row],[SATINALMA]]*DST_123_ÜRETİM_İHTİYAÇ_RAPORU_BURAK_YENI1309[[#This Row],[BIRIM_FIYATLAR]])</f>
        <v>0</v>
      </c>
      <c r="N2149">
        <v>1.55</v>
      </c>
      <c r="O2149" t="s">
        <v>220</v>
      </c>
      <c r="P2149">
        <v>40.300000000000004</v>
      </c>
      <c r="Q2149" t="s">
        <v>221</v>
      </c>
    </row>
    <row r="2150" spans="1:17" x14ac:dyDescent="0.25">
      <c r="A2150" t="s">
        <v>1142</v>
      </c>
      <c r="B2150" t="s">
        <v>1056</v>
      </c>
      <c r="C2150" t="s">
        <v>175</v>
      </c>
      <c r="D2150" t="s">
        <v>101</v>
      </c>
      <c r="E2150" t="s">
        <v>102</v>
      </c>
      <c r="F2150">
        <v>4</v>
      </c>
      <c r="G2150" t="s">
        <v>185</v>
      </c>
      <c r="H2150">
        <v>0</v>
      </c>
      <c r="I2150">
        <v>66</v>
      </c>
      <c r="J2150" s="10">
        <v>36.349999999999987</v>
      </c>
      <c r="K2150" s="10">
        <f>SUMIFS(F:F,D:D,DST_123_ÜRETİM_İHTİYAÇ_RAPORU_BURAK_YENI1309[[#This Row],[ALT_KOD]])-(SUMIFS(H:H,D:D,DST_123_ÜRETİM_İHTİYAÇ_RAPORU_BURAK_YENI1309[[#This Row],[ALT_KOD]])+AVERAGEIFS(I:I,D:D,DST_123_ÜRETİM_İHTİYAÇ_RAPORU_BURAK_YENI1309[[#This Row],[ALT_KOD]])+AVERAGEIFS(L:L,D:D,DST_123_ÜRETİM_İHTİYAÇ_RAPORU_BURAK_YENI1309[[#This Row],[ALT_KOD]]))</f>
        <v>-17.090000000000018</v>
      </c>
      <c r="L2150">
        <v>0</v>
      </c>
      <c r="M2150">
        <f>IF((DST_123_ÜRETİM_İHTİYAÇ_RAPORU_BURAK_YENI1309[[#This Row],[SATINALMA]]*DST_123_ÜRETİM_İHTİYAÇ_RAPORU_BURAK_YENI1309[[#This Row],[BIRIM_FIYATLAR]])&lt;1,VALUE("0"),DST_123_ÜRETİM_İHTİYAÇ_RAPORU_BURAK_YENI1309[[#This Row],[SATINALMA]]*DST_123_ÜRETİM_İHTİYAÇ_RAPORU_BURAK_YENI1309[[#This Row],[BIRIM_FIYATLAR]])</f>
        <v>0</v>
      </c>
      <c r="N2150">
        <v>129.63</v>
      </c>
      <c r="O2150" t="s">
        <v>240</v>
      </c>
      <c r="P2150">
        <v>518.52</v>
      </c>
      <c r="Q2150" t="s">
        <v>183</v>
      </c>
    </row>
    <row r="2151" spans="1:17" x14ac:dyDescent="0.25">
      <c r="A2151" t="s">
        <v>1097</v>
      </c>
      <c r="B2151" t="s">
        <v>1055</v>
      </c>
      <c r="C2151" t="s">
        <v>175</v>
      </c>
      <c r="D2151" t="s">
        <v>101</v>
      </c>
      <c r="E2151" t="s">
        <v>102</v>
      </c>
      <c r="F2151">
        <v>3.4400000000000004</v>
      </c>
      <c r="G2151" t="s">
        <v>185</v>
      </c>
      <c r="H2151">
        <v>3.4400000000000004</v>
      </c>
      <c r="I2151">
        <v>66</v>
      </c>
      <c r="J2151" s="10">
        <v>36.349999999999987</v>
      </c>
      <c r="K2151" s="10">
        <f>SUMIFS(F:F,D:D,DST_123_ÜRETİM_İHTİYAÇ_RAPORU_BURAK_YENI1309[[#This Row],[ALT_KOD]])-(SUMIFS(H:H,D:D,DST_123_ÜRETİM_İHTİYAÇ_RAPORU_BURAK_YENI1309[[#This Row],[ALT_KOD]])+AVERAGEIFS(I:I,D:D,DST_123_ÜRETİM_İHTİYAÇ_RAPORU_BURAK_YENI1309[[#This Row],[ALT_KOD]])+AVERAGEIFS(L:L,D:D,DST_123_ÜRETİM_İHTİYAÇ_RAPORU_BURAK_YENI1309[[#This Row],[ALT_KOD]]))</f>
        <v>-17.090000000000018</v>
      </c>
      <c r="L2151">
        <v>0</v>
      </c>
      <c r="M2151">
        <f>IF((DST_123_ÜRETİM_İHTİYAÇ_RAPORU_BURAK_YENI1309[[#This Row],[SATINALMA]]*DST_123_ÜRETİM_İHTİYAÇ_RAPORU_BURAK_YENI1309[[#This Row],[BIRIM_FIYATLAR]])&lt;1,VALUE("0"),DST_123_ÜRETİM_İHTİYAÇ_RAPORU_BURAK_YENI1309[[#This Row],[SATINALMA]]*DST_123_ÜRETİM_İHTİYAÇ_RAPORU_BURAK_YENI1309[[#This Row],[BIRIM_FIYATLAR]])</f>
        <v>0</v>
      </c>
      <c r="N2151">
        <v>129.63</v>
      </c>
      <c r="O2151" t="s">
        <v>240</v>
      </c>
      <c r="P2151">
        <v>445.92720000000003</v>
      </c>
      <c r="Q2151" t="s">
        <v>183</v>
      </c>
    </row>
    <row r="2152" spans="1:17" x14ac:dyDescent="0.25">
      <c r="A2152" t="s">
        <v>1142</v>
      </c>
      <c r="B2152" t="s">
        <v>1056</v>
      </c>
      <c r="C2152" t="s">
        <v>175</v>
      </c>
      <c r="D2152" t="s">
        <v>538</v>
      </c>
      <c r="E2152" t="s">
        <v>539</v>
      </c>
      <c r="F2152">
        <v>2</v>
      </c>
      <c r="G2152" t="s">
        <v>176</v>
      </c>
      <c r="H2152">
        <v>0</v>
      </c>
      <c r="I2152">
        <v>250</v>
      </c>
      <c r="J2152" s="10">
        <v>3</v>
      </c>
      <c r="K2152" s="10">
        <f>SUMIFS(F:F,D:D,DST_123_ÜRETİM_İHTİYAÇ_RAPORU_BURAK_YENI1309[[#This Row],[ALT_KOD]])-(SUMIFS(H:H,D:D,DST_123_ÜRETİM_İHTİYAÇ_RAPORU_BURAK_YENI1309[[#This Row],[ALT_KOD]])+AVERAGEIFS(I:I,D:D,DST_123_ÜRETİM_İHTİYAÇ_RAPORU_BURAK_YENI1309[[#This Row],[ALT_KOD]])+AVERAGEIFS(L:L,D:D,DST_123_ÜRETİM_İHTİYAÇ_RAPORU_BURAK_YENI1309[[#This Row],[ALT_KOD]]))</f>
        <v>-166</v>
      </c>
      <c r="L2152">
        <v>0</v>
      </c>
      <c r="M2152">
        <f>IF((DST_123_ÜRETİM_İHTİYAÇ_RAPORU_BURAK_YENI1309[[#This Row],[SATINALMA]]*DST_123_ÜRETİM_İHTİYAÇ_RAPORU_BURAK_YENI1309[[#This Row],[BIRIM_FIYATLAR]])&lt;1,VALUE("0"),DST_123_ÜRETİM_İHTİYAÇ_RAPORU_BURAK_YENI1309[[#This Row],[SATINALMA]]*DST_123_ÜRETİM_İHTİYAÇ_RAPORU_BURAK_YENI1309[[#This Row],[BIRIM_FIYATLAR]])</f>
        <v>0</v>
      </c>
      <c r="N2152">
        <v>2</v>
      </c>
      <c r="P2152">
        <v>4</v>
      </c>
      <c r="Q2152" t="s">
        <v>180</v>
      </c>
    </row>
    <row r="2153" spans="1:17" x14ac:dyDescent="0.25">
      <c r="A2153" t="s">
        <v>1097</v>
      </c>
      <c r="B2153" t="s">
        <v>1055</v>
      </c>
      <c r="C2153" t="s">
        <v>175</v>
      </c>
      <c r="D2153" t="s">
        <v>538</v>
      </c>
      <c r="E2153" t="s">
        <v>539</v>
      </c>
      <c r="F2153">
        <v>8</v>
      </c>
      <c r="G2153" t="s">
        <v>176</v>
      </c>
      <c r="H2153">
        <v>0</v>
      </c>
      <c r="I2153">
        <v>250</v>
      </c>
      <c r="J2153" s="10">
        <v>3</v>
      </c>
      <c r="K2153" s="10">
        <f>SUMIFS(F:F,D:D,DST_123_ÜRETİM_İHTİYAÇ_RAPORU_BURAK_YENI1309[[#This Row],[ALT_KOD]])-(SUMIFS(H:H,D:D,DST_123_ÜRETİM_İHTİYAÇ_RAPORU_BURAK_YENI1309[[#This Row],[ALT_KOD]])+AVERAGEIFS(I:I,D:D,DST_123_ÜRETİM_İHTİYAÇ_RAPORU_BURAK_YENI1309[[#This Row],[ALT_KOD]])+AVERAGEIFS(L:L,D:D,DST_123_ÜRETİM_İHTİYAÇ_RAPORU_BURAK_YENI1309[[#This Row],[ALT_KOD]]))</f>
        <v>-166</v>
      </c>
      <c r="L2153">
        <v>0</v>
      </c>
      <c r="M2153">
        <f>IF((DST_123_ÜRETİM_İHTİYAÇ_RAPORU_BURAK_YENI1309[[#This Row],[SATINALMA]]*DST_123_ÜRETİM_İHTİYAÇ_RAPORU_BURAK_YENI1309[[#This Row],[BIRIM_FIYATLAR]])&lt;1,VALUE("0"),DST_123_ÜRETİM_İHTİYAÇ_RAPORU_BURAK_YENI1309[[#This Row],[SATINALMA]]*DST_123_ÜRETİM_İHTİYAÇ_RAPORU_BURAK_YENI1309[[#This Row],[BIRIM_FIYATLAR]])</f>
        <v>0</v>
      </c>
      <c r="N2153">
        <v>2</v>
      </c>
      <c r="P2153">
        <v>16</v>
      </c>
      <c r="Q2153" t="s">
        <v>180</v>
      </c>
    </row>
    <row r="2154" spans="1:17" x14ac:dyDescent="0.25">
      <c r="A2154" t="s">
        <v>1144</v>
      </c>
      <c r="B2154" t="s">
        <v>1145</v>
      </c>
      <c r="C2154" t="s">
        <v>175</v>
      </c>
      <c r="D2154" t="s">
        <v>516</v>
      </c>
      <c r="E2154" t="s">
        <v>517</v>
      </c>
      <c r="F2154">
        <v>1.5</v>
      </c>
      <c r="G2154" t="s">
        <v>176</v>
      </c>
      <c r="H2154">
        <v>0</v>
      </c>
      <c r="I2154">
        <v>91</v>
      </c>
      <c r="J2154" s="10">
        <v>17.799999999999997</v>
      </c>
      <c r="K2154" s="10">
        <f>SUMIFS(F:F,D:D,DST_123_ÜRETİM_İHTİYAÇ_RAPORU_BURAK_YENI1309[[#This Row],[ALT_KOD]])-(SUMIFS(H:H,D:D,DST_123_ÜRETİM_İHTİYAÇ_RAPORU_BURAK_YENI1309[[#This Row],[ALT_KOD]])+AVERAGEIFS(I:I,D:D,DST_123_ÜRETİM_İHTİYAÇ_RAPORU_BURAK_YENI1309[[#This Row],[ALT_KOD]])+AVERAGEIFS(L:L,D:D,DST_123_ÜRETİM_İHTİYAÇ_RAPORU_BURAK_YENI1309[[#This Row],[ALT_KOD]]))</f>
        <v>-74.5</v>
      </c>
      <c r="L2154">
        <v>0</v>
      </c>
      <c r="M2154">
        <f>IF((DST_123_ÜRETİM_İHTİYAÇ_RAPORU_BURAK_YENI1309[[#This Row],[SATINALMA]]*DST_123_ÜRETİM_İHTİYAÇ_RAPORU_BURAK_YENI1309[[#This Row],[BIRIM_FIYATLAR]])&lt;1,VALUE("0"),DST_123_ÜRETİM_İHTİYAÇ_RAPORU_BURAK_YENI1309[[#This Row],[SATINALMA]]*DST_123_ÜRETİM_İHTİYAÇ_RAPORU_BURAK_YENI1309[[#This Row],[BIRIM_FIYATLAR]])</f>
        <v>0</v>
      </c>
      <c r="N2154">
        <v>85</v>
      </c>
      <c r="O2154" t="s">
        <v>346</v>
      </c>
      <c r="P2154">
        <v>127.5</v>
      </c>
      <c r="Q2154" t="s">
        <v>180</v>
      </c>
    </row>
    <row r="2155" spans="1:17" x14ac:dyDescent="0.25">
      <c r="A2155" t="s">
        <v>1146</v>
      </c>
      <c r="B2155" t="s">
        <v>1145</v>
      </c>
      <c r="C2155" t="s">
        <v>175</v>
      </c>
      <c r="D2155" t="s">
        <v>516</v>
      </c>
      <c r="E2155" t="s">
        <v>517</v>
      </c>
      <c r="F2155">
        <v>1.5</v>
      </c>
      <c r="G2155" t="s">
        <v>176</v>
      </c>
      <c r="H2155">
        <v>1.5</v>
      </c>
      <c r="I2155">
        <v>91</v>
      </c>
      <c r="J2155" s="10">
        <v>17.799999999999997</v>
      </c>
      <c r="K2155" s="10">
        <f>SUMIFS(F:F,D:D,DST_123_ÜRETİM_İHTİYAÇ_RAPORU_BURAK_YENI1309[[#This Row],[ALT_KOD]])-(SUMIFS(H:H,D:D,DST_123_ÜRETİM_İHTİYAÇ_RAPORU_BURAK_YENI1309[[#This Row],[ALT_KOD]])+AVERAGEIFS(I:I,D:D,DST_123_ÜRETİM_İHTİYAÇ_RAPORU_BURAK_YENI1309[[#This Row],[ALT_KOD]])+AVERAGEIFS(L:L,D:D,DST_123_ÜRETİM_İHTİYAÇ_RAPORU_BURAK_YENI1309[[#This Row],[ALT_KOD]]))</f>
        <v>-74.5</v>
      </c>
      <c r="L2155">
        <v>0</v>
      </c>
      <c r="M2155">
        <f>IF((DST_123_ÜRETİM_İHTİYAÇ_RAPORU_BURAK_YENI1309[[#This Row],[SATINALMA]]*DST_123_ÜRETİM_İHTİYAÇ_RAPORU_BURAK_YENI1309[[#This Row],[BIRIM_FIYATLAR]])&lt;1,VALUE("0"),DST_123_ÜRETİM_İHTİYAÇ_RAPORU_BURAK_YENI1309[[#This Row],[SATINALMA]]*DST_123_ÜRETİM_İHTİYAÇ_RAPORU_BURAK_YENI1309[[#This Row],[BIRIM_FIYATLAR]])</f>
        <v>0</v>
      </c>
      <c r="N2155">
        <v>85</v>
      </c>
      <c r="O2155" t="s">
        <v>346</v>
      </c>
      <c r="P2155">
        <v>127.5</v>
      </c>
      <c r="Q2155" t="s">
        <v>180</v>
      </c>
    </row>
    <row r="2156" spans="1:17" x14ac:dyDescent="0.25">
      <c r="A2156" t="s">
        <v>1146</v>
      </c>
      <c r="B2156" t="s">
        <v>1145</v>
      </c>
      <c r="C2156" t="s">
        <v>175</v>
      </c>
      <c r="D2156" t="s">
        <v>697</v>
      </c>
      <c r="E2156" t="s">
        <v>698</v>
      </c>
      <c r="F2156">
        <v>1</v>
      </c>
      <c r="G2156" t="s">
        <v>176</v>
      </c>
      <c r="H2156">
        <v>0</v>
      </c>
      <c r="I2156">
        <v>6</v>
      </c>
      <c r="J2156" s="10">
        <v>5</v>
      </c>
      <c r="K2156" s="10">
        <f>SUMIFS(F:F,D:D,DST_123_ÜRETİM_İHTİYAÇ_RAPORU_BURAK_YENI1309[[#This Row],[ALT_KOD]])-(SUMIFS(H:H,D:D,DST_123_ÜRETİM_İHTİYAÇ_RAPORU_BURAK_YENI1309[[#This Row],[ALT_KOD]])+AVERAGEIFS(I:I,D:D,DST_123_ÜRETİM_İHTİYAÇ_RAPORU_BURAK_YENI1309[[#This Row],[ALT_KOD]])+AVERAGEIFS(L:L,D:D,DST_123_ÜRETİM_İHTİYAÇ_RAPORU_BURAK_YENI1309[[#This Row],[ALT_KOD]]))</f>
        <v>5</v>
      </c>
      <c r="L2156">
        <v>0</v>
      </c>
      <c r="M2156">
        <f>IF((DST_123_ÜRETİM_İHTİYAÇ_RAPORU_BURAK_YENI1309[[#This Row],[SATINALMA]]*DST_123_ÜRETİM_İHTİYAÇ_RAPORU_BURAK_YENI1309[[#This Row],[BIRIM_FIYATLAR]])&lt;1,VALUE("0"),DST_123_ÜRETİM_İHTİYAÇ_RAPORU_BURAK_YENI1309[[#This Row],[SATINALMA]]*DST_123_ÜRETİM_İHTİYAÇ_RAPORU_BURAK_YENI1309[[#This Row],[BIRIM_FIYATLAR]])</f>
        <v>11000</v>
      </c>
      <c r="N2156">
        <v>2200</v>
      </c>
      <c r="O2156" t="s">
        <v>251</v>
      </c>
      <c r="P2156">
        <v>2200</v>
      </c>
      <c r="Q2156" t="s">
        <v>178</v>
      </c>
    </row>
    <row r="2157" spans="1:17" x14ac:dyDescent="0.25">
      <c r="A2157" t="s">
        <v>1144</v>
      </c>
      <c r="B2157" t="s">
        <v>1145</v>
      </c>
      <c r="C2157" t="s">
        <v>175</v>
      </c>
      <c r="D2157" t="s">
        <v>697</v>
      </c>
      <c r="E2157" t="s">
        <v>698</v>
      </c>
      <c r="F2157">
        <v>1</v>
      </c>
      <c r="G2157" t="s">
        <v>176</v>
      </c>
      <c r="H2157">
        <v>0</v>
      </c>
      <c r="I2157">
        <v>6</v>
      </c>
      <c r="J2157" s="10">
        <v>5</v>
      </c>
      <c r="K2157" s="10">
        <f>SUMIFS(F:F,D:D,DST_123_ÜRETİM_İHTİYAÇ_RAPORU_BURAK_YENI1309[[#This Row],[ALT_KOD]])-(SUMIFS(H:H,D:D,DST_123_ÜRETİM_İHTİYAÇ_RAPORU_BURAK_YENI1309[[#This Row],[ALT_KOD]])+AVERAGEIFS(I:I,D:D,DST_123_ÜRETİM_İHTİYAÇ_RAPORU_BURAK_YENI1309[[#This Row],[ALT_KOD]])+AVERAGEIFS(L:L,D:D,DST_123_ÜRETİM_İHTİYAÇ_RAPORU_BURAK_YENI1309[[#This Row],[ALT_KOD]]))</f>
        <v>5</v>
      </c>
      <c r="L2157">
        <v>0</v>
      </c>
      <c r="M2157">
        <f>IF((DST_123_ÜRETİM_İHTİYAÇ_RAPORU_BURAK_YENI1309[[#This Row],[SATINALMA]]*DST_123_ÜRETİM_İHTİYAÇ_RAPORU_BURAK_YENI1309[[#This Row],[BIRIM_FIYATLAR]])&lt;1,VALUE("0"),DST_123_ÜRETİM_İHTİYAÇ_RAPORU_BURAK_YENI1309[[#This Row],[SATINALMA]]*DST_123_ÜRETİM_İHTİYAÇ_RAPORU_BURAK_YENI1309[[#This Row],[BIRIM_FIYATLAR]])</f>
        <v>11000</v>
      </c>
      <c r="N2157">
        <v>2200</v>
      </c>
      <c r="O2157" t="s">
        <v>251</v>
      </c>
      <c r="P2157">
        <v>2200</v>
      </c>
      <c r="Q2157" t="s">
        <v>178</v>
      </c>
    </row>
    <row r="2158" spans="1:17" x14ac:dyDescent="0.25">
      <c r="A2158" t="s">
        <v>1147</v>
      </c>
      <c r="B2158" t="s">
        <v>1145</v>
      </c>
      <c r="C2158" t="s">
        <v>175</v>
      </c>
      <c r="D2158" t="s">
        <v>532</v>
      </c>
      <c r="E2158" t="s">
        <v>533</v>
      </c>
      <c r="F2158">
        <v>10</v>
      </c>
      <c r="G2158" t="s">
        <v>179</v>
      </c>
      <c r="H2158">
        <v>0</v>
      </c>
      <c r="I2158">
        <v>0</v>
      </c>
      <c r="J2158" s="10">
        <v>0</v>
      </c>
      <c r="K2158" s="10">
        <f>SUMIFS(F:F,D:D,DST_123_ÜRETİM_İHTİYAÇ_RAPORU_BURAK_YENI1309[[#This Row],[ALT_KOD]])-(SUMIFS(H:H,D:D,DST_123_ÜRETİM_İHTİYAÇ_RAPORU_BURAK_YENI1309[[#This Row],[ALT_KOD]])+AVERAGEIFS(I:I,D:D,DST_123_ÜRETİM_İHTİYAÇ_RAPORU_BURAK_YENI1309[[#This Row],[ALT_KOD]])+AVERAGEIFS(L:L,D:D,DST_123_ÜRETİM_İHTİYAÇ_RAPORU_BURAK_YENI1309[[#This Row],[ALT_KOD]]))</f>
        <v>-220</v>
      </c>
      <c r="L2158">
        <v>400</v>
      </c>
      <c r="M2158">
        <f>IF((DST_123_ÜRETİM_İHTİYAÇ_RAPORU_BURAK_YENI1309[[#This Row],[SATINALMA]]*DST_123_ÜRETİM_İHTİYAÇ_RAPORU_BURAK_YENI1309[[#This Row],[BIRIM_FIYATLAR]])&lt;1,VALUE("0"),DST_123_ÜRETİM_İHTİYAÇ_RAPORU_BURAK_YENI1309[[#This Row],[SATINALMA]]*DST_123_ÜRETİM_İHTİYAÇ_RAPORU_BURAK_YENI1309[[#This Row],[BIRIM_FIYATLAR]])</f>
        <v>0</v>
      </c>
      <c r="N2158">
        <v>5</v>
      </c>
      <c r="O2158" t="s">
        <v>224</v>
      </c>
      <c r="P2158">
        <v>50</v>
      </c>
      <c r="Q2158" t="s">
        <v>180</v>
      </c>
    </row>
    <row r="2159" spans="1:17" x14ac:dyDescent="0.25">
      <c r="A2159" t="s">
        <v>1057</v>
      </c>
      <c r="B2159" t="s">
        <v>1058</v>
      </c>
      <c r="C2159" t="s">
        <v>175</v>
      </c>
      <c r="D2159" t="s">
        <v>992</v>
      </c>
      <c r="E2159" t="s">
        <v>993</v>
      </c>
      <c r="F2159">
        <v>35</v>
      </c>
      <c r="G2159" t="s">
        <v>176</v>
      </c>
      <c r="H2159">
        <v>0</v>
      </c>
      <c r="I2159">
        <v>1000</v>
      </c>
      <c r="J2159" s="10">
        <v>3505</v>
      </c>
      <c r="K2159" s="10">
        <f>SUMIFS(F:F,D:D,DST_123_ÜRETİM_İHTİYAÇ_RAPORU_BURAK_YENI1309[[#This Row],[ALT_KOD]])-(SUMIFS(H:H,D:D,DST_123_ÜRETİM_İHTİYAÇ_RAPORU_BURAK_YENI1309[[#This Row],[ALT_KOD]])+AVERAGEIFS(I:I,D:D,DST_123_ÜRETİM_İHTİYAÇ_RAPORU_BURAK_YENI1309[[#This Row],[ALT_KOD]])+AVERAGEIFS(L:L,D:D,DST_123_ÜRETİM_İHTİYAÇ_RAPORU_BURAK_YENI1309[[#This Row],[ALT_KOD]]))</f>
        <v>-914</v>
      </c>
      <c r="L2159">
        <v>0</v>
      </c>
      <c r="M2159">
        <f>IF((DST_123_ÜRETİM_İHTİYAÇ_RAPORU_BURAK_YENI1309[[#This Row],[SATINALMA]]*DST_123_ÜRETİM_İHTİYAÇ_RAPORU_BURAK_YENI1309[[#This Row],[BIRIM_FIYATLAR]])&lt;1,VALUE("0"),DST_123_ÜRETİM_İHTİYAÇ_RAPORU_BURAK_YENI1309[[#This Row],[SATINALMA]]*DST_123_ÜRETİM_İHTİYAÇ_RAPORU_BURAK_YENI1309[[#This Row],[BIRIM_FIYATLAR]])</f>
        <v>0</v>
      </c>
      <c r="N2159">
        <v>0.63</v>
      </c>
      <c r="O2159" t="s">
        <v>882</v>
      </c>
      <c r="P2159">
        <v>22.05</v>
      </c>
      <c r="Q2159" t="s">
        <v>180</v>
      </c>
    </row>
    <row r="2160" spans="1:17" x14ac:dyDescent="0.25">
      <c r="A2160" t="s">
        <v>1147</v>
      </c>
      <c r="B2160" t="s">
        <v>1145</v>
      </c>
      <c r="C2160" t="s">
        <v>175</v>
      </c>
      <c r="D2160" t="s">
        <v>353</v>
      </c>
      <c r="E2160" t="s">
        <v>354</v>
      </c>
      <c r="F2160">
        <v>8</v>
      </c>
      <c r="G2160" t="s">
        <v>176</v>
      </c>
      <c r="H2160">
        <v>0</v>
      </c>
      <c r="I2160">
        <v>391</v>
      </c>
      <c r="J2160" s="10">
        <v>150</v>
      </c>
      <c r="K2160" s="10">
        <f>SUMIFS(F:F,D:D,DST_123_ÜRETİM_İHTİYAÇ_RAPORU_BURAK_YENI1309[[#This Row],[ALT_KOD]])-(SUMIFS(H:H,D:D,DST_123_ÜRETİM_İHTİYAÇ_RAPORU_BURAK_YENI1309[[#This Row],[ALT_KOD]])+AVERAGEIFS(I:I,D:D,DST_123_ÜRETİM_İHTİYAÇ_RAPORU_BURAK_YENI1309[[#This Row],[ALT_KOD]])+AVERAGEIFS(L:L,D:D,DST_123_ÜRETİM_İHTİYAÇ_RAPORU_BURAK_YENI1309[[#This Row],[ALT_KOD]]))</f>
        <v>-33</v>
      </c>
      <c r="L2160">
        <v>0</v>
      </c>
      <c r="M2160">
        <f>IF((DST_123_ÜRETİM_İHTİYAÇ_RAPORU_BURAK_YENI1309[[#This Row],[SATINALMA]]*DST_123_ÜRETİM_İHTİYAÇ_RAPORU_BURAK_YENI1309[[#This Row],[BIRIM_FIYATLAR]])&lt;1,VALUE("0"),DST_123_ÜRETİM_İHTİYAÇ_RAPORU_BURAK_YENI1309[[#This Row],[SATINALMA]]*DST_123_ÜRETİM_İHTİYAÇ_RAPORU_BURAK_YENI1309[[#This Row],[BIRIM_FIYATLAR]])</f>
        <v>0</v>
      </c>
      <c r="N2160">
        <v>10.65</v>
      </c>
      <c r="O2160" t="s">
        <v>882</v>
      </c>
      <c r="P2160">
        <v>85.2</v>
      </c>
      <c r="Q2160" t="s">
        <v>180</v>
      </c>
    </row>
    <row r="2161" spans="1:17" x14ac:dyDescent="0.25">
      <c r="A2161" t="s">
        <v>1095</v>
      </c>
      <c r="B2161" t="s">
        <v>1096</v>
      </c>
      <c r="C2161" t="s">
        <v>175</v>
      </c>
      <c r="D2161" t="s">
        <v>1030</v>
      </c>
      <c r="E2161" t="s">
        <v>1031</v>
      </c>
      <c r="F2161">
        <v>0.125</v>
      </c>
      <c r="G2161" t="s">
        <v>182</v>
      </c>
      <c r="H2161">
        <v>0</v>
      </c>
      <c r="I2161">
        <v>40</v>
      </c>
      <c r="J2161" s="10">
        <v>20</v>
      </c>
      <c r="K2161" s="10">
        <f>SUMIFS(F:F,D:D,DST_123_ÜRETİM_İHTİYAÇ_RAPORU_BURAK_YENI1309[[#This Row],[ALT_KOD]])-(SUMIFS(H:H,D:D,DST_123_ÜRETİM_İHTİYAÇ_RAPORU_BURAK_YENI1309[[#This Row],[ALT_KOD]])+AVERAGEIFS(I:I,D:D,DST_123_ÜRETİM_İHTİYAÇ_RAPORU_BURAK_YENI1309[[#This Row],[ALT_KOD]])+AVERAGEIFS(L:L,D:D,DST_123_ÜRETİM_İHTİYAÇ_RAPORU_BURAK_YENI1309[[#This Row],[ALT_KOD]]))</f>
        <v>-35.625</v>
      </c>
      <c r="L2161">
        <v>0</v>
      </c>
      <c r="M2161">
        <f>IF((DST_123_ÜRETİM_İHTİYAÇ_RAPORU_BURAK_YENI1309[[#This Row],[SATINALMA]]*DST_123_ÜRETİM_İHTİYAÇ_RAPORU_BURAK_YENI1309[[#This Row],[BIRIM_FIYATLAR]])&lt;1,VALUE("0"),DST_123_ÜRETİM_İHTİYAÇ_RAPORU_BURAK_YENI1309[[#This Row],[SATINALMA]]*DST_123_ÜRETİM_İHTİYAÇ_RAPORU_BURAK_YENI1309[[#This Row],[BIRIM_FIYATLAR]])</f>
        <v>0</v>
      </c>
      <c r="N2161">
        <v>54.17</v>
      </c>
      <c r="O2161" t="s">
        <v>453</v>
      </c>
      <c r="P2161">
        <v>6.7712500000000002</v>
      </c>
      <c r="Q2161" t="s">
        <v>183</v>
      </c>
    </row>
    <row r="2162" spans="1:17" x14ac:dyDescent="0.25">
      <c r="A2162" t="s">
        <v>1142</v>
      </c>
      <c r="B2162" t="s">
        <v>1056</v>
      </c>
      <c r="C2162" t="s">
        <v>175</v>
      </c>
      <c r="D2162" t="s">
        <v>389</v>
      </c>
      <c r="E2162" t="s">
        <v>390</v>
      </c>
      <c r="F2162">
        <v>4</v>
      </c>
      <c r="G2162" t="s">
        <v>176</v>
      </c>
      <c r="H2162">
        <v>0</v>
      </c>
      <c r="I2162">
        <v>100</v>
      </c>
      <c r="J2162" s="10">
        <v>352</v>
      </c>
      <c r="K2162" s="10">
        <f>SUMIFS(F:F,D:D,DST_123_ÜRETİM_İHTİYAÇ_RAPORU_BURAK_YENI1309[[#This Row],[ALT_KOD]])-(SUMIFS(H:H,D:D,DST_123_ÜRETİM_İHTİYAÇ_RAPORU_BURAK_YENI1309[[#This Row],[ALT_KOD]])+AVERAGEIFS(I:I,D:D,DST_123_ÜRETİM_İHTİYAÇ_RAPORU_BURAK_YENI1309[[#This Row],[ALT_KOD]])+AVERAGEIFS(L:L,D:D,DST_123_ÜRETİM_İHTİYAÇ_RAPORU_BURAK_YENI1309[[#This Row],[ALT_KOD]]))</f>
        <v>-28</v>
      </c>
      <c r="L2162">
        <v>0</v>
      </c>
      <c r="M2162">
        <f>IF((DST_123_ÜRETİM_İHTİYAÇ_RAPORU_BURAK_YENI1309[[#This Row],[SATINALMA]]*DST_123_ÜRETİM_İHTİYAÇ_RAPORU_BURAK_YENI1309[[#This Row],[BIRIM_FIYATLAR]])&lt;1,VALUE("0"),DST_123_ÜRETİM_İHTİYAÇ_RAPORU_BURAK_YENI1309[[#This Row],[SATINALMA]]*DST_123_ÜRETİM_İHTİYAÇ_RAPORU_BURAK_YENI1309[[#This Row],[BIRIM_FIYATLAR]])</f>
        <v>0</v>
      </c>
      <c r="N2162">
        <v>6.4</v>
      </c>
      <c r="O2162" t="s">
        <v>882</v>
      </c>
      <c r="P2162">
        <v>25.6</v>
      </c>
      <c r="Q2162" t="s">
        <v>178</v>
      </c>
    </row>
    <row r="2163" spans="1:17" x14ac:dyDescent="0.25">
      <c r="A2163" t="s">
        <v>1142</v>
      </c>
      <c r="B2163" t="s">
        <v>1056</v>
      </c>
      <c r="C2163" t="s">
        <v>175</v>
      </c>
      <c r="D2163" t="s">
        <v>462</v>
      </c>
      <c r="E2163" t="s">
        <v>463</v>
      </c>
      <c r="F2163">
        <v>0.54999999999999993</v>
      </c>
      <c r="G2163" t="s">
        <v>176</v>
      </c>
      <c r="H2163">
        <v>0</v>
      </c>
      <c r="I2163">
        <v>0</v>
      </c>
      <c r="J2163" s="10">
        <v>5.5999999999999988</v>
      </c>
      <c r="K2163" s="10">
        <f>SUMIFS(F:F,D:D,DST_123_ÜRETİM_İHTİYAÇ_RAPORU_BURAK_YENI1309[[#This Row],[ALT_KOD]])-(SUMIFS(H:H,D:D,DST_123_ÜRETİM_İHTİYAÇ_RAPORU_BURAK_YENI1309[[#This Row],[ALT_KOD]])+AVERAGEIFS(I:I,D:D,DST_123_ÜRETİM_İHTİYAÇ_RAPORU_BURAK_YENI1309[[#This Row],[ALT_KOD]])+AVERAGEIFS(L:L,D:D,DST_123_ÜRETİM_İHTİYAÇ_RAPORU_BURAK_YENI1309[[#This Row],[ALT_KOD]]))</f>
        <v>7.2</v>
      </c>
      <c r="L2163">
        <v>0</v>
      </c>
      <c r="M2163">
        <f>IF((DST_123_ÜRETİM_İHTİYAÇ_RAPORU_BURAK_YENI1309[[#This Row],[SATINALMA]]*DST_123_ÜRETİM_İHTİYAÇ_RAPORU_BURAK_YENI1309[[#This Row],[BIRIM_FIYATLAR]])&lt;1,VALUE("0"),DST_123_ÜRETİM_İHTİYAÇ_RAPORU_BURAK_YENI1309[[#This Row],[SATINALMA]]*DST_123_ÜRETİM_İHTİYAÇ_RAPORU_BURAK_YENI1309[[#This Row],[BIRIM_FIYATLAR]])</f>
        <v>1170.0719999999999</v>
      </c>
      <c r="N2163">
        <v>162.51</v>
      </c>
      <c r="O2163" t="s">
        <v>490</v>
      </c>
      <c r="P2163">
        <v>89.380499999999984</v>
      </c>
      <c r="Q2163" t="s">
        <v>183</v>
      </c>
    </row>
    <row r="2164" spans="1:17" x14ac:dyDescent="0.25">
      <c r="A2164" t="s">
        <v>1143</v>
      </c>
      <c r="B2164" t="s">
        <v>1056</v>
      </c>
      <c r="C2164" t="s">
        <v>175</v>
      </c>
      <c r="D2164" t="s">
        <v>462</v>
      </c>
      <c r="E2164" t="s">
        <v>463</v>
      </c>
      <c r="F2164">
        <v>0.75</v>
      </c>
      <c r="G2164" t="s">
        <v>176</v>
      </c>
      <c r="H2164">
        <v>0</v>
      </c>
      <c r="I2164">
        <v>0</v>
      </c>
      <c r="J2164" s="10">
        <v>5.5999999999999988</v>
      </c>
      <c r="K2164" s="10">
        <f>SUMIFS(F:F,D:D,DST_123_ÜRETİM_İHTİYAÇ_RAPORU_BURAK_YENI1309[[#This Row],[ALT_KOD]])-(SUMIFS(H:H,D:D,DST_123_ÜRETİM_İHTİYAÇ_RAPORU_BURAK_YENI1309[[#This Row],[ALT_KOD]])+AVERAGEIFS(I:I,D:D,DST_123_ÜRETİM_İHTİYAÇ_RAPORU_BURAK_YENI1309[[#This Row],[ALT_KOD]])+AVERAGEIFS(L:L,D:D,DST_123_ÜRETİM_İHTİYAÇ_RAPORU_BURAK_YENI1309[[#This Row],[ALT_KOD]]))</f>
        <v>7.2</v>
      </c>
      <c r="L2164">
        <v>0</v>
      </c>
      <c r="M2164">
        <f>IF((DST_123_ÜRETİM_İHTİYAÇ_RAPORU_BURAK_YENI1309[[#This Row],[SATINALMA]]*DST_123_ÜRETİM_İHTİYAÇ_RAPORU_BURAK_YENI1309[[#This Row],[BIRIM_FIYATLAR]])&lt;1,VALUE("0"),DST_123_ÜRETİM_İHTİYAÇ_RAPORU_BURAK_YENI1309[[#This Row],[SATINALMA]]*DST_123_ÜRETİM_İHTİYAÇ_RAPORU_BURAK_YENI1309[[#This Row],[BIRIM_FIYATLAR]])</f>
        <v>1170.0719999999999</v>
      </c>
      <c r="N2164">
        <v>162.51</v>
      </c>
      <c r="O2164" t="s">
        <v>490</v>
      </c>
      <c r="P2164">
        <v>121.88249999999999</v>
      </c>
      <c r="Q2164" t="s">
        <v>183</v>
      </c>
    </row>
    <row r="2165" spans="1:17" x14ac:dyDescent="0.25">
      <c r="A2165" t="s">
        <v>1098</v>
      </c>
      <c r="B2165" t="s">
        <v>1096</v>
      </c>
      <c r="C2165" t="s">
        <v>175</v>
      </c>
      <c r="D2165" t="s">
        <v>462</v>
      </c>
      <c r="E2165" t="s">
        <v>463</v>
      </c>
      <c r="F2165">
        <v>1.05</v>
      </c>
      <c r="G2165" t="s">
        <v>176</v>
      </c>
      <c r="H2165">
        <v>0</v>
      </c>
      <c r="I2165">
        <v>0</v>
      </c>
      <c r="J2165" s="10">
        <v>5.5999999999999988</v>
      </c>
      <c r="K2165" s="10">
        <f>SUMIFS(F:F,D:D,DST_123_ÜRETİM_İHTİYAÇ_RAPORU_BURAK_YENI1309[[#This Row],[ALT_KOD]])-(SUMIFS(H:H,D:D,DST_123_ÜRETİM_İHTİYAÇ_RAPORU_BURAK_YENI1309[[#This Row],[ALT_KOD]])+AVERAGEIFS(I:I,D:D,DST_123_ÜRETİM_İHTİYAÇ_RAPORU_BURAK_YENI1309[[#This Row],[ALT_KOD]])+AVERAGEIFS(L:L,D:D,DST_123_ÜRETİM_İHTİYAÇ_RAPORU_BURAK_YENI1309[[#This Row],[ALT_KOD]]))</f>
        <v>7.2</v>
      </c>
      <c r="L2165">
        <v>0</v>
      </c>
      <c r="M2165">
        <f>IF((DST_123_ÜRETİM_İHTİYAÇ_RAPORU_BURAK_YENI1309[[#This Row],[SATINALMA]]*DST_123_ÜRETİM_İHTİYAÇ_RAPORU_BURAK_YENI1309[[#This Row],[BIRIM_FIYATLAR]])&lt;1,VALUE("0"),DST_123_ÜRETİM_İHTİYAÇ_RAPORU_BURAK_YENI1309[[#This Row],[SATINALMA]]*DST_123_ÜRETİM_İHTİYAÇ_RAPORU_BURAK_YENI1309[[#This Row],[BIRIM_FIYATLAR]])</f>
        <v>1170.0719999999999</v>
      </c>
      <c r="N2165">
        <v>162.51</v>
      </c>
      <c r="O2165" t="s">
        <v>490</v>
      </c>
      <c r="P2165">
        <v>170.63550000000001</v>
      </c>
      <c r="Q2165" t="s">
        <v>183</v>
      </c>
    </row>
    <row r="2166" spans="1:17" x14ac:dyDescent="0.25">
      <c r="A2166" t="s">
        <v>1098</v>
      </c>
      <c r="B2166" t="s">
        <v>1096</v>
      </c>
      <c r="C2166" t="s">
        <v>175</v>
      </c>
      <c r="D2166" t="s">
        <v>675</v>
      </c>
      <c r="E2166" t="s">
        <v>676</v>
      </c>
      <c r="F2166">
        <v>2</v>
      </c>
      <c r="G2166" t="s">
        <v>179</v>
      </c>
      <c r="H2166">
        <v>0</v>
      </c>
      <c r="I2166">
        <v>20</v>
      </c>
      <c r="J2166" s="10">
        <v>16</v>
      </c>
      <c r="K2166" s="10">
        <f>SUMIFS(F:F,D:D,DST_123_ÜRETİM_İHTİYAÇ_RAPORU_BURAK_YENI1309[[#This Row],[ALT_KOD]])-(SUMIFS(H:H,D:D,DST_123_ÜRETİM_İHTİYAÇ_RAPORU_BURAK_YENI1309[[#This Row],[ALT_KOD]])+AVERAGEIFS(I:I,D:D,DST_123_ÜRETİM_İHTİYAÇ_RAPORU_BURAK_YENI1309[[#This Row],[ALT_KOD]])+AVERAGEIFS(L:L,D:D,DST_123_ÜRETİM_İHTİYAÇ_RAPORU_BURAK_YENI1309[[#This Row],[ALT_KOD]]))</f>
        <v>-5</v>
      </c>
      <c r="L2166">
        <v>0</v>
      </c>
      <c r="M2166">
        <f>IF((DST_123_ÜRETİM_İHTİYAÇ_RAPORU_BURAK_YENI1309[[#This Row],[SATINALMA]]*DST_123_ÜRETİM_İHTİYAÇ_RAPORU_BURAK_YENI1309[[#This Row],[BIRIM_FIYATLAR]])&lt;1,VALUE("0"),DST_123_ÜRETİM_İHTİYAÇ_RAPORU_BURAK_YENI1309[[#This Row],[SATINALMA]]*DST_123_ÜRETİM_İHTİYAÇ_RAPORU_BURAK_YENI1309[[#This Row],[BIRIM_FIYATLAR]])</f>
        <v>0</v>
      </c>
      <c r="N2166">
        <v>97.17</v>
      </c>
      <c r="O2166" t="s">
        <v>254</v>
      </c>
      <c r="P2166">
        <v>194.34</v>
      </c>
      <c r="Q2166" t="s">
        <v>180</v>
      </c>
    </row>
    <row r="2167" spans="1:17" x14ac:dyDescent="0.25">
      <c r="A2167" t="s">
        <v>1143</v>
      </c>
      <c r="B2167" t="s">
        <v>1056</v>
      </c>
      <c r="C2167" t="s">
        <v>175</v>
      </c>
      <c r="D2167" t="s">
        <v>675</v>
      </c>
      <c r="E2167" t="s">
        <v>676</v>
      </c>
      <c r="F2167">
        <v>2</v>
      </c>
      <c r="G2167" t="s">
        <v>179</v>
      </c>
      <c r="H2167">
        <v>0</v>
      </c>
      <c r="I2167">
        <v>20</v>
      </c>
      <c r="J2167" s="10">
        <v>16</v>
      </c>
      <c r="K2167" s="10">
        <f>SUMIFS(F:F,D:D,DST_123_ÜRETİM_İHTİYAÇ_RAPORU_BURAK_YENI1309[[#This Row],[ALT_KOD]])-(SUMIFS(H:H,D:D,DST_123_ÜRETİM_İHTİYAÇ_RAPORU_BURAK_YENI1309[[#This Row],[ALT_KOD]])+AVERAGEIFS(I:I,D:D,DST_123_ÜRETİM_İHTİYAÇ_RAPORU_BURAK_YENI1309[[#This Row],[ALT_KOD]])+AVERAGEIFS(L:L,D:D,DST_123_ÜRETİM_İHTİYAÇ_RAPORU_BURAK_YENI1309[[#This Row],[ALT_KOD]]))</f>
        <v>-5</v>
      </c>
      <c r="L2167">
        <v>0</v>
      </c>
      <c r="M2167">
        <f>IF((DST_123_ÜRETİM_İHTİYAÇ_RAPORU_BURAK_YENI1309[[#This Row],[SATINALMA]]*DST_123_ÜRETİM_İHTİYAÇ_RAPORU_BURAK_YENI1309[[#This Row],[BIRIM_FIYATLAR]])&lt;1,VALUE("0"),DST_123_ÜRETİM_İHTİYAÇ_RAPORU_BURAK_YENI1309[[#This Row],[SATINALMA]]*DST_123_ÜRETİM_İHTİYAÇ_RAPORU_BURAK_YENI1309[[#This Row],[BIRIM_FIYATLAR]])</f>
        <v>0</v>
      </c>
      <c r="N2167">
        <v>97.17</v>
      </c>
      <c r="O2167" t="s">
        <v>254</v>
      </c>
      <c r="P2167">
        <v>194.34</v>
      </c>
      <c r="Q2167" t="s">
        <v>180</v>
      </c>
    </row>
    <row r="2168" spans="1:17" x14ac:dyDescent="0.25">
      <c r="A2168" t="s">
        <v>1059</v>
      </c>
      <c r="B2168" t="s">
        <v>1058</v>
      </c>
      <c r="C2168" t="s">
        <v>175</v>
      </c>
      <c r="D2168" t="s">
        <v>329</v>
      </c>
      <c r="E2168" t="s">
        <v>330</v>
      </c>
      <c r="F2168">
        <v>6</v>
      </c>
      <c r="G2168" t="s">
        <v>176</v>
      </c>
      <c r="H2168">
        <v>0</v>
      </c>
      <c r="I2168">
        <v>118</v>
      </c>
      <c r="J2168" s="10">
        <v>18</v>
      </c>
      <c r="K2168" s="10">
        <f>SUMIFS(F:F,D:D,DST_123_ÜRETİM_İHTİYAÇ_RAPORU_BURAK_YENI1309[[#This Row],[ALT_KOD]])-(SUMIFS(H:H,D:D,DST_123_ÜRETİM_İHTİYAÇ_RAPORU_BURAK_YENI1309[[#This Row],[ALT_KOD]])+AVERAGEIFS(I:I,D:D,DST_123_ÜRETİM_İHTİYAÇ_RAPORU_BURAK_YENI1309[[#This Row],[ALT_KOD]])+AVERAGEIFS(L:L,D:D,DST_123_ÜRETİM_İHTİYAÇ_RAPORU_BURAK_YENI1309[[#This Row],[ALT_KOD]]))</f>
        <v>-11</v>
      </c>
      <c r="L2168">
        <v>0</v>
      </c>
      <c r="M2168">
        <f>IF((DST_123_ÜRETİM_İHTİYAÇ_RAPORU_BURAK_YENI1309[[#This Row],[SATINALMA]]*DST_123_ÜRETİM_İHTİYAÇ_RAPORU_BURAK_YENI1309[[#This Row],[BIRIM_FIYATLAR]])&lt;1,VALUE("0"),DST_123_ÜRETİM_İHTİYAÇ_RAPORU_BURAK_YENI1309[[#This Row],[SATINALMA]]*DST_123_ÜRETİM_İHTİYAÇ_RAPORU_BURAK_YENI1309[[#This Row],[BIRIM_FIYATLAR]])</f>
        <v>0</v>
      </c>
      <c r="N2168">
        <v>14.5</v>
      </c>
      <c r="O2168" t="s">
        <v>240</v>
      </c>
      <c r="P2168">
        <v>87</v>
      </c>
      <c r="Q2168" t="s">
        <v>180</v>
      </c>
    </row>
    <row r="2169" spans="1:17" x14ac:dyDescent="0.25">
      <c r="A2169" t="s">
        <v>1095</v>
      </c>
      <c r="B2169" t="s">
        <v>1096</v>
      </c>
      <c r="C2169" t="s">
        <v>175</v>
      </c>
      <c r="D2169" t="s">
        <v>329</v>
      </c>
      <c r="E2169" t="s">
        <v>330</v>
      </c>
      <c r="F2169">
        <v>6</v>
      </c>
      <c r="G2169" t="s">
        <v>176</v>
      </c>
      <c r="H2169">
        <v>0</v>
      </c>
      <c r="I2169">
        <v>118</v>
      </c>
      <c r="J2169" s="10">
        <v>18</v>
      </c>
      <c r="K2169" s="10">
        <f>SUMIFS(F:F,D:D,DST_123_ÜRETİM_İHTİYAÇ_RAPORU_BURAK_YENI1309[[#This Row],[ALT_KOD]])-(SUMIFS(H:H,D:D,DST_123_ÜRETİM_İHTİYAÇ_RAPORU_BURAK_YENI1309[[#This Row],[ALT_KOD]])+AVERAGEIFS(I:I,D:D,DST_123_ÜRETİM_İHTİYAÇ_RAPORU_BURAK_YENI1309[[#This Row],[ALT_KOD]])+AVERAGEIFS(L:L,D:D,DST_123_ÜRETİM_İHTİYAÇ_RAPORU_BURAK_YENI1309[[#This Row],[ALT_KOD]]))</f>
        <v>-11</v>
      </c>
      <c r="L2169">
        <v>0</v>
      </c>
      <c r="M2169">
        <f>IF((DST_123_ÜRETİM_İHTİYAÇ_RAPORU_BURAK_YENI1309[[#This Row],[SATINALMA]]*DST_123_ÜRETİM_İHTİYAÇ_RAPORU_BURAK_YENI1309[[#This Row],[BIRIM_FIYATLAR]])&lt;1,VALUE("0"),DST_123_ÜRETİM_İHTİYAÇ_RAPORU_BURAK_YENI1309[[#This Row],[SATINALMA]]*DST_123_ÜRETİM_İHTİYAÇ_RAPORU_BURAK_YENI1309[[#This Row],[BIRIM_FIYATLAR]])</f>
        <v>0</v>
      </c>
      <c r="N2169">
        <v>14.5</v>
      </c>
      <c r="O2169" t="s">
        <v>240</v>
      </c>
      <c r="P2169">
        <v>87</v>
      </c>
      <c r="Q2169" t="s">
        <v>180</v>
      </c>
    </row>
    <row r="2170" spans="1:17" x14ac:dyDescent="0.25">
      <c r="A2170" t="s">
        <v>1098</v>
      </c>
      <c r="B2170" t="s">
        <v>1096</v>
      </c>
      <c r="C2170" t="s">
        <v>175</v>
      </c>
      <c r="D2170" t="s">
        <v>329</v>
      </c>
      <c r="E2170" t="s">
        <v>330</v>
      </c>
      <c r="F2170">
        <v>6</v>
      </c>
      <c r="G2170" t="s">
        <v>176</v>
      </c>
      <c r="H2170">
        <v>0</v>
      </c>
      <c r="I2170">
        <v>118</v>
      </c>
      <c r="J2170" s="10">
        <v>18</v>
      </c>
      <c r="K2170" s="10">
        <f>SUMIFS(F:F,D:D,DST_123_ÜRETİM_İHTİYAÇ_RAPORU_BURAK_YENI1309[[#This Row],[ALT_KOD]])-(SUMIFS(H:H,D:D,DST_123_ÜRETİM_İHTİYAÇ_RAPORU_BURAK_YENI1309[[#This Row],[ALT_KOD]])+AVERAGEIFS(I:I,D:D,DST_123_ÜRETİM_İHTİYAÇ_RAPORU_BURAK_YENI1309[[#This Row],[ALT_KOD]])+AVERAGEIFS(L:L,D:D,DST_123_ÜRETİM_İHTİYAÇ_RAPORU_BURAK_YENI1309[[#This Row],[ALT_KOD]]))</f>
        <v>-11</v>
      </c>
      <c r="L2170">
        <v>0</v>
      </c>
      <c r="M2170">
        <f>IF((DST_123_ÜRETİM_İHTİYAÇ_RAPORU_BURAK_YENI1309[[#This Row],[SATINALMA]]*DST_123_ÜRETİM_İHTİYAÇ_RAPORU_BURAK_YENI1309[[#This Row],[BIRIM_FIYATLAR]])&lt;1,VALUE("0"),DST_123_ÜRETİM_İHTİYAÇ_RAPORU_BURAK_YENI1309[[#This Row],[SATINALMA]]*DST_123_ÜRETİM_İHTİYAÇ_RAPORU_BURAK_YENI1309[[#This Row],[BIRIM_FIYATLAR]])</f>
        <v>0</v>
      </c>
      <c r="N2170">
        <v>14.5</v>
      </c>
      <c r="O2170" t="s">
        <v>240</v>
      </c>
      <c r="P2170">
        <v>87</v>
      </c>
      <c r="Q2170" t="s">
        <v>180</v>
      </c>
    </row>
    <row r="2171" spans="1:17" x14ac:dyDescent="0.25">
      <c r="A2171" t="s">
        <v>1196</v>
      </c>
      <c r="B2171" t="s">
        <v>1197</v>
      </c>
      <c r="C2171" t="s">
        <v>175</v>
      </c>
      <c r="D2171" t="s">
        <v>518</v>
      </c>
      <c r="E2171" t="s">
        <v>519</v>
      </c>
      <c r="F2171">
        <v>3</v>
      </c>
      <c r="G2171" t="s">
        <v>176</v>
      </c>
      <c r="H2171">
        <v>0</v>
      </c>
      <c r="I2171">
        <v>101</v>
      </c>
      <c r="J2171" s="10">
        <v>10.000000000000057</v>
      </c>
      <c r="K2171" s="10">
        <f>SUMIFS(F:F,D:D,DST_123_ÜRETİM_İHTİYAÇ_RAPORU_BURAK_YENI1309[[#This Row],[ALT_KOD]])-(SUMIFS(H:H,D:D,DST_123_ÜRETİM_İHTİYAÇ_RAPORU_BURAK_YENI1309[[#This Row],[ALT_KOD]])+AVERAGEIFS(I:I,D:D,DST_123_ÜRETİM_İHTİYAÇ_RAPORU_BURAK_YENI1309[[#This Row],[ALT_KOD]])+AVERAGEIFS(L:L,D:D,DST_123_ÜRETİM_İHTİYAÇ_RAPORU_BURAK_YENI1309[[#This Row],[ALT_KOD]]))</f>
        <v>-42.539999999999992</v>
      </c>
      <c r="L2171">
        <v>0</v>
      </c>
      <c r="M2171">
        <f>IF((DST_123_ÜRETİM_İHTİYAÇ_RAPORU_BURAK_YENI1309[[#This Row],[SATINALMA]]*DST_123_ÜRETİM_İHTİYAÇ_RAPORU_BURAK_YENI1309[[#This Row],[BIRIM_FIYATLAR]])&lt;1,VALUE("0"),DST_123_ÜRETİM_İHTİYAÇ_RAPORU_BURAK_YENI1309[[#This Row],[SATINALMA]]*DST_123_ÜRETİM_İHTİYAÇ_RAPORU_BURAK_YENI1309[[#This Row],[BIRIM_FIYATLAR]])</f>
        <v>0</v>
      </c>
      <c r="N2171">
        <v>36</v>
      </c>
      <c r="O2171" t="s">
        <v>240</v>
      </c>
      <c r="P2171">
        <v>108</v>
      </c>
      <c r="Q2171" t="s">
        <v>180</v>
      </c>
    </row>
    <row r="2172" spans="1:17" x14ac:dyDescent="0.25">
      <c r="A2172" t="s">
        <v>1098</v>
      </c>
      <c r="B2172" t="s">
        <v>1096</v>
      </c>
      <c r="C2172" t="s">
        <v>175</v>
      </c>
      <c r="D2172" t="s">
        <v>518</v>
      </c>
      <c r="E2172" t="s">
        <v>519</v>
      </c>
      <c r="F2172">
        <v>3.17</v>
      </c>
      <c r="G2172" t="s">
        <v>176</v>
      </c>
      <c r="H2172">
        <v>0</v>
      </c>
      <c r="I2172">
        <v>101</v>
      </c>
      <c r="J2172" s="10">
        <v>10.000000000000057</v>
      </c>
      <c r="K2172" s="10">
        <f>SUMIFS(F:F,D:D,DST_123_ÜRETİM_İHTİYAÇ_RAPORU_BURAK_YENI1309[[#This Row],[ALT_KOD]])-(SUMIFS(H:H,D:D,DST_123_ÜRETİM_İHTİYAÇ_RAPORU_BURAK_YENI1309[[#This Row],[ALT_KOD]])+AVERAGEIFS(I:I,D:D,DST_123_ÜRETİM_İHTİYAÇ_RAPORU_BURAK_YENI1309[[#This Row],[ALT_KOD]])+AVERAGEIFS(L:L,D:D,DST_123_ÜRETİM_İHTİYAÇ_RAPORU_BURAK_YENI1309[[#This Row],[ALT_KOD]]))</f>
        <v>-42.539999999999992</v>
      </c>
      <c r="L2172">
        <v>0</v>
      </c>
      <c r="M2172">
        <f>IF((DST_123_ÜRETİM_İHTİYAÇ_RAPORU_BURAK_YENI1309[[#This Row],[SATINALMA]]*DST_123_ÜRETİM_İHTİYAÇ_RAPORU_BURAK_YENI1309[[#This Row],[BIRIM_FIYATLAR]])&lt;1,VALUE("0"),DST_123_ÜRETİM_İHTİYAÇ_RAPORU_BURAK_YENI1309[[#This Row],[SATINALMA]]*DST_123_ÜRETİM_İHTİYAÇ_RAPORU_BURAK_YENI1309[[#This Row],[BIRIM_FIYATLAR]])</f>
        <v>0</v>
      </c>
      <c r="N2172">
        <v>36</v>
      </c>
      <c r="O2172" t="s">
        <v>240</v>
      </c>
      <c r="P2172">
        <v>114.12</v>
      </c>
      <c r="Q2172" t="s">
        <v>180</v>
      </c>
    </row>
    <row r="2173" spans="1:17" x14ac:dyDescent="0.25">
      <c r="A2173" t="s">
        <v>1099</v>
      </c>
      <c r="B2173" t="s">
        <v>1055</v>
      </c>
      <c r="C2173" t="s">
        <v>175</v>
      </c>
      <c r="D2173" t="s">
        <v>518</v>
      </c>
      <c r="E2173" t="s">
        <v>519</v>
      </c>
      <c r="F2173">
        <v>3.17</v>
      </c>
      <c r="G2173" t="s">
        <v>176</v>
      </c>
      <c r="H2173">
        <v>0</v>
      </c>
      <c r="I2173">
        <v>101</v>
      </c>
      <c r="J2173" s="10">
        <v>10.000000000000057</v>
      </c>
      <c r="K2173" s="10">
        <f>SUMIFS(F:F,D:D,DST_123_ÜRETİM_İHTİYAÇ_RAPORU_BURAK_YENI1309[[#This Row],[ALT_KOD]])-(SUMIFS(H:H,D:D,DST_123_ÜRETİM_İHTİYAÇ_RAPORU_BURAK_YENI1309[[#This Row],[ALT_KOD]])+AVERAGEIFS(I:I,D:D,DST_123_ÜRETİM_İHTİYAÇ_RAPORU_BURAK_YENI1309[[#This Row],[ALT_KOD]])+AVERAGEIFS(L:L,D:D,DST_123_ÜRETİM_İHTİYAÇ_RAPORU_BURAK_YENI1309[[#This Row],[ALT_KOD]]))</f>
        <v>-42.539999999999992</v>
      </c>
      <c r="L2173">
        <v>0</v>
      </c>
      <c r="M2173">
        <f>IF((DST_123_ÜRETİM_İHTİYAÇ_RAPORU_BURAK_YENI1309[[#This Row],[SATINALMA]]*DST_123_ÜRETİM_İHTİYAÇ_RAPORU_BURAK_YENI1309[[#This Row],[BIRIM_FIYATLAR]])&lt;1,VALUE("0"),DST_123_ÜRETİM_İHTİYAÇ_RAPORU_BURAK_YENI1309[[#This Row],[SATINALMA]]*DST_123_ÜRETİM_İHTİYAÇ_RAPORU_BURAK_YENI1309[[#This Row],[BIRIM_FIYATLAR]])</f>
        <v>0</v>
      </c>
      <c r="N2173">
        <v>36</v>
      </c>
      <c r="O2173" t="s">
        <v>240</v>
      </c>
      <c r="P2173">
        <v>114.12</v>
      </c>
      <c r="Q2173" t="s">
        <v>180</v>
      </c>
    </row>
    <row r="2174" spans="1:17" x14ac:dyDescent="0.25">
      <c r="A2174" t="s">
        <v>1196</v>
      </c>
      <c r="B2174" t="s">
        <v>1197</v>
      </c>
      <c r="C2174" t="s">
        <v>175</v>
      </c>
      <c r="D2174" t="s">
        <v>520</v>
      </c>
      <c r="E2174" t="s">
        <v>521</v>
      </c>
      <c r="F2174">
        <v>6</v>
      </c>
      <c r="G2174" t="s">
        <v>176</v>
      </c>
      <c r="H2174">
        <v>0</v>
      </c>
      <c r="I2174">
        <v>200</v>
      </c>
      <c r="J2174" s="10">
        <v>70</v>
      </c>
      <c r="K2174" s="10">
        <f>SUMIFS(F:F,D:D,DST_123_ÜRETİM_İHTİYAÇ_RAPORU_BURAK_YENI1309[[#This Row],[ALT_KOD]])-(SUMIFS(H:H,D:D,DST_123_ÜRETİM_İHTİYAÇ_RAPORU_BURAK_YENI1309[[#This Row],[ALT_KOD]])+AVERAGEIFS(I:I,D:D,DST_123_ÜRETİM_İHTİYAÇ_RAPORU_BURAK_YENI1309[[#This Row],[ALT_KOD]])+AVERAGEIFS(L:L,D:D,DST_123_ÜRETİM_İHTİYAÇ_RAPORU_BURAK_YENI1309[[#This Row],[ALT_KOD]]))</f>
        <v>-165</v>
      </c>
      <c r="L2174">
        <v>0</v>
      </c>
      <c r="M2174">
        <f>IF((DST_123_ÜRETİM_İHTİYAÇ_RAPORU_BURAK_YENI1309[[#This Row],[SATINALMA]]*DST_123_ÜRETİM_İHTİYAÇ_RAPORU_BURAK_YENI1309[[#This Row],[BIRIM_FIYATLAR]])&lt;1,VALUE("0"),DST_123_ÜRETİM_İHTİYAÇ_RAPORU_BURAK_YENI1309[[#This Row],[SATINALMA]]*DST_123_ÜRETİM_İHTİYAÇ_RAPORU_BURAK_YENI1309[[#This Row],[BIRIM_FIYATLAR]])</f>
        <v>0</v>
      </c>
      <c r="N2174">
        <v>10</v>
      </c>
      <c r="O2174" t="s">
        <v>226</v>
      </c>
      <c r="P2174">
        <v>60</v>
      </c>
      <c r="Q2174" t="s">
        <v>180</v>
      </c>
    </row>
    <row r="2175" spans="1:17" x14ac:dyDescent="0.25">
      <c r="A2175" t="s">
        <v>1196</v>
      </c>
      <c r="B2175" t="s">
        <v>1197</v>
      </c>
      <c r="C2175" t="s">
        <v>175</v>
      </c>
      <c r="D2175" t="s">
        <v>462</v>
      </c>
      <c r="E2175" t="s">
        <v>463</v>
      </c>
      <c r="F2175">
        <v>0.54999999999999993</v>
      </c>
      <c r="G2175" t="s">
        <v>176</v>
      </c>
      <c r="H2175">
        <v>0</v>
      </c>
      <c r="I2175">
        <v>0</v>
      </c>
      <c r="J2175" s="10">
        <v>5.5999999999999988</v>
      </c>
      <c r="K2175" s="10">
        <f>SUMIFS(F:F,D:D,DST_123_ÜRETİM_İHTİYAÇ_RAPORU_BURAK_YENI1309[[#This Row],[ALT_KOD]])-(SUMIFS(H:H,D:D,DST_123_ÜRETİM_İHTİYAÇ_RAPORU_BURAK_YENI1309[[#This Row],[ALT_KOD]])+AVERAGEIFS(I:I,D:D,DST_123_ÜRETİM_İHTİYAÇ_RAPORU_BURAK_YENI1309[[#This Row],[ALT_KOD]])+AVERAGEIFS(L:L,D:D,DST_123_ÜRETİM_İHTİYAÇ_RAPORU_BURAK_YENI1309[[#This Row],[ALT_KOD]]))</f>
        <v>7.2</v>
      </c>
      <c r="L2175">
        <v>0</v>
      </c>
      <c r="M2175">
        <f>IF((DST_123_ÜRETİM_İHTİYAÇ_RAPORU_BURAK_YENI1309[[#This Row],[SATINALMA]]*DST_123_ÜRETİM_İHTİYAÇ_RAPORU_BURAK_YENI1309[[#This Row],[BIRIM_FIYATLAR]])&lt;1,VALUE("0"),DST_123_ÜRETİM_İHTİYAÇ_RAPORU_BURAK_YENI1309[[#This Row],[SATINALMA]]*DST_123_ÜRETİM_İHTİYAÇ_RAPORU_BURAK_YENI1309[[#This Row],[BIRIM_FIYATLAR]])</f>
        <v>1170.0719999999999</v>
      </c>
      <c r="N2175">
        <v>162.51</v>
      </c>
      <c r="O2175" t="s">
        <v>490</v>
      </c>
      <c r="P2175">
        <v>89.380499999999984</v>
      </c>
      <c r="Q2175" t="s">
        <v>183</v>
      </c>
    </row>
    <row r="2176" spans="1:17" x14ac:dyDescent="0.25">
      <c r="A2176" t="s">
        <v>1099</v>
      </c>
      <c r="B2176" t="s">
        <v>1055</v>
      </c>
      <c r="C2176" t="s">
        <v>175</v>
      </c>
      <c r="D2176" t="s">
        <v>462</v>
      </c>
      <c r="E2176" t="s">
        <v>463</v>
      </c>
      <c r="F2176">
        <v>0.75</v>
      </c>
      <c r="G2176" t="s">
        <v>176</v>
      </c>
      <c r="H2176">
        <v>0.75</v>
      </c>
      <c r="I2176">
        <v>0</v>
      </c>
      <c r="J2176" s="10">
        <v>5.5999999999999988</v>
      </c>
      <c r="K2176" s="10">
        <f>SUMIFS(F:F,D:D,DST_123_ÜRETİM_İHTİYAÇ_RAPORU_BURAK_YENI1309[[#This Row],[ALT_KOD]])-(SUMIFS(H:H,D:D,DST_123_ÜRETİM_İHTİYAÇ_RAPORU_BURAK_YENI1309[[#This Row],[ALT_KOD]])+AVERAGEIFS(I:I,D:D,DST_123_ÜRETİM_İHTİYAÇ_RAPORU_BURAK_YENI1309[[#This Row],[ALT_KOD]])+AVERAGEIFS(L:L,D:D,DST_123_ÜRETİM_İHTİYAÇ_RAPORU_BURAK_YENI1309[[#This Row],[ALT_KOD]]))</f>
        <v>7.2</v>
      </c>
      <c r="L2176">
        <v>0</v>
      </c>
      <c r="M2176">
        <f>IF((DST_123_ÜRETİM_İHTİYAÇ_RAPORU_BURAK_YENI1309[[#This Row],[SATINALMA]]*DST_123_ÜRETİM_İHTİYAÇ_RAPORU_BURAK_YENI1309[[#This Row],[BIRIM_FIYATLAR]])&lt;1,VALUE("0"),DST_123_ÜRETİM_İHTİYAÇ_RAPORU_BURAK_YENI1309[[#This Row],[SATINALMA]]*DST_123_ÜRETİM_İHTİYAÇ_RAPORU_BURAK_YENI1309[[#This Row],[BIRIM_FIYATLAR]])</f>
        <v>1170.0719999999999</v>
      </c>
      <c r="N2176">
        <v>162.51</v>
      </c>
      <c r="O2176" t="s">
        <v>490</v>
      </c>
      <c r="P2176">
        <v>121.88249999999999</v>
      </c>
      <c r="Q2176" t="s">
        <v>183</v>
      </c>
    </row>
    <row r="2177" spans="1:17" x14ac:dyDescent="0.25">
      <c r="A2177" t="s">
        <v>1099</v>
      </c>
      <c r="B2177" t="s">
        <v>1055</v>
      </c>
      <c r="C2177" t="s">
        <v>175</v>
      </c>
      <c r="D2177" t="s">
        <v>147</v>
      </c>
      <c r="E2177" t="s">
        <v>148</v>
      </c>
      <c r="F2177">
        <v>1</v>
      </c>
      <c r="G2177" t="s">
        <v>176</v>
      </c>
      <c r="H2177">
        <v>0</v>
      </c>
      <c r="I2177">
        <v>3</v>
      </c>
      <c r="J2177" s="10">
        <v>11</v>
      </c>
      <c r="K2177" s="10">
        <f>SUMIFS(F:F,D:D,DST_123_ÜRETİM_İHTİYAÇ_RAPORU_BURAK_YENI1309[[#This Row],[ALT_KOD]])-(SUMIFS(H:H,D:D,DST_123_ÜRETİM_İHTİYAÇ_RAPORU_BURAK_YENI1309[[#This Row],[ALT_KOD]])+AVERAGEIFS(I:I,D:D,DST_123_ÜRETİM_İHTİYAÇ_RAPORU_BURAK_YENI1309[[#This Row],[ALT_KOD]])+AVERAGEIFS(L:L,D:D,DST_123_ÜRETİM_İHTİYAÇ_RAPORU_BURAK_YENI1309[[#This Row],[ALT_KOD]]))</f>
        <v>7</v>
      </c>
      <c r="L2177">
        <v>0</v>
      </c>
      <c r="M2177">
        <f>IF((DST_123_ÜRETİM_İHTİYAÇ_RAPORU_BURAK_YENI1309[[#This Row],[SATINALMA]]*DST_123_ÜRETİM_İHTİYAÇ_RAPORU_BURAK_YENI1309[[#This Row],[BIRIM_FIYATLAR]])&lt;1,VALUE("0"),DST_123_ÜRETİM_İHTİYAÇ_RAPORU_BURAK_YENI1309[[#This Row],[SATINALMA]]*DST_123_ÜRETİM_İHTİYAÇ_RAPORU_BURAK_YENI1309[[#This Row],[BIRIM_FIYATLAR]])</f>
        <v>22092.98</v>
      </c>
      <c r="N2177">
        <v>3156.14</v>
      </c>
      <c r="O2177" t="s">
        <v>227</v>
      </c>
      <c r="P2177">
        <v>3156.14</v>
      </c>
      <c r="Q2177" t="s">
        <v>221</v>
      </c>
    </row>
    <row r="2178" spans="1:17" x14ac:dyDescent="0.25">
      <c r="A2178" t="s">
        <v>1095</v>
      </c>
      <c r="B2178" t="s">
        <v>1096</v>
      </c>
      <c r="C2178" t="s">
        <v>175</v>
      </c>
      <c r="D2178" t="s">
        <v>675</v>
      </c>
      <c r="E2178" t="s">
        <v>676</v>
      </c>
      <c r="F2178">
        <v>2</v>
      </c>
      <c r="G2178" t="s">
        <v>179</v>
      </c>
      <c r="H2178">
        <v>0</v>
      </c>
      <c r="I2178">
        <v>20</v>
      </c>
      <c r="J2178" s="10">
        <v>16</v>
      </c>
      <c r="K2178" s="10">
        <f>SUMIFS(F:F,D:D,DST_123_ÜRETİM_İHTİYAÇ_RAPORU_BURAK_YENI1309[[#This Row],[ALT_KOD]])-(SUMIFS(H:H,D:D,DST_123_ÜRETİM_İHTİYAÇ_RAPORU_BURAK_YENI1309[[#This Row],[ALT_KOD]])+AVERAGEIFS(I:I,D:D,DST_123_ÜRETİM_İHTİYAÇ_RAPORU_BURAK_YENI1309[[#This Row],[ALT_KOD]])+AVERAGEIFS(L:L,D:D,DST_123_ÜRETİM_İHTİYAÇ_RAPORU_BURAK_YENI1309[[#This Row],[ALT_KOD]]))</f>
        <v>-5</v>
      </c>
      <c r="L2178">
        <v>0</v>
      </c>
      <c r="M2178">
        <f>IF((DST_123_ÜRETİM_İHTİYAÇ_RAPORU_BURAK_YENI1309[[#This Row],[SATINALMA]]*DST_123_ÜRETİM_İHTİYAÇ_RAPORU_BURAK_YENI1309[[#This Row],[BIRIM_FIYATLAR]])&lt;1,VALUE("0"),DST_123_ÜRETİM_İHTİYAÇ_RAPORU_BURAK_YENI1309[[#This Row],[SATINALMA]]*DST_123_ÜRETİM_İHTİYAÇ_RAPORU_BURAK_YENI1309[[#This Row],[BIRIM_FIYATLAR]])</f>
        <v>0</v>
      </c>
      <c r="N2178">
        <v>97.17</v>
      </c>
      <c r="O2178" t="s">
        <v>254</v>
      </c>
      <c r="P2178">
        <v>194.34</v>
      </c>
      <c r="Q2178" t="s">
        <v>180</v>
      </c>
    </row>
    <row r="2179" spans="1:17" x14ac:dyDescent="0.25">
      <c r="A2179" t="s">
        <v>1097</v>
      </c>
      <c r="B2179" t="s">
        <v>1055</v>
      </c>
      <c r="C2179" t="s">
        <v>175</v>
      </c>
      <c r="D2179" t="s">
        <v>675</v>
      </c>
      <c r="E2179" t="s">
        <v>676</v>
      </c>
      <c r="F2179">
        <v>2</v>
      </c>
      <c r="G2179" t="s">
        <v>179</v>
      </c>
      <c r="H2179">
        <v>0</v>
      </c>
      <c r="I2179">
        <v>20</v>
      </c>
      <c r="J2179" s="10">
        <v>16</v>
      </c>
      <c r="K2179" s="10">
        <f>SUMIFS(F:F,D:D,DST_123_ÜRETİM_İHTİYAÇ_RAPORU_BURAK_YENI1309[[#This Row],[ALT_KOD]])-(SUMIFS(H:H,D:D,DST_123_ÜRETİM_İHTİYAÇ_RAPORU_BURAK_YENI1309[[#This Row],[ALT_KOD]])+AVERAGEIFS(I:I,D:D,DST_123_ÜRETİM_İHTİYAÇ_RAPORU_BURAK_YENI1309[[#This Row],[ALT_KOD]])+AVERAGEIFS(L:L,D:D,DST_123_ÜRETİM_İHTİYAÇ_RAPORU_BURAK_YENI1309[[#This Row],[ALT_KOD]]))</f>
        <v>-5</v>
      </c>
      <c r="L2179">
        <v>0</v>
      </c>
      <c r="M2179">
        <f>IF((DST_123_ÜRETİM_İHTİYAÇ_RAPORU_BURAK_YENI1309[[#This Row],[SATINALMA]]*DST_123_ÜRETİM_İHTİYAÇ_RAPORU_BURAK_YENI1309[[#This Row],[BIRIM_FIYATLAR]])&lt;1,VALUE("0"),DST_123_ÜRETİM_İHTİYAÇ_RAPORU_BURAK_YENI1309[[#This Row],[SATINALMA]]*DST_123_ÜRETİM_İHTİYAÇ_RAPORU_BURAK_YENI1309[[#This Row],[BIRIM_FIYATLAR]])</f>
        <v>0</v>
      </c>
      <c r="N2179">
        <v>97.17</v>
      </c>
      <c r="O2179" t="s">
        <v>254</v>
      </c>
      <c r="P2179">
        <v>194.34</v>
      </c>
      <c r="Q2179" t="s">
        <v>180</v>
      </c>
    </row>
    <row r="2180" spans="1:17" x14ac:dyDescent="0.25">
      <c r="A2180" t="s">
        <v>1097</v>
      </c>
      <c r="B2180" t="s">
        <v>1055</v>
      </c>
      <c r="C2180" t="s">
        <v>175</v>
      </c>
      <c r="D2180" t="s">
        <v>329</v>
      </c>
      <c r="E2180" t="s">
        <v>330</v>
      </c>
      <c r="F2180">
        <v>6</v>
      </c>
      <c r="G2180" t="s">
        <v>176</v>
      </c>
      <c r="H2180">
        <v>0</v>
      </c>
      <c r="I2180">
        <v>118</v>
      </c>
      <c r="J2180" s="10">
        <v>18</v>
      </c>
      <c r="K2180" s="10">
        <f>SUMIFS(F:F,D:D,DST_123_ÜRETİM_İHTİYAÇ_RAPORU_BURAK_YENI1309[[#This Row],[ALT_KOD]])-(SUMIFS(H:H,D:D,DST_123_ÜRETİM_İHTİYAÇ_RAPORU_BURAK_YENI1309[[#This Row],[ALT_KOD]])+AVERAGEIFS(I:I,D:D,DST_123_ÜRETİM_İHTİYAÇ_RAPORU_BURAK_YENI1309[[#This Row],[ALT_KOD]])+AVERAGEIFS(L:L,D:D,DST_123_ÜRETİM_İHTİYAÇ_RAPORU_BURAK_YENI1309[[#This Row],[ALT_KOD]]))</f>
        <v>-11</v>
      </c>
      <c r="L2180">
        <v>0</v>
      </c>
      <c r="M2180">
        <f>IF((DST_123_ÜRETİM_İHTİYAÇ_RAPORU_BURAK_YENI1309[[#This Row],[SATINALMA]]*DST_123_ÜRETİM_İHTİYAÇ_RAPORU_BURAK_YENI1309[[#This Row],[BIRIM_FIYATLAR]])&lt;1,VALUE("0"),DST_123_ÜRETİM_İHTİYAÇ_RAPORU_BURAK_YENI1309[[#This Row],[SATINALMA]]*DST_123_ÜRETİM_İHTİYAÇ_RAPORU_BURAK_YENI1309[[#This Row],[BIRIM_FIYATLAR]])</f>
        <v>0</v>
      </c>
      <c r="N2180">
        <v>14.5</v>
      </c>
      <c r="O2180" t="s">
        <v>240</v>
      </c>
      <c r="P2180">
        <v>87</v>
      </c>
      <c r="Q2180" t="s">
        <v>180</v>
      </c>
    </row>
    <row r="2181" spans="1:17" x14ac:dyDescent="0.25">
      <c r="A2181" t="s">
        <v>1142</v>
      </c>
      <c r="B2181" t="s">
        <v>1056</v>
      </c>
      <c r="C2181" t="s">
        <v>175</v>
      </c>
      <c r="D2181" t="s">
        <v>518</v>
      </c>
      <c r="E2181" t="s">
        <v>519</v>
      </c>
      <c r="F2181">
        <v>3</v>
      </c>
      <c r="G2181" t="s">
        <v>176</v>
      </c>
      <c r="H2181">
        <v>0</v>
      </c>
      <c r="I2181">
        <v>101</v>
      </c>
      <c r="J2181" s="10">
        <v>10.000000000000057</v>
      </c>
      <c r="K2181" s="10">
        <f>SUMIFS(F:F,D:D,DST_123_ÜRETİM_İHTİYAÇ_RAPORU_BURAK_YENI1309[[#This Row],[ALT_KOD]])-(SUMIFS(H:H,D:D,DST_123_ÜRETİM_İHTİYAÇ_RAPORU_BURAK_YENI1309[[#This Row],[ALT_KOD]])+AVERAGEIFS(I:I,D:D,DST_123_ÜRETİM_İHTİYAÇ_RAPORU_BURAK_YENI1309[[#This Row],[ALT_KOD]])+AVERAGEIFS(L:L,D:D,DST_123_ÜRETİM_İHTİYAÇ_RAPORU_BURAK_YENI1309[[#This Row],[ALT_KOD]]))</f>
        <v>-42.539999999999992</v>
      </c>
      <c r="L2181">
        <v>0</v>
      </c>
      <c r="M2181">
        <f>IF((DST_123_ÜRETİM_İHTİYAÇ_RAPORU_BURAK_YENI1309[[#This Row],[SATINALMA]]*DST_123_ÜRETİM_İHTİYAÇ_RAPORU_BURAK_YENI1309[[#This Row],[BIRIM_FIYATLAR]])&lt;1,VALUE("0"),DST_123_ÜRETİM_İHTİYAÇ_RAPORU_BURAK_YENI1309[[#This Row],[SATINALMA]]*DST_123_ÜRETİM_İHTİYAÇ_RAPORU_BURAK_YENI1309[[#This Row],[BIRIM_FIYATLAR]])</f>
        <v>0</v>
      </c>
      <c r="N2181">
        <v>36</v>
      </c>
      <c r="O2181" t="s">
        <v>240</v>
      </c>
      <c r="P2181">
        <v>108</v>
      </c>
      <c r="Q2181" t="s">
        <v>180</v>
      </c>
    </row>
    <row r="2182" spans="1:17" x14ac:dyDescent="0.25">
      <c r="A2182" t="s">
        <v>1097</v>
      </c>
      <c r="B2182" t="s">
        <v>1055</v>
      </c>
      <c r="C2182" t="s">
        <v>175</v>
      </c>
      <c r="D2182" t="s">
        <v>518</v>
      </c>
      <c r="E2182" t="s">
        <v>519</v>
      </c>
      <c r="F2182">
        <v>3.22</v>
      </c>
      <c r="G2182" t="s">
        <v>176</v>
      </c>
      <c r="H2182">
        <v>0</v>
      </c>
      <c r="I2182">
        <v>101</v>
      </c>
      <c r="J2182" s="10">
        <v>10.000000000000057</v>
      </c>
      <c r="K2182" s="10">
        <f>SUMIFS(F:F,D:D,DST_123_ÜRETİM_İHTİYAÇ_RAPORU_BURAK_YENI1309[[#This Row],[ALT_KOD]])-(SUMIFS(H:H,D:D,DST_123_ÜRETİM_İHTİYAÇ_RAPORU_BURAK_YENI1309[[#This Row],[ALT_KOD]])+AVERAGEIFS(I:I,D:D,DST_123_ÜRETİM_İHTİYAÇ_RAPORU_BURAK_YENI1309[[#This Row],[ALT_KOD]])+AVERAGEIFS(L:L,D:D,DST_123_ÜRETİM_İHTİYAÇ_RAPORU_BURAK_YENI1309[[#This Row],[ALT_KOD]]))</f>
        <v>-42.539999999999992</v>
      </c>
      <c r="L2182">
        <v>0</v>
      </c>
      <c r="M2182">
        <f>IF((DST_123_ÜRETİM_İHTİYAÇ_RAPORU_BURAK_YENI1309[[#This Row],[SATINALMA]]*DST_123_ÜRETİM_İHTİYAÇ_RAPORU_BURAK_YENI1309[[#This Row],[BIRIM_FIYATLAR]])&lt;1,VALUE("0"),DST_123_ÜRETİM_İHTİYAÇ_RAPORU_BURAK_YENI1309[[#This Row],[SATINALMA]]*DST_123_ÜRETİM_İHTİYAÇ_RAPORU_BURAK_YENI1309[[#This Row],[BIRIM_FIYATLAR]])</f>
        <v>0</v>
      </c>
      <c r="N2182">
        <v>36</v>
      </c>
      <c r="O2182" t="s">
        <v>240</v>
      </c>
      <c r="P2182">
        <v>115.92</v>
      </c>
      <c r="Q2182" t="s">
        <v>180</v>
      </c>
    </row>
    <row r="2183" spans="1:17" x14ac:dyDescent="0.25">
      <c r="A2183" t="s">
        <v>1196</v>
      </c>
      <c r="B2183" t="s">
        <v>1197</v>
      </c>
      <c r="C2183" t="s">
        <v>175</v>
      </c>
      <c r="D2183" t="s">
        <v>329</v>
      </c>
      <c r="E2183" t="s">
        <v>330</v>
      </c>
      <c r="F2183">
        <v>6</v>
      </c>
      <c r="G2183" t="s">
        <v>176</v>
      </c>
      <c r="H2183">
        <v>0</v>
      </c>
      <c r="I2183">
        <v>118</v>
      </c>
      <c r="J2183" s="10">
        <v>18</v>
      </c>
      <c r="K2183" s="10">
        <f>SUMIFS(F:F,D:D,DST_123_ÜRETİM_İHTİYAÇ_RAPORU_BURAK_YENI1309[[#This Row],[ALT_KOD]])-(SUMIFS(H:H,D:D,DST_123_ÜRETİM_İHTİYAÇ_RAPORU_BURAK_YENI1309[[#This Row],[ALT_KOD]])+AVERAGEIFS(I:I,D:D,DST_123_ÜRETİM_İHTİYAÇ_RAPORU_BURAK_YENI1309[[#This Row],[ALT_KOD]])+AVERAGEIFS(L:L,D:D,DST_123_ÜRETİM_İHTİYAÇ_RAPORU_BURAK_YENI1309[[#This Row],[ALT_KOD]]))</f>
        <v>-11</v>
      </c>
      <c r="L2183">
        <v>0</v>
      </c>
      <c r="M2183">
        <f>IF((DST_123_ÜRETİM_İHTİYAÇ_RAPORU_BURAK_YENI1309[[#This Row],[SATINALMA]]*DST_123_ÜRETİM_İHTİYAÇ_RAPORU_BURAK_YENI1309[[#This Row],[BIRIM_FIYATLAR]])&lt;1,VALUE("0"),DST_123_ÜRETİM_İHTİYAÇ_RAPORU_BURAK_YENI1309[[#This Row],[SATINALMA]]*DST_123_ÜRETİM_İHTİYAÇ_RAPORU_BURAK_YENI1309[[#This Row],[BIRIM_FIYATLAR]])</f>
        <v>0</v>
      </c>
      <c r="N2183">
        <v>14.5</v>
      </c>
      <c r="O2183" t="s">
        <v>240</v>
      </c>
      <c r="P2183">
        <v>87</v>
      </c>
      <c r="Q2183" t="s">
        <v>180</v>
      </c>
    </row>
    <row r="2184" spans="1:17" x14ac:dyDescent="0.25">
      <c r="A2184" t="s">
        <v>1099</v>
      </c>
      <c r="B2184" t="s">
        <v>1055</v>
      </c>
      <c r="C2184" t="s">
        <v>175</v>
      </c>
      <c r="D2184" t="s">
        <v>329</v>
      </c>
      <c r="E2184" t="s">
        <v>330</v>
      </c>
      <c r="F2184">
        <v>6</v>
      </c>
      <c r="G2184" t="s">
        <v>176</v>
      </c>
      <c r="H2184">
        <v>0</v>
      </c>
      <c r="I2184">
        <v>118</v>
      </c>
      <c r="J2184" s="10">
        <v>18</v>
      </c>
      <c r="K2184" s="10">
        <f>SUMIFS(F:F,D:D,DST_123_ÜRETİM_İHTİYAÇ_RAPORU_BURAK_YENI1309[[#This Row],[ALT_KOD]])-(SUMIFS(H:H,D:D,DST_123_ÜRETİM_İHTİYAÇ_RAPORU_BURAK_YENI1309[[#This Row],[ALT_KOD]])+AVERAGEIFS(I:I,D:D,DST_123_ÜRETİM_İHTİYAÇ_RAPORU_BURAK_YENI1309[[#This Row],[ALT_KOD]])+AVERAGEIFS(L:L,D:D,DST_123_ÜRETİM_İHTİYAÇ_RAPORU_BURAK_YENI1309[[#This Row],[ALT_KOD]]))</f>
        <v>-11</v>
      </c>
      <c r="L2184">
        <v>0</v>
      </c>
      <c r="M2184">
        <f>IF((DST_123_ÜRETİM_İHTİYAÇ_RAPORU_BURAK_YENI1309[[#This Row],[SATINALMA]]*DST_123_ÜRETİM_İHTİYAÇ_RAPORU_BURAK_YENI1309[[#This Row],[BIRIM_FIYATLAR]])&lt;1,VALUE("0"),DST_123_ÜRETİM_İHTİYAÇ_RAPORU_BURAK_YENI1309[[#This Row],[SATINALMA]]*DST_123_ÜRETİM_İHTİYAÇ_RAPORU_BURAK_YENI1309[[#This Row],[BIRIM_FIYATLAR]])</f>
        <v>0</v>
      </c>
      <c r="N2184">
        <v>14.5</v>
      </c>
      <c r="O2184" t="s">
        <v>240</v>
      </c>
      <c r="P2184">
        <v>87</v>
      </c>
      <c r="Q2184" t="s">
        <v>180</v>
      </c>
    </row>
    <row r="2185" spans="1:17" x14ac:dyDescent="0.25">
      <c r="A2185" t="s">
        <v>1143</v>
      </c>
      <c r="B2185" t="s">
        <v>1056</v>
      </c>
      <c r="C2185" t="s">
        <v>175</v>
      </c>
      <c r="D2185" t="s">
        <v>147</v>
      </c>
      <c r="E2185" t="s">
        <v>148</v>
      </c>
      <c r="F2185">
        <v>2</v>
      </c>
      <c r="G2185" t="s">
        <v>176</v>
      </c>
      <c r="H2185">
        <v>0</v>
      </c>
      <c r="I2185">
        <v>3</v>
      </c>
      <c r="J2185" s="10">
        <v>11</v>
      </c>
      <c r="K2185" s="10">
        <f>SUMIFS(F:F,D:D,DST_123_ÜRETİM_İHTİYAÇ_RAPORU_BURAK_YENI1309[[#This Row],[ALT_KOD]])-(SUMIFS(H:H,D:D,DST_123_ÜRETİM_İHTİYAÇ_RAPORU_BURAK_YENI1309[[#This Row],[ALT_KOD]])+AVERAGEIFS(I:I,D:D,DST_123_ÜRETİM_İHTİYAÇ_RAPORU_BURAK_YENI1309[[#This Row],[ALT_KOD]])+AVERAGEIFS(L:L,D:D,DST_123_ÜRETİM_İHTİYAÇ_RAPORU_BURAK_YENI1309[[#This Row],[ALT_KOD]]))</f>
        <v>7</v>
      </c>
      <c r="L2185">
        <v>0</v>
      </c>
      <c r="M2185">
        <f>IF((DST_123_ÜRETİM_İHTİYAÇ_RAPORU_BURAK_YENI1309[[#This Row],[SATINALMA]]*DST_123_ÜRETİM_İHTİYAÇ_RAPORU_BURAK_YENI1309[[#This Row],[BIRIM_FIYATLAR]])&lt;1,VALUE("0"),DST_123_ÜRETİM_İHTİYAÇ_RAPORU_BURAK_YENI1309[[#This Row],[SATINALMA]]*DST_123_ÜRETİM_İHTİYAÇ_RAPORU_BURAK_YENI1309[[#This Row],[BIRIM_FIYATLAR]])</f>
        <v>22092.98</v>
      </c>
      <c r="N2185">
        <v>3156.14</v>
      </c>
      <c r="O2185" t="s">
        <v>227</v>
      </c>
      <c r="P2185">
        <v>6312.28</v>
      </c>
      <c r="Q2185" t="s">
        <v>221</v>
      </c>
    </row>
    <row r="2186" spans="1:17" x14ac:dyDescent="0.25">
      <c r="A2186" t="s">
        <v>1142</v>
      </c>
      <c r="B2186" t="s">
        <v>1056</v>
      </c>
      <c r="C2186" t="s">
        <v>175</v>
      </c>
      <c r="D2186" t="s">
        <v>329</v>
      </c>
      <c r="E2186" t="s">
        <v>330</v>
      </c>
      <c r="F2186">
        <v>6</v>
      </c>
      <c r="G2186" t="s">
        <v>176</v>
      </c>
      <c r="H2186">
        <v>0</v>
      </c>
      <c r="I2186">
        <v>118</v>
      </c>
      <c r="J2186" s="10">
        <v>18</v>
      </c>
      <c r="K2186" s="10">
        <f>SUMIFS(F:F,D:D,DST_123_ÜRETİM_İHTİYAÇ_RAPORU_BURAK_YENI1309[[#This Row],[ALT_KOD]])-(SUMIFS(H:H,D:D,DST_123_ÜRETİM_İHTİYAÇ_RAPORU_BURAK_YENI1309[[#This Row],[ALT_KOD]])+AVERAGEIFS(I:I,D:D,DST_123_ÜRETİM_İHTİYAÇ_RAPORU_BURAK_YENI1309[[#This Row],[ALT_KOD]])+AVERAGEIFS(L:L,D:D,DST_123_ÜRETİM_İHTİYAÇ_RAPORU_BURAK_YENI1309[[#This Row],[ALT_KOD]]))</f>
        <v>-11</v>
      </c>
      <c r="L2186">
        <v>0</v>
      </c>
      <c r="M2186">
        <f>IF((DST_123_ÜRETİM_İHTİYAÇ_RAPORU_BURAK_YENI1309[[#This Row],[SATINALMA]]*DST_123_ÜRETİM_İHTİYAÇ_RAPORU_BURAK_YENI1309[[#This Row],[BIRIM_FIYATLAR]])&lt;1,VALUE("0"),DST_123_ÜRETİM_İHTİYAÇ_RAPORU_BURAK_YENI1309[[#This Row],[SATINALMA]]*DST_123_ÜRETİM_İHTİYAÇ_RAPORU_BURAK_YENI1309[[#This Row],[BIRIM_FIYATLAR]])</f>
        <v>0</v>
      </c>
      <c r="N2186">
        <v>14.5</v>
      </c>
      <c r="O2186" t="s">
        <v>240</v>
      </c>
      <c r="P2186">
        <v>87</v>
      </c>
      <c r="Q2186" t="s">
        <v>180</v>
      </c>
    </row>
    <row r="2187" spans="1:17" x14ac:dyDescent="0.25">
      <c r="A2187" t="s">
        <v>1143</v>
      </c>
      <c r="B2187" t="s">
        <v>1056</v>
      </c>
      <c r="C2187" t="s">
        <v>175</v>
      </c>
      <c r="D2187" t="s">
        <v>329</v>
      </c>
      <c r="E2187" t="s">
        <v>330</v>
      </c>
      <c r="F2187">
        <v>5</v>
      </c>
      <c r="G2187" t="s">
        <v>176</v>
      </c>
      <c r="H2187">
        <v>0</v>
      </c>
      <c r="I2187">
        <v>118</v>
      </c>
      <c r="J2187" s="10">
        <v>18</v>
      </c>
      <c r="K2187" s="10">
        <f>SUMIFS(F:F,D:D,DST_123_ÜRETİM_İHTİYAÇ_RAPORU_BURAK_YENI1309[[#This Row],[ALT_KOD]])-(SUMIFS(H:H,D:D,DST_123_ÜRETİM_İHTİYAÇ_RAPORU_BURAK_YENI1309[[#This Row],[ALT_KOD]])+AVERAGEIFS(I:I,D:D,DST_123_ÜRETİM_İHTİYAÇ_RAPORU_BURAK_YENI1309[[#This Row],[ALT_KOD]])+AVERAGEIFS(L:L,D:D,DST_123_ÜRETİM_İHTİYAÇ_RAPORU_BURAK_YENI1309[[#This Row],[ALT_KOD]]))</f>
        <v>-11</v>
      </c>
      <c r="L2187">
        <v>0</v>
      </c>
      <c r="M2187">
        <f>IF((DST_123_ÜRETİM_İHTİYAÇ_RAPORU_BURAK_YENI1309[[#This Row],[SATINALMA]]*DST_123_ÜRETİM_İHTİYAÇ_RAPORU_BURAK_YENI1309[[#This Row],[BIRIM_FIYATLAR]])&lt;1,VALUE("0"),DST_123_ÜRETİM_İHTİYAÇ_RAPORU_BURAK_YENI1309[[#This Row],[SATINALMA]]*DST_123_ÜRETİM_İHTİYAÇ_RAPORU_BURAK_YENI1309[[#This Row],[BIRIM_FIYATLAR]])</f>
        <v>0</v>
      </c>
      <c r="N2187">
        <v>14.5</v>
      </c>
      <c r="O2187" t="s">
        <v>240</v>
      </c>
      <c r="P2187">
        <v>72.5</v>
      </c>
      <c r="Q2187" t="s">
        <v>180</v>
      </c>
    </row>
    <row r="2188" spans="1:17" x14ac:dyDescent="0.25">
      <c r="A2188" t="s">
        <v>1142</v>
      </c>
      <c r="B2188" t="s">
        <v>1056</v>
      </c>
      <c r="C2188" t="s">
        <v>175</v>
      </c>
      <c r="D2188" t="s">
        <v>147</v>
      </c>
      <c r="E2188" t="s">
        <v>148</v>
      </c>
      <c r="F2188">
        <v>2</v>
      </c>
      <c r="G2188" t="s">
        <v>176</v>
      </c>
      <c r="H2188">
        <v>0</v>
      </c>
      <c r="I2188">
        <v>3</v>
      </c>
      <c r="J2188" s="10">
        <v>11</v>
      </c>
      <c r="K2188" s="10">
        <f>SUMIFS(F:F,D:D,DST_123_ÜRETİM_İHTİYAÇ_RAPORU_BURAK_YENI1309[[#This Row],[ALT_KOD]])-(SUMIFS(H:H,D:D,DST_123_ÜRETİM_İHTİYAÇ_RAPORU_BURAK_YENI1309[[#This Row],[ALT_KOD]])+AVERAGEIFS(I:I,D:D,DST_123_ÜRETİM_İHTİYAÇ_RAPORU_BURAK_YENI1309[[#This Row],[ALT_KOD]])+AVERAGEIFS(L:L,D:D,DST_123_ÜRETİM_İHTİYAÇ_RAPORU_BURAK_YENI1309[[#This Row],[ALT_KOD]]))</f>
        <v>7</v>
      </c>
      <c r="L2188">
        <v>0</v>
      </c>
      <c r="M2188">
        <f>IF((DST_123_ÜRETİM_İHTİYAÇ_RAPORU_BURAK_YENI1309[[#This Row],[SATINALMA]]*DST_123_ÜRETİM_İHTİYAÇ_RAPORU_BURAK_YENI1309[[#This Row],[BIRIM_FIYATLAR]])&lt;1,VALUE("0"),DST_123_ÜRETİM_İHTİYAÇ_RAPORU_BURAK_YENI1309[[#This Row],[SATINALMA]]*DST_123_ÜRETİM_İHTİYAÇ_RAPORU_BURAK_YENI1309[[#This Row],[BIRIM_FIYATLAR]])</f>
        <v>22092.98</v>
      </c>
      <c r="N2188">
        <v>3156.14</v>
      </c>
      <c r="O2188" t="s">
        <v>227</v>
      </c>
      <c r="P2188">
        <v>6312.28</v>
      </c>
      <c r="Q2188" t="s">
        <v>221</v>
      </c>
    </row>
    <row r="2189" spans="1:17" x14ac:dyDescent="0.25">
      <c r="A2189" t="s">
        <v>1099</v>
      </c>
      <c r="B2189" t="s">
        <v>1055</v>
      </c>
      <c r="C2189" t="s">
        <v>175</v>
      </c>
      <c r="D2189" t="s">
        <v>728</v>
      </c>
      <c r="E2189" t="s">
        <v>729</v>
      </c>
      <c r="F2189">
        <v>9</v>
      </c>
      <c r="G2189" t="s">
        <v>179</v>
      </c>
      <c r="H2189">
        <v>0</v>
      </c>
      <c r="I2189">
        <v>0</v>
      </c>
      <c r="J2189" s="10">
        <v>344</v>
      </c>
      <c r="K2189" s="10">
        <f>SUMIFS(F:F,D:D,DST_123_ÜRETİM_İHTİYAÇ_RAPORU_BURAK_YENI1309[[#This Row],[ALT_KOD]])-(SUMIFS(H:H,D:D,DST_123_ÜRETİM_İHTİYAÇ_RAPORU_BURAK_YENI1309[[#This Row],[ALT_KOD]])+AVERAGEIFS(I:I,D:D,DST_123_ÜRETİM_İHTİYAÇ_RAPORU_BURAK_YENI1309[[#This Row],[ALT_KOD]])+AVERAGEIFS(L:L,D:D,DST_123_ÜRETİM_İHTİYAÇ_RAPORU_BURAK_YENI1309[[#This Row],[ALT_KOD]]))</f>
        <v>54</v>
      </c>
      <c r="L2189">
        <v>0</v>
      </c>
      <c r="M2189">
        <f>IF((DST_123_ÜRETİM_İHTİYAÇ_RAPORU_BURAK_YENI1309[[#This Row],[SATINALMA]]*DST_123_ÜRETİM_İHTİYAÇ_RAPORU_BURAK_YENI1309[[#This Row],[BIRIM_FIYATLAR]])&lt;1,VALUE("0"),DST_123_ÜRETİM_İHTİYAÇ_RAPORU_BURAK_YENI1309[[#This Row],[SATINALMA]]*DST_123_ÜRETİM_İHTİYAÇ_RAPORU_BURAK_YENI1309[[#This Row],[BIRIM_FIYATLAR]])</f>
        <v>1102.68</v>
      </c>
      <c r="N2189">
        <v>20.420000000000002</v>
      </c>
      <c r="O2189" t="s">
        <v>223</v>
      </c>
      <c r="P2189">
        <v>183.78000000000003</v>
      </c>
      <c r="Q2189" t="s">
        <v>181</v>
      </c>
    </row>
    <row r="2190" spans="1:17" x14ac:dyDescent="0.25">
      <c r="A2190" t="s">
        <v>1196</v>
      </c>
      <c r="B2190" t="s">
        <v>1197</v>
      </c>
      <c r="C2190" t="s">
        <v>175</v>
      </c>
      <c r="D2190" t="s">
        <v>728</v>
      </c>
      <c r="E2190" t="s">
        <v>729</v>
      </c>
      <c r="F2190">
        <v>9</v>
      </c>
      <c r="G2190" t="s">
        <v>179</v>
      </c>
      <c r="H2190">
        <v>0</v>
      </c>
      <c r="I2190">
        <v>0</v>
      </c>
      <c r="J2190" s="10">
        <v>344</v>
      </c>
      <c r="K2190" s="10">
        <f>SUMIFS(F:F,D:D,DST_123_ÜRETİM_İHTİYAÇ_RAPORU_BURAK_YENI1309[[#This Row],[ALT_KOD]])-(SUMIFS(H:H,D:D,DST_123_ÜRETİM_İHTİYAÇ_RAPORU_BURAK_YENI1309[[#This Row],[ALT_KOD]])+AVERAGEIFS(I:I,D:D,DST_123_ÜRETİM_İHTİYAÇ_RAPORU_BURAK_YENI1309[[#This Row],[ALT_KOD]])+AVERAGEIFS(L:L,D:D,DST_123_ÜRETİM_İHTİYAÇ_RAPORU_BURAK_YENI1309[[#This Row],[ALT_KOD]]))</f>
        <v>54</v>
      </c>
      <c r="L2190">
        <v>0</v>
      </c>
      <c r="M2190">
        <f>IF((DST_123_ÜRETİM_İHTİYAÇ_RAPORU_BURAK_YENI1309[[#This Row],[SATINALMA]]*DST_123_ÜRETİM_İHTİYAÇ_RAPORU_BURAK_YENI1309[[#This Row],[BIRIM_FIYATLAR]])&lt;1,VALUE("0"),DST_123_ÜRETİM_İHTİYAÇ_RAPORU_BURAK_YENI1309[[#This Row],[SATINALMA]]*DST_123_ÜRETİM_İHTİYAÇ_RAPORU_BURAK_YENI1309[[#This Row],[BIRIM_FIYATLAR]])</f>
        <v>1102.68</v>
      </c>
      <c r="N2190">
        <v>20.420000000000002</v>
      </c>
      <c r="O2190" t="s">
        <v>223</v>
      </c>
      <c r="P2190">
        <v>183.78000000000003</v>
      </c>
      <c r="Q2190" t="s">
        <v>181</v>
      </c>
    </row>
    <row r="2191" spans="1:17" x14ac:dyDescent="0.25">
      <c r="A2191" t="s">
        <v>1097</v>
      </c>
      <c r="B2191" t="s">
        <v>1055</v>
      </c>
      <c r="C2191" t="s">
        <v>175</v>
      </c>
      <c r="D2191" t="s">
        <v>259</v>
      </c>
      <c r="E2191" t="s">
        <v>260</v>
      </c>
      <c r="F2191">
        <v>1.2</v>
      </c>
      <c r="G2191" t="s">
        <v>176</v>
      </c>
      <c r="H2191">
        <v>0</v>
      </c>
      <c r="I2191">
        <v>2</v>
      </c>
      <c r="J2191" s="10">
        <v>3.3000000000000052</v>
      </c>
      <c r="K2191" s="10">
        <f>SUMIFS(F:F,D:D,DST_123_ÜRETİM_İHTİYAÇ_RAPORU_BURAK_YENI1309[[#This Row],[ALT_KOD]])-(SUMIFS(H:H,D:D,DST_123_ÜRETİM_İHTİYAÇ_RAPORU_BURAK_YENI1309[[#This Row],[ALT_KOD]])+AVERAGEIFS(I:I,D:D,DST_123_ÜRETİM_İHTİYAÇ_RAPORU_BURAK_YENI1309[[#This Row],[ALT_KOD]])+AVERAGEIFS(L:L,D:D,DST_123_ÜRETİM_İHTİYAÇ_RAPORU_BURAK_YENI1309[[#This Row],[ALT_KOD]]))</f>
        <v>12.649999999999999</v>
      </c>
      <c r="L2191">
        <v>0</v>
      </c>
      <c r="M2191">
        <f>IF((DST_123_ÜRETİM_İHTİYAÇ_RAPORU_BURAK_YENI1309[[#This Row],[SATINALMA]]*DST_123_ÜRETİM_İHTİYAÇ_RAPORU_BURAK_YENI1309[[#This Row],[BIRIM_FIYATLAR]])&lt;1,VALUE("0"),DST_123_ÜRETİM_İHTİYAÇ_RAPORU_BURAK_YENI1309[[#This Row],[SATINALMA]]*DST_123_ÜRETİM_İHTİYAÇ_RAPORU_BURAK_YENI1309[[#This Row],[BIRIM_FIYATLAR]])</f>
        <v>20523.36</v>
      </c>
      <c r="N2191">
        <v>1622.4</v>
      </c>
      <c r="O2191" t="s">
        <v>261</v>
      </c>
      <c r="P2191">
        <v>1946.88</v>
      </c>
      <c r="Q2191" t="s">
        <v>183</v>
      </c>
    </row>
    <row r="2192" spans="1:17" x14ac:dyDescent="0.25">
      <c r="A2192" t="s">
        <v>1059</v>
      </c>
      <c r="B2192" t="s">
        <v>1058</v>
      </c>
      <c r="C2192" t="s">
        <v>175</v>
      </c>
      <c r="D2192" t="s">
        <v>790</v>
      </c>
      <c r="E2192" t="s">
        <v>828</v>
      </c>
      <c r="F2192">
        <v>6</v>
      </c>
      <c r="G2192" t="s">
        <v>179</v>
      </c>
      <c r="H2192">
        <v>0</v>
      </c>
      <c r="I2192">
        <v>100</v>
      </c>
      <c r="J2192" s="10">
        <v>50</v>
      </c>
      <c r="K2192" s="10">
        <f>SUMIFS(F:F,D:D,DST_123_ÜRETİM_İHTİYAÇ_RAPORU_BURAK_YENI1309[[#This Row],[ALT_KOD]])-(SUMIFS(H:H,D:D,DST_123_ÜRETİM_İHTİYAÇ_RAPORU_BURAK_YENI1309[[#This Row],[ALT_KOD]])+AVERAGEIFS(I:I,D:D,DST_123_ÜRETİM_İHTİYAÇ_RAPORU_BURAK_YENI1309[[#This Row],[ALT_KOD]])+AVERAGEIFS(L:L,D:D,DST_123_ÜRETİM_İHTİYAÇ_RAPORU_BURAK_YENI1309[[#This Row],[ALT_KOD]]))</f>
        <v>-16</v>
      </c>
      <c r="L2192">
        <v>0</v>
      </c>
      <c r="M2192">
        <f>IF((DST_123_ÜRETİM_İHTİYAÇ_RAPORU_BURAK_YENI1309[[#This Row],[SATINALMA]]*DST_123_ÜRETİM_İHTİYAÇ_RAPORU_BURAK_YENI1309[[#This Row],[BIRIM_FIYATLAR]])&lt;1,VALUE("0"),DST_123_ÜRETİM_İHTİYAÇ_RAPORU_BURAK_YENI1309[[#This Row],[SATINALMA]]*DST_123_ÜRETİM_İHTİYAÇ_RAPORU_BURAK_YENI1309[[#This Row],[BIRIM_FIYATLAR]])</f>
        <v>0</v>
      </c>
      <c r="N2192">
        <v>46</v>
      </c>
      <c r="O2192" t="s">
        <v>791</v>
      </c>
      <c r="P2192">
        <v>276</v>
      </c>
      <c r="Q2192" t="s">
        <v>221</v>
      </c>
    </row>
    <row r="2193" spans="1:17" x14ac:dyDescent="0.25">
      <c r="A2193" t="s">
        <v>1143</v>
      </c>
      <c r="B2193" t="s">
        <v>1056</v>
      </c>
      <c r="C2193" t="s">
        <v>175</v>
      </c>
      <c r="D2193" t="s">
        <v>790</v>
      </c>
      <c r="E2193" t="s">
        <v>828</v>
      </c>
      <c r="F2193">
        <v>6</v>
      </c>
      <c r="G2193" t="s">
        <v>179</v>
      </c>
      <c r="H2193">
        <v>0</v>
      </c>
      <c r="I2193">
        <v>100</v>
      </c>
      <c r="J2193" s="10">
        <v>50</v>
      </c>
      <c r="K2193" s="10">
        <f>SUMIFS(F:F,D:D,DST_123_ÜRETİM_İHTİYAÇ_RAPORU_BURAK_YENI1309[[#This Row],[ALT_KOD]])-(SUMIFS(H:H,D:D,DST_123_ÜRETİM_İHTİYAÇ_RAPORU_BURAK_YENI1309[[#This Row],[ALT_KOD]])+AVERAGEIFS(I:I,D:D,DST_123_ÜRETİM_İHTİYAÇ_RAPORU_BURAK_YENI1309[[#This Row],[ALT_KOD]])+AVERAGEIFS(L:L,D:D,DST_123_ÜRETİM_İHTİYAÇ_RAPORU_BURAK_YENI1309[[#This Row],[ALT_KOD]]))</f>
        <v>-16</v>
      </c>
      <c r="L2193">
        <v>0</v>
      </c>
      <c r="M2193">
        <f>IF((DST_123_ÜRETİM_İHTİYAÇ_RAPORU_BURAK_YENI1309[[#This Row],[SATINALMA]]*DST_123_ÜRETİM_İHTİYAÇ_RAPORU_BURAK_YENI1309[[#This Row],[BIRIM_FIYATLAR]])&lt;1,VALUE("0"),DST_123_ÜRETİM_İHTİYAÇ_RAPORU_BURAK_YENI1309[[#This Row],[SATINALMA]]*DST_123_ÜRETİM_İHTİYAÇ_RAPORU_BURAK_YENI1309[[#This Row],[BIRIM_FIYATLAR]])</f>
        <v>0</v>
      </c>
      <c r="N2193">
        <v>46</v>
      </c>
      <c r="O2193" t="s">
        <v>791</v>
      </c>
      <c r="P2193">
        <v>276</v>
      </c>
      <c r="Q2193" t="s">
        <v>221</v>
      </c>
    </row>
    <row r="2194" spans="1:17" x14ac:dyDescent="0.25">
      <c r="A2194" t="s">
        <v>1148</v>
      </c>
      <c r="B2194" t="s">
        <v>1056</v>
      </c>
      <c r="C2194" t="s">
        <v>175</v>
      </c>
      <c r="D2194" t="s">
        <v>259</v>
      </c>
      <c r="E2194" t="s">
        <v>260</v>
      </c>
      <c r="F2194">
        <v>0.85000000000000009</v>
      </c>
      <c r="G2194" t="s">
        <v>176</v>
      </c>
      <c r="H2194">
        <v>0</v>
      </c>
      <c r="I2194">
        <v>2</v>
      </c>
      <c r="J2194" s="10">
        <v>3.3000000000000052</v>
      </c>
      <c r="K2194" s="10">
        <f>SUMIFS(F:F,D:D,DST_123_ÜRETİM_İHTİYAÇ_RAPORU_BURAK_YENI1309[[#This Row],[ALT_KOD]])-(SUMIFS(H:H,D:D,DST_123_ÜRETİM_İHTİYAÇ_RAPORU_BURAK_YENI1309[[#This Row],[ALT_KOD]])+AVERAGEIFS(I:I,D:D,DST_123_ÜRETİM_İHTİYAÇ_RAPORU_BURAK_YENI1309[[#This Row],[ALT_KOD]])+AVERAGEIFS(L:L,D:D,DST_123_ÜRETİM_İHTİYAÇ_RAPORU_BURAK_YENI1309[[#This Row],[ALT_KOD]]))</f>
        <v>12.649999999999999</v>
      </c>
      <c r="L2194">
        <v>0</v>
      </c>
      <c r="M2194">
        <f>IF((DST_123_ÜRETİM_İHTİYAÇ_RAPORU_BURAK_YENI1309[[#This Row],[SATINALMA]]*DST_123_ÜRETİM_İHTİYAÇ_RAPORU_BURAK_YENI1309[[#This Row],[BIRIM_FIYATLAR]])&lt;1,VALUE("0"),DST_123_ÜRETİM_İHTİYAÇ_RAPORU_BURAK_YENI1309[[#This Row],[SATINALMA]]*DST_123_ÜRETİM_İHTİYAÇ_RAPORU_BURAK_YENI1309[[#This Row],[BIRIM_FIYATLAR]])</f>
        <v>20523.36</v>
      </c>
      <c r="N2194">
        <v>1622.4</v>
      </c>
      <c r="O2194" t="s">
        <v>261</v>
      </c>
      <c r="P2194">
        <v>1379.0400000000002</v>
      </c>
      <c r="Q2194" t="s">
        <v>183</v>
      </c>
    </row>
    <row r="2195" spans="1:17" x14ac:dyDescent="0.25">
      <c r="A2195" t="s">
        <v>1148</v>
      </c>
      <c r="B2195" t="s">
        <v>1056</v>
      </c>
      <c r="C2195" t="s">
        <v>175</v>
      </c>
      <c r="D2195" t="s">
        <v>728</v>
      </c>
      <c r="E2195" t="s">
        <v>729</v>
      </c>
      <c r="F2195">
        <v>9</v>
      </c>
      <c r="G2195" t="s">
        <v>179</v>
      </c>
      <c r="H2195">
        <v>0</v>
      </c>
      <c r="I2195">
        <v>0</v>
      </c>
      <c r="J2195" s="10">
        <v>344</v>
      </c>
      <c r="K2195" s="10">
        <f>SUMIFS(F:F,D:D,DST_123_ÜRETİM_İHTİYAÇ_RAPORU_BURAK_YENI1309[[#This Row],[ALT_KOD]])-(SUMIFS(H:H,D:D,DST_123_ÜRETİM_İHTİYAÇ_RAPORU_BURAK_YENI1309[[#This Row],[ALT_KOD]])+AVERAGEIFS(I:I,D:D,DST_123_ÜRETİM_İHTİYAÇ_RAPORU_BURAK_YENI1309[[#This Row],[ALT_KOD]])+AVERAGEIFS(L:L,D:D,DST_123_ÜRETİM_İHTİYAÇ_RAPORU_BURAK_YENI1309[[#This Row],[ALT_KOD]]))</f>
        <v>54</v>
      </c>
      <c r="L2195">
        <v>0</v>
      </c>
      <c r="M2195">
        <f>IF((DST_123_ÜRETİM_İHTİYAÇ_RAPORU_BURAK_YENI1309[[#This Row],[SATINALMA]]*DST_123_ÜRETİM_İHTİYAÇ_RAPORU_BURAK_YENI1309[[#This Row],[BIRIM_FIYATLAR]])&lt;1,VALUE("0"),DST_123_ÜRETİM_İHTİYAÇ_RAPORU_BURAK_YENI1309[[#This Row],[SATINALMA]]*DST_123_ÜRETİM_İHTİYAÇ_RAPORU_BURAK_YENI1309[[#This Row],[BIRIM_FIYATLAR]])</f>
        <v>1102.68</v>
      </c>
      <c r="N2195">
        <v>20.420000000000002</v>
      </c>
      <c r="O2195" t="s">
        <v>223</v>
      </c>
      <c r="P2195">
        <v>183.78000000000003</v>
      </c>
      <c r="Q2195" t="s">
        <v>181</v>
      </c>
    </row>
    <row r="2196" spans="1:17" x14ac:dyDescent="0.25">
      <c r="A2196" t="s">
        <v>1064</v>
      </c>
      <c r="B2196" t="s">
        <v>1055</v>
      </c>
      <c r="C2196" t="s">
        <v>175</v>
      </c>
      <c r="D2196" t="s">
        <v>259</v>
      </c>
      <c r="E2196" t="s">
        <v>260</v>
      </c>
      <c r="F2196">
        <v>1.2</v>
      </c>
      <c r="G2196" t="s">
        <v>176</v>
      </c>
      <c r="H2196">
        <v>0</v>
      </c>
      <c r="I2196">
        <v>2</v>
      </c>
      <c r="J2196" s="10">
        <v>3.3000000000000052</v>
      </c>
      <c r="K2196" s="10">
        <f>SUMIFS(F:F,D:D,DST_123_ÜRETİM_İHTİYAÇ_RAPORU_BURAK_YENI1309[[#This Row],[ALT_KOD]])-(SUMIFS(H:H,D:D,DST_123_ÜRETİM_İHTİYAÇ_RAPORU_BURAK_YENI1309[[#This Row],[ALT_KOD]])+AVERAGEIFS(I:I,D:D,DST_123_ÜRETİM_İHTİYAÇ_RAPORU_BURAK_YENI1309[[#This Row],[ALT_KOD]])+AVERAGEIFS(L:L,D:D,DST_123_ÜRETİM_İHTİYAÇ_RAPORU_BURAK_YENI1309[[#This Row],[ALT_KOD]]))</f>
        <v>12.649999999999999</v>
      </c>
      <c r="L2196">
        <v>0</v>
      </c>
      <c r="M2196">
        <f>IF((DST_123_ÜRETİM_İHTİYAÇ_RAPORU_BURAK_YENI1309[[#This Row],[SATINALMA]]*DST_123_ÜRETİM_İHTİYAÇ_RAPORU_BURAK_YENI1309[[#This Row],[BIRIM_FIYATLAR]])&lt;1,VALUE("0"),DST_123_ÜRETİM_İHTİYAÇ_RAPORU_BURAK_YENI1309[[#This Row],[SATINALMA]]*DST_123_ÜRETİM_İHTİYAÇ_RAPORU_BURAK_YENI1309[[#This Row],[BIRIM_FIYATLAR]])</f>
        <v>20523.36</v>
      </c>
      <c r="N2196">
        <v>1622.4</v>
      </c>
      <c r="O2196" t="s">
        <v>261</v>
      </c>
      <c r="P2196">
        <v>1946.88</v>
      </c>
      <c r="Q2196" t="s">
        <v>183</v>
      </c>
    </row>
    <row r="2197" spans="1:17" x14ac:dyDescent="0.25">
      <c r="A2197" t="s">
        <v>1064</v>
      </c>
      <c r="B2197" t="s">
        <v>1055</v>
      </c>
      <c r="C2197" t="s">
        <v>175</v>
      </c>
      <c r="D2197" t="s">
        <v>92</v>
      </c>
      <c r="E2197" t="s">
        <v>93</v>
      </c>
      <c r="F2197">
        <v>6</v>
      </c>
      <c r="G2197" t="s">
        <v>176</v>
      </c>
      <c r="H2197">
        <v>0</v>
      </c>
      <c r="I2197">
        <v>105</v>
      </c>
      <c r="J2197" s="10">
        <v>56</v>
      </c>
      <c r="K2197" s="10">
        <f>SUMIFS(F:F,D:D,DST_123_ÜRETİM_İHTİYAÇ_RAPORU_BURAK_YENI1309[[#This Row],[ALT_KOD]])-(SUMIFS(H:H,D:D,DST_123_ÜRETİM_İHTİYAÇ_RAPORU_BURAK_YENI1309[[#This Row],[ALT_KOD]])+AVERAGEIFS(I:I,D:D,DST_123_ÜRETİM_İHTİYAÇ_RAPORU_BURAK_YENI1309[[#This Row],[ALT_KOD]])+AVERAGEIFS(L:L,D:D,DST_123_ÜRETİM_İHTİYAÇ_RAPORU_BURAK_YENI1309[[#This Row],[ALT_KOD]]))</f>
        <v>-8</v>
      </c>
      <c r="L2197">
        <v>0</v>
      </c>
      <c r="M2197">
        <f>IF((DST_123_ÜRETİM_İHTİYAÇ_RAPORU_BURAK_YENI1309[[#This Row],[SATINALMA]]*DST_123_ÜRETİM_İHTİYAÇ_RAPORU_BURAK_YENI1309[[#This Row],[BIRIM_FIYATLAR]])&lt;1,VALUE("0"),DST_123_ÜRETİM_İHTİYAÇ_RAPORU_BURAK_YENI1309[[#This Row],[SATINALMA]]*DST_123_ÜRETİM_İHTİYAÇ_RAPORU_BURAK_YENI1309[[#This Row],[BIRIM_FIYATLAR]])</f>
        <v>0</v>
      </c>
      <c r="N2197">
        <v>72.599999999999994</v>
      </c>
      <c r="O2197" t="s">
        <v>240</v>
      </c>
      <c r="P2197">
        <v>435.59999999999997</v>
      </c>
      <c r="Q2197" t="s">
        <v>178</v>
      </c>
    </row>
    <row r="2198" spans="1:17" x14ac:dyDescent="0.25">
      <c r="A2198" t="s">
        <v>1064</v>
      </c>
      <c r="B2198" t="s">
        <v>1055</v>
      </c>
      <c r="C2198" t="s">
        <v>175</v>
      </c>
      <c r="D2198" t="s">
        <v>846</v>
      </c>
      <c r="E2198" t="s">
        <v>847</v>
      </c>
      <c r="F2198">
        <v>5</v>
      </c>
      <c r="G2198" t="s">
        <v>182</v>
      </c>
      <c r="H2198">
        <v>0</v>
      </c>
      <c r="I2198">
        <v>0</v>
      </c>
      <c r="J2198" s="10">
        <v>-1.4210854715202004E-14</v>
      </c>
      <c r="K2198" s="10">
        <f>SUMIFS(F:F,D:D,DST_123_ÜRETİM_İHTİYAÇ_RAPORU_BURAK_YENI1309[[#This Row],[ALT_KOD]])-(SUMIFS(H:H,D:D,DST_123_ÜRETİM_İHTİYAÇ_RAPORU_BURAK_YENI1309[[#This Row],[ALT_KOD]])+AVERAGEIFS(I:I,D:D,DST_123_ÜRETİM_İHTİYAÇ_RAPORU_BURAK_YENI1309[[#This Row],[ALT_KOD]])+AVERAGEIFS(L:L,D:D,DST_123_ÜRETİM_İHTİYAÇ_RAPORU_BURAK_YENI1309[[#This Row],[ALT_KOD]]))</f>
        <v>52</v>
      </c>
      <c r="L2198">
        <v>0</v>
      </c>
      <c r="M2198">
        <f>IF((DST_123_ÜRETİM_İHTİYAÇ_RAPORU_BURAK_YENI1309[[#This Row],[SATINALMA]]*DST_123_ÜRETİM_İHTİYAÇ_RAPORU_BURAK_YENI1309[[#This Row],[BIRIM_FIYATLAR]])&lt;1,VALUE("0"),DST_123_ÜRETİM_İHTİYAÇ_RAPORU_BURAK_YENI1309[[#This Row],[SATINALMA]]*DST_123_ÜRETİM_İHTİYAÇ_RAPORU_BURAK_YENI1309[[#This Row],[BIRIM_FIYATLAR]])</f>
        <v>28423.200000000001</v>
      </c>
      <c r="N2198">
        <v>546.6</v>
      </c>
      <c r="O2198" t="s">
        <v>253</v>
      </c>
      <c r="P2198">
        <v>2733</v>
      </c>
      <c r="Q2198" t="s">
        <v>181</v>
      </c>
    </row>
    <row r="2199" spans="1:17" x14ac:dyDescent="0.25">
      <c r="A2199" t="s">
        <v>1142</v>
      </c>
      <c r="B2199" t="s">
        <v>1056</v>
      </c>
      <c r="C2199" t="s">
        <v>175</v>
      </c>
      <c r="D2199" t="s">
        <v>464</v>
      </c>
      <c r="E2199" t="s">
        <v>465</v>
      </c>
      <c r="F2199">
        <v>2</v>
      </c>
      <c r="G2199" t="s">
        <v>176</v>
      </c>
      <c r="H2199">
        <v>0</v>
      </c>
      <c r="I2199">
        <v>222</v>
      </c>
      <c r="J2199" s="10">
        <v>2</v>
      </c>
      <c r="K2199" s="10">
        <f>SUMIFS(F:F,D:D,DST_123_ÜRETİM_İHTİYAÇ_RAPORU_BURAK_YENI1309[[#This Row],[ALT_KOD]])-(SUMIFS(H:H,D:D,DST_123_ÜRETİM_İHTİYAÇ_RAPORU_BURAK_YENI1309[[#This Row],[ALT_KOD]])+AVERAGEIFS(I:I,D:D,DST_123_ÜRETİM_İHTİYAÇ_RAPORU_BURAK_YENI1309[[#This Row],[ALT_KOD]])+AVERAGEIFS(L:L,D:D,DST_123_ÜRETİM_İHTİYAÇ_RAPORU_BURAK_YENI1309[[#This Row],[ALT_KOD]]))</f>
        <v>-166</v>
      </c>
      <c r="L2199">
        <v>0</v>
      </c>
      <c r="M2199">
        <f>IF((DST_123_ÜRETİM_İHTİYAÇ_RAPORU_BURAK_YENI1309[[#This Row],[SATINALMA]]*DST_123_ÜRETİM_İHTİYAÇ_RAPORU_BURAK_YENI1309[[#This Row],[BIRIM_FIYATLAR]])&lt;1,VALUE("0"),DST_123_ÜRETİM_İHTİYAÇ_RAPORU_BURAK_YENI1309[[#This Row],[SATINALMA]]*DST_123_ÜRETİM_İHTİYAÇ_RAPORU_BURAK_YENI1309[[#This Row],[BIRIM_FIYATLAR]])</f>
        <v>0</v>
      </c>
      <c r="N2199">
        <v>11.5</v>
      </c>
      <c r="O2199" t="s">
        <v>240</v>
      </c>
      <c r="P2199">
        <v>23</v>
      </c>
      <c r="Q2199" t="s">
        <v>178</v>
      </c>
    </row>
    <row r="2200" spans="1:17" x14ac:dyDescent="0.25">
      <c r="A2200" t="s">
        <v>1142</v>
      </c>
      <c r="B2200" t="s">
        <v>1056</v>
      </c>
      <c r="C2200" t="s">
        <v>175</v>
      </c>
      <c r="D2200" t="s">
        <v>259</v>
      </c>
      <c r="E2200" t="s">
        <v>260</v>
      </c>
      <c r="F2200">
        <v>0.7</v>
      </c>
      <c r="G2200" t="s">
        <v>176</v>
      </c>
      <c r="H2200">
        <v>0</v>
      </c>
      <c r="I2200">
        <v>2</v>
      </c>
      <c r="J2200" s="10">
        <v>3.3000000000000052</v>
      </c>
      <c r="K2200" s="10">
        <f>SUMIFS(F:F,D:D,DST_123_ÜRETİM_İHTİYAÇ_RAPORU_BURAK_YENI1309[[#This Row],[ALT_KOD]])-(SUMIFS(H:H,D:D,DST_123_ÜRETİM_İHTİYAÇ_RAPORU_BURAK_YENI1309[[#This Row],[ALT_KOD]])+AVERAGEIFS(I:I,D:D,DST_123_ÜRETİM_İHTİYAÇ_RAPORU_BURAK_YENI1309[[#This Row],[ALT_KOD]])+AVERAGEIFS(L:L,D:D,DST_123_ÜRETİM_İHTİYAÇ_RAPORU_BURAK_YENI1309[[#This Row],[ALT_KOD]]))</f>
        <v>12.649999999999999</v>
      </c>
      <c r="L2200">
        <v>0</v>
      </c>
      <c r="M2200">
        <f>IF((DST_123_ÜRETİM_İHTİYAÇ_RAPORU_BURAK_YENI1309[[#This Row],[SATINALMA]]*DST_123_ÜRETİM_İHTİYAÇ_RAPORU_BURAK_YENI1309[[#This Row],[BIRIM_FIYATLAR]])&lt;1,VALUE("0"),DST_123_ÜRETİM_İHTİYAÇ_RAPORU_BURAK_YENI1309[[#This Row],[SATINALMA]]*DST_123_ÜRETİM_İHTİYAÇ_RAPORU_BURAK_YENI1309[[#This Row],[BIRIM_FIYATLAR]])</f>
        <v>20523.36</v>
      </c>
      <c r="N2200">
        <v>1622.4</v>
      </c>
      <c r="O2200" t="s">
        <v>261</v>
      </c>
      <c r="P2200">
        <v>1135.68</v>
      </c>
      <c r="Q2200" t="s">
        <v>183</v>
      </c>
    </row>
    <row r="2201" spans="1:17" x14ac:dyDescent="0.25">
      <c r="A2201" t="s">
        <v>1142</v>
      </c>
      <c r="B2201" t="s">
        <v>1056</v>
      </c>
      <c r="C2201" t="s">
        <v>175</v>
      </c>
      <c r="D2201" t="s">
        <v>790</v>
      </c>
      <c r="E2201" t="s">
        <v>828</v>
      </c>
      <c r="F2201">
        <v>6</v>
      </c>
      <c r="G2201" t="s">
        <v>179</v>
      </c>
      <c r="H2201">
        <v>0</v>
      </c>
      <c r="I2201">
        <v>100</v>
      </c>
      <c r="J2201" s="10">
        <v>50</v>
      </c>
      <c r="K2201" s="10">
        <f>SUMIFS(F:F,D:D,DST_123_ÜRETİM_İHTİYAÇ_RAPORU_BURAK_YENI1309[[#This Row],[ALT_KOD]])-(SUMIFS(H:H,D:D,DST_123_ÜRETİM_İHTİYAÇ_RAPORU_BURAK_YENI1309[[#This Row],[ALT_KOD]])+AVERAGEIFS(I:I,D:D,DST_123_ÜRETİM_İHTİYAÇ_RAPORU_BURAK_YENI1309[[#This Row],[ALT_KOD]])+AVERAGEIFS(L:L,D:D,DST_123_ÜRETİM_İHTİYAÇ_RAPORU_BURAK_YENI1309[[#This Row],[ALT_KOD]]))</f>
        <v>-16</v>
      </c>
      <c r="L2201">
        <v>0</v>
      </c>
      <c r="M2201">
        <f>IF((DST_123_ÜRETİM_İHTİYAÇ_RAPORU_BURAK_YENI1309[[#This Row],[SATINALMA]]*DST_123_ÜRETİM_İHTİYAÇ_RAPORU_BURAK_YENI1309[[#This Row],[BIRIM_FIYATLAR]])&lt;1,VALUE("0"),DST_123_ÜRETİM_İHTİYAÇ_RAPORU_BURAK_YENI1309[[#This Row],[SATINALMA]]*DST_123_ÜRETİM_İHTİYAÇ_RAPORU_BURAK_YENI1309[[#This Row],[BIRIM_FIYATLAR]])</f>
        <v>0</v>
      </c>
      <c r="N2201">
        <v>46</v>
      </c>
      <c r="O2201" t="s">
        <v>791</v>
      </c>
      <c r="P2201">
        <v>276</v>
      </c>
      <c r="Q2201" t="s">
        <v>221</v>
      </c>
    </row>
    <row r="2202" spans="1:17" x14ac:dyDescent="0.25">
      <c r="A2202" t="s">
        <v>1101</v>
      </c>
      <c r="B2202" t="s">
        <v>1102</v>
      </c>
      <c r="C2202" t="s">
        <v>175</v>
      </c>
      <c r="D2202" t="s">
        <v>790</v>
      </c>
      <c r="E2202" t="s">
        <v>828</v>
      </c>
      <c r="F2202">
        <v>6</v>
      </c>
      <c r="G2202" t="s">
        <v>179</v>
      </c>
      <c r="H2202">
        <v>0</v>
      </c>
      <c r="I2202">
        <v>100</v>
      </c>
      <c r="J2202" s="10">
        <v>50</v>
      </c>
      <c r="K2202" s="10">
        <f>SUMIFS(F:F,D:D,DST_123_ÜRETİM_İHTİYAÇ_RAPORU_BURAK_YENI1309[[#This Row],[ALT_KOD]])-(SUMIFS(H:H,D:D,DST_123_ÜRETİM_İHTİYAÇ_RAPORU_BURAK_YENI1309[[#This Row],[ALT_KOD]])+AVERAGEIFS(I:I,D:D,DST_123_ÜRETİM_İHTİYAÇ_RAPORU_BURAK_YENI1309[[#This Row],[ALT_KOD]])+AVERAGEIFS(L:L,D:D,DST_123_ÜRETİM_İHTİYAÇ_RAPORU_BURAK_YENI1309[[#This Row],[ALT_KOD]]))</f>
        <v>-16</v>
      </c>
      <c r="L2202">
        <v>0</v>
      </c>
      <c r="M2202">
        <f>IF((DST_123_ÜRETİM_İHTİYAÇ_RAPORU_BURAK_YENI1309[[#This Row],[SATINALMA]]*DST_123_ÜRETİM_İHTİYAÇ_RAPORU_BURAK_YENI1309[[#This Row],[BIRIM_FIYATLAR]])&lt;1,VALUE("0"),DST_123_ÜRETİM_İHTİYAÇ_RAPORU_BURAK_YENI1309[[#This Row],[SATINALMA]]*DST_123_ÜRETİM_İHTİYAÇ_RAPORU_BURAK_YENI1309[[#This Row],[BIRIM_FIYATLAR]])</f>
        <v>0</v>
      </c>
      <c r="N2202">
        <v>46</v>
      </c>
      <c r="O2202" t="s">
        <v>791</v>
      </c>
      <c r="P2202">
        <v>276</v>
      </c>
      <c r="Q2202" t="s">
        <v>221</v>
      </c>
    </row>
    <row r="2203" spans="1:17" x14ac:dyDescent="0.25">
      <c r="A2203" t="s">
        <v>1097</v>
      </c>
      <c r="B2203" t="s">
        <v>1055</v>
      </c>
      <c r="C2203" t="s">
        <v>175</v>
      </c>
      <c r="D2203" t="s">
        <v>464</v>
      </c>
      <c r="E2203" t="s">
        <v>465</v>
      </c>
      <c r="F2203">
        <v>2</v>
      </c>
      <c r="G2203" t="s">
        <v>176</v>
      </c>
      <c r="H2203">
        <v>0</v>
      </c>
      <c r="I2203">
        <v>222</v>
      </c>
      <c r="J2203" s="10">
        <v>2</v>
      </c>
      <c r="K2203" s="10">
        <f>SUMIFS(F:F,D:D,DST_123_ÜRETİM_İHTİYAÇ_RAPORU_BURAK_YENI1309[[#This Row],[ALT_KOD]])-(SUMIFS(H:H,D:D,DST_123_ÜRETİM_İHTİYAÇ_RAPORU_BURAK_YENI1309[[#This Row],[ALT_KOD]])+AVERAGEIFS(I:I,D:D,DST_123_ÜRETİM_İHTİYAÇ_RAPORU_BURAK_YENI1309[[#This Row],[ALT_KOD]])+AVERAGEIFS(L:L,D:D,DST_123_ÜRETİM_İHTİYAÇ_RAPORU_BURAK_YENI1309[[#This Row],[ALT_KOD]]))</f>
        <v>-166</v>
      </c>
      <c r="L2203">
        <v>0</v>
      </c>
      <c r="M2203">
        <f>IF((DST_123_ÜRETİM_İHTİYAÇ_RAPORU_BURAK_YENI1309[[#This Row],[SATINALMA]]*DST_123_ÜRETİM_İHTİYAÇ_RAPORU_BURAK_YENI1309[[#This Row],[BIRIM_FIYATLAR]])&lt;1,VALUE("0"),DST_123_ÜRETİM_İHTİYAÇ_RAPORU_BURAK_YENI1309[[#This Row],[SATINALMA]]*DST_123_ÜRETİM_İHTİYAÇ_RAPORU_BURAK_YENI1309[[#This Row],[BIRIM_FIYATLAR]])</f>
        <v>0</v>
      </c>
      <c r="N2203">
        <v>11.5</v>
      </c>
      <c r="O2203" t="s">
        <v>240</v>
      </c>
      <c r="P2203">
        <v>23</v>
      </c>
      <c r="Q2203" t="s">
        <v>178</v>
      </c>
    </row>
    <row r="2204" spans="1:17" x14ac:dyDescent="0.25">
      <c r="A2204" t="s">
        <v>1095</v>
      </c>
      <c r="B2204" t="s">
        <v>1096</v>
      </c>
      <c r="C2204" t="s">
        <v>175</v>
      </c>
      <c r="D2204" t="s">
        <v>464</v>
      </c>
      <c r="E2204" t="s">
        <v>465</v>
      </c>
      <c r="F2204">
        <v>2</v>
      </c>
      <c r="G2204" t="s">
        <v>176</v>
      </c>
      <c r="H2204">
        <v>0</v>
      </c>
      <c r="I2204">
        <v>222</v>
      </c>
      <c r="J2204" s="10">
        <v>2</v>
      </c>
      <c r="K2204" s="10">
        <f>SUMIFS(F:F,D:D,DST_123_ÜRETİM_İHTİYAÇ_RAPORU_BURAK_YENI1309[[#This Row],[ALT_KOD]])-(SUMIFS(H:H,D:D,DST_123_ÜRETİM_İHTİYAÇ_RAPORU_BURAK_YENI1309[[#This Row],[ALT_KOD]])+AVERAGEIFS(I:I,D:D,DST_123_ÜRETİM_İHTİYAÇ_RAPORU_BURAK_YENI1309[[#This Row],[ALT_KOD]])+AVERAGEIFS(L:L,D:D,DST_123_ÜRETİM_İHTİYAÇ_RAPORU_BURAK_YENI1309[[#This Row],[ALT_KOD]]))</f>
        <v>-166</v>
      </c>
      <c r="L2204">
        <v>0</v>
      </c>
      <c r="M2204">
        <f>IF((DST_123_ÜRETİM_İHTİYAÇ_RAPORU_BURAK_YENI1309[[#This Row],[SATINALMA]]*DST_123_ÜRETİM_İHTİYAÇ_RAPORU_BURAK_YENI1309[[#This Row],[BIRIM_FIYATLAR]])&lt;1,VALUE("0"),DST_123_ÜRETİM_İHTİYAÇ_RAPORU_BURAK_YENI1309[[#This Row],[SATINALMA]]*DST_123_ÜRETİM_İHTİYAÇ_RAPORU_BURAK_YENI1309[[#This Row],[BIRIM_FIYATLAR]])</f>
        <v>0</v>
      </c>
      <c r="N2204">
        <v>11.5</v>
      </c>
      <c r="O2204" t="s">
        <v>240</v>
      </c>
      <c r="P2204">
        <v>23</v>
      </c>
      <c r="Q2204" t="s">
        <v>178</v>
      </c>
    </row>
    <row r="2205" spans="1:17" x14ac:dyDescent="0.25">
      <c r="A2205" t="s">
        <v>1143</v>
      </c>
      <c r="B2205" t="s">
        <v>1056</v>
      </c>
      <c r="C2205" t="s">
        <v>175</v>
      </c>
      <c r="D2205" t="s">
        <v>259</v>
      </c>
      <c r="E2205" t="s">
        <v>260</v>
      </c>
      <c r="F2205">
        <v>0.89999999999999991</v>
      </c>
      <c r="G2205" t="s">
        <v>176</v>
      </c>
      <c r="H2205">
        <v>0</v>
      </c>
      <c r="I2205">
        <v>2</v>
      </c>
      <c r="J2205" s="10">
        <v>3.3000000000000052</v>
      </c>
      <c r="K2205" s="10">
        <f>SUMIFS(F:F,D:D,DST_123_ÜRETİM_İHTİYAÇ_RAPORU_BURAK_YENI1309[[#This Row],[ALT_KOD]])-(SUMIFS(H:H,D:D,DST_123_ÜRETİM_İHTİYAÇ_RAPORU_BURAK_YENI1309[[#This Row],[ALT_KOD]])+AVERAGEIFS(I:I,D:D,DST_123_ÜRETİM_İHTİYAÇ_RAPORU_BURAK_YENI1309[[#This Row],[ALT_KOD]])+AVERAGEIFS(L:L,D:D,DST_123_ÜRETİM_İHTİYAÇ_RAPORU_BURAK_YENI1309[[#This Row],[ALT_KOD]]))</f>
        <v>12.649999999999999</v>
      </c>
      <c r="L2205">
        <v>0</v>
      </c>
      <c r="M2205">
        <f>IF((DST_123_ÜRETİM_İHTİYAÇ_RAPORU_BURAK_YENI1309[[#This Row],[SATINALMA]]*DST_123_ÜRETİM_İHTİYAÇ_RAPORU_BURAK_YENI1309[[#This Row],[BIRIM_FIYATLAR]])&lt;1,VALUE("0"),DST_123_ÜRETİM_İHTİYAÇ_RAPORU_BURAK_YENI1309[[#This Row],[SATINALMA]]*DST_123_ÜRETİM_İHTİYAÇ_RAPORU_BURAK_YENI1309[[#This Row],[BIRIM_FIYATLAR]])</f>
        <v>20523.36</v>
      </c>
      <c r="N2205">
        <v>1622.4</v>
      </c>
      <c r="O2205" t="s">
        <v>261</v>
      </c>
      <c r="P2205">
        <v>1460.1599999999999</v>
      </c>
      <c r="Q2205" t="s">
        <v>183</v>
      </c>
    </row>
    <row r="2206" spans="1:17" x14ac:dyDescent="0.25">
      <c r="A2206" t="s">
        <v>1101</v>
      </c>
      <c r="B2206" t="s">
        <v>1102</v>
      </c>
      <c r="C2206" t="s">
        <v>175</v>
      </c>
      <c r="D2206" t="s">
        <v>259</v>
      </c>
      <c r="E2206" t="s">
        <v>260</v>
      </c>
      <c r="F2206">
        <v>0.89999999999999991</v>
      </c>
      <c r="G2206" t="s">
        <v>176</v>
      </c>
      <c r="H2206">
        <v>0</v>
      </c>
      <c r="I2206">
        <v>2</v>
      </c>
      <c r="J2206" s="10">
        <v>3.3000000000000052</v>
      </c>
      <c r="K2206" s="10">
        <f>SUMIFS(F:F,D:D,DST_123_ÜRETİM_İHTİYAÇ_RAPORU_BURAK_YENI1309[[#This Row],[ALT_KOD]])-(SUMIFS(H:H,D:D,DST_123_ÜRETİM_İHTİYAÇ_RAPORU_BURAK_YENI1309[[#This Row],[ALT_KOD]])+AVERAGEIFS(I:I,D:D,DST_123_ÜRETİM_İHTİYAÇ_RAPORU_BURAK_YENI1309[[#This Row],[ALT_KOD]])+AVERAGEIFS(L:L,D:D,DST_123_ÜRETİM_İHTİYAÇ_RAPORU_BURAK_YENI1309[[#This Row],[ALT_KOD]]))</f>
        <v>12.649999999999999</v>
      </c>
      <c r="L2206">
        <v>0</v>
      </c>
      <c r="M2206">
        <f>IF((DST_123_ÜRETİM_İHTİYAÇ_RAPORU_BURAK_YENI1309[[#This Row],[SATINALMA]]*DST_123_ÜRETİM_İHTİYAÇ_RAPORU_BURAK_YENI1309[[#This Row],[BIRIM_FIYATLAR]])&lt;1,VALUE("0"),DST_123_ÜRETİM_İHTİYAÇ_RAPORU_BURAK_YENI1309[[#This Row],[SATINALMA]]*DST_123_ÜRETİM_İHTİYAÇ_RAPORU_BURAK_YENI1309[[#This Row],[BIRIM_FIYATLAR]])</f>
        <v>20523.36</v>
      </c>
      <c r="N2206">
        <v>1622.4</v>
      </c>
      <c r="O2206" t="s">
        <v>261</v>
      </c>
      <c r="P2206">
        <v>1460.1599999999999</v>
      </c>
      <c r="Q2206" t="s">
        <v>183</v>
      </c>
    </row>
    <row r="2207" spans="1:17" x14ac:dyDescent="0.25">
      <c r="A2207" t="s">
        <v>1101</v>
      </c>
      <c r="B2207" t="s">
        <v>1102</v>
      </c>
      <c r="C2207" t="s">
        <v>175</v>
      </c>
      <c r="D2207" t="s">
        <v>728</v>
      </c>
      <c r="E2207" t="s">
        <v>729</v>
      </c>
      <c r="F2207">
        <v>9</v>
      </c>
      <c r="G2207" t="s">
        <v>179</v>
      </c>
      <c r="H2207">
        <v>0</v>
      </c>
      <c r="I2207">
        <v>0</v>
      </c>
      <c r="J2207" s="10">
        <v>344</v>
      </c>
      <c r="K2207" s="10">
        <f>SUMIFS(F:F,D:D,DST_123_ÜRETİM_İHTİYAÇ_RAPORU_BURAK_YENI1309[[#This Row],[ALT_KOD]])-(SUMIFS(H:H,D:D,DST_123_ÜRETİM_İHTİYAÇ_RAPORU_BURAK_YENI1309[[#This Row],[ALT_KOD]])+AVERAGEIFS(I:I,D:D,DST_123_ÜRETİM_İHTİYAÇ_RAPORU_BURAK_YENI1309[[#This Row],[ALT_KOD]])+AVERAGEIFS(L:L,D:D,DST_123_ÜRETİM_İHTİYAÇ_RAPORU_BURAK_YENI1309[[#This Row],[ALT_KOD]]))</f>
        <v>54</v>
      </c>
      <c r="L2207">
        <v>0</v>
      </c>
      <c r="M2207">
        <f>IF((DST_123_ÜRETİM_İHTİYAÇ_RAPORU_BURAK_YENI1309[[#This Row],[SATINALMA]]*DST_123_ÜRETİM_İHTİYAÇ_RAPORU_BURAK_YENI1309[[#This Row],[BIRIM_FIYATLAR]])&lt;1,VALUE("0"),DST_123_ÜRETİM_İHTİYAÇ_RAPORU_BURAK_YENI1309[[#This Row],[SATINALMA]]*DST_123_ÜRETİM_İHTİYAÇ_RAPORU_BURAK_YENI1309[[#This Row],[BIRIM_FIYATLAR]])</f>
        <v>1102.68</v>
      </c>
      <c r="N2207">
        <v>20.420000000000002</v>
      </c>
      <c r="O2207" t="s">
        <v>223</v>
      </c>
      <c r="P2207">
        <v>183.78000000000003</v>
      </c>
      <c r="Q2207" t="s">
        <v>181</v>
      </c>
    </row>
    <row r="2208" spans="1:17" x14ac:dyDescent="0.25">
      <c r="A2208" t="s">
        <v>1147</v>
      </c>
      <c r="B2208" t="s">
        <v>1145</v>
      </c>
      <c r="C2208" t="s">
        <v>175</v>
      </c>
      <c r="D2208" t="s">
        <v>790</v>
      </c>
      <c r="E2208" t="s">
        <v>828</v>
      </c>
      <c r="F2208">
        <v>6</v>
      </c>
      <c r="G2208" t="s">
        <v>179</v>
      </c>
      <c r="H2208">
        <v>0</v>
      </c>
      <c r="I2208">
        <v>100</v>
      </c>
      <c r="J2208" s="10">
        <v>50</v>
      </c>
      <c r="K2208" s="10">
        <f>SUMIFS(F:F,D:D,DST_123_ÜRETİM_İHTİYAÇ_RAPORU_BURAK_YENI1309[[#This Row],[ALT_KOD]])-(SUMIFS(H:H,D:D,DST_123_ÜRETİM_İHTİYAÇ_RAPORU_BURAK_YENI1309[[#This Row],[ALT_KOD]])+AVERAGEIFS(I:I,D:D,DST_123_ÜRETİM_İHTİYAÇ_RAPORU_BURAK_YENI1309[[#This Row],[ALT_KOD]])+AVERAGEIFS(L:L,D:D,DST_123_ÜRETİM_İHTİYAÇ_RAPORU_BURAK_YENI1309[[#This Row],[ALT_KOD]]))</f>
        <v>-16</v>
      </c>
      <c r="L2208">
        <v>0</v>
      </c>
      <c r="M2208">
        <f>IF((DST_123_ÜRETİM_İHTİYAÇ_RAPORU_BURAK_YENI1309[[#This Row],[SATINALMA]]*DST_123_ÜRETİM_İHTİYAÇ_RAPORU_BURAK_YENI1309[[#This Row],[BIRIM_FIYATLAR]])&lt;1,VALUE("0"),DST_123_ÜRETİM_İHTİYAÇ_RAPORU_BURAK_YENI1309[[#This Row],[SATINALMA]]*DST_123_ÜRETİM_İHTİYAÇ_RAPORU_BURAK_YENI1309[[#This Row],[BIRIM_FIYATLAR]])</f>
        <v>0</v>
      </c>
      <c r="N2208">
        <v>46</v>
      </c>
      <c r="O2208" t="s">
        <v>791</v>
      </c>
      <c r="P2208">
        <v>276</v>
      </c>
      <c r="Q2208" t="s">
        <v>221</v>
      </c>
    </row>
    <row r="2209" spans="1:17" x14ac:dyDescent="0.25">
      <c r="A2209" t="s">
        <v>1148</v>
      </c>
      <c r="B2209" t="s">
        <v>1056</v>
      </c>
      <c r="C2209" t="s">
        <v>175</v>
      </c>
      <c r="D2209" t="s">
        <v>1087</v>
      </c>
      <c r="E2209" t="s">
        <v>1088</v>
      </c>
      <c r="F2209">
        <v>1</v>
      </c>
      <c r="G2209" t="s">
        <v>176</v>
      </c>
      <c r="H2209">
        <v>0</v>
      </c>
      <c r="I2209">
        <v>2</v>
      </c>
      <c r="J2209" s="10">
        <v>0</v>
      </c>
      <c r="K2209" s="10">
        <f>SUMIFS(F:F,D:D,DST_123_ÜRETİM_İHTİYAÇ_RAPORU_BURAK_YENI1309[[#This Row],[ALT_KOD]])-(SUMIFS(H:H,D:D,DST_123_ÜRETİM_İHTİYAÇ_RAPORU_BURAK_YENI1309[[#This Row],[ALT_KOD]])+AVERAGEIFS(I:I,D:D,DST_123_ÜRETİM_İHTİYAÇ_RAPORU_BURAK_YENI1309[[#This Row],[ALT_KOD]])+AVERAGEIFS(L:L,D:D,DST_123_ÜRETİM_İHTİYAÇ_RAPORU_BURAK_YENI1309[[#This Row],[ALT_KOD]]))</f>
        <v>-1</v>
      </c>
      <c r="L2209">
        <v>0</v>
      </c>
      <c r="M2209">
        <f>IF((DST_123_ÜRETİM_İHTİYAÇ_RAPORU_BURAK_YENI1309[[#This Row],[SATINALMA]]*DST_123_ÜRETİM_İHTİYAÇ_RAPORU_BURAK_YENI1309[[#This Row],[BIRIM_FIYATLAR]])&lt;1,VALUE("0"),DST_123_ÜRETİM_İHTİYAÇ_RAPORU_BURAK_YENI1309[[#This Row],[SATINALMA]]*DST_123_ÜRETİM_İHTİYAÇ_RAPORU_BURAK_YENI1309[[#This Row],[BIRIM_FIYATLAR]])</f>
        <v>0</v>
      </c>
      <c r="N2209">
        <v>13859.07</v>
      </c>
      <c r="O2209" t="s">
        <v>1054</v>
      </c>
      <c r="P2209">
        <v>13859.07</v>
      </c>
      <c r="Q2209" t="s">
        <v>221</v>
      </c>
    </row>
    <row r="2210" spans="1:17" x14ac:dyDescent="0.25">
      <c r="A2210" t="s">
        <v>1060</v>
      </c>
      <c r="B2210" t="s">
        <v>1061</v>
      </c>
      <c r="C2210" t="s">
        <v>175</v>
      </c>
      <c r="D2210" t="s">
        <v>746</v>
      </c>
      <c r="E2210" t="s">
        <v>747</v>
      </c>
      <c r="F2210">
        <v>2</v>
      </c>
      <c r="G2210" t="s">
        <v>176</v>
      </c>
      <c r="H2210">
        <v>0</v>
      </c>
      <c r="I2210">
        <v>3</v>
      </c>
      <c r="J2210" s="10">
        <v>0</v>
      </c>
      <c r="K2210" s="10">
        <f>SUMIFS(F:F,D:D,DST_123_ÜRETİM_İHTİYAÇ_RAPORU_BURAK_YENI1309[[#This Row],[ALT_KOD]])-(SUMIFS(H:H,D:D,DST_123_ÜRETİM_İHTİYAÇ_RAPORU_BURAK_YENI1309[[#This Row],[ALT_KOD]])+AVERAGEIFS(I:I,D:D,DST_123_ÜRETİM_İHTİYAÇ_RAPORU_BURAK_YENI1309[[#This Row],[ALT_KOD]])+AVERAGEIFS(L:L,D:D,DST_123_ÜRETİM_İHTİYAÇ_RAPORU_BURAK_YENI1309[[#This Row],[ALT_KOD]]))</f>
        <v>13</v>
      </c>
      <c r="L2210">
        <v>0</v>
      </c>
      <c r="M2210">
        <f>IF((DST_123_ÜRETİM_İHTİYAÇ_RAPORU_BURAK_YENI1309[[#This Row],[SATINALMA]]*DST_123_ÜRETİM_İHTİYAÇ_RAPORU_BURAK_YENI1309[[#This Row],[BIRIM_FIYATLAR]])&lt;1,VALUE("0"),DST_123_ÜRETİM_İHTİYAÇ_RAPORU_BURAK_YENI1309[[#This Row],[SATINALMA]]*DST_123_ÜRETİM_İHTİYAÇ_RAPORU_BURAK_YENI1309[[#This Row],[BIRIM_FIYATLAR]])</f>
        <v>702</v>
      </c>
      <c r="N2210">
        <v>54</v>
      </c>
      <c r="O2210" t="s">
        <v>226</v>
      </c>
      <c r="P2210">
        <v>108</v>
      </c>
      <c r="Q2210" t="s">
        <v>180</v>
      </c>
    </row>
    <row r="2211" spans="1:17" x14ac:dyDescent="0.25">
      <c r="A2211" t="s">
        <v>1142</v>
      </c>
      <c r="B2211" t="s">
        <v>1056</v>
      </c>
      <c r="C2211" t="s">
        <v>175</v>
      </c>
      <c r="D2211" t="s">
        <v>746</v>
      </c>
      <c r="E2211" t="s">
        <v>747</v>
      </c>
      <c r="F2211">
        <v>2</v>
      </c>
      <c r="G2211" t="s">
        <v>176</v>
      </c>
      <c r="H2211">
        <v>0</v>
      </c>
      <c r="I2211">
        <v>3</v>
      </c>
      <c r="J2211" s="10">
        <v>0</v>
      </c>
      <c r="K2211" s="10">
        <f>SUMIFS(F:F,D:D,DST_123_ÜRETİM_İHTİYAÇ_RAPORU_BURAK_YENI1309[[#This Row],[ALT_KOD]])-(SUMIFS(H:H,D:D,DST_123_ÜRETİM_İHTİYAÇ_RAPORU_BURAK_YENI1309[[#This Row],[ALT_KOD]])+AVERAGEIFS(I:I,D:D,DST_123_ÜRETİM_İHTİYAÇ_RAPORU_BURAK_YENI1309[[#This Row],[ALT_KOD]])+AVERAGEIFS(L:L,D:D,DST_123_ÜRETİM_İHTİYAÇ_RAPORU_BURAK_YENI1309[[#This Row],[ALT_KOD]]))</f>
        <v>13</v>
      </c>
      <c r="L2211">
        <v>0</v>
      </c>
      <c r="M2211">
        <f>IF((DST_123_ÜRETİM_İHTİYAÇ_RAPORU_BURAK_YENI1309[[#This Row],[SATINALMA]]*DST_123_ÜRETİM_İHTİYAÇ_RAPORU_BURAK_YENI1309[[#This Row],[BIRIM_FIYATLAR]])&lt;1,VALUE("0"),DST_123_ÜRETİM_İHTİYAÇ_RAPORU_BURAK_YENI1309[[#This Row],[SATINALMA]]*DST_123_ÜRETİM_İHTİYAÇ_RAPORU_BURAK_YENI1309[[#This Row],[BIRIM_FIYATLAR]])</f>
        <v>702</v>
      </c>
      <c r="N2211">
        <v>54</v>
      </c>
      <c r="O2211" t="s">
        <v>226</v>
      </c>
      <c r="P2211">
        <v>108</v>
      </c>
      <c r="Q2211" t="s">
        <v>180</v>
      </c>
    </row>
    <row r="2212" spans="1:17" x14ac:dyDescent="0.25">
      <c r="A2212" t="s">
        <v>1095</v>
      </c>
      <c r="B2212" t="s">
        <v>1096</v>
      </c>
      <c r="C2212" t="s">
        <v>175</v>
      </c>
      <c r="D2212" t="s">
        <v>92</v>
      </c>
      <c r="E2212" t="s">
        <v>93</v>
      </c>
      <c r="F2212">
        <v>6</v>
      </c>
      <c r="G2212" t="s">
        <v>176</v>
      </c>
      <c r="H2212">
        <v>0</v>
      </c>
      <c r="I2212">
        <v>105</v>
      </c>
      <c r="J2212" s="10">
        <v>56</v>
      </c>
      <c r="K2212" s="10">
        <f>SUMIFS(F:F,D:D,DST_123_ÜRETİM_İHTİYAÇ_RAPORU_BURAK_YENI1309[[#This Row],[ALT_KOD]])-(SUMIFS(H:H,D:D,DST_123_ÜRETİM_İHTİYAÇ_RAPORU_BURAK_YENI1309[[#This Row],[ALT_KOD]])+AVERAGEIFS(I:I,D:D,DST_123_ÜRETİM_İHTİYAÇ_RAPORU_BURAK_YENI1309[[#This Row],[ALT_KOD]])+AVERAGEIFS(L:L,D:D,DST_123_ÜRETİM_İHTİYAÇ_RAPORU_BURAK_YENI1309[[#This Row],[ALT_KOD]]))</f>
        <v>-8</v>
      </c>
      <c r="L2212">
        <v>0</v>
      </c>
      <c r="M2212">
        <f>IF((DST_123_ÜRETİM_İHTİYAÇ_RAPORU_BURAK_YENI1309[[#This Row],[SATINALMA]]*DST_123_ÜRETİM_İHTİYAÇ_RAPORU_BURAK_YENI1309[[#This Row],[BIRIM_FIYATLAR]])&lt;1,VALUE("0"),DST_123_ÜRETİM_İHTİYAÇ_RAPORU_BURAK_YENI1309[[#This Row],[SATINALMA]]*DST_123_ÜRETİM_İHTİYAÇ_RAPORU_BURAK_YENI1309[[#This Row],[BIRIM_FIYATLAR]])</f>
        <v>0</v>
      </c>
      <c r="N2212">
        <v>72.599999999999994</v>
      </c>
      <c r="O2212" t="s">
        <v>240</v>
      </c>
      <c r="P2212">
        <v>435.59999999999997</v>
      </c>
      <c r="Q2212" t="s">
        <v>178</v>
      </c>
    </row>
    <row r="2213" spans="1:17" x14ac:dyDescent="0.25">
      <c r="A2213" t="s">
        <v>1097</v>
      </c>
      <c r="B2213" t="s">
        <v>1055</v>
      </c>
      <c r="C2213" t="s">
        <v>175</v>
      </c>
      <c r="D2213" t="s">
        <v>92</v>
      </c>
      <c r="E2213" t="s">
        <v>93</v>
      </c>
      <c r="F2213">
        <v>6</v>
      </c>
      <c r="G2213" t="s">
        <v>176</v>
      </c>
      <c r="H2213">
        <v>0</v>
      </c>
      <c r="I2213">
        <v>105</v>
      </c>
      <c r="J2213" s="10">
        <v>56</v>
      </c>
      <c r="K2213" s="10">
        <f>SUMIFS(F:F,D:D,DST_123_ÜRETİM_İHTİYAÇ_RAPORU_BURAK_YENI1309[[#This Row],[ALT_KOD]])-(SUMIFS(H:H,D:D,DST_123_ÜRETİM_İHTİYAÇ_RAPORU_BURAK_YENI1309[[#This Row],[ALT_KOD]])+AVERAGEIFS(I:I,D:D,DST_123_ÜRETİM_İHTİYAÇ_RAPORU_BURAK_YENI1309[[#This Row],[ALT_KOD]])+AVERAGEIFS(L:L,D:D,DST_123_ÜRETİM_İHTİYAÇ_RAPORU_BURAK_YENI1309[[#This Row],[ALT_KOD]]))</f>
        <v>-8</v>
      </c>
      <c r="L2213">
        <v>0</v>
      </c>
      <c r="M2213">
        <f>IF((DST_123_ÜRETİM_İHTİYAÇ_RAPORU_BURAK_YENI1309[[#This Row],[SATINALMA]]*DST_123_ÜRETİM_İHTİYAÇ_RAPORU_BURAK_YENI1309[[#This Row],[BIRIM_FIYATLAR]])&lt;1,VALUE("0"),DST_123_ÜRETİM_İHTİYAÇ_RAPORU_BURAK_YENI1309[[#This Row],[SATINALMA]]*DST_123_ÜRETİM_İHTİYAÇ_RAPORU_BURAK_YENI1309[[#This Row],[BIRIM_FIYATLAR]])</f>
        <v>0</v>
      </c>
      <c r="N2213">
        <v>72.599999999999994</v>
      </c>
      <c r="O2213" t="s">
        <v>240</v>
      </c>
      <c r="P2213">
        <v>435.59999999999997</v>
      </c>
      <c r="Q2213" t="s">
        <v>178</v>
      </c>
    </row>
    <row r="2214" spans="1:17" x14ac:dyDescent="0.25">
      <c r="A2214" t="s">
        <v>1143</v>
      </c>
      <c r="B2214" t="s">
        <v>1056</v>
      </c>
      <c r="C2214" t="s">
        <v>175</v>
      </c>
      <c r="D2214" t="s">
        <v>846</v>
      </c>
      <c r="E2214" t="s">
        <v>847</v>
      </c>
      <c r="F2214">
        <v>6</v>
      </c>
      <c r="G2214" t="s">
        <v>182</v>
      </c>
      <c r="H2214">
        <v>0</v>
      </c>
      <c r="I2214">
        <v>0</v>
      </c>
      <c r="J2214" s="10">
        <v>-1.4210854715202004E-14</v>
      </c>
      <c r="K2214" s="10">
        <f>SUMIFS(F:F,D:D,DST_123_ÜRETİM_İHTİYAÇ_RAPORU_BURAK_YENI1309[[#This Row],[ALT_KOD]])-(SUMIFS(H:H,D:D,DST_123_ÜRETİM_İHTİYAÇ_RAPORU_BURAK_YENI1309[[#This Row],[ALT_KOD]])+AVERAGEIFS(I:I,D:D,DST_123_ÜRETİM_İHTİYAÇ_RAPORU_BURAK_YENI1309[[#This Row],[ALT_KOD]])+AVERAGEIFS(L:L,D:D,DST_123_ÜRETİM_İHTİYAÇ_RAPORU_BURAK_YENI1309[[#This Row],[ALT_KOD]]))</f>
        <v>52</v>
      </c>
      <c r="L2214">
        <v>0</v>
      </c>
      <c r="M2214">
        <f>IF((DST_123_ÜRETİM_İHTİYAÇ_RAPORU_BURAK_YENI1309[[#This Row],[SATINALMA]]*DST_123_ÜRETİM_İHTİYAÇ_RAPORU_BURAK_YENI1309[[#This Row],[BIRIM_FIYATLAR]])&lt;1,VALUE("0"),DST_123_ÜRETİM_İHTİYAÇ_RAPORU_BURAK_YENI1309[[#This Row],[SATINALMA]]*DST_123_ÜRETİM_İHTİYAÇ_RAPORU_BURAK_YENI1309[[#This Row],[BIRIM_FIYATLAR]])</f>
        <v>28423.200000000001</v>
      </c>
      <c r="N2214">
        <v>546.6</v>
      </c>
      <c r="O2214" t="s">
        <v>253</v>
      </c>
      <c r="P2214">
        <v>3279.6000000000004</v>
      </c>
      <c r="Q2214" t="s">
        <v>181</v>
      </c>
    </row>
    <row r="2215" spans="1:17" x14ac:dyDescent="0.25">
      <c r="A2215" t="s">
        <v>1059</v>
      </c>
      <c r="B2215" t="s">
        <v>1058</v>
      </c>
      <c r="C2215" t="s">
        <v>175</v>
      </c>
      <c r="D2215" t="s">
        <v>846</v>
      </c>
      <c r="E2215" t="s">
        <v>847</v>
      </c>
      <c r="F2215">
        <v>2</v>
      </c>
      <c r="G2215" t="s">
        <v>182</v>
      </c>
      <c r="H2215">
        <v>0</v>
      </c>
      <c r="I2215">
        <v>0</v>
      </c>
      <c r="J2215" s="10">
        <v>-1.4210854715202004E-14</v>
      </c>
      <c r="K2215" s="10">
        <f>SUMIFS(F:F,D:D,DST_123_ÜRETİM_İHTİYAÇ_RAPORU_BURAK_YENI1309[[#This Row],[ALT_KOD]])-(SUMIFS(H:H,D:D,DST_123_ÜRETİM_İHTİYAÇ_RAPORU_BURAK_YENI1309[[#This Row],[ALT_KOD]])+AVERAGEIFS(I:I,D:D,DST_123_ÜRETİM_İHTİYAÇ_RAPORU_BURAK_YENI1309[[#This Row],[ALT_KOD]])+AVERAGEIFS(L:L,D:D,DST_123_ÜRETİM_İHTİYAÇ_RAPORU_BURAK_YENI1309[[#This Row],[ALT_KOD]]))</f>
        <v>52</v>
      </c>
      <c r="L2215">
        <v>0</v>
      </c>
      <c r="M2215">
        <f>IF((DST_123_ÜRETİM_İHTİYAÇ_RAPORU_BURAK_YENI1309[[#This Row],[SATINALMA]]*DST_123_ÜRETİM_İHTİYAÇ_RAPORU_BURAK_YENI1309[[#This Row],[BIRIM_FIYATLAR]])&lt;1,VALUE("0"),DST_123_ÜRETİM_İHTİYAÇ_RAPORU_BURAK_YENI1309[[#This Row],[SATINALMA]]*DST_123_ÜRETİM_İHTİYAÇ_RAPORU_BURAK_YENI1309[[#This Row],[BIRIM_FIYATLAR]])</f>
        <v>28423.200000000001</v>
      </c>
      <c r="N2215">
        <v>546.6</v>
      </c>
      <c r="O2215" t="s">
        <v>253</v>
      </c>
      <c r="P2215">
        <v>1093.2</v>
      </c>
      <c r="Q2215" t="s">
        <v>181</v>
      </c>
    </row>
    <row r="2216" spans="1:17" x14ac:dyDescent="0.25">
      <c r="A2216" t="s">
        <v>1150</v>
      </c>
      <c r="B2216" t="s">
        <v>1145</v>
      </c>
      <c r="C2216" t="s">
        <v>175</v>
      </c>
      <c r="D2216" t="s">
        <v>202</v>
      </c>
      <c r="E2216" t="s">
        <v>203</v>
      </c>
      <c r="F2216">
        <v>0.10100000000000001</v>
      </c>
      <c r="G2216" t="s">
        <v>179</v>
      </c>
      <c r="H2216">
        <v>0</v>
      </c>
      <c r="I2216">
        <v>50</v>
      </c>
      <c r="J2216" s="10">
        <v>-1.4210854715202004E-14</v>
      </c>
      <c r="K2216" s="10">
        <f>SUMIFS(F:F,D:D,DST_123_ÜRETİM_İHTİYAÇ_RAPORU_BURAK_YENI1309[[#This Row],[ALT_KOD]])-(SUMIFS(H:H,D:D,DST_123_ÜRETİM_İHTİYAÇ_RAPORU_BURAK_YENI1309[[#This Row],[ALT_KOD]])+AVERAGEIFS(I:I,D:D,DST_123_ÜRETİM_İHTİYAÇ_RAPORU_BURAK_YENI1309[[#This Row],[ALT_KOD]])+AVERAGEIFS(L:L,D:D,DST_123_ÜRETİM_İHTİYAÇ_RAPORU_BURAK_YENI1309[[#This Row],[ALT_KOD]]))</f>
        <v>-47.386000000000003</v>
      </c>
      <c r="L2216">
        <v>0</v>
      </c>
      <c r="M2216">
        <f>IF((DST_123_ÜRETİM_İHTİYAÇ_RAPORU_BURAK_YENI1309[[#This Row],[SATINALMA]]*DST_123_ÜRETİM_İHTİYAÇ_RAPORU_BURAK_YENI1309[[#This Row],[BIRIM_FIYATLAR]])&lt;1,VALUE("0"),DST_123_ÜRETİM_İHTİYAÇ_RAPORU_BURAK_YENI1309[[#This Row],[SATINALMA]]*DST_123_ÜRETİM_İHTİYAÇ_RAPORU_BURAK_YENI1309[[#This Row],[BIRIM_FIYATLAR]])</f>
        <v>0</v>
      </c>
      <c r="N2216">
        <v>10.61</v>
      </c>
      <c r="O2216" t="s">
        <v>235</v>
      </c>
      <c r="P2216">
        <v>1.07161</v>
      </c>
      <c r="Q2216" t="s">
        <v>221</v>
      </c>
    </row>
    <row r="2217" spans="1:17" x14ac:dyDescent="0.25">
      <c r="A2217" t="s">
        <v>1150</v>
      </c>
      <c r="B2217" t="s">
        <v>1145</v>
      </c>
      <c r="C2217" t="s">
        <v>175</v>
      </c>
      <c r="D2217" t="s">
        <v>697</v>
      </c>
      <c r="E2217" t="s">
        <v>698</v>
      </c>
      <c r="F2217">
        <v>1</v>
      </c>
      <c r="G2217" t="s">
        <v>176</v>
      </c>
      <c r="H2217">
        <v>0</v>
      </c>
      <c r="I2217">
        <v>6</v>
      </c>
      <c r="J2217" s="10">
        <v>5</v>
      </c>
      <c r="K2217" s="10">
        <f>SUMIFS(F:F,D:D,DST_123_ÜRETİM_İHTİYAÇ_RAPORU_BURAK_YENI1309[[#This Row],[ALT_KOD]])-(SUMIFS(H:H,D:D,DST_123_ÜRETİM_İHTİYAÇ_RAPORU_BURAK_YENI1309[[#This Row],[ALT_KOD]])+AVERAGEIFS(I:I,D:D,DST_123_ÜRETİM_İHTİYAÇ_RAPORU_BURAK_YENI1309[[#This Row],[ALT_KOD]])+AVERAGEIFS(L:L,D:D,DST_123_ÜRETİM_İHTİYAÇ_RAPORU_BURAK_YENI1309[[#This Row],[ALT_KOD]]))</f>
        <v>5</v>
      </c>
      <c r="L2217">
        <v>0</v>
      </c>
      <c r="M2217">
        <f>IF((DST_123_ÜRETİM_İHTİYAÇ_RAPORU_BURAK_YENI1309[[#This Row],[SATINALMA]]*DST_123_ÜRETİM_İHTİYAÇ_RAPORU_BURAK_YENI1309[[#This Row],[BIRIM_FIYATLAR]])&lt;1,VALUE("0"),DST_123_ÜRETİM_İHTİYAÇ_RAPORU_BURAK_YENI1309[[#This Row],[SATINALMA]]*DST_123_ÜRETİM_İHTİYAÇ_RAPORU_BURAK_YENI1309[[#This Row],[BIRIM_FIYATLAR]])</f>
        <v>11000</v>
      </c>
      <c r="N2217">
        <v>2200</v>
      </c>
      <c r="O2217" t="s">
        <v>251</v>
      </c>
      <c r="P2217">
        <v>2200</v>
      </c>
      <c r="Q2217" t="s">
        <v>178</v>
      </c>
    </row>
    <row r="2218" spans="1:17" x14ac:dyDescent="0.25">
      <c r="A2218" t="s">
        <v>1149</v>
      </c>
      <c r="B2218" t="s">
        <v>1145</v>
      </c>
      <c r="C2218" t="s">
        <v>175</v>
      </c>
      <c r="D2218" t="s">
        <v>697</v>
      </c>
      <c r="E2218" t="s">
        <v>698</v>
      </c>
      <c r="F2218">
        <v>1</v>
      </c>
      <c r="G2218" t="s">
        <v>176</v>
      </c>
      <c r="H2218">
        <v>0</v>
      </c>
      <c r="I2218">
        <v>6</v>
      </c>
      <c r="J2218" s="10">
        <v>5</v>
      </c>
      <c r="K2218" s="10">
        <f>SUMIFS(F:F,D:D,DST_123_ÜRETİM_İHTİYAÇ_RAPORU_BURAK_YENI1309[[#This Row],[ALT_KOD]])-(SUMIFS(H:H,D:D,DST_123_ÜRETİM_İHTİYAÇ_RAPORU_BURAK_YENI1309[[#This Row],[ALT_KOD]])+AVERAGEIFS(I:I,D:D,DST_123_ÜRETİM_İHTİYAÇ_RAPORU_BURAK_YENI1309[[#This Row],[ALT_KOD]])+AVERAGEIFS(L:L,D:D,DST_123_ÜRETİM_İHTİYAÇ_RAPORU_BURAK_YENI1309[[#This Row],[ALT_KOD]]))</f>
        <v>5</v>
      </c>
      <c r="L2218">
        <v>0</v>
      </c>
      <c r="M2218">
        <f>IF((DST_123_ÜRETİM_İHTİYAÇ_RAPORU_BURAK_YENI1309[[#This Row],[SATINALMA]]*DST_123_ÜRETİM_İHTİYAÇ_RAPORU_BURAK_YENI1309[[#This Row],[BIRIM_FIYATLAR]])&lt;1,VALUE("0"),DST_123_ÜRETİM_İHTİYAÇ_RAPORU_BURAK_YENI1309[[#This Row],[SATINALMA]]*DST_123_ÜRETİM_İHTİYAÇ_RAPORU_BURAK_YENI1309[[#This Row],[BIRIM_FIYATLAR]])</f>
        <v>11000</v>
      </c>
      <c r="N2218">
        <v>2200</v>
      </c>
      <c r="O2218" t="s">
        <v>251</v>
      </c>
      <c r="P2218">
        <v>2200</v>
      </c>
      <c r="Q2218" t="s">
        <v>178</v>
      </c>
    </row>
    <row r="2219" spans="1:17" x14ac:dyDescent="0.25">
      <c r="A2219" t="s">
        <v>1144</v>
      </c>
      <c r="B2219" t="s">
        <v>1145</v>
      </c>
      <c r="C2219" t="s">
        <v>175</v>
      </c>
      <c r="D2219" t="s">
        <v>108</v>
      </c>
      <c r="E2219" t="s">
        <v>109</v>
      </c>
      <c r="F2219">
        <v>1</v>
      </c>
      <c r="G2219" t="s">
        <v>176</v>
      </c>
      <c r="H2219">
        <v>0</v>
      </c>
      <c r="I2219">
        <v>0</v>
      </c>
      <c r="J2219" s="10">
        <v>5.5699999999999994</v>
      </c>
      <c r="K2219" s="10">
        <f>SUMIFS(F:F,D:D,DST_123_ÜRETİM_İHTİYAÇ_RAPORU_BURAK_YENI1309[[#This Row],[ALT_KOD]])-(SUMIFS(H:H,D:D,DST_123_ÜRETİM_İHTİYAÇ_RAPORU_BURAK_YENI1309[[#This Row],[ALT_KOD]])+AVERAGEIFS(I:I,D:D,DST_123_ÜRETİM_İHTİYAÇ_RAPORU_BURAK_YENI1309[[#This Row],[ALT_KOD]])+AVERAGEIFS(L:L,D:D,DST_123_ÜRETİM_İHTİYAÇ_RAPORU_BURAK_YENI1309[[#This Row],[ALT_KOD]]))</f>
        <v>-2</v>
      </c>
      <c r="L2219">
        <v>7</v>
      </c>
      <c r="M2219">
        <f>IF((DST_123_ÜRETİM_İHTİYAÇ_RAPORU_BURAK_YENI1309[[#This Row],[SATINALMA]]*DST_123_ÜRETİM_İHTİYAÇ_RAPORU_BURAK_YENI1309[[#This Row],[BIRIM_FIYATLAR]])&lt;1,VALUE("0"),DST_123_ÜRETİM_İHTİYAÇ_RAPORU_BURAK_YENI1309[[#This Row],[SATINALMA]]*DST_123_ÜRETİM_İHTİYAÇ_RAPORU_BURAK_YENI1309[[#This Row],[BIRIM_FIYATLAR]])</f>
        <v>0</v>
      </c>
      <c r="N2219">
        <v>1416.67</v>
      </c>
      <c r="O2219" t="s">
        <v>223</v>
      </c>
      <c r="P2219">
        <v>1416.67</v>
      </c>
      <c r="Q2219" t="s">
        <v>181</v>
      </c>
    </row>
    <row r="2220" spans="1:17" x14ac:dyDescent="0.25">
      <c r="A2220" t="s">
        <v>1196</v>
      </c>
      <c r="B2220" t="s">
        <v>1197</v>
      </c>
      <c r="C2220" t="s">
        <v>175</v>
      </c>
      <c r="D2220" t="s">
        <v>202</v>
      </c>
      <c r="E2220" t="s">
        <v>203</v>
      </c>
      <c r="F2220">
        <v>0.10100000000000001</v>
      </c>
      <c r="G2220" t="s">
        <v>179</v>
      </c>
      <c r="H2220">
        <v>0</v>
      </c>
      <c r="I2220">
        <v>50</v>
      </c>
      <c r="J2220" s="10">
        <v>-1.4210854715202004E-14</v>
      </c>
      <c r="K2220" s="10">
        <f>SUMIFS(F:F,D:D,DST_123_ÜRETİM_İHTİYAÇ_RAPORU_BURAK_YENI1309[[#This Row],[ALT_KOD]])-(SUMIFS(H:H,D:D,DST_123_ÜRETİM_İHTİYAÇ_RAPORU_BURAK_YENI1309[[#This Row],[ALT_KOD]])+AVERAGEIFS(I:I,D:D,DST_123_ÜRETİM_İHTİYAÇ_RAPORU_BURAK_YENI1309[[#This Row],[ALT_KOD]])+AVERAGEIFS(L:L,D:D,DST_123_ÜRETİM_İHTİYAÇ_RAPORU_BURAK_YENI1309[[#This Row],[ALT_KOD]]))</f>
        <v>-47.386000000000003</v>
      </c>
      <c r="L2220">
        <v>0</v>
      </c>
      <c r="M2220">
        <f>IF((DST_123_ÜRETİM_İHTİYAÇ_RAPORU_BURAK_YENI1309[[#This Row],[SATINALMA]]*DST_123_ÜRETİM_İHTİYAÇ_RAPORU_BURAK_YENI1309[[#This Row],[BIRIM_FIYATLAR]])&lt;1,VALUE("0"),DST_123_ÜRETİM_İHTİYAÇ_RAPORU_BURAK_YENI1309[[#This Row],[SATINALMA]]*DST_123_ÜRETİM_İHTİYAÇ_RAPORU_BURAK_YENI1309[[#This Row],[BIRIM_FIYATLAR]])</f>
        <v>0</v>
      </c>
      <c r="N2220">
        <v>10.61</v>
      </c>
      <c r="O2220" t="s">
        <v>235</v>
      </c>
      <c r="P2220">
        <v>1.07161</v>
      </c>
      <c r="Q2220" t="s">
        <v>221</v>
      </c>
    </row>
    <row r="2221" spans="1:17" x14ac:dyDescent="0.25">
      <c r="A2221" t="s">
        <v>1099</v>
      </c>
      <c r="B2221" t="s">
        <v>1055</v>
      </c>
      <c r="C2221" t="s">
        <v>175</v>
      </c>
      <c r="D2221" t="s">
        <v>202</v>
      </c>
      <c r="E2221" t="s">
        <v>203</v>
      </c>
      <c r="F2221">
        <v>0.2</v>
      </c>
      <c r="G2221" t="s">
        <v>179</v>
      </c>
      <c r="H2221">
        <v>0</v>
      </c>
      <c r="I2221">
        <v>50</v>
      </c>
      <c r="J2221" s="10">
        <v>-1.4210854715202004E-14</v>
      </c>
      <c r="K2221" s="10">
        <f>SUMIFS(F:F,D:D,DST_123_ÜRETİM_İHTİYAÇ_RAPORU_BURAK_YENI1309[[#This Row],[ALT_KOD]])-(SUMIFS(H:H,D:D,DST_123_ÜRETİM_İHTİYAÇ_RAPORU_BURAK_YENI1309[[#This Row],[ALT_KOD]])+AVERAGEIFS(I:I,D:D,DST_123_ÜRETİM_İHTİYAÇ_RAPORU_BURAK_YENI1309[[#This Row],[ALT_KOD]])+AVERAGEIFS(L:L,D:D,DST_123_ÜRETİM_İHTİYAÇ_RAPORU_BURAK_YENI1309[[#This Row],[ALT_KOD]]))</f>
        <v>-47.386000000000003</v>
      </c>
      <c r="L2221">
        <v>0</v>
      </c>
      <c r="M2221">
        <f>IF((DST_123_ÜRETİM_İHTİYAÇ_RAPORU_BURAK_YENI1309[[#This Row],[SATINALMA]]*DST_123_ÜRETİM_İHTİYAÇ_RAPORU_BURAK_YENI1309[[#This Row],[BIRIM_FIYATLAR]])&lt;1,VALUE("0"),DST_123_ÜRETİM_İHTİYAÇ_RAPORU_BURAK_YENI1309[[#This Row],[SATINALMA]]*DST_123_ÜRETİM_İHTİYAÇ_RAPORU_BURAK_YENI1309[[#This Row],[BIRIM_FIYATLAR]])</f>
        <v>0</v>
      </c>
      <c r="N2221">
        <v>10.61</v>
      </c>
      <c r="O2221" t="s">
        <v>235</v>
      </c>
      <c r="P2221">
        <v>2.1219999999999999</v>
      </c>
      <c r="Q2221" t="s">
        <v>221</v>
      </c>
    </row>
    <row r="2222" spans="1:17" x14ac:dyDescent="0.25">
      <c r="A2222" t="s">
        <v>1196</v>
      </c>
      <c r="B2222" t="s">
        <v>1197</v>
      </c>
      <c r="C2222" t="s">
        <v>175</v>
      </c>
      <c r="D2222" t="s">
        <v>516</v>
      </c>
      <c r="E2222" t="s">
        <v>517</v>
      </c>
      <c r="F2222">
        <v>1.5</v>
      </c>
      <c r="G2222" t="s">
        <v>176</v>
      </c>
      <c r="H2222">
        <v>0</v>
      </c>
      <c r="I2222">
        <v>91</v>
      </c>
      <c r="J2222" s="10">
        <v>17.799999999999997</v>
      </c>
      <c r="K2222" s="10">
        <f>SUMIFS(F:F,D:D,DST_123_ÜRETİM_İHTİYAÇ_RAPORU_BURAK_YENI1309[[#This Row],[ALT_KOD]])-(SUMIFS(H:H,D:D,DST_123_ÜRETİM_İHTİYAÇ_RAPORU_BURAK_YENI1309[[#This Row],[ALT_KOD]])+AVERAGEIFS(I:I,D:D,DST_123_ÜRETİM_İHTİYAÇ_RAPORU_BURAK_YENI1309[[#This Row],[ALT_KOD]])+AVERAGEIFS(L:L,D:D,DST_123_ÜRETİM_İHTİYAÇ_RAPORU_BURAK_YENI1309[[#This Row],[ALT_KOD]]))</f>
        <v>-74.5</v>
      </c>
      <c r="L2222">
        <v>0</v>
      </c>
      <c r="M2222">
        <f>IF((DST_123_ÜRETİM_İHTİYAÇ_RAPORU_BURAK_YENI1309[[#This Row],[SATINALMA]]*DST_123_ÜRETİM_İHTİYAÇ_RAPORU_BURAK_YENI1309[[#This Row],[BIRIM_FIYATLAR]])&lt;1,VALUE("0"),DST_123_ÜRETİM_İHTİYAÇ_RAPORU_BURAK_YENI1309[[#This Row],[SATINALMA]]*DST_123_ÜRETİM_İHTİYAÇ_RAPORU_BURAK_YENI1309[[#This Row],[BIRIM_FIYATLAR]])</f>
        <v>0</v>
      </c>
      <c r="N2222">
        <v>85</v>
      </c>
      <c r="O2222" t="s">
        <v>346</v>
      </c>
      <c r="P2222">
        <v>127.5</v>
      </c>
      <c r="Q2222" t="s">
        <v>180</v>
      </c>
    </row>
    <row r="2223" spans="1:17" x14ac:dyDescent="0.25">
      <c r="A2223" t="s">
        <v>1146</v>
      </c>
      <c r="B2223" t="s">
        <v>1145</v>
      </c>
      <c r="C2223" t="s">
        <v>175</v>
      </c>
      <c r="D2223" t="s">
        <v>137</v>
      </c>
      <c r="E2223" t="s">
        <v>138</v>
      </c>
      <c r="F2223">
        <v>2</v>
      </c>
      <c r="G2223" t="s">
        <v>176</v>
      </c>
      <c r="H2223">
        <v>2</v>
      </c>
      <c r="I2223">
        <v>23</v>
      </c>
      <c r="J2223" s="10">
        <v>22</v>
      </c>
      <c r="K2223" s="10">
        <f>SUMIFS(F:F,D:D,DST_123_ÜRETİM_İHTİYAÇ_RAPORU_BURAK_YENI1309[[#This Row],[ALT_KOD]])-(SUMIFS(H:H,D:D,DST_123_ÜRETİM_İHTİYAÇ_RAPORU_BURAK_YENI1309[[#This Row],[ALT_KOD]])+AVERAGEIFS(I:I,D:D,DST_123_ÜRETİM_İHTİYAÇ_RAPORU_BURAK_YENI1309[[#This Row],[ALT_KOD]])+AVERAGEIFS(L:L,D:D,DST_123_ÜRETİM_İHTİYAÇ_RAPORU_BURAK_YENI1309[[#This Row],[ALT_KOD]]))</f>
        <v>1</v>
      </c>
      <c r="L2223">
        <v>0</v>
      </c>
      <c r="M2223">
        <f>IF((DST_123_ÜRETİM_İHTİYAÇ_RAPORU_BURAK_YENI1309[[#This Row],[SATINALMA]]*DST_123_ÜRETİM_İHTİYAÇ_RAPORU_BURAK_YENI1309[[#This Row],[BIRIM_FIYATLAR]])&lt;1,VALUE("0"),DST_123_ÜRETİM_İHTİYAÇ_RAPORU_BURAK_YENI1309[[#This Row],[SATINALMA]]*DST_123_ÜRETİM_İHTİYAÇ_RAPORU_BURAK_YENI1309[[#This Row],[BIRIM_FIYATLAR]])</f>
        <v>73.349999999999994</v>
      </c>
      <c r="N2223">
        <v>73.349999999999994</v>
      </c>
      <c r="O2223" t="s">
        <v>227</v>
      </c>
      <c r="P2223">
        <v>146.69999999999999</v>
      </c>
      <c r="Q2223" t="s">
        <v>221</v>
      </c>
    </row>
    <row r="2224" spans="1:17" x14ac:dyDescent="0.25">
      <c r="A2224" t="s">
        <v>1150</v>
      </c>
      <c r="B2224" t="s">
        <v>1145</v>
      </c>
      <c r="C2224" t="s">
        <v>175</v>
      </c>
      <c r="D2224" t="s">
        <v>516</v>
      </c>
      <c r="E2224" t="s">
        <v>517</v>
      </c>
      <c r="F2224">
        <v>1.5</v>
      </c>
      <c r="G2224" t="s">
        <v>176</v>
      </c>
      <c r="H2224">
        <v>0</v>
      </c>
      <c r="I2224">
        <v>91</v>
      </c>
      <c r="J2224" s="10">
        <v>17.799999999999997</v>
      </c>
      <c r="K2224" s="10">
        <f>SUMIFS(F:F,D:D,DST_123_ÜRETİM_İHTİYAÇ_RAPORU_BURAK_YENI1309[[#This Row],[ALT_KOD]])-(SUMIFS(H:H,D:D,DST_123_ÜRETİM_İHTİYAÇ_RAPORU_BURAK_YENI1309[[#This Row],[ALT_KOD]])+AVERAGEIFS(I:I,D:D,DST_123_ÜRETİM_İHTİYAÇ_RAPORU_BURAK_YENI1309[[#This Row],[ALT_KOD]])+AVERAGEIFS(L:L,D:D,DST_123_ÜRETİM_İHTİYAÇ_RAPORU_BURAK_YENI1309[[#This Row],[ALT_KOD]]))</f>
        <v>-74.5</v>
      </c>
      <c r="L2224">
        <v>0</v>
      </c>
      <c r="M2224">
        <f>IF((DST_123_ÜRETİM_İHTİYAÇ_RAPORU_BURAK_YENI1309[[#This Row],[SATINALMA]]*DST_123_ÜRETİM_İHTİYAÇ_RAPORU_BURAK_YENI1309[[#This Row],[BIRIM_FIYATLAR]])&lt;1,VALUE("0"),DST_123_ÜRETİM_İHTİYAÇ_RAPORU_BURAK_YENI1309[[#This Row],[SATINALMA]]*DST_123_ÜRETİM_İHTİYAÇ_RAPORU_BURAK_YENI1309[[#This Row],[BIRIM_FIYATLAR]])</f>
        <v>0</v>
      </c>
      <c r="N2224">
        <v>85</v>
      </c>
      <c r="O2224" t="s">
        <v>346</v>
      </c>
      <c r="P2224">
        <v>127.5</v>
      </c>
      <c r="Q2224" t="s">
        <v>180</v>
      </c>
    </row>
    <row r="2225" spans="1:17" x14ac:dyDescent="0.25">
      <c r="A2225" t="s">
        <v>1099</v>
      </c>
      <c r="B2225" t="s">
        <v>1055</v>
      </c>
      <c r="C2225" t="s">
        <v>175</v>
      </c>
      <c r="D2225" t="s">
        <v>121</v>
      </c>
      <c r="E2225" t="s">
        <v>122</v>
      </c>
      <c r="F2225">
        <v>29</v>
      </c>
      <c r="G2225" t="s">
        <v>179</v>
      </c>
      <c r="H2225">
        <v>0</v>
      </c>
      <c r="I2225">
        <v>150</v>
      </c>
      <c r="J2225" s="10">
        <v>50</v>
      </c>
      <c r="K2225" s="10">
        <f>SUMIFS(F:F,D:D,DST_123_ÜRETİM_İHTİYAÇ_RAPORU_BURAK_YENI1309[[#This Row],[ALT_KOD]])-(SUMIFS(H:H,D:D,DST_123_ÜRETİM_İHTİYAÇ_RAPORU_BURAK_YENI1309[[#This Row],[ALT_KOD]])+AVERAGEIFS(I:I,D:D,DST_123_ÜRETİM_İHTİYAÇ_RAPORU_BURAK_YENI1309[[#This Row],[ALT_KOD]])+AVERAGEIFS(L:L,D:D,DST_123_ÜRETİM_İHTİYAÇ_RAPORU_BURAK_YENI1309[[#This Row],[ALT_KOD]]))</f>
        <v>71</v>
      </c>
      <c r="L2225">
        <v>0</v>
      </c>
      <c r="M2225">
        <f>IF((DST_123_ÜRETİM_İHTİYAÇ_RAPORU_BURAK_YENI1309[[#This Row],[SATINALMA]]*DST_123_ÜRETİM_İHTİYAÇ_RAPORU_BURAK_YENI1309[[#This Row],[BIRIM_FIYATLAR]])&lt;1,VALUE("0"),DST_123_ÜRETİM_İHTİYAÇ_RAPORU_BURAK_YENI1309[[#This Row],[SATINALMA]]*DST_123_ÜRETİM_İHTİYAÇ_RAPORU_BURAK_YENI1309[[#This Row],[BIRIM_FIYATLAR]])</f>
        <v>22720</v>
      </c>
      <c r="N2225">
        <v>320</v>
      </c>
      <c r="O2225" t="s">
        <v>1151</v>
      </c>
      <c r="P2225">
        <v>9280</v>
      </c>
      <c r="Q2225" t="s">
        <v>184</v>
      </c>
    </row>
    <row r="2226" spans="1:17" x14ac:dyDescent="0.25">
      <c r="A2226" t="s">
        <v>1149</v>
      </c>
      <c r="B2226" t="s">
        <v>1145</v>
      </c>
      <c r="C2226" t="s">
        <v>175</v>
      </c>
      <c r="D2226" t="s">
        <v>108</v>
      </c>
      <c r="E2226" t="s">
        <v>109</v>
      </c>
      <c r="F2226">
        <v>1</v>
      </c>
      <c r="G2226" t="s">
        <v>176</v>
      </c>
      <c r="H2226">
        <v>0</v>
      </c>
      <c r="I2226">
        <v>0</v>
      </c>
      <c r="J2226" s="10">
        <v>5.5699999999999994</v>
      </c>
      <c r="K2226" s="10">
        <f>SUMIFS(F:F,D:D,DST_123_ÜRETİM_İHTİYAÇ_RAPORU_BURAK_YENI1309[[#This Row],[ALT_KOD]])-(SUMIFS(H:H,D:D,DST_123_ÜRETİM_İHTİYAÇ_RAPORU_BURAK_YENI1309[[#This Row],[ALT_KOD]])+AVERAGEIFS(I:I,D:D,DST_123_ÜRETİM_İHTİYAÇ_RAPORU_BURAK_YENI1309[[#This Row],[ALT_KOD]])+AVERAGEIFS(L:L,D:D,DST_123_ÜRETİM_İHTİYAÇ_RAPORU_BURAK_YENI1309[[#This Row],[ALT_KOD]]))</f>
        <v>-2</v>
      </c>
      <c r="L2226">
        <v>7</v>
      </c>
      <c r="M2226">
        <f>IF((DST_123_ÜRETİM_İHTİYAÇ_RAPORU_BURAK_YENI1309[[#This Row],[SATINALMA]]*DST_123_ÜRETİM_İHTİYAÇ_RAPORU_BURAK_YENI1309[[#This Row],[BIRIM_FIYATLAR]])&lt;1,VALUE("0"),DST_123_ÜRETİM_İHTİYAÇ_RAPORU_BURAK_YENI1309[[#This Row],[SATINALMA]]*DST_123_ÜRETİM_İHTİYAÇ_RAPORU_BURAK_YENI1309[[#This Row],[BIRIM_FIYATLAR]])</f>
        <v>0</v>
      </c>
      <c r="N2226">
        <v>1416.67</v>
      </c>
      <c r="O2226" t="s">
        <v>223</v>
      </c>
      <c r="P2226">
        <v>1416.67</v>
      </c>
      <c r="Q2226" t="s">
        <v>181</v>
      </c>
    </row>
    <row r="2227" spans="1:17" x14ac:dyDescent="0.25">
      <c r="A2227" t="s">
        <v>1064</v>
      </c>
      <c r="B2227" t="s">
        <v>1055</v>
      </c>
      <c r="C2227" t="s">
        <v>175</v>
      </c>
      <c r="D2227" t="s">
        <v>121</v>
      </c>
      <c r="E2227" t="s">
        <v>122</v>
      </c>
      <c r="F2227">
        <v>32</v>
      </c>
      <c r="G2227" t="s">
        <v>179</v>
      </c>
      <c r="H2227">
        <v>0</v>
      </c>
      <c r="I2227">
        <v>150</v>
      </c>
      <c r="J2227" s="10">
        <v>50</v>
      </c>
      <c r="K2227" s="10">
        <f>SUMIFS(F:F,D:D,DST_123_ÜRETİM_İHTİYAÇ_RAPORU_BURAK_YENI1309[[#This Row],[ALT_KOD]])-(SUMIFS(H:H,D:D,DST_123_ÜRETİM_İHTİYAÇ_RAPORU_BURAK_YENI1309[[#This Row],[ALT_KOD]])+AVERAGEIFS(I:I,D:D,DST_123_ÜRETİM_İHTİYAÇ_RAPORU_BURAK_YENI1309[[#This Row],[ALT_KOD]])+AVERAGEIFS(L:L,D:D,DST_123_ÜRETİM_İHTİYAÇ_RAPORU_BURAK_YENI1309[[#This Row],[ALT_KOD]]))</f>
        <v>71</v>
      </c>
      <c r="L2227">
        <v>0</v>
      </c>
      <c r="M2227">
        <f>IF((DST_123_ÜRETİM_İHTİYAÇ_RAPORU_BURAK_YENI1309[[#This Row],[SATINALMA]]*DST_123_ÜRETİM_İHTİYAÇ_RAPORU_BURAK_YENI1309[[#This Row],[BIRIM_FIYATLAR]])&lt;1,VALUE("0"),DST_123_ÜRETİM_İHTİYAÇ_RAPORU_BURAK_YENI1309[[#This Row],[SATINALMA]]*DST_123_ÜRETİM_İHTİYAÇ_RAPORU_BURAK_YENI1309[[#This Row],[BIRIM_FIYATLAR]])</f>
        <v>22720</v>
      </c>
      <c r="N2227">
        <v>320</v>
      </c>
      <c r="O2227" t="s">
        <v>1151</v>
      </c>
      <c r="P2227">
        <v>10240</v>
      </c>
      <c r="Q2227" t="s">
        <v>184</v>
      </c>
    </row>
    <row r="2228" spans="1:17" x14ac:dyDescent="0.25">
      <c r="A2228" t="s">
        <v>1064</v>
      </c>
      <c r="B2228" t="s">
        <v>1055</v>
      </c>
      <c r="C2228" t="s">
        <v>175</v>
      </c>
      <c r="D2228" t="s">
        <v>202</v>
      </c>
      <c r="E2228" t="s">
        <v>203</v>
      </c>
      <c r="F2228">
        <v>0.30000000000000004</v>
      </c>
      <c r="G2228" t="s">
        <v>179</v>
      </c>
      <c r="H2228">
        <v>0</v>
      </c>
      <c r="I2228">
        <v>50</v>
      </c>
      <c r="J2228" s="10">
        <v>-1.4210854715202004E-14</v>
      </c>
      <c r="K2228" s="10">
        <f>SUMIFS(F:F,D:D,DST_123_ÜRETİM_İHTİYAÇ_RAPORU_BURAK_YENI1309[[#This Row],[ALT_KOD]])-(SUMIFS(H:H,D:D,DST_123_ÜRETİM_İHTİYAÇ_RAPORU_BURAK_YENI1309[[#This Row],[ALT_KOD]])+AVERAGEIFS(I:I,D:D,DST_123_ÜRETİM_İHTİYAÇ_RAPORU_BURAK_YENI1309[[#This Row],[ALT_KOD]])+AVERAGEIFS(L:L,D:D,DST_123_ÜRETİM_İHTİYAÇ_RAPORU_BURAK_YENI1309[[#This Row],[ALT_KOD]]))</f>
        <v>-47.386000000000003</v>
      </c>
      <c r="L2228">
        <v>0</v>
      </c>
      <c r="M2228">
        <f>IF((DST_123_ÜRETİM_İHTİYAÇ_RAPORU_BURAK_YENI1309[[#This Row],[SATINALMA]]*DST_123_ÜRETİM_İHTİYAÇ_RAPORU_BURAK_YENI1309[[#This Row],[BIRIM_FIYATLAR]])&lt;1,VALUE("0"),DST_123_ÜRETİM_İHTİYAÇ_RAPORU_BURAK_YENI1309[[#This Row],[SATINALMA]]*DST_123_ÜRETİM_İHTİYAÇ_RAPORU_BURAK_YENI1309[[#This Row],[BIRIM_FIYATLAR]])</f>
        <v>0</v>
      </c>
      <c r="N2228">
        <v>10.61</v>
      </c>
      <c r="O2228" t="s">
        <v>235</v>
      </c>
      <c r="P2228">
        <v>3.1830000000000003</v>
      </c>
      <c r="Q2228" t="s">
        <v>221</v>
      </c>
    </row>
    <row r="2229" spans="1:17" x14ac:dyDescent="0.25">
      <c r="A2229" t="s">
        <v>1064</v>
      </c>
      <c r="B2229" t="s">
        <v>1055</v>
      </c>
      <c r="C2229" t="s">
        <v>175</v>
      </c>
      <c r="D2229" t="s">
        <v>680</v>
      </c>
      <c r="E2229" t="s">
        <v>681</v>
      </c>
      <c r="F2229">
        <v>1</v>
      </c>
      <c r="G2229" t="s">
        <v>176</v>
      </c>
      <c r="H2229">
        <v>1</v>
      </c>
      <c r="I2229">
        <v>10</v>
      </c>
      <c r="J2229" s="10">
        <v>4</v>
      </c>
      <c r="K2229" s="10">
        <f>SUMIFS(F:F,D:D,DST_123_ÜRETİM_İHTİYAÇ_RAPORU_BURAK_YENI1309[[#This Row],[ALT_KOD]])-(SUMIFS(H:H,D:D,DST_123_ÜRETİM_İHTİYAÇ_RAPORU_BURAK_YENI1309[[#This Row],[ALT_KOD]])+AVERAGEIFS(I:I,D:D,DST_123_ÜRETİM_İHTİYAÇ_RAPORU_BURAK_YENI1309[[#This Row],[ALT_KOD]])+AVERAGEIFS(L:L,D:D,DST_123_ÜRETİM_İHTİYAÇ_RAPORU_BURAK_YENI1309[[#This Row],[ALT_KOD]]))</f>
        <v>-6</v>
      </c>
      <c r="L2229">
        <v>0</v>
      </c>
      <c r="M2229">
        <f>IF((DST_123_ÜRETİM_İHTİYAÇ_RAPORU_BURAK_YENI1309[[#This Row],[SATINALMA]]*DST_123_ÜRETİM_İHTİYAÇ_RAPORU_BURAK_YENI1309[[#This Row],[BIRIM_FIYATLAR]])&lt;1,VALUE("0"),DST_123_ÜRETİM_İHTİYAÇ_RAPORU_BURAK_YENI1309[[#This Row],[SATINALMA]]*DST_123_ÜRETİM_İHTİYAÇ_RAPORU_BURAK_YENI1309[[#This Row],[BIRIM_FIYATLAR]])</f>
        <v>0</v>
      </c>
      <c r="N2229">
        <v>252</v>
      </c>
      <c r="O2229" t="s">
        <v>246</v>
      </c>
      <c r="P2229">
        <v>252</v>
      </c>
      <c r="Q2229" t="s">
        <v>180</v>
      </c>
    </row>
    <row r="2230" spans="1:17" x14ac:dyDescent="0.25">
      <c r="A2230" t="s">
        <v>1064</v>
      </c>
      <c r="B2230" t="s">
        <v>1055</v>
      </c>
      <c r="C2230" t="s">
        <v>175</v>
      </c>
      <c r="D2230" t="s">
        <v>694</v>
      </c>
      <c r="E2230" t="s">
        <v>695</v>
      </c>
      <c r="F2230">
        <v>2</v>
      </c>
      <c r="G2230" t="s">
        <v>176</v>
      </c>
      <c r="H2230">
        <v>2</v>
      </c>
      <c r="I2230">
        <v>4</v>
      </c>
      <c r="J2230" s="10">
        <v>6</v>
      </c>
      <c r="K2230" s="10">
        <f>SUMIFS(F:F,D:D,DST_123_ÜRETİM_İHTİYAÇ_RAPORU_BURAK_YENI1309[[#This Row],[ALT_KOD]])-(SUMIFS(H:H,D:D,DST_123_ÜRETİM_İHTİYAÇ_RAPORU_BURAK_YENI1309[[#This Row],[ALT_KOD]])+AVERAGEIFS(I:I,D:D,DST_123_ÜRETİM_İHTİYAÇ_RAPORU_BURAK_YENI1309[[#This Row],[ALT_KOD]])+AVERAGEIFS(L:L,D:D,DST_123_ÜRETİM_İHTİYAÇ_RAPORU_BURAK_YENI1309[[#This Row],[ALT_KOD]]))</f>
        <v>0</v>
      </c>
      <c r="L2230">
        <v>0</v>
      </c>
      <c r="M2230">
        <f>IF((DST_123_ÜRETİM_İHTİYAÇ_RAPORU_BURAK_YENI1309[[#This Row],[SATINALMA]]*DST_123_ÜRETİM_İHTİYAÇ_RAPORU_BURAK_YENI1309[[#This Row],[BIRIM_FIYATLAR]])&lt;1,VALUE("0"),DST_123_ÜRETİM_İHTİYAÇ_RAPORU_BURAK_YENI1309[[#This Row],[SATINALMA]]*DST_123_ÜRETİM_İHTİYAÇ_RAPORU_BURAK_YENI1309[[#This Row],[BIRIM_FIYATLAR]])</f>
        <v>0</v>
      </c>
      <c r="N2230">
        <v>260</v>
      </c>
      <c r="O2230" t="s">
        <v>226</v>
      </c>
      <c r="P2230">
        <v>520</v>
      </c>
      <c r="Q2230" t="s">
        <v>180</v>
      </c>
    </row>
    <row r="2231" spans="1:17" x14ac:dyDescent="0.25">
      <c r="A2231" t="s">
        <v>1098</v>
      </c>
      <c r="B2231" t="s">
        <v>1096</v>
      </c>
      <c r="C2231" t="s">
        <v>175</v>
      </c>
      <c r="D2231" t="s">
        <v>121</v>
      </c>
      <c r="E2231" t="s">
        <v>122</v>
      </c>
      <c r="F2231">
        <v>27</v>
      </c>
      <c r="G2231" t="s">
        <v>179</v>
      </c>
      <c r="H2231">
        <v>0</v>
      </c>
      <c r="I2231">
        <v>150</v>
      </c>
      <c r="J2231" s="10">
        <v>50</v>
      </c>
      <c r="K2231" s="10">
        <f>SUMIFS(F:F,D:D,DST_123_ÜRETİM_İHTİYAÇ_RAPORU_BURAK_YENI1309[[#This Row],[ALT_KOD]])-(SUMIFS(H:H,D:D,DST_123_ÜRETİM_İHTİYAÇ_RAPORU_BURAK_YENI1309[[#This Row],[ALT_KOD]])+AVERAGEIFS(I:I,D:D,DST_123_ÜRETİM_İHTİYAÇ_RAPORU_BURAK_YENI1309[[#This Row],[ALT_KOD]])+AVERAGEIFS(L:L,D:D,DST_123_ÜRETİM_İHTİYAÇ_RAPORU_BURAK_YENI1309[[#This Row],[ALT_KOD]]))</f>
        <v>71</v>
      </c>
      <c r="L2231">
        <v>0</v>
      </c>
      <c r="M2231">
        <f>IF((DST_123_ÜRETİM_İHTİYAÇ_RAPORU_BURAK_YENI1309[[#This Row],[SATINALMA]]*DST_123_ÜRETİM_İHTİYAÇ_RAPORU_BURAK_YENI1309[[#This Row],[BIRIM_FIYATLAR]])&lt;1,VALUE("0"),DST_123_ÜRETİM_İHTİYAÇ_RAPORU_BURAK_YENI1309[[#This Row],[SATINALMA]]*DST_123_ÜRETİM_İHTİYAÇ_RAPORU_BURAK_YENI1309[[#This Row],[BIRIM_FIYATLAR]])</f>
        <v>22720</v>
      </c>
      <c r="N2231">
        <v>320</v>
      </c>
      <c r="O2231" t="s">
        <v>1151</v>
      </c>
      <c r="P2231">
        <v>8640</v>
      </c>
      <c r="Q2231" t="s">
        <v>184</v>
      </c>
    </row>
    <row r="2232" spans="1:17" x14ac:dyDescent="0.25">
      <c r="A2232" t="s">
        <v>1098</v>
      </c>
      <c r="B2232" t="s">
        <v>1096</v>
      </c>
      <c r="C2232" t="s">
        <v>175</v>
      </c>
      <c r="D2232" t="s">
        <v>137</v>
      </c>
      <c r="E2232" t="s">
        <v>138</v>
      </c>
      <c r="F2232">
        <v>2</v>
      </c>
      <c r="G2232" t="s">
        <v>176</v>
      </c>
      <c r="H2232">
        <v>0</v>
      </c>
      <c r="I2232">
        <v>23</v>
      </c>
      <c r="J2232" s="10">
        <v>22</v>
      </c>
      <c r="K2232" s="10">
        <f>SUMIFS(F:F,D:D,DST_123_ÜRETİM_İHTİYAÇ_RAPORU_BURAK_YENI1309[[#This Row],[ALT_KOD]])-(SUMIFS(H:H,D:D,DST_123_ÜRETİM_İHTİYAÇ_RAPORU_BURAK_YENI1309[[#This Row],[ALT_KOD]])+AVERAGEIFS(I:I,D:D,DST_123_ÜRETİM_İHTİYAÇ_RAPORU_BURAK_YENI1309[[#This Row],[ALT_KOD]])+AVERAGEIFS(L:L,D:D,DST_123_ÜRETİM_İHTİYAÇ_RAPORU_BURAK_YENI1309[[#This Row],[ALT_KOD]]))</f>
        <v>1</v>
      </c>
      <c r="L2232">
        <v>0</v>
      </c>
      <c r="M2232">
        <f>IF((DST_123_ÜRETİM_İHTİYAÇ_RAPORU_BURAK_YENI1309[[#This Row],[SATINALMA]]*DST_123_ÜRETİM_İHTİYAÇ_RAPORU_BURAK_YENI1309[[#This Row],[BIRIM_FIYATLAR]])&lt;1,VALUE("0"),DST_123_ÜRETİM_İHTİYAÇ_RAPORU_BURAK_YENI1309[[#This Row],[SATINALMA]]*DST_123_ÜRETİM_İHTİYAÇ_RAPORU_BURAK_YENI1309[[#This Row],[BIRIM_FIYATLAR]])</f>
        <v>73.349999999999994</v>
      </c>
      <c r="N2232">
        <v>73.349999999999994</v>
      </c>
      <c r="O2232" t="s">
        <v>227</v>
      </c>
      <c r="P2232">
        <v>146.69999999999999</v>
      </c>
      <c r="Q2232" t="s">
        <v>221</v>
      </c>
    </row>
    <row r="2233" spans="1:17" x14ac:dyDescent="0.25">
      <c r="A2233" t="s">
        <v>1098</v>
      </c>
      <c r="B2233" t="s">
        <v>1096</v>
      </c>
      <c r="C2233" t="s">
        <v>175</v>
      </c>
      <c r="D2233" t="s">
        <v>202</v>
      </c>
      <c r="E2233" t="s">
        <v>203</v>
      </c>
      <c r="F2233">
        <v>0.1</v>
      </c>
      <c r="G2233" t="s">
        <v>179</v>
      </c>
      <c r="H2233">
        <v>0</v>
      </c>
      <c r="I2233">
        <v>50</v>
      </c>
      <c r="J2233" s="10">
        <v>-1.4210854715202004E-14</v>
      </c>
      <c r="K2233" s="10">
        <f>SUMIFS(F:F,D:D,DST_123_ÜRETİM_İHTİYAÇ_RAPORU_BURAK_YENI1309[[#This Row],[ALT_KOD]])-(SUMIFS(H:H,D:D,DST_123_ÜRETİM_İHTİYAÇ_RAPORU_BURAK_YENI1309[[#This Row],[ALT_KOD]])+AVERAGEIFS(I:I,D:D,DST_123_ÜRETİM_İHTİYAÇ_RAPORU_BURAK_YENI1309[[#This Row],[ALT_KOD]])+AVERAGEIFS(L:L,D:D,DST_123_ÜRETİM_İHTİYAÇ_RAPORU_BURAK_YENI1309[[#This Row],[ALT_KOD]]))</f>
        <v>-47.386000000000003</v>
      </c>
      <c r="L2233">
        <v>0</v>
      </c>
      <c r="M2233">
        <f>IF((DST_123_ÜRETİM_İHTİYAÇ_RAPORU_BURAK_YENI1309[[#This Row],[SATINALMA]]*DST_123_ÜRETİM_İHTİYAÇ_RAPORU_BURAK_YENI1309[[#This Row],[BIRIM_FIYATLAR]])&lt;1,VALUE("0"),DST_123_ÜRETİM_İHTİYAÇ_RAPORU_BURAK_YENI1309[[#This Row],[SATINALMA]]*DST_123_ÜRETİM_İHTİYAÇ_RAPORU_BURAK_YENI1309[[#This Row],[BIRIM_FIYATLAR]])</f>
        <v>0</v>
      </c>
      <c r="N2233">
        <v>10.61</v>
      </c>
      <c r="O2233" t="s">
        <v>235</v>
      </c>
      <c r="P2233">
        <v>1.0609999999999999</v>
      </c>
      <c r="Q2233" t="s">
        <v>221</v>
      </c>
    </row>
    <row r="2234" spans="1:17" x14ac:dyDescent="0.25">
      <c r="A2234" t="s">
        <v>1098</v>
      </c>
      <c r="B2234" t="s">
        <v>1096</v>
      </c>
      <c r="C2234" t="s">
        <v>175</v>
      </c>
      <c r="D2234" t="s">
        <v>516</v>
      </c>
      <c r="E2234" t="s">
        <v>517</v>
      </c>
      <c r="F2234">
        <v>2</v>
      </c>
      <c r="G2234" t="s">
        <v>176</v>
      </c>
      <c r="H2234">
        <v>0</v>
      </c>
      <c r="I2234">
        <v>91</v>
      </c>
      <c r="J2234" s="10">
        <v>17.799999999999997</v>
      </c>
      <c r="K2234" s="10">
        <f>SUMIFS(F:F,D:D,DST_123_ÜRETİM_İHTİYAÇ_RAPORU_BURAK_YENI1309[[#This Row],[ALT_KOD]])-(SUMIFS(H:H,D:D,DST_123_ÜRETİM_İHTİYAÇ_RAPORU_BURAK_YENI1309[[#This Row],[ALT_KOD]])+AVERAGEIFS(I:I,D:D,DST_123_ÜRETİM_İHTİYAÇ_RAPORU_BURAK_YENI1309[[#This Row],[ALT_KOD]])+AVERAGEIFS(L:L,D:D,DST_123_ÜRETİM_İHTİYAÇ_RAPORU_BURAK_YENI1309[[#This Row],[ALT_KOD]]))</f>
        <v>-74.5</v>
      </c>
      <c r="L2234">
        <v>0</v>
      </c>
      <c r="M2234">
        <f>IF((DST_123_ÜRETİM_İHTİYAÇ_RAPORU_BURAK_YENI1309[[#This Row],[SATINALMA]]*DST_123_ÜRETİM_İHTİYAÇ_RAPORU_BURAK_YENI1309[[#This Row],[BIRIM_FIYATLAR]])&lt;1,VALUE("0"),DST_123_ÜRETİM_İHTİYAÇ_RAPORU_BURAK_YENI1309[[#This Row],[SATINALMA]]*DST_123_ÜRETİM_İHTİYAÇ_RAPORU_BURAK_YENI1309[[#This Row],[BIRIM_FIYATLAR]])</f>
        <v>0</v>
      </c>
      <c r="N2234">
        <v>85</v>
      </c>
      <c r="O2234" t="s">
        <v>346</v>
      </c>
      <c r="P2234">
        <v>170</v>
      </c>
      <c r="Q2234" t="s">
        <v>180</v>
      </c>
    </row>
    <row r="2235" spans="1:17" x14ac:dyDescent="0.25">
      <c r="A2235" t="s">
        <v>1179</v>
      </c>
      <c r="B2235" t="s">
        <v>1180</v>
      </c>
      <c r="C2235" t="s">
        <v>175</v>
      </c>
      <c r="D2235" t="s">
        <v>665</v>
      </c>
      <c r="E2235" t="s">
        <v>666</v>
      </c>
      <c r="F2235">
        <v>1</v>
      </c>
      <c r="G2235" t="s">
        <v>176</v>
      </c>
      <c r="H2235">
        <v>0</v>
      </c>
      <c r="I2235">
        <v>0</v>
      </c>
      <c r="J2235" s="10">
        <v>4</v>
      </c>
      <c r="K2235" s="10">
        <f>SUMIFS(F:F,D:D,DST_123_ÜRETİM_İHTİYAÇ_RAPORU_BURAK_YENI1309[[#This Row],[ALT_KOD]])-(SUMIFS(H:H,D:D,DST_123_ÜRETİM_İHTİYAÇ_RAPORU_BURAK_YENI1309[[#This Row],[ALT_KOD]])+AVERAGEIFS(I:I,D:D,DST_123_ÜRETİM_İHTİYAÇ_RAPORU_BURAK_YENI1309[[#This Row],[ALT_KOD]])+AVERAGEIFS(L:L,D:D,DST_123_ÜRETİM_İHTİYAÇ_RAPORU_BURAK_YENI1309[[#This Row],[ALT_KOD]]))</f>
        <v>0</v>
      </c>
      <c r="L2235">
        <v>20</v>
      </c>
      <c r="M2235">
        <f>IF((DST_123_ÜRETİM_İHTİYAÇ_RAPORU_BURAK_YENI1309[[#This Row],[SATINALMA]]*DST_123_ÜRETİM_İHTİYAÇ_RAPORU_BURAK_YENI1309[[#This Row],[BIRIM_FIYATLAR]])&lt;1,VALUE("0"),DST_123_ÜRETİM_İHTİYAÇ_RAPORU_BURAK_YENI1309[[#This Row],[SATINALMA]]*DST_123_ÜRETİM_İHTİYAÇ_RAPORU_BURAK_YENI1309[[#This Row],[BIRIM_FIYATLAR]])</f>
        <v>0</v>
      </c>
      <c r="N2235">
        <v>28000</v>
      </c>
      <c r="O2235" t="s">
        <v>829</v>
      </c>
      <c r="P2235">
        <v>28000</v>
      </c>
      <c r="Q2235" t="s">
        <v>221</v>
      </c>
    </row>
    <row r="2236" spans="1:17" x14ac:dyDescent="0.25">
      <c r="A2236" t="s">
        <v>1097</v>
      </c>
      <c r="B2236" t="s">
        <v>1055</v>
      </c>
      <c r="C2236" t="s">
        <v>175</v>
      </c>
      <c r="D2236" t="s">
        <v>256</v>
      </c>
      <c r="E2236" t="s">
        <v>257</v>
      </c>
      <c r="F2236">
        <v>1.6</v>
      </c>
      <c r="G2236" t="s">
        <v>176</v>
      </c>
      <c r="H2236">
        <v>1.6</v>
      </c>
      <c r="I2236">
        <v>14</v>
      </c>
      <c r="J2236" s="10">
        <v>6.8000000000000025</v>
      </c>
      <c r="K2236" s="10">
        <f>SUMIFS(F:F,D:D,DST_123_ÜRETİM_İHTİYAÇ_RAPORU_BURAK_YENI1309[[#This Row],[ALT_KOD]])-(SUMIFS(H:H,D:D,DST_123_ÜRETİM_İHTİYAÇ_RAPORU_BURAK_YENI1309[[#This Row],[ALT_KOD]])+AVERAGEIFS(I:I,D:D,DST_123_ÜRETİM_İHTİYAÇ_RAPORU_BURAK_YENI1309[[#This Row],[ALT_KOD]])+AVERAGEIFS(L:L,D:D,DST_123_ÜRETİM_İHTİYAÇ_RAPORU_BURAK_YENI1309[[#This Row],[ALT_KOD]]))</f>
        <v>7.7000000000000028</v>
      </c>
      <c r="L2236">
        <v>12</v>
      </c>
      <c r="M2236">
        <f>IF((DST_123_ÜRETİM_İHTİYAÇ_RAPORU_BURAK_YENI1309[[#This Row],[SATINALMA]]*DST_123_ÜRETİM_İHTİYAÇ_RAPORU_BURAK_YENI1309[[#This Row],[BIRIM_FIYATLAR]])&lt;1,VALUE("0"),DST_123_ÜRETİM_İHTİYAÇ_RAPORU_BURAK_YENI1309[[#This Row],[SATINALMA]]*DST_123_ÜRETİM_İHTİYAÇ_RAPORU_BURAK_YENI1309[[#This Row],[BIRIM_FIYATLAR]])</f>
        <v>2532.1450000000009</v>
      </c>
      <c r="N2236">
        <v>328.85</v>
      </c>
      <c r="O2236" t="s">
        <v>258</v>
      </c>
      <c r="P2236">
        <v>526.16000000000008</v>
      </c>
      <c r="Q2236" t="s">
        <v>183</v>
      </c>
    </row>
    <row r="2237" spans="1:17" x14ac:dyDescent="0.25">
      <c r="A2237" t="s">
        <v>1143</v>
      </c>
      <c r="B2237" t="s">
        <v>1056</v>
      </c>
      <c r="C2237" t="s">
        <v>175</v>
      </c>
      <c r="D2237" t="s">
        <v>256</v>
      </c>
      <c r="E2237" t="s">
        <v>257</v>
      </c>
      <c r="F2237">
        <v>2.1</v>
      </c>
      <c r="G2237" t="s">
        <v>176</v>
      </c>
      <c r="H2237">
        <v>0</v>
      </c>
      <c r="I2237">
        <v>14</v>
      </c>
      <c r="J2237" s="10">
        <v>6.8000000000000025</v>
      </c>
      <c r="K2237" s="10">
        <f>SUMIFS(F:F,D:D,DST_123_ÜRETİM_İHTİYAÇ_RAPORU_BURAK_YENI1309[[#This Row],[ALT_KOD]])-(SUMIFS(H:H,D:D,DST_123_ÜRETİM_İHTİYAÇ_RAPORU_BURAK_YENI1309[[#This Row],[ALT_KOD]])+AVERAGEIFS(I:I,D:D,DST_123_ÜRETİM_İHTİYAÇ_RAPORU_BURAK_YENI1309[[#This Row],[ALT_KOD]])+AVERAGEIFS(L:L,D:D,DST_123_ÜRETİM_İHTİYAÇ_RAPORU_BURAK_YENI1309[[#This Row],[ALT_KOD]]))</f>
        <v>7.7000000000000028</v>
      </c>
      <c r="L2237">
        <v>12</v>
      </c>
      <c r="M2237">
        <f>IF((DST_123_ÜRETİM_İHTİYAÇ_RAPORU_BURAK_YENI1309[[#This Row],[SATINALMA]]*DST_123_ÜRETİM_İHTİYAÇ_RAPORU_BURAK_YENI1309[[#This Row],[BIRIM_FIYATLAR]])&lt;1,VALUE("0"),DST_123_ÜRETİM_İHTİYAÇ_RAPORU_BURAK_YENI1309[[#This Row],[SATINALMA]]*DST_123_ÜRETİM_İHTİYAÇ_RAPORU_BURAK_YENI1309[[#This Row],[BIRIM_FIYATLAR]])</f>
        <v>2532.1450000000009</v>
      </c>
      <c r="N2237">
        <v>328.85</v>
      </c>
      <c r="O2237" t="s">
        <v>258</v>
      </c>
      <c r="P2237">
        <v>690.58500000000004</v>
      </c>
      <c r="Q2237" t="s">
        <v>183</v>
      </c>
    </row>
    <row r="2238" spans="1:17" x14ac:dyDescent="0.25">
      <c r="A2238" t="s">
        <v>1097</v>
      </c>
      <c r="B2238" t="s">
        <v>1055</v>
      </c>
      <c r="C2238" t="s">
        <v>175</v>
      </c>
      <c r="D2238" t="s">
        <v>420</v>
      </c>
      <c r="E2238" t="s">
        <v>421</v>
      </c>
      <c r="F2238">
        <v>1</v>
      </c>
      <c r="G2238" t="s">
        <v>179</v>
      </c>
      <c r="H2238">
        <v>0</v>
      </c>
      <c r="I2238">
        <v>0</v>
      </c>
      <c r="J2238" s="10">
        <v>3.0000000000000142</v>
      </c>
      <c r="K2238" s="10">
        <f>SUMIFS(F:F,D:D,DST_123_ÜRETİM_İHTİYAÇ_RAPORU_BURAK_YENI1309[[#This Row],[ALT_KOD]])-(SUMIFS(H:H,D:D,DST_123_ÜRETİM_İHTİYAÇ_RAPORU_BURAK_YENI1309[[#This Row],[ALT_KOD]])+AVERAGEIFS(I:I,D:D,DST_123_ÜRETİM_İHTİYAÇ_RAPORU_BURAK_YENI1309[[#This Row],[ALT_KOD]])+AVERAGEIFS(L:L,D:D,DST_123_ÜRETİM_İHTİYAÇ_RAPORU_BURAK_YENI1309[[#This Row],[ALT_KOD]]))</f>
        <v>11</v>
      </c>
      <c r="L2238">
        <v>0</v>
      </c>
      <c r="M2238">
        <f>IF((DST_123_ÜRETİM_İHTİYAÇ_RAPORU_BURAK_YENI1309[[#This Row],[SATINALMA]]*DST_123_ÜRETİM_İHTİYAÇ_RAPORU_BURAK_YENI1309[[#This Row],[BIRIM_FIYATLAR]])&lt;1,VALUE("0"),DST_123_ÜRETİM_İHTİYAÇ_RAPORU_BURAK_YENI1309[[#This Row],[SATINALMA]]*DST_123_ÜRETİM_İHTİYAÇ_RAPORU_BURAK_YENI1309[[#This Row],[BIRIM_FIYATLAR]])</f>
        <v>5399.35</v>
      </c>
      <c r="N2238">
        <v>490.85</v>
      </c>
      <c r="O2238" t="s">
        <v>422</v>
      </c>
      <c r="P2238">
        <v>490.85</v>
      </c>
      <c r="Q2238" t="s">
        <v>184</v>
      </c>
    </row>
    <row r="2239" spans="1:17" x14ac:dyDescent="0.25">
      <c r="A2239" t="s">
        <v>1142</v>
      </c>
      <c r="B2239" t="s">
        <v>1056</v>
      </c>
      <c r="C2239" t="s">
        <v>175</v>
      </c>
      <c r="D2239" t="s">
        <v>5</v>
      </c>
      <c r="E2239" t="s">
        <v>6</v>
      </c>
      <c r="F2239">
        <v>4.0999999999999996</v>
      </c>
      <c r="G2239" t="s">
        <v>179</v>
      </c>
      <c r="H2239">
        <v>0</v>
      </c>
      <c r="I2239">
        <v>100</v>
      </c>
      <c r="J2239" s="10">
        <v>2.0000000000000568</v>
      </c>
      <c r="K2239" s="10">
        <f>SUMIFS(F:F,D:D,DST_123_ÜRETİM_İHTİYAÇ_RAPORU_BURAK_YENI1309[[#This Row],[ALT_KOD]])-(SUMIFS(H:H,D:D,DST_123_ÜRETİM_İHTİYAÇ_RAPORU_BURAK_YENI1309[[#This Row],[ALT_KOD]])+AVERAGEIFS(I:I,D:D,DST_123_ÜRETİM_İHTİYAÇ_RAPORU_BURAK_YENI1309[[#This Row],[ALT_KOD]])+AVERAGEIFS(L:L,D:D,DST_123_ÜRETİM_İHTİYAÇ_RAPORU_BURAK_YENI1309[[#This Row],[ALT_KOD]]))</f>
        <v>-6.4000000000000057</v>
      </c>
      <c r="L2239">
        <v>0</v>
      </c>
      <c r="M2239">
        <f>IF((DST_123_ÜRETİM_İHTİYAÇ_RAPORU_BURAK_YENI1309[[#This Row],[SATINALMA]]*DST_123_ÜRETİM_İHTİYAÇ_RAPORU_BURAK_YENI1309[[#This Row],[BIRIM_FIYATLAR]])&lt;1,VALUE("0"),DST_123_ÜRETİM_İHTİYAÇ_RAPORU_BURAK_YENI1309[[#This Row],[SATINALMA]]*DST_123_ÜRETİM_İHTİYAÇ_RAPORU_BURAK_YENI1309[[#This Row],[BIRIM_FIYATLAR]])</f>
        <v>0</v>
      </c>
      <c r="N2239">
        <v>111</v>
      </c>
      <c r="O2239" t="s">
        <v>826</v>
      </c>
      <c r="P2239">
        <v>455.09999999999997</v>
      </c>
      <c r="Q2239" t="s">
        <v>221</v>
      </c>
    </row>
    <row r="2240" spans="1:17" x14ac:dyDescent="0.25">
      <c r="A2240" t="s">
        <v>1095</v>
      </c>
      <c r="B2240" t="s">
        <v>1096</v>
      </c>
      <c r="C2240" t="s">
        <v>175</v>
      </c>
      <c r="D2240" t="s">
        <v>7</v>
      </c>
      <c r="E2240" t="s">
        <v>8</v>
      </c>
      <c r="F2240">
        <v>1</v>
      </c>
      <c r="G2240" t="s">
        <v>176</v>
      </c>
      <c r="H2240">
        <v>0</v>
      </c>
      <c r="I2240">
        <v>6</v>
      </c>
      <c r="J2240" s="10">
        <v>7</v>
      </c>
      <c r="K2240" s="10">
        <f>SUMIFS(F:F,D:D,DST_123_ÜRETİM_İHTİYAÇ_RAPORU_BURAK_YENI1309[[#This Row],[ALT_KOD]])-(SUMIFS(H:H,D:D,DST_123_ÜRETİM_İHTİYAÇ_RAPORU_BURAK_YENI1309[[#This Row],[ALT_KOD]])+AVERAGEIFS(I:I,D:D,DST_123_ÜRETİM_İHTİYAÇ_RAPORU_BURAK_YENI1309[[#This Row],[ALT_KOD]])+AVERAGEIFS(L:L,D:D,DST_123_ÜRETİM_İHTİYAÇ_RAPORU_BURAK_YENI1309[[#This Row],[ALT_KOD]]))</f>
        <v>2</v>
      </c>
      <c r="L2240">
        <v>0</v>
      </c>
      <c r="M2240">
        <f>IF((DST_123_ÜRETİM_İHTİYAÇ_RAPORU_BURAK_YENI1309[[#This Row],[SATINALMA]]*DST_123_ÜRETİM_İHTİYAÇ_RAPORU_BURAK_YENI1309[[#This Row],[BIRIM_FIYATLAR]])&lt;1,VALUE("0"),DST_123_ÜRETİM_İHTİYAÇ_RAPORU_BURAK_YENI1309[[#This Row],[SATINALMA]]*DST_123_ÜRETİM_İHTİYAÇ_RAPORU_BURAK_YENI1309[[#This Row],[BIRIM_FIYATLAR]])</f>
        <v>4960.92</v>
      </c>
      <c r="N2240">
        <v>2480.46</v>
      </c>
      <c r="O2240" t="s">
        <v>227</v>
      </c>
      <c r="P2240">
        <v>2480.46</v>
      </c>
      <c r="Q2240" t="s">
        <v>221</v>
      </c>
    </row>
    <row r="2241" spans="1:17" x14ac:dyDescent="0.25">
      <c r="A2241" t="s">
        <v>1095</v>
      </c>
      <c r="B2241" t="s">
        <v>1096</v>
      </c>
      <c r="C2241" t="s">
        <v>175</v>
      </c>
      <c r="D2241" t="s">
        <v>9</v>
      </c>
      <c r="E2241" t="s">
        <v>10</v>
      </c>
      <c r="F2241">
        <v>4</v>
      </c>
      <c r="G2241" t="s">
        <v>176</v>
      </c>
      <c r="H2241">
        <v>0</v>
      </c>
      <c r="I2241">
        <v>39</v>
      </c>
      <c r="J2241" s="10">
        <v>32</v>
      </c>
      <c r="K2241" s="10">
        <f>SUMIFS(F:F,D:D,DST_123_ÜRETİM_İHTİYAÇ_RAPORU_BURAK_YENI1309[[#This Row],[ALT_KOD]])-(SUMIFS(H:H,D:D,DST_123_ÜRETİM_İHTİYAÇ_RAPORU_BURAK_YENI1309[[#This Row],[ALT_KOD]])+AVERAGEIFS(I:I,D:D,DST_123_ÜRETİM_İHTİYAÇ_RAPORU_BURAK_YENI1309[[#This Row],[ALT_KOD]])+AVERAGEIFS(L:L,D:D,DST_123_ÜRETİM_İHTİYAÇ_RAPORU_BURAK_YENI1309[[#This Row],[ALT_KOD]]))</f>
        <v>-11</v>
      </c>
      <c r="L2241">
        <v>0</v>
      </c>
      <c r="M2241">
        <f>IF((DST_123_ÜRETİM_İHTİYAÇ_RAPORU_BURAK_YENI1309[[#This Row],[SATINALMA]]*DST_123_ÜRETİM_İHTİYAÇ_RAPORU_BURAK_YENI1309[[#This Row],[BIRIM_FIYATLAR]])&lt;1,VALUE("0"),DST_123_ÜRETİM_İHTİYAÇ_RAPORU_BURAK_YENI1309[[#This Row],[SATINALMA]]*DST_123_ÜRETİM_İHTİYAÇ_RAPORU_BURAK_YENI1309[[#This Row],[BIRIM_FIYATLAR]])</f>
        <v>0</v>
      </c>
      <c r="N2241">
        <v>73.349999999999994</v>
      </c>
      <c r="O2241" t="s">
        <v>227</v>
      </c>
      <c r="P2241">
        <v>293.39999999999998</v>
      </c>
      <c r="Q2241" t="s">
        <v>221</v>
      </c>
    </row>
    <row r="2242" spans="1:17" x14ac:dyDescent="0.25">
      <c r="A2242" t="s">
        <v>1095</v>
      </c>
      <c r="B2242" t="s">
        <v>1096</v>
      </c>
      <c r="C2242" t="s">
        <v>175</v>
      </c>
      <c r="D2242" t="s">
        <v>206</v>
      </c>
      <c r="E2242" t="s">
        <v>280</v>
      </c>
      <c r="F2242">
        <v>0.69</v>
      </c>
      <c r="G2242" t="s">
        <v>176</v>
      </c>
      <c r="H2242">
        <v>0</v>
      </c>
      <c r="I2242">
        <v>10</v>
      </c>
      <c r="J2242" s="10">
        <v>126.66400000000034</v>
      </c>
      <c r="K2242" s="10">
        <f>SUMIFS(F:F,D:D,DST_123_ÜRETİM_İHTİYAÇ_RAPORU_BURAK_YENI1309[[#This Row],[ALT_KOD]])-(SUMIFS(H:H,D:D,DST_123_ÜRETİM_İHTİYAÇ_RAPORU_BURAK_YENI1309[[#This Row],[ALT_KOD]])+AVERAGEIFS(I:I,D:D,DST_123_ÜRETİM_İHTİYAÇ_RAPORU_BURAK_YENI1309[[#This Row],[ALT_KOD]])+AVERAGEIFS(L:L,D:D,DST_123_ÜRETİM_İHTİYAÇ_RAPORU_BURAK_YENI1309[[#This Row],[ALT_KOD]]))</f>
        <v>-1.1600000000000001</v>
      </c>
      <c r="L2242">
        <v>0</v>
      </c>
      <c r="M2242">
        <f>IF((DST_123_ÜRETİM_İHTİYAÇ_RAPORU_BURAK_YENI1309[[#This Row],[SATINALMA]]*DST_123_ÜRETİM_İHTİYAÇ_RAPORU_BURAK_YENI1309[[#This Row],[BIRIM_FIYATLAR]])&lt;1,VALUE("0"),DST_123_ÜRETİM_İHTİYAÇ_RAPORU_BURAK_YENI1309[[#This Row],[SATINALMA]]*DST_123_ÜRETİM_İHTİYAÇ_RAPORU_BURAK_YENI1309[[#This Row],[BIRIM_FIYATLAR]])</f>
        <v>0</v>
      </c>
      <c r="N2242">
        <v>185</v>
      </c>
      <c r="O2242" t="s">
        <v>240</v>
      </c>
      <c r="P2242">
        <v>127.64999999999999</v>
      </c>
      <c r="Q2242" t="s">
        <v>180</v>
      </c>
    </row>
    <row r="2243" spans="1:17" x14ac:dyDescent="0.25">
      <c r="A2243" t="s">
        <v>1147</v>
      </c>
      <c r="B2243" t="s">
        <v>1145</v>
      </c>
      <c r="C2243" t="s">
        <v>175</v>
      </c>
      <c r="D2243" t="s">
        <v>256</v>
      </c>
      <c r="E2243" t="s">
        <v>257</v>
      </c>
      <c r="F2243">
        <v>1.5</v>
      </c>
      <c r="G2243" t="s">
        <v>176</v>
      </c>
      <c r="H2243">
        <v>0</v>
      </c>
      <c r="I2243">
        <v>14</v>
      </c>
      <c r="J2243" s="10">
        <v>6.8000000000000025</v>
      </c>
      <c r="K2243" s="10">
        <f>SUMIFS(F:F,D:D,DST_123_ÜRETİM_İHTİYAÇ_RAPORU_BURAK_YENI1309[[#This Row],[ALT_KOD]])-(SUMIFS(H:H,D:D,DST_123_ÜRETİM_İHTİYAÇ_RAPORU_BURAK_YENI1309[[#This Row],[ALT_KOD]])+AVERAGEIFS(I:I,D:D,DST_123_ÜRETİM_İHTİYAÇ_RAPORU_BURAK_YENI1309[[#This Row],[ALT_KOD]])+AVERAGEIFS(L:L,D:D,DST_123_ÜRETİM_İHTİYAÇ_RAPORU_BURAK_YENI1309[[#This Row],[ALT_KOD]]))</f>
        <v>7.7000000000000028</v>
      </c>
      <c r="L2243">
        <v>12</v>
      </c>
      <c r="M2243">
        <f>IF((DST_123_ÜRETİM_İHTİYAÇ_RAPORU_BURAK_YENI1309[[#This Row],[SATINALMA]]*DST_123_ÜRETİM_İHTİYAÇ_RAPORU_BURAK_YENI1309[[#This Row],[BIRIM_FIYATLAR]])&lt;1,VALUE("0"),DST_123_ÜRETİM_İHTİYAÇ_RAPORU_BURAK_YENI1309[[#This Row],[SATINALMA]]*DST_123_ÜRETİM_İHTİYAÇ_RAPORU_BURAK_YENI1309[[#This Row],[BIRIM_FIYATLAR]])</f>
        <v>2532.1450000000009</v>
      </c>
      <c r="N2243">
        <v>328.85</v>
      </c>
      <c r="O2243" t="s">
        <v>258</v>
      </c>
      <c r="P2243">
        <v>493.27500000000003</v>
      </c>
      <c r="Q2243" t="s">
        <v>183</v>
      </c>
    </row>
    <row r="2244" spans="1:17" x14ac:dyDescent="0.25">
      <c r="A2244" t="s">
        <v>1148</v>
      </c>
      <c r="B2244" t="s">
        <v>1056</v>
      </c>
      <c r="C2244" t="s">
        <v>175</v>
      </c>
      <c r="D2244" t="s">
        <v>256</v>
      </c>
      <c r="E2244" t="s">
        <v>257</v>
      </c>
      <c r="F2244">
        <v>4</v>
      </c>
      <c r="G2244" t="s">
        <v>176</v>
      </c>
      <c r="H2244">
        <v>0</v>
      </c>
      <c r="I2244">
        <v>14</v>
      </c>
      <c r="J2244" s="10">
        <v>6.8000000000000025</v>
      </c>
      <c r="K2244" s="10">
        <f>SUMIFS(F:F,D:D,DST_123_ÜRETİM_İHTİYAÇ_RAPORU_BURAK_YENI1309[[#This Row],[ALT_KOD]])-(SUMIFS(H:H,D:D,DST_123_ÜRETİM_İHTİYAÇ_RAPORU_BURAK_YENI1309[[#This Row],[ALT_KOD]])+AVERAGEIFS(I:I,D:D,DST_123_ÜRETİM_İHTİYAÇ_RAPORU_BURAK_YENI1309[[#This Row],[ALT_KOD]])+AVERAGEIFS(L:L,D:D,DST_123_ÜRETİM_İHTİYAÇ_RAPORU_BURAK_YENI1309[[#This Row],[ALT_KOD]]))</f>
        <v>7.7000000000000028</v>
      </c>
      <c r="L2244">
        <v>12</v>
      </c>
      <c r="M2244">
        <f>IF((DST_123_ÜRETİM_İHTİYAÇ_RAPORU_BURAK_YENI1309[[#This Row],[SATINALMA]]*DST_123_ÜRETİM_İHTİYAÇ_RAPORU_BURAK_YENI1309[[#This Row],[BIRIM_FIYATLAR]])&lt;1,VALUE("0"),DST_123_ÜRETİM_İHTİYAÇ_RAPORU_BURAK_YENI1309[[#This Row],[SATINALMA]]*DST_123_ÜRETİM_İHTİYAÇ_RAPORU_BURAK_YENI1309[[#This Row],[BIRIM_FIYATLAR]])</f>
        <v>2532.1450000000009</v>
      </c>
      <c r="N2244">
        <v>328.85</v>
      </c>
      <c r="O2244" t="s">
        <v>258</v>
      </c>
      <c r="P2244">
        <v>1315.4</v>
      </c>
      <c r="Q2244" t="s">
        <v>183</v>
      </c>
    </row>
    <row r="2245" spans="1:17" x14ac:dyDescent="0.25">
      <c r="A2245" t="s">
        <v>1148</v>
      </c>
      <c r="B2245" t="s">
        <v>1056</v>
      </c>
      <c r="C2245" t="s">
        <v>175</v>
      </c>
      <c r="D2245" t="s">
        <v>420</v>
      </c>
      <c r="E2245" t="s">
        <v>421</v>
      </c>
      <c r="F2245">
        <v>1</v>
      </c>
      <c r="G2245" t="s">
        <v>179</v>
      </c>
      <c r="H2245">
        <v>0</v>
      </c>
      <c r="I2245">
        <v>0</v>
      </c>
      <c r="J2245" s="10">
        <v>3.0000000000000142</v>
      </c>
      <c r="K2245" s="10">
        <f>SUMIFS(F:F,D:D,DST_123_ÜRETİM_İHTİYAÇ_RAPORU_BURAK_YENI1309[[#This Row],[ALT_KOD]])-(SUMIFS(H:H,D:D,DST_123_ÜRETİM_İHTİYAÇ_RAPORU_BURAK_YENI1309[[#This Row],[ALT_KOD]])+AVERAGEIFS(I:I,D:D,DST_123_ÜRETİM_İHTİYAÇ_RAPORU_BURAK_YENI1309[[#This Row],[ALT_KOD]])+AVERAGEIFS(L:L,D:D,DST_123_ÜRETİM_İHTİYAÇ_RAPORU_BURAK_YENI1309[[#This Row],[ALT_KOD]]))</f>
        <v>11</v>
      </c>
      <c r="L2245">
        <v>0</v>
      </c>
      <c r="M2245">
        <f>IF((DST_123_ÜRETİM_İHTİYAÇ_RAPORU_BURAK_YENI1309[[#This Row],[SATINALMA]]*DST_123_ÜRETİM_İHTİYAÇ_RAPORU_BURAK_YENI1309[[#This Row],[BIRIM_FIYATLAR]])&lt;1,VALUE("0"),DST_123_ÜRETİM_İHTİYAÇ_RAPORU_BURAK_YENI1309[[#This Row],[SATINALMA]]*DST_123_ÜRETİM_İHTİYAÇ_RAPORU_BURAK_YENI1309[[#This Row],[BIRIM_FIYATLAR]])</f>
        <v>5399.35</v>
      </c>
      <c r="N2245">
        <v>490.85</v>
      </c>
      <c r="O2245" t="s">
        <v>422</v>
      </c>
      <c r="P2245">
        <v>490.85</v>
      </c>
      <c r="Q2245" t="s">
        <v>184</v>
      </c>
    </row>
    <row r="2246" spans="1:17" x14ac:dyDescent="0.25">
      <c r="A2246" t="s">
        <v>1060</v>
      </c>
      <c r="B2246" t="s">
        <v>1061</v>
      </c>
      <c r="C2246" t="s">
        <v>175</v>
      </c>
      <c r="D2246" t="s">
        <v>665</v>
      </c>
      <c r="E2246" t="s">
        <v>666</v>
      </c>
      <c r="F2246">
        <v>1</v>
      </c>
      <c r="G2246" t="s">
        <v>176</v>
      </c>
      <c r="H2246">
        <v>1</v>
      </c>
      <c r="I2246">
        <v>0</v>
      </c>
      <c r="J2246" s="10">
        <v>4</v>
      </c>
      <c r="K2246" s="10">
        <f>SUMIFS(F:F,D:D,DST_123_ÜRETİM_İHTİYAÇ_RAPORU_BURAK_YENI1309[[#This Row],[ALT_KOD]])-(SUMIFS(H:H,D:D,DST_123_ÜRETİM_İHTİYAÇ_RAPORU_BURAK_YENI1309[[#This Row],[ALT_KOD]])+AVERAGEIFS(I:I,D:D,DST_123_ÜRETİM_İHTİYAÇ_RAPORU_BURAK_YENI1309[[#This Row],[ALT_KOD]])+AVERAGEIFS(L:L,D:D,DST_123_ÜRETİM_İHTİYAÇ_RAPORU_BURAK_YENI1309[[#This Row],[ALT_KOD]]))</f>
        <v>0</v>
      </c>
      <c r="L2246">
        <v>20</v>
      </c>
      <c r="M2246">
        <f>IF((DST_123_ÜRETİM_İHTİYAÇ_RAPORU_BURAK_YENI1309[[#This Row],[SATINALMA]]*DST_123_ÜRETİM_İHTİYAÇ_RAPORU_BURAK_YENI1309[[#This Row],[BIRIM_FIYATLAR]])&lt;1,VALUE("0"),DST_123_ÜRETİM_İHTİYAÇ_RAPORU_BURAK_YENI1309[[#This Row],[SATINALMA]]*DST_123_ÜRETİM_İHTİYAÇ_RAPORU_BURAK_YENI1309[[#This Row],[BIRIM_FIYATLAR]])</f>
        <v>0</v>
      </c>
      <c r="N2246">
        <v>28000</v>
      </c>
      <c r="O2246" t="s">
        <v>829</v>
      </c>
      <c r="P2246">
        <v>28000</v>
      </c>
      <c r="Q2246" t="s">
        <v>221</v>
      </c>
    </row>
    <row r="2247" spans="1:17" x14ac:dyDescent="0.25">
      <c r="A2247" t="s">
        <v>1057</v>
      </c>
      <c r="B2247" t="s">
        <v>1058</v>
      </c>
      <c r="C2247" t="s">
        <v>175</v>
      </c>
      <c r="D2247" t="s">
        <v>665</v>
      </c>
      <c r="E2247" t="s">
        <v>666</v>
      </c>
      <c r="F2247">
        <v>2</v>
      </c>
      <c r="G2247" t="s">
        <v>176</v>
      </c>
      <c r="H2247">
        <v>0</v>
      </c>
      <c r="I2247">
        <v>0</v>
      </c>
      <c r="J2247" s="10">
        <v>4</v>
      </c>
      <c r="K2247" s="10">
        <f>SUMIFS(F:F,D:D,DST_123_ÜRETİM_İHTİYAÇ_RAPORU_BURAK_YENI1309[[#This Row],[ALT_KOD]])-(SUMIFS(H:H,D:D,DST_123_ÜRETİM_İHTİYAÇ_RAPORU_BURAK_YENI1309[[#This Row],[ALT_KOD]])+AVERAGEIFS(I:I,D:D,DST_123_ÜRETİM_İHTİYAÇ_RAPORU_BURAK_YENI1309[[#This Row],[ALT_KOD]])+AVERAGEIFS(L:L,D:D,DST_123_ÜRETİM_İHTİYAÇ_RAPORU_BURAK_YENI1309[[#This Row],[ALT_KOD]]))</f>
        <v>0</v>
      </c>
      <c r="L2247">
        <v>20</v>
      </c>
      <c r="M2247">
        <f>IF((DST_123_ÜRETİM_İHTİYAÇ_RAPORU_BURAK_YENI1309[[#This Row],[SATINALMA]]*DST_123_ÜRETİM_İHTİYAÇ_RAPORU_BURAK_YENI1309[[#This Row],[BIRIM_FIYATLAR]])&lt;1,VALUE("0"),DST_123_ÜRETİM_İHTİYAÇ_RAPORU_BURAK_YENI1309[[#This Row],[SATINALMA]]*DST_123_ÜRETİM_İHTİYAÇ_RAPORU_BURAK_YENI1309[[#This Row],[BIRIM_FIYATLAR]])</f>
        <v>0</v>
      </c>
      <c r="N2247">
        <v>28000</v>
      </c>
      <c r="O2247" t="s">
        <v>829</v>
      </c>
      <c r="P2247">
        <v>56000</v>
      </c>
      <c r="Q2247" t="s">
        <v>221</v>
      </c>
    </row>
    <row r="2248" spans="1:17" x14ac:dyDescent="0.25">
      <c r="A2248" t="s">
        <v>1060</v>
      </c>
      <c r="B2248" t="s">
        <v>1061</v>
      </c>
      <c r="C2248" t="s">
        <v>175</v>
      </c>
      <c r="D2248" t="s">
        <v>5</v>
      </c>
      <c r="E2248" t="s">
        <v>6</v>
      </c>
      <c r="F2248">
        <v>4.0999999999999996</v>
      </c>
      <c r="G2248" t="s">
        <v>179</v>
      </c>
      <c r="H2248">
        <v>0</v>
      </c>
      <c r="I2248">
        <v>100</v>
      </c>
      <c r="J2248" s="10">
        <v>2.0000000000000568</v>
      </c>
      <c r="K2248" s="10">
        <f>SUMIFS(F:F,D:D,DST_123_ÜRETİM_İHTİYAÇ_RAPORU_BURAK_YENI1309[[#This Row],[ALT_KOD]])-(SUMIFS(H:H,D:D,DST_123_ÜRETİM_İHTİYAÇ_RAPORU_BURAK_YENI1309[[#This Row],[ALT_KOD]])+AVERAGEIFS(I:I,D:D,DST_123_ÜRETİM_İHTİYAÇ_RAPORU_BURAK_YENI1309[[#This Row],[ALT_KOD]])+AVERAGEIFS(L:L,D:D,DST_123_ÜRETİM_İHTİYAÇ_RAPORU_BURAK_YENI1309[[#This Row],[ALT_KOD]]))</f>
        <v>-6.4000000000000057</v>
      </c>
      <c r="L2248">
        <v>0</v>
      </c>
      <c r="M2248">
        <f>IF((DST_123_ÜRETİM_İHTİYAÇ_RAPORU_BURAK_YENI1309[[#This Row],[SATINALMA]]*DST_123_ÜRETİM_İHTİYAÇ_RAPORU_BURAK_YENI1309[[#This Row],[BIRIM_FIYATLAR]])&lt;1,VALUE("0"),DST_123_ÜRETİM_İHTİYAÇ_RAPORU_BURAK_YENI1309[[#This Row],[SATINALMA]]*DST_123_ÜRETİM_İHTİYAÇ_RAPORU_BURAK_YENI1309[[#This Row],[BIRIM_FIYATLAR]])</f>
        <v>0</v>
      </c>
      <c r="N2248">
        <v>111</v>
      </c>
      <c r="O2248" t="s">
        <v>826</v>
      </c>
      <c r="P2248">
        <v>455.09999999999997</v>
      </c>
      <c r="Q2248" t="s">
        <v>221</v>
      </c>
    </row>
    <row r="2249" spans="1:17" x14ac:dyDescent="0.25">
      <c r="A2249" t="s">
        <v>1057</v>
      </c>
      <c r="B2249" t="s">
        <v>1058</v>
      </c>
      <c r="C2249" t="s">
        <v>175</v>
      </c>
      <c r="D2249" t="s">
        <v>5</v>
      </c>
      <c r="E2249" t="s">
        <v>6</v>
      </c>
      <c r="F2249">
        <v>5.0999999999999996</v>
      </c>
      <c r="G2249" t="s">
        <v>179</v>
      </c>
      <c r="H2249">
        <v>0</v>
      </c>
      <c r="I2249">
        <v>100</v>
      </c>
      <c r="J2249" s="10">
        <v>2.0000000000000568</v>
      </c>
      <c r="K2249" s="10">
        <f>SUMIFS(F:F,D:D,DST_123_ÜRETİM_İHTİYAÇ_RAPORU_BURAK_YENI1309[[#This Row],[ALT_KOD]])-(SUMIFS(H:H,D:D,DST_123_ÜRETİM_İHTİYAÇ_RAPORU_BURAK_YENI1309[[#This Row],[ALT_KOD]])+AVERAGEIFS(I:I,D:D,DST_123_ÜRETİM_İHTİYAÇ_RAPORU_BURAK_YENI1309[[#This Row],[ALT_KOD]])+AVERAGEIFS(L:L,D:D,DST_123_ÜRETİM_İHTİYAÇ_RAPORU_BURAK_YENI1309[[#This Row],[ALT_KOD]]))</f>
        <v>-6.4000000000000057</v>
      </c>
      <c r="L2249">
        <v>0</v>
      </c>
      <c r="M2249">
        <f>IF((DST_123_ÜRETİM_İHTİYAÇ_RAPORU_BURAK_YENI1309[[#This Row],[SATINALMA]]*DST_123_ÜRETİM_İHTİYAÇ_RAPORU_BURAK_YENI1309[[#This Row],[BIRIM_FIYATLAR]])&lt;1,VALUE("0"),DST_123_ÜRETİM_İHTİYAÇ_RAPORU_BURAK_YENI1309[[#This Row],[SATINALMA]]*DST_123_ÜRETİM_İHTİYAÇ_RAPORU_BURAK_YENI1309[[#This Row],[BIRIM_FIYATLAR]])</f>
        <v>0</v>
      </c>
      <c r="N2249">
        <v>111</v>
      </c>
      <c r="O2249" t="s">
        <v>826</v>
      </c>
      <c r="P2249">
        <v>566.09999999999991</v>
      </c>
      <c r="Q2249" t="s">
        <v>221</v>
      </c>
    </row>
    <row r="2250" spans="1:17" x14ac:dyDescent="0.25">
      <c r="A2250" t="s">
        <v>1095</v>
      </c>
      <c r="B2250" t="s">
        <v>1096</v>
      </c>
      <c r="C2250" t="s">
        <v>175</v>
      </c>
      <c r="D2250" t="s">
        <v>420</v>
      </c>
      <c r="E2250" t="s">
        <v>421</v>
      </c>
      <c r="F2250">
        <v>1</v>
      </c>
      <c r="G2250" t="s">
        <v>179</v>
      </c>
      <c r="H2250">
        <v>0</v>
      </c>
      <c r="I2250">
        <v>0</v>
      </c>
      <c r="J2250" s="10">
        <v>3.0000000000000142</v>
      </c>
      <c r="K2250" s="10">
        <f>SUMIFS(F:F,D:D,DST_123_ÜRETİM_İHTİYAÇ_RAPORU_BURAK_YENI1309[[#This Row],[ALT_KOD]])-(SUMIFS(H:H,D:D,DST_123_ÜRETİM_İHTİYAÇ_RAPORU_BURAK_YENI1309[[#This Row],[ALT_KOD]])+AVERAGEIFS(I:I,D:D,DST_123_ÜRETİM_İHTİYAÇ_RAPORU_BURAK_YENI1309[[#This Row],[ALT_KOD]])+AVERAGEIFS(L:L,D:D,DST_123_ÜRETİM_İHTİYAÇ_RAPORU_BURAK_YENI1309[[#This Row],[ALT_KOD]]))</f>
        <v>11</v>
      </c>
      <c r="L2250">
        <v>0</v>
      </c>
      <c r="M2250">
        <f>IF((DST_123_ÜRETİM_İHTİYAÇ_RAPORU_BURAK_YENI1309[[#This Row],[SATINALMA]]*DST_123_ÜRETİM_İHTİYAÇ_RAPORU_BURAK_YENI1309[[#This Row],[BIRIM_FIYATLAR]])&lt;1,VALUE("0"),DST_123_ÜRETİM_İHTİYAÇ_RAPORU_BURAK_YENI1309[[#This Row],[SATINALMA]]*DST_123_ÜRETİM_İHTİYAÇ_RAPORU_BURAK_YENI1309[[#This Row],[BIRIM_FIYATLAR]])</f>
        <v>5399.35</v>
      </c>
      <c r="N2250">
        <v>490.85</v>
      </c>
      <c r="O2250" t="s">
        <v>422</v>
      </c>
      <c r="P2250">
        <v>490.85</v>
      </c>
      <c r="Q2250" t="s">
        <v>184</v>
      </c>
    </row>
    <row r="2251" spans="1:17" x14ac:dyDescent="0.25">
      <c r="A2251" t="s">
        <v>1143</v>
      </c>
      <c r="B2251" t="s">
        <v>1056</v>
      </c>
      <c r="C2251" t="s">
        <v>175</v>
      </c>
      <c r="D2251" t="s">
        <v>665</v>
      </c>
      <c r="E2251" t="s">
        <v>666</v>
      </c>
      <c r="F2251">
        <v>2</v>
      </c>
      <c r="G2251" t="s">
        <v>176</v>
      </c>
      <c r="H2251">
        <v>0</v>
      </c>
      <c r="I2251">
        <v>0</v>
      </c>
      <c r="J2251" s="10">
        <v>4</v>
      </c>
      <c r="K2251" s="10">
        <f>SUMIFS(F:F,D:D,DST_123_ÜRETİM_İHTİYAÇ_RAPORU_BURAK_YENI1309[[#This Row],[ALT_KOD]])-(SUMIFS(H:H,D:D,DST_123_ÜRETİM_İHTİYAÇ_RAPORU_BURAK_YENI1309[[#This Row],[ALT_KOD]])+AVERAGEIFS(I:I,D:D,DST_123_ÜRETİM_İHTİYAÇ_RAPORU_BURAK_YENI1309[[#This Row],[ALT_KOD]])+AVERAGEIFS(L:L,D:D,DST_123_ÜRETİM_İHTİYAÇ_RAPORU_BURAK_YENI1309[[#This Row],[ALT_KOD]]))</f>
        <v>0</v>
      </c>
      <c r="L2251">
        <v>20</v>
      </c>
      <c r="M2251">
        <f>IF((DST_123_ÜRETİM_İHTİYAÇ_RAPORU_BURAK_YENI1309[[#This Row],[SATINALMA]]*DST_123_ÜRETİM_İHTİYAÇ_RAPORU_BURAK_YENI1309[[#This Row],[BIRIM_FIYATLAR]])&lt;1,VALUE("0"),DST_123_ÜRETİM_İHTİYAÇ_RAPORU_BURAK_YENI1309[[#This Row],[SATINALMA]]*DST_123_ÜRETİM_İHTİYAÇ_RAPORU_BURAK_YENI1309[[#This Row],[BIRIM_FIYATLAR]])</f>
        <v>0</v>
      </c>
      <c r="N2251">
        <v>28000</v>
      </c>
      <c r="O2251" t="s">
        <v>829</v>
      </c>
      <c r="P2251">
        <v>56000</v>
      </c>
      <c r="Q2251" t="s">
        <v>221</v>
      </c>
    </row>
    <row r="2252" spans="1:17" x14ac:dyDescent="0.25">
      <c r="A2252" t="s">
        <v>1059</v>
      </c>
      <c r="B2252" t="s">
        <v>1058</v>
      </c>
      <c r="C2252" t="s">
        <v>175</v>
      </c>
      <c r="D2252" t="s">
        <v>665</v>
      </c>
      <c r="E2252" t="s">
        <v>666</v>
      </c>
      <c r="F2252">
        <v>2</v>
      </c>
      <c r="G2252" t="s">
        <v>176</v>
      </c>
      <c r="H2252">
        <v>0</v>
      </c>
      <c r="I2252">
        <v>0</v>
      </c>
      <c r="J2252" s="10">
        <v>4</v>
      </c>
      <c r="K2252" s="10">
        <f>SUMIFS(F:F,D:D,DST_123_ÜRETİM_İHTİYAÇ_RAPORU_BURAK_YENI1309[[#This Row],[ALT_KOD]])-(SUMIFS(H:H,D:D,DST_123_ÜRETİM_İHTİYAÇ_RAPORU_BURAK_YENI1309[[#This Row],[ALT_KOD]])+AVERAGEIFS(I:I,D:D,DST_123_ÜRETİM_İHTİYAÇ_RAPORU_BURAK_YENI1309[[#This Row],[ALT_KOD]])+AVERAGEIFS(L:L,D:D,DST_123_ÜRETİM_İHTİYAÇ_RAPORU_BURAK_YENI1309[[#This Row],[ALT_KOD]]))</f>
        <v>0</v>
      </c>
      <c r="L2252">
        <v>20</v>
      </c>
      <c r="M2252">
        <f>IF((DST_123_ÜRETİM_İHTİYAÇ_RAPORU_BURAK_YENI1309[[#This Row],[SATINALMA]]*DST_123_ÜRETİM_İHTİYAÇ_RAPORU_BURAK_YENI1309[[#This Row],[BIRIM_FIYATLAR]])&lt;1,VALUE("0"),DST_123_ÜRETİM_İHTİYAÇ_RAPORU_BURAK_YENI1309[[#This Row],[SATINALMA]]*DST_123_ÜRETİM_İHTİYAÇ_RAPORU_BURAK_YENI1309[[#This Row],[BIRIM_FIYATLAR]])</f>
        <v>0</v>
      </c>
      <c r="N2252">
        <v>28000</v>
      </c>
      <c r="O2252" t="s">
        <v>829</v>
      </c>
      <c r="P2252">
        <v>56000</v>
      </c>
      <c r="Q2252" t="s">
        <v>221</v>
      </c>
    </row>
    <row r="2253" spans="1:17" x14ac:dyDescent="0.25">
      <c r="A2253" t="s">
        <v>1143</v>
      </c>
      <c r="B2253" t="s">
        <v>1056</v>
      </c>
      <c r="C2253" t="s">
        <v>175</v>
      </c>
      <c r="D2253" t="s">
        <v>5</v>
      </c>
      <c r="E2253" t="s">
        <v>6</v>
      </c>
      <c r="F2253">
        <v>8</v>
      </c>
      <c r="G2253" t="s">
        <v>179</v>
      </c>
      <c r="H2253">
        <v>0</v>
      </c>
      <c r="I2253">
        <v>100</v>
      </c>
      <c r="J2253" s="10">
        <v>2.0000000000000568</v>
      </c>
      <c r="K2253" s="10">
        <f>SUMIFS(F:F,D:D,DST_123_ÜRETİM_İHTİYAÇ_RAPORU_BURAK_YENI1309[[#This Row],[ALT_KOD]])-(SUMIFS(H:H,D:D,DST_123_ÜRETİM_İHTİYAÇ_RAPORU_BURAK_YENI1309[[#This Row],[ALT_KOD]])+AVERAGEIFS(I:I,D:D,DST_123_ÜRETİM_İHTİYAÇ_RAPORU_BURAK_YENI1309[[#This Row],[ALT_KOD]])+AVERAGEIFS(L:L,D:D,DST_123_ÜRETİM_İHTİYAÇ_RAPORU_BURAK_YENI1309[[#This Row],[ALT_KOD]]))</f>
        <v>-6.4000000000000057</v>
      </c>
      <c r="L2253">
        <v>0</v>
      </c>
      <c r="M2253">
        <f>IF((DST_123_ÜRETİM_İHTİYAÇ_RAPORU_BURAK_YENI1309[[#This Row],[SATINALMA]]*DST_123_ÜRETİM_İHTİYAÇ_RAPORU_BURAK_YENI1309[[#This Row],[BIRIM_FIYATLAR]])&lt;1,VALUE("0"),DST_123_ÜRETİM_İHTİYAÇ_RAPORU_BURAK_YENI1309[[#This Row],[SATINALMA]]*DST_123_ÜRETİM_İHTİYAÇ_RAPORU_BURAK_YENI1309[[#This Row],[BIRIM_FIYATLAR]])</f>
        <v>0</v>
      </c>
      <c r="N2253">
        <v>111</v>
      </c>
      <c r="O2253" t="s">
        <v>826</v>
      </c>
      <c r="P2253">
        <v>888</v>
      </c>
      <c r="Q2253" t="s">
        <v>221</v>
      </c>
    </row>
    <row r="2254" spans="1:17" x14ac:dyDescent="0.25">
      <c r="A2254" t="s">
        <v>1059</v>
      </c>
      <c r="B2254" t="s">
        <v>1058</v>
      </c>
      <c r="C2254" t="s">
        <v>175</v>
      </c>
      <c r="D2254" t="s">
        <v>5</v>
      </c>
      <c r="E2254" t="s">
        <v>6</v>
      </c>
      <c r="F2254">
        <v>5.0999999999999996</v>
      </c>
      <c r="G2254" t="s">
        <v>179</v>
      </c>
      <c r="H2254">
        <v>0</v>
      </c>
      <c r="I2254">
        <v>100</v>
      </c>
      <c r="J2254" s="10">
        <v>2.0000000000000568</v>
      </c>
      <c r="K2254" s="10">
        <f>SUMIFS(F:F,D:D,DST_123_ÜRETİM_İHTİYAÇ_RAPORU_BURAK_YENI1309[[#This Row],[ALT_KOD]])-(SUMIFS(H:H,D:D,DST_123_ÜRETİM_İHTİYAÇ_RAPORU_BURAK_YENI1309[[#This Row],[ALT_KOD]])+AVERAGEIFS(I:I,D:D,DST_123_ÜRETİM_İHTİYAÇ_RAPORU_BURAK_YENI1309[[#This Row],[ALT_KOD]])+AVERAGEIFS(L:L,D:D,DST_123_ÜRETİM_İHTİYAÇ_RAPORU_BURAK_YENI1309[[#This Row],[ALT_KOD]]))</f>
        <v>-6.4000000000000057</v>
      </c>
      <c r="L2254">
        <v>0</v>
      </c>
      <c r="M2254">
        <f>IF((DST_123_ÜRETİM_İHTİYAÇ_RAPORU_BURAK_YENI1309[[#This Row],[SATINALMA]]*DST_123_ÜRETİM_İHTİYAÇ_RAPORU_BURAK_YENI1309[[#This Row],[BIRIM_FIYATLAR]])&lt;1,VALUE("0"),DST_123_ÜRETİM_İHTİYAÇ_RAPORU_BURAK_YENI1309[[#This Row],[SATINALMA]]*DST_123_ÜRETİM_İHTİYAÇ_RAPORU_BURAK_YENI1309[[#This Row],[BIRIM_FIYATLAR]])</f>
        <v>0</v>
      </c>
      <c r="N2254">
        <v>111</v>
      </c>
      <c r="O2254" t="s">
        <v>826</v>
      </c>
      <c r="P2254">
        <v>566.09999999999991</v>
      </c>
      <c r="Q2254" t="s">
        <v>221</v>
      </c>
    </row>
    <row r="2255" spans="1:17" x14ac:dyDescent="0.25">
      <c r="A2255" t="s">
        <v>1059</v>
      </c>
      <c r="B2255" t="s">
        <v>1058</v>
      </c>
      <c r="C2255" t="s">
        <v>175</v>
      </c>
      <c r="D2255" t="s">
        <v>9</v>
      </c>
      <c r="E2255" t="s">
        <v>10</v>
      </c>
      <c r="F2255">
        <v>4</v>
      </c>
      <c r="G2255" t="s">
        <v>176</v>
      </c>
      <c r="H2255">
        <v>4</v>
      </c>
      <c r="I2255">
        <v>39</v>
      </c>
      <c r="J2255" s="10">
        <v>32</v>
      </c>
      <c r="K2255" s="10">
        <f>SUMIFS(F:F,D:D,DST_123_ÜRETİM_İHTİYAÇ_RAPORU_BURAK_YENI1309[[#This Row],[ALT_KOD]])-(SUMIFS(H:H,D:D,DST_123_ÜRETİM_İHTİYAÇ_RAPORU_BURAK_YENI1309[[#This Row],[ALT_KOD]])+AVERAGEIFS(I:I,D:D,DST_123_ÜRETİM_İHTİYAÇ_RAPORU_BURAK_YENI1309[[#This Row],[ALT_KOD]])+AVERAGEIFS(L:L,D:D,DST_123_ÜRETİM_İHTİYAÇ_RAPORU_BURAK_YENI1309[[#This Row],[ALT_KOD]]))</f>
        <v>-11</v>
      </c>
      <c r="L2255">
        <v>0</v>
      </c>
      <c r="M2255">
        <f>IF((DST_123_ÜRETİM_İHTİYAÇ_RAPORU_BURAK_YENI1309[[#This Row],[SATINALMA]]*DST_123_ÜRETİM_İHTİYAÇ_RAPORU_BURAK_YENI1309[[#This Row],[BIRIM_FIYATLAR]])&lt;1,VALUE("0"),DST_123_ÜRETİM_İHTİYAÇ_RAPORU_BURAK_YENI1309[[#This Row],[SATINALMA]]*DST_123_ÜRETİM_İHTİYAÇ_RAPORU_BURAK_YENI1309[[#This Row],[BIRIM_FIYATLAR]])</f>
        <v>0</v>
      </c>
      <c r="N2255">
        <v>73.349999999999994</v>
      </c>
      <c r="O2255" t="s">
        <v>227</v>
      </c>
      <c r="P2255">
        <v>293.39999999999998</v>
      </c>
      <c r="Q2255" t="s">
        <v>221</v>
      </c>
    </row>
    <row r="2256" spans="1:17" x14ac:dyDescent="0.25">
      <c r="A2256" t="s">
        <v>1143</v>
      </c>
      <c r="B2256" t="s">
        <v>1056</v>
      </c>
      <c r="C2256" t="s">
        <v>175</v>
      </c>
      <c r="D2256" t="s">
        <v>204</v>
      </c>
      <c r="E2256" t="s">
        <v>205</v>
      </c>
      <c r="F2256">
        <v>1</v>
      </c>
      <c r="G2256" t="s">
        <v>176</v>
      </c>
      <c r="H2256">
        <v>0</v>
      </c>
      <c r="I2256">
        <v>100</v>
      </c>
      <c r="J2256" s="10">
        <v>41</v>
      </c>
      <c r="K2256" s="10">
        <f>SUMIFS(F:F,D:D,DST_123_ÜRETİM_İHTİYAÇ_RAPORU_BURAK_YENI1309[[#This Row],[ALT_KOD]])-(SUMIFS(H:H,D:D,DST_123_ÜRETİM_İHTİYAÇ_RAPORU_BURAK_YENI1309[[#This Row],[ALT_KOD]])+AVERAGEIFS(I:I,D:D,DST_123_ÜRETİM_İHTİYAÇ_RAPORU_BURAK_YENI1309[[#This Row],[ALT_KOD]])+AVERAGEIFS(L:L,D:D,DST_123_ÜRETİM_İHTİYAÇ_RAPORU_BURAK_YENI1309[[#This Row],[ALT_KOD]]))</f>
        <v>-89.5</v>
      </c>
      <c r="L2256">
        <v>0</v>
      </c>
      <c r="M2256">
        <f>IF((DST_123_ÜRETİM_İHTİYAÇ_RAPORU_BURAK_YENI1309[[#This Row],[SATINALMA]]*DST_123_ÜRETİM_İHTİYAÇ_RAPORU_BURAK_YENI1309[[#This Row],[BIRIM_FIYATLAR]])&lt;1,VALUE("0"),DST_123_ÜRETİM_İHTİYAÇ_RAPORU_BURAK_YENI1309[[#This Row],[SATINALMA]]*DST_123_ÜRETİM_İHTİYAÇ_RAPORU_BURAK_YENI1309[[#This Row],[BIRIM_FIYATLAR]])</f>
        <v>0</v>
      </c>
      <c r="N2256">
        <v>60</v>
      </c>
      <c r="O2256" t="s">
        <v>220</v>
      </c>
      <c r="P2256">
        <v>60</v>
      </c>
      <c r="Q2256" t="s">
        <v>180</v>
      </c>
    </row>
    <row r="2257" spans="1:17" x14ac:dyDescent="0.25">
      <c r="A2257" t="s">
        <v>1099</v>
      </c>
      <c r="B2257" t="s">
        <v>1055</v>
      </c>
      <c r="C2257" t="s">
        <v>175</v>
      </c>
      <c r="D2257" t="s">
        <v>420</v>
      </c>
      <c r="E2257" t="s">
        <v>421</v>
      </c>
      <c r="F2257">
        <v>1</v>
      </c>
      <c r="G2257" t="s">
        <v>179</v>
      </c>
      <c r="H2257">
        <v>0</v>
      </c>
      <c r="I2257">
        <v>0</v>
      </c>
      <c r="J2257" s="10">
        <v>3.0000000000000142</v>
      </c>
      <c r="K2257" s="10">
        <f>SUMIFS(F:F,D:D,DST_123_ÜRETİM_İHTİYAÇ_RAPORU_BURAK_YENI1309[[#This Row],[ALT_KOD]])-(SUMIFS(H:H,D:D,DST_123_ÜRETİM_İHTİYAÇ_RAPORU_BURAK_YENI1309[[#This Row],[ALT_KOD]])+AVERAGEIFS(I:I,D:D,DST_123_ÜRETİM_İHTİYAÇ_RAPORU_BURAK_YENI1309[[#This Row],[ALT_KOD]])+AVERAGEIFS(L:L,D:D,DST_123_ÜRETİM_İHTİYAÇ_RAPORU_BURAK_YENI1309[[#This Row],[ALT_KOD]]))</f>
        <v>11</v>
      </c>
      <c r="L2257">
        <v>0</v>
      </c>
      <c r="M2257">
        <f>IF((DST_123_ÜRETİM_İHTİYAÇ_RAPORU_BURAK_YENI1309[[#This Row],[SATINALMA]]*DST_123_ÜRETİM_İHTİYAÇ_RAPORU_BURAK_YENI1309[[#This Row],[BIRIM_FIYATLAR]])&lt;1,VALUE("0"),DST_123_ÜRETİM_İHTİYAÇ_RAPORU_BURAK_YENI1309[[#This Row],[SATINALMA]]*DST_123_ÜRETİM_İHTİYAÇ_RAPORU_BURAK_YENI1309[[#This Row],[BIRIM_FIYATLAR]])</f>
        <v>5399.35</v>
      </c>
      <c r="N2257">
        <v>490.85</v>
      </c>
      <c r="O2257" t="s">
        <v>422</v>
      </c>
      <c r="P2257">
        <v>490.85</v>
      </c>
      <c r="Q2257" t="s">
        <v>184</v>
      </c>
    </row>
    <row r="2258" spans="1:17" x14ac:dyDescent="0.25">
      <c r="A2258" t="s">
        <v>1196</v>
      </c>
      <c r="B2258" t="s">
        <v>1197</v>
      </c>
      <c r="C2258" t="s">
        <v>175</v>
      </c>
      <c r="D2258" t="s">
        <v>420</v>
      </c>
      <c r="E2258" t="s">
        <v>421</v>
      </c>
      <c r="F2258">
        <v>3</v>
      </c>
      <c r="G2258" t="s">
        <v>179</v>
      </c>
      <c r="H2258">
        <v>0</v>
      </c>
      <c r="I2258">
        <v>0</v>
      </c>
      <c r="J2258" s="10">
        <v>3.0000000000000142</v>
      </c>
      <c r="K2258" s="10">
        <f>SUMIFS(F:F,D:D,DST_123_ÜRETİM_İHTİYAÇ_RAPORU_BURAK_YENI1309[[#This Row],[ALT_KOD]])-(SUMIFS(H:H,D:D,DST_123_ÜRETİM_İHTİYAÇ_RAPORU_BURAK_YENI1309[[#This Row],[ALT_KOD]])+AVERAGEIFS(I:I,D:D,DST_123_ÜRETİM_İHTİYAÇ_RAPORU_BURAK_YENI1309[[#This Row],[ALT_KOD]])+AVERAGEIFS(L:L,D:D,DST_123_ÜRETİM_İHTİYAÇ_RAPORU_BURAK_YENI1309[[#This Row],[ALT_KOD]]))</f>
        <v>11</v>
      </c>
      <c r="L2258">
        <v>0</v>
      </c>
      <c r="M2258">
        <f>IF((DST_123_ÜRETİM_İHTİYAÇ_RAPORU_BURAK_YENI1309[[#This Row],[SATINALMA]]*DST_123_ÜRETİM_İHTİYAÇ_RAPORU_BURAK_YENI1309[[#This Row],[BIRIM_FIYATLAR]])&lt;1,VALUE("0"),DST_123_ÜRETİM_İHTİYAÇ_RAPORU_BURAK_YENI1309[[#This Row],[SATINALMA]]*DST_123_ÜRETİM_İHTİYAÇ_RAPORU_BURAK_YENI1309[[#This Row],[BIRIM_FIYATLAR]])</f>
        <v>5399.35</v>
      </c>
      <c r="N2258">
        <v>490.85</v>
      </c>
      <c r="O2258" t="s">
        <v>422</v>
      </c>
      <c r="P2258">
        <v>1472.5500000000002</v>
      </c>
      <c r="Q2258" t="s">
        <v>184</v>
      </c>
    </row>
    <row r="2259" spans="1:17" x14ac:dyDescent="0.25">
      <c r="A2259" t="s">
        <v>1099</v>
      </c>
      <c r="B2259" t="s">
        <v>1055</v>
      </c>
      <c r="C2259" t="s">
        <v>175</v>
      </c>
      <c r="D2259" t="s">
        <v>159</v>
      </c>
      <c r="E2259" t="s">
        <v>160</v>
      </c>
      <c r="F2259">
        <v>0.23</v>
      </c>
      <c r="G2259" t="s">
        <v>179</v>
      </c>
      <c r="H2259">
        <v>0</v>
      </c>
      <c r="I2259">
        <v>52</v>
      </c>
      <c r="J2259" s="10">
        <v>38.620000000000005</v>
      </c>
      <c r="K2259" s="10">
        <f>SUMIFS(F:F,D:D,DST_123_ÜRETİM_İHTİYAÇ_RAPORU_BURAK_YENI1309[[#This Row],[ALT_KOD]])-(SUMIFS(H:H,D:D,DST_123_ÜRETİM_İHTİYAÇ_RAPORU_BURAK_YENI1309[[#This Row],[ALT_KOD]])+AVERAGEIFS(I:I,D:D,DST_123_ÜRETİM_İHTİYAÇ_RAPORU_BURAK_YENI1309[[#This Row],[ALT_KOD]])+AVERAGEIFS(L:L,D:D,DST_123_ÜRETİM_İHTİYAÇ_RAPORU_BURAK_YENI1309[[#This Row],[ALT_KOD]]))</f>
        <v>-47.39</v>
      </c>
      <c r="L2259">
        <v>0</v>
      </c>
      <c r="M2259">
        <f>IF((DST_123_ÜRETİM_İHTİYAÇ_RAPORU_BURAK_YENI1309[[#This Row],[SATINALMA]]*DST_123_ÜRETİM_İHTİYAÇ_RAPORU_BURAK_YENI1309[[#This Row],[BIRIM_FIYATLAR]])&lt;1,VALUE("0"),DST_123_ÜRETİM_İHTİYAÇ_RAPORU_BURAK_YENI1309[[#This Row],[SATINALMA]]*DST_123_ÜRETİM_İHTİYAÇ_RAPORU_BURAK_YENI1309[[#This Row],[BIRIM_FIYATLAR]])</f>
        <v>0</v>
      </c>
      <c r="N2259">
        <v>126.36</v>
      </c>
      <c r="O2259" t="s">
        <v>619</v>
      </c>
      <c r="P2259">
        <v>29.062800000000003</v>
      </c>
      <c r="Q2259" t="s">
        <v>178</v>
      </c>
    </row>
    <row r="2260" spans="1:17" x14ac:dyDescent="0.25">
      <c r="A2260" t="s">
        <v>1142</v>
      </c>
      <c r="B2260" t="s">
        <v>1056</v>
      </c>
      <c r="C2260" t="s">
        <v>175</v>
      </c>
      <c r="D2260" t="s">
        <v>98</v>
      </c>
      <c r="E2260" t="s">
        <v>248</v>
      </c>
      <c r="F2260">
        <v>7</v>
      </c>
      <c r="G2260" t="s">
        <v>176</v>
      </c>
      <c r="H2260">
        <v>0</v>
      </c>
      <c r="I2260">
        <v>230</v>
      </c>
      <c r="J2260" s="10">
        <v>72</v>
      </c>
      <c r="K2260" s="10">
        <f>SUMIFS(F:F,D:D,DST_123_ÜRETİM_İHTİYAÇ_RAPORU_BURAK_YENI1309[[#This Row],[ALT_KOD]])-(SUMIFS(H:H,D:D,DST_123_ÜRETİM_İHTİYAÇ_RAPORU_BURAK_YENI1309[[#This Row],[ALT_KOD]])+AVERAGEIFS(I:I,D:D,DST_123_ÜRETİM_İHTİYAÇ_RAPORU_BURAK_YENI1309[[#This Row],[ALT_KOD]])+AVERAGEIFS(L:L,D:D,DST_123_ÜRETİM_İHTİYAÇ_RAPORU_BURAK_YENI1309[[#This Row],[ALT_KOD]]))</f>
        <v>-172</v>
      </c>
      <c r="L2260">
        <v>0</v>
      </c>
      <c r="M2260">
        <f>IF((DST_123_ÜRETİM_İHTİYAÇ_RAPORU_BURAK_YENI1309[[#This Row],[SATINALMA]]*DST_123_ÜRETİM_İHTİYAÇ_RAPORU_BURAK_YENI1309[[#This Row],[BIRIM_FIYATLAR]])&lt;1,VALUE("0"),DST_123_ÜRETİM_İHTİYAÇ_RAPORU_BURAK_YENI1309[[#This Row],[SATINALMA]]*DST_123_ÜRETİM_İHTİYAÇ_RAPORU_BURAK_YENI1309[[#This Row],[BIRIM_FIYATLAR]])</f>
        <v>0</v>
      </c>
      <c r="N2260">
        <v>225</v>
      </c>
      <c r="O2260" t="s">
        <v>825</v>
      </c>
      <c r="P2260">
        <v>1575</v>
      </c>
      <c r="Q2260" t="s">
        <v>177</v>
      </c>
    </row>
    <row r="2261" spans="1:17" x14ac:dyDescent="0.25">
      <c r="A2261" t="s">
        <v>1060</v>
      </c>
      <c r="B2261" t="s">
        <v>1061</v>
      </c>
      <c r="C2261" t="s">
        <v>175</v>
      </c>
      <c r="D2261" t="s">
        <v>540</v>
      </c>
      <c r="E2261" t="s">
        <v>541</v>
      </c>
      <c r="F2261">
        <v>4</v>
      </c>
      <c r="G2261" t="s">
        <v>176</v>
      </c>
      <c r="H2261">
        <v>0</v>
      </c>
      <c r="I2261">
        <v>1000</v>
      </c>
      <c r="J2261" s="10">
        <v>0</v>
      </c>
      <c r="K2261" s="10">
        <f>SUMIFS(F:F,D:D,DST_123_ÜRETİM_İHTİYAÇ_RAPORU_BURAK_YENI1309[[#This Row],[ALT_KOD]])-(SUMIFS(H:H,D:D,DST_123_ÜRETİM_İHTİYAÇ_RAPORU_BURAK_YENI1309[[#This Row],[ALT_KOD]])+AVERAGEIFS(I:I,D:D,DST_123_ÜRETİM_İHTİYAÇ_RAPORU_BURAK_YENI1309[[#This Row],[ALT_KOD]])+AVERAGEIFS(L:L,D:D,DST_123_ÜRETİM_İHTİYAÇ_RAPORU_BURAK_YENI1309[[#This Row],[ALT_KOD]]))</f>
        <v>-964</v>
      </c>
      <c r="L2261">
        <v>0</v>
      </c>
      <c r="M2261">
        <f>IF((DST_123_ÜRETİM_İHTİYAÇ_RAPORU_BURAK_YENI1309[[#This Row],[SATINALMA]]*DST_123_ÜRETİM_İHTİYAÇ_RAPORU_BURAK_YENI1309[[#This Row],[BIRIM_FIYATLAR]])&lt;1,VALUE("0"),DST_123_ÜRETİM_İHTİYAÇ_RAPORU_BURAK_YENI1309[[#This Row],[SATINALMA]]*DST_123_ÜRETİM_İHTİYAÇ_RAPORU_BURAK_YENI1309[[#This Row],[BIRIM_FIYATLAR]])</f>
        <v>0</v>
      </c>
      <c r="N2261">
        <v>1.2</v>
      </c>
      <c r="O2261" t="s">
        <v>240</v>
      </c>
      <c r="P2261">
        <v>4.8</v>
      </c>
      <c r="Q2261" t="s">
        <v>180</v>
      </c>
    </row>
    <row r="2262" spans="1:17" x14ac:dyDescent="0.25">
      <c r="A2262" t="s">
        <v>1101</v>
      </c>
      <c r="B2262" t="s">
        <v>1102</v>
      </c>
      <c r="C2262" t="s">
        <v>175</v>
      </c>
      <c r="D2262" t="s">
        <v>256</v>
      </c>
      <c r="E2262" t="s">
        <v>257</v>
      </c>
      <c r="F2262">
        <v>2.8</v>
      </c>
      <c r="G2262" t="s">
        <v>176</v>
      </c>
      <c r="H2262">
        <v>0</v>
      </c>
      <c r="I2262">
        <v>14</v>
      </c>
      <c r="J2262" s="10">
        <v>6.8000000000000025</v>
      </c>
      <c r="K2262" s="10">
        <f>SUMIFS(F:F,D:D,DST_123_ÜRETİM_İHTİYAÇ_RAPORU_BURAK_YENI1309[[#This Row],[ALT_KOD]])-(SUMIFS(H:H,D:D,DST_123_ÜRETİM_İHTİYAÇ_RAPORU_BURAK_YENI1309[[#This Row],[ALT_KOD]])+AVERAGEIFS(I:I,D:D,DST_123_ÜRETİM_İHTİYAÇ_RAPORU_BURAK_YENI1309[[#This Row],[ALT_KOD]])+AVERAGEIFS(L:L,D:D,DST_123_ÜRETİM_İHTİYAÇ_RAPORU_BURAK_YENI1309[[#This Row],[ALT_KOD]]))</f>
        <v>7.7000000000000028</v>
      </c>
      <c r="L2262">
        <v>12</v>
      </c>
      <c r="M2262">
        <f>IF((DST_123_ÜRETİM_İHTİYAÇ_RAPORU_BURAK_YENI1309[[#This Row],[SATINALMA]]*DST_123_ÜRETİM_İHTİYAÇ_RAPORU_BURAK_YENI1309[[#This Row],[BIRIM_FIYATLAR]])&lt;1,VALUE("0"),DST_123_ÜRETİM_İHTİYAÇ_RAPORU_BURAK_YENI1309[[#This Row],[SATINALMA]]*DST_123_ÜRETİM_İHTİYAÇ_RAPORU_BURAK_YENI1309[[#This Row],[BIRIM_FIYATLAR]])</f>
        <v>2532.1450000000009</v>
      </c>
      <c r="N2262">
        <v>328.85</v>
      </c>
      <c r="O2262" t="s">
        <v>258</v>
      </c>
      <c r="P2262">
        <v>920.78</v>
      </c>
      <c r="Q2262" t="s">
        <v>183</v>
      </c>
    </row>
    <row r="2263" spans="1:17" x14ac:dyDescent="0.25">
      <c r="A2263" t="s">
        <v>1098</v>
      </c>
      <c r="B2263" t="s">
        <v>1096</v>
      </c>
      <c r="C2263" t="s">
        <v>175</v>
      </c>
      <c r="D2263" t="s">
        <v>680</v>
      </c>
      <c r="E2263" t="s">
        <v>681</v>
      </c>
      <c r="F2263">
        <v>1</v>
      </c>
      <c r="G2263" t="s">
        <v>176</v>
      </c>
      <c r="H2263">
        <v>0</v>
      </c>
      <c r="I2263">
        <v>10</v>
      </c>
      <c r="J2263" s="10">
        <v>4</v>
      </c>
      <c r="K2263" s="10">
        <f>SUMIFS(F:F,D:D,DST_123_ÜRETİM_İHTİYAÇ_RAPORU_BURAK_YENI1309[[#This Row],[ALT_KOD]])-(SUMIFS(H:H,D:D,DST_123_ÜRETİM_İHTİYAÇ_RAPORU_BURAK_YENI1309[[#This Row],[ALT_KOD]])+AVERAGEIFS(I:I,D:D,DST_123_ÜRETİM_İHTİYAÇ_RAPORU_BURAK_YENI1309[[#This Row],[ALT_KOD]])+AVERAGEIFS(L:L,D:D,DST_123_ÜRETİM_İHTİYAÇ_RAPORU_BURAK_YENI1309[[#This Row],[ALT_KOD]]))</f>
        <v>-6</v>
      </c>
      <c r="L2263">
        <v>0</v>
      </c>
      <c r="M2263">
        <f>IF((DST_123_ÜRETİM_İHTİYAÇ_RAPORU_BURAK_YENI1309[[#This Row],[SATINALMA]]*DST_123_ÜRETİM_İHTİYAÇ_RAPORU_BURAK_YENI1309[[#This Row],[BIRIM_FIYATLAR]])&lt;1,VALUE("0"),DST_123_ÜRETİM_İHTİYAÇ_RAPORU_BURAK_YENI1309[[#This Row],[SATINALMA]]*DST_123_ÜRETİM_İHTİYAÇ_RAPORU_BURAK_YENI1309[[#This Row],[BIRIM_FIYATLAR]])</f>
        <v>0</v>
      </c>
      <c r="N2263">
        <v>252</v>
      </c>
      <c r="O2263" t="s">
        <v>246</v>
      </c>
      <c r="P2263">
        <v>252</v>
      </c>
      <c r="Q2263" t="s">
        <v>180</v>
      </c>
    </row>
    <row r="2264" spans="1:17" x14ac:dyDescent="0.25">
      <c r="A2264" t="s">
        <v>1099</v>
      </c>
      <c r="B2264" t="s">
        <v>1055</v>
      </c>
      <c r="C2264" t="s">
        <v>175</v>
      </c>
      <c r="D2264" t="s">
        <v>680</v>
      </c>
      <c r="E2264" t="s">
        <v>681</v>
      </c>
      <c r="F2264">
        <v>1</v>
      </c>
      <c r="G2264" t="s">
        <v>176</v>
      </c>
      <c r="H2264">
        <v>1</v>
      </c>
      <c r="I2264">
        <v>10</v>
      </c>
      <c r="J2264" s="10">
        <v>4</v>
      </c>
      <c r="K2264" s="10">
        <f>SUMIFS(F:F,D:D,DST_123_ÜRETİM_İHTİYAÇ_RAPORU_BURAK_YENI1309[[#This Row],[ALT_KOD]])-(SUMIFS(H:H,D:D,DST_123_ÜRETİM_İHTİYAÇ_RAPORU_BURAK_YENI1309[[#This Row],[ALT_KOD]])+AVERAGEIFS(I:I,D:D,DST_123_ÜRETİM_İHTİYAÇ_RAPORU_BURAK_YENI1309[[#This Row],[ALT_KOD]])+AVERAGEIFS(L:L,D:D,DST_123_ÜRETİM_İHTİYAÇ_RAPORU_BURAK_YENI1309[[#This Row],[ALT_KOD]]))</f>
        <v>-6</v>
      </c>
      <c r="L2264">
        <v>0</v>
      </c>
      <c r="M2264">
        <f>IF((DST_123_ÜRETİM_İHTİYAÇ_RAPORU_BURAK_YENI1309[[#This Row],[SATINALMA]]*DST_123_ÜRETİM_İHTİYAÇ_RAPORU_BURAK_YENI1309[[#This Row],[BIRIM_FIYATLAR]])&lt;1,VALUE("0"),DST_123_ÜRETİM_İHTİYAÇ_RAPORU_BURAK_YENI1309[[#This Row],[SATINALMA]]*DST_123_ÜRETİM_İHTİYAÇ_RAPORU_BURAK_YENI1309[[#This Row],[BIRIM_FIYATLAR]])</f>
        <v>0</v>
      </c>
      <c r="N2264">
        <v>252</v>
      </c>
      <c r="O2264" t="s">
        <v>246</v>
      </c>
      <c r="P2264">
        <v>252</v>
      </c>
      <c r="Q2264" t="s">
        <v>180</v>
      </c>
    </row>
    <row r="2265" spans="1:17" x14ac:dyDescent="0.25">
      <c r="A2265" t="s">
        <v>1098</v>
      </c>
      <c r="B2265" t="s">
        <v>1096</v>
      </c>
      <c r="C2265" t="s">
        <v>175</v>
      </c>
      <c r="D2265" t="s">
        <v>697</v>
      </c>
      <c r="E2265" t="s">
        <v>698</v>
      </c>
      <c r="F2265">
        <v>1</v>
      </c>
      <c r="G2265" t="s">
        <v>176</v>
      </c>
      <c r="H2265">
        <v>0</v>
      </c>
      <c r="I2265">
        <v>6</v>
      </c>
      <c r="J2265" s="10">
        <v>5</v>
      </c>
      <c r="K2265" s="10">
        <f>SUMIFS(F:F,D:D,DST_123_ÜRETİM_İHTİYAÇ_RAPORU_BURAK_YENI1309[[#This Row],[ALT_KOD]])-(SUMIFS(H:H,D:D,DST_123_ÜRETİM_İHTİYAÇ_RAPORU_BURAK_YENI1309[[#This Row],[ALT_KOD]])+AVERAGEIFS(I:I,D:D,DST_123_ÜRETİM_İHTİYAÇ_RAPORU_BURAK_YENI1309[[#This Row],[ALT_KOD]])+AVERAGEIFS(L:L,D:D,DST_123_ÜRETİM_İHTİYAÇ_RAPORU_BURAK_YENI1309[[#This Row],[ALT_KOD]]))</f>
        <v>5</v>
      </c>
      <c r="L2265">
        <v>0</v>
      </c>
      <c r="M2265">
        <f>IF((DST_123_ÜRETİM_İHTİYAÇ_RAPORU_BURAK_YENI1309[[#This Row],[SATINALMA]]*DST_123_ÜRETİM_İHTİYAÇ_RAPORU_BURAK_YENI1309[[#This Row],[BIRIM_FIYATLAR]])&lt;1,VALUE("0"),DST_123_ÜRETİM_İHTİYAÇ_RAPORU_BURAK_YENI1309[[#This Row],[SATINALMA]]*DST_123_ÜRETİM_İHTİYAÇ_RAPORU_BURAK_YENI1309[[#This Row],[BIRIM_FIYATLAR]])</f>
        <v>11000</v>
      </c>
      <c r="N2265">
        <v>2200</v>
      </c>
      <c r="O2265" t="s">
        <v>251</v>
      </c>
      <c r="P2265">
        <v>2200</v>
      </c>
      <c r="Q2265" t="s">
        <v>178</v>
      </c>
    </row>
    <row r="2266" spans="1:17" x14ac:dyDescent="0.25">
      <c r="A2266" t="s">
        <v>1101</v>
      </c>
      <c r="B2266" t="s">
        <v>1102</v>
      </c>
      <c r="C2266" t="s">
        <v>175</v>
      </c>
      <c r="D2266" t="s">
        <v>121</v>
      </c>
      <c r="E2266" t="s">
        <v>122</v>
      </c>
      <c r="F2266">
        <v>29</v>
      </c>
      <c r="G2266" t="s">
        <v>179</v>
      </c>
      <c r="H2266">
        <v>0</v>
      </c>
      <c r="I2266">
        <v>150</v>
      </c>
      <c r="J2266" s="10">
        <v>50</v>
      </c>
      <c r="K2266" s="10">
        <f>SUMIFS(F:F,D:D,DST_123_ÜRETİM_İHTİYAÇ_RAPORU_BURAK_YENI1309[[#This Row],[ALT_KOD]])-(SUMIFS(H:H,D:D,DST_123_ÜRETİM_İHTİYAÇ_RAPORU_BURAK_YENI1309[[#This Row],[ALT_KOD]])+AVERAGEIFS(I:I,D:D,DST_123_ÜRETİM_İHTİYAÇ_RAPORU_BURAK_YENI1309[[#This Row],[ALT_KOD]])+AVERAGEIFS(L:L,D:D,DST_123_ÜRETİM_İHTİYAÇ_RAPORU_BURAK_YENI1309[[#This Row],[ALT_KOD]]))</f>
        <v>71</v>
      </c>
      <c r="L2266">
        <v>0</v>
      </c>
      <c r="M2266">
        <f>IF((DST_123_ÜRETİM_İHTİYAÇ_RAPORU_BURAK_YENI1309[[#This Row],[SATINALMA]]*DST_123_ÜRETİM_İHTİYAÇ_RAPORU_BURAK_YENI1309[[#This Row],[BIRIM_FIYATLAR]])&lt;1,VALUE("0"),DST_123_ÜRETİM_İHTİYAÇ_RAPORU_BURAK_YENI1309[[#This Row],[SATINALMA]]*DST_123_ÜRETİM_İHTİYAÇ_RAPORU_BURAK_YENI1309[[#This Row],[BIRIM_FIYATLAR]])</f>
        <v>22720</v>
      </c>
      <c r="N2266">
        <v>320</v>
      </c>
      <c r="O2266" t="s">
        <v>1151</v>
      </c>
      <c r="P2266">
        <v>9280</v>
      </c>
      <c r="Q2266" t="s">
        <v>184</v>
      </c>
    </row>
    <row r="2267" spans="1:17" x14ac:dyDescent="0.25">
      <c r="A2267" t="s">
        <v>1142</v>
      </c>
      <c r="B2267" t="s">
        <v>1056</v>
      </c>
      <c r="C2267" t="s">
        <v>175</v>
      </c>
      <c r="D2267" t="s">
        <v>202</v>
      </c>
      <c r="E2267" t="s">
        <v>203</v>
      </c>
      <c r="F2267">
        <v>0.10100000000000001</v>
      </c>
      <c r="G2267" t="s">
        <v>179</v>
      </c>
      <c r="H2267">
        <v>0</v>
      </c>
      <c r="I2267">
        <v>50</v>
      </c>
      <c r="J2267" s="10">
        <v>-1.4210854715202004E-14</v>
      </c>
      <c r="K2267" s="10">
        <f>SUMIFS(F:F,D:D,DST_123_ÜRETİM_İHTİYAÇ_RAPORU_BURAK_YENI1309[[#This Row],[ALT_KOD]])-(SUMIFS(H:H,D:D,DST_123_ÜRETİM_İHTİYAÇ_RAPORU_BURAK_YENI1309[[#This Row],[ALT_KOD]])+AVERAGEIFS(I:I,D:D,DST_123_ÜRETİM_İHTİYAÇ_RAPORU_BURAK_YENI1309[[#This Row],[ALT_KOD]])+AVERAGEIFS(L:L,D:D,DST_123_ÜRETİM_İHTİYAÇ_RAPORU_BURAK_YENI1309[[#This Row],[ALT_KOD]]))</f>
        <v>-47.386000000000003</v>
      </c>
      <c r="L2267">
        <v>0</v>
      </c>
      <c r="M2267">
        <f>IF((DST_123_ÜRETİM_İHTİYAÇ_RAPORU_BURAK_YENI1309[[#This Row],[SATINALMA]]*DST_123_ÜRETİM_İHTİYAÇ_RAPORU_BURAK_YENI1309[[#This Row],[BIRIM_FIYATLAR]])&lt;1,VALUE("0"),DST_123_ÜRETİM_İHTİYAÇ_RAPORU_BURAK_YENI1309[[#This Row],[SATINALMA]]*DST_123_ÜRETİM_İHTİYAÇ_RAPORU_BURAK_YENI1309[[#This Row],[BIRIM_FIYATLAR]])</f>
        <v>0</v>
      </c>
      <c r="N2267">
        <v>10.61</v>
      </c>
      <c r="O2267" t="s">
        <v>235</v>
      </c>
      <c r="P2267">
        <v>1.07161</v>
      </c>
      <c r="Q2267" t="s">
        <v>221</v>
      </c>
    </row>
    <row r="2268" spans="1:17" x14ac:dyDescent="0.25">
      <c r="A2268" t="s">
        <v>1057</v>
      </c>
      <c r="B2268" t="s">
        <v>1058</v>
      </c>
      <c r="C2268" t="s">
        <v>175</v>
      </c>
      <c r="D2268" t="s">
        <v>121</v>
      </c>
      <c r="E2268" t="s">
        <v>122</v>
      </c>
      <c r="F2268">
        <v>21</v>
      </c>
      <c r="G2268" t="s">
        <v>179</v>
      </c>
      <c r="H2268">
        <v>0</v>
      </c>
      <c r="I2268">
        <v>150</v>
      </c>
      <c r="J2268" s="10">
        <v>50</v>
      </c>
      <c r="K2268" s="10">
        <f>SUMIFS(F:F,D:D,DST_123_ÜRETİM_İHTİYAÇ_RAPORU_BURAK_YENI1309[[#This Row],[ALT_KOD]])-(SUMIFS(H:H,D:D,DST_123_ÜRETİM_İHTİYAÇ_RAPORU_BURAK_YENI1309[[#This Row],[ALT_KOD]])+AVERAGEIFS(I:I,D:D,DST_123_ÜRETİM_İHTİYAÇ_RAPORU_BURAK_YENI1309[[#This Row],[ALT_KOD]])+AVERAGEIFS(L:L,D:D,DST_123_ÜRETİM_İHTİYAÇ_RAPORU_BURAK_YENI1309[[#This Row],[ALT_KOD]]))</f>
        <v>71</v>
      </c>
      <c r="L2268">
        <v>0</v>
      </c>
      <c r="M2268">
        <f>IF((DST_123_ÜRETİM_İHTİYAÇ_RAPORU_BURAK_YENI1309[[#This Row],[SATINALMA]]*DST_123_ÜRETİM_İHTİYAÇ_RAPORU_BURAK_YENI1309[[#This Row],[BIRIM_FIYATLAR]])&lt;1,VALUE("0"),DST_123_ÜRETİM_İHTİYAÇ_RAPORU_BURAK_YENI1309[[#This Row],[SATINALMA]]*DST_123_ÜRETİM_İHTİYAÇ_RAPORU_BURAK_YENI1309[[#This Row],[BIRIM_FIYATLAR]])</f>
        <v>22720</v>
      </c>
      <c r="N2268">
        <v>320</v>
      </c>
      <c r="O2268" t="s">
        <v>1151</v>
      </c>
      <c r="P2268">
        <v>6720</v>
      </c>
      <c r="Q2268" t="s">
        <v>184</v>
      </c>
    </row>
    <row r="2269" spans="1:17" x14ac:dyDescent="0.25">
      <c r="A2269" t="s">
        <v>1147</v>
      </c>
      <c r="B2269" t="s">
        <v>1145</v>
      </c>
      <c r="C2269" t="s">
        <v>175</v>
      </c>
      <c r="D2269" t="s">
        <v>137</v>
      </c>
      <c r="E2269" t="s">
        <v>138</v>
      </c>
      <c r="F2269">
        <v>2</v>
      </c>
      <c r="G2269" t="s">
        <v>176</v>
      </c>
      <c r="H2269">
        <v>0</v>
      </c>
      <c r="I2269">
        <v>23</v>
      </c>
      <c r="J2269" s="10">
        <v>22</v>
      </c>
      <c r="K2269" s="10">
        <f>SUMIFS(F:F,D:D,DST_123_ÜRETİM_İHTİYAÇ_RAPORU_BURAK_YENI1309[[#This Row],[ALT_KOD]])-(SUMIFS(H:H,D:D,DST_123_ÜRETİM_İHTİYAÇ_RAPORU_BURAK_YENI1309[[#This Row],[ALT_KOD]])+AVERAGEIFS(I:I,D:D,DST_123_ÜRETİM_İHTİYAÇ_RAPORU_BURAK_YENI1309[[#This Row],[ALT_KOD]])+AVERAGEIFS(L:L,D:D,DST_123_ÜRETİM_İHTİYAÇ_RAPORU_BURAK_YENI1309[[#This Row],[ALT_KOD]]))</f>
        <v>1</v>
      </c>
      <c r="L2269">
        <v>0</v>
      </c>
      <c r="M2269">
        <f>IF((DST_123_ÜRETİM_İHTİYAÇ_RAPORU_BURAK_YENI1309[[#This Row],[SATINALMA]]*DST_123_ÜRETİM_İHTİYAÇ_RAPORU_BURAK_YENI1309[[#This Row],[BIRIM_FIYATLAR]])&lt;1,VALUE("0"),DST_123_ÜRETİM_İHTİYAÇ_RAPORU_BURAK_YENI1309[[#This Row],[SATINALMA]]*DST_123_ÜRETİM_İHTİYAÇ_RAPORU_BURAK_YENI1309[[#This Row],[BIRIM_FIYATLAR]])</f>
        <v>73.349999999999994</v>
      </c>
      <c r="N2269">
        <v>73.349999999999994</v>
      </c>
      <c r="O2269" t="s">
        <v>227</v>
      </c>
      <c r="P2269">
        <v>146.69999999999999</v>
      </c>
      <c r="Q2269" t="s">
        <v>221</v>
      </c>
    </row>
    <row r="2270" spans="1:17" x14ac:dyDescent="0.25">
      <c r="A2270" t="s">
        <v>1148</v>
      </c>
      <c r="B2270" t="s">
        <v>1056</v>
      </c>
      <c r="C2270" t="s">
        <v>175</v>
      </c>
      <c r="D2270" t="s">
        <v>137</v>
      </c>
      <c r="E2270" t="s">
        <v>138</v>
      </c>
      <c r="F2270">
        <v>2</v>
      </c>
      <c r="G2270" t="s">
        <v>176</v>
      </c>
      <c r="H2270">
        <v>0</v>
      </c>
      <c r="I2270">
        <v>23</v>
      </c>
      <c r="J2270" s="10">
        <v>22</v>
      </c>
      <c r="K2270" s="10">
        <f>SUMIFS(F:F,D:D,DST_123_ÜRETİM_İHTİYAÇ_RAPORU_BURAK_YENI1309[[#This Row],[ALT_KOD]])-(SUMIFS(H:H,D:D,DST_123_ÜRETİM_İHTİYAÇ_RAPORU_BURAK_YENI1309[[#This Row],[ALT_KOD]])+AVERAGEIFS(I:I,D:D,DST_123_ÜRETİM_İHTİYAÇ_RAPORU_BURAK_YENI1309[[#This Row],[ALT_KOD]])+AVERAGEIFS(L:L,D:D,DST_123_ÜRETİM_İHTİYAÇ_RAPORU_BURAK_YENI1309[[#This Row],[ALT_KOD]]))</f>
        <v>1</v>
      </c>
      <c r="L2270">
        <v>0</v>
      </c>
      <c r="M2270">
        <f>IF((DST_123_ÜRETİM_İHTİYAÇ_RAPORU_BURAK_YENI1309[[#This Row],[SATINALMA]]*DST_123_ÜRETİM_İHTİYAÇ_RAPORU_BURAK_YENI1309[[#This Row],[BIRIM_FIYATLAR]])&lt;1,VALUE("0"),DST_123_ÜRETİM_İHTİYAÇ_RAPORU_BURAK_YENI1309[[#This Row],[SATINALMA]]*DST_123_ÜRETİM_İHTİYAÇ_RAPORU_BURAK_YENI1309[[#This Row],[BIRIM_FIYATLAR]])</f>
        <v>73.349999999999994</v>
      </c>
      <c r="N2270">
        <v>73.349999999999994</v>
      </c>
      <c r="O2270" t="s">
        <v>227</v>
      </c>
      <c r="P2270">
        <v>146.69999999999999</v>
      </c>
      <c r="Q2270" t="s">
        <v>221</v>
      </c>
    </row>
    <row r="2271" spans="1:17" x14ac:dyDescent="0.25">
      <c r="A2271" t="s">
        <v>1095</v>
      </c>
      <c r="B2271" t="s">
        <v>1096</v>
      </c>
      <c r="C2271" t="s">
        <v>175</v>
      </c>
      <c r="D2271" t="s">
        <v>121</v>
      </c>
      <c r="E2271" t="s">
        <v>122</v>
      </c>
      <c r="F2271">
        <v>27</v>
      </c>
      <c r="G2271" t="s">
        <v>179</v>
      </c>
      <c r="H2271">
        <v>0</v>
      </c>
      <c r="I2271">
        <v>150</v>
      </c>
      <c r="J2271" s="10">
        <v>50</v>
      </c>
      <c r="K2271" s="10">
        <f>SUMIFS(F:F,D:D,DST_123_ÜRETİM_İHTİYAÇ_RAPORU_BURAK_YENI1309[[#This Row],[ALT_KOD]])-(SUMIFS(H:H,D:D,DST_123_ÜRETİM_İHTİYAÇ_RAPORU_BURAK_YENI1309[[#This Row],[ALT_KOD]])+AVERAGEIFS(I:I,D:D,DST_123_ÜRETİM_İHTİYAÇ_RAPORU_BURAK_YENI1309[[#This Row],[ALT_KOD]])+AVERAGEIFS(L:L,D:D,DST_123_ÜRETİM_İHTİYAÇ_RAPORU_BURAK_YENI1309[[#This Row],[ALT_KOD]]))</f>
        <v>71</v>
      </c>
      <c r="L2271">
        <v>0</v>
      </c>
      <c r="M2271">
        <f>IF((DST_123_ÜRETİM_İHTİYAÇ_RAPORU_BURAK_YENI1309[[#This Row],[SATINALMA]]*DST_123_ÜRETİM_İHTİYAÇ_RAPORU_BURAK_YENI1309[[#This Row],[BIRIM_FIYATLAR]])&lt;1,VALUE("0"),DST_123_ÜRETİM_İHTİYAÇ_RAPORU_BURAK_YENI1309[[#This Row],[SATINALMA]]*DST_123_ÜRETİM_İHTİYAÇ_RAPORU_BURAK_YENI1309[[#This Row],[BIRIM_FIYATLAR]])</f>
        <v>22720</v>
      </c>
      <c r="N2271">
        <v>320</v>
      </c>
      <c r="O2271" t="s">
        <v>1151</v>
      </c>
      <c r="P2271">
        <v>8640</v>
      </c>
      <c r="Q2271" t="s">
        <v>184</v>
      </c>
    </row>
    <row r="2272" spans="1:17" x14ac:dyDescent="0.25">
      <c r="A2272" t="s">
        <v>1095</v>
      </c>
      <c r="B2272" t="s">
        <v>1096</v>
      </c>
      <c r="C2272" t="s">
        <v>175</v>
      </c>
      <c r="D2272" t="s">
        <v>137</v>
      </c>
      <c r="E2272" t="s">
        <v>138</v>
      </c>
      <c r="F2272">
        <v>2</v>
      </c>
      <c r="G2272" t="s">
        <v>176</v>
      </c>
      <c r="H2272">
        <v>0</v>
      </c>
      <c r="I2272">
        <v>23</v>
      </c>
      <c r="J2272" s="10">
        <v>22</v>
      </c>
      <c r="K2272" s="10">
        <f>SUMIFS(F:F,D:D,DST_123_ÜRETİM_İHTİYAÇ_RAPORU_BURAK_YENI1309[[#This Row],[ALT_KOD]])-(SUMIFS(H:H,D:D,DST_123_ÜRETİM_İHTİYAÇ_RAPORU_BURAK_YENI1309[[#This Row],[ALT_KOD]])+AVERAGEIFS(I:I,D:D,DST_123_ÜRETİM_İHTİYAÇ_RAPORU_BURAK_YENI1309[[#This Row],[ALT_KOD]])+AVERAGEIFS(L:L,D:D,DST_123_ÜRETİM_İHTİYAÇ_RAPORU_BURAK_YENI1309[[#This Row],[ALT_KOD]]))</f>
        <v>1</v>
      </c>
      <c r="L2272">
        <v>0</v>
      </c>
      <c r="M2272">
        <f>IF((DST_123_ÜRETİM_İHTİYAÇ_RAPORU_BURAK_YENI1309[[#This Row],[SATINALMA]]*DST_123_ÜRETİM_İHTİYAÇ_RAPORU_BURAK_YENI1309[[#This Row],[BIRIM_FIYATLAR]])&lt;1,VALUE("0"),DST_123_ÜRETİM_İHTİYAÇ_RAPORU_BURAK_YENI1309[[#This Row],[SATINALMA]]*DST_123_ÜRETİM_İHTİYAÇ_RAPORU_BURAK_YENI1309[[#This Row],[BIRIM_FIYATLAR]])</f>
        <v>73.349999999999994</v>
      </c>
      <c r="N2272">
        <v>73.349999999999994</v>
      </c>
      <c r="O2272" t="s">
        <v>227</v>
      </c>
      <c r="P2272">
        <v>146.69999999999999</v>
      </c>
      <c r="Q2272" t="s">
        <v>221</v>
      </c>
    </row>
    <row r="2273" spans="1:17" x14ac:dyDescent="0.25">
      <c r="A2273" t="s">
        <v>1143</v>
      </c>
      <c r="B2273" t="s">
        <v>1056</v>
      </c>
      <c r="C2273" t="s">
        <v>175</v>
      </c>
      <c r="D2273" t="s">
        <v>202</v>
      </c>
      <c r="E2273" t="s">
        <v>203</v>
      </c>
      <c r="F2273">
        <v>0.30000000000000004</v>
      </c>
      <c r="G2273" t="s">
        <v>179</v>
      </c>
      <c r="H2273">
        <v>0</v>
      </c>
      <c r="I2273">
        <v>50</v>
      </c>
      <c r="J2273" s="10">
        <v>-1.4210854715202004E-14</v>
      </c>
      <c r="K2273" s="10">
        <f>SUMIFS(F:F,D:D,DST_123_ÜRETİM_İHTİYAÇ_RAPORU_BURAK_YENI1309[[#This Row],[ALT_KOD]])-(SUMIFS(H:H,D:D,DST_123_ÜRETİM_İHTİYAÇ_RAPORU_BURAK_YENI1309[[#This Row],[ALT_KOD]])+AVERAGEIFS(I:I,D:D,DST_123_ÜRETİM_İHTİYAÇ_RAPORU_BURAK_YENI1309[[#This Row],[ALT_KOD]])+AVERAGEIFS(L:L,D:D,DST_123_ÜRETİM_İHTİYAÇ_RAPORU_BURAK_YENI1309[[#This Row],[ALT_KOD]]))</f>
        <v>-47.386000000000003</v>
      </c>
      <c r="L2273">
        <v>0</v>
      </c>
      <c r="M2273">
        <f>IF((DST_123_ÜRETİM_İHTİYAÇ_RAPORU_BURAK_YENI1309[[#This Row],[SATINALMA]]*DST_123_ÜRETİM_İHTİYAÇ_RAPORU_BURAK_YENI1309[[#This Row],[BIRIM_FIYATLAR]])&lt;1,VALUE("0"),DST_123_ÜRETİM_İHTİYAÇ_RAPORU_BURAK_YENI1309[[#This Row],[SATINALMA]]*DST_123_ÜRETİM_İHTİYAÇ_RAPORU_BURAK_YENI1309[[#This Row],[BIRIM_FIYATLAR]])</f>
        <v>0</v>
      </c>
      <c r="N2273">
        <v>10.61</v>
      </c>
      <c r="O2273" t="s">
        <v>235</v>
      </c>
      <c r="P2273">
        <v>3.1830000000000003</v>
      </c>
      <c r="Q2273" t="s">
        <v>221</v>
      </c>
    </row>
    <row r="2274" spans="1:17" x14ac:dyDescent="0.25">
      <c r="A2274" t="s">
        <v>1143</v>
      </c>
      <c r="B2274" t="s">
        <v>1056</v>
      </c>
      <c r="C2274" t="s">
        <v>175</v>
      </c>
      <c r="D2274" t="s">
        <v>353</v>
      </c>
      <c r="E2274" t="s">
        <v>354</v>
      </c>
      <c r="F2274">
        <v>32</v>
      </c>
      <c r="G2274" t="s">
        <v>176</v>
      </c>
      <c r="H2274">
        <v>0</v>
      </c>
      <c r="I2274">
        <v>391</v>
      </c>
      <c r="J2274" s="10">
        <v>150</v>
      </c>
      <c r="K2274" s="10">
        <f>SUMIFS(F:F,D:D,DST_123_ÜRETİM_İHTİYAÇ_RAPORU_BURAK_YENI1309[[#This Row],[ALT_KOD]])-(SUMIFS(H:H,D:D,DST_123_ÜRETİM_İHTİYAÇ_RAPORU_BURAK_YENI1309[[#This Row],[ALT_KOD]])+AVERAGEIFS(I:I,D:D,DST_123_ÜRETİM_İHTİYAÇ_RAPORU_BURAK_YENI1309[[#This Row],[ALT_KOD]])+AVERAGEIFS(L:L,D:D,DST_123_ÜRETİM_İHTİYAÇ_RAPORU_BURAK_YENI1309[[#This Row],[ALT_KOD]]))</f>
        <v>-33</v>
      </c>
      <c r="L2274">
        <v>0</v>
      </c>
      <c r="M2274">
        <f>IF((DST_123_ÜRETİM_İHTİYAÇ_RAPORU_BURAK_YENI1309[[#This Row],[SATINALMA]]*DST_123_ÜRETİM_İHTİYAÇ_RAPORU_BURAK_YENI1309[[#This Row],[BIRIM_FIYATLAR]])&lt;1,VALUE("0"),DST_123_ÜRETİM_İHTİYAÇ_RAPORU_BURAK_YENI1309[[#This Row],[SATINALMA]]*DST_123_ÜRETİM_İHTİYAÇ_RAPORU_BURAK_YENI1309[[#This Row],[BIRIM_FIYATLAR]])</f>
        <v>0</v>
      </c>
      <c r="N2274">
        <v>10.65</v>
      </c>
      <c r="O2274" t="s">
        <v>882</v>
      </c>
      <c r="P2274">
        <v>340.8</v>
      </c>
      <c r="Q2274" t="s">
        <v>180</v>
      </c>
    </row>
    <row r="2275" spans="1:17" x14ac:dyDescent="0.25">
      <c r="A2275" t="s">
        <v>1148</v>
      </c>
      <c r="B2275" t="s">
        <v>1056</v>
      </c>
      <c r="C2275" t="s">
        <v>175</v>
      </c>
      <c r="D2275" t="s">
        <v>121</v>
      </c>
      <c r="E2275" t="s">
        <v>122</v>
      </c>
      <c r="F2275">
        <v>27</v>
      </c>
      <c r="G2275" t="s">
        <v>179</v>
      </c>
      <c r="H2275">
        <v>0</v>
      </c>
      <c r="I2275">
        <v>150</v>
      </c>
      <c r="J2275" s="10">
        <v>50</v>
      </c>
      <c r="K2275" s="10">
        <f>SUMIFS(F:F,D:D,DST_123_ÜRETİM_İHTİYAÇ_RAPORU_BURAK_YENI1309[[#This Row],[ALT_KOD]])-(SUMIFS(H:H,D:D,DST_123_ÜRETİM_İHTİYAÇ_RAPORU_BURAK_YENI1309[[#This Row],[ALT_KOD]])+AVERAGEIFS(I:I,D:D,DST_123_ÜRETİM_İHTİYAÇ_RAPORU_BURAK_YENI1309[[#This Row],[ALT_KOD]])+AVERAGEIFS(L:L,D:D,DST_123_ÜRETİM_İHTİYAÇ_RAPORU_BURAK_YENI1309[[#This Row],[ALT_KOD]]))</f>
        <v>71</v>
      </c>
      <c r="L2275">
        <v>0</v>
      </c>
      <c r="M2275">
        <f>IF((DST_123_ÜRETİM_İHTİYAÇ_RAPORU_BURAK_YENI1309[[#This Row],[SATINALMA]]*DST_123_ÜRETİM_İHTİYAÇ_RAPORU_BURAK_YENI1309[[#This Row],[BIRIM_FIYATLAR]])&lt;1,VALUE("0"),DST_123_ÜRETİM_İHTİYAÇ_RAPORU_BURAK_YENI1309[[#This Row],[SATINALMA]]*DST_123_ÜRETİM_İHTİYAÇ_RAPORU_BURAK_YENI1309[[#This Row],[BIRIM_FIYATLAR]])</f>
        <v>22720</v>
      </c>
      <c r="N2275">
        <v>320</v>
      </c>
      <c r="O2275" t="s">
        <v>1151</v>
      </c>
      <c r="P2275">
        <v>8640</v>
      </c>
      <c r="Q2275" t="s">
        <v>184</v>
      </c>
    </row>
    <row r="2276" spans="1:17" x14ac:dyDescent="0.25">
      <c r="A2276" t="s">
        <v>1059</v>
      </c>
      <c r="B2276" t="s">
        <v>1058</v>
      </c>
      <c r="C2276" t="s">
        <v>175</v>
      </c>
      <c r="D2276" t="s">
        <v>137</v>
      </c>
      <c r="E2276" t="s">
        <v>138</v>
      </c>
      <c r="F2276">
        <v>2</v>
      </c>
      <c r="G2276" t="s">
        <v>176</v>
      </c>
      <c r="H2276">
        <v>2</v>
      </c>
      <c r="I2276">
        <v>23</v>
      </c>
      <c r="J2276" s="10">
        <v>22</v>
      </c>
      <c r="K2276" s="10">
        <f>SUMIFS(F:F,D:D,DST_123_ÜRETİM_İHTİYAÇ_RAPORU_BURAK_YENI1309[[#This Row],[ALT_KOD]])-(SUMIFS(H:H,D:D,DST_123_ÜRETİM_İHTİYAÇ_RAPORU_BURAK_YENI1309[[#This Row],[ALT_KOD]])+AVERAGEIFS(I:I,D:D,DST_123_ÜRETİM_İHTİYAÇ_RAPORU_BURAK_YENI1309[[#This Row],[ALT_KOD]])+AVERAGEIFS(L:L,D:D,DST_123_ÜRETİM_İHTİYAÇ_RAPORU_BURAK_YENI1309[[#This Row],[ALT_KOD]]))</f>
        <v>1</v>
      </c>
      <c r="L2276">
        <v>0</v>
      </c>
      <c r="M2276">
        <f>IF((DST_123_ÜRETİM_İHTİYAÇ_RAPORU_BURAK_YENI1309[[#This Row],[SATINALMA]]*DST_123_ÜRETİM_İHTİYAÇ_RAPORU_BURAK_YENI1309[[#This Row],[BIRIM_FIYATLAR]])&lt;1,VALUE("0"),DST_123_ÜRETİM_İHTİYAÇ_RAPORU_BURAK_YENI1309[[#This Row],[SATINALMA]]*DST_123_ÜRETİM_İHTİYAÇ_RAPORU_BURAK_YENI1309[[#This Row],[BIRIM_FIYATLAR]])</f>
        <v>73.349999999999994</v>
      </c>
      <c r="N2276">
        <v>73.349999999999994</v>
      </c>
      <c r="O2276" t="s">
        <v>227</v>
      </c>
      <c r="P2276">
        <v>146.69999999999999</v>
      </c>
      <c r="Q2276" t="s">
        <v>221</v>
      </c>
    </row>
    <row r="2277" spans="1:17" x14ac:dyDescent="0.25">
      <c r="A2277" t="s">
        <v>1196</v>
      </c>
      <c r="B2277" t="s">
        <v>1197</v>
      </c>
      <c r="C2277" t="s">
        <v>175</v>
      </c>
      <c r="D2277" t="s">
        <v>697</v>
      </c>
      <c r="E2277" t="s">
        <v>698</v>
      </c>
      <c r="F2277">
        <v>1</v>
      </c>
      <c r="G2277" t="s">
        <v>176</v>
      </c>
      <c r="H2277">
        <v>0</v>
      </c>
      <c r="I2277">
        <v>6</v>
      </c>
      <c r="J2277" s="10">
        <v>5</v>
      </c>
      <c r="K2277" s="10">
        <f>SUMIFS(F:F,D:D,DST_123_ÜRETİM_İHTİYAÇ_RAPORU_BURAK_YENI1309[[#This Row],[ALT_KOD]])-(SUMIFS(H:H,D:D,DST_123_ÜRETİM_İHTİYAÇ_RAPORU_BURAK_YENI1309[[#This Row],[ALT_KOD]])+AVERAGEIFS(I:I,D:D,DST_123_ÜRETİM_İHTİYAÇ_RAPORU_BURAK_YENI1309[[#This Row],[ALT_KOD]])+AVERAGEIFS(L:L,D:D,DST_123_ÜRETİM_İHTİYAÇ_RAPORU_BURAK_YENI1309[[#This Row],[ALT_KOD]]))</f>
        <v>5</v>
      </c>
      <c r="L2277">
        <v>0</v>
      </c>
      <c r="M2277">
        <f>IF((DST_123_ÜRETİM_İHTİYAÇ_RAPORU_BURAK_YENI1309[[#This Row],[SATINALMA]]*DST_123_ÜRETİM_İHTİYAÇ_RAPORU_BURAK_YENI1309[[#This Row],[BIRIM_FIYATLAR]])&lt;1,VALUE("0"),DST_123_ÜRETİM_İHTİYAÇ_RAPORU_BURAK_YENI1309[[#This Row],[SATINALMA]]*DST_123_ÜRETİM_İHTİYAÇ_RAPORU_BURAK_YENI1309[[#This Row],[BIRIM_FIYATLAR]])</f>
        <v>11000</v>
      </c>
      <c r="N2277">
        <v>2200</v>
      </c>
      <c r="O2277" t="s">
        <v>251</v>
      </c>
      <c r="P2277">
        <v>2200</v>
      </c>
      <c r="Q2277" t="s">
        <v>178</v>
      </c>
    </row>
    <row r="2278" spans="1:17" x14ac:dyDescent="0.25">
      <c r="A2278" t="s">
        <v>1143</v>
      </c>
      <c r="B2278" t="s">
        <v>1056</v>
      </c>
      <c r="C2278" t="s">
        <v>175</v>
      </c>
      <c r="D2278" t="s">
        <v>121</v>
      </c>
      <c r="E2278" t="s">
        <v>122</v>
      </c>
      <c r="F2278">
        <v>29</v>
      </c>
      <c r="G2278" t="s">
        <v>179</v>
      </c>
      <c r="H2278">
        <v>0</v>
      </c>
      <c r="I2278">
        <v>150</v>
      </c>
      <c r="J2278" s="10">
        <v>50</v>
      </c>
      <c r="K2278" s="10">
        <f>SUMIFS(F:F,D:D,DST_123_ÜRETİM_İHTİYAÇ_RAPORU_BURAK_YENI1309[[#This Row],[ALT_KOD]])-(SUMIFS(H:H,D:D,DST_123_ÜRETİM_İHTİYAÇ_RAPORU_BURAK_YENI1309[[#This Row],[ALT_KOD]])+AVERAGEIFS(I:I,D:D,DST_123_ÜRETİM_İHTİYAÇ_RAPORU_BURAK_YENI1309[[#This Row],[ALT_KOD]])+AVERAGEIFS(L:L,D:D,DST_123_ÜRETİM_İHTİYAÇ_RAPORU_BURAK_YENI1309[[#This Row],[ALT_KOD]]))</f>
        <v>71</v>
      </c>
      <c r="L2278">
        <v>0</v>
      </c>
      <c r="M2278">
        <f>IF((DST_123_ÜRETİM_İHTİYAÇ_RAPORU_BURAK_YENI1309[[#This Row],[SATINALMA]]*DST_123_ÜRETİM_İHTİYAÇ_RAPORU_BURAK_YENI1309[[#This Row],[BIRIM_FIYATLAR]])&lt;1,VALUE("0"),DST_123_ÜRETİM_İHTİYAÇ_RAPORU_BURAK_YENI1309[[#This Row],[SATINALMA]]*DST_123_ÜRETİM_İHTİYAÇ_RAPORU_BURAK_YENI1309[[#This Row],[BIRIM_FIYATLAR]])</f>
        <v>22720</v>
      </c>
      <c r="N2278">
        <v>320</v>
      </c>
      <c r="O2278" t="s">
        <v>1151</v>
      </c>
      <c r="P2278">
        <v>9280</v>
      </c>
      <c r="Q2278" t="s">
        <v>184</v>
      </c>
    </row>
    <row r="2279" spans="1:17" x14ac:dyDescent="0.25">
      <c r="A2279" t="s">
        <v>1142</v>
      </c>
      <c r="B2279" t="s">
        <v>1056</v>
      </c>
      <c r="C2279" t="s">
        <v>175</v>
      </c>
      <c r="D2279" t="s">
        <v>137</v>
      </c>
      <c r="E2279" t="s">
        <v>138</v>
      </c>
      <c r="F2279">
        <v>12</v>
      </c>
      <c r="G2279" t="s">
        <v>176</v>
      </c>
      <c r="H2279">
        <v>0</v>
      </c>
      <c r="I2279">
        <v>23</v>
      </c>
      <c r="J2279" s="10">
        <v>22</v>
      </c>
      <c r="K2279" s="10">
        <f>SUMIFS(F:F,D:D,DST_123_ÜRETİM_İHTİYAÇ_RAPORU_BURAK_YENI1309[[#This Row],[ALT_KOD]])-(SUMIFS(H:H,D:D,DST_123_ÜRETİM_İHTİYAÇ_RAPORU_BURAK_YENI1309[[#This Row],[ALT_KOD]])+AVERAGEIFS(I:I,D:D,DST_123_ÜRETİM_İHTİYAÇ_RAPORU_BURAK_YENI1309[[#This Row],[ALT_KOD]])+AVERAGEIFS(L:L,D:D,DST_123_ÜRETİM_İHTİYAÇ_RAPORU_BURAK_YENI1309[[#This Row],[ALT_KOD]]))</f>
        <v>1</v>
      </c>
      <c r="L2279">
        <v>0</v>
      </c>
      <c r="M2279">
        <f>IF((DST_123_ÜRETİM_İHTİYAÇ_RAPORU_BURAK_YENI1309[[#This Row],[SATINALMA]]*DST_123_ÜRETİM_İHTİYAÇ_RAPORU_BURAK_YENI1309[[#This Row],[BIRIM_FIYATLAR]])&lt;1,VALUE("0"),DST_123_ÜRETİM_İHTİYAÇ_RAPORU_BURAK_YENI1309[[#This Row],[SATINALMA]]*DST_123_ÜRETİM_İHTİYAÇ_RAPORU_BURAK_YENI1309[[#This Row],[BIRIM_FIYATLAR]])</f>
        <v>73.349999999999994</v>
      </c>
      <c r="N2279">
        <v>73.349999999999994</v>
      </c>
      <c r="O2279" t="s">
        <v>227</v>
      </c>
      <c r="P2279">
        <v>880.19999999999993</v>
      </c>
      <c r="Q2279" t="s">
        <v>221</v>
      </c>
    </row>
    <row r="2280" spans="1:17" x14ac:dyDescent="0.25">
      <c r="A2280" t="s">
        <v>1097</v>
      </c>
      <c r="B2280" t="s">
        <v>1055</v>
      </c>
      <c r="C2280" t="s">
        <v>175</v>
      </c>
      <c r="D2280" t="s">
        <v>202</v>
      </c>
      <c r="E2280" t="s">
        <v>203</v>
      </c>
      <c r="F2280">
        <v>0.1</v>
      </c>
      <c r="G2280" t="s">
        <v>179</v>
      </c>
      <c r="H2280">
        <v>0</v>
      </c>
      <c r="I2280">
        <v>50</v>
      </c>
      <c r="J2280" s="10">
        <v>-1.4210854715202004E-14</v>
      </c>
      <c r="K2280" s="10">
        <f>SUMIFS(F:F,D:D,DST_123_ÜRETİM_İHTİYAÇ_RAPORU_BURAK_YENI1309[[#This Row],[ALT_KOD]])-(SUMIFS(H:H,D:D,DST_123_ÜRETİM_İHTİYAÇ_RAPORU_BURAK_YENI1309[[#This Row],[ALT_KOD]])+AVERAGEIFS(I:I,D:D,DST_123_ÜRETİM_İHTİYAÇ_RAPORU_BURAK_YENI1309[[#This Row],[ALT_KOD]])+AVERAGEIFS(L:L,D:D,DST_123_ÜRETİM_İHTİYAÇ_RAPORU_BURAK_YENI1309[[#This Row],[ALT_KOD]]))</f>
        <v>-47.386000000000003</v>
      </c>
      <c r="L2280">
        <v>0</v>
      </c>
      <c r="M2280">
        <f>IF((DST_123_ÜRETİM_İHTİYAÇ_RAPORU_BURAK_YENI1309[[#This Row],[SATINALMA]]*DST_123_ÜRETİM_İHTİYAÇ_RAPORU_BURAK_YENI1309[[#This Row],[BIRIM_FIYATLAR]])&lt;1,VALUE("0"),DST_123_ÜRETİM_İHTİYAÇ_RAPORU_BURAK_YENI1309[[#This Row],[SATINALMA]]*DST_123_ÜRETİM_İHTİYAÇ_RAPORU_BURAK_YENI1309[[#This Row],[BIRIM_FIYATLAR]])</f>
        <v>0</v>
      </c>
      <c r="N2280">
        <v>10.61</v>
      </c>
      <c r="O2280" t="s">
        <v>235</v>
      </c>
      <c r="P2280">
        <v>1.0609999999999999</v>
      </c>
      <c r="Q2280" t="s">
        <v>221</v>
      </c>
    </row>
    <row r="2281" spans="1:17" x14ac:dyDescent="0.25">
      <c r="A2281" t="s">
        <v>1095</v>
      </c>
      <c r="B2281" t="s">
        <v>1096</v>
      </c>
      <c r="C2281" t="s">
        <v>175</v>
      </c>
      <c r="D2281" t="s">
        <v>202</v>
      </c>
      <c r="E2281" t="s">
        <v>203</v>
      </c>
      <c r="F2281">
        <v>0.1</v>
      </c>
      <c r="G2281" t="s">
        <v>179</v>
      </c>
      <c r="H2281">
        <v>0</v>
      </c>
      <c r="I2281">
        <v>50</v>
      </c>
      <c r="J2281" s="10">
        <v>-1.4210854715202004E-14</v>
      </c>
      <c r="K2281" s="10">
        <f>SUMIFS(F:F,D:D,DST_123_ÜRETİM_İHTİYAÇ_RAPORU_BURAK_YENI1309[[#This Row],[ALT_KOD]])-(SUMIFS(H:H,D:D,DST_123_ÜRETİM_İHTİYAÇ_RAPORU_BURAK_YENI1309[[#This Row],[ALT_KOD]])+AVERAGEIFS(I:I,D:D,DST_123_ÜRETİM_İHTİYAÇ_RAPORU_BURAK_YENI1309[[#This Row],[ALT_KOD]])+AVERAGEIFS(L:L,D:D,DST_123_ÜRETİM_İHTİYAÇ_RAPORU_BURAK_YENI1309[[#This Row],[ALT_KOD]]))</f>
        <v>-47.386000000000003</v>
      </c>
      <c r="L2281">
        <v>0</v>
      </c>
      <c r="M2281">
        <f>IF((DST_123_ÜRETİM_İHTİYAÇ_RAPORU_BURAK_YENI1309[[#This Row],[SATINALMA]]*DST_123_ÜRETİM_İHTİYAÇ_RAPORU_BURAK_YENI1309[[#This Row],[BIRIM_FIYATLAR]])&lt;1,VALUE("0"),DST_123_ÜRETİM_İHTİYAÇ_RAPORU_BURAK_YENI1309[[#This Row],[SATINALMA]]*DST_123_ÜRETİM_İHTİYAÇ_RAPORU_BURAK_YENI1309[[#This Row],[BIRIM_FIYATLAR]])</f>
        <v>0</v>
      </c>
      <c r="N2281">
        <v>10.61</v>
      </c>
      <c r="O2281" t="s">
        <v>235</v>
      </c>
      <c r="P2281">
        <v>1.0609999999999999</v>
      </c>
      <c r="Q2281" t="s">
        <v>221</v>
      </c>
    </row>
    <row r="2282" spans="1:17" x14ac:dyDescent="0.25">
      <c r="A2282" t="s">
        <v>1097</v>
      </c>
      <c r="B2282" t="s">
        <v>1055</v>
      </c>
      <c r="C2282" t="s">
        <v>175</v>
      </c>
      <c r="D2282" t="s">
        <v>694</v>
      </c>
      <c r="E2282" t="s">
        <v>695</v>
      </c>
      <c r="F2282">
        <v>2</v>
      </c>
      <c r="G2282" t="s">
        <v>176</v>
      </c>
      <c r="H2282">
        <v>2</v>
      </c>
      <c r="I2282">
        <v>4</v>
      </c>
      <c r="J2282" s="10">
        <v>6</v>
      </c>
      <c r="K2282" s="10">
        <f>SUMIFS(F:F,D:D,DST_123_ÜRETİM_İHTİYAÇ_RAPORU_BURAK_YENI1309[[#This Row],[ALT_KOD]])-(SUMIFS(H:H,D:D,DST_123_ÜRETİM_İHTİYAÇ_RAPORU_BURAK_YENI1309[[#This Row],[ALT_KOD]])+AVERAGEIFS(I:I,D:D,DST_123_ÜRETİM_İHTİYAÇ_RAPORU_BURAK_YENI1309[[#This Row],[ALT_KOD]])+AVERAGEIFS(L:L,D:D,DST_123_ÜRETİM_İHTİYAÇ_RAPORU_BURAK_YENI1309[[#This Row],[ALT_KOD]]))</f>
        <v>0</v>
      </c>
      <c r="L2282">
        <v>0</v>
      </c>
      <c r="M2282">
        <f>IF((DST_123_ÜRETİM_İHTİYAÇ_RAPORU_BURAK_YENI1309[[#This Row],[SATINALMA]]*DST_123_ÜRETİM_İHTİYAÇ_RAPORU_BURAK_YENI1309[[#This Row],[BIRIM_FIYATLAR]])&lt;1,VALUE("0"),DST_123_ÜRETİM_İHTİYAÇ_RAPORU_BURAK_YENI1309[[#This Row],[SATINALMA]]*DST_123_ÜRETİM_İHTİYAÇ_RAPORU_BURAK_YENI1309[[#This Row],[BIRIM_FIYATLAR]])</f>
        <v>0</v>
      </c>
      <c r="N2282">
        <v>260</v>
      </c>
      <c r="O2282" t="s">
        <v>226</v>
      </c>
      <c r="P2282">
        <v>520</v>
      </c>
      <c r="Q2282" t="s">
        <v>180</v>
      </c>
    </row>
    <row r="2283" spans="1:17" x14ac:dyDescent="0.25">
      <c r="A2283" t="s">
        <v>1095</v>
      </c>
      <c r="B2283" t="s">
        <v>1096</v>
      </c>
      <c r="C2283" t="s">
        <v>175</v>
      </c>
      <c r="D2283" t="s">
        <v>697</v>
      </c>
      <c r="E2283" t="s">
        <v>698</v>
      </c>
      <c r="F2283">
        <v>1</v>
      </c>
      <c r="G2283" t="s">
        <v>176</v>
      </c>
      <c r="H2283">
        <v>0</v>
      </c>
      <c r="I2283">
        <v>6</v>
      </c>
      <c r="J2283" s="10">
        <v>5</v>
      </c>
      <c r="K2283" s="10">
        <f>SUMIFS(F:F,D:D,DST_123_ÜRETİM_İHTİYAÇ_RAPORU_BURAK_YENI1309[[#This Row],[ALT_KOD]])-(SUMIFS(H:H,D:D,DST_123_ÜRETİM_İHTİYAÇ_RAPORU_BURAK_YENI1309[[#This Row],[ALT_KOD]])+AVERAGEIFS(I:I,D:D,DST_123_ÜRETİM_İHTİYAÇ_RAPORU_BURAK_YENI1309[[#This Row],[ALT_KOD]])+AVERAGEIFS(L:L,D:D,DST_123_ÜRETİM_İHTİYAÇ_RAPORU_BURAK_YENI1309[[#This Row],[ALT_KOD]]))</f>
        <v>5</v>
      </c>
      <c r="L2283">
        <v>0</v>
      </c>
      <c r="M2283">
        <f>IF((DST_123_ÜRETİM_İHTİYAÇ_RAPORU_BURAK_YENI1309[[#This Row],[SATINALMA]]*DST_123_ÜRETİM_İHTİYAÇ_RAPORU_BURAK_YENI1309[[#This Row],[BIRIM_FIYATLAR]])&lt;1,VALUE("0"),DST_123_ÜRETİM_İHTİYAÇ_RAPORU_BURAK_YENI1309[[#This Row],[SATINALMA]]*DST_123_ÜRETİM_İHTİYAÇ_RAPORU_BURAK_YENI1309[[#This Row],[BIRIM_FIYATLAR]])</f>
        <v>11000</v>
      </c>
      <c r="N2283">
        <v>2200</v>
      </c>
      <c r="O2283" t="s">
        <v>251</v>
      </c>
      <c r="P2283">
        <v>2200</v>
      </c>
      <c r="Q2283" t="s">
        <v>178</v>
      </c>
    </row>
    <row r="2284" spans="1:17" x14ac:dyDescent="0.25">
      <c r="A2284" t="s">
        <v>1147</v>
      </c>
      <c r="B2284" t="s">
        <v>1145</v>
      </c>
      <c r="C2284" t="s">
        <v>175</v>
      </c>
      <c r="D2284" t="s">
        <v>202</v>
      </c>
      <c r="E2284" t="s">
        <v>203</v>
      </c>
      <c r="F2284">
        <v>0.10100000000000001</v>
      </c>
      <c r="G2284" t="s">
        <v>179</v>
      </c>
      <c r="H2284">
        <v>0</v>
      </c>
      <c r="I2284">
        <v>50</v>
      </c>
      <c r="J2284" s="10">
        <v>-1.4210854715202004E-14</v>
      </c>
      <c r="K2284" s="10">
        <f>SUMIFS(F:F,D:D,DST_123_ÜRETİM_İHTİYAÇ_RAPORU_BURAK_YENI1309[[#This Row],[ALT_KOD]])-(SUMIFS(H:H,D:D,DST_123_ÜRETİM_İHTİYAÇ_RAPORU_BURAK_YENI1309[[#This Row],[ALT_KOD]])+AVERAGEIFS(I:I,D:D,DST_123_ÜRETİM_İHTİYAÇ_RAPORU_BURAK_YENI1309[[#This Row],[ALT_KOD]])+AVERAGEIFS(L:L,D:D,DST_123_ÜRETİM_İHTİYAÇ_RAPORU_BURAK_YENI1309[[#This Row],[ALT_KOD]]))</f>
        <v>-47.386000000000003</v>
      </c>
      <c r="L2284">
        <v>0</v>
      </c>
      <c r="M2284">
        <f>IF((DST_123_ÜRETİM_İHTİYAÇ_RAPORU_BURAK_YENI1309[[#This Row],[SATINALMA]]*DST_123_ÜRETİM_İHTİYAÇ_RAPORU_BURAK_YENI1309[[#This Row],[BIRIM_FIYATLAR]])&lt;1,VALUE("0"),DST_123_ÜRETİM_İHTİYAÇ_RAPORU_BURAK_YENI1309[[#This Row],[SATINALMA]]*DST_123_ÜRETİM_İHTİYAÇ_RAPORU_BURAK_YENI1309[[#This Row],[BIRIM_FIYATLAR]])</f>
        <v>0</v>
      </c>
      <c r="N2284">
        <v>10.61</v>
      </c>
      <c r="O2284" t="s">
        <v>235</v>
      </c>
      <c r="P2284">
        <v>1.07161</v>
      </c>
      <c r="Q2284" t="s">
        <v>221</v>
      </c>
    </row>
    <row r="2285" spans="1:17" x14ac:dyDescent="0.25">
      <c r="A2285" t="s">
        <v>1148</v>
      </c>
      <c r="B2285" t="s">
        <v>1056</v>
      </c>
      <c r="C2285" t="s">
        <v>175</v>
      </c>
      <c r="D2285" t="s">
        <v>202</v>
      </c>
      <c r="E2285" t="s">
        <v>203</v>
      </c>
      <c r="F2285">
        <v>0.1</v>
      </c>
      <c r="G2285" t="s">
        <v>179</v>
      </c>
      <c r="H2285">
        <v>0</v>
      </c>
      <c r="I2285">
        <v>50</v>
      </c>
      <c r="J2285" s="10">
        <v>-1.4210854715202004E-14</v>
      </c>
      <c r="K2285" s="10">
        <f>SUMIFS(F:F,D:D,DST_123_ÜRETİM_İHTİYAÇ_RAPORU_BURAK_YENI1309[[#This Row],[ALT_KOD]])-(SUMIFS(H:H,D:D,DST_123_ÜRETİM_İHTİYAÇ_RAPORU_BURAK_YENI1309[[#This Row],[ALT_KOD]])+AVERAGEIFS(I:I,D:D,DST_123_ÜRETİM_İHTİYAÇ_RAPORU_BURAK_YENI1309[[#This Row],[ALT_KOD]])+AVERAGEIFS(L:L,D:D,DST_123_ÜRETİM_İHTİYAÇ_RAPORU_BURAK_YENI1309[[#This Row],[ALT_KOD]]))</f>
        <v>-47.386000000000003</v>
      </c>
      <c r="L2285">
        <v>0</v>
      </c>
      <c r="M2285">
        <f>IF((DST_123_ÜRETİM_İHTİYAÇ_RAPORU_BURAK_YENI1309[[#This Row],[SATINALMA]]*DST_123_ÜRETİM_İHTİYAÇ_RAPORU_BURAK_YENI1309[[#This Row],[BIRIM_FIYATLAR]])&lt;1,VALUE("0"),DST_123_ÜRETİM_İHTİYAÇ_RAPORU_BURAK_YENI1309[[#This Row],[SATINALMA]]*DST_123_ÜRETİM_İHTİYAÇ_RAPORU_BURAK_YENI1309[[#This Row],[BIRIM_FIYATLAR]])</f>
        <v>0</v>
      </c>
      <c r="N2285">
        <v>10.61</v>
      </c>
      <c r="O2285" t="s">
        <v>235</v>
      </c>
      <c r="P2285">
        <v>1.0609999999999999</v>
      </c>
      <c r="Q2285" t="s">
        <v>221</v>
      </c>
    </row>
    <row r="2286" spans="1:17" x14ac:dyDescent="0.25">
      <c r="A2286" t="s">
        <v>1148</v>
      </c>
      <c r="B2286" t="s">
        <v>1056</v>
      </c>
      <c r="C2286" t="s">
        <v>175</v>
      </c>
      <c r="D2286" t="s">
        <v>516</v>
      </c>
      <c r="E2286" t="s">
        <v>517</v>
      </c>
      <c r="F2286">
        <v>2</v>
      </c>
      <c r="G2286" t="s">
        <v>176</v>
      </c>
      <c r="H2286">
        <v>0</v>
      </c>
      <c r="I2286">
        <v>91</v>
      </c>
      <c r="J2286" s="10">
        <v>17.799999999999997</v>
      </c>
      <c r="K2286" s="10">
        <f>SUMIFS(F:F,D:D,DST_123_ÜRETİM_İHTİYAÇ_RAPORU_BURAK_YENI1309[[#This Row],[ALT_KOD]])-(SUMIFS(H:H,D:D,DST_123_ÜRETİM_İHTİYAÇ_RAPORU_BURAK_YENI1309[[#This Row],[ALT_KOD]])+AVERAGEIFS(I:I,D:D,DST_123_ÜRETİM_İHTİYAÇ_RAPORU_BURAK_YENI1309[[#This Row],[ALT_KOD]])+AVERAGEIFS(L:L,D:D,DST_123_ÜRETİM_İHTİYAÇ_RAPORU_BURAK_YENI1309[[#This Row],[ALT_KOD]]))</f>
        <v>-74.5</v>
      </c>
      <c r="L2286">
        <v>0</v>
      </c>
      <c r="M2286">
        <f>IF((DST_123_ÜRETİM_İHTİYAÇ_RAPORU_BURAK_YENI1309[[#This Row],[SATINALMA]]*DST_123_ÜRETİM_İHTİYAÇ_RAPORU_BURAK_YENI1309[[#This Row],[BIRIM_FIYATLAR]])&lt;1,VALUE("0"),DST_123_ÜRETİM_İHTİYAÇ_RAPORU_BURAK_YENI1309[[#This Row],[SATINALMA]]*DST_123_ÜRETİM_İHTİYAÇ_RAPORU_BURAK_YENI1309[[#This Row],[BIRIM_FIYATLAR]])</f>
        <v>0</v>
      </c>
      <c r="N2286">
        <v>85</v>
      </c>
      <c r="O2286" t="s">
        <v>346</v>
      </c>
      <c r="P2286">
        <v>170</v>
      </c>
      <c r="Q2286" t="s">
        <v>180</v>
      </c>
    </row>
    <row r="2287" spans="1:17" x14ac:dyDescent="0.25">
      <c r="A2287" t="s">
        <v>1147</v>
      </c>
      <c r="B2287" t="s">
        <v>1145</v>
      </c>
      <c r="C2287" t="s">
        <v>175</v>
      </c>
      <c r="D2287" t="s">
        <v>516</v>
      </c>
      <c r="E2287" t="s">
        <v>517</v>
      </c>
      <c r="F2287">
        <v>1.5</v>
      </c>
      <c r="G2287" t="s">
        <v>176</v>
      </c>
      <c r="H2287">
        <v>0</v>
      </c>
      <c r="I2287">
        <v>91</v>
      </c>
      <c r="J2287" s="10">
        <v>17.799999999999997</v>
      </c>
      <c r="K2287" s="10">
        <f>SUMIFS(F:F,D:D,DST_123_ÜRETİM_İHTİYAÇ_RAPORU_BURAK_YENI1309[[#This Row],[ALT_KOD]])-(SUMIFS(H:H,D:D,DST_123_ÜRETİM_İHTİYAÇ_RAPORU_BURAK_YENI1309[[#This Row],[ALT_KOD]])+AVERAGEIFS(I:I,D:D,DST_123_ÜRETİM_İHTİYAÇ_RAPORU_BURAK_YENI1309[[#This Row],[ALT_KOD]])+AVERAGEIFS(L:L,D:D,DST_123_ÜRETİM_İHTİYAÇ_RAPORU_BURAK_YENI1309[[#This Row],[ALT_KOD]]))</f>
        <v>-74.5</v>
      </c>
      <c r="L2287">
        <v>0</v>
      </c>
      <c r="M2287">
        <f>IF((DST_123_ÜRETİM_İHTİYAÇ_RAPORU_BURAK_YENI1309[[#This Row],[SATINALMA]]*DST_123_ÜRETİM_İHTİYAÇ_RAPORU_BURAK_YENI1309[[#This Row],[BIRIM_FIYATLAR]])&lt;1,VALUE("0"),DST_123_ÜRETİM_İHTİYAÇ_RAPORU_BURAK_YENI1309[[#This Row],[SATINALMA]]*DST_123_ÜRETİM_İHTİYAÇ_RAPORU_BURAK_YENI1309[[#This Row],[BIRIM_FIYATLAR]])</f>
        <v>0</v>
      </c>
      <c r="N2287">
        <v>85</v>
      </c>
      <c r="O2287" t="s">
        <v>346</v>
      </c>
      <c r="P2287">
        <v>127.5</v>
      </c>
      <c r="Q2287" t="s">
        <v>180</v>
      </c>
    </row>
    <row r="2288" spans="1:17" x14ac:dyDescent="0.25">
      <c r="A2288" t="s">
        <v>1148</v>
      </c>
      <c r="B2288" t="s">
        <v>1056</v>
      </c>
      <c r="C2288" t="s">
        <v>175</v>
      </c>
      <c r="D2288" t="s">
        <v>680</v>
      </c>
      <c r="E2288" t="s">
        <v>681</v>
      </c>
      <c r="F2288">
        <v>1</v>
      </c>
      <c r="G2288" t="s">
        <v>176</v>
      </c>
      <c r="H2288">
        <v>0</v>
      </c>
      <c r="I2288">
        <v>10</v>
      </c>
      <c r="J2288" s="10">
        <v>4</v>
      </c>
      <c r="K2288" s="10">
        <f>SUMIFS(F:F,D:D,DST_123_ÜRETİM_İHTİYAÇ_RAPORU_BURAK_YENI1309[[#This Row],[ALT_KOD]])-(SUMIFS(H:H,D:D,DST_123_ÜRETİM_İHTİYAÇ_RAPORU_BURAK_YENI1309[[#This Row],[ALT_KOD]])+AVERAGEIFS(I:I,D:D,DST_123_ÜRETİM_İHTİYAÇ_RAPORU_BURAK_YENI1309[[#This Row],[ALT_KOD]])+AVERAGEIFS(L:L,D:D,DST_123_ÜRETİM_İHTİYAÇ_RAPORU_BURAK_YENI1309[[#This Row],[ALT_KOD]]))</f>
        <v>-6</v>
      </c>
      <c r="L2288">
        <v>0</v>
      </c>
      <c r="M2288">
        <f>IF((DST_123_ÜRETİM_İHTİYAÇ_RAPORU_BURAK_YENI1309[[#This Row],[SATINALMA]]*DST_123_ÜRETİM_İHTİYAÇ_RAPORU_BURAK_YENI1309[[#This Row],[BIRIM_FIYATLAR]])&lt;1,VALUE("0"),DST_123_ÜRETİM_İHTİYAÇ_RAPORU_BURAK_YENI1309[[#This Row],[SATINALMA]]*DST_123_ÜRETİM_İHTİYAÇ_RAPORU_BURAK_YENI1309[[#This Row],[BIRIM_FIYATLAR]])</f>
        <v>0</v>
      </c>
      <c r="N2288">
        <v>252</v>
      </c>
      <c r="O2288" t="s">
        <v>246</v>
      </c>
      <c r="P2288">
        <v>252</v>
      </c>
      <c r="Q2288" t="s">
        <v>180</v>
      </c>
    </row>
    <row r="2289" spans="1:17" x14ac:dyDescent="0.25">
      <c r="A2289" t="s">
        <v>1147</v>
      </c>
      <c r="B2289" t="s">
        <v>1145</v>
      </c>
      <c r="C2289" t="s">
        <v>175</v>
      </c>
      <c r="D2289" t="s">
        <v>697</v>
      </c>
      <c r="E2289" t="s">
        <v>698</v>
      </c>
      <c r="F2289">
        <v>1</v>
      </c>
      <c r="G2289" t="s">
        <v>176</v>
      </c>
      <c r="H2289">
        <v>0</v>
      </c>
      <c r="I2289">
        <v>6</v>
      </c>
      <c r="J2289" s="10">
        <v>5</v>
      </c>
      <c r="K2289" s="10">
        <f>SUMIFS(F:F,D:D,DST_123_ÜRETİM_İHTİYAÇ_RAPORU_BURAK_YENI1309[[#This Row],[ALT_KOD]])-(SUMIFS(H:H,D:D,DST_123_ÜRETİM_İHTİYAÇ_RAPORU_BURAK_YENI1309[[#This Row],[ALT_KOD]])+AVERAGEIFS(I:I,D:D,DST_123_ÜRETİM_İHTİYAÇ_RAPORU_BURAK_YENI1309[[#This Row],[ALT_KOD]])+AVERAGEIFS(L:L,D:D,DST_123_ÜRETİM_İHTİYAÇ_RAPORU_BURAK_YENI1309[[#This Row],[ALT_KOD]]))</f>
        <v>5</v>
      </c>
      <c r="L2289">
        <v>0</v>
      </c>
      <c r="M2289">
        <f>IF((DST_123_ÜRETİM_İHTİYAÇ_RAPORU_BURAK_YENI1309[[#This Row],[SATINALMA]]*DST_123_ÜRETİM_İHTİYAÇ_RAPORU_BURAK_YENI1309[[#This Row],[BIRIM_FIYATLAR]])&lt;1,VALUE("0"),DST_123_ÜRETİM_İHTİYAÇ_RAPORU_BURAK_YENI1309[[#This Row],[SATINALMA]]*DST_123_ÜRETİM_İHTİYAÇ_RAPORU_BURAK_YENI1309[[#This Row],[BIRIM_FIYATLAR]])</f>
        <v>11000</v>
      </c>
      <c r="N2289">
        <v>2200</v>
      </c>
      <c r="O2289" t="s">
        <v>251</v>
      </c>
      <c r="P2289">
        <v>2200</v>
      </c>
      <c r="Q2289" t="s">
        <v>178</v>
      </c>
    </row>
    <row r="2290" spans="1:17" x14ac:dyDescent="0.25">
      <c r="A2290" t="s">
        <v>1095</v>
      </c>
      <c r="B2290" t="s">
        <v>1096</v>
      </c>
      <c r="C2290" t="s">
        <v>175</v>
      </c>
      <c r="D2290" t="s">
        <v>516</v>
      </c>
      <c r="E2290" t="s">
        <v>517</v>
      </c>
      <c r="F2290">
        <v>2</v>
      </c>
      <c r="G2290" t="s">
        <v>176</v>
      </c>
      <c r="H2290">
        <v>0</v>
      </c>
      <c r="I2290">
        <v>91</v>
      </c>
      <c r="J2290" s="10">
        <v>17.799999999999997</v>
      </c>
      <c r="K2290" s="10">
        <f>SUMIFS(F:F,D:D,DST_123_ÜRETİM_İHTİYAÇ_RAPORU_BURAK_YENI1309[[#This Row],[ALT_KOD]])-(SUMIFS(H:H,D:D,DST_123_ÜRETİM_İHTİYAÇ_RAPORU_BURAK_YENI1309[[#This Row],[ALT_KOD]])+AVERAGEIFS(I:I,D:D,DST_123_ÜRETİM_İHTİYAÇ_RAPORU_BURAK_YENI1309[[#This Row],[ALT_KOD]])+AVERAGEIFS(L:L,D:D,DST_123_ÜRETİM_İHTİYAÇ_RAPORU_BURAK_YENI1309[[#This Row],[ALT_KOD]]))</f>
        <v>-74.5</v>
      </c>
      <c r="L2290">
        <v>0</v>
      </c>
      <c r="M2290">
        <f>IF((DST_123_ÜRETİM_İHTİYAÇ_RAPORU_BURAK_YENI1309[[#This Row],[SATINALMA]]*DST_123_ÜRETİM_İHTİYAÇ_RAPORU_BURAK_YENI1309[[#This Row],[BIRIM_FIYATLAR]])&lt;1,VALUE("0"),DST_123_ÜRETİM_İHTİYAÇ_RAPORU_BURAK_YENI1309[[#This Row],[SATINALMA]]*DST_123_ÜRETİM_İHTİYAÇ_RAPORU_BURAK_YENI1309[[#This Row],[BIRIM_FIYATLAR]])</f>
        <v>0</v>
      </c>
      <c r="N2290">
        <v>85</v>
      </c>
      <c r="O2290" t="s">
        <v>346</v>
      </c>
      <c r="P2290">
        <v>170</v>
      </c>
      <c r="Q2290" t="s">
        <v>180</v>
      </c>
    </row>
    <row r="2291" spans="1:17" x14ac:dyDescent="0.25">
      <c r="A2291" t="s">
        <v>1101</v>
      </c>
      <c r="B2291" t="s">
        <v>1102</v>
      </c>
      <c r="C2291" t="s">
        <v>175</v>
      </c>
      <c r="D2291" t="s">
        <v>665</v>
      </c>
      <c r="E2291" t="s">
        <v>666</v>
      </c>
      <c r="F2291">
        <v>2</v>
      </c>
      <c r="G2291" t="s">
        <v>176</v>
      </c>
      <c r="H2291">
        <v>0</v>
      </c>
      <c r="I2291">
        <v>0</v>
      </c>
      <c r="J2291" s="10">
        <v>4</v>
      </c>
      <c r="K2291" s="10">
        <f>SUMIFS(F:F,D:D,DST_123_ÜRETİM_İHTİYAÇ_RAPORU_BURAK_YENI1309[[#This Row],[ALT_KOD]])-(SUMIFS(H:H,D:D,DST_123_ÜRETİM_İHTİYAÇ_RAPORU_BURAK_YENI1309[[#This Row],[ALT_KOD]])+AVERAGEIFS(I:I,D:D,DST_123_ÜRETİM_İHTİYAÇ_RAPORU_BURAK_YENI1309[[#This Row],[ALT_KOD]])+AVERAGEIFS(L:L,D:D,DST_123_ÜRETİM_İHTİYAÇ_RAPORU_BURAK_YENI1309[[#This Row],[ALT_KOD]]))</f>
        <v>0</v>
      </c>
      <c r="L2291">
        <v>20</v>
      </c>
      <c r="M2291">
        <f>IF((DST_123_ÜRETİM_İHTİYAÇ_RAPORU_BURAK_YENI1309[[#This Row],[SATINALMA]]*DST_123_ÜRETİM_İHTİYAÇ_RAPORU_BURAK_YENI1309[[#This Row],[BIRIM_FIYATLAR]])&lt;1,VALUE("0"),DST_123_ÜRETİM_İHTİYAÇ_RAPORU_BURAK_YENI1309[[#This Row],[SATINALMA]]*DST_123_ÜRETİM_İHTİYAÇ_RAPORU_BURAK_YENI1309[[#This Row],[BIRIM_FIYATLAR]])</f>
        <v>0</v>
      </c>
      <c r="N2291">
        <v>28000</v>
      </c>
      <c r="O2291" t="s">
        <v>829</v>
      </c>
      <c r="P2291">
        <v>56000</v>
      </c>
      <c r="Q2291" t="s">
        <v>221</v>
      </c>
    </row>
    <row r="2292" spans="1:17" x14ac:dyDescent="0.25">
      <c r="A2292" t="s">
        <v>1142</v>
      </c>
      <c r="B2292" t="s">
        <v>1056</v>
      </c>
      <c r="C2292" t="s">
        <v>175</v>
      </c>
      <c r="D2292" t="s">
        <v>256</v>
      </c>
      <c r="E2292" t="s">
        <v>257</v>
      </c>
      <c r="F2292">
        <v>4.3</v>
      </c>
      <c r="G2292" t="s">
        <v>176</v>
      </c>
      <c r="H2292">
        <v>0</v>
      </c>
      <c r="I2292">
        <v>14</v>
      </c>
      <c r="J2292" s="10">
        <v>6.8000000000000025</v>
      </c>
      <c r="K2292" s="10">
        <f>SUMIFS(F:F,D:D,DST_123_ÜRETİM_İHTİYAÇ_RAPORU_BURAK_YENI1309[[#This Row],[ALT_KOD]])-(SUMIFS(H:H,D:D,DST_123_ÜRETİM_İHTİYAÇ_RAPORU_BURAK_YENI1309[[#This Row],[ALT_KOD]])+AVERAGEIFS(I:I,D:D,DST_123_ÜRETİM_İHTİYAÇ_RAPORU_BURAK_YENI1309[[#This Row],[ALT_KOD]])+AVERAGEIFS(L:L,D:D,DST_123_ÜRETİM_İHTİYAÇ_RAPORU_BURAK_YENI1309[[#This Row],[ALT_KOD]]))</f>
        <v>7.7000000000000028</v>
      </c>
      <c r="L2292">
        <v>12</v>
      </c>
      <c r="M2292">
        <f>IF((DST_123_ÜRETİM_İHTİYAÇ_RAPORU_BURAK_YENI1309[[#This Row],[SATINALMA]]*DST_123_ÜRETİM_İHTİYAÇ_RAPORU_BURAK_YENI1309[[#This Row],[BIRIM_FIYATLAR]])&lt;1,VALUE("0"),DST_123_ÜRETİM_İHTİYAÇ_RAPORU_BURAK_YENI1309[[#This Row],[SATINALMA]]*DST_123_ÜRETİM_İHTİYAÇ_RAPORU_BURAK_YENI1309[[#This Row],[BIRIM_FIYATLAR]])</f>
        <v>2532.1450000000009</v>
      </c>
      <c r="N2292">
        <v>328.85</v>
      </c>
      <c r="O2292" t="s">
        <v>258</v>
      </c>
      <c r="P2292">
        <v>1414.0550000000001</v>
      </c>
      <c r="Q2292" t="s">
        <v>183</v>
      </c>
    </row>
    <row r="2293" spans="1:17" x14ac:dyDescent="0.25">
      <c r="A2293" t="s">
        <v>1064</v>
      </c>
      <c r="B2293" t="s">
        <v>1055</v>
      </c>
      <c r="C2293" t="s">
        <v>175</v>
      </c>
      <c r="D2293" t="s">
        <v>206</v>
      </c>
      <c r="E2293" t="s">
        <v>280</v>
      </c>
      <c r="F2293">
        <v>0.76800000000000024</v>
      </c>
      <c r="G2293" t="s">
        <v>176</v>
      </c>
      <c r="H2293">
        <v>0.76800000000000024</v>
      </c>
      <c r="I2293">
        <v>10</v>
      </c>
      <c r="J2293" s="10">
        <v>126.66400000000034</v>
      </c>
      <c r="K2293" s="10">
        <f>SUMIFS(F:F,D:D,DST_123_ÜRETİM_İHTİYAÇ_RAPORU_BURAK_YENI1309[[#This Row],[ALT_KOD]])-(SUMIFS(H:H,D:D,DST_123_ÜRETİM_İHTİYAÇ_RAPORU_BURAK_YENI1309[[#This Row],[ALT_KOD]])+AVERAGEIFS(I:I,D:D,DST_123_ÜRETİM_İHTİYAÇ_RAPORU_BURAK_YENI1309[[#This Row],[ALT_KOD]])+AVERAGEIFS(L:L,D:D,DST_123_ÜRETİM_İHTİYAÇ_RAPORU_BURAK_YENI1309[[#This Row],[ALT_KOD]]))</f>
        <v>-1.1600000000000001</v>
      </c>
      <c r="L2293">
        <v>0</v>
      </c>
      <c r="M2293">
        <f>IF((DST_123_ÜRETİM_İHTİYAÇ_RAPORU_BURAK_YENI1309[[#This Row],[SATINALMA]]*DST_123_ÜRETİM_İHTİYAÇ_RAPORU_BURAK_YENI1309[[#This Row],[BIRIM_FIYATLAR]])&lt;1,VALUE("0"),DST_123_ÜRETİM_İHTİYAÇ_RAPORU_BURAK_YENI1309[[#This Row],[SATINALMA]]*DST_123_ÜRETİM_İHTİYAÇ_RAPORU_BURAK_YENI1309[[#This Row],[BIRIM_FIYATLAR]])</f>
        <v>0</v>
      </c>
      <c r="N2293">
        <v>185</v>
      </c>
      <c r="O2293" t="s">
        <v>240</v>
      </c>
      <c r="P2293">
        <v>142.08000000000004</v>
      </c>
      <c r="Q2293" t="s">
        <v>180</v>
      </c>
    </row>
    <row r="2294" spans="1:17" x14ac:dyDescent="0.25">
      <c r="A2294" t="s">
        <v>1098</v>
      </c>
      <c r="B2294" t="s">
        <v>1096</v>
      </c>
      <c r="C2294" t="s">
        <v>175</v>
      </c>
      <c r="D2294" t="s">
        <v>206</v>
      </c>
      <c r="E2294" t="s">
        <v>280</v>
      </c>
      <c r="F2294">
        <v>0.69</v>
      </c>
      <c r="G2294" t="s">
        <v>176</v>
      </c>
      <c r="H2294">
        <v>0</v>
      </c>
      <c r="I2294">
        <v>10</v>
      </c>
      <c r="J2294" s="10">
        <v>126.66400000000034</v>
      </c>
      <c r="K2294" s="10">
        <f>SUMIFS(F:F,D:D,DST_123_ÜRETİM_İHTİYAÇ_RAPORU_BURAK_YENI1309[[#This Row],[ALT_KOD]])-(SUMIFS(H:H,D:D,DST_123_ÜRETİM_İHTİYAÇ_RAPORU_BURAK_YENI1309[[#This Row],[ALT_KOD]])+AVERAGEIFS(I:I,D:D,DST_123_ÜRETİM_İHTİYAÇ_RAPORU_BURAK_YENI1309[[#This Row],[ALT_KOD]])+AVERAGEIFS(L:L,D:D,DST_123_ÜRETİM_İHTİYAÇ_RAPORU_BURAK_YENI1309[[#This Row],[ALT_KOD]]))</f>
        <v>-1.1600000000000001</v>
      </c>
      <c r="L2294">
        <v>0</v>
      </c>
      <c r="M2294">
        <f>IF((DST_123_ÜRETİM_İHTİYAÇ_RAPORU_BURAK_YENI1309[[#This Row],[SATINALMA]]*DST_123_ÜRETİM_İHTİYAÇ_RAPORU_BURAK_YENI1309[[#This Row],[BIRIM_FIYATLAR]])&lt;1,VALUE("0"),DST_123_ÜRETİM_İHTİYAÇ_RAPORU_BURAK_YENI1309[[#This Row],[SATINALMA]]*DST_123_ÜRETİM_İHTİYAÇ_RAPORU_BURAK_YENI1309[[#This Row],[BIRIM_FIYATLAR]])</f>
        <v>0</v>
      </c>
      <c r="N2294">
        <v>185</v>
      </c>
      <c r="O2294" t="s">
        <v>240</v>
      </c>
      <c r="P2294">
        <v>127.64999999999999</v>
      </c>
      <c r="Q2294" t="s">
        <v>180</v>
      </c>
    </row>
    <row r="2295" spans="1:17" x14ac:dyDescent="0.25">
      <c r="A2295" t="s">
        <v>1064</v>
      </c>
      <c r="B2295" t="s">
        <v>1055</v>
      </c>
      <c r="C2295" t="s">
        <v>175</v>
      </c>
      <c r="D2295" t="s">
        <v>344</v>
      </c>
      <c r="E2295" t="s">
        <v>345</v>
      </c>
      <c r="F2295">
        <v>2</v>
      </c>
      <c r="G2295" t="s">
        <v>176</v>
      </c>
      <c r="H2295">
        <v>0</v>
      </c>
      <c r="I2295">
        <v>228</v>
      </c>
      <c r="J2295" s="10">
        <v>4.2632564145606011E-14</v>
      </c>
      <c r="K2295" s="10">
        <f>SUMIFS(F:F,D:D,DST_123_ÜRETİM_İHTİYAÇ_RAPORU_BURAK_YENI1309[[#This Row],[ALT_KOD]])-(SUMIFS(H:H,D:D,DST_123_ÜRETİM_İHTİYAÇ_RAPORU_BURAK_YENI1309[[#This Row],[ALT_KOD]])+AVERAGEIFS(I:I,D:D,DST_123_ÜRETİM_İHTİYAÇ_RAPORU_BURAK_YENI1309[[#This Row],[ALT_KOD]])+AVERAGEIFS(L:L,D:D,DST_123_ÜRETİM_İHTİYAÇ_RAPORU_BURAK_YENI1309[[#This Row],[ALT_KOD]]))</f>
        <v>-186</v>
      </c>
      <c r="L2295">
        <v>0</v>
      </c>
      <c r="M2295">
        <f>IF((DST_123_ÜRETİM_İHTİYAÇ_RAPORU_BURAK_YENI1309[[#This Row],[SATINALMA]]*DST_123_ÜRETİM_İHTİYAÇ_RAPORU_BURAK_YENI1309[[#This Row],[BIRIM_FIYATLAR]])&lt;1,VALUE("0"),DST_123_ÜRETİM_İHTİYAÇ_RAPORU_BURAK_YENI1309[[#This Row],[SATINALMA]]*DST_123_ÜRETİM_İHTİYAÇ_RAPORU_BURAK_YENI1309[[#This Row],[BIRIM_FIYATLAR]])</f>
        <v>0</v>
      </c>
      <c r="N2295">
        <v>6</v>
      </c>
      <c r="O2295" t="s">
        <v>346</v>
      </c>
      <c r="P2295">
        <v>12</v>
      </c>
      <c r="Q2295" t="s">
        <v>180</v>
      </c>
    </row>
    <row r="2296" spans="1:17" x14ac:dyDescent="0.25">
      <c r="A2296" t="s">
        <v>1196</v>
      </c>
      <c r="B2296" t="s">
        <v>1197</v>
      </c>
      <c r="C2296" t="s">
        <v>175</v>
      </c>
      <c r="D2296" t="s">
        <v>344</v>
      </c>
      <c r="E2296" t="s">
        <v>345</v>
      </c>
      <c r="F2296">
        <v>2</v>
      </c>
      <c r="G2296" t="s">
        <v>176</v>
      </c>
      <c r="H2296">
        <v>0</v>
      </c>
      <c r="I2296">
        <v>228</v>
      </c>
      <c r="J2296" s="10">
        <v>4.2632564145606011E-14</v>
      </c>
      <c r="K2296" s="10">
        <f>SUMIFS(F:F,D:D,DST_123_ÜRETİM_İHTİYAÇ_RAPORU_BURAK_YENI1309[[#This Row],[ALT_KOD]])-(SUMIFS(H:H,D:D,DST_123_ÜRETİM_İHTİYAÇ_RAPORU_BURAK_YENI1309[[#This Row],[ALT_KOD]])+AVERAGEIFS(I:I,D:D,DST_123_ÜRETİM_İHTİYAÇ_RAPORU_BURAK_YENI1309[[#This Row],[ALT_KOD]])+AVERAGEIFS(L:L,D:D,DST_123_ÜRETİM_İHTİYAÇ_RAPORU_BURAK_YENI1309[[#This Row],[ALT_KOD]]))</f>
        <v>-186</v>
      </c>
      <c r="L2296">
        <v>0</v>
      </c>
      <c r="M2296">
        <f>IF((DST_123_ÜRETİM_İHTİYAÇ_RAPORU_BURAK_YENI1309[[#This Row],[SATINALMA]]*DST_123_ÜRETİM_İHTİYAÇ_RAPORU_BURAK_YENI1309[[#This Row],[BIRIM_FIYATLAR]])&lt;1,VALUE("0"),DST_123_ÜRETİM_İHTİYAÇ_RAPORU_BURAK_YENI1309[[#This Row],[SATINALMA]]*DST_123_ÜRETİM_İHTİYAÇ_RAPORU_BURAK_YENI1309[[#This Row],[BIRIM_FIYATLAR]])</f>
        <v>0</v>
      </c>
      <c r="N2296">
        <v>6</v>
      </c>
      <c r="O2296" t="s">
        <v>346</v>
      </c>
      <c r="P2296">
        <v>12</v>
      </c>
      <c r="Q2296" t="s">
        <v>180</v>
      </c>
    </row>
    <row r="2297" spans="1:17" x14ac:dyDescent="0.25">
      <c r="A2297" t="s">
        <v>1098</v>
      </c>
      <c r="B2297" t="s">
        <v>1096</v>
      </c>
      <c r="C2297" t="s">
        <v>175</v>
      </c>
      <c r="D2297" t="s">
        <v>344</v>
      </c>
      <c r="E2297" t="s">
        <v>345</v>
      </c>
      <c r="F2297">
        <v>3</v>
      </c>
      <c r="G2297" t="s">
        <v>176</v>
      </c>
      <c r="H2297">
        <v>0</v>
      </c>
      <c r="I2297">
        <v>228</v>
      </c>
      <c r="J2297" s="10">
        <v>4.2632564145606011E-14</v>
      </c>
      <c r="K2297" s="10">
        <f>SUMIFS(F:F,D:D,DST_123_ÜRETİM_İHTİYAÇ_RAPORU_BURAK_YENI1309[[#This Row],[ALT_KOD]])-(SUMIFS(H:H,D:D,DST_123_ÜRETİM_İHTİYAÇ_RAPORU_BURAK_YENI1309[[#This Row],[ALT_KOD]])+AVERAGEIFS(I:I,D:D,DST_123_ÜRETİM_İHTİYAÇ_RAPORU_BURAK_YENI1309[[#This Row],[ALT_KOD]])+AVERAGEIFS(L:L,D:D,DST_123_ÜRETİM_İHTİYAÇ_RAPORU_BURAK_YENI1309[[#This Row],[ALT_KOD]]))</f>
        <v>-186</v>
      </c>
      <c r="L2297">
        <v>0</v>
      </c>
      <c r="M2297">
        <f>IF((DST_123_ÜRETİM_İHTİYAÇ_RAPORU_BURAK_YENI1309[[#This Row],[SATINALMA]]*DST_123_ÜRETİM_İHTİYAÇ_RAPORU_BURAK_YENI1309[[#This Row],[BIRIM_FIYATLAR]])&lt;1,VALUE("0"),DST_123_ÜRETİM_İHTİYAÇ_RAPORU_BURAK_YENI1309[[#This Row],[SATINALMA]]*DST_123_ÜRETİM_İHTİYAÇ_RAPORU_BURAK_YENI1309[[#This Row],[BIRIM_FIYATLAR]])</f>
        <v>0</v>
      </c>
      <c r="N2297">
        <v>6</v>
      </c>
      <c r="O2297" t="s">
        <v>346</v>
      </c>
      <c r="P2297">
        <v>18</v>
      </c>
      <c r="Q2297" t="s">
        <v>180</v>
      </c>
    </row>
    <row r="2298" spans="1:17" x14ac:dyDescent="0.25">
      <c r="A2298" t="s">
        <v>1064</v>
      </c>
      <c r="B2298" t="s">
        <v>1055</v>
      </c>
      <c r="C2298" t="s">
        <v>175</v>
      </c>
      <c r="D2298" t="s">
        <v>418</v>
      </c>
      <c r="E2298" t="s">
        <v>1221</v>
      </c>
      <c r="F2298">
        <v>9</v>
      </c>
      <c r="G2298" t="s">
        <v>176</v>
      </c>
      <c r="H2298">
        <v>0</v>
      </c>
      <c r="I2298">
        <v>148</v>
      </c>
      <c r="J2298" s="10">
        <v>59</v>
      </c>
      <c r="K2298" s="10">
        <f>SUMIFS(F:F,D:D,DST_123_ÜRETİM_İHTİYAÇ_RAPORU_BURAK_YENI1309[[#This Row],[ALT_KOD]])-(SUMIFS(H:H,D:D,DST_123_ÜRETİM_İHTİYAÇ_RAPORU_BURAK_YENI1309[[#This Row],[ALT_KOD]])+AVERAGEIFS(I:I,D:D,DST_123_ÜRETİM_İHTİYAÇ_RAPORU_BURAK_YENI1309[[#This Row],[ALT_KOD]])+AVERAGEIFS(L:L,D:D,DST_123_ÜRETİM_İHTİYAÇ_RAPORU_BURAK_YENI1309[[#This Row],[ALT_KOD]]))</f>
        <v>-33</v>
      </c>
      <c r="L2298">
        <v>0</v>
      </c>
      <c r="M2298">
        <f>IF((DST_123_ÜRETİM_İHTİYAÇ_RAPORU_BURAK_YENI1309[[#This Row],[SATINALMA]]*DST_123_ÜRETİM_İHTİYAÇ_RAPORU_BURAK_YENI1309[[#This Row],[BIRIM_FIYATLAR]])&lt;1,VALUE("0"),DST_123_ÜRETİM_İHTİYAÇ_RAPORU_BURAK_YENI1309[[#This Row],[SATINALMA]]*DST_123_ÜRETİM_İHTİYAÇ_RAPORU_BURAK_YENI1309[[#This Row],[BIRIM_FIYATLAR]])</f>
        <v>0</v>
      </c>
      <c r="N2298">
        <v>24.17</v>
      </c>
      <c r="O2298" t="s">
        <v>628</v>
      </c>
      <c r="P2298">
        <v>217.53000000000003</v>
      </c>
      <c r="Q2298" t="s">
        <v>180</v>
      </c>
    </row>
    <row r="2299" spans="1:17" x14ac:dyDescent="0.25">
      <c r="A2299" t="s">
        <v>1196</v>
      </c>
      <c r="B2299" t="s">
        <v>1197</v>
      </c>
      <c r="C2299" t="s">
        <v>175</v>
      </c>
      <c r="D2299" t="s">
        <v>418</v>
      </c>
      <c r="E2299" t="s">
        <v>1221</v>
      </c>
      <c r="F2299">
        <v>5</v>
      </c>
      <c r="G2299" t="s">
        <v>176</v>
      </c>
      <c r="H2299">
        <v>0</v>
      </c>
      <c r="I2299">
        <v>148</v>
      </c>
      <c r="J2299" s="10">
        <v>59</v>
      </c>
      <c r="K2299" s="10">
        <f>SUMIFS(F:F,D:D,DST_123_ÜRETİM_İHTİYAÇ_RAPORU_BURAK_YENI1309[[#This Row],[ALT_KOD]])-(SUMIFS(H:H,D:D,DST_123_ÜRETİM_İHTİYAÇ_RAPORU_BURAK_YENI1309[[#This Row],[ALT_KOD]])+AVERAGEIFS(I:I,D:D,DST_123_ÜRETİM_İHTİYAÇ_RAPORU_BURAK_YENI1309[[#This Row],[ALT_KOD]])+AVERAGEIFS(L:L,D:D,DST_123_ÜRETİM_İHTİYAÇ_RAPORU_BURAK_YENI1309[[#This Row],[ALT_KOD]]))</f>
        <v>-33</v>
      </c>
      <c r="L2299">
        <v>0</v>
      </c>
      <c r="M2299">
        <f>IF((DST_123_ÜRETİM_İHTİYAÇ_RAPORU_BURAK_YENI1309[[#This Row],[SATINALMA]]*DST_123_ÜRETİM_İHTİYAÇ_RAPORU_BURAK_YENI1309[[#This Row],[BIRIM_FIYATLAR]])&lt;1,VALUE("0"),DST_123_ÜRETİM_İHTİYAÇ_RAPORU_BURAK_YENI1309[[#This Row],[SATINALMA]]*DST_123_ÜRETİM_İHTİYAÇ_RAPORU_BURAK_YENI1309[[#This Row],[BIRIM_FIYATLAR]])</f>
        <v>0</v>
      </c>
      <c r="N2299">
        <v>24.17</v>
      </c>
      <c r="O2299" t="s">
        <v>628</v>
      </c>
      <c r="P2299">
        <v>120.85000000000001</v>
      </c>
      <c r="Q2299" t="s">
        <v>180</v>
      </c>
    </row>
    <row r="2300" spans="1:17" x14ac:dyDescent="0.25">
      <c r="A2300" t="s">
        <v>1064</v>
      </c>
      <c r="B2300" t="s">
        <v>1055</v>
      </c>
      <c r="C2300" t="s">
        <v>175</v>
      </c>
      <c r="D2300" t="s">
        <v>159</v>
      </c>
      <c r="E2300" t="s">
        <v>160</v>
      </c>
      <c r="F2300">
        <v>0.23</v>
      </c>
      <c r="G2300" t="s">
        <v>179</v>
      </c>
      <c r="H2300">
        <v>0</v>
      </c>
      <c r="I2300">
        <v>52</v>
      </c>
      <c r="J2300" s="10">
        <v>38.620000000000005</v>
      </c>
      <c r="K2300" s="10">
        <f>SUMIFS(F:F,D:D,DST_123_ÜRETİM_İHTİYAÇ_RAPORU_BURAK_YENI1309[[#This Row],[ALT_KOD]])-(SUMIFS(H:H,D:D,DST_123_ÜRETİM_İHTİYAÇ_RAPORU_BURAK_YENI1309[[#This Row],[ALT_KOD]])+AVERAGEIFS(I:I,D:D,DST_123_ÜRETİM_İHTİYAÇ_RAPORU_BURAK_YENI1309[[#This Row],[ALT_KOD]])+AVERAGEIFS(L:L,D:D,DST_123_ÜRETİM_İHTİYAÇ_RAPORU_BURAK_YENI1309[[#This Row],[ALT_KOD]]))</f>
        <v>-47.39</v>
      </c>
      <c r="L2300">
        <v>0</v>
      </c>
      <c r="M2300">
        <f>IF((DST_123_ÜRETİM_İHTİYAÇ_RAPORU_BURAK_YENI1309[[#This Row],[SATINALMA]]*DST_123_ÜRETİM_İHTİYAÇ_RAPORU_BURAK_YENI1309[[#This Row],[BIRIM_FIYATLAR]])&lt;1,VALUE("0"),DST_123_ÜRETİM_İHTİYAÇ_RAPORU_BURAK_YENI1309[[#This Row],[SATINALMA]]*DST_123_ÜRETİM_İHTİYAÇ_RAPORU_BURAK_YENI1309[[#This Row],[BIRIM_FIYATLAR]])</f>
        <v>0</v>
      </c>
      <c r="N2300">
        <v>126.36</v>
      </c>
      <c r="O2300" t="s">
        <v>619</v>
      </c>
      <c r="P2300">
        <v>29.062800000000003</v>
      </c>
      <c r="Q2300" t="s">
        <v>178</v>
      </c>
    </row>
    <row r="2301" spans="1:17" x14ac:dyDescent="0.25">
      <c r="A2301" t="s">
        <v>1098</v>
      </c>
      <c r="B2301" t="s">
        <v>1096</v>
      </c>
      <c r="C2301" t="s">
        <v>175</v>
      </c>
      <c r="D2301" t="s">
        <v>159</v>
      </c>
      <c r="E2301" t="s">
        <v>160</v>
      </c>
      <c r="F2301">
        <v>0.23</v>
      </c>
      <c r="G2301" t="s">
        <v>179</v>
      </c>
      <c r="H2301">
        <v>0</v>
      </c>
      <c r="I2301">
        <v>52</v>
      </c>
      <c r="J2301" s="10">
        <v>38.620000000000005</v>
      </c>
      <c r="K2301" s="10">
        <f>SUMIFS(F:F,D:D,DST_123_ÜRETİM_İHTİYAÇ_RAPORU_BURAK_YENI1309[[#This Row],[ALT_KOD]])-(SUMIFS(H:H,D:D,DST_123_ÜRETİM_İHTİYAÇ_RAPORU_BURAK_YENI1309[[#This Row],[ALT_KOD]])+AVERAGEIFS(I:I,D:D,DST_123_ÜRETİM_İHTİYAÇ_RAPORU_BURAK_YENI1309[[#This Row],[ALT_KOD]])+AVERAGEIFS(L:L,D:D,DST_123_ÜRETİM_İHTİYAÇ_RAPORU_BURAK_YENI1309[[#This Row],[ALT_KOD]]))</f>
        <v>-47.39</v>
      </c>
      <c r="L2301">
        <v>0</v>
      </c>
      <c r="M2301">
        <f>IF((DST_123_ÜRETİM_İHTİYAÇ_RAPORU_BURAK_YENI1309[[#This Row],[SATINALMA]]*DST_123_ÜRETİM_İHTİYAÇ_RAPORU_BURAK_YENI1309[[#This Row],[BIRIM_FIYATLAR]])&lt;1,VALUE("0"),DST_123_ÜRETİM_İHTİYAÇ_RAPORU_BURAK_YENI1309[[#This Row],[SATINALMA]]*DST_123_ÜRETİM_İHTİYAÇ_RAPORU_BURAK_YENI1309[[#This Row],[BIRIM_FIYATLAR]])</f>
        <v>0</v>
      </c>
      <c r="N2301">
        <v>126.36</v>
      </c>
      <c r="O2301" t="s">
        <v>619</v>
      </c>
      <c r="P2301">
        <v>29.062800000000003</v>
      </c>
      <c r="Q2301" t="s">
        <v>178</v>
      </c>
    </row>
    <row r="2302" spans="1:17" x14ac:dyDescent="0.25">
      <c r="A2302" t="s">
        <v>1196</v>
      </c>
      <c r="B2302" t="s">
        <v>1197</v>
      </c>
      <c r="C2302" t="s">
        <v>175</v>
      </c>
      <c r="D2302" t="s">
        <v>104</v>
      </c>
      <c r="E2302" t="s">
        <v>105</v>
      </c>
      <c r="F2302">
        <v>5</v>
      </c>
      <c r="G2302" t="s">
        <v>176</v>
      </c>
      <c r="H2302">
        <v>0</v>
      </c>
      <c r="I2302">
        <v>0</v>
      </c>
      <c r="J2302" s="10">
        <v>75</v>
      </c>
      <c r="K2302" s="10">
        <f>SUMIFS(F:F,D:D,DST_123_ÜRETİM_İHTİYAÇ_RAPORU_BURAK_YENI1309[[#This Row],[ALT_KOD]])-(SUMIFS(H:H,D:D,DST_123_ÜRETİM_İHTİYAÇ_RAPORU_BURAK_YENI1309[[#This Row],[ALT_KOD]])+AVERAGEIFS(I:I,D:D,DST_123_ÜRETİM_İHTİYAÇ_RAPORU_BURAK_YENI1309[[#This Row],[ALT_KOD]])+AVERAGEIFS(L:L,D:D,DST_123_ÜRETİM_İHTİYAÇ_RAPORU_BURAK_YENI1309[[#This Row],[ALT_KOD]]))</f>
        <v>102</v>
      </c>
      <c r="L2302">
        <v>0</v>
      </c>
      <c r="M2302">
        <f>IF((DST_123_ÜRETİM_İHTİYAÇ_RAPORU_BURAK_YENI1309[[#This Row],[SATINALMA]]*DST_123_ÜRETİM_İHTİYAÇ_RAPORU_BURAK_YENI1309[[#This Row],[BIRIM_FIYATLAR]])&lt;1,VALUE("0"),DST_123_ÜRETİM_İHTİYAÇ_RAPORU_BURAK_YENI1309[[#This Row],[SATINALMA]]*DST_123_ÜRETİM_İHTİYAÇ_RAPORU_BURAK_YENI1309[[#This Row],[BIRIM_FIYATLAR]])</f>
        <v>10710</v>
      </c>
      <c r="N2302">
        <v>105</v>
      </c>
      <c r="O2302" t="s">
        <v>625</v>
      </c>
      <c r="P2302">
        <v>525</v>
      </c>
      <c r="Q2302" t="s">
        <v>178</v>
      </c>
    </row>
    <row r="2303" spans="1:17" x14ac:dyDescent="0.25">
      <c r="A2303" t="s">
        <v>1098</v>
      </c>
      <c r="B2303" t="s">
        <v>1096</v>
      </c>
      <c r="C2303" t="s">
        <v>175</v>
      </c>
      <c r="D2303" t="s">
        <v>104</v>
      </c>
      <c r="E2303" t="s">
        <v>105</v>
      </c>
      <c r="F2303">
        <v>6</v>
      </c>
      <c r="G2303" t="s">
        <v>176</v>
      </c>
      <c r="H2303">
        <v>0</v>
      </c>
      <c r="I2303">
        <v>0</v>
      </c>
      <c r="J2303" s="10">
        <v>75</v>
      </c>
      <c r="K2303" s="10">
        <f>SUMIFS(F:F,D:D,DST_123_ÜRETİM_İHTİYAÇ_RAPORU_BURAK_YENI1309[[#This Row],[ALT_KOD]])-(SUMIFS(H:H,D:D,DST_123_ÜRETİM_İHTİYAÇ_RAPORU_BURAK_YENI1309[[#This Row],[ALT_KOD]])+AVERAGEIFS(I:I,D:D,DST_123_ÜRETİM_İHTİYAÇ_RAPORU_BURAK_YENI1309[[#This Row],[ALT_KOD]])+AVERAGEIFS(L:L,D:D,DST_123_ÜRETİM_İHTİYAÇ_RAPORU_BURAK_YENI1309[[#This Row],[ALT_KOD]]))</f>
        <v>102</v>
      </c>
      <c r="L2303">
        <v>0</v>
      </c>
      <c r="M2303">
        <f>IF((DST_123_ÜRETİM_İHTİYAÇ_RAPORU_BURAK_YENI1309[[#This Row],[SATINALMA]]*DST_123_ÜRETİM_İHTİYAÇ_RAPORU_BURAK_YENI1309[[#This Row],[BIRIM_FIYATLAR]])&lt;1,VALUE("0"),DST_123_ÜRETİM_İHTİYAÇ_RAPORU_BURAK_YENI1309[[#This Row],[SATINALMA]]*DST_123_ÜRETİM_İHTİYAÇ_RAPORU_BURAK_YENI1309[[#This Row],[BIRIM_FIYATLAR]])</f>
        <v>10710</v>
      </c>
      <c r="N2303">
        <v>105</v>
      </c>
      <c r="O2303" t="s">
        <v>625</v>
      </c>
      <c r="P2303">
        <v>630</v>
      </c>
      <c r="Q2303" t="s">
        <v>178</v>
      </c>
    </row>
    <row r="2304" spans="1:17" x14ac:dyDescent="0.25">
      <c r="A2304" t="s">
        <v>1095</v>
      </c>
      <c r="B2304" t="s">
        <v>1096</v>
      </c>
      <c r="C2304" t="s">
        <v>175</v>
      </c>
      <c r="D2304" t="s">
        <v>98</v>
      </c>
      <c r="E2304" t="s">
        <v>248</v>
      </c>
      <c r="F2304">
        <v>5</v>
      </c>
      <c r="G2304" t="s">
        <v>176</v>
      </c>
      <c r="H2304">
        <v>0</v>
      </c>
      <c r="I2304">
        <v>230</v>
      </c>
      <c r="J2304" s="10">
        <v>72</v>
      </c>
      <c r="K2304" s="10">
        <f>SUMIFS(F:F,D:D,DST_123_ÜRETİM_İHTİYAÇ_RAPORU_BURAK_YENI1309[[#This Row],[ALT_KOD]])-(SUMIFS(H:H,D:D,DST_123_ÜRETİM_İHTİYAÇ_RAPORU_BURAK_YENI1309[[#This Row],[ALT_KOD]])+AVERAGEIFS(I:I,D:D,DST_123_ÜRETİM_İHTİYAÇ_RAPORU_BURAK_YENI1309[[#This Row],[ALT_KOD]])+AVERAGEIFS(L:L,D:D,DST_123_ÜRETİM_İHTİYAÇ_RAPORU_BURAK_YENI1309[[#This Row],[ALT_KOD]]))</f>
        <v>-172</v>
      </c>
      <c r="L2304">
        <v>0</v>
      </c>
      <c r="M2304">
        <f>IF((DST_123_ÜRETİM_İHTİYAÇ_RAPORU_BURAK_YENI1309[[#This Row],[SATINALMA]]*DST_123_ÜRETİM_İHTİYAÇ_RAPORU_BURAK_YENI1309[[#This Row],[BIRIM_FIYATLAR]])&lt;1,VALUE("0"),DST_123_ÜRETİM_İHTİYAÇ_RAPORU_BURAK_YENI1309[[#This Row],[SATINALMA]]*DST_123_ÜRETİM_İHTİYAÇ_RAPORU_BURAK_YENI1309[[#This Row],[BIRIM_FIYATLAR]])</f>
        <v>0</v>
      </c>
      <c r="N2304">
        <v>225</v>
      </c>
      <c r="O2304" t="s">
        <v>825</v>
      </c>
      <c r="P2304">
        <v>1125</v>
      </c>
      <c r="Q2304" t="s">
        <v>177</v>
      </c>
    </row>
    <row r="2305" spans="1:17" x14ac:dyDescent="0.25">
      <c r="A2305" t="s">
        <v>1097</v>
      </c>
      <c r="B2305" t="s">
        <v>1055</v>
      </c>
      <c r="C2305" t="s">
        <v>175</v>
      </c>
      <c r="D2305" t="s">
        <v>103</v>
      </c>
      <c r="E2305" t="s">
        <v>288</v>
      </c>
      <c r="F2305">
        <v>6.8</v>
      </c>
      <c r="G2305" t="s">
        <v>176</v>
      </c>
      <c r="H2305">
        <v>0</v>
      </c>
      <c r="I2305">
        <v>87</v>
      </c>
      <c r="J2305" s="10">
        <v>50.899999999999949</v>
      </c>
      <c r="K2305" s="10">
        <f>SUMIFS(F:F,D:D,DST_123_ÜRETİM_İHTİYAÇ_RAPORU_BURAK_YENI1309[[#This Row],[ALT_KOD]])-(SUMIFS(H:H,D:D,DST_123_ÜRETİM_İHTİYAÇ_RAPORU_BURAK_YENI1309[[#This Row],[ALT_KOD]])+AVERAGEIFS(I:I,D:D,DST_123_ÜRETİM_İHTİYAÇ_RAPORU_BURAK_YENI1309[[#This Row],[ALT_KOD]])+AVERAGEIFS(L:L,D:D,DST_123_ÜRETİM_İHTİYAÇ_RAPORU_BURAK_YENI1309[[#This Row],[ALT_KOD]]))</f>
        <v>-43.900000000000006</v>
      </c>
      <c r="L2305">
        <v>0</v>
      </c>
      <c r="M2305">
        <f>IF((DST_123_ÜRETİM_İHTİYAÇ_RAPORU_BURAK_YENI1309[[#This Row],[SATINALMA]]*DST_123_ÜRETİM_İHTİYAÇ_RAPORU_BURAK_YENI1309[[#This Row],[BIRIM_FIYATLAR]])&lt;1,VALUE("0"),DST_123_ÜRETİM_İHTİYAÇ_RAPORU_BURAK_YENI1309[[#This Row],[SATINALMA]]*DST_123_ÜRETİM_İHTİYAÇ_RAPORU_BURAK_YENI1309[[#This Row],[BIRIM_FIYATLAR]])</f>
        <v>0</v>
      </c>
      <c r="N2305">
        <v>122.09</v>
      </c>
      <c r="O2305" t="s">
        <v>250</v>
      </c>
      <c r="P2305">
        <v>830.21199999999999</v>
      </c>
      <c r="Q2305" t="s">
        <v>180</v>
      </c>
    </row>
    <row r="2306" spans="1:17" x14ac:dyDescent="0.25">
      <c r="A2306" t="s">
        <v>1059</v>
      </c>
      <c r="B2306" t="s">
        <v>1058</v>
      </c>
      <c r="C2306" t="s">
        <v>175</v>
      </c>
      <c r="D2306" t="s">
        <v>540</v>
      </c>
      <c r="E2306" t="s">
        <v>541</v>
      </c>
      <c r="F2306">
        <v>4</v>
      </c>
      <c r="G2306" t="s">
        <v>176</v>
      </c>
      <c r="H2306">
        <v>0</v>
      </c>
      <c r="I2306">
        <v>1000</v>
      </c>
      <c r="J2306" s="10">
        <v>0</v>
      </c>
      <c r="K2306" s="10">
        <f>SUMIFS(F:F,D:D,DST_123_ÜRETİM_İHTİYAÇ_RAPORU_BURAK_YENI1309[[#This Row],[ALT_KOD]])-(SUMIFS(H:H,D:D,DST_123_ÜRETİM_İHTİYAÇ_RAPORU_BURAK_YENI1309[[#This Row],[ALT_KOD]])+AVERAGEIFS(I:I,D:D,DST_123_ÜRETİM_İHTİYAÇ_RAPORU_BURAK_YENI1309[[#This Row],[ALT_KOD]])+AVERAGEIFS(L:L,D:D,DST_123_ÜRETİM_İHTİYAÇ_RAPORU_BURAK_YENI1309[[#This Row],[ALT_KOD]]))</f>
        <v>-964</v>
      </c>
      <c r="L2306">
        <v>0</v>
      </c>
      <c r="M2306">
        <f>IF((DST_123_ÜRETİM_İHTİYAÇ_RAPORU_BURAK_YENI1309[[#This Row],[SATINALMA]]*DST_123_ÜRETİM_İHTİYAÇ_RAPORU_BURAK_YENI1309[[#This Row],[BIRIM_FIYATLAR]])&lt;1,VALUE("0"),DST_123_ÜRETİM_İHTİYAÇ_RAPORU_BURAK_YENI1309[[#This Row],[SATINALMA]]*DST_123_ÜRETİM_İHTİYAÇ_RAPORU_BURAK_YENI1309[[#This Row],[BIRIM_FIYATLAR]])</f>
        <v>0</v>
      </c>
      <c r="N2306">
        <v>1.2</v>
      </c>
      <c r="O2306" t="s">
        <v>240</v>
      </c>
      <c r="P2306">
        <v>4.8</v>
      </c>
      <c r="Q2306" t="s">
        <v>180</v>
      </c>
    </row>
    <row r="2307" spans="1:17" x14ac:dyDescent="0.25">
      <c r="A2307" t="s">
        <v>1057</v>
      </c>
      <c r="B2307" t="s">
        <v>1058</v>
      </c>
      <c r="C2307" t="s">
        <v>175</v>
      </c>
      <c r="D2307" t="s">
        <v>540</v>
      </c>
      <c r="E2307" t="s">
        <v>541</v>
      </c>
      <c r="F2307">
        <v>4</v>
      </c>
      <c r="G2307" t="s">
        <v>176</v>
      </c>
      <c r="H2307">
        <v>0</v>
      </c>
      <c r="I2307">
        <v>1000</v>
      </c>
      <c r="J2307" s="10">
        <v>0</v>
      </c>
      <c r="K2307" s="10">
        <f>SUMIFS(F:F,D:D,DST_123_ÜRETİM_İHTİYAÇ_RAPORU_BURAK_YENI1309[[#This Row],[ALT_KOD]])-(SUMIFS(H:H,D:D,DST_123_ÜRETİM_İHTİYAÇ_RAPORU_BURAK_YENI1309[[#This Row],[ALT_KOD]])+AVERAGEIFS(I:I,D:D,DST_123_ÜRETİM_İHTİYAÇ_RAPORU_BURAK_YENI1309[[#This Row],[ALT_KOD]])+AVERAGEIFS(L:L,D:D,DST_123_ÜRETİM_İHTİYAÇ_RAPORU_BURAK_YENI1309[[#This Row],[ALT_KOD]]))</f>
        <v>-964</v>
      </c>
      <c r="L2307">
        <v>0</v>
      </c>
      <c r="M2307">
        <f>IF((DST_123_ÜRETİM_İHTİYAÇ_RAPORU_BURAK_YENI1309[[#This Row],[SATINALMA]]*DST_123_ÜRETİM_İHTİYAÇ_RAPORU_BURAK_YENI1309[[#This Row],[BIRIM_FIYATLAR]])&lt;1,VALUE("0"),DST_123_ÜRETİM_İHTİYAÇ_RAPORU_BURAK_YENI1309[[#This Row],[SATINALMA]]*DST_123_ÜRETİM_İHTİYAÇ_RAPORU_BURAK_YENI1309[[#This Row],[BIRIM_FIYATLAR]])</f>
        <v>0</v>
      </c>
      <c r="N2307">
        <v>1.2</v>
      </c>
      <c r="O2307" t="s">
        <v>240</v>
      </c>
      <c r="P2307">
        <v>4.8</v>
      </c>
      <c r="Q2307" t="s">
        <v>180</v>
      </c>
    </row>
    <row r="2308" spans="1:17" x14ac:dyDescent="0.25">
      <c r="A2308" t="s">
        <v>1100</v>
      </c>
      <c r="B2308" t="s">
        <v>1058</v>
      </c>
      <c r="C2308" t="s">
        <v>175</v>
      </c>
      <c r="D2308" t="s">
        <v>540</v>
      </c>
      <c r="E2308" t="s">
        <v>541</v>
      </c>
      <c r="F2308">
        <v>4</v>
      </c>
      <c r="G2308" t="s">
        <v>176</v>
      </c>
      <c r="H2308">
        <v>0</v>
      </c>
      <c r="I2308">
        <v>1000</v>
      </c>
      <c r="J2308" s="10">
        <v>0</v>
      </c>
      <c r="K2308" s="10">
        <f>SUMIFS(F:F,D:D,DST_123_ÜRETİM_İHTİYAÇ_RAPORU_BURAK_YENI1309[[#This Row],[ALT_KOD]])-(SUMIFS(H:H,D:D,DST_123_ÜRETİM_İHTİYAÇ_RAPORU_BURAK_YENI1309[[#This Row],[ALT_KOD]])+AVERAGEIFS(I:I,D:D,DST_123_ÜRETİM_İHTİYAÇ_RAPORU_BURAK_YENI1309[[#This Row],[ALT_KOD]])+AVERAGEIFS(L:L,D:D,DST_123_ÜRETİM_İHTİYAÇ_RAPORU_BURAK_YENI1309[[#This Row],[ALT_KOD]]))</f>
        <v>-964</v>
      </c>
      <c r="L2308">
        <v>0</v>
      </c>
      <c r="M2308">
        <f>IF((DST_123_ÜRETİM_İHTİYAÇ_RAPORU_BURAK_YENI1309[[#This Row],[SATINALMA]]*DST_123_ÜRETİM_İHTİYAÇ_RAPORU_BURAK_YENI1309[[#This Row],[BIRIM_FIYATLAR]])&lt;1,VALUE("0"),DST_123_ÜRETİM_İHTİYAÇ_RAPORU_BURAK_YENI1309[[#This Row],[SATINALMA]]*DST_123_ÜRETİM_İHTİYAÇ_RAPORU_BURAK_YENI1309[[#This Row],[BIRIM_FIYATLAR]])</f>
        <v>0</v>
      </c>
      <c r="N2308">
        <v>1.2</v>
      </c>
      <c r="O2308" t="s">
        <v>240</v>
      </c>
      <c r="P2308">
        <v>4.8</v>
      </c>
      <c r="Q2308" t="s">
        <v>180</v>
      </c>
    </row>
    <row r="2309" spans="1:17" x14ac:dyDescent="0.25">
      <c r="A2309" t="s">
        <v>1148</v>
      </c>
      <c r="B2309" t="s">
        <v>1056</v>
      </c>
      <c r="C2309" t="s">
        <v>175</v>
      </c>
      <c r="D2309" t="s">
        <v>665</v>
      </c>
      <c r="E2309" t="s">
        <v>666</v>
      </c>
      <c r="F2309">
        <v>1</v>
      </c>
      <c r="G2309" t="s">
        <v>176</v>
      </c>
      <c r="H2309">
        <v>0</v>
      </c>
      <c r="I2309">
        <v>0</v>
      </c>
      <c r="J2309" s="10">
        <v>4</v>
      </c>
      <c r="K2309" s="10">
        <f>SUMIFS(F:F,D:D,DST_123_ÜRETİM_İHTİYAÇ_RAPORU_BURAK_YENI1309[[#This Row],[ALT_KOD]])-(SUMIFS(H:H,D:D,DST_123_ÜRETİM_İHTİYAÇ_RAPORU_BURAK_YENI1309[[#This Row],[ALT_KOD]])+AVERAGEIFS(I:I,D:D,DST_123_ÜRETİM_İHTİYAÇ_RAPORU_BURAK_YENI1309[[#This Row],[ALT_KOD]])+AVERAGEIFS(L:L,D:D,DST_123_ÜRETİM_İHTİYAÇ_RAPORU_BURAK_YENI1309[[#This Row],[ALT_KOD]]))</f>
        <v>0</v>
      </c>
      <c r="L2309">
        <v>20</v>
      </c>
      <c r="M2309">
        <f>IF((DST_123_ÜRETİM_İHTİYAÇ_RAPORU_BURAK_YENI1309[[#This Row],[SATINALMA]]*DST_123_ÜRETİM_İHTİYAÇ_RAPORU_BURAK_YENI1309[[#This Row],[BIRIM_FIYATLAR]])&lt;1,VALUE("0"),DST_123_ÜRETİM_İHTİYAÇ_RAPORU_BURAK_YENI1309[[#This Row],[SATINALMA]]*DST_123_ÜRETİM_İHTİYAÇ_RAPORU_BURAK_YENI1309[[#This Row],[BIRIM_FIYATLAR]])</f>
        <v>0</v>
      </c>
      <c r="N2309">
        <v>28000</v>
      </c>
      <c r="O2309" t="s">
        <v>829</v>
      </c>
      <c r="P2309">
        <v>28000</v>
      </c>
      <c r="Q2309" t="s">
        <v>221</v>
      </c>
    </row>
    <row r="2310" spans="1:17" x14ac:dyDescent="0.25">
      <c r="A2310" t="s">
        <v>1147</v>
      </c>
      <c r="B2310" t="s">
        <v>1145</v>
      </c>
      <c r="C2310" t="s">
        <v>175</v>
      </c>
      <c r="D2310" t="s">
        <v>665</v>
      </c>
      <c r="E2310" t="s">
        <v>666</v>
      </c>
      <c r="F2310">
        <v>1</v>
      </c>
      <c r="G2310" t="s">
        <v>176</v>
      </c>
      <c r="H2310">
        <v>0</v>
      </c>
      <c r="I2310">
        <v>0</v>
      </c>
      <c r="J2310" s="10">
        <v>4</v>
      </c>
      <c r="K2310" s="10">
        <f>SUMIFS(F:F,D:D,DST_123_ÜRETİM_İHTİYAÇ_RAPORU_BURAK_YENI1309[[#This Row],[ALT_KOD]])-(SUMIFS(H:H,D:D,DST_123_ÜRETİM_İHTİYAÇ_RAPORU_BURAK_YENI1309[[#This Row],[ALT_KOD]])+AVERAGEIFS(I:I,D:D,DST_123_ÜRETİM_İHTİYAÇ_RAPORU_BURAK_YENI1309[[#This Row],[ALT_KOD]])+AVERAGEIFS(L:L,D:D,DST_123_ÜRETİM_İHTİYAÇ_RAPORU_BURAK_YENI1309[[#This Row],[ALT_KOD]]))</f>
        <v>0</v>
      </c>
      <c r="L2310">
        <v>20</v>
      </c>
      <c r="M2310">
        <f>IF((DST_123_ÜRETİM_İHTİYAÇ_RAPORU_BURAK_YENI1309[[#This Row],[SATINALMA]]*DST_123_ÜRETİM_İHTİYAÇ_RAPORU_BURAK_YENI1309[[#This Row],[BIRIM_FIYATLAR]])&lt;1,VALUE("0"),DST_123_ÜRETİM_İHTİYAÇ_RAPORU_BURAK_YENI1309[[#This Row],[SATINALMA]]*DST_123_ÜRETİM_İHTİYAÇ_RAPORU_BURAK_YENI1309[[#This Row],[BIRIM_FIYATLAR]])</f>
        <v>0</v>
      </c>
      <c r="N2310">
        <v>28000</v>
      </c>
      <c r="O2310" t="s">
        <v>829</v>
      </c>
      <c r="P2310">
        <v>28000</v>
      </c>
      <c r="Q2310" t="s">
        <v>221</v>
      </c>
    </row>
    <row r="2311" spans="1:17" x14ac:dyDescent="0.25">
      <c r="A2311" t="s">
        <v>1147</v>
      </c>
      <c r="B2311" t="s">
        <v>1145</v>
      </c>
      <c r="C2311" t="s">
        <v>175</v>
      </c>
      <c r="D2311" t="s">
        <v>5</v>
      </c>
      <c r="E2311" t="s">
        <v>6</v>
      </c>
      <c r="F2311">
        <v>4.0999999999999996</v>
      </c>
      <c r="G2311" t="s">
        <v>179</v>
      </c>
      <c r="H2311">
        <v>0</v>
      </c>
      <c r="I2311">
        <v>100</v>
      </c>
      <c r="J2311" s="10">
        <v>2.0000000000000568</v>
      </c>
      <c r="K2311" s="10">
        <f>SUMIFS(F:F,D:D,DST_123_ÜRETİM_İHTİYAÇ_RAPORU_BURAK_YENI1309[[#This Row],[ALT_KOD]])-(SUMIFS(H:H,D:D,DST_123_ÜRETİM_İHTİYAÇ_RAPORU_BURAK_YENI1309[[#This Row],[ALT_KOD]])+AVERAGEIFS(I:I,D:D,DST_123_ÜRETİM_İHTİYAÇ_RAPORU_BURAK_YENI1309[[#This Row],[ALT_KOD]])+AVERAGEIFS(L:L,D:D,DST_123_ÜRETİM_İHTİYAÇ_RAPORU_BURAK_YENI1309[[#This Row],[ALT_KOD]]))</f>
        <v>-6.4000000000000057</v>
      </c>
      <c r="L2311">
        <v>0</v>
      </c>
      <c r="M2311">
        <f>IF((DST_123_ÜRETİM_İHTİYAÇ_RAPORU_BURAK_YENI1309[[#This Row],[SATINALMA]]*DST_123_ÜRETİM_İHTİYAÇ_RAPORU_BURAK_YENI1309[[#This Row],[BIRIM_FIYATLAR]])&lt;1,VALUE("0"),DST_123_ÜRETİM_İHTİYAÇ_RAPORU_BURAK_YENI1309[[#This Row],[SATINALMA]]*DST_123_ÜRETİM_İHTİYAÇ_RAPORU_BURAK_YENI1309[[#This Row],[BIRIM_FIYATLAR]])</f>
        <v>0</v>
      </c>
      <c r="N2311">
        <v>111</v>
      </c>
      <c r="O2311" t="s">
        <v>826</v>
      </c>
      <c r="P2311">
        <v>455.09999999999997</v>
      </c>
      <c r="Q2311" t="s">
        <v>221</v>
      </c>
    </row>
    <row r="2312" spans="1:17" x14ac:dyDescent="0.25">
      <c r="A2312" t="s">
        <v>1095</v>
      </c>
      <c r="B2312" t="s">
        <v>1096</v>
      </c>
      <c r="C2312" t="s">
        <v>175</v>
      </c>
      <c r="D2312" t="s">
        <v>256</v>
      </c>
      <c r="E2312" t="s">
        <v>257</v>
      </c>
      <c r="F2312">
        <v>3.2</v>
      </c>
      <c r="G2312" t="s">
        <v>176</v>
      </c>
      <c r="H2312">
        <v>0</v>
      </c>
      <c r="I2312">
        <v>14</v>
      </c>
      <c r="J2312" s="10">
        <v>6.8000000000000025</v>
      </c>
      <c r="K2312" s="10">
        <f>SUMIFS(F:F,D:D,DST_123_ÜRETİM_İHTİYAÇ_RAPORU_BURAK_YENI1309[[#This Row],[ALT_KOD]])-(SUMIFS(H:H,D:D,DST_123_ÜRETİM_İHTİYAÇ_RAPORU_BURAK_YENI1309[[#This Row],[ALT_KOD]])+AVERAGEIFS(I:I,D:D,DST_123_ÜRETİM_İHTİYAÇ_RAPORU_BURAK_YENI1309[[#This Row],[ALT_KOD]])+AVERAGEIFS(L:L,D:D,DST_123_ÜRETİM_İHTİYAÇ_RAPORU_BURAK_YENI1309[[#This Row],[ALT_KOD]]))</f>
        <v>7.7000000000000028</v>
      </c>
      <c r="L2312">
        <v>12</v>
      </c>
      <c r="M2312">
        <f>IF((DST_123_ÜRETİM_İHTİYAÇ_RAPORU_BURAK_YENI1309[[#This Row],[SATINALMA]]*DST_123_ÜRETİM_İHTİYAÇ_RAPORU_BURAK_YENI1309[[#This Row],[BIRIM_FIYATLAR]])&lt;1,VALUE("0"),DST_123_ÜRETİM_İHTİYAÇ_RAPORU_BURAK_YENI1309[[#This Row],[SATINALMA]]*DST_123_ÜRETİM_İHTİYAÇ_RAPORU_BURAK_YENI1309[[#This Row],[BIRIM_FIYATLAR]])</f>
        <v>2532.1450000000009</v>
      </c>
      <c r="N2312">
        <v>328.85</v>
      </c>
      <c r="O2312" t="s">
        <v>258</v>
      </c>
      <c r="P2312">
        <v>1052.3200000000002</v>
      </c>
      <c r="Q2312" t="s">
        <v>183</v>
      </c>
    </row>
    <row r="2313" spans="1:17" x14ac:dyDescent="0.25">
      <c r="A2313" t="s">
        <v>1143</v>
      </c>
      <c r="B2313" t="s">
        <v>1056</v>
      </c>
      <c r="C2313" t="s">
        <v>175</v>
      </c>
      <c r="D2313" t="s">
        <v>420</v>
      </c>
      <c r="E2313" t="s">
        <v>421</v>
      </c>
      <c r="F2313">
        <v>1</v>
      </c>
      <c r="G2313" t="s">
        <v>179</v>
      </c>
      <c r="H2313">
        <v>0</v>
      </c>
      <c r="I2313">
        <v>0</v>
      </c>
      <c r="J2313" s="10">
        <v>3.0000000000000142</v>
      </c>
      <c r="K2313" s="10">
        <f>SUMIFS(F:F,D:D,DST_123_ÜRETİM_İHTİYAÇ_RAPORU_BURAK_YENI1309[[#This Row],[ALT_KOD]])-(SUMIFS(H:H,D:D,DST_123_ÜRETİM_İHTİYAÇ_RAPORU_BURAK_YENI1309[[#This Row],[ALT_KOD]])+AVERAGEIFS(I:I,D:D,DST_123_ÜRETİM_İHTİYAÇ_RAPORU_BURAK_YENI1309[[#This Row],[ALT_KOD]])+AVERAGEIFS(L:L,D:D,DST_123_ÜRETİM_İHTİYAÇ_RAPORU_BURAK_YENI1309[[#This Row],[ALT_KOD]]))</f>
        <v>11</v>
      </c>
      <c r="L2313">
        <v>0</v>
      </c>
      <c r="M2313">
        <f>IF((DST_123_ÜRETİM_İHTİYAÇ_RAPORU_BURAK_YENI1309[[#This Row],[SATINALMA]]*DST_123_ÜRETİM_İHTİYAÇ_RAPORU_BURAK_YENI1309[[#This Row],[BIRIM_FIYATLAR]])&lt;1,VALUE("0"),DST_123_ÜRETİM_İHTİYAÇ_RAPORU_BURAK_YENI1309[[#This Row],[SATINALMA]]*DST_123_ÜRETİM_İHTİYAÇ_RAPORU_BURAK_YENI1309[[#This Row],[BIRIM_FIYATLAR]])</f>
        <v>5399.35</v>
      </c>
      <c r="N2313">
        <v>490.85</v>
      </c>
      <c r="O2313" t="s">
        <v>422</v>
      </c>
      <c r="P2313">
        <v>490.85</v>
      </c>
      <c r="Q2313" t="s">
        <v>184</v>
      </c>
    </row>
    <row r="2314" spans="1:17" x14ac:dyDescent="0.25">
      <c r="A2314" t="s">
        <v>1097</v>
      </c>
      <c r="B2314" t="s">
        <v>1055</v>
      </c>
      <c r="C2314" t="s">
        <v>175</v>
      </c>
      <c r="D2314" t="s">
        <v>665</v>
      </c>
      <c r="E2314" t="s">
        <v>666</v>
      </c>
      <c r="F2314">
        <v>1</v>
      </c>
      <c r="G2314" t="s">
        <v>176</v>
      </c>
      <c r="H2314">
        <v>0</v>
      </c>
      <c r="I2314">
        <v>0</v>
      </c>
      <c r="J2314" s="10">
        <v>4</v>
      </c>
      <c r="K2314" s="10">
        <f>SUMIFS(F:F,D:D,DST_123_ÜRETİM_İHTİYAÇ_RAPORU_BURAK_YENI1309[[#This Row],[ALT_KOD]])-(SUMIFS(H:H,D:D,DST_123_ÜRETİM_İHTİYAÇ_RAPORU_BURAK_YENI1309[[#This Row],[ALT_KOD]])+AVERAGEIFS(I:I,D:D,DST_123_ÜRETİM_İHTİYAÇ_RAPORU_BURAK_YENI1309[[#This Row],[ALT_KOD]])+AVERAGEIFS(L:L,D:D,DST_123_ÜRETİM_İHTİYAÇ_RAPORU_BURAK_YENI1309[[#This Row],[ALT_KOD]]))</f>
        <v>0</v>
      </c>
      <c r="L2314">
        <v>20</v>
      </c>
      <c r="M2314">
        <f>IF((DST_123_ÜRETİM_İHTİYAÇ_RAPORU_BURAK_YENI1309[[#This Row],[SATINALMA]]*DST_123_ÜRETİM_İHTİYAÇ_RAPORU_BURAK_YENI1309[[#This Row],[BIRIM_FIYATLAR]])&lt;1,VALUE("0"),DST_123_ÜRETİM_İHTİYAÇ_RAPORU_BURAK_YENI1309[[#This Row],[SATINALMA]]*DST_123_ÜRETİM_İHTİYAÇ_RAPORU_BURAK_YENI1309[[#This Row],[BIRIM_FIYATLAR]])</f>
        <v>0</v>
      </c>
      <c r="N2314">
        <v>28000</v>
      </c>
      <c r="O2314" t="s">
        <v>829</v>
      </c>
      <c r="P2314">
        <v>28000</v>
      </c>
      <c r="Q2314" t="s">
        <v>221</v>
      </c>
    </row>
    <row r="2315" spans="1:17" x14ac:dyDescent="0.25">
      <c r="A2315" t="s">
        <v>1095</v>
      </c>
      <c r="B2315" t="s">
        <v>1096</v>
      </c>
      <c r="C2315" t="s">
        <v>175</v>
      </c>
      <c r="D2315" t="s">
        <v>5</v>
      </c>
      <c r="E2315" t="s">
        <v>6</v>
      </c>
      <c r="F2315">
        <v>1.6</v>
      </c>
      <c r="G2315" t="s">
        <v>179</v>
      </c>
      <c r="H2315">
        <v>0</v>
      </c>
      <c r="I2315">
        <v>100</v>
      </c>
      <c r="J2315" s="10">
        <v>2.0000000000000568</v>
      </c>
      <c r="K2315" s="10">
        <f>SUMIFS(F:F,D:D,DST_123_ÜRETİM_İHTİYAÇ_RAPORU_BURAK_YENI1309[[#This Row],[ALT_KOD]])-(SUMIFS(H:H,D:D,DST_123_ÜRETİM_İHTİYAÇ_RAPORU_BURAK_YENI1309[[#This Row],[ALT_KOD]])+AVERAGEIFS(I:I,D:D,DST_123_ÜRETİM_İHTİYAÇ_RAPORU_BURAK_YENI1309[[#This Row],[ALT_KOD]])+AVERAGEIFS(L:L,D:D,DST_123_ÜRETİM_İHTİYAÇ_RAPORU_BURAK_YENI1309[[#This Row],[ALT_KOD]]))</f>
        <v>-6.4000000000000057</v>
      </c>
      <c r="L2315">
        <v>0</v>
      </c>
      <c r="M2315">
        <f>IF((DST_123_ÜRETİM_İHTİYAÇ_RAPORU_BURAK_YENI1309[[#This Row],[SATINALMA]]*DST_123_ÜRETİM_İHTİYAÇ_RAPORU_BURAK_YENI1309[[#This Row],[BIRIM_FIYATLAR]])&lt;1,VALUE("0"),DST_123_ÜRETİM_İHTİYAÇ_RAPORU_BURAK_YENI1309[[#This Row],[SATINALMA]]*DST_123_ÜRETİM_İHTİYAÇ_RAPORU_BURAK_YENI1309[[#This Row],[BIRIM_FIYATLAR]])</f>
        <v>0</v>
      </c>
      <c r="N2315">
        <v>111</v>
      </c>
      <c r="O2315" t="s">
        <v>826</v>
      </c>
      <c r="P2315">
        <v>177.60000000000002</v>
      </c>
      <c r="Q2315" t="s">
        <v>221</v>
      </c>
    </row>
    <row r="2316" spans="1:17" x14ac:dyDescent="0.25">
      <c r="A2316" t="s">
        <v>1097</v>
      </c>
      <c r="B2316" t="s">
        <v>1055</v>
      </c>
      <c r="C2316" t="s">
        <v>175</v>
      </c>
      <c r="D2316" t="s">
        <v>5</v>
      </c>
      <c r="E2316" t="s">
        <v>6</v>
      </c>
      <c r="F2316">
        <v>7.1</v>
      </c>
      <c r="G2316" t="s">
        <v>179</v>
      </c>
      <c r="H2316">
        <v>0</v>
      </c>
      <c r="I2316">
        <v>100</v>
      </c>
      <c r="J2316" s="10">
        <v>2.0000000000000568</v>
      </c>
      <c r="K2316" s="10">
        <f>SUMIFS(F:F,D:D,DST_123_ÜRETİM_İHTİYAÇ_RAPORU_BURAK_YENI1309[[#This Row],[ALT_KOD]])-(SUMIFS(H:H,D:D,DST_123_ÜRETİM_İHTİYAÇ_RAPORU_BURAK_YENI1309[[#This Row],[ALT_KOD]])+AVERAGEIFS(I:I,D:D,DST_123_ÜRETİM_İHTİYAÇ_RAPORU_BURAK_YENI1309[[#This Row],[ALT_KOD]])+AVERAGEIFS(L:L,D:D,DST_123_ÜRETİM_İHTİYAÇ_RAPORU_BURAK_YENI1309[[#This Row],[ALT_KOD]]))</f>
        <v>-6.4000000000000057</v>
      </c>
      <c r="L2316">
        <v>0</v>
      </c>
      <c r="M2316">
        <f>IF((DST_123_ÜRETİM_İHTİYAÇ_RAPORU_BURAK_YENI1309[[#This Row],[SATINALMA]]*DST_123_ÜRETİM_İHTİYAÇ_RAPORU_BURAK_YENI1309[[#This Row],[BIRIM_FIYATLAR]])&lt;1,VALUE("0"),DST_123_ÜRETİM_İHTİYAÇ_RAPORU_BURAK_YENI1309[[#This Row],[SATINALMA]]*DST_123_ÜRETİM_İHTİYAÇ_RAPORU_BURAK_YENI1309[[#This Row],[BIRIM_FIYATLAR]])</f>
        <v>0</v>
      </c>
      <c r="N2316">
        <v>111</v>
      </c>
      <c r="O2316" t="s">
        <v>826</v>
      </c>
      <c r="P2316">
        <v>788.09999999999991</v>
      </c>
      <c r="Q2316" t="s">
        <v>221</v>
      </c>
    </row>
    <row r="2317" spans="1:17" x14ac:dyDescent="0.25">
      <c r="A2317" t="s">
        <v>1143</v>
      </c>
      <c r="B2317" t="s">
        <v>1056</v>
      </c>
      <c r="C2317" t="s">
        <v>175</v>
      </c>
      <c r="D2317" t="s">
        <v>9</v>
      </c>
      <c r="E2317" t="s">
        <v>10</v>
      </c>
      <c r="F2317">
        <v>4</v>
      </c>
      <c r="G2317" t="s">
        <v>176</v>
      </c>
      <c r="H2317">
        <v>0</v>
      </c>
      <c r="I2317">
        <v>39</v>
      </c>
      <c r="J2317" s="10">
        <v>32</v>
      </c>
      <c r="K2317" s="10">
        <f>SUMIFS(F:F,D:D,DST_123_ÜRETİM_İHTİYAÇ_RAPORU_BURAK_YENI1309[[#This Row],[ALT_KOD]])-(SUMIFS(H:H,D:D,DST_123_ÜRETİM_İHTİYAÇ_RAPORU_BURAK_YENI1309[[#This Row],[ALT_KOD]])+AVERAGEIFS(I:I,D:D,DST_123_ÜRETİM_İHTİYAÇ_RAPORU_BURAK_YENI1309[[#This Row],[ALT_KOD]])+AVERAGEIFS(L:L,D:D,DST_123_ÜRETİM_İHTİYAÇ_RAPORU_BURAK_YENI1309[[#This Row],[ALT_KOD]]))</f>
        <v>-11</v>
      </c>
      <c r="L2317">
        <v>0</v>
      </c>
      <c r="M2317">
        <f>IF((DST_123_ÜRETİM_İHTİYAÇ_RAPORU_BURAK_YENI1309[[#This Row],[SATINALMA]]*DST_123_ÜRETİM_İHTİYAÇ_RAPORU_BURAK_YENI1309[[#This Row],[BIRIM_FIYATLAR]])&lt;1,VALUE("0"),DST_123_ÜRETİM_İHTİYAÇ_RAPORU_BURAK_YENI1309[[#This Row],[SATINALMA]]*DST_123_ÜRETİM_İHTİYAÇ_RAPORU_BURAK_YENI1309[[#This Row],[BIRIM_FIYATLAR]])</f>
        <v>0</v>
      </c>
      <c r="N2317">
        <v>73.349999999999994</v>
      </c>
      <c r="O2317" t="s">
        <v>227</v>
      </c>
      <c r="P2317">
        <v>293.39999999999998</v>
      </c>
      <c r="Q2317" t="s">
        <v>221</v>
      </c>
    </row>
    <row r="2318" spans="1:17" x14ac:dyDescent="0.25">
      <c r="A2318" t="s">
        <v>1097</v>
      </c>
      <c r="B2318" t="s">
        <v>1055</v>
      </c>
      <c r="C2318" t="s">
        <v>175</v>
      </c>
      <c r="D2318" t="s">
        <v>9</v>
      </c>
      <c r="E2318" t="s">
        <v>10</v>
      </c>
      <c r="F2318">
        <v>4</v>
      </c>
      <c r="G2318" t="s">
        <v>176</v>
      </c>
      <c r="H2318">
        <v>4</v>
      </c>
      <c r="I2318">
        <v>39</v>
      </c>
      <c r="J2318" s="10">
        <v>32</v>
      </c>
      <c r="K2318" s="10">
        <f>SUMIFS(F:F,D:D,DST_123_ÜRETİM_İHTİYAÇ_RAPORU_BURAK_YENI1309[[#This Row],[ALT_KOD]])-(SUMIFS(H:H,D:D,DST_123_ÜRETİM_İHTİYAÇ_RAPORU_BURAK_YENI1309[[#This Row],[ALT_KOD]])+AVERAGEIFS(I:I,D:D,DST_123_ÜRETİM_İHTİYAÇ_RAPORU_BURAK_YENI1309[[#This Row],[ALT_KOD]])+AVERAGEIFS(L:L,D:D,DST_123_ÜRETİM_İHTİYAÇ_RAPORU_BURAK_YENI1309[[#This Row],[ALT_KOD]]))</f>
        <v>-11</v>
      </c>
      <c r="L2318">
        <v>0</v>
      </c>
      <c r="M2318">
        <f>IF((DST_123_ÜRETİM_İHTİYAÇ_RAPORU_BURAK_YENI1309[[#This Row],[SATINALMA]]*DST_123_ÜRETİM_İHTİYAÇ_RAPORU_BURAK_YENI1309[[#This Row],[BIRIM_FIYATLAR]])&lt;1,VALUE("0"),DST_123_ÜRETİM_İHTİYAÇ_RAPORU_BURAK_YENI1309[[#This Row],[SATINALMA]]*DST_123_ÜRETİM_İHTİYAÇ_RAPORU_BURAK_YENI1309[[#This Row],[BIRIM_FIYATLAR]])</f>
        <v>0</v>
      </c>
      <c r="N2318">
        <v>73.349999999999994</v>
      </c>
      <c r="O2318" t="s">
        <v>227</v>
      </c>
      <c r="P2318">
        <v>293.39999999999998</v>
      </c>
      <c r="Q2318" t="s">
        <v>221</v>
      </c>
    </row>
    <row r="2319" spans="1:17" x14ac:dyDescent="0.25">
      <c r="A2319" t="s">
        <v>1059</v>
      </c>
      <c r="B2319" t="s">
        <v>1058</v>
      </c>
      <c r="C2319" t="s">
        <v>175</v>
      </c>
      <c r="D2319" t="s">
        <v>11</v>
      </c>
      <c r="E2319" t="s">
        <v>12</v>
      </c>
      <c r="F2319">
        <v>1</v>
      </c>
      <c r="G2319" t="s">
        <v>176</v>
      </c>
      <c r="H2319">
        <v>1</v>
      </c>
      <c r="I2319">
        <v>24</v>
      </c>
      <c r="J2319" s="10">
        <v>9</v>
      </c>
      <c r="K2319" s="10">
        <f>SUMIFS(F:F,D:D,DST_123_ÜRETİM_İHTİYAÇ_RAPORU_BURAK_YENI1309[[#This Row],[ALT_KOD]])-(SUMIFS(H:H,D:D,DST_123_ÜRETİM_İHTİYAÇ_RAPORU_BURAK_YENI1309[[#This Row],[ALT_KOD]])+AVERAGEIFS(I:I,D:D,DST_123_ÜRETİM_İHTİYAÇ_RAPORU_BURAK_YENI1309[[#This Row],[ALT_KOD]])+AVERAGEIFS(L:L,D:D,DST_123_ÜRETİM_İHTİYAÇ_RAPORU_BURAK_YENI1309[[#This Row],[ALT_KOD]]))</f>
        <v>-21</v>
      </c>
      <c r="L2319">
        <v>0</v>
      </c>
      <c r="M2319">
        <f>IF((DST_123_ÜRETİM_İHTİYAÇ_RAPORU_BURAK_YENI1309[[#This Row],[SATINALMA]]*DST_123_ÜRETİM_İHTİYAÇ_RAPORU_BURAK_YENI1309[[#This Row],[BIRIM_FIYATLAR]])&lt;1,VALUE("0"),DST_123_ÜRETİM_İHTİYAÇ_RAPORU_BURAK_YENI1309[[#This Row],[SATINALMA]]*DST_123_ÜRETİM_İHTİYAÇ_RAPORU_BURAK_YENI1309[[#This Row],[BIRIM_FIYATLAR]])</f>
        <v>0</v>
      </c>
      <c r="N2319">
        <v>368.07</v>
      </c>
      <c r="O2319" t="s">
        <v>589</v>
      </c>
      <c r="P2319">
        <v>368.07</v>
      </c>
      <c r="Q2319" t="s">
        <v>221</v>
      </c>
    </row>
    <row r="2320" spans="1:17" x14ac:dyDescent="0.25">
      <c r="A2320" t="s">
        <v>1059</v>
      </c>
      <c r="B2320" t="s">
        <v>1058</v>
      </c>
      <c r="C2320" t="s">
        <v>175</v>
      </c>
      <c r="D2320" t="s">
        <v>204</v>
      </c>
      <c r="E2320" t="s">
        <v>205</v>
      </c>
      <c r="F2320">
        <v>0.5</v>
      </c>
      <c r="G2320" t="s">
        <v>176</v>
      </c>
      <c r="H2320">
        <v>0</v>
      </c>
      <c r="I2320">
        <v>100</v>
      </c>
      <c r="J2320" s="10">
        <v>41</v>
      </c>
      <c r="K2320" s="10">
        <f>SUMIFS(F:F,D:D,DST_123_ÜRETİM_İHTİYAÇ_RAPORU_BURAK_YENI1309[[#This Row],[ALT_KOD]])-(SUMIFS(H:H,D:D,DST_123_ÜRETİM_İHTİYAÇ_RAPORU_BURAK_YENI1309[[#This Row],[ALT_KOD]])+AVERAGEIFS(I:I,D:D,DST_123_ÜRETİM_İHTİYAÇ_RAPORU_BURAK_YENI1309[[#This Row],[ALT_KOD]])+AVERAGEIFS(L:L,D:D,DST_123_ÜRETİM_İHTİYAÇ_RAPORU_BURAK_YENI1309[[#This Row],[ALT_KOD]]))</f>
        <v>-89.5</v>
      </c>
      <c r="L2320">
        <v>0</v>
      </c>
      <c r="M2320">
        <f>IF((DST_123_ÜRETİM_İHTİYAÇ_RAPORU_BURAK_YENI1309[[#This Row],[SATINALMA]]*DST_123_ÜRETİM_İHTİYAÇ_RAPORU_BURAK_YENI1309[[#This Row],[BIRIM_FIYATLAR]])&lt;1,VALUE("0"),DST_123_ÜRETİM_İHTİYAÇ_RAPORU_BURAK_YENI1309[[#This Row],[SATINALMA]]*DST_123_ÜRETİM_İHTİYAÇ_RAPORU_BURAK_YENI1309[[#This Row],[BIRIM_FIYATLAR]])</f>
        <v>0</v>
      </c>
      <c r="N2320">
        <v>60</v>
      </c>
      <c r="O2320" t="s">
        <v>220</v>
      </c>
      <c r="P2320">
        <v>30</v>
      </c>
      <c r="Q2320" t="s">
        <v>180</v>
      </c>
    </row>
    <row r="2321" spans="1:17" x14ac:dyDescent="0.25">
      <c r="A2321" t="s">
        <v>1095</v>
      </c>
      <c r="B2321" t="s">
        <v>1096</v>
      </c>
      <c r="C2321" t="s">
        <v>175</v>
      </c>
      <c r="D2321" t="s">
        <v>204</v>
      </c>
      <c r="E2321" t="s">
        <v>205</v>
      </c>
      <c r="F2321">
        <v>1</v>
      </c>
      <c r="G2321" t="s">
        <v>176</v>
      </c>
      <c r="H2321">
        <v>0</v>
      </c>
      <c r="I2321">
        <v>100</v>
      </c>
      <c r="J2321" s="10">
        <v>41</v>
      </c>
      <c r="K2321" s="10">
        <f>SUMIFS(F:F,D:D,DST_123_ÜRETİM_İHTİYAÇ_RAPORU_BURAK_YENI1309[[#This Row],[ALT_KOD]])-(SUMIFS(H:H,D:D,DST_123_ÜRETİM_İHTİYAÇ_RAPORU_BURAK_YENI1309[[#This Row],[ALT_KOD]])+AVERAGEIFS(I:I,D:D,DST_123_ÜRETİM_İHTİYAÇ_RAPORU_BURAK_YENI1309[[#This Row],[ALT_KOD]])+AVERAGEIFS(L:L,D:D,DST_123_ÜRETİM_İHTİYAÇ_RAPORU_BURAK_YENI1309[[#This Row],[ALT_KOD]]))</f>
        <v>-89.5</v>
      </c>
      <c r="L2321">
        <v>0</v>
      </c>
      <c r="M2321">
        <f>IF((DST_123_ÜRETİM_İHTİYAÇ_RAPORU_BURAK_YENI1309[[#This Row],[SATINALMA]]*DST_123_ÜRETİM_İHTİYAÇ_RAPORU_BURAK_YENI1309[[#This Row],[BIRIM_FIYATLAR]])&lt;1,VALUE("0"),DST_123_ÜRETİM_İHTİYAÇ_RAPORU_BURAK_YENI1309[[#This Row],[SATINALMA]]*DST_123_ÜRETİM_İHTİYAÇ_RAPORU_BURAK_YENI1309[[#This Row],[BIRIM_FIYATLAR]])</f>
        <v>0</v>
      </c>
      <c r="N2321">
        <v>60</v>
      </c>
      <c r="O2321" t="s">
        <v>220</v>
      </c>
      <c r="P2321">
        <v>60</v>
      </c>
      <c r="Q2321" t="s">
        <v>180</v>
      </c>
    </row>
    <row r="2322" spans="1:17" x14ac:dyDescent="0.25">
      <c r="A2322" t="s">
        <v>1143</v>
      </c>
      <c r="B2322" t="s">
        <v>1056</v>
      </c>
      <c r="C2322" t="s">
        <v>175</v>
      </c>
      <c r="D2322" t="s">
        <v>206</v>
      </c>
      <c r="E2322" t="s">
        <v>280</v>
      </c>
      <c r="F2322">
        <v>0.71000000000000008</v>
      </c>
      <c r="G2322" t="s">
        <v>176</v>
      </c>
      <c r="H2322">
        <v>0</v>
      </c>
      <c r="I2322">
        <v>10</v>
      </c>
      <c r="J2322" s="10">
        <v>126.66400000000034</v>
      </c>
      <c r="K2322" s="10">
        <f>SUMIFS(F:F,D:D,DST_123_ÜRETİM_İHTİYAÇ_RAPORU_BURAK_YENI1309[[#This Row],[ALT_KOD]])-(SUMIFS(H:H,D:D,DST_123_ÜRETİM_İHTİYAÇ_RAPORU_BURAK_YENI1309[[#This Row],[ALT_KOD]])+AVERAGEIFS(I:I,D:D,DST_123_ÜRETİM_İHTİYAÇ_RAPORU_BURAK_YENI1309[[#This Row],[ALT_KOD]])+AVERAGEIFS(L:L,D:D,DST_123_ÜRETİM_İHTİYAÇ_RAPORU_BURAK_YENI1309[[#This Row],[ALT_KOD]]))</f>
        <v>-1.1600000000000001</v>
      </c>
      <c r="L2322">
        <v>0</v>
      </c>
      <c r="M2322">
        <f>IF((DST_123_ÜRETİM_İHTİYAÇ_RAPORU_BURAK_YENI1309[[#This Row],[SATINALMA]]*DST_123_ÜRETİM_İHTİYAÇ_RAPORU_BURAK_YENI1309[[#This Row],[BIRIM_FIYATLAR]])&lt;1,VALUE("0"),DST_123_ÜRETİM_İHTİYAÇ_RAPORU_BURAK_YENI1309[[#This Row],[SATINALMA]]*DST_123_ÜRETİM_İHTİYAÇ_RAPORU_BURAK_YENI1309[[#This Row],[BIRIM_FIYATLAR]])</f>
        <v>0</v>
      </c>
      <c r="N2322">
        <v>185</v>
      </c>
      <c r="O2322" t="s">
        <v>240</v>
      </c>
      <c r="P2322">
        <v>131.35000000000002</v>
      </c>
      <c r="Q2322" t="s">
        <v>180</v>
      </c>
    </row>
    <row r="2323" spans="1:17" x14ac:dyDescent="0.25">
      <c r="A2323" t="s">
        <v>1143</v>
      </c>
      <c r="B2323" t="s">
        <v>1056</v>
      </c>
      <c r="C2323" t="s">
        <v>175</v>
      </c>
      <c r="D2323" t="s">
        <v>344</v>
      </c>
      <c r="E2323" t="s">
        <v>345</v>
      </c>
      <c r="F2323">
        <v>2</v>
      </c>
      <c r="G2323" t="s">
        <v>176</v>
      </c>
      <c r="H2323">
        <v>0</v>
      </c>
      <c r="I2323">
        <v>228</v>
      </c>
      <c r="J2323" s="10">
        <v>4.2632564145606011E-14</v>
      </c>
      <c r="K2323" s="10">
        <f>SUMIFS(F:F,D:D,DST_123_ÜRETİM_İHTİYAÇ_RAPORU_BURAK_YENI1309[[#This Row],[ALT_KOD]])-(SUMIFS(H:H,D:D,DST_123_ÜRETİM_İHTİYAÇ_RAPORU_BURAK_YENI1309[[#This Row],[ALT_KOD]])+AVERAGEIFS(I:I,D:D,DST_123_ÜRETİM_İHTİYAÇ_RAPORU_BURAK_YENI1309[[#This Row],[ALT_KOD]])+AVERAGEIFS(L:L,D:D,DST_123_ÜRETİM_İHTİYAÇ_RAPORU_BURAK_YENI1309[[#This Row],[ALT_KOD]]))</f>
        <v>-186</v>
      </c>
      <c r="L2323">
        <v>0</v>
      </c>
      <c r="M2323">
        <f>IF((DST_123_ÜRETİM_İHTİYAÇ_RAPORU_BURAK_YENI1309[[#This Row],[SATINALMA]]*DST_123_ÜRETİM_İHTİYAÇ_RAPORU_BURAK_YENI1309[[#This Row],[BIRIM_FIYATLAR]])&lt;1,VALUE("0"),DST_123_ÜRETİM_İHTİYAÇ_RAPORU_BURAK_YENI1309[[#This Row],[SATINALMA]]*DST_123_ÜRETİM_İHTİYAÇ_RAPORU_BURAK_YENI1309[[#This Row],[BIRIM_FIYATLAR]])</f>
        <v>0</v>
      </c>
      <c r="N2323">
        <v>6</v>
      </c>
      <c r="O2323" t="s">
        <v>346</v>
      </c>
      <c r="P2323">
        <v>12</v>
      </c>
      <c r="Q2323" t="s">
        <v>180</v>
      </c>
    </row>
    <row r="2324" spans="1:17" x14ac:dyDescent="0.25">
      <c r="A2324" t="s">
        <v>1097</v>
      </c>
      <c r="B2324" t="s">
        <v>1055</v>
      </c>
      <c r="C2324" t="s">
        <v>175</v>
      </c>
      <c r="D2324" t="s">
        <v>344</v>
      </c>
      <c r="E2324" t="s">
        <v>345</v>
      </c>
      <c r="F2324">
        <v>2</v>
      </c>
      <c r="G2324" t="s">
        <v>176</v>
      </c>
      <c r="H2324">
        <v>0</v>
      </c>
      <c r="I2324">
        <v>228</v>
      </c>
      <c r="J2324" s="10">
        <v>4.2632564145606011E-14</v>
      </c>
      <c r="K2324" s="10">
        <f>SUMIFS(F:F,D:D,DST_123_ÜRETİM_İHTİYAÇ_RAPORU_BURAK_YENI1309[[#This Row],[ALT_KOD]])-(SUMIFS(H:H,D:D,DST_123_ÜRETİM_İHTİYAÇ_RAPORU_BURAK_YENI1309[[#This Row],[ALT_KOD]])+AVERAGEIFS(I:I,D:D,DST_123_ÜRETİM_İHTİYAÇ_RAPORU_BURAK_YENI1309[[#This Row],[ALT_KOD]])+AVERAGEIFS(L:L,D:D,DST_123_ÜRETİM_İHTİYAÇ_RAPORU_BURAK_YENI1309[[#This Row],[ALT_KOD]]))</f>
        <v>-186</v>
      </c>
      <c r="L2324">
        <v>0</v>
      </c>
      <c r="M2324">
        <f>IF((DST_123_ÜRETİM_İHTİYAÇ_RAPORU_BURAK_YENI1309[[#This Row],[SATINALMA]]*DST_123_ÜRETİM_İHTİYAÇ_RAPORU_BURAK_YENI1309[[#This Row],[BIRIM_FIYATLAR]])&lt;1,VALUE("0"),DST_123_ÜRETİM_İHTİYAÇ_RAPORU_BURAK_YENI1309[[#This Row],[SATINALMA]]*DST_123_ÜRETİM_İHTİYAÇ_RAPORU_BURAK_YENI1309[[#This Row],[BIRIM_FIYATLAR]])</f>
        <v>0</v>
      </c>
      <c r="N2324">
        <v>6</v>
      </c>
      <c r="O2324" t="s">
        <v>346</v>
      </c>
      <c r="P2324">
        <v>12</v>
      </c>
      <c r="Q2324" t="s">
        <v>180</v>
      </c>
    </row>
    <row r="2325" spans="1:17" x14ac:dyDescent="0.25">
      <c r="A2325" t="s">
        <v>1097</v>
      </c>
      <c r="B2325" t="s">
        <v>1055</v>
      </c>
      <c r="C2325" t="s">
        <v>175</v>
      </c>
      <c r="D2325" t="s">
        <v>418</v>
      </c>
      <c r="E2325" t="s">
        <v>1221</v>
      </c>
      <c r="F2325">
        <v>9</v>
      </c>
      <c r="G2325" t="s">
        <v>176</v>
      </c>
      <c r="H2325">
        <v>0</v>
      </c>
      <c r="I2325">
        <v>148</v>
      </c>
      <c r="J2325" s="10">
        <v>59</v>
      </c>
      <c r="K2325" s="10">
        <f>SUMIFS(F:F,D:D,DST_123_ÜRETİM_İHTİYAÇ_RAPORU_BURAK_YENI1309[[#This Row],[ALT_KOD]])-(SUMIFS(H:H,D:D,DST_123_ÜRETİM_İHTİYAÇ_RAPORU_BURAK_YENI1309[[#This Row],[ALT_KOD]])+AVERAGEIFS(I:I,D:D,DST_123_ÜRETİM_İHTİYAÇ_RAPORU_BURAK_YENI1309[[#This Row],[ALT_KOD]])+AVERAGEIFS(L:L,D:D,DST_123_ÜRETİM_İHTİYAÇ_RAPORU_BURAK_YENI1309[[#This Row],[ALT_KOD]]))</f>
        <v>-33</v>
      </c>
      <c r="L2325">
        <v>0</v>
      </c>
      <c r="M2325">
        <f>IF((DST_123_ÜRETİM_İHTİYAÇ_RAPORU_BURAK_YENI1309[[#This Row],[SATINALMA]]*DST_123_ÜRETİM_İHTİYAÇ_RAPORU_BURAK_YENI1309[[#This Row],[BIRIM_FIYATLAR]])&lt;1,VALUE("0"),DST_123_ÜRETİM_İHTİYAÇ_RAPORU_BURAK_YENI1309[[#This Row],[SATINALMA]]*DST_123_ÜRETİM_İHTİYAÇ_RAPORU_BURAK_YENI1309[[#This Row],[BIRIM_FIYATLAR]])</f>
        <v>0</v>
      </c>
      <c r="N2325">
        <v>24.17</v>
      </c>
      <c r="O2325" t="s">
        <v>628</v>
      </c>
      <c r="P2325">
        <v>217.53000000000003</v>
      </c>
      <c r="Q2325" t="s">
        <v>180</v>
      </c>
    </row>
    <row r="2326" spans="1:17" x14ac:dyDescent="0.25">
      <c r="A2326" t="s">
        <v>1095</v>
      </c>
      <c r="B2326" t="s">
        <v>1096</v>
      </c>
      <c r="C2326" t="s">
        <v>175</v>
      </c>
      <c r="D2326" t="s">
        <v>418</v>
      </c>
      <c r="E2326" t="s">
        <v>1221</v>
      </c>
      <c r="F2326">
        <v>4</v>
      </c>
      <c r="G2326" t="s">
        <v>176</v>
      </c>
      <c r="H2326">
        <v>0</v>
      </c>
      <c r="I2326">
        <v>148</v>
      </c>
      <c r="J2326" s="10">
        <v>59</v>
      </c>
      <c r="K2326" s="10">
        <f>SUMIFS(F:F,D:D,DST_123_ÜRETİM_İHTİYAÇ_RAPORU_BURAK_YENI1309[[#This Row],[ALT_KOD]])-(SUMIFS(H:H,D:D,DST_123_ÜRETİM_İHTİYAÇ_RAPORU_BURAK_YENI1309[[#This Row],[ALT_KOD]])+AVERAGEIFS(I:I,D:D,DST_123_ÜRETİM_İHTİYAÇ_RAPORU_BURAK_YENI1309[[#This Row],[ALT_KOD]])+AVERAGEIFS(L:L,D:D,DST_123_ÜRETİM_İHTİYAÇ_RAPORU_BURAK_YENI1309[[#This Row],[ALT_KOD]]))</f>
        <v>-33</v>
      </c>
      <c r="L2326">
        <v>0</v>
      </c>
      <c r="M2326">
        <f>IF((DST_123_ÜRETİM_İHTİYAÇ_RAPORU_BURAK_YENI1309[[#This Row],[SATINALMA]]*DST_123_ÜRETİM_İHTİYAÇ_RAPORU_BURAK_YENI1309[[#This Row],[BIRIM_FIYATLAR]])&lt;1,VALUE("0"),DST_123_ÜRETİM_İHTİYAÇ_RAPORU_BURAK_YENI1309[[#This Row],[SATINALMA]]*DST_123_ÜRETİM_İHTİYAÇ_RAPORU_BURAK_YENI1309[[#This Row],[BIRIM_FIYATLAR]])</f>
        <v>0</v>
      </c>
      <c r="N2326">
        <v>24.17</v>
      </c>
      <c r="O2326" t="s">
        <v>628</v>
      </c>
      <c r="P2326">
        <v>96.68</v>
      </c>
      <c r="Q2326" t="s">
        <v>180</v>
      </c>
    </row>
    <row r="2327" spans="1:17" x14ac:dyDescent="0.25">
      <c r="A2327" t="s">
        <v>1143</v>
      </c>
      <c r="B2327" t="s">
        <v>1056</v>
      </c>
      <c r="C2327" t="s">
        <v>175</v>
      </c>
      <c r="D2327" t="s">
        <v>159</v>
      </c>
      <c r="E2327" t="s">
        <v>160</v>
      </c>
      <c r="F2327">
        <v>0.23</v>
      </c>
      <c r="G2327" t="s">
        <v>179</v>
      </c>
      <c r="H2327">
        <v>0</v>
      </c>
      <c r="I2327">
        <v>52</v>
      </c>
      <c r="J2327" s="10">
        <v>38.620000000000005</v>
      </c>
      <c r="K2327" s="10">
        <f>SUMIFS(F:F,D:D,DST_123_ÜRETİM_İHTİYAÇ_RAPORU_BURAK_YENI1309[[#This Row],[ALT_KOD]])-(SUMIFS(H:H,D:D,DST_123_ÜRETİM_İHTİYAÇ_RAPORU_BURAK_YENI1309[[#This Row],[ALT_KOD]])+AVERAGEIFS(I:I,D:D,DST_123_ÜRETİM_İHTİYAÇ_RAPORU_BURAK_YENI1309[[#This Row],[ALT_KOD]])+AVERAGEIFS(L:L,D:D,DST_123_ÜRETİM_İHTİYAÇ_RAPORU_BURAK_YENI1309[[#This Row],[ALT_KOD]]))</f>
        <v>-47.39</v>
      </c>
      <c r="L2327">
        <v>0</v>
      </c>
      <c r="M2327">
        <f>IF((DST_123_ÜRETİM_İHTİYAÇ_RAPORU_BURAK_YENI1309[[#This Row],[SATINALMA]]*DST_123_ÜRETİM_İHTİYAÇ_RAPORU_BURAK_YENI1309[[#This Row],[BIRIM_FIYATLAR]])&lt;1,VALUE("0"),DST_123_ÜRETİM_İHTİYAÇ_RAPORU_BURAK_YENI1309[[#This Row],[SATINALMA]]*DST_123_ÜRETİM_İHTİYAÇ_RAPORU_BURAK_YENI1309[[#This Row],[BIRIM_FIYATLAR]])</f>
        <v>0</v>
      </c>
      <c r="N2327">
        <v>126.36</v>
      </c>
      <c r="O2327" t="s">
        <v>619</v>
      </c>
      <c r="P2327">
        <v>29.062800000000003</v>
      </c>
      <c r="Q2327" t="s">
        <v>178</v>
      </c>
    </row>
    <row r="2328" spans="1:17" x14ac:dyDescent="0.25">
      <c r="A2328" t="s">
        <v>1059</v>
      </c>
      <c r="B2328" t="s">
        <v>1058</v>
      </c>
      <c r="C2328" t="s">
        <v>175</v>
      </c>
      <c r="D2328" t="s">
        <v>159</v>
      </c>
      <c r="E2328" t="s">
        <v>160</v>
      </c>
      <c r="F2328">
        <v>0.25</v>
      </c>
      <c r="G2328" t="s">
        <v>179</v>
      </c>
      <c r="H2328">
        <v>0</v>
      </c>
      <c r="I2328">
        <v>52</v>
      </c>
      <c r="J2328" s="10">
        <v>38.620000000000005</v>
      </c>
      <c r="K2328" s="10">
        <f>SUMIFS(F:F,D:D,DST_123_ÜRETİM_İHTİYAÇ_RAPORU_BURAK_YENI1309[[#This Row],[ALT_KOD]])-(SUMIFS(H:H,D:D,DST_123_ÜRETİM_İHTİYAÇ_RAPORU_BURAK_YENI1309[[#This Row],[ALT_KOD]])+AVERAGEIFS(I:I,D:D,DST_123_ÜRETİM_İHTİYAÇ_RAPORU_BURAK_YENI1309[[#This Row],[ALT_KOD]])+AVERAGEIFS(L:L,D:D,DST_123_ÜRETİM_İHTİYAÇ_RAPORU_BURAK_YENI1309[[#This Row],[ALT_KOD]]))</f>
        <v>-47.39</v>
      </c>
      <c r="L2328">
        <v>0</v>
      </c>
      <c r="M2328">
        <f>IF((DST_123_ÜRETİM_İHTİYAÇ_RAPORU_BURAK_YENI1309[[#This Row],[SATINALMA]]*DST_123_ÜRETİM_İHTİYAÇ_RAPORU_BURAK_YENI1309[[#This Row],[BIRIM_FIYATLAR]])&lt;1,VALUE("0"),DST_123_ÜRETİM_İHTİYAÇ_RAPORU_BURAK_YENI1309[[#This Row],[SATINALMA]]*DST_123_ÜRETİM_İHTİYAÇ_RAPORU_BURAK_YENI1309[[#This Row],[BIRIM_FIYATLAR]])</f>
        <v>0</v>
      </c>
      <c r="N2328">
        <v>126.36</v>
      </c>
      <c r="O2328" t="s">
        <v>619</v>
      </c>
      <c r="P2328">
        <v>31.59</v>
      </c>
      <c r="Q2328" t="s">
        <v>178</v>
      </c>
    </row>
    <row r="2329" spans="1:17" x14ac:dyDescent="0.25">
      <c r="A2329" t="s">
        <v>1097</v>
      </c>
      <c r="B2329" t="s">
        <v>1055</v>
      </c>
      <c r="C2329" t="s">
        <v>175</v>
      </c>
      <c r="D2329" t="s">
        <v>104</v>
      </c>
      <c r="E2329" t="s">
        <v>105</v>
      </c>
      <c r="F2329">
        <v>7</v>
      </c>
      <c r="G2329" t="s">
        <v>176</v>
      </c>
      <c r="H2329">
        <v>0</v>
      </c>
      <c r="I2329">
        <v>0</v>
      </c>
      <c r="J2329" s="10">
        <v>75</v>
      </c>
      <c r="K2329" s="10">
        <f>SUMIFS(F:F,D:D,DST_123_ÜRETİM_İHTİYAÇ_RAPORU_BURAK_YENI1309[[#This Row],[ALT_KOD]])-(SUMIFS(H:H,D:D,DST_123_ÜRETİM_İHTİYAÇ_RAPORU_BURAK_YENI1309[[#This Row],[ALT_KOD]])+AVERAGEIFS(I:I,D:D,DST_123_ÜRETİM_İHTİYAÇ_RAPORU_BURAK_YENI1309[[#This Row],[ALT_KOD]])+AVERAGEIFS(L:L,D:D,DST_123_ÜRETİM_İHTİYAÇ_RAPORU_BURAK_YENI1309[[#This Row],[ALT_KOD]]))</f>
        <v>102</v>
      </c>
      <c r="L2329">
        <v>0</v>
      </c>
      <c r="M2329">
        <f>IF((DST_123_ÜRETİM_İHTİYAÇ_RAPORU_BURAK_YENI1309[[#This Row],[SATINALMA]]*DST_123_ÜRETİM_İHTİYAÇ_RAPORU_BURAK_YENI1309[[#This Row],[BIRIM_FIYATLAR]])&lt;1,VALUE("0"),DST_123_ÜRETİM_İHTİYAÇ_RAPORU_BURAK_YENI1309[[#This Row],[SATINALMA]]*DST_123_ÜRETİM_İHTİYAÇ_RAPORU_BURAK_YENI1309[[#This Row],[BIRIM_FIYATLAR]])</f>
        <v>10710</v>
      </c>
      <c r="N2329">
        <v>105</v>
      </c>
      <c r="O2329" t="s">
        <v>625</v>
      </c>
      <c r="P2329">
        <v>735</v>
      </c>
      <c r="Q2329" t="s">
        <v>178</v>
      </c>
    </row>
    <row r="2330" spans="1:17" x14ac:dyDescent="0.25">
      <c r="A2330" t="s">
        <v>1095</v>
      </c>
      <c r="B2330" t="s">
        <v>1096</v>
      </c>
      <c r="C2330" t="s">
        <v>175</v>
      </c>
      <c r="D2330" t="s">
        <v>104</v>
      </c>
      <c r="E2330" t="s">
        <v>105</v>
      </c>
      <c r="F2330">
        <v>6</v>
      </c>
      <c r="G2330" t="s">
        <v>176</v>
      </c>
      <c r="H2330">
        <v>0</v>
      </c>
      <c r="I2330">
        <v>0</v>
      </c>
      <c r="J2330" s="10">
        <v>75</v>
      </c>
      <c r="K2330" s="10">
        <f>SUMIFS(F:F,D:D,DST_123_ÜRETİM_İHTİYAÇ_RAPORU_BURAK_YENI1309[[#This Row],[ALT_KOD]])-(SUMIFS(H:H,D:D,DST_123_ÜRETİM_İHTİYAÇ_RAPORU_BURAK_YENI1309[[#This Row],[ALT_KOD]])+AVERAGEIFS(I:I,D:D,DST_123_ÜRETİM_İHTİYAÇ_RAPORU_BURAK_YENI1309[[#This Row],[ALT_KOD]])+AVERAGEIFS(L:L,D:D,DST_123_ÜRETİM_İHTİYAÇ_RAPORU_BURAK_YENI1309[[#This Row],[ALT_KOD]]))</f>
        <v>102</v>
      </c>
      <c r="L2330">
        <v>0</v>
      </c>
      <c r="M2330">
        <f>IF((DST_123_ÜRETİM_İHTİYAÇ_RAPORU_BURAK_YENI1309[[#This Row],[SATINALMA]]*DST_123_ÜRETİM_İHTİYAÇ_RAPORU_BURAK_YENI1309[[#This Row],[BIRIM_FIYATLAR]])&lt;1,VALUE("0"),DST_123_ÜRETİM_İHTİYAÇ_RAPORU_BURAK_YENI1309[[#This Row],[SATINALMA]]*DST_123_ÜRETİM_İHTİYAÇ_RAPORU_BURAK_YENI1309[[#This Row],[BIRIM_FIYATLAR]])</f>
        <v>10710</v>
      </c>
      <c r="N2330">
        <v>105</v>
      </c>
      <c r="O2330" t="s">
        <v>625</v>
      </c>
      <c r="P2330">
        <v>630</v>
      </c>
      <c r="Q2330" t="s">
        <v>178</v>
      </c>
    </row>
    <row r="2331" spans="1:17" x14ac:dyDescent="0.25">
      <c r="A2331" t="s">
        <v>1095</v>
      </c>
      <c r="B2331" t="s">
        <v>1096</v>
      </c>
      <c r="C2331" t="s">
        <v>175</v>
      </c>
      <c r="D2331" t="s">
        <v>378</v>
      </c>
      <c r="E2331" t="s">
        <v>379</v>
      </c>
      <c r="F2331">
        <v>1</v>
      </c>
      <c r="G2331" t="s">
        <v>176</v>
      </c>
      <c r="H2331">
        <v>0</v>
      </c>
      <c r="I2331">
        <v>50</v>
      </c>
      <c r="J2331" s="10">
        <v>33</v>
      </c>
      <c r="K2331" s="10">
        <f>SUMIFS(F:F,D:D,DST_123_ÜRETİM_İHTİYAÇ_RAPORU_BURAK_YENI1309[[#This Row],[ALT_KOD]])-(SUMIFS(H:H,D:D,DST_123_ÜRETİM_İHTİYAÇ_RAPORU_BURAK_YENI1309[[#This Row],[ALT_KOD]])+AVERAGEIFS(I:I,D:D,DST_123_ÜRETİM_İHTİYAÇ_RAPORU_BURAK_YENI1309[[#This Row],[ALT_KOD]])+AVERAGEIFS(L:L,D:D,DST_123_ÜRETİM_İHTİYAÇ_RAPORU_BURAK_YENI1309[[#This Row],[ALT_KOD]]))</f>
        <v>-15</v>
      </c>
      <c r="L2331">
        <v>0</v>
      </c>
      <c r="M2331">
        <f>IF((DST_123_ÜRETİM_İHTİYAÇ_RAPORU_BURAK_YENI1309[[#This Row],[SATINALMA]]*DST_123_ÜRETİM_İHTİYAÇ_RAPORU_BURAK_YENI1309[[#This Row],[BIRIM_FIYATLAR]])&lt;1,VALUE("0"),DST_123_ÜRETİM_İHTİYAÇ_RAPORU_BURAK_YENI1309[[#This Row],[SATINALMA]]*DST_123_ÜRETİM_İHTİYAÇ_RAPORU_BURAK_YENI1309[[#This Row],[BIRIM_FIYATLAR]])</f>
        <v>0</v>
      </c>
      <c r="N2331">
        <v>72.599999999999994</v>
      </c>
      <c r="O2331" t="s">
        <v>240</v>
      </c>
      <c r="P2331">
        <v>72.599999999999994</v>
      </c>
      <c r="Q2331" t="s">
        <v>178</v>
      </c>
    </row>
    <row r="2332" spans="1:17" x14ac:dyDescent="0.25">
      <c r="A2332" t="s">
        <v>1148</v>
      </c>
      <c r="B2332" t="s">
        <v>1056</v>
      </c>
      <c r="C2332" t="s">
        <v>175</v>
      </c>
      <c r="D2332" t="s">
        <v>5</v>
      </c>
      <c r="E2332" t="s">
        <v>6</v>
      </c>
      <c r="F2332">
        <v>7.1</v>
      </c>
      <c r="G2332" t="s">
        <v>179</v>
      </c>
      <c r="H2332">
        <v>0</v>
      </c>
      <c r="I2332">
        <v>100</v>
      </c>
      <c r="J2332" s="10">
        <v>2.0000000000000568</v>
      </c>
      <c r="K2332" s="10">
        <f>SUMIFS(F:F,D:D,DST_123_ÜRETİM_İHTİYAÇ_RAPORU_BURAK_YENI1309[[#This Row],[ALT_KOD]])-(SUMIFS(H:H,D:D,DST_123_ÜRETİM_İHTİYAÇ_RAPORU_BURAK_YENI1309[[#This Row],[ALT_KOD]])+AVERAGEIFS(I:I,D:D,DST_123_ÜRETİM_İHTİYAÇ_RAPORU_BURAK_YENI1309[[#This Row],[ALT_KOD]])+AVERAGEIFS(L:L,D:D,DST_123_ÜRETİM_İHTİYAÇ_RAPORU_BURAK_YENI1309[[#This Row],[ALT_KOD]]))</f>
        <v>-6.4000000000000057</v>
      </c>
      <c r="L2332">
        <v>0</v>
      </c>
      <c r="M2332">
        <f>IF((DST_123_ÜRETİM_İHTİYAÇ_RAPORU_BURAK_YENI1309[[#This Row],[SATINALMA]]*DST_123_ÜRETİM_İHTİYAÇ_RAPORU_BURAK_YENI1309[[#This Row],[BIRIM_FIYATLAR]])&lt;1,VALUE("0"),DST_123_ÜRETİM_İHTİYAÇ_RAPORU_BURAK_YENI1309[[#This Row],[SATINALMA]]*DST_123_ÜRETİM_İHTİYAÇ_RAPORU_BURAK_YENI1309[[#This Row],[BIRIM_FIYATLAR]])</f>
        <v>0</v>
      </c>
      <c r="N2332">
        <v>111</v>
      </c>
      <c r="O2332" t="s">
        <v>826</v>
      </c>
      <c r="P2332">
        <v>788.09999999999991</v>
      </c>
      <c r="Q2332" t="s">
        <v>221</v>
      </c>
    </row>
    <row r="2333" spans="1:17" x14ac:dyDescent="0.25">
      <c r="A2333" t="s">
        <v>1147</v>
      </c>
      <c r="B2333" t="s">
        <v>1145</v>
      </c>
      <c r="C2333" t="s">
        <v>175</v>
      </c>
      <c r="D2333" t="s">
        <v>7</v>
      </c>
      <c r="E2333" t="s">
        <v>8</v>
      </c>
      <c r="F2333">
        <v>1</v>
      </c>
      <c r="G2333" t="s">
        <v>176</v>
      </c>
      <c r="H2333">
        <v>0</v>
      </c>
      <c r="I2333">
        <v>6</v>
      </c>
      <c r="J2333" s="10">
        <v>7</v>
      </c>
      <c r="K2333" s="10">
        <f>SUMIFS(F:F,D:D,DST_123_ÜRETİM_İHTİYAÇ_RAPORU_BURAK_YENI1309[[#This Row],[ALT_KOD]])-(SUMIFS(H:H,D:D,DST_123_ÜRETİM_İHTİYAÇ_RAPORU_BURAK_YENI1309[[#This Row],[ALT_KOD]])+AVERAGEIFS(I:I,D:D,DST_123_ÜRETİM_İHTİYAÇ_RAPORU_BURAK_YENI1309[[#This Row],[ALT_KOD]])+AVERAGEIFS(L:L,D:D,DST_123_ÜRETİM_İHTİYAÇ_RAPORU_BURAK_YENI1309[[#This Row],[ALT_KOD]]))</f>
        <v>2</v>
      </c>
      <c r="L2333">
        <v>0</v>
      </c>
      <c r="M2333">
        <f>IF((DST_123_ÜRETİM_İHTİYAÇ_RAPORU_BURAK_YENI1309[[#This Row],[SATINALMA]]*DST_123_ÜRETİM_İHTİYAÇ_RAPORU_BURAK_YENI1309[[#This Row],[BIRIM_FIYATLAR]])&lt;1,VALUE("0"),DST_123_ÜRETİM_İHTİYAÇ_RAPORU_BURAK_YENI1309[[#This Row],[SATINALMA]]*DST_123_ÜRETİM_İHTİYAÇ_RAPORU_BURAK_YENI1309[[#This Row],[BIRIM_FIYATLAR]])</f>
        <v>4960.92</v>
      </c>
      <c r="N2333">
        <v>2480.46</v>
      </c>
      <c r="O2333" t="s">
        <v>227</v>
      </c>
      <c r="P2333">
        <v>2480.46</v>
      </c>
      <c r="Q2333" t="s">
        <v>221</v>
      </c>
    </row>
    <row r="2334" spans="1:17" x14ac:dyDescent="0.25">
      <c r="A2334" t="s">
        <v>1100</v>
      </c>
      <c r="B2334" t="s">
        <v>1058</v>
      </c>
      <c r="C2334" t="s">
        <v>175</v>
      </c>
      <c r="D2334" t="s">
        <v>7</v>
      </c>
      <c r="E2334" t="s">
        <v>8</v>
      </c>
      <c r="F2334">
        <v>1</v>
      </c>
      <c r="G2334" t="s">
        <v>176</v>
      </c>
      <c r="H2334">
        <v>1</v>
      </c>
      <c r="I2334">
        <v>6</v>
      </c>
      <c r="J2334" s="10">
        <v>7</v>
      </c>
      <c r="K2334" s="10">
        <f>SUMIFS(F:F,D:D,DST_123_ÜRETİM_İHTİYAÇ_RAPORU_BURAK_YENI1309[[#This Row],[ALT_KOD]])-(SUMIFS(H:H,D:D,DST_123_ÜRETİM_İHTİYAÇ_RAPORU_BURAK_YENI1309[[#This Row],[ALT_KOD]])+AVERAGEIFS(I:I,D:D,DST_123_ÜRETİM_İHTİYAÇ_RAPORU_BURAK_YENI1309[[#This Row],[ALT_KOD]])+AVERAGEIFS(L:L,D:D,DST_123_ÜRETİM_İHTİYAÇ_RAPORU_BURAK_YENI1309[[#This Row],[ALT_KOD]]))</f>
        <v>2</v>
      </c>
      <c r="L2334">
        <v>0</v>
      </c>
      <c r="M2334">
        <f>IF((DST_123_ÜRETİM_İHTİYAÇ_RAPORU_BURAK_YENI1309[[#This Row],[SATINALMA]]*DST_123_ÜRETİM_İHTİYAÇ_RAPORU_BURAK_YENI1309[[#This Row],[BIRIM_FIYATLAR]])&lt;1,VALUE("0"),DST_123_ÜRETİM_İHTİYAÇ_RAPORU_BURAK_YENI1309[[#This Row],[SATINALMA]]*DST_123_ÜRETİM_İHTİYAÇ_RAPORU_BURAK_YENI1309[[#This Row],[BIRIM_FIYATLAR]])</f>
        <v>4960.92</v>
      </c>
      <c r="N2334">
        <v>2480.46</v>
      </c>
      <c r="O2334" t="s">
        <v>227</v>
      </c>
      <c r="P2334">
        <v>2480.46</v>
      </c>
      <c r="Q2334" t="s">
        <v>221</v>
      </c>
    </row>
    <row r="2335" spans="1:17" x14ac:dyDescent="0.25">
      <c r="A2335" t="s">
        <v>1057</v>
      </c>
      <c r="B2335" t="s">
        <v>1058</v>
      </c>
      <c r="C2335" t="s">
        <v>175</v>
      </c>
      <c r="D2335" t="s">
        <v>9</v>
      </c>
      <c r="E2335" t="s">
        <v>10</v>
      </c>
      <c r="F2335">
        <v>4</v>
      </c>
      <c r="G2335" t="s">
        <v>176</v>
      </c>
      <c r="H2335">
        <v>4</v>
      </c>
      <c r="I2335">
        <v>39</v>
      </c>
      <c r="J2335" s="10">
        <v>32</v>
      </c>
      <c r="K2335" s="10">
        <f>SUMIFS(F:F,D:D,DST_123_ÜRETİM_İHTİYAÇ_RAPORU_BURAK_YENI1309[[#This Row],[ALT_KOD]])-(SUMIFS(H:H,D:D,DST_123_ÜRETİM_İHTİYAÇ_RAPORU_BURAK_YENI1309[[#This Row],[ALT_KOD]])+AVERAGEIFS(I:I,D:D,DST_123_ÜRETİM_İHTİYAÇ_RAPORU_BURAK_YENI1309[[#This Row],[ALT_KOD]])+AVERAGEIFS(L:L,D:D,DST_123_ÜRETİM_İHTİYAÇ_RAPORU_BURAK_YENI1309[[#This Row],[ALT_KOD]]))</f>
        <v>-11</v>
      </c>
      <c r="L2335">
        <v>0</v>
      </c>
      <c r="M2335">
        <f>IF((DST_123_ÜRETİM_İHTİYAÇ_RAPORU_BURAK_YENI1309[[#This Row],[SATINALMA]]*DST_123_ÜRETİM_İHTİYAÇ_RAPORU_BURAK_YENI1309[[#This Row],[BIRIM_FIYATLAR]])&lt;1,VALUE("0"),DST_123_ÜRETİM_İHTİYAÇ_RAPORU_BURAK_YENI1309[[#This Row],[SATINALMA]]*DST_123_ÜRETİM_İHTİYAÇ_RAPORU_BURAK_YENI1309[[#This Row],[BIRIM_FIYATLAR]])</f>
        <v>0</v>
      </c>
      <c r="N2335">
        <v>73.349999999999994</v>
      </c>
      <c r="O2335" t="s">
        <v>227</v>
      </c>
      <c r="P2335">
        <v>293.39999999999998</v>
      </c>
      <c r="Q2335" t="s">
        <v>221</v>
      </c>
    </row>
    <row r="2336" spans="1:17" x14ac:dyDescent="0.25">
      <c r="A2336" t="s">
        <v>1057</v>
      </c>
      <c r="B2336" t="s">
        <v>1058</v>
      </c>
      <c r="C2336" t="s">
        <v>175</v>
      </c>
      <c r="D2336" t="s">
        <v>11</v>
      </c>
      <c r="E2336" t="s">
        <v>12</v>
      </c>
      <c r="F2336">
        <v>1</v>
      </c>
      <c r="G2336" t="s">
        <v>176</v>
      </c>
      <c r="H2336">
        <v>1</v>
      </c>
      <c r="I2336">
        <v>24</v>
      </c>
      <c r="J2336" s="10">
        <v>9</v>
      </c>
      <c r="K2336" s="10">
        <f>SUMIFS(F:F,D:D,DST_123_ÜRETİM_İHTİYAÇ_RAPORU_BURAK_YENI1309[[#This Row],[ALT_KOD]])-(SUMIFS(H:H,D:D,DST_123_ÜRETİM_İHTİYAÇ_RAPORU_BURAK_YENI1309[[#This Row],[ALT_KOD]])+AVERAGEIFS(I:I,D:D,DST_123_ÜRETİM_İHTİYAÇ_RAPORU_BURAK_YENI1309[[#This Row],[ALT_KOD]])+AVERAGEIFS(L:L,D:D,DST_123_ÜRETİM_İHTİYAÇ_RAPORU_BURAK_YENI1309[[#This Row],[ALT_KOD]]))</f>
        <v>-21</v>
      </c>
      <c r="L2336">
        <v>0</v>
      </c>
      <c r="M2336">
        <f>IF((DST_123_ÜRETİM_İHTİYAÇ_RAPORU_BURAK_YENI1309[[#This Row],[SATINALMA]]*DST_123_ÜRETİM_İHTİYAÇ_RAPORU_BURAK_YENI1309[[#This Row],[BIRIM_FIYATLAR]])&lt;1,VALUE("0"),DST_123_ÜRETİM_İHTİYAÇ_RAPORU_BURAK_YENI1309[[#This Row],[SATINALMA]]*DST_123_ÜRETİM_İHTİYAÇ_RAPORU_BURAK_YENI1309[[#This Row],[BIRIM_FIYATLAR]])</f>
        <v>0</v>
      </c>
      <c r="N2336">
        <v>368.07</v>
      </c>
      <c r="O2336" t="s">
        <v>589</v>
      </c>
      <c r="P2336">
        <v>368.07</v>
      </c>
      <c r="Q2336" t="s">
        <v>221</v>
      </c>
    </row>
    <row r="2337" spans="1:17" x14ac:dyDescent="0.25">
      <c r="A2337" t="s">
        <v>1057</v>
      </c>
      <c r="B2337" t="s">
        <v>1058</v>
      </c>
      <c r="C2337" t="s">
        <v>175</v>
      </c>
      <c r="D2337" t="s">
        <v>204</v>
      </c>
      <c r="E2337" t="s">
        <v>205</v>
      </c>
      <c r="F2337">
        <v>0.5</v>
      </c>
      <c r="G2337" t="s">
        <v>176</v>
      </c>
      <c r="H2337">
        <v>0</v>
      </c>
      <c r="I2337">
        <v>100</v>
      </c>
      <c r="J2337" s="10">
        <v>41</v>
      </c>
      <c r="K2337" s="10">
        <f>SUMIFS(F:F,D:D,DST_123_ÜRETİM_İHTİYAÇ_RAPORU_BURAK_YENI1309[[#This Row],[ALT_KOD]])-(SUMIFS(H:H,D:D,DST_123_ÜRETİM_İHTİYAÇ_RAPORU_BURAK_YENI1309[[#This Row],[ALT_KOD]])+AVERAGEIFS(I:I,D:D,DST_123_ÜRETİM_İHTİYAÇ_RAPORU_BURAK_YENI1309[[#This Row],[ALT_KOD]])+AVERAGEIFS(L:L,D:D,DST_123_ÜRETİM_İHTİYAÇ_RAPORU_BURAK_YENI1309[[#This Row],[ALT_KOD]]))</f>
        <v>-89.5</v>
      </c>
      <c r="L2337">
        <v>0</v>
      </c>
      <c r="M2337">
        <f>IF((DST_123_ÜRETİM_İHTİYAÇ_RAPORU_BURAK_YENI1309[[#This Row],[SATINALMA]]*DST_123_ÜRETİM_İHTİYAÇ_RAPORU_BURAK_YENI1309[[#This Row],[BIRIM_FIYATLAR]])&lt;1,VALUE("0"),DST_123_ÜRETİM_İHTİYAÇ_RAPORU_BURAK_YENI1309[[#This Row],[SATINALMA]]*DST_123_ÜRETİM_İHTİYAÇ_RAPORU_BURAK_YENI1309[[#This Row],[BIRIM_FIYATLAR]])</f>
        <v>0</v>
      </c>
      <c r="N2337">
        <v>60</v>
      </c>
      <c r="O2337" t="s">
        <v>220</v>
      </c>
      <c r="P2337">
        <v>30</v>
      </c>
      <c r="Q2337" t="s">
        <v>180</v>
      </c>
    </row>
    <row r="2338" spans="1:17" x14ac:dyDescent="0.25">
      <c r="A2338" t="s">
        <v>1100</v>
      </c>
      <c r="B2338" t="s">
        <v>1058</v>
      </c>
      <c r="C2338" t="s">
        <v>175</v>
      </c>
      <c r="D2338" t="s">
        <v>204</v>
      </c>
      <c r="E2338" t="s">
        <v>205</v>
      </c>
      <c r="F2338">
        <v>0.5</v>
      </c>
      <c r="G2338" t="s">
        <v>176</v>
      </c>
      <c r="H2338">
        <v>0</v>
      </c>
      <c r="I2338">
        <v>100</v>
      </c>
      <c r="J2338" s="10">
        <v>41</v>
      </c>
      <c r="K2338" s="10">
        <f>SUMIFS(F:F,D:D,DST_123_ÜRETİM_İHTİYAÇ_RAPORU_BURAK_YENI1309[[#This Row],[ALT_KOD]])-(SUMIFS(H:H,D:D,DST_123_ÜRETİM_İHTİYAÇ_RAPORU_BURAK_YENI1309[[#This Row],[ALT_KOD]])+AVERAGEIFS(I:I,D:D,DST_123_ÜRETİM_İHTİYAÇ_RAPORU_BURAK_YENI1309[[#This Row],[ALT_KOD]])+AVERAGEIFS(L:L,D:D,DST_123_ÜRETİM_İHTİYAÇ_RAPORU_BURAK_YENI1309[[#This Row],[ALT_KOD]]))</f>
        <v>-89.5</v>
      </c>
      <c r="L2338">
        <v>0</v>
      </c>
      <c r="M2338">
        <f>IF((DST_123_ÜRETİM_İHTİYAÇ_RAPORU_BURAK_YENI1309[[#This Row],[SATINALMA]]*DST_123_ÜRETİM_İHTİYAÇ_RAPORU_BURAK_YENI1309[[#This Row],[BIRIM_FIYATLAR]])&lt;1,VALUE("0"),DST_123_ÜRETİM_İHTİYAÇ_RAPORU_BURAK_YENI1309[[#This Row],[SATINALMA]]*DST_123_ÜRETİM_İHTİYAÇ_RAPORU_BURAK_YENI1309[[#This Row],[BIRIM_FIYATLAR]])</f>
        <v>0</v>
      </c>
      <c r="N2338">
        <v>60</v>
      </c>
      <c r="O2338" t="s">
        <v>220</v>
      </c>
      <c r="P2338">
        <v>30</v>
      </c>
      <c r="Q2338" t="s">
        <v>180</v>
      </c>
    </row>
    <row r="2339" spans="1:17" x14ac:dyDescent="0.25">
      <c r="A2339" t="s">
        <v>1148</v>
      </c>
      <c r="B2339" t="s">
        <v>1056</v>
      </c>
      <c r="C2339" t="s">
        <v>175</v>
      </c>
      <c r="D2339" t="s">
        <v>204</v>
      </c>
      <c r="E2339" t="s">
        <v>205</v>
      </c>
      <c r="F2339">
        <v>1</v>
      </c>
      <c r="G2339" t="s">
        <v>176</v>
      </c>
      <c r="H2339">
        <v>0</v>
      </c>
      <c r="I2339">
        <v>100</v>
      </c>
      <c r="J2339" s="10">
        <v>41</v>
      </c>
      <c r="K2339" s="10">
        <f>SUMIFS(F:F,D:D,DST_123_ÜRETİM_İHTİYAÇ_RAPORU_BURAK_YENI1309[[#This Row],[ALT_KOD]])-(SUMIFS(H:H,D:D,DST_123_ÜRETİM_İHTİYAÇ_RAPORU_BURAK_YENI1309[[#This Row],[ALT_KOD]])+AVERAGEIFS(I:I,D:D,DST_123_ÜRETİM_İHTİYAÇ_RAPORU_BURAK_YENI1309[[#This Row],[ALT_KOD]])+AVERAGEIFS(L:L,D:D,DST_123_ÜRETİM_İHTİYAÇ_RAPORU_BURAK_YENI1309[[#This Row],[ALT_KOD]]))</f>
        <v>-89.5</v>
      </c>
      <c r="L2339">
        <v>0</v>
      </c>
      <c r="M2339">
        <f>IF((DST_123_ÜRETİM_İHTİYAÇ_RAPORU_BURAK_YENI1309[[#This Row],[SATINALMA]]*DST_123_ÜRETİM_İHTİYAÇ_RAPORU_BURAK_YENI1309[[#This Row],[BIRIM_FIYATLAR]])&lt;1,VALUE("0"),DST_123_ÜRETİM_İHTİYAÇ_RAPORU_BURAK_YENI1309[[#This Row],[SATINALMA]]*DST_123_ÜRETİM_İHTİYAÇ_RAPORU_BURAK_YENI1309[[#This Row],[BIRIM_FIYATLAR]])</f>
        <v>0</v>
      </c>
      <c r="N2339">
        <v>60</v>
      </c>
      <c r="O2339" t="s">
        <v>220</v>
      </c>
      <c r="P2339">
        <v>60</v>
      </c>
      <c r="Q2339" t="s">
        <v>180</v>
      </c>
    </row>
    <row r="2340" spans="1:17" x14ac:dyDescent="0.25">
      <c r="A2340" t="s">
        <v>1100</v>
      </c>
      <c r="B2340" t="s">
        <v>1058</v>
      </c>
      <c r="C2340" t="s">
        <v>175</v>
      </c>
      <c r="D2340" t="s">
        <v>206</v>
      </c>
      <c r="E2340" t="s">
        <v>280</v>
      </c>
      <c r="F2340">
        <v>0.51</v>
      </c>
      <c r="G2340" t="s">
        <v>176</v>
      </c>
      <c r="H2340">
        <v>0.51</v>
      </c>
      <c r="I2340">
        <v>10</v>
      </c>
      <c r="J2340" s="10">
        <v>126.66400000000034</v>
      </c>
      <c r="K2340" s="10">
        <f>SUMIFS(F:F,D:D,DST_123_ÜRETİM_İHTİYAÇ_RAPORU_BURAK_YENI1309[[#This Row],[ALT_KOD]])-(SUMIFS(H:H,D:D,DST_123_ÜRETİM_İHTİYAÇ_RAPORU_BURAK_YENI1309[[#This Row],[ALT_KOD]])+AVERAGEIFS(I:I,D:D,DST_123_ÜRETİM_İHTİYAÇ_RAPORU_BURAK_YENI1309[[#This Row],[ALT_KOD]])+AVERAGEIFS(L:L,D:D,DST_123_ÜRETİM_İHTİYAÇ_RAPORU_BURAK_YENI1309[[#This Row],[ALT_KOD]]))</f>
        <v>-1.1600000000000001</v>
      </c>
      <c r="L2340">
        <v>0</v>
      </c>
      <c r="M2340">
        <f>IF((DST_123_ÜRETİM_İHTİYAÇ_RAPORU_BURAK_YENI1309[[#This Row],[SATINALMA]]*DST_123_ÜRETİM_İHTİYAÇ_RAPORU_BURAK_YENI1309[[#This Row],[BIRIM_FIYATLAR]])&lt;1,VALUE("0"),DST_123_ÜRETİM_İHTİYAÇ_RAPORU_BURAK_YENI1309[[#This Row],[SATINALMA]]*DST_123_ÜRETİM_İHTİYAÇ_RAPORU_BURAK_YENI1309[[#This Row],[BIRIM_FIYATLAR]])</f>
        <v>0</v>
      </c>
      <c r="N2340">
        <v>185</v>
      </c>
      <c r="O2340" t="s">
        <v>240</v>
      </c>
      <c r="P2340">
        <v>94.350000000000009</v>
      </c>
      <c r="Q2340" t="s">
        <v>180</v>
      </c>
    </row>
    <row r="2341" spans="1:17" x14ac:dyDescent="0.25">
      <c r="A2341" t="s">
        <v>1057</v>
      </c>
      <c r="B2341" t="s">
        <v>1058</v>
      </c>
      <c r="C2341" t="s">
        <v>175</v>
      </c>
      <c r="D2341" t="s">
        <v>344</v>
      </c>
      <c r="E2341" t="s">
        <v>345</v>
      </c>
      <c r="F2341">
        <v>1</v>
      </c>
      <c r="G2341" t="s">
        <v>176</v>
      </c>
      <c r="H2341">
        <v>0</v>
      </c>
      <c r="I2341">
        <v>228</v>
      </c>
      <c r="J2341" s="10">
        <v>4.2632564145606011E-14</v>
      </c>
      <c r="K2341" s="10">
        <f>SUMIFS(F:F,D:D,DST_123_ÜRETİM_İHTİYAÇ_RAPORU_BURAK_YENI1309[[#This Row],[ALT_KOD]])-(SUMIFS(H:H,D:D,DST_123_ÜRETİM_İHTİYAÇ_RAPORU_BURAK_YENI1309[[#This Row],[ALT_KOD]])+AVERAGEIFS(I:I,D:D,DST_123_ÜRETİM_İHTİYAÇ_RAPORU_BURAK_YENI1309[[#This Row],[ALT_KOD]])+AVERAGEIFS(L:L,D:D,DST_123_ÜRETİM_İHTİYAÇ_RAPORU_BURAK_YENI1309[[#This Row],[ALT_KOD]]))</f>
        <v>-186</v>
      </c>
      <c r="L2341">
        <v>0</v>
      </c>
      <c r="M2341">
        <f>IF((DST_123_ÜRETİM_İHTİYAÇ_RAPORU_BURAK_YENI1309[[#This Row],[SATINALMA]]*DST_123_ÜRETİM_İHTİYAÇ_RAPORU_BURAK_YENI1309[[#This Row],[BIRIM_FIYATLAR]])&lt;1,VALUE("0"),DST_123_ÜRETİM_İHTİYAÇ_RAPORU_BURAK_YENI1309[[#This Row],[SATINALMA]]*DST_123_ÜRETİM_İHTİYAÇ_RAPORU_BURAK_YENI1309[[#This Row],[BIRIM_FIYATLAR]])</f>
        <v>0</v>
      </c>
      <c r="N2341">
        <v>6</v>
      </c>
      <c r="O2341" t="s">
        <v>346</v>
      </c>
      <c r="P2341">
        <v>6</v>
      </c>
      <c r="Q2341" t="s">
        <v>180</v>
      </c>
    </row>
    <row r="2342" spans="1:17" x14ac:dyDescent="0.25">
      <c r="A2342" t="s">
        <v>1100</v>
      </c>
      <c r="B2342" t="s">
        <v>1058</v>
      </c>
      <c r="C2342" t="s">
        <v>175</v>
      </c>
      <c r="D2342" t="s">
        <v>344</v>
      </c>
      <c r="E2342" t="s">
        <v>345</v>
      </c>
      <c r="F2342">
        <v>1</v>
      </c>
      <c r="G2342" t="s">
        <v>176</v>
      </c>
      <c r="H2342">
        <v>0</v>
      </c>
      <c r="I2342">
        <v>228</v>
      </c>
      <c r="J2342" s="10">
        <v>4.2632564145606011E-14</v>
      </c>
      <c r="K2342" s="10">
        <f>SUMIFS(F:F,D:D,DST_123_ÜRETİM_İHTİYAÇ_RAPORU_BURAK_YENI1309[[#This Row],[ALT_KOD]])-(SUMIFS(H:H,D:D,DST_123_ÜRETİM_İHTİYAÇ_RAPORU_BURAK_YENI1309[[#This Row],[ALT_KOD]])+AVERAGEIFS(I:I,D:D,DST_123_ÜRETİM_İHTİYAÇ_RAPORU_BURAK_YENI1309[[#This Row],[ALT_KOD]])+AVERAGEIFS(L:L,D:D,DST_123_ÜRETİM_İHTİYAÇ_RAPORU_BURAK_YENI1309[[#This Row],[ALT_KOD]]))</f>
        <v>-186</v>
      </c>
      <c r="L2342">
        <v>0</v>
      </c>
      <c r="M2342">
        <f>IF((DST_123_ÜRETİM_İHTİYAÇ_RAPORU_BURAK_YENI1309[[#This Row],[SATINALMA]]*DST_123_ÜRETİM_İHTİYAÇ_RAPORU_BURAK_YENI1309[[#This Row],[BIRIM_FIYATLAR]])&lt;1,VALUE("0"),DST_123_ÜRETİM_İHTİYAÇ_RAPORU_BURAK_YENI1309[[#This Row],[SATINALMA]]*DST_123_ÜRETİM_İHTİYAÇ_RAPORU_BURAK_YENI1309[[#This Row],[BIRIM_FIYATLAR]])</f>
        <v>0</v>
      </c>
      <c r="N2342">
        <v>6</v>
      </c>
      <c r="O2342" t="s">
        <v>346</v>
      </c>
      <c r="P2342">
        <v>6</v>
      </c>
      <c r="Q2342" t="s">
        <v>180</v>
      </c>
    </row>
    <row r="2343" spans="1:17" x14ac:dyDescent="0.25">
      <c r="A2343" t="s">
        <v>1147</v>
      </c>
      <c r="B2343" t="s">
        <v>1145</v>
      </c>
      <c r="C2343" t="s">
        <v>175</v>
      </c>
      <c r="D2343" t="s">
        <v>418</v>
      </c>
      <c r="E2343" t="s">
        <v>1221</v>
      </c>
      <c r="F2343">
        <v>5</v>
      </c>
      <c r="G2343" t="s">
        <v>176</v>
      </c>
      <c r="H2343">
        <v>0</v>
      </c>
      <c r="I2343">
        <v>148</v>
      </c>
      <c r="J2343" s="10">
        <v>59</v>
      </c>
      <c r="K2343" s="10">
        <f>SUMIFS(F:F,D:D,DST_123_ÜRETİM_İHTİYAÇ_RAPORU_BURAK_YENI1309[[#This Row],[ALT_KOD]])-(SUMIFS(H:H,D:D,DST_123_ÜRETİM_İHTİYAÇ_RAPORU_BURAK_YENI1309[[#This Row],[ALT_KOD]])+AVERAGEIFS(I:I,D:D,DST_123_ÜRETİM_İHTİYAÇ_RAPORU_BURAK_YENI1309[[#This Row],[ALT_KOD]])+AVERAGEIFS(L:L,D:D,DST_123_ÜRETİM_İHTİYAÇ_RAPORU_BURAK_YENI1309[[#This Row],[ALT_KOD]]))</f>
        <v>-33</v>
      </c>
      <c r="L2343">
        <v>0</v>
      </c>
      <c r="M2343">
        <f>IF((DST_123_ÜRETİM_İHTİYAÇ_RAPORU_BURAK_YENI1309[[#This Row],[SATINALMA]]*DST_123_ÜRETİM_İHTİYAÇ_RAPORU_BURAK_YENI1309[[#This Row],[BIRIM_FIYATLAR]])&lt;1,VALUE("0"),DST_123_ÜRETİM_İHTİYAÇ_RAPORU_BURAK_YENI1309[[#This Row],[SATINALMA]]*DST_123_ÜRETİM_İHTİYAÇ_RAPORU_BURAK_YENI1309[[#This Row],[BIRIM_FIYATLAR]])</f>
        <v>0</v>
      </c>
      <c r="N2343">
        <v>24.17</v>
      </c>
      <c r="O2343" t="s">
        <v>628</v>
      </c>
      <c r="P2343">
        <v>120.85000000000001</v>
      </c>
      <c r="Q2343" t="s">
        <v>180</v>
      </c>
    </row>
    <row r="2344" spans="1:17" x14ac:dyDescent="0.25">
      <c r="A2344" t="s">
        <v>1057</v>
      </c>
      <c r="B2344" t="s">
        <v>1058</v>
      </c>
      <c r="C2344" t="s">
        <v>175</v>
      </c>
      <c r="D2344" t="s">
        <v>418</v>
      </c>
      <c r="E2344" t="s">
        <v>1221</v>
      </c>
      <c r="F2344">
        <v>8</v>
      </c>
      <c r="G2344" t="s">
        <v>176</v>
      </c>
      <c r="H2344">
        <v>0</v>
      </c>
      <c r="I2344">
        <v>148</v>
      </c>
      <c r="J2344" s="10">
        <v>59</v>
      </c>
      <c r="K2344" s="10">
        <f>SUMIFS(F:F,D:D,DST_123_ÜRETİM_İHTİYAÇ_RAPORU_BURAK_YENI1309[[#This Row],[ALT_KOD]])-(SUMIFS(H:H,D:D,DST_123_ÜRETİM_İHTİYAÇ_RAPORU_BURAK_YENI1309[[#This Row],[ALT_KOD]])+AVERAGEIFS(I:I,D:D,DST_123_ÜRETİM_İHTİYAÇ_RAPORU_BURAK_YENI1309[[#This Row],[ALT_KOD]])+AVERAGEIFS(L:L,D:D,DST_123_ÜRETİM_İHTİYAÇ_RAPORU_BURAK_YENI1309[[#This Row],[ALT_KOD]]))</f>
        <v>-33</v>
      </c>
      <c r="L2344">
        <v>0</v>
      </c>
      <c r="M2344">
        <f>IF((DST_123_ÜRETİM_İHTİYAÇ_RAPORU_BURAK_YENI1309[[#This Row],[SATINALMA]]*DST_123_ÜRETİM_İHTİYAÇ_RAPORU_BURAK_YENI1309[[#This Row],[BIRIM_FIYATLAR]])&lt;1,VALUE("0"),DST_123_ÜRETİM_İHTİYAÇ_RAPORU_BURAK_YENI1309[[#This Row],[SATINALMA]]*DST_123_ÜRETİM_İHTİYAÇ_RAPORU_BURAK_YENI1309[[#This Row],[BIRIM_FIYATLAR]])</f>
        <v>0</v>
      </c>
      <c r="N2344">
        <v>24.17</v>
      </c>
      <c r="O2344" t="s">
        <v>628</v>
      </c>
      <c r="P2344">
        <v>193.36</v>
      </c>
      <c r="Q2344" t="s">
        <v>180</v>
      </c>
    </row>
    <row r="2345" spans="1:17" x14ac:dyDescent="0.25">
      <c r="A2345" t="s">
        <v>1100</v>
      </c>
      <c r="B2345" t="s">
        <v>1058</v>
      </c>
      <c r="C2345" t="s">
        <v>175</v>
      </c>
      <c r="D2345" t="s">
        <v>418</v>
      </c>
      <c r="E2345" t="s">
        <v>1221</v>
      </c>
      <c r="F2345">
        <v>8</v>
      </c>
      <c r="G2345" t="s">
        <v>176</v>
      </c>
      <c r="H2345">
        <v>0</v>
      </c>
      <c r="I2345">
        <v>148</v>
      </c>
      <c r="J2345" s="10">
        <v>59</v>
      </c>
      <c r="K2345" s="10">
        <f>SUMIFS(F:F,D:D,DST_123_ÜRETİM_İHTİYAÇ_RAPORU_BURAK_YENI1309[[#This Row],[ALT_KOD]])-(SUMIFS(H:H,D:D,DST_123_ÜRETİM_İHTİYAÇ_RAPORU_BURAK_YENI1309[[#This Row],[ALT_KOD]])+AVERAGEIFS(I:I,D:D,DST_123_ÜRETİM_İHTİYAÇ_RAPORU_BURAK_YENI1309[[#This Row],[ALT_KOD]])+AVERAGEIFS(L:L,D:D,DST_123_ÜRETİM_İHTİYAÇ_RAPORU_BURAK_YENI1309[[#This Row],[ALT_KOD]]))</f>
        <v>-33</v>
      </c>
      <c r="L2345">
        <v>0</v>
      </c>
      <c r="M2345">
        <f>IF((DST_123_ÜRETİM_İHTİYAÇ_RAPORU_BURAK_YENI1309[[#This Row],[SATINALMA]]*DST_123_ÜRETİM_İHTİYAÇ_RAPORU_BURAK_YENI1309[[#This Row],[BIRIM_FIYATLAR]])&lt;1,VALUE("0"),DST_123_ÜRETİM_İHTİYAÇ_RAPORU_BURAK_YENI1309[[#This Row],[SATINALMA]]*DST_123_ÜRETİM_İHTİYAÇ_RAPORU_BURAK_YENI1309[[#This Row],[BIRIM_FIYATLAR]])</f>
        <v>0</v>
      </c>
      <c r="N2345">
        <v>24.17</v>
      </c>
      <c r="O2345" t="s">
        <v>628</v>
      </c>
      <c r="P2345">
        <v>193.36</v>
      </c>
      <c r="Q2345" t="s">
        <v>180</v>
      </c>
    </row>
    <row r="2346" spans="1:17" x14ac:dyDescent="0.25">
      <c r="A2346" t="s">
        <v>1100</v>
      </c>
      <c r="B2346" t="s">
        <v>1058</v>
      </c>
      <c r="C2346" t="s">
        <v>175</v>
      </c>
      <c r="D2346" t="s">
        <v>382</v>
      </c>
      <c r="E2346" t="s">
        <v>383</v>
      </c>
      <c r="F2346">
        <v>1</v>
      </c>
      <c r="G2346" t="s">
        <v>176</v>
      </c>
      <c r="H2346">
        <v>0</v>
      </c>
      <c r="I2346">
        <v>32</v>
      </c>
      <c r="J2346" s="10">
        <v>22</v>
      </c>
      <c r="K2346" s="10">
        <f>SUMIFS(F:F,D:D,DST_123_ÜRETİM_İHTİYAÇ_RAPORU_BURAK_YENI1309[[#This Row],[ALT_KOD]])-(SUMIFS(H:H,D:D,DST_123_ÜRETİM_İHTİYAÇ_RAPORU_BURAK_YENI1309[[#This Row],[ALT_KOD]])+AVERAGEIFS(I:I,D:D,DST_123_ÜRETİM_İHTİYAÇ_RAPORU_BURAK_YENI1309[[#This Row],[ALT_KOD]])+AVERAGEIFS(L:L,D:D,DST_123_ÜRETİM_İHTİYAÇ_RAPORU_BURAK_YENI1309[[#This Row],[ALT_KOD]]))</f>
        <v>-13</v>
      </c>
      <c r="L2346">
        <v>0</v>
      </c>
      <c r="M2346">
        <f>IF((DST_123_ÜRETİM_İHTİYAÇ_RAPORU_BURAK_YENI1309[[#This Row],[SATINALMA]]*DST_123_ÜRETİM_İHTİYAÇ_RAPORU_BURAK_YENI1309[[#This Row],[BIRIM_FIYATLAR]])&lt;1,VALUE("0"),DST_123_ÜRETİM_İHTİYAÇ_RAPORU_BURAK_YENI1309[[#This Row],[SATINALMA]]*DST_123_ÜRETİM_İHTİYAÇ_RAPORU_BURAK_YENI1309[[#This Row],[BIRIM_FIYATLAR]])</f>
        <v>0</v>
      </c>
      <c r="N2346">
        <v>34</v>
      </c>
      <c r="O2346" t="s">
        <v>240</v>
      </c>
      <c r="P2346">
        <v>34</v>
      </c>
      <c r="Q2346" t="s">
        <v>178</v>
      </c>
    </row>
    <row r="2347" spans="1:17" x14ac:dyDescent="0.25">
      <c r="A2347" t="s">
        <v>1148</v>
      </c>
      <c r="B2347" t="s">
        <v>1056</v>
      </c>
      <c r="C2347" t="s">
        <v>175</v>
      </c>
      <c r="D2347" t="s">
        <v>382</v>
      </c>
      <c r="E2347" t="s">
        <v>383</v>
      </c>
      <c r="F2347">
        <v>1</v>
      </c>
      <c r="G2347" t="s">
        <v>176</v>
      </c>
      <c r="H2347">
        <v>0</v>
      </c>
      <c r="I2347">
        <v>32</v>
      </c>
      <c r="J2347" s="10">
        <v>22</v>
      </c>
      <c r="K2347" s="10">
        <f>SUMIFS(F:F,D:D,DST_123_ÜRETİM_İHTİYAÇ_RAPORU_BURAK_YENI1309[[#This Row],[ALT_KOD]])-(SUMIFS(H:H,D:D,DST_123_ÜRETİM_İHTİYAÇ_RAPORU_BURAK_YENI1309[[#This Row],[ALT_KOD]])+AVERAGEIFS(I:I,D:D,DST_123_ÜRETİM_İHTİYAÇ_RAPORU_BURAK_YENI1309[[#This Row],[ALT_KOD]])+AVERAGEIFS(L:L,D:D,DST_123_ÜRETİM_İHTİYAÇ_RAPORU_BURAK_YENI1309[[#This Row],[ALT_KOD]]))</f>
        <v>-13</v>
      </c>
      <c r="L2347">
        <v>0</v>
      </c>
      <c r="M2347">
        <f>IF((DST_123_ÜRETİM_İHTİYAÇ_RAPORU_BURAK_YENI1309[[#This Row],[SATINALMA]]*DST_123_ÜRETİM_İHTİYAÇ_RAPORU_BURAK_YENI1309[[#This Row],[BIRIM_FIYATLAR]])&lt;1,VALUE("0"),DST_123_ÜRETİM_İHTİYAÇ_RAPORU_BURAK_YENI1309[[#This Row],[SATINALMA]]*DST_123_ÜRETİM_İHTİYAÇ_RAPORU_BURAK_YENI1309[[#This Row],[BIRIM_FIYATLAR]])</f>
        <v>0</v>
      </c>
      <c r="N2347">
        <v>34</v>
      </c>
      <c r="O2347" t="s">
        <v>240</v>
      </c>
      <c r="P2347">
        <v>34</v>
      </c>
      <c r="Q2347" t="s">
        <v>178</v>
      </c>
    </row>
    <row r="2348" spans="1:17" x14ac:dyDescent="0.25">
      <c r="A2348" t="s">
        <v>1057</v>
      </c>
      <c r="B2348" t="s">
        <v>1058</v>
      </c>
      <c r="C2348" t="s">
        <v>175</v>
      </c>
      <c r="D2348" t="s">
        <v>927</v>
      </c>
      <c r="E2348" t="s">
        <v>928</v>
      </c>
      <c r="F2348">
        <v>1</v>
      </c>
      <c r="G2348" t="s">
        <v>176</v>
      </c>
      <c r="H2348">
        <v>0</v>
      </c>
      <c r="I2348">
        <v>0</v>
      </c>
      <c r="J2348" s="10">
        <v>246</v>
      </c>
      <c r="K2348" s="10">
        <f>SUMIFS(F:F,D:D,DST_123_ÜRETİM_İHTİYAÇ_RAPORU_BURAK_YENI1309[[#This Row],[ALT_KOD]])-(SUMIFS(H:H,D:D,DST_123_ÜRETİM_İHTİYAÇ_RAPORU_BURAK_YENI1309[[#This Row],[ALT_KOD]])+AVERAGEIFS(I:I,D:D,DST_123_ÜRETİM_İHTİYAÇ_RAPORU_BURAK_YENI1309[[#This Row],[ALT_KOD]])+AVERAGEIFS(L:L,D:D,DST_123_ÜRETİM_İHTİYAÇ_RAPORU_BURAK_YENI1309[[#This Row],[ALT_KOD]]))</f>
        <v>6</v>
      </c>
      <c r="L2348">
        <v>0</v>
      </c>
      <c r="M2348">
        <f>IF((DST_123_ÜRETİM_İHTİYAÇ_RAPORU_BURAK_YENI1309[[#This Row],[SATINALMA]]*DST_123_ÜRETİM_İHTİYAÇ_RAPORU_BURAK_YENI1309[[#This Row],[BIRIM_FIYATLAR]])&lt;1,VALUE("0"),DST_123_ÜRETİM_İHTİYAÇ_RAPORU_BURAK_YENI1309[[#This Row],[SATINALMA]]*DST_123_ÜRETİM_İHTİYAÇ_RAPORU_BURAK_YENI1309[[#This Row],[BIRIM_FIYATLAR]])</f>
        <v>32.519999999999996</v>
      </c>
      <c r="N2348">
        <v>5.42</v>
      </c>
      <c r="O2348" t="s">
        <v>628</v>
      </c>
      <c r="P2348">
        <v>5.42</v>
      </c>
      <c r="Q2348" t="s">
        <v>180</v>
      </c>
    </row>
    <row r="2349" spans="1:17" x14ac:dyDescent="0.25">
      <c r="A2349" t="s">
        <v>1148</v>
      </c>
      <c r="B2349" t="s">
        <v>1056</v>
      </c>
      <c r="C2349" t="s">
        <v>175</v>
      </c>
      <c r="D2349" t="s">
        <v>927</v>
      </c>
      <c r="E2349" t="s">
        <v>928</v>
      </c>
      <c r="F2349">
        <v>1</v>
      </c>
      <c r="G2349" t="s">
        <v>176</v>
      </c>
      <c r="H2349">
        <v>0</v>
      </c>
      <c r="I2349">
        <v>0</v>
      </c>
      <c r="J2349" s="10">
        <v>246</v>
      </c>
      <c r="K2349" s="10">
        <f>SUMIFS(F:F,D:D,DST_123_ÜRETİM_İHTİYAÇ_RAPORU_BURAK_YENI1309[[#This Row],[ALT_KOD]])-(SUMIFS(H:H,D:D,DST_123_ÜRETİM_İHTİYAÇ_RAPORU_BURAK_YENI1309[[#This Row],[ALT_KOD]])+AVERAGEIFS(I:I,D:D,DST_123_ÜRETİM_İHTİYAÇ_RAPORU_BURAK_YENI1309[[#This Row],[ALT_KOD]])+AVERAGEIFS(L:L,D:D,DST_123_ÜRETİM_İHTİYAÇ_RAPORU_BURAK_YENI1309[[#This Row],[ALT_KOD]]))</f>
        <v>6</v>
      </c>
      <c r="L2349">
        <v>0</v>
      </c>
      <c r="M2349">
        <f>IF((DST_123_ÜRETİM_İHTİYAÇ_RAPORU_BURAK_YENI1309[[#This Row],[SATINALMA]]*DST_123_ÜRETİM_İHTİYAÇ_RAPORU_BURAK_YENI1309[[#This Row],[BIRIM_FIYATLAR]])&lt;1,VALUE("0"),DST_123_ÜRETİM_İHTİYAÇ_RAPORU_BURAK_YENI1309[[#This Row],[SATINALMA]]*DST_123_ÜRETİM_İHTİYAÇ_RAPORU_BURAK_YENI1309[[#This Row],[BIRIM_FIYATLAR]])</f>
        <v>32.519999999999996</v>
      </c>
      <c r="N2349">
        <v>5.42</v>
      </c>
      <c r="O2349" t="s">
        <v>628</v>
      </c>
      <c r="P2349">
        <v>5.42</v>
      </c>
      <c r="Q2349" t="s">
        <v>180</v>
      </c>
    </row>
    <row r="2350" spans="1:17" x14ac:dyDescent="0.25">
      <c r="A2350" t="s">
        <v>1095</v>
      </c>
      <c r="B2350" t="s">
        <v>1096</v>
      </c>
      <c r="C2350" t="s">
        <v>175</v>
      </c>
      <c r="D2350" t="s">
        <v>382</v>
      </c>
      <c r="E2350" t="s">
        <v>383</v>
      </c>
      <c r="F2350">
        <v>1</v>
      </c>
      <c r="G2350" t="s">
        <v>176</v>
      </c>
      <c r="H2350">
        <v>0</v>
      </c>
      <c r="I2350">
        <v>32</v>
      </c>
      <c r="J2350" s="10">
        <v>22</v>
      </c>
      <c r="K2350" s="10">
        <f>SUMIFS(F:F,D:D,DST_123_ÜRETİM_İHTİYAÇ_RAPORU_BURAK_YENI1309[[#This Row],[ALT_KOD]])-(SUMIFS(H:H,D:D,DST_123_ÜRETİM_İHTİYAÇ_RAPORU_BURAK_YENI1309[[#This Row],[ALT_KOD]])+AVERAGEIFS(I:I,D:D,DST_123_ÜRETİM_İHTİYAÇ_RAPORU_BURAK_YENI1309[[#This Row],[ALT_KOD]])+AVERAGEIFS(L:L,D:D,DST_123_ÜRETİM_İHTİYAÇ_RAPORU_BURAK_YENI1309[[#This Row],[ALT_KOD]]))</f>
        <v>-13</v>
      </c>
      <c r="L2350">
        <v>0</v>
      </c>
      <c r="M2350">
        <f>IF((DST_123_ÜRETİM_İHTİYAÇ_RAPORU_BURAK_YENI1309[[#This Row],[SATINALMA]]*DST_123_ÜRETİM_İHTİYAÇ_RAPORU_BURAK_YENI1309[[#This Row],[BIRIM_FIYATLAR]])&lt;1,VALUE("0"),DST_123_ÜRETİM_İHTİYAÇ_RAPORU_BURAK_YENI1309[[#This Row],[SATINALMA]]*DST_123_ÜRETİM_İHTİYAÇ_RAPORU_BURAK_YENI1309[[#This Row],[BIRIM_FIYATLAR]])</f>
        <v>0</v>
      </c>
      <c r="N2350">
        <v>34</v>
      </c>
      <c r="O2350" t="s">
        <v>240</v>
      </c>
      <c r="P2350">
        <v>34</v>
      </c>
      <c r="Q2350" t="s">
        <v>178</v>
      </c>
    </row>
    <row r="2351" spans="1:17" x14ac:dyDescent="0.25">
      <c r="A2351" t="s">
        <v>1098</v>
      </c>
      <c r="B2351" t="s">
        <v>1096</v>
      </c>
      <c r="C2351" t="s">
        <v>175</v>
      </c>
      <c r="D2351" t="s">
        <v>927</v>
      </c>
      <c r="E2351" t="s">
        <v>928</v>
      </c>
      <c r="F2351">
        <v>1</v>
      </c>
      <c r="G2351" t="s">
        <v>176</v>
      </c>
      <c r="H2351">
        <v>0</v>
      </c>
      <c r="I2351">
        <v>0</v>
      </c>
      <c r="J2351" s="10">
        <v>246</v>
      </c>
      <c r="K2351" s="10">
        <f>SUMIFS(F:F,D:D,DST_123_ÜRETİM_İHTİYAÇ_RAPORU_BURAK_YENI1309[[#This Row],[ALT_KOD]])-(SUMIFS(H:H,D:D,DST_123_ÜRETİM_İHTİYAÇ_RAPORU_BURAK_YENI1309[[#This Row],[ALT_KOD]])+AVERAGEIFS(I:I,D:D,DST_123_ÜRETİM_İHTİYAÇ_RAPORU_BURAK_YENI1309[[#This Row],[ALT_KOD]])+AVERAGEIFS(L:L,D:D,DST_123_ÜRETİM_İHTİYAÇ_RAPORU_BURAK_YENI1309[[#This Row],[ALT_KOD]]))</f>
        <v>6</v>
      </c>
      <c r="L2351">
        <v>0</v>
      </c>
      <c r="M2351">
        <f>IF((DST_123_ÜRETİM_İHTİYAÇ_RAPORU_BURAK_YENI1309[[#This Row],[SATINALMA]]*DST_123_ÜRETİM_İHTİYAÇ_RAPORU_BURAK_YENI1309[[#This Row],[BIRIM_FIYATLAR]])&lt;1,VALUE("0"),DST_123_ÜRETİM_İHTİYAÇ_RAPORU_BURAK_YENI1309[[#This Row],[SATINALMA]]*DST_123_ÜRETİM_İHTİYAÇ_RAPORU_BURAK_YENI1309[[#This Row],[BIRIM_FIYATLAR]])</f>
        <v>32.519999999999996</v>
      </c>
      <c r="N2351">
        <v>5.42</v>
      </c>
      <c r="O2351" t="s">
        <v>628</v>
      </c>
      <c r="P2351">
        <v>5.42</v>
      </c>
      <c r="Q2351" t="s">
        <v>180</v>
      </c>
    </row>
    <row r="2352" spans="1:17" x14ac:dyDescent="0.25">
      <c r="A2352" t="s">
        <v>1099</v>
      </c>
      <c r="B2352" t="s">
        <v>1055</v>
      </c>
      <c r="C2352" t="s">
        <v>175</v>
      </c>
      <c r="D2352" t="s">
        <v>13</v>
      </c>
      <c r="E2352" t="s">
        <v>14</v>
      </c>
      <c r="F2352">
        <v>2</v>
      </c>
      <c r="G2352" t="s">
        <v>179</v>
      </c>
      <c r="H2352">
        <v>0</v>
      </c>
      <c r="I2352">
        <v>100</v>
      </c>
      <c r="J2352" s="10">
        <v>1.1368683772161603E-13</v>
      </c>
      <c r="K2352" s="10">
        <f>SUMIFS(F:F,D:D,DST_123_ÜRETİM_İHTİYAÇ_RAPORU_BURAK_YENI1309[[#This Row],[ALT_KOD]])-(SUMIFS(H:H,D:D,DST_123_ÜRETİM_İHTİYAÇ_RAPORU_BURAK_YENI1309[[#This Row],[ALT_KOD]])+AVERAGEIFS(I:I,D:D,DST_123_ÜRETİM_İHTİYAÇ_RAPORU_BURAK_YENI1309[[#This Row],[ALT_KOD]])+AVERAGEIFS(L:L,D:D,DST_123_ÜRETİM_İHTİYAÇ_RAPORU_BURAK_YENI1309[[#This Row],[ALT_KOD]]))</f>
        <v>-97</v>
      </c>
      <c r="L2352">
        <v>0</v>
      </c>
      <c r="M2352">
        <f>IF((DST_123_ÜRETİM_İHTİYAÇ_RAPORU_BURAK_YENI1309[[#This Row],[SATINALMA]]*DST_123_ÜRETİM_İHTİYAÇ_RAPORU_BURAK_YENI1309[[#This Row],[BIRIM_FIYATLAR]])&lt;1,VALUE("0"),DST_123_ÜRETİM_İHTİYAÇ_RAPORU_BURAK_YENI1309[[#This Row],[SATINALMA]]*DST_123_ÜRETİM_İHTİYAÇ_RAPORU_BURAK_YENI1309[[#This Row],[BIRIM_FIYATLAR]])</f>
        <v>0</v>
      </c>
      <c r="N2352">
        <v>24</v>
      </c>
      <c r="O2352" t="s">
        <v>635</v>
      </c>
      <c r="P2352">
        <v>48</v>
      </c>
      <c r="Q2352" t="s">
        <v>221</v>
      </c>
    </row>
    <row r="2353" spans="1:17" x14ac:dyDescent="0.25">
      <c r="A2353" t="s">
        <v>1095</v>
      </c>
      <c r="B2353" t="s">
        <v>1096</v>
      </c>
      <c r="C2353" t="s">
        <v>175</v>
      </c>
      <c r="D2353" t="s">
        <v>94</v>
      </c>
      <c r="E2353" t="s">
        <v>95</v>
      </c>
      <c r="F2353">
        <v>1</v>
      </c>
      <c r="G2353" t="s">
        <v>176</v>
      </c>
      <c r="H2353">
        <v>0</v>
      </c>
      <c r="I2353">
        <v>11</v>
      </c>
      <c r="J2353" s="10">
        <v>8</v>
      </c>
      <c r="K2353" s="10">
        <f>SUMIFS(F:F,D:D,DST_123_ÜRETİM_İHTİYAÇ_RAPORU_BURAK_YENI1309[[#This Row],[ALT_KOD]])-(SUMIFS(H:H,D:D,DST_123_ÜRETİM_İHTİYAÇ_RAPORU_BURAK_YENI1309[[#This Row],[ALT_KOD]])+AVERAGEIFS(I:I,D:D,DST_123_ÜRETİM_İHTİYAÇ_RAPORU_BURAK_YENI1309[[#This Row],[ALT_KOD]])+AVERAGEIFS(L:L,D:D,DST_123_ÜRETİM_İHTİYAÇ_RAPORU_BURAK_YENI1309[[#This Row],[ALT_KOD]]))</f>
        <v>0</v>
      </c>
      <c r="L2353">
        <v>0</v>
      </c>
      <c r="M2353">
        <f>IF((DST_123_ÜRETİM_İHTİYAÇ_RAPORU_BURAK_YENI1309[[#This Row],[SATINALMA]]*DST_123_ÜRETİM_İHTİYAÇ_RAPORU_BURAK_YENI1309[[#This Row],[BIRIM_FIYATLAR]])&lt;1,VALUE("0"),DST_123_ÜRETİM_İHTİYAÇ_RAPORU_BURAK_YENI1309[[#This Row],[SATINALMA]]*DST_123_ÜRETİM_İHTİYAÇ_RAPORU_BURAK_YENI1309[[#This Row],[BIRIM_FIYATLAR]])</f>
        <v>0</v>
      </c>
      <c r="N2353">
        <v>1145.83</v>
      </c>
      <c r="O2353" t="s">
        <v>247</v>
      </c>
      <c r="P2353">
        <v>1145.83</v>
      </c>
      <c r="Q2353" t="s">
        <v>177</v>
      </c>
    </row>
    <row r="2354" spans="1:17" x14ac:dyDescent="0.25">
      <c r="A2354" t="s">
        <v>1143</v>
      </c>
      <c r="B2354" t="s">
        <v>1056</v>
      </c>
      <c r="C2354" t="s">
        <v>175</v>
      </c>
      <c r="D2354" t="s">
        <v>361</v>
      </c>
      <c r="E2354" t="s">
        <v>362</v>
      </c>
      <c r="F2354">
        <v>6.65</v>
      </c>
      <c r="G2354" t="s">
        <v>179</v>
      </c>
      <c r="H2354">
        <v>0</v>
      </c>
      <c r="I2354">
        <v>100</v>
      </c>
      <c r="J2354" s="10">
        <v>139.99999999999989</v>
      </c>
      <c r="K2354" s="10">
        <f>SUMIFS(F:F,D:D,DST_123_ÜRETİM_İHTİYAÇ_RAPORU_BURAK_YENI1309[[#This Row],[ALT_KOD]])-(SUMIFS(H:H,D:D,DST_123_ÜRETİM_İHTİYAÇ_RAPORU_BURAK_YENI1309[[#This Row],[ALT_KOD]])+AVERAGEIFS(I:I,D:D,DST_123_ÜRETİM_İHTİYAÇ_RAPORU_BURAK_YENI1309[[#This Row],[ALT_KOD]])+AVERAGEIFS(L:L,D:D,DST_123_ÜRETİM_İHTİYAÇ_RAPORU_BURAK_YENI1309[[#This Row],[ALT_KOD]]))</f>
        <v>41.300000000000011</v>
      </c>
      <c r="L2354">
        <v>0</v>
      </c>
      <c r="M2354">
        <f>IF((DST_123_ÜRETİM_İHTİYAÇ_RAPORU_BURAK_YENI1309[[#This Row],[SATINALMA]]*DST_123_ÜRETİM_İHTİYAÇ_RAPORU_BURAK_YENI1309[[#This Row],[BIRIM_FIYATLAR]])&lt;1,VALUE("0"),DST_123_ÜRETİM_İHTİYAÇ_RAPORU_BURAK_YENI1309[[#This Row],[SATINALMA]]*DST_123_ÜRETİM_İHTİYAÇ_RAPORU_BURAK_YENI1309[[#This Row],[BIRIM_FIYATLAR]])</f>
        <v>929.25000000000023</v>
      </c>
      <c r="N2354">
        <v>22.5</v>
      </c>
      <c r="O2354" t="s">
        <v>314</v>
      </c>
      <c r="P2354">
        <v>149.625</v>
      </c>
      <c r="Q2354" t="s">
        <v>178</v>
      </c>
    </row>
    <row r="2355" spans="1:17" x14ac:dyDescent="0.25">
      <c r="A2355" t="s">
        <v>1095</v>
      </c>
      <c r="B2355" t="s">
        <v>1096</v>
      </c>
      <c r="C2355" t="s">
        <v>175</v>
      </c>
      <c r="D2355" t="s">
        <v>36</v>
      </c>
      <c r="E2355" t="s">
        <v>37</v>
      </c>
      <c r="F2355">
        <v>3</v>
      </c>
      <c r="G2355" t="s">
        <v>176</v>
      </c>
      <c r="H2355">
        <v>0</v>
      </c>
      <c r="I2355">
        <v>29</v>
      </c>
      <c r="J2355" s="10">
        <v>30</v>
      </c>
      <c r="K2355" s="10">
        <f>SUMIFS(F:F,D:D,DST_123_ÜRETİM_İHTİYAÇ_RAPORU_BURAK_YENI1309[[#This Row],[ALT_KOD]])-(SUMIFS(H:H,D:D,DST_123_ÜRETİM_İHTİYAÇ_RAPORU_BURAK_YENI1309[[#This Row],[ALT_KOD]])+AVERAGEIFS(I:I,D:D,DST_123_ÜRETİM_İHTİYAÇ_RAPORU_BURAK_YENI1309[[#This Row],[ALT_KOD]])+AVERAGEIFS(L:L,D:D,DST_123_ÜRETİM_İHTİYAÇ_RAPORU_BURAK_YENI1309[[#This Row],[ALT_KOD]]))</f>
        <v>10</v>
      </c>
      <c r="L2355">
        <v>0</v>
      </c>
      <c r="M2355">
        <f>IF((DST_123_ÜRETİM_İHTİYAÇ_RAPORU_BURAK_YENI1309[[#This Row],[SATINALMA]]*DST_123_ÜRETİM_İHTİYAÇ_RAPORU_BURAK_YENI1309[[#This Row],[BIRIM_FIYATLAR]])&lt;1,VALUE("0"),DST_123_ÜRETİM_İHTİYAÇ_RAPORU_BURAK_YENI1309[[#This Row],[SATINALMA]]*DST_123_ÜRETİM_İHTİYAÇ_RAPORU_BURAK_YENI1309[[#This Row],[BIRIM_FIYATLAR]])</f>
        <v>17500</v>
      </c>
      <c r="N2355">
        <v>1750</v>
      </c>
      <c r="O2355" t="s">
        <v>1220</v>
      </c>
      <c r="P2355">
        <v>5250</v>
      </c>
      <c r="Q2355" t="s">
        <v>221</v>
      </c>
    </row>
    <row r="2356" spans="1:17" x14ac:dyDescent="0.25">
      <c r="A2356" t="s">
        <v>1095</v>
      </c>
      <c r="B2356" t="s">
        <v>1096</v>
      </c>
      <c r="C2356" t="s">
        <v>175</v>
      </c>
      <c r="D2356" t="s">
        <v>238</v>
      </c>
      <c r="E2356" t="s">
        <v>239</v>
      </c>
      <c r="F2356">
        <v>3.6100000000000003</v>
      </c>
      <c r="G2356" t="s">
        <v>185</v>
      </c>
      <c r="H2356">
        <v>0</v>
      </c>
      <c r="I2356">
        <v>110</v>
      </c>
      <c r="J2356" s="10">
        <v>57.22</v>
      </c>
      <c r="K2356" s="10">
        <f>SUMIFS(F:F,D:D,DST_123_ÜRETİM_İHTİYAÇ_RAPORU_BURAK_YENI1309[[#This Row],[ALT_KOD]])-(SUMIFS(H:H,D:D,DST_123_ÜRETİM_İHTİYAÇ_RAPORU_BURAK_YENI1309[[#This Row],[ALT_KOD]])+AVERAGEIFS(I:I,D:D,DST_123_ÜRETİM_İHTİYAÇ_RAPORU_BURAK_YENI1309[[#This Row],[ALT_KOD]])+AVERAGEIFS(L:L,D:D,DST_123_ÜRETİM_İHTİYAÇ_RAPORU_BURAK_YENI1309[[#This Row],[ALT_KOD]]))</f>
        <v>-78.660000000000025</v>
      </c>
      <c r="L2356">
        <v>0</v>
      </c>
      <c r="M2356">
        <f>IF((DST_123_ÜRETİM_İHTİYAÇ_RAPORU_BURAK_YENI1309[[#This Row],[SATINALMA]]*DST_123_ÜRETİM_İHTİYAÇ_RAPORU_BURAK_YENI1309[[#This Row],[BIRIM_FIYATLAR]])&lt;1,VALUE("0"),DST_123_ÜRETİM_İHTİYAÇ_RAPORU_BURAK_YENI1309[[#This Row],[SATINALMA]]*DST_123_ÜRETİM_İHTİYAÇ_RAPORU_BURAK_YENI1309[[#This Row],[BIRIM_FIYATLAR]])</f>
        <v>0</v>
      </c>
      <c r="N2356">
        <v>40</v>
      </c>
      <c r="O2356" t="s">
        <v>240</v>
      </c>
      <c r="P2356">
        <v>144.4</v>
      </c>
      <c r="Q2356" t="s">
        <v>180</v>
      </c>
    </row>
    <row r="2357" spans="1:17" x14ac:dyDescent="0.25">
      <c r="A2357" t="s">
        <v>1059</v>
      </c>
      <c r="B2357" t="s">
        <v>1058</v>
      </c>
      <c r="C2357" t="s">
        <v>175</v>
      </c>
      <c r="D2357" t="s">
        <v>307</v>
      </c>
      <c r="E2357" t="s">
        <v>308</v>
      </c>
      <c r="F2357">
        <v>2</v>
      </c>
      <c r="G2357" t="s">
        <v>176</v>
      </c>
      <c r="H2357">
        <v>0</v>
      </c>
      <c r="I2357">
        <v>13</v>
      </c>
      <c r="J2357" s="10">
        <v>1</v>
      </c>
      <c r="K2357" s="10">
        <f>SUMIFS(F:F,D:D,DST_123_ÜRETİM_İHTİYAÇ_RAPORU_BURAK_YENI1309[[#This Row],[ALT_KOD]])-(SUMIFS(H:H,D:D,DST_123_ÜRETİM_İHTİYAÇ_RAPORU_BURAK_YENI1309[[#This Row],[ALT_KOD]])+AVERAGEIFS(I:I,D:D,DST_123_ÜRETİM_İHTİYAÇ_RAPORU_BURAK_YENI1309[[#This Row],[ALT_KOD]])+AVERAGEIFS(L:L,D:D,DST_123_ÜRETİM_İHTİYAÇ_RAPORU_BURAK_YENI1309[[#This Row],[ALT_KOD]]))</f>
        <v>24</v>
      </c>
      <c r="L2357">
        <v>0</v>
      </c>
      <c r="M2357">
        <f>IF((DST_123_ÜRETİM_İHTİYAÇ_RAPORU_BURAK_YENI1309[[#This Row],[SATINALMA]]*DST_123_ÜRETİM_İHTİYAÇ_RAPORU_BURAK_YENI1309[[#This Row],[BIRIM_FIYATLAR]])&lt;1,VALUE("0"),DST_123_ÜRETİM_İHTİYAÇ_RAPORU_BURAK_YENI1309[[#This Row],[SATINALMA]]*DST_123_ÜRETİM_İHTİYAÇ_RAPORU_BURAK_YENI1309[[#This Row],[BIRIM_FIYATLAR]])</f>
        <v>1570.08</v>
      </c>
      <c r="N2357">
        <v>65.42</v>
      </c>
      <c r="O2357" t="s">
        <v>628</v>
      </c>
      <c r="P2357">
        <v>130.84</v>
      </c>
      <c r="Q2357" t="s">
        <v>178</v>
      </c>
    </row>
    <row r="2358" spans="1:17" x14ac:dyDescent="0.25">
      <c r="A2358" t="s">
        <v>1143</v>
      </c>
      <c r="B2358" t="s">
        <v>1056</v>
      </c>
      <c r="C2358" t="s">
        <v>175</v>
      </c>
      <c r="D2358" t="s">
        <v>307</v>
      </c>
      <c r="E2358" t="s">
        <v>308</v>
      </c>
      <c r="F2358">
        <v>3</v>
      </c>
      <c r="G2358" t="s">
        <v>176</v>
      </c>
      <c r="H2358">
        <v>0</v>
      </c>
      <c r="I2358">
        <v>13</v>
      </c>
      <c r="J2358" s="10">
        <v>1</v>
      </c>
      <c r="K2358" s="10">
        <f>SUMIFS(F:F,D:D,DST_123_ÜRETİM_İHTİYAÇ_RAPORU_BURAK_YENI1309[[#This Row],[ALT_KOD]])-(SUMIFS(H:H,D:D,DST_123_ÜRETİM_İHTİYAÇ_RAPORU_BURAK_YENI1309[[#This Row],[ALT_KOD]])+AVERAGEIFS(I:I,D:D,DST_123_ÜRETİM_İHTİYAÇ_RAPORU_BURAK_YENI1309[[#This Row],[ALT_KOD]])+AVERAGEIFS(L:L,D:D,DST_123_ÜRETİM_İHTİYAÇ_RAPORU_BURAK_YENI1309[[#This Row],[ALT_KOD]]))</f>
        <v>24</v>
      </c>
      <c r="L2358">
        <v>0</v>
      </c>
      <c r="M2358">
        <f>IF((DST_123_ÜRETİM_İHTİYAÇ_RAPORU_BURAK_YENI1309[[#This Row],[SATINALMA]]*DST_123_ÜRETİM_İHTİYAÇ_RAPORU_BURAK_YENI1309[[#This Row],[BIRIM_FIYATLAR]])&lt;1,VALUE("0"),DST_123_ÜRETİM_İHTİYAÇ_RAPORU_BURAK_YENI1309[[#This Row],[SATINALMA]]*DST_123_ÜRETİM_İHTİYAÇ_RAPORU_BURAK_YENI1309[[#This Row],[BIRIM_FIYATLAR]])</f>
        <v>1570.08</v>
      </c>
      <c r="N2358">
        <v>65.42</v>
      </c>
      <c r="O2358" t="s">
        <v>628</v>
      </c>
      <c r="P2358">
        <v>196.26</v>
      </c>
      <c r="Q2358" t="s">
        <v>178</v>
      </c>
    </row>
    <row r="2359" spans="1:17" x14ac:dyDescent="0.25">
      <c r="A2359" t="s">
        <v>1143</v>
      </c>
      <c r="B2359" t="s">
        <v>1056</v>
      </c>
      <c r="C2359" t="s">
        <v>175</v>
      </c>
      <c r="D2359" t="s">
        <v>36</v>
      </c>
      <c r="E2359" t="s">
        <v>37</v>
      </c>
      <c r="F2359">
        <v>3</v>
      </c>
      <c r="G2359" t="s">
        <v>176</v>
      </c>
      <c r="H2359">
        <v>0</v>
      </c>
      <c r="I2359">
        <v>29</v>
      </c>
      <c r="J2359" s="10">
        <v>30</v>
      </c>
      <c r="K2359" s="10">
        <f>SUMIFS(F:F,D:D,DST_123_ÜRETİM_İHTİYAÇ_RAPORU_BURAK_YENI1309[[#This Row],[ALT_KOD]])-(SUMIFS(H:H,D:D,DST_123_ÜRETİM_İHTİYAÇ_RAPORU_BURAK_YENI1309[[#This Row],[ALT_KOD]])+AVERAGEIFS(I:I,D:D,DST_123_ÜRETİM_İHTİYAÇ_RAPORU_BURAK_YENI1309[[#This Row],[ALT_KOD]])+AVERAGEIFS(L:L,D:D,DST_123_ÜRETİM_İHTİYAÇ_RAPORU_BURAK_YENI1309[[#This Row],[ALT_KOD]]))</f>
        <v>10</v>
      </c>
      <c r="L2359">
        <v>0</v>
      </c>
      <c r="M2359">
        <f>IF((DST_123_ÜRETİM_İHTİYAÇ_RAPORU_BURAK_YENI1309[[#This Row],[SATINALMA]]*DST_123_ÜRETİM_İHTİYAÇ_RAPORU_BURAK_YENI1309[[#This Row],[BIRIM_FIYATLAR]])&lt;1,VALUE("0"),DST_123_ÜRETİM_İHTİYAÇ_RAPORU_BURAK_YENI1309[[#This Row],[SATINALMA]]*DST_123_ÜRETİM_İHTİYAÇ_RAPORU_BURAK_YENI1309[[#This Row],[BIRIM_FIYATLAR]])</f>
        <v>17500</v>
      </c>
      <c r="N2359">
        <v>1750</v>
      </c>
      <c r="O2359" t="s">
        <v>1220</v>
      </c>
      <c r="P2359">
        <v>5250</v>
      </c>
      <c r="Q2359" t="s">
        <v>221</v>
      </c>
    </row>
    <row r="2360" spans="1:17" x14ac:dyDescent="0.25">
      <c r="A2360" t="s">
        <v>1059</v>
      </c>
      <c r="B2360" t="s">
        <v>1058</v>
      </c>
      <c r="C2360" t="s">
        <v>175</v>
      </c>
      <c r="D2360" t="s">
        <v>36</v>
      </c>
      <c r="E2360" t="s">
        <v>37</v>
      </c>
      <c r="F2360">
        <v>3</v>
      </c>
      <c r="G2360" t="s">
        <v>176</v>
      </c>
      <c r="H2360">
        <v>3</v>
      </c>
      <c r="I2360">
        <v>29</v>
      </c>
      <c r="J2360" s="10">
        <v>30</v>
      </c>
      <c r="K2360" s="10">
        <f>SUMIFS(F:F,D:D,DST_123_ÜRETİM_İHTİYAÇ_RAPORU_BURAK_YENI1309[[#This Row],[ALT_KOD]])-(SUMIFS(H:H,D:D,DST_123_ÜRETİM_İHTİYAÇ_RAPORU_BURAK_YENI1309[[#This Row],[ALT_KOD]])+AVERAGEIFS(I:I,D:D,DST_123_ÜRETİM_İHTİYAÇ_RAPORU_BURAK_YENI1309[[#This Row],[ALT_KOD]])+AVERAGEIFS(L:L,D:D,DST_123_ÜRETİM_İHTİYAÇ_RAPORU_BURAK_YENI1309[[#This Row],[ALT_KOD]]))</f>
        <v>10</v>
      </c>
      <c r="L2360">
        <v>0</v>
      </c>
      <c r="M2360">
        <f>IF((DST_123_ÜRETİM_İHTİYAÇ_RAPORU_BURAK_YENI1309[[#This Row],[SATINALMA]]*DST_123_ÜRETİM_İHTİYAÇ_RAPORU_BURAK_YENI1309[[#This Row],[BIRIM_FIYATLAR]])&lt;1,VALUE("0"),DST_123_ÜRETİM_İHTİYAÇ_RAPORU_BURAK_YENI1309[[#This Row],[SATINALMA]]*DST_123_ÜRETİM_İHTİYAÇ_RAPORU_BURAK_YENI1309[[#This Row],[BIRIM_FIYATLAR]])</f>
        <v>17500</v>
      </c>
      <c r="N2360">
        <v>1750</v>
      </c>
      <c r="O2360" t="s">
        <v>1220</v>
      </c>
      <c r="P2360">
        <v>5250</v>
      </c>
      <c r="Q2360" t="s">
        <v>221</v>
      </c>
    </row>
    <row r="2361" spans="1:17" x14ac:dyDescent="0.25">
      <c r="A2361" t="s">
        <v>1097</v>
      </c>
      <c r="B2361" t="s">
        <v>1055</v>
      </c>
      <c r="C2361" t="s">
        <v>175</v>
      </c>
      <c r="D2361" t="s">
        <v>36</v>
      </c>
      <c r="E2361" t="s">
        <v>37</v>
      </c>
      <c r="F2361">
        <v>3</v>
      </c>
      <c r="G2361" t="s">
        <v>176</v>
      </c>
      <c r="H2361">
        <v>0</v>
      </c>
      <c r="I2361">
        <v>29</v>
      </c>
      <c r="J2361" s="10">
        <v>30</v>
      </c>
      <c r="K2361" s="10">
        <f>SUMIFS(F:F,D:D,DST_123_ÜRETİM_İHTİYAÇ_RAPORU_BURAK_YENI1309[[#This Row],[ALT_KOD]])-(SUMIFS(H:H,D:D,DST_123_ÜRETİM_İHTİYAÇ_RAPORU_BURAK_YENI1309[[#This Row],[ALT_KOD]])+AVERAGEIFS(I:I,D:D,DST_123_ÜRETİM_İHTİYAÇ_RAPORU_BURAK_YENI1309[[#This Row],[ALT_KOD]])+AVERAGEIFS(L:L,D:D,DST_123_ÜRETİM_İHTİYAÇ_RAPORU_BURAK_YENI1309[[#This Row],[ALT_KOD]]))</f>
        <v>10</v>
      </c>
      <c r="L2361">
        <v>0</v>
      </c>
      <c r="M2361">
        <f>IF((DST_123_ÜRETİM_İHTİYAÇ_RAPORU_BURAK_YENI1309[[#This Row],[SATINALMA]]*DST_123_ÜRETİM_İHTİYAÇ_RAPORU_BURAK_YENI1309[[#This Row],[BIRIM_FIYATLAR]])&lt;1,VALUE("0"),DST_123_ÜRETİM_İHTİYAÇ_RAPORU_BURAK_YENI1309[[#This Row],[SATINALMA]]*DST_123_ÜRETİM_İHTİYAÇ_RAPORU_BURAK_YENI1309[[#This Row],[BIRIM_FIYATLAR]])</f>
        <v>17500</v>
      </c>
      <c r="N2361">
        <v>1750</v>
      </c>
      <c r="O2361" t="s">
        <v>1220</v>
      </c>
      <c r="P2361">
        <v>5250</v>
      </c>
      <c r="Q2361" t="s">
        <v>221</v>
      </c>
    </row>
    <row r="2362" spans="1:17" x14ac:dyDescent="0.25">
      <c r="A2362" t="s">
        <v>1143</v>
      </c>
      <c r="B2362" t="s">
        <v>1056</v>
      </c>
      <c r="C2362" t="s">
        <v>175</v>
      </c>
      <c r="D2362" t="s">
        <v>238</v>
      </c>
      <c r="E2362" t="s">
        <v>239</v>
      </c>
      <c r="F2362">
        <v>3.71</v>
      </c>
      <c r="G2362" t="s">
        <v>185</v>
      </c>
      <c r="H2362">
        <v>0</v>
      </c>
      <c r="I2362">
        <v>110</v>
      </c>
      <c r="J2362" s="10">
        <v>57.22</v>
      </c>
      <c r="K2362" s="10">
        <f>SUMIFS(F:F,D:D,DST_123_ÜRETİM_İHTİYAÇ_RAPORU_BURAK_YENI1309[[#This Row],[ALT_KOD]])-(SUMIFS(H:H,D:D,DST_123_ÜRETİM_İHTİYAÇ_RAPORU_BURAK_YENI1309[[#This Row],[ALT_KOD]])+AVERAGEIFS(I:I,D:D,DST_123_ÜRETİM_İHTİYAÇ_RAPORU_BURAK_YENI1309[[#This Row],[ALT_KOD]])+AVERAGEIFS(L:L,D:D,DST_123_ÜRETİM_İHTİYAÇ_RAPORU_BURAK_YENI1309[[#This Row],[ALT_KOD]]))</f>
        <v>-78.660000000000025</v>
      </c>
      <c r="L2362">
        <v>0</v>
      </c>
      <c r="M2362">
        <f>IF((DST_123_ÜRETİM_İHTİYAÇ_RAPORU_BURAK_YENI1309[[#This Row],[SATINALMA]]*DST_123_ÜRETİM_İHTİYAÇ_RAPORU_BURAK_YENI1309[[#This Row],[BIRIM_FIYATLAR]])&lt;1,VALUE("0"),DST_123_ÜRETİM_İHTİYAÇ_RAPORU_BURAK_YENI1309[[#This Row],[SATINALMA]]*DST_123_ÜRETİM_İHTİYAÇ_RAPORU_BURAK_YENI1309[[#This Row],[BIRIM_FIYATLAR]])</f>
        <v>0</v>
      </c>
      <c r="N2362">
        <v>40</v>
      </c>
      <c r="O2362" t="s">
        <v>240</v>
      </c>
      <c r="P2362">
        <v>148.4</v>
      </c>
      <c r="Q2362" t="s">
        <v>180</v>
      </c>
    </row>
    <row r="2363" spans="1:17" x14ac:dyDescent="0.25">
      <c r="A2363" t="s">
        <v>1101</v>
      </c>
      <c r="B2363" t="s">
        <v>1102</v>
      </c>
      <c r="C2363" t="s">
        <v>175</v>
      </c>
      <c r="D2363" t="s">
        <v>36</v>
      </c>
      <c r="E2363" t="s">
        <v>37</v>
      </c>
      <c r="F2363">
        <v>3</v>
      </c>
      <c r="G2363" t="s">
        <v>176</v>
      </c>
      <c r="H2363">
        <v>3</v>
      </c>
      <c r="I2363">
        <v>29</v>
      </c>
      <c r="J2363" s="10">
        <v>30</v>
      </c>
      <c r="K2363" s="10">
        <f>SUMIFS(F:F,D:D,DST_123_ÜRETİM_İHTİYAÇ_RAPORU_BURAK_YENI1309[[#This Row],[ALT_KOD]])-(SUMIFS(H:H,D:D,DST_123_ÜRETİM_İHTİYAÇ_RAPORU_BURAK_YENI1309[[#This Row],[ALT_KOD]])+AVERAGEIFS(I:I,D:D,DST_123_ÜRETİM_İHTİYAÇ_RAPORU_BURAK_YENI1309[[#This Row],[ALT_KOD]])+AVERAGEIFS(L:L,D:D,DST_123_ÜRETİM_İHTİYAÇ_RAPORU_BURAK_YENI1309[[#This Row],[ALT_KOD]]))</f>
        <v>10</v>
      </c>
      <c r="L2363">
        <v>0</v>
      </c>
      <c r="M2363">
        <f>IF((DST_123_ÜRETİM_İHTİYAÇ_RAPORU_BURAK_YENI1309[[#This Row],[SATINALMA]]*DST_123_ÜRETİM_İHTİYAÇ_RAPORU_BURAK_YENI1309[[#This Row],[BIRIM_FIYATLAR]])&lt;1,VALUE("0"),DST_123_ÜRETİM_İHTİYAÇ_RAPORU_BURAK_YENI1309[[#This Row],[SATINALMA]]*DST_123_ÜRETİM_İHTİYAÇ_RAPORU_BURAK_YENI1309[[#This Row],[BIRIM_FIYATLAR]])</f>
        <v>17500</v>
      </c>
      <c r="N2363">
        <v>1750</v>
      </c>
      <c r="O2363" t="s">
        <v>1220</v>
      </c>
      <c r="P2363">
        <v>5250</v>
      </c>
      <c r="Q2363" t="s">
        <v>221</v>
      </c>
    </row>
    <row r="2364" spans="1:17" x14ac:dyDescent="0.25">
      <c r="A2364" t="s">
        <v>1057</v>
      </c>
      <c r="B2364" t="s">
        <v>1058</v>
      </c>
      <c r="C2364" t="s">
        <v>175</v>
      </c>
      <c r="D2364" t="s">
        <v>934</v>
      </c>
      <c r="E2364" t="s">
        <v>935</v>
      </c>
      <c r="F2364">
        <v>2</v>
      </c>
      <c r="G2364" t="s">
        <v>176</v>
      </c>
      <c r="H2364">
        <v>2</v>
      </c>
      <c r="I2364">
        <v>33</v>
      </c>
      <c r="J2364" s="10">
        <v>16</v>
      </c>
      <c r="K2364" s="10">
        <f>SUMIFS(F:F,D:D,DST_123_ÜRETİM_İHTİYAÇ_RAPORU_BURAK_YENI1309[[#This Row],[ALT_KOD]])-(SUMIFS(H:H,D:D,DST_123_ÜRETİM_İHTİYAÇ_RAPORU_BURAK_YENI1309[[#This Row],[ALT_KOD]])+AVERAGEIFS(I:I,D:D,DST_123_ÜRETİM_İHTİYAÇ_RAPORU_BURAK_YENI1309[[#This Row],[ALT_KOD]])+AVERAGEIFS(L:L,D:D,DST_123_ÜRETİM_İHTİYAÇ_RAPORU_BURAK_YENI1309[[#This Row],[ALT_KOD]]))</f>
        <v>-31</v>
      </c>
      <c r="L2364">
        <v>0</v>
      </c>
      <c r="M2364">
        <f>IF((DST_123_ÜRETİM_İHTİYAÇ_RAPORU_BURAK_YENI1309[[#This Row],[SATINALMA]]*DST_123_ÜRETİM_İHTİYAÇ_RAPORU_BURAK_YENI1309[[#This Row],[BIRIM_FIYATLAR]])&lt;1,VALUE("0"),DST_123_ÜRETİM_İHTİYAÇ_RAPORU_BURAK_YENI1309[[#This Row],[SATINALMA]]*DST_123_ÜRETİM_İHTİYAÇ_RAPORU_BURAK_YENI1309[[#This Row],[BIRIM_FIYATLAR]])</f>
        <v>0</v>
      </c>
      <c r="N2364">
        <v>930</v>
      </c>
      <c r="O2364" t="s">
        <v>220</v>
      </c>
      <c r="P2364">
        <v>1860</v>
      </c>
      <c r="Q2364" t="s">
        <v>221</v>
      </c>
    </row>
    <row r="2365" spans="1:17" x14ac:dyDescent="0.25">
      <c r="A2365" t="s">
        <v>1101</v>
      </c>
      <c r="B2365" t="s">
        <v>1102</v>
      </c>
      <c r="C2365" t="s">
        <v>175</v>
      </c>
      <c r="D2365" t="s">
        <v>796</v>
      </c>
      <c r="E2365" t="s">
        <v>797</v>
      </c>
      <c r="F2365">
        <v>30</v>
      </c>
      <c r="G2365" t="s">
        <v>176</v>
      </c>
      <c r="H2365">
        <v>0</v>
      </c>
      <c r="I2365">
        <v>100</v>
      </c>
      <c r="J2365" s="10">
        <v>161</v>
      </c>
      <c r="K2365" s="10">
        <f>SUMIFS(F:F,D:D,DST_123_ÜRETİM_İHTİYAÇ_RAPORU_BURAK_YENI1309[[#This Row],[ALT_KOD]])-(SUMIFS(H:H,D:D,DST_123_ÜRETİM_İHTİYAÇ_RAPORU_BURAK_YENI1309[[#This Row],[ALT_KOD]])+AVERAGEIFS(I:I,D:D,DST_123_ÜRETİM_İHTİYAÇ_RAPORU_BURAK_YENI1309[[#This Row],[ALT_KOD]])+AVERAGEIFS(L:L,D:D,DST_123_ÜRETİM_İHTİYAÇ_RAPORU_BURAK_YENI1309[[#This Row],[ALT_KOD]]))</f>
        <v>-40</v>
      </c>
      <c r="L2365">
        <v>0</v>
      </c>
      <c r="M2365">
        <f>IF((DST_123_ÜRETİM_İHTİYAÇ_RAPORU_BURAK_YENI1309[[#This Row],[SATINALMA]]*DST_123_ÜRETİM_İHTİYAÇ_RAPORU_BURAK_YENI1309[[#This Row],[BIRIM_FIYATLAR]])&lt;1,VALUE("0"),DST_123_ÜRETİM_İHTİYAÇ_RAPORU_BURAK_YENI1309[[#This Row],[SATINALMA]]*DST_123_ÜRETİM_İHTİYAÇ_RAPORU_BURAK_YENI1309[[#This Row],[BIRIM_FIYATLAR]])</f>
        <v>0</v>
      </c>
      <c r="N2365">
        <v>12</v>
      </c>
      <c r="O2365" t="s">
        <v>226</v>
      </c>
      <c r="P2365">
        <v>360</v>
      </c>
      <c r="Q2365" t="s">
        <v>180</v>
      </c>
    </row>
    <row r="2366" spans="1:17" x14ac:dyDescent="0.25">
      <c r="A2366" t="s">
        <v>1142</v>
      </c>
      <c r="B2366" t="s">
        <v>1056</v>
      </c>
      <c r="C2366" t="s">
        <v>175</v>
      </c>
      <c r="D2366" t="s">
        <v>36</v>
      </c>
      <c r="E2366" t="s">
        <v>37</v>
      </c>
      <c r="F2366">
        <v>3</v>
      </c>
      <c r="G2366" t="s">
        <v>176</v>
      </c>
      <c r="H2366">
        <v>0</v>
      </c>
      <c r="I2366">
        <v>29</v>
      </c>
      <c r="J2366" s="10">
        <v>30</v>
      </c>
      <c r="K2366" s="10">
        <f>SUMIFS(F:F,D:D,DST_123_ÜRETİM_İHTİYAÇ_RAPORU_BURAK_YENI1309[[#This Row],[ALT_KOD]])-(SUMIFS(H:H,D:D,DST_123_ÜRETİM_İHTİYAÇ_RAPORU_BURAK_YENI1309[[#This Row],[ALT_KOD]])+AVERAGEIFS(I:I,D:D,DST_123_ÜRETİM_İHTİYAÇ_RAPORU_BURAK_YENI1309[[#This Row],[ALT_KOD]])+AVERAGEIFS(L:L,D:D,DST_123_ÜRETİM_İHTİYAÇ_RAPORU_BURAK_YENI1309[[#This Row],[ALT_KOD]]))</f>
        <v>10</v>
      </c>
      <c r="L2366">
        <v>0</v>
      </c>
      <c r="M2366">
        <f>IF((DST_123_ÜRETİM_İHTİYAÇ_RAPORU_BURAK_YENI1309[[#This Row],[SATINALMA]]*DST_123_ÜRETİM_İHTİYAÇ_RAPORU_BURAK_YENI1309[[#This Row],[BIRIM_FIYATLAR]])&lt;1,VALUE("0"),DST_123_ÜRETİM_İHTİYAÇ_RAPORU_BURAK_YENI1309[[#This Row],[SATINALMA]]*DST_123_ÜRETİM_İHTİYAÇ_RAPORU_BURAK_YENI1309[[#This Row],[BIRIM_FIYATLAR]])</f>
        <v>17500</v>
      </c>
      <c r="N2366">
        <v>1750</v>
      </c>
      <c r="O2366" t="s">
        <v>1220</v>
      </c>
      <c r="P2366">
        <v>5250</v>
      </c>
      <c r="Q2366" t="s">
        <v>221</v>
      </c>
    </row>
    <row r="2367" spans="1:17" x14ac:dyDescent="0.25">
      <c r="A2367" t="s">
        <v>1179</v>
      </c>
      <c r="B2367" t="s">
        <v>1180</v>
      </c>
      <c r="C2367" t="s">
        <v>175</v>
      </c>
      <c r="D2367" t="s">
        <v>934</v>
      </c>
      <c r="E2367" t="s">
        <v>935</v>
      </c>
      <c r="F2367">
        <v>2</v>
      </c>
      <c r="G2367" t="s">
        <v>176</v>
      </c>
      <c r="H2367">
        <v>0</v>
      </c>
      <c r="I2367">
        <v>33</v>
      </c>
      <c r="J2367" s="10">
        <v>16</v>
      </c>
      <c r="K2367" s="10">
        <f>SUMIFS(F:F,D:D,DST_123_ÜRETİM_İHTİYAÇ_RAPORU_BURAK_YENI1309[[#This Row],[ALT_KOD]])-(SUMIFS(H:H,D:D,DST_123_ÜRETİM_İHTİYAÇ_RAPORU_BURAK_YENI1309[[#This Row],[ALT_KOD]])+AVERAGEIFS(I:I,D:D,DST_123_ÜRETİM_İHTİYAÇ_RAPORU_BURAK_YENI1309[[#This Row],[ALT_KOD]])+AVERAGEIFS(L:L,D:D,DST_123_ÜRETİM_İHTİYAÇ_RAPORU_BURAK_YENI1309[[#This Row],[ALT_KOD]]))</f>
        <v>-31</v>
      </c>
      <c r="L2367">
        <v>0</v>
      </c>
      <c r="M2367">
        <f>IF((DST_123_ÜRETİM_İHTİYAÇ_RAPORU_BURAK_YENI1309[[#This Row],[SATINALMA]]*DST_123_ÜRETİM_İHTİYAÇ_RAPORU_BURAK_YENI1309[[#This Row],[BIRIM_FIYATLAR]])&lt;1,VALUE("0"),DST_123_ÜRETİM_İHTİYAÇ_RAPORU_BURAK_YENI1309[[#This Row],[SATINALMA]]*DST_123_ÜRETİM_İHTİYAÇ_RAPORU_BURAK_YENI1309[[#This Row],[BIRIM_FIYATLAR]])</f>
        <v>0</v>
      </c>
      <c r="N2367">
        <v>930</v>
      </c>
      <c r="O2367" t="s">
        <v>220</v>
      </c>
      <c r="P2367">
        <v>1860</v>
      </c>
      <c r="Q2367" t="s">
        <v>221</v>
      </c>
    </row>
    <row r="2368" spans="1:17" x14ac:dyDescent="0.25">
      <c r="A2368" t="s">
        <v>1060</v>
      </c>
      <c r="B2368" t="s">
        <v>1061</v>
      </c>
      <c r="C2368" t="s">
        <v>175</v>
      </c>
      <c r="D2368" t="s">
        <v>238</v>
      </c>
      <c r="E2368" t="s">
        <v>239</v>
      </c>
      <c r="F2368">
        <v>3</v>
      </c>
      <c r="G2368" t="s">
        <v>185</v>
      </c>
      <c r="H2368">
        <v>3</v>
      </c>
      <c r="I2368">
        <v>110</v>
      </c>
      <c r="J2368" s="10">
        <v>57.22</v>
      </c>
      <c r="K2368" s="10">
        <f>SUMIFS(F:F,D:D,DST_123_ÜRETİM_İHTİYAÇ_RAPORU_BURAK_YENI1309[[#This Row],[ALT_KOD]])-(SUMIFS(H:H,D:D,DST_123_ÜRETİM_İHTİYAÇ_RAPORU_BURAK_YENI1309[[#This Row],[ALT_KOD]])+AVERAGEIFS(I:I,D:D,DST_123_ÜRETİM_İHTİYAÇ_RAPORU_BURAK_YENI1309[[#This Row],[ALT_KOD]])+AVERAGEIFS(L:L,D:D,DST_123_ÜRETİM_İHTİYAÇ_RAPORU_BURAK_YENI1309[[#This Row],[ALT_KOD]]))</f>
        <v>-78.660000000000025</v>
      </c>
      <c r="L2368">
        <v>0</v>
      </c>
      <c r="M2368">
        <f>IF((DST_123_ÜRETİM_İHTİYAÇ_RAPORU_BURAK_YENI1309[[#This Row],[SATINALMA]]*DST_123_ÜRETİM_İHTİYAÇ_RAPORU_BURAK_YENI1309[[#This Row],[BIRIM_FIYATLAR]])&lt;1,VALUE("0"),DST_123_ÜRETİM_İHTİYAÇ_RAPORU_BURAK_YENI1309[[#This Row],[SATINALMA]]*DST_123_ÜRETİM_İHTİYAÇ_RAPORU_BURAK_YENI1309[[#This Row],[BIRIM_FIYATLAR]])</f>
        <v>0</v>
      </c>
      <c r="N2368">
        <v>40</v>
      </c>
      <c r="O2368" t="s">
        <v>240</v>
      </c>
      <c r="P2368">
        <v>120</v>
      </c>
      <c r="Q2368" t="s">
        <v>180</v>
      </c>
    </row>
    <row r="2369" spans="1:17" x14ac:dyDescent="0.25">
      <c r="A2369" t="s">
        <v>1142</v>
      </c>
      <c r="B2369" t="s">
        <v>1056</v>
      </c>
      <c r="C2369" t="s">
        <v>175</v>
      </c>
      <c r="D2369" t="s">
        <v>883</v>
      </c>
      <c r="E2369" t="s">
        <v>884</v>
      </c>
      <c r="F2369">
        <v>9</v>
      </c>
      <c r="G2369" t="s">
        <v>179</v>
      </c>
      <c r="H2369">
        <v>0</v>
      </c>
      <c r="I2369">
        <v>480</v>
      </c>
      <c r="J2369" s="10">
        <v>0</v>
      </c>
      <c r="K2369" s="10">
        <f>SUMIFS(F:F,D:D,DST_123_ÜRETİM_İHTİYAÇ_RAPORU_BURAK_YENI1309[[#This Row],[ALT_KOD]])-(SUMIFS(H:H,D:D,DST_123_ÜRETİM_İHTİYAÇ_RAPORU_BURAK_YENI1309[[#This Row],[ALT_KOD]])+AVERAGEIFS(I:I,D:D,DST_123_ÜRETİM_İHTİYAÇ_RAPORU_BURAK_YENI1309[[#This Row],[ALT_KOD]])+AVERAGEIFS(L:L,D:D,DST_123_ÜRETİM_İHTİYAÇ_RAPORU_BURAK_YENI1309[[#This Row],[ALT_KOD]]))</f>
        <v>-408</v>
      </c>
      <c r="L2369">
        <v>0</v>
      </c>
      <c r="M2369">
        <f>IF((DST_123_ÜRETİM_İHTİYAÇ_RAPORU_BURAK_YENI1309[[#This Row],[SATINALMA]]*DST_123_ÜRETİM_İHTİYAÇ_RAPORU_BURAK_YENI1309[[#This Row],[BIRIM_FIYATLAR]])&lt;1,VALUE("0"),DST_123_ÜRETİM_İHTİYAÇ_RAPORU_BURAK_YENI1309[[#This Row],[SATINALMA]]*DST_123_ÜRETİM_İHTİYAÇ_RAPORU_BURAK_YENI1309[[#This Row],[BIRIM_FIYATLAR]])</f>
        <v>0</v>
      </c>
      <c r="N2369">
        <v>4</v>
      </c>
      <c r="P2369">
        <v>36</v>
      </c>
      <c r="Q2369" t="s">
        <v>181</v>
      </c>
    </row>
    <row r="2370" spans="1:17" x14ac:dyDescent="0.25">
      <c r="A2370" t="s">
        <v>1142</v>
      </c>
      <c r="B2370" t="s">
        <v>1056</v>
      </c>
      <c r="C2370" t="s">
        <v>175</v>
      </c>
      <c r="D2370" t="s">
        <v>210</v>
      </c>
      <c r="E2370" t="s">
        <v>211</v>
      </c>
      <c r="F2370">
        <v>1</v>
      </c>
      <c r="G2370" t="s">
        <v>176</v>
      </c>
      <c r="H2370">
        <v>0</v>
      </c>
      <c r="I2370">
        <v>21</v>
      </c>
      <c r="J2370" s="10">
        <v>10</v>
      </c>
      <c r="K2370" s="10">
        <f>SUMIFS(F:F,D:D,DST_123_ÜRETİM_İHTİYAÇ_RAPORU_BURAK_YENI1309[[#This Row],[ALT_KOD]])-(SUMIFS(H:H,D:D,DST_123_ÜRETİM_İHTİYAÇ_RAPORU_BURAK_YENI1309[[#This Row],[ALT_KOD]])+AVERAGEIFS(I:I,D:D,DST_123_ÜRETİM_İHTİYAÇ_RAPORU_BURAK_YENI1309[[#This Row],[ALT_KOD]])+AVERAGEIFS(L:L,D:D,DST_123_ÜRETİM_İHTİYAÇ_RAPORU_BURAK_YENI1309[[#This Row],[ALT_KOD]]))</f>
        <v>-50</v>
      </c>
      <c r="L2370">
        <v>40</v>
      </c>
      <c r="M2370">
        <f>IF((DST_123_ÜRETİM_İHTİYAÇ_RAPORU_BURAK_YENI1309[[#This Row],[SATINALMA]]*DST_123_ÜRETİM_İHTİYAÇ_RAPORU_BURAK_YENI1309[[#This Row],[BIRIM_FIYATLAR]])&lt;1,VALUE("0"),DST_123_ÜRETİM_İHTİYAÇ_RAPORU_BURAK_YENI1309[[#This Row],[SATINALMA]]*DST_123_ÜRETİM_İHTİYAÇ_RAPORU_BURAK_YENI1309[[#This Row],[BIRIM_FIYATLAR]])</f>
        <v>0</v>
      </c>
      <c r="N2370">
        <v>312</v>
      </c>
      <c r="O2370" t="s">
        <v>217</v>
      </c>
      <c r="P2370">
        <v>312</v>
      </c>
      <c r="Q2370" t="s">
        <v>177</v>
      </c>
    </row>
    <row r="2371" spans="1:17" x14ac:dyDescent="0.25">
      <c r="A2371" t="s">
        <v>1142</v>
      </c>
      <c r="B2371" t="s">
        <v>1056</v>
      </c>
      <c r="C2371" t="s">
        <v>175</v>
      </c>
      <c r="D2371" t="s">
        <v>238</v>
      </c>
      <c r="E2371" t="s">
        <v>239</v>
      </c>
      <c r="F2371">
        <v>2.8</v>
      </c>
      <c r="G2371" t="s">
        <v>185</v>
      </c>
      <c r="H2371">
        <v>0</v>
      </c>
      <c r="I2371">
        <v>110</v>
      </c>
      <c r="J2371" s="10">
        <v>57.22</v>
      </c>
      <c r="K2371" s="10">
        <f>SUMIFS(F:F,D:D,DST_123_ÜRETİM_İHTİYAÇ_RAPORU_BURAK_YENI1309[[#This Row],[ALT_KOD]])-(SUMIFS(H:H,D:D,DST_123_ÜRETİM_İHTİYAÇ_RAPORU_BURAK_YENI1309[[#This Row],[ALT_KOD]])+AVERAGEIFS(I:I,D:D,DST_123_ÜRETİM_İHTİYAÇ_RAPORU_BURAK_YENI1309[[#This Row],[ALT_KOD]])+AVERAGEIFS(L:L,D:D,DST_123_ÜRETİM_İHTİYAÇ_RAPORU_BURAK_YENI1309[[#This Row],[ALT_KOD]]))</f>
        <v>-78.660000000000025</v>
      </c>
      <c r="L2371">
        <v>0</v>
      </c>
      <c r="M2371">
        <f>IF((DST_123_ÜRETİM_İHTİYAÇ_RAPORU_BURAK_YENI1309[[#This Row],[SATINALMA]]*DST_123_ÜRETİM_İHTİYAÇ_RAPORU_BURAK_YENI1309[[#This Row],[BIRIM_FIYATLAR]])&lt;1,VALUE("0"),DST_123_ÜRETİM_İHTİYAÇ_RAPORU_BURAK_YENI1309[[#This Row],[SATINALMA]]*DST_123_ÜRETİM_İHTİYAÇ_RAPORU_BURAK_YENI1309[[#This Row],[BIRIM_FIYATLAR]])</f>
        <v>0</v>
      </c>
      <c r="N2371">
        <v>40</v>
      </c>
      <c r="O2371" t="s">
        <v>240</v>
      </c>
      <c r="P2371">
        <v>112</v>
      </c>
      <c r="Q2371" t="s">
        <v>180</v>
      </c>
    </row>
    <row r="2372" spans="1:17" x14ac:dyDescent="0.25">
      <c r="A2372" t="s">
        <v>1179</v>
      </c>
      <c r="B2372" t="s">
        <v>1180</v>
      </c>
      <c r="C2372" t="s">
        <v>175</v>
      </c>
      <c r="D2372" t="s">
        <v>1181</v>
      </c>
      <c r="E2372" t="s">
        <v>1182</v>
      </c>
      <c r="F2372">
        <v>1</v>
      </c>
      <c r="G2372" t="s">
        <v>176</v>
      </c>
      <c r="H2372">
        <v>1</v>
      </c>
      <c r="I2372">
        <v>14</v>
      </c>
      <c r="J2372" s="10">
        <v>1</v>
      </c>
      <c r="K2372" s="10">
        <f>SUMIFS(F:F,D:D,DST_123_ÜRETİM_İHTİYAÇ_RAPORU_BURAK_YENI1309[[#This Row],[ALT_KOD]])-(SUMIFS(H:H,D:D,DST_123_ÜRETİM_İHTİYAÇ_RAPORU_BURAK_YENI1309[[#This Row],[ALT_KOD]])+AVERAGEIFS(I:I,D:D,DST_123_ÜRETİM_İHTİYAÇ_RAPORU_BURAK_YENI1309[[#This Row],[ALT_KOD]])+AVERAGEIFS(L:L,D:D,DST_123_ÜRETİM_İHTİYAÇ_RAPORU_BURAK_YENI1309[[#This Row],[ALT_KOD]]))</f>
        <v>-14</v>
      </c>
      <c r="L2372">
        <v>0</v>
      </c>
      <c r="M2372">
        <f>IF((DST_123_ÜRETİM_İHTİYAÇ_RAPORU_BURAK_YENI1309[[#This Row],[SATINALMA]]*DST_123_ÜRETİM_İHTİYAÇ_RAPORU_BURAK_YENI1309[[#This Row],[BIRIM_FIYATLAR]])&lt;1,VALUE("0"),DST_123_ÜRETİM_İHTİYAÇ_RAPORU_BURAK_YENI1309[[#This Row],[SATINALMA]]*DST_123_ÜRETİM_İHTİYAÇ_RAPORU_BURAK_YENI1309[[#This Row],[BIRIM_FIYATLAR]])</f>
        <v>0</v>
      </c>
      <c r="N2372">
        <v>762.72</v>
      </c>
      <c r="O2372" t="s">
        <v>1183</v>
      </c>
      <c r="P2372">
        <v>762.72</v>
      </c>
      <c r="Q2372" t="s">
        <v>178</v>
      </c>
    </row>
    <row r="2373" spans="1:17" x14ac:dyDescent="0.25">
      <c r="A2373" t="s">
        <v>1143</v>
      </c>
      <c r="B2373" t="s">
        <v>1056</v>
      </c>
      <c r="C2373" t="s">
        <v>175</v>
      </c>
      <c r="D2373" t="s">
        <v>990</v>
      </c>
      <c r="E2373" t="s">
        <v>991</v>
      </c>
      <c r="F2373">
        <v>1.2</v>
      </c>
      <c r="G2373" t="s">
        <v>179</v>
      </c>
      <c r="H2373">
        <v>0</v>
      </c>
      <c r="I2373">
        <v>0</v>
      </c>
      <c r="J2373" s="10">
        <v>50</v>
      </c>
      <c r="K2373" s="10">
        <f>SUMIFS(F:F,D:D,DST_123_ÜRETİM_İHTİYAÇ_RAPORU_BURAK_YENI1309[[#This Row],[ALT_KOD]])-(SUMIFS(H:H,D:D,DST_123_ÜRETİM_İHTİYAÇ_RAPORU_BURAK_YENI1309[[#This Row],[ALT_KOD]])+AVERAGEIFS(I:I,D:D,DST_123_ÜRETİM_İHTİYAÇ_RAPORU_BURAK_YENI1309[[#This Row],[ALT_KOD]])+AVERAGEIFS(L:L,D:D,DST_123_ÜRETİM_İHTİYAÇ_RAPORU_BURAK_YENI1309[[#This Row],[ALT_KOD]]))</f>
        <v>1.2</v>
      </c>
      <c r="L2373">
        <v>0</v>
      </c>
      <c r="M2373">
        <f>IF((DST_123_ÜRETİM_İHTİYAÇ_RAPORU_BURAK_YENI1309[[#This Row],[SATINALMA]]*DST_123_ÜRETİM_İHTİYAÇ_RAPORU_BURAK_YENI1309[[#This Row],[BIRIM_FIYATLAR]])&lt;1,VALUE("0"),DST_123_ÜRETİM_İHTİYAÇ_RAPORU_BURAK_YENI1309[[#This Row],[SATINALMA]]*DST_123_ÜRETİM_İHTİYAÇ_RAPORU_BURAK_YENI1309[[#This Row],[BIRIM_FIYATLAR]])</f>
        <v>112.848</v>
      </c>
      <c r="N2373">
        <v>94.04</v>
      </c>
      <c r="O2373" t="s">
        <v>696</v>
      </c>
      <c r="P2373">
        <v>112.848</v>
      </c>
      <c r="Q2373" t="s">
        <v>178</v>
      </c>
    </row>
    <row r="2374" spans="1:17" x14ac:dyDescent="0.25">
      <c r="A2374" t="s">
        <v>1095</v>
      </c>
      <c r="B2374" t="s">
        <v>1096</v>
      </c>
      <c r="C2374" t="s">
        <v>175</v>
      </c>
      <c r="D2374" t="s">
        <v>1119</v>
      </c>
      <c r="E2374" t="s">
        <v>1120</v>
      </c>
      <c r="F2374">
        <v>9</v>
      </c>
      <c r="G2374" t="s">
        <v>179</v>
      </c>
      <c r="H2374">
        <v>0</v>
      </c>
      <c r="I2374">
        <v>480</v>
      </c>
      <c r="J2374" s="10">
        <v>0</v>
      </c>
      <c r="K2374" s="10">
        <f>SUMIFS(F:F,D:D,DST_123_ÜRETİM_İHTİYAÇ_RAPORU_BURAK_YENI1309[[#This Row],[ALT_KOD]])-(SUMIFS(H:H,D:D,DST_123_ÜRETİM_İHTİYAÇ_RAPORU_BURAK_YENI1309[[#This Row],[ALT_KOD]])+AVERAGEIFS(I:I,D:D,DST_123_ÜRETİM_İHTİYAÇ_RAPORU_BURAK_YENI1309[[#This Row],[ALT_KOD]])+AVERAGEIFS(L:L,D:D,DST_123_ÜRETİM_İHTİYAÇ_RAPORU_BURAK_YENI1309[[#This Row],[ALT_KOD]]))</f>
        <v>-471</v>
      </c>
      <c r="L2374">
        <v>0</v>
      </c>
      <c r="M2374">
        <f>IF((DST_123_ÜRETİM_İHTİYAÇ_RAPORU_BURAK_YENI1309[[#This Row],[SATINALMA]]*DST_123_ÜRETİM_İHTİYAÇ_RAPORU_BURAK_YENI1309[[#This Row],[BIRIM_FIYATLAR]])&lt;1,VALUE("0"),DST_123_ÜRETİM_İHTİYAÇ_RAPORU_BURAK_YENI1309[[#This Row],[SATINALMA]]*DST_123_ÜRETİM_İHTİYAÇ_RAPORU_BURAK_YENI1309[[#This Row],[BIRIM_FIYATLAR]])</f>
        <v>0</v>
      </c>
      <c r="N2374">
        <v>5</v>
      </c>
      <c r="P2374">
        <v>45</v>
      </c>
      <c r="Q2374" t="s">
        <v>181</v>
      </c>
    </row>
    <row r="2375" spans="1:17" x14ac:dyDescent="0.25">
      <c r="A2375" t="s">
        <v>1143</v>
      </c>
      <c r="B2375" t="s">
        <v>1056</v>
      </c>
      <c r="C2375" t="s">
        <v>175</v>
      </c>
      <c r="D2375" t="s">
        <v>538</v>
      </c>
      <c r="E2375" t="s">
        <v>539</v>
      </c>
      <c r="F2375">
        <v>8</v>
      </c>
      <c r="G2375" t="s">
        <v>176</v>
      </c>
      <c r="H2375">
        <v>0</v>
      </c>
      <c r="I2375">
        <v>250</v>
      </c>
      <c r="J2375" s="10">
        <v>3</v>
      </c>
      <c r="K2375" s="10">
        <f>SUMIFS(F:F,D:D,DST_123_ÜRETİM_İHTİYAÇ_RAPORU_BURAK_YENI1309[[#This Row],[ALT_KOD]])-(SUMIFS(H:H,D:D,DST_123_ÜRETİM_İHTİYAÇ_RAPORU_BURAK_YENI1309[[#This Row],[ALT_KOD]])+AVERAGEIFS(I:I,D:D,DST_123_ÜRETİM_İHTİYAÇ_RAPORU_BURAK_YENI1309[[#This Row],[ALT_KOD]])+AVERAGEIFS(L:L,D:D,DST_123_ÜRETİM_İHTİYAÇ_RAPORU_BURAK_YENI1309[[#This Row],[ALT_KOD]]))</f>
        <v>-166</v>
      </c>
      <c r="L2375">
        <v>0</v>
      </c>
      <c r="M2375">
        <f>IF((DST_123_ÜRETİM_İHTİYAÇ_RAPORU_BURAK_YENI1309[[#This Row],[SATINALMA]]*DST_123_ÜRETİM_İHTİYAÇ_RAPORU_BURAK_YENI1309[[#This Row],[BIRIM_FIYATLAR]])&lt;1,VALUE("0"),DST_123_ÜRETİM_İHTİYAÇ_RAPORU_BURAK_YENI1309[[#This Row],[SATINALMA]]*DST_123_ÜRETİM_İHTİYAÇ_RAPORU_BURAK_YENI1309[[#This Row],[BIRIM_FIYATLAR]])</f>
        <v>0</v>
      </c>
      <c r="N2375">
        <v>2</v>
      </c>
      <c r="P2375">
        <v>16</v>
      </c>
      <c r="Q2375" t="s">
        <v>180</v>
      </c>
    </row>
    <row r="2376" spans="1:17" x14ac:dyDescent="0.25">
      <c r="A2376" t="s">
        <v>1095</v>
      </c>
      <c r="B2376" t="s">
        <v>1096</v>
      </c>
      <c r="C2376" t="s">
        <v>175</v>
      </c>
      <c r="D2376" t="s">
        <v>852</v>
      </c>
      <c r="E2376" t="s">
        <v>853</v>
      </c>
      <c r="F2376">
        <v>20</v>
      </c>
      <c r="G2376" t="s">
        <v>176</v>
      </c>
      <c r="H2376">
        <v>0</v>
      </c>
      <c r="I2376">
        <v>250</v>
      </c>
      <c r="J2376" s="10">
        <v>835</v>
      </c>
      <c r="K2376" s="10">
        <f>SUMIFS(F:F,D:D,DST_123_ÜRETİM_İHTİYAÇ_RAPORU_BURAK_YENI1309[[#This Row],[ALT_KOD]])-(SUMIFS(H:H,D:D,DST_123_ÜRETİM_İHTİYAÇ_RAPORU_BURAK_YENI1309[[#This Row],[ALT_KOD]])+AVERAGEIFS(I:I,D:D,DST_123_ÜRETİM_İHTİYAÇ_RAPORU_BURAK_YENI1309[[#This Row],[ALT_KOD]])+AVERAGEIFS(L:L,D:D,DST_123_ÜRETİM_İHTİYAÇ_RAPORU_BURAK_YENI1309[[#This Row],[ALT_KOD]]))</f>
        <v>-134</v>
      </c>
      <c r="L2376">
        <v>0</v>
      </c>
      <c r="M2376">
        <f>IF((DST_123_ÜRETİM_İHTİYAÇ_RAPORU_BURAK_YENI1309[[#This Row],[SATINALMA]]*DST_123_ÜRETİM_İHTİYAÇ_RAPORU_BURAK_YENI1309[[#This Row],[BIRIM_FIYATLAR]])&lt;1,VALUE("0"),DST_123_ÜRETİM_İHTİYAÇ_RAPORU_BURAK_YENI1309[[#This Row],[SATINALMA]]*DST_123_ÜRETİM_İHTİYAÇ_RAPORU_BURAK_YENI1309[[#This Row],[BIRIM_FIYATLAR]])</f>
        <v>0</v>
      </c>
      <c r="N2376">
        <v>1.58</v>
      </c>
      <c r="O2376" t="s">
        <v>882</v>
      </c>
      <c r="P2376">
        <v>31.6</v>
      </c>
      <c r="Q2376" t="s">
        <v>180</v>
      </c>
    </row>
    <row r="2377" spans="1:17" x14ac:dyDescent="0.25">
      <c r="A2377" t="s">
        <v>1060</v>
      </c>
      <c r="B2377" t="s">
        <v>1061</v>
      </c>
      <c r="C2377" t="s">
        <v>175</v>
      </c>
      <c r="D2377" t="s">
        <v>538</v>
      </c>
      <c r="E2377" t="s">
        <v>539</v>
      </c>
      <c r="F2377">
        <v>2</v>
      </c>
      <c r="G2377" t="s">
        <v>176</v>
      </c>
      <c r="H2377">
        <v>2</v>
      </c>
      <c r="I2377">
        <v>250</v>
      </c>
      <c r="J2377" s="10">
        <v>3</v>
      </c>
      <c r="K2377" s="10">
        <f>SUMIFS(F:F,D:D,DST_123_ÜRETİM_İHTİYAÇ_RAPORU_BURAK_YENI1309[[#This Row],[ALT_KOD]])-(SUMIFS(H:H,D:D,DST_123_ÜRETİM_İHTİYAÇ_RAPORU_BURAK_YENI1309[[#This Row],[ALT_KOD]])+AVERAGEIFS(I:I,D:D,DST_123_ÜRETİM_İHTİYAÇ_RAPORU_BURAK_YENI1309[[#This Row],[ALT_KOD]])+AVERAGEIFS(L:L,D:D,DST_123_ÜRETİM_İHTİYAÇ_RAPORU_BURAK_YENI1309[[#This Row],[ALT_KOD]]))</f>
        <v>-166</v>
      </c>
      <c r="L2377">
        <v>0</v>
      </c>
      <c r="M2377">
        <f>IF((DST_123_ÜRETİM_İHTİYAÇ_RAPORU_BURAK_YENI1309[[#This Row],[SATINALMA]]*DST_123_ÜRETİM_İHTİYAÇ_RAPORU_BURAK_YENI1309[[#This Row],[BIRIM_FIYATLAR]])&lt;1,VALUE("0"),DST_123_ÜRETİM_İHTİYAÇ_RAPORU_BURAK_YENI1309[[#This Row],[SATINALMA]]*DST_123_ÜRETİM_İHTİYAÇ_RAPORU_BURAK_YENI1309[[#This Row],[BIRIM_FIYATLAR]])</f>
        <v>0</v>
      </c>
      <c r="N2377">
        <v>2</v>
      </c>
      <c r="P2377">
        <v>4</v>
      </c>
      <c r="Q2377" t="s">
        <v>180</v>
      </c>
    </row>
    <row r="2378" spans="1:17" x14ac:dyDescent="0.25">
      <c r="A2378" t="s">
        <v>1147</v>
      </c>
      <c r="B2378" t="s">
        <v>1145</v>
      </c>
      <c r="C2378" t="s">
        <v>175</v>
      </c>
      <c r="D2378" t="s">
        <v>538</v>
      </c>
      <c r="E2378" t="s">
        <v>539</v>
      </c>
      <c r="F2378">
        <v>2</v>
      </c>
      <c r="G2378" t="s">
        <v>176</v>
      </c>
      <c r="H2378">
        <v>0</v>
      </c>
      <c r="I2378">
        <v>250</v>
      </c>
      <c r="J2378" s="10">
        <v>3</v>
      </c>
      <c r="K2378" s="10">
        <f>SUMIFS(F:F,D:D,DST_123_ÜRETİM_İHTİYAÇ_RAPORU_BURAK_YENI1309[[#This Row],[ALT_KOD]])-(SUMIFS(H:H,D:D,DST_123_ÜRETİM_İHTİYAÇ_RAPORU_BURAK_YENI1309[[#This Row],[ALT_KOD]])+AVERAGEIFS(I:I,D:D,DST_123_ÜRETİM_İHTİYAÇ_RAPORU_BURAK_YENI1309[[#This Row],[ALT_KOD]])+AVERAGEIFS(L:L,D:D,DST_123_ÜRETİM_İHTİYAÇ_RAPORU_BURAK_YENI1309[[#This Row],[ALT_KOD]]))</f>
        <v>-166</v>
      </c>
      <c r="L2378">
        <v>0</v>
      </c>
      <c r="M2378">
        <f>IF((DST_123_ÜRETİM_İHTİYAÇ_RAPORU_BURAK_YENI1309[[#This Row],[SATINALMA]]*DST_123_ÜRETİM_İHTİYAÇ_RAPORU_BURAK_YENI1309[[#This Row],[BIRIM_FIYATLAR]])&lt;1,VALUE("0"),DST_123_ÜRETİM_İHTİYAÇ_RAPORU_BURAK_YENI1309[[#This Row],[SATINALMA]]*DST_123_ÜRETİM_İHTİYAÇ_RAPORU_BURAK_YENI1309[[#This Row],[BIRIM_FIYATLAR]])</f>
        <v>0</v>
      </c>
      <c r="N2378">
        <v>2</v>
      </c>
      <c r="P2378">
        <v>4</v>
      </c>
      <c r="Q2378" t="s">
        <v>180</v>
      </c>
    </row>
    <row r="2379" spans="1:17" x14ac:dyDescent="0.25">
      <c r="A2379" t="s">
        <v>1057</v>
      </c>
      <c r="B2379" t="s">
        <v>1058</v>
      </c>
      <c r="C2379" t="s">
        <v>175</v>
      </c>
      <c r="D2379" t="s">
        <v>538</v>
      </c>
      <c r="E2379" t="s">
        <v>539</v>
      </c>
      <c r="F2379">
        <v>2</v>
      </c>
      <c r="G2379" t="s">
        <v>176</v>
      </c>
      <c r="H2379">
        <v>0</v>
      </c>
      <c r="I2379">
        <v>250</v>
      </c>
      <c r="J2379" s="10">
        <v>3</v>
      </c>
      <c r="K2379" s="10">
        <f>SUMIFS(F:F,D:D,DST_123_ÜRETİM_İHTİYAÇ_RAPORU_BURAK_YENI1309[[#This Row],[ALT_KOD]])-(SUMIFS(H:H,D:D,DST_123_ÜRETİM_İHTİYAÇ_RAPORU_BURAK_YENI1309[[#This Row],[ALT_KOD]])+AVERAGEIFS(I:I,D:D,DST_123_ÜRETİM_İHTİYAÇ_RAPORU_BURAK_YENI1309[[#This Row],[ALT_KOD]])+AVERAGEIFS(L:L,D:D,DST_123_ÜRETİM_İHTİYAÇ_RAPORU_BURAK_YENI1309[[#This Row],[ALT_KOD]]))</f>
        <v>-166</v>
      </c>
      <c r="L2379">
        <v>0</v>
      </c>
      <c r="M2379">
        <f>IF((DST_123_ÜRETİM_İHTİYAÇ_RAPORU_BURAK_YENI1309[[#This Row],[SATINALMA]]*DST_123_ÜRETİM_İHTİYAÇ_RAPORU_BURAK_YENI1309[[#This Row],[BIRIM_FIYATLAR]])&lt;1,VALUE("0"),DST_123_ÜRETİM_İHTİYAÇ_RAPORU_BURAK_YENI1309[[#This Row],[SATINALMA]]*DST_123_ÜRETİM_İHTİYAÇ_RAPORU_BURAK_YENI1309[[#This Row],[BIRIM_FIYATLAR]])</f>
        <v>0</v>
      </c>
      <c r="N2379">
        <v>2</v>
      </c>
      <c r="P2379">
        <v>4</v>
      </c>
      <c r="Q2379" t="s">
        <v>180</v>
      </c>
    </row>
    <row r="2380" spans="1:17" x14ac:dyDescent="0.25">
      <c r="A2380" t="s">
        <v>1100</v>
      </c>
      <c r="B2380" t="s">
        <v>1058</v>
      </c>
      <c r="C2380" t="s">
        <v>175</v>
      </c>
      <c r="D2380" t="s">
        <v>538</v>
      </c>
      <c r="E2380" t="s">
        <v>539</v>
      </c>
      <c r="F2380">
        <v>2</v>
      </c>
      <c r="G2380" t="s">
        <v>176</v>
      </c>
      <c r="H2380">
        <v>0</v>
      </c>
      <c r="I2380">
        <v>250</v>
      </c>
      <c r="J2380" s="10">
        <v>3</v>
      </c>
      <c r="K2380" s="10">
        <f>SUMIFS(F:F,D:D,DST_123_ÜRETİM_İHTİYAÇ_RAPORU_BURAK_YENI1309[[#This Row],[ALT_KOD]])-(SUMIFS(H:H,D:D,DST_123_ÜRETİM_İHTİYAÇ_RAPORU_BURAK_YENI1309[[#This Row],[ALT_KOD]])+AVERAGEIFS(I:I,D:D,DST_123_ÜRETİM_İHTİYAÇ_RAPORU_BURAK_YENI1309[[#This Row],[ALT_KOD]])+AVERAGEIFS(L:L,D:D,DST_123_ÜRETİM_İHTİYAÇ_RAPORU_BURAK_YENI1309[[#This Row],[ALT_KOD]]))</f>
        <v>-166</v>
      </c>
      <c r="L2380">
        <v>0</v>
      </c>
      <c r="M2380">
        <f>IF((DST_123_ÜRETİM_İHTİYAÇ_RAPORU_BURAK_YENI1309[[#This Row],[SATINALMA]]*DST_123_ÜRETİM_İHTİYAÇ_RAPORU_BURAK_YENI1309[[#This Row],[BIRIM_FIYATLAR]])&lt;1,VALUE("0"),DST_123_ÜRETİM_İHTİYAÇ_RAPORU_BURAK_YENI1309[[#This Row],[SATINALMA]]*DST_123_ÜRETİM_İHTİYAÇ_RAPORU_BURAK_YENI1309[[#This Row],[BIRIM_FIYATLAR]])</f>
        <v>0</v>
      </c>
      <c r="N2380">
        <v>2</v>
      </c>
      <c r="P2380">
        <v>4</v>
      </c>
      <c r="Q2380" t="s">
        <v>180</v>
      </c>
    </row>
    <row r="2381" spans="1:17" x14ac:dyDescent="0.25">
      <c r="A2381" t="s">
        <v>1147</v>
      </c>
      <c r="B2381" t="s">
        <v>1145</v>
      </c>
      <c r="C2381" t="s">
        <v>175</v>
      </c>
      <c r="D2381" t="s">
        <v>852</v>
      </c>
      <c r="E2381" t="s">
        <v>853</v>
      </c>
      <c r="F2381">
        <v>4</v>
      </c>
      <c r="G2381" t="s">
        <v>176</v>
      </c>
      <c r="H2381">
        <v>0</v>
      </c>
      <c r="I2381">
        <v>250</v>
      </c>
      <c r="J2381" s="10">
        <v>835</v>
      </c>
      <c r="K2381" s="10">
        <f>SUMIFS(F:F,D:D,DST_123_ÜRETİM_İHTİYAÇ_RAPORU_BURAK_YENI1309[[#This Row],[ALT_KOD]])-(SUMIFS(H:H,D:D,DST_123_ÜRETİM_İHTİYAÇ_RAPORU_BURAK_YENI1309[[#This Row],[ALT_KOD]])+AVERAGEIFS(I:I,D:D,DST_123_ÜRETİM_İHTİYAÇ_RAPORU_BURAK_YENI1309[[#This Row],[ALT_KOD]])+AVERAGEIFS(L:L,D:D,DST_123_ÜRETİM_İHTİYAÇ_RAPORU_BURAK_YENI1309[[#This Row],[ALT_KOD]]))</f>
        <v>-134</v>
      </c>
      <c r="L2381">
        <v>0</v>
      </c>
      <c r="M2381">
        <f>IF((DST_123_ÜRETİM_İHTİYAÇ_RAPORU_BURAK_YENI1309[[#This Row],[SATINALMA]]*DST_123_ÜRETİM_İHTİYAÇ_RAPORU_BURAK_YENI1309[[#This Row],[BIRIM_FIYATLAR]])&lt;1,VALUE("0"),DST_123_ÜRETİM_İHTİYAÇ_RAPORU_BURAK_YENI1309[[#This Row],[SATINALMA]]*DST_123_ÜRETİM_İHTİYAÇ_RAPORU_BURAK_YENI1309[[#This Row],[BIRIM_FIYATLAR]])</f>
        <v>0</v>
      </c>
      <c r="N2381">
        <v>1.58</v>
      </c>
      <c r="O2381" t="s">
        <v>882</v>
      </c>
      <c r="P2381">
        <v>6.32</v>
      </c>
      <c r="Q2381" t="s">
        <v>180</v>
      </c>
    </row>
    <row r="2382" spans="1:17" x14ac:dyDescent="0.25">
      <c r="A2382" t="s">
        <v>1148</v>
      </c>
      <c r="B2382" t="s">
        <v>1056</v>
      </c>
      <c r="C2382" t="s">
        <v>175</v>
      </c>
      <c r="D2382" t="s">
        <v>852</v>
      </c>
      <c r="E2382" t="s">
        <v>853</v>
      </c>
      <c r="F2382">
        <v>16</v>
      </c>
      <c r="G2382" t="s">
        <v>176</v>
      </c>
      <c r="H2382">
        <v>0</v>
      </c>
      <c r="I2382">
        <v>250</v>
      </c>
      <c r="J2382" s="10">
        <v>835</v>
      </c>
      <c r="K2382" s="10">
        <f>SUMIFS(F:F,D:D,DST_123_ÜRETİM_İHTİYAÇ_RAPORU_BURAK_YENI1309[[#This Row],[ALT_KOD]])-(SUMIFS(H:H,D:D,DST_123_ÜRETİM_İHTİYAÇ_RAPORU_BURAK_YENI1309[[#This Row],[ALT_KOD]])+AVERAGEIFS(I:I,D:D,DST_123_ÜRETİM_İHTİYAÇ_RAPORU_BURAK_YENI1309[[#This Row],[ALT_KOD]])+AVERAGEIFS(L:L,D:D,DST_123_ÜRETİM_İHTİYAÇ_RAPORU_BURAK_YENI1309[[#This Row],[ALT_KOD]]))</f>
        <v>-134</v>
      </c>
      <c r="L2382">
        <v>0</v>
      </c>
      <c r="M2382">
        <f>IF((DST_123_ÜRETİM_İHTİYAÇ_RAPORU_BURAK_YENI1309[[#This Row],[SATINALMA]]*DST_123_ÜRETİM_İHTİYAÇ_RAPORU_BURAK_YENI1309[[#This Row],[BIRIM_FIYATLAR]])&lt;1,VALUE("0"),DST_123_ÜRETİM_İHTİYAÇ_RAPORU_BURAK_YENI1309[[#This Row],[SATINALMA]]*DST_123_ÜRETİM_İHTİYAÇ_RAPORU_BURAK_YENI1309[[#This Row],[BIRIM_FIYATLAR]])</f>
        <v>0</v>
      </c>
      <c r="N2382">
        <v>1.58</v>
      </c>
      <c r="O2382" t="s">
        <v>882</v>
      </c>
      <c r="P2382">
        <v>25.28</v>
      </c>
      <c r="Q2382" t="s">
        <v>180</v>
      </c>
    </row>
    <row r="2383" spans="1:17" x14ac:dyDescent="0.25">
      <c r="A2383" t="s">
        <v>1101</v>
      </c>
      <c r="B2383" t="s">
        <v>1102</v>
      </c>
      <c r="C2383" t="s">
        <v>175</v>
      </c>
      <c r="D2383" t="s">
        <v>852</v>
      </c>
      <c r="E2383" t="s">
        <v>853</v>
      </c>
      <c r="F2383">
        <v>12</v>
      </c>
      <c r="G2383" t="s">
        <v>176</v>
      </c>
      <c r="H2383">
        <v>0</v>
      </c>
      <c r="I2383">
        <v>250</v>
      </c>
      <c r="J2383" s="10">
        <v>835</v>
      </c>
      <c r="K2383" s="10">
        <f>SUMIFS(F:F,D:D,DST_123_ÜRETİM_İHTİYAÇ_RAPORU_BURAK_YENI1309[[#This Row],[ALT_KOD]])-(SUMIFS(H:H,D:D,DST_123_ÜRETİM_İHTİYAÇ_RAPORU_BURAK_YENI1309[[#This Row],[ALT_KOD]])+AVERAGEIFS(I:I,D:D,DST_123_ÜRETİM_İHTİYAÇ_RAPORU_BURAK_YENI1309[[#This Row],[ALT_KOD]])+AVERAGEIFS(L:L,D:D,DST_123_ÜRETİM_İHTİYAÇ_RAPORU_BURAK_YENI1309[[#This Row],[ALT_KOD]]))</f>
        <v>-134</v>
      </c>
      <c r="L2383">
        <v>0</v>
      </c>
      <c r="M2383">
        <f>IF((DST_123_ÜRETİM_İHTİYAÇ_RAPORU_BURAK_YENI1309[[#This Row],[SATINALMA]]*DST_123_ÜRETİM_İHTİYAÇ_RAPORU_BURAK_YENI1309[[#This Row],[BIRIM_FIYATLAR]])&lt;1,VALUE("0"),DST_123_ÜRETİM_İHTİYAÇ_RAPORU_BURAK_YENI1309[[#This Row],[SATINALMA]]*DST_123_ÜRETİM_İHTİYAÇ_RAPORU_BURAK_YENI1309[[#This Row],[BIRIM_FIYATLAR]])</f>
        <v>0</v>
      </c>
      <c r="N2383">
        <v>1.58</v>
      </c>
      <c r="O2383" t="s">
        <v>882</v>
      </c>
      <c r="P2383">
        <v>18.96</v>
      </c>
      <c r="Q2383" t="s">
        <v>180</v>
      </c>
    </row>
    <row r="2384" spans="1:17" x14ac:dyDescent="0.25">
      <c r="A2384" t="s">
        <v>1099</v>
      </c>
      <c r="B2384" t="s">
        <v>1055</v>
      </c>
      <c r="C2384" t="s">
        <v>175</v>
      </c>
      <c r="D2384" t="s">
        <v>340</v>
      </c>
      <c r="E2384" t="s">
        <v>341</v>
      </c>
      <c r="F2384">
        <v>2.19</v>
      </c>
      <c r="G2384" t="s">
        <v>176</v>
      </c>
      <c r="H2384">
        <v>0</v>
      </c>
      <c r="I2384">
        <v>75</v>
      </c>
      <c r="J2384" s="10">
        <v>42.70000000000006</v>
      </c>
      <c r="K2384" s="10">
        <f>SUMIFS(F:F,D:D,DST_123_ÜRETİM_İHTİYAÇ_RAPORU_BURAK_YENI1309[[#This Row],[ALT_KOD]])-(SUMIFS(H:H,D:D,DST_123_ÜRETİM_İHTİYAÇ_RAPORU_BURAK_YENI1309[[#This Row],[ALT_KOD]])+AVERAGEIFS(I:I,D:D,DST_123_ÜRETİM_İHTİYAÇ_RAPORU_BURAK_YENI1309[[#This Row],[ALT_KOD]])+AVERAGEIFS(L:L,D:D,DST_123_ÜRETİM_İHTİYAÇ_RAPORU_BURAK_YENI1309[[#This Row],[ALT_KOD]]))</f>
        <v>-48.040000000000006</v>
      </c>
      <c r="L2384">
        <v>0</v>
      </c>
      <c r="M2384">
        <f>IF((DST_123_ÜRETİM_İHTİYAÇ_RAPORU_BURAK_YENI1309[[#This Row],[SATINALMA]]*DST_123_ÜRETİM_İHTİYAÇ_RAPORU_BURAK_YENI1309[[#This Row],[BIRIM_FIYATLAR]])&lt;1,VALUE("0"),DST_123_ÜRETİM_İHTİYAÇ_RAPORU_BURAK_YENI1309[[#This Row],[SATINALMA]]*DST_123_ÜRETİM_İHTİYAÇ_RAPORU_BURAK_YENI1309[[#This Row],[BIRIM_FIYATLAR]])</f>
        <v>0</v>
      </c>
      <c r="N2384">
        <v>15</v>
      </c>
      <c r="O2384" t="s">
        <v>240</v>
      </c>
      <c r="P2384">
        <v>32.85</v>
      </c>
      <c r="Q2384" t="s">
        <v>180</v>
      </c>
    </row>
    <row r="2385" spans="1:17" x14ac:dyDescent="0.25">
      <c r="A2385" t="s">
        <v>1143</v>
      </c>
      <c r="B2385" t="s">
        <v>1056</v>
      </c>
      <c r="C2385" t="s">
        <v>175</v>
      </c>
      <c r="D2385" t="s">
        <v>99</v>
      </c>
      <c r="E2385" t="s">
        <v>100</v>
      </c>
      <c r="F2385">
        <v>32.92</v>
      </c>
      <c r="G2385" t="s">
        <v>185</v>
      </c>
      <c r="H2385">
        <v>0</v>
      </c>
      <c r="I2385">
        <v>0</v>
      </c>
      <c r="J2385" s="10">
        <v>437.82000000000016</v>
      </c>
      <c r="K2385" s="10">
        <f>SUMIFS(F:F,D:D,DST_123_ÜRETİM_İHTİYAÇ_RAPORU_BURAK_YENI1309[[#This Row],[ALT_KOD]])-(SUMIFS(H:H,D:D,DST_123_ÜRETİM_İHTİYAÇ_RAPORU_BURAK_YENI1309[[#This Row],[ALT_KOD]])+AVERAGEIFS(I:I,D:D,DST_123_ÜRETİM_İHTİYAÇ_RAPORU_BURAK_YENI1309[[#This Row],[ALT_KOD]])+AVERAGEIFS(L:L,D:D,DST_123_ÜRETİM_İHTİYAÇ_RAPORU_BURAK_YENI1309[[#This Row],[ALT_KOD]]))</f>
        <v>348.62999999999988</v>
      </c>
      <c r="L2385">
        <v>0</v>
      </c>
      <c r="M2385">
        <f>IF((DST_123_ÜRETİM_İHTİYAÇ_RAPORU_BURAK_YENI1309[[#This Row],[SATINALMA]]*DST_123_ÜRETİM_İHTİYAÇ_RAPORU_BURAK_YENI1309[[#This Row],[BIRIM_FIYATLAR]])&lt;1,VALUE("0"),DST_123_ÜRETİM_İHTİYAÇ_RAPORU_BURAK_YENI1309[[#This Row],[SATINALMA]]*DST_123_ÜRETİM_İHTİYAÇ_RAPORU_BURAK_YENI1309[[#This Row],[BIRIM_FIYATLAR]])</f>
        <v>33597.473099999988</v>
      </c>
      <c r="N2385">
        <v>96.37</v>
      </c>
      <c r="O2385" t="s">
        <v>490</v>
      </c>
      <c r="P2385">
        <v>3172.5004000000004</v>
      </c>
      <c r="Q2385" t="s">
        <v>183</v>
      </c>
    </row>
    <row r="2386" spans="1:17" x14ac:dyDescent="0.25">
      <c r="A2386" t="s">
        <v>1095</v>
      </c>
      <c r="B2386" t="s">
        <v>1096</v>
      </c>
      <c r="C2386" t="s">
        <v>175</v>
      </c>
      <c r="D2386" t="s">
        <v>99</v>
      </c>
      <c r="E2386" t="s">
        <v>100</v>
      </c>
      <c r="F2386">
        <v>30.519999999999996</v>
      </c>
      <c r="G2386" t="s">
        <v>185</v>
      </c>
      <c r="H2386">
        <v>0</v>
      </c>
      <c r="I2386">
        <v>0</v>
      </c>
      <c r="J2386" s="10">
        <v>437.82000000000016</v>
      </c>
      <c r="K2386" s="10">
        <f>SUMIFS(F:F,D:D,DST_123_ÜRETİM_İHTİYAÇ_RAPORU_BURAK_YENI1309[[#This Row],[ALT_KOD]])-(SUMIFS(H:H,D:D,DST_123_ÜRETİM_İHTİYAÇ_RAPORU_BURAK_YENI1309[[#This Row],[ALT_KOD]])+AVERAGEIFS(I:I,D:D,DST_123_ÜRETİM_İHTİYAÇ_RAPORU_BURAK_YENI1309[[#This Row],[ALT_KOD]])+AVERAGEIFS(L:L,D:D,DST_123_ÜRETİM_İHTİYAÇ_RAPORU_BURAK_YENI1309[[#This Row],[ALT_KOD]]))</f>
        <v>348.62999999999988</v>
      </c>
      <c r="L2386">
        <v>0</v>
      </c>
      <c r="M2386">
        <f>IF((DST_123_ÜRETİM_İHTİYAÇ_RAPORU_BURAK_YENI1309[[#This Row],[SATINALMA]]*DST_123_ÜRETİM_İHTİYAÇ_RAPORU_BURAK_YENI1309[[#This Row],[BIRIM_FIYATLAR]])&lt;1,VALUE("0"),DST_123_ÜRETİM_İHTİYAÇ_RAPORU_BURAK_YENI1309[[#This Row],[SATINALMA]]*DST_123_ÜRETİM_İHTİYAÇ_RAPORU_BURAK_YENI1309[[#This Row],[BIRIM_FIYATLAR]])</f>
        <v>33597.473099999988</v>
      </c>
      <c r="N2386">
        <v>96.37</v>
      </c>
      <c r="O2386" t="s">
        <v>490</v>
      </c>
      <c r="P2386">
        <v>2941.2123999999999</v>
      </c>
      <c r="Q2386" t="s">
        <v>183</v>
      </c>
    </row>
    <row r="2387" spans="1:17" x14ac:dyDescent="0.25">
      <c r="A2387" t="s">
        <v>1095</v>
      </c>
      <c r="B2387" t="s">
        <v>1096</v>
      </c>
      <c r="C2387" t="s">
        <v>175</v>
      </c>
      <c r="D2387" t="s">
        <v>101</v>
      </c>
      <c r="E2387" t="s">
        <v>102</v>
      </c>
      <c r="F2387">
        <v>2.9299999999999997</v>
      </c>
      <c r="G2387" t="s">
        <v>185</v>
      </c>
      <c r="H2387">
        <v>0</v>
      </c>
      <c r="I2387">
        <v>66</v>
      </c>
      <c r="J2387" s="10">
        <v>36.349999999999987</v>
      </c>
      <c r="K2387" s="10">
        <f>SUMIFS(F:F,D:D,DST_123_ÜRETİM_İHTİYAÇ_RAPORU_BURAK_YENI1309[[#This Row],[ALT_KOD]])-(SUMIFS(H:H,D:D,DST_123_ÜRETİM_İHTİYAÇ_RAPORU_BURAK_YENI1309[[#This Row],[ALT_KOD]])+AVERAGEIFS(I:I,D:D,DST_123_ÜRETİM_İHTİYAÇ_RAPORU_BURAK_YENI1309[[#This Row],[ALT_KOD]])+AVERAGEIFS(L:L,D:D,DST_123_ÜRETİM_İHTİYAÇ_RAPORU_BURAK_YENI1309[[#This Row],[ALT_KOD]]))</f>
        <v>-17.090000000000018</v>
      </c>
      <c r="L2387">
        <v>0</v>
      </c>
      <c r="M2387">
        <f>IF((DST_123_ÜRETİM_İHTİYAÇ_RAPORU_BURAK_YENI1309[[#This Row],[SATINALMA]]*DST_123_ÜRETİM_İHTİYAÇ_RAPORU_BURAK_YENI1309[[#This Row],[BIRIM_FIYATLAR]])&lt;1,VALUE("0"),DST_123_ÜRETİM_İHTİYAÇ_RAPORU_BURAK_YENI1309[[#This Row],[SATINALMA]]*DST_123_ÜRETİM_İHTİYAÇ_RAPORU_BURAK_YENI1309[[#This Row],[BIRIM_FIYATLAR]])</f>
        <v>0</v>
      </c>
      <c r="N2387">
        <v>129.63</v>
      </c>
      <c r="O2387" t="s">
        <v>240</v>
      </c>
      <c r="P2387">
        <v>379.81589999999994</v>
      </c>
      <c r="Q2387" t="s">
        <v>183</v>
      </c>
    </row>
    <row r="2388" spans="1:17" x14ac:dyDescent="0.25">
      <c r="A2388" t="s">
        <v>1095</v>
      </c>
      <c r="B2388" t="s">
        <v>1096</v>
      </c>
      <c r="C2388" t="s">
        <v>175</v>
      </c>
      <c r="D2388" t="s">
        <v>538</v>
      </c>
      <c r="E2388" t="s">
        <v>539</v>
      </c>
      <c r="F2388">
        <v>8</v>
      </c>
      <c r="G2388" t="s">
        <v>176</v>
      </c>
      <c r="H2388">
        <v>0</v>
      </c>
      <c r="I2388">
        <v>250</v>
      </c>
      <c r="J2388" s="10">
        <v>3</v>
      </c>
      <c r="K2388" s="10">
        <f>SUMIFS(F:F,D:D,DST_123_ÜRETİM_İHTİYAÇ_RAPORU_BURAK_YENI1309[[#This Row],[ALT_KOD]])-(SUMIFS(H:H,D:D,DST_123_ÜRETİM_İHTİYAÇ_RAPORU_BURAK_YENI1309[[#This Row],[ALT_KOD]])+AVERAGEIFS(I:I,D:D,DST_123_ÜRETİM_İHTİYAÇ_RAPORU_BURAK_YENI1309[[#This Row],[ALT_KOD]])+AVERAGEIFS(L:L,D:D,DST_123_ÜRETİM_İHTİYAÇ_RAPORU_BURAK_YENI1309[[#This Row],[ALT_KOD]]))</f>
        <v>-166</v>
      </c>
      <c r="L2388">
        <v>0</v>
      </c>
      <c r="M2388">
        <f>IF((DST_123_ÜRETİM_İHTİYAÇ_RAPORU_BURAK_YENI1309[[#This Row],[SATINALMA]]*DST_123_ÜRETİM_İHTİYAÇ_RAPORU_BURAK_YENI1309[[#This Row],[BIRIM_FIYATLAR]])&lt;1,VALUE("0"),DST_123_ÜRETİM_İHTİYAÇ_RAPORU_BURAK_YENI1309[[#This Row],[SATINALMA]]*DST_123_ÜRETİM_İHTİYAÇ_RAPORU_BURAK_YENI1309[[#This Row],[BIRIM_FIYATLAR]])</f>
        <v>0</v>
      </c>
      <c r="N2388">
        <v>2</v>
      </c>
      <c r="P2388">
        <v>16</v>
      </c>
      <c r="Q2388" t="s">
        <v>180</v>
      </c>
    </row>
    <row r="2389" spans="1:17" x14ac:dyDescent="0.25">
      <c r="A2389" t="s">
        <v>1097</v>
      </c>
      <c r="B2389" t="s">
        <v>1055</v>
      </c>
      <c r="C2389" t="s">
        <v>175</v>
      </c>
      <c r="D2389" t="s">
        <v>852</v>
      </c>
      <c r="E2389" t="s">
        <v>853</v>
      </c>
      <c r="F2389">
        <v>8</v>
      </c>
      <c r="G2389" t="s">
        <v>176</v>
      </c>
      <c r="H2389">
        <v>0</v>
      </c>
      <c r="I2389">
        <v>250</v>
      </c>
      <c r="J2389" s="10">
        <v>835</v>
      </c>
      <c r="K2389" s="10">
        <f>SUMIFS(F:F,D:D,DST_123_ÜRETİM_İHTİYAÇ_RAPORU_BURAK_YENI1309[[#This Row],[ALT_KOD]])-(SUMIFS(H:H,D:D,DST_123_ÜRETİM_İHTİYAÇ_RAPORU_BURAK_YENI1309[[#This Row],[ALT_KOD]])+AVERAGEIFS(I:I,D:D,DST_123_ÜRETİM_İHTİYAÇ_RAPORU_BURAK_YENI1309[[#This Row],[ALT_KOD]])+AVERAGEIFS(L:L,D:D,DST_123_ÜRETİM_İHTİYAÇ_RAPORU_BURAK_YENI1309[[#This Row],[ALT_KOD]]))</f>
        <v>-134</v>
      </c>
      <c r="L2389">
        <v>0</v>
      </c>
      <c r="M2389">
        <f>IF((DST_123_ÜRETİM_İHTİYAÇ_RAPORU_BURAK_YENI1309[[#This Row],[SATINALMA]]*DST_123_ÜRETİM_İHTİYAÇ_RAPORU_BURAK_YENI1309[[#This Row],[BIRIM_FIYATLAR]])&lt;1,VALUE("0"),DST_123_ÜRETİM_İHTİYAÇ_RAPORU_BURAK_YENI1309[[#This Row],[SATINALMA]]*DST_123_ÜRETİM_İHTİYAÇ_RAPORU_BURAK_YENI1309[[#This Row],[BIRIM_FIYATLAR]])</f>
        <v>0</v>
      </c>
      <c r="N2389">
        <v>1.58</v>
      </c>
      <c r="O2389" t="s">
        <v>882</v>
      </c>
      <c r="P2389">
        <v>12.64</v>
      </c>
      <c r="Q2389" t="s">
        <v>180</v>
      </c>
    </row>
    <row r="2390" spans="1:17" x14ac:dyDescent="0.25">
      <c r="A2390" t="s">
        <v>1148</v>
      </c>
      <c r="B2390" t="s">
        <v>1056</v>
      </c>
      <c r="C2390" t="s">
        <v>175</v>
      </c>
      <c r="D2390" t="s">
        <v>538</v>
      </c>
      <c r="E2390" t="s">
        <v>539</v>
      </c>
      <c r="F2390">
        <v>8</v>
      </c>
      <c r="G2390" t="s">
        <v>176</v>
      </c>
      <c r="H2390">
        <v>0</v>
      </c>
      <c r="I2390">
        <v>250</v>
      </c>
      <c r="J2390" s="10">
        <v>3</v>
      </c>
      <c r="K2390" s="10">
        <f>SUMIFS(F:F,D:D,DST_123_ÜRETİM_İHTİYAÇ_RAPORU_BURAK_YENI1309[[#This Row],[ALT_KOD]])-(SUMIFS(H:H,D:D,DST_123_ÜRETİM_İHTİYAÇ_RAPORU_BURAK_YENI1309[[#This Row],[ALT_KOD]])+AVERAGEIFS(I:I,D:D,DST_123_ÜRETİM_İHTİYAÇ_RAPORU_BURAK_YENI1309[[#This Row],[ALT_KOD]])+AVERAGEIFS(L:L,D:D,DST_123_ÜRETİM_İHTİYAÇ_RAPORU_BURAK_YENI1309[[#This Row],[ALT_KOD]]))</f>
        <v>-166</v>
      </c>
      <c r="L2390">
        <v>0</v>
      </c>
      <c r="M2390">
        <f>IF((DST_123_ÜRETİM_İHTİYAÇ_RAPORU_BURAK_YENI1309[[#This Row],[SATINALMA]]*DST_123_ÜRETİM_İHTİYAÇ_RAPORU_BURAK_YENI1309[[#This Row],[BIRIM_FIYATLAR]])&lt;1,VALUE("0"),DST_123_ÜRETİM_İHTİYAÇ_RAPORU_BURAK_YENI1309[[#This Row],[SATINALMA]]*DST_123_ÜRETİM_İHTİYAÇ_RAPORU_BURAK_YENI1309[[#This Row],[BIRIM_FIYATLAR]])</f>
        <v>0</v>
      </c>
      <c r="N2390">
        <v>2</v>
      </c>
      <c r="P2390">
        <v>16</v>
      </c>
      <c r="Q2390" t="s">
        <v>180</v>
      </c>
    </row>
    <row r="2391" spans="1:17" x14ac:dyDescent="0.25">
      <c r="A2391" t="s">
        <v>1100</v>
      </c>
      <c r="B2391" t="s">
        <v>1058</v>
      </c>
      <c r="C2391" t="s">
        <v>175</v>
      </c>
      <c r="D2391" t="s">
        <v>321</v>
      </c>
      <c r="E2391" t="s">
        <v>322</v>
      </c>
      <c r="F2391">
        <v>3</v>
      </c>
      <c r="G2391" t="s">
        <v>176</v>
      </c>
      <c r="H2391">
        <v>3</v>
      </c>
      <c r="I2391">
        <v>84</v>
      </c>
      <c r="J2391" s="10">
        <v>195.90000000000009</v>
      </c>
      <c r="K2391" s="10">
        <f>SUMIFS(F:F,D:D,DST_123_ÜRETİM_İHTİYAÇ_RAPORU_BURAK_YENI1309[[#This Row],[ALT_KOD]])-(SUMIFS(H:H,D:D,DST_123_ÜRETİM_İHTİYAÇ_RAPORU_BURAK_YENI1309[[#This Row],[ALT_KOD]])+AVERAGEIFS(I:I,D:D,DST_123_ÜRETİM_İHTİYAÇ_RAPORU_BURAK_YENI1309[[#This Row],[ALT_KOD]])+AVERAGEIFS(L:L,D:D,DST_123_ÜRETİM_İHTİYAÇ_RAPORU_BURAK_YENI1309[[#This Row],[ALT_KOD]]))</f>
        <v>-24.600000000000023</v>
      </c>
      <c r="L2391">
        <v>0</v>
      </c>
      <c r="M2391">
        <f>IF((DST_123_ÜRETİM_İHTİYAÇ_RAPORU_BURAK_YENI1309[[#This Row],[SATINALMA]]*DST_123_ÜRETİM_İHTİYAÇ_RAPORU_BURAK_YENI1309[[#This Row],[BIRIM_FIYATLAR]])&lt;1,VALUE("0"),DST_123_ÜRETİM_İHTİYAÇ_RAPORU_BURAK_YENI1309[[#This Row],[SATINALMA]]*DST_123_ÜRETİM_İHTİYAÇ_RAPORU_BURAK_YENI1309[[#This Row],[BIRIM_FIYATLAR]])</f>
        <v>0</v>
      </c>
      <c r="N2391">
        <v>29</v>
      </c>
      <c r="O2391" t="s">
        <v>240</v>
      </c>
      <c r="P2391">
        <v>87</v>
      </c>
      <c r="Q2391" t="s">
        <v>180</v>
      </c>
    </row>
    <row r="2392" spans="1:17" x14ac:dyDescent="0.25">
      <c r="A2392" t="s">
        <v>1059</v>
      </c>
      <c r="B2392" t="s">
        <v>1058</v>
      </c>
      <c r="C2392" t="s">
        <v>175</v>
      </c>
      <c r="D2392" t="s">
        <v>209</v>
      </c>
      <c r="E2392" t="s">
        <v>292</v>
      </c>
      <c r="F2392">
        <v>12</v>
      </c>
      <c r="G2392" t="s">
        <v>176</v>
      </c>
      <c r="H2392">
        <v>0</v>
      </c>
      <c r="I2392">
        <v>0</v>
      </c>
      <c r="J2392" s="10">
        <v>0</v>
      </c>
      <c r="K2392" s="10">
        <f>SUMIFS(F:F,D:D,DST_123_ÜRETİM_İHTİYAÇ_RAPORU_BURAK_YENI1309[[#This Row],[ALT_KOD]])-(SUMIFS(H:H,D:D,DST_123_ÜRETİM_İHTİYAÇ_RAPORU_BURAK_YENI1309[[#This Row],[ALT_KOD]])+AVERAGEIFS(I:I,D:D,DST_123_ÜRETİM_İHTİYAÇ_RAPORU_BURAK_YENI1309[[#This Row],[ALT_KOD]])+AVERAGEIFS(L:L,D:D,DST_123_ÜRETİM_İHTİYAÇ_RAPORU_BURAK_YENI1309[[#This Row],[ALT_KOD]]))</f>
        <v>33</v>
      </c>
      <c r="L2392">
        <v>0</v>
      </c>
      <c r="M2392">
        <f>IF((DST_123_ÜRETİM_İHTİYAÇ_RAPORU_BURAK_YENI1309[[#This Row],[SATINALMA]]*DST_123_ÜRETİM_İHTİYAÇ_RAPORU_BURAK_YENI1309[[#This Row],[BIRIM_FIYATLAR]])&lt;1,VALUE("0"),DST_123_ÜRETİM_İHTİYAÇ_RAPORU_BURAK_YENI1309[[#This Row],[SATINALMA]]*DST_123_ÜRETİM_İHTİYAÇ_RAPORU_BURAK_YENI1309[[#This Row],[BIRIM_FIYATLAR]])</f>
        <v>3.96</v>
      </c>
      <c r="N2392">
        <v>0.12</v>
      </c>
      <c r="O2392" t="s">
        <v>228</v>
      </c>
      <c r="P2392">
        <v>1.44</v>
      </c>
      <c r="Q2392" t="s">
        <v>221</v>
      </c>
    </row>
    <row r="2393" spans="1:17" x14ac:dyDescent="0.25">
      <c r="A2393" t="s">
        <v>1179</v>
      </c>
      <c r="B2393" t="s">
        <v>1180</v>
      </c>
      <c r="C2393" t="s">
        <v>175</v>
      </c>
      <c r="D2393" t="s">
        <v>788</v>
      </c>
      <c r="E2393" t="s">
        <v>789</v>
      </c>
      <c r="F2393">
        <v>1</v>
      </c>
      <c r="G2393" t="s">
        <v>176</v>
      </c>
      <c r="H2393">
        <v>0</v>
      </c>
      <c r="I2393">
        <v>4</v>
      </c>
      <c r="J2393" s="10">
        <v>2</v>
      </c>
      <c r="K2393" s="10">
        <f>SUMIFS(F:F,D:D,DST_123_ÜRETİM_İHTİYAÇ_RAPORU_BURAK_YENI1309[[#This Row],[ALT_KOD]])-(SUMIFS(H:H,D:D,DST_123_ÜRETİM_İHTİYAÇ_RAPORU_BURAK_YENI1309[[#This Row],[ALT_KOD]])+AVERAGEIFS(I:I,D:D,DST_123_ÜRETİM_İHTİYAÇ_RAPORU_BURAK_YENI1309[[#This Row],[ALT_KOD]])+AVERAGEIFS(L:L,D:D,DST_123_ÜRETİM_İHTİYAÇ_RAPORU_BURAK_YENI1309[[#This Row],[ALT_KOD]]))</f>
        <v>0</v>
      </c>
      <c r="L2393">
        <v>0</v>
      </c>
      <c r="M2393">
        <f>IF((DST_123_ÜRETİM_İHTİYAÇ_RAPORU_BURAK_YENI1309[[#This Row],[SATINALMA]]*DST_123_ÜRETİM_İHTİYAÇ_RAPORU_BURAK_YENI1309[[#This Row],[BIRIM_FIYATLAR]])&lt;1,VALUE("0"),DST_123_ÜRETİM_İHTİYAÇ_RAPORU_BURAK_YENI1309[[#This Row],[SATINALMA]]*DST_123_ÜRETİM_İHTİYAÇ_RAPORU_BURAK_YENI1309[[#This Row],[BIRIM_FIYATLAR]])</f>
        <v>0</v>
      </c>
      <c r="N2393">
        <v>3467.31</v>
      </c>
      <c r="O2393" t="s">
        <v>227</v>
      </c>
      <c r="P2393">
        <v>3467.31</v>
      </c>
      <c r="Q2393" t="s">
        <v>221</v>
      </c>
    </row>
    <row r="2394" spans="1:17" x14ac:dyDescent="0.25">
      <c r="A2394" t="s">
        <v>1100</v>
      </c>
      <c r="B2394" t="s">
        <v>1058</v>
      </c>
      <c r="C2394" t="s">
        <v>175</v>
      </c>
      <c r="D2394" t="s">
        <v>941</v>
      </c>
      <c r="E2394" t="s">
        <v>942</v>
      </c>
      <c r="F2394">
        <v>1</v>
      </c>
      <c r="G2394" t="s">
        <v>176</v>
      </c>
      <c r="H2394">
        <v>0</v>
      </c>
      <c r="I2394">
        <v>2</v>
      </c>
      <c r="J2394" s="10">
        <v>1</v>
      </c>
      <c r="K2394" s="10">
        <f>SUMIFS(F:F,D:D,DST_123_ÜRETİM_İHTİYAÇ_RAPORU_BURAK_YENI1309[[#This Row],[ALT_KOD]])-(SUMIFS(H:H,D:D,DST_123_ÜRETİM_İHTİYAÇ_RAPORU_BURAK_YENI1309[[#This Row],[ALT_KOD]])+AVERAGEIFS(I:I,D:D,DST_123_ÜRETİM_İHTİYAÇ_RAPORU_BURAK_YENI1309[[#This Row],[ALT_KOD]])+AVERAGEIFS(L:L,D:D,DST_123_ÜRETİM_İHTİYAÇ_RAPORU_BURAK_YENI1309[[#This Row],[ALT_KOD]]))</f>
        <v>2</v>
      </c>
      <c r="L2394">
        <v>0</v>
      </c>
      <c r="M2394">
        <f>IF((DST_123_ÜRETİM_İHTİYAÇ_RAPORU_BURAK_YENI1309[[#This Row],[SATINALMA]]*DST_123_ÜRETİM_İHTİYAÇ_RAPORU_BURAK_YENI1309[[#This Row],[BIRIM_FIYATLAR]])&lt;1,VALUE("0"),DST_123_ÜRETİM_İHTİYAÇ_RAPORU_BURAK_YENI1309[[#This Row],[SATINALMA]]*DST_123_ÜRETİM_İHTİYAÇ_RAPORU_BURAK_YENI1309[[#This Row],[BIRIM_FIYATLAR]])</f>
        <v>19880.7</v>
      </c>
      <c r="N2394">
        <v>9940.35</v>
      </c>
      <c r="O2394" t="s">
        <v>1054</v>
      </c>
      <c r="P2394">
        <v>9940.35</v>
      </c>
      <c r="Q2394" t="s">
        <v>221</v>
      </c>
    </row>
    <row r="2395" spans="1:17" x14ac:dyDescent="0.25">
      <c r="A2395" t="s">
        <v>1143</v>
      </c>
      <c r="B2395" t="s">
        <v>1056</v>
      </c>
      <c r="C2395" t="s">
        <v>175</v>
      </c>
      <c r="D2395" t="s">
        <v>243</v>
      </c>
      <c r="E2395" t="s">
        <v>244</v>
      </c>
      <c r="F2395">
        <v>2</v>
      </c>
      <c r="G2395" t="s">
        <v>176</v>
      </c>
      <c r="H2395">
        <v>0</v>
      </c>
      <c r="I2395">
        <v>18</v>
      </c>
      <c r="J2395" s="10">
        <v>9</v>
      </c>
      <c r="K2395" s="10">
        <f>SUMIFS(F:F,D:D,DST_123_ÜRETİM_İHTİYAÇ_RAPORU_BURAK_YENI1309[[#This Row],[ALT_KOD]])-(SUMIFS(H:H,D:D,DST_123_ÜRETİM_İHTİYAÇ_RAPORU_BURAK_YENI1309[[#This Row],[ALT_KOD]])+AVERAGEIFS(I:I,D:D,DST_123_ÜRETİM_İHTİYAÇ_RAPORU_BURAK_YENI1309[[#This Row],[ALT_KOD]])+AVERAGEIFS(L:L,D:D,DST_123_ÜRETİM_İHTİYAÇ_RAPORU_BURAK_YENI1309[[#This Row],[ALT_KOD]]))</f>
        <v>-10</v>
      </c>
      <c r="L2395">
        <v>0</v>
      </c>
      <c r="M2395">
        <f>IF((DST_123_ÜRETİM_İHTİYAÇ_RAPORU_BURAK_YENI1309[[#This Row],[SATINALMA]]*DST_123_ÜRETİM_İHTİYAÇ_RAPORU_BURAK_YENI1309[[#This Row],[BIRIM_FIYATLAR]])&lt;1,VALUE("0"),DST_123_ÜRETİM_İHTİYAÇ_RAPORU_BURAK_YENI1309[[#This Row],[SATINALMA]]*DST_123_ÜRETİM_İHTİYAÇ_RAPORU_BURAK_YENI1309[[#This Row],[BIRIM_FIYATLAR]])</f>
        <v>0</v>
      </c>
      <c r="N2395">
        <v>60</v>
      </c>
      <c r="O2395" t="s">
        <v>628</v>
      </c>
      <c r="P2395">
        <v>120</v>
      </c>
      <c r="Q2395" t="s">
        <v>180</v>
      </c>
    </row>
    <row r="2396" spans="1:17" x14ac:dyDescent="0.25">
      <c r="A2396" t="s">
        <v>1142</v>
      </c>
      <c r="B2396" t="s">
        <v>1056</v>
      </c>
      <c r="C2396" t="s">
        <v>175</v>
      </c>
      <c r="D2396" t="s">
        <v>788</v>
      </c>
      <c r="E2396" t="s">
        <v>789</v>
      </c>
      <c r="F2396">
        <v>1</v>
      </c>
      <c r="G2396" t="s">
        <v>176</v>
      </c>
      <c r="H2396">
        <v>0</v>
      </c>
      <c r="I2396">
        <v>4</v>
      </c>
      <c r="J2396" s="10">
        <v>2</v>
      </c>
      <c r="K2396" s="10">
        <f>SUMIFS(F:F,D:D,DST_123_ÜRETİM_İHTİYAÇ_RAPORU_BURAK_YENI1309[[#This Row],[ALT_KOD]])-(SUMIFS(H:H,D:D,DST_123_ÜRETİM_İHTİYAÇ_RAPORU_BURAK_YENI1309[[#This Row],[ALT_KOD]])+AVERAGEIFS(I:I,D:D,DST_123_ÜRETİM_İHTİYAÇ_RAPORU_BURAK_YENI1309[[#This Row],[ALT_KOD]])+AVERAGEIFS(L:L,D:D,DST_123_ÜRETİM_İHTİYAÇ_RAPORU_BURAK_YENI1309[[#This Row],[ALT_KOD]]))</f>
        <v>0</v>
      </c>
      <c r="L2396">
        <v>0</v>
      </c>
      <c r="M2396">
        <f>IF((DST_123_ÜRETİM_İHTİYAÇ_RAPORU_BURAK_YENI1309[[#This Row],[SATINALMA]]*DST_123_ÜRETİM_İHTİYAÇ_RAPORU_BURAK_YENI1309[[#This Row],[BIRIM_FIYATLAR]])&lt;1,VALUE("0"),DST_123_ÜRETİM_İHTİYAÇ_RAPORU_BURAK_YENI1309[[#This Row],[SATINALMA]]*DST_123_ÜRETİM_İHTİYAÇ_RAPORU_BURAK_YENI1309[[#This Row],[BIRIM_FIYATLAR]])</f>
        <v>0</v>
      </c>
      <c r="N2396">
        <v>3467.31</v>
      </c>
      <c r="O2396" t="s">
        <v>227</v>
      </c>
      <c r="P2396">
        <v>3467.31</v>
      </c>
      <c r="Q2396" t="s">
        <v>221</v>
      </c>
    </row>
    <row r="2397" spans="1:17" x14ac:dyDescent="0.25">
      <c r="A2397" t="s">
        <v>1142</v>
      </c>
      <c r="B2397" t="s">
        <v>1056</v>
      </c>
      <c r="C2397" t="s">
        <v>175</v>
      </c>
      <c r="D2397" t="s">
        <v>321</v>
      </c>
      <c r="E2397" t="s">
        <v>322</v>
      </c>
      <c r="F2397">
        <v>6</v>
      </c>
      <c r="G2397" t="s">
        <v>176</v>
      </c>
      <c r="H2397">
        <v>0</v>
      </c>
      <c r="I2397">
        <v>84</v>
      </c>
      <c r="J2397" s="10">
        <v>195.90000000000009</v>
      </c>
      <c r="K2397" s="10">
        <f>SUMIFS(F:F,D:D,DST_123_ÜRETİM_İHTİYAÇ_RAPORU_BURAK_YENI1309[[#This Row],[ALT_KOD]])-(SUMIFS(H:H,D:D,DST_123_ÜRETİM_İHTİYAÇ_RAPORU_BURAK_YENI1309[[#This Row],[ALT_KOD]])+AVERAGEIFS(I:I,D:D,DST_123_ÜRETİM_İHTİYAÇ_RAPORU_BURAK_YENI1309[[#This Row],[ALT_KOD]])+AVERAGEIFS(L:L,D:D,DST_123_ÜRETİM_İHTİYAÇ_RAPORU_BURAK_YENI1309[[#This Row],[ALT_KOD]]))</f>
        <v>-24.600000000000023</v>
      </c>
      <c r="L2397">
        <v>0</v>
      </c>
      <c r="M2397">
        <f>IF((DST_123_ÜRETİM_İHTİYAÇ_RAPORU_BURAK_YENI1309[[#This Row],[SATINALMA]]*DST_123_ÜRETİM_İHTİYAÇ_RAPORU_BURAK_YENI1309[[#This Row],[BIRIM_FIYATLAR]])&lt;1,VALUE("0"),DST_123_ÜRETİM_İHTİYAÇ_RAPORU_BURAK_YENI1309[[#This Row],[SATINALMA]]*DST_123_ÜRETİM_İHTİYAÇ_RAPORU_BURAK_YENI1309[[#This Row],[BIRIM_FIYATLAR]])</f>
        <v>0</v>
      </c>
      <c r="N2397">
        <v>29</v>
      </c>
      <c r="O2397" t="s">
        <v>240</v>
      </c>
      <c r="P2397">
        <v>174</v>
      </c>
      <c r="Q2397" t="s">
        <v>180</v>
      </c>
    </row>
    <row r="2398" spans="1:17" x14ac:dyDescent="0.25">
      <c r="A2398" t="s">
        <v>1097</v>
      </c>
      <c r="B2398" t="s">
        <v>1055</v>
      </c>
      <c r="C2398" t="s">
        <v>175</v>
      </c>
      <c r="D2398" t="s">
        <v>243</v>
      </c>
      <c r="E2398" t="s">
        <v>244</v>
      </c>
      <c r="F2398">
        <v>2</v>
      </c>
      <c r="G2398" t="s">
        <v>176</v>
      </c>
      <c r="H2398">
        <v>2</v>
      </c>
      <c r="I2398">
        <v>18</v>
      </c>
      <c r="J2398" s="10">
        <v>9</v>
      </c>
      <c r="K2398" s="10">
        <f>SUMIFS(F:F,D:D,DST_123_ÜRETİM_İHTİYAÇ_RAPORU_BURAK_YENI1309[[#This Row],[ALT_KOD]])-(SUMIFS(H:H,D:D,DST_123_ÜRETİM_İHTİYAÇ_RAPORU_BURAK_YENI1309[[#This Row],[ALT_KOD]])+AVERAGEIFS(I:I,D:D,DST_123_ÜRETİM_İHTİYAÇ_RAPORU_BURAK_YENI1309[[#This Row],[ALT_KOD]])+AVERAGEIFS(L:L,D:D,DST_123_ÜRETİM_İHTİYAÇ_RAPORU_BURAK_YENI1309[[#This Row],[ALT_KOD]]))</f>
        <v>-10</v>
      </c>
      <c r="L2398">
        <v>0</v>
      </c>
      <c r="M2398">
        <f>IF((DST_123_ÜRETİM_İHTİYAÇ_RAPORU_BURAK_YENI1309[[#This Row],[SATINALMA]]*DST_123_ÜRETİM_İHTİYAÇ_RAPORU_BURAK_YENI1309[[#This Row],[BIRIM_FIYATLAR]])&lt;1,VALUE("0"),DST_123_ÜRETİM_İHTİYAÇ_RAPORU_BURAK_YENI1309[[#This Row],[SATINALMA]]*DST_123_ÜRETİM_İHTİYAÇ_RAPORU_BURAK_YENI1309[[#This Row],[BIRIM_FIYATLAR]])</f>
        <v>0</v>
      </c>
      <c r="N2398">
        <v>60</v>
      </c>
      <c r="O2398" t="s">
        <v>628</v>
      </c>
      <c r="P2398">
        <v>120</v>
      </c>
      <c r="Q2398" t="s">
        <v>180</v>
      </c>
    </row>
    <row r="2399" spans="1:17" x14ac:dyDescent="0.25">
      <c r="A2399" t="s">
        <v>1142</v>
      </c>
      <c r="B2399" t="s">
        <v>1056</v>
      </c>
      <c r="C2399" t="s">
        <v>175</v>
      </c>
      <c r="D2399" t="s">
        <v>556</v>
      </c>
      <c r="E2399" t="s">
        <v>557</v>
      </c>
      <c r="F2399">
        <v>0.1</v>
      </c>
      <c r="G2399" t="s">
        <v>176</v>
      </c>
      <c r="H2399">
        <v>0</v>
      </c>
      <c r="I2399">
        <v>33</v>
      </c>
      <c r="J2399" s="10">
        <v>6.0999999999999988</v>
      </c>
      <c r="K2399" s="10">
        <f>SUMIFS(F:F,D:D,DST_123_ÜRETİM_İHTİYAÇ_RAPORU_BURAK_YENI1309[[#This Row],[ALT_KOD]])-(SUMIFS(H:H,D:D,DST_123_ÜRETİM_İHTİYAÇ_RAPORU_BURAK_YENI1309[[#This Row],[ALT_KOD]])+AVERAGEIFS(I:I,D:D,DST_123_ÜRETİM_İHTİYAÇ_RAPORU_BURAK_YENI1309[[#This Row],[ALT_KOD]])+AVERAGEIFS(L:L,D:D,DST_123_ÜRETİM_İHTİYAÇ_RAPORU_BURAK_YENI1309[[#This Row],[ALT_KOD]]))</f>
        <v>-32.299999999999997</v>
      </c>
      <c r="L2399">
        <v>0</v>
      </c>
      <c r="M2399">
        <f>IF((DST_123_ÜRETİM_İHTİYAÇ_RAPORU_BURAK_YENI1309[[#This Row],[SATINALMA]]*DST_123_ÜRETİM_İHTİYAÇ_RAPORU_BURAK_YENI1309[[#This Row],[BIRIM_FIYATLAR]])&lt;1,VALUE("0"),DST_123_ÜRETİM_İHTİYAÇ_RAPORU_BURAK_YENI1309[[#This Row],[SATINALMA]]*DST_123_ÜRETİM_İHTİYAÇ_RAPORU_BURAK_YENI1309[[#This Row],[BIRIM_FIYATLAR]])</f>
        <v>0</v>
      </c>
      <c r="N2399">
        <v>25</v>
      </c>
      <c r="O2399" t="s">
        <v>240</v>
      </c>
      <c r="P2399">
        <v>2.5</v>
      </c>
      <c r="Q2399" t="s">
        <v>180</v>
      </c>
    </row>
    <row r="2400" spans="1:17" x14ac:dyDescent="0.25">
      <c r="A2400" t="s">
        <v>1148</v>
      </c>
      <c r="B2400" t="s">
        <v>1056</v>
      </c>
      <c r="C2400" t="s">
        <v>175</v>
      </c>
      <c r="D2400" t="s">
        <v>788</v>
      </c>
      <c r="E2400" t="s">
        <v>789</v>
      </c>
      <c r="F2400">
        <v>1</v>
      </c>
      <c r="G2400" t="s">
        <v>176</v>
      </c>
      <c r="H2400">
        <v>0</v>
      </c>
      <c r="I2400">
        <v>4</v>
      </c>
      <c r="J2400" s="10">
        <v>2</v>
      </c>
      <c r="K2400" s="10">
        <f>SUMIFS(F:F,D:D,DST_123_ÜRETİM_İHTİYAÇ_RAPORU_BURAK_YENI1309[[#This Row],[ALT_KOD]])-(SUMIFS(H:H,D:D,DST_123_ÜRETİM_İHTİYAÇ_RAPORU_BURAK_YENI1309[[#This Row],[ALT_KOD]])+AVERAGEIFS(I:I,D:D,DST_123_ÜRETİM_İHTİYAÇ_RAPORU_BURAK_YENI1309[[#This Row],[ALT_KOD]])+AVERAGEIFS(L:L,D:D,DST_123_ÜRETİM_İHTİYAÇ_RAPORU_BURAK_YENI1309[[#This Row],[ALT_KOD]]))</f>
        <v>0</v>
      </c>
      <c r="L2400">
        <v>0</v>
      </c>
      <c r="M2400">
        <f>IF((DST_123_ÜRETİM_İHTİYAÇ_RAPORU_BURAK_YENI1309[[#This Row],[SATINALMA]]*DST_123_ÜRETİM_İHTİYAÇ_RAPORU_BURAK_YENI1309[[#This Row],[BIRIM_FIYATLAR]])&lt;1,VALUE("0"),DST_123_ÜRETİM_İHTİYAÇ_RAPORU_BURAK_YENI1309[[#This Row],[SATINALMA]]*DST_123_ÜRETİM_İHTİYAÇ_RAPORU_BURAK_YENI1309[[#This Row],[BIRIM_FIYATLAR]])</f>
        <v>0</v>
      </c>
      <c r="N2400">
        <v>3467.31</v>
      </c>
      <c r="O2400" t="s">
        <v>227</v>
      </c>
      <c r="P2400">
        <v>3467.31</v>
      </c>
      <c r="Q2400" t="s">
        <v>221</v>
      </c>
    </row>
    <row r="2401" spans="1:17" x14ac:dyDescent="0.25">
      <c r="A2401" t="s">
        <v>1147</v>
      </c>
      <c r="B2401" t="s">
        <v>1145</v>
      </c>
      <c r="C2401" t="s">
        <v>175</v>
      </c>
      <c r="D2401" t="s">
        <v>321</v>
      </c>
      <c r="E2401" t="s">
        <v>322</v>
      </c>
      <c r="F2401">
        <v>6</v>
      </c>
      <c r="G2401" t="s">
        <v>176</v>
      </c>
      <c r="H2401">
        <v>0</v>
      </c>
      <c r="I2401">
        <v>84</v>
      </c>
      <c r="J2401" s="10">
        <v>195.90000000000009</v>
      </c>
      <c r="K2401" s="10">
        <f>SUMIFS(F:F,D:D,DST_123_ÜRETİM_İHTİYAÇ_RAPORU_BURAK_YENI1309[[#This Row],[ALT_KOD]])-(SUMIFS(H:H,D:D,DST_123_ÜRETİM_İHTİYAÇ_RAPORU_BURAK_YENI1309[[#This Row],[ALT_KOD]])+AVERAGEIFS(I:I,D:D,DST_123_ÜRETİM_İHTİYAÇ_RAPORU_BURAK_YENI1309[[#This Row],[ALT_KOD]])+AVERAGEIFS(L:L,D:D,DST_123_ÜRETİM_İHTİYAÇ_RAPORU_BURAK_YENI1309[[#This Row],[ALT_KOD]]))</f>
        <v>-24.600000000000023</v>
      </c>
      <c r="L2401">
        <v>0</v>
      </c>
      <c r="M2401">
        <f>IF((DST_123_ÜRETİM_İHTİYAÇ_RAPORU_BURAK_YENI1309[[#This Row],[SATINALMA]]*DST_123_ÜRETİM_İHTİYAÇ_RAPORU_BURAK_YENI1309[[#This Row],[BIRIM_FIYATLAR]])&lt;1,VALUE("0"),DST_123_ÜRETİM_İHTİYAÇ_RAPORU_BURAK_YENI1309[[#This Row],[SATINALMA]]*DST_123_ÜRETİM_İHTİYAÇ_RAPORU_BURAK_YENI1309[[#This Row],[BIRIM_FIYATLAR]])</f>
        <v>0</v>
      </c>
      <c r="N2401">
        <v>29</v>
      </c>
      <c r="O2401" t="s">
        <v>240</v>
      </c>
      <c r="P2401">
        <v>174</v>
      </c>
      <c r="Q2401" t="s">
        <v>180</v>
      </c>
    </row>
    <row r="2402" spans="1:17" x14ac:dyDescent="0.25">
      <c r="A2402" t="s">
        <v>1148</v>
      </c>
      <c r="B2402" t="s">
        <v>1056</v>
      </c>
      <c r="C2402" t="s">
        <v>175</v>
      </c>
      <c r="D2402" t="s">
        <v>418</v>
      </c>
      <c r="E2402" t="s">
        <v>1221</v>
      </c>
      <c r="F2402">
        <v>4</v>
      </c>
      <c r="G2402" t="s">
        <v>176</v>
      </c>
      <c r="H2402">
        <v>0</v>
      </c>
      <c r="I2402">
        <v>148</v>
      </c>
      <c r="J2402" s="10">
        <v>59</v>
      </c>
      <c r="K2402" s="10">
        <f>SUMIFS(F:F,D:D,DST_123_ÜRETİM_İHTİYAÇ_RAPORU_BURAK_YENI1309[[#This Row],[ALT_KOD]])-(SUMIFS(H:H,D:D,DST_123_ÜRETİM_İHTİYAÇ_RAPORU_BURAK_YENI1309[[#This Row],[ALT_KOD]])+AVERAGEIFS(I:I,D:D,DST_123_ÜRETİM_İHTİYAÇ_RAPORU_BURAK_YENI1309[[#This Row],[ALT_KOD]])+AVERAGEIFS(L:L,D:D,DST_123_ÜRETİM_İHTİYAÇ_RAPORU_BURAK_YENI1309[[#This Row],[ALT_KOD]]))</f>
        <v>-33</v>
      </c>
      <c r="L2402">
        <v>0</v>
      </c>
      <c r="M2402">
        <f>IF((DST_123_ÜRETİM_İHTİYAÇ_RAPORU_BURAK_YENI1309[[#This Row],[SATINALMA]]*DST_123_ÜRETİM_İHTİYAÇ_RAPORU_BURAK_YENI1309[[#This Row],[BIRIM_FIYATLAR]])&lt;1,VALUE("0"),DST_123_ÜRETİM_İHTİYAÇ_RAPORU_BURAK_YENI1309[[#This Row],[SATINALMA]]*DST_123_ÜRETİM_İHTİYAÇ_RAPORU_BURAK_YENI1309[[#This Row],[BIRIM_FIYATLAR]])</f>
        <v>0</v>
      </c>
      <c r="N2402">
        <v>24.17</v>
      </c>
      <c r="O2402" t="s">
        <v>628</v>
      </c>
      <c r="P2402">
        <v>96.68</v>
      </c>
      <c r="Q2402" t="s">
        <v>180</v>
      </c>
    </row>
    <row r="2403" spans="1:17" x14ac:dyDescent="0.25">
      <c r="A2403" t="s">
        <v>1057</v>
      </c>
      <c r="B2403" t="s">
        <v>1058</v>
      </c>
      <c r="C2403" t="s">
        <v>175</v>
      </c>
      <c r="D2403" t="s">
        <v>159</v>
      </c>
      <c r="E2403" t="s">
        <v>160</v>
      </c>
      <c r="F2403">
        <v>0.25</v>
      </c>
      <c r="G2403" t="s">
        <v>179</v>
      </c>
      <c r="H2403">
        <v>0</v>
      </c>
      <c r="I2403">
        <v>52</v>
      </c>
      <c r="J2403" s="10">
        <v>38.620000000000005</v>
      </c>
      <c r="K2403" s="10">
        <f>SUMIFS(F:F,D:D,DST_123_ÜRETİM_İHTİYAÇ_RAPORU_BURAK_YENI1309[[#This Row],[ALT_KOD]])-(SUMIFS(H:H,D:D,DST_123_ÜRETİM_İHTİYAÇ_RAPORU_BURAK_YENI1309[[#This Row],[ALT_KOD]])+AVERAGEIFS(I:I,D:D,DST_123_ÜRETİM_İHTİYAÇ_RAPORU_BURAK_YENI1309[[#This Row],[ALT_KOD]])+AVERAGEIFS(L:L,D:D,DST_123_ÜRETİM_İHTİYAÇ_RAPORU_BURAK_YENI1309[[#This Row],[ALT_KOD]]))</f>
        <v>-47.39</v>
      </c>
      <c r="L2403">
        <v>0</v>
      </c>
      <c r="M2403">
        <f>IF((DST_123_ÜRETİM_İHTİYAÇ_RAPORU_BURAK_YENI1309[[#This Row],[SATINALMA]]*DST_123_ÜRETİM_İHTİYAÇ_RAPORU_BURAK_YENI1309[[#This Row],[BIRIM_FIYATLAR]])&lt;1,VALUE("0"),DST_123_ÜRETİM_İHTİYAÇ_RAPORU_BURAK_YENI1309[[#This Row],[SATINALMA]]*DST_123_ÜRETİM_İHTİYAÇ_RAPORU_BURAK_YENI1309[[#This Row],[BIRIM_FIYATLAR]])</f>
        <v>0</v>
      </c>
      <c r="N2403">
        <v>126.36</v>
      </c>
      <c r="O2403" t="s">
        <v>619</v>
      </c>
      <c r="P2403">
        <v>31.59</v>
      </c>
      <c r="Q2403" t="s">
        <v>178</v>
      </c>
    </row>
    <row r="2404" spans="1:17" x14ac:dyDescent="0.25">
      <c r="A2404" t="s">
        <v>1100</v>
      </c>
      <c r="B2404" t="s">
        <v>1058</v>
      </c>
      <c r="C2404" t="s">
        <v>175</v>
      </c>
      <c r="D2404" t="s">
        <v>159</v>
      </c>
      <c r="E2404" t="s">
        <v>160</v>
      </c>
      <c r="F2404">
        <v>0.25</v>
      </c>
      <c r="G2404" t="s">
        <v>179</v>
      </c>
      <c r="H2404">
        <v>0</v>
      </c>
      <c r="I2404">
        <v>52</v>
      </c>
      <c r="J2404" s="10">
        <v>38.620000000000005</v>
      </c>
      <c r="K2404" s="10">
        <f>SUMIFS(F:F,D:D,DST_123_ÜRETİM_İHTİYAÇ_RAPORU_BURAK_YENI1309[[#This Row],[ALT_KOD]])-(SUMIFS(H:H,D:D,DST_123_ÜRETİM_İHTİYAÇ_RAPORU_BURAK_YENI1309[[#This Row],[ALT_KOD]])+AVERAGEIFS(I:I,D:D,DST_123_ÜRETİM_İHTİYAÇ_RAPORU_BURAK_YENI1309[[#This Row],[ALT_KOD]])+AVERAGEIFS(L:L,D:D,DST_123_ÜRETİM_İHTİYAÇ_RAPORU_BURAK_YENI1309[[#This Row],[ALT_KOD]]))</f>
        <v>-47.39</v>
      </c>
      <c r="L2404">
        <v>0</v>
      </c>
      <c r="M2404">
        <f>IF((DST_123_ÜRETİM_İHTİYAÇ_RAPORU_BURAK_YENI1309[[#This Row],[SATINALMA]]*DST_123_ÜRETİM_İHTİYAÇ_RAPORU_BURAK_YENI1309[[#This Row],[BIRIM_FIYATLAR]])&lt;1,VALUE("0"),DST_123_ÜRETİM_İHTİYAÇ_RAPORU_BURAK_YENI1309[[#This Row],[SATINALMA]]*DST_123_ÜRETİM_İHTİYAÇ_RAPORU_BURAK_YENI1309[[#This Row],[BIRIM_FIYATLAR]])</f>
        <v>0</v>
      </c>
      <c r="N2404">
        <v>126.36</v>
      </c>
      <c r="O2404" t="s">
        <v>619</v>
      </c>
      <c r="P2404">
        <v>31.59</v>
      </c>
      <c r="Q2404" t="s">
        <v>178</v>
      </c>
    </row>
    <row r="2405" spans="1:17" x14ac:dyDescent="0.25">
      <c r="A2405" t="s">
        <v>1059</v>
      </c>
      <c r="B2405" t="s">
        <v>1058</v>
      </c>
      <c r="C2405" t="s">
        <v>175</v>
      </c>
      <c r="D2405" t="s">
        <v>344</v>
      </c>
      <c r="E2405" t="s">
        <v>345</v>
      </c>
      <c r="F2405">
        <v>2</v>
      </c>
      <c r="G2405" t="s">
        <v>176</v>
      </c>
      <c r="H2405">
        <v>0</v>
      </c>
      <c r="I2405">
        <v>228</v>
      </c>
      <c r="J2405" s="10">
        <v>4.2632564145606011E-14</v>
      </c>
      <c r="K2405" s="10">
        <f>SUMIFS(F:F,D:D,DST_123_ÜRETİM_İHTİYAÇ_RAPORU_BURAK_YENI1309[[#This Row],[ALT_KOD]])-(SUMIFS(H:H,D:D,DST_123_ÜRETİM_İHTİYAÇ_RAPORU_BURAK_YENI1309[[#This Row],[ALT_KOD]])+AVERAGEIFS(I:I,D:D,DST_123_ÜRETİM_İHTİYAÇ_RAPORU_BURAK_YENI1309[[#This Row],[ALT_KOD]])+AVERAGEIFS(L:L,D:D,DST_123_ÜRETİM_İHTİYAÇ_RAPORU_BURAK_YENI1309[[#This Row],[ALT_KOD]]))</f>
        <v>-186</v>
      </c>
      <c r="L2405">
        <v>0</v>
      </c>
      <c r="M2405">
        <f>IF((DST_123_ÜRETİM_İHTİYAÇ_RAPORU_BURAK_YENI1309[[#This Row],[SATINALMA]]*DST_123_ÜRETİM_İHTİYAÇ_RAPORU_BURAK_YENI1309[[#This Row],[BIRIM_FIYATLAR]])&lt;1,VALUE("0"),DST_123_ÜRETİM_İHTİYAÇ_RAPORU_BURAK_YENI1309[[#This Row],[SATINALMA]]*DST_123_ÜRETİM_İHTİYAÇ_RAPORU_BURAK_YENI1309[[#This Row],[BIRIM_FIYATLAR]])</f>
        <v>0</v>
      </c>
      <c r="N2405">
        <v>6</v>
      </c>
      <c r="O2405" t="s">
        <v>346</v>
      </c>
      <c r="P2405">
        <v>12</v>
      </c>
      <c r="Q2405" t="s">
        <v>180</v>
      </c>
    </row>
    <row r="2406" spans="1:17" x14ac:dyDescent="0.25">
      <c r="A2406" t="s">
        <v>1143</v>
      </c>
      <c r="B2406" t="s">
        <v>1056</v>
      </c>
      <c r="C2406" t="s">
        <v>175</v>
      </c>
      <c r="D2406" t="s">
        <v>418</v>
      </c>
      <c r="E2406" t="s">
        <v>1221</v>
      </c>
      <c r="F2406">
        <v>5</v>
      </c>
      <c r="G2406" t="s">
        <v>176</v>
      </c>
      <c r="H2406">
        <v>0</v>
      </c>
      <c r="I2406">
        <v>148</v>
      </c>
      <c r="J2406" s="10">
        <v>59</v>
      </c>
      <c r="K2406" s="10">
        <f>SUMIFS(F:F,D:D,DST_123_ÜRETİM_İHTİYAÇ_RAPORU_BURAK_YENI1309[[#This Row],[ALT_KOD]])-(SUMIFS(H:H,D:D,DST_123_ÜRETİM_İHTİYAÇ_RAPORU_BURAK_YENI1309[[#This Row],[ALT_KOD]])+AVERAGEIFS(I:I,D:D,DST_123_ÜRETİM_İHTİYAÇ_RAPORU_BURAK_YENI1309[[#This Row],[ALT_KOD]])+AVERAGEIFS(L:L,D:D,DST_123_ÜRETİM_İHTİYAÇ_RAPORU_BURAK_YENI1309[[#This Row],[ALT_KOD]]))</f>
        <v>-33</v>
      </c>
      <c r="L2406">
        <v>0</v>
      </c>
      <c r="M2406">
        <f>IF((DST_123_ÜRETİM_İHTİYAÇ_RAPORU_BURAK_YENI1309[[#This Row],[SATINALMA]]*DST_123_ÜRETİM_İHTİYAÇ_RAPORU_BURAK_YENI1309[[#This Row],[BIRIM_FIYATLAR]])&lt;1,VALUE("0"),DST_123_ÜRETİM_İHTİYAÇ_RAPORU_BURAK_YENI1309[[#This Row],[SATINALMA]]*DST_123_ÜRETİM_İHTİYAÇ_RAPORU_BURAK_YENI1309[[#This Row],[BIRIM_FIYATLAR]])</f>
        <v>0</v>
      </c>
      <c r="N2406">
        <v>24.17</v>
      </c>
      <c r="O2406" t="s">
        <v>628</v>
      </c>
      <c r="P2406">
        <v>120.85000000000001</v>
      </c>
      <c r="Q2406" t="s">
        <v>180</v>
      </c>
    </row>
    <row r="2407" spans="1:17" x14ac:dyDescent="0.25">
      <c r="A2407" t="s">
        <v>1059</v>
      </c>
      <c r="B2407" t="s">
        <v>1058</v>
      </c>
      <c r="C2407" t="s">
        <v>175</v>
      </c>
      <c r="D2407" t="s">
        <v>418</v>
      </c>
      <c r="E2407" t="s">
        <v>1221</v>
      </c>
      <c r="F2407">
        <v>8</v>
      </c>
      <c r="G2407" t="s">
        <v>176</v>
      </c>
      <c r="H2407">
        <v>0</v>
      </c>
      <c r="I2407">
        <v>148</v>
      </c>
      <c r="J2407" s="10">
        <v>59</v>
      </c>
      <c r="K2407" s="10">
        <f>SUMIFS(F:F,D:D,DST_123_ÜRETİM_İHTİYAÇ_RAPORU_BURAK_YENI1309[[#This Row],[ALT_KOD]])-(SUMIFS(H:H,D:D,DST_123_ÜRETİM_İHTİYAÇ_RAPORU_BURAK_YENI1309[[#This Row],[ALT_KOD]])+AVERAGEIFS(I:I,D:D,DST_123_ÜRETİM_İHTİYAÇ_RAPORU_BURAK_YENI1309[[#This Row],[ALT_KOD]])+AVERAGEIFS(L:L,D:D,DST_123_ÜRETİM_İHTİYAÇ_RAPORU_BURAK_YENI1309[[#This Row],[ALT_KOD]]))</f>
        <v>-33</v>
      </c>
      <c r="L2407">
        <v>0</v>
      </c>
      <c r="M2407">
        <f>IF((DST_123_ÜRETİM_İHTİYAÇ_RAPORU_BURAK_YENI1309[[#This Row],[SATINALMA]]*DST_123_ÜRETİM_İHTİYAÇ_RAPORU_BURAK_YENI1309[[#This Row],[BIRIM_FIYATLAR]])&lt;1,VALUE("0"),DST_123_ÜRETİM_İHTİYAÇ_RAPORU_BURAK_YENI1309[[#This Row],[SATINALMA]]*DST_123_ÜRETİM_İHTİYAÇ_RAPORU_BURAK_YENI1309[[#This Row],[BIRIM_FIYATLAR]])</f>
        <v>0</v>
      </c>
      <c r="N2407">
        <v>24.17</v>
      </c>
      <c r="O2407" t="s">
        <v>628</v>
      </c>
      <c r="P2407">
        <v>193.36</v>
      </c>
      <c r="Q2407" t="s">
        <v>180</v>
      </c>
    </row>
    <row r="2408" spans="1:17" x14ac:dyDescent="0.25">
      <c r="A2408" t="s">
        <v>1097</v>
      </c>
      <c r="B2408" t="s">
        <v>1055</v>
      </c>
      <c r="C2408" t="s">
        <v>175</v>
      </c>
      <c r="D2408" t="s">
        <v>159</v>
      </c>
      <c r="E2408" t="s">
        <v>160</v>
      </c>
      <c r="F2408">
        <v>0.23</v>
      </c>
      <c r="G2408" t="s">
        <v>179</v>
      </c>
      <c r="H2408">
        <v>0</v>
      </c>
      <c r="I2408">
        <v>52</v>
      </c>
      <c r="J2408" s="10">
        <v>38.620000000000005</v>
      </c>
      <c r="K2408" s="10">
        <f>SUMIFS(F:F,D:D,DST_123_ÜRETİM_İHTİYAÇ_RAPORU_BURAK_YENI1309[[#This Row],[ALT_KOD]])-(SUMIFS(H:H,D:D,DST_123_ÜRETİM_İHTİYAÇ_RAPORU_BURAK_YENI1309[[#This Row],[ALT_KOD]])+AVERAGEIFS(I:I,D:D,DST_123_ÜRETİM_İHTİYAÇ_RAPORU_BURAK_YENI1309[[#This Row],[ALT_KOD]])+AVERAGEIFS(L:L,D:D,DST_123_ÜRETİM_İHTİYAÇ_RAPORU_BURAK_YENI1309[[#This Row],[ALT_KOD]]))</f>
        <v>-47.39</v>
      </c>
      <c r="L2408">
        <v>0</v>
      </c>
      <c r="M2408">
        <f>IF((DST_123_ÜRETİM_İHTİYAÇ_RAPORU_BURAK_YENI1309[[#This Row],[SATINALMA]]*DST_123_ÜRETİM_İHTİYAÇ_RAPORU_BURAK_YENI1309[[#This Row],[BIRIM_FIYATLAR]])&lt;1,VALUE("0"),DST_123_ÜRETİM_İHTİYAÇ_RAPORU_BURAK_YENI1309[[#This Row],[SATINALMA]]*DST_123_ÜRETİM_İHTİYAÇ_RAPORU_BURAK_YENI1309[[#This Row],[BIRIM_FIYATLAR]])</f>
        <v>0</v>
      </c>
      <c r="N2408">
        <v>126.36</v>
      </c>
      <c r="O2408" t="s">
        <v>619</v>
      </c>
      <c r="P2408">
        <v>29.062800000000003</v>
      </c>
      <c r="Q2408" t="s">
        <v>178</v>
      </c>
    </row>
    <row r="2409" spans="1:17" x14ac:dyDescent="0.25">
      <c r="A2409" t="s">
        <v>1143</v>
      </c>
      <c r="B2409" t="s">
        <v>1056</v>
      </c>
      <c r="C2409" t="s">
        <v>175</v>
      </c>
      <c r="D2409" t="s">
        <v>104</v>
      </c>
      <c r="E2409" t="s">
        <v>105</v>
      </c>
      <c r="F2409">
        <v>5</v>
      </c>
      <c r="G2409" t="s">
        <v>176</v>
      </c>
      <c r="H2409">
        <v>0</v>
      </c>
      <c r="I2409">
        <v>0</v>
      </c>
      <c r="J2409" s="10">
        <v>75</v>
      </c>
      <c r="K2409" s="10">
        <f>SUMIFS(F:F,D:D,DST_123_ÜRETİM_İHTİYAÇ_RAPORU_BURAK_YENI1309[[#This Row],[ALT_KOD]])-(SUMIFS(H:H,D:D,DST_123_ÜRETİM_İHTİYAÇ_RAPORU_BURAK_YENI1309[[#This Row],[ALT_KOD]])+AVERAGEIFS(I:I,D:D,DST_123_ÜRETİM_İHTİYAÇ_RAPORU_BURAK_YENI1309[[#This Row],[ALT_KOD]])+AVERAGEIFS(L:L,D:D,DST_123_ÜRETİM_İHTİYAÇ_RAPORU_BURAK_YENI1309[[#This Row],[ALT_KOD]]))</f>
        <v>102</v>
      </c>
      <c r="L2409">
        <v>0</v>
      </c>
      <c r="M2409">
        <f>IF((DST_123_ÜRETİM_İHTİYAÇ_RAPORU_BURAK_YENI1309[[#This Row],[SATINALMA]]*DST_123_ÜRETİM_İHTİYAÇ_RAPORU_BURAK_YENI1309[[#This Row],[BIRIM_FIYATLAR]])&lt;1,VALUE("0"),DST_123_ÜRETİM_İHTİYAÇ_RAPORU_BURAK_YENI1309[[#This Row],[SATINALMA]]*DST_123_ÜRETİM_İHTİYAÇ_RAPORU_BURAK_YENI1309[[#This Row],[BIRIM_FIYATLAR]])</f>
        <v>10710</v>
      </c>
      <c r="N2409">
        <v>105</v>
      </c>
      <c r="O2409" t="s">
        <v>625</v>
      </c>
      <c r="P2409">
        <v>525</v>
      </c>
      <c r="Q2409" t="s">
        <v>178</v>
      </c>
    </row>
    <row r="2410" spans="1:17" x14ac:dyDescent="0.25">
      <c r="A2410" t="s">
        <v>1196</v>
      </c>
      <c r="B2410" t="s">
        <v>1197</v>
      </c>
      <c r="C2410" t="s">
        <v>175</v>
      </c>
      <c r="D2410" t="s">
        <v>38</v>
      </c>
      <c r="E2410" t="s">
        <v>39</v>
      </c>
      <c r="F2410">
        <v>2</v>
      </c>
      <c r="G2410" t="s">
        <v>176</v>
      </c>
      <c r="H2410">
        <v>0</v>
      </c>
      <c r="I2410">
        <v>304</v>
      </c>
      <c r="J2410" s="10">
        <v>13</v>
      </c>
      <c r="K2410" s="10">
        <f>SUMIFS(F:F,D:D,DST_123_ÜRETİM_İHTİYAÇ_RAPORU_BURAK_YENI1309[[#This Row],[ALT_KOD]])-(SUMIFS(H:H,D:D,DST_123_ÜRETİM_İHTİYAÇ_RAPORU_BURAK_YENI1309[[#This Row],[ALT_KOD]])+AVERAGEIFS(I:I,D:D,DST_123_ÜRETİM_İHTİYAÇ_RAPORU_BURAK_YENI1309[[#This Row],[ALT_KOD]])+AVERAGEIFS(L:L,D:D,DST_123_ÜRETİM_İHTİYAÇ_RAPORU_BURAK_YENI1309[[#This Row],[ALT_KOD]]))</f>
        <v>-281</v>
      </c>
      <c r="L2410">
        <v>0</v>
      </c>
      <c r="M2410">
        <f>IF((DST_123_ÜRETİM_İHTİYAÇ_RAPORU_BURAK_YENI1309[[#This Row],[SATINALMA]]*DST_123_ÜRETİM_İHTİYAÇ_RAPORU_BURAK_YENI1309[[#This Row],[BIRIM_FIYATLAR]])&lt;1,VALUE("0"),DST_123_ÜRETİM_İHTİYAÇ_RAPORU_BURAK_YENI1309[[#This Row],[SATINALMA]]*DST_123_ÜRETİM_İHTİYAÇ_RAPORU_BURAK_YENI1309[[#This Row],[BIRIM_FIYATLAR]])</f>
        <v>0</v>
      </c>
      <c r="N2410">
        <v>210</v>
      </c>
      <c r="O2410" t="s">
        <v>220</v>
      </c>
      <c r="P2410">
        <v>420</v>
      </c>
      <c r="Q2410" t="s">
        <v>221</v>
      </c>
    </row>
    <row r="2411" spans="1:17" x14ac:dyDescent="0.25">
      <c r="A2411" t="s">
        <v>1064</v>
      </c>
      <c r="B2411" t="s">
        <v>1055</v>
      </c>
      <c r="C2411" t="s">
        <v>175</v>
      </c>
      <c r="D2411" t="s">
        <v>454</v>
      </c>
      <c r="E2411" t="s">
        <v>455</v>
      </c>
      <c r="F2411">
        <v>5</v>
      </c>
      <c r="G2411" t="s">
        <v>176</v>
      </c>
      <c r="H2411">
        <v>0</v>
      </c>
      <c r="I2411">
        <v>0</v>
      </c>
      <c r="J2411" s="10">
        <v>93</v>
      </c>
      <c r="K2411" s="10">
        <f>SUMIFS(F:F,D:D,DST_123_ÜRETİM_İHTİYAÇ_RAPORU_BURAK_YENI1309[[#This Row],[ALT_KOD]])-(SUMIFS(H:H,D:D,DST_123_ÜRETİM_İHTİYAÇ_RAPORU_BURAK_YENI1309[[#This Row],[ALT_KOD]])+AVERAGEIFS(I:I,D:D,DST_123_ÜRETİM_İHTİYAÇ_RAPORU_BURAK_YENI1309[[#This Row],[ALT_KOD]])+AVERAGEIFS(L:L,D:D,DST_123_ÜRETİM_İHTİYAÇ_RAPORU_BURAK_YENI1309[[#This Row],[ALT_KOD]]))</f>
        <v>26</v>
      </c>
      <c r="L2411">
        <v>0</v>
      </c>
      <c r="M2411">
        <f>IF((DST_123_ÜRETİM_İHTİYAÇ_RAPORU_BURAK_YENI1309[[#This Row],[SATINALMA]]*DST_123_ÜRETİM_İHTİYAÇ_RAPORU_BURAK_YENI1309[[#This Row],[BIRIM_FIYATLAR]])&lt;1,VALUE("0"),DST_123_ÜRETİM_İHTİYAÇ_RAPORU_BURAK_YENI1309[[#This Row],[SATINALMA]]*DST_123_ÜRETİM_İHTİYAÇ_RAPORU_BURAK_YENI1309[[#This Row],[BIRIM_FIYATLAR]])</f>
        <v>351</v>
      </c>
      <c r="N2411">
        <v>13.5</v>
      </c>
      <c r="O2411" t="s">
        <v>226</v>
      </c>
      <c r="P2411">
        <v>67.5</v>
      </c>
      <c r="Q2411" t="s">
        <v>180</v>
      </c>
    </row>
    <row r="2412" spans="1:17" x14ac:dyDescent="0.25">
      <c r="A2412" t="s">
        <v>1098</v>
      </c>
      <c r="B2412" t="s">
        <v>1096</v>
      </c>
      <c r="C2412" t="s">
        <v>175</v>
      </c>
      <c r="D2412" t="s">
        <v>454</v>
      </c>
      <c r="E2412" t="s">
        <v>455</v>
      </c>
      <c r="F2412">
        <v>2</v>
      </c>
      <c r="G2412" t="s">
        <v>176</v>
      </c>
      <c r="H2412">
        <v>0</v>
      </c>
      <c r="I2412">
        <v>0</v>
      </c>
      <c r="J2412" s="10">
        <v>93</v>
      </c>
      <c r="K2412" s="10">
        <f>SUMIFS(F:F,D:D,DST_123_ÜRETİM_İHTİYAÇ_RAPORU_BURAK_YENI1309[[#This Row],[ALT_KOD]])-(SUMIFS(H:H,D:D,DST_123_ÜRETİM_İHTİYAÇ_RAPORU_BURAK_YENI1309[[#This Row],[ALT_KOD]])+AVERAGEIFS(I:I,D:D,DST_123_ÜRETİM_İHTİYAÇ_RAPORU_BURAK_YENI1309[[#This Row],[ALT_KOD]])+AVERAGEIFS(L:L,D:D,DST_123_ÜRETİM_İHTİYAÇ_RAPORU_BURAK_YENI1309[[#This Row],[ALT_KOD]]))</f>
        <v>26</v>
      </c>
      <c r="L2412">
        <v>0</v>
      </c>
      <c r="M2412">
        <f>IF((DST_123_ÜRETİM_İHTİYAÇ_RAPORU_BURAK_YENI1309[[#This Row],[SATINALMA]]*DST_123_ÜRETİM_İHTİYAÇ_RAPORU_BURAK_YENI1309[[#This Row],[BIRIM_FIYATLAR]])&lt;1,VALUE("0"),DST_123_ÜRETİM_İHTİYAÇ_RAPORU_BURAK_YENI1309[[#This Row],[SATINALMA]]*DST_123_ÜRETİM_İHTİYAÇ_RAPORU_BURAK_YENI1309[[#This Row],[BIRIM_FIYATLAR]])</f>
        <v>351</v>
      </c>
      <c r="N2412">
        <v>13.5</v>
      </c>
      <c r="O2412" t="s">
        <v>226</v>
      </c>
      <c r="P2412">
        <v>27</v>
      </c>
      <c r="Q2412" t="s">
        <v>180</v>
      </c>
    </row>
    <row r="2413" spans="1:17" x14ac:dyDescent="0.25">
      <c r="A2413" t="s">
        <v>1196</v>
      </c>
      <c r="B2413" t="s">
        <v>1197</v>
      </c>
      <c r="C2413" t="s">
        <v>175</v>
      </c>
      <c r="D2413" t="s">
        <v>426</v>
      </c>
      <c r="E2413" t="s">
        <v>427</v>
      </c>
      <c r="F2413">
        <v>1</v>
      </c>
      <c r="G2413" t="s">
        <v>176</v>
      </c>
      <c r="H2413">
        <v>0</v>
      </c>
      <c r="I2413">
        <v>12</v>
      </c>
      <c r="J2413" s="10">
        <v>9</v>
      </c>
      <c r="K2413" s="10">
        <f>SUMIFS(F:F,D:D,DST_123_ÜRETİM_İHTİYAÇ_RAPORU_BURAK_YENI1309[[#This Row],[ALT_KOD]])-(SUMIFS(H:H,D:D,DST_123_ÜRETİM_İHTİYAÇ_RAPORU_BURAK_YENI1309[[#This Row],[ALT_KOD]])+AVERAGEIFS(I:I,D:D,DST_123_ÜRETİM_İHTİYAÇ_RAPORU_BURAK_YENI1309[[#This Row],[ALT_KOD]])+AVERAGEIFS(L:L,D:D,DST_123_ÜRETİM_İHTİYAÇ_RAPORU_BURAK_YENI1309[[#This Row],[ALT_KOD]]))</f>
        <v>0</v>
      </c>
      <c r="L2413">
        <v>0</v>
      </c>
      <c r="M2413">
        <f>IF((DST_123_ÜRETİM_İHTİYAÇ_RAPORU_BURAK_YENI1309[[#This Row],[SATINALMA]]*DST_123_ÜRETİM_İHTİYAÇ_RAPORU_BURAK_YENI1309[[#This Row],[BIRIM_FIYATLAR]])&lt;1,VALUE("0"),DST_123_ÜRETİM_İHTİYAÇ_RAPORU_BURAK_YENI1309[[#This Row],[SATINALMA]]*DST_123_ÜRETİM_İHTİYAÇ_RAPORU_BURAK_YENI1309[[#This Row],[BIRIM_FIYATLAR]])</f>
        <v>0</v>
      </c>
      <c r="N2413">
        <v>266.72000000000003</v>
      </c>
      <c r="O2413" t="s">
        <v>227</v>
      </c>
      <c r="P2413">
        <v>266.72000000000003</v>
      </c>
      <c r="Q2413" t="s">
        <v>221</v>
      </c>
    </row>
    <row r="2414" spans="1:17" x14ac:dyDescent="0.25">
      <c r="A2414" t="s">
        <v>1150</v>
      </c>
      <c r="B2414" t="s">
        <v>1145</v>
      </c>
      <c r="C2414" t="s">
        <v>175</v>
      </c>
      <c r="D2414" t="s">
        <v>38</v>
      </c>
      <c r="E2414" t="s">
        <v>39</v>
      </c>
      <c r="F2414">
        <v>2</v>
      </c>
      <c r="G2414" t="s">
        <v>176</v>
      </c>
      <c r="H2414">
        <v>0</v>
      </c>
      <c r="I2414">
        <v>304</v>
      </c>
      <c r="J2414" s="10">
        <v>13</v>
      </c>
      <c r="K2414" s="10">
        <f>SUMIFS(F:F,D:D,DST_123_ÜRETİM_İHTİYAÇ_RAPORU_BURAK_YENI1309[[#This Row],[ALT_KOD]])-(SUMIFS(H:H,D:D,DST_123_ÜRETİM_İHTİYAÇ_RAPORU_BURAK_YENI1309[[#This Row],[ALT_KOD]])+AVERAGEIFS(I:I,D:D,DST_123_ÜRETİM_İHTİYAÇ_RAPORU_BURAK_YENI1309[[#This Row],[ALT_KOD]])+AVERAGEIFS(L:L,D:D,DST_123_ÜRETİM_İHTİYAÇ_RAPORU_BURAK_YENI1309[[#This Row],[ALT_KOD]]))</f>
        <v>-281</v>
      </c>
      <c r="L2414">
        <v>0</v>
      </c>
      <c r="M2414">
        <f>IF((DST_123_ÜRETİM_İHTİYAÇ_RAPORU_BURAK_YENI1309[[#This Row],[SATINALMA]]*DST_123_ÜRETİM_İHTİYAÇ_RAPORU_BURAK_YENI1309[[#This Row],[BIRIM_FIYATLAR]])&lt;1,VALUE("0"),DST_123_ÜRETİM_İHTİYAÇ_RAPORU_BURAK_YENI1309[[#This Row],[SATINALMA]]*DST_123_ÜRETİM_İHTİYAÇ_RAPORU_BURAK_YENI1309[[#This Row],[BIRIM_FIYATLAR]])</f>
        <v>0</v>
      </c>
      <c r="N2414">
        <v>210</v>
      </c>
      <c r="O2414" t="s">
        <v>220</v>
      </c>
      <c r="P2414">
        <v>420</v>
      </c>
      <c r="Q2414" t="s">
        <v>221</v>
      </c>
    </row>
    <row r="2415" spans="1:17" x14ac:dyDescent="0.25">
      <c r="A2415" t="s">
        <v>1150</v>
      </c>
      <c r="B2415" t="s">
        <v>1145</v>
      </c>
      <c r="C2415" t="s">
        <v>175</v>
      </c>
      <c r="D2415" t="s">
        <v>426</v>
      </c>
      <c r="E2415" t="s">
        <v>427</v>
      </c>
      <c r="F2415">
        <v>1</v>
      </c>
      <c r="G2415" t="s">
        <v>176</v>
      </c>
      <c r="H2415">
        <v>0</v>
      </c>
      <c r="I2415">
        <v>12</v>
      </c>
      <c r="J2415" s="10">
        <v>9</v>
      </c>
      <c r="K2415" s="10">
        <f>SUMIFS(F:F,D:D,DST_123_ÜRETİM_İHTİYAÇ_RAPORU_BURAK_YENI1309[[#This Row],[ALT_KOD]])-(SUMIFS(H:H,D:D,DST_123_ÜRETİM_İHTİYAÇ_RAPORU_BURAK_YENI1309[[#This Row],[ALT_KOD]])+AVERAGEIFS(I:I,D:D,DST_123_ÜRETİM_İHTİYAÇ_RAPORU_BURAK_YENI1309[[#This Row],[ALT_KOD]])+AVERAGEIFS(L:L,D:D,DST_123_ÜRETİM_İHTİYAÇ_RAPORU_BURAK_YENI1309[[#This Row],[ALT_KOD]]))</f>
        <v>0</v>
      </c>
      <c r="L2415">
        <v>0</v>
      </c>
      <c r="M2415">
        <f>IF((DST_123_ÜRETİM_İHTİYAÇ_RAPORU_BURAK_YENI1309[[#This Row],[SATINALMA]]*DST_123_ÜRETİM_İHTİYAÇ_RAPORU_BURAK_YENI1309[[#This Row],[BIRIM_FIYATLAR]])&lt;1,VALUE("0"),DST_123_ÜRETİM_İHTİYAÇ_RAPORU_BURAK_YENI1309[[#This Row],[SATINALMA]]*DST_123_ÜRETİM_İHTİYAÇ_RAPORU_BURAK_YENI1309[[#This Row],[BIRIM_FIYATLAR]])</f>
        <v>0</v>
      </c>
      <c r="N2415">
        <v>266.72000000000003</v>
      </c>
      <c r="O2415" t="s">
        <v>227</v>
      </c>
      <c r="P2415">
        <v>266.72000000000003</v>
      </c>
      <c r="Q2415" t="s">
        <v>221</v>
      </c>
    </row>
    <row r="2416" spans="1:17" x14ac:dyDescent="0.25">
      <c r="A2416" t="s">
        <v>1098</v>
      </c>
      <c r="B2416" t="s">
        <v>1096</v>
      </c>
      <c r="C2416" t="s">
        <v>175</v>
      </c>
      <c r="D2416" t="s">
        <v>38</v>
      </c>
      <c r="E2416" t="s">
        <v>39</v>
      </c>
      <c r="F2416">
        <v>2</v>
      </c>
      <c r="G2416" t="s">
        <v>176</v>
      </c>
      <c r="H2416">
        <v>0</v>
      </c>
      <c r="I2416">
        <v>304</v>
      </c>
      <c r="J2416" s="10">
        <v>13</v>
      </c>
      <c r="K2416" s="10">
        <f>SUMIFS(F:F,D:D,DST_123_ÜRETİM_İHTİYAÇ_RAPORU_BURAK_YENI1309[[#This Row],[ALT_KOD]])-(SUMIFS(H:H,D:D,DST_123_ÜRETİM_İHTİYAÇ_RAPORU_BURAK_YENI1309[[#This Row],[ALT_KOD]])+AVERAGEIFS(I:I,D:D,DST_123_ÜRETİM_İHTİYAÇ_RAPORU_BURAK_YENI1309[[#This Row],[ALT_KOD]])+AVERAGEIFS(L:L,D:D,DST_123_ÜRETİM_İHTİYAÇ_RAPORU_BURAK_YENI1309[[#This Row],[ALT_KOD]]))</f>
        <v>-281</v>
      </c>
      <c r="L2416">
        <v>0</v>
      </c>
      <c r="M2416">
        <f>IF((DST_123_ÜRETİM_İHTİYAÇ_RAPORU_BURAK_YENI1309[[#This Row],[SATINALMA]]*DST_123_ÜRETİM_İHTİYAÇ_RAPORU_BURAK_YENI1309[[#This Row],[BIRIM_FIYATLAR]])&lt;1,VALUE("0"),DST_123_ÜRETİM_İHTİYAÇ_RAPORU_BURAK_YENI1309[[#This Row],[SATINALMA]]*DST_123_ÜRETİM_İHTİYAÇ_RAPORU_BURAK_YENI1309[[#This Row],[BIRIM_FIYATLAR]])</f>
        <v>0</v>
      </c>
      <c r="N2416">
        <v>210</v>
      </c>
      <c r="O2416" t="s">
        <v>220</v>
      </c>
      <c r="P2416">
        <v>420</v>
      </c>
      <c r="Q2416" t="s">
        <v>221</v>
      </c>
    </row>
    <row r="2417" spans="1:17" x14ac:dyDescent="0.25">
      <c r="A2417" t="s">
        <v>1098</v>
      </c>
      <c r="B2417" t="s">
        <v>1096</v>
      </c>
      <c r="C2417" t="s">
        <v>175</v>
      </c>
      <c r="D2417" t="s">
        <v>426</v>
      </c>
      <c r="E2417" t="s">
        <v>427</v>
      </c>
      <c r="F2417">
        <v>1</v>
      </c>
      <c r="G2417" t="s">
        <v>176</v>
      </c>
      <c r="H2417">
        <v>0</v>
      </c>
      <c r="I2417">
        <v>12</v>
      </c>
      <c r="J2417" s="10">
        <v>9</v>
      </c>
      <c r="K2417" s="10">
        <f>SUMIFS(F:F,D:D,DST_123_ÜRETİM_İHTİYAÇ_RAPORU_BURAK_YENI1309[[#This Row],[ALT_KOD]])-(SUMIFS(H:H,D:D,DST_123_ÜRETİM_İHTİYAÇ_RAPORU_BURAK_YENI1309[[#This Row],[ALT_KOD]])+AVERAGEIFS(I:I,D:D,DST_123_ÜRETİM_İHTİYAÇ_RAPORU_BURAK_YENI1309[[#This Row],[ALT_KOD]])+AVERAGEIFS(L:L,D:D,DST_123_ÜRETİM_İHTİYAÇ_RAPORU_BURAK_YENI1309[[#This Row],[ALT_KOD]]))</f>
        <v>0</v>
      </c>
      <c r="L2417">
        <v>0</v>
      </c>
      <c r="M2417">
        <f>IF((DST_123_ÜRETİM_İHTİYAÇ_RAPORU_BURAK_YENI1309[[#This Row],[SATINALMA]]*DST_123_ÜRETİM_İHTİYAÇ_RAPORU_BURAK_YENI1309[[#This Row],[BIRIM_FIYATLAR]])&lt;1,VALUE("0"),DST_123_ÜRETİM_İHTİYAÇ_RAPORU_BURAK_YENI1309[[#This Row],[SATINALMA]]*DST_123_ÜRETİM_İHTİYAÇ_RAPORU_BURAK_YENI1309[[#This Row],[BIRIM_FIYATLAR]])</f>
        <v>0</v>
      </c>
      <c r="N2417">
        <v>266.72000000000003</v>
      </c>
      <c r="O2417" t="s">
        <v>227</v>
      </c>
      <c r="P2417">
        <v>266.72000000000003</v>
      </c>
      <c r="Q2417" t="s">
        <v>221</v>
      </c>
    </row>
    <row r="2418" spans="1:17" x14ac:dyDescent="0.25">
      <c r="A2418" t="s">
        <v>1099</v>
      </c>
      <c r="B2418" t="s">
        <v>1055</v>
      </c>
      <c r="C2418" t="s">
        <v>175</v>
      </c>
      <c r="D2418" t="s">
        <v>454</v>
      </c>
      <c r="E2418" t="s">
        <v>455</v>
      </c>
      <c r="F2418">
        <v>2</v>
      </c>
      <c r="G2418" t="s">
        <v>176</v>
      </c>
      <c r="H2418">
        <v>0</v>
      </c>
      <c r="I2418">
        <v>0</v>
      </c>
      <c r="J2418" s="10">
        <v>93</v>
      </c>
      <c r="K2418" s="10">
        <f>SUMIFS(F:F,D:D,DST_123_ÜRETİM_İHTİYAÇ_RAPORU_BURAK_YENI1309[[#This Row],[ALT_KOD]])-(SUMIFS(H:H,D:D,DST_123_ÜRETİM_İHTİYAÇ_RAPORU_BURAK_YENI1309[[#This Row],[ALT_KOD]])+AVERAGEIFS(I:I,D:D,DST_123_ÜRETİM_İHTİYAÇ_RAPORU_BURAK_YENI1309[[#This Row],[ALT_KOD]])+AVERAGEIFS(L:L,D:D,DST_123_ÜRETİM_İHTİYAÇ_RAPORU_BURAK_YENI1309[[#This Row],[ALT_KOD]]))</f>
        <v>26</v>
      </c>
      <c r="L2418">
        <v>0</v>
      </c>
      <c r="M2418">
        <f>IF((DST_123_ÜRETİM_İHTİYAÇ_RAPORU_BURAK_YENI1309[[#This Row],[SATINALMA]]*DST_123_ÜRETİM_İHTİYAÇ_RAPORU_BURAK_YENI1309[[#This Row],[BIRIM_FIYATLAR]])&lt;1,VALUE("0"),DST_123_ÜRETİM_İHTİYAÇ_RAPORU_BURAK_YENI1309[[#This Row],[SATINALMA]]*DST_123_ÜRETİM_İHTİYAÇ_RAPORU_BURAK_YENI1309[[#This Row],[BIRIM_FIYATLAR]])</f>
        <v>351</v>
      </c>
      <c r="N2418">
        <v>13.5</v>
      </c>
      <c r="O2418" t="s">
        <v>226</v>
      </c>
      <c r="P2418">
        <v>27</v>
      </c>
      <c r="Q2418" t="s">
        <v>180</v>
      </c>
    </row>
    <row r="2419" spans="1:17" x14ac:dyDescent="0.25">
      <c r="A2419" t="s">
        <v>1142</v>
      </c>
      <c r="B2419" t="s">
        <v>1056</v>
      </c>
      <c r="C2419" t="s">
        <v>175</v>
      </c>
      <c r="D2419" t="s">
        <v>38</v>
      </c>
      <c r="E2419" t="s">
        <v>39</v>
      </c>
      <c r="F2419">
        <v>2</v>
      </c>
      <c r="G2419" t="s">
        <v>176</v>
      </c>
      <c r="H2419">
        <v>0</v>
      </c>
      <c r="I2419">
        <v>304</v>
      </c>
      <c r="J2419" s="10">
        <v>13</v>
      </c>
      <c r="K2419" s="10">
        <f>SUMIFS(F:F,D:D,DST_123_ÜRETİM_İHTİYAÇ_RAPORU_BURAK_YENI1309[[#This Row],[ALT_KOD]])-(SUMIFS(H:H,D:D,DST_123_ÜRETİM_İHTİYAÇ_RAPORU_BURAK_YENI1309[[#This Row],[ALT_KOD]])+AVERAGEIFS(I:I,D:D,DST_123_ÜRETİM_İHTİYAÇ_RAPORU_BURAK_YENI1309[[#This Row],[ALT_KOD]])+AVERAGEIFS(L:L,D:D,DST_123_ÜRETİM_İHTİYAÇ_RAPORU_BURAK_YENI1309[[#This Row],[ALT_KOD]]))</f>
        <v>-281</v>
      </c>
      <c r="L2419">
        <v>0</v>
      </c>
      <c r="M2419">
        <f>IF((DST_123_ÜRETİM_İHTİYAÇ_RAPORU_BURAK_YENI1309[[#This Row],[SATINALMA]]*DST_123_ÜRETİM_İHTİYAÇ_RAPORU_BURAK_YENI1309[[#This Row],[BIRIM_FIYATLAR]])&lt;1,VALUE("0"),DST_123_ÜRETİM_İHTİYAÇ_RAPORU_BURAK_YENI1309[[#This Row],[SATINALMA]]*DST_123_ÜRETİM_İHTİYAÇ_RAPORU_BURAK_YENI1309[[#This Row],[BIRIM_FIYATLAR]])</f>
        <v>0</v>
      </c>
      <c r="N2419">
        <v>210</v>
      </c>
      <c r="O2419" t="s">
        <v>220</v>
      </c>
      <c r="P2419">
        <v>420</v>
      </c>
      <c r="Q2419" t="s">
        <v>221</v>
      </c>
    </row>
    <row r="2420" spans="1:17" x14ac:dyDescent="0.25">
      <c r="A2420" t="s">
        <v>1057</v>
      </c>
      <c r="B2420" t="s">
        <v>1058</v>
      </c>
      <c r="C2420" t="s">
        <v>175</v>
      </c>
      <c r="D2420" t="s">
        <v>454</v>
      </c>
      <c r="E2420" t="s">
        <v>455</v>
      </c>
      <c r="F2420">
        <v>1</v>
      </c>
      <c r="G2420" t="s">
        <v>176</v>
      </c>
      <c r="H2420">
        <v>0</v>
      </c>
      <c r="I2420">
        <v>0</v>
      </c>
      <c r="J2420" s="10">
        <v>93</v>
      </c>
      <c r="K2420" s="10">
        <f>SUMIFS(F:F,D:D,DST_123_ÜRETİM_İHTİYAÇ_RAPORU_BURAK_YENI1309[[#This Row],[ALT_KOD]])-(SUMIFS(H:H,D:D,DST_123_ÜRETİM_İHTİYAÇ_RAPORU_BURAK_YENI1309[[#This Row],[ALT_KOD]])+AVERAGEIFS(I:I,D:D,DST_123_ÜRETİM_İHTİYAÇ_RAPORU_BURAK_YENI1309[[#This Row],[ALT_KOD]])+AVERAGEIFS(L:L,D:D,DST_123_ÜRETİM_İHTİYAÇ_RAPORU_BURAK_YENI1309[[#This Row],[ALT_KOD]]))</f>
        <v>26</v>
      </c>
      <c r="L2420">
        <v>0</v>
      </c>
      <c r="M2420">
        <f>IF((DST_123_ÜRETİM_İHTİYAÇ_RAPORU_BURAK_YENI1309[[#This Row],[SATINALMA]]*DST_123_ÜRETİM_İHTİYAÇ_RAPORU_BURAK_YENI1309[[#This Row],[BIRIM_FIYATLAR]])&lt;1,VALUE("0"),DST_123_ÜRETİM_İHTİYAÇ_RAPORU_BURAK_YENI1309[[#This Row],[SATINALMA]]*DST_123_ÜRETİM_İHTİYAÇ_RAPORU_BURAK_YENI1309[[#This Row],[BIRIM_FIYATLAR]])</f>
        <v>351</v>
      </c>
      <c r="N2420">
        <v>13.5</v>
      </c>
      <c r="O2420" t="s">
        <v>226</v>
      </c>
      <c r="P2420">
        <v>13.5</v>
      </c>
      <c r="Q2420" t="s">
        <v>180</v>
      </c>
    </row>
    <row r="2421" spans="1:17" x14ac:dyDescent="0.25">
      <c r="A2421" t="s">
        <v>1147</v>
      </c>
      <c r="B2421" t="s">
        <v>1145</v>
      </c>
      <c r="C2421" t="s">
        <v>175</v>
      </c>
      <c r="D2421" t="s">
        <v>38</v>
      </c>
      <c r="E2421" t="s">
        <v>39</v>
      </c>
      <c r="F2421">
        <v>2</v>
      </c>
      <c r="G2421" t="s">
        <v>176</v>
      </c>
      <c r="H2421">
        <v>0</v>
      </c>
      <c r="I2421">
        <v>304</v>
      </c>
      <c r="J2421" s="10">
        <v>13</v>
      </c>
      <c r="K2421" s="10">
        <f>SUMIFS(F:F,D:D,DST_123_ÜRETİM_İHTİYAÇ_RAPORU_BURAK_YENI1309[[#This Row],[ALT_KOD]])-(SUMIFS(H:H,D:D,DST_123_ÜRETİM_İHTİYAÇ_RAPORU_BURAK_YENI1309[[#This Row],[ALT_KOD]])+AVERAGEIFS(I:I,D:D,DST_123_ÜRETİM_İHTİYAÇ_RAPORU_BURAK_YENI1309[[#This Row],[ALT_KOD]])+AVERAGEIFS(L:L,D:D,DST_123_ÜRETİM_İHTİYAÇ_RAPORU_BURAK_YENI1309[[#This Row],[ALT_KOD]]))</f>
        <v>-281</v>
      </c>
      <c r="L2421">
        <v>0</v>
      </c>
      <c r="M2421">
        <f>IF((DST_123_ÜRETİM_İHTİYAÇ_RAPORU_BURAK_YENI1309[[#This Row],[SATINALMA]]*DST_123_ÜRETİM_İHTİYAÇ_RAPORU_BURAK_YENI1309[[#This Row],[BIRIM_FIYATLAR]])&lt;1,VALUE("0"),DST_123_ÜRETİM_İHTİYAÇ_RAPORU_BURAK_YENI1309[[#This Row],[SATINALMA]]*DST_123_ÜRETİM_İHTİYAÇ_RAPORU_BURAK_YENI1309[[#This Row],[BIRIM_FIYATLAR]])</f>
        <v>0</v>
      </c>
      <c r="N2421">
        <v>210</v>
      </c>
      <c r="O2421" t="s">
        <v>220</v>
      </c>
      <c r="P2421">
        <v>420</v>
      </c>
      <c r="Q2421" t="s">
        <v>221</v>
      </c>
    </row>
    <row r="2422" spans="1:17" x14ac:dyDescent="0.25">
      <c r="A2422" t="s">
        <v>1148</v>
      </c>
      <c r="B2422" t="s">
        <v>1056</v>
      </c>
      <c r="C2422" t="s">
        <v>175</v>
      </c>
      <c r="D2422" t="s">
        <v>38</v>
      </c>
      <c r="E2422" t="s">
        <v>39</v>
      </c>
      <c r="F2422">
        <v>2</v>
      </c>
      <c r="G2422" t="s">
        <v>176</v>
      </c>
      <c r="H2422">
        <v>0</v>
      </c>
      <c r="I2422">
        <v>304</v>
      </c>
      <c r="J2422" s="10">
        <v>13</v>
      </c>
      <c r="K2422" s="10">
        <f>SUMIFS(F:F,D:D,DST_123_ÜRETİM_İHTİYAÇ_RAPORU_BURAK_YENI1309[[#This Row],[ALT_KOD]])-(SUMIFS(H:H,D:D,DST_123_ÜRETİM_İHTİYAÇ_RAPORU_BURAK_YENI1309[[#This Row],[ALT_KOD]])+AVERAGEIFS(I:I,D:D,DST_123_ÜRETİM_İHTİYAÇ_RAPORU_BURAK_YENI1309[[#This Row],[ALT_KOD]])+AVERAGEIFS(L:L,D:D,DST_123_ÜRETİM_İHTİYAÇ_RAPORU_BURAK_YENI1309[[#This Row],[ALT_KOD]]))</f>
        <v>-281</v>
      </c>
      <c r="L2422">
        <v>0</v>
      </c>
      <c r="M2422">
        <f>IF((DST_123_ÜRETİM_İHTİYAÇ_RAPORU_BURAK_YENI1309[[#This Row],[SATINALMA]]*DST_123_ÜRETİM_İHTİYAÇ_RAPORU_BURAK_YENI1309[[#This Row],[BIRIM_FIYATLAR]])&lt;1,VALUE("0"),DST_123_ÜRETİM_İHTİYAÇ_RAPORU_BURAK_YENI1309[[#This Row],[SATINALMA]]*DST_123_ÜRETİM_İHTİYAÇ_RAPORU_BURAK_YENI1309[[#This Row],[BIRIM_FIYATLAR]])</f>
        <v>0</v>
      </c>
      <c r="N2422">
        <v>210</v>
      </c>
      <c r="O2422" t="s">
        <v>220</v>
      </c>
      <c r="P2422">
        <v>420</v>
      </c>
      <c r="Q2422" t="s">
        <v>221</v>
      </c>
    </row>
    <row r="2423" spans="1:17" x14ac:dyDescent="0.25">
      <c r="A2423" t="s">
        <v>1101</v>
      </c>
      <c r="B2423" t="s">
        <v>1102</v>
      </c>
      <c r="C2423" t="s">
        <v>175</v>
      </c>
      <c r="D2423" t="s">
        <v>454</v>
      </c>
      <c r="E2423" t="s">
        <v>455</v>
      </c>
      <c r="F2423">
        <v>2</v>
      </c>
      <c r="G2423" t="s">
        <v>176</v>
      </c>
      <c r="H2423">
        <v>0</v>
      </c>
      <c r="I2423">
        <v>0</v>
      </c>
      <c r="J2423" s="10">
        <v>93</v>
      </c>
      <c r="K2423" s="10">
        <f>SUMIFS(F:F,D:D,DST_123_ÜRETİM_İHTİYAÇ_RAPORU_BURAK_YENI1309[[#This Row],[ALT_KOD]])-(SUMIFS(H:H,D:D,DST_123_ÜRETİM_İHTİYAÇ_RAPORU_BURAK_YENI1309[[#This Row],[ALT_KOD]])+AVERAGEIFS(I:I,D:D,DST_123_ÜRETİM_İHTİYAÇ_RAPORU_BURAK_YENI1309[[#This Row],[ALT_KOD]])+AVERAGEIFS(L:L,D:D,DST_123_ÜRETİM_İHTİYAÇ_RAPORU_BURAK_YENI1309[[#This Row],[ALT_KOD]]))</f>
        <v>26</v>
      </c>
      <c r="L2423">
        <v>0</v>
      </c>
      <c r="M2423">
        <f>IF((DST_123_ÜRETİM_İHTİYAÇ_RAPORU_BURAK_YENI1309[[#This Row],[SATINALMA]]*DST_123_ÜRETİM_İHTİYAÇ_RAPORU_BURAK_YENI1309[[#This Row],[BIRIM_FIYATLAR]])&lt;1,VALUE("0"),DST_123_ÜRETİM_İHTİYAÇ_RAPORU_BURAK_YENI1309[[#This Row],[SATINALMA]]*DST_123_ÜRETİM_İHTİYAÇ_RAPORU_BURAK_YENI1309[[#This Row],[BIRIM_FIYATLAR]])</f>
        <v>351</v>
      </c>
      <c r="N2423">
        <v>13.5</v>
      </c>
      <c r="O2423" t="s">
        <v>226</v>
      </c>
      <c r="P2423">
        <v>27</v>
      </c>
      <c r="Q2423" t="s">
        <v>180</v>
      </c>
    </row>
    <row r="2424" spans="1:17" x14ac:dyDescent="0.25">
      <c r="A2424" t="s">
        <v>1143</v>
      </c>
      <c r="B2424" t="s">
        <v>1056</v>
      </c>
      <c r="C2424" t="s">
        <v>175</v>
      </c>
      <c r="D2424" t="s">
        <v>454</v>
      </c>
      <c r="E2424" t="s">
        <v>455</v>
      </c>
      <c r="F2424">
        <v>3</v>
      </c>
      <c r="G2424" t="s">
        <v>176</v>
      </c>
      <c r="H2424">
        <v>0</v>
      </c>
      <c r="I2424">
        <v>0</v>
      </c>
      <c r="J2424" s="10">
        <v>93</v>
      </c>
      <c r="K2424" s="10">
        <f>SUMIFS(F:F,D:D,DST_123_ÜRETİM_İHTİYAÇ_RAPORU_BURAK_YENI1309[[#This Row],[ALT_KOD]])-(SUMIFS(H:H,D:D,DST_123_ÜRETİM_İHTİYAÇ_RAPORU_BURAK_YENI1309[[#This Row],[ALT_KOD]])+AVERAGEIFS(I:I,D:D,DST_123_ÜRETİM_İHTİYAÇ_RAPORU_BURAK_YENI1309[[#This Row],[ALT_KOD]])+AVERAGEIFS(L:L,D:D,DST_123_ÜRETİM_İHTİYAÇ_RAPORU_BURAK_YENI1309[[#This Row],[ALT_KOD]]))</f>
        <v>26</v>
      </c>
      <c r="L2424">
        <v>0</v>
      </c>
      <c r="M2424">
        <f>IF((DST_123_ÜRETİM_İHTİYAÇ_RAPORU_BURAK_YENI1309[[#This Row],[SATINALMA]]*DST_123_ÜRETİM_İHTİYAÇ_RAPORU_BURAK_YENI1309[[#This Row],[BIRIM_FIYATLAR]])&lt;1,VALUE("0"),DST_123_ÜRETİM_İHTİYAÇ_RAPORU_BURAK_YENI1309[[#This Row],[SATINALMA]]*DST_123_ÜRETİM_İHTİYAÇ_RAPORU_BURAK_YENI1309[[#This Row],[BIRIM_FIYATLAR]])</f>
        <v>351</v>
      </c>
      <c r="N2424">
        <v>13.5</v>
      </c>
      <c r="O2424" t="s">
        <v>226</v>
      </c>
      <c r="P2424">
        <v>40.5</v>
      </c>
      <c r="Q2424" t="s">
        <v>180</v>
      </c>
    </row>
    <row r="2425" spans="1:17" x14ac:dyDescent="0.25">
      <c r="A2425" t="s">
        <v>1095</v>
      </c>
      <c r="B2425" t="s">
        <v>1096</v>
      </c>
      <c r="C2425" t="s">
        <v>175</v>
      </c>
      <c r="D2425" t="s">
        <v>38</v>
      </c>
      <c r="E2425" t="s">
        <v>39</v>
      </c>
      <c r="F2425">
        <v>2</v>
      </c>
      <c r="G2425" t="s">
        <v>176</v>
      </c>
      <c r="H2425">
        <v>0</v>
      </c>
      <c r="I2425">
        <v>304</v>
      </c>
      <c r="J2425" s="10">
        <v>13</v>
      </c>
      <c r="K2425" s="10">
        <f>SUMIFS(F:F,D:D,DST_123_ÜRETİM_İHTİYAÇ_RAPORU_BURAK_YENI1309[[#This Row],[ALT_KOD]])-(SUMIFS(H:H,D:D,DST_123_ÜRETİM_İHTİYAÇ_RAPORU_BURAK_YENI1309[[#This Row],[ALT_KOD]])+AVERAGEIFS(I:I,D:D,DST_123_ÜRETİM_İHTİYAÇ_RAPORU_BURAK_YENI1309[[#This Row],[ALT_KOD]])+AVERAGEIFS(L:L,D:D,DST_123_ÜRETİM_İHTİYAÇ_RAPORU_BURAK_YENI1309[[#This Row],[ALT_KOD]]))</f>
        <v>-281</v>
      </c>
      <c r="L2425">
        <v>0</v>
      </c>
      <c r="M2425">
        <f>IF((DST_123_ÜRETİM_İHTİYAÇ_RAPORU_BURAK_YENI1309[[#This Row],[SATINALMA]]*DST_123_ÜRETİM_İHTİYAÇ_RAPORU_BURAK_YENI1309[[#This Row],[BIRIM_FIYATLAR]])&lt;1,VALUE("0"),DST_123_ÜRETİM_İHTİYAÇ_RAPORU_BURAK_YENI1309[[#This Row],[SATINALMA]]*DST_123_ÜRETİM_İHTİYAÇ_RAPORU_BURAK_YENI1309[[#This Row],[BIRIM_FIYATLAR]])</f>
        <v>0</v>
      </c>
      <c r="N2425">
        <v>210</v>
      </c>
      <c r="O2425" t="s">
        <v>220</v>
      </c>
      <c r="P2425">
        <v>420</v>
      </c>
      <c r="Q2425" t="s">
        <v>221</v>
      </c>
    </row>
    <row r="2426" spans="1:17" x14ac:dyDescent="0.25">
      <c r="A2426" t="s">
        <v>1143</v>
      </c>
      <c r="B2426" t="s">
        <v>1056</v>
      </c>
      <c r="C2426" t="s">
        <v>175</v>
      </c>
      <c r="D2426" t="s">
        <v>38</v>
      </c>
      <c r="E2426" t="s">
        <v>39</v>
      </c>
      <c r="F2426">
        <v>2</v>
      </c>
      <c r="G2426" t="s">
        <v>176</v>
      </c>
      <c r="H2426">
        <v>0</v>
      </c>
      <c r="I2426">
        <v>304</v>
      </c>
      <c r="J2426" s="10">
        <v>13</v>
      </c>
      <c r="K2426" s="10">
        <f>SUMIFS(F:F,D:D,DST_123_ÜRETİM_İHTİYAÇ_RAPORU_BURAK_YENI1309[[#This Row],[ALT_KOD]])-(SUMIFS(H:H,D:D,DST_123_ÜRETİM_İHTİYAÇ_RAPORU_BURAK_YENI1309[[#This Row],[ALT_KOD]])+AVERAGEIFS(I:I,D:D,DST_123_ÜRETİM_İHTİYAÇ_RAPORU_BURAK_YENI1309[[#This Row],[ALT_KOD]])+AVERAGEIFS(L:L,D:D,DST_123_ÜRETİM_İHTİYAÇ_RAPORU_BURAK_YENI1309[[#This Row],[ALT_KOD]]))</f>
        <v>-281</v>
      </c>
      <c r="L2426">
        <v>0</v>
      </c>
      <c r="M2426">
        <f>IF((DST_123_ÜRETİM_İHTİYAÇ_RAPORU_BURAK_YENI1309[[#This Row],[SATINALMA]]*DST_123_ÜRETİM_İHTİYAÇ_RAPORU_BURAK_YENI1309[[#This Row],[BIRIM_FIYATLAR]])&lt;1,VALUE("0"),DST_123_ÜRETİM_İHTİYAÇ_RAPORU_BURAK_YENI1309[[#This Row],[SATINALMA]]*DST_123_ÜRETİM_İHTİYAÇ_RAPORU_BURAK_YENI1309[[#This Row],[BIRIM_FIYATLAR]])</f>
        <v>0</v>
      </c>
      <c r="N2426">
        <v>210</v>
      </c>
      <c r="O2426" t="s">
        <v>220</v>
      </c>
      <c r="P2426">
        <v>420</v>
      </c>
      <c r="Q2426" t="s">
        <v>221</v>
      </c>
    </row>
    <row r="2427" spans="1:17" x14ac:dyDescent="0.25">
      <c r="A2427" t="s">
        <v>1097</v>
      </c>
      <c r="B2427" t="s">
        <v>1055</v>
      </c>
      <c r="C2427" t="s">
        <v>175</v>
      </c>
      <c r="D2427" t="s">
        <v>454</v>
      </c>
      <c r="E2427" t="s">
        <v>455</v>
      </c>
      <c r="F2427">
        <v>5</v>
      </c>
      <c r="G2427" t="s">
        <v>176</v>
      </c>
      <c r="H2427">
        <v>0</v>
      </c>
      <c r="I2427">
        <v>0</v>
      </c>
      <c r="J2427" s="10">
        <v>93</v>
      </c>
      <c r="K2427" s="10">
        <f>SUMIFS(F:F,D:D,DST_123_ÜRETİM_İHTİYAÇ_RAPORU_BURAK_YENI1309[[#This Row],[ALT_KOD]])-(SUMIFS(H:H,D:D,DST_123_ÜRETİM_İHTİYAÇ_RAPORU_BURAK_YENI1309[[#This Row],[ALT_KOD]])+AVERAGEIFS(I:I,D:D,DST_123_ÜRETİM_İHTİYAÇ_RAPORU_BURAK_YENI1309[[#This Row],[ALT_KOD]])+AVERAGEIFS(L:L,D:D,DST_123_ÜRETİM_İHTİYAÇ_RAPORU_BURAK_YENI1309[[#This Row],[ALT_KOD]]))</f>
        <v>26</v>
      </c>
      <c r="L2427">
        <v>0</v>
      </c>
      <c r="M2427">
        <f>IF((DST_123_ÜRETİM_İHTİYAÇ_RAPORU_BURAK_YENI1309[[#This Row],[SATINALMA]]*DST_123_ÜRETİM_İHTİYAÇ_RAPORU_BURAK_YENI1309[[#This Row],[BIRIM_FIYATLAR]])&lt;1,VALUE("0"),DST_123_ÜRETİM_İHTİYAÇ_RAPORU_BURAK_YENI1309[[#This Row],[SATINALMA]]*DST_123_ÜRETİM_İHTİYAÇ_RAPORU_BURAK_YENI1309[[#This Row],[BIRIM_FIYATLAR]])</f>
        <v>351</v>
      </c>
      <c r="N2427">
        <v>13.5</v>
      </c>
      <c r="O2427" t="s">
        <v>226</v>
      </c>
      <c r="P2427">
        <v>67.5</v>
      </c>
      <c r="Q2427" t="s">
        <v>180</v>
      </c>
    </row>
    <row r="2428" spans="1:17" x14ac:dyDescent="0.25">
      <c r="A2428" t="s">
        <v>1095</v>
      </c>
      <c r="B2428" t="s">
        <v>1096</v>
      </c>
      <c r="C2428" t="s">
        <v>175</v>
      </c>
      <c r="D2428" t="s">
        <v>426</v>
      </c>
      <c r="E2428" t="s">
        <v>427</v>
      </c>
      <c r="F2428">
        <v>1</v>
      </c>
      <c r="G2428" t="s">
        <v>176</v>
      </c>
      <c r="H2428">
        <v>0</v>
      </c>
      <c r="I2428">
        <v>12</v>
      </c>
      <c r="J2428" s="10">
        <v>9</v>
      </c>
      <c r="K2428" s="10">
        <f>SUMIFS(F:F,D:D,DST_123_ÜRETİM_İHTİYAÇ_RAPORU_BURAK_YENI1309[[#This Row],[ALT_KOD]])-(SUMIFS(H:H,D:D,DST_123_ÜRETİM_İHTİYAÇ_RAPORU_BURAK_YENI1309[[#This Row],[ALT_KOD]])+AVERAGEIFS(I:I,D:D,DST_123_ÜRETİM_İHTİYAÇ_RAPORU_BURAK_YENI1309[[#This Row],[ALT_KOD]])+AVERAGEIFS(L:L,D:D,DST_123_ÜRETİM_İHTİYAÇ_RAPORU_BURAK_YENI1309[[#This Row],[ALT_KOD]]))</f>
        <v>0</v>
      </c>
      <c r="L2428">
        <v>0</v>
      </c>
      <c r="M2428">
        <f>IF((DST_123_ÜRETİM_İHTİYAÇ_RAPORU_BURAK_YENI1309[[#This Row],[SATINALMA]]*DST_123_ÜRETİM_İHTİYAÇ_RAPORU_BURAK_YENI1309[[#This Row],[BIRIM_FIYATLAR]])&lt;1,VALUE("0"),DST_123_ÜRETİM_İHTİYAÇ_RAPORU_BURAK_YENI1309[[#This Row],[SATINALMA]]*DST_123_ÜRETİM_İHTİYAÇ_RAPORU_BURAK_YENI1309[[#This Row],[BIRIM_FIYATLAR]])</f>
        <v>0</v>
      </c>
      <c r="N2428">
        <v>266.72000000000003</v>
      </c>
      <c r="O2428" t="s">
        <v>227</v>
      </c>
      <c r="P2428">
        <v>266.72000000000003</v>
      </c>
      <c r="Q2428" t="s">
        <v>221</v>
      </c>
    </row>
    <row r="2429" spans="1:17" x14ac:dyDescent="0.25">
      <c r="A2429" t="s">
        <v>1101</v>
      </c>
      <c r="B2429" t="s">
        <v>1102</v>
      </c>
      <c r="C2429" t="s">
        <v>175</v>
      </c>
      <c r="D2429" t="s">
        <v>40</v>
      </c>
      <c r="E2429" t="s">
        <v>41</v>
      </c>
      <c r="F2429">
        <v>2</v>
      </c>
      <c r="G2429" t="s">
        <v>176</v>
      </c>
      <c r="H2429">
        <v>2</v>
      </c>
      <c r="I2429">
        <v>28</v>
      </c>
      <c r="J2429" s="10">
        <v>5</v>
      </c>
      <c r="K2429" s="10">
        <f>SUMIFS(F:F,D:D,DST_123_ÜRETİM_İHTİYAÇ_RAPORU_BURAK_YENI1309[[#This Row],[ALT_KOD]])-(SUMIFS(H:H,D:D,DST_123_ÜRETİM_İHTİYAÇ_RAPORU_BURAK_YENI1309[[#This Row],[ALT_KOD]])+AVERAGEIFS(I:I,D:D,DST_123_ÜRETİM_İHTİYAÇ_RAPORU_BURAK_YENI1309[[#This Row],[ALT_KOD]])+AVERAGEIFS(L:L,D:D,DST_123_ÜRETİM_İHTİYAÇ_RAPORU_BURAK_YENI1309[[#This Row],[ALT_KOD]]))</f>
        <v>-28</v>
      </c>
      <c r="L2429">
        <v>0</v>
      </c>
      <c r="M2429">
        <f>IF((DST_123_ÜRETİM_İHTİYAÇ_RAPORU_BURAK_YENI1309[[#This Row],[SATINALMA]]*DST_123_ÜRETİM_İHTİYAÇ_RAPORU_BURAK_YENI1309[[#This Row],[BIRIM_FIYATLAR]])&lt;1,VALUE("0"),DST_123_ÜRETİM_İHTİYAÇ_RAPORU_BURAK_YENI1309[[#This Row],[SATINALMA]]*DST_123_ÜRETİM_İHTİYAÇ_RAPORU_BURAK_YENI1309[[#This Row],[BIRIM_FIYATLAR]])</f>
        <v>0</v>
      </c>
      <c r="N2429">
        <v>90</v>
      </c>
      <c r="O2429" t="s">
        <v>226</v>
      </c>
      <c r="P2429">
        <v>180</v>
      </c>
      <c r="Q2429" t="s">
        <v>180</v>
      </c>
    </row>
    <row r="2430" spans="1:17" x14ac:dyDescent="0.25">
      <c r="A2430" t="s">
        <v>1057</v>
      </c>
      <c r="B2430" t="s">
        <v>1058</v>
      </c>
      <c r="C2430" t="s">
        <v>175</v>
      </c>
      <c r="D2430" t="s">
        <v>1227</v>
      </c>
      <c r="E2430" t="s">
        <v>1228</v>
      </c>
      <c r="F2430">
        <v>1</v>
      </c>
      <c r="G2430" t="s">
        <v>176</v>
      </c>
      <c r="H2430">
        <v>1</v>
      </c>
      <c r="I2430">
        <v>2</v>
      </c>
      <c r="J2430" s="10">
        <v>2</v>
      </c>
      <c r="K2430" s="10">
        <f>SUMIFS(F:F,D:D,DST_123_ÜRETİM_İHTİYAÇ_RAPORU_BURAK_YENI1309[[#This Row],[ALT_KOD]])-(SUMIFS(H:H,D:D,DST_123_ÜRETİM_İHTİYAÇ_RAPORU_BURAK_YENI1309[[#This Row],[ALT_KOD]])+AVERAGEIFS(I:I,D:D,DST_123_ÜRETİM_İHTİYAÇ_RAPORU_BURAK_YENI1309[[#This Row],[ALT_KOD]])+AVERAGEIFS(L:L,D:D,DST_123_ÜRETİM_İHTİYAÇ_RAPORU_BURAK_YENI1309[[#This Row],[ALT_KOD]]))</f>
        <v>-2</v>
      </c>
      <c r="L2430">
        <v>0</v>
      </c>
      <c r="M2430">
        <f>IF((DST_123_ÜRETİM_İHTİYAÇ_RAPORU_BURAK_YENI1309[[#This Row],[SATINALMA]]*DST_123_ÜRETİM_İHTİYAÇ_RAPORU_BURAK_YENI1309[[#This Row],[BIRIM_FIYATLAR]])&lt;1,VALUE("0"),DST_123_ÜRETİM_İHTİYAÇ_RAPORU_BURAK_YENI1309[[#This Row],[SATINALMA]]*DST_123_ÜRETİM_İHTİYAÇ_RAPORU_BURAK_YENI1309[[#This Row],[BIRIM_FIYATLAR]])</f>
        <v>0</v>
      </c>
      <c r="N2430">
        <v>1802.17</v>
      </c>
      <c r="O2430" t="s">
        <v>634</v>
      </c>
      <c r="P2430">
        <v>1802.17</v>
      </c>
      <c r="Q2430" t="s">
        <v>178</v>
      </c>
    </row>
    <row r="2431" spans="1:17" x14ac:dyDescent="0.25">
      <c r="A2431" t="s">
        <v>1143</v>
      </c>
      <c r="B2431" t="s">
        <v>1056</v>
      </c>
      <c r="C2431" t="s">
        <v>175</v>
      </c>
      <c r="D2431" t="s">
        <v>426</v>
      </c>
      <c r="E2431" t="s">
        <v>427</v>
      </c>
      <c r="F2431">
        <v>1</v>
      </c>
      <c r="G2431" t="s">
        <v>176</v>
      </c>
      <c r="H2431">
        <v>0</v>
      </c>
      <c r="I2431">
        <v>12</v>
      </c>
      <c r="J2431" s="10">
        <v>9</v>
      </c>
      <c r="K2431" s="10">
        <f>SUMIFS(F:F,D:D,DST_123_ÜRETİM_İHTİYAÇ_RAPORU_BURAK_YENI1309[[#This Row],[ALT_KOD]])-(SUMIFS(H:H,D:D,DST_123_ÜRETİM_İHTİYAÇ_RAPORU_BURAK_YENI1309[[#This Row],[ALT_KOD]])+AVERAGEIFS(I:I,D:D,DST_123_ÜRETİM_İHTİYAÇ_RAPORU_BURAK_YENI1309[[#This Row],[ALT_KOD]])+AVERAGEIFS(L:L,D:D,DST_123_ÜRETİM_İHTİYAÇ_RAPORU_BURAK_YENI1309[[#This Row],[ALT_KOD]]))</f>
        <v>0</v>
      </c>
      <c r="L2431">
        <v>0</v>
      </c>
      <c r="M2431">
        <f>IF((DST_123_ÜRETİM_İHTİYAÇ_RAPORU_BURAK_YENI1309[[#This Row],[SATINALMA]]*DST_123_ÜRETİM_İHTİYAÇ_RAPORU_BURAK_YENI1309[[#This Row],[BIRIM_FIYATLAR]])&lt;1,VALUE("0"),DST_123_ÜRETİM_İHTİYAÇ_RAPORU_BURAK_YENI1309[[#This Row],[SATINALMA]]*DST_123_ÜRETİM_İHTİYAÇ_RAPORU_BURAK_YENI1309[[#This Row],[BIRIM_FIYATLAR]])</f>
        <v>0</v>
      </c>
      <c r="N2431">
        <v>266.72000000000003</v>
      </c>
      <c r="O2431" t="s">
        <v>227</v>
      </c>
      <c r="P2431">
        <v>266.72000000000003</v>
      </c>
      <c r="Q2431" t="s">
        <v>221</v>
      </c>
    </row>
    <row r="2432" spans="1:17" x14ac:dyDescent="0.25">
      <c r="A2432" t="s">
        <v>1100</v>
      </c>
      <c r="B2432" t="s">
        <v>1058</v>
      </c>
      <c r="C2432" t="s">
        <v>175</v>
      </c>
      <c r="D2432" t="s">
        <v>454</v>
      </c>
      <c r="E2432" t="s">
        <v>455</v>
      </c>
      <c r="F2432">
        <v>1</v>
      </c>
      <c r="G2432" t="s">
        <v>176</v>
      </c>
      <c r="H2432">
        <v>0</v>
      </c>
      <c r="I2432">
        <v>0</v>
      </c>
      <c r="J2432" s="10">
        <v>93</v>
      </c>
      <c r="K2432" s="10">
        <f>SUMIFS(F:F,D:D,DST_123_ÜRETİM_İHTİYAÇ_RAPORU_BURAK_YENI1309[[#This Row],[ALT_KOD]])-(SUMIFS(H:H,D:D,DST_123_ÜRETİM_İHTİYAÇ_RAPORU_BURAK_YENI1309[[#This Row],[ALT_KOD]])+AVERAGEIFS(I:I,D:D,DST_123_ÜRETİM_İHTİYAÇ_RAPORU_BURAK_YENI1309[[#This Row],[ALT_KOD]])+AVERAGEIFS(L:L,D:D,DST_123_ÜRETİM_İHTİYAÇ_RAPORU_BURAK_YENI1309[[#This Row],[ALT_KOD]]))</f>
        <v>26</v>
      </c>
      <c r="L2432">
        <v>0</v>
      </c>
      <c r="M2432">
        <f>IF((DST_123_ÜRETİM_İHTİYAÇ_RAPORU_BURAK_YENI1309[[#This Row],[SATINALMA]]*DST_123_ÜRETİM_İHTİYAÇ_RAPORU_BURAK_YENI1309[[#This Row],[BIRIM_FIYATLAR]])&lt;1,VALUE("0"),DST_123_ÜRETİM_İHTİYAÇ_RAPORU_BURAK_YENI1309[[#This Row],[SATINALMA]]*DST_123_ÜRETİM_İHTİYAÇ_RAPORU_BURAK_YENI1309[[#This Row],[BIRIM_FIYATLAR]])</f>
        <v>351</v>
      </c>
      <c r="N2432">
        <v>13.5</v>
      </c>
      <c r="O2432" t="s">
        <v>226</v>
      </c>
      <c r="P2432">
        <v>13.5</v>
      </c>
      <c r="Q2432" t="s">
        <v>180</v>
      </c>
    </row>
    <row r="2433" spans="1:17" x14ac:dyDescent="0.25">
      <c r="A2433" t="s">
        <v>1148</v>
      </c>
      <c r="B2433" t="s">
        <v>1056</v>
      </c>
      <c r="C2433" t="s">
        <v>175</v>
      </c>
      <c r="D2433" t="s">
        <v>454</v>
      </c>
      <c r="E2433" t="s">
        <v>455</v>
      </c>
      <c r="F2433">
        <v>2</v>
      </c>
      <c r="G2433" t="s">
        <v>176</v>
      </c>
      <c r="H2433">
        <v>0</v>
      </c>
      <c r="I2433">
        <v>0</v>
      </c>
      <c r="J2433" s="10">
        <v>93</v>
      </c>
      <c r="K2433" s="10">
        <f>SUMIFS(F:F,D:D,DST_123_ÜRETİM_İHTİYAÇ_RAPORU_BURAK_YENI1309[[#This Row],[ALT_KOD]])-(SUMIFS(H:H,D:D,DST_123_ÜRETİM_İHTİYAÇ_RAPORU_BURAK_YENI1309[[#This Row],[ALT_KOD]])+AVERAGEIFS(I:I,D:D,DST_123_ÜRETİM_İHTİYAÇ_RAPORU_BURAK_YENI1309[[#This Row],[ALT_KOD]])+AVERAGEIFS(L:L,D:D,DST_123_ÜRETİM_İHTİYAÇ_RAPORU_BURAK_YENI1309[[#This Row],[ALT_KOD]]))</f>
        <v>26</v>
      </c>
      <c r="L2433">
        <v>0</v>
      </c>
      <c r="M2433">
        <f>IF((DST_123_ÜRETİM_İHTİYAÇ_RAPORU_BURAK_YENI1309[[#This Row],[SATINALMA]]*DST_123_ÜRETİM_İHTİYAÇ_RAPORU_BURAK_YENI1309[[#This Row],[BIRIM_FIYATLAR]])&lt;1,VALUE("0"),DST_123_ÜRETİM_İHTİYAÇ_RAPORU_BURAK_YENI1309[[#This Row],[SATINALMA]]*DST_123_ÜRETİM_İHTİYAÇ_RAPORU_BURAK_YENI1309[[#This Row],[BIRIM_FIYATLAR]])</f>
        <v>351</v>
      </c>
      <c r="N2433">
        <v>13.5</v>
      </c>
      <c r="O2433" t="s">
        <v>226</v>
      </c>
      <c r="P2433">
        <v>27</v>
      </c>
      <c r="Q2433" t="s">
        <v>180</v>
      </c>
    </row>
    <row r="2434" spans="1:17" x14ac:dyDescent="0.25">
      <c r="A2434" t="s">
        <v>1095</v>
      </c>
      <c r="B2434" t="s">
        <v>1096</v>
      </c>
      <c r="C2434" t="s">
        <v>175</v>
      </c>
      <c r="D2434" t="s">
        <v>454</v>
      </c>
      <c r="E2434" t="s">
        <v>455</v>
      </c>
      <c r="F2434">
        <v>2</v>
      </c>
      <c r="G2434" t="s">
        <v>176</v>
      </c>
      <c r="H2434">
        <v>0</v>
      </c>
      <c r="I2434">
        <v>0</v>
      </c>
      <c r="J2434" s="10">
        <v>93</v>
      </c>
      <c r="K2434" s="10">
        <f>SUMIFS(F:F,D:D,DST_123_ÜRETİM_İHTİYAÇ_RAPORU_BURAK_YENI1309[[#This Row],[ALT_KOD]])-(SUMIFS(H:H,D:D,DST_123_ÜRETİM_İHTİYAÇ_RAPORU_BURAK_YENI1309[[#This Row],[ALT_KOD]])+AVERAGEIFS(I:I,D:D,DST_123_ÜRETİM_İHTİYAÇ_RAPORU_BURAK_YENI1309[[#This Row],[ALT_KOD]])+AVERAGEIFS(L:L,D:D,DST_123_ÜRETİM_İHTİYAÇ_RAPORU_BURAK_YENI1309[[#This Row],[ALT_KOD]]))</f>
        <v>26</v>
      </c>
      <c r="L2434">
        <v>0</v>
      </c>
      <c r="M2434">
        <f>IF((DST_123_ÜRETİM_İHTİYAÇ_RAPORU_BURAK_YENI1309[[#This Row],[SATINALMA]]*DST_123_ÜRETİM_İHTİYAÇ_RAPORU_BURAK_YENI1309[[#This Row],[BIRIM_FIYATLAR]])&lt;1,VALUE("0"),DST_123_ÜRETİM_İHTİYAÇ_RAPORU_BURAK_YENI1309[[#This Row],[SATINALMA]]*DST_123_ÜRETİM_İHTİYAÇ_RAPORU_BURAK_YENI1309[[#This Row],[BIRIM_FIYATLAR]])</f>
        <v>351</v>
      </c>
      <c r="N2434">
        <v>13.5</v>
      </c>
      <c r="O2434" t="s">
        <v>226</v>
      </c>
      <c r="P2434">
        <v>27</v>
      </c>
      <c r="Q2434" t="s">
        <v>180</v>
      </c>
    </row>
    <row r="2435" spans="1:17" x14ac:dyDescent="0.25">
      <c r="A2435" t="s">
        <v>1059</v>
      </c>
      <c r="B2435" t="s">
        <v>1058</v>
      </c>
      <c r="C2435" t="s">
        <v>175</v>
      </c>
      <c r="D2435" t="s">
        <v>454</v>
      </c>
      <c r="E2435" t="s">
        <v>455</v>
      </c>
      <c r="F2435">
        <v>1</v>
      </c>
      <c r="G2435" t="s">
        <v>176</v>
      </c>
      <c r="H2435">
        <v>0</v>
      </c>
      <c r="I2435">
        <v>0</v>
      </c>
      <c r="J2435" s="10">
        <v>93</v>
      </c>
      <c r="K2435" s="10">
        <f>SUMIFS(F:F,D:D,DST_123_ÜRETİM_İHTİYAÇ_RAPORU_BURAK_YENI1309[[#This Row],[ALT_KOD]])-(SUMIFS(H:H,D:D,DST_123_ÜRETİM_İHTİYAÇ_RAPORU_BURAK_YENI1309[[#This Row],[ALT_KOD]])+AVERAGEIFS(I:I,D:D,DST_123_ÜRETİM_İHTİYAÇ_RAPORU_BURAK_YENI1309[[#This Row],[ALT_KOD]])+AVERAGEIFS(L:L,D:D,DST_123_ÜRETİM_İHTİYAÇ_RAPORU_BURAK_YENI1309[[#This Row],[ALT_KOD]]))</f>
        <v>26</v>
      </c>
      <c r="L2435">
        <v>0</v>
      </c>
      <c r="M2435">
        <f>IF((DST_123_ÜRETİM_İHTİYAÇ_RAPORU_BURAK_YENI1309[[#This Row],[SATINALMA]]*DST_123_ÜRETİM_İHTİYAÇ_RAPORU_BURAK_YENI1309[[#This Row],[BIRIM_FIYATLAR]])&lt;1,VALUE("0"),DST_123_ÜRETİM_İHTİYAÇ_RAPORU_BURAK_YENI1309[[#This Row],[SATINALMA]]*DST_123_ÜRETİM_İHTİYAÇ_RAPORU_BURAK_YENI1309[[#This Row],[BIRIM_FIYATLAR]])</f>
        <v>351</v>
      </c>
      <c r="N2435">
        <v>13.5</v>
      </c>
      <c r="O2435" t="s">
        <v>226</v>
      </c>
      <c r="P2435">
        <v>13.5</v>
      </c>
      <c r="Q2435" t="s">
        <v>180</v>
      </c>
    </row>
    <row r="2436" spans="1:17" x14ac:dyDescent="0.25">
      <c r="A2436" t="s">
        <v>1142</v>
      </c>
      <c r="B2436" t="s">
        <v>1056</v>
      </c>
      <c r="C2436" t="s">
        <v>175</v>
      </c>
      <c r="D2436" t="s">
        <v>426</v>
      </c>
      <c r="E2436" t="s">
        <v>427</v>
      </c>
      <c r="F2436">
        <v>1</v>
      </c>
      <c r="G2436" t="s">
        <v>176</v>
      </c>
      <c r="H2436">
        <v>0</v>
      </c>
      <c r="I2436">
        <v>12</v>
      </c>
      <c r="J2436" s="10">
        <v>9</v>
      </c>
      <c r="K2436" s="10">
        <f>SUMIFS(F:F,D:D,DST_123_ÜRETİM_İHTİYAÇ_RAPORU_BURAK_YENI1309[[#This Row],[ALT_KOD]])-(SUMIFS(H:H,D:D,DST_123_ÜRETİM_İHTİYAÇ_RAPORU_BURAK_YENI1309[[#This Row],[ALT_KOD]])+AVERAGEIFS(I:I,D:D,DST_123_ÜRETİM_İHTİYAÇ_RAPORU_BURAK_YENI1309[[#This Row],[ALT_KOD]])+AVERAGEIFS(L:L,D:D,DST_123_ÜRETİM_İHTİYAÇ_RAPORU_BURAK_YENI1309[[#This Row],[ALT_KOD]]))</f>
        <v>0</v>
      </c>
      <c r="L2436">
        <v>0</v>
      </c>
      <c r="M2436">
        <f>IF((DST_123_ÜRETİM_İHTİYAÇ_RAPORU_BURAK_YENI1309[[#This Row],[SATINALMA]]*DST_123_ÜRETİM_İHTİYAÇ_RAPORU_BURAK_YENI1309[[#This Row],[BIRIM_FIYATLAR]])&lt;1,VALUE("0"),DST_123_ÜRETİM_İHTİYAÇ_RAPORU_BURAK_YENI1309[[#This Row],[SATINALMA]]*DST_123_ÜRETİM_İHTİYAÇ_RAPORU_BURAK_YENI1309[[#This Row],[BIRIM_FIYATLAR]])</f>
        <v>0</v>
      </c>
      <c r="N2436">
        <v>266.72000000000003</v>
      </c>
      <c r="O2436" t="s">
        <v>227</v>
      </c>
      <c r="P2436">
        <v>266.72000000000003</v>
      </c>
      <c r="Q2436" t="s">
        <v>221</v>
      </c>
    </row>
    <row r="2437" spans="1:17" x14ac:dyDescent="0.25">
      <c r="A2437" t="s">
        <v>1059</v>
      </c>
      <c r="B2437" t="s">
        <v>1058</v>
      </c>
      <c r="C2437" t="s">
        <v>175</v>
      </c>
      <c r="D2437" t="s">
        <v>104</v>
      </c>
      <c r="E2437" t="s">
        <v>105</v>
      </c>
      <c r="F2437">
        <v>5</v>
      </c>
      <c r="G2437" t="s">
        <v>176</v>
      </c>
      <c r="H2437">
        <v>0</v>
      </c>
      <c r="I2437">
        <v>0</v>
      </c>
      <c r="J2437" s="10">
        <v>75</v>
      </c>
      <c r="K2437" s="10">
        <f>SUMIFS(F:F,D:D,DST_123_ÜRETİM_İHTİYAÇ_RAPORU_BURAK_YENI1309[[#This Row],[ALT_KOD]])-(SUMIFS(H:H,D:D,DST_123_ÜRETİM_İHTİYAÇ_RAPORU_BURAK_YENI1309[[#This Row],[ALT_KOD]])+AVERAGEIFS(I:I,D:D,DST_123_ÜRETİM_İHTİYAÇ_RAPORU_BURAK_YENI1309[[#This Row],[ALT_KOD]])+AVERAGEIFS(L:L,D:D,DST_123_ÜRETİM_İHTİYAÇ_RAPORU_BURAK_YENI1309[[#This Row],[ALT_KOD]]))</f>
        <v>102</v>
      </c>
      <c r="L2437">
        <v>0</v>
      </c>
      <c r="M2437">
        <f>IF((DST_123_ÜRETİM_İHTİYAÇ_RAPORU_BURAK_YENI1309[[#This Row],[SATINALMA]]*DST_123_ÜRETİM_İHTİYAÇ_RAPORU_BURAK_YENI1309[[#This Row],[BIRIM_FIYATLAR]])&lt;1,VALUE("0"),DST_123_ÜRETİM_İHTİYAÇ_RAPORU_BURAK_YENI1309[[#This Row],[SATINALMA]]*DST_123_ÜRETİM_İHTİYAÇ_RAPORU_BURAK_YENI1309[[#This Row],[BIRIM_FIYATLAR]])</f>
        <v>10710</v>
      </c>
      <c r="N2437">
        <v>105</v>
      </c>
      <c r="O2437" t="s">
        <v>625</v>
      </c>
      <c r="P2437">
        <v>525</v>
      </c>
      <c r="Q2437" t="s">
        <v>178</v>
      </c>
    </row>
    <row r="2438" spans="1:17" x14ac:dyDescent="0.25">
      <c r="A2438" t="s">
        <v>1059</v>
      </c>
      <c r="B2438" t="s">
        <v>1058</v>
      </c>
      <c r="C2438" t="s">
        <v>175</v>
      </c>
      <c r="D2438" t="s">
        <v>378</v>
      </c>
      <c r="E2438" t="s">
        <v>379</v>
      </c>
      <c r="F2438">
        <v>2</v>
      </c>
      <c r="G2438" t="s">
        <v>176</v>
      </c>
      <c r="H2438">
        <v>0</v>
      </c>
      <c r="I2438">
        <v>50</v>
      </c>
      <c r="J2438" s="10">
        <v>33</v>
      </c>
      <c r="K2438" s="10">
        <f>SUMIFS(F:F,D:D,DST_123_ÜRETİM_İHTİYAÇ_RAPORU_BURAK_YENI1309[[#This Row],[ALT_KOD]])-(SUMIFS(H:H,D:D,DST_123_ÜRETİM_İHTİYAÇ_RAPORU_BURAK_YENI1309[[#This Row],[ALT_KOD]])+AVERAGEIFS(I:I,D:D,DST_123_ÜRETİM_İHTİYAÇ_RAPORU_BURAK_YENI1309[[#This Row],[ALT_KOD]])+AVERAGEIFS(L:L,D:D,DST_123_ÜRETİM_İHTİYAÇ_RAPORU_BURAK_YENI1309[[#This Row],[ALT_KOD]]))</f>
        <v>-15</v>
      </c>
      <c r="L2438">
        <v>0</v>
      </c>
      <c r="M2438">
        <f>IF((DST_123_ÜRETİM_İHTİYAÇ_RAPORU_BURAK_YENI1309[[#This Row],[SATINALMA]]*DST_123_ÜRETİM_İHTİYAÇ_RAPORU_BURAK_YENI1309[[#This Row],[BIRIM_FIYATLAR]])&lt;1,VALUE("0"),DST_123_ÜRETİM_İHTİYAÇ_RAPORU_BURAK_YENI1309[[#This Row],[SATINALMA]]*DST_123_ÜRETİM_İHTİYAÇ_RAPORU_BURAK_YENI1309[[#This Row],[BIRIM_FIYATLAR]])</f>
        <v>0</v>
      </c>
      <c r="N2438">
        <v>72.599999999999994</v>
      </c>
      <c r="O2438" t="s">
        <v>240</v>
      </c>
      <c r="P2438">
        <v>145.19999999999999</v>
      </c>
      <c r="Q2438" t="s">
        <v>178</v>
      </c>
    </row>
    <row r="2439" spans="1:17" x14ac:dyDescent="0.25">
      <c r="A2439" t="s">
        <v>1097</v>
      </c>
      <c r="B2439" t="s">
        <v>1055</v>
      </c>
      <c r="C2439" t="s">
        <v>175</v>
      </c>
      <c r="D2439" t="s">
        <v>378</v>
      </c>
      <c r="E2439" t="s">
        <v>379</v>
      </c>
      <c r="F2439">
        <v>2</v>
      </c>
      <c r="G2439" t="s">
        <v>176</v>
      </c>
      <c r="H2439">
        <v>0</v>
      </c>
      <c r="I2439">
        <v>50</v>
      </c>
      <c r="J2439" s="10">
        <v>33</v>
      </c>
      <c r="K2439" s="10">
        <f>SUMIFS(F:F,D:D,DST_123_ÜRETİM_İHTİYAÇ_RAPORU_BURAK_YENI1309[[#This Row],[ALT_KOD]])-(SUMIFS(H:H,D:D,DST_123_ÜRETİM_İHTİYAÇ_RAPORU_BURAK_YENI1309[[#This Row],[ALT_KOD]])+AVERAGEIFS(I:I,D:D,DST_123_ÜRETİM_İHTİYAÇ_RAPORU_BURAK_YENI1309[[#This Row],[ALT_KOD]])+AVERAGEIFS(L:L,D:D,DST_123_ÜRETİM_İHTİYAÇ_RAPORU_BURAK_YENI1309[[#This Row],[ALT_KOD]]))</f>
        <v>-15</v>
      </c>
      <c r="L2439">
        <v>0</v>
      </c>
      <c r="M2439">
        <f>IF((DST_123_ÜRETİM_İHTİYAÇ_RAPORU_BURAK_YENI1309[[#This Row],[SATINALMA]]*DST_123_ÜRETİM_İHTİYAÇ_RAPORU_BURAK_YENI1309[[#This Row],[BIRIM_FIYATLAR]])&lt;1,VALUE("0"),DST_123_ÜRETİM_İHTİYAÇ_RAPORU_BURAK_YENI1309[[#This Row],[SATINALMA]]*DST_123_ÜRETİM_İHTİYAÇ_RAPORU_BURAK_YENI1309[[#This Row],[BIRIM_FIYATLAR]])</f>
        <v>0</v>
      </c>
      <c r="N2439">
        <v>72.599999999999994</v>
      </c>
      <c r="O2439" t="s">
        <v>240</v>
      </c>
      <c r="P2439">
        <v>145.19999999999999</v>
      </c>
      <c r="Q2439" t="s">
        <v>178</v>
      </c>
    </row>
    <row r="2440" spans="1:17" x14ac:dyDescent="0.25">
      <c r="A2440" t="s">
        <v>1100</v>
      </c>
      <c r="B2440" t="s">
        <v>1058</v>
      </c>
      <c r="C2440" t="s">
        <v>175</v>
      </c>
      <c r="D2440" t="s">
        <v>5</v>
      </c>
      <c r="E2440" t="s">
        <v>6</v>
      </c>
      <c r="F2440">
        <v>5.0999999999999996</v>
      </c>
      <c r="G2440" t="s">
        <v>179</v>
      </c>
      <c r="H2440">
        <v>0</v>
      </c>
      <c r="I2440">
        <v>100</v>
      </c>
      <c r="J2440" s="10">
        <v>2.0000000000000568</v>
      </c>
      <c r="K2440" s="10">
        <f>SUMIFS(F:F,D:D,DST_123_ÜRETİM_İHTİYAÇ_RAPORU_BURAK_YENI1309[[#This Row],[ALT_KOD]])-(SUMIFS(H:H,D:D,DST_123_ÜRETİM_İHTİYAÇ_RAPORU_BURAK_YENI1309[[#This Row],[ALT_KOD]])+AVERAGEIFS(I:I,D:D,DST_123_ÜRETİM_İHTİYAÇ_RAPORU_BURAK_YENI1309[[#This Row],[ALT_KOD]])+AVERAGEIFS(L:L,D:D,DST_123_ÜRETİM_İHTİYAÇ_RAPORU_BURAK_YENI1309[[#This Row],[ALT_KOD]]))</f>
        <v>-6.4000000000000057</v>
      </c>
      <c r="L2440">
        <v>0</v>
      </c>
      <c r="M2440">
        <f>IF((DST_123_ÜRETİM_İHTİYAÇ_RAPORU_BURAK_YENI1309[[#This Row],[SATINALMA]]*DST_123_ÜRETİM_İHTİYAÇ_RAPORU_BURAK_YENI1309[[#This Row],[BIRIM_FIYATLAR]])&lt;1,VALUE("0"),DST_123_ÜRETİM_İHTİYAÇ_RAPORU_BURAK_YENI1309[[#This Row],[SATINALMA]]*DST_123_ÜRETİM_İHTİYAÇ_RAPORU_BURAK_YENI1309[[#This Row],[BIRIM_FIYATLAR]])</f>
        <v>0</v>
      </c>
      <c r="N2440">
        <v>111</v>
      </c>
      <c r="O2440" t="s">
        <v>826</v>
      </c>
      <c r="P2440">
        <v>566.09999999999991</v>
      </c>
      <c r="Q2440" t="s">
        <v>221</v>
      </c>
    </row>
    <row r="2441" spans="1:17" x14ac:dyDescent="0.25">
      <c r="A2441" t="s">
        <v>1101</v>
      </c>
      <c r="B2441" t="s">
        <v>1102</v>
      </c>
      <c r="C2441" t="s">
        <v>175</v>
      </c>
      <c r="D2441" t="s">
        <v>344</v>
      </c>
      <c r="E2441" t="s">
        <v>345</v>
      </c>
      <c r="F2441">
        <v>2</v>
      </c>
      <c r="G2441" t="s">
        <v>176</v>
      </c>
      <c r="H2441">
        <v>0</v>
      </c>
      <c r="I2441">
        <v>228</v>
      </c>
      <c r="J2441" s="10">
        <v>4.2632564145606011E-14</v>
      </c>
      <c r="K2441" s="10">
        <f>SUMIFS(F:F,D:D,DST_123_ÜRETİM_İHTİYAÇ_RAPORU_BURAK_YENI1309[[#This Row],[ALT_KOD]])-(SUMIFS(H:H,D:D,DST_123_ÜRETİM_İHTİYAÇ_RAPORU_BURAK_YENI1309[[#This Row],[ALT_KOD]])+AVERAGEIFS(I:I,D:D,DST_123_ÜRETİM_İHTİYAÇ_RAPORU_BURAK_YENI1309[[#This Row],[ALT_KOD]])+AVERAGEIFS(L:L,D:D,DST_123_ÜRETİM_İHTİYAÇ_RAPORU_BURAK_YENI1309[[#This Row],[ALT_KOD]]))</f>
        <v>-186</v>
      </c>
      <c r="L2441">
        <v>0</v>
      </c>
      <c r="M2441">
        <f>IF((DST_123_ÜRETİM_İHTİYAÇ_RAPORU_BURAK_YENI1309[[#This Row],[SATINALMA]]*DST_123_ÜRETİM_İHTİYAÇ_RAPORU_BURAK_YENI1309[[#This Row],[BIRIM_FIYATLAR]])&lt;1,VALUE("0"),DST_123_ÜRETİM_İHTİYAÇ_RAPORU_BURAK_YENI1309[[#This Row],[SATINALMA]]*DST_123_ÜRETİM_İHTİYAÇ_RAPORU_BURAK_YENI1309[[#This Row],[BIRIM_FIYATLAR]])</f>
        <v>0</v>
      </c>
      <c r="N2441">
        <v>6</v>
      </c>
      <c r="O2441" t="s">
        <v>346</v>
      </c>
      <c r="P2441">
        <v>12</v>
      </c>
      <c r="Q2441" t="s">
        <v>180</v>
      </c>
    </row>
    <row r="2442" spans="1:17" x14ac:dyDescent="0.25">
      <c r="A2442" t="s">
        <v>1101</v>
      </c>
      <c r="B2442" t="s">
        <v>1102</v>
      </c>
      <c r="C2442" t="s">
        <v>175</v>
      </c>
      <c r="D2442" t="s">
        <v>418</v>
      </c>
      <c r="E2442" t="s">
        <v>1221</v>
      </c>
      <c r="F2442">
        <v>7</v>
      </c>
      <c r="G2442" t="s">
        <v>176</v>
      </c>
      <c r="H2442">
        <v>0</v>
      </c>
      <c r="I2442">
        <v>148</v>
      </c>
      <c r="J2442" s="10">
        <v>59</v>
      </c>
      <c r="K2442" s="10">
        <f>SUMIFS(F:F,D:D,DST_123_ÜRETİM_İHTİYAÇ_RAPORU_BURAK_YENI1309[[#This Row],[ALT_KOD]])-(SUMIFS(H:H,D:D,DST_123_ÜRETİM_İHTİYAÇ_RAPORU_BURAK_YENI1309[[#This Row],[ALT_KOD]])+AVERAGEIFS(I:I,D:D,DST_123_ÜRETİM_İHTİYAÇ_RAPORU_BURAK_YENI1309[[#This Row],[ALT_KOD]])+AVERAGEIFS(L:L,D:D,DST_123_ÜRETİM_İHTİYAÇ_RAPORU_BURAK_YENI1309[[#This Row],[ALT_KOD]]))</f>
        <v>-33</v>
      </c>
      <c r="L2442">
        <v>0</v>
      </c>
      <c r="M2442">
        <f>IF((DST_123_ÜRETİM_İHTİYAÇ_RAPORU_BURAK_YENI1309[[#This Row],[SATINALMA]]*DST_123_ÜRETİM_İHTİYAÇ_RAPORU_BURAK_YENI1309[[#This Row],[BIRIM_FIYATLAR]])&lt;1,VALUE("0"),DST_123_ÜRETİM_İHTİYAÇ_RAPORU_BURAK_YENI1309[[#This Row],[SATINALMA]]*DST_123_ÜRETİM_İHTİYAÇ_RAPORU_BURAK_YENI1309[[#This Row],[BIRIM_FIYATLAR]])</f>
        <v>0</v>
      </c>
      <c r="N2442">
        <v>24.17</v>
      </c>
      <c r="O2442" t="s">
        <v>628</v>
      </c>
      <c r="P2442">
        <v>169.19</v>
      </c>
      <c r="Q2442" t="s">
        <v>180</v>
      </c>
    </row>
    <row r="2443" spans="1:17" x14ac:dyDescent="0.25">
      <c r="A2443" t="s">
        <v>1101</v>
      </c>
      <c r="B2443" t="s">
        <v>1102</v>
      </c>
      <c r="C2443" t="s">
        <v>175</v>
      </c>
      <c r="D2443" t="s">
        <v>159</v>
      </c>
      <c r="E2443" t="s">
        <v>160</v>
      </c>
      <c r="F2443">
        <v>0.25</v>
      </c>
      <c r="G2443" t="s">
        <v>179</v>
      </c>
      <c r="H2443">
        <v>0</v>
      </c>
      <c r="I2443">
        <v>52</v>
      </c>
      <c r="J2443" s="10">
        <v>38.620000000000005</v>
      </c>
      <c r="K2443" s="10">
        <f>SUMIFS(F:F,D:D,DST_123_ÜRETİM_İHTİYAÇ_RAPORU_BURAK_YENI1309[[#This Row],[ALT_KOD]])-(SUMIFS(H:H,D:D,DST_123_ÜRETİM_İHTİYAÇ_RAPORU_BURAK_YENI1309[[#This Row],[ALT_KOD]])+AVERAGEIFS(I:I,D:D,DST_123_ÜRETİM_İHTİYAÇ_RAPORU_BURAK_YENI1309[[#This Row],[ALT_KOD]])+AVERAGEIFS(L:L,D:D,DST_123_ÜRETİM_İHTİYAÇ_RAPORU_BURAK_YENI1309[[#This Row],[ALT_KOD]]))</f>
        <v>-47.39</v>
      </c>
      <c r="L2443">
        <v>0</v>
      </c>
      <c r="M2443">
        <f>IF((DST_123_ÜRETİM_İHTİYAÇ_RAPORU_BURAK_YENI1309[[#This Row],[SATINALMA]]*DST_123_ÜRETİM_İHTİYAÇ_RAPORU_BURAK_YENI1309[[#This Row],[BIRIM_FIYATLAR]])&lt;1,VALUE("0"),DST_123_ÜRETİM_İHTİYAÇ_RAPORU_BURAK_YENI1309[[#This Row],[SATINALMA]]*DST_123_ÜRETİM_İHTİYAÇ_RAPORU_BURAK_YENI1309[[#This Row],[BIRIM_FIYATLAR]])</f>
        <v>0</v>
      </c>
      <c r="N2443">
        <v>126.36</v>
      </c>
      <c r="O2443" t="s">
        <v>619</v>
      </c>
      <c r="P2443">
        <v>31.59</v>
      </c>
      <c r="Q2443" t="s">
        <v>178</v>
      </c>
    </row>
    <row r="2444" spans="1:17" x14ac:dyDescent="0.25">
      <c r="A2444" t="s">
        <v>1060</v>
      </c>
      <c r="B2444" t="s">
        <v>1061</v>
      </c>
      <c r="C2444" t="s">
        <v>175</v>
      </c>
      <c r="D2444" t="s">
        <v>104</v>
      </c>
      <c r="E2444" t="s">
        <v>105</v>
      </c>
      <c r="F2444">
        <v>5</v>
      </c>
      <c r="G2444" t="s">
        <v>176</v>
      </c>
      <c r="H2444">
        <v>0</v>
      </c>
      <c r="I2444">
        <v>0</v>
      </c>
      <c r="J2444" s="10">
        <v>75</v>
      </c>
      <c r="K2444" s="10">
        <f>SUMIFS(F:F,D:D,DST_123_ÜRETİM_İHTİYAÇ_RAPORU_BURAK_YENI1309[[#This Row],[ALT_KOD]])-(SUMIFS(H:H,D:D,DST_123_ÜRETİM_İHTİYAÇ_RAPORU_BURAK_YENI1309[[#This Row],[ALT_KOD]])+AVERAGEIFS(I:I,D:D,DST_123_ÜRETİM_İHTİYAÇ_RAPORU_BURAK_YENI1309[[#This Row],[ALT_KOD]])+AVERAGEIFS(L:L,D:D,DST_123_ÜRETİM_İHTİYAÇ_RAPORU_BURAK_YENI1309[[#This Row],[ALT_KOD]]))</f>
        <v>102</v>
      </c>
      <c r="L2444">
        <v>0</v>
      </c>
      <c r="M2444">
        <f>IF((DST_123_ÜRETİM_İHTİYAÇ_RAPORU_BURAK_YENI1309[[#This Row],[SATINALMA]]*DST_123_ÜRETİM_İHTİYAÇ_RAPORU_BURAK_YENI1309[[#This Row],[BIRIM_FIYATLAR]])&lt;1,VALUE("0"),DST_123_ÜRETİM_İHTİYAÇ_RAPORU_BURAK_YENI1309[[#This Row],[SATINALMA]]*DST_123_ÜRETİM_İHTİYAÇ_RAPORU_BURAK_YENI1309[[#This Row],[BIRIM_FIYATLAR]])</f>
        <v>10710</v>
      </c>
      <c r="N2444">
        <v>105</v>
      </c>
      <c r="O2444" t="s">
        <v>625</v>
      </c>
      <c r="P2444">
        <v>525</v>
      </c>
      <c r="Q2444" t="s">
        <v>178</v>
      </c>
    </row>
    <row r="2445" spans="1:17" x14ac:dyDescent="0.25">
      <c r="A2445" t="s">
        <v>1057</v>
      </c>
      <c r="B2445" t="s">
        <v>1058</v>
      </c>
      <c r="C2445" t="s">
        <v>175</v>
      </c>
      <c r="D2445" t="s">
        <v>104</v>
      </c>
      <c r="E2445" t="s">
        <v>105</v>
      </c>
      <c r="F2445">
        <v>5</v>
      </c>
      <c r="G2445" t="s">
        <v>176</v>
      </c>
      <c r="H2445">
        <v>0</v>
      </c>
      <c r="I2445">
        <v>0</v>
      </c>
      <c r="J2445" s="10">
        <v>75</v>
      </c>
      <c r="K2445" s="10">
        <f>SUMIFS(F:F,D:D,DST_123_ÜRETİM_İHTİYAÇ_RAPORU_BURAK_YENI1309[[#This Row],[ALT_KOD]])-(SUMIFS(H:H,D:D,DST_123_ÜRETİM_İHTİYAÇ_RAPORU_BURAK_YENI1309[[#This Row],[ALT_KOD]])+AVERAGEIFS(I:I,D:D,DST_123_ÜRETİM_İHTİYAÇ_RAPORU_BURAK_YENI1309[[#This Row],[ALT_KOD]])+AVERAGEIFS(L:L,D:D,DST_123_ÜRETİM_İHTİYAÇ_RAPORU_BURAK_YENI1309[[#This Row],[ALT_KOD]]))</f>
        <v>102</v>
      </c>
      <c r="L2445">
        <v>0</v>
      </c>
      <c r="M2445">
        <f>IF((DST_123_ÜRETİM_İHTİYAÇ_RAPORU_BURAK_YENI1309[[#This Row],[SATINALMA]]*DST_123_ÜRETİM_İHTİYAÇ_RAPORU_BURAK_YENI1309[[#This Row],[BIRIM_FIYATLAR]])&lt;1,VALUE("0"),DST_123_ÜRETİM_İHTİYAÇ_RAPORU_BURAK_YENI1309[[#This Row],[SATINALMA]]*DST_123_ÜRETİM_İHTİYAÇ_RAPORU_BURAK_YENI1309[[#This Row],[BIRIM_FIYATLAR]])</f>
        <v>10710</v>
      </c>
      <c r="N2445">
        <v>105</v>
      </c>
      <c r="O2445" t="s">
        <v>625</v>
      </c>
      <c r="P2445">
        <v>525</v>
      </c>
      <c r="Q2445" t="s">
        <v>178</v>
      </c>
    </row>
    <row r="2446" spans="1:17" x14ac:dyDescent="0.25">
      <c r="A2446" t="s">
        <v>1100</v>
      </c>
      <c r="B2446" t="s">
        <v>1058</v>
      </c>
      <c r="C2446" t="s">
        <v>175</v>
      </c>
      <c r="D2446" t="s">
        <v>104</v>
      </c>
      <c r="E2446" t="s">
        <v>105</v>
      </c>
      <c r="F2446">
        <v>5</v>
      </c>
      <c r="G2446" t="s">
        <v>176</v>
      </c>
      <c r="H2446">
        <v>0</v>
      </c>
      <c r="I2446">
        <v>0</v>
      </c>
      <c r="J2446" s="10">
        <v>75</v>
      </c>
      <c r="K2446" s="10">
        <f>SUMIFS(F:F,D:D,DST_123_ÜRETİM_İHTİYAÇ_RAPORU_BURAK_YENI1309[[#This Row],[ALT_KOD]])-(SUMIFS(H:H,D:D,DST_123_ÜRETİM_İHTİYAÇ_RAPORU_BURAK_YENI1309[[#This Row],[ALT_KOD]])+AVERAGEIFS(I:I,D:D,DST_123_ÜRETİM_İHTİYAÇ_RAPORU_BURAK_YENI1309[[#This Row],[ALT_KOD]])+AVERAGEIFS(L:L,D:D,DST_123_ÜRETİM_İHTİYAÇ_RAPORU_BURAK_YENI1309[[#This Row],[ALT_KOD]]))</f>
        <v>102</v>
      </c>
      <c r="L2446">
        <v>0</v>
      </c>
      <c r="M2446">
        <f>IF((DST_123_ÜRETİM_İHTİYAÇ_RAPORU_BURAK_YENI1309[[#This Row],[SATINALMA]]*DST_123_ÜRETİM_İHTİYAÇ_RAPORU_BURAK_YENI1309[[#This Row],[BIRIM_FIYATLAR]])&lt;1,VALUE("0"),DST_123_ÜRETİM_İHTİYAÇ_RAPORU_BURAK_YENI1309[[#This Row],[SATINALMA]]*DST_123_ÜRETİM_İHTİYAÇ_RAPORU_BURAK_YENI1309[[#This Row],[BIRIM_FIYATLAR]])</f>
        <v>10710</v>
      </c>
      <c r="N2446">
        <v>105</v>
      </c>
      <c r="O2446" t="s">
        <v>625</v>
      </c>
      <c r="P2446">
        <v>525</v>
      </c>
      <c r="Q2446" t="s">
        <v>178</v>
      </c>
    </row>
    <row r="2447" spans="1:17" x14ac:dyDescent="0.25">
      <c r="A2447" t="s">
        <v>1060</v>
      </c>
      <c r="B2447" t="s">
        <v>1061</v>
      </c>
      <c r="C2447" t="s">
        <v>175</v>
      </c>
      <c r="D2447" t="s">
        <v>378</v>
      </c>
      <c r="E2447" t="s">
        <v>379</v>
      </c>
      <c r="F2447">
        <v>2</v>
      </c>
      <c r="G2447" t="s">
        <v>176</v>
      </c>
      <c r="H2447">
        <v>0</v>
      </c>
      <c r="I2447">
        <v>50</v>
      </c>
      <c r="J2447" s="10">
        <v>33</v>
      </c>
      <c r="K2447" s="10">
        <f>SUMIFS(F:F,D:D,DST_123_ÜRETİM_İHTİYAÇ_RAPORU_BURAK_YENI1309[[#This Row],[ALT_KOD]])-(SUMIFS(H:H,D:D,DST_123_ÜRETİM_İHTİYAÇ_RAPORU_BURAK_YENI1309[[#This Row],[ALT_KOD]])+AVERAGEIFS(I:I,D:D,DST_123_ÜRETİM_İHTİYAÇ_RAPORU_BURAK_YENI1309[[#This Row],[ALT_KOD]])+AVERAGEIFS(L:L,D:D,DST_123_ÜRETİM_İHTİYAÇ_RAPORU_BURAK_YENI1309[[#This Row],[ALT_KOD]]))</f>
        <v>-15</v>
      </c>
      <c r="L2447">
        <v>0</v>
      </c>
      <c r="M2447">
        <f>IF((DST_123_ÜRETİM_İHTİYAÇ_RAPORU_BURAK_YENI1309[[#This Row],[SATINALMA]]*DST_123_ÜRETİM_İHTİYAÇ_RAPORU_BURAK_YENI1309[[#This Row],[BIRIM_FIYATLAR]])&lt;1,VALUE("0"),DST_123_ÜRETİM_İHTİYAÇ_RAPORU_BURAK_YENI1309[[#This Row],[SATINALMA]]*DST_123_ÜRETİM_İHTİYAÇ_RAPORU_BURAK_YENI1309[[#This Row],[BIRIM_FIYATLAR]])</f>
        <v>0</v>
      </c>
      <c r="N2447">
        <v>72.599999999999994</v>
      </c>
      <c r="O2447" t="s">
        <v>240</v>
      </c>
      <c r="P2447">
        <v>145.19999999999999</v>
      </c>
      <c r="Q2447" t="s">
        <v>178</v>
      </c>
    </row>
    <row r="2448" spans="1:17" x14ac:dyDescent="0.25">
      <c r="A2448" t="s">
        <v>1057</v>
      </c>
      <c r="B2448" t="s">
        <v>1058</v>
      </c>
      <c r="C2448" t="s">
        <v>175</v>
      </c>
      <c r="D2448" t="s">
        <v>378</v>
      </c>
      <c r="E2448" t="s">
        <v>379</v>
      </c>
      <c r="F2448">
        <v>2</v>
      </c>
      <c r="G2448" t="s">
        <v>176</v>
      </c>
      <c r="H2448">
        <v>0</v>
      </c>
      <c r="I2448">
        <v>50</v>
      </c>
      <c r="J2448" s="10">
        <v>33</v>
      </c>
      <c r="K2448" s="10">
        <f>SUMIFS(F:F,D:D,DST_123_ÜRETİM_İHTİYAÇ_RAPORU_BURAK_YENI1309[[#This Row],[ALT_KOD]])-(SUMIFS(H:H,D:D,DST_123_ÜRETİM_İHTİYAÇ_RAPORU_BURAK_YENI1309[[#This Row],[ALT_KOD]])+AVERAGEIFS(I:I,D:D,DST_123_ÜRETİM_İHTİYAÇ_RAPORU_BURAK_YENI1309[[#This Row],[ALT_KOD]])+AVERAGEIFS(L:L,D:D,DST_123_ÜRETİM_İHTİYAÇ_RAPORU_BURAK_YENI1309[[#This Row],[ALT_KOD]]))</f>
        <v>-15</v>
      </c>
      <c r="L2448">
        <v>0</v>
      </c>
      <c r="M2448">
        <f>IF((DST_123_ÜRETİM_İHTİYAÇ_RAPORU_BURAK_YENI1309[[#This Row],[SATINALMA]]*DST_123_ÜRETİM_İHTİYAÇ_RAPORU_BURAK_YENI1309[[#This Row],[BIRIM_FIYATLAR]])&lt;1,VALUE("0"),DST_123_ÜRETİM_İHTİYAÇ_RAPORU_BURAK_YENI1309[[#This Row],[SATINALMA]]*DST_123_ÜRETİM_İHTİYAÇ_RAPORU_BURAK_YENI1309[[#This Row],[BIRIM_FIYATLAR]])</f>
        <v>0</v>
      </c>
      <c r="N2448">
        <v>72.599999999999994</v>
      </c>
      <c r="O2448" t="s">
        <v>240</v>
      </c>
      <c r="P2448">
        <v>145.19999999999999</v>
      </c>
      <c r="Q2448" t="s">
        <v>178</v>
      </c>
    </row>
    <row r="2449" spans="1:17" x14ac:dyDescent="0.25">
      <c r="A2449" t="s">
        <v>1100</v>
      </c>
      <c r="B2449" t="s">
        <v>1058</v>
      </c>
      <c r="C2449" t="s">
        <v>175</v>
      </c>
      <c r="D2449" t="s">
        <v>378</v>
      </c>
      <c r="E2449" t="s">
        <v>379</v>
      </c>
      <c r="F2449">
        <v>2</v>
      </c>
      <c r="G2449" t="s">
        <v>176</v>
      </c>
      <c r="H2449">
        <v>0</v>
      </c>
      <c r="I2449">
        <v>50</v>
      </c>
      <c r="J2449" s="10">
        <v>33</v>
      </c>
      <c r="K2449" s="10">
        <f>SUMIFS(F:F,D:D,DST_123_ÜRETİM_İHTİYAÇ_RAPORU_BURAK_YENI1309[[#This Row],[ALT_KOD]])-(SUMIFS(H:H,D:D,DST_123_ÜRETİM_İHTİYAÇ_RAPORU_BURAK_YENI1309[[#This Row],[ALT_KOD]])+AVERAGEIFS(I:I,D:D,DST_123_ÜRETİM_İHTİYAÇ_RAPORU_BURAK_YENI1309[[#This Row],[ALT_KOD]])+AVERAGEIFS(L:L,D:D,DST_123_ÜRETİM_İHTİYAÇ_RAPORU_BURAK_YENI1309[[#This Row],[ALT_KOD]]))</f>
        <v>-15</v>
      </c>
      <c r="L2449">
        <v>0</v>
      </c>
      <c r="M2449">
        <f>IF((DST_123_ÜRETİM_İHTİYAÇ_RAPORU_BURAK_YENI1309[[#This Row],[SATINALMA]]*DST_123_ÜRETİM_İHTİYAÇ_RAPORU_BURAK_YENI1309[[#This Row],[BIRIM_FIYATLAR]])&lt;1,VALUE("0"),DST_123_ÜRETİM_İHTİYAÇ_RAPORU_BURAK_YENI1309[[#This Row],[SATINALMA]]*DST_123_ÜRETİM_İHTİYAÇ_RAPORU_BURAK_YENI1309[[#This Row],[BIRIM_FIYATLAR]])</f>
        <v>0</v>
      </c>
      <c r="N2449">
        <v>72.599999999999994</v>
      </c>
      <c r="O2449" t="s">
        <v>240</v>
      </c>
      <c r="P2449">
        <v>145.19999999999999</v>
      </c>
      <c r="Q2449" t="s">
        <v>178</v>
      </c>
    </row>
    <row r="2450" spans="1:17" x14ac:dyDescent="0.25">
      <c r="A2450" t="s">
        <v>1142</v>
      </c>
      <c r="B2450" t="s">
        <v>1056</v>
      </c>
      <c r="C2450" t="s">
        <v>175</v>
      </c>
      <c r="D2450" t="s">
        <v>7</v>
      </c>
      <c r="E2450" t="s">
        <v>8</v>
      </c>
      <c r="F2450">
        <v>1</v>
      </c>
      <c r="G2450" t="s">
        <v>176</v>
      </c>
      <c r="H2450">
        <v>0</v>
      </c>
      <c r="I2450">
        <v>6</v>
      </c>
      <c r="J2450" s="10">
        <v>7</v>
      </c>
      <c r="K2450" s="10">
        <f>SUMIFS(F:F,D:D,DST_123_ÜRETİM_İHTİYAÇ_RAPORU_BURAK_YENI1309[[#This Row],[ALT_KOD]])-(SUMIFS(H:H,D:D,DST_123_ÜRETİM_İHTİYAÇ_RAPORU_BURAK_YENI1309[[#This Row],[ALT_KOD]])+AVERAGEIFS(I:I,D:D,DST_123_ÜRETİM_İHTİYAÇ_RAPORU_BURAK_YENI1309[[#This Row],[ALT_KOD]])+AVERAGEIFS(L:L,D:D,DST_123_ÜRETİM_İHTİYAÇ_RAPORU_BURAK_YENI1309[[#This Row],[ALT_KOD]]))</f>
        <v>2</v>
      </c>
      <c r="L2450">
        <v>0</v>
      </c>
      <c r="M2450">
        <f>IF((DST_123_ÜRETİM_İHTİYAÇ_RAPORU_BURAK_YENI1309[[#This Row],[SATINALMA]]*DST_123_ÜRETİM_İHTİYAÇ_RAPORU_BURAK_YENI1309[[#This Row],[BIRIM_FIYATLAR]])&lt;1,VALUE("0"),DST_123_ÜRETİM_İHTİYAÇ_RAPORU_BURAK_YENI1309[[#This Row],[SATINALMA]]*DST_123_ÜRETİM_İHTİYAÇ_RAPORU_BURAK_YENI1309[[#This Row],[BIRIM_FIYATLAR]])</f>
        <v>4960.92</v>
      </c>
      <c r="N2450">
        <v>2480.46</v>
      </c>
      <c r="O2450" t="s">
        <v>227</v>
      </c>
      <c r="P2450">
        <v>2480.46</v>
      </c>
      <c r="Q2450" t="s">
        <v>221</v>
      </c>
    </row>
    <row r="2451" spans="1:17" x14ac:dyDescent="0.25">
      <c r="A2451" t="s">
        <v>1142</v>
      </c>
      <c r="B2451" t="s">
        <v>1056</v>
      </c>
      <c r="C2451" t="s">
        <v>175</v>
      </c>
      <c r="D2451" t="s">
        <v>9</v>
      </c>
      <c r="E2451" t="s">
        <v>10</v>
      </c>
      <c r="F2451">
        <v>4</v>
      </c>
      <c r="G2451" t="s">
        <v>176</v>
      </c>
      <c r="H2451">
        <v>0</v>
      </c>
      <c r="I2451">
        <v>39</v>
      </c>
      <c r="J2451" s="10">
        <v>32</v>
      </c>
      <c r="K2451" s="10">
        <f>SUMIFS(F:F,D:D,DST_123_ÜRETİM_İHTİYAÇ_RAPORU_BURAK_YENI1309[[#This Row],[ALT_KOD]])-(SUMIFS(H:H,D:D,DST_123_ÜRETİM_İHTİYAÇ_RAPORU_BURAK_YENI1309[[#This Row],[ALT_KOD]])+AVERAGEIFS(I:I,D:D,DST_123_ÜRETİM_İHTİYAÇ_RAPORU_BURAK_YENI1309[[#This Row],[ALT_KOD]])+AVERAGEIFS(L:L,D:D,DST_123_ÜRETİM_İHTİYAÇ_RAPORU_BURAK_YENI1309[[#This Row],[ALT_KOD]]))</f>
        <v>-11</v>
      </c>
      <c r="L2451">
        <v>0</v>
      </c>
      <c r="M2451">
        <f>IF((DST_123_ÜRETİM_İHTİYAÇ_RAPORU_BURAK_YENI1309[[#This Row],[SATINALMA]]*DST_123_ÜRETİM_İHTİYAÇ_RAPORU_BURAK_YENI1309[[#This Row],[BIRIM_FIYATLAR]])&lt;1,VALUE("0"),DST_123_ÜRETİM_İHTİYAÇ_RAPORU_BURAK_YENI1309[[#This Row],[SATINALMA]]*DST_123_ÜRETİM_İHTİYAÇ_RAPORU_BURAK_YENI1309[[#This Row],[BIRIM_FIYATLAR]])</f>
        <v>0</v>
      </c>
      <c r="N2451">
        <v>73.349999999999994</v>
      </c>
      <c r="O2451" t="s">
        <v>227</v>
      </c>
      <c r="P2451">
        <v>293.39999999999998</v>
      </c>
      <c r="Q2451" t="s">
        <v>221</v>
      </c>
    </row>
    <row r="2452" spans="1:17" x14ac:dyDescent="0.25">
      <c r="A2452" t="s">
        <v>1142</v>
      </c>
      <c r="B2452" t="s">
        <v>1056</v>
      </c>
      <c r="C2452" t="s">
        <v>175</v>
      </c>
      <c r="D2452" t="s">
        <v>204</v>
      </c>
      <c r="E2452" t="s">
        <v>205</v>
      </c>
      <c r="F2452">
        <v>0.5</v>
      </c>
      <c r="G2452" t="s">
        <v>176</v>
      </c>
      <c r="H2452">
        <v>0</v>
      </c>
      <c r="I2452">
        <v>100</v>
      </c>
      <c r="J2452" s="10">
        <v>41</v>
      </c>
      <c r="K2452" s="10">
        <f>SUMIFS(F:F,D:D,DST_123_ÜRETİM_İHTİYAÇ_RAPORU_BURAK_YENI1309[[#This Row],[ALT_KOD]])-(SUMIFS(H:H,D:D,DST_123_ÜRETİM_İHTİYAÇ_RAPORU_BURAK_YENI1309[[#This Row],[ALT_KOD]])+AVERAGEIFS(I:I,D:D,DST_123_ÜRETİM_İHTİYAÇ_RAPORU_BURAK_YENI1309[[#This Row],[ALT_KOD]])+AVERAGEIFS(L:L,D:D,DST_123_ÜRETİM_İHTİYAÇ_RAPORU_BURAK_YENI1309[[#This Row],[ALT_KOD]]))</f>
        <v>-89.5</v>
      </c>
      <c r="L2452">
        <v>0</v>
      </c>
      <c r="M2452">
        <f>IF((DST_123_ÜRETİM_İHTİYAÇ_RAPORU_BURAK_YENI1309[[#This Row],[SATINALMA]]*DST_123_ÜRETİM_İHTİYAÇ_RAPORU_BURAK_YENI1309[[#This Row],[BIRIM_FIYATLAR]])&lt;1,VALUE("0"),DST_123_ÜRETİM_İHTİYAÇ_RAPORU_BURAK_YENI1309[[#This Row],[SATINALMA]]*DST_123_ÜRETİM_İHTİYAÇ_RAPORU_BURAK_YENI1309[[#This Row],[BIRIM_FIYATLAR]])</f>
        <v>0</v>
      </c>
      <c r="N2452">
        <v>60</v>
      </c>
      <c r="O2452" t="s">
        <v>220</v>
      </c>
      <c r="P2452">
        <v>30</v>
      </c>
      <c r="Q2452" t="s">
        <v>180</v>
      </c>
    </row>
    <row r="2453" spans="1:17" x14ac:dyDescent="0.25">
      <c r="A2453" t="s">
        <v>1142</v>
      </c>
      <c r="B2453" t="s">
        <v>1056</v>
      </c>
      <c r="C2453" t="s">
        <v>175</v>
      </c>
      <c r="D2453" t="s">
        <v>344</v>
      </c>
      <c r="E2453" t="s">
        <v>345</v>
      </c>
      <c r="F2453">
        <v>2</v>
      </c>
      <c r="G2453" t="s">
        <v>176</v>
      </c>
      <c r="H2453">
        <v>0</v>
      </c>
      <c r="I2453">
        <v>228</v>
      </c>
      <c r="J2453" s="10">
        <v>4.2632564145606011E-14</v>
      </c>
      <c r="K2453" s="10">
        <f>SUMIFS(F:F,D:D,DST_123_ÜRETİM_İHTİYAÇ_RAPORU_BURAK_YENI1309[[#This Row],[ALT_KOD]])-(SUMIFS(H:H,D:D,DST_123_ÜRETİM_İHTİYAÇ_RAPORU_BURAK_YENI1309[[#This Row],[ALT_KOD]])+AVERAGEIFS(I:I,D:D,DST_123_ÜRETİM_İHTİYAÇ_RAPORU_BURAK_YENI1309[[#This Row],[ALT_KOD]])+AVERAGEIFS(L:L,D:D,DST_123_ÜRETİM_İHTİYAÇ_RAPORU_BURAK_YENI1309[[#This Row],[ALT_KOD]]))</f>
        <v>-186</v>
      </c>
      <c r="L2453">
        <v>0</v>
      </c>
      <c r="M2453">
        <f>IF((DST_123_ÜRETİM_İHTİYAÇ_RAPORU_BURAK_YENI1309[[#This Row],[SATINALMA]]*DST_123_ÜRETİM_İHTİYAÇ_RAPORU_BURAK_YENI1309[[#This Row],[BIRIM_FIYATLAR]])&lt;1,VALUE("0"),DST_123_ÜRETİM_İHTİYAÇ_RAPORU_BURAK_YENI1309[[#This Row],[SATINALMA]]*DST_123_ÜRETİM_İHTİYAÇ_RAPORU_BURAK_YENI1309[[#This Row],[BIRIM_FIYATLAR]])</f>
        <v>0</v>
      </c>
      <c r="N2453">
        <v>6</v>
      </c>
      <c r="O2453" t="s">
        <v>346</v>
      </c>
      <c r="P2453">
        <v>12</v>
      </c>
      <c r="Q2453" t="s">
        <v>180</v>
      </c>
    </row>
    <row r="2454" spans="1:17" x14ac:dyDescent="0.25">
      <c r="A2454" t="s">
        <v>1142</v>
      </c>
      <c r="B2454" t="s">
        <v>1056</v>
      </c>
      <c r="C2454" t="s">
        <v>175</v>
      </c>
      <c r="D2454" t="s">
        <v>418</v>
      </c>
      <c r="E2454" t="s">
        <v>1221</v>
      </c>
      <c r="F2454">
        <v>5</v>
      </c>
      <c r="G2454" t="s">
        <v>176</v>
      </c>
      <c r="H2454">
        <v>0</v>
      </c>
      <c r="I2454">
        <v>148</v>
      </c>
      <c r="J2454" s="10">
        <v>59</v>
      </c>
      <c r="K2454" s="10">
        <f>SUMIFS(F:F,D:D,DST_123_ÜRETİM_İHTİYAÇ_RAPORU_BURAK_YENI1309[[#This Row],[ALT_KOD]])-(SUMIFS(H:H,D:D,DST_123_ÜRETİM_İHTİYAÇ_RAPORU_BURAK_YENI1309[[#This Row],[ALT_KOD]])+AVERAGEIFS(I:I,D:D,DST_123_ÜRETİM_İHTİYAÇ_RAPORU_BURAK_YENI1309[[#This Row],[ALT_KOD]])+AVERAGEIFS(L:L,D:D,DST_123_ÜRETİM_İHTİYAÇ_RAPORU_BURAK_YENI1309[[#This Row],[ALT_KOD]]))</f>
        <v>-33</v>
      </c>
      <c r="L2454">
        <v>0</v>
      </c>
      <c r="M2454">
        <f>IF((DST_123_ÜRETİM_İHTİYAÇ_RAPORU_BURAK_YENI1309[[#This Row],[SATINALMA]]*DST_123_ÜRETİM_İHTİYAÇ_RAPORU_BURAK_YENI1309[[#This Row],[BIRIM_FIYATLAR]])&lt;1,VALUE("0"),DST_123_ÜRETİM_İHTİYAÇ_RAPORU_BURAK_YENI1309[[#This Row],[SATINALMA]]*DST_123_ÜRETİM_İHTİYAÇ_RAPORU_BURAK_YENI1309[[#This Row],[BIRIM_FIYATLAR]])</f>
        <v>0</v>
      </c>
      <c r="N2454">
        <v>24.17</v>
      </c>
      <c r="O2454" t="s">
        <v>628</v>
      </c>
      <c r="P2454">
        <v>120.85000000000001</v>
      </c>
      <c r="Q2454" t="s">
        <v>180</v>
      </c>
    </row>
    <row r="2455" spans="1:17" x14ac:dyDescent="0.25">
      <c r="A2455" t="s">
        <v>1142</v>
      </c>
      <c r="B2455" t="s">
        <v>1056</v>
      </c>
      <c r="C2455" t="s">
        <v>175</v>
      </c>
      <c r="D2455" t="s">
        <v>159</v>
      </c>
      <c r="E2455" t="s">
        <v>160</v>
      </c>
      <c r="F2455">
        <v>0.25</v>
      </c>
      <c r="G2455" t="s">
        <v>179</v>
      </c>
      <c r="H2455">
        <v>0</v>
      </c>
      <c r="I2455">
        <v>52</v>
      </c>
      <c r="J2455" s="10">
        <v>38.620000000000005</v>
      </c>
      <c r="K2455" s="10">
        <f>SUMIFS(F:F,D:D,DST_123_ÜRETİM_İHTİYAÇ_RAPORU_BURAK_YENI1309[[#This Row],[ALT_KOD]])-(SUMIFS(H:H,D:D,DST_123_ÜRETİM_İHTİYAÇ_RAPORU_BURAK_YENI1309[[#This Row],[ALT_KOD]])+AVERAGEIFS(I:I,D:D,DST_123_ÜRETİM_İHTİYAÇ_RAPORU_BURAK_YENI1309[[#This Row],[ALT_KOD]])+AVERAGEIFS(L:L,D:D,DST_123_ÜRETİM_İHTİYAÇ_RAPORU_BURAK_YENI1309[[#This Row],[ALT_KOD]]))</f>
        <v>-47.39</v>
      </c>
      <c r="L2455">
        <v>0</v>
      </c>
      <c r="M2455">
        <f>IF((DST_123_ÜRETİM_İHTİYAÇ_RAPORU_BURAK_YENI1309[[#This Row],[SATINALMA]]*DST_123_ÜRETİM_İHTİYAÇ_RAPORU_BURAK_YENI1309[[#This Row],[BIRIM_FIYATLAR]])&lt;1,VALUE("0"),DST_123_ÜRETİM_İHTİYAÇ_RAPORU_BURAK_YENI1309[[#This Row],[SATINALMA]]*DST_123_ÜRETİM_İHTİYAÇ_RAPORU_BURAK_YENI1309[[#This Row],[BIRIM_FIYATLAR]])</f>
        <v>0</v>
      </c>
      <c r="N2455">
        <v>126.36</v>
      </c>
      <c r="O2455" t="s">
        <v>619</v>
      </c>
      <c r="P2455">
        <v>31.59</v>
      </c>
      <c r="Q2455" t="s">
        <v>178</v>
      </c>
    </row>
    <row r="2456" spans="1:17" x14ac:dyDescent="0.25">
      <c r="A2456" t="s">
        <v>1148</v>
      </c>
      <c r="B2456" t="s">
        <v>1056</v>
      </c>
      <c r="C2456" t="s">
        <v>175</v>
      </c>
      <c r="D2456" t="s">
        <v>321</v>
      </c>
      <c r="E2456" t="s">
        <v>322</v>
      </c>
      <c r="F2456">
        <v>6.35</v>
      </c>
      <c r="G2456" t="s">
        <v>176</v>
      </c>
      <c r="H2456">
        <v>0</v>
      </c>
      <c r="I2456">
        <v>84</v>
      </c>
      <c r="J2456" s="10">
        <v>195.90000000000009</v>
      </c>
      <c r="K2456" s="10">
        <f>SUMIFS(F:F,D:D,DST_123_ÜRETİM_İHTİYAÇ_RAPORU_BURAK_YENI1309[[#This Row],[ALT_KOD]])-(SUMIFS(H:H,D:D,DST_123_ÜRETİM_İHTİYAÇ_RAPORU_BURAK_YENI1309[[#This Row],[ALT_KOD]])+AVERAGEIFS(I:I,D:D,DST_123_ÜRETİM_İHTİYAÇ_RAPORU_BURAK_YENI1309[[#This Row],[ALT_KOD]])+AVERAGEIFS(L:L,D:D,DST_123_ÜRETİM_İHTİYAÇ_RAPORU_BURAK_YENI1309[[#This Row],[ALT_KOD]]))</f>
        <v>-24.600000000000023</v>
      </c>
      <c r="L2456">
        <v>0</v>
      </c>
      <c r="M2456">
        <f>IF((DST_123_ÜRETİM_İHTİYAÇ_RAPORU_BURAK_YENI1309[[#This Row],[SATINALMA]]*DST_123_ÜRETİM_İHTİYAÇ_RAPORU_BURAK_YENI1309[[#This Row],[BIRIM_FIYATLAR]])&lt;1,VALUE("0"),DST_123_ÜRETİM_İHTİYAÇ_RAPORU_BURAK_YENI1309[[#This Row],[SATINALMA]]*DST_123_ÜRETİM_İHTİYAÇ_RAPORU_BURAK_YENI1309[[#This Row],[BIRIM_FIYATLAR]])</f>
        <v>0</v>
      </c>
      <c r="N2456">
        <v>29</v>
      </c>
      <c r="O2456" t="s">
        <v>240</v>
      </c>
      <c r="P2456">
        <v>184.14999999999998</v>
      </c>
      <c r="Q2456" t="s">
        <v>180</v>
      </c>
    </row>
    <row r="2457" spans="1:17" x14ac:dyDescent="0.25">
      <c r="A2457" t="s">
        <v>1148</v>
      </c>
      <c r="B2457" t="s">
        <v>1056</v>
      </c>
      <c r="C2457" t="s">
        <v>175</v>
      </c>
      <c r="D2457" t="s">
        <v>243</v>
      </c>
      <c r="E2457" t="s">
        <v>244</v>
      </c>
      <c r="F2457">
        <v>2</v>
      </c>
      <c r="G2457" t="s">
        <v>176</v>
      </c>
      <c r="H2457">
        <v>0</v>
      </c>
      <c r="I2457">
        <v>18</v>
      </c>
      <c r="J2457" s="10">
        <v>9</v>
      </c>
      <c r="K2457" s="10">
        <f>SUMIFS(F:F,D:D,DST_123_ÜRETİM_İHTİYAÇ_RAPORU_BURAK_YENI1309[[#This Row],[ALT_KOD]])-(SUMIFS(H:H,D:D,DST_123_ÜRETİM_İHTİYAÇ_RAPORU_BURAK_YENI1309[[#This Row],[ALT_KOD]])+AVERAGEIFS(I:I,D:D,DST_123_ÜRETİM_İHTİYAÇ_RAPORU_BURAK_YENI1309[[#This Row],[ALT_KOD]])+AVERAGEIFS(L:L,D:D,DST_123_ÜRETİM_İHTİYAÇ_RAPORU_BURAK_YENI1309[[#This Row],[ALT_KOD]]))</f>
        <v>-10</v>
      </c>
      <c r="L2457">
        <v>0</v>
      </c>
      <c r="M2457">
        <f>IF((DST_123_ÜRETİM_İHTİYAÇ_RAPORU_BURAK_YENI1309[[#This Row],[SATINALMA]]*DST_123_ÜRETİM_İHTİYAÇ_RAPORU_BURAK_YENI1309[[#This Row],[BIRIM_FIYATLAR]])&lt;1,VALUE("0"),DST_123_ÜRETİM_İHTİYAÇ_RAPORU_BURAK_YENI1309[[#This Row],[SATINALMA]]*DST_123_ÜRETİM_İHTİYAÇ_RAPORU_BURAK_YENI1309[[#This Row],[BIRIM_FIYATLAR]])</f>
        <v>0</v>
      </c>
      <c r="N2457">
        <v>60</v>
      </c>
      <c r="O2457" t="s">
        <v>628</v>
      </c>
      <c r="P2457">
        <v>120</v>
      </c>
      <c r="Q2457" t="s">
        <v>180</v>
      </c>
    </row>
    <row r="2458" spans="1:17" x14ac:dyDescent="0.25">
      <c r="A2458" t="s">
        <v>1095</v>
      </c>
      <c r="B2458" t="s">
        <v>1096</v>
      </c>
      <c r="C2458" t="s">
        <v>175</v>
      </c>
      <c r="D2458" t="s">
        <v>243</v>
      </c>
      <c r="E2458" t="s">
        <v>244</v>
      </c>
      <c r="F2458">
        <v>2</v>
      </c>
      <c r="G2458" t="s">
        <v>176</v>
      </c>
      <c r="H2458">
        <v>0</v>
      </c>
      <c r="I2458">
        <v>18</v>
      </c>
      <c r="J2458" s="10">
        <v>9</v>
      </c>
      <c r="K2458" s="10">
        <f>SUMIFS(F:F,D:D,DST_123_ÜRETİM_İHTİYAÇ_RAPORU_BURAK_YENI1309[[#This Row],[ALT_KOD]])-(SUMIFS(H:H,D:D,DST_123_ÜRETİM_İHTİYAÇ_RAPORU_BURAK_YENI1309[[#This Row],[ALT_KOD]])+AVERAGEIFS(I:I,D:D,DST_123_ÜRETİM_İHTİYAÇ_RAPORU_BURAK_YENI1309[[#This Row],[ALT_KOD]])+AVERAGEIFS(L:L,D:D,DST_123_ÜRETİM_İHTİYAÇ_RAPORU_BURAK_YENI1309[[#This Row],[ALT_KOD]]))</f>
        <v>-10</v>
      </c>
      <c r="L2458">
        <v>0</v>
      </c>
      <c r="M2458">
        <f>IF((DST_123_ÜRETİM_İHTİYAÇ_RAPORU_BURAK_YENI1309[[#This Row],[SATINALMA]]*DST_123_ÜRETİM_İHTİYAÇ_RAPORU_BURAK_YENI1309[[#This Row],[BIRIM_FIYATLAR]])&lt;1,VALUE("0"),DST_123_ÜRETİM_İHTİYAÇ_RAPORU_BURAK_YENI1309[[#This Row],[SATINALMA]]*DST_123_ÜRETİM_İHTİYAÇ_RAPORU_BURAK_YENI1309[[#This Row],[BIRIM_FIYATLAR]])</f>
        <v>0</v>
      </c>
      <c r="N2458">
        <v>60</v>
      </c>
      <c r="O2458" t="s">
        <v>628</v>
      </c>
      <c r="P2458">
        <v>120</v>
      </c>
      <c r="Q2458" t="s">
        <v>180</v>
      </c>
    </row>
    <row r="2459" spans="1:17" x14ac:dyDescent="0.25">
      <c r="A2459" t="s">
        <v>1097</v>
      </c>
      <c r="B2459" t="s">
        <v>1055</v>
      </c>
      <c r="C2459" t="s">
        <v>175</v>
      </c>
      <c r="D2459" t="s">
        <v>565</v>
      </c>
      <c r="E2459" t="s">
        <v>566</v>
      </c>
      <c r="F2459">
        <v>2</v>
      </c>
      <c r="G2459" t="s">
        <v>176</v>
      </c>
      <c r="H2459">
        <v>0</v>
      </c>
      <c r="I2459">
        <v>26</v>
      </c>
      <c r="J2459" s="10">
        <v>46</v>
      </c>
      <c r="K2459" s="10">
        <f>SUMIFS(F:F,D:D,DST_123_ÜRETİM_İHTİYAÇ_RAPORU_BURAK_YENI1309[[#This Row],[ALT_KOD]])-(SUMIFS(H:H,D:D,DST_123_ÜRETİM_İHTİYAÇ_RAPORU_BURAK_YENI1309[[#This Row],[ALT_KOD]])+AVERAGEIFS(I:I,D:D,DST_123_ÜRETİM_İHTİYAÇ_RAPORU_BURAK_YENI1309[[#This Row],[ALT_KOD]])+AVERAGEIFS(L:L,D:D,DST_123_ÜRETİM_İHTİYAÇ_RAPORU_BURAK_YENI1309[[#This Row],[ALT_KOD]]))</f>
        <v>-10</v>
      </c>
      <c r="L2459">
        <v>0</v>
      </c>
      <c r="M2459">
        <f>IF((DST_123_ÜRETİM_İHTİYAÇ_RAPORU_BURAK_YENI1309[[#This Row],[SATINALMA]]*DST_123_ÜRETİM_İHTİYAÇ_RAPORU_BURAK_YENI1309[[#This Row],[BIRIM_FIYATLAR]])&lt;1,VALUE("0"),DST_123_ÜRETİM_İHTİYAÇ_RAPORU_BURAK_YENI1309[[#This Row],[SATINALMA]]*DST_123_ÜRETİM_İHTİYAÇ_RAPORU_BURAK_YENI1309[[#This Row],[BIRIM_FIYATLAR]])</f>
        <v>0</v>
      </c>
      <c r="N2459">
        <v>12</v>
      </c>
      <c r="O2459" t="s">
        <v>226</v>
      </c>
      <c r="P2459">
        <v>24</v>
      </c>
      <c r="Q2459" t="s">
        <v>180</v>
      </c>
    </row>
    <row r="2460" spans="1:17" x14ac:dyDescent="0.25">
      <c r="A2460" t="s">
        <v>1095</v>
      </c>
      <c r="B2460" t="s">
        <v>1096</v>
      </c>
      <c r="C2460" t="s">
        <v>175</v>
      </c>
      <c r="D2460" t="s">
        <v>565</v>
      </c>
      <c r="E2460" t="s">
        <v>566</v>
      </c>
      <c r="F2460">
        <v>2</v>
      </c>
      <c r="G2460" t="s">
        <v>176</v>
      </c>
      <c r="H2460">
        <v>0</v>
      </c>
      <c r="I2460">
        <v>26</v>
      </c>
      <c r="J2460" s="10">
        <v>46</v>
      </c>
      <c r="K2460" s="10">
        <f>SUMIFS(F:F,D:D,DST_123_ÜRETİM_İHTİYAÇ_RAPORU_BURAK_YENI1309[[#This Row],[ALT_KOD]])-(SUMIFS(H:H,D:D,DST_123_ÜRETİM_İHTİYAÇ_RAPORU_BURAK_YENI1309[[#This Row],[ALT_KOD]])+AVERAGEIFS(I:I,D:D,DST_123_ÜRETİM_İHTİYAÇ_RAPORU_BURAK_YENI1309[[#This Row],[ALT_KOD]])+AVERAGEIFS(L:L,D:D,DST_123_ÜRETİM_İHTİYAÇ_RAPORU_BURAK_YENI1309[[#This Row],[ALT_KOD]]))</f>
        <v>-10</v>
      </c>
      <c r="L2460">
        <v>0</v>
      </c>
      <c r="M2460">
        <f>IF((DST_123_ÜRETİM_İHTİYAÇ_RAPORU_BURAK_YENI1309[[#This Row],[SATINALMA]]*DST_123_ÜRETİM_İHTİYAÇ_RAPORU_BURAK_YENI1309[[#This Row],[BIRIM_FIYATLAR]])&lt;1,VALUE("0"),DST_123_ÜRETİM_İHTİYAÇ_RAPORU_BURAK_YENI1309[[#This Row],[SATINALMA]]*DST_123_ÜRETİM_İHTİYAÇ_RAPORU_BURAK_YENI1309[[#This Row],[BIRIM_FIYATLAR]])</f>
        <v>0</v>
      </c>
      <c r="N2460">
        <v>12</v>
      </c>
      <c r="O2460" t="s">
        <v>226</v>
      </c>
      <c r="P2460">
        <v>24</v>
      </c>
      <c r="Q2460" t="s">
        <v>180</v>
      </c>
    </row>
    <row r="2461" spans="1:17" x14ac:dyDescent="0.25">
      <c r="A2461" t="s">
        <v>1057</v>
      </c>
      <c r="B2461" t="s">
        <v>1058</v>
      </c>
      <c r="C2461" t="s">
        <v>175</v>
      </c>
      <c r="D2461" t="s">
        <v>565</v>
      </c>
      <c r="E2461" t="s">
        <v>566</v>
      </c>
      <c r="F2461">
        <v>1</v>
      </c>
      <c r="G2461" t="s">
        <v>176</v>
      </c>
      <c r="H2461">
        <v>0</v>
      </c>
      <c r="I2461">
        <v>26</v>
      </c>
      <c r="J2461" s="10">
        <v>46</v>
      </c>
      <c r="K2461" s="10">
        <f>SUMIFS(F:F,D:D,DST_123_ÜRETİM_İHTİYAÇ_RAPORU_BURAK_YENI1309[[#This Row],[ALT_KOD]])-(SUMIFS(H:H,D:D,DST_123_ÜRETİM_İHTİYAÇ_RAPORU_BURAK_YENI1309[[#This Row],[ALT_KOD]])+AVERAGEIFS(I:I,D:D,DST_123_ÜRETİM_İHTİYAÇ_RAPORU_BURAK_YENI1309[[#This Row],[ALT_KOD]])+AVERAGEIFS(L:L,D:D,DST_123_ÜRETİM_İHTİYAÇ_RAPORU_BURAK_YENI1309[[#This Row],[ALT_KOD]]))</f>
        <v>-10</v>
      </c>
      <c r="L2461">
        <v>0</v>
      </c>
      <c r="M2461">
        <f>IF((DST_123_ÜRETİM_İHTİYAÇ_RAPORU_BURAK_YENI1309[[#This Row],[SATINALMA]]*DST_123_ÜRETİM_İHTİYAÇ_RAPORU_BURAK_YENI1309[[#This Row],[BIRIM_FIYATLAR]])&lt;1,VALUE("0"),DST_123_ÜRETİM_İHTİYAÇ_RAPORU_BURAK_YENI1309[[#This Row],[SATINALMA]]*DST_123_ÜRETİM_İHTİYAÇ_RAPORU_BURAK_YENI1309[[#This Row],[BIRIM_FIYATLAR]])</f>
        <v>0</v>
      </c>
      <c r="N2461">
        <v>12</v>
      </c>
      <c r="O2461" t="s">
        <v>226</v>
      </c>
      <c r="P2461">
        <v>12</v>
      </c>
      <c r="Q2461" t="s">
        <v>180</v>
      </c>
    </row>
    <row r="2462" spans="1:17" x14ac:dyDescent="0.25">
      <c r="A2462" t="s">
        <v>1148</v>
      </c>
      <c r="B2462" t="s">
        <v>1056</v>
      </c>
      <c r="C2462" t="s">
        <v>175</v>
      </c>
      <c r="D2462" t="s">
        <v>565</v>
      </c>
      <c r="E2462" t="s">
        <v>566</v>
      </c>
      <c r="F2462">
        <v>2</v>
      </c>
      <c r="G2462" t="s">
        <v>176</v>
      </c>
      <c r="H2462">
        <v>0</v>
      </c>
      <c r="I2462">
        <v>26</v>
      </c>
      <c r="J2462" s="10">
        <v>46</v>
      </c>
      <c r="K2462" s="10">
        <f>SUMIFS(F:F,D:D,DST_123_ÜRETİM_İHTİYAÇ_RAPORU_BURAK_YENI1309[[#This Row],[ALT_KOD]])-(SUMIFS(H:H,D:D,DST_123_ÜRETİM_İHTİYAÇ_RAPORU_BURAK_YENI1309[[#This Row],[ALT_KOD]])+AVERAGEIFS(I:I,D:D,DST_123_ÜRETİM_İHTİYAÇ_RAPORU_BURAK_YENI1309[[#This Row],[ALT_KOD]])+AVERAGEIFS(L:L,D:D,DST_123_ÜRETİM_İHTİYAÇ_RAPORU_BURAK_YENI1309[[#This Row],[ALT_KOD]]))</f>
        <v>-10</v>
      </c>
      <c r="L2462">
        <v>0</v>
      </c>
      <c r="M2462">
        <f>IF((DST_123_ÜRETİM_İHTİYAÇ_RAPORU_BURAK_YENI1309[[#This Row],[SATINALMA]]*DST_123_ÜRETİM_İHTİYAÇ_RAPORU_BURAK_YENI1309[[#This Row],[BIRIM_FIYATLAR]])&lt;1,VALUE("0"),DST_123_ÜRETİM_İHTİYAÇ_RAPORU_BURAK_YENI1309[[#This Row],[SATINALMA]]*DST_123_ÜRETİM_İHTİYAÇ_RAPORU_BURAK_YENI1309[[#This Row],[BIRIM_FIYATLAR]])</f>
        <v>0</v>
      </c>
      <c r="N2462">
        <v>12</v>
      </c>
      <c r="O2462" t="s">
        <v>226</v>
      </c>
      <c r="P2462">
        <v>24</v>
      </c>
      <c r="Q2462" t="s">
        <v>180</v>
      </c>
    </row>
    <row r="2463" spans="1:17" x14ac:dyDescent="0.25">
      <c r="A2463" t="s">
        <v>1147</v>
      </c>
      <c r="B2463" t="s">
        <v>1145</v>
      </c>
      <c r="C2463" t="s">
        <v>175</v>
      </c>
      <c r="D2463" t="s">
        <v>957</v>
      </c>
      <c r="E2463" t="s">
        <v>958</v>
      </c>
      <c r="F2463">
        <v>1</v>
      </c>
      <c r="G2463" t="s">
        <v>176</v>
      </c>
      <c r="H2463">
        <v>0</v>
      </c>
      <c r="I2463">
        <v>2</v>
      </c>
      <c r="J2463" s="10">
        <v>1</v>
      </c>
      <c r="K2463" s="10">
        <f>SUMIFS(F:F,D:D,DST_123_ÜRETİM_İHTİYAÇ_RAPORU_BURAK_YENI1309[[#This Row],[ALT_KOD]])-(SUMIFS(H:H,D:D,DST_123_ÜRETİM_İHTİYAÇ_RAPORU_BURAK_YENI1309[[#This Row],[ALT_KOD]])+AVERAGEIFS(I:I,D:D,DST_123_ÜRETİM_İHTİYAÇ_RAPORU_BURAK_YENI1309[[#This Row],[ALT_KOD]])+AVERAGEIFS(L:L,D:D,DST_123_ÜRETİM_İHTİYAÇ_RAPORU_BURAK_YENI1309[[#This Row],[ALT_KOD]]))</f>
        <v>1</v>
      </c>
      <c r="L2463">
        <v>0</v>
      </c>
      <c r="M2463">
        <f>IF((DST_123_ÜRETİM_İHTİYAÇ_RAPORU_BURAK_YENI1309[[#This Row],[SATINALMA]]*DST_123_ÜRETİM_İHTİYAÇ_RAPORU_BURAK_YENI1309[[#This Row],[BIRIM_FIYATLAR]])&lt;1,VALUE("0"),DST_123_ÜRETİM_İHTİYAÇ_RAPORU_BURAK_YENI1309[[#This Row],[SATINALMA]]*DST_123_ÜRETİM_İHTİYAÇ_RAPORU_BURAK_YENI1309[[#This Row],[BIRIM_FIYATLAR]])</f>
        <v>11815.53</v>
      </c>
      <c r="N2463">
        <v>11815.53</v>
      </c>
      <c r="O2463" t="s">
        <v>227</v>
      </c>
      <c r="P2463">
        <v>11815.53</v>
      </c>
      <c r="Q2463" t="s">
        <v>221</v>
      </c>
    </row>
    <row r="2464" spans="1:17" x14ac:dyDescent="0.25">
      <c r="A2464" t="s">
        <v>1148</v>
      </c>
      <c r="B2464" t="s">
        <v>1056</v>
      </c>
      <c r="C2464" t="s">
        <v>175</v>
      </c>
      <c r="D2464" t="s">
        <v>575</v>
      </c>
      <c r="E2464" t="s">
        <v>576</v>
      </c>
      <c r="F2464">
        <v>5.85</v>
      </c>
      <c r="G2464" t="s">
        <v>176</v>
      </c>
      <c r="H2464">
        <v>0</v>
      </c>
      <c r="I2464">
        <v>85</v>
      </c>
      <c r="J2464" s="10">
        <v>3.6500000000000128</v>
      </c>
      <c r="K2464" s="10">
        <f>SUMIFS(F:F,D:D,DST_123_ÜRETİM_İHTİYAÇ_RAPORU_BURAK_YENI1309[[#This Row],[ALT_KOD]])-(SUMIFS(H:H,D:D,DST_123_ÜRETİM_İHTİYAÇ_RAPORU_BURAK_YENI1309[[#This Row],[ALT_KOD]])+AVERAGEIFS(I:I,D:D,DST_123_ÜRETİM_İHTİYAÇ_RAPORU_BURAK_YENI1309[[#This Row],[ALT_KOD]])+AVERAGEIFS(L:L,D:D,DST_123_ÜRETİM_İHTİYAÇ_RAPORU_BURAK_YENI1309[[#This Row],[ALT_KOD]]))</f>
        <v>12.550000000000011</v>
      </c>
      <c r="L2464">
        <v>0</v>
      </c>
      <c r="M2464">
        <f>IF((DST_123_ÜRETİM_İHTİYAÇ_RAPORU_BURAK_YENI1309[[#This Row],[SATINALMA]]*DST_123_ÜRETİM_İHTİYAÇ_RAPORU_BURAK_YENI1309[[#This Row],[BIRIM_FIYATLAR]])&lt;1,VALUE("0"),DST_123_ÜRETİM_İHTİYAÇ_RAPORU_BURAK_YENI1309[[#This Row],[SATINALMA]]*DST_123_ÜRETİM_İHTİYAÇ_RAPORU_BURAK_YENI1309[[#This Row],[BIRIM_FIYATLAR]])</f>
        <v>4368.7805000000044</v>
      </c>
      <c r="N2464">
        <v>348.11</v>
      </c>
      <c r="O2464" t="s">
        <v>250</v>
      </c>
      <c r="P2464">
        <v>2036.4434999999999</v>
      </c>
      <c r="Q2464" t="s">
        <v>183</v>
      </c>
    </row>
    <row r="2465" spans="1:17" x14ac:dyDescent="0.25">
      <c r="A2465" t="s">
        <v>1057</v>
      </c>
      <c r="B2465" t="s">
        <v>1058</v>
      </c>
      <c r="C2465" t="s">
        <v>175</v>
      </c>
      <c r="D2465" t="s">
        <v>575</v>
      </c>
      <c r="E2465" t="s">
        <v>576</v>
      </c>
      <c r="F2465">
        <v>6.55</v>
      </c>
      <c r="G2465" t="s">
        <v>176</v>
      </c>
      <c r="H2465">
        <v>0</v>
      </c>
      <c r="I2465">
        <v>85</v>
      </c>
      <c r="J2465" s="10">
        <v>3.6500000000000128</v>
      </c>
      <c r="K2465" s="10">
        <f>SUMIFS(F:F,D:D,DST_123_ÜRETİM_İHTİYAÇ_RAPORU_BURAK_YENI1309[[#This Row],[ALT_KOD]])-(SUMIFS(H:H,D:D,DST_123_ÜRETİM_İHTİYAÇ_RAPORU_BURAK_YENI1309[[#This Row],[ALT_KOD]])+AVERAGEIFS(I:I,D:D,DST_123_ÜRETİM_İHTİYAÇ_RAPORU_BURAK_YENI1309[[#This Row],[ALT_KOD]])+AVERAGEIFS(L:L,D:D,DST_123_ÜRETİM_İHTİYAÇ_RAPORU_BURAK_YENI1309[[#This Row],[ALT_KOD]]))</f>
        <v>12.550000000000011</v>
      </c>
      <c r="L2465">
        <v>0</v>
      </c>
      <c r="M2465">
        <f>IF((DST_123_ÜRETİM_İHTİYAÇ_RAPORU_BURAK_YENI1309[[#This Row],[SATINALMA]]*DST_123_ÜRETİM_İHTİYAÇ_RAPORU_BURAK_YENI1309[[#This Row],[BIRIM_FIYATLAR]])&lt;1,VALUE("0"),DST_123_ÜRETİM_İHTİYAÇ_RAPORU_BURAK_YENI1309[[#This Row],[SATINALMA]]*DST_123_ÜRETİM_İHTİYAÇ_RAPORU_BURAK_YENI1309[[#This Row],[BIRIM_FIYATLAR]])</f>
        <v>4368.7805000000044</v>
      </c>
      <c r="N2465">
        <v>348.11</v>
      </c>
      <c r="O2465" t="s">
        <v>250</v>
      </c>
      <c r="P2465">
        <v>2280.1205</v>
      </c>
      <c r="Q2465" t="s">
        <v>183</v>
      </c>
    </row>
    <row r="2466" spans="1:17" x14ac:dyDescent="0.25">
      <c r="A2466" t="s">
        <v>1143</v>
      </c>
      <c r="B2466" t="s">
        <v>1056</v>
      </c>
      <c r="C2466" t="s">
        <v>175</v>
      </c>
      <c r="D2466" t="s">
        <v>321</v>
      </c>
      <c r="E2466" t="s">
        <v>322</v>
      </c>
      <c r="F2466">
        <v>4.3499999999999996</v>
      </c>
      <c r="G2466" t="s">
        <v>176</v>
      </c>
      <c r="H2466">
        <v>0</v>
      </c>
      <c r="I2466">
        <v>84</v>
      </c>
      <c r="J2466" s="10">
        <v>195.90000000000009</v>
      </c>
      <c r="K2466" s="10">
        <f>SUMIFS(F:F,D:D,DST_123_ÜRETİM_İHTİYAÇ_RAPORU_BURAK_YENI1309[[#This Row],[ALT_KOD]])-(SUMIFS(H:H,D:D,DST_123_ÜRETİM_İHTİYAÇ_RAPORU_BURAK_YENI1309[[#This Row],[ALT_KOD]])+AVERAGEIFS(I:I,D:D,DST_123_ÜRETİM_İHTİYAÇ_RAPORU_BURAK_YENI1309[[#This Row],[ALT_KOD]])+AVERAGEIFS(L:L,D:D,DST_123_ÜRETİM_İHTİYAÇ_RAPORU_BURAK_YENI1309[[#This Row],[ALT_KOD]]))</f>
        <v>-24.600000000000023</v>
      </c>
      <c r="L2466">
        <v>0</v>
      </c>
      <c r="M2466">
        <f>IF((DST_123_ÜRETİM_İHTİYAÇ_RAPORU_BURAK_YENI1309[[#This Row],[SATINALMA]]*DST_123_ÜRETİM_İHTİYAÇ_RAPORU_BURAK_YENI1309[[#This Row],[BIRIM_FIYATLAR]])&lt;1,VALUE("0"),DST_123_ÜRETİM_İHTİYAÇ_RAPORU_BURAK_YENI1309[[#This Row],[SATINALMA]]*DST_123_ÜRETİM_İHTİYAÇ_RAPORU_BURAK_YENI1309[[#This Row],[BIRIM_FIYATLAR]])</f>
        <v>0</v>
      </c>
      <c r="N2466">
        <v>29</v>
      </c>
      <c r="O2466" t="s">
        <v>240</v>
      </c>
      <c r="P2466">
        <v>126.14999999999999</v>
      </c>
      <c r="Q2466" t="s">
        <v>180</v>
      </c>
    </row>
    <row r="2467" spans="1:17" x14ac:dyDescent="0.25">
      <c r="A2467" t="s">
        <v>1143</v>
      </c>
      <c r="B2467" t="s">
        <v>1056</v>
      </c>
      <c r="C2467" t="s">
        <v>175</v>
      </c>
      <c r="D2467" t="s">
        <v>565</v>
      </c>
      <c r="E2467" t="s">
        <v>566</v>
      </c>
      <c r="F2467">
        <v>2</v>
      </c>
      <c r="G2467" t="s">
        <v>176</v>
      </c>
      <c r="H2467">
        <v>0</v>
      </c>
      <c r="I2467">
        <v>26</v>
      </c>
      <c r="J2467" s="10">
        <v>46</v>
      </c>
      <c r="K2467" s="10">
        <f>SUMIFS(F:F,D:D,DST_123_ÜRETİM_İHTİYAÇ_RAPORU_BURAK_YENI1309[[#This Row],[ALT_KOD]])-(SUMIFS(H:H,D:D,DST_123_ÜRETİM_İHTİYAÇ_RAPORU_BURAK_YENI1309[[#This Row],[ALT_KOD]])+AVERAGEIFS(I:I,D:D,DST_123_ÜRETİM_İHTİYAÇ_RAPORU_BURAK_YENI1309[[#This Row],[ALT_KOD]])+AVERAGEIFS(L:L,D:D,DST_123_ÜRETİM_İHTİYAÇ_RAPORU_BURAK_YENI1309[[#This Row],[ALT_KOD]]))</f>
        <v>-10</v>
      </c>
      <c r="L2467">
        <v>0</v>
      </c>
      <c r="M2467">
        <f>IF((DST_123_ÜRETİM_İHTİYAÇ_RAPORU_BURAK_YENI1309[[#This Row],[SATINALMA]]*DST_123_ÜRETİM_İHTİYAÇ_RAPORU_BURAK_YENI1309[[#This Row],[BIRIM_FIYATLAR]])&lt;1,VALUE("0"),DST_123_ÜRETİM_İHTİYAÇ_RAPORU_BURAK_YENI1309[[#This Row],[SATINALMA]]*DST_123_ÜRETİM_İHTİYAÇ_RAPORU_BURAK_YENI1309[[#This Row],[BIRIM_FIYATLAR]])</f>
        <v>0</v>
      </c>
      <c r="N2467">
        <v>12</v>
      </c>
      <c r="O2467" t="s">
        <v>226</v>
      </c>
      <c r="P2467">
        <v>24</v>
      </c>
      <c r="Q2467" t="s">
        <v>180</v>
      </c>
    </row>
    <row r="2468" spans="1:17" x14ac:dyDescent="0.25">
      <c r="A2468" t="s">
        <v>1059</v>
      </c>
      <c r="B2468" t="s">
        <v>1058</v>
      </c>
      <c r="C2468" t="s">
        <v>175</v>
      </c>
      <c r="D2468" t="s">
        <v>565</v>
      </c>
      <c r="E2468" t="s">
        <v>566</v>
      </c>
      <c r="F2468">
        <v>1</v>
      </c>
      <c r="G2468" t="s">
        <v>176</v>
      </c>
      <c r="H2468">
        <v>0</v>
      </c>
      <c r="I2468">
        <v>26</v>
      </c>
      <c r="J2468" s="10">
        <v>46</v>
      </c>
      <c r="K2468" s="10">
        <f>SUMIFS(F:F,D:D,DST_123_ÜRETİM_İHTİYAÇ_RAPORU_BURAK_YENI1309[[#This Row],[ALT_KOD]])-(SUMIFS(H:H,D:D,DST_123_ÜRETİM_İHTİYAÇ_RAPORU_BURAK_YENI1309[[#This Row],[ALT_KOD]])+AVERAGEIFS(I:I,D:D,DST_123_ÜRETİM_İHTİYAÇ_RAPORU_BURAK_YENI1309[[#This Row],[ALT_KOD]])+AVERAGEIFS(L:L,D:D,DST_123_ÜRETİM_İHTİYAÇ_RAPORU_BURAK_YENI1309[[#This Row],[ALT_KOD]]))</f>
        <v>-10</v>
      </c>
      <c r="L2468">
        <v>0</v>
      </c>
      <c r="M2468">
        <f>IF((DST_123_ÜRETİM_İHTİYAÇ_RAPORU_BURAK_YENI1309[[#This Row],[SATINALMA]]*DST_123_ÜRETİM_İHTİYAÇ_RAPORU_BURAK_YENI1309[[#This Row],[BIRIM_FIYATLAR]])&lt;1,VALUE("0"),DST_123_ÜRETİM_İHTİYAÇ_RAPORU_BURAK_YENI1309[[#This Row],[SATINALMA]]*DST_123_ÜRETİM_İHTİYAÇ_RAPORU_BURAK_YENI1309[[#This Row],[BIRIM_FIYATLAR]])</f>
        <v>0</v>
      </c>
      <c r="N2468">
        <v>12</v>
      </c>
      <c r="O2468" t="s">
        <v>226</v>
      </c>
      <c r="P2468">
        <v>12</v>
      </c>
      <c r="Q2468" t="s">
        <v>180</v>
      </c>
    </row>
    <row r="2469" spans="1:17" x14ac:dyDescent="0.25">
      <c r="A2469" t="s">
        <v>1101</v>
      </c>
      <c r="B2469" t="s">
        <v>1102</v>
      </c>
      <c r="C2469" t="s">
        <v>175</v>
      </c>
      <c r="D2469" t="s">
        <v>565</v>
      </c>
      <c r="E2469" t="s">
        <v>566</v>
      </c>
      <c r="F2469">
        <v>2</v>
      </c>
      <c r="G2469" t="s">
        <v>176</v>
      </c>
      <c r="H2469">
        <v>0</v>
      </c>
      <c r="I2469">
        <v>26</v>
      </c>
      <c r="J2469" s="10">
        <v>46</v>
      </c>
      <c r="K2469" s="10">
        <f>SUMIFS(F:F,D:D,DST_123_ÜRETİM_İHTİYAÇ_RAPORU_BURAK_YENI1309[[#This Row],[ALT_KOD]])-(SUMIFS(H:H,D:D,DST_123_ÜRETİM_İHTİYAÇ_RAPORU_BURAK_YENI1309[[#This Row],[ALT_KOD]])+AVERAGEIFS(I:I,D:D,DST_123_ÜRETİM_İHTİYAÇ_RAPORU_BURAK_YENI1309[[#This Row],[ALT_KOD]])+AVERAGEIFS(L:L,D:D,DST_123_ÜRETİM_İHTİYAÇ_RAPORU_BURAK_YENI1309[[#This Row],[ALT_KOD]]))</f>
        <v>-10</v>
      </c>
      <c r="L2469">
        <v>0</v>
      </c>
      <c r="M2469">
        <f>IF((DST_123_ÜRETİM_İHTİYAÇ_RAPORU_BURAK_YENI1309[[#This Row],[SATINALMA]]*DST_123_ÜRETİM_İHTİYAÇ_RAPORU_BURAK_YENI1309[[#This Row],[BIRIM_FIYATLAR]])&lt;1,VALUE("0"),DST_123_ÜRETİM_İHTİYAÇ_RAPORU_BURAK_YENI1309[[#This Row],[SATINALMA]]*DST_123_ÜRETİM_İHTİYAÇ_RAPORU_BURAK_YENI1309[[#This Row],[BIRIM_FIYATLAR]])</f>
        <v>0</v>
      </c>
      <c r="N2469">
        <v>12</v>
      </c>
      <c r="O2469" t="s">
        <v>226</v>
      </c>
      <c r="P2469">
        <v>24</v>
      </c>
      <c r="Q2469" t="s">
        <v>180</v>
      </c>
    </row>
    <row r="2470" spans="1:17" x14ac:dyDescent="0.25">
      <c r="A2470" t="s">
        <v>1060</v>
      </c>
      <c r="B2470" t="s">
        <v>1061</v>
      </c>
      <c r="C2470" t="s">
        <v>175</v>
      </c>
      <c r="D2470" t="s">
        <v>556</v>
      </c>
      <c r="E2470" t="s">
        <v>557</v>
      </c>
      <c r="F2470">
        <v>0.1</v>
      </c>
      <c r="G2470" t="s">
        <v>176</v>
      </c>
      <c r="H2470">
        <v>0.1</v>
      </c>
      <c r="I2470">
        <v>33</v>
      </c>
      <c r="J2470" s="10">
        <v>6.0999999999999988</v>
      </c>
      <c r="K2470" s="10">
        <f>SUMIFS(F:F,D:D,DST_123_ÜRETİM_İHTİYAÇ_RAPORU_BURAK_YENI1309[[#This Row],[ALT_KOD]])-(SUMIFS(H:H,D:D,DST_123_ÜRETİM_İHTİYAÇ_RAPORU_BURAK_YENI1309[[#This Row],[ALT_KOD]])+AVERAGEIFS(I:I,D:D,DST_123_ÜRETİM_İHTİYAÇ_RAPORU_BURAK_YENI1309[[#This Row],[ALT_KOD]])+AVERAGEIFS(L:L,D:D,DST_123_ÜRETİM_İHTİYAÇ_RAPORU_BURAK_YENI1309[[#This Row],[ALT_KOD]]))</f>
        <v>-32.299999999999997</v>
      </c>
      <c r="L2470">
        <v>0</v>
      </c>
      <c r="M2470">
        <f>IF((DST_123_ÜRETİM_İHTİYAÇ_RAPORU_BURAK_YENI1309[[#This Row],[SATINALMA]]*DST_123_ÜRETİM_İHTİYAÇ_RAPORU_BURAK_YENI1309[[#This Row],[BIRIM_FIYATLAR]])&lt;1,VALUE("0"),DST_123_ÜRETİM_İHTİYAÇ_RAPORU_BURAK_YENI1309[[#This Row],[SATINALMA]]*DST_123_ÜRETİM_İHTİYAÇ_RAPORU_BURAK_YENI1309[[#This Row],[BIRIM_FIYATLAR]])</f>
        <v>0</v>
      </c>
      <c r="N2470">
        <v>25</v>
      </c>
      <c r="O2470" t="s">
        <v>240</v>
      </c>
      <c r="P2470">
        <v>2.5</v>
      </c>
      <c r="Q2470" t="s">
        <v>180</v>
      </c>
    </row>
    <row r="2471" spans="1:17" x14ac:dyDescent="0.25">
      <c r="A2471" t="s">
        <v>1147</v>
      </c>
      <c r="B2471" t="s">
        <v>1145</v>
      </c>
      <c r="C2471" t="s">
        <v>175</v>
      </c>
      <c r="D2471" t="s">
        <v>556</v>
      </c>
      <c r="E2471" t="s">
        <v>557</v>
      </c>
      <c r="F2471">
        <v>0.1</v>
      </c>
      <c r="G2471" t="s">
        <v>176</v>
      </c>
      <c r="H2471">
        <v>0</v>
      </c>
      <c r="I2471">
        <v>33</v>
      </c>
      <c r="J2471" s="10">
        <v>6.0999999999999988</v>
      </c>
      <c r="K2471" s="10">
        <f>SUMIFS(F:F,D:D,DST_123_ÜRETİM_İHTİYAÇ_RAPORU_BURAK_YENI1309[[#This Row],[ALT_KOD]])-(SUMIFS(H:H,D:D,DST_123_ÜRETİM_İHTİYAÇ_RAPORU_BURAK_YENI1309[[#This Row],[ALT_KOD]])+AVERAGEIFS(I:I,D:D,DST_123_ÜRETİM_İHTİYAÇ_RAPORU_BURAK_YENI1309[[#This Row],[ALT_KOD]])+AVERAGEIFS(L:L,D:D,DST_123_ÜRETİM_İHTİYAÇ_RAPORU_BURAK_YENI1309[[#This Row],[ALT_KOD]]))</f>
        <v>-32.299999999999997</v>
      </c>
      <c r="L2471">
        <v>0</v>
      </c>
      <c r="M2471">
        <f>IF((DST_123_ÜRETİM_İHTİYAÇ_RAPORU_BURAK_YENI1309[[#This Row],[SATINALMA]]*DST_123_ÜRETİM_İHTİYAÇ_RAPORU_BURAK_YENI1309[[#This Row],[BIRIM_FIYATLAR]])&lt;1,VALUE("0"),DST_123_ÜRETİM_İHTİYAÇ_RAPORU_BURAK_YENI1309[[#This Row],[SATINALMA]]*DST_123_ÜRETİM_İHTİYAÇ_RAPORU_BURAK_YENI1309[[#This Row],[BIRIM_FIYATLAR]])</f>
        <v>0</v>
      </c>
      <c r="N2471">
        <v>25</v>
      </c>
      <c r="O2471" t="s">
        <v>240</v>
      </c>
      <c r="P2471">
        <v>2.5</v>
      </c>
      <c r="Q2471" t="s">
        <v>180</v>
      </c>
    </row>
    <row r="2472" spans="1:17" x14ac:dyDescent="0.25">
      <c r="A2472" t="s">
        <v>1142</v>
      </c>
      <c r="B2472" t="s">
        <v>1056</v>
      </c>
      <c r="C2472" t="s">
        <v>175</v>
      </c>
      <c r="D2472" t="s">
        <v>96</v>
      </c>
      <c r="E2472" t="s">
        <v>97</v>
      </c>
      <c r="F2472">
        <v>1</v>
      </c>
      <c r="G2472" t="s">
        <v>176</v>
      </c>
      <c r="H2472">
        <v>0</v>
      </c>
      <c r="I2472">
        <v>0</v>
      </c>
      <c r="J2472" s="10">
        <v>5</v>
      </c>
      <c r="K2472" s="10">
        <f>SUMIFS(F:F,D:D,DST_123_ÜRETİM_İHTİYAÇ_RAPORU_BURAK_YENI1309[[#This Row],[ALT_KOD]])-(SUMIFS(H:H,D:D,DST_123_ÜRETİM_İHTİYAÇ_RAPORU_BURAK_YENI1309[[#This Row],[ALT_KOD]])+AVERAGEIFS(I:I,D:D,DST_123_ÜRETİM_İHTİYAÇ_RAPORU_BURAK_YENI1309[[#This Row],[ALT_KOD]])+AVERAGEIFS(L:L,D:D,DST_123_ÜRETİM_İHTİYAÇ_RAPORU_BURAK_YENI1309[[#This Row],[ALT_KOD]]))</f>
        <v>0</v>
      </c>
      <c r="L2472">
        <v>7</v>
      </c>
      <c r="M2472">
        <f>IF((DST_123_ÜRETİM_İHTİYAÇ_RAPORU_BURAK_YENI1309[[#This Row],[SATINALMA]]*DST_123_ÜRETİM_İHTİYAÇ_RAPORU_BURAK_YENI1309[[#This Row],[BIRIM_FIYATLAR]])&lt;1,VALUE("0"),DST_123_ÜRETİM_İHTİYAÇ_RAPORU_BURAK_YENI1309[[#This Row],[SATINALMA]]*DST_123_ÜRETİM_İHTİYAÇ_RAPORU_BURAK_YENI1309[[#This Row],[BIRIM_FIYATLAR]])</f>
        <v>0</v>
      </c>
      <c r="N2472">
        <v>1491.67</v>
      </c>
      <c r="O2472" t="s">
        <v>632</v>
      </c>
      <c r="P2472">
        <v>1491.67</v>
      </c>
      <c r="Q2472" t="s">
        <v>177</v>
      </c>
    </row>
    <row r="2473" spans="1:17" x14ac:dyDescent="0.25">
      <c r="A2473" t="s">
        <v>1142</v>
      </c>
      <c r="B2473" t="s">
        <v>1056</v>
      </c>
      <c r="C2473" t="s">
        <v>175</v>
      </c>
      <c r="D2473" t="s">
        <v>99</v>
      </c>
      <c r="E2473" t="s">
        <v>100</v>
      </c>
      <c r="F2473">
        <v>34.869999999999997</v>
      </c>
      <c r="G2473" t="s">
        <v>185</v>
      </c>
      <c r="H2473">
        <v>0</v>
      </c>
      <c r="I2473">
        <v>0</v>
      </c>
      <c r="J2473" s="10">
        <v>437.82000000000016</v>
      </c>
      <c r="K2473" s="10">
        <f>SUMIFS(F:F,D:D,DST_123_ÜRETİM_İHTİYAÇ_RAPORU_BURAK_YENI1309[[#This Row],[ALT_KOD]])-(SUMIFS(H:H,D:D,DST_123_ÜRETİM_İHTİYAÇ_RAPORU_BURAK_YENI1309[[#This Row],[ALT_KOD]])+AVERAGEIFS(I:I,D:D,DST_123_ÜRETİM_İHTİYAÇ_RAPORU_BURAK_YENI1309[[#This Row],[ALT_KOD]])+AVERAGEIFS(L:L,D:D,DST_123_ÜRETİM_İHTİYAÇ_RAPORU_BURAK_YENI1309[[#This Row],[ALT_KOD]]))</f>
        <v>348.62999999999988</v>
      </c>
      <c r="L2473">
        <v>0</v>
      </c>
      <c r="M2473">
        <f>IF((DST_123_ÜRETİM_İHTİYAÇ_RAPORU_BURAK_YENI1309[[#This Row],[SATINALMA]]*DST_123_ÜRETİM_İHTİYAÇ_RAPORU_BURAK_YENI1309[[#This Row],[BIRIM_FIYATLAR]])&lt;1,VALUE("0"),DST_123_ÜRETİM_İHTİYAÇ_RAPORU_BURAK_YENI1309[[#This Row],[SATINALMA]]*DST_123_ÜRETİM_İHTİYAÇ_RAPORU_BURAK_YENI1309[[#This Row],[BIRIM_FIYATLAR]])</f>
        <v>33597.473099999988</v>
      </c>
      <c r="N2473">
        <v>96.37</v>
      </c>
      <c r="O2473" t="s">
        <v>490</v>
      </c>
      <c r="P2473">
        <v>3360.4218999999998</v>
      </c>
      <c r="Q2473" t="s">
        <v>183</v>
      </c>
    </row>
    <row r="2474" spans="1:17" x14ac:dyDescent="0.25">
      <c r="A2474" t="s">
        <v>1143</v>
      </c>
      <c r="B2474" t="s">
        <v>1056</v>
      </c>
      <c r="C2474" t="s">
        <v>175</v>
      </c>
      <c r="D2474" t="s">
        <v>101</v>
      </c>
      <c r="E2474" t="s">
        <v>102</v>
      </c>
      <c r="F2474">
        <v>3.2199999999999998</v>
      </c>
      <c r="G2474" t="s">
        <v>185</v>
      </c>
      <c r="H2474">
        <v>0</v>
      </c>
      <c r="I2474">
        <v>66</v>
      </c>
      <c r="J2474" s="10">
        <v>36.349999999999987</v>
      </c>
      <c r="K2474" s="10">
        <f>SUMIFS(F:F,D:D,DST_123_ÜRETİM_İHTİYAÇ_RAPORU_BURAK_YENI1309[[#This Row],[ALT_KOD]])-(SUMIFS(H:H,D:D,DST_123_ÜRETİM_İHTİYAÇ_RAPORU_BURAK_YENI1309[[#This Row],[ALT_KOD]])+AVERAGEIFS(I:I,D:D,DST_123_ÜRETİM_İHTİYAÇ_RAPORU_BURAK_YENI1309[[#This Row],[ALT_KOD]])+AVERAGEIFS(L:L,D:D,DST_123_ÜRETİM_İHTİYAÇ_RAPORU_BURAK_YENI1309[[#This Row],[ALT_KOD]]))</f>
        <v>-17.090000000000018</v>
      </c>
      <c r="L2474">
        <v>0</v>
      </c>
      <c r="M2474">
        <f>IF((DST_123_ÜRETİM_İHTİYAÇ_RAPORU_BURAK_YENI1309[[#This Row],[SATINALMA]]*DST_123_ÜRETİM_İHTİYAÇ_RAPORU_BURAK_YENI1309[[#This Row],[BIRIM_FIYATLAR]])&lt;1,VALUE("0"),DST_123_ÜRETİM_İHTİYAÇ_RAPORU_BURAK_YENI1309[[#This Row],[SATINALMA]]*DST_123_ÜRETİM_İHTİYAÇ_RAPORU_BURAK_YENI1309[[#This Row],[BIRIM_FIYATLAR]])</f>
        <v>0</v>
      </c>
      <c r="N2474">
        <v>129.63</v>
      </c>
      <c r="O2474" t="s">
        <v>240</v>
      </c>
      <c r="P2474">
        <v>417.40859999999998</v>
      </c>
      <c r="Q2474" t="s">
        <v>183</v>
      </c>
    </row>
    <row r="2475" spans="1:17" x14ac:dyDescent="0.25">
      <c r="A2475" t="s">
        <v>1059</v>
      </c>
      <c r="B2475" t="s">
        <v>1058</v>
      </c>
      <c r="C2475" t="s">
        <v>175</v>
      </c>
      <c r="D2475" t="s">
        <v>101</v>
      </c>
      <c r="E2475" t="s">
        <v>102</v>
      </c>
      <c r="F2475">
        <v>2.1</v>
      </c>
      <c r="G2475" t="s">
        <v>185</v>
      </c>
      <c r="H2475">
        <v>2.1</v>
      </c>
      <c r="I2475">
        <v>66</v>
      </c>
      <c r="J2475" s="10">
        <v>36.349999999999987</v>
      </c>
      <c r="K2475" s="10">
        <f>SUMIFS(F:F,D:D,DST_123_ÜRETİM_İHTİYAÇ_RAPORU_BURAK_YENI1309[[#This Row],[ALT_KOD]])-(SUMIFS(H:H,D:D,DST_123_ÜRETİM_İHTİYAÇ_RAPORU_BURAK_YENI1309[[#This Row],[ALT_KOD]])+AVERAGEIFS(I:I,D:D,DST_123_ÜRETİM_İHTİYAÇ_RAPORU_BURAK_YENI1309[[#This Row],[ALT_KOD]])+AVERAGEIFS(L:L,D:D,DST_123_ÜRETİM_İHTİYAÇ_RAPORU_BURAK_YENI1309[[#This Row],[ALT_KOD]]))</f>
        <v>-17.090000000000018</v>
      </c>
      <c r="L2475">
        <v>0</v>
      </c>
      <c r="M2475">
        <f>IF((DST_123_ÜRETİM_İHTİYAÇ_RAPORU_BURAK_YENI1309[[#This Row],[SATINALMA]]*DST_123_ÜRETİM_İHTİYAÇ_RAPORU_BURAK_YENI1309[[#This Row],[BIRIM_FIYATLAR]])&lt;1,VALUE("0"),DST_123_ÜRETİM_İHTİYAÇ_RAPORU_BURAK_YENI1309[[#This Row],[SATINALMA]]*DST_123_ÜRETİM_İHTİYAÇ_RAPORU_BURAK_YENI1309[[#This Row],[BIRIM_FIYATLAR]])</f>
        <v>0</v>
      </c>
      <c r="N2475">
        <v>129.63</v>
      </c>
      <c r="O2475" t="s">
        <v>240</v>
      </c>
      <c r="P2475">
        <v>272.22300000000001</v>
      </c>
      <c r="Q2475" t="s">
        <v>183</v>
      </c>
    </row>
    <row r="2476" spans="1:17" x14ac:dyDescent="0.25">
      <c r="A2476" t="s">
        <v>1059</v>
      </c>
      <c r="B2476" t="s">
        <v>1058</v>
      </c>
      <c r="C2476" t="s">
        <v>175</v>
      </c>
      <c r="D2476" t="s">
        <v>538</v>
      </c>
      <c r="E2476" t="s">
        <v>539</v>
      </c>
      <c r="F2476">
        <v>2</v>
      </c>
      <c r="G2476" t="s">
        <v>176</v>
      </c>
      <c r="H2476">
        <v>0</v>
      </c>
      <c r="I2476">
        <v>250</v>
      </c>
      <c r="J2476" s="10">
        <v>3</v>
      </c>
      <c r="K2476" s="10">
        <f>SUMIFS(F:F,D:D,DST_123_ÜRETİM_İHTİYAÇ_RAPORU_BURAK_YENI1309[[#This Row],[ALT_KOD]])-(SUMIFS(H:H,D:D,DST_123_ÜRETİM_İHTİYAÇ_RAPORU_BURAK_YENI1309[[#This Row],[ALT_KOD]])+AVERAGEIFS(I:I,D:D,DST_123_ÜRETİM_İHTİYAÇ_RAPORU_BURAK_YENI1309[[#This Row],[ALT_KOD]])+AVERAGEIFS(L:L,D:D,DST_123_ÜRETİM_İHTİYAÇ_RAPORU_BURAK_YENI1309[[#This Row],[ALT_KOD]]))</f>
        <v>-166</v>
      </c>
      <c r="L2476">
        <v>0</v>
      </c>
      <c r="M2476">
        <f>IF((DST_123_ÜRETİM_İHTİYAÇ_RAPORU_BURAK_YENI1309[[#This Row],[SATINALMA]]*DST_123_ÜRETİM_İHTİYAÇ_RAPORU_BURAK_YENI1309[[#This Row],[BIRIM_FIYATLAR]])&lt;1,VALUE("0"),DST_123_ÜRETİM_İHTİYAÇ_RAPORU_BURAK_YENI1309[[#This Row],[SATINALMA]]*DST_123_ÜRETİM_İHTİYAÇ_RAPORU_BURAK_YENI1309[[#This Row],[BIRIM_FIYATLAR]])</f>
        <v>0</v>
      </c>
      <c r="N2476">
        <v>2</v>
      </c>
      <c r="P2476">
        <v>4</v>
      </c>
      <c r="Q2476" t="s">
        <v>180</v>
      </c>
    </row>
    <row r="2477" spans="1:17" x14ac:dyDescent="0.25">
      <c r="A2477" t="s">
        <v>1059</v>
      </c>
      <c r="B2477" t="s">
        <v>1058</v>
      </c>
      <c r="C2477" t="s">
        <v>175</v>
      </c>
      <c r="D2477" t="s">
        <v>852</v>
      </c>
      <c r="E2477" t="s">
        <v>853</v>
      </c>
      <c r="F2477">
        <v>4</v>
      </c>
      <c r="G2477" t="s">
        <v>176</v>
      </c>
      <c r="H2477">
        <v>0</v>
      </c>
      <c r="I2477">
        <v>250</v>
      </c>
      <c r="J2477" s="10">
        <v>835</v>
      </c>
      <c r="K2477" s="10">
        <f>SUMIFS(F:F,D:D,DST_123_ÜRETİM_İHTİYAÇ_RAPORU_BURAK_YENI1309[[#This Row],[ALT_KOD]])-(SUMIFS(H:H,D:D,DST_123_ÜRETİM_İHTİYAÇ_RAPORU_BURAK_YENI1309[[#This Row],[ALT_KOD]])+AVERAGEIFS(I:I,D:D,DST_123_ÜRETİM_İHTİYAÇ_RAPORU_BURAK_YENI1309[[#This Row],[ALT_KOD]])+AVERAGEIFS(L:L,D:D,DST_123_ÜRETİM_İHTİYAÇ_RAPORU_BURAK_YENI1309[[#This Row],[ALT_KOD]]))</f>
        <v>-134</v>
      </c>
      <c r="L2477">
        <v>0</v>
      </c>
      <c r="M2477">
        <f>IF((DST_123_ÜRETİM_İHTİYAÇ_RAPORU_BURAK_YENI1309[[#This Row],[SATINALMA]]*DST_123_ÜRETİM_İHTİYAÇ_RAPORU_BURAK_YENI1309[[#This Row],[BIRIM_FIYATLAR]])&lt;1,VALUE("0"),DST_123_ÜRETİM_İHTİYAÇ_RAPORU_BURAK_YENI1309[[#This Row],[SATINALMA]]*DST_123_ÜRETİM_İHTİYAÇ_RAPORU_BURAK_YENI1309[[#This Row],[BIRIM_FIYATLAR]])</f>
        <v>0</v>
      </c>
      <c r="N2477">
        <v>1.58</v>
      </c>
      <c r="O2477" t="s">
        <v>882</v>
      </c>
      <c r="P2477">
        <v>6.32</v>
      </c>
      <c r="Q2477" t="s">
        <v>180</v>
      </c>
    </row>
    <row r="2478" spans="1:17" x14ac:dyDescent="0.25">
      <c r="A2478" t="s">
        <v>1143</v>
      </c>
      <c r="B2478" t="s">
        <v>1056</v>
      </c>
      <c r="C2478" t="s">
        <v>175</v>
      </c>
      <c r="D2478" t="s">
        <v>852</v>
      </c>
      <c r="E2478" t="s">
        <v>853</v>
      </c>
      <c r="F2478">
        <v>8</v>
      </c>
      <c r="G2478" t="s">
        <v>176</v>
      </c>
      <c r="H2478">
        <v>0</v>
      </c>
      <c r="I2478">
        <v>250</v>
      </c>
      <c r="J2478" s="10">
        <v>835</v>
      </c>
      <c r="K2478" s="10">
        <f>SUMIFS(F:F,D:D,DST_123_ÜRETİM_İHTİYAÇ_RAPORU_BURAK_YENI1309[[#This Row],[ALT_KOD]])-(SUMIFS(H:H,D:D,DST_123_ÜRETİM_İHTİYAÇ_RAPORU_BURAK_YENI1309[[#This Row],[ALT_KOD]])+AVERAGEIFS(I:I,D:D,DST_123_ÜRETİM_İHTİYAÇ_RAPORU_BURAK_YENI1309[[#This Row],[ALT_KOD]])+AVERAGEIFS(L:L,D:D,DST_123_ÜRETİM_İHTİYAÇ_RAPORU_BURAK_YENI1309[[#This Row],[ALT_KOD]]))</f>
        <v>-134</v>
      </c>
      <c r="L2478">
        <v>0</v>
      </c>
      <c r="M2478">
        <f>IF((DST_123_ÜRETİM_İHTİYAÇ_RAPORU_BURAK_YENI1309[[#This Row],[SATINALMA]]*DST_123_ÜRETİM_İHTİYAÇ_RAPORU_BURAK_YENI1309[[#This Row],[BIRIM_FIYATLAR]])&lt;1,VALUE("0"),DST_123_ÜRETİM_İHTİYAÇ_RAPORU_BURAK_YENI1309[[#This Row],[SATINALMA]]*DST_123_ÜRETİM_İHTİYAÇ_RAPORU_BURAK_YENI1309[[#This Row],[BIRIM_FIYATLAR]])</f>
        <v>0</v>
      </c>
      <c r="N2478">
        <v>1.58</v>
      </c>
      <c r="O2478" t="s">
        <v>882</v>
      </c>
      <c r="P2478">
        <v>12.64</v>
      </c>
      <c r="Q2478" t="s">
        <v>180</v>
      </c>
    </row>
    <row r="2479" spans="1:17" x14ac:dyDescent="0.25">
      <c r="A2479" t="s">
        <v>1101</v>
      </c>
      <c r="B2479" t="s">
        <v>1102</v>
      </c>
      <c r="C2479" t="s">
        <v>175</v>
      </c>
      <c r="D2479" t="s">
        <v>538</v>
      </c>
      <c r="E2479" t="s">
        <v>539</v>
      </c>
      <c r="F2479">
        <v>8</v>
      </c>
      <c r="G2479" t="s">
        <v>176</v>
      </c>
      <c r="H2479">
        <v>0</v>
      </c>
      <c r="I2479">
        <v>250</v>
      </c>
      <c r="J2479" s="10">
        <v>3</v>
      </c>
      <c r="K2479" s="10">
        <f>SUMIFS(F:F,D:D,DST_123_ÜRETİM_İHTİYAÇ_RAPORU_BURAK_YENI1309[[#This Row],[ALT_KOD]])-(SUMIFS(H:H,D:D,DST_123_ÜRETİM_İHTİYAÇ_RAPORU_BURAK_YENI1309[[#This Row],[ALT_KOD]])+AVERAGEIFS(I:I,D:D,DST_123_ÜRETİM_İHTİYAÇ_RAPORU_BURAK_YENI1309[[#This Row],[ALT_KOD]])+AVERAGEIFS(L:L,D:D,DST_123_ÜRETİM_İHTİYAÇ_RAPORU_BURAK_YENI1309[[#This Row],[ALT_KOD]]))</f>
        <v>-166</v>
      </c>
      <c r="L2479">
        <v>0</v>
      </c>
      <c r="M2479">
        <f>IF((DST_123_ÜRETİM_İHTİYAÇ_RAPORU_BURAK_YENI1309[[#This Row],[SATINALMA]]*DST_123_ÜRETİM_İHTİYAÇ_RAPORU_BURAK_YENI1309[[#This Row],[BIRIM_FIYATLAR]])&lt;1,VALUE("0"),DST_123_ÜRETİM_İHTİYAÇ_RAPORU_BURAK_YENI1309[[#This Row],[SATINALMA]]*DST_123_ÜRETİM_İHTİYAÇ_RAPORU_BURAK_YENI1309[[#This Row],[BIRIM_FIYATLAR]])</f>
        <v>0</v>
      </c>
      <c r="N2479">
        <v>2</v>
      </c>
      <c r="P2479">
        <v>16</v>
      </c>
      <c r="Q2479" t="s">
        <v>180</v>
      </c>
    </row>
    <row r="2480" spans="1:17" x14ac:dyDescent="0.25">
      <c r="A2480" t="s">
        <v>1057</v>
      </c>
      <c r="B2480" t="s">
        <v>1058</v>
      </c>
      <c r="C2480" t="s">
        <v>175</v>
      </c>
      <c r="D2480" t="s">
        <v>852</v>
      </c>
      <c r="E2480" t="s">
        <v>853</v>
      </c>
      <c r="F2480">
        <v>4</v>
      </c>
      <c r="G2480" t="s">
        <v>176</v>
      </c>
      <c r="H2480">
        <v>0</v>
      </c>
      <c r="I2480">
        <v>250</v>
      </c>
      <c r="J2480" s="10">
        <v>835</v>
      </c>
      <c r="K2480" s="10">
        <f>SUMIFS(F:F,D:D,DST_123_ÜRETİM_İHTİYAÇ_RAPORU_BURAK_YENI1309[[#This Row],[ALT_KOD]])-(SUMIFS(H:H,D:D,DST_123_ÜRETİM_İHTİYAÇ_RAPORU_BURAK_YENI1309[[#This Row],[ALT_KOD]])+AVERAGEIFS(I:I,D:D,DST_123_ÜRETİM_İHTİYAÇ_RAPORU_BURAK_YENI1309[[#This Row],[ALT_KOD]])+AVERAGEIFS(L:L,D:D,DST_123_ÜRETİM_İHTİYAÇ_RAPORU_BURAK_YENI1309[[#This Row],[ALT_KOD]]))</f>
        <v>-134</v>
      </c>
      <c r="L2480">
        <v>0</v>
      </c>
      <c r="M2480">
        <f>IF((DST_123_ÜRETİM_İHTİYAÇ_RAPORU_BURAK_YENI1309[[#This Row],[SATINALMA]]*DST_123_ÜRETİM_İHTİYAÇ_RAPORU_BURAK_YENI1309[[#This Row],[BIRIM_FIYATLAR]])&lt;1,VALUE("0"),DST_123_ÜRETİM_İHTİYAÇ_RAPORU_BURAK_YENI1309[[#This Row],[SATINALMA]]*DST_123_ÜRETİM_İHTİYAÇ_RAPORU_BURAK_YENI1309[[#This Row],[BIRIM_FIYATLAR]])</f>
        <v>0</v>
      </c>
      <c r="N2480">
        <v>1.58</v>
      </c>
      <c r="O2480" t="s">
        <v>882</v>
      </c>
      <c r="P2480">
        <v>6.32</v>
      </c>
      <c r="Q2480" t="s">
        <v>180</v>
      </c>
    </row>
    <row r="2481" spans="1:17" x14ac:dyDescent="0.25">
      <c r="A2481" t="s">
        <v>1100</v>
      </c>
      <c r="B2481" t="s">
        <v>1058</v>
      </c>
      <c r="C2481" t="s">
        <v>175</v>
      </c>
      <c r="D2481" t="s">
        <v>852</v>
      </c>
      <c r="E2481" t="s">
        <v>853</v>
      </c>
      <c r="F2481">
        <v>4</v>
      </c>
      <c r="G2481" t="s">
        <v>176</v>
      </c>
      <c r="H2481">
        <v>0</v>
      </c>
      <c r="I2481">
        <v>250</v>
      </c>
      <c r="J2481" s="10">
        <v>835</v>
      </c>
      <c r="K2481" s="10">
        <f>SUMIFS(F:F,D:D,DST_123_ÜRETİM_İHTİYAÇ_RAPORU_BURAK_YENI1309[[#This Row],[ALT_KOD]])-(SUMIFS(H:H,D:D,DST_123_ÜRETİM_İHTİYAÇ_RAPORU_BURAK_YENI1309[[#This Row],[ALT_KOD]])+AVERAGEIFS(I:I,D:D,DST_123_ÜRETİM_İHTİYAÇ_RAPORU_BURAK_YENI1309[[#This Row],[ALT_KOD]])+AVERAGEIFS(L:L,D:D,DST_123_ÜRETİM_İHTİYAÇ_RAPORU_BURAK_YENI1309[[#This Row],[ALT_KOD]]))</f>
        <v>-134</v>
      </c>
      <c r="L2481">
        <v>0</v>
      </c>
      <c r="M2481">
        <f>IF((DST_123_ÜRETİM_İHTİYAÇ_RAPORU_BURAK_YENI1309[[#This Row],[SATINALMA]]*DST_123_ÜRETİM_İHTİYAÇ_RAPORU_BURAK_YENI1309[[#This Row],[BIRIM_FIYATLAR]])&lt;1,VALUE("0"),DST_123_ÜRETİM_İHTİYAÇ_RAPORU_BURAK_YENI1309[[#This Row],[SATINALMA]]*DST_123_ÜRETİM_İHTİYAÇ_RAPORU_BURAK_YENI1309[[#This Row],[BIRIM_FIYATLAR]])</f>
        <v>0</v>
      </c>
      <c r="N2481">
        <v>1.58</v>
      </c>
      <c r="O2481" t="s">
        <v>882</v>
      </c>
      <c r="P2481">
        <v>6.32</v>
      </c>
      <c r="Q2481" t="s">
        <v>180</v>
      </c>
    </row>
    <row r="2482" spans="1:17" x14ac:dyDescent="0.25">
      <c r="A2482" t="s">
        <v>1142</v>
      </c>
      <c r="B2482" t="s">
        <v>1056</v>
      </c>
      <c r="C2482" t="s">
        <v>175</v>
      </c>
      <c r="D2482" t="s">
        <v>408</v>
      </c>
      <c r="E2482" t="s">
        <v>409</v>
      </c>
      <c r="F2482">
        <v>14</v>
      </c>
      <c r="G2482" t="s">
        <v>176</v>
      </c>
      <c r="H2482">
        <v>0</v>
      </c>
      <c r="I2482">
        <v>2698</v>
      </c>
      <c r="J2482" s="10">
        <v>0</v>
      </c>
      <c r="K2482" s="10">
        <f>SUMIFS(F:F,D:D,DST_123_ÜRETİM_İHTİYAÇ_RAPORU_BURAK_YENI1309[[#This Row],[ALT_KOD]])-(SUMIFS(H:H,D:D,DST_123_ÜRETİM_İHTİYAÇ_RAPORU_BURAK_YENI1309[[#This Row],[ALT_KOD]])+AVERAGEIFS(I:I,D:D,DST_123_ÜRETİM_İHTİYAÇ_RAPORU_BURAK_YENI1309[[#This Row],[ALT_KOD]])+AVERAGEIFS(L:L,D:D,DST_123_ÜRETİM_İHTİYAÇ_RAPORU_BURAK_YENI1309[[#This Row],[ALT_KOD]]))</f>
        <v>-2312</v>
      </c>
      <c r="L2482">
        <v>0</v>
      </c>
      <c r="M2482">
        <f>IF((DST_123_ÜRETİM_İHTİYAÇ_RAPORU_BURAK_YENI1309[[#This Row],[SATINALMA]]*DST_123_ÜRETİM_İHTİYAÇ_RAPORU_BURAK_YENI1309[[#This Row],[BIRIM_FIYATLAR]])&lt;1,VALUE("0"),DST_123_ÜRETİM_İHTİYAÇ_RAPORU_BURAK_YENI1309[[#This Row],[SATINALMA]]*DST_123_ÜRETİM_İHTİYAÇ_RAPORU_BURAK_YENI1309[[#This Row],[BIRIM_FIYATLAR]])</f>
        <v>0</v>
      </c>
      <c r="N2482">
        <v>1.55</v>
      </c>
      <c r="O2482" t="s">
        <v>220</v>
      </c>
      <c r="P2482">
        <v>21.7</v>
      </c>
      <c r="Q2482" t="s">
        <v>221</v>
      </c>
    </row>
    <row r="2483" spans="1:17" x14ac:dyDescent="0.25">
      <c r="A2483" t="s">
        <v>1101</v>
      </c>
      <c r="B2483" t="s">
        <v>1102</v>
      </c>
      <c r="C2483" t="s">
        <v>175</v>
      </c>
      <c r="D2483" t="s">
        <v>340</v>
      </c>
      <c r="E2483" t="s">
        <v>341</v>
      </c>
      <c r="F2483">
        <v>2.46</v>
      </c>
      <c r="G2483" t="s">
        <v>176</v>
      </c>
      <c r="H2483">
        <v>0</v>
      </c>
      <c r="I2483">
        <v>75</v>
      </c>
      <c r="J2483" s="10">
        <v>42.70000000000006</v>
      </c>
      <c r="K2483" s="10">
        <f>SUMIFS(F:F,D:D,DST_123_ÜRETİM_İHTİYAÇ_RAPORU_BURAK_YENI1309[[#This Row],[ALT_KOD]])-(SUMIFS(H:H,D:D,DST_123_ÜRETİM_İHTİYAÇ_RAPORU_BURAK_YENI1309[[#This Row],[ALT_KOD]])+AVERAGEIFS(I:I,D:D,DST_123_ÜRETİM_İHTİYAÇ_RAPORU_BURAK_YENI1309[[#This Row],[ALT_KOD]])+AVERAGEIFS(L:L,D:D,DST_123_ÜRETİM_İHTİYAÇ_RAPORU_BURAK_YENI1309[[#This Row],[ALT_KOD]]))</f>
        <v>-48.040000000000006</v>
      </c>
      <c r="L2483">
        <v>0</v>
      </c>
      <c r="M2483">
        <f>IF((DST_123_ÜRETİM_İHTİYAÇ_RAPORU_BURAK_YENI1309[[#This Row],[SATINALMA]]*DST_123_ÜRETİM_İHTİYAÇ_RAPORU_BURAK_YENI1309[[#This Row],[BIRIM_FIYATLAR]])&lt;1,VALUE("0"),DST_123_ÜRETİM_İHTİYAÇ_RAPORU_BURAK_YENI1309[[#This Row],[SATINALMA]]*DST_123_ÜRETİM_İHTİYAÇ_RAPORU_BURAK_YENI1309[[#This Row],[BIRIM_FIYATLAR]])</f>
        <v>0</v>
      </c>
      <c r="N2483">
        <v>15</v>
      </c>
      <c r="O2483" t="s">
        <v>240</v>
      </c>
      <c r="P2483">
        <v>36.9</v>
      </c>
      <c r="Q2483" t="s">
        <v>180</v>
      </c>
    </row>
    <row r="2484" spans="1:17" x14ac:dyDescent="0.25">
      <c r="A2484" t="s">
        <v>1101</v>
      </c>
      <c r="B2484" t="s">
        <v>1102</v>
      </c>
      <c r="C2484" t="s">
        <v>175</v>
      </c>
      <c r="D2484" t="s">
        <v>5</v>
      </c>
      <c r="E2484" t="s">
        <v>6</v>
      </c>
      <c r="F2484">
        <v>8</v>
      </c>
      <c r="G2484" t="s">
        <v>179</v>
      </c>
      <c r="H2484">
        <v>0</v>
      </c>
      <c r="I2484">
        <v>100</v>
      </c>
      <c r="J2484" s="10">
        <v>2.0000000000000568</v>
      </c>
      <c r="K2484" s="10">
        <f>SUMIFS(F:F,D:D,DST_123_ÜRETİM_İHTİYAÇ_RAPORU_BURAK_YENI1309[[#This Row],[ALT_KOD]])-(SUMIFS(H:H,D:D,DST_123_ÜRETİM_İHTİYAÇ_RAPORU_BURAK_YENI1309[[#This Row],[ALT_KOD]])+AVERAGEIFS(I:I,D:D,DST_123_ÜRETİM_İHTİYAÇ_RAPORU_BURAK_YENI1309[[#This Row],[ALT_KOD]])+AVERAGEIFS(L:L,D:D,DST_123_ÜRETİM_İHTİYAÇ_RAPORU_BURAK_YENI1309[[#This Row],[ALT_KOD]]))</f>
        <v>-6.4000000000000057</v>
      </c>
      <c r="L2484">
        <v>0</v>
      </c>
      <c r="M2484">
        <f>IF((DST_123_ÜRETİM_İHTİYAÇ_RAPORU_BURAK_YENI1309[[#This Row],[SATINALMA]]*DST_123_ÜRETİM_İHTİYAÇ_RAPORU_BURAK_YENI1309[[#This Row],[BIRIM_FIYATLAR]])&lt;1,VALUE("0"),DST_123_ÜRETİM_İHTİYAÇ_RAPORU_BURAK_YENI1309[[#This Row],[SATINALMA]]*DST_123_ÜRETİM_İHTİYAÇ_RAPORU_BURAK_YENI1309[[#This Row],[BIRIM_FIYATLAR]])</f>
        <v>0</v>
      </c>
      <c r="N2484">
        <v>111</v>
      </c>
      <c r="O2484" t="s">
        <v>826</v>
      </c>
      <c r="P2484">
        <v>888</v>
      </c>
      <c r="Q2484" t="s">
        <v>221</v>
      </c>
    </row>
    <row r="2485" spans="1:17" x14ac:dyDescent="0.25">
      <c r="A2485" t="s">
        <v>1060</v>
      </c>
      <c r="B2485" t="s">
        <v>1061</v>
      </c>
      <c r="C2485" t="s">
        <v>175</v>
      </c>
      <c r="D2485" t="s">
        <v>204</v>
      </c>
      <c r="E2485" t="s">
        <v>205</v>
      </c>
      <c r="F2485">
        <v>0.5</v>
      </c>
      <c r="G2485" t="s">
        <v>176</v>
      </c>
      <c r="H2485">
        <v>0</v>
      </c>
      <c r="I2485">
        <v>100</v>
      </c>
      <c r="J2485" s="10">
        <v>41</v>
      </c>
      <c r="K2485" s="10">
        <f>SUMIFS(F:F,D:D,DST_123_ÜRETİM_İHTİYAÇ_RAPORU_BURAK_YENI1309[[#This Row],[ALT_KOD]])-(SUMIFS(H:H,D:D,DST_123_ÜRETİM_İHTİYAÇ_RAPORU_BURAK_YENI1309[[#This Row],[ALT_KOD]])+AVERAGEIFS(I:I,D:D,DST_123_ÜRETİM_İHTİYAÇ_RAPORU_BURAK_YENI1309[[#This Row],[ALT_KOD]])+AVERAGEIFS(L:L,D:D,DST_123_ÜRETİM_İHTİYAÇ_RAPORU_BURAK_YENI1309[[#This Row],[ALT_KOD]]))</f>
        <v>-89.5</v>
      </c>
      <c r="L2485">
        <v>0</v>
      </c>
      <c r="M2485">
        <f>IF((DST_123_ÜRETİM_İHTİYAÇ_RAPORU_BURAK_YENI1309[[#This Row],[SATINALMA]]*DST_123_ÜRETİM_İHTİYAÇ_RAPORU_BURAK_YENI1309[[#This Row],[BIRIM_FIYATLAR]])&lt;1,VALUE("0"),DST_123_ÜRETİM_İHTİYAÇ_RAPORU_BURAK_YENI1309[[#This Row],[SATINALMA]]*DST_123_ÜRETİM_İHTİYAÇ_RAPORU_BURAK_YENI1309[[#This Row],[BIRIM_FIYATLAR]])</f>
        <v>0</v>
      </c>
      <c r="N2485">
        <v>60</v>
      </c>
      <c r="O2485" t="s">
        <v>220</v>
      </c>
      <c r="P2485">
        <v>30</v>
      </c>
      <c r="Q2485" t="s">
        <v>180</v>
      </c>
    </row>
    <row r="2486" spans="1:17" x14ac:dyDescent="0.25">
      <c r="A2486" t="s">
        <v>1060</v>
      </c>
      <c r="B2486" t="s">
        <v>1061</v>
      </c>
      <c r="C2486" t="s">
        <v>175</v>
      </c>
      <c r="D2486" t="s">
        <v>206</v>
      </c>
      <c r="E2486" t="s">
        <v>280</v>
      </c>
      <c r="F2486">
        <v>1.5500000000000003</v>
      </c>
      <c r="G2486" t="s">
        <v>176</v>
      </c>
      <c r="H2486">
        <v>1.5500000000000003</v>
      </c>
      <c r="I2486">
        <v>10</v>
      </c>
      <c r="J2486" s="10">
        <v>126.66400000000034</v>
      </c>
      <c r="K2486" s="10">
        <f>SUMIFS(F:F,D:D,DST_123_ÜRETİM_İHTİYAÇ_RAPORU_BURAK_YENI1309[[#This Row],[ALT_KOD]])-(SUMIFS(H:H,D:D,DST_123_ÜRETİM_İHTİYAÇ_RAPORU_BURAK_YENI1309[[#This Row],[ALT_KOD]])+AVERAGEIFS(I:I,D:D,DST_123_ÜRETİM_İHTİYAÇ_RAPORU_BURAK_YENI1309[[#This Row],[ALT_KOD]])+AVERAGEIFS(L:L,D:D,DST_123_ÜRETİM_İHTİYAÇ_RAPORU_BURAK_YENI1309[[#This Row],[ALT_KOD]]))</f>
        <v>-1.1600000000000001</v>
      </c>
      <c r="L2486">
        <v>0</v>
      </c>
      <c r="M2486">
        <f>IF((DST_123_ÜRETİM_İHTİYAÇ_RAPORU_BURAK_YENI1309[[#This Row],[SATINALMA]]*DST_123_ÜRETİM_İHTİYAÇ_RAPORU_BURAK_YENI1309[[#This Row],[BIRIM_FIYATLAR]])&lt;1,VALUE("0"),DST_123_ÜRETİM_İHTİYAÇ_RAPORU_BURAK_YENI1309[[#This Row],[SATINALMA]]*DST_123_ÜRETİM_İHTİYAÇ_RAPORU_BURAK_YENI1309[[#This Row],[BIRIM_FIYATLAR]])</f>
        <v>0</v>
      </c>
      <c r="N2486">
        <v>185</v>
      </c>
      <c r="O2486" t="s">
        <v>240</v>
      </c>
      <c r="P2486">
        <v>286.75000000000006</v>
      </c>
      <c r="Q2486" t="s">
        <v>180</v>
      </c>
    </row>
    <row r="2487" spans="1:17" x14ac:dyDescent="0.25">
      <c r="A2487" t="s">
        <v>1060</v>
      </c>
      <c r="B2487" t="s">
        <v>1061</v>
      </c>
      <c r="C2487" t="s">
        <v>175</v>
      </c>
      <c r="D2487" t="s">
        <v>344</v>
      </c>
      <c r="E2487" t="s">
        <v>345</v>
      </c>
      <c r="F2487">
        <v>2</v>
      </c>
      <c r="G2487" t="s">
        <v>176</v>
      </c>
      <c r="H2487">
        <v>0</v>
      </c>
      <c r="I2487">
        <v>228</v>
      </c>
      <c r="J2487" s="10">
        <v>4.2632564145606011E-14</v>
      </c>
      <c r="K2487" s="10">
        <f>SUMIFS(F:F,D:D,DST_123_ÜRETİM_İHTİYAÇ_RAPORU_BURAK_YENI1309[[#This Row],[ALT_KOD]])-(SUMIFS(H:H,D:D,DST_123_ÜRETİM_İHTİYAÇ_RAPORU_BURAK_YENI1309[[#This Row],[ALT_KOD]])+AVERAGEIFS(I:I,D:D,DST_123_ÜRETİM_İHTİYAÇ_RAPORU_BURAK_YENI1309[[#This Row],[ALT_KOD]])+AVERAGEIFS(L:L,D:D,DST_123_ÜRETİM_İHTİYAÇ_RAPORU_BURAK_YENI1309[[#This Row],[ALT_KOD]]))</f>
        <v>-186</v>
      </c>
      <c r="L2487">
        <v>0</v>
      </c>
      <c r="M2487">
        <f>IF((DST_123_ÜRETİM_İHTİYAÇ_RAPORU_BURAK_YENI1309[[#This Row],[SATINALMA]]*DST_123_ÜRETİM_İHTİYAÇ_RAPORU_BURAK_YENI1309[[#This Row],[BIRIM_FIYATLAR]])&lt;1,VALUE("0"),DST_123_ÜRETİM_İHTİYAÇ_RAPORU_BURAK_YENI1309[[#This Row],[SATINALMA]]*DST_123_ÜRETİM_İHTİYAÇ_RAPORU_BURAK_YENI1309[[#This Row],[BIRIM_FIYATLAR]])</f>
        <v>0</v>
      </c>
      <c r="N2487">
        <v>6</v>
      </c>
      <c r="O2487" t="s">
        <v>346</v>
      </c>
      <c r="P2487">
        <v>12</v>
      </c>
      <c r="Q2487" t="s">
        <v>180</v>
      </c>
    </row>
    <row r="2488" spans="1:17" x14ac:dyDescent="0.25">
      <c r="A2488" t="s">
        <v>1060</v>
      </c>
      <c r="B2488" t="s">
        <v>1061</v>
      </c>
      <c r="C2488" t="s">
        <v>175</v>
      </c>
      <c r="D2488" t="s">
        <v>418</v>
      </c>
      <c r="E2488" t="s">
        <v>1221</v>
      </c>
      <c r="F2488">
        <v>5</v>
      </c>
      <c r="G2488" t="s">
        <v>176</v>
      </c>
      <c r="H2488">
        <v>0</v>
      </c>
      <c r="I2488">
        <v>148</v>
      </c>
      <c r="J2488" s="10">
        <v>59</v>
      </c>
      <c r="K2488" s="10">
        <f>SUMIFS(F:F,D:D,DST_123_ÜRETİM_İHTİYAÇ_RAPORU_BURAK_YENI1309[[#This Row],[ALT_KOD]])-(SUMIFS(H:H,D:D,DST_123_ÜRETİM_İHTİYAÇ_RAPORU_BURAK_YENI1309[[#This Row],[ALT_KOD]])+AVERAGEIFS(I:I,D:D,DST_123_ÜRETİM_İHTİYAÇ_RAPORU_BURAK_YENI1309[[#This Row],[ALT_KOD]])+AVERAGEIFS(L:L,D:D,DST_123_ÜRETİM_İHTİYAÇ_RAPORU_BURAK_YENI1309[[#This Row],[ALT_KOD]]))</f>
        <v>-33</v>
      </c>
      <c r="L2488">
        <v>0</v>
      </c>
      <c r="M2488">
        <f>IF((DST_123_ÜRETİM_İHTİYAÇ_RAPORU_BURAK_YENI1309[[#This Row],[SATINALMA]]*DST_123_ÜRETİM_İHTİYAÇ_RAPORU_BURAK_YENI1309[[#This Row],[BIRIM_FIYATLAR]])&lt;1,VALUE("0"),DST_123_ÜRETİM_İHTİYAÇ_RAPORU_BURAK_YENI1309[[#This Row],[SATINALMA]]*DST_123_ÜRETİM_İHTİYAÇ_RAPORU_BURAK_YENI1309[[#This Row],[BIRIM_FIYATLAR]])</f>
        <v>0</v>
      </c>
      <c r="N2488">
        <v>24.17</v>
      </c>
      <c r="O2488" t="s">
        <v>628</v>
      </c>
      <c r="P2488">
        <v>120.85000000000001</v>
      </c>
      <c r="Q2488" t="s">
        <v>180</v>
      </c>
    </row>
    <row r="2489" spans="1:17" x14ac:dyDescent="0.25">
      <c r="A2489" t="s">
        <v>1060</v>
      </c>
      <c r="B2489" t="s">
        <v>1061</v>
      </c>
      <c r="C2489" t="s">
        <v>175</v>
      </c>
      <c r="D2489" t="s">
        <v>159</v>
      </c>
      <c r="E2489" t="s">
        <v>160</v>
      </c>
      <c r="F2489">
        <v>0.25</v>
      </c>
      <c r="G2489" t="s">
        <v>179</v>
      </c>
      <c r="H2489">
        <v>0</v>
      </c>
      <c r="I2489">
        <v>52</v>
      </c>
      <c r="J2489" s="10">
        <v>38.620000000000005</v>
      </c>
      <c r="K2489" s="10">
        <f>SUMIFS(F:F,D:D,DST_123_ÜRETİM_İHTİYAÇ_RAPORU_BURAK_YENI1309[[#This Row],[ALT_KOD]])-(SUMIFS(H:H,D:D,DST_123_ÜRETİM_İHTİYAÇ_RAPORU_BURAK_YENI1309[[#This Row],[ALT_KOD]])+AVERAGEIFS(I:I,D:D,DST_123_ÜRETİM_İHTİYAÇ_RAPORU_BURAK_YENI1309[[#This Row],[ALT_KOD]])+AVERAGEIFS(L:L,D:D,DST_123_ÜRETİM_İHTİYAÇ_RAPORU_BURAK_YENI1309[[#This Row],[ALT_KOD]]))</f>
        <v>-47.39</v>
      </c>
      <c r="L2489">
        <v>0</v>
      </c>
      <c r="M2489">
        <f>IF((DST_123_ÜRETİM_İHTİYAÇ_RAPORU_BURAK_YENI1309[[#This Row],[SATINALMA]]*DST_123_ÜRETİM_İHTİYAÇ_RAPORU_BURAK_YENI1309[[#This Row],[BIRIM_FIYATLAR]])&lt;1,VALUE("0"),DST_123_ÜRETİM_İHTİYAÇ_RAPORU_BURAK_YENI1309[[#This Row],[SATINALMA]]*DST_123_ÜRETİM_İHTİYAÇ_RAPORU_BURAK_YENI1309[[#This Row],[BIRIM_FIYATLAR]])</f>
        <v>0</v>
      </c>
      <c r="N2489">
        <v>126.36</v>
      </c>
      <c r="O2489" t="s">
        <v>619</v>
      </c>
      <c r="P2489">
        <v>31.59</v>
      </c>
      <c r="Q2489" t="s">
        <v>178</v>
      </c>
    </row>
    <row r="2490" spans="1:17" x14ac:dyDescent="0.25">
      <c r="A2490" t="s">
        <v>1095</v>
      </c>
      <c r="B2490" t="s">
        <v>1096</v>
      </c>
      <c r="C2490" t="s">
        <v>175</v>
      </c>
      <c r="D2490" t="s">
        <v>344</v>
      </c>
      <c r="E2490" t="s">
        <v>345</v>
      </c>
      <c r="F2490">
        <v>2</v>
      </c>
      <c r="G2490" t="s">
        <v>176</v>
      </c>
      <c r="H2490">
        <v>0</v>
      </c>
      <c r="I2490">
        <v>228</v>
      </c>
      <c r="J2490" s="10">
        <v>4.2632564145606011E-14</v>
      </c>
      <c r="K2490" s="10">
        <f>SUMIFS(F:F,D:D,DST_123_ÜRETİM_İHTİYAÇ_RAPORU_BURAK_YENI1309[[#This Row],[ALT_KOD]])-(SUMIFS(H:H,D:D,DST_123_ÜRETİM_İHTİYAÇ_RAPORU_BURAK_YENI1309[[#This Row],[ALT_KOD]])+AVERAGEIFS(I:I,D:D,DST_123_ÜRETİM_İHTİYAÇ_RAPORU_BURAK_YENI1309[[#This Row],[ALT_KOD]])+AVERAGEIFS(L:L,D:D,DST_123_ÜRETİM_İHTİYAÇ_RAPORU_BURAK_YENI1309[[#This Row],[ALT_KOD]]))</f>
        <v>-186</v>
      </c>
      <c r="L2490">
        <v>0</v>
      </c>
      <c r="M2490">
        <f>IF((DST_123_ÜRETİM_İHTİYAÇ_RAPORU_BURAK_YENI1309[[#This Row],[SATINALMA]]*DST_123_ÜRETİM_İHTİYAÇ_RAPORU_BURAK_YENI1309[[#This Row],[BIRIM_FIYATLAR]])&lt;1,VALUE("0"),DST_123_ÜRETİM_İHTİYAÇ_RAPORU_BURAK_YENI1309[[#This Row],[SATINALMA]]*DST_123_ÜRETİM_İHTİYAÇ_RAPORU_BURAK_YENI1309[[#This Row],[BIRIM_FIYATLAR]])</f>
        <v>0</v>
      </c>
      <c r="N2490">
        <v>6</v>
      </c>
      <c r="O2490" t="s">
        <v>346</v>
      </c>
      <c r="P2490">
        <v>12</v>
      </c>
      <c r="Q2490" t="s">
        <v>180</v>
      </c>
    </row>
    <row r="2491" spans="1:17" x14ac:dyDescent="0.25">
      <c r="A2491" t="s">
        <v>1095</v>
      </c>
      <c r="B2491" t="s">
        <v>1096</v>
      </c>
      <c r="C2491" t="s">
        <v>175</v>
      </c>
      <c r="D2491" t="s">
        <v>159</v>
      </c>
      <c r="E2491" t="s">
        <v>160</v>
      </c>
      <c r="F2491">
        <v>0.23</v>
      </c>
      <c r="G2491" t="s">
        <v>179</v>
      </c>
      <c r="H2491">
        <v>0</v>
      </c>
      <c r="I2491">
        <v>52</v>
      </c>
      <c r="J2491" s="10">
        <v>38.620000000000005</v>
      </c>
      <c r="K2491" s="10">
        <f>SUMIFS(F:F,D:D,DST_123_ÜRETİM_İHTİYAÇ_RAPORU_BURAK_YENI1309[[#This Row],[ALT_KOD]])-(SUMIFS(H:H,D:D,DST_123_ÜRETİM_İHTİYAÇ_RAPORU_BURAK_YENI1309[[#This Row],[ALT_KOD]])+AVERAGEIFS(I:I,D:D,DST_123_ÜRETİM_İHTİYAÇ_RAPORU_BURAK_YENI1309[[#This Row],[ALT_KOD]])+AVERAGEIFS(L:L,D:D,DST_123_ÜRETİM_İHTİYAÇ_RAPORU_BURAK_YENI1309[[#This Row],[ALT_KOD]]))</f>
        <v>-47.39</v>
      </c>
      <c r="L2491">
        <v>0</v>
      </c>
      <c r="M2491">
        <f>IF((DST_123_ÜRETİM_İHTİYAÇ_RAPORU_BURAK_YENI1309[[#This Row],[SATINALMA]]*DST_123_ÜRETİM_İHTİYAÇ_RAPORU_BURAK_YENI1309[[#This Row],[BIRIM_FIYATLAR]])&lt;1,VALUE("0"),DST_123_ÜRETİM_İHTİYAÇ_RAPORU_BURAK_YENI1309[[#This Row],[SATINALMA]]*DST_123_ÜRETİM_İHTİYAÇ_RAPORU_BURAK_YENI1309[[#This Row],[BIRIM_FIYATLAR]])</f>
        <v>0</v>
      </c>
      <c r="N2491">
        <v>126.36</v>
      </c>
      <c r="O2491" t="s">
        <v>619</v>
      </c>
      <c r="P2491">
        <v>29.062800000000003</v>
      </c>
      <c r="Q2491" t="s">
        <v>178</v>
      </c>
    </row>
    <row r="2492" spans="1:17" x14ac:dyDescent="0.25">
      <c r="A2492" t="s">
        <v>1142</v>
      </c>
      <c r="B2492" t="s">
        <v>1056</v>
      </c>
      <c r="C2492" t="s">
        <v>175</v>
      </c>
      <c r="D2492" t="s">
        <v>104</v>
      </c>
      <c r="E2492" t="s">
        <v>105</v>
      </c>
      <c r="F2492">
        <v>5</v>
      </c>
      <c r="G2492" t="s">
        <v>176</v>
      </c>
      <c r="H2492">
        <v>0</v>
      </c>
      <c r="I2492">
        <v>0</v>
      </c>
      <c r="J2492" s="10">
        <v>75</v>
      </c>
      <c r="K2492" s="10">
        <f>SUMIFS(F:F,D:D,DST_123_ÜRETİM_İHTİYAÇ_RAPORU_BURAK_YENI1309[[#This Row],[ALT_KOD]])-(SUMIFS(H:H,D:D,DST_123_ÜRETİM_İHTİYAÇ_RAPORU_BURAK_YENI1309[[#This Row],[ALT_KOD]])+AVERAGEIFS(I:I,D:D,DST_123_ÜRETİM_İHTİYAÇ_RAPORU_BURAK_YENI1309[[#This Row],[ALT_KOD]])+AVERAGEIFS(L:L,D:D,DST_123_ÜRETİM_İHTİYAÇ_RAPORU_BURAK_YENI1309[[#This Row],[ALT_KOD]]))</f>
        <v>102</v>
      </c>
      <c r="L2492">
        <v>0</v>
      </c>
      <c r="M2492">
        <f>IF((DST_123_ÜRETİM_İHTİYAÇ_RAPORU_BURAK_YENI1309[[#This Row],[SATINALMA]]*DST_123_ÜRETİM_İHTİYAÇ_RAPORU_BURAK_YENI1309[[#This Row],[BIRIM_FIYATLAR]])&lt;1,VALUE("0"),DST_123_ÜRETİM_İHTİYAÇ_RAPORU_BURAK_YENI1309[[#This Row],[SATINALMA]]*DST_123_ÜRETİM_İHTİYAÇ_RAPORU_BURAK_YENI1309[[#This Row],[BIRIM_FIYATLAR]])</f>
        <v>10710</v>
      </c>
      <c r="N2492">
        <v>105</v>
      </c>
      <c r="O2492" t="s">
        <v>625</v>
      </c>
      <c r="P2492">
        <v>525</v>
      </c>
      <c r="Q2492" t="s">
        <v>178</v>
      </c>
    </row>
    <row r="2493" spans="1:17" x14ac:dyDescent="0.25">
      <c r="A2493" t="s">
        <v>1196</v>
      </c>
      <c r="B2493" t="s">
        <v>1197</v>
      </c>
      <c r="C2493" t="s">
        <v>175</v>
      </c>
      <c r="D2493" t="s">
        <v>23</v>
      </c>
      <c r="E2493" t="s">
        <v>304</v>
      </c>
      <c r="F2493">
        <v>1</v>
      </c>
      <c r="G2493" t="s">
        <v>176</v>
      </c>
      <c r="H2493">
        <v>0</v>
      </c>
      <c r="I2493">
        <v>0</v>
      </c>
      <c r="J2493" s="10">
        <v>7</v>
      </c>
      <c r="K2493" s="10">
        <f>SUMIFS(F:F,D:D,DST_123_ÜRETİM_İHTİYAÇ_RAPORU_BURAK_YENI1309[[#This Row],[ALT_KOD]])-(SUMIFS(H:H,D:D,DST_123_ÜRETİM_İHTİYAÇ_RAPORU_BURAK_YENI1309[[#This Row],[ALT_KOD]])+AVERAGEIFS(I:I,D:D,DST_123_ÜRETİM_İHTİYAÇ_RAPORU_BURAK_YENI1309[[#This Row],[ALT_KOD]])+AVERAGEIFS(L:L,D:D,DST_123_ÜRETİM_İHTİYAÇ_RAPORU_BURAK_YENI1309[[#This Row],[ALT_KOD]]))</f>
        <v>19</v>
      </c>
      <c r="L2493">
        <v>0</v>
      </c>
      <c r="M2493">
        <f>IF((DST_123_ÜRETİM_İHTİYAÇ_RAPORU_BURAK_YENI1309[[#This Row],[SATINALMA]]*DST_123_ÜRETİM_İHTİYAÇ_RAPORU_BURAK_YENI1309[[#This Row],[BIRIM_FIYATLAR]])&lt;1,VALUE("0"),DST_123_ÜRETİM_İHTİYAÇ_RAPORU_BURAK_YENI1309[[#This Row],[SATINALMA]]*DST_123_ÜRETİM_İHTİYAÇ_RAPORU_BURAK_YENI1309[[#This Row],[BIRIM_FIYATLAR]])</f>
        <v>760</v>
      </c>
      <c r="N2493">
        <v>40</v>
      </c>
      <c r="O2493" t="s">
        <v>635</v>
      </c>
      <c r="P2493">
        <v>40</v>
      </c>
      <c r="Q2493" t="s">
        <v>221</v>
      </c>
    </row>
    <row r="2494" spans="1:17" x14ac:dyDescent="0.25">
      <c r="A2494" t="s">
        <v>1143</v>
      </c>
      <c r="B2494" t="s">
        <v>1056</v>
      </c>
      <c r="C2494" t="s">
        <v>175</v>
      </c>
      <c r="D2494" t="s">
        <v>23</v>
      </c>
      <c r="E2494" t="s">
        <v>304</v>
      </c>
      <c r="F2494">
        <v>1</v>
      </c>
      <c r="G2494" t="s">
        <v>176</v>
      </c>
      <c r="H2494">
        <v>0</v>
      </c>
      <c r="I2494">
        <v>0</v>
      </c>
      <c r="J2494" s="10">
        <v>7</v>
      </c>
      <c r="K2494" s="10">
        <f>SUMIFS(F:F,D:D,DST_123_ÜRETİM_İHTİYAÇ_RAPORU_BURAK_YENI1309[[#This Row],[ALT_KOD]])-(SUMIFS(H:H,D:D,DST_123_ÜRETİM_İHTİYAÇ_RAPORU_BURAK_YENI1309[[#This Row],[ALT_KOD]])+AVERAGEIFS(I:I,D:D,DST_123_ÜRETİM_İHTİYAÇ_RAPORU_BURAK_YENI1309[[#This Row],[ALT_KOD]])+AVERAGEIFS(L:L,D:D,DST_123_ÜRETİM_İHTİYAÇ_RAPORU_BURAK_YENI1309[[#This Row],[ALT_KOD]]))</f>
        <v>19</v>
      </c>
      <c r="L2494">
        <v>0</v>
      </c>
      <c r="M2494">
        <f>IF((DST_123_ÜRETİM_İHTİYAÇ_RAPORU_BURAK_YENI1309[[#This Row],[SATINALMA]]*DST_123_ÜRETİM_İHTİYAÇ_RAPORU_BURAK_YENI1309[[#This Row],[BIRIM_FIYATLAR]])&lt;1,VALUE("0"),DST_123_ÜRETİM_İHTİYAÇ_RAPORU_BURAK_YENI1309[[#This Row],[SATINALMA]]*DST_123_ÜRETİM_İHTİYAÇ_RAPORU_BURAK_YENI1309[[#This Row],[BIRIM_FIYATLAR]])</f>
        <v>760</v>
      </c>
      <c r="N2494">
        <v>40</v>
      </c>
      <c r="O2494" t="s">
        <v>635</v>
      </c>
      <c r="P2494">
        <v>40</v>
      </c>
      <c r="Q2494" t="s">
        <v>221</v>
      </c>
    </row>
    <row r="2495" spans="1:17" x14ac:dyDescent="0.25">
      <c r="A2495" t="s">
        <v>1064</v>
      </c>
      <c r="B2495" t="s">
        <v>1055</v>
      </c>
      <c r="C2495" t="s">
        <v>175</v>
      </c>
      <c r="D2495" t="s">
        <v>979</v>
      </c>
      <c r="E2495" t="s">
        <v>980</v>
      </c>
      <c r="F2495">
        <v>0.16</v>
      </c>
      <c r="G2495" t="s">
        <v>176</v>
      </c>
      <c r="H2495">
        <v>0</v>
      </c>
      <c r="I2495">
        <v>80</v>
      </c>
      <c r="J2495" s="10">
        <v>56.839999999999961</v>
      </c>
      <c r="K2495" s="10">
        <f>SUMIFS(F:F,D:D,DST_123_ÜRETİM_İHTİYAÇ_RAPORU_BURAK_YENI1309[[#This Row],[ALT_KOD]])-(SUMIFS(H:H,D:D,DST_123_ÜRETİM_İHTİYAÇ_RAPORU_BURAK_YENI1309[[#This Row],[ALT_KOD]])+AVERAGEIFS(I:I,D:D,DST_123_ÜRETİM_İHTİYAÇ_RAPORU_BURAK_YENI1309[[#This Row],[ALT_KOD]])+AVERAGEIFS(L:L,D:D,DST_123_ÜRETİM_İHTİYAÇ_RAPORU_BURAK_YENI1309[[#This Row],[ALT_KOD]]))</f>
        <v>-79.680000000000007</v>
      </c>
      <c r="L2495">
        <v>0</v>
      </c>
      <c r="M2495">
        <f>IF((DST_123_ÜRETİM_İHTİYAÇ_RAPORU_BURAK_YENI1309[[#This Row],[SATINALMA]]*DST_123_ÜRETİM_İHTİYAÇ_RAPORU_BURAK_YENI1309[[#This Row],[BIRIM_FIYATLAR]])&lt;1,VALUE("0"),DST_123_ÜRETİM_İHTİYAÇ_RAPORU_BURAK_YENI1309[[#This Row],[SATINALMA]]*DST_123_ÜRETİM_İHTİYAÇ_RAPORU_BURAK_YENI1309[[#This Row],[BIRIM_FIYATLAR]])</f>
        <v>0</v>
      </c>
      <c r="N2495">
        <v>9.5</v>
      </c>
      <c r="O2495" t="s">
        <v>220</v>
      </c>
      <c r="P2495">
        <v>1.52</v>
      </c>
      <c r="Q2495" t="s">
        <v>180</v>
      </c>
    </row>
    <row r="2496" spans="1:17" x14ac:dyDescent="0.25">
      <c r="A2496" t="s">
        <v>1142</v>
      </c>
      <c r="B2496" t="s">
        <v>1056</v>
      </c>
      <c r="C2496" t="s">
        <v>175</v>
      </c>
      <c r="D2496" t="s">
        <v>23</v>
      </c>
      <c r="E2496" t="s">
        <v>304</v>
      </c>
      <c r="F2496">
        <v>1</v>
      </c>
      <c r="G2496" t="s">
        <v>176</v>
      </c>
      <c r="H2496">
        <v>0</v>
      </c>
      <c r="I2496">
        <v>0</v>
      </c>
      <c r="J2496" s="10">
        <v>7</v>
      </c>
      <c r="K2496" s="10">
        <f>SUMIFS(F:F,D:D,DST_123_ÜRETİM_İHTİYAÇ_RAPORU_BURAK_YENI1309[[#This Row],[ALT_KOD]])-(SUMIFS(H:H,D:D,DST_123_ÜRETİM_İHTİYAÇ_RAPORU_BURAK_YENI1309[[#This Row],[ALT_KOD]])+AVERAGEIFS(I:I,D:D,DST_123_ÜRETİM_İHTİYAÇ_RAPORU_BURAK_YENI1309[[#This Row],[ALT_KOD]])+AVERAGEIFS(L:L,D:D,DST_123_ÜRETİM_İHTİYAÇ_RAPORU_BURAK_YENI1309[[#This Row],[ALT_KOD]]))</f>
        <v>19</v>
      </c>
      <c r="L2496">
        <v>0</v>
      </c>
      <c r="M2496">
        <f>IF((DST_123_ÜRETİM_İHTİYAÇ_RAPORU_BURAK_YENI1309[[#This Row],[SATINALMA]]*DST_123_ÜRETİM_İHTİYAÇ_RAPORU_BURAK_YENI1309[[#This Row],[BIRIM_FIYATLAR]])&lt;1,VALUE("0"),DST_123_ÜRETİM_İHTİYAÇ_RAPORU_BURAK_YENI1309[[#This Row],[SATINALMA]]*DST_123_ÜRETİM_İHTİYAÇ_RAPORU_BURAK_YENI1309[[#This Row],[BIRIM_FIYATLAR]])</f>
        <v>760</v>
      </c>
      <c r="N2496">
        <v>40</v>
      </c>
      <c r="O2496" t="s">
        <v>635</v>
      </c>
      <c r="P2496">
        <v>40</v>
      </c>
      <c r="Q2496" t="s">
        <v>221</v>
      </c>
    </row>
    <row r="2497" spans="1:17" x14ac:dyDescent="0.25">
      <c r="A2497" t="s">
        <v>1196</v>
      </c>
      <c r="B2497" t="s">
        <v>1197</v>
      </c>
      <c r="C2497" t="s">
        <v>175</v>
      </c>
      <c r="D2497" t="s">
        <v>78</v>
      </c>
      <c r="E2497" t="s">
        <v>79</v>
      </c>
      <c r="F2497">
        <v>3</v>
      </c>
      <c r="G2497" t="s">
        <v>176</v>
      </c>
      <c r="H2497">
        <v>0</v>
      </c>
      <c r="I2497">
        <v>81</v>
      </c>
      <c r="J2497" s="10">
        <v>5</v>
      </c>
      <c r="K2497" s="10">
        <f>SUMIFS(F:F,D:D,DST_123_ÜRETİM_İHTİYAÇ_RAPORU_BURAK_YENI1309[[#This Row],[ALT_KOD]])-(SUMIFS(H:H,D:D,DST_123_ÜRETİM_İHTİYAÇ_RAPORU_BURAK_YENI1309[[#This Row],[ALT_KOD]])+AVERAGEIFS(I:I,D:D,DST_123_ÜRETİM_İHTİYAÇ_RAPORU_BURAK_YENI1309[[#This Row],[ALT_KOD]])+AVERAGEIFS(L:L,D:D,DST_123_ÜRETİM_İHTİYAÇ_RAPORU_BURAK_YENI1309[[#This Row],[ALT_KOD]]))</f>
        <v>-23</v>
      </c>
      <c r="L2497">
        <v>0</v>
      </c>
      <c r="M2497">
        <f>IF((DST_123_ÜRETİM_İHTİYAÇ_RAPORU_BURAK_YENI1309[[#This Row],[SATINALMA]]*DST_123_ÜRETİM_İHTİYAÇ_RAPORU_BURAK_YENI1309[[#This Row],[BIRIM_FIYATLAR]])&lt;1,VALUE("0"),DST_123_ÜRETİM_İHTİYAÇ_RAPORU_BURAK_YENI1309[[#This Row],[SATINALMA]]*DST_123_ÜRETİM_İHTİYAÇ_RAPORU_BURAK_YENI1309[[#This Row],[BIRIM_FIYATLAR]])</f>
        <v>0</v>
      </c>
      <c r="N2497">
        <v>188</v>
      </c>
      <c r="O2497" t="s">
        <v>240</v>
      </c>
      <c r="P2497">
        <v>564</v>
      </c>
      <c r="Q2497" t="s">
        <v>178</v>
      </c>
    </row>
    <row r="2498" spans="1:17" x14ac:dyDescent="0.25">
      <c r="A2498" t="s">
        <v>1095</v>
      </c>
      <c r="B2498" t="s">
        <v>1096</v>
      </c>
      <c r="C2498" t="s">
        <v>175</v>
      </c>
      <c r="D2498" t="s">
        <v>23</v>
      </c>
      <c r="E2498" t="s">
        <v>304</v>
      </c>
      <c r="F2498">
        <v>1</v>
      </c>
      <c r="G2498" t="s">
        <v>176</v>
      </c>
      <c r="H2498">
        <v>0</v>
      </c>
      <c r="I2498">
        <v>0</v>
      </c>
      <c r="J2498" s="10">
        <v>7</v>
      </c>
      <c r="K2498" s="10">
        <f>SUMIFS(F:F,D:D,DST_123_ÜRETİM_İHTİYAÇ_RAPORU_BURAK_YENI1309[[#This Row],[ALT_KOD]])-(SUMIFS(H:H,D:D,DST_123_ÜRETİM_İHTİYAÇ_RAPORU_BURAK_YENI1309[[#This Row],[ALT_KOD]])+AVERAGEIFS(I:I,D:D,DST_123_ÜRETİM_İHTİYAÇ_RAPORU_BURAK_YENI1309[[#This Row],[ALT_KOD]])+AVERAGEIFS(L:L,D:D,DST_123_ÜRETİM_İHTİYAÇ_RAPORU_BURAK_YENI1309[[#This Row],[ALT_KOD]]))</f>
        <v>19</v>
      </c>
      <c r="L2498">
        <v>0</v>
      </c>
      <c r="M2498">
        <f>IF((DST_123_ÜRETİM_İHTİYAÇ_RAPORU_BURAK_YENI1309[[#This Row],[SATINALMA]]*DST_123_ÜRETİM_İHTİYAÇ_RAPORU_BURAK_YENI1309[[#This Row],[BIRIM_FIYATLAR]])&lt;1,VALUE("0"),DST_123_ÜRETİM_İHTİYAÇ_RAPORU_BURAK_YENI1309[[#This Row],[SATINALMA]]*DST_123_ÜRETİM_İHTİYAÇ_RAPORU_BURAK_YENI1309[[#This Row],[BIRIM_FIYATLAR]])</f>
        <v>760</v>
      </c>
      <c r="N2498">
        <v>40</v>
      </c>
      <c r="O2498" t="s">
        <v>635</v>
      </c>
      <c r="P2498">
        <v>40</v>
      </c>
      <c r="Q2498" t="s">
        <v>221</v>
      </c>
    </row>
    <row r="2499" spans="1:17" x14ac:dyDescent="0.25">
      <c r="A2499" t="s">
        <v>1196</v>
      </c>
      <c r="B2499" t="s">
        <v>1197</v>
      </c>
      <c r="C2499" t="s">
        <v>175</v>
      </c>
      <c r="D2499" t="s">
        <v>76</v>
      </c>
      <c r="E2499" t="s">
        <v>77</v>
      </c>
      <c r="F2499">
        <v>4</v>
      </c>
      <c r="G2499" t="s">
        <v>176</v>
      </c>
      <c r="H2499">
        <v>0</v>
      </c>
      <c r="I2499">
        <v>85</v>
      </c>
      <c r="J2499" s="10">
        <v>31</v>
      </c>
      <c r="K2499" s="10">
        <f>SUMIFS(F:F,D:D,DST_123_ÜRETİM_İHTİYAÇ_RAPORU_BURAK_YENI1309[[#This Row],[ALT_KOD]])-(SUMIFS(H:H,D:D,DST_123_ÜRETİM_İHTİYAÇ_RAPORU_BURAK_YENI1309[[#This Row],[ALT_KOD]])+AVERAGEIFS(I:I,D:D,DST_123_ÜRETİM_İHTİYAÇ_RAPORU_BURAK_YENI1309[[#This Row],[ALT_KOD]])+AVERAGEIFS(L:L,D:D,DST_123_ÜRETİM_İHTİYAÇ_RAPORU_BURAK_YENI1309[[#This Row],[ALT_KOD]]))</f>
        <v>-17</v>
      </c>
      <c r="L2499">
        <v>0</v>
      </c>
      <c r="M2499">
        <f>IF((DST_123_ÜRETİM_İHTİYAÇ_RAPORU_BURAK_YENI1309[[#This Row],[SATINALMA]]*DST_123_ÜRETİM_İHTİYAÇ_RAPORU_BURAK_YENI1309[[#This Row],[BIRIM_FIYATLAR]])&lt;1,VALUE("0"),DST_123_ÜRETİM_İHTİYAÇ_RAPORU_BURAK_YENI1309[[#This Row],[SATINALMA]]*DST_123_ÜRETİM_İHTİYAÇ_RAPORU_BURAK_YENI1309[[#This Row],[BIRIM_FIYATLAR]])</f>
        <v>0</v>
      </c>
      <c r="N2499">
        <v>120</v>
      </c>
      <c r="O2499" t="s">
        <v>1152</v>
      </c>
      <c r="P2499">
        <v>480</v>
      </c>
      <c r="Q2499" t="s">
        <v>178</v>
      </c>
    </row>
    <row r="2500" spans="1:17" x14ac:dyDescent="0.25">
      <c r="A2500" t="s">
        <v>1099</v>
      </c>
      <c r="B2500" t="s">
        <v>1055</v>
      </c>
      <c r="C2500" t="s">
        <v>175</v>
      </c>
      <c r="D2500" t="s">
        <v>76</v>
      </c>
      <c r="E2500" t="s">
        <v>77</v>
      </c>
      <c r="F2500">
        <v>3</v>
      </c>
      <c r="G2500" t="s">
        <v>176</v>
      </c>
      <c r="H2500">
        <v>0</v>
      </c>
      <c r="I2500">
        <v>85</v>
      </c>
      <c r="J2500" s="10">
        <v>31</v>
      </c>
      <c r="K2500" s="10">
        <f>SUMIFS(F:F,D:D,DST_123_ÜRETİM_İHTİYAÇ_RAPORU_BURAK_YENI1309[[#This Row],[ALT_KOD]])-(SUMIFS(H:H,D:D,DST_123_ÜRETİM_İHTİYAÇ_RAPORU_BURAK_YENI1309[[#This Row],[ALT_KOD]])+AVERAGEIFS(I:I,D:D,DST_123_ÜRETİM_İHTİYAÇ_RAPORU_BURAK_YENI1309[[#This Row],[ALT_KOD]])+AVERAGEIFS(L:L,D:D,DST_123_ÜRETİM_İHTİYAÇ_RAPORU_BURAK_YENI1309[[#This Row],[ALT_KOD]]))</f>
        <v>-17</v>
      </c>
      <c r="L2500">
        <v>0</v>
      </c>
      <c r="M2500">
        <f>IF((DST_123_ÜRETİM_İHTİYAÇ_RAPORU_BURAK_YENI1309[[#This Row],[SATINALMA]]*DST_123_ÜRETİM_İHTİYAÇ_RAPORU_BURAK_YENI1309[[#This Row],[BIRIM_FIYATLAR]])&lt;1,VALUE("0"),DST_123_ÜRETİM_İHTİYAÇ_RAPORU_BURAK_YENI1309[[#This Row],[SATINALMA]]*DST_123_ÜRETİM_İHTİYAÇ_RAPORU_BURAK_YENI1309[[#This Row],[BIRIM_FIYATLAR]])</f>
        <v>0</v>
      </c>
      <c r="N2500">
        <v>120</v>
      </c>
      <c r="O2500" t="s">
        <v>1152</v>
      </c>
      <c r="P2500">
        <v>360</v>
      </c>
      <c r="Q2500" t="s">
        <v>178</v>
      </c>
    </row>
    <row r="2501" spans="1:17" x14ac:dyDescent="0.25">
      <c r="A2501" t="s">
        <v>1196</v>
      </c>
      <c r="B2501" t="s">
        <v>1197</v>
      </c>
      <c r="C2501" t="s">
        <v>175</v>
      </c>
      <c r="D2501" t="s">
        <v>26</v>
      </c>
      <c r="E2501" t="s">
        <v>27</v>
      </c>
      <c r="F2501">
        <v>1</v>
      </c>
      <c r="G2501" t="s">
        <v>176</v>
      </c>
      <c r="H2501">
        <v>0</v>
      </c>
      <c r="I2501">
        <v>24</v>
      </c>
      <c r="J2501" s="10">
        <v>4</v>
      </c>
      <c r="K2501" s="10">
        <f>SUMIFS(F:F,D:D,DST_123_ÜRETİM_İHTİYAÇ_RAPORU_BURAK_YENI1309[[#This Row],[ALT_KOD]])-(SUMIFS(H:H,D:D,DST_123_ÜRETİM_İHTİYAÇ_RAPORU_BURAK_YENI1309[[#This Row],[ALT_KOD]])+AVERAGEIFS(I:I,D:D,DST_123_ÜRETİM_İHTİYAÇ_RAPORU_BURAK_YENI1309[[#This Row],[ALT_KOD]])+AVERAGEIFS(L:L,D:D,DST_123_ÜRETİM_İHTİYAÇ_RAPORU_BURAK_YENI1309[[#This Row],[ALT_KOD]]))</f>
        <v>-17</v>
      </c>
      <c r="L2501">
        <v>0</v>
      </c>
      <c r="M2501">
        <f>IF((DST_123_ÜRETİM_İHTİYAÇ_RAPORU_BURAK_YENI1309[[#This Row],[SATINALMA]]*DST_123_ÜRETİM_İHTİYAÇ_RAPORU_BURAK_YENI1309[[#This Row],[BIRIM_FIYATLAR]])&lt;1,VALUE("0"),DST_123_ÜRETİM_İHTİYAÇ_RAPORU_BURAK_YENI1309[[#This Row],[SATINALMA]]*DST_123_ÜRETİM_İHTİYAÇ_RAPORU_BURAK_YENI1309[[#This Row],[BIRIM_FIYATLAR]])</f>
        <v>0</v>
      </c>
      <c r="N2501">
        <v>625</v>
      </c>
      <c r="O2501" t="s">
        <v>226</v>
      </c>
      <c r="P2501">
        <v>625</v>
      </c>
      <c r="Q2501" t="s">
        <v>180</v>
      </c>
    </row>
    <row r="2502" spans="1:17" x14ac:dyDescent="0.25">
      <c r="A2502" t="s">
        <v>1196</v>
      </c>
      <c r="B2502" t="s">
        <v>1197</v>
      </c>
      <c r="C2502" t="s">
        <v>175</v>
      </c>
      <c r="D2502" t="s">
        <v>726</v>
      </c>
      <c r="E2502" t="s">
        <v>727</v>
      </c>
      <c r="F2502">
        <v>1</v>
      </c>
      <c r="G2502" t="s">
        <v>176</v>
      </c>
      <c r="H2502">
        <v>0</v>
      </c>
      <c r="I2502">
        <v>3</v>
      </c>
      <c r="J2502" s="10">
        <v>7</v>
      </c>
      <c r="K2502" s="10">
        <f>SUMIFS(F:F,D:D,DST_123_ÜRETİM_İHTİYAÇ_RAPORU_BURAK_YENI1309[[#This Row],[ALT_KOD]])-(SUMIFS(H:H,D:D,DST_123_ÜRETİM_İHTİYAÇ_RAPORU_BURAK_YENI1309[[#This Row],[ALT_KOD]])+AVERAGEIFS(I:I,D:D,DST_123_ÜRETİM_İHTİYAÇ_RAPORU_BURAK_YENI1309[[#This Row],[ALT_KOD]])+AVERAGEIFS(L:L,D:D,DST_123_ÜRETİM_İHTİYAÇ_RAPORU_BURAK_YENI1309[[#This Row],[ALT_KOD]]))</f>
        <v>5</v>
      </c>
      <c r="L2502">
        <v>0</v>
      </c>
      <c r="M2502">
        <f>IF((DST_123_ÜRETİM_İHTİYAÇ_RAPORU_BURAK_YENI1309[[#This Row],[SATINALMA]]*DST_123_ÜRETİM_İHTİYAÇ_RAPORU_BURAK_YENI1309[[#This Row],[BIRIM_FIYATLAR]])&lt;1,VALUE("0"),DST_123_ÜRETİM_İHTİYAÇ_RAPORU_BURAK_YENI1309[[#This Row],[SATINALMA]]*DST_123_ÜRETİM_İHTİYAÇ_RAPORU_BURAK_YENI1309[[#This Row],[BIRIM_FIYATLAR]])</f>
        <v>54497.75</v>
      </c>
      <c r="N2502">
        <v>10899.55</v>
      </c>
      <c r="O2502" t="s">
        <v>634</v>
      </c>
      <c r="P2502">
        <v>10899.55</v>
      </c>
      <c r="Q2502" t="s">
        <v>178</v>
      </c>
    </row>
    <row r="2503" spans="1:17" x14ac:dyDescent="0.25">
      <c r="A2503" t="s">
        <v>1098</v>
      </c>
      <c r="B2503" t="s">
        <v>1096</v>
      </c>
      <c r="C2503" t="s">
        <v>175</v>
      </c>
      <c r="D2503" t="s">
        <v>76</v>
      </c>
      <c r="E2503" t="s">
        <v>77</v>
      </c>
      <c r="F2503">
        <v>3</v>
      </c>
      <c r="G2503" t="s">
        <v>176</v>
      </c>
      <c r="H2503">
        <v>0</v>
      </c>
      <c r="I2503">
        <v>85</v>
      </c>
      <c r="J2503" s="10">
        <v>31</v>
      </c>
      <c r="K2503" s="10">
        <f>SUMIFS(F:F,D:D,DST_123_ÜRETİM_İHTİYAÇ_RAPORU_BURAK_YENI1309[[#This Row],[ALT_KOD]])-(SUMIFS(H:H,D:D,DST_123_ÜRETİM_İHTİYAÇ_RAPORU_BURAK_YENI1309[[#This Row],[ALT_KOD]])+AVERAGEIFS(I:I,D:D,DST_123_ÜRETİM_İHTİYAÇ_RAPORU_BURAK_YENI1309[[#This Row],[ALT_KOD]])+AVERAGEIFS(L:L,D:D,DST_123_ÜRETİM_İHTİYAÇ_RAPORU_BURAK_YENI1309[[#This Row],[ALT_KOD]]))</f>
        <v>-17</v>
      </c>
      <c r="L2503">
        <v>0</v>
      </c>
      <c r="M2503">
        <f>IF((DST_123_ÜRETİM_İHTİYAÇ_RAPORU_BURAK_YENI1309[[#This Row],[SATINALMA]]*DST_123_ÜRETİM_İHTİYAÇ_RAPORU_BURAK_YENI1309[[#This Row],[BIRIM_FIYATLAR]])&lt;1,VALUE("0"),DST_123_ÜRETİM_İHTİYAÇ_RAPORU_BURAK_YENI1309[[#This Row],[SATINALMA]]*DST_123_ÜRETİM_İHTİYAÇ_RAPORU_BURAK_YENI1309[[#This Row],[BIRIM_FIYATLAR]])</f>
        <v>0</v>
      </c>
      <c r="N2503">
        <v>120</v>
      </c>
      <c r="O2503" t="s">
        <v>1152</v>
      </c>
      <c r="P2503">
        <v>360</v>
      </c>
      <c r="Q2503" t="s">
        <v>178</v>
      </c>
    </row>
    <row r="2504" spans="1:17" x14ac:dyDescent="0.25">
      <c r="A2504" t="s">
        <v>1064</v>
      </c>
      <c r="B2504" t="s">
        <v>1055</v>
      </c>
      <c r="C2504" t="s">
        <v>175</v>
      </c>
      <c r="D2504" t="s">
        <v>76</v>
      </c>
      <c r="E2504" t="s">
        <v>77</v>
      </c>
      <c r="F2504">
        <v>3</v>
      </c>
      <c r="G2504" t="s">
        <v>176</v>
      </c>
      <c r="H2504">
        <v>0</v>
      </c>
      <c r="I2504">
        <v>85</v>
      </c>
      <c r="J2504" s="10">
        <v>31</v>
      </c>
      <c r="K2504" s="10">
        <f>SUMIFS(F:F,D:D,DST_123_ÜRETİM_İHTİYAÇ_RAPORU_BURAK_YENI1309[[#This Row],[ALT_KOD]])-(SUMIFS(H:H,D:D,DST_123_ÜRETİM_İHTİYAÇ_RAPORU_BURAK_YENI1309[[#This Row],[ALT_KOD]])+AVERAGEIFS(I:I,D:D,DST_123_ÜRETİM_İHTİYAÇ_RAPORU_BURAK_YENI1309[[#This Row],[ALT_KOD]])+AVERAGEIFS(L:L,D:D,DST_123_ÜRETİM_İHTİYAÇ_RAPORU_BURAK_YENI1309[[#This Row],[ALT_KOD]]))</f>
        <v>-17</v>
      </c>
      <c r="L2504">
        <v>0</v>
      </c>
      <c r="M2504">
        <f>IF((DST_123_ÜRETİM_İHTİYAÇ_RAPORU_BURAK_YENI1309[[#This Row],[SATINALMA]]*DST_123_ÜRETİM_İHTİYAÇ_RAPORU_BURAK_YENI1309[[#This Row],[BIRIM_FIYATLAR]])&lt;1,VALUE("0"),DST_123_ÜRETİM_İHTİYAÇ_RAPORU_BURAK_YENI1309[[#This Row],[SATINALMA]]*DST_123_ÜRETİM_İHTİYAÇ_RAPORU_BURAK_YENI1309[[#This Row],[BIRIM_FIYATLAR]])</f>
        <v>0</v>
      </c>
      <c r="N2504">
        <v>120</v>
      </c>
      <c r="O2504" t="s">
        <v>1152</v>
      </c>
      <c r="P2504">
        <v>360</v>
      </c>
      <c r="Q2504" t="s">
        <v>178</v>
      </c>
    </row>
    <row r="2505" spans="1:17" x14ac:dyDescent="0.25">
      <c r="A2505" t="s">
        <v>1098</v>
      </c>
      <c r="B2505" t="s">
        <v>1096</v>
      </c>
      <c r="C2505" t="s">
        <v>175</v>
      </c>
      <c r="D2505" t="s">
        <v>78</v>
      </c>
      <c r="E2505" t="s">
        <v>79</v>
      </c>
      <c r="F2505">
        <v>3</v>
      </c>
      <c r="G2505" t="s">
        <v>176</v>
      </c>
      <c r="H2505">
        <v>0</v>
      </c>
      <c r="I2505">
        <v>81</v>
      </c>
      <c r="J2505" s="10">
        <v>5</v>
      </c>
      <c r="K2505" s="10">
        <f>SUMIFS(F:F,D:D,DST_123_ÜRETİM_İHTİYAÇ_RAPORU_BURAK_YENI1309[[#This Row],[ALT_KOD]])-(SUMIFS(H:H,D:D,DST_123_ÜRETİM_İHTİYAÇ_RAPORU_BURAK_YENI1309[[#This Row],[ALT_KOD]])+AVERAGEIFS(I:I,D:D,DST_123_ÜRETİM_İHTİYAÇ_RAPORU_BURAK_YENI1309[[#This Row],[ALT_KOD]])+AVERAGEIFS(L:L,D:D,DST_123_ÜRETİM_İHTİYAÇ_RAPORU_BURAK_YENI1309[[#This Row],[ALT_KOD]]))</f>
        <v>-23</v>
      </c>
      <c r="L2505">
        <v>0</v>
      </c>
      <c r="M2505">
        <f>IF((DST_123_ÜRETİM_İHTİYAÇ_RAPORU_BURAK_YENI1309[[#This Row],[SATINALMA]]*DST_123_ÜRETİM_İHTİYAÇ_RAPORU_BURAK_YENI1309[[#This Row],[BIRIM_FIYATLAR]])&lt;1,VALUE("0"),DST_123_ÜRETİM_İHTİYAÇ_RAPORU_BURAK_YENI1309[[#This Row],[SATINALMA]]*DST_123_ÜRETİM_İHTİYAÇ_RAPORU_BURAK_YENI1309[[#This Row],[BIRIM_FIYATLAR]])</f>
        <v>0</v>
      </c>
      <c r="N2505">
        <v>188</v>
      </c>
      <c r="O2505" t="s">
        <v>240</v>
      </c>
      <c r="P2505">
        <v>564</v>
      </c>
      <c r="Q2505" t="s">
        <v>178</v>
      </c>
    </row>
    <row r="2506" spans="1:17" x14ac:dyDescent="0.25">
      <c r="A2506" t="s">
        <v>1064</v>
      </c>
      <c r="B2506" t="s">
        <v>1055</v>
      </c>
      <c r="C2506" t="s">
        <v>175</v>
      </c>
      <c r="D2506" t="s">
        <v>78</v>
      </c>
      <c r="E2506" t="s">
        <v>79</v>
      </c>
      <c r="F2506">
        <v>3</v>
      </c>
      <c r="G2506" t="s">
        <v>176</v>
      </c>
      <c r="H2506">
        <v>0</v>
      </c>
      <c r="I2506">
        <v>81</v>
      </c>
      <c r="J2506" s="10">
        <v>5</v>
      </c>
      <c r="K2506" s="10">
        <f>SUMIFS(F:F,D:D,DST_123_ÜRETİM_İHTİYAÇ_RAPORU_BURAK_YENI1309[[#This Row],[ALT_KOD]])-(SUMIFS(H:H,D:D,DST_123_ÜRETİM_İHTİYAÇ_RAPORU_BURAK_YENI1309[[#This Row],[ALT_KOD]])+AVERAGEIFS(I:I,D:D,DST_123_ÜRETİM_İHTİYAÇ_RAPORU_BURAK_YENI1309[[#This Row],[ALT_KOD]])+AVERAGEIFS(L:L,D:D,DST_123_ÜRETİM_İHTİYAÇ_RAPORU_BURAK_YENI1309[[#This Row],[ALT_KOD]]))</f>
        <v>-23</v>
      </c>
      <c r="L2506">
        <v>0</v>
      </c>
      <c r="M2506">
        <f>IF((DST_123_ÜRETİM_İHTİYAÇ_RAPORU_BURAK_YENI1309[[#This Row],[SATINALMA]]*DST_123_ÜRETİM_İHTİYAÇ_RAPORU_BURAK_YENI1309[[#This Row],[BIRIM_FIYATLAR]])&lt;1,VALUE("0"),DST_123_ÜRETİM_İHTİYAÇ_RAPORU_BURAK_YENI1309[[#This Row],[SATINALMA]]*DST_123_ÜRETİM_İHTİYAÇ_RAPORU_BURAK_YENI1309[[#This Row],[BIRIM_FIYATLAR]])</f>
        <v>0</v>
      </c>
      <c r="N2506">
        <v>188</v>
      </c>
      <c r="O2506" t="s">
        <v>240</v>
      </c>
      <c r="P2506">
        <v>564</v>
      </c>
      <c r="Q2506" t="s">
        <v>178</v>
      </c>
    </row>
    <row r="2507" spans="1:17" x14ac:dyDescent="0.25">
      <c r="A2507" t="s">
        <v>1059</v>
      </c>
      <c r="B2507" t="s">
        <v>1058</v>
      </c>
      <c r="C2507" t="s">
        <v>175</v>
      </c>
      <c r="D2507" t="s">
        <v>76</v>
      </c>
      <c r="E2507" t="s">
        <v>77</v>
      </c>
      <c r="F2507">
        <v>4</v>
      </c>
      <c r="G2507" t="s">
        <v>176</v>
      </c>
      <c r="H2507">
        <v>0</v>
      </c>
      <c r="I2507">
        <v>85</v>
      </c>
      <c r="J2507" s="10">
        <v>31</v>
      </c>
      <c r="K2507" s="10">
        <f>SUMIFS(F:F,D:D,DST_123_ÜRETİM_İHTİYAÇ_RAPORU_BURAK_YENI1309[[#This Row],[ALT_KOD]])-(SUMIFS(H:H,D:D,DST_123_ÜRETİM_İHTİYAÇ_RAPORU_BURAK_YENI1309[[#This Row],[ALT_KOD]])+AVERAGEIFS(I:I,D:D,DST_123_ÜRETİM_İHTİYAÇ_RAPORU_BURAK_YENI1309[[#This Row],[ALT_KOD]])+AVERAGEIFS(L:L,D:D,DST_123_ÜRETİM_İHTİYAÇ_RAPORU_BURAK_YENI1309[[#This Row],[ALT_KOD]]))</f>
        <v>-17</v>
      </c>
      <c r="L2507">
        <v>0</v>
      </c>
      <c r="M2507">
        <f>IF((DST_123_ÜRETİM_İHTİYAÇ_RAPORU_BURAK_YENI1309[[#This Row],[SATINALMA]]*DST_123_ÜRETİM_İHTİYAÇ_RAPORU_BURAK_YENI1309[[#This Row],[BIRIM_FIYATLAR]])&lt;1,VALUE("0"),DST_123_ÜRETİM_İHTİYAÇ_RAPORU_BURAK_YENI1309[[#This Row],[SATINALMA]]*DST_123_ÜRETİM_İHTİYAÇ_RAPORU_BURAK_YENI1309[[#This Row],[BIRIM_FIYATLAR]])</f>
        <v>0</v>
      </c>
      <c r="N2507">
        <v>120</v>
      </c>
      <c r="O2507" t="s">
        <v>1152</v>
      </c>
      <c r="P2507">
        <v>480</v>
      </c>
      <c r="Q2507" t="s">
        <v>178</v>
      </c>
    </row>
    <row r="2508" spans="1:17" x14ac:dyDescent="0.25">
      <c r="A2508" t="s">
        <v>1143</v>
      </c>
      <c r="B2508" t="s">
        <v>1056</v>
      </c>
      <c r="C2508" t="s">
        <v>175</v>
      </c>
      <c r="D2508" t="s">
        <v>76</v>
      </c>
      <c r="E2508" t="s">
        <v>77</v>
      </c>
      <c r="F2508">
        <v>3</v>
      </c>
      <c r="G2508" t="s">
        <v>176</v>
      </c>
      <c r="H2508">
        <v>0</v>
      </c>
      <c r="I2508">
        <v>85</v>
      </c>
      <c r="J2508" s="10">
        <v>31</v>
      </c>
      <c r="K2508" s="10">
        <f>SUMIFS(F:F,D:D,DST_123_ÜRETİM_İHTİYAÇ_RAPORU_BURAK_YENI1309[[#This Row],[ALT_KOD]])-(SUMIFS(H:H,D:D,DST_123_ÜRETİM_İHTİYAÇ_RAPORU_BURAK_YENI1309[[#This Row],[ALT_KOD]])+AVERAGEIFS(I:I,D:D,DST_123_ÜRETİM_İHTİYAÇ_RAPORU_BURAK_YENI1309[[#This Row],[ALT_KOD]])+AVERAGEIFS(L:L,D:D,DST_123_ÜRETİM_İHTİYAÇ_RAPORU_BURAK_YENI1309[[#This Row],[ALT_KOD]]))</f>
        <v>-17</v>
      </c>
      <c r="L2508">
        <v>0</v>
      </c>
      <c r="M2508">
        <f>IF((DST_123_ÜRETİM_İHTİYAÇ_RAPORU_BURAK_YENI1309[[#This Row],[SATINALMA]]*DST_123_ÜRETİM_İHTİYAÇ_RAPORU_BURAK_YENI1309[[#This Row],[BIRIM_FIYATLAR]])&lt;1,VALUE("0"),DST_123_ÜRETİM_İHTİYAÇ_RAPORU_BURAK_YENI1309[[#This Row],[SATINALMA]]*DST_123_ÜRETİM_İHTİYAÇ_RAPORU_BURAK_YENI1309[[#This Row],[BIRIM_FIYATLAR]])</f>
        <v>0</v>
      </c>
      <c r="N2508">
        <v>120</v>
      </c>
      <c r="O2508" t="s">
        <v>1152</v>
      </c>
      <c r="P2508">
        <v>360</v>
      </c>
      <c r="Q2508" t="s">
        <v>178</v>
      </c>
    </row>
    <row r="2509" spans="1:17" x14ac:dyDescent="0.25">
      <c r="A2509" t="s">
        <v>1143</v>
      </c>
      <c r="B2509" t="s">
        <v>1056</v>
      </c>
      <c r="C2509" t="s">
        <v>175</v>
      </c>
      <c r="D2509" t="s">
        <v>78</v>
      </c>
      <c r="E2509" t="s">
        <v>79</v>
      </c>
      <c r="F2509">
        <v>3</v>
      </c>
      <c r="G2509" t="s">
        <v>176</v>
      </c>
      <c r="H2509">
        <v>0</v>
      </c>
      <c r="I2509">
        <v>81</v>
      </c>
      <c r="J2509" s="10">
        <v>5</v>
      </c>
      <c r="K2509" s="10">
        <f>SUMIFS(F:F,D:D,DST_123_ÜRETİM_İHTİYAÇ_RAPORU_BURAK_YENI1309[[#This Row],[ALT_KOD]])-(SUMIFS(H:H,D:D,DST_123_ÜRETİM_İHTİYAÇ_RAPORU_BURAK_YENI1309[[#This Row],[ALT_KOD]])+AVERAGEIFS(I:I,D:D,DST_123_ÜRETİM_İHTİYAÇ_RAPORU_BURAK_YENI1309[[#This Row],[ALT_KOD]])+AVERAGEIFS(L:L,D:D,DST_123_ÜRETİM_İHTİYAÇ_RAPORU_BURAK_YENI1309[[#This Row],[ALT_KOD]]))</f>
        <v>-23</v>
      </c>
      <c r="L2509">
        <v>0</v>
      </c>
      <c r="M2509">
        <f>IF((DST_123_ÜRETİM_İHTİYAÇ_RAPORU_BURAK_YENI1309[[#This Row],[SATINALMA]]*DST_123_ÜRETİM_İHTİYAÇ_RAPORU_BURAK_YENI1309[[#This Row],[BIRIM_FIYATLAR]])&lt;1,VALUE("0"),DST_123_ÜRETİM_İHTİYAÇ_RAPORU_BURAK_YENI1309[[#This Row],[SATINALMA]]*DST_123_ÜRETİM_İHTİYAÇ_RAPORU_BURAK_YENI1309[[#This Row],[BIRIM_FIYATLAR]])</f>
        <v>0</v>
      </c>
      <c r="N2509">
        <v>188</v>
      </c>
      <c r="O2509" t="s">
        <v>240</v>
      </c>
      <c r="P2509">
        <v>564</v>
      </c>
      <c r="Q2509" t="s">
        <v>178</v>
      </c>
    </row>
    <row r="2510" spans="1:17" x14ac:dyDescent="0.25">
      <c r="A2510" t="s">
        <v>1142</v>
      </c>
      <c r="B2510" t="s">
        <v>1056</v>
      </c>
      <c r="C2510" t="s">
        <v>175</v>
      </c>
      <c r="D2510" t="s">
        <v>726</v>
      </c>
      <c r="E2510" t="s">
        <v>727</v>
      </c>
      <c r="F2510">
        <v>1</v>
      </c>
      <c r="G2510" t="s">
        <v>176</v>
      </c>
      <c r="H2510">
        <v>0</v>
      </c>
      <c r="I2510">
        <v>3</v>
      </c>
      <c r="J2510" s="10">
        <v>7</v>
      </c>
      <c r="K2510" s="10">
        <f>SUMIFS(F:F,D:D,DST_123_ÜRETİM_İHTİYAÇ_RAPORU_BURAK_YENI1309[[#This Row],[ALT_KOD]])-(SUMIFS(H:H,D:D,DST_123_ÜRETİM_İHTİYAÇ_RAPORU_BURAK_YENI1309[[#This Row],[ALT_KOD]])+AVERAGEIFS(I:I,D:D,DST_123_ÜRETİM_İHTİYAÇ_RAPORU_BURAK_YENI1309[[#This Row],[ALT_KOD]])+AVERAGEIFS(L:L,D:D,DST_123_ÜRETİM_İHTİYAÇ_RAPORU_BURAK_YENI1309[[#This Row],[ALT_KOD]]))</f>
        <v>5</v>
      </c>
      <c r="L2510">
        <v>0</v>
      </c>
      <c r="M2510">
        <f>IF((DST_123_ÜRETİM_İHTİYAÇ_RAPORU_BURAK_YENI1309[[#This Row],[SATINALMA]]*DST_123_ÜRETİM_İHTİYAÇ_RAPORU_BURAK_YENI1309[[#This Row],[BIRIM_FIYATLAR]])&lt;1,VALUE("0"),DST_123_ÜRETİM_İHTİYAÇ_RAPORU_BURAK_YENI1309[[#This Row],[SATINALMA]]*DST_123_ÜRETİM_İHTİYAÇ_RAPORU_BURAK_YENI1309[[#This Row],[BIRIM_FIYATLAR]])</f>
        <v>54497.75</v>
      </c>
      <c r="N2510">
        <v>10899.55</v>
      </c>
      <c r="O2510" t="s">
        <v>634</v>
      </c>
      <c r="P2510">
        <v>10899.55</v>
      </c>
      <c r="Q2510" t="s">
        <v>178</v>
      </c>
    </row>
    <row r="2511" spans="1:17" x14ac:dyDescent="0.25">
      <c r="A2511" t="s">
        <v>1059</v>
      </c>
      <c r="B2511" t="s">
        <v>1058</v>
      </c>
      <c r="C2511" t="s">
        <v>175</v>
      </c>
      <c r="D2511" t="s">
        <v>78</v>
      </c>
      <c r="E2511" t="s">
        <v>79</v>
      </c>
      <c r="F2511">
        <v>3</v>
      </c>
      <c r="G2511" t="s">
        <v>176</v>
      </c>
      <c r="H2511">
        <v>0</v>
      </c>
      <c r="I2511">
        <v>81</v>
      </c>
      <c r="J2511" s="10">
        <v>5</v>
      </c>
      <c r="K2511" s="10">
        <f>SUMIFS(F:F,D:D,DST_123_ÜRETİM_İHTİYAÇ_RAPORU_BURAK_YENI1309[[#This Row],[ALT_KOD]])-(SUMIFS(H:H,D:D,DST_123_ÜRETİM_İHTİYAÇ_RAPORU_BURAK_YENI1309[[#This Row],[ALT_KOD]])+AVERAGEIFS(I:I,D:D,DST_123_ÜRETİM_İHTİYAÇ_RAPORU_BURAK_YENI1309[[#This Row],[ALT_KOD]])+AVERAGEIFS(L:L,D:D,DST_123_ÜRETİM_İHTİYAÇ_RAPORU_BURAK_YENI1309[[#This Row],[ALT_KOD]]))</f>
        <v>-23</v>
      </c>
      <c r="L2511">
        <v>0</v>
      </c>
      <c r="M2511">
        <f>IF((DST_123_ÜRETİM_İHTİYAÇ_RAPORU_BURAK_YENI1309[[#This Row],[SATINALMA]]*DST_123_ÜRETİM_İHTİYAÇ_RAPORU_BURAK_YENI1309[[#This Row],[BIRIM_FIYATLAR]])&lt;1,VALUE("0"),DST_123_ÜRETİM_İHTİYAÇ_RAPORU_BURAK_YENI1309[[#This Row],[SATINALMA]]*DST_123_ÜRETİM_İHTİYAÇ_RAPORU_BURAK_YENI1309[[#This Row],[BIRIM_FIYATLAR]])</f>
        <v>0</v>
      </c>
      <c r="N2511">
        <v>188</v>
      </c>
      <c r="O2511" t="s">
        <v>240</v>
      </c>
      <c r="P2511">
        <v>564</v>
      </c>
      <c r="Q2511" t="s">
        <v>178</v>
      </c>
    </row>
    <row r="2512" spans="1:17" x14ac:dyDescent="0.25">
      <c r="A2512" t="s">
        <v>1095</v>
      </c>
      <c r="B2512" t="s">
        <v>1096</v>
      </c>
      <c r="C2512" t="s">
        <v>175</v>
      </c>
      <c r="D2512" t="s">
        <v>680</v>
      </c>
      <c r="E2512" t="s">
        <v>681</v>
      </c>
      <c r="F2512">
        <v>1</v>
      </c>
      <c r="G2512" t="s">
        <v>176</v>
      </c>
      <c r="H2512">
        <v>0</v>
      </c>
      <c r="I2512">
        <v>10</v>
      </c>
      <c r="J2512" s="10">
        <v>4</v>
      </c>
      <c r="K2512" s="10">
        <f>SUMIFS(F:F,D:D,DST_123_ÜRETİM_İHTİYAÇ_RAPORU_BURAK_YENI1309[[#This Row],[ALT_KOD]])-(SUMIFS(H:H,D:D,DST_123_ÜRETİM_İHTİYAÇ_RAPORU_BURAK_YENI1309[[#This Row],[ALT_KOD]])+AVERAGEIFS(I:I,D:D,DST_123_ÜRETİM_İHTİYAÇ_RAPORU_BURAK_YENI1309[[#This Row],[ALT_KOD]])+AVERAGEIFS(L:L,D:D,DST_123_ÜRETİM_İHTİYAÇ_RAPORU_BURAK_YENI1309[[#This Row],[ALT_KOD]]))</f>
        <v>-6</v>
      </c>
      <c r="L2512">
        <v>0</v>
      </c>
      <c r="M2512">
        <f>IF((DST_123_ÜRETİM_İHTİYAÇ_RAPORU_BURAK_YENI1309[[#This Row],[SATINALMA]]*DST_123_ÜRETİM_İHTİYAÇ_RAPORU_BURAK_YENI1309[[#This Row],[BIRIM_FIYATLAR]])&lt;1,VALUE("0"),DST_123_ÜRETİM_İHTİYAÇ_RAPORU_BURAK_YENI1309[[#This Row],[SATINALMA]]*DST_123_ÜRETİM_İHTİYAÇ_RAPORU_BURAK_YENI1309[[#This Row],[BIRIM_FIYATLAR]])</f>
        <v>0</v>
      </c>
      <c r="N2512">
        <v>252</v>
      </c>
      <c r="O2512" t="s">
        <v>246</v>
      </c>
      <c r="P2512">
        <v>252</v>
      </c>
      <c r="Q2512" t="s">
        <v>180</v>
      </c>
    </row>
    <row r="2513" spans="1:17" x14ac:dyDescent="0.25">
      <c r="A2513" t="s">
        <v>1143</v>
      </c>
      <c r="B2513" t="s">
        <v>1056</v>
      </c>
      <c r="C2513" t="s">
        <v>175</v>
      </c>
      <c r="D2513" t="s">
        <v>697</v>
      </c>
      <c r="E2513" t="s">
        <v>698</v>
      </c>
      <c r="F2513">
        <v>1</v>
      </c>
      <c r="G2513" t="s">
        <v>176</v>
      </c>
      <c r="H2513">
        <v>0</v>
      </c>
      <c r="I2513">
        <v>6</v>
      </c>
      <c r="J2513" s="10">
        <v>5</v>
      </c>
      <c r="K2513" s="10">
        <f>SUMIFS(F:F,D:D,DST_123_ÜRETİM_İHTİYAÇ_RAPORU_BURAK_YENI1309[[#This Row],[ALT_KOD]])-(SUMIFS(H:H,D:D,DST_123_ÜRETİM_İHTİYAÇ_RAPORU_BURAK_YENI1309[[#This Row],[ALT_KOD]])+AVERAGEIFS(I:I,D:D,DST_123_ÜRETİM_İHTİYAÇ_RAPORU_BURAK_YENI1309[[#This Row],[ALT_KOD]])+AVERAGEIFS(L:L,D:D,DST_123_ÜRETİM_İHTİYAÇ_RAPORU_BURAK_YENI1309[[#This Row],[ALT_KOD]]))</f>
        <v>5</v>
      </c>
      <c r="L2513">
        <v>0</v>
      </c>
      <c r="M2513">
        <f>IF((DST_123_ÜRETİM_İHTİYAÇ_RAPORU_BURAK_YENI1309[[#This Row],[SATINALMA]]*DST_123_ÜRETİM_İHTİYAÇ_RAPORU_BURAK_YENI1309[[#This Row],[BIRIM_FIYATLAR]])&lt;1,VALUE("0"),DST_123_ÜRETİM_İHTİYAÇ_RAPORU_BURAK_YENI1309[[#This Row],[SATINALMA]]*DST_123_ÜRETİM_İHTİYAÇ_RAPORU_BURAK_YENI1309[[#This Row],[BIRIM_FIYATLAR]])</f>
        <v>11000</v>
      </c>
      <c r="N2513">
        <v>2200</v>
      </c>
      <c r="O2513" t="s">
        <v>251</v>
      </c>
      <c r="P2513">
        <v>2200</v>
      </c>
      <c r="Q2513" t="s">
        <v>178</v>
      </c>
    </row>
    <row r="2514" spans="1:17" x14ac:dyDescent="0.25">
      <c r="A2514" t="s">
        <v>1060</v>
      </c>
      <c r="B2514" t="s">
        <v>1061</v>
      </c>
      <c r="C2514" t="s">
        <v>175</v>
      </c>
      <c r="D2514" t="s">
        <v>202</v>
      </c>
      <c r="E2514" t="s">
        <v>203</v>
      </c>
      <c r="F2514">
        <v>0.10100000000000001</v>
      </c>
      <c r="G2514" t="s">
        <v>179</v>
      </c>
      <c r="H2514">
        <v>0</v>
      </c>
      <c r="I2514">
        <v>50</v>
      </c>
      <c r="J2514" s="10">
        <v>-1.4210854715202004E-14</v>
      </c>
      <c r="K2514" s="10">
        <f>SUMIFS(F:F,D:D,DST_123_ÜRETİM_İHTİYAÇ_RAPORU_BURAK_YENI1309[[#This Row],[ALT_KOD]])-(SUMIFS(H:H,D:D,DST_123_ÜRETİM_İHTİYAÇ_RAPORU_BURAK_YENI1309[[#This Row],[ALT_KOD]])+AVERAGEIFS(I:I,D:D,DST_123_ÜRETİM_İHTİYAÇ_RAPORU_BURAK_YENI1309[[#This Row],[ALT_KOD]])+AVERAGEIFS(L:L,D:D,DST_123_ÜRETİM_İHTİYAÇ_RAPORU_BURAK_YENI1309[[#This Row],[ALT_KOD]]))</f>
        <v>-47.386000000000003</v>
      </c>
      <c r="L2514">
        <v>0</v>
      </c>
      <c r="M2514">
        <f>IF((DST_123_ÜRETİM_İHTİYAÇ_RAPORU_BURAK_YENI1309[[#This Row],[SATINALMA]]*DST_123_ÜRETİM_İHTİYAÇ_RAPORU_BURAK_YENI1309[[#This Row],[BIRIM_FIYATLAR]])&lt;1,VALUE("0"),DST_123_ÜRETİM_İHTİYAÇ_RAPORU_BURAK_YENI1309[[#This Row],[SATINALMA]]*DST_123_ÜRETİM_İHTİYAÇ_RAPORU_BURAK_YENI1309[[#This Row],[BIRIM_FIYATLAR]])</f>
        <v>0</v>
      </c>
      <c r="N2514">
        <v>10.61</v>
      </c>
      <c r="O2514" t="s">
        <v>235</v>
      </c>
      <c r="P2514">
        <v>1.07161</v>
      </c>
      <c r="Q2514" t="s">
        <v>221</v>
      </c>
    </row>
    <row r="2515" spans="1:17" x14ac:dyDescent="0.25">
      <c r="A2515" t="s">
        <v>1057</v>
      </c>
      <c r="B2515" t="s">
        <v>1058</v>
      </c>
      <c r="C2515" t="s">
        <v>175</v>
      </c>
      <c r="D2515" t="s">
        <v>202</v>
      </c>
      <c r="E2515" t="s">
        <v>203</v>
      </c>
      <c r="F2515">
        <v>0.10200000000000001</v>
      </c>
      <c r="G2515" t="s">
        <v>179</v>
      </c>
      <c r="H2515">
        <v>0</v>
      </c>
      <c r="I2515">
        <v>50</v>
      </c>
      <c r="J2515" s="10">
        <v>-1.4210854715202004E-14</v>
      </c>
      <c r="K2515" s="10">
        <f>SUMIFS(F:F,D:D,DST_123_ÜRETİM_İHTİYAÇ_RAPORU_BURAK_YENI1309[[#This Row],[ALT_KOD]])-(SUMIFS(H:H,D:D,DST_123_ÜRETİM_İHTİYAÇ_RAPORU_BURAK_YENI1309[[#This Row],[ALT_KOD]])+AVERAGEIFS(I:I,D:D,DST_123_ÜRETİM_İHTİYAÇ_RAPORU_BURAK_YENI1309[[#This Row],[ALT_KOD]])+AVERAGEIFS(L:L,D:D,DST_123_ÜRETİM_İHTİYAÇ_RAPORU_BURAK_YENI1309[[#This Row],[ALT_KOD]]))</f>
        <v>-47.386000000000003</v>
      </c>
      <c r="L2515">
        <v>0</v>
      </c>
      <c r="M2515">
        <f>IF((DST_123_ÜRETİM_İHTİYAÇ_RAPORU_BURAK_YENI1309[[#This Row],[SATINALMA]]*DST_123_ÜRETİM_İHTİYAÇ_RAPORU_BURAK_YENI1309[[#This Row],[BIRIM_FIYATLAR]])&lt;1,VALUE("0"),DST_123_ÜRETİM_İHTİYAÇ_RAPORU_BURAK_YENI1309[[#This Row],[SATINALMA]]*DST_123_ÜRETİM_İHTİYAÇ_RAPORU_BURAK_YENI1309[[#This Row],[BIRIM_FIYATLAR]])</f>
        <v>0</v>
      </c>
      <c r="N2515">
        <v>10.61</v>
      </c>
      <c r="O2515" t="s">
        <v>235</v>
      </c>
      <c r="P2515">
        <v>1.08222</v>
      </c>
      <c r="Q2515" t="s">
        <v>221</v>
      </c>
    </row>
    <row r="2516" spans="1:17" x14ac:dyDescent="0.25">
      <c r="A2516" t="s">
        <v>1100</v>
      </c>
      <c r="B2516" t="s">
        <v>1058</v>
      </c>
      <c r="C2516" t="s">
        <v>175</v>
      </c>
      <c r="D2516" t="s">
        <v>202</v>
      </c>
      <c r="E2516" t="s">
        <v>203</v>
      </c>
      <c r="F2516">
        <v>0.10200000000000001</v>
      </c>
      <c r="G2516" t="s">
        <v>179</v>
      </c>
      <c r="H2516">
        <v>0</v>
      </c>
      <c r="I2516">
        <v>50</v>
      </c>
      <c r="J2516" s="10">
        <v>-1.4210854715202004E-14</v>
      </c>
      <c r="K2516" s="10">
        <f>SUMIFS(F:F,D:D,DST_123_ÜRETİM_İHTİYAÇ_RAPORU_BURAK_YENI1309[[#This Row],[ALT_KOD]])-(SUMIFS(H:H,D:D,DST_123_ÜRETİM_İHTİYAÇ_RAPORU_BURAK_YENI1309[[#This Row],[ALT_KOD]])+AVERAGEIFS(I:I,D:D,DST_123_ÜRETİM_İHTİYAÇ_RAPORU_BURAK_YENI1309[[#This Row],[ALT_KOD]])+AVERAGEIFS(L:L,D:D,DST_123_ÜRETİM_İHTİYAÇ_RAPORU_BURAK_YENI1309[[#This Row],[ALT_KOD]]))</f>
        <v>-47.386000000000003</v>
      </c>
      <c r="L2516">
        <v>0</v>
      </c>
      <c r="M2516">
        <f>IF((DST_123_ÜRETİM_İHTİYAÇ_RAPORU_BURAK_YENI1309[[#This Row],[SATINALMA]]*DST_123_ÜRETİM_İHTİYAÇ_RAPORU_BURAK_YENI1309[[#This Row],[BIRIM_FIYATLAR]])&lt;1,VALUE("0"),DST_123_ÜRETİM_İHTİYAÇ_RAPORU_BURAK_YENI1309[[#This Row],[SATINALMA]]*DST_123_ÜRETİM_İHTİYAÇ_RAPORU_BURAK_YENI1309[[#This Row],[BIRIM_FIYATLAR]])</f>
        <v>0</v>
      </c>
      <c r="N2516">
        <v>10.61</v>
      </c>
      <c r="O2516" t="s">
        <v>235</v>
      </c>
      <c r="P2516">
        <v>1.08222</v>
      </c>
      <c r="Q2516" t="s">
        <v>221</v>
      </c>
    </row>
    <row r="2517" spans="1:17" x14ac:dyDescent="0.25">
      <c r="A2517" t="s">
        <v>1060</v>
      </c>
      <c r="B2517" t="s">
        <v>1061</v>
      </c>
      <c r="C2517" t="s">
        <v>175</v>
      </c>
      <c r="D2517" t="s">
        <v>697</v>
      </c>
      <c r="E2517" t="s">
        <v>698</v>
      </c>
      <c r="F2517">
        <v>1</v>
      </c>
      <c r="G2517" t="s">
        <v>176</v>
      </c>
      <c r="H2517">
        <v>1</v>
      </c>
      <c r="I2517">
        <v>6</v>
      </c>
      <c r="J2517" s="10">
        <v>5</v>
      </c>
      <c r="K2517" s="10">
        <f>SUMIFS(F:F,D:D,DST_123_ÜRETİM_İHTİYAÇ_RAPORU_BURAK_YENI1309[[#This Row],[ALT_KOD]])-(SUMIFS(H:H,D:D,DST_123_ÜRETİM_İHTİYAÇ_RAPORU_BURAK_YENI1309[[#This Row],[ALT_KOD]])+AVERAGEIFS(I:I,D:D,DST_123_ÜRETİM_İHTİYAÇ_RAPORU_BURAK_YENI1309[[#This Row],[ALT_KOD]])+AVERAGEIFS(L:L,D:D,DST_123_ÜRETİM_İHTİYAÇ_RAPORU_BURAK_YENI1309[[#This Row],[ALT_KOD]]))</f>
        <v>5</v>
      </c>
      <c r="L2517">
        <v>0</v>
      </c>
      <c r="M2517">
        <f>IF((DST_123_ÜRETİM_İHTİYAÇ_RAPORU_BURAK_YENI1309[[#This Row],[SATINALMA]]*DST_123_ÜRETİM_İHTİYAÇ_RAPORU_BURAK_YENI1309[[#This Row],[BIRIM_FIYATLAR]])&lt;1,VALUE("0"),DST_123_ÜRETİM_İHTİYAÇ_RAPORU_BURAK_YENI1309[[#This Row],[SATINALMA]]*DST_123_ÜRETİM_İHTİYAÇ_RAPORU_BURAK_YENI1309[[#This Row],[BIRIM_FIYATLAR]])</f>
        <v>11000</v>
      </c>
      <c r="N2517">
        <v>2200</v>
      </c>
      <c r="O2517" t="s">
        <v>251</v>
      </c>
      <c r="P2517">
        <v>2200</v>
      </c>
      <c r="Q2517" t="s">
        <v>178</v>
      </c>
    </row>
    <row r="2518" spans="1:17" x14ac:dyDescent="0.25">
      <c r="A2518" t="s">
        <v>1143</v>
      </c>
      <c r="B2518" t="s">
        <v>1056</v>
      </c>
      <c r="C2518" t="s">
        <v>175</v>
      </c>
      <c r="D2518" t="s">
        <v>137</v>
      </c>
      <c r="E2518" t="s">
        <v>138</v>
      </c>
      <c r="F2518">
        <v>2</v>
      </c>
      <c r="G2518" t="s">
        <v>176</v>
      </c>
      <c r="H2518">
        <v>0</v>
      </c>
      <c r="I2518">
        <v>23</v>
      </c>
      <c r="J2518" s="10">
        <v>22</v>
      </c>
      <c r="K2518" s="10">
        <f>SUMIFS(F:F,D:D,DST_123_ÜRETİM_İHTİYAÇ_RAPORU_BURAK_YENI1309[[#This Row],[ALT_KOD]])-(SUMIFS(H:H,D:D,DST_123_ÜRETİM_İHTİYAÇ_RAPORU_BURAK_YENI1309[[#This Row],[ALT_KOD]])+AVERAGEIFS(I:I,D:D,DST_123_ÜRETİM_İHTİYAÇ_RAPORU_BURAK_YENI1309[[#This Row],[ALT_KOD]])+AVERAGEIFS(L:L,D:D,DST_123_ÜRETİM_İHTİYAÇ_RAPORU_BURAK_YENI1309[[#This Row],[ALT_KOD]]))</f>
        <v>1</v>
      </c>
      <c r="L2518">
        <v>0</v>
      </c>
      <c r="M2518">
        <f>IF((DST_123_ÜRETİM_İHTİYAÇ_RAPORU_BURAK_YENI1309[[#This Row],[SATINALMA]]*DST_123_ÜRETİM_İHTİYAÇ_RAPORU_BURAK_YENI1309[[#This Row],[BIRIM_FIYATLAR]])&lt;1,VALUE("0"),DST_123_ÜRETİM_İHTİYAÇ_RAPORU_BURAK_YENI1309[[#This Row],[SATINALMA]]*DST_123_ÜRETİM_İHTİYAÇ_RAPORU_BURAK_YENI1309[[#This Row],[BIRIM_FIYATLAR]])</f>
        <v>73.349999999999994</v>
      </c>
      <c r="N2518">
        <v>73.349999999999994</v>
      </c>
      <c r="O2518" t="s">
        <v>227</v>
      </c>
      <c r="P2518">
        <v>146.69999999999999</v>
      </c>
      <c r="Q2518" t="s">
        <v>221</v>
      </c>
    </row>
    <row r="2519" spans="1:17" x14ac:dyDescent="0.25">
      <c r="A2519" t="s">
        <v>1059</v>
      </c>
      <c r="B2519" t="s">
        <v>1058</v>
      </c>
      <c r="C2519" t="s">
        <v>175</v>
      </c>
      <c r="D2519" t="s">
        <v>202</v>
      </c>
      <c r="E2519" t="s">
        <v>203</v>
      </c>
      <c r="F2519">
        <v>0.10200000000000001</v>
      </c>
      <c r="G2519" t="s">
        <v>179</v>
      </c>
      <c r="H2519">
        <v>0</v>
      </c>
      <c r="I2519">
        <v>50</v>
      </c>
      <c r="J2519" s="10">
        <v>-1.4210854715202004E-14</v>
      </c>
      <c r="K2519" s="10">
        <f>SUMIFS(F:F,D:D,DST_123_ÜRETİM_İHTİYAÇ_RAPORU_BURAK_YENI1309[[#This Row],[ALT_KOD]])-(SUMIFS(H:H,D:D,DST_123_ÜRETİM_İHTİYAÇ_RAPORU_BURAK_YENI1309[[#This Row],[ALT_KOD]])+AVERAGEIFS(I:I,D:D,DST_123_ÜRETİM_İHTİYAÇ_RAPORU_BURAK_YENI1309[[#This Row],[ALT_KOD]])+AVERAGEIFS(L:L,D:D,DST_123_ÜRETİM_İHTİYAÇ_RAPORU_BURAK_YENI1309[[#This Row],[ALT_KOD]]))</f>
        <v>-47.386000000000003</v>
      </c>
      <c r="L2519">
        <v>0</v>
      </c>
      <c r="M2519">
        <f>IF((DST_123_ÜRETİM_İHTİYAÇ_RAPORU_BURAK_YENI1309[[#This Row],[SATINALMA]]*DST_123_ÜRETİM_İHTİYAÇ_RAPORU_BURAK_YENI1309[[#This Row],[BIRIM_FIYATLAR]])&lt;1,VALUE("0"),DST_123_ÜRETİM_İHTİYAÇ_RAPORU_BURAK_YENI1309[[#This Row],[SATINALMA]]*DST_123_ÜRETİM_İHTİYAÇ_RAPORU_BURAK_YENI1309[[#This Row],[BIRIM_FIYATLAR]])</f>
        <v>0</v>
      </c>
      <c r="N2519">
        <v>10.61</v>
      </c>
      <c r="O2519" t="s">
        <v>235</v>
      </c>
      <c r="P2519">
        <v>1.08222</v>
      </c>
      <c r="Q2519" t="s">
        <v>221</v>
      </c>
    </row>
    <row r="2520" spans="1:17" x14ac:dyDescent="0.25">
      <c r="A2520" t="s">
        <v>1064</v>
      </c>
      <c r="B2520" t="s">
        <v>1055</v>
      </c>
      <c r="C2520" t="s">
        <v>175</v>
      </c>
      <c r="D2520" t="s">
        <v>329</v>
      </c>
      <c r="E2520" t="s">
        <v>330</v>
      </c>
      <c r="F2520">
        <v>6</v>
      </c>
      <c r="G2520" t="s">
        <v>176</v>
      </c>
      <c r="H2520">
        <v>0</v>
      </c>
      <c r="I2520">
        <v>118</v>
      </c>
      <c r="J2520" s="10">
        <v>18</v>
      </c>
      <c r="K2520" s="10">
        <f>SUMIFS(F:F,D:D,DST_123_ÜRETİM_İHTİYAÇ_RAPORU_BURAK_YENI1309[[#This Row],[ALT_KOD]])-(SUMIFS(H:H,D:D,DST_123_ÜRETİM_İHTİYAÇ_RAPORU_BURAK_YENI1309[[#This Row],[ALT_KOD]])+AVERAGEIFS(I:I,D:D,DST_123_ÜRETİM_İHTİYAÇ_RAPORU_BURAK_YENI1309[[#This Row],[ALT_KOD]])+AVERAGEIFS(L:L,D:D,DST_123_ÜRETİM_İHTİYAÇ_RAPORU_BURAK_YENI1309[[#This Row],[ALT_KOD]]))</f>
        <v>-11</v>
      </c>
      <c r="L2520">
        <v>0</v>
      </c>
      <c r="M2520">
        <f>IF((DST_123_ÜRETİM_İHTİYAÇ_RAPORU_BURAK_YENI1309[[#This Row],[SATINALMA]]*DST_123_ÜRETİM_İHTİYAÇ_RAPORU_BURAK_YENI1309[[#This Row],[BIRIM_FIYATLAR]])&lt;1,VALUE("0"),DST_123_ÜRETİM_İHTİYAÇ_RAPORU_BURAK_YENI1309[[#This Row],[SATINALMA]]*DST_123_ÜRETİM_İHTİYAÇ_RAPORU_BURAK_YENI1309[[#This Row],[BIRIM_FIYATLAR]])</f>
        <v>0</v>
      </c>
      <c r="N2520">
        <v>14.5</v>
      </c>
      <c r="O2520" t="s">
        <v>240</v>
      </c>
      <c r="P2520">
        <v>87</v>
      </c>
      <c r="Q2520" t="s">
        <v>180</v>
      </c>
    </row>
    <row r="2521" spans="1:17" x14ac:dyDescent="0.25">
      <c r="A2521" t="s">
        <v>1064</v>
      </c>
      <c r="B2521" t="s">
        <v>1055</v>
      </c>
      <c r="C2521" t="s">
        <v>175</v>
      </c>
      <c r="D2521" t="s">
        <v>518</v>
      </c>
      <c r="E2521" t="s">
        <v>519</v>
      </c>
      <c r="F2521">
        <v>3.2199999999999998</v>
      </c>
      <c r="G2521" t="s">
        <v>176</v>
      </c>
      <c r="H2521">
        <v>0</v>
      </c>
      <c r="I2521">
        <v>101</v>
      </c>
      <c r="J2521" s="10">
        <v>10.000000000000057</v>
      </c>
      <c r="K2521" s="10">
        <f>SUMIFS(F:F,D:D,DST_123_ÜRETİM_İHTİYAÇ_RAPORU_BURAK_YENI1309[[#This Row],[ALT_KOD]])-(SUMIFS(H:H,D:D,DST_123_ÜRETİM_İHTİYAÇ_RAPORU_BURAK_YENI1309[[#This Row],[ALT_KOD]])+AVERAGEIFS(I:I,D:D,DST_123_ÜRETİM_İHTİYAÇ_RAPORU_BURAK_YENI1309[[#This Row],[ALT_KOD]])+AVERAGEIFS(L:L,D:D,DST_123_ÜRETİM_İHTİYAÇ_RAPORU_BURAK_YENI1309[[#This Row],[ALT_KOD]]))</f>
        <v>-42.539999999999992</v>
      </c>
      <c r="L2521">
        <v>0</v>
      </c>
      <c r="M2521">
        <f>IF((DST_123_ÜRETİM_İHTİYAÇ_RAPORU_BURAK_YENI1309[[#This Row],[SATINALMA]]*DST_123_ÜRETİM_İHTİYAÇ_RAPORU_BURAK_YENI1309[[#This Row],[BIRIM_FIYATLAR]])&lt;1,VALUE("0"),DST_123_ÜRETİM_İHTİYAÇ_RAPORU_BURAK_YENI1309[[#This Row],[SATINALMA]]*DST_123_ÜRETİM_İHTİYAÇ_RAPORU_BURAK_YENI1309[[#This Row],[BIRIM_FIYATLAR]])</f>
        <v>0</v>
      </c>
      <c r="N2521">
        <v>36</v>
      </c>
      <c r="O2521" t="s">
        <v>240</v>
      </c>
      <c r="P2521">
        <v>115.91999999999999</v>
      </c>
      <c r="Q2521" t="s">
        <v>180</v>
      </c>
    </row>
    <row r="2522" spans="1:17" x14ac:dyDescent="0.25">
      <c r="A2522" t="s">
        <v>1064</v>
      </c>
      <c r="B2522" t="s">
        <v>1055</v>
      </c>
      <c r="C2522" t="s">
        <v>175</v>
      </c>
      <c r="D2522" t="s">
        <v>526</v>
      </c>
      <c r="E2522" t="s">
        <v>527</v>
      </c>
      <c r="F2522">
        <v>1</v>
      </c>
      <c r="G2522" t="s">
        <v>179</v>
      </c>
      <c r="H2522">
        <v>0</v>
      </c>
      <c r="I2522">
        <v>20</v>
      </c>
      <c r="J2522" s="10">
        <v>0</v>
      </c>
      <c r="K2522" s="10">
        <f>SUMIFS(F:F,D:D,DST_123_ÜRETİM_İHTİYAÇ_RAPORU_BURAK_YENI1309[[#This Row],[ALT_KOD]])-(SUMIFS(H:H,D:D,DST_123_ÜRETİM_İHTİYAÇ_RAPORU_BURAK_YENI1309[[#This Row],[ALT_KOD]])+AVERAGEIFS(I:I,D:D,DST_123_ÜRETİM_İHTİYAÇ_RAPORU_BURAK_YENI1309[[#This Row],[ALT_KOD]])+AVERAGEIFS(L:L,D:D,DST_123_ÜRETİM_İHTİYAÇ_RAPORU_BURAK_YENI1309[[#This Row],[ALT_KOD]]))</f>
        <v>-10.4</v>
      </c>
      <c r="L2522">
        <v>0</v>
      </c>
      <c r="M2522">
        <f>IF((DST_123_ÜRETİM_İHTİYAÇ_RAPORU_BURAK_YENI1309[[#This Row],[SATINALMA]]*DST_123_ÜRETİM_İHTİYAÇ_RAPORU_BURAK_YENI1309[[#This Row],[BIRIM_FIYATLAR]])&lt;1,VALUE("0"),DST_123_ÜRETİM_İHTİYAÇ_RAPORU_BURAK_YENI1309[[#This Row],[SATINALMA]]*DST_123_ÜRETİM_İHTİYAÇ_RAPORU_BURAK_YENI1309[[#This Row],[BIRIM_FIYATLAR]])</f>
        <v>0</v>
      </c>
      <c r="N2522">
        <v>38.33</v>
      </c>
      <c r="O2522" t="s">
        <v>254</v>
      </c>
      <c r="P2522">
        <v>38.33</v>
      </c>
      <c r="Q2522" t="s">
        <v>180</v>
      </c>
    </row>
    <row r="2523" spans="1:17" x14ac:dyDescent="0.25">
      <c r="A2523" t="s">
        <v>1099</v>
      </c>
      <c r="B2523" t="s">
        <v>1055</v>
      </c>
      <c r="C2523" t="s">
        <v>175</v>
      </c>
      <c r="D2523" t="s">
        <v>526</v>
      </c>
      <c r="E2523" t="s">
        <v>527</v>
      </c>
      <c r="F2523">
        <v>1</v>
      </c>
      <c r="G2523" t="s">
        <v>179</v>
      </c>
      <c r="H2523">
        <v>0</v>
      </c>
      <c r="I2523">
        <v>20</v>
      </c>
      <c r="J2523" s="10">
        <v>0</v>
      </c>
      <c r="K2523" s="10">
        <f>SUMIFS(F:F,D:D,DST_123_ÜRETİM_İHTİYAÇ_RAPORU_BURAK_YENI1309[[#This Row],[ALT_KOD]])-(SUMIFS(H:H,D:D,DST_123_ÜRETİM_İHTİYAÇ_RAPORU_BURAK_YENI1309[[#This Row],[ALT_KOD]])+AVERAGEIFS(I:I,D:D,DST_123_ÜRETİM_İHTİYAÇ_RAPORU_BURAK_YENI1309[[#This Row],[ALT_KOD]])+AVERAGEIFS(L:L,D:D,DST_123_ÜRETİM_İHTİYAÇ_RAPORU_BURAK_YENI1309[[#This Row],[ALT_KOD]]))</f>
        <v>-10.4</v>
      </c>
      <c r="L2523">
        <v>0</v>
      </c>
      <c r="M2523">
        <f>IF((DST_123_ÜRETİM_İHTİYAÇ_RAPORU_BURAK_YENI1309[[#This Row],[SATINALMA]]*DST_123_ÜRETİM_İHTİYAÇ_RAPORU_BURAK_YENI1309[[#This Row],[BIRIM_FIYATLAR]])&lt;1,VALUE("0"),DST_123_ÜRETİM_İHTİYAÇ_RAPORU_BURAK_YENI1309[[#This Row],[SATINALMA]]*DST_123_ÜRETİM_İHTİYAÇ_RAPORU_BURAK_YENI1309[[#This Row],[BIRIM_FIYATLAR]])</f>
        <v>0</v>
      </c>
      <c r="N2523">
        <v>38.33</v>
      </c>
      <c r="O2523" t="s">
        <v>254</v>
      </c>
      <c r="P2523">
        <v>38.33</v>
      </c>
      <c r="Q2523" t="s">
        <v>180</v>
      </c>
    </row>
    <row r="2524" spans="1:17" x14ac:dyDescent="0.25">
      <c r="A2524" t="s">
        <v>1064</v>
      </c>
      <c r="B2524" t="s">
        <v>1055</v>
      </c>
      <c r="C2524" t="s">
        <v>175</v>
      </c>
      <c r="D2524" t="s">
        <v>673</v>
      </c>
      <c r="E2524" t="s">
        <v>674</v>
      </c>
      <c r="F2524">
        <v>7</v>
      </c>
      <c r="G2524" t="s">
        <v>176</v>
      </c>
      <c r="H2524">
        <v>0</v>
      </c>
      <c r="I2524">
        <v>150</v>
      </c>
      <c r="J2524" s="10">
        <v>78</v>
      </c>
      <c r="K2524" s="10">
        <f>SUMIFS(F:F,D:D,DST_123_ÜRETİM_İHTİYAÇ_RAPORU_BURAK_YENI1309[[#This Row],[ALT_KOD]])-(SUMIFS(H:H,D:D,DST_123_ÜRETİM_İHTİYAÇ_RAPORU_BURAK_YENI1309[[#This Row],[ALT_KOD]])+AVERAGEIFS(I:I,D:D,DST_123_ÜRETİM_İHTİYAÇ_RAPORU_BURAK_YENI1309[[#This Row],[ALT_KOD]])+AVERAGEIFS(L:L,D:D,DST_123_ÜRETİM_İHTİYAÇ_RAPORU_BURAK_YENI1309[[#This Row],[ALT_KOD]]))</f>
        <v>-48</v>
      </c>
      <c r="L2524">
        <v>0</v>
      </c>
      <c r="M2524">
        <f>IF((DST_123_ÜRETİM_İHTİYAÇ_RAPORU_BURAK_YENI1309[[#This Row],[SATINALMA]]*DST_123_ÜRETİM_İHTİYAÇ_RAPORU_BURAK_YENI1309[[#This Row],[BIRIM_FIYATLAR]])&lt;1,VALUE("0"),DST_123_ÜRETİM_İHTİYAÇ_RAPORU_BURAK_YENI1309[[#This Row],[SATINALMA]]*DST_123_ÜRETİM_İHTİYAÇ_RAPORU_BURAK_YENI1309[[#This Row],[BIRIM_FIYATLAR]])</f>
        <v>0</v>
      </c>
      <c r="N2524">
        <v>20.83</v>
      </c>
      <c r="O2524" t="s">
        <v>226</v>
      </c>
      <c r="P2524">
        <v>145.81</v>
      </c>
      <c r="Q2524" t="s">
        <v>180</v>
      </c>
    </row>
    <row r="2525" spans="1:17" x14ac:dyDescent="0.25">
      <c r="A2525" t="s">
        <v>1099</v>
      </c>
      <c r="B2525" t="s">
        <v>1055</v>
      </c>
      <c r="C2525" t="s">
        <v>175</v>
      </c>
      <c r="D2525" t="s">
        <v>673</v>
      </c>
      <c r="E2525" t="s">
        <v>674</v>
      </c>
      <c r="F2525">
        <v>3</v>
      </c>
      <c r="G2525" t="s">
        <v>176</v>
      </c>
      <c r="H2525">
        <v>0</v>
      </c>
      <c r="I2525">
        <v>150</v>
      </c>
      <c r="J2525" s="10">
        <v>78</v>
      </c>
      <c r="K2525" s="10">
        <f>SUMIFS(F:F,D:D,DST_123_ÜRETİM_İHTİYAÇ_RAPORU_BURAK_YENI1309[[#This Row],[ALT_KOD]])-(SUMIFS(H:H,D:D,DST_123_ÜRETİM_İHTİYAÇ_RAPORU_BURAK_YENI1309[[#This Row],[ALT_KOD]])+AVERAGEIFS(I:I,D:D,DST_123_ÜRETİM_İHTİYAÇ_RAPORU_BURAK_YENI1309[[#This Row],[ALT_KOD]])+AVERAGEIFS(L:L,D:D,DST_123_ÜRETİM_İHTİYAÇ_RAPORU_BURAK_YENI1309[[#This Row],[ALT_KOD]]))</f>
        <v>-48</v>
      </c>
      <c r="L2525">
        <v>0</v>
      </c>
      <c r="M2525">
        <f>IF((DST_123_ÜRETİM_İHTİYAÇ_RAPORU_BURAK_YENI1309[[#This Row],[SATINALMA]]*DST_123_ÜRETİM_İHTİYAÇ_RAPORU_BURAK_YENI1309[[#This Row],[BIRIM_FIYATLAR]])&lt;1,VALUE("0"),DST_123_ÜRETİM_İHTİYAÇ_RAPORU_BURAK_YENI1309[[#This Row],[SATINALMA]]*DST_123_ÜRETİM_İHTİYAÇ_RAPORU_BURAK_YENI1309[[#This Row],[BIRIM_FIYATLAR]])</f>
        <v>0</v>
      </c>
      <c r="N2525">
        <v>20.83</v>
      </c>
      <c r="O2525" t="s">
        <v>226</v>
      </c>
      <c r="P2525">
        <v>62.489999999999995</v>
      </c>
      <c r="Q2525" t="s">
        <v>180</v>
      </c>
    </row>
    <row r="2526" spans="1:17" x14ac:dyDescent="0.25">
      <c r="A2526" t="s">
        <v>1196</v>
      </c>
      <c r="B2526" t="s">
        <v>1197</v>
      </c>
      <c r="C2526" t="s">
        <v>175</v>
      </c>
      <c r="D2526" t="s">
        <v>673</v>
      </c>
      <c r="E2526" t="s">
        <v>674</v>
      </c>
      <c r="F2526">
        <v>6</v>
      </c>
      <c r="G2526" t="s">
        <v>176</v>
      </c>
      <c r="H2526">
        <v>0</v>
      </c>
      <c r="I2526">
        <v>150</v>
      </c>
      <c r="J2526" s="10">
        <v>78</v>
      </c>
      <c r="K2526" s="10">
        <f>SUMIFS(F:F,D:D,DST_123_ÜRETİM_İHTİYAÇ_RAPORU_BURAK_YENI1309[[#This Row],[ALT_KOD]])-(SUMIFS(H:H,D:D,DST_123_ÜRETİM_İHTİYAÇ_RAPORU_BURAK_YENI1309[[#This Row],[ALT_KOD]])+AVERAGEIFS(I:I,D:D,DST_123_ÜRETİM_İHTİYAÇ_RAPORU_BURAK_YENI1309[[#This Row],[ALT_KOD]])+AVERAGEIFS(L:L,D:D,DST_123_ÜRETİM_İHTİYAÇ_RAPORU_BURAK_YENI1309[[#This Row],[ALT_KOD]]))</f>
        <v>-48</v>
      </c>
      <c r="L2526">
        <v>0</v>
      </c>
      <c r="M2526">
        <f>IF((DST_123_ÜRETİM_İHTİYAÇ_RAPORU_BURAK_YENI1309[[#This Row],[SATINALMA]]*DST_123_ÜRETİM_İHTİYAÇ_RAPORU_BURAK_YENI1309[[#This Row],[BIRIM_FIYATLAR]])&lt;1,VALUE("0"),DST_123_ÜRETİM_İHTİYAÇ_RAPORU_BURAK_YENI1309[[#This Row],[SATINALMA]]*DST_123_ÜRETİM_İHTİYAÇ_RAPORU_BURAK_YENI1309[[#This Row],[BIRIM_FIYATLAR]])</f>
        <v>0</v>
      </c>
      <c r="N2526">
        <v>20.83</v>
      </c>
      <c r="O2526" t="s">
        <v>226</v>
      </c>
      <c r="P2526">
        <v>124.97999999999999</v>
      </c>
      <c r="Q2526" t="s">
        <v>180</v>
      </c>
    </row>
    <row r="2527" spans="1:17" x14ac:dyDescent="0.25">
      <c r="A2527" t="s">
        <v>1142</v>
      </c>
      <c r="B2527" t="s">
        <v>1056</v>
      </c>
      <c r="C2527" t="s">
        <v>175</v>
      </c>
      <c r="D2527" t="s">
        <v>524</v>
      </c>
      <c r="E2527" t="s">
        <v>525</v>
      </c>
      <c r="F2527">
        <v>7</v>
      </c>
      <c r="G2527" t="s">
        <v>176</v>
      </c>
      <c r="H2527">
        <v>0</v>
      </c>
      <c r="I2527">
        <v>300</v>
      </c>
      <c r="J2527" s="10">
        <v>325</v>
      </c>
      <c r="K2527" s="10">
        <f>SUMIFS(F:F,D:D,DST_123_ÜRETİM_İHTİYAÇ_RAPORU_BURAK_YENI1309[[#This Row],[ALT_KOD]])-(SUMIFS(H:H,D:D,DST_123_ÜRETİM_İHTİYAÇ_RAPORU_BURAK_YENI1309[[#This Row],[ALT_KOD]])+AVERAGEIFS(I:I,D:D,DST_123_ÜRETİM_İHTİYAÇ_RAPORU_BURAK_YENI1309[[#This Row],[ALT_KOD]])+AVERAGEIFS(L:L,D:D,DST_123_ÜRETİM_İHTİYAÇ_RAPORU_BURAK_YENI1309[[#This Row],[ALT_KOD]]))</f>
        <v>-192</v>
      </c>
      <c r="L2527">
        <v>0</v>
      </c>
      <c r="M2527">
        <f>IF((DST_123_ÜRETİM_İHTİYAÇ_RAPORU_BURAK_YENI1309[[#This Row],[SATINALMA]]*DST_123_ÜRETİM_İHTİYAÇ_RAPORU_BURAK_YENI1309[[#This Row],[BIRIM_FIYATLAR]])&lt;1,VALUE("0"),DST_123_ÜRETİM_İHTİYAÇ_RAPORU_BURAK_YENI1309[[#This Row],[SATINALMA]]*DST_123_ÜRETİM_İHTİYAÇ_RAPORU_BURAK_YENI1309[[#This Row],[BIRIM_FIYATLAR]])</f>
        <v>0</v>
      </c>
      <c r="N2527">
        <v>12</v>
      </c>
      <c r="O2527" t="s">
        <v>226</v>
      </c>
      <c r="P2527">
        <v>84</v>
      </c>
      <c r="Q2527" t="s">
        <v>180</v>
      </c>
    </row>
    <row r="2528" spans="1:17" x14ac:dyDescent="0.25">
      <c r="A2528" t="s">
        <v>1196</v>
      </c>
      <c r="B2528" t="s">
        <v>1197</v>
      </c>
      <c r="C2528" t="s">
        <v>175</v>
      </c>
      <c r="D2528" t="s">
        <v>524</v>
      </c>
      <c r="E2528" t="s">
        <v>525</v>
      </c>
      <c r="F2528">
        <v>7</v>
      </c>
      <c r="G2528" t="s">
        <v>176</v>
      </c>
      <c r="H2528">
        <v>0</v>
      </c>
      <c r="I2528">
        <v>300</v>
      </c>
      <c r="J2528" s="10">
        <v>325</v>
      </c>
      <c r="K2528" s="10">
        <f>SUMIFS(F:F,D:D,DST_123_ÜRETİM_İHTİYAÇ_RAPORU_BURAK_YENI1309[[#This Row],[ALT_KOD]])-(SUMIFS(H:H,D:D,DST_123_ÜRETİM_İHTİYAÇ_RAPORU_BURAK_YENI1309[[#This Row],[ALT_KOD]])+AVERAGEIFS(I:I,D:D,DST_123_ÜRETİM_İHTİYAÇ_RAPORU_BURAK_YENI1309[[#This Row],[ALT_KOD]])+AVERAGEIFS(L:L,D:D,DST_123_ÜRETİM_İHTİYAÇ_RAPORU_BURAK_YENI1309[[#This Row],[ALT_KOD]]))</f>
        <v>-192</v>
      </c>
      <c r="L2528">
        <v>0</v>
      </c>
      <c r="M2528">
        <f>IF((DST_123_ÜRETİM_İHTİYAÇ_RAPORU_BURAK_YENI1309[[#This Row],[SATINALMA]]*DST_123_ÜRETİM_İHTİYAÇ_RAPORU_BURAK_YENI1309[[#This Row],[BIRIM_FIYATLAR]])&lt;1,VALUE("0"),DST_123_ÜRETİM_İHTİYAÇ_RAPORU_BURAK_YENI1309[[#This Row],[SATINALMA]]*DST_123_ÜRETİM_İHTİYAÇ_RAPORU_BURAK_YENI1309[[#This Row],[BIRIM_FIYATLAR]])</f>
        <v>0</v>
      </c>
      <c r="N2528">
        <v>12</v>
      </c>
      <c r="O2528" t="s">
        <v>226</v>
      </c>
      <c r="P2528">
        <v>84</v>
      </c>
      <c r="Q2528" t="s">
        <v>180</v>
      </c>
    </row>
    <row r="2529" spans="1:17" x14ac:dyDescent="0.25">
      <c r="A2529" t="s">
        <v>1099</v>
      </c>
      <c r="B2529" t="s">
        <v>1055</v>
      </c>
      <c r="C2529" t="s">
        <v>175</v>
      </c>
      <c r="D2529" t="s">
        <v>524</v>
      </c>
      <c r="E2529" t="s">
        <v>525</v>
      </c>
      <c r="F2529">
        <v>15</v>
      </c>
      <c r="G2529" t="s">
        <v>176</v>
      </c>
      <c r="H2529">
        <v>0</v>
      </c>
      <c r="I2529">
        <v>300</v>
      </c>
      <c r="J2529" s="10">
        <v>325</v>
      </c>
      <c r="K2529" s="10">
        <f>SUMIFS(F:F,D:D,DST_123_ÜRETİM_İHTİYAÇ_RAPORU_BURAK_YENI1309[[#This Row],[ALT_KOD]])-(SUMIFS(H:H,D:D,DST_123_ÜRETİM_İHTİYAÇ_RAPORU_BURAK_YENI1309[[#This Row],[ALT_KOD]])+AVERAGEIFS(I:I,D:D,DST_123_ÜRETİM_İHTİYAÇ_RAPORU_BURAK_YENI1309[[#This Row],[ALT_KOD]])+AVERAGEIFS(L:L,D:D,DST_123_ÜRETİM_İHTİYAÇ_RAPORU_BURAK_YENI1309[[#This Row],[ALT_KOD]]))</f>
        <v>-192</v>
      </c>
      <c r="L2529">
        <v>0</v>
      </c>
      <c r="M2529">
        <f>IF((DST_123_ÜRETİM_İHTİYAÇ_RAPORU_BURAK_YENI1309[[#This Row],[SATINALMA]]*DST_123_ÜRETİM_İHTİYAÇ_RAPORU_BURAK_YENI1309[[#This Row],[BIRIM_FIYATLAR]])&lt;1,VALUE("0"),DST_123_ÜRETİM_İHTİYAÇ_RAPORU_BURAK_YENI1309[[#This Row],[SATINALMA]]*DST_123_ÜRETİM_İHTİYAÇ_RAPORU_BURAK_YENI1309[[#This Row],[BIRIM_FIYATLAR]])</f>
        <v>0</v>
      </c>
      <c r="N2529">
        <v>12</v>
      </c>
      <c r="O2529" t="s">
        <v>226</v>
      </c>
      <c r="P2529">
        <v>180</v>
      </c>
      <c r="Q2529" t="s">
        <v>180</v>
      </c>
    </row>
    <row r="2530" spans="1:17" x14ac:dyDescent="0.25">
      <c r="A2530" t="s">
        <v>1142</v>
      </c>
      <c r="B2530" t="s">
        <v>1056</v>
      </c>
      <c r="C2530" t="s">
        <v>175</v>
      </c>
      <c r="D2530" t="s">
        <v>520</v>
      </c>
      <c r="E2530" t="s">
        <v>521</v>
      </c>
      <c r="F2530">
        <v>3</v>
      </c>
      <c r="G2530" t="s">
        <v>176</v>
      </c>
      <c r="H2530">
        <v>0</v>
      </c>
      <c r="I2530">
        <v>200</v>
      </c>
      <c r="J2530" s="10">
        <v>70</v>
      </c>
      <c r="K2530" s="10">
        <f>SUMIFS(F:F,D:D,DST_123_ÜRETİM_İHTİYAÇ_RAPORU_BURAK_YENI1309[[#This Row],[ALT_KOD]])-(SUMIFS(H:H,D:D,DST_123_ÜRETİM_İHTİYAÇ_RAPORU_BURAK_YENI1309[[#This Row],[ALT_KOD]])+AVERAGEIFS(I:I,D:D,DST_123_ÜRETİM_İHTİYAÇ_RAPORU_BURAK_YENI1309[[#This Row],[ALT_KOD]])+AVERAGEIFS(L:L,D:D,DST_123_ÜRETİM_İHTİYAÇ_RAPORU_BURAK_YENI1309[[#This Row],[ALT_KOD]]))</f>
        <v>-165</v>
      </c>
      <c r="L2530">
        <v>0</v>
      </c>
      <c r="M2530">
        <f>IF((DST_123_ÜRETİM_İHTİYAÇ_RAPORU_BURAK_YENI1309[[#This Row],[SATINALMA]]*DST_123_ÜRETİM_İHTİYAÇ_RAPORU_BURAK_YENI1309[[#This Row],[BIRIM_FIYATLAR]])&lt;1,VALUE("0"),DST_123_ÜRETİM_İHTİYAÇ_RAPORU_BURAK_YENI1309[[#This Row],[SATINALMA]]*DST_123_ÜRETİM_İHTİYAÇ_RAPORU_BURAK_YENI1309[[#This Row],[BIRIM_FIYATLAR]])</f>
        <v>0</v>
      </c>
      <c r="N2530">
        <v>10</v>
      </c>
      <c r="O2530" t="s">
        <v>226</v>
      </c>
      <c r="P2530">
        <v>30</v>
      </c>
      <c r="Q2530" t="s">
        <v>180</v>
      </c>
    </row>
    <row r="2531" spans="1:17" x14ac:dyDescent="0.25">
      <c r="A2531" t="s">
        <v>1095</v>
      </c>
      <c r="B2531" t="s">
        <v>1096</v>
      </c>
      <c r="C2531" t="s">
        <v>175</v>
      </c>
      <c r="D2531" t="s">
        <v>524</v>
      </c>
      <c r="E2531" t="s">
        <v>525</v>
      </c>
      <c r="F2531">
        <v>7</v>
      </c>
      <c r="G2531" t="s">
        <v>176</v>
      </c>
      <c r="H2531">
        <v>0</v>
      </c>
      <c r="I2531">
        <v>300</v>
      </c>
      <c r="J2531" s="10">
        <v>325</v>
      </c>
      <c r="K2531" s="10">
        <f>SUMIFS(F:F,D:D,DST_123_ÜRETİM_İHTİYAÇ_RAPORU_BURAK_YENI1309[[#This Row],[ALT_KOD]])-(SUMIFS(H:H,D:D,DST_123_ÜRETİM_İHTİYAÇ_RAPORU_BURAK_YENI1309[[#This Row],[ALT_KOD]])+AVERAGEIFS(I:I,D:D,DST_123_ÜRETİM_İHTİYAÇ_RAPORU_BURAK_YENI1309[[#This Row],[ALT_KOD]])+AVERAGEIFS(L:L,D:D,DST_123_ÜRETİM_İHTİYAÇ_RAPORU_BURAK_YENI1309[[#This Row],[ALT_KOD]]))</f>
        <v>-192</v>
      </c>
      <c r="L2531">
        <v>0</v>
      </c>
      <c r="M2531">
        <f>IF((DST_123_ÜRETİM_İHTİYAÇ_RAPORU_BURAK_YENI1309[[#This Row],[SATINALMA]]*DST_123_ÜRETİM_İHTİYAÇ_RAPORU_BURAK_YENI1309[[#This Row],[BIRIM_FIYATLAR]])&lt;1,VALUE("0"),DST_123_ÜRETİM_İHTİYAÇ_RAPORU_BURAK_YENI1309[[#This Row],[SATINALMA]]*DST_123_ÜRETİM_İHTİYAÇ_RAPORU_BURAK_YENI1309[[#This Row],[BIRIM_FIYATLAR]])</f>
        <v>0</v>
      </c>
      <c r="N2531">
        <v>12</v>
      </c>
      <c r="O2531" t="s">
        <v>226</v>
      </c>
      <c r="P2531">
        <v>84</v>
      </c>
      <c r="Q2531" t="s">
        <v>180</v>
      </c>
    </row>
    <row r="2532" spans="1:17" x14ac:dyDescent="0.25">
      <c r="A2532" t="s">
        <v>1059</v>
      </c>
      <c r="B2532" t="s">
        <v>1058</v>
      </c>
      <c r="C2532" t="s">
        <v>175</v>
      </c>
      <c r="D2532" t="s">
        <v>526</v>
      </c>
      <c r="E2532" t="s">
        <v>527</v>
      </c>
      <c r="F2532">
        <v>0.8</v>
      </c>
      <c r="G2532" t="s">
        <v>179</v>
      </c>
      <c r="H2532">
        <v>0</v>
      </c>
      <c r="I2532">
        <v>20</v>
      </c>
      <c r="J2532" s="10">
        <v>0</v>
      </c>
      <c r="K2532" s="10">
        <f>SUMIFS(F:F,D:D,DST_123_ÜRETİM_İHTİYAÇ_RAPORU_BURAK_YENI1309[[#This Row],[ALT_KOD]])-(SUMIFS(H:H,D:D,DST_123_ÜRETİM_İHTİYAÇ_RAPORU_BURAK_YENI1309[[#This Row],[ALT_KOD]])+AVERAGEIFS(I:I,D:D,DST_123_ÜRETİM_İHTİYAÇ_RAPORU_BURAK_YENI1309[[#This Row],[ALT_KOD]])+AVERAGEIFS(L:L,D:D,DST_123_ÜRETİM_İHTİYAÇ_RAPORU_BURAK_YENI1309[[#This Row],[ALT_KOD]]))</f>
        <v>-10.4</v>
      </c>
      <c r="L2532">
        <v>0</v>
      </c>
      <c r="M2532">
        <f>IF((DST_123_ÜRETİM_İHTİYAÇ_RAPORU_BURAK_YENI1309[[#This Row],[SATINALMA]]*DST_123_ÜRETİM_İHTİYAÇ_RAPORU_BURAK_YENI1309[[#This Row],[BIRIM_FIYATLAR]])&lt;1,VALUE("0"),DST_123_ÜRETİM_İHTİYAÇ_RAPORU_BURAK_YENI1309[[#This Row],[SATINALMA]]*DST_123_ÜRETİM_İHTİYAÇ_RAPORU_BURAK_YENI1309[[#This Row],[BIRIM_FIYATLAR]])</f>
        <v>0</v>
      </c>
      <c r="N2532">
        <v>38.33</v>
      </c>
      <c r="O2532" t="s">
        <v>254</v>
      </c>
      <c r="P2532">
        <v>30.664000000000001</v>
      </c>
      <c r="Q2532" t="s">
        <v>180</v>
      </c>
    </row>
    <row r="2533" spans="1:17" x14ac:dyDescent="0.25">
      <c r="A2533" t="s">
        <v>1095</v>
      </c>
      <c r="B2533" t="s">
        <v>1096</v>
      </c>
      <c r="C2533" t="s">
        <v>175</v>
      </c>
      <c r="D2533" t="s">
        <v>526</v>
      </c>
      <c r="E2533" t="s">
        <v>527</v>
      </c>
      <c r="F2533">
        <v>1</v>
      </c>
      <c r="G2533" t="s">
        <v>179</v>
      </c>
      <c r="H2533">
        <v>0</v>
      </c>
      <c r="I2533">
        <v>20</v>
      </c>
      <c r="J2533" s="10">
        <v>0</v>
      </c>
      <c r="K2533" s="10">
        <f>SUMIFS(F:F,D:D,DST_123_ÜRETİM_İHTİYAÇ_RAPORU_BURAK_YENI1309[[#This Row],[ALT_KOD]])-(SUMIFS(H:H,D:D,DST_123_ÜRETİM_İHTİYAÇ_RAPORU_BURAK_YENI1309[[#This Row],[ALT_KOD]])+AVERAGEIFS(I:I,D:D,DST_123_ÜRETİM_İHTİYAÇ_RAPORU_BURAK_YENI1309[[#This Row],[ALT_KOD]])+AVERAGEIFS(L:L,D:D,DST_123_ÜRETİM_İHTİYAÇ_RAPORU_BURAK_YENI1309[[#This Row],[ALT_KOD]]))</f>
        <v>-10.4</v>
      </c>
      <c r="L2533">
        <v>0</v>
      </c>
      <c r="M2533">
        <f>IF((DST_123_ÜRETİM_İHTİYAÇ_RAPORU_BURAK_YENI1309[[#This Row],[SATINALMA]]*DST_123_ÜRETİM_İHTİYAÇ_RAPORU_BURAK_YENI1309[[#This Row],[BIRIM_FIYATLAR]])&lt;1,VALUE("0"),DST_123_ÜRETİM_İHTİYAÇ_RAPORU_BURAK_YENI1309[[#This Row],[SATINALMA]]*DST_123_ÜRETİM_İHTİYAÇ_RAPORU_BURAK_YENI1309[[#This Row],[BIRIM_FIYATLAR]])</f>
        <v>0</v>
      </c>
      <c r="N2533">
        <v>38.33</v>
      </c>
      <c r="O2533" t="s">
        <v>254</v>
      </c>
      <c r="P2533">
        <v>38.33</v>
      </c>
      <c r="Q2533" t="s">
        <v>180</v>
      </c>
    </row>
    <row r="2534" spans="1:17" x14ac:dyDescent="0.25">
      <c r="A2534" t="s">
        <v>1097</v>
      </c>
      <c r="B2534" t="s">
        <v>1055</v>
      </c>
      <c r="C2534" t="s">
        <v>175</v>
      </c>
      <c r="D2534" t="s">
        <v>526</v>
      </c>
      <c r="E2534" t="s">
        <v>527</v>
      </c>
      <c r="F2534">
        <v>1</v>
      </c>
      <c r="G2534" t="s">
        <v>179</v>
      </c>
      <c r="H2534">
        <v>0</v>
      </c>
      <c r="I2534">
        <v>20</v>
      </c>
      <c r="J2534" s="10">
        <v>0</v>
      </c>
      <c r="K2534" s="10">
        <f>SUMIFS(F:F,D:D,DST_123_ÜRETİM_İHTİYAÇ_RAPORU_BURAK_YENI1309[[#This Row],[ALT_KOD]])-(SUMIFS(H:H,D:D,DST_123_ÜRETİM_İHTİYAÇ_RAPORU_BURAK_YENI1309[[#This Row],[ALT_KOD]])+AVERAGEIFS(I:I,D:D,DST_123_ÜRETİM_İHTİYAÇ_RAPORU_BURAK_YENI1309[[#This Row],[ALT_KOD]])+AVERAGEIFS(L:L,D:D,DST_123_ÜRETİM_İHTİYAÇ_RAPORU_BURAK_YENI1309[[#This Row],[ALT_KOD]]))</f>
        <v>-10.4</v>
      </c>
      <c r="L2534">
        <v>0</v>
      </c>
      <c r="M2534">
        <f>IF((DST_123_ÜRETİM_İHTİYAÇ_RAPORU_BURAK_YENI1309[[#This Row],[SATINALMA]]*DST_123_ÜRETİM_İHTİYAÇ_RAPORU_BURAK_YENI1309[[#This Row],[BIRIM_FIYATLAR]])&lt;1,VALUE("0"),DST_123_ÜRETİM_İHTİYAÇ_RAPORU_BURAK_YENI1309[[#This Row],[SATINALMA]]*DST_123_ÜRETİM_İHTİYAÇ_RAPORU_BURAK_YENI1309[[#This Row],[BIRIM_FIYATLAR]])</f>
        <v>0</v>
      </c>
      <c r="N2534">
        <v>38.33</v>
      </c>
      <c r="O2534" t="s">
        <v>254</v>
      </c>
      <c r="P2534">
        <v>38.33</v>
      </c>
      <c r="Q2534" t="s">
        <v>180</v>
      </c>
    </row>
    <row r="2535" spans="1:17" x14ac:dyDescent="0.25">
      <c r="A2535" t="s">
        <v>1095</v>
      </c>
      <c r="B2535" t="s">
        <v>1096</v>
      </c>
      <c r="C2535" t="s">
        <v>175</v>
      </c>
      <c r="D2535" t="s">
        <v>673</v>
      </c>
      <c r="E2535" t="s">
        <v>674</v>
      </c>
      <c r="F2535">
        <v>7</v>
      </c>
      <c r="G2535" t="s">
        <v>176</v>
      </c>
      <c r="H2535">
        <v>0</v>
      </c>
      <c r="I2535">
        <v>150</v>
      </c>
      <c r="J2535" s="10">
        <v>78</v>
      </c>
      <c r="K2535" s="10">
        <f>SUMIFS(F:F,D:D,DST_123_ÜRETİM_İHTİYAÇ_RAPORU_BURAK_YENI1309[[#This Row],[ALT_KOD]])-(SUMIFS(H:H,D:D,DST_123_ÜRETİM_İHTİYAÇ_RAPORU_BURAK_YENI1309[[#This Row],[ALT_KOD]])+AVERAGEIFS(I:I,D:D,DST_123_ÜRETİM_İHTİYAÇ_RAPORU_BURAK_YENI1309[[#This Row],[ALT_KOD]])+AVERAGEIFS(L:L,D:D,DST_123_ÜRETİM_İHTİYAÇ_RAPORU_BURAK_YENI1309[[#This Row],[ALT_KOD]]))</f>
        <v>-48</v>
      </c>
      <c r="L2535">
        <v>0</v>
      </c>
      <c r="M2535">
        <f>IF((DST_123_ÜRETİM_İHTİYAÇ_RAPORU_BURAK_YENI1309[[#This Row],[SATINALMA]]*DST_123_ÜRETİM_İHTİYAÇ_RAPORU_BURAK_YENI1309[[#This Row],[BIRIM_FIYATLAR]])&lt;1,VALUE("0"),DST_123_ÜRETİM_İHTİYAÇ_RAPORU_BURAK_YENI1309[[#This Row],[SATINALMA]]*DST_123_ÜRETİM_İHTİYAÇ_RAPORU_BURAK_YENI1309[[#This Row],[BIRIM_FIYATLAR]])</f>
        <v>0</v>
      </c>
      <c r="N2535">
        <v>20.83</v>
      </c>
      <c r="O2535" t="s">
        <v>226</v>
      </c>
      <c r="P2535">
        <v>145.81</v>
      </c>
      <c r="Q2535" t="s">
        <v>180</v>
      </c>
    </row>
    <row r="2536" spans="1:17" x14ac:dyDescent="0.25">
      <c r="A2536" t="s">
        <v>1097</v>
      </c>
      <c r="B2536" t="s">
        <v>1055</v>
      </c>
      <c r="C2536" t="s">
        <v>175</v>
      </c>
      <c r="D2536" t="s">
        <v>673</v>
      </c>
      <c r="E2536" t="s">
        <v>674</v>
      </c>
      <c r="F2536">
        <v>7</v>
      </c>
      <c r="G2536" t="s">
        <v>176</v>
      </c>
      <c r="H2536">
        <v>0</v>
      </c>
      <c r="I2536">
        <v>150</v>
      </c>
      <c r="J2536" s="10">
        <v>78</v>
      </c>
      <c r="K2536" s="10">
        <f>SUMIFS(F:F,D:D,DST_123_ÜRETİM_İHTİYAÇ_RAPORU_BURAK_YENI1309[[#This Row],[ALT_KOD]])-(SUMIFS(H:H,D:D,DST_123_ÜRETİM_İHTİYAÇ_RAPORU_BURAK_YENI1309[[#This Row],[ALT_KOD]])+AVERAGEIFS(I:I,D:D,DST_123_ÜRETİM_İHTİYAÇ_RAPORU_BURAK_YENI1309[[#This Row],[ALT_KOD]])+AVERAGEIFS(L:L,D:D,DST_123_ÜRETİM_İHTİYAÇ_RAPORU_BURAK_YENI1309[[#This Row],[ALT_KOD]]))</f>
        <v>-48</v>
      </c>
      <c r="L2536">
        <v>0</v>
      </c>
      <c r="M2536">
        <f>IF((DST_123_ÜRETİM_İHTİYAÇ_RAPORU_BURAK_YENI1309[[#This Row],[SATINALMA]]*DST_123_ÜRETİM_İHTİYAÇ_RAPORU_BURAK_YENI1309[[#This Row],[BIRIM_FIYATLAR]])&lt;1,VALUE("0"),DST_123_ÜRETİM_İHTİYAÇ_RAPORU_BURAK_YENI1309[[#This Row],[SATINALMA]]*DST_123_ÜRETİM_İHTİYAÇ_RAPORU_BURAK_YENI1309[[#This Row],[BIRIM_FIYATLAR]])</f>
        <v>0</v>
      </c>
      <c r="N2536">
        <v>20.83</v>
      </c>
      <c r="O2536" t="s">
        <v>226</v>
      </c>
      <c r="P2536">
        <v>145.81</v>
      </c>
      <c r="Q2536" t="s">
        <v>180</v>
      </c>
    </row>
    <row r="2537" spans="1:17" x14ac:dyDescent="0.25">
      <c r="A2537" t="s">
        <v>1059</v>
      </c>
      <c r="B2537" t="s">
        <v>1058</v>
      </c>
      <c r="C2537" t="s">
        <v>175</v>
      </c>
      <c r="D2537" t="s">
        <v>609</v>
      </c>
      <c r="E2537" t="s">
        <v>610</v>
      </c>
      <c r="F2537">
        <v>0.8</v>
      </c>
      <c r="G2537" t="s">
        <v>176</v>
      </c>
      <c r="H2537">
        <v>0</v>
      </c>
      <c r="I2537">
        <v>0</v>
      </c>
      <c r="J2537" s="10">
        <v>11</v>
      </c>
      <c r="K2537" s="10">
        <f>SUMIFS(F:F,D:D,DST_123_ÜRETİM_İHTİYAÇ_RAPORU_BURAK_YENI1309[[#This Row],[ALT_KOD]])-(SUMIFS(H:H,D:D,DST_123_ÜRETİM_İHTİYAÇ_RAPORU_BURAK_YENI1309[[#This Row],[ALT_KOD]])+AVERAGEIFS(I:I,D:D,DST_123_ÜRETİM_İHTİYAÇ_RAPORU_BURAK_YENI1309[[#This Row],[ALT_KOD]])+AVERAGEIFS(L:L,D:D,DST_123_ÜRETİM_İHTİYAÇ_RAPORU_BURAK_YENI1309[[#This Row],[ALT_KOD]]))</f>
        <v>20.000000000000007</v>
      </c>
      <c r="L2537">
        <v>4</v>
      </c>
      <c r="M2537">
        <f>IF((DST_123_ÜRETİM_İHTİYAÇ_RAPORU_BURAK_YENI1309[[#This Row],[SATINALMA]]*DST_123_ÜRETİM_İHTİYAÇ_RAPORU_BURAK_YENI1309[[#This Row],[BIRIM_FIYATLAR]])&lt;1,VALUE("0"),DST_123_ÜRETİM_İHTİYAÇ_RAPORU_BURAK_YENI1309[[#This Row],[SATINALMA]]*DST_123_ÜRETİM_İHTİYAÇ_RAPORU_BURAK_YENI1309[[#This Row],[BIRIM_FIYATLAR]])</f>
        <v>36666.600000000013</v>
      </c>
      <c r="N2537">
        <v>1833.33</v>
      </c>
      <c r="O2537" t="s">
        <v>223</v>
      </c>
      <c r="P2537">
        <v>1466.664</v>
      </c>
      <c r="Q2537" t="s">
        <v>181</v>
      </c>
    </row>
    <row r="2538" spans="1:17" x14ac:dyDescent="0.25">
      <c r="A2538" t="s">
        <v>1143</v>
      </c>
      <c r="B2538" t="s">
        <v>1056</v>
      </c>
      <c r="C2538" t="s">
        <v>175</v>
      </c>
      <c r="D2538" t="s">
        <v>609</v>
      </c>
      <c r="E2538" t="s">
        <v>610</v>
      </c>
      <c r="F2538">
        <v>1.5</v>
      </c>
      <c r="G2538" t="s">
        <v>176</v>
      </c>
      <c r="H2538">
        <v>0</v>
      </c>
      <c r="I2538">
        <v>0</v>
      </c>
      <c r="J2538" s="10">
        <v>11</v>
      </c>
      <c r="K2538" s="10">
        <f>SUMIFS(F:F,D:D,DST_123_ÜRETİM_İHTİYAÇ_RAPORU_BURAK_YENI1309[[#This Row],[ALT_KOD]])-(SUMIFS(H:H,D:D,DST_123_ÜRETİM_İHTİYAÇ_RAPORU_BURAK_YENI1309[[#This Row],[ALT_KOD]])+AVERAGEIFS(I:I,D:D,DST_123_ÜRETİM_İHTİYAÇ_RAPORU_BURAK_YENI1309[[#This Row],[ALT_KOD]])+AVERAGEIFS(L:L,D:D,DST_123_ÜRETİM_İHTİYAÇ_RAPORU_BURAK_YENI1309[[#This Row],[ALT_KOD]]))</f>
        <v>20.000000000000007</v>
      </c>
      <c r="L2538">
        <v>4</v>
      </c>
      <c r="M2538">
        <f>IF((DST_123_ÜRETİM_İHTİYAÇ_RAPORU_BURAK_YENI1309[[#This Row],[SATINALMA]]*DST_123_ÜRETİM_İHTİYAÇ_RAPORU_BURAK_YENI1309[[#This Row],[BIRIM_FIYATLAR]])&lt;1,VALUE("0"),DST_123_ÜRETİM_İHTİYAÇ_RAPORU_BURAK_YENI1309[[#This Row],[SATINALMA]]*DST_123_ÜRETİM_İHTİYAÇ_RAPORU_BURAK_YENI1309[[#This Row],[BIRIM_FIYATLAR]])</f>
        <v>36666.600000000013</v>
      </c>
      <c r="N2538">
        <v>1833.33</v>
      </c>
      <c r="O2538" t="s">
        <v>223</v>
      </c>
      <c r="P2538">
        <v>2749.9949999999999</v>
      </c>
      <c r="Q2538" t="s">
        <v>181</v>
      </c>
    </row>
    <row r="2539" spans="1:17" x14ac:dyDescent="0.25">
      <c r="A2539" t="s">
        <v>1060</v>
      </c>
      <c r="B2539" t="s">
        <v>1061</v>
      </c>
      <c r="C2539" t="s">
        <v>175</v>
      </c>
      <c r="D2539" t="s">
        <v>408</v>
      </c>
      <c r="E2539" t="s">
        <v>409</v>
      </c>
      <c r="F2539">
        <v>14</v>
      </c>
      <c r="G2539" t="s">
        <v>176</v>
      </c>
      <c r="H2539">
        <v>0</v>
      </c>
      <c r="I2539">
        <v>2698</v>
      </c>
      <c r="J2539" s="10">
        <v>0</v>
      </c>
      <c r="K2539" s="10">
        <f>SUMIFS(F:F,D:D,DST_123_ÜRETİM_İHTİYAÇ_RAPORU_BURAK_YENI1309[[#This Row],[ALT_KOD]])-(SUMIFS(H:H,D:D,DST_123_ÜRETİM_İHTİYAÇ_RAPORU_BURAK_YENI1309[[#This Row],[ALT_KOD]])+AVERAGEIFS(I:I,D:D,DST_123_ÜRETİM_İHTİYAÇ_RAPORU_BURAK_YENI1309[[#This Row],[ALT_KOD]])+AVERAGEIFS(L:L,D:D,DST_123_ÜRETİM_İHTİYAÇ_RAPORU_BURAK_YENI1309[[#This Row],[ALT_KOD]]))</f>
        <v>-2312</v>
      </c>
      <c r="L2539">
        <v>0</v>
      </c>
      <c r="M2539">
        <f>IF((DST_123_ÜRETİM_İHTİYAÇ_RAPORU_BURAK_YENI1309[[#This Row],[SATINALMA]]*DST_123_ÜRETİM_İHTİYAÇ_RAPORU_BURAK_YENI1309[[#This Row],[BIRIM_FIYATLAR]])&lt;1,VALUE("0"),DST_123_ÜRETİM_İHTİYAÇ_RAPORU_BURAK_YENI1309[[#This Row],[SATINALMA]]*DST_123_ÜRETİM_İHTİYAÇ_RAPORU_BURAK_YENI1309[[#This Row],[BIRIM_FIYATLAR]])</f>
        <v>0</v>
      </c>
      <c r="N2539">
        <v>1.55</v>
      </c>
      <c r="O2539" t="s">
        <v>220</v>
      </c>
      <c r="P2539">
        <v>21.7</v>
      </c>
      <c r="Q2539" t="s">
        <v>221</v>
      </c>
    </row>
    <row r="2540" spans="1:17" x14ac:dyDescent="0.25">
      <c r="A2540" t="s">
        <v>1142</v>
      </c>
      <c r="B2540" t="s">
        <v>1056</v>
      </c>
      <c r="C2540" t="s">
        <v>175</v>
      </c>
      <c r="D2540" t="s">
        <v>340</v>
      </c>
      <c r="E2540" t="s">
        <v>341</v>
      </c>
      <c r="F2540">
        <v>2</v>
      </c>
      <c r="G2540" t="s">
        <v>176</v>
      </c>
      <c r="H2540">
        <v>0</v>
      </c>
      <c r="I2540">
        <v>75</v>
      </c>
      <c r="J2540" s="10">
        <v>42.70000000000006</v>
      </c>
      <c r="K2540" s="10">
        <f>SUMIFS(F:F,D:D,DST_123_ÜRETİM_İHTİYAÇ_RAPORU_BURAK_YENI1309[[#This Row],[ALT_KOD]])-(SUMIFS(H:H,D:D,DST_123_ÜRETİM_İHTİYAÇ_RAPORU_BURAK_YENI1309[[#This Row],[ALT_KOD]])+AVERAGEIFS(I:I,D:D,DST_123_ÜRETİM_İHTİYAÇ_RAPORU_BURAK_YENI1309[[#This Row],[ALT_KOD]])+AVERAGEIFS(L:L,D:D,DST_123_ÜRETİM_İHTİYAÇ_RAPORU_BURAK_YENI1309[[#This Row],[ALT_KOD]]))</f>
        <v>-48.040000000000006</v>
      </c>
      <c r="L2540">
        <v>0</v>
      </c>
      <c r="M2540">
        <f>IF((DST_123_ÜRETİM_İHTİYAÇ_RAPORU_BURAK_YENI1309[[#This Row],[SATINALMA]]*DST_123_ÜRETİM_İHTİYAÇ_RAPORU_BURAK_YENI1309[[#This Row],[BIRIM_FIYATLAR]])&lt;1,VALUE("0"),DST_123_ÜRETİM_İHTİYAÇ_RAPORU_BURAK_YENI1309[[#This Row],[SATINALMA]]*DST_123_ÜRETİM_İHTİYAÇ_RAPORU_BURAK_YENI1309[[#This Row],[BIRIM_FIYATLAR]])</f>
        <v>0</v>
      </c>
      <c r="N2540">
        <v>15</v>
      </c>
      <c r="O2540" t="s">
        <v>240</v>
      </c>
      <c r="P2540">
        <v>30</v>
      </c>
      <c r="Q2540" t="s">
        <v>180</v>
      </c>
    </row>
    <row r="2541" spans="1:17" x14ac:dyDescent="0.25">
      <c r="A2541" t="s">
        <v>1142</v>
      </c>
      <c r="B2541" t="s">
        <v>1056</v>
      </c>
      <c r="C2541" t="s">
        <v>175</v>
      </c>
      <c r="D2541" t="s">
        <v>106</v>
      </c>
      <c r="E2541" t="s">
        <v>107</v>
      </c>
      <c r="F2541">
        <v>1</v>
      </c>
      <c r="G2541" t="s">
        <v>176</v>
      </c>
      <c r="H2541">
        <v>0</v>
      </c>
      <c r="I2541">
        <v>7</v>
      </c>
      <c r="J2541" s="10">
        <v>10</v>
      </c>
      <c r="K2541" s="10">
        <f>SUMIFS(F:F,D:D,DST_123_ÜRETİM_İHTİYAÇ_RAPORU_BURAK_YENI1309[[#This Row],[ALT_KOD]])-(SUMIFS(H:H,D:D,DST_123_ÜRETİM_İHTİYAÇ_RAPORU_BURAK_YENI1309[[#This Row],[ALT_KOD]])+AVERAGEIFS(I:I,D:D,DST_123_ÜRETİM_İHTİYAÇ_RAPORU_BURAK_YENI1309[[#This Row],[ALT_KOD]])+AVERAGEIFS(L:L,D:D,DST_123_ÜRETİM_İHTİYAÇ_RAPORU_BURAK_YENI1309[[#This Row],[ALT_KOD]]))</f>
        <v>-1</v>
      </c>
      <c r="L2541">
        <v>5</v>
      </c>
      <c r="M2541">
        <f>IF((DST_123_ÜRETİM_İHTİYAÇ_RAPORU_BURAK_YENI1309[[#This Row],[SATINALMA]]*DST_123_ÜRETİM_İHTİYAÇ_RAPORU_BURAK_YENI1309[[#This Row],[BIRIM_FIYATLAR]])&lt;1,VALUE("0"),DST_123_ÜRETİM_İHTİYAÇ_RAPORU_BURAK_YENI1309[[#This Row],[SATINALMA]]*DST_123_ÜRETİM_İHTİYAÇ_RAPORU_BURAK_YENI1309[[#This Row],[BIRIM_FIYATLAR]])</f>
        <v>0</v>
      </c>
      <c r="N2541">
        <v>1200</v>
      </c>
      <c r="O2541" t="s">
        <v>217</v>
      </c>
      <c r="P2541">
        <v>1200</v>
      </c>
      <c r="Q2541" t="s">
        <v>178</v>
      </c>
    </row>
    <row r="2542" spans="1:17" x14ac:dyDescent="0.25">
      <c r="A2542" t="s">
        <v>1147</v>
      </c>
      <c r="B2542" t="s">
        <v>1145</v>
      </c>
      <c r="C2542" t="s">
        <v>175</v>
      </c>
      <c r="D2542" t="s">
        <v>408</v>
      </c>
      <c r="E2542" t="s">
        <v>409</v>
      </c>
      <c r="F2542">
        <v>14</v>
      </c>
      <c r="G2542" t="s">
        <v>176</v>
      </c>
      <c r="H2542">
        <v>0</v>
      </c>
      <c r="I2542">
        <v>2698</v>
      </c>
      <c r="J2542" s="10">
        <v>0</v>
      </c>
      <c r="K2542" s="10">
        <f>SUMIFS(F:F,D:D,DST_123_ÜRETİM_İHTİYAÇ_RAPORU_BURAK_YENI1309[[#This Row],[ALT_KOD]])-(SUMIFS(H:H,D:D,DST_123_ÜRETİM_İHTİYAÇ_RAPORU_BURAK_YENI1309[[#This Row],[ALT_KOD]])+AVERAGEIFS(I:I,D:D,DST_123_ÜRETİM_İHTİYAÇ_RAPORU_BURAK_YENI1309[[#This Row],[ALT_KOD]])+AVERAGEIFS(L:L,D:D,DST_123_ÜRETİM_İHTİYAÇ_RAPORU_BURAK_YENI1309[[#This Row],[ALT_KOD]]))</f>
        <v>-2312</v>
      </c>
      <c r="L2542">
        <v>0</v>
      </c>
      <c r="M2542">
        <f>IF((DST_123_ÜRETİM_İHTİYAÇ_RAPORU_BURAK_YENI1309[[#This Row],[SATINALMA]]*DST_123_ÜRETİM_İHTİYAÇ_RAPORU_BURAK_YENI1309[[#This Row],[BIRIM_FIYATLAR]])&lt;1,VALUE("0"),DST_123_ÜRETİM_İHTİYAÇ_RAPORU_BURAK_YENI1309[[#This Row],[SATINALMA]]*DST_123_ÜRETİM_İHTİYAÇ_RAPORU_BURAK_YENI1309[[#This Row],[BIRIM_FIYATLAR]])</f>
        <v>0</v>
      </c>
      <c r="N2542">
        <v>1.55</v>
      </c>
      <c r="O2542" t="s">
        <v>220</v>
      </c>
      <c r="P2542">
        <v>21.7</v>
      </c>
      <c r="Q2542" t="s">
        <v>221</v>
      </c>
    </row>
    <row r="2543" spans="1:17" x14ac:dyDescent="0.25">
      <c r="A2543" t="s">
        <v>1097</v>
      </c>
      <c r="B2543" t="s">
        <v>1055</v>
      </c>
      <c r="C2543" t="s">
        <v>175</v>
      </c>
      <c r="D2543" t="s">
        <v>408</v>
      </c>
      <c r="E2543" t="s">
        <v>409</v>
      </c>
      <c r="F2543">
        <v>24</v>
      </c>
      <c r="G2543" t="s">
        <v>176</v>
      </c>
      <c r="H2543">
        <v>0</v>
      </c>
      <c r="I2543">
        <v>2698</v>
      </c>
      <c r="J2543" s="10">
        <v>0</v>
      </c>
      <c r="K2543" s="10">
        <f>SUMIFS(F:F,D:D,DST_123_ÜRETİM_İHTİYAÇ_RAPORU_BURAK_YENI1309[[#This Row],[ALT_KOD]])-(SUMIFS(H:H,D:D,DST_123_ÜRETİM_İHTİYAÇ_RAPORU_BURAK_YENI1309[[#This Row],[ALT_KOD]])+AVERAGEIFS(I:I,D:D,DST_123_ÜRETİM_İHTİYAÇ_RAPORU_BURAK_YENI1309[[#This Row],[ALT_KOD]])+AVERAGEIFS(L:L,D:D,DST_123_ÜRETİM_İHTİYAÇ_RAPORU_BURAK_YENI1309[[#This Row],[ALT_KOD]]))</f>
        <v>-2312</v>
      </c>
      <c r="L2543">
        <v>0</v>
      </c>
      <c r="M2543">
        <f>IF((DST_123_ÜRETİM_İHTİYAÇ_RAPORU_BURAK_YENI1309[[#This Row],[SATINALMA]]*DST_123_ÜRETİM_İHTİYAÇ_RAPORU_BURAK_YENI1309[[#This Row],[BIRIM_FIYATLAR]])&lt;1,VALUE("0"),DST_123_ÜRETİM_İHTİYAÇ_RAPORU_BURAK_YENI1309[[#This Row],[SATINALMA]]*DST_123_ÜRETİM_İHTİYAÇ_RAPORU_BURAK_YENI1309[[#This Row],[BIRIM_FIYATLAR]])</f>
        <v>0</v>
      </c>
      <c r="N2543">
        <v>1.55</v>
      </c>
      <c r="O2543" t="s">
        <v>220</v>
      </c>
      <c r="P2543">
        <v>37.200000000000003</v>
      </c>
      <c r="Q2543" t="s">
        <v>221</v>
      </c>
    </row>
    <row r="2544" spans="1:17" x14ac:dyDescent="0.25">
      <c r="A2544" t="s">
        <v>1059</v>
      </c>
      <c r="B2544" t="s">
        <v>1058</v>
      </c>
      <c r="C2544" t="s">
        <v>175</v>
      </c>
      <c r="D2544" t="s">
        <v>408</v>
      </c>
      <c r="E2544" t="s">
        <v>409</v>
      </c>
      <c r="F2544">
        <v>24</v>
      </c>
      <c r="G2544" t="s">
        <v>176</v>
      </c>
      <c r="H2544">
        <v>0</v>
      </c>
      <c r="I2544">
        <v>2698</v>
      </c>
      <c r="J2544" s="10">
        <v>0</v>
      </c>
      <c r="K2544" s="10">
        <f>SUMIFS(F:F,D:D,DST_123_ÜRETİM_İHTİYAÇ_RAPORU_BURAK_YENI1309[[#This Row],[ALT_KOD]])-(SUMIFS(H:H,D:D,DST_123_ÜRETİM_İHTİYAÇ_RAPORU_BURAK_YENI1309[[#This Row],[ALT_KOD]])+AVERAGEIFS(I:I,D:D,DST_123_ÜRETİM_İHTİYAÇ_RAPORU_BURAK_YENI1309[[#This Row],[ALT_KOD]])+AVERAGEIFS(L:L,D:D,DST_123_ÜRETİM_İHTİYAÇ_RAPORU_BURAK_YENI1309[[#This Row],[ALT_KOD]]))</f>
        <v>-2312</v>
      </c>
      <c r="L2544">
        <v>0</v>
      </c>
      <c r="M2544">
        <f>IF((DST_123_ÜRETİM_İHTİYAÇ_RAPORU_BURAK_YENI1309[[#This Row],[SATINALMA]]*DST_123_ÜRETİM_İHTİYAÇ_RAPORU_BURAK_YENI1309[[#This Row],[BIRIM_FIYATLAR]])&lt;1,VALUE("0"),DST_123_ÜRETİM_İHTİYAÇ_RAPORU_BURAK_YENI1309[[#This Row],[SATINALMA]]*DST_123_ÜRETİM_İHTİYAÇ_RAPORU_BURAK_YENI1309[[#This Row],[BIRIM_FIYATLAR]])</f>
        <v>0</v>
      </c>
      <c r="N2544">
        <v>1.55</v>
      </c>
      <c r="O2544" t="s">
        <v>220</v>
      </c>
      <c r="P2544">
        <v>37.200000000000003</v>
      </c>
      <c r="Q2544" t="s">
        <v>221</v>
      </c>
    </row>
    <row r="2545" spans="1:17" x14ac:dyDescent="0.25">
      <c r="A2545" t="s">
        <v>1095</v>
      </c>
      <c r="B2545" t="s">
        <v>1096</v>
      </c>
      <c r="C2545" t="s">
        <v>175</v>
      </c>
      <c r="D2545" t="s">
        <v>408</v>
      </c>
      <c r="E2545" t="s">
        <v>409</v>
      </c>
      <c r="F2545">
        <v>26</v>
      </c>
      <c r="G2545" t="s">
        <v>176</v>
      </c>
      <c r="H2545">
        <v>0</v>
      </c>
      <c r="I2545">
        <v>2698</v>
      </c>
      <c r="J2545" s="10">
        <v>0</v>
      </c>
      <c r="K2545" s="10">
        <f>SUMIFS(F:F,D:D,DST_123_ÜRETİM_İHTİYAÇ_RAPORU_BURAK_YENI1309[[#This Row],[ALT_KOD]])-(SUMIFS(H:H,D:D,DST_123_ÜRETİM_İHTİYAÇ_RAPORU_BURAK_YENI1309[[#This Row],[ALT_KOD]])+AVERAGEIFS(I:I,D:D,DST_123_ÜRETİM_İHTİYAÇ_RAPORU_BURAK_YENI1309[[#This Row],[ALT_KOD]])+AVERAGEIFS(L:L,D:D,DST_123_ÜRETİM_İHTİYAÇ_RAPORU_BURAK_YENI1309[[#This Row],[ALT_KOD]]))</f>
        <v>-2312</v>
      </c>
      <c r="L2545">
        <v>0</v>
      </c>
      <c r="M2545">
        <f>IF((DST_123_ÜRETİM_İHTİYAÇ_RAPORU_BURAK_YENI1309[[#This Row],[SATINALMA]]*DST_123_ÜRETİM_İHTİYAÇ_RAPORU_BURAK_YENI1309[[#This Row],[BIRIM_FIYATLAR]])&lt;1,VALUE("0"),DST_123_ÜRETİM_İHTİYAÇ_RAPORU_BURAK_YENI1309[[#This Row],[SATINALMA]]*DST_123_ÜRETİM_İHTİYAÇ_RAPORU_BURAK_YENI1309[[#This Row],[BIRIM_FIYATLAR]])</f>
        <v>0</v>
      </c>
      <c r="N2545">
        <v>1.55</v>
      </c>
      <c r="O2545" t="s">
        <v>220</v>
      </c>
      <c r="P2545">
        <v>40.300000000000004</v>
      </c>
      <c r="Q2545" t="s">
        <v>221</v>
      </c>
    </row>
    <row r="2546" spans="1:17" x14ac:dyDescent="0.25">
      <c r="A2546" t="s">
        <v>1095</v>
      </c>
      <c r="B2546" t="s">
        <v>1096</v>
      </c>
      <c r="C2546" t="s">
        <v>175</v>
      </c>
      <c r="D2546" t="s">
        <v>965</v>
      </c>
      <c r="E2546" t="s">
        <v>966</v>
      </c>
      <c r="F2546">
        <v>1</v>
      </c>
      <c r="G2546" t="s">
        <v>176</v>
      </c>
      <c r="H2546">
        <v>0</v>
      </c>
      <c r="I2546">
        <v>1</v>
      </c>
      <c r="J2546" s="10">
        <v>6</v>
      </c>
      <c r="K2546" s="10">
        <f>SUMIFS(F:F,D:D,DST_123_ÜRETİM_İHTİYAÇ_RAPORU_BURAK_YENI1309[[#This Row],[ALT_KOD]])-(SUMIFS(H:H,D:D,DST_123_ÜRETİM_İHTİYAÇ_RAPORU_BURAK_YENI1309[[#This Row],[ALT_KOD]])+AVERAGEIFS(I:I,D:D,DST_123_ÜRETİM_İHTİYAÇ_RAPORU_BURAK_YENI1309[[#This Row],[ALT_KOD]])+AVERAGEIFS(L:L,D:D,DST_123_ÜRETİM_İHTİYAÇ_RAPORU_BURAK_YENI1309[[#This Row],[ALT_KOD]]))</f>
        <v>2</v>
      </c>
      <c r="L2546">
        <v>0</v>
      </c>
      <c r="M2546">
        <f>IF((DST_123_ÜRETİM_İHTİYAÇ_RAPORU_BURAK_YENI1309[[#This Row],[SATINALMA]]*DST_123_ÜRETİM_İHTİYAÇ_RAPORU_BURAK_YENI1309[[#This Row],[BIRIM_FIYATLAR]])&lt;1,VALUE("0"),DST_123_ÜRETİM_İHTİYAÇ_RAPORU_BURAK_YENI1309[[#This Row],[SATINALMA]]*DST_123_ÜRETİM_İHTİYAÇ_RAPORU_BURAK_YENI1309[[#This Row],[BIRIM_FIYATLAR]])</f>
        <v>16849.34</v>
      </c>
      <c r="N2546">
        <v>8424.67</v>
      </c>
      <c r="O2546" t="s">
        <v>634</v>
      </c>
      <c r="P2546">
        <v>8424.67</v>
      </c>
      <c r="Q2546" t="s">
        <v>177</v>
      </c>
    </row>
    <row r="2547" spans="1:17" x14ac:dyDescent="0.25">
      <c r="A2547" t="s">
        <v>1095</v>
      </c>
      <c r="B2547" t="s">
        <v>1096</v>
      </c>
      <c r="C2547" t="s">
        <v>175</v>
      </c>
      <c r="D2547" t="s">
        <v>106</v>
      </c>
      <c r="E2547" t="s">
        <v>107</v>
      </c>
      <c r="F2547">
        <v>1</v>
      </c>
      <c r="G2547" t="s">
        <v>176</v>
      </c>
      <c r="H2547">
        <v>0</v>
      </c>
      <c r="I2547">
        <v>7</v>
      </c>
      <c r="J2547" s="10">
        <v>10</v>
      </c>
      <c r="K2547" s="10">
        <f>SUMIFS(F:F,D:D,DST_123_ÜRETİM_İHTİYAÇ_RAPORU_BURAK_YENI1309[[#This Row],[ALT_KOD]])-(SUMIFS(H:H,D:D,DST_123_ÜRETİM_İHTİYAÇ_RAPORU_BURAK_YENI1309[[#This Row],[ALT_KOD]])+AVERAGEIFS(I:I,D:D,DST_123_ÜRETİM_İHTİYAÇ_RAPORU_BURAK_YENI1309[[#This Row],[ALT_KOD]])+AVERAGEIFS(L:L,D:D,DST_123_ÜRETİM_İHTİYAÇ_RAPORU_BURAK_YENI1309[[#This Row],[ALT_KOD]]))</f>
        <v>-1</v>
      </c>
      <c r="L2547">
        <v>5</v>
      </c>
      <c r="M2547">
        <f>IF((DST_123_ÜRETİM_İHTİYAÇ_RAPORU_BURAK_YENI1309[[#This Row],[SATINALMA]]*DST_123_ÜRETİM_İHTİYAÇ_RAPORU_BURAK_YENI1309[[#This Row],[BIRIM_FIYATLAR]])&lt;1,VALUE("0"),DST_123_ÜRETİM_İHTİYAÇ_RAPORU_BURAK_YENI1309[[#This Row],[SATINALMA]]*DST_123_ÜRETİM_İHTİYAÇ_RAPORU_BURAK_YENI1309[[#This Row],[BIRIM_FIYATLAR]])</f>
        <v>0</v>
      </c>
      <c r="N2547">
        <v>1200</v>
      </c>
      <c r="O2547" t="s">
        <v>217</v>
      </c>
      <c r="P2547">
        <v>1200</v>
      </c>
      <c r="Q2547" t="s">
        <v>178</v>
      </c>
    </row>
    <row r="2548" spans="1:17" x14ac:dyDescent="0.25">
      <c r="A2548" t="s">
        <v>1148</v>
      </c>
      <c r="B2548" t="s">
        <v>1056</v>
      </c>
      <c r="C2548" t="s">
        <v>175</v>
      </c>
      <c r="D2548" t="s">
        <v>340</v>
      </c>
      <c r="E2548" t="s">
        <v>341</v>
      </c>
      <c r="F2548">
        <v>2.04</v>
      </c>
      <c r="G2548" t="s">
        <v>176</v>
      </c>
      <c r="H2548">
        <v>0</v>
      </c>
      <c r="I2548">
        <v>75</v>
      </c>
      <c r="J2548" s="10">
        <v>42.70000000000006</v>
      </c>
      <c r="K2548" s="10">
        <f>SUMIFS(F:F,D:D,DST_123_ÜRETİM_İHTİYAÇ_RAPORU_BURAK_YENI1309[[#This Row],[ALT_KOD]])-(SUMIFS(H:H,D:D,DST_123_ÜRETİM_İHTİYAÇ_RAPORU_BURAK_YENI1309[[#This Row],[ALT_KOD]])+AVERAGEIFS(I:I,D:D,DST_123_ÜRETİM_İHTİYAÇ_RAPORU_BURAK_YENI1309[[#This Row],[ALT_KOD]])+AVERAGEIFS(L:L,D:D,DST_123_ÜRETİM_İHTİYAÇ_RAPORU_BURAK_YENI1309[[#This Row],[ALT_KOD]]))</f>
        <v>-48.040000000000006</v>
      </c>
      <c r="L2548">
        <v>0</v>
      </c>
      <c r="M2548">
        <f>IF((DST_123_ÜRETİM_İHTİYAÇ_RAPORU_BURAK_YENI1309[[#This Row],[SATINALMA]]*DST_123_ÜRETİM_İHTİYAÇ_RAPORU_BURAK_YENI1309[[#This Row],[BIRIM_FIYATLAR]])&lt;1,VALUE("0"),DST_123_ÜRETİM_İHTİYAÇ_RAPORU_BURAK_YENI1309[[#This Row],[SATINALMA]]*DST_123_ÜRETİM_İHTİYAÇ_RAPORU_BURAK_YENI1309[[#This Row],[BIRIM_FIYATLAR]])</f>
        <v>0</v>
      </c>
      <c r="N2548">
        <v>15</v>
      </c>
      <c r="O2548" t="s">
        <v>240</v>
      </c>
      <c r="P2548">
        <v>30.6</v>
      </c>
      <c r="Q2548" t="s">
        <v>180</v>
      </c>
    </row>
    <row r="2549" spans="1:17" x14ac:dyDescent="0.25">
      <c r="A2549" t="s">
        <v>1057</v>
      </c>
      <c r="B2549" t="s">
        <v>1058</v>
      </c>
      <c r="C2549" t="s">
        <v>175</v>
      </c>
      <c r="D2549" t="s">
        <v>408</v>
      </c>
      <c r="E2549" t="s">
        <v>409</v>
      </c>
      <c r="F2549">
        <v>24</v>
      </c>
      <c r="G2549" t="s">
        <v>176</v>
      </c>
      <c r="H2549">
        <v>0</v>
      </c>
      <c r="I2549">
        <v>2698</v>
      </c>
      <c r="J2549" s="10">
        <v>0</v>
      </c>
      <c r="K2549" s="10">
        <f>SUMIFS(F:F,D:D,DST_123_ÜRETİM_İHTİYAÇ_RAPORU_BURAK_YENI1309[[#This Row],[ALT_KOD]])-(SUMIFS(H:H,D:D,DST_123_ÜRETİM_İHTİYAÇ_RAPORU_BURAK_YENI1309[[#This Row],[ALT_KOD]])+AVERAGEIFS(I:I,D:D,DST_123_ÜRETİM_İHTİYAÇ_RAPORU_BURAK_YENI1309[[#This Row],[ALT_KOD]])+AVERAGEIFS(L:L,D:D,DST_123_ÜRETİM_İHTİYAÇ_RAPORU_BURAK_YENI1309[[#This Row],[ALT_KOD]]))</f>
        <v>-2312</v>
      </c>
      <c r="L2549">
        <v>0</v>
      </c>
      <c r="M2549">
        <f>IF((DST_123_ÜRETİM_İHTİYAÇ_RAPORU_BURAK_YENI1309[[#This Row],[SATINALMA]]*DST_123_ÜRETİM_İHTİYAÇ_RAPORU_BURAK_YENI1309[[#This Row],[BIRIM_FIYATLAR]])&lt;1,VALUE("0"),DST_123_ÜRETİM_İHTİYAÇ_RAPORU_BURAK_YENI1309[[#This Row],[SATINALMA]]*DST_123_ÜRETİM_İHTİYAÇ_RAPORU_BURAK_YENI1309[[#This Row],[BIRIM_FIYATLAR]])</f>
        <v>0</v>
      </c>
      <c r="N2549">
        <v>1.55</v>
      </c>
      <c r="O2549" t="s">
        <v>220</v>
      </c>
      <c r="P2549">
        <v>37.200000000000003</v>
      </c>
      <c r="Q2549" t="s">
        <v>221</v>
      </c>
    </row>
    <row r="2550" spans="1:17" x14ac:dyDescent="0.25">
      <c r="A2550" t="s">
        <v>1100</v>
      </c>
      <c r="B2550" t="s">
        <v>1058</v>
      </c>
      <c r="C2550" t="s">
        <v>175</v>
      </c>
      <c r="D2550" t="s">
        <v>408</v>
      </c>
      <c r="E2550" t="s">
        <v>409</v>
      </c>
      <c r="F2550">
        <v>24</v>
      </c>
      <c r="G2550" t="s">
        <v>176</v>
      </c>
      <c r="H2550">
        <v>0</v>
      </c>
      <c r="I2550">
        <v>2698</v>
      </c>
      <c r="J2550" s="10">
        <v>0</v>
      </c>
      <c r="K2550" s="10">
        <f>SUMIFS(F:F,D:D,DST_123_ÜRETİM_İHTİYAÇ_RAPORU_BURAK_YENI1309[[#This Row],[ALT_KOD]])-(SUMIFS(H:H,D:D,DST_123_ÜRETİM_İHTİYAÇ_RAPORU_BURAK_YENI1309[[#This Row],[ALT_KOD]])+AVERAGEIFS(I:I,D:D,DST_123_ÜRETİM_İHTİYAÇ_RAPORU_BURAK_YENI1309[[#This Row],[ALT_KOD]])+AVERAGEIFS(L:L,D:D,DST_123_ÜRETİM_İHTİYAÇ_RAPORU_BURAK_YENI1309[[#This Row],[ALT_KOD]]))</f>
        <v>-2312</v>
      </c>
      <c r="L2550">
        <v>0</v>
      </c>
      <c r="M2550">
        <f>IF((DST_123_ÜRETİM_İHTİYAÇ_RAPORU_BURAK_YENI1309[[#This Row],[SATINALMA]]*DST_123_ÜRETİM_İHTİYAÇ_RAPORU_BURAK_YENI1309[[#This Row],[BIRIM_FIYATLAR]])&lt;1,VALUE("0"),DST_123_ÜRETİM_İHTİYAÇ_RAPORU_BURAK_YENI1309[[#This Row],[SATINALMA]]*DST_123_ÜRETİM_İHTİYAÇ_RAPORU_BURAK_YENI1309[[#This Row],[BIRIM_FIYATLAR]])</f>
        <v>0</v>
      </c>
      <c r="N2550">
        <v>1.55</v>
      </c>
      <c r="O2550" t="s">
        <v>220</v>
      </c>
      <c r="P2550">
        <v>37.200000000000003</v>
      </c>
      <c r="Q2550" t="s">
        <v>221</v>
      </c>
    </row>
    <row r="2551" spans="1:17" x14ac:dyDescent="0.25">
      <c r="A2551" t="s">
        <v>1148</v>
      </c>
      <c r="B2551" t="s">
        <v>1056</v>
      </c>
      <c r="C2551" t="s">
        <v>175</v>
      </c>
      <c r="D2551" t="s">
        <v>408</v>
      </c>
      <c r="E2551" t="s">
        <v>409</v>
      </c>
      <c r="F2551">
        <v>26</v>
      </c>
      <c r="G2551" t="s">
        <v>176</v>
      </c>
      <c r="H2551">
        <v>0</v>
      </c>
      <c r="I2551">
        <v>2698</v>
      </c>
      <c r="J2551" s="10">
        <v>0</v>
      </c>
      <c r="K2551" s="10">
        <f>SUMIFS(F:F,D:D,DST_123_ÜRETİM_İHTİYAÇ_RAPORU_BURAK_YENI1309[[#This Row],[ALT_KOD]])-(SUMIFS(H:H,D:D,DST_123_ÜRETİM_İHTİYAÇ_RAPORU_BURAK_YENI1309[[#This Row],[ALT_KOD]])+AVERAGEIFS(I:I,D:D,DST_123_ÜRETİM_İHTİYAÇ_RAPORU_BURAK_YENI1309[[#This Row],[ALT_KOD]])+AVERAGEIFS(L:L,D:D,DST_123_ÜRETİM_İHTİYAÇ_RAPORU_BURAK_YENI1309[[#This Row],[ALT_KOD]]))</f>
        <v>-2312</v>
      </c>
      <c r="L2551">
        <v>0</v>
      </c>
      <c r="M2551">
        <f>IF((DST_123_ÜRETİM_İHTİYAÇ_RAPORU_BURAK_YENI1309[[#This Row],[SATINALMA]]*DST_123_ÜRETİM_İHTİYAÇ_RAPORU_BURAK_YENI1309[[#This Row],[BIRIM_FIYATLAR]])&lt;1,VALUE("0"),DST_123_ÜRETİM_İHTİYAÇ_RAPORU_BURAK_YENI1309[[#This Row],[SATINALMA]]*DST_123_ÜRETİM_İHTİYAÇ_RAPORU_BURAK_YENI1309[[#This Row],[BIRIM_FIYATLAR]])</f>
        <v>0</v>
      </c>
      <c r="N2551">
        <v>1.55</v>
      </c>
      <c r="O2551" t="s">
        <v>220</v>
      </c>
      <c r="P2551">
        <v>40.300000000000004</v>
      </c>
      <c r="Q2551" t="s">
        <v>221</v>
      </c>
    </row>
    <row r="2552" spans="1:17" x14ac:dyDescent="0.25">
      <c r="A2552" t="s">
        <v>1143</v>
      </c>
      <c r="B2552" t="s">
        <v>1056</v>
      </c>
      <c r="C2552" t="s">
        <v>175</v>
      </c>
      <c r="D2552" t="s">
        <v>340</v>
      </c>
      <c r="E2552" t="s">
        <v>341</v>
      </c>
      <c r="F2552">
        <v>2.19</v>
      </c>
      <c r="G2552" t="s">
        <v>176</v>
      </c>
      <c r="H2552">
        <v>0</v>
      </c>
      <c r="I2552">
        <v>75</v>
      </c>
      <c r="J2552" s="10">
        <v>42.70000000000006</v>
      </c>
      <c r="K2552" s="10">
        <f>SUMIFS(F:F,D:D,DST_123_ÜRETİM_İHTİYAÇ_RAPORU_BURAK_YENI1309[[#This Row],[ALT_KOD]])-(SUMIFS(H:H,D:D,DST_123_ÜRETİM_İHTİYAÇ_RAPORU_BURAK_YENI1309[[#This Row],[ALT_KOD]])+AVERAGEIFS(I:I,D:D,DST_123_ÜRETİM_İHTİYAÇ_RAPORU_BURAK_YENI1309[[#This Row],[ALT_KOD]])+AVERAGEIFS(L:L,D:D,DST_123_ÜRETİM_İHTİYAÇ_RAPORU_BURAK_YENI1309[[#This Row],[ALT_KOD]]))</f>
        <v>-48.040000000000006</v>
      </c>
      <c r="L2552">
        <v>0</v>
      </c>
      <c r="M2552">
        <f>IF((DST_123_ÜRETİM_İHTİYAÇ_RAPORU_BURAK_YENI1309[[#This Row],[SATINALMA]]*DST_123_ÜRETİM_İHTİYAÇ_RAPORU_BURAK_YENI1309[[#This Row],[BIRIM_FIYATLAR]])&lt;1,VALUE("0"),DST_123_ÜRETİM_İHTİYAÇ_RAPORU_BURAK_YENI1309[[#This Row],[SATINALMA]]*DST_123_ÜRETİM_İHTİYAÇ_RAPORU_BURAK_YENI1309[[#This Row],[BIRIM_FIYATLAR]])</f>
        <v>0</v>
      </c>
      <c r="N2552">
        <v>15</v>
      </c>
      <c r="O2552" t="s">
        <v>240</v>
      </c>
      <c r="P2552">
        <v>32.85</v>
      </c>
      <c r="Q2552" t="s">
        <v>180</v>
      </c>
    </row>
    <row r="2553" spans="1:17" x14ac:dyDescent="0.25">
      <c r="A2553" t="s">
        <v>1143</v>
      </c>
      <c r="B2553" t="s">
        <v>1056</v>
      </c>
      <c r="C2553" t="s">
        <v>175</v>
      </c>
      <c r="D2553" t="s">
        <v>408</v>
      </c>
      <c r="E2553" t="s">
        <v>409</v>
      </c>
      <c r="F2553">
        <v>26</v>
      </c>
      <c r="G2553" t="s">
        <v>176</v>
      </c>
      <c r="H2553">
        <v>0</v>
      </c>
      <c r="I2553">
        <v>2698</v>
      </c>
      <c r="J2553" s="10">
        <v>0</v>
      </c>
      <c r="K2553" s="10">
        <f>SUMIFS(F:F,D:D,DST_123_ÜRETİM_İHTİYAÇ_RAPORU_BURAK_YENI1309[[#This Row],[ALT_KOD]])-(SUMIFS(H:H,D:D,DST_123_ÜRETİM_İHTİYAÇ_RAPORU_BURAK_YENI1309[[#This Row],[ALT_KOD]])+AVERAGEIFS(I:I,D:D,DST_123_ÜRETİM_İHTİYAÇ_RAPORU_BURAK_YENI1309[[#This Row],[ALT_KOD]])+AVERAGEIFS(L:L,D:D,DST_123_ÜRETİM_İHTİYAÇ_RAPORU_BURAK_YENI1309[[#This Row],[ALT_KOD]]))</f>
        <v>-2312</v>
      </c>
      <c r="L2553">
        <v>0</v>
      </c>
      <c r="M2553">
        <f>IF((DST_123_ÜRETİM_İHTİYAÇ_RAPORU_BURAK_YENI1309[[#This Row],[SATINALMA]]*DST_123_ÜRETİM_İHTİYAÇ_RAPORU_BURAK_YENI1309[[#This Row],[BIRIM_FIYATLAR]])&lt;1,VALUE("0"),DST_123_ÜRETİM_İHTİYAÇ_RAPORU_BURAK_YENI1309[[#This Row],[SATINALMA]]*DST_123_ÜRETİM_İHTİYAÇ_RAPORU_BURAK_YENI1309[[#This Row],[BIRIM_FIYATLAR]])</f>
        <v>0</v>
      </c>
      <c r="N2553">
        <v>1.55</v>
      </c>
      <c r="O2553" t="s">
        <v>220</v>
      </c>
      <c r="P2553">
        <v>40.300000000000004</v>
      </c>
      <c r="Q2553" t="s">
        <v>221</v>
      </c>
    </row>
    <row r="2554" spans="1:17" x14ac:dyDescent="0.25">
      <c r="A2554" t="s">
        <v>1059</v>
      </c>
      <c r="B2554" t="s">
        <v>1058</v>
      </c>
      <c r="C2554" t="s">
        <v>175</v>
      </c>
      <c r="D2554" t="s">
        <v>965</v>
      </c>
      <c r="E2554" t="s">
        <v>966</v>
      </c>
      <c r="F2554">
        <v>1</v>
      </c>
      <c r="G2554" t="s">
        <v>176</v>
      </c>
      <c r="H2554">
        <v>1</v>
      </c>
      <c r="I2554">
        <v>1</v>
      </c>
      <c r="J2554" s="10">
        <v>6</v>
      </c>
      <c r="K2554" s="10">
        <f>SUMIFS(F:F,D:D,DST_123_ÜRETİM_İHTİYAÇ_RAPORU_BURAK_YENI1309[[#This Row],[ALT_KOD]])-(SUMIFS(H:H,D:D,DST_123_ÜRETİM_İHTİYAÇ_RAPORU_BURAK_YENI1309[[#This Row],[ALT_KOD]])+AVERAGEIFS(I:I,D:D,DST_123_ÜRETİM_İHTİYAÇ_RAPORU_BURAK_YENI1309[[#This Row],[ALT_KOD]])+AVERAGEIFS(L:L,D:D,DST_123_ÜRETİM_İHTİYAÇ_RAPORU_BURAK_YENI1309[[#This Row],[ALT_KOD]]))</f>
        <v>2</v>
      </c>
      <c r="L2554">
        <v>0</v>
      </c>
      <c r="M2554">
        <f>IF((DST_123_ÜRETİM_İHTİYAÇ_RAPORU_BURAK_YENI1309[[#This Row],[SATINALMA]]*DST_123_ÜRETİM_İHTİYAÇ_RAPORU_BURAK_YENI1309[[#This Row],[BIRIM_FIYATLAR]])&lt;1,VALUE("0"),DST_123_ÜRETİM_İHTİYAÇ_RAPORU_BURAK_YENI1309[[#This Row],[SATINALMA]]*DST_123_ÜRETİM_İHTİYAÇ_RAPORU_BURAK_YENI1309[[#This Row],[BIRIM_FIYATLAR]])</f>
        <v>16849.34</v>
      </c>
      <c r="N2554">
        <v>8424.67</v>
      </c>
      <c r="O2554" t="s">
        <v>634</v>
      </c>
      <c r="P2554">
        <v>8424.67</v>
      </c>
      <c r="Q2554" t="s">
        <v>177</v>
      </c>
    </row>
    <row r="2555" spans="1:17" x14ac:dyDescent="0.25">
      <c r="A2555" t="s">
        <v>1099</v>
      </c>
      <c r="B2555" t="s">
        <v>1055</v>
      </c>
      <c r="C2555" t="s">
        <v>175</v>
      </c>
      <c r="D2555" t="s">
        <v>24</v>
      </c>
      <c r="E2555" t="s">
        <v>25</v>
      </c>
      <c r="F2555">
        <v>1</v>
      </c>
      <c r="G2555" t="s">
        <v>176</v>
      </c>
      <c r="H2555">
        <v>0</v>
      </c>
      <c r="I2555">
        <v>30</v>
      </c>
      <c r="J2555" s="10">
        <v>20</v>
      </c>
      <c r="K2555" s="10">
        <f>SUMIFS(F:F,D:D,DST_123_ÜRETİM_İHTİYAÇ_RAPORU_BURAK_YENI1309[[#This Row],[ALT_KOD]])-(SUMIFS(H:H,D:D,DST_123_ÜRETİM_İHTİYAÇ_RAPORU_BURAK_YENI1309[[#This Row],[ALT_KOD]])+AVERAGEIFS(I:I,D:D,DST_123_ÜRETİM_İHTİYAÇ_RAPORU_BURAK_YENI1309[[#This Row],[ALT_KOD]])+AVERAGEIFS(L:L,D:D,DST_123_ÜRETİM_İHTİYAÇ_RAPORU_BURAK_YENI1309[[#This Row],[ALT_KOD]]))</f>
        <v>-7</v>
      </c>
      <c r="L2555">
        <v>0</v>
      </c>
      <c r="M2555">
        <f>IF((DST_123_ÜRETİM_İHTİYAÇ_RAPORU_BURAK_YENI1309[[#This Row],[SATINALMA]]*DST_123_ÜRETİM_İHTİYAÇ_RAPORU_BURAK_YENI1309[[#This Row],[BIRIM_FIYATLAR]])&lt;1,VALUE("0"),DST_123_ÜRETİM_İHTİYAÇ_RAPORU_BURAK_YENI1309[[#This Row],[SATINALMA]]*DST_123_ÜRETİM_İHTİYAÇ_RAPORU_BURAK_YENI1309[[#This Row],[BIRIM_FIYATLAR]])</f>
        <v>0</v>
      </c>
      <c r="N2555">
        <v>62.5</v>
      </c>
      <c r="O2555" t="s">
        <v>628</v>
      </c>
      <c r="P2555">
        <v>62.5</v>
      </c>
      <c r="Q2555" t="s">
        <v>180</v>
      </c>
    </row>
    <row r="2556" spans="1:17" x14ac:dyDescent="0.25">
      <c r="A2556" t="s">
        <v>1095</v>
      </c>
      <c r="B2556" t="s">
        <v>1096</v>
      </c>
      <c r="C2556" t="s">
        <v>175</v>
      </c>
      <c r="D2556" t="s">
        <v>404</v>
      </c>
      <c r="E2556" t="s">
        <v>405</v>
      </c>
      <c r="F2556">
        <v>5</v>
      </c>
      <c r="G2556" t="s">
        <v>176</v>
      </c>
      <c r="H2556">
        <v>0</v>
      </c>
      <c r="I2556">
        <v>234</v>
      </c>
      <c r="J2556" s="10">
        <v>30</v>
      </c>
      <c r="K2556" s="10">
        <f>SUMIFS(F:F,D:D,DST_123_ÜRETİM_İHTİYAÇ_RAPORU_BURAK_YENI1309[[#This Row],[ALT_KOD]])-(SUMIFS(H:H,D:D,DST_123_ÜRETİM_İHTİYAÇ_RAPORU_BURAK_YENI1309[[#This Row],[ALT_KOD]])+AVERAGEIFS(I:I,D:D,DST_123_ÜRETİM_İHTİYAÇ_RAPORU_BURAK_YENI1309[[#This Row],[ALT_KOD]])+AVERAGEIFS(L:L,D:D,DST_123_ÜRETİM_İHTİYAÇ_RAPORU_BURAK_YENI1309[[#This Row],[ALT_KOD]]))</f>
        <v>-169</v>
      </c>
      <c r="L2556">
        <v>0</v>
      </c>
      <c r="M2556">
        <f>IF((DST_123_ÜRETİM_İHTİYAÇ_RAPORU_BURAK_YENI1309[[#This Row],[SATINALMA]]*DST_123_ÜRETİM_İHTİYAÇ_RAPORU_BURAK_YENI1309[[#This Row],[BIRIM_FIYATLAR]])&lt;1,VALUE("0"),DST_123_ÜRETİM_İHTİYAÇ_RAPORU_BURAK_YENI1309[[#This Row],[SATINALMA]]*DST_123_ÜRETİM_İHTİYAÇ_RAPORU_BURAK_YENI1309[[#This Row],[BIRIM_FIYATLAR]])</f>
        <v>0</v>
      </c>
      <c r="N2556">
        <v>15.21</v>
      </c>
      <c r="O2556" t="s">
        <v>826</v>
      </c>
      <c r="P2556">
        <v>76.050000000000011</v>
      </c>
      <c r="Q2556" t="s">
        <v>221</v>
      </c>
    </row>
    <row r="2557" spans="1:17" x14ac:dyDescent="0.25">
      <c r="A2557" t="s">
        <v>1143</v>
      </c>
      <c r="B2557" t="s">
        <v>1056</v>
      </c>
      <c r="C2557" t="s">
        <v>175</v>
      </c>
      <c r="D2557" t="s">
        <v>207</v>
      </c>
      <c r="E2557" t="s">
        <v>281</v>
      </c>
      <c r="F2557">
        <v>3.65</v>
      </c>
      <c r="G2557" t="s">
        <v>176</v>
      </c>
      <c r="H2557">
        <v>0</v>
      </c>
      <c r="I2557">
        <v>52</v>
      </c>
      <c r="J2557" s="10">
        <v>10.269999999999982</v>
      </c>
      <c r="K2557" s="10">
        <f>SUMIFS(F:F,D:D,DST_123_ÜRETİM_İHTİYAÇ_RAPORU_BURAK_YENI1309[[#This Row],[ALT_KOD]])-(SUMIFS(H:H,D:D,DST_123_ÜRETİM_İHTİYAÇ_RAPORU_BURAK_YENI1309[[#This Row],[ALT_KOD]])+AVERAGEIFS(I:I,D:D,DST_123_ÜRETİM_İHTİYAÇ_RAPORU_BURAK_YENI1309[[#This Row],[ALT_KOD]])+AVERAGEIFS(L:L,D:D,DST_123_ÜRETİM_İHTİYAÇ_RAPORU_BURAK_YENI1309[[#This Row],[ALT_KOD]]))</f>
        <v>-5.0300000000000011</v>
      </c>
      <c r="L2557">
        <v>0</v>
      </c>
      <c r="M2557">
        <f>IF((DST_123_ÜRETİM_İHTİYAÇ_RAPORU_BURAK_YENI1309[[#This Row],[SATINALMA]]*DST_123_ÜRETİM_İHTİYAÇ_RAPORU_BURAK_YENI1309[[#This Row],[BIRIM_FIYATLAR]])&lt;1,VALUE("0"),DST_123_ÜRETİM_İHTİYAÇ_RAPORU_BURAK_YENI1309[[#This Row],[SATINALMA]]*DST_123_ÜRETİM_İHTİYAÇ_RAPORU_BURAK_YENI1309[[#This Row],[BIRIM_FIYATLAR]])</f>
        <v>0</v>
      </c>
      <c r="N2557">
        <v>28</v>
      </c>
      <c r="O2557" t="s">
        <v>240</v>
      </c>
      <c r="P2557">
        <v>102.2</v>
      </c>
      <c r="Q2557" t="s">
        <v>180</v>
      </c>
    </row>
    <row r="2558" spans="1:17" x14ac:dyDescent="0.25">
      <c r="A2558" t="s">
        <v>1098</v>
      </c>
      <c r="B2558" t="s">
        <v>1096</v>
      </c>
      <c r="C2558" t="s">
        <v>175</v>
      </c>
      <c r="D2558" t="s">
        <v>404</v>
      </c>
      <c r="E2558" t="s">
        <v>405</v>
      </c>
      <c r="F2558">
        <v>5</v>
      </c>
      <c r="G2558" t="s">
        <v>176</v>
      </c>
      <c r="H2558">
        <v>0</v>
      </c>
      <c r="I2558">
        <v>234</v>
      </c>
      <c r="J2558" s="10">
        <v>30</v>
      </c>
      <c r="K2558" s="10">
        <f>SUMIFS(F:F,D:D,DST_123_ÜRETİM_İHTİYAÇ_RAPORU_BURAK_YENI1309[[#This Row],[ALT_KOD]])-(SUMIFS(H:H,D:D,DST_123_ÜRETİM_İHTİYAÇ_RAPORU_BURAK_YENI1309[[#This Row],[ALT_KOD]])+AVERAGEIFS(I:I,D:D,DST_123_ÜRETİM_İHTİYAÇ_RAPORU_BURAK_YENI1309[[#This Row],[ALT_KOD]])+AVERAGEIFS(L:L,D:D,DST_123_ÜRETİM_İHTİYAÇ_RAPORU_BURAK_YENI1309[[#This Row],[ALT_KOD]]))</f>
        <v>-169</v>
      </c>
      <c r="L2558">
        <v>0</v>
      </c>
      <c r="M2558">
        <f>IF((DST_123_ÜRETİM_İHTİYAÇ_RAPORU_BURAK_YENI1309[[#This Row],[SATINALMA]]*DST_123_ÜRETİM_İHTİYAÇ_RAPORU_BURAK_YENI1309[[#This Row],[BIRIM_FIYATLAR]])&lt;1,VALUE("0"),DST_123_ÜRETİM_İHTİYAÇ_RAPORU_BURAK_YENI1309[[#This Row],[SATINALMA]]*DST_123_ÜRETİM_İHTİYAÇ_RAPORU_BURAK_YENI1309[[#This Row],[BIRIM_FIYATLAR]])</f>
        <v>0</v>
      </c>
      <c r="N2558">
        <v>15.21</v>
      </c>
      <c r="O2558" t="s">
        <v>826</v>
      </c>
      <c r="P2558">
        <v>76.050000000000011</v>
      </c>
      <c r="Q2558" t="s">
        <v>221</v>
      </c>
    </row>
    <row r="2559" spans="1:17" x14ac:dyDescent="0.25">
      <c r="A2559" t="s">
        <v>1099</v>
      </c>
      <c r="B2559" t="s">
        <v>1055</v>
      </c>
      <c r="C2559" t="s">
        <v>175</v>
      </c>
      <c r="D2559" t="s">
        <v>514</v>
      </c>
      <c r="E2559" t="s">
        <v>515</v>
      </c>
      <c r="F2559">
        <v>0.75</v>
      </c>
      <c r="G2559" t="s">
        <v>176</v>
      </c>
      <c r="H2559">
        <v>0</v>
      </c>
      <c r="I2559">
        <v>0</v>
      </c>
      <c r="J2559" s="10">
        <v>-1.7763568394002505E-15</v>
      </c>
      <c r="K2559" s="10">
        <f>SUMIFS(F:F,D:D,DST_123_ÜRETİM_İHTİYAÇ_RAPORU_BURAK_YENI1309[[#This Row],[ALT_KOD]])-(SUMIFS(H:H,D:D,DST_123_ÜRETİM_İHTİYAÇ_RAPORU_BURAK_YENI1309[[#This Row],[ALT_KOD]])+AVERAGEIFS(I:I,D:D,DST_123_ÜRETİM_İHTİYAÇ_RAPORU_BURAK_YENI1309[[#This Row],[ALT_KOD]])+AVERAGEIFS(L:L,D:D,DST_123_ÜRETİM_İHTİYAÇ_RAPORU_BURAK_YENI1309[[#This Row],[ALT_KOD]]))</f>
        <v>6.9999999999999991</v>
      </c>
      <c r="L2559">
        <v>0</v>
      </c>
      <c r="M2559">
        <f>IF((DST_123_ÜRETİM_İHTİYAÇ_RAPORU_BURAK_YENI1309[[#This Row],[SATINALMA]]*DST_123_ÜRETİM_İHTİYAÇ_RAPORU_BURAK_YENI1309[[#This Row],[BIRIM_FIYATLAR]])&lt;1,VALUE("0"),DST_123_ÜRETİM_İHTİYAÇ_RAPORU_BURAK_YENI1309[[#This Row],[SATINALMA]]*DST_123_ÜRETİM_İHTİYAÇ_RAPORU_BURAK_YENI1309[[#This Row],[BIRIM_FIYATLAR]])</f>
        <v>489.99999999999994</v>
      </c>
      <c r="N2559">
        <v>70</v>
      </c>
      <c r="O2559" t="s">
        <v>240</v>
      </c>
      <c r="P2559">
        <v>52.5</v>
      </c>
      <c r="Q2559" t="s">
        <v>180</v>
      </c>
    </row>
    <row r="2560" spans="1:17" x14ac:dyDescent="0.25">
      <c r="A2560" t="s">
        <v>1098</v>
      </c>
      <c r="B2560" t="s">
        <v>1096</v>
      </c>
      <c r="C2560" t="s">
        <v>175</v>
      </c>
      <c r="D2560" t="s">
        <v>514</v>
      </c>
      <c r="E2560" t="s">
        <v>515</v>
      </c>
      <c r="F2560">
        <v>0.7</v>
      </c>
      <c r="G2560" t="s">
        <v>176</v>
      </c>
      <c r="H2560">
        <v>0</v>
      </c>
      <c r="I2560">
        <v>0</v>
      </c>
      <c r="J2560" s="10">
        <v>-1.7763568394002505E-15</v>
      </c>
      <c r="K2560" s="10">
        <f>SUMIFS(F:F,D:D,DST_123_ÜRETİM_İHTİYAÇ_RAPORU_BURAK_YENI1309[[#This Row],[ALT_KOD]])-(SUMIFS(H:H,D:D,DST_123_ÜRETİM_İHTİYAÇ_RAPORU_BURAK_YENI1309[[#This Row],[ALT_KOD]])+AVERAGEIFS(I:I,D:D,DST_123_ÜRETİM_İHTİYAÇ_RAPORU_BURAK_YENI1309[[#This Row],[ALT_KOD]])+AVERAGEIFS(L:L,D:D,DST_123_ÜRETİM_İHTİYAÇ_RAPORU_BURAK_YENI1309[[#This Row],[ALT_KOD]]))</f>
        <v>6.9999999999999991</v>
      </c>
      <c r="L2560">
        <v>0</v>
      </c>
      <c r="M2560">
        <f>IF((DST_123_ÜRETİM_İHTİYAÇ_RAPORU_BURAK_YENI1309[[#This Row],[SATINALMA]]*DST_123_ÜRETİM_İHTİYAÇ_RAPORU_BURAK_YENI1309[[#This Row],[BIRIM_FIYATLAR]])&lt;1,VALUE("0"),DST_123_ÜRETİM_İHTİYAÇ_RAPORU_BURAK_YENI1309[[#This Row],[SATINALMA]]*DST_123_ÜRETİM_İHTİYAÇ_RAPORU_BURAK_YENI1309[[#This Row],[BIRIM_FIYATLAR]])</f>
        <v>489.99999999999994</v>
      </c>
      <c r="N2560">
        <v>70</v>
      </c>
      <c r="O2560" t="s">
        <v>240</v>
      </c>
      <c r="P2560">
        <v>49</v>
      </c>
      <c r="Q2560" t="s">
        <v>180</v>
      </c>
    </row>
    <row r="2561" spans="1:17" x14ac:dyDescent="0.25">
      <c r="A2561" t="s">
        <v>1098</v>
      </c>
      <c r="B2561" t="s">
        <v>1096</v>
      </c>
      <c r="C2561" t="s">
        <v>175</v>
      </c>
      <c r="D2561" t="s">
        <v>207</v>
      </c>
      <c r="E2561" t="s">
        <v>281</v>
      </c>
      <c r="F2561">
        <v>3.3900000000000006</v>
      </c>
      <c r="G2561" t="s">
        <v>176</v>
      </c>
      <c r="H2561">
        <v>0</v>
      </c>
      <c r="I2561">
        <v>52</v>
      </c>
      <c r="J2561" s="10">
        <v>10.269999999999982</v>
      </c>
      <c r="K2561" s="10">
        <f>SUMIFS(F:F,D:D,DST_123_ÜRETİM_İHTİYAÇ_RAPORU_BURAK_YENI1309[[#This Row],[ALT_KOD]])-(SUMIFS(H:H,D:D,DST_123_ÜRETİM_İHTİYAÇ_RAPORU_BURAK_YENI1309[[#This Row],[ALT_KOD]])+AVERAGEIFS(I:I,D:D,DST_123_ÜRETİM_İHTİYAÇ_RAPORU_BURAK_YENI1309[[#This Row],[ALT_KOD]])+AVERAGEIFS(L:L,D:D,DST_123_ÜRETİM_İHTİYAÇ_RAPORU_BURAK_YENI1309[[#This Row],[ALT_KOD]]))</f>
        <v>-5.0300000000000011</v>
      </c>
      <c r="L2561">
        <v>0</v>
      </c>
      <c r="M2561">
        <f>IF((DST_123_ÜRETİM_İHTİYAÇ_RAPORU_BURAK_YENI1309[[#This Row],[SATINALMA]]*DST_123_ÜRETİM_İHTİYAÇ_RAPORU_BURAK_YENI1309[[#This Row],[BIRIM_FIYATLAR]])&lt;1,VALUE("0"),DST_123_ÜRETİM_İHTİYAÇ_RAPORU_BURAK_YENI1309[[#This Row],[SATINALMA]]*DST_123_ÜRETİM_İHTİYAÇ_RAPORU_BURAK_YENI1309[[#This Row],[BIRIM_FIYATLAR]])</f>
        <v>0</v>
      </c>
      <c r="N2561">
        <v>28</v>
      </c>
      <c r="O2561" t="s">
        <v>240</v>
      </c>
      <c r="P2561">
        <v>94.920000000000016</v>
      </c>
      <c r="Q2561" t="s">
        <v>180</v>
      </c>
    </row>
    <row r="2562" spans="1:17" x14ac:dyDescent="0.25">
      <c r="A2562" t="s">
        <v>1196</v>
      </c>
      <c r="B2562" t="s">
        <v>1197</v>
      </c>
      <c r="C2562" t="s">
        <v>175</v>
      </c>
      <c r="D2562" t="s">
        <v>282</v>
      </c>
      <c r="E2562" t="s">
        <v>283</v>
      </c>
      <c r="F2562">
        <v>1</v>
      </c>
      <c r="G2562" t="s">
        <v>176</v>
      </c>
      <c r="H2562">
        <v>0</v>
      </c>
      <c r="I2562">
        <v>104</v>
      </c>
      <c r="J2562" s="10">
        <v>-3.5527136788005009E-15</v>
      </c>
      <c r="K2562" s="10">
        <f>SUMIFS(F:F,D:D,DST_123_ÜRETİM_İHTİYAÇ_RAPORU_BURAK_YENI1309[[#This Row],[ALT_KOD]])-(SUMIFS(H:H,D:D,DST_123_ÜRETİM_İHTİYAÇ_RAPORU_BURAK_YENI1309[[#This Row],[ALT_KOD]])+AVERAGEIFS(I:I,D:D,DST_123_ÜRETİM_İHTİYAÇ_RAPORU_BURAK_YENI1309[[#This Row],[ALT_KOD]])+AVERAGEIFS(L:L,D:D,DST_123_ÜRETİM_İHTİYAÇ_RAPORU_BURAK_YENI1309[[#This Row],[ALT_KOD]]))</f>
        <v>-81.349999999999994</v>
      </c>
      <c r="L2562">
        <v>0</v>
      </c>
      <c r="M2562">
        <f>IF((DST_123_ÜRETİM_İHTİYAÇ_RAPORU_BURAK_YENI1309[[#This Row],[SATINALMA]]*DST_123_ÜRETİM_İHTİYAÇ_RAPORU_BURAK_YENI1309[[#This Row],[BIRIM_FIYATLAR]])&lt;1,VALUE("0"),DST_123_ÜRETİM_İHTİYAÇ_RAPORU_BURAK_YENI1309[[#This Row],[SATINALMA]]*DST_123_ÜRETİM_İHTİYAÇ_RAPORU_BURAK_YENI1309[[#This Row],[BIRIM_FIYATLAR]])</f>
        <v>0</v>
      </c>
      <c r="N2562">
        <v>22</v>
      </c>
      <c r="O2562" t="s">
        <v>240</v>
      </c>
      <c r="P2562">
        <v>22</v>
      </c>
      <c r="Q2562" t="s">
        <v>180</v>
      </c>
    </row>
    <row r="2563" spans="1:17" x14ac:dyDescent="0.25">
      <c r="A2563" t="s">
        <v>1098</v>
      </c>
      <c r="B2563" t="s">
        <v>1096</v>
      </c>
      <c r="C2563" t="s">
        <v>175</v>
      </c>
      <c r="D2563" t="s">
        <v>282</v>
      </c>
      <c r="E2563" t="s">
        <v>283</v>
      </c>
      <c r="F2563">
        <v>1.35</v>
      </c>
      <c r="G2563" t="s">
        <v>176</v>
      </c>
      <c r="H2563">
        <v>0</v>
      </c>
      <c r="I2563">
        <v>104</v>
      </c>
      <c r="J2563" s="10">
        <v>-3.5527136788005009E-15</v>
      </c>
      <c r="K2563" s="10">
        <f>SUMIFS(F:F,D:D,DST_123_ÜRETİM_İHTİYAÇ_RAPORU_BURAK_YENI1309[[#This Row],[ALT_KOD]])-(SUMIFS(H:H,D:D,DST_123_ÜRETİM_İHTİYAÇ_RAPORU_BURAK_YENI1309[[#This Row],[ALT_KOD]])+AVERAGEIFS(I:I,D:D,DST_123_ÜRETİM_İHTİYAÇ_RAPORU_BURAK_YENI1309[[#This Row],[ALT_KOD]])+AVERAGEIFS(L:L,D:D,DST_123_ÜRETİM_İHTİYAÇ_RAPORU_BURAK_YENI1309[[#This Row],[ALT_KOD]]))</f>
        <v>-81.349999999999994</v>
      </c>
      <c r="L2563">
        <v>0</v>
      </c>
      <c r="M2563">
        <f>IF((DST_123_ÜRETİM_İHTİYAÇ_RAPORU_BURAK_YENI1309[[#This Row],[SATINALMA]]*DST_123_ÜRETİM_İHTİYAÇ_RAPORU_BURAK_YENI1309[[#This Row],[BIRIM_FIYATLAR]])&lt;1,VALUE("0"),DST_123_ÜRETİM_İHTİYAÇ_RAPORU_BURAK_YENI1309[[#This Row],[SATINALMA]]*DST_123_ÜRETİM_İHTİYAÇ_RAPORU_BURAK_YENI1309[[#This Row],[BIRIM_FIYATLAR]])</f>
        <v>0</v>
      </c>
      <c r="N2563">
        <v>22</v>
      </c>
      <c r="O2563" t="s">
        <v>240</v>
      </c>
      <c r="P2563">
        <v>29.700000000000003</v>
      </c>
      <c r="Q2563" t="s">
        <v>180</v>
      </c>
    </row>
    <row r="2564" spans="1:17" x14ac:dyDescent="0.25">
      <c r="A2564" t="s">
        <v>1098</v>
      </c>
      <c r="B2564" t="s">
        <v>1096</v>
      </c>
      <c r="C2564" t="s">
        <v>175</v>
      </c>
      <c r="D2564" t="s">
        <v>24</v>
      </c>
      <c r="E2564" t="s">
        <v>25</v>
      </c>
      <c r="F2564">
        <v>1</v>
      </c>
      <c r="G2564" t="s">
        <v>176</v>
      </c>
      <c r="H2564">
        <v>0</v>
      </c>
      <c r="I2564">
        <v>30</v>
      </c>
      <c r="J2564" s="10">
        <v>20</v>
      </c>
      <c r="K2564" s="10">
        <f>SUMIFS(F:F,D:D,DST_123_ÜRETİM_İHTİYAÇ_RAPORU_BURAK_YENI1309[[#This Row],[ALT_KOD]])-(SUMIFS(H:H,D:D,DST_123_ÜRETİM_İHTİYAÇ_RAPORU_BURAK_YENI1309[[#This Row],[ALT_KOD]])+AVERAGEIFS(I:I,D:D,DST_123_ÜRETİM_İHTİYAÇ_RAPORU_BURAK_YENI1309[[#This Row],[ALT_KOD]])+AVERAGEIFS(L:L,D:D,DST_123_ÜRETİM_İHTİYAÇ_RAPORU_BURAK_YENI1309[[#This Row],[ALT_KOD]]))</f>
        <v>-7</v>
      </c>
      <c r="L2564">
        <v>0</v>
      </c>
      <c r="M2564">
        <f>IF((DST_123_ÜRETİM_İHTİYAÇ_RAPORU_BURAK_YENI1309[[#This Row],[SATINALMA]]*DST_123_ÜRETİM_İHTİYAÇ_RAPORU_BURAK_YENI1309[[#This Row],[BIRIM_FIYATLAR]])&lt;1,VALUE("0"),DST_123_ÜRETİM_İHTİYAÇ_RAPORU_BURAK_YENI1309[[#This Row],[SATINALMA]]*DST_123_ÜRETİM_İHTİYAÇ_RAPORU_BURAK_YENI1309[[#This Row],[BIRIM_FIYATLAR]])</f>
        <v>0</v>
      </c>
      <c r="N2564">
        <v>62.5</v>
      </c>
      <c r="O2564" t="s">
        <v>628</v>
      </c>
      <c r="P2564">
        <v>62.5</v>
      </c>
      <c r="Q2564" t="s">
        <v>180</v>
      </c>
    </row>
    <row r="2565" spans="1:17" x14ac:dyDescent="0.25">
      <c r="A2565" t="s">
        <v>1095</v>
      </c>
      <c r="B2565" t="s">
        <v>1096</v>
      </c>
      <c r="C2565" t="s">
        <v>175</v>
      </c>
      <c r="D2565" t="s">
        <v>282</v>
      </c>
      <c r="E2565" t="s">
        <v>283</v>
      </c>
      <c r="F2565">
        <v>1.35</v>
      </c>
      <c r="G2565" t="s">
        <v>176</v>
      </c>
      <c r="H2565">
        <v>0</v>
      </c>
      <c r="I2565">
        <v>104</v>
      </c>
      <c r="J2565" s="10">
        <v>-3.5527136788005009E-15</v>
      </c>
      <c r="K2565" s="10">
        <f>SUMIFS(F:F,D:D,DST_123_ÜRETİM_İHTİYAÇ_RAPORU_BURAK_YENI1309[[#This Row],[ALT_KOD]])-(SUMIFS(H:H,D:D,DST_123_ÜRETİM_İHTİYAÇ_RAPORU_BURAK_YENI1309[[#This Row],[ALT_KOD]])+AVERAGEIFS(I:I,D:D,DST_123_ÜRETİM_İHTİYAÇ_RAPORU_BURAK_YENI1309[[#This Row],[ALT_KOD]])+AVERAGEIFS(L:L,D:D,DST_123_ÜRETİM_İHTİYAÇ_RAPORU_BURAK_YENI1309[[#This Row],[ALT_KOD]]))</f>
        <v>-81.349999999999994</v>
      </c>
      <c r="L2565">
        <v>0</v>
      </c>
      <c r="M2565">
        <f>IF((DST_123_ÜRETİM_İHTİYAÇ_RAPORU_BURAK_YENI1309[[#This Row],[SATINALMA]]*DST_123_ÜRETİM_İHTİYAÇ_RAPORU_BURAK_YENI1309[[#This Row],[BIRIM_FIYATLAR]])&lt;1,VALUE("0"),DST_123_ÜRETİM_İHTİYAÇ_RAPORU_BURAK_YENI1309[[#This Row],[SATINALMA]]*DST_123_ÜRETİM_İHTİYAÇ_RAPORU_BURAK_YENI1309[[#This Row],[BIRIM_FIYATLAR]])</f>
        <v>0</v>
      </c>
      <c r="N2565">
        <v>22</v>
      </c>
      <c r="O2565" t="s">
        <v>240</v>
      </c>
      <c r="P2565">
        <v>29.700000000000003</v>
      </c>
      <c r="Q2565" t="s">
        <v>180</v>
      </c>
    </row>
    <row r="2566" spans="1:17" x14ac:dyDescent="0.25">
      <c r="A2566" t="s">
        <v>1149</v>
      </c>
      <c r="B2566" t="s">
        <v>1145</v>
      </c>
      <c r="C2566" t="s">
        <v>175</v>
      </c>
      <c r="D2566" t="s">
        <v>329</v>
      </c>
      <c r="E2566" t="s">
        <v>330</v>
      </c>
      <c r="F2566">
        <v>6</v>
      </c>
      <c r="G2566" t="s">
        <v>176</v>
      </c>
      <c r="H2566">
        <v>0</v>
      </c>
      <c r="I2566">
        <v>118</v>
      </c>
      <c r="J2566" s="10">
        <v>18</v>
      </c>
      <c r="K2566" s="10">
        <f>SUMIFS(F:F,D:D,DST_123_ÜRETİM_İHTİYAÇ_RAPORU_BURAK_YENI1309[[#This Row],[ALT_KOD]])-(SUMIFS(H:H,D:D,DST_123_ÜRETİM_İHTİYAÇ_RAPORU_BURAK_YENI1309[[#This Row],[ALT_KOD]])+AVERAGEIFS(I:I,D:D,DST_123_ÜRETİM_İHTİYAÇ_RAPORU_BURAK_YENI1309[[#This Row],[ALT_KOD]])+AVERAGEIFS(L:L,D:D,DST_123_ÜRETİM_İHTİYAÇ_RAPORU_BURAK_YENI1309[[#This Row],[ALT_KOD]]))</f>
        <v>-11</v>
      </c>
      <c r="L2566">
        <v>0</v>
      </c>
      <c r="M2566">
        <f>IF((DST_123_ÜRETİM_İHTİYAÇ_RAPORU_BURAK_YENI1309[[#This Row],[SATINALMA]]*DST_123_ÜRETİM_İHTİYAÇ_RAPORU_BURAK_YENI1309[[#This Row],[BIRIM_FIYATLAR]])&lt;1,VALUE("0"),DST_123_ÜRETİM_İHTİYAÇ_RAPORU_BURAK_YENI1309[[#This Row],[SATINALMA]]*DST_123_ÜRETİM_İHTİYAÇ_RAPORU_BURAK_YENI1309[[#This Row],[BIRIM_FIYATLAR]])</f>
        <v>0</v>
      </c>
      <c r="N2566">
        <v>14.5</v>
      </c>
      <c r="O2566" t="s">
        <v>240</v>
      </c>
      <c r="P2566">
        <v>87</v>
      </c>
      <c r="Q2566" t="s">
        <v>180</v>
      </c>
    </row>
    <row r="2567" spans="1:17" x14ac:dyDescent="0.25">
      <c r="A2567" t="s">
        <v>1142</v>
      </c>
      <c r="B2567" t="s">
        <v>1056</v>
      </c>
      <c r="C2567" t="s">
        <v>175</v>
      </c>
      <c r="D2567" t="s">
        <v>609</v>
      </c>
      <c r="E2567" t="s">
        <v>610</v>
      </c>
      <c r="F2567">
        <v>1.8</v>
      </c>
      <c r="G2567" t="s">
        <v>176</v>
      </c>
      <c r="H2567">
        <v>0</v>
      </c>
      <c r="I2567">
        <v>0</v>
      </c>
      <c r="J2567" s="10">
        <v>11</v>
      </c>
      <c r="K2567" s="10">
        <f>SUMIFS(F:F,D:D,DST_123_ÜRETİM_İHTİYAÇ_RAPORU_BURAK_YENI1309[[#This Row],[ALT_KOD]])-(SUMIFS(H:H,D:D,DST_123_ÜRETİM_İHTİYAÇ_RAPORU_BURAK_YENI1309[[#This Row],[ALT_KOD]])+AVERAGEIFS(I:I,D:D,DST_123_ÜRETİM_İHTİYAÇ_RAPORU_BURAK_YENI1309[[#This Row],[ALT_KOD]])+AVERAGEIFS(L:L,D:D,DST_123_ÜRETİM_İHTİYAÇ_RAPORU_BURAK_YENI1309[[#This Row],[ALT_KOD]]))</f>
        <v>20.000000000000007</v>
      </c>
      <c r="L2567">
        <v>4</v>
      </c>
      <c r="M2567">
        <f>IF((DST_123_ÜRETİM_İHTİYAÇ_RAPORU_BURAK_YENI1309[[#This Row],[SATINALMA]]*DST_123_ÜRETİM_İHTİYAÇ_RAPORU_BURAK_YENI1309[[#This Row],[BIRIM_FIYATLAR]])&lt;1,VALUE("0"),DST_123_ÜRETİM_İHTİYAÇ_RAPORU_BURAK_YENI1309[[#This Row],[SATINALMA]]*DST_123_ÜRETİM_İHTİYAÇ_RAPORU_BURAK_YENI1309[[#This Row],[BIRIM_FIYATLAR]])</f>
        <v>36666.600000000013</v>
      </c>
      <c r="N2567">
        <v>1833.33</v>
      </c>
      <c r="O2567" t="s">
        <v>223</v>
      </c>
      <c r="P2567">
        <v>3299.9940000000001</v>
      </c>
      <c r="Q2567" t="s">
        <v>181</v>
      </c>
    </row>
    <row r="2568" spans="1:17" x14ac:dyDescent="0.25">
      <c r="A2568" t="s">
        <v>1097</v>
      </c>
      <c r="B2568" t="s">
        <v>1055</v>
      </c>
      <c r="C2568" t="s">
        <v>175</v>
      </c>
      <c r="D2568" t="s">
        <v>609</v>
      </c>
      <c r="E2568" t="s">
        <v>610</v>
      </c>
      <c r="F2568">
        <v>1</v>
      </c>
      <c r="G2568" t="s">
        <v>176</v>
      </c>
      <c r="H2568">
        <v>0</v>
      </c>
      <c r="I2568">
        <v>0</v>
      </c>
      <c r="J2568" s="10">
        <v>11</v>
      </c>
      <c r="K2568" s="10">
        <f>SUMIFS(F:F,D:D,DST_123_ÜRETİM_İHTİYAÇ_RAPORU_BURAK_YENI1309[[#This Row],[ALT_KOD]])-(SUMIFS(H:H,D:D,DST_123_ÜRETİM_İHTİYAÇ_RAPORU_BURAK_YENI1309[[#This Row],[ALT_KOD]])+AVERAGEIFS(I:I,D:D,DST_123_ÜRETİM_İHTİYAÇ_RAPORU_BURAK_YENI1309[[#This Row],[ALT_KOD]])+AVERAGEIFS(L:L,D:D,DST_123_ÜRETİM_İHTİYAÇ_RAPORU_BURAK_YENI1309[[#This Row],[ALT_KOD]]))</f>
        <v>20.000000000000007</v>
      </c>
      <c r="L2568">
        <v>4</v>
      </c>
      <c r="M2568">
        <f>IF((DST_123_ÜRETİM_İHTİYAÇ_RAPORU_BURAK_YENI1309[[#This Row],[SATINALMA]]*DST_123_ÜRETİM_İHTİYAÇ_RAPORU_BURAK_YENI1309[[#This Row],[BIRIM_FIYATLAR]])&lt;1,VALUE("0"),DST_123_ÜRETİM_İHTİYAÇ_RAPORU_BURAK_YENI1309[[#This Row],[SATINALMA]]*DST_123_ÜRETİM_İHTİYAÇ_RAPORU_BURAK_YENI1309[[#This Row],[BIRIM_FIYATLAR]])</f>
        <v>36666.600000000013</v>
      </c>
      <c r="N2568">
        <v>1833.33</v>
      </c>
      <c r="O2568" t="s">
        <v>223</v>
      </c>
      <c r="P2568">
        <v>1833.33</v>
      </c>
      <c r="Q2568" t="s">
        <v>181</v>
      </c>
    </row>
    <row r="2569" spans="1:17" x14ac:dyDescent="0.25">
      <c r="A2569" t="s">
        <v>1146</v>
      </c>
      <c r="B2569" t="s">
        <v>1145</v>
      </c>
      <c r="C2569" t="s">
        <v>175</v>
      </c>
      <c r="D2569" t="s">
        <v>329</v>
      </c>
      <c r="E2569" t="s">
        <v>330</v>
      </c>
      <c r="F2569">
        <v>6</v>
      </c>
      <c r="G2569" t="s">
        <v>176</v>
      </c>
      <c r="H2569">
        <v>0</v>
      </c>
      <c r="I2569">
        <v>118</v>
      </c>
      <c r="J2569" s="10">
        <v>18</v>
      </c>
      <c r="K2569" s="10">
        <f>SUMIFS(F:F,D:D,DST_123_ÜRETİM_İHTİYAÇ_RAPORU_BURAK_YENI1309[[#This Row],[ALT_KOD]])-(SUMIFS(H:H,D:D,DST_123_ÜRETİM_İHTİYAÇ_RAPORU_BURAK_YENI1309[[#This Row],[ALT_KOD]])+AVERAGEIFS(I:I,D:D,DST_123_ÜRETİM_İHTİYAÇ_RAPORU_BURAK_YENI1309[[#This Row],[ALT_KOD]])+AVERAGEIFS(L:L,D:D,DST_123_ÜRETİM_İHTİYAÇ_RAPORU_BURAK_YENI1309[[#This Row],[ALT_KOD]]))</f>
        <v>-11</v>
      </c>
      <c r="L2569">
        <v>0</v>
      </c>
      <c r="M2569">
        <f>IF((DST_123_ÜRETİM_İHTİYAÇ_RAPORU_BURAK_YENI1309[[#This Row],[SATINALMA]]*DST_123_ÜRETİM_İHTİYAÇ_RAPORU_BURAK_YENI1309[[#This Row],[BIRIM_FIYATLAR]])&lt;1,VALUE("0"),DST_123_ÜRETİM_İHTİYAÇ_RAPORU_BURAK_YENI1309[[#This Row],[SATINALMA]]*DST_123_ÜRETİM_İHTİYAÇ_RAPORU_BURAK_YENI1309[[#This Row],[BIRIM_FIYATLAR]])</f>
        <v>0</v>
      </c>
      <c r="N2569">
        <v>14.5</v>
      </c>
      <c r="O2569" t="s">
        <v>240</v>
      </c>
      <c r="P2569">
        <v>87</v>
      </c>
      <c r="Q2569" t="s">
        <v>180</v>
      </c>
    </row>
    <row r="2570" spans="1:17" x14ac:dyDescent="0.25">
      <c r="A2570" t="s">
        <v>1144</v>
      </c>
      <c r="B2570" t="s">
        <v>1145</v>
      </c>
      <c r="C2570" t="s">
        <v>175</v>
      </c>
      <c r="D2570" t="s">
        <v>329</v>
      </c>
      <c r="E2570" t="s">
        <v>330</v>
      </c>
      <c r="F2570">
        <v>6</v>
      </c>
      <c r="G2570" t="s">
        <v>176</v>
      </c>
      <c r="H2570">
        <v>0</v>
      </c>
      <c r="I2570">
        <v>118</v>
      </c>
      <c r="J2570" s="10">
        <v>18</v>
      </c>
      <c r="K2570" s="10">
        <f>SUMIFS(F:F,D:D,DST_123_ÜRETİM_İHTİYAÇ_RAPORU_BURAK_YENI1309[[#This Row],[ALT_KOD]])-(SUMIFS(H:H,D:D,DST_123_ÜRETİM_İHTİYAÇ_RAPORU_BURAK_YENI1309[[#This Row],[ALT_KOD]])+AVERAGEIFS(I:I,D:D,DST_123_ÜRETİM_İHTİYAÇ_RAPORU_BURAK_YENI1309[[#This Row],[ALT_KOD]])+AVERAGEIFS(L:L,D:D,DST_123_ÜRETİM_İHTİYAÇ_RAPORU_BURAK_YENI1309[[#This Row],[ALT_KOD]]))</f>
        <v>-11</v>
      </c>
      <c r="L2570">
        <v>0</v>
      </c>
      <c r="M2570">
        <f>IF((DST_123_ÜRETİM_İHTİYAÇ_RAPORU_BURAK_YENI1309[[#This Row],[SATINALMA]]*DST_123_ÜRETİM_İHTİYAÇ_RAPORU_BURAK_YENI1309[[#This Row],[BIRIM_FIYATLAR]])&lt;1,VALUE("0"),DST_123_ÜRETİM_İHTİYAÇ_RAPORU_BURAK_YENI1309[[#This Row],[SATINALMA]]*DST_123_ÜRETİM_İHTİYAÇ_RAPORU_BURAK_YENI1309[[#This Row],[BIRIM_FIYATLAR]])</f>
        <v>0</v>
      </c>
      <c r="N2570">
        <v>14.5</v>
      </c>
      <c r="O2570" t="s">
        <v>240</v>
      </c>
      <c r="P2570">
        <v>87</v>
      </c>
      <c r="Q2570" t="s">
        <v>180</v>
      </c>
    </row>
    <row r="2571" spans="1:17" x14ac:dyDescent="0.25">
      <c r="A2571" t="s">
        <v>1149</v>
      </c>
      <c r="B2571" t="s">
        <v>1145</v>
      </c>
      <c r="C2571" t="s">
        <v>175</v>
      </c>
      <c r="D2571" t="s">
        <v>518</v>
      </c>
      <c r="E2571" t="s">
        <v>519</v>
      </c>
      <c r="F2571">
        <v>3</v>
      </c>
      <c r="G2571" t="s">
        <v>176</v>
      </c>
      <c r="H2571">
        <v>0</v>
      </c>
      <c r="I2571">
        <v>101</v>
      </c>
      <c r="J2571" s="10">
        <v>10.000000000000057</v>
      </c>
      <c r="K2571" s="10">
        <f>SUMIFS(F:F,D:D,DST_123_ÜRETİM_İHTİYAÇ_RAPORU_BURAK_YENI1309[[#This Row],[ALT_KOD]])-(SUMIFS(H:H,D:D,DST_123_ÜRETİM_İHTİYAÇ_RAPORU_BURAK_YENI1309[[#This Row],[ALT_KOD]])+AVERAGEIFS(I:I,D:D,DST_123_ÜRETİM_İHTİYAÇ_RAPORU_BURAK_YENI1309[[#This Row],[ALT_KOD]])+AVERAGEIFS(L:L,D:D,DST_123_ÜRETİM_İHTİYAÇ_RAPORU_BURAK_YENI1309[[#This Row],[ALT_KOD]]))</f>
        <v>-42.539999999999992</v>
      </c>
      <c r="L2571">
        <v>0</v>
      </c>
      <c r="M2571">
        <f>IF((DST_123_ÜRETİM_İHTİYAÇ_RAPORU_BURAK_YENI1309[[#This Row],[SATINALMA]]*DST_123_ÜRETİM_İHTİYAÇ_RAPORU_BURAK_YENI1309[[#This Row],[BIRIM_FIYATLAR]])&lt;1,VALUE("0"),DST_123_ÜRETİM_İHTİYAÇ_RAPORU_BURAK_YENI1309[[#This Row],[SATINALMA]]*DST_123_ÜRETİM_İHTİYAÇ_RAPORU_BURAK_YENI1309[[#This Row],[BIRIM_FIYATLAR]])</f>
        <v>0</v>
      </c>
      <c r="N2571">
        <v>36</v>
      </c>
      <c r="O2571" t="s">
        <v>240</v>
      </c>
      <c r="P2571">
        <v>108</v>
      </c>
      <c r="Q2571" t="s">
        <v>180</v>
      </c>
    </row>
    <row r="2572" spans="1:17" x14ac:dyDescent="0.25">
      <c r="A2572" t="s">
        <v>1149</v>
      </c>
      <c r="B2572" t="s">
        <v>1145</v>
      </c>
      <c r="C2572" t="s">
        <v>175</v>
      </c>
      <c r="D2572" t="s">
        <v>520</v>
      </c>
      <c r="E2572" t="s">
        <v>521</v>
      </c>
      <c r="F2572">
        <v>3</v>
      </c>
      <c r="G2572" t="s">
        <v>176</v>
      </c>
      <c r="H2572">
        <v>0</v>
      </c>
      <c r="I2572">
        <v>200</v>
      </c>
      <c r="J2572" s="10">
        <v>70</v>
      </c>
      <c r="K2572" s="10">
        <f>SUMIFS(F:F,D:D,DST_123_ÜRETİM_İHTİYAÇ_RAPORU_BURAK_YENI1309[[#This Row],[ALT_KOD]])-(SUMIFS(H:H,D:D,DST_123_ÜRETİM_İHTİYAÇ_RAPORU_BURAK_YENI1309[[#This Row],[ALT_KOD]])+AVERAGEIFS(I:I,D:D,DST_123_ÜRETİM_İHTİYAÇ_RAPORU_BURAK_YENI1309[[#This Row],[ALT_KOD]])+AVERAGEIFS(L:L,D:D,DST_123_ÜRETİM_İHTİYAÇ_RAPORU_BURAK_YENI1309[[#This Row],[ALT_KOD]]))</f>
        <v>-165</v>
      </c>
      <c r="L2572">
        <v>0</v>
      </c>
      <c r="M2572">
        <f>IF((DST_123_ÜRETİM_İHTİYAÇ_RAPORU_BURAK_YENI1309[[#This Row],[SATINALMA]]*DST_123_ÜRETİM_İHTİYAÇ_RAPORU_BURAK_YENI1309[[#This Row],[BIRIM_FIYATLAR]])&lt;1,VALUE("0"),DST_123_ÜRETİM_İHTİYAÇ_RAPORU_BURAK_YENI1309[[#This Row],[SATINALMA]]*DST_123_ÜRETİM_İHTİYAÇ_RAPORU_BURAK_YENI1309[[#This Row],[BIRIM_FIYATLAR]])</f>
        <v>0</v>
      </c>
      <c r="N2572">
        <v>10</v>
      </c>
      <c r="O2572" t="s">
        <v>226</v>
      </c>
      <c r="P2572">
        <v>30</v>
      </c>
      <c r="Q2572" t="s">
        <v>180</v>
      </c>
    </row>
    <row r="2573" spans="1:17" x14ac:dyDescent="0.25">
      <c r="A2573" t="s">
        <v>1146</v>
      </c>
      <c r="B2573" t="s">
        <v>1145</v>
      </c>
      <c r="C2573" t="s">
        <v>175</v>
      </c>
      <c r="D2573" t="s">
        <v>524</v>
      </c>
      <c r="E2573" t="s">
        <v>525</v>
      </c>
      <c r="F2573">
        <v>7</v>
      </c>
      <c r="G2573" t="s">
        <v>176</v>
      </c>
      <c r="H2573">
        <v>0</v>
      </c>
      <c r="I2573">
        <v>300</v>
      </c>
      <c r="J2573" s="10">
        <v>325</v>
      </c>
      <c r="K2573" s="10">
        <f>SUMIFS(F:F,D:D,DST_123_ÜRETİM_İHTİYAÇ_RAPORU_BURAK_YENI1309[[#This Row],[ALT_KOD]])-(SUMIFS(H:H,D:D,DST_123_ÜRETİM_İHTİYAÇ_RAPORU_BURAK_YENI1309[[#This Row],[ALT_KOD]])+AVERAGEIFS(I:I,D:D,DST_123_ÜRETİM_İHTİYAÇ_RAPORU_BURAK_YENI1309[[#This Row],[ALT_KOD]])+AVERAGEIFS(L:L,D:D,DST_123_ÜRETİM_İHTİYAÇ_RAPORU_BURAK_YENI1309[[#This Row],[ALT_KOD]]))</f>
        <v>-192</v>
      </c>
      <c r="L2573">
        <v>0</v>
      </c>
      <c r="M2573">
        <f>IF((DST_123_ÜRETİM_İHTİYAÇ_RAPORU_BURAK_YENI1309[[#This Row],[SATINALMA]]*DST_123_ÜRETİM_İHTİYAÇ_RAPORU_BURAK_YENI1309[[#This Row],[BIRIM_FIYATLAR]])&lt;1,VALUE("0"),DST_123_ÜRETİM_İHTİYAÇ_RAPORU_BURAK_YENI1309[[#This Row],[SATINALMA]]*DST_123_ÜRETİM_İHTİYAÇ_RAPORU_BURAK_YENI1309[[#This Row],[BIRIM_FIYATLAR]])</f>
        <v>0</v>
      </c>
      <c r="N2573">
        <v>12</v>
      </c>
      <c r="O2573" t="s">
        <v>226</v>
      </c>
      <c r="P2573">
        <v>84</v>
      </c>
      <c r="Q2573" t="s">
        <v>180</v>
      </c>
    </row>
    <row r="2574" spans="1:17" x14ac:dyDescent="0.25">
      <c r="A2574" t="s">
        <v>1144</v>
      </c>
      <c r="B2574" t="s">
        <v>1145</v>
      </c>
      <c r="C2574" t="s">
        <v>175</v>
      </c>
      <c r="D2574" t="s">
        <v>524</v>
      </c>
      <c r="E2574" t="s">
        <v>525</v>
      </c>
      <c r="F2574">
        <v>7</v>
      </c>
      <c r="G2574" t="s">
        <v>176</v>
      </c>
      <c r="H2574">
        <v>0</v>
      </c>
      <c r="I2574">
        <v>300</v>
      </c>
      <c r="J2574" s="10">
        <v>325</v>
      </c>
      <c r="K2574" s="10">
        <f>SUMIFS(F:F,D:D,DST_123_ÜRETİM_İHTİYAÇ_RAPORU_BURAK_YENI1309[[#This Row],[ALT_KOD]])-(SUMIFS(H:H,D:D,DST_123_ÜRETİM_İHTİYAÇ_RAPORU_BURAK_YENI1309[[#This Row],[ALT_KOD]])+AVERAGEIFS(I:I,D:D,DST_123_ÜRETİM_İHTİYAÇ_RAPORU_BURAK_YENI1309[[#This Row],[ALT_KOD]])+AVERAGEIFS(L:L,D:D,DST_123_ÜRETİM_İHTİYAÇ_RAPORU_BURAK_YENI1309[[#This Row],[ALT_KOD]]))</f>
        <v>-192</v>
      </c>
      <c r="L2574">
        <v>0</v>
      </c>
      <c r="M2574">
        <f>IF((DST_123_ÜRETİM_İHTİYAÇ_RAPORU_BURAK_YENI1309[[#This Row],[SATINALMA]]*DST_123_ÜRETİM_İHTİYAÇ_RAPORU_BURAK_YENI1309[[#This Row],[BIRIM_FIYATLAR]])&lt;1,VALUE("0"),DST_123_ÜRETİM_İHTİYAÇ_RAPORU_BURAK_YENI1309[[#This Row],[SATINALMA]]*DST_123_ÜRETİM_İHTİYAÇ_RAPORU_BURAK_YENI1309[[#This Row],[BIRIM_FIYATLAR]])</f>
        <v>0</v>
      </c>
      <c r="N2574">
        <v>12</v>
      </c>
      <c r="O2574" t="s">
        <v>226</v>
      </c>
      <c r="P2574">
        <v>84</v>
      </c>
      <c r="Q2574" t="s">
        <v>180</v>
      </c>
    </row>
    <row r="2575" spans="1:17" x14ac:dyDescent="0.25">
      <c r="A2575" t="s">
        <v>1142</v>
      </c>
      <c r="B2575" t="s">
        <v>1056</v>
      </c>
      <c r="C2575" t="s">
        <v>175</v>
      </c>
      <c r="D2575" t="s">
        <v>460</v>
      </c>
      <c r="E2575" t="s">
        <v>461</v>
      </c>
      <c r="F2575">
        <v>1.5</v>
      </c>
      <c r="G2575" t="s">
        <v>176</v>
      </c>
      <c r="H2575">
        <v>0</v>
      </c>
      <c r="I2575">
        <v>48</v>
      </c>
      <c r="J2575" s="10">
        <v>26</v>
      </c>
      <c r="K2575" s="10">
        <f>SUMIFS(F:F,D:D,DST_123_ÜRETİM_İHTİYAÇ_RAPORU_BURAK_YENI1309[[#This Row],[ALT_KOD]])-(SUMIFS(H:H,D:D,DST_123_ÜRETİM_İHTİYAÇ_RAPORU_BURAK_YENI1309[[#This Row],[ALT_KOD]])+AVERAGEIFS(I:I,D:D,DST_123_ÜRETİM_İHTİYAÇ_RAPORU_BURAK_YENI1309[[#This Row],[ALT_KOD]])+AVERAGEIFS(L:L,D:D,DST_123_ÜRETİM_İHTİYAÇ_RAPORU_BURAK_YENI1309[[#This Row],[ALT_KOD]]))</f>
        <v>-19.5</v>
      </c>
      <c r="L2575">
        <v>0</v>
      </c>
      <c r="M2575">
        <f>IF((DST_123_ÜRETİM_İHTİYAÇ_RAPORU_BURAK_YENI1309[[#This Row],[SATINALMA]]*DST_123_ÜRETİM_İHTİYAÇ_RAPORU_BURAK_YENI1309[[#This Row],[BIRIM_FIYATLAR]])&lt;1,VALUE("0"),DST_123_ÜRETİM_İHTİYAÇ_RAPORU_BURAK_YENI1309[[#This Row],[SATINALMA]]*DST_123_ÜRETİM_İHTİYAÇ_RAPORU_BURAK_YENI1309[[#This Row],[BIRIM_FIYATLAR]])</f>
        <v>0</v>
      </c>
      <c r="N2575">
        <v>5</v>
      </c>
      <c r="O2575" t="s">
        <v>240</v>
      </c>
      <c r="P2575">
        <v>7.5</v>
      </c>
      <c r="Q2575" t="s">
        <v>180</v>
      </c>
    </row>
    <row r="2576" spans="1:17" x14ac:dyDescent="0.25">
      <c r="A2576" t="s">
        <v>1142</v>
      </c>
      <c r="B2576" t="s">
        <v>1056</v>
      </c>
      <c r="C2576" t="s">
        <v>175</v>
      </c>
      <c r="D2576" t="s">
        <v>660</v>
      </c>
      <c r="E2576" t="s">
        <v>661</v>
      </c>
      <c r="F2576">
        <v>1</v>
      </c>
      <c r="G2576" t="s">
        <v>185</v>
      </c>
      <c r="H2576">
        <v>0</v>
      </c>
      <c r="I2576">
        <v>0</v>
      </c>
      <c r="J2576" s="10">
        <v>0</v>
      </c>
      <c r="K2576" s="10">
        <f>SUMIFS(F:F,D:D,DST_123_ÜRETİM_İHTİYAÇ_RAPORU_BURAK_YENI1309[[#This Row],[ALT_KOD]])-(SUMIFS(H:H,D:D,DST_123_ÜRETİM_İHTİYAÇ_RAPORU_BURAK_YENI1309[[#This Row],[ALT_KOD]])+AVERAGEIFS(I:I,D:D,DST_123_ÜRETİM_İHTİYAÇ_RAPORU_BURAK_YENI1309[[#This Row],[ALT_KOD]])+AVERAGEIFS(L:L,D:D,DST_123_ÜRETİM_İHTİYAÇ_RAPORU_BURAK_YENI1309[[#This Row],[ALT_KOD]]))</f>
        <v>19</v>
      </c>
      <c r="L2576">
        <v>0</v>
      </c>
      <c r="M2576">
        <f>IF((DST_123_ÜRETİM_İHTİYAÇ_RAPORU_BURAK_YENI1309[[#This Row],[SATINALMA]]*DST_123_ÜRETİM_İHTİYAÇ_RAPORU_BURAK_YENI1309[[#This Row],[BIRIM_FIYATLAR]])&lt;1,VALUE("0"),DST_123_ÜRETİM_İHTİYAÇ_RAPORU_BURAK_YENI1309[[#This Row],[SATINALMA]]*DST_123_ÜRETİM_İHTİYAÇ_RAPORU_BURAK_YENI1309[[#This Row],[BIRIM_FIYATLAR]])</f>
        <v>1538.6200000000001</v>
      </c>
      <c r="N2576">
        <v>80.98</v>
      </c>
      <c r="O2576" t="s">
        <v>223</v>
      </c>
      <c r="P2576">
        <v>80.98</v>
      </c>
      <c r="Q2576" t="s">
        <v>183</v>
      </c>
    </row>
    <row r="2577" spans="1:17" x14ac:dyDescent="0.25">
      <c r="A2577" t="s">
        <v>1097</v>
      </c>
      <c r="B2577" t="s">
        <v>1055</v>
      </c>
      <c r="C2577" t="s">
        <v>175</v>
      </c>
      <c r="D2577" t="s">
        <v>660</v>
      </c>
      <c r="E2577" t="s">
        <v>661</v>
      </c>
      <c r="F2577">
        <v>1</v>
      </c>
      <c r="G2577" t="s">
        <v>185</v>
      </c>
      <c r="H2577">
        <v>0</v>
      </c>
      <c r="I2577">
        <v>0</v>
      </c>
      <c r="J2577" s="10">
        <v>0</v>
      </c>
      <c r="K2577" s="10">
        <f>SUMIFS(F:F,D:D,DST_123_ÜRETİM_İHTİYAÇ_RAPORU_BURAK_YENI1309[[#This Row],[ALT_KOD]])-(SUMIFS(H:H,D:D,DST_123_ÜRETİM_İHTİYAÇ_RAPORU_BURAK_YENI1309[[#This Row],[ALT_KOD]])+AVERAGEIFS(I:I,D:D,DST_123_ÜRETİM_İHTİYAÇ_RAPORU_BURAK_YENI1309[[#This Row],[ALT_KOD]])+AVERAGEIFS(L:L,D:D,DST_123_ÜRETİM_İHTİYAÇ_RAPORU_BURAK_YENI1309[[#This Row],[ALT_KOD]]))</f>
        <v>19</v>
      </c>
      <c r="L2577">
        <v>0</v>
      </c>
      <c r="M2577">
        <f>IF((DST_123_ÜRETİM_İHTİYAÇ_RAPORU_BURAK_YENI1309[[#This Row],[SATINALMA]]*DST_123_ÜRETİM_İHTİYAÇ_RAPORU_BURAK_YENI1309[[#This Row],[BIRIM_FIYATLAR]])&lt;1,VALUE("0"),DST_123_ÜRETİM_İHTİYAÇ_RAPORU_BURAK_YENI1309[[#This Row],[SATINALMA]]*DST_123_ÜRETİM_İHTİYAÇ_RAPORU_BURAK_YENI1309[[#This Row],[BIRIM_FIYATLAR]])</f>
        <v>1538.6200000000001</v>
      </c>
      <c r="N2577">
        <v>80.98</v>
      </c>
      <c r="O2577" t="s">
        <v>223</v>
      </c>
      <c r="P2577">
        <v>80.98</v>
      </c>
      <c r="Q2577" t="s">
        <v>183</v>
      </c>
    </row>
    <row r="2578" spans="1:17" x14ac:dyDescent="0.25">
      <c r="A2578" t="s">
        <v>1150</v>
      </c>
      <c r="B2578" t="s">
        <v>1145</v>
      </c>
      <c r="C2578" t="s">
        <v>175</v>
      </c>
      <c r="D2578" t="s">
        <v>518</v>
      </c>
      <c r="E2578" t="s">
        <v>519</v>
      </c>
      <c r="F2578">
        <v>3</v>
      </c>
      <c r="G2578" t="s">
        <v>176</v>
      </c>
      <c r="H2578">
        <v>0</v>
      </c>
      <c r="I2578">
        <v>101</v>
      </c>
      <c r="J2578" s="10">
        <v>10.000000000000057</v>
      </c>
      <c r="K2578" s="10">
        <f>SUMIFS(F:F,D:D,DST_123_ÜRETİM_İHTİYAÇ_RAPORU_BURAK_YENI1309[[#This Row],[ALT_KOD]])-(SUMIFS(H:H,D:D,DST_123_ÜRETİM_İHTİYAÇ_RAPORU_BURAK_YENI1309[[#This Row],[ALT_KOD]])+AVERAGEIFS(I:I,D:D,DST_123_ÜRETİM_İHTİYAÇ_RAPORU_BURAK_YENI1309[[#This Row],[ALT_KOD]])+AVERAGEIFS(L:L,D:D,DST_123_ÜRETİM_İHTİYAÇ_RAPORU_BURAK_YENI1309[[#This Row],[ALT_KOD]]))</f>
        <v>-42.539999999999992</v>
      </c>
      <c r="L2578">
        <v>0</v>
      </c>
      <c r="M2578">
        <f>IF((DST_123_ÜRETİM_İHTİYAÇ_RAPORU_BURAK_YENI1309[[#This Row],[SATINALMA]]*DST_123_ÜRETİM_İHTİYAÇ_RAPORU_BURAK_YENI1309[[#This Row],[BIRIM_FIYATLAR]])&lt;1,VALUE("0"),DST_123_ÜRETİM_İHTİYAÇ_RAPORU_BURAK_YENI1309[[#This Row],[SATINALMA]]*DST_123_ÜRETİM_İHTİYAÇ_RAPORU_BURAK_YENI1309[[#This Row],[BIRIM_FIYATLAR]])</f>
        <v>0</v>
      </c>
      <c r="N2578">
        <v>36</v>
      </c>
      <c r="O2578" t="s">
        <v>240</v>
      </c>
      <c r="P2578">
        <v>108</v>
      </c>
      <c r="Q2578" t="s">
        <v>180</v>
      </c>
    </row>
    <row r="2579" spans="1:17" x14ac:dyDescent="0.25">
      <c r="A2579" t="s">
        <v>1150</v>
      </c>
      <c r="B2579" t="s">
        <v>1145</v>
      </c>
      <c r="C2579" t="s">
        <v>175</v>
      </c>
      <c r="D2579" t="s">
        <v>520</v>
      </c>
      <c r="E2579" t="s">
        <v>521</v>
      </c>
      <c r="F2579">
        <v>6</v>
      </c>
      <c r="G2579" t="s">
        <v>176</v>
      </c>
      <c r="H2579">
        <v>0</v>
      </c>
      <c r="I2579">
        <v>200</v>
      </c>
      <c r="J2579" s="10">
        <v>70</v>
      </c>
      <c r="K2579" s="10">
        <f>SUMIFS(F:F,D:D,DST_123_ÜRETİM_İHTİYAÇ_RAPORU_BURAK_YENI1309[[#This Row],[ALT_KOD]])-(SUMIFS(H:H,D:D,DST_123_ÜRETİM_İHTİYAÇ_RAPORU_BURAK_YENI1309[[#This Row],[ALT_KOD]])+AVERAGEIFS(I:I,D:D,DST_123_ÜRETİM_İHTİYAÇ_RAPORU_BURAK_YENI1309[[#This Row],[ALT_KOD]])+AVERAGEIFS(L:L,D:D,DST_123_ÜRETİM_İHTİYAÇ_RAPORU_BURAK_YENI1309[[#This Row],[ALT_KOD]]))</f>
        <v>-165</v>
      </c>
      <c r="L2579">
        <v>0</v>
      </c>
      <c r="M2579">
        <f>IF((DST_123_ÜRETİM_İHTİYAÇ_RAPORU_BURAK_YENI1309[[#This Row],[SATINALMA]]*DST_123_ÜRETİM_İHTİYAÇ_RAPORU_BURAK_YENI1309[[#This Row],[BIRIM_FIYATLAR]])&lt;1,VALUE("0"),DST_123_ÜRETİM_İHTİYAÇ_RAPORU_BURAK_YENI1309[[#This Row],[SATINALMA]]*DST_123_ÜRETİM_İHTİYAÇ_RAPORU_BURAK_YENI1309[[#This Row],[BIRIM_FIYATLAR]])</f>
        <v>0</v>
      </c>
      <c r="N2579">
        <v>10</v>
      </c>
      <c r="O2579" t="s">
        <v>226</v>
      </c>
      <c r="P2579">
        <v>60</v>
      </c>
      <c r="Q2579" t="s">
        <v>180</v>
      </c>
    </row>
    <row r="2580" spans="1:17" x14ac:dyDescent="0.25">
      <c r="A2580" t="s">
        <v>1149</v>
      </c>
      <c r="B2580" t="s">
        <v>1145</v>
      </c>
      <c r="C2580" t="s">
        <v>175</v>
      </c>
      <c r="D2580" t="s">
        <v>524</v>
      </c>
      <c r="E2580" t="s">
        <v>525</v>
      </c>
      <c r="F2580">
        <v>7</v>
      </c>
      <c r="G2580" t="s">
        <v>176</v>
      </c>
      <c r="H2580">
        <v>0</v>
      </c>
      <c r="I2580">
        <v>300</v>
      </c>
      <c r="J2580" s="10">
        <v>325</v>
      </c>
      <c r="K2580" s="10">
        <f>SUMIFS(F:F,D:D,DST_123_ÜRETİM_İHTİYAÇ_RAPORU_BURAK_YENI1309[[#This Row],[ALT_KOD]])-(SUMIFS(H:H,D:D,DST_123_ÜRETİM_İHTİYAÇ_RAPORU_BURAK_YENI1309[[#This Row],[ALT_KOD]])+AVERAGEIFS(I:I,D:D,DST_123_ÜRETİM_İHTİYAÇ_RAPORU_BURAK_YENI1309[[#This Row],[ALT_KOD]])+AVERAGEIFS(L:L,D:D,DST_123_ÜRETİM_İHTİYAÇ_RAPORU_BURAK_YENI1309[[#This Row],[ALT_KOD]]))</f>
        <v>-192</v>
      </c>
      <c r="L2580">
        <v>0</v>
      </c>
      <c r="M2580">
        <f>IF((DST_123_ÜRETİM_İHTİYAÇ_RAPORU_BURAK_YENI1309[[#This Row],[SATINALMA]]*DST_123_ÜRETİM_İHTİYAÇ_RAPORU_BURAK_YENI1309[[#This Row],[BIRIM_FIYATLAR]])&lt;1,VALUE("0"),DST_123_ÜRETİM_İHTİYAÇ_RAPORU_BURAK_YENI1309[[#This Row],[SATINALMA]]*DST_123_ÜRETİM_İHTİYAÇ_RAPORU_BURAK_YENI1309[[#This Row],[BIRIM_FIYATLAR]])</f>
        <v>0</v>
      </c>
      <c r="N2580">
        <v>12</v>
      </c>
      <c r="O2580" t="s">
        <v>226</v>
      </c>
      <c r="P2580">
        <v>84</v>
      </c>
      <c r="Q2580" t="s">
        <v>180</v>
      </c>
    </row>
    <row r="2581" spans="1:17" x14ac:dyDescent="0.25">
      <c r="A2581" t="s">
        <v>1146</v>
      </c>
      <c r="B2581" t="s">
        <v>1145</v>
      </c>
      <c r="C2581" t="s">
        <v>175</v>
      </c>
      <c r="D2581" t="s">
        <v>673</v>
      </c>
      <c r="E2581" t="s">
        <v>674</v>
      </c>
      <c r="F2581">
        <v>6</v>
      </c>
      <c r="G2581" t="s">
        <v>176</v>
      </c>
      <c r="H2581">
        <v>0</v>
      </c>
      <c r="I2581">
        <v>150</v>
      </c>
      <c r="J2581" s="10">
        <v>78</v>
      </c>
      <c r="K2581" s="10">
        <f>SUMIFS(F:F,D:D,DST_123_ÜRETİM_İHTİYAÇ_RAPORU_BURAK_YENI1309[[#This Row],[ALT_KOD]])-(SUMIFS(H:H,D:D,DST_123_ÜRETİM_İHTİYAÇ_RAPORU_BURAK_YENI1309[[#This Row],[ALT_KOD]])+AVERAGEIFS(I:I,D:D,DST_123_ÜRETİM_İHTİYAÇ_RAPORU_BURAK_YENI1309[[#This Row],[ALT_KOD]])+AVERAGEIFS(L:L,D:D,DST_123_ÜRETİM_İHTİYAÇ_RAPORU_BURAK_YENI1309[[#This Row],[ALT_KOD]]))</f>
        <v>-48</v>
      </c>
      <c r="L2581">
        <v>0</v>
      </c>
      <c r="M2581">
        <f>IF((DST_123_ÜRETİM_İHTİYAÇ_RAPORU_BURAK_YENI1309[[#This Row],[SATINALMA]]*DST_123_ÜRETİM_İHTİYAÇ_RAPORU_BURAK_YENI1309[[#This Row],[BIRIM_FIYATLAR]])&lt;1,VALUE("0"),DST_123_ÜRETİM_İHTİYAÇ_RAPORU_BURAK_YENI1309[[#This Row],[SATINALMA]]*DST_123_ÜRETİM_İHTİYAÇ_RAPORU_BURAK_YENI1309[[#This Row],[BIRIM_FIYATLAR]])</f>
        <v>0</v>
      </c>
      <c r="N2581">
        <v>20.83</v>
      </c>
      <c r="O2581" t="s">
        <v>226</v>
      </c>
      <c r="P2581">
        <v>124.97999999999999</v>
      </c>
      <c r="Q2581" t="s">
        <v>180</v>
      </c>
    </row>
    <row r="2582" spans="1:17" x14ac:dyDescent="0.25">
      <c r="A2582" t="s">
        <v>1144</v>
      </c>
      <c r="B2582" t="s">
        <v>1145</v>
      </c>
      <c r="C2582" t="s">
        <v>175</v>
      </c>
      <c r="D2582" t="s">
        <v>673</v>
      </c>
      <c r="E2582" t="s">
        <v>674</v>
      </c>
      <c r="F2582">
        <v>6</v>
      </c>
      <c r="G2582" t="s">
        <v>176</v>
      </c>
      <c r="H2582">
        <v>0</v>
      </c>
      <c r="I2582">
        <v>150</v>
      </c>
      <c r="J2582" s="10">
        <v>78</v>
      </c>
      <c r="K2582" s="10">
        <f>SUMIFS(F:F,D:D,DST_123_ÜRETİM_İHTİYAÇ_RAPORU_BURAK_YENI1309[[#This Row],[ALT_KOD]])-(SUMIFS(H:H,D:D,DST_123_ÜRETİM_İHTİYAÇ_RAPORU_BURAK_YENI1309[[#This Row],[ALT_KOD]])+AVERAGEIFS(I:I,D:D,DST_123_ÜRETİM_İHTİYAÇ_RAPORU_BURAK_YENI1309[[#This Row],[ALT_KOD]])+AVERAGEIFS(L:L,D:D,DST_123_ÜRETİM_İHTİYAÇ_RAPORU_BURAK_YENI1309[[#This Row],[ALT_KOD]]))</f>
        <v>-48</v>
      </c>
      <c r="L2582">
        <v>0</v>
      </c>
      <c r="M2582">
        <f>IF((DST_123_ÜRETİM_İHTİYAÇ_RAPORU_BURAK_YENI1309[[#This Row],[SATINALMA]]*DST_123_ÜRETİM_İHTİYAÇ_RAPORU_BURAK_YENI1309[[#This Row],[BIRIM_FIYATLAR]])&lt;1,VALUE("0"),DST_123_ÜRETİM_İHTİYAÇ_RAPORU_BURAK_YENI1309[[#This Row],[SATINALMA]]*DST_123_ÜRETİM_İHTİYAÇ_RAPORU_BURAK_YENI1309[[#This Row],[BIRIM_FIYATLAR]])</f>
        <v>0</v>
      </c>
      <c r="N2582">
        <v>20.83</v>
      </c>
      <c r="O2582" t="s">
        <v>226</v>
      </c>
      <c r="P2582">
        <v>124.97999999999999</v>
      </c>
      <c r="Q2582" t="s">
        <v>180</v>
      </c>
    </row>
    <row r="2583" spans="1:17" x14ac:dyDescent="0.25">
      <c r="A2583" t="s">
        <v>1144</v>
      </c>
      <c r="B2583" t="s">
        <v>1145</v>
      </c>
      <c r="C2583" t="s">
        <v>175</v>
      </c>
      <c r="D2583" t="s">
        <v>609</v>
      </c>
      <c r="E2583" t="s">
        <v>610</v>
      </c>
      <c r="F2583">
        <v>2.8</v>
      </c>
      <c r="G2583" t="s">
        <v>176</v>
      </c>
      <c r="H2583">
        <v>0</v>
      </c>
      <c r="I2583">
        <v>0</v>
      </c>
      <c r="J2583" s="10">
        <v>11</v>
      </c>
      <c r="K2583" s="10">
        <f>SUMIFS(F:F,D:D,DST_123_ÜRETİM_İHTİYAÇ_RAPORU_BURAK_YENI1309[[#This Row],[ALT_KOD]])-(SUMIFS(H:H,D:D,DST_123_ÜRETİM_İHTİYAÇ_RAPORU_BURAK_YENI1309[[#This Row],[ALT_KOD]])+AVERAGEIFS(I:I,D:D,DST_123_ÜRETİM_İHTİYAÇ_RAPORU_BURAK_YENI1309[[#This Row],[ALT_KOD]])+AVERAGEIFS(L:L,D:D,DST_123_ÜRETİM_İHTİYAÇ_RAPORU_BURAK_YENI1309[[#This Row],[ALT_KOD]]))</f>
        <v>20.000000000000007</v>
      </c>
      <c r="L2583">
        <v>4</v>
      </c>
      <c r="M2583">
        <f>IF((DST_123_ÜRETİM_İHTİYAÇ_RAPORU_BURAK_YENI1309[[#This Row],[SATINALMA]]*DST_123_ÜRETİM_İHTİYAÇ_RAPORU_BURAK_YENI1309[[#This Row],[BIRIM_FIYATLAR]])&lt;1,VALUE("0"),DST_123_ÜRETİM_İHTİYAÇ_RAPORU_BURAK_YENI1309[[#This Row],[SATINALMA]]*DST_123_ÜRETİM_İHTİYAÇ_RAPORU_BURAK_YENI1309[[#This Row],[BIRIM_FIYATLAR]])</f>
        <v>36666.600000000013</v>
      </c>
      <c r="N2583">
        <v>1833.33</v>
      </c>
      <c r="O2583" t="s">
        <v>223</v>
      </c>
      <c r="P2583">
        <v>5133.3239999999996</v>
      </c>
      <c r="Q2583" t="s">
        <v>181</v>
      </c>
    </row>
    <row r="2584" spans="1:17" x14ac:dyDescent="0.25">
      <c r="A2584" t="s">
        <v>1097</v>
      </c>
      <c r="B2584" t="s">
        <v>1055</v>
      </c>
      <c r="C2584" t="s">
        <v>175</v>
      </c>
      <c r="D2584" t="s">
        <v>460</v>
      </c>
      <c r="E2584" t="s">
        <v>461</v>
      </c>
      <c r="F2584">
        <v>1.5</v>
      </c>
      <c r="G2584" t="s">
        <v>176</v>
      </c>
      <c r="H2584">
        <v>0</v>
      </c>
      <c r="I2584">
        <v>48</v>
      </c>
      <c r="J2584" s="10">
        <v>26</v>
      </c>
      <c r="K2584" s="10">
        <f>SUMIFS(F:F,D:D,DST_123_ÜRETİM_İHTİYAÇ_RAPORU_BURAK_YENI1309[[#This Row],[ALT_KOD]])-(SUMIFS(H:H,D:D,DST_123_ÜRETİM_İHTİYAÇ_RAPORU_BURAK_YENI1309[[#This Row],[ALT_KOD]])+AVERAGEIFS(I:I,D:D,DST_123_ÜRETİM_İHTİYAÇ_RAPORU_BURAK_YENI1309[[#This Row],[ALT_KOD]])+AVERAGEIFS(L:L,D:D,DST_123_ÜRETİM_İHTİYAÇ_RAPORU_BURAK_YENI1309[[#This Row],[ALT_KOD]]))</f>
        <v>-19.5</v>
      </c>
      <c r="L2584">
        <v>0</v>
      </c>
      <c r="M2584">
        <f>IF((DST_123_ÜRETİM_İHTİYAÇ_RAPORU_BURAK_YENI1309[[#This Row],[SATINALMA]]*DST_123_ÜRETİM_İHTİYAÇ_RAPORU_BURAK_YENI1309[[#This Row],[BIRIM_FIYATLAR]])&lt;1,VALUE("0"),DST_123_ÜRETİM_İHTİYAÇ_RAPORU_BURAK_YENI1309[[#This Row],[SATINALMA]]*DST_123_ÜRETİM_İHTİYAÇ_RAPORU_BURAK_YENI1309[[#This Row],[BIRIM_FIYATLAR]])</f>
        <v>0</v>
      </c>
      <c r="N2584">
        <v>5</v>
      </c>
      <c r="O2584" t="s">
        <v>240</v>
      </c>
      <c r="P2584">
        <v>7.5</v>
      </c>
      <c r="Q2584" t="s">
        <v>180</v>
      </c>
    </row>
    <row r="2585" spans="1:17" x14ac:dyDescent="0.25">
      <c r="A2585" t="s">
        <v>1095</v>
      </c>
      <c r="B2585" t="s">
        <v>1096</v>
      </c>
      <c r="C2585" t="s">
        <v>175</v>
      </c>
      <c r="D2585" t="s">
        <v>460</v>
      </c>
      <c r="E2585" t="s">
        <v>461</v>
      </c>
      <c r="F2585">
        <v>1.5</v>
      </c>
      <c r="G2585" t="s">
        <v>176</v>
      </c>
      <c r="H2585">
        <v>0</v>
      </c>
      <c r="I2585">
        <v>48</v>
      </c>
      <c r="J2585" s="10">
        <v>26</v>
      </c>
      <c r="K2585" s="10">
        <f>SUMIFS(F:F,D:D,DST_123_ÜRETİM_İHTİYAÇ_RAPORU_BURAK_YENI1309[[#This Row],[ALT_KOD]])-(SUMIFS(H:H,D:D,DST_123_ÜRETİM_İHTİYAÇ_RAPORU_BURAK_YENI1309[[#This Row],[ALT_KOD]])+AVERAGEIFS(I:I,D:D,DST_123_ÜRETİM_İHTİYAÇ_RAPORU_BURAK_YENI1309[[#This Row],[ALT_KOD]])+AVERAGEIFS(L:L,D:D,DST_123_ÜRETİM_İHTİYAÇ_RAPORU_BURAK_YENI1309[[#This Row],[ALT_KOD]]))</f>
        <v>-19.5</v>
      </c>
      <c r="L2585">
        <v>0</v>
      </c>
      <c r="M2585">
        <f>IF((DST_123_ÜRETİM_İHTİYAÇ_RAPORU_BURAK_YENI1309[[#This Row],[SATINALMA]]*DST_123_ÜRETİM_İHTİYAÇ_RAPORU_BURAK_YENI1309[[#This Row],[BIRIM_FIYATLAR]])&lt;1,VALUE("0"),DST_123_ÜRETİM_İHTİYAÇ_RAPORU_BURAK_YENI1309[[#This Row],[SATINALMA]]*DST_123_ÜRETİM_İHTİYAÇ_RAPORU_BURAK_YENI1309[[#This Row],[BIRIM_FIYATLAR]])</f>
        <v>0</v>
      </c>
      <c r="N2585">
        <v>5</v>
      </c>
      <c r="O2585" t="s">
        <v>240</v>
      </c>
      <c r="P2585">
        <v>7.5</v>
      </c>
      <c r="Q2585" t="s">
        <v>180</v>
      </c>
    </row>
    <row r="2586" spans="1:17" x14ac:dyDescent="0.25">
      <c r="A2586" t="s">
        <v>1059</v>
      </c>
      <c r="B2586" t="s">
        <v>1058</v>
      </c>
      <c r="C2586" t="s">
        <v>175</v>
      </c>
      <c r="D2586" t="s">
        <v>660</v>
      </c>
      <c r="E2586" t="s">
        <v>661</v>
      </c>
      <c r="F2586">
        <v>1</v>
      </c>
      <c r="G2586" t="s">
        <v>185</v>
      </c>
      <c r="H2586">
        <v>0</v>
      </c>
      <c r="I2586">
        <v>0</v>
      </c>
      <c r="J2586" s="10">
        <v>0</v>
      </c>
      <c r="K2586" s="10">
        <f>SUMIFS(F:F,D:D,DST_123_ÜRETİM_İHTİYAÇ_RAPORU_BURAK_YENI1309[[#This Row],[ALT_KOD]])-(SUMIFS(H:H,D:D,DST_123_ÜRETİM_İHTİYAÇ_RAPORU_BURAK_YENI1309[[#This Row],[ALT_KOD]])+AVERAGEIFS(I:I,D:D,DST_123_ÜRETİM_İHTİYAÇ_RAPORU_BURAK_YENI1309[[#This Row],[ALT_KOD]])+AVERAGEIFS(L:L,D:D,DST_123_ÜRETİM_İHTİYAÇ_RAPORU_BURAK_YENI1309[[#This Row],[ALT_KOD]]))</f>
        <v>19</v>
      </c>
      <c r="L2586">
        <v>0</v>
      </c>
      <c r="M2586">
        <f>IF((DST_123_ÜRETİM_İHTİYAÇ_RAPORU_BURAK_YENI1309[[#This Row],[SATINALMA]]*DST_123_ÜRETİM_İHTİYAÇ_RAPORU_BURAK_YENI1309[[#This Row],[BIRIM_FIYATLAR]])&lt;1,VALUE("0"),DST_123_ÜRETİM_İHTİYAÇ_RAPORU_BURAK_YENI1309[[#This Row],[SATINALMA]]*DST_123_ÜRETİM_İHTİYAÇ_RAPORU_BURAK_YENI1309[[#This Row],[BIRIM_FIYATLAR]])</f>
        <v>1538.6200000000001</v>
      </c>
      <c r="N2586">
        <v>80.98</v>
      </c>
      <c r="O2586" t="s">
        <v>223</v>
      </c>
      <c r="P2586">
        <v>80.98</v>
      </c>
      <c r="Q2586" t="s">
        <v>183</v>
      </c>
    </row>
    <row r="2587" spans="1:17" x14ac:dyDescent="0.25">
      <c r="A2587" t="s">
        <v>1095</v>
      </c>
      <c r="B2587" t="s">
        <v>1096</v>
      </c>
      <c r="C2587" t="s">
        <v>175</v>
      </c>
      <c r="D2587" t="s">
        <v>562</v>
      </c>
      <c r="E2587" t="s">
        <v>563</v>
      </c>
      <c r="F2587">
        <v>7</v>
      </c>
      <c r="G2587" t="s">
        <v>176</v>
      </c>
      <c r="H2587">
        <v>0</v>
      </c>
      <c r="I2587">
        <v>3000</v>
      </c>
      <c r="J2587" s="10">
        <v>0</v>
      </c>
      <c r="K2587" s="10">
        <f>SUMIFS(F:F,D:D,DST_123_ÜRETİM_İHTİYAÇ_RAPORU_BURAK_YENI1309[[#This Row],[ALT_KOD]])-(SUMIFS(H:H,D:D,DST_123_ÜRETİM_İHTİYAÇ_RAPORU_BURAK_YENI1309[[#This Row],[ALT_KOD]])+AVERAGEIFS(I:I,D:D,DST_123_ÜRETİM_İHTİYAÇ_RAPORU_BURAK_YENI1309[[#This Row],[ALT_KOD]])+AVERAGEIFS(L:L,D:D,DST_123_ÜRETİM_İHTİYAÇ_RAPORU_BURAK_YENI1309[[#This Row],[ALT_KOD]]))</f>
        <v>-2847</v>
      </c>
      <c r="L2587">
        <v>0</v>
      </c>
      <c r="M2587">
        <f>IF((DST_123_ÜRETİM_İHTİYAÇ_RAPORU_BURAK_YENI1309[[#This Row],[SATINALMA]]*DST_123_ÜRETİM_İHTİYAÇ_RAPORU_BURAK_YENI1309[[#This Row],[BIRIM_FIYATLAR]])&lt;1,VALUE("0"),DST_123_ÜRETİM_İHTİYAÇ_RAPORU_BURAK_YENI1309[[#This Row],[SATINALMA]]*DST_123_ÜRETİM_İHTİYAÇ_RAPORU_BURAK_YENI1309[[#This Row],[BIRIM_FIYATLAR]])</f>
        <v>0</v>
      </c>
      <c r="N2587">
        <v>0.7</v>
      </c>
      <c r="O2587" t="s">
        <v>240</v>
      </c>
      <c r="P2587">
        <v>4.8999999999999995</v>
      </c>
      <c r="Q2587" t="s">
        <v>180</v>
      </c>
    </row>
    <row r="2588" spans="1:17" x14ac:dyDescent="0.25">
      <c r="A2588" t="s">
        <v>1097</v>
      </c>
      <c r="B2588" t="s">
        <v>1055</v>
      </c>
      <c r="C2588" t="s">
        <v>175</v>
      </c>
      <c r="D2588" t="s">
        <v>562</v>
      </c>
      <c r="E2588" t="s">
        <v>563</v>
      </c>
      <c r="F2588">
        <v>7</v>
      </c>
      <c r="G2588" t="s">
        <v>176</v>
      </c>
      <c r="H2588">
        <v>0</v>
      </c>
      <c r="I2588">
        <v>3000</v>
      </c>
      <c r="J2588" s="10">
        <v>0</v>
      </c>
      <c r="K2588" s="10">
        <f>SUMIFS(F:F,D:D,DST_123_ÜRETİM_İHTİYAÇ_RAPORU_BURAK_YENI1309[[#This Row],[ALT_KOD]])-(SUMIFS(H:H,D:D,DST_123_ÜRETİM_İHTİYAÇ_RAPORU_BURAK_YENI1309[[#This Row],[ALT_KOD]])+AVERAGEIFS(I:I,D:D,DST_123_ÜRETİM_İHTİYAÇ_RAPORU_BURAK_YENI1309[[#This Row],[ALT_KOD]])+AVERAGEIFS(L:L,D:D,DST_123_ÜRETİM_İHTİYAÇ_RAPORU_BURAK_YENI1309[[#This Row],[ALT_KOD]]))</f>
        <v>-2847</v>
      </c>
      <c r="L2588">
        <v>0</v>
      </c>
      <c r="M2588">
        <f>IF((DST_123_ÜRETİM_İHTİYAÇ_RAPORU_BURAK_YENI1309[[#This Row],[SATINALMA]]*DST_123_ÜRETİM_İHTİYAÇ_RAPORU_BURAK_YENI1309[[#This Row],[BIRIM_FIYATLAR]])&lt;1,VALUE("0"),DST_123_ÜRETİM_İHTİYAÇ_RAPORU_BURAK_YENI1309[[#This Row],[SATINALMA]]*DST_123_ÜRETİM_İHTİYAÇ_RAPORU_BURAK_YENI1309[[#This Row],[BIRIM_FIYATLAR]])</f>
        <v>0</v>
      </c>
      <c r="N2588">
        <v>0.7</v>
      </c>
      <c r="O2588" t="s">
        <v>240</v>
      </c>
      <c r="P2588">
        <v>4.8999999999999995</v>
      </c>
      <c r="Q2588" t="s">
        <v>180</v>
      </c>
    </row>
    <row r="2589" spans="1:17" x14ac:dyDescent="0.25">
      <c r="A2589" t="s">
        <v>1059</v>
      </c>
      <c r="B2589" t="s">
        <v>1058</v>
      </c>
      <c r="C2589" t="s">
        <v>175</v>
      </c>
      <c r="D2589" t="s">
        <v>562</v>
      </c>
      <c r="E2589" t="s">
        <v>563</v>
      </c>
      <c r="F2589">
        <v>11</v>
      </c>
      <c r="G2589" t="s">
        <v>176</v>
      </c>
      <c r="H2589">
        <v>0</v>
      </c>
      <c r="I2589">
        <v>3000</v>
      </c>
      <c r="J2589" s="10">
        <v>0</v>
      </c>
      <c r="K2589" s="10">
        <f>SUMIFS(F:F,D:D,DST_123_ÜRETİM_İHTİYAÇ_RAPORU_BURAK_YENI1309[[#This Row],[ALT_KOD]])-(SUMIFS(H:H,D:D,DST_123_ÜRETİM_İHTİYAÇ_RAPORU_BURAK_YENI1309[[#This Row],[ALT_KOD]])+AVERAGEIFS(I:I,D:D,DST_123_ÜRETİM_İHTİYAÇ_RAPORU_BURAK_YENI1309[[#This Row],[ALT_KOD]])+AVERAGEIFS(L:L,D:D,DST_123_ÜRETİM_İHTİYAÇ_RAPORU_BURAK_YENI1309[[#This Row],[ALT_KOD]]))</f>
        <v>-2847</v>
      </c>
      <c r="L2589">
        <v>0</v>
      </c>
      <c r="M2589">
        <f>IF((DST_123_ÜRETİM_İHTİYAÇ_RAPORU_BURAK_YENI1309[[#This Row],[SATINALMA]]*DST_123_ÜRETİM_İHTİYAÇ_RAPORU_BURAK_YENI1309[[#This Row],[BIRIM_FIYATLAR]])&lt;1,VALUE("0"),DST_123_ÜRETİM_İHTİYAÇ_RAPORU_BURAK_YENI1309[[#This Row],[SATINALMA]]*DST_123_ÜRETİM_İHTİYAÇ_RAPORU_BURAK_YENI1309[[#This Row],[BIRIM_FIYATLAR]])</f>
        <v>0</v>
      </c>
      <c r="N2589">
        <v>0.7</v>
      </c>
      <c r="O2589" t="s">
        <v>240</v>
      </c>
      <c r="P2589">
        <v>7.6999999999999993</v>
      </c>
      <c r="Q2589" t="s">
        <v>180</v>
      </c>
    </row>
    <row r="2590" spans="1:17" x14ac:dyDescent="0.25">
      <c r="A2590" t="s">
        <v>1059</v>
      </c>
      <c r="B2590" t="s">
        <v>1058</v>
      </c>
      <c r="C2590" t="s">
        <v>175</v>
      </c>
      <c r="D2590" t="s">
        <v>518</v>
      </c>
      <c r="E2590" t="s">
        <v>519</v>
      </c>
      <c r="F2590">
        <v>3</v>
      </c>
      <c r="G2590" t="s">
        <v>176</v>
      </c>
      <c r="H2590">
        <v>0</v>
      </c>
      <c r="I2590">
        <v>101</v>
      </c>
      <c r="J2590" s="10">
        <v>10.000000000000057</v>
      </c>
      <c r="K2590" s="10">
        <f>SUMIFS(F:F,D:D,DST_123_ÜRETİM_İHTİYAÇ_RAPORU_BURAK_YENI1309[[#This Row],[ALT_KOD]])-(SUMIFS(H:H,D:D,DST_123_ÜRETİM_İHTİYAÇ_RAPORU_BURAK_YENI1309[[#This Row],[ALT_KOD]])+AVERAGEIFS(I:I,D:D,DST_123_ÜRETİM_İHTİYAÇ_RAPORU_BURAK_YENI1309[[#This Row],[ALT_KOD]])+AVERAGEIFS(L:L,D:D,DST_123_ÜRETİM_İHTİYAÇ_RAPORU_BURAK_YENI1309[[#This Row],[ALT_KOD]]))</f>
        <v>-42.539999999999992</v>
      </c>
      <c r="L2590">
        <v>0</v>
      </c>
      <c r="M2590">
        <f>IF((DST_123_ÜRETİM_İHTİYAÇ_RAPORU_BURAK_YENI1309[[#This Row],[SATINALMA]]*DST_123_ÜRETİM_İHTİYAÇ_RAPORU_BURAK_YENI1309[[#This Row],[BIRIM_FIYATLAR]])&lt;1,VALUE("0"),DST_123_ÜRETİM_İHTİYAÇ_RAPORU_BURAK_YENI1309[[#This Row],[SATINALMA]]*DST_123_ÜRETİM_İHTİYAÇ_RAPORU_BURAK_YENI1309[[#This Row],[BIRIM_FIYATLAR]])</f>
        <v>0</v>
      </c>
      <c r="N2590">
        <v>36</v>
      </c>
      <c r="O2590" t="s">
        <v>240</v>
      </c>
      <c r="P2590">
        <v>108</v>
      </c>
      <c r="Q2590" t="s">
        <v>180</v>
      </c>
    </row>
    <row r="2591" spans="1:17" x14ac:dyDescent="0.25">
      <c r="A2591" t="s">
        <v>1143</v>
      </c>
      <c r="B2591" t="s">
        <v>1056</v>
      </c>
      <c r="C2591" t="s">
        <v>175</v>
      </c>
      <c r="D2591" t="s">
        <v>518</v>
      </c>
      <c r="E2591" t="s">
        <v>519</v>
      </c>
      <c r="F2591">
        <v>3.17</v>
      </c>
      <c r="G2591" t="s">
        <v>176</v>
      </c>
      <c r="H2591">
        <v>0</v>
      </c>
      <c r="I2591">
        <v>101</v>
      </c>
      <c r="J2591" s="10">
        <v>10.000000000000057</v>
      </c>
      <c r="K2591" s="10">
        <f>SUMIFS(F:F,D:D,DST_123_ÜRETİM_İHTİYAÇ_RAPORU_BURAK_YENI1309[[#This Row],[ALT_KOD]])-(SUMIFS(H:H,D:D,DST_123_ÜRETİM_İHTİYAÇ_RAPORU_BURAK_YENI1309[[#This Row],[ALT_KOD]])+AVERAGEIFS(I:I,D:D,DST_123_ÜRETİM_İHTİYAÇ_RAPORU_BURAK_YENI1309[[#This Row],[ALT_KOD]])+AVERAGEIFS(L:L,D:D,DST_123_ÜRETİM_İHTİYAÇ_RAPORU_BURAK_YENI1309[[#This Row],[ALT_KOD]]))</f>
        <v>-42.539999999999992</v>
      </c>
      <c r="L2591">
        <v>0</v>
      </c>
      <c r="M2591">
        <f>IF((DST_123_ÜRETİM_İHTİYAÇ_RAPORU_BURAK_YENI1309[[#This Row],[SATINALMA]]*DST_123_ÜRETİM_İHTİYAÇ_RAPORU_BURAK_YENI1309[[#This Row],[BIRIM_FIYATLAR]])&lt;1,VALUE("0"),DST_123_ÜRETİM_İHTİYAÇ_RAPORU_BURAK_YENI1309[[#This Row],[SATINALMA]]*DST_123_ÜRETİM_İHTİYAÇ_RAPORU_BURAK_YENI1309[[#This Row],[BIRIM_FIYATLAR]])</f>
        <v>0</v>
      </c>
      <c r="N2591">
        <v>36</v>
      </c>
      <c r="O2591" t="s">
        <v>240</v>
      </c>
      <c r="P2591">
        <v>114.12</v>
      </c>
      <c r="Q2591" t="s">
        <v>180</v>
      </c>
    </row>
    <row r="2592" spans="1:17" x14ac:dyDescent="0.25">
      <c r="A2592" t="s">
        <v>1059</v>
      </c>
      <c r="B2592" t="s">
        <v>1058</v>
      </c>
      <c r="C2592" t="s">
        <v>175</v>
      </c>
      <c r="D2592" t="s">
        <v>520</v>
      </c>
      <c r="E2592" t="s">
        <v>521</v>
      </c>
      <c r="F2592">
        <v>2</v>
      </c>
      <c r="G2592" t="s">
        <v>176</v>
      </c>
      <c r="H2592">
        <v>0</v>
      </c>
      <c r="I2592">
        <v>200</v>
      </c>
      <c r="J2592" s="10">
        <v>70</v>
      </c>
      <c r="K2592" s="10">
        <f>SUMIFS(F:F,D:D,DST_123_ÜRETİM_İHTİYAÇ_RAPORU_BURAK_YENI1309[[#This Row],[ALT_KOD]])-(SUMIFS(H:H,D:D,DST_123_ÜRETİM_İHTİYAÇ_RAPORU_BURAK_YENI1309[[#This Row],[ALT_KOD]])+AVERAGEIFS(I:I,D:D,DST_123_ÜRETİM_İHTİYAÇ_RAPORU_BURAK_YENI1309[[#This Row],[ALT_KOD]])+AVERAGEIFS(L:L,D:D,DST_123_ÜRETİM_İHTİYAÇ_RAPORU_BURAK_YENI1309[[#This Row],[ALT_KOD]]))</f>
        <v>-165</v>
      </c>
      <c r="L2592">
        <v>0</v>
      </c>
      <c r="M2592">
        <f>IF((DST_123_ÜRETİM_İHTİYAÇ_RAPORU_BURAK_YENI1309[[#This Row],[SATINALMA]]*DST_123_ÜRETİM_İHTİYAÇ_RAPORU_BURAK_YENI1309[[#This Row],[BIRIM_FIYATLAR]])&lt;1,VALUE("0"),DST_123_ÜRETİM_İHTİYAÇ_RAPORU_BURAK_YENI1309[[#This Row],[SATINALMA]]*DST_123_ÜRETİM_İHTİYAÇ_RAPORU_BURAK_YENI1309[[#This Row],[BIRIM_FIYATLAR]])</f>
        <v>0</v>
      </c>
      <c r="N2592">
        <v>10</v>
      </c>
      <c r="O2592" t="s">
        <v>226</v>
      </c>
      <c r="P2592">
        <v>20</v>
      </c>
      <c r="Q2592" t="s">
        <v>180</v>
      </c>
    </row>
    <row r="2593" spans="1:17" x14ac:dyDescent="0.25">
      <c r="A2593" t="s">
        <v>1148</v>
      </c>
      <c r="B2593" t="s">
        <v>1056</v>
      </c>
      <c r="C2593" t="s">
        <v>175</v>
      </c>
      <c r="D2593" t="s">
        <v>36</v>
      </c>
      <c r="E2593" t="s">
        <v>37</v>
      </c>
      <c r="F2593">
        <v>3</v>
      </c>
      <c r="G2593" t="s">
        <v>176</v>
      </c>
      <c r="H2593">
        <v>0</v>
      </c>
      <c r="I2593">
        <v>29</v>
      </c>
      <c r="J2593" s="10">
        <v>30</v>
      </c>
      <c r="K2593" s="10">
        <f>SUMIFS(F:F,D:D,DST_123_ÜRETİM_İHTİYAÇ_RAPORU_BURAK_YENI1309[[#This Row],[ALT_KOD]])-(SUMIFS(H:H,D:D,DST_123_ÜRETİM_İHTİYAÇ_RAPORU_BURAK_YENI1309[[#This Row],[ALT_KOD]])+AVERAGEIFS(I:I,D:D,DST_123_ÜRETİM_İHTİYAÇ_RAPORU_BURAK_YENI1309[[#This Row],[ALT_KOD]])+AVERAGEIFS(L:L,D:D,DST_123_ÜRETİM_İHTİYAÇ_RAPORU_BURAK_YENI1309[[#This Row],[ALT_KOD]]))</f>
        <v>10</v>
      </c>
      <c r="L2593">
        <v>0</v>
      </c>
      <c r="M2593">
        <f>IF((DST_123_ÜRETİM_İHTİYAÇ_RAPORU_BURAK_YENI1309[[#This Row],[SATINALMA]]*DST_123_ÜRETİM_İHTİYAÇ_RAPORU_BURAK_YENI1309[[#This Row],[BIRIM_FIYATLAR]])&lt;1,VALUE("0"),DST_123_ÜRETİM_İHTİYAÇ_RAPORU_BURAK_YENI1309[[#This Row],[SATINALMA]]*DST_123_ÜRETİM_İHTİYAÇ_RAPORU_BURAK_YENI1309[[#This Row],[BIRIM_FIYATLAR]])</f>
        <v>17500</v>
      </c>
      <c r="N2593">
        <v>1750</v>
      </c>
      <c r="O2593" t="s">
        <v>1220</v>
      </c>
      <c r="P2593">
        <v>5250</v>
      </c>
      <c r="Q2593" t="s">
        <v>221</v>
      </c>
    </row>
    <row r="2594" spans="1:17" x14ac:dyDescent="0.25">
      <c r="A2594" t="s">
        <v>1148</v>
      </c>
      <c r="B2594" t="s">
        <v>1056</v>
      </c>
      <c r="C2594" t="s">
        <v>175</v>
      </c>
      <c r="D2594" t="s">
        <v>238</v>
      </c>
      <c r="E2594" t="s">
        <v>239</v>
      </c>
      <c r="F2594">
        <v>3.6100000000000003</v>
      </c>
      <c r="G2594" t="s">
        <v>185</v>
      </c>
      <c r="H2594">
        <v>0</v>
      </c>
      <c r="I2594">
        <v>110</v>
      </c>
      <c r="J2594" s="10">
        <v>57.22</v>
      </c>
      <c r="K2594" s="10">
        <f>SUMIFS(F:F,D:D,DST_123_ÜRETİM_İHTİYAÇ_RAPORU_BURAK_YENI1309[[#This Row],[ALT_KOD]])-(SUMIFS(H:H,D:D,DST_123_ÜRETİM_İHTİYAÇ_RAPORU_BURAK_YENI1309[[#This Row],[ALT_KOD]])+AVERAGEIFS(I:I,D:D,DST_123_ÜRETİM_İHTİYAÇ_RAPORU_BURAK_YENI1309[[#This Row],[ALT_KOD]])+AVERAGEIFS(L:L,D:D,DST_123_ÜRETİM_İHTİYAÇ_RAPORU_BURAK_YENI1309[[#This Row],[ALT_KOD]]))</f>
        <v>-78.660000000000025</v>
      </c>
      <c r="L2594">
        <v>0</v>
      </c>
      <c r="M2594">
        <f>IF((DST_123_ÜRETİM_İHTİYAÇ_RAPORU_BURAK_YENI1309[[#This Row],[SATINALMA]]*DST_123_ÜRETİM_İHTİYAÇ_RAPORU_BURAK_YENI1309[[#This Row],[BIRIM_FIYATLAR]])&lt;1,VALUE("0"),DST_123_ÜRETİM_İHTİYAÇ_RAPORU_BURAK_YENI1309[[#This Row],[SATINALMA]]*DST_123_ÜRETİM_İHTİYAÇ_RAPORU_BURAK_YENI1309[[#This Row],[BIRIM_FIYATLAR]])</f>
        <v>0</v>
      </c>
      <c r="N2594">
        <v>40</v>
      </c>
      <c r="O2594" t="s">
        <v>240</v>
      </c>
      <c r="P2594">
        <v>144.4</v>
      </c>
      <c r="Q2594" t="s">
        <v>180</v>
      </c>
    </row>
    <row r="2595" spans="1:17" x14ac:dyDescent="0.25">
      <c r="A2595" t="s">
        <v>1095</v>
      </c>
      <c r="B2595" t="s">
        <v>1096</v>
      </c>
      <c r="C2595" t="s">
        <v>175</v>
      </c>
      <c r="D2595" t="s">
        <v>678</v>
      </c>
      <c r="E2595" t="s">
        <v>679</v>
      </c>
      <c r="F2595">
        <v>15</v>
      </c>
      <c r="G2595" t="s">
        <v>176</v>
      </c>
      <c r="H2595">
        <v>0</v>
      </c>
      <c r="I2595">
        <v>350</v>
      </c>
      <c r="J2595" s="10">
        <v>210</v>
      </c>
      <c r="K2595" s="10">
        <f>SUMIFS(F:F,D:D,DST_123_ÜRETİM_İHTİYAÇ_RAPORU_BURAK_YENI1309[[#This Row],[ALT_KOD]])-(SUMIFS(H:H,D:D,DST_123_ÜRETİM_İHTİYAÇ_RAPORU_BURAK_YENI1309[[#This Row],[ALT_KOD]])+AVERAGEIFS(I:I,D:D,DST_123_ÜRETİM_İHTİYAÇ_RAPORU_BURAK_YENI1309[[#This Row],[ALT_KOD]])+AVERAGEIFS(L:L,D:D,DST_123_ÜRETİM_İHTİYAÇ_RAPORU_BURAK_YENI1309[[#This Row],[ALT_KOD]]))</f>
        <v>-245</v>
      </c>
      <c r="L2595">
        <v>0</v>
      </c>
      <c r="M2595">
        <f>IF((DST_123_ÜRETİM_İHTİYAÇ_RAPORU_BURAK_YENI1309[[#This Row],[SATINALMA]]*DST_123_ÜRETİM_İHTİYAÇ_RAPORU_BURAK_YENI1309[[#This Row],[BIRIM_FIYATLAR]])&lt;1,VALUE("0"),DST_123_ÜRETİM_İHTİYAÇ_RAPORU_BURAK_YENI1309[[#This Row],[SATINALMA]]*DST_123_ÜRETİM_İHTİYAÇ_RAPORU_BURAK_YENI1309[[#This Row],[BIRIM_FIYATLAR]])</f>
        <v>0</v>
      </c>
      <c r="N2595">
        <v>4</v>
      </c>
      <c r="O2595" t="s">
        <v>226</v>
      </c>
      <c r="P2595">
        <v>60</v>
      </c>
      <c r="Q2595" t="s">
        <v>180</v>
      </c>
    </row>
    <row r="2596" spans="1:17" x14ac:dyDescent="0.25">
      <c r="A2596" t="s">
        <v>1142</v>
      </c>
      <c r="B2596" t="s">
        <v>1056</v>
      </c>
      <c r="C2596" t="s">
        <v>175</v>
      </c>
      <c r="D2596" t="s">
        <v>446</v>
      </c>
      <c r="E2596" t="s">
        <v>447</v>
      </c>
      <c r="F2596">
        <v>1</v>
      </c>
      <c r="G2596" t="s">
        <v>176</v>
      </c>
      <c r="H2596">
        <v>0</v>
      </c>
      <c r="I2596">
        <v>13</v>
      </c>
      <c r="J2596" s="10">
        <v>13</v>
      </c>
      <c r="K2596" s="10">
        <f>SUMIFS(F:F,D:D,DST_123_ÜRETİM_İHTİYAÇ_RAPORU_BURAK_YENI1309[[#This Row],[ALT_KOD]])-(SUMIFS(H:H,D:D,DST_123_ÜRETİM_İHTİYAÇ_RAPORU_BURAK_YENI1309[[#This Row],[ALT_KOD]])+AVERAGEIFS(I:I,D:D,DST_123_ÜRETİM_İHTİYAÇ_RAPORU_BURAK_YENI1309[[#This Row],[ALT_KOD]])+AVERAGEIFS(L:L,D:D,DST_123_ÜRETİM_İHTİYAÇ_RAPORU_BURAK_YENI1309[[#This Row],[ALT_KOD]]))</f>
        <v>-1</v>
      </c>
      <c r="L2596">
        <v>0</v>
      </c>
      <c r="M2596">
        <f>IF((DST_123_ÜRETİM_İHTİYAÇ_RAPORU_BURAK_YENI1309[[#This Row],[SATINALMA]]*DST_123_ÜRETİM_İHTİYAÇ_RAPORU_BURAK_YENI1309[[#This Row],[BIRIM_FIYATLAR]])&lt;1,VALUE("0"),DST_123_ÜRETİM_İHTİYAÇ_RAPORU_BURAK_YENI1309[[#This Row],[SATINALMA]]*DST_123_ÜRETİM_İHTİYAÇ_RAPORU_BURAK_YENI1309[[#This Row],[BIRIM_FIYATLAR]])</f>
        <v>0</v>
      </c>
      <c r="N2596">
        <v>237.5</v>
      </c>
      <c r="O2596" t="s">
        <v>628</v>
      </c>
      <c r="P2596">
        <v>237.5</v>
      </c>
      <c r="Q2596" t="s">
        <v>180</v>
      </c>
    </row>
    <row r="2597" spans="1:17" x14ac:dyDescent="0.25">
      <c r="A2597" t="s">
        <v>1147</v>
      </c>
      <c r="B2597" t="s">
        <v>1145</v>
      </c>
      <c r="C2597" t="s">
        <v>175</v>
      </c>
      <c r="D2597" t="s">
        <v>36</v>
      </c>
      <c r="E2597" t="s">
        <v>37</v>
      </c>
      <c r="F2597">
        <v>3</v>
      </c>
      <c r="G2597" t="s">
        <v>176</v>
      </c>
      <c r="H2597">
        <v>0</v>
      </c>
      <c r="I2597">
        <v>29</v>
      </c>
      <c r="J2597" s="10">
        <v>30</v>
      </c>
      <c r="K2597" s="10">
        <f>SUMIFS(F:F,D:D,DST_123_ÜRETİM_İHTİYAÇ_RAPORU_BURAK_YENI1309[[#This Row],[ALT_KOD]])-(SUMIFS(H:H,D:D,DST_123_ÜRETİM_İHTİYAÇ_RAPORU_BURAK_YENI1309[[#This Row],[ALT_KOD]])+AVERAGEIFS(I:I,D:D,DST_123_ÜRETİM_İHTİYAÇ_RAPORU_BURAK_YENI1309[[#This Row],[ALT_KOD]])+AVERAGEIFS(L:L,D:D,DST_123_ÜRETİM_İHTİYAÇ_RAPORU_BURAK_YENI1309[[#This Row],[ALT_KOD]]))</f>
        <v>10</v>
      </c>
      <c r="L2597">
        <v>0</v>
      </c>
      <c r="M2597">
        <f>IF((DST_123_ÜRETİM_İHTİYAÇ_RAPORU_BURAK_YENI1309[[#This Row],[SATINALMA]]*DST_123_ÜRETİM_İHTİYAÇ_RAPORU_BURAK_YENI1309[[#This Row],[BIRIM_FIYATLAR]])&lt;1,VALUE("0"),DST_123_ÜRETİM_İHTİYAÇ_RAPORU_BURAK_YENI1309[[#This Row],[SATINALMA]]*DST_123_ÜRETİM_İHTİYAÇ_RAPORU_BURAK_YENI1309[[#This Row],[BIRIM_FIYATLAR]])</f>
        <v>17500</v>
      </c>
      <c r="N2597">
        <v>1750</v>
      </c>
      <c r="O2597" t="s">
        <v>1220</v>
      </c>
      <c r="P2597">
        <v>5250</v>
      </c>
      <c r="Q2597" t="s">
        <v>221</v>
      </c>
    </row>
    <row r="2598" spans="1:17" x14ac:dyDescent="0.25">
      <c r="A2598" t="s">
        <v>1147</v>
      </c>
      <c r="B2598" t="s">
        <v>1145</v>
      </c>
      <c r="C2598" t="s">
        <v>175</v>
      </c>
      <c r="D2598" t="s">
        <v>238</v>
      </c>
      <c r="E2598" t="s">
        <v>239</v>
      </c>
      <c r="F2598">
        <v>2.8</v>
      </c>
      <c r="G2598" t="s">
        <v>185</v>
      </c>
      <c r="H2598">
        <v>0</v>
      </c>
      <c r="I2598">
        <v>110</v>
      </c>
      <c r="J2598" s="10">
        <v>57.22</v>
      </c>
      <c r="K2598" s="10">
        <f>SUMIFS(F:F,D:D,DST_123_ÜRETİM_İHTİYAÇ_RAPORU_BURAK_YENI1309[[#This Row],[ALT_KOD]])-(SUMIFS(H:H,D:D,DST_123_ÜRETİM_İHTİYAÇ_RAPORU_BURAK_YENI1309[[#This Row],[ALT_KOD]])+AVERAGEIFS(I:I,D:D,DST_123_ÜRETİM_İHTİYAÇ_RAPORU_BURAK_YENI1309[[#This Row],[ALT_KOD]])+AVERAGEIFS(L:L,D:D,DST_123_ÜRETİM_İHTİYAÇ_RAPORU_BURAK_YENI1309[[#This Row],[ALT_KOD]]))</f>
        <v>-78.660000000000025</v>
      </c>
      <c r="L2598">
        <v>0</v>
      </c>
      <c r="M2598">
        <f>IF((DST_123_ÜRETİM_İHTİYAÇ_RAPORU_BURAK_YENI1309[[#This Row],[SATINALMA]]*DST_123_ÜRETİM_İHTİYAÇ_RAPORU_BURAK_YENI1309[[#This Row],[BIRIM_FIYATLAR]])&lt;1,VALUE("0"),DST_123_ÜRETİM_İHTİYAÇ_RAPORU_BURAK_YENI1309[[#This Row],[SATINALMA]]*DST_123_ÜRETİM_İHTİYAÇ_RAPORU_BURAK_YENI1309[[#This Row],[BIRIM_FIYATLAR]])</f>
        <v>0</v>
      </c>
      <c r="N2598">
        <v>40</v>
      </c>
      <c r="O2598" t="s">
        <v>240</v>
      </c>
      <c r="P2598">
        <v>112</v>
      </c>
      <c r="Q2598" t="s">
        <v>180</v>
      </c>
    </row>
    <row r="2599" spans="1:17" x14ac:dyDescent="0.25">
      <c r="A2599" t="s">
        <v>1100</v>
      </c>
      <c r="B2599" t="s">
        <v>1058</v>
      </c>
      <c r="C2599" t="s">
        <v>175</v>
      </c>
      <c r="D2599" t="s">
        <v>238</v>
      </c>
      <c r="E2599" t="s">
        <v>239</v>
      </c>
      <c r="F2599">
        <v>5</v>
      </c>
      <c r="G2599" t="s">
        <v>185</v>
      </c>
      <c r="H2599">
        <v>5</v>
      </c>
      <c r="I2599">
        <v>110</v>
      </c>
      <c r="J2599" s="10">
        <v>57.22</v>
      </c>
      <c r="K2599" s="10">
        <f>SUMIFS(F:F,D:D,DST_123_ÜRETİM_İHTİYAÇ_RAPORU_BURAK_YENI1309[[#This Row],[ALT_KOD]])-(SUMIFS(H:H,D:D,DST_123_ÜRETİM_İHTİYAÇ_RAPORU_BURAK_YENI1309[[#This Row],[ALT_KOD]])+AVERAGEIFS(I:I,D:D,DST_123_ÜRETİM_İHTİYAÇ_RAPORU_BURAK_YENI1309[[#This Row],[ALT_KOD]])+AVERAGEIFS(L:L,D:D,DST_123_ÜRETİM_İHTİYAÇ_RAPORU_BURAK_YENI1309[[#This Row],[ALT_KOD]]))</f>
        <v>-78.660000000000025</v>
      </c>
      <c r="L2599">
        <v>0</v>
      </c>
      <c r="M2599">
        <f>IF((DST_123_ÜRETİM_İHTİYAÇ_RAPORU_BURAK_YENI1309[[#This Row],[SATINALMA]]*DST_123_ÜRETİM_İHTİYAÇ_RAPORU_BURAK_YENI1309[[#This Row],[BIRIM_FIYATLAR]])&lt;1,VALUE("0"),DST_123_ÜRETİM_İHTİYAÇ_RAPORU_BURAK_YENI1309[[#This Row],[SATINALMA]]*DST_123_ÜRETİM_İHTİYAÇ_RAPORU_BURAK_YENI1309[[#This Row],[BIRIM_FIYATLAR]])</f>
        <v>0</v>
      </c>
      <c r="N2599">
        <v>40</v>
      </c>
      <c r="O2599" t="s">
        <v>240</v>
      </c>
      <c r="P2599">
        <v>200</v>
      </c>
      <c r="Q2599" t="s">
        <v>180</v>
      </c>
    </row>
    <row r="2600" spans="1:17" x14ac:dyDescent="0.25">
      <c r="A2600" t="s">
        <v>1097</v>
      </c>
      <c r="B2600" t="s">
        <v>1055</v>
      </c>
      <c r="C2600" t="s">
        <v>175</v>
      </c>
      <c r="D2600" t="s">
        <v>883</v>
      </c>
      <c r="E2600" t="s">
        <v>884</v>
      </c>
      <c r="F2600">
        <v>9</v>
      </c>
      <c r="G2600" t="s">
        <v>179</v>
      </c>
      <c r="H2600">
        <v>0</v>
      </c>
      <c r="I2600">
        <v>480</v>
      </c>
      <c r="J2600" s="10">
        <v>0</v>
      </c>
      <c r="K2600" s="10">
        <f>SUMIFS(F:F,D:D,DST_123_ÜRETİM_İHTİYAÇ_RAPORU_BURAK_YENI1309[[#This Row],[ALT_KOD]])-(SUMIFS(H:H,D:D,DST_123_ÜRETİM_İHTİYAÇ_RAPORU_BURAK_YENI1309[[#This Row],[ALT_KOD]])+AVERAGEIFS(I:I,D:D,DST_123_ÜRETİM_İHTİYAÇ_RAPORU_BURAK_YENI1309[[#This Row],[ALT_KOD]])+AVERAGEIFS(L:L,D:D,DST_123_ÜRETİM_İHTİYAÇ_RAPORU_BURAK_YENI1309[[#This Row],[ALT_KOD]]))</f>
        <v>-408</v>
      </c>
      <c r="L2600">
        <v>0</v>
      </c>
      <c r="M2600">
        <f>IF((DST_123_ÜRETİM_İHTİYAÇ_RAPORU_BURAK_YENI1309[[#This Row],[SATINALMA]]*DST_123_ÜRETİM_İHTİYAÇ_RAPORU_BURAK_YENI1309[[#This Row],[BIRIM_FIYATLAR]])&lt;1,VALUE("0"),DST_123_ÜRETİM_İHTİYAÇ_RAPORU_BURAK_YENI1309[[#This Row],[SATINALMA]]*DST_123_ÜRETİM_İHTİYAÇ_RAPORU_BURAK_YENI1309[[#This Row],[BIRIM_FIYATLAR]])</f>
        <v>0</v>
      </c>
      <c r="N2600">
        <v>4</v>
      </c>
      <c r="P2600">
        <v>36</v>
      </c>
      <c r="Q2600" t="s">
        <v>181</v>
      </c>
    </row>
    <row r="2601" spans="1:17" x14ac:dyDescent="0.25">
      <c r="A2601" t="s">
        <v>1143</v>
      </c>
      <c r="B2601" t="s">
        <v>1056</v>
      </c>
      <c r="C2601" t="s">
        <v>175</v>
      </c>
      <c r="D2601" t="s">
        <v>678</v>
      </c>
      <c r="E2601" t="s">
        <v>679</v>
      </c>
      <c r="F2601">
        <v>15</v>
      </c>
      <c r="G2601" t="s">
        <v>176</v>
      </c>
      <c r="H2601">
        <v>0</v>
      </c>
      <c r="I2601">
        <v>350</v>
      </c>
      <c r="J2601" s="10">
        <v>210</v>
      </c>
      <c r="K2601" s="10">
        <f>SUMIFS(F:F,D:D,DST_123_ÜRETİM_İHTİYAÇ_RAPORU_BURAK_YENI1309[[#This Row],[ALT_KOD]])-(SUMIFS(H:H,D:D,DST_123_ÜRETİM_İHTİYAÇ_RAPORU_BURAK_YENI1309[[#This Row],[ALT_KOD]])+AVERAGEIFS(I:I,D:D,DST_123_ÜRETİM_İHTİYAÇ_RAPORU_BURAK_YENI1309[[#This Row],[ALT_KOD]])+AVERAGEIFS(L:L,D:D,DST_123_ÜRETİM_İHTİYAÇ_RAPORU_BURAK_YENI1309[[#This Row],[ALT_KOD]]))</f>
        <v>-245</v>
      </c>
      <c r="L2601">
        <v>0</v>
      </c>
      <c r="M2601">
        <f>IF((DST_123_ÜRETİM_İHTİYAÇ_RAPORU_BURAK_YENI1309[[#This Row],[SATINALMA]]*DST_123_ÜRETİM_İHTİYAÇ_RAPORU_BURAK_YENI1309[[#This Row],[BIRIM_FIYATLAR]])&lt;1,VALUE("0"),DST_123_ÜRETİM_İHTİYAÇ_RAPORU_BURAK_YENI1309[[#This Row],[SATINALMA]]*DST_123_ÜRETİM_İHTİYAÇ_RAPORU_BURAK_YENI1309[[#This Row],[BIRIM_FIYATLAR]])</f>
        <v>0</v>
      </c>
      <c r="N2601">
        <v>4</v>
      </c>
      <c r="O2601" t="s">
        <v>226</v>
      </c>
      <c r="P2601">
        <v>60</v>
      </c>
      <c r="Q2601" t="s">
        <v>180</v>
      </c>
    </row>
    <row r="2602" spans="1:17" x14ac:dyDescent="0.25">
      <c r="A2602" t="s">
        <v>1098</v>
      </c>
      <c r="B2602" t="s">
        <v>1096</v>
      </c>
      <c r="C2602" t="s">
        <v>175</v>
      </c>
      <c r="D2602" t="s">
        <v>74</v>
      </c>
      <c r="E2602" t="s">
        <v>75</v>
      </c>
      <c r="F2602">
        <v>2</v>
      </c>
      <c r="G2602" t="s">
        <v>176</v>
      </c>
      <c r="H2602">
        <v>0</v>
      </c>
      <c r="I2602">
        <v>24</v>
      </c>
      <c r="J2602" s="10">
        <v>30</v>
      </c>
      <c r="K2602" s="10">
        <f>SUMIFS(F:F,D:D,DST_123_ÜRETİM_İHTİYAÇ_RAPORU_BURAK_YENI1309[[#This Row],[ALT_KOD]])-(SUMIFS(H:H,D:D,DST_123_ÜRETİM_İHTİYAÇ_RAPORU_BURAK_YENI1309[[#This Row],[ALT_KOD]])+AVERAGEIFS(I:I,D:D,DST_123_ÜRETİM_İHTİYAÇ_RAPORU_BURAK_YENI1309[[#This Row],[ALT_KOD]])+AVERAGEIFS(L:L,D:D,DST_123_ÜRETİM_İHTİYAÇ_RAPORU_BURAK_YENI1309[[#This Row],[ALT_KOD]]))</f>
        <v>-24</v>
      </c>
      <c r="L2602">
        <v>50</v>
      </c>
      <c r="M2602">
        <f>IF((DST_123_ÜRETİM_İHTİYAÇ_RAPORU_BURAK_YENI1309[[#This Row],[SATINALMA]]*DST_123_ÜRETİM_İHTİYAÇ_RAPORU_BURAK_YENI1309[[#This Row],[BIRIM_FIYATLAR]])&lt;1,VALUE("0"),DST_123_ÜRETİM_İHTİYAÇ_RAPORU_BURAK_YENI1309[[#This Row],[SATINALMA]]*DST_123_ÜRETİM_İHTİYAÇ_RAPORU_BURAK_YENI1309[[#This Row],[BIRIM_FIYATLAR]])</f>
        <v>0</v>
      </c>
      <c r="N2602">
        <v>37</v>
      </c>
      <c r="O2602" t="s">
        <v>821</v>
      </c>
      <c r="P2602">
        <v>74</v>
      </c>
      <c r="Q2602" t="s">
        <v>178</v>
      </c>
    </row>
    <row r="2603" spans="1:17" x14ac:dyDescent="0.25">
      <c r="A2603" t="s">
        <v>1064</v>
      </c>
      <c r="B2603" t="s">
        <v>1055</v>
      </c>
      <c r="C2603" t="s">
        <v>175</v>
      </c>
      <c r="D2603" t="s">
        <v>74</v>
      </c>
      <c r="E2603" t="s">
        <v>75</v>
      </c>
      <c r="F2603">
        <v>3</v>
      </c>
      <c r="G2603" t="s">
        <v>176</v>
      </c>
      <c r="H2603">
        <v>0</v>
      </c>
      <c r="I2603">
        <v>24</v>
      </c>
      <c r="J2603" s="10">
        <v>30</v>
      </c>
      <c r="K2603" s="10">
        <f>SUMIFS(F:F,D:D,DST_123_ÜRETİM_İHTİYAÇ_RAPORU_BURAK_YENI1309[[#This Row],[ALT_KOD]])-(SUMIFS(H:H,D:D,DST_123_ÜRETİM_İHTİYAÇ_RAPORU_BURAK_YENI1309[[#This Row],[ALT_KOD]])+AVERAGEIFS(I:I,D:D,DST_123_ÜRETİM_İHTİYAÇ_RAPORU_BURAK_YENI1309[[#This Row],[ALT_KOD]])+AVERAGEIFS(L:L,D:D,DST_123_ÜRETİM_İHTİYAÇ_RAPORU_BURAK_YENI1309[[#This Row],[ALT_KOD]]))</f>
        <v>-24</v>
      </c>
      <c r="L2603">
        <v>50</v>
      </c>
      <c r="M2603">
        <f>IF((DST_123_ÜRETİM_İHTİYAÇ_RAPORU_BURAK_YENI1309[[#This Row],[SATINALMA]]*DST_123_ÜRETİM_İHTİYAÇ_RAPORU_BURAK_YENI1309[[#This Row],[BIRIM_FIYATLAR]])&lt;1,VALUE("0"),DST_123_ÜRETİM_İHTİYAÇ_RAPORU_BURAK_YENI1309[[#This Row],[SATINALMA]]*DST_123_ÜRETİM_İHTİYAÇ_RAPORU_BURAK_YENI1309[[#This Row],[BIRIM_FIYATLAR]])</f>
        <v>0</v>
      </c>
      <c r="N2603">
        <v>37</v>
      </c>
      <c r="O2603" t="s">
        <v>821</v>
      </c>
      <c r="P2603">
        <v>111</v>
      </c>
      <c r="Q2603" t="s">
        <v>178</v>
      </c>
    </row>
    <row r="2604" spans="1:17" x14ac:dyDescent="0.25">
      <c r="A2604" t="s">
        <v>1059</v>
      </c>
      <c r="B2604" t="s">
        <v>1058</v>
      </c>
      <c r="C2604" t="s">
        <v>175</v>
      </c>
      <c r="D2604" t="s">
        <v>468</v>
      </c>
      <c r="E2604" t="s">
        <v>579</v>
      </c>
      <c r="F2604">
        <v>2</v>
      </c>
      <c r="G2604" t="s">
        <v>185</v>
      </c>
      <c r="H2604">
        <v>0</v>
      </c>
      <c r="I2604">
        <v>30</v>
      </c>
      <c r="J2604" s="10">
        <v>21.5</v>
      </c>
      <c r="K2604" s="10">
        <f>SUMIFS(F:F,D:D,DST_123_ÜRETİM_İHTİYAÇ_RAPORU_BURAK_YENI1309[[#This Row],[ALT_KOD]])-(SUMIFS(H:H,D:D,DST_123_ÜRETİM_İHTİYAÇ_RAPORU_BURAK_YENI1309[[#This Row],[ALT_KOD]])+AVERAGEIFS(I:I,D:D,DST_123_ÜRETİM_İHTİYAÇ_RAPORU_BURAK_YENI1309[[#This Row],[ALT_KOD]])+AVERAGEIFS(L:L,D:D,DST_123_ÜRETİM_İHTİYAÇ_RAPORU_BURAK_YENI1309[[#This Row],[ALT_KOD]]))</f>
        <v>4</v>
      </c>
      <c r="L2604">
        <v>0</v>
      </c>
      <c r="M2604">
        <f>IF((DST_123_ÜRETİM_İHTİYAÇ_RAPORU_BURAK_YENI1309[[#This Row],[SATINALMA]]*DST_123_ÜRETİM_İHTİYAÇ_RAPORU_BURAK_YENI1309[[#This Row],[BIRIM_FIYATLAR]])&lt;1,VALUE("0"),DST_123_ÜRETİM_İHTİYAÇ_RAPORU_BURAK_YENI1309[[#This Row],[SATINALMA]]*DST_123_ÜRETİM_İHTİYAÇ_RAPORU_BURAK_YENI1309[[#This Row],[BIRIM_FIYATLAR]])</f>
        <v>472.56</v>
      </c>
      <c r="N2604">
        <v>118.14</v>
      </c>
      <c r="O2604" t="s">
        <v>393</v>
      </c>
      <c r="P2604">
        <v>236.28</v>
      </c>
      <c r="Q2604" t="s">
        <v>183</v>
      </c>
    </row>
    <row r="2605" spans="1:17" x14ac:dyDescent="0.25">
      <c r="A2605" t="s">
        <v>1097</v>
      </c>
      <c r="B2605" t="s">
        <v>1055</v>
      </c>
      <c r="C2605" t="s">
        <v>175</v>
      </c>
      <c r="D2605" t="s">
        <v>468</v>
      </c>
      <c r="E2605" t="s">
        <v>579</v>
      </c>
      <c r="F2605">
        <v>2</v>
      </c>
      <c r="G2605" t="s">
        <v>185</v>
      </c>
      <c r="H2605">
        <v>0</v>
      </c>
      <c r="I2605">
        <v>30</v>
      </c>
      <c r="J2605" s="10">
        <v>21.5</v>
      </c>
      <c r="K2605" s="10">
        <f>SUMIFS(F:F,D:D,DST_123_ÜRETİM_İHTİYAÇ_RAPORU_BURAK_YENI1309[[#This Row],[ALT_KOD]])-(SUMIFS(H:H,D:D,DST_123_ÜRETİM_İHTİYAÇ_RAPORU_BURAK_YENI1309[[#This Row],[ALT_KOD]])+AVERAGEIFS(I:I,D:D,DST_123_ÜRETİM_İHTİYAÇ_RAPORU_BURAK_YENI1309[[#This Row],[ALT_KOD]])+AVERAGEIFS(L:L,D:D,DST_123_ÜRETİM_İHTİYAÇ_RAPORU_BURAK_YENI1309[[#This Row],[ALT_KOD]]))</f>
        <v>4</v>
      </c>
      <c r="L2605">
        <v>0</v>
      </c>
      <c r="M2605">
        <f>IF((DST_123_ÜRETİM_İHTİYAÇ_RAPORU_BURAK_YENI1309[[#This Row],[SATINALMA]]*DST_123_ÜRETİM_İHTİYAÇ_RAPORU_BURAK_YENI1309[[#This Row],[BIRIM_FIYATLAR]])&lt;1,VALUE("0"),DST_123_ÜRETİM_İHTİYAÇ_RAPORU_BURAK_YENI1309[[#This Row],[SATINALMA]]*DST_123_ÜRETİM_İHTİYAÇ_RAPORU_BURAK_YENI1309[[#This Row],[BIRIM_FIYATLAR]])</f>
        <v>472.56</v>
      </c>
      <c r="N2605">
        <v>118.14</v>
      </c>
      <c r="O2605" t="s">
        <v>393</v>
      </c>
      <c r="P2605">
        <v>236.28</v>
      </c>
      <c r="Q2605" t="s">
        <v>183</v>
      </c>
    </row>
    <row r="2606" spans="1:17" x14ac:dyDescent="0.25">
      <c r="A2606" t="s">
        <v>1059</v>
      </c>
      <c r="B2606" t="s">
        <v>1058</v>
      </c>
      <c r="C2606" t="s">
        <v>175</v>
      </c>
      <c r="D2606" t="s">
        <v>413</v>
      </c>
      <c r="E2606" t="s">
        <v>664</v>
      </c>
      <c r="F2606">
        <v>0.30000000000000004</v>
      </c>
      <c r="G2606" t="s">
        <v>179</v>
      </c>
      <c r="H2606">
        <v>0</v>
      </c>
      <c r="I2606">
        <v>0</v>
      </c>
      <c r="J2606" s="10">
        <v>93.800000000000011</v>
      </c>
      <c r="K2606" s="10">
        <f>SUMIFS(F:F,D:D,DST_123_ÜRETİM_İHTİYAÇ_RAPORU_BURAK_YENI1309[[#This Row],[ALT_KOD]])-(SUMIFS(H:H,D:D,DST_123_ÜRETİM_İHTİYAÇ_RAPORU_BURAK_YENI1309[[#This Row],[ALT_KOD]])+AVERAGEIFS(I:I,D:D,DST_123_ÜRETİM_İHTİYAÇ_RAPORU_BURAK_YENI1309[[#This Row],[ALT_KOD]])+AVERAGEIFS(L:L,D:D,DST_123_ÜRETİM_İHTİYAÇ_RAPORU_BURAK_YENI1309[[#This Row],[ALT_KOD]]))</f>
        <v>5.0999999999999996</v>
      </c>
      <c r="L2606">
        <v>0</v>
      </c>
      <c r="M2606">
        <f>IF((DST_123_ÜRETİM_İHTİYAÇ_RAPORU_BURAK_YENI1309[[#This Row],[SATINALMA]]*DST_123_ÜRETİM_İHTİYAÇ_RAPORU_BURAK_YENI1309[[#This Row],[BIRIM_FIYATLAR]])&lt;1,VALUE("0"),DST_123_ÜRETİM_İHTİYAÇ_RAPORU_BURAK_YENI1309[[#This Row],[SATINALMA]]*DST_123_ÜRETİM_İHTİYAÇ_RAPORU_BURAK_YENI1309[[#This Row],[BIRIM_FIYATLAR]])</f>
        <v>34.526999999999994</v>
      </c>
      <c r="N2606">
        <v>6.77</v>
      </c>
      <c r="O2606" t="s">
        <v>635</v>
      </c>
      <c r="P2606">
        <v>2.0310000000000001</v>
      </c>
      <c r="Q2606" t="s">
        <v>221</v>
      </c>
    </row>
    <row r="2607" spans="1:17" x14ac:dyDescent="0.25">
      <c r="A2607" t="s">
        <v>1143</v>
      </c>
      <c r="B2607" t="s">
        <v>1056</v>
      </c>
      <c r="C2607" t="s">
        <v>175</v>
      </c>
      <c r="D2607" t="s">
        <v>413</v>
      </c>
      <c r="E2607" t="s">
        <v>664</v>
      </c>
      <c r="F2607">
        <v>0.2</v>
      </c>
      <c r="G2607" t="s">
        <v>179</v>
      </c>
      <c r="H2607">
        <v>0</v>
      </c>
      <c r="I2607">
        <v>0</v>
      </c>
      <c r="J2607" s="10">
        <v>93.800000000000011</v>
      </c>
      <c r="K2607" s="10">
        <f>SUMIFS(F:F,D:D,DST_123_ÜRETİM_İHTİYAÇ_RAPORU_BURAK_YENI1309[[#This Row],[ALT_KOD]])-(SUMIFS(H:H,D:D,DST_123_ÜRETİM_İHTİYAÇ_RAPORU_BURAK_YENI1309[[#This Row],[ALT_KOD]])+AVERAGEIFS(I:I,D:D,DST_123_ÜRETİM_İHTİYAÇ_RAPORU_BURAK_YENI1309[[#This Row],[ALT_KOD]])+AVERAGEIFS(L:L,D:D,DST_123_ÜRETİM_İHTİYAÇ_RAPORU_BURAK_YENI1309[[#This Row],[ALT_KOD]]))</f>
        <v>5.0999999999999996</v>
      </c>
      <c r="L2607">
        <v>0</v>
      </c>
      <c r="M2607">
        <f>IF((DST_123_ÜRETİM_İHTİYAÇ_RAPORU_BURAK_YENI1309[[#This Row],[SATINALMA]]*DST_123_ÜRETİM_İHTİYAÇ_RAPORU_BURAK_YENI1309[[#This Row],[BIRIM_FIYATLAR]])&lt;1,VALUE("0"),DST_123_ÜRETİM_İHTİYAÇ_RAPORU_BURAK_YENI1309[[#This Row],[SATINALMA]]*DST_123_ÜRETİM_İHTİYAÇ_RAPORU_BURAK_YENI1309[[#This Row],[BIRIM_FIYATLAR]])</f>
        <v>34.526999999999994</v>
      </c>
      <c r="N2607">
        <v>6.77</v>
      </c>
      <c r="O2607" t="s">
        <v>635</v>
      </c>
      <c r="P2607">
        <v>1.3540000000000001</v>
      </c>
      <c r="Q2607" t="s">
        <v>221</v>
      </c>
    </row>
    <row r="2608" spans="1:17" x14ac:dyDescent="0.25">
      <c r="A2608" t="s">
        <v>1142</v>
      </c>
      <c r="B2608" t="s">
        <v>1056</v>
      </c>
      <c r="C2608" t="s">
        <v>175</v>
      </c>
      <c r="D2608" t="s">
        <v>74</v>
      </c>
      <c r="E2608" t="s">
        <v>75</v>
      </c>
      <c r="F2608">
        <v>3</v>
      </c>
      <c r="G2608" t="s">
        <v>176</v>
      </c>
      <c r="H2608">
        <v>0</v>
      </c>
      <c r="I2608">
        <v>24</v>
      </c>
      <c r="J2608" s="10">
        <v>30</v>
      </c>
      <c r="K2608" s="10">
        <f>SUMIFS(F:F,D:D,DST_123_ÜRETİM_İHTİYAÇ_RAPORU_BURAK_YENI1309[[#This Row],[ALT_KOD]])-(SUMIFS(H:H,D:D,DST_123_ÜRETİM_İHTİYAÇ_RAPORU_BURAK_YENI1309[[#This Row],[ALT_KOD]])+AVERAGEIFS(I:I,D:D,DST_123_ÜRETİM_İHTİYAÇ_RAPORU_BURAK_YENI1309[[#This Row],[ALT_KOD]])+AVERAGEIFS(L:L,D:D,DST_123_ÜRETİM_İHTİYAÇ_RAPORU_BURAK_YENI1309[[#This Row],[ALT_KOD]]))</f>
        <v>-24</v>
      </c>
      <c r="L2608">
        <v>50</v>
      </c>
      <c r="M2608">
        <f>IF((DST_123_ÜRETİM_İHTİYAÇ_RAPORU_BURAK_YENI1309[[#This Row],[SATINALMA]]*DST_123_ÜRETİM_İHTİYAÇ_RAPORU_BURAK_YENI1309[[#This Row],[BIRIM_FIYATLAR]])&lt;1,VALUE("0"),DST_123_ÜRETİM_İHTİYAÇ_RAPORU_BURAK_YENI1309[[#This Row],[SATINALMA]]*DST_123_ÜRETİM_İHTİYAÇ_RAPORU_BURAK_YENI1309[[#This Row],[BIRIM_FIYATLAR]])</f>
        <v>0</v>
      </c>
      <c r="N2608">
        <v>37</v>
      </c>
      <c r="O2608" t="s">
        <v>821</v>
      </c>
      <c r="P2608">
        <v>111</v>
      </c>
      <c r="Q2608" t="s">
        <v>178</v>
      </c>
    </row>
    <row r="2609" spans="1:17" x14ac:dyDescent="0.25">
      <c r="A2609" t="s">
        <v>1196</v>
      </c>
      <c r="B2609" t="s">
        <v>1197</v>
      </c>
      <c r="C2609" t="s">
        <v>175</v>
      </c>
      <c r="D2609" t="s">
        <v>74</v>
      </c>
      <c r="E2609" t="s">
        <v>75</v>
      </c>
      <c r="F2609">
        <v>3</v>
      </c>
      <c r="G2609" t="s">
        <v>176</v>
      </c>
      <c r="H2609">
        <v>0</v>
      </c>
      <c r="I2609">
        <v>24</v>
      </c>
      <c r="J2609" s="10">
        <v>30</v>
      </c>
      <c r="K2609" s="10">
        <f>SUMIFS(F:F,D:D,DST_123_ÜRETİM_İHTİYAÇ_RAPORU_BURAK_YENI1309[[#This Row],[ALT_KOD]])-(SUMIFS(H:H,D:D,DST_123_ÜRETİM_İHTİYAÇ_RAPORU_BURAK_YENI1309[[#This Row],[ALT_KOD]])+AVERAGEIFS(I:I,D:D,DST_123_ÜRETİM_İHTİYAÇ_RAPORU_BURAK_YENI1309[[#This Row],[ALT_KOD]])+AVERAGEIFS(L:L,D:D,DST_123_ÜRETİM_İHTİYAÇ_RAPORU_BURAK_YENI1309[[#This Row],[ALT_KOD]]))</f>
        <v>-24</v>
      </c>
      <c r="L2609">
        <v>50</v>
      </c>
      <c r="M2609">
        <f>IF((DST_123_ÜRETİM_İHTİYAÇ_RAPORU_BURAK_YENI1309[[#This Row],[SATINALMA]]*DST_123_ÜRETİM_İHTİYAÇ_RAPORU_BURAK_YENI1309[[#This Row],[BIRIM_FIYATLAR]])&lt;1,VALUE("0"),DST_123_ÜRETİM_İHTİYAÇ_RAPORU_BURAK_YENI1309[[#This Row],[SATINALMA]]*DST_123_ÜRETİM_İHTİYAÇ_RAPORU_BURAK_YENI1309[[#This Row],[BIRIM_FIYATLAR]])</f>
        <v>0</v>
      </c>
      <c r="N2609">
        <v>37</v>
      </c>
      <c r="O2609" t="s">
        <v>821</v>
      </c>
      <c r="P2609">
        <v>111</v>
      </c>
      <c r="Q2609" t="s">
        <v>178</v>
      </c>
    </row>
    <row r="2610" spans="1:17" x14ac:dyDescent="0.25">
      <c r="A2610" t="s">
        <v>1099</v>
      </c>
      <c r="B2610" t="s">
        <v>1055</v>
      </c>
      <c r="C2610" t="s">
        <v>175</v>
      </c>
      <c r="D2610" t="s">
        <v>74</v>
      </c>
      <c r="E2610" t="s">
        <v>75</v>
      </c>
      <c r="F2610">
        <v>1</v>
      </c>
      <c r="G2610" t="s">
        <v>176</v>
      </c>
      <c r="H2610">
        <v>0</v>
      </c>
      <c r="I2610">
        <v>24</v>
      </c>
      <c r="J2610" s="10">
        <v>30</v>
      </c>
      <c r="K2610" s="10">
        <f>SUMIFS(F:F,D:D,DST_123_ÜRETİM_İHTİYAÇ_RAPORU_BURAK_YENI1309[[#This Row],[ALT_KOD]])-(SUMIFS(H:H,D:D,DST_123_ÜRETİM_İHTİYAÇ_RAPORU_BURAK_YENI1309[[#This Row],[ALT_KOD]])+AVERAGEIFS(I:I,D:D,DST_123_ÜRETİM_İHTİYAÇ_RAPORU_BURAK_YENI1309[[#This Row],[ALT_KOD]])+AVERAGEIFS(L:L,D:D,DST_123_ÜRETİM_İHTİYAÇ_RAPORU_BURAK_YENI1309[[#This Row],[ALT_KOD]]))</f>
        <v>-24</v>
      </c>
      <c r="L2610">
        <v>50</v>
      </c>
      <c r="M2610">
        <f>IF((DST_123_ÜRETİM_İHTİYAÇ_RAPORU_BURAK_YENI1309[[#This Row],[SATINALMA]]*DST_123_ÜRETİM_İHTİYAÇ_RAPORU_BURAK_YENI1309[[#This Row],[BIRIM_FIYATLAR]])&lt;1,VALUE("0"),DST_123_ÜRETİM_İHTİYAÇ_RAPORU_BURAK_YENI1309[[#This Row],[SATINALMA]]*DST_123_ÜRETİM_İHTİYAÇ_RAPORU_BURAK_YENI1309[[#This Row],[BIRIM_FIYATLAR]])</f>
        <v>0</v>
      </c>
      <c r="N2610">
        <v>37</v>
      </c>
      <c r="O2610" t="s">
        <v>821</v>
      </c>
      <c r="P2610">
        <v>37</v>
      </c>
      <c r="Q2610" t="s">
        <v>178</v>
      </c>
    </row>
    <row r="2611" spans="1:17" x14ac:dyDescent="0.25">
      <c r="A2611" t="s">
        <v>1097</v>
      </c>
      <c r="B2611" t="s">
        <v>1055</v>
      </c>
      <c r="C2611" t="s">
        <v>175</v>
      </c>
      <c r="D2611" t="s">
        <v>74</v>
      </c>
      <c r="E2611" t="s">
        <v>75</v>
      </c>
      <c r="F2611">
        <v>3</v>
      </c>
      <c r="G2611" t="s">
        <v>176</v>
      </c>
      <c r="H2611">
        <v>0</v>
      </c>
      <c r="I2611">
        <v>24</v>
      </c>
      <c r="J2611" s="10">
        <v>30</v>
      </c>
      <c r="K2611" s="10">
        <f>SUMIFS(F:F,D:D,DST_123_ÜRETİM_İHTİYAÇ_RAPORU_BURAK_YENI1309[[#This Row],[ALT_KOD]])-(SUMIFS(H:H,D:D,DST_123_ÜRETİM_İHTİYAÇ_RAPORU_BURAK_YENI1309[[#This Row],[ALT_KOD]])+AVERAGEIFS(I:I,D:D,DST_123_ÜRETİM_İHTİYAÇ_RAPORU_BURAK_YENI1309[[#This Row],[ALT_KOD]])+AVERAGEIFS(L:L,D:D,DST_123_ÜRETİM_İHTİYAÇ_RAPORU_BURAK_YENI1309[[#This Row],[ALT_KOD]]))</f>
        <v>-24</v>
      </c>
      <c r="L2611">
        <v>50</v>
      </c>
      <c r="M2611">
        <f>IF((DST_123_ÜRETİM_İHTİYAÇ_RAPORU_BURAK_YENI1309[[#This Row],[SATINALMA]]*DST_123_ÜRETİM_İHTİYAÇ_RAPORU_BURAK_YENI1309[[#This Row],[BIRIM_FIYATLAR]])&lt;1,VALUE("0"),DST_123_ÜRETİM_İHTİYAÇ_RAPORU_BURAK_YENI1309[[#This Row],[SATINALMA]]*DST_123_ÜRETİM_İHTİYAÇ_RAPORU_BURAK_YENI1309[[#This Row],[BIRIM_FIYATLAR]])</f>
        <v>0</v>
      </c>
      <c r="N2611">
        <v>37</v>
      </c>
      <c r="O2611" t="s">
        <v>821</v>
      </c>
      <c r="P2611">
        <v>111</v>
      </c>
      <c r="Q2611" t="s">
        <v>178</v>
      </c>
    </row>
    <row r="2612" spans="1:17" x14ac:dyDescent="0.25">
      <c r="A2612" t="s">
        <v>1146</v>
      </c>
      <c r="B2612" t="s">
        <v>1145</v>
      </c>
      <c r="C2612" t="s">
        <v>175</v>
      </c>
      <c r="D2612" t="s">
        <v>74</v>
      </c>
      <c r="E2612" t="s">
        <v>75</v>
      </c>
      <c r="F2612">
        <v>3</v>
      </c>
      <c r="G2612" t="s">
        <v>176</v>
      </c>
      <c r="H2612">
        <v>0</v>
      </c>
      <c r="I2612">
        <v>24</v>
      </c>
      <c r="J2612" s="10">
        <v>30</v>
      </c>
      <c r="K2612" s="10">
        <f>SUMIFS(F:F,D:D,DST_123_ÜRETİM_İHTİYAÇ_RAPORU_BURAK_YENI1309[[#This Row],[ALT_KOD]])-(SUMIFS(H:H,D:D,DST_123_ÜRETİM_İHTİYAÇ_RAPORU_BURAK_YENI1309[[#This Row],[ALT_KOD]])+AVERAGEIFS(I:I,D:D,DST_123_ÜRETİM_İHTİYAÇ_RAPORU_BURAK_YENI1309[[#This Row],[ALT_KOD]])+AVERAGEIFS(L:L,D:D,DST_123_ÜRETİM_İHTİYAÇ_RAPORU_BURAK_YENI1309[[#This Row],[ALT_KOD]]))</f>
        <v>-24</v>
      </c>
      <c r="L2612">
        <v>50</v>
      </c>
      <c r="M2612">
        <f>IF((DST_123_ÜRETİM_İHTİYAÇ_RAPORU_BURAK_YENI1309[[#This Row],[SATINALMA]]*DST_123_ÜRETİM_İHTİYAÇ_RAPORU_BURAK_YENI1309[[#This Row],[BIRIM_FIYATLAR]])&lt;1,VALUE("0"),DST_123_ÜRETİM_İHTİYAÇ_RAPORU_BURAK_YENI1309[[#This Row],[SATINALMA]]*DST_123_ÜRETİM_İHTİYAÇ_RAPORU_BURAK_YENI1309[[#This Row],[BIRIM_FIYATLAR]])</f>
        <v>0</v>
      </c>
      <c r="N2612">
        <v>37</v>
      </c>
      <c r="O2612" t="s">
        <v>821</v>
      </c>
      <c r="P2612">
        <v>111</v>
      </c>
      <c r="Q2612" t="s">
        <v>178</v>
      </c>
    </row>
    <row r="2613" spans="1:17" x14ac:dyDescent="0.25">
      <c r="A2613" t="s">
        <v>1144</v>
      </c>
      <c r="B2613" t="s">
        <v>1145</v>
      </c>
      <c r="C2613" t="s">
        <v>175</v>
      </c>
      <c r="D2613" t="s">
        <v>74</v>
      </c>
      <c r="E2613" t="s">
        <v>75</v>
      </c>
      <c r="F2613">
        <v>3</v>
      </c>
      <c r="G2613" t="s">
        <v>176</v>
      </c>
      <c r="H2613">
        <v>0</v>
      </c>
      <c r="I2613">
        <v>24</v>
      </c>
      <c r="J2613" s="10">
        <v>30</v>
      </c>
      <c r="K2613" s="10">
        <f>SUMIFS(F:F,D:D,DST_123_ÜRETİM_İHTİYAÇ_RAPORU_BURAK_YENI1309[[#This Row],[ALT_KOD]])-(SUMIFS(H:H,D:D,DST_123_ÜRETİM_İHTİYAÇ_RAPORU_BURAK_YENI1309[[#This Row],[ALT_KOD]])+AVERAGEIFS(I:I,D:D,DST_123_ÜRETİM_İHTİYAÇ_RAPORU_BURAK_YENI1309[[#This Row],[ALT_KOD]])+AVERAGEIFS(L:L,D:D,DST_123_ÜRETİM_İHTİYAÇ_RAPORU_BURAK_YENI1309[[#This Row],[ALT_KOD]]))</f>
        <v>-24</v>
      </c>
      <c r="L2613">
        <v>50</v>
      </c>
      <c r="M2613">
        <f>IF((DST_123_ÜRETİM_İHTİYAÇ_RAPORU_BURAK_YENI1309[[#This Row],[SATINALMA]]*DST_123_ÜRETİM_İHTİYAÇ_RAPORU_BURAK_YENI1309[[#This Row],[BIRIM_FIYATLAR]])&lt;1,VALUE("0"),DST_123_ÜRETİM_İHTİYAÇ_RAPORU_BURAK_YENI1309[[#This Row],[SATINALMA]]*DST_123_ÜRETİM_İHTİYAÇ_RAPORU_BURAK_YENI1309[[#This Row],[BIRIM_FIYATLAR]])</f>
        <v>0</v>
      </c>
      <c r="N2613">
        <v>37</v>
      </c>
      <c r="O2613" t="s">
        <v>821</v>
      </c>
      <c r="P2613">
        <v>111</v>
      </c>
      <c r="Q2613" t="s">
        <v>178</v>
      </c>
    </row>
    <row r="2614" spans="1:17" x14ac:dyDescent="0.25">
      <c r="A2614" t="s">
        <v>1095</v>
      </c>
      <c r="B2614" t="s">
        <v>1096</v>
      </c>
      <c r="C2614" t="s">
        <v>175</v>
      </c>
      <c r="D2614" t="s">
        <v>80</v>
      </c>
      <c r="E2614" t="s">
        <v>81</v>
      </c>
      <c r="F2614">
        <v>0.5</v>
      </c>
      <c r="G2614" t="s">
        <v>176</v>
      </c>
      <c r="H2614">
        <v>0</v>
      </c>
      <c r="I2614">
        <v>0</v>
      </c>
      <c r="J2614" s="10">
        <v>10.500000000000064</v>
      </c>
      <c r="K2614" s="10">
        <f>SUMIFS(F:F,D:D,DST_123_ÜRETİM_İHTİYAÇ_RAPORU_BURAK_YENI1309[[#This Row],[ALT_KOD]])-(SUMIFS(H:H,D:D,DST_123_ÜRETİM_İHTİYAÇ_RAPORU_BURAK_YENI1309[[#This Row],[ALT_KOD]])+AVERAGEIFS(I:I,D:D,DST_123_ÜRETİM_İHTİYAÇ_RAPORU_BURAK_YENI1309[[#This Row],[ALT_KOD]])+AVERAGEIFS(L:L,D:D,DST_123_ÜRETİM_İHTİYAÇ_RAPORU_BURAK_YENI1309[[#This Row],[ALT_KOD]]))</f>
        <v>25</v>
      </c>
      <c r="L2614">
        <v>40</v>
      </c>
      <c r="M2614">
        <f>IF((DST_123_ÜRETİM_İHTİYAÇ_RAPORU_BURAK_YENI1309[[#This Row],[SATINALMA]]*DST_123_ÜRETİM_İHTİYAÇ_RAPORU_BURAK_YENI1309[[#This Row],[BIRIM_FIYATLAR]])&lt;1,VALUE("0"),DST_123_ÜRETİM_İHTİYAÇ_RAPORU_BURAK_YENI1309[[#This Row],[SATINALMA]]*DST_123_ÜRETİM_İHTİYAÇ_RAPORU_BURAK_YENI1309[[#This Row],[BIRIM_FIYATLAR]])</f>
        <v>16666.75</v>
      </c>
      <c r="N2614">
        <v>666.67</v>
      </c>
      <c r="O2614" t="s">
        <v>223</v>
      </c>
      <c r="P2614">
        <v>333.33499999999998</v>
      </c>
      <c r="Q2614" t="s">
        <v>181</v>
      </c>
    </row>
    <row r="2615" spans="1:17" x14ac:dyDescent="0.25">
      <c r="A2615" t="s">
        <v>1097</v>
      </c>
      <c r="B2615" t="s">
        <v>1055</v>
      </c>
      <c r="C2615" t="s">
        <v>175</v>
      </c>
      <c r="D2615" t="s">
        <v>786</v>
      </c>
      <c r="E2615" t="s">
        <v>787</v>
      </c>
      <c r="F2615">
        <v>4.5</v>
      </c>
      <c r="G2615" t="s">
        <v>179</v>
      </c>
      <c r="H2615">
        <v>0</v>
      </c>
      <c r="I2615">
        <v>0</v>
      </c>
      <c r="J2615" s="10">
        <v>285.5</v>
      </c>
      <c r="K2615" s="10">
        <f>SUMIFS(F:F,D:D,DST_123_ÜRETİM_İHTİYAÇ_RAPORU_BURAK_YENI1309[[#This Row],[ALT_KOD]])-(SUMIFS(H:H,D:D,DST_123_ÜRETİM_İHTİYAÇ_RAPORU_BURAK_YENI1309[[#This Row],[ALT_KOD]])+AVERAGEIFS(I:I,D:D,DST_123_ÜRETİM_İHTİYAÇ_RAPORU_BURAK_YENI1309[[#This Row],[ALT_KOD]])+AVERAGEIFS(L:L,D:D,DST_123_ÜRETİM_İHTİYAÇ_RAPORU_BURAK_YENI1309[[#This Row],[ALT_KOD]]))</f>
        <v>11.5</v>
      </c>
      <c r="L2615">
        <v>0</v>
      </c>
      <c r="M2615">
        <f>IF((DST_123_ÜRETİM_İHTİYAÇ_RAPORU_BURAK_YENI1309[[#This Row],[SATINALMA]]*DST_123_ÜRETİM_İHTİYAÇ_RAPORU_BURAK_YENI1309[[#This Row],[BIRIM_FIYATLAR]])&lt;1,VALUE("0"),DST_123_ÜRETİM_İHTİYAÇ_RAPORU_BURAK_YENI1309[[#This Row],[SATINALMA]]*DST_123_ÜRETİM_İHTİYAÇ_RAPORU_BURAK_YENI1309[[#This Row],[BIRIM_FIYATLAR]])</f>
        <v>662.4</v>
      </c>
      <c r="N2615">
        <v>57.6</v>
      </c>
      <c r="O2615" t="s">
        <v>826</v>
      </c>
      <c r="P2615">
        <v>259.2</v>
      </c>
      <c r="Q2615" t="s">
        <v>221</v>
      </c>
    </row>
    <row r="2616" spans="1:17" x14ac:dyDescent="0.25">
      <c r="A2616" t="s">
        <v>1149</v>
      </c>
      <c r="B2616" t="s">
        <v>1145</v>
      </c>
      <c r="C2616" t="s">
        <v>175</v>
      </c>
      <c r="D2616" t="s">
        <v>74</v>
      </c>
      <c r="E2616" t="s">
        <v>75</v>
      </c>
      <c r="F2616">
        <v>3</v>
      </c>
      <c r="G2616" t="s">
        <v>176</v>
      </c>
      <c r="H2616">
        <v>0</v>
      </c>
      <c r="I2616">
        <v>24</v>
      </c>
      <c r="J2616" s="10">
        <v>30</v>
      </c>
      <c r="K2616" s="10">
        <f>SUMIFS(F:F,D:D,DST_123_ÜRETİM_İHTİYAÇ_RAPORU_BURAK_YENI1309[[#This Row],[ALT_KOD]])-(SUMIFS(H:H,D:D,DST_123_ÜRETİM_İHTİYAÇ_RAPORU_BURAK_YENI1309[[#This Row],[ALT_KOD]])+AVERAGEIFS(I:I,D:D,DST_123_ÜRETİM_İHTİYAÇ_RAPORU_BURAK_YENI1309[[#This Row],[ALT_KOD]])+AVERAGEIFS(L:L,D:D,DST_123_ÜRETİM_İHTİYAÇ_RAPORU_BURAK_YENI1309[[#This Row],[ALT_KOD]]))</f>
        <v>-24</v>
      </c>
      <c r="L2616">
        <v>50</v>
      </c>
      <c r="M2616">
        <f>IF((DST_123_ÜRETİM_İHTİYAÇ_RAPORU_BURAK_YENI1309[[#This Row],[SATINALMA]]*DST_123_ÜRETİM_İHTİYAÇ_RAPORU_BURAK_YENI1309[[#This Row],[BIRIM_FIYATLAR]])&lt;1,VALUE("0"),DST_123_ÜRETİM_İHTİYAÇ_RAPORU_BURAK_YENI1309[[#This Row],[SATINALMA]]*DST_123_ÜRETİM_İHTİYAÇ_RAPORU_BURAK_YENI1309[[#This Row],[BIRIM_FIYATLAR]])</f>
        <v>0</v>
      </c>
      <c r="N2616">
        <v>37</v>
      </c>
      <c r="O2616" t="s">
        <v>821</v>
      </c>
      <c r="P2616">
        <v>111</v>
      </c>
      <c r="Q2616" t="s">
        <v>178</v>
      </c>
    </row>
    <row r="2617" spans="1:17" x14ac:dyDescent="0.25">
      <c r="A2617" t="s">
        <v>1142</v>
      </c>
      <c r="B2617" t="s">
        <v>1056</v>
      </c>
      <c r="C2617" t="s">
        <v>175</v>
      </c>
      <c r="D2617" t="s">
        <v>80</v>
      </c>
      <c r="E2617" t="s">
        <v>81</v>
      </c>
      <c r="F2617">
        <v>6</v>
      </c>
      <c r="G2617" t="s">
        <v>176</v>
      </c>
      <c r="H2617">
        <v>0</v>
      </c>
      <c r="I2617">
        <v>0</v>
      </c>
      <c r="J2617" s="10">
        <v>10.500000000000064</v>
      </c>
      <c r="K2617" s="10">
        <f>SUMIFS(F:F,D:D,DST_123_ÜRETİM_İHTİYAÇ_RAPORU_BURAK_YENI1309[[#This Row],[ALT_KOD]])-(SUMIFS(H:H,D:D,DST_123_ÜRETİM_İHTİYAÇ_RAPORU_BURAK_YENI1309[[#This Row],[ALT_KOD]])+AVERAGEIFS(I:I,D:D,DST_123_ÜRETİM_İHTİYAÇ_RAPORU_BURAK_YENI1309[[#This Row],[ALT_KOD]])+AVERAGEIFS(L:L,D:D,DST_123_ÜRETİM_İHTİYAÇ_RAPORU_BURAK_YENI1309[[#This Row],[ALT_KOD]]))</f>
        <v>25</v>
      </c>
      <c r="L2617">
        <v>40</v>
      </c>
      <c r="M2617">
        <f>IF((DST_123_ÜRETİM_İHTİYAÇ_RAPORU_BURAK_YENI1309[[#This Row],[SATINALMA]]*DST_123_ÜRETİM_İHTİYAÇ_RAPORU_BURAK_YENI1309[[#This Row],[BIRIM_FIYATLAR]])&lt;1,VALUE("0"),DST_123_ÜRETİM_İHTİYAÇ_RAPORU_BURAK_YENI1309[[#This Row],[SATINALMA]]*DST_123_ÜRETİM_İHTİYAÇ_RAPORU_BURAK_YENI1309[[#This Row],[BIRIM_FIYATLAR]])</f>
        <v>16666.75</v>
      </c>
      <c r="N2617">
        <v>666.67</v>
      </c>
      <c r="O2617" t="s">
        <v>223</v>
      </c>
      <c r="P2617">
        <v>4000.0199999999995</v>
      </c>
      <c r="Q2617" t="s">
        <v>181</v>
      </c>
    </row>
    <row r="2618" spans="1:17" x14ac:dyDescent="0.25">
      <c r="A2618" t="s">
        <v>1059</v>
      </c>
      <c r="B2618" t="s">
        <v>1058</v>
      </c>
      <c r="C2618" t="s">
        <v>175</v>
      </c>
      <c r="D2618" t="s">
        <v>959</v>
      </c>
      <c r="E2618" t="s">
        <v>960</v>
      </c>
      <c r="F2618">
        <v>8</v>
      </c>
      <c r="G2618" t="s">
        <v>176</v>
      </c>
      <c r="H2618">
        <v>0</v>
      </c>
      <c r="I2618">
        <v>92</v>
      </c>
      <c r="J2618" s="10">
        <v>0</v>
      </c>
      <c r="K2618" s="10">
        <f>SUMIFS(F:F,D:D,DST_123_ÜRETİM_İHTİYAÇ_RAPORU_BURAK_YENI1309[[#This Row],[ALT_KOD]])-(SUMIFS(H:H,D:D,DST_123_ÜRETİM_İHTİYAÇ_RAPORU_BURAK_YENI1309[[#This Row],[ALT_KOD]])+AVERAGEIFS(I:I,D:D,DST_123_ÜRETİM_İHTİYAÇ_RAPORU_BURAK_YENI1309[[#This Row],[ALT_KOD]])+AVERAGEIFS(L:L,D:D,DST_123_ÜRETİM_İHTİYAÇ_RAPORU_BURAK_YENI1309[[#This Row],[ALT_KOD]]))</f>
        <v>-68</v>
      </c>
      <c r="L2618">
        <v>0</v>
      </c>
      <c r="M2618">
        <f>IF((DST_123_ÜRETİM_İHTİYAÇ_RAPORU_BURAK_YENI1309[[#This Row],[SATINALMA]]*DST_123_ÜRETİM_İHTİYAÇ_RAPORU_BURAK_YENI1309[[#This Row],[BIRIM_FIYATLAR]])&lt;1,VALUE("0"),DST_123_ÜRETİM_İHTİYAÇ_RAPORU_BURAK_YENI1309[[#This Row],[SATINALMA]]*DST_123_ÜRETİM_İHTİYAÇ_RAPORU_BURAK_YENI1309[[#This Row],[BIRIM_FIYATLAR]])</f>
        <v>0</v>
      </c>
      <c r="N2618">
        <v>33</v>
      </c>
      <c r="O2618" t="s">
        <v>226</v>
      </c>
      <c r="P2618">
        <v>264</v>
      </c>
      <c r="Q2618" t="s">
        <v>180</v>
      </c>
    </row>
    <row r="2619" spans="1:17" x14ac:dyDescent="0.25">
      <c r="A2619" t="s">
        <v>1142</v>
      </c>
      <c r="B2619" t="s">
        <v>1056</v>
      </c>
      <c r="C2619" t="s">
        <v>175</v>
      </c>
      <c r="D2619" t="s">
        <v>673</v>
      </c>
      <c r="E2619" t="s">
        <v>674</v>
      </c>
      <c r="F2619">
        <v>6</v>
      </c>
      <c r="G2619" t="s">
        <v>176</v>
      </c>
      <c r="H2619">
        <v>0</v>
      </c>
      <c r="I2619">
        <v>150</v>
      </c>
      <c r="J2619" s="10">
        <v>78</v>
      </c>
      <c r="K2619" s="10">
        <f>SUMIFS(F:F,D:D,DST_123_ÜRETİM_İHTİYAÇ_RAPORU_BURAK_YENI1309[[#This Row],[ALT_KOD]])-(SUMIFS(H:H,D:D,DST_123_ÜRETİM_İHTİYAÇ_RAPORU_BURAK_YENI1309[[#This Row],[ALT_KOD]])+AVERAGEIFS(I:I,D:D,DST_123_ÜRETİM_İHTİYAÇ_RAPORU_BURAK_YENI1309[[#This Row],[ALT_KOD]])+AVERAGEIFS(L:L,D:D,DST_123_ÜRETİM_İHTİYAÇ_RAPORU_BURAK_YENI1309[[#This Row],[ALT_KOD]]))</f>
        <v>-48</v>
      </c>
      <c r="L2619">
        <v>0</v>
      </c>
      <c r="M2619">
        <f>IF((DST_123_ÜRETİM_İHTİYAÇ_RAPORU_BURAK_YENI1309[[#This Row],[SATINALMA]]*DST_123_ÜRETİM_İHTİYAÇ_RAPORU_BURAK_YENI1309[[#This Row],[BIRIM_FIYATLAR]])&lt;1,VALUE("0"),DST_123_ÜRETİM_İHTİYAÇ_RAPORU_BURAK_YENI1309[[#This Row],[SATINALMA]]*DST_123_ÜRETİM_İHTİYAÇ_RAPORU_BURAK_YENI1309[[#This Row],[BIRIM_FIYATLAR]])</f>
        <v>0</v>
      </c>
      <c r="N2619">
        <v>20.83</v>
      </c>
      <c r="O2619" t="s">
        <v>226</v>
      </c>
      <c r="P2619">
        <v>124.97999999999999</v>
      </c>
      <c r="Q2619" t="s">
        <v>180</v>
      </c>
    </row>
    <row r="2620" spans="1:17" x14ac:dyDescent="0.25">
      <c r="A2620" t="s">
        <v>1095</v>
      </c>
      <c r="B2620" t="s">
        <v>1096</v>
      </c>
      <c r="C2620" t="s">
        <v>175</v>
      </c>
      <c r="D2620" t="s">
        <v>609</v>
      </c>
      <c r="E2620" t="s">
        <v>610</v>
      </c>
      <c r="F2620">
        <v>0.5</v>
      </c>
      <c r="G2620" t="s">
        <v>176</v>
      </c>
      <c r="H2620">
        <v>0</v>
      </c>
      <c r="I2620">
        <v>0</v>
      </c>
      <c r="J2620" s="10">
        <v>11</v>
      </c>
      <c r="K2620" s="10">
        <f>SUMIFS(F:F,D:D,DST_123_ÜRETİM_İHTİYAÇ_RAPORU_BURAK_YENI1309[[#This Row],[ALT_KOD]])-(SUMIFS(H:H,D:D,DST_123_ÜRETİM_İHTİYAÇ_RAPORU_BURAK_YENI1309[[#This Row],[ALT_KOD]])+AVERAGEIFS(I:I,D:D,DST_123_ÜRETİM_İHTİYAÇ_RAPORU_BURAK_YENI1309[[#This Row],[ALT_KOD]])+AVERAGEIFS(L:L,D:D,DST_123_ÜRETİM_İHTİYAÇ_RAPORU_BURAK_YENI1309[[#This Row],[ALT_KOD]]))</f>
        <v>20.000000000000007</v>
      </c>
      <c r="L2620">
        <v>4</v>
      </c>
      <c r="M2620">
        <f>IF((DST_123_ÜRETİM_İHTİYAÇ_RAPORU_BURAK_YENI1309[[#This Row],[SATINALMA]]*DST_123_ÜRETİM_İHTİYAÇ_RAPORU_BURAK_YENI1309[[#This Row],[BIRIM_FIYATLAR]])&lt;1,VALUE("0"),DST_123_ÜRETİM_İHTİYAÇ_RAPORU_BURAK_YENI1309[[#This Row],[SATINALMA]]*DST_123_ÜRETİM_İHTİYAÇ_RAPORU_BURAK_YENI1309[[#This Row],[BIRIM_FIYATLAR]])</f>
        <v>36666.600000000013</v>
      </c>
      <c r="N2620">
        <v>1833.33</v>
      </c>
      <c r="O2620" t="s">
        <v>223</v>
      </c>
      <c r="P2620">
        <v>916.66499999999996</v>
      </c>
      <c r="Q2620" t="s">
        <v>181</v>
      </c>
    </row>
    <row r="2621" spans="1:17" x14ac:dyDescent="0.25">
      <c r="A2621" t="s">
        <v>1150</v>
      </c>
      <c r="B2621" t="s">
        <v>1145</v>
      </c>
      <c r="C2621" t="s">
        <v>175</v>
      </c>
      <c r="D2621" t="s">
        <v>329</v>
      </c>
      <c r="E2621" t="s">
        <v>330</v>
      </c>
      <c r="F2621">
        <v>6</v>
      </c>
      <c r="G2621" t="s">
        <v>176</v>
      </c>
      <c r="H2621">
        <v>0</v>
      </c>
      <c r="I2621">
        <v>118</v>
      </c>
      <c r="J2621" s="10">
        <v>18</v>
      </c>
      <c r="K2621" s="10">
        <f>SUMIFS(F:F,D:D,DST_123_ÜRETİM_İHTİYAÇ_RAPORU_BURAK_YENI1309[[#This Row],[ALT_KOD]])-(SUMIFS(H:H,D:D,DST_123_ÜRETİM_İHTİYAÇ_RAPORU_BURAK_YENI1309[[#This Row],[ALT_KOD]])+AVERAGEIFS(I:I,D:D,DST_123_ÜRETİM_İHTİYAÇ_RAPORU_BURAK_YENI1309[[#This Row],[ALT_KOD]])+AVERAGEIFS(L:L,D:D,DST_123_ÜRETİM_İHTİYAÇ_RAPORU_BURAK_YENI1309[[#This Row],[ALT_KOD]]))</f>
        <v>-11</v>
      </c>
      <c r="L2621">
        <v>0</v>
      </c>
      <c r="M2621">
        <f>IF((DST_123_ÜRETİM_İHTİYAÇ_RAPORU_BURAK_YENI1309[[#This Row],[SATINALMA]]*DST_123_ÜRETİM_İHTİYAÇ_RAPORU_BURAK_YENI1309[[#This Row],[BIRIM_FIYATLAR]])&lt;1,VALUE("0"),DST_123_ÜRETİM_İHTİYAÇ_RAPORU_BURAK_YENI1309[[#This Row],[SATINALMA]]*DST_123_ÜRETİM_İHTİYAÇ_RAPORU_BURAK_YENI1309[[#This Row],[BIRIM_FIYATLAR]])</f>
        <v>0</v>
      </c>
      <c r="N2621">
        <v>14.5</v>
      </c>
      <c r="O2621" t="s">
        <v>240</v>
      </c>
      <c r="P2621">
        <v>87</v>
      </c>
      <c r="Q2621" t="s">
        <v>180</v>
      </c>
    </row>
    <row r="2622" spans="1:17" x14ac:dyDescent="0.25">
      <c r="A2622" t="s">
        <v>1144</v>
      </c>
      <c r="B2622" t="s">
        <v>1145</v>
      </c>
      <c r="C2622" t="s">
        <v>175</v>
      </c>
      <c r="D2622" t="s">
        <v>518</v>
      </c>
      <c r="E2622" t="s">
        <v>519</v>
      </c>
      <c r="F2622">
        <v>3</v>
      </c>
      <c r="G2622" t="s">
        <v>176</v>
      </c>
      <c r="H2622">
        <v>0</v>
      </c>
      <c r="I2622">
        <v>101</v>
      </c>
      <c r="J2622" s="10">
        <v>10.000000000000057</v>
      </c>
      <c r="K2622" s="10">
        <f>SUMIFS(F:F,D:D,DST_123_ÜRETİM_İHTİYAÇ_RAPORU_BURAK_YENI1309[[#This Row],[ALT_KOD]])-(SUMIFS(H:H,D:D,DST_123_ÜRETİM_İHTİYAÇ_RAPORU_BURAK_YENI1309[[#This Row],[ALT_KOD]])+AVERAGEIFS(I:I,D:D,DST_123_ÜRETİM_İHTİYAÇ_RAPORU_BURAK_YENI1309[[#This Row],[ALT_KOD]])+AVERAGEIFS(L:L,D:D,DST_123_ÜRETİM_İHTİYAÇ_RAPORU_BURAK_YENI1309[[#This Row],[ALT_KOD]]))</f>
        <v>-42.539999999999992</v>
      </c>
      <c r="L2622">
        <v>0</v>
      </c>
      <c r="M2622">
        <f>IF((DST_123_ÜRETİM_İHTİYAÇ_RAPORU_BURAK_YENI1309[[#This Row],[SATINALMA]]*DST_123_ÜRETİM_İHTİYAÇ_RAPORU_BURAK_YENI1309[[#This Row],[BIRIM_FIYATLAR]])&lt;1,VALUE("0"),DST_123_ÜRETİM_İHTİYAÇ_RAPORU_BURAK_YENI1309[[#This Row],[SATINALMA]]*DST_123_ÜRETİM_İHTİYAÇ_RAPORU_BURAK_YENI1309[[#This Row],[BIRIM_FIYATLAR]])</f>
        <v>0</v>
      </c>
      <c r="N2622">
        <v>36</v>
      </c>
      <c r="O2622" t="s">
        <v>240</v>
      </c>
      <c r="P2622">
        <v>108</v>
      </c>
      <c r="Q2622" t="s">
        <v>180</v>
      </c>
    </row>
    <row r="2623" spans="1:17" x14ac:dyDescent="0.25">
      <c r="A2623" t="s">
        <v>1144</v>
      </c>
      <c r="B2623" t="s">
        <v>1145</v>
      </c>
      <c r="C2623" t="s">
        <v>175</v>
      </c>
      <c r="D2623" t="s">
        <v>520</v>
      </c>
      <c r="E2623" t="s">
        <v>521</v>
      </c>
      <c r="F2623">
        <v>6</v>
      </c>
      <c r="G2623" t="s">
        <v>176</v>
      </c>
      <c r="H2623">
        <v>0</v>
      </c>
      <c r="I2623">
        <v>200</v>
      </c>
      <c r="J2623" s="10">
        <v>70</v>
      </c>
      <c r="K2623" s="10">
        <f>SUMIFS(F:F,D:D,DST_123_ÜRETİM_İHTİYAÇ_RAPORU_BURAK_YENI1309[[#This Row],[ALT_KOD]])-(SUMIFS(H:H,D:D,DST_123_ÜRETİM_İHTİYAÇ_RAPORU_BURAK_YENI1309[[#This Row],[ALT_KOD]])+AVERAGEIFS(I:I,D:D,DST_123_ÜRETİM_İHTİYAÇ_RAPORU_BURAK_YENI1309[[#This Row],[ALT_KOD]])+AVERAGEIFS(L:L,D:D,DST_123_ÜRETİM_İHTİYAÇ_RAPORU_BURAK_YENI1309[[#This Row],[ALT_KOD]]))</f>
        <v>-165</v>
      </c>
      <c r="L2623">
        <v>0</v>
      </c>
      <c r="M2623">
        <f>IF((DST_123_ÜRETİM_İHTİYAÇ_RAPORU_BURAK_YENI1309[[#This Row],[SATINALMA]]*DST_123_ÜRETİM_İHTİYAÇ_RAPORU_BURAK_YENI1309[[#This Row],[BIRIM_FIYATLAR]])&lt;1,VALUE("0"),DST_123_ÜRETİM_İHTİYAÇ_RAPORU_BURAK_YENI1309[[#This Row],[SATINALMA]]*DST_123_ÜRETİM_İHTİYAÇ_RAPORU_BURAK_YENI1309[[#This Row],[BIRIM_FIYATLAR]])</f>
        <v>0</v>
      </c>
      <c r="N2623">
        <v>10</v>
      </c>
      <c r="O2623" t="s">
        <v>226</v>
      </c>
      <c r="P2623">
        <v>60</v>
      </c>
      <c r="Q2623" t="s">
        <v>180</v>
      </c>
    </row>
    <row r="2624" spans="1:17" x14ac:dyDescent="0.25">
      <c r="A2624" t="s">
        <v>1146</v>
      </c>
      <c r="B2624" t="s">
        <v>1145</v>
      </c>
      <c r="C2624" t="s">
        <v>175</v>
      </c>
      <c r="D2624" t="s">
        <v>520</v>
      </c>
      <c r="E2624" t="s">
        <v>521</v>
      </c>
      <c r="F2624">
        <v>2</v>
      </c>
      <c r="G2624" t="s">
        <v>176</v>
      </c>
      <c r="H2624">
        <v>0</v>
      </c>
      <c r="I2624">
        <v>200</v>
      </c>
      <c r="J2624" s="10">
        <v>70</v>
      </c>
      <c r="K2624" s="10">
        <f>SUMIFS(F:F,D:D,DST_123_ÜRETİM_İHTİYAÇ_RAPORU_BURAK_YENI1309[[#This Row],[ALT_KOD]])-(SUMIFS(H:H,D:D,DST_123_ÜRETİM_İHTİYAÇ_RAPORU_BURAK_YENI1309[[#This Row],[ALT_KOD]])+AVERAGEIFS(I:I,D:D,DST_123_ÜRETİM_İHTİYAÇ_RAPORU_BURAK_YENI1309[[#This Row],[ALT_KOD]])+AVERAGEIFS(L:L,D:D,DST_123_ÜRETİM_İHTİYAÇ_RAPORU_BURAK_YENI1309[[#This Row],[ALT_KOD]]))</f>
        <v>-165</v>
      </c>
      <c r="L2624">
        <v>0</v>
      </c>
      <c r="M2624">
        <f>IF((DST_123_ÜRETİM_İHTİYAÇ_RAPORU_BURAK_YENI1309[[#This Row],[SATINALMA]]*DST_123_ÜRETİM_İHTİYAÇ_RAPORU_BURAK_YENI1309[[#This Row],[BIRIM_FIYATLAR]])&lt;1,VALUE("0"),DST_123_ÜRETİM_İHTİYAÇ_RAPORU_BURAK_YENI1309[[#This Row],[SATINALMA]]*DST_123_ÜRETİM_İHTİYAÇ_RAPORU_BURAK_YENI1309[[#This Row],[BIRIM_FIYATLAR]])</f>
        <v>0</v>
      </c>
      <c r="N2624">
        <v>10</v>
      </c>
      <c r="O2624" t="s">
        <v>226</v>
      </c>
      <c r="P2624">
        <v>20</v>
      </c>
      <c r="Q2624" t="s">
        <v>180</v>
      </c>
    </row>
    <row r="2625" spans="1:17" x14ac:dyDescent="0.25">
      <c r="A2625" t="s">
        <v>1150</v>
      </c>
      <c r="B2625" t="s">
        <v>1145</v>
      </c>
      <c r="C2625" t="s">
        <v>175</v>
      </c>
      <c r="D2625" t="s">
        <v>673</v>
      </c>
      <c r="E2625" t="s">
        <v>674</v>
      </c>
      <c r="F2625">
        <v>6</v>
      </c>
      <c r="G2625" t="s">
        <v>176</v>
      </c>
      <c r="H2625">
        <v>0</v>
      </c>
      <c r="I2625">
        <v>150</v>
      </c>
      <c r="J2625" s="10">
        <v>78</v>
      </c>
      <c r="K2625" s="10">
        <f>SUMIFS(F:F,D:D,DST_123_ÜRETİM_İHTİYAÇ_RAPORU_BURAK_YENI1309[[#This Row],[ALT_KOD]])-(SUMIFS(H:H,D:D,DST_123_ÜRETİM_İHTİYAÇ_RAPORU_BURAK_YENI1309[[#This Row],[ALT_KOD]])+AVERAGEIFS(I:I,D:D,DST_123_ÜRETİM_İHTİYAÇ_RAPORU_BURAK_YENI1309[[#This Row],[ALT_KOD]])+AVERAGEIFS(L:L,D:D,DST_123_ÜRETİM_İHTİYAÇ_RAPORU_BURAK_YENI1309[[#This Row],[ALT_KOD]]))</f>
        <v>-48</v>
      </c>
      <c r="L2625">
        <v>0</v>
      </c>
      <c r="M2625">
        <f>IF((DST_123_ÜRETİM_İHTİYAÇ_RAPORU_BURAK_YENI1309[[#This Row],[SATINALMA]]*DST_123_ÜRETİM_İHTİYAÇ_RAPORU_BURAK_YENI1309[[#This Row],[BIRIM_FIYATLAR]])&lt;1,VALUE("0"),DST_123_ÜRETİM_İHTİYAÇ_RAPORU_BURAK_YENI1309[[#This Row],[SATINALMA]]*DST_123_ÜRETİM_İHTİYAÇ_RAPORU_BURAK_YENI1309[[#This Row],[BIRIM_FIYATLAR]])</f>
        <v>0</v>
      </c>
      <c r="N2625">
        <v>20.83</v>
      </c>
      <c r="O2625" t="s">
        <v>226</v>
      </c>
      <c r="P2625">
        <v>124.97999999999999</v>
      </c>
      <c r="Q2625" t="s">
        <v>180</v>
      </c>
    </row>
    <row r="2626" spans="1:17" x14ac:dyDescent="0.25">
      <c r="A2626" t="s">
        <v>1059</v>
      </c>
      <c r="B2626" t="s">
        <v>1058</v>
      </c>
      <c r="C2626" t="s">
        <v>175</v>
      </c>
      <c r="D2626" t="s">
        <v>460</v>
      </c>
      <c r="E2626" t="s">
        <v>461</v>
      </c>
      <c r="F2626">
        <v>1.5</v>
      </c>
      <c r="G2626" t="s">
        <v>176</v>
      </c>
      <c r="H2626">
        <v>0</v>
      </c>
      <c r="I2626">
        <v>48</v>
      </c>
      <c r="J2626" s="10">
        <v>26</v>
      </c>
      <c r="K2626" s="10">
        <f>SUMIFS(F:F,D:D,DST_123_ÜRETİM_İHTİYAÇ_RAPORU_BURAK_YENI1309[[#This Row],[ALT_KOD]])-(SUMIFS(H:H,D:D,DST_123_ÜRETİM_İHTİYAÇ_RAPORU_BURAK_YENI1309[[#This Row],[ALT_KOD]])+AVERAGEIFS(I:I,D:D,DST_123_ÜRETİM_İHTİYAÇ_RAPORU_BURAK_YENI1309[[#This Row],[ALT_KOD]])+AVERAGEIFS(L:L,D:D,DST_123_ÜRETİM_İHTİYAÇ_RAPORU_BURAK_YENI1309[[#This Row],[ALT_KOD]]))</f>
        <v>-19.5</v>
      </c>
      <c r="L2626">
        <v>0</v>
      </c>
      <c r="M2626">
        <f>IF((DST_123_ÜRETİM_İHTİYAÇ_RAPORU_BURAK_YENI1309[[#This Row],[SATINALMA]]*DST_123_ÜRETİM_İHTİYAÇ_RAPORU_BURAK_YENI1309[[#This Row],[BIRIM_FIYATLAR]])&lt;1,VALUE("0"),DST_123_ÜRETİM_İHTİYAÇ_RAPORU_BURAK_YENI1309[[#This Row],[SATINALMA]]*DST_123_ÜRETİM_İHTİYAÇ_RAPORU_BURAK_YENI1309[[#This Row],[BIRIM_FIYATLAR]])</f>
        <v>0</v>
      </c>
      <c r="N2626">
        <v>5</v>
      </c>
      <c r="O2626" t="s">
        <v>240</v>
      </c>
      <c r="P2626">
        <v>7.5</v>
      </c>
      <c r="Q2626" t="s">
        <v>180</v>
      </c>
    </row>
    <row r="2627" spans="1:17" x14ac:dyDescent="0.25">
      <c r="A2627" t="s">
        <v>1098</v>
      </c>
      <c r="B2627" t="s">
        <v>1096</v>
      </c>
      <c r="C2627" t="s">
        <v>175</v>
      </c>
      <c r="D2627" t="s">
        <v>524</v>
      </c>
      <c r="E2627" t="s">
        <v>525</v>
      </c>
      <c r="F2627">
        <v>7</v>
      </c>
      <c r="G2627" t="s">
        <v>176</v>
      </c>
      <c r="H2627">
        <v>0</v>
      </c>
      <c r="I2627">
        <v>300</v>
      </c>
      <c r="J2627" s="10">
        <v>325</v>
      </c>
      <c r="K2627" s="10">
        <f>SUMIFS(F:F,D:D,DST_123_ÜRETİM_İHTİYAÇ_RAPORU_BURAK_YENI1309[[#This Row],[ALT_KOD]])-(SUMIFS(H:H,D:D,DST_123_ÜRETİM_İHTİYAÇ_RAPORU_BURAK_YENI1309[[#This Row],[ALT_KOD]])+AVERAGEIFS(I:I,D:D,DST_123_ÜRETİM_İHTİYAÇ_RAPORU_BURAK_YENI1309[[#This Row],[ALT_KOD]])+AVERAGEIFS(L:L,D:D,DST_123_ÜRETİM_İHTİYAÇ_RAPORU_BURAK_YENI1309[[#This Row],[ALT_KOD]]))</f>
        <v>-192</v>
      </c>
      <c r="L2627">
        <v>0</v>
      </c>
      <c r="M2627">
        <f>IF((DST_123_ÜRETİM_İHTİYAÇ_RAPORU_BURAK_YENI1309[[#This Row],[SATINALMA]]*DST_123_ÜRETİM_İHTİYAÇ_RAPORU_BURAK_YENI1309[[#This Row],[BIRIM_FIYATLAR]])&lt;1,VALUE("0"),DST_123_ÜRETİM_İHTİYAÇ_RAPORU_BURAK_YENI1309[[#This Row],[SATINALMA]]*DST_123_ÜRETİM_İHTİYAÇ_RAPORU_BURAK_YENI1309[[#This Row],[BIRIM_FIYATLAR]])</f>
        <v>0</v>
      </c>
      <c r="N2627">
        <v>12</v>
      </c>
      <c r="O2627" t="s">
        <v>226</v>
      </c>
      <c r="P2627">
        <v>84</v>
      </c>
      <c r="Q2627" t="s">
        <v>180</v>
      </c>
    </row>
    <row r="2628" spans="1:17" x14ac:dyDescent="0.25">
      <c r="A2628" t="s">
        <v>1098</v>
      </c>
      <c r="B2628" t="s">
        <v>1096</v>
      </c>
      <c r="C2628" t="s">
        <v>175</v>
      </c>
      <c r="D2628" t="s">
        <v>526</v>
      </c>
      <c r="E2628" t="s">
        <v>527</v>
      </c>
      <c r="F2628">
        <v>1</v>
      </c>
      <c r="G2628" t="s">
        <v>179</v>
      </c>
      <c r="H2628">
        <v>0</v>
      </c>
      <c r="I2628">
        <v>20</v>
      </c>
      <c r="J2628" s="10">
        <v>0</v>
      </c>
      <c r="K2628" s="10">
        <f>SUMIFS(F:F,D:D,DST_123_ÜRETİM_İHTİYAÇ_RAPORU_BURAK_YENI1309[[#This Row],[ALT_KOD]])-(SUMIFS(H:H,D:D,DST_123_ÜRETİM_İHTİYAÇ_RAPORU_BURAK_YENI1309[[#This Row],[ALT_KOD]])+AVERAGEIFS(I:I,D:D,DST_123_ÜRETİM_İHTİYAÇ_RAPORU_BURAK_YENI1309[[#This Row],[ALT_KOD]])+AVERAGEIFS(L:L,D:D,DST_123_ÜRETİM_İHTİYAÇ_RAPORU_BURAK_YENI1309[[#This Row],[ALT_KOD]]))</f>
        <v>-10.4</v>
      </c>
      <c r="L2628">
        <v>0</v>
      </c>
      <c r="M2628">
        <f>IF((DST_123_ÜRETİM_İHTİYAÇ_RAPORU_BURAK_YENI1309[[#This Row],[SATINALMA]]*DST_123_ÜRETİM_İHTİYAÇ_RAPORU_BURAK_YENI1309[[#This Row],[BIRIM_FIYATLAR]])&lt;1,VALUE("0"),DST_123_ÜRETİM_İHTİYAÇ_RAPORU_BURAK_YENI1309[[#This Row],[SATINALMA]]*DST_123_ÜRETİM_İHTİYAÇ_RAPORU_BURAK_YENI1309[[#This Row],[BIRIM_FIYATLAR]])</f>
        <v>0</v>
      </c>
      <c r="N2628">
        <v>38.33</v>
      </c>
      <c r="O2628" t="s">
        <v>254</v>
      </c>
      <c r="P2628">
        <v>38.33</v>
      </c>
      <c r="Q2628" t="s">
        <v>180</v>
      </c>
    </row>
    <row r="2629" spans="1:17" x14ac:dyDescent="0.25">
      <c r="A2629" t="s">
        <v>1098</v>
      </c>
      <c r="B2629" t="s">
        <v>1096</v>
      </c>
      <c r="C2629" t="s">
        <v>175</v>
      </c>
      <c r="D2629" t="s">
        <v>673</v>
      </c>
      <c r="E2629" t="s">
        <v>674</v>
      </c>
      <c r="F2629">
        <v>7</v>
      </c>
      <c r="G2629" t="s">
        <v>176</v>
      </c>
      <c r="H2629">
        <v>0</v>
      </c>
      <c r="I2629">
        <v>150</v>
      </c>
      <c r="J2629" s="10">
        <v>78</v>
      </c>
      <c r="K2629" s="10">
        <f>SUMIFS(F:F,D:D,DST_123_ÜRETİM_İHTİYAÇ_RAPORU_BURAK_YENI1309[[#This Row],[ALT_KOD]])-(SUMIFS(H:H,D:D,DST_123_ÜRETİM_İHTİYAÇ_RAPORU_BURAK_YENI1309[[#This Row],[ALT_KOD]])+AVERAGEIFS(I:I,D:D,DST_123_ÜRETİM_İHTİYAÇ_RAPORU_BURAK_YENI1309[[#This Row],[ALT_KOD]])+AVERAGEIFS(L:L,D:D,DST_123_ÜRETİM_İHTİYAÇ_RAPORU_BURAK_YENI1309[[#This Row],[ALT_KOD]]))</f>
        <v>-48</v>
      </c>
      <c r="L2629">
        <v>0</v>
      </c>
      <c r="M2629">
        <f>IF((DST_123_ÜRETİM_İHTİYAÇ_RAPORU_BURAK_YENI1309[[#This Row],[SATINALMA]]*DST_123_ÜRETİM_İHTİYAÇ_RAPORU_BURAK_YENI1309[[#This Row],[BIRIM_FIYATLAR]])&lt;1,VALUE("0"),DST_123_ÜRETİM_İHTİYAÇ_RAPORU_BURAK_YENI1309[[#This Row],[SATINALMA]]*DST_123_ÜRETİM_İHTİYAÇ_RAPORU_BURAK_YENI1309[[#This Row],[BIRIM_FIYATLAR]])</f>
        <v>0</v>
      </c>
      <c r="N2629">
        <v>20.83</v>
      </c>
      <c r="O2629" t="s">
        <v>226</v>
      </c>
      <c r="P2629">
        <v>145.81</v>
      </c>
      <c r="Q2629" t="s">
        <v>180</v>
      </c>
    </row>
    <row r="2630" spans="1:17" x14ac:dyDescent="0.25">
      <c r="A2630" t="s">
        <v>1095</v>
      </c>
      <c r="B2630" t="s">
        <v>1096</v>
      </c>
      <c r="C2630" t="s">
        <v>175</v>
      </c>
      <c r="D2630" t="s">
        <v>518</v>
      </c>
      <c r="E2630" t="s">
        <v>519</v>
      </c>
      <c r="F2630">
        <v>3.17</v>
      </c>
      <c r="G2630" t="s">
        <v>176</v>
      </c>
      <c r="H2630">
        <v>0</v>
      </c>
      <c r="I2630">
        <v>101</v>
      </c>
      <c r="J2630" s="10">
        <v>10.000000000000057</v>
      </c>
      <c r="K2630" s="10">
        <f>SUMIFS(F:F,D:D,DST_123_ÜRETİM_İHTİYAÇ_RAPORU_BURAK_YENI1309[[#This Row],[ALT_KOD]])-(SUMIFS(H:H,D:D,DST_123_ÜRETİM_İHTİYAÇ_RAPORU_BURAK_YENI1309[[#This Row],[ALT_KOD]])+AVERAGEIFS(I:I,D:D,DST_123_ÜRETİM_İHTİYAÇ_RAPORU_BURAK_YENI1309[[#This Row],[ALT_KOD]])+AVERAGEIFS(L:L,D:D,DST_123_ÜRETİM_İHTİYAÇ_RAPORU_BURAK_YENI1309[[#This Row],[ALT_KOD]]))</f>
        <v>-42.539999999999992</v>
      </c>
      <c r="L2630">
        <v>0</v>
      </c>
      <c r="M2630">
        <f>IF((DST_123_ÜRETİM_İHTİYAÇ_RAPORU_BURAK_YENI1309[[#This Row],[SATINALMA]]*DST_123_ÜRETİM_İHTİYAÇ_RAPORU_BURAK_YENI1309[[#This Row],[BIRIM_FIYATLAR]])&lt;1,VALUE("0"),DST_123_ÜRETİM_İHTİYAÇ_RAPORU_BURAK_YENI1309[[#This Row],[SATINALMA]]*DST_123_ÜRETİM_İHTİYAÇ_RAPORU_BURAK_YENI1309[[#This Row],[BIRIM_FIYATLAR]])</f>
        <v>0</v>
      </c>
      <c r="N2630">
        <v>36</v>
      </c>
      <c r="O2630" t="s">
        <v>240</v>
      </c>
      <c r="P2630">
        <v>114.12</v>
      </c>
      <c r="Q2630" t="s">
        <v>180</v>
      </c>
    </row>
    <row r="2631" spans="1:17" x14ac:dyDescent="0.25">
      <c r="A2631" t="s">
        <v>1143</v>
      </c>
      <c r="B2631" t="s">
        <v>1056</v>
      </c>
      <c r="C2631" t="s">
        <v>175</v>
      </c>
      <c r="D2631" t="s">
        <v>524</v>
      </c>
      <c r="E2631" t="s">
        <v>525</v>
      </c>
      <c r="F2631">
        <v>8</v>
      </c>
      <c r="G2631" t="s">
        <v>176</v>
      </c>
      <c r="H2631">
        <v>0</v>
      </c>
      <c r="I2631">
        <v>300</v>
      </c>
      <c r="J2631" s="10">
        <v>325</v>
      </c>
      <c r="K2631" s="10">
        <f>SUMIFS(F:F,D:D,DST_123_ÜRETİM_İHTİYAÇ_RAPORU_BURAK_YENI1309[[#This Row],[ALT_KOD]])-(SUMIFS(H:H,D:D,DST_123_ÜRETİM_İHTİYAÇ_RAPORU_BURAK_YENI1309[[#This Row],[ALT_KOD]])+AVERAGEIFS(I:I,D:D,DST_123_ÜRETİM_İHTİYAÇ_RAPORU_BURAK_YENI1309[[#This Row],[ALT_KOD]])+AVERAGEIFS(L:L,D:D,DST_123_ÜRETİM_İHTİYAÇ_RAPORU_BURAK_YENI1309[[#This Row],[ALT_KOD]]))</f>
        <v>-192</v>
      </c>
      <c r="L2631">
        <v>0</v>
      </c>
      <c r="M2631">
        <f>IF((DST_123_ÜRETİM_İHTİYAÇ_RAPORU_BURAK_YENI1309[[#This Row],[SATINALMA]]*DST_123_ÜRETİM_İHTİYAÇ_RAPORU_BURAK_YENI1309[[#This Row],[BIRIM_FIYATLAR]])&lt;1,VALUE("0"),DST_123_ÜRETİM_İHTİYAÇ_RAPORU_BURAK_YENI1309[[#This Row],[SATINALMA]]*DST_123_ÜRETİM_İHTİYAÇ_RAPORU_BURAK_YENI1309[[#This Row],[BIRIM_FIYATLAR]])</f>
        <v>0</v>
      </c>
      <c r="N2631">
        <v>12</v>
      </c>
      <c r="O2631" t="s">
        <v>226</v>
      </c>
      <c r="P2631">
        <v>96</v>
      </c>
      <c r="Q2631" t="s">
        <v>180</v>
      </c>
    </row>
    <row r="2632" spans="1:17" x14ac:dyDescent="0.25">
      <c r="A2632" t="s">
        <v>1143</v>
      </c>
      <c r="B2632" t="s">
        <v>1056</v>
      </c>
      <c r="C2632" t="s">
        <v>175</v>
      </c>
      <c r="D2632" t="s">
        <v>526</v>
      </c>
      <c r="E2632" t="s">
        <v>527</v>
      </c>
      <c r="F2632">
        <v>1</v>
      </c>
      <c r="G2632" t="s">
        <v>179</v>
      </c>
      <c r="H2632">
        <v>0</v>
      </c>
      <c r="I2632">
        <v>20</v>
      </c>
      <c r="J2632" s="10">
        <v>0</v>
      </c>
      <c r="K2632" s="10">
        <f>SUMIFS(F:F,D:D,DST_123_ÜRETİM_İHTİYAÇ_RAPORU_BURAK_YENI1309[[#This Row],[ALT_KOD]])-(SUMIFS(H:H,D:D,DST_123_ÜRETİM_İHTİYAÇ_RAPORU_BURAK_YENI1309[[#This Row],[ALT_KOD]])+AVERAGEIFS(I:I,D:D,DST_123_ÜRETİM_İHTİYAÇ_RAPORU_BURAK_YENI1309[[#This Row],[ALT_KOD]])+AVERAGEIFS(L:L,D:D,DST_123_ÜRETİM_İHTİYAÇ_RAPORU_BURAK_YENI1309[[#This Row],[ALT_KOD]]))</f>
        <v>-10.4</v>
      </c>
      <c r="L2632">
        <v>0</v>
      </c>
      <c r="M2632">
        <f>IF((DST_123_ÜRETİM_İHTİYAÇ_RAPORU_BURAK_YENI1309[[#This Row],[SATINALMA]]*DST_123_ÜRETİM_İHTİYAÇ_RAPORU_BURAK_YENI1309[[#This Row],[BIRIM_FIYATLAR]])&lt;1,VALUE("0"),DST_123_ÜRETİM_İHTİYAÇ_RAPORU_BURAK_YENI1309[[#This Row],[SATINALMA]]*DST_123_ÜRETİM_İHTİYAÇ_RAPORU_BURAK_YENI1309[[#This Row],[BIRIM_FIYATLAR]])</f>
        <v>0</v>
      </c>
      <c r="N2632">
        <v>38.33</v>
      </c>
      <c r="O2632" t="s">
        <v>254</v>
      </c>
      <c r="P2632">
        <v>38.33</v>
      </c>
      <c r="Q2632" t="s">
        <v>180</v>
      </c>
    </row>
    <row r="2633" spans="1:17" x14ac:dyDescent="0.25">
      <c r="A2633" t="s">
        <v>1143</v>
      </c>
      <c r="B2633" t="s">
        <v>1056</v>
      </c>
      <c r="C2633" t="s">
        <v>175</v>
      </c>
      <c r="D2633" t="s">
        <v>673</v>
      </c>
      <c r="E2633" t="s">
        <v>674</v>
      </c>
      <c r="F2633">
        <v>7</v>
      </c>
      <c r="G2633" t="s">
        <v>176</v>
      </c>
      <c r="H2633">
        <v>0</v>
      </c>
      <c r="I2633">
        <v>150</v>
      </c>
      <c r="J2633" s="10">
        <v>78</v>
      </c>
      <c r="K2633" s="10">
        <f>SUMIFS(F:F,D:D,DST_123_ÜRETİM_İHTİYAÇ_RAPORU_BURAK_YENI1309[[#This Row],[ALT_KOD]])-(SUMIFS(H:H,D:D,DST_123_ÜRETİM_İHTİYAÇ_RAPORU_BURAK_YENI1309[[#This Row],[ALT_KOD]])+AVERAGEIFS(I:I,D:D,DST_123_ÜRETİM_İHTİYAÇ_RAPORU_BURAK_YENI1309[[#This Row],[ALT_KOD]])+AVERAGEIFS(L:L,D:D,DST_123_ÜRETİM_İHTİYAÇ_RAPORU_BURAK_YENI1309[[#This Row],[ALT_KOD]]))</f>
        <v>-48</v>
      </c>
      <c r="L2633">
        <v>0</v>
      </c>
      <c r="M2633">
        <f>IF((DST_123_ÜRETİM_İHTİYAÇ_RAPORU_BURAK_YENI1309[[#This Row],[SATINALMA]]*DST_123_ÜRETİM_İHTİYAÇ_RAPORU_BURAK_YENI1309[[#This Row],[BIRIM_FIYATLAR]])&lt;1,VALUE("0"),DST_123_ÜRETİM_İHTİYAÇ_RAPORU_BURAK_YENI1309[[#This Row],[SATINALMA]]*DST_123_ÜRETİM_İHTİYAÇ_RAPORU_BURAK_YENI1309[[#This Row],[BIRIM_FIYATLAR]])</f>
        <v>0</v>
      </c>
      <c r="N2633">
        <v>20.83</v>
      </c>
      <c r="O2633" t="s">
        <v>226</v>
      </c>
      <c r="P2633">
        <v>145.81</v>
      </c>
      <c r="Q2633" t="s">
        <v>180</v>
      </c>
    </row>
    <row r="2634" spans="1:17" x14ac:dyDescent="0.25">
      <c r="A2634" t="s">
        <v>1150</v>
      </c>
      <c r="B2634" t="s">
        <v>1145</v>
      </c>
      <c r="C2634" t="s">
        <v>175</v>
      </c>
      <c r="D2634" t="s">
        <v>524</v>
      </c>
      <c r="E2634" t="s">
        <v>525</v>
      </c>
      <c r="F2634">
        <v>7</v>
      </c>
      <c r="G2634" t="s">
        <v>176</v>
      </c>
      <c r="H2634">
        <v>0</v>
      </c>
      <c r="I2634">
        <v>300</v>
      </c>
      <c r="J2634" s="10">
        <v>325</v>
      </c>
      <c r="K2634" s="10">
        <f>SUMIFS(F:F,D:D,DST_123_ÜRETİM_İHTİYAÇ_RAPORU_BURAK_YENI1309[[#This Row],[ALT_KOD]])-(SUMIFS(H:H,D:D,DST_123_ÜRETİM_İHTİYAÇ_RAPORU_BURAK_YENI1309[[#This Row],[ALT_KOD]])+AVERAGEIFS(I:I,D:D,DST_123_ÜRETİM_İHTİYAÇ_RAPORU_BURAK_YENI1309[[#This Row],[ALT_KOD]])+AVERAGEIFS(L:L,D:D,DST_123_ÜRETİM_İHTİYAÇ_RAPORU_BURAK_YENI1309[[#This Row],[ALT_KOD]]))</f>
        <v>-192</v>
      </c>
      <c r="L2634">
        <v>0</v>
      </c>
      <c r="M2634">
        <f>IF((DST_123_ÜRETİM_İHTİYAÇ_RAPORU_BURAK_YENI1309[[#This Row],[SATINALMA]]*DST_123_ÜRETİM_İHTİYAÇ_RAPORU_BURAK_YENI1309[[#This Row],[BIRIM_FIYATLAR]])&lt;1,VALUE("0"),DST_123_ÜRETİM_İHTİYAÇ_RAPORU_BURAK_YENI1309[[#This Row],[SATINALMA]]*DST_123_ÜRETİM_İHTİYAÇ_RAPORU_BURAK_YENI1309[[#This Row],[BIRIM_FIYATLAR]])</f>
        <v>0</v>
      </c>
      <c r="N2634">
        <v>12</v>
      </c>
      <c r="O2634" t="s">
        <v>226</v>
      </c>
      <c r="P2634">
        <v>84</v>
      </c>
      <c r="Q2634" t="s">
        <v>180</v>
      </c>
    </row>
    <row r="2635" spans="1:17" x14ac:dyDescent="0.25">
      <c r="A2635" t="s">
        <v>1149</v>
      </c>
      <c r="B2635" t="s">
        <v>1145</v>
      </c>
      <c r="C2635" t="s">
        <v>175</v>
      </c>
      <c r="D2635" t="s">
        <v>673</v>
      </c>
      <c r="E2635" t="s">
        <v>674</v>
      </c>
      <c r="F2635">
        <v>6</v>
      </c>
      <c r="G2635" t="s">
        <v>176</v>
      </c>
      <c r="H2635">
        <v>0</v>
      </c>
      <c r="I2635">
        <v>150</v>
      </c>
      <c r="J2635" s="10">
        <v>78</v>
      </c>
      <c r="K2635" s="10">
        <f>SUMIFS(F:F,D:D,DST_123_ÜRETİM_İHTİYAÇ_RAPORU_BURAK_YENI1309[[#This Row],[ALT_KOD]])-(SUMIFS(H:H,D:D,DST_123_ÜRETİM_İHTİYAÇ_RAPORU_BURAK_YENI1309[[#This Row],[ALT_KOD]])+AVERAGEIFS(I:I,D:D,DST_123_ÜRETİM_İHTİYAÇ_RAPORU_BURAK_YENI1309[[#This Row],[ALT_KOD]])+AVERAGEIFS(L:L,D:D,DST_123_ÜRETİM_İHTİYAÇ_RAPORU_BURAK_YENI1309[[#This Row],[ALT_KOD]]))</f>
        <v>-48</v>
      </c>
      <c r="L2635">
        <v>0</v>
      </c>
      <c r="M2635">
        <f>IF((DST_123_ÜRETİM_İHTİYAÇ_RAPORU_BURAK_YENI1309[[#This Row],[SATINALMA]]*DST_123_ÜRETİM_İHTİYAÇ_RAPORU_BURAK_YENI1309[[#This Row],[BIRIM_FIYATLAR]])&lt;1,VALUE("0"),DST_123_ÜRETİM_İHTİYAÇ_RAPORU_BURAK_YENI1309[[#This Row],[SATINALMA]]*DST_123_ÜRETİM_İHTİYAÇ_RAPORU_BURAK_YENI1309[[#This Row],[BIRIM_FIYATLAR]])</f>
        <v>0</v>
      </c>
      <c r="N2635">
        <v>20.83</v>
      </c>
      <c r="O2635" t="s">
        <v>226</v>
      </c>
      <c r="P2635">
        <v>124.97999999999999</v>
      </c>
      <c r="Q2635" t="s">
        <v>180</v>
      </c>
    </row>
    <row r="2636" spans="1:17" x14ac:dyDescent="0.25">
      <c r="A2636" t="s">
        <v>1150</v>
      </c>
      <c r="B2636" t="s">
        <v>1145</v>
      </c>
      <c r="C2636" t="s">
        <v>175</v>
      </c>
      <c r="D2636" t="s">
        <v>609</v>
      </c>
      <c r="E2636" t="s">
        <v>610</v>
      </c>
      <c r="F2636">
        <v>2.8</v>
      </c>
      <c r="G2636" t="s">
        <v>176</v>
      </c>
      <c r="H2636">
        <v>0</v>
      </c>
      <c r="I2636">
        <v>0</v>
      </c>
      <c r="J2636" s="10">
        <v>11</v>
      </c>
      <c r="K2636" s="10">
        <f>SUMIFS(F:F,D:D,DST_123_ÜRETİM_İHTİYAÇ_RAPORU_BURAK_YENI1309[[#This Row],[ALT_KOD]])-(SUMIFS(H:H,D:D,DST_123_ÜRETİM_İHTİYAÇ_RAPORU_BURAK_YENI1309[[#This Row],[ALT_KOD]])+AVERAGEIFS(I:I,D:D,DST_123_ÜRETİM_İHTİYAÇ_RAPORU_BURAK_YENI1309[[#This Row],[ALT_KOD]])+AVERAGEIFS(L:L,D:D,DST_123_ÜRETİM_İHTİYAÇ_RAPORU_BURAK_YENI1309[[#This Row],[ALT_KOD]]))</f>
        <v>20.000000000000007</v>
      </c>
      <c r="L2636">
        <v>4</v>
      </c>
      <c r="M2636">
        <f>IF((DST_123_ÜRETİM_İHTİYAÇ_RAPORU_BURAK_YENI1309[[#This Row],[SATINALMA]]*DST_123_ÜRETİM_İHTİYAÇ_RAPORU_BURAK_YENI1309[[#This Row],[BIRIM_FIYATLAR]])&lt;1,VALUE("0"),DST_123_ÜRETİM_İHTİYAÇ_RAPORU_BURAK_YENI1309[[#This Row],[SATINALMA]]*DST_123_ÜRETİM_İHTİYAÇ_RAPORU_BURAK_YENI1309[[#This Row],[BIRIM_FIYATLAR]])</f>
        <v>36666.600000000013</v>
      </c>
      <c r="N2636">
        <v>1833.33</v>
      </c>
      <c r="O2636" t="s">
        <v>223</v>
      </c>
      <c r="P2636">
        <v>5133.3239999999996</v>
      </c>
      <c r="Q2636" t="s">
        <v>181</v>
      </c>
    </row>
    <row r="2637" spans="1:17" x14ac:dyDescent="0.25">
      <c r="A2637" t="s">
        <v>1196</v>
      </c>
      <c r="B2637" t="s">
        <v>1197</v>
      </c>
      <c r="C2637" t="s">
        <v>175</v>
      </c>
      <c r="D2637" t="s">
        <v>815</v>
      </c>
      <c r="E2637" t="s">
        <v>816</v>
      </c>
      <c r="F2637">
        <v>1</v>
      </c>
      <c r="G2637" t="s">
        <v>176</v>
      </c>
      <c r="H2637">
        <v>0</v>
      </c>
      <c r="I2637">
        <v>1</v>
      </c>
      <c r="J2637" s="10">
        <v>5</v>
      </c>
      <c r="K2637" s="10">
        <f>SUMIFS(F:F,D:D,DST_123_ÜRETİM_İHTİYAÇ_RAPORU_BURAK_YENI1309[[#This Row],[ALT_KOD]])-(SUMIFS(H:H,D:D,DST_123_ÜRETİM_İHTİYAÇ_RAPORU_BURAK_YENI1309[[#This Row],[ALT_KOD]])+AVERAGEIFS(I:I,D:D,DST_123_ÜRETİM_İHTİYAÇ_RAPORU_BURAK_YENI1309[[#This Row],[ALT_KOD]])+AVERAGEIFS(L:L,D:D,DST_123_ÜRETİM_İHTİYAÇ_RAPORU_BURAK_YENI1309[[#This Row],[ALT_KOD]]))</f>
        <v>0</v>
      </c>
      <c r="L2637">
        <v>0</v>
      </c>
      <c r="M2637">
        <f>IF((DST_123_ÜRETİM_İHTİYAÇ_RAPORU_BURAK_YENI1309[[#This Row],[SATINALMA]]*DST_123_ÜRETİM_İHTİYAÇ_RAPORU_BURAK_YENI1309[[#This Row],[BIRIM_FIYATLAR]])&lt;1,VALUE("0"),DST_123_ÜRETİM_İHTİYAÇ_RAPORU_BURAK_YENI1309[[#This Row],[SATINALMA]]*DST_123_ÜRETİM_İHTİYAÇ_RAPORU_BURAK_YENI1309[[#This Row],[BIRIM_FIYATLAR]])</f>
        <v>0</v>
      </c>
      <c r="N2637">
        <v>250</v>
      </c>
      <c r="O2637" t="s">
        <v>696</v>
      </c>
      <c r="P2637">
        <v>250</v>
      </c>
      <c r="Q2637" t="s">
        <v>178</v>
      </c>
    </row>
    <row r="2638" spans="1:17" x14ac:dyDescent="0.25">
      <c r="A2638" t="s">
        <v>1098</v>
      </c>
      <c r="B2638" t="s">
        <v>1096</v>
      </c>
      <c r="C2638" t="s">
        <v>175</v>
      </c>
      <c r="D2638" t="s">
        <v>660</v>
      </c>
      <c r="E2638" t="s">
        <v>661</v>
      </c>
      <c r="F2638">
        <v>1</v>
      </c>
      <c r="G2638" t="s">
        <v>185</v>
      </c>
      <c r="H2638">
        <v>0</v>
      </c>
      <c r="I2638">
        <v>0</v>
      </c>
      <c r="J2638" s="10">
        <v>0</v>
      </c>
      <c r="K2638" s="10">
        <f>SUMIFS(F:F,D:D,DST_123_ÜRETİM_İHTİYAÇ_RAPORU_BURAK_YENI1309[[#This Row],[ALT_KOD]])-(SUMIFS(H:H,D:D,DST_123_ÜRETİM_İHTİYAÇ_RAPORU_BURAK_YENI1309[[#This Row],[ALT_KOD]])+AVERAGEIFS(I:I,D:D,DST_123_ÜRETİM_İHTİYAÇ_RAPORU_BURAK_YENI1309[[#This Row],[ALT_KOD]])+AVERAGEIFS(L:L,D:D,DST_123_ÜRETİM_İHTİYAÇ_RAPORU_BURAK_YENI1309[[#This Row],[ALT_KOD]]))</f>
        <v>19</v>
      </c>
      <c r="L2638">
        <v>0</v>
      </c>
      <c r="M2638">
        <f>IF((DST_123_ÜRETİM_İHTİYAÇ_RAPORU_BURAK_YENI1309[[#This Row],[SATINALMA]]*DST_123_ÜRETİM_İHTİYAÇ_RAPORU_BURAK_YENI1309[[#This Row],[BIRIM_FIYATLAR]])&lt;1,VALUE("0"),DST_123_ÜRETİM_İHTİYAÇ_RAPORU_BURAK_YENI1309[[#This Row],[SATINALMA]]*DST_123_ÜRETİM_İHTİYAÇ_RAPORU_BURAK_YENI1309[[#This Row],[BIRIM_FIYATLAR]])</f>
        <v>1538.6200000000001</v>
      </c>
      <c r="N2638">
        <v>80.98</v>
      </c>
      <c r="O2638" t="s">
        <v>223</v>
      </c>
      <c r="P2638">
        <v>80.98</v>
      </c>
      <c r="Q2638" t="s">
        <v>183</v>
      </c>
    </row>
    <row r="2639" spans="1:17" x14ac:dyDescent="0.25">
      <c r="A2639" t="s">
        <v>1099</v>
      </c>
      <c r="B2639" t="s">
        <v>1055</v>
      </c>
      <c r="C2639" t="s">
        <v>175</v>
      </c>
      <c r="D2639" t="s">
        <v>402</v>
      </c>
      <c r="E2639" t="s">
        <v>403</v>
      </c>
      <c r="F2639">
        <v>1</v>
      </c>
      <c r="G2639" t="s">
        <v>176</v>
      </c>
      <c r="H2639">
        <v>0</v>
      </c>
      <c r="I2639">
        <v>24</v>
      </c>
      <c r="J2639" s="10">
        <v>14</v>
      </c>
      <c r="K2639" s="10">
        <f>SUMIFS(F:F,D:D,DST_123_ÜRETİM_İHTİYAÇ_RAPORU_BURAK_YENI1309[[#This Row],[ALT_KOD]])-(SUMIFS(H:H,D:D,DST_123_ÜRETİM_İHTİYAÇ_RAPORU_BURAK_YENI1309[[#This Row],[ALT_KOD]])+AVERAGEIFS(I:I,D:D,DST_123_ÜRETİM_İHTİYAÇ_RAPORU_BURAK_YENI1309[[#This Row],[ALT_KOD]])+AVERAGEIFS(L:L,D:D,DST_123_ÜRETİM_İHTİYAÇ_RAPORU_BURAK_YENI1309[[#This Row],[ALT_KOD]]))</f>
        <v>-15</v>
      </c>
      <c r="L2639">
        <v>0</v>
      </c>
      <c r="M2639">
        <f>IF((DST_123_ÜRETİM_İHTİYAÇ_RAPORU_BURAK_YENI1309[[#This Row],[SATINALMA]]*DST_123_ÜRETİM_İHTİYAÇ_RAPORU_BURAK_YENI1309[[#This Row],[BIRIM_FIYATLAR]])&lt;1,VALUE("0"),DST_123_ÜRETİM_İHTİYAÇ_RAPORU_BURAK_YENI1309[[#This Row],[SATINALMA]]*DST_123_ÜRETİM_İHTİYAÇ_RAPORU_BURAK_YENI1309[[#This Row],[BIRIM_FIYATLAR]])</f>
        <v>0</v>
      </c>
      <c r="N2639">
        <v>15</v>
      </c>
      <c r="O2639" t="s">
        <v>220</v>
      </c>
      <c r="P2639">
        <v>15</v>
      </c>
      <c r="Q2639" t="s">
        <v>221</v>
      </c>
    </row>
    <row r="2640" spans="1:17" x14ac:dyDescent="0.25">
      <c r="A2640" t="s">
        <v>1196</v>
      </c>
      <c r="B2640" t="s">
        <v>1197</v>
      </c>
      <c r="C2640" t="s">
        <v>175</v>
      </c>
      <c r="D2640" t="s">
        <v>402</v>
      </c>
      <c r="E2640" t="s">
        <v>403</v>
      </c>
      <c r="F2640">
        <v>1</v>
      </c>
      <c r="G2640" t="s">
        <v>176</v>
      </c>
      <c r="H2640">
        <v>0</v>
      </c>
      <c r="I2640">
        <v>24</v>
      </c>
      <c r="J2640" s="10">
        <v>14</v>
      </c>
      <c r="K2640" s="10">
        <f>SUMIFS(F:F,D:D,DST_123_ÜRETİM_İHTİYAÇ_RAPORU_BURAK_YENI1309[[#This Row],[ALT_KOD]])-(SUMIFS(H:H,D:D,DST_123_ÜRETİM_İHTİYAÇ_RAPORU_BURAK_YENI1309[[#This Row],[ALT_KOD]])+AVERAGEIFS(I:I,D:D,DST_123_ÜRETİM_İHTİYAÇ_RAPORU_BURAK_YENI1309[[#This Row],[ALT_KOD]])+AVERAGEIFS(L:L,D:D,DST_123_ÜRETİM_İHTİYAÇ_RAPORU_BURAK_YENI1309[[#This Row],[ALT_KOD]]))</f>
        <v>-15</v>
      </c>
      <c r="L2640">
        <v>0</v>
      </c>
      <c r="M2640">
        <f>IF((DST_123_ÜRETİM_İHTİYAÇ_RAPORU_BURAK_YENI1309[[#This Row],[SATINALMA]]*DST_123_ÜRETİM_İHTİYAÇ_RAPORU_BURAK_YENI1309[[#This Row],[BIRIM_FIYATLAR]])&lt;1,VALUE("0"),DST_123_ÜRETİM_İHTİYAÇ_RAPORU_BURAK_YENI1309[[#This Row],[SATINALMA]]*DST_123_ÜRETİM_İHTİYAÇ_RAPORU_BURAK_YENI1309[[#This Row],[BIRIM_FIYATLAR]])</f>
        <v>0</v>
      </c>
      <c r="N2640">
        <v>15</v>
      </c>
      <c r="O2640" t="s">
        <v>220</v>
      </c>
      <c r="P2640">
        <v>15</v>
      </c>
      <c r="Q2640" t="s">
        <v>221</v>
      </c>
    </row>
    <row r="2641" spans="1:17" x14ac:dyDescent="0.25">
      <c r="A2641" t="s">
        <v>1148</v>
      </c>
      <c r="B2641" t="s">
        <v>1056</v>
      </c>
      <c r="C2641" t="s">
        <v>175</v>
      </c>
      <c r="D2641" t="s">
        <v>675</v>
      </c>
      <c r="E2641" t="s">
        <v>676</v>
      </c>
      <c r="F2641">
        <v>2</v>
      </c>
      <c r="G2641" t="s">
        <v>179</v>
      </c>
      <c r="H2641">
        <v>0</v>
      </c>
      <c r="I2641">
        <v>20</v>
      </c>
      <c r="J2641" s="10">
        <v>16</v>
      </c>
      <c r="K2641" s="10">
        <f>SUMIFS(F:F,D:D,DST_123_ÜRETİM_İHTİYAÇ_RAPORU_BURAK_YENI1309[[#This Row],[ALT_KOD]])-(SUMIFS(H:H,D:D,DST_123_ÜRETİM_İHTİYAÇ_RAPORU_BURAK_YENI1309[[#This Row],[ALT_KOD]])+AVERAGEIFS(I:I,D:D,DST_123_ÜRETİM_İHTİYAÇ_RAPORU_BURAK_YENI1309[[#This Row],[ALT_KOD]])+AVERAGEIFS(L:L,D:D,DST_123_ÜRETİM_İHTİYAÇ_RAPORU_BURAK_YENI1309[[#This Row],[ALT_KOD]]))</f>
        <v>-5</v>
      </c>
      <c r="L2641">
        <v>0</v>
      </c>
      <c r="M2641">
        <f>IF((DST_123_ÜRETİM_İHTİYAÇ_RAPORU_BURAK_YENI1309[[#This Row],[SATINALMA]]*DST_123_ÜRETİM_İHTİYAÇ_RAPORU_BURAK_YENI1309[[#This Row],[BIRIM_FIYATLAR]])&lt;1,VALUE("0"),DST_123_ÜRETİM_İHTİYAÇ_RAPORU_BURAK_YENI1309[[#This Row],[SATINALMA]]*DST_123_ÜRETİM_İHTİYAÇ_RAPORU_BURAK_YENI1309[[#This Row],[BIRIM_FIYATLAR]])</f>
        <v>0</v>
      </c>
      <c r="N2641">
        <v>97.17</v>
      </c>
      <c r="O2641" t="s">
        <v>254</v>
      </c>
      <c r="P2641">
        <v>194.34</v>
      </c>
      <c r="Q2641" t="s">
        <v>180</v>
      </c>
    </row>
    <row r="2642" spans="1:17" x14ac:dyDescent="0.25">
      <c r="A2642" t="s">
        <v>1147</v>
      </c>
      <c r="B2642" t="s">
        <v>1145</v>
      </c>
      <c r="C2642" t="s">
        <v>175</v>
      </c>
      <c r="D2642" t="s">
        <v>329</v>
      </c>
      <c r="E2642" t="s">
        <v>330</v>
      </c>
      <c r="F2642">
        <v>6</v>
      </c>
      <c r="G2642" t="s">
        <v>176</v>
      </c>
      <c r="H2642">
        <v>0</v>
      </c>
      <c r="I2642">
        <v>118</v>
      </c>
      <c r="J2642" s="10">
        <v>18</v>
      </c>
      <c r="K2642" s="10">
        <f>SUMIFS(F:F,D:D,DST_123_ÜRETİM_İHTİYAÇ_RAPORU_BURAK_YENI1309[[#This Row],[ALT_KOD]])-(SUMIFS(H:H,D:D,DST_123_ÜRETİM_İHTİYAÇ_RAPORU_BURAK_YENI1309[[#This Row],[ALT_KOD]])+AVERAGEIFS(I:I,D:D,DST_123_ÜRETİM_İHTİYAÇ_RAPORU_BURAK_YENI1309[[#This Row],[ALT_KOD]])+AVERAGEIFS(L:L,D:D,DST_123_ÜRETİM_İHTİYAÇ_RAPORU_BURAK_YENI1309[[#This Row],[ALT_KOD]]))</f>
        <v>-11</v>
      </c>
      <c r="L2642">
        <v>0</v>
      </c>
      <c r="M2642">
        <f>IF((DST_123_ÜRETİM_İHTİYAÇ_RAPORU_BURAK_YENI1309[[#This Row],[SATINALMA]]*DST_123_ÜRETİM_İHTİYAÇ_RAPORU_BURAK_YENI1309[[#This Row],[BIRIM_FIYATLAR]])&lt;1,VALUE("0"),DST_123_ÜRETİM_İHTİYAÇ_RAPORU_BURAK_YENI1309[[#This Row],[SATINALMA]]*DST_123_ÜRETİM_İHTİYAÇ_RAPORU_BURAK_YENI1309[[#This Row],[BIRIM_FIYATLAR]])</f>
        <v>0</v>
      </c>
      <c r="N2642">
        <v>14.5</v>
      </c>
      <c r="O2642" t="s">
        <v>240</v>
      </c>
      <c r="P2642">
        <v>87</v>
      </c>
      <c r="Q2642" t="s">
        <v>180</v>
      </c>
    </row>
    <row r="2643" spans="1:17" x14ac:dyDescent="0.25">
      <c r="A2643" t="s">
        <v>1100</v>
      </c>
      <c r="B2643" t="s">
        <v>1058</v>
      </c>
      <c r="C2643" t="s">
        <v>175</v>
      </c>
      <c r="D2643" t="s">
        <v>329</v>
      </c>
      <c r="E2643" t="s">
        <v>330</v>
      </c>
      <c r="F2643">
        <v>6</v>
      </c>
      <c r="G2643" t="s">
        <v>176</v>
      </c>
      <c r="H2643">
        <v>0</v>
      </c>
      <c r="I2643">
        <v>118</v>
      </c>
      <c r="J2643" s="10">
        <v>18</v>
      </c>
      <c r="K2643" s="10">
        <f>SUMIFS(F:F,D:D,DST_123_ÜRETİM_İHTİYAÇ_RAPORU_BURAK_YENI1309[[#This Row],[ALT_KOD]])-(SUMIFS(H:H,D:D,DST_123_ÜRETİM_İHTİYAÇ_RAPORU_BURAK_YENI1309[[#This Row],[ALT_KOD]])+AVERAGEIFS(I:I,D:D,DST_123_ÜRETİM_İHTİYAÇ_RAPORU_BURAK_YENI1309[[#This Row],[ALT_KOD]])+AVERAGEIFS(L:L,D:D,DST_123_ÜRETİM_İHTİYAÇ_RAPORU_BURAK_YENI1309[[#This Row],[ALT_KOD]]))</f>
        <v>-11</v>
      </c>
      <c r="L2643">
        <v>0</v>
      </c>
      <c r="M2643">
        <f>IF((DST_123_ÜRETİM_İHTİYAÇ_RAPORU_BURAK_YENI1309[[#This Row],[SATINALMA]]*DST_123_ÜRETİM_İHTİYAÇ_RAPORU_BURAK_YENI1309[[#This Row],[BIRIM_FIYATLAR]])&lt;1,VALUE("0"),DST_123_ÜRETİM_İHTİYAÇ_RAPORU_BURAK_YENI1309[[#This Row],[SATINALMA]]*DST_123_ÜRETİM_İHTİYAÇ_RAPORU_BURAK_YENI1309[[#This Row],[BIRIM_FIYATLAR]])</f>
        <v>0</v>
      </c>
      <c r="N2643">
        <v>14.5</v>
      </c>
      <c r="O2643" t="s">
        <v>240</v>
      </c>
      <c r="P2643">
        <v>87</v>
      </c>
      <c r="Q2643" t="s">
        <v>180</v>
      </c>
    </row>
    <row r="2644" spans="1:17" x14ac:dyDescent="0.25">
      <c r="A2644" t="s">
        <v>1148</v>
      </c>
      <c r="B2644" t="s">
        <v>1056</v>
      </c>
      <c r="C2644" t="s">
        <v>175</v>
      </c>
      <c r="D2644" t="s">
        <v>329</v>
      </c>
      <c r="E2644" t="s">
        <v>330</v>
      </c>
      <c r="F2644">
        <v>6</v>
      </c>
      <c r="G2644" t="s">
        <v>176</v>
      </c>
      <c r="H2644">
        <v>0</v>
      </c>
      <c r="I2644">
        <v>118</v>
      </c>
      <c r="J2644" s="10">
        <v>18</v>
      </c>
      <c r="K2644" s="10">
        <f>SUMIFS(F:F,D:D,DST_123_ÜRETİM_İHTİYAÇ_RAPORU_BURAK_YENI1309[[#This Row],[ALT_KOD]])-(SUMIFS(H:H,D:D,DST_123_ÜRETİM_İHTİYAÇ_RAPORU_BURAK_YENI1309[[#This Row],[ALT_KOD]])+AVERAGEIFS(I:I,D:D,DST_123_ÜRETİM_İHTİYAÇ_RAPORU_BURAK_YENI1309[[#This Row],[ALT_KOD]])+AVERAGEIFS(L:L,D:D,DST_123_ÜRETİM_İHTİYAÇ_RAPORU_BURAK_YENI1309[[#This Row],[ALT_KOD]]))</f>
        <v>-11</v>
      </c>
      <c r="L2644">
        <v>0</v>
      </c>
      <c r="M2644">
        <f>IF((DST_123_ÜRETİM_İHTİYAÇ_RAPORU_BURAK_YENI1309[[#This Row],[SATINALMA]]*DST_123_ÜRETİM_İHTİYAÇ_RAPORU_BURAK_YENI1309[[#This Row],[BIRIM_FIYATLAR]])&lt;1,VALUE("0"),DST_123_ÜRETİM_İHTİYAÇ_RAPORU_BURAK_YENI1309[[#This Row],[SATINALMA]]*DST_123_ÜRETİM_İHTİYAÇ_RAPORU_BURAK_YENI1309[[#This Row],[BIRIM_FIYATLAR]])</f>
        <v>0</v>
      </c>
      <c r="N2644">
        <v>14.5</v>
      </c>
      <c r="O2644" t="s">
        <v>240</v>
      </c>
      <c r="P2644">
        <v>87</v>
      </c>
      <c r="Q2644" t="s">
        <v>180</v>
      </c>
    </row>
    <row r="2645" spans="1:17" x14ac:dyDescent="0.25">
      <c r="A2645" t="s">
        <v>1060</v>
      </c>
      <c r="B2645" t="s">
        <v>1061</v>
      </c>
      <c r="C2645" t="s">
        <v>175</v>
      </c>
      <c r="D2645" t="s">
        <v>518</v>
      </c>
      <c r="E2645" t="s">
        <v>519</v>
      </c>
      <c r="F2645">
        <v>3</v>
      </c>
      <c r="G2645" t="s">
        <v>176</v>
      </c>
      <c r="H2645">
        <v>0</v>
      </c>
      <c r="I2645">
        <v>101</v>
      </c>
      <c r="J2645" s="10">
        <v>10.000000000000057</v>
      </c>
      <c r="K2645" s="10">
        <f>SUMIFS(F:F,D:D,DST_123_ÜRETİM_İHTİYAÇ_RAPORU_BURAK_YENI1309[[#This Row],[ALT_KOD]])-(SUMIFS(H:H,D:D,DST_123_ÜRETİM_İHTİYAÇ_RAPORU_BURAK_YENI1309[[#This Row],[ALT_KOD]])+AVERAGEIFS(I:I,D:D,DST_123_ÜRETİM_İHTİYAÇ_RAPORU_BURAK_YENI1309[[#This Row],[ALT_KOD]])+AVERAGEIFS(L:L,D:D,DST_123_ÜRETİM_İHTİYAÇ_RAPORU_BURAK_YENI1309[[#This Row],[ALT_KOD]]))</f>
        <v>-42.539999999999992</v>
      </c>
      <c r="L2645">
        <v>0</v>
      </c>
      <c r="M2645">
        <f>IF((DST_123_ÜRETİM_İHTİYAÇ_RAPORU_BURAK_YENI1309[[#This Row],[SATINALMA]]*DST_123_ÜRETİM_İHTİYAÇ_RAPORU_BURAK_YENI1309[[#This Row],[BIRIM_FIYATLAR]])&lt;1,VALUE("0"),DST_123_ÜRETİM_İHTİYAÇ_RAPORU_BURAK_YENI1309[[#This Row],[SATINALMA]]*DST_123_ÜRETİM_İHTİYAÇ_RAPORU_BURAK_YENI1309[[#This Row],[BIRIM_FIYATLAR]])</f>
        <v>0</v>
      </c>
      <c r="N2645">
        <v>36</v>
      </c>
      <c r="O2645" t="s">
        <v>240</v>
      </c>
      <c r="P2645">
        <v>108</v>
      </c>
      <c r="Q2645" t="s">
        <v>180</v>
      </c>
    </row>
    <row r="2646" spans="1:17" x14ac:dyDescent="0.25">
      <c r="A2646" t="s">
        <v>1095</v>
      </c>
      <c r="B2646" t="s">
        <v>1096</v>
      </c>
      <c r="C2646" t="s">
        <v>175</v>
      </c>
      <c r="D2646" t="s">
        <v>24</v>
      </c>
      <c r="E2646" t="s">
        <v>25</v>
      </c>
      <c r="F2646">
        <v>1</v>
      </c>
      <c r="G2646" t="s">
        <v>176</v>
      </c>
      <c r="H2646">
        <v>0</v>
      </c>
      <c r="I2646">
        <v>30</v>
      </c>
      <c r="J2646" s="10">
        <v>20</v>
      </c>
      <c r="K2646" s="10">
        <f>SUMIFS(F:F,D:D,DST_123_ÜRETİM_İHTİYAÇ_RAPORU_BURAK_YENI1309[[#This Row],[ALT_KOD]])-(SUMIFS(H:H,D:D,DST_123_ÜRETİM_İHTİYAÇ_RAPORU_BURAK_YENI1309[[#This Row],[ALT_KOD]])+AVERAGEIFS(I:I,D:D,DST_123_ÜRETİM_İHTİYAÇ_RAPORU_BURAK_YENI1309[[#This Row],[ALT_KOD]])+AVERAGEIFS(L:L,D:D,DST_123_ÜRETİM_İHTİYAÇ_RAPORU_BURAK_YENI1309[[#This Row],[ALT_KOD]]))</f>
        <v>-7</v>
      </c>
      <c r="L2646">
        <v>0</v>
      </c>
      <c r="M2646">
        <f>IF((DST_123_ÜRETİM_İHTİYAÇ_RAPORU_BURAK_YENI1309[[#This Row],[SATINALMA]]*DST_123_ÜRETİM_İHTİYAÇ_RAPORU_BURAK_YENI1309[[#This Row],[BIRIM_FIYATLAR]])&lt;1,VALUE("0"),DST_123_ÜRETİM_İHTİYAÇ_RAPORU_BURAK_YENI1309[[#This Row],[SATINALMA]]*DST_123_ÜRETİM_İHTİYAÇ_RAPORU_BURAK_YENI1309[[#This Row],[BIRIM_FIYATLAR]])</f>
        <v>0</v>
      </c>
      <c r="N2646">
        <v>62.5</v>
      </c>
      <c r="O2646" t="s">
        <v>628</v>
      </c>
      <c r="P2646">
        <v>62.5</v>
      </c>
      <c r="Q2646" t="s">
        <v>180</v>
      </c>
    </row>
    <row r="2647" spans="1:17" x14ac:dyDescent="0.25">
      <c r="A2647" t="s">
        <v>1059</v>
      </c>
      <c r="B2647" t="s">
        <v>1058</v>
      </c>
      <c r="C2647" t="s">
        <v>175</v>
      </c>
      <c r="D2647" t="s">
        <v>282</v>
      </c>
      <c r="E2647" t="s">
        <v>283</v>
      </c>
      <c r="F2647">
        <v>1</v>
      </c>
      <c r="G2647" t="s">
        <v>176</v>
      </c>
      <c r="H2647">
        <v>0</v>
      </c>
      <c r="I2647">
        <v>104</v>
      </c>
      <c r="J2647" s="10">
        <v>-3.5527136788005009E-15</v>
      </c>
      <c r="K2647" s="10">
        <f>SUMIFS(F:F,D:D,DST_123_ÜRETİM_İHTİYAÇ_RAPORU_BURAK_YENI1309[[#This Row],[ALT_KOD]])-(SUMIFS(H:H,D:D,DST_123_ÜRETİM_İHTİYAÇ_RAPORU_BURAK_YENI1309[[#This Row],[ALT_KOD]])+AVERAGEIFS(I:I,D:D,DST_123_ÜRETİM_İHTİYAÇ_RAPORU_BURAK_YENI1309[[#This Row],[ALT_KOD]])+AVERAGEIFS(L:L,D:D,DST_123_ÜRETİM_İHTİYAÇ_RAPORU_BURAK_YENI1309[[#This Row],[ALT_KOD]]))</f>
        <v>-81.349999999999994</v>
      </c>
      <c r="L2647">
        <v>0</v>
      </c>
      <c r="M2647">
        <f>IF((DST_123_ÜRETİM_İHTİYAÇ_RAPORU_BURAK_YENI1309[[#This Row],[SATINALMA]]*DST_123_ÜRETİM_İHTİYAÇ_RAPORU_BURAK_YENI1309[[#This Row],[BIRIM_FIYATLAR]])&lt;1,VALUE("0"),DST_123_ÜRETİM_İHTİYAÇ_RAPORU_BURAK_YENI1309[[#This Row],[SATINALMA]]*DST_123_ÜRETİM_İHTİYAÇ_RAPORU_BURAK_YENI1309[[#This Row],[BIRIM_FIYATLAR]])</f>
        <v>0</v>
      </c>
      <c r="N2647">
        <v>22</v>
      </c>
      <c r="O2647" t="s">
        <v>240</v>
      </c>
      <c r="P2647">
        <v>22</v>
      </c>
      <c r="Q2647" t="s">
        <v>180</v>
      </c>
    </row>
    <row r="2648" spans="1:17" x14ac:dyDescent="0.25">
      <c r="A2648" t="s">
        <v>1143</v>
      </c>
      <c r="B2648" t="s">
        <v>1056</v>
      </c>
      <c r="C2648" t="s">
        <v>175</v>
      </c>
      <c r="D2648" t="s">
        <v>282</v>
      </c>
      <c r="E2648" t="s">
        <v>283</v>
      </c>
      <c r="F2648">
        <v>1.46</v>
      </c>
      <c r="G2648" t="s">
        <v>176</v>
      </c>
      <c r="H2648">
        <v>0</v>
      </c>
      <c r="I2648">
        <v>104</v>
      </c>
      <c r="J2648" s="10">
        <v>-3.5527136788005009E-15</v>
      </c>
      <c r="K2648" s="10">
        <f>SUMIFS(F:F,D:D,DST_123_ÜRETİM_İHTİYAÇ_RAPORU_BURAK_YENI1309[[#This Row],[ALT_KOD]])-(SUMIFS(H:H,D:D,DST_123_ÜRETİM_İHTİYAÇ_RAPORU_BURAK_YENI1309[[#This Row],[ALT_KOD]])+AVERAGEIFS(I:I,D:D,DST_123_ÜRETİM_İHTİYAÇ_RAPORU_BURAK_YENI1309[[#This Row],[ALT_KOD]])+AVERAGEIFS(L:L,D:D,DST_123_ÜRETİM_İHTİYAÇ_RAPORU_BURAK_YENI1309[[#This Row],[ALT_KOD]]))</f>
        <v>-81.349999999999994</v>
      </c>
      <c r="L2648">
        <v>0</v>
      </c>
      <c r="M2648">
        <f>IF((DST_123_ÜRETİM_İHTİYAÇ_RAPORU_BURAK_YENI1309[[#This Row],[SATINALMA]]*DST_123_ÜRETİM_İHTİYAÇ_RAPORU_BURAK_YENI1309[[#This Row],[BIRIM_FIYATLAR]])&lt;1,VALUE("0"),DST_123_ÜRETİM_İHTİYAÇ_RAPORU_BURAK_YENI1309[[#This Row],[SATINALMA]]*DST_123_ÜRETİM_İHTİYAÇ_RAPORU_BURAK_YENI1309[[#This Row],[BIRIM_FIYATLAR]])</f>
        <v>0</v>
      </c>
      <c r="N2648">
        <v>22</v>
      </c>
      <c r="O2648" t="s">
        <v>240</v>
      </c>
      <c r="P2648">
        <v>32.119999999999997</v>
      </c>
      <c r="Q2648" t="s">
        <v>180</v>
      </c>
    </row>
    <row r="2649" spans="1:17" x14ac:dyDescent="0.25">
      <c r="A2649" t="s">
        <v>1142</v>
      </c>
      <c r="B2649" t="s">
        <v>1056</v>
      </c>
      <c r="C2649" t="s">
        <v>175</v>
      </c>
      <c r="D2649" t="s">
        <v>24</v>
      </c>
      <c r="E2649" t="s">
        <v>25</v>
      </c>
      <c r="F2649">
        <v>1</v>
      </c>
      <c r="G2649" t="s">
        <v>176</v>
      </c>
      <c r="H2649">
        <v>0</v>
      </c>
      <c r="I2649">
        <v>30</v>
      </c>
      <c r="J2649" s="10">
        <v>20</v>
      </c>
      <c r="K2649" s="10">
        <f>SUMIFS(F:F,D:D,DST_123_ÜRETİM_İHTİYAÇ_RAPORU_BURAK_YENI1309[[#This Row],[ALT_KOD]])-(SUMIFS(H:H,D:D,DST_123_ÜRETİM_İHTİYAÇ_RAPORU_BURAK_YENI1309[[#This Row],[ALT_KOD]])+AVERAGEIFS(I:I,D:D,DST_123_ÜRETİM_İHTİYAÇ_RAPORU_BURAK_YENI1309[[#This Row],[ALT_KOD]])+AVERAGEIFS(L:L,D:D,DST_123_ÜRETİM_İHTİYAÇ_RAPORU_BURAK_YENI1309[[#This Row],[ALT_KOD]]))</f>
        <v>-7</v>
      </c>
      <c r="L2649">
        <v>0</v>
      </c>
      <c r="M2649">
        <f>IF((DST_123_ÜRETİM_İHTİYAÇ_RAPORU_BURAK_YENI1309[[#This Row],[SATINALMA]]*DST_123_ÜRETİM_İHTİYAÇ_RAPORU_BURAK_YENI1309[[#This Row],[BIRIM_FIYATLAR]])&lt;1,VALUE("0"),DST_123_ÜRETİM_İHTİYAÇ_RAPORU_BURAK_YENI1309[[#This Row],[SATINALMA]]*DST_123_ÜRETİM_İHTİYAÇ_RAPORU_BURAK_YENI1309[[#This Row],[BIRIM_FIYATLAR]])</f>
        <v>0</v>
      </c>
      <c r="N2649">
        <v>62.5</v>
      </c>
      <c r="O2649" t="s">
        <v>628</v>
      </c>
      <c r="P2649">
        <v>62.5</v>
      </c>
      <c r="Q2649" t="s">
        <v>180</v>
      </c>
    </row>
    <row r="2650" spans="1:17" x14ac:dyDescent="0.25">
      <c r="A2650" t="s">
        <v>1059</v>
      </c>
      <c r="B2650" t="s">
        <v>1058</v>
      </c>
      <c r="C2650" t="s">
        <v>175</v>
      </c>
      <c r="D2650" t="s">
        <v>24</v>
      </c>
      <c r="E2650" t="s">
        <v>25</v>
      </c>
      <c r="F2650">
        <v>1</v>
      </c>
      <c r="G2650" t="s">
        <v>176</v>
      </c>
      <c r="H2650">
        <v>0</v>
      </c>
      <c r="I2650">
        <v>30</v>
      </c>
      <c r="J2650" s="10">
        <v>20</v>
      </c>
      <c r="K2650" s="10">
        <f>SUMIFS(F:F,D:D,DST_123_ÜRETİM_İHTİYAÇ_RAPORU_BURAK_YENI1309[[#This Row],[ALT_KOD]])-(SUMIFS(H:H,D:D,DST_123_ÜRETİM_İHTİYAÇ_RAPORU_BURAK_YENI1309[[#This Row],[ALT_KOD]])+AVERAGEIFS(I:I,D:D,DST_123_ÜRETİM_İHTİYAÇ_RAPORU_BURAK_YENI1309[[#This Row],[ALT_KOD]])+AVERAGEIFS(L:L,D:D,DST_123_ÜRETİM_İHTİYAÇ_RAPORU_BURAK_YENI1309[[#This Row],[ALT_KOD]]))</f>
        <v>-7</v>
      </c>
      <c r="L2650">
        <v>0</v>
      </c>
      <c r="M2650">
        <f>IF((DST_123_ÜRETİM_İHTİYAÇ_RAPORU_BURAK_YENI1309[[#This Row],[SATINALMA]]*DST_123_ÜRETİM_İHTİYAÇ_RAPORU_BURAK_YENI1309[[#This Row],[BIRIM_FIYATLAR]])&lt;1,VALUE("0"),DST_123_ÜRETİM_İHTİYAÇ_RAPORU_BURAK_YENI1309[[#This Row],[SATINALMA]]*DST_123_ÜRETİM_İHTİYAÇ_RAPORU_BURAK_YENI1309[[#This Row],[BIRIM_FIYATLAR]])</f>
        <v>0</v>
      </c>
      <c r="N2650">
        <v>62.5</v>
      </c>
      <c r="O2650" t="s">
        <v>628</v>
      </c>
      <c r="P2650">
        <v>62.5</v>
      </c>
      <c r="Q2650" t="s">
        <v>180</v>
      </c>
    </row>
    <row r="2651" spans="1:17" x14ac:dyDescent="0.25">
      <c r="A2651" t="s">
        <v>1143</v>
      </c>
      <c r="B2651" t="s">
        <v>1056</v>
      </c>
      <c r="C2651" t="s">
        <v>175</v>
      </c>
      <c r="D2651" t="s">
        <v>24</v>
      </c>
      <c r="E2651" t="s">
        <v>25</v>
      </c>
      <c r="F2651">
        <v>1</v>
      </c>
      <c r="G2651" t="s">
        <v>176</v>
      </c>
      <c r="H2651">
        <v>0</v>
      </c>
      <c r="I2651">
        <v>30</v>
      </c>
      <c r="J2651" s="10">
        <v>20</v>
      </c>
      <c r="K2651" s="10">
        <f>SUMIFS(F:F,D:D,DST_123_ÜRETİM_İHTİYAÇ_RAPORU_BURAK_YENI1309[[#This Row],[ALT_KOD]])-(SUMIFS(H:H,D:D,DST_123_ÜRETİM_İHTİYAÇ_RAPORU_BURAK_YENI1309[[#This Row],[ALT_KOD]])+AVERAGEIFS(I:I,D:D,DST_123_ÜRETİM_İHTİYAÇ_RAPORU_BURAK_YENI1309[[#This Row],[ALT_KOD]])+AVERAGEIFS(L:L,D:D,DST_123_ÜRETİM_İHTİYAÇ_RAPORU_BURAK_YENI1309[[#This Row],[ALT_KOD]]))</f>
        <v>-7</v>
      </c>
      <c r="L2651">
        <v>0</v>
      </c>
      <c r="M2651">
        <f>IF((DST_123_ÜRETİM_İHTİYAÇ_RAPORU_BURAK_YENI1309[[#This Row],[SATINALMA]]*DST_123_ÜRETİM_İHTİYAÇ_RAPORU_BURAK_YENI1309[[#This Row],[BIRIM_FIYATLAR]])&lt;1,VALUE("0"),DST_123_ÜRETİM_İHTİYAÇ_RAPORU_BURAK_YENI1309[[#This Row],[SATINALMA]]*DST_123_ÜRETİM_İHTİYAÇ_RAPORU_BURAK_YENI1309[[#This Row],[BIRIM_FIYATLAR]])</f>
        <v>0</v>
      </c>
      <c r="N2651">
        <v>62.5</v>
      </c>
      <c r="O2651" t="s">
        <v>628</v>
      </c>
      <c r="P2651">
        <v>62.5</v>
      </c>
      <c r="Q2651" t="s">
        <v>180</v>
      </c>
    </row>
    <row r="2652" spans="1:17" x14ac:dyDescent="0.25">
      <c r="A2652" t="s">
        <v>1149</v>
      </c>
      <c r="B2652" t="s">
        <v>1145</v>
      </c>
      <c r="C2652" t="s">
        <v>175</v>
      </c>
      <c r="D2652" t="s">
        <v>207</v>
      </c>
      <c r="E2652" t="s">
        <v>281</v>
      </c>
      <c r="F2652">
        <v>2.5</v>
      </c>
      <c r="G2652" t="s">
        <v>176</v>
      </c>
      <c r="H2652">
        <v>0</v>
      </c>
      <c r="I2652">
        <v>52</v>
      </c>
      <c r="J2652" s="10">
        <v>10.269999999999982</v>
      </c>
      <c r="K2652" s="10">
        <f>SUMIFS(F:F,D:D,DST_123_ÜRETİM_İHTİYAÇ_RAPORU_BURAK_YENI1309[[#This Row],[ALT_KOD]])-(SUMIFS(H:H,D:D,DST_123_ÜRETİM_İHTİYAÇ_RAPORU_BURAK_YENI1309[[#This Row],[ALT_KOD]])+AVERAGEIFS(I:I,D:D,DST_123_ÜRETİM_İHTİYAÇ_RAPORU_BURAK_YENI1309[[#This Row],[ALT_KOD]])+AVERAGEIFS(L:L,D:D,DST_123_ÜRETİM_İHTİYAÇ_RAPORU_BURAK_YENI1309[[#This Row],[ALT_KOD]]))</f>
        <v>-5.0300000000000011</v>
      </c>
      <c r="L2652">
        <v>0</v>
      </c>
      <c r="M2652">
        <f>IF((DST_123_ÜRETİM_İHTİYAÇ_RAPORU_BURAK_YENI1309[[#This Row],[SATINALMA]]*DST_123_ÜRETİM_İHTİYAÇ_RAPORU_BURAK_YENI1309[[#This Row],[BIRIM_FIYATLAR]])&lt;1,VALUE("0"),DST_123_ÜRETİM_İHTİYAÇ_RAPORU_BURAK_YENI1309[[#This Row],[SATINALMA]]*DST_123_ÜRETİM_İHTİYAÇ_RAPORU_BURAK_YENI1309[[#This Row],[BIRIM_FIYATLAR]])</f>
        <v>0</v>
      </c>
      <c r="N2652">
        <v>28</v>
      </c>
      <c r="O2652" t="s">
        <v>240</v>
      </c>
      <c r="P2652">
        <v>70</v>
      </c>
      <c r="Q2652" t="s">
        <v>180</v>
      </c>
    </row>
    <row r="2653" spans="1:17" x14ac:dyDescent="0.25">
      <c r="A2653" t="s">
        <v>1150</v>
      </c>
      <c r="B2653" t="s">
        <v>1145</v>
      </c>
      <c r="C2653" t="s">
        <v>175</v>
      </c>
      <c r="D2653" t="s">
        <v>282</v>
      </c>
      <c r="E2653" t="s">
        <v>283</v>
      </c>
      <c r="F2653">
        <v>1</v>
      </c>
      <c r="G2653" t="s">
        <v>176</v>
      </c>
      <c r="H2653">
        <v>0</v>
      </c>
      <c r="I2653">
        <v>104</v>
      </c>
      <c r="J2653" s="10">
        <v>-3.5527136788005009E-15</v>
      </c>
      <c r="K2653" s="10">
        <f>SUMIFS(F:F,D:D,DST_123_ÜRETİM_İHTİYAÇ_RAPORU_BURAK_YENI1309[[#This Row],[ALT_KOD]])-(SUMIFS(H:H,D:D,DST_123_ÜRETİM_İHTİYAÇ_RAPORU_BURAK_YENI1309[[#This Row],[ALT_KOD]])+AVERAGEIFS(I:I,D:D,DST_123_ÜRETİM_İHTİYAÇ_RAPORU_BURAK_YENI1309[[#This Row],[ALT_KOD]])+AVERAGEIFS(L:L,D:D,DST_123_ÜRETİM_İHTİYAÇ_RAPORU_BURAK_YENI1309[[#This Row],[ALT_KOD]]))</f>
        <v>-81.349999999999994</v>
      </c>
      <c r="L2653">
        <v>0</v>
      </c>
      <c r="M2653">
        <f>IF((DST_123_ÜRETİM_İHTİYAÇ_RAPORU_BURAK_YENI1309[[#This Row],[SATINALMA]]*DST_123_ÜRETİM_İHTİYAÇ_RAPORU_BURAK_YENI1309[[#This Row],[BIRIM_FIYATLAR]])&lt;1,VALUE("0"),DST_123_ÜRETİM_İHTİYAÇ_RAPORU_BURAK_YENI1309[[#This Row],[SATINALMA]]*DST_123_ÜRETİM_İHTİYAÇ_RAPORU_BURAK_YENI1309[[#This Row],[BIRIM_FIYATLAR]])</f>
        <v>0</v>
      </c>
      <c r="N2653">
        <v>22</v>
      </c>
      <c r="O2653" t="s">
        <v>240</v>
      </c>
      <c r="P2653">
        <v>22</v>
      </c>
      <c r="Q2653" t="s">
        <v>180</v>
      </c>
    </row>
    <row r="2654" spans="1:17" x14ac:dyDescent="0.25">
      <c r="A2654" t="s">
        <v>1095</v>
      </c>
      <c r="B2654" t="s">
        <v>1096</v>
      </c>
      <c r="C2654" t="s">
        <v>175</v>
      </c>
      <c r="D2654" t="s">
        <v>268</v>
      </c>
      <c r="E2654" t="s">
        <v>588</v>
      </c>
      <c r="F2654">
        <v>1</v>
      </c>
      <c r="G2654" t="s">
        <v>176</v>
      </c>
      <c r="H2654">
        <v>0</v>
      </c>
      <c r="I2654">
        <v>1</v>
      </c>
      <c r="J2654" s="10">
        <v>11</v>
      </c>
      <c r="K2654" s="10">
        <f>SUMIFS(F:F,D:D,DST_123_ÜRETİM_İHTİYAÇ_RAPORU_BURAK_YENI1309[[#This Row],[ALT_KOD]])-(SUMIFS(H:H,D:D,DST_123_ÜRETİM_İHTİYAÇ_RAPORU_BURAK_YENI1309[[#This Row],[ALT_KOD]])+AVERAGEIFS(I:I,D:D,DST_123_ÜRETİM_İHTİYAÇ_RAPORU_BURAK_YENI1309[[#This Row],[ALT_KOD]])+AVERAGEIFS(L:L,D:D,DST_123_ÜRETİM_İHTİYAÇ_RAPORU_BURAK_YENI1309[[#This Row],[ALT_KOD]]))</f>
        <v>16</v>
      </c>
      <c r="L2654">
        <v>0</v>
      </c>
      <c r="M2654">
        <f>IF((DST_123_ÜRETİM_İHTİYAÇ_RAPORU_BURAK_YENI1309[[#This Row],[SATINALMA]]*DST_123_ÜRETİM_İHTİYAÇ_RAPORU_BURAK_YENI1309[[#This Row],[BIRIM_FIYATLAR]])&lt;1,VALUE("0"),DST_123_ÜRETİM_İHTİYAÇ_RAPORU_BURAK_YENI1309[[#This Row],[SATINALMA]]*DST_123_ÜRETİM_İHTİYAÇ_RAPORU_BURAK_YENI1309[[#This Row],[BIRIM_FIYATLAR]])</f>
        <v>212968.32000000001</v>
      </c>
      <c r="N2654">
        <v>13310.52</v>
      </c>
      <c r="O2654" t="s">
        <v>589</v>
      </c>
      <c r="P2654">
        <v>13310.52</v>
      </c>
      <c r="Q2654" t="s">
        <v>177</v>
      </c>
    </row>
    <row r="2655" spans="1:17" x14ac:dyDescent="0.25">
      <c r="A2655" t="s">
        <v>1059</v>
      </c>
      <c r="B2655" t="s">
        <v>1058</v>
      </c>
      <c r="C2655" t="s">
        <v>175</v>
      </c>
      <c r="D2655" t="s">
        <v>268</v>
      </c>
      <c r="E2655" t="s">
        <v>588</v>
      </c>
      <c r="F2655">
        <v>1</v>
      </c>
      <c r="G2655" t="s">
        <v>176</v>
      </c>
      <c r="H2655">
        <v>0</v>
      </c>
      <c r="I2655">
        <v>1</v>
      </c>
      <c r="J2655" s="10">
        <v>11</v>
      </c>
      <c r="K2655" s="10">
        <f>SUMIFS(F:F,D:D,DST_123_ÜRETİM_İHTİYAÇ_RAPORU_BURAK_YENI1309[[#This Row],[ALT_KOD]])-(SUMIFS(H:H,D:D,DST_123_ÜRETİM_İHTİYAÇ_RAPORU_BURAK_YENI1309[[#This Row],[ALT_KOD]])+AVERAGEIFS(I:I,D:D,DST_123_ÜRETİM_İHTİYAÇ_RAPORU_BURAK_YENI1309[[#This Row],[ALT_KOD]])+AVERAGEIFS(L:L,D:D,DST_123_ÜRETİM_İHTİYAÇ_RAPORU_BURAK_YENI1309[[#This Row],[ALT_KOD]]))</f>
        <v>16</v>
      </c>
      <c r="L2655">
        <v>0</v>
      </c>
      <c r="M2655">
        <f>IF((DST_123_ÜRETİM_İHTİYAÇ_RAPORU_BURAK_YENI1309[[#This Row],[SATINALMA]]*DST_123_ÜRETİM_İHTİYAÇ_RAPORU_BURAK_YENI1309[[#This Row],[BIRIM_FIYATLAR]])&lt;1,VALUE("0"),DST_123_ÜRETİM_İHTİYAÇ_RAPORU_BURAK_YENI1309[[#This Row],[SATINALMA]]*DST_123_ÜRETİM_İHTİYAÇ_RAPORU_BURAK_YENI1309[[#This Row],[BIRIM_FIYATLAR]])</f>
        <v>212968.32000000001</v>
      </c>
      <c r="N2655">
        <v>13310.52</v>
      </c>
      <c r="O2655" t="s">
        <v>589</v>
      </c>
      <c r="P2655">
        <v>13310.52</v>
      </c>
      <c r="Q2655" t="s">
        <v>177</v>
      </c>
    </row>
    <row r="2656" spans="1:17" x14ac:dyDescent="0.25">
      <c r="A2656" t="s">
        <v>1150</v>
      </c>
      <c r="B2656" t="s">
        <v>1145</v>
      </c>
      <c r="C2656" t="s">
        <v>175</v>
      </c>
      <c r="D2656" t="s">
        <v>207</v>
      </c>
      <c r="E2656" t="s">
        <v>281</v>
      </c>
      <c r="F2656">
        <v>2.5</v>
      </c>
      <c r="G2656" t="s">
        <v>176</v>
      </c>
      <c r="H2656">
        <v>0</v>
      </c>
      <c r="I2656">
        <v>52</v>
      </c>
      <c r="J2656" s="10">
        <v>10.269999999999982</v>
      </c>
      <c r="K2656" s="10">
        <f>SUMIFS(F:F,D:D,DST_123_ÜRETİM_İHTİYAÇ_RAPORU_BURAK_YENI1309[[#This Row],[ALT_KOD]])-(SUMIFS(H:H,D:D,DST_123_ÜRETİM_İHTİYAÇ_RAPORU_BURAK_YENI1309[[#This Row],[ALT_KOD]])+AVERAGEIFS(I:I,D:D,DST_123_ÜRETİM_İHTİYAÇ_RAPORU_BURAK_YENI1309[[#This Row],[ALT_KOD]])+AVERAGEIFS(L:L,D:D,DST_123_ÜRETİM_İHTİYAÇ_RAPORU_BURAK_YENI1309[[#This Row],[ALT_KOD]]))</f>
        <v>-5.0300000000000011</v>
      </c>
      <c r="L2656">
        <v>0</v>
      </c>
      <c r="M2656">
        <f>IF((DST_123_ÜRETİM_İHTİYAÇ_RAPORU_BURAK_YENI1309[[#This Row],[SATINALMA]]*DST_123_ÜRETİM_İHTİYAÇ_RAPORU_BURAK_YENI1309[[#This Row],[BIRIM_FIYATLAR]])&lt;1,VALUE("0"),DST_123_ÜRETİM_İHTİYAÇ_RAPORU_BURAK_YENI1309[[#This Row],[SATINALMA]]*DST_123_ÜRETİM_İHTİYAÇ_RAPORU_BURAK_YENI1309[[#This Row],[BIRIM_FIYATLAR]])</f>
        <v>0</v>
      </c>
      <c r="N2656">
        <v>28</v>
      </c>
      <c r="O2656" t="s">
        <v>240</v>
      </c>
      <c r="P2656">
        <v>70</v>
      </c>
      <c r="Q2656" t="s">
        <v>180</v>
      </c>
    </row>
    <row r="2657" spans="1:17" x14ac:dyDescent="0.25">
      <c r="A2657" t="s">
        <v>1146</v>
      </c>
      <c r="B2657" t="s">
        <v>1145</v>
      </c>
      <c r="C2657" t="s">
        <v>175</v>
      </c>
      <c r="D2657" t="s">
        <v>282</v>
      </c>
      <c r="E2657" t="s">
        <v>283</v>
      </c>
      <c r="F2657">
        <v>1</v>
      </c>
      <c r="G2657" t="s">
        <v>176</v>
      </c>
      <c r="H2657">
        <v>0</v>
      </c>
      <c r="I2657">
        <v>104</v>
      </c>
      <c r="J2657" s="10">
        <v>-3.5527136788005009E-15</v>
      </c>
      <c r="K2657" s="10">
        <f>SUMIFS(F:F,D:D,DST_123_ÜRETİM_İHTİYAÇ_RAPORU_BURAK_YENI1309[[#This Row],[ALT_KOD]])-(SUMIFS(H:H,D:D,DST_123_ÜRETİM_İHTİYAÇ_RAPORU_BURAK_YENI1309[[#This Row],[ALT_KOD]])+AVERAGEIFS(I:I,D:D,DST_123_ÜRETİM_İHTİYAÇ_RAPORU_BURAK_YENI1309[[#This Row],[ALT_KOD]])+AVERAGEIFS(L:L,D:D,DST_123_ÜRETİM_İHTİYAÇ_RAPORU_BURAK_YENI1309[[#This Row],[ALT_KOD]]))</f>
        <v>-81.349999999999994</v>
      </c>
      <c r="L2657">
        <v>0</v>
      </c>
      <c r="M2657">
        <f>IF((DST_123_ÜRETİM_İHTİYAÇ_RAPORU_BURAK_YENI1309[[#This Row],[SATINALMA]]*DST_123_ÜRETİM_İHTİYAÇ_RAPORU_BURAK_YENI1309[[#This Row],[BIRIM_FIYATLAR]])&lt;1,VALUE("0"),DST_123_ÜRETİM_İHTİYAÇ_RAPORU_BURAK_YENI1309[[#This Row],[SATINALMA]]*DST_123_ÜRETİM_İHTİYAÇ_RAPORU_BURAK_YENI1309[[#This Row],[BIRIM_FIYATLAR]])</f>
        <v>0</v>
      </c>
      <c r="N2657">
        <v>22</v>
      </c>
      <c r="O2657" t="s">
        <v>240</v>
      </c>
      <c r="P2657">
        <v>22</v>
      </c>
      <c r="Q2657" t="s">
        <v>180</v>
      </c>
    </row>
    <row r="2658" spans="1:17" x14ac:dyDescent="0.25">
      <c r="A2658" t="s">
        <v>1150</v>
      </c>
      <c r="B2658" t="s">
        <v>1145</v>
      </c>
      <c r="C2658" t="s">
        <v>175</v>
      </c>
      <c r="D2658" t="s">
        <v>24</v>
      </c>
      <c r="E2658" t="s">
        <v>25</v>
      </c>
      <c r="F2658">
        <v>2</v>
      </c>
      <c r="G2658" t="s">
        <v>176</v>
      </c>
      <c r="H2658">
        <v>0</v>
      </c>
      <c r="I2658">
        <v>30</v>
      </c>
      <c r="J2658" s="10">
        <v>20</v>
      </c>
      <c r="K2658" s="10">
        <f>SUMIFS(F:F,D:D,DST_123_ÜRETİM_İHTİYAÇ_RAPORU_BURAK_YENI1309[[#This Row],[ALT_KOD]])-(SUMIFS(H:H,D:D,DST_123_ÜRETİM_İHTİYAÇ_RAPORU_BURAK_YENI1309[[#This Row],[ALT_KOD]])+AVERAGEIFS(I:I,D:D,DST_123_ÜRETİM_İHTİYAÇ_RAPORU_BURAK_YENI1309[[#This Row],[ALT_KOD]])+AVERAGEIFS(L:L,D:D,DST_123_ÜRETİM_İHTİYAÇ_RAPORU_BURAK_YENI1309[[#This Row],[ALT_KOD]]))</f>
        <v>-7</v>
      </c>
      <c r="L2658">
        <v>0</v>
      </c>
      <c r="M2658">
        <f>IF((DST_123_ÜRETİM_İHTİYAÇ_RAPORU_BURAK_YENI1309[[#This Row],[SATINALMA]]*DST_123_ÜRETİM_İHTİYAÇ_RAPORU_BURAK_YENI1309[[#This Row],[BIRIM_FIYATLAR]])&lt;1,VALUE("0"),DST_123_ÜRETİM_İHTİYAÇ_RAPORU_BURAK_YENI1309[[#This Row],[SATINALMA]]*DST_123_ÜRETİM_İHTİYAÇ_RAPORU_BURAK_YENI1309[[#This Row],[BIRIM_FIYATLAR]])</f>
        <v>0</v>
      </c>
      <c r="N2658">
        <v>62.5</v>
      </c>
      <c r="O2658" t="s">
        <v>628</v>
      </c>
      <c r="P2658">
        <v>125</v>
      </c>
      <c r="Q2658" t="s">
        <v>180</v>
      </c>
    </row>
    <row r="2659" spans="1:17" x14ac:dyDescent="0.25">
      <c r="A2659" t="s">
        <v>1143</v>
      </c>
      <c r="B2659" t="s">
        <v>1056</v>
      </c>
      <c r="C2659" t="s">
        <v>175</v>
      </c>
      <c r="D2659" t="s">
        <v>268</v>
      </c>
      <c r="E2659" t="s">
        <v>588</v>
      </c>
      <c r="F2659">
        <v>1</v>
      </c>
      <c r="G2659" t="s">
        <v>176</v>
      </c>
      <c r="H2659">
        <v>0</v>
      </c>
      <c r="I2659">
        <v>1</v>
      </c>
      <c r="J2659" s="10">
        <v>11</v>
      </c>
      <c r="K2659" s="10">
        <f>SUMIFS(F:F,D:D,DST_123_ÜRETİM_İHTİYAÇ_RAPORU_BURAK_YENI1309[[#This Row],[ALT_KOD]])-(SUMIFS(H:H,D:D,DST_123_ÜRETİM_İHTİYAÇ_RAPORU_BURAK_YENI1309[[#This Row],[ALT_KOD]])+AVERAGEIFS(I:I,D:D,DST_123_ÜRETİM_İHTİYAÇ_RAPORU_BURAK_YENI1309[[#This Row],[ALT_KOD]])+AVERAGEIFS(L:L,D:D,DST_123_ÜRETİM_İHTİYAÇ_RAPORU_BURAK_YENI1309[[#This Row],[ALT_KOD]]))</f>
        <v>16</v>
      </c>
      <c r="L2659">
        <v>0</v>
      </c>
      <c r="M2659">
        <f>IF((DST_123_ÜRETİM_İHTİYAÇ_RAPORU_BURAK_YENI1309[[#This Row],[SATINALMA]]*DST_123_ÜRETİM_İHTİYAÇ_RAPORU_BURAK_YENI1309[[#This Row],[BIRIM_FIYATLAR]])&lt;1,VALUE("0"),DST_123_ÜRETİM_İHTİYAÇ_RAPORU_BURAK_YENI1309[[#This Row],[SATINALMA]]*DST_123_ÜRETİM_İHTİYAÇ_RAPORU_BURAK_YENI1309[[#This Row],[BIRIM_FIYATLAR]])</f>
        <v>212968.32000000001</v>
      </c>
      <c r="N2659">
        <v>13310.52</v>
      </c>
      <c r="O2659" t="s">
        <v>589</v>
      </c>
      <c r="P2659">
        <v>13310.52</v>
      </c>
      <c r="Q2659" t="s">
        <v>177</v>
      </c>
    </row>
    <row r="2660" spans="1:17" x14ac:dyDescent="0.25">
      <c r="A2660" t="s">
        <v>1097</v>
      </c>
      <c r="B2660" t="s">
        <v>1055</v>
      </c>
      <c r="C2660" t="s">
        <v>175</v>
      </c>
      <c r="D2660" t="s">
        <v>282</v>
      </c>
      <c r="E2660" t="s">
        <v>283</v>
      </c>
      <c r="F2660">
        <v>1.61</v>
      </c>
      <c r="G2660" t="s">
        <v>176</v>
      </c>
      <c r="H2660">
        <v>0</v>
      </c>
      <c r="I2660">
        <v>104</v>
      </c>
      <c r="J2660" s="10">
        <v>-3.5527136788005009E-15</v>
      </c>
      <c r="K2660" s="10">
        <f>SUMIFS(F:F,D:D,DST_123_ÜRETİM_İHTİYAÇ_RAPORU_BURAK_YENI1309[[#This Row],[ALT_KOD]])-(SUMIFS(H:H,D:D,DST_123_ÜRETİM_İHTİYAÇ_RAPORU_BURAK_YENI1309[[#This Row],[ALT_KOD]])+AVERAGEIFS(I:I,D:D,DST_123_ÜRETİM_İHTİYAÇ_RAPORU_BURAK_YENI1309[[#This Row],[ALT_KOD]])+AVERAGEIFS(L:L,D:D,DST_123_ÜRETİM_İHTİYAÇ_RAPORU_BURAK_YENI1309[[#This Row],[ALT_KOD]]))</f>
        <v>-81.349999999999994</v>
      </c>
      <c r="L2660">
        <v>0</v>
      </c>
      <c r="M2660">
        <f>IF((DST_123_ÜRETİM_İHTİYAÇ_RAPORU_BURAK_YENI1309[[#This Row],[SATINALMA]]*DST_123_ÜRETİM_İHTİYAÇ_RAPORU_BURAK_YENI1309[[#This Row],[BIRIM_FIYATLAR]])&lt;1,VALUE("0"),DST_123_ÜRETİM_İHTİYAÇ_RAPORU_BURAK_YENI1309[[#This Row],[SATINALMA]]*DST_123_ÜRETİM_İHTİYAÇ_RAPORU_BURAK_YENI1309[[#This Row],[BIRIM_FIYATLAR]])</f>
        <v>0</v>
      </c>
      <c r="N2660">
        <v>22</v>
      </c>
      <c r="O2660" t="s">
        <v>240</v>
      </c>
      <c r="P2660">
        <v>35.42</v>
      </c>
      <c r="Q2660" t="s">
        <v>180</v>
      </c>
    </row>
    <row r="2661" spans="1:17" x14ac:dyDescent="0.25">
      <c r="A2661" t="s">
        <v>1097</v>
      </c>
      <c r="B2661" t="s">
        <v>1055</v>
      </c>
      <c r="C2661" t="s">
        <v>175</v>
      </c>
      <c r="D2661" t="s">
        <v>24</v>
      </c>
      <c r="E2661" t="s">
        <v>25</v>
      </c>
      <c r="F2661">
        <v>1</v>
      </c>
      <c r="G2661" t="s">
        <v>176</v>
      </c>
      <c r="H2661">
        <v>0</v>
      </c>
      <c r="I2661">
        <v>30</v>
      </c>
      <c r="J2661" s="10">
        <v>20</v>
      </c>
      <c r="K2661" s="10">
        <f>SUMIFS(F:F,D:D,DST_123_ÜRETİM_İHTİYAÇ_RAPORU_BURAK_YENI1309[[#This Row],[ALT_KOD]])-(SUMIFS(H:H,D:D,DST_123_ÜRETİM_İHTİYAÇ_RAPORU_BURAK_YENI1309[[#This Row],[ALT_KOD]])+AVERAGEIFS(I:I,D:D,DST_123_ÜRETİM_İHTİYAÇ_RAPORU_BURAK_YENI1309[[#This Row],[ALT_KOD]])+AVERAGEIFS(L:L,D:D,DST_123_ÜRETİM_İHTİYAÇ_RAPORU_BURAK_YENI1309[[#This Row],[ALT_KOD]]))</f>
        <v>-7</v>
      </c>
      <c r="L2661">
        <v>0</v>
      </c>
      <c r="M2661">
        <f>IF((DST_123_ÜRETİM_İHTİYAÇ_RAPORU_BURAK_YENI1309[[#This Row],[SATINALMA]]*DST_123_ÜRETİM_İHTİYAÇ_RAPORU_BURAK_YENI1309[[#This Row],[BIRIM_FIYATLAR]])&lt;1,VALUE("0"),DST_123_ÜRETİM_İHTİYAÇ_RAPORU_BURAK_YENI1309[[#This Row],[SATINALMA]]*DST_123_ÜRETİM_İHTİYAÇ_RAPORU_BURAK_YENI1309[[#This Row],[BIRIM_FIYATLAR]])</f>
        <v>0</v>
      </c>
      <c r="N2661">
        <v>62.5</v>
      </c>
      <c r="O2661" t="s">
        <v>628</v>
      </c>
      <c r="P2661">
        <v>62.5</v>
      </c>
      <c r="Q2661" t="s">
        <v>180</v>
      </c>
    </row>
    <row r="2662" spans="1:17" x14ac:dyDescent="0.25">
      <c r="A2662" t="s">
        <v>1144</v>
      </c>
      <c r="B2662" t="s">
        <v>1145</v>
      </c>
      <c r="C2662" t="s">
        <v>175</v>
      </c>
      <c r="D2662" t="s">
        <v>207</v>
      </c>
      <c r="E2662" t="s">
        <v>281</v>
      </c>
      <c r="F2662">
        <v>2.5</v>
      </c>
      <c r="G2662" t="s">
        <v>176</v>
      </c>
      <c r="H2662">
        <v>0</v>
      </c>
      <c r="I2662">
        <v>52</v>
      </c>
      <c r="J2662" s="10">
        <v>10.269999999999982</v>
      </c>
      <c r="K2662" s="10">
        <f>SUMIFS(F:F,D:D,DST_123_ÜRETİM_İHTİYAÇ_RAPORU_BURAK_YENI1309[[#This Row],[ALT_KOD]])-(SUMIFS(H:H,D:D,DST_123_ÜRETİM_İHTİYAÇ_RAPORU_BURAK_YENI1309[[#This Row],[ALT_KOD]])+AVERAGEIFS(I:I,D:D,DST_123_ÜRETİM_İHTİYAÇ_RAPORU_BURAK_YENI1309[[#This Row],[ALT_KOD]])+AVERAGEIFS(L:L,D:D,DST_123_ÜRETİM_İHTİYAÇ_RAPORU_BURAK_YENI1309[[#This Row],[ALT_KOD]]))</f>
        <v>-5.0300000000000011</v>
      </c>
      <c r="L2662">
        <v>0</v>
      </c>
      <c r="M2662">
        <f>IF((DST_123_ÜRETİM_İHTİYAÇ_RAPORU_BURAK_YENI1309[[#This Row],[SATINALMA]]*DST_123_ÜRETİM_İHTİYAÇ_RAPORU_BURAK_YENI1309[[#This Row],[BIRIM_FIYATLAR]])&lt;1,VALUE("0"),DST_123_ÜRETİM_İHTİYAÇ_RAPORU_BURAK_YENI1309[[#This Row],[SATINALMA]]*DST_123_ÜRETİM_İHTİYAÇ_RAPORU_BURAK_YENI1309[[#This Row],[BIRIM_FIYATLAR]])</f>
        <v>0</v>
      </c>
      <c r="N2662">
        <v>28</v>
      </c>
      <c r="O2662" t="s">
        <v>240</v>
      </c>
      <c r="P2662">
        <v>70</v>
      </c>
      <c r="Q2662" t="s">
        <v>180</v>
      </c>
    </row>
    <row r="2663" spans="1:17" x14ac:dyDescent="0.25">
      <c r="A2663" t="s">
        <v>1146</v>
      </c>
      <c r="B2663" t="s">
        <v>1145</v>
      </c>
      <c r="C2663" t="s">
        <v>175</v>
      </c>
      <c r="D2663" t="s">
        <v>207</v>
      </c>
      <c r="E2663" t="s">
        <v>281</v>
      </c>
      <c r="F2663">
        <v>2.5</v>
      </c>
      <c r="G2663" t="s">
        <v>176</v>
      </c>
      <c r="H2663">
        <v>0</v>
      </c>
      <c r="I2663">
        <v>52</v>
      </c>
      <c r="J2663" s="10">
        <v>10.269999999999982</v>
      </c>
      <c r="K2663" s="10">
        <f>SUMIFS(F:F,D:D,DST_123_ÜRETİM_İHTİYAÇ_RAPORU_BURAK_YENI1309[[#This Row],[ALT_KOD]])-(SUMIFS(H:H,D:D,DST_123_ÜRETİM_İHTİYAÇ_RAPORU_BURAK_YENI1309[[#This Row],[ALT_KOD]])+AVERAGEIFS(I:I,D:D,DST_123_ÜRETİM_İHTİYAÇ_RAPORU_BURAK_YENI1309[[#This Row],[ALT_KOD]])+AVERAGEIFS(L:L,D:D,DST_123_ÜRETİM_İHTİYAÇ_RAPORU_BURAK_YENI1309[[#This Row],[ALT_KOD]]))</f>
        <v>-5.0300000000000011</v>
      </c>
      <c r="L2663">
        <v>0</v>
      </c>
      <c r="M2663">
        <f>IF((DST_123_ÜRETİM_İHTİYAÇ_RAPORU_BURAK_YENI1309[[#This Row],[SATINALMA]]*DST_123_ÜRETİM_İHTİYAÇ_RAPORU_BURAK_YENI1309[[#This Row],[BIRIM_FIYATLAR]])&lt;1,VALUE("0"),DST_123_ÜRETİM_İHTİYAÇ_RAPORU_BURAK_YENI1309[[#This Row],[SATINALMA]]*DST_123_ÜRETİM_İHTİYAÇ_RAPORU_BURAK_YENI1309[[#This Row],[BIRIM_FIYATLAR]])</f>
        <v>0</v>
      </c>
      <c r="N2663">
        <v>28</v>
      </c>
      <c r="O2663" t="s">
        <v>240</v>
      </c>
      <c r="P2663">
        <v>70</v>
      </c>
      <c r="Q2663" t="s">
        <v>180</v>
      </c>
    </row>
    <row r="2664" spans="1:17" x14ac:dyDescent="0.25">
      <c r="A2664" t="s">
        <v>1149</v>
      </c>
      <c r="B2664" t="s">
        <v>1145</v>
      </c>
      <c r="C2664" t="s">
        <v>175</v>
      </c>
      <c r="D2664" t="s">
        <v>24</v>
      </c>
      <c r="E2664" t="s">
        <v>25</v>
      </c>
      <c r="F2664">
        <v>1</v>
      </c>
      <c r="G2664" t="s">
        <v>176</v>
      </c>
      <c r="H2664">
        <v>0</v>
      </c>
      <c r="I2664">
        <v>30</v>
      </c>
      <c r="J2664" s="10">
        <v>20</v>
      </c>
      <c r="K2664" s="10">
        <f>SUMIFS(F:F,D:D,DST_123_ÜRETİM_İHTİYAÇ_RAPORU_BURAK_YENI1309[[#This Row],[ALT_KOD]])-(SUMIFS(H:H,D:D,DST_123_ÜRETİM_İHTİYAÇ_RAPORU_BURAK_YENI1309[[#This Row],[ALT_KOD]])+AVERAGEIFS(I:I,D:D,DST_123_ÜRETİM_İHTİYAÇ_RAPORU_BURAK_YENI1309[[#This Row],[ALT_KOD]])+AVERAGEIFS(L:L,D:D,DST_123_ÜRETİM_İHTİYAÇ_RAPORU_BURAK_YENI1309[[#This Row],[ALT_KOD]]))</f>
        <v>-7</v>
      </c>
      <c r="L2664">
        <v>0</v>
      </c>
      <c r="M2664">
        <f>IF((DST_123_ÜRETİM_İHTİYAÇ_RAPORU_BURAK_YENI1309[[#This Row],[SATINALMA]]*DST_123_ÜRETİM_İHTİYAÇ_RAPORU_BURAK_YENI1309[[#This Row],[BIRIM_FIYATLAR]])&lt;1,VALUE("0"),DST_123_ÜRETİM_İHTİYAÇ_RAPORU_BURAK_YENI1309[[#This Row],[SATINALMA]]*DST_123_ÜRETİM_İHTİYAÇ_RAPORU_BURAK_YENI1309[[#This Row],[BIRIM_FIYATLAR]])</f>
        <v>0</v>
      </c>
      <c r="N2664">
        <v>62.5</v>
      </c>
      <c r="O2664" t="s">
        <v>628</v>
      </c>
      <c r="P2664">
        <v>62.5</v>
      </c>
      <c r="Q2664" t="s">
        <v>180</v>
      </c>
    </row>
    <row r="2665" spans="1:17" x14ac:dyDescent="0.25">
      <c r="A2665" t="s">
        <v>1097</v>
      </c>
      <c r="B2665" t="s">
        <v>1055</v>
      </c>
      <c r="C2665" t="s">
        <v>175</v>
      </c>
      <c r="D2665" t="s">
        <v>268</v>
      </c>
      <c r="E2665" t="s">
        <v>588</v>
      </c>
      <c r="F2665">
        <v>1</v>
      </c>
      <c r="G2665" t="s">
        <v>176</v>
      </c>
      <c r="H2665">
        <v>0</v>
      </c>
      <c r="I2665">
        <v>1</v>
      </c>
      <c r="J2665" s="10">
        <v>11</v>
      </c>
      <c r="K2665" s="10">
        <f>SUMIFS(F:F,D:D,DST_123_ÜRETİM_İHTİYAÇ_RAPORU_BURAK_YENI1309[[#This Row],[ALT_KOD]])-(SUMIFS(H:H,D:D,DST_123_ÜRETİM_İHTİYAÇ_RAPORU_BURAK_YENI1309[[#This Row],[ALT_KOD]])+AVERAGEIFS(I:I,D:D,DST_123_ÜRETİM_İHTİYAÇ_RAPORU_BURAK_YENI1309[[#This Row],[ALT_KOD]])+AVERAGEIFS(L:L,D:D,DST_123_ÜRETİM_İHTİYAÇ_RAPORU_BURAK_YENI1309[[#This Row],[ALT_KOD]]))</f>
        <v>16</v>
      </c>
      <c r="L2665">
        <v>0</v>
      </c>
      <c r="M2665">
        <f>IF((DST_123_ÜRETİM_İHTİYAÇ_RAPORU_BURAK_YENI1309[[#This Row],[SATINALMA]]*DST_123_ÜRETİM_İHTİYAÇ_RAPORU_BURAK_YENI1309[[#This Row],[BIRIM_FIYATLAR]])&lt;1,VALUE("0"),DST_123_ÜRETİM_İHTİYAÇ_RAPORU_BURAK_YENI1309[[#This Row],[SATINALMA]]*DST_123_ÜRETİM_İHTİYAÇ_RAPORU_BURAK_YENI1309[[#This Row],[BIRIM_FIYATLAR]])</f>
        <v>212968.32000000001</v>
      </c>
      <c r="N2665">
        <v>13310.52</v>
      </c>
      <c r="O2665" t="s">
        <v>589</v>
      </c>
      <c r="P2665">
        <v>13310.52</v>
      </c>
      <c r="Q2665" t="s">
        <v>177</v>
      </c>
    </row>
    <row r="2666" spans="1:17" x14ac:dyDescent="0.25">
      <c r="A2666" t="s">
        <v>1064</v>
      </c>
      <c r="B2666" t="s">
        <v>1055</v>
      </c>
      <c r="C2666" t="s">
        <v>175</v>
      </c>
      <c r="D2666" t="s">
        <v>282</v>
      </c>
      <c r="E2666" t="s">
        <v>283</v>
      </c>
      <c r="F2666">
        <v>1.61</v>
      </c>
      <c r="G2666" t="s">
        <v>176</v>
      </c>
      <c r="H2666">
        <v>0</v>
      </c>
      <c r="I2666">
        <v>104</v>
      </c>
      <c r="J2666" s="10">
        <v>-3.5527136788005009E-15</v>
      </c>
      <c r="K2666" s="10">
        <f>SUMIFS(F:F,D:D,DST_123_ÜRETİM_İHTİYAÇ_RAPORU_BURAK_YENI1309[[#This Row],[ALT_KOD]])-(SUMIFS(H:H,D:D,DST_123_ÜRETİM_İHTİYAÇ_RAPORU_BURAK_YENI1309[[#This Row],[ALT_KOD]])+AVERAGEIFS(I:I,D:D,DST_123_ÜRETİM_İHTİYAÇ_RAPORU_BURAK_YENI1309[[#This Row],[ALT_KOD]])+AVERAGEIFS(L:L,D:D,DST_123_ÜRETİM_İHTİYAÇ_RAPORU_BURAK_YENI1309[[#This Row],[ALT_KOD]]))</f>
        <v>-81.349999999999994</v>
      </c>
      <c r="L2666">
        <v>0</v>
      </c>
      <c r="M2666">
        <f>IF((DST_123_ÜRETİM_İHTİYAÇ_RAPORU_BURAK_YENI1309[[#This Row],[SATINALMA]]*DST_123_ÜRETİM_İHTİYAÇ_RAPORU_BURAK_YENI1309[[#This Row],[BIRIM_FIYATLAR]])&lt;1,VALUE("0"),DST_123_ÜRETİM_İHTİYAÇ_RAPORU_BURAK_YENI1309[[#This Row],[SATINALMA]]*DST_123_ÜRETİM_İHTİYAÇ_RAPORU_BURAK_YENI1309[[#This Row],[BIRIM_FIYATLAR]])</f>
        <v>0</v>
      </c>
      <c r="N2666">
        <v>22</v>
      </c>
      <c r="O2666" t="s">
        <v>240</v>
      </c>
      <c r="P2666">
        <v>35.42</v>
      </c>
      <c r="Q2666" t="s">
        <v>180</v>
      </c>
    </row>
    <row r="2667" spans="1:17" x14ac:dyDescent="0.25">
      <c r="A2667" t="s">
        <v>1064</v>
      </c>
      <c r="B2667" t="s">
        <v>1055</v>
      </c>
      <c r="C2667" t="s">
        <v>175</v>
      </c>
      <c r="D2667" t="s">
        <v>24</v>
      </c>
      <c r="E2667" t="s">
        <v>25</v>
      </c>
      <c r="F2667">
        <v>1</v>
      </c>
      <c r="G2667" t="s">
        <v>176</v>
      </c>
      <c r="H2667">
        <v>0</v>
      </c>
      <c r="I2667">
        <v>30</v>
      </c>
      <c r="J2667" s="10">
        <v>20</v>
      </c>
      <c r="K2667" s="10">
        <f>SUMIFS(F:F,D:D,DST_123_ÜRETİM_İHTİYAÇ_RAPORU_BURAK_YENI1309[[#This Row],[ALT_KOD]])-(SUMIFS(H:H,D:D,DST_123_ÜRETİM_İHTİYAÇ_RAPORU_BURAK_YENI1309[[#This Row],[ALT_KOD]])+AVERAGEIFS(I:I,D:D,DST_123_ÜRETİM_İHTİYAÇ_RAPORU_BURAK_YENI1309[[#This Row],[ALT_KOD]])+AVERAGEIFS(L:L,D:D,DST_123_ÜRETİM_İHTİYAÇ_RAPORU_BURAK_YENI1309[[#This Row],[ALT_KOD]]))</f>
        <v>-7</v>
      </c>
      <c r="L2667">
        <v>0</v>
      </c>
      <c r="M2667">
        <f>IF((DST_123_ÜRETİM_İHTİYAÇ_RAPORU_BURAK_YENI1309[[#This Row],[SATINALMA]]*DST_123_ÜRETİM_İHTİYAÇ_RAPORU_BURAK_YENI1309[[#This Row],[BIRIM_FIYATLAR]])&lt;1,VALUE("0"),DST_123_ÜRETİM_İHTİYAÇ_RAPORU_BURAK_YENI1309[[#This Row],[SATINALMA]]*DST_123_ÜRETİM_İHTİYAÇ_RAPORU_BURAK_YENI1309[[#This Row],[BIRIM_FIYATLAR]])</f>
        <v>0</v>
      </c>
      <c r="N2667">
        <v>62.5</v>
      </c>
      <c r="O2667" t="s">
        <v>628</v>
      </c>
      <c r="P2667">
        <v>62.5</v>
      </c>
      <c r="Q2667" t="s">
        <v>180</v>
      </c>
    </row>
    <row r="2668" spans="1:17" x14ac:dyDescent="0.25">
      <c r="A2668" t="s">
        <v>1142</v>
      </c>
      <c r="B2668" t="s">
        <v>1056</v>
      </c>
      <c r="C2668" t="s">
        <v>175</v>
      </c>
      <c r="D2668" t="s">
        <v>282</v>
      </c>
      <c r="E2668" t="s">
        <v>283</v>
      </c>
      <c r="F2668">
        <v>1</v>
      </c>
      <c r="G2668" t="s">
        <v>176</v>
      </c>
      <c r="H2668">
        <v>0</v>
      </c>
      <c r="I2668">
        <v>104</v>
      </c>
      <c r="J2668" s="10">
        <v>-3.5527136788005009E-15</v>
      </c>
      <c r="K2668" s="10">
        <f>SUMIFS(F:F,D:D,DST_123_ÜRETİM_İHTİYAÇ_RAPORU_BURAK_YENI1309[[#This Row],[ALT_KOD]])-(SUMIFS(H:H,D:D,DST_123_ÜRETİM_İHTİYAÇ_RAPORU_BURAK_YENI1309[[#This Row],[ALT_KOD]])+AVERAGEIFS(I:I,D:D,DST_123_ÜRETİM_İHTİYAÇ_RAPORU_BURAK_YENI1309[[#This Row],[ALT_KOD]])+AVERAGEIFS(L:L,D:D,DST_123_ÜRETİM_İHTİYAÇ_RAPORU_BURAK_YENI1309[[#This Row],[ALT_KOD]]))</f>
        <v>-81.349999999999994</v>
      </c>
      <c r="L2668">
        <v>0</v>
      </c>
      <c r="M2668">
        <f>IF((DST_123_ÜRETİM_İHTİYAÇ_RAPORU_BURAK_YENI1309[[#This Row],[SATINALMA]]*DST_123_ÜRETİM_İHTİYAÇ_RAPORU_BURAK_YENI1309[[#This Row],[BIRIM_FIYATLAR]])&lt;1,VALUE("0"),DST_123_ÜRETİM_İHTİYAÇ_RAPORU_BURAK_YENI1309[[#This Row],[SATINALMA]]*DST_123_ÜRETİM_İHTİYAÇ_RAPORU_BURAK_YENI1309[[#This Row],[BIRIM_FIYATLAR]])</f>
        <v>0</v>
      </c>
      <c r="N2668">
        <v>22</v>
      </c>
      <c r="O2668" t="s">
        <v>240</v>
      </c>
      <c r="P2668">
        <v>22</v>
      </c>
      <c r="Q2668" t="s">
        <v>180</v>
      </c>
    </row>
    <row r="2669" spans="1:17" x14ac:dyDescent="0.25">
      <c r="A2669" t="s">
        <v>1149</v>
      </c>
      <c r="B2669" t="s">
        <v>1145</v>
      </c>
      <c r="C2669" t="s">
        <v>175</v>
      </c>
      <c r="D2669" t="s">
        <v>282</v>
      </c>
      <c r="E2669" t="s">
        <v>283</v>
      </c>
      <c r="F2669">
        <v>1</v>
      </c>
      <c r="G2669" t="s">
        <v>176</v>
      </c>
      <c r="H2669">
        <v>0</v>
      </c>
      <c r="I2669">
        <v>104</v>
      </c>
      <c r="J2669" s="10">
        <v>-3.5527136788005009E-15</v>
      </c>
      <c r="K2669" s="10">
        <f>SUMIFS(F:F,D:D,DST_123_ÜRETİM_İHTİYAÇ_RAPORU_BURAK_YENI1309[[#This Row],[ALT_KOD]])-(SUMIFS(H:H,D:D,DST_123_ÜRETİM_İHTİYAÇ_RAPORU_BURAK_YENI1309[[#This Row],[ALT_KOD]])+AVERAGEIFS(I:I,D:D,DST_123_ÜRETİM_İHTİYAÇ_RAPORU_BURAK_YENI1309[[#This Row],[ALT_KOD]])+AVERAGEIFS(L:L,D:D,DST_123_ÜRETİM_İHTİYAÇ_RAPORU_BURAK_YENI1309[[#This Row],[ALT_KOD]]))</f>
        <v>-81.349999999999994</v>
      </c>
      <c r="L2669">
        <v>0</v>
      </c>
      <c r="M2669">
        <f>IF((DST_123_ÜRETİM_İHTİYAÇ_RAPORU_BURAK_YENI1309[[#This Row],[SATINALMA]]*DST_123_ÜRETİM_İHTİYAÇ_RAPORU_BURAK_YENI1309[[#This Row],[BIRIM_FIYATLAR]])&lt;1,VALUE("0"),DST_123_ÜRETİM_İHTİYAÇ_RAPORU_BURAK_YENI1309[[#This Row],[SATINALMA]]*DST_123_ÜRETİM_İHTİYAÇ_RAPORU_BURAK_YENI1309[[#This Row],[BIRIM_FIYATLAR]])</f>
        <v>0</v>
      </c>
      <c r="N2669">
        <v>22</v>
      </c>
      <c r="O2669" t="s">
        <v>240</v>
      </c>
      <c r="P2669">
        <v>22</v>
      </c>
      <c r="Q2669" t="s">
        <v>180</v>
      </c>
    </row>
    <row r="2670" spans="1:17" x14ac:dyDescent="0.25">
      <c r="A2670" t="s">
        <v>1144</v>
      </c>
      <c r="B2670" t="s">
        <v>1145</v>
      </c>
      <c r="C2670" t="s">
        <v>175</v>
      </c>
      <c r="D2670" t="s">
        <v>24</v>
      </c>
      <c r="E2670" t="s">
        <v>25</v>
      </c>
      <c r="F2670">
        <v>2</v>
      </c>
      <c r="G2670" t="s">
        <v>176</v>
      </c>
      <c r="H2670">
        <v>0</v>
      </c>
      <c r="I2670">
        <v>30</v>
      </c>
      <c r="J2670" s="10">
        <v>20</v>
      </c>
      <c r="K2670" s="10">
        <f>SUMIFS(F:F,D:D,DST_123_ÜRETİM_İHTİYAÇ_RAPORU_BURAK_YENI1309[[#This Row],[ALT_KOD]])-(SUMIFS(H:H,D:D,DST_123_ÜRETİM_İHTİYAÇ_RAPORU_BURAK_YENI1309[[#This Row],[ALT_KOD]])+AVERAGEIFS(I:I,D:D,DST_123_ÜRETİM_İHTİYAÇ_RAPORU_BURAK_YENI1309[[#This Row],[ALT_KOD]])+AVERAGEIFS(L:L,D:D,DST_123_ÜRETİM_İHTİYAÇ_RAPORU_BURAK_YENI1309[[#This Row],[ALT_KOD]]))</f>
        <v>-7</v>
      </c>
      <c r="L2670">
        <v>0</v>
      </c>
      <c r="M2670">
        <f>IF((DST_123_ÜRETİM_İHTİYAÇ_RAPORU_BURAK_YENI1309[[#This Row],[SATINALMA]]*DST_123_ÜRETİM_İHTİYAÇ_RAPORU_BURAK_YENI1309[[#This Row],[BIRIM_FIYATLAR]])&lt;1,VALUE("0"),DST_123_ÜRETİM_İHTİYAÇ_RAPORU_BURAK_YENI1309[[#This Row],[SATINALMA]]*DST_123_ÜRETİM_İHTİYAÇ_RAPORU_BURAK_YENI1309[[#This Row],[BIRIM_FIYATLAR]])</f>
        <v>0</v>
      </c>
      <c r="N2670">
        <v>62.5</v>
      </c>
      <c r="O2670" t="s">
        <v>628</v>
      </c>
      <c r="P2670">
        <v>125</v>
      </c>
      <c r="Q2670" t="s">
        <v>180</v>
      </c>
    </row>
    <row r="2671" spans="1:17" x14ac:dyDescent="0.25">
      <c r="A2671" t="s">
        <v>1146</v>
      </c>
      <c r="B2671" t="s">
        <v>1145</v>
      </c>
      <c r="C2671" t="s">
        <v>175</v>
      </c>
      <c r="D2671" t="s">
        <v>24</v>
      </c>
      <c r="E2671" t="s">
        <v>25</v>
      </c>
      <c r="F2671">
        <v>1</v>
      </c>
      <c r="G2671" t="s">
        <v>176</v>
      </c>
      <c r="H2671">
        <v>0</v>
      </c>
      <c r="I2671">
        <v>30</v>
      </c>
      <c r="J2671" s="10">
        <v>20</v>
      </c>
      <c r="K2671" s="10">
        <f>SUMIFS(F:F,D:D,DST_123_ÜRETİM_İHTİYAÇ_RAPORU_BURAK_YENI1309[[#This Row],[ALT_KOD]])-(SUMIFS(H:H,D:D,DST_123_ÜRETİM_İHTİYAÇ_RAPORU_BURAK_YENI1309[[#This Row],[ALT_KOD]])+AVERAGEIFS(I:I,D:D,DST_123_ÜRETİM_İHTİYAÇ_RAPORU_BURAK_YENI1309[[#This Row],[ALT_KOD]])+AVERAGEIFS(L:L,D:D,DST_123_ÜRETİM_İHTİYAÇ_RAPORU_BURAK_YENI1309[[#This Row],[ALT_KOD]]))</f>
        <v>-7</v>
      </c>
      <c r="L2671">
        <v>0</v>
      </c>
      <c r="M2671">
        <f>IF((DST_123_ÜRETİM_İHTİYAÇ_RAPORU_BURAK_YENI1309[[#This Row],[SATINALMA]]*DST_123_ÜRETİM_İHTİYAÇ_RAPORU_BURAK_YENI1309[[#This Row],[BIRIM_FIYATLAR]])&lt;1,VALUE("0"),DST_123_ÜRETİM_İHTİYAÇ_RAPORU_BURAK_YENI1309[[#This Row],[SATINALMA]]*DST_123_ÜRETİM_İHTİYAÇ_RAPORU_BURAK_YENI1309[[#This Row],[BIRIM_FIYATLAR]])</f>
        <v>0</v>
      </c>
      <c r="N2671">
        <v>62.5</v>
      </c>
      <c r="O2671" t="s">
        <v>628</v>
      </c>
      <c r="P2671">
        <v>62.5</v>
      </c>
      <c r="Q2671" t="s">
        <v>180</v>
      </c>
    </row>
    <row r="2672" spans="1:17" x14ac:dyDescent="0.25">
      <c r="A2672" t="s">
        <v>1142</v>
      </c>
      <c r="B2672" t="s">
        <v>1056</v>
      </c>
      <c r="C2672" t="s">
        <v>175</v>
      </c>
      <c r="D2672" t="s">
        <v>268</v>
      </c>
      <c r="E2672" t="s">
        <v>588</v>
      </c>
      <c r="F2672">
        <v>1</v>
      </c>
      <c r="G2672" t="s">
        <v>176</v>
      </c>
      <c r="H2672">
        <v>0</v>
      </c>
      <c r="I2672">
        <v>1</v>
      </c>
      <c r="J2672" s="10">
        <v>11</v>
      </c>
      <c r="K2672" s="10">
        <f>SUMIFS(F:F,D:D,DST_123_ÜRETİM_İHTİYAÇ_RAPORU_BURAK_YENI1309[[#This Row],[ALT_KOD]])-(SUMIFS(H:H,D:D,DST_123_ÜRETİM_İHTİYAÇ_RAPORU_BURAK_YENI1309[[#This Row],[ALT_KOD]])+AVERAGEIFS(I:I,D:D,DST_123_ÜRETİM_İHTİYAÇ_RAPORU_BURAK_YENI1309[[#This Row],[ALT_KOD]])+AVERAGEIFS(L:L,D:D,DST_123_ÜRETİM_İHTİYAÇ_RAPORU_BURAK_YENI1309[[#This Row],[ALT_KOD]]))</f>
        <v>16</v>
      </c>
      <c r="L2672">
        <v>0</v>
      </c>
      <c r="M2672">
        <f>IF((DST_123_ÜRETİM_İHTİYAÇ_RAPORU_BURAK_YENI1309[[#This Row],[SATINALMA]]*DST_123_ÜRETİM_İHTİYAÇ_RAPORU_BURAK_YENI1309[[#This Row],[BIRIM_FIYATLAR]])&lt;1,VALUE("0"),DST_123_ÜRETİM_İHTİYAÇ_RAPORU_BURAK_YENI1309[[#This Row],[SATINALMA]]*DST_123_ÜRETİM_İHTİYAÇ_RAPORU_BURAK_YENI1309[[#This Row],[BIRIM_FIYATLAR]])</f>
        <v>212968.32000000001</v>
      </c>
      <c r="N2672">
        <v>13310.52</v>
      </c>
      <c r="O2672" t="s">
        <v>589</v>
      </c>
      <c r="P2672">
        <v>13310.52</v>
      </c>
      <c r="Q2672" t="s">
        <v>177</v>
      </c>
    </row>
    <row r="2673" spans="1:17" x14ac:dyDescent="0.25">
      <c r="A2673" t="s">
        <v>1095</v>
      </c>
      <c r="B2673" t="s">
        <v>1096</v>
      </c>
      <c r="C2673" t="s">
        <v>175</v>
      </c>
      <c r="D2673" t="s">
        <v>78</v>
      </c>
      <c r="E2673" t="s">
        <v>79</v>
      </c>
      <c r="F2673">
        <v>3</v>
      </c>
      <c r="G2673" t="s">
        <v>176</v>
      </c>
      <c r="H2673">
        <v>0</v>
      </c>
      <c r="I2673">
        <v>81</v>
      </c>
      <c r="J2673" s="10">
        <v>5</v>
      </c>
      <c r="K2673" s="10">
        <f>SUMIFS(F:F,D:D,DST_123_ÜRETİM_İHTİYAÇ_RAPORU_BURAK_YENI1309[[#This Row],[ALT_KOD]])-(SUMIFS(H:H,D:D,DST_123_ÜRETİM_İHTİYAÇ_RAPORU_BURAK_YENI1309[[#This Row],[ALT_KOD]])+AVERAGEIFS(I:I,D:D,DST_123_ÜRETİM_İHTİYAÇ_RAPORU_BURAK_YENI1309[[#This Row],[ALT_KOD]])+AVERAGEIFS(L:L,D:D,DST_123_ÜRETİM_İHTİYAÇ_RAPORU_BURAK_YENI1309[[#This Row],[ALT_KOD]]))</f>
        <v>-23</v>
      </c>
      <c r="L2673">
        <v>0</v>
      </c>
      <c r="M2673">
        <f>IF((DST_123_ÜRETİM_İHTİYAÇ_RAPORU_BURAK_YENI1309[[#This Row],[SATINALMA]]*DST_123_ÜRETİM_İHTİYAÇ_RAPORU_BURAK_YENI1309[[#This Row],[BIRIM_FIYATLAR]])&lt;1,VALUE("0"),DST_123_ÜRETİM_İHTİYAÇ_RAPORU_BURAK_YENI1309[[#This Row],[SATINALMA]]*DST_123_ÜRETİM_İHTİYAÇ_RAPORU_BURAK_YENI1309[[#This Row],[BIRIM_FIYATLAR]])</f>
        <v>0</v>
      </c>
      <c r="N2673">
        <v>188</v>
      </c>
      <c r="O2673" t="s">
        <v>240</v>
      </c>
      <c r="P2673">
        <v>564</v>
      </c>
      <c r="Q2673" t="s">
        <v>178</v>
      </c>
    </row>
    <row r="2674" spans="1:17" x14ac:dyDescent="0.25">
      <c r="A2674" t="s">
        <v>1144</v>
      </c>
      <c r="B2674" t="s">
        <v>1145</v>
      </c>
      <c r="C2674" t="s">
        <v>175</v>
      </c>
      <c r="D2674" t="s">
        <v>26</v>
      </c>
      <c r="E2674" t="s">
        <v>27</v>
      </c>
      <c r="F2674">
        <v>1</v>
      </c>
      <c r="G2674" t="s">
        <v>176</v>
      </c>
      <c r="H2674">
        <v>0</v>
      </c>
      <c r="I2674">
        <v>24</v>
      </c>
      <c r="J2674" s="10">
        <v>4</v>
      </c>
      <c r="K2674" s="10">
        <f>SUMIFS(F:F,D:D,DST_123_ÜRETİM_İHTİYAÇ_RAPORU_BURAK_YENI1309[[#This Row],[ALT_KOD]])-(SUMIFS(H:H,D:D,DST_123_ÜRETİM_İHTİYAÇ_RAPORU_BURAK_YENI1309[[#This Row],[ALT_KOD]])+AVERAGEIFS(I:I,D:D,DST_123_ÜRETİM_İHTİYAÇ_RAPORU_BURAK_YENI1309[[#This Row],[ALT_KOD]])+AVERAGEIFS(L:L,D:D,DST_123_ÜRETİM_İHTİYAÇ_RAPORU_BURAK_YENI1309[[#This Row],[ALT_KOD]]))</f>
        <v>-17</v>
      </c>
      <c r="L2674">
        <v>0</v>
      </c>
      <c r="M2674">
        <f>IF((DST_123_ÜRETİM_İHTİYAÇ_RAPORU_BURAK_YENI1309[[#This Row],[SATINALMA]]*DST_123_ÜRETİM_İHTİYAÇ_RAPORU_BURAK_YENI1309[[#This Row],[BIRIM_FIYATLAR]])&lt;1,VALUE("0"),DST_123_ÜRETİM_İHTİYAÇ_RAPORU_BURAK_YENI1309[[#This Row],[SATINALMA]]*DST_123_ÜRETİM_İHTİYAÇ_RAPORU_BURAK_YENI1309[[#This Row],[BIRIM_FIYATLAR]])</f>
        <v>0</v>
      </c>
      <c r="N2674">
        <v>625</v>
      </c>
      <c r="O2674" t="s">
        <v>226</v>
      </c>
      <c r="P2674">
        <v>625</v>
      </c>
      <c r="Q2674" t="s">
        <v>180</v>
      </c>
    </row>
    <row r="2675" spans="1:17" x14ac:dyDescent="0.25">
      <c r="A2675" t="s">
        <v>1146</v>
      </c>
      <c r="B2675" t="s">
        <v>1145</v>
      </c>
      <c r="C2675" t="s">
        <v>175</v>
      </c>
      <c r="D2675" t="s">
        <v>26</v>
      </c>
      <c r="E2675" t="s">
        <v>27</v>
      </c>
      <c r="F2675">
        <v>1</v>
      </c>
      <c r="G2675" t="s">
        <v>176</v>
      </c>
      <c r="H2675">
        <v>0</v>
      </c>
      <c r="I2675">
        <v>24</v>
      </c>
      <c r="J2675" s="10">
        <v>4</v>
      </c>
      <c r="K2675" s="10">
        <f>SUMIFS(F:F,D:D,DST_123_ÜRETİM_İHTİYAÇ_RAPORU_BURAK_YENI1309[[#This Row],[ALT_KOD]])-(SUMIFS(H:H,D:D,DST_123_ÜRETİM_İHTİYAÇ_RAPORU_BURAK_YENI1309[[#This Row],[ALT_KOD]])+AVERAGEIFS(I:I,D:D,DST_123_ÜRETİM_İHTİYAÇ_RAPORU_BURAK_YENI1309[[#This Row],[ALT_KOD]])+AVERAGEIFS(L:L,D:D,DST_123_ÜRETİM_İHTİYAÇ_RAPORU_BURAK_YENI1309[[#This Row],[ALT_KOD]]))</f>
        <v>-17</v>
      </c>
      <c r="L2675">
        <v>0</v>
      </c>
      <c r="M2675">
        <f>IF((DST_123_ÜRETİM_İHTİYAÇ_RAPORU_BURAK_YENI1309[[#This Row],[SATINALMA]]*DST_123_ÜRETİM_İHTİYAÇ_RAPORU_BURAK_YENI1309[[#This Row],[BIRIM_FIYATLAR]])&lt;1,VALUE("0"),DST_123_ÜRETİM_İHTİYAÇ_RAPORU_BURAK_YENI1309[[#This Row],[SATINALMA]]*DST_123_ÜRETİM_İHTİYAÇ_RAPORU_BURAK_YENI1309[[#This Row],[BIRIM_FIYATLAR]])</f>
        <v>0</v>
      </c>
      <c r="N2675">
        <v>625</v>
      </c>
      <c r="O2675" t="s">
        <v>226</v>
      </c>
      <c r="P2675">
        <v>625</v>
      </c>
      <c r="Q2675" t="s">
        <v>180</v>
      </c>
    </row>
    <row r="2676" spans="1:17" x14ac:dyDescent="0.25">
      <c r="A2676" t="s">
        <v>1146</v>
      </c>
      <c r="B2676" t="s">
        <v>1145</v>
      </c>
      <c r="C2676" t="s">
        <v>175</v>
      </c>
      <c r="D2676" t="s">
        <v>726</v>
      </c>
      <c r="E2676" t="s">
        <v>727</v>
      </c>
      <c r="F2676">
        <v>1</v>
      </c>
      <c r="G2676" t="s">
        <v>176</v>
      </c>
      <c r="H2676">
        <v>0</v>
      </c>
      <c r="I2676">
        <v>3</v>
      </c>
      <c r="J2676" s="10">
        <v>7</v>
      </c>
      <c r="K2676" s="10">
        <f>SUMIFS(F:F,D:D,DST_123_ÜRETİM_İHTİYAÇ_RAPORU_BURAK_YENI1309[[#This Row],[ALT_KOD]])-(SUMIFS(H:H,D:D,DST_123_ÜRETİM_İHTİYAÇ_RAPORU_BURAK_YENI1309[[#This Row],[ALT_KOD]])+AVERAGEIFS(I:I,D:D,DST_123_ÜRETİM_İHTİYAÇ_RAPORU_BURAK_YENI1309[[#This Row],[ALT_KOD]])+AVERAGEIFS(L:L,D:D,DST_123_ÜRETİM_İHTİYAÇ_RAPORU_BURAK_YENI1309[[#This Row],[ALT_KOD]]))</f>
        <v>5</v>
      </c>
      <c r="L2676">
        <v>0</v>
      </c>
      <c r="M2676">
        <f>IF((DST_123_ÜRETİM_İHTİYAÇ_RAPORU_BURAK_YENI1309[[#This Row],[SATINALMA]]*DST_123_ÜRETİM_İHTİYAÇ_RAPORU_BURAK_YENI1309[[#This Row],[BIRIM_FIYATLAR]])&lt;1,VALUE("0"),DST_123_ÜRETİM_İHTİYAÇ_RAPORU_BURAK_YENI1309[[#This Row],[SATINALMA]]*DST_123_ÜRETİM_İHTİYAÇ_RAPORU_BURAK_YENI1309[[#This Row],[BIRIM_FIYATLAR]])</f>
        <v>54497.75</v>
      </c>
      <c r="N2676">
        <v>10899.55</v>
      </c>
      <c r="O2676" t="s">
        <v>634</v>
      </c>
      <c r="P2676">
        <v>10899.55</v>
      </c>
      <c r="Q2676" t="s">
        <v>178</v>
      </c>
    </row>
    <row r="2677" spans="1:17" x14ac:dyDescent="0.25">
      <c r="A2677" t="s">
        <v>1144</v>
      </c>
      <c r="B2677" t="s">
        <v>1145</v>
      </c>
      <c r="C2677" t="s">
        <v>175</v>
      </c>
      <c r="D2677" t="s">
        <v>726</v>
      </c>
      <c r="E2677" t="s">
        <v>727</v>
      </c>
      <c r="F2677">
        <v>1</v>
      </c>
      <c r="G2677" t="s">
        <v>176</v>
      </c>
      <c r="H2677">
        <v>0</v>
      </c>
      <c r="I2677">
        <v>3</v>
      </c>
      <c r="J2677" s="10">
        <v>7</v>
      </c>
      <c r="K2677" s="10">
        <f>SUMIFS(F:F,D:D,DST_123_ÜRETİM_İHTİYAÇ_RAPORU_BURAK_YENI1309[[#This Row],[ALT_KOD]])-(SUMIFS(H:H,D:D,DST_123_ÜRETİM_İHTİYAÇ_RAPORU_BURAK_YENI1309[[#This Row],[ALT_KOD]])+AVERAGEIFS(I:I,D:D,DST_123_ÜRETİM_İHTİYAÇ_RAPORU_BURAK_YENI1309[[#This Row],[ALT_KOD]])+AVERAGEIFS(L:L,D:D,DST_123_ÜRETİM_İHTİYAÇ_RAPORU_BURAK_YENI1309[[#This Row],[ALT_KOD]]))</f>
        <v>5</v>
      </c>
      <c r="L2677">
        <v>0</v>
      </c>
      <c r="M2677">
        <f>IF((DST_123_ÜRETİM_İHTİYAÇ_RAPORU_BURAK_YENI1309[[#This Row],[SATINALMA]]*DST_123_ÜRETİM_İHTİYAÇ_RAPORU_BURAK_YENI1309[[#This Row],[BIRIM_FIYATLAR]])&lt;1,VALUE("0"),DST_123_ÜRETİM_İHTİYAÇ_RAPORU_BURAK_YENI1309[[#This Row],[SATINALMA]]*DST_123_ÜRETİM_İHTİYAÇ_RAPORU_BURAK_YENI1309[[#This Row],[BIRIM_FIYATLAR]])</f>
        <v>54497.75</v>
      </c>
      <c r="N2677">
        <v>10899.55</v>
      </c>
      <c r="O2677" t="s">
        <v>634</v>
      </c>
      <c r="P2677">
        <v>10899.55</v>
      </c>
      <c r="Q2677" t="s">
        <v>178</v>
      </c>
    </row>
    <row r="2678" spans="1:17" x14ac:dyDescent="0.25">
      <c r="A2678" t="s">
        <v>1150</v>
      </c>
      <c r="B2678" t="s">
        <v>1145</v>
      </c>
      <c r="C2678" t="s">
        <v>175</v>
      </c>
      <c r="D2678" t="s">
        <v>78</v>
      </c>
      <c r="E2678" t="s">
        <v>79</v>
      </c>
      <c r="F2678">
        <v>3</v>
      </c>
      <c r="G2678" t="s">
        <v>176</v>
      </c>
      <c r="H2678">
        <v>0</v>
      </c>
      <c r="I2678">
        <v>81</v>
      </c>
      <c r="J2678" s="10">
        <v>5</v>
      </c>
      <c r="K2678" s="10">
        <f>SUMIFS(F:F,D:D,DST_123_ÜRETİM_İHTİYAÇ_RAPORU_BURAK_YENI1309[[#This Row],[ALT_KOD]])-(SUMIFS(H:H,D:D,DST_123_ÜRETİM_İHTİYAÇ_RAPORU_BURAK_YENI1309[[#This Row],[ALT_KOD]])+AVERAGEIFS(I:I,D:D,DST_123_ÜRETİM_İHTİYAÇ_RAPORU_BURAK_YENI1309[[#This Row],[ALT_KOD]])+AVERAGEIFS(L:L,D:D,DST_123_ÜRETİM_İHTİYAÇ_RAPORU_BURAK_YENI1309[[#This Row],[ALT_KOD]]))</f>
        <v>-23</v>
      </c>
      <c r="L2678">
        <v>0</v>
      </c>
      <c r="M2678">
        <f>IF((DST_123_ÜRETİM_İHTİYAÇ_RAPORU_BURAK_YENI1309[[#This Row],[SATINALMA]]*DST_123_ÜRETİM_İHTİYAÇ_RAPORU_BURAK_YENI1309[[#This Row],[BIRIM_FIYATLAR]])&lt;1,VALUE("0"),DST_123_ÜRETİM_İHTİYAÇ_RAPORU_BURAK_YENI1309[[#This Row],[SATINALMA]]*DST_123_ÜRETİM_İHTİYAÇ_RAPORU_BURAK_YENI1309[[#This Row],[BIRIM_FIYATLAR]])</f>
        <v>0</v>
      </c>
      <c r="N2678">
        <v>188</v>
      </c>
      <c r="O2678" t="s">
        <v>240</v>
      </c>
      <c r="P2678">
        <v>564</v>
      </c>
      <c r="Q2678" t="s">
        <v>178</v>
      </c>
    </row>
    <row r="2679" spans="1:17" x14ac:dyDescent="0.25">
      <c r="A2679" t="s">
        <v>1059</v>
      </c>
      <c r="B2679" t="s">
        <v>1058</v>
      </c>
      <c r="C2679" t="s">
        <v>175</v>
      </c>
      <c r="D2679" t="s">
        <v>82</v>
      </c>
      <c r="E2679" t="s">
        <v>83</v>
      </c>
      <c r="F2679">
        <v>41.5</v>
      </c>
      <c r="G2679" t="s">
        <v>182</v>
      </c>
      <c r="H2679">
        <v>0</v>
      </c>
      <c r="I2679">
        <v>0</v>
      </c>
      <c r="J2679" s="10">
        <v>134.67999999999967</v>
      </c>
      <c r="K2679" s="10">
        <f>SUMIFS(F:F,D:D,DST_123_ÜRETİM_İHTİYAÇ_RAPORU_BURAK_YENI1309[[#This Row],[ALT_KOD]])-(SUMIFS(H:H,D:D,DST_123_ÜRETİM_İHTİYAÇ_RAPORU_BURAK_YENI1309[[#This Row],[ALT_KOD]])+AVERAGEIFS(I:I,D:D,DST_123_ÜRETİM_İHTİYAÇ_RAPORU_BURAK_YENI1309[[#This Row],[ALT_KOD]])+AVERAGEIFS(L:L,D:D,DST_123_ÜRETİM_İHTİYAÇ_RAPORU_BURAK_YENI1309[[#This Row],[ALT_KOD]]))</f>
        <v>420</v>
      </c>
      <c r="L2679">
        <v>13</v>
      </c>
      <c r="M2679">
        <f>IF((DST_123_ÜRETİM_İHTİYAÇ_RAPORU_BURAK_YENI1309[[#This Row],[SATINALMA]]*DST_123_ÜRETİM_İHTİYAÇ_RAPORU_BURAK_YENI1309[[#This Row],[BIRIM_FIYATLAR]])&lt;1,VALUE("0"),DST_123_ÜRETİM_İHTİYAÇ_RAPORU_BURAK_YENI1309[[#This Row],[SATINALMA]]*DST_123_ÜRETİM_İHTİYAÇ_RAPORU_BURAK_YENI1309[[#This Row],[BIRIM_FIYATLAR]])</f>
        <v>95886</v>
      </c>
      <c r="N2679">
        <v>228.3</v>
      </c>
      <c r="O2679" t="s">
        <v>223</v>
      </c>
      <c r="P2679">
        <v>9474.4500000000007</v>
      </c>
      <c r="Q2679" t="s">
        <v>181</v>
      </c>
    </row>
    <row r="2680" spans="1:17" x14ac:dyDescent="0.25">
      <c r="A2680" t="s">
        <v>1149</v>
      </c>
      <c r="B2680" t="s">
        <v>1145</v>
      </c>
      <c r="C2680" t="s">
        <v>175</v>
      </c>
      <c r="D2680" t="s">
        <v>26</v>
      </c>
      <c r="E2680" t="s">
        <v>27</v>
      </c>
      <c r="F2680">
        <v>1</v>
      </c>
      <c r="G2680" t="s">
        <v>176</v>
      </c>
      <c r="H2680">
        <v>0</v>
      </c>
      <c r="I2680">
        <v>24</v>
      </c>
      <c r="J2680" s="10">
        <v>4</v>
      </c>
      <c r="K2680" s="10">
        <f>SUMIFS(F:F,D:D,DST_123_ÜRETİM_İHTİYAÇ_RAPORU_BURAK_YENI1309[[#This Row],[ALT_KOD]])-(SUMIFS(H:H,D:D,DST_123_ÜRETİM_İHTİYAÇ_RAPORU_BURAK_YENI1309[[#This Row],[ALT_KOD]])+AVERAGEIFS(I:I,D:D,DST_123_ÜRETİM_İHTİYAÇ_RAPORU_BURAK_YENI1309[[#This Row],[ALT_KOD]])+AVERAGEIFS(L:L,D:D,DST_123_ÜRETİM_İHTİYAÇ_RAPORU_BURAK_YENI1309[[#This Row],[ALT_KOD]]))</f>
        <v>-17</v>
      </c>
      <c r="L2680">
        <v>0</v>
      </c>
      <c r="M2680">
        <f>IF((DST_123_ÜRETİM_İHTİYAÇ_RAPORU_BURAK_YENI1309[[#This Row],[SATINALMA]]*DST_123_ÜRETİM_İHTİYAÇ_RAPORU_BURAK_YENI1309[[#This Row],[BIRIM_FIYATLAR]])&lt;1,VALUE("0"),DST_123_ÜRETİM_İHTİYAÇ_RAPORU_BURAK_YENI1309[[#This Row],[SATINALMA]]*DST_123_ÜRETİM_İHTİYAÇ_RAPORU_BURAK_YENI1309[[#This Row],[BIRIM_FIYATLAR]])</f>
        <v>0</v>
      </c>
      <c r="N2680">
        <v>625</v>
      </c>
      <c r="O2680" t="s">
        <v>226</v>
      </c>
      <c r="P2680">
        <v>625</v>
      </c>
      <c r="Q2680" t="s">
        <v>180</v>
      </c>
    </row>
    <row r="2681" spans="1:17" x14ac:dyDescent="0.25">
      <c r="A2681" t="s">
        <v>1146</v>
      </c>
      <c r="B2681" t="s">
        <v>1145</v>
      </c>
      <c r="C2681" t="s">
        <v>175</v>
      </c>
      <c r="D2681" t="s">
        <v>76</v>
      </c>
      <c r="E2681" t="s">
        <v>77</v>
      </c>
      <c r="F2681">
        <v>4</v>
      </c>
      <c r="G2681" t="s">
        <v>176</v>
      </c>
      <c r="H2681">
        <v>0</v>
      </c>
      <c r="I2681">
        <v>85</v>
      </c>
      <c r="J2681" s="10">
        <v>31</v>
      </c>
      <c r="K2681" s="10">
        <f>SUMIFS(F:F,D:D,DST_123_ÜRETİM_İHTİYAÇ_RAPORU_BURAK_YENI1309[[#This Row],[ALT_KOD]])-(SUMIFS(H:H,D:D,DST_123_ÜRETİM_İHTİYAÇ_RAPORU_BURAK_YENI1309[[#This Row],[ALT_KOD]])+AVERAGEIFS(I:I,D:D,DST_123_ÜRETİM_İHTİYAÇ_RAPORU_BURAK_YENI1309[[#This Row],[ALT_KOD]])+AVERAGEIFS(L:L,D:D,DST_123_ÜRETİM_İHTİYAÇ_RAPORU_BURAK_YENI1309[[#This Row],[ALT_KOD]]))</f>
        <v>-17</v>
      </c>
      <c r="L2681">
        <v>0</v>
      </c>
      <c r="M2681">
        <f>IF((DST_123_ÜRETİM_İHTİYAÇ_RAPORU_BURAK_YENI1309[[#This Row],[SATINALMA]]*DST_123_ÜRETİM_İHTİYAÇ_RAPORU_BURAK_YENI1309[[#This Row],[BIRIM_FIYATLAR]])&lt;1,VALUE("0"),DST_123_ÜRETİM_İHTİYAÇ_RAPORU_BURAK_YENI1309[[#This Row],[SATINALMA]]*DST_123_ÜRETİM_İHTİYAÇ_RAPORU_BURAK_YENI1309[[#This Row],[BIRIM_FIYATLAR]])</f>
        <v>0</v>
      </c>
      <c r="N2681">
        <v>120</v>
      </c>
      <c r="O2681" t="s">
        <v>1152</v>
      </c>
      <c r="P2681">
        <v>480</v>
      </c>
      <c r="Q2681" t="s">
        <v>178</v>
      </c>
    </row>
    <row r="2682" spans="1:17" x14ac:dyDescent="0.25">
      <c r="A2682" t="s">
        <v>1144</v>
      </c>
      <c r="B2682" t="s">
        <v>1145</v>
      </c>
      <c r="C2682" t="s">
        <v>175</v>
      </c>
      <c r="D2682" t="s">
        <v>76</v>
      </c>
      <c r="E2682" t="s">
        <v>77</v>
      </c>
      <c r="F2682">
        <v>4</v>
      </c>
      <c r="G2682" t="s">
        <v>176</v>
      </c>
      <c r="H2682">
        <v>0</v>
      </c>
      <c r="I2682">
        <v>85</v>
      </c>
      <c r="J2682" s="10">
        <v>31</v>
      </c>
      <c r="K2682" s="10">
        <f>SUMIFS(F:F,D:D,DST_123_ÜRETİM_İHTİYAÇ_RAPORU_BURAK_YENI1309[[#This Row],[ALT_KOD]])-(SUMIFS(H:H,D:D,DST_123_ÜRETİM_İHTİYAÇ_RAPORU_BURAK_YENI1309[[#This Row],[ALT_KOD]])+AVERAGEIFS(I:I,D:D,DST_123_ÜRETİM_İHTİYAÇ_RAPORU_BURAK_YENI1309[[#This Row],[ALT_KOD]])+AVERAGEIFS(L:L,D:D,DST_123_ÜRETİM_İHTİYAÇ_RAPORU_BURAK_YENI1309[[#This Row],[ALT_KOD]]))</f>
        <v>-17</v>
      </c>
      <c r="L2682">
        <v>0</v>
      </c>
      <c r="M2682">
        <f>IF((DST_123_ÜRETİM_İHTİYAÇ_RAPORU_BURAK_YENI1309[[#This Row],[SATINALMA]]*DST_123_ÜRETİM_İHTİYAÇ_RAPORU_BURAK_YENI1309[[#This Row],[BIRIM_FIYATLAR]])&lt;1,VALUE("0"),DST_123_ÜRETİM_İHTİYAÇ_RAPORU_BURAK_YENI1309[[#This Row],[SATINALMA]]*DST_123_ÜRETİM_İHTİYAÇ_RAPORU_BURAK_YENI1309[[#This Row],[BIRIM_FIYATLAR]])</f>
        <v>0</v>
      </c>
      <c r="N2682">
        <v>120</v>
      </c>
      <c r="O2682" t="s">
        <v>1152</v>
      </c>
      <c r="P2682">
        <v>480</v>
      </c>
      <c r="Q2682" t="s">
        <v>178</v>
      </c>
    </row>
    <row r="2683" spans="1:17" x14ac:dyDescent="0.25">
      <c r="A2683" t="s">
        <v>1059</v>
      </c>
      <c r="B2683" t="s">
        <v>1058</v>
      </c>
      <c r="C2683" t="s">
        <v>175</v>
      </c>
      <c r="D2683" t="s">
        <v>1025</v>
      </c>
      <c r="E2683" t="s">
        <v>1026</v>
      </c>
      <c r="F2683">
        <v>8</v>
      </c>
      <c r="G2683" t="s">
        <v>176</v>
      </c>
      <c r="H2683">
        <v>0</v>
      </c>
      <c r="I2683">
        <v>0</v>
      </c>
      <c r="J2683" s="10">
        <v>0</v>
      </c>
      <c r="K2683" s="10">
        <f>SUMIFS(F:F,D:D,DST_123_ÜRETİM_İHTİYAÇ_RAPORU_BURAK_YENI1309[[#This Row],[ALT_KOD]])-(SUMIFS(H:H,D:D,DST_123_ÜRETİM_İHTİYAÇ_RAPORU_BURAK_YENI1309[[#This Row],[ALT_KOD]])+AVERAGEIFS(I:I,D:D,DST_123_ÜRETİM_İHTİYAÇ_RAPORU_BURAK_YENI1309[[#This Row],[ALT_KOD]])+AVERAGEIFS(L:L,D:D,DST_123_ÜRETİM_İHTİYAÇ_RAPORU_BURAK_YENI1309[[#This Row],[ALT_KOD]]))</f>
        <v>16</v>
      </c>
      <c r="L2683">
        <v>0</v>
      </c>
      <c r="M2683">
        <f>IF((DST_123_ÜRETİM_İHTİYAÇ_RAPORU_BURAK_YENI1309[[#This Row],[SATINALMA]]*DST_123_ÜRETİM_İHTİYAÇ_RAPORU_BURAK_YENI1309[[#This Row],[BIRIM_FIYATLAR]])&lt;1,VALUE("0"),DST_123_ÜRETİM_İHTİYAÇ_RAPORU_BURAK_YENI1309[[#This Row],[SATINALMA]]*DST_123_ÜRETİM_İHTİYAÇ_RAPORU_BURAK_YENI1309[[#This Row],[BIRIM_FIYATLAR]])</f>
        <v>5.6</v>
      </c>
      <c r="N2683">
        <v>0.35</v>
      </c>
      <c r="O2683" t="s">
        <v>216</v>
      </c>
      <c r="P2683">
        <v>2.8</v>
      </c>
      <c r="Q2683" t="s">
        <v>180</v>
      </c>
    </row>
    <row r="2684" spans="1:17" x14ac:dyDescent="0.25">
      <c r="A2684" t="s">
        <v>1059</v>
      </c>
      <c r="B2684" t="s">
        <v>1058</v>
      </c>
      <c r="C2684" t="s">
        <v>175</v>
      </c>
      <c r="D2684" t="s">
        <v>682</v>
      </c>
      <c r="E2684" t="s">
        <v>683</v>
      </c>
      <c r="F2684">
        <v>1</v>
      </c>
      <c r="G2684" t="s">
        <v>176</v>
      </c>
      <c r="H2684">
        <v>0</v>
      </c>
      <c r="I2684">
        <v>34</v>
      </c>
      <c r="J2684" s="10">
        <v>27</v>
      </c>
      <c r="K2684" s="10">
        <f>SUMIFS(F:F,D:D,DST_123_ÜRETİM_İHTİYAÇ_RAPORU_BURAK_YENI1309[[#This Row],[ALT_KOD]])-(SUMIFS(H:H,D:D,DST_123_ÜRETİM_İHTİYAÇ_RAPORU_BURAK_YENI1309[[#This Row],[ALT_KOD]])+AVERAGEIFS(I:I,D:D,DST_123_ÜRETİM_İHTİYAÇ_RAPORU_BURAK_YENI1309[[#This Row],[ALT_KOD]])+AVERAGEIFS(L:L,D:D,DST_123_ÜRETİM_İHTİYAÇ_RAPORU_BURAK_YENI1309[[#This Row],[ALT_KOD]]))</f>
        <v>-6</v>
      </c>
      <c r="L2684">
        <v>0</v>
      </c>
      <c r="M2684">
        <f>IF((DST_123_ÜRETİM_İHTİYAÇ_RAPORU_BURAK_YENI1309[[#This Row],[SATINALMA]]*DST_123_ÜRETİM_İHTİYAÇ_RAPORU_BURAK_YENI1309[[#This Row],[BIRIM_FIYATLAR]])&lt;1,VALUE("0"),DST_123_ÜRETİM_İHTİYAÇ_RAPORU_BURAK_YENI1309[[#This Row],[SATINALMA]]*DST_123_ÜRETİM_İHTİYAÇ_RAPORU_BURAK_YENI1309[[#This Row],[BIRIM_FIYATLAR]])</f>
        <v>0</v>
      </c>
      <c r="N2684">
        <v>500</v>
      </c>
      <c r="O2684" t="s">
        <v>584</v>
      </c>
      <c r="P2684">
        <v>500</v>
      </c>
      <c r="Q2684" t="s">
        <v>177</v>
      </c>
    </row>
    <row r="2685" spans="1:17" x14ac:dyDescent="0.25">
      <c r="A2685" t="s">
        <v>1143</v>
      </c>
      <c r="B2685" t="s">
        <v>1056</v>
      </c>
      <c r="C2685" t="s">
        <v>175</v>
      </c>
      <c r="D2685" t="s">
        <v>682</v>
      </c>
      <c r="E2685" t="s">
        <v>683</v>
      </c>
      <c r="F2685">
        <v>2</v>
      </c>
      <c r="G2685" t="s">
        <v>176</v>
      </c>
      <c r="H2685">
        <v>0</v>
      </c>
      <c r="I2685">
        <v>34</v>
      </c>
      <c r="J2685" s="10">
        <v>27</v>
      </c>
      <c r="K2685" s="10">
        <f>SUMIFS(F:F,D:D,DST_123_ÜRETİM_İHTİYAÇ_RAPORU_BURAK_YENI1309[[#This Row],[ALT_KOD]])-(SUMIFS(H:H,D:D,DST_123_ÜRETİM_İHTİYAÇ_RAPORU_BURAK_YENI1309[[#This Row],[ALT_KOD]])+AVERAGEIFS(I:I,D:D,DST_123_ÜRETİM_İHTİYAÇ_RAPORU_BURAK_YENI1309[[#This Row],[ALT_KOD]])+AVERAGEIFS(L:L,D:D,DST_123_ÜRETİM_İHTİYAÇ_RAPORU_BURAK_YENI1309[[#This Row],[ALT_KOD]]))</f>
        <v>-6</v>
      </c>
      <c r="L2685">
        <v>0</v>
      </c>
      <c r="M2685">
        <f>IF((DST_123_ÜRETİM_İHTİYAÇ_RAPORU_BURAK_YENI1309[[#This Row],[SATINALMA]]*DST_123_ÜRETİM_İHTİYAÇ_RAPORU_BURAK_YENI1309[[#This Row],[BIRIM_FIYATLAR]])&lt;1,VALUE("0"),DST_123_ÜRETİM_İHTİYAÇ_RAPORU_BURAK_YENI1309[[#This Row],[SATINALMA]]*DST_123_ÜRETİM_İHTİYAÇ_RAPORU_BURAK_YENI1309[[#This Row],[BIRIM_FIYATLAR]])</f>
        <v>0</v>
      </c>
      <c r="N2685">
        <v>500</v>
      </c>
      <c r="O2685" t="s">
        <v>584</v>
      </c>
      <c r="P2685">
        <v>1000</v>
      </c>
      <c r="Q2685" t="s">
        <v>177</v>
      </c>
    </row>
    <row r="2686" spans="1:17" x14ac:dyDescent="0.25">
      <c r="A2686" t="s">
        <v>1059</v>
      </c>
      <c r="B2686" t="s">
        <v>1058</v>
      </c>
      <c r="C2686" t="s">
        <v>175</v>
      </c>
      <c r="D2686" t="s">
        <v>684</v>
      </c>
      <c r="E2686" t="s">
        <v>685</v>
      </c>
      <c r="F2686">
        <v>1</v>
      </c>
      <c r="G2686" t="s">
        <v>176</v>
      </c>
      <c r="H2686">
        <v>0</v>
      </c>
      <c r="I2686">
        <v>23</v>
      </c>
      <c r="J2686" s="10">
        <v>17</v>
      </c>
      <c r="K2686" s="10">
        <f>SUMIFS(F:F,D:D,DST_123_ÜRETİM_İHTİYAÇ_RAPORU_BURAK_YENI1309[[#This Row],[ALT_KOD]])-(SUMIFS(H:H,D:D,DST_123_ÜRETİM_İHTİYAÇ_RAPORU_BURAK_YENI1309[[#This Row],[ALT_KOD]])+AVERAGEIFS(I:I,D:D,DST_123_ÜRETİM_İHTİYAÇ_RAPORU_BURAK_YENI1309[[#This Row],[ALT_KOD]])+AVERAGEIFS(L:L,D:D,DST_123_ÜRETİM_İHTİYAÇ_RAPORU_BURAK_YENI1309[[#This Row],[ALT_KOD]]))</f>
        <v>-8</v>
      </c>
      <c r="L2686">
        <v>0</v>
      </c>
      <c r="M2686">
        <f>IF((DST_123_ÜRETİM_İHTİYAÇ_RAPORU_BURAK_YENI1309[[#This Row],[SATINALMA]]*DST_123_ÜRETİM_İHTİYAÇ_RAPORU_BURAK_YENI1309[[#This Row],[BIRIM_FIYATLAR]])&lt;1,VALUE("0"),DST_123_ÜRETİM_İHTİYAÇ_RAPORU_BURAK_YENI1309[[#This Row],[SATINALMA]]*DST_123_ÜRETİM_İHTİYAÇ_RAPORU_BURAK_YENI1309[[#This Row],[BIRIM_FIYATLAR]])</f>
        <v>0</v>
      </c>
      <c r="N2686">
        <v>750</v>
      </c>
      <c r="O2686" t="s">
        <v>584</v>
      </c>
      <c r="P2686">
        <v>750</v>
      </c>
      <c r="Q2686" t="s">
        <v>177</v>
      </c>
    </row>
    <row r="2687" spans="1:17" x14ac:dyDescent="0.25">
      <c r="A2687" t="s">
        <v>1097</v>
      </c>
      <c r="B2687" t="s">
        <v>1055</v>
      </c>
      <c r="C2687" t="s">
        <v>175</v>
      </c>
      <c r="D2687" t="s">
        <v>469</v>
      </c>
      <c r="E2687" t="s">
        <v>470</v>
      </c>
      <c r="F2687">
        <v>1</v>
      </c>
      <c r="G2687" t="s">
        <v>176</v>
      </c>
      <c r="H2687">
        <v>0</v>
      </c>
      <c r="I2687">
        <v>39</v>
      </c>
      <c r="J2687" s="10">
        <v>2</v>
      </c>
      <c r="K2687" s="10">
        <f>SUMIFS(F:F,D:D,DST_123_ÜRETİM_İHTİYAÇ_RAPORU_BURAK_YENI1309[[#This Row],[ALT_KOD]])-(SUMIFS(H:H,D:D,DST_123_ÜRETİM_İHTİYAÇ_RAPORU_BURAK_YENI1309[[#This Row],[ALT_KOD]])+AVERAGEIFS(I:I,D:D,DST_123_ÜRETİM_İHTİYAÇ_RAPORU_BURAK_YENI1309[[#This Row],[ALT_KOD]])+AVERAGEIFS(L:L,D:D,DST_123_ÜRETİM_İHTİYAÇ_RAPORU_BURAK_YENI1309[[#This Row],[ALT_KOD]]))</f>
        <v>-19</v>
      </c>
      <c r="L2687">
        <v>0</v>
      </c>
      <c r="M2687">
        <f>IF((DST_123_ÜRETİM_İHTİYAÇ_RAPORU_BURAK_YENI1309[[#This Row],[SATINALMA]]*DST_123_ÜRETİM_İHTİYAÇ_RAPORU_BURAK_YENI1309[[#This Row],[BIRIM_FIYATLAR]])&lt;1,VALUE("0"),DST_123_ÜRETİM_İHTİYAÇ_RAPORU_BURAK_YENI1309[[#This Row],[SATINALMA]]*DST_123_ÜRETİM_İHTİYAÇ_RAPORU_BURAK_YENI1309[[#This Row],[BIRIM_FIYATLAR]])</f>
        <v>0</v>
      </c>
      <c r="N2687">
        <v>65</v>
      </c>
      <c r="O2687" t="s">
        <v>821</v>
      </c>
      <c r="P2687">
        <v>65</v>
      </c>
      <c r="Q2687" t="s">
        <v>178</v>
      </c>
    </row>
    <row r="2688" spans="1:17" x14ac:dyDescent="0.25">
      <c r="A2688" t="s">
        <v>1143</v>
      </c>
      <c r="B2688" t="s">
        <v>1056</v>
      </c>
      <c r="C2688" t="s">
        <v>175</v>
      </c>
      <c r="D2688" t="s">
        <v>469</v>
      </c>
      <c r="E2688" t="s">
        <v>470</v>
      </c>
      <c r="F2688">
        <v>1</v>
      </c>
      <c r="G2688" t="s">
        <v>176</v>
      </c>
      <c r="H2688">
        <v>0</v>
      </c>
      <c r="I2688">
        <v>39</v>
      </c>
      <c r="J2688" s="10">
        <v>2</v>
      </c>
      <c r="K2688" s="10">
        <f>SUMIFS(F:F,D:D,DST_123_ÜRETİM_İHTİYAÇ_RAPORU_BURAK_YENI1309[[#This Row],[ALT_KOD]])-(SUMIFS(H:H,D:D,DST_123_ÜRETİM_İHTİYAÇ_RAPORU_BURAK_YENI1309[[#This Row],[ALT_KOD]])+AVERAGEIFS(I:I,D:D,DST_123_ÜRETİM_İHTİYAÇ_RAPORU_BURAK_YENI1309[[#This Row],[ALT_KOD]])+AVERAGEIFS(L:L,D:D,DST_123_ÜRETİM_İHTİYAÇ_RAPORU_BURAK_YENI1309[[#This Row],[ALT_KOD]]))</f>
        <v>-19</v>
      </c>
      <c r="L2688">
        <v>0</v>
      </c>
      <c r="M2688">
        <f>IF((DST_123_ÜRETİM_İHTİYAÇ_RAPORU_BURAK_YENI1309[[#This Row],[SATINALMA]]*DST_123_ÜRETİM_İHTİYAÇ_RAPORU_BURAK_YENI1309[[#This Row],[BIRIM_FIYATLAR]])&lt;1,VALUE("0"),DST_123_ÜRETİM_İHTİYAÇ_RAPORU_BURAK_YENI1309[[#This Row],[SATINALMA]]*DST_123_ÜRETİM_İHTİYAÇ_RAPORU_BURAK_YENI1309[[#This Row],[BIRIM_FIYATLAR]])</f>
        <v>0</v>
      </c>
      <c r="N2688">
        <v>65</v>
      </c>
      <c r="O2688" t="s">
        <v>821</v>
      </c>
      <c r="P2688">
        <v>65</v>
      </c>
      <c r="Q2688" t="s">
        <v>178</v>
      </c>
    </row>
    <row r="2689" spans="1:17" x14ac:dyDescent="0.25">
      <c r="A2689" t="s">
        <v>1095</v>
      </c>
      <c r="B2689" t="s">
        <v>1096</v>
      </c>
      <c r="C2689" t="s">
        <v>175</v>
      </c>
      <c r="D2689" t="s">
        <v>469</v>
      </c>
      <c r="E2689" t="s">
        <v>470</v>
      </c>
      <c r="F2689">
        <v>1</v>
      </c>
      <c r="G2689" t="s">
        <v>176</v>
      </c>
      <c r="H2689">
        <v>0</v>
      </c>
      <c r="I2689">
        <v>39</v>
      </c>
      <c r="J2689" s="10">
        <v>2</v>
      </c>
      <c r="K2689" s="10">
        <f>SUMIFS(F:F,D:D,DST_123_ÜRETİM_İHTİYAÇ_RAPORU_BURAK_YENI1309[[#This Row],[ALT_KOD]])-(SUMIFS(H:H,D:D,DST_123_ÜRETİM_İHTİYAÇ_RAPORU_BURAK_YENI1309[[#This Row],[ALT_KOD]])+AVERAGEIFS(I:I,D:D,DST_123_ÜRETİM_İHTİYAÇ_RAPORU_BURAK_YENI1309[[#This Row],[ALT_KOD]])+AVERAGEIFS(L:L,D:D,DST_123_ÜRETİM_İHTİYAÇ_RAPORU_BURAK_YENI1309[[#This Row],[ALT_KOD]]))</f>
        <v>-19</v>
      </c>
      <c r="L2689">
        <v>0</v>
      </c>
      <c r="M2689">
        <f>IF((DST_123_ÜRETİM_İHTİYAÇ_RAPORU_BURAK_YENI1309[[#This Row],[SATINALMA]]*DST_123_ÜRETİM_İHTİYAÇ_RAPORU_BURAK_YENI1309[[#This Row],[BIRIM_FIYATLAR]])&lt;1,VALUE("0"),DST_123_ÜRETİM_İHTİYAÇ_RAPORU_BURAK_YENI1309[[#This Row],[SATINALMA]]*DST_123_ÜRETİM_İHTİYAÇ_RAPORU_BURAK_YENI1309[[#This Row],[BIRIM_FIYATLAR]])</f>
        <v>0</v>
      </c>
      <c r="N2689">
        <v>65</v>
      </c>
      <c r="O2689" t="s">
        <v>821</v>
      </c>
      <c r="P2689">
        <v>65</v>
      </c>
      <c r="Q2689" t="s">
        <v>178</v>
      </c>
    </row>
    <row r="2690" spans="1:17" x14ac:dyDescent="0.25">
      <c r="A2690" t="s">
        <v>1099</v>
      </c>
      <c r="B2690" t="s">
        <v>1055</v>
      </c>
      <c r="C2690" t="s">
        <v>175</v>
      </c>
      <c r="D2690" t="s">
        <v>78</v>
      </c>
      <c r="E2690" t="s">
        <v>79</v>
      </c>
      <c r="F2690">
        <v>4</v>
      </c>
      <c r="G2690" t="s">
        <v>176</v>
      </c>
      <c r="H2690">
        <v>0</v>
      </c>
      <c r="I2690">
        <v>81</v>
      </c>
      <c r="J2690" s="10">
        <v>5</v>
      </c>
      <c r="K2690" s="10">
        <f>SUMIFS(F:F,D:D,DST_123_ÜRETİM_İHTİYAÇ_RAPORU_BURAK_YENI1309[[#This Row],[ALT_KOD]])-(SUMIFS(H:H,D:D,DST_123_ÜRETİM_İHTİYAÇ_RAPORU_BURAK_YENI1309[[#This Row],[ALT_KOD]])+AVERAGEIFS(I:I,D:D,DST_123_ÜRETİM_İHTİYAÇ_RAPORU_BURAK_YENI1309[[#This Row],[ALT_KOD]])+AVERAGEIFS(L:L,D:D,DST_123_ÜRETİM_İHTİYAÇ_RAPORU_BURAK_YENI1309[[#This Row],[ALT_KOD]]))</f>
        <v>-23</v>
      </c>
      <c r="L2690">
        <v>0</v>
      </c>
      <c r="M2690">
        <f>IF((DST_123_ÜRETİM_İHTİYAÇ_RAPORU_BURAK_YENI1309[[#This Row],[SATINALMA]]*DST_123_ÜRETİM_İHTİYAÇ_RAPORU_BURAK_YENI1309[[#This Row],[BIRIM_FIYATLAR]])&lt;1,VALUE("0"),DST_123_ÜRETİM_İHTİYAÇ_RAPORU_BURAK_YENI1309[[#This Row],[SATINALMA]]*DST_123_ÜRETİM_İHTİYAÇ_RAPORU_BURAK_YENI1309[[#This Row],[BIRIM_FIYATLAR]])</f>
        <v>0</v>
      </c>
      <c r="N2690">
        <v>188</v>
      </c>
      <c r="O2690" t="s">
        <v>240</v>
      </c>
      <c r="P2690">
        <v>752</v>
      </c>
      <c r="Q2690" t="s">
        <v>178</v>
      </c>
    </row>
    <row r="2691" spans="1:17" x14ac:dyDescent="0.25">
      <c r="A2691" t="s">
        <v>1142</v>
      </c>
      <c r="B2691" t="s">
        <v>1056</v>
      </c>
      <c r="C2691" t="s">
        <v>175</v>
      </c>
      <c r="D2691" t="s">
        <v>76</v>
      </c>
      <c r="E2691" t="s">
        <v>77</v>
      </c>
      <c r="F2691">
        <v>4</v>
      </c>
      <c r="G2691" t="s">
        <v>176</v>
      </c>
      <c r="H2691">
        <v>0</v>
      </c>
      <c r="I2691">
        <v>85</v>
      </c>
      <c r="J2691" s="10">
        <v>31</v>
      </c>
      <c r="K2691" s="10">
        <f>SUMIFS(F:F,D:D,DST_123_ÜRETİM_İHTİYAÇ_RAPORU_BURAK_YENI1309[[#This Row],[ALT_KOD]])-(SUMIFS(H:H,D:D,DST_123_ÜRETİM_İHTİYAÇ_RAPORU_BURAK_YENI1309[[#This Row],[ALT_KOD]])+AVERAGEIFS(I:I,D:D,DST_123_ÜRETİM_İHTİYAÇ_RAPORU_BURAK_YENI1309[[#This Row],[ALT_KOD]])+AVERAGEIFS(L:L,D:D,DST_123_ÜRETİM_İHTİYAÇ_RAPORU_BURAK_YENI1309[[#This Row],[ALT_KOD]]))</f>
        <v>-17</v>
      </c>
      <c r="L2691">
        <v>0</v>
      </c>
      <c r="M2691">
        <f>IF((DST_123_ÜRETİM_İHTİYAÇ_RAPORU_BURAK_YENI1309[[#This Row],[SATINALMA]]*DST_123_ÜRETİM_İHTİYAÇ_RAPORU_BURAK_YENI1309[[#This Row],[BIRIM_FIYATLAR]])&lt;1,VALUE("0"),DST_123_ÜRETİM_İHTİYAÇ_RAPORU_BURAK_YENI1309[[#This Row],[SATINALMA]]*DST_123_ÜRETİM_İHTİYAÇ_RAPORU_BURAK_YENI1309[[#This Row],[BIRIM_FIYATLAR]])</f>
        <v>0</v>
      </c>
      <c r="N2691">
        <v>120</v>
      </c>
      <c r="O2691" t="s">
        <v>1152</v>
      </c>
      <c r="P2691">
        <v>480</v>
      </c>
      <c r="Q2691" t="s">
        <v>178</v>
      </c>
    </row>
    <row r="2692" spans="1:17" x14ac:dyDescent="0.25">
      <c r="A2692" t="s">
        <v>1150</v>
      </c>
      <c r="B2692" t="s">
        <v>1145</v>
      </c>
      <c r="C2692" t="s">
        <v>175</v>
      </c>
      <c r="D2692" t="s">
        <v>76</v>
      </c>
      <c r="E2692" t="s">
        <v>77</v>
      </c>
      <c r="F2692">
        <v>4</v>
      </c>
      <c r="G2692" t="s">
        <v>176</v>
      </c>
      <c r="H2692">
        <v>0</v>
      </c>
      <c r="I2692">
        <v>85</v>
      </c>
      <c r="J2692" s="10">
        <v>31</v>
      </c>
      <c r="K2692" s="10">
        <f>SUMIFS(F:F,D:D,DST_123_ÜRETİM_İHTİYAÇ_RAPORU_BURAK_YENI1309[[#This Row],[ALT_KOD]])-(SUMIFS(H:H,D:D,DST_123_ÜRETİM_İHTİYAÇ_RAPORU_BURAK_YENI1309[[#This Row],[ALT_KOD]])+AVERAGEIFS(I:I,D:D,DST_123_ÜRETİM_İHTİYAÇ_RAPORU_BURAK_YENI1309[[#This Row],[ALT_KOD]])+AVERAGEIFS(L:L,D:D,DST_123_ÜRETİM_İHTİYAÇ_RAPORU_BURAK_YENI1309[[#This Row],[ALT_KOD]]))</f>
        <v>-17</v>
      </c>
      <c r="L2692">
        <v>0</v>
      </c>
      <c r="M2692">
        <f>IF((DST_123_ÜRETİM_İHTİYAÇ_RAPORU_BURAK_YENI1309[[#This Row],[SATINALMA]]*DST_123_ÜRETİM_İHTİYAÇ_RAPORU_BURAK_YENI1309[[#This Row],[BIRIM_FIYATLAR]])&lt;1,VALUE("0"),DST_123_ÜRETİM_İHTİYAÇ_RAPORU_BURAK_YENI1309[[#This Row],[SATINALMA]]*DST_123_ÜRETİM_İHTİYAÇ_RAPORU_BURAK_YENI1309[[#This Row],[BIRIM_FIYATLAR]])</f>
        <v>0</v>
      </c>
      <c r="N2692">
        <v>120</v>
      </c>
      <c r="O2692" t="s">
        <v>1152</v>
      </c>
      <c r="P2692">
        <v>480</v>
      </c>
      <c r="Q2692" t="s">
        <v>178</v>
      </c>
    </row>
    <row r="2693" spans="1:17" x14ac:dyDescent="0.25">
      <c r="A2693" t="s">
        <v>1149</v>
      </c>
      <c r="B2693" t="s">
        <v>1145</v>
      </c>
      <c r="C2693" t="s">
        <v>175</v>
      </c>
      <c r="D2693" t="s">
        <v>78</v>
      </c>
      <c r="E2693" t="s">
        <v>79</v>
      </c>
      <c r="F2693">
        <v>3</v>
      </c>
      <c r="G2693" t="s">
        <v>176</v>
      </c>
      <c r="H2693">
        <v>0</v>
      </c>
      <c r="I2693">
        <v>81</v>
      </c>
      <c r="J2693" s="10">
        <v>5</v>
      </c>
      <c r="K2693" s="10">
        <f>SUMIFS(F:F,D:D,DST_123_ÜRETİM_İHTİYAÇ_RAPORU_BURAK_YENI1309[[#This Row],[ALT_KOD]])-(SUMIFS(H:H,D:D,DST_123_ÜRETİM_İHTİYAÇ_RAPORU_BURAK_YENI1309[[#This Row],[ALT_KOD]])+AVERAGEIFS(I:I,D:D,DST_123_ÜRETİM_İHTİYAÇ_RAPORU_BURAK_YENI1309[[#This Row],[ALT_KOD]])+AVERAGEIFS(L:L,D:D,DST_123_ÜRETİM_İHTİYAÇ_RAPORU_BURAK_YENI1309[[#This Row],[ALT_KOD]]))</f>
        <v>-23</v>
      </c>
      <c r="L2693">
        <v>0</v>
      </c>
      <c r="M2693">
        <f>IF((DST_123_ÜRETİM_İHTİYAÇ_RAPORU_BURAK_YENI1309[[#This Row],[SATINALMA]]*DST_123_ÜRETİM_İHTİYAÇ_RAPORU_BURAK_YENI1309[[#This Row],[BIRIM_FIYATLAR]])&lt;1,VALUE("0"),DST_123_ÜRETİM_İHTİYAÇ_RAPORU_BURAK_YENI1309[[#This Row],[SATINALMA]]*DST_123_ÜRETİM_İHTİYAÇ_RAPORU_BURAK_YENI1309[[#This Row],[BIRIM_FIYATLAR]])</f>
        <v>0</v>
      </c>
      <c r="N2693">
        <v>188</v>
      </c>
      <c r="O2693" t="s">
        <v>240</v>
      </c>
      <c r="P2693">
        <v>564</v>
      </c>
      <c r="Q2693" t="s">
        <v>178</v>
      </c>
    </row>
    <row r="2694" spans="1:17" x14ac:dyDescent="0.25">
      <c r="A2694" t="s">
        <v>1142</v>
      </c>
      <c r="B2694" t="s">
        <v>1056</v>
      </c>
      <c r="C2694" t="s">
        <v>175</v>
      </c>
      <c r="D2694" t="s">
        <v>82</v>
      </c>
      <c r="E2694" t="s">
        <v>83</v>
      </c>
      <c r="F2694">
        <v>45</v>
      </c>
      <c r="G2694" t="s">
        <v>182</v>
      </c>
      <c r="H2694">
        <v>0</v>
      </c>
      <c r="I2694">
        <v>0</v>
      </c>
      <c r="J2694" s="10">
        <v>134.67999999999967</v>
      </c>
      <c r="K2694" s="10">
        <f>SUMIFS(F:F,D:D,DST_123_ÜRETİM_İHTİYAÇ_RAPORU_BURAK_YENI1309[[#This Row],[ALT_KOD]])-(SUMIFS(H:H,D:D,DST_123_ÜRETİM_İHTİYAÇ_RAPORU_BURAK_YENI1309[[#This Row],[ALT_KOD]])+AVERAGEIFS(I:I,D:D,DST_123_ÜRETİM_İHTİYAÇ_RAPORU_BURAK_YENI1309[[#This Row],[ALT_KOD]])+AVERAGEIFS(L:L,D:D,DST_123_ÜRETİM_İHTİYAÇ_RAPORU_BURAK_YENI1309[[#This Row],[ALT_KOD]]))</f>
        <v>420</v>
      </c>
      <c r="L2694">
        <v>13</v>
      </c>
      <c r="M2694">
        <f>IF((DST_123_ÜRETİM_İHTİYAÇ_RAPORU_BURAK_YENI1309[[#This Row],[SATINALMA]]*DST_123_ÜRETİM_İHTİYAÇ_RAPORU_BURAK_YENI1309[[#This Row],[BIRIM_FIYATLAR]])&lt;1,VALUE("0"),DST_123_ÜRETİM_İHTİYAÇ_RAPORU_BURAK_YENI1309[[#This Row],[SATINALMA]]*DST_123_ÜRETİM_İHTİYAÇ_RAPORU_BURAK_YENI1309[[#This Row],[BIRIM_FIYATLAR]])</f>
        <v>95886</v>
      </c>
      <c r="N2694">
        <v>228.3</v>
      </c>
      <c r="O2694" t="s">
        <v>223</v>
      </c>
      <c r="P2694">
        <v>10273.5</v>
      </c>
      <c r="Q2694" t="s">
        <v>181</v>
      </c>
    </row>
    <row r="2695" spans="1:17" x14ac:dyDescent="0.25">
      <c r="A2695" t="s">
        <v>1142</v>
      </c>
      <c r="B2695" t="s">
        <v>1056</v>
      </c>
      <c r="C2695" t="s">
        <v>175</v>
      </c>
      <c r="D2695" t="s">
        <v>682</v>
      </c>
      <c r="E2695" t="s">
        <v>683</v>
      </c>
      <c r="F2695">
        <v>2</v>
      </c>
      <c r="G2695" t="s">
        <v>176</v>
      </c>
      <c r="H2695">
        <v>0</v>
      </c>
      <c r="I2695">
        <v>34</v>
      </c>
      <c r="J2695" s="10">
        <v>27</v>
      </c>
      <c r="K2695" s="10">
        <f>SUMIFS(F:F,D:D,DST_123_ÜRETİM_İHTİYAÇ_RAPORU_BURAK_YENI1309[[#This Row],[ALT_KOD]])-(SUMIFS(H:H,D:D,DST_123_ÜRETİM_İHTİYAÇ_RAPORU_BURAK_YENI1309[[#This Row],[ALT_KOD]])+AVERAGEIFS(I:I,D:D,DST_123_ÜRETİM_İHTİYAÇ_RAPORU_BURAK_YENI1309[[#This Row],[ALT_KOD]])+AVERAGEIFS(L:L,D:D,DST_123_ÜRETİM_İHTİYAÇ_RAPORU_BURAK_YENI1309[[#This Row],[ALT_KOD]]))</f>
        <v>-6</v>
      </c>
      <c r="L2695">
        <v>0</v>
      </c>
      <c r="M2695">
        <f>IF((DST_123_ÜRETİM_İHTİYAÇ_RAPORU_BURAK_YENI1309[[#This Row],[SATINALMA]]*DST_123_ÜRETİM_İHTİYAÇ_RAPORU_BURAK_YENI1309[[#This Row],[BIRIM_FIYATLAR]])&lt;1,VALUE("0"),DST_123_ÜRETİM_İHTİYAÇ_RAPORU_BURAK_YENI1309[[#This Row],[SATINALMA]]*DST_123_ÜRETİM_İHTİYAÇ_RAPORU_BURAK_YENI1309[[#This Row],[BIRIM_FIYATLAR]])</f>
        <v>0</v>
      </c>
      <c r="N2695">
        <v>500</v>
      </c>
      <c r="O2695" t="s">
        <v>584</v>
      </c>
      <c r="P2695">
        <v>1000</v>
      </c>
      <c r="Q2695" t="s">
        <v>177</v>
      </c>
    </row>
    <row r="2696" spans="1:17" x14ac:dyDescent="0.25">
      <c r="A2696" t="s">
        <v>1142</v>
      </c>
      <c r="B2696" t="s">
        <v>1056</v>
      </c>
      <c r="C2696" t="s">
        <v>175</v>
      </c>
      <c r="D2696" t="s">
        <v>684</v>
      </c>
      <c r="E2696" t="s">
        <v>685</v>
      </c>
      <c r="F2696">
        <v>1</v>
      </c>
      <c r="G2696" t="s">
        <v>176</v>
      </c>
      <c r="H2696">
        <v>0</v>
      </c>
      <c r="I2696">
        <v>23</v>
      </c>
      <c r="J2696" s="10">
        <v>17</v>
      </c>
      <c r="K2696" s="10">
        <f>SUMIFS(F:F,D:D,DST_123_ÜRETİM_İHTİYAÇ_RAPORU_BURAK_YENI1309[[#This Row],[ALT_KOD]])-(SUMIFS(H:H,D:D,DST_123_ÜRETİM_İHTİYAÇ_RAPORU_BURAK_YENI1309[[#This Row],[ALT_KOD]])+AVERAGEIFS(I:I,D:D,DST_123_ÜRETİM_İHTİYAÇ_RAPORU_BURAK_YENI1309[[#This Row],[ALT_KOD]])+AVERAGEIFS(L:L,D:D,DST_123_ÜRETİM_İHTİYAÇ_RAPORU_BURAK_YENI1309[[#This Row],[ALT_KOD]]))</f>
        <v>-8</v>
      </c>
      <c r="L2696">
        <v>0</v>
      </c>
      <c r="M2696">
        <f>IF((DST_123_ÜRETİM_İHTİYAÇ_RAPORU_BURAK_YENI1309[[#This Row],[SATINALMA]]*DST_123_ÜRETİM_İHTİYAÇ_RAPORU_BURAK_YENI1309[[#This Row],[BIRIM_FIYATLAR]])&lt;1,VALUE("0"),DST_123_ÜRETİM_İHTİYAÇ_RAPORU_BURAK_YENI1309[[#This Row],[SATINALMA]]*DST_123_ÜRETİM_İHTİYAÇ_RAPORU_BURAK_YENI1309[[#This Row],[BIRIM_FIYATLAR]])</f>
        <v>0</v>
      </c>
      <c r="N2696">
        <v>750</v>
      </c>
      <c r="O2696" t="s">
        <v>584</v>
      </c>
      <c r="P2696">
        <v>750</v>
      </c>
      <c r="Q2696" t="s">
        <v>177</v>
      </c>
    </row>
    <row r="2697" spans="1:17" x14ac:dyDescent="0.25">
      <c r="A2697" t="s">
        <v>1143</v>
      </c>
      <c r="B2697" t="s">
        <v>1056</v>
      </c>
      <c r="C2697" t="s">
        <v>175</v>
      </c>
      <c r="D2697" t="s">
        <v>726</v>
      </c>
      <c r="E2697" t="s">
        <v>727</v>
      </c>
      <c r="F2697">
        <v>1</v>
      </c>
      <c r="G2697" t="s">
        <v>176</v>
      </c>
      <c r="H2697">
        <v>0</v>
      </c>
      <c r="I2697">
        <v>3</v>
      </c>
      <c r="J2697" s="10">
        <v>7</v>
      </c>
      <c r="K2697" s="10">
        <f>SUMIFS(F:F,D:D,DST_123_ÜRETİM_İHTİYAÇ_RAPORU_BURAK_YENI1309[[#This Row],[ALT_KOD]])-(SUMIFS(H:H,D:D,DST_123_ÜRETİM_İHTİYAÇ_RAPORU_BURAK_YENI1309[[#This Row],[ALT_KOD]])+AVERAGEIFS(I:I,D:D,DST_123_ÜRETİM_İHTİYAÇ_RAPORU_BURAK_YENI1309[[#This Row],[ALT_KOD]])+AVERAGEIFS(L:L,D:D,DST_123_ÜRETİM_İHTİYAÇ_RAPORU_BURAK_YENI1309[[#This Row],[ALT_KOD]]))</f>
        <v>5</v>
      </c>
      <c r="L2697">
        <v>0</v>
      </c>
      <c r="M2697">
        <f>IF((DST_123_ÜRETİM_İHTİYAÇ_RAPORU_BURAK_YENI1309[[#This Row],[SATINALMA]]*DST_123_ÜRETİM_İHTİYAÇ_RAPORU_BURAK_YENI1309[[#This Row],[BIRIM_FIYATLAR]])&lt;1,VALUE("0"),DST_123_ÜRETİM_İHTİYAÇ_RAPORU_BURAK_YENI1309[[#This Row],[SATINALMA]]*DST_123_ÜRETİM_İHTİYAÇ_RAPORU_BURAK_YENI1309[[#This Row],[BIRIM_FIYATLAR]])</f>
        <v>54497.75</v>
      </c>
      <c r="N2697">
        <v>10899.55</v>
      </c>
      <c r="O2697" t="s">
        <v>634</v>
      </c>
      <c r="P2697">
        <v>10899.55</v>
      </c>
      <c r="Q2697" t="s">
        <v>178</v>
      </c>
    </row>
    <row r="2698" spans="1:17" x14ac:dyDescent="0.25">
      <c r="A2698" t="s">
        <v>1097</v>
      </c>
      <c r="B2698" t="s">
        <v>1055</v>
      </c>
      <c r="C2698" t="s">
        <v>175</v>
      </c>
      <c r="D2698" t="s">
        <v>76</v>
      </c>
      <c r="E2698" t="s">
        <v>77</v>
      </c>
      <c r="F2698">
        <v>3</v>
      </c>
      <c r="G2698" t="s">
        <v>176</v>
      </c>
      <c r="H2698">
        <v>0</v>
      </c>
      <c r="I2698">
        <v>85</v>
      </c>
      <c r="J2698" s="10">
        <v>31</v>
      </c>
      <c r="K2698" s="10">
        <f>SUMIFS(F:F,D:D,DST_123_ÜRETİM_İHTİYAÇ_RAPORU_BURAK_YENI1309[[#This Row],[ALT_KOD]])-(SUMIFS(H:H,D:D,DST_123_ÜRETİM_İHTİYAÇ_RAPORU_BURAK_YENI1309[[#This Row],[ALT_KOD]])+AVERAGEIFS(I:I,D:D,DST_123_ÜRETİM_İHTİYAÇ_RAPORU_BURAK_YENI1309[[#This Row],[ALT_KOD]])+AVERAGEIFS(L:L,D:D,DST_123_ÜRETİM_İHTİYAÇ_RAPORU_BURAK_YENI1309[[#This Row],[ALT_KOD]]))</f>
        <v>-17</v>
      </c>
      <c r="L2698">
        <v>0</v>
      </c>
      <c r="M2698">
        <f>IF((DST_123_ÜRETİM_İHTİYAÇ_RAPORU_BURAK_YENI1309[[#This Row],[SATINALMA]]*DST_123_ÜRETİM_İHTİYAÇ_RAPORU_BURAK_YENI1309[[#This Row],[BIRIM_FIYATLAR]])&lt;1,VALUE("0"),DST_123_ÜRETİM_İHTİYAÇ_RAPORU_BURAK_YENI1309[[#This Row],[SATINALMA]]*DST_123_ÜRETİM_İHTİYAÇ_RAPORU_BURAK_YENI1309[[#This Row],[BIRIM_FIYATLAR]])</f>
        <v>0</v>
      </c>
      <c r="N2698">
        <v>120</v>
      </c>
      <c r="O2698" t="s">
        <v>1152</v>
      </c>
      <c r="P2698">
        <v>360</v>
      </c>
      <c r="Q2698" t="s">
        <v>178</v>
      </c>
    </row>
    <row r="2699" spans="1:17" x14ac:dyDescent="0.25">
      <c r="A2699" t="s">
        <v>1142</v>
      </c>
      <c r="B2699" t="s">
        <v>1056</v>
      </c>
      <c r="C2699" t="s">
        <v>175</v>
      </c>
      <c r="D2699" t="s">
        <v>78</v>
      </c>
      <c r="E2699" t="s">
        <v>79</v>
      </c>
      <c r="F2699">
        <v>3</v>
      </c>
      <c r="G2699" t="s">
        <v>176</v>
      </c>
      <c r="H2699">
        <v>0</v>
      </c>
      <c r="I2699">
        <v>81</v>
      </c>
      <c r="J2699" s="10">
        <v>5</v>
      </c>
      <c r="K2699" s="10">
        <f>SUMIFS(F:F,D:D,DST_123_ÜRETİM_İHTİYAÇ_RAPORU_BURAK_YENI1309[[#This Row],[ALT_KOD]])-(SUMIFS(H:H,D:D,DST_123_ÜRETİM_İHTİYAÇ_RAPORU_BURAK_YENI1309[[#This Row],[ALT_KOD]])+AVERAGEIFS(I:I,D:D,DST_123_ÜRETİM_İHTİYAÇ_RAPORU_BURAK_YENI1309[[#This Row],[ALT_KOD]])+AVERAGEIFS(L:L,D:D,DST_123_ÜRETİM_İHTİYAÇ_RAPORU_BURAK_YENI1309[[#This Row],[ALT_KOD]]))</f>
        <v>-23</v>
      </c>
      <c r="L2699">
        <v>0</v>
      </c>
      <c r="M2699">
        <f>IF((DST_123_ÜRETİM_İHTİYAÇ_RAPORU_BURAK_YENI1309[[#This Row],[SATINALMA]]*DST_123_ÜRETİM_İHTİYAÇ_RAPORU_BURAK_YENI1309[[#This Row],[BIRIM_FIYATLAR]])&lt;1,VALUE("0"),DST_123_ÜRETİM_İHTİYAÇ_RAPORU_BURAK_YENI1309[[#This Row],[SATINALMA]]*DST_123_ÜRETİM_İHTİYAÇ_RAPORU_BURAK_YENI1309[[#This Row],[BIRIM_FIYATLAR]])</f>
        <v>0</v>
      </c>
      <c r="N2699">
        <v>188</v>
      </c>
      <c r="O2699" t="s">
        <v>240</v>
      </c>
      <c r="P2699">
        <v>564</v>
      </c>
      <c r="Q2699" t="s">
        <v>178</v>
      </c>
    </row>
    <row r="2700" spans="1:17" x14ac:dyDescent="0.25">
      <c r="A2700" t="s">
        <v>1150</v>
      </c>
      <c r="B2700" t="s">
        <v>1145</v>
      </c>
      <c r="C2700" t="s">
        <v>175</v>
      </c>
      <c r="D2700" t="s">
        <v>26</v>
      </c>
      <c r="E2700" t="s">
        <v>27</v>
      </c>
      <c r="F2700">
        <v>1</v>
      </c>
      <c r="G2700" t="s">
        <v>176</v>
      </c>
      <c r="H2700">
        <v>0</v>
      </c>
      <c r="I2700">
        <v>24</v>
      </c>
      <c r="J2700" s="10">
        <v>4</v>
      </c>
      <c r="K2700" s="10">
        <f>SUMIFS(F:F,D:D,DST_123_ÜRETİM_İHTİYAÇ_RAPORU_BURAK_YENI1309[[#This Row],[ALT_KOD]])-(SUMIFS(H:H,D:D,DST_123_ÜRETİM_İHTİYAÇ_RAPORU_BURAK_YENI1309[[#This Row],[ALT_KOD]])+AVERAGEIFS(I:I,D:D,DST_123_ÜRETİM_İHTİYAÇ_RAPORU_BURAK_YENI1309[[#This Row],[ALT_KOD]])+AVERAGEIFS(L:L,D:D,DST_123_ÜRETİM_İHTİYAÇ_RAPORU_BURAK_YENI1309[[#This Row],[ALT_KOD]]))</f>
        <v>-17</v>
      </c>
      <c r="L2700">
        <v>0</v>
      </c>
      <c r="M2700">
        <f>IF((DST_123_ÜRETİM_İHTİYAÇ_RAPORU_BURAK_YENI1309[[#This Row],[SATINALMA]]*DST_123_ÜRETİM_İHTİYAÇ_RAPORU_BURAK_YENI1309[[#This Row],[BIRIM_FIYATLAR]])&lt;1,VALUE("0"),DST_123_ÜRETİM_İHTİYAÇ_RAPORU_BURAK_YENI1309[[#This Row],[SATINALMA]]*DST_123_ÜRETİM_İHTİYAÇ_RAPORU_BURAK_YENI1309[[#This Row],[BIRIM_FIYATLAR]])</f>
        <v>0</v>
      </c>
      <c r="N2700">
        <v>625</v>
      </c>
      <c r="O2700" t="s">
        <v>226</v>
      </c>
      <c r="P2700">
        <v>625</v>
      </c>
      <c r="Q2700" t="s">
        <v>180</v>
      </c>
    </row>
    <row r="2701" spans="1:17" x14ac:dyDescent="0.25">
      <c r="A2701" t="s">
        <v>1150</v>
      </c>
      <c r="B2701" t="s">
        <v>1145</v>
      </c>
      <c r="C2701" t="s">
        <v>175</v>
      </c>
      <c r="D2701" t="s">
        <v>726</v>
      </c>
      <c r="E2701" t="s">
        <v>727</v>
      </c>
      <c r="F2701">
        <v>1</v>
      </c>
      <c r="G2701" t="s">
        <v>176</v>
      </c>
      <c r="H2701">
        <v>0</v>
      </c>
      <c r="I2701">
        <v>3</v>
      </c>
      <c r="J2701" s="10">
        <v>7</v>
      </c>
      <c r="K2701" s="10">
        <f>SUMIFS(F:F,D:D,DST_123_ÜRETİM_İHTİYAÇ_RAPORU_BURAK_YENI1309[[#This Row],[ALT_KOD]])-(SUMIFS(H:H,D:D,DST_123_ÜRETİM_İHTİYAÇ_RAPORU_BURAK_YENI1309[[#This Row],[ALT_KOD]])+AVERAGEIFS(I:I,D:D,DST_123_ÜRETİM_İHTİYAÇ_RAPORU_BURAK_YENI1309[[#This Row],[ALT_KOD]])+AVERAGEIFS(L:L,D:D,DST_123_ÜRETİM_İHTİYAÇ_RAPORU_BURAK_YENI1309[[#This Row],[ALT_KOD]]))</f>
        <v>5</v>
      </c>
      <c r="L2701">
        <v>0</v>
      </c>
      <c r="M2701">
        <f>IF((DST_123_ÜRETİM_İHTİYAÇ_RAPORU_BURAK_YENI1309[[#This Row],[SATINALMA]]*DST_123_ÜRETİM_İHTİYAÇ_RAPORU_BURAK_YENI1309[[#This Row],[BIRIM_FIYATLAR]])&lt;1,VALUE("0"),DST_123_ÜRETİM_İHTİYAÇ_RAPORU_BURAK_YENI1309[[#This Row],[SATINALMA]]*DST_123_ÜRETİM_İHTİYAÇ_RAPORU_BURAK_YENI1309[[#This Row],[BIRIM_FIYATLAR]])</f>
        <v>54497.75</v>
      </c>
      <c r="N2701">
        <v>10899.55</v>
      </c>
      <c r="O2701" t="s">
        <v>634</v>
      </c>
      <c r="P2701">
        <v>10899.55</v>
      </c>
      <c r="Q2701" t="s">
        <v>178</v>
      </c>
    </row>
    <row r="2702" spans="1:17" x14ac:dyDescent="0.25">
      <c r="A2702" t="s">
        <v>1149</v>
      </c>
      <c r="B2702" t="s">
        <v>1145</v>
      </c>
      <c r="C2702" t="s">
        <v>175</v>
      </c>
      <c r="D2702" t="s">
        <v>76</v>
      </c>
      <c r="E2702" t="s">
        <v>77</v>
      </c>
      <c r="F2702">
        <v>4</v>
      </c>
      <c r="G2702" t="s">
        <v>176</v>
      </c>
      <c r="H2702">
        <v>0</v>
      </c>
      <c r="I2702">
        <v>85</v>
      </c>
      <c r="J2702" s="10">
        <v>31</v>
      </c>
      <c r="K2702" s="10">
        <f>SUMIFS(F:F,D:D,DST_123_ÜRETİM_İHTİYAÇ_RAPORU_BURAK_YENI1309[[#This Row],[ALT_KOD]])-(SUMIFS(H:H,D:D,DST_123_ÜRETİM_İHTİYAÇ_RAPORU_BURAK_YENI1309[[#This Row],[ALT_KOD]])+AVERAGEIFS(I:I,D:D,DST_123_ÜRETİM_İHTİYAÇ_RAPORU_BURAK_YENI1309[[#This Row],[ALT_KOD]])+AVERAGEIFS(L:L,D:D,DST_123_ÜRETİM_İHTİYAÇ_RAPORU_BURAK_YENI1309[[#This Row],[ALT_KOD]]))</f>
        <v>-17</v>
      </c>
      <c r="L2702">
        <v>0</v>
      </c>
      <c r="M2702">
        <f>IF((DST_123_ÜRETİM_İHTİYAÇ_RAPORU_BURAK_YENI1309[[#This Row],[SATINALMA]]*DST_123_ÜRETİM_İHTİYAÇ_RAPORU_BURAK_YENI1309[[#This Row],[BIRIM_FIYATLAR]])&lt;1,VALUE("0"),DST_123_ÜRETİM_İHTİYAÇ_RAPORU_BURAK_YENI1309[[#This Row],[SATINALMA]]*DST_123_ÜRETİM_İHTİYAÇ_RAPORU_BURAK_YENI1309[[#This Row],[BIRIM_FIYATLAR]])</f>
        <v>0</v>
      </c>
      <c r="N2702">
        <v>120</v>
      </c>
      <c r="O2702" t="s">
        <v>1152</v>
      </c>
      <c r="P2702">
        <v>480</v>
      </c>
      <c r="Q2702" t="s">
        <v>178</v>
      </c>
    </row>
    <row r="2703" spans="1:17" x14ac:dyDescent="0.25">
      <c r="A2703" t="s">
        <v>1146</v>
      </c>
      <c r="B2703" t="s">
        <v>1145</v>
      </c>
      <c r="C2703" t="s">
        <v>175</v>
      </c>
      <c r="D2703" t="s">
        <v>78</v>
      </c>
      <c r="E2703" t="s">
        <v>79</v>
      </c>
      <c r="F2703">
        <v>3</v>
      </c>
      <c r="G2703" t="s">
        <v>176</v>
      </c>
      <c r="H2703">
        <v>0</v>
      </c>
      <c r="I2703">
        <v>81</v>
      </c>
      <c r="J2703" s="10">
        <v>5</v>
      </c>
      <c r="K2703" s="10">
        <f>SUMIFS(F:F,D:D,DST_123_ÜRETİM_İHTİYAÇ_RAPORU_BURAK_YENI1309[[#This Row],[ALT_KOD]])-(SUMIFS(H:H,D:D,DST_123_ÜRETİM_İHTİYAÇ_RAPORU_BURAK_YENI1309[[#This Row],[ALT_KOD]])+AVERAGEIFS(I:I,D:D,DST_123_ÜRETİM_İHTİYAÇ_RAPORU_BURAK_YENI1309[[#This Row],[ALT_KOD]])+AVERAGEIFS(L:L,D:D,DST_123_ÜRETİM_İHTİYAÇ_RAPORU_BURAK_YENI1309[[#This Row],[ALT_KOD]]))</f>
        <v>-23</v>
      </c>
      <c r="L2703">
        <v>0</v>
      </c>
      <c r="M2703">
        <f>IF((DST_123_ÜRETİM_İHTİYAÇ_RAPORU_BURAK_YENI1309[[#This Row],[SATINALMA]]*DST_123_ÜRETİM_İHTİYAÇ_RAPORU_BURAK_YENI1309[[#This Row],[BIRIM_FIYATLAR]])&lt;1,VALUE("0"),DST_123_ÜRETİM_İHTİYAÇ_RAPORU_BURAK_YENI1309[[#This Row],[SATINALMA]]*DST_123_ÜRETİM_İHTİYAÇ_RAPORU_BURAK_YENI1309[[#This Row],[BIRIM_FIYATLAR]])</f>
        <v>0</v>
      </c>
      <c r="N2703">
        <v>188</v>
      </c>
      <c r="O2703" t="s">
        <v>240</v>
      </c>
      <c r="P2703">
        <v>564</v>
      </c>
      <c r="Q2703" t="s">
        <v>178</v>
      </c>
    </row>
    <row r="2704" spans="1:17" x14ac:dyDescent="0.25">
      <c r="A2704" t="s">
        <v>1143</v>
      </c>
      <c r="B2704" t="s">
        <v>1056</v>
      </c>
      <c r="C2704" t="s">
        <v>175</v>
      </c>
      <c r="D2704" t="s">
        <v>684</v>
      </c>
      <c r="E2704" t="s">
        <v>685</v>
      </c>
      <c r="F2704">
        <v>1</v>
      </c>
      <c r="G2704" t="s">
        <v>176</v>
      </c>
      <c r="H2704">
        <v>0</v>
      </c>
      <c r="I2704">
        <v>23</v>
      </c>
      <c r="J2704" s="10">
        <v>17</v>
      </c>
      <c r="K2704" s="10">
        <f>SUMIFS(F:F,D:D,DST_123_ÜRETİM_İHTİYAÇ_RAPORU_BURAK_YENI1309[[#This Row],[ALT_KOD]])-(SUMIFS(H:H,D:D,DST_123_ÜRETİM_İHTİYAÇ_RAPORU_BURAK_YENI1309[[#This Row],[ALT_KOD]])+AVERAGEIFS(I:I,D:D,DST_123_ÜRETİM_İHTİYAÇ_RAPORU_BURAK_YENI1309[[#This Row],[ALT_KOD]])+AVERAGEIFS(L:L,D:D,DST_123_ÜRETİM_İHTİYAÇ_RAPORU_BURAK_YENI1309[[#This Row],[ALT_KOD]]))</f>
        <v>-8</v>
      </c>
      <c r="L2704">
        <v>0</v>
      </c>
      <c r="M2704">
        <f>IF((DST_123_ÜRETİM_İHTİYAÇ_RAPORU_BURAK_YENI1309[[#This Row],[SATINALMA]]*DST_123_ÜRETİM_İHTİYAÇ_RAPORU_BURAK_YENI1309[[#This Row],[BIRIM_FIYATLAR]])&lt;1,VALUE("0"),DST_123_ÜRETİM_İHTİYAÇ_RAPORU_BURAK_YENI1309[[#This Row],[SATINALMA]]*DST_123_ÜRETİM_İHTİYAÇ_RAPORU_BURAK_YENI1309[[#This Row],[BIRIM_FIYATLAR]])</f>
        <v>0</v>
      </c>
      <c r="N2704">
        <v>750</v>
      </c>
      <c r="O2704" t="s">
        <v>584</v>
      </c>
      <c r="P2704">
        <v>750</v>
      </c>
      <c r="Q2704" t="s">
        <v>177</v>
      </c>
    </row>
    <row r="2705" spans="1:17" x14ac:dyDescent="0.25">
      <c r="A2705" t="s">
        <v>1098</v>
      </c>
      <c r="B2705" t="s">
        <v>1096</v>
      </c>
      <c r="C2705" t="s">
        <v>175</v>
      </c>
      <c r="D2705" t="s">
        <v>682</v>
      </c>
      <c r="E2705" t="s">
        <v>683</v>
      </c>
      <c r="F2705">
        <v>2</v>
      </c>
      <c r="G2705" t="s">
        <v>176</v>
      </c>
      <c r="H2705">
        <v>0</v>
      </c>
      <c r="I2705">
        <v>34</v>
      </c>
      <c r="J2705" s="10">
        <v>27</v>
      </c>
      <c r="K2705" s="10">
        <f>SUMIFS(F:F,D:D,DST_123_ÜRETİM_İHTİYAÇ_RAPORU_BURAK_YENI1309[[#This Row],[ALT_KOD]])-(SUMIFS(H:H,D:D,DST_123_ÜRETİM_İHTİYAÇ_RAPORU_BURAK_YENI1309[[#This Row],[ALT_KOD]])+AVERAGEIFS(I:I,D:D,DST_123_ÜRETİM_İHTİYAÇ_RAPORU_BURAK_YENI1309[[#This Row],[ALT_KOD]])+AVERAGEIFS(L:L,D:D,DST_123_ÜRETİM_İHTİYAÇ_RAPORU_BURAK_YENI1309[[#This Row],[ALT_KOD]]))</f>
        <v>-6</v>
      </c>
      <c r="L2705">
        <v>0</v>
      </c>
      <c r="M2705">
        <f>IF((DST_123_ÜRETİM_İHTİYAÇ_RAPORU_BURAK_YENI1309[[#This Row],[SATINALMA]]*DST_123_ÜRETİM_İHTİYAÇ_RAPORU_BURAK_YENI1309[[#This Row],[BIRIM_FIYATLAR]])&lt;1,VALUE("0"),DST_123_ÜRETİM_İHTİYAÇ_RAPORU_BURAK_YENI1309[[#This Row],[SATINALMA]]*DST_123_ÜRETİM_İHTİYAÇ_RAPORU_BURAK_YENI1309[[#This Row],[BIRIM_FIYATLAR]])</f>
        <v>0</v>
      </c>
      <c r="N2705">
        <v>500</v>
      </c>
      <c r="O2705" t="s">
        <v>584</v>
      </c>
      <c r="P2705">
        <v>1000</v>
      </c>
      <c r="Q2705" t="s">
        <v>177</v>
      </c>
    </row>
    <row r="2706" spans="1:17" x14ac:dyDescent="0.25">
      <c r="A2706" t="s">
        <v>1098</v>
      </c>
      <c r="B2706" t="s">
        <v>1096</v>
      </c>
      <c r="C2706" t="s">
        <v>175</v>
      </c>
      <c r="D2706" t="s">
        <v>684</v>
      </c>
      <c r="E2706" t="s">
        <v>685</v>
      </c>
      <c r="F2706">
        <v>1</v>
      </c>
      <c r="G2706" t="s">
        <v>176</v>
      </c>
      <c r="H2706">
        <v>0</v>
      </c>
      <c r="I2706">
        <v>23</v>
      </c>
      <c r="J2706" s="10">
        <v>17</v>
      </c>
      <c r="K2706" s="10">
        <f>SUMIFS(F:F,D:D,DST_123_ÜRETİM_İHTİYAÇ_RAPORU_BURAK_YENI1309[[#This Row],[ALT_KOD]])-(SUMIFS(H:H,D:D,DST_123_ÜRETİM_İHTİYAÇ_RAPORU_BURAK_YENI1309[[#This Row],[ALT_KOD]])+AVERAGEIFS(I:I,D:D,DST_123_ÜRETİM_İHTİYAÇ_RAPORU_BURAK_YENI1309[[#This Row],[ALT_KOD]])+AVERAGEIFS(L:L,D:D,DST_123_ÜRETİM_İHTİYAÇ_RAPORU_BURAK_YENI1309[[#This Row],[ALT_KOD]]))</f>
        <v>-8</v>
      </c>
      <c r="L2706">
        <v>0</v>
      </c>
      <c r="M2706">
        <f>IF((DST_123_ÜRETİM_İHTİYAÇ_RAPORU_BURAK_YENI1309[[#This Row],[SATINALMA]]*DST_123_ÜRETİM_İHTİYAÇ_RAPORU_BURAK_YENI1309[[#This Row],[BIRIM_FIYATLAR]])&lt;1,VALUE("0"),DST_123_ÜRETİM_İHTİYAÇ_RAPORU_BURAK_YENI1309[[#This Row],[SATINALMA]]*DST_123_ÜRETİM_İHTİYAÇ_RAPORU_BURAK_YENI1309[[#This Row],[BIRIM_FIYATLAR]])</f>
        <v>0</v>
      </c>
      <c r="N2706">
        <v>750</v>
      </c>
      <c r="O2706" t="s">
        <v>584</v>
      </c>
      <c r="P2706">
        <v>750</v>
      </c>
      <c r="Q2706" t="s">
        <v>177</v>
      </c>
    </row>
    <row r="2707" spans="1:17" x14ac:dyDescent="0.25">
      <c r="A2707" t="s">
        <v>1196</v>
      </c>
      <c r="B2707" t="s">
        <v>1197</v>
      </c>
      <c r="C2707" t="s">
        <v>175</v>
      </c>
      <c r="D2707" t="s">
        <v>469</v>
      </c>
      <c r="E2707" t="s">
        <v>470</v>
      </c>
      <c r="F2707">
        <v>1</v>
      </c>
      <c r="G2707" t="s">
        <v>176</v>
      </c>
      <c r="H2707">
        <v>0</v>
      </c>
      <c r="I2707">
        <v>39</v>
      </c>
      <c r="J2707" s="10">
        <v>2</v>
      </c>
      <c r="K2707" s="10">
        <f>SUMIFS(F:F,D:D,DST_123_ÜRETİM_İHTİYAÇ_RAPORU_BURAK_YENI1309[[#This Row],[ALT_KOD]])-(SUMIFS(H:H,D:D,DST_123_ÜRETİM_İHTİYAÇ_RAPORU_BURAK_YENI1309[[#This Row],[ALT_KOD]])+AVERAGEIFS(I:I,D:D,DST_123_ÜRETİM_İHTİYAÇ_RAPORU_BURAK_YENI1309[[#This Row],[ALT_KOD]])+AVERAGEIFS(L:L,D:D,DST_123_ÜRETİM_İHTİYAÇ_RAPORU_BURAK_YENI1309[[#This Row],[ALT_KOD]]))</f>
        <v>-19</v>
      </c>
      <c r="L2707">
        <v>0</v>
      </c>
      <c r="M2707">
        <f>IF((DST_123_ÜRETİM_İHTİYAÇ_RAPORU_BURAK_YENI1309[[#This Row],[SATINALMA]]*DST_123_ÜRETİM_İHTİYAÇ_RAPORU_BURAK_YENI1309[[#This Row],[BIRIM_FIYATLAR]])&lt;1,VALUE("0"),DST_123_ÜRETİM_İHTİYAÇ_RAPORU_BURAK_YENI1309[[#This Row],[SATINALMA]]*DST_123_ÜRETİM_İHTİYAÇ_RAPORU_BURAK_YENI1309[[#This Row],[BIRIM_FIYATLAR]])</f>
        <v>0</v>
      </c>
      <c r="N2707">
        <v>65</v>
      </c>
      <c r="O2707" t="s">
        <v>821</v>
      </c>
      <c r="P2707">
        <v>65</v>
      </c>
      <c r="Q2707" t="s">
        <v>178</v>
      </c>
    </row>
    <row r="2708" spans="1:17" x14ac:dyDescent="0.25">
      <c r="A2708" t="s">
        <v>1064</v>
      </c>
      <c r="B2708" t="s">
        <v>1055</v>
      </c>
      <c r="C2708" t="s">
        <v>175</v>
      </c>
      <c r="D2708" t="s">
        <v>469</v>
      </c>
      <c r="E2708" t="s">
        <v>470</v>
      </c>
      <c r="F2708">
        <v>1</v>
      </c>
      <c r="G2708" t="s">
        <v>176</v>
      </c>
      <c r="H2708">
        <v>0</v>
      </c>
      <c r="I2708">
        <v>39</v>
      </c>
      <c r="J2708" s="10">
        <v>2</v>
      </c>
      <c r="K2708" s="10">
        <f>SUMIFS(F:F,D:D,DST_123_ÜRETİM_İHTİYAÇ_RAPORU_BURAK_YENI1309[[#This Row],[ALT_KOD]])-(SUMIFS(H:H,D:D,DST_123_ÜRETİM_İHTİYAÇ_RAPORU_BURAK_YENI1309[[#This Row],[ALT_KOD]])+AVERAGEIFS(I:I,D:D,DST_123_ÜRETİM_İHTİYAÇ_RAPORU_BURAK_YENI1309[[#This Row],[ALT_KOD]])+AVERAGEIFS(L:L,D:D,DST_123_ÜRETİM_İHTİYAÇ_RAPORU_BURAK_YENI1309[[#This Row],[ALT_KOD]]))</f>
        <v>-19</v>
      </c>
      <c r="L2708">
        <v>0</v>
      </c>
      <c r="M2708">
        <f>IF((DST_123_ÜRETİM_İHTİYAÇ_RAPORU_BURAK_YENI1309[[#This Row],[SATINALMA]]*DST_123_ÜRETİM_İHTİYAÇ_RAPORU_BURAK_YENI1309[[#This Row],[BIRIM_FIYATLAR]])&lt;1,VALUE("0"),DST_123_ÜRETİM_İHTİYAÇ_RAPORU_BURAK_YENI1309[[#This Row],[SATINALMA]]*DST_123_ÜRETİM_İHTİYAÇ_RAPORU_BURAK_YENI1309[[#This Row],[BIRIM_FIYATLAR]])</f>
        <v>0</v>
      </c>
      <c r="N2708">
        <v>65</v>
      </c>
      <c r="O2708" t="s">
        <v>821</v>
      </c>
      <c r="P2708">
        <v>65</v>
      </c>
      <c r="Q2708" t="s">
        <v>178</v>
      </c>
    </row>
    <row r="2709" spans="1:17" x14ac:dyDescent="0.25">
      <c r="A2709" t="s">
        <v>1196</v>
      </c>
      <c r="B2709" t="s">
        <v>1197</v>
      </c>
      <c r="C2709" t="s">
        <v>175</v>
      </c>
      <c r="D2709" t="s">
        <v>336</v>
      </c>
      <c r="E2709" t="s">
        <v>623</v>
      </c>
      <c r="F2709">
        <v>1</v>
      </c>
      <c r="G2709" t="s">
        <v>176</v>
      </c>
      <c r="H2709">
        <v>0</v>
      </c>
      <c r="I2709">
        <v>5</v>
      </c>
      <c r="J2709" s="10">
        <v>4</v>
      </c>
      <c r="K2709" s="10">
        <f>SUMIFS(F:F,D:D,DST_123_ÜRETİM_İHTİYAÇ_RAPORU_BURAK_YENI1309[[#This Row],[ALT_KOD]])-(SUMIFS(H:H,D:D,DST_123_ÜRETİM_İHTİYAÇ_RAPORU_BURAK_YENI1309[[#This Row],[ALT_KOD]])+AVERAGEIFS(I:I,D:D,DST_123_ÜRETİM_İHTİYAÇ_RAPORU_BURAK_YENI1309[[#This Row],[ALT_KOD]])+AVERAGEIFS(L:L,D:D,DST_123_ÜRETİM_İHTİYAÇ_RAPORU_BURAK_YENI1309[[#This Row],[ALT_KOD]]))</f>
        <v>2</v>
      </c>
      <c r="L2709">
        <v>0</v>
      </c>
      <c r="M2709">
        <f>IF((DST_123_ÜRETİM_İHTİYAÇ_RAPORU_BURAK_YENI1309[[#This Row],[SATINALMA]]*DST_123_ÜRETİM_İHTİYAÇ_RAPORU_BURAK_YENI1309[[#This Row],[BIRIM_FIYATLAR]])&lt;1,VALUE("0"),DST_123_ÜRETİM_İHTİYAÇ_RAPORU_BURAK_YENI1309[[#This Row],[SATINALMA]]*DST_123_ÜRETİM_İHTİYAÇ_RAPORU_BURAK_YENI1309[[#This Row],[BIRIM_FIYATLAR]])</f>
        <v>3359.06</v>
      </c>
      <c r="N2709">
        <v>1679.53</v>
      </c>
      <c r="O2709" t="s">
        <v>636</v>
      </c>
      <c r="P2709">
        <v>1679.53</v>
      </c>
      <c r="Q2709" t="s">
        <v>178</v>
      </c>
    </row>
    <row r="2710" spans="1:17" x14ac:dyDescent="0.25">
      <c r="A2710" t="s">
        <v>1057</v>
      </c>
      <c r="B2710" t="s">
        <v>1058</v>
      </c>
      <c r="C2710" t="s">
        <v>175</v>
      </c>
      <c r="D2710" t="s">
        <v>23</v>
      </c>
      <c r="E2710" t="s">
        <v>304</v>
      </c>
      <c r="F2710">
        <v>1</v>
      </c>
      <c r="G2710" t="s">
        <v>176</v>
      </c>
      <c r="H2710">
        <v>0</v>
      </c>
      <c r="I2710">
        <v>0</v>
      </c>
      <c r="J2710" s="10">
        <v>7</v>
      </c>
      <c r="K2710" s="10">
        <f>SUMIFS(F:F,D:D,DST_123_ÜRETİM_İHTİYAÇ_RAPORU_BURAK_YENI1309[[#This Row],[ALT_KOD]])-(SUMIFS(H:H,D:D,DST_123_ÜRETİM_İHTİYAÇ_RAPORU_BURAK_YENI1309[[#This Row],[ALT_KOD]])+AVERAGEIFS(I:I,D:D,DST_123_ÜRETİM_İHTİYAÇ_RAPORU_BURAK_YENI1309[[#This Row],[ALT_KOD]])+AVERAGEIFS(L:L,D:D,DST_123_ÜRETİM_İHTİYAÇ_RAPORU_BURAK_YENI1309[[#This Row],[ALT_KOD]]))</f>
        <v>19</v>
      </c>
      <c r="L2710">
        <v>0</v>
      </c>
      <c r="M2710">
        <f>IF((DST_123_ÜRETİM_İHTİYAÇ_RAPORU_BURAK_YENI1309[[#This Row],[SATINALMA]]*DST_123_ÜRETİM_İHTİYAÇ_RAPORU_BURAK_YENI1309[[#This Row],[BIRIM_FIYATLAR]])&lt;1,VALUE("0"),DST_123_ÜRETİM_İHTİYAÇ_RAPORU_BURAK_YENI1309[[#This Row],[SATINALMA]]*DST_123_ÜRETİM_İHTİYAÇ_RAPORU_BURAK_YENI1309[[#This Row],[BIRIM_FIYATLAR]])</f>
        <v>760</v>
      </c>
      <c r="N2710">
        <v>40</v>
      </c>
      <c r="O2710" t="s">
        <v>635</v>
      </c>
      <c r="P2710">
        <v>40</v>
      </c>
      <c r="Q2710" t="s">
        <v>221</v>
      </c>
    </row>
    <row r="2711" spans="1:17" x14ac:dyDescent="0.25">
      <c r="A2711" t="s">
        <v>1100</v>
      </c>
      <c r="B2711" t="s">
        <v>1058</v>
      </c>
      <c r="C2711" t="s">
        <v>175</v>
      </c>
      <c r="D2711" t="s">
        <v>23</v>
      </c>
      <c r="E2711" t="s">
        <v>304</v>
      </c>
      <c r="F2711">
        <v>1</v>
      </c>
      <c r="G2711" t="s">
        <v>176</v>
      </c>
      <c r="H2711">
        <v>0</v>
      </c>
      <c r="I2711">
        <v>0</v>
      </c>
      <c r="J2711" s="10">
        <v>7</v>
      </c>
      <c r="K2711" s="10">
        <f>SUMIFS(F:F,D:D,DST_123_ÜRETİM_İHTİYAÇ_RAPORU_BURAK_YENI1309[[#This Row],[ALT_KOD]])-(SUMIFS(H:H,D:D,DST_123_ÜRETİM_İHTİYAÇ_RAPORU_BURAK_YENI1309[[#This Row],[ALT_KOD]])+AVERAGEIFS(I:I,D:D,DST_123_ÜRETİM_İHTİYAÇ_RAPORU_BURAK_YENI1309[[#This Row],[ALT_KOD]])+AVERAGEIFS(L:L,D:D,DST_123_ÜRETİM_İHTİYAÇ_RAPORU_BURAK_YENI1309[[#This Row],[ALT_KOD]]))</f>
        <v>19</v>
      </c>
      <c r="L2711">
        <v>0</v>
      </c>
      <c r="M2711">
        <f>IF((DST_123_ÜRETİM_İHTİYAÇ_RAPORU_BURAK_YENI1309[[#This Row],[SATINALMA]]*DST_123_ÜRETİM_İHTİYAÇ_RAPORU_BURAK_YENI1309[[#This Row],[BIRIM_FIYATLAR]])&lt;1,VALUE("0"),DST_123_ÜRETİM_İHTİYAÇ_RAPORU_BURAK_YENI1309[[#This Row],[SATINALMA]]*DST_123_ÜRETİM_İHTİYAÇ_RAPORU_BURAK_YENI1309[[#This Row],[BIRIM_FIYATLAR]])</f>
        <v>760</v>
      </c>
      <c r="N2711">
        <v>40</v>
      </c>
      <c r="O2711" t="s">
        <v>635</v>
      </c>
      <c r="P2711">
        <v>40</v>
      </c>
      <c r="Q2711" t="s">
        <v>221</v>
      </c>
    </row>
    <row r="2712" spans="1:17" x14ac:dyDescent="0.25">
      <c r="A2712" t="s">
        <v>1147</v>
      </c>
      <c r="B2712" t="s">
        <v>1145</v>
      </c>
      <c r="C2712" t="s">
        <v>175</v>
      </c>
      <c r="D2712" t="s">
        <v>26</v>
      </c>
      <c r="E2712" t="s">
        <v>27</v>
      </c>
      <c r="F2712">
        <v>1</v>
      </c>
      <c r="G2712" t="s">
        <v>176</v>
      </c>
      <c r="H2712">
        <v>0</v>
      </c>
      <c r="I2712">
        <v>24</v>
      </c>
      <c r="J2712" s="10">
        <v>4</v>
      </c>
      <c r="K2712" s="10">
        <f>SUMIFS(F:F,D:D,DST_123_ÜRETİM_İHTİYAÇ_RAPORU_BURAK_YENI1309[[#This Row],[ALT_KOD]])-(SUMIFS(H:H,D:D,DST_123_ÜRETİM_İHTİYAÇ_RAPORU_BURAK_YENI1309[[#This Row],[ALT_KOD]])+AVERAGEIFS(I:I,D:D,DST_123_ÜRETİM_İHTİYAÇ_RAPORU_BURAK_YENI1309[[#This Row],[ALT_KOD]])+AVERAGEIFS(L:L,D:D,DST_123_ÜRETİM_İHTİYAÇ_RAPORU_BURAK_YENI1309[[#This Row],[ALT_KOD]]))</f>
        <v>-17</v>
      </c>
      <c r="L2712">
        <v>0</v>
      </c>
      <c r="M2712">
        <f>IF((DST_123_ÜRETİM_İHTİYAÇ_RAPORU_BURAK_YENI1309[[#This Row],[SATINALMA]]*DST_123_ÜRETİM_İHTİYAÇ_RAPORU_BURAK_YENI1309[[#This Row],[BIRIM_FIYATLAR]])&lt;1,VALUE("0"),DST_123_ÜRETİM_İHTİYAÇ_RAPORU_BURAK_YENI1309[[#This Row],[SATINALMA]]*DST_123_ÜRETİM_İHTİYAÇ_RAPORU_BURAK_YENI1309[[#This Row],[BIRIM_FIYATLAR]])</f>
        <v>0</v>
      </c>
      <c r="N2712">
        <v>625</v>
      </c>
      <c r="O2712" t="s">
        <v>226</v>
      </c>
      <c r="P2712">
        <v>625</v>
      </c>
      <c r="Q2712" t="s">
        <v>180</v>
      </c>
    </row>
    <row r="2713" spans="1:17" x14ac:dyDescent="0.25">
      <c r="A2713" t="s">
        <v>1147</v>
      </c>
      <c r="B2713" t="s">
        <v>1145</v>
      </c>
      <c r="C2713" t="s">
        <v>175</v>
      </c>
      <c r="D2713" t="s">
        <v>726</v>
      </c>
      <c r="E2713" t="s">
        <v>727</v>
      </c>
      <c r="F2713">
        <v>1</v>
      </c>
      <c r="G2713" t="s">
        <v>176</v>
      </c>
      <c r="H2713">
        <v>0</v>
      </c>
      <c r="I2713">
        <v>3</v>
      </c>
      <c r="J2713" s="10">
        <v>7</v>
      </c>
      <c r="K2713" s="10">
        <f>SUMIFS(F:F,D:D,DST_123_ÜRETİM_İHTİYAÇ_RAPORU_BURAK_YENI1309[[#This Row],[ALT_KOD]])-(SUMIFS(H:H,D:D,DST_123_ÜRETİM_İHTİYAÇ_RAPORU_BURAK_YENI1309[[#This Row],[ALT_KOD]])+AVERAGEIFS(I:I,D:D,DST_123_ÜRETİM_İHTİYAÇ_RAPORU_BURAK_YENI1309[[#This Row],[ALT_KOD]])+AVERAGEIFS(L:L,D:D,DST_123_ÜRETİM_İHTİYAÇ_RAPORU_BURAK_YENI1309[[#This Row],[ALT_KOD]]))</f>
        <v>5</v>
      </c>
      <c r="L2713">
        <v>0</v>
      </c>
      <c r="M2713">
        <f>IF((DST_123_ÜRETİM_İHTİYAÇ_RAPORU_BURAK_YENI1309[[#This Row],[SATINALMA]]*DST_123_ÜRETİM_İHTİYAÇ_RAPORU_BURAK_YENI1309[[#This Row],[BIRIM_FIYATLAR]])&lt;1,VALUE("0"),DST_123_ÜRETİM_İHTİYAÇ_RAPORU_BURAK_YENI1309[[#This Row],[SATINALMA]]*DST_123_ÜRETİM_İHTİYAÇ_RAPORU_BURAK_YENI1309[[#This Row],[BIRIM_FIYATLAR]])</f>
        <v>54497.75</v>
      </c>
      <c r="N2713">
        <v>10899.55</v>
      </c>
      <c r="O2713" t="s">
        <v>634</v>
      </c>
      <c r="P2713">
        <v>10899.55</v>
      </c>
      <c r="Q2713" t="s">
        <v>178</v>
      </c>
    </row>
    <row r="2714" spans="1:17" x14ac:dyDescent="0.25">
      <c r="A2714" t="s">
        <v>1057</v>
      </c>
      <c r="B2714" t="s">
        <v>1058</v>
      </c>
      <c r="C2714" t="s">
        <v>175</v>
      </c>
      <c r="D2714" t="s">
        <v>76</v>
      </c>
      <c r="E2714" t="s">
        <v>77</v>
      </c>
      <c r="F2714">
        <v>4</v>
      </c>
      <c r="G2714" t="s">
        <v>176</v>
      </c>
      <c r="H2714">
        <v>0</v>
      </c>
      <c r="I2714">
        <v>85</v>
      </c>
      <c r="J2714" s="10">
        <v>31</v>
      </c>
      <c r="K2714" s="10">
        <f>SUMIFS(F:F,D:D,DST_123_ÜRETİM_İHTİYAÇ_RAPORU_BURAK_YENI1309[[#This Row],[ALT_KOD]])-(SUMIFS(H:H,D:D,DST_123_ÜRETİM_İHTİYAÇ_RAPORU_BURAK_YENI1309[[#This Row],[ALT_KOD]])+AVERAGEIFS(I:I,D:D,DST_123_ÜRETİM_İHTİYAÇ_RAPORU_BURAK_YENI1309[[#This Row],[ALT_KOD]])+AVERAGEIFS(L:L,D:D,DST_123_ÜRETİM_İHTİYAÇ_RAPORU_BURAK_YENI1309[[#This Row],[ALT_KOD]]))</f>
        <v>-17</v>
      </c>
      <c r="L2714">
        <v>0</v>
      </c>
      <c r="M2714">
        <f>IF((DST_123_ÜRETİM_İHTİYAÇ_RAPORU_BURAK_YENI1309[[#This Row],[SATINALMA]]*DST_123_ÜRETİM_İHTİYAÇ_RAPORU_BURAK_YENI1309[[#This Row],[BIRIM_FIYATLAR]])&lt;1,VALUE("0"),DST_123_ÜRETİM_İHTİYAÇ_RAPORU_BURAK_YENI1309[[#This Row],[SATINALMA]]*DST_123_ÜRETİM_İHTİYAÇ_RAPORU_BURAK_YENI1309[[#This Row],[BIRIM_FIYATLAR]])</f>
        <v>0</v>
      </c>
      <c r="N2714">
        <v>120</v>
      </c>
      <c r="O2714" t="s">
        <v>1152</v>
      </c>
      <c r="P2714">
        <v>480</v>
      </c>
      <c r="Q2714" t="s">
        <v>178</v>
      </c>
    </row>
    <row r="2715" spans="1:17" x14ac:dyDescent="0.25">
      <c r="A2715" t="s">
        <v>1100</v>
      </c>
      <c r="B2715" t="s">
        <v>1058</v>
      </c>
      <c r="C2715" t="s">
        <v>175</v>
      </c>
      <c r="D2715" t="s">
        <v>76</v>
      </c>
      <c r="E2715" t="s">
        <v>77</v>
      </c>
      <c r="F2715">
        <v>4</v>
      </c>
      <c r="G2715" t="s">
        <v>176</v>
      </c>
      <c r="H2715">
        <v>0</v>
      </c>
      <c r="I2715">
        <v>85</v>
      </c>
      <c r="J2715" s="10">
        <v>31</v>
      </c>
      <c r="K2715" s="10">
        <f>SUMIFS(F:F,D:D,DST_123_ÜRETİM_İHTİYAÇ_RAPORU_BURAK_YENI1309[[#This Row],[ALT_KOD]])-(SUMIFS(H:H,D:D,DST_123_ÜRETİM_İHTİYAÇ_RAPORU_BURAK_YENI1309[[#This Row],[ALT_KOD]])+AVERAGEIFS(I:I,D:D,DST_123_ÜRETİM_İHTİYAÇ_RAPORU_BURAK_YENI1309[[#This Row],[ALT_KOD]])+AVERAGEIFS(L:L,D:D,DST_123_ÜRETİM_İHTİYAÇ_RAPORU_BURAK_YENI1309[[#This Row],[ALT_KOD]]))</f>
        <v>-17</v>
      </c>
      <c r="L2715">
        <v>0</v>
      </c>
      <c r="M2715">
        <f>IF((DST_123_ÜRETİM_İHTİYAÇ_RAPORU_BURAK_YENI1309[[#This Row],[SATINALMA]]*DST_123_ÜRETİM_İHTİYAÇ_RAPORU_BURAK_YENI1309[[#This Row],[BIRIM_FIYATLAR]])&lt;1,VALUE("0"),DST_123_ÜRETİM_İHTİYAÇ_RAPORU_BURAK_YENI1309[[#This Row],[SATINALMA]]*DST_123_ÜRETİM_İHTİYAÇ_RAPORU_BURAK_YENI1309[[#This Row],[BIRIM_FIYATLAR]])</f>
        <v>0</v>
      </c>
      <c r="N2715">
        <v>120</v>
      </c>
      <c r="O2715" t="s">
        <v>1152</v>
      </c>
      <c r="P2715">
        <v>480</v>
      </c>
      <c r="Q2715" t="s">
        <v>178</v>
      </c>
    </row>
    <row r="2716" spans="1:17" x14ac:dyDescent="0.25">
      <c r="A2716" t="s">
        <v>1101</v>
      </c>
      <c r="B2716" t="s">
        <v>1102</v>
      </c>
      <c r="C2716" t="s">
        <v>175</v>
      </c>
      <c r="D2716" t="s">
        <v>78</v>
      </c>
      <c r="E2716" t="s">
        <v>79</v>
      </c>
      <c r="F2716">
        <v>3</v>
      </c>
      <c r="G2716" t="s">
        <v>176</v>
      </c>
      <c r="H2716">
        <v>0</v>
      </c>
      <c r="I2716">
        <v>81</v>
      </c>
      <c r="J2716" s="10">
        <v>5</v>
      </c>
      <c r="K2716" s="10">
        <f>SUMIFS(F:F,D:D,DST_123_ÜRETİM_İHTİYAÇ_RAPORU_BURAK_YENI1309[[#This Row],[ALT_KOD]])-(SUMIFS(H:H,D:D,DST_123_ÜRETİM_İHTİYAÇ_RAPORU_BURAK_YENI1309[[#This Row],[ALT_KOD]])+AVERAGEIFS(I:I,D:D,DST_123_ÜRETİM_İHTİYAÇ_RAPORU_BURAK_YENI1309[[#This Row],[ALT_KOD]])+AVERAGEIFS(L:L,D:D,DST_123_ÜRETİM_İHTİYAÇ_RAPORU_BURAK_YENI1309[[#This Row],[ALT_KOD]]))</f>
        <v>-23</v>
      </c>
      <c r="L2716">
        <v>0</v>
      </c>
      <c r="M2716">
        <f>IF((DST_123_ÜRETİM_İHTİYAÇ_RAPORU_BURAK_YENI1309[[#This Row],[SATINALMA]]*DST_123_ÜRETİM_İHTİYAÇ_RAPORU_BURAK_YENI1309[[#This Row],[BIRIM_FIYATLAR]])&lt;1,VALUE("0"),DST_123_ÜRETİM_İHTİYAÇ_RAPORU_BURAK_YENI1309[[#This Row],[SATINALMA]]*DST_123_ÜRETİM_İHTİYAÇ_RAPORU_BURAK_YENI1309[[#This Row],[BIRIM_FIYATLAR]])</f>
        <v>0</v>
      </c>
      <c r="N2716">
        <v>188</v>
      </c>
      <c r="O2716" t="s">
        <v>240</v>
      </c>
      <c r="P2716">
        <v>564</v>
      </c>
      <c r="Q2716" t="s">
        <v>178</v>
      </c>
    </row>
    <row r="2717" spans="1:17" x14ac:dyDescent="0.25">
      <c r="A2717" t="s">
        <v>1147</v>
      </c>
      <c r="B2717" t="s">
        <v>1145</v>
      </c>
      <c r="C2717" t="s">
        <v>175</v>
      </c>
      <c r="D2717" t="s">
        <v>82</v>
      </c>
      <c r="E2717" t="s">
        <v>83</v>
      </c>
      <c r="F2717">
        <v>60</v>
      </c>
      <c r="G2717" t="s">
        <v>182</v>
      </c>
      <c r="H2717">
        <v>0</v>
      </c>
      <c r="I2717">
        <v>0</v>
      </c>
      <c r="J2717" s="10">
        <v>134.67999999999967</v>
      </c>
      <c r="K2717" s="10">
        <f>SUMIFS(F:F,D:D,DST_123_ÜRETİM_İHTİYAÇ_RAPORU_BURAK_YENI1309[[#This Row],[ALT_KOD]])-(SUMIFS(H:H,D:D,DST_123_ÜRETİM_İHTİYAÇ_RAPORU_BURAK_YENI1309[[#This Row],[ALT_KOD]])+AVERAGEIFS(I:I,D:D,DST_123_ÜRETİM_İHTİYAÇ_RAPORU_BURAK_YENI1309[[#This Row],[ALT_KOD]])+AVERAGEIFS(L:L,D:D,DST_123_ÜRETİM_İHTİYAÇ_RAPORU_BURAK_YENI1309[[#This Row],[ALT_KOD]]))</f>
        <v>420</v>
      </c>
      <c r="L2717">
        <v>13</v>
      </c>
      <c r="M2717">
        <f>IF((DST_123_ÜRETİM_İHTİYAÇ_RAPORU_BURAK_YENI1309[[#This Row],[SATINALMA]]*DST_123_ÜRETİM_İHTİYAÇ_RAPORU_BURAK_YENI1309[[#This Row],[BIRIM_FIYATLAR]])&lt;1,VALUE("0"),DST_123_ÜRETİM_İHTİYAÇ_RAPORU_BURAK_YENI1309[[#This Row],[SATINALMA]]*DST_123_ÜRETİM_İHTİYAÇ_RAPORU_BURAK_YENI1309[[#This Row],[BIRIM_FIYATLAR]])</f>
        <v>95886</v>
      </c>
      <c r="N2717">
        <v>228.3</v>
      </c>
      <c r="O2717" t="s">
        <v>223</v>
      </c>
      <c r="P2717">
        <v>13698</v>
      </c>
      <c r="Q2717" t="s">
        <v>181</v>
      </c>
    </row>
    <row r="2718" spans="1:17" x14ac:dyDescent="0.25">
      <c r="A2718" t="s">
        <v>1100</v>
      </c>
      <c r="B2718" t="s">
        <v>1058</v>
      </c>
      <c r="C2718" t="s">
        <v>175</v>
      </c>
      <c r="D2718" t="s">
        <v>82</v>
      </c>
      <c r="E2718" t="s">
        <v>83</v>
      </c>
      <c r="F2718">
        <v>41.5</v>
      </c>
      <c r="G2718" t="s">
        <v>182</v>
      </c>
      <c r="H2718">
        <v>41.5</v>
      </c>
      <c r="I2718">
        <v>0</v>
      </c>
      <c r="J2718" s="10">
        <v>134.67999999999967</v>
      </c>
      <c r="K2718" s="10">
        <f>SUMIFS(F:F,D:D,DST_123_ÜRETİM_İHTİYAÇ_RAPORU_BURAK_YENI1309[[#This Row],[ALT_KOD]])-(SUMIFS(H:H,D:D,DST_123_ÜRETİM_İHTİYAÇ_RAPORU_BURAK_YENI1309[[#This Row],[ALT_KOD]])+AVERAGEIFS(I:I,D:D,DST_123_ÜRETİM_İHTİYAÇ_RAPORU_BURAK_YENI1309[[#This Row],[ALT_KOD]])+AVERAGEIFS(L:L,D:D,DST_123_ÜRETİM_İHTİYAÇ_RAPORU_BURAK_YENI1309[[#This Row],[ALT_KOD]]))</f>
        <v>420</v>
      </c>
      <c r="L2718">
        <v>13</v>
      </c>
      <c r="M2718">
        <f>IF((DST_123_ÜRETİM_İHTİYAÇ_RAPORU_BURAK_YENI1309[[#This Row],[SATINALMA]]*DST_123_ÜRETİM_İHTİYAÇ_RAPORU_BURAK_YENI1309[[#This Row],[BIRIM_FIYATLAR]])&lt;1,VALUE("0"),DST_123_ÜRETİM_İHTİYAÇ_RAPORU_BURAK_YENI1309[[#This Row],[SATINALMA]]*DST_123_ÜRETİM_İHTİYAÇ_RAPORU_BURAK_YENI1309[[#This Row],[BIRIM_FIYATLAR]])</f>
        <v>95886</v>
      </c>
      <c r="N2718">
        <v>228.3</v>
      </c>
      <c r="O2718" t="s">
        <v>223</v>
      </c>
      <c r="P2718">
        <v>9474.4500000000007</v>
      </c>
      <c r="Q2718" t="s">
        <v>181</v>
      </c>
    </row>
    <row r="2719" spans="1:17" x14ac:dyDescent="0.25">
      <c r="A2719" t="s">
        <v>1100</v>
      </c>
      <c r="B2719" t="s">
        <v>1058</v>
      </c>
      <c r="C2719" t="s">
        <v>175</v>
      </c>
      <c r="D2719" t="s">
        <v>1025</v>
      </c>
      <c r="E2719" t="s">
        <v>1026</v>
      </c>
      <c r="F2719">
        <v>8</v>
      </c>
      <c r="G2719" t="s">
        <v>176</v>
      </c>
      <c r="H2719">
        <v>0</v>
      </c>
      <c r="I2719">
        <v>0</v>
      </c>
      <c r="J2719" s="10">
        <v>0</v>
      </c>
      <c r="K2719" s="10">
        <f>SUMIFS(F:F,D:D,DST_123_ÜRETİM_İHTİYAÇ_RAPORU_BURAK_YENI1309[[#This Row],[ALT_KOD]])-(SUMIFS(H:H,D:D,DST_123_ÜRETİM_İHTİYAÇ_RAPORU_BURAK_YENI1309[[#This Row],[ALT_KOD]])+AVERAGEIFS(I:I,D:D,DST_123_ÜRETİM_İHTİYAÇ_RAPORU_BURAK_YENI1309[[#This Row],[ALT_KOD]])+AVERAGEIFS(L:L,D:D,DST_123_ÜRETİM_İHTİYAÇ_RAPORU_BURAK_YENI1309[[#This Row],[ALT_KOD]]))</f>
        <v>16</v>
      </c>
      <c r="L2719">
        <v>0</v>
      </c>
      <c r="M2719">
        <f>IF((DST_123_ÜRETİM_İHTİYAÇ_RAPORU_BURAK_YENI1309[[#This Row],[SATINALMA]]*DST_123_ÜRETİM_İHTİYAÇ_RAPORU_BURAK_YENI1309[[#This Row],[BIRIM_FIYATLAR]])&lt;1,VALUE("0"),DST_123_ÜRETİM_İHTİYAÇ_RAPORU_BURAK_YENI1309[[#This Row],[SATINALMA]]*DST_123_ÜRETİM_İHTİYAÇ_RAPORU_BURAK_YENI1309[[#This Row],[BIRIM_FIYATLAR]])</f>
        <v>5.6</v>
      </c>
      <c r="N2719">
        <v>0.35</v>
      </c>
      <c r="O2719" t="s">
        <v>216</v>
      </c>
      <c r="P2719">
        <v>2.8</v>
      </c>
      <c r="Q2719" t="s">
        <v>180</v>
      </c>
    </row>
    <row r="2720" spans="1:17" x14ac:dyDescent="0.25">
      <c r="A2720" t="s">
        <v>1057</v>
      </c>
      <c r="B2720" t="s">
        <v>1058</v>
      </c>
      <c r="C2720" t="s">
        <v>175</v>
      </c>
      <c r="D2720" t="s">
        <v>682</v>
      </c>
      <c r="E2720" t="s">
        <v>683</v>
      </c>
      <c r="F2720">
        <v>1</v>
      </c>
      <c r="G2720" t="s">
        <v>176</v>
      </c>
      <c r="H2720">
        <v>0</v>
      </c>
      <c r="I2720">
        <v>34</v>
      </c>
      <c r="J2720" s="10">
        <v>27</v>
      </c>
      <c r="K2720" s="10">
        <f>SUMIFS(F:F,D:D,DST_123_ÜRETİM_İHTİYAÇ_RAPORU_BURAK_YENI1309[[#This Row],[ALT_KOD]])-(SUMIFS(H:H,D:D,DST_123_ÜRETİM_İHTİYAÇ_RAPORU_BURAK_YENI1309[[#This Row],[ALT_KOD]])+AVERAGEIFS(I:I,D:D,DST_123_ÜRETİM_İHTİYAÇ_RAPORU_BURAK_YENI1309[[#This Row],[ALT_KOD]])+AVERAGEIFS(L:L,D:D,DST_123_ÜRETİM_İHTİYAÇ_RAPORU_BURAK_YENI1309[[#This Row],[ALT_KOD]]))</f>
        <v>-6</v>
      </c>
      <c r="L2720">
        <v>0</v>
      </c>
      <c r="M2720">
        <f>IF((DST_123_ÜRETİM_İHTİYAÇ_RAPORU_BURAK_YENI1309[[#This Row],[SATINALMA]]*DST_123_ÜRETİM_İHTİYAÇ_RAPORU_BURAK_YENI1309[[#This Row],[BIRIM_FIYATLAR]])&lt;1,VALUE("0"),DST_123_ÜRETİM_İHTİYAÇ_RAPORU_BURAK_YENI1309[[#This Row],[SATINALMA]]*DST_123_ÜRETİM_İHTİYAÇ_RAPORU_BURAK_YENI1309[[#This Row],[BIRIM_FIYATLAR]])</f>
        <v>0</v>
      </c>
      <c r="N2720">
        <v>500</v>
      </c>
      <c r="O2720" t="s">
        <v>584</v>
      </c>
      <c r="P2720">
        <v>500</v>
      </c>
      <c r="Q2720" t="s">
        <v>177</v>
      </c>
    </row>
    <row r="2721" spans="1:17" x14ac:dyDescent="0.25">
      <c r="A2721" t="s">
        <v>1100</v>
      </c>
      <c r="B2721" t="s">
        <v>1058</v>
      </c>
      <c r="C2721" t="s">
        <v>175</v>
      </c>
      <c r="D2721" t="s">
        <v>682</v>
      </c>
      <c r="E2721" t="s">
        <v>683</v>
      </c>
      <c r="F2721">
        <v>2</v>
      </c>
      <c r="G2721" t="s">
        <v>176</v>
      </c>
      <c r="H2721">
        <v>0</v>
      </c>
      <c r="I2721">
        <v>34</v>
      </c>
      <c r="J2721" s="10">
        <v>27</v>
      </c>
      <c r="K2721" s="10">
        <f>SUMIFS(F:F,D:D,DST_123_ÜRETİM_İHTİYAÇ_RAPORU_BURAK_YENI1309[[#This Row],[ALT_KOD]])-(SUMIFS(H:H,D:D,DST_123_ÜRETİM_İHTİYAÇ_RAPORU_BURAK_YENI1309[[#This Row],[ALT_KOD]])+AVERAGEIFS(I:I,D:D,DST_123_ÜRETİM_İHTİYAÇ_RAPORU_BURAK_YENI1309[[#This Row],[ALT_KOD]])+AVERAGEIFS(L:L,D:D,DST_123_ÜRETİM_İHTİYAÇ_RAPORU_BURAK_YENI1309[[#This Row],[ALT_KOD]]))</f>
        <v>-6</v>
      </c>
      <c r="L2721">
        <v>0</v>
      </c>
      <c r="M2721">
        <f>IF((DST_123_ÜRETİM_İHTİYAÇ_RAPORU_BURAK_YENI1309[[#This Row],[SATINALMA]]*DST_123_ÜRETİM_İHTİYAÇ_RAPORU_BURAK_YENI1309[[#This Row],[BIRIM_FIYATLAR]])&lt;1,VALUE("0"),DST_123_ÜRETİM_İHTİYAÇ_RAPORU_BURAK_YENI1309[[#This Row],[SATINALMA]]*DST_123_ÜRETİM_İHTİYAÇ_RAPORU_BURAK_YENI1309[[#This Row],[BIRIM_FIYATLAR]])</f>
        <v>0</v>
      </c>
      <c r="N2721">
        <v>500</v>
      </c>
      <c r="O2721" t="s">
        <v>584</v>
      </c>
      <c r="P2721">
        <v>1000</v>
      </c>
      <c r="Q2721" t="s">
        <v>177</v>
      </c>
    </row>
    <row r="2722" spans="1:17" x14ac:dyDescent="0.25">
      <c r="A2722" t="s">
        <v>1057</v>
      </c>
      <c r="B2722" t="s">
        <v>1058</v>
      </c>
      <c r="C2722" t="s">
        <v>175</v>
      </c>
      <c r="D2722" t="s">
        <v>684</v>
      </c>
      <c r="E2722" t="s">
        <v>685</v>
      </c>
      <c r="F2722">
        <v>1</v>
      </c>
      <c r="G2722" t="s">
        <v>176</v>
      </c>
      <c r="H2722">
        <v>0</v>
      </c>
      <c r="I2722">
        <v>23</v>
      </c>
      <c r="J2722" s="10">
        <v>17</v>
      </c>
      <c r="K2722" s="10">
        <f>SUMIFS(F:F,D:D,DST_123_ÜRETİM_İHTİYAÇ_RAPORU_BURAK_YENI1309[[#This Row],[ALT_KOD]])-(SUMIFS(H:H,D:D,DST_123_ÜRETİM_İHTİYAÇ_RAPORU_BURAK_YENI1309[[#This Row],[ALT_KOD]])+AVERAGEIFS(I:I,D:D,DST_123_ÜRETİM_İHTİYAÇ_RAPORU_BURAK_YENI1309[[#This Row],[ALT_KOD]])+AVERAGEIFS(L:L,D:D,DST_123_ÜRETİM_İHTİYAÇ_RAPORU_BURAK_YENI1309[[#This Row],[ALT_KOD]]))</f>
        <v>-8</v>
      </c>
      <c r="L2722">
        <v>0</v>
      </c>
      <c r="M2722">
        <f>IF((DST_123_ÜRETİM_İHTİYAÇ_RAPORU_BURAK_YENI1309[[#This Row],[SATINALMA]]*DST_123_ÜRETİM_İHTİYAÇ_RAPORU_BURAK_YENI1309[[#This Row],[BIRIM_FIYATLAR]])&lt;1,VALUE("0"),DST_123_ÜRETİM_İHTİYAÇ_RAPORU_BURAK_YENI1309[[#This Row],[SATINALMA]]*DST_123_ÜRETİM_İHTİYAÇ_RAPORU_BURAK_YENI1309[[#This Row],[BIRIM_FIYATLAR]])</f>
        <v>0</v>
      </c>
      <c r="N2722">
        <v>750</v>
      </c>
      <c r="O2722" t="s">
        <v>584</v>
      </c>
      <c r="P2722">
        <v>750</v>
      </c>
      <c r="Q2722" t="s">
        <v>177</v>
      </c>
    </row>
    <row r="2723" spans="1:17" x14ac:dyDescent="0.25">
      <c r="A2723" t="s">
        <v>1147</v>
      </c>
      <c r="B2723" t="s">
        <v>1145</v>
      </c>
      <c r="C2723" t="s">
        <v>175</v>
      </c>
      <c r="D2723" t="s">
        <v>469</v>
      </c>
      <c r="E2723" t="s">
        <v>470</v>
      </c>
      <c r="F2723">
        <v>1</v>
      </c>
      <c r="G2723" t="s">
        <v>176</v>
      </c>
      <c r="H2723">
        <v>0</v>
      </c>
      <c r="I2723">
        <v>39</v>
      </c>
      <c r="J2723" s="10">
        <v>2</v>
      </c>
      <c r="K2723" s="10">
        <f>SUMIFS(F:F,D:D,DST_123_ÜRETİM_İHTİYAÇ_RAPORU_BURAK_YENI1309[[#This Row],[ALT_KOD]])-(SUMIFS(H:H,D:D,DST_123_ÜRETİM_İHTİYAÇ_RAPORU_BURAK_YENI1309[[#This Row],[ALT_KOD]])+AVERAGEIFS(I:I,D:D,DST_123_ÜRETİM_İHTİYAÇ_RAPORU_BURAK_YENI1309[[#This Row],[ALT_KOD]])+AVERAGEIFS(L:L,D:D,DST_123_ÜRETİM_İHTİYAÇ_RAPORU_BURAK_YENI1309[[#This Row],[ALT_KOD]]))</f>
        <v>-19</v>
      </c>
      <c r="L2723">
        <v>0</v>
      </c>
      <c r="M2723">
        <f>IF((DST_123_ÜRETİM_İHTİYAÇ_RAPORU_BURAK_YENI1309[[#This Row],[SATINALMA]]*DST_123_ÜRETİM_İHTİYAÇ_RAPORU_BURAK_YENI1309[[#This Row],[BIRIM_FIYATLAR]])&lt;1,VALUE("0"),DST_123_ÜRETİM_İHTİYAÇ_RAPORU_BURAK_YENI1309[[#This Row],[SATINALMA]]*DST_123_ÜRETİM_İHTİYAÇ_RAPORU_BURAK_YENI1309[[#This Row],[BIRIM_FIYATLAR]])</f>
        <v>0</v>
      </c>
      <c r="N2723">
        <v>65</v>
      </c>
      <c r="O2723" t="s">
        <v>821</v>
      </c>
      <c r="P2723">
        <v>65</v>
      </c>
      <c r="Q2723" t="s">
        <v>178</v>
      </c>
    </row>
    <row r="2724" spans="1:17" x14ac:dyDescent="0.25">
      <c r="A2724" t="s">
        <v>1149</v>
      </c>
      <c r="B2724" t="s">
        <v>1145</v>
      </c>
      <c r="C2724" t="s">
        <v>175</v>
      </c>
      <c r="D2724" t="s">
        <v>82</v>
      </c>
      <c r="E2724" t="s">
        <v>83</v>
      </c>
      <c r="F2724">
        <v>60</v>
      </c>
      <c r="G2724" t="s">
        <v>182</v>
      </c>
      <c r="H2724">
        <v>0</v>
      </c>
      <c r="I2724">
        <v>0</v>
      </c>
      <c r="J2724" s="10">
        <v>134.67999999999967</v>
      </c>
      <c r="K2724" s="10">
        <f>SUMIFS(F:F,D:D,DST_123_ÜRETİM_İHTİYAÇ_RAPORU_BURAK_YENI1309[[#This Row],[ALT_KOD]])-(SUMIFS(H:H,D:D,DST_123_ÜRETİM_İHTİYAÇ_RAPORU_BURAK_YENI1309[[#This Row],[ALT_KOD]])+AVERAGEIFS(I:I,D:D,DST_123_ÜRETİM_İHTİYAÇ_RAPORU_BURAK_YENI1309[[#This Row],[ALT_KOD]])+AVERAGEIFS(L:L,D:D,DST_123_ÜRETİM_İHTİYAÇ_RAPORU_BURAK_YENI1309[[#This Row],[ALT_KOD]]))</f>
        <v>420</v>
      </c>
      <c r="L2724">
        <v>13</v>
      </c>
      <c r="M2724">
        <f>IF((DST_123_ÜRETİM_İHTİYAÇ_RAPORU_BURAK_YENI1309[[#This Row],[SATINALMA]]*DST_123_ÜRETİM_İHTİYAÇ_RAPORU_BURAK_YENI1309[[#This Row],[BIRIM_FIYATLAR]])&lt;1,VALUE("0"),DST_123_ÜRETİM_İHTİYAÇ_RAPORU_BURAK_YENI1309[[#This Row],[SATINALMA]]*DST_123_ÜRETİM_İHTİYAÇ_RAPORU_BURAK_YENI1309[[#This Row],[BIRIM_FIYATLAR]])</f>
        <v>95886</v>
      </c>
      <c r="N2724">
        <v>228.3</v>
      </c>
      <c r="O2724" t="s">
        <v>223</v>
      </c>
      <c r="P2724">
        <v>13698</v>
      </c>
      <c r="Q2724" t="s">
        <v>181</v>
      </c>
    </row>
    <row r="2725" spans="1:17" x14ac:dyDescent="0.25">
      <c r="A2725" t="s">
        <v>1144</v>
      </c>
      <c r="B2725" t="s">
        <v>1145</v>
      </c>
      <c r="C2725" t="s">
        <v>175</v>
      </c>
      <c r="D2725" t="s">
        <v>682</v>
      </c>
      <c r="E2725" t="s">
        <v>683</v>
      </c>
      <c r="F2725">
        <v>2</v>
      </c>
      <c r="G2725" t="s">
        <v>176</v>
      </c>
      <c r="H2725">
        <v>0</v>
      </c>
      <c r="I2725">
        <v>34</v>
      </c>
      <c r="J2725" s="10">
        <v>27</v>
      </c>
      <c r="K2725" s="10">
        <f>SUMIFS(F:F,D:D,DST_123_ÜRETİM_İHTİYAÇ_RAPORU_BURAK_YENI1309[[#This Row],[ALT_KOD]])-(SUMIFS(H:H,D:D,DST_123_ÜRETİM_İHTİYAÇ_RAPORU_BURAK_YENI1309[[#This Row],[ALT_KOD]])+AVERAGEIFS(I:I,D:D,DST_123_ÜRETİM_İHTİYAÇ_RAPORU_BURAK_YENI1309[[#This Row],[ALT_KOD]])+AVERAGEIFS(L:L,D:D,DST_123_ÜRETİM_İHTİYAÇ_RAPORU_BURAK_YENI1309[[#This Row],[ALT_KOD]]))</f>
        <v>-6</v>
      </c>
      <c r="L2725">
        <v>0</v>
      </c>
      <c r="M2725">
        <f>IF((DST_123_ÜRETİM_İHTİYAÇ_RAPORU_BURAK_YENI1309[[#This Row],[SATINALMA]]*DST_123_ÜRETİM_İHTİYAÇ_RAPORU_BURAK_YENI1309[[#This Row],[BIRIM_FIYATLAR]])&lt;1,VALUE("0"),DST_123_ÜRETİM_İHTİYAÇ_RAPORU_BURAK_YENI1309[[#This Row],[SATINALMA]]*DST_123_ÜRETİM_İHTİYAÇ_RAPORU_BURAK_YENI1309[[#This Row],[BIRIM_FIYATLAR]])</f>
        <v>0</v>
      </c>
      <c r="N2725">
        <v>500</v>
      </c>
      <c r="O2725" t="s">
        <v>584</v>
      </c>
      <c r="P2725">
        <v>1000</v>
      </c>
      <c r="Q2725" t="s">
        <v>177</v>
      </c>
    </row>
    <row r="2726" spans="1:17" x14ac:dyDescent="0.25">
      <c r="A2726" t="s">
        <v>1146</v>
      </c>
      <c r="B2726" t="s">
        <v>1145</v>
      </c>
      <c r="C2726" t="s">
        <v>175</v>
      </c>
      <c r="D2726" t="s">
        <v>682</v>
      </c>
      <c r="E2726" t="s">
        <v>683</v>
      </c>
      <c r="F2726">
        <v>2</v>
      </c>
      <c r="G2726" t="s">
        <v>176</v>
      </c>
      <c r="H2726">
        <v>0</v>
      </c>
      <c r="I2726">
        <v>34</v>
      </c>
      <c r="J2726" s="10">
        <v>27</v>
      </c>
      <c r="K2726" s="10">
        <f>SUMIFS(F:F,D:D,DST_123_ÜRETİM_İHTİYAÇ_RAPORU_BURAK_YENI1309[[#This Row],[ALT_KOD]])-(SUMIFS(H:H,D:D,DST_123_ÜRETİM_İHTİYAÇ_RAPORU_BURAK_YENI1309[[#This Row],[ALT_KOD]])+AVERAGEIFS(I:I,D:D,DST_123_ÜRETİM_İHTİYAÇ_RAPORU_BURAK_YENI1309[[#This Row],[ALT_KOD]])+AVERAGEIFS(L:L,D:D,DST_123_ÜRETİM_İHTİYAÇ_RAPORU_BURAK_YENI1309[[#This Row],[ALT_KOD]]))</f>
        <v>-6</v>
      </c>
      <c r="L2726">
        <v>0</v>
      </c>
      <c r="M2726">
        <f>IF((DST_123_ÜRETİM_İHTİYAÇ_RAPORU_BURAK_YENI1309[[#This Row],[SATINALMA]]*DST_123_ÜRETİM_İHTİYAÇ_RAPORU_BURAK_YENI1309[[#This Row],[BIRIM_FIYATLAR]])&lt;1,VALUE("0"),DST_123_ÜRETİM_İHTİYAÇ_RAPORU_BURAK_YENI1309[[#This Row],[SATINALMA]]*DST_123_ÜRETİM_İHTİYAÇ_RAPORU_BURAK_YENI1309[[#This Row],[BIRIM_FIYATLAR]])</f>
        <v>0</v>
      </c>
      <c r="N2726">
        <v>500</v>
      </c>
      <c r="O2726" t="s">
        <v>584</v>
      </c>
      <c r="P2726">
        <v>1000</v>
      </c>
      <c r="Q2726" t="s">
        <v>177</v>
      </c>
    </row>
    <row r="2727" spans="1:17" x14ac:dyDescent="0.25">
      <c r="A2727" t="s">
        <v>1142</v>
      </c>
      <c r="B2727" t="s">
        <v>1056</v>
      </c>
      <c r="C2727" t="s">
        <v>175</v>
      </c>
      <c r="D2727" t="s">
        <v>293</v>
      </c>
      <c r="E2727" t="s">
        <v>323</v>
      </c>
      <c r="F2727">
        <v>7.0000000000000007E-2</v>
      </c>
      <c r="G2727" t="s">
        <v>185</v>
      </c>
      <c r="H2727">
        <v>0</v>
      </c>
      <c r="I2727">
        <v>2.5</v>
      </c>
      <c r="J2727" s="10">
        <v>-4.9960036108132044E-16</v>
      </c>
      <c r="K2727" s="10">
        <f>SUMIFS(F:F,D:D,DST_123_ÜRETİM_İHTİYAÇ_RAPORU_BURAK_YENI1309[[#This Row],[ALT_KOD]])-(SUMIFS(H:H,D:D,DST_123_ÜRETİM_İHTİYAÇ_RAPORU_BURAK_YENI1309[[#This Row],[ALT_KOD]])+AVERAGEIFS(I:I,D:D,DST_123_ÜRETİM_İHTİYAÇ_RAPORU_BURAK_YENI1309[[#This Row],[ALT_KOD]])+AVERAGEIFS(L:L,D:D,DST_123_ÜRETİM_İHTİYAÇ_RAPORU_BURAK_YENI1309[[#This Row],[ALT_KOD]]))</f>
        <v>-0.61999999999999922</v>
      </c>
      <c r="L2727">
        <v>0</v>
      </c>
      <c r="M2727">
        <f>IF((DST_123_ÜRETİM_İHTİYAÇ_RAPORU_BURAK_YENI1309[[#This Row],[SATINALMA]]*DST_123_ÜRETİM_İHTİYAÇ_RAPORU_BURAK_YENI1309[[#This Row],[BIRIM_FIYATLAR]])&lt;1,VALUE("0"),DST_123_ÜRETİM_İHTİYAÇ_RAPORU_BURAK_YENI1309[[#This Row],[SATINALMA]]*DST_123_ÜRETİM_İHTİYAÇ_RAPORU_BURAK_YENI1309[[#This Row],[BIRIM_FIYATLAR]])</f>
        <v>0</v>
      </c>
      <c r="N2727">
        <v>2400</v>
      </c>
      <c r="O2727" t="s">
        <v>220</v>
      </c>
      <c r="P2727">
        <v>168.00000000000003</v>
      </c>
      <c r="Q2727" t="s">
        <v>180</v>
      </c>
    </row>
    <row r="2728" spans="1:17" x14ac:dyDescent="0.25">
      <c r="A2728" t="s">
        <v>1098</v>
      </c>
      <c r="B2728" t="s">
        <v>1096</v>
      </c>
      <c r="C2728" t="s">
        <v>175</v>
      </c>
      <c r="D2728" t="s">
        <v>153</v>
      </c>
      <c r="E2728" t="s">
        <v>154</v>
      </c>
      <c r="F2728">
        <v>4</v>
      </c>
      <c r="G2728" t="s">
        <v>176</v>
      </c>
      <c r="H2728">
        <v>0</v>
      </c>
      <c r="I2728">
        <v>46</v>
      </c>
      <c r="J2728" s="10">
        <v>26</v>
      </c>
      <c r="K2728" s="10">
        <f>SUMIFS(F:F,D:D,DST_123_ÜRETİM_İHTİYAÇ_RAPORU_BURAK_YENI1309[[#This Row],[ALT_KOD]])-(SUMIFS(H:H,D:D,DST_123_ÜRETİM_İHTİYAÇ_RAPORU_BURAK_YENI1309[[#This Row],[ALT_KOD]])+AVERAGEIFS(I:I,D:D,DST_123_ÜRETİM_İHTİYAÇ_RAPORU_BURAK_YENI1309[[#This Row],[ALT_KOD]])+AVERAGEIFS(L:L,D:D,DST_123_ÜRETİM_İHTİYAÇ_RAPORU_BURAK_YENI1309[[#This Row],[ALT_KOD]]))</f>
        <v>-24</v>
      </c>
      <c r="L2728">
        <v>0</v>
      </c>
      <c r="M2728">
        <f>IF((DST_123_ÜRETİM_İHTİYAÇ_RAPORU_BURAK_YENI1309[[#This Row],[SATINALMA]]*DST_123_ÜRETİM_İHTİYAÇ_RAPORU_BURAK_YENI1309[[#This Row],[BIRIM_FIYATLAR]])&lt;1,VALUE("0"),DST_123_ÜRETİM_İHTİYAÇ_RAPORU_BURAK_YENI1309[[#This Row],[SATINALMA]]*DST_123_ÜRETİM_İHTİYAÇ_RAPORU_BURAK_YENI1309[[#This Row],[BIRIM_FIYATLAR]])</f>
        <v>0</v>
      </c>
      <c r="N2728">
        <v>199.45</v>
      </c>
      <c r="O2728" t="s">
        <v>275</v>
      </c>
      <c r="P2728">
        <v>797.8</v>
      </c>
      <c r="Q2728" t="s">
        <v>180</v>
      </c>
    </row>
    <row r="2729" spans="1:17" x14ac:dyDescent="0.25">
      <c r="A2729" t="s">
        <v>1060</v>
      </c>
      <c r="B2729" t="s">
        <v>1061</v>
      </c>
      <c r="C2729" t="s">
        <v>175</v>
      </c>
      <c r="D2729" t="s">
        <v>207</v>
      </c>
      <c r="E2729" t="s">
        <v>281</v>
      </c>
      <c r="F2729">
        <v>2.5</v>
      </c>
      <c r="G2729" t="s">
        <v>176</v>
      </c>
      <c r="H2729">
        <v>2.5</v>
      </c>
      <c r="I2729">
        <v>52</v>
      </c>
      <c r="J2729" s="10">
        <v>10.269999999999982</v>
      </c>
      <c r="K2729" s="10">
        <f>SUMIFS(F:F,D:D,DST_123_ÜRETİM_İHTİYAÇ_RAPORU_BURAK_YENI1309[[#This Row],[ALT_KOD]])-(SUMIFS(H:H,D:D,DST_123_ÜRETİM_İHTİYAÇ_RAPORU_BURAK_YENI1309[[#This Row],[ALT_KOD]])+AVERAGEIFS(I:I,D:D,DST_123_ÜRETİM_İHTİYAÇ_RAPORU_BURAK_YENI1309[[#This Row],[ALT_KOD]])+AVERAGEIFS(L:L,D:D,DST_123_ÜRETİM_İHTİYAÇ_RAPORU_BURAK_YENI1309[[#This Row],[ALT_KOD]]))</f>
        <v>-5.0300000000000011</v>
      </c>
      <c r="L2729">
        <v>0</v>
      </c>
      <c r="M2729">
        <f>IF((DST_123_ÜRETİM_İHTİYAÇ_RAPORU_BURAK_YENI1309[[#This Row],[SATINALMA]]*DST_123_ÜRETİM_İHTİYAÇ_RAPORU_BURAK_YENI1309[[#This Row],[BIRIM_FIYATLAR]])&lt;1,VALUE("0"),DST_123_ÜRETİM_İHTİYAÇ_RAPORU_BURAK_YENI1309[[#This Row],[SATINALMA]]*DST_123_ÜRETİM_İHTİYAÇ_RAPORU_BURAK_YENI1309[[#This Row],[BIRIM_FIYATLAR]])</f>
        <v>0</v>
      </c>
      <c r="N2729">
        <v>28</v>
      </c>
      <c r="O2729" t="s">
        <v>240</v>
      </c>
      <c r="P2729">
        <v>70</v>
      </c>
      <c r="Q2729" t="s">
        <v>180</v>
      </c>
    </row>
    <row r="2730" spans="1:17" x14ac:dyDescent="0.25">
      <c r="A2730" t="s">
        <v>1101</v>
      </c>
      <c r="B2730" t="s">
        <v>1102</v>
      </c>
      <c r="C2730" t="s">
        <v>175</v>
      </c>
      <c r="D2730" t="s">
        <v>207</v>
      </c>
      <c r="E2730" t="s">
        <v>281</v>
      </c>
      <c r="F2730">
        <v>3.92</v>
      </c>
      <c r="G2730" t="s">
        <v>176</v>
      </c>
      <c r="H2730">
        <v>0</v>
      </c>
      <c r="I2730">
        <v>52</v>
      </c>
      <c r="J2730" s="10">
        <v>10.269999999999982</v>
      </c>
      <c r="K2730" s="10">
        <f>SUMIFS(F:F,D:D,DST_123_ÜRETİM_İHTİYAÇ_RAPORU_BURAK_YENI1309[[#This Row],[ALT_KOD]])-(SUMIFS(H:H,D:D,DST_123_ÜRETİM_İHTİYAÇ_RAPORU_BURAK_YENI1309[[#This Row],[ALT_KOD]])+AVERAGEIFS(I:I,D:D,DST_123_ÜRETİM_İHTİYAÇ_RAPORU_BURAK_YENI1309[[#This Row],[ALT_KOD]])+AVERAGEIFS(L:L,D:D,DST_123_ÜRETİM_İHTİYAÇ_RAPORU_BURAK_YENI1309[[#This Row],[ALT_KOD]]))</f>
        <v>-5.0300000000000011</v>
      </c>
      <c r="L2730">
        <v>0</v>
      </c>
      <c r="M2730">
        <f>IF((DST_123_ÜRETİM_İHTİYAÇ_RAPORU_BURAK_YENI1309[[#This Row],[SATINALMA]]*DST_123_ÜRETİM_İHTİYAÇ_RAPORU_BURAK_YENI1309[[#This Row],[BIRIM_FIYATLAR]])&lt;1,VALUE("0"),DST_123_ÜRETİM_İHTİYAÇ_RAPORU_BURAK_YENI1309[[#This Row],[SATINALMA]]*DST_123_ÜRETİM_İHTİYAÇ_RAPORU_BURAK_YENI1309[[#This Row],[BIRIM_FIYATLAR]])</f>
        <v>0</v>
      </c>
      <c r="N2730">
        <v>28</v>
      </c>
      <c r="O2730" t="s">
        <v>240</v>
      </c>
      <c r="P2730">
        <v>109.75999999999999</v>
      </c>
      <c r="Q2730" t="s">
        <v>180</v>
      </c>
    </row>
    <row r="2731" spans="1:17" x14ac:dyDescent="0.25">
      <c r="A2731" t="s">
        <v>1057</v>
      </c>
      <c r="B2731" t="s">
        <v>1058</v>
      </c>
      <c r="C2731" t="s">
        <v>175</v>
      </c>
      <c r="D2731" t="s">
        <v>282</v>
      </c>
      <c r="E2731" t="s">
        <v>283</v>
      </c>
      <c r="F2731">
        <v>1</v>
      </c>
      <c r="G2731" t="s">
        <v>176</v>
      </c>
      <c r="H2731">
        <v>0</v>
      </c>
      <c r="I2731">
        <v>104</v>
      </c>
      <c r="J2731" s="10">
        <v>-3.5527136788005009E-15</v>
      </c>
      <c r="K2731" s="10">
        <f>SUMIFS(F:F,D:D,DST_123_ÜRETİM_İHTİYAÇ_RAPORU_BURAK_YENI1309[[#This Row],[ALT_KOD]])-(SUMIFS(H:H,D:D,DST_123_ÜRETİM_İHTİYAÇ_RAPORU_BURAK_YENI1309[[#This Row],[ALT_KOD]])+AVERAGEIFS(I:I,D:D,DST_123_ÜRETİM_İHTİYAÇ_RAPORU_BURAK_YENI1309[[#This Row],[ALT_KOD]])+AVERAGEIFS(L:L,D:D,DST_123_ÜRETİM_İHTİYAÇ_RAPORU_BURAK_YENI1309[[#This Row],[ALT_KOD]]))</f>
        <v>-81.349999999999994</v>
      </c>
      <c r="L2731">
        <v>0</v>
      </c>
      <c r="M2731">
        <f>IF((DST_123_ÜRETİM_İHTİYAÇ_RAPORU_BURAK_YENI1309[[#This Row],[SATINALMA]]*DST_123_ÜRETİM_İHTİYAÇ_RAPORU_BURAK_YENI1309[[#This Row],[BIRIM_FIYATLAR]])&lt;1,VALUE("0"),DST_123_ÜRETİM_İHTİYAÇ_RAPORU_BURAK_YENI1309[[#This Row],[SATINALMA]]*DST_123_ÜRETİM_İHTİYAÇ_RAPORU_BURAK_YENI1309[[#This Row],[BIRIM_FIYATLAR]])</f>
        <v>0</v>
      </c>
      <c r="N2731">
        <v>22</v>
      </c>
      <c r="O2731" t="s">
        <v>240</v>
      </c>
      <c r="P2731">
        <v>22</v>
      </c>
      <c r="Q2731" t="s">
        <v>180</v>
      </c>
    </row>
    <row r="2732" spans="1:17" x14ac:dyDescent="0.25">
      <c r="A2732" t="s">
        <v>1101</v>
      </c>
      <c r="B2732" t="s">
        <v>1102</v>
      </c>
      <c r="C2732" t="s">
        <v>175</v>
      </c>
      <c r="D2732" t="s">
        <v>282</v>
      </c>
      <c r="E2732" t="s">
        <v>283</v>
      </c>
      <c r="F2732">
        <v>1.46</v>
      </c>
      <c r="G2732" t="s">
        <v>176</v>
      </c>
      <c r="H2732">
        <v>0</v>
      </c>
      <c r="I2732">
        <v>104</v>
      </c>
      <c r="J2732" s="10">
        <v>-3.5527136788005009E-15</v>
      </c>
      <c r="K2732" s="10">
        <f>SUMIFS(F:F,D:D,DST_123_ÜRETİM_İHTİYAÇ_RAPORU_BURAK_YENI1309[[#This Row],[ALT_KOD]])-(SUMIFS(H:H,D:D,DST_123_ÜRETİM_İHTİYAÇ_RAPORU_BURAK_YENI1309[[#This Row],[ALT_KOD]])+AVERAGEIFS(I:I,D:D,DST_123_ÜRETİM_İHTİYAÇ_RAPORU_BURAK_YENI1309[[#This Row],[ALT_KOD]])+AVERAGEIFS(L:L,D:D,DST_123_ÜRETİM_İHTİYAÇ_RAPORU_BURAK_YENI1309[[#This Row],[ALT_KOD]]))</f>
        <v>-81.349999999999994</v>
      </c>
      <c r="L2732">
        <v>0</v>
      </c>
      <c r="M2732">
        <f>IF((DST_123_ÜRETİM_İHTİYAÇ_RAPORU_BURAK_YENI1309[[#This Row],[SATINALMA]]*DST_123_ÜRETİM_İHTİYAÇ_RAPORU_BURAK_YENI1309[[#This Row],[BIRIM_FIYATLAR]])&lt;1,VALUE("0"),DST_123_ÜRETİM_İHTİYAÇ_RAPORU_BURAK_YENI1309[[#This Row],[SATINALMA]]*DST_123_ÜRETİM_İHTİYAÇ_RAPORU_BURAK_YENI1309[[#This Row],[BIRIM_FIYATLAR]])</f>
        <v>0</v>
      </c>
      <c r="N2732">
        <v>22</v>
      </c>
      <c r="O2732" t="s">
        <v>240</v>
      </c>
      <c r="P2732">
        <v>32.119999999999997</v>
      </c>
      <c r="Q2732" t="s">
        <v>180</v>
      </c>
    </row>
    <row r="2733" spans="1:17" x14ac:dyDescent="0.25">
      <c r="A2733" t="s">
        <v>1060</v>
      </c>
      <c r="B2733" t="s">
        <v>1061</v>
      </c>
      <c r="C2733" t="s">
        <v>175</v>
      </c>
      <c r="D2733" t="s">
        <v>24</v>
      </c>
      <c r="E2733" t="s">
        <v>25</v>
      </c>
      <c r="F2733">
        <v>2</v>
      </c>
      <c r="G2733" t="s">
        <v>176</v>
      </c>
      <c r="H2733">
        <v>0</v>
      </c>
      <c r="I2733">
        <v>30</v>
      </c>
      <c r="J2733" s="10">
        <v>20</v>
      </c>
      <c r="K2733" s="10">
        <f>SUMIFS(F:F,D:D,DST_123_ÜRETİM_İHTİYAÇ_RAPORU_BURAK_YENI1309[[#This Row],[ALT_KOD]])-(SUMIFS(H:H,D:D,DST_123_ÜRETİM_İHTİYAÇ_RAPORU_BURAK_YENI1309[[#This Row],[ALT_KOD]])+AVERAGEIFS(I:I,D:D,DST_123_ÜRETİM_İHTİYAÇ_RAPORU_BURAK_YENI1309[[#This Row],[ALT_KOD]])+AVERAGEIFS(L:L,D:D,DST_123_ÜRETİM_İHTİYAÇ_RAPORU_BURAK_YENI1309[[#This Row],[ALT_KOD]]))</f>
        <v>-7</v>
      </c>
      <c r="L2733">
        <v>0</v>
      </c>
      <c r="M2733">
        <f>IF((DST_123_ÜRETİM_İHTİYAÇ_RAPORU_BURAK_YENI1309[[#This Row],[SATINALMA]]*DST_123_ÜRETİM_İHTİYAÇ_RAPORU_BURAK_YENI1309[[#This Row],[BIRIM_FIYATLAR]])&lt;1,VALUE("0"),DST_123_ÜRETİM_İHTİYAÇ_RAPORU_BURAK_YENI1309[[#This Row],[SATINALMA]]*DST_123_ÜRETİM_İHTİYAÇ_RAPORU_BURAK_YENI1309[[#This Row],[BIRIM_FIYATLAR]])</f>
        <v>0</v>
      </c>
      <c r="N2733">
        <v>62.5</v>
      </c>
      <c r="O2733" t="s">
        <v>628</v>
      </c>
      <c r="P2733">
        <v>125</v>
      </c>
      <c r="Q2733" t="s">
        <v>180</v>
      </c>
    </row>
    <row r="2734" spans="1:17" x14ac:dyDescent="0.25">
      <c r="A2734" t="s">
        <v>1057</v>
      </c>
      <c r="B2734" t="s">
        <v>1058</v>
      </c>
      <c r="C2734" t="s">
        <v>175</v>
      </c>
      <c r="D2734" t="s">
        <v>24</v>
      </c>
      <c r="E2734" t="s">
        <v>25</v>
      </c>
      <c r="F2734">
        <v>1</v>
      </c>
      <c r="G2734" t="s">
        <v>176</v>
      </c>
      <c r="H2734">
        <v>0</v>
      </c>
      <c r="I2734">
        <v>30</v>
      </c>
      <c r="J2734" s="10">
        <v>20</v>
      </c>
      <c r="K2734" s="10">
        <f>SUMIFS(F:F,D:D,DST_123_ÜRETİM_İHTİYAÇ_RAPORU_BURAK_YENI1309[[#This Row],[ALT_KOD]])-(SUMIFS(H:H,D:D,DST_123_ÜRETİM_İHTİYAÇ_RAPORU_BURAK_YENI1309[[#This Row],[ALT_KOD]])+AVERAGEIFS(I:I,D:D,DST_123_ÜRETİM_İHTİYAÇ_RAPORU_BURAK_YENI1309[[#This Row],[ALT_KOD]])+AVERAGEIFS(L:L,D:D,DST_123_ÜRETİM_İHTİYAÇ_RAPORU_BURAK_YENI1309[[#This Row],[ALT_KOD]]))</f>
        <v>-7</v>
      </c>
      <c r="L2734">
        <v>0</v>
      </c>
      <c r="M2734">
        <f>IF((DST_123_ÜRETİM_İHTİYAÇ_RAPORU_BURAK_YENI1309[[#This Row],[SATINALMA]]*DST_123_ÜRETİM_İHTİYAÇ_RAPORU_BURAK_YENI1309[[#This Row],[BIRIM_FIYATLAR]])&lt;1,VALUE("0"),DST_123_ÜRETİM_İHTİYAÇ_RAPORU_BURAK_YENI1309[[#This Row],[SATINALMA]]*DST_123_ÜRETİM_İHTİYAÇ_RAPORU_BURAK_YENI1309[[#This Row],[BIRIM_FIYATLAR]])</f>
        <v>0</v>
      </c>
      <c r="N2734">
        <v>62.5</v>
      </c>
      <c r="O2734" t="s">
        <v>628</v>
      </c>
      <c r="P2734">
        <v>62.5</v>
      </c>
      <c r="Q2734" t="s">
        <v>180</v>
      </c>
    </row>
    <row r="2735" spans="1:17" x14ac:dyDescent="0.25">
      <c r="A2735" t="s">
        <v>1101</v>
      </c>
      <c r="B2735" t="s">
        <v>1102</v>
      </c>
      <c r="C2735" t="s">
        <v>175</v>
      </c>
      <c r="D2735" t="s">
        <v>24</v>
      </c>
      <c r="E2735" t="s">
        <v>25</v>
      </c>
      <c r="F2735">
        <v>1</v>
      </c>
      <c r="G2735" t="s">
        <v>176</v>
      </c>
      <c r="H2735">
        <v>0</v>
      </c>
      <c r="I2735">
        <v>30</v>
      </c>
      <c r="J2735" s="10">
        <v>20</v>
      </c>
      <c r="K2735" s="10">
        <f>SUMIFS(F:F,D:D,DST_123_ÜRETİM_İHTİYAÇ_RAPORU_BURAK_YENI1309[[#This Row],[ALT_KOD]])-(SUMIFS(H:H,D:D,DST_123_ÜRETİM_İHTİYAÇ_RAPORU_BURAK_YENI1309[[#This Row],[ALT_KOD]])+AVERAGEIFS(I:I,D:D,DST_123_ÜRETİM_İHTİYAÇ_RAPORU_BURAK_YENI1309[[#This Row],[ALT_KOD]])+AVERAGEIFS(L:L,D:D,DST_123_ÜRETİM_İHTİYAÇ_RAPORU_BURAK_YENI1309[[#This Row],[ALT_KOD]]))</f>
        <v>-7</v>
      </c>
      <c r="L2735">
        <v>0</v>
      </c>
      <c r="M2735">
        <f>IF((DST_123_ÜRETİM_İHTİYAÇ_RAPORU_BURAK_YENI1309[[#This Row],[SATINALMA]]*DST_123_ÜRETİM_İHTİYAÇ_RAPORU_BURAK_YENI1309[[#This Row],[BIRIM_FIYATLAR]])&lt;1,VALUE("0"),DST_123_ÜRETİM_İHTİYAÇ_RAPORU_BURAK_YENI1309[[#This Row],[SATINALMA]]*DST_123_ÜRETİM_İHTİYAÇ_RAPORU_BURAK_YENI1309[[#This Row],[BIRIM_FIYATLAR]])</f>
        <v>0</v>
      </c>
      <c r="N2735">
        <v>62.5</v>
      </c>
      <c r="O2735" t="s">
        <v>628</v>
      </c>
      <c r="P2735">
        <v>62.5</v>
      </c>
      <c r="Q2735" t="s">
        <v>180</v>
      </c>
    </row>
    <row r="2736" spans="1:17" x14ac:dyDescent="0.25">
      <c r="A2736" t="s">
        <v>1064</v>
      </c>
      <c r="B2736" t="s">
        <v>1055</v>
      </c>
      <c r="C2736" t="s">
        <v>175</v>
      </c>
      <c r="D2736" t="s">
        <v>293</v>
      </c>
      <c r="E2736" t="s">
        <v>323</v>
      </c>
      <c r="F2736">
        <v>0.3</v>
      </c>
      <c r="G2736" t="s">
        <v>185</v>
      </c>
      <c r="H2736">
        <v>0</v>
      </c>
      <c r="I2736">
        <v>2.5</v>
      </c>
      <c r="J2736" s="10">
        <v>-4.9960036108132044E-16</v>
      </c>
      <c r="K2736" s="10">
        <f>SUMIFS(F:F,D:D,DST_123_ÜRETİM_İHTİYAÇ_RAPORU_BURAK_YENI1309[[#This Row],[ALT_KOD]])-(SUMIFS(H:H,D:D,DST_123_ÜRETİM_İHTİYAÇ_RAPORU_BURAK_YENI1309[[#This Row],[ALT_KOD]])+AVERAGEIFS(I:I,D:D,DST_123_ÜRETİM_İHTİYAÇ_RAPORU_BURAK_YENI1309[[#This Row],[ALT_KOD]])+AVERAGEIFS(L:L,D:D,DST_123_ÜRETİM_İHTİYAÇ_RAPORU_BURAK_YENI1309[[#This Row],[ALT_KOD]]))</f>
        <v>-0.61999999999999922</v>
      </c>
      <c r="L2736">
        <v>0</v>
      </c>
      <c r="M2736">
        <f>IF((DST_123_ÜRETİM_İHTİYAÇ_RAPORU_BURAK_YENI1309[[#This Row],[SATINALMA]]*DST_123_ÜRETİM_İHTİYAÇ_RAPORU_BURAK_YENI1309[[#This Row],[BIRIM_FIYATLAR]])&lt;1,VALUE("0"),DST_123_ÜRETİM_İHTİYAÇ_RAPORU_BURAK_YENI1309[[#This Row],[SATINALMA]]*DST_123_ÜRETİM_İHTİYAÇ_RAPORU_BURAK_YENI1309[[#This Row],[BIRIM_FIYATLAR]])</f>
        <v>0</v>
      </c>
      <c r="N2736">
        <v>2400</v>
      </c>
      <c r="O2736" t="s">
        <v>220</v>
      </c>
      <c r="P2736">
        <v>720</v>
      </c>
      <c r="Q2736" t="s">
        <v>180</v>
      </c>
    </row>
    <row r="2737" spans="1:17" x14ac:dyDescent="0.25">
      <c r="A2737" t="s">
        <v>1196</v>
      </c>
      <c r="B2737" t="s">
        <v>1197</v>
      </c>
      <c r="C2737" t="s">
        <v>175</v>
      </c>
      <c r="D2737" t="s">
        <v>293</v>
      </c>
      <c r="E2737" t="s">
        <v>323</v>
      </c>
      <c r="F2737">
        <v>7.0000000000000007E-2</v>
      </c>
      <c r="G2737" t="s">
        <v>185</v>
      </c>
      <c r="H2737">
        <v>0</v>
      </c>
      <c r="I2737">
        <v>2.5</v>
      </c>
      <c r="J2737" s="10">
        <v>-4.9960036108132044E-16</v>
      </c>
      <c r="K2737" s="10">
        <f>SUMIFS(F:F,D:D,DST_123_ÜRETİM_İHTİYAÇ_RAPORU_BURAK_YENI1309[[#This Row],[ALT_KOD]])-(SUMIFS(H:H,D:D,DST_123_ÜRETİM_İHTİYAÇ_RAPORU_BURAK_YENI1309[[#This Row],[ALT_KOD]])+AVERAGEIFS(I:I,D:D,DST_123_ÜRETİM_İHTİYAÇ_RAPORU_BURAK_YENI1309[[#This Row],[ALT_KOD]])+AVERAGEIFS(L:L,D:D,DST_123_ÜRETİM_İHTİYAÇ_RAPORU_BURAK_YENI1309[[#This Row],[ALT_KOD]]))</f>
        <v>-0.61999999999999922</v>
      </c>
      <c r="L2737">
        <v>0</v>
      </c>
      <c r="M2737">
        <f>IF((DST_123_ÜRETİM_İHTİYAÇ_RAPORU_BURAK_YENI1309[[#This Row],[SATINALMA]]*DST_123_ÜRETİM_İHTİYAÇ_RAPORU_BURAK_YENI1309[[#This Row],[BIRIM_FIYATLAR]])&lt;1,VALUE("0"),DST_123_ÜRETİM_İHTİYAÇ_RAPORU_BURAK_YENI1309[[#This Row],[SATINALMA]]*DST_123_ÜRETİM_İHTİYAÇ_RAPORU_BURAK_YENI1309[[#This Row],[BIRIM_FIYATLAR]])</f>
        <v>0</v>
      </c>
      <c r="N2737">
        <v>2400</v>
      </c>
      <c r="O2737" t="s">
        <v>220</v>
      </c>
      <c r="P2737">
        <v>168.00000000000003</v>
      </c>
      <c r="Q2737" t="s">
        <v>180</v>
      </c>
    </row>
    <row r="2738" spans="1:17" x14ac:dyDescent="0.25">
      <c r="A2738" t="s">
        <v>1099</v>
      </c>
      <c r="B2738" t="s">
        <v>1055</v>
      </c>
      <c r="C2738" t="s">
        <v>175</v>
      </c>
      <c r="D2738" t="s">
        <v>293</v>
      </c>
      <c r="E2738" t="s">
        <v>323</v>
      </c>
      <c r="F2738">
        <v>0.09</v>
      </c>
      <c r="G2738" t="s">
        <v>185</v>
      </c>
      <c r="H2738">
        <v>0</v>
      </c>
      <c r="I2738">
        <v>2.5</v>
      </c>
      <c r="J2738" s="10">
        <v>-4.9960036108132044E-16</v>
      </c>
      <c r="K2738" s="10">
        <f>SUMIFS(F:F,D:D,DST_123_ÜRETİM_İHTİYAÇ_RAPORU_BURAK_YENI1309[[#This Row],[ALT_KOD]])-(SUMIFS(H:H,D:D,DST_123_ÜRETİM_İHTİYAÇ_RAPORU_BURAK_YENI1309[[#This Row],[ALT_KOD]])+AVERAGEIFS(I:I,D:D,DST_123_ÜRETİM_İHTİYAÇ_RAPORU_BURAK_YENI1309[[#This Row],[ALT_KOD]])+AVERAGEIFS(L:L,D:D,DST_123_ÜRETİM_İHTİYAÇ_RAPORU_BURAK_YENI1309[[#This Row],[ALT_KOD]]))</f>
        <v>-0.61999999999999922</v>
      </c>
      <c r="L2738">
        <v>0</v>
      </c>
      <c r="M2738">
        <f>IF((DST_123_ÜRETİM_İHTİYAÇ_RAPORU_BURAK_YENI1309[[#This Row],[SATINALMA]]*DST_123_ÜRETİM_İHTİYAÇ_RAPORU_BURAK_YENI1309[[#This Row],[BIRIM_FIYATLAR]])&lt;1,VALUE("0"),DST_123_ÜRETİM_İHTİYAÇ_RAPORU_BURAK_YENI1309[[#This Row],[SATINALMA]]*DST_123_ÜRETİM_İHTİYAÇ_RAPORU_BURAK_YENI1309[[#This Row],[BIRIM_FIYATLAR]])</f>
        <v>0</v>
      </c>
      <c r="N2738">
        <v>2400</v>
      </c>
      <c r="O2738" t="s">
        <v>220</v>
      </c>
      <c r="P2738">
        <v>216</v>
      </c>
      <c r="Q2738" t="s">
        <v>180</v>
      </c>
    </row>
    <row r="2739" spans="1:17" x14ac:dyDescent="0.25">
      <c r="A2739" t="s">
        <v>1064</v>
      </c>
      <c r="B2739" t="s">
        <v>1055</v>
      </c>
      <c r="C2739" t="s">
        <v>175</v>
      </c>
      <c r="D2739" t="s">
        <v>471</v>
      </c>
      <c r="E2739" t="s">
        <v>472</v>
      </c>
      <c r="F2739">
        <v>16</v>
      </c>
      <c r="G2739" t="s">
        <v>176</v>
      </c>
      <c r="H2739">
        <v>0</v>
      </c>
      <c r="I2739">
        <v>200</v>
      </c>
      <c r="J2739" s="10">
        <v>343</v>
      </c>
      <c r="K2739" s="10">
        <f>SUMIFS(F:F,D:D,DST_123_ÜRETİM_İHTİYAÇ_RAPORU_BURAK_YENI1309[[#This Row],[ALT_KOD]])-(SUMIFS(H:H,D:D,DST_123_ÜRETİM_İHTİYAÇ_RAPORU_BURAK_YENI1309[[#This Row],[ALT_KOD]])+AVERAGEIFS(I:I,D:D,DST_123_ÜRETİM_İHTİYAÇ_RAPORU_BURAK_YENI1309[[#This Row],[ALT_KOD]])+AVERAGEIFS(L:L,D:D,DST_123_ÜRETİM_İHTİYAÇ_RAPORU_BURAK_YENI1309[[#This Row],[ALT_KOD]]))</f>
        <v>-8</v>
      </c>
      <c r="L2739">
        <v>0</v>
      </c>
      <c r="M2739">
        <f>IF((DST_123_ÜRETİM_İHTİYAÇ_RAPORU_BURAK_YENI1309[[#This Row],[SATINALMA]]*DST_123_ÜRETİM_İHTİYAÇ_RAPORU_BURAK_YENI1309[[#This Row],[BIRIM_FIYATLAR]])&lt;1,VALUE("0"),DST_123_ÜRETİM_İHTİYAÇ_RAPORU_BURAK_YENI1309[[#This Row],[SATINALMA]]*DST_123_ÜRETİM_İHTİYAÇ_RAPORU_BURAK_YENI1309[[#This Row],[BIRIM_FIYATLAR]])</f>
        <v>0</v>
      </c>
      <c r="N2739">
        <v>9</v>
      </c>
      <c r="O2739" t="s">
        <v>240</v>
      </c>
      <c r="P2739">
        <v>144</v>
      </c>
      <c r="Q2739" t="s">
        <v>180</v>
      </c>
    </row>
    <row r="2740" spans="1:17" x14ac:dyDescent="0.25">
      <c r="A2740" t="s">
        <v>1147</v>
      </c>
      <c r="B2740" t="s">
        <v>1145</v>
      </c>
      <c r="C2740" t="s">
        <v>175</v>
      </c>
      <c r="D2740" t="s">
        <v>207</v>
      </c>
      <c r="E2740" t="s">
        <v>281</v>
      </c>
      <c r="F2740">
        <v>2.5</v>
      </c>
      <c r="G2740" t="s">
        <v>176</v>
      </c>
      <c r="H2740">
        <v>0</v>
      </c>
      <c r="I2740">
        <v>52</v>
      </c>
      <c r="J2740" s="10">
        <v>10.269999999999982</v>
      </c>
      <c r="K2740" s="10">
        <f>SUMIFS(F:F,D:D,DST_123_ÜRETİM_İHTİYAÇ_RAPORU_BURAK_YENI1309[[#This Row],[ALT_KOD]])-(SUMIFS(H:H,D:D,DST_123_ÜRETİM_İHTİYAÇ_RAPORU_BURAK_YENI1309[[#This Row],[ALT_KOD]])+AVERAGEIFS(I:I,D:D,DST_123_ÜRETİM_İHTİYAÇ_RAPORU_BURAK_YENI1309[[#This Row],[ALT_KOD]])+AVERAGEIFS(L:L,D:D,DST_123_ÜRETİM_İHTİYAÇ_RAPORU_BURAK_YENI1309[[#This Row],[ALT_KOD]]))</f>
        <v>-5.0300000000000011</v>
      </c>
      <c r="L2740">
        <v>0</v>
      </c>
      <c r="M2740">
        <f>IF((DST_123_ÜRETİM_İHTİYAÇ_RAPORU_BURAK_YENI1309[[#This Row],[SATINALMA]]*DST_123_ÜRETİM_İHTİYAÇ_RAPORU_BURAK_YENI1309[[#This Row],[BIRIM_FIYATLAR]])&lt;1,VALUE("0"),DST_123_ÜRETİM_İHTİYAÇ_RAPORU_BURAK_YENI1309[[#This Row],[SATINALMA]]*DST_123_ÜRETİM_İHTİYAÇ_RAPORU_BURAK_YENI1309[[#This Row],[BIRIM_FIYATLAR]])</f>
        <v>0</v>
      </c>
      <c r="N2740">
        <v>28</v>
      </c>
      <c r="O2740" t="s">
        <v>240</v>
      </c>
      <c r="P2740">
        <v>70</v>
      </c>
      <c r="Q2740" t="s">
        <v>180</v>
      </c>
    </row>
    <row r="2741" spans="1:17" x14ac:dyDescent="0.25">
      <c r="A2741" t="s">
        <v>1143</v>
      </c>
      <c r="B2741" t="s">
        <v>1056</v>
      </c>
      <c r="C2741" t="s">
        <v>175</v>
      </c>
      <c r="D2741" t="s">
        <v>153</v>
      </c>
      <c r="E2741" t="s">
        <v>154</v>
      </c>
      <c r="F2741">
        <v>10</v>
      </c>
      <c r="G2741" t="s">
        <v>176</v>
      </c>
      <c r="H2741">
        <v>0</v>
      </c>
      <c r="I2741">
        <v>46</v>
      </c>
      <c r="J2741" s="10">
        <v>26</v>
      </c>
      <c r="K2741" s="10">
        <f>SUMIFS(F:F,D:D,DST_123_ÜRETİM_İHTİYAÇ_RAPORU_BURAK_YENI1309[[#This Row],[ALT_KOD]])-(SUMIFS(H:H,D:D,DST_123_ÜRETİM_İHTİYAÇ_RAPORU_BURAK_YENI1309[[#This Row],[ALT_KOD]])+AVERAGEIFS(I:I,D:D,DST_123_ÜRETİM_İHTİYAÇ_RAPORU_BURAK_YENI1309[[#This Row],[ALT_KOD]])+AVERAGEIFS(L:L,D:D,DST_123_ÜRETİM_İHTİYAÇ_RAPORU_BURAK_YENI1309[[#This Row],[ALT_KOD]]))</f>
        <v>-24</v>
      </c>
      <c r="L2741">
        <v>0</v>
      </c>
      <c r="M2741">
        <f>IF((DST_123_ÜRETİM_İHTİYAÇ_RAPORU_BURAK_YENI1309[[#This Row],[SATINALMA]]*DST_123_ÜRETİM_İHTİYAÇ_RAPORU_BURAK_YENI1309[[#This Row],[BIRIM_FIYATLAR]])&lt;1,VALUE("0"),DST_123_ÜRETİM_İHTİYAÇ_RAPORU_BURAK_YENI1309[[#This Row],[SATINALMA]]*DST_123_ÜRETİM_İHTİYAÇ_RAPORU_BURAK_YENI1309[[#This Row],[BIRIM_FIYATLAR]])</f>
        <v>0</v>
      </c>
      <c r="N2741">
        <v>199.45</v>
      </c>
      <c r="O2741" t="s">
        <v>275</v>
      </c>
      <c r="P2741">
        <v>1994.5</v>
      </c>
      <c r="Q2741" t="s">
        <v>180</v>
      </c>
    </row>
    <row r="2742" spans="1:17" x14ac:dyDescent="0.25">
      <c r="A2742" t="s">
        <v>1095</v>
      </c>
      <c r="B2742" t="s">
        <v>1096</v>
      </c>
      <c r="C2742" t="s">
        <v>175</v>
      </c>
      <c r="D2742" t="s">
        <v>153</v>
      </c>
      <c r="E2742" t="s">
        <v>154</v>
      </c>
      <c r="F2742">
        <v>4</v>
      </c>
      <c r="G2742" t="s">
        <v>176</v>
      </c>
      <c r="H2742">
        <v>0</v>
      </c>
      <c r="I2742">
        <v>46</v>
      </c>
      <c r="J2742" s="10">
        <v>26</v>
      </c>
      <c r="K2742" s="10">
        <f>SUMIFS(F:F,D:D,DST_123_ÜRETİM_İHTİYAÇ_RAPORU_BURAK_YENI1309[[#This Row],[ALT_KOD]])-(SUMIFS(H:H,D:D,DST_123_ÜRETİM_İHTİYAÇ_RAPORU_BURAK_YENI1309[[#This Row],[ALT_KOD]])+AVERAGEIFS(I:I,D:D,DST_123_ÜRETİM_İHTİYAÇ_RAPORU_BURAK_YENI1309[[#This Row],[ALT_KOD]])+AVERAGEIFS(L:L,D:D,DST_123_ÜRETİM_İHTİYAÇ_RAPORU_BURAK_YENI1309[[#This Row],[ALT_KOD]]))</f>
        <v>-24</v>
      </c>
      <c r="L2742">
        <v>0</v>
      </c>
      <c r="M2742">
        <f>IF((DST_123_ÜRETİM_İHTİYAÇ_RAPORU_BURAK_YENI1309[[#This Row],[SATINALMA]]*DST_123_ÜRETİM_İHTİYAÇ_RAPORU_BURAK_YENI1309[[#This Row],[BIRIM_FIYATLAR]])&lt;1,VALUE("0"),DST_123_ÜRETİM_İHTİYAÇ_RAPORU_BURAK_YENI1309[[#This Row],[SATINALMA]]*DST_123_ÜRETİM_İHTİYAÇ_RAPORU_BURAK_YENI1309[[#This Row],[BIRIM_FIYATLAR]])</f>
        <v>0</v>
      </c>
      <c r="N2742">
        <v>199.45</v>
      </c>
      <c r="O2742" t="s">
        <v>275</v>
      </c>
      <c r="P2742">
        <v>797.8</v>
      </c>
      <c r="Q2742" t="s">
        <v>180</v>
      </c>
    </row>
    <row r="2743" spans="1:17" x14ac:dyDescent="0.25">
      <c r="A2743" t="s">
        <v>1143</v>
      </c>
      <c r="B2743" t="s">
        <v>1056</v>
      </c>
      <c r="C2743" t="s">
        <v>175</v>
      </c>
      <c r="D2743" t="s">
        <v>293</v>
      </c>
      <c r="E2743" t="s">
        <v>323</v>
      </c>
      <c r="F2743">
        <v>0.09</v>
      </c>
      <c r="G2743" t="s">
        <v>185</v>
      </c>
      <c r="H2743">
        <v>0</v>
      </c>
      <c r="I2743">
        <v>2.5</v>
      </c>
      <c r="J2743" s="10">
        <v>-4.9960036108132044E-16</v>
      </c>
      <c r="K2743" s="10">
        <f>SUMIFS(F:F,D:D,DST_123_ÜRETİM_İHTİYAÇ_RAPORU_BURAK_YENI1309[[#This Row],[ALT_KOD]])-(SUMIFS(H:H,D:D,DST_123_ÜRETİM_İHTİYAÇ_RAPORU_BURAK_YENI1309[[#This Row],[ALT_KOD]])+AVERAGEIFS(I:I,D:D,DST_123_ÜRETİM_İHTİYAÇ_RAPORU_BURAK_YENI1309[[#This Row],[ALT_KOD]])+AVERAGEIFS(L:L,D:D,DST_123_ÜRETİM_İHTİYAÇ_RAPORU_BURAK_YENI1309[[#This Row],[ALT_KOD]]))</f>
        <v>-0.61999999999999922</v>
      </c>
      <c r="L2743">
        <v>0</v>
      </c>
      <c r="M2743">
        <f>IF((DST_123_ÜRETİM_İHTİYAÇ_RAPORU_BURAK_YENI1309[[#This Row],[SATINALMA]]*DST_123_ÜRETİM_İHTİYAÇ_RAPORU_BURAK_YENI1309[[#This Row],[BIRIM_FIYATLAR]])&lt;1,VALUE("0"),DST_123_ÜRETİM_İHTİYAÇ_RAPORU_BURAK_YENI1309[[#This Row],[SATINALMA]]*DST_123_ÜRETİM_İHTİYAÇ_RAPORU_BURAK_YENI1309[[#This Row],[BIRIM_FIYATLAR]])</f>
        <v>0</v>
      </c>
      <c r="N2743">
        <v>2400</v>
      </c>
      <c r="O2743" t="s">
        <v>220</v>
      </c>
      <c r="P2743">
        <v>216</v>
      </c>
      <c r="Q2743" t="s">
        <v>180</v>
      </c>
    </row>
    <row r="2744" spans="1:17" x14ac:dyDescent="0.25">
      <c r="A2744" t="s">
        <v>1143</v>
      </c>
      <c r="B2744" t="s">
        <v>1056</v>
      </c>
      <c r="C2744" t="s">
        <v>175</v>
      </c>
      <c r="D2744" t="s">
        <v>106</v>
      </c>
      <c r="E2744" t="s">
        <v>107</v>
      </c>
      <c r="F2744">
        <v>1</v>
      </c>
      <c r="G2744" t="s">
        <v>176</v>
      </c>
      <c r="H2744">
        <v>0</v>
      </c>
      <c r="I2744">
        <v>7</v>
      </c>
      <c r="J2744" s="10">
        <v>10</v>
      </c>
      <c r="K2744" s="10">
        <f>SUMIFS(F:F,D:D,DST_123_ÜRETİM_İHTİYAÇ_RAPORU_BURAK_YENI1309[[#This Row],[ALT_KOD]])-(SUMIFS(H:H,D:D,DST_123_ÜRETİM_İHTİYAÇ_RAPORU_BURAK_YENI1309[[#This Row],[ALT_KOD]])+AVERAGEIFS(I:I,D:D,DST_123_ÜRETİM_İHTİYAÇ_RAPORU_BURAK_YENI1309[[#This Row],[ALT_KOD]])+AVERAGEIFS(L:L,D:D,DST_123_ÜRETİM_İHTİYAÇ_RAPORU_BURAK_YENI1309[[#This Row],[ALT_KOD]]))</f>
        <v>-1</v>
      </c>
      <c r="L2744">
        <v>5</v>
      </c>
      <c r="M2744">
        <f>IF((DST_123_ÜRETİM_İHTİYAÇ_RAPORU_BURAK_YENI1309[[#This Row],[SATINALMA]]*DST_123_ÜRETİM_İHTİYAÇ_RAPORU_BURAK_YENI1309[[#This Row],[BIRIM_FIYATLAR]])&lt;1,VALUE("0"),DST_123_ÜRETİM_İHTİYAÇ_RAPORU_BURAK_YENI1309[[#This Row],[SATINALMA]]*DST_123_ÜRETİM_İHTİYAÇ_RAPORU_BURAK_YENI1309[[#This Row],[BIRIM_FIYATLAR]])</f>
        <v>0</v>
      </c>
      <c r="N2744">
        <v>1200</v>
      </c>
      <c r="O2744" t="s">
        <v>217</v>
      </c>
      <c r="P2744">
        <v>1200</v>
      </c>
      <c r="Q2744" t="s">
        <v>178</v>
      </c>
    </row>
    <row r="2745" spans="1:17" x14ac:dyDescent="0.25">
      <c r="A2745" t="s">
        <v>1147</v>
      </c>
      <c r="B2745" t="s">
        <v>1145</v>
      </c>
      <c r="C2745" t="s">
        <v>175</v>
      </c>
      <c r="D2745" t="s">
        <v>340</v>
      </c>
      <c r="E2745" t="s">
        <v>341</v>
      </c>
      <c r="F2745">
        <v>2</v>
      </c>
      <c r="G2745" t="s">
        <v>176</v>
      </c>
      <c r="H2745">
        <v>0</v>
      </c>
      <c r="I2745">
        <v>75</v>
      </c>
      <c r="J2745" s="10">
        <v>42.70000000000006</v>
      </c>
      <c r="K2745" s="10">
        <f>SUMIFS(F:F,D:D,DST_123_ÜRETİM_İHTİYAÇ_RAPORU_BURAK_YENI1309[[#This Row],[ALT_KOD]])-(SUMIFS(H:H,D:D,DST_123_ÜRETİM_İHTİYAÇ_RAPORU_BURAK_YENI1309[[#This Row],[ALT_KOD]])+AVERAGEIFS(I:I,D:D,DST_123_ÜRETİM_İHTİYAÇ_RAPORU_BURAK_YENI1309[[#This Row],[ALT_KOD]])+AVERAGEIFS(L:L,D:D,DST_123_ÜRETİM_İHTİYAÇ_RAPORU_BURAK_YENI1309[[#This Row],[ALT_KOD]]))</f>
        <v>-48.040000000000006</v>
      </c>
      <c r="L2745">
        <v>0</v>
      </c>
      <c r="M2745">
        <f>IF((DST_123_ÜRETİM_İHTİYAÇ_RAPORU_BURAK_YENI1309[[#This Row],[SATINALMA]]*DST_123_ÜRETİM_İHTİYAÇ_RAPORU_BURAK_YENI1309[[#This Row],[BIRIM_FIYATLAR]])&lt;1,VALUE("0"),DST_123_ÜRETİM_İHTİYAÇ_RAPORU_BURAK_YENI1309[[#This Row],[SATINALMA]]*DST_123_ÜRETİM_İHTİYAÇ_RAPORU_BURAK_YENI1309[[#This Row],[BIRIM_FIYATLAR]])</f>
        <v>0</v>
      </c>
      <c r="N2745">
        <v>15</v>
      </c>
      <c r="O2745" t="s">
        <v>240</v>
      </c>
      <c r="P2745">
        <v>30</v>
      </c>
      <c r="Q2745" t="s">
        <v>180</v>
      </c>
    </row>
    <row r="2746" spans="1:17" x14ac:dyDescent="0.25">
      <c r="A2746" t="s">
        <v>1100</v>
      </c>
      <c r="B2746" t="s">
        <v>1058</v>
      </c>
      <c r="C2746" t="s">
        <v>175</v>
      </c>
      <c r="D2746" t="s">
        <v>340</v>
      </c>
      <c r="E2746" t="s">
        <v>341</v>
      </c>
      <c r="F2746">
        <v>1.5</v>
      </c>
      <c r="G2746" t="s">
        <v>176</v>
      </c>
      <c r="H2746">
        <v>1.5</v>
      </c>
      <c r="I2746">
        <v>75</v>
      </c>
      <c r="J2746" s="10">
        <v>42.70000000000006</v>
      </c>
      <c r="K2746" s="10">
        <f>SUMIFS(F:F,D:D,DST_123_ÜRETİM_İHTİYAÇ_RAPORU_BURAK_YENI1309[[#This Row],[ALT_KOD]])-(SUMIFS(H:H,D:D,DST_123_ÜRETİM_İHTİYAÇ_RAPORU_BURAK_YENI1309[[#This Row],[ALT_KOD]])+AVERAGEIFS(I:I,D:D,DST_123_ÜRETİM_İHTİYAÇ_RAPORU_BURAK_YENI1309[[#This Row],[ALT_KOD]])+AVERAGEIFS(L:L,D:D,DST_123_ÜRETİM_İHTİYAÇ_RAPORU_BURAK_YENI1309[[#This Row],[ALT_KOD]]))</f>
        <v>-48.040000000000006</v>
      </c>
      <c r="L2746">
        <v>0</v>
      </c>
      <c r="M2746">
        <f>IF((DST_123_ÜRETİM_İHTİYAÇ_RAPORU_BURAK_YENI1309[[#This Row],[SATINALMA]]*DST_123_ÜRETİM_İHTİYAÇ_RAPORU_BURAK_YENI1309[[#This Row],[BIRIM_FIYATLAR]])&lt;1,VALUE("0"),DST_123_ÜRETİM_İHTİYAÇ_RAPORU_BURAK_YENI1309[[#This Row],[SATINALMA]]*DST_123_ÜRETİM_İHTİYAÇ_RAPORU_BURAK_YENI1309[[#This Row],[BIRIM_FIYATLAR]])</f>
        <v>0</v>
      </c>
      <c r="N2746">
        <v>15</v>
      </c>
      <c r="O2746" t="s">
        <v>240</v>
      </c>
      <c r="P2746">
        <v>22.5</v>
      </c>
      <c r="Q2746" t="s">
        <v>180</v>
      </c>
    </row>
    <row r="2747" spans="1:17" x14ac:dyDescent="0.25">
      <c r="A2747" t="s">
        <v>1060</v>
      </c>
      <c r="B2747" t="s">
        <v>1061</v>
      </c>
      <c r="C2747" t="s">
        <v>175</v>
      </c>
      <c r="D2747" t="s">
        <v>798</v>
      </c>
      <c r="E2747" t="s">
        <v>799</v>
      </c>
      <c r="F2747">
        <v>3</v>
      </c>
      <c r="G2747" t="s">
        <v>176</v>
      </c>
      <c r="H2747">
        <v>0</v>
      </c>
      <c r="I2747">
        <v>200</v>
      </c>
      <c r="J2747" s="10">
        <v>0</v>
      </c>
      <c r="K2747" s="10">
        <f>SUMIFS(F:F,D:D,DST_123_ÜRETİM_İHTİYAÇ_RAPORU_BURAK_YENI1309[[#This Row],[ALT_KOD]])-(SUMIFS(H:H,D:D,DST_123_ÜRETİM_İHTİYAÇ_RAPORU_BURAK_YENI1309[[#This Row],[ALT_KOD]])+AVERAGEIFS(I:I,D:D,DST_123_ÜRETİM_İHTİYAÇ_RAPORU_BURAK_YENI1309[[#This Row],[ALT_KOD]])+AVERAGEIFS(L:L,D:D,DST_123_ÜRETİM_İHTİYAÇ_RAPORU_BURAK_YENI1309[[#This Row],[ALT_KOD]]))</f>
        <v>-188</v>
      </c>
      <c r="L2747">
        <v>0</v>
      </c>
      <c r="M2747">
        <f>IF((DST_123_ÜRETİM_İHTİYAÇ_RAPORU_BURAK_YENI1309[[#This Row],[SATINALMA]]*DST_123_ÜRETİM_İHTİYAÇ_RAPORU_BURAK_YENI1309[[#This Row],[BIRIM_FIYATLAR]])&lt;1,VALUE("0"),DST_123_ÜRETİM_İHTİYAÇ_RAPORU_BURAK_YENI1309[[#This Row],[SATINALMA]]*DST_123_ÜRETİM_İHTİYAÇ_RAPORU_BURAK_YENI1309[[#This Row],[BIRIM_FIYATLAR]])</f>
        <v>0</v>
      </c>
      <c r="N2747">
        <v>10</v>
      </c>
      <c r="O2747" t="s">
        <v>226</v>
      </c>
      <c r="P2747">
        <v>30</v>
      </c>
      <c r="Q2747" t="s">
        <v>180</v>
      </c>
    </row>
    <row r="2748" spans="1:17" x14ac:dyDescent="0.25">
      <c r="A2748" t="s">
        <v>1101</v>
      </c>
      <c r="B2748" t="s">
        <v>1102</v>
      </c>
      <c r="C2748" t="s">
        <v>175</v>
      </c>
      <c r="D2748" t="s">
        <v>408</v>
      </c>
      <c r="E2748" t="s">
        <v>409</v>
      </c>
      <c r="F2748">
        <v>24</v>
      </c>
      <c r="G2748" t="s">
        <v>176</v>
      </c>
      <c r="H2748">
        <v>0</v>
      </c>
      <c r="I2748">
        <v>2698</v>
      </c>
      <c r="J2748" s="10">
        <v>0</v>
      </c>
      <c r="K2748" s="10">
        <f>SUMIFS(F:F,D:D,DST_123_ÜRETİM_İHTİYAÇ_RAPORU_BURAK_YENI1309[[#This Row],[ALT_KOD]])-(SUMIFS(H:H,D:D,DST_123_ÜRETİM_İHTİYAÇ_RAPORU_BURAK_YENI1309[[#This Row],[ALT_KOD]])+AVERAGEIFS(I:I,D:D,DST_123_ÜRETİM_İHTİYAÇ_RAPORU_BURAK_YENI1309[[#This Row],[ALT_KOD]])+AVERAGEIFS(L:L,D:D,DST_123_ÜRETİM_İHTİYAÇ_RAPORU_BURAK_YENI1309[[#This Row],[ALT_KOD]]))</f>
        <v>-2312</v>
      </c>
      <c r="L2748">
        <v>0</v>
      </c>
      <c r="M2748">
        <f>IF((DST_123_ÜRETİM_İHTİYAÇ_RAPORU_BURAK_YENI1309[[#This Row],[SATINALMA]]*DST_123_ÜRETİM_İHTİYAÇ_RAPORU_BURAK_YENI1309[[#This Row],[BIRIM_FIYATLAR]])&lt;1,VALUE("0"),DST_123_ÜRETİM_İHTİYAÇ_RAPORU_BURAK_YENI1309[[#This Row],[SATINALMA]]*DST_123_ÜRETİM_İHTİYAÇ_RAPORU_BURAK_YENI1309[[#This Row],[BIRIM_FIYATLAR]])</f>
        <v>0</v>
      </c>
      <c r="N2748">
        <v>1.55</v>
      </c>
      <c r="O2748" t="s">
        <v>220</v>
      </c>
      <c r="P2748">
        <v>37.200000000000003</v>
      </c>
      <c r="Q2748" t="s">
        <v>221</v>
      </c>
    </row>
    <row r="2749" spans="1:17" x14ac:dyDescent="0.25">
      <c r="A2749" t="s">
        <v>1100</v>
      </c>
      <c r="B2749" t="s">
        <v>1058</v>
      </c>
      <c r="C2749" t="s">
        <v>175</v>
      </c>
      <c r="D2749" t="s">
        <v>106</v>
      </c>
      <c r="E2749" t="s">
        <v>107</v>
      </c>
      <c r="F2749">
        <v>1</v>
      </c>
      <c r="G2749" t="s">
        <v>176</v>
      </c>
      <c r="H2749">
        <v>1</v>
      </c>
      <c r="I2749">
        <v>7</v>
      </c>
      <c r="J2749" s="10">
        <v>10</v>
      </c>
      <c r="K2749" s="10">
        <f>SUMIFS(F:F,D:D,DST_123_ÜRETİM_İHTİYAÇ_RAPORU_BURAK_YENI1309[[#This Row],[ALT_KOD]])-(SUMIFS(H:H,D:D,DST_123_ÜRETİM_İHTİYAÇ_RAPORU_BURAK_YENI1309[[#This Row],[ALT_KOD]])+AVERAGEIFS(I:I,D:D,DST_123_ÜRETİM_İHTİYAÇ_RAPORU_BURAK_YENI1309[[#This Row],[ALT_KOD]])+AVERAGEIFS(L:L,D:D,DST_123_ÜRETİM_İHTİYAÇ_RAPORU_BURAK_YENI1309[[#This Row],[ALT_KOD]]))</f>
        <v>-1</v>
      </c>
      <c r="L2749">
        <v>5</v>
      </c>
      <c r="M2749">
        <f>IF((DST_123_ÜRETİM_İHTİYAÇ_RAPORU_BURAK_YENI1309[[#This Row],[SATINALMA]]*DST_123_ÜRETİM_İHTİYAÇ_RAPORU_BURAK_YENI1309[[#This Row],[BIRIM_FIYATLAR]])&lt;1,VALUE("0"),DST_123_ÜRETİM_İHTİYAÇ_RAPORU_BURAK_YENI1309[[#This Row],[SATINALMA]]*DST_123_ÜRETİM_İHTİYAÇ_RAPORU_BURAK_YENI1309[[#This Row],[BIRIM_FIYATLAR]])</f>
        <v>0</v>
      </c>
      <c r="N2749">
        <v>1200</v>
      </c>
      <c r="O2749" t="s">
        <v>217</v>
      </c>
      <c r="P2749">
        <v>1200</v>
      </c>
      <c r="Q2749" t="s">
        <v>178</v>
      </c>
    </row>
    <row r="2750" spans="1:17" x14ac:dyDescent="0.25">
      <c r="A2750" t="s">
        <v>1060</v>
      </c>
      <c r="B2750" t="s">
        <v>1061</v>
      </c>
      <c r="C2750" t="s">
        <v>175</v>
      </c>
      <c r="D2750" t="s">
        <v>750</v>
      </c>
      <c r="E2750" t="s">
        <v>751</v>
      </c>
      <c r="F2750">
        <v>12</v>
      </c>
      <c r="G2750" t="s">
        <v>176</v>
      </c>
      <c r="H2750">
        <v>0</v>
      </c>
      <c r="I2750">
        <v>0</v>
      </c>
      <c r="J2750" s="10">
        <v>0</v>
      </c>
      <c r="K2750" s="10">
        <f>SUMIFS(F:F,D:D,DST_123_ÜRETİM_İHTİYAÇ_RAPORU_BURAK_YENI1309[[#This Row],[ALT_KOD]])-(SUMIFS(H:H,D:D,DST_123_ÜRETİM_İHTİYAÇ_RAPORU_BURAK_YENI1309[[#This Row],[ALT_KOD]])+AVERAGEIFS(I:I,D:D,DST_123_ÜRETİM_İHTİYAÇ_RAPORU_BURAK_YENI1309[[#This Row],[ALT_KOD]])+AVERAGEIFS(L:L,D:D,DST_123_ÜRETİM_İHTİYAÇ_RAPORU_BURAK_YENI1309[[#This Row],[ALT_KOD]]))</f>
        <v>124</v>
      </c>
      <c r="L2750">
        <v>0</v>
      </c>
      <c r="M2750">
        <f>IF((DST_123_ÜRETİM_İHTİYAÇ_RAPORU_BURAK_YENI1309[[#This Row],[SATINALMA]]*DST_123_ÜRETİM_İHTİYAÇ_RAPORU_BURAK_YENI1309[[#This Row],[BIRIM_FIYATLAR]])&lt;1,VALUE("0"),DST_123_ÜRETİM_İHTİYAÇ_RAPORU_BURAK_YENI1309[[#This Row],[SATINALMA]]*DST_123_ÜRETİM_İHTİYAÇ_RAPORU_BURAK_YENI1309[[#This Row],[BIRIM_FIYATLAR]])</f>
        <v>217</v>
      </c>
      <c r="N2750">
        <v>1.75</v>
      </c>
      <c r="O2750" t="s">
        <v>240</v>
      </c>
      <c r="P2750">
        <v>21</v>
      </c>
      <c r="Q2750" t="s">
        <v>180</v>
      </c>
    </row>
    <row r="2751" spans="1:17" x14ac:dyDescent="0.25">
      <c r="A2751" t="s">
        <v>1057</v>
      </c>
      <c r="B2751" t="s">
        <v>1058</v>
      </c>
      <c r="C2751" t="s">
        <v>175</v>
      </c>
      <c r="D2751" t="s">
        <v>965</v>
      </c>
      <c r="E2751" t="s">
        <v>966</v>
      </c>
      <c r="F2751">
        <v>1</v>
      </c>
      <c r="G2751" t="s">
        <v>176</v>
      </c>
      <c r="H2751">
        <v>1</v>
      </c>
      <c r="I2751">
        <v>1</v>
      </c>
      <c r="J2751" s="10">
        <v>6</v>
      </c>
      <c r="K2751" s="10">
        <f>SUMIFS(F:F,D:D,DST_123_ÜRETİM_İHTİYAÇ_RAPORU_BURAK_YENI1309[[#This Row],[ALT_KOD]])-(SUMIFS(H:H,D:D,DST_123_ÜRETİM_İHTİYAÇ_RAPORU_BURAK_YENI1309[[#This Row],[ALT_KOD]])+AVERAGEIFS(I:I,D:D,DST_123_ÜRETİM_İHTİYAÇ_RAPORU_BURAK_YENI1309[[#This Row],[ALT_KOD]])+AVERAGEIFS(L:L,D:D,DST_123_ÜRETİM_İHTİYAÇ_RAPORU_BURAK_YENI1309[[#This Row],[ALT_KOD]]))</f>
        <v>2</v>
      </c>
      <c r="L2751">
        <v>0</v>
      </c>
      <c r="M2751">
        <f>IF((DST_123_ÜRETİM_İHTİYAÇ_RAPORU_BURAK_YENI1309[[#This Row],[SATINALMA]]*DST_123_ÜRETİM_İHTİYAÇ_RAPORU_BURAK_YENI1309[[#This Row],[BIRIM_FIYATLAR]])&lt;1,VALUE("0"),DST_123_ÜRETİM_İHTİYAÇ_RAPORU_BURAK_YENI1309[[#This Row],[SATINALMA]]*DST_123_ÜRETİM_İHTİYAÇ_RAPORU_BURAK_YENI1309[[#This Row],[BIRIM_FIYATLAR]])</f>
        <v>16849.34</v>
      </c>
      <c r="N2751">
        <v>8424.67</v>
      </c>
      <c r="O2751" t="s">
        <v>634</v>
      </c>
      <c r="P2751">
        <v>8424.67</v>
      </c>
      <c r="Q2751" t="s">
        <v>177</v>
      </c>
    </row>
    <row r="2752" spans="1:17" x14ac:dyDescent="0.25">
      <c r="A2752" t="s">
        <v>1148</v>
      </c>
      <c r="B2752" t="s">
        <v>1056</v>
      </c>
      <c r="C2752" t="s">
        <v>175</v>
      </c>
      <c r="D2752" t="s">
        <v>965</v>
      </c>
      <c r="E2752" t="s">
        <v>966</v>
      </c>
      <c r="F2752">
        <v>1</v>
      </c>
      <c r="G2752" t="s">
        <v>176</v>
      </c>
      <c r="H2752">
        <v>0</v>
      </c>
      <c r="I2752">
        <v>1</v>
      </c>
      <c r="J2752" s="10">
        <v>6</v>
      </c>
      <c r="K2752" s="10">
        <f>SUMIFS(F:F,D:D,DST_123_ÜRETİM_İHTİYAÇ_RAPORU_BURAK_YENI1309[[#This Row],[ALT_KOD]])-(SUMIFS(H:H,D:D,DST_123_ÜRETİM_İHTİYAÇ_RAPORU_BURAK_YENI1309[[#This Row],[ALT_KOD]])+AVERAGEIFS(I:I,D:D,DST_123_ÜRETİM_İHTİYAÇ_RAPORU_BURAK_YENI1309[[#This Row],[ALT_KOD]])+AVERAGEIFS(L:L,D:D,DST_123_ÜRETİM_İHTİYAÇ_RAPORU_BURAK_YENI1309[[#This Row],[ALT_KOD]]))</f>
        <v>2</v>
      </c>
      <c r="L2752">
        <v>0</v>
      </c>
      <c r="M2752">
        <f>IF((DST_123_ÜRETİM_İHTİYAÇ_RAPORU_BURAK_YENI1309[[#This Row],[SATINALMA]]*DST_123_ÜRETİM_İHTİYAÇ_RAPORU_BURAK_YENI1309[[#This Row],[BIRIM_FIYATLAR]])&lt;1,VALUE("0"),DST_123_ÜRETİM_İHTİYAÇ_RAPORU_BURAK_YENI1309[[#This Row],[SATINALMA]]*DST_123_ÜRETİM_İHTİYAÇ_RAPORU_BURAK_YENI1309[[#This Row],[BIRIM_FIYATLAR]])</f>
        <v>16849.34</v>
      </c>
      <c r="N2752">
        <v>8424.67</v>
      </c>
      <c r="O2752" t="s">
        <v>634</v>
      </c>
      <c r="P2752">
        <v>8424.67</v>
      </c>
      <c r="Q2752" t="s">
        <v>177</v>
      </c>
    </row>
    <row r="2753" spans="1:17" x14ac:dyDescent="0.25">
      <c r="A2753" t="s">
        <v>1147</v>
      </c>
      <c r="B2753" t="s">
        <v>1145</v>
      </c>
      <c r="C2753" t="s">
        <v>175</v>
      </c>
      <c r="D2753" t="s">
        <v>106</v>
      </c>
      <c r="E2753" t="s">
        <v>107</v>
      </c>
      <c r="F2753">
        <v>1</v>
      </c>
      <c r="G2753" t="s">
        <v>176</v>
      </c>
      <c r="H2753">
        <v>0</v>
      </c>
      <c r="I2753">
        <v>7</v>
      </c>
      <c r="J2753" s="10">
        <v>10</v>
      </c>
      <c r="K2753" s="10">
        <f>SUMIFS(F:F,D:D,DST_123_ÜRETİM_İHTİYAÇ_RAPORU_BURAK_YENI1309[[#This Row],[ALT_KOD]])-(SUMIFS(H:H,D:D,DST_123_ÜRETİM_İHTİYAÇ_RAPORU_BURAK_YENI1309[[#This Row],[ALT_KOD]])+AVERAGEIFS(I:I,D:D,DST_123_ÜRETİM_İHTİYAÇ_RAPORU_BURAK_YENI1309[[#This Row],[ALT_KOD]])+AVERAGEIFS(L:L,D:D,DST_123_ÜRETİM_İHTİYAÇ_RAPORU_BURAK_YENI1309[[#This Row],[ALT_KOD]]))</f>
        <v>-1</v>
      </c>
      <c r="L2753">
        <v>5</v>
      </c>
      <c r="M2753">
        <f>IF((DST_123_ÜRETİM_İHTİYAÇ_RAPORU_BURAK_YENI1309[[#This Row],[SATINALMA]]*DST_123_ÜRETİM_İHTİYAÇ_RAPORU_BURAK_YENI1309[[#This Row],[BIRIM_FIYATLAR]])&lt;1,VALUE("0"),DST_123_ÜRETİM_İHTİYAÇ_RAPORU_BURAK_YENI1309[[#This Row],[SATINALMA]]*DST_123_ÜRETİM_İHTİYAÇ_RAPORU_BURAK_YENI1309[[#This Row],[BIRIM_FIYATLAR]])</f>
        <v>0</v>
      </c>
      <c r="N2753">
        <v>1200</v>
      </c>
      <c r="O2753" t="s">
        <v>217</v>
      </c>
      <c r="P2753">
        <v>1200</v>
      </c>
      <c r="Q2753" t="s">
        <v>178</v>
      </c>
    </row>
    <row r="2754" spans="1:17" x14ac:dyDescent="0.25">
      <c r="A2754" t="s">
        <v>1143</v>
      </c>
      <c r="B2754" t="s">
        <v>1056</v>
      </c>
      <c r="C2754" t="s">
        <v>175</v>
      </c>
      <c r="D2754" t="s">
        <v>74</v>
      </c>
      <c r="E2754" t="s">
        <v>75</v>
      </c>
      <c r="F2754">
        <v>3</v>
      </c>
      <c r="G2754" t="s">
        <v>176</v>
      </c>
      <c r="H2754">
        <v>0</v>
      </c>
      <c r="I2754">
        <v>24</v>
      </c>
      <c r="J2754" s="10">
        <v>30</v>
      </c>
      <c r="K2754" s="10">
        <f>SUMIFS(F:F,D:D,DST_123_ÜRETİM_İHTİYAÇ_RAPORU_BURAK_YENI1309[[#This Row],[ALT_KOD]])-(SUMIFS(H:H,D:D,DST_123_ÜRETİM_İHTİYAÇ_RAPORU_BURAK_YENI1309[[#This Row],[ALT_KOD]])+AVERAGEIFS(I:I,D:D,DST_123_ÜRETİM_İHTİYAÇ_RAPORU_BURAK_YENI1309[[#This Row],[ALT_KOD]])+AVERAGEIFS(L:L,D:D,DST_123_ÜRETİM_İHTİYAÇ_RAPORU_BURAK_YENI1309[[#This Row],[ALT_KOD]]))</f>
        <v>-24</v>
      </c>
      <c r="L2754">
        <v>50</v>
      </c>
      <c r="M2754">
        <f>IF((DST_123_ÜRETİM_İHTİYAÇ_RAPORU_BURAK_YENI1309[[#This Row],[SATINALMA]]*DST_123_ÜRETİM_İHTİYAÇ_RAPORU_BURAK_YENI1309[[#This Row],[BIRIM_FIYATLAR]])&lt;1,VALUE("0"),DST_123_ÜRETİM_İHTİYAÇ_RAPORU_BURAK_YENI1309[[#This Row],[SATINALMA]]*DST_123_ÜRETİM_İHTİYAÇ_RAPORU_BURAK_YENI1309[[#This Row],[BIRIM_FIYATLAR]])</f>
        <v>0</v>
      </c>
      <c r="N2754">
        <v>37</v>
      </c>
      <c r="O2754" t="s">
        <v>821</v>
      </c>
      <c r="P2754">
        <v>111</v>
      </c>
      <c r="Q2754" t="s">
        <v>178</v>
      </c>
    </row>
    <row r="2755" spans="1:17" x14ac:dyDescent="0.25">
      <c r="A2755" t="s">
        <v>1143</v>
      </c>
      <c r="B2755" t="s">
        <v>1056</v>
      </c>
      <c r="C2755" t="s">
        <v>175</v>
      </c>
      <c r="D2755" t="s">
        <v>80</v>
      </c>
      <c r="E2755" t="s">
        <v>81</v>
      </c>
      <c r="F2755">
        <v>8</v>
      </c>
      <c r="G2755" t="s">
        <v>176</v>
      </c>
      <c r="H2755">
        <v>0</v>
      </c>
      <c r="I2755">
        <v>0</v>
      </c>
      <c r="J2755" s="10">
        <v>10.500000000000064</v>
      </c>
      <c r="K2755" s="10">
        <f>SUMIFS(F:F,D:D,DST_123_ÜRETİM_İHTİYAÇ_RAPORU_BURAK_YENI1309[[#This Row],[ALT_KOD]])-(SUMIFS(H:H,D:D,DST_123_ÜRETİM_İHTİYAÇ_RAPORU_BURAK_YENI1309[[#This Row],[ALT_KOD]])+AVERAGEIFS(I:I,D:D,DST_123_ÜRETİM_İHTİYAÇ_RAPORU_BURAK_YENI1309[[#This Row],[ALT_KOD]])+AVERAGEIFS(L:L,D:D,DST_123_ÜRETİM_İHTİYAÇ_RAPORU_BURAK_YENI1309[[#This Row],[ALT_KOD]]))</f>
        <v>25</v>
      </c>
      <c r="L2755">
        <v>40</v>
      </c>
      <c r="M2755">
        <f>IF((DST_123_ÜRETİM_İHTİYAÇ_RAPORU_BURAK_YENI1309[[#This Row],[SATINALMA]]*DST_123_ÜRETİM_İHTİYAÇ_RAPORU_BURAK_YENI1309[[#This Row],[BIRIM_FIYATLAR]])&lt;1,VALUE("0"),DST_123_ÜRETİM_İHTİYAÇ_RAPORU_BURAK_YENI1309[[#This Row],[SATINALMA]]*DST_123_ÜRETİM_İHTİYAÇ_RAPORU_BURAK_YENI1309[[#This Row],[BIRIM_FIYATLAR]])</f>
        <v>16666.75</v>
      </c>
      <c r="N2755">
        <v>666.67</v>
      </c>
      <c r="O2755" t="s">
        <v>223</v>
      </c>
      <c r="P2755">
        <v>5333.36</v>
      </c>
      <c r="Q2755" t="s">
        <v>181</v>
      </c>
    </row>
    <row r="2756" spans="1:17" x14ac:dyDescent="0.25">
      <c r="A2756" t="s">
        <v>1059</v>
      </c>
      <c r="B2756" t="s">
        <v>1058</v>
      </c>
      <c r="C2756" t="s">
        <v>175</v>
      </c>
      <c r="D2756" t="s">
        <v>151</v>
      </c>
      <c r="E2756" t="s">
        <v>152</v>
      </c>
      <c r="F2756">
        <v>50</v>
      </c>
      <c r="G2756" t="s">
        <v>176</v>
      </c>
      <c r="H2756">
        <v>0</v>
      </c>
      <c r="I2756">
        <v>1000</v>
      </c>
      <c r="J2756" s="10">
        <v>439.00000000000023</v>
      </c>
      <c r="K2756" s="10">
        <f>SUMIFS(F:F,D:D,DST_123_ÜRETİM_İHTİYAÇ_RAPORU_BURAK_YENI1309[[#This Row],[ALT_KOD]])-(SUMIFS(H:H,D:D,DST_123_ÜRETİM_İHTİYAÇ_RAPORU_BURAK_YENI1309[[#This Row],[ALT_KOD]])+AVERAGEIFS(I:I,D:D,DST_123_ÜRETİM_İHTİYAÇ_RAPORU_BURAK_YENI1309[[#This Row],[ALT_KOD]])+AVERAGEIFS(L:L,D:D,DST_123_ÜRETİM_İHTİYAÇ_RAPORU_BURAK_YENI1309[[#This Row],[ALT_KOD]]))</f>
        <v>-860</v>
      </c>
      <c r="L2756">
        <v>0</v>
      </c>
      <c r="M2756">
        <f>IF((DST_123_ÜRETİM_İHTİYAÇ_RAPORU_BURAK_YENI1309[[#This Row],[SATINALMA]]*DST_123_ÜRETİM_İHTİYAÇ_RAPORU_BURAK_YENI1309[[#This Row],[BIRIM_FIYATLAR]])&lt;1,VALUE("0"),DST_123_ÜRETİM_İHTİYAÇ_RAPORU_BURAK_YENI1309[[#This Row],[SATINALMA]]*DST_123_ÜRETİM_İHTİYAÇ_RAPORU_BURAK_YENI1309[[#This Row],[BIRIM_FIYATLAR]])</f>
        <v>0</v>
      </c>
      <c r="N2756">
        <v>0.5</v>
      </c>
      <c r="O2756" t="s">
        <v>240</v>
      </c>
      <c r="P2756">
        <v>25</v>
      </c>
      <c r="Q2756" t="s">
        <v>180</v>
      </c>
    </row>
    <row r="2757" spans="1:17" x14ac:dyDescent="0.25">
      <c r="A2757" t="s">
        <v>1059</v>
      </c>
      <c r="B2757" t="s">
        <v>1058</v>
      </c>
      <c r="C2757" t="s">
        <v>175</v>
      </c>
      <c r="D2757" t="s">
        <v>74</v>
      </c>
      <c r="E2757" t="s">
        <v>75</v>
      </c>
      <c r="F2757">
        <v>3</v>
      </c>
      <c r="G2757" t="s">
        <v>176</v>
      </c>
      <c r="H2757">
        <v>0</v>
      </c>
      <c r="I2757">
        <v>24</v>
      </c>
      <c r="J2757" s="10">
        <v>30</v>
      </c>
      <c r="K2757" s="10">
        <f>SUMIFS(F:F,D:D,DST_123_ÜRETİM_İHTİYAÇ_RAPORU_BURAK_YENI1309[[#This Row],[ALT_KOD]])-(SUMIFS(H:H,D:D,DST_123_ÜRETİM_İHTİYAÇ_RAPORU_BURAK_YENI1309[[#This Row],[ALT_KOD]])+AVERAGEIFS(I:I,D:D,DST_123_ÜRETİM_İHTİYAÇ_RAPORU_BURAK_YENI1309[[#This Row],[ALT_KOD]])+AVERAGEIFS(L:L,D:D,DST_123_ÜRETİM_İHTİYAÇ_RAPORU_BURAK_YENI1309[[#This Row],[ALT_KOD]]))</f>
        <v>-24</v>
      </c>
      <c r="L2757">
        <v>50</v>
      </c>
      <c r="M2757">
        <f>IF((DST_123_ÜRETİM_İHTİYAÇ_RAPORU_BURAK_YENI1309[[#This Row],[SATINALMA]]*DST_123_ÜRETİM_İHTİYAÇ_RAPORU_BURAK_YENI1309[[#This Row],[BIRIM_FIYATLAR]])&lt;1,VALUE("0"),DST_123_ÜRETİM_İHTİYAÇ_RAPORU_BURAK_YENI1309[[#This Row],[SATINALMA]]*DST_123_ÜRETİM_İHTİYAÇ_RAPORU_BURAK_YENI1309[[#This Row],[BIRIM_FIYATLAR]])</f>
        <v>0</v>
      </c>
      <c r="N2757">
        <v>37</v>
      </c>
      <c r="O2757" t="s">
        <v>821</v>
      </c>
      <c r="P2757">
        <v>111</v>
      </c>
      <c r="Q2757" t="s">
        <v>178</v>
      </c>
    </row>
    <row r="2758" spans="1:17" x14ac:dyDescent="0.25">
      <c r="A2758" t="s">
        <v>1095</v>
      </c>
      <c r="B2758" t="s">
        <v>1096</v>
      </c>
      <c r="C2758" t="s">
        <v>175</v>
      </c>
      <c r="D2758" t="s">
        <v>74</v>
      </c>
      <c r="E2758" t="s">
        <v>75</v>
      </c>
      <c r="F2758">
        <v>2</v>
      </c>
      <c r="G2758" t="s">
        <v>176</v>
      </c>
      <c r="H2758">
        <v>0</v>
      </c>
      <c r="I2758">
        <v>24</v>
      </c>
      <c r="J2758" s="10">
        <v>30</v>
      </c>
      <c r="K2758" s="10">
        <f>SUMIFS(F:F,D:D,DST_123_ÜRETİM_İHTİYAÇ_RAPORU_BURAK_YENI1309[[#This Row],[ALT_KOD]])-(SUMIFS(H:H,D:D,DST_123_ÜRETİM_İHTİYAÇ_RAPORU_BURAK_YENI1309[[#This Row],[ALT_KOD]])+AVERAGEIFS(I:I,D:D,DST_123_ÜRETİM_İHTİYAÇ_RAPORU_BURAK_YENI1309[[#This Row],[ALT_KOD]])+AVERAGEIFS(L:L,D:D,DST_123_ÜRETİM_İHTİYAÇ_RAPORU_BURAK_YENI1309[[#This Row],[ALT_KOD]]))</f>
        <v>-24</v>
      </c>
      <c r="L2758">
        <v>50</v>
      </c>
      <c r="M2758">
        <f>IF((DST_123_ÜRETİM_İHTİYAÇ_RAPORU_BURAK_YENI1309[[#This Row],[SATINALMA]]*DST_123_ÜRETİM_İHTİYAÇ_RAPORU_BURAK_YENI1309[[#This Row],[BIRIM_FIYATLAR]])&lt;1,VALUE("0"),DST_123_ÜRETİM_İHTİYAÇ_RAPORU_BURAK_YENI1309[[#This Row],[SATINALMA]]*DST_123_ÜRETİM_İHTİYAÇ_RAPORU_BURAK_YENI1309[[#This Row],[BIRIM_FIYATLAR]])</f>
        <v>0</v>
      </c>
      <c r="N2758">
        <v>37</v>
      </c>
      <c r="O2758" t="s">
        <v>821</v>
      </c>
      <c r="P2758">
        <v>74</v>
      </c>
      <c r="Q2758" t="s">
        <v>178</v>
      </c>
    </row>
    <row r="2759" spans="1:17" x14ac:dyDescent="0.25">
      <c r="A2759" t="s">
        <v>1150</v>
      </c>
      <c r="B2759" t="s">
        <v>1145</v>
      </c>
      <c r="C2759" t="s">
        <v>175</v>
      </c>
      <c r="D2759" t="s">
        <v>74</v>
      </c>
      <c r="E2759" t="s">
        <v>75</v>
      </c>
      <c r="F2759">
        <v>3</v>
      </c>
      <c r="G2759" t="s">
        <v>176</v>
      </c>
      <c r="H2759">
        <v>0</v>
      </c>
      <c r="I2759">
        <v>24</v>
      </c>
      <c r="J2759" s="10">
        <v>30</v>
      </c>
      <c r="K2759" s="10">
        <f>SUMIFS(F:F,D:D,DST_123_ÜRETİM_İHTİYAÇ_RAPORU_BURAK_YENI1309[[#This Row],[ALT_KOD]])-(SUMIFS(H:H,D:D,DST_123_ÜRETİM_İHTİYAÇ_RAPORU_BURAK_YENI1309[[#This Row],[ALT_KOD]])+AVERAGEIFS(I:I,D:D,DST_123_ÜRETİM_İHTİYAÇ_RAPORU_BURAK_YENI1309[[#This Row],[ALT_KOD]])+AVERAGEIFS(L:L,D:D,DST_123_ÜRETİM_İHTİYAÇ_RAPORU_BURAK_YENI1309[[#This Row],[ALT_KOD]]))</f>
        <v>-24</v>
      </c>
      <c r="L2759">
        <v>50</v>
      </c>
      <c r="M2759">
        <f>IF((DST_123_ÜRETİM_İHTİYAÇ_RAPORU_BURAK_YENI1309[[#This Row],[SATINALMA]]*DST_123_ÜRETİM_İHTİYAÇ_RAPORU_BURAK_YENI1309[[#This Row],[BIRIM_FIYATLAR]])&lt;1,VALUE("0"),DST_123_ÜRETİM_İHTİYAÇ_RAPORU_BURAK_YENI1309[[#This Row],[SATINALMA]]*DST_123_ÜRETİM_İHTİYAÇ_RAPORU_BURAK_YENI1309[[#This Row],[BIRIM_FIYATLAR]])</f>
        <v>0</v>
      </c>
      <c r="N2759">
        <v>37</v>
      </c>
      <c r="O2759" t="s">
        <v>821</v>
      </c>
      <c r="P2759">
        <v>111</v>
      </c>
      <c r="Q2759" t="s">
        <v>178</v>
      </c>
    </row>
    <row r="2760" spans="1:17" x14ac:dyDescent="0.25">
      <c r="A2760" t="s">
        <v>1099</v>
      </c>
      <c r="B2760" t="s">
        <v>1055</v>
      </c>
      <c r="C2760" t="s">
        <v>175</v>
      </c>
      <c r="D2760" t="s">
        <v>923</v>
      </c>
      <c r="E2760" t="s">
        <v>924</v>
      </c>
      <c r="F2760">
        <v>4</v>
      </c>
      <c r="G2760" t="s">
        <v>176</v>
      </c>
      <c r="H2760">
        <v>0</v>
      </c>
      <c r="I2760">
        <v>0</v>
      </c>
      <c r="J2760" s="10">
        <v>0</v>
      </c>
      <c r="K2760" s="10">
        <f>SUMIFS(F:F,D:D,DST_123_ÜRETİM_İHTİYAÇ_RAPORU_BURAK_YENI1309[[#This Row],[ALT_KOD]])-(SUMIFS(H:H,D:D,DST_123_ÜRETİM_İHTİYAÇ_RAPORU_BURAK_YENI1309[[#This Row],[ALT_KOD]])+AVERAGEIFS(I:I,D:D,DST_123_ÜRETİM_İHTİYAÇ_RAPORU_BURAK_YENI1309[[#This Row],[ALT_KOD]])+AVERAGEIFS(L:L,D:D,DST_123_ÜRETİM_İHTİYAÇ_RAPORU_BURAK_YENI1309[[#This Row],[ALT_KOD]]))</f>
        <v>4</v>
      </c>
      <c r="L2760">
        <v>0</v>
      </c>
      <c r="M2760">
        <f>IF((DST_123_ÜRETİM_İHTİYAÇ_RAPORU_BURAK_YENI1309[[#This Row],[SATINALMA]]*DST_123_ÜRETİM_İHTİYAÇ_RAPORU_BURAK_YENI1309[[#This Row],[BIRIM_FIYATLAR]])&lt;1,VALUE("0"),DST_123_ÜRETİM_İHTİYAÇ_RAPORU_BURAK_YENI1309[[#This Row],[SATINALMA]]*DST_123_ÜRETİM_İHTİYAÇ_RAPORU_BURAK_YENI1309[[#This Row],[BIRIM_FIYATLAR]])</f>
        <v>40</v>
      </c>
      <c r="N2760">
        <v>10</v>
      </c>
      <c r="O2760" t="s">
        <v>635</v>
      </c>
      <c r="P2760">
        <v>40</v>
      </c>
      <c r="Q2760" t="s">
        <v>221</v>
      </c>
    </row>
    <row r="2761" spans="1:17" x14ac:dyDescent="0.25">
      <c r="A2761" t="s">
        <v>1099</v>
      </c>
      <c r="B2761" t="s">
        <v>1055</v>
      </c>
      <c r="C2761" t="s">
        <v>175</v>
      </c>
      <c r="D2761" t="s">
        <v>786</v>
      </c>
      <c r="E2761" t="s">
        <v>787</v>
      </c>
      <c r="F2761">
        <v>2.5</v>
      </c>
      <c r="G2761" t="s">
        <v>179</v>
      </c>
      <c r="H2761">
        <v>0</v>
      </c>
      <c r="I2761">
        <v>0</v>
      </c>
      <c r="J2761" s="10">
        <v>285.5</v>
      </c>
      <c r="K2761" s="10">
        <f>SUMIFS(F:F,D:D,DST_123_ÜRETİM_İHTİYAÇ_RAPORU_BURAK_YENI1309[[#This Row],[ALT_KOD]])-(SUMIFS(H:H,D:D,DST_123_ÜRETİM_İHTİYAÇ_RAPORU_BURAK_YENI1309[[#This Row],[ALT_KOD]])+AVERAGEIFS(I:I,D:D,DST_123_ÜRETİM_İHTİYAÇ_RAPORU_BURAK_YENI1309[[#This Row],[ALT_KOD]])+AVERAGEIFS(L:L,D:D,DST_123_ÜRETİM_İHTİYAÇ_RAPORU_BURAK_YENI1309[[#This Row],[ALT_KOD]]))</f>
        <v>11.5</v>
      </c>
      <c r="L2761">
        <v>0</v>
      </c>
      <c r="M2761">
        <f>IF((DST_123_ÜRETİM_İHTİYAÇ_RAPORU_BURAK_YENI1309[[#This Row],[SATINALMA]]*DST_123_ÜRETİM_İHTİYAÇ_RAPORU_BURAK_YENI1309[[#This Row],[BIRIM_FIYATLAR]])&lt;1,VALUE("0"),DST_123_ÜRETİM_İHTİYAÇ_RAPORU_BURAK_YENI1309[[#This Row],[SATINALMA]]*DST_123_ÜRETİM_İHTİYAÇ_RAPORU_BURAK_YENI1309[[#This Row],[BIRIM_FIYATLAR]])</f>
        <v>662.4</v>
      </c>
      <c r="N2761">
        <v>57.6</v>
      </c>
      <c r="O2761" t="s">
        <v>826</v>
      </c>
      <c r="P2761">
        <v>144</v>
      </c>
      <c r="Q2761" t="s">
        <v>221</v>
      </c>
    </row>
    <row r="2762" spans="1:17" x14ac:dyDescent="0.25">
      <c r="A2762" t="s">
        <v>1060</v>
      </c>
      <c r="B2762" t="s">
        <v>1061</v>
      </c>
      <c r="C2762" t="s">
        <v>175</v>
      </c>
      <c r="D2762" t="s">
        <v>413</v>
      </c>
      <c r="E2762" t="s">
        <v>664</v>
      </c>
      <c r="F2762">
        <v>0.30000000000000004</v>
      </c>
      <c r="G2762" t="s">
        <v>179</v>
      </c>
      <c r="H2762">
        <v>0</v>
      </c>
      <c r="I2762">
        <v>0</v>
      </c>
      <c r="J2762" s="10">
        <v>93.800000000000011</v>
      </c>
      <c r="K2762" s="10">
        <f>SUMIFS(F:F,D:D,DST_123_ÜRETİM_İHTİYAÇ_RAPORU_BURAK_YENI1309[[#This Row],[ALT_KOD]])-(SUMIFS(H:H,D:D,DST_123_ÜRETİM_İHTİYAÇ_RAPORU_BURAK_YENI1309[[#This Row],[ALT_KOD]])+AVERAGEIFS(I:I,D:D,DST_123_ÜRETİM_İHTİYAÇ_RAPORU_BURAK_YENI1309[[#This Row],[ALT_KOD]])+AVERAGEIFS(L:L,D:D,DST_123_ÜRETİM_İHTİYAÇ_RAPORU_BURAK_YENI1309[[#This Row],[ALT_KOD]]))</f>
        <v>5.0999999999999996</v>
      </c>
      <c r="L2762">
        <v>0</v>
      </c>
      <c r="M2762">
        <f>IF((DST_123_ÜRETİM_İHTİYAÇ_RAPORU_BURAK_YENI1309[[#This Row],[SATINALMA]]*DST_123_ÜRETİM_İHTİYAÇ_RAPORU_BURAK_YENI1309[[#This Row],[BIRIM_FIYATLAR]])&lt;1,VALUE("0"),DST_123_ÜRETİM_İHTİYAÇ_RAPORU_BURAK_YENI1309[[#This Row],[SATINALMA]]*DST_123_ÜRETİM_İHTİYAÇ_RAPORU_BURAK_YENI1309[[#This Row],[BIRIM_FIYATLAR]])</f>
        <v>34.526999999999994</v>
      </c>
      <c r="N2762">
        <v>6.77</v>
      </c>
      <c r="O2762" t="s">
        <v>635</v>
      </c>
      <c r="P2762">
        <v>2.0310000000000001</v>
      </c>
      <c r="Q2762" t="s">
        <v>221</v>
      </c>
    </row>
    <row r="2763" spans="1:17" x14ac:dyDescent="0.25">
      <c r="A2763" t="s">
        <v>1095</v>
      </c>
      <c r="B2763" t="s">
        <v>1096</v>
      </c>
      <c r="C2763" t="s">
        <v>175</v>
      </c>
      <c r="D2763" t="s">
        <v>446</v>
      </c>
      <c r="E2763" t="s">
        <v>447</v>
      </c>
      <c r="F2763">
        <v>1</v>
      </c>
      <c r="G2763" t="s">
        <v>176</v>
      </c>
      <c r="H2763">
        <v>0</v>
      </c>
      <c r="I2763">
        <v>13</v>
      </c>
      <c r="J2763" s="10">
        <v>13</v>
      </c>
      <c r="K2763" s="10">
        <f>SUMIFS(F:F,D:D,DST_123_ÜRETİM_İHTİYAÇ_RAPORU_BURAK_YENI1309[[#This Row],[ALT_KOD]])-(SUMIFS(H:H,D:D,DST_123_ÜRETİM_İHTİYAÇ_RAPORU_BURAK_YENI1309[[#This Row],[ALT_KOD]])+AVERAGEIFS(I:I,D:D,DST_123_ÜRETİM_İHTİYAÇ_RAPORU_BURAK_YENI1309[[#This Row],[ALT_KOD]])+AVERAGEIFS(L:L,D:D,DST_123_ÜRETİM_İHTİYAÇ_RAPORU_BURAK_YENI1309[[#This Row],[ALT_KOD]]))</f>
        <v>-1</v>
      </c>
      <c r="L2763">
        <v>0</v>
      </c>
      <c r="M2763">
        <f>IF((DST_123_ÜRETİM_İHTİYAÇ_RAPORU_BURAK_YENI1309[[#This Row],[SATINALMA]]*DST_123_ÜRETİM_İHTİYAÇ_RAPORU_BURAK_YENI1309[[#This Row],[BIRIM_FIYATLAR]])&lt;1,VALUE("0"),DST_123_ÜRETİM_İHTİYAÇ_RAPORU_BURAK_YENI1309[[#This Row],[SATINALMA]]*DST_123_ÜRETİM_İHTİYAÇ_RAPORU_BURAK_YENI1309[[#This Row],[BIRIM_FIYATLAR]])</f>
        <v>0</v>
      </c>
      <c r="N2763">
        <v>237.5</v>
      </c>
      <c r="O2763" t="s">
        <v>628</v>
      </c>
      <c r="P2763">
        <v>237.5</v>
      </c>
      <c r="Q2763" t="s">
        <v>180</v>
      </c>
    </row>
    <row r="2764" spans="1:17" x14ac:dyDescent="0.25">
      <c r="A2764" t="s">
        <v>1057</v>
      </c>
      <c r="B2764" t="s">
        <v>1058</v>
      </c>
      <c r="C2764" t="s">
        <v>175</v>
      </c>
      <c r="D2764" t="s">
        <v>932</v>
      </c>
      <c r="E2764" t="s">
        <v>933</v>
      </c>
      <c r="F2764">
        <v>40</v>
      </c>
      <c r="G2764" t="s">
        <v>182</v>
      </c>
      <c r="H2764">
        <v>0</v>
      </c>
      <c r="I2764">
        <v>0</v>
      </c>
      <c r="J2764" s="10">
        <v>68.954999999999956</v>
      </c>
      <c r="K2764" s="10">
        <f>SUMIFS(F:F,D:D,DST_123_ÜRETİM_İHTİYAÇ_RAPORU_BURAK_YENI1309[[#This Row],[ALT_KOD]])-(SUMIFS(H:H,D:D,DST_123_ÜRETİM_İHTİYAÇ_RAPORU_BURAK_YENI1309[[#This Row],[ALT_KOD]])+AVERAGEIFS(I:I,D:D,DST_123_ÜRETİM_İHTİYAÇ_RAPORU_BURAK_YENI1309[[#This Row],[ALT_KOD]])+AVERAGEIFS(L:L,D:D,DST_123_ÜRETİM_İHTİYAÇ_RAPORU_BURAK_YENI1309[[#This Row],[ALT_KOD]]))</f>
        <v>40</v>
      </c>
      <c r="L2764">
        <v>0</v>
      </c>
      <c r="M2764">
        <f>IF((DST_123_ÜRETİM_İHTİYAÇ_RAPORU_BURAK_YENI1309[[#This Row],[SATINALMA]]*DST_123_ÜRETİM_İHTİYAÇ_RAPORU_BURAK_YENI1309[[#This Row],[BIRIM_FIYATLAR]])&lt;1,VALUE("0"),DST_123_ÜRETİM_İHTİYAÇ_RAPORU_BURAK_YENI1309[[#This Row],[SATINALMA]]*DST_123_ÜRETİM_İHTİYAÇ_RAPORU_BURAK_YENI1309[[#This Row],[BIRIM_FIYATLAR]])</f>
        <v>8381.6</v>
      </c>
      <c r="N2764">
        <v>209.54</v>
      </c>
      <c r="O2764" t="s">
        <v>223</v>
      </c>
      <c r="P2764">
        <v>8381.6</v>
      </c>
      <c r="Q2764" t="s">
        <v>181</v>
      </c>
    </row>
    <row r="2765" spans="1:17" x14ac:dyDescent="0.25">
      <c r="A2765" t="s">
        <v>1148</v>
      </c>
      <c r="B2765" t="s">
        <v>1056</v>
      </c>
      <c r="C2765" t="s">
        <v>175</v>
      </c>
      <c r="D2765" t="s">
        <v>446</v>
      </c>
      <c r="E2765" t="s">
        <v>447</v>
      </c>
      <c r="F2765">
        <v>1</v>
      </c>
      <c r="G2765" t="s">
        <v>176</v>
      </c>
      <c r="H2765">
        <v>0</v>
      </c>
      <c r="I2765">
        <v>13</v>
      </c>
      <c r="J2765" s="10">
        <v>13</v>
      </c>
      <c r="K2765" s="10">
        <f>SUMIFS(F:F,D:D,DST_123_ÜRETİM_İHTİYAÇ_RAPORU_BURAK_YENI1309[[#This Row],[ALT_KOD]])-(SUMIFS(H:H,D:D,DST_123_ÜRETİM_İHTİYAÇ_RAPORU_BURAK_YENI1309[[#This Row],[ALT_KOD]])+AVERAGEIFS(I:I,D:D,DST_123_ÜRETİM_İHTİYAÇ_RAPORU_BURAK_YENI1309[[#This Row],[ALT_KOD]])+AVERAGEIFS(L:L,D:D,DST_123_ÜRETİM_İHTİYAÇ_RAPORU_BURAK_YENI1309[[#This Row],[ALT_KOD]]))</f>
        <v>-1</v>
      </c>
      <c r="L2765">
        <v>0</v>
      </c>
      <c r="M2765">
        <f>IF((DST_123_ÜRETİM_İHTİYAÇ_RAPORU_BURAK_YENI1309[[#This Row],[SATINALMA]]*DST_123_ÜRETİM_İHTİYAÇ_RAPORU_BURAK_YENI1309[[#This Row],[BIRIM_FIYATLAR]])&lt;1,VALUE("0"),DST_123_ÜRETİM_İHTİYAÇ_RAPORU_BURAK_YENI1309[[#This Row],[SATINALMA]]*DST_123_ÜRETİM_İHTİYAÇ_RAPORU_BURAK_YENI1309[[#This Row],[BIRIM_FIYATLAR]])</f>
        <v>0</v>
      </c>
      <c r="N2765">
        <v>237.5</v>
      </c>
      <c r="O2765" t="s">
        <v>628</v>
      </c>
      <c r="P2765">
        <v>237.5</v>
      </c>
      <c r="Q2765" t="s">
        <v>180</v>
      </c>
    </row>
    <row r="2766" spans="1:17" x14ac:dyDescent="0.25">
      <c r="A2766" t="s">
        <v>1147</v>
      </c>
      <c r="B2766" t="s">
        <v>1145</v>
      </c>
      <c r="C2766" t="s">
        <v>175</v>
      </c>
      <c r="D2766" t="s">
        <v>218</v>
      </c>
      <c r="E2766" t="s">
        <v>219</v>
      </c>
      <c r="F2766">
        <v>2</v>
      </c>
      <c r="G2766" t="s">
        <v>176</v>
      </c>
      <c r="H2766">
        <v>0</v>
      </c>
      <c r="I2766">
        <v>288</v>
      </c>
      <c r="J2766" s="10">
        <v>94</v>
      </c>
      <c r="K2766" s="10">
        <f>SUMIFS(F:F,D:D,DST_123_ÜRETİM_İHTİYAÇ_RAPORU_BURAK_YENI1309[[#This Row],[ALT_KOD]])-(SUMIFS(H:H,D:D,DST_123_ÜRETİM_İHTİYAÇ_RAPORU_BURAK_YENI1309[[#This Row],[ALT_KOD]])+AVERAGEIFS(I:I,D:D,DST_123_ÜRETİM_İHTİYAÇ_RAPORU_BURAK_YENI1309[[#This Row],[ALT_KOD]])+AVERAGEIFS(L:L,D:D,DST_123_ÜRETİM_İHTİYAÇ_RAPORU_BURAK_YENI1309[[#This Row],[ALT_KOD]]))</f>
        <v>-260</v>
      </c>
      <c r="L2766">
        <v>0</v>
      </c>
      <c r="M2766">
        <f>IF((DST_123_ÜRETİM_İHTİYAÇ_RAPORU_BURAK_YENI1309[[#This Row],[SATINALMA]]*DST_123_ÜRETİM_İHTİYAÇ_RAPORU_BURAK_YENI1309[[#This Row],[BIRIM_FIYATLAR]])&lt;1,VALUE("0"),DST_123_ÜRETİM_İHTİYAÇ_RAPORU_BURAK_YENI1309[[#This Row],[SATINALMA]]*DST_123_ÜRETİM_İHTİYAÇ_RAPORU_BURAK_YENI1309[[#This Row],[BIRIM_FIYATLAR]])</f>
        <v>0</v>
      </c>
      <c r="N2766">
        <v>4</v>
      </c>
      <c r="O2766" t="s">
        <v>220</v>
      </c>
      <c r="P2766">
        <v>8</v>
      </c>
      <c r="Q2766" t="s">
        <v>221</v>
      </c>
    </row>
    <row r="2767" spans="1:17" x14ac:dyDescent="0.25">
      <c r="A2767" t="s">
        <v>1148</v>
      </c>
      <c r="B2767" t="s">
        <v>1056</v>
      </c>
      <c r="C2767" t="s">
        <v>175</v>
      </c>
      <c r="D2767" t="s">
        <v>218</v>
      </c>
      <c r="E2767" t="s">
        <v>219</v>
      </c>
      <c r="F2767">
        <v>2</v>
      </c>
      <c r="G2767" t="s">
        <v>176</v>
      </c>
      <c r="H2767">
        <v>0</v>
      </c>
      <c r="I2767">
        <v>288</v>
      </c>
      <c r="J2767" s="10">
        <v>94</v>
      </c>
      <c r="K2767" s="10">
        <f>SUMIFS(F:F,D:D,DST_123_ÜRETİM_İHTİYAÇ_RAPORU_BURAK_YENI1309[[#This Row],[ALT_KOD]])-(SUMIFS(H:H,D:D,DST_123_ÜRETİM_İHTİYAÇ_RAPORU_BURAK_YENI1309[[#This Row],[ALT_KOD]])+AVERAGEIFS(I:I,D:D,DST_123_ÜRETİM_İHTİYAÇ_RAPORU_BURAK_YENI1309[[#This Row],[ALT_KOD]])+AVERAGEIFS(L:L,D:D,DST_123_ÜRETİM_İHTİYAÇ_RAPORU_BURAK_YENI1309[[#This Row],[ALT_KOD]]))</f>
        <v>-260</v>
      </c>
      <c r="L2767">
        <v>0</v>
      </c>
      <c r="M2767">
        <f>IF((DST_123_ÜRETİM_İHTİYAÇ_RAPORU_BURAK_YENI1309[[#This Row],[SATINALMA]]*DST_123_ÜRETİM_İHTİYAÇ_RAPORU_BURAK_YENI1309[[#This Row],[BIRIM_FIYATLAR]])&lt;1,VALUE("0"),DST_123_ÜRETİM_İHTİYAÇ_RAPORU_BURAK_YENI1309[[#This Row],[SATINALMA]]*DST_123_ÜRETİM_İHTİYAÇ_RAPORU_BURAK_YENI1309[[#This Row],[BIRIM_FIYATLAR]])</f>
        <v>0</v>
      </c>
      <c r="N2767">
        <v>4</v>
      </c>
      <c r="O2767" t="s">
        <v>220</v>
      </c>
      <c r="P2767">
        <v>8</v>
      </c>
      <c r="Q2767" t="s">
        <v>221</v>
      </c>
    </row>
    <row r="2768" spans="1:17" x14ac:dyDescent="0.25">
      <c r="A2768" t="s">
        <v>1097</v>
      </c>
      <c r="B2768" t="s">
        <v>1055</v>
      </c>
      <c r="C2768" t="s">
        <v>175</v>
      </c>
      <c r="D2768" t="s">
        <v>678</v>
      </c>
      <c r="E2768" t="s">
        <v>679</v>
      </c>
      <c r="F2768">
        <v>15</v>
      </c>
      <c r="G2768" t="s">
        <v>176</v>
      </c>
      <c r="H2768">
        <v>0</v>
      </c>
      <c r="I2768">
        <v>350</v>
      </c>
      <c r="J2768" s="10">
        <v>210</v>
      </c>
      <c r="K2768" s="10">
        <f>SUMIFS(F:F,D:D,DST_123_ÜRETİM_İHTİYAÇ_RAPORU_BURAK_YENI1309[[#This Row],[ALT_KOD]])-(SUMIFS(H:H,D:D,DST_123_ÜRETİM_İHTİYAÇ_RAPORU_BURAK_YENI1309[[#This Row],[ALT_KOD]])+AVERAGEIFS(I:I,D:D,DST_123_ÜRETİM_İHTİYAÇ_RAPORU_BURAK_YENI1309[[#This Row],[ALT_KOD]])+AVERAGEIFS(L:L,D:D,DST_123_ÜRETİM_İHTİYAÇ_RAPORU_BURAK_YENI1309[[#This Row],[ALT_KOD]]))</f>
        <v>-245</v>
      </c>
      <c r="L2768">
        <v>0</v>
      </c>
      <c r="M2768">
        <f>IF((DST_123_ÜRETİM_İHTİYAÇ_RAPORU_BURAK_YENI1309[[#This Row],[SATINALMA]]*DST_123_ÜRETİM_İHTİYAÇ_RAPORU_BURAK_YENI1309[[#This Row],[BIRIM_FIYATLAR]])&lt;1,VALUE("0"),DST_123_ÜRETİM_İHTİYAÇ_RAPORU_BURAK_YENI1309[[#This Row],[SATINALMA]]*DST_123_ÜRETİM_İHTİYAÇ_RAPORU_BURAK_YENI1309[[#This Row],[BIRIM_FIYATLAR]])</f>
        <v>0</v>
      </c>
      <c r="N2768">
        <v>4</v>
      </c>
      <c r="O2768" t="s">
        <v>226</v>
      </c>
      <c r="P2768">
        <v>60</v>
      </c>
      <c r="Q2768" t="s">
        <v>180</v>
      </c>
    </row>
    <row r="2769" spans="1:17" x14ac:dyDescent="0.25">
      <c r="A2769" t="s">
        <v>1143</v>
      </c>
      <c r="B2769" t="s">
        <v>1056</v>
      </c>
      <c r="C2769" t="s">
        <v>175</v>
      </c>
      <c r="D2769" t="s">
        <v>446</v>
      </c>
      <c r="E2769" t="s">
        <v>447</v>
      </c>
      <c r="F2769">
        <v>2</v>
      </c>
      <c r="G2769" t="s">
        <v>176</v>
      </c>
      <c r="H2769">
        <v>0</v>
      </c>
      <c r="I2769">
        <v>13</v>
      </c>
      <c r="J2769" s="10">
        <v>13</v>
      </c>
      <c r="K2769" s="10">
        <f>SUMIFS(F:F,D:D,DST_123_ÜRETİM_İHTİYAÇ_RAPORU_BURAK_YENI1309[[#This Row],[ALT_KOD]])-(SUMIFS(H:H,D:D,DST_123_ÜRETİM_İHTİYAÇ_RAPORU_BURAK_YENI1309[[#This Row],[ALT_KOD]])+AVERAGEIFS(I:I,D:D,DST_123_ÜRETİM_İHTİYAÇ_RAPORU_BURAK_YENI1309[[#This Row],[ALT_KOD]])+AVERAGEIFS(L:L,D:D,DST_123_ÜRETİM_İHTİYAÇ_RAPORU_BURAK_YENI1309[[#This Row],[ALT_KOD]]))</f>
        <v>-1</v>
      </c>
      <c r="L2769">
        <v>0</v>
      </c>
      <c r="M2769">
        <f>IF((DST_123_ÜRETİM_İHTİYAÇ_RAPORU_BURAK_YENI1309[[#This Row],[SATINALMA]]*DST_123_ÜRETİM_İHTİYAÇ_RAPORU_BURAK_YENI1309[[#This Row],[BIRIM_FIYATLAR]])&lt;1,VALUE("0"),DST_123_ÜRETİM_İHTİYAÇ_RAPORU_BURAK_YENI1309[[#This Row],[SATINALMA]]*DST_123_ÜRETİM_İHTİYAÇ_RAPORU_BURAK_YENI1309[[#This Row],[BIRIM_FIYATLAR]])</f>
        <v>0</v>
      </c>
      <c r="N2769">
        <v>237.5</v>
      </c>
      <c r="O2769" t="s">
        <v>628</v>
      </c>
      <c r="P2769">
        <v>475</v>
      </c>
      <c r="Q2769" t="s">
        <v>180</v>
      </c>
    </row>
    <row r="2770" spans="1:17" x14ac:dyDescent="0.25">
      <c r="A2770" t="s">
        <v>1147</v>
      </c>
      <c r="B2770" t="s">
        <v>1145</v>
      </c>
      <c r="C2770" t="s">
        <v>175</v>
      </c>
      <c r="D2770" t="s">
        <v>883</v>
      </c>
      <c r="E2770" t="s">
        <v>884</v>
      </c>
      <c r="F2770">
        <v>9</v>
      </c>
      <c r="G2770" t="s">
        <v>179</v>
      </c>
      <c r="H2770">
        <v>0</v>
      </c>
      <c r="I2770">
        <v>480</v>
      </c>
      <c r="J2770" s="10">
        <v>0</v>
      </c>
      <c r="K2770" s="10">
        <f>SUMIFS(F:F,D:D,DST_123_ÜRETİM_İHTİYAÇ_RAPORU_BURAK_YENI1309[[#This Row],[ALT_KOD]])-(SUMIFS(H:H,D:D,DST_123_ÜRETİM_İHTİYAÇ_RAPORU_BURAK_YENI1309[[#This Row],[ALT_KOD]])+AVERAGEIFS(I:I,D:D,DST_123_ÜRETİM_İHTİYAÇ_RAPORU_BURAK_YENI1309[[#This Row],[ALT_KOD]])+AVERAGEIFS(L:L,D:D,DST_123_ÜRETİM_İHTİYAÇ_RAPORU_BURAK_YENI1309[[#This Row],[ALT_KOD]]))</f>
        <v>-408</v>
      </c>
      <c r="L2770">
        <v>0</v>
      </c>
      <c r="M2770">
        <f>IF((DST_123_ÜRETİM_İHTİYAÇ_RAPORU_BURAK_YENI1309[[#This Row],[SATINALMA]]*DST_123_ÜRETİM_İHTİYAÇ_RAPORU_BURAK_YENI1309[[#This Row],[BIRIM_FIYATLAR]])&lt;1,VALUE("0"),DST_123_ÜRETİM_İHTİYAÇ_RAPORU_BURAK_YENI1309[[#This Row],[SATINALMA]]*DST_123_ÜRETİM_İHTİYAÇ_RAPORU_BURAK_YENI1309[[#This Row],[BIRIM_FIYATLAR]])</f>
        <v>0</v>
      </c>
      <c r="N2770">
        <v>4</v>
      </c>
      <c r="P2770">
        <v>36</v>
      </c>
      <c r="Q2770" t="s">
        <v>181</v>
      </c>
    </row>
    <row r="2771" spans="1:17" x14ac:dyDescent="0.25">
      <c r="A2771" t="s">
        <v>1100</v>
      </c>
      <c r="B2771" t="s">
        <v>1058</v>
      </c>
      <c r="C2771" t="s">
        <v>175</v>
      </c>
      <c r="D2771" t="s">
        <v>446</v>
      </c>
      <c r="E2771" t="s">
        <v>447</v>
      </c>
      <c r="F2771">
        <v>1</v>
      </c>
      <c r="G2771" t="s">
        <v>176</v>
      </c>
      <c r="H2771">
        <v>1</v>
      </c>
      <c r="I2771">
        <v>13</v>
      </c>
      <c r="J2771" s="10">
        <v>13</v>
      </c>
      <c r="K2771" s="10">
        <f>SUMIFS(F:F,D:D,DST_123_ÜRETİM_İHTİYAÇ_RAPORU_BURAK_YENI1309[[#This Row],[ALT_KOD]])-(SUMIFS(H:H,D:D,DST_123_ÜRETİM_İHTİYAÇ_RAPORU_BURAK_YENI1309[[#This Row],[ALT_KOD]])+AVERAGEIFS(I:I,D:D,DST_123_ÜRETİM_İHTİYAÇ_RAPORU_BURAK_YENI1309[[#This Row],[ALT_KOD]])+AVERAGEIFS(L:L,D:D,DST_123_ÜRETİM_İHTİYAÇ_RAPORU_BURAK_YENI1309[[#This Row],[ALT_KOD]]))</f>
        <v>-1</v>
      </c>
      <c r="L2771">
        <v>0</v>
      </c>
      <c r="M2771">
        <f>IF((DST_123_ÜRETİM_İHTİYAÇ_RAPORU_BURAK_YENI1309[[#This Row],[SATINALMA]]*DST_123_ÜRETİM_İHTİYAÇ_RAPORU_BURAK_YENI1309[[#This Row],[BIRIM_FIYATLAR]])&lt;1,VALUE("0"),DST_123_ÜRETİM_İHTİYAÇ_RAPORU_BURAK_YENI1309[[#This Row],[SATINALMA]]*DST_123_ÜRETİM_İHTİYAÇ_RAPORU_BURAK_YENI1309[[#This Row],[BIRIM_FIYATLAR]])</f>
        <v>0</v>
      </c>
      <c r="N2771">
        <v>237.5</v>
      </c>
      <c r="O2771" t="s">
        <v>628</v>
      </c>
      <c r="P2771">
        <v>237.5</v>
      </c>
      <c r="Q2771" t="s">
        <v>180</v>
      </c>
    </row>
    <row r="2772" spans="1:17" x14ac:dyDescent="0.25">
      <c r="A2772" t="s">
        <v>1101</v>
      </c>
      <c r="B2772" t="s">
        <v>1102</v>
      </c>
      <c r="C2772" t="s">
        <v>175</v>
      </c>
      <c r="D2772" t="s">
        <v>758</v>
      </c>
      <c r="E2772" t="s">
        <v>759</v>
      </c>
      <c r="F2772">
        <v>1</v>
      </c>
      <c r="G2772" t="s">
        <v>176</v>
      </c>
      <c r="H2772">
        <v>1</v>
      </c>
      <c r="I2772">
        <v>5</v>
      </c>
      <c r="J2772" s="10">
        <v>6</v>
      </c>
      <c r="K2772" s="10">
        <f>SUMIFS(F:F,D:D,DST_123_ÜRETİM_İHTİYAÇ_RAPORU_BURAK_YENI1309[[#This Row],[ALT_KOD]])-(SUMIFS(H:H,D:D,DST_123_ÜRETİM_İHTİYAÇ_RAPORU_BURAK_YENI1309[[#This Row],[ALT_KOD]])+AVERAGEIFS(I:I,D:D,DST_123_ÜRETİM_İHTİYAÇ_RAPORU_BURAK_YENI1309[[#This Row],[ALT_KOD]])+AVERAGEIFS(L:L,D:D,DST_123_ÜRETİM_İHTİYAÇ_RAPORU_BURAK_YENI1309[[#This Row],[ALT_KOD]]))</f>
        <v>-4</v>
      </c>
      <c r="L2772">
        <v>0</v>
      </c>
      <c r="M2772">
        <f>IF((DST_123_ÜRETİM_İHTİYAÇ_RAPORU_BURAK_YENI1309[[#This Row],[SATINALMA]]*DST_123_ÜRETİM_İHTİYAÇ_RAPORU_BURAK_YENI1309[[#This Row],[BIRIM_FIYATLAR]])&lt;1,VALUE("0"),DST_123_ÜRETİM_İHTİYAÇ_RAPORU_BURAK_YENI1309[[#This Row],[SATINALMA]]*DST_123_ÜRETİM_İHTİYAÇ_RAPORU_BURAK_YENI1309[[#This Row],[BIRIM_FIYATLAR]])</f>
        <v>0</v>
      </c>
      <c r="N2772">
        <v>8495.43</v>
      </c>
      <c r="O2772" t="s">
        <v>275</v>
      </c>
      <c r="P2772">
        <v>8495.43</v>
      </c>
      <c r="Q2772" t="s">
        <v>177</v>
      </c>
    </row>
    <row r="2773" spans="1:17" x14ac:dyDescent="0.25">
      <c r="A2773" t="s">
        <v>1147</v>
      </c>
      <c r="B2773" t="s">
        <v>1145</v>
      </c>
      <c r="C2773" t="s">
        <v>175</v>
      </c>
      <c r="D2773" t="s">
        <v>493</v>
      </c>
      <c r="E2773" t="s">
        <v>494</v>
      </c>
      <c r="F2773">
        <v>22</v>
      </c>
      <c r="G2773" t="s">
        <v>495</v>
      </c>
      <c r="H2773">
        <v>0</v>
      </c>
      <c r="I2773">
        <v>200</v>
      </c>
      <c r="J2773" s="10">
        <v>86</v>
      </c>
      <c r="K2773" s="10">
        <f>SUMIFS(F:F,D:D,DST_123_ÜRETİM_İHTİYAÇ_RAPORU_BURAK_YENI1309[[#This Row],[ALT_KOD]])-(SUMIFS(H:H,D:D,DST_123_ÜRETİM_İHTİYAÇ_RAPORU_BURAK_YENI1309[[#This Row],[ALT_KOD]])+AVERAGEIFS(I:I,D:D,DST_123_ÜRETİM_İHTİYAÇ_RAPORU_BURAK_YENI1309[[#This Row],[ALT_KOD]])+AVERAGEIFS(L:L,D:D,DST_123_ÜRETİM_İHTİYAÇ_RAPORU_BURAK_YENI1309[[#This Row],[ALT_KOD]]))</f>
        <v>220</v>
      </c>
      <c r="L2773">
        <v>0</v>
      </c>
      <c r="M2773">
        <f>IF((DST_123_ÜRETİM_İHTİYAÇ_RAPORU_BURAK_YENI1309[[#This Row],[SATINALMA]]*DST_123_ÜRETİM_İHTİYAÇ_RAPORU_BURAK_YENI1309[[#This Row],[BIRIM_FIYATLAR]])&lt;1,VALUE("0"),DST_123_ÜRETİM_İHTİYAÇ_RAPORU_BURAK_YENI1309[[#This Row],[SATINALMA]]*DST_123_ÜRETİM_İHTİYAÇ_RAPORU_BURAK_YENI1309[[#This Row],[BIRIM_FIYATLAR]])</f>
        <v>23100</v>
      </c>
      <c r="N2773">
        <v>105</v>
      </c>
      <c r="O2773" t="s">
        <v>296</v>
      </c>
      <c r="P2773">
        <v>2310</v>
      </c>
      <c r="Q2773" t="s">
        <v>184</v>
      </c>
    </row>
    <row r="2774" spans="1:17" x14ac:dyDescent="0.25">
      <c r="A2774" t="s">
        <v>1148</v>
      </c>
      <c r="B2774" t="s">
        <v>1056</v>
      </c>
      <c r="C2774" t="s">
        <v>175</v>
      </c>
      <c r="D2774" t="s">
        <v>493</v>
      </c>
      <c r="E2774" t="s">
        <v>494</v>
      </c>
      <c r="F2774">
        <v>22</v>
      </c>
      <c r="G2774" t="s">
        <v>495</v>
      </c>
      <c r="H2774">
        <v>0</v>
      </c>
      <c r="I2774">
        <v>200</v>
      </c>
      <c r="J2774" s="10">
        <v>86</v>
      </c>
      <c r="K2774" s="10">
        <f>SUMIFS(F:F,D:D,DST_123_ÜRETİM_İHTİYAÇ_RAPORU_BURAK_YENI1309[[#This Row],[ALT_KOD]])-(SUMIFS(H:H,D:D,DST_123_ÜRETİM_İHTİYAÇ_RAPORU_BURAK_YENI1309[[#This Row],[ALT_KOD]])+AVERAGEIFS(I:I,D:D,DST_123_ÜRETİM_İHTİYAÇ_RAPORU_BURAK_YENI1309[[#This Row],[ALT_KOD]])+AVERAGEIFS(L:L,D:D,DST_123_ÜRETİM_İHTİYAÇ_RAPORU_BURAK_YENI1309[[#This Row],[ALT_KOD]]))</f>
        <v>220</v>
      </c>
      <c r="L2774">
        <v>0</v>
      </c>
      <c r="M2774">
        <f>IF((DST_123_ÜRETİM_İHTİYAÇ_RAPORU_BURAK_YENI1309[[#This Row],[SATINALMA]]*DST_123_ÜRETİM_İHTİYAÇ_RAPORU_BURAK_YENI1309[[#This Row],[BIRIM_FIYATLAR]])&lt;1,VALUE("0"),DST_123_ÜRETİM_İHTİYAÇ_RAPORU_BURAK_YENI1309[[#This Row],[SATINALMA]]*DST_123_ÜRETİM_İHTİYAÇ_RAPORU_BURAK_YENI1309[[#This Row],[BIRIM_FIYATLAR]])</f>
        <v>23100</v>
      </c>
      <c r="N2774">
        <v>105</v>
      </c>
      <c r="O2774" t="s">
        <v>296</v>
      </c>
      <c r="P2774">
        <v>2310</v>
      </c>
      <c r="Q2774" t="s">
        <v>184</v>
      </c>
    </row>
    <row r="2775" spans="1:17" x14ac:dyDescent="0.25">
      <c r="A2775" t="s">
        <v>1148</v>
      </c>
      <c r="B2775" t="s">
        <v>1056</v>
      </c>
      <c r="C2775" t="s">
        <v>175</v>
      </c>
      <c r="D2775" t="s">
        <v>678</v>
      </c>
      <c r="E2775" t="s">
        <v>679</v>
      </c>
      <c r="F2775">
        <v>15</v>
      </c>
      <c r="G2775" t="s">
        <v>176</v>
      </c>
      <c r="H2775">
        <v>0</v>
      </c>
      <c r="I2775">
        <v>350</v>
      </c>
      <c r="J2775" s="10">
        <v>210</v>
      </c>
      <c r="K2775" s="10">
        <f>SUMIFS(F:F,D:D,DST_123_ÜRETİM_İHTİYAÇ_RAPORU_BURAK_YENI1309[[#This Row],[ALT_KOD]])-(SUMIFS(H:H,D:D,DST_123_ÜRETİM_İHTİYAÇ_RAPORU_BURAK_YENI1309[[#This Row],[ALT_KOD]])+AVERAGEIFS(I:I,D:D,DST_123_ÜRETİM_İHTİYAÇ_RAPORU_BURAK_YENI1309[[#This Row],[ALT_KOD]])+AVERAGEIFS(L:L,D:D,DST_123_ÜRETİM_İHTİYAÇ_RAPORU_BURAK_YENI1309[[#This Row],[ALT_KOD]]))</f>
        <v>-245</v>
      </c>
      <c r="L2775">
        <v>0</v>
      </c>
      <c r="M2775">
        <f>IF((DST_123_ÜRETİM_İHTİYAÇ_RAPORU_BURAK_YENI1309[[#This Row],[SATINALMA]]*DST_123_ÜRETİM_İHTİYAÇ_RAPORU_BURAK_YENI1309[[#This Row],[BIRIM_FIYATLAR]])&lt;1,VALUE("0"),DST_123_ÜRETİM_İHTİYAÇ_RAPORU_BURAK_YENI1309[[#This Row],[SATINALMA]]*DST_123_ÜRETİM_İHTİYAÇ_RAPORU_BURAK_YENI1309[[#This Row],[BIRIM_FIYATLAR]])</f>
        <v>0</v>
      </c>
      <c r="N2775">
        <v>4</v>
      </c>
      <c r="O2775" t="s">
        <v>226</v>
      </c>
      <c r="P2775">
        <v>60</v>
      </c>
      <c r="Q2775" t="s">
        <v>180</v>
      </c>
    </row>
    <row r="2776" spans="1:17" x14ac:dyDescent="0.25">
      <c r="A2776" t="s">
        <v>1147</v>
      </c>
      <c r="B2776" t="s">
        <v>1145</v>
      </c>
      <c r="C2776" t="s">
        <v>175</v>
      </c>
      <c r="D2776" t="s">
        <v>210</v>
      </c>
      <c r="E2776" t="s">
        <v>211</v>
      </c>
      <c r="F2776">
        <v>1</v>
      </c>
      <c r="G2776" t="s">
        <v>176</v>
      </c>
      <c r="H2776">
        <v>0</v>
      </c>
      <c r="I2776">
        <v>21</v>
      </c>
      <c r="J2776" s="10">
        <v>10</v>
      </c>
      <c r="K2776" s="10">
        <f>SUMIFS(F:F,D:D,DST_123_ÜRETİM_İHTİYAÇ_RAPORU_BURAK_YENI1309[[#This Row],[ALT_KOD]])-(SUMIFS(H:H,D:D,DST_123_ÜRETİM_İHTİYAÇ_RAPORU_BURAK_YENI1309[[#This Row],[ALT_KOD]])+AVERAGEIFS(I:I,D:D,DST_123_ÜRETİM_İHTİYAÇ_RAPORU_BURAK_YENI1309[[#This Row],[ALT_KOD]])+AVERAGEIFS(L:L,D:D,DST_123_ÜRETİM_İHTİYAÇ_RAPORU_BURAK_YENI1309[[#This Row],[ALT_KOD]]))</f>
        <v>-50</v>
      </c>
      <c r="L2776">
        <v>40</v>
      </c>
      <c r="M2776">
        <f>IF((DST_123_ÜRETİM_İHTİYAÇ_RAPORU_BURAK_YENI1309[[#This Row],[SATINALMA]]*DST_123_ÜRETİM_İHTİYAÇ_RAPORU_BURAK_YENI1309[[#This Row],[BIRIM_FIYATLAR]])&lt;1,VALUE("0"),DST_123_ÜRETİM_İHTİYAÇ_RAPORU_BURAK_YENI1309[[#This Row],[SATINALMA]]*DST_123_ÜRETİM_İHTİYAÇ_RAPORU_BURAK_YENI1309[[#This Row],[BIRIM_FIYATLAR]])</f>
        <v>0</v>
      </c>
      <c r="N2776">
        <v>312</v>
      </c>
      <c r="O2776" t="s">
        <v>217</v>
      </c>
      <c r="P2776">
        <v>312</v>
      </c>
      <c r="Q2776" t="s">
        <v>177</v>
      </c>
    </row>
    <row r="2777" spans="1:17" x14ac:dyDescent="0.25">
      <c r="A2777" t="s">
        <v>1148</v>
      </c>
      <c r="B2777" t="s">
        <v>1056</v>
      </c>
      <c r="C2777" t="s">
        <v>175</v>
      </c>
      <c r="D2777" t="s">
        <v>210</v>
      </c>
      <c r="E2777" t="s">
        <v>211</v>
      </c>
      <c r="F2777">
        <v>1</v>
      </c>
      <c r="G2777" t="s">
        <v>176</v>
      </c>
      <c r="H2777">
        <v>0</v>
      </c>
      <c r="I2777">
        <v>21</v>
      </c>
      <c r="J2777" s="10">
        <v>10</v>
      </c>
      <c r="K2777" s="10">
        <f>SUMIFS(F:F,D:D,DST_123_ÜRETİM_İHTİYAÇ_RAPORU_BURAK_YENI1309[[#This Row],[ALT_KOD]])-(SUMIFS(H:H,D:D,DST_123_ÜRETİM_İHTİYAÇ_RAPORU_BURAK_YENI1309[[#This Row],[ALT_KOD]])+AVERAGEIFS(I:I,D:D,DST_123_ÜRETİM_İHTİYAÇ_RAPORU_BURAK_YENI1309[[#This Row],[ALT_KOD]])+AVERAGEIFS(L:L,D:D,DST_123_ÜRETİM_İHTİYAÇ_RAPORU_BURAK_YENI1309[[#This Row],[ALT_KOD]]))</f>
        <v>-50</v>
      </c>
      <c r="L2777">
        <v>40</v>
      </c>
      <c r="M2777">
        <f>IF((DST_123_ÜRETİM_İHTİYAÇ_RAPORU_BURAK_YENI1309[[#This Row],[SATINALMA]]*DST_123_ÜRETİM_İHTİYAÇ_RAPORU_BURAK_YENI1309[[#This Row],[BIRIM_FIYATLAR]])&lt;1,VALUE("0"),DST_123_ÜRETİM_İHTİYAÇ_RAPORU_BURAK_YENI1309[[#This Row],[SATINALMA]]*DST_123_ÜRETİM_İHTİYAÇ_RAPORU_BURAK_YENI1309[[#This Row],[BIRIM_FIYATLAR]])</f>
        <v>0</v>
      </c>
      <c r="N2777">
        <v>312</v>
      </c>
      <c r="O2777" t="s">
        <v>217</v>
      </c>
      <c r="P2777">
        <v>312</v>
      </c>
      <c r="Q2777" t="s">
        <v>177</v>
      </c>
    </row>
    <row r="2778" spans="1:17" x14ac:dyDescent="0.25">
      <c r="A2778" t="s">
        <v>1101</v>
      </c>
      <c r="B2778" t="s">
        <v>1102</v>
      </c>
      <c r="C2778" t="s">
        <v>175</v>
      </c>
      <c r="D2778" t="s">
        <v>493</v>
      </c>
      <c r="E2778" t="s">
        <v>494</v>
      </c>
      <c r="F2778">
        <v>22</v>
      </c>
      <c r="G2778" t="s">
        <v>495</v>
      </c>
      <c r="H2778">
        <v>0</v>
      </c>
      <c r="I2778">
        <v>200</v>
      </c>
      <c r="J2778" s="10">
        <v>86</v>
      </c>
      <c r="K2778" s="10">
        <f>SUMIFS(F:F,D:D,DST_123_ÜRETİM_İHTİYAÇ_RAPORU_BURAK_YENI1309[[#This Row],[ALT_KOD]])-(SUMIFS(H:H,D:D,DST_123_ÜRETİM_İHTİYAÇ_RAPORU_BURAK_YENI1309[[#This Row],[ALT_KOD]])+AVERAGEIFS(I:I,D:D,DST_123_ÜRETİM_İHTİYAÇ_RAPORU_BURAK_YENI1309[[#This Row],[ALT_KOD]])+AVERAGEIFS(L:L,D:D,DST_123_ÜRETİM_İHTİYAÇ_RAPORU_BURAK_YENI1309[[#This Row],[ALT_KOD]]))</f>
        <v>220</v>
      </c>
      <c r="L2778">
        <v>0</v>
      </c>
      <c r="M2778">
        <f>IF((DST_123_ÜRETİM_İHTİYAÇ_RAPORU_BURAK_YENI1309[[#This Row],[SATINALMA]]*DST_123_ÜRETİM_İHTİYAÇ_RAPORU_BURAK_YENI1309[[#This Row],[BIRIM_FIYATLAR]])&lt;1,VALUE("0"),DST_123_ÜRETİM_İHTİYAÇ_RAPORU_BURAK_YENI1309[[#This Row],[SATINALMA]]*DST_123_ÜRETİM_İHTİYAÇ_RAPORU_BURAK_YENI1309[[#This Row],[BIRIM_FIYATLAR]])</f>
        <v>23100</v>
      </c>
      <c r="N2778">
        <v>105</v>
      </c>
      <c r="O2778" t="s">
        <v>296</v>
      </c>
      <c r="P2778">
        <v>2310</v>
      </c>
      <c r="Q2778" t="s">
        <v>184</v>
      </c>
    </row>
    <row r="2779" spans="1:17" x14ac:dyDescent="0.25">
      <c r="A2779" t="s">
        <v>1095</v>
      </c>
      <c r="B2779" t="s">
        <v>1096</v>
      </c>
      <c r="C2779" t="s">
        <v>175</v>
      </c>
      <c r="D2779" t="s">
        <v>210</v>
      </c>
      <c r="E2779" t="s">
        <v>211</v>
      </c>
      <c r="F2779">
        <v>1</v>
      </c>
      <c r="G2779" t="s">
        <v>176</v>
      </c>
      <c r="H2779">
        <v>0</v>
      </c>
      <c r="I2779">
        <v>21</v>
      </c>
      <c r="J2779" s="10">
        <v>10</v>
      </c>
      <c r="K2779" s="10">
        <f>SUMIFS(F:F,D:D,DST_123_ÜRETİM_İHTİYAÇ_RAPORU_BURAK_YENI1309[[#This Row],[ALT_KOD]])-(SUMIFS(H:H,D:D,DST_123_ÜRETİM_İHTİYAÇ_RAPORU_BURAK_YENI1309[[#This Row],[ALT_KOD]])+AVERAGEIFS(I:I,D:D,DST_123_ÜRETİM_İHTİYAÇ_RAPORU_BURAK_YENI1309[[#This Row],[ALT_KOD]])+AVERAGEIFS(L:L,D:D,DST_123_ÜRETİM_İHTİYAÇ_RAPORU_BURAK_YENI1309[[#This Row],[ALT_KOD]]))</f>
        <v>-50</v>
      </c>
      <c r="L2779">
        <v>40</v>
      </c>
      <c r="M2779">
        <f>IF((DST_123_ÜRETİM_İHTİYAÇ_RAPORU_BURAK_YENI1309[[#This Row],[SATINALMA]]*DST_123_ÜRETİM_İHTİYAÇ_RAPORU_BURAK_YENI1309[[#This Row],[BIRIM_FIYATLAR]])&lt;1,VALUE("0"),DST_123_ÜRETİM_İHTİYAÇ_RAPORU_BURAK_YENI1309[[#This Row],[SATINALMA]]*DST_123_ÜRETİM_İHTİYAÇ_RAPORU_BURAK_YENI1309[[#This Row],[BIRIM_FIYATLAR]])</f>
        <v>0</v>
      </c>
      <c r="N2779">
        <v>312</v>
      </c>
      <c r="O2779" t="s">
        <v>217</v>
      </c>
      <c r="P2779">
        <v>312</v>
      </c>
      <c r="Q2779" t="s">
        <v>177</v>
      </c>
    </row>
    <row r="2780" spans="1:17" x14ac:dyDescent="0.25">
      <c r="A2780" t="s">
        <v>1148</v>
      </c>
      <c r="B2780" t="s">
        <v>1056</v>
      </c>
      <c r="C2780" t="s">
        <v>175</v>
      </c>
      <c r="D2780" t="s">
        <v>524</v>
      </c>
      <c r="E2780" t="s">
        <v>525</v>
      </c>
      <c r="F2780">
        <v>7</v>
      </c>
      <c r="G2780" t="s">
        <v>176</v>
      </c>
      <c r="H2780">
        <v>0</v>
      </c>
      <c r="I2780">
        <v>300</v>
      </c>
      <c r="J2780" s="10">
        <v>325</v>
      </c>
      <c r="K2780" s="10">
        <f>SUMIFS(F:F,D:D,DST_123_ÜRETİM_İHTİYAÇ_RAPORU_BURAK_YENI1309[[#This Row],[ALT_KOD]])-(SUMIFS(H:H,D:D,DST_123_ÜRETİM_İHTİYAÇ_RAPORU_BURAK_YENI1309[[#This Row],[ALT_KOD]])+AVERAGEIFS(I:I,D:D,DST_123_ÜRETİM_İHTİYAÇ_RAPORU_BURAK_YENI1309[[#This Row],[ALT_KOD]])+AVERAGEIFS(L:L,D:D,DST_123_ÜRETİM_İHTİYAÇ_RAPORU_BURAK_YENI1309[[#This Row],[ALT_KOD]]))</f>
        <v>-192</v>
      </c>
      <c r="L2780">
        <v>0</v>
      </c>
      <c r="M2780">
        <f>IF((DST_123_ÜRETİM_İHTİYAÇ_RAPORU_BURAK_YENI1309[[#This Row],[SATINALMA]]*DST_123_ÜRETİM_İHTİYAÇ_RAPORU_BURAK_YENI1309[[#This Row],[BIRIM_FIYATLAR]])&lt;1,VALUE("0"),DST_123_ÜRETİM_İHTİYAÇ_RAPORU_BURAK_YENI1309[[#This Row],[SATINALMA]]*DST_123_ÜRETİM_İHTİYAÇ_RAPORU_BURAK_YENI1309[[#This Row],[BIRIM_FIYATLAR]])</f>
        <v>0</v>
      </c>
      <c r="N2780">
        <v>12</v>
      </c>
      <c r="O2780" t="s">
        <v>226</v>
      </c>
      <c r="P2780">
        <v>84</v>
      </c>
      <c r="Q2780" t="s">
        <v>180</v>
      </c>
    </row>
    <row r="2781" spans="1:17" x14ac:dyDescent="0.25">
      <c r="A2781" t="s">
        <v>1147</v>
      </c>
      <c r="B2781" t="s">
        <v>1145</v>
      </c>
      <c r="C2781" t="s">
        <v>175</v>
      </c>
      <c r="D2781" t="s">
        <v>524</v>
      </c>
      <c r="E2781" t="s">
        <v>525</v>
      </c>
      <c r="F2781">
        <v>7</v>
      </c>
      <c r="G2781" t="s">
        <v>176</v>
      </c>
      <c r="H2781">
        <v>0</v>
      </c>
      <c r="I2781">
        <v>300</v>
      </c>
      <c r="J2781" s="10">
        <v>325</v>
      </c>
      <c r="K2781" s="10">
        <f>SUMIFS(F:F,D:D,DST_123_ÜRETİM_İHTİYAÇ_RAPORU_BURAK_YENI1309[[#This Row],[ALT_KOD]])-(SUMIFS(H:H,D:D,DST_123_ÜRETİM_İHTİYAÇ_RAPORU_BURAK_YENI1309[[#This Row],[ALT_KOD]])+AVERAGEIFS(I:I,D:D,DST_123_ÜRETİM_İHTİYAÇ_RAPORU_BURAK_YENI1309[[#This Row],[ALT_KOD]])+AVERAGEIFS(L:L,D:D,DST_123_ÜRETİM_İHTİYAÇ_RAPORU_BURAK_YENI1309[[#This Row],[ALT_KOD]]))</f>
        <v>-192</v>
      </c>
      <c r="L2781">
        <v>0</v>
      </c>
      <c r="M2781">
        <f>IF((DST_123_ÜRETİM_İHTİYAÇ_RAPORU_BURAK_YENI1309[[#This Row],[SATINALMA]]*DST_123_ÜRETİM_İHTİYAÇ_RAPORU_BURAK_YENI1309[[#This Row],[BIRIM_FIYATLAR]])&lt;1,VALUE("0"),DST_123_ÜRETİM_İHTİYAÇ_RAPORU_BURAK_YENI1309[[#This Row],[SATINALMA]]*DST_123_ÜRETİM_İHTİYAÇ_RAPORU_BURAK_YENI1309[[#This Row],[BIRIM_FIYATLAR]])</f>
        <v>0</v>
      </c>
      <c r="N2781">
        <v>12</v>
      </c>
      <c r="O2781" t="s">
        <v>226</v>
      </c>
      <c r="P2781">
        <v>84</v>
      </c>
      <c r="Q2781" t="s">
        <v>180</v>
      </c>
    </row>
    <row r="2782" spans="1:17" x14ac:dyDescent="0.25">
      <c r="A2782" t="s">
        <v>1057</v>
      </c>
      <c r="B2782" t="s">
        <v>1058</v>
      </c>
      <c r="C2782" t="s">
        <v>175</v>
      </c>
      <c r="D2782" t="s">
        <v>526</v>
      </c>
      <c r="E2782" t="s">
        <v>527</v>
      </c>
      <c r="F2782">
        <v>0.8</v>
      </c>
      <c r="G2782" t="s">
        <v>179</v>
      </c>
      <c r="H2782">
        <v>0</v>
      </c>
      <c r="I2782">
        <v>20</v>
      </c>
      <c r="J2782" s="10">
        <v>0</v>
      </c>
      <c r="K2782" s="10">
        <f>SUMIFS(F:F,D:D,DST_123_ÜRETİM_İHTİYAÇ_RAPORU_BURAK_YENI1309[[#This Row],[ALT_KOD]])-(SUMIFS(H:H,D:D,DST_123_ÜRETİM_İHTİYAÇ_RAPORU_BURAK_YENI1309[[#This Row],[ALT_KOD]])+AVERAGEIFS(I:I,D:D,DST_123_ÜRETİM_İHTİYAÇ_RAPORU_BURAK_YENI1309[[#This Row],[ALT_KOD]])+AVERAGEIFS(L:L,D:D,DST_123_ÜRETİM_İHTİYAÇ_RAPORU_BURAK_YENI1309[[#This Row],[ALT_KOD]]))</f>
        <v>-10.4</v>
      </c>
      <c r="L2782">
        <v>0</v>
      </c>
      <c r="M2782">
        <f>IF((DST_123_ÜRETİM_İHTİYAÇ_RAPORU_BURAK_YENI1309[[#This Row],[SATINALMA]]*DST_123_ÜRETİM_İHTİYAÇ_RAPORU_BURAK_YENI1309[[#This Row],[BIRIM_FIYATLAR]])&lt;1,VALUE("0"),DST_123_ÜRETİM_İHTİYAÇ_RAPORU_BURAK_YENI1309[[#This Row],[SATINALMA]]*DST_123_ÜRETİM_İHTİYAÇ_RAPORU_BURAK_YENI1309[[#This Row],[BIRIM_FIYATLAR]])</f>
        <v>0</v>
      </c>
      <c r="N2782">
        <v>38.33</v>
      </c>
      <c r="O2782" t="s">
        <v>254</v>
      </c>
      <c r="P2782">
        <v>30.664000000000001</v>
      </c>
      <c r="Q2782" t="s">
        <v>180</v>
      </c>
    </row>
    <row r="2783" spans="1:17" x14ac:dyDescent="0.25">
      <c r="A2783" t="s">
        <v>1148</v>
      </c>
      <c r="B2783" t="s">
        <v>1056</v>
      </c>
      <c r="C2783" t="s">
        <v>175</v>
      </c>
      <c r="D2783" t="s">
        <v>526</v>
      </c>
      <c r="E2783" t="s">
        <v>527</v>
      </c>
      <c r="F2783">
        <v>1</v>
      </c>
      <c r="G2783" t="s">
        <v>179</v>
      </c>
      <c r="H2783">
        <v>0</v>
      </c>
      <c r="I2783">
        <v>20</v>
      </c>
      <c r="J2783" s="10">
        <v>0</v>
      </c>
      <c r="K2783" s="10">
        <f>SUMIFS(F:F,D:D,DST_123_ÜRETİM_İHTİYAÇ_RAPORU_BURAK_YENI1309[[#This Row],[ALT_KOD]])-(SUMIFS(H:H,D:D,DST_123_ÜRETİM_İHTİYAÇ_RAPORU_BURAK_YENI1309[[#This Row],[ALT_KOD]])+AVERAGEIFS(I:I,D:D,DST_123_ÜRETİM_İHTİYAÇ_RAPORU_BURAK_YENI1309[[#This Row],[ALT_KOD]])+AVERAGEIFS(L:L,D:D,DST_123_ÜRETİM_İHTİYAÇ_RAPORU_BURAK_YENI1309[[#This Row],[ALT_KOD]]))</f>
        <v>-10.4</v>
      </c>
      <c r="L2783">
        <v>0</v>
      </c>
      <c r="M2783">
        <f>IF((DST_123_ÜRETİM_İHTİYAÇ_RAPORU_BURAK_YENI1309[[#This Row],[SATINALMA]]*DST_123_ÜRETİM_İHTİYAÇ_RAPORU_BURAK_YENI1309[[#This Row],[BIRIM_FIYATLAR]])&lt;1,VALUE("0"),DST_123_ÜRETİM_İHTİYAÇ_RAPORU_BURAK_YENI1309[[#This Row],[SATINALMA]]*DST_123_ÜRETİM_İHTİYAÇ_RAPORU_BURAK_YENI1309[[#This Row],[BIRIM_FIYATLAR]])</f>
        <v>0</v>
      </c>
      <c r="N2783">
        <v>38.33</v>
      </c>
      <c r="O2783" t="s">
        <v>254</v>
      </c>
      <c r="P2783">
        <v>38.33</v>
      </c>
      <c r="Q2783" t="s">
        <v>180</v>
      </c>
    </row>
    <row r="2784" spans="1:17" x14ac:dyDescent="0.25">
      <c r="A2784" t="s">
        <v>1148</v>
      </c>
      <c r="B2784" t="s">
        <v>1056</v>
      </c>
      <c r="C2784" t="s">
        <v>175</v>
      </c>
      <c r="D2784" t="s">
        <v>673</v>
      </c>
      <c r="E2784" t="s">
        <v>674</v>
      </c>
      <c r="F2784">
        <v>7</v>
      </c>
      <c r="G2784" t="s">
        <v>176</v>
      </c>
      <c r="H2784">
        <v>0</v>
      </c>
      <c r="I2784">
        <v>150</v>
      </c>
      <c r="J2784" s="10">
        <v>78</v>
      </c>
      <c r="K2784" s="10">
        <f>SUMIFS(F:F,D:D,DST_123_ÜRETİM_İHTİYAÇ_RAPORU_BURAK_YENI1309[[#This Row],[ALT_KOD]])-(SUMIFS(H:H,D:D,DST_123_ÜRETİM_İHTİYAÇ_RAPORU_BURAK_YENI1309[[#This Row],[ALT_KOD]])+AVERAGEIFS(I:I,D:D,DST_123_ÜRETİM_İHTİYAÇ_RAPORU_BURAK_YENI1309[[#This Row],[ALT_KOD]])+AVERAGEIFS(L:L,D:D,DST_123_ÜRETİM_İHTİYAÇ_RAPORU_BURAK_YENI1309[[#This Row],[ALT_KOD]]))</f>
        <v>-48</v>
      </c>
      <c r="L2784">
        <v>0</v>
      </c>
      <c r="M2784">
        <f>IF((DST_123_ÜRETİM_İHTİYAÇ_RAPORU_BURAK_YENI1309[[#This Row],[SATINALMA]]*DST_123_ÜRETİM_İHTİYAÇ_RAPORU_BURAK_YENI1309[[#This Row],[BIRIM_FIYATLAR]])&lt;1,VALUE("0"),DST_123_ÜRETİM_İHTİYAÇ_RAPORU_BURAK_YENI1309[[#This Row],[SATINALMA]]*DST_123_ÜRETİM_İHTİYAÇ_RAPORU_BURAK_YENI1309[[#This Row],[BIRIM_FIYATLAR]])</f>
        <v>0</v>
      </c>
      <c r="N2784">
        <v>20.83</v>
      </c>
      <c r="O2784" t="s">
        <v>226</v>
      </c>
      <c r="P2784">
        <v>145.81</v>
      </c>
      <c r="Q2784" t="s">
        <v>180</v>
      </c>
    </row>
    <row r="2785" spans="1:17" x14ac:dyDescent="0.25">
      <c r="A2785" t="s">
        <v>1057</v>
      </c>
      <c r="B2785" t="s">
        <v>1058</v>
      </c>
      <c r="C2785" t="s">
        <v>175</v>
      </c>
      <c r="D2785" t="s">
        <v>609</v>
      </c>
      <c r="E2785" t="s">
        <v>610</v>
      </c>
      <c r="F2785">
        <v>0.8</v>
      </c>
      <c r="G2785" t="s">
        <v>176</v>
      </c>
      <c r="H2785">
        <v>0</v>
      </c>
      <c r="I2785">
        <v>0</v>
      </c>
      <c r="J2785" s="10">
        <v>11</v>
      </c>
      <c r="K2785" s="10">
        <f>SUMIFS(F:F,D:D,DST_123_ÜRETİM_İHTİYAÇ_RAPORU_BURAK_YENI1309[[#This Row],[ALT_KOD]])-(SUMIFS(H:H,D:D,DST_123_ÜRETİM_İHTİYAÇ_RAPORU_BURAK_YENI1309[[#This Row],[ALT_KOD]])+AVERAGEIFS(I:I,D:D,DST_123_ÜRETİM_İHTİYAÇ_RAPORU_BURAK_YENI1309[[#This Row],[ALT_KOD]])+AVERAGEIFS(L:L,D:D,DST_123_ÜRETİM_İHTİYAÇ_RAPORU_BURAK_YENI1309[[#This Row],[ALT_KOD]]))</f>
        <v>20.000000000000007</v>
      </c>
      <c r="L2785">
        <v>4</v>
      </c>
      <c r="M2785">
        <f>IF((DST_123_ÜRETİM_İHTİYAÇ_RAPORU_BURAK_YENI1309[[#This Row],[SATINALMA]]*DST_123_ÜRETİM_İHTİYAÇ_RAPORU_BURAK_YENI1309[[#This Row],[BIRIM_FIYATLAR]])&lt;1,VALUE("0"),DST_123_ÜRETİM_İHTİYAÇ_RAPORU_BURAK_YENI1309[[#This Row],[SATINALMA]]*DST_123_ÜRETİM_İHTİYAÇ_RAPORU_BURAK_YENI1309[[#This Row],[BIRIM_FIYATLAR]])</f>
        <v>36666.600000000013</v>
      </c>
      <c r="N2785">
        <v>1833.33</v>
      </c>
      <c r="O2785" t="s">
        <v>223</v>
      </c>
      <c r="P2785">
        <v>1466.664</v>
      </c>
      <c r="Q2785" t="s">
        <v>181</v>
      </c>
    </row>
    <row r="2786" spans="1:17" x14ac:dyDescent="0.25">
      <c r="A2786" t="s">
        <v>1148</v>
      </c>
      <c r="B2786" t="s">
        <v>1056</v>
      </c>
      <c r="C2786" t="s">
        <v>175</v>
      </c>
      <c r="D2786" t="s">
        <v>460</v>
      </c>
      <c r="E2786" t="s">
        <v>461</v>
      </c>
      <c r="F2786">
        <v>1.5</v>
      </c>
      <c r="G2786" t="s">
        <v>176</v>
      </c>
      <c r="H2786">
        <v>0</v>
      </c>
      <c r="I2786">
        <v>48</v>
      </c>
      <c r="J2786" s="10">
        <v>26</v>
      </c>
      <c r="K2786" s="10">
        <f>SUMIFS(F:F,D:D,DST_123_ÜRETİM_İHTİYAÇ_RAPORU_BURAK_YENI1309[[#This Row],[ALT_KOD]])-(SUMIFS(H:H,D:D,DST_123_ÜRETİM_İHTİYAÇ_RAPORU_BURAK_YENI1309[[#This Row],[ALT_KOD]])+AVERAGEIFS(I:I,D:D,DST_123_ÜRETİM_İHTİYAÇ_RAPORU_BURAK_YENI1309[[#This Row],[ALT_KOD]])+AVERAGEIFS(L:L,D:D,DST_123_ÜRETİM_İHTİYAÇ_RAPORU_BURAK_YENI1309[[#This Row],[ALT_KOD]]))</f>
        <v>-19.5</v>
      </c>
      <c r="L2786">
        <v>0</v>
      </c>
      <c r="M2786">
        <f>IF((DST_123_ÜRETİM_İHTİYAÇ_RAPORU_BURAK_YENI1309[[#This Row],[SATINALMA]]*DST_123_ÜRETİM_İHTİYAÇ_RAPORU_BURAK_YENI1309[[#This Row],[BIRIM_FIYATLAR]])&lt;1,VALUE("0"),DST_123_ÜRETİM_İHTİYAÇ_RAPORU_BURAK_YENI1309[[#This Row],[SATINALMA]]*DST_123_ÜRETİM_İHTİYAÇ_RAPORU_BURAK_YENI1309[[#This Row],[BIRIM_FIYATLAR]])</f>
        <v>0</v>
      </c>
      <c r="N2786">
        <v>5</v>
      </c>
      <c r="O2786" t="s">
        <v>240</v>
      </c>
      <c r="P2786">
        <v>7.5</v>
      </c>
      <c r="Q2786" t="s">
        <v>180</v>
      </c>
    </row>
    <row r="2787" spans="1:17" x14ac:dyDescent="0.25">
      <c r="A2787" t="s">
        <v>1057</v>
      </c>
      <c r="B2787" t="s">
        <v>1058</v>
      </c>
      <c r="C2787" t="s">
        <v>175</v>
      </c>
      <c r="D2787" t="s">
        <v>562</v>
      </c>
      <c r="E2787" t="s">
        <v>563</v>
      </c>
      <c r="F2787">
        <v>11</v>
      </c>
      <c r="G2787" t="s">
        <v>176</v>
      </c>
      <c r="H2787">
        <v>0</v>
      </c>
      <c r="I2787">
        <v>3000</v>
      </c>
      <c r="J2787" s="10">
        <v>0</v>
      </c>
      <c r="K2787" s="10">
        <f>SUMIFS(F:F,D:D,DST_123_ÜRETİM_İHTİYAÇ_RAPORU_BURAK_YENI1309[[#This Row],[ALT_KOD]])-(SUMIFS(H:H,D:D,DST_123_ÜRETİM_İHTİYAÇ_RAPORU_BURAK_YENI1309[[#This Row],[ALT_KOD]])+AVERAGEIFS(I:I,D:D,DST_123_ÜRETİM_İHTİYAÇ_RAPORU_BURAK_YENI1309[[#This Row],[ALT_KOD]])+AVERAGEIFS(L:L,D:D,DST_123_ÜRETİM_İHTİYAÇ_RAPORU_BURAK_YENI1309[[#This Row],[ALT_KOD]]))</f>
        <v>-2847</v>
      </c>
      <c r="L2787">
        <v>0</v>
      </c>
      <c r="M2787">
        <f>IF((DST_123_ÜRETİM_İHTİYAÇ_RAPORU_BURAK_YENI1309[[#This Row],[SATINALMA]]*DST_123_ÜRETİM_İHTİYAÇ_RAPORU_BURAK_YENI1309[[#This Row],[BIRIM_FIYATLAR]])&lt;1,VALUE("0"),DST_123_ÜRETİM_İHTİYAÇ_RAPORU_BURAK_YENI1309[[#This Row],[SATINALMA]]*DST_123_ÜRETİM_İHTİYAÇ_RAPORU_BURAK_YENI1309[[#This Row],[BIRIM_FIYATLAR]])</f>
        <v>0</v>
      </c>
      <c r="N2787">
        <v>0.7</v>
      </c>
      <c r="O2787" t="s">
        <v>240</v>
      </c>
      <c r="P2787">
        <v>7.6999999999999993</v>
      </c>
      <c r="Q2787" t="s">
        <v>180</v>
      </c>
    </row>
    <row r="2788" spans="1:17" x14ac:dyDescent="0.25">
      <c r="A2788" t="s">
        <v>1148</v>
      </c>
      <c r="B2788" t="s">
        <v>1056</v>
      </c>
      <c r="C2788" t="s">
        <v>175</v>
      </c>
      <c r="D2788" t="s">
        <v>562</v>
      </c>
      <c r="E2788" t="s">
        <v>563</v>
      </c>
      <c r="F2788">
        <v>7</v>
      </c>
      <c r="G2788" t="s">
        <v>176</v>
      </c>
      <c r="H2788">
        <v>0</v>
      </c>
      <c r="I2788">
        <v>3000</v>
      </c>
      <c r="J2788" s="10">
        <v>0</v>
      </c>
      <c r="K2788" s="10">
        <f>SUMIFS(F:F,D:D,DST_123_ÜRETİM_İHTİYAÇ_RAPORU_BURAK_YENI1309[[#This Row],[ALT_KOD]])-(SUMIFS(H:H,D:D,DST_123_ÜRETİM_İHTİYAÇ_RAPORU_BURAK_YENI1309[[#This Row],[ALT_KOD]])+AVERAGEIFS(I:I,D:D,DST_123_ÜRETİM_İHTİYAÇ_RAPORU_BURAK_YENI1309[[#This Row],[ALT_KOD]])+AVERAGEIFS(L:L,D:D,DST_123_ÜRETİM_İHTİYAÇ_RAPORU_BURAK_YENI1309[[#This Row],[ALT_KOD]]))</f>
        <v>-2847</v>
      </c>
      <c r="L2788">
        <v>0</v>
      </c>
      <c r="M2788">
        <f>IF((DST_123_ÜRETİM_İHTİYAÇ_RAPORU_BURAK_YENI1309[[#This Row],[SATINALMA]]*DST_123_ÜRETİM_İHTİYAÇ_RAPORU_BURAK_YENI1309[[#This Row],[BIRIM_FIYATLAR]])&lt;1,VALUE("0"),DST_123_ÜRETİM_İHTİYAÇ_RAPORU_BURAK_YENI1309[[#This Row],[SATINALMA]]*DST_123_ÜRETİM_İHTİYAÇ_RAPORU_BURAK_YENI1309[[#This Row],[BIRIM_FIYATLAR]])</f>
        <v>0</v>
      </c>
      <c r="N2788">
        <v>0.7</v>
      </c>
      <c r="O2788" t="s">
        <v>240</v>
      </c>
      <c r="P2788">
        <v>4.8999999999999995</v>
      </c>
      <c r="Q2788" t="s">
        <v>180</v>
      </c>
    </row>
    <row r="2789" spans="1:17" x14ac:dyDescent="0.25">
      <c r="A2789" t="s">
        <v>1100</v>
      </c>
      <c r="B2789" t="s">
        <v>1058</v>
      </c>
      <c r="C2789" t="s">
        <v>175</v>
      </c>
      <c r="D2789" t="s">
        <v>562</v>
      </c>
      <c r="E2789" t="s">
        <v>563</v>
      </c>
      <c r="F2789">
        <v>11</v>
      </c>
      <c r="G2789" t="s">
        <v>176</v>
      </c>
      <c r="H2789">
        <v>0</v>
      </c>
      <c r="I2789">
        <v>3000</v>
      </c>
      <c r="J2789" s="10">
        <v>0</v>
      </c>
      <c r="K2789" s="10">
        <f>SUMIFS(F:F,D:D,DST_123_ÜRETİM_İHTİYAÇ_RAPORU_BURAK_YENI1309[[#This Row],[ALT_KOD]])-(SUMIFS(H:H,D:D,DST_123_ÜRETİM_İHTİYAÇ_RAPORU_BURAK_YENI1309[[#This Row],[ALT_KOD]])+AVERAGEIFS(I:I,D:D,DST_123_ÜRETİM_İHTİYAÇ_RAPORU_BURAK_YENI1309[[#This Row],[ALT_KOD]])+AVERAGEIFS(L:L,D:D,DST_123_ÜRETİM_İHTİYAÇ_RAPORU_BURAK_YENI1309[[#This Row],[ALT_KOD]]))</f>
        <v>-2847</v>
      </c>
      <c r="L2789">
        <v>0</v>
      </c>
      <c r="M2789">
        <f>IF((DST_123_ÜRETİM_İHTİYAÇ_RAPORU_BURAK_YENI1309[[#This Row],[SATINALMA]]*DST_123_ÜRETİM_İHTİYAÇ_RAPORU_BURAK_YENI1309[[#This Row],[BIRIM_FIYATLAR]])&lt;1,VALUE("0"),DST_123_ÜRETİM_İHTİYAÇ_RAPORU_BURAK_YENI1309[[#This Row],[SATINALMA]]*DST_123_ÜRETİM_İHTİYAÇ_RAPORU_BURAK_YENI1309[[#This Row],[BIRIM_FIYATLAR]])</f>
        <v>0</v>
      </c>
      <c r="N2789">
        <v>0.7</v>
      </c>
      <c r="O2789" t="s">
        <v>240</v>
      </c>
      <c r="P2789">
        <v>7.6999999999999993</v>
      </c>
      <c r="Q2789" t="s">
        <v>180</v>
      </c>
    </row>
    <row r="2790" spans="1:17" x14ac:dyDescent="0.25">
      <c r="A2790" t="s">
        <v>1142</v>
      </c>
      <c r="B2790" t="s">
        <v>1056</v>
      </c>
      <c r="C2790" t="s">
        <v>175</v>
      </c>
      <c r="D2790" t="s">
        <v>269</v>
      </c>
      <c r="E2790" t="s">
        <v>270</v>
      </c>
      <c r="F2790">
        <v>1</v>
      </c>
      <c r="G2790" t="s">
        <v>176</v>
      </c>
      <c r="H2790">
        <v>0</v>
      </c>
      <c r="I2790">
        <v>13</v>
      </c>
      <c r="J2790" s="10">
        <v>9</v>
      </c>
      <c r="K2790" s="10">
        <f>SUMIFS(F:F,D:D,DST_123_ÜRETİM_İHTİYAÇ_RAPORU_BURAK_YENI1309[[#This Row],[ALT_KOD]])-(SUMIFS(H:H,D:D,DST_123_ÜRETİM_İHTİYAÇ_RAPORU_BURAK_YENI1309[[#This Row],[ALT_KOD]])+AVERAGEIFS(I:I,D:D,DST_123_ÜRETİM_İHTİYAÇ_RAPORU_BURAK_YENI1309[[#This Row],[ALT_KOD]])+AVERAGEIFS(L:L,D:D,DST_123_ÜRETİM_İHTİYAÇ_RAPORU_BURAK_YENI1309[[#This Row],[ALT_KOD]]))</f>
        <v>-1</v>
      </c>
      <c r="L2790">
        <v>0</v>
      </c>
      <c r="M2790">
        <f>IF((DST_123_ÜRETİM_İHTİYAÇ_RAPORU_BURAK_YENI1309[[#This Row],[SATINALMA]]*DST_123_ÜRETİM_İHTİYAÇ_RAPORU_BURAK_YENI1309[[#This Row],[BIRIM_FIYATLAR]])&lt;1,VALUE("0"),DST_123_ÜRETİM_İHTİYAÇ_RAPORU_BURAK_YENI1309[[#This Row],[SATINALMA]]*DST_123_ÜRETİM_İHTİYAÇ_RAPORU_BURAK_YENI1309[[#This Row],[BIRIM_FIYATLAR]])</f>
        <v>0</v>
      </c>
      <c r="N2790">
        <v>270</v>
      </c>
      <c r="O2790" t="s">
        <v>220</v>
      </c>
      <c r="P2790">
        <v>270</v>
      </c>
      <c r="Q2790" t="s">
        <v>221</v>
      </c>
    </row>
    <row r="2791" spans="1:17" x14ac:dyDescent="0.25">
      <c r="A2791" t="s">
        <v>1147</v>
      </c>
      <c r="B2791" t="s">
        <v>1145</v>
      </c>
      <c r="C2791" t="s">
        <v>175</v>
      </c>
      <c r="D2791" t="s">
        <v>92</v>
      </c>
      <c r="E2791" t="s">
        <v>93</v>
      </c>
      <c r="F2791">
        <v>4</v>
      </c>
      <c r="G2791" t="s">
        <v>176</v>
      </c>
      <c r="H2791">
        <v>0</v>
      </c>
      <c r="I2791">
        <v>105</v>
      </c>
      <c r="J2791" s="10">
        <v>56</v>
      </c>
      <c r="K2791" s="10">
        <f>SUMIFS(F:F,D:D,DST_123_ÜRETİM_İHTİYAÇ_RAPORU_BURAK_YENI1309[[#This Row],[ALT_KOD]])-(SUMIFS(H:H,D:D,DST_123_ÜRETİM_İHTİYAÇ_RAPORU_BURAK_YENI1309[[#This Row],[ALT_KOD]])+AVERAGEIFS(I:I,D:D,DST_123_ÜRETİM_İHTİYAÇ_RAPORU_BURAK_YENI1309[[#This Row],[ALT_KOD]])+AVERAGEIFS(L:L,D:D,DST_123_ÜRETİM_İHTİYAÇ_RAPORU_BURAK_YENI1309[[#This Row],[ALT_KOD]]))</f>
        <v>-8</v>
      </c>
      <c r="L2791">
        <v>0</v>
      </c>
      <c r="M2791">
        <f>IF((DST_123_ÜRETİM_İHTİYAÇ_RAPORU_BURAK_YENI1309[[#This Row],[SATINALMA]]*DST_123_ÜRETİM_İHTİYAÇ_RAPORU_BURAK_YENI1309[[#This Row],[BIRIM_FIYATLAR]])&lt;1,VALUE("0"),DST_123_ÜRETİM_İHTİYAÇ_RAPORU_BURAK_YENI1309[[#This Row],[SATINALMA]]*DST_123_ÜRETİM_İHTİYAÇ_RAPORU_BURAK_YENI1309[[#This Row],[BIRIM_FIYATLAR]])</f>
        <v>0</v>
      </c>
      <c r="N2791">
        <v>72.599999999999994</v>
      </c>
      <c r="O2791" t="s">
        <v>240</v>
      </c>
      <c r="P2791">
        <v>290.39999999999998</v>
      </c>
      <c r="Q2791" t="s">
        <v>178</v>
      </c>
    </row>
    <row r="2792" spans="1:17" x14ac:dyDescent="0.25">
      <c r="A2792" t="s">
        <v>1143</v>
      </c>
      <c r="B2792" t="s">
        <v>1056</v>
      </c>
      <c r="C2792" t="s">
        <v>175</v>
      </c>
      <c r="D2792" t="s">
        <v>728</v>
      </c>
      <c r="E2792" t="s">
        <v>729</v>
      </c>
      <c r="F2792">
        <v>9</v>
      </c>
      <c r="G2792" t="s">
        <v>179</v>
      </c>
      <c r="H2792">
        <v>0</v>
      </c>
      <c r="I2792">
        <v>0</v>
      </c>
      <c r="J2792" s="10">
        <v>344</v>
      </c>
      <c r="K2792" s="10">
        <f>SUMIFS(F:F,D:D,DST_123_ÜRETİM_İHTİYAÇ_RAPORU_BURAK_YENI1309[[#This Row],[ALT_KOD]])-(SUMIFS(H:H,D:D,DST_123_ÜRETİM_İHTİYAÇ_RAPORU_BURAK_YENI1309[[#This Row],[ALT_KOD]])+AVERAGEIFS(I:I,D:D,DST_123_ÜRETİM_İHTİYAÇ_RAPORU_BURAK_YENI1309[[#This Row],[ALT_KOD]])+AVERAGEIFS(L:L,D:D,DST_123_ÜRETİM_İHTİYAÇ_RAPORU_BURAK_YENI1309[[#This Row],[ALT_KOD]]))</f>
        <v>54</v>
      </c>
      <c r="L2792">
        <v>0</v>
      </c>
      <c r="M2792">
        <f>IF((DST_123_ÜRETİM_İHTİYAÇ_RAPORU_BURAK_YENI1309[[#This Row],[SATINALMA]]*DST_123_ÜRETİM_İHTİYAÇ_RAPORU_BURAK_YENI1309[[#This Row],[BIRIM_FIYATLAR]])&lt;1,VALUE("0"),DST_123_ÜRETİM_İHTİYAÇ_RAPORU_BURAK_YENI1309[[#This Row],[SATINALMA]]*DST_123_ÜRETİM_İHTİYAÇ_RAPORU_BURAK_YENI1309[[#This Row],[BIRIM_FIYATLAR]])</f>
        <v>1102.68</v>
      </c>
      <c r="N2792">
        <v>20.420000000000002</v>
      </c>
      <c r="O2792" t="s">
        <v>223</v>
      </c>
      <c r="P2792">
        <v>183.78000000000003</v>
      </c>
      <c r="Q2792" t="s">
        <v>181</v>
      </c>
    </row>
    <row r="2793" spans="1:17" x14ac:dyDescent="0.25">
      <c r="A2793" t="s">
        <v>1100</v>
      </c>
      <c r="B2793" t="s">
        <v>1058</v>
      </c>
      <c r="C2793" t="s">
        <v>175</v>
      </c>
      <c r="D2793" t="s">
        <v>790</v>
      </c>
      <c r="E2793" t="s">
        <v>828</v>
      </c>
      <c r="F2793">
        <v>6</v>
      </c>
      <c r="G2793" t="s">
        <v>179</v>
      </c>
      <c r="H2793">
        <v>0</v>
      </c>
      <c r="I2793">
        <v>100</v>
      </c>
      <c r="J2793" s="10">
        <v>50</v>
      </c>
      <c r="K2793" s="10">
        <f>SUMIFS(F:F,D:D,DST_123_ÜRETİM_İHTİYAÇ_RAPORU_BURAK_YENI1309[[#This Row],[ALT_KOD]])-(SUMIFS(H:H,D:D,DST_123_ÜRETİM_İHTİYAÇ_RAPORU_BURAK_YENI1309[[#This Row],[ALT_KOD]])+AVERAGEIFS(I:I,D:D,DST_123_ÜRETİM_İHTİYAÇ_RAPORU_BURAK_YENI1309[[#This Row],[ALT_KOD]])+AVERAGEIFS(L:L,D:D,DST_123_ÜRETİM_İHTİYAÇ_RAPORU_BURAK_YENI1309[[#This Row],[ALT_KOD]]))</f>
        <v>-16</v>
      </c>
      <c r="L2793">
        <v>0</v>
      </c>
      <c r="M2793">
        <f>IF((DST_123_ÜRETİM_İHTİYAÇ_RAPORU_BURAK_YENI1309[[#This Row],[SATINALMA]]*DST_123_ÜRETİM_İHTİYAÇ_RAPORU_BURAK_YENI1309[[#This Row],[BIRIM_FIYATLAR]])&lt;1,VALUE("0"),DST_123_ÜRETİM_İHTİYAÇ_RAPORU_BURAK_YENI1309[[#This Row],[SATINALMA]]*DST_123_ÜRETİM_İHTİYAÇ_RAPORU_BURAK_YENI1309[[#This Row],[BIRIM_FIYATLAR]])</f>
        <v>0</v>
      </c>
      <c r="N2793">
        <v>46</v>
      </c>
      <c r="O2793" t="s">
        <v>791</v>
      </c>
      <c r="P2793">
        <v>276</v>
      </c>
      <c r="Q2793" t="s">
        <v>221</v>
      </c>
    </row>
    <row r="2794" spans="1:17" x14ac:dyDescent="0.25">
      <c r="A2794" t="s">
        <v>1147</v>
      </c>
      <c r="B2794" t="s">
        <v>1145</v>
      </c>
      <c r="C2794" t="s">
        <v>175</v>
      </c>
      <c r="D2794" t="s">
        <v>746</v>
      </c>
      <c r="E2794" t="s">
        <v>747</v>
      </c>
      <c r="F2794">
        <v>2</v>
      </c>
      <c r="G2794" t="s">
        <v>176</v>
      </c>
      <c r="H2794">
        <v>0</v>
      </c>
      <c r="I2794">
        <v>3</v>
      </c>
      <c r="J2794" s="10">
        <v>0</v>
      </c>
      <c r="K2794" s="10">
        <f>SUMIFS(F:F,D:D,DST_123_ÜRETİM_İHTİYAÇ_RAPORU_BURAK_YENI1309[[#This Row],[ALT_KOD]])-(SUMIFS(H:H,D:D,DST_123_ÜRETİM_İHTİYAÇ_RAPORU_BURAK_YENI1309[[#This Row],[ALT_KOD]])+AVERAGEIFS(I:I,D:D,DST_123_ÜRETİM_İHTİYAÇ_RAPORU_BURAK_YENI1309[[#This Row],[ALT_KOD]])+AVERAGEIFS(L:L,D:D,DST_123_ÜRETİM_İHTİYAÇ_RAPORU_BURAK_YENI1309[[#This Row],[ALT_KOD]]))</f>
        <v>13</v>
      </c>
      <c r="L2794">
        <v>0</v>
      </c>
      <c r="M2794">
        <f>IF((DST_123_ÜRETİM_İHTİYAÇ_RAPORU_BURAK_YENI1309[[#This Row],[SATINALMA]]*DST_123_ÜRETİM_İHTİYAÇ_RAPORU_BURAK_YENI1309[[#This Row],[BIRIM_FIYATLAR]])&lt;1,VALUE("0"),DST_123_ÜRETİM_İHTİYAÇ_RAPORU_BURAK_YENI1309[[#This Row],[SATINALMA]]*DST_123_ÜRETİM_İHTİYAÇ_RAPORU_BURAK_YENI1309[[#This Row],[BIRIM_FIYATLAR]])</f>
        <v>702</v>
      </c>
      <c r="N2794">
        <v>54</v>
      </c>
      <c r="O2794" t="s">
        <v>226</v>
      </c>
      <c r="P2794">
        <v>108</v>
      </c>
      <c r="Q2794" t="s">
        <v>180</v>
      </c>
    </row>
    <row r="2795" spans="1:17" x14ac:dyDescent="0.25">
      <c r="A2795" t="s">
        <v>1143</v>
      </c>
      <c r="B2795" t="s">
        <v>1056</v>
      </c>
      <c r="C2795" t="s">
        <v>175</v>
      </c>
      <c r="D2795" t="s">
        <v>92</v>
      </c>
      <c r="E2795" t="s">
        <v>93</v>
      </c>
      <c r="F2795">
        <v>6</v>
      </c>
      <c r="G2795" t="s">
        <v>176</v>
      </c>
      <c r="H2795">
        <v>0</v>
      </c>
      <c r="I2795">
        <v>105</v>
      </c>
      <c r="J2795" s="10">
        <v>56</v>
      </c>
      <c r="K2795" s="10">
        <f>SUMIFS(F:F,D:D,DST_123_ÜRETİM_İHTİYAÇ_RAPORU_BURAK_YENI1309[[#This Row],[ALT_KOD]])-(SUMIFS(H:H,D:D,DST_123_ÜRETİM_İHTİYAÇ_RAPORU_BURAK_YENI1309[[#This Row],[ALT_KOD]])+AVERAGEIFS(I:I,D:D,DST_123_ÜRETİM_İHTİYAÇ_RAPORU_BURAK_YENI1309[[#This Row],[ALT_KOD]])+AVERAGEIFS(L:L,D:D,DST_123_ÜRETİM_İHTİYAÇ_RAPORU_BURAK_YENI1309[[#This Row],[ALT_KOD]]))</f>
        <v>-8</v>
      </c>
      <c r="L2795">
        <v>0</v>
      </c>
      <c r="M2795">
        <f>IF((DST_123_ÜRETİM_İHTİYAÇ_RAPORU_BURAK_YENI1309[[#This Row],[SATINALMA]]*DST_123_ÜRETİM_İHTİYAÇ_RAPORU_BURAK_YENI1309[[#This Row],[BIRIM_FIYATLAR]])&lt;1,VALUE("0"),DST_123_ÜRETİM_İHTİYAÇ_RAPORU_BURAK_YENI1309[[#This Row],[SATINALMA]]*DST_123_ÜRETİM_İHTİYAÇ_RAPORU_BURAK_YENI1309[[#This Row],[BIRIM_FIYATLAR]])</f>
        <v>0</v>
      </c>
      <c r="N2795">
        <v>72.599999999999994</v>
      </c>
      <c r="O2795" t="s">
        <v>240</v>
      </c>
      <c r="P2795">
        <v>435.59999999999997</v>
      </c>
      <c r="Q2795" t="s">
        <v>178</v>
      </c>
    </row>
    <row r="2796" spans="1:17" x14ac:dyDescent="0.25">
      <c r="A2796" t="s">
        <v>1059</v>
      </c>
      <c r="B2796" t="s">
        <v>1058</v>
      </c>
      <c r="C2796" t="s">
        <v>175</v>
      </c>
      <c r="D2796" t="s">
        <v>92</v>
      </c>
      <c r="E2796" t="s">
        <v>93</v>
      </c>
      <c r="F2796">
        <v>6</v>
      </c>
      <c r="G2796" t="s">
        <v>176</v>
      </c>
      <c r="H2796">
        <v>0</v>
      </c>
      <c r="I2796">
        <v>105</v>
      </c>
      <c r="J2796" s="10">
        <v>56</v>
      </c>
      <c r="K2796" s="10">
        <f>SUMIFS(F:F,D:D,DST_123_ÜRETİM_İHTİYAÇ_RAPORU_BURAK_YENI1309[[#This Row],[ALT_KOD]])-(SUMIFS(H:H,D:D,DST_123_ÜRETİM_İHTİYAÇ_RAPORU_BURAK_YENI1309[[#This Row],[ALT_KOD]])+AVERAGEIFS(I:I,D:D,DST_123_ÜRETİM_İHTİYAÇ_RAPORU_BURAK_YENI1309[[#This Row],[ALT_KOD]])+AVERAGEIFS(L:L,D:D,DST_123_ÜRETİM_İHTİYAÇ_RAPORU_BURAK_YENI1309[[#This Row],[ALT_KOD]]))</f>
        <v>-8</v>
      </c>
      <c r="L2796">
        <v>0</v>
      </c>
      <c r="M2796">
        <f>IF((DST_123_ÜRETİM_İHTİYAÇ_RAPORU_BURAK_YENI1309[[#This Row],[SATINALMA]]*DST_123_ÜRETİM_İHTİYAÇ_RAPORU_BURAK_YENI1309[[#This Row],[BIRIM_FIYATLAR]])&lt;1,VALUE("0"),DST_123_ÜRETİM_İHTİYAÇ_RAPORU_BURAK_YENI1309[[#This Row],[SATINALMA]]*DST_123_ÜRETİM_İHTİYAÇ_RAPORU_BURAK_YENI1309[[#This Row],[BIRIM_FIYATLAR]])</f>
        <v>0</v>
      </c>
      <c r="N2796">
        <v>72.599999999999994</v>
      </c>
      <c r="O2796" t="s">
        <v>240</v>
      </c>
      <c r="P2796">
        <v>435.59999999999997</v>
      </c>
      <c r="Q2796" t="s">
        <v>178</v>
      </c>
    </row>
    <row r="2797" spans="1:17" x14ac:dyDescent="0.25">
      <c r="A2797" t="s">
        <v>1095</v>
      </c>
      <c r="B2797" t="s">
        <v>1096</v>
      </c>
      <c r="C2797" t="s">
        <v>175</v>
      </c>
      <c r="D2797" t="s">
        <v>846</v>
      </c>
      <c r="E2797" t="s">
        <v>847</v>
      </c>
      <c r="F2797">
        <v>3</v>
      </c>
      <c r="G2797" t="s">
        <v>182</v>
      </c>
      <c r="H2797">
        <v>0</v>
      </c>
      <c r="I2797">
        <v>0</v>
      </c>
      <c r="J2797" s="10">
        <v>-1.4210854715202004E-14</v>
      </c>
      <c r="K2797" s="10">
        <f>SUMIFS(F:F,D:D,DST_123_ÜRETİM_İHTİYAÇ_RAPORU_BURAK_YENI1309[[#This Row],[ALT_KOD]])-(SUMIFS(H:H,D:D,DST_123_ÜRETİM_İHTİYAÇ_RAPORU_BURAK_YENI1309[[#This Row],[ALT_KOD]])+AVERAGEIFS(I:I,D:D,DST_123_ÜRETİM_İHTİYAÇ_RAPORU_BURAK_YENI1309[[#This Row],[ALT_KOD]])+AVERAGEIFS(L:L,D:D,DST_123_ÜRETİM_İHTİYAÇ_RAPORU_BURAK_YENI1309[[#This Row],[ALT_KOD]]))</f>
        <v>52</v>
      </c>
      <c r="L2797">
        <v>0</v>
      </c>
      <c r="M2797">
        <f>IF((DST_123_ÜRETİM_İHTİYAÇ_RAPORU_BURAK_YENI1309[[#This Row],[SATINALMA]]*DST_123_ÜRETİM_İHTİYAÇ_RAPORU_BURAK_YENI1309[[#This Row],[BIRIM_FIYATLAR]])&lt;1,VALUE("0"),DST_123_ÜRETİM_İHTİYAÇ_RAPORU_BURAK_YENI1309[[#This Row],[SATINALMA]]*DST_123_ÜRETİM_İHTİYAÇ_RAPORU_BURAK_YENI1309[[#This Row],[BIRIM_FIYATLAR]])</f>
        <v>28423.200000000001</v>
      </c>
      <c r="N2797">
        <v>546.6</v>
      </c>
      <c r="O2797" t="s">
        <v>253</v>
      </c>
      <c r="P2797">
        <v>1639.8000000000002</v>
      </c>
      <c r="Q2797" t="s">
        <v>181</v>
      </c>
    </row>
    <row r="2798" spans="1:17" x14ac:dyDescent="0.25">
      <c r="A2798" t="s">
        <v>1095</v>
      </c>
      <c r="B2798" t="s">
        <v>1096</v>
      </c>
      <c r="C2798" t="s">
        <v>175</v>
      </c>
      <c r="D2798" t="s">
        <v>269</v>
      </c>
      <c r="E2798" t="s">
        <v>270</v>
      </c>
      <c r="F2798">
        <v>1</v>
      </c>
      <c r="G2798" t="s">
        <v>176</v>
      </c>
      <c r="H2798">
        <v>0</v>
      </c>
      <c r="I2798">
        <v>13</v>
      </c>
      <c r="J2798" s="10">
        <v>9</v>
      </c>
      <c r="K2798" s="10">
        <f>SUMIFS(F:F,D:D,DST_123_ÜRETİM_İHTİYAÇ_RAPORU_BURAK_YENI1309[[#This Row],[ALT_KOD]])-(SUMIFS(H:H,D:D,DST_123_ÜRETİM_İHTİYAÇ_RAPORU_BURAK_YENI1309[[#This Row],[ALT_KOD]])+AVERAGEIFS(I:I,D:D,DST_123_ÜRETİM_İHTİYAÇ_RAPORU_BURAK_YENI1309[[#This Row],[ALT_KOD]])+AVERAGEIFS(L:L,D:D,DST_123_ÜRETİM_İHTİYAÇ_RAPORU_BURAK_YENI1309[[#This Row],[ALT_KOD]]))</f>
        <v>-1</v>
      </c>
      <c r="L2798">
        <v>0</v>
      </c>
      <c r="M2798">
        <f>IF((DST_123_ÜRETİM_İHTİYAÇ_RAPORU_BURAK_YENI1309[[#This Row],[SATINALMA]]*DST_123_ÜRETİM_İHTİYAÇ_RAPORU_BURAK_YENI1309[[#This Row],[BIRIM_FIYATLAR]])&lt;1,VALUE("0"),DST_123_ÜRETİM_İHTİYAÇ_RAPORU_BURAK_YENI1309[[#This Row],[SATINALMA]]*DST_123_ÜRETİM_İHTİYAÇ_RAPORU_BURAK_YENI1309[[#This Row],[BIRIM_FIYATLAR]])</f>
        <v>0</v>
      </c>
      <c r="N2798">
        <v>270</v>
      </c>
      <c r="O2798" t="s">
        <v>220</v>
      </c>
      <c r="P2798">
        <v>270</v>
      </c>
      <c r="Q2798" t="s">
        <v>221</v>
      </c>
    </row>
    <row r="2799" spans="1:17" x14ac:dyDescent="0.25">
      <c r="A2799" t="s">
        <v>1060</v>
      </c>
      <c r="B2799" t="s">
        <v>1061</v>
      </c>
      <c r="C2799" t="s">
        <v>175</v>
      </c>
      <c r="D2799" t="s">
        <v>92</v>
      </c>
      <c r="E2799" t="s">
        <v>93</v>
      </c>
      <c r="F2799">
        <v>4</v>
      </c>
      <c r="G2799" t="s">
        <v>176</v>
      </c>
      <c r="H2799">
        <v>0</v>
      </c>
      <c r="I2799">
        <v>105</v>
      </c>
      <c r="J2799" s="10">
        <v>56</v>
      </c>
      <c r="K2799" s="10">
        <f>SUMIFS(F:F,D:D,DST_123_ÜRETİM_İHTİYAÇ_RAPORU_BURAK_YENI1309[[#This Row],[ALT_KOD]])-(SUMIFS(H:H,D:D,DST_123_ÜRETİM_İHTİYAÇ_RAPORU_BURAK_YENI1309[[#This Row],[ALT_KOD]])+AVERAGEIFS(I:I,D:D,DST_123_ÜRETİM_İHTİYAÇ_RAPORU_BURAK_YENI1309[[#This Row],[ALT_KOD]])+AVERAGEIFS(L:L,D:D,DST_123_ÜRETİM_İHTİYAÇ_RAPORU_BURAK_YENI1309[[#This Row],[ALT_KOD]]))</f>
        <v>-8</v>
      </c>
      <c r="L2799">
        <v>0</v>
      </c>
      <c r="M2799">
        <f>IF((DST_123_ÜRETİM_İHTİYAÇ_RAPORU_BURAK_YENI1309[[#This Row],[SATINALMA]]*DST_123_ÜRETİM_İHTİYAÇ_RAPORU_BURAK_YENI1309[[#This Row],[BIRIM_FIYATLAR]])&lt;1,VALUE("0"),DST_123_ÜRETİM_İHTİYAÇ_RAPORU_BURAK_YENI1309[[#This Row],[SATINALMA]]*DST_123_ÜRETİM_İHTİYAÇ_RAPORU_BURAK_YENI1309[[#This Row],[BIRIM_FIYATLAR]])</f>
        <v>0</v>
      </c>
      <c r="N2799">
        <v>72.599999999999994</v>
      </c>
      <c r="O2799" t="s">
        <v>240</v>
      </c>
      <c r="P2799">
        <v>290.39999999999998</v>
      </c>
      <c r="Q2799" t="s">
        <v>178</v>
      </c>
    </row>
    <row r="2800" spans="1:17" x14ac:dyDescent="0.25">
      <c r="A2800" t="s">
        <v>1057</v>
      </c>
      <c r="B2800" t="s">
        <v>1058</v>
      </c>
      <c r="C2800" t="s">
        <v>175</v>
      </c>
      <c r="D2800" t="s">
        <v>92</v>
      </c>
      <c r="E2800" t="s">
        <v>93</v>
      </c>
      <c r="F2800">
        <v>6</v>
      </c>
      <c r="G2800" t="s">
        <v>176</v>
      </c>
      <c r="H2800">
        <v>0</v>
      </c>
      <c r="I2800">
        <v>105</v>
      </c>
      <c r="J2800" s="10">
        <v>56</v>
      </c>
      <c r="K2800" s="10">
        <f>SUMIFS(F:F,D:D,DST_123_ÜRETİM_İHTİYAÇ_RAPORU_BURAK_YENI1309[[#This Row],[ALT_KOD]])-(SUMIFS(H:H,D:D,DST_123_ÜRETİM_İHTİYAÇ_RAPORU_BURAK_YENI1309[[#This Row],[ALT_KOD]])+AVERAGEIFS(I:I,D:D,DST_123_ÜRETİM_İHTİYAÇ_RAPORU_BURAK_YENI1309[[#This Row],[ALT_KOD]])+AVERAGEIFS(L:L,D:D,DST_123_ÜRETİM_İHTİYAÇ_RAPORU_BURAK_YENI1309[[#This Row],[ALT_KOD]]))</f>
        <v>-8</v>
      </c>
      <c r="L2800">
        <v>0</v>
      </c>
      <c r="M2800">
        <f>IF((DST_123_ÜRETİM_İHTİYAÇ_RAPORU_BURAK_YENI1309[[#This Row],[SATINALMA]]*DST_123_ÜRETİM_İHTİYAÇ_RAPORU_BURAK_YENI1309[[#This Row],[BIRIM_FIYATLAR]])&lt;1,VALUE("0"),DST_123_ÜRETİM_İHTİYAÇ_RAPORU_BURAK_YENI1309[[#This Row],[SATINALMA]]*DST_123_ÜRETİM_İHTİYAÇ_RAPORU_BURAK_YENI1309[[#This Row],[BIRIM_FIYATLAR]])</f>
        <v>0</v>
      </c>
      <c r="N2800">
        <v>72.599999999999994</v>
      </c>
      <c r="O2800" t="s">
        <v>240</v>
      </c>
      <c r="P2800">
        <v>435.59999999999997</v>
      </c>
      <c r="Q2800" t="s">
        <v>178</v>
      </c>
    </row>
    <row r="2801" spans="1:17" x14ac:dyDescent="0.25">
      <c r="A2801" t="s">
        <v>1100</v>
      </c>
      <c r="B2801" t="s">
        <v>1058</v>
      </c>
      <c r="C2801" t="s">
        <v>175</v>
      </c>
      <c r="D2801" t="s">
        <v>92</v>
      </c>
      <c r="E2801" t="s">
        <v>93</v>
      </c>
      <c r="F2801">
        <v>6</v>
      </c>
      <c r="G2801" t="s">
        <v>176</v>
      </c>
      <c r="H2801">
        <v>0</v>
      </c>
      <c r="I2801">
        <v>105</v>
      </c>
      <c r="J2801" s="10">
        <v>56</v>
      </c>
      <c r="K2801" s="10">
        <f>SUMIFS(F:F,D:D,DST_123_ÜRETİM_İHTİYAÇ_RAPORU_BURAK_YENI1309[[#This Row],[ALT_KOD]])-(SUMIFS(H:H,D:D,DST_123_ÜRETİM_İHTİYAÇ_RAPORU_BURAK_YENI1309[[#This Row],[ALT_KOD]])+AVERAGEIFS(I:I,D:D,DST_123_ÜRETİM_İHTİYAÇ_RAPORU_BURAK_YENI1309[[#This Row],[ALT_KOD]])+AVERAGEIFS(L:L,D:D,DST_123_ÜRETİM_İHTİYAÇ_RAPORU_BURAK_YENI1309[[#This Row],[ALT_KOD]]))</f>
        <v>-8</v>
      </c>
      <c r="L2801">
        <v>0</v>
      </c>
      <c r="M2801">
        <f>IF((DST_123_ÜRETİM_İHTİYAÇ_RAPORU_BURAK_YENI1309[[#This Row],[SATINALMA]]*DST_123_ÜRETİM_İHTİYAÇ_RAPORU_BURAK_YENI1309[[#This Row],[BIRIM_FIYATLAR]])&lt;1,VALUE("0"),DST_123_ÜRETİM_İHTİYAÇ_RAPORU_BURAK_YENI1309[[#This Row],[SATINALMA]]*DST_123_ÜRETİM_İHTİYAÇ_RAPORU_BURAK_YENI1309[[#This Row],[BIRIM_FIYATLAR]])</f>
        <v>0</v>
      </c>
      <c r="N2801">
        <v>72.599999999999994</v>
      </c>
      <c r="O2801" t="s">
        <v>240</v>
      </c>
      <c r="P2801">
        <v>435.59999999999997</v>
      </c>
      <c r="Q2801" t="s">
        <v>178</v>
      </c>
    </row>
    <row r="2802" spans="1:17" x14ac:dyDescent="0.25">
      <c r="A2802" t="s">
        <v>1060</v>
      </c>
      <c r="B2802" t="s">
        <v>1061</v>
      </c>
      <c r="C2802" t="s">
        <v>175</v>
      </c>
      <c r="D2802" t="s">
        <v>846</v>
      </c>
      <c r="E2802" t="s">
        <v>847</v>
      </c>
      <c r="F2802">
        <v>2</v>
      </c>
      <c r="G2802" t="s">
        <v>182</v>
      </c>
      <c r="H2802">
        <v>0</v>
      </c>
      <c r="I2802">
        <v>0</v>
      </c>
      <c r="J2802" s="10">
        <v>-1.4210854715202004E-14</v>
      </c>
      <c r="K2802" s="10">
        <f>SUMIFS(F:F,D:D,DST_123_ÜRETİM_İHTİYAÇ_RAPORU_BURAK_YENI1309[[#This Row],[ALT_KOD]])-(SUMIFS(H:H,D:D,DST_123_ÜRETİM_İHTİYAÇ_RAPORU_BURAK_YENI1309[[#This Row],[ALT_KOD]])+AVERAGEIFS(I:I,D:D,DST_123_ÜRETİM_İHTİYAÇ_RAPORU_BURAK_YENI1309[[#This Row],[ALT_KOD]])+AVERAGEIFS(L:L,D:D,DST_123_ÜRETİM_İHTİYAÇ_RAPORU_BURAK_YENI1309[[#This Row],[ALT_KOD]]))</f>
        <v>52</v>
      </c>
      <c r="L2802">
        <v>0</v>
      </c>
      <c r="M2802">
        <f>IF((DST_123_ÜRETİM_İHTİYAÇ_RAPORU_BURAK_YENI1309[[#This Row],[SATINALMA]]*DST_123_ÜRETİM_İHTİYAÇ_RAPORU_BURAK_YENI1309[[#This Row],[BIRIM_FIYATLAR]])&lt;1,VALUE("0"),DST_123_ÜRETİM_İHTİYAÇ_RAPORU_BURAK_YENI1309[[#This Row],[SATINALMA]]*DST_123_ÜRETİM_İHTİYAÇ_RAPORU_BURAK_YENI1309[[#This Row],[BIRIM_FIYATLAR]])</f>
        <v>28423.200000000001</v>
      </c>
      <c r="N2802">
        <v>546.6</v>
      </c>
      <c r="O2802" t="s">
        <v>253</v>
      </c>
      <c r="P2802">
        <v>1093.2</v>
      </c>
      <c r="Q2802" t="s">
        <v>181</v>
      </c>
    </row>
    <row r="2803" spans="1:17" x14ac:dyDescent="0.25">
      <c r="A2803" t="s">
        <v>1147</v>
      </c>
      <c r="B2803" t="s">
        <v>1145</v>
      </c>
      <c r="C2803" t="s">
        <v>175</v>
      </c>
      <c r="D2803" t="s">
        <v>846</v>
      </c>
      <c r="E2803" t="s">
        <v>847</v>
      </c>
      <c r="F2803">
        <v>2</v>
      </c>
      <c r="G2803" t="s">
        <v>182</v>
      </c>
      <c r="H2803">
        <v>0</v>
      </c>
      <c r="I2803">
        <v>0</v>
      </c>
      <c r="J2803" s="10">
        <v>-1.4210854715202004E-14</v>
      </c>
      <c r="K2803" s="10">
        <f>SUMIFS(F:F,D:D,DST_123_ÜRETİM_İHTİYAÇ_RAPORU_BURAK_YENI1309[[#This Row],[ALT_KOD]])-(SUMIFS(H:H,D:D,DST_123_ÜRETİM_İHTİYAÇ_RAPORU_BURAK_YENI1309[[#This Row],[ALT_KOD]])+AVERAGEIFS(I:I,D:D,DST_123_ÜRETİM_İHTİYAÇ_RAPORU_BURAK_YENI1309[[#This Row],[ALT_KOD]])+AVERAGEIFS(L:L,D:D,DST_123_ÜRETİM_İHTİYAÇ_RAPORU_BURAK_YENI1309[[#This Row],[ALT_KOD]]))</f>
        <v>52</v>
      </c>
      <c r="L2803">
        <v>0</v>
      </c>
      <c r="M2803">
        <f>IF((DST_123_ÜRETİM_İHTİYAÇ_RAPORU_BURAK_YENI1309[[#This Row],[SATINALMA]]*DST_123_ÜRETİM_İHTİYAÇ_RAPORU_BURAK_YENI1309[[#This Row],[BIRIM_FIYATLAR]])&lt;1,VALUE("0"),DST_123_ÜRETİM_İHTİYAÇ_RAPORU_BURAK_YENI1309[[#This Row],[SATINALMA]]*DST_123_ÜRETİM_İHTİYAÇ_RAPORU_BURAK_YENI1309[[#This Row],[BIRIM_FIYATLAR]])</f>
        <v>28423.200000000001</v>
      </c>
      <c r="N2803">
        <v>546.6</v>
      </c>
      <c r="O2803" t="s">
        <v>253</v>
      </c>
      <c r="P2803">
        <v>1093.2</v>
      </c>
      <c r="Q2803" t="s">
        <v>181</v>
      </c>
    </row>
    <row r="2804" spans="1:17" x14ac:dyDescent="0.25">
      <c r="A2804" t="s">
        <v>1060</v>
      </c>
      <c r="B2804" t="s">
        <v>1061</v>
      </c>
      <c r="C2804" t="s">
        <v>175</v>
      </c>
      <c r="D2804" t="s">
        <v>790</v>
      </c>
      <c r="E2804" t="s">
        <v>828</v>
      </c>
      <c r="F2804">
        <v>6</v>
      </c>
      <c r="G2804" t="s">
        <v>179</v>
      </c>
      <c r="H2804">
        <v>0</v>
      </c>
      <c r="I2804">
        <v>100</v>
      </c>
      <c r="J2804" s="10">
        <v>50</v>
      </c>
      <c r="K2804" s="10">
        <f>SUMIFS(F:F,D:D,DST_123_ÜRETİM_İHTİYAÇ_RAPORU_BURAK_YENI1309[[#This Row],[ALT_KOD]])-(SUMIFS(H:H,D:D,DST_123_ÜRETİM_İHTİYAÇ_RAPORU_BURAK_YENI1309[[#This Row],[ALT_KOD]])+AVERAGEIFS(I:I,D:D,DST_123_ÜRETİM_İHTİYAÇ_RAPORU_BURAK_YENI1309[[#This Row],[ALT_KOD]])+AVERAGEIFS(L:L,D:D,DST_123_ÜRETİM_İHTİYAÇ_RAPORU_BURAK_YENI1309[[#This Row],[ALT_KOD]]))</f>
        <v>-16</v>
      </c>
      <c r="L2804">
        <v>0</v>
      </c>
      <c r="M2804">
        <f>IF((DST_123_ÜRETİM_İHTİYAÇ_RAPORU_BURAK_YENI1309[[#This Row],[SATINALMA]]*DST_123_ÜRETİM_İHTİYAÇ_RAPORU_BURAK_YENI1309[[#This Row],[BIRIM_FIYATLAR]])&lt;1,VALUE("0"),DST_123_ÜRETİM_İHTİYAÇ_RAPORU_BURAK_YENI1309[[#This Row],[SATINALMA]]*DST_123_ÜRETİM_İHTİYAÇ_RAPORU_BURAK_YENI1309[[#This Row],[BIRIM_FIYATLAR]])</f>
        <v>0</v>
      </c>
      <c r="N2804">
        <v>46</v>
      </c>
      <c r="O2804" t="s">
        <v>791</v>
      </c>
      <c r="P2804">
        <v>276</v>
      </c>
      <c r="Q2804" t="s">
        <v>221</v>
      </c>
    </row>
    <row r="2805" spans="1:17" x14ac:dyDescent="0.25">
      <c r="A2805" t="s">
        <v>1057</v>
      </c>
      <c r="B2805" t="s">
        <v>1058</v>
      </c>
      <c r="C2805" t="s">
        <v>175</v>
      </c>
      <c r="D2805" t="s">
        <v>790</v>
      </c>
      <c r="E2805" t="s">
        <v>828</v>
      </c>
      <c r="F2805">
        <v>6</v>
      </c>
      <c r="G2805" t="s">
        <v>179</v>
      </c>
      <c r="H2805">
        <v>0</v>
      </c>
      <c r="I2805">
        <v>100</v>
      </c>
      <c r="J2805" s="10">
        <v>50</v>
      </c>
      <c r="K2805" s="10">
        <f>SUMIFS(F:F,D:D,DST_123_ÜRETİM_İHTİYAÇ_RAPORU_BURAK_YENI1309[[#This Row],[ALT_KOD]])-(SUMIFS(H:H,D:D,DST_123_ÜRETİM_İHTİYAÇ_RAPORU_BURAK_YENI1309[[#This Row],[ALT_KOD]])+AVERAGEIFS(I:I,D:D,DST_123_ÜRETİM_İHTİYAÇ_RAPORU_BURAK_YENI1309[[#This Row],[ALT_KOD]])+AVERAGEIFS(L:L,D:D,DST_123_ÜRETİM_İHTİYAÇ_RAPORU_BURAK_YENI1309[[#This Row],[ALT_KOD]]))</f>
        <v>-16</v>
      </c>
      <c r="L2805">
        <v>0</v>
      </c>
      <c r="M2805">
        <f>IF((DST_123_ÜRETİM_İHTİYAÇ_RAPORU_BURAK_YENI1309[[#This Row],[SATINALMA]]*DST_123_ÜRETİM_İHTİYAÇ_RAPORU_BURAK_YENI1309[[#This Row],[BIRIM_FIYATLAR]])&lt;1,VALUE("0"),DST_123_ÜRETİM_İHTİYAÇ_RAPORU_BURAK_YENI1309[[#This Row],[SATINALMA]]*DST_123_ÜRETİM_İHTİYAÇ_RAPORU_BURAK_YENI1309[[#This Row],[BIRIM_FIYATLAR]])</f>
        <v>0</v>
      </c>
      <c r="N2805">
        <v>46</v>
      </c>
      <c r="O2805" t="s">
        <v>791</v>
      </c>
      <c r="P2805">
        <v>276</v>
      </c>
      <c r="Q2805" t="s">
        <v>221</v>
      </c>
    </row>
    <row r="2806" spans="1:17" x14ac:dyDescent="0.25">
      <c r="A2806" t="s">
        <v>1143</v>
      </c>
      <c r="B2806" t="s">
        <v>1056</v>
      </c>
      <c r="C2806" t="s">
        <v>175</v>
      </c>
      <c r="D2806" t="s">
        <v>269</v>
      </c>
      <c r="E2806" t="s">
        <v>270</v>
      </c>
      <c r="F2806">
        <v>1</v>
      </c>
      <c r="G2806" t="s">
        <v>176</v>
      </c>
      <c r="H2806">
        <v>0</v>
      </c>
      <c r="I2806">
        <v>13</v>
      </c>
      <c r="J2806" s="10">
        <v>9</v>
      </c>
      <c r="K2806" s="10">
        <f>SUMIFS(F:F,D:D,DST_123_ÜRETİM_İHTİYAÇ_RAPORU_BURAK_YENI1309[[#This Row],[ALT_KOD]])-(SUMIFS(H:H,D:D,DST_123_ÜRETİM_İHTİYAÇ_RAPORU_BURAK_YENI1309[[#This Row],[ALT_KOD]])+AVERAGEIFS(I:I,D:D,DST_123_ÜRETİM_İHTİYAÇ_RAPORU_BURAK_YENI1309[[#This Row],[ALT_KOD]])+AVERAGEIFS(L:L,D:D,DST_123_ÜRETİM_İHTİYAÇ_RAPORU_BURAK_YENI1309[[#This Row],[ALT_KOD]]))</f>
        <v>-1</v>
      </c>
      <c r="L2806">
        <v>0</v>
      </c>
      <c r="M2806">
        <f>IF((DST_123_ÜRETİM_İHTİYAÇ_RAPORU_BURAK_YENI1309[[#This Row],[SATINALMA]]*DST_123_ÜRETİM_İHTİYAÇ_RAPORU_BURAK_YENI1309[[#This Row],[BIRIM_FIYATLAR]])&lt;1,VALUE("0"),DST_123_ÜRETİM_İHTİYAÇ_RAPORU_BURAK_YENI1309[[#This Row],[SATINALMA]]*DST_123_ÜRETİM_İHTİYAÇ_RAPORU_BURAK_YENI1309[[#This Row],[BIRIM_FIYATLAR]])</f>
        <v>0</v>
      </c>
      <c r="N2806">
        <v>270</v>
      </c>
      <c r="O2806" t="s">
        <v>220</v>
      </c>
      <c r="P2806">
        <v>270</v>
      </c>
      <c r="Q2806" t="s">
        <v>221</v>
      </c>
    </row>
    <row r="2807" spans="1:17" x14ac:dyDescent="0.25">
      <c r="A2807" t="s">
        <v>1059</v>
      </c>
      <c r="B2807" t="s">
        <v>1058</v>
      </c>
      <c r="C2807" t="s">
        <v>175</v>
      </c>
      <c r="D2807" t="s">
        <v>469</v>
      </c>
      <c r="E2807" t="s">
        <v>470</v>
      </c>
      <c r="F2807">
        <v>1</v>
      </c>
      <c r="G2807" t="s">
        <v>176</v>
      </c>
      <c r="H2807">
        <v>0</v>
      </c>
      <c r="I2807">
        <v>39</v>
      </c>
      <c r="J2807" s="10">
        <v>2</v>
      </c>
      <c r="K2807" s="10">
        <f>SUMIFS(F:F,D:D,DST_123_ÜRETİM_İHTİYAÇ_RAPORU_BURAK_YENI1309[[#This Row],[ALT_KOD]])-(SUMIFS(H:H,D:D,DST_123_ÜRETİM_İHTİYAÇ_RAPORU_BURAK_YENI1309[[#This Row],[ALT_KOD]])+AVERAGEIFS(I:I,D:D,DST_123_ÜRETİM_İHTİYAÇ_RAPORU_BURAK_YENI1309[[#This Row],[ALT_KOD]])+AVERAGEIFS(L:L,D:D,DST_123_ÜRETİM_İHTİYAÇ_RAPORU_BURAK_YENI1309[[#This Row],[ALT_KOD]]))</f>
        <v>-19</v>
      </c>
      <c r="L2807">
        <v>0</v>
      </c>
      <c r="M2807">
        <f>IF((DST_123_ÜRETİM_İHTİYAÇ_RAPORU_BURAK_YENI1309[[#This Row],[SATINALMA]]*DST_123_ÜRETİM_İHTİYAÇ_RAPORU_BURAK_YENI1309[[#This Row],[BIRIM_FIYATLAR]])&lt;1,VALUE("0"),DST_123_ÜRETİM_İHTİYAÇ_RAPORU_BURAK_YENI1309[[#This Row],[SATINALMA]]*DST_123_ÜRETİM_İHTİYAÇ_RAPORU_BURAK_YENI1309[[#This Row],[BIRIM_FIYATLAR]])</f>
        <v>0</v>
      </c>
      <c r="N2807">
        <v>65</v>
      </c>
      <c r="O2807" t="s">
        <v>821</v>
      </c>
      <c r="P2807">
        <v>65</v>
      </c>
      <c r="Q2807" t="s">
        <v>178</v>
      </c>
    </row>
    <row r="2808" spans="1:17" x14ac:dyDescent="0.25">
      <c r="A2808" t="s">
        <v>1059</v>
      </c>
      <c r="B2808" t="s">
        <v>1058</v>
      </c>
      <c r="C2808" t="s">
        <v>175</v>
      </c>
      <c r="D2808" t="s">
        <v>336</v>
      </c>
      <c r="E2808" t="s">
        <v>623</v>
      </c>
      <c r="F2808">
        <v>1</v>
      </c>
      <c r="G2808" t="s">
        <v>176</v>
      </c>
      <c r="H2808">
        <v>0</v>
      </c>
      <c r="I2808">
        <v>5</v>
      </c>
      <c r="J2808" s="10">
        <v>4</v>
      </c>
      <c r="K2808" s="10">
        <f>SUMIFS(F:F,D:D,DST_123_ÜRETİM_İHTİYAÇ_RAPORU_BURAK_YENI1309[[#This Row],[ALT_KOD]])-(SUMIFS(H:H,D:D,DST_123_ÜRETİM_İHTİYAÇ_RAPORU_BURAK_YENI1309[[#This Row],[ALT_KOD]])+AVERAGEIFS(I:I,D:D,DST_123_ÜRETİM_İHTİYAÇ_RAPORU_BURAK_YENI1309[[#This Row],[ALT_KOD]])+AVERAGEIFS(L:L,D:D,DST_123_ÜRETİM_İHTİYAÇ_RAPORU_BURAK_YENI1309[[#This Row],[ALT_KOD]]))</f>
        <v>2</v>
      </c>
      <c r="L2808">
        <v>0</v>
      </c>
      <c r="M2808">
        <f>IF((DST_123_ÜRETİM_İHTİYAÇ_RAPORU_BURAK_YENI1309[[#This Row],[SATINALMA]]*DST_123_ÜRETİM_İHTİYAÇ_RAPORU_BURAK_YENI1309[[#This Row],[BIRIM_FIYATLAR]])&lt;1,VALUE("0"),DST_123_ÜRETİM_İHTİYAÇ_RAPORU_BURAK_YENI1309[[#This Row],[SATINALMA]]*DST_123_ÜRETİM_İHTİYAÇ_RAPORU_BURAK_YENI1309[[#This Row],[BIRIM_FIYATLAR]])</f>
        <v>3359.06</v>
      </c>
      <c r="N2808">
        <v>1679.53</v>
      </c>
      <c r="O2808" t="s">
        <v>636</v>
      </c>
      <c r="P2808">
        <v>1679.53</v>
      </c>
      <c r="Q2808" t="s">
        <v>178</v>
      </c>
    </row>
    <row r="2809" spans="1:17" x14ac:dyDescent="0.25">
      <c r="A2809" t="s">
        <v>1098</v>
      </c>
      <c r="B2809" t="s">
        <v>1096</v>
      </c>
      <c r="C2809" t="s">
        <v>175</v>
      </c>
      <c r="D2809" t="s">
        <v>469</v>
      </c>
      <c r="E2809" t="s">
        <v>470</v>
      </c>
      <c r="F2809">
        <v>1</v>
      </c>
      <c r="G2809" t="s">
        <v>176</v>
      </c>
      <c r="H2809">
        <v>0</v>
      </c>
      <c r="I2809">
        <v>39</v>
      </c>
      <c r="J2809" s="10">
        <v>2</v>
      </c>
      <c r="K2809" s="10">
        <f>SUMIFS(F:F,D:D,DST_123_ÜRETİM_İHTİYAÇ_RAPORU_BURAK_YENI1309[[#This Row],[ALT_KOD]])-(SUMIFS(H:H,D:D,DST_123_ÜRETİM_İHTİYAÇ_RAPORU_BURAK_YENI1309[[#This Row],[ALT_KOD]])+AVERAGEIFS(I:I,D:D,DST_123_ÜRETİM_İHTİYAÇ_RAPORU_BURAK_YENI1309[[#This Row],[ALT_KOD]])+AVERAGEIFS(L:L,D:D,DST_123_ÜRETİM_İHTİYAÇ_RAPORU_BURAK_YENI1309[[#This Row],[ALT_KOD]]))</f>
        <v>-19</v>
      </c>
      <c r="L2809">
        <v>0</v>
      </c>
      <c r="M2809">
        <f>IF((DST_123_ÜRETİM_İHTİYAÇ_RAPORU_BURAK_YENI1309[[#This Row],[SATINALMA]]*DST_123_ÜRETİM_İHTİYAÇ_RAPORU_BURAK_YENI1309[[#This Row],[BIRIM_FIYATLAR]])&lt;1,VALUE("0"),DST_123_ÜRETİM_İHTİYAÇ_RAPORU_BURAK_YENI1309[[#This Row],[SATINALMA]]*DST_123_ÜRETİM_İHTİYAÇ_RAPORU_BURAK_YENI1309[[#This Row],[BIRIM_FIYATLAR]])</f>
        <v>0</v>
      </c>
      <c r="N2809">
        <v>65</v>
      </c>
      <c r="O2809" t="s">
        <v>821</v>
      </c>
      <c r="P2809">
        <v>65</v>
      </c>
      <c r="Q2809" t="s">
        <v>178</v>
      </c>
    </row>
    <row r="2810" spans="1:17" x14ac:dyDescent="0.25">
      <c r="A2810" t="s">
        <v>1101</v>
      </c>
      <c r="B2810" t="s">
        <v>1102</v>
      </c>
      <c r="C2810" t="s">
        <v>175</v>
      </c>
      <c r="D2810" t="s">
        <v>23</v>
      </c>
      <c r="E2810" t="s">
        <v>304</v>
      </c>
      <c r="F2810">
        <v>1</v>
      </c>
      <c r="G2810" t="s">
        <v>176</v>
      </c>
      <c r="H2810">
        <v>0</v>
      </c>
      <c r="I2810">
        <v>0</v>
      </c>
      <c r="J2810" s="10">
        <v>7</v>
      </c>
      <c r="K2810" s="10">
        <f>SUMIFS(F:F,D:D,DST_123_ÜRETİM_İHTİYAÇ_RAPORU_BURAK_YENI1309[[#This Row],[ALT_KOD]])-(SUMIFS(H:H,D:D,DST_123_ÜRETİM_İHTİYAÇ_RAPORU_BURAK_YENI1309[[#This Row],[ALT_KOD]])+AVERAGEIFS(I:I,D:D,DST_123_ÜRETİM_İHTİYAÇ_RAPORU_BURAK_YENI1309[[#This Row],[ALT_KOD]])+AVERAGEIFS(L:L,D:D,DST_123_ÜRETİM_İHTİYAÇ_RAPORU_BURAK_YENI1309[[#This Row],[ALT_KOD]]))</f>
        <v>19</v>
      </c>
      <c r="L2810">
        <v>0</v>
      </c>
      <c r="M2810">
        <f>IF((DST_123_ÜRETİM_İHTİYAÇ_RAPORU_BURAK_YENI1309[[#This Row],[SATINALMA]]*DST_123_ÜRETİM_İHTİYAÇ_RAPORU_BURAK_YENI1309[[#This Row],[BIRIM_FIYATLAR]])&lt;1,VALUE("0"),DST_123_ÜRETİM_İHTİYAÇ_RAPORU_BURAK_YENI1309[[#This Row],[SATINALMA]]*DST_123_ÜRETİM_İHTİYAÇ_RAPORU_BURAK_YENI1309[[#This Row],[BIRIM_FIYATLAR]])</f>
        <v>760</v>
      </c>
      <c r="N2810">
        <v>40</v>
      </c>
      <c r="O2810" t="s">
        <v>635</v>
      </c>
      <c r="P2810">
        <v>40</v>
      </c>
      <c r="Q2810" t="s">
        <v>221</v>
      </c>
    </row>
    <row r="2811" spans="1:17" x14ac:dyDescent="0.25">
      <c r="A2811" t="s">
        <v>1099</v>
      </c>
      <c r="B2811" t="s">
        <v>1055</v>
      </c>
      <c r="C2811" t="s">
        <v>175</v>
      </c>
      <c r="D2811" t="s">
        <v>682</v>
      </c>
      <c r="E2811" t="s">
        <v>683</v>
      </c>
      <c r="F2811">
        <v>2</v>
      </c>
      <c r="G2811" t="s">
        <v>176</v>
      </c>
      <c r="H2811">
        <v>0</v>
      </c>
      <c r="I2811">
        <v>34</v>
      </c>
      <c r="J2811" s="10">
        <v>27</v>
      </c>
      <c r="K2811" s="10">
        <f>SUMIFS(F:F,D:D,DST_123_ÜRETİM_İHTİYAÇ_RAPORU_BURAK_YENI1309[[#This Row],[ALT_KOD]])-(SUMIFS(H:H,D:D,DST_123_ÜRETİM_İHTİYAÇ_RAPORU_BURAK_YENI1309[[#This Row],[ALT_KOD]])+AVERAGEIFS(I:I,D:D,DST_123_ÜRETİM_İHTİYAÇ_RAPORU_BURAK_YENI1309[[#This Row],[ALT_KOD]])+AVERAGEIFS(L:L,D:D,DST_123_ÜRETİM_İHTİYAÇ_RAPORU_BURAK_YENI1309[[#This Row],[ALT_KOD]]))</f>
        <v>-6</v>
      </c>
      <c r="L2811">
        <v>0</v>
      </c>
      <c r="M2811">
        <f>IF((DST_123_ÜRETİM_İHTİYAÇ_RAPORU_BURAK_YENI1309[[#This Row],[SATINALMA]]*DST_123_ÜRETİM_İHTİYAÇ_RAPORU_BURAK_YENI1309[[#This Row],[BIRIM_FIYATLAR]])&lt;1,VALUE("0"),DST_123_ÜRETİM_İHTİYAÇ_RAPORU_BURAK_YENI1309[[#This Row],[SATINALMA]]*DST_123_ÜRETİM_İHTİYAÇ_RAPORU_BURAK_YENI1309[[#This Row],[BIRIM_FIYATLAR]])</f>
        <v>0</v>
      </c>
      <c r="N2811">
        <v>500</v>
      </c>
      <c r="O2811" t="s">
        <v>584</v>
      </c>
      <c r="P2811">
        <v>1000</v>
      </c>
      <c r="Q2811" t="s">
        <v>177</v>
      </c>
    </row>
    <row r="2812" spans="1:17" x14ac:dyDescent="0.25">
      <c r="A2812" t="s">
        <v>1196</v>
      </c>
      <c r="B2812" t="s">
        <v>1197</v>
      </c>
      <c r="C2812" t="s">
        <v>175</v>
      </c>
      <c r="D2812" t="s">
        <v>682</v>
      </c>
      <c r="E2812" t="s">
        <v>683</v>
      </c>
      <c r="F2812">
        <v>2</v>
      </c>
      <c r="G2812" t="s">
        <v>176</v>
      </c>
      <c r="H2812">
        <v>0</v>
      </c>
      <c r="I2812">
        <v>34</v>
      </c>
      <c r="J2812" s="10">
        <v>27</v>
      </c>
      <c r="K2812" s="10">
        <f>SUMIFS(F:F,D:D,DST_123_ÜRETİM_İHTİYAÇ_RAPORU_BURAK_YENI1309[[#This Row],[ALT_KOD]])-(SUMIFS(H:H,D:D,DST_123_ÜRETİM_İHTİYAÇ_RAPORU_BURAK_YENI1309[[#This Row],[ALT_KOD]])+AVERAGEIFS(I:I,D:D,DST_123_ÜRETİM_İHTİYAÇ_RAPORU_BURAK_YENI1309[[#This Row],[ALT_KOD]])+AVERAGEIFS(L:L,D:D,DST_123_ÜRETİM_İHTİYAÇ_RAPORU_BURAK_YENI1309[[#This Row],[ALT_KOD]]))</f>
        <v>-6</v>
      </c>
      <c r="L2812">
        <v>0</v>
      </c>
      <c r="M2812">
        <f>IF((DST_123_ÜRETİM_İHTİYAÇ_RAPORU_BURAK_YENI1309[[#This Row],[SATINALMA]]*DST_123_ÜRETİM_İHTİYAÇ_RAPORU_BURAK_YENI1309[[#This Row],[BIRIM_FIYATLAR]])&lt;1,VALUE("0"),DST_123_ÜRETİM_İHTİYAÇ_RAPORU_BURAK_YENI1309[[#This Row],[SATINALMA]]*DST_123_ÜRETİM_İHTİYAÇ_RAPORU_BURAK_YENI1309[[#This Row],[BIRIM_FIYATLAR]])</f>
        <v>0</v>
      </c>
      <c r="N2812">
        <v>500</v>
      </c>
      <c r="O2812" t="s">
        <v>584</v>
      </c>
      <c r="P2812">
        <v>1000</v>
      </c>
      <c r="Q2812" t="s">
        <v>177</v>
      </c>
    </row>
    <row r="2813" spans="1:17" x14ac:dyDescent="0.25">
      <c r="A2813" t="s">
        <v>1099</v>
      </c>
      <c r="B2813" t="s">
        <v>1055</v>
      </c>
      <c r="C2813" t="s">
        <v>175</v>
      </c>
      <c r="D2813" t="s">
        <v>684</v>
      </c>
      <c r="E2813" t="s">
        <v>685</v>
      </c>
      <c r="F2813">
        <v>1</v>
      </c>
      <c r="G2813" t="s">
        <v>176</v>
      </c>
      <c r="H2813">
        <v>0</v>
      </c>
      <c r="I2813">
        <v>23</v>
      </c>
      <c r="J2813" s="10">
        <v>17</v>
      </c>
      <c r="K2813" s="10">
        <f>SUMIFS(F:F,D:D,DST_123_ÜRETİM_İHTİYAÇ_RAPORU_BURAK_YENI1309[[#This Row],[ALT_KOD]])-(SUMIFS(H:H,D:D,DST_123_ÜRETİM_İHTİYAÇ_RAPORU_BURAK_YENI1309[[#This Row],[ALT_KOD]])+AVERAGEIFS(I:I,D:D,DST_123_ÜRETİM_İHTİYAÇ_RAPORU_BURAK_YENI1309[[#This Row],[ALT_KOD]])+AVERAGEIFS(L:L,D:D,DST_123_ÜRETİM_İHTİYAÇ_RAPORU_BURAK_YENI1309[[#This Row],[ALT_KOD]]))</f>
        <v>-8</v>
      </c>
      <c r="L2813">
        <v>0</v>
      </c>
      <c r="M2813">
        <f>IF((DST_123_ÜRETİM_İHTİYAÇ_RAPORU_BURAK_YENI1309[[#This Row],[SATINALMA]]*DST_123_ÜRETİM_İHTİYAÇ_RAPORU_BURAK_YENI1309[[#This Row],[BIRIM_FIYATLAR]])&lt;1,VALUE("0"),DST_123_ÜRETİM_İHTİYAÇ_RAPORU_BURAK_YENI1309[[#This Row],[SATINALMA]]*DST_123_ÜRETİM_İHTİYAÇ_RAPORU_BURAK_YENI1309[[#This Row],[BIRIM_FIYATLAR]])</f>
        <v>0</v>
      </c>
      <c r="N2813">
        <v>750</v>
      </c>
      <c r="O2813" t="s">
        <v>584</v>
      </c>
      <c r="P2813">
        <v>750</v>
      </c>
      <c r="Q2813" t="s">
        <v>177</v>
      </c>
    </row>
    <row r="2814" spans="1:17" x14ac:dyDescent="0.25">
      <c r="A2814" t="s">
        <v>1196</v>
      </c>
      <c r="B2814" t="s">
        <v>1197</v>
      </c>
      <c r="C2814" t="s">
        <v>175</v>
      </c>
      <c r="D2814" t="s">
        <v>684</v>
      </c>
      <c r="E2814" t="s">
        <v>685</v>
      </c>
      <c r="F2814">
        <v>1</v>
      </c>
      <c r="G2814" t="s">
        <v>176</v>
      </c>
      <c r="H2814">
        <v>0</v>
      </c>
      <c r="I2814">
        <v>23</v>
      </c>
      <c r="J2814" s="10">
        <v>17</v>
      </c>
      <c r="K2814" s="10">
        <f>SUMIFS(F:F,D:D,DST_123_ÜRETİM_İHTİYAÇ_RAPORU_BURAK_YENI1309[[#This Row],[ALT_KOD]])-(SUMIFS(H:H,D:D,DST_123_ÜRETİM_İHTİYAÇ_RAPORU_BURAK_YENI1309[[#This Row],[ALT_KOD]])+AVERAGEIFS(I:I,D:D,DST_123_ÜRETİM_İHTİYAÇ_RAPORU_BURAK_YENI1309[[#This Row],[ALT_KOD]])+AVERAGEIFS(L:L,D:D,DST_123_ÜRETİM_İHTİYAÇ_RAPORU_BURAK_YENI1309[[#This Row],[ALT_KOD]]))</f>
        <v>-8</v>
      </c>
      <c r="L2814">
        <v>0</v>
      </c>
      <c r="M2814">
        <f>IF((DST_123_ÜRETİM_İHTİYAÇ_RAPORU_BURAK_YENI1309[[#This Row],[SATINALMA]]*DST_123_ÜRETİM_İHTİYAÇ_RAPORU_BURAK_YENI1309[[#This Row],[BIRIM_FIYATLAR]])&lt;1,VALUE("0"),DST_123_ÜRETİM_İHTİYAÇ_RAPORU_BURAK_YENI1309[[#This Row],[SATINALMA]]*DST_123_ÜRETİM_İHTİYAÇ_RAPORU_BURAK_YENI1309[[#This Row],[BIRIM_FIYATLAR]])</f>
        <v>0</v>
      </c>
      <c r="N2814">
        <v>750</v>
      </c>
      <c r="O2814" t="s">
        <v>584</v>
      </c>
      <c r="P2814">
        <v>750</v>
      </c>
      <c r="Q2814" t="s">
        <v>177</v>
      </c>
    </row>
    <row r="2815" spans="1:17" x14ac:dyDescent="0.25">
      <c r="A2815" t="s">
        <v>1099</v>
      </c>
      <c r="B2815" t="s">
        <v>1055</v>
      </c>
      <c r="C2815" t="s">
        <v>175</v>
      </c>
      <c r="D2815" t="s">
        <v>469</v>
      </c>
      <c r="E2815" t="s">
        <v>470</v>
      </c>
      <c r="F2815">
        <v>1</v>
      </c>
      <c r="G2815" t="s">
        <v>176</v>
      </c>
      <c r="H2815">
        <v>0</v>
      </c>
      <c r="I2815">
        <v>39</v>
      </c>
      <c r="J2815" s="10">
        <v>2</v>
      </c>
      <c r="K2815" s="10">
        <f>SUMIFS(F:F,D:D,DST_123_ÜRETİM_İHTİYAÇ_RAPORU_BURAK_YENI1309[[#This Row],[ALT_KOD]])-(SUMIFS(H:H,D:D,DST_123_ÜRETİM_İHTİYAÇ_RAPORU_BURAK_YENI1309[[#This Row],[ALT_KOD]])+AVERAGEIFS(I:I,D:D,DST_123_ÜRETİM_İHTİYAÇ_RAPORU_BURAK_YENI1309[[#This Row],[ALT_KOD]])+AVERAGEIFS(L:L,D:D,DST_123_ÜRETİM_İHTİYAÇ_RAPORU_BURAK_YENI1309[[#This Row],[ALT_KOD]]))</f>
        <v>-19</v>
      </c>
      <c r="L2815">
        <v>0</v>
      </c>
      <c r="M2815">
        <f>IF((DST_123_ÜRETİM_İHTİYAÇ_RAPORU_BURAK_YENI1309[[#This Row],[SATINALMA]]*DST_123_ÜRETİM_İHTİYAÇ_RAPORU_BURAK_YENI1309[[#This Row],[BIRIM_FIYATLAR]])&lt;1,VALUE("0"),DST_123_ÜRETİM_İHTİYAÇ_RAPORU_BURAK_YENI1309[[#This Row],[SATINALMA]]*DST_123_ÜRETİM_İHTİYAÇ_RAPORU_BURAK_YENI1309[[#This Row],[BIRIM_FIYATLAR]])</f>
        <v>0</v>
      </c>
      <c r="N2815">
        <v>65</v>
      </c>
      <c r="O2815" t="s">
        <v>821</v>
      </c>
      <c r="P2815">
        <v>65</v>
      </c>
      <c r="Q2815" t="s">
        <v>178</v>
      </c>
    </row>
    <row r="2816" spans="1:17" x14ac:dyDescent="0.25">
      <c r="A2816" t="s">
        <v>1148</v>
      </c>
      <c r="B2816" t="s">
        <v>1056</v>
      </c>
      <c r="C2816" t="s">
        <v>175</v>
      </c>
      <c r="D2816" t="s">
        <v>23</v>
      </c>
      <c r="E2816" t="s">
        <v>304</v>
      </c>
      <c r="F2816">
        <v>1</v>
      </c>
      <c r="G2816" t="s">
        <v>176</v>
      </c>
      <c r="H2816">
        <v>0</v>
      </c>
      <c r="I2816">
        <v>0</v>
      </c>
      <c r="J2816" s="10">
        <v>7</v>
      </c>
      <c r="K2816" s="10">
        <f>SUMIFS(F:F,D:D,DST_123_ÜRETİM_İHTİYAÇ_RAPORU_BURAK_YENI1309[[#This Row],[ALT_KOD]])-(SUMIFS(H:H,D:D,DST_123_ÜRETİM_İHTİYAÇ_RAPORU_BURAK_YENI1309[[#This Row],[ALT_KOD]])+AVERAGEIFS(I:I,D:D,DST_123_ÜRETİM_İHTİYAÇ_RAPORU_BURAK_YENI1309[[#This Row],[ALT_KOD]])+AVERAGEIFS(L:L,D:D,DST_123_ÜRETİM_İHTİYAÇ_RAPORU_BURAK_YENI1309[[#This Row],[ALT_KOD]]))</f>
        <v>19</v>
      </c>
      <c r="L2816">
        <v>0</v>
      </c>
      <c r="M2816">
        <f>IF((DST_123_ÜRETİM_İHTİYAÇ_RAPORU_BURAK_YENI1309[[#This Row],[SATINALMA]]*DST_123_ÜRETİM_İHTİYAÇ_RAPORU_BURAK_YENI1309[[#This Row],[BIRIM_FIYATLAR]])&lt;1,VALUE("0"),DST_123_ÜRETİM_İHTİYAÇ_RAPORU_BURAK_YENI1309[[#This Row],[SATINALMA]]*DST_123_ÜRETİM_İHTİYAÇ_RAPORU_BURAK_YENI1309[[#This Row],[BIRIM_FIYATLAR]])</f>
        <v>760</v>
      </c>
      <c r="N2816">
        <v>40</v>
      </c>
      <c r="O2816" t="s">
        <v>635</v>
      </c>
      <c r="P2816">
        <v>40</v>
      </c>
      <c r="Q2816" t="s">
        <v>221</v>
      </c>
    </row>
    <row r="2817" spans="1:17" x14ac:dyDescent="0.25">
      <c r="A2817" t="s">
        <v>1147</v>
      </c>
      <c r="B2817" t="s">
        <v>1145</v>
      </c>
      <c r="C2817" t="s">
        <v>175</v>
      </c>
      <c r="D2817" t="s">
        <v>23</v>
      </c>
      <c r="E2817" t="s">
        <v>304</v>
      </c>
      <c r="F2817">
        <v>1</v>
      </c>
      <c r="G2817" t="s">
        <v>176</v>
      </c>
      <c r="H2817">
        <v>0</v>
      </c>
      <c r="I2817">
        <v>0</v>
      </c>
      <c r="J2817" s="10">
        <v>7</v>
      </c>
      <c r="K2817" s="10">
        <f>SUMIFS(F:F,D:D,DST_123_ÜRETİM_İHTİYAÇ_RAPORU_BURAK_YENI1309[[#This Row],[ALT_KOD]])-(SUMIFS(H:H,D:D,DST_123_ÜRETİM_İHTİYAÇ_RAPORU_BURAK_YENI1309[[#This Row],[ALT_KOD]])+AVERAGEIFS(I:I,D:D,DST_123_ÜRETİM_İHTİYAÇ_RAPORU_BURAK_YENI1309[[#This Row],[ALT_KOD]])+AVERAGEIFS(L:L,D:D,DST_123_ÜRETİM_İHTİYAÇ_RAPORU_BURAK_YENI1309[[#This Row],[ALT_KOD]]))</f>
        <v>19</v>
      </c>
      <c r="L2817">
        <v>0</v>
      </c>
      <c r="M2817">
        <f>IF((DST_123_ÜRETİM_İHTİYAÇ_RAPORU_BURAK_YENI1309[[#This Row],[SATINALMA]]*DST_123_ÜRETİM_İHTİYAÇ_RAPORU_BURAK_YENI1309[[#This Row],[BIRIM_FIYATLAR]])&lt;1,VALUE("0"),DST_123_ÜRETİM_İHTİYAÇ_RAPORU_BURAK_YENI1309[[#This Row],[SATINALMA]]*DST_123_ÜRETİM_İHTİYAÇ_RAPORU_BURAK_YENI1309[[#This Row],[BIRIM_FIYATLAR]])</f>
        <v>760</v>
      </c>
      <c r="N2817">
        <v>40</v>
      </c>
      <c r="O2817" t="s">
        <v>635</v>
      </c>
      <c r="P2817">
        <v>40</v>
      </c>
      <c r="Q2817" t="s">
        <v>221</v>
      </c>
    </row>
    <row r="2818" spans="1:17" x14ac:dyDescent="0.25">
      <c r="A2818" t="s">
        <v>1142</v>
      </c>
      <c r="B2818" t="s">
        <v>1056</v>
      </c>
      <c r="C2818" t="s">
        <v>175</v>
      </c>
      <c r="D2818" t="s">
        <v>378</v>
      </c>
      <c r="E2818" t="s">
        <v>379</v>
      </c>
      <c r="F2818">
        <v>2</v>
      </c>
      <c r="G2818" t="s">
        <v>176</v>
      </c>
      <c r="H2818">
        <v>0</v>
      </c>
      <c r="I2818">
        <v>50</v>
      </c>
      <c r="J2818" s="10">
        <v>33</v>
      </c>
      <c r="K2818" s="10">
        <f>SUMIFS(F:F,D:D,DST_123_ÜRETİM_İHTİYAÇ_RAPORU_BURAK_YENI1309[[#This Row],[ALT_KOD]])-(SUMIFS(H:H,D:D,DST_123_ÜRETİM_İHTİYAÇ_RAPORU_BURAK_YENI1309[[#This Row],[ALT_KOD]])+AVERAGEIFS(I:I,D:D,DST_123_ÜRETİM_İHTİYAÇ_RAPORU_BURAK_YENI1309[[#This Row],[ALT_KOD]])+AVERAGEIFS(L:L,D:D,DST_123_ÜRETİM_İHTİYAÇ_RAPORU_BURAK_YENI1309[[#This Row],[ALT_KOD]]))</f>
        <v>-15</v>
      </c>
      <c r="L2818">
        <v>0</v>
      </c>
      <c r="M2818">
        <f>IF((DST_123_ÜRETİM_İHTİYAÇ_RAPORU_BURAK_YENI1309[[#This Row],[SATINALMA]]*DST_123_ÜRETİM_İHTİYAÇ_RAPORU_BURAK_YENI1309[[#This Row],[BIRIM_FIYATLAR]])&lt;1,VALUE("0"),DST_123_ÜRETİM_İHTİYAÇ_RAPORU_BURAK_YENI1309[[#This Row],[SATINALMA]]*DST_123_ÜRETİM_İHTİYAÇ_RAPORU_BURAK_YENI1309[[#This Row],[BIRIM_FIYATLAR]])</f>
        <v>0</v>
      </c>
      <c r="N2818">
        <v>72.599999999999994</v>
      </c>
      <c r="O2818" t="s">
        <v>240</v>
      </c>
      <c r="P2818">
        <v>145.19999999999999</v>
      </c>
      <c r="Q2818" t="s">
        <v>178</v>
      </c>
    </row>
    <row r="2819" spans="1:17" x14ac:dyDescent="0.25">
      <c r="A2819" t="s">
        <v>1148</v>
      </c>
      <c r="B2819" t="s">
        <v>1056</v>
      </c>
      <c r="C2819" t="s">
        <v>175</v>
      </c>
      <c r="D2819" t="s">
        <v>7</v>
      </c>
      <c r="E2819" t="s">
        <v>8</v>
      </c>
      <c r="F2819">
        <v>1</v>
      </c>
      <c r="G2819" t="s">
        <v>176</v>
      </c>
      <c r="H2819">
        <v>0</v>
      </c>
      <c r="I2819">
        <v>6</v>
      </c>
      <c r="J2819" s="10">
        <v>7</v>
      </c>
      <c r="K2819" s="10">
        <f>SUMIFS(F:F,D:D,DST_123_ÜRETİM_İHTİYAÇ_RAPORU_BURAK_YENI1309[[#This Row],[ALT_KOD]])-(SUMIFS(H:H,D:D,DST_123_ÜRETİM_İHTİYAÇ_RAPORU_BURAK_YENI1309[[#This Row],[ALT_KOD]])+AVERAGEIFS(I:I,D:D,DST_123_ÜRETİM_İHTİYAÇ_RAPORU_BURAK_YENI1309[[#This Row],[ALT_KOD]])+AVERAGEIFS(L:L,D:D,DST_123_ÜRETİM_İHTİYAÇ_RAPORU_BURAK_YENI1309[[#This Row],[ALT_KOD]]))</f>
        <v>2</v>
      </c>
      <c r="L2819">
        <v>0</v>
      </c>
      <c r="M2819">
        <f>IF((DST_123_ÜRETİM_İHTİYAÇ_RAPORU_BURAK_YENI1309[[#This Row],[SATINALMA]]*DST_123_ÜRETİM_İHTİYAÇ_RAPORU_BURAK_YENI1309[[#This Row],[BIRIM_FIYATLAR]])&lt;1,VALUE("0"),DST_123_ÜRETİM_İHTİYAÇ_RAPORU_BURAK_YENI1309[[#This Row],[SATINALMA]]*DST_123_ÜRETİM_İHTİYAÇ_RAPORU_BURAK_YENI1309[[#This Row],[BIRIM_FIYATLAR]])</f>
        <v>4960.92</v>
      </c>
      <c r="N2819">
        <v>2480.46</v>
      </c>
      <c r="O2819" t="s">
        <v>227</v>
      </c>
      <c r="P2819">
        <v>2480.46</v>
      </c>
      <c r="Q2819" t="s">
        <v>221</v>
      </c>
    </row>
    <row r="2820" spans="1:17" x14ac:dyDescent="0.25">
      <c r="A2820" t="s">
        <v>1147</v>
      </c>
      <c r="B2820" t="s">
        <v>1145</v>
      </c>
      <c r="C2820" t="s">
        <v>175</v>
      </c>
      <c r="D2820" t="s">
        <v>9</v>
      </c>
      <c r="E2820" t="s">
        <v>10</v>
      </c>
      <c r="F2820">
        <v>4</v>
      </c>
      <c r="G2820" t="s">
        <v>176</v>
      </c>
      <c r="H2820">
        <v>0</v>
      </c>
      <c r="I2820">
        <v>39</v>
      </c>
      <c r="J2820" s="10">
        <v>32</v>
      </c>
      <c r="K2820" s="10">
        <f>SUMIFS(F:F,D:D,DST_123_ÜRETİM_İHTİYAÇ_RAPORU_BURAK_YENI1309[[#This Row],[ALT_KOD]])-(SUMIFS(H:H,D:D,DST_123_ÜRETİM_İHTİYAÇ_RAPORU_BURAK_YENI1309[[#This Row],[ALT_KOD]])+AVERAGEIFS(I:I,D:D,DST_123_ÜRETİM_İHTİYAÇ_RAPORU_BURAK_YENI1309[[#This Row],[ALT_KOD]])+AVERAGEIFS(L:L,D:D,DST_123_ÜRETİM_İHTİYAÇ_RAPORU_BURAK_YENI1309[[#This Row],[ALT_KOD]]))</f>
        <v>-11</v>
      </c>
      <c r="L2820">
        <v>0</v>
      </c>
      <c r="M2820">
        <f>IF((DST_123_ÜRETİM_İHTİYAÇ_RAPORU_BURAK_YENI1309[[#This Row],[SATINALMA]]*DST_123_ÜRETİM_İHTİYAÇ_RAPORU_BURAK_YENI1309[[#This Row],[BIRIM_FIYATLAR]])&lt;1,VALUE("0"),DST_123_ÜRETİM_İHTİYAÇ_RAPORU_BURAK_YENI1309[[#This Row],[SATINALMA]]*DST_123_ÜRETİM_İHTİYAÇ_RAPORU_BURAK_YENI1309[[#This Row],[BIRIM_FIYATLAR]])</f>
        <v>0</v>
      </c>
      <c r="N2820">
        <v>73.349999999999994</v>
      </c>
      <c r="O2820" t="s">
        <v>227</v>
      </c>
      <c r="P2820">
        <v>293.39999999999998</v>
      </c>
      <c r="Q2820" t="s">
        <v>221</v>
      </c>
    </row>
    <row r="2821" spans="1:17" x14ac:dyDescent="0.25">
      <c r="A2821" t="s">
        <v>1148</v>
      </c>
      <c r="B2821" t="s">
        <v>1056</v>
      </c>
      <c r="C2821" t="s">
        <v>175</v>
      </c>
      <c r="D2821" t="s">
        <v>9</v>
      </c>
      <c r="E2821" t="s">
        <v>10</v>
      </c>
      <c r="F2821">
        <v>4</v>
      </c>
      <c r="G2821" t="s">
        <v>176</v>
      </c>
      <c r="H2821">
        <v>0</v>
      </c>
      <c r="I2821">
        <v>39</v>
      </c>
      <c r="J2821" s="10">
        <v>32</v>
      </c>
      <c r="K2821" s="10">
        <f>SUMIFS(F:F,D:D,DST_123_ÜRETİM_İHTİYAÇ_RAPORU_BURAK_YENI1309[[#This Row],[ALT_KOD]])-(SUMIFS(H:H,D:D,DST_123_ÜRETİM_İHTİYAÇ_RAPORU_BURAK_YENI1309[[#This Row],[ALT_KOD]])+AVERAGEIFS(I:I,D:D,DST_123_ÜRETİM_İHTİYAÇ_RAPORU_BURAK_YENI1309[[#This Row],[ALT_KOD]])+AVERAGEIFS(L:L,D:D,DST_123_ÜRETİM_İHTİYAÇ_RAPORU_BURAK_YENI1309[[#This Row],[ALT_KOD]]))</f>
        <v>-11</v>
      </c>
      <c r="L2821">
        <v>0</v>
      </c>
      <c r="M2821">
        <f>IF((DST_123_ÜRETİM_İHTİYAÇ_RAPORU_BURAK_YENI1309[[#This Row],[SATINALMA]]*DST_123_ÜRETİM_İHTİYAÇ_RAPORU_BURAK_YENI1309[[#This Row],[BIRIM_FIYATLAR]])&lt;1,VALUE("0"),DST_123_ÜRETİM_İHTİYAÇ_RAPORU_BURAK_YENI1309[[#This Row],[SATINALMA]]*DST_123_ÜRETİM_İHTİYAÇ_RAPORU_BURAK_YENI1309[[#This Row],[BIRIM_FIYATLAR]])</f>
        <v>0</v>
      </c>
      <c r="N2821">
        <v>73.349999999999994</v>
      </c>
      <c r="O2821" t="s">
        <v>227</v>
      </c>
      <c r="P2821">
        <v>293.39999999999998</v>
      </c>
      <c r="Q2821" t="s">
        <v>221</v>
      </c>
    </row>
    <row r="2822" spans="1:17" x14ac:dyDescent="0.25">
      <c r="A2822" t="s">
        <v>1147</v>
      </c>
      <c r="B2822" t="s">
        <v>1145</v>
      </c>
      <c r="C2822" t="s">
        <v>175</v>
      </c>
      <c r="D2822" t="s">
        <v>204</v>
      </c>
      <c r="E2822" t="s">
        <v>205</v>
      </c>
      <c r="F2822">
        <v>0.5</v>
      </c>
      <c r="G2822" t="s">
        <v>176</v>
      </c>
      <c r="H2822">
        <v>0</v>
      </c>
      <c r="I2822">
        <v>100</v>
      </c>
      <c r="J2822" s="10">
        <v>41</v>
      </c>
      <c r="K2822" s="10">
        <f>SUMIFS(F:F,D:D,DST_123_ÜRETİM_İHTİYAÇ_RAPORU_BURAK_YENI1309[[#This Row],[ALT_KOD]])-(SUMIFS(H:H,D:D,DST_123_ÜRETİM_İHTİYAÇ_RAPORU_BURAK_YENI1309[[#This Row],[ALT_KOD]])+AVERAGEIFS(I:I,D:D,DST_123_ÜRETİM_İHTİYAÇ_RAPORU_BURAK_YENI1309[[#This Row],[ALT_KOD]])+AVERAGEIFS(L:L,D:D,DST_123_ÜRETİM_İHTİYAÇ_RAPORU_BURAK_YENI1309[[#This Row],[ALT_KOD]]))</f>
        <v>-89.5</v>
      </c>
      <c r="L2822">
        <v>0</v>
      </c>
      <c r="M2822">
        <f>IF((DST_123_ÜRETİM_İHTİYAÇ_RAPORU_BURAK_YENI1309[[#This Row],[SATINALMA]]*DST_123_ÜRETİM_İHTİYAÇ_RAPORU_BURAK_YENI1309[[#This Row],[BIRIM_FIYATLAR]])&lt;1,VALUE("0"),DST_123_ÜRETİM_İHTİYAÇ_RAPORU_BURAK_YENI1309[[#This Row],[SATINALMA]]*DST_123_ÜRETİM_İHTİYAÇ_RAPORU_BURAK_YENI1309[[#This Row],[BIRIM_FIYATLAR]])</f>
        <v>0</v>
      </c>
      <c r="N2822">
        <v>60</v>
      </c>
      <c r="O2822" t="s">
        <v>220</v>
      </c>
      <c r="P2822">
        <v>30</v>
      </c>
      <c r="Q2822" t="s">
        <v>180</v>
      </c>
    </row>
    <row r="2823" spans="1:17" x14ac:dyDescent="0.25">
      <c r="A2823" t="s">
        <v>1147</v>
      </c>
      <c r="B2823" t="s">
        <v>1145</v>
      </c>
      <c r="C2823" t="s">
        <v>175</v>
      </c>
      <c r="D2823" t="s">
        <v>206</v>
      </c>
      <c r="E2823" t="s">
        <v>280</v>
      </c>
      <c r="F2823">
        <v>0.5099999999999999</v>
      </c>
      <c r="G2823" t="s">
        <v>176</v>
      </c>
      <c r="H2823">
        <v>0</v>
      </c>
      <c r="I2823">
        <v>10</v>
      </c>
      <c r="J2823" s="10">
        <v>126.66400000000034</v>
      </c>
      <c r="K2823" s="10">
        <f>SUMIFS(F:F,D:D,DST_123_ÜRETİM_İHTİYAÇ_RAPORU_BURAK_YENI1309[[#This Row],[ALT_KOD]])-(SUMIFS(H:H,D:D,DST_123_ÜRETİM_İHTİYAÇ_RAPORU_BURAK_YENI1309[[#This Row],[ALT_KOD]])+AVERAGEIFS(I:I,D:D,DST_123_ÜRETİM_İHTİYAÇ_RAPORU_BURAK_YENI1309[[#This Row],[ALT_KOD]])+AVERAGEIFS(L:L,D:D,DST_123_ÜRETİM_İHTİYAÇ_RAPORU_BURAK_YENI1309[[#This Row],[ALT_KOD]]))</f>
        <v>-1.1600000000000001</v>
      </c>
      <c r="L2823">
        <v>0</v>
      </c>
      <c r="M2823">
        <f>IF((DST_123_ÜRETİM_İHTİYAÇ_RAPORU_BURAK_YENI1309[[#This Row],[SATINALMA]]*DST_123_ÜRETİM_İHTİYAÇ_RAPORU_BURAK_YENI1309[[#This Row],[BIRIM_FIYATLAR]])&lt;1,VALUE("0"),DST_123_ÜRETİM_İHTİYAÇ_RAPORU_BURAK_YENI1309[[#This Row],[SATINALMA]]*DST_123_ÜRETİM_İHTİYAÇ_RAPORU_BURAK_YENI1309[[#This Row],[BIRIM_FIYATLAR]])</f>
        <v>0</v>
      </c>
      <c r="N2823">
        <v>185</v>
      </c>
      <c r="O2823" t="s">
        <v>240</v>
      </c>
      <c r="P2823">
        <v>94.34999999999998</v>
      </c>
      <c r="Q2823" t="s">
        <v>180</v>
      </c>
    </row>
    <row r="2824" spans="1:17" x14ac:dyDescent="0.25">
      <c r="A2824" t="s">
        <v>1148</v>
      </c>
      <c r="B2824" t="s">
        <v>1056</v>
      </c>
      <c r="C2824" t="s">
        <v>175</v>
      </c>
      <c r="D2824" t="s">
        <v>206</v>
      </c>
      <c r="E2824" t="s">
        <v>280</v>
      </c>
      <c r="F2824">
        <v>0.69</v>
      </c>
      <c r="G2824" t="s">
        <v>176</v>
      </c>
      <c r="H2824">
        <v>0</v>
      </c>
      <c r="I2824">
        <v>10</v>
      </c>
      <c r="J2824" s="10">
        <v>126.66400000000034</v>
      </c>
      <c r="K2824" s="10">
        <f>SUMIFS(F:F,D:D,DST_123_ÜRETİM_İHTİYAÇ_RAPORU_BURAK_YENI1309[[#This Row],[ALT_KOD]])-(SUMIFS(H:H,D:D,DST_123_ÜRETİM_İHTİYAÇ_RAPORU_BURAK_YENI1309[[#This Row],[ALT_KOD]])+AVERAGEIFS(I:I,D:D,DST_123_ÜRETİM_İHTİYAÇ_RAPORU_BURAK_YENI1309[[#This Row],[ALT_KOD]])+AVERAGEIFS(L:L,D:D,DST_123_ÜRETİM_İHTİYAÇ_RAPORU_BURAK_YENI1309[[#This Row],[ALT_KOD]]))</f>
        <v>-1.1600000000000001</v>
      </c>
      <c r="L2824">
        <v>0</v>
      </c>
      <c r="M2824">
        <f>IF((DST_123_ÜRETİM_İHTİYAÇ_RAPORU_BURAK_YENI1309[[#This Row],[SATINALMA]]*DST_123_ÜRETİM_İHTİYAÇ_RAPORU_BURAK_YENI1309[[#This Row],[BIRIM_FIYATLAR]])&lt;1,VALUE("0"),DST_123_ÜRETİM_İHTİYAÇ_RAPORU_BURAK_YENI1309[[#This Row],[SATINALMA]]*DST_123_ÜRETİM_İHTİYAÇ_RAPORU_BURAK_YENI1309[[#This Row],[BIRIM_FIYATLAR]])</f>
        <v>0</v>
      </c>
      <c r="N2824">
        <v>185</v>
      </c>
      <c r="O2824" t="s">
        <v>240</v>
      </c>
      <c r="P2824">
        <v>127.64999999999999</v>
      </c>
      <c r="Q2824" t="s">
        <v>180</v>
      </c>
    </row>
    <row r="2825" spans="1:17" x14ac:dyDescent="0.25">
      <c r="A2825" t="s">
        <v>1147</v>
      </c>
      <c r="B2825" t="s">
        <v>1145</v>
      </c>
      <c r="C2825" t="s">
        <v>175</v>
      </c>
      <c r="D2825" t="s">
        <v>344</v>
      </c>
      <c r="E2825" t="s">
        <v>345</v>
      </c>
      <c r="F2825">
        <v>3</v>
      </c>
      <c r="G2825" t="s">
        <v>176</v>
      </c>
      <c r="H2825">
        <v>0</v>
      </c>
      <c r="I2825">
        <v>228</v>
      </c>
      <c r="J2825" s="10">
        <v>4.2632564145606011E-14</v>
      </c>
      <c r="K2825" s="10">
        <f>SUMIFS(F:F,D:D,DST_123_ÜRETİM_İHTİYAÇ_RAPORU_BURAK_YENI1309[[#This Row],[ALT_KOD]])-(SUMIFS(H:H,D:D,DST_123_ÜRETİM_İHTİYAÇ_RAPORU_BURAK_YENI1309[[#This Row],[ALT_KOD]])+AVERAGEIFS(I:I,D:D,DST_123_ÜRETİM_İHTİYAÇ_RAPORU_BURAK_YENI1309[[#This Row],[ALT_KOD]])+AVERAGEIFS(L:L,D:D,DST_123_ÜRETİM_İHTİYAÇ_RAPORU_BURAK_YENI1309[[#This Row],[ALT_KOD]]))</f>
        <v>-186</v>
      </c>
      <c r="L2825">
        <v>0</v>
      </c>
      <c r="M2825">
        <f>IF((DST_123_ÜRETİM_İHTİYAÇ_RAPORU_BURAK_YENI1309[[#This Row],[SATINALMA]]*DST_123_ÜRETİM_İHTİYAÇ_RAPORU_BURAK_YENI1309[[#This Row],[BIRIM_FIYATLAR]])&lt;1,VALUE("0"),DST_123_ÜRETİM_İHTİYAÇ_RAPORU_BURAK_YENI1309[[#This Row],[SATINALMA]]*DST_123_ÜRETİM_İHTİYAÇ_RAPORU_BURAK_YENI1309[[#This Row],[BIRIM_FIYATLAR]])</f>
        <v>0</v>
      </c>
      <c r="N2825">
        <v>6</v>
      </c>
      <c r="O2825" t="s">
        <v>346</v>
      </c>
      <c r="P2825">
        <v>18</v>
      </c>
      <c r="Q2825" t="s">
        <v>180</v>
      </c>
    </row>
    <row r="2826" spans="1:17" x14ac:dyDescent="0.25">
      <c r="A2826" t="s">
        <v>1148</v>
      </c>
      <c r="B2826" t="s">
        <v>1056</v>
      </c>
      <c r="C2826" t="s">
        <v>175</v>
      </c>
      <c r="D2826" t="s">
        <v>344</v>
      </c>
      <c r="E2826" t="s">
        <v>345</v>
      </c>
      <c r="F2826">
        <v>3</v>
      </c>
      <c r="G2826" t="s">
        <v>176</v>
      </c>
      <c r="H2826">
        <v>0</v>
      </c>
      <c r="I2826">
        <v>228</v>
      </c>
      <c r="J2826" s="10">
        <v>4.2632564145606011E-14</v>
      </c>
      <c r="K2826" s="10">
        <f>SUMIFS(F:F,D:D,DST_123_ÜRETİM_İHTİYAÇ_RAPORU_BURAK_YENI1309[[#This Row],[ALT_KOD]])-(SUMIFS(H:H,D:D,DST_123_ÜRETİM_İHTİYAÇ_RAPORU_BURAK_YENI1309[[#This Row],[ALT_KOD]])+AVERAGEIFS(I:I,D:D,DST_123_ÜRETİM_İHTİYAÇ_RAPORU_BURAK_YENI1309[[#This Row],[ALT_KOD]])+AVERAGEIFS(L:L,D:D,DST_123_ÜRETİM_İHTİYAÇ_RAPORU_BURAK_YENI1309[[#This Row],[ALT_KOD]]))</f>
        <v>-186</v>
      </c>
      <c r="L2826">
        <v>0</v>
      </c>
      <c r="M2826">
        <f>IF((DST_123_ÜRETİM_İHTİYAÇ_RAPORU_BURAK_YENI1309[[#This Row],[SATINALMA]]*DST_123_ÜRETİM_İHTİYAÇ_RAPORU_BURAK_YENI1309[[#This Row],[BIRIM_FIYATLAR]])&lt;1,VALUE("0"),DST_123_ÜRETİM_İHTİYAÇ_RAPORU_BURAK_YENI1309[[#This Row],[SATINALMA]]*DST_123_ÜRETİM_İHTİYAÇ_RAPORU_BURAK_YENI1309[[#This Row],[BIRIM_FIYATLAR]])</f>
        <v>0</v>
      </c>
      <c r="N2826">
        <v>6</v>
      </c>
      <c r="O2826" t="s">
        <v>346</v>
      </c>
      <c r="P2826">
        <v>18</v>
      </c>
      <c r="Q2826" t="s">
        <v>180</v>
      </c>
    </row>
    <row r="2827" spans="1:17" x14ac:dyDescent="0.25">
      <c r="A2827" t="s">
        <v>1147</v>
      </c>
      <c r="B2827" t="s">
        <v>1145</v>
      </c>
      <c r="C2827" t="s">
        <v>175</v>
      </c>
      <c r="D2827" t="s">
        <v>159</v>
      </c>
      <c r="E2827" t="s">
        <v>160</v>
      </c>
      <c r="F2827">
        <v>0.25</v>
      </c>
      <c r="G2827" t="s">
        <v>179</v>
      </c>
      <c r="H2827">
        <v>0</v>
      </c>
      <c r="I2827">
        <v>52</v>
      </c>
      <c r="J2827" s="10">
        <v>38.620000000000005</v>
      </c>
      <c r="K2827" s="10">
        <f>SUMIFS(F:F,D:D,DST_123_ÜRETİM_İHTİYAÇ_RAPORU_BURAK_YENI1309[[#This Row],[ALT_KOD]])-(SUMIFS(H:H,D:D,DST_123_ÜRETİM_İHTİYAÇ_RAPORU_BURAK_YENI1309[[#This Row],[ALT_KOD]])+AVERAGEIFS(I:I,D:D,DST_123_ÜRETİM_İHTİYAÇ_RAPORU_BURAK_YENI1309[[#This Row],[ALT_KOD]])+AVERAGEIFS(L:L,D:D,DST_123_ÜRETİM_İHTİYAÇ_RAPORU_BURAK_YENI1309[[#This Row],[ALT_KOD]]))</f>
        <v>-47.39</v>
      </c>
      <c r="L2827">
        <v>0</v>
      </c>
      <c r="M2827">
        <f>IF((DST_123_ÜRETİM_İHTİYAÇ_RAPORU_BURAK_YENI1309[[#This Row],[SATINALMA]]*DST_123_ÜRETİM_İHTİYAÇ_RAPORU_BURAK_YENI1309[[#This Row],[BIRIM_FIYATLAR]])&lt;1,VALUE("0"),DST_123_ÜRETİM_İHTİYAÇ_RAPORU_BURAK_YENI1309[[#This Row],[SATINALMA]]*DST_123_ÜRETİM_İHTİYAÇ_RAPORU_BURAK_YENI1309[[#This Row],[BIRIM_FIYATLAR]])</f>
        <v>0</v>
      </c>
      <c r="N2827">
        <v>126.36</v>
      </c>
      <c r="O2827" t="s">
        <v>619</v>
      </c>
      <c r="P2827">
        <v>31.59</v>
      </c>
      <c r="Q2827" t="s">
        <v>178</v>
      </c>
    </row>
    <row r="2828" spans="1:17" x14ac:dyDescent="0.25">
      <c r="A2828" t="s">
        <v>1148</v>
      </c>
      <c r="B2828" t="s">
        <v>1056</v>
      </c>
      <c r="C2828" t="s">
        <v>175</v>
      </c>
      <c r="D2828" t="s">
        <v>159</v>
      </c>
      <c r="E2828" t="s">
        <v>160</v>
      </c>
      <c r="F2828">
        <v>0.23</v>
      </c>
      <c r="G2828" t="s">
        <v>179</v>
      </c>
      <c r="H2828">
        <v>0</v>
      </c>
      <c r="I2828">
        <v>52</v>
      </c>
      <c r="J2828" s="10">
        <v>38.620000000000005</v>
      </c>
      <c r="K2828" s="10">
        <f>SUMIFS(F:F,D:D,DST_123_ÜRETİM_İHTİYAÇ_RAPORU_BURAK_YENI1309[[#This Row],[ALT_KOD]])-(SUMIFS(H:H,D:D,DST_123_ÜRETİM_İHTİYAÇ_RAPORU_BURAK_YENI1309[[#This Row],[ALT_KOD]])+AVERAGEIFS(I:I,D:D,DST_123_ÜRETİM_İHTİYAÇ_RAPORU_BURAK_YENI1309[[#This Row],[ALT_KOD]])+AVERAGEIFS(L:L,D:D,DST_123_ÜRETİM_İHTİYAÇ_RAPORU_BURAK_YENI1309[[#This Row],[ALT_KOD]]))</f>
        <v>-47.39</v>
      </c>
      <c r="L2828">
        <v>0</v>
      </c>
      <c r="M2828">
        <f>IF((DST_123_ÜRETİM_İHTİYAÇ_RAPORU_BURAK_YENI1309[[#This Row],[SATINALMA]]*DST_123_ÜRETİM_İHTİYAÇ_RAPORU_BURAK_YENI1309[[#This Row],[BIRIM_FIYATLAR]])&lt;1,VALUE("0"),DST_123_ÜRETİM_İHTİYAÇ_RAPORU_BURAK_YENI1309[[#This Row],[SATINALMA]]*DST_123_ÜRETİM_İHTİYAÇ_RAPORU_BURAK_YENI1309[[#This Row],[BIRIM_FIYATLAR]])</f>
        <v>0</v>
      </c>
      <c r="N2828">
        <v>126.36</v>
      </c>
      <c r="O2828" t="s">
        <v>619</v>
      </c>
      <c r="P2828">
        <v>29.062800000000003</v>
      </c>
      <c r="Q2828" t="s">
        <v>178</v>
      </c>
    </row>
    <row r="2829" spans="1:17" x14ac:dyDescent="0.25">
      <c r="A2829" t="s">
        <v>1101</v>
      </c>
      <c r="B2829" t="s">
        <v>1102</v>
      </c>
      <c r="C2829" t="s">
        <v>197</v>
      </c>
      <c r="D2829" t="s">
        <v>793</v>
      </c>
      <c r="E2829" t="s">
        <v>794</v>
      </c>
      <c r="F2829">
        <v>1</v>
      </c>
      <c r="G2829" t="s">
        <v>176</v>
      </c>
      <c r="H2829">
        <v>1</v>
      </c>
      <c r="I2829">
        <v>25</v>
      </c>
      <c r="J2829" s="10">
        <v>4</v>
      </c>
      <c r="K2829" s="10">
        <f>SUMIFS(F:F,D:D,DST_123_ÜRETİM_İHTİYAÇ_RAPORU_BURAK_YENI1309[[#This Row],[ALT_KOD]])-(SUMIFS(H:H,D:D,DST_123_ÜRETİM_İHTİYAÇ_RAPORU_BURAK_YENI1309[[#This Row],[ALT_KOD]])+AVERAGEIFS(I:I,D:D,DST_123_ÜRETİM_İHTİYAÇ_RAPORU_BURAK_YENI1309[[#This Row],[ALT_KOD]])+AVERAGEIFS(L:L,D:D,DST_123_ÜRETİM_İHTİYAÇ_RAPORU_BURAK_YENI1309[[#This Row],[ALT_KOD]]))</f>
        <v>-20</v>
      </c>
      <c r="L2829">
        <v>0</v>
      </c>
      <c r="M2829">
        <f>IF((DST_123_ÜRETİM_İHTİYAÇ_RAPORU_BURAK_YENI1309[[#This Row],[SATINALMA]]*DST_123_ÜRETİM_İHTİYAÇ_RAPORU_BURAK_YENI1309[[#This Row],[BIRIM_FIYATLAR]])&lt;1,VALUE("0"),DST_123_ÜRETİM_İHTİYAÇ_RAPORU_BURAK_YENI1309[[#This Row],[SATINALMA]]*DST_123_ÜRETİM_İHTİYAÇ_RAPORU_BURAK_YENI1309[[#This Row],[BIRIM_FIYATLAR]])</f>
        <v>0</v>
      </c>
      <c r="N2829">
        <v>2800</v>
      </c>
      <c r="O2829" t="s">
        <v>795</v>
      </c>
      <c r="P2829">
        <v>2800</v>
      </c>
      <c r="Q2829" t="s">
        <v>177</v>
      </c>
    </row>
    <row r="2830" spans="1:17" x14ac:dyDescent="0.25">
      <c r="A2830" t="s">
        <v>1057</v>
      </c>
      <c r="B2830" t="s">
        <v>1058</v>
      </c>
      <c r="C2830" t="s">
        <v>175</v>
      </c>
      <c r="D2830" t="s">
        <v>141</v>
      </c>
      <c r="E2830" t="s">
        <v>142</v>
      </c>
      <c r="F2830">
        <v>16</v>
      </c>
      <c r="G2830" t="s">
        <v>176</v>
      </c>
      <c r="H2830">
        <v>0</v>
      </c>
      <c r="I2830">
        <v>150</v>
      </c>
      <c r="J2830" s="10">
        <v>0</v>
      </c>
      <c r="K2830" s="10">
        <f>SUMIFS(F:F,D:D,DST_123_ÜRETİM_İHTİYAÇ_RAPORU_BURAK_YENI1309[[#This Row],[ALT_KOD]])-(SUMIFS(H:H,D:D,DST_123_ÜRETİM_İHTİYAÇ_RAPORU_BURAK_YENI1309[[#This Row],[ALT_KOD]])+AVERAGEIFS(I:I,D:D,DST_123_ÜRETİM_İHTİYAÇ_RAPORU_BURAK_YENI1309[[#This Row],[ALT_KOD]])+AVERAGEIFS(L:L,D:D,DST_123_ÜRETİM_İHTİYAÇ_RAPORU_BURAK_YENI1309[[#This Row],[ALT_KOD]]))</f>
        <v>194</v>
      </c>
      <c r="L2830">
        <v>0</v>
      </c>
      <c r="M2830">
        <f>IF((DST_123_ÜRETİM_İHTİYAÇ_RAPORU_BURAK_YENI1309[[#This Row],[SATINALMA]]*DST_123_ÜRETİM_İHTİYAÇ_RAPORU_BURAK_YENI1309[[#This Row],[BIRIM_FIYATLAR]])&lt;1,VALUE("0"),DST_123_ÜRETİM_İHTİYAÇ_RAPORU_BURAK_YENI1309[[#This Row],[SATINALMA]]*DST_123_ÜRETİM_İHTİYAÇ_RAPORU_BURAK_YENI1309[[#This Row],[BIRIM_FIYATLAR]])</f>
        <v>5383.5</v>
      </c>
      <c r="N2830">
        <v>27.75</v>
      </c>
      <c r="O2830" t="s">
        <v>742</v>
      </c>
      <c r="P2830">
        <v>444</v>
      </c>
      <c r="Q2830" t="s">
        <v>184</v>
      </c>
    </row>
    <row r="2831" spans="1:17" x14ac:dyDescent="0.25">
      <c r="A2831" t="s">
        <v>1101</v>
      </c>
      <c r="B2831" t="s">
        <v>1102</v>
      </c>
      <c r="C2831" t="s">
        <v>175</v>
      </c>
      <c r="D2831" t="s">
        <v>141</v>
      </c>
      <c r="E2831" t="s">
        <v>142</v>
      </c>
      <c r="F2831">
        <v>21</v>
      </c>
      <c r="G2831" t="s">
        <v>176</v>
      </c>
      <c r="H2831">
        <v>0</v>
      </c>
      <c r="I2831">
        <v>150</v>
      </c>
      <c r="J2831" s="10">
        <v>0</v>
      </c>
      <c r="K2831" s="10">
        <f>SUMIFS(F:F,D:D,DST_123_ÜRETİM_İHTİYAÇ_RAPORU_BURAK_YENI1309[[#This Row],[ALT_KOD]])-(SUMIFS(H:H,D:D,DST_123_ÜRETİM_İHTİYAÇ_RAPORU_BURAK_YENI1309[[#This Row],[ALT_KOD]])+AVERAGEIFS(I:I,D:D,DST_123_ÜRETİM_İHTİYAÇ_RAPORU_BURAK_YENI1309[[#This Row],[ALT_KOD]])+AVERAGEIFS(L:L,D:D,DST_123_ÜRETİM_İHTİYAÇ_RAPORU_BURAK_YENI1309[[#This Row],[ALT_KOD]]))</f>
        <v>194</v>
      </c>
      <c r="L2831">
        <v>0</v>
      </c>
      <c r="M2831">
        <f>IF((DST_123_ÜRETİM_İHTİYAÇ_RAPORU_BURAK_YENI1309[[#This Row],[SATINALMA]]*DST_123_ÜRETİM_İHTİYAÇ_RAPORU_BURAK_YENI1309[[#This Row],[BIRIM_FIYATLAR]])&lt;1,VALUE("0"),DST_123_ÜRETİM_İHTİYAÇ_RAPORU_BURAK_YENI1309[[#This Row],[SATINALMA]]*DST_123_ÜRETİM_İHTİYAÇ_RAPORU_BURAK_YENI1309[[#This Row],[BIRIM_FIYATLAR]])</f>
        <v>5383.5</v>
      </c>
      <c r="N2831">
        <v>27.75</v>
      </c>
      <c r="O2831" t="s">
        <v>742</v>
      </c>
      <c r="P2831">
        <v>582.75</v>
      </c>
      <c r="Q2831" t="s">
        <v>184</v>
      </c>
    </row>
    <row r="2832" spans="1:17" x14ac:dyDescent="0.25">
      <c r="A2832" t="s">
        <v>1101</v>
      </c>
      <c r="B2832" t="s">
        <v>1102</v>
      </c>
      <c r="C2832" t="s">
        <v>175</v>
      </c>
      <c r="D2832" t="s">
        <v>104</v>
      </c>
      <c r="E2832" t="s">
        <v>105</v>
      </c>
      <c r="F2832">
        <v>5</v>
      </c>
      <c r="G2832" t="s">
        <v>176</v>
      </c>
      <c r="H2832">
        <v>0</v>
      </c>
      <c r="I2832">
        <v>0</v>
      </c>
      <c r="J2832" s="10">
        <v>75</v>
      </c>
      <c r="K2832" s="10">
        <f>SUMIFS(F:F,D:D,DST_123_ÜRETİM_İHTİYAÇ_RAPORU_BURAK_YENI1309[[#This Row],[ALT_KOD]])-(SUMIFS(H:H,D:D,DST_123_ÜRETİM_İHTİYAÇ_RAPORU_BURAK_YENI1309[[#This Row],[ALT_KOD]])+AVERAGEIFS(I:I,D:D,DST_123_ÜRETİM_İHTİYAÇ_RAPORU_BURAK_YENI1309[[#This Row],[ALT_KOD]])+AVERAGEIFS(L:L,D:D,DST_123_ÜRETİM_İHTİYAÇ_RAPORU_BURAK_YENI1309[[#This Row],[ALT_KOD]]))</f>
        <v>102</v>
      </c>
      <c r="L2832">
        <v>0</v>
      </c>
      <c r="M2832">
        <f>IF((DST_123_ÜRETİM_İHTİYAÇ_RAPORU_BURAK_YENI1309[[#This Row],[SATINALMA]]*DST_123_ÜRETİM_İHTİYAÇ_RAPORU_BURAK_YENI1309[[#This Row],[BIRIM_FIYATLAR]])&lt;1,VALUE("0"),DST_123_ÜRETİM_İHTİYAÇ_RAPORU_BURAK_YENI1309[[#This Row],[SATINALMA]]*DST_123_ÜRETİM_İHTİYAÇ_RAPORU_BURAK_YENI1309[[#This Row],[BIRIM_FIYATLAR]])</f>
        <v>10710</v>
      </c>
      <c r="N2832">
        <v>105</v>
      </c>
      <c r="O2832" t="s">
        <v>625</v>
      </c>
      <c r="P2832">
        <v>525</v>
      </c>
      <c r="Q2832" t="s">
        <v>178</v>
      </c>
    </row>
    <row r="2833" spans="1:17" x14ac:dyDescent="0.25">
      <c r="A2833" t="s">
        <v>1101</v>
      </c>
      <c r="B2833" t="s">
        <v>1102</v>
      </c>
      <c r="C2833" t="s">
        <v>175</v>
      </c>
      <c r="D2833" t="s">
        <v>378</v>
      </c>
      <c r="E2833" t="s">
        <v>379</v>
      </c>
      <c r="F2833">
        <v>2</v>
      </c>
      <c r="G2833" t="s">
        <v>176</v>
      </c>
      <c r="H2833">
        <v>0</v>
      </c>
      <c r="I2833">
        <v>50</v>
      </c>
      <c r="J2833" s="10">
        <v>33</v>
      </c>
      <c r="K2833" s="10">
        <f>SUMIFS(F:F,D:D,DST_123_ÜRETİM_İHTİYAÇ_RAPORU_BURAK_YENI1309[[#This Row],[ALT_KOD]])-(SUMIFS(H:H,D:D,DST_123_ÜRETİM_İHTİYAÇ_RAPORU_BURAK_YENI1309[[#This Row],[ALT_KOD]])+AVERAGEIFS(I:I,D:D,DST_123_ÜRETİM_İHTİYAÇ_RAPORU_BURAK_YENI1309[[#This Row],[ALT_KOD]])+AVERAGEIFS(L:L,D:D,DST_123_ÜRETİM_İHTİYAÇ_RAPORU_BURAK_YENI1309[[#This Row],[ALT_KOD]]))</f>
        <v>-15</v>
      </c>
      <c r="L2833">
        <v>0</v>
      </c>
      <c r="M2833">
        <f>IF((DST_123_ÜRETİM_İHTİYAÇ_RAPORU_BURAK_YENI1309[[#This Row],[SATINALMA]]*DST_123_ÜRETİM_İHTİYAÇ_RAPORU_BURAK_YENI1309[[#This Row],[BIRIM_FIYATLAR]])&lt;1,VALUE("0"),DST_123_ÜRETİM_İHTİYAÇ_RAPORU_BURAK_YENI1309[[#This Row],[SATINALMA]]*DST_123_ÜRETİM_İHTİYAÇ_RAPORU_BURAK_YENI1309[[#This Row],[BIRIM_FIYATLAR]])</f>
        <v>0</v>
      </c>
      <c r="N2833">
        <v>72.599999999999994</v>
      </c>
      <c r="O2833" t="s">
        <v>240</v>
      </c>
      <c r="P2833">
        <v>145.19999999999999</v>
      </c>
      <c r="Q2833" t="s">
        <v>178</v>
      </c>
    </row>
    <row r="2834" spans="1:17" x14ac:dyDescent="0.25">
      <c r="A2834" t="s">
        <v>1148</v>
      </c>
      <c r="B2834" t="s">
        <v>1056</v>
      </c>
      <c r="C2834" t="s">
        <v>175</v>
      </c>
      <c r="D2834" t="s">
        <v>106</v>
      </c>
      <c r="E2834" t="s">
        <v>107</v>
      </c>
      <c r="F2834">
        <v>1</v>
      </c>
      <c r="G2834" t="s">
        <v>176</v>
      </c>
      <c r="H2834">
        <v>0</v>
      </c>
      <c r="I2834">
        <v>7</v>
      </c>
      <c r="J2834" s="10">
        <v>10</v>
      </c>
      <c r="K2834" s="10">
        <f>SUMIFS(F:F,D:D,DST_123_ÜRETİM_İHTİYAÇ_RAPORU_BURAK_YENI1309[[#This Row],[ALT_KOD]])-(SUMIFS(H:H,D:D,DST_123_ÜRETİM_İHTİYAÇ_RAPORU_BURAK_YENI1309[[#This Row],[ALT_KOD]])+AVERAGEIFS(I:I,D:D,DST_123_ÜRETİM_İHTİYAÇ_RAPORU_BURAK_YENI1309[[#This Row],[ALT_KOD]])+AVERAGEIFS(L:L,D:D,DST_123_ÜRETİM_İHTİYAÇ_RAPORU_BURAK_YENI1309[[#This Row],[ALT_KOD]]))</f>
        <v>-1</v>
      </c>
      <c r="L2834">
        <v>5</v>
      </c>
      <c r="M2834">
        <f>IF((DST_123_ÜRETİM_İHTİYAÇ_RAPORU_BURAK_YENI1309[[#This Row],[SATINALMA]]*DST_123_ÜRETİM_İHTİYAÇ_RAPORU_BURAK_YENI1309[[#This Row],[BIRIM_FIYATLAR]])&lt;1,VALUE("0"),DST_123_ÜRETİM_İHTİYAÇ_RAPORU_BURAK_YENI1309[[#This Row],[SATINALMA]]*DST_123_ÜRETİM_İHTİYAÇ_RAPORU_BURAK_YENI1309[[#This Row],[BIRIM_FIYATLAR]])</f>
        <v>0</v>
      </c>
      <c r="N2834">
        <v>1200</v>
      </c>
      <c r="O2834" t="s">
        <v>217</v>
      </c>
      <c r="P2834">
        <v>1200</v>
      </c>
      <c r="Q2834" t="s">
        <v>178</v>
      </c>
    </row>
    <row r="2835" spans="1:17" x14ac:dyDescent="0.25">
      <c r="A2835" t="s">
        <v>1101</v>
      </c>
      <c r="B2835" t="s">
        <v>1102</v>
      </c>
      <c r="C2835" t="s">
        <v>175</v>
      </c>
      <c r="D2835" t="s">
        <v>692</v>
      </c>
      <c r="E2835" t="s">
        <v>693</v>
      </c>
      <c r="F2835">
        <v>15</v>
      </c>
      <c r="G2835" t="s">
        <v>182</v>
      </c>
      <c r="H2835">
        <v>0</v>
      </c>
      <c r="I2835">
        <v>0</v>
      </c>
      <c r="J2835" s="10">
        <v>139.96999999999997</v>
      </c>
      <c r="K2835" s="10">
        <f>SUMIFS(F:F,D:D,DST_123_ÜRETİM_İHTİYAÇ_RAPORU_BURAK_YENI1309[[#This Row],[ALT_KOD]])-(SUMIFS(H:H,D:D,DST_123_ÜRETİM_İHTİYAÇ_RAPORU_BURAK_YENI1309[[#This Row],[ALT_KOD]])+AVERAGEIFS(I:I,D:D,DST_123_ÜRETİM_İHTİYAÇ_RAPORU_BURAK_YENI1309[[#This Row],[ALT_KOD]])+AVERAGEIFS(L:L,D:D,DST_123_ÜRETİM_İHTİYAÇ_RAPORU_BURAK_YENI1309[[#This Row],[ALT_KOD]]))</f>
        <v>74.11</v>
      </c>
      <c r="L2835">
        <v>11.89</v>
      </c>
      <c r="M2835">
        <f>IF((DST_123_ÜRETİM_İHTİYAÇ_RAPORU_BURAK_YENI1309[[#This Row],[SATINALMA]]*DST_123_ÜRETİM_İHTİYAÇ_RAPORU_BURAK_YENI1309[[#This Row],[BIRIM_FIYATLAR]])&lt;1,VALUE("0"),DST_123_ÜRETİM_İHTİYAÇ_RAPORU_BURAK_YENI1309[[#This Row],[SATINALMA]]*DST_123_ÜRETİM_İHTİYAÇ_RAPORU_BURAK_YENI1309[[#This Row],[BIRIM_FIYATLAR]])</f>
        <v>21706.819</v>
      </c>
      <c r="N2835">
        <v>292.89999999999998</v>
      </c>
      <c r="O2835" t="s">
        <v>223</v>
      </c>
      <c r="P2835">
        <v>4393.5</v>
      </c>
      <c r="Q2835" t="s">
        <v>181</v>
      </c>
    </row>
    <row r="2836" spans="1:17" x14ac:dyDescent="0.25">
      <c r="A2836" t="s">
        <v>1147</v>
      </c>
      <c r="B2836" t="s">
        <v>1145</v>
      </c>
      <c r="C2836" t="s">
        <v>175</v>
      </c>
      <c r="D2836" t="s">
        <v>750</v>
      </c>
      <c r="E2836" t="s">
        <v>751</v>
      </c>
      <c r="F2836">
        <v>12</v>
      </c>
      <c r="G2836" t="s">
        <v>176</v>
      </c>
      <c r="H2836">
        <v>0</v>
      </c>
      <c r="I2836">
        <v>0</v>
      </c>
      <c r="J2836" s="10">
        <v>0</v>
      </c>
      <c r="K2836" s="10">
        <f>SUMIFS(F:F,D:D,DST_123_ÜRETİM_İHTİYAÇ_RAPORU_BURAK_YENI1309[[#This Row],[ALT_KOD]])-(SUMIFS(H:H,D:D,DST_123_ÜRETİM_İHTİYAÇ_RAPORU_BURAK_YENI1309[[#This Row],[ALT_KOD]])+AVERAGEIFS(I:I,D:D,DST_123_ÜRETİM_İHTİYAÇ_RAPORU_BURAK_YENI1309[[#This Row],[ALT_KOD]])+AVERAGEIFS(L:L,D:D,DST_123_ÜRETİM_İHTİYAÇ_RAPORU_BURAK_YENI1309[[#This Row],[ALT_KOD]]))</f>
        <v>124</v>
      </c>
      <c r="L2836">
        <v>0</v>
      </c>
      <c r="M2836">
        <f>IF((DST_123_ÜRETİM_İHTİYAÇ_RAPORU_BURAK_YENI1309[[#This Row],[SATINALMA]]*DST_123_ÜRETİM_İHTİYAÇ_RAPORU_BURAK_YENI1309[[#This Row],[BIRIM_FIYATLAR]])&lt;1,VALUE("0"),DST_123_ÜRETİM_İHTİYAÇ_RAPORU_BURAK_YENI1309[[#This Row],[SATINALMA]]*DST_123_ÜRETİM_İHTİYAÇ_RAPORU_BURAK_YENI1309[[#This Row],[BIRIM_FIYATLAR]])</f>
        <v>217</v>
      </c>
      <c r="N2836">
        <v>1.75</v>
      </c>
      <c r="O2836" t="s">
        <v>240</v>
      </c>
      <c r="P2836">
        <v>21</v>
      </c>
      <c r="Q2836" t="s">
        <v>180</v>
      </c>
    </row>
    <row r="2837" spans="1:17" x14ac:dyDescent="0.25">
      <c r="A2837" t="s">
        <v>1101</v>
      </c>
      <c r="B2837" t="s">
        <v>1102</v>
      </c>
      <c r="C2837" t="s">
        <v>175</v>
      </c>
      <c r="D2837" t="s">
        <v>943</v>
      </c>
      <c r="E2837" t="s">
        <v>944</v>
      </c>
      <c r="F2837">
        <v>1</v>
      </c>
      <c r="G2837" t="s">
        <v>176</v>
      </c>
      <c r="H2837">
        <v>0</v>
      </c>
      <c r="I2837">
        <v>0</v>
      </c>
      <c r="J2837" s="10">
        <v>0</v>
      </c>
      <c r="K2837" s="10">
        <f>SUMIFS(F:F,D:D,DST_123_ÜRETİM_İHTİYAÇ_RAPORU_BURAK_YENI1309[[#This Row],[ALT_KOD]])-(SUMIFS(H:H,D:D,DST_123_ÜRETİM_İHTİYAÇ_RAPORU_BURAK_YENI1309[[#This Row],[ALT_KOD]])+AVERAGEIFS(I:I,D:D,DST_123_ÜRETİM_İHTİYAÇ_RAPORU_BURAK_YENI1309[[#This Row],[ALT_KOD]])+AVERAGEIFS(L:L,D:D,DST_123_ÜRETİM_İHTİYAÇ_RAPORU_BURAK_YENI1309[[#This Row],[ALT_KOD]]))</f>
        <v>6.5</v>
      </c>
      <c r="L2837">
        <v>0</v>
      </c>
      <c r="M2837">
        <f>IF((DST_123_ÜRETİM_İHTİYAÇ_RAPORU_BURAK_YENI1309[[#This Row],[SATINALMA]]*DST_123_ÜRETİM_İHTİYAÇ_RAPORU_BURAK_YENI1309[[#This Row],[BIRIM_FIYATLAR]])&lt;1,VALUE("0"),DST_123_ÜRETİM_İHTİYAÇ_RAPORU_BURAK_YENI1309[[#This Row],[SATINALMA]]*DST_123_ÜRETİM_İHTİYAÇ_RAPORU_BURAK_YENI1309[[#This Row],[BIRIM_FIYATLAR]])</f>
        <v>247</v>
      </c>
      <c r="N2837">
        <v>38</v>
      </c>
      <c r="O2837" t="s">
        <v>240</v>
      </c>
      <c r="P2837">
        <v>38</v>
      </c>
      <c r="Q2837" t="s">
        <v>183</v>
      </c>
    </row>
    <row r="2838" spans="1:17" x14ac:dyDescent="0.25">
      <c r="A2838" t="s">
        <v>1148</v>
      </c>
      <c r="B2838" t="s">
        <v>1056</v>
      </c>
      <c r="C2838" t="s">
        <v>175</v>
      </c>
      <c r="D2838" t="s">
        <v>500</v>
      </c>
      <c r="E2838" t="s">
        <v>501</v>
      </c>
      <c r="F2838">
        <v>1.5</v>
      </c>
      <c r="G2838" t="s">
        <v>179</v>
      </c>
      <c r="H2838">
        <v>0</v>
      </c>
      <c r="I2838">
        <v>0</v>
      </c>
      <c r="J2838" s="10">
        <v>27</v>
      </c>
      <c r="K2838" s="10">
        <f>SUMIFS(F:F,D:D,DST_123_ÜRETİM_İHTİYAÇ_RAPORU_BURAK_YENI1309[[#This Row],[ALT_KOD]])-(SUMIFS(H:H,D:D,DST_123_ÜRETİM_İHTİYAÇ_RAPORU_BURAK_YENI1309[[#This Row],[ALT_KOD]])+AVERAGEIFS(I:I,D:D,DST_123_ÜRETİM_İHTİYAÇ_RAPORU_BURAK_YENI1309[[#This Row],[ALT_KOD]])+AVERAGEIFS(L:L,D:D,DST_123_ÜRETİM_İHTİYAÇ_RAPORU_BURAK_YENI1309[[#This Row],[ALT_KOD]]))</f>
        <v>30.5</v>
      </c>
      <c r="L2838">
        <v>0</v>
      </c>
      <c r="M2838">
        <f>IF((DST_123_ÜRETİM_İHTİYAÇ_RAPORU_BURAK_YENI1309[[#This Row],[SATINALMA]]*DST_123_ÜRETİM_İHTİYAÇ_RAPORU_BURAK_YENI1309[[#This Row],[BIRIM_FIYATLAR]])&lt;1,VALUE("0"),DST_123_ÜRETİM_İHTİYAÇ_RAPORU_BURAK_YENI1309[[#This Row],[SATINALMA]]*DST_123_ÜRETİM_İHTİYAÇ_RAPORU_BURAK_YENI1309[[#This Row],[BIRIM_FIYATLAR]])</f>
        <v>396.5</v>
      </c>
      <c r="N2838">
        <v>13</v>
      </c>
      <c r="P2838">
        <v>19.5</v>
      </c>
      <c r="Q2838" t="s">
        <v>221</v>
      </c>
    </row>
    <row r="2839" spans="1:17" x14ac:dyDescent="0.25">
      <c r="A2839" t="s">
        <v>1147</v>
      </c>
      <c r="B2839" t="s">
        <v>1145</v>
      </c>
      <c r="C2839" t="s">
        <v>175</v>
      </c>
      <c r="D2839" t="s">
        <v>550</v>
      </c>
      <c r="E2839" t="s">
        <v>551</v>
      </c>
      <c r="F2839">
        <v>2</v>
      </c>
      <c r="G2839" t="s">
        <v>176</v>
      </c>
      <c r="H2839">
        <v>0</v>
      </c>
      <c r="I2839">
        <v>35</v>
      </c>
      <c r="J2839" s="10">
        <v>14</v>
      </c>
      <c r="K2839" s="10">
        <f>SUMIFS(F:F,D:D,DST_123_ÜRETİM_İHTİYAÇ_RAPORU_BURAK_YENI1309[[#This Row],[ALT_KOD]])-(SUMIFS(H:H,D:D,DST_123_ÜRETİM_İHTİYAÇ_RAPORU_BURAK_YENI1309[[#This Row],[ALT_KOD]])+AVERAGEIFS(I:I,D:D,DST_123_ÜRETİM_İHTİYAÇ_RAPORU_BURAK_YENI1309[[#This Row],[ALT_KOD]])+AVERAGEIFS(L:L,D:D,DST_123_ÜRETİM_İHTİYAÇ_RAPORU_BURAK_YENI1309[[#This Row],[ALT_KOD]]))</f>
        <v>-11</v>
      </c>
      <c r="L2839">
        <v>0</v>
      </c>
      <c r="M2839">
        <f>IF((DST_123_ÜRETİM_İHTİYAÇ_RAPORU_BURAK_YENI1309[[#This Row],[SATINALMA]]*DST_123_ÜRETİM_İHTİYAÇ_RAPORU_BURAK_YENI1309[[#This Row],[BIRIM_FIYATLAR]])&lt;1,VALUE("0"),DST_123_ÜRETİM_İHTİYAÇ_RAPORU_BURAK_YENI1309[[#This Row],[SATINALMA]]*DST_123_ÜRETİM_İHTİYAÇ_RAPORU_BURAK_YENI1309[[#This Row],[BIRIM_FIYATLAR]])</f>
        <v>0</v>
      </c>
      <c r="N2839">
        <v>43.75</v>
      </c>
      <c r="O2839" t="s">
        <v>490</v>
      </c>
      <c r="P2839">
        <v>87.5</v>
      </c>
      <c r="Q2839" t="s">
        <v>180</v>
      </c>
    </row>
    <row r="2840" spans="1:17" x14ac:dyDescent="0.25">
      <c r="A2840" t="s">
        <v>1196</v>
      </c>
      <c r="B2840" t="s">
        <v>1197</v>
      </c>
      <c r="C2840" t="s">
        <v>175</v>
      </c>
      <c r="D2840" t="s">
        <v>106</v>
      </c>
      <c r="E2840" t="s">
        <v>107</v>
      </c>
      <c r="F2840">
        <v>1</v>
      </c>
      <c r="G2840" t="s">
        <v>176</v>
      </c>
      <c r="H2840">
        <v>0</v>
      </c>
      <c r="I2840">
        <v>7</v>
      </c>
      <c r="J2840" s="10">
        <v>10</v>
      </c>
      <c r="K2840" s="10">
        <f>SUMIFS(F:F,D:D,DST_123_ÜRETİM_İHTİYAÇ_RAPORU_BURAK_YENI1309[[#This Row],[ALT_KOD]])-(SUMIFS(H:H,D:D,DST_123_ÜRETİM_İHTİYAÇ_RAPORU_BURAK_YENI1309[[#This Row],[ALT_KOD]])+AVERAGEIFS(I:I,D:D,DST_123_ÜRETİM_İHTİYAÇ_RAPORU_BURAK_YENI1309[[#This Row],[ALT_KOD]])+AVERAGEIFS(L:L,D:D,DST_123_ÜRETİM_İHTİYAÇ_RAPORU_BURAK_YENI1309[[#This Row],[ALT_KOD]]))</f>
        <v>-1</v>
      </c>
      <c r="L2840">
        <v>5</v>
      </c>
      <c r="M2840">
        <f>IF((DST_123_ÜRETİM_İHTİYAÇ_RAPORU_BURAK_YENI1309[[#This Row],[SATINALMA]]*DST_123_ÜRETİM_İHTİYAÇ_RAPORU_BURAK_YENI1309[[#This Row],[BIRIM_FIYATLAR]])&lt;1,VALUE("0"),DST_123_ÜRETİM_İHTİYAÇ_RAPORU_BURAK_YENI1309[[#This Row],[SATINALMA]]*DST_123_ÜRETİM_İHTİYAÇ_RAPORU_BURAK_YENI1309[[#This Row],[BIRIM_FIYATLAR]])</f>
        <v>0</v>
      </c>
      <c r="N2840">
        <v>1200</v>
      </c>
      <c r="O2840" t="s">
        <v>217</v>
      </c>
      <c r="P2840">
        <v>1200</v>
      </c>
      <c r="Q2840" t="s">
        <v>178</v>
      </c>
    </row>
    <row r="2841" spans="1:17" x14ac:dyDescent="0.25">
      <c r="A2841" t="s">
        <v>1099</v>
      </c>
      <c r="B2841" t="s">
        <v>1055</v>
      </c>
      <c r="C2841" t="s">
        <v>175</v>
      </c>
      <c r="D2841" t="s">
        <v>750</v>
      </c>
      <c r="E2841" t="s">
        <v>751</v>
      </c>
      <c r="F2841">
        <v>16</v>
      </c>
      <c r="G2841" t="s">
        <v>176</v>
      </c>
      <c r="H2841">
        <v>0</v>
      </c>
      <c r="I2841">
        <v>0</v>
      </c>
      <c r="J2841" s="10">
        <v>0</v>
      </c>
      <c r="K2841" s="10">
        <f>SUMIFS(F:F,D:D,DST_123_ÜRETİM_İHTİYAÇ_RAPORU_BURAK_YENI1309[[#This Row],[ALT_KOD]])-(SUMIFS(H:H,D:D,DST_123_ÜRETİM_İHTİYAÇ_RAPORU_BURAK_YENI1309[[#This Row],[ALT_KOD]])+AVERAGEIFS(I:I,D:D,DST_123_ÜRETİM_İHTİYAÇ_RAPORU_BURAK_YENI1309[[#This Row],[ALT_KOD]])+AVERAGEIFS(L:L,D:D,DST_123_ÜRETİM_İHTİYAÇ_RAPORU_BURAK_YENI1309[[#This Row],[ALT_KOD]]))</f>
        <v>124</v>
      </c>
      <c r="L2841">
        <v>0</v>
      </c>
      <c r="M2841">
        <f>IF((DST_123_ÜRETİM_İHTİYAÇ_RAPORU_BURAK_YENI1309[[#This Row],[SATINALMA]]*DST_123_ÜRETİM_İHTİYAÇ_RAPORU_BURAK_YENI1309[[#This Row],[BIRIM_FIYATLAR]])&lt;1,VALUE("0"),DST_123_ÜRETİM_İHTİYAÇ_RAPORU_BURAK_YENI1309[[#This Row],[SATINALMA]]*DST_123_ÜRETİM_İHTİYAÇ_RAPORU_BURAK_YENI1309[[#This Row],[BIRIM_FIYATLAR]])</f>
        <v>217</v>
      </c>
      <c r="N2841">
        <v>1.75</v>
      </c>
      <c r="O2841" t="s">
        <v>240</v>
      </c>
      <c r="P2841">
        <v>28</v>
      </c>
      <c r="Q2841" t="s">
        <v>180</v>
      </c>
    </row>
    <row r="2842" spans="1:17" x14ac:dyDescent="0.25">
      <c r="A2842" t="s">
        <v>1196</v>
      </c>
      <c r="B2842" t="s">
        <v>1197</v>
      </c>
      <c r="C2842" t="s">
        <v>175</v>
      </c>
      <c r="D2842" t="s">
        <v>750</v>
      </c>
      <c r="E2842" t="s">
        <v>751</v>
      </c>
      <c r="F2842">
        <v>12</v>
      </c>
      <c r="G2842" t="s">
        <v>176</v>
      </c>
      <c r="H2842">
        <v>0</v>
      </c>
      <c r="I2842">
        <v>0</v>
      </c>
      <c r="J2842" s="10">
        <v>0</v>
      </c>
      <c r="K2842" s="10">
        <f>SUMIFS(F:F,D:D,DST_123_ÜRETİM_İHTİYAÇ_RAPORU_BURAK_YENI1309[[#This Row],[ALT_KOD]])-(SUMIFS(H:H,D:D,DST_123_ÜRETİM_İHTİYAÇ_RAPORU_BURAK_YENI1309[[#This Row],[ALT_KOD]])+AVERAGEIFS(I:I,D:D,DST_123_ÜRETİM_İHTİYAÇ_RAPORU_BURAK_YENI1309[[#This Row],[ALT_KOD]])+AVERAGEIFS(L:L,D:D,DST_123_ÜRETİM_İHTİYAÇ_RAPORU_BURAK_YENI1309[[#This Row],[ALT_KOD]]))</f>
        <v>124</v>
      </c>
      <c r="L2842">
        <v>0</v>
      </c>
      <c r="M2842">
        <f>IF((DST_123_ÜRETİM_İHTİYAÇ_RAPORU_BURAK_YENI1309[[#This Row],[SATINALMA]]*DST_123_ÜRETİM_İHTİYAÇ_RAPORU_BURAK_YENI1309[[#This Row],[BIRIM_FIYATLAR]])&lt;1,VALUE("0"),DST_123_ÜRETİM_İHTİYAÇ_RAPORU_BURAK_YENI1309[[#This Row],[SATINALMA]]*DST_123_ÜRETİM_İHTİYAÇ_RAPORU_BURAK_YENI1309[[#This Row],[BIRIM_FIYATLAR]])</f>
        <v>217</v>
      </c>
      <c r="N2842">
        <v>1.75</v>
      </c>
      <c r="O2842" t="s">
        <v>240</v>
      </c>
      <c r="P2842">
        <v>21</v>
      </c>
      <c r="Q2842" t="s">
        <v>180</v>
      </c>
    </row>
    <row r="2843" spans="1:17" x14ac:dyDescent="0.25">
      <c r="A2843" t="s">
        <v>1099</v>
      </c>
      <c r="B2843" t="s">
        <v>1055</v>
      </c>
      <c r="C2843" t="s">
        <v>175</v>
      </c>
      <c r="D2843" t="s">
        <v>500</v>
      </c>
      <c r="E2843" t="s">
        <v>501</v>
      </c>
      <c r="F2843">
        <v>1.5</v>
      </c>
      <c r="G2843" t="s">
        <v>179</v>
      </c>
      <c r="H2843">
        <v>0</v>
      </c>
      <c r="I2843">
        <v>0</v>
      </c>
      <c r="J2843" s="10">
        <v>27</v>
      </c>
      <c r="K2843" s="10">
        <f>SUMIFS(F:F,D:D,DST_123_ÜRETİM_İHTİYAÇ_RAPORU_BURAK_YENI1309[[#This Row],[ALT_KOD]])-(SUMIFS(H:H,D:D,DST_123_ÜRETİM_İHTİYAÇ_RAPORU_BURAK_YENI1309[[#This Row],[ALT_KOD]])+AVERAGEIFS(I:I,D:D,DST_123_ÜRETİM_İHTİYAÇ_RAPORU_BURAK_YENI1309[[#This Row],[ALT_KOD]])+AVERAGEIFS(L:L,D:D,DST_123_ÜRETİM_İHTİYAÇ_RAPORU_BURAK_YENI1309[[#This Row],[ALT_KOD]]))</f>
        <v>30.5</v>
      </c>
      <c r="L2843">
        <v>0</v>
      </c>
      <c r="M2843">
        <f>IF((DST_123_ÜRETİM_İHTİYAÇ_RAPORU_BURAK_YENI1309[[#This Row],[SATINALMA]]*DST_123_ÜRETİM_İHTİYAÇ_RAPORU_BURAK_YENI1309[[#This Row],[BIRIM_FIYATLAR]])&lt;1,VALUE("0"),DST_123_ÜRETİM_İHTİYAÇ_RAPORU_BURAK_YENI1309[[#This Row],[SATINALMA]]*DST_123_ÜRETİM_İHTİYAÇ_RAPORU_BURAK_YENI1309[[#This Row],[BIRIM_FIYATLAR]])</f>
        <v>396.5</v>
      </c>
      <c r="N2843">
        <v>13</v>
      </c>
      <c r="P2843">
        <v>19.5</v>
      </c>
      <c r="Q2843" t="s">
        <v>221</v>
      </c>
    </row>
    <row r="2844" spans="1:17" x14ac:dyDescent="0.25">
      <c r="A2844" t="s">
        <v>1196</v>
      </c>
      <c r="B2844" t="s">
        <v>1197</v>
      </c>
      <c r="C2844" t="s">
        <v>175</v>
      </c>
      <c r="D2844" t="s">
        <v>550</v>
      </c>
      <c r="E2844" t="s">
        <v>551</v>
      </c>
      <c r="F2844">
        <v>2</v>
      </c>
      <c r="G2844" t="s">
        <v>176</v>
      </c>
      <c r="H2844">
        <v>0</v>
      </c>
      <c r="I2844">
        <v>35</v>
      </c>
      <c r="J2844" s="10">
        <v>14</v>
      </c>
      <c r="K2844" s="10">
        <f>SUMIFS(F:F,D:D,DST_123_ÜRETİM_İHTİYAÇ_RAPORU_BURAK_YENI1309[[#This Row],[ALT_KOD]])-(SUMIFS(H:H,D:D,DST_123_ÜRETİM_İHTİYAÇ_RAPORU_BURAK_YENI1309[[#This Row],[ALT_KOD]])+AVERAGEIFS(I:I,D:D,DST_123_ÜRETİM_İHTİYAÇ_RAPORU_BURAK_YENI1309[[#This Row],[ALT_KOD]])+AVERAGEIFS(L:L,D:D,DST_123_ÜRETİM_İHTİYAÇ_RAPORU_BURAK_YENI1309[[#This Row],[ALT_KOD]]))</f>
        <v>-11</v>
      </c>
      <c r="L2844">
        <v>0</v>
      </c>
      <c r="M2844">
        <f>IF((DST_123_ÜRETİM_İHTİYAÇ_RAPORU_BURAK_YENI1309[[#This Row],[SATINALMA]]*DST_123_ÜRETİM_İHTİYAÇ_RAPORU_BURAK_YENI1309[[#This Row],[BIRIM_FIYATLAR]])&lt;1,VALUE("0"),DST_123_ÜRETİM_İHTİYAÇ_RAPORU_BURAK_YENI1309[[#This Row],[SATINALMA]]*DST_123_ÜRETİM_İHTİYAÇ_RAPORU_BURAK_YENI1309[[#This Row],[BIRIM_FIYATLAR]])</f>
        <v>0</v>
      </c>
      <c r="N2844">
        <v>43.75</v>
      </c>
      <c r="O2844" t="s">
        <v>490</v>
      </c>
      <c r="P2844">
        <v>87.5</v>
      </c>
      <c r="Q2844" t="s">
        <v>180</v>
      </c>
    </row>
    <row r="2845" spans="1:17" x14ac:dyDescent="0.25">
      <c r="A2845" t="s">
        <v>1099</v>
      </c>
      <c r="B2845" t="s">
        <v>1055</v>
      </c>
      <c r="C2845" t="s">
        <v>175</v>
      </c>
      <c r="D2845" t="s">
        <v>550</v>
      </c>
      <c r="E2845" t="s">
        <v>551</v>
      </c>
      <c r="F2845">
        <v>2</v>
      </c>
      <c r="G2845" t="s">
        <v>176</v>
      </c>
      <c r="H2845">
        <v>0</v>
      </c>
      <c r="I2845">
        <v>35</v>
      </c>
      <c r="J2845" s="10">
        <v>14</v>
      </c>
      <c r="K2845" s="10">
        <f>SUMIFS(F:F,D:D,DST_123_ÜRETİM_İHTİYAÇ_RAPORU_BURAK_YENI1309[[#This Row],[ALT_KOD]])-(SUMIFS(H:H,D:D,DST_123_ÜRETİM_İHTİYAÇ_RAPORU_BURAK_YENI1309[[#This Row],[ALT_KOD]])+AVERAGEIFS(I:I,D:D,DST_123_ÜRETİM_İHTİYAÇ_RAPORU_BURAK_YENI1309[[#This Row],[ALT_KOD]])+AVERAGEIFS(L:L,D:D,DST_123_ÜRETİM_İHTİYAÇ_RAPORU_BURAK_YENI1309[[#This Row],[ALT_KOD]]))</f>
        <v>-11</v>
      </c>
      <c r="L2845">
        <v>0</v>
      </c>
      <c r="M2845">
        <f>IF((DST_123_ÜRETİM_İHTİYAÇ_RAPORU_BURAK_YENI1309[[#This Row],[SATINALMA]]*DST_123_ÜRETİM_İHTİYAÇ_RAPORU_BURAK_YENI1309[[#This Row],[BIRIM_FIYATLAR]])&lt;1,VALUE("0"),DST_123_ÜRETİM_İHTİYAÇ_RAPORU_BURAK_YENI1309[[#This Row],[SATINALMA]]*DST_123_ÜRETİM_İHTİYAÇ_RAPORU_BURAK_YENI1309[[#This Row],[BIRIM_FIYATLAR]])</f>
        <v>0</v>
      </c>
      <c r="N2845">
        <v>43.75</v>
      </c>
      <c r="O2845" t="s">
        <v>490</v>
      </c>
      <c r="P2845">
        <v>87.5</v>
      </c>
      <c r="Q2845" t="s">
        <v>180</v>
      </c>
    </row>
    <row r="2846" spans="1:17" x14ac:dyDescent="0.25">
      <c r="A2846" t="s">
        <v>1143</v>
      </c>
      <c r="B2846" t="s">
        <v>1056</v>
      </c>
      <c r="C2846" t="s">
        <v>175</v>
      </c>
      <c r="D2846" t="s">
        <v>943</v>
      </c>
      <c r="E2846" t="s">
        <v>944</v>
      </c>
      <c r="F2846">
        <v>1</v>
      </c>
      <c r="G2846" t="s">
        <v>176</v>
      </c>
      <c r="H2846">
        <v>0</v>
      </c>
      <c r="I2846">
        <v>0</v>
      </c>
      <c r="J2846" s="10">
        <v>0</v>
      </c>
      <c r="K2846" s="10">
        <f>SUMIFS(F:F,D:D,DST_123_ÜRETİM_İHTİYAÇ_RAPORU_BURAK_YENI1309[[#This Row],[ALT_KOD]])-(SUMIFS(H:H,D:D,DST_123_ÜRETİM_İHTİYAÇ_RAPORU_BURAK_YENI1309[[#This Row],[ALT_KOD]])+AVERAGEIFS(I:I,D:D,DST_123_ÜRETİM_İHTİYAÇ_RAPORU_BURAK_YENI1309[[#This Row],[ALT_KOD]])+AVERAGEIFS(L:L,D:D,DST_123_ÜRETİM_İHTİYAÇ_RAPORU_BURAK_YENI1309[[#This Row],[ALT_KOD]]))</f>
        <v>6.5</v>
      </c>
      <c r="L2846">
        <v>0</v>
      </c>
      <c r="M2846">
        <f>IF((DST_123_ÜRETİM_İHTİYAÇ_RAPORU_BURAK_YENI1309[[#This Row],[SATINALMA]]*DST_123_ÜRETİM_İHTİYAÇ_RAPORU_BURAK_YENI1309[[#This Row],[BIRIM_FIYATLAR]])&lt;1,VALUE("0"),DST_123_ÜRETİM_İHTİYAÇ_RAPORU_BURAK_YENI1309[[#This Row],[SATINALMA]]*DST_123_ÜRETİM_İHTİYAÇ_RAPORU_BURAK_YENI1309[[#This Row],[BIRIM_FIYATLAR]])</f>
        <v>247</v>
      </c>
      <c r="N2846">
        <v>38</v>
      </c>
      <c r="O2846" t="s">
        <v>240</v>
      </c>
      <c r="P2846">
        <v>38</v>
      </c>
      <c r="Q2846" t="s">
        <v>183</v>
      </c>
    </row>
    <row r="2847" spans="1:17" x14ac:dyDescent="0.25">
      <c r="A2847" t="s">
        <v>1095</v>
      </c>
      <c r="B2847" t="s">
        <v>1096</v>
      </c>
      <c r="C2847" t="s">
        <v>175</v>
      </c>
      <c r="D2847" t="s">
        <v>500</v>
      </c>
      <c r="E2847" t="s">
        <v>501</v>
      </c>
      <c r="F2847">
        <v>1.5</v>
      </c>
      <c r="G2847" t="s">
        <v>179</v>
      </c>
      <c r="H2847">
        <v>0</v>
      </c>
      <c r="I2847">
        <v>0</v>
      </c>
      <c r="J2847" s="10">
        <v>27</v>
      </c>
      <c r="K2847" s="10">
        <f>SUMIFS(F:F,D:D,DST_123_ÜRETİM_İHTİYAÇ_RAPORU_BURAK_YENI1309[[#This Row],[ALT_KOD]])-(SUMIFS(H:H,D:D,DST_123_ÜRETİM_İHTİYAÇ_RAPORU_BURAK_YENI1309[[#This Row],[ALT_KOD]])+AVERAGEIFS(I:I,D:D,DST_123_ÜRETİM_İHTİYAÇ_RAPORU_BURAK_YENI1309[[#This Row],[ALT_KOD]])+AVERAGEIFS(L:L,D:D,DST_123_ÜRETİM_İHTİYAÇ_RAPORU_BURAK_YENI1309[[#This Row],[ALT_KOD]]))</f>
        <v>30.5</v>
      </c>
      <c r="L2847">
        <v>0</v>
      </c>
      <c r="M2847">
        <f>IF((DST_123_ÜRETİM_İHTİYAÇ_RAPORU_BURAK_YENI1309[[#This Row],[SATINALMA]]*DST_123_ÜRETİM_İHTİYAÇ_RAPORU_BURAK_YENI1309[[#This Row],[BIRIM_FIYATLAR]])&lt;1,VALUE("0"),DST_123_ÜRETİM_İHTİYAÇ_RAPORU_BURAK_YENI1309[[#This Row],[SATINALMA]]*DST_123_ÜRETİM_İHTİYAÇ_RAPORU_BURAK_YENI1309[[#This Row],[BIRIM_FIYATLAR]])</f>
        <v>396.5</v>
      </c>
      <c r="N2847">
        <v>13</v>
      </c>
      <c r="P2847">
        <v>19.5</v>
      </c>
      <c r="Q2847" t="s">
        <v>221</v>
      </c>
    </row>
    <row r="2848" spans="1:17" x14ac:dyDescent="0.25">
      <c r="A2848" t="s">
        <v>1097</v>
      </c>
      <c r="B2848" t="s">
        <v>1055</v>
      </c>
      <c r="C2848" t="s">
        <v>175</v>
      </c>
      <c r="D2848" t="s">
        <v>500</v>
      </c>
      <c r="E2848" t="s">
        <v>501</v>
      </c>
      <c r="F2848">
        <v>1.5</v>
      </c>
      <c r="G2848" t="s">
        <v>179</v>
      </c>
      <c r="H2848">
        <v>0</v>
      </c>
      <c r="I2848">
        <v>0</v>
      </c>
      <c r="J2848" s="10">
        <v>27</v>
      </c>
      <c r="K2848" s="10">
        <f>SUMIFS(F:F,D:D,DST_123_ÜRETİM_İHTİYAÇ_RAPORU_BURAK_YENI1309[[#This Row],[ALT_KOD]])-(SUMIFS(H:H,D:D,DST_123_ÜRETİM_İHTİYAÇ_RAPORU_BURAK_YENI1309[[#This Row],[ALT_KOD]])+AVERAGEIFS(I:I,D:D,DST_123_ÜRETİM_İHTİYAÇ_RAPORU_BURAK_YENI1309[[#This Row],[ALT_KOD]])+AVERAGEIFS(L:L,D:D,DST_123_ÜRETİM_İHTİYAÇ_RAPORU_BURAK_YENI1309[[#This Row],[ALT_KOD]]))</f>
        <v>30.5</v>
      </c>
      <c r="L2848">
        <v>0</v>
      </c>
      <c r="M2848">
        <f>IF((DST_123_ÜRETİM_İHTİYAÇ_RAPORU_BURAK_YENI1309[[#This Row],[SATINALMA]]*DST_123_ÜRETİM_İHTİYAÇ_RAPORU_BURAK_YENI1309[[#This Row],[BIRIM_FIYATLAR]])&lt;1,VALUE("0"),DST_123_ÜRETİM_İHTİYAÇ_RAPORU_BURAK_YENI1309[[#This Row],[SATINALMA]]*DST_123_ÜRETİM_İHTİYAÇ_RAPORU_BURAK_YENI1309[[#This Row],[BIRIM_FIYATLAR]])</f>
        <v>396.5</v>
      </c>
      <c r="N2848">
        <v>13</v>
      </c>
      <c r="P2848">
        <v>19.5</v>
      </c>
      <c r="Q2848" t="s">
        <v>221</v>
      </c>
    </row>
    <row r="2849" spans="1:17" x14ac:dyDescent="0.25">
      <c r="A2849" t="s">
        <v>1059</v>
      </c>
      <c r="B2849" t="s">
        <v>1058</v>
      </c>
      <c r="C2849" t="s">
        <v>175</v>
      </c>
      <c r="D2849" t="s">
        <v>273</v>
      </c>
      <c r="E2849" t="s">
        <v>274</v>
      </c>
      <c r="F2849">
        <v>1</v>
      </c>
      <c r="G2849" t="s">
        <v>176</v>
      </c>
      <c r="H2849">
        <v>1</v>
      </c>
      <c r="I2849">
        <v>7</v>
      </c>
      <c r="J2849" s="10">
        <v>10</v>
      </c>
      <c r="K2849" s="10">
        <f>SUMIFS(F:F,D:D,DST_123_ÜRETİM_İHTİYAÇ_RAPORU_BURAK_YENI1309[[#This Row],[ALT_KOD]])-(SUMIFS(H:H,D:D,DST_123_ÜRETİM_İHTİYAÇ_RAPORU_BURAK_YENI1309[[#This Row],[ALT_KOD]])+AVERAGEIFS(I:I,D:D,DST_123_ÜRETİM_İHTİYAÇ_RAPORU_BURAK_YENI1309[[#This Row],[ALT_KOD]])+AVERAGEIFS(L:L,D:D,DST_123_ÜRETİM_İHTİYAÇ_RAPORU_BURAK_YENI1309[[#This Row],[ALT_KOD]]))</f>
        <v>4</v>
      </c>
      <c r="L2849">
        <v>0</v>
      </c>
      <c r="M2849">
        <f>IF((DST_123_ÜRETİM_İHTİYAÇ_RAPORU_BURAK_YENI1309[[#This Row],[SATINALMA]]*DST_123_ÜRETİM_İHTİYAÇ_RAPORU_BURAK_YENI1309[[#This Row],[BIRIM_FIYATLAR]])&lt;1,VALUE("0"),DST_123_ÜRETİM_İHTİYAÇ_RAPORU_BURAK_YENI1309[[#This Row],[SATINALMA]]*DST_123_ÜRETİM_İHTİYAÇ_RAPORU_BURAK_YENI1309[[#This Row],[BIRIM_FIYATLAR]])</f>
        <v>1950.24</v>
      </c>
      <c r="N2849">
        <v>487.56</v>
      </c>
      <c r="O2849" t="s">
        <v>275</v>
      </c>
      <c r="P2849">
        <v>487.56</v>
      </c>
      <c r="Q2849" t="s">
        <v>177</v>
      </c>
    </row>
    <row r="2850" spans="1:17" x14ac:dyDescent="0.25">
      <c r="A2850" t="s">
        <v>1095</v>
      </c>
      <c r="B2850" t="s">
        <v>1096</v>
      </c>
      <c r="C2850" t="s">
        <v>175</v>
      </c>
      <c r="D2850" t="s">
        <v>273</v>
      </c>
      <c r="E2850" t="s">
        <v>274</v>
      </c>
      <c r="F2850">
        <v>1</v>
      </c>
      <c r="G2850" t="s">
        <v>176</v>
      </c>
      <c r="H2850">
        <v>0</v>
      </c>
      <c r="I2850">
        <v>7</v>
      </c>
      <c r="J2850" s="10">
        <v>10</v>
      </c>
      <c r="K2850" s="10">
        <f>SUMIFS(F:F,D:D,DST_123_ÜRETİM_İHTİYAÇ_RAPORU_BURAK_YENI1309[[#This Row],[ALT_KOD]])-(SUMIFS(H:H,D:D,DST_123_ÜRETİM_İHTİYAÇ_RAPORU_BURAK_YENI1309[[#This Row],[ALT_KOD]])+AVERAGEIFS(I:I,D:D,DST_123_ÜRETİM_İHTİYAÇ_RAPORU_BURAK_YENI1309[[#This Row],[ALT_KOD]])+AVERAGEIFS(L:L,D:D,DST_123_ÜRETİM_İHTİYAÇ_RAPORU_BURAK_YENI1309[[#This Row],[ALT_KOD]]))</f>
        <v>4</v>
      </c>
      <c r="L2850">
        <v>0</v>
      </c>
      <c r="M2850">
        <f>IF((DST_123_ÜRETİM_İHTİYAÇ_RAPORU_BURAK_YENI1309[[#This Row],[SATINALMA]]*DST_123_ÜRETİM_İHTİYAÇ_RAPORU_BURAK_YENI1309[[#This Row],[BIRIM_FIYATLAR]])&lt;1,VALUE("0"),DST_123_ÜRETİM_İHTİYAÇ_RAPORU_BURAK_YENI1309[[#This Row],[SATINALMA]]*DST_123_ÜRETİM_İHTİYAÇ_RAPORU_BURAK_YENI1309[[#This Row],[BIRIM_FIYATLAR]])</f>
        <v>1950.24</v>
      </c>
      <c r="N2850">
        <v>487.56</v>
      </c>
      <c r="O2850" t="s">
        <v>275</v>
      </c>
      <c r="P2850">
        <v>487.56</v>
      </c>
      <c r="Q2850" t="s">
        <v>177</v>
      </c>
    </row>
    <row r="2851" spans="1:17" x14ac:dyDescent="0.25">
      <c r="A2851" t="s">
        <v>1148</v>
      </c>
      <c r="B2851" t="s">
        <v>1056</v>
      </c>
      <c r="C2851" t="s">
        <v>175</v>
      </c>
      <c r="D2851" t="s">
        <v>273</v>
      </c>
      <c r="E2851" t="s">
        <v>274</v>
      </c>
      <c r="F2851">
        <v>1</v>
      </c>
      <c r="G2851" t="s">
        <v>176</v>
      </c>
      <c r="H2851">
        <v>0</v>
      </c>
      <c r="I2851">
        <v>7</v>
      </c>
      <c r="J2851" s="10">
        <v>10</v>
      </c>
      <c r="K2851" s="10">
        <f>SUMIFS(F:F,D:D,DST_123_ÜRETİM_İHTİYAÇ_RAPORU_BURAK_YENI1309[[#This Row],[ALT_KOD]])-(SUMIFS(H:H,D:D,DST_123_ÜRETİM_İHTİYAÇ_RAPORU_BURAK_YENI1309[[#This Row],[ALT_KOD]])+AVERAGEIFS(I:I,D:D,DST_123_ÜRETİM_İHTİYAÇ_RAPORU_BURAK_YENI1309[[#This Row],[ALT_KOD]])+AVERAGEIFS(L:L,D:D,DST_123_ÜRETİM_İHTİYAÇ_RAPORU_BURAK_YENI1309[[#This Row],[ALT_KOD]]))</f>
        <v>4</v>
      </c>
      <c r="L2851">
        <v>0</v>
      </c>
      <c r="M2851">
        <f>IF((DST_123_ÜRETİM_İHTİYAÇ_RAPORU_BURAK_YENI1309[[#This Row],[SATINALMA]]*DST_123_ÜRETİM_İHTİYAÇ_RAPORU_BURAK_YENI1309[[#This Row],[BIRIM_FIYATLAR]])&lt;1,VALUE("0"),DST_123_ÜRETİM_İHTİYAÇ_RAPORU_BURAK_YENI1309[[#This Row],[SATINALMA]]*DST_123_ÜRETİM_İHTİYAÇ_RAPORU_BURAK_YENI1309[[#This Row],[BIRIM_FIYATLAR]])</f>
        <v>1950.24</v>
      </c>
      <c r="N2851">
        <v>487.56</v>
      </c>
      <c r="O2851" t="s">
        <v>275</v>
      </c>
      <c r="P2851">
        <v>487.56</v>
      </c>
      <c r="Q2851" t="s">
        <v>177</v>
      </c>
    </row>
    <row r="2852" spans="1:17" x14ac:dyDescent="0.25">
      <c r="A2852" t="s">
        <v>1100</v>
      </c>
      <c r="B2852" t="s">
        <v>1058</v>
      </c>
      <c r="C2852" t="s">
        <v>175</v>
      </c>
      <c r="D2852" t="s">
        <v>556</v>
      </c>
      <c r="E2852" t="s">
        <v>557</v>
      </c>
      <c r="F2852">
        <v>0.1</v>
      </c>
      <c r="G2852" t="s">
        <v>176</v>
      </c>
      <c r="H2852">
        <v>0.1</v>
      </c>
      <c r="I2852">
        <v>33</v>
      </c>
      <c r="J2852" s="10">
        <v>6.0999999999999988</v>
      </c>
      <c r="K2852" s="10">
        <f>SUMIFS(F:F,D:D,DST_123_ÜRETİM_İHTİYAÇ_RAPORU_BURAK_YENI1309[[#This Row],[ALT_KOD]])-(SUMIFS(H:H,D:D,DST_123_ÜRETİM_İHTİYAÇ_RAPORU_BURAK_YENI1309[[#This Row],[ALT_KOD]])+AVERAGEIFS(I:I,D:D,DST_123_ÜRETİM_İHTİYAÇ_RAPORU_BURAK_YENI1309[[#This Row],[ALT_KOD]])+AVERAGEIFS(L:L,D:D,DST_123_ÜRETİM_İHTİYAÇ_RAPORU_BURAK_YENI1309[[#This Row],[ALT_KOD]]))</f>
        <v>-32.299999999999997</v>
      </c>
      <c r="L2852">
        <v>0</v>
      </c>
      <c r="M2852">
        <f>IF((DST_123_ÜRETİM_İHTİYAÇ_RAPORU_BURAK_YENI1309[[#This Row],[SATINALMA]]*DST_123_ÜRETİM_İHTİYAÇ_RAPORU_BURAK_YENI1309[[#This Row],[BIRIM_FIYATLAR]])&lt;1,VALUE("0"),DST_123_ÜRETİM_İHTİYAÇ_RAPORU_BURAK_YENI1309[[#This Row],[SATINALMA]]*DST_123_ÜRETİM_İHTİYAÇ_RAPORU_BURAK_YENI1309[[#This Row],[BIRIM_FIYATLAR]])</f>
        <v>0</v>
      </c>
      <c r="N2852">
        <v>25</v>
      </c>
      <c r="O2852" t="s">
        <v>240</v>
      </c>
      <c r="P2852">
        <v>2.5</v>
      </c>
      <c r="Q2852" t="s">
        <v>180</v>
      </c>
    </row>
    <row r="2853" spans="1:17" x14ac:dyDescent="0.25">
      <c r="A2853" t="s">
        <v>1147</v>
      </c>
      <c r="B2853" t="s">
        <v>1145</v>
      </c>
      <c r="C2853" t="s">
        <v>175</v>
      </c>
      <c r="D2853" t="s">
        <v>575</v>
      </c>
      <c r="E2853" t="s">
        <v>576</v>
      </c>
      <c r="F2853">
        <v>4.4000000000000004</v>
      </c>
      <c r="G2853" t="s">
        <v>176</v>
      </c>
      <c r="H2853">
        <v>0</v>
      </c>
      <c r="I2853">
        <v>85</v>
      </c>
      <c r="J2853" s="10">
        <v>3.6500000000000128</v>
      </c>
      <c r="K2853" s="10">
        <f>SUMIFS(F:F,D:D,DST_123_ÜRETİM_İHTİYAÇ_RAPORU_BURAK_YENI1309[[#This Row],[ALT_KOD]])-(SUMIFS(H:H,D:D,DST_123_ÜRETİM_İHTİYAÇ_RAPORU_BURAK_YENI1309[[#This Row],[ALT_KOD]])+AVERAGEIFS(I:I,D:D,DST_123_ÜRETİM_İHTİYAÇ_RAPORU_BURAK_YENI1309[[#This Row],[ALT_KOD]])+AVERAGEIFS(L:L,D:D,DST_123_ÜRETİM_İHTİYAÇ_RAPORU_BURAK_YENI1309[[#This Row],[ALT_KOD]]))</f>
        <v>12.550000000000011</v>
      </c>
      <c r="L2853">
        <v>0</v>
      </c>
      <c r="M2853">
        <f>IF((DST_123_ÜRETİM_İHTİYAÇ_RAPORU_BURAK_YENI1309[[#This Row],[SATINALMA]]*DST_123_ÜRETİM_İHTİYAÇ_RAPORU_BURAK_YENI1309[[#This Row],[BIRIM_FIYATLAR]])&lt;1,VALUE("0"),DST_123_ÜRETİM_İHTİYAÇ_RAPORU_BURAK_YENI1309[[#This Row],[SATINALMA]]*DST_123_ÜRETİM_İHTİYAÇ_RAPORU_BURAK_YENI1309[[#This Row],[BIRIM_FIYATLAR]])</f>
        <v>4368.7805000000044</v>
      </c>
      <c r="N2853">
        <v>348.11</v>
      </c>
      <c r="O2853" t="s">
        <v>250</v>
      </c>
      <c r="P2853">
        <v>1531.6840000000002</v>
      </c>
      <c r="Q2853" t="s">
        <v>183</v>
      </c>
    </row>
    <row r="2854" spans="1:17" x14ac:dyDescent="0.25">
      <c r="A2854" t="s">
        <v>1060</v>
      </c>
      <c r="B2854" t="s">
        <v>1061</v>
      </c>
      <c r="C2854" t="s">
        <v>175</v>
      </c>
      <c r="D2854" t="s">
        <v>649</v>
      </c>
      <c r="E2854" t="s">
        <v>650</v>
      </c>
      <c r="F2854">
        <v>7</v>
      </c>
      <c r="G2854" t="s">
        <v>185</v>
      </c>
      <c r="H2854">
        <v>0</v>
      </c>
      <c r="I2854">
        <v>0</v>
      </c>
      <c r="J2854" s="10">
        <v>65</v>
      </c>
      <c r="K2854" s="10">
        <f>SUMIFS(F:F,D:D,DST_123_ÜRETİM_İHTİYAÇ_RAPORU_BURAK_YENI1309[[#This Row],[ALT_KOD]])-(SUMIFS(H:H,D:D,DST_123_ÜRETİM_İHTİYAÇ_RAPORU_BURAK_YENI1309[[#This Row],[ALT_KOD]])+AVERAGEIFS(I:I,D:D,DST_123_ÜRETİM_İHTİYAÇ_RAPORU_BURAK_YENI1309[[#This Row],[ALT_KOD]])+AVERAGEIFS(L:L,D:D,DST_123_ÜRETİM_İHTİYAÇ_RAPORU_BURAK_YENI1309[[#This Row],[ALT_KOD]]))</f>
        <v>119</v>
      </c>
      <c r="L2854">
        <v>0</v>
      </c>
      <c r="M2854">
        <f>IF((DST_123_ÜRETİM_İHTİYAÇ_RAPORU_BURAK_YENI1309[[#This Row],[SATINALMA]]*DST_123_ÜRETİM_İHTİYAÇ_RAPORU_BURAK_YENI1309[[#This Row],[BIRIM_FIYATLAR]])&lt;1,VALUE("0"),DST_123_ÜRETİM_İHTİYAÇ_RAPORU_BURAK_YENI1309[[#This Row],[SATINALMA]]*DST_123_ÜRETİM_İHTİYAÇ_RAPORU_BURAK_YENI1309[[#This Row],[BIRIM_FIYATLAR]])</f>
        <v>133274.05000000002</v>
      </c>
      <c r="N2854">
        <v>1119.95</v>
      </c>
      <c r="O2854" t="s">
        <v>648</v>
      </c>
      <c r="P2854">
        <v>7839.6500000000005</v>
      </c>
      <c r="Q2854" t="s">
        <v>183</v>
      </c>
    </row>
    <row r="2855" spans="1:17" x14ac:dyDescent="0.25">
      <c r="A2855" t="s">
        <v>1148</v>
      </c>
      <c r="B2855" t="s">
        <v>1056</v>
      </c>
      <c r="C2855" t="s">
        <v>175</v>
      </c>
      <c r="D2855" t="s">
        <v>649</v>
      </c>
      <c r="E2855" t="s">
        <v>650</v>
      </c>
      <c r="F2855">
        <v>6</v>
      </c>
      <c r="G2855" t="s">
        <v>185</v>
      </c>
      <c r="H2855">
        <v>0</v>
      </c>
      <c r="I2855">
        <v>0</v>
      </c>
      <c r="J2855" s="10">
        <v>65</v>
      </c>
      <c r="K2855" s="10">
        <f>SUMIFS(F:F,D:D,DST_123_ÜRETİM_İHTİYAÇ_RAPORU_BURAK_YENI1309[[#This Row],[ALT_KOD]])-(SUMIFS(H:H,D:D,DST_123_ÜRETİM_İHTİYAÇ_RAPORU_BURAK_YENI1309[[#This Row],[ALT_KOD]])+AVERAGEIFS(I:I,D:D,DST_123_ÜRETİM_İHTİYAÇ_RAPORU_BURAK_YENI1309[[#This Row],[ALT_KOD]])+AVERAGEIFS(L:L,D:D,DST_123_ÜRETİM_İHTİYAÇ_RAPORU_BURAK_YENI1309[[#This Row],[ALT_KOD]]))</f>
        <v>119</v>
      </c>
      <c r="L2855">
        <v>0</v>
      </c>
      <c r="M2855">
        <f>IF((DST_123_ÜRETİM_İHTİYAÇ_RAPORU_BURAK_YENI1309[[#This Row],[SATINALMA]]*DST_123_ÜRETİM_İHTİYAÇ_RAPORU_BURAK_YENI1309[[#This Row],[BIRIM_FIYATLAR]])&lt;1,VALUE("0"),DST_123_ÜRETİM_İHTİYAÇ_RAPORU_BURAK_YENI1309[[#This Row],[SATINALMA]]*DST_123_ÜRETİM_İHTİYAÇ_RAPORU_BURAK_YENI1309[[#This Row],[BIRIM_FIYATLAR]])</f>
        <v>133274.05000000002</v>
      </c>
      <c r="N2855">
        <v>1119.95</v>
      </c>
      <c r="O2855" t="s">
        <v>648</v>
      </c>
      <c r="P2855">
        <v>6719.7000000000007</v>
      </c>
      <c r="Q2855" t="s">
        <v>183</v>
      </c>
    </row>
    <row r="2856" spans="1:17" x14ac:dyDescent="0.25">
      <c r="A2856" t="s">
        <v>1100</v>
      </c>
      <c r="B2856" t="s">
        <v>1058</v>
      </c>
      <c r="C2856" t="s">
        <v>175</v>
      </c>
      <c r="D2856" t="s">
        <v>649</v>
      </c>
      <c r="E2856" t="s">
        <v>650</v>
      </c>
      <c r="F2856">
        <v>5</v>
      </c>
      <c r="G2856" t="s">
        <v>185</v>
      </c>
      <c r="H2856">
        <v>0</v>
      </c>
      <c r="I2856">
        <v>0</v>
      </c>
      <c r="J2856" s="10">
        <v>65</v>
      </c>
      <c r="K2856" s="10">
        <f>SUMIFS(F:F,D:D,DST_123_ÜRETİM_İHTİYAÇ_RAPORU_BURAK_YENI1309[[#This Row],[ALT_KOD]])-(SUMIFS(H:H,D:D,DST_123_ÜRETİM_İHTİYAÇ_RAPORU_BURAK_YENI1309[[#This Row],[ALT_KOD]])+AVERAGEIFS(I:I,D:D,DST_123_ÜRETİM_İHTİYAÇ_RAPORU_BURAK_YENI1309[[#This Row],[ALT_KOD]])+AVERAGEIFS(L:L,D:D,DST_123_ÜRETİM_İHTİYAÇ_RAPORU_BURAK_YENI1309[[#This Row],[ALT_KOD]]))</f>
        <v>119</v>
      </c>
      <c r="L2856">
        <v>0</v>
      </c>
      <c r="M2856">
        <f>IF((DST_123_ÜRETİM_İHTİYAÇ_RAPORU_BURAK_YENI1309[[#This Row],[SATINALMA]]*DST_123_ÜRETİM_İHTİYAÇ_RAPORU_BURAK_YENI1309[[#This Row],[BIRIM_FIYATLAR]])&lt;1,VALUE("0"),DST_123_ÜRETİM_İHTİYAÇ_RAPORU_BURAK_YENI1309[[#This Row],[SATINALMA]]*DST_123_ÜRETİM_İHTİYAÇ_RAPORU_BURAK_YENI1309[[#This Row],[BIRIM_FIYATLAR]])</f>
        <v>133274.05000000002</v>
      </c>
      <c r="N2856">
        <v>1119.95</v>
      </c>
      <c r="O2856" t="s">
        <v>648</v>
      </c>
      <c r="P2856">
        <v>5599.75</v>
      </c>
      <c r="Q2856" t="s">
        <v>183</v>
      </c>
    </row>
    <row r="2857" spans="1:17" x14ac:dyDescent="0.25">
      <c r="A2857" t="s">
        <v>1101</v>
      </c>
      <c r="B2857" t="s">
        <v>1102</v>
      </c>
      <c r="C2857" t="s">
        <v>175</v>
      </c>
      <c r="D2857" t="s">
        <v>575</v>
      </c>
      <c r="E2857" t="s">
        <v>576</v>
      </c>
      <c r="F2857">
        <v>3.6</v>
      </c>
      <c r="G2857" t="s">
        <v>176</v>
      </c>
      <c r="H2857">
        <v>0</v>
      </c>
      <c r="I2857">
        <v>85</v>
      </c>
      <c r="J2857" s="10">
        <v>3.6500000000000128</v>
      </c>
      <c r="K2857" s="10">
        <f>SUMIFS(F:F,D:D,DST_123_ÜRETİM_İHTİYAÇ_RAPORU_BURAK_YENI1309[[#This Row],[ALT_KOD]])-(SUMIFS(H:H,D:D,DST_123_ÜRETİM_İHTİYAÇ_RAPORU_BURAK_YENI1309[[#This Row],[ALT_KOD]])+AVERAGEIFS(I:I,D:D,DST_123_ÜRETİM_İHTİYAÇ_RAPORU_BURAK_YENI1309[[#This Row],[ALT_KOD]])+AVERAGEIFS(L:L,D:D,DST_123_ÜRETİM_İHTİYAÇ_RAPORU_BURAK_YENI1309[[#This Row],[ALT_KOD]]))</f>
        <v>12.550000000000011</v>
      </c>
      <c r="L2857">
        <v>0</v>
      </c>
      <c r="M2857">
        <f>IF((DST_123_ÜRETİM_İHTİYAÇ_RAPORU_BURAK_YENI1309[[#This Row],[SATINALMA]]*DST_123_ÜRETİM_İHTİYAÇ_RAPORU_BURAK_YENI1309[[#This Row],[BIRIM_FIYATLAR]])&lt;1,VALUE("0"),DST_123_ÜRETİM_İHTİYAÇ_RAPORU_BURAK_YENI1309[[#This Row],[SATINALMA]]*DST_123_ÜRETİM_İHTİYAÇ_RAPORU_BURAK_YENI1309[[#This Row],[BIRIM_FIYATLAR]])</f>
        <v>4368.7805000000044</v>
      </c>
      <c r="N2857">
        <v>348.11</v>
      </c>
      <c r="O2857" t="s">
        <v>250</v>
      </c>
      <c r="P2857">
        <v>1253.1960000000001</v>
      </c>
      <c r="Q2857" t="s">
        <v>183</v>
      </c>
    </row>
    <row r="2858" spans="1:17" x14ac:dyDescent="0.25">
      <c r="A2858" t="s">
        <v>1101</v>
      </c>
      <c r="B2858" t="s">
        <v>1102</v>
      </c>
      <c r="C2858" t="s">
        <v>175</v>
      </c>
      <c r="D2858" t="s">
        <v>410</v>
      </c>
      <c r="E2858" t="s">
        <v>411</v>
      </c>
      <c r="F2858">
        <v>2.5000000000000001E-2</v>
      </c>
      <c r="G2858" t="s">
        <v>412</v>
      </c>
      <c r="H2858">
        <v>0</v>
      </c>
      <c r="I2858">
        <v>150</v>
      </c>
      <c r="J2858" s="10">
        <v>0</v>
      </c>
      <c r="K2858" s="10">
        <f>SUMIFS(F:F,D:D,DST_123_ÜRETİM_İHTİYAÇ_RAPORU_BURAK_YENI1309[[#This Row],[ALT_KOD]])-(SUMIFS(H:H,D:D,DST_123_ÜRETİM_İHTİYAÇ_RAPORU_BURAK_YENI1309[[#This Row],[ALT_KOD]])+AVERAGEIFS(I:I,D:D,DST_123_ÜRETİM_İHTİYAÇ_RAPORU_BURAK_YENI1309[[#This Row],[ALT_KOD]])+AVERAGEIFS(L:L,D:D,DST_123_ÜRETİM_İHTİYAÇ_RAPORU_BURAK_YENI1309[[#This Row],[ALT_KOD]]))</f>
        <v>-149.76499999999999</v>
      </c>
      <c r="L2858">
        <v>0</v>
      </c>
      <c r="M2858">
        <f>IF((DST_123_ÜRETİM_İHTİYAÇ_RAPORU_BURAK_YENI1309[[#This Row],[SATINALMA]]*DST_123_ÜRETİM_İHTİYAÇ_RAPORU_BURAK_YENI1309[[#This Row],[BIRIM_FIYATLAR]])&lt;1,VALUE("0"),DST_123_ÜRETİM_İHTİYAÇ_RAPORU_BURAK_YENI1309[[#This Row],[SATINALMA]]*DST_123_ÜRETİM_İHTİYAÇ_RAPORU_BURAK_YENI1309[[#This Row],[BIRIM_FIYATLAR]])</f>
        <v>0</v>
      </c>
      <c r="N2858">
        <v>1.8</v>
      </c>
      <c r="O2858" t="s">
        <v>220</v>
      </c>
      <c r="P2858">
        <v>4.5000000000000005E-2</v>
      </c>
      <c r="Q2858" t="s">
        <v>180</v>
      </c>
    </row>
    <row r="2859" spans="1:17" x14ac:dyDescent="0.25">
      <c r="A2859" t="s">
        <v>1097</v>
      </c>
      <c r="B2859" t="s">
        <v>1055</v>
      </c>
      <c r="C2859" t="s">
        <v>175</v>
      </c>
      <c r="D2859" t="s">
        <v>575</v>
      </c>
      <c r="E2859" t="s">
        <v>576</v>
      </c>
      <c r="F2859">
        <v>5.299999999999998</v>
      </c>
      <c r="G2859" t="s">
        <v>176</v>
      </c>
      <c r="H2859">
        <v>0</v>
      </c>
      <c r="I2859">
        <v>85</v>
      </c>
      <c r="J2859" s="10">
        <v>3.6500000000000128</v>
      </c>
      <c r="K2859" s="10">
        <f>SUMIFS(F:F,D:D,DST_123_ÜRETİM_İHTİYAÇ_RAPORU_BURAK_YENI1309[[#This Row],[ALT_KOD]])-(SUMIFS(H:H,D:D,DST_123_ÜRETİM_İHTİYAÇ_RAPORU_BURAK_YENI1309[[#This Row],[ALT_KOD]])+AVERAGEIFS(I:I,D:D,DST_123_ÜRETİM_İHTİYAÇ_RAPORU_BURAK_YENI1309[[#This Row],[ALT_KOD]])+AVERAGEIFS(L:L,D:D,DST_123_ÜRETİM_İHTİYAÇ_RAPORU_BURAK_YENI1309[[#This Row],[ALT_KOD]]))</f>
        <v>12.550000000000011</v>
      </c>
      <c r="L2859">
        <v>0</v>
      </c>
      <c r="M2859">
        <f>IF((DST_123_ÜRETİM_İHTİYAÇ_RAPORU_BURAK_YENI1309[[#This Row],[SATINALMA]]*DST_123_ÜRETİM_İHTİYAÇ_RAPORU_BURAK_YENI1309[[#This Row],[BIRIM_FIYATLAR]])&lt;1,VALUE("0"),DST_123_ÜRETİM_İHTİYAÇ_RAPORU_BURAK_YENI1309[[#This Row],[SATINALMA]]*DST_123_ÜRETİM_İHTİYAÇ_RAPORU_BURAK_YENI1309[[#This Row],[BIRIM_FIYATLAR]])</f>
        <v>4368.7805000000044</v>
      </c>
      <c r="N2859">
        <v>348.11</v>
      </c>
      <c r="O2859" t="s">
        <v>250</v>
      </c>
      <c r="P2859">
        <v>1844.9829999999995</v>
      </c>
      <c r="Q2859" t="s">
        <v>183</v>
      </c>
    </row>
    <row r="2860" spans="1:17" x14ac:dyDescent="0.25">
      <c r="A2860" t="s">
        <v>1142</v>
      </c>
      <c r="B2860" t="s">
        <v>1056</v>
      </c>
      <c r="C2860" t="s">
        <v>175</v>
      </c>
      <c r="D2860" t="s">
        <v>649</v>
      </c>
      <c r="E2860" t="s">
        <v>650</v>
      </c>
      <c r="F2860">
        <v>6</v>
      </c>
      <c r="G2860" t="s">
        <v>185</v>
      </c>
      <c r="H2860">
        <v>0</v>
      </c>
      <c r="I2860">
        <v>0</v>
      </c>
      <c r="J2860" s="10">
        <v>65</v>
      </c>
      <c r="K2860" s="10">
        <f>SUMIFS(F:F,D:D,DST_123_ÜRETİM_İHTİYAÇ_RAPORU_BURAK_YENI1309[[#This Row],[ALT_KOD]])-(SUMIFS(H:H,D:D,DST_123_ÜRETİM_İHTİYAÇ_RAPORU_BURAK_YENI1309[[#This Row],[ALT_KOD]])+AVERAGEIFS(I:I,D:D,DST_123_ÜRETİM_İHTİYAÇ_RAPORU_BURAK_YENI1309[[#This Row],[ALT_KOD]])+AVERAGEIFS(L:L,D:D,DST_123_ÜRETİM_İHTİYAÇ_RAPORU_BURAK_YENI1309[[#This Row],[ALT_KOD]]))</f>
        <v>119</v>
      </c>
      <c r="L2860">
        <v>0</v>
      </c>
      <c r="M2860">
        <f>IF((DST_123_ÜRETİM_İHTİYAÇ_RAPORU_BURAK_YENI1309[[#This Row],[SATINALMA]]*DST_123_ÜRETİM_İHTİYAÇ_RAPORU_BURAK_YENI1309[[#This Row],[BIRIM_FIYATLAR]])&lt;1,VALUE("0"),DST_123_ÜRETİM_İHTİYAÇ_RAPORU_BURAK_YENI1309[[#This Row],[SATINALMA]]*DST_123_ÜRETİM_İHTİYAÇ_RAPORU_BURAK_YENI1309[[#This Row],[BIRIM_FIYATLAR]])</f>
        <v>133274.05000000002</v>
      </c>
      <c r="N2860">
        <v>1119.95</v>
      </c>
      <c r="O2860" t="s">
        <v>648</v>
      </c>
      <c r="P2860">
        <v>6719.7000000000007</v>
      </c>
      <c r="Q2860" t="s">
        <v>183</v>
      </c>
    </row>
    <row r="2861" spans="1:17" x14ac:dyDescent="0.25">
      <c r="A2861" t="s">
        <v>1101</v>
      </c>
      <c r="B2861" t="s">
        <v>1102</v>
      </c>
      <c r="C2861" t="s">
        <v>175</v>
      </c>
      <c r="D2861" t="s">
        <v>92</v>
      </c>
      <c r="E2861" t="s">
        <v>93</v>
      </c>
      <c r="F2861">
        <v>4</v>
      </c>
      <c r="G2861" t="s">
        <v>176</v>
      </c>
      <c r="H2861">
        <v>0</v>
      </c>
      <c r="I2861">
        <v>105</v>
      </c>
      <c r="J2861" s="10">
        <v>56</v>
      </c>
      <c r="K2861" s="10">
        <f>SUMIFS(F:F,D:D,DST_123_ÜRETİM_İHTİYAÇ_RAPORU_BURAK_YENI1309[[#This Row],[ALT_KOD]])-(SUMIFS(H:H,D:D,DST_123_ÜRETİM_İHTİYAÇ_RAPORU_BURAK_YENI1309[[#This Row],[ALT_KOD]])+AVERAGEIFS(I:I,D:D,DST_123_ÜRETİM_İHTİYAÇ_RAPORU_BURAK_YENI1309[[#This Row],[ALT_KOD]])+AVERAGEIFS(L:L,D:D,DST_123_ÜRETİM_İHTİYAÇ_RAPORU_BURAK_YENI1309[[#This Row],[ALT_KOD]]))</f>
        <v>-8</v>
      </c>
      <c r="L2861">
        <v>0</v>
      </c>
      <c r="M2861">
        <f>IF((DST_123_ÜRETİM_İHTİYAÇ_RAPORU_BURAK_YENI1309[[#This Row],[SATINALMA]]*DST_123_ÜRETİM_İHTİYAÇ_RAPORU_BURAK_YENI1309[[#This Row],[BIRIM_FIYATLAR]])&lt;1,VALUE("0"),DST_123_ÜRETİM_İHTİYAÇ_RAPORU_BURAK_YENI1309[[#This Row],[SATINALMA]]*DST_123_ÜRETİM_İHTİYAÇ_RAPORU_BURAK_YENI1309[[#This Row],[BIRIM_FIYATLAR]])</f>
        <v>0</v>
      </c>
      <c r="N2861">
        <v>72.599999999999994</v>
      </c>
      <c r="O2861" t="s">
        <v>240</v>
      </c>
      <c r="P2861">
        <v>290.39999999999998</v>
      </c>
      <c r="Q2861" t="s">
        <v>178</v>
      </c>
    </row>
    <row r="2862" spans="1:17" x14ac:dyDescent="0.25">
      <c r="A2862" t="s">
        <v>1100</v>
      </c>
      <c r="B2862" t="s">
        <v>1058</v>
      </c>
      <c r="C2862" t="s">
        <v>175</v>
      </c>
      <c r="D2862" t="s">
        <v>269</v>
      </c>
      <c r="E2862" t="s">
        <v>270</v>
      </c>
      <c r="F2862">
        <v>1</v>
      </c>
      <c r="G2862" t="s">
        <v>176</v>
      </c>
      <c r="H2862">
        <v>1</v>
      </c>
      <c r="I2862">
        <v>13</v>
      </c>
      <c r="J2862" s="10">
        <v>9</v>
      </c>
      <c r="K2862" s="10">
        <f>SUMIFS(F:F,D:D,DST_123_ÜRETİM_İHTİYAÇ_RAPORU_BURAK_YENI1309[[#This Row],[ALT_KOD]])-(SUMIFS(H:H,D:D,DST_123_ÜRETİM_İHTİYAÇ_RAPORU_BURAK_YENI1309[[#This Row],[ALT_KOD]])+AVERAGEIFS(I:I,D:D,DST_123_ÜRETİM_İHTİYAÇ_RAPORU_BURAK_YENI1309[[#This Row],[ALT_KOD]])+AVERAGEIFS(L:L,D:D,DST_123_ÜRETİM_İHTİYAÇ_RAPORU_BURAK_YENI1309[[#This Row],[ALT_KOD]]))</f>
        <v>-1</v>
      </c>
      <c r="L2862">
        <v>0</v>
      </c>
      <c r="M2862">
        <f>IF((DST_123_ÜRETİM_İHTİYAÇ_RAPORU_BURAK_YENI1309[[#This Row],[SATINALMA]]*DST_123_ÜRETİM_İHTİYAÇ_RAPORU_BURAK_YENI1309[[#This Row],[BIRIM_FIYATLAR]])&lt;1,VALUE("0"),DST_123_ÜRETİM_İHTİYAÇ_RAPORU_BURAK_YENI1309[[#This Row],[SATINALMA]]*DST_123_ÜRETİM_İHTİYAÇ_RAPORU_BURAK_YENI1309[[#This Row],[BIRIM_FIYATLAR]])</f>
        <v>0</v>
      </c>
      <c r="N2862">
        <v>270</v>
      </c>
      <c r="O2862" t="s">
        <v>220</v>
      </c>
      <c r="P2862">
        <v>270</v>
      </c>
      <c r="Q2862" t="s">
        <v>221</v>
      </c>
    </row>
    <row r="2863" spans="1:17" x14ac:dyDescent="0.25">
      <c r="A2863" t="s">
        <v>1142</v>
      </c>
      <c r="B2863" t="s">
        <v>1056</v>
      </c>
      <c r="C2863" t="s">
        <v>175</v>
      </c>
      <c r="D2863" t="s">
        <v>92</v>
      </c>
      <c r="E2863" t="s">
        <v>93</v>
      </c>
      <c r="F2863">
        <v>4</v>
      </c>
      <c r="G2863" t="s">
        <v>176</v>
      </c>
      <c r="H2863">
        <v>0</v>
      </c>
      <c r="I2863">
        <v>105</v>
      </c>
      <c r="J2863" s="10">
        <v>56</v>
      </c>
      <c r="K2863" s="10">
        <f>SUMIFS(F:F,D:D,DST_123_ÜRETİM_İHTİYAÇ_RAPORU_BURAK_YENI1309[[#This Row],[ALT_KOD]])-(SUMIFS(H:H,D:D,DST_123_ÜRETİM_İHTİYAÇ_RAPORU_BURAK_YENI1309[[#This Row],[ALT_KOD]])+AVERAGEIFS(I:I,D:D,DST_123_ÜRETİM_İHTİYAÇ_RAPORU_BURAK_YENI1309[[#This Row],[ALT_KOD]])+AVERAGEIFS(L:L,D:D,DST_123_ÜRETİM_İHTİYAÇ_RAPORU_BURAK_YENI1309[[#This Row],[ALT_KOD]]))</f>
        <v>-8</v>
      </c>
      <c r="L2863">
        <v>0</v>
      </c>
      <c r="M2863">
        <f>IF((DST_123_ÜRETİM_İHTİYAÇ_RAPORU_BURAK_YENI1309[[#This Row],[SATINALMA]]*DST_123_ÜRETİM_İHTİYAÇ_RAPORU_BURAK_YENI1309[[#This Row],[BIRIM_FIYATLAR]])&lt;1,VALUE("0"),DST_123_ÜRETİM_İHTİYAÇ_RAPORU_BURAK_YENI1309[[#This Row],[SATINALMA]]*DST_123_ÜRETİM_İHTİYAÇ_RAPORU_BURAK_YENI1309[[#This Row],[BIRIM_FIYATLAR]])</f>
        <v>0</v>
      </c>
      <c r="N2863">
        <v>72.599999999999994</v>
      </c>
      <c r="O2863" t="s">
        <v>240</v>
      </c>
      <c r="P2863">
        <v>290.39999999999998</v>
      </c>
      <c r="Q2863" t="s">
        <v>178</v>
      </c>
    </row>
    <row r="2864" spans="1:17" x14ac:dyDescent="0.25">
      <c r="A2864" t="s">
        <v>1097</v>
      </c>
      <c r="B2864" t="s">
        <v>1055</v>
      </c>
      <c r="C2864" t="s">
        <v>175</v>
      </c>
      <c r="D2864" t="s">
        <v>846</v>
      </c>
      <c r="E2864" t="s">
        <v>847</v>
      </c>
      <c r="F2864">
        <v>5</v>
      </c>
      <c r="G2864" t="s">
        <v>182</v>
      </c>
      <c r="H2864">
        <v>0</v>
      </c>
      <c r="I2864">
        <v>0</v>
      </c>
      <c r="J2864" s="10">
        <v>-1.4210854715202004E-14</v>
      </c>
      <c r="K2864" s="10">
        <f>SUMIFS(F:F,D:D,DST_123_ÜRETİM_İHTİYAÇ_RAPORU_BURAK_YENI1309[[#This Row],[ALT_KOD]])-(SUMIFS(H:H,D:D,DST_123_ÜRETİM_İHTİYAÇ_RAPORU_BURAK_YENI1309[[#This Row],[ALT_KOD]])+AVERAGEIFS(I:I,D:D,DST_123_ÜRETİM_İHTİYAÇ_RAPORU_BURAK_YENI1309[[#This Row],[ALT_KOD]])+AVERAGEIFS(L:L,D:D,DST_123_ÜRETİM_İHTİYAÇ_RAPORU_BURAK_YENI1309[[#This Row],[ALT_KOD]]))</f>
        <v>52</v>
      </c>
      <c r="L2864">
        <v>0</v>
      </c>
      <c r="M2864">
        <f>IF((DST_123_ÜRETİM_İHTİYAÇ_RAPORU_BURAK_YENI1309[[#This Row],[SATINALMA]]*DST_123_ÜRETİM_İHTİYAÇ_RAPORU_BURAK_YENI1309[[#This Row],[BIRIM_FIYATLAR]])&lt;1,VALUE("0"),DST_123_ÜRETİM_İHTİYAÇ_RAPORU_BURAK_YENI1309[[#This Row],[SATINALMA]]*DST_123_ÜRETİM_İHTİYAÇ_RAPORU_BURAK_YENI1309[[#This Row],[BIRIM_FIYATLAR]])</f>
        <v>28423.200000000001</v>
      </c>
      <c r="N2864">
        <v>546.6</v>
      </c>
      <c r="O2864" t="s">
        <v>253</v>
      </c>
      <c r="P2864">
        <v>2733</v>
      </c>
      <c r="Q2864" t="s">
        <v>181</v>
      </c>
    </row>
    <row r="2865" spans="1:17" x14ac:dyDescent="0.25">
      <c r="A2865" t="s">
        <v>1142</v>
      </c>
      <c r="B2865" t="s">
        <v>1056</v>
      </c>
      <c r="C2865" t="s">
        <v>175</v>
      </c>
      <c r="D2865" t="s">
        <v>846</v>
      </c>
      <c r="E2865" t="s">
        <v>847</v>
      </c>
      <c r="F2865">
        <v>2</v>
      </c>
      <c r="G2865" t="s">
        <v>182</v>
      </c>
      <c r="H2865">
        <v>0</v>
      </c>
      <c r="I2865">
        <v>0</v>
      </c>
      <c r="J2865" s="10">
        <v>-1.4210854715202004E-14</v>
      </c>
      <c r="K2865" s="10">
        <f>SUMIFS(F:F,D:D,DST_123_ÜRETİM_İHTİYAÇ_RAPORU_BURAK_YENI1309[[#This Row],[ALT_KOD]])-(SUMIFS(H:H,D:D,DST_123_ÜRETİM_İHTİYAÇ_RAPORU_BURAK_YENI1309[[#This Row],[ALT_KOD]])+AVERAGEIFS(I:I,D:D,DST_123_ÜRETİM_İHTİYAÇ_RAPORU_BURAK_YENI1309[[#This Row],[ALT_KOD]])+AVERAGEIFS(L:L,D:D,DST_123_ÜRETİM_İHTİYAÇ_RAPORU_BURAK_YENI1309[[#This Row],[ALT_KOD]]))</f>
        <v>52</v>
      </c>
      <c r="L2865">
        <v>0</v>
      </c>
      <c r="M2865">
        <f>IF((DST_123_ÜRETİM_İHTİYAÇ_RAPORU_BURAK_YENI1309[[#This Row],[SATINALMA]]*DST_123_ÜRETİM_İHTİYAÇ_RAPORU_BURAK_YENI1309[[#This Row],[BIRIM_FIYATLAR]])&lt;1,VALUE("0"),DST_123_ÜRETİM_İHTİYAÇ_RAPORU_BURAK_YENI1309[[#This Row],[SATINALMA]]*DST_123_ÜRETİM_İHTİYAÇ_RAPORU_BURAK_YENI1309[[#This Row],[BIRIM_FIYATLAR]])</f>
        <v>28423.200000000001</v>
      </c>
      <c r="N2865">
        <v>546.6</v>
      </c>
      <c r="O2865" t="s">
        <v>253</v>
      </c>
      <c r="P2865">
        <v>1093.2</v>
      </c>
      <c r="Q2865" t="s">
        <v>181</v>
      </c>
    </row>
    <row r="2866" spans="1:17" x14ac:dyDescent="0.25">
      <c r="A2866" t="s">
        <v>1142</v>
      </c>
      <c r="B2866" t="s">
        <v>1056</v>
      </c>
      <c r="C2866" t="s">
        <v>175</v>
      </c>
      <c r="D2866" t="s">
        <v>1157</v>
      </c>
      <c r="E2866" t="s">
        <v>1158</v>
      </c>
      <c r="F2866">
        <v>14</v>
      </c>
      <c r="G2866" t="s">
        <v>176</v>
      </c>
      <c r="H2866">
        <v>0</v>
      </c>
      <c r="I2866">
        <v>0</v>
      </c>
      <c r="J2866" s="10">
        <v>0</v>
      </c>
      <c r="K2866" s="10">
        <f>SUMIFS(F:F,D:D,DST_123_ÜRETİM_İHTİYAÇ_RAPORU_BURAK_YENI1309[[#This Row],[ALT_KOD]])-(SUMIFS(H:H,D:D,DST_123_ÜRETİM_İHTİYAÇ_RAPORU_BURAK_YENI1309[[#This Row],[ALT_KOD]])+AVERAGEIFS(I:I,D:D,DST_123_ÜRETİM_İHTİYAÇ_RAPORU_BURAK_YENI1309[[#This Row],[ALT_KOD]])+AVERAGEIFS(L:L,D:D,DST_123_ÜRETİM_İHTİYAÇ_RAPORU_BURAK_YENI1309[[#This Row],[ALT_KOD]]))</f>
        <v>56</v>
      </c>
      <c r="L2866">
        <v>0</v>
      </c>
      <c r="M2866">
        <f>IF((DST_123_ÜRETİM_İHTİYAÇ_RAPORU_BURAK_YENI1309[[#This Row],[SATINALMA]]*DST_123_ÜRETİM_İHTİYAÇ_RAPORU_BURAK_YENI1309[[#This Row],[BIRIM_FIYATLAR]])&lt;1,VALUE("0"),DST_123_ÜRETİM_İHTİYAÇ_RAPORU_BURAK_YENI1309[[#This Row],[SATINALMA]]*DST_123_ÜRETİM_İHTİYAÇ_RAPORU_BURAK_YENI1309[[#This Row],[BIRIM_FIYATLAR]])</f>
        <v>0</v>
      </c>
      <c r="N2866">
        <v>0</v>
      </c>
      <c r="P2866">
        <v>0</v>
      </c>
      <c r="Q2866" t="s">
        <v>180</v>
      </c>
    </row>
    <row r="2867" spans="1:17" x14ac:dyDescent="0.25">
      <c r="A2867" t="s">
        <v>1101</v>
      </c>
      <c r="B2867" t="s">
        <v>1102</v>
      </c>
      <c r="C2867" t="s">
        <v>175</v>
      </c>
      <c r="D2867" t="s">
        <v>269</v>
      </c>
      <c r="E2867" t="s">
        <v>270</v>
      </c>
      <c r="F2867">
        <v>1</v>
      </c>
      <c r="G2867" t="s">
        <v>176</v>
      </c>
      <c r="H2867">
        <v>1</v>
      </c>
      <c r="I2867">
        <v>13</v>
      </c>
      <c r="J2867" s="10">
        <v>9</v>
      </c>
      <c r="K2867" s="10">
        <f>SUMIFS(F:F,D:D,DST_123_ÜRETİM_İHTİYAÇ_RAPORU_BURAK_YENI1309[[#This Row],[ALT_KOD]])-(SUMIFS(H:H,D:D,DST_123_ÜRETİM_İHTİYAÇ_RAPORU_BURAK_YENI1309[[#This Row],[ALT_KOD]])+AVERAGEIFS(I:I,D:D,DST_123_ÜRETİM_İHTİYAÇ_RAPORU_BURAK_YENI1309[[#This Row],[ALT_KOD]])+AVERAGEIFS(L:L,D:D,DST_123_ÜRETİM_İHTİYAÇ_RAPORU_BURAK_YENI1309[[#This Row],[ALT_KOD]]))</f>
        <v>-1</v>
      </c>
      <c r="L2867">
        <v>0</v>
      </c>
      <c r="M2867">
        <f>IF((DST_123_ÜRETİM_İHTİYAÇ_RAPORU_BURAK_YENI1309[[#This Row],[SATINALMA]]*DST_123_ÜRETİM_İHTİYAÇ_RAPORU_BURAK_YENI1309[[#This Row],[BIRIM_FIYATLAR]])&lt;1,VALUE("0"),DST_123_ÜRETİM_İHTİYAÇ_RAPORU_BURAK_YENI1309[[#This Row],[SATINALMA]]*DST_123_ÜRETİM_İHTİYAÇ_RAPORU_BURAK_YENI1309[[#This Row],[BIRIM_FIYATLAR]])</f>
        <v>0</v>
      </c>
      <c r="N2867">
        <v>270</v>
      </c>
      <c r="O2867" t="s">
        <v>220</v>
      </c>
      <c r="P2867">
        <v>270</v>
      </c>
      <c r="Q2867" t="s">
        <v>221</v>
      </c>
    </row>
    <row r="2868" spans="1:17" x14ac:dyDescent="0.25">
      <c r="A2868" t="s">
        <v>1057</v>
      </c>
      <c r="B2868" t="s">
        <v>1058</v>
      </c>
      <c r="C2868" t="s">
        <v>175</v>
      </c>
      <c r="D2868" t="s">
        <v>846</v>
      </c>
      <c r="E2868" t="s">
        <v>847</v>
      </c>
      <c r="F2868">
        <v>2</v>
      </c>
      <c r="G2868" t="s">
        <v>182</v>
      </c>
      <c r="H2868">
        <v>0</v>
      </c>
      <c r="I2868">
        <v>0</v>
      </c>
      <c r="J2868" s="10">
        <v>-1.4210854715202004E-14</v>
      </c>
      <c r="K2868" s="10">
        <f>SUMIFS(F:F,D:D,DST_123_ÜRETİM_İHTİYAÇ_RAPORU_BURAK_YENI1309[[#This Row],[ALT_KOD]])-(SUMIFS(H:H,D:D,DST_123_ÜRETİM_İHTİYAÇ_RAPORU_BURAK_YENI1309[[#This Row],[ALT_KOD]])+AVERAGEIFS(I:I,D:D,DST_123_ÜRETİM_İHTİYAÇ_RAPORU_BURAK_YENI1309[[#This Row],[ALT_KOD]])+AVERAGEIFS(L:L,D:D,DST_123_ÜRETİM_İHTİYAÇ_RAPORU_BURAK_YENI1309[[#This Row],[ALT_KOD]]))</f>
        <v>52</v>
      </c>
      <c r="L2868">
        <v>0</v>
      </c>
      <c r="M2868">
        <f>IF((DST_123_ÜRETİM_İHTİYAÇ_RAPORU_BURAK_YENI1309[[#This Row],[SATINALMA]]*DST_123_ÜRETİM_İHTİYAÇ_RAPORU_BURAK_YENI1309[[#This Row],[BIRIM_FIYATLAR]])&lt;1,VALUE("0"),DST_123_ÜRETİM_İHTİYAÇ_RAPORU_BURAK_YENI1309[[#This Row],[SATINALMA]]*DST_123_ÜRETİM_İHTİYAÇ_RAPORU_BURAK_YENI1309[[#This Row],[BIRIM_FIYATLAR]])</f>
        <v>28423.200000000001</v>
      </c>
      <c r="N2868">
        <v>546.6</v>
      </c>
      <c r="O2868" t="s">
        <v>253</v>
      </c>
      <c r="P2868">
        <v>1093.2</v>
      </c>
      <c r="Q2868" t="s">
        <v>181</v>
      </c>
    </row>
    <row r="2869" spans="1:17" x14ac:dyDescent="0.25">
      <c r="A2869" t="s">
        <v>1100</v>
      </c>
      <c r="B2869" t="s">
        <v>1058</v>
      </c>
      <c r="C2869" t="s">
        <v>175</v>
      </c>
      <c r="D2869" t="s">
        <v>846</v>
      </c>
      <c r="E2869" t="s">
        <v>847</v>
      </c>
      <c r="F2869">
        <v>2</v>
      </c>
      <c r="G2869" t="s">
        <v>182</v>
      </c>
      <c r="H2869">
        <v>0</v>
      </c>
      <c r="I2869">
        <v>0</v>
      </c>
      <c r="J2869" s="10">
        <v>-1.4210854715202004E-14</v>
      </c>
      <c r="K2869" s="10">
        <f>SUMIFS(F:F,D:D,DST_123_ÜRETİM_İHTİYAÇ_RAPORU_BURAK_YENI1309[[#This Row],[ALT_KOD]])-(SUMIFS(H:H,D:D,DST_123_ÜRETİM_İHTİYAÇ_RAPORU_BURAK_YENI1309[[#This Row],[ALT_KOD]])+AVERAGEIFS(I:I,D:D,DST_123_ÜRETİM_İHTİYAÇ_RAPORU_BURAK_YENI1309[[#This Row],[ALT_KOD]])+AVERAGEIFS(L:L,D:D,DST_123_ÜRETİM_İHTİYAÇ_RAPORU_BURAK_YENI1309[[#This Row],[ALT_KOD]]))</f>
        <v>52</v>
      </c>
      <c r="L2869">
        <v>0</v>
      </c>
      <c r="M2869">
        <f>IF((DST_123_ÜRETİM_İHTİYAÇ_RAPORU_BURAK_YENI1309[[#This Row],[SATINALMA]]*DST_123_ÜRETİM_İHTİYAÇ_RAPORU_BURAK_YENI1309[[#This Row],[BIRIM_FIYATLAR]])&lt;1,VALUE("0"),DST_123_ÜRETİM_İHTİYAÇ_RAPORU_BURAK_YENI1309[[#This Row],[SATINALMA]]*DST_123_ÜRETİM_İHTİYAÇ_RAPORU_BURAK_YENI1309[[#This Row],[BIRIM_FIYATLAR]])</f>
        <v>28423.200000000001</v>
      </c>
      <c r="N2869">
        <v>546.6</v>
      </c>
      <c r="O2869" t="s">
        <v>253</v>
      </c>
      <c r="P2869">
        <v>1093.2</v>
      </c>
      <c r="Q2869" t="s">
        <v>181</v>
      </c>
    </row>
    <row r="2870" spans="1:17" x14ac:dyDescent="0.25">
      <c r="A2870" t="s">
        <v>1148</v>
      </c>
      <c r="B2870" t="s">
        <v>1056</v>
      </c>
      <c r="C2870" t="s">
        <v>175</v>
      </c>
      <c r="D2870" t="s">
        <v>846</v>
      </c>
      <c r="E2870" t="s">
        <v>847</v>
      </c>
      <c r="F2870">
        <v>3</v>
      </c>
      <c r="G2870" t="s">
        <v>182</v>
      </c>
      <c r="H2870">
        <v>0</v>
      </c>
      <c r="I2870">
        <v>0</v>
      </c>
      <c r="J2870" s="10">
        <v>-1.4210854715202004E-14</v>
      </c>
      <c r="K2870" s="10">
        <f>SUMIFS(F:F,D:D,DST_123_ÜRETİM_İHTİYAÇ_RAPORU_BURAK_YENI1309[[#This Row],[ALT_KOD]])-(SUMIFS(H:H,D:D,DST_123_ÜRETİM_İHTİYAÇ_RAPORU_BURAK_YENI1309[[#This Row],[ALT_KOD]])+AVERAGEIFS(I:I,D:D,DST_123_ÜRETİM_İHTİYAÇ_RAPORU_BURAK_YENI1309[[#This Row],[ALT_KOD]])+AVERAGEIFS(L:L,D:D,DST_123_ÜRETİM_İHTİYAÇ_RAPORU_BURAK_YENI1309[[#This Row],[ALT_KOD]]))</f>
        <v>52</v>
      </c>
      <c r="L2870">
        <v>0</v>
      </c>
      <c r="M2870">
        <f>IF((DST_123_ÜRETİM_İHTİYAÇ_RAPORU_BURAK_YENI1309[[#This Row],[SATINALMA]]*DST_123_ÜRETİM_İHTİYAÇ_RAPORU_BURAK_YENI1309[[#This Row],[BIRIM_FIYATLAR]])&lt;1,VALUE("0"),DST_123_ÜRETİM_İHTİYAÇ_RAPORU_BURAK_YENI1309[[#This Row],[SATINALMA]]*DST_123_ÜRETİM_İHTİYAÇ_RAPORU_BURAK_YENI1309[[#This Row],[BIRIM_FIYATLAR]])</f>
        <v>28423.200000000001</v>
      </c>
      <c r="N2870">
        <v>546.6</v>
      </c>
      <c r="O2870" t="s">
        <v>253</v>
      </c>
      <c r="P2870">
        <v>1639.8000000000002</v>
      </c>
      <c r="Q2870" t="s">
        <v>181</v>
      </c>
    </row>
    <row r="2871" spans="1:17" x14ac:dyDescent="0.25">
      <c r="A2871" t="s">
        <v>1143</v>
      </c>
      <c r="B2871" t="s">
        <v>1056</v>
      </c>
      <c r="C2871" t="s">
        <v>175</v>
      </c>
      <c r="D2871" t="s">
        <v>660</v>
      </c>
      <c r="E2871" t="s">
        <v>661</v>
      </c>
      <c r="F2871">
        <v>1</v>
      </c>
      <c r="G2871" t="s">
        <v>185</v>
      </c>
      <c r="H2871">
        <v>0</v>
      </c>
      <c r="I2871">
        <v>0</v>
      </c>
      <c r="J2871" s="10">
        <v>0</v>
      </c>
      <c r="K2871" s="10">
        <f>SUMIFS(F:F,D:D,DST_123_ÜRETİM_İHTİYAÇ_RAPORU_BURAK_YENI1309[[#This Row],[ALT_KOD]])-(SUMIFS(H:H,D:D,DST_123_ÜRETİM_İHTİYAÇ_RAPORU_BURAK_YENI1309[[#This Row],[ALT_KOD]])+AVERAGEIFS(I:I,D:D,DST_123_ÜRETİM_İHTİYAÇ_RAPORU_BURAK_YENI1309[[#This Row],[ALT_KOD]])+AVERAGEIFS(L:L,D:D,DST_123_ÜRETİM_İHTİYAÇ_RAPORU_BURAK_YENI1309[[#This Row],[ALT_KOD]]))</f>
        <v>19</v>
      </c>
      <c r="L2871">
        <v>0</v>
      </c>
      <c r="M2871">
        <f>IF((DST_123_ÜRETİM_İHTİYAÇ_RAPORU_BURAK_YENI1309[[#This Row],[SATINALMA]]*DST_123_ÜRETİM_İHTİYAÇ_RAPORU_BURAK_YENI1309[[#This Row],[BIRIM_FIYATLAR]])&lt;1,VALUE("0"),DST_123_ÜRETİM_İHTİYAÇ_RAPORU_BURAK_YENI1309[[#This Row],[SATINALMA]]*DST_123_ÜRETİM_İHTİYAÇ_RAPORU_BURAK_YENI1309[[#This Row],[BIRIM_FIYATLAR]])</f>
        <v>1538.6200000000001</v>
      </c>
      <c r="N2871">
        <v>80.98</v>
      </c>
      <c r="O2871" t="s">
        <v>223</v>
      </c>
      <c r="P2871">
        <v>80.98</v>
      </c>
      <c r="Q2871" t="s">
        <v>183</v>
      </c>
    </row>
    <row r="2872" spans="1:17" x14ac:dyDescent="0.25">
      <c r="A2872" t="s">
        <v>1095</v>
      </c>
      <c r="B2872" t="s">
        <v>1096</v>
      </c>
      <c r="C2872" t="s">
        <v>175</v>
      </c>
      <c r="D2872" t="s">
        <v>660</v>
      </c>
      <c r="E2872" t="s">
        <v>661</v>
      </c>
      <c r="F2872">
        <v>1</v>
      </c>
      <c r="G2872" t="s">
        <v>185</v>
      </c>
      <c r="H2872">
        <v>0</v>
      </c>
      <c r="I2872">
        <v>0</v>
      </c>
      <c r="J2872" s="10">
        <v>0</v>
      </c>
      <c r="K2872" s="10">
        <f>SUMIFS(F:F,D:D,DST_123_ÜRETİM_İHTİYAÇ_RAPORU_BURAK_YENI1309[[#This Row],[ALT_KOD]])-(SUMIFS(H:H,D:D,DST_123_ÜRETİM_İHTİYAÇ_RAPORU_BURAK_YENI1309[[#This Row],[ALT_KOD]])+AVERAGEIFS(I:I,D:D,DST_123_ÜRETİM_İHTİYAÇ_RAPORU_BURAK_YENI1309[[#This Row],[ALT_KOD]])+AVERAGEIFS(L:L,D:D,DST_123_ÜRETİM_İHTİYAÇ_RAPORU_BURAK_YENI1309[[#This Row],[ALT_KOD]]))</f>
        <v>19</v>
      </c>
      <c r="L2872">
        <v>0</v>
      </c>
      <c r="M2872">
        <f>IF((DST_123_ÜRETİM_İHTİYAÇ_RAPORU_BURAK_YENI1309[[#This Row],[SATINALMA]]*DST_123_ÜRETİM_İHTİYAÇ_RAPORU_BURAK_YENI1309[[#This Row],[BIRIM_FIYATLAR]])&lt;1,VALUE("0"),DST_123_ÜRETİM_İHTİYAÇ_RAPORU_BURAK_YENI1309[[#This Row],[SATINALMA]]*DST_123_ÜRETİM_İHTİYAÇ_RAPORU_BURAK_YENI1309[[#This Row],[BIRIM_FIYATLAR]])</f>
        <v>1538.6200000000001</v>
      </c>
      <c r="N2872">
        <v>80.98</v>
      </c>
      <c r="O2872" t="s">
        <v>223</v>
      </c>
      <c r="P2872">
        <v>80.98</v>
      </c>
      <c r="Q2872" t="s">
        <v>183</v>
      </c>
    </row>
    <row r="2873" spans="1:17" x14ac:dyDescent="0.25">
      <c r="A2873" t="s">
        <v>1143</v>
      </c>
      <c r="B2873" t="s">
        <v>1056</v>
      </c>
      <c r="C2873" t="s">
        <v>175</v>
      </c>
      <c r="D2873" t="s">
        <v>562</v>
      </c>
      <c r="E2873" t="s">
        <v>563</v>
      </c>
      <c r="F2873">
        <v>7</v>
      </c>
      <c r="G2873" t="s">
        <v>176</v>
      </c>
      <c r="H2873">
        <v>0</v>
      </c>
      <c r="I2873">
        <v>3000</v>
      </c>
      <c r="J2873" s="10">
        <v>0</v>
      </c>
      <c r="K2873" s="10">
        <f>SUMIFS(F:F,D:D,DST_123_ÜRETİM_İHTİYAÇ_RAPORU_BURAK_YENI1309[[#This Row],[ALT_KOD]])-(SUMIFS(H:H,D:D,DST_123_ÜRETİM_İHTİYAÇ_RAPORU_BURAK_YENI1309[[#This Row],[ALT_KOD]])+AVERAGEIFS(I:I,D:D,DST_123_ÜRETİM_İHTİYAÇ_RAPORU_BURAK_YENI1309[[#This Row],[ALT_KOD]])+AVERAGEIFS(L:L,D:D,DST_123_ÜRETİM_İHTİYAÇ_RAPORU_BURAK_YENI1309[[#This Row],[ALT_KOD]]))</f>
        <v>-2847</v>
      </c>
      <c r="L2873">
        <v>0</v>
      </c>
      <c r="M2873">
        <f>IF((DST_123_ÜRETİM_İHTİYAÇ_RAPORU_BURAK_YENI1309[[#This Row],[SATINALMA]]*DST_123_ÜRETİM_İHTİYAÇ_RAPORU_BURAK_YENI1309[[#This Row],[BIRIM_FIYATLAR]])&lt;1,VALUE("0"),DST_123_ÜRETİM_İHTİYAÇ_RAPORU_BURAK_YENI1309[[#This Row],[SATINALMA]]*DST_123_ÜRETİM_İHTİYAÇ_RAPORU_BURAK_YENI1309[[#This Row],[BIRIM_FIYATLAR]])</f>
        <v>0</v>
      </c>
      <c r="N2873">
        <v>0.7</v>
      </c>
      <c r="O2873" t="s">
        <v>240</v>
      </c>
      <c r="P2873">
        <v>4.8999999999999995</v>
      </c>
      <c r="Q2873" t="s">
        <v>180</v>
      </c>
    </row>
    <row r="2874" spans="1:17" x14ac:dyDescent="0.25">
      <c r="A2874" t="s">
        <v>1196</v>
      </c>
      <c r="B2874" t="s">
        <v>1197</v>
      </c>
      <c r="C2874" t="s">
        <v>175</v>
      </c>
      <c r="D2874" t="s">
        <v>609</v>
      </c>
      <c r="E2874" t="s">
        <v>610</v>
      </c>
      <c r="F2874">
        <v>1.8</v>
      </c>
      <c r="G2874" t="s">
        <v>176</v>
      </c>
      <c r="H2874">
        <v>0</v>
      </c>
      <c r="I2874">
        <v>0</v>
      </c>
      <c r="J2874" s="10">
        <v>11</v>
      </c>
      <c r="K2874" s="10">
        <f>SUMIFS(F:F,D:D,DST_123_ÜRETİM_İHTİYAÇ_RAPORU_BURAK_YENI1309[[#This Row],[ALT_KOD]])-(SUMIFS(H:H,D:D,DST_123_ÜRETİM_İHTİYAÇ_RAPORU_BURAK_YENI1309[[#This Row],[ALT_KOD]])+AVERAGEIFS(I:I,D:D,DST_123_ÜRETİM_İHTİYAÇ_RAPORU_BURAK_YENI1309[[#This Row],[ALT_KOD]])+AVERAGEIFS(L:L,D:D,DST_123_ÜRETİM_İHTİYAÇ_RAPORU_BURAK_YENI1309[[#This Row],[ALT_KOD]]))</f>
        <v>20.000000000000007</v>
      </c>
      <c r="L2874">
        <v>4</v>
      </c>
      <c r="M2874">
        <f>IF((DST_123_ÜRETİM_İHTİYAÇ_RAPORU_BURAK_YENI1309[[#This Row],[SATINALMA]]*DST_123_ÜRETİM_İHTİYAÇ_RAPORU_BURAK_YENI1309[[#This Row],[BIRIM_FIYATLAR]])&lt;1,VALUE("0"),DST_123_ÜRETİM_İHTİYAÇ_RAPORU_BURAK_YENI1309[[#This Row],[SATINALMA]]*DST_123_ÜRETİM_İHTİYAÇ_RAPORU_BURAK_YENI1309[[#This Row],[BIRIM_FIYATLAR]])</f>
        <v>36666.600000000013</v>
      </c>
      <c r="N2874">
        <v>1833.33</v>
      </c>
      <c r="O2874" t="s">
        <v>223</v>
      </c>
      <c r="P2874">
        <v>3299.9940000000001</v>
      </c>
      <c r="Q2874" t="s">
        <v>181</v>
      </c>
    </row>
    <row r="2875" spans="1:17" x14ac:dyDescent="0.25">
      <c r="A2875" t="s">
        <v>1098</v>
      </c>
      <c r="B2875" t="s">
        <v>1096</v>
      </c>
      <c r="C2875" t="s">
        <v>175</v>
      </c>
      <c r="D2875" t="s">
        <v>609</v>
      </c>
      <c r="E2875" t="s">
        <v>610</v>
      </c>
      <c r="F2875">
        <v>0.5</v>
      </c>
      <c r="G2875" t="s">
        <v>176</v>
      </c>
      <c r="H2875">
        <v>0</v>
      </c>
      <c r="I2875">
        <v>0</v>
      </c>
      <c r="J2875" s="10">
        <v>11</v>
      </c>
      <c r="K2875" s="10">
        <f>SUMIFS(F:F,D:D,DST_123_ÜRETİM_İHTİYAÇ_RAPORU_BURAK_YENI1309[[#This Row],[ALT_KOD]])-(SUMIFS(H:H,D:D,DST_123_ÜRETİM_İHTİYAÇ_RAPORU_BURAK_YENI1309[[#This Row],[ALT_KOD]])+AVERAGEIFS(I:I,D:D,DST_123_ÜRETİM_İHTİYAÇ_RAPORU_BURAK_YENI1309[[#This Row],[ALT_KOD]])+AVERAGEIFS(L:L,D:D,DST_123_ÜRETİM_İHTİYAÇ_RAPORU_BURAK_YENI1309[[#This Row],[ALT_KOD]]))</f>
        <v>20.000000000000007</v>
      </c>
      <c r="L2875">
        <v>4</v>
      </c>
      <c r="M2875">
        <f>IF((DST_123_ÜRETİM_İHTİYAÇ_RAPORU_BURAK_YENI1309[[#This Row],[SATINALMA]]*DST_123_ÜRETİM_İHTİYAÇ_RAPORU_BURAK_YENI1309[[#This Row],[BIRIM_FIYATLAR]])&lt;1,VALUE("0"),DST_123_ÜRETİM_İHTİYAÇ_RAPORU_BURAK_YENI1309[[#This Row],[SATINALMA]]*DST_123_ÜRETİM_İHTİYAÇ_RAPORU_BURAK_YENI1309[[#This Row],[BIRIM_FIYATLAR]])</f>
        <v>36666.600000000013</v>
      </c>
      <c r="N2875">
        <v>1833.33</v>
      </c>
      <c r="O2875" t="s">
        <v>223</v>
      </c>
      <c r="P2875">
        <v>916.66499999999996</v>
      </c>
      <c r="Q2875" t="s">
        <v>181</v>
      </c>
    </row>
    <row r="2876" spans="1:17" x14ac:dyDescent="0.25">
      <c r="A2876" t="s">
        <v>1099</v>
      </c>
      <c r="B2876" t="s">
        <v>1055</v>
      </c>
      <c r="C2876" t="s">
        <v>175</v>
      </c>
      <c r="D2876" t="s">
        <v>609</v>
      </c>
      <c r="E2876" t="s">
        <v>610</v>
      </c>
      <c r="F2876">
        <v>0.8</v>
      </c>
      <c r="G2876" t="s">
        <v>176</v>
      </c>
      <c r="H2876">
        <v>0</v>
      </c>
      <c r="I2876">
        <v>0</v>
      </c>
      <c r="J2876" s="10">
        <v>11</v>
      </c>
      <c r="K2876" s="10">
        <f>SUMIFS(F:F,D:D,DST_123_ÜRETİM_İHTİYAÇ_RAPORU_BURAK_YENI1309[[#This Row],[ALT_KOD]])-(SUMIFS(H:H,D:D,DST_123_ÜRETİM_İHTİYAÇ_RAPORU_BURAK_YENI1309[[#This Row],[ALT_KOD]])+AVERAGEIFS(I:I,D:D,DST_123_ÜRETİM_İHTİYAÇ_RAPORU_BURAK_YENI1309[[#This Row],[ALT_KOD]])+AVERAGEIFS(L:L,D:D,DST_123_ÜRETİM_İHTİYAÇ_RAPORU_BURAK_YENI1309[[#This Row],[ALT_KOD]]))</f>
        <v>20.000000000000007</v>
      </c>
      <c r="L2876">
        <v>4</v>
      </c>
      <c r="M2876">
        <f>IF((DST_123_ÜRETİM_İHTİYAÇ_RAPORU_BURAK_YENI1309[[#This Row],[SATINALMA]]*DST_123_ÜRETİM_İHTİYAÇ_RAPORU_BURAK_YENI1309[[#This Row],[BIRIM_FIYATLAR]])&lt;1,VALUE("0"),DST_123_ÜRETİM_İHTİYAÇ_RAPORU_BURAK_YENI1309[[#This Row],[SATINALMA]]*DST_123_ÜRETİM_İHTİYAÇ_RAPORU_BURAK_YENI1309[[#This Row],[BIRIM_FIYATLAR]])</f>
        <v>36666.600000000013</v>
      </c>
      <c r="N2876">
        <v>1833.33</v>
      </c>
      <c r="O2876" t="s">
        <v>223</v>
      </c>
      <c r="P2876">
        <v>1466.664</v>
      </c>
      <c r="Q2876" t="s">
        <v>181</v>
      </c>
    </row>
    <row r="2877" spans="1:17" x14ac:dyDescent="0.25">
      <c r="A2877" t="s">
        <v>1196</v>
      </c>
      <c r="B2877" t="s">
        <v>1197</v>
      </c>
      <c r="C2877" t="s">
        <v>175</v>
      </c>
      <c r="D2877" t="s">
        <v>460</v>
      </c>
      <c r="E2877" t="s">
        <v>461</v>
      </c>
      <c r="F2877">
        <v>1.5</v>
      </c>
      <c r="G2877" t="s">
        <v>176</v>
      </c>
      <c r="H2877">
        <v>0</v>
      </c>
      <c r="I2877">
        <v>48</v>
      </c>
      <c r="J2877" s="10">
        <v>26</v>
      </c>
      <c r="K2877" s="10">
        <f>SUMIFS(F:F,D:D,DST_123_ÜRETİM_İHTİYAÇ_RAPORU_BURAK_YENI1309[[#This Row],[ALT_KOD]])-(SUMIFS(H:H,D:D,DST_123_ÜRETİM_İHTİYAÇ_RAPORU_BURAK_YENI1309[[#This Row],[ALT_KOD]])+AVERAGEIFS(I:I,D:D,DST_123_ÜRETİM_İHTİYAÇ_RAPORU_BURAK_YENI1309[[#This Row],[ALT_KOD]])+AVERAGEIFS(L:L,D:D,DST_123_ÜRETİM_İHTİYAÇ_RAPORU_BURAK_YENI1309[[#This Row],[ALT_KOD]]))</f>
        <v>-19.5</v>
      </c>
      <c r="L2877">
        <v>0</v>
      </c>
      <c r="M2877">
        <f>IF((DST_123_ÜRETİM_İHTİYAÇ_RAPORU_BURAK_YENI1309[[#This Row],[SATINALMA]]*DST_123_ÜRETİM_İHTİYAÇ_RAPORU_BURAK_YENI1309[[#This Row],[BIRIM_FIYATLAR]])&lt;1,VALUE("0"),DST_123_ÜRETİM_İHTİYAÇ_RAPORU_BURAK_YENI1309[[#This Row],[SATINALMA]]*DST_123_ÜRETİM_İHTİYAÇ_RAPORU_BURAK_YENI1309[[#This Row],[BIRIM_FIYATLAR]])</f>
        <v>0</v>
      </c>
      <c r="N2877">
        <v>5</v>
      </c>
      <c r="O2877" t="s">
        <v>240</v>
      </c>
      <c r="P2877">
        <v>7.5</v>
      </c>
      <c r="Q2877" t="s">
        <v>180</v>
      </c>
    </row>
    <row r="2878" spans="1:17" x14ac:dyDescent="0.25">
      <c r="A2878" t="s">
        <v>1098</v>
      </c>
      <c r="B2878" t="s">
        <v>1096</v>
      </c>
      <c r="C2878" t="s">
        <v>175</v>
      </c>
      <c r="D2878" t="s">
        <v>460</v>
      </c>
      <c r="E2878" t="s">
        <v>461</v>
      </c>
      <c r="F2878">
        <v>1.5</v>
      </c>
      <c r="G2878" t="s">
        <v>176</v>
      </c>
      <c r="H2878">
        <v>0</v>
      </c>
      <c r="I2878">
        <v>48</v>
      </c>
      <c r="J2878" s="10">
        <v>26</v>
      </c>
      <c r="K2878" s="10">
        <f>SUMIFS(F:F,D:D,DST_123_ÜRETİM_İHTİYAÇ_RAPORU_BURAK_YENI1309[[#This Row],[ALT_KOD]])-(SUMIFS(H:H,D:D,DST_123_ÜRETİM_İHTİYAÇ_RAPORU_BURAK_YENI1309[[#This Row],[ALT_KOD]])+AVERAGEIFS(I:I,D:D,DST_123_ÜRETİM_İHTİYAÇ_RAPORU_BURAK_YENI1309[[#This Row],[ALT_KOD]])+AVERAGEIFS(L:L,D:D,DST_123_ÜRETİM_İHTİYAÇ_RAPORU_BURAK_YENI1309[[#This Row],[ALT_KOD]]))</f>
        <v>-19.5</v>
      </c>
      <c r="L2878">
        <v>0</v>
      </c>
      <c r="M2878">
        <f>IF((DST_123_ÜRETİM_İHTİYAÇ_RAPORU_BURAK_YENI1309[[#This Row],[SATINALMA]]*DST_123_ÜRETİM_İHTİYAÇ_RAPORU_BURAK_YENI1309[[#This Row],[BIRIM_FIYATLAR]])&lt;1,VALUE("0"),DST_123_ÜRETİM_İHTİYAÇ_RAPORU_BURAK_YENI1309[[#This Row],[SATINALMA]]*DST_123_ÜRETİM_İHTİYAÇ_RAPORU_BURAK_YENI1309[[#This Row],[BIRIM_FIYATLAR]])</f>
        <v>0</v>
      </c>
      <c r="N2878">
        <v>5</v>
      </c>
      <c r="O2878" t="s">
        <v>240</v>
      </c>
      <c r="P2878">
        <v>7.5</v>
      </c>
      <c r="Q2878" t="s">
        <v>180</v>
      </c>
    </row>
    <row r="2879" spans="1:17" x14ac:dyDescent="0.25">
      <c r="A2879" t="s">
        <v>1196</v>
      </c>
      <c r="B2879" t="s">
        <v>1197</v>
      </c>
      <c r="C2879" t="s">
        <v>175</v>
      </c>
      <c r="D2879" t="s">
        <v>660</v>
      </c>
      <c r="E2879" t="s">
        <v>661</v>
      </c>
      <c r="F2879">
        <v>1</v>
      </c>
      <c r="G2879" t="s">
        <v>185</v>
      </c>
      <c r="H2879">
        <v>0</v>
      </c>
      <c r="I2879">
        <v>0</v>
      </c>
      <c r="J2879" s="10">
        <v>0</v>
      </c>
      <c r="K2879" s="10">
        <f>SUMIFS(F:F,D:D,DST_123_ÜRETİM_İHTİYAÇ_RAPORU_BURAK_YENI1309[[#This Row],[ALT_KOD]])-(SUMIFS(H:H,D:D,DST_123_ÜRETİM_İHTİYAÇ_RAPORU_BURAK_YENI1309[[#This Row],[ALT_KOD]])+AVERAGEIFS(I:I,D:D,DST_123_ÜRETİM_İHTİYAÇ_RAPORU_BURAK_YENI1309[[#This Row],[ALT_KOD]])+AVERAGEIFS(L:L,D:D,DST_123_ÜRETİM_İHTİYAÇ_RAPORU_BURAK_YENI1309[[#This Row],[ALT_KOD]]))</f>
        <v>19</v>
      </c>
      <c r="L2879">
        <v>0</v>
      </c>
      <c r="M2879">
        <f>IF((DST_123_ÜRETİM_İHTİYAÇ_RAPORU_BURAK_YENI1309[[#This Row],[SATINALMA]]*DST_123_ÜRETİM_İHTİYAÇ_RAPORU_BURAK_YENI1309[[#This Row],[BIRIM_FIYATLAR]])&lt;1,VALUE("0"),DST_123_ÜRETİM_İHTİYAÇ_RAPORU_BURAK_YENI1309[[#This Row],[SATINALMA]]*DST_123_ÜRETİM_İHTİYAÇ_RAPORU_BURAK_YENI1309[[#This Row],[BIRIM_FIYATLAR]])</f>
        <v>1538.6200000000001</v>
      </c>
      <c r="N2879">
        <v>80.98</v>
      </c>
      <c r="O2879" t="s">
        <v>223</v>
      </c>
      <c r="P2879">
        <v>80.98</v>
      </c>
      <c r="Q2879" t="s">
        <v>183</v>
      </c>
    </row>
    <row r="2880" spans="1:17" x14ac:dyDescent="0.25">
      <c r="A2880" t="s">
        <v>1098</v>
      </c>
      <c r="B2880" t="s">
        <v>1096</v>
      </c>
      <c r="C2880" t="s">
        <v>175</v>
      </c>
      <c r="D2880" t="s">
        <v>562</v>
      </c>
      <c r="E2880" t="s">
        <v>563</v>
      </c>
      <c r="F2880">
        <v>7</v>
      </c>
      <c r="G2880" t="s">
        <v>176</v>
      </c>
      <c r="H2880">
        <v>0</v>
      </c>
      <c r="I2880">
        <v>3000</v>
      </c>
      <c r="J2880" s="10">
        <v>0</v>
      </c>
      <c r="K2880" s="10">
        <f>SUMIFS(F:F,D:D,DST_123_ÜRETİM_İHTİYAÇ_RAPORU_BURAK_YENI1309[[#This Row],[ALT_KOD]])-(SUMIFS(H:H,D:D,DST_123_ÜRETİM_İHTİYAÇ_RAPORU_BURAK_YENI1309[[#This Row],[ALT_KOD]])+AVERAGEIFS(I:I,D:D,DST_123_ÜRETİM_İHTİYAÇ_RAPORU_BURAK_YENI1309[[#This Row],[ALT_KOD]])+AVERAGEIFS(L:L,D:D,DST_123_ÜRETİM_İHTİYAÇ_RAPORU_BURAK_YENI1309[[#This Row],[ALT_KOD]]))</f>
        <v>-2847</v>
      </c>
      <c r="L2880">
        <v>0</v>
      </c>
      <c r="M2880">
        <f>IF((DST_123_ÜRETİM_İHTİYAÇ_RAPORU_BURAK_YENI1309[[#This Row],[SATINALMA]]*DST_123_ÜRETİM_İHTİYAÇ_RAPORU_BURAK_YENI1309[[#This Row],[BIRIM_FIYATLAR]])&lt;1,VALUE("0"),DST_123_ÜRETİM_İHTİYAÇ_RAPORU_BURAK_YENI1309[[#This Row],[SATINALMA]]*DST_123_ÜRETİM_İHTİYAÇ_RAPORU_BURAK_YENI1309[[#This Row],[BIRIM_FIYATLAR]])</f>
        <v>0</v>
      </c>
      <c r="N2880">
        <v>0.7</v>
      </c>
      <c r="O2880" t="s">
        <v>240</v>
      </c>
      <c r="P2880">
        <v>4.8999999999999995</v>
      </c>
      <c r="Q2880" t="s">
        <v>180</v>
      </c>
    </row>
    <row r="2881" spans="1:17" x14ac:dyDescent="0.25">
      <c r="A2881" t="s">
        <v>1057</v>
      </c>
      <c r="B2881" t="s">
        <v>1058</v>
      </c>
      <c r="C2881" t="s">
        <v>175</v>
      </c>
      <c r="D2881" t="s">
        <v>329</v>
      </c>
      <c r="E2881" t="s">
        <v>330</v>
      </c>
      <c r="F2881">
        <v>6</v>
      </c>
      <c r="G2881" t="s">
        <v>176</v>
      </c>
      <c r="H2881">
        <v>0</v>
      </c>
      <c r="I2881">
        <v>118</v>
      </c>
      <c r="J2881" s="10">
        <v>18</v>
      </c>
      <c r="K2881" s="10">
        <f>SUMIFS(F:F,D:D,DST_123_ÜRETİM_İHTİYAÇ_RAPORU_BURAK_YENI1309[[#This Row],[ALT_KOD]])-(SUMIFS(H:H,D:D,DST_123_ÜRETİM_İHTİYAÇ_RAPORU_BURAK_YENI1309[[#This Row],[ALT_KOD]])+AVERAGEIFS(I:I,D:D,DST_123_ÜRETİM_İHTİYAÇ_RAPORU_BURAK_YENI1309[[#This Row],[ALT_KOD]])+AVERAGEIFS(L:L,D:D,DST_123_ÜRETİM_İHTİYAÇ_RAPORU_BURAK_YENI1309[[#This Row],[ALT_KOD]]))</f>
        <v>-11</v>
      </c>
      <c r="L2881">
        <v>0</v>
      </c>
      <c r="M2881">
        <f>IF((DST_123_ÜRETİM_İHTİYAÇ_RAPORU_BURAK_YENI1309[[#This Row],[SATINALMA]]*DST_123_ÜRETİM_İHTİYAÇ_RAPORU_BURAK_YENI1309[[#This Row],[BIRIM_FIYATLAR]])&lt;1,VALUE("0"),DST_123_ÜRETİM_İHTİYAÇ_RAPORU_BURAK_YENI1309[[#This Row],[SATINALMA]]*DST_123_ÜRETİM_İHTİYAÇ_RAPORU_BURAK_YENI1309[[#This Row],[BIRIM_FIYATLAR]])</f>
        <v>0</v>
      </c>
      <c r="N2881">
        <v>14.5</v>
      </c>
      <c r="O2881" t="s">
        <v>240</v>
      </c>
      <c r="P2881">
        <v>87</v>
      </c>
      <c r="Q2881" t="s">
        <v>180</v>
      </c>
    </row>
    <row r="2882" spans="1:17" x14ac:dyDescent="0.25">
      <c r="A2882" t="s">
        <v>1147</v>
      </c>
      <c r="B2882" t="s">
        <v>1145</v>
      </c>
      <c r="C2882" t="s">
        <v>175</v>
      </c>
      <c r="D2882" t="s">
        <v>518</v>
      </c>
      <c r="E2882" t="s">
        <v>519</v>
      </c>
      <c r="F2882">
        <v>3</v>
      </c>
      <c r="G2882" t="s">
        <v>176</v>
      </c>
      <c r="H2882">
        <v>0</v>
      </c>
      <c r="I2882">
        <v>101</v>
      </c>
      <c r="J2882" s="10">
        <v>10.000000000000057</v>
      </c>
      <c r="K2882" s="10">
        <f>SUMIFS(F:F,D:D,DST_123_ÜRETİM_İHTİYAÇ_RAPORU_BURAK_YENI1309[[#This Row],[ALT_KOD]])-(SUMIFS(H:H,D:D,DST_123_ÜRETİM_İHTİYAÇ_RAPORU_BURAK_YENI1309[[#This Row],[ALT_KOD]])+AVERAGEIFS(I:I,D:D,DST_123_ÜRETİM_İHTİYAÇ_RAPORU_BURAK_YENI1309[[#This Row],[ALT_KOD]])+AVERAGEIFS(L:L,D:D,DST_123_ÜRETİM_İHTİYAÇ_RAPORU_BURAK_YENI1309[[#This Row],[ALT_KOD]]))</f>
        <v>-42.539999999999992</v>
      </c>
      <c r="L2882">
        <v>0</v>
      </c>
      <c r="M2882">
        <f>IF((DST_123_ÜRETİM_İHTİYAÇ_RAPORU_BURAK_YENI1309[[#This Row],[SATINALMA]]*DST_123_ÜRETİM_İHTİYAÇ_RAPORU_BURAK_YENI1309[[#This Row],[BIRIM_FIYATLAR]])&lt;1,VALUE("0"),DST_123_ÜRETİM_İHTİYAÇ_RAPORU_BURAK_YENI1309[[#This Row],[SATINALMA]]*DST_123_ÜRETİM_İHTİYAÇ_RAPORU_BURAK_YENI1309[[#This Row],[BIRIM_FIYATLAR]])</f>
        <v>0</v>
      </c>
      <c r="N2882">
        <v>36</v>
      </c>
      <c r="O2882" t="s">
        <v>240</v>
      </c>
      <c r="P2882">
        <v>108</v>
      </c>
      <c r="Q2882" t="s">
        <v>180</v>
      </c>
    </row>
    <row r="2883" spans="1:17" x14ac:dyDescent="0.25">
      <c r="A2883" t="s">
        <v>1148</v>
      </c>
      <c r="B2883" t="s">
        <v>1056</v>
      </c>
      <c r="C2883" t="s">
        <v>175</v>
      </c>
      <c r="D2883" t="s">
        <v>518</v>
      </c>
      <c r="E2883" t="s">
        <v>519</v>
      </c>
      <c r="F2883">
        <v>3.17</v>
      </c>
      <c r="G2883" t="s">
        <v>176</v>
      </c>
      <c r="H2883">
        <v>0</v>
      </c>
      <c r="I2883">
        <v>101</v>
      </c>
      <c r="J2883" s="10">
        <v>10.000000000000057</v>
      </c>
      <c r="K2883" s="10">
        <f>SUMIFS(F:F,D:D,DST_123_ÜRETİM_İHTİYAÇ_RAPORU_BURAK_YENI1309[[#This Row],[ALT_KOD]])-(SUMIFS(H:H,D:D,DST_123_ÜRETİM_İHTİYAÇ_RAPORU_BURAK_YENI1309[[#This Row],[ALT_KOD]])+AVERAGEIFS(I:I,D:D,DST_123_ÜRETİM_İHTİYAÇ_RAPORU_BURAK_YENI1309[[#This Row],[ALT_KOD]])+AVERAGEIFS(L:L,D:D,DST_123_ÜRETİM_İHTİYAÇ_RAPORU_BURAK_YENI1309[[#This Row],[ALT_KOD]]))</f>
        <v>-42.539999999999992</v>
      </c>
      <c r="L2883">
        <v>0</v>
      </c>
      <c r="M2883">
        <f>IF((DST_123_ÜRETİM_İHTİYAÇ_RAPORU_BURAK_YENI1309[[#This Row],[SATINALMA]]*DST_123_ÜRETİM_İHTİYAÇ_RAPORU_BURAK_YENI1309[[#This Row],[BIRIM_FIYATLAR]])&lt;1,VALUE("0"),DST_123_ÜRETİM_İHTİYAÇ_RAPORU_BURAK_YENI1309[[#This Row],[SATINALMA]]*DST_123_ÜRETİM_İHTİYAÇ_RAPORU_BURAK_YENI1309[[#This Row],[BIRIM_FIYATLAR]])</f>
        <v>0</v>
      </c>
      <c r="N2883">
        <v>36</v>
      </c>
      <c r="O2883" t="s">
        <v>240</v>
      </c>
      <c r="P2883">
        <v>114.12</v>
      </c>
      <c r="Q2883" t="s">
        <v>180</v>
      </c>
    </row>
    <row r="2884" spans="1:17" x14ac:dyDescent="0.25">
      <c r="A2884" t="s">
        <v>1147</v>
      </c>
      <c r="B2884" t="s">
        <v>1145</v>
      </c>
      <c r="C2884" t="s">
        <v>175</v>
      </c>
      <c r="D2884" t="s">
        <v>520</v>
      </c>
      <c r="E2884" t="s">
        <v>521</v>
      </c>
      <c r="F2884">
        <v>3</v>
      </c>
      <c r="G2884" t="s">
        <v>176</v>
      </c>
      <c r="H2884">
        <v>0</v>
      </c>
      <c r="I2884">
        <v>200</v>
      </c>
      <c r="J2884" s="10">
        <v>70</v>
      </c>
      <c r="K2884" s="10">
        <f>SUMIFS(F:F,D:D,DST_123_ÜRETİM_İHTİYAÇ_RAPORU_BURAK_YENI1309[[#This Row],[ALT_KOD]])-(SUMIFS(H:H,D:D,DST_123_ÜRETİM_İHTİYAÇ_RAPORU_BURAK_YENI1309[[#This Row],[ALT_KOD]])+AVERAGEIFS(I:I,D:D,DST_123_ÜRETİM_İHTİYAÇ_RAPORU_BURAK_YENI1309[[#This Row],[ALT_KOD]])+AVERAGEIFS(L:L,D:D,DST_123_ÜRETİM_İHTİYAÇ_RAPORU_BURAK_YENI1309[[#This Row],[ALT_KOD]]))</f>
        <v>-165</v>
      </c>
      <c r="L2884">
        <v>0</v>
      </c>
      <c r="M2884">
        <f>IF((DST_123_ÜRETİM_İHTİYAÇ_RAPORU_BURAK_YENI1309[[#This Row],[SATINALMA]]*DST_123_ÜRETİM_İHTİYAÇ_RAPORU_BURAK_YENI1309[[#This Row],[BIRIM_FIYATLAR]])&lt;1,VALUE("0"),DST_123_ÜRETİM_İHTİYAÇ_RAPORU_BURAK_YENI1309[[#This Row],[SATINALMA]]*DST_123_ÜRETİM_İHTİYAÇ_RAPORU_BURAK_YENI1309[[#This Row],[BIRIM_FIYATLAR]])</f>
        <v>0</v>
      </c>
      <c r="N2884">
        <v>10</v>
      </c>
      <c r="O2884" t="s">
        <v>226</v>
      </c>
      <c r="P2884">
        <v>30</v>
      </c>
      <c r="Q2884" t="s">
        <v>180</v>
      </c>
    </row>
    <row r="2885" spans="1:17" x14ac:dyDescent="0.25">
      <c r="A2885" t="s">
        <v>1060</v>
      </c>
      <c r="B2885" t="s">
        <v>1061</v>
      </c>
      <c r="C2885" t="s">
        <v>175</v>
      </c>
      <c r="D2885" t="s">
        <v>524</v>
      </c>
      <c r="E2885" t="s">
        <v>525</v>
      </c>
      <c r="F2885">
        <v>7</v>
      </c>
      <c r="G2885" t="s">
        <v>176</v>
      </c>
      <c r="H2885">
        <v>7</v>
      </c>
      <c r="I2885">
        <v>300</v>
      </c>
      <c r="J2885" s="10">
        <v>325</v>
      </c>
      <c r="K2885" s="10">
        <f>SUMIFS(F:F,D:D,DST_123_ÜRETİM_İHTİYAÇ_RAPORU_BURAK_YENI1309[[#This Row],[ALT_KOD]])-(SUMIFS(H:H,D:D,DST_123_ÜRETİM_İHTİYAÇ_RAPORU_BURAK_YENI1309[[#This Row],[ALT_KOD]])+AVERAGEIFS(I:I,D:D,DST_123_ÜRETİM_İHTİYAÇ_RAPORU_BURAK_YENI1309[[#This Row],[ALT_KOD]])+AVERAGEIFS(L:L,D:D,DST_123_ÜRETİM_İHTİYAÇ_RAPORU_BURAK_YENI1309[[#This Row],[ALT_KOD]]))</f>
        <v>-192</v>
      </c>
      <c r="L2885">
        <v>0</v>
      </c>
      <c r="M2885">
        <f>IF((DST_123_ÜRETİM_İHTİYAÇ_RAPORU_BURAK_YENI1309[[#This Row],[SATINALMA]]*DST_123_ÜRETİM_İHTİYAÇ_RAPORU_BURAK_YENI1309[[#This Row],[BIRIM_FIYATLAR]])&lt;1,VALUE("0"),DST_123_ÜRETİM_İHTİYAÇ_RAPORU_BURAK_YENI1309[[#This Row],[SATINALMA]]*DST_123_ÜRETİM_İHTİYAÇ_RAPORU_BURAK_YENI1309[[#This Row],[BIRIM_FIYATLAR]])</f>
        <v>0</v>
      </c>
      <c r="N2885">
        <v>12</v>
      </c>
      <c r="O2885" t="s">
        <v>226</v>
      </c>
      <c r="P2885">
        <v>84</v>
      </c>
      <c r="Q2885" t="s">
        <v>180</v>
      </c>
    </row>
    <row r="2886" spans="1:17" x14ac:dyDescent="0.25">
      <c r="A2886" t="s">
        <v>1101</v>
      </c>
      <c r="B2886" t="s">
        <v>1102</v>
      </c>
      <c r="C2886" t="s">
        <v>175</v>
      </c>
      <c r="D2886" t="s">
        <v>673</v>
      </c>
      <c r="E2886" t="s">
        <v>674</v>
      </c>
      <c r="F2886">
        <v>9</v>
      </c>
      <c r="G2886" t="s">
        <v>176</v>
      </c>
      <c r="H2886">
        <v>0</v>
      </c>
      <c r="I2886">
        <v>150</v>
      </c>
      <c r="J2886" s="10">
        <v>78</v>
      </c>
      <c r="K2886" s="10">
        <f>SUMIFS(F:F,D:D,DST_123_ÜRETİM_İHTİYAÇ_RAPORU_BURAK_YENI1309[[#This Row],[ALT_KOD]])-(SUMIFS(H:H,D:D,DST_123_ÜRETİM_İHTİYAÇ_RAPORU_BURAK_YENI1309[[#This Row],[ALT_KOD]])+AVERAGEIFS(I:I,D:D,DST_123_ÜRETİM_İHTİYAÇ_RAPORU_BURAK_YENI1309[[#This Row],[ALT_KOD]])+AVERAGEIFS(L:L,D:D,DST_123_ÜRETİM_İHTİYAÇ_RAPORU_BURAK_YENI1309[[#This Row],[ALT_KOD]]))</f>
        <v>-48</v>
      </c>
      <c r="L2886">
        <v>0</v>
      </c>
      <c r="M2886">
        <f>IF((DST_123_ÜRETİM_İHTİYAÇ_RAPORU_BURAK_YENI1309[[#This Row],[SATINALMA]]*DST_123_ÜRETİM_İHTİYAÇ_RAPORU_BURAK_YENI1309[[#This Row],[BIRIM_FIYATLAR]])&lt;1,VALUE("0"),DST_123_ÜRETİM_İHTİYAÇ_RAPORU_BURAK_YENI1309[[#This Row],[SATINALMA]]*DST_123_ÜRETİM_İHTİYAÇ_RAPORU_BURAK_YENI1309[[#This Row],[BIRIM_FIYATLAR]])</f>
        <v>0</v>
      </c>
      <c r="N2886">
        <v>20.83</v>
      </c>
      <c r="O2886" t="s">
        <v>226</v>
      </c>
      <c r="P2886">
        <v>187.46999999999997</v>
      </c>
      <c r="Q2886" t="s">
        <v>180</v>
      </c>
    </row>
    <row r="2887" spans="1:17" x14ac:dyDescent="0.25">
      <c r="A2887" t="s">
        <v>1142</v>
      </c>
      <c r="B2887" t="s">
        <v>1056</v>
      </c>
      <c r="C2887" t="s">
        <v>175</v>
      </c>
      <c r="D2887" t="s">
        <v>402</v>
      </c>
      <c r="E2887" t="s">
        <v>403</v>
      </c>
      <c r="F2887">
        <v>1</v>
      </c>
      <c r="G2887" t="s">
        <v>176</v>
      </c>
      <c r="H2887">
        <v>0</v>
      </c>
      <c r="I2887">
        <v>24</v>
      </c>
      <c r="J2887" s="10">
        <v>14</v>
      </c>
      <c r="K2887" s="10">
        <f>SUMIFS(F:F,D:D,DST_123_ÜRETİM_İHTİYAÇ_RAPORU_BURAK_YENI1309[[#This Row],[ALT_KOD]])-(SUMIFS(H:H,D:D,DST_123_ÜRETİM_İHTİYAÇ_RAPORU_BURAK_YENI1309[[#This Row],[ALT_KOD]])+AVERAGEIFS(I:I,D:D,DST_123_ÜRETİM_İHTİYAÇ_RAPORU_BURAK_YENI1309[[#This Row],[ALT_KOD]])+AVERAGEIFS(L:L,D:D,DST_123_ÜRETİM_İHTİYAÇ_RAPORU_BURAK_YENI1309[[#This Row],[ALT_KOD]]))</f>
        <v>-15</v>
      </c>
      <c r="L2887">
        <v>0</v>
      </c>
      <c r="M2887">
        <f>IF((DST_123_ÜRETİM_İHTİYAÇ_RAPORU_BURAK_YENI1309[[#This Row],[SATINALMA]]*DST_123_ÜRETİM_İHTİYAÇ_RAPORU_BURAK_YENI1309[[#This Row],[BIRIM_FIYATLAR]])&lt;1,VALUE("0"),DST_123_ÜRETİM_İHTİYAÇ_RAPORU_BURAK_YENI1309[[#This Row],[SATINALMA]]*DST_123_ÜRETİM_İHTİYAÇ_RAPORU_BURAK_YENI1309[[#This Row],[BIRIM_FIYATLAR]])</f>
        <v>0</v>
      </c>
      <c r="N2887">
        <v>15</v>
      </c>
      <c r="O2887" t="s">
        <v>220</v>
      </c>
      <c r="P2887">
        <v>15</v>
      </c>
      <c r="Q2887" t="s">
        <v>221</v>
      </c>
    </row>
    <row r="2888" spans="1:17" x14ac:dyDescent="0.25">
      <c r="A2888" t="s">
        <v>1057</v>
      </c>
      <c r="B2888" t="s">
        <v>1058</v>
      </c>
      <c r="C2888" t="s">
        <v>175</v>
      </c>
      <c r="D2888" t="s">
        <v>493</v>
      </c>
      <c r="E2888" t="s">
        <v>494</v>
      </c>
      <c r="F2888">
        <v>22</v>
      </c>
      <c r="G2888" t="s">
        <v>495</v>
      </c>
      <c r="H2888">
        <v>0</v>
      </c>
      <c r="I2888">
        <v>200</v>
      </c>
      <c r="J2888" s="10">
        <v>86</v>
      </c>
      <c r="K2888" s="10">
        <f>SUMIFS(F:F,D:D,DST_123_ÜRETİM_İHTİYAÇ_RAPORU_BURAK_YENI1309[[#This Row],[ALT_KOD]])-(SUMIFS(H:H,D:D,DST_123_ÜRETİM_İHTİYAÇ_RAPORU_BURAK_YENI1309[[#This Row],[ALT_KOD]])+AVERAGEIFS(I:I,D:D,DST_123_ÜRETİM_İHTİYAÇ_RAPORU_BURAK_YENI1309[[#This Row],[ALT_KOD]])+AVERAGEIFS(L:L,D:D,DST_123_ÜRETİM_İHTİYAÇ_RAPORU_BURAK_YENI1309[[#This Row],[ALT_KOD]]))</f>
        <v>220</v>
      </c>
      <c r="L2888">
        <v>0</v>
      </c>
      <c r="M2888">
        <f>IF((DST_123_ÜRETİM_İHTİYAÇ_RAPORU_BURAK_YENI1309[[#This Row],[SATINALMA]]*DST_123_ÜRETİM_İHTİYAÇ_RAPORU_BURAK_YENI1309[[#This Row],[BIRIM_FIYATLAR]])&lt;1,VALUE("0"),DST_123_ÜRETİM_İHTİYAÇ_RAPORU_BURAK_YENI1309[[#This Row],[SATINALMA]]*DST_123_ÜRETİM_İHTİYAÇ_RAPORU_BURAK_YENI1309[[#This Row],[BIRIM_FIYATLAR]])</f>
        <v>23100</v>
      </c>
      <c r="N2888">
        <v>105</v>
      </c>
      <c r="O2888" t="s">
        <v>296</v>
      </c>
      <c r="P2888">
        <v>2310</v>
      </c>
      <c r="Q2888" t="s">
        <v>184</v>
      </c>
    </row>
    <row r="2889" spans="1:17" x14ac:dyDescent="0.25">
      <c r="A2889" t="s">
        <v>1100</v>
      </c>
      <c r="B2889" t="s">
        <v>1058</v>
      </c>
      <c r="C2889" t="s">
        <v>175</v>
      </c>
      <c r="D2889" t="s">
        <v>493</v>
      </c>
      <c r="E2889" t="s">
        <v>494</v>
      </c>
      <c r="F2889">
        <v>22</v>
      </c>
      <c r="G2889" t="s">
        <v>495</v>
      </c>
      <c r="H2889">
        <v>0</v>
      </c>
      <c r="I2889">
        <v>200</v>
      </c>
      <c r="J2889" s="10">
        <v>86</v>
      </c>
      <c r="K2889" s="10">
        <f>SUMIFS(F:F,D:D,DST_123_ÜRETİM_İHTİYAÇ_RAPORU_BURAK_YENI1309[[#This Row],[ALT_KOD]])-(SUMIFS(H:H,D:D,DST_123_ÜRETİM_İHTİYAÇ_RAPORU_BURAK_YENI1309[[#This Row],[ALT_KOD]])+AVERAGEIFS(I:I,D:D,DST_123_ÜRETİM_İHTİYAÇ_RAPORU_BURAK_YENI1309[[#This Row],[ALT_KOD]])+AVERAGEIFS(L:L,D:D,DST_123_ÜRETİM_İHTİYAÇ_RAPORU_BURAK_YENI1309[[#This Row],[ALT_KOD]]))</f>
        <v>220</v>
      </c>
      <c r="L2889">
        <v>0</v>
      </c>
      <c r="M2889">
        <f>IF((DST_123_ÜRETİM_İHTİYAÇ_RAPORU_BURAK_YENI1309[[#This Row],[SATINALMA]]*DST_123_ÜRETİM_İHTİYAÇ_RAPORU_BURAK_YENI1309[[#This Row],[BIRIM_FIYATLAR]])&lt;1,VALUE("0"),DST_123_ÜRETİM_İHTİYAÇ_RAPORU_BURAK_YENI1309[[#This Row],[SATINALMA]]*DST_123_ÜRETİM_İHTİYAÇ_RAPORU_BURAK_YENI1309[[#This Row],[BIRIM_FIYATLAR]])</f>
        <v>23100</v>
      </c>
      <c r="N2889">
        <v>105</v>
      </c>
      <c r="O2889" t="s">
        <v>296</v>
      </c>
      <c r="P2889">
        <v>2310</v>
      </c>
      <c r="Q2889" t="s">
        <v>184</v>
      </c>
    </row>
    <row r="2890" spans="1:17" x14ac:dyDescent="0.25">
      <c r="A2890" t="s">
        <v>1143</v>
      </c>
      <c r="B2890" t="s">
        <v>1056</v>
      </c>
      <c r="C2890" t="s">
        <v>175</v>
      </c>
      <c r="D2890" t="s">
        <v>210</v>
      </c>
      <c r="E2890" t="s">
        <v>211</v>
      </c>
      <c r="F2890">
        <v>1</v>
      </c>
      <c r="G2890" t="s">
        <v>176</v>
      </c>
      <c r="H2890">
        <v>0</v>
      </c>
      <c r="I2890">
        <v>21</v>
      </c>
      <c r="J2890" s="10">
        <v>10</v>
      </c>
      <c r="K2890" s="10">
        <f>SUMIFS(F:F,D:D,DST_123_ÜRETİM_İHTİYAÇ_RAPORU_BURAK_YENI1309[[#This Row],[ALT_KOD]])-(SUMIFS(H:H,D:D,DST_123_ÜRETİM_İHTİYAÇ_RAPORU_BURAK_YENI1309[[#This Row],[ALT_KOD]])+AVERAGEIFS(I:I,D:D,DST_123_ÜRETİM_İHTİYAÇ_RAPORU_BURAK_YENI1309[[#This Row],[ALT_KOD]])+AVERAGEIFS(L:L,D:D,DST_123_ÜRETİM_İHTİYAÇ_RAPORU_BURAK_YENI1309[[#This Row],[ALT_KOD]]))</f>
        <v>-50</v>
      </c>
      <c r="L2890">
        <v>40</v>
      </c>
      <c r="M2890">
        <f>IF((DST_123_ÜRETİM_İHTİYAÇ_RAPORU_BURAK_YENI1309[[#This Row],[SATINALMA]]*DST_123_ÜRETİM_İHTİYAÇ_RAPORU_BURAK_YENI1309[[#This Row],[BIRIM_FIYATLAR]])&lt;1,VALUE("0"),DST_123_ÜRETİM_İHTİYAÇ_RAPORU_BURAK_YENI1309[[#This Row],[SATINALMA]]*DST_123_ÜRETİM_İHTİYAÇ_RAPORU_BURAK_YENI1309[[#This Row],[BIRIM_FIYATLAR]])</f>
        <v>0</v>
      </c>
      <c r="N2890">
        <v>312</v>
      </c>
      <c r="O2890" t="s">
        <v>217</v>
      </c>
      <c r="P2890">
        <v>312</v>
      </c>
      <c r="Q2890" t="s">
        <v>177</v>
      </c>
    </row>
    <row r="2891" spans="1:17" x14ac:dyDescent="0.25">
      <c r="A2891" t="s">
        <v>1097</v>
      </c>
      <c r="B2891" t="s">
        <v>1055</v>
      </c>
      <c r="C2891" t="s">
        <v>175</v>
      </c>
      <c r="D2891" t="s">
        <v>218</v>
      </c>
      <c r="E2891" t="s">
        <v>219</v>
      </c>
      <c r="F2891">
        <v>2</v>
      </c>
      <c r="G2891" t="s">
        <v>176</v>
      </c>
      <c r="H2891">
        <v>0</v>
      </c>
      <c r="I2891">
        <v>288</v>
      </c>
      <c r="J2891" s="10">
        <v>94</v>
      </c>
      <c r="K2891" s="10">
        <f>SUMIFS(F:F,D:D,DST_123_ÜRETİM_İHTİYAÇ_RAPORU_BURAK_YENI1309[[#This Row],[ALT_KOD]])-(SUMIFS(H:H,D:D,DST_123_ÜRETİM_İHTİYAÇ_RAPORU_BURAK_YENI1309[[#This Row],[ALT_KOD]])+AVERAGEIFS(I:I,D:D,DST_123_ÜRETİM_İHTİYAÇ_RAPORU_BURAK_YENI1309[[#This Row],[ALT_KOD]])+AVERAGEIFS(L:L,D:D,DST_123_ÜRETİM_İHTİYAÇ_RAPORU_BURAK_YENI1309[[#This Row],[ALT_KOD]]))</f>
        <v>-260</v>
      </c>
      <c r="L2891">
        <v>0</v>
      </c>
      <c r="M2891">
        <f>IF((DST_123_ÜRETİM_İHTİYAÇ_RAPORU_BURAK_YENI1309[[#This Row],[SATINALMA]]*DST_123_ÜRETİM_İHTİYAÇ_RAPORU_BURAK_YENI1309[[#This Row],[BIRIM_FIYATLAR]])&lt;1,VALUE("0"),DST_123_ÜRETİM_İHTİYAÇ_RAPORU_BURAK_YENI1309[[#This Row],[SATINALMA]]*DST_123_ÜRETİM_İHTİYAÇ_RAPORU_BURAK_YENI1309[[#This Row],[BIRIM_FIYATLAR]])</f>
        <v>0</v>
      </c>
      <c r="N2891">
        <v>4</v>
      </c>
      <c r="O2891" t="s">
        <v>220</v>
      </c>
      <c r="P2891">
        <v>8</v>
      </c>
      <c r="Q2891" t="s">
        <v>221</v>
      </c>
    </row>
    <row r="2892" spans="1:17" x14ac:dyDescent="0.25">
      <c r="A2892" t="s">
        <v>1143</v>
      </c>
      <c r="B2892" t="s">
        <v>1056</v>
      </c>
      <c r="C2892" t="s">
        <v>175</v>
      </c>
      <c r="D2892" t="s">
        <v>758</v>
      </c>
      <c r="E2892" t="s">
        <v>759</v>
      </c>
      <c r="F2892">
        <v>1</v>
      </c>
      <c r="G2892" t="s">
        <v>176</v>
      </c>
      <c r="H2892">
        <v>0</v>
      </c>
      <c r="I2892">
        <v>5</v>
      </c>
      <c r="J2892" s="10">
        <v>6</v>
      </c>
      <c r="K2892" s="10">
        <f>SUMIFS(F:F,D:D,DST_123_ÜRETİM_İHTİYAÇ_RAPORU_BURAK_YENI1309[[#This Row],[ALT_KOD]])-(SUMIFS(H:H,D:D,DST_123_ÜRETİM_İHTİYAÇ_RAPORU_BURAK_YENI1309[[#This Row],[ALT_KOD]])+AVERAGEIFS(I:I,D:D,DST_123_ÜRETİM_İHTİYAÇ_RAPORU_BURAK_YENI1309[[#This Row],[ALT_KOD]])+AVERAGEIFS(L:L,D:D,DST_123_ÜRETİM_İHTİYAÇ_RAPORU_BURAK_YENI1309[[#This Row],[ALT_KOD]]))</f>
        <v>-4</v>
      </c>
      <c r="L2892">
        <v>0</v>
      </c>
      <c r="M2892">
        <f>IF((DST_123_ÜRETİM_İHTİYAÇ_RAPORU_BURAK_YENI1309[[#This Row],[SATINALMA]]*DST_123_ÜRETİM_İHTİYAÇ_RAPORU_BURAK_YENI1309[[#This Row],[BIRIM_FIYATLAR]])&lt;1,VALUE("0"),DST_123_ÜRETİM_İHTİYAÇ_RAPORU_BURAK_YENI1309[[#This Row],[SATINALMA]]*DST_123_ÜRETİM_İHTİYAÇ_RAPORU_BURAK_YENI1309[[#This Row],[BIRIM_FIYATLAR]])</f>
        <v>0</v>
      </c>
      <c r="N2892">
        <v>8495.43</v>
      </c>
      <c r="O2892" t="s">
        <v>275</v>
      </c>
      <c r="P2892">
        <v>8495.43</v>
      </c>
      <c r="Q2892" t="s">
        <v>177</v>
      </c>
    </row>
    <row r="2893" spans="1:17" x14ac:dyDescent="0.25">
      <c r="A2893" t="s">
        <v>1059</v>
      </c>
      <c r="B2893" t="s">
        <v>1058</v>
      </c>
      <c r="C2893" t="s">
        <v>175</v>
      </c>
      <c r="D2893" t="s">
        <v>493</v>
      </c>
      <c r="E2893" t="s">
        <v>494</v>
      </c>
      <c r="F2893">
        <v>22</v>
      </c>
      <c r="G2893" t="s">
        <v>495</v>
      </c>
      <c r="H2893">
        <v>0</v>
      </c>
      <c r="I2893">
        <v>200</v>
      </c>
      <c r="J2893" s="10">
        <v>86</v>
      </c>
      <c r="K2893" s="10">
        <f>SUMIFS(F:F,D:D,DST_123_ÜRETİM_İHTİYAÇ_RAPORU_BURAK_YENI1309[[#This Row],[ALT_KOD]])-(SUMIFS(H:H,D:D,DST_123_ÜRETİM_İHTİYAÇ_RAPORU_BURAK_YENI1309[[#This Row],[ALT_KOD]])+AVERAGEIFS(I:I,D:D,DST_123_ÜRETİM_İHTİYAÇ_RAPORU_BURAK_YENI1309[[#This Row],[ALT_KOD]])+AVERAGEIFS(L:L,D:D,DST_123_ÜRETİM_İHTİYAÇ_RAPORU_BURAK_YENI1309[[#This Row],[ALT_KOD]]))</f>
        <v>220</v>
      </c>
      <c r="L2893">
        <v>0</v>
      </c>
      <c r="M2893">
        <f>IF((DST_123_ÜRETİM_İHTİYAÇ_RAPORU_BURAK_YENI1309[[#This Row],[SATINALMA]]*DST_123_ÜRETİM_İHTİYAÇ_RAPORU_BURAK_YENI1309[[#This Row],[BIRIM_FIYATLAR]])&lt;1,VALUE("0"),DST_123_ÜRETİM_İHTİYAÇ_RAPORU_BURAK_YENI1309[[#This Row],[SATINALMA]]*DST_123_ÜRETİM_İHTİYAÇ_RAPORU_BURAK_YENI1309[[#This Row],[BIRIM_FIYATLAR]])</f>
        <v>23100</v>
      </c>
      <c r="N2893">
        <v>105</v>
      </c>
      <c r="O2893" t="s">
        <v>296</v>
      </c>
      <c r="P2893">
        <v>2310</v>
      </c>
      <c r="Q2893" t="s">
        <v>184</v>
      </c>
    </row>
    <row r="2894" spans="1:17" x14ac:dyDescent="0.25">
      <c r="A2894" t="s">
        <v>1097</v>
      </c>
      <c r="B2894" t="s">
        <v>1055</v>
      </c>
      <c r="C2894" t="s">
        <v>175</v>
      </c>
      <c r="D2894" t="s">
        <v>493</v>
      </c>
      <c r="E2894" t="s">
        <v>494</v>
      </c>
      <c r="F2894">
        <v>25</v>
      </c>
      <c r="G2894" t="s">
        <v>495</v>
      </c>
      <c r="H2894">
        <v>0</v>
      </c>
      <c r="I2894">
        <v>200</v>
      </c>
      <c r="J2894" s="10">
        <v>86</v>
      </c>
      <c r="K2894" s="10">
        <f>SUMIFS(F:F,D:D,DST_123_ÜRETİM_İHTİYAÇ_RAPORU_BURAK_YENI1309[[#This Row],[ALT_KOD]])-(SUMIFS(H:H,D:D,DST_123_ÜRETİM_İHTİYAÇ_RAPORU_BURAK_YENI1309[[#This Row],[ALT_KOD]])+AVERAGEIFS(I:I,D:D,DST_123_ÜRETİM_İHTİYAÇ_RAPORU_BURAK_YENI1309[[#This Row],[ALT_KOD]])+AVERAGEIFS(L:L,D:D,DST_123_ÜRETİM_İHTİYAÇ_RAPORU_BURAK_YENI1309[[#This Row],[ALT_KOD]]))</f>
        <v>220</v>
      </c>
      <c r="L2894">
        <v>0</v>
      </c>
      <c r="M2894">
        <f>IF((DST_123_ÜRETİM_İHTİYAÇ_RAPORU_BURAK_YENI1309[[#This Row],[SATINALMA]]*DST_123_ÜRETİM_İHTİYAÇ_RAPORU_BURAK_YENI1309[[#This Row],[BIRIM_FIYATLAR]])&lt;1,VALUE("0"),DST_123_ÜRETİM_İHTİYAÇ_RAPORU_BURAK_YENI1309[[#This Row],[SATINALMA]]*DST_123_ÜRETİM_İHTİYAÇ_RAPORU_BURAK_YENI1309[[#This Row],[BIRIM_FIYATLAR]])</f>
        <v>23100</v>
      </c>
      <c r="N2894">
        <v>105</v>
      </c>
      <c r="O2894" t="s">
        <v>296</v>
      </c>
      <c r="P2894">
        <v>2625</v>
      </c>
      <c r="Q2894" t="s">
        <v>184</v>
      </c>
    </row>
    <row r="2895" spans="1:17" x14ac:dyDescent="0.25">
      <c r="A2895" t="s">
        <v>1143</v>
      </c>
      <c r="B2895" t="s">
        <v>1056</v>
      </c>
      <c r="C2895" t="s">
        <v>175</v>
      </c>
      <c r="D2895" t="s">
        <v>493</v>
      </c>
      <c r="E2895" t="s">
        <v>494</v>
      </c>
      <c r="F2895">
        <v>25</v>
      </c>
      <c r="G2895" t="s">
        <v>495</v>
      </c>
      <c r="H2895">
        <v>0</v>
      </c>
      <c r="I2895">
        <v>200</v>
      </c>
      <c r="J2895" s="10">
        <v>86</v>
      </c>
      <c r="K2895" s="10">
        <f>SUMIFS(F:F,D:D,DST_123_ÜRETİM_İHTİYAÇ_RAPORU_BURAK_YENI1309[[#This Row],[ALT_KOD]])-(SUMIFS(H:H,D:D,DST_123_ÜRETİM_İHTİYAÇ_RAPORU_BURAK_YENI1309[[#This Row],[ALT_KOD]])+AVERAGEIFS(I:I,D:D,DST_123_ÜRETİM_İHTİYAÇ_RAPORU_BURAK_YENI1309[[#This Row],[ALT_KOD]])+AVERAGEIFS(L:L,D:D,DST_123_ÜRETİM_İHTİYAÇ_RAPORU_BURAK_YENI1309[[#This Row],[ALT_KOD]]))</f>
        <v>220</v>
      </c>
      <c r="L2895">
        <v>0</v>
      </c>
      <c r="M2895">
        <f>IF((DST_123_ÜRETİM_İHTİYAÇ_RAPORU_BURAK_YENI1309[[#This Row],[SATINALMA]]*DST_123_ÜRETİM_İHTİYAÇ_RAPORU_BURAK_YENI1309[[#This Row],[BIRIM_FIYATLAR]])&lt;1,VALUE("0"),DST_123_ÜRETİM_İHTİYAÇ_RAPORU_BURAK_YENI1309[[#This Row],[SATINALMA]]*DST_123_ÜRETİM_İHTİYAÇ_RAPORU_BURAK_YENI1309[[#This Row],[BIRIM_FIYATLAR]])</f>
        <v>23100</v>
      </c>
      <c r="N2895">
        <v>105</v>
      </c>
      <c r="O2895" t="s">
        <v>296</v>
      </c>
      <c r="P2895">
        <v>2625</v>
      </c>
      <c r="Q2895" t="s">
        <v>184</v>
      </c>
    </row>
    <row r="2896" spans="1:17" x14ac:dyDescent="0.25">
      <c r="A2896" t="s">
        <v>1095</v>
      </c>
      <c r="B2896" t="s">
        <v>1096</v>
      </c>
      <c r="C2896" t="s">
        <v>175</v>
      </c>
      <c r="D2896" t="s">
        <v>441</v>
      </c>
      <c r="E2896" t="s">
        <v>442</v>
      </c>
      <c r="F2896">
        <v>1</v>
      </c>
      <c r="G2896" t="s">
        <v>176</v>
      </c>
      <c r="H2896">
        <v>0</v>
      </c>
      <c r="I2896">
        <v>23</v>
      </c>
      <c r="J2896" s="10">
        <v>5</v>
      </c>
      <c r="K2896" s="10">
        <f>SUMIFS(F:F,D:D,DST_123_ÜRETİM_İHTİYAÇ_RAPORU_BURAK_YENI1309[[#This Row],[ALT_KOD]])-(SUMIFS(H:H,D:D,DST_123_ÜRETİM_İHTİYAÇ_RAPORU_BURAK_YENI1309[[#This Row],[ALT_KOD]])+AVERAGEIFS(I:I,D:D,DST_123_ÜRETİM_İHTİYAÇ_RAPORU_BURAK_YENI1309[[#This Row],[ALT_KOD]])+AVERAGEIFS(L:L,D:D,DST_123_ÜRETİM_İHTİYAÇ_RAPORU_BURAK_YENI1309[[#This Row],[ALT_KOD]]))</f>
        <v>-11</v>
      </c>
      <c r="L2896">
        <v>0</v>
      </c>
      <c r="M2896">
        <f>IF((DST_123_ÜRETİM_İHTİYAÇ_RAPORU_BURAK_YENI1309[[#This Row],[SATINALMA]]*DST_123_ÜRETİM_İHTİYAÇ_RAPORU_BURAK_YENI1309[[#This Row],[BIRIM_FIYATLAR]])&lt;1,VALUE("0"),DST_123_ÜRETİM_İHTİYAÇ_RAPORU_BURAK_YENI1309[[#This Row],[SATINALMA]]*DST_123_ÜRETİM_İHTİYAÇ_RAPORU_BURAK_YENI1309[[#This Row],[BIRIM_FIYATLAR]])</f>
        <v>0</v>
      </c>
      <c r="N2896">
        <v>360.19</v>
      </c>
      <c r="O2896" t="s">
        <v>636</v>
      </c>
      <c r="P2896">
        <v>360.19</v>
      </c>
      <c r="Q2896" t="s">
        <v>178</v>
      </c>
    </row>
    <row r="2897" spans="1:17" x14ac:dyDescent="0.25">
      <c r="A2897" t="s">
        <v>1097</v>
      </c>
      <c r="B2897" t="s">
        <v>1055</v>
      </c>
      <c r="C2897" t="s">
        <v>175</v>
      </c>
      <c r="D2897" t="s">
        <v>441</v>
      </c>
      <c r="E2897" t="s">
        <v>442</v>
      </c>
      <c r="F2897">
        <v>1</v>
      </c>
      <c r="G2897" t="s">
        <v>176</v>
      </c>
      <c r="H2897">
        <v>1</v>
      </c>
      <c r="I2897">
        <v>23</v>
      </c>
      <c r="J2897" s="10">
        <v>5</v>
      </c>
      <c r="K2897" s="10">
        <f>SUMIFS(F:F,D:D,DST_123_ÜRETİM_İHTİYAÇ_RAPORU_BURAK_YENI1309[[#This Row],[ALT_KOD]])-(SUMIFS(H:H,D:D,DST_123_ÜRETİM_İHTİYAÇ_RAPORU_BURAK_YENI1309[[#This Row],[ALT_KOD]])+AVERAGEIFS(I:I,D:D,DST_123_ÜRETİM_İHTİYAÇ_RAPORU_BURAK_YENI1309[[#This Row],[ALT_KOD]])+AVERAGEIFS(L:L,D:D,DST_123_ÜRETİM_İHTİYAÇ_RAPORU_BURAK_YENI1309[[#This Row],[ALT_KOD]]))</f>
        <v>-11</v>
      </c>
      <c r="L2897">
        <v>0</v>
      </c>
      <c r="M2897">
        <f>IF((DST_123_ÜRETİM_İHTİYAÇ_RAPORU_BURAK_YENI1309[[#This Row],[SATINALMA]]*DST_123_ÜRETİM_İHTİYAÇ_RAPORU_BURAK_YENI1309[[#This Row],[BIRIM_FIYATLAR]])&lt;1,VALUE("0"),DST_123_ÜRETİM_İHTİYAÇ_RAPORU_BURAK_YENI1309[[#This Row],[SATINALMA]]*DST_123_ÜRETİM_İHTİYAÇ_RAPORU_BURAK_YENI1309[[#This Row],[BIRIM_FIYATLAR]])</f>
        <v>0</v>
      </c>
      <c r="N2897">
        <v>360.19</v>
      </c>
      <c r="O2897" t="s">
        <v>636</v>
      </c>
      <c r="P2897">
        <v>360.19</v>
      </c>
      <c r="Q2897" t="s">
        <v>178</v>
      </c>
    </row>
    <row r="2898" spans="1:17" x14ac:dyDescent="0.25">
      <c r="A2898" t="s">
        <v>1097</v>
      </c>
      <c r="B2898" t="s">
        <v>1055</v>
      </c>
      <c r="C2898" t="s">
        <v>175</v>
      </c>
      <c r="D2898" t="s">
        <v>361</v>
      </c>
      <c r="E2898" t="s">
        <v>362</v>
      </c>
      <c r="F2898">
        <v>10</v>
      </c>
      <c r="G2898" t="s">
        <v>179</v>
      </c>
      <c r="H2898">
        <v>0</v>
      </c>
      <c r="I2898">
        <v>100</v>
      </c>
      <c r="J2898" s="10">
        <v>139.99999999999989</v>
      </c>
      <c r="K2898" s="10">
        <f>SUMIFS(F:F,D:D,DST_123_ÜRETİM_İHTİYAÇ_RAPORU_BURAK_YENI1309[[#This Row],[ALT_KOD]])-(SUMIFS(H:H,D:D,DST_123_ÜRETİM_İHTİYAÇ_RAPORU_BURAK_YENI1309[[#This Row],[ALT_KOD]])+AVERAGEIFS(I:I,D:D,DST_123_ÜRETİM_İHTİYAÇ_RAPORU_BURAK_YENI1309[[#This Row],[ALT_KOD]])+AVERAGEIFS(L:L,D:D,DST_123_ÜRETİM_İHTİYAÇ_RAPORU_BURAK_YENI1309[[#This Row],[ALT_KOD]]))</f>
        <v>41.300000000000011</v>
      </c>
      <c r="L2898">
        <v>0</v>
      </c>
      <c r="M2898">
        <f>IF((DST_123_ÜRETİM_İHTİYAÇ_RAPORU_BURAK_YENI1309[[#This Row],[SATINALMA]]*DST_123_ÜRETİM_İHTİYAÇ_RAPORU_BURAK_YENI1309[[#This Row],[BIRIM_FIYATLAR]])&lt;1,VALUE("0"),DST_123_ÜRETİM_İHTİYAÇ_RAPORU_BURAK_YENI1309[[#This Row],[SATINALMA]]*DST_123_ÜRETİM_İHTİYAÇ_RAPORU_BURAK_YENI1309[[#This Row],[BIRIM_FIYATLAR]])</f>
        <v>929.25000000000023</v>
      </c>
      <c r="N2898">
        <v>22.5</v>
      </c>
      <c r="O2898" t="s">
        <v>314</v>
      </c>
      <c r="P2898">
        <v>225</v>
      </c>
      <c r="Q2898" t="s">
        <v>178</v>
      </c>
    </row>
    <row r="2899" spans="1:17" x14ac:dyDescent="0.25">
      <c r="A2899" t="s">
        <v>1059</v>
      </c>
      <c r="B2899" t="s">
        <v>1058</v>
      </c>
      <c r="C2899" t="s">
        <v>175</v>
      </c>
      <c r="D2899" t="s">
        <v>1000</v>
      </c>
      <c r="E2899" t="s">
        <v>1001</v>
      </c>
      <c r="F2899">
        <v>1</v>
      </c>
      <c r="G2899" t="s">
        <v>176</v>
      </c>
      <c r="H2899">
        <v>0</v>
      </c>
      <c r="I2899">
        <v>30</v>
      </c>
      <c r="J2899" s="10">
        <v>5.7000000000000028</v>
      </c>
      <c r="K2899" s="10">
        <f>SUMIFS(F:F,D:D,DST_123_ÜRETİM_İHTİYAÇ_RAPORU_BURAK_YENI1309[[#This Row],[ALT_KOD]])-(SUMIFS(H:H,D:D,DST_123_ÜRETİM_İHTİYAÇ_RAPORU_BURAK_YENI1309[[#This Row],[ALT_KOD]])+AVERAGEIFS(I:I,D:D,DST_123_ÜRETİM_İHTİYAÇ_RAPORU_BURAK_YENI1309[[#This Row],[ALT_KOD]])+AVERAGEIFS(L:L,D:D,DST_123_ÜRETİM_İHTİYAÇ_RAPORU_BURAK_YENI1309[[#This Row],[ALT_KOD]]))</f>
        <v>-28</v>
      </c>
      <c r="L2899">
        <v>0</v>
      </c>
      <c r="M2899">
        <f>IF((DST_123_ÜRETİM_İHTİYAÇ_RAPORU_BURAK_YENI1309[[#This Row],[SATINALMA]]*DST_123_ÜRETİM_İHTİYAÇ_RAPORU_BURAK_YENI1309[[#This Row],[BIRIM_FIYATLAR]])&lt;1,VALUE("0"),DST_123_ÜRETİM_İHTİYAÇ_RAPORU_BURAK_YENI1309[[#This Row],[SATINALMA]]*DST_123_ÜRETİM_İHTİYAÇ_RAPORU_BURAK_YENI1309[[#This Row],[BIRIM_FIYATLAR]])</f>
        <v>0</v>
      </c>
      <c r="N2899">
        <v>199.37</v>
      </c>
      <c r="O2899" t="s">
        <v>254</v>
      </c>
      <c r="P2899">
        <v>199.37</v>
      </c>
      <c r="Q2899" t="s">
        <v>180</v>
      </c>
    </row>
    <row r="2900" spans="1:17" x14ac:dyDescent="0.25">
      <c r="A2900" t="s">
        <v>1095</v>
      </c>
      <c r="B2900" t="s">
        <v>1096</v>
      </c>
      <c r="C2900" t="s">
        <v>175</v>
      </c>
      <c r="D2900" t="s">
        <v>255</v>
      </c>
      <c r="E2900" t="s">
        <v>309</v>
      </c>
      <c r="F2900">
        <v>2</v>
      </c>
      <c r="G2900" t="s">
        <v>176</v>
      </c>
      <c r="H2900">
        <v>0</v>
      </c>
      <c r="I2900">
        <v>38</v>
      </c>
      <c r="J2900" s="10">
        <v>20</v>
      </c>
      <c r="K2900" s="10">
        <f>SUMIFS(F:F,D:D,DST_123_ÜRETİM_İHTİYAÇ_RAPORU_BURAK_YENI1309[[#This Row],[ALT_KOD]])-(SUMIFS(H:H,D:D,DST_123_ÜRETİM_İHTİYAÇ_RAPORU_BURAK_YENI1309[[#This Row],[ALT_KOD]])+AVERAGEIFS(I:I,D:D,DST_123_ÜRETİM_İHTİYAÇ_RAPORU_BURAK_YENI1309[[#This Row],[ALT_KOD]])+AVERAGEIFS(L:L,D:D,DST_123_ÜRETİM_İHTİYAÇ_RAPORU_BURAK_YENI1309[[#This Row],[ALT_KOD]]))</f>
        <v>-14</v>
      </c>
      <c r="L2900">
        <v>0</v>
      </c>
      <c r="M2900">
        <f>IF((DST_123_ÜRETİM_İHTİYAÇ_RAPORU_BURAK_YENI1309[[#This Row],[SATINALMA]]*DST_123_ÜRETİM_İHTİYAÇ_RAPORU_BURAK_YENI1309[[#This Row],[BIRIM_FIYATLAR]])&lt;1,VALUE("0"),DST_123_ÜRETİM_İHTİYAÇ_RAPORU_BURAK_YENI1309[[#This Row],[SATINALMA]]*DST_123_ÜRETİM_İHTİYAÇ_RAPORU_BURAK_YENI1309[[#This Row],[BIRIM_FIYATLAR]])</f>
        <v>0</v>
      </c>
      <c r="N2900">
        <v>55</v>
      </c>
      <c r="O2900" t="s">
        <v>826</v>
      </c>
      <c r="P2900">
        <v>110</v>
      </c>
      <c r="Q2900" t="s">
        <v>221</v>
      </c>
    </row>
    <row r="2901" spans="1:17" x14ac:dyDescent="0.25">
      <c r="A2901" t="s">
        <v>1147</v>
      </c>
      <c r="B2901" t="s">
        <v>1145</v>
      </c>
      <c r="C2901" t="s">
        <v>175</v>
      </c>
      <c r="D2901" t="s">
        <v>255</v>
      </c>
      <c r="E2901" t="s">
        <v>309</v>
      </c>
      <c r="F2901">
        <v>2</v>
      </c>
      <c r="G2901" t="s">
        <v>176</v>
      </c>
      <c r="H2901">
        <v>0</v>
      </c>
      <c r="I2901">
        <v>38</v>
      </c>
      <c r="J2901" s="10">
        <v>20</v>
      </c>
      <c r="K2901" s="10">
        <f>SUMIFS(F:F,D:D,DST_123_ÜRETİM_İHTİYAÇ_RAPORU_BURAK_YENI1309[[#This Row],[ALT_KOD]])-(SUMIFS(H:H,D:D,DST_123_ÜRETİM_İHTİYAÇ_RAPORU_BURAK_YENI1309[[#This Row],[ALT_KOD]])+AVERAGEIFS(I:I,D:D,DST_123_ÜRETİM_İHTİYAÇ_RAPORU_BURAK_YENI1309[[#This Row],[ALT_KOD]])+AVERAGEIFS(L:L,D:D,DST_123_ÜRETİM_İHTİYAÇ_RAPORU_BURAK_YENI1309[[#This Row],[ALT_KOD]]))</f>
        <v>-14</v>
      </c>
      <c r="L2901">
        <v>0</v>
      </c>
      <c r="M2901">
        <f>IF((DST_123_ÜRETİM_İHTİYAÇ_RAPORU_BURAK_YENI1309[[#This Row],[SATINALMA]]*DST_123_ÜRETİM_İHTİYAÇ_RAPORU_BURAK_YENI1309[[#This Row],[BIRIM_FIYATLAR]])&lt;1,VALUE("0"),DST_123_ÜRETİM_İHTİYAÇ_RAPORU_BURAK_YENI1309[[#This Row],[SATINALMA]]*DST_123_ÜRETİM_İHTİYAÇ_RAPORU_BURAK_YENI1309[[#This Row],[BIRIM_FIYATLAR]])</f>
        <v>0</v>
      </c>
      <c r="N2901">
        <v>55</v>
      </c>
      <c r="O2901" t="s">
        <v>826</v>
      </c>
      <c r="P2901">
        <v>110</v>
      </c>
      <c r="Q2901" t="s">
        <v>221</v>
      </c>
    </row>
    <row r="2902" spans="1:17" x14ac:dyDescent="0.25">
      <c r="A2902" t="s">
        <v>1101</v>
      </c>
      <c r="B2902" t="s">
        <v>1102</v>
      </c>
      <c r="C2902" t="s">
        <v>175</v>
      </c>
      <c r="D2902" t="s">
        <v>927</v>
      </c>
      <c r="E2902" t="s">
        <v>928</v>
      </c>
      <c r="F2902">
        <v>1</v>
      </c>
      <c r="G2902" t="s">
        <v>176</v>
      </c>
      <c r="H2902">
        <v>0</v>
      </c>
      <c r="I2902">
        <v>0</v>
      </c>
      <c r="J2902" s="10">
        <v>246</v>
      </c>
      <c r="K2902" s="10">
        <f>SUMIFS(F:F,D:D,DST_123_ÜRETİM_İHTİYAÇ_RAPORU_BURAK_YENI1309[[#This Row],[ALT_KOD]])-(SUMIFS(H:H,D:D,DST_123_ÜRETİM_İHTİYAÇ_RAPORU_BURAK_YENI1309[[#This Row],[ALT_KOD]])+AVERAGEIFS(I:I,D:D,DST_123_ÜRETİM_İHTİYAÇ_RAPORU_BURAK_YENI1309[[#This Row],[ALT_KOD]])+AVERAGEIFS(L:L,D:D,DST_123_ÜRETİM_İHTİYAÇ_RAPORU_BURAK_YENI1309[[#This Row],[ALT_KOD]]))</f>
        <v>6</v>
      </c>
      <c r="L2902">
        <v>0</v>
      </c>
      <c r="M2902">
        <f>IF((DST_123_ÜRETİM_İHTİYAÇ_RAPORU_BURAK_YENI1309[[#This Row],[SATINALMA]]*DST_123_ÜRETİM_İHTİYAÇ_RAPORU_BURAK_YENI1309[[#This Row],[BIRIM_FIYATLAR]])&lt;1,VALUE("0"),DST_123_ÜRETİM_İHTİYAÇ_RAPORU_BURAK_YENI1309[[#This Row],[SATINALMA]]*DST_123_ÜRETİM_İHTİYAÇ_RAPORU_BURAK_YENI1309[[#This Row],[BIRIM_FIYATLAR]])</f>
        <v>32.519999999999996</v>
      </c>
      <c r="N2902">
        <v>5.42</v>
      </c>
      <c r="O2902" t="s">
        <v>628</v>
      </c>
      <c r="P2902">
        <v>5.42</v>
      </c>
      <c r="Q2902" t="s">
        <v>180</v>
      </c>
    </row>
    <row r="2903" spans="1:17" x14ac:dyDescent="0.25">
      <c r="A2903" t="s">
        <v>1143</v>
      </c>
      <c r="B2903" t="s">
        <v>1056</v>
      </c>
      <c r="C2903" t="s">
        <v>175</v>
      </c>
      <c r="D2903" t="s">
        <v>382</v>
      </c>
      <c r="E2903" t="s">
        <v>383</v>
      </c>
      <c r="F2903">
        <v>1</v>
      </c>
      <c r="G2903" t="s">
        <v>176</v>
      </c>
      <c r="H2903">
        <v>0</v>
      </c>
      <c r="I2903">
        <v>32</v>
      </c>
      <c r="J2903" s="10">
        <v>22</v>
      </c>
      <c r="K2903" s="10">
        <f>SUMIFS(F:F,D:D,DST_123_ÜRETİM_İHTİYAÇ_RAPORU_BURAK_YENI1309[[#This Row],[ALT_KOD]])-(SUMIFS(H:H,D:D,DST_123_ÜRETİM_İHTİYAÇ_RAPORU_BURAK_YENI1309[[#This Row],[ALT_KOD]])+AVERAGEIFS(I:I,D:D,DST_123_ÜRETİM_İHTİYAÇ_RAPORU_BURAK_YENI1309[[#This Row],[ALT_KOD]])+AVERAGEIFS(L:L,D:D,DST_123_ÜRETİM_İHTİYAÇ_RAPORU_BURAK_YENI1309[[#This Row],[ALT_KOD]]))</f>
        <v>-13</v>
      </c>
      <c r="L2903">
        <v>0</v>
      </c>
      <c r="M2903">
        <f>IF((DST_123_ÜRETİM_İHTİYAÇ_RAPORU_BURAK_YENI1309[[#This Row],[SATINALMA]]*DST_123_ÜRETİM_İHTİYAÇ_RAPORU_BURAK_YENI1309[[#This Row],[BIRIM_FIYATLAR]])&lt;1,VALUE("0"),DST_123_ÜRETİM_İHTİYAÇ_RAPORU_BURAK_YENI1309[[#This Row],[SATINALMA]]*DST_123_ÜRETİM_İHTİYAÇ_RAPORU_BURAK_YENI1309[[#This Row],[BIRIM_FIYATLAR]])</f>
        <v>0</v>
      </c>
      <c r="N2903">
        <v>34</v>
      </c>
      <c r="O2903" t="s">
        <v>240</v>
      </c>
      <c r="P2903">
        <v>34</v>
      </c>
      <c r="Q2903" t="s">
        <v>178</v>
      </c>
    </row>
    <row r="2904" spans="1:17" x14ac:dyDescent="0.25">
      <c r="A2904" t="s">
        <v>1143</v>
      </c>
      <c r="B2904" t="s">
        <v>1056</v>
      </c>
      <c r="C2904" t="s">
        <v>175</v>
      </c>
      <c r="D2904" t="s">
        <v>927</v>
      </c>
      <c r="E2904" t="s">
        <v>928</v>
      </c>
      <c r="F2904">
        <v>1</v>
      </c>
      <c r="G2904" t="s">
        <v>176</v>
      </c>
      <c r="H2904">
        <v>0</v>
      </c>
      <c r="I2904">
        <v>0</v>
      </c>
      <c r="J2904" s="10">
        <v>246</v>
      </c>
      <c r="K2904" s="10">
        <f>SUMIFS(F:F,D:D,DST_123_ÜRETİM_İHTİYAÇ_RAPORU_BURAK_YENI1309[[#This Row],[ALT_KOD]])-(SUMIFS(H:H,D:D,DST_123_ÜRETİM_İHTİYAÇ_RAPORU_BURAK_YENI1309[[#This Row],[ALT_KOD]])+AVERAGEIFS(I:I,D:D,DST_123_ÜRETİM_İHTİYAÇ_RAPORU_BURAK_YENI1309[[#This Row],[ALT_KOD]])+AVERAGEIFS(L:L,D:D,DST_123_ÜRETİM_İHTİYAÇ_RAPORU_BURAK_YENI1309[[#This Row],[ALT_KOD]]))</f>
        <v>6</v>
      </c>
      <c r="L2904">
        <v>0</v>
      </c>
      <c r="M2904">
        <f>IF((DST_123_ÜRETİM_İHTİYAÇ_RAPORU_BURAK_YENI1309[[#This Row],[SATINALMA]]*DST_123_ÜRETİM_İHTİYAÇ_RAPORU_BURAK_YENI1309[[#This Row],[BIRIM_FIYATLAR]])&lt;1,VALUE("0"),DST_123_ÜRETİM_İHTİYAÇ_RAPORU_BURAK_YENI1309[[#This Row],[SATINALMA]]*DST_123_ÜRETİM_İHTİYAÇ_RAPORU_BURAK_YENI1309[[#This Row],[BIRIM_FIYATLAR]])</f>
        <v>32.519999999999996</v>
      </c>
      <c r="N2904">
        <v>5.42</v>
      </c>
      <c r="O2904" t="s">
        <v>628</v>
      </c>
      <c r="P2904">
        <v>5.42</v>
      </c>
      <c r="Q2904" t="s">
        <v>180</v>
      </c>
    </row>
    <row r="2905" spans="1:17" x14ac:dyDescent="0.25">
      <c r="A2905" t="s">
        <v>1142</v>
      </c>
      <c r="B2905" t="s">
        <v>1056</v>
      </c>
      <c r="C2905" t="s">
        <v>175</v>
      </c>
      <c r="D2905" t="s">
        <v>94</v>
      </c>
      <c r="E2905" t="s">
        <v>95</v>
      </c>
      <c r="F2905">
        <v>1</v>
      </c>
      <c r="G2905" t="s">
        <v>176</v>
      </c>
      <c r="H2905">
        <v>0</v>
      </c>
      <c r="I2905">
        <v>11</v>
      </c>
      <c r="J2905" s="10">
        <v>8</v>
      </c>
      <c r="K2905" s="10">
        <f>SUMIFS(F:F,D:D,DST_123_ÜRETİM_İHTİYAÇ_RAPORU_BURAK_YENI1309[[#This Row],[ALT_KOD]])-(SUMIFS(H:H,D:D,DST_123_ÜRETİM_İHTİYAÇ_RAPORU_BURAK_YENI1309[[#This Row],[ALT_KOD]])+AVERAGEIFS(I:I,D:D,DST_123_ÜRETİM_İHTİYAÇ_RAPORU_BURAK_YENI1309[[#This Row],[ALT_KOD]])+AVERAGEIFS(L:L,D:D,DST_123_ÜRETİM_İHTİYAÇ_RAPORU_BURAK_YENI1309[[#This Row],[ALT_KOD]]))</f>
        <v>0</v>
      </c>
      <c r="L2905">
        <v>0</v>
      </c>
      <c r="M2905">
        <f>IF((DST_123_ÜRETİM_İHTİYAÇ_RAPORU_BURAK_YENI1309[[#This Row],[SATINALMA]]*DST_123_ÜRETİM_İHTİYAÇ_RAPORU_BURAK_YENI1309[[#This Row],[BIRIM_FIYATLAR]])&lt;1,VALUE("0"),DST_123_ÜRETİM_İHTİYAÇ_RAPORU_BURAK_YENI1309[[#This Row],[SATINALMA]]*DST_123_ÜRETİM_İHTİYAÇ_RAPORU_BURAK_YENI1309[[#This Row],[BIRIM_FIYATLAR]])</f>
        <v>0</v>
      </c>
      <c r="N2905">
        <v>1145.83</v>
      </c>
      <c r="O2905" t="s">
        <v>247</v>
      </c>
      <c r="P2905">
        <v>1145.83</v>
      </c>
      <c r="Q2905" t="s">
        <v>177</v>
      </c>
    </row>
    <row r="2906" spans="1:17" x14ac:dyDescent="0.25">
      <c r="A2906" t="s">
        <v>1142</v>
      </c>
      <c r="B2906" t="s">
        <v>1056</v>
      </c>
      <c r="C2906" t="s">
        <v>175</v>
      </c>
      <c r="D2906" t="s">
        <v>361</v>
      </c>
      <c r="E2906" t="s">
        <v>362</v>
      </c>
      <c r="F2906">
        <v>7.5</v>
      </c>
      <c r="G2906" t="s">
        <v>179</v>
      </c>
      <c r="H2906">
        <v>0</v>
      </c>
      <c r="I2906">
        <v>100</v>
      </c>
      <c r="J2906" s="10">
        <v>139.99999999999989</v>
      </c>
      <c r="K2906" s="10">
        <f>SUMIFS(F:F,D:D,DST_123_ÜRETİM_İHTİYAÇ_RAPORU_BURAK_YENI1309[[#This Row],[ALT_KOD]])-(SUMIFS(H:H,D:D,DST_123_ÜRETİM_İHTİYAÇ_RAPORU_BURAK_YENI1309[[#This Row],[ALT_KOD]])+AVERAGEIFS(I:I,D:D,DST_123_ÜRETİM_İHTİYAÇ_RAPORU_BURAK_YENI1309[[#This Row],[ALT_KOD]])+AVERAGEIFS(L:L,D:D,DST_123_ÜRETİM_İHTİYAÇ_RAPORU_BURAK_YENI1309[[#This Row],[ALT_KOD]]))</f>
        <v>41.300000000000011</v>
      </c>
      <c r="L2906">
        <v>0</v>
      </c>
      <c r="M2906">
        <f>IF((DST_123_ÜRETİM_İHTİYAÇ_RAPORU_BURAK_YENI1309[[#This Row],[SATINALMA]]*DST_123_ÜRETİM_İHTİYAÇ_RAPORU_BURAK_YENI1309[[#This Row],[BIRIM_FIYATLAR]])&lt;1,VALUE("0"),DST_123_ÜRETİM_İHTİYAÇ_RAPORU_BURAK_YENI1309[[#This Row],[SATINALMA]]*DST_123_ÜRETİM_İHTİYAÇ_RAPORU_BURAK_YENI1309[[#This Row],[BIRIM_FIYATLAR]])</f>
        <v>929.25000000000023</v>
      </c>
      <c r="N2906">
        <v>22.5</v>
      </c>
      <c r="O2906" t="s">
        <v>314</v>
      </c>
      <c r="P2906">
        <v>168.75</v>
      </c>
      <c r="Q2906" t="s">
        <v>178</v>
      </c>
    </row>
    <row r="2907" spans="1:17" x14ac:dyDescent="0.25">
      <c r="A2907" t="s">
        <v>1147</v>
      </c>
      <c r="B2907" t="s">
        <v>1145</v>
      </c>
      <c r="C2907" t="s">
        <v>175</v>
      </c>
      <c r="D2907" t="s">
        <v>382</v>
      </c>
      <c r="E2907" t="s">
        <v>383</v>
      </c>
      <c r="F2907">
        <v>1</v>
      </c>
      <c r="G2907" t="s">
        <v>176</v>
      </c>
      <c r="H2907">
        <v>0</v>
      </c>
      <c r="I2907">
        <v>32</v>
      </c>
      <c r="J2907" s="10">
        <v>22</v>
      </c>
      <c r="K2907" s="10">
        <f>SUMIFS(F:F,D:D,DST_123_ÜRETİM_İHTİYAÇ_RAPORU_BURAK_YENI1309[[#This Row],[ALT_KOD]])-(SUMIFS(H:H,D:D,DST_123_ÜRETİM_İHTİYAÇ_RAPORU_BURAK_YENI1309[[#This Row],[ALT_KOD]])+AVERAGEIFS(I:I,D:D,DST_123_ÜRETİM_İHTİYAÇ_RAPORU_BURAK_YENI1309[[#This Row],[ALT_KOD]])+AVERAGEIFS(L:L,D:D,DST_123_ÜRETİM_İHTİYAÇ_RAPORU_BURAK_YENI1309[[#This Row],[ALT_KOD]]))</f>
        <v>-13</v>
      </c>
      <c r="L2907">
        <v>0</v>
      </c>
      <c r="M2907">
        <f>IF((DST_123_ÜRETİM_İHTİYAÇ_RAPORU_BURAK_YENI1309[[#This Row],[SATINALMA]]*DST_123_ÜRETİM_İHTİYAÇ_RAPORU_BURAK_YENI1309[[#This Row],[BIRIM_FIYATLAR]])&lt;1,VALUE("0"),DST_123_ÜRETİM_İHTİYAÇ_RAPORU_BURAK_YENI1309[[#This Row],[SATINALMA]]*DST_123_ÜRETİM_İHTİYAÇ_RAPORU_BURAK_YENI1309[[#This Row],[BIRIM_FIYATLAR]])</f>
        <v>0</v>
      </c>
      <c r="N2907">
        <v>34</v>
      </c>
      <c r="O2907" t="s">
        <v>240</v>
      </c>
      <c r="P2907">
        <v>34</v>
      </c>
      <c r="Q2907" t="s">
        <v>178</v>
      </c>
    </row>
    <row r="2908" spans="1:17" x14ac:dyDescent="0.25">
      <c r="A2908" t="s">
        <v>1060</v>
      </c>
      <c r="B2908" t="s">
        <v>1061</v>
      </c>
      <c r="C2908" t="s">
        <v>175</v>
      </c>
      <c r="D2908" t="s">
        <v>13</v>
      </c>
      <c r="E2908" t="s">
        <v>14</v>
      </c>
      <c r="F2908">
        <v>1</v>
      </c>
      <c r="G2908" t="s">
        <v>179</v>
      </c>
      <c r="H2908">
        <v>0</v>
      </c>
      <c r="I2908">
        <v>100</v>
      </c>
      <c r="J2908" s="10">
        <v>1.1368683772161603E-13</v>
      </c>
      <c r="K2908" s="10">
        <f>SUMIFS(F:F,D:D,DST_123_ÜRETİM_İHTİYAÇ_RAPORU_BURAK_YENI1309[[#This Row],[ALT_KOD]])-(SUMIFS(H:H,D:D,DST_123_ÜRETİM_İHTİYAÇ_RAPORU_BURAK_YENI1309[[#This Row],[ALT_KOD]])+AVERAGEIFS(I:I,D:D,DST_123_ÜRETİM_İHTİYAÇ_RAPORU_BURAK_YENI1309[[#This Row],[ALT_KOD]])+AVERAGEIFS(L:L,D:D,DST_123_ÜRETİM_İHTİYAÇ_RAPORU_BURAK_YENI1309[[#This Row],[ALT_KOD]]))</f>
        <v>-97</v>
      </c>
      <c r="L2908">
        <v>0</v>
      </c>
      <c r="M2908">
        <f>IF((DST_123_ÜRETİM_İHTİYAÇ_RAPORU_BURAK_YENI1309[[#This Row],[SATINALMA]]*DST_123_ÜRETİM_İHTİYAÇ_RAPORU_BURAK_YENI1309[[#This Row],[BIRIM_FIYATLAR]])&lt;1,VALUE("0"),DST_123_ÜRETİM_İHTİYAÇ_RAPORU_BURAK_YENI1309[[#This Row],[SATINALMA]]*DST_123_ÜRETİM_İHTİYAÇ_RAPORU_BURAK_YENI1309[[#This Row],[BIRIM_FIYATLAR]])</f>
        <v>0</v>
      </c>
      <c r="N2908">
        <v>24</v>
      </c>
      <c r="O2908" t="s">
        <v>635</v>
      </c>
      <c r="P2908">
        <v>24</v>
      </c>
      <c r="Q2908" t="s">
        <v>221</v>
      </c>
    </row>
    <row r="2909" spans="1:17" x14ac:dyDescent="0.25">
      <c r="A2909" t="s">
        <v>1101</v>
      </c>
      <c r="B2909" t="s">
        <v>1102</v>
      </c>
      <c r="C2909" t="s">
        <v>175</v>
      </c>
      <c r="D2909" t="s">
        <v>466</v>
      </c>
      <c r="E2909" t="s">
        <v>467</v>
      </c>
      <c r="F2909">
        <v>95</v>
      </c>
      <c r="G2909" t="s">
        <v>176</v>
      </c>
      <c r="H2909">
        <v>0</v>
      </c>
      <c r="I2909">
        <v>7500</v>
      </c>
      <c r="J2909" s="10">
        <v>0</v>
      </c>
      <c r="K2909" s="10">
        <f>SUMIFS(F:F,D:D,DST_123_ÜRETİM_İHTİYAÇ_RAPORU_BURAK_YENI1309[[#This Row],[ALT_KOD]])-(SUMIFS(H:H,D:D,DST_123_ÜRETİM_İHTİYAÇ_RAPORU_BURAK_YENI1309[[#This Row],[ALT_KOD]])+AVERAGEIFS(I:I,D:D,DST_123_ÜRETİM_İHTİYAÇ_RAPORU_BURAK_YENI1309[[#This Row],[ALT_KOD]])+AVERAGEIFS(L:L,D:D,DST_123_ÜRETİM_İHTİYAÇ_RAPORU_BURAK_YENI1309[[#This Row],[ALT_KOD]]))</f>
        <v>-5570</v>
      </c>
      <c r="L2909">
        <v>0</v>
      </c>
      <c r="M2909">
        <f>IF((DST_123_ÜRETİM_İHTİYAÇ_RAPORU_BURAK_YENI1309[[#This Row],[SATINALMA]]*DST_123_ÜRETİM_İHTİYAÇ_RAPORU_BURAK_YENI1309[[#This Row],[BIRIM_FIYATLAR]])&lt;1,VALUE("0"),DST_123_ÜRETİM_İHTİYAÇ_RAPORU_BURAK_YENI1309[[#This Row],[SATINALMA]]*DST_123_ÜRETİM_İHTİYAÇ_RAPORU_BURAK_YENI1309[[#This Row],[BIRIM_FIYATLAR]])</f>
        <v>0</v>
      </c>
      <c r="N2909">
        <v>0.8</v>
      </c>
      <c r="O2909" t="s">
        <v>826</v>
      </c>
      <c r="P2909">
        <v>76</v>
      </c>
      <c r="Q2909" t="s">
        <v>180</v>
      </c>
    </row>
    <row r="2910" spans="1:17" x14ac:dyDescent="0.25">
      <c r="A2910" t="s">
        <v>1057</v>
      </c>
      <c r="B2910" t="s">
        <v>1058</v>
      </c>
      <c r="C2910" t="s">
        <v>175</v>
      </c>
      <c r="D2910" t="s">
        <v>466</v>
      </c>
      <c r="E2910" t="s">
        <v>467</v>
      </c>
      <c r="F2910">
        <v>110</v>
      </c>
      <c r="G2910" t="s">
        <v>176</v>
      </c>
      <c r="H2910">
        <v>0</v>
      </c>
      <c r="I2910">
        <v>7500</v>
      </c>
      <c r="J2910" s="10">
        <v>0</v>
      </c>
      <c r="K2910" s="10">
        <f>SUMIFS(F:F,D:D,DST_123_ÜRETİM_İHTİYAÇ_RAPORU_BURAK_YENI1309[[#This Row],[ALT_KOD]])-(SUMIFS(H:H,D:D,DST_123_ÜRETİM_İHTİYAÇ_RAPORU_BURAK_YENI1309[[#This Row],[ALT_KOD]])+AVERAGEIFS(I:I,D:D,DST_123_ÜRETİM_İHTİYAÇ_RAPORU_BURAK_YENI1309[[#This Row],[ALT_KOD]])+AVERAGEIFS(L:L,D:D,DST_123_ÜRETİM_İHTİYAÇ_RAPORU_BURAK_YENI1309[[#This Row],[ALT_KOD]]))</f>
        <v>-5570</v>
      </c>
      <c r="L2910">
        <v>0</v>
      </c>
      <c r="M2910">
        <f>IF((DST_123_ÜRETİM_İHTİYAÇ_RAPORU_BURAK_YENI1309[[#This Row],[SATINALMA]]*DST_123_ÜRETİM_İHTİYAÇ_RAPORU_BURAK_YENI1309[[#This Row],[BIRIM_FIYATLAR]])&lt;1,VALUE("0"),DST_123_ÜRETİM_İHTİYAÇ_RAPORU_BURAK_YENI1309[[#This Row],[SATINALMA]]*DST_123_ÜRETİM_İHTİYAÇ_RAPORU_BURAK_YENI1309[[#This Row],[BIRIM_FIYATLAR]])</f>
        <v>0</v>
      </c>
      <c r="N2910">
        <v>0.8</v>
      </c>
      <c r="O2910" t="s">
        <v>826</v>
      </c>
      <c r="P2910">
        <v>88</v>
      </c>
      <c r="Q2910" t="s">
        <v>180</v>
      </c>
    </row>
    <row r="2911" spans="1:17" x14ac:dyDescent="0.25">
      <c r="A2911" t="s">
        <v>1100</v>
      </c>
      <c r="B2911" t="s">
        <v>1058</v>
      </c>
      <c r="C2911" t="s">
        <v>175</v>
      </c>
      <c r="D2911" t="s">
        <v>466</v>
      </c>
      <c r="E2911" t="s">
        <v>467</v>
      </c>
      <c r="F2911">
        <v>110</v>
      </c>
      <c r="G2911" t="s">
        <v>176</v>
      </c>
      <c r="H2911">
        <v>0</v>
      </c>
      <c r="I2911">
        <v>7500</v>
      </c>
      <c r="J2911" s="10">
        <v>0</v>
      </c>
      <c r="K2911" s="10">
        <f>SUMIFS(F:F,D:D,DST_123_ÜRETİM_İHTİYAÇ_RAPORU_BURAK_YENI1309[[#This Row],[ALT_KOD]])-(SUMIFS(H:H,D:D,DST_123_ÜRETİM_İHTİYAÇ_RAPORU_BURAK_YENI1309[[#This Row],[ALT_KOD]])+AVERAGEIFS(I:I,D:D,DST_123_ÜRETİM_İHTİYAÇ_RAPORU_BURAK_YENI1309[[#This Row],[ALT_KOD]])+AVERAGEIFS(L:L,D:D,DST_123_ÜRETİM_İHTİYAÇ_RAPORU_BURAK_YENI1309[[#This Row],[ALT_KOD]]))</f>
        <v>-5570</v>
      </c>
      <c r="L2911">
        <v>0</v>
      </c>
      <c r="M2911">
        <f>IF((DST_123_ÜRETİM_İHTİYAÇ_RAPORU_BURAK_YENI1309[[#This Row],[SATINALMA]]*DST_123_ÜRETİM_İHTİYAÇ_RAPORU_BURAK_YENI1309[[#This Row],[BIRIM_FIYATLAR]])&lt;1,VALUE("0"),DST_123_ÜRETİM_İHTİYAÇ_RAPORU_BURAK_YENI1309[[#This Row],[SATINALMA]]*DST_123_ÜRETİM_İHTİYAÇ_RAPORU_BURAK_YENI1309[[#This Row],[BIRIM_FIYATLAR]])</f>
        <v>0</v>
      </c>
      <c r="N2911">
        <v>0.8</v>
      </c>
      <c r="O2911" t="s">
        <v>826</v>
      </c>
      <c r="P2911">
        <v>88</v>
      </c>
      <c r="Q2911" t="s">
        <v>180</v>
      </c>
    </row>
    <row r="2912" spans="1:17" x14ac:dyDescent="0.25">
      <c r="A2912" t="s">
        <v>1100</v>
      </c>
      <c r="B2912" t="s">
        <v>1058</v>
      </c>
      <c r="C2912" t="s">
        <v>175</v>
      </c>
      <c r="D2912" t="s">
        <v>558</v>
      </c>
      <c r="E2912" t="s">
        <v>559</v>
      </c>
      <c r="F2912">
        <v>1</v>
      </c>
      <c r="G2912" t="s">
        <v>176</v>
      </c>
      <c r="H2912">
        <v>1</v>
      </c>
      <c r="I2912">
        <v>34</v>
      </c>
      <c r="J2912" s="10">
        <v>97.880000000000024</v>
      </c>
      <c r="K2912" s="10">
        <f>SUMIFS(F:F,D:D,DST_123_ÜRETİM_İHTİYAÇ_RAPORU_BURAK_YENI1309[[#This Row],[ALT_KOD]])-(SUMIFS(H:H,D:D,DST_123_ÜRETİM_İHTİYAÇ_RAPORU_BURAK_YENI1309[[#This Row],[ALT_KOD]])+AVERAGEIFS(I:I,D:D,DST_123_ÜRETİM_İHTİYAÇ_RAPORU_BURAK_YENI1309[[#This Row],[ALT_KOD]])+AVERAGEIFS(L:L,D:D,DST_123_ÜRETİM_İHTİYAÇ_RAPORU_BURAK_YENI1309[[#This Row],[ALT_KOD]]))</f>
        <v>0.88000000000000256</v>
      </c>
      <c r="L2912">
        <v>0</v>
      </c>
      <c r="M2912">
        <f>IF((DST_123_ÜRETİM_İHTİYAÇ_RAPORU_BURAK_YENI1309[[#This Row],[SATINALMA]]*DST_123_ÜRETİM_İHTİYAÇ_RAPORU_BURAK_YENI1309[[#This Row],[BIRIM_FIYATLAR]])&lt;1,VALUE("0"),DST_123_ÜRETİM_İHTİYAÇ_RAPORU_BURAK_YENI1309[[#This Row],[SATINALMA]]*DST_123_ÜRETİM_İHTİYAÇ_RAPORU_BURAK_YENI1309[[#This Row],[BIRIM_FIYATLAR]])</f>
        <v>48.400000000000141</v>
      </c>
      <c r="N2912">
        <v>55</v>
      </c>
      <c r="O2912" t="s">
        <v>240</v>
      </c>
      <c r="P2912">
        <v>55</v>
      </c>
      <c r="Q2912" t="s">
        <v>180</v>
      </c>
    </row>
    <row r="2913" spans="1:17" x14ac:dyDescent="0.25">
      <c r="A2913" t="s">
        <v>1098</v>
      </c>
      <c r="B2913" t="s">
        <v>1096</v>
      </c>
      <c r="C2913" t="s">
        <v>175</v>
      </c>
      <c r="D2913" t="s">
        <v>466</v>
      </c>
      <c r="E2913" t="s">
        <v>467</v>
      </c>
      <c r="F2913">
        <v>80</v>
      </c>
      <c r="G2913" t="s">
        <v>176</v>
      </c>
      <c r="H2913">
        <v>0</v>
      </c>
      <c r="I2913">
        <v>7500</v>
      </c>
      <c r="J2913" s="10">
        <v>0</v>
      </c>
      <c r="K2913" s="10">
        <f>SUMIFS(F:F,D:D,DST_123_ÜRETİM_İHTİYAÇ_RAPORU_BURAK_YENI1309[[#This Row],[ALT_KOD]])-(SUMIFS(H:H,D:D,DST_123_ÜRETİM_İHTİYAÇ_RAPORU_BURAK_YENI1309[[#This Row],[ALT_KOD]])+AVERAGEIFS(I:I,D:D,DST_123_ÜRETİM_İHTİYAÇ_RAPORU_BURAK_YENI1309[[#This Row],[ALT_KOD]])+AVERAGEIFS(L:L,D:D,DST_123_ÜRETİM_İHTİYAÇ_RAPORU_BURAK_YENI1309[[#This Row],[ALT_KOD]]))</f>
        <v>-5570</v>
      </c>
      <c r="L2913">
        <v>0</v>
      </c>
      <c r="M2913">
        <f>IF((DST_123_ÜRETİM_İHTİYAÇ_RAPORU_BURAK_YENI1309[[#This Row],[SATINALMA]]*DST_123_ÜRETİM_İHTİYAÇ_RAPORU_BURAK_YENI1309[[#This Row],[BIRIM_FIYATLAR]])&lt;1,VALUE("0"),DST_123_ÜRETİM_İHTİYAÇ_RAPORU_BURAK_YENI1309[[#This Row],[SATINALMA]]*DST_123_ÜRETİM_İHTİYAÇ_RAPORU_BURAK_YENI1309[[#This Row],[BIRIM_FIYATLAR]])</f>
        <v>0</v>
      </c>
      <c r="N2913">
        <v>0.8</v>
      </c>
      <c r="O2913" t="s">
        <v>826</v>
      </c>
      <c r="P2913">
        <v>64</v>
      </c>
      <c r="Q2913" t="s">
        <v>180</v>
      </c>
    </row>
    <row r="2914" spans="1:17" x14ac:dyDescent="0.25">
      <c r="A2914" t="s">
        <v>1064</v>
      </c>
      <c r="B2914" t="s">
        <v>1055</v>
      </c>
      <c r="C2914" t="s">
        <v>175</v>
      </c>
      <c r="D2914" t="s">
        <v>466</v>
      </c>
      <c r="E2914" t="s">
        <v>467</v>
      </c>
      <c r="F2914">
        <v>80</v>
      </c>
      <c r="G2914" t="s">
        <v>176</v>
      </c>
      <c r="H2914">
        <v>0</v>
      </c>
      <c r="I2914">
        <v>7500</v>
      </c>
      <c r="J2914" s="10">
        <v>0</v>
      </c>
      <c r="K2914" s="10">
        <f>SUMIFS(F:F,D:D,DST_123_ÜRETİM_İHTİYAÇ_RAPORU_BURAK_YENI1309[[#This Row],[ALT_KOD]])-(SUMIFS(H:H,D:D,DST_123_ÜRETİM_İHTİYAÇ_RAPORU_BURAK_YENI1309[[#This Row],[ALT_KOD]])+AVERAGEIFS(I:I,D:D,DST_123_ÜRETİM_İHTİYAÇ_RAPORU_BURAK_YENI1309[[#This Row],[ALT_KOD]])+AVERAGEIFS(L:L,D:D,DST_123_ÜRETİM_İHTİYAÇ_RAPORU_BURAK_YENI1309[[#This Row],[ALT_KOD]]))</f>
        <v>-5570</v>
      </c>
      <c r="L2914">
        <v>0</v>
      </c>
      <c r="M2914">
        <f>IF((DST_123_ÜRETİM_İHTİYAÇ_RAPORU_BURAK_YENI1309[[#This Row],[SATINALMA]]*DST_123_ÜRETİM_İHTİYAÇ_RAPORU_BURAK_YENI1309[[#This Row],[BIRIM_FIYATLAR]])&lt;1,VALUE("0"),DST_123_ÜRETİM_İHTİYAÇ_RAPORU_BURAK_YENI1309[[#This Row],[SATINALMA]]*DST_123_ÜRETİM_İHTİYAÇ_RAPORU_BURAK_YENI1309[[#This Row],[BIRIM_FIYATLAR]])</f>
        <v>0</v>
      </c>
      <c r="N2914">
        <v>0.8</v>
      </c>
      <c r="O2914" t="s">
        <v>826</v>
      </c>
      <c r="P2914">
        <v>64</v>
      </c>
      <c r="Q2914" t="s">
        <v>180</v>
      </c>
    </row>
    <row r="2915" spans="1:17" x14ac:dyDescent="0.25">
      <c r="A2915" t="s">
        <v>1097</v>
      </c>
      <c r="B2915" t="s">
        <v>1055</v>
      </c>
      <c r="C2915" t="s">
        <v>175</v>
      </c>
      <c r="D2915" t="s">
        <v>649</v>
      </c>
      <c r="E2915" t="s">
        <v>650</v>
      </c>
      <c r="F2915">
        <v>8</v>
      </c>
      <c r="G2915" t="s">
        <v>185</v>
      </c>
      <c r="H2915">
        <v>0</v>
      </c>
      <c r="I2915">
        <v>0</v>
      </c>
      <c r="J2915" s="10">
        <v>65</v>
      </c>
      <c r="K2915" s="10">
        <f>SUMIFS(F:F,D:D,DST_123_ÜRETİM_İHTİYAÇ_RAPORU_BURAK_YENI1309[[#This Row],[ALT_KOD]])-(SUMIFS(H:H,D:D,DST_123_ÜRETİM_İHTİYAÇ_RAPORU_BURAK_YENI1309[[#This Row],[ALT_KOD]])+AVERAGEIFS(I:I,D:D,DST_123_ÜRETİM_İHTİYAÇ_RAPORU_BURAK_YENI1309[[#This Row],[ALT_KOD]])+AVERAGEIFS(L:L,D:D,DST_123_ÜRETİM_İHTİYAÇ_RAPORU_BURAK_YENI1309[[#This Row],[ALT_KOD]]))</f>
        <v>119</v>
      </c>
      <c r="L2915">
        <v>0</v>
      </c>
      <c r="M2915">
        <f>IF((DST_123_ÜRETİM_İHTİYAÇ_RAPORU_BURAK_YENI1309[[#This Row],[SATINALMA]]*DST_123_ÜRETİM_İHTİYAÇ_RAPORU_BURAK_YENI1309[[#This Row],[BIRIM_FIYATLAR]])&lt;1,VALUE("0"),DST_123_ÜRETİM_İHTİYAÇ_RAPORU_BURAK_YENI1309[[#This Row],[SATINALMA]]*DST_123_ÜRETİM_İHTİYAÇ_RAPORU_BURAK_YENI1309[[#This Row],[BIRIM_FIYATLAR]])</f>
        <v>133274.05000000002</v>
      </c>
      <c r="N2915">
        <v>1119.95</v>
      </c>
      <c r="O2915" t="s">
        <v>648</v>
      </c>
      <c r="P2915">
        <v>8959.6</v>
      </c>
      <c r="Q2915" t="s">
        <v>183</v>
      </c>
    </row>
    <row r="2916" spans="1:17" x14ac:dyDescent="0.25">
      <c r="A2916" t="s">
        <v>1143</v>
      </c>
      <c r="B2916" t="s">
        <v>1056</v>
      </c>
      <c r="C2916" t="s">
        <v>175</v>
      </c>
      <c r="D2916" t="s">
        <v>649</v>
      </c>
      <c r="E2916" t="s">
        <v>650</v>
      </c>
      <c r="F2916">
        <v>7</v>
      </c>
      <c r="G2916" t="s">
        <v>185</v>
      </c>
      <c r="H2916">
        <v>0</v>
      </c>
      <c r="I2916">
        <v>0</v>
      </c>
      <c r="J2916" s="10">
        <v>65</v>
      </c>
      <c r="K2916" s="10">
        <f>SUMIFS(F:F,D:D,DST_123_ÜRETİM_İHTİYAÇ_RAPORU_BURAK_YENI1309[[#This Row],[ALT_KOD]])-(SUMIFS(H:H,D:D,DST_123_ÜRETİM_İHTİYAÇ_RAPORU_BURAK_YENI1309[[#This Row],[ALT_KOD]])+AVERAGEIFS(I:I,D:D,DST_123_ÜRETİM_İHTİYAÇ_RAPORU_BURAK_YENI1309[[#This Row],[ALT_KOD]])+AVERAGEIFS(L:L,D:D,DST_123_ÜRETİM_İHTİYAÇ_RAPORU_BURAK_YENI1309[[#This Row],[ALT_KOD]]))</f>
        <v>119</v>
      </c>
      <c r="L2916">
        <v>0</v>
      </c>
      <c r="M2916">
        <f>IF((DST_123_ÜRETİM_İHTİYAÇ_RAPORU_BURAK_YENI1309[[#This Row],[SATINALMA]]*DST_123_ÜRETİM_İHTİYAÇ_RAPORU_BURAK_YENI1309[[#This Row],[BIRIM_FIYATLAR]])&lt;1,VALUE("0"),DST_123_ÜRETİM_İHTİYAÇ_RAPORU_BURAK_YENI1309[[#This Row],[SATINALMA]]*DST_123_ÜRETİM_İHTİYAÇ_RAPORU_BURAK_YENI1309[[#This Row],[BIRIM_FIYATLAR]])</f>
        <v>133274.05000000002</v>
      </c>
      <c r="N2916">
        <v>1119.95</v>
      </c>
      <c r="O2916" t="s">
        <v>648</v>
      </c>
      <c r="P2916">
        <v>7839.6500000000005</v>
      </c>
      <c r="Q2916" t="s">
        <v>183</v>
      </c>
    </row>
    <row r="2917" spans="1:17" x14ac:dyDescent="0.25">
      <c r="A2917" t="s">
        <v>1100</v>
      </c>
      <c r="B2917" t="s">
        <v>1058</v>
      </c>
      <c r="C2917" t="s">
        <v>175</v>
      </c>
      <c r="D2917" t="s">
        <v>575</v>
      </c>
      <c r="E2917" t="s">
        <v>576</v>
      </c>
      <c r="F2917">
        <v>6.55</v>
      </c>
      <c r="G2917" t="s">
        <v>176</v>
      </c>
      <c r="H2917">
        <v>0</v>
      </c>
      <c r="I2917">
        <v>85</v>
      </c>
      <c r="J2917" s="10">
        <v>3.6500000000000128</v>
      </c>
      <c r="K2917" s="10">
        <f>SUMIFS(F:F,D:D,DST_123_ÜRETİM_İHTİYAÇ_RAPORU_BURAK_YENI1309[[#This Row],[ALT_KOD]])-(SUMIFS(H:H,D:D,DST_123_ÜRETİM_İHTİYAÇ_RAPORU_BURAK_YENI1309[[#This Row],[ALT_KOD]])+AVERAGEIFS(I:I,D:D,DST_123_ÜRETİM_İHTİYAÇ_RAPORU_BURAK_YENI1309[[#This Row],[ALT_KOD]])+AVERAGEIFS(L:L,D:D,DST_123_ÜRETİM_İHTİYAÇ_RAPORU_BURAK_YENI1309[[#This Row],[ALT_KOD]]))</f>
        <v>12.550000000000011</v>
      </c>
      <c r="L2917">
        <v>0</v>
      </c>
      <c r="M2917">
        <f>IF((DST_123_ÜRETİM_İHTİYAÇ_RAPORU_BURAK_YENI1309[[#This Row],[SATINALMA]]*DST_123_ÜRETİM_İHTİYAÇ_RAPORU_BURAK_YENI1309[[#This Row],[BIRIM_FIYATLAR]])&lt;1,VALUE("0"),DST_123_ÜRETİM_İHTİYAÇ_RAPORU_BURAK_YENI1309[[#This Row],[SATINALMA]]*DST_123_ÜRETİM_İHTİYAÇ_RAPORU_BURAK_YENI1309[[#This Row],[BIRIM_FIYATLAR]])</f>
        <v>4368.7805000000044</v>
      </c>
      <c r="N2917">
        <v>348.11</v>
      </c>
      <c r="O2917" t="s">
        <v>250</v>
      </c>
      <c r="P2917">
        <v>2280.1205</v>
      </c>
      <c r="Q2917" t="s">
        <v>183</v>
      </c>
    </row>
    <row r="2918" spans="1:17" x14ac:dyDescent="0.25">
      <c r="A2918" t="s">
        <v>1101</v>
      </c>
      <c r="B2918" t="s">
        <v>1102</v>
      </c>
      <c r="C2918" t="s">
        <v>175</v>
      </c>
      <c r="D2918" t="s">
        <v>649</v>
      </c>
      <c r="E2918" t="s">
        <v>650</v>
      </c>
      <c r="F2918">
        <v>7</v>
      </c>
      <c r="G2918" t="s">
        <v>185</v>
      </c>
      <c r="H2918">
        <v>0</v>
      </c>
      <c r="I2918">
        <v>0</v>
      </c>
      <c r="J2918" s="10">
        <v>65</v>
      </c>
      <c r="K2918" s="10">
        <f>SUMIFS(F:F,D:D,DST_123_ÜRETİM_İHTİYAÇ_RAPORU_BURAK_YENI1309[[#This Row],[ALT_KOD]])-(SUMIFS(H:H,D:D,DST_123_ÜRETİM_İHTİYAÇ_RAPORU_BURAK_YENI1309[[#This Row],[ALT_KOD]])+AVERAGEIFS(I:I,D:D,DST_123_ÜRETİM_İHTİYAÇ_RAPORU_BURAK_YENI1309[[#This Row],[ALT_KOD]])+AVERAGEIFS(L:L,D:D,DST_123_ÜRETİM_İHTİYAÇ_RAPORU_BURAK_YENI1309[[#This Row],[ALT_KOD]]))</f>
        <v>119</v>
      </c>
      <c r="L2918">
        <v>0</v>
      </c>
      <c r="M2918">
        <f>IF((DST_123_ÜRETİM_İHTİYAÇ_RAPORU_BURAK_YENI1309[[#This Row],[SATINALMA]]*DST_123_ÜRETİM_İHTİYAÇ_RAPORU_BURAK_YENI1309[[#This Row],[BIRIM_FIYATLAR]])&lt;1,VALUE("0"),DST_123_ÜRETİM_İHTİYAÇ_RAPORU_BURAK_YENI1309[[#This Row],[SATINALMA]]*DST_123_ÜRETİM_İHTİYAÇ_RAPORU_BURAK_YENI1309[[#This Row],[BIRIM_FIYATLAR]])</f>
        <v>133274.05000000002</v>
      </c>
      <c r="N2918">
        <v>1119.95</v>
      </c>
      <c r="O2918" t="s">
        <v>648</v>
      </c>
      <c r="P2918">
        <v>7839.6500000000005</v>
      </c>
      <c r="Q2918" t="s">
        <v>183</v>
      </c>
    </row>
    <row r="2919" spans="1:17" x14ac:dyDescent="0.25">
      <c r="A2919" t="s">
        <v>1057</v>
      </c>
      <c r="B2919" t="s">
        <v>1058</v>
      </c>
      <c r="C2919" t="s">
        <v>175</v>
      </c>
      <c r="D2919" t="s">
        <v>649</v>
      </c>
      <c r="E2919" t="s">
        <v>650</v>
      </c>
      <c r="F2919">
        <v>5</v>
      </c>
      <c r="G2919" t="s">
        <v>185</v>
      </c>
      <c r="H2919">
        <v>0</v>
      </c>
      <c r="I2919">
        <v>0</v>
      </c>
      <c r="J2919" s="10">
        <v>65</v>
      </c>
      <c r="K2919" s="10">
        <f>SUMIFS(F:F,D:D,DST_123_ÜRETİM_İHTİYAÇ_RAPORU_BURAK_YENI1309[[#This Row],[ALT_KOD]])-(SUMIFS(H:H,D:D,DST_123_ÜRETİM_İHTİYAÇ_RAPORU_BURAK_YENI1309[[#This Row],[ALT_KOD]])+AVERAGEIFS(I:I,D:D,DST_123_ÜRETİM_İHTİYAÇ_RAPORU_BURAK_YENI1309[[#This Row],[ALT_KOD]])+AVERAGEIFS(L:L,D:D,DST_123_ÜRETİM_İHTİYAÇ_RAPORU_BURAK_YENI1309[[#This Row],[ALT_KOD]]))</f>
        <v>119</v>
      </c>
      <c r="L2919">
        <v>0</v>
      </c>
      <c r="M2919">
        <f>IF((DST_123_ÜRETİM_İHTİYAÇ_RAPORU_BURAK_YENI1309[[#This Row],[SATINALMA]]*DST_123_ÜRETİM_İHTİYAÇ_RAPORU_BURAK_YENI1309[[#This Row],[BIRIM_FIYATLAR]])&lt;1,VALUE("0"),DST_123_ÜRETİM_İHTİYAÇ_RAPORU_BURAK_YENI1309[[#This Row],[SATINALMA]]*DST_123_ÜRETİM_İHTİYAÇ_RAPORU_BURAK_YENI1309[[#This Row],[BIRIM_FIYATLAR]])</f>
        <v>133274.05000000002</v>
      </c>
      <c r="N2919">
        <v>1119.95</v>
      </c>
      <c r="O2919" t="s">
        <v>648</v>
      </c>
      <c r="P2919">
        <v>5599.75</v>
      </c>
      <c r="Q2919" t="s">
        <v>183</v>
      </c>
    </row>
    <row r="2920" spans="1:17" x14ac:dyDescent="0.25">
      <c r="A2920" t="s">
        <v>1148</v>
      </c>
      <c r="B2920" t="s">
        <v>1056</v>
      </c>
      <c r="C2920" t="s">
        <v>175</v>
      </c>
      <c r="D2920" t="s">
        <v>410</v>
      </c>
      <c r="E2920" t="s">
        <v>411</v>
      </c>
      <c r="F2920">
        <v>0.01</v>
      </c>
      <c r="G2920" t="s">
        <v>412</v>
      </c>
      <c r="H2920">
        <v>0</v>
      </c>
      <c r="I2920">
        <v>150</v>
      </c>
      <c r="J2920" s="10">
        <v>0</v>
      </c>
      <c r="K2920" s="10">
        <f>SUMIFS(F:F,D:D,DST_123_ÜRETİM_İHTİYAÇ_RAPORU_BURAK_YENI1309[[#This Row],[ALT_KOD]])-(SUMIFS(H:H,D:D,DST_123_ÜRETİM_İHTİYAÇ_RAPORU_BURAK_YENI1309[[#This Row],[ALT_KOD]])+AVERAGEIFS(I:I,D:D,DST_123_ÜRETİM_İHTİYAÇ_RAPORU_BURAK_YENI1309[[#This Row],[ALT_KOD]])+AVERAGEIFS(L:L,D:D,DST_123_ÜRETİM_İHTİYAÇ_RAPORU_BURAK_YENI1309[[#This Row],[ALT_KOD]]))</f>
        <v>-149.76499999999999</v>
      </c>
      <c r="L2920">
        <v>0</v>
      </c>
      <c r="M2920">
        <f>IF((DST_123_ÜRETİM_İHTİYAÇ_RAPORU_BURAK_YENI1309[[#This Row],[SATINALMA]]*DST_123_ÜRETİM_İHTİYAÇ_RAPORU_BURAK_YENI1309[[#This Row],[BIRIM_FIYATLAR]])&lt;1,VALUE("0"),DST_123_ÜRETİM_İHTİYAÇ_RAPORU_BURAK_YENI1309[[#This Row],[SATINALMA]]*DST_123_ÜRETİM_İHTİYAÇ_RAPORU_BURAK_YENI1309[[#This Row],[BIRIM_FIYATLAR]])</f>
        <v>0</v>
      </c>
      <c r="N2920">
        <v>1.8</v>
      </c>
      <c r="O2920" t="s">
        <v>220</v>
      </c>
      <c r="P2920">
        <v>1.8000000000000002E-2</v>
      </c>
      <c r="Q2920" t="s">
        <v>180</v>
      </c>
    </row>
    <row r="2921" spans="1:17" x14ac:dyDescent="0.25">
      <c r="A2921" t="s">
        <v>1060</v>
      </c>
      <c r="B2921" t="s">
        <v>1061</v>
      </c>
      <c r="C2921" t="s">
        <v>175</v>
      </c>
      <c r="D2921" t="s">
        <v>437</v>
      </c>
      <c r="E2921" t="s">
        <v>438</v>
      </c>
      <c r="F2921">
        <v>1</v>
      </c>
      <c r="G2921" t="s">
        <v>176</v>
      </c>
      <c r="H2921">
        <v>0</v>
      </c>
      <c r="I2921">
        <v>24</v>
      </c>
      <c r="J2921" s="10">
        <v>5</v>
      </c>
      <c r="K2921" s="10">
        <f>SUMIFS(F:F,D:D,DST_123_ÜRETİM_İHTİYAÇ_RAPORU_BURAK_YENI1309[[#This Row],[ALT_KOD]])-(SUMIFS(H:H,D:D,DST_123_ÜRETİM_İHTİYAÇ_RAPORU_BURAK_YENI1309[[#This Row],[ALT_KOD]])+AVERAGEIFS(I:I,D:D,DST_123_ÜRETİM_İHTİYAÇ_RAPORU_BURAK_YENI1309[[#This Row],[ALT_KOD]])+AVERAGEIFS(L:L,D:D,DST_123_ÜRETİM_İHTİYAÇ_RAPORU_BURAK_YENI1309[[#This Row],[ALT_KOD]]))</f>
        <v>-12</v>
      </c>
      <c r="L2921">
        <v>0</v>
      </c>
      <c r="M2921">
        <f>IF((DST_123_ÜRETİM_İHTİYAÇ_RAPORU_BURAK_YENI1309[[#This Row],[SATINALMA]]*DST_123_ÜRETİM_İHTİYAÇ_RAPORU_BURAK_YENI1309[[#This Row],[BIRIM_FIYATLAR]])&lt;1,VALUE("0"),DST_123_ÜRETİM_İHTİYAÇ_RAPORU_BURAK_YENI1309[[#This Row],[SATINALMA]]*DST_123_ÜRETİM_İHTİYAÇ_RAPORU_BURAK_YENI1309[[#This Row],[BIRIM_FIYATLAR]])</f>
        <v>0</v>
      </c>
      <c r="N2921">
        <v>360.19</v>
      </c>
      <c r="O2921" t="s">
        <v>636</v>
      </c>
      <c r="P2921">
        <v>360.19</v>
      </c>
      <c r="Q2921" t="s">
        <v>178</v>
      </c>
    </row>
    <row r="2922" spans="1:17" x14ac:dyDescent="0.25">
      <c r="A2922" t="s">
        <v>1095</v>
      </c>
      <c r="B2922" t="s">
        <v>1096</v>
      </c>
      <c r="C2922" t="s">
        <v>175</v>
      </c>
      <c r="D2922" t="s">
        <v>1117</v>
      </c>
      <c r="E2922" t="s">
        <v>1118</v>
      </c>
      <c r="F2922">
        <v>1</v>
      </c>
      <c r="G2922" t="s">
        <v>182</v>
      </c>
      <c r="H2922">
        <v>0</v>
      </c>
      <c r="I2922">
        <v>0</v>
      </c>
      <c r="J2922" s="10">
        <v>26.754999999999999</v>
      </c>
      <c r="K2922" s="10">
        <f>SUMIFS(F:F,D:D,DST_123_ÜRETİM_İHTİYAÇ_RAPORU_BURAK_YENI1309[[#This Row],[ALT_KOD]])-(SUMIFS(H:H,D:D,DST_123_ÜRETİM_İHTİYAÇ_RAPORU_BURAK_YENI1309[[#This Row],[ALT_KOD]])+AVERAGEIFS(I:I,D:D,DST_123_ÜRETİM_İHTİYAÇ_RAPORU_BURAK_YENI1309[[#This Row],[ALT_KOD]])+AVERAGEIFS(L:L,D:D,DST_123_ÜRETİM_İHTİYAÇ_RAPORU_BURAK_YENI1309[[#This Row],[ALT_KOD]]))</f>
        <v>1</v>
      </c>
      <c r="L2922">
        <v>0</v>
      </c>
      <c r="M2922">
        <f>IF((DST_123_ÜRETİM_İHTİYAÇ_RAPORU_BURAK_YENI1309[[#This Row],[SATINALMA]]*DST_123_ÜRETİM_İHTİYAÇ_RAPORU_BURAK_YENI1309[[#This Row],[BIRIM_FIYATLAR]])&lt;1,VALUE("0"),DST_123_ÜRETİM_İHTİYAÇ_RAPORU_BURAK_YENI1309[[#This Row],[SATINALMA]]*DST_123_ÜRETİM_İHTİYAÇ_RAPORU_BURAK_YENI1309[[#This Row],[BIRIM_FIYATLAR]])</f>
        <v>882.72</v>
      </c>
      <c r="N2922">
        <v>882.72</v>
      </c>
      <c r="O2922" t="s">
        <v>223</v>
      </c>
      <c r="P2922">
        <v>882.72</v>
      </c>
      <c r="Q2922" t="s">
        <v>181</v>
      </c>
    </row>
    <row r="2923" spans="1:17" x14ac:dyDescent="0.25">
      <c r="A2923" t="s">
        <v>1143</v>
      </c>
      <c r="B2923" t="s">
        <v>1056</v>
      </c>
      <c r="C2923" t="s">
        <v>175</v>
      </c>
      <c r="D2923" t="s">
        <v>575</v>
      </c>
      <c r="E2923" t="s">
        <v>576</v>
      </c>
      <c r="F2923">
        <v>4.3499999999999988</v>
      </c>
      <c r="G2923" t="s">
        <v>176</v>
      </c>
      <c r="H2923">
        <v>0</v>
      </c>
      <c r="I2923">
        <v>85</v>
      </c>
      <c r="J2923" s="10">
        <v>3.6500000000000128</v>
      </c>
      <c r="K2923" s="10">
        <f>SUMIFS(F:F,D:D,DST_123_ÜRETİM_İHTİYAÇ_RAPORU_BURAK_YENI1309[[#This Row],[ALT_KOD]])-(SUMIFS(H:H,D:D,DST_123_ÜRETİM_İHTİYAÇ_RAPORU_BURAK_YENI1309[[#This Row],[ALT_KOD]])+AVERAGEIFS(I:I,D:D,DST_123_ÜRETİM_İHTİYAÇ_RAPORU_BURAK_YENI1309[[#This Row],[ALT_KOD]])+AVERAGEIFS(L:L,D:D,DST_123_ÜRETİM_İHTİYAÇ_RAPORU_BURAK_YENI1309[[#This Row],[ALT_KOD]]))</f>
        <v>12.550000000000011</v>
      </c>
      <c r="L2923">
        <v>0</v>
      </c>
      <c r="M2923">
        <f>IF((DST_123_ÜRETİM_İHTİYAÇ_RAPORU_BURAK_YENI1309[[#This Row],[SATINALMA]]*DST_123_ÜRETİM_İHTİYAÇ_RAPORU_BURAK_YENI1309[[#This Row],[BIRIM_FIYATLAR]])&lt;1,VALUE("0"),DST_123_ÜRETİM_İHTİYAÇ_RAPORU_BURAK_YENI1309[[#This Row],[SATINALMA]]*DST_123_ÜRETİM_İHTİYAÇ_RAPORU_BURAK_YENI1309[[#This Row],[BIRIM_FIYATLAR]])</f>
        <v>4368.7805000000044</v>
      </c>
      <c r="N2923">
        <v>348.11</v>
      </c>
      <c r="O2923" t="s">
        <v>250</v>
      </c>
      <c r="P2923">
        <v>1514.2784999999997</v>
      </c>
      <c r="Q2923" t="s">
        <v>183</v>
      </c>
    </row>
    <row r="2924" spans="1:17" x14ac:dyDescent="0.25">
      <c r="A2924" t="s">
        <v>1095</v>
      </c>
      <c r="B2924" t="s">
        <v>1096</v>
      </c>
      <c r="C2924" t="s">
        <v>175</v>
      </c>
      <c r="D2924" t="s">
        <v>575</v>
      </c>
      <c r="E2924" t="s">
        <v>576</v>
      </c>
      <c r="F2924">
        <v>5.85</v>
      </c>
      <c r="G2924" t="s">
        <v>176</v>
      </c>
      <c r="H2924">
        <v>0</v>
      </c>
      <c r="I2924">
        <v>85</v>
      </c>
      <c r="J2924" s="10">
        <v>3.6500000000000128</v>
      </c>
      <c r="K2924" s="10">
        <f>SUMIFS(F:F,D:D,DST_123_ÜRETİM_İHTİYAÇ_RAPORU_BURAK_YENI1309[[#This Row],[ALT_KOD]])-(SUMIFS(H:H,D:D,DST_123_ÜRETİM_İHTİYAÇ_RAPORU_BURAK_YENI1309[[#This Row],[ALT_KOD]])+AVERAGEIFS(I:I,D:D,DST_123_ÜRETİM_İHTİYAÇ_RAPORU_BURAK_YENI1309[[#This Row],[ALT_KOD]])+AVERAGEIFS(L:L,D:D,DST_123_ÜRETİM_İHTİYAÇ_RAPORU_BURAK_YENI1309[[#This Row],[ALT_KOD]]))</f>
        <v>12.550000000000011</v>
      </c>
      <c r="L2924">
        <v>0</v>
      </c>
      <c r="M2924">
        <f>IF((DST_123_ÜRETİM_İHTİYAÇ_RAPORU_BURAK_YENI1309[[#This Row],[SATINALMA]]*DST_123_ÜRETİM_İHTİYAÇ_RAPORU_BURAK_YENI1309[[#This Row],[BIRIM_FIYATLAR]])&lt;1,VALUE("0"),DST_123_ÜRETİM_İHTİYAÇ_RAPORU_BURAK_YENI1309[[#This Row],[SATINALMA]]*DST_123_ÜRETİM_İHTİYAÇ_RAPORU_BURAK_YENI1309[[#This Row],[BIRIM_FIYATLAR]])</f>
        <v>4368.7805000000044</v>
      </c>
      <c r="N2924">
        <v>348.11</v>
      </c>
      <c r="O2924" t="s">
        <v>250</v>
      </c>
      <c r="P2924">
        <v>2036.4434999999999</v>
      </c>
      <c r="Q2924" t="s">
        <v>183</v>
      </c>
    </row>
    <row r="2925" spans="1:17" x14ac:dyDescent="0.25">
      <c r="A2925" t="s">
        <v>1059</v>
      </c>
      <c r="B2925" t="s">
        <v>1058</v>
      </c>
      <c r="C2925" t="s">
        <v>175</v>
      </c>
      <c r="D2925" t="s">
        <v>575</v>
      </c>
      <c r="E2925" t="s">
        <v>576</v>
      </c>
      <c r="F2925">
        <v>8.0500000000000007</v>
      </c>
      <c r="G2925" t="s">
        <v>176</v>
      </c>
      <c r="H2925">
        <v>0</v>
      </c>
      <c r="I2925">
        <v>85</v>
      </c>
      <c r="J2925" s="10">
        <v>3.6500000000000128</v>
      </c>
      <c r="K2925" s="10">
        <f>SUMIFS(F:F,D:D,DST_123_ÜRETİM_İHTİYAÇ_RAPORU_BURAK_YENI1309[[#This Row],[ALT_KOD]])-(SUMIFS(H:H,D:D,DST_123_ÜRETİM_İHTİYAÇ_RAPORU_BURAK_YENI1309[[#This Row],[ALT_KOD]])+AVERAGEIFS(I:I,D:D,DST_123_ÜRETİM_İHTİYAÇ_RAPORU_BURAK_YENI1309[[#This Row],[ALT_KOD]])+AVERAGEIFS(L:L,D:D,DST_123_ÜRETİM_İHTİYAÇ_RAPORU_BURAK_YENI1309[[#This Row],[ALT_KOD]]))</f>
        <v>12.550000000000011</v>
      </c>
      <c r="L2925">
        <v>0</v>
      </c>
      <c r="M2925">
        <f>IF((DST_123_ÜRETİM_İHTİYAÇ_RAPORU_BURAK_YENI1309[[#This Row],[SATINALMA]]*DST_123_ÜRETİM_İHTİYAÇ_RAPORU_BURAK_YENI1309[[#This Row],[BIRIM_FIYATLAR]])&lt;1,VALUE("0"),DST_123_ÜRETİM_İHTİYAÇ_RAPORU_BURAK_YENI1309[[#This Row],[SATINALMA]]*DST_123_ÜRETİM_İHTİYAÇ_RAPORU_BURAK_YENI1309[[#This Row],[BIRIM_FIYATLAR]])</f>
        <v>4368.7805000000044</v>
      </c>
      <c r="N2925">
        <v>348.11</v>
      </c>
      <c r="O2925" t="s">
        <v>250</v>
      </c>
      <c r="P2925">
        <v>2802.2855000000004</v>
      </c>
      <c r="Q2925" t="s">
        <v>183</v>
      </c>
    </row>
    <row r="2926" spans="1:17" x14ac:dyDescent="0.25">
      <c r="A2926" t="s">
        <v>1059</v>
      </c>
      <c r="B2926" t="s">
        <v>1058</v>
      </c>
      <c r="C2926" t="s">
        <v>175</v>
      </c>
      <c r="D2926" t="s">
        <v>649</v>
      </c>
      <c r="E2926" t="s">
        <v>650</v>
      </c>
      <c r="F2926">
        <v>5</v>
      </c>
      <c r="G2926" t="s">
        <v>185</v>
      </c>
      <c r="H2926">
        <v>0</v>
      </c>
      <c r="I2926">
        <v>0</v>
      </c>
      <c r="J2926" s="10">
        <v>65</v>
      </c>
      <c r="K2926" s="10">
        <f>SUMIFS(F:F,D:D,DST_123_ÜRETİM_İHTİYAÇ_RAPORU_BURAK_YENI1309[[#This Row],[ALT_KOD]])-(SUMIFS(H:H,D:D,DST_123_ÜRETİM_İHTİYAÇ_RAPORU_BURAK_YENI1309[[#This Row],[ALT_KOD]])+AVERAGEIFS(I:I,D:D,DST_123_ÜRETİM_İHTİYAÇ_RAPORU_BURAK_YENI1309[[#This Row],[ALT_KOD]])+AVERAGEIFS(L:L,D:D,DST_123_ÜRETİM_İHTİYAÇ_RAPORU_BURAK_YENI1309[[#This Row],[ALT_KOD]]))</f>
        <v>119</v>
      </c>
      <c r="L2926">
        <v>0</v>
      </c>
      <c r="M2926">
        <f>IF((DST_123_ÜRETİM_İHTİYAÇ_RAPORU_BURAK_YENI1309[[#This Row],[SATINALMA]]*DST_123_ÜRETİM_İHTİYAÇ_RAPORU_BURAK_YENI1309[[#This Row],[BIRIM_FIYATLAR]])&lt;1,VALUE("0"),DST_123_ÜRETİM_İHTİYAÇ_RAPORU_BURAK_YENI1309[[#This Row],[SATINALMA]]*DST_123_ÜRETİM_İHTİYAÇ_RAPORU_BURAK_YENI1309[[#This Row],[BIRIM_FIYATLAR]])</f>
        <v>133274.05000000002</v>
      </c>
      <c r="N2926">
        <v>1119.95</v>
      </c>
      <c r="O2926" t="s">
        <v>648</v>
      </c>
      <c r="P2926">
        <v>5599.75</v>
      </c>
      <c r="Q2926" t="s">
        <v>183</v>
      </c>
    </row>
    <row r="2927" spans="1:17" x14ac:dyDescent="0.25">
      <c r="A2927" t="s">
        <v>1142</v>
      </c>
      <c r="B2927" t="s">
        <v>1056</v>
      </c>
      <c r="C2927" t="s">
        <v>175</v>
      </c>
      <c r="D2927" t="s">
        <v>410</v>
      </c>
      <c r="E2927" t="s">
        <v>411</v>
      </c>
      <c r="F2927">
        <v>0.01</v>
      </c>
      <c r="G2927" t="s">
        <v>412</v>
      </c>
      <c r="H2927">
        <v>0</v>
      </c>
      <c r="I2927">
        <v>150</v>
      </c>
      <c r="J2927" s="10">
        <v>0</v>
      </c>
      <c r="K2927" s="10">
        <f>SUMIFS(F:F,D:D,DST_123_ÜRETİM_İHTİYAÇ_RAPORU_BURAK_YENI1309[[#This Row],[ALT_KOD]])-(SUMIFS(H:H,D:D,DST_123_ÜRETİM_İHTİYAÇ_RAPORU_BURAK_YENI1309[[#This Row],[ALT_KOD]])+AVERAGEIFS(I:I,D:D,DST_123_ÜRETİM_İHTİYAÇ_RAPORU_BURAK_YENI1309[[#This Row],[ALT_KOD]])+AVERAGEIFS(L:L,D:D,DST_123_ÜRETİM_İHTİYAÇ_RAPORU_BURAK_YENI1309[[#This Row],[ALT_KOD]]))</f>
        <v>-149.76499999999999</v>
      </c>
      <c r="L2927">
        <v>0</v>
      </c>
      <c r="M2927">
        <f>IF((DST_123_ÜRETİM_İHTİYAÇ_RAPORU_BURAK_YENI1309[[#This Row],[SATINALMA]]*DST_123_ÜRETİM_İHTİYAÇ_RAPORU_BURAK_YENI1309[[#This Row],[BIRIM_FIYATLAR]])&lt;1,VALUE("0"),DST_123_ÜRETİM_İHTİYAÇ_RAPORU_BURAK_YENI1309[[#This Row],[SATINALMA]]*DST_123_ÜRETİM_İHTİYAÇ_RAPORU_BURAK_YENI1309[[#This Row],[BIRIM_FIYATLAR]])</f>
        <v>0</v>
      </c>
      <c r="N2927">
        <v>1.8</v>
      </c>
      <c r="O2927" t="s">
        <v>220</v>
      </c>
      <c r="P2927">
        <v>1.8000000000000002E-2</v>
      </c>
      <c r="Q2927" t="s">
        <v>180</v>
      </c>
    </row>
    <row r="2928" spans="1:17" x14ac:dyDescent="0.25">
      <c r="A2928" t="s">
        <v>1097</v>
      </c>
      <c r="B2928" t="s">
        <v>1055</v>
      </c>
      <c r="C2928" t="s">
        <v>175</v>
      </c>
      <c r="D2928" t="s">
        <v>410</v>
      </c>
      <c r="E2928" t="s">
        <v>411</v>
      </c>
      <c r="F2928">
        <v>0.01</v>
      </c>
      <c r="G2928" t="s">
        <v>412</v>
      </c>
      <c r="H2928">
        <v>0</v>
      </c>
      <c r="I2928">
        <v>150</v>
      </c>
      <c r="J2928" s="10">
        <v>0</v>
      </c>
      <c r="K2928" s="10">
        <f>SUMIFS(F:F,D:D,DST_123_ÜRETİM_İHTİYAÇ_RAPORU_BURAK_YENI1309[[#This Row],[ALT_KOD]])-(SUMIFS(H:H,D:D,DST_123_ÜRETİM_İHTİYAÇ_RAPORU_BURAK_YENI1309[[#This Row],[ALT_KOD]])+AVERAGEIFS(I:I,D:D,DST_123_ÜRETİM_İHTİYAÇ_RAPORU_BURAK_YENI1309[[#This Row],[ALT_KOD]])+AVERAGEIFS(L:L,D:D,DST_123_ÜRETİM_İHTİYAÇ_RAPORU_BURAK_YENI1309[[#This Row],[ALT_KOD]]))</f>
        <v>-149.76499999999999</v>
      </c>
      <c r="L2928">
        <v>0</v>
      </c>
      <c r="M2928">
        <f>IF((DST_123_ÜRETİM_İHTİYAÇ_RAPORU_BURAK_YENI1309[[#This Row],[SATINALMA]]*DST_123_ÜRETİM_İHTİYAÇ_RAPORU_BURAK_YENI1309[[#This Row],[BIRIM_FIYATLAR]])&lt;1,VALUE("0"),DST_123_ÜRETİM_İHTİYAÇ_RAPORU_BURAK_YENI1309[[#This Row],[SATINALMA]]*DST_123_ÜRETİM_İHTİYAÇ_RAPORU_BURAK_YENI1309[[#This Row],[BIRIM_FIYATLAR]])</f>
        <v>0</v>
      </c>
      <c r="N2928">
        <v>1.8</v>
      </c>
      <c r="O2928" t="s">
        <v>220</v>
      </c>
      <c r="P2928">
        <v>1.8000000000000002E-2</v>
      </c>
      <c r="Q2928" t="s">
        <v>180</v>
      </c>
    </row>
    <row r="2929" spans="1:17" x14ac:dyDescent="0.25">
      <c r="A2929" t="s">
        <v>1142</v>
      </c>
      <c r="B2929" t="s">
        <v>1056</v>
      </c>
      <c r="C2929" t="s">
        <v>175</v>
      </c>
      <c r="D2929" t="s">
        <v>437</v>
      </c>
      <c r="E2929" t="s">
        <v>438</v>
      </c>
      <c r="F2929">
        <v>1</v>
      </c>
      <c r="G2929" t="s">
        <v>176</v>
      </c>
      <c r="H2929">
        <v>0</v>
      </c>
      <c r="I2929">
        <v>24</v>
      </c>
      <c r="J2929" s="10">
        <v>5</v>
      </c>
      <c r="K2929" s="10">
        <f>SUMIFS(F:F,D:D,DST_123_ÜRETİM_İHTİYAÇ_RAPORU_BURAK_YENI1309[[#This Row],[ALT_KOD]])-(SUMIFS(H:H,D:D,DST_123_ÜRETİM_İHTİYAÇ_RAPORU_BURAK_YENI1309[[#This Row],[ALT_KOD]])+AVERAGEIFS(I:I,D:D,DST_123_ÜRETİM_İHTİYAÇ_RAPORU_BURAK_YENI1309[[#This Row],[ALT_KOD]])+AVERAGEIFS(L:L,D:D,DST_123_ÜRETİM_İHTİYAÇ_RAPORU_BURAK_YENI1309[[#This Row],[ALT_KOD]]))</f>
        <v>-12</v>
      </c>
      <c r="L2929">
        <v>0</v>
      </c>
      <c r="M2929">
        <f>IF((DST_123_ÜRETİM_İHTİYAÇ_RAPORU_BURAK_YENI1309[[#This Row],[SATINALMA]]*DST_123_ÜRETİM_İHTİYAÇ_RAPORU_BURAK_YENI1309[[#This Row],[BIRIM_FIYATLAR]])&lt;1,VALUE("0"),DST_123_ÜRETİM_İHTİYAÇ_RAPORU_BURAK_YENI1309[[#This Row],[SATINALMA]]*DST_123_ÜRETİM_İHTİYAÇ_RAPORU_BURAK_YENI1309[[#This Row],[BIRIM_FIYATLAR]])</f>
        <v>0</v>
      </c>
      <c r="N2929">
        <v>360.19</v>
      </c>
      <c r="O2929" t="s">
        <v>636</v>
      </c>
      <c r="P2929">
        <v>360.19</v>
      </c>
      <c r="Q2929" t="s">
        <v>178</v>
      </c>
    </row>
    <row r="2930" spans="1:17" x14ac:dyDescent="0.25">
      <c r="A2930" t="s">
        <v>1142</v>
      </c>
      <c r="B2930" t="s">
        <v>1056</v>
      </c>
      <c r="C2930" t="s">
        <v>175</v>
      </c>
      <c r="D2930" t="s">
        <v>599</v>
      </c>
      <c r="E2930" t="s">
        <v>600</v>
      </c>
      <c r="F2930">
        <v>4</v>
      </c>
      <c r="G2930" t="s">
        <v>176</v>
      </c>
      <c r="H2930">
        <v>0</v>
      </c>
      <c r="I2930">
        <v>37</v>
      </c>
      <c r="J2930" s="10">
        <v>14</v>
      </c>
      <c r="K2930" s="10">
        <f>SUMIFS(F:F,D:D,DST_123_ÜRETİM_İHTİYAÇ_RAPORU_BURAK_YENI1309[[#This Row],[ALT_KOD]])-(SUMIFS(H:H,D:D,DST_123_ÜRETİM_İHTİYAÇ_RAPORU_BURAK_YENI1309[[#This Row],[ALT_KOD]])+AVERAGEIFS(I:I,D:D,DST_123_ÜRETİM_İHTİYAÇ_RAPORU_BURAK_YENI1309[[#This Row],[ALT_KOD]])+AVERAGEIFS(L:L,D:D,DST_123_ÜRETİM_İHTİYAÇ_RAPORU_BURAK_YENI1309[[#This Row],[ALT_KOD]]))</f>
        <v>-5</v>
      </c>
      <c r="L2930">
        <v>0</v>
      </c>
      <c r="M2930">
        <f>IF((DST_123_ÜRETİM_İHTİYAÇ_RAPORU_BURAK_YENI1309[[#This Row],[SATINALMA]]*DST_123_ÜRETİM_İHTİYAÇ_RAPORU_BURAK_YENI1309[[#This Row],[BIRIM_FIYATLAR]])&lt;1,VALUE("0"),DST_123_ÜRETİM_İHTİYAÇ_RAPORU_BURAK_YENI1309[[#This Row],[SATINALMA]]*DST_123_ÜRETİM_İHTİYAÇ_RAPORU_BURAK_YENI1309[[#This Row],[BIRIM_FIYATLAR]])</f>
        <v>0</v>
      </c>
      <c r="N2930">
        <v>313.88</v>
      </c>
      <c r="O2930" t="s">
        <v>636</v>
      </c>
      <c r="P2930">
        <v>1255.52</v>
      </c>
      <c r="Q2930" t="s">
        <v>177</v>
      </c>
    </row>
    <row r="2931" spans="1:17" x14ac:dyDescent="0.25">
      <c r="A2931" t="s">
        <v>1142</v>
      </c>
      <c r="B2931" t="s">
        <v>1056</v>
      </c>
      <c r="C2931" t="s">
        <v>175</v>
      </c>
      <c r="D2931" t="s">
        <v>645</v>
      </c>
      <c r="E2931" t="s">
        <v>646</v>
      </c>
      <c r="F2931">
        <v>1</v>
      </c>
      <c r="G2931" t="s">
        <v>176</v>
      </c>
      <c r="H2931">
        <v>0</v>
      </c>
      <c r="I2931">
        <v>1</v>
      </c>
      <c r="J2931" s="10">
        <v>10</v>
      </c>
      <c r="K2931" s="10">
        <f>SUMIFS(F:F,D:D,DST_123_ÜRETİM_İHTİYAÇ_RAPORU_BURAK_YENI1309[[#This Row],[ALT_KOD]])-(SUMIFS(H:H,D:D,DST_123_ÜRETİM_İHTİYAÇ_RAPORU_BURAK_YENI1309[[#This Row],[ALT_KOD]])+AVERAGEIFS(I:I,D:D,DST_123_ÜRETİM_İHTİYAÇ_RAPORU_BURAK_YENI1309[[#This Row],[ALT_KOD]])+AVERAGEIFS(L:L,D:D,DST_123_ÜRETİM_İHTİYAÇ_RAPORU_BURAK_YENI1309[[#This Row],[ALT_KOD]]))</f>
        <v>11</v>
      </c>
      <c r="L2931">
        <v>0</v>
      </c>
      <c r="M2931">
        <f>IF((DST_123_ÜRETİM_İHTİYAÇ_RAPORU_BURAK_YENI1309[[#This Row],[SATINALMA]]*DST_123_ÜRETİM_İHTİYAÇ_RAPORU_BURAK_YENI1309[[#This Row],[BIRIM_FIYATLAR]])&lt;1,VALUE("0"),DST_123_ÜRETİM_İHTİYAÇ_RAPORU_BURAK_YENI1309[[#This Row],[SATINALMA]]*DST_123_ÜRETİM_İHTİYAÇ_RAPORU_BURAK_YENI1309[[#This Row],[BIRIM_FIYATLAR]])</f>
        <v>20020</v>
      </c>
      <c r="N2931">
        <v>1820</v>
      </c>
      <c r="O2931" t="s">
        <v>262</v>
      </c>
      <c r="P2931">
        <v>1820</v>
      </c>
      <c r="Q2931" t="s">
        <v>641</v>
      </c>
    </row>
    <row r="2932" spans="1:17" x14ac:dyDescent="0.25">
      <c r="A2932" t="s">
        <v>1142</v>
      </c>
      <c r="B2932" t="s">
        <v>1056</v>
      </c>
      <c r="C2932" t="s">
        <v>175</v>
      </c>
      <c r="D2932" t="s">
        <v>1163</v>
      </c>
      <c r="E2932" t="s">
        <v>1164</v>
      </c>
      <c r="F2932">
        <v>2</v>
      </c>
      <c r="G2932" t="s">
        <v>176</v>
      </c>
      <c r="H2932">
        <v>0</v>
      </c>
      <c r="I2932">
        <v>500</v>
      </c>
      <c r="J2932" s="10">
        <v>500</v>
      </c>
      <c r="K2932" s="10">
        <f>SUMIFS(F:F,D:D,DST_123_ÜRETİM_İHTİYAÇ_RAPORU_BURAK_YENI1309[[#This Row],[ALT_KOD]])-(SUMIFS(H:H,D:D,DST_123_ÜRETİM_İHTİYAÇ_RAPORU_BURAK_YENI1309[[#This Row],[ALT_KOD]])+AVERAGEIFS(I:I,D:D,DST_123_ÜRETİM_İHTİYAÇ_RAPORU_BURAK_YENI1309[[#This Row],[ALT_KOD]])+AVERAGEIFS(L:L,D:D,DST_123_ÜRETİM_İHTİYAÇ_RAPORU_BURAK_YENI1309[[#This Row],[ALT_KOD]]))</f>
        <v>-486</v>
      </c>
      <c r="L2932">
        <v>0</v>
      </c>
      <c r="M2932">
        <f>IF((DST_123_ÜRETİM_İHTİYAÇ_RAPORU_BURAK_YENI1309[[#This Row],[SATINALMA]]*DST_123_ÜRETİM_İHTİYAÇ_RAPORU_BURAK_YENI1309[[#This Row],[BIRIM_FIYATLAR]])&lt;1,VALUE("0"),DST_123_ÜRETİM_İHTİYAÇ_RAPORU_BURAK_YENI1309[[#This Row],[SATINALMA]]*DST_123_ÜRETİM_İHTİYAÇ_RAPORU_BURAK_YENI1309[[#This Row],[BIRIM_FIYATLAR]])</f>
        <v>0</v>
      </c>
      <c r="N2932">
        <v>0.55000000000000004</v>
      </c>
      <c r="O2932" t="s">
        <v>826</v>
      </c>
      <c r="P2932">
        <v>1.1000000000000001</v>
      </c>
      <c r="Q2932" t="s">
        <v>221</v>
      </c>
    </row>
    <row r="2933" spans="1:17" x14ac:dyDescent="0.25">
      <c r="A2933" t="s">
        <v>1196</v>
      </c>
      <c r="B2933" t="s">
        <v>1197</v>
      </c>
      <c r="C2933" t="s">
        <v>175</v>
      </c>
      <c r="D2933" t="s">
        <v>951</v>
      </c>
      <c r="E2933" t="s">
        <v>952</v>
      </c>
      <c r="F2933">
        <v>4</v>
      </c>
      <c r="G2933" t="s">
        <v>176</v>
      </c>
      <c r="H2933">
        <v>0</v>
      </c>
      <c r="I2933">
        <v>996</v>
      </c>
      <c r="J2933" s="10">
        <v>0</v>
      </c>
      <c r="K2933" s="10">
        <f>SUMIFS(F:F,D:D,DST_123_ÜRETİM_İHTİYAÇ_RAPORU_BURAK_YENI1309[[#This Row],[ALT_KOD]])-(SUMIFS(H:H,D:D,DST_123_ÜRETİM_İHTİYAÇ_RAPORU_BURAK_YENI1309[[#This Row],[ALT_KOD]])+AVERAGEIFS(I:I,D:D,DST_123_ÜRETİM_İHTİYAÇ_RAPORU_BURAK_YENI1309[[#This Row],[ALT_KOD]])+AVERAGEIFS(L:L,D:D,DST_123_ÜRETİM_İHTİYAÇ_RAPORU_BURAK_YENI1309[[#This Row],[ALT_KOD]]))</f>
        <v>-980</v>
      </c>
      <c r="L2933">
        <v>0</v>
      </c>
      <c r="M2933">
        <f>IF((DST_123_ÜRETİM_İHTİYAÇ_RAPORU_BURAK_YENI1309[[#This Row],[SATINALMA]]*DST_123_ÜRETİM_İHTİYAÇ_RAPORU_BURAK_YENI1309[[#This Row],[BIRIM_FIYATLAR]])&lt;1,VALUE("0"),DST_123_ÜRETİM_İHTİYAÇ_RAPORU_BURAK_YENI1309[[#This Row],[SATINALMA]]*DST_123_ÜRETİM_İHTİYAÇ_RAPORU_BURAK_YENI1309[[#This Row],[BIRIM_FIYATLAR]])</f>
        <v>0</v>
      </c>
      <c r="N2933">
        <v>1.8</v>
      </c>
      <c r="O2933" t="s">
        <v>240</v>
      </c>
      <c r="P2933">
        <v>7.2</v>
      </c>
      <c r="Q2933" t="s">
        <v>180</v>
      </c>
    </row>
    <row r="2934" spans="1:17" x14ac:dyDescent="0.25">
      <c r="A2934" t="s">
        <v>1064</v>
      </c>
      <c r="B2934" t="s">
        <v>1055</v>
      </c>
      <c r="C2934" t="s">
        <v>175</v>
      </c>
      <c r="D2934" t="s">
        <v>649</v>
      </c>
      <c r="E2934" t="s">
        <v>650</v>
      </c>
      <c r="F2934">
        <v>8</v>
      </c>
      <c r="G2934" t="s">
        <v>185</v>
      </c>
      <c r="H2934">
        <v>0</v>
      </c>
      <c r="I2934">
        <v>0</v>
      </c>
      <c r="J2934" s="10">
        <v>65</v>
      </c>
      <c r="K2934" s="10">
        <f>SUMIFS(F:F,D:D,DST_123_ÜRETİM_İHTİYAÇ_RAPORU_BURAK_YENI1309[[#This Row],[ALT_KOD]])-(SUMIFS(H:H,D:D,DST_123_ÜRETİM_İHTİYAÇ_RAPORU_BURAK_YENI1309[[#This Row],[ALT_KOD]])+AVERAGEIFS(I:I,D:D,DST_123_ÜRETİM_İHTİYAÇ_RAPORU_BURAK_YENI1309[[#This Row],[ALT_KOD]])+AVERAGEIFS(L:L,D:D,DST_123_ÜRETİM_İHTİYAÇ_RAPORU_BURAK_YENI1309[[#This Row],[ALT_KOD]]))</f>
        <v>119</v>
      </c>
      <c r="L2934">
        <v>0</v>
      </c>
      <c r="M2934">
        <f>IF((DST_123_ÜRETİM_İHTİYAÇ_RAPORU_BURAK_YENI1309[[#This Row],[SATINALMA]]*DST_123_ÜRETİM_İHTİYAÇ_RAPORU_BURAK_YENI1309[[#This Row],[BIRIM_FIYATLAR]])&lt;1,VALUE("0"),DST_123_ÜRETİM_İHTİYAÇ_RAPORU_BURAK_YENI1309[[#This Row],[SATINALMA]]*DST_123_ÜRETİM_İHTİYAÇ_RAPORU_BURAK_YENI1309[[#This Row],[BIRIM_FIYATLAR]])</f>
        <v>133274.05000000002</v>
      </c>
      <c r="N2934">
        <v>1119.95</v>
      </c>
      <c r="O2934" t="s">
        <v>648</v>
      </c>
      <c r="P2934">
        <v>8959.6</v>
      </c>
      <c r="Q2934" t="s">
        <v>183</v>
      </c>
    </row>
    <row r="2935" spans="1:17" x14ac:dyDescent="0.25">
      <c r="A2935" t="s">
        <v>1064</v>
      </c>
      <c r="B2935" t="s">
        <v>1055</v>
      </c>
      <c r="C2935" t="s">
        <v>175</v>
      </c>
      <c r="D2935" t="s">
        <v>410</v>
      </c>
      <c r="E2935" t="s">
        <v>411</v>
      </c>
      <c r="F2935">
        <v>0.01</v>
      </c>
      <c r="G2935" t="s">
        <v>412</v>
      </c>
      <c r="H2935">
        <v>0</v>
      </c>
      <c r="I2935">
        <v>150</v>
      </c>
      <c r="J2935" s="10">
        <v>0</v>
      </c>
      <c r="K2935" s="10">
        <f>SUMIFS(F:F,D:D,DST_123_ÜRETİM_İHTİYAÇ_RAPORU_BURAK_YENI1309[[#This Row],[ALT_KOD]])-(SUMIFS(H:H,D:D,DST_123_ÜRETİM_İHTİYAÇ_RAPORU_BURAK_YENI1309[[#This Row],[ALT_KOD]])+AVERAGEIFS(I:I,D:D,DST_123_ÜRETİM_İHTİYAÇ_RAPORU_BURAK_YENI1309[[#This Row],[ALT_KOD]])+AVERAGEIFS(L:L,D:D,DST_123_ÜRETİM_İHTİYAÇ_RAPORU_BURAK_YENI1309[[#This Row],[ALT_KOD]]))</f>
        <v>-149.76499999999999</v>
      </c>
      <c r="L2935">
        <v>0</v>
      </c>
      <c r="M2935">
        <f>IF((DST_123_ÜRETİM_İHTİYAÇ_RAPORU_BURAK_YENI1309[[#This Row],[SATINALMA]]*DST_123_ÜRETİM_İHTİYAÇ_RAPORU_BURAK_YENI1309[[#This Row],[BIRIM_FIYATLAR]])&lt;1,VALUE("0"),DST_123_ÜRETİM_İHTİYAÇ_RAPORU_BURAK_YENI1309[[#This Row],[SATINALMA]]*DST_123_ÜRETİM_İHTİYAÇ_RAPORU_BURAK_YENI1309[[#This Row],[BIRIM_FIYATLAR]])</f>
        <v>0</v>
      </c>
      <c r="N2935">
        <v>1.8</v>
      </c>
      <c r="O2935" t="s">
        <v>220</v>
      </c>
      <c r="P2935">
        <v>1.8000000000000002E-2</v>
      </c>
      <c r="Q2935" t="s">
        <v>180</v>
      </c>
    </row>
    <row r="2936" spans="1:17" x14ac:dyDescent="0.25">
      <c r="A2936" t="s">
        <v>1149</v>
      </c>
      <c r="B2936" t="s">
        <v>1145</v>
      </c>
      <c r="C2936" t="s">
        <v>175</v>
      </c>
      <c r="D2936" t="s">
        <v>556</v>
      </c>
      <c r="E2936" t="s">
        <v>557</v>
      </c>
      <c r="F2936">
        <v>0.1</v>
      </c>
      <c r="G2936" t="s">
        <v>176</v>
      </c>
      <c r="H2936">
        <v>0</v>
      </c>
      <c r="I2936">
        <v>33</v>
      </c>
      <c r="J2936" s="10">
        <v>6.0999999999999988</v>
      </c>
      <c r="K2936" s="10">
        <f>SUMIFS(F:F,D:D,DST_123_ÜRETİM_İHTİYAÇ_RAPORU_BURAK_YENI1309[[#This Row],[ALT_KOD]])-(SUMIFS(H:H,D:D,DST_123_ÜRETİM_İHTİYAÇ_RAPORU_BURAK_YENI1309[[#This Row],[ALT_KOD]])+AVERAGEIFS(I:I,D:D,DST_123_ÜRETİM_İHTİYAÇ_RAPORU_BURAK_YENI1309[[#This Row],[ALT_KOD]])+AVERAGEIFS(L:L,D:D,DST_123_ÜRETİM_İHTİYAÇ_RAPORU_BURAK_YENI1309[[#This Row],[ALT_KOD]]))</f>
        <v>-32.299999999999997</v>
      </c>
      <c r="L2936">
        <v>0</v>
      </c>
      <c r="M2936">
        <f>IF((DST_123_ÜRETİM_İHTİYAÇ_RAPORU_BURAK_YENI1309[[#This Row],[SATINALMA]]*DST_123_ÜRETİM_İHTİYAÇ_RAPORU_BURAK_YENI1309[[#This Row],[BIRIM_FIYATLAR]])&lt;1,VALUE("0"),DST_123_ÜRETİM_İHTİYAÇ_RAPORU_BURAK_YENI1309[[#This Row],[SATINALMA]]*DST_123_ÜRETİM_İHTİYAÇ_RAPORU_BURAK_YENI1309[[#This Row],[BIRIM_FIYATLAR]])</f>
        <v>0</v>
      </c>
      <c r="N2936">
        <v>25</v>
      </c>
      <c r="O2936" t="s">
        <v>240</v>
      </c>
      <c r="P2936">
        <v>2.5</v>
      </c>
      <c r="Q2936" t="s">
        <v>180</v>
      </c>
    </row>
    <row r="2937" spans="1:17" x14ac:dyDescent="0.25">
      <c r="A2937" t="s">
        <v>1146</v>
      </c>
      <c r="B2937" t="s">
        <v>1145</v>
      </c>
      <c r="C2937" t="s">
        <v>175</v>
      </c>
      <c r="D2937" t="s">
        <v>556</v>
      </c>
      <c r="E2937" t="s">
        <v>557</v>
      </c>
      <c r="F2937">
        <v>0.1</v>
      </c>
      <c r="G2937" t="s">
        <v>176</v>
      </c>
      <c r="H2937">
        <v>0</v>
      </c>
      <c r="I2937">
        <v>33</v>
      </c>
      <c r="J2937" s="10">
        <v>6.0999999999999988</v>
      </c>
      <c r="K2937" s="10">
        <f>SUMIFS(F:F,D:D,DST_123_ÜRETİM_İHTİYAÇ_RAPORU_BURAK_YENI1309[[#This Row],[ALT_KOD]])-(SUMIFS(H:H,D:D,DST_123_ÜRETİM_İHTİYAÇ_RAPORU_BURAK_YENI1309[[#This Row],[ALT_KOD]])+AVERAGEIFS(I:I,D:D,DST_123_ÜRETİM_İHTİYAÇ_RAPORU_BURAK_YENI1309[[#This Row],[ALT_KOD]])+AVERAGEIFS(L:L,D:D,DST_123_ÜRETİM_İHTİYAÇ_RAPORU_BURAK_YENI1309[[#This Row],[ALT_KOD]]))</f>
        <v>-32.299999999999997</v>
      </c>
      <c r="L2937">
        <v>0</v>
      </c>
      <c r="M2937">
        <f>IF((DST_123_ÜRETİM_İHTİYAÇ_RAPORU_BURAK_YENI1309[[#This Row],[SATINALMA]]*DST_123_ÜRETİM_İHTİYAÇ_RAPORU_BURAK_YENI1309[[#This Row],[BIRIM_FIYATLAR]])&lt;1,VALUE("0"),DST_123_ÜRETİM_İHTİYAÇ_RAPORU_BURAK_YENI1309[[#This Row],[SATINALMA]]*DST_123_ÜRETİM_İHTİYAÇ_RAPORU_BURAK_YENI1309[[#This Row],[BIRIM_FIYATLAR]])</f>
        <v>0</v>
      </c>
      <c r="N2937">
        <v>25</v>
      </c>
      <c r="O2937" t="s">
        <v>240</v>
      </c>
      <c r="P2937">
        <v>2.5</v>
      </c>
      <c r="Q2937" t="s">
        <v>180</v>
      </c>
    </row>
    <row r="2938" spans="1:17" x14ac:dyDescent="0.25">
      <c r="A2938" t="s">
        <v>1149</v>
      </c>
      <c r="B2938" t="s">
        <v>1145</v>
      </c>
      <c r="C2938" t="s">
        <v>175</v>
      </c>
      <c r="D2938" t="s">
        <v>575</v>
      </c>
      <c r="E2938" t="s">
        <v>576</v>
      </c>
      <c r="F2938">
        <v>4.4000000000000004</v>
      </c>
      <c r="G2938" t="s">
        <v>176</v>
      </c>
      <c r="H2938">
        <v>0</v>
      </c>
      <c r="I2938">
        <v>85</v>
      </c>
      <c r="J2938" s="10">
        <v>3.6500000000000128</v>
      </c>
      <c r="K2938" s="10">
        <f>SUMIFS(F:F,D:D,DST_123_ÜRETİM_İHTİYAÇ_RAPORU_BURAK_YENI1309[[#This Row],[ALT_KOD]])-(SUMIFS(H:H,D:D,DST_123_ÜRETİM_İHTİYAÇ_RAPORU_BURAK_YENI1309[[#This Row],[ALT_KOD]])+AVERAGEIFS(I:I,D:D,DST_123_ÜRETİM_İHTİYAÇ_RAPORU_BURAK_YENI1309[[#This Row],[ALT_KOD]])+AVERAGEIFS(L:L,D:D,DST_123_ÜRETİM_İHTİYAÇ_RAPORU_BURAK_YENI1309[[#This Row],[ALT_KOD]]))</f>
        <v>12.550000000000011</v>
      </c>
      <c r="L2938">
        <v>0</v>
      </c>
      <c r="M2938">
        <f>IF((DST_123_ÜRETİM_İHTİYAÇ_RAPORU_BURAK_YENI1309[[#This Row],[SATINALMA]]*DST_123_ÜRETİM_İHTİYAÇ_RAPORU_BURAK_YENI1309[[#This Row],[BIRIM_FIYATLAR]])&lt;1,VALUE("0"),DST_123_ÜRETİM_İHTİYAÇ_RAPORU_BURAK_YENI1309[[#This Row],[SATINALMA]]*DST_123_ÜRETİM_İHTİYAÇ_RAPORU_BURAK_YENI1309[[#This Row],[BIRIM_FIYATLAR]])</f>
        <v>4368.7805000000044</v>
      </c>
      <c r="N2938">
        <v>348.11</v>
      </c>
      <c r="O2938" t="s">
        <v>250</v>
      </c>
      <c r="P2938">
        <v>1531.6840000000002</v>
      </c>
      <c r="Q2938" t="s">
        <v>183</v>
      </c>
    </row>
    <row r="2939" spans="1:17" x14ac:dyDescent="0.25">
      <c r="A2939" t="s">
        <v>1147</v>
      </c>
      <c r="B2939" t="s">
        <v>1145</v>
      </c>
      <c r="C2939" t="s">
        <v>175</v>
      </c>
      <c r="D2939" t="s">
        <v>649</v>
      </c>
      <c r="E2939" t="s">
        <v>650</v>
      </c>
      <c r="F2939">
        <v>6</v>
      </c>
      <c r="G2939" t="s">
        <v>185</v>
      </c>
      <c r="H2939">
        <v>0</v>
      </c>
      <c r="I2939">
        <v>0</v>
      </c>
      <c r="J2939" s="10">
        <v>65</v>
      </c>
      <c r="K2939" s="10">
        <f>SUMIFS(F:F,D:D,DST_123_ÜRETİM_İHTİYAÇ_RAPORU_BURAK_YENI1309[[#This Row],[ALT_KOD]])-(SUMIFS(H:H,D:D,DST_123_ÜRETİM_İHTİYAÇ_RAPORU_BURAK_YENI1309[[#This Row],[ALT_KOD]])+AVERAGEIFS(I:I,D:D,DST_123_ÜRETİM_İHTİYAÇ_RAPORU_BURAK_YENI1309[[#This Row],[ALT_KOD]])+AVERAGEIFS(L:L,D:D,DST_123_ÜRETİM_İHTİYAÇ_RAPORU_BURAK_YENI1309[[#This Row],[ALT_KOD]]))</f>
        <v>119</v>
      </c>
      <c r="L2939">
        <v>0</v>
      </c>
      <c r="M2939">
        <f>IF((DST_123_ÜRETİM_İHTİYAÇ_RAPORU_BURAK_YENI1309[[#This Row],[SATINALMA]]*DST_123_ÜRETİM_İHTİYAÇ_RAPORU_BURAK_YENI1309[[#This Row],[BIRIM_FIYATLAR]])&lt;1,VALUE("0"),DST_123_ÜRETİM_İHTİYAÇ_RAPORU_BURAK_YENI1309[[#This Row],[SATINALMA]]*DST_123_ÜRETİM_İHTİYAÇ_RAPORU_BURAK_YENI1309[[#This Row],[BIRIM_FIYATLAR]])</f>
        <v>133274.05000000002</v>
      </c>
      <c r="N2939">
        <v>1119.95</v>
      </c>
      <c r="O2939" t="s">
        <v>648</v>
      </c>
      <c r="P2939">
        <v>6719.7000000000007</v>
      </c>
      <c r="Q2939" t="s">
        <v>183</v>
      </c>
    </row>
    <row r="2940" spans="1:17" x14ac:dyDescent="0.25">
      <c r="A2940" t="s">
        <v>1057</v>
      </c>
      <c r="B2940" t="s">
        <v>1058</v>
      </c>
      <c r="C2940" t="s">
        <v>175</v>
      </c>
      <c r="D2940" t="s">
        <v>949</v>
      </c>
      <c r="E2940" t="s">
        <v>950</v>
      </c>
      <c r="F2940">
        <v>1</v>
      </c>
      <c r="G2940" t="s">
        <v>176</v>
      </c>
      <c r="H2940">
        <v>0</v>
      </c>
      <c r="I2940">
        <v>4</v>
      </c>
      <c r="J2940" s="10">
        <v>4</v>
      </c>
      <c r="K2940" s="10">
        <f>SUMIFS(F:F,D:D,DST_123_ÜRETİM_İHTİYAÇ_RAPORU_BURAK_YENI1309[[#This Row],[ALT_KOD]])-(SUMIFS(H:H,D:D,DST_123_ÜRETİM_İHTİYAÇ_RAPORU_BURAK_YENI1309[[#This Row],[ALT_KOD]])+AVERAGEIFS(I:I,D:D,DST_123_ÜRETİM_İHTİYAÇ_RAPORU_BURAK_YENI1309[[#This Row],[ALT_KOD]])+AVERAGEIFS(L:L,D:D,DST_123_ÜRETİM_İHTİYAÇ_RAPORU_BURAK_YENI1309[[#This Row],[ALT_KOD]]))</f>
        <v>0</v>
      </c>
      <c r="L2940">
        <v>0</v>
      </c>
      <c r="M2940">
        <f>IF((DST_123_ÜRETİM_İHTİYAÇ_RAPORU_BURAK_YENI1309[[#This Row],[SATINALMA]]*DST_123_ÜRETİM_İHTİYAÇ_RAPORU_BURAK_YENI1309[[#This Row],[BIRIM_FIYATLAR]])&lt;1,VALUE("0"),DST_123_ÜRETİM_İHTİYAÇ_RAPORU_BURAK_YENI1309[[#This Row],[SATINALMA]]*DST_123_ÜRETİM_İHTİYAÇ_RAPORU_BURAK_YENI1309[[#This Row],[BIRIM_FIYATLAR]])</f>
        <v>0</v>
      </c>
      <c r="N2940">
        <v>3256.79</v>
      </c>
      <c r="O2940" t="s">
        <v>634</v>
      </c>
      <c r="P2940">
        <v>3256.79</v>
      </c>
      <c r="Q2940" t="s">
        <v>177</v>
      </c>
    </row>
    <row r="2941" spans="1:17" x14ac:dyDescent="0.25">
      <c r="A2941" t="s">
        <v>1100</v>
      </c>
      <c r="B2941" t="s">
        <v>1058</v>
      </c>
      <c r="C2941" t="s">
        <v>175</v>
      </c>
      <c r="D2941" t="s">
        <v>949</v>
      </c>
      <c r="E2941" t="s">
        <v>950</v>
      </c>
      <c r="F2941">
        <v>1</v>
      </c>
      <c r="G2941" t="s">
        <v>176</v>
      </c>
      <c r="H2941">
        <v>0</v>
      </c>
      <c r="I2941">
        <v>4</v>
      </c>
      <c r="J2941" s="10">
        <v>4</v>
      </c>
      <c r="K2941" s="10">
        <f>SUMIFS(F:F,D:D,DST_123_ÜRETİM_İHTİYAÇ_RAPORU_BURAK_YENI1309[[#This Row],[ALT_KOD]])-(SUMIFS(H:H,D:D,DST_123_ÜRETİM_İHTİYAÇ_RAPORU_BURAK_YENI1309[[#This Row],[ALT_KOD]])+AVERAGEIFS(I:I,D:D,DST_123_ÜRETİM_İHTİYAÇ_RAPORU_BURAK_YENI1309[[#This Row],[ALT_KOD]])+AVERAGEIFS(L:L,D:D,DST_123_ÜRETİM_İHTİYAÇ_RAPORU_BURAK_YENI1309[[#This Row],[ALT_KOD]]))</f>
        <v>0</v>
      </c>
      <c r="L2941">
        <v>0</v>
      </c>
      <c r="M2941">
        <f>IF((DST_123_ÜRETİM_İHTİYAÇ_RAPORU_BURAK_YENI1309[[#This Row],[SATINALMA]]*DST_123_ÜRETİM_İHTİYAÇ_RAPORU_BURAK_YENI1309[[#This Row],[BIRIM_FIYATLAR]])&lt;1,VALUE("0"),DST_123_ÜRETİM_İHTİYAÇ_RAPORU_BURAK_YENI1309[[#This Row],[SATINALMA]]*DST_123_ÜRETİM_İHTİYAÇ_RAPORU_BURAK_YENI1309[[#This Row],[BIRIM_FIYATLAR]])</f>
        <v>0</v>
      </c>
      <c r="N2941">
        <v>3256.79</v>
      </c>
      <c r="O2941" t="s">
        <v>634</v>
      </c>
      <c r="P2941">
        <v>3256.79</v>
      </c>
      <c r="Q2941" t="s">
        <v>177</v>
      </c>
    </row>
    <row r="2942" spans="1:17" x14ac:dyDescent="0.25">
      <c r="A2942" t="s">
        <v>1147</v>
      </c>
      <c r="B2942" t="s">
        <v>1145</v>
      </c>
      <c r="C2942" t="s">
        <v>175</v>
      </c>
      <c r="D2942" t="s">
        <v>410</v>
      </c>
      <c r="E2942" t="s">
        <v>411</v>
      </c>
      <c r="F2942">
        <v>0.01</v>
      </c>
      <c r="G2942" t="s">
        <v>412</v>
      </c>
      <c r="H2942">
        <v>0</v>
      </c>
      <c r="I2942">
        <v>150</v>
      </c>
      <c r="J2942" s="10">
        <v>0</v>
      </c>
      <c r="K2942" s="10">
        <f>SUMIFS(F:F,D:D,DST_123_ÜRETİM_İHTİYAÇ_RAPORU_BURAK_YENI1309[[#This Row],[ALT_KOD]])-(SUMIFS(H:H,D:D,DST_123_ÜRETİM_İHTİYAÇ_RAPORU_BURAK_YENI1309[[#This Row],[ALT_KOD]])+AVERAGEIFS(I:I,D:D,DST_123_ÜRETİM_İHTİYAÇ_RAPORU_BURAK_YENI1309[[#This Row],[ALT_KOD]])+AVERAGEIFS(L:L,D:D,DST_123_ÜRETİM_İHTİYAÇ_RAPORU_BURAK_YENI1309[[#This Row],[ALT_KOD]]))</f>
        <v>-149.76499999999999</v>
      </c>
      <c r="L2942">
        <v>0</v>
      </c>
      <c r="M2942">
        <f>IF((DST_123_ÜRETİM_İHTİYAÇ_RAPORU_BURAK_YENI1309[[#This Row],[SATINALMA]]*DST_123_ÜRETİM_İHTİYAÇ_RAPORU_BURAK_YENI1309[[#This Row],[BIRIM_FIYATLAR]])&lt;1,VALUE("0"),DST_123_ÜRETİM_İHTİYAÇ_RAPORU_BURAK_YENI1309[[#This Row],[SATINALMA]]*DST_123_ÜRETİM_İHTİYAÇ_RAPORU_BURAK_YENI1309[[#This Row],[BIRIM_FIYATLAR]])</f>
        <v>0</v>
      </c>
      <c r="N2942">
        <v>1.8</v>
      </c>
      <c r="O2942" t="s">
        <v>220</v>
      </c>
      <c r="P2942">
        <v>1.8000000000000002E-2</v>
      </c>
      <c r="Q2942" t="s">
        <v>180</v>
      </c>
    </row>
    <row r="2943" spans="1:17" x14ac:dyDescent="0.25">
      <c r="A2943" t="s">
        <v>1100</v>
      </c>
      <c r="B2943" t="s">
        <v>1058</v>
      </c>
      <c r="C2943" t="s">
        <v>175</v>
      </c>
      <c r="D2943" t="s">
        <v>410</v>
      </c>
      <c r="E2943" t="s">
        <v>411</v>
      </c>
      <c r="F2943">
        <v>0.01</v>
      </c>
      <c r="G2943" t="s">
        <v>412</v>
      </c>
      <c r="H2943">
        <v>0</v>
      </c>
      <c r="I2943">
        <v>150</v>
      </c>
      <c r="J2943" s="10">
        <v>0</v>
      </c>
      <c r="K2943" s="10">
        <f>SUMIFS(F:F,D:D,DST_123_ÜRETİM_İHTİYAÇ_RAPORU_BURAK_YENI1309[[#This Row],[ALT_KOD]])-(SUMIFS(H:H,D:D,DST_123_ÜRETİM_İHTİYAÇ_RAPORU_BURAK_YENI1309[[#This Row],[ALT_KOD]])+AVERAGEIFS(I:I,D:D,DST_123_ÜRETİM_İHTİYAÇ_RAPORU_BURAK_YENI1309[[#This Row],[ALT_KOD]])+AVERAGEIFS(L:L,D:D,DST_123_ÜRETİM_İHTİYAÇ_RAPORU_BURAK_YENI1309[[#This Row],[ALT_KOD]]))</f>
        <v>-149.76499999999999</v>
      </c>
      <c r="L2943">
        <v>0</v>
      </c>
      <c r="M2943">
        <f>IF((DST_123_ÜRETİM_İHTİYAÇ_RAPORU_BURAK_YENI1309[[#This Row],[SATINALMA]]*DST_123_ÜRETİM_İHTİYAÇ_RAPORU_BURAK_YENI1309[[#This Row],[BIRIM_FIYATLAR]])&lt;1,VALUE("0"),DST_123_ÜRETİM_İHTİYAÇ_RAPORU_BURAK_YENI1309[[#This Row],[SATINALMA]]*DST_123_ÜRETİM_İHTİYAÇ_RAPORU_BURAK_YENI1309[[#This Row],[BIRIM_FIYATLAR]])</f>
        <v>0</v>
      </c>
      <c r="N2943">
        <v>1.8</v>
      </c>
      <c r="O2943" t="s">
        <v>220</v>
      </c>
      <c r="P2943">
        <v>1.8000000000000002E-2</v>
      </c>
      <c r="Q2943" t="s">
        <v>180</v>
      </c>
    </row>
    <row r="2944" spans="1:17" x14ac:dyDescent="0.25">
      <c r="A2944" t="s">
        <v>1147</v>
      </c>
      <c r="B2944" t="s">
        <v>1145</v>
      </c>
      <c r="C2944" t="s">
        <v>175</v>
      </c>
      <c r="D2944" t="s">
        <v>437</v>
      </c>
      <c r="E2944" t="s">
        <v>438</v>
      </c>
      <c r="F2944">
        <v>1</v>
      </c>
      <c r="G2944" t="s">
        <v>176</v>
      </c>
      <c r="H2944">
        <v>0</v>
      </c>
      <c r="I2944">
        <v>24</v>
      </c>
      <c r="J2944" s="10">
        <v>5</v>
      </c>
      <c r="K2944" s="10">
        <f>SUMIFS(F:F,D:D,DST_123_ÜRETİM_İHTİYAÇ_RAPORU_BURAK_YENI1309[[#This Row],[ALT_KOD]])-(SUMIFS(H:H,D:D,DST_123_ÜRETİM_İHTİYAÇ_RAPORU_BURAK_YENI1309[[#This Row],[ALT_KOD]])+AVERAGEIFS(I:I,D:D,DST_123_ÜRETİM_İHTİYAÇ_RAPORU_BURAK_YENI1309[[#This Row],[ALT_KOD]])+AVERAGEIFS(L:L,D:D,DST_123_ÜRETİM_İHTİYAÇ_RAPORU_BURAK_YENI1309[[#This Row],[ALT_KOD]]))</f>
        <v>-12</v>
      </c>
      <c r="L2944">
        <v>0</v>
      </c>
      <c r="M2944">
        <f>IF((DST_123_ÜRETİM_İHTİYAÇ_RAPORU_BURAK_YENI1309[[#This Row],[SATINALMA]]*DST_123_ÜRETİM_İHTİYAÇ_RAPORU_BURAK_YENI1309[[#This Row],[BIRIM_FIYATLAR]])&lt;1,VALUE("0"),DST_123_ÜRETİM_İHTİYAÇ_RAPORU_BURAK_YENI1309[[#This Row],[SATINALMA]]*DST_123_ÜRETİM_İHTİYAÇ_RAPORU_BURAK_YENI1309[[#This Row],[BIRIM_FIYATLAR]])</f>
        <v>0</v>
      </c>
      <c r="N2944">
        <v>360.19</v>
      </c>
      <c r="O2944" t="s">
        <v>636</v>
      </c>
      <c r="P2944">
        <v>360.19</v>
      </c>
      <c r="Q2944" t="s">
        <v>178</v>
      </c>
    </row>
    <row r="2945" spans="1:17" x14ac:dyDescent="0.25">
      <c r="A2945" t="s">
        <v>1148</v>
      </c>
      <c r="B2945" t="s">
        <v>1056</v>
      </c>
      <c r="C2945" t="s">
        <v>175</v>
      </c>
      <c r="D2945" t="s">
        <v>437</v>
      </c>
      <c r="E2945" t="s">
        <v>438</v>
      </c>
      <c r="F2945">
        <v>1</v>
      </c>
      <c r="G2945" t="s">
        <v>176</v>
      </c>
      <c r="H2945">
        <v>0</v>
      </c>
      <c r="I2945">
        <v>24</v>
      </c>
      <c r="J2945" s="10">
        <v>5</v>
      </c>
      <c r="K2945" s="10">
        <f>SUMIFS(F:F,D:D,DST_123_ÜRETİM_İHTİYAÇ_RAPORU_BURAK_YENI1309[[#This Row],[ALT_KOD]])-(SUMIFS(H:H,D:D,DST_123_ÜRETİM_İHTİYAÇ_RAPORU_BURAK_YENI1309[[#This Row],[ALT_KOD]])+AVERAGEIFS(I:I,D:D,DST_123_ÜRETİM_İHTİYAÇ_RAPORU_BURAK_YENI1309[[#This Row],[ALT_KOD]])+AVERAGEIFS(L:L,D:D,DST_123_ÜRETİM_İHTİYAÇ_RAPORU_BURAK_YENI1309[[#This Row],[ALT_KOD]]))</f>
        <v>-12</v>
      </c>
      <c r="L2945">
        <v>0</v>
      </c>
      <c r="M2945">
        <f>IF((DST_123_ÜRETİM_İHTİYAÇ_RAPORU_BURAK_YENI1309[[#This Row],[SATINALMA]]*DST_123_ÜRETİM_İHTİYAÇ_RAPORU_BURAK_YENI1309[[#This Row],[BIRIM_FIYATLAR]])&lt;1,VALUE("0"),DST_123_ÜRETİM_İHTİYAÇ_RAPORU_BURAK_YENI1309[[#This Row],[SATINALMA]]*DST_123_ÜRETİM_İHTİYAÇ_RAPORU_BURAK_YENI1309[[#This Row],[BIRIM_FIYATLAR]])</f>
        <v>0</v>
      </c>
      <c r="N2945">
        <v>360.19</v>
      </c>
      <c r="O2945" t="s">
        <v>636</v>
      </c>
      <c r="P2945">
        <v>360.19</v>
      </c>
      <c r="Q2945" t="s">
        <v>178</v>
      </c>
    </row>
    <row r="2946" spans="1:17" x14ac:dyDescent="0.25">
      <c r="A2946" t="s">
        <v>1143</v>
      </c>
      <c r="B2946" t="s">
        <v>1056</v>
      </c>
      <c r="C2946" t="s">
        <v>175</v>
      </c>
      <c r="D2946" t="s">
        <v>957</v>
      </c>
      <c r="E2946" t="s">
        <v>958</v>
      </c>
      <c r="F2946">
        <v>1</v>
      </c>
      <c r="G2946" t="s">
        <v>176</v>
      </c>
      <c r="H2946">
        <v>0</v>
      </c>
      <c r="I2946">
        <v>2</v>
      </c>
      <c r="J2946" s="10">
        <v>1</v>
      </c>
      <c r="K2946" s="10">
        <f>SUMIFS(F:F,D:D,DST_123_ÜRETİM_İHTİYAÇ_RAPORU_BURAK_YENI1309[[#This Row],[ALT_KOD]])-(SUMIFS(H:H,D:D,DST_123_ÜRETİM_İHTİYAÇ_RAPORU_BURAK_YENI1309[[#This Row],[ALT_KOD]])+AVERAGEIFS(I:I,D:D,DST_123_ÜRETİM_İHTİYAÇ_RAPORU_BURAK_YENI1309[[#This Row],[ALT_KOD]])+AVERAGEIFS(L:L,D:D,DST_123_ÜRETİM_İHTİYAÇ_RAPORU_BURAK_YENI1309[[#This Row],[ALT_KOD]]))</f>
        <v>1</v>
      </c>
      <c r="L2946">
        <v>0</v>
      </c>
      <c r="M2946">
        <f>IF((DST_123_ÜRETİM_İHTİYAÇ_RAPORU_BURAK_YENI1309[[#This Row],[SATINALMA]]*DST_123_ÜRETİM_İHTİYAÇ_RAPORU_BURAK_YENI1309[[#This Row],[BIRIM_FIYATLAR]])&lt;1,VALUE("0"),DST_123_ÜRETİM_İHTİYAÇ_RAPORU_BURAK_YENI1309[[#This Row],[SATINALMA]]*DST_123_ÜRETİM_İHTİYAÇ_RAPORU_BURAK_YENI1309[[#This Row],[BIRIM_FIYATLAR]])</f>
        <v>11815.53</v>
      </c>
      <c r="N2946">
        <v>11815.53</v>
      </c>
      <c r="O2946" t="s">
        <v>227</v>
      </c>
      <c r="P2946">
        <v>11815.53</v>
      </c>
      <c r="Q2946" t="s">
        <v>221</v>
      </c>
    </row>
    <row r="2947" spans="1:17" x14ac:dyDescent="0.25">
      <c r="A2947" t="s">
        <v>1095</v>
      </c>
      <c r="B2947" t="s">
        <v>1096</v>
      </c>
      <c r="C2947" t="s">
        <v>175</v>
      </c>
      <c r="D2947" t="s">
        <v>1115</v>
      </c>
      <c r="E2947" t="s">
        <v>1116</v>
      </c>
      <c r="F2947">
        <v>13</v>
      </c>
      <c r="G2947" t="s">
        <v>182</v>
      </c>
      <c r="H2947">
        <v>0</v>
      </c>
      <c r="I2947">
        <v>0</v>
      </c>
      <c r="J2947" s="10">
        <v>36.530000000000058</v>
      </c>
      <c r="K2947" s="10">
        <f>SUMIFS(F:F,D:D,DST_123_ÜRETİM_İHTİYAÇ_RAPORU_BURAK_YENI1309[[#This Row],[ALT_KOD]])-(SUMIFS(H:H,D:D,DST_123_ÜRETİM_İHTİYAÇ_RAPORU_BURAK_YENI1309[[#This Row],[ALT_KOD]])+AVERAGEIFS(I:I,D:D,DST_123_ÜRETİM_İHTİYAÇ_RAPORU_BURAK_YENI1309[[#This Row],[ALT_KOD]])+AVERAGEIFS(L:L,D:D,DST_123_ÜRETİM_İHTİYAÇ_RAPORU_BURAK_YENI1309[[#This Row],[ALT_KOD]]))</f>
        <v>13</v>
      </c>
      <c r="L2947">
        <v>0</v>
      </c>
      <c r="M2947">
        <f>IF((DST_123_ÜRETİM_İHTİYAÇ_RAPORU_BURAK_YENI1309[[#This Row],[SATINALMA]]*DST_123_ÜRETİM_İHTİYAÇ_RAPORU_BURAK_YENI1309[[#This Row],[BIRIM_FIYATLAR]])&lt;1,VALUE("0"),DST_123_ÜRETİM_İHTİYAÇ_RAPORU_BURAK_YENI1309[[#This Row],[SATINALMA]]*DST_123_ÜRETİM_İHTİYAÇ_RAPORU_BURAK_YENI1309[[#This Row],[BIRIM_FIYATLAR]])</f>
        <v>3908.84</v>
      </c>
      <c r="N2947">
        <v>300.68</v>
      </c>
      <c r="O2947" t="s">
        <v>223</v>
      </c>
      <c r="P2947">
        <v>3908.84</v>
      </c>
      <c r="Q2947" t="s">
        <v>181</v>
      </c>
    </row>
    <row r="2948" spans="1:17" x14ac:dyDescent="0.25">
      <c r="A2948" t="s">
        <v>1095</v>
      </c>
      <c r="B2948" t="s">
        <v>1096</v>
      </c>
      <c r="C2948" t="s">
        <v>175</v>
      </c>
      <c r="D2948" t="s">
        <v>649</v>
      </c>
      <c r="E2948" t="s">
        <v>650</v>
      </c>
      <c r="F2948">
        <v>6</v>
      </c>
      <c r="G2948" t="s">
        <v>185</v>
      </c>
      <c r="H2948">
        <v>0</v>
      </c>
      <c r="I2948">
        <v>0</v>
      </c>
      <c r="J2948" s="10">
        <v>65</v>
      </c>
      <c r="K2948" s="10">
        <f>SUMIFS(F:F,D:D,DST_123_ÜRETİM_İHTİYAÇ_RAPORU_BURAK_YENI1309[[#This Row],[ALT_KOD]])-(SUMIFS(H:H,D:D,DST_123_ÜRETİM_İHTİYAÇ_RAPORU_BURAK_YENI1309[[#This Row],[ALT_KOD]])+AVERAGEIFS(I:I,D:D,DST_123_ÜRETİM_İHTİYAÇ_RAPORU_BURAK_YENI1309[[#This Row],[ALT_KOD]])+AVERAGEIFS(L:L,D:D,DST_123_ÜRETİM_İHTİYAÇ_RAPORU_BURAK_YENI1309[[#This Row],[ALT_KOD]]))</f>
        <v>119</v>
      </c>
      <c r="L2948">
        <v>0</v>
      </c>
      <c r="M2948">
        <f>IF((DST_123_ÜRETİM_İHTİYAÇ_RAPORU_BURAK_YENI1309[[#This Row],[SATINALMA]]*DST_123_ÜRETİM_İHTİYAÇ_RAPORU_BURAK_YENI1309[[#This Row],[BIRIM_FIYATLAR]])&lt;1,VALUE("0"),DST_123_ÜRETİM_İHTİYAÇ_RAPORU_BURAK_YENI1309[[#This Row],[SATINALMA]]*DST_123_ÜRETİM_İHTİYAÇ_RAPORU_BURAK_YENI1309[[#This Row],[BIRIM_FIYATLAR]])</f>
        <v>133274.05000000002</v>
      </c>
      <c r="N2948">
        <v>1119.95</v>
      </c>
      <c r="O2948" t="s">
        <v>648</v>
      </c>
      <c r="P2948">
        <v>6719.7000000000007</v>
      </c>
      <c r="Q2948" t="s">
        <v>183</v>
      </c>
    </row>
    <row r="2949" spans="1:17" x14ac:dyDescent="0.25">
      <c r="A2949" t="s">
        <v>1059</v>
      </c>
      <c r="B2949" t="s">
        <v>1058</v>
      </c>
      <c r="C2949" t="s">
        <v>175</v>
      </c>
      <c r="D2949" t="s">
        <v>949</v>
      </c>
      <c r="E2949" t="s">
        <v>950</v>
      </c>
      <c r="F2949">
        <v>1</v>
      </c>
      <c r="G2949" t="s">
        <v>176</v>
      </c>
      <c r="H2949">
        <v>0</v>
      </c>
      <c r="I2949">
        <v>4</v>
      </c>
      <c r="J2949" s="10">
        <v>4</v>
      </c>
      <c r="K2949" s="10">
        <f>SUMIFS(F:F,D:D,DST_123_ÜRETİM_İHTİYAÇ_RAPORU_BURAK_YENI1309[[#This Row],[ALT_KOD]])-(SUMIFS(H:H,D:D,DST_123_ÜRETİM_İHTİYAÇ_RAPORU_BURAK_YENI1309[[#This Row],[ALT_KOD]])+AVERAGEIFS(I:I,D:D,DST_123_ÜRETİM_İHTİYAÇ_RAPORU_BURAK_YENI1309[[#This Row],[ALT_KOD]])+AVERAGEIFS(L:L,D:D,DST_123_ÜRETİM_İHTİYAÇ_RAPORU_BURAK_YENI1309[[#This Row],[ALT_KOD]]))</f>
        <v>0</v>
      </c>
      <c r="L2949">
        <v>0</v>
      </c>
      <c r="M2949">
        <f>IF((DST_123_ÜRETİM_İHTİYAÇ_RAPORU_BURAK_YENI1309[[#This Row],[SATINALMA]]*DST_123_ÜRETİM_İHTİYAÇ_RAPORU_BURAK_YENI1309[[#This Row],[BIRIM_FIYATLAR]])&lt;1,VALUE("0"),DST_123_ÜRETİM_İHTİYAÇ_RAPORU_BURAK_YENI1309[[#This Row],[SATINALMA]]*DST_123_ÜRETİM_İHTİYAÇ_RAPORU_BURAK_YENI1309[[#This Row],[BIRIM_FIYATLAR]])</f>
        <v>0</v>
      </c>
      <c r="N2949">
        <v>3256.79</v>
      </c>
      <c r="O2949" t="s">
        <v>634</v>
      </c>
      <c r="P2949">
        <v>3256.79</v>
      </c>
      <c r="Q2949" t="s">
        <v>177</v>
      </c>
    </row>
    <row r="2950" spans="1:17" x14ac:dyDescent="0.25">
      <c r="A2950" t="s">
        <v>1095</v>
      </c>
      <c r="B2950" t="s">
        <v>1096</v>
      </c>
      <c r="C2950" t="s">
        <v>175</v>
      </c>
      <c r="D2950" t="s">
        <v>410</v>
      </c>
      <c r="E2950" t="s">
        <v>411</v>
      </c>
      <c r="F2950">
        <v>0.01</v>
      </c>
      <c r="G2950" t="s">
        <v>412</v>
      </c>
      <c r="H2950">
        <v>0</v>
      </c>
      <c r="I2950">
        <v>150</v>
      </c>
      <c r="J2950" s="10">
        <v>0</v>
      </c>
      <c r="K2950" s="10">
        <f>SUMIFS(F:F,D:D,DST_123_ÜRETİM_İHTİYAÇ_RAPORU_BURAK_YENI1309[[#This Row],[ALT_KOD]])-(SUMIFS(H:H,D:D,DST_123_ÜRETİM_İHTİYAÇ_RAPORU_BURAK_YENI1309[[#This Row],[ALT_KOD]])+AVERAGEIFS(I:I,D:D,DST_123_ÜRETİM_İHTİYAÇ_RAPORU_BURAK_YENI1309[[#This Row],[ALT_KOD]])+AVERAGEIFS(L:L,D:D,DST_123_ÜRETİM_İHTİYAÇ_RAPORU_BURAK_YENI1309[[#This Row],[ALT_KOD]]))</f>
        <v>-149.76499999999999</v>
      </c>
      <c r="L2950">
        <v>0</v>
      </c>
      <c r="M2950">
        <f>IF((DST_123_ÜRETİM_İHTİYAÇ_RAPORU_BURAK_YENI1309[[#This Row],[SATINALMA]]*DST_123_ÜRETİM_İHTİYAÇ_RAPORU_BURAK_YENI1309[[#This Row],[BIRIM_FIYATLAR]])&lt;1,VALUE("0"),DST_123_ÜRETİM_İHTİYAÇ_RAPORU_BURAK_YENI1309[[#This Row],[SATINALMA]]*DST_123_ÜRETİM_İHTİYAÇ_RAPORU_BURAK_YENI1309[[#This Row],[BIRIM_FIYATLAR]])</f>
        <v>0</v>
      </c>
      <c r="N2950">
        <v>1.8</v>
      </c>
      <c r="O2950" t="s">
        <v>220</v>
      </c>
      <c r="P2950">
        <v>1.8000000000000002E-2</v>
      </c>
      <c r="Q2950" t="s">
        <v>180</v>
      </c>
    </row>
    <row r="2951" spans="1:17" x14ac:dyDescent="0.25">
      <c r="A2951" t="s">
        <v>1095</v>
      </c>
      <c r="B2951" t="s">
        <v>1096</v>
      </c>
      <c r="C2951" t="s">
        <v>175</v>
      </c>
      <c r="D2951" t="s">
        <v>437</v>
      </c>
      <c r="E2951" t="s">
        <v>438</v>
      </c>
      <c r="F2951">
        <v>1</v>
      </c>
      <c r="G2951" t="s">
        <v>176</v>
      </c>
      <c r="H2951">
        <v>0</v>
      </c>
      <c r="I2951">
        <v>24</v>
      </c>
      <c r="J2951" s="10">
        <v>5</v>
      </c>
      <c r="K2951" s="10">
        <f>SUMIFS(F:F,D:D,DST_123_ÜRETİM_İHTİYAÇ_RAPORU_BURAK_YENI1309[[#This Row],[ALT_KOD]])-(SUMIFS(H:H,D:D,DST_123_ÜRETİM_İHTİYAÇ_RAPORU_BURAK_YENI1309[[#This Row],[ALT_KOD]])+AVERAGEIFS(I:I,D:D,DST_123_ÜRETİM_İHTİYAÇ_RAPORU_BURAK_YENI1309[[#This Row],[ALT_KOD]])+AVERAGEIFS(L:L,D:D,DST_123_ÜRETİM_İHTİYAÇ_RAPORU_BURAK_YENI1309[[#This Row],[ALT_KOD]]))</f>
        <v>-12</v>
      </c>
      <c r="L2951">
        <v>0</v>
      </c>
      <c r="M2951">
        <f>IF((DST_123_ÜRETİM_İHTİYAÇ_RAPORU_BURAK_YENI1309[[#This Row],[SATINALMA]]*DST_123_ÜRETİM_İHTİYAÇ_RAPORU_BURAK_YENI1309[[#This Row],[BIRIM_FIYATLAR]])&lt;1,VALUE("0"),DST_123_ÜRETİM_İHTİYAÇ_RAPORU_BURAK_YENI1309[[#This Row],[SATINALMA]]*DST_123_ÜRETİM_İHTİYAÇ_RAPORU_BURAK_YENI1309[[#This Row],[BIRIM_FIYATLAR]])</f>
        <v>0</v>
      </c>
      <c r="N2951">
        <v>360.19</v>
      </c>
      <c r="O2951" t="s">
        <v>636</v>
      </c>
      <c r="P2951">
        <v>360.19</v>
      </c>
      <c r="Q2951" t="s">
        <v>178</v>
      </c>
    </row>
    <row r="2952" spans="1:17" x14ac:dyDescent="0.25">
      <c r="A2952" t="s">
        <v>1143</v>
      </c>
      <c r="B2952" t="s">
        <v>1056</v>
      </c>
      <c r="C2952" t="s">
        <v>175</v>
      </c>
      <c r="D2952" t="s">
        <v>772</v>
      </c>
      <c r="E2952" t="s">
        <v>773</v>
      </c>
      <c r="F2952">
        <v>4</v>
      </c>
      <c r="G2952" t="s">
        <v>176</v>
      </c>
      <c r="H2952">
        <v>0</v>
      </c>
      <c r="I2952">
        <v>56.5</v>
      </c>
      <c r="J2952" s="10">
        <v>26</v>
      </c>
      <c r="K2952" s="10">
        <f>SUMIFS(F:F,D:D,DST_123_ÜRETİM_İHTİYAÇ_RAPORU_BURAK_YENI1309[[#This Row],[ALT_KOD]])-(SUMIFS(H:H,D:D,DST_123_ÜRETİM_İHTİYAÇ_RAPORU_BURAK_YENI1309[[#This Row],[ALT_KOD]])+AVERAGEIFS(I:I,D:D,DST_123_ÜRETİM_İHTİYAÇ_RAPORU_BURAK_YENI1309[[#This Row],[ALT_KOD]])+AVERAGEIFS(L:L,D:D,DST_123_ÜRETİM_İHTİYAÇ_RAPORU_BURAK_YENI1309[[#This Row],[ALT_KOD]]))</f>
        <v>-12.5</v>
      </c>
      <c r="L2952">
        <v>0</v>
      </c>
      <c r="M2952">
        <f>IF((DST_123_ÜRETİM_İHTİYAÇ_RAPORU_BURAK_YENI1309[[#This Row],[SATINALMA]]*DST_123_ÜRETİM_İHTİYAÇ_RAPORU_BURAK_YENI1309[[#This Row],[BIRIM_FIYATLAR]])&lt;1,VALUE("0"),DST_123_ÜRETİM_İHTİYAÇ_RAPORU_BURAK_YENI1309[[#This Row],[SATINALMA]]*DST_123_ÜRETİM_İHTİYAÇ_RAPORU_BURAK_YENI1309[[#This Row],[BIRIM_FIYATLAR]])</f>
        <v>0</v>
      </c>
      <c r="N2952">
        <v>200</v>
      </c>
      <c r="O2952" t="s">
        <v>247</v>
      </c>
      <c r="P2952">
        <v>800</v>
      </c>
      <c r="Q2952" t="s">
        <v>177</v>
      </c>
    </row>
    <row r="2953" spans="1:17" x14ac:dyDescent="0.25">
      <c r="A2953" t="s">
        <v>1095</v>
      </c>
      <c r="B2953" t="s">
        <v>1096</v>
      </c>
      <c r="C2953" t="s">
        <v>175</v>
      </c>
      <c r="D2953" t="s">
        <v>645</v>
      </c>
      <c r="E2953" t="s">
        <v>646</v>
      </c>
      <c r="F2953">
        <v>1</v>
      </c>
      <c r="G2953" t="s">
        <v>176</v>
      </c>
      <c r="H2953">
        <v>0</v>
      </c>
      <c r="I2953">
        <v>1</v>
      </c>
      <c r="J2953" s="10">
        <v>10</v>
      </c>
      <c r="K2953" s="10">
        <f>SUMIFS(F:F,D:D,DST_123_ÜRETİM_İHTİYAÇ_RAPORU_BURAK_YENI1309[[#This Row],[ALT_KOD]])-(SUMIFS(H:H,D:D,DST_123_ÜRETİM_İHTİYAÇ_RAPORU_BURAK_YENI1309[[#This Row],[ALT_KOD]])+AVERAGEIFS(I:I,D:D,DST_123_ÜRETİM_İHTİYAÇ_RAPORU_BURAK_YENI1309[[#This Row],[ALT_KOD]])+AVERAGEIFS(L:L,D:D,DST_123_ÜRETİM_İHTİYAÇ_RAPORU_BURAK_YENI1309[[#This Row],[ALT_KOD]]))</f>
        <v>11</v>
      </c>
      <c r="L2953">
        <v>0</v>
      </c>
      <c r="M2953">
        <f>IF((DST_123_ÜRETİM_İHTİYAÇ_RAPORU_BURAK_YENI1309[[#This Row],[SATINALMA]]*DST_123_ÜRETİM_İHTİYAÇ_RAPORU_BURAK_YENI1309[[#This Row],[BIRIM_FIYATLAR]])&lt;1,VALUE("0"),DST_123_ÜRETİM_İHTİYAÇ_RAPORU_BURAK_YENI1309[[#This Row],[SATINALMA]]*DST_123_ÜRETİM_İHTİYAÇ_RAPORU_BURAK_YENI1309[[#This Row],[BIRIM_FIYATLAR]])</f>
        <v>20020</v>
      </c>
      <c r="N2953">
        <v>1820</v>
      </c>
      <c r="O2953" t="s">
        <v>262</v>
      </c>
      <c r="P2953">
        <v>1820</v>
      </c>
      <c r="Q2953" t="s">
        <v>641</v>
      </c>
    </row>
    <row r="2954" spans="1:17" x14ac:dyDescent="0.25">
      <c r="A2954" t="s">
        <v>1059</v>
      </c>
      <c r="B2954" t="s">
        <v>1058</v>
      </c>
      <c r="C2954" t="s">
        <v>175</v>
      </c>
      <c r="D2954" t="s">
        <v>645</v>
      </c>
      <c r="E2954" t="s">
        <v>646</v>
      </c>
      <c r="F2954">
        <v>1</v>
      </c>
      <c r="G2954" t="s">
        <v>176</v>
      </c>
      <c r="H2954">
        <v>1</v>
      </c>
      <c r="I2954">
        <v>1</v>
      </c>
      <c r="J2954" s="10">
        <v>10</v>
      </c>
      <c r="K2954" s="10">
        <f>SUMIFS(F:F,D:D,DST_123_ÜRETİM_İHTİYAÇ_RAPORU_BURAK_YENI1309[[#This Row],[ALT_KOD]])-(SUMIFS(H:H,D:D,DST_123_ÜRETİM_İHTİYAÇ_RAPORU_BURAK_YENI1309[[#This Row],[ALT_KOD]])+AVERAGEIFS(I:I,D:D,DST_123_ÜRETİM_İHTİYAÇ_RAPORU_BURAK_YENI1309[[#This Row],[ALT_KOD]])+AVERAGEIFS(L:L,D:D,DST_123_ÜRETİM_İHTİYAÇ_RAPORU_BURAK_YENI1309[[#This Row],[ALT_KOD]]))</f>
        <v>11</v>
      </c>
      <c r="L2954">
        <v>0</v>
      </c>
      <c r="M2954">
        <f>IF((DST_123_ÜRETİM_İHTİYAÇ_RAPORU_BURAK_YENI1309[[#This Row],[SATINALMA]]*DST_123_ÜRETİM_İHTİYAÇ_RAPORU_BURAK_YENI1309[[#This Row],[BIRIM_FIYATLAR]])&lt;1,VALUE("0"),DST_123_ÜRETİM_İHTİYAÇ_RAPORU_BURAK_YENI1309[[#This Row],[SATINALMA]]*DST_123_ÜRETİM_İHTİYAÇ_RAPORU_BURAK_YENI1309[[#This Row],[BIRIM_FIYATLAR]])</f>
        <v>20020</v>
      </c>
      <c r="N2954">
        <v>1820</v>
      </c>
      <c r="O2954" t="s">
        <v>262</v>
      </c>
      <c r="P2954">
        <v>1820</v>
      </c>
      <c r="Q2954" t="s">
        <v>641</v>
      </c>
    </row>
    <row r="2955" spans="1:17" x14ac:dyDescent="0.25">
      <c r="A2955" t="s">
        <v>1143</v>
      </c>
      <c r="B2955" t="s">
        <v>1056</v>
      </c>
      <c r="C2955" t="s">
        <v>175</v>
      </c>
      <c r="D2955" t="s">
        <v>645</v>
      </c>
      <c r="E2955" t="s">
        <v>646</v>
      </c>
      <c r="F2955">
        <v>1</v>
      </c>
      <c r="G2955" t="s">
        <v>176</v>
      </c>
      <c r="H2955">
        <v>0</v>
      </c>
      <c r="I2955">
        <v>1</v>
      </c>
      <c r="J2955" s="10">
        <v>10</v>
      </c>
      <c r="K2955" s="10">
        <f>SUMIFS(F:F,D:D,DST_123_ÜRETİM_İHTİYAÇ_RAPORU_BURAK_YENI1309[[#This Row],[ALT_KOD]])-(SUMIFS(H:H,D:D,DST_123_ÜRETİM_İHTİYAÇ_RAPORU_BURAK_YENI1309[[#This Row],[ALT_KOD]])+AVERAGEIFS(I:I,D:D,DST_123_ÜRETİM_İHTİYAÇ_RAPORU_BURAK_YENI1309[[#This Row],[ALT_KOD]])+AVERAGEIFS(L:L,D:D,DST_123_ÜRETİM_İHTİYAÇ_RAPORU_BURAK_YENI1309[[#This Row],[ALT_KOD]]))</f>
        <v>11</v>
      </c>
      <c r="L2955">
        <v>0</v>
      </c>
      <c r="M2955">
        <f>IF((DST_123_ÜRETİM_İHTİYAÇ_RAPORU_BURAK_YENI1309[[#This Row],[SATINALMA]]*DST_123_ÜRETİM_İHTİYAÇ_RAPORU_BURAK_YENI1309[[#This Row],[BIRIM_FIYATLAR]])&lt;1,VALUE("0"),DST_123_ÜRETİM_İHTİYAÇ_RAPORU_BURAK_YENI1309[[#This Row],[SATINALMA]]*DST_123_ÜRETİM_İHTİYAÇ_RAPORU_BURAK_YENI1309[[#This Row],[BIRIM_FIYATLAR]])</f>
        <v>20020</v>
      </c>
      <c r="N2955">
        <v>1820</v>
      </c>
      <c r="O2955" t="s">
        <v>262</v>
      </c>
      <c r="P2955">
        <v>1820</v>
      </c>
      <c r="Q2955" t="s">
        <v>641</v>
      </c>
    </row>
    <row r="2956" spans="1:17" x14ac:dyDescent="0.25">
      <c r="A2956" t="s">
        <v>1059</v>
      </c>
      <c r="B2956" t="s">
        <v>1058</v>
      </c>
      <c r="C2956" t="s">
        <v>175</v>
      </c>
      <c r="D2956" t="s">
        <v>858</v>
      </c>
      <c r="E2956" t="s">
        <v>859</v>
      </c>
      <c r="F2956">
        <v>12</v>
      </c>
      <c r="G2956" t="s">
        <v>176</v>
      </c>
      <c r="H2956">
        <v>0</v>
      </c>
      <c r="I2956">
        <v>100</v>
      </c>
      <c r="J2956" s="10">
        <v>0</v>
      </c>
      <c r="K2956" s="10">
        <f>SUMIFS(F:F,D:D,DST_123_ÜRETİM_İHTİYAÇ_RAPORU_BURAK_YENI1309[[#This Row],[ALT_KOD]])-(SUMIFS(H:H,D:D,DST_123_ÜRETİM_İHTİYAÇ_RAPORU_BURAK_YENI1309[[#This Row],[ALT_KOD]])+AVERAGEIFS(I:I,D:D,DST_123_ÜRETİM_İHTİYAÇ_RAPORU_BURAK_YENI1309[[#This Row],[ALT_KOD]])+AVERAGEIFS(L:L,D:D,DST_123_ÜRETİM_İHTİYAÇ_RAPORU_BURAK_YENI1309[[#This Row],[ALT_KOD]]))</f>
        <v>-64</v>
      </c>
      <c r="L2956">
        <v>0</v>
      </c>
      <c r="M2956">
        <f>IF((DST_123_ÜRETİM_İHTİYAÇ_RAPORU_BURAK_YENI1309[[#This Row],[SATINALMA]]*DST_123_ÜRETİM_İHTİYAÇ_RAPORU_BURAK_YENI1309[[#This Row],[BIRIM_FIYATLAR]])&lt;1,VALUE("0"),DST_123_ÜRETİM_İHTİYAÇ_RAPORU_BURAK_YENI1309[[#This Row],[SATINALMA]]*DST_123_ÜRETİM_İHTİYAÇ_RAPORU_BURAK_YENI1309[[#This Row],[BIRIM_FIYATLAR]])</f>
        <v>0</v>
      </c>
      <c r="N2956">
        <v>21.45</v>
      </c>
      <c r="O2956" t="s">
        <v>860</v>
      </c>
      <c r="P2956">
        <v>257.39999999999998</v>
      </c>
      <c r="Q2956" t="s">
        <v>180</v>
      </c>
    </row>
    <row r="2957" spans="1:17" x14ac:dyDescent="0.25">
      <c r="A2957" t="s">
        <v>1196</v>
      </c>
      <c r="B2957" t="s">
        <v>1197</v>
      </c>
      <c r="C2957" t="s">
        <v>175</v>
      </c>
      <c r="D2957" t="s">
        <v>556</v>
      </c>
      <c r="E2957" t="s">
        <v>557</v>
      </c>
      <c r="F2957">
        <v>0.1</v>
      </c>
      <c r="G2957" t="s">
        <v>176</v>
      </c>
      <c r="H2957">
        <v>0</v>
      </c>
      <c r="I2957">
        <v>33</v>
      </c>
      <c r="J2957" s="10">
        <v>6.0999999999999988</v>
      </c>
      <c r="K2957" s="10">
        <f>SUMIFS(F:F,D:D,DST_123_ÜRETİM_İHTİYAÇ_RAPORU_BURAK_YENI1309[[#This Row],[ALT_KOD]])-(SUMIFS(H:H,D:D,DST_123_ÜRETİM_İHTİYAÇ_RAPORU_BURAK_YENI1309[[#This Row],[ALT_KOD]])+AVERAGEIFS(I:I,D:D,DST_123_ÜRETİM_İHTİYAÇ_RAPORU_BURAK_YENI1309[[#This Row],[ALT_KOD]])+AVERAGEIFS(L:L,D:D,DST_123_ÜRETİM_İHTİYAÇ_RAPORU_BURAK_YENI1309[[#This Row],[ALT_KOD]]))</f>
        <v>-32.299999999999997</v>
      </c>
      <c r="L2957">
        <v>0</v>
      </c>
      <c r="M2957">
        <f>IF((DST_123_ÜRETİM_İHTİYAÇ_RAPORU_BURAK_YENI1309[[#This Row],[SATINALMA]]*DST_123_ÜRETİM_İHTİYAÇ_RAPORU_BURAK_YENI1309[[#This Row],[BIRIM_FIYATLAR]])&lt;1,VALUE("0"),DST_123_ÜRETİM_İHTİYAÇ_RAPORU_BURAK_YENI1309[[#This Row],[SATINALMA]]*DST_123_ÜRETİM_İHTİYAÇ_RAPORU_BURAK_YENI1309[[#This Row],[BIRIM_FIYATLAR]])</f>
        <v>0</v>
      </c>
      <c r="N2957">
        <v>25</v>
      </c>
      <c r="O2957" t="s">
        <v>240</v>
      </c>
      <c r="P2957">
        <v>2.5</v>
      </c>
      <c r="Q2957" t="s">
        <v>180</v>
      </c>
    </row>
    <row r="2958" spans="1:17" x14ac:dyDescent="0.25">
      <c r="A2958" t="s">
        <v>1099</v>
      </c>
      <c r="B2958" t="s">
        <v>1055</v>
      </c>
      <c r="C2958" t="s">
        <v>175</v>
      </c>
      <c r="D2958" t="s">
        <v>575</v>
      </c>
      <c r="E2958" t="s">
        <v>576</v>
      </c>
      <c r="F2958">
        <v>5.3999999999999995</v>
      </c>
      <c r="G2958" t="s">
        <v>176</v>
      </c>
      <c r="H2958">
        <v>0</v>
      </c>
      <c r="I2958">
        <v>85</v>
      </c>
      <c r="J2958" s="10">
        <v>3.6500000000000128</v>
      </c>
      <c r="K2958" s="10">
        <f>SUMIFS(F:F,D:D,DST_123_ÜRETİM_İHTİYAÇ_RAPORU_BURAK_YENI1309[[#This Row],[ALT_KOD]])-(SUMIFS(H:H,D:D,DST_123_ÜRETİM_İHTİYAÇ_RAPORU_BURAK_YENI1309[[#This Row],[ALT_KOD]])+AVERAGEIFS(I:I,D:D,DST_123_ÜRETİM_İHTİYAÇ_RAPORU_BURAK_YENI1309[[#This Row],[ALT_KOD]])+AVERAGEIFS(L:L,D:D,DST_123_ÜRETİM_İHTİYAÇ_RAPORU_BURAK_YENI1309[[#This Row],[ALT_KOD]]))</f>
        <v>12.550000000000011</v>
      </c>
      <c r="L2958">
        <v>0</v>
      </c>
      <c r="M2958">
        <f>IF((DST_123_ÜRETİM_İHTİYAÇ_RAPORU_BURAK_YENI1309[[#This Row],[SATINALMA]]*DST_123_ÜRETİM_İHTİYAÇ_RAPORU_BURAK_YENI1309[[#This Row],[BIRIM_FIYATLAR]])&lt;1,VALUE("0"),DST_123_ÜRETİM_İHTİYAÇ_RAPORU_BURAK_YENI1309[[#This Row],[SATINALMA]]*DST_123_ÜRETİM_İHTİYAÇ_RAPORU_BURAK_YENI1309[[#This Row],[BIRIM_FIYATLAR]])</f>
        <v>4368.7805000000044</v>
      </c>
      <c r="N2958">
        <v>348.11</v>
      </c>
      <c r="O2958" t="s">
        <v>250</v>
      </c>
      <c r="P2958">
        <v>1879.7939999999999</v>
      </c>
      <c r="Q2958" t="s">
        <v>183</v>
      </c>
    </row>
    <row r="2959" spans="1:17" x14ac:dyDescent="0.25">
      <c r="A2959" t="s">
        <v>1196</v>
      </c>
      <c r="B2959" t="s">
        <v>1197</v>
      </c>
      <c r="C2959" t="s">
        <v>175</v>
      </c>
      <c r="D2959" t="s">
        <v>575</v>
      </c>
      <c r="E2959" t="s">
        <v>576</v>
      </c>
      <c r="F2959">
        <v>4.5</v>
      </c>
      <c r="G2959" t="s">
        <v>176</v>
      </c>
      <c r="H2959">
        <v>0</v>
      </c>
      <c r="I2959">
        <v>85</v>
      </c>
      <c r="J2959" s="10">
        <v>3.6500000000000128</v>
      </c>
      <c r="K2959" s="10">
        <f>SUMIFS(F:F,D:D,DST_123_ÜRETİM_İHTİYAÇ_RAPORU_BURAK_YENI1309[[#This Row],[ALT_KOD]])-(SUMIFS(H:H,D:D,DST_123_ÜRETİM_İHTİYAÇ_RAPORU_BURAK_YENI1309[[#This Row],[ALT_KOD]])+AVERAGEIFS(I:I,D:D,DST_123_ÜRETİM_İHTİYAÇ_RAPORU_BURAK_YENI1309[[#This Row],[ALT_KOD]])+AVERAGEIFS(L:L,D:D,DST_123_ÜRETİM_İHTİYAÇ_RAPORU_BURAK_YENI1309[[#This Row],[ALT_KOD]]))</f>
        <v>12.550000000000011</v>
      </c>
      <c r="L2959">
        <v>0</v>
      </c>
      <c r="M2959">
        <f>IF((DST_123_ÜRETİM_İHTİYAÇ_RAPORU_BURAK_YENI1309[[#This Row],[SATINALMA]]*DST_123_ÜRETİM_İHTİYAÇ_RAPORU_BURAK_YENI1309[[#This Row],[BIRIM_FIYATLAR]])&lt;1,VALUE("0"),DST_123_ÜRETİM_İHTİYAÇ_RAPORU_BURAK_YENI1309[[#This Row],[SATINALMA]]*DST_123_ÜRETİM_İHTİYAÇ_RAPORU_BURAK_YENI1309[[#This Row],[BIRIM_FIYATLAR]])</f>
        <v>4368.7805000000044</v>
      </c>
      <c r="N2959">
        <v>348.11</v>
      </c>
      <c r="O2959" t="s">
        <v>250</v>
      </c>
      <c r="P2959">
        <v>1566.4950000000001</v>
      </c>
      <c r="Q2959" t="s">
        <v>183</v>
      </c>
    </row>
    <row r="2960" spans="1:17" x14ac:dyDescent="0.25">
      <c r="A2960" t="s">
        <v>1196</v>
      </c>
      <c r="B2960" t="s">
        <v>1197</v>
      </c>
      <c r="C2960" t="s">
        <v>175</v>
      </c>
      <c r="D2960" t="s">
        <v>649</v>
      </c>
      <c r="E2960" t="s">
        <v>650</v>
      </c>
      <c r="F2960">
        <v>6</v>
      </c>
      <c r="G2960" t="s">
        <v>185</v>
      </c>
      <c r="H2960">
        <v>0</v>
      </c>
      <c r="I2960">
        <v>0</v>
      </c>
      <c r="J2960" s="10">
        <v>65</v>
      </c>
      <c r="K2960" s="10">
        <f>SUMIFS(F:F,D:D,DST_123_ÜRETİM_İHTİYAÇ_RAPORU_BURAK_YENI1309[[#This Row],[ALT_KOD]])-(SUMIFS(H:H,D:D,DST_123_ÜRETİM_İHTİYAÇ_RAPORU_BURAK_YENI1309[[#This Row],[ALT_KOD]])+AVERAGEIFS(I:I,D:D,DST_123_ÜRETİM_İHTİYAÇ_RAPORU_BURAK_YENI1309[[#This Row],[ALT_KOD]])+AVERAGEIFS(L:L,D:D,DST_123_ÜRETİM_İHTİYAÇ_RAPORU_BURAK_YENI1309[[#This Row],[ALT_KOD]]))</f>
        <v>119</v>
      </c>
      <c r="L2960">
        <v>0</v>
      </c>
      <c r="M2960">
        <f>IF((DST_123_ÜRETİM_İHTİYAÇ_RAPORU_BURAK_YENI1309[[#This Row],[SATINALMA]]*DST_123_ÜRETİM_İHTİYAÇ_RAPORU_BURAK_YENI1309[[#This Row],[BIRIM_FIYATLAR]])&lt;1,VALUE("0"),DST_123_ÜRETİM_İHTİYAÇ_RAPORU_BURAK_YENI1309[[#This Row],[SATINALMA]]*DST_123_ÜRETİM_İHTİYAÇ_RAPORU_BURAK_YENI1309[[#This Row],[BIRIM_FIYATLAR]])</f>
        <v>133274.05000000002</v>
      </c>
      <c r="N2960">
        <v>1119.95</v>
      </c>
      <c r="O2960" t="s">
        <v>648</v>
      </c>
      <c r="P2960">
        <v>6719.7000000000007</v>
      </c>
      <c r="Q2960" t="s">
        <v>183</v>
      </c>
    </row>
    <row r="2961" spans="1:17" x14ac:dyDescent="0.25">
      <c r="A2961" t="s">
        <v>1196</v>
      </c>
      <c r="B2961" t="s">
        <v>1197</v>
      </c>
      <c r="C2961" t="s">
        <v>175</v>
      </c>
      <c r="D2961" t="s">
        <v>410</v>
      </c>
      <c r="E2961" t="s">
        <v>411</v>
      </c>
      <c r="F2961">
        <v>0.01</v>
      </c>
      <c r="G2961" t="s">
        <v>412</v>
      </c>
      <c r="H2961">
        <v>0</v>
      </c>
      <c r="I2961">
        <v>150</v>
      </c>
      <c r="J2961" s="10">
        <v>0</v>
      </c>
      <c r="K2961" s="10">
        <f>SUMIFS(F:F,D:D,DST_123_ÜRETİM_İHTİYAÇ_RAPORU_BURAK_YENI1309[[#This Row],[ALT_KOD]])-(SUMIFS(H:H,D:D,DST_123_ÜRETİM_İHTİYAÇ_RAPORU_BURAK_YENI1309[[#This Row],[ALT_KOD]])+AVERAGEIFS(I:I,D:D,DST_123_ÜRETİM_İHTİYAÇ_RAPORU_BURAK_YENI1309[[#This Row],[ALT_KOD]])+AVERAGEIFS(L:L,D:D,DST_123_ÜRETİM_İHTİYAÇ_RAPORU_BURAK_YENI1309[[#This Row],[ALT_KOD]]))</f>
        <v>-149.76499999999999</v>
      </c>
      <c r="L2961">
        <v>0</v>
      </c>
      <c r="M2961">
        <f>IF((DST_123_ÜRETİM_İHTİYAÇ_RAPORU_BURAK_YENI1309[[#This Row],[SATINALMA]]*DST_123_ÜRETİM_İHTİYAÇ_RAPORU_BURAK_YENI1309[[#This Row],[BIRIM_FIYATLAR]])&lt;1,VALUE("0"),DST_123_ÜRETİM_İHTİYAÇ_RAPORU_BURAK_YENI1309[[#This Row],[SATINALMA]]*DST_123_ÜRETİM_İHTİYAÇ_RAPORU_BURAK_YENI1309[[#This Row],[BIRIM_FIYATLAR]])</f>
        <v>0</v>
      </c>
      <c r="N2961">
        <v>1.8</v>
      </c>
      <c r="O2961" t="s">
        <v>220</v>
      </c>
      <c r="P2961">
        <v>1.8000000000000002E-2</v>
      </c>
      <c r="Q2961" t="s">
        <v>180</v>
      </c>
    </row>
    <row r="2962" spans="1:17" x14ac:dyDescent="0.25">
      <c r="A2962" t="s">
        <v>1098</v>
      </c>
      <c r="B2962" t="s">
        <v>1096</v>
      </c>
      <c r="C2962" t="s">
        <v>175</v>
      </c>
      <c r="D2962" t="s">
        <v>410</v>
      </c>
      <c r="E2962" t="s">
        <v>411</v>
      </c>
      <c r="F2962">
        <v>0.01</v>
      </c>
      <c r="G2962" t="s">
        <v>412</v>
      </c>
      <c r="H2962">
        <v>0</v>
      </c>
      <c r="I2962">
        <v>150</v>
      </c>
      <c r="J2962" s="10">
        <v>0</v>
      </c>
      <c r="K2962" s="10">
        <f>SUMIFS(F:F,D:D,DST_123_ÜRETİM_İHTİYAÇ_RAPORU_BURAK_YENI1309[[#This Row],[ALT_KOD]])-(SUMIFS(H:H,D:D,DST_123_ÜRETİM_İHTİYAÇ_RAPORU_BURAK_YENI1309[[#This Row],[ALT_KOD]])+AVERAGEIFS(I:I,D:D,DST_123_ÜRETİM_İHTİYAÇ_RAPORU_BURAK_YENI1309[[#This Row],[ALT_KOD]])+AVERAGEIFS(L:L,D:D,DST_123_ÜRETİM_İHTİYAÇ_RAPORU_BURAK_YENI1309[[#This Row],[ALT_KOD]]))</f>
        <v>-149.76499999999999</v>
      </c>
      <c r="L2962">
        <v>0</v>
      </c>
      <c r="M2962">
        <f>IF((DST_123_ÜRETİM_İHTİYAÇ_RAPORU_BURAK_YENI1309[[#This Row],[SATINALMA]]*DST_123_ÜRETİM_İHTİYAÇ_RAPORU_BURAK_YENI1309[[#This Row],[BIRIM_FIYATLAR]])&lt;1,VALUE("0"),DST_123_ÜRETİM_İHTİYAÇ_RAPORU_BURAK_YENI1309[[#This Row],[SATINALMA]]*DST_123_ÜRETİM_İHTİYAÇ_RAPORU_BURAK_YENI1309[[#This Row],[BIRIM_FIYATLAR]])</f>
        <v>0</v>
      </c>
      <c r="N2962">
        <v>1.8</v>
      </c>
      <c r="O2962" t="s">
        <v>220</v>
      </c>
      <c r="P2962">
        <v>1.8000000000000002E-2</v>
      </c>
      <c r="Q2962" t="s">
        <v>180</v>
      </c>
    </row>
    <row r="2963" spans="1:17" x14ac:dyDescent="0.25">
      <c r="A2963" t="s">
        <v>1098</v>
      </c>
      <c r="B2963" t="s">
        <v>1096</v>
      </c>
      <c r="C2963" t="s">
        <v>175</v>
      </c>
      <c r="D2963" t="s">
        <v>437</v>
      </c>
      <c r="E2963" t="s">
        <v>438</v>
      </c>
      <c r="F2963">
        <v>1</v>
      </c>
      <c r="G2963" t="s">
        <v>176</v>
      </c>
      <c r="H2963">
        <v>0</v>
      </c>
      <c r="I2963">
        <v>24</v>
      </c>
      <c r="J2963" s="10">
        <v>5</v>
      </c>
      <c r="K2963" s="10">
        <f>SUMIFS(F:F,D:D,DST_123_ÜRETİM_İHTİYAÇ_RAPORU_BURAK_YENI1309[[#This Row],[ALT_KOD]])-(SUMIFS(H:H,D:D,DST_123_ÜRETİM_İHTİYAÇ_RAPORU_BURAK_YENI1309[[#This Row],[ALT_KOD]])+AVERAGEIFS(I:I,D:D,DST_123_ÜRETİM_İHTİYAÇ_RAPORU_BURAK_YENI1309[[#This Row],[ALT_KOD]])+AVERAGEIFS(L:L,D:D,DST_123_ÜRETİM_İHTİYAÇ_RAPORU_BURAK_YENI1309[[#This Row],[ALT_KOD]]))</f>
        <v>-12</v>
      </c>
      <c r="L2963">
        <v>0</v>
      </c>
      <c r="M2963">
        <f>IF((DST_123_ÜRETİM_İHTİYAÇ_RAPORU_BURAK_YENI1309[[#This Row],[SATINALMA]]*DST_123_ÜRETİM_İHTİYAÇ_RAPORU_BURAK_YENI1309[[#This Row],[BIRIM_FIYATLAR]])&lt;1,VALUE("0"),DST_123_ÜRETİM_İHTİYAÇ_RAPORU_BURAK_YENI1309[[#This Row],[SATINALMA]]*DST_123_ÜRETİM_İHTİYAÇ_RAPORU_BURAK_YENI1309[[#This Row],[BIRIM_FIYATLAR]])</f>
        <v>0</v>
      </c>
      <c r="N2963">
        <v>360.19</v>
      </c>
      <c r="O2963" t="s">
        <v>636</v>
      </c>
      <c r="P2963">
        <v>360.19</v>
      </c>
      <c r="Q2963" t="s">
        <v>178</v>
      </c>
    </row>
    <row r="2964" spans="1:17" x14ac:dyDescent="0.25">
      <c r="A2964" t="s">
        <v>1196</v>
      </c>
      <c r="B2964" t="s">
        <v>1197</v>
      </c>
      <c r="C2964" t="s">
        <v>175</v>
      </c>
      <c r="D2964" t="s">
        <v>437</v>
      </c>
      <c r="E2964" t="s">
        <v>438</v>
      </c>
      <c r="F2964">
        <v>1</v>
      </c>
      <c r="G2964" t="s">
        <v>176</v>
      </c>
      <c r="H2964">
        <v>0</v>
      </c>
      <c r="I2964">
        <v>24</v>
      </c>
      <c r="J2964" s="10">
        <v>5</v>
      </c>
      <c r="K2964" s="10">
        <f>SUMIFS(F:F,D:D,DST_123_ÜRETİM_İHTİYAÇ_RAPORU_BURAK_YENI1309[[#This Row],[ALT_KOD]])-(SUMIFS(H:H,D:D,DST_123_ÜRETİM_İHTİYAÇ_RAPORU_BURAK_YENI1309[[#This Row],[ALT_KOD]])+AVERAGEIFS(I:I,D:D,DST_123_ÜRETİM_İHTİYAÇ_RAPORU_BURAK_YENI1309[[#This Row],[ALT_KOD]])+AVERAGEIFS(L:L,D:D,DST_123_ÜRETİM_İHTİYAÇ_RAPORU_BURAK_YENI1309[[#This Row],[ALT_KOD]]))</f>
        <v>-12</v>
      </c>
      <c r="L2964">
        <v>0</v>
      </c>
      <c r="M2964">
        <f>IF((DST_123_ÜRETİM_İHTİYAÇ_RAPORU_BURAK_YENI1309[[#This Row],[SATINALMA]]*DST_123_ÜRETİM_İHTİYAÇ_RAPORU_BURAK_YENI1309[[#This Row],[BIRIM_FIYATLAR]])&lt;1,VALUE("0"),DST_123_ÜRETİM_İHTİYAÇ_RAPORU_BURAK_YENI1309[[#This Row],[SATINALMA]]*DST_123_ÜRETİM_İHTİYAÇ_RAPORU_BURAK_YENI1309[[#This Row],[BIRIM_FIYATLAR]])</f>
        <v>0</v>
      </c>
      <c r="N2964">
        <v>360.19</v>
      </c>
      <c r="O2964" t="s">
        <v>636</v>
      </c>
      <c r="P2964">
        <v>360.19</v>
      </c>
      <c r="Q2964" t="s">
        <v>178</v>
      </c>
    </row>
    <row r="2965" spans="1:17" x14ac:dyDescent="0.25">
      <c r="A2965" t="s">
        <v>1099</v>
      </c>
      <c r="B2965" t="s">
        <v>1055</v>
      </c>
      <c r="C2965" t="s">
        <v>175</v>
      </c>
      <c r="D2965" t="s">
        <v>437</v>
      </c>
      <c r="E2965" t="s">
        <v>438</v>
      </c>
      <c r="F2965">
        <v>1</v>
      </c>
      <c r="G2965" t="s">
        <v>176</v>
      </c>
      <c r="H2965">
        <v>1</v>
      </c>
      <c r="I2965">
        <v>24</v>
      </c>
      <c r="J2965" s="10">
        <v>5</v>
      </c>
      <c r="K2965" s="10">
        <f>SUMIFS(F:F,D:D,DST_123_ÜRETİM_İHTİYAÇ_RAPORU_BURAK_YENI1309[[#This Row],[ALT_KOD]])-(SUMIFS(H:H,D:D,DST_123_ÜRETİM_İHTİYAÇ_RAPORU_BURAK_YENI1309[[#This Row],[ALT_KOD]])+AVERAGEIFS(I:I,D:D,DST_123_ÜRETİM_İHTİYAÇ_RAPORU_BURAK_YENI1309[[#This Row],[ALT_KOD]])+AVERAGEIFS(L:L,D:D,DST_123_ÜRETİM_İHTİYAÇ_RAPORU_BURAK_YENI1309[[#This Row],[ALT_KOD]]))</f>
        <v>-12</v>
      </c>
      <c r="L2965">
        <v>0</v>
      </c>
      <c r="M2965">
        <f>IF((DST_123_ÜRETİM_İHTİYAÇ_RAPORU_BURAK_YENI1309[[#This Row],[SATINALMA]]*DST_123_ÜRETİM_İHTİYAÇ_RAPORU_BURAK_YENI1309[[#This Row],[BIRIM_FIYATLAR]])&lt;1,VALUE("0"),DST_123_ÜRETİM_İHTİYAÇ_RAPORU_BURAK_YENI1309[[#This Row],[SATINALMA]]*DST_123_ÜRETİM_İHTİYAÇ_RAPORU_BURAK_YENI1309[[#This Row],[BIRIM_FIYATLAR]])</f>
        <v>0</v>
      </c>
      <c r="N2965">
        <v>360.19</v>
      </c>
      <c r="O2965" t="s">
        <v>636</v>
      </c>
      <c r="P2965">
        <v>360.19</v>
      </c>
      <c r="Q2965" t="s">
        <v>178</v>
      </c>
    </row>
    <row r="2966" spans="1:17" x14ac:dyDescent="0.25">
      <c r="A2966" t="s">
        <v>1150</v>
      </c>
      <c r="B2966" t="s">
        <v>1145</v>
      </c>
      <c r="C2966" t="s">
        <v>175</v>
      </c>
      <c r="D2966" t="s">
        <v>556</v>
      </c>
      <c r="E2966" t="s">
        <v>557</v>
      </c>
      <c r="F2966">
        <v>0.1</v>
      </c>
      <c r="G2966" t="s">
        <v>176</v>
      </c>
      <c r="H2966">
        <v>0</v>
      </c>
      <c r="I2966">
        <v>33</v>
      </c>
      <c r="J2966" s="10">
        <v>6.0999999999999988</v>
      </c>
      <c r="K2966" s="10">
        <f>SUMIFS(F:F,D:D,DST_123_ÜRETİM_İHTİYAÇ_RAPORU_BURAK_YENI1309[[#This Row],[ALT_KOD]])-(SUMIFS(H:H,D:D,DST_123_ÜRETİM_İHTİYAÇ_RAPORU_BURAK_YENI1309[[#This Row],[ALT_KOD]])+AVERAGEIFS(I:I,D:D,DST_123_ÜRETİM_İHTİYAÇ_RAPORU_BURAK_YENI1309[[#This Row],[ALT_KOD]])+AVERAGEIFS(L:L,D:D,DST_123_ÜRETİM_İHTİYAÇ_RAPORU_BURAK_YENI1309[[#This Row],[ALT_KOD]]))</f>
        <v>-32.299999999999997</v>
      </c>
      <c r="L2966">
        <v>0</v>
      </c>
      <c r="M2966">
        <f>IF((DST_123_ÜRETİM_İHTİYAÇ_RAPORU_BURAK_YENI1309[[#This Row],[SATINALMA]]*DST_123_ÜRETİM_İHTİYAÇ_RAPORU_BURAK_YENI1309[[#This Row],[BIRIM_FIYATLAR]])&lt;1,VALUE("0"),DST_123_ÜRETİM_İHTİYAÇ_RAPORU_BURAK_YENI1309[[#This Row],[SATINALMA]]*DST_123_ÜRETİM_İHTİYAÇ_RAPORU_BURAK_YENI1309[[#This Row],[BIRIM_FIYATLAR]])</f>
        <v>0</v>
      </c>
      <c r="N2966">
        <v>25</v>
      </c>
      <c r="O2966" t="s">
        <v>240</v>
      </c>
      <c r="P2966">
        <v>2.5</v>
      </c>
      <c r="Q2966" t="s">
        <v>180</v>
      </c>
    </row>
    <row r="2967" spans="1:17" x14ac:dyDescent="0.25">
      <c r="A2967" t="s">
        <v>1150</v>
      </c>
      <c r="B2967" t="s">
        <v>1145</v>
      </c>
      <c r="C2967" t="s">
        <v>175</v>
      </c>
      <c r="D2967" t="s">
        <v>649</v>
      </c>
      <c r="E2967" t="s">
        <v>650</v>
      </c>
      <c r="F2967">
        <v>6</v>
      </c>
      <c r="G2967" t="s">
        <v>185</v>
      </c>
      <c r="H2967">
        <v>0</v>
      </c>
      <c r="I2967">
        <v>0</v>
      </c>
      <c r="J2967" s="10">
        <v>65</v>
      </c>
      <c r="K2967" s="10">
        <f>SUMIFS(F:F,D:D,DST_123_ÜRETİM_İHTİYAÇ_RAPORU_BURAK_YENI1309[[#This Row],[ALT_KOD]])-(SUMIFS(H:H,D:D,DST_123_ÜRETİM_İHTİYAÇ_RAPORU_BURAK_YENI1309[[#This Row],[ALT_KOD]])+AVERAGEIFS(I:I,D:D,DST_123_ÜRETİM_İHTİYAÇ_RAPORU_BURAK_YENI1309[[#This Row],[ALT_KOD]])+AVERAGEIFS(L:L,D:D,DST_123_ÜRETİM_İHTİYAÇ_RAPORU_BURAK_YENI1309[[#This Row],[ALT_KOD]]))</f>
        <v>119</v>
      </c>
      <c r="L2967">
        <v>0</v>
      </c>
      <c r="M2967">
        <f>IF((DST_123_ÜRETİM_İHTİYAÇ_RAPORU_BURAK_YENI1309[[#This Row],[SATINALMA]]*DST_123_ÜRETİM_İHTİYAÇ_RAPORU_BURAK_YENI1309[[#This Row],[BIRIM_FIYATLAR]])&lt;1,VALUE("0"),DST_123_ÜRETİM_İHTİYAÇ_RAPORU_BURAK_YENI1309[[#This Row],[SATINALMA]]*DST_123_ÜRETİM_İHTİYAÇ_RAPORU_BURAK_YENI1309[[#This Row],[BIRIM_FIYATLAR]])</f>
        <v>133274.05000000002</v>
      </c>
      <c r="N2967">
        <v>1119.95</v>
      </c>
      <c r="O2967" t="s">
        <v>648</v>
      </c>
      <c r="P2967">
        <v>6719.7000000000007</v>
      </c>
      <c r="Q2967" t="s">
        <v>183</v>
      </c>
    </row>
    <row r="2968" spans="1:17" x14ac:dyDescent="0.25">
      <c r="A2968" t="s">
        <v>1150</v>
      </c>
      <c r="B2968" t="s">
        <v>1145</v>
      </c>
      <c r="C2968" t="s">
        <v>175</v>
      </c>
      <c r="D2968" t="s">
        <v>410</v>
      </c>
      <c r="E2968" t="s">
        <v>411</v>
      </c>
      <c r="F2968">
        <v>0.01</v>
      </c>
      <c r="G2968" t="s">
        <v>412</v>
      </c>
      <c r="H2968">
        <v>0</v>
      </c>
      <c r="I2968">
        <v>150</v>
      </c>
      <c r="J2968" s="10">
        <v>0</v>
      </c>
      <c r="K2968" s="10">
        <f>SUMIFS(F:F,D:D,DST_123_ÜRETİM_İHTİYAÇ_RAPORU_BURAK_YENI1309[[#This Row],[ALT_KOD]])-(SUMIFS(H:H,D:D,DST_123_ÜRETİM_İHTİYAÇ_RAPORU_BURAK_YENI1309[[#This Row],[ALT_KOD]])+AVERAGEIFS(I:I,D:D,DST_123_ÜRETİM_İHTİYAÇ_RAPORU_BURAK_YENI1309[[#This Row],[ALT_KOD]])+AVERAGEIFS(L:L,D:D,DST_123_ÜRETİM_İHTİYAÇ_RAPORU_BURAK_YENI1309[[#This Row],[ALT_KOD]]))</f>
        <v>-149.76499999999999</v>
      </c>
      <c r="L2968">
        <v>0</v>
      </c>
      <c r="M2968">
        <f>IF((DST_123_ÜRETİM_İHTİYAÇ_RAPORU_BURAK_YENI1309[[#This Row],[SATINALMA]]*DST_123_ÜRETİM_İHTİYAÇ_RAPORU_BURAK_YENI1309[[#This Row],[BIRIM_FIYATLAR]])&lt;1,VALUE("0"),DST_123_ÜRETİM_İHTİYAÇ_RAPORU_BURAK_YENI1309[[#This Row],[SATINALMA]]*DST_123_ÜRETİM_İHTİYAÇ_RAPORU_BURAK_YENI1309[[#This Row],[BIRIM_FIYATLAR]])</f>
        <v>0</v>
      </c>
      <c r="N2968">
        <v>1.8</v>
      </c>
      <c r="O2968" t="s">
        <v>220</v>
      </c>
      <c r="P2968">
        <v>1.8000000000000002E-2</v>
      </c>
      <c r="Q2968" t="s">
        <v>180</v>
      </c>
    </row>
    <row r="2969" spans="1:17" x14ac:dyDescent="0.25">
      <c r="A2969" t="s">
        <v>1095</v>
      </c>
      <c r="B2969" t="s">
        <v>1096</v>
      </c>
      <c r="C2969" t="s">
        <v>175</v>
      </c>
      <c r="D2969" t="s">
        <v>772</v>
      </c>
      <c r="E2969" t="s">
        <v>773</v>
      </c>
      <c r="F2969">
        <v>4</v>
      </c>
      <c r="G2969" t="s">
        <v>176</v>
      </c>
      <c r="H2969">
        <v>0</v>
      </c>
      <c r="I2969">
        <v>56.5</v>
      </c>
      <c r="J2969" s="10">
        <v>26</v>
      </c>
      <c r="K2969" s="10">
        <f>SUMIFS(F:F,D:D,DST_123_ÜRETİM_İHTİYAÇ_RAPORU_BURAK_YENI1309[[#This Row],[ALT_KOD]])-(SUMIFS(H:H,D:D,DST_123_ÜRETİM_İHTİYAÇ_RAPORU_BURAK_YENI1309[[#This Row],[ALT_KOD]])+AVERAGEIFS(I:I,D:D,DST_123_ÜRETİM_İHTİYAÇ_RAPORU_BURAK_YENI1309[[#This Row],[ALT_KOD]])+AVERAGEIFS(L:L,D:D,DST_123_ÜRETİM_İHTİYAÇ_RAPORU_BURAK_YENI1309[[#This Row],[ALT_KOD]]))</f>
        <v>-12.5</v>
      </c>
      <c r="L2969">
        <v>0</v>
      </c>
      <c r="M2969">
        <f>IF((DST_123_ÜRETİM_İHTİYAÇ_RAPORU_BURAK_YENI1309[[#This Row],[SATINALMA]]*DST_123_ÜRETİM_İHTİYAÇ_RAPORU_BURAK_YENI1309[[#This Row],[BIRIM_FIYATLAR]])&lt;1,VALUE("0"),DST_123_ÜRETİM_İHTİYAÇ_RAPORU_BURAK_YENI1309[[#This Row],[SATINALMA]]*DST_123_ÜRETİM_İHTİYAÇ_RAPORU_BURAK_YENI1309[[#This Row],[BIRIM_FIYATLAR]])</f>
        <v>0</v>
      </c>
      <c r="N2969">
        <v>200</v>
      </c>
      <c r="O2969" t="s">
        <v>247</v>
      </c>
      <c r="P2969">
        <v>800</v>
      </c>
      <c r="Q2969" t="s">
        <v>177</v>
      </c>
    </row>
    <row r="2970" spans="1:17" x14ac:dyDescent="0.25">
      <c r="A2970" t="s">
        <v>1060</v>
      </c>
      <c r="B2970" t="s">
        <v>1061</v>
      </c>
      <c r="C2970" t="s">
        <v>175</v>
      </c>
      <c r="D2970" t="s">
        <v>141</v>
      </c>
      <c r="E2970" t="s">
        <v>142</v>
      </c>
      <c r="F2970">
        <v>16</v>
      </c>
      <c r="G2970" t="s">
        <v>176</v>
      </c>
      <c r="H2970">
        <v>0</v>
      </c>
      <c r="I2970">
        <v>150</v>
      </c>
      <c r="J2970" s="10">
        <v>0</v>
      </c>
      <c r="K2970" s="10">
        <f>SUMIFS(F:F,D:D,DST_123_ÜRETİM_İHTİYAÇ_RAPORU_BURAK_YENI1309[[#This Row],[ALT_KOD]])-(SUMIFS(H:H,D:D,DST_123_ÜRETİM_İHTİYAÇ_RAPORU_BURAK_YENI1309[[#This Row],[ALT_KOD]])+AVERAGEIFS(I:I,D:D,DST_123_ÜRETİM_İHTİYAÇ_RAPORU_BURAK_YENI1309[[#This Row],[ALT_KOD]])+AVERAGEIFS(L:L,D:D,DST_123_ÜRETİM_İHTİYAÇ_RAPORU_BURAK_YENI1309[[#This Row],[ALT_KOD]]))</f>
        <v>194</v>
      </c>
      <c r="L2970">
        <v>0</v>
      </c>
      <c r="M2970">
        <f>IF((DST_123_ÜRETİM_İHTİYAÇ_RAPORU_BURAK_YENI1309[[#This Row],[SATINALMA]]*DST_123_ÜRETİM_İHTİYAÇ_RAPORU_BURAK_YENI1309[[#This Row],[BIRIM_FIYATLAR]])&lt;1,VALUE("0"),DST_123_ÜRETİM_İHTİYAÇ_RAPORU_BURAK_YENI1309[[#This Row],[SATINALMA]]*DST_123_ÜRETİM_İHTİYAÇ_RAPORU_BURAK_YENI1309[[#This Row],[BIRIM_FIYATLAR]])</f>
        <v>5383.5</v>
      </c>
      <c r="N2970">
        <v>27.75</v>
      </c>
      <c r="O2970" t="s">
        <v>742</v>
      </c>
      <c r="P2970">
        <v>444</v>
      </c>
      <c r="Q2970" t="s">
        <v>184</v>
      </c>
    </row>
    <row r="2971" spans="1:17" x14ac:dyDescent="0.25">
      <c r="A2971" t="s">
        <v>1099</v>
      </c>
      <c r="B2971" t="s">
        <v>1055</v>
      </c>
      <c r="C2971" t="s">
        <v>175</v>
      </c>
      <c r="D2971" t="s">
        <v>840</v>
      </c>
      <c r="E2971" t="s">
        <v>841</v>
      </c>
      <c r="F2971">
        <v>5</v>
      </c>
      <c r="G2971" t="s">
        <v>179</v>
      </c>
      <c r="H2971">
        <v>0</v>
      </c>
      <c r="I2971">
        <v>0</v>
      </c>
      <c r="J2971" s="10">
        <v>165</v>
      </c>
      <c r="K2971" s="10">
        <f>SUMIFS(F:F,D:D,DST_123_ÜRETİM_İHTİYAÇ_RAPORU_BURAK_YENI1309[[#This Row],[ALT_KOD]])-(SUMIFS(H:H,D:D,DST_123_ÜRETİM_İHTİYAÇ_RAPORU_BURAK_YENI1309[[#This Row],[ALT_KOD]])+AVERAGEIFS(I:I,D:D,DST_123_ÜRETİM_İHTİYAÇ_RAPORU_BURAK_YENI1309[[#This Row],[ALT_KOD]])+AVERAGEIFS(L:L,D:D,DST_123_ÜRETİM_İHTİYAÇ_RAPORU_BURAK_YENI1309[[#This Row],[ALT_KOD]]))</f>
        <v>-289</v>
      </c>
      <c r="L2971">
        <v>400</v>
      </c>
      <c r="M2971">
        <f>IF((DST_123_ÜRETİM_İHTİYAÇ_RAPORU_BURAK_YENI1309[[#This Row],[SATINALMA]]*DST_123_ÜRETİM_İHTİYAÇ_RAPORU_BURAK_YENI1309[[#This Row],[BIRIM_FIYATLAR]])&lt;1,VALUE("0"),DST_123_ÜRETİM_İHTİYAÇ_RAPORU_BURAK_YENI1309[[#This Row],[SATINALMA]]*DST_123_ÜRETİM_İHTİYAÇ_RAPORU_BURAK_YENI1309[[#This Row],[BIRIM_FIYATLAR]])</f>
        <v>0</v>
      </c>
      <c r="N2971">
        <v>5</v>
      </c>
      <c r="O2971" t="s">
        <v>224</v>
      </c>
      <c r="P2971">
        <v>25</v>
      </c>
      <c r="Q2971" t="s">
        <v>180</v>
      </c>
    </row>
    <row r="2972" spans="1:17" x14ac:dyDescent="0.25">
      <c r="A2972" t="s">
        <v>1142</v>
      </c>
      <c r="B2972" t="s">
        <v>1056</v>
      </c>
      <c r="C2972" t="s">
        <v>175</v>
      </c>
      <c r="D2972" t="s">
        <v>141</v>
      </c>
      <c r="E2972" t="s">
        <v>142</v>
      </c>
      <c r="F2972">
        <v>16</v>
      </c>
      <c r="G2972" t="s">
        <v>176</v>
      </c>
      <c r="H2972">
        <v>0</v>
      </c>
      <c r="I2972">
        <v>150</v>
      </c>
      <c r="J2972" s="10">
        <v>0</v>
      </c>
      <c r="K2972" s="10">
        <f>SUMIFS(F:F,D:D,DST_123_ÜRETİM_İHTİYAÇ_RAPORU_BURAK_YENI1309[[#This Row],[ALT_KOD]])-(SUMIFS(H:H,D:D,DST_123_ÜRETİM_İHTİYAÇ_RAPORU_BURAK_YENI1309[[#This Row],[ALT_KOD]])+AVERAGEIFS(I:I,D:D,DST_123_ÜRETİM_İHTİYAÇ_RAPORU_BURAK_YENI1309[[#This Row],[ALT_KOD]])+AVERAGEIFS(L:L,D:D,DST_123_ÜRETİM_İHTİYAÇ_RAPORU_BURAK_YENI1309[[#This Row],[ALT_KOD]]))</f>
        <v>194</v>
      </c>
      <c r="L2972">
        <v>0</v>
      </c>
      <c r="M2972">
        <f>IF((DST_123_ÜRETİM_İHTİYAÇ_RAPORU_BURAK_YENI1309[[#This Row],[SATINALMA]]*DST_123_ÜRETİM_İHTİYAÇ_RAPORU_BURAK_YENI1309[[#This Row],[BIRIM_FIYATLAR]])&lt;1,VALUE("0"),DST_123_ÜRETİM_İHTİYAÇ_RAPORU_BURAK_YENI1309[[#This Row],[SATINALMA]]*DST_123_ÜRETİM_İHTİYAÇ_RAPORU_BURAK_YENI1309[[#This Row],[BIRIM_FIYATLAR]])</f>
        <v>5383.5</v>
      </c>
      <c r="N2972">
        <v>27.75</v>
      </c>
      <c r="O2972" t="s">
        <v>742</v>
      </c>
      <c r="P2972">
        <v>444</v>
      </c>
      <c r="Q2972" t="s">
        <v>184</v>
      </c>
    </row>
    <row r="2973" spans="1:17" x14ac:dyDescent="0.25">
      <c r="A2973" t="s">
        <v>1142</v>
      </c>
      <c r="B2973" t="s">
        <v>1056</v>
      </c>
      <c r="C2973" t="s">
        <v>175</v>
      </c>
      <c r="D2973" t="s">
        <v>840</v>
      </c>
      <c r="E2973" t="s">
        <v>841</v>
      </c>
      <c r="F2973">
        <v>5</v>
      </c>
      <c r="G2973" t="s">
        <v>179</v>
      </c>
      <c r="H2973">
        <v>0</v>
      </c>
      <c r="I2973">
        <v>0</v>
      </c>
      <c r="J2973" s="10">
        <v>165</v>
      </c>
      <c r="K2973" s="10">
        <f>SUMIFS(F:F,D:D,DST_123_ÜRETİM_İHTİYAÇ_RAPORU_BURAK_YENI1309[[#This Row],[ALT_KOD]])-(SUMIFS(H:H,D:D,DST_123_ÜRETİM_İHTİYAÇ_RAPORU_BURAK_YENI1309[[#This Row],[ALT_KOD]])+AVERAGEIFS(I:I,D:D,DST_123_ÜRETİM_İHTİYAÇ_RAPORU_BURAK_YENI1309[[#This Row],[ALT_KOD]])+AVERAGEIFS(L:L,D:D,DST_123_ÜRETİM_İHTİYAÇ_RAPORU_BURAK_YENI1309[[#This Row],[ALT_KOD]]))</f>
        <v>-289</v>
      </c>
      <c r="L2973">
        <v>400</v>
      </c>
      <c r="M2973">
        <f>IF((DST_123_ÜRETİM_İHTİYAÇ_RAPORU_BURAK_YENI1309[[#This Row],[SATINALMA]]*DST_123_ÜRETİM_İHTİYAÇ_RAPORU_BURAK_YENI1309[[#This Row],[BIRIM_FIYATLAR]])&lt;1,VALUE("0"),DST_123_ÜRETİM_İHTİYAÇ_RAPORU_BURAK_YENI1309[[#This Row],[SATINALMA]]*DST_123_ÜRETİM_İHTİYAÇ_RAPORU_BURAK_YENI1309[[#This Row],[BIRIM_FIYATLAR]])</f>
        <v>0</v>
      </c>
      <c r="N2973">
        <v>5</v>
      </c>
      <c r="O2973" t="s">
        <v>224</v>
      </c>
      <c r="P2973">
        <v>25</v>
      </c>
      <c r="Q2973" t="s">
        <v>180</v>
      </c>
    </row>
    <row r="2974" spans="1:17" x14ac:dyDescent="0.25">
      <c r="A2974" t="s">
        <v>1147</v>
      </c>
      <c r="B2974" t="s">
        <v>1145</v>
      </c>
      <c r="C2974" t="s">
        <v>175</v>
      </c>
      <c r="D2974" t="s">
        <v>104</v>
      </c>
      <c r="E2974" t="s">
        <v>105</v>
      </c>
      <c r="F2974">
        <v>5</v>
      </c>
      <c r="G2974" t="s">
        <v>176</v>
      </c>
      <c r="H2974">
        <v>0</v>
      </c>
      <c r="I2974">
        <v>0</v>
      </c>
      <c r="J2974" s="10">
        <v>75</v>
      </c>
      <c r="K2974" s="10">
        <f>SUMIFS(F:F,D:D,DST_123_ÜRETİM_İHTİYAÇ_RAPORU_BURAK_YENI1309[[#This Row],[ALT_KOD]])-(SUMIFS(H:H,D:D,DST_123_ÜRETİM_İHTİYAÇ_RAPORU_BURAK_YENI1309[[#This Row],[ALT_KOD]])+AVERAGEIFS(I:I,D:D,DST_123_ÜRETİM_İHTİYAÇ_RAPORU_BURAK_YENI1309[[#This Row],[ALT_KOD]])+AVERAGEIFS(L:L,D:D,DST_123_ÜRETİM_İHTİYAÇ_RAPORU_BURAK_YENI1309[[#This Row],[ALT_KOD]]))</f>
        <v>102</v>
      </c>
      <c r="L2974">
        <v>0</v>
      </c>
      <c r="M2974">
        <f>IF((DST_123_ÜRETİM_İHTİYAÇ_RAPORU_BURAK_YENI1309[[#This Row],[SATINALMA]]*DST_123_ÜRETİM_İHTİYAÇ_RAPORU_BURAK_YENI1309[[#This Row],[BIRIM_FIYATLAR]])&lt;1,VALUE("0"),DST_123_ÜRETİM_İHTİYAÇ_RAPORU_BURAK_YENI1309[[#This Row],[SATINALMA]]*DST_123_ÜRETİM_İHTİYAÇ_RAPORU_BURAK_YENI1309[[#This Row],[BIRIM_FIYATLAR]])</f>
        <v>10710</v>
      </c>
      <c r="N2974">
        <v>105</v>
      </c>
      <c r="O2974" t="s">
        <v>625</v>
      </c>
      <c r="P2974">
        <v>525</v>
      </c>
      <c r="Q2974" t="s">
        <v>178</v>
      </c>
    </row>
    <row r="2975" spans="1:17" x14ac:dyDescent="0.25">
      <c r="A2975" t="s">
        <v>1148</v>
      </c>
      <c r="B2975" t="s">
        <v>1056</v>
      </c>
      <c r="C2975" t="s">
        <v>175</v>
      </c>
      <c r="D2975" t="s">
        <v>104</v>
      </c>
      <c r="E2975" t="s">
        <v>105</v>
      </c>
      <c r="F2975">
        <v>6</v>
      </c>
      <c r="G2975" t="s">
        <v>176</v>
      </c>
      <c r="H2975">
        <v>0</v>
      </c>
      <c r="I2975">
        <v>0</v>
      </c>
      <c r="J2975" s="10">
        <v>75</v>
      </c>
      <c r="K2975" s="10">
        <f>SUMIFS(F:F,D:D,DST_123_ÜRETİM_İHTİYAÇ_RAPORU_BURAK_YENI1309[[#This Row],[ALT_KOD]])-(SUMIFS(H:H,D:D,DST_123_ÜRETİM_İHTİYAÇ_RAPORU_BURAK_YENI1309[[#This Row],[ALT_KOD]])+AVERAGEIFS(I:I,D:D,DST_123_ÜRETİM_İHTİYAÇ_RAPORU_BURAK_YENI1309[[#This Row],[ALT_KOD]])+AVERAGEIFS(L:L,D:D,DST_123_ÜRETİM_İHTİYAÇ_RAPORU_BURAK_YENI1309[[#This Row],[ALT_KOD]]))</f>
        <v>102</v>
      </c>
      <c r="L2975">
        <v>0</v>
      </c>
      <c r="M2975">
        <f>IF((DST_123_ÜRETİM_İHTİYAÇ_RAPORU_BURAK_YENI1309[[#This Row],[SATINALMA]]*DST_123_ÜRETİM_İHTİYAÇ_RAPORU_BURAK_YENI1309[[#This Row],[BIRIM_FIYATLAR]])&lt;1,VALUE("0"),DST_123_ÜRETİM_İHTİYAÇ_RAPORU_BURAK_YENI1309[[#This Row],[SATINALMA]]*DST_123_ÜRETİM_İHTİYAÇ_RAPORU_BURAK_YENI1309[[#This Row],[BIRIM_FIYATLAR]])</f>
        <v>10710</v>
      </c>
      <c r="N2975">
        <v>105</v>
      </c>
      <c r="O2975" t="s">
        <v>625</v>
      </c>
      <c r="P2975">
        <v>630</v>
      </c>
      <c r="Q2975" t="s">
        <v>178</v>
      </c>
    </row>
    <row r="2976" spans="1:17" x14ac:dyDescent="0.25">
      <c r="A2976" t="s">
        <v>1147</v>
      </c>
      <c r="B2976" t="s">
        <v>1145</v>
      </c>
      <c r="C2976" t="s">
        <v>175</v>
      </c>
      <c r="D2976" t="s">
        <v>378</v>
      </c>
      <c r="E2976" t="s">
        <v>379</v>
      </c>
      <c r="F2976">
        <v>2</v>
      </c>
      <c r="G2976" t="s">
        <v>176</v>
      </c>
      <c r="H2976">
        <v>0</v>
      </c>
      <c r="I2976">
        <v>50</v>
      </c>
      <c r="J2976" s="10">
        <v>33</v>
      </c>
      <c r="K2976" s="10">
        <f>SUMIFS(F:F,D:D,DST_123_ÜRETİM_İHTİYAÇ_RAPORU_BURAK_YENI1309[[#This Row],[ALT_KOD]])-(SUMIFS(H:H,D:D,DST_123_ÜRETİM_İHTİYAÇ_RAPORU_BURAK_YENI1309[[#This Row],[ALT_KOD]])+AVERAGEIFS(I:I,D:D,DST_123_ÜRETİM_İHTİYAÇ_RAPORU_BURAK_YENI1309[[#This Row],[ALT_KOD]])+AVERAGEIFS(L:L,D:D,DST_123_ÜRETİM_İHTİYAÇ_RAPORU_BURAK_YENI1309[[#This Row],[ALT_KOD]]))</f>
        <v>-15</v>
      </c>
      <c r="L2976">
        <v>0</v>
      </c>
      <c r="M2976">
        <f>IF((DST_123_ÜRETİM_İHTİYAÇ_RAPORU_BURAK_YENI1309[[#This Row],[SATINALMA]]*DST_123_ÜRETİM_İHTİYAÇ_RAPORU_BURAK_YENI1309[[#This Row],[BIRIM_FIYATLAR]])&lt;1,VALUE("0"),DST_123_ÜRETİM_İHTİYAÇ_RAPORU_BURAK_YENI1309[[#This Row],[SATINALMA]]*DST_123_ÜRETİM_İHTİYAÇ_RAPORU_BURAK_YENI1309[[#This Row],[BIRIM_FIYATLAR]])</f>
        <v>0</v>
      </c>
      <c r="N2976">
        <v>72.599999999999994</v>
      </c>
      <c r="O2976" t="s">
        <v>240</v>
      </c>
      <c r="P2976">
        <v>145.19999999999999</v>
      </c>
      <c r="Q2976" t="s">
        <v>178</v>
      </c>
    </row>
    <row r="2977" spans="1:17" x14ac:dyDescent="0.25">
      <c r="A2977" t="s">
        <v>1148</v>
      </c>
      <c r="B2977" t="s">
        <v>1056</v>
      </c>
      <c r="C2977" t="s">
        <v>175</v>
      </c>
      <c r="D2977" t="s">
        <v>378</v>
      </c>
      <c r="E2977" t="s">
        <v>379</v>
      </c>
      <c r="F2977">
        <v>1</v>
      </c>
      <c r="G2977" t="s">
        <v>176</v>
      </c>
      <c r="H2977">
        <v>0</v>
      </c>
      <c r="I2977">
        <v>50</v>
      </c>
      <c r="J2977" s="10">
        <v>33</v>
      </c>
      <c r="K2977" s="10">
        <f>SUMIFS(F:F,D:D,DST_123_ÜRETİM_İHTİYAÇ_RAPORU_BURAK_YENI1309[[#This Row],[ALT_KOD]])-(SUMIFS(H:H,D:D,DST_123_ÜRETİM_İHTİYAÇ_RAPORU_BURAK_YENI1309[[#This Row],[ALT_KOD]])+AVERAGEIFS(I:I,D:D,DST_123_ÜRETİM_İHTİYAÇ_RAPORU_BURAK_YENI1309[[#This Row],[ALT_KOD]])+AVERAGEIFS(L:L,D:D,DST_123_ÜRETİM_İHTİYAÇ_RAPORU_BURAK_YENI1309[[#This Row],[ALT_KOD]]))</f>
        <v>-15</v>
      </c>
      <c r="L2977">
        <v>0</v>
      </c>
      <c r="M2977">
        <f>IF((DST_123_ÜRETİM_İHTİYAÇ_RAPORU_BURAK_YENI1309[[#This Row],[SATINALMA]]*DST_123_ÜRETİM_İHTİYAÇ_RAPORU_BURAK_YENI1309[[#This Row],[BIRIM_FIYATLAR]])&lt;1,VALUE("0"),DST_123_ÜRETİM_İHTİYAÇ_RAPORU_BURAK_YENI1309[[#This Row],[SATINALMA]]*DST_123_ÜRETİM_İHTİYAÇ_RAPORU_BURAK_YENI1309[[#This Row],[BIRIM_FIYATLAR]])</f>
        <v>0</v>
      </c>
      <c r="N2977">
        <v>72.599999999999994</v>
      </c>
      <c r="O2977" t="s">
        <v>240</v>
      </c>
      <c r="P2977">
        <v>72.599999999999994</v>
      </c>
      <c r="Q2977" t="s">
        <v>178</v>
      </c>
    </row>
    <row r="2978" spans="1:17" x14ac:dyDescent="0.25">
      <c r="A2978" t="s">
        <v>1147</v>
      </c>
      <c r="B2978" t="s">
        <v>1145</v>
      </c>
      <c r="C2978" t="s">
        <v>175</v>
      </c>
      <c r="D2978" t="s">
        <v>141</v>
      </c>
      <c r="E2978" t="s">
        <v>142</v>
      </c>
      <c r="F2978">
        <v>16</v>
      </c>
      <c r="G2978" t="s">
        <v>176</v>
      </c>
      <c r="H2978">
        <v>0</v>
      </c>
      <c r="I2978">
        <v>150</v>
      </c>
      <c r="J2978" s="10">
        <v>0</v>
      </c>
      <c r="K2978" s="10">
        <f>SUMIFS(F:F,D:D,DST_123_ÜRETİM_İHTİYAÇ_RAPORU_BURAK_YENI1309[[#This Row],[ALT_KOD]])-(SUMIFS(H:H,D:D,DST_123_ÜRETİM_İHTİYAÇ_RAPORU_BURAK_YENI1309[[#This Row],[ALT_KOD]])+AVERAGEIFS(I:I,D:D,DST_123_ÜRETİM_İHTİYAÇ_RAPORU_BURAK_YENI1309[[#This Row],[ALT_KOD]])+AVERAGEIFS(L:L,D:D,DST_123_ÜRETİM_İHTİYAÇ_RAPORU_BURAK_YENI1309[[#This Row],[ALT_KOD]]))</f>
        <v>194</v>
      </c>
      <c r="L2978">
        <v>0</v>
      </c>
      <c r="M2978">
        <f>IF((DST_123_ÜRETİM_İHTİYAÇ_RAPORU_BURAK_YENI1309[[#This Row],[SATINALMA]]*DST_123_ÜRETİM_İHTİYAÇ_RAPORU_BURAK_YENI1309[[#This Row],[BIRIM_FIYATLAR]])&lt;1,VALUE("0"),DST_123_ÜRETİM_İHTİYAÇ_RAPORU_BURAK_YENI1309[[#This Row],[SATINALMA]]*DST_123_ÜRETİM_İHTİYAÇ_RAPORU_BURAK_YENI1309[[#This Row],[BIRIM_FIYATLAR]])</f>
        <v>5383.5</v>
      </c>
      <c r="N2978">
        <v>27.75</v>
      </c>
      <c r="O2978" t="s">
        <v>742</v>
      </c>
      <c r="P2978">
        <v>444</v>
      </c>
      <c r="Q2978" t="s">
        <v>184</v>
      </c>
    </row>
    <row r="2979" spans="1:17" x14ac:dyDescent="0.25">
      <c r="A2979" t="s">
        <v>1100</v>
      </c>
      <c r="B2979" t="s">
        <v>1058</v>
      </c>
      <c r="C2979" t="s">
        <v>175</v>
      </c>
      <c r="D2979" t="s">
        <v>141</v>
      </c>
      <c r="E2979" t="s">
        <v>142</v>
      </c>
      <c r="F2979">
        <v>16</v>
      </c>
      <c r="G2979" t="s">
        <v>176</v>
      </c>
      <c r="H2979">
        <v>0</v>
      </c>
      <c r="I2979">
        <v>150</v>
      </c>
      <c r="J2979" s="10">
        <v>0</v>
      </c>
      <c r="K2979" s="10">
        <f>SUMIFS(F:F,D:D,DST_123_ÜRETİM_İHTİYAÇ_RAPORU_BURAK_YENI1309[[#This Row],[ALT_KOD]])-(SUMIFS(H:H,D:D,DST_123_ÜRETİM_İHTİYAÇ_RAPORU_BURAK_YENI1309[[#This Row],[ALT_KOD]])+AVERAGEIFS(I:I,D:D,DST_123_ÜRETİM_İHTİYAÇ_RAPORU_BURAK_YENI1309[[#This Row],[ALT_KOD]])+AVERAGEIFS(L:L,D:D,DST_123_ÜRETİM_İHTİYAÇ_RAPORU_BURAK_YENI1309[[#This Row],[ALT_KOD]]))</f>
        <v>194</v>
      </c>
      <c r="L2979">
        <v>0</v>
      </c>
      <c r="M2979">
        <f>IF((DST_123_ÜRETİM_İHTİYAÇ_RAPORU_BURAK_YENI1309[[#This Row],[SATINALMA]]*DST_123_ÜRETİM_İHTİYAÇ_RAPORU_BURAK_YENI1309[[#This Row],[BIRIM_FIYATLAR]])&lt;1,VALUE("0"),DST_123_ÜRETİM_İHTİYAÇ_RAPORU_BURAK_YENI1309[[#This Row],[SATINALMA]]*DST_123_ÜRETİM_İHTİYAÇ_RAPORU_BURAK_YENI1309[[#This Row],[BIRIM_FIYATLAR]])</f>
        <v>5383.5</v>
      </c>
      <c r="N2979">
        <v>27.75</v>
      </c>
      <c r="O2979" t="s">
        <v>742</v>
      </c>
      <c r="P2979">
        <v>444</v>
      </c>
      <c r="Q2979" t="s">
        <v>184</v>
      </c>
    </row>
    <row r="2980" spans="1:17" x14ac:dyDescent="0.25">
      <c r="A2980" t="s">
        <v>1057</v>
      </c>
      <c r="B2980" t="s">
        <v>1058</v>
      </c>
      <c r="C2980" t="s">
        <v>175</v>
      </c>
      <c r="D2980" t="s">
        <v>840</v>
      </c>
      <c r="E2980" t="s">
        <v>841</v>
      </c>
      <c r="F2980">
        <v>5</v>
      </c>
      <c r="G2980" t="s">
        <v>179</v>
      </c>
      <c r="H2980">
        <v>0</v>
      </c>
      <c r="I2980">
        <v>0</v>
      </c>
      <c r="J2980" s="10">
        <v>165</v>
      </c>
      <c r="K2980" s="10">
        <f>SUMIFS(F:F,D:D,DST_123_ÜRETİM_İHTİYAÇ_RAPORU_BURAK_YENI1309[[#This Row],[ALT_KOD]])-(SUMIFS(H:H,D:D,DST_123_ÜRETİM_İHTİYAÇ_RAPORU_BURAK_YENI1309[[#This Row],[ALT_KOD]])+AVERAGEIFS(I:I,D:D,DST_123_ÜRETİM_İHTİYAÇ_RAPORU_BURAK_YENI1309[[#This Row],[ALT_KOD]])+AVERAGEIFS(L:L,D:D,DST_123_ÜRETİM_İHTİYAÇ_RAPORU_BURAK_YENI1309[[#This Row],[ALT_KOD]]))</f>
        <v>-289</v>
      </c>
      <c r="L2980">
        <v>400</v>
      </c>
      <c r="M2980">
        <f>IF((DST_123_ÜRETİM_İHTİYAÇ_RAPORU_BURAK_YENI1309[[#This Row],[SATINALMA]]*DST_123_ÜRETİM_İHTİYAÇ_RAPORU_BURAK_YENI1309[[#This Row],[BIRIM_FIYATLAR]])&lt;1,VALUE("0"),DST_123_ÜRETİM_İHTİYAÇ_RAPORU_BURAK_YENI1309[[#This Row],[SATINALMA]]*DST_123_ÜRETİM_İHTİYAÇ_RAPORU_BURAK_YENI1309[[#This Row],[BIRIM_FIYATLAR]])</f>
        <v>0</v>
      </c>
      <c r="N2980">
        <v>5</v>
      </c>
      <c r="O2980" t="s">
        <v>224</v>
      </c>
      <c r="P2980">
        <v>25</v>
      </c>
      <c r="Q2980" t="s">
        <v>180</v>
      </c>
    </row>
    <row r="2981" spans="1:17" x14ac:dyDescent="0.25">
      <c r="A2981" t="s">
        <v>1100</v>
      </c>
      <c r="B2981" t="s">
        <v>1058</v>
      </c>
      <c r="C2981" t="s">
        <v>175</v>
      </c>
      <c r="D2981" t="s">
        <v>840</v>
      </c>
      <c r="E2981" t="s">
        <v>841</v>
      </c>
      <c r="F2981">
        <v>5</v>
      </c>
      <c r="G2981" t="s">
        <v>179</v>
      </c>
      <c r="H2981">
        <v>0</v>
      </c>
      <c r="I2981">
        <v>0</v>
      </c>
      <c r="J2981" s="10">
        <v>165</v>
      </c>
      <c r="K2981" s="10">
        <f>SUMIFS(F:F,D:D,DST_123_ÜRETİM_İHTİYAÇ_RAPORU_BURAK_YENI1309[[#This Row],[ALT_KOD]])-(SUMIFS(H:H,D:D,DST_123_ÜRETİM_İHTİYAÇ_RAPORU_BURAK_YENI1309[[#This Row],[ALT_KOD]])+AVERAGEIFS(I:I,D:D,DST_123_ÜRETİM_İHTİYAÇ_RAPORU_BURAK_YENI1309[[#This Row],[ALT_KOD]])+AVERAGEIFS(L:L,D:D,DST_123_ÜRETİM_İHTİYAÇ_RAPORU_BURAK_YENI1309[[#This Row],[ALT_KOD]]))</f>
        <v>-289</v>
      </c>
      <c r="L2981">
        <v>400</v>
      </c>
      <c r="M2981">
        <f>IF((DST_123_ÜRETİM_İHTİYAÇ_RAPORU_BURAK_YENI1309[[#This Row],[SATINALMA]]*DST_123_ÜRETİM_İHTİYAÇ_RAPORU_BURAK_YENI1309[[#This Row],[BIRIM_FIYATLAR]])&lt;1,VALUE("0"),DST_123_ÜRETİM_İHTİYAÇ_RAPORU_BURAK_YENI1309[[#This Row],[SATINALMA]]*DST_123_ÜRETİM_İHTİYAÇ_RAPORU_BURAK_YENI1309[[#This Row],[BIRIM_FIYATLAR]])</f>
        <v>0</v>
      </c>
      <c r="N2981">
        <v>5</v>
      </c>
      <c r="O2981" t="s">
        <v>224</v>
      </c>
      <c r="P2981">
        <v>25</v>
      </c>
      <c r="Q2981" t="s">
        <v>180</v>
      </c>
    </row>
    <row r="2982" spans="1:17" x14ac:dyDescent="0.25">
      <c r="A2982" t="s">
        <v>1099</v>
      </c>
      <c r="B2982" t="s">
        <v>1055</v>
      </c>
      <c r="C2982" t="s">
        <v>175</v>
      </c>
      <c r="D2982" t="s">
        <v>104</v>
      </c>
      <c r="E2982" t="s">
        <v>105</v>
      </c>
      <c r="F2982">
        <v>5</v>
      </c>
      <c r="G2982" t="s">
        <v>176</v>
      </c>
      <c r="H2982">
        <v>0</v>
      </c>
      <c r="I2982">
        <v>0</v>
      </c>
      <c r="J2982" s="10">
        <v>75</v>
      </c>
      <c r="K2982" s="10">
        <f>SUMIFS(F:F,D:D,DST_123_ÜRETİM_İHTİYAÇ_RAPORU_BURAK_YENI1309[[#This Row],[ALT_KOD]])-(SUMIFS(H:H,D:D,DST_123_ÜRETİM_İHTİYAÇ_RAPORU_BURAK_YENI1309[[#This Row],[ALT_KOD]])+AVERAGEIFS(I:I,D:D,DST_123_ÜRETİM_İHTİYAÇ_RAPORU_BURAK_YENI1309[[#This Row],[ALT_KOD]])+AVERAGEIFS(L:L,D:D,DST_123_ÜRETİM_İHTİYAÇ_RAPORU_BURAK_YENI1309[[#This Row],[ALT_KOD]]))</f>
        <v>102</v>
      </c>
      <c r="L2982">
        <v>0</v>
      </c>
      <c r="M2982">
        <f>IF((DST_123_ÜRETİM_İHTİYAÇ_RAPORU_BURAK_YENI1309[[#This Row],[SATINALMA]]*DST_123_ÜRETİM_İHTİYAÇ_RAPORU_BURAK_YENI1309[[#This Row],[BIRIM_FIYATLAR]])&lt;1,VALUE("0"),DST_123_ÜRETİM_İHTİYAÇ_RAPORU_BURAK_YENI1309[[#This Row],[SATINALMA]]*DST_123_ÜRETİM_İHTİYAÇ_RAPORU_BURAK_YENI1309[[#This Row],[BIRIM_FIYATLAR]])</f>
        <v>10710</v>
      </c>
      <c r="N2982">
        <v>105</v>
      </c>
      <c r="O2982" t="s">
        <v>625</v>
      </c>
      <c r="P2982">
        <v>525</v>
      </c>
      <c r="Q2982" t="s">
        <v>178</v>
      </c>
    </row>
    <row r="2983" spans="1:17" x14ac:dyDescent="0.25">
      <c r="A2983" t="s">
        <v>1060</v>
      </c>
      <c r="B2983" t="s">
        <v>1061</v>
      </c>
      <c r="C2983" t="s">
        <v>175</v>
      </c>
      <c r="D2983" t="s">
        <v>426</v>
      </c>
      <c r="E2983" t="s">
        <v>427</v>
      </c>
      <c r="F2983">
        <v>1</v>
      </c>
      <c r="G2983" t="s">
        <v>176</v>
      </c>
      <c r="H2983">
        <v>1</v>
      </c>
      <c r="I2983">
        <v>12</v>
      </c>
      <c r="J2983" s="10">
        <v>9</v>
      </c>
      <c r="K2983" s="10">
        <f>SUMIFS(F:F,D:D,DST_123_ÜRETİM_İHTİYAÇ_RAPORU_BURAK_YENI1309[[#This Row],[ALT_KOD]])-(SUMIFS(H:H,D:D,DST_123_ÜRETİM_İHTİYAÇ_RAPORU_BURAK_YENI1309[[#This Row],[ALT_KOD]])+AVERAGEIFS(I:I,D:D,DST_123_ÜRETİM_İHTİYAÇ_RAPORU_BURAK_YENI1309[[#This Row],[ALT_KOD]])+AVERAGEIFS(L:L,D:D,DST_123_ÜRETİM_İHTİYAÇ_RAPORU_BURAK_YENI1309[[#This Row],[ALT_KOD]]))</f>
        <v>0</v>
      </c>
      <c r="L2983">
        <v>0</v>
      </c>
      <c r="M2983">
        <f>IF((DST_123_ÜRETİM_İHTİYAÇ_RAPORU_BURAK_YENI1309[[#This Row],[SATINALMA]]*DST_123_ÜRETİM_İHTİYAÇ_RAPORU_BURAK_YENI1309[[#This Row],[BIRIM_FIYATLAR]])&lt;1,VALUE("0"),DST_123_ÜRETİM_İHTİYAÇ_RAPORU_BURAK_YENI1309[[#This Row],[SATINALMA]]*DST_123_ÜRETİM_İHTİYAÇ_RAPORU_BURAK_YENI1309[[#This Row],[BIRIM_FIYATLAR]])</f>
        <v>0</v>
      </c>
      <c r="N2983">
        <v>266.72000000000003</v>
      </c>
      <c r="O2983" t="s">
        <v>227</v>
      </c>
      <c r="P2983">
        <v>266.72000000000003</v>
      </c>
      <c r="Q2983" t="s">
        <v>221</v>
      </c>
    </row>
    <row r="2984" spans="1:17" x14ac:dyDescent="0.25">
      <c r="A2984" t="s">
        <v>1057</v>
      </c>
      <c r="B2984" t="s">
        <v>1058</v>
      </c>
      <c r="C2984" t="s">
        <v>175</v>
      </c>
      <c r="D2984" t="s">
        <v>426</v>
      </c>
      <c r="E2984" t="s">
        <v>427</v>
      </c>
      <c r="F2984">
        <v>1</v>
      </c>
      <c r="G2984" t="s">
        <v>176</v>
      </c>
      <c r="H2984">
        <v>1</v>
      </c>
      <c r="I2984">
        <v>12</v>
      </c>
      <c r="J2984" s="10">
        <v>9</v>
      </c>
      <c r="K2984" s="10">
        <f>SUMIFS(F:F,D:D,DST_123_ÜRETİM_İHTİYAÇ_RAPORU_BURAK_YENI1309[[#This Row],[ALT_KOD]])-(SUMIFS(H:H,D:D,DST_123_ÜRETİM_İHTİYAÇ_RAPORU_BURAK_YENI1309[[#This Row],[ALT_KOD]])+AVERAGEIFS(I:I,D:D,DST_123_ÜRETİM_İHTİYAÇ_RAPORU_BURAK_YENI1309[[#This Row],[ALT_KOD]])+AVERAGEIFS(L:L,D:D,DST_123_ÜRETİM_İHTİYAÇ_RAPORU_BURAK_YENI1309[[#This Row],[ALT_KOD]]))</f>
        <v>0</v>
      </c>
      <c r="L2984">
        <v>0</v>
      </c>
      <c r="M2984">
        <f>IF((DST_123_ÜRETİM_İHTİYAÇ_RAPORU_BURAK_YENI1309[[#This Row],[SATINALMA]]*DST_123_ÜRETİM_İHTİYAÇ_RAPORU_BURAK_YENI1309[[#This Row],[BIRIM_FIYATLAR]])&lt;1,VALUE("0"),DST_123_ÜRETİM_İHTİYAÇ_RAPORU_BURAK_YENI1309[[#This Row],[SATINALMA]]*DST_123_ÜRETİM_İHTİYAÇ_RAPORU_BURAK_YENI1309[[#This Row],[BIRIM_FIYATLAR]])</f>
        <v>0</v>
      </c>
      <c r="N2984">
        <v>266.72000000000003</v>
      </c>
      <c r="O2984" t="s">
        <v>227</v>
      </c>
      <c r="P2984">
        <v>266.72000000000003</v>
      </c>
      <c r="Q2984" t="s">
        <v>221</v>
      </c>
    </row>
    <row r="2985" spans="1:17" x14ac:dyDescent="0.25">
      <c r="A2985" t="s">
        <v>1148</v>
      </c>
      <c r="B2985" t="s">
        <v>1056</v>
      </c>
      <c r="C2985" t="s">
        <v>175</v>
      </c>
      <c r="D2985" t="s">
        <v>426</v>
      </c>
      <c r="E2985" t="s">
        <v>427</v>
      </c>
      <c r="F2985">
        <v>1</v>
      </c>
      <c r="G2985" t="s">
        <v>176</v>
      </c>
      <c r="H2985">
        <v>0</v>
      </c>
      <c r="I2985">
        <v>12</v>
      </c>
      <c r="J2985" s="10">
        <v>9</v>
      </c>
      <c r="K2985" s="10">
        <f>SUMIFS(F:F,D:D,DST_123_ÜRETİM_İHTİYAÇ_RAPORU_BURAK_YENI1309[[#This Row],[ALT_KOD]])-(SUMIFS(H:H,D:D,DST_123_ÜRETİM_İHTİYAÇ_RAPORU_BURAK_YENI1309[[#This Row],[ALT_KOD]])+AVERAGEIFS(I:I,D:D,DST_123_ÜRETİM_İHTİYAÇ_RAPORU_BURAK_YENI1309[[#This Row],[ALT_KOD]])+AVERAGEIFS(L:L,D:D,DST_123_ÜRETİM_İHTİYAÇ_RAPORU_BURAK_YENI1309[[#This Row],[ALT_KOD]]))</f>
        <v>0</v>
      </c>
      <c r="L2985">
        <v>0</v>
      </c>
      <c r="M2985">
        <f>IF((DST_123_ÜRETİM_İHTİYAÇ_RAPORU_BURAK_YENI1309[[#This Row],[SATINALMA]]*DST_123_ÜRETİM_İHTİYAÇ_RAPORU_BURAK_YENI1309[[#This Row],[BIRIM_FIYATLAR]])&lt;1,VALUE("0"),DST_123_ÜRETİM_İHTİYAÇ_RAPORU_BURAK_YENI1309[[#This Row],[SATINALMA]]*DST_123_ÜRETİM_İHTİYAÇ_RAPORU_BURAK_YENI1309[[#This Row],[BIRIM_FIYATLAR]])</f>
        <v>0</v>
      </c>
      <c r="N2985">
        <v>266.72000000000003</v>
      </c>
      <c r="O2985" t="s">
        <v>227</v>
      </c>
      <c r="P2985">
        <v>266.72000000000003</v>
      </c>
      <c r="Q2985" t="s">
        <v>221</v>
      </c>
    </row>
    <row r="2986" spans="1:17" x14ac:dyDescent="0.25">
      <c r="A2986" t="s">
        <v>1101</v>
      </c>
      <c r="B2986" t="s">
        <v>1102</v>
      </c>
      <c r="C2986" t="s">
        <v>175</v>
      </c>
      <c r="D2986" t="s">
        <v>630</v>
      </c>
      <c r="E2986" t="s">
        <v>631</v>
      </c>
      <c r="F2986">
        <v>525</v>
      </c>
      <c r="G2986" t="s">
        <v>176</v>
      </c>
      <c r="H2986">
        <v>0</v>
      </c>
      <c r="I2986">
        <v>8000</v>
      </c>
      <c r="J2986" s="10">
        <v>11449</v>
      </c>
      <c r="K2986" s="10">
        <f>SUMIFS(F:F,D:D,DST_123_ÜRETİM_İHTİYAÇ_RAPORU_BURAK_YENI1309[[#This Row],[ALT_KOD]])-(SUMIFS(H:H,D:D,DST_123_ÜRETİM_İHTİYAÇ_RAPORU_BURAK_YENI1309[[#This Row],[ALT_KOD]])+AVERAGEIFS(I:I,D:D,DST_123_ÜRETİM_İHTİYAÇ_RAPORU_BURAK_YENI1309[[#This Row],[ALT_KOD]])+AVERAGEIFS(L:L,D:D,DST_123_ÜRETİM_İHTİYAÇ_RAPORU_BURAK_YENI1309[[#This Row],[ALT_KOD]]))</f>
        <v>-1313</v>
      </c>
      <c r="L2986">
        <v>0</v>
      </c>
      <c r="M2986">
        <f>IF((DST_123_ÜRETİM_İHTİYAÇ_RAPORU_BURAK_YENI1309[[#This Row],[SATINALMA]]*DST_123_ÜRETİM_İHTİYAÇ_RAPORU_BURAK_YENI1309[[#This Row],[BIRIM_FIYATLAR]])&lt;1,VALUE("0"),DST_123_ÜRETİM_İHTİYAÇ_RAPORU_BURAK_YENI1309[[#This Row],[SATINALMA]]*DST_123_ÜRETİM_İHTİYAÇ_RAPORU_BURAK_YENI1309[[#This Row],[BIRIM_FIYATLAR]])</f>
        <v>0</v>
      </c>
      <c r="N2986">
        <v>0.54</v>
      </c>
      <c r="O2986" t="s">
        <v>628</v>
      </c>
      <c r="P2986">
        <v>283.5</v>
      </c>
      <c r="Q2986" t="s">
        <v>180</v>
      </c>
    </row>
    <row r="2987" spans="1:17" x14ac:dyDescent="0.25">
      <c r="A2987" t="s">
        <v>1057</v>
      </c>
      <c r="B2987" t="s">
        <v>1058</v>
      </c>
      <c r="C2987" t="s">
        <v>175</v>
      </c>
      <c r="D2987" t="s">
        <v>450</v>
      </c>
      <c r="E2987" t="s">
        <v>624</v>
      </c>
      <c r="F2987">
        <v>2</v>
      </c>
      <c r="G2987" t="s">
        <v>176</v>
      </c>
      <c r="H2987">
        <v>2</v>
      </c>
      <c r="I2987">
        <v>6</v>
      </c>
      <c r="J2987" s="10">
        <v>24</v>
      </c>
      <c r="K2987" s="10">
        <f>SUMIFS(F:F,D:D,DST_123_ÜRETİM_İHTİYAÇ_RAPORU_BURAK_YENI1309[[#This Row],[ALT_KOD]])-(SUMIFS(H:H,D:D,DST_123_ÜRETİM_İHTİYAÇ_RAPORU_BURAK_YENI1309[[#This Row],[ALT_KOD]])+AVERAGEIFS(I:I,D:D,DST_123_ÜRETİM_İHTİYAÇ_RAPORU_BURAK_YENI1309[[#This Row],[ALT_KOD]])+AVERAGEIFS(L:L,D:D,DST_123_ÜRETİM_İHTİYAÇ_RAPORU_BURAK_YENI1309[[#This Row],[ALT_KOD]]))</f>
        <v>10</v>
      </c>
      <c r="L2987">
        <v>0</v>
      </c>
      <c r="M2987">
        <f>IF((DST_123_ÜRETİM_İHTİYAÇ_RAPORU_BURAK_YENI1309[[#This Row],[SATINALMA]]*DST_123_ÜRETİM_İHTİYAÇ_RAPORU_BURAK_YENI1309[[#This Row],[BIRIM_FIYATLAR]])&lt;1,VALUE("0"),DST_123_ÜRETİM_İHTİYAÇ_RAPORU_BURAK_YENI1309[[#This Row],[SATINALMA]]*DST_123_ÜRETİM_İHTİYAÇ_RAPORU_BURAK_YENI1309[[#This Row],[BIRIM_FIYATLAR]])</f>
        <v>149462.5</v>
      </c>
      <c r="N2987">
        <v>14946.25</v>
      </c>
      <c r="O2987" t="s">
        <v>625</v>
      </c>
      <c r="P2987">
        <v>29892.5</v>
      </c>
      <c r="Q2987" t="s">
        <v>178</v>
      </c>
    </row>
    <row r="2988" spans="1:17" x14ac:dyDescent="0.25">
      <c r="A2988" t="s">
        <v>1101</v>
      </c>
      <c r="B2988" t="s">
        <v>1102</v>
      </c>
      <c r="C2988" t="s">
        <v>175</v>
      </c>
      <c r="D2988" t="s">
        <v>439</v>
      </c>
      <c r="E2988" t="s">
        <v>440</v>
      </c>
      <c r="F2988">
        <v>1</v>
      </c>
      <c r="G2988" t="s">
        <v>176</v>
      </c>
      <c r="H2988">
        <v>1</v>
      </c>
      <c r="I2988">
        <v>28</v>
      </c>
      <c r="J2988" s="10">
        <v>5</v>
      </c>
      <c r="K2988" s="10">
        <f>SUMIFS(F:F,D:D,DST_123_ÜRETİM_İHTİYAÇ_RAPORU_BURAK_YENI1309[[#This Row],[ALT_KOD]])-(SUMIFS(H:H,D:D,DST_123_ÜRETİM_İHTİYAÇ_RAPORU_BURAK_YENI1309[[#This Row],[ALT_KOD]])+AVERAGEIFS(I:I,D:D,DST_123_ÜRETİM_İHTİYAÇ_RAPORU_BURAK_YENI1309[[#This Row],[ALT_KOD]])+AVERAGEIFS(L:L,D:D,DST_123_ÜRETİM_İHTİYAÇ_RAPORU_BURAK_YENI1309[[#This Row],[ALT_KOD]]))</f>
        <v>-16</v>
      </c>
      <c r="L2988">
        <v>0</v>
      </c>
      <c r="M2988">
        <f>IF((DST_123_ÜRETİM_İHTİYAÇ_RAPORU_BURAK_YENI1309[[#This Row],[SATINALMA]]*DST_123_ÜRETİM_İHTİYAÇ_RAPORU_BURAK_YENI1309[[#This Row],[BIRIM_FIYATLAR]])&lt;1,VALUE("0"),DST_123_ÜRETİM_İHTİYAÇ_RAPORU_BURAK_YENI1309[[#This Row],[SATINALMA]]*DST_123_ÜRETİM_İHTİYAÇ_RAPORU_BURAK_YENI1309[[#This Row],[BIRIM_FIYATLAR]])</f>
        <v>0</v>
      </c>
      <c r="N2988">
        <v>373.06</v>
      </c>
      <c r="O2988" t="s">
        <v>636</v>
      </c>
      <c r="P2988">
        <v>373.06</v>
      </c>
      <c r="Q2988" t="s">
        <v>178</v>
      </c>
    </row>
    <row r="2989" spans="1:17" x14ac:dyDescent="0.25">
      <c r="A2989" t="s">
        <v>1142</v>
      </c>
      <c r="B2989" t="s">
        <v>1056</v>
      </c>
      <c r="C2989" t="s">
        <v>175</v>
      </c>
      <c r="D2989" t="s">
        <v>630</v>
      </c>
      <c r="E2989" t="s">
        <v>631</v>
      </c>
      <c r="F2989">
        <v>278</v>
      </c>
      <c r="G2989" t="s">
        <v>176</v>
      </c>
      <c r="H2989">
        <v>0</v>
      </c>
      <c r="I2989">
        <v>8000</v>
      </c>
      <c r="J2989" s="10">
        <v>11449</v>
      </c>
      <c r="K2989" s="10">
        <f>SUMIFS(F:F,D:D,DST_123_ÜRETİM_İHTİYAÇ_RAPORU_BURAK_YENI1309[[#This Row],[ALT_KOD]])-(SUMIFS(H:H,D:D,DST_123_ÜRETİM_İHTİYAÇ_RAPORU_BURAK_YENI1309[[#This Row],[ALT_KOD]])+AVERAGEIFS(I:I,D:D,DST_123_ÜRETİM_İHTİYAÇ_RAPORU_BURAK_YENI1309[[#This Row],[ALT_KOD]])+AVERAGEIFS(L:L,D:D,DST_123_ÜRETİM_İHTİYAÇ_RAPORU_BURAK_YENI1309[[#This Row],[ALT_KOD]]))</f>
        <v>-1313</v>
      </c>
      <c r="L2989">
        <v>0</v>
      </c>
      <c r="M2989">
        <f>IF((DST_123_ÜRETİM_İHTİYAÇ_RAPORU_BURAK_YENI1309[[#This Row],[SATINALMA]]*DST_123_ÜRETİM_İHTİYAÇ_RAPORU_BURAK_YENI1309[[#This Row],[BIRIM_FIYATLAR]])&lt;1,VALUE("0"),DST_123_ÜRETİM_İHTİYAÇ_RAPORU_BURAK_YENI1309[[#This Row],[SATINALMA]]*DST_123_ÜRETİM_İHTİYAÇ_RAPORU_BURAK_YENI1309[[#This Row],[BIRIM_FIYATLAR]])</f>
        <v>0</v>
      </c>
      <c r="N2989">
        <v>0.54</v>
      </c>
      <c r="O2989" t="s">
        <v>628</v>
      </c>
      <c r="P2989">
        <v>150.12</v>
      </c>
      <c r="Q2989" t="s">
        <v>180</v>
      </c>
    </row>
    <row r="2990" spans="1:17" x14ac:dyDescent="0.25">
      <c r="A2990" t="s">
        <v>1097</v>
      </c>
      <c r="B2990" t="s">
        <v>1055</v>
      </c>
      <c r="C2990" t="s">
        <v>175</v>
      </c>
      <c r="D2990" t="s">
        <v>630</v>
      </c>
      <c r="E2990" t="s">
        <v>631</v>
      </c>
      <c r="F2990">
        <v>562</v>
      </c>
      <c r="G2990" t="s">
        <v>176</v>
      </c>
      <c r="H2990">
        <v>0</v>
      </c>
      <c r="I2990">
        <v>8000</v>
      </c>
      <c r="J2990" s="10">
        <v>11449</v>
      </c>
      <c r="K2990" s="10">
        <f>SUMIFS(F:F,D:D,DST_123_ÜRETİM_İHTİYAÇ_RAPORU_BURAK_YENI1309[[#This Row],[ALT_KOD]])-(SUMIFS(H:H,D:D,DST_123_ÜRETİM_İHTİYAÇ_RAPORU_BURAK_YENI1309[[#This Row],[ALT_KOD]])+AVERAGEIFS(I:I,D:D,DST_123_ÜRETİM_İHTİYAÇ_RAPORU_BURAK_YENI1309[[#This Row],[ALT_KOD]])+AVERAGEIFS(L:L,D:D,DST_123_ÜRETİM_İHTİYAÇ_RAPORU_BURAK_YENI1309[[#This Row],[ALT_KOD]]))</f>
        <v>-1313</v>
      </c>
      <c r="L2990">
        <v>0</v>
      </c>
      <c r="M2990">
        <f>IF((DST_123_ÜRETİM_İHTİYAÇ_RAPORU_BURAK_YENI1309[[#This Row],[SATINALMA]]*DST_123_ÜRETİM_İHTİYAÇ_RAPORU_BURAK_YENI1309[[#This Row],[BIRIM_FIYATLAR]])&lt;1,VALUE("0"),DST_123_ÜRETİM_İHTİYAÇ_RAPORU_BURAK_YENI1309[[#This Row],[SATINALMA]]*DST_123_ÜRETİM_İHTİYAÇ_RAPORU_BURAK_YENI1309[[#This Row],[BIRIM_FIYATLAR]])</f>
        <v>0</v>
      </c>
      <c r="N2990">
        <v>0.54</v>
      </c>
      <c r="O2990" t="s">
        <v>628</v>
      </c>
      <c r="P2990">
        <v>303.48</v>
      </c>
      <c r="Q2990" t="s">
        <v>180</v>
      </c>
    </row>
    <row r="2991" spans="1:17" x14ac:dyDescent="0.25">
      <c r="A2991" t="s">
        <v>1095</v>
      </c>
      <c r="B2991" t="s">
        <v>1096</v>
      </c>
      <c r="C2991" t="s">
        <v>175</v>
      </c>
      <c r="D2991" t="s">
        <v>450</v>
      </c>
      <c r="E2991" t="s">
        <v>624</v>
      </c>
      <c r="F2991">
        <v>2</v>
      </c>
      <c r="G2991" t="s">
        <v>176</v>
      </c>
      <c r="H2991">
        <v>0</v>
      </c>
      <c r="I2991">
        <v>6</v>
      </c>
      <c r="J2991" s="10">
        <v>24</v>
      </c>
      <c r="K2991" s="10">
        <f>SUMIFS(F:F,D:D,DST_123_ÜRETİM_İHTİYAÇ_RAPORU_BURAK_YENI1309[[#This Row],[ALT_KOD]])-(SUMIFS(H:H,D:D,DST_123_ÜRETİM_İHTİYAÇ_RAPORU_BURAK_YENI1309[[#This Row],[ALT_KOD]])+AVERAGEIFS(I:I,D:D,DST_123_ÜRETİM_İHTİYAÇ_RAPORU_BURAK_YENI1309[[#This Row],[ALT_KOD]])+AVERAGEIFS(L:L,D:D,DST_123_ÜRETİM_İHTİYAÇ_RAPORU_BURAK_YENI1309[[#This Row],[ALT_KOD]]))</f>
        <v>10</v>
      </c>
      <c r="L2991">
        <v>0</v>
      </c>
      <c r="M2991">
        <f>IF((DST_123_ÜRETİM_İHTİYAÇ_RAPORU_BURAK_YENI1309[[#This Row],[SATINALMA]]*DST_123_ÜRETİM_İHTİYAÇ_RAPORU_BURAK_YENI1309[[#This Row],[BIRIM_FIYATLAR]])&lt;1,VALUE("0"),DST_123_ÜRETİM_İHTİYAÇ_RAPORU_BURAK_YENI1309[[#This Row],[SATINALMA]]*DST_123_ÜRETİM_İHTİYAÇ_RAPORU_BURAK_YENI1309[[#This Row],[BIRIM_FIYATLAR]])</f>
        <v>149462.5</v>
      </c>
      <c r="N2991">
        <v>14946.25</v>
      </c>
      <c r="O2991" t="s">
        <v>625</v>
      </c>
      <c r="P2991">
        <v>29892.5</v>
      </c>
      <c r="Q2991" t="s">
        <v>178</v>
      </c>
    </row>
    <row r="2992" spans="1:17" x14ac:dyDescent="0.25">
      <c r="A2992" t="s">
        <v>1095</v>
      </c>
      <c r="B2992" t="s">
        <v>1096</v>
      </c>
      <c r="C2992" t="s">
        <v>175</v>
      </c>
      <c r="D2992" t="s">
        <v>439</v>
      </c>
      <c r="E2992" t="s">
        <v>440</v>
      </c>
      <c r="F2992">
        <v>1</v>
      </c>
      <c r="G2992" t="s">
        <v>176</v>
      </c>
      <c r="H2992">
        <v>0</v>
      </c>
      <c r="I2992">
        <v>28</v>
      </c>
      <c r="J2992" s="10">
        <v>5</v>
      </c>
      <c r="K2992" s="10">
        <f>SUMIFS(F:F,D:D,DST_123_ÜRETİM_İHTİYAÇ_RAPORU_BURAK_YENI1309[[#This Row],[ALT_KOD]])-(SUMIFS(H:H,D:D,DST_123_ÜRETİM_İHTİYAÇ_RAPORU_BURAK_YENI1309[[#This Row],[ALT_KOD]])+AVERAGEIFS(I:I,D:D,DST_123_ÜRETİM_İHTİYAÇ_RAPORU_BURAK_YENI1309[[#This Row],[ALT_KOD]])+AVERAGEIFS(L:L,D:D,DST_123_ÜRETİM_İHTİYAÇ_RAPORU_BURAK_YENI1309[[#This Row],[ALT_KOD]]))</f>
        <v>-16</v>
      </c>
      <c r="L2992">
        <v>0</v>
      </c>
      <c r="M2992">
        <f>IF((DST_123_ÜRETİM_İHTİYAÇ_RAPORU_BURAK_YENI1309[[#This Row],[SATINALMA]]*DST_123_ÜRETİM_İHTİYAÇ_RAPORU_BURAK_YENI1309[[#This Row],[BIRIM_FIYATLAR]])&lt;1,VALUE("0"),DST_123_ÜRETİM_İHTİYAÇ_RAPORU_BURAK_YENI1309[[#This Row],[SATINALMA]]*DST_123_ÜRETİM_İHTİYAÇ_RAPORU_BURAK_YENI1309[[#This Row],[BIRIM_FIYATLAR]])</f>
        <v>0</v>
      </c>
      <c r="N2992">
        <v>373.06</v>
      </c>
      <c r="O2992" t="s">
        <v>636</v>
      </c>
      <c r="P2992">
        <v>373.06</v>
      </c>
      <c r="Q2992" t="s">
        <v>178</v>
      </c>
    </row>
    <row r="2993" spans="1:17" x14ac:dyDescent="0.25">
      <c r="A2993" t="s">
        <v>1143</v>
      </c>
      <c r="B2993" t="s">
        <v>1056</v>
      </c>
      <c r="C2993" t="s">
        <v>175</v>
      </c>
      <c r="D2993" t="s">
        <v>439</v>
      </c>
      <c r="E2993" t="s">
        <v>440</v>
      </c>
      <c r="F2993">
        <v>1</v>
      </c>
      <c r="G2993" t="s">
        <v>176</v>
      </c>
      <c r="H2993">
        <v>0</v>
      </c>
      <c r="I2993">
        <v>28</v>
      </c>
      <c r="J2993" s="10">
        <v>5</v>
      </c>
      <c r="K2993" s="10">
        <f>SUMIFS(F:F,D:D,DST_123_ÜRETİM_İHTİYAÇ_RAPORU_BURAK_YENI1309[[#This Row],[ALT_KOD]])-(SUMIFS(H:H,D:D,DST_123_ÜRETİM_İHTİYAÇ_RAPORU_BURAK_YENI1309[[#This Row],[ALT_KOD]])+AVERAGEIFS(I:I,D:D,DST_123_ÜRETİM_İHTİYAÇ_RAPORU_BURAK_YENI1309[[#This Row],[ALT_KOD]])+AVERAGEIFS(L:L,D:D,DST_123_ÜRETİM_İHTİYAÇ_RAPORU_BURAK_YENI1309[[#This Row],[ALT_KOD]]))</f>
        <v>-16</v>
      </c>
      <c r="L2993">
        <v>0</v>
      </c>
      <c r="M2993">
        <f>IF((DST_123_ÜRETİM_İHTİYAÇ_RAPORU_BURAK_YENI1309[[#This Row],[SATINALMA]]*DST_123_ÜRETİM_İHTİYAÇ_RAPORU_BURAK_YENI1309[[#This Row],[BIRIM_FIYATLAR]])&lt;1,VALUE("0"),DST_123_ÜRETİM_İHTİYAÇ_RAPORU_BURAK_YENI1309[[#This Row],[SATINALMA]]*DST_123_ÜRETİM_İHTİYAÇ_RAPORU_BURAK_YENI1309[[#This Row],[BIRIM_FIYATLAR]])</f>
        <v>0</v>
      </c>
      <c r="N2993">
        <v>373.06</v>
      </c>
      <c r="O2993" t="s">
        <v>636</v>
      </c>
      <c r="P2993">
        <v>373.06</v>
      </c>
      <c r="Q2993" t="s">
        <v>178</v>
      </c>
    </row>
    <row r="2994" spans="1:17" x14ac:dyDescent="0.25">
      <c r="A2994" t="s">
        <v>1143</v>
      </c>
      <c r="B2994" t="s">
        <v>1056</v>
      </c>
      <c r="C2994" t="s">
        <v>175</v>
      </c>
      <c r="D2994" t="s">
        <v>443</v>
      </c>
      <c r="E2994" t="s">
        <v>444</v>
      </c>
      <c r="F2994">
        <v>1</v>
      </c>
      <c r="G2994" t="s">
        <v>176</v>
      </c>
      <c r="H2994">
        <v>0</v>
      </c>
      <c r="I2994">
        <v>25</v>
      </c>
      <c r="J2994" s="10">
        <v>5</v>
      </c>
      <c r="K2994" s="10">
        <f>SUMIFS(F:F,D:D,DST_123_ÜRETİM_İHTİYAÇ_RAPORU_BURAK_YENI1309[[#This Row],[ALT_KOD]])-(SUMIFS(H:H,D:D,DST_123_ÜRETİM_İHTİYAÇ_RAPORU_BURAK_YENI1309[[#This Row],[ALT_KOD]])+AVERAGEIFS(I:I,D:D,DST_123_ÜRETİM_İHTİYAÇ_RAPORU_BURAK_YENI1309[[#This Row],[ALT_KOD]])+AVERAGEIFS(L:L,D:D,DST_123_ÜRETİM_İHTİYAÇ_RAPORU_BURAK_YENI1309[[#This Row],[ALT_KOD]]))</f>
        <v>-13</v>
      </c>
      <c r="L2994">
        <v>0</v>
      </c>
      <c r="M2994">
        <f>IF((DST_123_ÜRETİM_İHTİYAÇ_RAPORU_BURAK_YENI1309[[#This Row],[SATINALMA]]*DST_123_ÜRETİM_İHTİYAÇ_RAPORU_BURAK_YENI1309[[#This Row],[BIRIM_FIYATLAR]])&lt;1,VALUE("0"),DST_123_ÜRETİM_İHTİYAÇ_RAPORU_BURAK_YENI1309[[#This Row],[SATINALMA]]*DST_123_ÜRETİM_İHTİYAÇ_RAPORU_BURAK_YENI1309[[#This Row],[BIRIM_FIYATLAR]])</f>
        <v>0</v>
      </c>
      <c r="N2994">
        <v>373.06</v>
      </c>
      <c r="O2994" t="s">
        <v>636</v>
      </c>
      <c r="P2994">
        <v>373.06</v>
      </c>
      <c r="Q2994" t="s">
        <v>178</v>
      </c>
    </row>
    <row r="2995" spans="1:17" x14ac:dyDescent="0.25">
      <c r="A2995" t="s">
        <v>1147</v>
      </c>
      <c r="B2995" t="s">
        <v>1145</v>
      </c>
      <c r="C2995" t="s">
        <v>175</v>
      </c>
      <c r="D2995" t="s">
        <v>630</v>
      </c>
      <c r="E2995" t="s">
        <v>631</v>
      </c>
      <c r="F2995">
        <v>278</v>
      </c>
      <c r="G2995" t="s">
        <v>176</v>
      </c>
      <c r="H2995">
        <v>0</v>
      </c>
      <c r="I2995">
        <v>8000</v>
      </c>
      <c r="J2995" s="10">
        <v>11449</v>
      </c>
      <c r="K2995" s="10">
        <f>SUMIFS(F:F,D:D,DST_123_ÜRETİM_İHTİYAÇ_RAPORU_BURAK_YENI1309[[#This Row],[ALT_KOD]])-(SUMIFS(H:H,D:D,DST_123_ÜRETİM_İHTİYAÇ_RAPORU_BURAK_YENI1309[[#This Row],[ALT_KOD]])+AVERAGEIFS(I:I,D:D,DST_123_ÜRETİM_İHTİYAÇ_RAPORU_BURAK_YENI1309[[#This Row],[ALT_KOD]])+AVERAGEIFS(L:L,D:D,DST_123_ÜRETİM_İHTİYAÇ_RAPORU_BURAK_YENI1309[[#This Row],[ALT_KOD]]))</f>
        <v>-1313</v>
      </c>
      <c r="L2995">
        <v>0</v>
      </c>
      <c r="M2995">
        <f>IF((DST_123_ÜRETİM_İHTİYAÇ_RAPORU_BURAK_YENI1309[[#This Row],[SATINALMA]]*DST_123_ÜRETİM_İHTİYAÇ_RAPORU_BURAK_YENI1309[[#This Row],[BIRIM_FIYATLAR]])&lt;1,VALUE("0"),DST_123_ÜRETİM_İHTİYAÇ_RAPORU_BURAK_YENI1309[[#This Row],[SATINALMA]]*DST_123_ÜRETİM_İHTİYAÇ_RAPORU_BURAK_YENI1309[[#This Row],[BIRIM_FIYATLAR]])</f>
        <v>0</v>
      </c>
      <c r="N2995">
        <v>0.54</v>
      </c>
      <c r="O2995" t="s">
        <v>628</v>
      </c>
      <c r="P2995">
        <v>150.12</v>
      </c>
      <c r="Q2995" t="s">
        <v>180</v>
      </c>
    </row>
    <row r="2996" spans="1:17" x14ac:dyDescent="0.25">
      <c r="A2996" t="s">
        <v>1060</v>
      </c>
      <c r="B2996" t="s">
        <v>1061</v>
      </c>
      <c r="C2996" t="s">
        <v>175</v>
      </c>
      <c r="D2996" t="s">
        <v>439</v>
      </c>
      <c r="E2996" t="s">
        <v>440</v>
      </c>
      <c r="F2996">
        <v>1</v>
      </c>
      <c r="G2996" t="s">
        <v>176</v>
      </c>
      <c r="H2996">
        <v>0</v>
      </c>
      <c r="I2996">
        <v>28</v>
      </c>
      <c r="J2996" s="10">
        <v>5</v>
      </c>
      <c r="K2996" s="10">
        <f>SUMIFS(F:F,D:D,DST_123_ÜRETİM_İHTİYAÇ_RAPORU_BURAK_YENI1309[[#This Row],[ALT_KOD]])-(SUMIFS(H:H,D:D,DST_123_ÜRETİM_İHTİYAÇ_RAPORU_BURAK_YENI1309[[#This Row],[ALT_KOD]])+AVERAGEIFS(I:I,D:D,DST_123_ÜRETİM_İHTİYAÇ_RAPORU_BURAK_YENI1309[[#This Row],[ALT_KOD]])+AVERAGEIFS(L:L,D:D,DST_123_ÜRETİM_İHTİYAÇ_RAPORU_BURAK_YENI1309[[#This Row],[ALT_KOD]]))</f>
        <v>-16</v>
      </c>
      <c r="L2996">
        <v>0</v>
      </c>
      <c r="M2996">
        <f>IF((DST_123_ÜRETİM_İHTİYAÇ_RAPORU_BURAK_YENI1309[[#This Row],[SATINALMA]]*DST_123_ÜRETİM_İHTİYAÇ_RAPORU_BURAK_YENI1309[[#This Row],[BIRIM_FIYATLAR]])&lt;1,VALUE("0"),DST_123_ÜRETİM_İHTİYAÇ_RAPORU_BURAK_YENI1309[[#This Row],[SATINALMA]]*DST_123_ÜRETİM_İHTİYAÇ_RAPORU_BURAK_YENI1309[[#This Row],[BIRIM_FIYATLAR]])</f>
        <v>0</v>
      </c>
      <c r="N2996">
        <v>373.06</v>
      </c>
      <c r="O2996" t="s">
        <v>636</v>
      </c>
      <c r="P2996">
        <v>373.06</v>
      </c>
      <c r="Q2996" t="s">
        <v>178</v>
      </c>
    </row>
    <row r="2997" spans="1:17" x14ac:dyDescent="0.25">
      <c r="A2997" t="s">
        <v>1064</v>
      </c>
      <c r="B2997" t="s">
        <v>1055</v>
      </c>
      <c r="C2997" t="s">
        <v>175</v>
      </c>
      <c r="D2997" t="s">
        <v>609</v>
      </c>
      <c r="E2997" t="s">
        <v>610</v>
      </c>
      <c r="F2997">
        <v>1</v>
      </c>
      <c r="G2997" t="s">
        <v>176</v>
      </c>
      <c r="H2997">
        <v>0</v>
      </c>
      <c r="I2997">
        <v>0</v>
      </c>
      <c r="J2997" s="10">
        <v>11</v>
      </c>
      <c r="K2997" s="10">
        <f>SUMIFS(F:F,D:D,DST_123_ÜRETİM_İHTİYAÇ_RAPORU_BURAK_YENI1309[[#This Row],[ALT_KOD]])-(SUMIFS(H:H,D:D,DST_123_ÜRETİM_İHTİYAÇ_RAPORU_BURAK_YENI1309[[#This Row],[ALT_KOD]])+AVERAGEIFS(I:I,D:D,DST_123_ÜRETİM_İHTİYAÇ_RAPORU_BURAK_YENI1309[[#This Row],[ALT_KOD]])+AVERAGEIFS(L:L,D:D,DST_123_ÜRETİM_İHTİYAÇ_RAPORU_BURAK_YENI1309[[#This Row],[ALT_KOD]]))</f>
        <v>20.000000000000007</v>
      </c>
      <c r="L2997">
        <v>4</v>
      </c>
      <c r="M2997">
        <f>IF((DST_123_ÜRETİM_İHTİYAÇ_RAPORU_BURAK_YENI1309[[#This Row],[SATINALMA]]*DST_123_ÜRETİM_İHTİYAÇ_RAPORU_BURAK_YENI1309[[#This Row],[BIRIM_FIYATLAR]])&lt;1,VALUE("0"),DST_123_ÜRETİM_İHTİYAÇ_RAPORU_BURAK_YENI1309[[#This Row],[SATINALMA]]*DST_123_ÜRETİM_İHTİYAÇ_RAPORU_BURAK_YENI1309[[#This Row],[BIRIM_FIYATLAR]])</f>
        <v>36666.600000000013</v>
      </c>
      <c r="N2997">
        <v>1833.33</v>
      </c>
      <c r="O2997" t="s">
        <v>223</v>
      </c>
      <c r="P2997">
        <v>1833.33</v>
      </c>
      <c r="Q2997" t="s">
        <v>181</v>
      </c>
    </row>
    <row r="2998" spans="1:17" x14ac:dyDescent="0.25">
      <c r="A2998" t="s">
        <v>1064</v>
      </c>
      <c r="B2998" t="s">
        <v>1055</v>
      </c>
      <c r="C2998" t="s">
        <v>175</v>
      </c>
      <c r="D2998" t="s">
        <v>460</v>
      </c>
      <c r="E2998" t="s">
        <v>461</v>
      </c>
      <c r="F2998">
        <v>1.5</v>
      </c>
      <c r="G2998" t="s">
        <v>176</v>
      </c>
      <c r="H2998">
        <v>0</v>
      </c>
      <c r="I2998">
        <v>48</v>
      </c>
      <c r="J2998" s="10">
        <v>26</v>
      </c>
      <c r="K2998" s="10">
        <f>SUMIFS(F:F,D:D,DST_123_ÜRETİM_İHTİYAÇ_RAPORU_BURAK_YENI1309[[#This Row],[ALT_KOD]])-(SUMIFS(H:H,D:D,DST_123_ÜRETİM_İHTİYAÇ_RAPORU_BURAK_YENI1309[[#This Row],[ALT_KOD]])+AVERAGEIFS(I:I,D:D,DST_123_ÜRETİM_İHTİYAÇ_RAPORU_BURAK_YENI1309[[#This Row],[ALT_KOD]])+AVERAGEIFS(L:L,D:D,DST_123_ÜRETİM_İHTİYAÇ_RAPORU_BURAK_YENI1309[[#This Row],[ALT_KOD]]))</f>
        <v>-19.5</v>
      </c>
      <c r="L2998">
        <v>0</v>
      </c>
      <c r="M2998">
        <f>IF((DST_123_ÜRETİM_İHTİYAÇ_RAPORU_BURAK_YENI1309[[#This Row],[SATINALMA]]*DST_123_ÜRETİM_İHTİYAÇ_RAPORU_BURAK_YENI1309[[#This Row],[BIRIM_FIYATLAR]])&lt;1,VALUE("0"),DST_123_ÜRETİM_İHTİYAÇ_RAPORU_BURAK_YENI1309[[#This Row],[SATINALMA]]*DST_123_ÜRETİM_İHTİYAÇ_RAPORU_BURAK_YENI1309[[#This Row],[BIRIM_FIYATLAR]])</f>
        <v>0</v>
      </c>
      <c r="N2998">
        <v>5</v>
      </c>
      <c r="O2998" t="s">
        <v>240</v>
      </c>
      <c r="P2998">
        <v>7.5</v>
      </c>
      <c r="Q2998" t="s">
        <v>180</v>
      </c>
    </row>
    <row r="2999" spans="1:17" x14ac:dyDescent="0.25">
      <c r="A2999" t="s">
        <v>1099</v>
      </c>
      <c r="B2999" t="s">
        <v>1055</v>
      </c>
      <c r="C2999" t="s">
        <v>175</v>
      </c>
      <c r="D2999" t="s">
        <v>460</v>
      </c>
      <c r="E2999" t="s">
        <v>461</v>
      </c>
      <c r="F2999">
        <v>1.5</v>
      </c>
      <c r="G2999" t="s">
        <v>176</v>
      </c>
      <c r="H2999">
        <v>0</v>
      </c>
      <c r="I2999">
        <v>48</v>
      </c>
      <c r="J2999" s="10">
        <v>26</v>
      </c>
      <c r="K2999" s="10">
        <f>SUMIFS(F:F,D:D,DST_123_ÜRETİM_İHTİYAÇ_RAPORU_BURAK_YENI1309[[#This Row],[ALT_KOD]])-(SUMIFS(H:H,D:D,DST_123_ÜRETİM_İHTİYAÇ_RAPORU_BURAK_YENI1309[[#This Row],[ALT_KOD]])+AVERAGEIFS(I:I,D:D,DST_123_ÜRETİM_İHTİYAÇ_RAPORU_BURAK_YENI1309[[#This Row],[ALT_KOD]])+AVERAGEIFS(L:L,D:D,DST_123_ÜRETİM_İHTİYAÇ_RAPORU_BURAK_YENI1309[[#This Row],[ALT_KOD]]))</f>
        <v>-19.5</v>
      </c>
      <c r="L2999">
        <v>0</v>
      </c>
      <c r="M2999">
        <f>IF((DST_123_ÜRETİM_İHTİYAÇ_RAPORU_BURAK_YENI1309[[#This Row],[SATINALMA]]*DST_123_ÜRETİM_İHTİYAÇ_RAPORU_BURAK_YENI1309[[#This Row],[BIRIM_FIYATLAR]])&lt;1,VALUE("0"),DST_123_ÜRETİM_İHTİYAÇ_RAPORU_BURAK_YENI1309[[#This Row],[SATINALMA]]*DST_123_ÜRETİM_İHTİYAÇ_RAPORU_BURAK_YENI1309[[#This Row],[BIRIM_FIYATLAR]])</f>
        <v>0</v>
      </c>
      <c r="N2999">
        <v>5</v>
      </c>
      <c r="O2999" t="s">
        <v>240</v>
      </c>
      <c r="P2999">
        <v>7.5</v>
      </c>
      <c r="Q2999" t="s">
        <v>180</v>
      </c>
    </row>
    <row r="3000" spans="1:17" x14ac:dyDescent="0.25">
      <c r="A3000" t="s">
        <v>1064</v>
      </c>
      <c r="B3000" t="s">
        <v>1055</v>
      </c>
      <c r="C3000" t="s">
        <v>175</v>
      </c>
      <c r="D3000" t="s">
        <v>660</v>
      </c>
      <c r="E3000" t="s">
        <v>661</v>
      </c>
      <c r="F3000">
        <v>1</v>
      </c>
      <c r="G3000" t="s">
        <v>185</v>
      </c>
      <c r="H3000">
        <v>0</v>
      </c>
      <c r="I3000">
        <v>0</v>
      </c>
      <c r="J3000" s="10">
        <v>0</v>
      </c>
      <c r="K3000" s="10">
        <f>SUMIFS(F:F,D:D,DST_123_ÜRETİM_İHTİYAÇ_RAPORU_BURAK_YENI1309[[#This Row],[ALT_KOD]])-(SUMIFS(H:H,D:D,DST_123_ÜRETİM_İHTİYAÇ_RAPORU_BURAK_YENI1309[[#This Row],[ALT_KOD]])+AVERAGEIFS(I:I,D:D,DST_123_ÜRETİM_İHTİYAÇ_RAPORU_BURAK_YENI1309[[#This Row],[ALT_KOD]])+AVERAGEIFS(L:L,D:D,DST_123_ÜRETİM_İHTİYAÇ_RAPORU_BURAK_YENI1309[[#This Row],[ALT_KOD]]))</f>
        <v>19</v>
      </c>
      <c r="L3000">
        <v>0</v>
      </c>
      <c r="M3000">
        <f>IF((DST_123_ÜRETİM_İHTİYAÇ_RAPORU_BURAK_YENI1309[[#This Row],[SATINALMA]]*DST_123_ÜRETİM_İHTİYAÇ_RAPORU_BURAK_YENI1309[[#This Row],[BIRIM_FIYATLAR]])&lt;1,VALUE("0"),DST_123_ÜRETİM_İHTİYAÇ_RAPORU_BURAK_YENI1309[[#This Row],[SATINALMA]]*DST_123_ÜRETİM_İHTİYAÇ_RAPORU_BURAK_YENI1309[[#This Row],[BIRIM_FIYATLAR]])</f>
        <v>1538.6200000000001</v>
      </c>
      <c r="N3000">
        <v>80.98</v>
      </c>
      <c r="O3000" t="s">
        <v>223</v>
      </c>
      <c r="P3000">
        <v>80.98</v>
      </c>
      <c r="Q3000" t="s">
        <v>183</v>
      </c>
    </row>
    <row r="3001" spans="1:17" x14ac:dyDescent="0.25">
      <c r="A3001" t="s">
        <v>1196</v>
      </c>
      <c r="B3001" t="s">
        <v>1197</v>
      </c>
      <c r="C3001" t="s">
        <v>175</v>
      </c>
      <c r="D3001" t="s">
        <v>562</v>
      </c>
      <c r="E3001" t="s">
        <v>563</v>
      </c>
      <c r="F3001">
        <v>11</v>
      </c>
      <c r="G3001" t="s">
        <v>176</v>
      </c>
      <c r="H3001">
        <v>0</v>
      </c>
      <c r="I3001">
        <v>3000</v>
      </c>
      <c r="J3001" s="10">
        <v>0</v>
      </c>
      <c r="K3001" s="10">
        <f>SUMIFS(F:F,D:D,DST_123_ÜRETİM_İHTİYAÇ_RAPORU_BURAK_YENI1309[[#This Row],[ALT_KOD]])-(SUMIFS(H:H,D:D,DST_123_ÜRETİM_İHTİYAÇ_RAPORU_BURAK_YENI1309[[#This Row],[ALT_KOD]])+AVERAGEIFS(I:I,D:D,DST_123_ÜRETİM_İHTİYAÇ_RAPORU_BURAK_YENI1309[[#This Row],[ALT_KOD]])+AVERAGEIFS(L:L,D:D,DST_123_ÜRETİM_İHTİYAÇ_RAPORU_BURAK_YENI1309[[#This Row],[ALT_KOD]]))</f>
        <v>-2847</v>
      </c>
      <c r="L3001">
        <v>0</v>
      </c>
      <c r="M3001">
        <f>IF((DST_123_ÜRETİM_İHTİYAÇ_RAPORU_BURAK_YENI1309[[#This Row],[SATINALMA]]*DST_123_ÜRETİM_İHTİYAÇ_RAPORU_BURAK_YENI1309[[#This Row],[BIRIM_FIYATLAR]])&lt;1,VALUE("0"),DST_123_ÜRETİM_İHTİYAÇ_RAPORU_BURAK_YENI1309[[#This Row],[SATINALMA]]*DST_123_ÜRETİM_İHTİYAÇ_RAPORU_BURAK_YENI1309[[#This Row],[BIRIM_FIYATLAR]])</f>
        <v>0</v>
      </c>
      <c r="N3001">
        <v>0.7</v>
      </c>
      <c r="O3001" t="s">
        <v>240</v>
      </c>
      <c r="P3001">
        <v>7.6999999999999993</v>
      </c>
      <c r="Q3001" t="s">
        <v>180</v>
      </c>
    </row>
    <row r="3002" spans="1:17" x14ac:dyDescent="0.25">
      <c r="A3002" t="s">
        <v>1064</v>
      </c>
      <c r="B3002" t="s">
        <v>1055</v>
      </c>
      <c r="C3002" t="s">
        <v>175</v>
      </c>
      <c r="D3002" t="s">
        <v>562</v>
      </c>
      <c r="E3002" t="s">
        <v>563</v>
      </c>
      <c r="F3002">
        <v>7</v>
      </c>
      <c r="G3002" t="s">
        <v>176</v>
      </c>
      <c r="H3002">
        <v>0</v>
      </c>
      <c r="I3002">
        <v>3000</v>
      </c>
      <c r="J3002" s="10">
        <v>0</v>
      </c>
      <c r="K3002" s="10">
        <f>SUMIFS(F:F,D:D,DST_123_ÜRETİM_İHTİYAÇ_RAPORU_BURAK_YENI1309[[#This Row],[ALT_KOD]])-(SUMIFS(H:H,D:D,DST_123_ÜRETİM_İHTİYAÇ_RAPORU_BURAK_YENI1309[[#This Row],[ALT_KOD]])+AVERAGEIFS(I:I,D:D,DST_123_ÜRETİM_İHTİYAÇ_RAPORU_BURAK_YENI1309[[#This Row],[ALT_KOD]])+AVERAGEIFS(L:L,D:D,DST_123_ÜRETİM_İHTİYAÇ_RAPORU_BURAK_YENI1309[[#This Row],[ALT_KOD]]))</f>
        <v>-2847</v>
      </c>
      <c r="L3002">
        <v>0</v>
      </c>
      <c r="M3002">
        <f>IF((DST_123_ÜRETİM_İHTİYAÇ_RAPORU_BURAK_YENI1309[[#This Row],[SATINALMA]]*DST_123_ÜRETİM_İHTİYAÇ_RAPORU_BURAK_YENI1309[[#This Row],[BIRIM_FIYATLAR]])&lt;1,VALUE("0"),DST_123_ÜRETİM_İHTİYAÇ_RAPORU_BURAK_YENI1309[[#This Row],[SATINALMA]]*DST_123_ÜRETİM_İHTİYAÇ_RAPORU_BURAK_YENI1309[[#This Row],[BIRIM_FIYATLAR]])</f>
        <v>0</v>
      </c>
      <c r="N3002">
        <v>0.7</v>
      </c>
      <c r="O3002" t="s">
        <v>240</v>
      </c>
      <c r="P3002">
        <v>4.8999999999999995</v>
      </c>
      <c r="Q3002" t="s">
        <v>180</v>
      </c>
    </row>
    <row r="3003" spans="1:17" x14ac:dyDescent="0.25">
      <c r="A3003" t="s">
        <v>1064</v>
      </c>
      <c r="B3003" t="s">
        <v>1055</v>
      </c>
      <c r="C3003" t="s">
        <v>175</v>
      </c>
      <c r="D3003" t="s">
        <v>402</v>
      </c>
      <c r="E3003" t="s">
        <v>403</v>
      </c>
      <c r="F3003">
        <v>2</v>
      </c>
      <c r="G3003" t="s">
        <v>176</v>
      </c>
      <c r="H3003">
        <v>2</v>
      </c>
      <c r="I3003">
        <v>24</v>
      </c>
      <c r="J3003" s="10">
        <v>14</v>
      </c>
      <c r="K3003" s="10">
        <f>SUMIFS(F:F,D:D,DST_123_ÜRETİM_İHTİYAÇ_RAPORU_BURAK_YENI1309[[#This Row],[ALT_KOD]])-(SUMIFS(H:H,D:D,DST_123_ÜRETİM_İHTİYAÇ_RAPORU_BURAK_YENI1309[[#This Row],[ALT_KOD]])+AVERAGEIFS(I:I,D:D,DST_123_ÜRETİM_İHTİYAÇ_RAPORU_BURAK_YENI1309[[#This Row],[ALT_KOD]])+AVERAGEIFS(L:L,D:D,DST_123_ÜRETİM_İHTİYAÇ_RAPORU_BURAK_YENI1309[[#This Row],[ALT_KOD]]))</f>
        <v>-15</v>
      </c>
      <c r="L3003">
        <v>0</v>
      </c>
      <c r="M3003">
        <f>IF((DST_123_ÜRETİM_İHTİYAÇ_RAPORU_BURAK_YENI1309[[#This Row],[SATINALMA]]*DST_123_ÜRETİM_İHTİYAÇ_RAPORU_BURAK_YENI1309[[#This Row],[BIRIM_FIYATLAR]])&lt;1,VALUE("0"),DST_123_ÜRETİM_İHTİYAÇ_RAPORU_BURAK_YENI1309[[#This Row],[SATINALMA]]*DST_123_ÜRETİM_İHTİYAÇ_RAPORU_BURAK_YENI1309[[#This Row],[BIRIM_FIYATLAR]])</f>
        <v>0</v>
      </c>
      <c r="N3003">
        <v>15</v>
      </c>
      <c r="O3003" t="s">
        <v>220</v>
      </c>
      <c r="P3003">
        <v>30</v>
      </c>
      <c r="Q3003" t="s">
        <v>221</v>
      </c>
    </row>
    <row r="3004" spans="1:17" x14ac:dyDescent="0.25">
      <c r="A3004" t="s">
        <v>1101</v>
      </c>
      <c r="B3004" t="s">
        <v>1102</v>
      </c>
      <c r="C3004" t="s">
        <v>175</v>
      </c>
      <c r="D3004" t="s">
        <v>518</v>
      </c>
      <c r="E3004" t="s">
        <v>519</v>
      </c>
      <c r="F3004">
        <v>3.17</v>
      </c>
      <c r="G3004" t="s">
        <v>176</v>
      </c>
      <c r="H3004">
        <v>0</v>
      </c>
      <c r="I3004">
        <v>101</v>
      </c>
      <c r="J3004" s="10">
        <v>10.000000000000057</v>
      </c>
      <c r="K3004" s="10">
        <f>SUMIFS(F:F,D:D,DST_123_ÜRETİM_İHTİYAÇ_RAPORU_BURAK_YENI1309[[#This Row],[ALT_KOD]])-(SUMIFS(H:H,D:D,DST_123_ÜRETİM_İHTİYAÇ_RAPORU_BURAK_YENI1309[[#This Row],[ALT_KOD]])+AVERAGEIFS(I:I,D:D,DST_123_ÜRETİM_İHTİYAÇ_RAPORU_BURAK_YENI1309[[#This Row],[ALT_KOD]])+AVERAGEIFS(L:L,D:D,DST_123_ÜRETİM_İHTİYAÇ_RAPORU_BURAK_YENI1309[[#This Row],[ALT_KOD]]))</f>
        <v>-42.539999999999992</v>
      </c>
      <c r="L3004">
        <v>0</v>
      </c>
      <c r="M3004">
        <f>IF((DST_123_ÜRETİM_İHTİYAÇ_RAPORU_BURAK_YENI1309[[#This Row],[SATINALMA]]*DST_123_ÜRETİM_İHTİYAÇ_RAPORU_BURAK_YENI1309[[#This Row],[BIRIM_FIYATLAR]])&lt;1,VALUE("0"),DST_123_ÜRETİM_İHTİYAÇ_RAPORU_BURAK_YENI1309[[#This Row],[SATINALMA]]*DST_123_ÜRETİM_İHTİYAÇ_RAPORU_BURAK_YENI1309[[#This Row],[BIRIM_FIYATLAR]])</f>
        <v>0</v>
      </c>
      <c r="N3004">
        <v>36</v>
      </c>
      <c r="O3004" t="s">
        <v>240</v>
      </c>
      <c r="P3004">
        <v>114.12</v>
      </c>
      <c r="Q3004" t="s">
        <v>180</v>
      </c>
    </row>
    <row r="3005" spans="1:17" x14ac:dyDescent="0.25">
      <c r="A3005" t="s">
        <v>1143</v>
      </c>
      <c r="B3005" t="s">
        <v>1056</v>
      </c>
      <c r="C3005" t="s">
        <v>175</v>
      </c>
      <c r="D3005" t="s">
        <v>936</v>
      </c>
      <c r="E3005" t="s">
        <v>937</v>
      </c>
      <c r="F3005">
        <v>5</v>
      </c>
      <c r="G3005" t="s">
        <v>179</v>
      </c>
      <c r="H3005">
        <v>0</v>
      </c>
      <c r="I3005">
        <v>0</v>
      </c>
      <c r="J3005" s="10">
        <v>90</v>
      </c>
      <c r="K3005" s="10">
        <f>SUMIFS(F:F,D:D,DST_123_ÜRETİM_İHTİYAÇ_RAPORU_BURAK_YENI1309[[#This Row],[ALT_KOD]])-(SUMIFS(H:H,D:D,DST_123_ÜRETİM_İHTİYAÇ_RAPORU_BURAK_YENI1309[[#This Row],[ALT_KOD]])+AVERAGEIFS(I:I,D:D,DST_123_ÜRETİM_İHTİYAÇ_RAPORU_BURAK_YENI1309[[#This Row],[ALT_KOD]])+AVERAGEIFS(L:L,D:D,DST_123_ÜRETİM_İHTİYAÇ_RAPORU_BURAK_YENI1309[[#This Row],[ALT_KOD]]))</f>
        <v>10</v>
      </c>
      <c r="L3005">
        <v>0</v>
      </c>
      <c r="M3005">
        <f>IF((DST_123_ÜRETİM_İHTİYAÇ_RAPORU_BURAK_YENI1309[[#This Row],[SATINALMA]]*DST_123_ÜRETİM_İHTİYAÇ_RAPORU_BURAK_YENI1309[[#This Row],[BIRIM_FIYATLAR]])&lt;1,VALUE("0"),DST_123_ÜRETİM_İHTİYAÇ_RAPORU_BURAK_YENI1309[[#This Row],[SATINALMA]]*DST_123_ÜRETİM_İHTİYAÇ_RAPORU_BURAK_YENI1309[[#This Row],[BIRIM_FIYATLAR]])</f>
        <v>80</v>
      </c>
      <c r="N3005">
        <v>8</v>
      </c>
      <c r="O3005" t="s">
        <v>314</v>
      </c>
      <c r="P3005">
        <v>40</v>
      </c>
      <c r="Q3005" t="s">
        <v>180</v>
      </c>
    </row>
    <row r="3006" spans="1:17" x14ac:dyDescent="0.25">
      <c r="A3006" t="s">
        <v>1142</v>
      </c>
      <c r="B3006" t="s">
        <v>1056</v>
      </c>
      <c r="C3006" t="s">
        <v>175</v>
      </c>
      <c r="D3006" t="s">
        <v>562</v>
      </c>
      <c r="E3006" t="s">
        <v>563</v>
      </c>
      <c r="F3006">
        <v>7</v>
      </c>
      <c r="G3006" t="s">
        <v>176</v>
      </c>
      <c r="H3006">
        <v>0</v>
      </c>
      <c r="I3006">
        <v>3000</v>
      </c>
      <c r="J3006" s="10">
        <v>0</v>
      </c>
      <c r="K3006" s="10">
        <f>SUMIFS(F:F,D:D,DST_123_ÜRETİM_İHTİYAÇ_RAPORU_BURAK_YENI1309[[#This Row],[ALT_KOD]])-(SUMIFS(H:H,D:D,DST_123_ÜRETİM_İHTİYAÇ_RAPORU_BURAK_YENI1309[[#This Row],[ALT_KOD]])+AVERAGEIFS(I:I,D:D,DST_123_ÜRETİM_İHTİYAÇ_RAPORU_BURAK_YENI1309[[#This Row],[ALT_KOD]])+AVERAGEIFS(L:L,D:D,DST_123_ÜRETİM_İHTİYAÇ_RAPORU_BURAK_YENI1309[[#This Row],[ALT_KOD]]))</f>
        <v>-2847</v>
      </c>
      <c r="L3006">
        <v>0</v>
      </c>
      <c r="M3006">
        <f>IF((DST_123_ÜRETİM_İHTİYAÇ_RAPORU_BURAK_YENI1309[[#This Row],[SATINALMA]]*DST_123_ÜRETİM_İHTİYAÇ_RAPORU_BURAK_YENI1309[[#This Row],[BIRIM_FIYATLAR]])&lt;1,VALUE("0"),DST_123_ÜRETİM_İHTİYAÇ_RAPORU_BURAK_YENI1309[[#This Row],[SATINALMA]]*DST_123_ÜRETİM_İHTİYAÇ_RAPORU_BURAK_YENI1309[[#This Row],[BIRIM_FIYATLAR]])</f>
        <v>0</v>
      </c>
      <c r="N3006">
        <v>0.7</v>
      </c>
      <c r="O3006" t="s">
        <v>240</v>
      </c>
      <c r="P3006">
        <v>4.8999999999999995</v>
      </c>
      <c r="Q3006" t="s">
        <v>180</v>
      </c>
    </row>
    <row r="3007" spans="1:17" x14ac:dyDescent="0.25">
      <c r="A3007" t="s">
        <v>1143</v>
      </c>
      <c r="B3007" t="s">
        <v>1056</v>
      </c>
      <c r="C3007" t="s">
        <v>175</v>
      </c>
      <c r="D3007" t="s">
        <v>402</v>
      </c>
      <c r="E3007" t="s">
        <v>403</v>
      </c>
      <c r="F3007">
        <v>1</v>
      </c>
      <c r="G3007" t="s">
        <v>176</v>
      </c>
      <c r="H3007">
        <v>0</v>
      </c>
      <c r="I3007">
        <v>24</v>
      </c>
      <c r="J3007" s="10">
        <v>14</v>
      </c>
      <c r="K3007" s="10">
        <f>SUMIFS(F:F,D:D,DST_123_ÜRETİM_İHTİYAÇ_RAPORU_BURAK_YENI1309[[#This Row],[ALT_KOD]])-(SUMIFS(H:H,D:D,DST_123_ÜRETİM_İHTİYAÇ_RAPORU_BURAK_YENI1309[[#This Row],[ALT_KOD]])+AVERAGEIFS(I:I,D:D,DST_123_ÜRETİM_İHTİYAÇ_RAPORU_BURAK_YENI1309[[#This Row],[ALT_KOD]])+AVERAGEIFS(L:L,D:D,DST_123_ÜRETİM_İHTİYAÇ_RAPORU_BURAK_YENI1309[[#This Row],[ALT_KOD]]))</f>
        <v>-15</v>
      </c>
      <c r="L3007">
        <v>0</v>
      </c>
      <c r="M3007">
        <f>IF((DST_123_ÜRETİM_İHTİYAÇ_RAPORU_BURAK_YENI1309[[#This Row],[SATINALMA]]*DST_123_ÜRETİM_İHTİYAÇ_RAPORU_BURAK_YENI1309[[#This Row],[BIRIM_FIYATLAR]])&lt;1,VALUE("0"),DST_123_ÜRETİM_İHTİYAÇ_RAPORU_BURAK_YENI1309[[#This Row],[SATINALMA]]*DST_123_ÜRETİM_İHTİYAÇ_RAPORU_BURAK_YENI1309[[#This Row],[BIRIM_FIYATLAR]])</f>
        <v>0</v>
      </c>
      <c r="N3007">
        <v>15</v>
      </c>
      <c r="O3007" t="s">
        <v>220</v>
      </c>
      <c r="P3007">
        <v>15</v>
      </c>
      <c r="Q3007" t="s">
        <v>221</v>
      </c>
    </row>
    <row r="3008" spans="1:17" x14ac:dyDescent="0.25">
      <c r="A3008" t="s">
        <v>1142</v>
      </c>
      <c r="B3008" t="s">
        <v>1056</v>
      </c>
      <c r="C3008" t="s">
        <v>175</v>
      </c>
      <c r="D3008" t="s">
        <v>516</v>
      </c>
      <c r="E3008" t="s">
        <v>517</v>
      </c>
      <c r="F3008">
        <v>1.5</v>
      </c>
      <c r="G3008" t="s">
        <v>176</v>
      </c>
      <c r="H3008">
        <v>0</v>
      </c>
      <c r="I3008">
        <v>91</v>
      </c>
      <c r="J3008" s="10">
        <v>17.799999999999997</v>
      </c>
      <c r="K3008" s="10">
        <f>SUMIFS(F:F,D:D,DST_123_ÜRETİM_İHTİYAÇ_RAPORU_BURAK_YENI1309[[#This Row],[ALT_KOD]])-(SUMIFS(H:H,D:D,DST_123_ÜRETİM_İHTİYAÇ_RAPORU_BURAK_YENI1309[[#This Row],[ALT_KOD]])+AVERAGEIFS(I:I,D:D,DST_123_ÜRETİM_İHTİYAÇ_RAPORU_BURAK_YENI1309[[#This Row],[ALT_KOD]])+AVERAGEIFS(L:L,D:D,DST_123_ÜRETİM_İHTİYAÇ_RAPORU_BURAK_YENI1309[[#This Row],[ALT_KOD]]))</f>
        <v>-74.5</v>
      </c>
      <c r="L3008">
        <v>0</v>
      </c>
      <c r="M3008">
        <f>IF((DST_123_ÜRETİM_İHTİYAÇ_RAPORU_BURAK_YENI1309[[#This Row],[SATINALMA]]*DST_123_ÜRETİM_İHTİYAÇ_RAPORU_BURAK_YENI1309[[#This Row],[BIRIM_FIYATLAR]])&lt;1,VALUE("0"),DST_123_ÜRETİM_İHTİYAÇ_RAPORU_BURAK_YENI1309[[#This Row],[SATINALMA]]*DST_123_ÜRETİM_İHTİYAÇ_RAPORU_BURAK_YENI1309[[#This Row],[BIRIM_FIYATLAR]])</f>
        <v>0</v>
      </c>
      <c r="N3008">
        <v>85</v>
      </c>
      <c r="O3008" t="s">
        <v>346</v>
      </c>
      <c r="P3008">
        <v>127.5</v>
      </c>
      <c r="Q3008" t="s">
        <v>180</v>
      </c>
    </row>
    <row r="3009" spans="1:17" x14ac:dyDescent="0.25">
      <c r="A3009" t="s">
        <v>1143</v>
      </c>
      <c r="B3009" t="s">
        <v>1056</v>
      </c>
      <c r="C3009" t="s">
        <v>175</v>
      </c>
      <c r="D3009" t="s">
        <v>516</v>
      </c>
      <c r="E3009" t="s">
        <v>517</v>
      </c>
      <c r="F3009">
        <v>1.5</v>
      </c>
      <c r="G3009" t="s">
        <v>176</v>
      </c>
      <c r="H3009">
        <v>0</v>
      </c>
      <c r="I3009">
        <v>91</v>
      </c>
      <c r="J3009" s="10">
        <v>17.799999999999997</v>
      </c>
      <c r="K3009" s="10">
        <f>SUMIFS(F:F,D:D,DST_123_ÜRETİM_İHTİYAÇ_RAPORU_BURAK_YENI1309[[#This Row],[ALT_KOD]])-(SUMIFS(H:H,D:D,DST_123_ÜRETİM_İHTİYAÇ_RAPORU_BURAK_YENI1309[[#This Row],[ALT_KOD]])+AVERAGEIFS(I:I,D:D,DST_123_ÜRETİM_İHTİYAÇ_RAPORU_BURAK_YENI1309[[#This Row],[ALT_KOD]])+AVERAGEIFS(L:L,D:D,DST_123_ÜRETİM_İHTİYAÇ_RAPORU_BURAK_YENI1309[[#This Row],[ALT_KOD]]))</f>
        <v>-74.5</v>
      </c>
      <c r="L3009">
        <v>0</v>
      </c>
      <c r="M3009">
        <f>IF((DST_123_ÜRETİM_İHTİYAÇ_RAPORU_BURAK_YENI1309[[#This Row],[SATINALMA]]*DST_123_ÜRETİM_İHTİYAÇ_RAPORU_BURAK_YENI1309[[#This Row],[BIRIM_FIYATLAR]])&lt;1,VALUE("0"),DST_123_ÜRETİM_İHTİYAÇ_RAPORU_BURAK_YENI1309[[#This Row],[SATINALMA]]*DST_123_ÜRETİM_İHTİYAÇ_RAPORU_BURAK_YENI1309[[#This Row],[BIRIM_FIYATLAR]])</f>
        <v>0</v>
      </c>
      <c r="N3009">
        <v>85</v>
      </c>
      <c r="O3009" t="s">
        <v>346</v>
      </c>
      <c r="P3009">
        <v>127.5</v>
      </c>
      <c r="Q3009" t="s">
        <v>180</v>
      </c>
    </row>
    <row r="3010" spans="1:17" x14ac:dyDescent="0.25">
      <c r="A3010" t="s">
        <v>1143</v>
      </c>
      <c r="B3010" t="s">
        <v>1056</v>
      </c>
      <c r="C3010" t="s">
        <v>175</v>
      </c>
      <c r="D3010" t="s">
        <v>680</v>
      </c>
      <c r="E3010" t="s">
        <v>681</v>
      </c>
      <c r="F3010">
        <v>1</v>
      </c>
      <c r="G3010" t="s">
        <v>176</v>
      </c>
      <c r="H3010">
        <v>0</v>
      </c>
      <c r="I3010">
        <v>10</v>
      </c>
      <c r="J3010" s="10">
        <v>4</v>
      </c>
      <c r="K3010" s="10">
        <f>SUMIFS(F:F,D:D,DST_123_ÜRETİM_İHTİYAÇ_RAPORU_BURAK_YENI1309[[#This Row],[ALT_KOD]])-(SUMIFS(H:H,D:D,DST_123_ÜRETİM_İHTİYAÇ_RAPORU_BURAK_YENI1309[[#This Row],[ALT_KOD]])+AVERAGEIFS(I:I,D:D,DST_123_ÜRETİM_İHTİYAÇ_RAPORU_BURAK_YENI1309[[#This Row],[ALT_KOD]])+AVERAGEIFS(L:L,D:D,DST_123_ÜRETİM_İHTİYAÇ_RAPORU_BURAK_YENI1309[[#This Row],[ALT_KOD]]))</f>
        <v>-6</v>
      </c>
      <c r="L3010">
        <v>0</v>
      </c>
      <c r="M3010">
        <f>IF((DST_123_ÜRETİM_İHTİYAÇ_RAPORU_BURAK_YENI1309[[#This Row],[SATINALMA]]*DST_123_ÜRETİM_İHTİYAÇ_RAPORU_BURAK_YENI1309[[#This Row],[BIRIM_FIYATLAR]])&lt;1,VALUE("0"),DST_123_ÜRETİM_İHTİYAÇ_RAPORU_BURAK_YENI1309[[#This Row],[SATINALMA]]*DST_123_ÜRETİM_İHTİYAÇ_RAPORU_BURAK_YENI1309[[#This Row],[BIRIM_FIYATLAR]])</f>
        <v>0</v>
      </c>
      <c r="N3010">
        <v>252</v>
      </c>
      <c r="O3010" t="s">
        <v>246</v>
      </c>
      <c r="P3010">
        <v>252</v>
      </c>
      <c r="Q3010" t="s">
        <v>180</v>
      </c>
    </row>
    <row r="3011" spans="1:17" x14ac:dyDescent="0.25">
      <c r="A3011" t="s">
        <v>1143</v>
      </c>
      <c r="B3011" t="s">
        <v>1056</v>
      </c>
      <c r="C3011" t="s">
        <v>175</v>
      </c>
      <c r="D3011" t="s">
        <v>694</v>
      </c>
      <c r="E3011" t="s">
        <v>695</v>
      </c>
      <c r="F3011">
        <v>4</v>
      </c>
      <c r="G3011" t="s">
        <v>176</v>
      </c>
      <c r="H3011">
        <v>0</v>
      </c>
      <c r="I3011">
        <v>4</v>
      </c>
      <c r="J3011" s="10">
        <v>6</v>
      </c>
      <c r="K3011" s="10">
        <f>SUMIFS(F:F,D:D,DST_123_ÜRETİM_İHTİYAÇ_RAPORU_BURAK_YENI1309[[#This Row],[ALT_KOD]])-(SUMIFS(H:H,D:D,DST_123_ÜRETİM_İHTİYAÇ_RAPORU_BURAK_YENI1309[[#This Row],[ALT_KOD]])+AVERAGEIFS(I:I,D:D,DST_123_ÜRETİM_İHTİYAÇ_RAPORU_BURAK_YENI1309[[#This Row],[ALT_KOD]])+AVERAGEIFS(L:L,D:D,DST_123_ÜRETİM_İHTİYAÇ_RAPORU_BURAK_YENI1309[[#This Row],[ALT_KOD]]))</f>
        <v>0</v>
      </c>
      <c r="L3011">
        <v>0</v>
      </c>
      <c r="M3011">
        <f>IF((DST_123_ÜRETİM_İHTİYAÇ_RAPORU_BURAK_YENI1309[[#This Row],[SATINALMA]]*DST_123_ÜRETİM_İHTİYAÇ_RAPORU_BURAK_YENI1309[[#This Row],[BIRIM_FIYATLAR]])&lt;1,VALUE("0"),DST_123_ÜRETİM_İHTİYAÇ_RAPORU_BURAK_YENI1309[[#This Row],[SATINALMA]]*DST_123_ÜRETİM_İHTİYAÇ_RAPORU_BURAK_YENI1309[[#This Row],[BIRIM_FIYATLAR]])</f>
        <v>0</v>
      </c>
      <c r="N3011">
        <v>260</v>
      </c>
      <c r="O3011" t="s">
        <v>226</v>
      </c>
      <c r="P3011">
        <v>1040</v>
      </c>
      <c r="Q3011" t="s">
        <v>180</v>
      </c>
    </row>
    <row r="3012" spans="1:17" x14ac:dyDescent="0.25">
      <c r="A3012" t="s">
        <v>1101</v>
      </c>
      <c r="B3012" t="s">
        <v>1102</v>
      </c>
      <c r="C3012" t="s">
        <v>175</v>
      </c>
      <c r="D3012" t="s">
        <v>202</v>
      </c>
      <c r="E3012" t="s">
        <v>203</v>
      </c>
      <c r="F3012">
        <v>0.30000000000000004</v>
      </c>
      <c r="G3012" t="s">
        <v>179</v>
      </c>
      <c r="H3012">
        <v>0</v>
      </c>
      <c r="I3012">
        <v>50</v>
      </c>
      <c r="J3012" s="10">
        <v>-1.4210854715202004E-14</v>
      </c>
      <c r="K3012" s="10">
        <f>SUMIFS(F:F,D:D,DST_123_ÜRETİM_İHTİYAÇ_RAPORU_BURAK_YENI1309[[#This Row],[ALT_KOD]])-(SUMIFS(H:H,D:D,DST_123_ÜRETİM_İHTİYAÇ_RAPORU_BURAK_YENI1309[[#This Row],[ALT_KOD]])+AVERAGEIFS(I:I,D:D,DST_123_ÜRETİM_İHTİYAÇ_RAPORU_BURAK_YENI1309[[#This Row],[ALT_KOD]])+AVERAGEIFS(L:L,D:D,DST_123_ÜRETİM_İHTİYAÇ_RAPORU_BURAK_YENI1309[[#This Row],[ALT_KOD]]))</f>
        <v>-47.386000000000003</v>
      </c>
      <c r="L3012">
        <v>0</v>
      </c>
      <c r="M3012">
        <f>IF((DST_123_ÜRETİM_İHTİYAÇ_RAPORU_BURAK_YENI1309[[#This Row],[SATINALMA]]*DST_123_ÜRETİM_İHTİYAÇ_RAPORU_BURAK_YENI1309[[#This Row],[BIRIM_FIYATLAR]])&lt;1,VALUE("0"),DST_123_ÜRETİM_İHTİYAÇ_RAPORU_BURAK_YENI1309[[#This Row],[SATINALMA]]*DST_123_ÜRETİM_İHTİYAÇ_RAPORU_BURAK_YENI1309[[#This Row],[BIRIM_FIYATLAR]])</f>
        <v>0</v>
      </c>
      <c r="N3012">
        <v>10.61</v>
      </c>
      <c r="O3012" t="s">
        <v>235</v>
      </c>
      <c r="P3012">
        <v>3.1830000000000003</v>
      </c>
      <c r="Q3012" t="s">
        <v>221</v>
      </c>
    </row>
    <row r="3013" spans="1:17" x14ac:dyDescent="0.25">
      <c r="A3013" t="s">
        <v>1142</v>
      </c>
      <c r="B3013" t="s">
        <v>1056</v>
      </c>
      <c r="C3013" t="s">
        <v>175</v>
      </c>
      <c r="D3013" t="s">
        <v>697</v>
      </c>
      <c r="E3013" t="s">
        <v>698</v>
      </c>
      <c r="F3013">
        <v>1</v>
      </c>
      <c r="G3013" t="s">
        <v>176</v>
      </c>
      <c r="H3013">
        <v>0</v>
      </c>
      <c r="I3013">
        <v>6</v>
      </c>
      <c r="J3013" s="10">
        <v>5</v>
      </c>
      <c r="K3013" s="10">
        <f>SUMIFS(F:F,D:D,DST_123_ÜRETİM_İHTİYAÇ_RAPORU_BURAK_YENI1309[[#This Row],[ALT_KOD]])-(SUMIFS(H:H,D:D,DST_123_ÜRETİM_İHTİYAÇ_RAPORU_BURAK_YENI1309[[#This Row],[ALT_KOD]])+AVERAGEIFS(I:I,D:D,DST_123_ÜRETİM_İHTİYAÇ_RAPORU_BURAK_YENI1309[[#This Row],[ALT_KOD]])+AVERAGEIFS(L:L,D:D,DST_123_ÜRETİM_İHTİYAÇ_RAPORU_BURAK_YENI1309[[#This Row],[ALT_KOD]]))</f>
        <v>5</v>
      </c>
      <c r="L3013">
        <v>0</v>
      </c>
      <c r="M3013">
        <f>IF((DST_123_ÜRETİM_İHTİYAÇ_RAPORU_BURAK_YENI1309[[#This Row],[SATINALMA]]*DST_123_ÜRETİM_İHTİYAÇ_RAPORU_BURAK_YENI1309[[#This Row],[BIRIM_FIYATLAR]])&lt;1,VALUE("0"),DST_123_ÜRETİM_İHTİYAÇ_RAPORU_BURAK_YENI1309[[#This Row],[SATINALMA]]*DST_123_ÜRETİM_İHTİYAÇ_RAPORU_BURAK_YENI1309[[#This Row],[BIRIM_FIYATLAR]])</f>
        <v>11000</v>
      </c>
      <c r="N3013">
        <v>2200</v>
      </c>
      <c r="O3013" t="s">
        <v>251</v>
      </c>
      <c r="P3013">
        <v>2200</v>
      </c>
      <c r="Q3013" t="s">
        <v>178</v>
      </c>
    </row>
    <row r="3014" spans="1:17" x14ac:dyDescent="0.25">
      <c r="A3014" t="s">
        <v>1147</v>
      </c>
      <c r="B3014" t="s">
        <v>1145</v>
      </c>
      <c r="C3014" t="s">
        <v>175</v>
      </c>
      <c r="D3014" t="s">
        <v>120</v>
      </c>
      <c r="E3014" t="s">
        <v>311</v>
      </c>
      <c r="F3014">
        <v>1.5</v>
      </c>
      <c r="G3014" t="s">
        <v>176</v>
      </c>
      <c r="H3014">
        <v>0</v>
      </c>
      <c r="I3014">
        <v>24</v>
      </c>
      <c r="J3014" s="10">
        <v>18.499999999999982</v>
      </c>
      <c r="K3014" s="10">
        <f>SUMIFS(F:F,D:D,DST_123_ÜRETİM_İHTİYAÇ_RAPORU_BURAK_YENI1309[[#This Row],[ALT_KOD]])-(SUMIFS(H:H,D:D,DST_123_ÜRETİM_İHTİYAÇ_RAPORU_BURAK_YENI1309[[#This Row],[ALT_KOD]])+AVERAGEIFS(I:I,D:D,DST_123_ÜRETİM_İHTİYAÇ_RAPORU_BURAK_YENI1309[[#This Row],[ALT_KOD]])+AVERAGEIFS(L:L,D:D,DST_123_ÜRETİM_İHTİYAÇ_RAPORU_BURAK_YENI1309[[#This Row],[ALT_KOD]]))</f>
        <v>3.899999999999995</v>
      </c>
      <c r="L3014">
        <v>0</v>
      </c>
      <c r="M3014">
        <f>IF((DST_123_ÜRETİM_İHTİYAÇ_RAPORU_BURAK_YENI1309[[#This Row],[SATINALMA]]*DST_123_ÜRETİM_İHTİYAÇ_RAPORU_BURAK_YENI1309[[#This Row],[BIRIM_FIYATLAR]])&lt;1,VALUE("0"),DST_123_ÜRETİM_İHTİYAÇ_RAPORU_BURAK_YENI1309[[#This Row],[SATINALMA]]*DST_123_ÜRETİM_İHTİYAÇ_RAPORU_BURAK_YENI1309[[#This Row],[BIRIM_FIYATLAR]])</f>
        <v>467.99999999999943</v>
      </c>
      <c r="N3014">
        <v>120</v>
      </c>
      <c r="O3014" t="s">
        <v>240</v>
      </c>
      <c r="P3014">
        <v>180</v>
      </c>
      <c r="Q3014" t="s">
        <v>183</v>
      </c>
    </row>
    <row r="3015" spans="1:17" x14ac:dyDescent="0.25">
      <c r="A3015" t="s">
        <v>1148</v>
      </c>
      <c r="B3015" t="s">
        <v>1056</v>
      </c>
      <c r="C3015" t="s">
        <v>175</v>
      </c>
      <c r="D3015" t="s">
        <v>120</v>
      </c>
      <c r="E3015" t="s">
        <v>311</v>
      </c>
      <c r="F3015">
        <v>1.7</v>
      </c>
      <c r="G3015" t="s">
        <v>176</v>
      </c>
      <c r="H3015">
        <v>0</v>
      </c>
      <c r="I3015">
        <v>24</v>
      </c>
      <c r="J3015" s="10">
        <v>18.499999999999982</v>
      </c>
      <c r="K3015" s="10">
        <f>SUMIFS(F:F,D:D,DST_123_ÜRETİM_İHTİYAÇ_RAPORU_BURAK_YENI1309[[#This Row],[ALT_KOD]])-(SUMIFS(H:H,D:D,DST_123_ÜRETİM_İHTİYAÇ_RAPORU_BURAK_YENI1309[[#This Row],[ALT_KOD]])+AVERAGEIFS(I:I,D:D,DST_123_ÜRETİM_İHTİYAÇ_RAPORU_BURAK_YENI1309[[#This Row],[ALT_KOD]])+AVERAGEIFS(L:L,D:D,DST_123_ÜRETİM_İHTİYAÇ_RAPORU_BURAK_YENI1309[[#This Row],[ALT_KOD]]))</f>
        <v>3.899999999999995</v>
      </c>
      <c r="L3015">
        <v>0</v>
      </c>
      <c r="M3015">
        <f>IF((DST_123_ÜRETİM_İHTİYAÇ_RAPORU_BURAK_YENI1309[[#This Row],[SATINALMA]]*DST_123_ÜRETİM_İHTİYAÇ_RAPORU_BURAK_YENI1309[[#This Row],[BIRIM_FIYATLAR]])&lt;1,VALUE("0"),DST_123_ÜRETİM_İHTİYAÇ_RAPORU_BURAK_YENI1309[[#This Row],[SATINALMA]]*DST_123_ÜRETİM_İHTİYAÇ_RAPORU_BURAK_YENI1309[[#This Row],[BIRIM_FIYATLAR]])</f>
        <v>467.99999999999943</v>
      </c>
      <c r="N3015">
        <v>120</v>
      </c>
      <c r="O3015" t="s">
        <v>240</v>
      </c>
      <c r="P3015">
        <v>204</v>
      </c>
      <c r="Q3015" t="s">
        <v>183</v>
      </c>
    </row>
    <row r="3016" spans="1:17" x14ac:dyDescent="0.25">
      <c r="A3016" t="s">
        <v>1101</v>
      </c>
      <c r="B3016" t="s">
        <v>1102</v>
      </c>
      <c r="C3016" t="s">
        <v>175</v>
      </c>
      <c r="D3016" t="s">
        <v>766</v>
      </c>
      <c r="E3016" t="s">
        <v>767</v>
      </c>
      <c r="F3016">
        <v>6</v>
      </c>
      <c r="G3016" t="s">
        <v>176</v>
      </c>
      <c r="H3016">
        <v>0</v>
      </c>
      <c r="I3016">
        <v>0</v>
      </c>
      <c r="J3016" s="10">
        <v>0</v>
      </c>
      <c r="K3016" s="10">
        <f>SUMIFS(F:F,D:D,DST_123_ÜRETİM_İHTİYAÇ_RAPORU_BURAK_YENI1309[[#This Row],[ALT_KOD]])-(SUMIFS(H:H,D:D,DST_123_ÜRETİM_İHTİYAÇ_RAPORU_BURAK_YENI1309[[#This Row],[ALT_KOD]])+AVERAGEIFS(I:I,D:D,DST_123_ÜRETİM_İHTİYAÇ_RAPORU_BURAK_YENI1309[[#This Row],[ALT_KOD]])+AVERAGEIFS(L:L,D:D,DST_123_ÜRETİM_İHTİYAÇ_RAPORU_BURAK_YENI1309[[#This Row],[ALT_KOD]]))</f>
        <v>54</v>
      </c>
      <c r="L3016">
        <v>0</v>
      </c>
      <c r="M3016">
        <f>IF((DST_123_ÜRETİM_İHTİYAÇ_RAPORU_BURAK_YENI1309[[#This Row],[SATINALMA]]*DST_123_ÜRETİM_İHTİYAÇ_RAPORU_BURAK_YENI1309[[#This Row],[BIRIM_FIYATLAR]])&lt;1,VALUE("0"),DST_123_ÜRETİM_İHTİYAÇ_RAPORU_BURAK_YENI1309[[#This Row],[SATINALMA]]*DST_123_ÜRETİM_İHTİYAÇ_RAPORU_BURAK_YENI1309[[#This Row],[BIRIM_FIYATLAR]])</f>
        <v>37.799999999999997</v>
      </c>
      <c r="N3016">
        <v>0.7</v>
      </c>
      <c r="O3016" t="s">
        <v>220</v>
      </c>
      <c r="P3016">
        <v>4.1999999999999993</v>
      </c>
      <c r="Q3016" t="s">
        <v>221</v>
      </c>
    </row>
    <row r="3017" spans="1:17" x14ac:dyDescent="0.25">
      <c r="A3017" t="s">
        <v>1060</v>
      </c>
      <c r="B3017" t="s">
        <v>1061</v>
      </c>
      <c r="C3017" t="s">
        <v>175</v>
      </c>
      <c r="D3017" t="s">
        <v>139</v>
      </c>
      <c r="E3017" t="s">
        <v>140</v>
      </c>
      <c r="F3017">
        <v>1.5</v>
      </c>
      <c r="G3017" t="s">
        <v>176</v>
      </c>
      <c r="H3017">
        <v>0</v>
      </c>
      <c r="I3017">
        <v>0</v>
      </c>
      <c r="J3017" s="10">
        <v>6.1000000000000023</v>
      </c>
      <c r="K3017" s="10">
        <f>SUMIFS(F:F,D:D,DST_123_ÜRETİM_İHTİYAÇ_RAPORU_BURAK_YENI1309[[#This Row],[ALT_KOD]])-(SUMIFS(H:H,D:D,DST_123_ÜRETİM_İHTİYAÇ_RAPORU_BURAK_YENI1309[[#This Row],[ALT_KOD]])+AVERAGEIFS(I:I,D:D,DST_123_ÜRETİM_İHTİYAÇ_RAPORU_BURAK_YENI1309[[#This Row],[ALT_KOD]])+AVERAGEIFS(L:L,D:D,DST_123_ÜRETİM_İHTİYAÇ_RAPORU_BURAK_YENI1309[[#This Row],[ALT_KOD]]))</f>
        <v>8.8000000000000007</v>
      </c>
      <c r="L3017">
        <v>5</v>
      </c>
      <c r="M3017">
        <f>IF((DST_123_ÜRETİM_İHTİYAÇ_RAPORU_BURAK_YENI1309[[#This Row],[SATINALMA]]*DST_123_ÜRETİM_İHTİYAÇ_RAPORU_BURAK_YENI1309[[#This Row],[BIRIM_FIYATLAR]])&lt;1,VALUE("0"),DST_123_ÜRETİM_İHTİYAÇ_RAPORU_BURAK_YENI1309[[#This Row],[SATINALMA]]*DST_123_ÜRETİM_İHTİYAÇ_RAPORU_BURAK_YENI1309[[#This Row],[BIRIM_FIYATLAR]])</f>
        <v>6056.1600000000008</v>
      </c>
      <c r="N3017">
        <v>688.2</v>
      </c>
      <c r="O3017" t="s">
        <v>672</v>
      </c>
      <c r="P3017">
        <v>1032.3000000000002</v>
      </c>
      <c r="Q3017" t="s">
        <v>184</v>
      </c>
    </row>
    <row r="3018" spans="1:17" x14ac:dyDescent="0.25">
      <c r="A3018" t="s">
        <v>1148</v>
      </c>
      <c r="B3018" t="s">
        <v>1056</v>
      </c>
      <c r="C3018" t="s">
        <v>175</v>
      </c>
      <c r="D3018" t="s">
        <v>139</v>
      </c>
      <c r="E3018" t="s">
        <v>140</v>
      </c>
      <c r="F3018">
        <v>1</v>
      </c>
      <c r="G3018" t="s">
        <v>176</v>
      </c>
      <c r="H3018">
        <v>0</v>
      </c>
      <c r="I3018">
        <v>0</v>
      </c>
      <c r="J3018" s="10">
        <v>6.1000000000000023</v>
      </c>
      <c r="K3018" s="10">
        <f>SUMIFS(F:F,D:D,DST_123_ÜRETİM_İHTİYAÇ_RAPORU_BURAK_YENI1309[[#This Row],[ALT_KOD]])-(SUMIFS(H:H,D:D,DST_123_ÜRETİM_İHTİYAÇ_RAPORU_BURAK_YENI1309[[#This Row],[ALT_KOD]])+AVERAGEIFS(I:I,D:D,DST_123_ÜRETİM_İHTİYAÇ_RAPORU_BURAK_YENI1309[[#This Row],[ALT_KOD]])+AVERAGEIFS(L:L,D:D,DST_123_ÜRETİM_İHTİYAÇ_RAPORU_BURAK_YENI1309[[#This Row],[ALT_KOD]]))</f>
        <v>8.8000000000000007</v>
      </c>
      <c r="L3018">
        <v>5</v>
      </c>
      <c r="M3018">
        <f>IF((DST_123_ÜRETİM_İHTİYAÇ_RAPORU_BURAK_YENI1309[[#This Row],[SATINALMA]]*DST_123_ÜRETİM_İHTİYAÇ_RAPORU_BURAK_YENI1309[[#This Row],[BIRIM_FIYATLAR]])&lt;1,VALUE("0"),DST_123_ÜRETİM_İHTİYAÇ_RAPORU_BURAK_YENI1309[[#This Row],[SATINALMA]]*DST_123_ÜRETİM_İHTİYAÇ_RAPORU_BURAK_YENI1309[[#This Row],[BIRIM_FIYATLAR]])</f>
        <v>6056.1600000000008</v>
      </c>
      <c r="N3018">
        <v>688.2</v>
      </c>
      <c r="O3018" t="s">
        <v>672</v>
      </c>
      <c r="P3018">
        <v>688.2</v>
      </c>
      <c r="Q3018" t="s">
        <v>184</v>
      </c>
    </row>
    <row r="3019" spans="1:17" x14ac:dyDescent="0.25">
      <c r="A3019" t="s">
        <v>1196</v>
      </c>
      <c r="B3019" t="s">
        <v>1197</v>
      </c>
      <c r="C3019" t="s">
        <v>175</v>
      </c>
      <c r="D3019" t="s">
        <v>120</v>
      </c>
      <c r="E3019" t="s">
        <v>311</v>
      </c>
      <c r="F3019">
        <v>1.5</v>
      </c>
      <c r="G3019" t="s">
        <v>176</v>
      </c>
      <c r="H3019">
        <v>0</v>
      </c>
      <c r="I3019">
        <v>24</v>
      </c>
      <c r="J3019" s="10">
        <v>18.499999999999982</v>
      </c>
      <c r="K3019" s="10">
        <f>SUMIFS(F:F,D:D,DST_123_ÜRETİM_İHTİYAÇ_RAPORU_BURAK_YENI1309[[#This Row],[ALT_KOD]])-(SUMIFS(H:H,D:D,DST_123_ÜRETİM_İHTİYAÇ_RAPORU_BURAK_YENI1309[[#This Row],[ALT_KOD]])+AVERAGEIFS(I:I,D:D,DST_123_ÜRETİM_İHTİYAÇ_RAPORU_BURAK_YENI1309[[#This Row],[ALT_KOD]])+AVERAGEIFS(L:L,D:D,DST_123_ÜRETİM_İHTİYAÇ_RAPORU_BURAK_YENI1309[[#This Row],[ALT_KOD]]))</f>
        <v>3.899999999999995</v>
      </c>
      <c r="L3019">
        <v>0</v>
      </c>
      <c r="M3019">
        <f>IF((DST_123_ÜRETİM_İHTİYAÇ_RAPORU_BURAK_YENI1309[[#This Row],[SATINALMA]]*DST_123_ÜRETİM_İHTİYAÇ_RAPORU_BURAK_YENI1309[[#This Row],[BIRIM_FIYATLAR]])&lt;1,VALUE("0"),DST_123_ÜRETİM_İHTİYAÇ_RAPORU_BURAK_YENI1309[[#This Row],[SATINALMA]]*DST_123_ÜRETİM_İHTİYAÇ_RAPORU_BURAK_YENI1309[[#This Row],[BIRIM_FIYATLAR]])</f>
        <v>467.99999999999943</v>
      </c>
      <c r="N3019">
        <v>120</v>
      </c>
      <c r="O3019" t="s">
        <v>240</v>
      </c>
      <c r="P3019">
        <v>180</v>
      </c>
      <c r="Q3019" t="s">
        <v>183</v>
      </c>
    </row>
    <row r="3020" spans="1:17" x14ac:dyDescent="0.25">
      <c r="A3020" t="s">
        <v>1097</v>
      </c>
      <c r="B3020" t="s">
        <v>1055</v>
      </c>
      <c r="C3020" t="s">
        <v>175</v>
      </c>
      <c r="D3020" t="s">
        <v>120</v>
      </c>
      <c r="E3020" t="s">
        <v>311</v>
      </c>
      <c r="F3020">
        <v>2.2999999999999998</v>
      </c>
      <c r="G3020" t="s">
        <v>176</v>
      </c>
      <c r="H3020">
        <v>0</v>
      </c>
      <c r="I3020">
        <v>24</v>
      </c>
      <c r="J3020" s="10">
        <v>18.499999999999982</v>
      </c>
      <c r="K3020" s="10">
        <f>SUMIFS(F:F,D:D,DST_123_ÜRETİM_İHTİYAÇ_RAPORU_BURAK_YENI1309[[#This Row],[ALT_KOD]])-(SUMIFS(H:H,D:D,DST_123_ÜRETİM_İHTİYAÇ_RAPORU_BURAK_YENI1309[[#This Row],[ALT_KOD]])+AVERAGEIFS(I:I,D:D,DST_123_ÜRETİM_İHTİYAÇ_RAPORU_BURAK_YENI1309[[#This Row],[ALT_KOD]])+AVERAGEIFS(L:L,D:D,DST_123_ÜRETİM_İHTİYAÇ_RAPORU_BURAK_YENI1309[[#This Row],[ALT_KOD]]))</f>
        <v>3.899999999999995</v>
      </c>
      <c r="L3020">
        <v>0</v>
      </c>
      <c r="M3020">
        <f>IF((DST_123_ÜRETİM_İHTİYAÇ_RAPORU_BURAK_YENI1309[[#This Row],[SATINALMA]]*DST_123_ÜRETİM_İHTİYAÇ_RAPORU_BURAK_YENI1309[[#This Row],[BIRIM_FIYATLAR]])&lt;1,VALUE("0"),DST_123_ÜRETİM_İHTİYAÇ_RAPORU_BURAK_YENI1309[[#This Row],[SATINALMA]]*DST_123_ÜRETİM_İHTİYAÇ_RAPORU_BURAK_YENI1309[[#This Row],[BIRIM_FIYATLAR]])</f>
        <v>467.99999999999943</v>
      </c>
      <c r="N3020">
        <v>120</v>
      </c>
      <c r="O3020" t="s">
        <v>240</v>
      </c>
      <c r="P3020">
        <v>276</v>
      </c>
      <c r="Q3020" t="s">
        <v>183</v>
      </c>
    </row>
    <row r="3021" spans="1:17" x14ac:dyDescent="0.25">
      <c r="A3021" t="s">
        <v>1095</v>
      </c>
      <c r="B3021" t="s">
        <v>1096</v>
      </c>
      <c r="C3021" t="s">
        <v>175</v>
      </c>
      <c r="D3021" t="s">
        <v>120</v>
      </c>
      <c r="E3021" t="s">
        <v>311</v>
      </c>
      <c r="F3021">
        <v>1.7</v>
      </c>
      <c r="G3021" t="s">
        <v>176</v>
      </c>
      <c r="H3021">
        <v>0</v>
      </c>
      <c r="I3021">
        <v>24</v>
      </c>
      <c r="J3021" s="10">
        <v>18.499999999999982</v>
      </c>
      <c r="K3021" s="10">
        <f>SUMIFS(F:F,D:D,DST_123_ÜRETİM_İHTİYAÇ_RAPORU_BURAK_YENI1309[[#This Row],[ALT_KOD]])-(SUMIFS(H:H,D:D,DST_123_ÜRETİM_İHTİYAÇ_RAPORU_BURAK_YENI1309[[#This Row],[ALT_KOD]])+AVERAGEIFS(I:I,D:D,DST_123_ÜRETİM_İHTİYAÇ_RAPORU_BURAK_YENI1309[[#This Row],[ALT_KOD]])+AVERAGEIFS(L:L,D:D,DST_123_ÜRETİM_İHTİYAÇ_RAPORU_BURAK_YENI1309[[#This Row],[ALT_KOD]]))</f>
        <v>3.899999999999995</v>
      </c>
      <c r="L3021">
        <v>0</v>
      </c>
      <c r="M3021">
        <f>IF((DST_123_ÜRETİM_İHTİYAÇ_RAPORU_BURAK_YENI1309[[#This Row],[SATINALMA]]*DST_123_ÜRETİM_İHTİYAÇ_RAPORU_BURAK_YENI1309[[#This Row],[BIRIM_FIYATLAR]])&lt;1,VALUE("0"),DST_123_ÜRETİM_İHTİYAÇ_RAPORU_BURAK_YENI1309[[#This Row],[SATINALMA]]*DST_123_ÜRETİM_İHTİYAÇ_RAPORU_BURAK_YENI1309[[#This Row],[BIRIM_FIYATLAR]])</f>
        <v>467.99999999999943</v>
      </c>
      <c r="N3021">
        <v>120</v>
      </c>
      <c r="O3021" t="s">
        <v>240</v>
      </c>
      <c r="P3021">
        <v>204</v>
      </c>
      <c r="Q3021" t="s">
        <v>183</v>
      </c>
    </row>
    <row r="3022" spans="1:17" x14ac:dyDescent="0.25">
      <c r="A3022" t="s">
        <v>1142</v>
      </c>
      <c r="B3022" t="s">
        <v>1056</v>
      </c>
      <c r="C3022" t="s">
        <v>175</v>
      </c>
      <c r="D3022" t="s">
        <v>139</v>
      </c>
      <c r="E3022" t="s">
        <v>140</v>
      </c>
      <c r="F3022">
        <v>0.5</v>
      </c>
      <c r="G3022" t="s">
        <v>176</v>
      </c>
      <c r="H3022">
        <v>0</v>
      </c>
      <c r="I3022">
        <v>0</v>
      </c>
      <c r="J3022" s="10">
        <v>6.1000000000000023</v>
      </c>
      <c r="K3022" s="10">
        <f>SUMIFS(F:F,D:D,DST_123_ÜRETİM_İHTİYAÇ_RAPORU_BURAK_YENI1309[[#This Row],[ALT_KOD]])-(SUMIFS(H:H,D:D,DST_123_ÜRETİM_İHTİYAÇ_RAPORU_BURAK_YENI1309[[#This Row],[ALT_KOD]])+AVERAGEIFS(I:I,D:D,DST_123_ÜRETİM_İHTİYAÇ_RAPORU_BURAK_YENI1309[[#This Row],[ALT_KOD]])+AVERAGEIFS(L:L,D:D,DST_123_ÜRETİM_İHTİYAÇ_RAPORU_BURAK_YENI1309[[#This Row],[ALT_KOD]]))</f>
        <v>8.8000000000000007</v>
      </c>
      <c r="L3022">
        <v>5</v>
      </c>
      <c r="M3022">
        <f>IF((DST_123_ÜRETİM_İHTİYAÇ_RAPORU_BURAK_YENI1309[[#This Row],[SATINALMA]]*DST_123_ÜRETİM_İHTİYAÇ_RAPORU_BURAK_YENI1309[[#This Row],[BIRIM_FIYATLAR]])&lt;1,VALUE("0"),DST_123_ÜRETİM_İHTİYAÇ_RAPORU_BURAK_YENI1309[[#This Row],[SATINALMA]]*DST_123_ÜRETİM_İHTİYAÇ_RAPORU_BURAK_YENI1309[[#This Row],[BIRIM_FIYATLAR]])</f>
        <v>6056.1600000000008</v>
      </c>
      <c r="N3022">
        <v>688.2</v>
      </c>
      <c r="O3022" t="s">
        <v>672</v>
      </c>
      <c r="P3022">
        <v>344.1</v>
      </c>
      <c r="Q3022" t="s">
        <v>184</v>
      </c>
    </row>
    <row r="3023" spans="1:17" x14ac:dyDescent="0.25">
      <c r="A3023" t="s">
        <v>1147</v>
      </c>
      <c r="B3023" t="s">
        <v>1145</v>
      </c>
      <c r="C3023" t="s">
        <v>175</v>
      </c>
      <c r="D3023" t="s">
        <v>145</v>
      </c>
      <c r="E3023" t="s">
        <v>146</v>
      </c>
      <c r="F3023">
        <v>3</v>
      </c>
      <c r="G3023" t="s">
        <v>176</v>
      </c>
      <c r="H3023">
        <v>0</v>
      </c>
      <c r="I3023">
        <v>0</v>
      </c>
      <c r="J3023" s="10">
        <v>4.0000000000000497</v>
      </c>
      <c r="K3023" s="10">
        <f>SUMIFS(F:F,D:D,DST_123_ÜRETİM_İHTİYAÇ_RAPORU_BURAK_YENI1309[[#This Row],[ALT_KOD]])-(SUMIFS(H:H,D:D,DST_123_ÜRETİM_İHTİYAÇ_RAPORU_BURAK_YENI1309[[#This Row],[ALT_KOD]])+AVERAGEIFS(I:I,D:D,DST_123_ÜRETİM_İHTİYAÇ_RAPORU_BURAK_YENI1309[[#This Row],[ALT_KOD]])+AVERAGEIFS(L:L,D:D,DST_123_ÜRETİM_İHTİYAÇ_RAPORU_BURAK_YENI1309[[#This Row],[ALT_KOD]]))</f>
        <v>28.999999999999993</v>
      </c>
      <c r="L3023">
        <v>22</v>
      </c>
      <c r="M3023">
        <f>IF((DST_123_ÜRETİM_İHTİYAÇ_RAPORU_BURAK_YENI1309[[#This Row],[SATINALMA]]*DST_123_ÜRETİM_İHTİYAÇ_RAPORU_BURAK_YENI1309[[#This Row],[BIRIM_FIYATLAR]])&lt;1,VALUE("0"),DST_123_ÜRETİM_İHTİYAÇ_RAPORU_BURAK_YENI1309[[#This Row],[SATINALMA]]*DST_123_ÜRETİM_İHTİYAÇ_RAPORU_BURAK_YENI1309[[#This Row],[BIRIM_FIYATLAR]])</f>
        <v>30208.429999999993</v>
      </c>
      <c r="N3023">
        <v>1041.67</v>
      </c>
      <c r="O3023" t="s">
        <v>223</v>
      </c>
      <c r="P3023">
        <v>3125.01</v>
      </c>
      <c r="Q3023" t="s">
        <v>181</v>
      </c>
    </row>
    <row r="3024" spans="1:17" x14ac:dyDescent="0.25">
      <c r="A3024" t="s">
        <v>1098</v>
      </c>
      <c r="B3024" t="s">
        <v>1096</v>
      </c>
      <c r="C3024" t="s">
        <v>175</v>
      </c>
      <c r="D3024" t="s">
        <v>558</v>
      </c>
      <c r="E3024" t="s">
        <v>559</v>
      </c>
      <c r="F3024">
        <v>1</v>
      </c>
      <c r="G3024" t="s">
        <v>176</v>
      </c>
      <c r="H3024">
        <v>0</v>
      </c>
      <c r="I3024">
        <v>34</v>
      </c>
      <c r="J3024" s="10">
        <v>97.880000000000024</v>
      </c>
      <c r="K3024" s="10">
        <f>SUMIFS(F:F,D:D,DST_123_ÜRETİM_İHTİYAÇ_RAPORU_BURAK_YENI1309[[#This Row],[ALT_KOD]])-(SUMIFS(H:H,D:D,DST_123_ÜRETİM_İHTİYAÇ_RAPORU_BURAK_YENI1309[[#This Row],[ALT_KOD]])+AVERAGEIFS(I:I,D:D,DST_123_ÜRETİM_İHTİYAÇ_RAPORU_BURAK_YENI1309[[#This Row],[ALT_KOD]])+AVERAGEIFS(L:L,D:D,DST_123_ÜRETİM_İHTİYAÇ_RAPORU_BURAK_YENI1309[[#This Row],[ALT_KOD]]))</f>
        <v>0.88000000000000256</v>
      </c>
      <c r="L3024">
        <v>0</v>
      </c>
      <c r="M3024">
        <f>IF((DST_123_ÜRETİM_İHTİYAÇ_RAPORU_BURAK_YENI1309[[#This Row],[SATINALMA]]*DST_123_ÜRETİM_İHTİYAÇ_RAPORU_BURAK_YENI1309[[#This Row],[BIRIM_FIYATLAR]])&lt;1,VALUE("0"),DST_123_ÜRETİM_İHTİYAÇ_RAPORU_BURAK_YENI1309[[#This Row],[SATINALMA]]*DST_123_ÜRETİM_İHTİYAÇ_RAPORU_BURAK_YENI1309[[#This Row],[BIRIM_FIYATLAR]])</f>
        <v>48.400000000000141</v>
      </c>
      <c r="N3024">
        <v>55</v>
      </c>
      <c r="O3024" t="s">
        <v>240</v>
      </c>
      <c r="P3024">
        <v>55</v>
      </c>
      <c r="Q3024" t="s">
        <v>180</v>
      </c>
    </row>
    <row r="3025" spans="1:17" x14ac:dyDescent="0.25">
      <c r="A3025" t="s">
        <v>1064</v>
      </c>
      <c r="B3025" t="s">
        <v>1055</v>
      </c>
      <c r="C3025" t="s">
        <v>175</v>
      </c>
      <c r="D3025" t="s">
        <v>143</v>
      </c>
      <c r="E3025" t="s">
        <v>144</v>
      </c>
      <c r="F3025">
        <v>4</v>
      </c>
      <c r="G3025" t="s">
        <v>176</v>
      </c>
      <c r="H3025">
        <v>0</v>
      </c>
      <c r="I3025">
        <v>0</v>
      </c>
      <c r="J3025" s="10">
        <v>64</v>
      </c>
      <c r="K3025" s="10">
        <f>SUMIFS(F:F,D:D,DST_123_ÜRETİM_İHTİYAÇ_RAPORU_BURAK_YENI1309[[#This Row],[ALT_KOD]])-(SUMIFS(H:H,D:D,DST_123_ÜRETİM_İHTİYAÇ_RAPORU_BURAK_YENI1309[[#This Row],[ALT_KOD]])+AVERAGEIFS(I:I,D:D,DST_123_ÜRETİM_İHTİYAÇ_RAPORU_BURAK_YENI1309[[#This Row],[ALT_KOD]])+AVERAGEIFS(L:L,D:D,DST_123_ÜRETİM_İHTİYAÇ_RAPORU_BURAK_YENI1309[[#This Row],[ALT_KOD]]))</f>
        <v>40</v>
      </c>
      <c r="L3025">
        <v>0</v>
      </c>
      <c r="M3025">
        <f>IF((DST_123_ÜRETİM_İHTİYAÇ_RAPORU_BURAK_YENI1309[[#This Row],[SATINALMA]]*DST_123_ÜRETİM_İHTİYAÇ_RAPORU_BURAK_YENI1309[[#This Row],[BIRIM_FIYATLAR]])&lt;1,VALUE("0"),DST_123_ÜRETİM_İHTİYAÇ_RAPORU_BURAK_YENI1309[[#This Row],[SATINALMA]]*DST_123_ÜRETİM_İHTİYAÇ_RAPORU_BURAK_YENI1309[[#This Row],[BIRIM_FIYATLAR]])</f>
        <v>274.8</v>
      </c>
      <c r="N3025">
        <v>6.87</v>
      </c>
      <c r="O3025" t="s">
        <v>826</v>
      </c>
      <c r="P3025">
        <v>27.48</v>
      </c>
      <c r="Q3025" t="s">
        <v>221</v>
      </c>
    </row>
    <row r="3026" spans="1:17" x14ac:dyDescent="0.25">
      <c r="A3026" t="s">
        <v>1059</v>
      </c>
      <c r="B3026" t="s">
        <v>1058</v>
      </c>
      <c r="C3026" t="s">
        <v>175</v>
      </c>
      <c r="D3026" t="s">
        <v>466</v>
      </c>
      <c r="E3026" t="s">
        <v>467</v>
      </c>
      <c r="F3026">
        <v>110</v>
      </c>
      <c r="G3026" t="s">
        <v>176</v>
      </c>
      <c r="H3026">
        <v>0</v>
      </c>
      <c r="I3026">
        <v>7500</v>
      </c>
      <c r="J3026" s="10">
        <v>0</v>
      </c>
      <c r="K3026" s="10">
        <f>SUMIFS(F:F,D:D,DST_123_ÜRETİM_İHTİYAÇ_RAPORU_BURAK_YENI1309[[#This Row],[ALT_KOD]])-(SUMIFS(H:H,D:D,DST_123_ÜRETİM_İHTİYAÇ_RAPORU_BURAK_YENI1309[[#This Row],[ALT_KOD]])+AVERAGEIFS(I:I,D:D,DST_123_ÜRETİM_İHTİYAÇ_RAPORU_BURAK_YENI1309[[#This Row],[ALT_KOD]])+AVERAGEIFS(L:L,D:D,DST_123_ÜRETİM_İHTİYAÇ_RAPORU_BURAK_YENI1309[[#This Row],[ALT_KOD]]))</f>
        <v>-5570</v>
      </c>
      <c r="L3026">
        <v>0</v>
      </c>
      <c r="M3026">
        <f>IF((DST_123_ÜRETİM_İHTİYAÇ_RAPORU_BURAK_YENI1309[[#This Row],[SATINALMA]]*DST_123_ÜRETİM_İHTİYAÇ_RAPORU_BURAK_YENI1309[[#This Row],[BIRIM_FIYATLAR]])&lt;1,VALUE("0"),DST_123_ÜRETİM_İHTİYAÇ_RAPORU_BURAK_YENI1309[[#This Row],[SATINALMA]]*DST_123_ÜRETİM_İHTİYAÇ_RAPORU_BURAK_YENI1309[[#This Row],[BIRIM_FIYATLAR]])</f>
        <v>0</v>
      </c>
      <c r="N3026">
        <v>0.8</v>
      </c>
      <c r="O3026" t="s">
        <v>826</v>
      </c>
      <c r="P3026">
        <v>88</v>
      </c>
      <c r="Q3026" t="s">
        <v>180</v>
      </c>
    </row>
    <row r="3027" spans="1:17" x14ac:dyDescent="0.25">
      <c r="A3027" t="s">
        <v>1095</v>
      </c>
      <c r="B3027" t="s">
        <v>1096</v>
      </c>
      <c r="C3027" t="s">
        <v>175</v>
      </c>
      <c r="D3027" t="s">
        <v>466</v>
      </c>
      <c r="E3027" t="s">
        <v>467</v>
      </c>
      <c r="F3027">
        <v>80</v>
      </c>
      <c r="G3027" t="s">
        <v>176</v>
      </c>
      <c r="H3027">
        <v>0</v>
      </c>
      <c r="I3027">
        <v>7500</v>
      </c>
      <c r="J3027" s="10">
        <v>0</v>
      </c>
      <c r="K3027" s="10">
        <f>SUMIFS(F:F,D:D,DST_123_ÜRETİM_İHTİYAÇ_RAPORU_BURAK_YENI1309[[#This Row],[ALT_KOD]])-(SUMIFS(H:H,D:D,DST_123_ÜRETİM_İHTİYAÇ_RAPORU_BURAK_YENI1309[[#This Row],[ALT_KOD]])+AVERAGEIFS(I:I,D:D,DST_123_ÜRETİM_İHTİYAÇ_RAPORU_BURAK_YENI1309[[#This Row],[ALT_KOD]])+AVERAGEIFS(L:L,D:D,DST_123_ÜRETİM_İHTİYAÇ_RAPORU_BURAK_YENI1309[[#This Row],[ALT_KOD]]))</f>
        <v>-5570</v>
      </c>
      <c r="L3027">
        <v>0</v>
      </c>
      <c r="M3027">
        <f>IF((DST_123_ÜRETİM_İHTİYAÇ_RAPORU_BURAK_YENI1309[[#This Row],[SATINALMA]]*DST_123_ÜRETİM_İHTİYAÇ_RAPORU_BURAK_YENI1309[[#This Row],[BIRIM_FIYATLAR]])&lt;1,VALUE("0"),DST_123_ÜRETİM_İHTİYAÇ_RAPORU_BURAK_YENI1309[[#This Row],[SATINALMA]]*DST_123_ÜRETİM_İHTİYAÇ_RAPORU_BURAK_YENI1309[[#This Row],[BIRIM_FIYATLAR]])</f>
        <v>0</v>
      </c>
      <c r="N3027">
        <v>0.8</v>
      </c>
      <c r="O3027" t="s">
        <v>826</v>
      </c>
      <c r="P3027">
        <v>64</v>
      </c>
      <c r="Q3027" t="s">
        <v>180</v>
      </c>
    </row>
    <row r="3028" spans="1:17" x14ac:dyDescent="0.25">
      <c r="A3028" t="s">
        <v>1095</v>
      </c>
      <c r="B3028" t="s">
        <v>1096</v>
      </c>
      <c r="C3028" t="s">
        <v>175</v>
      </c>
      <c r="D3028" t="s">
        <v>558</v>
      </c>
      <c r="E3028" t="s">
        <v>559</v>
      </c>
      <c r="F3028">
        <v>1</v>
      </c>
      <c r="G3028" t="s">
        <v>176</v>
      </c>
      <c r="H3028">
        <v>0</v>
      </c>
      <c r="I3028">
        <v>34</v>
      </c>
      <c r="J3028" s="10">
        <v>97.880000000000024</v>
      </c>
      <c r="K3028" s="10">
        <f>SUMIFS(F:F,D:D,DST_123_ÜRETİM_İHTİYAÇ_RAPORU_BURAK_YENI1309[[#This Row],[ALT_KOD]])-(SUMIFS(H:H,D:D,DST_123_ÜRETİM_İHTİYAÇ_RAPORU_BURAK_YENI1309[[#This Row],[ALT_KOD]])+AVERAGEIFS(I:I,D:D,DST_123_ÜRETİM_İHTİYAÇ_RAPORU_BURAK_YENI1309[[#This Row],[ALT_KOD]])+AVERAGEIFS(L:L,D:D,DST_123_ÜRETİM_İHTİYAÇ_RAPORU_BURAK_YENI1309[[#This Row],[ALT_KOD]]))</f>
        <v>0.88000000000000256</v>
      </c>
      <c r="L3028">
        <v>0</v>
      </c>
      <c r="M3028">
        <f>IF((DST_123_ÜRETİM_İHTİYAÇ_RAPORU_BURAK_YENI1309[[#This Row],[SATINALMA]]*DST_123_ÜRETİM_İHTİYAÇ_RAPORU_BURAK_YENI1309[[#This Row],[BIRIM_FIYATLAR]])&lt;1,VALUE("0"),DST_123_ÜRETİM_İHTİYAÇ_RAPORU_BURAK_YENI1309[[#This Row],[SATINALMA]]*DST_123_ÜRETİM_İHTİYAÇ_RAPORU_BURAK_YENI1309[[#This Row],[BIRIM_FIYATLAR]])</f>
        <v>48.400000000000141</v>
      </c>
      <c r="N3028">
        <v>55</v>
      </c>
      <c r="O3028" t="s">
        <v>240</v>
      </c>
      <c r="P3028">
        <v>55</v>
      </c>
      <c r="Q3028" t="s">
        <v>180</v>
      </c>
    </row>
    <row r="3029" spans="1:17" x14ac:dyDescent="0.25">
      <c r="A3029" t="s">
        <v>1147</v>
      </c>
      <c r="B3029" t="s">
        <v>1145</v>
      </c>
      <c r="C3029" t="s">
        <v>175</v>
      </c>
      <c r="D3029" t="s">
        <v>143</v>
      </c>
      <c r="E3029" t="s">
        <v>144</v>
      </c>
      <c r="F3029">
        <v>2</v>
      </c>
      <c r="G3029" t="s">
        <v>176</v>
      </c>
      <c r="H3029">
        <v>0</v>
      </c>
      <c r="I3029">
        <v>0</v>
      </c>
      <c r="J3029" s="10">
        <v>64</v>
      </c>
      <c r="K3029" s="10">
        <f>SUMIFS(F:F,D:D,DST_123_ÜRETİM_İHTİYAÇ_RAPORU_BURAK_YENI1309[[#This Row],[ALT_KOD]])-(SUMIFS(H:H,D:D,DST_123_ÜRETİM_İHTİYAÇ_RAPORU_BURAK_YENI1309[[#This Row],[ALT_KOD]])+AVERAGEIFS(I:I,D:D,DST_123_ÜRETİM_İHTİYAÇ_RAPORU_BURAK_YENI1309[[#This Row],[ALT_KOD]])+AVERAGEIFS(L:L,D:D,DST_123_ÜRETİM_İHTİYAÇ_RAPORU_BURAK_YENI1309[[#This Row],[ALT_KOD]]))</f>
        <v>40</v>
      </c>
      <c r="L3029">
        <v>0</v>
      </c>
      <c r="M3029">
        <f>IF((DST_123_ÜRETİM_İHTİYAÇ_RAPORU_BURAK_YENI1309[[#This Row],[SATINALMA]]*DST_123_ÜRETİM_İHTİYAÇ_RAPORU_BURAK_YENI1309[[#This Row],[BIRIM_FIYATLAR]])&lt;1,VALUE("0"),DST_123_ÜRETİM_İHTİYAÇ_RAPORU_BURAK_YENI1309[[#This Row],[SATINALMA]]*DST_123_ÜRETİM_İHTİYAÇ_RAPORU_BURAK_YENI1309[[#This Row],[BIRIM_FIYATLAR]])</f>
        <v>274.8</v>
      </c>
      <c r="N3029">
        <v>6.87</v>
      </c>
      <c r="O3029" t="s">
        <v>826</v>
      </c>
      <c r="P3029">
        <v>13.74</v>
      </c>
      <c r="Q3029" t="s">
        <v>221</v>
      </c>
    </row>
    <row r="3030" spans="1:17" x14ac:dyDescent="0.25">
      <c r="A3030" t="s">
        <v>1100</v>
      </c>
      <c r="B3030" t="s">
        <v>1058</v>
      </c>
      <c r="C3030" t="s">
        <v>175</v>
      </c>
      <c r="D3030" t="s">
        <v>143</v>
      </c>
      <c r="E3030" t="s">
        <v>144</v>
      </c>
      <c r="F3030">
        <v>4</v>
      </c>
      <c r="G3030" t="s">
        <v>176</v>
      </c>
      <c r="H3030">
        <v>0</v>
      </c>
      <c r="I3030">
        <v>0</v>
      </c>
      <c r="J3030" s="10">
        <v>64</v>
      </c>
      <c r="K3030" s="10">
        <f>SUMIFS(F:F,D:D,DST_123_ÜRETİM_İHTİYAÇ_RAPORU_BURAK_YENI1309[[#This Row],[ALT_KOD]])-(SUMIFS(H:H,D:D,DST_123_ÜRETİM_İHTİYAÇ_RAPORU_BURAK_YENI1309[[#This Row],[ALT_KOD]])+AVERAGEIFS(I:I,D:D,DST_123_ÜRETİM_İHTİYAÇ_RAPORU_BURAK_YENI1309[[#This Row],[ALT_KOD]])+AVERAGEIFS(L:L,D:D,DST_123_ÜRETİM_İHTİYAÇ_RAPORU_BURAK_YENI1309[[#This Row],[ALT_KOD]]))</f>
        <v>40</v>
      </c>
      <c r="L3030">
        <v>0</v>
      </c>
      <c r="M3030">
        <f>IF((DST_123_ÜRETİM_İHTİYAÇ_RAPORU_BURAK_YENI1309[[#This Row],[SATINALMA]]*DST_123_ÜRETİM_İHTİYAÇ_RAPORU_BURAK_YENI1309[[#This Row],[BIRIM_FIYATLAR]])&lt;1,VALUE("0"),DST_123_ÜRETİM_İHTİYAÇ_RAPORU_BURAK_YENI1309[[#This Row],[SATINALMA]]*DST_123_ÜRETİM_İHTİYAÇ_RAPORU_BURAK_YENI1309[[#This Row],[BIRIM_FIYATLAR]])</f>
        <v>274.8</v>
      </c>
      <c r="N3030">
        <v>6.87</v>
      </c>
      <c r="O3030" t="s">
        <v>826</v>
      </c>
      <c r="P3030">
        <v>27.48</v>
      </c>
      <c r="Q3030" t="s">
        <v>221</v>
      </c>
    </row>
    <row r="3031" spans="1:17" x14ac:dyDescent="0.25">
      <c r="A3031" t="s">
        <v>1147</v>
      </c>
      <c r="B3031" t="s">
        <v>1145</v>
      </c>
      <c r="C3031" t="s">
        <v>175</v>
      </c>
      <c r="D3031" t="s">
        <v>567</v>
      </c>
      <c r="E3031" t="s">
        <v>568</v>
      </c>
      <c r="F3031">
        <v>60</v>
      </c>
      <c r="G3031" t="s">
        <v>176</v>
      </c>
      <c r="H3031">
        <v>0</v>
      </c>
      <c r="I3031">
        <v>5000</v>
      </c>
      <c r="J3031" s="10">
        <v>0</v>
      </c>
      <c r="K3031" s="10">
        <f>SUMIFS(F:F,D:D,DST_123_ÜRETİM_İHTİYAÇ_RAPORU_BURAK_YENI1309[[#This Row],[ALT_KOD]])-(SUMIFS(H:H,D:D,DST_123_ÜRETİM_İHTİYAÇ_RAPORU_BURAK_YENI1309[[#This Row],[ALT_KOD]])+AVERAGEIFS(I:I,D:D,DST_123_ÜRETİM_İHTİYAÇ_RAPORU_BURAK_YENI1309[[#This Row],[ALT_KOD]])+AVERAGEIFS(L:L,D:D,DST_123_ÜRETİM_İHTİYAÇ_RAPORU_BURAK_YENI1309[[#This Row],[ALT_KOD]]))</f>
        <v>-3820</v>
      </c>
      <c r="L3031">
        <v>0</v>
      </c>
      <c r="M3031">
        <f>IF((DST_123_ÜRETİM_İHTİYAÇ_RAPORU_BURAK_YENI1309[[#This Row],[SATINALMA]]*DST_123_ÜRETİM_İHTİYAÇ_RAPORU_BURAK_YENI1309[[#This Row],[BIRIM_FIYATLAR]])&lt;1,VALUE("0"),DST_123_ÜRETİM_İHTİYAÇ_RAPORU_BURAK_YENI1309[[#This Row],[SATINALMA]]*DST_123_ÜRETİM_İHTİYAÇ_RAPORU_BURAK_YENI1309[[#This Row],[BIRIM_FIYATLAR]])</f>
        <v>0</v>
      </c>
      <c r="N3031">
        <v>0.6</v>
      </c>
      <c r="O3031" t="s">
        <v>240</v>
      </c>
      <c r="P3031">
        <v>36</v>
      </c>
      <c r="Q3031" t="s">
        <v>180</v>
      </c>
    </row>
    <row r="3032" spans="1:17" x14ac:dyDescent="0.25">
      <c r="A3032" t="s">
        <v>1100</v>
      </c>
      <c r="B3032" t="s">
        <v>1058</v>
      </c>
      <c r="C3032" t="s">
        <v>175</v>
      </c>
      <c r="D3032" t="s">
        <v>567</v>
      </c>
      <c r="E3032" t="s">
        <v>568</v>
      </c>
      <c r="F3032">
        <v>60</v>
      </c>
      <c r="G3032" t="s">
        <v>176</v>
      </c>
      <c r="H3032">
        <v>0</v>
      </c>
      <c r="I3032">
        <v>5000</v>
      </c>
      <c r="J3032" s="10">
        <v>0</v>
      </c>
      <c r="K3032" s="10">
        <f>SUMIFS(F:F,D:D,DST_123_ÜRETİM_İHTİYAÇ_RAPORU_BURAK_YENI1309[[#This Row],[ALT_KOD]])-(SUMIFS(H:H,D:D,DST_123_ÜRETİM_İHTİYAÇ_RAPORU_BURAK_YENI1309[[#This Row],[ALT_KOD]])+AVERAGEIFS(I:I,D:D,DST_123_ÜRETİM_İHTİYAÇ_RAPORU_BURAK_YENI1309[[#This Row],[ALT_KOD]])+AVERAGEIFS(L:L,D:D,DST_123_ÜRETİM_İHTİYAÇ_RAPORU_BURAK_YENI1309[[#This Row],[ALT_KOD]]))</f>
        <v>-3820</v>
      </c>
      <c r="L3032">
        <v>0</v>
      </c>
      <c r="M3032">
        <f>IF((DST_123_ÜRETİM_İHTİYAÇ_RAPORU_BURAK_YENI1309[[#This Row],[SATINALMA]]*DST_123_ÜRETİM_İHTİYAÇ_RAPORU_BURAK_YENI1309[[#This Row],[BIRIM_FIYATLAR]])&lt;1,VALUE("0"),DST_123_ÜRETİM_İHTİYAÇ_RAPORU_BURAK_YENI1309[[#This Row],[SATINALMA]]*DST_123_ÜRETİM_İHTİYAÇ_RAPORU_BURAK_YENI1309[[#This Row],[BIRIM_FIYATLAR]])</f>
        <v>0</v>
      </c>
      <c r="N3032">
        <v>0.6</v>
      </c>
      <c r="O3032" t="s">
        <v>240</v>
      </c>
      <c r="P3032">
        <v>36</v>
      </c>
      <c r="Q3032" t="s">
        <v>180</v>
      </c>
    </row>
    <row r="3033" spans="1:17" x14ac:dyDescent="0.25">
      <c r="A3033" t="s">
        <v>1060</v>
      </c>
      <c r="B3033" t="s">
        <v>1061</v>
      </c>
      <c r="C3033" t="s">
        <v>175</v>
      </c>
      <c r="D3033" t="s">
        <v>466</v>
      </c>
      <c r="E3033" t="s">
        <v>467</v>
      </c>
      <c r="F3033">
        <v>110</v>
      </c>
      <c r="G3033" t="s">
        <v>176</v>
      </c>
      <c r="H3033">
        <v>0</v>
      </c>
      <c r="I3033">
        <v>7500</v>
      </c>
      <c r="J3033" s="10">
        <v>0</v>
      </c>
      <c r="K3033" s="10">
        <f>SUMIFS(F:F,D:D,DST_123_ÜRETİM_İHTİYAÇ_RAPORU_BURAK_YENI1309[[#This Row],[ALT_KOD]])-(SUMIFS(H:H,D:D,DST_123_ÜRETİM_İHTİYAÇ_RAPORU_BURAK_YENI1309[[#This Row],[ALT_KOD]])+AVERAGEIFS(I:I,D:D,DST_123_ÜRETİM_İHTİYAÇ_RAPORU_BURAK_YENI1309[[#This Row],[ALT_KOD]])+AVERAGEIFS(L:L,D:D,DST_123_ÜRETİM_İHTİYAÇ_RAPORU_BURAK_YENI1309[[#This Row],[ALT_KOD]]))</f>
        <v>-5570</v>
      </c>
      <c r="L3033">
        <v>0</v>
      </c>
      <c r="M3033">
        <f>IF((DST_123_ÜRETİM_İHTİYAÇ_RAPORU_BURAK_YENI1309[[#This Row],[SATINALMA]]*DST_123_ÜRETİM_İHTİYAÇ_RAPORU_BURAK_YENI1309[[#This Row],[BIRIM_FIYATLAR]])&lt;1,VALUE("0"),DST_123_ÜRETİM_İHTİYAÇ_RAPORU_BURAK_YENI1309[[#This Row],[SATINALMA]]*DST_123_ÜRETİM_İHTİYAÇ_RAPORU_BURAK_YENI1309[[#This Row],[BIRIM_FIYATLAR]])</f>
        <v>0</v>
      </c>
      <c r="N3033">
        <v>0.8</v>
      </c>
      <c r="O3033" t="s">
        <v>826</v>
      </c>
      <c r="P3033">
        <v>88</v>
      </c>
      <c r="Q3033" t="s">
        <v>180</v>
      </c>
    </row>
    <row r="3034" spans="1:17" x14ac:dyDescent="0.25">
      <c r="A3034" t="s">
        <v>1060</v>
      </c>
      <c r="B3034" t="s">
        <v>1061</v>
      </c>
      <c r="C3034" t="s">
        <v>175</v>
      </c>
      <c r="D3034" t="s">
        <v>558</v>
      </c>
      <c r="E3034" t="s">
        <v>559</v>
      </c>
      <c r="F3034">
        <v>4.25</v>
      </c>
      <c r="G3034" t="s">
        <v>176</v>
      </c>
      <c r="H3034">
        <v>4.25</v>
      </c>
      <c r="I3034">
        <v>34</v>
      </c>
      <c r="J3034" s="10">
        <v>97.880000000000024</v>
      </c>
      <c r="K3034" s="10">
        <f>SUMIFS(F:F,D:D,DST_123_ÜRETİM_İHTİYAÇ_RAPORU_BURAK_YENI1309[[#This Row],[ALT_KOD]])-(SUMIFS(H:H,D:D,DST_123_ÜRETİM_İHTİYAÇ_RAPORU_BURAK_YENI1309[[#This Row],[ALT_KOD]])+AVERAGEIFS(I:I,D:D,DST_123_ÜRETİM_İHTİYAÇ_RAPORU_BURAK_YENI1309[[#This Row],[ALT_KOD]])+AVERAGEIFS(L:L,D:D,DST_123_ÜRETİM_İHTİYAÇ_RAPORU_BURAK_YENI1309[[#This Row],[ALT_KOD]]))</f>
        <v>0.88000000000000256</v>
      </c>
      <c r="L3034">
        <v>0</v>
      </c>
      <c r="M3034">
        <f>IF((DST_123_ÜRETİM_İHTİYAÇ_RAPORU_BURAK_YENI1309[[#This Row],[SATINALMA]]*DST_123_ÜRETİM_İHTİYAÇ_RAPORU_BURAK_YENI1309[[#This Row],[BIRIM_FIYATLAR]])&lt;1,VALUE("0"),DST_123_ÜRETİM_İHTİYAÇ_RAPORU_BURAK_YENI1309[[#This Row],[SATINALMA]]*DST_123_ÜRETİM_İHTİYAÇ_RAPORU_BURAK_YENI1309[[#This Row],[BIRIM_FIYATLAR]])</f>
        <v>48.400000000000141</v>
      </c>
      <c r="N3034">
        <v>55</v>
      </c>
      <c r="O3034" t="s">
        <v>240</v>
      </c>
      <c r="P3034">
        <v>233.75</v>
      </c>
      <c r="Q3034" t="s">
        <v>180</v>
      </c>
    </row>
    <row r="3035" spans="1:17" x14ac:dyDescent="0.25">
      <c r="A3035" t="s">
        <v>1143</v>
      </c>
      <c r="B3035" t="s">
        <v>1056</v>
      </c>
      <c r="C3035" t="s">
        <v>175</v>
      </c>
      <c r="D3035" t="s">
        <v>441</v>
      </c>
      <c r="E3035" t="s">
        <v>442</v>
      </c>
      <c r="F3035">
        <v>1</v>
      </c>
      <c r="G3035" t="s">
        <v>176</v>
      </c>
      <c r="H3035">
        <v>0</v>
      </c>
      <c r="I3035">
        <v>23</v>
      </c>
      <c r="J3035" s="10">
        <v>5</v>
      </c>
      <c r="K3035" s="10">
        <f>SUMIFS(F:F,D:D,DST_123_ÜRETİM_İHTİYAÇ_RAPORU_BURAK_YENI1309[[#This Row],[ALT_KOD]])-(SUMIFS(H:H,D:D,DST_123_ÜRETİM_İHTİYAÇ_RAPORU_BURAK_YENI1309[[#This Row],[ALT_KOD]])+AVERAGEIFS(I:I,D:D,DST_123_ÜRETİM_İHTİYAÇ_RAPORU_BURAK_YENI1309[[#This Row],[ALT_KOD]])+AVERAGEIFS(L:L,D:D,DST_123_ÜRETİM_İHTİYAÇ_RAPORU_BURAK_YENI1309[[#This Row],[ALT_KOD]]))</f>
        <v>-11</v>
      </c>
      <c r="L3035">
        <v>0</v>
      </c>
      <c r="M3035">
        <f>IF((DST_123_ÜRETİM_İHTİYAÇ_RAPORU_BURAK_YENI1309[[#This Row],[SATINALMA]]*DST_123_ÜRETİM_İHTİYAÇ_RAPORU_BURAK_YENI1309[[#This Row],[BIRIM_FIYATLAR]])&lt;1,VALUE("0"),DST_123_ÜRETİM_İHTİYAÇ_RAPORU_BURAK_YENI1309[[#This Row],[SATINALMA]]*DST_123_ÜRETİM_İHTİYAÇ_RAPORU_BURAK_YENI1309[[#This Row],[BIRIM_FIYATLAR]])</f>
        <v>0</v>
      </c>
      <c r="N3035">
        <v>360.19</v>
      </c>
      <c r="O3035" t="s">
        <v>636</v>
      </c>
      <c r="P3035">
        <v>360.19</v>
      </c>
      <c r="Q3035" t="s">
        <v>178</v>
      </c>
    </row>
    <row r="3036" spans="1:17" x14ac:dyDescent="0.25">
      <c r="A3036" t="s">
        <v>1142</v>
      </c>
      <c r="B3036" t="s">
        <v>1056</v>
      </c>
      <c r="C3036" t="s">
        <v>175</v>
      </c>
      <c r="D3036" t="s">
        <v>701</v>
      </c>
      <c r="E3036" t="s">
        <v>702</v>
      </c>
      <c r="F3036">
        <v>6</v>
      </c>
      <c r="G3036" t="s">
        <v>176</v>
      </c>
      <c r="H3036">
        <v>0</v>
      </c>
      <c r="I3036">
        <v>100</v>
      </c>
      <c r="J3036" s="10">
        <v>52</v>
      </c>
      <c r="K3036" s="10">
        <f>SUMIFS(F:F,D:D,DST_123_ÜRETİM_İHTİYAÇ_RAPORU_BURAK_YENI1309[[#This Row],[ALT_KOD]])-(SUMIFS(H:H,D:D,DST_123_ÜRETİM_İHTİYAÇ_RAPORU_BURAK_YENI1309[[#This Row],[ALT_KOD]])+AVERAGEIFS(I:I,D:D,DST_123_ÜRETİM_İHTİYAÇ_RAPORU_BURAK_YENI1309[[#This Row],[ALT_KOD]])+AVERAGEIFS(L:L,D:D,DST_123_ÜRETİM_İHTİYAÇ_RAPORU_BURAK_YENI1309[[#This Row],[ALT_KOD]]))</f>
        <v>-52</v>
      </c>
      <c r="L3036">
        <v>0</v>
      </c>
      <c r="M3036">
        <f>IF((DST_123_ÜRETİM_İHTİYAÇ_RAPORU_BURAK_YENI1309[[#This Row],[SATINALMA]]*DST_123_ÜRETİM_İHTİYAÇ_RAPORU_BURAK_YENI1309[[#This Row],[BIRIM_FIYATLAR]])&lt;1,VALUE("0"),DST_123_ÜRETİM_İHTİYAÇ_RAPORU_BURAK_YENI1309[[#This Row],[SATINALMA]]*DST_123_ÜRETİM_İHTİYAÇ_RAPORU_BURAK_YENI1309[[#This Row],[BIRIM_FIYATLAR]])</f>
        <v>0</v>
      </c>
      <c r="N3036">
        <v>1.1299999999999999</v>
      </c>
      <c r="O3036" t="s">
        <v>826</v>
      </c>
      <c r="P3036">
        <v>6.7799999999999994</v>
      </c>
      <c r="Q3036" t="s">
        <v>221</v>
      </c>
    </row>
    <row r="3037" spans="1:17" x14ac:dyDescent="0.25">
      <c r="A3037" t="s">
        <v>1142</v>
      </c>
      <c r="B3037" t="s">
        <v>1056</v>
      </c>
      <c r="C3037" t="s">
        <v>175</v>
      </c>
      <c r="D3037" t="s">
        <v>601</v>
      </c>
      <c r="E3037" t="s">
        <v>602</v>
      </c>
      <c r="F3037">
        <v>2</v>
      </c>
      <c r="G3037" t="s">
        <v>176</v>
      </c>
      <c r="H3037">
        <v>0</v>
      </c>
      <c r="I3037">
        <v>24</v>
      </c>
      <c r="J3037" s="10">
        <v>10</v>
      </c>
      <c r="K3037" s="10">
        <f>SUMIFS(F:F,D:D,DST_123_ÜRETİM_İHTİYAÇ_RAPORU_BURAK_YENI1309[[#This Row],[ALT_KOD]])-(SUMIFS(H:H,D:D,DST_123_ÜRETİM_İHTİYAÇ_RAPORU_BURAK_YENI1309[[#This Row],[ALT_KOD]])+AVERAGEIFS(I:I,D:D,DST_123_ÜRETİM_İHTİYAÇ_RAPORU_BURAK_YENI1309[[#This Row],[ALT_KOD]])+AVERAGEIFS(L:L,D:D,DST_123_ÜRETİM_İHTİYAÇ_RAPORU_BURAK_YENI1309[[#This Row],[ALT_KOD]]))</f>
        <v>-8</v>
      </c>
      <c r="L3037">
        <v>0</v>
      </c>
      <c r="M3037">
        <f>IF((DST_123_ÜRETİM_İHTİYAÇ_RAPORU_BURAK_YENI1309[[#This Row],[SATINALMA]]*DST_123_ÜRETİM_İHTİYAÇ_RAPORU_BURAK_YENI1309[[#This Row],[BIRIM_FIYATLAR]])&lt;1,VALUE("0"),DST_123_ÜRETİM_İHTİYAÇ_RAPORU_BURAK_YENI1309[[#This Row],[SATINALMA]]*DST_123_ÜRETİM_İHTİYAÇ_RAPORU_BURAK_YENI1309[[#This Row],[BIRIM_FIYATLAR]])</f>
        <v>0</v>
      </c>
      <c r="N3037">
        <v>50.43</v>
      </c>
      <c r="O3037" t="s">
        <v>636</v>
      </c>
      <c r="P3037">
        <v>100.86</v>
      </c>
      <c r="Q3037" t="s">
        <v>177</v>
      </c>
    </row>
    <row r="3038" spans="1:17" x14ac:dyDescent="0.25">
      <c r="A3038" t="s">
        <v>1064</v>
      </c>
      <c r="B3038" t="s">
        <v>1055</v>
      </c>
      <c r="C3038" t="s">
        <v>175</v>
      </c>
      <c r="D3038" t="s">
        <v>446</v>
      </c>
      <c r="E3038" t="s">
        <v>447</v>
      </c>
      <c r="F3038">
        <v>2</v>
      </c>
      <c r="G3038" t="s">
        <v>176</v>
      </c>
      <c r="H3038">
        <v>2</v>
      </c>
      <c r="I3038">
        <v>13</v>
      </c>
      <c r="J3038" s="10">
        <v>13</v>
      </c>
      <c r="K3038" s="10">
        <f>SUMIFS(F:F,D:D,DST_123_ÜRETİM_İHTİYAÇ_RAPORU_BURAK_YENI1309[[#This Row],[ALT_KOD]])-(SUMIFS(H:H,D:D,DST_123_ÜRETİM_İHTİYAÇ_RAPORU_BURAK_YENI1309[[#This Row],[ALT_KOD]])+AVERAGEIFS(I:I,D:D,DST_123_ÜRETİM_İHTİYAÇ_RAPORU_BURAK_YENI1309[[#This Row],[ALT_KOD]])+AVERAGEIFS(L:L,D:D,DST_123_ÜRETİM_İHTİYAÇ_RAPORU_BURAK_YENI1309[[#This Row],[ALT_KOD]]))</f>
        <v>-1</v>
      </c>
      <c r="L3038">
        <v>0</v>
      </c>
      <c r="M3038">
        <f>IF((DST_123_ÜRETİM_İHTİYAÇ_RAPORU_BURAK_YENI1309[[#This Row],[SATINALMA]]*DST_123_ÜRETİM_İHTİYAÇ_RAPORU_BURAK_YENI1309[[#This Row],[BIRIM_FIYATLAR]])&lt;1,VALUE("0"),DST_123_ÜRETİM_İHTİYAÇ_RAPORU_BURAK_YENI1309[[#This Row],[SATINALMA]]*DST_123_ÜRETİM_İHTİYAÇ_RAPORU_BURAK_YENI1309[[#This Row],[BIRIM_FIYATLAR]])</f>
        <v>0</v>
      </c>
      <c r="N3038">
        <v>237.5</v>
      </c>
      <c r="O3038" t="s">
        <v>628</v>
      </c>
      <c r="P3038">
        <v>475</v>
      </c>
      <c r="Q3038" t="s">
        <v>180</v>
      </c>
    </row>
    <row r="3039" spans="1:17" x14ac:dyDescent="0.25">
      <c r="A3039" t="s">
        <v>1099</v>
      </c>
      <c r="B3039" t="s">
        <v>1055</v>
      </c>
      <c r="C3039" t="s">
        <v>175</v>
      </c>
      <c r="D3039" t="s">
        <v>446</v>
      </c>
      <c r="E3039" t="s">
        <v>447</v>
      </c>
      <c r="F3039">
        <v>2</v>
      </c>
      <c r="G3039" t="s">
        <v>176</v>
      </c>
      <c r="H3039">
        <v>2</v>
      </c>
      <c r="I3039">
        <v>13</v>
      </c>
      <c r="J3039" s="10">
        <v>13</v>
      </c>
      <c r="K3039" s="10">
        <f>SUMIFS(F:F,D:D,DST_123_ÜRETİM_İHTİYAÇ_RAPORU_BURAK_YENI1309[[#This Row],[ALT_KOD]])-(SUMIFS(H:H,D:D,DST_123_ÜRETİM_İHTİYAÇ_RAPORU_BURAK_YENI1309[[#This Row],[ALT_KOD]])+AVERAGEIFS(I:I,D:D,DST_123_ÜRETİM_İHTİYAÇ_RAPORU_BURAK_YENI1309[[#This Row],[ALT_KOD]])+AVERAGEIFS(L:L,D:D,DST_123_ÜRETİM_İHTİYAÇ_RAPORU_BURAK_YENI1309[[#This Row],[ALT_KOD]]))</f>
        <v>-1</v>
      </c>
      <c r="L3039">
        <v>0</v>
      </c>
      <c r="M3039">
        <f>IF((DST_123_ÜRETİM_İHTİYAÇ_RAPORU_BURAK_YENI1309[[#This Row],[SATINALMA]]*DST_123_ÜRETİM_İHTİYAÇ_RAPORU_BURAK_YENI1309[[#This Row],[BIRIM_FIYATLAR]])&lt;1,VALUE("0"),DST_123_ÜRETİM_İHTİYAÇ_RAPORU_BURAK_YENI1309[[#This Row],[SATINALMA]]*DST_123_ÜRETİM_İHTİYAÇ_RAPORU_BURAK_YENI1309[[#This Row],[BIRIM_FIYATLAR]])</f>
        <v>0</v>
      </c>
      <c r="N3039">
        <v>237.5</v>
      </c>
      <c r="O3039" t="s">
        <v>628</v>
      </c>
      <c r="P3039">
        <v>475</v>
      </c>
      <c r="Q3039" t="s">
        <v>180</v>
      </c>
    </row>
    <row r="3040" spans="1:17" x14ac:dyDescent="0.25">
      <c r="A3040" t="s">
        <v>1196</v>
      </c>
      <c r="B3040" t="s">
        <v>1197</v>
      </c>
      <c r="C3040" t="s">
        <v>175</v>
      </c>
      <c r="D3040" t="s">
        <v>210</v>
      </c>
      <c r="E3040" t="s">
        <v>211</v>
      </c>
      <c r="F3040">
        <v>1</v>
      </c>
      <c r="G3040" t="s">
        <v>176</v>
      </c>
      <c r="H3040">
        <v>0</v>
      </c>
      <c r="I3040">
        <v>21</v>
      </c>
      <c r="J3040" s="10">
        <v>10</v>
      </c>
      <c r="K3040" s="10">
        <f>SUMIFS(F:F,D:D,DST_123_ÜRETİM_İHTİYAÇ_RAPORU_BURAK_YENI1309[[#This Row],[ALT_KOD]])-(SUMIFS(H:H,D:D,DST_123_ÜRETİM_İHTİYAÇ_RAPORU_BURAK_YENI1309[[#This Row],[ALT_KOD]])+AVERAGEIFS(I:I,D:D,DST_123_ÜRETİM_İHTİYAÇ_RAPORU_BURAK_YENI1309[[#This Row],[ALT_KOD]])+AVERAGEIFS(L:L,D:D,DST_123_ÜRETİM_İHTİYAÇ_RAPORU_BURAK_YENI1309[[#This Row],[ALT_KOD]]))</f>
        <v>-50</v>
      </c>
      <c r="L3040">
        <v>40</v>
      </c>
      <c r="M3040">
        <f>IF((DST_123_ÜRETİM_İHTİYAÇ_RAPORU_BURAK_YENI1309[[#This Row],[SATINALMA]]*DST_123_ÜRETİM_İHTİYAÇ_RAPORU_BURAK_YENI1309[[#This Row],[BIRIM_FIYATLAR]])&lt;1,VALUE("0"),DST_123_ÜRETİM_İHTİYAÇ_RAPORU_BURAK_YENI1309[[#This Row],[SATINALMA]]*DST_123_ÜRETİM_İHTİYAÇ_RAPORU_BURAK_YENI1309[[#This Row],[BIRIM_FIYATLAR]])</f>
        <v>0</v>
      </c>
      <c r="N3040">
        <v>312</v>
      </c>
      <c r="O3040" t="s">
        <v>217</v>
      </c>
      <c r="P3040">
        <v>312</v>
      </c>
      <c r="Q3040" t="s">
        <v>177</v>
      </c>
    </row>
    <row r="3041" spans="1:17" x14ac:dyDescent="0.25">
      <c r="A3041" t="s">
        <v>1146</v>
      </c>
      <c r="B3041" t="s">
        <v>1145</v>
      </c>
      <c r="C3041" t="s">
        <v>175</v>
      </c>
      <c r="D3041" t="s">
        <v>218</v>
      </c>
      <c r="E3041" t="s">
        <v>219</v>
      </c>
      <c r="F3041">
        <v>2</v>
      </c>
      <c r="G3041" t="s">
        <v>176</v>
      </c>
      <c r="H3041">
        <v>0</v>
      </c>
      <c r="I3041">
        <v>288</v>
      </c>
      <c r="J3041" s="10">
        <v>94</v>
      </c>
      <c r="K3041" s="10">
        <f>SUMIFS(F:F,D:D,DST_123_ÜRETİM_İHTİYAÇ_RAPORU_BURAK_YENI1309[[#This Row],[ALT_KOD]])-(SUMIFS(H:H,D:D,DST_123_ÜRETİM_İHTİYAÇ_RAPORU_BURAK_YENI1309[[#This Row],[ALT_KOD]])+AVERAGEIFS(I:I,D:D,DST_123_ÜRETİM_İHTİYAÇ_RAPORU_BURAK_YENI1309[[#This Row],[ALT_KOD]])+AVERAGEIFS(L:L,D:D,DST_123_ÜRETİM_İHTİYAÇ_RAPORU_BURAK_YENI1309[[#This Row],[ALT_KOD]]))</f>
        <v>-260</v>
      </c>
      <c r="L3041">
        <v>0</v>
      </c>
      <c r="M3041">
        <f>IF((DST_123_ÜRETİM_İHTİYAÇ_RAPORU_BURAK_YENI1309[[#This Row],[SATINALMA]]*DST_123_ÜRETİM_İHTİYAÇ_RAPORU_BURAK_YENI1309[[#This Row],[BIRIM_FIYATLAR]])&lt;1,VALUE("0"),DST_123_ÜRETİM_İHTİYAÇ_RAPORU_BURAK_YENI1309[[#This Row],[SATINALMA]]*DST_123_ÜRETİM_İHTİYAÇ_RAPORU_BURAK_YENI1309[[#This Row],[BIRIM_FIYATLAR]])</f>
        <v>0</v>
      </c>
      <c r="N3041">
        <v>4</v>
      </c>
      <c r="O3041" t="s">
        <v>220</v>
      </c>
      <c r="P3041">
        <v>8</v>
      </c>
      <c r="Q3041" t="s">
        <v>221</v>
      </c>
    </row>
    <row r="3042" spans="1:17" x14ac:dyDescent="0.25">
      <c r="A3042" t="s">
        <v>1144</v>
      </c>
      <c r="B3042" t="s">
        <v>1145</v>
      </c>
      <c r="C3042" t="s">
        <v>175</v>
      </c>
      <c r="D3042" t="s">
        <v>218</v>
      </c>
      <c r="E3042" t="s">
        <v>219</v>
      </c>
      <c r="F3042">
        <v>2</v>
      </c>
      <c r="G3042" t="s">
        <v>176</v>
      </c>
      <c r="H3042">
        <v>0</v>
      </c>
      <c r="I3042">
        <v>288</v>
      </c>
      <c r="J3042" s="10">
        <v>94</v>
      </c>
      <c r="K3042" s="10">
        <f>SUMIFS(F:F,D:D,DST_123_ÜRETİM_İHTİYAÇ_RAPORU_BURAK_YENI1309[[#This Row],[ALT_KOD]])-(SUMIFS(H:H,D:D,DST_123_ÜRETİM_İHTİYAÇ_RAPORU_BURAK_YENI1309[[#This Row],[ALT_KOD]])+AVERAGEIFS(I:I,D:D,DST_123_ÜRETİM_İHTİYAÇ_RAPORU_BURAK_YENI1309[[#This Row],[ALT_KOD]])+AVERAGEIFS(L:L,D:D,DST_123_ÜRETİM_İHTİYAÇ_RAPORU_BURAK_YENI1309[[#This Row],[ALT_KOD]]))</f>
        <v>-260</v>
      </c>
      <c r="L3042">
        <v>0</v>
      </c>
      <c r="M3042">
        <f>IF((DST_123_ÜRETİM_İHTİYAÇ_RAPORU_BURAK_YENI1309[[#This Row],[SATINALMA]]*DST_123_ÜRETİM_İHTİYAÇ_RAPORU_BURAK_YENI1309[[#This Row],[BIRIM_FIYATLAR]])&lt;1,VALUE("0"),DST_123_ÜRETİM_İHTİYAÇ_RAPORU_BURAK_YENI1309[[#This Row],[SATINALMA]]*DST_123_ÜRETİM_İHTİYAÇ_RAPORU_BURAK_YENI1309[[#This Row],[BIRIM_FIYATLAR]])</f>
        <v>0</v>
      </c>
      <c r="N3042">
        <v>4</v>
      </c>
      <c r="O3042" t="s">
        <v>220</v>
      </c>
      <c r="P3042">
        <v>8</v>
      </c>
      <c r="Q3042" t="s">
        <v>221</v>
      </c>
    </row>
    <row r="3043" spans="1:17" x14ac:dyDescent="0.25">
      <c r="A3043" t="s">
        <v>1095</v>
      </c>
      <c r="B3043" t="s">
        <v>1096</v>
      </c>
      <c r="C3043" t="s">
        <v>175</v>
      </c>
      <c r="D3043" t="s">
        <v>218</v>
      </c>
      <c r="E3043" t="s">
        <v>219</v>
      </c>
      <c r="F3043">
        <v>2</v>
      </c>
      <c r="G3043" t="s">
        <v>176</v>
      </c>
      <c r="H3043">
        <v>0</v>
      </c>
      <c r="I3043">
        <v>288</v>
      </c>
      <c r="J3043" s="10">
        <v>94</v>
      </c>
      <c r="K3043" s="10">
        <f>SUMIFS(F:F,D:D,DST_123_ÜRETİM_İHTİYAÇ_RAPORU_BURAK_YENI1309[[#This Row],[ALT_KOD]])-(SUMIFS(H:H,D:D,DST_123_ÜRETİM_İHTİYAÇ_RAPORU_BURAK_YENI1309[[#This Row],[ALT_KOD]])+AVERAGEIFS(I:I,D:D,DST_123_ÜRETİM_İHTİYAÇ_RAPORU_BURAK_YENI1309[[#This Row],[ALT_KOD]])+AVERAGEIFS(L:L,D:D,DST_123_ÜRETİM_İHTİYAÇ_RAPORU_BURAK_YENI1309[[#This Row],[ALT_KOD]]))</f>
        <v>-260</v>
      </c>
      <c r="L3043">
        <v>0</v>
      </c>
      <c r="M3043">
        <f>IF((DST_123_ÜRETİM_İHTİYAÇ_RAPORU_BURAK_YENI1309[[#This Row],[SATINALMA]]*DST_123_ÜRETİM_İHTİYAÇ_RAPORU_BURAK_YENI1309[[#This Row],[BIRIM_FIYATLAR]])&lt;1,VALUE("0"),DST_123_ÜRETİM_İHTİYAÇ_RAPORU_BURAK_YENI1309[[#This Row],[SATINALMA]]*DST_123_ÜRETİM_İHTİYAÇ_RAPORU_BURAK_YENI1309[[#This Row],[BIRIM_FIYATLAR]])</f>
        <v>0</v>
      </c>
      <c r="N3043">
        <v>4</v>
      </c>
      <c r="O3043" t="s">
        <v>220</v>
      </c>
      <c r="P3043">
        <v>8</v>
      </c>
      <c r="Q3043" t="s">
        <v>221</v>
      </c>
    </row>
    <row r="3044" spans="1:17" x14ac:dyDescent="0.25">
      <c r="A3044" t="s">
        <v>1143</v>
      </c>
      <c r="B3044" t="s">
        <v>1056</v>
      </c>
      <c r="C3044" t="s">
        <v>175</v>
      </c>
      <c r="D3044" t="s">
        <v>218</v>
      </c>
      <c r="E3044" t="s">
        <v>219</v>
      </c>
      <c r="F3044">
        <v>2</v>
      </c>
      <c r="G3044" t="s">
        <v>176</v>
      </c>
      <c r="H3044">
        <v>0</v>
      </c>
      <c r="I3044">
        <v>288</v>
      </c>
      <c r="J3044" s="10">
        <v>94</v>
      </c>
      <c r="K3044" s="10">
        <f>SUMIFS(F:F,D:D,DST_123_ÜRETİM_İHTİYAÇ_RAPORU_BURAK_YENI1309[[#This Row],[ALT_KOD]])-(SUMIFS(H:H,D:D,DST_123_ÜRETİM_İHTİYAÇ_RAPORU_BURAK_YENI1309[[#This Row],[ALT_KOD]])+AVERAGEIFS(I:I,D:D,DST_123_ÜRETİM_İHTİYAÇ_RAPORU_BURAK_YENI1309[[#This Row],[ALT_KOD]])+AVERAGEIFS(L:L,D:D,DST_123_ÜRETİM_İHTİYAÇ_RAPORU_BURAK_YENI1309[[#This Row],[ALT_KOD]]))</f>
        <v>-260</v>
      </c>
      <c r="L3044">
        <v>0</v>
      </c>
      <c r="M3044">
        <f>IF((DST_123_ÜRETİM_İHTİYAÇ_RAPORU_BURAK_YENI1309[[#This Row],[SATINALMA]]*DST_123_ÜRETİM_İHTİYAÇ_RAPORU_BURAK_YENI1309[[#This Row],[BIRIM_FIYATLAR]])&lt;1,VALUE("0"),DST_123_ÜRETİM_İHTİYAÇ_RAPORU_BURAK_YENI1309[[#This Row],[SATINALMA]]*DST_123_ÜRETİM_İHTİYAÇ_RAPORU_BURAK_YENI1309[[#This Row],[BIRIM_FIYATLAR]])</f>
        <v>0</v>
      </c>
      <c r="N3044">
        <v>4</v>
      </c>
      <c r="O3044" t="s">
        <v>220</v>
      </c>
      <c r="P3044">
        <v>8</v>
      </c>
      <c r="Q3044" t="s">
        <v>221</v>
      </c>
    </row>
    <row r="3045" spans="1:17" x14ac:dyDescent="0.25">
      <c r="A3045" t="s">
        <v>1095</v>
      </c>
      <c r="B3045" t="s">
        <v>1096</v>
      </c>
      <c r="C3045" t="s">
        <v>175</v>
      </c>
      <c r="D3045" t="s">
        <v>493</v>
      </c>
      <c r="E3045" t="s">
        <v>494</v>
      </c>
      <c r="F3045">
        <v>22</v>
      </c>
      <c r="G3045" t="s">
        <v>495</v>
      </c>
      <c r="H3045">
        <v>0</v>
      </c>
      <c r="I3045">
        <v>200</v>
      </c>
      <c r="J3045" s="10">
        <v>86</v>
      </c>
      <c r="K3045" s="10">
        <f>SUMIFS(F:F,D:D,DST_123_ÜRETİM_İHTİYAÇ_RAPORU_BURAK_YENI1309[[#This Row],[ALT_KOD]])-(SUMIFS(H:H,D:D,DST_123_ÜRETİM_İHTİYAÇ_RAPORU_BURAK_YENI1309[[#This Row],[ALT_KOD]])+AVERAGEIFS(I:I,D:D,DST_123_ÜRETİM_İHTİYAÇ_RAPORU_BURAK_YENI1309[[#This Row],[ALT_KOD]])+AVERAGEIFS(L:L,D:D,DST_123_ÜRETİM_İHTİYAÇ_RAPORU_BURAK_YENI1309[[#This Row],[ALT_KOD]]))</f>
        <v>220</v>
      </c>
      <c r="L3045">
        <v>0</v>
      </c>
      <c r="M3045">
        <f>IF((DST_123_ÜRETİM_İHTİYAÇ_RAPORU_BURAK_YENI1309[[#This Row],[SATINALMA]]*DST_123_ÜRETİM_İHTİYAÇ_RAPORU_BURAK_YENI1309[[#This Row],[BIRIM_FIYATLAR]])&lt;1,VALUE("0"),DST_123_ÜRETİM_İHTİYAÇ_RAPORU_BURAK_YENI1309[[#This Row],[SATINALMA]]*DST_123_ÜRETİM_İHTİYAÇ_RAPORU_BURAK_YENI1309[[#This Row],[BIRIM_FIYATLAR]])</f>
        <v>23100</v>
      </c>
      <c r="N3045">
        <v>105</v>
      </c>
      <c r="O3045" t="s">
        <v>296</v>
      </c>
      <c r="P3045">
        <v>2310</v>
      </c>
      <c r="Q3045" t="s">
        <v>184</v>
      </c>
    </row>
    <row r="3046" spans="1:17" x14ac:dyDescent="0.25">
      <c r="A3046" t="s">
        <v>1059</v>
      </c>
      <c r="B3046" t="s">
        <v>1058</v>
      </c>
      <c r="C3046" t="s">
        <v>175</v>
      </c>
      <c r="D3046" t="s">
        <v>701</v>
      </c>
      <c r="E3046" t="s">
        <v>702</v>
      </c>
      <c r="F3046">
        <v>4</v>
      </c>
      <c r="G3046" t="s">
        <v>176</v>
      </c>
      <c r="H3046">
        <v>0</v>
      </c>
      <c r="I3046">
        <v>100</v>
      </c>
      <c r="J3046" s="10">
        <v>52</v>
      </c>
      <c r="K3046" s="10">
        <f>SUMIFS(F:F,D:D,DST_123_ÜRETİM_İHTİYAÇ_RAPORU_BURAK_YENI1309[[#This Row],[ALT_KOD]])-(SUMIFS(H:H,D:D,DST_123_ÜRETİM_İHTİYAÇ_RAPORU_BURAK_YENI1309[[#This Row],[ALT_KOD]])+AVERAGEIFS(I:I,D:D,DST_123_ÜRETİM_İHTİYAÇ_RAPORU_BURAK_YENI1309[[#This Row],[ALT_KOD]])+AVERAGEIFS(L:L,D:D,DST_123_ÜRETİM_İHTİYAÇ_RAPORU_BURAK_YENI1309[[#This Row],[ALT_KOD]]))</f>
        <v>-52</v>
      </c>
      <c r="L3046">
        <v>0</v>
      </c>
      <c r="M3046">
        <f>IF((DST_123_ÜRETİM_İHTİYAÇ_RAPORU_BURAK_YENI1309[[#This Row],[SATINALMA]]*DST_123_ÜRETİM_İHTİYAÇ_RAPORU_BURAK_YENI1309[[#This Row],[BIRIM_FIYATLAR]])&lt;1,VALUE("0"),DST_123_ÜRETİM_İHTİYAÇ_RAPORU_BURAK_YENI1309[[#This Row],[SATINALMA]]*DST_123_ÜRETİM_İHTİYAÇ_RAPORU_BURAK_YENI1309[[#This Row],[BIRIM_FIYATLAR]])</f>
        <v>0</v>
      </c>
      <c r="N3046">
        <v>1.1299999999999999</v>
      </c>
      <c r="O3046" t="s">
        <v>826</v>
      </c>
      <c r="P3046">
        <v>4.5199999999999996</v>
      </c>
      <c r="Q3046" t="s">
        <v>221</v>
      </c>
    </row>
    <row r="3047" spans="1:17" x14ac:dyDescent="0.25">
      <c r="A3047" t="s">
        <v>1143</v>
      </c>
      <c r="B3047" t="s">
        <v>1056</v>
      </c>
      <c r="C3047" t="s">
        <v>175</v>
      </c>
      <c r="D3047" t="s">
        <v>701</v>
      </c>
      <c r="E3047" t="s">
        <v>702</v>
      </c>
      <c r="F3047">
        <v>4</v>
      </c>
      <c r="G3047" t="s">
        <v>176</v>
      </c>
      <c r="H3047">
        <v>0</v>
      </c>
      <c r="I3047">
        <v>100</v>
      </c>
      <c r="J3047" s="10">
        <v>52</v>
      </c>
      <c r="K3047" s="10">
        <f>SUMIFS(F:F,D:D,DST_123_ÜRETİM_İHTİYAÇ_RAPORU_BURAK_YENI1309[[#This Row],[ALT_KOD]])-(SUMIFS(H:H,D:D,DST_123_ÜRETİM_İHTİYAÇ_RAPORU_BURAK_YENI1309[[#This Row],[ALT_KOD]])+AVERAGEIFS(I:I,D:D,DST_123_ÜRETİM_İHTİYAÇ_RAPORU_BURAK_YENI1309[[#This Row],[ALT_KOD]])+AVERAGEIFS(L:L,D:D,DST_123_ÜRETİM_İHTİYAÇ_RAPORU_BURAK_YENI1309[[#This Row],[ALT_KOD]]))</f>
        <v>-52</v>
      </c>
      <c r="L3047">
        <v>0</v>
      </c>
      <c r="M3047">
        <f>IF((DST_123_ÜRETİM_İHTİYAÇ_RAPORU_BURAK_YENI1309[[#This Row],[SATINALMA]]*DST_123_ÜRETİM_İHTİYAÇ_RAPORU_BURAK_YENI1309[[#This Row],[BIRIM_FIYATLAR]])&lt;1,VALUE("0"),DST_123_ÜRETİM_İHTİYAÇ_RAPORU_BURAK_YENI1309[[#This Row],[SATINALMA]]*DST_123_ÜRETİM_İHTİYAÇ_RAPORU_BURAK_YENI1309[[#This Row],[BIRIM_FIYATLAR]])</f>
        <v>0</v>
      </c>
      <c r="N3047">
        <v>1.1299999999999999</v>
      </c>
      <c r="O3047" t="s">
        <v>826</v>
      </c>
      <c r="P3047">
        <v>4.5199999999999996</v>
      </c>
      <c r="Q3047" t="s">
        <v>221</v>
      </c>
    </row>
    <row r="3048" spans="1:17" x14ac:dyDescent="0.25">
      <c r="A3048" t="s">
        <v>1098</v>
      </c>
      <c r="B3048" t="s">
        <v>1096</v>
      </c>
      <c r="C3048" t="s">
        <v>175</v>
      </c>
      <c r="D3048" t="s">
        <v>218</v>
      </c>
      <c r="E3048" t="s">
        <v>219</v>
      </c>
      <c r="F3048">
        <v>2</v>
      </c>
      <c r="G3048" t="s">
        <v>176</v>
      </c>
      <c r="H3048">
        <v>0</v>
      </c>
      <c r="I3048">
        <v>288</v>
      </c>
      <c r="J3048" s="10">
        <v>94</v>
      </c>
      <c r="K3048" s="10">
        <f>SUMIFS(F:F,D:D,DST_123_ÜRETİM_İHTİYAÇ_RAPORU_BURAK_YENI1309[[#This Row],[ALT_KOD]])-(SUMIFS(H:H,D:D,DST_123_ÜRETİM_İHTİYAÇ_RAPORU_BURAK_YENI1309[[#This Row],[ALT_KOD]])+AVERAGEIFS(I:I,D:D,DST_123_ÜRETİM_İHTİYAÇ_RAPORU_BURAK_YENI1309[[#This Row],[ALT_KOD]])+AVERAGEIFS(L:L,D:D,DST_123_ÜRETİM_İHTİYAÇ_RAPORU_BURAK_YENI1309[[#This Row],[ALT_KOD]]))</f>
        <v>-260</v>
      </c>
      <c r="L3048">
        <v>0</v>
      </c>
      <c r="M3048">
        <f>IF((DST_123_ÜRETİM_İHTİYAÇ_RAPORU_BURAK_YENI1309[[#This Row],[SATINALMA]]*DST_123_ÜRETİM_İHTİYAÇ_RAPORU_BURAK_YENI1309[[#This Row],[BIRIM_FIYATLAR]])&lt;1,VALUE("0"),DST_123_ÜRETİM_İHTİYAÇ_RAPORU_BURAK_YENI1309[[#This Row],[SATINALMA]]*DST_123_ÜRETİM_İHTİYAÇ_RAPORU_BURAK_YENI1309[[#This Row],[BIRIM_FIYATLAR]])</f>
        <v>0</v>
      </c>
      <c r="N3048">
        <v>4</v>
      </c>
      <c r="O3048" t="s">
        <v>220</v>
      </c>
      <c r="P3048">
        <v>8</v>
      </c>
      <c r="Q3048" t="s">
        <v>221</v>
      </c>
    </row>
    <row r="3049" spans="1:17" x14ac:dyDescent="0.25">
      <c r="A3049" t="s">
        <v>1196</v>
      </c>
      <c r="B3049" t="s">
        <v>1197</v>
      </c>
      <c r="C3049" t="s">
        <v>175</v>
      </c>
      <c r="D3049" t="s">
        <v>493</v>
      </c>
      <c r="E3049" t="s">
        <v>494</v>
      </c>
      <c r="F3049">
        <v>27</v>
      </c>
      <c r="G3049" t="s">
        <v>495</v>
      </c>
      <c r="H3049">
        <v>0</v>
      </c>
      <c r="I3049">
        <v>200</v>
      </c>
      <c r="J3049" s="10">
        <v>86</v>
      </c>
      <c r="K3049" s="10">
        <f>SUMIFS(F:F,D:D,DST_123_ÜRETİM_İHTİYAÇ_RAPORU_BURAK_YENI1309[[#This Row],[ALT_KOD]])-(SUMIFS(H:H,D:D,DST_123_ÜRETİM_İHTİYAÇ_RAPORU_BURAK_YENI1309[[#This Row],[ALT_KOD]])+AVERAGEIFS(I:I,D:D,DST_123_ÜRETİM_İHTİYAÇ_RAPORU_BURAK_YENI1309[[#This Row],[ALT_KOD]])+AVERAGEIFS(L:L,D:D,DST_123_ÜRETİM_İHTİYAÇ_RAPORU_BURAK_YENI1309[[#This Row],[ALT_KOD]]))</f>
        <v>220</v>
      </c>
      <c r="L3049">
        <v>0</v>
      </c>
      <c r="M3049">
        <f>IF((DST_123_ÜRETİM_İHTİYAÇ_RAPORU_BURAK_YENI1309[[#This Row],[SATINALMA]]*DST_123_ÜRETİM_İHTİYAÇ_RAPORU_BURAK_YENI1309[[#This Row],[BIRIM_FIYATLAR]])&lt;1,VALUE("0"),DST_123_ÜRETİM_İHTİYAÇ_RAPORU_BURAK_YENI1309[[#This Row],[SATINALMA]]*DST_123_ÜRETİM_İHTİYAÇ_RAPORU_BURAK_YENI1309[[#This Row],[BIRIM_FIYATLAR]])</f>
        <v>23100</v>
      </c>
      <c r="N3049">
        <v>105</v>
      </c>
      <c r="O3049" t="s">
        <v>296</v>
      </c>
      <c r="P3049">
        <v>2835</v>
      </c>
      <c r="Q3049" t="s">
        <v>184</v>
      </c>
    </row>
    <row r="3050" spans="1:17" x14ac:dyDescent="0.25">
      <c r="A3050" t="s">
        <v>1099</v>
      </c>
      <c r="B3050" t="s">
        <v>1055</v>
      </c>
      <c r="C3050" t="s">
        <v>175</v>
      </c>
      <c r="D3050" t="s">
        <v>493</v>
      </c>
      <c r="E3050" t="s">
        <v>494</v>
      </c>
      <c r="F3050">
        <v>22</v>
      </c>
      <c r="G3050" t="s">
        <v>495</v>
      </c>
      <c r="H3050">
        <v>0</v>
      </c>
      <c r="I3050">
        <v>200</v>
      </c>
      <c r="J3050" s="10">
        <v>86</v>
      </c>
      <c r="K3050" s="10">
        <f>SUMIFS(F:F,D:D,DST_123_ÜRETİM_İHTİYAÇ_RAPORU_BURAK_YENI1309[[#This Row],[ALT_KOD]])-(SUMIFS(H:H,D:D,DST_123_ÜRETİM_İHTİYAÇ_RAPORU_BURAK_YENI1309[[#This Row],[ALT_KOD]])+AVERAGEIFS(I:I,D:D,DST_123_ÜRETİM_İHTİYAÇ_RAPORU_BURAK_YENI1309[[#This Row],[ALT_KOD]])+AVERAGEIFS(L:L,D:D,DST_123_ÜRETİM_İHTİYAÇ_RAPORU_BURAK_YENI1309[[#This Row],[ALT_KOD]]))</f>
        <v>220</v>
      </c>
      <c r="L3050">
        <v>0</v>
      </c>
      <c r="M3050">
        <f>IF((DST_123_ÜRETİM_İHTİYAÇ_RAPORU_BURAK_YENI1309[[#This Row],[SATINALMA]]*DST_123_ÜRETİM_İHTİYAÇ_RAPORU_BURAK_YENI1309[[#This Row],[BIRIM_FIYATLAR]])&lt;1,VALUE("0"),DST_123_ÜRETİM_İHTİYAÇ_RAPORU_BURAK_YENI1309[[#This Row],[SATINALMA]]*DST_123_ÜRETİM_İHTİYAÇ_RAPORU_BURAK_YENI1309[[#This Row],[BIRIM_FIYATLAR]])</f>
        <v>23100</v>
      </c>
      <c r="N3050">
        <v>105</v>
      </c>
      <c r="O3050" t="s">
        <v>296</v>
      </c>
      <c r="P3050">
        <v>2310</v>
      </c>
      <c r="Q3050" t="s">
        <v>184</v>
      </c>
    </row>
    <row r="3051" spans="1:17" x14ac:dyDescent="0.25">
      <c r="A3051" t="s">
        <v>1142</v>
      </c>
      <c r="B3051" t="s">
        <v>1056</v>
      </c>
      <c r="C3051" t="s">
        <v>175</v>
      </c>
      <c r="D3051" t="s">
        <v>439</v>
      </c>
      <c r="E3051" t="s">
        <v>440</v>
      </c>
      <c r="F3051">
        <v>1</v>
      </c>
      <c r="G3051" t="s">
        <v>176</v>
      </c>
      <c r="H3051">
        <v>0</v>
      </c>
      <c r="I3051">
        <v>28</v>
      </c>
      <c r="J3051" s="10">
        <v>5</v>
      </c>
      <c r="K3051" s="10">
        <f>SUMIFS(F:F,D:D,DST_123_ÜRETİM_İHTİYAÇ_RAPORU_BURAK_YENI1309[[#This Row],[ALT_KOD]])-(SUMIFS(H:H,D:D,DST_123_ÜRETİM_İHTİYAÇ_RAPORU_BURAK_YENI1309[[#This Row],[ALT_KOD]])+AVERAGEIFS(I:I,D:D,DST_123_ÜRETİM_İHTİYAÇ_RAPORU_BURAK_YENI1309[[#This Row],[ALT_KOD]])+AVERAGEIFS(L:L,D:D,DST_123_ÜRETİM_İHTİYAÇ_RAPORU_BURAK_YENI1309[[#This Row],[ALT_KOD]]))</f>
        <v>-16</v>
      </c>
      <c r="L3051">
        <v>0</v>
      </c>
      <c r="M3051">
        <f>IF((DST_123_ÜRETİM_İHTİYAÇ_RAPORU_BURAK_YENI1309[[#This Row],[SATINALMA]]*DST_123_ÜRETİM_İHTİYAÇ_RAPORU_BURAK_YENI1309[[#This Row],[BIRIM_FIYATLAR]])&lt;1,VALUE("0"),DST_123_ÜRETİM_İHTİYAÇ_RAPORU_BURAK_YENI1309[[#This Row],[SATINALMA]]*DST_123_ÜRETİM_İHTİYAÇ_RAPORU_BURAK_YENI1309[[#This Row],[BIRIM_FIYATLAR]])</f>
        <v>0</v>
      </c>
      <c r="N3051">
        <v>373.06</v>
      </c>
      <c r="O3051" t="s">
        <v>636</v>
      </c>
      <c r="P3051">
        <v>373.06</v>
      </c>
      <c r="Q3051" t="s">
        <v>178</v>
      </c>
    </row>
    <row r="3052" spans="1:17" x14ac:dyDescent="0.25">
      <c r="A3052" t="s">
        <v>1095</v>
      </c>
      <c r="B3052" t="s">
        <v>1096</v>
      </c>
      <c r="C3052" t="s">
        <v>175</v>
      </c>
      <c r="D3052" t="s">
        <v>443</v>
      </c>
      <c r="E3052" t="s">
        <v>444</v>
      </c>
      <c r="F3052">
        <v>1</v>
      </c>
      <c r="G3052" t="s">
        <v>176</v>
      </c>
      <c r="H3052">
        <v>0</v>
      </c>
      <c r="I3052">
        <v>25</v>
      </c>
      <c r="J3052" s="10">
        <v>5</v>
      </c>
      <c r="K3052" s="10">
        <f>SUMIFS(F:F,D:D,DST_123_ÜRETİM_İHTİYAÇ_RAPORU_BURAK_YENI1309[[#This Row],[ALT_KOD]])-(SUMIFS(H:H,D:D,DST_123_ÜRETİM_İHTİYAÇ_RAPORU_BURAK_YENI1309[[#This Row],[ALT_KOD]])+AVERAGEIFS(I:I,D:D,DST_123_ÜRETİM_İHTİYAÇ_RAPORU_BURAK_YENI1309[[#This Row],[ALT_KOD]])+AVERAGEIFS(L:L,D:D,DST_123_ÜRETİM_İHTİYAÇ_RAPORU_BURAK_YENI1309[[#This Row],[ALT_KOD]]))</f>
        <v>-13</v>
      </c>
      <c r="L3052">
        <v>0</v>
      </c>
      <c r="M3052">
        <f>IF((DST_123_ÜRETİM_İHTİYAÇ_RAPORU_BURAK_YENI1309[[#This Row],[SATINALMA]]*DST_123_ÜRETİM_İHTİYAÇ_RAPORU_BURAK_YENI1309[[#This Row],[BIRIM_FIYATLAR]])&lt;1,VALUE("0"),DST_123_ÜRETİM_İHTİYAÇ_RAPORU_BURAK_YENI1309[[#This Row],[SATINALMA]]*DST_123_ÜRETİM_İHTİYAÇ_RAPORU_BURAK_YENI1309[[#This Row],[BIRIM_FIYATLAR]])</f>
        <v>0</v>
      </c>
      <c r="N3052">
        <v>373.06</v>
      </c>
      <c r="O3052" t="s">
        <v>636</v>
      </c>
      <c r="P3052">
        <v>373.06</v>
      </c>
      <c r="Q3052" t="s">
        <v>178</v>
      </c>
    </row>
    <row r="3053" spans="1:17" x14ac:dyDescent="0.25">
      <c r="A3053" t="s">
        <v>1059</v>
      </c>
      <c r="B3053" t="s">
        <v>1058</v>
      </c>
      <c r="C3053" t="s">
        <v>175</v>
      </c>
      <c r="D3053" t="s">
        <v>714</v>
      </c>
      <c r="E3053" t="s">
        <v>715</v>
      </c>
      <c r="F3053">
        <v>2</v>
      </c>
      <c r="G3053" t="s">
        <v>176</v>
      </c>
      <c r="H3053">
        <v>0</v>
      </c>
      <c r="I3053">
        <v>5</v>
      </c>
      <c r="J3053" s="10">
        <v>4</v>
      </c>
      <c r="K3053" s="10">
        <f>SUMIFS(F:F,D:D,DST_123_ÜRETİM_İHTİYAÇ_RAPORU_BURAK_YENI1309[[#This Row],[ALT_KOD]])-(SUMIFS(H:H,D:D,DST_123_ÜRETİM_İHTİYAÇ_RAPORU_BURAK_YENI1309[[#This Row],[ALT_KOD]])+AVERAGEIFS(I:I,D:D,DST_123_ÜRETİM_İHTİYAÇ_RAPORU_BURAK_YENI1309[[#This Row],[ALT_KOD]])+AVERAGEIFS(L:L,D:D,DST_123_ÜRETİM_İHTİYAÇ_RAPORU_BURAK_YENI1309[[#This Row],[ALT_KOD]]))</f>
        <v>1</v>
      </c>
      <c r="L3053">
        <v>0</v>
      </c>
      <c r="M3053">
        <f>IF((DST_123_ÜRETİM_İHTİYAÇ_RAPORU_BURAK_YENI1309[[#This Row],[SATINALMA]]*DST_123_ÜRETİM_İHTİYAÇ_RAPORU_BURAK_YENI1309[[#This Row],[BIRIM_FIYATLAR]])&lt;1,VALUE("0"),DST_123_ÜRETİM_İHTİYAÇ_RAPORU_BURAK_YENI1309[[#This Row],[SATINALMA]]*DST_123_ÜRETİM_İHTİYAÇ_RAPORU_BURAK_YENI1309[[#This Row],[BIRIM_FIYATLAR]])</f>
        <v>400</v>
      </c>
      <c r="N3053">
        <v>400</v>
      </c>
      <c r="O3053" t="s">
        <v>215</v>
      </c>
      <c r="P3053">
        <v>800</v>
      </c>
      <c r="Q3053" t="s">
        <v>221</v>
      </c>
    </row>
    <row r="3054" spans="1:17" x14ac:dyDescent="0.25">
      <c r="A3054" t="s">
        <v>1142</v>
      </c>
      <c r="B3054" t="s">
        <v>1056</v>
      </c>
      <c r="C3054" t="s">
        <v>175</v>
      </c>
      <c r="D3054" t="s">
        <v>642</v>
      </c>
      <c r="E3054" t="s">
        <v>643</v>
      </c>
      <c r="F3054">
        <v>4</v>
      </c>
      <c r="G3054" t="s">
        <v>176</v>
      </c>
      <c r="H3054">
        <v>0</v>
      </c>
      <c r="I3054">
        <v>19</v>
      </c>
      <c r="J3054" s="10">
        <v>19</v>
      </c>
      <c r="K3054" s="10">
        <f>SUMIFS(F:F,D:D,DST_123_ÜRETİM_İHTİYAÇ_RAPORU_BURAK_YENI1309[[#This Row],[ALT_KOD]])-(SUMIFS(H:H,D:D,DST_123_ÜRETİM_İHTİYAÇ_RAPORU_BURAK_YENI1309[[#This Row],[ALT_KOD]])+AVERAGEIFS(I:I,D:D,DST_123_ÜRETİM_İHTİYAÇ_RAPORU_BURAK_YENI1309[[#This Row],[ALT_KOD]])+AVERAGEIFS(L:L,D:D,DST_123_ÜRETİM_İHTİYAÇ_RAPORU_BURAK_YENI1309[[#This Row],[ALT_KOD]]))</f>
        <v>14</v>
      </c>
      <c r="L3054">
        <v>0</v>
      </c>
      <c r="M3054">
        <f>IF((DST_123_ÜRETİM_İHTİYAÇ_RAPORU_BURAK_YENI1309[[#This Row],[SATINALMA]]*DST_123_ÜRETİM_İHTİYAÇ_RAPORU_BURAK_YENI1309[[#This Row],[BIRIM_FIYATLAR]])&lt;1,VALUE("0"),DST_123_ÜRETİM_İHTİYAÇ_RAPORU_BURAK_YENI1309[[#This Row],[SATINALMA]]*DST_123_ÜRETİM_İHTİYAÇ_RAPORU_BURAK_YENI1309[[#This Row],[BIRIM_FIYATLAR]])</f>
        <v>44207.66</v>
      </c>
      <c r="N3054">
        <v>3157.69</v>
      </c>
      <c r="O3054" t="s">
        <v>647</v>
      </c>
      <c r="P3054">
        <v>12630.76</v>
      </c>
      <c r="Q3054" t="s">
        <v>177</v>
      </c>
    </row>
    <row r="3055" spans="1:17" x14ac:dyDescent="0.25">
      <c r="A3055" t="s">
        <v>1142</v>
      </c>
      <c r="B3055" t="s">
        <v>1056</v>
      </c>
      <c r="C3055" t="s">
        <v>175</v>
      </c>
      <c r="D3055" t="s">
        <v>1165</v>
      </c>
      <c r="E3055" t="s">
        <v>1166</v>
      </c>
      <c r="F3055">
        <v>2</v>
      </c>
      <c r="G3055" t="s">
        <v>176</v>
      </c>
      <c r="H3055">
        <v>0</v>
      </c>
      <c r="I3055">
        <v>1000</v>
      </c>
      <c r="J3055" s="10">
        <v>1000</v>
      </c>
      <c r="K3055" s="10">
        <f>SUMIFS(F:F,D:D,DST_123_ÜRETİM_İHTİYAÇ_RAPORU_BURAK_YENI1309[[#This Row],[ALT_KOD]])-(SUMIFS(H:H,D:D,DST_123_ÜRETİM_İHTİYAÇ_RAPORU_BURAK_YENI1309[[#This Row],[ALT_KOD]])+AVERAGEIFS(I:I,D:D,DST_123_ÜRETİM_İHTİYAÇ_RAPORU_BURAK_YENI1309[[#This Row],[ALT_KOD]])+AVERAGEIFS(L:L,D:D,DST_123_ÜRETİM_İHTİYAÇ_RAPORU_BURAK_YENI1309[[#This Row],[ALT_KOD]]))</f>
        <v>-986</v>
      </c>
      <c r="L3055">
        <v>0</v>
      </c>
      <c r="M3055">
        <f>IF((DST_123_ÜRETİM_İHTİYAÇ_RAPORU_BURAK_YENI1309[[#This Row],[SATINALMA]]*DST_123_ÜRETİM_İHTİYAÇ_RAPORU_BURAK_YENI1309[[#This Row],[BIRIM_FIYATLAR]])&lt;1,VALUE("0"),DST_123_ÜRETİM_İHTİYAÇ_RAPORU_BURAK_YENI1309[[#This Row],[SATINALMA]]*DST_123_ÜRETİM_İHTİYAÇ_RAPORU_BURAK_YENI1309[[#This Row],[BIRIM_FIYATLAR]])</f>
        <v>0</v>
      </c>
      <c r="N3055">
        <v>0.28000000000000003</v>
      </c>
      <c r="O3055" t="s">
        <v>826</v>
      </c>
      <c r="P3055">
        <v>0.56000000000000005</v>
      </c>
      <c r="Q3055" t="s">
        <v>221</v>
      </c>
    </row>
    <row r="3056" spans="1:17" x14ac:dyDescent="0.25">
      <c r="A3056" t="s">
        <v>1143</v>
      </c>
      <c r="B3056" t="s">
        <v>1056</v>
      </c>
      <c r="C3056" t="s">
        <v>175</v>
      </c>
      <c r="D3056" t="s">
        <v>740</v>
      </c>
      <c r="E3056" t="s">
        <v>741</v>
      </c>
      <c r="F3056">
        <v>1</v>
      </c>
      <c r="G3056" t="s">
        <v>176</v>
      </c>
      <c r="H3056">
        <v>0</v>
      </c>
      <c r="I3056">
        <v>17</v>
      </c>
      <c r="J3056" s="10">
        <v>17</v>
      </c>
      <c r="K3056" s="10">
        <f>SUMIFS(F:F,D:D,DST_123_ÜRETİM_İHTİYAÇ_RAPORU_BURAK_YENI1309[[#This Row],[ALT_KOD]])-(SUMIFS(H:H,D:D,DST_123_ÜRETİM_İHTİYAÇ_RAPORU_BURAK_YENI1309[[#This Row],[ALT_KOD]])+AVERAGEIFS(I:I,D:D,DST_123_ÜRETİM_İHTİYAÇ_RAPORU_BURAK_YENI1309[[#This Row],[ALT_KOD]])+AVERAGEIFS(L:L,D:D,DST_123_ÜRETİM_İHTİYAÇ_RAPORU_BURAK_YENI1309[[#This Row],[ALT_KOD]]))</f>
        <v>-6</v>
      </c>
      <c r="L3056">
        <v>0</v>
      </c>
      <c r="M3056">
        <f>IF((DST_123_ÜRETİM_İHTİYAÇ_RAPORU_BURAK_YENI1309[[#This Row],[SATINALMA]]*DST_123_ÜRETİM_İHTİYAÇ_RAPORU_BURAK_YENI1309[[#This Row],[BIRIM_FIYATLAR]])&lt;1,VALUE("0"),DST_123_ÜRETİM_İHTİYAÇ_RAPORU_BURAK_YENI1309[[#This Row],[SATINALMA]]*DST_123_ÜRETİM_İHTİYAÇ_RAPORU_BURAK_YENI1309[[#This Row],[BIRIM_FIYATLAR]])</f>
        <v>0</v>
      </c>
      <c r="N3056">
        <v>41.67</v>
      </c>
      <c r="O3056" t="s">
        <v>667</v>
      </c>
      <c r="P3056">
        <v>41.67</v>
      </c>
      <c r="Q3056" t="s">
        <v>177</v>
      </c>
    </row>
    <row r="3057" spans="1:17" x14ac:dyDescent="0.25">
      <c r="A3057" t="s">
        <v>1059</v>
      </c>
      <c r="B3057" t="s">
        <v>1058</v>
      </c>
      <c r="C3057" t="s">
        <v>175</v>
      </c>
      <c r="D3057" t="s">
        <v>848</v>
      </c>
      <c r="E3057" t="s">
        <v>849</v>
      </c>
      <c r="F3057">
        <v>3</v>
      </c>
      <c r="G3057" t="s">
        <v>176</v>
      </c>
      <c r="H3057">
        <v>0</v>
      </c>
      <c r="I3057">
        <v>22</v>
      </c>
      <c r="J3057" s="10">
        <v>18</v>
      </c>
      <c r="K3057" s="10">
        <f>SUMIFS(F:F,D:D,DST_123_ÜRETİM_İHTİYAÇ_RAPORU_BURAK_YENI1309[[#This Row],[ALT_KOD]])-(SUMIFS(H:H,D:D,DST_123_ÜRETİM_İHTİYAÇ_RAPORU_BURAK_YENI1309[[#This Row],[ALT_KOD]])+AVERAGEIFS(I:I,D:D,DST_123_ÜRETİM_İHTİYAÇ_RAPORU_BURAK_YENI1309[[#This Row],[ALT_KOD]])+AVERAGEIFS(L:L,D:D,DST_123_ÜRETİM_İHTİYAÇ_RAPORU_BURAK_YENI1309[[#This Row],[ALT_KOD]]))</f>
        <v>-13</v>
      </c>
      <c r="L3057">
        <v>0</v>
      </c>
      <c r="M3057">
        <f>IF((DST_123_ÜRETİM_İHTİYAÇ_RAPORU_BURAK_YENI1309[[#This Row],[SATINALMA]]*DST_123_ÜRETİM_İHTİYAÇ_RAPORU_BURAK_YENI1309[[#This Row],[BIRIM_FIYATLAR]])&lt;1,VALUE("0"),DST_123_ÜRETİM_İHTİYAÇ_RAPORU_BURAK_YENI1309[[#This Row],[SATINALMA]]*DST_123_ÜRETİM_İHTİYAÇ_RAPORU_BURAK_YENI1309[[#This Row],[BIRIM_FIYATLAR]])</f>
        <v>0</v>
      </c>
      <c r="N3057">
        <v>19.600000000000001</v>
      </c>
      <c r="O3057" t="s">
        <v>1135</v>
      </c>
      <c r="P3057">
        <v>58.800000000000004</v>
      </c>
      <c r="Q3057" t="s">
        <v>221</v>
      </c>
    </row>
    <row r="3058" spans="1:17" x14ac:dyDescent="0.25">
      <c r="A3058" t="s">
        <v>1098</v>
      </c>
      <c r="B3058" t="s">
        <v>1096</v>
      </c>
      <c r="C3058" t="s">
        <v>175</v>
      </c>
      <c r="D3058" t="s">
        <v>450</v>
      </c>
      <c r="E3058" t="s">
        <v>624</v>
      </c>
      <c r="F3058">
        <v>2</v>
      </c>
      <c r="G3058" t="s">
        <v>176</v>
      </c>
      <c r="H3058">
        <v>0</v>
      </c>
      <c r="I3058">
        <v>6</v>
      </c>
      <c r="J3058" s="10">
        <v>24</v>
      </c>
      <c r="K3058" s="10">
        <f>SUMIFS(F:F,D:D,DST_123_ÜRETİM_İHTİYAÇ_RAPORU_BURAK_YENI1309[[#This Row],[ALT_KOD]])-(SUMIFS(H:H,D:D,DST_123_ÜRETİM_İHTİYAÇ_RAPORU_BURAK_YENI1309[[#This Row],[ALT_KOD]])+AVERAGEIFS(I:I,D:D,DST_123_ÜRETİM_İHTİYAÇ_RAPORU_BURAK_YENI1309[[#This Row],[ALT_KOD]])+AVERAGEIFS(L:L,D:D,DST_123_ÜRETİM_İHTİYAÇ_RAPORU_BURAK_YENI1309[[#This Row],[ALT_KOD]]))</f>
        <v>10</v>
      </c>
      <c r="L3058">
        <v>0</v>
      </c>
      <c r="M3058">
        <f>IF((DST_123_ÜRETİM_İHTİYAÇ_RAPORU_BURAK_YENI1309[[#This Row],[SATINALMA]]*DST_123_ÜRETİM_İHTİYAÇ_RAPORU_BURAK_YENI1309[[#This Row],[BIRIM_FIYATLAR]])&lt;1,VALUE("0"),DST_123_ÜRETİM_İHTİYAÇ_RAPORU_BURAK_YENI1309[[#This Row],[SATINALMA]]*DST_123_ÜRETİM_İHTİYAÇ_RAPORU_BURAK_YENI1309[[#This Row],[BIRIM_FIYATLAR]])</f>
        <v>149462.5</v>
      </c>
      <c r="N3058">
        <v>14946.25</v>
      </c>
      <c r="O3058" t="s">
        <v>625</v>
      </c>
      <c r="P3058">
        <v>29892.5</v>
      </c>
      <c r="Q3058" t="s">
        <v>178</v>
      </c>
    </row>
    <row r="3059" spans="1:17" x14ac:dyDescent="0.25">
      <c r="A3059" t="s">
        <v>1098</v>
      </c>
      <c r="B3059" t="s">
        <v>1096</v>
      </c>
      <c r="C3059" t="s">
        <v>175</v>
      </c>
      <c r="D3059" t="s">
        <v>439</v>
      </c>
      <c r="E3059" t="s">
        <v>440</v>
      </c>
      <c r="F3059">
        <v>1</v>
      </c>
      <c r="G3059" t="s">
        <v>176</v>
      </c>
      <c r="H3059">
        <v>0</v>
      </c>
      <c r="I3059">
        <v>28</v>
      </c>
      <c r="J3059" s="10">
        <v>5</v>
      </c>
      <c r="K3059" s="10">
        <f>SUMIFS(F:F,D:D,DST_123_ÜRETİM_İHTİYAÇ_RAPORU_BURAK_YENI1309[[#This Row],[ALT_KOD]])-(SUMIFS(H:H,D:D,DST_123_ÜRETİM_İHTİYAÇ_RAPORU_BURAK_YENI1309[[#This Row],[ALT_KOD]])+AVERAGEIFS(I:I,D:D,DST_123_ÜRETİM_İHTİYAÇ_RAPORU_BURAK_YENI1309[[#This Row],[ALT_KOD]])+AVERAGEIFS(L:L,D:D,DST_123_ÜRETİM_İHTİYAÇ_RAPORU_BURAK_YENI1309[[#This Row],[ALT_KOD]]))</f>
        <v>-16</v>
      </c>
      <c r="L3059">
        <v>0</v>
      </c>
      <c r="M3059">
        <f>IF((DST_123_ÜRETİM_İHTİYAÇ_RAPORU_BURAK_YENI1309[[#This Row],[SATINALMA]]*DST_123_ÜRETİM_İHTİYAÇ_RAPORU_BURAK_YENI1309[[#This Row],[BIRIM_FIYATLAR]])&lt;1,VALUE("0"),DST_123_ÜRETİM_İHTİYAÇ_RAPORU_BURAK_YENI1309[[#This Row],[SATINALMA]]*DST_123_ÜRETİM_İHTİYAÇ_RAPORU_BURAK_YENI1309[[#This Row],[BIRIM_FIYATLAR]])</f>
        <v>0</v>
      </c>
      <c r="N3059">
        <v>373.06</v>
      </c>
      <c r="O3059" t="s">
        <v>636</v>
      </c>
      <c r="P3059">
        <v>373.06</v>
      </c>
      <c r="Q3059" t="s">
        <v>178</v>
      </c>
    </row>
    <row r="3060" spans="1:17" x14ac:dyDescent="0.25">
      <c r="A3060" t="s">
        <v>1060</v>
      </c>
      <c r="B3060" t="s">
        <v>1061</v>
      </c>
      <c r="C3060" t="s">
        <v>175</v>
      </c>
      <c r="D3060" t="s">
        <v>630</v>
      </c>
      <c r="E3060" t="s">
        <v>631</v>
      </c>
      <c r="F3060">
        <v>278</v>
      </c>
      <c r="G3060" t="s">
        <v>176</v>
      </c>
      <c r="H3060">
        <v>0</v>
      </c>
      <c r="I3060">
        <v>8000</v>
      </c>
      <c r="J3060" s="10">
        <v>11449</v>
      </c>
      <c r="K3060" s="10">
        <f>SUMIFS(F:F,D:D,DST_123_ÜRETİM_İHTİYAÇ_RAPORU_BURAK_YENI1309[[#This Row],[ALT_KOD]])-(SUMIFS(H:H,D:D,DST_123_ÜRETİM_İHTİYAÇ_RAPORU_BURAK_YENI1309[[#This Row],[ALT_KOD]])+AVERAGEIFS(I:I,D:D,DST_123_ÜRETİM_İHTİYAÇ_RAPORU_BURAK_YENI1309[[#This Row],[ALT_KOD]])+AVERAGEIFS(L:L,D:D,DST_123_ÜRETİM_İHTİYAÇ_RAPORU_BURAK_YENI1309[[#This Row],[ALT_KOD]]))</f>
        <v>-1313</v>
      </c>
      <c r="L3060">
        <v>0</v>
      </c>
      <c r="M3060">
        <f>IF((DST_123_ÜRETİM_İHTİYAÇ_RAPORU_BURAK_YENI1309[[#This Row],[SATINALMA]]*DST_123_ÜRETİM_İHTİYAÇ_RAPORU_BURAK_YENI1309[[#This Row],[BIRIM_FIYATLAR]])&lt;1,VALUE("0"),DST_123_ÜRETİM_İHTİYAÇ_RAPORU_BURAK_YENI1309[[#This Row],[SATINALMA]]*DST_123_ÜRETİM_İHTİYAÇ_RAPORU_BURAK_YENI1309[[#This Row],[BIRIM_FIYATLAR]])</f>
        <v>0</v>
      </c>
      <c r="N3060">
        <v>0.54</v>
      </c>
      <c r="O3060" t="s">
        <v>628</v>
      </c>
      <c r="P3060">
        <v>150.12</v>
      </c>
      <c r="Q3060" t="s">
        <v>180</v>
      </c>
    </row>
    <row r="3061" spans="1:17" x14ac:dyDescent="0.25">
      <c r="A3061" t="s">
        <v>1148</v>
      </c>
      <c r="B3061" t="s">
        <v>1056</v>
      </c>
      <c r="C3061" t="s">
        <v>175</v>
      </c>
      <c r="D3061" t="s">
        <v>630</v>
      </c>
      <c r="E3061" t="s">
        <v>631</v>
      </c>
      <c r="F3061">
        <v>430</v>
      </c>
      <c r="G3061" t="s">
        <v>176</v>
      </c>
      <c r="H3061">
        <v>0</v>
      </c>
      <c r="I3061">
        <v>8000</v>
      </c>
      <c r="J3061" s="10">
        <v>11449</v>
      </c>
      <c r="K3061" s="10">
        <f>SUMIFS(F:F,D:D,DST_123_ÜRETİM_İHTİYAÇ_RAPORU_BURAK_YENI1309[[#This Row],[ALT_KOD]])-(SUMIFS(H:H,D:D,DST_123_ÜRETİM_İHTİYAÇ_RAPORU_BURAK_YENI1309[[#This Row],[ALT_KOD]])+AVERAGEIFS(I:I,D:D,DST_123_ÜRETİM_İHTİYAÇ_RAPORU_BURAK_YENI1309[[#This Row],[ALT_KOD]])+AVERAGEIFS(L:L,D:D,DST_123_ÜRETİM_İHTİYAÇ_RAPORU_BURAK_YENI1309[[#This Row],[ALT_KOD]]))</f>
        <v>-1313</v>
      </c>
      <c r="L3061">
        <v>0</v>
      </c>
      <c r="M3061">
        <f>IF((DST_123_ÜRETİM_İHTİYAÇ_RAPORU_BURAK_YENI1309[[#This Row],[SATINALMA]]*DST_123_ÜRETİM_İHTİYAÇ_RAPORU_BURAK_YENI1309[[#This Row],[BIRIM_FIYATLAR]])&lt;1,VALUE("0"),DST_123_ÜRETİM_İHTİYAÇ_RAPORU_BURAK_YENI1309[[#This Row],[SATINALMA]]*DST_123_ÜRETİM_İHTİYAÇ_RAPORU_BURAK_YENI1309[[#This Row],[BIRIM_FIYATLAR]])</f>
        <v>0</v>
      </c>
      <c r="N3061">
        <v>0.54</v>
      </c>
      <c r="O3061" t="s">
        <v>628</v>
      </c>
      <c r="P3061">
        <v>232.20000000000002</v>
      </c>
      <c r="Q3061" t="s">
        <v>180</v>
      </c>
    </row>
    <row r="3062" spans="1:17" x14ac:dyDescent="0.25">
      <c r="A3062" t="s">
        <v>1095</v>
      </c>
      <c r="B3062" t="s">
        <v>1096</v>
      </c>
      <c r="C3062" t="s">
        <v>175</v>
      </c>
      <c r="D3062" t="s">
        <v>630</v>
      </c>
      <c r="E3062" t="s">
        <v>631</v>
      </c>
      <c r="F3062">
        <v>430</v>
      </c>
      <c r="G3062" t="s">
        <v>176</v>
      </c>
      <c r="H3062">
        <v>0</v>
      </c>
      <c r="I3062">
        <v>8000</v>
      </c>
      <c r="J3062" s="10">
        <v>11449</v>
      </c>
      <c r="K3062" s="10">
        <f>SUMIFS(F:F,D:D,DST_123_ÜRETİM_İHTİYAÇ_RAPORU_BURAK_YENI1309[[#This Row],[ALT_KOD]])-(SUMIFS(H:H,D:D,DST_123_ÜRETİM_İHTİYAÇ_RAPORU_BURAK_YENI1309[[#This Row],[ALT_KOD]])+AVERAGEIFS(I:I,D:D,DST_123_ÜRETİM_İHTİYAÇ_RAPORU_BURAK_YENI1309[[#This Row],[ALT_KOD]])+AVERAGEIFS(L:L,D:D,DST_123_ÜRETİM_İHTİYAÇ_RAPORU_BURAK_YENI1309[[#This Row],[ALT_KOD]]))</f>
        <v>-1313</v>
      </c>
      <c r="L3062">
        <v>0</v>
      </c>
      <c r="M3062">
        <f>IF((DST_123_ÜRETİM_İHTİYAÇ_RAPORU_BURAK_YENI1309[[#This Row],[SATINALMA]]*DST_123_ÜRETİM_İHTİYAÇ_RAPORU_BURAK_YENI1309[[#This Row],[BIRIM_FIYATLAR]])&lt;1,VALUE("0"),DST_123_ÜRETİM_İHTİYAÇ_RAPORU_BURAK_YENI1309[[#This Row],[SATINALMA]]*DST_123_ÜRETİM_İHTİYAÇ_RAPORU_BURAK_YENI1309[[#This Row],[BIRIM_FIYATLAR]])</f>
        <v>0</v>
      </c>
      <c r="N3062">
        <v>0.54</v>
      </c>
      <c r="O3062" t="s">
        <v>628</v>
      </c>
      <c r="P3062">
        <v>232.20000000000002</v>
      </c>
      <c r="Q3062" t="s">
        <v>180</v>
      </c>
    </row>
    <row r="3063" spans="1:17" x14ac:dyDescent="0.25">
      <c r="A3063" t="s">
        <v>1142</v>
      </c>
      <c r="B3063" t="s">
        <v>1056</v>
      </c>
      <c r="C3063" t="s">
        <v>175</v>
      </c>
      <c r="D3063" t="s">
        <v>443</v>
      </c>
      <c r="E3063" t="s">
        <v>444</v>
      </c>
      <c r="F3063">
        <v>1</v>
      </c>
      <c r="G3063" t="s">
        <v>176</v>
      </c>
      <c r="H3063">
        <v>0</v>
      </c>
      <c r="I3063">
        <v>25</v>
      </c>
      <c r="J3063" s="10">
        <v>5</v>
      </c>
      <c r="K3063" s="10">
        <f>SUMIFS(F:F,D:D,DST_123_ÜRETİM_İHTİYAÇ_RAPORU_BURAK_YENI1309[[#This Row],[ALT_KOD]])-(SUMIFS(H:H,D:D,DST_123_ÜRETİM_İHTİYAÇ_RAPORU_BURAK_YENI1309[[#This Row],[ALT_KOD]])+AVERAGEIFS(I:I,D:D,DST_123_ÜRETİM_İHTİYAÇ_RAPORU_BURAK_YENI1309[[#This Row],[ALT_KOD]])+AVERAGEIFS(L:L,D:D,DST_123_ÜRETİM_İHTİYAÇ_RAPORU_BURAK_YENI1309[[#This Row],[ALT_KOD]]))</f>
        <v>-13</v>
      </c>
      <c r="L3063">
        <v>0</v>
      </c>
      <c r="M3063">
        <f>IF((DST_123_ÜRETİM_İHTİYAÇ_RAPORU_BURAK_YENI1309[[#This Row],[SATINALMA]]*DST_123_ÜRETİM_İHTİYAÇ_RAPORU_BURAK_YENI1309[[#This Row],[BIRIM_FIYATLAR]])&lt;1,VALUE("0"),DST_123_ÜRETİM_İHTİYAÇ_RAPORU_BURAK_YENI1309[[#This Row],[SATINALMA]]*DST_123_ÜRETİM_İHTİYAÇ_RAPORU_BURAK_YENI1309[[#This Row],[BIRIM_FIYATLAR]])</f>
        <v>0</v>
      </c>
      <c r="N3063">
        <v>373.06</v>
      </c>
      <c r="O3063" t="s">
        <v>636</v>
      </c>
      <c r="P3063">
        <v>373.06</v>
      </c>
      <c r="Q3063" t="s">
        <v>178</v>
      </c>
    </row>
    <row r="3064" spans="1:17" x14ac:dyDescent="0.25">
      <c r="A3064" t="s">
        <v>1095</v>
      </c>
      <c r="B3064" t="s">
        <v>1096</v>
      </c>
      <c r="C3064" t="s">
        <v>175</v>
      </c>
      <c r="D3064" t="s">
        <v>642</v>
      </c>
      <c r="E3064" t="s">
        <v>643</v>
      </c>
      <c r="F3064">
        <v>3</v>
      </c>
      <c r="G3064" t="s">
        <v>176</v>
      </c>
      <c r="H3064">
        <v>0</v>
      </c>
      <c r="I3064">
        <v>19</v>
      </c>
      <c r="J3064" s="10">
        <v>19</v>
      </c>
      <c r="K3064" s="10">
        <f>SUMIFS(F:F,D:D,DST_123_ÜRETİM_İHTİYAÇ_RAPORU_BURAK_YENI1309[[#This Row],[ALT_KOD]])-(SUMIFS(H:H,D:D,DST_123_ÜRETİM_İHTİYAÇ_RAPORU_BURAK_YENI1309[[#This Row],[ALT_KOD]])+AVERAGEIFS(I:I,D:D,DST_123_ÜRETİM_İHTİYAÇ_RAPORU_BURAK_YENI1309[[#This Row],[ALT_KOD]])+AVERAGEIFS(L:L,D:D,DST_123_ÜRETİM_İHTİYAÇ_RAPORU_BURAK_YENI1309[[#This Row],[ALT_KOD]]))</f>
        <v>14</v>
      </c>
      <c r="L3064">
        <v>0</v>
      </c>
      <c r="M3064">
        <f>IF((DST_123_ÜRETİM_İHTİYAÇ_RAPORU_BURAK_YENI1309[[#This Row],[SATINALMA]]*DST_123_ÜRETİM_İHTİYAÇ_RAPORU_BURAK_YENI1309[[#This Row],[BIRIM_FIYATLAR]])&lt;1,VALUE("0"),DST_123_ÜRETİM_İHTİYAÇ_RAPORU_BURAK_YENI1309[[#This Row],[SATINALMA]]*DST_123_ÜRETİM_İHTİYAÇ_RAPORU_BURAK_YENI1309[[#This Row],[BIRIM_FIYATLAR]])</f>
        <v>44207.66</v>
      </c>
      <c r="N3064">
        <v>3157.69</v>
      </c>
      <c r="O3064" t="s">
        <v>647</v>
      </c>
      <c r="P3064">
        <v>9473.07</v>
      </c>
      <c r="Q3064" t="s">
        <v>177</v>
      </c>
    </row>
    <row r="3065" spans="1:17" x14ac:dyDescent="0.25">
      <c r="A3065" t="s">
        <v>1095</v>
      </c>
      <c r="B3065" t="s">
        <v>1096</v>
      </c>
      <c r="C3065" t="s">
        <v>175</v>
      </c>
      <c r="D3065" t="s">
        <v>740</v>
      </c>
      <c r="E3065" t="s">
        <v>741</v>
      </c>
      <c r="F3065">
        <v>1</v>
      </c>
      <c r="G3065" t="s">
        <v>176</v>
      </c>
      <c r="H3065">
        <v>0</v>
      </c>
      <c r="I3065">
        <v>17</v>
      </c>
      <c r="J3065" s="10">
        <v>17</v>
      </c>
      <c r="K3065" s="10">
        <f>SUMIFS(F:F,D:D,DST_123_ÜRETİM_İHTİYAÇ_RAPORU_BURAK_YENI1309[[#This Row],[ALT_KOD]])-(SUMIFS(H:H,D:D,DST_123_ÜRETİM_İHTİYAÇ_RAPORU_BURAK_YENI1309[[#This Row],[ALT_KOD]])+AVERAGEIFS(I:I,D:D,DST_123_ÜRETİM_İHTİYAÇ_RAPORU_BURAK_YENI1309[[#This Row],[ALT_KOD]])+AVERAGEIFS(L:L,D:D,DST_123_ÜRETİM_İHTİYAÇ_RAPORU_BURAK_YENI1309[[#This Row],[ALT_KOD]]))</f>
        <v>-6</v>
      </c>
      <c r="L3065">
        <v>0</v>
      </c>
      <c r="M3065">
        <f>IF((DST_123_ÜRETİM_İHTİYAÇ_RAPORU_BURAK_YENI1309[[#This Row],[SATINALMA]]*DST_123_ÜRETİM_İHTİYAÇ_RAPORU_BURAK_YENI1309[[#This Row],[BIRIM_FIYATLAR]])&lt;1,VALUE("0"),DST_123_ÜRETİM_İHTİYAÇ_RAPORU_BURAK_YENI1309[[#This Row],[SATINALMA]]*DST_123_ÜRETİM_İHTİYAÇ_RAPORU_BURAK_YENI1309[[#This Row],[BIRIM_FIYATLAR]])</f>
        <v>0</v>
      </c>
      <c r="N3065">
        <v>41.67</v>
      </c>
      <c r="O3065" t="s">
        <v>667</v>
      </c>
      <c r="P3065">
        <v>41.67</v>
      </c>
      <c r="Q3065" t="s">
        <v>177</v>
      </c>
    </row>
    <row r="3066" spans="1:17" x14ac:dyDescent="0.25">
      <c r="A3066" t="s">
        <v>1150</v>
      </c>
      <c r="B3066" t="s">
        <v>1145</v>
      </c>
      <c r="C3066" t="s">
        <v>175</v>
      </c>
      <c r="D3066" t="s">
        <v>630</v>
      </c>
      <c r="E3066" t="s">
        <v>631</v>
      </c>
      <c r="F3066">
        <v>278</v>
      </c>
      <c r="G3066" t="s">
        <v>176</v>
      </c>
      <c r="H3066">
        <v>0</v>
      </c>
      <c r="I3066">
        <v>8000</v>
      </c>
      <c r="J3066" s="10">
        <v>11449</v>
      </c>
      <c r="K3066" s="10">
        <f>SUMIFS(F:F,D:D,DST_123_ÜRETİM_İHTİYAÇ_RAPORU_BURAK_YENI1309[[#This Row],[ALT_KOD]])-(SUMIFS(H:H,D:D,DST_123_ÜRETİM_İHTİYAÇ_RAPORU_BURAK_YENI1309[[#This Row],[ALT_KOD]])+AVERAGEIFS(I:I,D:D,DST_123_ÜRETİM_İHTİYAÇ_RAPORU_BURAK_YENI1309[[#This Row],[ALT_KOD]])+AVERAGEIFS(L:L,D:D,DST_123_ÜRETİM_İHTİYAÇ_RAPORU_BURAK_YENI1309[[#This Row],[ALT_KOD]]))</f>
        <v>-1313</v>
      </c>
      <c r="L3066">
        <v>0</v>
      </c>
      <c r="M3066">
        <f>IF((DST_123_ÜRETİM_İHTİYAÇ_RAPORU_BURAK_YENI1309[[#This Row],[SATINALMA]]*DST_123_ÜRETİM_İHTİYAÇ_RAPORU_BURAK_YENI1309[[#This Row],[BIRIM_FIYATLAR]])&lt;1,VALUE("0"),DST_123_ÜRETİM_İHTİYAÇ_RAPORU_BURAK_YENI1309[[#This Row],[SATINALMA]]*DST_123_ÜRETİM_İHTİYAÇ_RAPORU_BURAK_YENI1309[[#This Row],[BIRIM_FIYATLAR]])</f>
        <v>0</v>
      </c>
      <c r="N3066">
        <v>0.54</v>
      </c>
      <c r="O3066" t="s">
        <v>628</v>
      </c>
      <c r="P3066">
        <v>150.12</v>
      </c>
      <c r="Q3066" t="s">
        <v>180</v>
      </c>
    </row>
    <row r="3067" spans="1:17" x14ac:dyDescent="0.25">
      <c r="A3067" t="s">
        <v>1146</v>
      </c>
      <c r="B3067" t="s">
        <v>1145</v>
      </c>
      <c r="C3067" t="s">
        <v>175</v>
      </c>
      <c r="D3067" t="s">
        <v>450</v>
      </c>
      <c r="E3067" t="s">
        <v>624</v>
      </c>
      <c r="F3067">
        <v>2</v>
      </c>
      <c r="G3067" t="s">
        <v>176</v>
      </c>
      <c r="H3067">
        <v>0</v>
      </c>
      <c r="I3067">
        <v>6</v>
      </c>
      <c r="J3067" s="10">
        <v>24</v>
      </c>
      <c r="K3067" s="10">
        <f>SUMIFS(F:F,D:D,DST_123_ÜRETİM_İHTİYAÇ_RAPORU_BURAK_YENI1309[[#This Row],[ALT_KOD]])-(SUMIFS(H:H,D:D,DST_123_ÜRETİM_İHTİYAÇ_RAPORU_BURAK_YENI1309[[#This Row],[ALT_KOD]])+AVERAGEIFS(I:I,D:D,DST_123_ÜRETİM_İHTİYAÇ_RAPORU_BURAK_YENI1309[[#This Row],[ALT_KOD]])+AVERAGEIFS(L:L,D:D,DST_123_ÜRETİM_İHTİYAÇ_RAPORU_BURAK_YENI1309[[#This Row],[ALT_KOD]]))</f>
        <v>10</v>
      </c>
      <c r="L3067">
        <v>0</v>
      </c>
      <c r="M3067">
        <f>IF((DST_123_ÜRETİM_İHTİYAÇ_RAPORU_BURAK_YENI1309[[#This Row],[SATINALMA]]*DST_123_ÜRETİM_İHTİYAÇ_RAPORU_BURAK_YENI1309[[#This Row],[BIRIM_FIYATLAR]])&lt;1,VALUE("0"),DST_123_ÜRETİM_İHTİYAÇ_RAPORU_BURAK_YENI1309[[#This Row],[SATINALMA]]*DST_123_ÜRETİM_İHTİYAÇ_RAPORU_BURAK_YENI1309[[#This Row],[BIRIM_FIYATLAR]])</f>
        <v>149462.5</v>
      </c>
      <c r="N3067">
        <v>14946.25</v>
      </c>
      <c r="O3067" t="s">
        <v>625</v>
      </c>
      <c r="P3067">
        <v>29892.5</v>
      </c>
      <c r="Q3067" t="s">
        <v>178</v>
      </c>
    </row>
    <row r="3068" spans="1:17" x14ac:dyDescent="0.25">
      <c r="A3068" t="s">
        <v>1146</v>
      </c>
      <c r="B3068" t="s">
        <v>1145</v>
      </c>
      <c r="C3068" t="s">
        <v>175</v>
      </c>
      <c r="D3068" t="s">
        <v>439</v>
      </c>
      <c r="E3068" t="s">
        <v>440</v>
      </c>
      <c r="F3068">
        <v>1</v>
      </c>
      <c r="G3068" t="s">
        <v>176</v>
      </c>
      <c r="H3068">
        <v>0</v>
      </c>
      <c r="I3068">
        <v>28</v>
      </c>
      <c r="J3068" s="10">
        <v>5</v>
      </c>
      <c r="K3068" s="10">
        <f>SUMIFS(F:F,D:D,DST_123_ÜRETİM_İHTİYAÇ_RAPORU_BURAK_YENI1309[[#This Row],[ALT_KOD]])-(SUMIFS(H:H,D:D,DST_123_ÜRETİM_İHTİYAÇ_RAPORU_BURAK_YENI1309[[#This Row],[ALT_KOD]])+AVERAGEIFS(I:I,D:D,DST_123_ÜRETİM_İHTİYAÇ_RAPORU_BURAK_YENI1309[[#This Row],[ALT_KOD]])+AVERAGEIFS(L:L,D:D,DST_123_ÜRETİM_İHTİYAÇ_RAPORU_BURAK_YENI1309[[#This Row],[ALT_KOD]]))</f>
        <v>-16</v>
      </c>
      <c r="L3068">
        <v>0</v>
      </c>
      <c r="M3068">
        <f>IF((DST_123_ÜRETİM_İHTİYAÇ_RAPORU_BURAK_YENI1309[[#This Row],[SATINALMA]]*DST_123_ÜRETİM_İHTİYAÇ_RAPORU_BURAK_YENI1309[[#This Row],[BIRIM_FIYATLAR]])&lt;1,VALUE("0"),DST_123_ÜRETİM_İHTİYAÇ_RAPORU_BURAK_YENI1309[[#This Row],[SATINALMA]]*DST_123_ÜRETİM_İHTİYAÇ_RAPORU_BURAK_YENI1309[[#This Row],[BIRIM_FIYATLAR]])</f>
        <v>0</v>
      </c>
      <c r="N3068">
        <v>373.06</v>
      </c>
      <c r="O3068" t="s">
        <v>636</v>
      </c>
      <c r="P3068">
        <v>373.06</v>
      </c>
      <c r="Q3068" t="s">
        <v>178</v>
      </c>
    </row>
    <row r="3069" spans="1:17" x14ac:dyDescent="0.25">
      <c r="A3069" t="s">
        <v>1144</v>
      </c>
      <c r="B3069" t="s">
        <v>1145</v>
      </c>
      <c r="C3069" t="s">
        <v>175</v>
      </c>
      <c r="D3069" t="s">
        <v>439</v>
      </c>
      <c r="E3069" t="s">
        <v>440</v>
      </c>
      <c r="F3069">
        <v>1</v>
      </c>
      <c r="G3069" t="s">
        <v>176</v>
      </c>
      <c r="H3069">
        <v>0</v>
      </c>
      <c r="I3069">
        <v>28</v>
      </c>
      <c r="J3069" s="10">
        <v>5</v>
      </c>
      <c r="K3069" s="10">
        <f>SUMIFS(F:F,D:D,DST_123_ÜRETİM_İHTİYAÇ_RAPORU_BURAK_YENI1309[[#This Row],[ALT_KOD]])-(SUMIFS(H:H,D:D,DST_123_ÜRETİM_İHTİYAÇ_RAPORU_BURAK_YENI1309[[#This Row],[ALT_KOD]])+AVERAGEIFS(I:I,D:D,DST_123_ÜRETİM_İHTİYAÇ_RAPORU_BURAK_YENI1309[[#This Row],[ALT_KOD]])+AVERAGEIFS(L:L,D:D,DST_123_ÜRETİM_İHTİYAÇ_RAPORU_BURAK_YENI1309[[#This Row],[ALT_KOD]]))</f>
        <v>-16</v>
      </c>
      <c r="L3069">
        <v>0</v>
      </c>
      <c r="M3069">
        <f>IF((DST_123_ÜRETİM_İHTİYAÇ_RAPORU_BURAK_YENI1309[[#This Row],[SATINALMA]]*DST_123_ÜRETİM_İHTİYAÇ_RAPORU_BURAK_YENI1309[[#This Row],[BIRIM_FIYATLAR]])&lt;1,VALUE("0"),DST_123_ÜRETİM_İHTİYAÇ_RAPORU_BURAK_YENI1309[[#This Row],[SATINALMA]]*DST_123_ÜRETİM_İHTİYAÇ_RAPORU_BURAK_YENI1309[[#This Row],[BIRIM_FIYATLAR]])</f>
        <v>0</v>
      </c>
      <c r="N3069">
        <v>373.06</v>
      </c>
      <c r="O3069" t="s">
        <v>636</v>
      </c>
      <c r="P3069">
        <v>373.06</v>
      </c>
      <c r="Q3069" t="s">
        <v>178</v>
      </c>
    </row>
    <row r="3070" spans="1:17" x14ac:dyDescent="0.25">
      <c r="A3070" t="s">
        <v>1142</v>
      </c>
      <c r="B3070" t="s">
        <v>1056</v>
      </c>
      <c r="C3070" t="s">
        <v>175</v>
      </c>
      <c r="D3070" t="s">
        <v>597</v>
      </c>
      <c r="E3070" t="s">
        <v>598</v>
      </c>
      <c r="F3070">
        <v>2</v>
      </c>
      <c r="G3070" t="s">
        <v>176</v>
      </c>
      <c r="H3070">
        <v>0</v>
      </c>
      <c r="I3070">
        <v>29</v>
      </c>
      <c r="J3070" s="10">
        <v>9</v>
      </c>
      <c r="K3070" s="10">
        <f>SUMIFS(F:F,D:D,DST_123_ÜRETİM_İHTİYAÇ_RAPORU_BURAK_YENI1309[[#This Row],[ALT_KOD]])-(SUMIFS(H:H,D:D,DST_123_ÜRETİM_İHTİYAÇ_RAPORU_BURAK_YENI1309[[#This Row],[ALT_KOD]])+AVERAGEIFS(I:I,D:D,DST_123_ÜRETİM_İHTİYAÇ_RAPORU_BURAK_YENI1309[[#This Row],[ALT_KOD]])+AVERAGEIFS(L:L,D:D,DST_123_ÜRETİM_İHTİYAÇ_RAPORU_BURAK_YENI1309[[#This Row],[ALT_KOD]]))</f>
        <v>-13</v>
      </c>
      <c r="L3070">
        <v>0</v>
      </c>
      <c r="M3070">
        <f>IF((DST_123_ÜRETİM_İHTİYAÇ_RAPORU_BURAK_YENI1309[[#This Row],[SATINALMA]]*DST_123_ÜRETİM_İHTİYAÇ_RAPORU_BURAK_YENI1309[[#This Row],[BIRIM_FIYATLAR]])&lt;1,VALUE("0"),DST_123_ÜRETİM_İHTİYAÇ_RAPORU_BURAK_YENI1309[[#This Row],[SATINALMA]]*DST_123_ÜRETİM_İHTİYAÇ_RAPORU_BURAK_YENI1309[[#This Row],[BIRIM_FIYATLAR]])</f>
        <v>0</v>
      </c>
      <c r="N3070">
        <v>355.05</v>
      </c>
      <c r="O3070" t="s">
        <v>636</v>
      </c>
      <c r="P3070">
        <v>710.1</v>
      </c>
      <c r="Q3070" t="s">
        <v>177</v>
      </c>
    </row>
    <row r="3071" spans="1:17" x14ac:dyDescent="0.25">
      <c r="A3071" t="s">
        <v>1142</v>
      </c>
      <c r="B3071" t="s">
        <v>1056</v>
      </c>
      <c r="C3071" t="s">
        <v>175</v>
      </c>
      <c r="D3071" t="s">
        <v>740</v>
      </c>
      <c r="E3071" t="s">
        <v>741</v>
      </c>
      <c r="F3071">
        <v>1</v>
      </c>
      <c r="G3071" t="s">
        <v>176</v>
      </c>
      <c r="H3071">
        <v>0</v>
      </c>
      <c r="I3071">
        <v>17</v>
      </c>
      <c r="J3071" s="10">
        <v>17</v>
      </c>
      <c r="K3071" s="10">
        <f>SUMIFS(F:F,D:D,DST_123_ÜRETİM_İHTİYAÇ_RAPORU_BURAK_YENI1309[[#This Row],[ALT_KOD]])-(SUMIFS(H:H,D:D,DST_123_ÜRETİM_İHTİYAÇ_RAPORU_BURAK_YENI1309[[#This Row],[ALT_KOD]])+AVERAGEIFS(I:I,D:D,DST_123_ÜRETİM_İHTİYAÇ_RAPORU_BURAK_YENI1309[[#This Row],[ALT_KOD]])+AVERAGEIFS(L:L,D:D,DST_123_ÜRETİM_İHTİYAÇ_RAPORU_BURAK_YENI1309[[#This Row],[ALT_KOD]]))</f>
        <v>-6</v>
      </c>
      <c r="L3071">
        <v>0</v>
      </c>
      <c r="M3071">
        <f>IF((DST_123_ÜRETİM_İHTİYAÇ_RAPORU_BURAK_YENI1309[[#This Row],[SATINALMA]]*DST_123_ÜRETİM_İHTİYAÇ_RAPORU_BURAK_YENI1309[[#This Row],[BIRIM_FIYATLAR]])&lt;1,VALUE("0"),DST_123_ÜRETİM_İHTİYAÇ_RAPORU_BURAK_YENI1309[[#This Row],[SATINALMA]]*DST_123_ÜRETİM_İHTİYAÇ_RAPORU_BURAK_YENI1309[[#This Row],[BIRIM_FIYATLAR]])</f>
        <v>0</v>
      </c>
      <c r="N3071">
        <v>41.67</v>
      </c>
      <c r="O3071" t="s">
        <v>667</v>
      </c>
      <c r="P3071">
        <v>41.67</v>
      </c>
      <c r="Q3071" t="s">
        <v>177</v>
      </c>
    </row>
    <row r="3072" spans="1:17" x14ac:dyDescent="0.25">
      <c r="A3072" t="s">
        <v>1099</v>
      </c>
      <c r="B3072" t="s">
        <v>1055</v>
      </c>
      <c r="C3072" t="s">
        <v>175</v>
      </c>
      <c r="D3072" t="s">
        <v>630</v>
      </c>
      <c r="E3072" t="s">
        <v>631</v>
      </c>
      <c r="F3072">
        <v>441</v>
      </c>
      <c r="G3072" t="s">
        <v>176</v>
      </c>
      <c r="H3072">
        <v>0</v>
      </c>
      <c r="I3072">
        <v>8000</v>
      </c>
      <c r="J3072" s="10">
        <v>11449</v>
      </c>
      <c r="K3072" s="10">
        <f>SUMIFS(F:F,D:D,DST_123_ÜRETİM_İHTİYAÇ_RAPORU_BURAK_YENI1309[[#This Row],[ALT_KOD]])-(SUMIFS(H:H,D:D,DST_123_ÜRETİM_İHTİYAÇ_RAPORU_BURAK_YENI1309[[#This Row],[ALT_KOD]])+AVERAGEIFS(I:I,D:D,DST_123_ÜRETİM_İHTİYAÇ_RAPORU_BURAK_YENI1309[[#This Row],[ALT_KOD]])+AVERAGEIFS(L:L,D:D,DST_123_ÜRETİM_İHTİYAÇ_RAPORU_BURAK_YENI1309[[#This Row],[ALT_KOD]]))</f>
        <v>-1313</v>
      </c>
      <c r="L3072">
        <v>0</v>
      </c>
      <c r="M3072">
        <f>IF((DST_123_ÜRETİM_İHTİYAÇ_RAPORU_BURAK_YENI1309[[#This Row],[SATINALMA]]*DST_123_ÜRETİM_İHTİYAÇ_RAPORU_BURAK_YENI1309[[#This Row],[BIRIM_FIYATLAR]])&lt;1,VALUE("0"),DST_123_ÜRETİM_İHTİYAÇ_RAPORU_BURAK_YENI1309[[#This Row],[SATINALMA]]*DST_123_ÜRETİM_İHTİYAÇ_RAPORU_BURAK_YENI1309[[#This Row],[BIRIM_FIYATLAR]])</f>
        <v>0</v>
      </c>
      <c r="N3072">
        <v>0.54</v>
      </c>
      <c r="O3072" t="s">
        <v>628</v>
      </c>
      <c r="P3072">
        <v>238.14000000000001</v>
      </c>
      <c r="Q3072" t="s">
        <v>180</v>
      </c>
    </row>
    <row r="3073" spans="1:17" x14ac:dyDescent="0.25">
      <c r="A3073" t="s">
        <v>1196</v>
      </c>
      <c r="B3073" t="s">
        <v>1197</v>
      </c>
      <c r="C3073" t="s">
        <v>175</v>
      </c>
      <c r="D3073" t="s">
        <v>630</v>
      </c>
      <c r="E3073" t="s">
        <v>631</v>
      </c>
      <c r="F3073">
        <v>278</v>
      </c>
      <c r="G3073" t="s">
        <v>176</v>
      </c>
      <c r="H3073">
        <v>0</v>
      </c>
      <c r="I3073">
        <v>8000</v>
      </c>
      <c r="J3073" s="10">
        <v>11449</v>
      </c>
      <c r="K3073" s="10">
        <f>SUMIFS(F:F,D:D,DST_123_ÜRETİM_İHTİYAÇ_RAPORU_BURAK_YENI1309[[#This Row],[ALT_KOD]])-(SUMIFS(H:H,D:D,DST_123_ÜRETİM_İHTİYAÇ_RAPORU_BURAK_YENI1309[[#This Row],[ALT_KOD]])+AVERAGEIFS(I:I,D:D,DST_123_ÜRETİM_İHTİYAÇ_RAPORU_BURAK_YENI1309[[#This Row],[ALT_KOD]])+AVERAGEIFS(L:L,D:D,DST_123_ÜRETİM_İHTİYAÇ_RAPORU_BURAK_YENI1309[[#This Row],[ALT_KOD]]))</f>
        <v>-1313</v>
      </c>
      <c r="L3073">
        <v>0</v>
      </c>
      <c r="M3073">
        <f>IF((DST_123_ÜRETİM_İHTİYAÇ_RAPORU_BURAK_YENI1309[[#This Row],[SATINALMA]]*DST_123_ÜRETİM_İHTİYAÇ_RAPORU_BURAK_YENI1309[[#This Row],[BIRIM_FIYATLAR]])&lt;1,VALUE("0"),DST_123_ÜRETİM_İHTİYAÇ_RAPORU_BURAK_YENI1309[[#This Row],[SATINALMA]]*DST_123_ÜRETİM_İHTİYAÇ_RAPORU_BURAK_YENI1309[[#This Row],[BIRIM_FIYATLAR]])</f>
        <v>0</v>
      </c>
      <c r="N3073">
        <v>0.54</v>
      </c>
      <c r="O3073" t="s">
        <v>628</v>
      </c>
      <c r="P3073">
        <v>150.12</v>
      </c>
      <c r="Q3073" t="s">
        <v>180</v>
      </c>
    </row>
    <row r="3074" spans="1:17" x14ac:dyDescent="0.25">
      <c r="A3074" t="s">
        <v>1147</v>
      </c>
      <c r="B3074" t="s">
        <v>1145</v>
      </c>
      <c r="C3074" t="s">
        <v>175</v>
      </c>
      <c r="D3074" t="s">
        <v>426</v>
      </c>
      <c r="E3074" t="s">
        <v>427</v>
      </c>
      <c r="F3074">
        <v>1</v>
      </c>
      <c r="G3074" t="s">
        <v>176</v>
      </c>
      <c r="H3074">
        <v>0</v>
      </c>
      <c r="I3074">
        <v>12</v>
      </c>
      <c r="J3074" s="10">
        <v>9</v>
      </c>
      <c r="K3074" s="10">
        <f>SUMIFS(F:F,D:D,DST_123_ÜRETİM_İHTİYAÇ_RAPORU_BURAK_YENI1309[[#This Row],[ALT_KOD]])-(SUMIFS(H:H,D:D,DST_123_ÜRETİM_İHTİYAÇ_RAPORU_BURAK_YENI1309[[#This Row],[ALT_KOD]])+AVERAGEIFS(I:I,D:D,DST_123_ÜRETİM_İHTİYAÇ_RAPORU_BURAK_YENI1309[[#This Row],[ALT_KOD]])+AVERAGEIFS(L:L,D:D,DST_123_ÜRETİM_İHTİYAÇ_RAPORU_BURAK_YENI1309[[#This Row],[ALT_KOD]]))</f>
        <v>0</v>
      </c>
      <c r="L3074">
        <v>0</v>
      </c>
      <c r="M3074">
        <f>IF((DST_123_ÜRETİM_İHTİYAÇ_RAPORU_BURAK_YENI1309[[#This Row],[SATINALMA]]*DST_123_ÜRETİM_İHTİYAÇ_RAPORU_BURAK_YENI1309[[#This Row],[BIRIM_FIYATLAR]])&lt;1,VALUE("0"),DST_123_ÜRETİM_İHTİYAÇ_RAPORU_BURAK_YENI1309[[#This Row],[SATINALMA]]*DST_123_ÜRETİM_İHTİYAÇ_RAPORU_BURAK_YENI1309[[#This Row],[BIRIM_FIYATLAR]])</f>
        <v>0</v>
      </c>
      <c r="N3074">
        <v>266.72000000000003</v>
      </c>
      <c r="O3074" t="s">
        <v>227</v>
      </c>
      <c r="P3074">
        <v>266.72000000000003</v>
      </c>
      <c r="Q3074" t="s">
        <v>221</v>
      </c>
    </row>
    <row r="3075" spans="1:17" x14ac:dyDescent="0.25">
      <c r="A3075" t="s">
        <v>1057</v>
      </c>
      <c r="B3075" t="s">
        <v>1058</v>
      </c>
      <c r="C3075" t="s">
        <v>175</v>
      </c>
      <c r="D3075" t="s">
        <v>630</v>
      </c>
      <c r="E3075" t="s">
        <v>631</v>
      </c>
      <c r="F3075">
        <v>210</v>
      </c>
      <c r="G3075" t="s">
        <v>176</v>
      </c>
      <c r="H3075">
        <v>0</v>
      </c>
      <c r="I3075">
        <v>8000</v>
      </c>
      <c r="J3075" s="10">
        <v>11449</v>
      </c>
      <c r="K3075" s="10">
        <f>SUMIFS(F:F,D:D,DST_123_ÜRETİM_İHTİYAÇ_RAPORU_BURAK_YENI1309[[#This Row],[ALT_KOD]])-(SUMIFS(H:H,D:D,DST_123_ÜRETİM_İHTİYAÇ_RAPORU_BURAK_YENI1309[[#This Row],[ALT_KOD]])+AVERAGEIFS(I:I,D:D,DST_123_ÜRETİM_İHTİYAÇ_RAPORU_BURAK_YENI1309[[#This Row],[ALT_KOD]])+AVERAGEIFS(L:L,D:D,DST_123_ÜRETİM_İHTİYAÇ_RAPORU_BURAK_YENI1309[[#This Row],[ALT_KOD]]))</f>
        <v>-1313</v>
      </c>
      <c r="L3075">
        <v>0</v>
      </c>
      <c r="M3075">
        <f>IF((DST_123_ÜRETİM_İHTİYAÇ_RAPORU_BURAK_YENI1309[[#This Row],[SATINALMA]]*DST_123_ÜRETİM_İHTİYAÇ_RAPORU_BURAK_YENI1309[[#This Row],[BIRIM_FIYATLAR]])&lt;1,VALUE("0"),DST_123_ÜRETİM_İHTİYAÇ_RAPORU_BURAK_YENI1309[[#This Row],[SATINALMA]]*DST_123_ÜRETİM_İHTİYAÇ_RAPORU_BURAK_YENI1309[[#This Row],[BIRIM_FIYATLAR]])</f>
        <v>0</v>
      </c>
      <c r="N3075">
        <v>0.54</v>
      </c>
      <c r="O3075" t="s">
        <v>628</v>
      </c>
      <c r="P3075">
        <v>113.4</v>
      </c>
      <c r="Q3075" t="s">
        <v>180</v>
      </c>
    </row>
    <row r="3076" spans="1:17" x14ac:dyDescent="0.25">
      <c r="A3076" t="s">
        <v>1100</v>
      </c>
      <c r="B3076" t="s">
        <v>1058</v>
      </c>
      <c r="C3076" t="s">
        <v>175</v>
      </c>
      <c r="D3076" t="s">
        <v>630</v>
      </c>
      <c r="E3076" t="s">
        <v>631</v>
      </c>
      <c r="F3076">
        <v>165</v>
      </c>
      <c r="G3076" t="s">
        <v>176</v>
      </c>
      <c r="H3076">
        <v>0</v>
      </c>
      <c r="I3076">
        <v>8000</v>
      </c>
      <c r="J3076" s="10">
        <v>11449</v>
      </c>
      <c r="K3076" s="10">
        <f>SUMIFS(F:F,D:D,DST_123_ÜRETİM_İHTİYAÇ_RAPORU_BURAK_YENI1309[[#This Row],[ALT_KOD]])-(SUMIFS(H:H,D:D,DST_123_ÜRETİM_İHTİYAÇ_RAPORU_BURAK_YENI1309[[#This Row],[ALT_KOD]])+AVERAGEIFS(I:I,D:D,DST_123_ÜRETİM_İHTİYAÇ_RAPORU_BURAK_YENI1309[[#This Row],[ALT_KOD]])+AVERAGEIFS(L:L,D:D,DST_123_ÜRETİM_İHTİYAÇ_RAPORU_BURAK_YENI1309[[#This Row],[ALT_KOD]]))</f>
        <v>-1313</v>
      </c>
      <c r="L3076">
        <v>0</v>
      </c>
      <c r="M3076">
        <f>IF((DST_123_ÜRETİM_İHTİYAÇ_RAPORU_BURAK_YENI1309[[#This Row],[SATINALMA]]*DST_123_ÜRETİM_İHTİYAÇ_RAPORU_BURAK_YENI1309[[#This Row],[BIRIM_FIYATLAR]])&lt;1,VALUE("0"),DST_123_ÜRETİM_İHTİYAÇ_RAPORU_BURAK_YENI1309[[#This Row],[SATINALMA]]*DST_123_ÜRETİM_İHTİYAÇ_RAPORU_BURAK_YENI1309[[#This Row],[BIRIM_FIYATLAR]])</f>
        <v>0</v>
      </c>
      <c r="N3076">
        <v>0.54</v>
      </c>
      <c r="O3076" t="s">
        <v>628</v>
      </c>
      <c r="P3076">
        <v>89.100000000000009</v>
      </c>
      <c r="Q3076" t="s">
        <v>180</v>
      </c>
    </row>
    <row r="3077" spans="1:17" x14ac:dyDescent="0.25">
      <c r="A3077" t="s">
        <v>1059</v>
      </c>
      <c r="B3077" t="s">
        <v>1058</v>
      </c>
      <c r="C3077" t="s">
        <v>175</v>
      </c>
      <c r="D3077" t="s">
        <v>772</v>
      </c>
      <c r="E3077" t="s">
        <v>773</v>
      </c>
      <c r="F3077">
        <v>4</v>
      </c>
      <c r="G3077" t="s">
        <v>176</v>
      </c>
      <c r="H3077">
        <v>4</v>
      </c>
      <c r="I3077">
        <v>56.5</v>
      </c>
      <c r="J3077" s="10">
        <v>26</v>
      </c>
      <c r="K3077" s="10">
        <f>SUMIFS(F:F,D:D,DST_123_ÜRETİM_İHTİYAÇ_RAPORU_BURAK_YENI1309[[#This Row],[ALT_KOD]])-(SUMIFS(H:H,D:D,DST_123_ÜRETİM_İHTİYAÇ_RAPORU_BURAK_YENI1309[[#This Row],[ALT_KOD]])+AVERAGEIFS(I:I,D:D,DST_123_ÜRETİM_İHTİYAÇ_RAPORU_BURAK_YENI1309[[#This Row],[ALT_KOD]])+AVERAGEIFS(L:L,D:D,DST_123_ÜRETİM_İHTİYAÇ_RAPORU_BURAK_YENI1309[[#This Row],[ALT_KOD]]))</f>
        <v>-12.5</v>
      </c>
      <c r="L3077">
        <v>0</v>
      </c>
      <c r="M3077">
        <f>IF((DST_123_ÜRETİM_İHTİYAÇ_RAPORU_BURAK_YENI1309[[#This Row],[SATINALMA]]*DST_123_ÜRETİM_İHTİYAÇ_RAPORU_BURAK_YENI1309[[#This Row],[BIRIM_FIYATLAR]])&lt;1,VALUE("0"),DST_123_ÜRETİM_İHTİYAÇ_RAPORU_BURAK_YENI1309[[#This Row],[SATINALMA]]*DST_123_ÜRETİM_İHTİYAÇ_RAPORU_BURAK_YENI1309[[#This Row],[BIRIM_FIYATLAR]])</f>
        <v>0</v>
      </c>
      <c r="N3077">
        <v>200</v>
      </c>
      <c r="O3077" t="s">
        <v>247</v>
      </c>
      <c r="P3077">
        <v>800</v>
      </c>
      <c r="Q3077" t="s">
        <v>177</v>
      </c>
    </row>
    <row r="3078" spans="1:17" x14ac:dyDescent="0.25">
      <c r="A3078" t="s">
        <v>1064</v>
      </c>
      <c r="B3078" t="s">
        <v>1055</v>
      </c>
      <c r="C3078" t="s">
        <v>175</v>
      </c>
      <c r="D3078" t="s">
        <v>575</v>
      </c>
      <c r="E3078" t="s">
        <v>576</v>
      </c>
      <c r="F3078">
        <v>5.2999999999999989</v>
      </c>
      <c r="G3078" t="s">
        <v>176</v>
      </c>
      <c r="H3078">
        <v>0</v>
      </c>
      <c r="I3078">
        <v>85</v>
      </c>
      <c r="J3078" s="10">
        <v>3.6500000000000128</v>
      </c>
      <c r="K3078" s="10">
        <f>SUMIFS(F:F,D:D,DST_123_ÜRETİM_İHTİYAÇ_RAPORU_BURAK_YENI1309[[#This Row],[ALT_KOD]])-(SUMIFS(H:H,D:D,DST_123_ÜRETİM_İHTİYAÇ_RAPORU_BURAK_YENI1309[[#This Row],[ALT_KOD]])+AVERAGEIFS(I:I,D:D,DST_123_ÜRETİM_İHTİYAÇ_RAPORU_BURAK_YENI1309[[#This Row],[ALT_KOD]])+AVERAGEIFS(L:L,D:D,DST_123_ÜRETİM_İHTİYAÇ_RAPORU_BURAK_YENI1309[[#This Row],[ALT_KOD]]))</f>
        <v>12.550000000000011</v>
      </c>
      <c r="L3078">
        <v>0</v>
      </c>
      <c r="M3078">
        <f>IF((DST_123_ÜRETİM_İHTİYAÇ_RAPORU_BURAK_YENI1309[[#This Row],[SATINALMA]]*DST_123_ÜRETİM_İHTİYAÇ_RAPORU_BURAK_YENI1309[[#This Row],[BIRIM_FIYATLAR]])&lt;1,VALUE("0"),DST_123_ÜRETİM_İHTİYAÇ_RAPORU_BURAK_YENI1309[[#This Row],[SATINALMA]]*DST_123_ÜRETİM_İHTİYAÇ_RAPORU_BURAK_YENI1309[[#This Row],[BIRIM_FIYATLAR]])</f>
        <v>4368.7805000000044</v>
      </c>
      <c r="N3078">
        <v>348.11</v>
      </c>
      <c r="O3078" t="s">
        <v>250</v>
      </c>
      <c r="P3078">
        <v>1844.9829999999997</v>
      </c>
      <c r="Q3078" t="s">
        <v>183</v>
      </c>
    </row>
    <row r="3079" spans="1:17" x14ac:dyDescent="0.25">
      <c r="A3079" t="s">
        <v>1098</v>
      </c>
      <c r="B3079" t="s">
        <v>1096</v>
      </c>
      <c r="C3079" t="s">
        <v>175</v>
      </c>
      <c r="D3079" t="s">
        <v>575</v>
      </c>
      <c r="E3079" t="s">
        <v>576</v>
      </c>
      <c r="F3079">
        <v>5.85</v>
      </c>
      <c r="G3079" t="s">
        <v>176</v>
      </c>
      <c r="H3079">
        <v>0</v>
      </c>
      <c r="I3079">
        <v>85</v>
      </c>
      <c r="J3079" s="10">
        <v>3.6500000000000128</v>
      </c>
      <c r="K3079" s="10">
        <f>SUMIFS(F:F,D:D,DST_123_ÜRETİM_İHTİYAÇ_RAPORU_BURAK_YENI1309[[#This Row],[ALT_KOD]])-(SUMIFS(H:H,D:D,DST_123_ÜRETİM_İHTİYAÇ_RAPORU_BURAK_YENI1309[[#This Row],[ALT_KOD]])+AVERAGEIFS(I:I,D:D,DST_123_ÜRETİM_İHTİYAÇ_RAPORU_BURAK_YENI1309[[#This Row],[ALT_KOD]])+AVERAGEIFS(L:L,D:D,DST_123_ÜRETİM_İHTİYAÇ_RAPORU_BURAK_YENI1309[[#This Row],[ALT_KOD]]))</f>
        <v>12.550000000000011</v>
      </c>
      <c r="L3079">
        <v>0</v>
      </c>
      <c r="M3079">
        <f>IF((DST_123_ÜRETİM_İHTİYAÇ_RAPORU_BURAK_YENI1309[[#This Row],[SATINALMA]]*DST_123_ÜRETİM_İHTİYAÇ_RAPORU_BURAK_YENI1309[[#This Row],[BIRIM_FIYATLAR]])&lt;1,VALUE("0"),DST_123_ÜRETİM_İHTİYAÇ_RAPORU_BURAK_YENI1309[[#This Row],[SATINALMA]]*DST_123_ÜRETİM_İHTİYAÇ_RAPORU_BURAK_YENI1309[[#This Row],[BIRIM_FIYATLAR]])</f>
        <v>4368.7805000000044</v>
      </c>
      <c r="N3079">
        <v>348.11</v>
      </c>
      <c r="O3079" t="s">
        <v>250</v>
      </c>
      <c r="P3079">
        <v>2036.4434999999999</v>
      </c>
      <c r="Q3079" t="s">
        <v>183</v>
      </c>
    </row>
    <row r="3080" spans="1:17" x14ac:dyDescent="0.25">
      <c r="A3080" t="s">
        <v>1098</v>
      </c>
      <c r="B3080" t="s">
        <v>1096</v>
      </c>
      <c r="C3080" t="s">
        <v>175</v>
      </c>
      <c r="D3080" t="s">
        <v>649</v>
      </c>
      <c r="E3080" t="s">
        <v>650</v>
      </c>
      <c r="F3080">
        <v>6</v>
      </c>
      <c r="G3080" t="s">
        <v>185</v>
      </c>
      <c r="H3080">
        <v>0</v>
      </c>
      <c r="I3080">
        <v>0</v>
      </c>
      <c r="J3080" s="10">
        <v>65</v>
      </c>
      <c r="K3080" s="10">
        <f>SUMIFS(F:F,D:D,DST_123_ÜRETİM_İHTİYAÇ_RAPORU_BURAK_YENI1309[[#This Row],[ALT_KOD]])-(SUMIFS(H:H,D:D,DST_123_ÜRETİM_İHTİYAÇ_RAPORU_BURAK_YENI1309[[#This Row],[ALT_KOD]])+AVERAGEIFS(I:I,D:D,DST_123_ÜRETİM_İHTİYAÇ_RAPORU_BURAK_YENI1309[[#This Row],[ALT_KOD]])+AVERAGEIFS(L:L,D:D,DST_123_ÜRETİM_İHTİYAÇ_RAPORU_BURAK_YENI1309[[#This Row],[ALT_KOD]]))</f>
        <v>119</v>
      </c>
      <c r="L3080">
        <v>0</v>
      </c>
      <c r="M3080">
        <f>IF((DST_123_ÜRETİM_İHTİYAÇ_RAPORU_BURAK_YENI1309[[#This Row],[SATINALMA]]*DST_123_ÜRETİM_İHTİYAÇ_RAPORU_BURAK_YENI1309[[#This Row],[BIRIM_FIYATLAR]])&lt;1,VALUE("0"),DST_123_ÜRETİM_İHTİYAÇ_RAPORU_BURAK_YENI1309[[#This Row],[SATINALMA]]*DST_123_ÜRETİM_İHTİYAÇ_RAPORU_BURAK_YENI1309[[#This Row],[BIRIM_FIYATLAR]])</f>
        <v>133274.05000000002</v>
      </c>
      <c r="N3080">
        <v>1119.95</v>
      </c>
      <c r="O3080" t="s">
        <v>648</v>
      </c>
      <c r="P3080">
        <v>6719.7000000000007</v>
      </c>
      <c r="Q3080" t="s">
        <v>183</v>
      </c>
    </row>
    <row r="3081" spans="1:17" x14ac:dyDescent="0.25">
      <c r="A3081" t="s">
        <v>1099</v>
      </c>
      <c r="B3081" t="s">
        <v>1055</v>
      </c>
      <c r="C3081" t="s">
        <v>175</v>
      </c>
      <c r="D3081" t="s">
        <v>410</v>
      </c>
      <c r="E3081" t="s">
        <v>411</v>
      </c>
      <c r="F3081">
        <v>2.5000000000000001E-2</v>
      </c>
      <c r="G3081" t="s">
        <v>412</v>
      </c>
      <c r="H3081">
        <v>0</v>
      </c>
      <c r="I3081">
        <v>150</v>
      </c>
      <c r="J3081" s="10">
        <v>0</v>
      </c>
      <c r="K3081" s="10">
        <f>SUMIFS(F:F,D:D,DST_123_ÜRETİM_İHTİYAÇ_RAPORU_BURAK_YENI1309[[#This Row],[ALT_KOD]])-(SUMIFS(H:H,D:D,DST_123_ÜRETİM_İHTİYAÇ_RAPORU_BURAK_YENI1309[[#This Row],[ALT_KOD]])+AVERAGEIFS(I:I,D:D,DST_123_ÜRETİM_İHTİYAÇ_RAPORU_BURAK_YENI1309[[#This Row],[ALT_KOD]])+AVERAGEIFS(L:L,D:D,DST_123_ÜRETİM_İHTİYAÇ_RAPORU_BURAK_YENI1309[[#This Row],[ALT_KOD]]))</f>
        <v>-149.76499999999999</v>
      </c>
      <c r="L3081">
        <v>0</v>
      </c>
      <c r="M3081">
        <f>IF((DST_123_ÜRETİM_İHTİYAÇ_RAPORU_BURAK_YENI1309[[#This Row],[SATINALMA]]*DST_123_ÜRETİM_İHTİYAÇ_RAPORU_BURAK_YENI1309[[#This Row],[BIRIM_FIYATLAR]])&lt;1,VALUE("0"),DST_123_ÜRETİM_İHTİYAÇ_RAPORU_BURAK_YENI1309[[#This Row],[SATINALMA]]*DST_123_ÜRETİM_İHTİYAÇ_RAPORU_BURAK_YENI1309[[#This Row],[BIRIM_FIYATLAR]])</f>
        <v>0</v>
      </c>
      <c r="N3081">
        <v>1.8</v>
      </c>
      <c r="O3081" t="s">
        <v>220</v>
      </c>
      <c r="P3081">
        <v>4.5000000000000005E-2</v>
      </c>
      <c r="Q3081" t="s">
        <v>180</v>
      </c>
    </row>
    <row r="3082" spans="1:17" x14ac:dyDescent="0.25">
      <c r="A3082" t="s">
        <v>1144</v>
      </c>
      <c r="B3082" t="s">
        <v>1145</v>
      </c>
      <c r="C3082" t="s">
        <v>175</v>
      </c>
      <c r="D3082" t="s">
        <v>951</v>
      </c>
      <c r="E3082" t="s">
        <v>952</v>
      </c>
      <c r="F3082">
        <v>4</v>
      </c>
      <c r="G3082" t="s">
        <v>176</v>
      </c>
      <c r="H3082">
        <v>0</v>
      </c>
      <c r="I3082">
        <v>996</v>
      </c>
      <c r="J3082" s="10">
        <v>0</v>
      </c>
      <c r="K3082" s="10">
        <f>SUMIFS(F:F,D:D,DST_123_ÜRETİM_İHTİYAÇ_RAPORU_BURAK_YENI1309[[#This Row],[ALT_KOD]])-(SUMIFS(H:H,D:D,DST_123_ÜRETİM_İHTİYAÇ_RAPORU_BURAK_YENI1309[[#This Row],[ALT_KOD]])+AVERAGEIFS(I:I,D:D,DST_123_ÜRETİM_İHTİYAÇ_RAPORU_BURAK_YENI1309[[#This Row],[ALT_KOD]])+AVERAGEIFS(L:L,D:D,DST_123_ÜRETİM_İHTİYAÇ_RAPORU_BURAK_YENI1309[[#This Row],[ALT_KOD]]))</f>
        <v>-980</v>
      </c>
      <c r="L3082">
        <v>0</v>
      </c>
      <c r="M3082">
        <f>IF((DST_123_ÜRETİM_İHTİYAÇ_RAPORU_BURAK_YENI1309[[#This Row],[SATINALMA]]*DST_123_ÜRETİM_İHTİYAÇ_RAPORU_BURAK_YENI1309[[#This Row],[BIRIM_FIYATLAR]])&lt;1,VALUE("0"),DST_123_ÜRETİM_İHTİYAÇ_RAPORU_BURAK_YENI1309[[#This Row],[SATINALMA]]*DST_123_ÜRETİM_İHTİYAÇ_RAPORU_BURAK_YENI1309[[#This Row],[BIRIM_FIYATLAR]])</f>
        <v>0</v>
      </c>
      <c r="N3082">
        <v>1.8</v>
      </c>
      <c r="O3082" t="s">
        <v>240</v>
      </c>
      <c r="P3082">
        <v>7.2</v>
      </c>
      <c r="Q3082" t="s">
        <v>180</v>
      </c>
    </row>
    <row r="3083" spans="1:17" x14ac:dyDescent="0.25">
      <c r="A3083" t="s">
        <v>1146</v>
      </c>
      <c r="B3083" t="s">
        <v>1145</v>
      </c>
      <c r="C3083" t="s">
        <v>175</v>
      </c>
      <c r="D3083" t="s">
        <v>575</v>
      </c>
      <c r="E3083" t="s">
        <v>576</v>
      </c>
      <c r="F3083">
        <v>4.1500000000000004</v>
      </c>
      <c r="G3083" t="s">
        <v>176</v>
      </c>
      <c r="H3083">
        <v>0</v>
      </c>
      <c r="I3083">
        <v>85</v>
      </c>
      <c r="J3083" s="10">
        <v>3.6500000000000128</v>
      </c>
      <c r="K3083" s="10">
        <f>SUMIFS(F:F,D:D,DST_123_ÜRETİM_İHTİYAÇ_RAPORU_BURAK_YENI1309[[#This Row],[ALT_KOD]])-(SUMIFS(H:H,D:D,DST_123_ÜRETİM_İHTİYAÇ_RAPORU_BURAK_YENI1309[[#This Row],[ALT_KOD]])+AVERAGEIFS(I:I,D:D,DST_123_ÜRETİM_İHTİYAÇ_RAPORU_BURAK_YENI1309[[#This Row],[ALT_KOD]])+AVERAGEIFS(L:L,D:D,DST_123_ÜRETİM_İHTİYAÇ_RAPORU_BURAK_YENI1309[[#This Row],[ALT_KOD]]))</f>
        <v>12.550000000000011</v>
      </c>
      <c r="L3083">
        <v>0</v>
      </c>
      <c r="M3083">
        <f>IF((DST_123_ÜRETİM_İHTİYAÇ_RAPORU_BURAK_YENI1309[[#This Row],[SATINALMA]]*DST_123_ÜRETİM_İHTİYAÇ_RAPORU_BURAK_YENI1309[[#This Row],[BIRIM_FIYATLAR]])&lt;1,VALUE("0"),DST_123_ÜRETİM_İHTİYAÇ_RAPORU_BURAK_YENI1309[[#This Row],[SATINALMA]]*DST_123_ÜRETİM_İHTİYAÇ_RAPORU_BURAK_YENI1309[[#This Row],[BIRIM_FIYATLAR]])</f>
        <v>4368.7805000000044</v>
      </c>
      <c r="N3083">
        <v>348.11</v>
      </c>
      <c r="O3083" t="s">
        <v>250</v>
      </c>
      <c r="P3083">
        <v>1444.6565000000003</v>
      </c>
      <c r="Q3083" t="s">
        <v>183</v>
      </c>
    </row>
    <row r="3084" spans="1:17" x14ac:dyDescent="0.25">
      <c r="A3084" t="s">
        <v>1060</v>
      </c>
      <c r="B3084" t="s">
        <v>1061</v>
      </c>
      <c r="C3084" t="s">
        <v>175</v>
      </c>
      <c r="D3084" t="s">
        <v>951</v>
      </c>
      <c r="E3084" t="s">
        <v>952</v>
      </c>
      <c r="F3084">
        <v>4</v>
      </c>
      <c r="G3084" t="s">
        <v>176</v>
      </c>
      <c r="H3084">
        <v>0</v>
      </c>
      <c r="I3084">
        <v>996</v>
      </c>
      <c r="J3084" s="10">
        <v>0</v>
      </c>
      <c r="K3084" s="10">
        <f>SUMIFS(F:F,D:D,DST_123_ÜRETİM_İHTİYAÇ_RAPORU_BURAK_YENI1309[[#This Row],[ALT_KOD]])-(SUMIFS(H:H,D:D,DST_123_ÜRETİM_İHTİYAÇ_RAPORU_BURAK_YENI1309[[#This Row],[ALT_KOD]])+AVERAGEIFS(I:I,D:D,DST_123_ÜRETİM_İHTİYAÇ_RAPORU_BURAK_YENI1309[[#This Row],[ALT_KOD]])+AVERAGEIFS(L:L,D:D,DST_123_ÜRETİM_İHTİYAÇ_RAPORU_BURAK_YENI1309[[#This Row],[ALT_KOD]]))</f>
        <v>-980</v>
      </c>
      <c r="L3084">
        <v>0</v>
      </c>
      <c r="M3084">
        <f>IF((DST_123_ÜRETİM_İHTİYAÇ_RAPORU_BURAK_YENI1309[[#This Row],[SATINALMA]]*DST_123_ÜRETİM_İHTİYAÇ_RAPORU_BURAK_YENI1309[[#This Row],[BIRIM_FIYATLAR]])&lt;1,VALUE("0"),DST_123_ÜRETİM_İHTİYAÇ_RAPORU_BURAK_YENI1309[[#This Row],[SATINALMA]]*DST_123_ÜRETİM_İHTİYAÇ_RAPORU_BURAK_YENI1309[[#This Row],[BIRIM_FIYATLAR]])</f>
        <v>0</v>
      </c>
      <c r="N3084">
        <v>1.8</v>
      </c>
      <c r="O3084" t="s">
        <v>240</v>
      </c>
      <c r="P3084">
        <v>7.2</v>
      </c>
      <c r="Q3084" t="s">
        <v>180</v>
      </c>
    </row>
    <row r="3085" spans="1:17" x14ac:dyDescent="0.25">
      <c r="A3085" t="s">
        <v>1060</v>
      </c>
      <c r="B3085" t="s">
        <v>1061</v>
      </c>
      <c r="C3085" t="s">
        <v>175</v>
      </c>
      <c r="D3085" t="s">
        <v>575</v>
      </c>
      <c r="E3085" t="s">
        <v>576</v>
      </c>
      <c r="F3085">
        <v>4.25</v>
      </c>
      <c r="G3085" t="s">
        <v>176</v>
      </c>
      <c r="H3085">
        <v>0</v>
      </c>
      <c r="I3085">
        <v>85</v>
      </c>
      <c r="J3085" s="10">
        <v>3.6500000000000128</v>
      </c>
      <c r="K3085" s="10">
        <f>SUMIFS(F:F,D:D,DST_123_ÜRETİM_İHTİYAÇ_RAPORU_BURAK_YENI1309[[#This Row],[ALT_KOD]])-(SUMIFS(H:H,D:D,DST_123_ÜRETİM_İHTİYAÇ_RAPORU_BURAK_YENI1309[[#This Row],[ALT_KOD]])+AVERAGEIFS(I:I,D:D,DST_123_ÜRETİM_İHTİYAÇ_RAPORU_BURAK_YENI1309[[#This Row],[ALT_KOD]])+AVERAGEIFS(L:L,D:D,DST_123_ÜRETİM_İHTİYAÇ_RAPORU_BURAK_YENI1309[[#This Row],[ALT_KOD]]))</f>
        <v>12.550000000000011</v>
      </c>
      <c r="L3085">
        <v>0</v>
      </c>
      <c r="M3085">
        <f>IF((DST_123_ÜRETİM_İHTİYAÇ_RAPORU_BURAK_YENI1309[[#This Row],[SATINALMA]]*DST_123_ÜRETİM_İHTİYAÇ_RAPORU_BURAK_YENI1309[[#This Row],[BIRIM_FIYATLAR]])&lt;1,VALUE("0"),DST_123_ÜRETİM_İHTİYAÇ_RAPORU_BURAK_YENI1309[[#This Row],[SATINALMA]]*DST_123_ÜRETİM_İHTİYAÇ_RAPORU_BURAK_YENI1309[[#This Row],[BIRIM_FIYATLAR]])</f>
        <v>4368.7805000000044</v>
      </c>
      <c r="N3085">
        <v>348.11</v>
      </c>
      <c r="O3085" t="s">
        <v>250</v>
      </c>
      <c r="P3085">
        <v>1479.4675</v>
      </c>
      <c r="Q3085" t="s">
        <v>183</v>
      </c>
    </row>
    <row r="3086" spans="1:17" x14ac:dyDescent="0.25">
      <c r="A3086" t="s">
        <v>1101</v>
      </c>
      <c r="B3086" t="s">
        <v>1102</v>
      </c>
      <c r="C3086" t="s">
        <v>175</v>
      </c>
      <c r="D3086" t="s">
        <v>949</v>
      </c>
      <c r="E3086" t="s">
        <v>950</v>
      </c>
      <c r="F3086">
        <v>1</v>
      </c>
      <c r="G3086" t="s">
        <v>176</v>
      </c>
      <c r="H3086">
        <v>0</v>
      </c>
      <c r="I3086">
        <v>4</v>
      </c>
      <c r="J3086" s="10">
        <v>4</v>
      </c>
      <c r="K3086" s="10">
        <f>SUMIFS(F:F,D:D,DST_123_ÜRETİM_İHTİYAÇ_RAPORU_BURAK_YENI1309[[#This Row],[ALT_KOD]])-(SUMIFS(H:H,D:D,DST_123_ÜRETİM_İHTİYAÇ_RAPORU_BURAK_YENI1309[[#This Row],[ALT_KOD]])+AVERAGEIFS(I:I,D:D,DST_123_ÜRETİM_İHTİYAÇ_RAPORU_BURAK_YENI1309[[#This Row],[ALT_KOD]])+AVERAGEIFS(L:L,D:D,DST_123_ÜRETİM_İHTİYAÇ_RAPORU_BURAK_YENI1309[[#This Row],[ALT_KOD]]))</f>
        <v>0</v>
      </c>
      <c r="L3086">
        <v>0</v>
      </c>
      <c r="M3086">
        <f>IF((DST_123_ÜRETİM_İHTİYAÇ_RAPORU_BURAK_YENI1309[[#This Row],[SATINALMA]]*DST_123_ÜRETİM_İHTİYAÇ_RAPORU_BURAK_YENI1309[[#This Row],[BIRIM_FIYATLAR]])&lt;1,VALUE("0"),DST_123_ÜRETİM_İHTİYAÇ_RAPORU_BURAK_YENI1309[[#This Row],[SATINALMA]]*DST_123_ÜRETİM_İHTİYAÇ_RAPORU_BURAK_YENI1309[[#This Row],[BIRIM_FIYATLAR]])</f>
        <v>0</v>
      </c>
      <c r="N3086">
        <v>3256.79</v>
      </c>
      <c r="O3086" t="s">
        <v>634</v>
      </c>
      <c r="P3086">
        <v>3256.79</v>
      </c>
      <c r="Q3086" t="s">
        <v>177</v>
      </c>
    </row>
    <row r="3087" spans="1:17" x14ac:dyDescent="0.25">
      <c r="A3087" t="s">
        <v>1057</v>
      </c>
      <c r="B3087" t="s">
        <v>1058</v>
      </c>
      <c r="C3087" t="s">
        <v>175</v>
      </c>
      <c r="D3087" t="s">
        <v>410</v>
      </c>
      <c r="E3087" t="s">
        <v>411</v>
      </c>
      <c r="F3087">
        <v>0.01</v>
      </c>
      <c r="G3087" t="s">
        <v>412</v>
      </c>
      <c r="H3087">
        <v>0</v>
      </c>
      <c r="I3087">
        <v>150</v>
      </c>
      <c r="J3087" s="10">
        <v>0</v>
      </c>
      <c r="K3087" s="10">
        <f>SUMIFS(F:F,D:D,DST_123_ÜRETİM_İHTİYAÇ_RAPORU_BURAK_YENI1309[[#This Row],[ALT_KOD]])-(SUMIFS(H:H,D:D,DST_123_ÜRETİM_İHTİYAÇ_RAPORU_BURAK_YENI1309[[#This Row],[ALT_KOD]])+AVERAGEIFS(I:I,D:D,DST_123_ÜRETİM_İHTİYAÇ_RAPORU_BURAK_YENI1309[[#This Row],[ALT_KOD]])+AVERAGEIFS(L:L,D:D,DST_123_ÜRETİM_İHTİYAÇ_RAPORU_BURAK_YENI1309[[#This Row],[ALT_KOD]]))</f>
        <v>-149.76499999999999</v>
      </c>
      <c r="L3087">
        <v>0</v>
      </c>
      <c r="M3087">
        <f>IF((DST_123_ÜRETİM_İHTİYAÇ_RAPORU_BURAK_YENI1309[[#This Row],[SATINALMA]]*DST_123_ÜRETİM_İHTİYAÇ_RAPORU_BURAK_YENI1309[[#This Row],[BIRIM_FIYATLAR]])&lt;1,VALUE("0"),DST_123_ÜRETİM_İHTİYAÇ_RAPORU_BURAK_YENI1309[[#This Row],[SATINALMA]]*DST_123_ÜRETİM_İHTİYAÇ_RAPORU_BURAK_YENI1309[[#This Row],[BIRIM_FIYATLAR]])</f>
        <v>0</v>
      </c>
      <c r="N3087">
        <v>1.8</v>
      </c>
      <c r="O3087" t="s">
        <v>220</v>
      </c>
      <c r="P3087">
        <v>1.8000000000000002E-2</v>
      </c>
      <c r="Q3087" t="s">
        <v>180</v>
      </c>
    </row>
    <row r="3088" spans="1:17" x14ac:dyDescent="0.25">
      <c r="A3088" t="s">
        <v>1142</v>
      </c>
      <c r="B3088" t="s">
        <v>1056</v>
      </c>
      <c r="C3088" t="s">
        <v>175</v>
      </c>
      <c r="D3088" t="s">
        <v>575</v>
      </c>
      <c r="E3088" t="s">
        <v>576</v>
      </c>
      <c r="F3088">
        <v>4.4000000000000004</v>
      </c>
      <c r="G3088" t="s">
        <v>176</v>
      </c>
      <c r="H3088">
        <v>0</v>
      </c>
      <c r="I3088">
        <v>85</v>
      </c>
      <c r="J3088" s="10">
        <v>3.6500000000000128</v>
      </c>
      <c r="K3088" s="10">
        <f>SUMIFS(F:F,D:D,DST_123_ÜRETİM_İHTİYAÇ_RAPORU_BURAK_YENI1309[[#This Row],[ALT_KOD]])-(SUMIFS(H:H,D:D,DST_123_ÜRETİM_İHTİYAÇ_RAPORU_BURAK_YENI1309[[#This Row],[ALT_KOD]])+AVERAGEIFS(I:I,D:D,DST_123_ÜRETİM_İHTİYAÇ_RAPORU_BURAK_YENI1309[[#This Row],[ALT_KOD]])+AVERAGEIFS(L:L,D:D,DST_123_ÜRETİM_İHTİYAÇ_RAPORU_BURAK_YENI1309[[#This Row],[ALT_KOD]]))</f>
        <v>12.550000000000011</v>
      </c>
      <c r="L3088">
        <v>0</v>
      </c>
      <c r="M3088">
        <f>IF((DST_123_ÜRETİM_İHTİYAÇ_RAPORU_BURAK_YENI1309[[#This Row],[SATINALMA]]*DST_123_ÜRETİM_İHTİYAÇ_RAPORU_BURAK_YENI1309[[#This Row],[BIRIM_FIYATLAR]])&lt;1,VALUE("0"),DST_123_ÜRETİM_İHTİYAÇ_RAPORU_BURAK_YENI1309[[#This Row],[SATINALMA]]*DST_123_ÜRETİM_İHTİYAÇ_RAPORU_BURAK_YENI1309[[#This Row],[BIRIM_FIYATLAR]])</f>
        <v>4368.7805000000044</v>
      </c>
      <c r="N3088">
        <v>348.11</v>
      </c>
      <c r="O3088" t="s">
        <v>250</v>
      </c>
      <c r="P3088">
        <v>1531.6840000000002</v>
      </c>
      <c r="Q3088" t="s">
        <v>183</v>
      </c>
    </row>
    <row r="3089" spans="1:17" x14ac:dyDescent="0.25">
      <c r="A3089" t="s">
        <v>1059</v>
      </c>
      <c r="B3089" t="s">
        <v>1058</v>
      </c>
      <c r="C3089" t="s">
        <v>175</v>
      </c>
      <c r="D3089" t="s">
        <v>410</v>
      </c>
      <c r="E3089" t="s">
        <v>411</v>
      </c>
      <c r="F3089">
        <v>0.01</v>
      </c>
      <c r="G3089" t="s">
        <v>412</v>
      </c>
      <c r="H3089">
        <v>0</v>
      </c>
      <c r="I3089">
        <v>150</v>
      </c>
      <c r="J3089" s="10">
        <v>0</v>
      </c>
      <c r="K3089" s="10">
        <f>SUMIFS(F:F,D:D,DST_123_ÜRETİM_İHTİYAÇ_RAPORU_BURAK_YENI1309[[#This Row],[ALT_KOD]])-(SUMIFS(H:H,D:D,DST_123_ÜRETİM_İHTİYAÇ_RAPORU_BURAK_YENI1309[[#This Row],[ALT_KOD]])+AVERAGEIFS(I:I,D:D,DST_123_ÜRETİM_İHTİYAÇ_RAPORU_BURAK_YENI1309[[#This Row],[ALT_KOD]])+AVERAGEIFS(L:L,D:D,DST_123_ÜRETİM_İHTİYAÇ_RAPORU_BURAK_YENI1309[[#This Row],[ALT_KOD]]))</f>
        <v>-149.76499999999999</v>
      </c>
      <c r="L3089">
        <v>0</v>
      </c>
      <c r="M3089">
        <f>IF((DST_123_ÜRETİM_İHTİYAÇ_RAPORU_BURAK_YENI1309[[#This Row],[SATINALMA]]*DST_123_ÜRETİM_İHTİYAÇ_RAPORU_BURAK_YENI1309[[#This Row],[BIRIM_FIYATLAR]])&lt;1,VALUE("0"),DST_123_ÜRETİM_İHTİYAÇ_RAPORU_BURAK_YENI1309[[#This Row],[SATINALMA]]*DST_123_ÜRETİM_İHTİYAÇ_RAPORU_BURAK_YENI1309[[#This Row],[BIRIM_FIYATLAR]])</f>
        <v>0</v>
      </c>
      <c r="N3089">
        <v>1.8</v>
      </c>
      <c r="O3089" t="s">
        <v>220</v>
      </c>
      <c r="P3089">
        <v>1.8000000000000002E-2</v>
      </c>
      <c r="Q3089" t="s">
        <v>180</v>
      </c>
    </row>
    <row r="3090" spans="1:17" x14ac:dyDescent="0.25">
      <c r="A3090" t="s">
        <v>1143</v>
      </c>
      <c r="B3090" t="s">
        <v>1056</v>
      </c>
      <c r="C3090" t="s">
        <v>175</v>
      </c>
      <c r="D3090" t="s">
        <v>410</v>
      </c>
      <c r="E3090" t="s">
        <v>411</v>
      </c>
      <c r="F3090">
        <v>2.5000000000000001E-2</v>
      </c>
      <c r="G3090" t="s">
        <v>412</v>
      </c>
      <c r="H3090">
        <v>0</v>
      </c>
      <c r="I3090">
        <v>150</v>
      </c>
      <c r="J3090" s="10">
        <v>0</v>
      </c>
      <c r="K3090" s="10">
        <f>SUMIFS(F:F,D:D,DST_123_ÜRETİM_İHTİYAÇ_RAPORU_BURAK_YENI1309[[#This Row],[ALT_KOD]])-(SUMIFS(H:H,D:D,DST_123_ÜRETİM_İHTİYAÇ_RAPORU_BURAK_YENI1309[[#This Row],[ALT_KOD]])+AVERAGEIFS(I:I,D:D,DST_123_ÜRETİM_İHTİYAÇ_RAPORU_BURAK_YENI1309[[#This Row],[ALT_KOD]])+AVERAGEIFS(L:L,D:D,DST_123_ÜRETİM_İHTİYAÇ_RAPORU_BURAK_YENI1309[[#This Row],[ALT_KOD]]))</f>
        <v>-149.76499999999999</v>
      </c>
      <c r="L3090">
        <v>0</v>
      </c>
      <c r="M3090">
        <f>IF((DST_123_ÜRETİM_İHTİYAÇ_RAPORU_BURAK_YENI1309[[#This Row],[SATINALMA]]*DST_123_ÜRETİM_İHTİYAÇ_RAPORU_BURAK_YENI1309[[#This Row],[BIRIM_FIYATLAR]])&lt;1,VALUE("0"),DST_123_ÜRETİM_İHTİYAÇ_RAPORU_BURAK_YENI1309[[#This Row],[SATINALMA]]*DST_123_ÜRETİM_İHTİYAÇ_RAPORU_BURAK_YENI1309[[#This Row],[BIRIM_FIYATLAR]])</f>
        <v>0</v>
      </c>
      <c r="N3090">
        <v>1.8</v>
      </c>
      <c r="O3090" t="s">
        <v>220</v>
      </c>
      <c r="P3090">
        <v>4.5000000000000005E-2</v>
      </c>
      <c r="Q3090" t="s">
        <v>180</v>
      </c>
    </row>
    <row r="3091" spans="1:17" x14ac:dyDescent="0.25">
      <c r="A3091" t="s">
        <v>1143</v>
      </c>
      <c r="B3091" t="s">
        <v>1056</v>
      </c>
      <c r="C3091" t="s">
        <v>175</v>
      </c>
      <c r="D3091" t="s">
        <v>437</v>
      </c>
      <c r="E3091" t="s">
        <v>438</v>
      </c>
      <c r="F3091">
        <v>1</v>
      </c>
      <c r="G3091" t="s">
        <v>176</v>
      </c>
      <c r="H3091">
        <v>0</v>
      </c>
      <c r="I3091">
        <v>24</v>
      </c>
      <c r="J3091" s="10">
        <v>5</v>
      </c>
      <c r="K3091" s="10">
        <f>SUMIFS(F:F,D:D,DST_123_ÜRETİM_İHTİYAÇ_RAPORU_BURAK_YENI1309[[#This Row],[ALT_KOD]])-(SUMIFS(H:H,D:D,DST_123_ÜRETİM_İHTİYAÇ_RAPORU_BURAK_YENI1309[[#This Row],[ALT_KOD]])+AVERAGEIFS(I:I,D:D,DST_123_ÜRETİM_İHTİYAÇ_RAPORU_BURAK_YENI1309[[#This Row],[ALT_KOD]])+AVERAGEIFS(L:L,D:D,DST_123_ÜRETİM_İHTİYAÇ_RAPORU_BURAK_YENI1309[[#This Row],[ALT_KOD]]))</f>
        <v>-12</v>
      </c>
      <c r="L3091">
        <v>0</v>
      </c>
      <c r="M3091">
        <f>IF((DST_123_ÜRETİM_İHTİYAÇ_RAPORU_BURAK_YENI1309[[#This Row],[SATINALMA]]*DST_123_ÜRETİM_İHTİYAÇ_RAPORU_BURAK_YENI1309[[#This Row],[BIRIM_FIYATLAR]])&lt;1,VALUE("0"),DST_123_ÜRETİM_İHTİYAÇ_RAPORU_BURAK_YENI1309[[#This Row],[SATINALMA]]*DST_123_ÜRETİM_İHTİYAÇ_RAPORU_BURAK_YENI1309[[#This Row],[BIRIM_FIYATLAR]])</f>
        <v>0</v>
      </c>
      <c r="N3091">
        <v>360.19</v>
      </c>
      <c r="O3091" t="s">
        <v>636</v>
      </c>
      <c r="P3091">
        <v>360.19</v>
      </c>
      <c r="Q3091" t="s">
        <v>178</v>
      </c>
    </row>
    <row r="3092" spans="1:17" x14ac:dyDescent="0.25">
      <c r="A3092" t="s">
        <v>1142</v>
      </c>
      <c r="B3092" t="s">
        <v>1056</v>
      </c>
      <c r="C3092" t="s">
        <v>175</v>
      </c>
      <c r="D3092" t="s">
        <v>772</v>
      </c>
      <c r="E3092" t="s">
        <v>773</v>
      </c>
      <c r="F3092">
        <v>4</v>
      </c>
      <c r="G3092" t="s">
        <v>176</v>
      </c>
      <c r="H3092">
        <v>0</v>
      </c>
      <c r="I3092">
        <v>56.5</v>
      </c>
      <c r="J3092" s="10">
        <v>26</v>
      </c>
      <c r="K3092" s="10">
        <f>SUMIFS(F:F,D:D,DST_123_ÜRETİM_İHTİYAÇ_RAPORU_BURAK_YENI1309[[#This Row],[ALT_KOD]])-(SUMIFS(H:H,D:D,DST_123_ÜRETİM_İHTİYAÇ_RAPORU_BURAK_YENI1309[[#This Row],[ALT_KOD]])+AVERAGEIFS(I:I,D:D,DST_123_ÜRETİM_İHTİYAÇ_RAPORU_BURAK_YENI1309[[#This Row],[ALT_KOD]])+AVERAGEIFS(L:L,D:D,DST_123_ÜRETİM_İHTİYAÇ_RAPORU_BURAK_YENI1309[[#This Row],[ALT_KOD]]))</f>
        <v>-12.5</v>
      </c>
      <c r="L3092">
        <v>0</v>
      </c>
      <c r="M3092">
        <f>IF((DST_123_ÜRETİM_İHTİYAÇ_RAPORU_BURAK_YENI1309[[#This Row],[SATINALMA]]*DST_123_ÜRETİM_İHTİYAÇ_RAPORU_BURAK_YENI1309[[#This Row],[BIRIM_FIYATLAR]])&lt;1,VALUE("0"),DST_123_ÜRETİM_İHTİYAÇ_RAPORU_BURAK_YENI1309[[#This Row],[SATINALMA]]*DST_123_ÜRETİM_İHTİYAÇ_RAPORU_BURAK_YENI1309[[#This Row],[BIRIM_FIYATLAR]])</f>
        <v>0</v>
      </c>
      <c r="N3092">
        <v>200</v>
      </c>
      <c r="O3092" t="s">
        <v>247</v>
      </c>
      <c r="P3092">
        <v>800</v>
      </c>
      <c r="Q3092" t="s">
        <v>177</v>
      </c>
    </row>
    <row r="3093" spans="1:17" x14ac:dyDescent="0.25">
      <c r="A3093" t="s">
        <v>1099</v>
      </c>
      <c r="B3093" t="s">
        <v>1055</v>
      </c>
      <c r="C3093" t="s">
        <v>175</v>
      </c>
      <c r="D3093" t="s">
        <v>649</v>
      </c>
      <c r="E3093" t="s">
        <v>650</v>
      </c>
      <c r="F3093">
        <v>7</v>
      </c>
      <c r="G3093" t="s">
        <v>185</v>
      </c>
      <c r="H3093">
        <v>0</v>
      </c>
      <c r="I3093">
        <v>0</v>
      </c>
      <c r="J3093" s="10">
        <v>65</v>
      </c>
      <c r="K3093" s="10">
        <f>SUMIFS(F:F,D:D,DST_123_ÜRETİM_İHTİYAÇ_RAPORU_BURAK_YENI1309[[#This Row],[ALT_KOD]])-(SUMIFS(H:H,D:D,DST_123_ÜRETİM_İHTİYAÇ_RAPORU_BURAK_YENI1309[[#This Row],[ALT_KOD]])+AVERAGEIFS(I:I,D:D,DST_123_ÜRETİM_İHTİYAÇ_RAPORU_BURAK_YENI1309[[#This Row],[ALT_KOD]])+AVERAGEIFS(L:L,D:D,DST_123_ÜRETİM_İHTİYAÇ_RAPORU_BURAK_YENI1309[[#This Row],[ALT_KOD]]))</f>
        <v>119</v>
      </c>
      <c r="L3093">
        <v>0</v>
      </c>
      <c r="M3093">
        <f>IF((DST_123_ÜRETİM_İHTİYAÇ_RAPORU_BURAK_YENI1309[[#This Row],[SATINALMA]]*DST_123_ÜRETİM_İHTİYAÇ_RAPORU_BURAK_YENI1309[[#This Row],[BIRIM_FIYATLAR]])&lt;1,VALUE("0"),DST_123_ÜRETİM_İHTİYAÇ_RAPORU_BURAK_YENI1309[[#This Row],[SATINALMA]]*DST_123_ÜRETİM_İHTİYAÇ_RAPORU_BURAK_YENI1309[[#This Row],[BIRIM_FIYATLAR]])</f>
        <v>133274.05000000002</v>
      </c>
      <c r="N3093">
        <v>1119.95</v>
      </c>
      <c r="O3093" t="s">
        <v>648</v>
      </c>
      <c r="P3093">
        <v>7839.6500000000005</v>
      </c>
      <c r="Q3093" t="s">
        <v>183</v>
      </c>
    </row>
    <row r="3094" spans="1:17" x14ac:dyDescent="0.25">
      <c r="A3094" t="s">
        <v>1144</v>
      </c>
      <c r="B3094" t="s">
        <v>1145</v>
      </c>
      <c r="C3094" t="s">
        <v>175</v>
      </c>
      <c r="D3094" t="s">
        <v>556</v>
      </c>
      <c r="E3094" t="s">
        <v>557</v>
      </c>
      <c r="F3094">
        <v>0.1</v>
      </c>
      <c r="G3094" t="s">
        <v>176</v>
      </c>
      <c r="H3094">
        <v>0</v>
      </c>
      <c r="I3094">
        <v>33</v>
      </c>
      <c r="J3094" s="10">
        <v>6.0999999999999988</v>
      </c>
      <c r="K3094" s="10">
        <f>SUMIFS(F:F,D:D,DST_123_ÜRETİM_İHTİYAÇ_RAPORU_BURAK_YENI1309[[#This Row],[ALT_KOD]])-(SUMIFS(H:H,D:D,DST_123_ÜRETİM_İHTİYAÇ_RAPORU_BURAK_YENI1309[[#This Row],[ALT_KOD]])+AVERAGEIFS(I:I,D:D,DST_123_ÜRETİM_İHTİYAÇ_RAPORU_BURAK_YENI1309[[#This Row],[ALT_KOD]])+AVERAGEIFS(L:L,D:D,DST_123_ÜRETİM_İHTİYAÇ_RAPORU_BURAK_YENI1309[[#This Row],[ALT_KOD]]))</f>
        <v>-32.299999999999997</v>
      </c>
      <c r="L3094">
        <v>0</v>
      </c>
      <c r="M3094">
        <f>IF((DST_123_ÜRETİM_İHTİYAÇ_RAPORU_BURAK_YENI1309[[#This Row],[SATINALMA]]*DST_123_ÜRETİM_İHTİYAÇ_RAPORU_BURAK_YENI1309[[#This Row],[BIRIM_FIYATLAR]])&lt;1,VALUE("0"),DST_123_ÜRETİM_İHTİYAÇ_RAPORU_BURAK_YENI1309[[#This Row],[SATINALMA]]*DST_123_ÜRETİM_İHTİYAÇ_RAPORU_BURAK_YENI1309[[#This Row],[BIRIM_FIYATLAR]])</f>
        <v>0</v>
      </c>
      <c r="N3094">
        <v>25</v>
      </c>
      <c r="O3094" t="s">
        <v>240</v>
      </c>
      <c r="P3094">
        <v>2.5</v>
      </c>
      <c r="Q3094" t="s">
        <v>180</v>
      </c>
    </row>
    <row r="3095" spans="1:17" x14ac:dyDescent="0.25">
      <c r="A3095" t="s">
        <v>1150</v>
      </c>
      <c r="B3095" t="s">
        <v>1145</v>
      </c>
      <c r="C3095" t="s">
        <v>175</v>
      </c>
      <c r="D3095" t="s">
        <v>951</v>
      </c>
      <c r="E3095" t="s">
        <v>952</v>
      </c>
      <c r="F3095">
        <v>4</v>
      </c>
      <c r="G3095" t="s">
        <v>176</v>
      </c>
      <c r="H3095">
        <v>0</v>
      </c>
      <c r="I3095">
        <v>996</v>
      </c>
      <c r="J3095" s="10">
        <v>0</v>
      </c>
      <c r="K3095" s="10">
        <f>SUMIFS(F:F,D:D,DST_123_ÜRETİM_İHTİYAÇ_RAPORU_BURAK_YENI1309[[#This Row],[ALT_KOD]])-(SUMIFS(H:H,D:D,DST_123_ÜRETİM_İHTİYAÇ_RAPORU_BURAK_YENI1309[[#This Row],[ALT_KOD]])+AVERAGEIFS(I:I,D:D,DST_123_ÜRETİM_İHTİYAÇ_RAPORU_BURAK_YENI1309[[#This Row],[ALT_KOD]])+AVERAGEIFS(L:L,D:D,DST_123_ÜRETİM_İHTİYAÇ_RAPORU_BURAK_YENI1309[[#This Row],[ALT_KOD]]))</f>
        <v>-980</v>
      </c>
      <c r="L3095">
        <v>0</v>
      </c>
      <c r="M3095">
        <f>IF((DST_123_ÜRETİM_İHTİYAÇ_RAPORU_BURAK_YENI1309[[#This Row],[SATINALMA]]*DST_123_ÜRETİM_İHTİYAÇ_RAPORU_BURAK_YENI1309[[#This Row],[BIRIM_FIYATLAR]])&lt;1,VALUE("0"),DST_123_ÜRETİM_İHTİYAÇ_RAPORU_BURAK_YENI1309[[#This Row],[SATINALMA]]*DST_123_ÜRETİM_İHTİYAÇ_RAPORU_BURAK_YENI1309[[#This Row],[BIRIM_FIYATLAR]])</f>
        <v>0</v>
      </c>
      <c r="N3095">
        <v>1.8</v>
      </c>
      <c r="O3095" t="s">
        <v>240</v>
      </c>
      <c r="P3095">
        <v>7.2</v>
      </c>
      <c r="Q3095" t="s">
        <v>180</v>
      </c>
    </row>
    <row r="3096" spans="1:17" x14ac:dyDescent="0.25">
      <c r="A3096" t="s">
        <v>1150</v>
      </c>
      <c r="B3096" t="s">
        <v>1145</v>
      </c>
      <c r="C3096" t="s">
        <v>175</v>
      </c>
      <c r="D3096" t="s">
        <v>575</v>
      </c>
      <c r="E3096" t="s">
        <v>576</v>
      </c>
      <c r="F3096">
        <v>4.4000000000000004</v>
      </c>
      <c r="G3096" t="s">
        <v>176</v>
      </c>
      <c r="H3096">
        <v>0</v>
      </c>
      <c r="I3096">
        <v>85</v>
      </c>
      <c r="J3096" s="10">
        <v>3.6500000000000128</v>
      </c>
      <c r="K3096" s="10">
        <f>SUMIFS(F:F,D:D,DST_123_ÜRETİM_İHTİYAÇ_RAPORU_BURAK_YENI1309[[#This Row],[ALT_KOD]])-(SUMIFS(H:H,D:D,DST_123_ÜRETİM_İHTİYAÇ_RAPORU_BURAK_YENI1309[[#This Row],[ALT_KOD]])+AVERAGEIFS(I:I,D:D,DST_123_ÜRETİM_İHTİYAÇ_RAPORU_BURAK_YENI1309[[#This Row],[ALT_KOD]])+AVERAGEIFS(L:L,D:D,DST_123_ÜRETİM_İHTİYAÇ_RAPORU_BURAK_YENI1309[[#This Row],[ALT_KOD]]))</f>
        <v>12.550000000000011</v>
      </c>
      <c r="L3096">
        <v>0</v>
      </c>
      <c r="M3096">
        <f>IF((DST_123_ÜRETİM_İHTİYAÇ_RAPORU_BURAK_YENI1309[[#This Row],[SATINALMA]]*DST_123_ÜRETİM_İHTİYAÇ_RAPORU_BURAK_YENI1309[[#This Row],[BIRIM_FIYATLAR]])&lt;1,VALUE("0"),DST_123_ÜRETİM_İHTİYAÇ_RAPORU_BURAK_YENI1309[[#This Row],[SATINALMA]]*DST_123_ÜRETİM_İHTİYAÇ_RAPORU_BURAK_YENI1309[[#This Row],[BIRIM_FIYATLAR]])</f>
        <v>4368.7805000000044</v>
      </c>
      <c r="N3096">
        <v>348.11</v>
      </c>
      <c r="O3096" t="s">
        <v>250</v>
      </c>
      <c r="P3096">
        <v>1531.6840000000002</v>
      </c>
      <c r="Q3096" t="s">
        <v>183</v>
      </c>
    </row>
    <row r="3097" spans="1:17" x14ac:dyDescent="0.25">
      <c r="A3097" t="s">
        <v>1148</v>
      </c>
      <c r="B3097" t="s">
        <v>1056</v>
      </c>
      <c r="C3097" t="s">
        <v>175</v>
      </c>
      <c r="D3097" t="s">
        <v>692</v>
      </c>
      <c r="E3097" t="s">
        <v>693</v>
      </c>
      <c r="F3097">
        <v>13</v>
      </c>
      <c r="G3097" t="s">
        <v>182</v>
      </c>
      <c r="H3097">
        <v>0</v>
      </c>
      <c r="I3097">
        <v>0</v>
      </c>
      <c r="J3097" s="10">
        <v>139.96999999999997</v>
      </c>
      <c r="K3097" s="10">
        <f>SUMIFS(F:F,D:D,DST_123_ÜRETİM_İHTİYAÇ_RAPORU_BURAK_YENI1309[[#This Row],[ALT_KOD]])-(SUMIFS(H:H,D:D,DST_123_ÜRETİM_İHTİYAÇ_RAPORU_BURAK_YENI1309[[#This Row],[ALT_KOD]])+AVERAGEIFS(I:I,D:D,DST_123_ÜRETİM_İHTİYAÇ_RAPORU_BURAK_YENI1309[[#This Row],[ALT_KOD]])+AVERAGEIFS(L:L,D:D,DST_123_ÜRETİM_İHTİYAÇ_RAPORU_BURAK_YENI1309[[#This Row],[ALT_KOD]]))</f>
        <v>74.11</v>
      </c>
      <c r="L3097">
        <v>11.89</v>
      </c>
      <c r="M3097">
        <f>IF((DST_123_ÜRETİM_İHTİYAÇ_RAPORU_BURAK_YENI1309[[#This Row],[SATINALMA]]*DST_123_ÜRETİM_İHTİYAÇ_RAPORU_BURAK_YENI1309[[#This Row],[BIRIM_FIYATLAR]])&lt;1,VALUE("0"),DST_123_ÜRETİM_İHTİYAÇ_RAPORU_BURAK_YENI1309[[#This Row],[SATINALMA]]*DST_123_ÜRETİM_İHTİYAÇ_RAPORU_BURAK_YENI1309[[#This Row],[BIRIM_FIYATLAR]])</f>
        <v>21706.819</v>
      </c>
      <c r="N3097">
        <v>292.89999999999998</v>
      </c>
      <c r="O3097" t="s">
        <v>223</v>
      </c>
      <c r="P3097">
        <v>3807.7</v>
      </c>
      <c r="Q3097" t="s">
        <v>181</v>
      </c>
    </row>
    <row r="3098" spans="1:17" x14ac:dyDescent="0.25">
      <c r="A3098" t="s">
        <v>1101</v>
      </c>
      <c r="B3098" t="s">
        <v>1102</v>
      </c>
      <c r="C3098" t="s">
        <v>175</v>
      </c>
      <c r="D3098" t="s">
        <v>750</v>
      </c>
      <c r="E3098" t="s">
        <v>751</v>
      </c>
      <c r="F3098">
        <v>12</v>
      </c>
      <c r="G3098" t="s">
        <v>176</v>
      </c>
      <c r="H3098">
        <v>0</v>
      </c>
      <c r="I3098">
        <v>0</v>
      </c>
      <c r="J3098" s="10">
        <v>0</v>
      </c>
      <c r="K3098" s="10">
        <f>SUMIFS(F:F,D:D,DST_123_ÜRETİM_İHTİYAÇ_RAPORU_BURAK_YENI1309[[#This Row],[ALT_KOD]])-(SUMIFS(H:H,D:D,DST_123_ÜRETİM_İHTİYAÇ_RAPORU_BURAK_YENI1309[[#This Row],[ALT_KOD]])+AVERAGEIFS(I:I,D:D,DST_123_ÜRETİM_İHTİYAÇ_RAPORU_BURAK_YENI1309[[#This Row],[ALT_KOD]])+AVERAGEIFS(L:L,D:D,DST_123_ÜRETİM_İHTİYAÇ_RAPORU_BURAK_YENI1309[[#This Row],[ALT_KOD]]))</f>
        <v>124</v>
      </c>
      <c r="L3098">
        <v>0</v>
      </c>
      <c r="M3098">
        <f>IF((DST_123_ÜRETİM_İHTİYAÇ_RAPORU_BURAK_YENI1309[[#This Row],[SATINALMA]]*DST_123_ÜRETİM_İHTİYAÇ_RAPORU_BURAK_YENI1309[[#This Row],[BIRIM_FIYATLAR]])&lt;1,VALUE("0"),DST_123_ÜRETİM_İHTİYAÇ_RAPORU_BURAK_YENI1309[[#This Row],[SATINALMA]]*DST_123_ÜRETİM_İHTİYAÇ_RAPORU_BURAK_YENI1309[[#This Row],[BIRIM_FIYATLAR]])</f>
        <v>217</v>
      </c>
      <c r="N3098">
        <v>1.75</v>
      </c>
      <c r="O3098" t="s">
        <v>240</v>
      </c>
      <c r="P3098">
        <v>21</v>
      </c>
      <c r="Q3098" t="s">
        <v>180</v>
      </c>
    </row>
    <row r="3099" spans="1:17" x14ac:dyDescent="0.25">
      <c r="A3099" t="s">
        <v>1148</v>
      </c>
      <c r="B3099" t="s">
        <v>1056</v>
      </c>
      <c r="C3099" t="s">
        <v>175</v>
      </c>
      <c r="D3099" t="s">
        <v>943</v>
      </c>
      <c r="E3099" t="s">
        <v>944</v>
      </c>
      <c r="F3099">
        <v>1</v>
      </c>
      <c r="G3099" t="s">
        <v>176</v>
      </c>
      <c r="H3099">
        <v>0</v>
      </c>
      <c r="I3099">
        <v>0</v>
      </c>
      <c r="J3099" s="10">
        <v>0</v>
      </c>
      <c r="K3099" s="10">
        <f>SUMIFS(F:F,D:D,DST_123_ÜRETİM_İHTİYAÇ_RAPORU_BURAK_YENI1309[[#This Row],[ALT_KOD]])-(SUMIFS(H:H,D:D,DST_123_ÜRETİM_İHTİYAÇ_RAPORU_BURAK_YENI1309[[#This Row],[ALT_KOD]])+AVERAGEIFS(I:I,D:D,DST_123_ÜRETİM_İHTİYAÇ_RAPORU_BURAK_YENI1309[[#This Row],[ALT_KOD]])+AVERAGEIFS(L:L,D:D,DST_123_ÜRETİM_İHTİYAÇ_RAPORU_BURAK_YENI1309[[#This Row],[ALT_KOD]]))</f>
        <v>6.5</v>
      </c>
      <c r="L3099">
        <v>0</v>
      </c>
      <c r="M3099">
        <f>IF((DST_123_ÜRETİM_İHTİYAÇ_RAPORU_BURAK_YENI1309[[#This Row],[SATINALMA]]*DST_123_ÜRETİM_İHTİYAÇ_RAPORU_BURAK_YENI1309[[#This Row],[BIRIM_FIYATLAR]])&lt;1,VALUE("0"),DST_123_ÜRETİM_İHTİYAÇ_RAPORU_BURAK_YENI1309[[#This Row],[SATINALMA]]*DST_123_ÜRETİM_İHTİYAÇ_RAPORU_BURAK_YENI1309[[#This Row],[BIRIM_FIYATLAR]])</f>
        <v>247</v>
      </c>
      <c r="N3099">
        <v>38</v>
      </c>
      <c r="O3099" t="s">
        <v>240</v>
      </c>
      <c r="P3099">
        <v>38</v>
      </c>
      <c r="Q3099" t="s">
        <v>183</v>
      </c>
    </row>
    <row r="3100" spans="1:17" x14ac:dyDescent="0.25">
      <c r="A3100" t="s">
        <v>1057</v>
      </c>
      <c r="B3100" t="s">
        <v>1058</v>
      </c>
      <c r="C3100" t="s">
        <v>175</v>
      </c>
      <c r="D3100" t="s">
        <v>500</v>
      </c>
      <c r="E3100" t="s">
        <v>501</v>
      </c>
      <c r="F3100">
        <v>4</v>
      </c>
      <c r="G3100" t="s">
        <v>179</v>
      </c>
      <c r="H3100">
        <v>0</v>
      </c>
      <c r="I3100">
        <v>0</v>
      </c>
      <c r="J3100" s="10">
        <v>27</v>
      </c>
      <c r="K3100" s="10">
        <f>SUMIFS(F:F,D:D,DST_123_ÜRETİM_İHTİYAÇ_RAPORU_BURAK_YENI1309[[#This Row],[ALT_KOD]])-(SUMIFS(H:H,D:D,DST_123_ÜRETİM_İHTİYAÇ_RAPORU_BURAK_YENI1309[[#This Row],[ALT_KOD]])+AVERAGEIFS(I:I,D:D,DST_123_ÜRETİM_İHTİYAÇ_RAPORU_BURAK_YENI1309[[#This Row],[ALT_KOD]])+AVERAGEIFS(L:L,D:D,DST_123_ÜRETİM_İHTİYAÇ_RAPORU_BURAK_YENI1309[[#This Row],[ALT_KOD]]))</f>
        <v>30.5</v>
      </c>
      <c r="L3100">
        <v>0</v>
      </c>
      <c r="M3100">
        <f>IF((DST_123_ÜRETİM_İHTİYAÇ_RAPORU_BURAK_YENI1309[[#This Row],[SATINALMA]]*DST_123_ÜRETİM_İHTİYAÇ_RAPORU_BURAK_YENI1309[[#This Row],[BIRIM_FIYATLAR]])&lt;1,VALUE("0"),DST_123_ÜRETİM_İHTİYAÇ_RAPORU_BURAK_YENI1309[[#This Row],[SATINALMA]]*DST_123_ÜRETİM_İHTİYAÇ_RAPORU_BURAK_YENI1309[[#This Row],[BIRIM_FIYATLAR]])</f>
        <v>396.5</v>
      </c>
      <c r="N3100">
        <v>13</v>
      </c>
      <c r="P3100">
        <v>52</v>
      </c>
      <c r="Q3100" t="s">
        <v>221</v>
      </c>
    </row>
    <row r="3101" spans="1:17" x14ac:dyDescent="0.25">
      <c r="A3101" t="s">
        <v>1101</v>
      </c>
      <c r="B3101" t="s">
        <v>1102</v>
      </c>
      <c r="C3101" t="s">
        <v>175</v>
      </c>
      <c r="D3101" t="s">
        <v>500</v>
      </c>
      <c r="E3101" t="s">
        <v>501</v>
      </c>
      <c r="F3101">
        <v>4</v>
      </c>
      <c r="G3101" t="s">
        <v>179</v>
      </c>
      <c r="H3101">
        <v>0</v>
      </c>
      <c r="I3101">
        <v>0</v>
      </c>
      <c r="J3101" s="10">
        <v>27</v>
      </c>
      <c r="K3101" s="10">
        <f>SUMIFS(F:F,D:D,DST_123_ÜRETİM_İHTİYAÇ_RAPORU_BURAK_YENI1309[[#This Row],[ALT_KOD]])-(SUMIFS(H:H,D:D,DST_123_ÜRETİM_İHTİYAÇ_RAPORU_BURAK_YENI1309[[#This Row],[ALT_KOD]])+AVERAGEIFS(I:I,D:D,DST_123_ÜRETİM_İHTİYAÇ_RAPORU_BURAK_YENI1309[[#This Row],[ALT_KOD]])+AVERAGEIFS(L:L,D:D,DST_123_ÜRETİM_İHTİYAÇ_RAPORU_BURAK_YENI1309[[#This Row],[ALT_KOD]]))</f>
        <v>30.5</v>
      </c>
      <c r="L3101">
        <v>0</v>
      </c>
      <c r="M3101">
        <f>IF((DST_123_ÜRETİM_İHTİYAÇ_RAPORU_BURAK_YENI1309[[#This Row],[SATINALMA]]*DST_123_ÜRETİM_İHTİYAÇ_RAPORU_BURAK_YENI1309[[#This Row],[BIRIM_FIYATLAR]])&lt;1,VALUE("0"),DST_123_ÜRETİM_İHTİYAÇ_RAPORU_BURAK_YENI1309[[#This Row],[SATINALMA]]*DST_123_ÜRETİM_İHTİYAÇ_RAPORU_BURAK_YENI1309[[#This Row],[BIRIM_FIYATLAR]])</f>
        <v>396.5</v>
      </c>
      <c r="N3101">
        <v>13</v>
      </c>
      <c r="P3101">
        <v>52</v>
      </c>
      <c r="Q3101" t="s">
        <v>221</v>
      </c>
    </row>
    <row r="3102" spans="1:17" x14ac:dyDescent="0.25">
      <c r="A3102" t="s">
        <v>1099</v>
      </c>
      <c r="B3102" t="s">
        <v>1055</v>
      </c>
      <c r="C3102" t="s">
        <v>175</v>
      </c>
      <c r="D3102" t="s">
        <v>692</v>
      </c>
      <c r="E3102" t="s">
        <v>693</v>
      </c>
      <c r="F3102">
        <v>15</v>
      </c>
      <c r="G3102" t="s">
        <v>182</v>
      </c>
      <c r="H3102">
        <v>0</v>
      </c>
      <c r="I3102">
        <v>0</v>
      </c>
      <c r="J3102" s="10">
        <v>139.96999999999997</v>
      </c>
      <c r="K3102" s="10">
        <f>SUMIFS(F:F,D:D,DST_123_ÜRETİM_İHTİYAÇ_RAPORU_BURAK_YENI1309[[#This Row],[ALT_KOD]])-(SUMIFS(H:H,D:D,DST_123_ÜRETİM_İHTİYAÇ_RAPORU_BURAK_YENI1309[[#This Row],[ALT_KOD]])+AVERAGEIFS(I:I,D:D,DST_123_ÜRETİM_İHTİYAÇ_RAPORU_BURAK_YENI1309[[#This Row],[ALT_KOD]])+AVERAGEIFS(L:L,D:D,DST_123_ÜRETİM_İHTİYAÇ_RAPORU_BURAK_YENI1309[[#This Row],[ALT_KOD]]))</f>
        <v>74.11</v>
      </c>
      <c r="L3102">
        <v>11.89</v>
      </c>
      <c r="M3102">
        <f>IF((DST_123_ÜRETİM_İHTİYAÇ_RAPORU_BURAK_YENI1309[[#This Row],[SATINALMA]]*DST_123_ÜRETİM_İHTİYAÇ_RAPORU_BURAK_YENI1309[[#This Row],[BIRIM_FIYATLAR]])&lt;1,VALUE("0"),DST_123_ÜRETİM_İHTİYAÇ_RAPORU_BURAK_YENI1309[[#This Row],[SATINALMA]]*DST_123_ÜRETİM_İHTİYAÇ_RAPORU_BURAK_YENI1309[[#This Row],[BIRIM_FIYATLAR]])</f>
        <v>21706.819</v>
      </c>
      <c r="N3102">
        <v>292.89999999999998</v>
      </c>
      <c r="O3102" t="s">
        <v>223</v>
      </c>
      <c r="P3102">
        <v>4393.5</v>
      </c>
      <c r="Q3102" t="s">
        <v>181</v>
      </c>
    </row>
    <row r="3103" spans="1:17" x14ac:dyDescent="0.25">
      <c r="A3103" t="s">
        <v>1099</v>
      </c>
      <c r="B3103" t="s">
        <v>1055</v>
      </c>
      <c r="C3103" t="s">
        <v>175</v>
      </c>
      <c r="D3103" t="s">
        <v>943</v>
      </c>
      <c r="E3103" t="s">
        <v>944</v>
      </c>
      <c r="F3103">
        <v>1</v>
      </c>
      <c r="G3103" t="s">
        <v>176</v>
      </c>
      <c r="H3103">
        <v>0</v>
      </c>
      <c r="I3103">
        <v>0</v>
      </c>
      <c r="J3103" s="10">
        <v>0</v>
      </c>
      <c r="K3103" s="10">
        <f>SUMIFS(F:F,D:D,DST_123_ÜRETİM_İHTİYAÇ_RAPORU_BURAK_YENI1309[[#This Row],[ALT_KOD]])-(SUMIFS(H:H,D:D,DST_123_ÜRETİM_İHTİYAÇ_RAPORU_BURAK_YENI1309[[#This Row],[ALT_KOD]])+AVERAGEIFS(I:I,D:D,DST_123_ÜRETİM_İHTİYAÇ_RAPORU_BURAK_YENI1309[[#This Row],[ALT_KOD]])+AVERAGEIFS(L:L,D:D,DST_123_ÜRETİM_İHTİYAÇ_RAPORU_BURAK_YENI1309[[#This Row],[ALT_KOD]]))</f>
        <v>6.5</v>
      </c>
      <c r="L3103">
        <v>0</v>
      </c>
      <c r="M3103">
        <f>IF((DST_123_ÜRETİM_İHTİYAÇ_RAPORU_BURAK_YENI1309[[#This Row],[SATINALMA]]*DST_123_ÜRETİM_İHTİYAÇ_RAPORU_BURAK_YENI1309[[#This Row],[BIRIM_FIYATLAR]])&lt;1,VALUE("0"),DST_123_ÜRETİM_İHTİYAÇ_RAPORU_BURAK_YENI1309[[#This Row],[SATINALMA]]*DST_123_ÜRETİM_İHTİYAÇ_RAPORU_BURAK_YENI1309[[#This Row],[BIRIM_FIYATLAR]])</f>
        <v>247</v>
      </c>
      <c r="N3103">
        <v>38</v>
      </c>
      <c r="O3103" t="s">
        <v>240</v>
      </c>
      <c r="P3103">
        <v>38</v>
      </c>
      <c r="Q3103" t="s">
        <v>183</v>
      </c>
    </row>
    <row r="3104" spans="1:17" x14ac:dyDescent="0.25">
      <c r="A3104" t="s">
        <v>1148</v>
      </c>
      <c r="B3104" t="s">
        <v>1056</v>
      </c>
      <c r="C3104" t="s">
        <v>175</v>
      </c>
      <c r="D3104" t="s">
        <v>145</v>
      </c>
      <c r="E3104" t="s">
        <v>146</v>
      </c>
      <c r="F3104">
        <v>5</v>
      </c>
      <c r="G3104" t="s">
        <v>176</v>
      </c>
      <c r="H3104">
        <v>0</v>
      </c>
      <c r="I3104">
        <v>0</v>
      </c>
      <c r="J3104" s="10">
        <v>4.0000000000000497</v>
      </c>
      <c r="K3104" s="10">
        <f>SUMIFS(F:F,D:D,DST_123_ÜRETİM_İHTİYAÇ_RAPORU_BURAK_YENI1309[[#This Row],[ALT_KOD]])-(SUMIFS(H:H,D:D,DST_123_ÜRETİM_İHTİYAÇ_RAPORU_BURAK_YENI1309[[#This Row],[ALT_KOD]])+AVERAGEIFS(I:I,D:D,DST_123_ÜRETİM_İHTİYAÇ_RAPORU_BURAK_YENI1309[[#This Row],[ALT_KOD]])+AVERAGEIFS(L:L,D:D,DST_123_ÜRETİM_İHTİYAÇ_RAPORU_BURAK_YENI1309[[#This Row],[ALT_KOD]]))</f>
        <v>28.999999999999993</v>
      </c>
      <c r="L3104">
        <v>22</v>
      </c>
      <c r="M3104">
        <f>IF((DST_123_ÜRETİM_İHTİYAÇ_RAPORU_BURAK_YENI1309[[#This Row],[SATINALMA]]*DST_123_ÜRETİM_İHTİYAÇ_RAPORU_BURAK_YENI1309[[#This Row],[BIRIM_FIYATLAR]])&lt;1,VALUE("0"),DST_123_ÜRETİM_İHTİYAÇ_RAPORU_BURAK_YENI1309[[#This Row],[SATINALMA]]*DST_123_ÜRETİM_İHTİYAÇ_RAPORU_BURAK_YENI1309[[#This Row],[BIRIM_FIYATLAR]])</f>
        <v>30208.429999999993</v>
      </c>
      <c r="N3104">
        <v>1041.67</v>
      </c>
      <c r="O3104" t="s">
        <v>223</v>
      </c>
      <c r="P3104">
        <v>5208.3500000000004</v>
      </c>
      <c r="Q3104" t="s">
        <v>181</v>
      </c>
    </row>
    <row r="3105" spans="1:17" x14ac:dyDescent="0.25">
      <c r="A3105" t="s">
        <v>1147</v>
      </c>
      <c r="B3105" t="s">
        <v>1145</v>
      </c>
      <c r="C3105" t="s">
        <v>175</v>
      </c>
      <c r="D3105" t="s">
        <v>836</v>
      </c>
      <c r="E3105" t="s">
        <v>837</v>
      </c>
      <c r="F3105">
        <v>120</v>
      </c>
      <c r="G3105" t="s">
        <v>179</v>
      </c>
      <c r="H3105">
        <v>0</v>
      </c>
      <c r="I3105">
        <v>0</v>
      </c>
      <c r="J3105" s="10">
        <v>0</v>
      </c>
      <c r="K3105" s="10">
        <f>SUMIFS(F:F,D:D,DST_123_ÜRETİM_İHTİYAÇ_RAPORU_BURAK_YENI1309[[#This Row],[ALT_KOD]])-(SUMIFS(H:H,D:D,DST_123_ÜRETİM_İHTİYAÇ_RAPORU_BURAK_YENI1309[[#This Row],[ALT_KOD]])+AVERAGEIFS(I:I,D:D,DST_123_ÜRETİM_İHTİYAÇ_RAPORU_BURAK_YENI1309[[#This Row],[ALT_KOD]])+AVERAGEIFS(L:L,D:D,DST_123_ÜRETİM_İHTİYAÇ_RAPORU_BURAK_YENI1309[[#This Row],[ALT_KOD]]))</f>
        <v>1760</v>
      </c>
      <c r="L3105">
        <v>0</v>
      </c>
      <c r="M3105">
        <f>IF((DST_123_ÜRETİM_İHTİYAÇ_RAPORU_BURAK_YENI1309[[#This Row],[SATINALMA]]*DST_123_ÜRETİM_İHTİYAÇ_RAPORU_BURAK_YENI1309[[#This Row],[BIRIM_FIYATLAR]])&lt;1,VALUE("0"),DST_123_ÜRETİM_İHTİYAÇ_RAPORU_BURAK_YENI1309[[#This Row],[SATINALMA]]*DST_123_ÜRETİM_İHTİYAÇ_RAPORU_BURAK_YENI1309[[#This Row],[BIRIM_FIYATLAR]])</f>
        <v>0</v>
      </c>
      <c r="N3105">
        <v>0</v>
      </c>
      <c r="P3105">
        <v>0</v>
      </c>
      <c r="Q3105" t="s">
        <v>184</v>
      </c>
    </row>
    <row r="3106" spans="1:17" x14ac:dyDescent="0.25">
      <c r="A3106" t="s">
        <v>1148</v>
      </c>
      <c r="B3106" t="s">
        <v>1056</v>
      </c>
      <c r="C3106" t="s">
        <v>175</v>
      </c>
      <c r="D3106" t="s">
        <v>836</v>
      </c>
      <c r="E3106" t="s">
        <v>837</v>
      </c>
      <c r="F3106">
        <v>120</v>
      </c>
      <c r="G3106" t="s">
        <v>179</v>
      </c>
      <c r="H3106">
        <v>0</v>
      </c>
      <c r="I3106">
        <v>0</v>
      </c>
      <c r="J3106" s="10">
        <v>0</v>
      </c>
      <c r="K3106" s="10">
        <f>SUMIFS(F:F,D:D,DST_123_ÜRETİM_İHTİYAÇ_RAPORU_BURAK_YENI1309[[#This Row],[ALT_KOD]])-(SUMIFS(H:H,D:D,DST_123_ÜRETİM_İHTİYAÇ_RAPORU_BURAK_YENI1309[[#This Row],[ALT_KOD]])+AVERAGEIFS(I:I,D:D,DST_123_ÜRETİM_İHTİYAÇ_RAPORU_BURAK_YENI1309[[#This Row],[ALT_KOD]])+AVERAGEIFS(L:L,D:D,DST_123_ÜRETİM_İHTİYAÇ_RAPORU_BURAK_YENI1309[[#This Row],[ALT_KOD]]))</f>
        <v>1760</v>
      </c>
      <c r="L3106">
        <v>0</v>
      </c>
      <c r="M3106">
        <f>IF((DST_123_ÜRETİM_İHTİYAÇ_RAPORU_BURAK_YENI1309[[#This Row],[SATINALMA]]*DST_123_ÜRETİM_İHTİYAÇ_RAPORU_BURAK_YENI1309[[#This Row],[BIRIM_FIYATLAR]])&lt;1,VALUE("0"),DST_123_ÜRETİM_İHTİYAÇ_RAPORU_BURAK_YENI1309[[#This Row],[SATINALMA]]*DST_123_ÜRETİM_İHTİYAÇ_RAPORU_BURAK_YENI1309[[#This Row],[BIRIM_FIYATLAR]])</f>
        <v>0</v>
      </c>
      <c r="N3106">
        <v>0</v>
      </c>
      <c r="P3106">
        <v>0</v>
      </c>
      <c r="Q3106" t="s">
        <v>184</v>
      </c>
    </row>
    <row r="3107" spans="1:17" x14ac:dyDescent="0.25">
      <c r="A3107" t="s">
        <v>1057</v>
      </c>
      <c r="B3107" t="s">
        <v>1058</v>
      </c>
      <c r="C3107" t="s">
        <v>175</v>
      </c>
      <c r="D3107" t="s">
        <v>953</v>
      </c>
      <c r="E3107" t="s">
        <v>954</v>
      </c>
      <c r="F3107">
        <v>2</v>
      </c>
      <c r="G3107" t="s">
        <v>176</v>
      </c>
      <c r="H3107">
        <v>0</v>
      </c>
      <c r="I3107">
        <v>48</v>
      </c>
      <c r="J3107" s="10">
        <v>2</v>
      </c>
      <c r="K3107" s="10">
        <f>SUMIFS(F:F,D:D,DST_123_ÜRETİM_İHTİYAÇ_RAPORU_BURAK_YENI1309[[#This Row],[ALT_KOD]])-(SUMIFS(H:H,D:D,DST_123_ÜRETİM_İHTİYAÇ_RAPORU_BURAK_YENI1309[[#This Row],[ALT_KOD]])+AVERAGEIFS(I:I,D:D,DST_123_ÜRETİM_İHTİYAÇ_RAPORU_BURAK_YENI1309[[#This Row],[ALT_KOD]])+AVERAGEIFS(L:L,D:D,DST_123_ÜRETİM_İHTİYAÇ_RAPORU_BURAK_YENI1309[[#This Row],[ALT_KOD]]))</f>
        <v>-44</v>
      </c>
      <c r="L3107">
        <v>0</v>
      </c>
      <c r="M3107">
        <f>IF((DST_123_ÜRETİM_İHTİYAÇ_RAPORU_BURAK_YENI1309[[#This Row],[SATINALMA]]*DST_123_ÜRETİM_İHTİYAÇ_RAPORU_BURAK_YENI1309[[#This Row],[BIRIM_FIYATLAR]])&lt;1,VALUE("0"),DST_123_ÜRETİM_İHTİYAÇ_RAPORU_BURAK_YENI1309[[#This Row],[SATINALMA]]*DST_123_ÜRETİM_İHTİYAÇ_RAPORU_BURAK_YENI1309[[#This Row],[BIRIM_FIYATLAR]])</f>
        <v>0</v>
      </c>
      <c r="N3107">
        <v>428.63</v>
      </c>
      <c r="O3107" t="s">
        <v>636</v>
      </c>
      <c r="P3107">
        <v>857.26</v>
      </c>
      <c r="Q3107" t="s">
        <v>178</v>
      </c>
    </row>
    <row r="3108" spans="1:17" x14ac:dyDescent="0.25">
      <c r="A3108" t="s">
        <v>1147</v>
      </c>
      <c r="B3108" t="s">
        <v>1145</v>
      </c>
      <c r="C3108" t="s">
        <v>175</v>
      </c>
      <c r="D3108" t="s">
        <v>319</v>
      </c>
      <c r="E3108" t="s">
        <v>320</v>
      </c>
      <c r="F3108">
        <v>0.13</v>
      </c>
      <c r="G3108" t="s">
        <v>186</v>
      </c>
      <c r="H3108">
        <v>0</v>
      </c>
      <c r="I3108">
        <v>0</v>
      </c>
      <c r="J3108" s="10">
        <v>4.5430000000000446</v>
      </c>
      <c r="K3108" s="10">
        <f>SUMIFS(F:F,D:D,DST_123_ÜRETİM_İHTİYAÇ_RAPORU_BURAK_YENI1309[[#This Row],[ALT_KOD]])-(SUMIFS(H:H,D:D,DST_123_ÜRETİM_İHTİYAÇ_RAPORU_BURAK_YENI1309[[#This Row],[ALT_KOD]])+AVERAGEIFS(I:I,D:D,DST_123_ÜRETİM_İHTİYAÇ_RAPORU_BURAK_YENI1309[[#This Row],[ALT_KOD]])+AVERAGEIFS(L:L,D:D,DST_123_ÜRETİM_İHTİYAÇ_RAPORU_BURAK_YENI1309[[#This Row],[ALT_KOD]]))</f>
        <v>1.4260000000000002</v>
      </c>
      <c r="L3108">
        <v>0</v>
      </c>
      <c r="M3108">
        <f>IF((DST_123_ÜRETİM_İHTİYAÇ_RAPORU_BURAK_YENI1309[[#This Row],[SATINALMA]]*DST_123_ÜRETİM_İHTİYAÇ_RAPORU_BURAK_YENI1309[[#This Row],[BIRIM_FIYATLAR]])&lt;1,VALUE("0"),DST_123_ÜRETİM_İHTİYAÇ_RAPORU_BURAK_YENI1309[[#This Row],[SATINALMA]]*DST_123_ÜRETİM_İHTİYAÇ_RAPORU_BURAK_YENI1309[[#This Row],[BIRIM_FIYATLAR]])</f>
        <v>27807.000000000004</v>
      </c>
      <c r="N3108">
        <v>19500</v>
      </c>
      <c r="O3108" t="s">
        <v>762</v>
      </c>
      <c r="P3108">
        <v>2535</v>
      </c>
      <c r="Q3108" t="s">
        <v>181</v>
      </c>
    </row>
    <row r="3109" spans="1:17" x14ac:dyDescent="0.25">
      <c r="A3109" t="s">
        <v>1148</v>
      </c>
      <c r="B3109" t="s">
        <v>1056</v>
      </c>
      <c r="C3109" t="s">
        <v>175</v>
      </c>
      <c r="D3109" t="s">
        <v>319</v>
      </c>
      <c r="E3109" t="s">
        <v>320</v>
      </c>
      <c r="F3109">
        <v>0.124</v>
      </c>
      <c r="G3109" t="s">
        <v>186</v>
      </c>
      <c r="H3109">
        <v>0</v>
      </c>
      <c r="I3109">
        <v>0</v>
      </c>
      <c r="J3109" s="10">
        <v>4.5430000000000446</v>
      </c>
      <c r="K3109" s="10">
        <f>SUMIFS(F:F,D:D,DST_123_ÜRETİM_İHTİYAÇ_RAPORU_BURAK_YENI1309[[#This Row],[ALT_KOD]])-(SUMIFS(H:H,D:D,DST_123_ÜRETİM_İHTİYAÇ_RAPORU_BURAK_YENI1309[[#This Row],[ALT_KOD]])+AVERAGEIFS(I:I,D:D,DST_123_ÜRETİM_İHTİYAÇ_RAPORU_BURAK_YENI1309[[#This Row],[ALT_KOD]])+AVERAGEIFS(L:L,D:D,DST_123_ÜRETİM_İHTİYAÇ_RAPORU_BURAK_YENI1309[[#This Row],[ALT_KOD]]))</f>
        <v>1.4260000000000002</v>
      </c>
      <c r="L3109">
        <v>0</v>
      </c>
      <c r="M3109">
        <f>IF((DST_123_ÜRETİM_İHTİYAÇ_RAPORU_BURAK_YENI1309[[#This Row],[SATINALMA]]*DST_123_ÜRETİM_İHTİYAÇ_RAPORU_BURAK_YENI1309[[#This Row],[BIRIM_FIYATLAR]])&lt;1,VALUE("0"),DST_123_ÜRETİM_İHTİYAÇ_RAPORU_BURAK_YENI1309[[#This Row],[SATINALMA]]*DST_123_ÜRETİM_İHTİYAÇ_RAPORU_BURAK_YENI1309[[#This Row],[BIRIM_FIYATLAR]])</f>
        <v>27807.000000000004</v>
      </c>
      <c r="N3109">
        <v>19500</v>
      </c>
      <c r="O3109" t="s">
        <v>762</v>
      </c>
      <c r="P3109">
        <v>2418</v>
      </c>
      <c r="Q3109" t="s">
        <v>181</v>
      </c>
    </row>
    <row r="3110" spans="1:17" x14ac:dyDescent="0.25">
      <c r="A3110" t="s">
        <v>1148</v>
      </c>
      <c r="B3110" t="s">
        <v>1056</v>
      </c>
      <c r="C3110" t="s">
        <v>175</v>
      </c>
      <c r="D3110" t="s">
        <v>697</v>
      </c>
      <c r="E3110" t="s">
        <v>698</v>
      </c>
      <c r="F3110">
        <v>1</v>
      </c>
      <c r="G3110" t="s">
        <v>176</v>
      </c>
      <c r="H3110">
        <v>0</v>
      </c>
      <c r="I3110">
        <v>6</v>
      </c>
      <c r="J3110" s="10">
        <v>5</v>
      </c>
      <c r="K3110" s="10">
        <f>SUMIFS(F:F,D:D,DST_123_ÜRETİM_İHTİYAÇ_RAPORU_BURAK_YENI1309[[#This Row],[ALT_KOD]])-(SUMIFS(H:H,D:D,DST_123_ÜRETİM_İHTİYAÇ_RAPORU_BURAK_YENI1309[[#This Row],[ALT_KOD]])+AVERAGEIFS(I:I,D:D,DST_123_ÜRETİM_İHTİYAÇ_RAPORU_BURAK_YENI1309[[#This Row],[ALT_KOD]])+AVERAGEIFS(L:L,D:D,DST_123_ÜRETİM_İHTİYAÇ_RAPORU_BURAK_YENI1309[[#This Row],[ALT_KOD]]))</f>
        <v>5</v>
      </c>
      <c r="L3110">
        <v>0</v>
      </c>
      <c r="M3110">
        <f>IF((DST_123_ÜRETİM_İHTİYAÇ_RAPORU_BURAK_YENI1309[[#This Row],[SATINALMA]]*DST_123_ÜRETİM_İHTİYAÇ_RAPORU_BURAK_YENI1309[[#This Row],[BIRIM_FIYATLAR]])&lt;1,VALUE("0"),DST_123_ÜRETİM_İHTİYAÇ_RAPORU_BURAK_YENI1309[[#This Row],[SATINALMA]]*DST_123_ÜRETİM_İHTİYAÇ_RAPORU_BURAK_YENI1309[[#This Row],[BIRIM_FIYATLAR]])</f>
        <v>11000</v>
      </c>
      <c r="N3110">
        <v>2200</v>
      </c>
      <c r="O3110" t="s">
        <v>251</v>
      </c>
      <c r="P3110">
        <v>2200</v>
      </c>
      <c r="Q3110" t="s">
        <v>178</v>
      </c>
    </row>
    <row r="3111" spans="1:17" x14ac:dyDescent="0.25">
      <c r="A3111" t="s">
        <v>1101</v>
      </c>
      <c r="B3111" t="s">
        <v>1102</v>
      </c>
      <c r="C3111" t="s">
        <v>175</v>
      </c>
      <c r="D3111" t="s">
        <v>120</v>
      </c>
      <c r="E3111" t="s">
        <v>311</v>
      </c>
      <c r="F3111">
        <v>2</v>
      </c>
      <c r="G3111" t="s">
        <v>176</v>
      </c>
      <c r="H3111">
        <v>0</v>
      </c>
      <c r="I3111">
        <v>24</v>
      </c>
      <c r="J3111" s="10">
        <v>18.499999999999982</v>
      </c>
      <c r="K3111" s="10">
        <f>SUMIFS(F:F,D:D,DST_123_ÜRETİM_İHTİYAÇ_RAPORU_BURAK_YENI1309[[#This Row],[ALT_KOD]])-(SUMIFS(H:H,D:D,DST_123_ÜRETİM_İHTİYAÇ_RAPORU_BURAK_YENI1309[[#This Row],[ALT_KOD]])+AVERAGEIFS(I:I,D:D,DST_123_ÜRETİM_İHTİYAÇ_RAPORU_BURAK_YENI1309[[#This Row],[ALT_KOD]])+AVERAGEIFS(L:L,D:D,DST_123_ÜRETİM_İHTİYAÇ_RAPORU_BURAK_YENI1309[[#This Row],[ALT_KOD]]))</f>
        <v>3.899999999999995</v>
      </c>
      <c r="L3111">
        <v>0</v>
      </c>
      <c r="M3111">
        <f>IF((DST_123_ÜRETİM_İHTİYAÇ_RAPORU_BURAK_YENI1309[[#This Row],[SATINALMA]]*DST_123_ÜRETİM_İHTİYAÇ_RAPORU_BURAK_YENI1309[[#This Row],[BIRIM_FIYATLAR]])&lt;1,VALUE("0"),DST_123_ÜRETİM_İHTİYAÇ_RAPORU_BURAK_YENI1309[[#This Row],[SATINALMA]]*DST_123_ÜRETİM_İHTİYAÇ_RAPORU_BURAK_YENI1309[[#This Row],[BIRIM_FIYATLAR]])</f>
        <v>467.99999999999943</v>
      </c>
      <c r="N3111">
        <v>120</v>
      </c>
      <c r="O3111" t="s">
        <v>240</v>
      </c>
      <c r="P3111">
        <v>240</v>
      </c>
      <c r="Q3111" t="s">
        <v>183</v>
      </c>
    </row>
    <row r="3112" spans="1:17" x14ac:dyDescent="0.25">
      <c r="A3112" t="s">
        <v>1057</v>
      </c>
      <c r="B3112" t="s">
        <v>1058</v>
      </c>
      <c r="C3112" t="s">
        <v>175</v>
      </c>
      <c r="D3112" t="s">
        <v>139</v>
      </c>
      <c r="E3112" t="s">
        <v>140</v>
      </c>
      <c r="F3112">
        <v>0.5</v>
      </c>
      <c r="G3112" t="s">
        <v>176</v>
      </c>
      <c r="H3112">
        <v>0</v>
      </c>
      <c r="I3112">
        <v>0</v>
      </c>
      <c r="J3112" s="10">
        <v>6.1000000000000023</v>
      </c>
      <c r="K3112" s="10">
        <f>SUMIFS(F:F,D:D,DST_123_ÜRETİM_İHTİYAÇ_RAPORU_BURAK_YENI1309[[#This Row],[ALT_KOD]])-(SUMIFS(H:H,D:D,DST_123_ÜRETİM_İHTİYAÇ_RAPORU_BURAK_YENI1309[[#This Row],[ALT_KOD]])+AVERAGEIFS(I:I,D:D,DST_123_ÜRETİM_İHTİYAÇ_RAPORU_BURAK_YENI1309[[#This Row],[ALT_KOD]])+AVERAGEIFS(L:L,D:D,DST_123_ÜRETİM_İHTİYAÇ_RAPORU_BURAK_YENI1309[[#This Row],[ALT_KOD]]))</f>
        <v>8.8000000000000007</v>
      </c>
      <c r="L3112">
        <v>5</v>
      </c>
      <c r="M3112">
        <f>IF((DST_123_ÜRETİM_İHTİYAÇ_RAPORU_BURAK_YENI1309[[#This Row],[SATINALMA]]*DST_123_ÜRETİM_İHTİYAÇ_RAPORU_BURAK_YENI1309[[#This Row],[BIRIM_FIYATLAR]])&lt;1,VALUE("0"),DST_123_ÜRETİM_İHTİYAÇ_RAPORU_BURAK_YENI1309[[#This Row],[SATINALMA]]*DST_123_ÜRETİM_İHTİYAÇ_RAPORU_BURAK_YENI1309[[#This Row],[BIRIM_FIYATLAR]])</f>
        <v>6056.1600000000008</v>
      </c>
      <c r="N3112">
        <v>688.2</v>
      </c>
      <c r="O3112" t="s">
        <v>672</v>
      </c>
      <c r="P3112">
        <v>344.1</v>
      </c>
      <c r="Q3112" t="s">
        <v>184</v>
      </c>
    </row>
    <row r="3113" spans="1:17" x14ac:dyDescent="0.25">
      <c r="A3113" t="s">
        <v>1100</v>
      </c>
      <c r="B3113" t="s">
        <v>1058</v>
      </c>
      <c r="C3113" t="s">
        <v>175</v>
      </c>
      <c r="D3113" t="s">
        <v>139</v>
      </c>
      <c r="E3113" t="s">
        <v>140</v>
      </c>
      <c r="F3113">
        <v>0.8</v>
      </c>
      <c r="G3113" t="s">
        <v>176</v>
      </c>
      <c r="H3113">
        <v>0</v>
      </c>
      <c r="I3113">
        <v>0</v>
      </c>
      <c r="J3113" s="10">
        <v>6.1000000000000023</v>
      </c>
      <c r="K3113" s="10">
        <f>SUMIFS(F:F,D:D,DST_123_ÜRETİM_İHTİYAÇ_RAPORU_BURAK_YENI1309[[#This Row],[ALT_KOD]])-(SUMIFS(H:H,D:D,DST_123_ÜRETİM_İHTİYAÇ_RAPORU_BURAK_YENI1309[[#This Row],[ALT_KOD]])+AVERAGEIFS(I:I,D:D,DST_123_ÜRETİM_İHTİYAÇ_RAPORU_BURAK_YENI1309[[#This Row],[ALT_KOD]])+AVERAGEIFS(L:L,D:D,DST_123_ÜRETİM_İHTİYAÇ_RAPORU_BURAK_YENI1309[[#This Row],[ALT_KOD]]))</f>
        <v>8.8000000000000007</v>
      </c>
      <c r="L3113">
        <v>5</v>
      </c>
      <c r="M3113">
        <f>IF((DST_123_ÜRETİM_İHTİYAÇ_RAPORU_BURAK_YENI1309[[#This Row],[SATINALMA]]*DST_123_ÜRETİM_İHTİYAÇ_RAPORU_BURAK_YENI1309[[#This Row],[BIRIM_FIYATLAR]])&lt;1,VALUE("0"),DST_123_ÜRETİM_İHTİYAÇ_RAPORU_BURAK_YENI1309[[#This Row],[SATINALMA]]*DST_123_ÜRETİM_İHTİYAÇ_RAPORU_BURAK_YENI1309[[#This Row],[BIRIM_FIYATLAR]])</f>
        <v>6056.1600000000008</v>
      </c>
      <c r="N3113">
        <v>688.2</v>
      </c>
      <c r="O3113" t="s">
        <v>672</v>
      </c>
      <c r="P3113">
        <v>550.56000000000006</v>
      </c>
      <c r="Q3113" t="s">
        <v>184</v>
      </c>
    </row>
    <row r="3114" spans="1:17" x14ac:dyDescent="0.25">
      <c r="A3114" t="s">
        <v>1147</v>
      </c>
      <c r="B3114" t="s">
        <v>1145</v>
      </c>
      <c r="C3114" t="s">
        <v>175</v>
      </c>
      <c r="D3114" t="s">
        <v>108</v>
      </c>
      <c r="E3114" t="s">
        <v>109</v>
      </c>
      <c r="F3114">
        <v>1</v>
      </c>
      <c r="G3114" t="s">
        <v>176</v>
      </c>
      <c r="H3114">
        <v>0</v>
      </c>
      <c r="I3114">
        <v>0</v>
      </c>
      <c r="J3114" s="10">
        <v>5.5699999999999994</v>
      </c>
      <c r="K3114" s="10">
        <f>SUMIFS(F:F,D:D,DST_123_ÜRETİM_İHTİYAÇ_RAPORU_BURAK_YENI1309[[#This Row],[ALT_KOD]])-(SUMIFS(H:H,D:D,DST_123_ÜRETİM_İHTİYAÇ_RAPORU_BURAK_YENI1309[[#This Row],[ALT_KOD]])+AVERAGEIFS(I:I,D:D,DST_123_ÜRETİM_İHTİYAÇ_RAPORU_BURAK_YENI1309[[#This Row],[ALT_KOD]])+AVERAGEIFS(L:L,D:D,DST_123_ÜRETİM_İHTİYAÇ_RAPORU_BURAK_YENI1309[[#This Row],[ALT_KOD]]))</f>
        <v>-2</v>
      </c>
      <c r="L3114">
        <v>7</v>
      </c>
      <c r="M3114">
        <f>IF((DST_123_ÜRETİM_İHTİYAÇ_RAPORU_BURAK_YENI1309[[#This Row],[SATINALMA]]*DST_123_ÜRETİM_İHTİYAÇ_RAPORU_BURAK_YENI1309[[#This Row],[BIRIM_FIYATLAR]])&lt;1,VALUE("0"),DST_123_ÜRETİM_İHTİYAÇ_RAPORU_BURAK_YENI1309[[#This Row],[SATINALMA]]*DST_123_ÜRETİM_İHTİYAÇ_RAPORU_BURAK_YENI1309[[#This Row],[BIRIM_FIYATLAR]])</f>
        <v>0</v>
      </c>
      <c r="N3114">
        <v>1416.67</v>
      </c>
      <c r="O3114" t="s">
        <v>223</v>
      </c>
      <c r="P3114">
        <v>1416.67</v>
      </c>
      <c r="Q3114" t="s">
        <v>181</v>
      </c>
    </row>
    <row r="3115" spans="1:17" x14ac:dyDescent="0.25">
      <c r="A3115" t="s">
        <v>1057</v>
      </c>
      <c r="B3115" t="s">
        <v>1058</v>
      </c>
      <c r="C3115" t="s">
        <v>175</v>
      </c>
      <c r="D3115" t="s">
        <v>120</v>
      </c>
      <c r="E3115" t="s">
        <v>311</v>
      </c>
      <c r="F3115">
        <v>2</v>
      </c>
      <c r="G3115" t="s">
        <v>176</v>
      </c>
      <c r="H3115">
        <v>0</v>
      </c>
      <c r="I3115">
        <v>24</v>
      </c>
      <c r="J3115" s="10">
        <v>18.499999999999982</v>
      </c>
      <c r="K3115" s="10">
        <f>SUMIFS(F:F,D:D,DST_123_ÜRETİM_İHTİYAÇ_RAPORU_BURAK_YENI1309[[#This Row],[ALT_KOD]])-(SUMIFS(H:H,D:D,DST_123_ÜRETİM_İHTİYAÇ_RAPORU_BURAK_YENI1309[[#This Row],[ALT_KOD]])+AVERAGEIFS(I:I,D:D,DST_123_ÜRETİM_İHTİYAÇ_RAPORU_BURAK_YENI1309[[#This Row],[ALT_KOD]])+AVERAGEIFS(L:L,D:D,DST_123_ÜRETİM_İHTİYAÇ_RAPORU_BURAK_YENI1309[[#This Row],[ALT_KOD]]))</f>
        <v>3.899999999999995</v>
      </c>
      <c r="L3115">
        <v>0</v>
      </c>
      <c r="M3115">
        <f>IF((DST_123_ÜRETİM_İHTİYAÇ_RAPORU_BURAK_YENI1309[[#This Row],[SATINALMA]]*DST_123_ÜRETİM_İHTİYAÇ_RAPORU_BURAK_YENI1309[[#This Row],[BIRIM_FIYATLAR]])&lt;1,VALUE("0"),DST_123_ÜRETİM_İHTİYAÇ_RAPORU_BURAK_YENI1309[[#This Row],[SATINALMA]]*DST_123_ÜRETİM_İHTİYAÇ_RAPORU_BURAK_YENI1309[[#This Row],[BIRIM_FIYATLAR]])</f>
        <v>467.99999999999943</v>
      </c>
      <c r="N3115">
        <v>120</v>
      </c>
      <c r="O3115" t="s">
        <v>240</v>
      </c>
      <c r="P3115">
        <v>240</v>
      </c>
      <c r="Q3115" t="s">
        <v>183</v>
      </c>
    </row>
    <row r="3116" spans="1:17" x14ac:dyDescent="0.25">
      <c r="A3116" t="s">
        <v>1098</v>
      </c>
      <c r="B3116" t="s">
        <v>1096</v>
      </c>
      <c r="C3116" t="s">
        <v>175</v>
      </c>
      <c r="D3116" t="s">
        <v>290</v>
      </c>
      <c r="E3116" t="s">
        <v>291</v>
      </c>
      <c r="F3116">
        <v>4</v>
      </c>
      <c r="G3116" t="s">
        <v>176</v>
      </c>
      <c r="H3116">
        <v>0</v>
      </c>
      <c r="I3116">
        <v>125</v>
      </c>
      <c r="J3116" s="10">
        <v>54</v>
      </c>
      <c r="K3116" s="10">
        <f>SUMIFS(F:F,D:D,DST_123_ÜRETİM_İHTİYAÇ_RAPORU_BURAK_YENI1309[[#This Row],[ALT_KOD]])-(SUMIFS(H:H,D:D,DST_123_ÜRETİM_İHTİYAÇ_RAPORU_BURAK_YENI1309[[#This Row],[ALT_KOD]])+AVERAGEIFS(I:I,D:D,DST_123_ÜRETİM_İHTİYAÇ_RAPORU_BURAK_YENI1309[[#This Row],[ALT_KOD]])+AVERAGEIFS(L:L,D:D,DST_123_ÜRETİM_İHTİYAÇ_RAPORU_BURAK_YENI1309[[#This Row],[ALT_KOD]]))</f>
        <v>-49</v>
      </c>
      <c r="L3116">
        <v>0</v>
      </c>
      <c r="M3116">
        <f>IF((DST_123_ÜRETİM_İHTİYAÇ_RAPORU_BURAK_YENI1309[[#This Row],[SATINALMA]]*DST_123_ÜRETİM_İHTİYAÇ_RAPORU_BURAK_YENI1309[[#This Row],[BIRIM_FIYATLAR]])&lt;1,VALUE("0"),DST_123_ÜRETİM_İHTİYAÇ_RAPORU_BURAK_YENI1309[[#This Row],[SATINALMA]]*DST_123_ÜRETİM_İHTİYAÇ_RAPORU_BURAK_YENI1309[[#This Row],[BIRIM_FIYATLAR]])</f>
        <v>0</v>
      </c>
      <c r="N3116">
        <v>3.75</v>
      </c>
      <c r="O3116" t="s">
        <v>628</v>
      </c>
      <c r="P3116">
        <v>15</v>
      </c>
      <c r="Q3116" t="s">
        <v>180</v>
      </c>
    </row>
    <row r="3117" spans="1:17" x14ac:dyDescent="0.25">
      <c r="A3117" t="s">
        <v>1100</v>
      </c>
      <c r="B3117" t="s">
        <v>1058</v>
      </c>
      <c r="C3117" t="s">
        <v>175</v>
      </c>
      <c r="D3117" t="s">
        <v>1109</v>
      </c>
      <c r="E3117" t="s">
        <v>1110</v>
      </c>
      <c r="F3117">
        <v>0.4</v>
      </c>
      <c r="G3117" t="s">
        <v>176</v>
      </c>
      <c r="H3117">
        <v>0</v>
      </c>
      <c r="I3117">
        <v>5</v>
      </c>
      <c r="J3117" s="10">
        <v>3.5527136788005009E-15</v>
      </c>
      <c r="K3117" s="10">
        <f>SUMIFS(F:F,D:D,DST_123_ÜRETİM_İHTİYAÇ_RAPORU_BURAK_YENI1309[[#This Row],[ALT_KOD]])-(SUMIFS(H:H,D:D,DST_123_ÜRETİM_İHTİYAÇ_RAPORU_BURAK_YENI1309[[#This Row],[ALT_KOD]])+AVERAGEIFS(I:I,D:D,DST_123_ÜRETİM_İHTİYAÇ_RAPORU_BURAK_YENI1309[[#This Row],[ALT_KOD]])+AVERAGEIFS(L:L,D:D,DST_123_ÜRETİM_İHTİYAÇ_RAPORU_BURAK_YENI1309[[#This Row],[ALT_KOD]]))</f>
        <v>-4.0999999999999996</v>
      </c>
      <c r="L3117">
        <v>0</v>
      </c>
      <c r="M3117">
        <f>IF((DST_123_ÜRETİM_İHTİYAÇ_RAPORU_BURAK_YENI1309[[#This Row],[SATINALMA]]*DST_123_ÜRETİM_İHTİYAÇ_RAPORU_BURAK_YENI1309[[#This Row],[BIRIM_FIYATLAR]])&lt;1,VALUE("0"),DST_123_ÜRETİM_İHTİYAÇ_RAPORU_BURAK_YENI1309[[#This Row],[SATINALMA]]*DST_123_ÜRETİM_İHTİYAÇ_RAPORU_BURAK_YENI1309[[#This Row],[BIRIM_FIYATLAR]])</f>
        <v>0</v>
      </c>
      <c r="N3117">
        <v>196</v>
      </c>
      <c r="O3117" t="s">
        <v>226</v>
      </c>
      <c r="P3117">
        <v>78.400000000000006</v>
      </c>
      <c r="Q3117" t="s">
        <v>183</v>
      </c>
    </row>
    <row r="3118" spans="1:17" x14ac:dyDescent="0.25">
      <c r="A3118" t="s">
        <v>1095</v>
      </c>
      <c r="B3118" t="s">
        <v>1096</v>
      </c>
      <c r="C3118" t="s">
        <v>175</v>
      </c>
      <c r="D3118" t="s">
        <v>116</v>
      </c>
      <c r="E3118" t="s">
        <v>117</v>
      </c>
      <c r="F3118">
        <v>105.7</v>
      </c>
      <c r="G3118" t="s">
        <v>185</v>
      </c>
      <c r="H3118">
        <v>0</v>
      </c>
      <c r="I3118">
        <v>-690</v>
      </c>
      <c r="J3118" s="10">
        <v>2123.619999999999</v>
      </c>
      <c r="K3118" s="10">
        <f>SUMIFS(F:F,D:D,DST_123_ÜRETİM_İHTİYAÇ_RAPORU_BURAK_YENI1309[[#This Row],[ALT_KOD]])-(SUMIFS(H:H,D:D,DST_123_ÜRETİM_İHTİYAÇ_RAPORU_BURAK_YENI1309[[#This Row],[ALT_KOD]])+AVERAGEIFS(I:I,D:D,DST_123_ÜRETİM_İHTİYAÇ_RAPORU_BURAK_YENI1309[[#This Row],[ALT_KOD]])+AVERAGEIFS(L:L,D:D,DST_123_ÜRETİM_İHTİYAÇ_RAPORU_BURAK_YENI1309[[#This Row],[ALT_KOD]]))</f>
        <v>1819.8699999999994</v>
      </c>
      <c r="L3118">
        <v>0</v>
      </c>
      <c r="M3118">
        <f>IF((DST_123_ÜRETİM_İHTİYAÇ_RAPORU_BURAK_YENI1309[[#This Row],[SATINALMA]]*DST_123_ÜRETİM_İHTİYAÇ_RAPORU_BURAK_YENI1309[[#This Row],[BIRIM_FIYATLAR]])&lt;1,VALUE("0"),DST_123_ÜRETİM_İHTİYAÇ_RAPORU_BURAK_YENI1309[[#This Row],[SATINALMA]]*DST_123_ÜRETİM_İHTİYAÇ_RAPORU_BURAK_YENI1309[[#This Row],[BIRIM_FIYATLAR]])</f>
        <v>172651.06689999995</v>
      </c>
      <c r="N3118">
        <v>94.87</v>
      </c>
      <c r="O3118" t="s">
        <v>490</v>
      </c>
      <c r="P3118">
        <v>10027.759</v>
      </c>
      <c r="Q3118" t="s">
        <v>183</v>
      </c>
    </row>
    <row r="3119" spans="1:17" x14ac:dyDescent="0.25">
      <c r="A3119" t="s">
        <v>1064</v>
      </c>
      <c r="B3119" t="s">
        <v>1055</v>
      </c>
      <c r="C3119" t="s">
        <v>175</v>
      </c>
      <c r="D3119" t="s">
        <v>52</v>
      </c>
      <c r="E3119" t="s">
        <v>53</v>
      </c>
      <c r="F3119">
        <v>1</v>
      </c>
      <c r="G3119" t="s">
        <v>176</v>
      </c>
      <c r="H3119">
        <v>0</v>
      </c>
      <c r="I3119">
        <v>5</v>
      </c>
      <c r="J3119" s="10">
        <v>10</v>
      </c>
      <c r="K3119" s="10">
        <f>SUMIFS(F:F,D:D,DST_123_ÜRETİM_İHTİYAÇ_RAPORU_BURAK_YENI1309[[#This Row],[ALT_KOD]])-(SUMIFS(H:H,D:D,DST_123_ÜRETİM_İHTİYAÇ_RAPORU_BURAK_YENI1309[[#This Row],[ALT_KOD]])+AVERAGEIFS(I:I,D:D,DST_123_ÜRETİM_İHTİYAÇ_RAPORU_BURAK_YENI1309[[#This Row],[ALT_KOD]])+AVERAGEIFS(L:L,D:D,DST_123_ÜRETİM_İHTİYAÇ_RAPORU_BURAK_YENI1309[[#This Row],[ALT_KOD]]))</f>
        <v>7</v>
      </c>
      <c r="L3119">
        <v>0</v>
      </c>
      <c r="M3119">
        <f>IF((DST_123_ÜRETİM_İHTİYAÇ_RAPORU_BURAK_YENI1309[[#This Row],[SATINALMA]]*DST_123_ÜRETİM_İHTİYAÇ_RAPORU_BURAK_YENI1309[[#This Row],[BIRIM_FIYATLAR]])&lt;1,VALUE("0"),DST_123_ÜRETİM_İHTİYAÇ_RAPORU_BURAK_YENI1309[[#This Row],[SATINALMA]]*DST_123_ÜRETİM_İHTİYAÇ_RAPORU_BURAK_YENI1309[[#This Row],[BIRIM_FIYATLAR]])</f>
        <v>85641.010000000009</v>
      </c>
      <c r="N3119">
        <v>12234.43</v>
      </c>
      <c r="O3119" t="s">
        <v>215</v>
      </c>
      <c r="P3119">
        <v>12234.43</v>
      </c>
      <c r="Q3119" t="s">
        <v>221</v>
      </c>
    </row>
    <row r="3120" spans="1:17" x14ac:dyDescent="0.25">
      <c r="A3120" t="s">
        <v>1196</v>
      </c>
      <c r="B3120" t="s">
        <v>1197</v>
      </c>
      <c r="C3120" t="s">
        <v>175</v>
      </c>
      <c r="D3120" t="s">
        <v>52</v>
      </c>
      <c r="E3120" t="s">
        <v>53</v>
      </c>
      <c r="F3120">
        <v>1</v>
      </c>
      <c r="G3120" t="s">
        <v>176</v>
      </c>
      <c r="H3120">
        <v>0</v>
      </c>
      <c r="I3120">
        <v>5</v>
      </c>
      <c r="J3120" s="10">
        <v>10</v>
      </c>
      <c r="K3120" s="10">
        <f>SUMIFS(F:F,D:D,DST_123_ÜRETİM_İHTİYAÇ_RAPORU_BURAK_YENI1309[[#This Row],[ALT_KOD]])-(SUMIFS(H:H,D:D,DST_123_ÜRETİM_İHTİYAÇ_RAPORU_BURAK_YENI1309[[#This Row],[ALT_KOD]])+AVERAGEIFS(I:I,D:D,DST_123_ÜRETİM_İHTİYAÇ_RAPORU_BURAK_YENI1309[[#This Row],[ALT_KOD]])+AVERAGEIFS(L:L,D:D,DST_123_ÜRETİM_İHTİYAÇ_RAPORU_BURAK_YENI1309[[#This Row],[ALT_KOD]]))</f>
        <v>7</v>
      </c>
      <c r="L3120">
        <v>0</v>
      </c>
      <c r="M3120">
        <f>IF((DST_123_ÜRETİM_İHTİYAÇ_RAPORU_BURAK_YENI1309[[#This Row],[SATINALMA]]*DST_123_ÜRETİM_İHTİYAÇ_RAPORU_BURAK_YENI1309[[#This Row],[BIRIM_FIYATLAR]])&lt;1,VALUE("0"),DST_123_ÜRETİM_İHTİYAÇ_RAPORU_BURAK_YENI1309[[#This Row],[SATINALMA]]*DST_123_ÜRETİM_İHTİYAÇ_RAPORU_BURAK_YENI1309[[#This Row],[BIRIM_FIYATLAR]])</f>
        <v>85641.010000000009</v>
      </c>
      <c r="N3120">
        <v>12234.43</v>
      </c>
      <c r="O3120" t="s">
        <v>215</v>
      </c>
      <c r="P3120">
        <v>12234.43</v>
      </c>
      <c r="Q3120" t="s">
        <v>221</v>
      </c>
    </row>
    <row r="3121" spans="1:17" x14ac:dyDescent="0.25">
      <c r="A3121" t="s">
        <v>1099</v>
      </c>
      <c r="B3121" t="s">
        <v>1055</v>
      </c>
      <c r="C3121" t="s">
        <v>175</v>
      </c>
      <c r="D3121" t="s">
        <v>52</v>
      </c>
      <c r="E3121" t="s">
        <v>53</v>
      </c>
      <c r="F3121">
        <v>1</v>
      </c>
      <c r="G3121" t="s">
        <v>176</v>
      </c>
      <c r="H3121">
        <v>0</v>
      </c>
      <c r="I3121">
        <v>5</v>
      </c>
      <c r="J3121" s="10">
        <v>10</v>
      </c>
      <c r="K3121" s="10">
        <f>SUMIFS(F:F,D:D,DST_123_ÜRETİM_İHTİYAÇ_RAPORU_BURAK_YENI1309[[#This Row],[ALT_KOD]])-(SUMIFS(H:H,D:D,DST_123_ÜRETİM_İHTİYAÇ_RAPORU_BURAK_YENI1309[[#This Row],[ALT_KOD]])+AVERAGEIFS(I:I,D:D,DST_123_ÜRETİM_İHTİYAÇ_RAPORU_BURAK_YENI1309[[#This Row],[ALT_KOD]])+AVERAGEIFS(L:L,D:D,DST_123_ÜRETİM_İHTİYAÇ_RAPORU_BURAK_YENI1309[[#This Row],[ALT_KOD]]))</f>
        <v>7</v>
      </c>
      <c r="L3121">
        <v>0</v>
      </c>
      <c r="M3121">
        <f>IF((DST_123_ÜRETİM_İHTİYAÇ_RAPORU_BURAK_YENI1309[[#This Row],[SATINALMA]]*DST_123_ÜRETİM_İHTİYAÇ_RAPORU_BURAK_YENI1309[[#This Row],[BIRIM_FIYATLAR]])&lt;1,VALUE("0"),DST_123_ÜRETİM_İHTİYAÇ_RAPORU_BURAK_YENI1309[[#This Row],[SATINALMA]]*DST_123_ÜRETİM_İHTİYAÇ_RAPORU_BURAK_YENI1309[[#This Row],[BIRIM_FIYATLAR]])</f>
        <v>85641.010000000009</v>
      </c>
      <c r="N3121">
        <v>12234.43</v>
      </c>
      <c r="O3121" t="s">
        <v>215</v>
      </c>
      <c r="P3121">
        <v>12234.43</v>
      </c>
      <c r="Q3121" t="s">
        <v>221</v>
      </c>
    </row>
    <row r="3122" spans="1:17" x14ac:dyDescent="0.25">
      <c r="A3122" t="s">
        <v>1064</v>
      </c>
      <c r="B3122" t="s">
        <v>1055</v>
      </c>
      <c r="C3122" t="s">
        <v>175</v>
      </c>
      <c r="D3122" t="s">
        <v>925</v>
      </c>
      <c r="E3122" t="s">
        <v>926</v>
      </c>
      <c r="F3122">
        <v>1.5</v>
      </c>
      <c r="G3122" t="s">
        <v>179</v>
      </c>
      <c r="H3122">
        <v>0</v>
      </c>
      <c r="I3122">
        <v>6400</v>
      </c>
      <c r="J3122" s="10">
        <v>186.50000000000006</v>
      </c>
      <c r="K3122" s="10">
        <f>SUMIFS(F:F,D:D,DST_123_ÜRETİM_İHTİYAÇ_RAPORU_BURAK_YENI1309[[#This Row],[ALT_KOD]])-(SUMIFS(H:H,D:D,DST_123_ÜRETİM_İHTİYAÇ_RAPORU_BURAK_YENI1309[[#This Row],[ALT_KOD]])+AVERAGEIFS(I:I,D:D,DST_123_ÜRETİM_İHTİYAÇ_RAPORU_BURAK_YENI1309[[#This Row],[ALT_KOD]])+AVERAGEIFS(L:L,D:D,DST_123_ÜRETİM_İHTİYAÇ_RAPORU_BURAK_YENI1309[[#This Row],[ALT_KOD]]))</f>
        <v>-6392</v>
      </c>
      <c r="L3122">
        <v>0</v>
      </c>
      <c r="M3122">
        <f>IF((DST_123_ÜRETİM_İHTİYAÇ_RAPORU_BURAK_YENI1309[[#This Row],[SATINALMA]]*DST_123_ÜRETİM_İHTİYAÇ_RAPORU_BURAK_YENI1309[[#This Row],[BIRIM_FIYATLAR]])&lt;1,VALUE("0"),DST_123_ÜRETİM_İHTİYAÇ_RAPORU_BURAK_YENI1309[[#This Row],[SATINALMA]]*DST_123_ÜRETİM_İHTİYAÇ_RAPORU_BURAK_YENI1309[[#This Row],[BIRIM_FIYATLAR]])</f>
        <v>0</v>
      </c>
      <c r="N3122">
        <v>2.1</v>
      </c>
      <c r="P3122">
        <v>3.1500000000000004</v>
      </c>
      <c r="Q3122" t="s">
        <v>221</v>
      </c>
    </row>
    <row r="3123" spans="1:17" x14ac:dyDescent="0.25">
      <c r="A3123" t="s">
        <v>1196</v>
      </c>
      <c r="B3123" t="s">
        <v>1197</v>
      </c>
      <c r="C3123" t="s">
        <v>175</v>
      </c>
      <c r="D3123" t="s">
        <v>925</v>
      </c>
      <c r="E3123" t="s">
        <v>926</v>
      </c>
      <c r="F3123">
        <v>1</v>
      </c>
      <c r="G3123" t="s">
        <v>179</v>
      </c>
      <c r="H3123">
        <v>0</v>
      </c>
      <c r="I3123">
        <v>6400</v>
      </c>
      <c r="J3123" s="10">
        <v>186.50000000000006</v>
      </c>
      <c r="K3123" s="10">
        <f>SUMIFS(F:F,D:D,DST_123_ÜRETİM_İHTİYAÇ_RAPORU_BURAK_YENI1309[[#This Row],[ALT_KOD]])-(SUMIFS(H:H,D:D,DST_123_ÜRETİM_İHTİYAÇ_RAPORU_BURAK_YENI1309[[#This Row],[ALT_KOD]])+AVERAGEIFS(I:I,D:D,DST_123_ÜRETİM_İHTİYAÇ_RAPORU_BURAK_YENI1309[[#This Row],[ALT_KOD]])+AVERAGEIFS(L:L,D:D,DST_123_ÜRETİM_İHTİYAÇ_RAPORU_BURAK_YENI1309[[#This Row],[ALT_KOD]]))</f>
        <v>-6392</v>
      </c>
      <c r="L3123">
        <v>0</v>
      </c>
      <c r="M3123">
        <f>IF((DST_123_ÜRETİM_İHTİYAÇ_RAPORU_BURAK_YENI1309[[#This Row],[SATINALMA]]*DST_123_ÜRETİM_İHTİYAÇ_RAPORU_BURAK_YENI1309[[#This Row],[BIRIM_FIYATLAR]])&lt;1,VALUE("0"),DST_123_ÜRETİM_İHTİYAÇ_RAPORU_BURAK_YENI1309[[#This Row],[SATINALMA]]*DST_123_ÜRETİM_İHTİYAÇ_RAPORU_BURAK_YENI1309[[#This Row],[BIRIM_FIYATLAR]])</f>
        <v>0</v>
      </c>
      <c r="N3123">
        <v>2.1</v>
      </c>
      <c r="P3123">
        <v>2.1</v>
      </c>
      <c r="Q3123" t="s">
        <v>221</v>
      </c>
    </row>
    <row r="3124" spans="1:17" x14ac:dyDescent="0.25">
      <c r="A3124" t="s">
        <v>1196</v>
      </c>
      <c r="B3124" t="s">
        <v>1197</v>
      </c>
      <c r="C3124" t="s">
        <v>175</v>
      </c>
      <c r="D3124" t="s">
        <v>290</v>
      </c>
      <c r="E3124" t="s">
        <v>291</v>
      </c>
      <c r="F3124">
        <v>6</v>
      </c>
      <c r="G3124" t="s">
        <v>176</v>
      </c>
      <c r="H3124">
        <v>0</v>
      </c>
      <c r="I3124">
        <v>125</v>
      </c>
      <c r="J3124" s="10">
        <v>54</v>
      </c>
      <c r="K3124" s="10">
        <f>SUMIFS(F:F,D:D,DST_123_ÜRETİM_İHTİYAÇ_RAPORU_BURAK_YENI1309[[#This Row],[ALT_KOD]])-(SUMIFS(H:H,D:D,DST_123_ÜRETİM_İHTİYAÇ_RAPORU_BURAK_YENI1309[[#This Row],[ALT_KOD]])+AVERAGEIFS(I:I,D:D,DST_123_ÜRETİM_İHTİYAÇ_RAPORU_BURAK_YENI1309[[#This Row],[ALT_KOD]])+AVERAGEIFS(L:L,D:D,DST_123_ÜRETİM_İHTİYAÇ_RAPORU_BURAK_YENI1309[[#This Row],[ALT_KOD]]))</f>
        <v>-49</v>
      </c>
      <c r="L3124">
        <v>0</v>
      </c>
      <c r="M3124">
        <f>IF((DST_123_ÜRETİM_İHTİYAÇ_RAPORU_BURAK_YENI1309[[#This Row],[SATINALMA]]*DST_123_ÜRETİM_İHTİYAÇ_RAPORU_BURAK_YENI1309[[#This Row],[BIRIM_FIYATLAR]])&lt;1,VALUE("0"),DST_123_ÜRETİM_İHTİYAÇ_RAPORU_BURAK_YENI1309[[#This Row],[SATINALMA]]*DST_123_ÜRETİM_İHTİYAÇ_RAPORU_BURAK_YENI1309[[#This Row],[BIRIM_FIYATLAR]])</f>
        <v>0</v>
      </c>
      <c r="N3124">
        <v>3.75</v>
      </c>
      <c r="O3124" t="s">
        <v>628</v>
      </c>
      <c r="P3124">
        <v>22.5</v>
      </c>
      <c r="Q3124" t="s">
        <v>180</v>
      </c>
    </row>
    <row r="3125" spans="1:17" x14ac:dyDescent="0.25">
      <c r="A3125" t="s">
        <v>1099</v>
      </c>
      <c r="B3125" t="s">
        <v>1055</v>
      </c>
      <c r="C3125" t="s">
        <v>175</v>
      </c>
      <c r="D3125" t="s">
        <v>290</v>
      </c>
      <c r="E3125" t="s">
        <v>291</v>
      </c>
      <c r="F3125">
        <v>4</v>
      </c>
      <c r="G3125" t="s">
        <v>176</v>
      </c>
      <c r="H3125">
        <v>0</v>
      </c>
      <c r="I3125">
        <v>125</v>
      </c>
      <c r="J3125" s="10">
        <v>54</v>
      </c>
      <c r="K3125" s="10">
        <f>SUMIFS(F:F,D:D,DST_123_ÜRETİM_İHTİYAÇ_RAPORU_BURAK_YENI1309[[#This Row],[ALT_KOD]])-(SUMIFS(H:H,D:D,DST_123_ÜRETİM_İHTİYAÇ_RAPORU_BURAK_YENI1309[[#This Row],[ALT_KOD]])+AVERAGEIFS(I:I,D:D,DST_123_ÜRETİM_İHTİYAÇ_RAPORU_BURAK_YENI1309[[#This Row],[ALT_KOD]])+AVERAGEIFS(L:L,D:D,DST_123_ÜRETİM_İHTİYAÇ_RAPORU_BURAK_YENI1309[[#This Row],[ALT_KOD]]))</f>
        <v>-49</v>
      </c>
      <c r="L3125">
        <v>0</v>
      </c>
      <c r="M3125">
        <f>IF((DST_123_ÜRETİM_İHTİYAÇ_RAPORU_BURAK_YENI1309[[#This Row],[SATINALMA]]*DST_123_ÜRETİM_İHTİYAÇ_RAPORU_BURAK_YENI1309[[#This Row],[BIRIM_FIYATLAR]])&lt;1,VALUE("0"),DST_123_ÜRETİM_İHTİYAÇ_RAPORU_BURAK_YENI1309[[#This Row],[SATINALMA]]*DST_123_ÜRETİM_İHTİYAÇ_RAPORU_BURAK_YENI1309[[#This Row],[BIRIM_FIYATLAR]])</f>
        <v>0</v>
      </c>
      <c r="N3125">
        <v>3.75</v>
      </c>
      <c r="O3125" t="s">
        <v>628</v>
      </c>
      <c r="P3125">
        <v>15</v>
      </c>
      <c r="Q3125" t="s">
        <v>180</v>
      </c>
    </row>
    <row r="3126" spans="1:17" x14ac:dyDescent="0.25">
      <c r="A3126" t="s">
        <v>1147</v>
      </c>
      <c r="B3126" t="s">
        <v>1145</v>
      </c>
      <c r="C3126" t="s">
        <v>175</v>
      </c>
      <c r="D3126" t="s">
        <v>290</v>
      </c>
      <c r="E3126" t="s">
        <v>291</v>
      </c>
      <c r="F3126">
        <v>6</v>
      </c>
      <c r="G3126" t="s">
        <v>176</v>
      </c>
      <c r="H3126">
        <v>0</v>
      </c>
      <c r="I3126">
        <v>125</v>
      </c>
      <c r="J3126" s="10">
        <v>54</v>
      </c>
      <c r="K3126" s="10">
        <f>SUMIFS(F:F,D:D,DST_123_ÜRETİM_İHTİYAÇ_RAPORU_BURAK_YENI1309[[#This Row],[ALT_KOD]])-(SUMIFS(H:H,D:D,DST_123_ÜRETİM_İHTİYAÇ_RAPORU_BURAK_YENI1309[[#This Row],[ALT_KOD]])+AVERAGEIFS(I:I,D:D,DST_123_ÜRETİM_İHTİYAÇ_RAPORU_BURAK_YENI1309[[#This Row],[ALT_KOD]])+AVERAGEIFS(L:L,D:D,DST_123_ÜRETİM_İHTİYAÇ_RAPORU_BURAK_YENI1309[[#This Row],[ALT_KOD]]))</f>
        <v>-49</v>
      </c>
      <c r="L3126">
        <v>0</v>
      </c>
      <c r="M3126">
        <f>IF((DST_123_ÜRETİM_İHTİYAÇ_RAPORU_BURAK_YENI1309[[#This Row],[SATINALMA]]*DST_123_ÜRETİM_İHTİYAÇ_RAPORU_BURAK_YENI1309[[#This Row],[BIRIM_FIYATLAR]])&lt;1,VALUE("0"),DST_123_ÜRETİM_İHTİYAÇ_RAPORU_BURAK_YENI1309[[#This Row],[SATINALMA]]*DST_123_ÜRETİM_İHTİYAÇ_RAPORU_BURAK_YENI1309[[#This Row],[BIRIM_FIYATLAR]])</f>
        <v>0</v>
      </c>
      <c r="N3126">
        <v>3.75</v>
      </c>
      <c r="O3126" t="s">
        <v>628</v>
      </c>
      <c r="P3126">
        <v>22.5</v>
      </c>
      <c r="Q3126" t="s">
        <v>180</v>
      </c>
    </row>
    <row r="3127" spans="1:17" x14ac:dyDescent="0.25">
      <c r="A3127" t="s">
        <v>1142</v>
      </c>
      <c r="B3127" t="s">
        <v>1056</v>
      </c>
      <c r="C3127" t="s">
        <v>175</v>
      </c>
      <c r="D3127" t="s">
        <v>458</v>
      </c>
      <c r="E3127" t="s">
        <v>459</v>
      </c>
      <c r="F3127">
        <v>0.01</v>
      </c>
      <c r="G3127" t="s">
        <v>176</v>
      </c>
      <c r="H3127">
        <v>0</v>
      </c>
      <c r="I3127">
        <v>6</v>
      </c>
      <c r="J3127" s="10">
        <v>22.530000000000012</v>
      </c>
      <c r="K3127" s="10">
        <f>SUMIFS(F:F,D:D,DST_123_ÜRETİM_İHTİYAÇ_RAPORU_BURAK_YENI1309[[#This Row],[ALT_KOD]])-(SUMIFS(H:H,D:D,DST_123_ÜRETİM_İHTİYAÇ_RAPORU_BURAK_YENI1309[[#This Row],[ALT_KOD]])+AVERAGEIFS(I:I,D:D,DST_123_ÜRETİM_İHTİYAÇ_RAPORU_BURAK_YENI1309[[#This Row],[ALT_KOD]])+AVERAGEIFS(L:L,D:D,DST_123_ÜRETİM_İHTİYAÇ_RAPORU_BURAK_YENI1309[[#This Row],[ALT_KOD]]))</f>
        <v>-5.5</v>
      </c>
      <c r="L3127">
        <v>0</v>
      </c>
      <c r="M3127">
        <f>IF((DST_123_ÜRETİM_İHTİYAÇ_RAPORU_BURAK_YENI1309[[#This Row],[SATINALMA]]*DST_123_ÜRETİM_İHTİYAÇ_RAPORU_BURAK_YENI1309[[#This Row],[BIRIM_FIYATLAR]])&lt;1,VALUE("0"),DST_123_ÜRETİM_İHTİYAÇ_RAPORU_BURAK_YENI1309[[#This Row],[SATINALMA]]*DST_123_ÜRETİM_İHTİYAÇ_RAPORU_BURAK_YENI1309[[#This Row],[BIRIM_FIYATLAR]])</f>
        <v>0</v>
      </c>
      <c r="N3127">
        <v>133</v>
      </c>
      <c r="O3127" t="s">
        <v>216</v>
      </c>
      <c r="P3127">
        <v>1.33</v>
      </c>
      <c r="Q3127" t="s">
        <v>183</v>
      </c>
    </row>
    <row r="3128" spans="1:17" x14ac:dyDescent="0.25">
      <c r="A3128" t="s">
        <v>1142</v>
      </c>
      <c r="B3128" t="s">
        <v>1056</v>
      </c>
      <c r="C3128" t="s">
        <v>175</v>
      </c>
      <c r="D3128" t="s">
        <v>118</v>
      </c>
      <c r="E3128" t="s">
        <v>119</v>
      </c>
      <c r="F3128">
        <v>6</v>
      </c>
      <c r="G3128" t="s">
        <v>176</v>
      </c>
      <c r="H3128">
        <v>0</v>
      </c>
      <c r="I3128">
        <v>84</v>
      </c>
      <c r="J3128" s="10">
        <v>36</v>
      </c>
      <c r="K3128" s="10">
        <f>SUMIFS(F:F,D:D,DST_123_ÜRETİM_İHTİYAÇ_RAPORU_BURAK_YENI1309[[#This Row],[ALT_KOD]])-(SUMIFS(H:H,D:D,DST_123_ÜRETİM_İHTİYAÇ_RAPORU_BURAK_YENI1309[[#This Row],[ALT_KOD]])+AVERAGEIFS(I:I,D:D,DST_123_ÜRETİM_İHTİYAÇ_RAPORU_BURAK_YENI1309[[#This Row],[ALT_KOD]])+AVERAGEIFS(L:L,D:D,DST_123_ÜRETİM_İHTİYAÇ_RAPORU_BURAK_YENI1309[[#This Row],[ALT_KOD]]))</f>
        <v>22</v>
      </c>
      <c r="L3128">
        <v>0</v>
      </c>
      <c r="M3128">
        <f>IF((DST_123_ÜRETİM_İHTİYAÇ_RAPORU_BURAK_YENI1309[[#This Row],[SATINALMA]]*DST_123_ÜRETİM_İHTİYAÇ_RAPORU_BURAK_YENI1309[[#This Row],[BIRIM_FIYATLAR]])&lt;1,VALUE("0"),DST_123_ÜRETİM_İHTİYAÇ_RAPORU_BURAK_YENI1309[[#This Row],[SATINALMA]]*DST_123_ÜRETİM_İHTİYAÇ_RAPORU_BURAK_YENI1309[[#This Row],[BIRIM_FIYATLAR]])</f>
        <v>440</v>
      </c>
      <c r="N3128">
        <v>20</v>
      </c>
      <c r="O3128" t="s">
        <v>240</v>
      </c>
      <c r="P3128">
        <v>120</v>
      </c>
      <c r="Q3128" t="s">
        <v>178</v>
      </c>
    </row>
    <row r="3129" spans="1:17" x14ac:dyDescent="0.25">
      <c r="A3129" t="s">
        <v>1060</v>
      </c>
      <c r="B3129" t="s">
        <v>1061</v>
      </c>
      <c r="C3129" t="s">
        <v>175</v>
      </c>
      <c r="D3129" t="s">
        <v>290</v>
      </c>
      <c r="E3129" t="s">
        <v>291</v>
      </c>
      <c r="F3129">
        <v>6</v>
      </c>
      <c r="G3129" t="s">
        <v>176</v>
      </c>
      <c r="H3129">
        <v>0</v>
      </c>
      <c r="I3129">
        <v>125</v>
      </c>
      <c r="J3129" s="10">
        <v>54</v>
      </c>
      <c r="K3129" s="10">
        <f>SUMIFS(F:F,D:D,DST_123_ÜRETİM_İHTİYAÇ_RAPORU_BURAK_YENI1309[[#This Row],[ALT_KOD]])-(SUMIFS(H:H,D:D,DST_123_ÜRETİM_İHTİYAÇ_RAPORU_BURAK_YENI1309[[#This Row],[ALT_KOD]])+AVERAGEIFS(I:I,D:D,DST_123_ÜRETİM_İHTİYAÇ_RAPORU_BURAK_YENI1309[[#This Row],[ALT_KOD]])+AVERAGEIFS(L:L,D:D,DST_123_ÜRETİM_İHTİYAÇ_RAPORU_BURAK_YENI1309[[#This Row],[ALT_KOD]]))</f>
        <v>-49</v>
      </c>
      <c r="L3129">
        <v>0</v>
      </c>
      <c r="M3129">
        <f>IF((DST_123_ÜRETİM_İHTİYAÇ_RAPORU_BURAK_YENI1309[[#This Row],[SATINALMA]]*DST_123_ÜRETİM_İHTİYAÇ_RAPORU_BURAK_YENI1309[[#This Row],[BIRIM_FIYATLAR]])&lt;1,VALUE("0"),DST_123_ÜRETİM_İHTİYAÇ_RAPORU_BURAK_YENI1309[[#This Row],[SATINALMA]]*DST_123_ÜRETİM_İHTİYAÇ_RAPORU_BURAK_YENI1309[[#This Row],[BIRIM_FIYATLAR]])</f>
        <v>0</v>
      </c>
      <c r="N3129">
        <v>3.75</v>
      </c>
      <c r="O3129" t="s">
        <v>628</v>
      </c>
      <c r="P3129">
        <v>22.5</v>
      </c>
      <c r="Q3129" t="s">
        <v>180</v>
      </c>
    </row>
    <row r="3130" spans="1:17" x14ac:dyDescent="0.25">
      <c r="A3130" t="s">
        <v>1143</v>
      </c>
      <c r="B3130" t="s">
        <v>1056</v>
      </c>
      <c r="C3130" t="s">
        <v>175</v>
      </c>
      <c r="D3130" t="s">
        <v>116</v>
      </c>
      <c r="E3130" t="s">
        <v>117</v>
      </c>
      <c r="F3130">
        <v>114.33</v>
      </c>
      <c r="G3130" t="s">
        <v>185</v>
      </c>
      <c r="H3130">
        <v>0</v>
      </c>
      <c r="I3130">
        <v>-690</v>
      </c>
      <c r="J3130" s="10">
        <v>2123.619999999999</v>
      </c>
      <c r="K3130" s="10">
        <f>SUMIFS(F:F,D:D,DST_123_ÜRETİM_İHTİYAÇ_RAPORU_BURAK_YENI1309[[#This Row],[ALT_KOD]])-(SUMIFS(H:H,D:D,DST_123_ÜRETİM_İHTİYAÇ_RAPORU_BURAK_YENI1309[[#This Row],[ALT_KOD]])+AVERAGEIFS(I:I,D:D,DST_123_ÜRETİM_İHTİYAÇ_RAPORU_BURAK_YENI1309[[#This Row],[ALT_KOD]])+AVERAGEIFS(L:L,D:D,DST_123_ÜRETİM_İHTİYAÇ_RAPORU_BURAK_YENI1309[[#This Row],[ALT_KOD]]))</f>
        <v>1819.8699999999994</v>
      </c>
      <c r="L3130">
        <v>0</v>
      </c>
      <c r="M3130">
        <f>IF((DST_123_ÜRETİM_İHTİYAÇ_RAPORU_BURAK_YENI1309[[#This Row],[SATINALMA]]*DST_123_ÜRETİM_İHTİYAÇ_RAPORU_BURAK_YENI1309[[#This Row],[BIRIM_FIYATLAR]])&lt;1,VALUE("0"),DST_123_ÜRETİM_İHTİYAÇ_RAPORU_BURAK_YENI1309[[#This Row],[SATINALMA]]*DST_123_ÜRETİM_İHTİYAÇ_RAPORU_BURAK_YENI1309[[#This Row],[BIRIM_FIYATLAR]])</f>
        <v>172651.06689999995</v>
      </c>
      <c r="N3130">
        <v>94.87</v>
      </c>
      <c r="O3130" t="s">
        <v>490</v>
      </c>
      <c r="P3130">
        <v>10846.4871</v>
      </c>
      <c r="Q3130" t="s">
        <v>183</v>
      </c>
    </row>
    <row r="3131" spans="1:17" x14ac:dyDescent="0.25">
      <c r="A3131" t="s">
        <v>1097</v>
      </c>
      <c r="B3131" t="s">
        <v>1055</v>
      </c>
      <c r="C3131" t="s">
        <v>175</v>
      </c>
      <c r="D3131" t="s">
        <v>458</v>
      </c>
      <c r="E3131" t="s">
        <v>459</v>
      </c>
      <c r="F3131">
        <v>0.01</v>
      </c>
      <c r="G3131" t="s">
        <v>176</v>
      </c>
      <c r="H3131">
        <v>0</v>
      </c>
      <c r="I3131">
        <v>6</v>
      </c>
      <c r="J3131" s="10">
        <v>22.530000000000012</v>
      </c>
      <c r="K3131" s="10">
        <f>SUMIFS(F:F,D:D,DST_123_ÜRETİM_İHTİYAÇ_RAPORU_BURAK_YENI1309[[#This Row],[ALT_KOD]])-(SUMIFS(H:H,D:D,DST_123_ÜRETİM_İHTİYAÇ_RAPORU_BURAK_YENI1309[[#This Row],[ALT_KOD]])+AVERAGEIFS(I:I,D:D,DST_123_ÜRETİM_İHTİYAÇ_RAPORU_BURAK_YENI1309[[#This Row],[ALT_KOD]])+AVERAGEIFS(L:L,D:D,DST_123_ÜRETİM_İHTİYAÇ_RAPORU_BURAK_YENI1309[[#This Row],[ALT_KOD]]))</f>
        <v>-5.5</v>
      </c>
      <c r="L3131">
        <v>0</v>
      </c>
      <c r="M3131">
        <f>IF((DST_123_ÜRETİM_İHTİYAÇ_RAPORU_BURAK_YENI1309[[#This Row],[SATINALMA]]*DST_123_ÜRETİM_İHTİYAÇ_RAPORU_BURAK_YENI1309[[#This Row],[BIRIM_FIYATLAR]])&lt;1,VALUE("0"),DST_123_ÜRETİM_İHTİYAÇ_RAPORU_BURAK_YENI1309[[#This Row],[SATINALMA]]*DST_123_ÜRETİM_İHTİYAÇ_RAPORU_BURAK_YENI1309[[#This Row],[BIRIM_FIYATLAR]])</f>
        <v>0</v>
      </c>
      <c r="N3131">
        <v>133</v>
      </c>
      <c r="O3131" t="s">
        <v>216</v>
      </c>
      <c r="P3131">
        <v>1.33</v>
      </c>
      <c r="Q3131" t="s">
        <v>183</v>
      </c>
    </row>
    <row r="3132" spans="1:17" x14ac:dyDescent="0.25">
      <c r="A3132" t="s">
        <v>1064</v>
      </c>
      <c r="B3132" t="s">
        <v>1055</v>
      </c>
      <c r="C3132" t="s">
        <v>175</v>
      </c>
      <c r="D3132" t="s">
        <v>106</v>
      </c>
      <c r="E3132" t="s">
        <v>107</v>
      </c>
      <c r="F3132">
        <v>1</v>
      </c>
      <c r="G3132" t="s">
        <v>176</v>
      </c>
      <c r="H3132">
        <v>1</v>
      </c>
      <c r="I3132">
        <v>7</v>
      </c>
      <c r="J3132" s="10">
        <v>10</v>
      </c>
      <c r="K3132" s="10">
        <f>SUMIFS(F:F,D:D,DST_123_ÜRETİM_İHTİYAÇ_RAPORU_BURAK_YENI1309[[#This Row],[ALT_KOD]])-(SUMIFS(H:H,D:D,DST_123_ÜRETİM_İHTİYAÇ_RAPORU_BURAK_YENI1309[[#This Row],[ALT_KOD]])+AVERAGEIFS(I:I,D:D,DST_123_ÜRETİM_İHTİYAÇ_RAPORU_BURAK_YENI1309[[#This Row],[ALT_KOD]])+AVERAGEIFS(L:L,D:D,DST_123_ÜRETİM_İHTİYAÇ_RAPORU_BURAK_YENI1309[[#This Row],[ALT_KOD]]))</f>
        <v>-1</v>
      </c>
      <c r="L3132">
        <v>5</v>
      </c>
      <c r="M3132">
        <f>IF((DST_123_ÜRETİM_İHTİYAÇ_RAPORU_BURAK_YENI1309[[#This Row],[SATINALMA]]*DST_123_ÜRETİM_İHTİYAÇ_RAPORU_BURAK_YENI1309[[#This Row],[BIRIM_FIYATLAR]])&lt;1,VALUE("0"),DST_123_ÜRETİM_İHTİYAÇ_RAPORU_BURAK_YENI1309[[#This Row],[SATINALMA]]*DST_123_ÜRETİM_İHTİYAÇ_RAPORU_BURAK_YENI1309[[#This Row],[BIRIM_FIYATLAR]])</f>
        <v>0</v>
      </c>
      <c r="N3132">
        <v>1200</v>
      </c>
      <c r="O3132" t="s">
        <v>217</v>
      </c>
      <c r="P3132">
        <v>1200</v>
      </c>
      <c r="Q3132" t="s">
        <v>178</v>
      </c>
    </row>
    <row r="3133" spans="1:17" x14ac:dyDescent="0.25">
      <c r="A3133" t="s">
        <v>1099</v>
      </c>
      <c r="B3133" t="s">
        <v>1055</v>
      </c>
      <c r="C3133" t="s">
        <v>175</v>
      </c>
      <c r="D3133" t="s">
        <v>106</v>
      </c>
      <c r="E3133" t="s">
        <v>107</v>
      </c>
      <c r="F3133">
        <v>1</v>
      </c>
      <c r="G3133" t="s">
        <v>176</v>
      </c>
      <c r="H3133">
        <v>1</v>
      </c>
      <c r="I3133">
        <v>7</v>
      </c>
      <c r="J3133" s="10">
        <v>10</v>
      </c>
      <c r="K3133" s="10">
        <f>SUMIFS(F:F,D:D,DST_123_ÜRETİM_İHTİYAÇ_RAPORU_BURAK_YENI1309[[#This Row],[ALT_KOD]])-(SUMIFS(H:H,D:D,DST_123_ÜRETİM_İHTİYAÇ_RAPORU_BURAK_YENI1309[[#This Row],[ALT_KOD]])+AVERAGEIFS(I:I,D:D,DST_123_ÜRETİM_İHTİYAÇ_RAPORU_BURAK_YENI1309[[#This Row],[ALT_KOD]])+AVERAGEIFS(L:L,D:D,DST_123_ÜRETİM_İHTİYAÇ_RAPORU_BURAK_YENI1309[[#This Row],[ALT_KOD]]))</f>
        <v>-1</v>
      </c>
      <c r="L3133">
        <v>5</v>
      </c>
      <c r="M3133">
        <f>IF((DST_123_ÜRETİM_İHTİYAÇ_RAPORU_BURAK_YENI1309[[#This Row],[SATINALMA]]*DST_123_ÜRETİM_İHTİYAÇ_RAPORU_BURAK_YENI1309[[#This Row],[BIRIM_FIYATLAR]])&lt;1,VALUE("0"),DST_123_ÜRETİM_İHTİYAÇ_RAPORU_BURAK_YENI1309[[#This Row],[SATINALMA]]*DST_123_ÜRETİM_İHTİYAÇ_RAPORU_BURAK_YENI1309[[#This Row],[BIRIM_FIYATLAR]])</f>
        <v>0</v>
      </c>
      <c r="N3133">
        <v>1200</v>
      </c>
      <c r="O3133" t="s">
        <v>217</v>
      </c>
      <c r="P3133">
        <v>1200</v>
      </c>
      <c r="Q3133" t="s">
        <v>178</v>
      </c>
    </row>
    <row r="3134" spans="1:17" x14ac:dyDescent="0.25">
      <c r="A3134" t="s">
        <v>1064</v>
      </c>
      <c r="B3134" t="s">
        <v>1055</v>
      </c>
      <c r="C3134" t="s">
        <v>175</v>
      </c>
      <c r="D3134" t="s">
        <v>500</v>
      </c>
      <c r="E3134" t="s">
        <v>501</v>
      </c>
      <c r="F3134">
        <v>1.5</v>
      </c>
      <c r="G3134" t="s">
        <v>179</v>
      </c>
      <c r="H3134">
        <v>0</v>
      </c>
      <c r="I3134">
        <v>0</v>
      </c>
      <c r="J3134" s="10">
        <v>27</v>
      </c>
      <c r="K3134" s="10">
        <f>SUMIFS(F:F,D:D,DST_123_ÜRETİM_İHTİYAÇ_RAPORU_BURAK_YENI1309[[#This Row],[ALT_KOD]])-(SUMIFS(H:H,D:D,DST_123_ÜRETİM_İHTİYAÇ_RAPORU_BURAK_YENI1309[[#This Row],[ALT_KOD]])+AVERAGEIFS(I:I,D:D,DST_123_ÜRETİM_İHTİYAÇ_RAPORU_BURAK_YENI1309[[#This Row],[ALT_KOD]])+AVERAGEIFS(L:L,D:D,DST_123_ÜRETİM_İHTİYAÇ_RAPORU_BURAK_YENI1309[[#This Row],[ALT_KOD]]))</f>
        <v>30.5</v>
      </c>
      <c r="L3134">
        <v>0</v>
      </c>
      <c r="M3134">
        <f>IF((DST_123_ÜRETİM_İHTİYAÇ_RAPORU_BURAK_YENI1309[[#This Row],[SATINALMA]]*DST_123_ÜRETİM_İHTİYAÇ_RAPORU_BURAK_YENI1309[[#This Row],[BIRIM_FIYATLAR]])&lt;1,VALUE("0"),DST_123_ÜRETİM_İHTİYAÇ_RAPORU_BURAK_YENI1309[[#This Row],[SATINALMA]]*DST_123_ÜRETİM_İHTİYAÇ_RAPORU_BURAK_YENI1309[[#This Row],[BIRIM_FIYATLAR]])</f>
        <v>396.5</v>
      </c>
      <c r="N3134">
        <v>13</v>
      </c>
      <c r="P3134">
        <v>19.5</v>
      </c>
      <c r="Q3134" t="s">
        <v>221</v>
      </c>
    </row>
    <row r="3135" spans="1:17" x14ac:dyDescent="0.25">
      <c r="A3135" t="s">
        <v>1064</v>
      </c>
      <c r="B3135" t="s">
        <v>1055</v>
      </c>
      <c r="C3135" t="s">
        <v>175</v>
      </c>
      <c r="D3135" t="s">
        <v>550</v>
      </c>
      <c r="E3135" t="s">
        <v>551</v>
      </c>
      <c r="F3135">
        <v>2</v>
      </c>
      <c r="G3135" t="s">
        <v>176</v>
      </c>
      <c r="H3135">
        <v>2</v>
      </c>
      <c r="I3135">
        <v>35</v>
      </c>
      <c r="J3135" s="10">
        <v>14</v>
      </c>
      <c r="K3135" s="10">
        <f>SUMIFS(F:F,D:D,DST_123_ÜRETİM_İHTİYAÇ_RAPORU_BURAK_YENI1309[[#This Row],[ALT_KOD]])-(SUMIFS(H:H,D:D,DST_123_ÜRETİM_İHTİYAÇ_RAPORU_BURAK_YENI1309[[#This Row],[ALT_KOD]])+AVERAGEIFS(I:I,D:D,DST_123_ÜRETİM_İHTİYAÇ_RAPORU_BURAK_YENI1309[[#This Row],[ALT_KOD]])+AVERAGEIFS(L:L,D:D,DST_123_ÜRETİM_İHTİYAÇ_RAPORU_BURAK_YENI1309[[#This Row],[ALT_KOD]]))</f>
        <v>-11</v>
      </c>
      <c r="L3135">
        <v>0</v>
      </c>
      <c r="M3135">
        <f>IF((DST_123_ÜRETİM_İHTİYAÇ_RAPORU_BURAK_YENI1309[[#This Row],[SATINALMA]]*DST_123_ÜRETİM_İHTİYAÇ_RAPORU_BURAK_YENI1309[[#This Row],[BIRIM_FIYATLAR]])&lt;1,VALUE("0"),DST_123_ÜRETİM_İHTİYAÇ_RAPORU_BURAK_YENI1309[[#This Row],[SATINALMA]]*DST_123_ÜRETİM_İHTİYAÇ_RAPORU_BURAK_YENI1309[[#This Row],[BIRIM_FIYATLAR]])</f>
        <v>0</v>
      </c>
      <c r="N3135">
        <v>43.75</v>
      </c>
      <c r="O3135" t="s">
        <v>490</v>
      </c>
      <c r="P3135">
        <v>87.5</v>
      </c>
      <c r="Q3135" t="s">
        <v>180</v>
      </c>
    </row>
    <row r="3136" spans="1:17" x14ac:dyDescent="0.25">
      <c r="A3136" t="s">
        <v>1196</v>
      </c>
      <c r="B3136" t="s">
        <v>1197</v>
      </c>
      <c r="C3136" t="s">
        <v>175</v>
      </c>
      <c r="D3136" t="s">
        <v>273</v>
      </c>
      <c r="E3136" t="s">
        <v>274</v>
      </c>
      <c r="F3136">
        <v>1</v>
      </c>
      <c r="G3136" t="s">
        <v>176</v>
      </c>
      <c r="H3136">
        <v>0</v>
      </c>
      <c r="I3136">
        <v>7</v>
      </c>
      <c r="J3136" s="10">
        <v>10</v>
      </c>
      <c r="K3136" s="10">
        <f>SUMIFS(F:F,D:D,DST_123_ÜRETİM_İHTİYAÇ_RAPORU_BURAK_YENI1309[[#This Row],[ALT_KOD]])-(SUMIFS(H:H,D:D,DST_123_ÜRETİM_İHTİYAÇ_RAPORU_BURAK_YENI1309[[#This Row],[ALT_KOD]])+AVERAGEIFS(I:I,D:D,DST_123_ÜRETİM_İHTİYAÇ_RAPORU_BURAK_YENI1309[[#This Row],[ALT_KOD]])+AVERAGEIFS(L:L,D:D,DST_123_ÜRETİM_İHTİYAÇ_RAPORU_BURAK_YENI1309[[#This Row],[ALT_KOD]]))</f>
        <v>4</v>
      </c>
      <c r="L3136">
        <v>0</v>
      </c>
      <c r="M3136">
        <f>IF((DST_123_ÜRETİM_İHTİYAÇ_RAPORU_BURAK_YENI1309[[#This Row],[SATINALMA]]*DST_123_ÜRETİM_İHTİYAÇ_RAPORU_BURAK_YENI1309[[#This Row],[BIRIM_FIYATLAR]])&lt;1,VALUE("0"),DST_123_ÜRETİM_İHTİYAÇ_RAPORU_BURAK_YENI1309[[#This Row],[SATINALMA]]*DST_123_ÜRETİM_İHTİYAÇ_RAPORU_BURAK_YENI1309[[#This Row],[BIRIM_FIYATLAR]])</f>
        <v>1950.24</v>
      </c>
      <c r="N3136">
        <v>487.56</v>
      </c>
      <c r="O3136" t="s">
        <v>275</v>
      </c>
      <c r="P3136">
        <v>487.56</v>
      </c>
      <c r="Q3136" t="s">
        <v>177</v>
      </c>
    </row>
    <row r="3137" spans="1:17" x14ac:dyDescent="0.25">
      <c r="A3137" t="s">
        <v>1064</v>
      </c>
      <c r="B3137" t="s">
        <v>1055</v>
      </c>
      <c r="C3137" t="s">
        <v>175</v>
      </c>
      <c r="D3137" t="s">
        <v>273</v>
      </c>
      <c r="E3137" t="s">
        <v>274</v>
      </c>
      <c r="F3137">
        <v>1</v>
      </c>
      <c r="G3137" t="s">
        <v>176</v>
      </c>
      <c r="H3137">
        <v>1</v>
      </c>
      <c r="I3137">
        <v>7</v>
      </c>
      <c r="J3137" s="10">
        <v>10</v>
      </c>
      <c r="K3137" s="10">
        <f>SUMIFS(F:F,D:D,DST_123_ÜRETİM_İHTİYAÇ_RAPORU_BURAK_YENI1309[[#This Row],[ALT_KOD]])-(SUMIFS(H:H,D:D,DST_123_ÜRETİM_İHTİYAÇ_RAPORU_BURAK_YENI1309[[#This Row],[ALT_KOD]])+AVERAGEIFS(I:I,D:D,DST_123_ÜRETİM_İHTİYAÇ_RAPORU_BURAK_YENI1309[[#This Row],[ALT_KOD]])+AVERAGEIFS(L:L,D:D,DST_123_ÜRETİM_İHTİYAÇ_RAPORU_BURAK_YENI1309[[#This Row],[ALT_KOD]]))</f>
        <v>4</v>
      </c>
      <c r="L3137">
        <v>0</v>
      </c>
      <c r="M3137">
        <f>IF((DST_123_ÜRETİM_İHTİYAÇ_RAPORU_BURAK_YENI1309[[#This Row],[SATINALMA]]*DST_123_ÜRETİM_İHTİYAÇ_RAPORU_BURAK_YENI1309[[#This Row],[BIRIM_FIYATLAR]])&lt;1,VALUE("0"),DST_123_ÜRETİM_İHTİYAÇ_RAPORU_BURAK_YENI1309[[#This Row],[SATINALMA]]*DST_123_ÜRETİM_İHTİYAÇ_RAPORU_BURAK_YENI1309[[#This Row],[BIRIM_FIYATLAR]])</f>
        <v>1950.24</v>
      </c>
      <c r="N3137">
        <v>487.56</v>
      </c>
      <c r="O3137" t="s">
        <v>275</v>
      </c>
      <c r="P3137">
        <v>487.56</v>
      </c>
      <c r="Q3137" t="s">
        <v>177</v>
      </c>
    </row>
    <row r="3138" spans="1:17" x14ac:dyDescent="0.25">
      <c r="A3138" t="s">
        <v>1142</v>
      </c>
      <c r="B3138" t="s">
        <v>1056</v>
      </c>
      <c r="C3138" t="s">
        <v>175</v>
      </c>
      <c r="D3138" t="s">
        <v>750</v>
      </c>
      <c r="E3138" t="s">
        <v>751</v>
      </c>
      <c r="F3138">
        <v>12</v>
      </c>
      <c r="G3138" t="s">
        <v>176</v>
      </c>
      <c r="H3138">
        <v>0</v>
      </c>
      <c r="I3138">
        <v>0</v>
      </c>
      <c r="J3138" s="10">
        <v>0</v>
      </c>
      <c r="K3138" s="10">
        <f>SUMIFS(F:F,D:D,DST_123_ÜRETİM_İHTİYAÇ_RAPORU_BURAK_YENI1309[[#This Row],[ALT_KOD]])-(SUMIFS(H:H,D:D,DST_123_ÜRETİM_İHTİYAÇ_RAPORU_BURAK_YENI1309[[#This Row],[ALT_KOD]])+AVERAGEIFS(I:I,D:D,DST_123_ÜRETİM_İHTİYAÇ_RAPORU_BURAK_YENI1309[[#This Row],[ALT_KOD]])+AVERAGEIFS(L:L,D:D,DST_123_ÜRETİM_İHTİYAÇ_RAPORU_BURAK_YENI1309[[#This Row],[ALT_KOD]]))</f>
        <v>124</v>
      </c>
      <c r="L3138">
        <v>0</v>
      </c>
      <c r="M3138">
        <f>IF((DST_123_ÜRETİM_İHTİYAÇ_RAPORU_BURAK_YENI1309[[#This Row],[SATINALMA]]*DST_123_ÜRETİM_İHTİYAÇ_RAPORU_BURAK_YENI1309[[#This Row],[BIRIM_FIYATLAR]])&lt;1,VALUE("0"),DST_123_ÜRETİM_İHTİYAÇ_RAPORU_BURAK_YENI1309[[#This Row],[SATINALMA]]*DST_123_ÜRETİM_İHTİYAÇ_RAPORU_BURAK_YENI1309[[#This Row],[BIRIM_FIYATLAR]])</f>
        <v>217</v>
      </c>
      <c r="N3138">
        <v>1.75</v>
      </c>
      <c r="O3138" t="s">
        <v>240</v>
      </c>
      <c r="P3138">
        <v>21</v>
      </c>
      <c r="Q3138" t="s">
        <v>180</v>
      </c>
    </row>
    <row r="3139" spans="1:17" x14ac:dyDescent="0.25">
      <c r="A3139" t="s">
        <v>1057</v>
      </c>
      <c r="B3139" t="s">
        <v>1058</v>
      </c>
      <c r="C3139" t="s">
        <v>175</v>
      </c>
      <c r="D3139" t="s">
        <v>943</v>
      </c>
      <c r="E3139" t="s">
        <v>944</v>
      </c>
      <c r="F3139">
        <v>0.5</v>
      </c>
      <c r="G3139" t="s">
        <v>176</v>
      </c>
      <c r="H3139">
        <v>0</v>
      </c>
      <c r="I3139">
        <v>0</v>
      </c>
      <c r="J3139" s="10">
        <v>0</v>
      </c>
      <c r="K3139" s="10">
        <f>SUMIFS(F:F,D:D,DST_123_ÜRETİM_İHTİYAÇ_RAPORU_BURAK_YENI1309[[#This Row],[ALT_KOD]])-(SUMIFS(H:H,D:D,DST_123_ÜRETİM_İHTİYAÇ_RAPORU_BURAK_YENI1309[[#This Row],[ALT_KOD]])+AVERAGEIFS(I:I,D:D,DST_123_ÜRETİM_İHTİYAÇ_RAPORU_BURAK_YENI1309[[#This Row],[ALT_KOD]])+AVERAGEIFS(L:L,D:D,DST_123_ÜRETİM_İHTİYAÇ_RAPORU_BURAK_YENI1309[[#This Row],[ALT_KOD]]))</f>
        <v>6.5</v>
      </c>
      <c r="L3139">
        <v>0</v>
      </c>
      <c r="M3139">
        <f>IF((DST_123_ÜRETİM_İHTİYAÇ_RAPORU_BURAK_YENI1309[[#This Row],[SATINALMA]]*DST_123_ÜRETİM_İHTİYAÇ_RAPORU_BURAK_YENI1309[[#This Row],[BIRIM_FIYATLAR]])&lt;1,VALUE("0"),DST_123_ÜRETİM_İHTİYAÇ_RAPORU_BURAK_YENI1309[[#This Row],[SATINALMA]]*DST_123_ÜRETİM_İHTİYAÇ_RAPORU_BURAK_YENI1309[[#This Row],[BIRIM_FIYATLAR]])</f>
        <v>247</v>
      </c>
      <c r="N3139">
        <v>38</v>
      </c>
      <c r="O3139" t="s">
        <v>240</v>
      </c>
      <c r="P3139">
        <v>19</v>
      </c>
      <c r="Q3139" t="s">
        <v>183</v>
      </c>
    </row>
    <row r="3140" spans="1:17" x14ac:dyDescent="0.25">
      <c r="A3140" t="s">
        <v>1060</v>
      </c>
      <c r="B3140" t="s">
        <v>1061</v>
      </c>
      <c r="C3140" t="s">
        <v>175</v>
      </c>
      <c r="D3140" t="s">
        <v>500</v>
      </c>
      <c r="E3140" t="s">
        <v>501</v>
      </c>
      <c r="F3140">
        <v>4</v>
      </c>
      <c r="G3140" t="s">
        <v>179</v>
      </c>
      <c r="H3140">
        <v>0</v>
      </c>
      <c r="I3140">
        <v>0</v>
      </c>
      <c r="J3140" s="10">
        <v>27</v>
      </c>
      <c r="K3140" s="10">
        <f>SUMIFS(F:F,D:D,DST_123_ÜRETİM_İHTİYAÇ_RAPORU_BURAK_YENI1309[[#This Row],[ALT_KOD]])-(SUMIFS(H:H,D:D,DST_123_ÜRETİM_İHTİYAÇ_RAPORU_BURAK_YENI1309[[#This Row],[ALT_KOD]])+AVERAGEIFS(I:I,D:D,DST_123_ÜRETİM_İHTİYAÇ_RAPORU_BURAK_YENI1309[[#This Row],[ALT_KOD]])+AVERAGEIFS(L:L,D:D,DST_123_ÜRETİM_İHTİYAÇ_RAPORU_BURAK_YENI1309[[#This Row],[ALT_KOD]]))</f>
        <v>30.5</v>
      </c>
      <c r="L3140">
        <v>0</v>
      </c>
      <c r="M3140">
        <f>IF((DST_123_ÜRETİM_İHTİYAÇ_RAPORU_BURAK_YENI1309[[#This Row],[SATINALMA]]*DST_123_ÜRETİM_İHTİYAÇ_RAPORU_BURAK_YENI1309[[#This Row],[BIRIM_FIYATLAR]])&lt;1,VALUE("0"),DST_123_ÜRETİM_İHTİYAÇ_RAPORU_BURAK_YENI1309[[#This Row],[SATINALMA]]*DST_123_ÜRETİM_İHTİYAÇ_RAPORU_BURAK_YENI1309[[#This Row],[BIRIM_FIYATLAR]])</f>
        <v>396.5</v>
      </c>
      <c r="N3140">
        <v>13</v>
      </c>
      <c r="P3140">
        <v>52</v>
      </c>
      <c r="Q3140" t="s">
        <v>221</v>
      </c>
    </row>
    <row r="3141" spans="1:17" x14ac:dyDescent="0.25">
      <c r="A3141" t="s">
        <v>1100</v>
      </c>
      <c r="B3141" t="s">
        <v>1058</v>
      </c>
      <c r="C3141" t="s">
        <v>175</v>
      </c>
      <c r="D3141" t="s">
        <v>500</v>
      </c>
      <c r="E3141" t="s">
        <v>501</v>
      </c>
      <c r="F3141">
        <v>4</v>
      </c>
      <c r="G3141" t="s">
        <v>179</v>
      </c>
      <c r="H3141">
        <v>0</v>
      </c>
      <c r="I3141">
        <v>0</v>
      </c>
      <c r="J3141" s="10">
        <v>27</v>
      </c>
      <c r="K3141" s="10">
        <f>SUMIFS(F:F,D:D,DST_123_ÜRETİM_İHTİYAÇ_RAPORU_BURAK_YENI1309[[#This Row],[ALT_KOD]])-(SUMIFS(H:H,D:D,DST_123_ÜRETİM_İHTİYAÇ_RAPORU_BURAK_YENI1309[[#This Row],[ALT_KOD]])+AVERAGEIFS(I:I,D:D,DST_123_ÜRETİM_İHTİYAÇ_RAPORU_BURAK_YENI1309[[#This Row],[ALT_KOD]])+AVERAGEIFS(L:L,D:D,DST_123_ÜRETİM_İHTİYAÇ_RAPORU_BURAK_YENI1309[[#This Row],[ALT_KOD]]))</f>
        <v>30.5</v>
      </c>
      <c r="L3141">
        <v>0</v>
      </c>
      <c r="M3141">
        <f>IF((DST_123_ÜRETİM_İHTİYAÇ_RAPORU_BURAK_YENI1309[[#This Row],[SATINALMA]]*DST_123_ÜRETİM_İHTİYAÇ_RAPORU_BURAK_YENI1309[[#This Row],[BIRIM_FIYATLAR]])&lt;1,VALUE("0"),DST_123_ÜRETİM_İHTİYAÇ_RAPORU_BURAK_YENI1309[[#This Row],[SATINALMA]]*DST_123_ÜRETİM_İHTİYAÇ_RAPORU_BURAK_YENI1309[[#This Row],[BIRIM_FIYATLAR]])</f>
        <v>396.5</v>
      </c>
      <c r="N3141">
        <v>13</v>
      </c>
      <c r="P3141">
        <v>52</v>
      </c>
      <c r="Q3141" t="s">
        <v>221</v>
      </c>
    </row>
    <row r="3142" spans="1:17" x14ac:dyDescent="0.25">
      <c r="A3142" t="s">
        <v>1100</v>
      </c>
      <c r="B3142" t="s">
        <v>1058</v>
      </c>
      <c r="C3142" t="s">
        <v>175</v>
      </c>
      <c r="D3142" t="s">
        <v>550</v>
      </c>
      <c r="E3142" t="s">
        <v>551</v>
      </c>
      <c r="F3142">
        <v>2</v>
      </c>
      <c r="G3142" t="s">
        <v>176</v>
      </c>
      <c r="H3142">
        <v>2</v>
      </c>
      <c r="I3142">
        <v>35</v>
      </c>
      <c r="J3142" s="10">
        <v>14</v>
      </c>
      <c r="K3142" s="10">
        <f>SUMIFS(F:F,D:D,DST_123_ÜRETİM_İHTİYAÇ_RAPORU_BURAK_YENI1309[[#This Row],[ALT_KOD]])-(SUMIFS(H:H,D:D,DST_123_ÜRETİM_İHTİYAÇ_RAPORU_BURAK_YENI1309[[#This Row],[ALT_KOD]])+AVERAGEIFS(I:I,D:D,DST_123_ÜRETİM_İHTİYAÇ_RAPORU_BURAK_YENI1309[[#This Row],[ALT_KOD]])+AVERAGEIFS(L:L,D:D,DST_123_ÜRETİM_İHTİYAÇ_RAPORU_BURAK_YENI1309[[#This Row],[ALT_KOD]]))</f>
        <v>-11</v>
      </c>
      <c r="L3142">
        <v>0</v>
      </c>
      <c r="M3142">
        <f>IF((DST_123_ÜRETİM_İHTİYAÇ_RAPORU_BURAK_YENI1309[[#This Row],[SATINALMA]]*DST_123_ÜRETİM_İHTİYAÇ_RAPORU_BURAK_YENI1309[[#This Row],[BIRIM_FIYATLAR]])&lt;1,VALUE("0"),DST_123_ÜRETİM_İHTİYAÇ_RAPORU_BURAK_YENI1309[[#This Row],[SATINALMA]]*DST_123_ÜRETİM_İHTİYAÇ_RAPORU_BURAK_YENI1309[[#This Row],[BIRIM_FIYATLAR]])</f>
        <v>0</v>
      </c>
      <c r="N3142">
        <v>43.75</v>
      </c>
      <c r="O3142" t="s">
        <v>490</v>
      </c>
      <c r="P3142">
        <v>87.5</v>
      </c>
      <c r="Q3142" t="s">
        <v>180</v>
      </c>
    </row>
    <row r="3143" spans="1:17" x14ac:dyDescent="0.25">
      <c r="A3143" t="s">
        <v>1148</v>
      </c>
      <c r="B3143" t="s">
        <v>1056</v>
      </c>
      <c r="C3143" t="s">
        <v>175</v>
      </c>
      <c r="D3143" t="s">
        <v>550</v>
      </c>
      <c r="E3143" t="s">
        <v>551</v>
      </c>
      <c r="F3143">
        <v>2</v>
      </c>
      <c r="G3143" t="s">
        <v>176</v>
      </c>
      <c r="H3143">
        <v>0</v>
      </c>
      <c r="I3143">
        <v>35</v>
      </c>
      <c r="J3143" s="10">
        <v>14</v>
      </c>
      <c r="K3143" s="10">
        <f>SUMIFS(F:F,D:D,DST_123_ÜRETİM_İHTİYAÇ_RAPORU_BURAK_YENI1309[[#This Row],[ALT_KOD]])-(SUMIFS(H:H,D:D,DST_123_ÜRETİM_İHTİYAÇ_RAPORU_BURAK_YENI1309[[#This Row],[ALT_KOD]])+AVERAGEIFS(I:I,D:D,DST_123_ÜRETİM_İHTİYAÇ_RAPORU_BURAK_YENI1309[[#This Row],[ALT_KOD]])+AVERAGEIFS(L:L,D:D,DST_123_ÜRETİM_İHTİYAÇ_RAPORU_BURAK_YENI1309[[#This Row],[ALT_KOD]]))</f>
        <v>-11</v>
      </c>
      <c r="L3143">
        <v>0</v>
      </c>
      <c r="M3143">
        <f>IF((DST_123_ÜRETİM_İHTİYAÇ_RAPORU_BURAK_YENI1309[[#This Row],[SATINALMA]]*DST_123_ÜRETİM_İHTİYAÇ_RAPORU_BURAK_YENI1309[[#This Row],[BIRIM_FIYATLAR]])&lt;1,VALUE("0"),DST_123_ÜRETİM_İHTİYAÇ_RAPORU_BURAK_YENI1309[[#This Row],[SATINALMA]]*DST_123_ÜRETİM_İHTİYAÇ_RAPORU_BURAK_YENI1309[[#This Row],[BIRIM_FIYATLAR]])</f>
        <v>0</v>
      </c>
      <c r="N3143">
        <v>43.75</v>
      </c>
      <c r="O3143" t="s">
        <v>490</v>
      </c>
      <c r="P3143">
        <v>87.5</v>
      </c>
      <c r="Q3143" t="s">
        <v>180</v>
      </c>
    </row>
    <row r="3144" spans="1:17" x14ac:dyDescent="0.25">
      <c r="A3144" t="s">
        <v>1098</v>
      </c>
      <c r="B3144" t="s">
        <v>1096</v>
      </c>
      <c r="C3144" t="s">
        <v>175</v>
      </c>
      <c r="D3144" t="s">
        <v>106</v>
      </c>
      <c r="E3144" t="s">
        <v>107</v>
      </c>
      <c r="F3144">
        <v>1</v>
      </c>
      <c r="G3144" t="s">
        <v>176</v>
      </c>
      <c r="H3144">
        <v>0</v>
      </c>
      <c r="I3144">
        <v>7</v>
      </c>
      <c r="J3144" s="10">
        <v>10</v>
      </c>
      <c r="K3144" s="10">
        <f>SUMIFS(F:F,D:D,DST_123_ÜRETİM_İHTİYAÇ_RAPORU_BURAK_YENI1309[[#This Row],[ALT_KOD]])-(SUMIFS(H:H,D:D,DST_123_ÜRETİM_İHTİYAÇ_RAPORU_BURAK_YENI1309[[#This Row],[ALT_KOD]])+AVERAGEIFS(I:I,D:D,DST_123_ÜRETİM_İHTİYAÇ_RAPORU_BURAK_YENI1309[[#This Row],[ALT_KOD]])+AVERAGEIFS(L:L,D:D,DST_123_ÜRETİM_İHTİYAÇ_RAPORU_BURAK_YENI1309[[#This Row],[ALT_KOD]]))</f>
        <v>-1</v>
      </c>
      <c r="L3144">
        <v>5</v>
      </c>
      <c r="M3144">
        <f>IF((DST_123_ÜRETİM_İHTİYAÇ_RAPORU_BURAK_YENI1309[[#This Row],[SATINALMA]]*DST_123_ÜRETİM_İHTİYAÇ_RAPORU_BURAK_YENI1309[[#This Row],[BIRIM_FIYATLAR]])&lt;1,VALUE("0"),DST_123_ÜRETİM_İHTİYAÇ_RAPORU_BURAK_YENI1309[[#This Row],[SATINALMA]]*DST_123_ÜRETİM_İHTİYAÇ_RAPORU_BURAK_YENI1309[[#This Row],[BIRIM_FIYATLAR]])</f>
        <v>0</v>
      </c>
      <c r="N3144">
        <v>1200</v>
      </c>
      <c r="O3144" t="s">
        <v>217</v>
      </c>
      <c r="P3144">
        <v>1200</v>
      </c>
      <c r="Q3144" t="s">
        <v>178</v>
      </c>
    </row>
    <row r="3145" spans="1:17" x14ac:dyDescent="0.25">
      <c r="A3145" t="s">
        <v>1098</v>
      </c>
      <c r="B3145" t="s">
        <v>1096</v>
      </c>
      <c r="C3145" t="s">
        <v>175</v>
      </c>
      <c r="D3145" t="s">
        <v>692</v>
      </c>
      <c r="E3145" t="s">
        <v>693</v>
      </c>
      <c r="F3145">
        <v>13</v>
      </c>
      <c r="G3145" t="s">
        <v>182</v>
      </c>
      <c r="H3145">
        <v>0</v>
      </c>
      <c r="I3145">
        <v>0</v>
      </c>
      <c r="J3145" s="10">
        <v>139.96999999999997</v>
      </c>
      <c r="K3145" s="10">
        <f>SUMIFS(F:F,D:D,DST_123_ÜRETİM_İHTİYAÇ_RAPORU_BURAK_YENI1309[[#This Row],[ALT_KOD]])-(SUMIFS(H:H,D:D,DST_123_ÜRETİM_İHTİYAÇ_RAPORU_BURAK_YENI1309[[#This Row],[ALT_KOD]])+AVERAGEIFS(I:I,D:D,DST_123_ÜRETİM_İHTİYAÇ_RAPORU_BURAK_YENI1309[[#This Row],[ALT_KOD]])+AVERAGEIFS(L:L,D:D,DST_123_ÜRETİM_İHTİYAÇ_RAPORU_BURAK_YENI1309[[#This Row],[ALT_KOD]]))</f>
        <v>74.11</v>
      </c>
      <c r="L3145">
        <v>11.89</v>
      </c>
      <c r="M3145">
        <f>IF((DST_123_ÜRETİM_İHTİYAÇ_RAPORU_BURAK_YENI1309[[#This Row],[SATINALMA]]*DST_123_ÜRETİM_İHTİYAÇ_RAPORU_BURAK_YENI1309[[#This Row],[BIRIM_FIYATLAR]])&lt;1,VALUE("0"),DST_123_ÜRETİM_İHTİYAÇ_RAPORU_BURAK_YENI1309[[#This Row],[SATINALMA]]*DST_123_ÜRETİM_İHTİYAÇ_RAPORU_BURAK_YENI1309[[#This Row],[BIRIM_FIYATLAR]])</f>
        <v>21706.819</v>
      </c>
      <c r="N3145">
        <v>292.89999999999998</v>
      </c>
      <c r="O3145" t="s">
        <v>223</v>
      </c>
      <c r="P3145">
        <v>3807.7</v>
      </c>
      <c r="Q3145" t="s">
        <v>181</v>
      </c>
    </row>
    <row r="3146" spans="1:17" x14ac:dyDescent="0.25">
      <c r="A3146" t="s">
        <v>1196</v>
      </c>
      <c r="B3146" t="s">
        <v>1197</v>
      </c>
      <c r="C3146" t="s">
        <v>175</v>
      </c>
      <c r="D3146" t="s">
        <v>692</v>
      </c>
      <c r="E3146" t="s">
        <v>693</v>
      </c>
      <c r="F3146">
        <v>15</v>
      </c>
      <c r="G3146" t="s">
        <v>182</v>
      </c>
      <c r="H3146">
        <v>0</v>
      </c>
      <c r="I3146">
        <v>0</v>
      </c>
      <c r="J3146" s="10">
        <v>139.96999999999997</v>
      </c>
      <c r="K3146" s="10">
        <f>SUMIFS(F:F,D:D,DST_123_ÜRETİM_İHTİYAÇ_RAPORU_BURAK_YENI1309[[#This Row],[ALT_KOD]])-(SUMIFS(H:H,D:D,DST_123_ÜRETİM_İHTİYAÇ_RAPORU_BURAK_YENI1309[[#This Row],[ALT_KOD]])+AVERAGEIFS(I:I,D:D,DST_123_ÜRETİM_İHTİYAÇ_RAPORU_BURAK_YENI1309[[#This Row],[ALT_KOD]])+AVERAGEIFS(L:L,D:D,DST_123_ÜRETİM_İHTİYAÇ_RAPORU_BURAK_YENI1309[[#This Row],[ALT_KOD]]))</f>
        <v>74.11</v>
      </c>
      <c r="L3146">
        <v>11.89</v>
      </c>
      <c r="M3146">
        <f>IF((DST_123_ÜRETİM_İHTİYAÇ_RAPORU_BURAK_YENI1309[[#This Row],[SATINALMA]]*DST_123_ÜRETİM_İHTİYAÇ_RAPORU_BURAK_YENI1309[[#This Row],[BIRIM_FIYATLAR]])&lt;1,VALUE("0"),DST_123_ÜRETİM_İHTİYAÇ_RAPORU_BURAK_YENI1309[[#This Row],[SATINALMA]]*DST_123_ÜRETİM_İHTİYAÇ_RAPORU_BURAK_YENI1309[[#This Row],[BIRIM_FIYATLAR]])</f>
        <v>21706.819</v>
      </c>
      <c r="N3146">
        <v>292.89999999999998</v>
      </c>
      <c r="O3146" t="s">
        <v>223</v>
      </c>
      <c r="P3146">
        <v>4393.5</v>
      </c>
      <c r="Q3146" t="s">
        <v>181</v>
      </c>
    </row>
    <row r="3147" spans="1:17" x14ac:dyDescent="0.25">
      <c r="A3147" t="s">
        <v>1098</v>
      </c>
      <c r="B3147" t="s">
        <v>1096</v>
      </c>
      <c r="C3147" t="s">
        <v>175</v>
      </c>
      <c r="D3147" t="s">
        <v>943</v>
      </c>
      <c r="E3147" t="s">
        <v>944</v>
      </c>
      <c r="F3147">
        <v>1</v>
      </c>
      <c r="G3147" t="s">
        <v>176</v>
      </c>
      <c r="H3147">
        <v>0</v>
      </c>
      <c r="I3147">
        <v>0</v>
      </c>
      <c r="J3147" s="10">
        <v>0</v>
      </c>
      <c r="K3147" s="10">
        <f>SUMIFS(F:F,D:D,DST_123_ÜRETİM_İHTİYAÇ_RAPORU_BURAK_YENI1309[[#This Row],[ALT_KOD]])-(SUMIFS(H:H,D:D,DST_123_ÜRETİM_İHTİYAÇ_RAPORU_BURAK_YENI1309[[#This Row],[ALT_KOD]])+AVERAGEIFS(I:I,D:D,DST_123_ÜRETİM_İHTİYAÇ_RAPORU_BURAK_YENI1309[[#This Row],[ALT_KOD]])+AVERAGEIFS(L:L,D:D,DST_123_ÜRETİM_İHTİYAÇ_RAPORU_BURAK_YENI1309[[#This Row],[ALT_KOD]]))</f>
        <v>6.5</v>
      </c>
      <c r="L3147">
        <v>0</v>
      </c>
      <c r="M3147">
        <f>IF((DST_123_ÜRETİM_İHTİYAÇ_RAPORU_BURAK_YENI1309[[#This Row],[SATINALMA]]*DST_123_ÜRETİM_İHTİYAÇ_RAPORU_BURAK_YENI1309[[#This Row],[BIRIM_FIYATLAR]])&lt;1,VALUE("0"),DST_123_ÜRETİM_İHTİYAÇ_RAPORU_BURAK_YENI1309[[#This Row],[SATINALMA]]*DST_123_ÜRETİM_İHTİYAÇ_RAPORU_BURAK_YENI1309[[#This Row],[BIRIM_FIYATLAR]])</f>
        <v>247</v>
      </c>
      <c r="N3147">
        <v>38</v>
      </c>
      <c r="O3147" t="s">
        <v>240</v>
      </c>
      <c r="P3147">
        <v>38</v>
      </c>
      <c r="Q3147" t="s">
        <v>183</v>
      </c>
    </row>
    <row r="3148" spans="1:17" x14ac:dyDescent="0.25">
      <c r="A3148" t="s">
        <v>1098</v>
      </c>
      <c r="B3148" t="s">
        <v>1096</v>
      </c>
      <c r="C3148" t="s">
        <v>175</v>
      </c>
      <c r="D3148" t="s">
        <v>500</v>
      </c>
      <c r="E3148" t="s">
        <v>501</v>
      </c>
      <c r="F3148">
        <v>1.5</v>
      </c>
      <c r="G3148" t="s">
        <v>179</v>
      </c>
      <c r="H3148">
        <v>0</v>
      </c>
      <c r="I3148">
        <v>0</v>
      </c>
      <c r="J3148" s="10">
        <v>27</v>
      </c>
      <c r="K3148" s="10">
        <f>SUMIFS(F:F,D:D,DST_123_ÜRETİM_İHTİYAÇ_RAPORU_BURAK_YENI1309[[#This Row],[ALT_KOD]])-(SUMIFS(H:H,D:D,DST_123_ÜRETİM_İHTİYAÇ_RAPORU_BURAK_YENI1309[[#This Row],[ALT_KOD]])+AVERAGEIFS(I:I,D:D,DST_123_ÜRETİM_İHTİYAÇ_RAPORU_BURAK_YENI1309[[#This Row],[ALT_KOD]])+AVERAGEIFS(L:L,D:D,DST_123_ÜRETİM_İHTİYAÇ_RAPORU_BURAK_YENI1309[[#This Row],[ALT_KOD]]))</f>
        <v>30.5</v>
      </c>
      <c r="L3148">
        <v>0</v>
      </c>
      <c r="M3148">
        <f>IF((DST_123_ÜRETİM_İHTİYAÇ_RAPORU_BURAK_YENI1309[[#This Row],[SATINALMA]]*DST_123_ÜRETİM_İHTİYAÇ_RAPORU_BURAK_YENI1309[[#This Row],[BIRIM_FIYATLAR]])&lt;1,VALUE("0"),DST_123_ÜRETİM_İHTİYAÇ_RAPORU_BURAK_YENI1309[[#This Row],[SATINALMA]]*DST_123_ÜRETİM_İHTİYAÇ_RAPORU_BURAK_YENI1309[[#This Row],[BIRIM_FIYATLAR]])</f>
        <v>396.5</v>
      </c>
      <c r="N3148">
        <v>13</v>
      </c>
      <c r="P3148">
        <v>19.5</v>
      </c>
      <c r="Q3148" t="s">
        <v>221</v>
      </c>
    </row>
    <row r="3149" spans="1:17" x14ac:dyDescent="0.25">
      <c r="A3149" t="s">
        <v>1098</v>
      </c>
      <c r="B3149" t="s">
        <v>1096</v>
      </c>
      <c r="C3149" t="s">
        <v>175</v>
      </c>
      <c r="D3149" t="s">
        <v>273</v>
      </c>
      <c r="E3149" t="s">
        <v>274</v>
      </c>
      <c r="F3149">
        <v>1</v>
      </c>
      <c r="G3149" t="s">
        <v>176</v>
      </c>
      <c r="H3149">
        <v>0</v>
      </c>
      <c r="I3149">
        <v>7</v>
      </c>
      <c r="J3149" s="10">
        <v>10</v>
      </c>
      <c r="K3149" s="10">
        <f>SUMIFS(F:F,D:D,DST_123_ÜRETİM_İHTİYAÇ_RAPORU_BURAK_YENI1309[[#This Row],[ALT_KOD]])-(SUMIFS(H:H,D:D,DST_123_ÜRETİM_İHTİYAÇ_RAPORU_BURAK_YENI1309[[#This Row],[ALT_KOD]])+AVERAGEIFS(I:I,D:D,DST_123_ÜRETİM_İHTİYAÇ_RAPORU_BURAK_YENI1309[[#This Row],[ALT_KOD]])+AVERAGEIFS(L:L,D:D,DST_123_ÜRETİM_İHTİYAÇ_RAPORU_BURAK_YENI1309[[#This Row],[ALT_KOD]]))</f>
        <v>4</v>
      </c>
      <c r="L3149">
        <v>0</v>
      </c>
      <c r="M3149">
        <f>IF((DST_123_ÜRETİM_İHTİYAÇ_RAPORU_BURAK_YENI1309[[#This Row],[SATINALMA]]*DST_123_ÜRETİM_İHTİYAÇ_RAPORU_BURAK_YENI1309[[#This Row],[BIRIM_FIYATLAR]])&lt;1,VALUE("0"),DST_123_ÜRETİM_İHTİYAÇ_RAPORU_BURAK_YENI1309[[#This Row],[SATINALMA]]*DST_123_ÜRETİM_İHTİYAÇ_RAPORU_BURAK_YENI1309[[#This Row],[BIRIM_FIYATLAR]])</f>
        <v>1950.24</v>
      </c>
      <c r="N3149">
        <v>487.56</v>
      </c>
      <c r="O3149" t="s">
        <v>275</v>
      </c>
      <c r="P3149">
        <v>487.56</v>
      </c>
      <c r="Q3149" t="s">
        <v>177</v>
      </c>
    </row>
    <row r="3150" spans="1:17" x14ac:dyDescent="0.25">
      <c r="A3150" t="s">
        <v>1143</v>
      </c>
      <c r="B3150" t="s">
        <v>1056</v>
      </c>
      <c r="C3150" t="s">
        <v>175</v>
      </c>
      <c r="D3150" t="s">
        <v>692</v>
      </c>
      <c r="E3150" t="s">
        <v>693</v>
      </c>
      <c r="F3150">
        <v>15</v>
      </c>
      <c r="G3150" t="s">
        <v>182</v>
      </c>
      <c r="H3150">
        <v>0</v>
      </c>
      <c r="I3150">
        <v>0</v>
      </c>
      <c r="J3150" s="10">
        <v>139.96999999999997</v>
      </c>
      <c r="K3150" s="10">
        <f>SUMIFS(F:F,D:D,DST_123_ÜRETİM_İHTİYAÇ_RAPORU_BURAK_YENI1309[[#This Row],[ALT_KOD]])-(SUMIFS(H:H,D:D,DST_123_ÜRETİM_İHTİYAÇ_RAPORU_BURAK_YENI1309[[#This Row],[ALT_KOD]])+AVERAGEIFS(I:I,D:D,DST_123_ÜRETİM_İHTİYAÇ_RAPORU_BURAK_YENI1309[[#This Row],[ALT_KOD]])+AVERAGEIFS(L:L,D:D,DST_123_ÜRETİM_İHTİYAÇ_RAPORU_BURAK_YENI1309[[#This Row],[ALT_KOD]]))</f>
        <v>74.11</v>
      </c>
      <c r="L3150">
        <v>11.89</v>
      </c>
      <c r="M3150">
        <f>IF((DST_123_ÜRETİM_İHTİYAÇ_RAPORU_BURAK_YENI1309[[#This Row],[SATINALMA]]*DST_123_ÜRETİM_İHTİYAÇ_RAPORU_BURAK_YENI1309[[#This Row],[BIRIM_FIYATLAR]])&lt;1,VALUE("0"),DST_123_ÜRETİM_İHTİYAÇ_RAPORU_BURAK_YENI1309[[#This Row],[SATINALMA]]*DST_123_ÜRETİM_İHTİYAÇ_RAPORU_BURAK_YENI1309[[#This Row],[BIRIM_FIYATLAR]])</f>
        <v>21706.819</v>
      </c>
      <c r="N3150">
        <v>292.89999999999998</v>
      </c>
      <c r="O3150" t="s">
        <v>223</v>
      </c>
      <c r="P3150">
        <v>4393.5</v>
      </c>
      <c r="Q3150" t="s">
        <v>181</v>
      </c>
    </row>
    <row r="3151" spans="1:17" x14ac:dyDescent="0.25">
      <c r="A3151" t="s">
        <v>1095</v>
      </c>
      <c r="B3151" t="s">
        <v>1096</v>
      </c>
      <c r="C3151" t="s">
        <v>175</v>
      </c>
      <c r="D3151" t="s">
        <v>550</v>
      </c>
      <c r="E3151" t="s">
        <v>551</v>
      </c>
      <c r="F3151">
        <v>2</v>
      </c>
      <c r="G3151" t="s">
        <v>176</v>
      </c>
      <c r="H3151">
        <v>0</v>
      </c>
      <c r="I3151">
        <v>35</v>
      </c>
      <c r="J3151" s="10">
        <v>14</v>
      </c>
      <c r="K3151" s="10">
        <f>SUMIFS(F:F,D:D,DST_123_ÜRETİM_İHTİYAÇ_RAPORU_BURAK_YENI1309[[#This Row],[ALT_KOD]])-(SUMIFS(H:H,D:D,DST_123_ÜRETİM_İHTİYAÇ_RAPORU_BURAK_YENI1309[[#This Row],[ALT_KOD]])+AVERAGEIFS(I:I,D:D,DST_123_ÜRETİM_İHTİYAÇ_RAPORU_BURAK_YENI1309[[#This Row],[ALT_KOD]])+AVERAGEIFS(L:L,D:D,DST_123_ÜRETİM_İHTİYAÇ_RAPORU_BURAK_YENI1309[[#This Row],[ALT_KOD]]))</f>
        <v>-11</v>
      </c>
      <c r="L3151">
        <v>0</v>
      </c>
      <c r="M3151">
        <f>IF((DST_123_ÜRETİM_İHTİYAÇ_RAPORU_BURAK_YENI1309[[#This Row],[SATINALMA]]*DST_123_ÜRETİM_İHTİYAÇ_RAPORU_BURAK_YENI1309[[#This Row],[BIRIM_FIYATLAR]])&lt;1,VALUE("0"),DST_123_ÜRETİM_İHTİYAÇ_RAPORU_BURAK_YENI1309[[#This Row],[SATINALMA]]*DST_123_ÜRETİM_İHTİYAÇ_RAPORU_BURAK_YENI1309[[#This Row],[BIRIM_FIYATLAR]])</f>
        <v>0</v>
      </c>
      <c r="N3151">
        <v>43.75</v>
      </c>
      <c r="O3151" t="s">
        <v>490</v>
      </c>
      <c r="P3151">
        <v>87.5</v>
      </c>
      <c r="Q3151" t="s">
        <v>180</v>
      </c>
    </row>
    <row r="3152" spans="1:17" x14ac:dyDescent="0.25">
      <c r="A3152" t="s">
        <v>1143</v>
      </c>
      <c r="B3152" t="s">
        <v>1056</v>
      </c>
      <c r="C3152" t="s">
        <v>175</v>
      </c>
      <c r="D3152" t="s">
        <v>273</v>
      </c>
      <c r="E3152" t="s">
        <v>274</v>
      </c>
      <c r="F3152">
        <v>1</v>
      </c>
      <c r="G3152" t="s">
        <v>176</v>
      </c>
      <c r="H3152">
        <v>0</v>
      </c>
      <c r="I3152">
        <v>7</v>
      </c>
      <c r="J3152" s="10">
        <v>10</v>
      </c>
      <c r="K3152" s="10">
        <f>SUMIFS(F:F,D:D,DST_123_ÜRETİM_İHTİYAÇ_RAPORU_BURAK_YENI1309[[#This Row],[ALT_KOD]])-(SUMIFS(H:H,D:D,DST_123_ÜRETİM_İHTİYAÇ_RAPORU_BURAK_YENI1309[[#This Row],[ALT_KOD]])+AVERAGEIFS(I:I,D:D,DST_123_ÜRETİM_İHTİYAÇ_RAPORU_BURAK_YENI1309[[#This Row],[ALT_KOD]])+AVERAGEIFS(L:L,D:D,DST_123_ÜRETİM_İHTİYAÇ_RAPORU_BURAK_YENI1309[[#This Row],[ALT_KOD]]))</f>
        <v>4</v>
      </c>
      <c r="L3152">
        <v>0</v>
      </c>
      <c r="M3152">
        <f>IF((DST_123_ÜRETİM_İHTİYAÇ_RAPORU_BURAK_YENI1309[[#This Row],[SATINALMA]]*DST_123_ÜRETİM_İHTİYAÇ_RAPORU_BURAK_YENI1309[[#This Row],[BIRIM_FIYATLAR]])&lt;1,VALUE("0"),DST_123_ÜRETİM_İHTİYAÇ_RAPORU_BURAK_YENI1309[[#This Row],[SATINALMA]]*DST_123_ÜRETİM_İHTİYAÇ_RAPORU_BURAK_YENI1309[[#This Row],[BIRIM_FIYATLAR]])</f>
        <v>1950.24</v>
      </c>
      <c r="N3152">
        <v>487.56</v>
      </c>
      <c r="O3152" t="s">
        <v>275</v>
      </c>
      <c r="P3152">
        <v>487.56</v>
      </c>
      <c r="Q3152" t="s">
        <v>177</v>
      </c>
    </row>
    <row r="3153" spans="1:17" x14ac:dyDescent="0.25">
      <c r="A3153" t="s">
        <v>1142</v>
      </c>
      <c r="B3153" t="s">
        <v>1056</v>
      </c>
      <c r="C3153" t="s">
        <v>175</v>
      </c>
      <c r="D3153" t="s">
        <v>0</v>
      </c>
      <c r="E3153" t="s">
        <v>1</v>
      </c>
      <c r="F3153">
        <v>2</v>
      </c>
      <c r="G3153" t="s">
        <v>176</v>
      </c>
      <c r="H3153">
        <v>0</v>
      </c>
      <c r="I3153">
        <v>67</v>
      </c>
      <c r="J3153" s="10">
        <v>24</v>
      </c>
      <c r="K3153" s="10">
        <f>SUMIFS(F:F,D:D,DST_123_ÜRETİM_İHTİYAÇ_RAPORU_BURAK_YENI1309[[#This Row],[ALT_KOD]])-(SUMIFS(H:H,D:D,DST_123_ÜRETİM_İHTİYAÇ_RAPORU_BURAK_YENI1309[[#This Row],[ALT_KOD]])+AVERAGEIFS(I:I,D:D,DST_123_ÜRETİM_İHTİYAÇ_RAPORU_BURAK_YENI1309[[#This Row],[ALT_KOD]])+AVERAGEIFS(L:L,D:D,DST_123_ÜRETİM_İHTİYAÇ_RAPORU_BURAK_YENI1309[[#This Row],[ALT_KOD]]))</f>
        <v>-38</v>
      </c>
      <c r="L3153">
        <v>0</v>
      </c>
      <c r="M3153">
        <f>IF((DST_123_ÜRETİM_İHTİYAÇ_RAPORU_BURAK_YENI1309[[#This Row],[SATINALMA]]*DST_123_ÜRETİM_İHTİYAÇ_RAPORU_BURAK_YENI1309[[#This Row],[BIRIM_FIYATLAR]])&lt;1,VALUE("0"),DST_123_ÜRETİM_İHTİYAÇ_RAPORU_BURAK_YENI1309[[#This Row],[SATINALMA]]*DST_123_ÜRETİM_İHTİYAÇ_RAPORU_BURAK_YENI1309[[#This Row],[BIRIM_FIYATLAR]])</f>
        <v>0</v>
      </c>
      <c r="N3153">
        <v>640</v>
      </c>
      <c r="O3153" t="s">
        <v>220</v>
      </c>
      <c r="P3153">
        <v>1280</v>
      </c>
      <c r="Q3153" t="s">
        <v>221</v>
      </c>
    </row>
    <row r="3154" spans="1:17" x14ac:dyDescent="0.25">
      <c r="A3154" t="s">
        <v>1143</v>
      </c>
      <c r="B3154" t="s">
        <v>1056</v>
      </c>
      <c r="C3154" t="s">
        <v>175</v>
      </c>
      <c r="D3154" t="s">
        <v>229</v>
      </c>
      <c r="E3154" t="s">
        <v>230</v>
      </c>
      <c r="F3154">
        <v>2</v>
      </c>
      <c r="G3154" t="s">
        <v>176</v>
      </c>
      <c r="H3154">
        <v>0</v>
      </c>
      <c r="I3154">
        <v>238</v>
      </c>
      <c r="J3154" s="10">
        <v>90</v>
      </c>
      <c r="K3154" s="10">
        <f>SUMIFS(F:F,D:D,DST_123_ÜRETİM_İHTİYAÇ_RAPORU_BURAK_YENI1309[[#This Row],[ALT_KOD]])-(SUMIFS(H:H,D:D,DST_123_ÜRETİM_İHTİYAÇ_RAPORU_BURAK_YENI1309[[#This Row],[ALT_KOD]])+AVERAGEIFS(I:I,D:D,DST_123_ÜRETİM_İHTİYAÇ_RAPORU_BURAK_YENI1309[[#This Row],[ALT_KOD]])+AVERAGEIFS(L:L,D:D,DST_123_ÜRETİM_İHTİYAÇ_RAPORU_BURAK_YENI1309[[#This Row],[ALT_KOD]]))</f>
        <v>-200</v>
      </c>
      <c r="L3154">
        <v>0</v>
      </c>
      <c r="M3154">
        <f>IF((DST_123_ÜRETİM_İHTİYAÇ_RAPORU_BURAK_YENI1309[[#This Row],[SATINALMA]]*DST_123_ÜRETİM_İHTİYAÇ_RAPORU_BURAK_YENI1309[[#This Row],[BIRIM_FIYATLAR]])&lt;1,VALUE("0"),DST_123_ÜRETİM_İHTİYAÇ_RAPORU_BURAK_YENI1309[[#This Row],[SATINALMA]]*DST_123_ÜRETİM_İHTİYAÇ_RAPORU_BURAK_YENI1309[[#This Row],[BIRIM_FIYATLAR]])</f>
        <v>0</v>
      </c>
      <c r="N3154">
        <v>4</v>
      </c>
      <c r="O3154" t="s">
        <v>220</v>
      </c>
      <c r="P3154">
        <v>8</v>
      </c>
      <c r="Q3154" t="s">
        <v>221</v>
      </c>
    </row>
    <row r="3155" spans="1:17" x14ac:dyDescent="0.25">
      <c r="A3155" t="s">
        <v>1097</v>
      </c>
      <c r="B3155" t="s">
        <v>1055</v>
      </c>
      <c r="C3155" t="s">
        <v>175</v>
      </c>
      <c r="D3155" t="s">
        <v>229</v>
      </c>
      <c r="E3155" t="s">
        <v>230</v>
      </c>
      <c r="F3155">
        <v>2</v>
      </c>
      <c r="G3155" t="s">
        <v>176</v>
      </c>
      <c r="H3155">
        <v>0</v>
      </c>
      <c r="I3155">
        <v>238</v>
      </c>
      <c r="J3155" s="10">
        <v>90</v>
      </c>
      <c r="K3155" s="10">
        <f>SUMIFS(F:F,D:D,DST_123_ÜRETİM_İHTİYAÇ_RAPORU_BURAK_YENI1309[[#This Row],[ALT_KOD]])-(SUMIFS(H:H,D:D,DST_123_ÜRETİM_İHTİYAÇ_RAPORU_BURAK_YENI1309[[#This Row],[ALT_KOD]])+AVERAGEIFS(I:I,D:D,DST_123_ÜRETİM_İHTİYAÇ_RAPORU_BURAK_YENI1309[[#This Row],[ALT_KOD]])+AVERAGEIFS(L:L,D:D,DST_123_ÜRETİM_İHTİYAÇ_RAPORU_BURAK_YENI1309[[#This Row],[ALT_KOD]]))</f>
        <v>-200</v>
      </c>
      <c r="L3155">
        <v>0</v>
      </c>
      <c r="M3155">
        <f>IF((DST_123_ÜRETİM_İHTİYAÇ_RAPORU_BURAK_YENI1309[[#This Row],[SATINALMA]]*DST_123_ÜRETİM_İHTİYAÇ_RAPORU_BURAK_YENI1309[[#This Row],[BIRIM_FIYATLAR]])&lt;1,VALUE("0"),DST_123_ÜRETİM_İHTİYAÇ_RAPORU_BURAK_YENI1309[[#This Row],[SATINALMA]]*DST_123_ÜRETİM_İHTİYAÇ_RAPORU_BURAK_YENI1309[[#This Row],[BIRIM_FIYATLAR]])</f>
        <v>0</v>
      </c>
      <c r="N3155">
        <v>4</v>
      </c>
      <c r="O3155" t="s">
        <v>220</v>
      </c>
      <c r="P3155">
        <v>8</v>
      </c>
      <c r="Q3155" t="s">
        <v>221</v>
      </c>
    </row>
    <row r="3156" spans="1:17" x14ac:dyDescent="0.25">
      <c r="A3156" t="s">
        <v>1101</v>
      </c>
      <c r="B3156" t="s">
        <v>1102</v>
      </c>
      <c r="C3156" t="s">
        <v>175</v>
      </c>
      <c r="D3156" t="s">
        <v>768</v>
      </c>
      <c r="E3156" t="s">
        <v>769</v>
      </c>
      <c r="F3156">
        <v>6</v>
      </c>
      <c r="G3156" t="s">
        <v>176</v>
      </c>
      <c r="H3156">
        <v>0</v>
      </c>
      <c r="I3156">
        <v>0</v>
      </c>
      <c r="J3156" s="10">
        <v>0</v>
      </c>
      <c r="K3156" s="10">
        <f>SUMIFS(F:F,D:D,DST_123_ÜRETİM_İHTİYAÇ_RAPORU_BURAK_YENI1309[[#This Row],[ALT_KOD]])-(SUMIFS(H:H,D:D,DST_123_ÜRETİM_İHTİYAÇ_RAPORU_BURAK_YENI1309[[#This Row],[ALT_KOD]])+AVERAGEIFS(I:I,D:D,DST_123_ÜRETİM_İHTİYAÇ_RAPORU_BURAK_YENI1309[[#This Row],[ALT_KOD]])+AVERAGEIFS(L:L,D:D,DST_123_ÜRETİM_İHTİYAÇ_RAPORU_BURAK_YENI1309[[#This Row],[ALT_KOD]]))</f>
        <v>54</v>
      </c>
      <c r="L3156">
        <v>0</v>
      </c>
      <c r="M3156">
        <f>IF((DST_123_ÜRETİM_İHTİYAÇ_RAPORU_BURAK_YENI1309[[#This Row],[SATINALMA]]*DST_123_ÜRETİM_İHTİYAÇ_RAPORU_BURAK_YENI1309[[#This Row],[BIRIM_FIYATLAR]])&lt;1,VALUE("0"),DST_123_ÜRETİM_İHTİYAÇ_RAPORU_BURAK_YENI1309[[#This Row],[SATINALMA]]*DST_123_ÜRETİM_İHTİYAÇ_RAPORU_BURAK_YENI1309[[#This Row],[BIRIM_FIYATLAR]])</f>
        <v>67.5</v>
      </c>
      <c r="N3156">
        <v>1.25</v>
      </c>
      <c r="O3156" t="s">
        <v>220</v>
      </c>
      <c r="P3156">
        <v>7.5</v>
      </c>
      <c r="Q3156" t="s">
        <v>221</v>
      </c>
    </row>
    <row r="3157" spans="1:17" x14ac:dyDescent="0.25">
      <c r="A3157" t="s">
        <v>1142</v>
      </c>
      <c r="B3157" t="s">
        <v>1056</v>
      </c>
      <c r="C3157" t="s">
        <v>175</v>
      </c>
      <c r="D3157" t="s">
        <v>54</v>
      </c>
      <c r="E3157" t="s">
        <v>55</v>
      </c>
      <c r="F3157">
        <v>1</v>
      </c>
      <c r="G3157" t="s">
        <v>176</v>
      </c>
      <c r="H3157">
        <v>0</v>
      </c>
      <c r="I3157">
        <v>9</v>
      </c>
      <c r="J3157" s="10">
        <v>13</v>
      </c>
      <c r="K3157" s="10">
        <f>SUMIFS(F:F,D:D,DST_123_ÜRETİM_İHTİYAÇ_RAPORU_BURAK_YENI1309[[#This Row],[ALT_KOD]])-(SUMIFS(H:H,D:D,DST_123_ÜRETİM_İHTİYAÇ_RAPORU_BURAK_YENI1309[[#This Row],[ALT_KOD]])+AVERAGEIFS(I:I,D:D,DST_123_ÜRETİM_İHTİYAÇ_RAPORU_BURAK_YENI1309[[#This Row],[ALT_KOD]])+AVERAGEIFS(L:L,D:D,DST_123_ÜRETİM_İHTİYAÇ_RAPORU_BURAK_YENI1309[[#This Row],[ALT_KOD]]))</f>
        <v>-1</v>
      </c>
      <c r="L3157">
        <v>4</v>
      </c>
      <c r="M3157">
        <f>IF((DST_123_ÜRETİM_İHTİYAÇ_RAPORU_BURAK_YENI1309[[#This Row],[SATINALMA]]*DST_123_ÜRETİM_İHTİYAÇ_RAPORU_BURAK_YENI1309[[#This Row],[BIRIM_FIYATLAR]])&lt;1,VALUE("0"),DST_123_ÜRETİM_İHTİYAÇ_RAPORU_BURAK_YENI1309[[#This Row],[SATINALMA]]*DST_123_ÜRETİM_İHTİYAÇ_RAPORU_BURAK_YENI1309[[#This Row],[BIRIM_FIYATLAR]])</f>
        <v>0</v>
      </c>
      <c r="N3157">
        <v>1600</v>
      </c>
      <c r="O3157" t="s">
        <v>217</v>
      </c>
      <c r="P3157">
        <v>1600</v>
      </c>
      <c r="Q3157" t="s">
        <v>221</v>
      </c>
    </row>
    <row r="3158" spans="1:17" x14ac:dyDescent="0.25">
      <c r="A3158" t="s">
        <v>1097</v>
      </c>
      <c r="B3158" t="s">
        <v>1055</v>
      </c>
      <c r="C3158" t="s">
        <v>175</v>
      </c>
      <c r="D3158" t="s">
        <v>54</v>
      </c>
      <c r="E3158" t="s">
        <v>55</v>
      </c>
      <c r="F3158">
        <v>1</v>
      </c>
      <c r="G3158" t="s">
        <v>176</v>
      </c>
      <c r="H3158">
        <v>1</v>
      </c>
      <c r="I3158">
        <v>9</v>
      </c>
      <c r="J3158" s="10">
        <v>13</v>
      </c>
      <c r="K3158" s="10">
        <f>SUMIFS(F:F,D:D,DST_123_ÜRETİM_İHTİYAÇ_RAPORU_BURAK_YENI1309[[#This Row],[ALT_KOD]])-(SUMIFS(H:H,D:D,DST_123_ÜRETİM_İHTİYAÇ_RAPORU_BURAK_YENI1309[[#This Row],[ALT_KOD]])+AVERAGEIFS(I:I,D:D,DST_123_ÜRETİM_İHTİYAÇ_RAPORU_BURAK_YENI1309[[#This Row],[ALT_KOD]])+AVERAGEIFS(L:L,D:D,DST_123_ÜRETİM_İHTİYAÇ_RAPORU_BURAK_YENI1309[[#This Row],[ALT_KOD]]))</f>
        <v>-1</v>
      </c>
      <c r="L3158">
        <v>4</v>
      </c>
      <c r="M3158">
        <f>IF((DST_123_ÜRETİM_İHTİYAÇ_RAPORU_BURAK_YENI1309[[#This Row],[SATINALMA]]*DST_123_ÜRETİM_İHTİYAÇ_RAPORU_BURAK_YENI1309[[#This Row],[BIRIM_FIYATLAR]])&lt;1,VALUE("0"),DST_123_ÜRETİM_İHTİYAÇ_RAPORU_BURAK_YENI1309[[#This Row],[SATINALMA]]*DST_123_ÜRETİM_İHTİYAÇ_RAPORU_BURAK_YENI1309[[#This Row],[BIRIM_FIYATLAR]])</f>
        <v>0</v>
      </c>
      <c r="N3158">
        <v>1600</v>
      </c>
      <c r="O3158" t="s">
        <v>217</v>
      </c>
      <c r="P3158">
        <v>1600</v>
      </c>
      <c r="Q3158" t="s">
        <v>221</v>
      </c>
    </row>
    <row r="3159" spans="1:17" x14ac:dyDescent="0.25">
      <c r="A3159" t="s">
        <v>1143</v>
      </c>
      <c r="B3159" t="s">
        <v>1056</v>
      </c>
      <c r="C3159" t="s">
        <v>175</v>
      </c>
      <c r="D3159" t="s">
        <v>118</v>
      </c>
      <c r="E3159" t="s">
        <v>119</v>
      </c>
      <c r="F3159">
        <v>5</v>
      </c>
      <c r="G3159" t="s">
        <v>176</v>
      </c>
      <c r="H3159">
        <v>0</v>
      </c>
      <c r="I3159">
        <v>84</v>
      </c>
      <c r="J3159" s="10">
        <v>36</v>
      </c>
      <c r="K3159" s="10">
        <f>SUMIFS(F:F,D:D,DST_123_ÜRETİM_İHTİYAÇ_RAPORU_BURAK_YENI1309[[#This Row],[ALT_KOD]])-(SUMIFS(H:H,D:D,DST_123_ÜRETİM_İHTİYAÇ_RAPORU_BURAK_YENI1309[[#This Row],[ALT_KOD]])+AVERAGEIFS(I:I,D:D,DST_123_ÜRETİM_İHTİYAÇ_RAPORU_BURAK_YENI1309[[#This Row],[ALT_KOD]])+AVERAGEIFS(L:L,D:D,DST_123_ÜRETİM_İHTİYAÇ_RAPORU_BURAK_YENI1309[[#This Row],[ALT_KOD]]))</f>
        <v>22</v>
      </c>
      <c r="L3159">
        <v>0</v>
      </c>
      <c r="M3159">
        <f>IF((DST_123_ÜRETİM_İHTİYAÇ_RAPORU_BURAK_YENI1309[[#This Row],[SATINALMA]]*DST_123_ÜRETİM_İHTİYAÇ_RAPORU_BURAK_YENI1309[[#This Row],[BIRIM_FIYATLAR]])&lt;1,VALUE("0"),DST_123_ÜRETİM_İHTİYAÇ_RAPORU_BURAK_YENI1309[[#This Row],[SATINALMA]]*DST_123_ÜRETİM_İHTİYAÇ_RAPORU_BURAK_YENI1309[[#This Row],[BIRIM_FIYATLAR]])</f>
        <v>440</v>
      </c>
      <c r="N3159">
        <v>20</v>
      </c>
      <c r="O3159" t="s">
        <v>240</v>
      </c>
      <c r="P3159">
        <v>100</v>
      </c>
      <c r="Q3159" t="s">
        <v>178</v>
      </c>
    </row>
    <row r="3160" spans="1:17" x14ac:dyDescent="0.25">
      <c r="A3160" t="s">
        <v>1059</v>
      </c>
      <c r="B3160" t="s">
        <v>1058</v>
      </c>
      <c r="C3160" t="s">
        <v>175</v>
      </c>
      <c r="D3160" t="s">
        <v>118</v>
      </c>
      <c r="E3160" t="s">
        <v>119</v>
      </c>
      <c r="F3160">
        <v>6</v>
      </c>
      <c r="G3160" t="s">
        <v>176</v>
      </c>
      <c r="H3160">
        <v>0</v>
      </c>
      <c r="I3160">
        <v>84</v>
      </c>
      <c r="J3160" s="10">
        <v>36</v>
      </c>
      <c r="K3160" s="10">
        <f>SUMIFS(F:F,D:D,DST_123_ÜRETİM_İHTİYAÇ_RAPORU_BURAK_YENI1309[[#This Row],[ALT_KOD]])-(SUMIFS(H:H,D:D,DST_123_ÜRETİM_İHTİYAÇ_RAPORU_BURAK_YENI1309[[#This Row],[ALT_KOD]])+AVERAGEIFS(I:I,D:D,DST_123_ÜRETİM_İHTİYAÇ_RAPORU_BURAK_YENI1309[[#This Row],[ALT_KOD]])+AVERAGEIFS(L:L,D:D,DST_123_ÜRETİM_İHTİYAÇ_RAPORU_BURAK_YENI1309[[#This Row],[ALT_KOD]]))</f>
        <v>22</v>
      </c>
      <c r="L3160">
        <v>0</v>
      </c>
      <c r="M3160">
        <f>IF((DST_123_ÜRETİM_İHTİYAÇ_RAPORU_BURAK_YENI1309[[#This Row],[SATINALMA]]*DST_123_ÜRETİM_İHTİYAÇ_RAPORU_BURAK_YENI1309[[#This Row],[BIRIM_FIYATLAR]])&lt;1,VALUE("0"),DST_123_ÜRETİM_İHTİYAÇ_RAPORU_BURAK_YENI1309[[#This Row],[SATINALMA]]*DST_123_ÜRETİM_İHTİYAÇ_RAPORU_BURAK_YENI1309[[#This Row],[BIRIM_FIYATLAR]])</f>
        <v>440</v>
      </c>
      <c r="N3160">
        <v>20</v>
      </c>
      <c r="O3160" t="s">
        <v>240</v>
      </c>
      <c r="P3160">
        <v>120</v>
      </c>
      <c r="Q3160" t="s">
        <v>178</v>
      </c>
    </row>
    <row r="3161" spans="1:17" x14ac:dyDescent="0.25">
      <c r="A3161" t="s">
        <v>1059</v>
      </c>
      <c r="B3161" t="s">
        <v>1058</v>
      </c>
      <c r="C3161" t="s">
        <v>175</v>
      </c>
      <c r="D3161" t="s">
        <v>458</v>
      </c>
      <c r="E3161" t="s">
        <v>459</v>
      </c>
      <c r="F3161">
        <v>0.01</v>
      </c>
      <c r="G3161" t="s">
        <v>176</v>
      </c>
      <c r="H3161">
        <v>0</v>
      </c>
      <c r="I3161">
        <v>6</v>
      </c>
      <c r="J3161" s="10">
        <v>22.530000000000012</v>
      </c>
      <c r="K3161" s="10">
        <f>SUMIFS(F:F,D:D,DST_123_ÜRETİM_İHTİYAÇ_RAPORU_BURAK_YENI1309[[#This Row],[ALT_KOD]])-(SUMIFS(H:H,D:D,DST_123_ÜRETİM_İHTİYAÇ_RAPORU_BURAK_YENI1309[[#This Row],[ALT_KOD]])+AVERAGEIFS(I:I,D:D,DST_123_ÜRETİM_İHTİYAÇ_RAPORU_BURAK_YENI1309[[#This Row],[ALT_KOD]])+AVERAGEIFS(L:L,D:D,DST_123_ÜRETİM_İHTİYAÇ_RAPORU_BURAK_YENI1309[[#This Row],[ALT_KOD]]))</f>
        <v>-5.5</v>
      </c>
      <c r="L3161">
        <v>0</v>
      </c>
      <c r="M3161">
        <f>IF((DST_123_ÜRETİM_İHTİYAÇ_RAPORU_BURAK_YENI1309[[#This Row],[SATINALMA]]*DST_123_ÜRETİM_İHTİYAÇ_RAPORU_BURAK_YENI1309[[#This Row],[BIRIM_FIYATLAR]])&lt;1,VALUE("0"),DST_123_ÜRETİM_İHTİYAÇ_RAPORU_BURAK_YENI1309[[#This Row],[SATINALMA]]*DST_123_ÜRETİM_İHTİYAÇ_RAPORU_BURAK_YENI1309[[#This Row],[BIRIM_FIYATLAR]])</f>
        <v>0</v>
      </c>
      <c r="N3161">
        <v>133</v>
      </c>
      <c r="O3161" t="s">
        <v>216</v>
      </c>
      <c r="P3161">
        <v>1.33</v>
      </c>
      <c r="Q3161" t="s">
        <v>183</v>
      </c>
    </row>
    <row r="3162" spans="1:17" x14ac:dyDescent="0.25">
      <c r="A3162" t="s">
        <v>1095</v>
      </c>
      <c r="B3162" t="s">
        <v>1096</v>
      </c>
      <c r="C3162" t="s">
        <v>175</v>
      </c>
      <c r="D3162" t="s">
        <v>458</v>
      </c>
      <c r="E3162" t="s">
        <v>459</v>
      </c>
      <c r="F3162">
        <v>0.12000000000000001</v>
      </c>
      <c r="G3162" t="s">
        <v>176</v>
      </c>
      <c r="H3162">
        <v>0</v>
      </c>
      <c r="I3162">
        <v>6</v>
      </c>
      <c r="J3162" s="10">
        <v>22.530000000000012</v>
      </c>
      <c r="K3162" s="10">
        <f>SUMIFS(F:F,D:D,DST_123_ÜRETİM_İHTİYAÇ_RAPORU_BURAK_YENI1309[[#This Row],[ALT_KOD]])-(SUMIFS(H:H,D:D,DST_123_ÜRETİM_İHTİYAÇ_RAPORU_BURAK_YENI1309[[#This Row],[ALT_KOD]])+AVERAGEIFS(I:I,D:D,DST_123_ÜRETİM_İHTİYAÇ_RAPORU_BURAK_YENI1309[[#This Row],[ALT_KOD]])+AVERAGEIFS(L:L,D:D,DST_123_ÜRETİM_İHTİYAÇ_RAPORU_BURAK_YENI1309[[#This Row],[ALT_KOD]]))</f>
        <v>-5.5</v>
      </c>
      <c r="L3162">
        <v>0</v>
      </c>
      <c r="M3162">
        <f>IF((DST_123_ÜRETİM_İHTİYAÇ_RAPORU_BURAK_YENI1309[[#This Row],[SATINALMA]]*DST_123_ÜRETİM_İHTİYAÇ_RAPORU_BURAK_YENI1309[[#This Row],[BIRIM_FIYATLAR]])&lt;1,VALUE("0"),DST_123_ÜRETİM_İHTİYAÇ_RAPORU_BURAK_YENI1309[[#This Row],[SATINALMA]]*DST_123_ÜRETİM_İHTİYAÇ_RAPORU_BURAK_YENI1309[[#This Row],[BIRIM_FIYATLAR]])</f>
        <v>0</v>
      </c>
      <c r="N3162">
        <v>133</v>
      </c>
      <c r="O3162" t="s">
        <v>216</v>
      </c>
      <c r="P3162">
        <v>15.96</v>
      </c>
      <c r="Q3162" t="s">
        <v>183</v>
      </c>
    </row>
    <row r="3163" spans="1:17" x14ac:dyDescent="0.25">
      <c r="A3163" t="s">
        <v>1148</v>
      </c>
      <c r="B3163" t="s">
        <v>1056</v>
      </c>
      <c r="C3163" t="s">
        <v>175</v>
      </c>
      <c r="D3163" t="s">
        <v>290</v>
      </c>
      <c r="E3163" t="s">
        <v>291</v>
      </c>
      <c r="F3163">
        <v>8</v>
      </c>
      <c r="G3163" t="s">
        <v>176</v>
      </c>
      <c r="H3163">
        <v>0</v>
      </c>
      <c r="I3163">
        <v>125</v>
      </c>
      <c r="J3163" s="10">
        <v>54</v>
      </c>
      <c r="K3163" s="10">
        <f>SUMIFS(F:F,D:D,DST_123_ÜRETİM_İHTİYAÇ_RAPORU_BURAK_YENI1309[[#This Row],[ALT_KOD]])-(SUMIFS(H:H,D:D,DST_123_ÜRETİM_İHTİYAÇ_RAPORU_BURAK_YENI1309[[#This Row],[ALT_KOD]])+AVERAGEIFS(I:I,D:D,DST_123_ÜRETİM_İHTİYAÇ_RAPORU_BURAK_YENI1309[[#This Row],[ALT_KOD]])+AVERAGEIFS(L:L,D:D,DST_123_ÜRETİM_İHTİYAÇ_RAPORU_BURAK_YENI1309[[#This Row],[ALT_KOD]]))</f>
        <v>-49</v>
      </c>
      <c r="L3163">
        <v>0</v>
      </c>
      <c r="M3163">
        <f>IF((DST_123_ÜRETİM_İHTİYAÇ_RAPORU_BURAK_YENI1309[[#This Row],[SATINALMA]]*DST_123_ÜRETİM_İHTİYAÇ_RAPORU_BURAK_YENI1309[[#This Row],[BIRIM_FIYATLAR]])&lt;1,VALUE("0"),DST_123_ÜRETİM_İHTİYAÇ_RAPORU_BURAK_YENI1309[[#This Row],[SATINALMA]]*DST_123_ÜRETİM_İHTİYAÇ_RAPORU_BURAK_YENI1309[[#This Row],[BIRIM_FIYATLAR]])</f>
        <v>0</v>
      </c>
      <c r="N3163">
        <v>3.75</v>
      </c>
      <c r="O3163" t="s">
        <v>628</v>
      </c>
      <c r="P3163">
        <v>30</v>
      </c>
      <c r="Q3163" t="s">
        <v>180</v>
      </c>
    </row>
    <row r="3164" spans="1:17" x14ac:dyDescent="0.25">
      <c r="A3164" t="s">
        <v>1142</v>
      </c>
      <c r="B3164" t="s">
        <v>1056</v>
      </c>
      <c r="C3164" t="s">
        <v>175</v>
      </c>
      <c r="D3164" t="s">
        <v>116</v>
      </c>
      <c r="E3164" t="s">
        <v>117</v>
      </c>
      <c r="F3164">
        <v>108.01</v>
      </c>
      <c r="G3164" t="s">
        <v>185</v>
      </c>
      <c r="H3164">
        <v>0</v>
      </c>
      <c r="I3164">
        <v>-690</v>
      </c>
      <c r="J3164" s="10">
        <v>2123.619999999999</v>
      </c>
      <c r="K3164" s="10">
        <f>SUMIFS(F:F,D:D,DST_123_ÜRETİM_İHTİYAÇ_RAPORU_BURAK_YENI1309[[#This Row],[ALT_KOD]])-(SUMIFS(H:H,D:D,DST_123_ÜRETİM_İHTİYAÇ_RAPORU_BURAK_YENI1309[[#This Row],[ALT_KOD]])+AVERAGEIFS(I:I,D:D,DST_123_ÜRETİM_İHTİYAÇ_RAPORU_BURAK_YENI1309[[#This Row],[ALT_KOD]])+AVERAGEIFS(L:L,D:D,DST_123_ÜRETİM_İHTİYAÇ_RAPORU_BURAK_YENI1309[[#This Row],[ALT_KOD]]))</f>
        <v>1819.8699999999994</v>
      </c>
      <c r="L3164">
        <v>0</v>
      </c>
      <c r="M3164">
        <f>IF((DST_123_ÜRETİM_İHTİYAÇ_RAPORU_BURAK_YENI1309[[#This Row],[SATINALMA]]*DST_123_ÜRETİM_İHTİYAÇ_RAPORU_BURAK_YENI1309[[#This Row],[BIRIM_FIYATLAR]])&lt;1,VALUE("0"),DST_123_ÜRETİM_İHTİYAÇ_RAPORU_BURAK_YENI1309[[#This Row],[SATINALMA]]*DST_123_ÜRETİM_İHTİYAÇ_RAPORU_BURAK_YENI1309[[#This Row],[BIRIM_FIYATLAR]])</f>
        <v>172651.06689999995</v>
      </c>
      <c r="N3164">
        <v>94.87</v>
      </c>
      <c r="O3164" t="s">
        <v>490</v>
      </c>
      <c r="P3164">
        <v>10246.908700000002</v>
      </c>
      <c r="Q3164" t="s">
        <v>183</v>
      </c>
    </row>
    <row r="3165" spans="1:17" x14ac:dyDescent="0.25">
      <c r="A3165" t="s">
        <v>1097</v>
      </c>
      <c r="B3165" t="s">
        <v>1055</v>
      </c>
      <c r="C3165" t="s">
        <v>175</v>
      </c>
      <c r="D3165" t="s">
        <v>118</v>
      </c>
      <c r="E3165" t="s">
        <v>119</v>
      </c>
      <c r="F3165">
        <v>6</v>
      </c>
      <c r="G3165" t="s">
        <v>176</v>
      </c>
      <c r="H3165">
        <v>0</v>
      </c>
      <c r="I3165">
        <v>84</v>
      </c>
      <c r="J3165" s="10">
        <v>36</v>
      </c>
      <c r="K3165" s="10">
        <f>SUMIFS(F:F,D:D,DST_123_ÜRETİM_İHTİYAÇ_RAPORU_BURAK_YENI1309[[#This Row],[ALT_KOD]])-(SUMIFS(H:H,D:D,DST_123_ÜRETİM_İHTİYAÇ_RAPORU_BURAK_YENI1309[[#This Row],[ALT_KOD]])+AVERAGEIFS(I:I,D:D,DST_123_ÜRETİM_İHTİYAÇ_RAPORU_BURAK_YENI1309[[#This Row],[ALT_KOD]])+AVERAGEIFS(L:L,D:D,DST_123_ÜRETİM_İHTİYAÇ_RAPORU_BURAK_YENI1309[[#This Row],[ALT_KOD]]))</f>
        <v>22</v>
      </c>
      <c r="L3165">
        <v>0</v>
      </c>
      <c r="M3165">
        <f>IF((DST_123_ÜRETİM_İHTİYAÇ_RAPORU_BURAK_YENI1309[[#This Row],[SATINALMA]]*DST_123_ÜRETİM_İHTİYAÇ_RAPORU_BURAK_YENI1309[[#This Row],[BIRIM_FIYATLAR]])&lt;1,VALUE("0"),DST_123_ÜRETİM_İHTİYAÇ_RAPORU_BURAK_YENI1309[[#This Row],[SATINALMA]]*DST_123_ÜRETİM_İHTİYAÇ_RAPORU_BURAK_YENI1309[[#This Row],[BIRIM_FIYATLAR]])</f>
        <v>440</v>
      </c>
      <c r="N3165">
        <v>20</v>
      </c>
      <c r="O3165" t="s">
        <v>240</v>
      </c>
      <c r="P3165">
        <v>120</v>
      </c>
      <c r="Q3165" t="s">
        <v>178</v>
      </c>
    </row>
    <row r="3166" spans="1:17" x14ac:dyDescent="0.25">
      <c r="A3166" t="s">
        <v>1095</v>
      </c>
      <c r="B3166" t="s">
        <v>1096</v>
      </c>
      <c r="C3166" t="s">
        <v>175</v>
      </c>
      <c r="D3166" t="s">
        <v>118</v>
      </c>
      <c r="E3166" t="s">
        <v>119</v>
      </c>
      <c r="F3166">
        <v>4</v>
      </c>
      <c r="G3166" t="s">
        <v>176</v>
      </c>
      <c r="H3166">
        <v>0</v>
      </c>
      <c r="I3166">
        <v>84</v>
      </c>
      <c r="J3166" s="10">
        <v>36</v>
      </c>
      <c r="K3166" s="10">
        <f>SUMIFS(F:F,D:D,DST_123_ÜRETİM_İHTİYAÇ_RAPORU_BURAK_YENI1309[[#This Row],[ALT_KOD]])-(SUMIFS(H:H,D:D,DST_123_ÜRETİM_İHTİYAÇ_RAPORU_BURAK_YENI1309[[#This Row],[ALT_KOD]])+AVERAGEIFS(I:I,D:D,DST_123_ÜRETİM_İHTİYAÇ_RAPORU_BURAK_YENI1309[[#This Row],[ALT_KOD]])+AVERAGEIFS(L:L,D:D,DST_123_ÜRETİM_İHTİYAÇ_RAPORU_BURAK_YENI1309[[#This Row],[ALT_KOD]]))</f>
        <v>22</v>
      </c>
      <c r="L3166">
        <v>0</v>
      </c>
      <c r="M3166">
        <f>IF((DST_123_ÜRETİM_İHTİYAÇ_RAPORU_BURAK_YENI1309[[#This Row],[SATINALMA]]*DST_123_ÜRETİM_İHTİYAÇ_RAPORU_BURAK_YENI1309[[#This Row],[BIRIM_FIYATLAR]])&lt;1,VALUE("0"),DST_123_ÜRETİM_İHTİYAÇ_RAPORU_BURAK_YENI1309[[#This Row],[SATINALMA]]*DST_123_ÜRETİM_İHTİYAÇ_RAPORU_BURAK_YENI1309[[#This Row],[BIRIM_FIYATLAR]])</f>
        <v>440</v>
      </c>
      <c r="N3166">
        <v>20</v>
      </c>
      <c r="O3166" t="s">
        <v>240</v>
      </c>
      <c r="P3166">
        <v>80</v>
      </c>
      <c r="Q3166" t="s">
        <v>178</v>
      </c>
    </row>
    <row r="3167" spans="1:17" x14ac:dyDescent="0.25">
      <c r="A3167" t="s">
        <v>1095</v>
      </c>
      <c r="B3167" t="s">
        <v>1096</v>
      </c>
      <c r="C3167" t="s">
        <v>175</v>
      </c>
      <c r="D3167" t="s">
        <v>52</v>
      </c>
      <c r="E3167" t="s">
        <v>53</v>
      </c>
      <c r="F3167">
        <v>1</v>
      </c>
      <c r="G3167" t="s">
        <v>176</v>
      </c>
      <c r="H3167">
        <v>0</v>
      </c>
      <c r="I3167">
        <v>5</v>
      </c>
      <c r="J3167" s="10">
        <v>10</v>
      </c>
      <c r="K3167" s="10">
        <f>SUMIFS(F:F,D:D,DST_123_ÜRETİM_İHTİYAÇ_RAPORU_BURAK_YENI1309[[#This Row],[ALT_KOD]])-(SUMIFS(H:H,D:D,DST_123_ÜRETİM_İHTİYAÇ_RAPORU_BURAK_YENI1309[[#This Row],[ALT_KOD]])+AVERAGEIFS(I:I,D:D,DST_123_ÜRETİM_İHTİYAÇ_RAPORU_BURAK_YENI1309[[#This Row],[ALT_KOD]])+AVERAGEIFS(L:L,D:D,DST_123_ÜRETİM_İHTİYAÇ_RAPORU_BURAK_YENI1309[[#This Row],[ALT_KOD]]))</f>
        <v>7</v>
      </c>
      <c r="L3167">
        <v>0</v>
      </c>
      <c r="M3167">
        <f>IF((DST_123_ÜRETİM_İHTİYAÇ_RAPORU_BURAK_YENI1309[[#This Row],[SATINALMA]]*DST_123_ÜRETİM_İHTİYAÇ_RAPORU_BURAK_YENI1309[[#This Row],[BIRIM_FIYATLAR]])&lt;1,VALUE("0"),DST_123_ÜRETİM_İHTİYAÇ_RAPORU_BURAK_YENI1309[[#This Row],[SATINALMA]]*DST_123_ÜRETİM_İHTİYAÇ_RAPORU_BURAK_YENI1309[[#This Row],[BIRIM_FIYATLAR]])</f>
        <v>85641.010000000009</v>
      </c>
      <c r="N3167">
        <v>12234.43</v>
      </c>
      <c r="O3167" t="s">
        <v>215</v>
      </c>
      <c r="P3167">
        <v>12234.43</v>
      </c>
      <c r="Q3167" t="s">
        <v>221</v>
      </c>
    </row>
    <row r="3168" spans="1:17" x14ac:dyDescent="0.25">
      <c r="A3168" t="s">
        <v>1059</v>
      </c>
      <c r="B3168" t="s">
        <v>1058</v>
      </c>
      <c r="C3168" t="s">
        <v>175</v>
      </c>
      <c r="D3168" t="s">
        <v>925</v>
      </c>
      <c r="E3168" t="s">
        <v>926</v>
      </c>
      <c r="F3168">
        <v>1</v>
      </c>
      <c r="G3168" t="s">
        <v>179</v>
      </c>
      <c r="H3168">
        <v>0</v>
      </c>
      <c r="I3168">
        <v>6400</v>
      </c>
      <c r="J3168" s="10">
        <v>186.50000000000006</v>
      </c>
      <c r="K3168" s="10">
        <f>SUMIFS(F:F,D:D,DST_123_ÜRETİM_İHTİYAÇ_RAPORU_BURAK_YENI1309[[#This Row],[ALT_KOD]])-(SUMIFS(H:H,D:D,DST_123_ÜRETİM_İHTİYAÇ_RAPORU_BURAK_YENI1309[[#This Row],[ALT_KOD]])+AVERAGEIFS(I:I,D:D,DST_123_ÜRETİM_İHTİYAÇ_RAPORU_BURAK_YENI1309[[#This Row],[ALT_KOD]])+AVERAGEIFS(L:L,D:D,DST_123_ÜRETİM_İHTİYAÇ_RAPORU_BURAK_YENI1309[[#This Row],[ALT_KOD]]))</f>
        <v>-6392</v>
      </c>
      <c r="L3168">
        <v>0</v>
      </c>
      <c r="M3168">
        <f>IF((DST_123_ÜRETİM_İHTİYAÇ_RAPORU_BURAK_YENI1309[[#This Row],[SATINALMA]]*DST_123_ÜRETİM_İHTİYAÇ_RAPORU_BURAK_YENI1309[[#This Row],[BIRIM_FIYATLAR]])&lt;1,VALUE("0"),DST_123_ÜRETİM_İHTİYAÇ_RAPORU_BURAK_YENI1309[[#This Row],[SATINALMA]]*DST_123_ÜRETİM_İHTİYAÇ_RAPORU_BURAK_YENI1309[[#This Row],[BIRIM_FIYATLAR]])</f>
        <v>0</v>
      </c>
      <c r="N3168">
        <v>2.1</v>
      </c>
      <c r="P3168">
        <v>2.1</v>
      </c>
      <c r="Q3168" t="s">
        <v>221</v>
      </c>
    </row>
    <row r="3169" spans="1:17" x14ac:dyDescent="0.25">
      <c r="A3169" t="s">
        <v>1097</v>
      </c>
      <c r="B3169" t="s">
        <v>1055</v>
      </c>
      <c r="C3169" t="s">
        <v>175</v>
      </c>
      <c r="D3169" t="s">
        <v>925</v>
      </c>
      <c r="E3169" t="s">
        <v>926</v>
      </c>
      <c r="F3169">
        <v>1.5</v>
      </c>
      <c r="G3169" t="s">
        <v>179</v>
      </c>
      <c r="H3169">
        <v>0</v>
      </c>
      <c r="I3169">
        <v>6400</v>
      </c>
      <c r="J3169" s="10">
        <v>186.50000000000006</v>
      </c>
      <c r="K3169" s="10">
        <f>SUMIFS(F:F,D:D,DST_123_ÜRETİM_İHTİYAÇ_RAPORU_BURAK_YENI1309[[#This Row],[ALT_KOD]])-(SUMIFS(H:H,D:D,DST_123_ÜRETİM_İHTİYAÇ_RAPORU_BURAK_YENI1309[[#This Row],[ALT_KOD]])+AVERAGEIFS(I:I,D:D,DST_123_ÜRETİM_İHTİYAÇ_RAPORU_BURAK_YENI1309[[#This Row],[ALT_KOD]])+AVERAGEIFS(L:L,D:D,DST_123_ÜRETİM_İHTİYAÇ_RAPORU_BURAK_YENI1309[[#This Row],[ALT_KOD]]))</f>
        <v>-6392</v>
      </c>
      <c r="L3169">
        <v>0</v>
      </c>
      <c r="M3169">
        <f>IF((DST_123_ÜRETİM_İHTİYAÇ_RAPORU_BURAK_YENI1309[[#This Row],[SATINALMA]]*DST_123_ÜRETİM_İHTİYAÇ_RAPORU_BURAK_YENI1309[[#This Row],[BIRIM_FIYATLAR]])&lt;1,VALUE("0"),DST_123_ÜRETİM_İHTİYAÇ_RAPORU_BURAK_YENI1309[[#This Row],[SATINALMA]]*DST_123_ÜRETİM_İHTİYAÇ_RAPORU_BURAK_YENI1309[[#This Row],[BIRIM_FIYATLAR]])</f>
        <v>0</v>
      </c>
      <c r="N3169">
        <v>2.1</v>
      </c>
      <c r="P3169">
        <v>3.1500000000000004</v>
      </c>
      <c r="Q3169" t="s">
        <v>221</v>
      </c>
    </row>
    <row r="3170" spans="1:17" x14ac:dyDescent="0.25">
      <c r="A3170" t="s">
        <v>1142</v>
      </c>
      <c r="B3170" t="s">
        <v>1056</v>
      </c>
      <c r="C3170" t="s">
        <v>175</v>
      </c>
      <c r="D3170" t="s">
        <v>52</v>
      </c>
      <c r="E3170" t="s">
        <v>53</v>
      </c>
      <c r="F3170">
        <v>1</v>
      </c>
      <c r="G3170" t="s">
        <v>176</v>
      </c>
      <c r="H3170">
        <v>0</v>
      </c>
      <c r="I3170">
        <v>5</v>
      </c>
      <c r="J3170" s="10">
        <v>10</v>
      </c>
      <c r="K3170" s="10">
        <f>SUMIFS(F:F,D:D,DST_123_ÜRETİM_İHTİYAÇ_RAPORU_BURAK_YENI1309[[#This Row],[ALT_KOD]])-(SUMIFS(H:H,D:D,DST_123_ÜRETİM_İHTİYAÇ_RAPORU_BURAK_YENI1309[[#This Row],[ALT_KOD]])+AVERAGEIFS(I:I,D:D,DST_123_ÜRETİM_İHTİYAÇ_RAPORU_BURAK_YENI1309[[#This Row],[ALT_KOD]])+AVERAGEIFS(L:L,D:D,DST_123_ÜRETİM_İHTİYAÇ_RAPORU_BURAK_YENI1309[[#This Row],[ALT_KOD]]))</f>
        <v>7</v>
      </c>
      <c r="L3170">
        <v>0</v>
      </c>
      <c r="M3170">
        <f>IF((DST_123_ÜRETİM_İHTİYAÇ_RAPORU_BURAK_YENI1309[[#This Row],[SATINALMA]]*DST_123_ÜRETİM_İHTİYAÇ_RAPORU_BURAK_YENI1309[[#This Row],[BIRIM_FIYATLAR]])&lt;1,VALUE("0"),DST_123_ÜRETİM_İHTİYAÇ_RAPORU_BURAK_YENI1309[[#This Row],[SATINALMA]]*DST_123_ÜRETİM_İHTİYAÇ_RAPORU_BURAK_YENI1309[[#This Row],[BIRIM_FIYATLAR]])</f>
        <v>85641.010000000009</v>
      </c>
      <c r="N3170">
        <v>12234.43</v>
      </c>
      <c r="O3170" t="s">
        <v>215</v>
      </c>
      <c r="P3170">
        <v>12234.43</v>
      </c>
      <c r="Q3170" t="s">
        <v>221</v>
      </c>
    </row>
    <row r="3171" spans="1:17" x14ac:dyDescent="0.25">
      <c r="A3171" t="s">
        <v>1147</v>
      </c>
      <c r="B3171" t="s">
        <v>1145</v>
      </c>
      <c r="C3171" t="s">
        <v>175</v>
      </c>
      <c r="D3171" t="s">
        <v>269</v>
      </c>
      <c r="E3171" t="s">
        <v>270</v>
      </c>
      <c r="F3171">
        <v>1</v>
      </c>
      <c r="G3171" t="s">
        <v>176</v>
      </c>
      <c r="H3171">
        <v>0</v>
      </c>
      <c r="I3171">
        <v>13</v>
      </c>
      <c r="J3171" s="10">
        <v>9</v>
      </c>
      <c r="K3171" s="10">
        <f>SUMIFS(F:F,D:D,DST_123_ÜRETİM_İHTİYAÇ_RAPORU_BURAK_YENI1309[[#This Row],[ALT_KOD]])-(SUMIFS(H:H,D:D,DST_123_ÜRETİM_İHTİYAÇ_RAPORU_BURAK_YENI1309[[#This Row],[ALT_KOD]])+AVERAGEIFS(I:I,D:D,DST_123_ÜRETİM_İHTİYAÇ_RAPORU_BURAK_YENI1309[[#This Row],[ALT_KOD]])+AVERAGEIFS(L:L,D:D,DST_123_ÜRETİM_İHTİYAÇ_RAPORU_BURAK_YENI1309[[#This Row],[ALT_KOD]]))</f>
        <v>-1</v>
      </c>
      <c r="L3171">
        <v>0</v>
      </c>
      <c r="M3171">
        <f>IF((DST_123_ÜRETİM_İHTİYAÇ_RAPORU_BURAK_YENI1309[[#This Row],[SATINALMA]]*DST_123_ÜRETİM_İHTİYAÇ_RAPORU_BURAK_YENI1309[[#This Row],[BIRIM_FIYATLAR]])&lt;1,VALUE("0"),DST_123_ÜRETİM_İHTİYAÇ_RAPORU_BURAK_YENI1309[[#This Row],[SATINALMA]]*DST_123_ÜRETİM_İHTİYAÇ_RAPORU_BURAK_YENI1309[[#This Row],[BIRIM_FIYATLAR]])</f>
        <v>0</v>
      </c>
      <c r="N3171">
        <v>270</v>
      </c>
      <c r="O3171" t="s">
        <v>220</v>
      </c>
      <c r="P3171">
        <v>270</v>
      </c>
      <c r="Q3171" t="s">
        <v>221</v>
      </c>
    </row>
    <row r="3172" spans="1:17" x14ac:dyDescent="0.25">
      <c r="A3172" t="s">
        <v>1147</v>
      </c>
      <c r="B3172" t="s">
        <v>1145</v>
      </c>
      <c r="C3172" t="s">
        <v>175</v>
      </c>
      <c r="D3172" t="s">
        <v>1157</v>
      </c>
      <c r="E3172" t="s">
        <v>1158</v>
      </c>
      <c r="F3172">
        <v>10</v>
      </c>
      <c r="G3172" t="s">
        <v>176</v>
      </c>
      <c r="H3172">
        <v>0</v>
      </c>
      <c r="I3172">
        <v>0</v>
      </c>
      <c r="J3172" s="10">
        <v>0</v>
      </c>
      <c r="K3172" s="10">
        <f>SUMIFS(F:F,D:D,DST_123_ÜRETİM_İHTİYAÇ_RAPORU_BURAK_YENI1309[[#This Row],[ALT_KOD]])-(SUMIFS(H:H,D:D,DST_123_ÜRETİM_İHTİYAÇ_RAPORU_BURAK_YENI1309[[#This Row],[ALT_KOD]])+AVERAGEIFS(I:I,D:D,DST_123_ÜRETİM_İHTİYAÇ_RAPORU_BURAK_YENI1309[[#This Row],[ALT_KOD]])+AVERAGEIFS(L:L,D:D,DST_123_ÜRETİM_İHTİYAÇ_RAPORU_BURAK_YENI1309[[#This Row],[ALT_KOD]]))</f>
        <v>56</v>
      </c>
      <c r="L3172">
        <v>0</v>
      </c>
      <c r="M3172">
        <f>IF((DST_123_ÜRETİM_İHTİYAÇ_RAPORU_BURAK_YENI1309[[#This Row],[SATINALMA]]*DST_123_ÜRETİM_İHTİYAÇ_RAPORU_BURAK_YENI1309[[#This Row],[BIRIM_FIYATLAR]])&lt;1,VALUE("0"),DST_123_ÜRETİM_İHTİYAÇ_RAPORU_BURAK_YENI1309[[#This Row],[SATINALMA]]*DST_123_ÜRETİM_İHTİYAÇ_RAPORU_BURAK_YENI1309[[#This Row],[BIRIM_FIYATLAR]])</f>
        <v>0</v>
      </c>
      <c r="N3172">
        <v>0</v>
      </c>
      <c r="P3172">
        <v>0</v>
      </c>
      <c r="Q3172" t="s">
        <v>180</v>
      </c>
    </row>
    <row r="3173" spans="1:17" x14ac:dyDescent="0.25">
      <c r="A3173" t="s">
        <v>1143</v>
      </c>
      <c r="B3173" t="s">
        <v>1056</v>
      </c>
      <c r="C3173" t="s">
        <v>175</v>
      </c>
      <c r="D3173" t="s">
        <v>955</v>
      </c>
      <c r="E3173" t="s">
        <v>956</v>
      </c>
      <c r="F3173">
        <v>1</v>
      </c>
      <c r="G3173" t="s">
        <v>176</v>
      </c>
      <c r="H3173">
        <v>0</v>
      </c>
      <c r="I3173">
        <v>0</v>
      </c>
      <c r="J3173" s="10">
        <v>1</v>
      </c>
      <c r="K3173" s="10">
        <f>SUMIFS(F:F,D:D,DST_123_ÜRETİM_İHTİYAÇ_RAPORU_BURAK_YENI1309[[#This Row],[ALT_KOD]])-(SUMIFS(H:H,D:D,DST_123_ÜRETİM_İHTİYAÇ_RAPORU_BURAK_YENI1309[[#This Row],[ALT_KOD]])+AVERAGEIFS(I:I,D:D,DST_123_ÜRETİM_İHTİYAÇ_RAPORU_BURAK_YENI1309[[#This Row],[ALT_KOD]])+AVERAGEIFS(L:L,D:D,DST_123_ÜRETİM_İHTİYAÇ_RAPORU_BURAK_YENI1309[[#This Row],[ALT_KOD]]))</f>
        <v>1</v>
      </c>
      <c r="L3173">
        <v>0</v>
      </c>
      <c r="M3173">
        <f>IF((DST_123_ÜRETİM_İHTİYAÇ_RAPORU_BURAK_YENI1309[[#This Row],[SATINALMA]]*DST_123_ÜRETİM_İHTİYAÇ_RAPORU_BURAK_YENI1309[[#This Row],[BIRIM_FIYATLAR]])&lt;1,VALUE("0"),DST_123_ÜRETİM_İHTİYAÇ_RAPORU_BURAK_YENI1309[[#This Row],[SATINALMA]]*DST_123_ÜRETİM_İHTİYAÇ_RAPORU_BURAK_YENI1309[[#This Row],[BIRIM_FIYATLAR]])</f>
        <v>65075.75</v>
      </c>
      <c r="N3173">
        <v>65075.75</v>
      </c>
      <c r="O3173" t="s">
        <v>215</v>
      </c>
      <c r="P3173">
        <v>65075.75</v>
      </c>
      <c r="Q3173" t="s">
        <v>177</v>
      </c>
    </row>
    <row r="3174" spans="1:17" x14ac:dyDescent="0.25">
      <c r="A3174" t="s">
        <v>1143</v>
      </c>
      <c r="B3174" t="s">
        <v>1056</v>
      </c>
      <c r="C3174" t="s">
        <v>175</v>
      </c>
      <c r="D3174" t="s">
        <v>595</v>
      </c>
      <c r="E3174" t="s">
        <v>596</v>
      </c>
      <c r="F3174">
        <v>1</v>
      </c>
      <c r="G3174" t="s">
        <v>176</v>
      </c>
      <c r="H3174">
        <v>0</v>
      </c>
      <c r="I3174">
        <v>18</v>
      </c>
      <c r="J3174" s="10">
        <v>3</v>
      </c>
      <c r="K3174" s="10">
        <f>SUMIFS(F:F,D:D,DST_123_ÜRETİM_İHTİYAÇ_RAPORU_BURAK_YENI1309[[#This Row],[ALT_KOD]])-(SUMIFS(H:H,D:D,DST_123_ÜRETİM_İHTİYAÇ_RAPORU_BURAK_YENI1309[[#This Row],[ALT_KOD]])+AVERAGEIFS(I:I,D:D,DST_123_ÜRETİM_İHTİYAÇ_RAPORU_BURAK_YENI1309[[#This Row],[ALT_KOD]])+AVERAGEIFS(L:L,D:D,DST_123_ÜRETİM_İHTİYAÇ_RAPORU_BURAK_YENI1309[[#This Row],[ALT_KOD]]))</f>
        <v>-1</v>
      </c>
      <c r="L3174">
        <v>0</v>
      </c>
      <c r="M3174">
        <f>IF((DST_123_ÜRETİM_İHTİYAÇ_RAPORU_BURAK_YENI1309[[#This Row],[SATINALMA]]*DST_123_ÜRETİM_İHTİYAÇ_RAPORU_BURAK_YENI1309[[#This Row],[BIRIM_FIYATLAR]])&lt;1,VALUE("0"),DST_123_ÜRETİM_İHTİYAÇ_RAPORU_BURAK_YENI1309[[#This Row],[SATINALMA]]*DST_123_ÜRETİM_İHTİYAÇ_RAPORU_BURAK_YENI1309[[#This Row],[BIRIM_FIYATLAR]])</f>
        <v>0</v>
      </c>
      <c r="N3174">
        <v>4852.33</v>
      </c>
      <c r="O3174" t="s">
        <v>636</v>
      </c>
      <c r="P3174">
        <v>4852.33</v>
      </c>
      <c r="Q3174" t="s">
        <v>177</v>
      </c>
    </row>
    <row r="3175" spans="1:17" x14ac:dyDescent="0.25">
      <c r="A3175" t="s">
        <v>1196</v>
      </c>
      <c r="B3175" t="s">
        <v>1197</v>
      </c>
      <c r="C3175" t="s">
        <v>175</v>
      </c>
      <c r="D3175" t="s">
        <v>269</v>
      </c>
      <c r="E3175" t="s">
        <v>270</v>
      </c>
      <c r="F3175">
        <v>1</v>
      </c>
      <c r="G3175" t="s">
        <v>176</v>
      </c>
      <c r="H3175">
        <v>0</v>
      </c>
      <c r="I3175">
        <v>13</v>
      </c>
      <c r="J3175" s="10">
        <v>9</v>
      </c>
      <c r="K3175" s="10">
        <f>SUMIFS(F:F,D:D,DST_123_ÜRETİM_İHTİYAÇ_RAPORU_BURAK_YENI1309[[#This Row],[ALT_KOD]])-(SUMIFS(H:H,D:D,DST_123_ÜRETİM_İHTİYAÇ_RAPORU_BURAK_YENI1309[[#This Row],[ALT_KOD]])+AVERAGEIFS(I:I,D:D,DST_123_ÜRETİM_İHTİYAÇ_RAPORU_BURAK_YENI1309[[#This Row],[ALT_KOD]])+AVERAGEIFS(L:L,D:D,DST_123_ÜRETİM_İHTİYAÇ_RAPORU_BURAK_YENI1309[[#This Row],[ALT_KOD]]))</f>
        <v>-1</v>
      </c>
      <c r="L3175">
        <v>0</v>
      </c>
      <c r="M3175">
        <f>IF((DST_123_ÜRETİM_İHTİYAÇ_RAPORU_BURAK_YENI1309[[#This Row],[SATINALMA]]*DST_123_ÜRETİM_İHTİYAÇ_RAPORU_BURAK_YENI1309[[#This Row],[BIRIM_FIYATLAR]])&lt;1,VALUE("0"),DST_123_ÜRETİM_İHTİYAÇ_RAPORU_BURAK_YENI1309[[#This Row],[SATINALMA]]*DST_123_ÜRETİM_İHTİYAÇ_RAPORU_BURAK_YENI1309[[#This Row],[BIRIM_FIYATLAR]])</f>
        <v>0</v>
      </c>
      <c r="N3175">
        <v>270</v>
      </c>
      <c r="O3175" t="s">
        <v>220</v>
      </c>
      <c r="P3175">
        <v>270</v>
      </c>
      <c r="Q3175" t="s">
        <v>221</v>
      </c>
    </row>
    <row r="3176" spans="1:17" x14ac:dyDescent="0.25">
      <c r="A3176" t="s">
        <v>1098</v>
      </c>
      <c r="B3176" t="s">
        <v>1096</v>
      </c>
      <c r="C3176" t="s">
        <v>175</v>
      </c>
      <c r="D3176" t="s">
        <v>269</v>
      </c>
      <c r="E3176" t="s">
        <v>270</v>
      </c>
      <c r="F3176">
        <v>1</v>
      </c>
      <c r="G3176" t="s">
        <v>176</v>
      </c>
      <c r="H3176">
        <v>0</v>
      </c>
      <c r="I3176">
        <v>13</v>
      </c>
      <c r="J3176" s="10">
        <v>9</v>
      </c>
      <c r="K3176" s="10">
        <f>SUMIFS(F:F,D:D,DST_123_ÜRETİM_İHTİYAÇ_RAPORU_BURAK_YENI1309[[#This Row],[ALT_KOD]])-(SUMIFS(H:H,D:D,DST_123_ÜRETİM_İHTİYAÇ_RAPORU_BURAK_YENI1309[[#This Row],[ALT_KOD]])+AVERAGEIFS(I:I,D:D,DST_123_ÜRETİM_İHTİYAÇ_RAPORU_BURAK_YENI1309[[#This Row],[ALT_KOD]])+AVERAGEIFS(L:L,D:D,DST_123_ÜRETİM_İHTİYAÇ_RAPORU_BURAK_YENI1309[[#This Row],[ALT_KOD]]))</f>
        <v>-1</v>
      </c>
      <c r="L3176">
        <v>0</v>
      </c>
      <c r="M3176">
        <f>IF((DST_123_ÜRETİM_İHTİYAÇ_RAPORU_BURAK_YENI1309[[#This Row],[SATINALMA]]*DST_123_ÜRETİM_İHTİYAÇ_RAPORU_BURAK_YENI1309[[#This Row],[BIRIM_FIYATLAR]])&lt;1,VALUE("0"),DST_123_ÜRETİM_İHTİYAÇ_RAPORU_BURAK_YENI1309[[#This Row],[SATINALMA]]*DST_123_ÜRETİM_İHTİYAÇ_RAPORU_BURAK_YENI1309[[#This Row],[BIRIM_FIYATLAR]])</f>
        <v>0</v>
      </c>
      <c r="N3176">
        <v>270</v>
      </c>
      <c r="O3176" t="s">
        <v>220</v>
      </c>
      <c r="P3176">
        <v>270</v>
      </c>
      <c r="Q3176" t="s">
        <v>221</v>
      </c>
    </row>
    <row r="3177" spans="1:17" x14ac:dyDescent="0.25">
      <c r="A3177" t="s">
        <v>1196</v>
      </c>
      <c r="B3177" t="s">
        <v>1197</v>
      </c>
      <c r="C3177" t="s">
        <v>175</v>
      </c>
      <c r="D3177" t="s">
        <v>1157</v>
      </c>
      <c r="E3177" t="s">
        <v>1158</v>
      </c>
      <c r="F3177">
        <v>6</v>
      </c>
      <c r="G3177" t="s">
        <v>176</v>
      </c>
      <c r="H3177">
        <v>0</v>
      </c>
      <c r="I3177">
        <v>0</v>
      </c>
      <c r="J3177" s="10">
        <v>0</v>
      </c>
      <c r="K3177" s="10">
        <f>SUMIFS(F:F,D:D,DST_123_ÜRETİM_İHTİYAÇ_RAPORU_BURAK_YENI1309[[#This Row],[ALT_KOD]])-(SUMIFS(H:H,D:D,DST_123_ÜRETİM_İHTİYAÇ_RAPORU_BURAK_YENI1309[[#This Row],[ALT_KOD]])+AVERAGEIFS(I:I,D:D,DST_123_ÜRETİM_İHTİYAÇ_RAPORU_BURAK_YENI1309[[#This Row],[ALT_KOD]])+AVERAGEIFS(L:L,D:D,DST_123_ÜRETİM_İHTİYAÇ_RAPORU_BURAK_YENI1309[[#This Row],[ALT_KOD]]))</f>
        <v>56</v>
      </c>
      <c r="L3177">
        <v>0</v>
      </c>
      <c r="M3177">
        <f>IF((DST_123_ÜRETİM_İHTİYAÇ_RAPORU_BURAK_YENI1309[[#This Row],[SATINALMA]]*DST_123_ÜRETİM_İHTİYAÇ_RAPORU_BURAK_YENI1309[[#This Row],[BIRIM_FIYATLAR]])&lt;1,VALUE("0"),DST_123_ÜRETİM_İHTİYAÇ_RAPORU_BURAK_YENI1309[[#This Row],[SATINALMA]]*DST_123_ÜRETİM_İHTİYAÇ_RAPORU_BURAK_YENI1309[[#This Row],[BIRIM_FIYATLAR]])</f>
        <v>0</v>
      </c>
      <c r="N3177">
        <v>0</v>
      </c>
      <c r="P3177">
        <v>0</v>
      </c>
      <c r="Q3177" t="s">
        <v>180</v>
      </c>
    </row>
    <row r="3178" spans="1:17" x14ac:dyDescent="0.25">
      <c r="A3178" t="s">
        <v>1142</v>
      </c>
      <c r="B3178" t="s">
        <v>1056</v>
      </c>
      <c r="C3178" t="s">
        <v>175</v>
      </c>
      <c r="D3178" t="s">
        <v>885</v>
      </c>
      <c r="E3178" t="s">
        <v>886</v>
      </c>
      <c r="F3178">
        <v>50</v>
      </c>
      <c r="G3178" t="s">
        <v>179</v>
      </c>
      <c r="H3178">
        <v>0</v>
      </c>
      <c r="I3178">
        <v>0</v>
      </c>
      <c r="J3178" s="10">
        <v>57</v>
      </c>
      <c r="K3178" s="10">
        <f>SUMIFS(F:F,D:D,DST_123_ÜRETİM_İHTİYAÇ_RAPORU_BURAK_YENI1309[[#This Row],[ALT_KOD]])-(SUMIFS(H:H,D:D,DST_123_ÜRETİM_İHTİYAÇ_RAPORU_BURAK_YENI1309[[#This Row],[ALT_KOD]])+AVERAGEIFS(I:I,D:D,DST_123_ÜRETİM_İHTİYAÇ_RAPORU_BURAK_YENI1309[[#This Row],[ALT_KOD]])+AVERAGEIFS(L:L,D:D,DST_123_ÜRETİM_İHTİYAÇ_RAPORU_BURAK_YENI1309[[#This Row],[ALT_KOD]]))</f>
        <v>350</v>
      </c>
      <c r="L3178">
        <v>0</v>
      </c>
      <c r="M3178">
        <f>IF((DST_123_ÜRETİM_İHTİYAÇ_RAPORU_BURAK_YENI1309[[#This Row],[SATINALMA]]*DST_123_ÜRETİM_İHTİYAÇ_RAPORU_BURAK_YENI1309[[#This Row],[BIRIM_FIYATLAR]])&lt;1,VALUE("0"),DST_123_ÜRETİM_İHTİYAÇ_RAPORU_BURAK_YENI1309[[#This Row],[SATINALMA]]*DST_123_ÜRETİM_İHTİYAÇ_RAPORU_BURAK_YENI1309[[#This Row],[BIRIM_FIYATLAR]])</f>
        <v>3132.4999999999995</v>
      </c>
      <c r="N3178">
        <v>8.9499999999999993</v>
      </c>
      <c r="O3178" t="s">
        <v>223</v>
      </c>
      <c r="P3178">
        <v>447.49999999999994</v>
      </c>
      <c r="Q3178" t="s">
        <v>181</v>
      </c>
    </row>
    <row r="3179" spans="1:17" x14ac:dyDescent="0.25">
      <c r="A3179" t="s">
        <v>1097</v>
      </c>
      <c r="B3179" t="s">
        <v>1055</v>
      </c>
      <c r="C3179" t="s">
        <v>175</v>
      </c>
      <c r="D3179" t="s">
        <v>885</v>
      </c>
      <c r="E3179" t="s">
        <v>886</v>
      </c>
      <c r="F3179">
        <v>50</v>
      </c>
      <c r="G3179" t="s">
        <v>179</v>
      </c>
      <c r="H3179">
        <v>0</v>
      </c>
      <c r="I3179">
        <v>0</v>
      </c>
      <c r="J3179" s="10">
        <v>57</v>
      </c>
      <c r="K3179" s="10">
        <f>SUMIFS(F:F,D:D,DST_123_ÜRETİM_İHTİYAÇ_RAPORU_BURAK_YENI1309[[#This Row],[ALT_KOD]])-(SUMIFS(H:H,D:D,DST_123_ÜRETİM_İHTİYAÇ_RAPORU_BURAK_YENI1309[[#This Row],[ALT_KOD]])+AVERAGEIFS(I:I,D:D,DST_123_ÜRETİM_İHTİYAÇ_RAPORU_BURAK_YENI1309[[#This Row],[ALT_KOD]])+AVERAGEIFS(L:L,D:D,DST_123_ÜRETİM_İHTİYAÇ_RAPORU_BURAK_YENI1309[[#This Row],[ALT_KOD]]))</f>
        <v>350</v>
      </c>
      <c r="L3179">
        <v>0</v>
      </c>
      <c r="M3179">
        <f>IF((DST_123_ÜRETİM_İHTİYAÇ_RAPORU_BURAK_YENI1309[[#This Row],[SATINALMA]]*DST_123_ÜRETİM_İHTİYAÇ_RAPORU_BURAK_YENI1309[[#This Row],[BIRIM_FIYATLAR]])&lt;1,VALUE("0"),DST_123_ÜRETİM_İHTİYAÇ_RAPORU_BURAK_YENI1309[[#This Row],[SATINALMA]]*DST_123_ÜRETİM_İHTİYAÇ_RAPORU_BURAK_YENI1309[[#This Row],[BIRIM_FIYATLAR]])</f>
        <v>3132.4999999999995</v>
      </c>
      <c r="N3179">
        <v>8.9499999999999993</v>
      </c>
      <c r="O3179" t="s">
        <v>223</v>
      </c>
      <c r="P3179">
        <v>447.49999999999994</v>
      </c>
      <c r="Q3179" t="s">
        <v>181</v>
      </c>
    </row>
    <row r="3180" spans="1:17" x14ac:dyDescent="0.25">
      <c r="A3180" t="s">
        <v>1142</v>
      </c>
      <c r="B3180" t="s">
        <v>1056</v>
      </c>
      <c r="C3180" t="s">
        <v>175</v>
      </c>
      <c r="D3180" t="s">
        <v>1169</v>
      </c>
      <c r="E3180" t="s">
        <v>1170</v>
      </c>
      <c r="F3180">
        <v>2</v>
      </c>
      <c r="G3180" t="s">
        <v>176</v>
      </c>
      <c r="H3180">
        <v>0</v>
      </c>
      <c r="I3180">
        <v>250</v>
      </c>
      <c r="J3180" s="10">
        <v>250</v>
      </c>
      <c r="K3180" s="10">
        <f>SUMIFS(F:F,D:D,DST_123_ÜRETİM_İHTİYAÇ_RAPORU_BURAK_YENI1309[[#This Row],[ALT_KOD]])-(SUMIFS(H:H,D:D,DST_123_ÜRETİM_İHTİYAÇ_RAPORU_BURAK_YENI1309[[#This Row],[ALT_KOD]])+AVERAGEIFS(I:I,D:D,DST_123_ÜRETİM_İHTİYAÇ_RAPORU_BURAK_YENI1309[[#This Row],[ALT_KOD]])+AVERAGEIFS(L:L,D:D,DST_123_ÜRETİM_İHTİYAÇ_RAPORU_BURAK_YENI1309[[#This Row],[ALT_KOD]]))</f>
        <v>-236</v>
      </c>
      <c r="L3180">
        <v>0</v>
      </c>
      <c r="M3180">
        <f>IF((DST_123_ÜRETİM_İHTİYAÇ_RAPORU_BURAK_YENI1309[[#This Row],[SATINALMA]]*DST_123_ÜRETİM_İHTİYAÇ_RAPORU_BURAK_YENI1309[[#This Row],[BIRIM_FIYATLAR]])&lt;1,VALUE("0"),DST_123_ÜRETİM_İHTİYAÇ_RAPORU_BURAK_YENI1309[[#This Row],[SATINALMA]]*DST_123_ÜRETİM_İHTİYAÇ_RAPORU_BURAK_YENI1309[[#This Row],[BIRIM_FIYATLAR]])</f>
        <v>0</v>
      </c>
      <c r="N3180">
        <v>1.07</v>
      </c>
      <c r="O3180" t="s">
        <v>826</v>
      </c>
      <c r="P3180">
        <v>2.14</v>
      </c>
      <c r="Q3180" t="s">
        <v>221</v>
      </c>
    </row>
    <row r="3181" spans="1:17" x14ac:dyDescent="0.25">
      <c r="A3181" t="s">
        <v>1142</v>
      </c>
      <c r="B3181" t="s">
        <v>1056</v>
      </c>
      <c r="C3181" t="s">
        <v>175</v>
      </c>
      <c r="D3181" t="s">
        <v>1167</v>
      </c>
      <c r="E3181" t="s">
        <v>1168</v>
      </c>
      <c r="F3181">
        <v>2</v>
      </c>
      <c r="G3181" t="s">
        <v>176</v>
      </c>
      <c r="H3181">
        <v>0</v>
      </c>
      <c r="I3181">
        <v>500</v>
      </c>
      <c r="J3181" s="10">
        <v>500</v>
      </c>
      <c r="K3181" s="10">
        <f>SUMIFS(F:F,D:D,DST_123_ÜRETİM_İHTİYAÇ_RAPORU_BURAK_YENI1309[[#This Row],[ALT_KOD]])-(SUMIFS(H:H,D:D,DST_123_ÜRETİM_İHTİYAÇ_RAPORU_BURAK_YENI1309[[#This Row],[ALT_KOD]])+AVERAGEIFS(I:I,D:D,DST_123_ÜRETİM_İHTİYAÇ_RAPORU_BURAK_YENI1309[[#This Row],[ALT_KOD]])+AVERAGEIFS(L:L,D:D,DST_123_ÜRETİM_İHTİYAÇ_RAPORU_BURAK_YENI1309[[#This Row],[ALT_KOD]]))</f>
        <v>-486</v>
      </c>
      <c r="L3181">
        <v>0</v>
      </c>
      <c r="M3181">
        <f>IF((DST_123_ÜRETİM_İHTİYAÇ_RAPORU_BURAK_YENI1309[[#This Row],[SATINALMA]]*DST_123_ÜRETİM_İHTİYAÇ_RAPORU_BURAK_YENI1309[[#This Row],[BIRIM_FIYATLAR]])&lt;1,VALUE("0"),DST_123_ÜRETİM_İHTİYAÇ_RAPORU_BURAK_YENI1309[[#This Row],[SATINALMA]]*DST_123_ÜRETİM_İHTİYAÇ_RAPORU_BURAK_YENI1309[[#This Row],[BIRIM_FIYATLAR]])</f>
        <v>0</v>
      </c>
      <c r="N3181">
        <v>0.55000000000000004</v>
      </c>
      <c r="O3181" t="s">
        <v>826</v>
      </c>
      <c r="P3181">
        <v>1.1000000000000001</v>
      </c>
      <c r="Q3181" t="s">
        <v>221</v>
      </c>
    </row>
    <row r="3182" spans="1:17" x14ac:dyDescent="0.25">
      <c r="A3182" t="s">
        <v>1142</v>
      </c>
      <c r="B3182" t="s">
        <v>1056</v>
      </c>
      <c r="C3182" t="s">
        <v>175</v>
      </c>
      <c r="D3182" t="s">
        <v>595</v>
      </c>
      <c r="E3182" t="s">
        <v>596</v>
      </c>
      <c r="F3182">
        <v>1</v>
      </c>
      <c r="G3182" t="s">
        <v>176</v>
      </c>
      <c r="H3182">
        <v>0</v>
      </c>
      <c r="I3182">
        <v>18</v>
      </c>
      <c r="J3182" s="10">
        <v>3</v>
      </c>
      <c r="K3182" s="10">
        <f>SUMIFS(F:F,D:D,DST_123_ÜRETİM_İHTİYAÇ_RAPORU_BURAK_YENI1309[[#This Row],[ALT_KOD]])-(SUMIFS(H:H,D:D,DST_123_ÜRETİM_İHTİYAÇ_RAPORU_BURAK_YENI1309[[#This Row],[ALT_KOD]])+AVERAGEIFS(I:I,D:D,DST_123_ÜRETİM_İHTİYAÇ_RAPORU_BURAK_YENI1309[[#This Row],[ALT_KOD]])+AVERAGEIFS(L:L,D:D,DST_123_ÜRETİM_İHTİYAÇ_RAPORU_BURAK_YENI1309[[#This Row],[ALT_KOD]]))</f>
        <v>-1</v>
      </c>
      <c r="L3182">
        <v>0</v>
      </c>
      <c r="M3182">
        <f>IF((DST_123_ÜRETİM_İHTİYAÇ_RAPORU_BURAK_YENI1309[[#This Row],[SATINALMA]]*DST_123_ÜRETİM_İHTİYAÇ_RAPORU_BURAK_YENI1309[[#This Row],[BIRIM_FIYATLAR]])&lt;1,VALUE("0"),DST_123_ÜRETİM_İHTİYAÇ_RAPORU_BURAK_YENI1309[[#This Row],[SATINALMA]]*DST_123_ÜRETİM_İHTİYAÇ_RAPORU_BURAK_YENI1309[[#This Row],[BIRIM_FIYATLAR]])</f>
        <v>0</v>
      </c>
      <c r="N3182">
        <v>4852.33</v>
      </c>
      <c r="O3182" t="s">
        <v>636</v>
      </c>
      <c r="P3182">
        <v>4852.33</v>
      </c>
      <c r="Q3182" t="s">
        <v>177</v>
      </c>
    </row>
    <row r="3183" spans="1:17" x14ac:dyDescent="0.25">
      <c r="A3183" t="s">
        <v>1095</v>
      </c>
      <c r="B3183" t="s">
        <v>1096</v>
      </c>
      <c r="C3183" t="s">
        <v>175</v>
      </c>
      <c r="D3183" t="s">
        <v>1121</v>
      </c>
      <c r="E3183" t="s">
        <v>1122</v>
      </c>
      <c r="F3183">
        <v>0.2</v>
      </c>
      <c r="G3183" t="s">
        <v>185</v>
      </c>
      <c r="H3183">
        <v>0</v>
      </c>
      <c r="I3183">
        <v>0</v>
      </c>
      <c r="J3183" s="10">
        <v>0</v>
      </c>
      <c r="K3183" s="10">
        <f>SUMIFS(F:F,D:D,DST_123_ÜRETİM_İHTİYAÇ_RAPORU_BURAK_YENI1309[[#This Row],[ALT_KOD]])-(SUMIFS(H:H,D:D,DST_123_ÜRETİM_İHTİYAÇ_RAPORU_BURAK_YENI1309[[#This Row],[ALT_KOD]])+AVERAGEIFS(I:I,D:D,DST_123_ÜRETİM_İHTİYAÇ_RAPORU_BURAK_YENI1309[[#This Row],[ALT_KOD]])+AVERAGEIFS(L:L,D:D,DST_123_ÜRETİM_İHTİYAÇ_RAPORU_BURAK_YENI1309[[#This Row],[ALT_KOD]]))</f>
        <v>0.60000000000000009</v>
      </c>
      <c r="L3183">
        <v>0</v>
      </c>
      <c r="M3183">
        <f>IF((DST_123_ÜRETİM_İHTİYAÇ_RAPORU_BURAK_YENI1309[[#This Row],[SATINALMA]]*DST_123_ÜRETİM_İHTİYAÇ_RAPORU_BURAK_YENI1309[[#This Row],[BIRIM_FIYATLAR]])&lt;1,VALUE("0"),DST_123_ÜRETİM_İHTİYAÇ_RAPORU_BURAK_YENI1309[[#This Row],[SATINALMA]]*DST_123_ÜRETİM_İHTİYAÇ_RAPORU_BURAK_YENI1309[[#This Row],[BIRIM_FIYATLAR]])</f>
        <v>126.49200000000002</v>
      </c>
      <c r="N3183">
        <v>210.82</v>
      </c>
      <c r="O3183" t="s">
        <v>490</v>
      </c>
      <c r="P3183">
        <v>42.164000000000001</v>
      </c>
      <c r="Q3183" t="s">
        <v>183</v>
      </c>
    </row>
    <row r="3184" spans="1:17" x14ac:dyDescent="0.25">
      <c r="A3184" t="s">
        <v>1148</v>
      </c>
      <c r="B3184" t="s">
        <v>1056</v>
      </c>
      <c r="C3184" t="s">
        <v>175</v>
      </c>
      <c r="D3184" t="s">
        <v>92</v>
      </c>
      <c r="E3184" t="s">
        <v>93</v>
      </c>
      <c r="F3184">
        <v>6</v>
      </c>
      <c r="G3184" t="s">
        <v>176</v>
      </c>
      <c r="H3184">
        <v>0</v>
      </c>
      <c r="I3184">
        <v>105</v>
      </c>
      <c r="J3184" s="10">
        <v>56</v>
      </c>
      <c r="K3184" s="10">
        <f>SUMIFS(F:F,D:D,DST_123_ÜRETİM_İHTİYAÇ_RAPORU_BURAK_YENI1309[[#This Row],[ALT_KOD]])-(SUMIFS(H:H,D:D,DST_123_ÜRETİM_İHTİYAÇ_RAPORU_BURAK_YENI1309[[#This Row],[ALT_KOD]])+AVERAGEIFS(I:I,D:D,DST_123_ÜRETİM_İHTİYAÇ_RAPORU_BURAK_YENI1309[[#This Row],[ALT_KOD]])+AVERAGEIFS(L:L,D:D,DST_123_ÜRETİM_İHTİYAÇ_RAPORU_BURAK_YENI1309[[#This Row],[ALT_KOD]]))</f>
        <v>-8</v>
      </c>
      <c r="L3184">
        <v>0</v>
      </c>
      <c r="M3184">
        <f>IF((DST_123_ÜRETİM_İHTİYAÇ_RAPORU_BURAK_YENI1309[[#This Row],[SATINALMA]]*DST_123_ÜRETİM_İHTİYAÇ_RAPORU_BURAK_YENI1309[[#This Row],[BIRIM_FIYATLAR]])&lt;1,VALUE("0"),DST_123_ÜRETİM_İHTİYAÇ_RAPORU_BURAK_YENI1309[[#This Row],[SATINALMA]]*DST_123_ÜRETİM_İHTİYAÇ_RAPORU_BURAK_YENI1309[[#This Row],[BIRIM_FIYATLAR]])</f>
        <v>0</v>
      </c>
      <c r="N3184">
        <v>72.599999999999994</v>
      </c>
      <c r="O3184" t="s">
        <v>240</v>
      </c>
      <c r="P3184">
        <v>435.59999999999997</v>
      </c>
      <c r="Q3184" t="s">
        <v>178</v>
      </c>
    </row>
    <row r="3185" spans="1:17" x14ac:dyDescent="0.25">
      <c r="A3185" t="s">
        <v>1101</v>
      </c>
      <c r="B3185" t="s">
        <v>1102</v>
      </c>
      <c r="C3185" t="s">
        <v>175</v>
      </c>
      <c r="D3185" t="s">
        <v>846</v>
      </c>
      <c r="E3185" t="s">
        <v>847</v>
      </c>
      <c r="F3185">
        <v>5</v>
      </c>
      <c r="G3185" t="s">
        <v>182</v>
      </c>
      <c r="H3185">
        <v>0</v>
      </c>
      <c r="I3185">
        <v>0</v>
      </c>
      <c r="J3185" s="10">
        <v>-1.4210854715202004E-14</v>
      </c>
      <c r="K3185" s="10">
        <f>SUMIFS(F:F,D:D,DST_123_ÜRETİM_İHTİYAÇ_RAPORU_BURAK_YENI1309[[#This Row],[ALT_KOD]])-(SUMIFS(H:H,D:D,DST_123_ÜRETİM_İHTİYAÇ_RAPORU_BURAK_YENI1309[[#This Row],[ALT_KOD]])+AVERAGEIFS(I:I,D:D,DST_123_ÜRETİM_İHTİYAÇ_RAPORU_BURAK_YENI1309[[#This Row],[ALT_KOD]])+AVERAGEIFS(L:L,D:D,DST_123_ÜRETİM_İHTİYAÇ_RAPORU_BURAK_YENI1309[[#This Row],[ALT_KOD]]))</f>
        <v>52</v>
      </c>
      <c r="L3185">
        <v>0</v>
      </c>
      <c r="M3185">
        <f>IF((DST_123_ÜRETİM_İHTİYAÇ_RAPORU_BURAK_YENI1309[[#This Row],[SATINALMA]]*DST_123_ÜRETİM_İHTİYAÇ_RAPORU_BURAK_YENI1309[[#This Row],[BIRIM_FIYATLAR]])&lt;1,VALUE("0"),DST_123_ÜRETİM_İHTİYAÇ_RAPORU_BURAK_YENI1309[[#This Row],[SATINALMA]]*DST_123_ÜRETİM_İHTİYAÇ_RAPORU_BURAK_YENI1309[[#This Row],[BIRIM_FIYATLAR]])</f>
        <v>28423.200000000001</v>
      </c>
      <c r="N3185">
        <v>546.6</v>
      </c>
      <c r="O3185" t="s">
        <v>253</v>
      </c>
      <c r="P3185">
        <v>2733</v>
      </c>
      <c r="Q3185" t="s">
        <v>181</v>
      </c>
    </row>
    <row r="3186" spans="1:17" x14ac:dyDescent="0.25">
      <c r="A3186" t="s">
        <v>1148</v>
      </c>
      <c r="B3186" t="s">
        <v>1056</v>
      </c>
      <c r="C3186" t="s">
        <v>175</v>
      </c>
      <c r="D3186" t="s">
        <v>269</v>
      </c>
      <c r="E3186" t="s">
        <v>270</v>
      </c>
      <c r="F3186">
        <v>1</v>
      </c>
      <c r="G3186" t="s">
        <v>176</v>
      </c>
      <c r="H3186">
        <v>0</v>
      </c>
      <c r="I3186">
        <v>13</v>
      </c>
      <c r="J3186" s="10">
        <v>9</v>
      </c>
      <c r="K3186" s="10">
        <f>SUMIFS(F:F,D:D,DST_123_ÜRETİM_İHTİYAÇ_RAPORU_BURAK_YENI1309[[#This Row],[ALT_KOD]])-(SUMIFS(H:H,D:D,DST_123_ÜRETİM_İHTİYAÇ_RAPORU_BURAK_YENI1309[[#This Row],[ALT_KOD]])+AVERAGEIFS(I:I,D:D,DST_123_ÜRETİM_İHTİYAÇ_RAPORU_BURAK_YENI1309[[#This Row],[ALT_KOD]])+AVERAGEIFS(L:L,D:D,DST_123_ÜRETİM_İHTİYAÇ_RAPORU_BURAK_YENI1309[[#This Row],[ALT_KOD]]))</f>
        <v>-1</v>
      </c>
      <c r="L3186">
        <v>0</v>
      </c>
      <c r="M3186">
        <f>IF((DST_123_ÜRETİM_İHTİYAÇ_RAPORU_BURAK_YENI1309[[#This Row],[SATINALMA]]*DST_123_ÜRETİM_İHTİYAÇ_RAPORU_BURAK_YENI1309[[#This Row],[BIRIM_FIYATLAR]])&lt;1,VALUE("0"),DST_123_ÜRETİM_İHTİYAÇ_RAPORU_BURAK_YENI1309[[#This Row],[SATINALMA]]*DST_123_ÜRETİM_İHTİYAÇ_RAPORU_BURAK_YENI1309[[#This Row],[BIRIM_FIYATLAR]])</f>
        <v>0</v>
      </c>
      <c r="N3186">
        <v>270</v>
      </c>
      <c r="O3186" t="s">
        <v>220</v>
      </c>
      <c r="P3186">
        <v>270</v>
      </c>
      <c r="Q3186" t="s">
        <v>221</v>
      </c>
    </row>
    <row r="3187" spans="1:17" x14ac:dyDescent="0.25">
      <c r="A3187" t="s">
        <v>1149</v>
      </c>
      <c r="B3187" t="s">
        <v>1145</v>
      </c>
      <c r="C3187" t="s">
        <v>175</v>
      </c>
      <c r="D3187" t="s">
        <v>446</v>
      </c>
      <c r="E3187" t="s">
        <v>447</v>
      </c>
      <c r="F3187">
        <v>1</v>
      </c>
      <c r="G3187" t="s">
        <v>176</v>
      </c>
      <c r="H3187">
        <v>0</v>
      </c>
      <c r="I3187">
        <v>13</v>
      </c>
      <c r="J3187" s="10">
        <v>13</v>
      </c>
      <c r="K3187" s="10">
        <f>SUMIFS(F:F,D:D,DST_123_ÜRETİM_İHTİYAÇ_RAPORU_BURAK_YENI1309[[#This Row],[ALT_KOD]])-(SUMIFS(H:H,D:D,DST_123_ÜRETİM_İHTİYAÇ_RAPORU_BURAK_YENI1309[[#This Row],[ALT_KOD]])+AVERAGEIFS(I:I,D:D,DST_123_ÜRETİM_İHTİYAÇ_RAPORU_BURAK_YENI1309[[#This Row],[ALT_KOD]])+AVERAGEIFS(L:L,D:D,DST_123_ÜRETİM_İHTİYAÇ_RAPORU_BURAK_YENI1309[[#This Row],[ALT_KOD]]))</f>
        <v>-1</v>
      </c>
      <c r="L3187">
        <v>0</v>
      </c>
      <c r="M3187">
        <f>IF((DST_123_ÜRETİM_İHTİYAÇ_RAPORU_BURAK_YENI1309[[#This Row],[SATINALMA]]*DST_123_ÜRETİM_İHTİYAÇ_RAPORU_BURAK_YENI1309[[#This Row],[BIRIM_FIYATLAR]])&lt;1,VALUE("0"),DST_123_ÜRETİM_İHTİYAÇ_RAPORU_BURAK_YENI1309[[#This Row],[SATINALMA]]*DST_123_ÜRETİM_İHTİYAÇ_RAPORU_BURAK_YENI1309[[#This Row],[BIRIM_FIYATLAR]])</f>
        <v>0</v>
      </c>
      <c r="N3187">
        <v>237.5</v>
      </c>
      <c r="O3187" t="s">
        <v>628</v>
      </c>
      <c r="P3187">
        <v>237.5</v>
      </c>
      <c r="Q3187" t="s">
        <v>180</v>
      </c>
    </row>
    <row r="3188" spans="1:17" x14ac:dyDescent="0.25">
      <c r="A3188" t="s">
        <v>1149</v>
      </c>
      <c r="B3188" t="s">
        <v>1145</v>
      </c>
      <c r="C3188" t="s">
        <v>175</v>
      </c>
      <c r="D3188" t="s">
        <v>210</v>
      </c>
      <c r="E3188" t="s">
        <v>211</v>
      </c>
      <c r="F3188">
        <v>1</v>
      </c>
      <c r="G3188" t="s">
        <v>176</v>
      </c>
      <c r="H3188">
        <v>0</v>
      </c>
      <c r="I3188">
        <v>21</v>
      </c>
      <c r="J3188" s="10">
        <v>10</v>
      </c>
      <c r="K3188" s="10">
        <f>SUMIFS(F:F,D:D,DST_123_ÜRETİM_İHTİYAÇ_RAPORU_BURAK_YENI1309[[#This Row],[ALT_KOD]])-(SUMIFS(H:H,D:D,DST_123_ÜRETİM_İHTİYAÇ_RAPORU_BURAK_YENI1309[[#This Row],[ALT_KOD]])+AVERAGEIFS(I:I,D:D,DST_123_ÜRETİM_İHTİYAÇ_RAPORU_BURAK_YENI1309[[#This Row],[ALT_KOD]])+AVERAGEIFS(L:L,D:D,DST_123_ÜRETİM_İHTİYAÇ_RAPORU_BURAK_YENI1309[[#This Row],[ALT_KOD]]))</f>
        <v>-50</v>
      </c>
      <c r="L3188">
        <v>40</v>
      </c>
      <c r="M3188">
        <f>IF((DST_123_ÜRETİM_İHTİYAÇ_RAPORU_BURAK_YENI1309[[#This Row],[SATINALMA]]*DST_123_ÜRETİM_İHTİYAÇ_RAPORU_BURAK_YENI1309[[#This Row],[BIRIM_FIYATLAR]])&lt;1,VALUE("0"),DST_123_ÜRETİM_İHTİYAÇ_RAPORU_BURAK_YENI1309[[#This Row],[SATINALMA]]*DST_123_ÜRETİM_İHTİYAÇ_RAPORU_BURAK_YENI1309[[#This Row],[BIRIM_FIYATLAR]])</f>
        <v>0</v>
      </c>
      <c r="N3188">
        <v>312</v>
      </c>
      <c r="O3188" t="s">
        <v>217</v>
      </c>
      <c r="P3188">
        <v>312</v>
      </c>
      <c r="Q3188" t="s">
        <v>177</v>
      </c>
    </row>
    <row r="3189" spans="1:17" x14ac:dyDescent="0.25">
      <c r="A3189" t="s">
        <v>1149</v>
      </c>
      <c r="B3189" t="s">
        <v>1145</v>
      </c>
      <c r="C3189" t="s">
        <v>175</v>
      </c>
      <c r="D3189" t="s">
        <v>441</v>
      </c>
      <c r="E3189" t="s">
        <v>442</v>
      </c>
      <c r="F3189">
        <v>1</v>
      </c>
      <c r="G3189" t="s">
        <v>176</v>
      </c>
      <c r="H3189">
        <v>0</v>
      </c>
      <c r="I3189">
        <v>23</v>
      </c>
      <c r="J3189" s="10">
        <v>5</v>
      </c>
      <c r="K3189" s="10">
        <f>SUMIFS(F:F,D:D,DST_123_ÜRETİM_İHTİYAÇ_RAPORU_BURAK_YENI1309[[#This Row],[ALT_KOD]])-(SUMIFS(H:H,D:D,DST_123_ÜRETİM_İHTİYAÇ_RAPORU_BURAK_YENI1309[[#This Row],[ALT_KOD]])+AVERAGEIFS(I:I,D:D,DST_123_ÜRETİM_İHTİYAÇ_RAPORU_BURAK_YENI1309[[#This Row],[ALT_KOD]])+AVERAGEIFS(L:L,D:D,DST_123_ÜRETİM_İHTİYAÇ_RAPORU_BURAK_YENI1309[[#This Row],[ALT_KOD]]))</f>
        <v>-11</v>
      </c>
      <c r="L3189">
        <v>0</v>
      </c>
      <c r="M3189">
        <f>IF((DST_123_ÜRETİM_İHTİYAÇ_RAPORU_BURAK_YENI1309[[#This Row],[SATINALMA]]*DST_123_ÜRETİM_İHTİYAÇ_RAPORU_BURAK_YENI1309[[#This Row],[BIRIM_FIYATLAR]])&lt;1,VALUE("0"),DST_123_ÜRETİM_İHTİYAÇ_RAPORU_BURAK_YENI1309[[#This Row],[SATINALMA]]*DST_123_ÜRETİM_İHTİYAÇ_RAPORU_BURAK_YENI1309[[#This Row],[BIRIM_FIYATLAR]])</f>
        <v>0</v>
      </c>
      <c r="N3189">
        <v>360.19</v>
      </c>
      <c r="O3189" t="s">
        <v>636</v>
      </c>
      <c r="P3189">
        <v>360.19</v>
      </c>
      <c r="Q3189" t="s">
        <v>178</v>
      </c>
    </row>
    <row r="3190" spans="1:17" x14ac:dyDescent="0.25">
      <c r="A3190" t="s">
        <v>1101</v>
      </c>
      <c r="B3190" t="s">
        <v>1102</v>
      </c>
      <c r="C3190" t="s">
        <v>175</v>
      </c>
      <c r="D3190" t="s">
        <v>441</v>
      </c>
      <c r="E3190" t="s">
        <v>442</v>
      </c>
      <c r="F3190">
        <v>1</v>
      </c>
      <c r="G3190" t="s">
        <v>176</v>
      </c>
      <c r="H3190">
        <v>1</v>
      </c>
      <c r="I3190">
        <v>23</v>
      </c>
      <c r="J3190" s="10">
        <v>5</v>
      </c>
      <c r="K3190" s="10">
        <f>SUMIFS(F:F,D:D,DST_123_ÜRETİM_İHTİYAÇ_RAPORU_BURAK_YENI1309[[#This Row],[ALT_KOD]])-(SUMIFS(H:H,D:D,DST_123_ÜRETİM_İHTİYAÇ_RAPORU_BURAK_YENI1309[[#This Row],[ALT_KOD]])+AVERAGEIFS(I:I,D:D,DST_123_ÜRETİM_İHTİYAÇ_RAPORU_BURAK_YENI1309[[#This Row],[ALT_KOD]])+AVERAGEIFS(L:L,D:D,DST_123_ÜRETİM_İHTİYAÇ_RAPORU_BURAK_YENI1309[[#This Row],[ALT_KOD]]))</f>
        <v>-11</v>
      </c>
      <c r="L3190">
        <v>0</v>
      </c>
      <c r="M3190">
        <f>IF((DST_123_ÜRETİM_İHTİYAÇ_RAPORU_BURAK_YENI1309[[#This Row],[SATINALMA]]*DST_123_ÜRETİM_İHTİYAÇ_RAPORU_BURAK_YENI1309[[#This Row],[BIRIM_FIYATLAR]])&lt;1,VALUE("0"),DST_123_ÜRETİM_İHTİYAÇ_RAPORU_BURAK_YENI1309[[#This Row],[SATINALMA]]*DST_123_ÜRETİM_İHTİYAÇ_RAPORU_BURAK_YENI1309[[#This Row],[BIRIM_FIYATLAR]])</f>
        <v>0</v>
      </c>
      <c r="N3190">
        <v>360.19</v>
      </c>
      <c r="O3190" t="s">
        <v>636</v>
      </c>
      <c r="P3190">
        <v>360.19</v>
      </c>
      <c r="Q3190" t="s">
        <v>178</v>
      </c>
    </row>
    <row r="3191" spans="1:17" x14ac:dyDescent="0.25">
      <c r="A3191" t="s">
        <v>1196</v>
      </c>
      <c r="B3191" t="s">
        <v>1197</v>
      </c>
      <c r="C3191" t="s">
        <v>175</v>
      </c>
      <c r="D3191" t="s">
        <v>961</v>
      </c>
      <c r="E3191" t="s">
        <v>962</v>
      </c>
      <c r="F3191">
        <v>1</v>
      </c>
      <c r="G3191" t="s">
        <v>176</v>
      </c>
      <c r="H3191">
        <v>0</v>
      </c>
      <c r="I3191">
        <v>4</v>
      </c>
      <c r="J3191" s="10">
        <v>2</v>
      </c>
      <c r="K3191" s="10">
        <f>SUMIFS(F:F,D:D,DST_123_ÜRETİM_İHTİYAÇ_RAPORU_BURAK_YENI1309[[#This Row],[ALT_KOD]])-(SUMIFS(H:H,D:D,DST_123_ÜRETİM_İHTİYAÇ_RAPORU_BURAK_YENI1309[[#This Row],[ALT_KOD]])+AVERAGEIFS(I:I,D:D,DST_123_ÜRETİM_İHTİYAÇ_RAPORU_BURAK_YENI1309[[#This Row],[ALT_KOD]])+AVERAGEIFS(L:L,D:D,DST_123_ÜRETİM_İHTİYAÇ_RAPORU_BURAK_YENI1309[[#This Row],[ALT_KOD]]))</f>
        <v>0</v>
      </c>
      <c r="L3191">
        <v>0</v>
      </c>
      <c r="M3191">
        <f>IF((DST_123_ÜRETİM_İHTİYAÇ_RAPORU_BURAK_YENI1309[[#This Row],[SATINALMA]]*DST_123_ÜRETİM_İHTİYAÇ_RAPORU_BURAK_YENI1309[[#This Row],[BIRIM_FIYATLAR]])&lt;1,VALUE("0"),DST_123_ÜRETİM_İHTİYAÇ_RAPORU_BURAK_YENI1309[[#This Row],[SATINALMA]]*DST_123_ÜRETİM_İHTİYAÇ_RAPORU_BURAK_YENI1309[[#This Row],[BIRIM_FIYATLAR]])</f>
        <v>0</v>
      </c>
      <c r="N3191">
        <v>2249.17</v>
      </c>
      <c r="O3191" t="s">
        <v>1073</v>
      </c>
      <c r="P3191">
        <v>2249.17</v>
      </c>
      <c r="Q3191" t="s">
        <v>177</v>
      </c>
    </row>
    <row r="3192" spans="1:17" x14ac:dyDescent="0.25">
      <c r="A3192" t="s">
        <v>1196</v>
      </c>
      <c r="B3192" t="s">
        <v>1197</v>
      </c>
      <c r="C3192" t="s">
        <v>175</v>
      </c>
      <c r="D3192" t="s">
        <v>446</v>
      </c>
      <c r="E3192" t="s">
        <v>447</v>
      </c>
      <c r="F3192">
        <v>1</v>
      </c>
      <c r="G3192" t="s">
        <v>176</v>
      </c>
      <c r="H3192">
        <v>0</v>
      </c>
      <c r="I3192">
        <v>13</v>
      </c>
      <c r="J3192" s="10">
        <v>13</v>
      </c>
      <c r="K3192" s="10">
        <f>SUMIFS(F:F,D:D,DST_123_ÜRETİM_İHTİYAÇ_RAPORU_BURAK_YENI1309[[#This Row],[ALT_KOD]])-(SUMIFS(H:H,D:D,DST_123_ÜRETİM_İHTİYAÇ_RAPORU_BURAK_YENI1309[[#This Row],[ALT_KOD]])+AVERAGEIFS(I:I,D:D,DST_123_ÜRETİM_İHTİYAÇ_RAPORU_BURAK_YENI1309[[#This Row],[ALT_KOD]])+AVERAGEIFS(L:L,D:D,DST_123_ÜRETİM_İHTİYAÇ_RAPORU_BURAK_YENI1309[[#This Row],[ALT_KOD]]))</f>
        <v>-1</v>
      </c>
      <c r="L3192">
        <v>0</v>
      </c>
      <c r="M3192">
        <f>IF((DST_123_ÜRETİM_İHTİYAÇ_RAPORU_BURAK_YENI1309[[#This Row],[SATINALMA]]*DST_123_ÜRETİM_İHTİYAÇ_RAPORU_BURAK_YENI1309[[#This Row],[BIRIM_FIYATLAR]])&lt;1,VALUE("0"),DST_123_ÜRETİM_İHTİYAÇ_RAPORU_BURAK_YENI1309[[#This Row],[SATINALMA]]*DST_123_ÜRETİM_İHTİYAÇ_RAPORU_BURAK_YENI1309[[#This Row],[BIRIM_FIYATLAR]])</f>
        <v>0</v>
      </c>
      <c r="N3192">
        <v>237.5</v>
      </c>
      <c r="O3192" t="s">
        <v>628</v>
      </c>
      <c r="P3192">
        <v>237.5</v>
      </c>
      <c r="Q3192" t="s">
        <v>180</v>
      </c>
    </row>
    <row r="3193" spans="1:17" x14ac:dyDescent="0.25">
      <c r="A3193" t="s">
        <v>1098</v>
      </c>
      <c r="B3193" t="s">
        <v>1096</v>
      </c>
      <c r="C3193" t="s">
        <v>175</v>
      </c>
      <c r="D3193" t="s">
        <v>446</v>
      </c>
      <c r="E3193" t="s">
        <v>447</v>
      </c>
      <c r="F3193">
        <v>1</v>
      </c>
      <c r="G3193" t="s">
        <v>176</v>
      </c>
      <c r="H3193">
        <v>0</v>
      </c>
      <c r="I3193">
        <v>13</v>
      </c>
      <c r="J3193" s="10">
        <v>13</v>
      </c>
      <c r="K3193" s="10">
        <f>SUMIFS(F:F,D:D,DST_123_ÜRETİM_İHTİYAÇ_RAPORU_BURAK_YENI1309[[#This Row],[ALT_KOD]])-(SUMIFS(H:H,D:D,DST_123_ÜRETİM_İHTİYAÇ_RAPORU_BURAK_YENI1309[[#This Row],[ALT_KOD]])+AVERAGEIFS(I:I,D:D,DST_123_ÜRETİM_İHTİYAÇ_RAPORU_BURAK_YENI1309[[#This Row],[ALT_KOD]])+AVERAGEIFS(L:L,D:D,DST_123_ÜRETİM_İHTİYAÇ_RAPORU_BURAK_YENI1309[[#This Row],[ALT_KOD]]))</f>
        <v>-1</v>
      </c>
      <c r="L3193">
        <v>0</v>
      </c>
      <c r="M3193">
        <f>IF((DST_123_ÜRETİM_İHTİYAÇ_RAPORU_BURAK_YENI1309[[#This Row],[SATINALMA]]*DST_123_ÜRETİM_İHTİYAÇ_RAPORU_BURAK_YENI1309[[#This Row],[BIRIM_FIYATLAR]])&lt;1,VALUE("0"),DST_123_ÜRETİM_İHTİYAÇ_RAPORU_BURAK_YENI1309[[#This Row],[SATINALMA]]*DST_123_ÜRETİM_İHTİYAÇ_RAPORU_BURAK_YENI1309[[#This Row],[BIRIM_FIYATLAR]])</f>
        <v>0</v>
      </c>
      <c r="N3193">
        <v>237.5</v>
      </c>
      <c r="O3193" t="s">
        <v>628</v>
      </c>
      <c r="P3193">
        <v>237.5</v>
      </c>
      <c r="Q3193" t="s">
        <v>180</v>
      </c>
    </row>
    <row r="3194" spans="1:17" x14ac:dyDescent="0.25">
      <c r="A3194" t="s">
        <v>1098</v>
      </c>
      <c r="B3194" t="s">
        <v>1096</v>
      </c>
      <c r="C3194" t="s">
        <v>175</v>
      </c>
      <c r="D3194" t="s">
        <v>210</v>
      </c>
      <c r="E3194" t="s">
        <v>211</v>
      </c>
      <c r="F3194">
        <v>1</v>
      </c>
      <c r="G3194" t="s">
        <v>176</v>
      </c>
      <c r="H3194">
        <v>0</v>
      </c>
      <c r="I3194">
        <v>21</v>
      </c>
      <c r="J3194" s="10">
        <v>10</v>
      </c>
      <c r="K3194" s="10">
        <f>SUMIFS(F:F,D:D,DST_123_ÜRETİM_İHTİYAÇ_RAPORU_BURAK_YENI1309[[#This Row],[ALT_KOD]])-(SUMIFS(H:H,D:D,DST_123_ÜRETİM_İHTİYAÇ_RAPORU_BURAK_YENI1309[[#This Row],[ALT_KOD]])+AVERAGEIFS(I:I,D:D,DST_123_ÜRETİM_İHTİYAÇ_RAPORU_BURAK_YENI1309[[#This Row],[ALT_KOD]])+AVERAGEIFS(L:L,D:D,DST_123_ÜRETİM_İHTİYAÇ_RAPORU_BURAK_YENI1309[[#This Row],[ALT_KOD]]))</f>
        <v>-50</v>
      </c>
      <c r="L3194">
        <v>40</v>
      </c>
      <c r="M3194">
        <f>IF((DST_123_ÜRETİM_İHTİYAÇ_RAPORU_BURAK_YENI1309[[#This Row],[SATINALMA]]*DST_123_ÜRETİM_İHTİYAÇ_RAPORU_BURAK_YENI1309[[#This Row],[BIRIM_FIYATLAR]])&lt;1,VALUE("0"),DST_123_ÜRETİM_İHTİYAÇ_RAPORU_BURAK_YENI1309[[#This Row],[SATINALMA]]*DST_123_ÜRETİM_İHTİYAÇ_RAPORU_BURAK_YENI1309[[#This Row],[BIRIM_FIYATLAR]])</f>
        <v>0</v>
      </c>
      <c r="N3194">
        <v>312</v>
      </c>
      <c r="O3194" t="s">
        <v>217</v>
      </c>
      <c r="P3194">
        <v>312</v>
      </c>
      <c r="Q3194" t="s">
        <v>177</v>
      </c>
    </row>
    <row r="3195" spans="1:17" x14ac:dyDescent="0.25">
      <c r="A3195" t="s">
        <v>1064</v>
      </c>
      <c r="B3195" t="s">
        <v>1055</v>
      </c>
      <c r="C3195" t="s">
        <v>175</v>
      </c>
      <c r="D3195" t="s">
        <v>218</v>
      </c>
      <c r="E3195" t="s">
        <v>219</v>
      </c>
      <c r="F3195">
        <v>2</v>
      </c>
      <c r="G3195" t="s">
        <v>176</v>
      </c>
      <c r="H3195">
        <v>0</v>
      </c>
      <c r="I3195">
        <v>288</v>
      </c>
      <c r="J3195" s="10">
        <v>94</v>
      </c>
      <c r="K3195" s="10">
        <f>SUMIFS(F:F,D:D,DST_123_ÜRETİM_İHTİYAÇ_RAPORU_BURAK_YENI1309[[#This Row],[ALT_KOD]])-(SUMIFS(H:H,D:D,DST_123_ÜRETİM_İHTİYAÇ_RAPORU_BURAK_YENI1309[[#This Row],[ALT_KOD]])+AVERAGEIFS(I:I,D:D,DST_123_ÜRETİM_İHTİYAÇ_RAPORU_BURAK_YENI1309[[#This Row],[ALT_KOD]])+AVERAGEIFS(L:L,D:D,DST_123_ÜRETİM_İHTİYAÇ_RAPORU_BURAK_YENI1309[[#This Row],[ALT_KOD]]))</f>
        <v>-260</v>
      </c>
      <c r="L3195">
        <v>0</v>
      </c>
      <c r="M3195">
        <f>IF((DST_123_ÜRETİM_İHTİYAÇ_RAPORU_BURAK_YENI1309[[#This Row],[SATINALMA]]*DST_123_ÜRETİM_İHTİYAÇ_RAPORU_BURAK_YENI1309[[#This Row],[BIRIM_FIYATLAR]])&lt;1,VALUE("0"),DST_123_ÜRETİM_İHTİYAÇ_RAPORU_BURAK_YENI1309[[#This Row],[SATINALMA]]*DST_123_ÜRETİM_İHTİYAÇ_RAPORU_BURAK_YENI1309[[#This Row],[BIRIM_FIYATLAR]])</f>
        <v>0</v>
      </c>
      <c r="N3195">
        <v>4</v>
      </c>
      <c r="O3195" t="s">
        <v>220</v>
      </c>
      <c r="P3195">
        <v>8</v>
      </c>
      <c r="Q3195" t="s">
        <v>221</v>
      </c>
    </row>
    <row r="3196" spans="1:17" x14ac:dyDescent="0.25">
      <c r="A3196" t="s">
        <v>1196</v>
      </c>
      <c r="B3196" t="s">
        <v>1197</v>
      </c>
      <c r="C3196" t="s">
        <v>175</v>
      </c>
      <c r="D3196" t="s">
        <v>218</v>
      </c>
      <c r="E3196" t="s">
        <v>219</v>
      </c>
      <c r="F3196">
        <v>2</v>
      </c>
      <c r="G3196" t="s">
        <v>176</v>
      </c>
      <c r="H3196">
        <v>0</v>
      </c>
      <c r="I3196">
        <v>288</v>
      </c>
      <c r="J3196" s="10">
        <v>94</v>
      </c>
      <c r="K3196" s="10">
        <f>SUMIFS(F:F,D:D,DST_123_ÜRETİM_İHTİYAÇ_RAPORU_BURAK_YENI1309[[#This Row],[ALT_KOD]])-(SUMIFS(H:H,D:D,DST_123_ÜRETİM_İHTİYAÇ_RAPORU_BURAK_YENI1309[[#This Row],[ALT_KOD]])+AVERAGEIFS(I:I,D:D,DST_123_ÜRETİM_İHTİYAÇ_RAPORU_BURAK_YENI1309[[#This Row],[ALT_KOD]])+AVERAGEIFS(L:L,D:D,DST_123_ÜRETİM_İHTİYAÇ_RAPORU_BURAK_YENI1309[[#This Row],[ALT_KOD]]))</f>
        <v>-260</v>
      </c>
      <c r="L3196">
        <v>0</v>
      </c>
      <c r="M3196">
        <f>IF((DST_123_ÜRETİM_İHTİYAÇ_RAPORU_BURAK_YENI1309[[#This Row],[SATINALMA]]*DST_123_ÜRETİM_İHTİYAÇ_RAPORU_BURAK_YENI1309[[#This Row],[BIRIM_FIYATLAR]])&lt;1,VALUE("0"),DST_123_ÜRETİM_İHTİYAÇ_RAPORU_BURAK_YENI1309[[#This Row],[SATINALMA]]*DST_123_ÜRETİM_İHTİYAÇ_RAPORU_BURAK_YENI1309[[#This Row],[BIRIM_FIYATLAR]])</f>
        <v>0</v>
      </c>
      <c r="N3196">
        <v>4</v>
      </c>
      <c r="O3196" t="s">
        <v>220</v>
      </c>
      <c r="P3196">
        <v>8</v>
      </c>
      <c r="Q3196" t="s">
        <v>221</v>
      </c>
    </row>
    <row r="3197" spans="1:17" x14ac:dyDescent="0.25">
      <c r="A3197" t="s">
        <v>1064</v>
      </c>
      <c r="B3197" t="s">
        <v>1055</v>
      </c>
      <c r="C3197" t="s">
        <v>175</v>
      </c>
      <c r="D3197" t="s">
        <v>493</v>
      </c>
      <c r="E3197" t="s">
        <v>494</v>
      </c>
      <c r="F3197">
        <v>25</v>
      </c>
      <c r="G3197" t="s">
        <v>495</v>
      </c>
      <c r="H3197">
        <v>0</v>
      </c>
      <c r="I3197">
        <v>200</v>
      </c>
      <c r="J3197" s="10">
        <v>86</v>
      </c>
      <c r="K3197" s="10">
        <f>SUMIFS(F:F,D:D,DST_123_ÜRETİM_İHTİYAÇ_RAPORU_BURAK_YENI1309[[#This Row],[ALT_KOD]])-(SUMIFS(H:H,D:D,DST_123_ÜRETİM_İHTİYAÇ_RAPORU_BURAK_YENI1309[[#This Row],[ALT_KOD]])+AVERAGEIFS(I:I,D:D,DST_123_ÜRETİM_İHTİYAÇ_RAPORU_BURAK_YENI1309[[#This Row],[ALT_KOD]])+AVERAGEIFS(L:L,D:D,DST_123_ÜRETİM_İHTİYAÇ_RAPORU_BURAK_YENI1309[[#This Row],[ALT_KOD]]))</f>
        <v>220</v>
      </c>
      <c r="L3197">
        <v>0</v>
      </c>
      <c r="M3197">
        <f>IF((DST_123_ÜRETİM_İHTİYAÇ_RAPORU_BURAK_YENI1309[[#This Row],[SATINALMA]]*DST_123_ÜRETİM_İHTİYAÇ_RAPORU_BURAK_YENI1309[[#This Row],[BIRIM_FIYATLAR]])&lt;1,VALUE("0"),DST_123_ÜRETİM_İHTİYAÇ_RAPORU_BURAK_YENI1309[[#This Row],[SATINALMA]]*DST_123_ÜRETİM_İHTİYAÇ_RAPORU_BURAK_YENI1309[[#This Row],[BIRIM_FIYATLAR]])</f>
        <v>23100</v>
      </c>
      <c r="N3197">
        <v>105</v>
      </c>
      <c r="O3197" t="s">
        <v>296</v>
      </c>
      <c r="P3197">
        <v>2625</v>
      </c>
      <c r="Q3197" t="s">
        <v>184</v>
      </c>
    </row>
    <row r="3198" spans="1:17" x14ac:dyDescent="0.25">
      <c r="A3198" t="s">
        <v>1147</v>
      </c>
      <c r="B3198" t="s">
        <v>1145</v>
      </c>
      <c r="C3198" t="s">
        <v>175</v>
      </c>
      <c r="D3198" t="s">
        <v>74</v>
      </c>
      <c r="E3198" t="s">
        <v>75</v>
      </c>
      <c r="F3198">
        <v>3</v>
      </c>
      <c r="G3198" t="s">
        <v>176</v>
      </c>
      <c r="H3198">
        <v>0</v>
      </c>
      <c r="I3198">
        <v>24</v>
      </c>
      <c r="J3198" s="10">
        <v>30</v>
      </c>
      <c r="K3198" s="10">
        <f>SUMIFS(F:F,D:D,DST_123_ÜRETİM_İHTİYAÇ_RAPORU_BURAK_YENI1309[[#This Row],[ALT_KOD]])-(SUMIFS(H:H,D:D,DST_123_ÜRETİM_İHTİYAÇ_RAPORU_BURAK_YENI1309[[#This Row],[ALT_KOD]])+AVERAGEIFS(I:I,D:D,DST_123_ÜRETİM_İHTİYAÇ_RAPORU_BURAK_YENI1309[[#This Row],[ALT_KOD]])+AVERAGEIFS(L:L,D:D,DST_123_ÜRETİM_İHTİYAÇ_RAPORU_BURAK_YENI1309[[#This Row],[ALT_KOD]]))</f>
        <v>-24</v>
      </c>
      <c r="L3198">
        <v>50</v>
      </c>
      <c r="M3198">
        <f>IF((DST_123_ÜRETİM_İHTİYAÇ_RAPORU_BURAK_YENI1309[[#This Row],[SATINALMA]]*DST_123_ÜRETİM_İHTİYAÇ_RAPORU_BURAK_YENI1309[[#This Row],[BIRIM_FIYATLAR]])&lt;1,VALUE("0"),DST_123_ÜRETİM_İHTİYAÇ_RAPORU_BURAK_YENI1309[[#This Row],[SATINALMA]]*DST_123_ÜRETİM_İHTİYAÇ_RAPORU_BURAK_YENI1309[[#This Row],[BIRIM_FIYATLAR]])</f>
        <v>0</v>
      </c>
      <c r="N3198">
        <v>37</v>
      </c>
      <c r="O3198" t="s">
        <v>821</v>
      </c>
      <c r="P3198">
        <v>111</v>
      </c>
      <c r="Q3198" t="s">
        <v>178</v>
      </c>
    </row>
    <row r="3199" spans="1:17" x14ac:dyDescent="0.25">
      <c r="A3199" t="s">
        <v>1060</v>
      </c>
      <c r="B3199" t="s">
        <v>1061</v>
      </c>
      <c r="C3199" t="s">
        <v>175</v>
      </c>
      <c r="D3199" t="s">
        <v>80</v>
      </c>
      <c r="E3199" t="s">
        <v>81</v>
      </c>
      <c r="F3199">
        <v>6</v>
      </c>
      <c r="G3199" t="s">
        <v>176</v>
      </c>
      <c r="H3199">
        <v>0</v>
      </c>
      <c r="I3199">
        <v>0</v>
      </c>
      <c r="J3199" s="10">
        <v>10.500000000000064</v>
      </c>
      <c r="K3199" s="10">
        <f>SUMIFS(F:F,D:D,DST_123_ÜRETİM_İHTİYAÇ_RAPORU_BURAK_YENI1309[[#This Row],[ALT_KOD]])-(SUMIFS(H:H,D:D,DST_123_ÜRETİM_İHTİYAÇ_RAPORU_BURAK_YENI1309[[#This Row],[ALT_KOD]])+AVERAGEIFS(I:I,D:D,DST_123_ÜRETİM_İHTİYAÇ_RAPORU_BURAK_YENI1309[[#This Row],[ALT_KOD]])+AVERAGEIFS(L:L,D:D,DST_123_ÜRETİM_İHTİYAÇ_RAPORU_BURAK_YENI1309[[#This Row],[ALT_KOD]]))</f>
        <v>25</v>
      </c>
      <c r="L3199">
        <v>40</v>
      </c>
      <c r="M3199">
        <f>IF((DST_123_ÜRETİM_İHTİYAÇ_RAPORU_BURAK_YENI1309[[#This Row],[SATINALMA]]*DST_123_ÜRETİM_İHTİYAÇ_RAPORU_BURAK_YENI1309[[#This Row],[BIRIM_FIYATLAR]])&lt;1,VALUE("0"),DST_123_ÜRETİM_İHTİYAÇ_RAPORU_BURAK_YENI1309[[#This Row],[SATINALMA]]*DST_123_ÜRETİM_İHTİYAÇ_RAPORU_BURAK_YENI1309[[#This Row],[BIRIM_FIYATLAR]])</f>
        <v>16666.75</v>
      </c>
      <c r="N3199">
        <v>666.67</v>
      </c>
      <c r="O3199" t="s">
        <v>223</v>
      </c>
      <c r="P3199">
        <v>4000.0199999999995</v>
      </c>
      <c r="Q3199" t="s">
        <v>181</v>
      </c>
    </row>
    <row r="3200" spans="1:17" x14ac:dyDescent="0.25">
      <c r="A3200" t="s">
        <v>1150</v>
      </c>
      <c r="B3200" t="s">
        <v>1145</v>
      </c>
      <c r="C3200" t="s">
        <v>175</v>
      </c>
      <c r="D3200" t="s">
        <v>80</v>
      </c>
      <c r="E3200" t="s">
        <v>81</v>
      </c>
      <c r="F3200">
        <v>6</v>
      </c>
      <c r="G3200" t="s">
        <v>176</v>
      </c>
      <c r="H3200">
        <v>0</v>
      </c>
      <c r="I3200">
        <v>0</v>
      </c>
      <c r="J3200" s="10">
        <v>10.500000000000064</v>
      </c>
      <c r="K3200" s="10">
        <f>SUMIFS(F:F,D:D,DST_123_ÜRETİM_İHTİYAÇ_RAPORU_BURAK_YENI1309[[#This Row],[ALT_KOD]])-(SUMIFS(H:H,D:D,DST_123_ÜRETİM_İHTİYAÇ_RAPORU_BURAK_YENI1309[[#This Row],[ALT_KOD]])+AVERAGEIFS(I:I,D:D,DST_123_ÜRETİM_İHTİYAÇ_RAPORU_BURAK_YENI1309[[#This Row],[ALT_KOD]])+AVERAGEIFS(L:L,D:D,DST_123_ÜRETİM_İHTİYAÇ_RAPORU_BURAK_YENI1309[[#This Row],[ALT_KOD]]))</f>
        <v>25</v>
      </c>
      <c r="L3200">
        <v>40</v>
      </c>
      <c r="M3200">
        <f>IF((DST_123_ÜRETİM_İHTİYAÇ_RAPORU_BURAK_YENI1309[[#This Row],[SATINALMA]]*DST_123_ÜRETİM_İHTİYAÇ_RAPORU_BURAK_YENI1309[[#This Row],[BIRIM_FIYATLAR]])&lt;1,VALUE("0"),DST_123_ÜRETİM_İHTİYAÇ_RAPORU_BURAK_YENI1309[[#This Row],[SATINALMA]]*DST_123_ÜRETİM_İHTİYAÇ_RAPORU_BURAK_YENI1309[[#This Row],[BIRIM_FIYATLAR]])</f>
        <v>16666.75</v>
      </c>
      <c r="N3200">
        <v>666.67</v>
      </c>
      <c r="O3200" t="s">
        <v>223</v>
      </c>
      <c r="P3200">
        <v>4000.0199999999995</v>
      </c>
      <c r="Q3200" t="s">
        <v>181</v>
      </c>
    </row>
    <row r="3201" spans="1:17" x14ac:dyDescent="0.25">
      <c r="A3201" t="s">
        <v>1147</v>
      </c>
      <c r="B3201" t="s">
        <v>1145</v>
      </c>
      <c r="C3201" t="s">
        <v>175</v>
      </c>
      <c r="D3201" t="s">
        <v>468</v>
      </c>
      <c r="E3201" t="s">
        <v>579</v>
      </c>
      <c r="F3201">
        <v>1.5</v>
      </c>
      <c r="G3201" t="s">
        <v>185</v>
      </c>
      <c r="H3201">
        <v>0</v>
      </c>
      <c r="I3201">
        <v>30</v>
      </c>
      <c r="J3201" s="10">
        <v>21.5</v>
      </c>
      <c r="K3201" s="10">
        <f>SUMIFS(F:F,D:D,DST_123_ÜRETİM_İHTİYAÇ_RAPORU_BURAK_YENI1309[[#This Row],[ALT_KOD]])-(SUMIFS(H:H,D:D,DST_123_ÜRETİM_İHTİYAÇ_RAPORU_BURAK_YENI1309[[#This Row],[ALT_KOD]])+AVERAGEIFS(I:I,D:D,DST_123_ÜRETİM_İHTİYAÇ_RAPORU_BURAK_YENI1309[[#This Row],[ALT_KOD]])+AVERAGEIFS(L:L,D:D,DST_123_ÜRETİM_İHTİYAÇ_RAPORU_BURAK_YENI1309[[#This Row],[ALT_KOD]]))</f>
        <v>4</v>
      </c>
      <c r="L3201">
        <v>0</v>
      </c>
      <c r="M3201">
        <f>IF((DST_123_ÜRETİM_İHTİYAÇ_RAPORU_BURAK_YENI1309[[#This Row],[SATINALMA]]*DST_123_ÜRETİM_İHTİYAÇ_RAPORU_BURAK_YENI1309[[#This Row],[BIRIM_FIYATLAR]])&lt;1,VALUE("0"),DST_123_ÜRETİM_İHTİYAÇ_RAPORU_BURAK_YENI1309[[#This Row],[SATINALMA]]*DST_123_ÜRETİM_İHTİYAÇ_RAPORU_BURAK_YENI1309[[#This Row],[BIRIM_FIYATLAR]])</f>
        <v>472.56</v>
      </c>
      <c r="N3201">
        <v>118.14</v>
      </c>
      <c r="O3201" t="s">
        <v>393</v>
      </c>
      <c r="P3201">
        <v>177.21</v>
      </c>
      <c r="Q3201" t="s">
        <v>183</v>
      </c>
    </row>
    <row r="3202" spans="1:17" x14ac:dyDescent="0.25">
      <c r="A3202" t="s">
        <v>1148</v>
      </c>
      <c r="B3202" t="s">
        <v>1056</v>
      </c>
      <c r="C3202" t="s">
        <v>175</v>
      </c>
      <c r="D3202" t="s">
        <v>413</v>
      </c>
      <c r="E3202" t="s">
        <v>664</v>
      </c>
      <c r="F3202">
        <v>0.2</v>
      </c>
      <c r="G3202" t="s">
        <v>179</v>
      </c>
      <c r="H3202">
        <v>0</v>
      </c>
      <c r="I3202">
        <v>0</v>
      </c>
      <c r="J3202" s="10">
        <v>93.800000000000011</v>
      </c>
      <c r="K3202" s="10">
        <f>SUMIFS(F:F,D:D,DST_123_ÜRETİM_İHTİYAÇ_RAPORU_BURAK_YENI1309[[#This Row],[ALT_KOD]])-(SUMIFS(H:H,D:D,DST_123_ÜRETİM_İHTİYAÇ_RAPORU_BURAK_YENI1309[[#This Row],[ALT_KOD]])+AVERAGEIFS(I:I,D:D,DST_123_ÜRETİM_İHTİYAÇ_RAPORU_BURAK_YENI1309[[#This Row],[ALT_KOD]])+AVERAGEIFS(L:L,D:D,DST_123_ÜRETİM_İHTİYAÇ_RAPORU_BURAK_YENI1309[[#This Row],[ALT_KOD]]))</f>
        <v>5.0999999999999996</v>
      </c>
      <c r="L3202">
        <v>0</v>
      </c>
      <c r="M3202">
        <f>IF((DST_123_ÜRETİM_İHTİYAÇ_RAPORU_BURAK_YENI1309[[#This Row],[SATINALMA]]*DST_123_ÜRETİM_İHTİYAÇ_RAPORU_BURAK_YENI1309[[#This Row],[BIRIM_FIYATLAR]])&lt;1,VALUE("0"),DST_123_ÜRETİM_İHTİYAÇ_RAPORU_BURAK_YENI1309[[#This Row],[SATINALMA]]*DST_123_ÜRETİM_İHTİYAÇ_RAPORU_BURAK_YENI1309[[#This Row],[BIRIM_FIYATLAR]])</f>
        <v>34.526999999999994</v>
      </c>
      <c r="N3202">
        <v>6.77</v>
      </c>
      <c r="O3202" t="s">
        <v>635</v>
      </c>
      <c r="P3202">
        <v>1.3540000000000001</v>
      </c>
      <c r="Q3202" t="s">
        <v>221</v>
      </c>
    </row>
    <row r="3203" spans="1:17" x14ac:dyDescent="0.25">
      <c r="A3203" t="s">
        <v>1148</v>
      </c>
      <c r="B3203" t="s">
        <v>1056</v>
      </c>
      <c r="C3203" t="s">
        <v>175</v>
      </c>
      <c r="D3203" t="s">
        <v>237</v>
      </c>
      <c r="E3203" t="s">
        <v>306</v>
      </c>
      <c r="F3203">
        <v>2</v>
      </c>
      <c r="G3203" t="s">
        <v>176</v>
      </c>
      <c r="H3203">
        <v>0</v>
      </c>
      <c r="I3203">
        <v>37</v>
      </c>
      <c r="J3203" s="10">
        <v>20</v>
      </c>
      <c r="K3203" s="10">
        <f>SUMIFS(F:F,D:D,DST_123_ÜRETİM_İHTİYAÇ_RAPORU_BURAK_YENI1309[[#This Row],[ALT_KOD]])-(SUMIFS(H:H,D:D,DST_123_ÜRETİM_İHTİYAÇ_RAPORU_BURAK_YENI1309[[#This Row],[ALT_KOD]])+AVERAGEIFS(I:I,D:D,DST_123_ÜRETİM_İHTİYAÇ_RAPORU_BURAK_YENI1309[[#This Row],[ALT_KOD]])+AVERAGEIFS(L:L,D:D,DST_123_ÜRETİM_İHTİYAÇ_RAPORU_BURAK_YENI1309[[#This Row],[ALT_KOD]]))</f>
        <v>-13</v>
      </c>
      <c r="L3203">
        <v>0</v>
      </c>
      <c r="M3203">
        <f>IF((DST_123_ÜRETİM_İHTİYAÇ_RAPORU_BURAK_YENI1309[[#This Row],[SATINALMA]]*DST_123_ÜRETİM_İHTİYAÇ_RAPORU_BURAK_YENI1309[[#This Row],[BIRIM_FIYATLAR]])&lt;1,VALUE("0"),DST_123_ÜRETİM_İHTİYAÇ_RAPORU_BURAK_YENI1309[[#This Row],[SATINALMA]]*DST_123_ÜRETİM_İHTİYAÇ_RAPORU_BURAK_YENI1309[[#This Row],[BIRIM_FIYATLAR]])</f>
        <v>0</v>
      </c>
      <c r="N3203">
        <v>45.3</v>
      </c>
      <c r="O3203" t="s">
        <v>826</v>
      </c>
      <c r="P3203">
        <v>90.6</v>
      </c>
      <c r="Q3203" t="s">
        <v>221</v>
      </c>
    </row>
    <row r="3204" spans="1:17" x14ac:dyDescent="0.25">
      <c r="A3204" t="s">
        <v>1196</v>
      </c>
      <c r="B3204" t="s">
        <v>1197</v>
      </c>
      <c r="C3204" t="s">
        <v>175</v>
      </c>
      <c r="D3204" t="s">
        <v>80</v>
      </c>
      <c r="E3204" t="s">
        <v>81</v>
      </c>
      <c r="F3204">
        <v>6</v>
      </c>
      <c r="G3204" t="s">
        <v>176</v>
      </c>
      <c r="H3204">
        <v>0</v>
      </c>
      <c r="I3204">
        <v>0</v>
      </c>
      <c r="J3204" s="10">
        <v>10.500000000000064</v>
      </c>
      <c r="K3204" s="10">
        <f>SUMIFS(F:F,D:D,DST_123_ÜRETİM_İHTİYAÇ_RAPORU_BURAK_YENI1309[[#This Row],[ALT_KOD]])-(SUMIFS(H:H,D:D,DST_123_ÜRETİM_İHTİYAÇ_RAPORU_BURAK_YENI1309[[#This Row],[ALT_KOD]])+AVERAGEIFS(I:I,D:D,DST_123_ÜRETİM_İHTİYAÇ_RAPORU_BURAK_YENI1309[[#This Row],[ALT_KOD]])+AVERAGEIFS(L:L,D:D,DST_123_ÜRETİM_İHTİYAÇ_RAPORU_BURAK_YENI1309[[#This Row],[ALT_KOD]]))</f>
        <v>25</v>
      </c>
      <c r="L3204">
        <v>40</v>
      </c>
      <c r="M3204">
        <f>IF((DST_123_ÜRETİM_İHTİYAÇ_RAPORU_BURAK_YENI1309[[#This Row],[SATINALMA]]*DST_123_ÜRETİM_İHTİYAÇ_RAPORU_BURAK_YENI1309[[#This Row],[BIRIM_FIYATLAR]])&lt;1,VALUE("0"),DST_123_ÜRETİM_İHTİYAÇ_RAPORU_BURAK_YENI1309[[#This Row],[SATINALMA]]*DST_123_ÜRETİM_İHTİYAÇ_RAPORU_BURAK_YENI1309[[#This Row],[BIRIM_FIYATLAR]])</f>
        <v>16666.75</v>
      </c>
      <c r="N3204">
        <v>666.67</v>
      </c>
      <c r="O3204" t="s">
        <v>223</v>
      </c>
      <c r="P3204">
        <v>4000.0199999999995</v>
      </c>
      <c r="Q3204" t="s">
        <v>181</v>
      </c>
    </row>
    <row r="3205" spans="1:17" x14ac:dyDescent="0.25">
      <c r="A3205" t="s">
        <v>1098</v>
      </c>
      <c r="B3205" t="s">
        <v>1096</v>
      </c>
      <c r="C3205" t="s">
        <v>175</v>
      </c>
      <c r="D3205" t="s">
        <v>80</v>
      </c>
      <c r="E3205" t="s">
        <v>81</v>
      </c>
      <c r="F3205">
        <v>0.5</v>
      </c>
      <c r="G3205" t="s">
        <v>176</v>
      </c>
      <c r="H3205">
        <v>0</v>
      </c>
      <c r="I3205">
        <v>0</v>
      </c>
      <c r="J3205" s="10">
        <v>10.500000000000064</v>
      </c>
      <c r="K3205" s="10">
        <f>SUMIFS(F:F,D:D,DST_123_ÜRETİM_İHTİYAÇ_RAPORU_BURAK_YENI1309[[#This Row],[ALT_KOD]])-(SUMIFS(H:H,D:D,DST_123_ÜRETİM_İHTİYAÇ_RAPORU_BURAK_YENI1309[[#This Row],[ALT_KOD]])+AVERAGEIFS(I:I,D:D,DST_123_ÜRETİM_İHTİYAÇ_RAPORU_BURAK_YENI1309[[#This Row],[ALT_KOD]])+AVERAGEIFS(L:L,D:D,DST_123_ÜRETİM_İHTİYAÇ_RAPORU_BURAK_YENI1309[[#This Row],[ALT_KOD]]))</f>
        <v>25</v>
      </c>
      <c r="L3205">
        <v>40</v>
      </c>
      <c r="M3205">
        <f>IF((DST_123_ÜRETİM_İHTİYAÇ_RAPORU_BURAK_YENI1309[[#This Row],[SATINALMA]]*DST_123_ÜRETİM_İHTİYAÇ_RAPORU_BURAK_YENI1309[[#This Row],[BIRIM_FIYATLAR]])&lt;1,VALUE("0"),DST_123_ÜRETİM_İHTİYAÇ_RAPORU_BURAK_YENI1309[[#This Row],[SATINALMA]]*DST_123_ÜRETİM_İHTİYAÇ_RAPORU_BURAK_YENI1309[[#This Row],[BIRIM_FIYATLAR]])</f>
        <v>16666.75</v>
      </c>
      <c r="N3205">
        <v>666.67</v>
      </c>
      <c r="O3205" t="s">
        <v>223</v>
      </c>
      <c r="P3205">
        <v>333.33499999999998</v>
      </c>
      <c r="Q3205" t="s">
        <v>181</v>
      </c>
    </row>
    <row r="3206" spans="1:17" x14ac:dyDescent="0.25">
      <c r="A3206" t="s">
        <v>1099</v>
      </c>
      <c r="B3206" t="s">
        <v>1055</v>
      </c>
      <c r="C3206" t="s">
        <v>175</v>
      </c>
      <c r="D3206" t="s">
        <v>80</v>
      </c>
      <c r="E3206" t="s">
        <v>81</v>
      </c>
      <c r="F3206">
        <v>13.5</v>
      </c>
      <c r="G3206" t="s">
        <v>176</v>
      </c>
      <c r="H3206">
        <v>0</v>
      </c>
      <c r="I3206">
        <v>0</v>
      </c>
      <c r="J3206" s="10">
        <v>10.500000000000064</v>
      </c>
      <c r="K3206" s="10">
        <f>SUMIFS(F:F,D:D,DST_123_ÜRETİM_İHTİYAÇ_RAPORU_BURAK_YENI1309[[#This Row],[ALT_KOD]])-(SUMIFS(H:H,D:D,DST_123_ÜRETİM_İHTİYAÇ_RAPORU_BURAK_YENI1309[[#This Row],[ALT_KOD]])+AVERAGEIFS(I:I,D:D,DST_123_ÜRETİM_İHTİYAÇ_RAPORU_BURAK_YENI1309[[#This Row],[ALT_KOD]])+AVERAGEIFS(L:L,D:D,DST_123_ÜRETİM_İHTİYAÇ_RAPORU_BURAK_YENI1309[[#This Row],[ALT_KOD]]))</f>
        <v>25</v>
      </c>
      <c r="L3206">
        <v>40</v>
      </c>
      <c r="M3206">
        <f>IF((DST_123_ÜRETİM_İHTİYAÇ_RAPORU_BURAK_YENI1309[[#This Row],[SATINALMA]]*DST_123_ÜRETİM_İHTİYAÇ_RAPORU_BURAK_YENI1309[[#This Row],[BIRIM_FIYATLAR]])&lt;1,VALUE("0"),DST_123_ÜRETİM_İHTİYAÇ_RAPORU_BURAK_YENI1309[[#This Row],[SATINALMA]]*DST_123_ÜRETİM_İHTİYAÇ_RAPORU_BURAK_YENI1309[[#This Row],[BIRIM_FIYATLAR]])</f>
        <v>16666.75</v>
      </c>
      <c r="N3206">
        <v>666.67</v>
      </c>
      <c r="O3206" t="s">
        <v>223</v>
      </c>
      <c r="P3206">
        <v>9000.0450000000001</v>
      </c>
      <c r="Q3206" t="s">
        <v>181</v>
      </c>
    </row>
    <row r="3207" spans="1:17" x14ac:dyDescent="0.25">
      <c r="A3207" t="s">
        <v>1101</v>
      </c>
      <c r="B3207" t="s">
        <v>1102</v>
      </c>
      <c r="C3207" t="s">
        <v>175</v>
      </c>
      <c r="D3207" t="s">
        <v>468</v>
      </c>
      <c r="E3207" t="s">
        <v>579</v>
      </c>
      <c r="F3207">
        <v>3</v>
      </c>
      <c r="G3207" t="s">
        <v>185</v>
      </c>
      <c r="H3207">
        <v>0</v>
      </c>
      <c r="I3207">
        <v>30</v>
      </c>
      <c r="J3207" s="10">
        <v>21.5</v>
      </c>
      <c r="K3207" s="10">
        <f>SUMIFS(F:F,D:D,DST_123_ÜRETİM_İHTİYAÇ_RAPORU_BURAK_YENI1309[[#This Row],[ALT_KOD]])-(SUMIFS(H:H,D:D,DST_123_ÜRETİM_İHTİYAÇ_RAPORU_BURAK_YENI1309[[#This Row],[ALT_KOD]])+AVERAGEIFS(I:I,D:D,DST_123_ÜRETİM_İHTİYAÇ_RAPORU_BURAK_YENI1309[[#This Row],[ALT_KOD]])+AVERAGEIFS(L:L,D:D,DST_123_ÜRETİM_İHTİYAÇ_RAPORU_BURAK_YENI1309[[#This Row],[ALT_KOD]]))</f>
        <v>4</v>
      </c>
      <c r="L3207">
        <v>0</v>
      </c>
      <c r="M3207">
        <f>IF((DST_123_ÜRETİM_İHTİYAÇ_RAPORU_BURAK_YENI1309[[#This Row],[SATINALMA]]*DST_123_ÜRETİM_İHTİYAÇ_RAPORU_BURAK_YENI1309[[#This Row],[BIRIM_FIYATLAR]])&lt;1,VALUE("0"),DST_123_ÜRETİM_İHTİYAÇ_RAPORU_BURAK_YENI1309[[#This Row],[SATINALMA]]*DST_123_ÜRETİM_İHTİYAÇ_RAPORU_BURAK_YENI1309[[#This Row],[BIRIM_FIYATLAR]])</f>
        <v>472.56</v>
      </c>
      <c r="N3207">
        <v>118.14</v>
      </c>
      <c r="O3207" t="s">
        <v>393</v>
      </c>
      <c r="P3207">
        <v>354.42</v>
      </c>
      <c r="Q3207" t="s">
        <v>183</v>
      </c>
    </row>
    <row r="3208" spans="1:17" x14ac:dyDescent="0.25">
      <c r="A3208" t="s">
        <v>1101</v>
      </c>
      <c r="B3208" t="s">
        <v>1102</v>
      </c>
      <c r="C3208" t="s">
        <v>175</v>
      </c>
      <c r="D3208" t="s">
        <v>413</v>
      </c>
      <c r="E3208" t="s">
        <v>664</v>
      </c>
      <c r="F3208">
        <v>0.30000000000000004</v>
      </c>
      <c r="G3208" t="s">
        <v>179</v>
      </c>
      <c r="H3208">
        <v>0</v>
      </c>
      <c r="I3208">
        <v>0</v>
      </c>
      <c r="J3208" s="10">
        <v>93.800000000000011</v>
      </c>
      <c r="K3208" s="10">
        <f>SUMIFS(F:F,D:D,DST_123_ÜRETİM_İHTİYAÇ_RAPORU_BURAK_YENI1309[[#This Row],[ALT_KOD]])-(SUMIFS(H:H,D:D,DST_123_ÜRETİM_İHTİYAÇ_RAPORU_BURAK_YENI1309[[#This Row],[ALT_KOD]])+AVERAGEIFS(I:I,D:D,DST_123_ÜRETİM_İHTİYAÇ_RAPORU_BURAK_YENI1309[[#This Row],[ALT_KOD]])+AVERAGEIFS(L:L,D:D,DST_123_ÜRETİM_İHTİYAÇ_RAPORU_BURAK_YENI1309[[#This Row],[ALT_KOD]]))</f>
        <v>5.0999999999999996</v>
      </c>
      <c r="L3208">
        <v>0</v>
      </c>
      <c r="M3208">
        <f>IF((DST_123_ÜRETİM_İHTİYAÇ_RAPORU_BURAK_YENI1309[[#This Row],[SATINALMA]]*DST_123_ÜRETİM_İHTİYAÇ_RAPORU_BURAK_YENI1309[[#This Row],[BIRIM_FIYATLAR]])&lt;1,VALUE("0"),DST_123_ÜRETİM_İHTİYAÇ_RAPORU_BURAK_YENI1309[[#This Row],[SATINALMA]]*DST_123_ÜRETİM_İHTİYAÇ_RAPORU_BURAK_YENI1309[[#This Row],[BIRIM_FIYATLAR]])</f>
        <v>34.526999999999994</v>
      </c>
      <c r="N3208">
        <v>6.77</v>
      </c>
      <c r="O3208" t="s">
        <v>635</v>
      </c>
      <c r="P3208">
        <v>2.0310000000000001</v>
      </c>
      <c r="Q3208" t="s">
        <v>221</v>
      </c>
    </row>
    <row r="3209" spans="1:17" x14ac:dyDescent="0.25">
      <c r="A3209" t="s">
        <v>1101</v>
      </c>
      <c r="B3209" t="s">
        <v>1102</v>
      </c>
      <c r="C3209" t="s">
        <v>175</v>
      </c>
      <c r="D3209" t="s">
        <v>237</v>
      </c>
      <c r="E3209" t="s">
        <v>306</v>
      </c>
      <c r="F3209">
        <v>2</v>
      </c>
      <c r="G3209" t="s">
        <v>176</v>
      </c>
      <c r="H3209">
        <v>2</v>
      </c>
      <c r="I3209">
        <v>37</v>
      </c>
      <c r="J3209" s="10">
        <v>20</v>
      </c>
      <c r="K3209" s="10">
        <f>SUMIFS(F:F,D:D,DST_123_ÜRETİM_İHTİYAÇ_RAPORU_BURAK_YENI1309[[#This Row],[ALT_KOD]])-(SUMIFS(H:H,D:D,DST_123_ÜRETİM_İHTİYAÇ_RAPORU_BURAK_YENI1309[[#This Row],[ALT_KOD]])+AVERAGEIFS(I:I,D:D,DST_123_ÜRETİM_İHTİYAÇ_RAPORU_BURAK_YENI1309[[#This Row],[ALT_KOD]])+AVERAGEIFS(L:L,D:D,DST_123_ÜRETİM_İHTİYAÇ_RAPORU_BURAK_YENI1309[[#This Row],[ALT_KOD]]))</f>
        <v>-13</v>
      </c>
      <c r="L3209">
        <v>0</v>
      </c>
      <c r="M3209">
        <f>IF((DST_123_ÜRETİM_İHTİYAÇ_RAPORU_BURAK_YENI1309[[#This Row],[SATINALMA]]*DST_123_ÜRETİM_İHTİYAÇ_RAPORU_BURAK_YENI1309[[#This Row],[BIRIM_FIYATLAR]])&lt;1,VALUE("0"),DST_123_ÜRETİM_İHTİYAÇ_RAPORU_BURAK_YENI1309[[#This Row],[SATINALMA]]*DST_123_ÜRETİM_İHTİYAÇ_RAPORU_BURAK_YENI1309[[#This Row],[BIRIM_FIYATLAR]])</f>
        <v>0</v>
      </c>
      <c r="N3209">
        <v>45.3</v>
      </c>
      <c r="O3209" t="s">
        <v>826</v>
      </c>
      <c r="P3209">
        <v>90.6</v>
      </c>
      <c r="Q3209" t="s">
        <v>221</v>
      </c>
    </row>
    <row r="3210" spans="1:17" x14ac:dyDescent="0.25">
      <c r="A3210" t="s">
        <v>1064</v>
      </c>
      <c r="B3210" t="s">
        <v>1055</v>
      </c>
      <c r="C3210" t="s">
        <v>175</v>
      </c>
      <c r="D3210" t="s">
        <v>786</v>
      </c>
      <c r="E3210" t="s">
        <v>787</v>
      </c>
      <c r="F3210">
        <v>4.5</v>
      </c>
      <c r="G3210" t="s">
        <v>179</v>
      </c>
      <c r="H3210">
        <v>0</v>
      </c>
      <c r="I3210">
        <v>0</v>
      </c>
      <c r="J3210" s="10">
        <v>285.5</v>
      </c>
      <c r="K3210" s="10">
        <f>SUMIFS(F:F,D:D,DST_123_ÜRETİM_İHTİYAÇ_RAPORU_BURAK_YENI1309[[#This Row],[ALT_KOD]])-(SUMIFS(H:H,D:D,DST_123_ÜRETİM_İHTİYAÇ_RAPORU_BURAK_YENI1309[[#This Row],[ALT_KOD]])+AVERAGEIFS(I:I,D:D,DST_123_ÜRETİM_İHTİYAÇ_RAPORU_BURAK_YENI1309[[#This Row],[ALT_KOD]])+AVERAGEIFS(L:L,D:D,DST_123_ÜRETİM_İHTİYAÇ_RAPORU_BURAK_YENI1309[[#This Row],[ALT_KOD]]))</f>
        <v>11.5</v>
      </c>
      <c r="L3210">
        <v>0</v>
      </c>
      <c r="M3210">
        <f>IF((DST_123_ÜRETİM_İHTİYAÇ_RAPORU_BURAK_YENI1309[[#This Row],[SATINALMA]]*DST_123_ÜRETİM_İHTİYAÇ_RAPORU_BURAK_YENI1309[[#This Row],[BIRIM_FIYATLAR]])&lt;1,VALUE("0"),DST_123_ÜRETİM_İHTİYAÇ_RAPORU_BURAK_YENI1309[[#This Row],[SATINALMA]]*DST_123_ÜRETİM_İHTİYAÇ_RAPORU_BURAK_YENI1309[[#This Row],[BIRIM_FIYATLAR]])</f>
        <v>662.4</v>
      </c>
      <c r="N3210">
        <v>57.6</v>
      </c>
      <c r="O3210" t="s">
        <v>826</v>
      </c>
      <c r="P3210">
        <v>259.2</v>
      </c>
      <c r="Q3210" t="s">
        <v>221</v>
      </c>
    </row>
    <row r="3211" spans="1:17" x14ac:dyDescent="0.25">
      <c r="A3211" t="s">
        <v>1100</v>
      </c>
      <c r="B3211" t="s">
        <v>1058</v>
      </c>
      <c r="C3211" t="s">
        <v>175</v>
      </c>
      <c r="D3211" t="s">
        <v>468</v>
      </c>
      <c r="E3211" t="s">
        <v>579</v>
      </c>
      <c r="F3211">
        <v>2</v>
      </c>
      <c r="G3211" t="s">
        <v>185</v>
      </c>
      <c r="H3211">
        <v>0</v>
      </c>
      <c r="I3211">
        <v>30</v>
      </c>
      <c r="J3211" s="10">
        <v>21.5</v>
      </c>
      <c r="K3211" s="10">
        <f>SUMIFS(F:F,D:D,DST_123_ÜRETİM_İHTİYAÇ_RAPORU_BURAK_YENI1309[[#This Row],[ALT_KOD]])-(SUMIFS(H:H,D:D,DST_123_ÜRETİM_İHTİYAÇ_RAPORU_BURAK_YENI1309[[#This Row],[ALT_KOD]])+AVERAGEIFS(I:I,D:D,DST_123_ÜRETİM_İHTİYAÇ_RAPORU_BURAK_YENI1309[[#This Row],[ALT_KOD]])+AVERAGEIFS(L:L,D:D,DST_123_ÜRETİM_İHTİYAÇ_RAPORU_BURAK_YENI1309[[#This Row],[ALT_KOD]]))</f>
        <v>4</v>
      </c>
      <c r="L3211">
        <v>0</v>
      </c>
      <c r="M3211">
        <f>IF((DST_123_ÜRETİM_İHTİYAÇ_RAPORU_BURAK_YENI1309[[#This Row],[SATINALMA]]*DST_123_ÜRETİM_İHTİYAÇ_RAPORU_BURAK_YENI1309[[#This Row],[BIRIM_FIYATLAR]])&lt;1,VALUE("0"),DST_123_ÜRETİM_İHTİYAÇ_RAPORU_BURAK_YENI1309[[#This Row],[SATINALMA]]*DST_123_ÜRETİM_İHTİYAÇ_RAPORU_BURAK_YENI1309[[#This Row],[BIRIM_FIYATLAR]])</f>
        <v>472.56</v>
      </c>
      <c r="N3211">
        <v>118.14</v>
      </c>
      <c r="O3211" t="s">
        <v>393</v>
      </c>
      <c r="P3211">
        <v>236.28</v>
      </c>
      <c r="Q3211" t="s">
        <v>183</v>
      </c>
    </row>
    <row r="3212" spans="1:17" x14ac:dyDescent="0.25">
      <c r="A3212" t="s">
        <v>1147</v>
      </c>
      <c r="B3212" t="s">
        <v>1145</v>
      </c>
      <c r="C3212" t="s">
        <v>175</v>
      </c>
      <c r="D3212" t="s">
        <v>413</v>
      </c>
      <c r="E3212" t="s">
        <v>664</v>
      </c>
      <c r="F3212">
        <v>0.30000000000000004</v>
      </c>
      <c r="G3212" t="s">
        <v>179</v>
      </c>
      <c r="H3212">
        <v>0</v>
      </c>
      <c r="I3212">
        <v>0</v>
      </c>
      <c r="J3212" s="10">
        <v>93.800000000000011</v>
      </c>
      <c r="K3212" s="10">
        <f>SUMIFS(F:F,D:D,DST_123_ÜRETİM_İHTİYAÇ_RAPORU_BURAK_YENI1309[[#This Row],[ALT_KOD]])-(SUMIFS(H:H,D:D,DST_123_ÜRETİM_İHTİYAÇ_RAPORU_BURAK_YENI1309[[#This Row],[ALT_KOD]])+AVERAGEIFS(I:I,D:D,DST_123_ÜRETİM_İHTİYAÇ_RAPORU_BURAK_YENI1309[[#This Row],[ALT_KOD]])+AVERAGEIFS(L:L,D:D,DST_123_ÜRETİM_İHTİYAÇ_RAPORU_BURAK_YENI1309[[#This Row],[ALT_KOD]]))</f>
        <v>5.0999999999999996</v>
      </c>
      <c r="L3212">
        <v>0</v>
      </c>
      <c r="M3212">
        <f>IF((DST_123_ÜRETİM_İHTİYAÇ_RAPORU_BURAK_YENI1309[[#This Row],[SATINALMA]]*DST_123_ÜRETİM_İHTİYAÇ_RAPORU_BURAK_YENI1309[[#This Row],[BIRIM_FIYATLAR]])&lt;1,VALUE("0"),DST_123_ÜRETİM_İHTİYAÇ_RAPORU_BURAK_YENI1309[[#This Row],[SATINALMA]]*DST_123_ÜRETİM_İHTİYAÇ_RAPORU_BURAK_YENI1309[[#This Row],[BIRIM_FIYATLAR]])</f>
        <v>34.526999999999994</v>
      </c>
      <c r="N3212">
        <v>6.77</v>
      </c>
      <c r="O3212" t="s">
        <v>635</v>
      </c>
      <c r="P3212">
        <v>2.0310000000000001</v>
      </c>
      <c r="Q3212" t="s">
        <v>221</v>
      </c>
    </row>
    <row r="3213" spans="1:17" x14ac:dyDescent="0.25">
      <c r="A3213" t="s">
        <v>1097</v>
      </c>
      <c r="B3213" t="s">
        <v>1055</v>
      </c>
      <c r="C3213" t="s">
        <v>175</v>
      </c>
      <c r="D3213" t="s">
        <v>595</v>
      </c>
      <c r="E3213" t="s">
        <v>596</v>
      </c>
      <c r="F3213">
        <v>1</v>
      </c>
      <c r="G3213" t="s">
        <v>176</v>
      </c>
      <c r="H3213">
        <v>0</v>
      </c>
      <c r="I3213">
        <v>18</v>
      </c>
      <c r="J3213" s="10">
        <v>3</v>
      </c>
      <c r="K3213" s="10">
        <f>SUMIFS(F:F,D:D,DST_123_ÜRETİM_İHTİYAÇ_RAPORU_BURAK_YENI1309[[#This Row],[ALT_KOD]])-(SUMIFS(H:H,D:D,DST_123_ÜRETİM_İHTİYAÇ_RAPORU_BURAK_YENI1309[[#This Row],[ALT_KOD]])+AVERAGEIFS(I:I,D:D,DST_123_ÜRETİM_İHTİYAÇ_RAPORU_BURAK_YENI1309[[#This Row],[ALT_KOD]])+AVERAGEIFS(L:L,D:D,DST_123_ÜRETİM_İHTİYAÇ_RAPORU_BURAK_YENI1309[[#This Row],[ALT_KOD]]))</f>
        <v>-1</v>
      </c>
      <c r="L3213">
        <v>0</v>
      </c>
      <c r="M3213">
        <f>IF((DST_123_ÜRETİM_İHTİYAÇ_RAPORU_BURAK_YENI1309[[#This Row],[SATINALMA]]*DST_123_ÜRETİM_İHTİYAÇ_RAPORU_BURAK_YENI1309[[#This Row],[BIRIM_FIYATLAR]])&lt;1,VALUE("0"),DST_123_ÜRETİM_İHTİYAÇ_RAPORU_BURAK_YENI1309[[#This Row],[SATINALMA]]*DST_123_ÜRETİM_İHTİYAÇ_RAPORU_BURAK_YENI1309[[#This Row],[BIRIM_FIYATLAR]])</f>
        <v>0</v>
      </c>
      <c r="N3213">
        <v>4852.33</v>
      </c>
      <c r="O3213" t="s">
        <v>636</v>
      </c>
      <c r="P3213">
        <v>4852.33</v>
      </c>
      <c r="Q3213" t="s">
        <v>177</v>
      </c>
    </row>
    <row r="3214" spans="1:17" x14ac:dyDescent="0.25">
      <c r="A3214" t="s">
        <v>1059</v>
      </c>
      <c r="B3214" t="s">
        <v>1058</v>
      </c>
      <c r="C3214" t="s">
        <v>175</v>
      </c>
      <c r="D3214" t="s">
        <v>595</v>
      </c>
      <c r="E3214" t="s">
        <v>596</v>
      </c>
      <c r="F3214">
        <v>1</v>
      </c>
      <c r="G3214" t="s">
        <v>176</v>
      </c>
      <c r="H3214">
        <v>0</v>
      </c>
      <c r="I3214">
        <v>18</v>
      </c>
      <c r="J3214" s="10">
        <v>3</v>
      </c>
      <c r="K3214" s="10">
        <f>SUMIFS(F:F,D:D,DST_123_ÜRETİM_İHTİYAÇ_RAPORU_BURAK_YENI1309[[#This Row],[ALT_KOD]])-(SUMIFS(H:H,D:D,DST_123_ÜRETİM_İHTİYAÇ_RAPORU_BURAK_YENI1309[[#This Row],[ALT_KOD]])+AVERAGEIFS(I:I,D:D,DST_123_ÜRETİM_İHTİYAÇ_RAPORU_BURAK_YENI1309[[#This Row],[ALT_KOD]])+AVERAGEIFS(L:L,D:D,DST_123_ÜRETİM_İHTİYAÇ_RAPORU_BURAK_YENI1309[[#This Row],[ALT_KOD]]))</f>
        <v>-1</v>
      </c>
      <c r="L3214">
        <v>0</v>
      </c>
      <c r="M3214">
        <f>IF((DST_123_ÜRETİM_İHTİYAÇ_RAPORU_BURAK_YENI1309[[#This Row],[SATINALMA]]*DST_123_ÜRETİM_İHTİYAÇ_RAPORU_BURAK_YENI1309[[#This Row],[BIRIM_FIYATLAR]])&lt;1,VALUE("0"),DST_123_ÜRETİM_İHTİYAÇ_RAPORU_BURAK_YENI1309[[#This Row],[SATINALMA]]*DST_123_ÜRETİM_İHTİYAÇ_RAPORU_BURAK_YENI1309[[#This Row],[BIRIM_FIYATLAR]])</f>
        <v>0</v>
      </c>
      <c r="N3214">
        <v>4852.33</v>
      </c>
      <c r="O3214" t="s">
        <v>636</v>
      </c>
      <c r="P3214">
        <v>4852.33</v>
      </c>
      <c r="Q3214" t="s">
        <v>177</v>
      </c>
    </row>
    <row r="3215" spans="1:17" x14ac:dyDescent="0.25">
      <c r="A3215" t="s">
        <v>1142</v>
      </c>
      <c r="B3215" t="s">
        <v>1056</v>
      </c>
      <c r="C3215" t="s">
        <v>175</v>
      </c>
      <c r="D3215" t="s">
        <v>774</v>
      </c>
      <c r="E3215" t="s">
        <v>775</v>
      </c>
      <c r="F3215">
        <v>3</v>
      </c>
      <c r="G3215" t="s">
        <v>182</v>
      </c>
      <c r="H3215">
        <v>0</v>
      </c>
      <c r="I3215">
        <v>0</v>
      </c>
      <c r="J3215" s="10">
        <v>0</v>
      </c>
      <c r="K3215" s="10">
        <f>SUMIFS(F:F,D:D,DST_123_ÜRETİM_İHTİYAÇ_RAPORU_BURAK_YENI1309[[#This Row],[ALT_KOD]])-(SUMIFS(H:H,D:D,DST_123_ÜRETİM_İHTİYAÇ_RAPORU_BURAK_YENI1309[[#This Row],[ALT_KOD]])+AVERAGEIFS(I:I,D:D,DST_123_ÜRETİM_İHTİYAÇ_RAPORU_BURAK_YENI1309[[#This Row],[ALT_KOD]])+AVERAGEIFS(L:L,D:D,DST_123_ÜRETİM_İHTİYAÇ_RAPORU_BURAK_YENI1309[[#This Row],[ALT_KOD]]))</f>
        <v>24</v>
      </c>
      <c r="L3215">
        <v>0</v>
      </c>
      <c r="M3215">
        <f>IF((DST_123_ÜRETİM_İHTİYAÇ_RAPORU_BURAK_YENI1309[[#This Row],[SATINALMA]]*DST_123_ÜRETİM_İHTİYAÇ_RAPORU_BURAK_YENI1309[[#This Row],[BIRIM_FIYATLAR]])&lt;1,VALUE("0"),DST_123_ÜRETİM_İHTİYAÇ_RAPORU_BURAK_YENI1309[[#This Row],[SATINALMA]]*DST_123_ÜRETİM_İHTİYAÇ_RAPORU_BURAK_YENI1309[[#This Row],[BIRIM_FIYATLAR]])</f>
        <v>14751.119999999999</v>
      </c>
      <c r="N3215">
        <v>614.63</v>
      </c>
      <c r="O3215" t="s">
        <v>253</v>
      </c>
      <c r="P3215">
        <v>1843.8899999999999</v>
      </c>
      <c r="Q3215" t="s">
        <v>657</v>
      </c>
    </row>
    <row r="3216" spans="1:17" x14ac:dyDescent="0.25">
      <c r="A3216" t="s">
        <v>1099</v>
      </c>
      <c r="B3216" t="s">
        <v>1055</v>
      </c>
      <c r="C3216" t="s">
        <v>175</v>
      </c>
      <c r="D3216" t="s">
        <v>269</v>
      </c>
      <c r="E3216" t="s">
        <v>270</v>
      </c>
      <c r="F3216">
        <v>1</v>
      </c>
      <c r="G3216" t="s">
        <v>176</v>
      </c>
      <c r="H3216">
        <v>0</v>
      </c>
      <c r="I3216">
        <v>13</v>
      </c>
      <c r="J3216" s="10">
        <v>9</v>
      </c>
      <c r="K3216" s="10">
        <f>SUMIFS(F:F,D:D,DST_123_ÜRETİM_İHTİYAÇ_RAPORU_BURAK_YENI1309[[#This Row],[ALT_KOD]])-(SUMIFS(H:H,D:D,DST_123_ÜRETİM_İHTİYAÇ_RAPORU_BURAK_YENI1309[[#This Row],[ALT_KOD]])+AVERAGEIFS(I:I,D:D,DST_123_ÜRETİM_İHTİYAÇ_RAPORU_BURAK_YENI1309[[#This Row],[ALT_KOD]])+AVERAGEIFS(L:L,D:D,DST_123_ÜRETİM_İHTİYAÇ_RAPORU_BURAK_YENI1309[[#This Row],[ALT_KOD]]))</f>
        <v>-1</v>
      </c>
      <c r="L3216">
        <v>0</v>
      </c>
      <c r="M3216">
        <f>IF((DST_123_ÜRETİM_İHTİYAÇ_RAPORU_BURAK_YENI1309[[#This Row],[SATINALMA]]*DST_123_ÜRETİM_İHTİYAÇ_RAPORU_BURAK_YENI1309[[#This Row],[BIRIM_FIYATLAR]])&lt;1,VALUE("0"),DST_123_ÜRETİM_İHTİYAÇ_RAPORU_BURAK_YENI1309[[#This Row],[SATINALMA]]*DST_123_ÜRETİM_İHTİYAÇ_RAPORU_BURAK_YENI1309[[#This Row],[BIRIM_FIYATLAR]])</f>
        <v>0</v>
      </c>
      <c r="N3216">
        <v>270</v>
      </c>
      <c r="O3216" t="s">
        <v>220</v>
      </c>
      <c r="P3216">
        <v>270</v>
      </c>
      <c r="Q3216" t="s">
        <v>221</v>
      </c>
    </row>
    <row r="3217" spans="1:17" x14ac:dyDescent="0.25">
      <c r="A3217" t="s">
        <v>1057</v>
      </c>
      <c r="B3217" t="s">
        <v>1058</v>
      </c>
      <c r="C3217" t="s">
        <v>175</v>
      </c>
      <c r="D3217" t="s">
        <v>595</v>
      </c>
      <c r="E3217" t="s">
        <v>596</v>
      </c>
      <c r="F3217">
        <v>1</v>
      </c>
      <c r="G3217" t="s">
        <v>176</v>
      </c>
      <c r="H3217">
        <v>0</v>
      </c>
      <c r="I3217">
        <v>18</v>
      </c>
      <c r="J3217" s="10">
        <v>3</v>
      </c>
      <c r="K3217" s="10">
        <f>SUMIFS(F:F,D:D,DST_123_ÜRETİM_İHTİYAÇ_RAPORU_BURAK_YENI1309[[#This Row],[ALT_KOD]])-(SUMIFS(H:H,D:D,DST_123_ÜRETİM_İHTİYAÇ_RAPORU_BURAK_YENI1309[[#This Row],[ALT_KOD]])+AVERAGEIFS(I:I,D:D,DST_123_ÜRETİM_İHTİYAÇ_RAPORU_BURAK_YENI1309[[#This Row],[ALT_KOD]])+AVERAGEIFS(L:L,D:D,DST_123_ÜRETİM_İHTİYAÇ_RAPORU_BURAK_YENI1309[[#This Row],[ALT_KOD]]))</f>
        <v>-1</v>
      </c>
      <c r="L3217">
        <v>0</v>
      </c>
      <c r="M3217">
        <f>IF((DST_123_ÜRETİM_İHTİYAÇ_RAPORU_BURAK_YENI1309[[#This Row],[SATINALMA]]*DST_123_ÜRETİM_İHTİYAÇ_RAPORU_BURAK_YENI1309[[#This Row],[BIRIM_FIYATLAR]])&lt;1,VALUE("0"),DST_123_ÜRETİM_İHTİYAÇ_RAPORU_BURAK_YENI1309[[#This Row],[SATINALMA]]*DST_123_ÜRETİM_İHTİYAÇ_RAPORU_BURAK_YENI1309[[#This Row],[BIRIM_FIYATLAR]])</f>
        <v>0</v>
      </c>
      <c r="N3217">
        <v>4852.33</v>
      </c>
      <c r="O3217" t="s">
        <v>636</v>
      </c>
      <c r="P3217">
        <v>4852.33</v>
      </c>
      <c r="Q3217" t="s">
        <v>177</v>
      </c>
    </row>
    <row r="3218" spans="1:17" x14ac:dyDescent="0.25">
      <c r="A3218" t="s">
        <v>1100</v>
      </c>
      <c r="B3218" t="s">
        <v>1058</v>
      </c>
      <c r="C3218" t="s">
        <v>175</v>
      </c>
      <c r="D3218" t="s">
        <v>595</v>
      </c>
      <c r="E3218" t="s">
        <v>596</v>
      </c>
      <c r="F3218">
        <v>1</v>
      </c>
      <c r="G3218" t="s">
        <v>176</v>
      </c>
      <c r="H3218">
        <v>0</v>
      </c>
      <c r="I3218">
        <v>18</v>
      </c>
      <c r="J3218" s="10">
        <v>3</v>
      </c>
      <c r="K3218" s="10">
        <f>SUMIFS(F:F,D:D,DST_123_ÜRETİM_İHTİYAÇ_RAPORU_BURAK_YENI1309[[#This Row],[ALT_KOD]])-(SUMIFS(H:H,D:D,DST_123_ÜRETİM_İHTİYAÇ_RAPORU_BURAK_YENI1309[[#This Row],[ALT_KOD]])+AVERAGEIFS(I:I,D:D,DST_123_ÜRETİM_İHTİYAÇ_RAPORU_BURAK_YENI1309[[#This Row],[ALT_KOD]])+AVERAGEIFS(L:L,D:D,DST_123_ÜRETİM_İHTİYAÇ_RAPORU_BURAK_YENI1309[[#This Row],[ALT_KOD]]))</f>
        <v>-1</v>
      </c>
      <c r="L3218">
        <v>0</v>
      </c>
      <c r="M3218">
        <f>IF((DST_123_ÜRETİM_İHTİYAÇ_RAPORU_BURAK_YENI1309[[#This Row],[SATINALMA]]*DST_123_ÜRETİM_İHTİYAÇ_RAPORU_BURAK_YENI1309[[#This Row],[BIRIM_FIYATLAR]])&lt;1,VALUE("0"),DST_123_ÜRETİM_İHTİYAÇ_RAPORU_BURAK_YENI1309[[#This Row],[SATINALMA]]*DST_123_ÜRETİM_İHTİYAÇ_RAPORU_BURAK_YENI1309[[#This Row],[BIRIM_FIYATLAR]])</f>
        <v>0</v>
      </c>
      <c r="N3218">
        <v>4852.33</v>
      </c>
      <c r="O3218" t="s">
        <v>636</v>
      </c>
      <c r="P3218">
        <v>4852.33</v>
      </c>
      <c r="Q3218" t="s">
        <v>177</v>
      </c>
    </row>
    <row r="3219" spans="1:17" x14ac:dyDescent="0.25">
      <c r="A3219" t="s">
        <v>1148</v>
      </c>
      <c r="B3219" t="s">
        <v>1056</v>
      </c>
      <c r="C3219" t="s">
        <v>175</v>
      </c>
      <c r="D3219" t="s">
        <v>595</v>
      </c>
      <c r="E3219" t="s">
        <v>596</v>
      </c>
      <c r="F3219">
        <v>1</v>
      </c>
      <c r="G3219" t="s">
        <v>176</v>
      </c>
      <c r="H3219">
        <v>0</v>
      </c>
      <c r="I3219">
        <v>18</v>
      </c>
      <c r="J3219" s="10">
        <v>3</v>
      </c>
      <c r="K3219" s="10">
        <f>SUMIFS(F:F,D:D,DST_123_ÜRETİM_İHTİYAÇ_RAPORU_BURAK_YENI1309[[#This Row],[ALT_KOD]])-(SUMIFS(H:H,D:D,DST_123_ÜRETİM_İHTİYAÇ_RAPORU_BURAK_YENI1309[[#This Row],[ALT_KOD]])+AVERAGEIFS(I:I,D:D,DST_123_ÜRETİM_İHTİYAÇ_RAPORU_BURAK_YENI1309[[#This Row],[ALT_KOD]])+AVERAGEIFS(L:L,D:D,DST_123_ÜRETİM_İHTİYAÇ_RAPORU_BURAK_YENI1309[[#This Row],[ALT_KOD]]))</f>
        <v>-1</v>
      </c>
      <c r="L3219">
        <v>0</v>
      </c>
      <c r="M3219">
        <f>IF((DST_123_ÜRETİM_İHTİYAÇ_RAPORU_BURAK_YENI1309[[#This Row],[SATINALMA]]*DST_123_ÜRETİM_İHTİYAÇ_RAPORU_BURAK_YENI1309[[#This Row],[BIRIM_FIYATLAR]])&lt;1,VALUE("0"),DST_123_ÜRETİM_İHTİYAÇ_RAPORU_BURAK_YENI1309[[#This Row],[SATINALMA]]*DST_123_ÜRETİM_İHTİYAÇ_RAPORU_BURAK_YENI1309[[#This Row],[BIRIM_FIYATLAR]])</f>
        <v>0</v>
      </c>
      <c r="N3219">
        <v>4852.33</v>
      </c>
      <c r="O3219" t="s">
        <v>636</v>
      </c>
      <c r="P3219">
        <v>4852.33</v>
      </c>
      <c r="Q3219" t="s">
        <v>177</v>
      </c>
    </row>
    <row r="3220" spans="1:17" x14ac:dyDescent="0.25">
      <c r="A3220" t="s">
        <v>1147</v>
      </c>
      <c r="B3220" t="s">
        <v>1145</v>
      </c>
      <c r="C3220" t="s">
        <v>175</v>
      </c>
      <c r="D3220" t="s">
        <v>1167</v>
      </c>
      <c r="E3220" t="s">
        <v>1168</v>
      </c>
      <c r="F3220">
        <v>2</v>
      </c>
      <c r="G3220" t="s">
        <v>176</v>
      </c>
      <c r="H3220">
        <v>0</v>
      </c>
      <c r="I3220">
        <v>500</v>
      </c>
      <c r="J3220" s="10">
        <v>500</v>
      </c>
      <c r="K3220" s="10">
        <f>SUMIFS(F:F,D:D,DST_123_ÜRETİM_İHTİYAÇ_RAPORU_BURAK_YENI1309[[#This Row],[ALT_KOD]])-(SUMIFS(H:H,D:D,DST_123_ÜRETİM_İHTİYAÇ_RAPORU_BURAK_YENI1309[[#This Row],[ALT_KOD]])+AVERAGEIFS(I:I,D:D,DST_123_ÜRETİM_İHTİYAÇ_RAPORU_BURAK_YENI1309[[#This Row],[ALT_KOD]])+AVERAGEIFS(L:L,D:D,DST_123_ÜRETİM_İHTİYAÇ_RAPORU_BURAK_YENI1309[[#This Row],[ALT_KOD]]))</f>
        <v>-486</v>
      </c>
      <c r="L3220">
        <v>0</v>
      </c>
      <c r="M3220">
        <f>IF((DST_123_ÜRETİM_İHTİYAÇ_RAPORU_BURAK_YENI1309[[#This Row],[SATINALMA]]*DST_123_ÜRETİM_İHTİYAÇ_RAPORU_BURAK_YENI1309[[#This Row],[BIRIM_FIYATLAR]])&lt;1,VALUE("0"),DST_123_ÜRETİM_İHTİYAÇ_RAPORU_BURAK_YENI1309[[#This Row],[SATINALMA]]*DST_123_ÜRETİM_İHTİYAÇ_RAPORU_BURAK_YENI1309[[#This Row],[BIRIM_FIYATLAR]])</f>
        <v>0</v>
      </c>
      <c r="N3220">
        <v>0.55000000000000004</v>
      </c>
      <c r="O3220" t="s">
        <v>826</v>
      </c>
      <c r="P3220">
        <v>1.1000000000000001</v>
      </c>
      <c r="Q3220" t="s">
        <v>221</v>
      </c>
    </row>
    <row r="3221" spans="1:17" x14ac:dyDescent="0.25">
      <c r="A3221" t="s">
        <v>1060</v>
      </c>
      <c r="B3221" t="s">
        <v>1061</v>
      </c>
      <c r="C3221" t="s">
        <v>175</v>
      </c>
      <c r="D3221" t="s">
        <v>774</v>
      </c>
      <c r="E3221" t="s">
        <v>775</v>
      </c>
      <c r="F3221">
        <v>3</v>
      </c>
      <c r="G3221" t="s">
        <v>182</v>
      </c>
      <c r="H3221">
        <v>0</v>
      </c>
      <c r="I3221">
        <v>0</v>
      </c>
      <c r="J3221" s="10">
        <v>0</v>
      </c>
      <c r="K3221" s="10">
        <f>SUMIFS(F:F,D:D,DST_123_ÜRETİM_İHTİYAÇ_RAPORU_BURAK_YENI1309[[#This Row],[ALT_KOD]])-(SUMIFS(H:H,D:D,DST_123_ÜRETİM_İHTİYAÇ_RAPORU_BURAK_YENI1309[[#This Row],[ALT_KOD]])+AVERAGEIFS(I:I,D:D,DST_123_ÜRETİM_İHTİYAÇ_RAPORU_BURAK_YENI1309[[#This Row],[ALT_KOD]])+AVERAGEIFS(L:L,D:D,DST_123_ÜRETİM_İHTİYAÇ_RAPORU_BURAK_YENI1309[[#This Row],[ALT_KOD]]))</f>
        <v>24</v>
      </c>
      <c r="L3221">
        <v>0</v>
      </c>
      <c r="M3221">
        <f>IF((DST_123_ÜRETİM_İHTİYAÇ_RAPORU_BURAK_YENI1309[[#This Row],[SATINALMA]]*DST_123_ÜRETİM_İHTİYAÇ_RAPORU_BURAK_YENI1309[[#This Row],[BIRIM_FIYATLAR]])&lt;1,VALUE("0"),DST_123_ÜRETİM_İHTİYAÇ_RAPORU_BURAK_YENI1309[[#This Row],[SATINALMA]]*DST_123_ÜRETİM_İHTİYAÇ_RAPORU_BURAK_YENI1309[[#This Row],[BIRIM_FIYATLAR]])</f>
        <v>14751.119999999999</v>
      </c>
      <c r="N3221">
        <v>614.63</v>
      </c>
      <c r="O3221" t="s">
        <v>253</v>
      </c>
      <c r="P3221">
        <v>1843.8899999999999</v>
      </c>
      <c r="Q3221" t="s">
        <v>657</v>
      </c>
    </row>
    <row r="3222" spans="1:17" x14ac:dyDescent="0.25">
      <c r="A3222" t="s">
        <v>1060</v>
      </c>
      <c r="B3222" t="s">
        <v>1061</v>
      </c>
      <c r="C3222" t="s">
        <v>175</v>
      </c>
      <c r="D3222" t="s">
        <v>595</v>
      </c>
      <c r="E3222" t="s">
        <v>596</v>
      </c>
      <c r="F3222">
        <v>1</v>
      </c>
      <c r="G3222" t="s">
        <v>176</v>
      </c>
      <c r="H3222">
        <v>0</v>
      </c>
      <c r="I3222">
        <v>18</v>
      </c>
      <c r="J3222" s="10">
        <v>3</v>
      </c>
      <c r="K3222" s="10">
        <f>SUMIFS(F:F,D:D,DST_123_ÜRETİM_İHTİYAÇ_RAPORU_BURAK_YENI1309[[#This Row],[ALT_KOD]])-(SUMIFS(H:H,D:D,DST_123_ÜRETİM_İHTİYAÇ_RAPORU_BURAK_YENI1309[[#This Row],[ALT_KOD]])+AVERAGEIFS(I:I,D:D,DST_123_ÜRETİM_İHTİYAÇ_RAPORU_BURAK_YENI1309[[#This Row],[ALT_KOD]])+AVERAGEIFS(L:L,D:D,DST_123_ÜRETİM_İHTİYAÇ_RAPORU_BURAK_YENI1309[[#This Row],[ALT_KOD]]))</f>
        <v>-1</v>
      </c>
      <c r="L3222">
        <v>0</v>
      </c>
      <c r="M3222">
        <f>IF((DST_123_ÜRETİM_İHTİYAÇ_RAPORU_BURAK_YENI1309[[#This Row],[SATINALMA]]*DST_123_ÜRETİM_İHTİYAÇ_RAPORU_BURAK_YENI1309[[#This Row],[BIRIM_FIYATLAR]])&lt;1,VALUE("0"),DST_123_ÜRETİM_İHTİYAÇ_RAPORU_BURAK_YENI1309[[#This Row],[SATINALMA]]*DST_123_ÜRETİM_İHTİYAÇ_RAPORU_BURAK_YENI1309[[#This Row],[BIRIM_FIYATLAR]])</f>
        <v>0</v>
      </c>
      <c r="N3222">
        <v>4852.33</v>
      </c>
      <c r="O3222" t="s">
        <v>636</v>
      </c>
      <c r="P3222">
        <v>4852.33</v>
      </c>
      <c r="Q3222" t="s">
        <v>177</v>
      </c>
    </row>
    <row r="3223" spans="1:17" x14ac:dyDescent="0.25">
      <c r="A3223" t="s">
        <v>1148</v>
      </c>
      <c r="B3223" t="s">
        <v>1056</v>
      </c>
      <c r="C3223" t="s">
        <v>175</v>
      </c>
      <c r="D3223" t="s">
        <v>1121</v>
      </c>
      <c r="E3223" t="s">
        <v>1122</v>
      </c>
      <c r="F3223">
        <v>0.2</v>
      </c>
      <c r="G3223" t="s">
        <v>185</v>
      </c>
      <c r="H3223">
        <v>0</v>
      </c>
      <c r="I3223">
        <v>0</v>
      </c>
      <c r="J3223" s="10">
        <v>0</v>
      </c>
      <c r="K3223" s="10">
        <f>SUMIFS(F:F,D:D,DST_123_ÜRETİM_İHTİYAÇ_RAPORU_BURAK_YENI1309[[#This Row],[ALT_KOD]])-(SUMIFS(H:H,D:D,DST_123_ÜRETİM_İHTİYAÇ_RAPORU_BURAK_YENI1309[[#This Row],[ALT_KOD]])+AVERAGEIFS(I:I,D:D,DST_123_ÜRETİM_İHTİYAÇ_RAPORU_BURAK_YENI1309[[#This Row],[ALT_KOD]])+AVERAGEIFS(L:L,D:D,DST_123_ÜRETİM_İHTİYAÇ_RAPORU_BURAK_YENI1309[[#This Row],[ALT_KOD]]))</f>
        <v>0.60000000000000009</v>
      </c>
      <c r="L3223">
        <v>0</v>
      </c>
      <c r="M3223">
        <f>IF((DST_123_ÜRETİM_İHTİYAÇ_RAPORU_BURAK_YENI1309[[#This Row],[SATINALMA]]*DST_123_ÜRETİM_İHTİYAÇ_RAPORU_BURAK_YENI1309[[#This Row],[BIRIM_FIYATLAR]])&lt;1,VALUE("0"),DST_123_ÜRETİM_İHTİYAÇ_RAPORU_BURAK_YENI1309[[#This Row],[SATINALMA]]*DST_123_ÜRETİM_İHTİYAÇ_RAPORU_BURAK_YENI1309[[#This Row],[BIRIM_FIYATLAR]])</f>
        <v>126.49200000000002</v>
      </c>
      <c r="N3223">
        <v>210.82</v>
      </c>
      <c r="O3223" t="s">
        <v>490</v>
      </c>
      <c r="P3223">
        <v>42.164000000000001</v>
      </c>
      <c r="Q3223" t="s">
        <v>183</v>
      </c>
    </row>
    <row r="3224" spans="1:17" x14ac:dyDescent="0.25">
      <c r="A3224" t="s">
        <v>1150</v>
      </c>
      <c r="B3224" t="s">
        <v>1145</v>
      </c>
      <c r="C3224" t="s">
        <v>175</v>
      </c>
      <c r="D3224" t="s">
        <v>595</v>
      </c>
      <c r="E3224" t="s">
        <v>596</v>
      </c>
      <c r="F3224">
        <v>1</v>
      </c>
      <c r="G3224" t="s">
        <v>176</v>
      </c>
      <c r="H3224">
        <v>0</v>
      </c>
      <c r="I3224">
        <v>18</v>
      </c>
      <c r="J3224" s="10">
        <v>3</v>
      </c>
      <c r="K3224" s="10">
        <f>SUMIFS(F:F,D:D,DST_123_ÜRETİM_İHTİYAÇ_RAPORU_BURAK_YENI1309[[#This Row],[ALT_KOD]])-(SUMIFS(H:H,D:D,DST_123_ÜRETİM_İHTİYAÇ_RAPORU_BURAK_YENI1309[[#This Row],[ALT_KOD]])+AVERAGEIFS(I:I,D:D,DST_123_ÜRETİM_İHTİYAÇ_RAPORU_BURAK_YENI1309[[#This Row],[ALT_KOD]])+AVERAGEIFS(L:L,D:D,DST_123_ÜRETİM_İHTİYAÇ_RAPORU_BURAK_YENI1309[[#This Row],[ALT_KOD]]))</f>
        <v>-1</v>
      </c>
      <c r="L3224">
        <v>0</v>
      </c>
      <c r="M3224">
        <f>IF((DST_123_ÜRETİM_İHTİYAÇ_RAPORU_BURAK_YENI1309[[#This Row],[SATINALMA]]*DST_123_ÜRETİM_İHTİYAÇ_RAPORU_BURAK_YENI1309[[#This Row],[BIRIM_FIYATLAR]])&lt;1,VALUE("0"),DST_123_ÜRETİM_İHTİYAÇ_RAPORU_BURAK_YENI1309[[#This Row],[SATINALMA]]*DST_123_ÜRETİM_İHTİYAÇ_RAPORU_BURAK_YENI1309[[#This Row],[BIRIM_FIYATLAR]])</f>
        <v>0</v>
      </c>
      <c r="N3224">
        <v>4852.33</v>
      </c>
      <c r="O3224" t="s">
        <v>636</v>
      </c>
      <c r="P3224">
        <v>4852.33</v>
      </c>
      <c r="Q3224" t="s">
        <v>177</v>
      </c>
    </row>
    <row r="3225" spans="1:17" x14ac:dyDescent="0.25">
      <c r="A3225" t="s">
        <v>1099</v>
      </c>
      <c r="B3225" t="s">
        <v>1055</v>
      </c>
      <c r="C3225" t="s">
        <v>175</v>
      </c>
      <c r="D3225" t="s">
        <v>660</v>
      </c>
      <c r="E3225" t="s">
        <v>661</v>
      </c>
      <c r="F3225">
        <v>1</v>
      </c>
      <c r="G3225" t="s">
        <v>185</v>
      </c>
      <c r="H3225">
        <v>0</v>
      </c>
      <c r="I3225">
        <v>0</v>
      </c>
      <c r="J3225" s="10">
        <v>0</v>
      </c>
      <c r="K3225" s="10">
        <f>SUMIFS(F:F,D:D,DST_123_ÜRETİM_İHTİYAÇ_RAPORU_BURAK_YENI1309[[#This Row],[ALT_KOD]])-(SUMIFS(H:H,D:D,DST_123_ÜRETİM_İHTİYAÇ_RAPORU_BURAK_YENI1309[[#This Row],[ALT_KOD]])+AVERAGEIFS(I:I,D:D,DST_123_ÜRETİM_İHTİYAÇ_RAPORU_BURAK_YENI1309[[#This Row],[ALT_KOD]])+AVERAGEIFS(L:L,D:D,DST_123_ÜRETİM_İHTİYAÇ_RAPORU_BURAK_YENI1309[[#This Row],[ALT_KOD]]))</f>
        <v>19</v>
      </c>
      <c r="L3225">
        <v>0</v>
      </c>
      <c r="M3225">
        <f>IF((DST_123_ÜRETİM_İHTİYAÇ_RAPORU_BURAK_YENI1309[[#This Row],[SATINALMA]]*DST_123_ÜRETİM_İHTİYAÇ_RAPORU_BURAK_YENI1309[[#This Row],[BIRIM_FIYATLAR]])&lt;1,VALUE("0"),DST_123_ÜRETİM_İHTİYAÇ_RAPORU_BURAK_YENI1309[[#This Row],[SATINALMA]]*DST_123_ÜRETİM_İHTİYAÇ_RAPORU_BURAK_YENI1309[[#This Row],[BIRIM_FIYATLAR]])</f>
        <v>1538.6200000000001</v>
      </c>
      <c r="N3225">
        <v>80.98</v>
      </c>
      <c r="O3225" t="s">
        <v>223</v>
      </c>
      <c r="P3225">
        <v>80.98</v>
      </c>
      <c r="Q3225" t="s">
        <v>183</v>
      </c>
    </row>
    <row r="3226" spans="1:17" x14ac:dyDescent="0.25">
      <c r="A3226" t="s">
        <v>1060</v>
      </c>
      <c r="B3226" t="s">
        <v>1061</v>
      </c>
      <c r="C3226" t="s">
        <v>175</v>
      </c>
      <c r="D3226" t="s">
        <v>329</v>
      </c>
      <c r="E3226" t="s">
        <v>330</v>
      </c>
      <c r="F3226">
        <v>6</v>
      </c>
      <c r="G3226" t="s">
        <v>176</v>
      </c>
      <c r="H3226">
        <v>0</v>
      </c>
      <c r="I3226">
        <v>118</v>
      </c>
      <c r="J3226" s="10">
        <v>18</v>
      </c>
      <c r="K3226" s="10">
        <f>SUMIFS(F:F,D:D,DST_123_ÜRETİM_İHTİYAÇ_RAPORU_BURAK_YENI1309[[#This Row],[ALT_KOD]])-(SUMIFS(H:H,D:D,DST_123_ÜRETİM_İHTİYAÇ_RAPORU_BURAK_YENI1309[[#This Row],[ALT_KOD]])+AVERAGEIFS(I:I,D:D,DST_123_ÜRETİM_İHTİYAÇ_RAPORU_BURAK_YENI1309[[#This Row],[ALT_KOD]])+AVERAGEIFS(L:L,D:D,DST_123_ÜRETİM_İHTİYAÇ_RAPORU_BURAK_YENI1309[[#This Row],[ALT_KOD]]))</f>
        <v>-11</v>
      </c>
      <c r="L3226">
        <v>0</v>
      </c>
      <c r="M3226">
        <f>IF((DST_123_ÜRETİM_İHTİYAÇ_RAPORU_BURAK_YENI1309[[#This Row],[SATINALMA]]*DST_123_ÜRETİM_İHTİYAÇ_RAPORU_BURAK_YENI1309[[#This Row],[BIRIM_FIYATLAR]])&lt;1,VALUE("0"),DST_123_ÜRETİM_İHTİYAÇ_RAPORU_BURAK_YENI1309[[#This Row],[SATINALMA]]*DST_123_ÜRETİM_İHTİYAÇ_RAPORU_BURAK_YENI1309[[#This Row],[BIRIM_FIYATLAR]])</f>
        <v>0</v>
      </c>
      <c r="N3226">
        <v>14.5</v>
      </c>
      <c r="O3226" t="s">
        <v>240</v>
      </c>
      <c r="P3226">
        <v>87</v>
      </c>
      <c r="Q3226" t="s">
        <v>180</v>
      </c>
    </row>
    <row r="3227" spans="1:17" x14ac:dyDescent="0.25">
      <c r="A3227" t="s">
        <v>1100</v>
      </c>
      <c r="B3227" t="s">
        <v>1058</v>
      </c>
      <c r="C3227" t="s">
        <v>175</v>
      </c>
      <c r="D3227" t="s">
        <v>518</v>
      </c>
      <c r="E3227" t="s">
        <v>519</v>
      </c>
      <c r="F3227">
        <v>3</v>
      </c>
      <c r="G3227" t="s">
        <v>176</v>
      </c>
      <c r="H3227">
        <v>0</v>
      </c>
      <c r="I3227">
        <v>101</v>
      </c>
      <c r="J3227" s="10">
        <v>10.000000000000057</v>
      </c>
      <c r="K3227" s="10">
        <f>SUMIFS(F:F,D:D,DST_123_ÜRETİM_İHTİYAÇ_RAPORU_BURAK_YENI1309[[#This Row],[ALT_KOD]])-(SUMIFS(H:H,D:D,DST_123_ÜRETİM_İHTİYAÇ_RAPORU_BURAK_YENI1309[[#This Row],[ALT_KOD]])+AVERAGEIFS(I:I,D:D,DST_123_ÜRETİM_İHTİYAÇ_RAPORU_BURAK_YENI1309[[#This Row],[ALT_KOD]])+AVERAGEIFS(L:L,D:D,DST_123_ÜRETİM_İHTİYAÇ_RAPORU_BURAK_YENI1309[[#This Row],[ALT_KOD]]))</f>
        <v>-42.539999999999992</v>
      </c>
      <c r="L3227">
        <v>0</v>
      </c>
      <c r="M3227">
        <f>IF((DST_123_ÜRETİM_İHTİYAÇ_RAPORU_BURAK_YENI1309[[#This Row],[SATINALMA]]*DST_123_ÜRETİM_İHTİYAÇ_RAPORU_BURAK_YENI1309[[#This Row],[BIRIM_FIYATLAR]])&lt;1,VALUE("0"),DST_123_ÜRETİM_İHTİYAÇ_RAPORU_BURAK_YENI1309[[#This Row],[SATINALMA]]*DST_123_ÜRETİM_İHTİYAÇ_RAPORU_BURAK_YENI1309[[#This Row],[BIRIM_FIYATLAR]])</f>
        <v>0</v>
      </c>
      <c r="N3227">
        <v>36</v>
      </c>
      <c r="O3227" t="s">
        <v>240</v>
      </c>
      <c r="P3227">
        <v>108</v>
      </c>
      <c r="Q3227" t="s">
        <v>180</v>
      </c>
    </row>
    <row r="3228" spans="1:17" x14ac:dyDescent="0.25">
      <c r="A3228" t="s">
        <v>1100</v>
      </c>
      <c r="B3228" t="s">
        <v>1058</v>
      </c>
      <c r="C3228" t="s">
        <v>175</v>
      </c>
      <c r="D3228" t="s">
        <v>520</v>
      </c>
      <c r="E3228" t="s">
        <v>521</v>
      </c>
      <c r="F3228">
        <v>2</v>
      </c>
      <c r="G3228" t="s">
        <v>176</v>
      </c>
      <c r="H3228">
        <v>0</v>
      </c>
      <c r="I3228">
        <v>200</v>
      </c>
      <c r="J3228" s="10">
        <v>70</v>
      </c>
      <c r="K3228" s="10">
        <f>SUMIFS(F:F,D:D,DST_123_ÜRETİM_İHTİYAÇ_RAPORU_BURAK_YENI1309[[#This Row],[ALT_KOD]])-(SUMIFS(H:H,D:D,DST_123_ÜRETİM_İHTİYAÇ_RAPORU_BURAK_YENI1309[[#This Row],[ALT_KOD]])+AVERAGEIFS(I:I,D:D,DST_123_ÜRETİM_İHTİYAÇ_RAPORU_BURAK_YENI1309[[#This Row],[ALT_KOD]])+AVERAGEIFS(L:L,D:D,DST_123_ÜRETİM_İHTİYAÇ_RAPORU_BURAK_YENI1309[[#This Row],[ALT_KOD]]))</f>
        <v>-165</v>
      </c>
      <c r="L3228">
        <v>0</v>
      </c>
      <c r="M3228">
        <f>IF((DST_123_ÜRETİM_İHTİYAÇ_RAPORU_BURAK_YENI1309[[#This Row],[SATINALMA]]*DST_123_ÜRETİM_İHTİYAÇ_RAPORU_BURAK_YENI1309[[#This Row],[BIRIM_FIYATLAR]])&lt;1,VALUE("0"),DST_123_ÜRETİM_İHTİYAÇ_RAPORU_BURAK_YENI1309[[#This Row],[SATINALMA]]*DST_123_ÜRETİM_İHTİYAÇ_RAPORU_BURAK_YENI1309[[#This Row],[BIRIM_FIYATLAR]])</f>
        <v>0</v>
      </c>
      <c r="N3228">
        <v>10</v>
      </c>
      <c r="O3228" t="s">
        <v>226</v>
      </c>
      <c r="P3228">
        <v>20</v>
      </c>
      <c r="Q3228" t="s">
        <v>180</v>
      </c>
    </row>
    <row r="3229" spans="1:17" x14ac:dyDescent="0.25">
      <c r="A3229" t="s">
        <v>1057</v>
      </c>
      <c r="B3229" t="s">
        <v>1058</v>
      </c>
      <c r="C3229" t="s">
        <v>175</v>
      </c>
      <c r="D3229" t="s">
        <v>520</v>
      </c>
      <c r="E3229" t="s">
        <v>521</v>
      </c>
      <c r="F3229">
        <v>2</v>
      </c>
      <c r="G3229" t="s">
        <v>176</v>
      </c>
      <c r="H3229">
        <v>0</v>
      </c>
      <c r="I3229">
        <v>200</v>
      </c>
      <c r="J3229" s="10">
        <v>70</v>
      </c>
      <c r="K3229" s="10">
        <f>SUMIFS(F:F,D:D,DST_123_ÜRETİM_İHTİYAÇ_RAPORU_BURAK_YENI1309[[#This Row],[ALT_KOD]])-(SUMIFS(H:H,D:D,DST_123_ÜRETİM_İHTİYAÇ_RAPORU_BURAK_YENI1309[[#This Row],[ALT_KOD]])+AVERAGEIFS(I:I,D:D,DST_123_ÜRETİM_İHTİYAÇ_RAPORU_BURAK_YENI1309[[#This Row],[ALT_KOD]])+AVERAGEIFS(L:L,D:D,DST_123_ÜRETİM_İHTİYAÇ_RAPORU_BURAK_YENI1309[[#This Row],[ALT_KOD]]))</f>
        <v>-165</v>
      </c>
      <c r="L3229">
        <v>0</v>
      </c>
      <c r="M3229">
        <f>IF((DST_123_ÜRETİM_İHTİYAÇ_RAPORU_BURAK_YENI1309[[#This Row],[SATINALMA]]*DST_123_ÜRETİM_İHTİYAÇ_RAPORU_BURAK_YENI1309[[#This Row],[BIRIM_FIYATLAR]])&lt;1,VALUE("0"),DST_123_ÜRETİM_İHTİYAÇ_RAPORU_BURAK_YENI1309[[#This Row],[SATINALMA]]*DST_123_ÜRETİM_İHTİYAÇ_RAPORU_BURAK_YENI1309[[#This Row],[BIRIM_FIYATLAR]])</f>
        <v>0</v>
      </c>
      <c r="N3229">
        <v>10</v>
      </c>
      <c r="O3229" t="s">
        <v>226</v>
      </c>
      <c r="P3229">
        <v>20</v>
      </c>
      <c r="Q3229" t="s">
        <v>180</v>
      </c>
    </row>
    <row r="3230" spans="1:17" x14ac:dyDescent="0.25">
      <c r="A3230" t="s">
        <v>1060</v>
      </c>
      <c r="B3230" t="s">
        <v>1061</v>
      </c>
      <c r="C3230" t="s">
        <v>175</v>
      </c>
      <c r="D3230" t="s">
        <v>609</v>
      </c>
      <c r="E3230" t="s">
        <v>610</v>
      </c>
      <c r="F3230">
        <v>1.8</v>
      </c>
      <c r="G3230" t="s">
        <v>176</v>
      </c>
      <c r="H3230">
        <v>0</v>
      </c>
      <c r="I3230">
        <v>0</v>
      </c>
      <c r="J3230" s="10">
        <v>11</v>
      </c>
      <c r="K3230" s="10">
        <f>SUMIFS(F:F,D:D,DST_123_ÜRETİM_İHTİYAÇ_RAPORU_BURAK_YENI1309[[#This Row],[ALT_KOD]])-(SUMIFS(H:H,D:D,DST_123_ÜRETİM_İHTİYAÇ_RAPORU_BURAK_YENI1309[[#This Row],[ALT_KOD]])+AVERAGEIFS(I:I,D:D,DST_123_ÜRETİM_İHTİYAÇ_RAPORU_BURAK_YENI1309[[#This Row],[ALT_KOD]])+AVERAGEIFS(L:L,D:D,DST_123_ÜRETİM_İHTİYAÇ_RAPORU_BURAK_YENI1309[[#This Row],[ALT_KOD]]))</f>
        <v>20.000000000000007</v>
      </c>
      <c r="L3230">
        <v>4</v>
      </c>
      <c r="M3230">
        <f>IF((DST_123_ÜRETİM_İHTİYAÇ_RAPORU_BURAK_YENI1309[[#This Row],[SATINALMA]]*DST_123_ÜRETİM_İHTİYAÇ_RAPORU_BURAK_YENI1309[[#This Row],[BIRIM_FIYATLAR]])&lt;1,VALUE("0"),DST_123_ÜRETİM_İHTİYAÇ_RAPORU_BURAK_YENI1309[[#This Row],[SATINALMA]]*DST_123_ÜRETİM_İHTİYAÇ_RAPORU_BURAK_YENI1309[[#This Row],[BIRIM_FIYATLAR]])</f>
        <v>36666.600000000013</v>
      </c>
      <c r="N3230">
        <v>1833.33</v>
      </c>
      <c r="O3230" t="s">
        <v>223</v>
      </c>
      <c r="P3230">
        <v>3299.9940000000001</v>
      </c>
      <c r="Q3230" t="s">
        <v>181</v>
      </c>
    </row>
    <row r="3231" spans="1:17" x14ac:dyDescent="0.25">
      <c r="A3231" t="s">
        <v>1147</v>
      </c>
      <c r="B3231" t="s">
        <v>1145</v>
      </c>
      <c r="C3231" t="s">
        <v>175</v>
      </c>
      <c r="D3231" t="s">
        <v>609</v>
      </c>
      <c r="E3231" t="s">
        <v>610</v>
      </c>
      <c r="F3231">
        <v>2.8</v>
      </c>
      <c r="G3231" t="s">
        <v>176</v>
      </c>
      <c r="H3231">
        <v>0</v>
      </c>
      <c r="I3231">
        <v>0</v>
      </c>
      <c r="J3231" s="10">
        <v>11</v>
      </c>
      <c r="K3231" s="10">
        <f>SUMIFS(F:F,D:D,DST_123_ÜRETİM_İHTİYAÇ_RAPORU_BURAK_YENI1309[[#This Row],[ALT_KOD]])-(SUMIFS(H:H,D:D,DST_123_ÜRETİM_İHTİYAÇ_RAPORU_BURAK_YENI1309[[#This Row],[ALT_KOD]])+AVERAGEIFS(I:I,D:D,DST_123_ÜRETİM_İHTİYAÇ_RAPORU_BURAK_YENI1309[[#This Row],[ALT_KOD]])+AVERAGEIFS(L:L,D:D,DST_123_ÜRETİM_İHTİYAÇ_RAPORU_BURAK_YENI1309[[#This Row],[ALT_KOD]]))</f>
        <v>20.000000000000007</v>
      </c>
      <c r="L3231">
        <v>4</v>
      </c>
      <c r="M3231">
        <f>IF((DST_123_ÜRETİM_İHTİYAÇ_RAPORU_BURAK_YENI1309[[#This Row],[SATINALMA]]*DST_123_ÜRETİM_İHTİYAÇ_RAPORU_BURAK_YENI1309[[#This Row],[BIRIM_FIYATLAR]])&lt;1,VALUE("0"),DST_123_ÜRETİM_İHTİYAÇ_RAPORU_BURAK_YENI1309[[#This Row],[SATINALMA]]*DST_123_ÜRETİM_İHTİYAÇ_RAPORU_BURAK_YENI1309[[#This Row],[BIRIM_FIYATLAR]])</f>
        <v>36666.600000000013</v>
      </c>
      <c r="N3231">
        <v>1833.33</v>
      </c>
      <c r="O3231" t="s">
        <v>223</v>
      </c>
      <c r="P3231">
        <v>5133.3239999999996</v>
      </c>
      <c r="Q3231" t="s">
        <v>181</v>
      </c>
    </row>
    <row r="3232" spans="1:17" x14ac:dyDescent="0.25">
      <c r="A3232" t="s">
        <v>1060</v>
      </c>
      <c r="B3232" t="s">
        <v>1061</v>
      </c>
      <c r="C3232" t="s">
        <v>175</v>
      </c>
      <c r="D3232" t="s">
        <v>460</v>
      </c>
      <c r="E3232" t="s">
        <v>461</v>
      </c>
      <c r="F3232">
        <v>1.5</v>
      </c>
      <c r="G3232" t="s">
        <v>176</v>
      </c>
      <c r="H3232">
        <v>0</v>
      </c>
      <c r="I3232">
        <v>48</v>
      </c>
      <c r="J3232" s="10">
        <v>26</v>
      </c>
      <c r="K3232" s="10">
        <f>SUMIFS(F:F,D:D,DST_123_ÜRETİM_İHTİYAÇ_RAPORU_BURAK_YENI1309[[#This Row],[ALT_KOD]])-(SUMIFS(H:H,D:D,DST_123_ÜRETİM_İHTİYAÇ_RAPORU_BURAK_YENI1309[[#This Row],[ALT_KOD]])+AVERAGEIFS(I:I,D:D,DST_123_ÜRETİM_İHTİYAÇ_RAPORU_BURAK_YENI1309[[#This Row],[ALT_KOD]])+AVERAGEIFS(L:L,D:D,DST_123_ÜRETİM_İHTİYAÇ_RAPORU_BURAK_YENI1309[[#This Row],[ALT_KOD]]))</f>
        <v>-19.5</v>
      </c>
      <c r="L3232">
        <v>0</v>
      </c>
      <c r="M3232">
        <f>IF((DST_123_ÜRETİM_İHTİYAÇ_RAPORU_BURAK_YENI1309[[#This Row],[SATINALMA]]*DST_123_ÜRETİM_İHTİYAÇ_RAPORU_BURAK_YENI1309[[#This Row],[BIRIM_FIYATLAR]])&lt;1,VALUE("0"),DST_123_ÜRETİM_İHTİYAÇ_RAPORU_BURAK_YENI1309[[#This Row],[SATINALMA]]*DST_123_ÜRETİM_İHTİYAÇ_RAPORU_BURAK_YENI1309[[#This Row],[BIRIM_FIYATLAR]])</f>
        <v>0</v>
      </c>
      <c r="N3232">
        <v>5</v>
      </c>
      <c r="O3232" t="s">
        <v>240</v>
      </c>
      <c r="P3232">
        <v>7.5</v>
      </c>
      <c r="Q3232" t="s">
        <v>180</v>
      </c>
    </row>
    <row r="3233" spans="1:17" x14ac:dyDescent="0.25">
      <c r="A3233" t="s">
        <v>1147</v>
      </c>
      <c r="B3233" t="s">
        <v>1145</v>
      </c>
      <c r="C3233" t="s">
        <v>175</v>
      </c>
      <c r="D3233" t="s">
        <v>460</v>
      </c>
      <c r="E3233" t="s">
        <v>461</v>
      </c>
      <c r="F3233">
        <v>1.5</v>
      </c>
      <c r="G3233" t="s">
        <v>176</v>
      </c>
      <c r="H3233">
        <v>0</v>
      </c>
      <c r="I3233">
        <v>48</v>
      </c>
      <c r="J3233" s="10">
        <v>26</v>
      </c>
      <c r="K3233" s="10">
        <f>SUMIFS(F:F,D:D,DST_123_ÜRETİM_İHTİYAÇ_RAPORU_BURAK_YENI1309[[#This Row],[ALT_KOD]])-(SUMIFS(H:H,D:D,DST_123_ÜRETİM_İHTİYAÇ_RAPORU_BURAK_YENI1309[[#This Row],[ALT_KOD]])+AVERAGEIFS(I:I,D:D,DST_123_ÜRETİM_İHTİYAÇ_RAPORU_BURAK_YENI1309[[#This Row],[ALT_KOD]])+AVERAGEIFS(L:L,D:D,DST_123_ÜRETİM_İHTİYAÇ_RAPORU_BURAK_YENI1309[[#This Row],[ALT_KOD]]))</f>
        <v>-19.5</v>
      </c>
      <c r="L3233">
        <v>0</v>
      </c>
      <c r="M3233">
        <f>IF((DST_123_ÜRETİM_İHTİYAÇ_RAPORU_BURAK_YENI1309[[#This Row],[SATINALMA]]*DST_123_ÜRETİM_İHTİYAÇ_RAPORU_BURAK_YENI1309[[#This Row],[BIRIM_FIYATLAR]])&lt;1,VALUE("0"),DST_123_ÜRETİM_İHTİYAÇ_RAPORU_BURAK_YENI1309[[#This Row],[SATINALMA]]*DST_123_ÜRETİM_İHTİYAÇ_RAPORU_BURAK_YENI1309[[#This Row],[BIRIM_FIYATLAR]])</f>
        <v>0</v>
      </c>
      <c r="N3233">
        <v>5</v>
      </c>
      <c r="O3233" t="s">
        <v>240</v>
      </c>
      <c r="P3233">
        <v>7.5</v>
      </c>
      <c r="Q3233" t="s">
        <v>180</v>
      </c>
    </row>
    <row r="3234" spans="1:17" x14ac:dyDescent="0.25">
      <c r="A3234" t="s">
        <v>1100</v>
      </c>
      <c r="B3234" t="s">
        <v>1058</v>
      </c>
      <c r="C3234" t="s">
        <v>175</v>
      </c>
      <c r="D3234" t="s">
        <v>460</v>
      </c>
      <c r="E3234" t="s">
        <v>461</v>
      </c>
      <c r="F3234">
        <v>1.5</v>
      </c>
      <c r="G3234" t="s">
        <v>176</v>
      </c>
      <c r="H3234">
        <v>0</v>
      </c>
      <c r="I3234">
        <v>48</v>
      </c>
      <c r="J3234" s="10">
        <v>26</v>
      </c>
      <c r="K3234" s="10">
        <f>SUMIFS(F:F,D:D,DST_123_ÜRETİM_İHTİYAÇ_RAPORU_BURAK_YENI1309[[#This Row],[ALT_KOD]])-(SUMIFS(H:H,D:D,DST_123_ÜRETİM_İHTİYAÇ_RAPORU_BURAK_YENI1309[[#This Row],[ALT_KOD]])+AVERAGEIFS(I:I,D:D,DST_123_ÜRETİM_İHTİYAÇ_RAPORU_BURAK_YENI1309[[#This Row],[ALT_KOD]])+AVERAGEIFS(L:L,D:D,DST_123_ÜRETİM_İHTİYAÇ_RAPORU_BURAK_YENI1309[[#This Row],[ALT_KOD]]))</f>
        <v>-19.5</v>
      </c>
      <c r="L3234">
        <v>0</v>
      </c>
      <c r="M3234">
        <f>IF((DST_123_ÜRETİM_İHTİYAÇ_RAPORU_BURAK_YENI1309[[#This Row],[SATINALMA]]*DST_123_ÜRETİM_İHTİYAÇ_RAPORU_BURAK_YENI1309[[#This Row],[BIRIM_FIYATLAR]])&lt;1,VALUE("0"),DST_123_ÜRETİM_İHTİYAÇ_RAPORU_BURAK_YENI1309[[#This Row],[SATINALMA]]*DST_123_ÜRETİM_İHTİYAÇ_RAPORU_BURAK_YENI1309[[#This Row],[BIRIM_FIYATLAR]])</f>
        <v>0</v>
      </c>
      <c r="N3234">
        <v>5</v>
      </c>
      <c r="O3234" t="s">
        <v>240</v>
      </c>
      <c r="P3234">
        <v>7.5</v>
      </c>
      <c r="Q3234" t="s">
        <v>180</v>
      </c>
    </row>
    <row r="3235" spans="1:17" x14ac:dyDescent="0.25">
      <c r="A3235" t="s">
        <v>1060</v>
      </c>
      <c r="B3235" t="s">
        <v>1061</v>
      </c>
      <c r="C3235" t="s">
        <v>175</v>
      </c>
      <c r="D3235" t="s">
        <v>660</v>
      </c>
      <c r="E3235" t="s">
        <v>661</v>
      </c>
      <c r="F3235">
        <v>1</v>
      </c>
      <c r="G3235" t="s">
        <v>185</v>
      </c>
      <c r="H3235">
        <v>0</v>
      </c>
      <c r="I3235">
        <v>0</v>
      </c>
      <c r="J3235" s="10">
        <v>0</v>
      </c>
      <c r="K3235" s="10">
        <f>SUMIFS(F:F,D:D,DST_123_ÜRETİM_İHTİYAÇ_RAPORU_BURAK_YENI1309[[#This Row],[ALT_KOD]])-(SUMIFS(H:H,D:D,DST_123_ÜRETİM_İHTİYAÇ_RAPORU_BURAK_YENI1309[[#This Row],[ALT_KOD]])+AVERAGEIFS(I:I,D:D,DST_123_ÜRETİM_İHTİYAÇ_RAPORU_BURAK_YENI1309[[#This Row],[ALT_KOD]])+AVERAGEIFS(L:L,D:D,DST_123_ÜRETİM_İHTİYAÇ_RAPORU_BURAK_YENI1309[[#This Row],[ALT_KOD]]))</f>
        <v>19</v>
      </c>
      <c r="L3235">
        <v>0</v>
      </c>
      <c r="M3235">
        <f>IF((DST_123_ÜRETİM_İHTİYAÇ_RAPORU_BURAK_YENI1309[[#This Row],[SATINALMA]]*DST_123_ÜRETİM_İHTİYAÇ_RAPORU_BURAK_YENI1309[[#This Row],[BIRIM_FIYATLAR]])&lt;1,VALUE("0"),DST_123_ÜRETİM_İHTİYAÇ_RAPORU_BURAK_YENI1309[[#This Row],[SATINALMA]]*DST_123_ÜRETİM_İHTİYAÇ_RAPORU_BURAK_YENI1309[[#This Row],[BIRIM_FIYATLAR]])</f>
        <v>1538.6200000000001</v>
      </c>
      <c r="N3235">
        <v>80.98</v>
      </c>
      <c r="O3235" t="s">
        <v>223</v>
      </c>
      <c r="P3235">
        <v>80.98</v>
      </c>
      <c r="Q3235" t="s">
        <v>183</v>
      </c>
    </row>
    <row r="3236" spans="1:17" x14ac:dyDescent="0.25">
      <c r="A3236" t="s">
        <v>1057</v>
      </c>
      <c r="B3236" t="s">
        <v>1058</v>
      </c>
      <c r="C3236" t="s">
        <v>175</v>
      </c>
      <c r="D3236" t="s">
        <v>660</v>
      </c>
      <c r="E3236" t="s">
        <v>661</v>
      </c>
      <c r="F3236">
        <v>1</v>
      </c>
      <c r="G3236" t="s">
        <v>185</v>
      </c>
      <c r="H3236">
        <v>0</v>
      </c>
      <c r="I3236">
        <v>0</v>
      </c>
      <c r="J3236" s="10">
        <v>0</v>
      </c>
      <c r="K3236" s="10">
        <f>SUMIFS(F:F,D:D,DST_123_ÜRETİM_İHTİYAÇ_RAPORU_BURAK_YENI1309[[#This Row],[ALT_KOD]])-(SUMIFS(H:H,D:D,DST_123_ÜRETİM_İHTİYAÇ_RAPORU_BURAK_YENI1309[[#This Row],[ALT_KOD]])+AVERAGEIFS(I:I,D:D,DST_123_ÜRETİM_İHTİYAÇ_RAPORU_BURAK_YENI1309[[#This Row],[ALT_KOD]])+AVERAGEIFS(L:L,D:D,DST_123_ÜRETİM_İHTİYAÇ_RAPORU_BURAK_YENI1309[[#This Row],[ALT_KOD]]))</f>
        <v>19</v>
      </c>
      <c r="L3236">
        <v>0</v>
      </c>
      <c r="M3236">
        <f>IF((DST_123_ÜRETİM_İHTİYAÇ_RAPORU_BURAK_YENI1309[[#This Row],[SATINALMA]]*DST_123_ÜRETİM_İHTİYAÇ_RAPORU_BURAK_YENI1309[[#This Row],[BIRIM_FIYATLAR]])&lt;1,VALUE("0"),DST_123_ÜRETİM_İHTİYAÇ_RAPORU_BURAK_YENI1309[[#This Row],[SATINALMA]]*DST_123_ÜRETİM_İHTİYAÇ_RAPORU_BURAK_YENI1309[[#This Row],[BIRIM_FIYATLAR]])</f>
        <v>1538.6200000000001</v>
      </c>
      <c r="N3236">
        <v>80.98</v>
      </c>
      <c r="O3236" t="s">
        <v>223</v>
      </c>
      <c r="P3236">
        <v>80.98</v>
      </c>
      <c r="Q3236" t="s">
        <v>183</v>
      </c>
    </row>
    <row r="3237" spans="1:17" x14ac:dyDescent="0.25">
      <c r="A3237" t="s">
        <v>1100</v>
      </c>
      <c r="B3237" t="s">
        <v>1058</v>
      </c>
      <c r="C3237" t="s">
        <v>175</v>
      </c>
      <c r="D3237" t="s">
        <v>660</v>
      </c>
      <c r="E3237" t="s">
        <v>661</v>
      </c>
      <c r="F3237">
        <v>1</v>
      </c>
      <c r="G3237" t="s">
        <v>185</v>
      </c>
      <c r="H3237">
        <v>0</v>
      </c>
      <c r="I3237">
        <v>0</v>
      </c>
      <c r="J3237" s="10">
        <v>0</v>
      </c>
      <c r="K3237" s="10">
        <f>SUMIFS(F:F,D:D,DST_123_ÜRETİM_İHTİYAÇ_RAPORU_BURAK_YENI1309[[#This Row],[ALT_KOD]])-(SUMIFS(H:H,D:D,DST_123_ÜRETİM_İHTİYAÇ_RAPORU_BURAK_YENI1309[[#This Row],[ALT_KOD]])+AVERAGEIFS(I:I,D:D,DST_123_ÜRETİM_İHTİYAÇ_RAPORU_BURAK_YENI1309[[#This Row],[ALT_KOD]])+AVERAGEIFS(L:L,D:D,DST_123_ÜRETİM_İHTİYAÇ_RAPORU_BURAK_YENI1309[[#This Row],[ALT_KOD]]))</f>
        <v>19</v>
      </c>
      <c r="L3237">
        <v>0</v>
      </c>
      <c r="M3237">
        <f>IF((DST_123_ÜRETİM_İHTİYAÇ_RAPORU_BURAK_YENI1309[[#This Row],[SATINALMA]]*DST_123_ÜRETİM_İHTİYAÇ_RAPORU_BURAK_YENI1309[[#This Row],[BIRIM_FIYATLAR]])&lt;1,VALUE("0"),DST_123_ÜRETİM_İHTİYAÇ_RAPORU_BURAK_YENI1309[[#This Row],[SATINALMA]]*DST_123_ÜRETİM_İHTİYAÇ_RAPORU_BURAK_YENI1309[[#This Row],[BIRIM_FIYATLAR]])</f>
        <v>1538.6200000000001</v>
      </c>
      <c r="N3237">
        <v>80.98</v>
      </c>
      <c r="O3237" t="s">
        <v>223</v>
      </c>
      <c r="P3237">
        <v>80.98</v>
      </c>
      <c r="Q3237" t="s">
        <v>183</v>
      </c>
    </row>
    <row r="3238" spans="1:17" x14ac:dyDescent="0.25">
      <c r="A3238" t="s">
        <v>1148</v>
      </c>
      <c r="B3238" t="s">
        <v>1056</v>
      </c>
      <c r="C3238" t="s">
        <v>175</v>
      </c>
      <c r="D3238" t="s">
        <v>660</v>
      </c>
      <c r="E3238" t="s">
        <v>661</v>
      </c>
      <c r="F3238">
        <v>1</v>
      </c>
      <c r="G3238" t="s">
        <v>185</v>
      </c>
      <c r="H3238">
        <v>0</v>
      </c>
      <c r="I3238">
        <v>0</v>
      </c>
      <c r="J3238" s="10">
        <v>0</v>
      </c>
      <c r="K3238" s="10">
        <f>SUMIFS(F:F,D:D,DST_123_ÜRETİM_İHTİYAÇ_RAPORU_BURAK_YENI1309[[#This Row],[ALT_KOD]])-(SUMIFS(H:H,D:D,DST_123_ÜRETİM_İHTİYAÇ_RAPORU_BURAK_YENI1309[[#This Row],[ALT_KOD]])+AVERAGEIFS(I:I,D:D,DST_123_ÜRETİM_İHTİYAÇ_RAPORU_BURAK_YENI1309[[#This Row],[ALT_KOD]])+AVERAGEIFS(L:L,D:D,DST_123_ÜRETİM_İHTİYAÇ_RAPORU_BURAK_YENI1309[[#This Row],[ALT_KOD]]))</f>
        <v>19</v>
      </c>
      <c r="L3238">
        <v>0</v>
      </c>
      <c r="M3238">
        <f>IF((DST_123_ÜRETİM_İHTİYAÇ_RAPORU_BURAK_YENI1309[[#This Row],[SATINALMA]]*DST_123_ÜRETİM_İHTİYAÇ_RAPORU_BURAK_YENI1309[[#This Row],[BIRIM_FIYATLAR]])&lt;1,VALUE("0"),DST_123_ÜRETİM_İHTİYAÇ_RAPORU_BURAK_YENI1309[[#This Row],[SATINALMA]]*DST_123_ÜRETİM_İHTİYAÇ_RAPORU_BURAK_YENI1309[[#This Row],[BIRIM_FIYATLAR]])</f>
        <v>1538.6200000000001</v>
      </c>
      <c r="N3238">
        <v>80.98</v>
      </c>
      <c r="O3238" t="s">
        <v>223</v>
      </c>
      <c r="P3238">
        <v>80.98</v>
      </c>
      <c r="Q3238" t="s">
        <v>183</v>
      </c>
    </row>
    <row r="3239" spans="1:17" x14ac:dyDescent="0.25">
      <c r="A3239" t="s">
        <v>1150</v>
      </c>
      <c r="B3239" t="s">
        <v>1145</v>
      </c>
      <c r="C3239" t="s">
        <v>175</v>
      </c>
      <c r="D3239" t="s">
        <v>460</v>
      </c>
      <c r="E3239" t="s">
        <v>461</v>
      </c>
      <c r="F3239">
        <v>1.5</v>
      </c>
      <c r="G3239" t="s">
        <v>176</v>
      </c>
      <c r="H3239">
        <v>0</v>
      </c>
      <c r="I3239">
        <v>48</v>
      </c>
      <c r="J3239" s="10">
        <v>26</v>
      </c>
      <c r="K3239" s="10">
        <f>SUMIFS(F:F,D:D,DST_123_ÜRETİM_İHTİYAÇ_RAPORU_BURAK_YENI1309[[#This Row],[ALT_KOD]])-(SUMIFS(H:H,D:D,DST_123_ÜRETİM_İHTİYAÇ_RAPORU_BURAK_YENI1309[[#This Row],[ALT_KOD]])+AVERAGEIFS(I:I,D:D,DST_123_ÜRETİM_İHTİYAÇ_RAPORU_BURAK_YENI1309[[#This Row],[ALT_KOD]])+AVERAGEIFS(L:L,D:D,DST_123_ÜRETİM_İHTİYAÇ_RAPORU_BURAK_YENI1309[[#This Row],[ALT_KOD]]))</f>
        <v>-19.5</v>
      </c>
      <c r="L3239">
        <v>0</v>
      </c>
      <c r="M3239">
        <f>IF((DST_123_ÜRETİM_İHTİYAÇ_RAPORU_BURAK_YENI1309[[#This Row],[SATINALMA]]*DST_123_ÜRETİM_İHTİYAÇ_RAPORU_BURAK_YENI1309[[#This Row],[BIRIM_FIYATLAR]])&lt;1,VALUE("0"),DST_123_ÜRETİM_İHTİYAÇ_RAPORU_BURAK_YENI1309[[#This Row],[SATINALMA]]*DST_123_ÜRETİM_İHTİYAÇ_RAPORU_BURAK_YENI1309[[#This Row],[BIRIM_FIYATLAR]])</f>
        <v>0</v>
      </c>
      <c r="N3239">
        <v>5</v>
      </c>
      <c r="O3239" t="s">
        <v>240</v>
      </c>
      <c r="P3239">
        <v>7.5</v>
      </c>
      <c r="Q3239" t="s">
        <v>180</v>
      </c>
    </row>
    <row r="3240" spans="1:17" x14ac:dyDescent="0.25">
      <c r="A3240" t="s">
        <v>1101</v>
      </c>
      <c r="B3240" t="s">
        <v>1102</v>
      </c>
      <c r="C3240" t="s">
        <v>175</v>
      </c>
      <c r="D3240" t="s">
        <v>524</v>
      </c>
      <c r="E3240" t="s">
        <v>525</v>
      </c>
      <c r="F3240">
        <v>15</v>
      </c>
      <c r="G3240" t="s">
        <v>176</v>
      </c>
      <c r="H3240">
        <v>0</v>
      </c>
      <c r="I3240">
        <v>300</v>
      </c>
      <c r="J3240" s="10">
        <v>325</v>
      </c>
      <c r="K3240" s="10">
        <f>SUMIFS(F:F,D:D,DST_123_ÜRETİM_İHTİYAÇ_RAPORU_BURAK_YENI1309[[#This Row],[ALT_KOD]])-(SUMIFS(H:H,D:D,DST_123_ÜRETİM_İHTİYAÇ_RAPORU_BURAK_YENI1309[[#This Row],[ALT_KOD]])+AVERAGEIFS(I:I,D:D,DST_123_ÜRETİM_İHTİYAÇ_RAPORU_BURAK_YENI1309[[#This Row],[ALT_KOD]])+AVERAGEIFS(L:L,D:D,DST_123_ÜRETİM_İHTİYAÇ_RAPORU_BURAK_YENI1309[[#This Row],[ALT_KOD]]))</f>
        <v>-192</v>
      </c>
      <c r="L3240">
        <v>0</v>
      </c>
      <c r="M3240">
        <f>IF((DST_123_ÜRETİM_İHTİYAÇ_RAPORU_BURAK_YENI1309[[#This Row],[SATINALMA]]*DST_123_ÜRETİM_İHTİYAÇ_RAPORU_BURAK_YENI1309[[#This Row],[BIRIM_FIYATLAR]])&lt;1,VALUE("0"),DST_123_ÜRETİM_İHTİYAÇ_RAPORU_BURAK_YENI1309[[#This Row],[SATINALMA]]*DST_123_ÜRETİM_İHTİYAÇ_RAPORU_BURAK_YENI1309[[#This Row],[BIRIM_FIYATLAR]])</f>
        <v>0</v>
      </c>
      <c r="N3240">
        <v>12</v>
      </c>
      <c r="O3240" t="s">
        <v>226</v>
      </c>
      <c r="P3240">
        <v>180</v>
      </c>
      <c r="Q3240" t="s">
        <v>180</v>
      </c>
    </row>
    <row r="3241" spans="1:17" x14ac:dyDescent="0.25">
      <c r="A3241" t="s">
        <v>1101</v>
      </c>
      <c r="B3241" t="s">
        <v>1102</v>
      </c>
      <c r="C3241" t="s">
        <v>175</v>
      </c>
      <c r="D3241" t="s">
        <v>526</v>
      </c>
      <c r="E3241" t="s">
        <v>527</v>
      </c>
      <c r="F3241">
        <v>1</v>
      </c>
      <c r="G3241" t="s">
        <v>179</v>
      </c>
      <c r="H3241">
        <v>0</v>
      </c>
      <c r="I3241">
        <v>20</v>
      </c>
      <c r="J3241" s="10">
        <v>0</v>
      </c>
      <c r="K3241" s="10">
        <f>SUMIFS(F:F,D:D,DST_123_ÜRETİM_İHTİYAÇ_RAPORU_BURAK_YENI1309[[#This Row],[ALT_KOD]])-(SUMIFS(H:H,D:D,DST_123_ÜRETİM_İHTİYAÇ_RAPORU_BURAK_YENI1309[[#This Row],[ALT_KOD]])+AVERAGEIFS(I:I,D:D,DST_123_ÜRETİM_İHTİYAÇ_RAPORU_BURAK_YENI1309[[#This Row],[ALT_KOD]])+AVERAGEIFS(L:L,D:D,DST_123_ÜRETİM_İHTİYAÇ_RAPORU_BURAK_YENI1309[[#This Row],[ALT_KOD]]))</f>
        <v>-10.4</v>
      </c>
      <c r="L3241">
        <v>0</v>
      </c>
      <c r="M3241">
        <f>IF((DST_123_ÜRETİM_İHTİYAÇ_RAPORU_BURAK_YENI1309[[#This Row],[SATINALMA]]*DST_123_ÜRETİM_İHTİYAÇ_RAPORU_BURAK_YENI1309[[#This Row],[BIRIM_FIYATLAR]])&lt;1,VALUE("0"),DST_123_ÜRETİM_İHTİYAÇ_RAPORU_BURAK_YENI1309[[#This Row],[SATINALMA]]*DST_123_ÜRETİM_İHTİYAÇ_RAPORU_BURAK_YENI1309[[#This Row],[BIRIM_FIYATLAR]])</f>
        <v>0</v>
      </c>
      <c r="N3241">
        <v>38.33</v>
      </c>
      <c r="O3241" t="s">
        <v>254</v>
      </c>
      <c r="P3241">
        <v>38.33</v>
      </c>
      <c r="Q3241" t="s">
        <v>180</v>
      </c>
    </row>
    <row r="3242" spans="1:17" x14ac:dyDescent="0.25">
      <c r="A3242" t="s">
        <v>1148</v>
      </c>
      <c r="B3242" t="s">
        <v>1056</v>
      </c>
      <c r="C3242" t="s">
        <v>175</v>
      </c>
      <c r="D3242" t="s">
        <v>609</v>
      </c>
      <c r="E3242" t="s">
        <v>610</v>
      </c>
      <c r="F3242">
        <v>0.5</v>
      </c>
      <c r="G3242" t="s">
        <v>176</v>
      </c>
      <c r="H3242">
        <v>0</v>
      </c>
      <c r="I3242">
        <v>0</v>
      </c>
      <c r="J3242" s="10">
        <v>11</v>
      </c>
      <c r="K3242" s="10">
        <f>SUMIFS(F:F,D:D,DST_123_ÜRETİM_İHTİYAÇ_RAPORU_BURAK_YENI1309[[#This Row],[ALT_KOD]])-(SUMIFS(H:H,D:D,DST_123_ÜRETİM_İHTİYAÇ_RAPORU_BURAK_YENI1309[[#This Row],[ALT_KOD]])+AVERAGEIFS(I:I,D:D,DST_123_ÜRETİM_İHTİYAÇ_RAPORU_BURAK_YENI1309[[#This Row],[ALT_KOD]])+AVERAGEIFS(L:L,D:D,DST_123_ÜRETİM_İHTİYAÇ_RAPORU_BURAK_YENI1309[[#This Row],[ALT_KOD]]))</f>
        <v>20.000000000000007</v>
      </c>
      <c r="L3242">
        <v>4</v>
      </c>
      <c r="M3242">
        <f>IF((DST_123_ÜRETİM_İHTİYAÇ_RAPORU_BURAK_YENI1309[[#This Row],[SATINALMA]]*DST_123_ÜRETİM_İHTİYAÇ_RAPORU_BURAK_YENI1309[[#This Row],[BIRIM_FIYATLAR]])&lt;1,VALUE("0"),DST_123_ÜRETİM_İHTİYAÇ_RAPORU_BURAK_YENI1309[[#This Row],[SATINALMA]]*DST_123_ÜRETİM_İHTİYAÇ_RAPORU_BURAK_YENI1309[[#This Row],[BIRIM_FIYATLAR]])</f>
        <v>36666.600000000013</v>
      </c>
      <c r="N3242">
        <v>1833.33</v>
      </c>
      <c r="O3242" t="s">
        <v>223</v>
      </c>
      <c r="P3242">
        <v>916.66499999999996</v>
      </c>
      <c r="Q3242" t="s">
        <v>181</v>
      </c>
    </row>
    <row r="3243" spans="1:17" x14ac:dyDescent="0.25">
      <c r="A3243" t="s">
        <v>1101</v>
      </c>
      <c r="B3243" t="s">
        <v>1102</v>
      </c>
      <c r="C3243" t="s">
        <v>175</v>
      </c>
      <c r="D3243" t="s">
        <v>460</v>
      </c>
      <c r="E3243" t="s">
        <v>461</v>
      </c>
      <c r="F3243">
        <v>1.5</v>
      </c>
      <c r="G3243" t="s">
        <v>176</v>
      </c>
      <c r="H3243">
        <v>0</v>
      </c>
      <c r="I3243">
        <v>48</v>
      </c>
      <c r="J3243" s="10">
        <v>26</v>
      </c>
      <c r="K3243" s="10">
        <f>SUMIFS(F:F,D:D,DST_123_ÜRETİM_İHTİYAÇ_RAPORU_BURAK_YENI1309[[#This Row],[ALT_KOD]])-(SUMIFS(H:H,D:D,DST_123_ÜRETİM_İHTİYAÇ_RAPORU_BURAK_YENI1309[[#This Row],[ALT_KOD]])+AVERAGEIFS(I:I,D:D,DST_123_ÜRETİM_İHTİYAÇ_RAPORU_BURAK_YENI1309[[#This Row],[ALT_KOD]])+AVERAGEIFS(L:L,D:D,DST_123_ÜRETİM_İHTİYAÇ_RAPORU_BURAK_YENI1309[[#This Row],[ALT_KOD]]))</f>
        <v>-19.5</v>
      </c>
      <c r="L3243">
        <v>0</v>
      </c>
      <c r="M3243">
        <f>IF((DST_123_ÜRETİM_İHTİYAÇ_RAPORU_BURAK_YENI1309[[#This Row],[SATINALMA]]*DST_123_ÜRETİM_İHTİYAÇ_RAPORU_BURAK_YENI1309[[#This Row],[BIRIM_FIYATLAR]])&lt;1,VALUE("0"),DST_123_ÜRETİM_İHTİYAÇ_RAPORU_BURAK_YENI1309[[#This Row],[SATINALMA]]*DST_123_ÜRETİM_İHTİYAÇ_RAPORU_BURAK_YENI1309[[#This Row],[BIRIM_FIYATLAR]])</f>
        <v>0</v>
      </c>
      <c r="N3243">
        <v>5</v>
      </c>
      <c r="O3243" t="s">
        <v>240</v>
      </c>
      <c r="P3243">
        <v>7.5</v>
      </c>
      <c r="Q3243" t="s">
        <v>180</v>
      </c>
    </row>
    <row r="3244" spans="1:17" x14ac:dyDescent="0.25">
      <c r="A3244" t="s">
        <v>1147</v>
      </c>
      <c r="B3244" t="s">
        <v>1145</v>
      </c>
      <c r="C3244" t="s">
        <v>175</v>
      </c>
      <c r="D3244" t="s">
        <v>660</v>
      </c>
      <c r="E3244" t="s">
        <v>661</v>
      </c>
      <c r="F3244">
        <v>1</v>
      </c>
      <c r="G3244" t="s">
        <v>185</v>
      </c>
      <c r="H3244">
        <v>0</v>
      </c>
      <c r="I3244">
        <v>0</v>
      </c>
      <c r="J3244" s="10">
        <v>0</v>
      </c>
      <c r="K3244" s="10">
        <f>SUMIFS(F:F,D:D,DST_123_ÜRETİM_İHTİYAÇ_RAPORU_BURAK_YENI1309[[#This Row],[ALT_KOD]])-(SUMIFS(H:H,D:D,DST_123_ÜRETİM_İHTİYAÇ_RAPORU_BURAK_YENI1309[[#This Row],[ALT_KOD]])+AVERAGEIFS(I:I,D:D,DST_123_ÜRETİM_İHTİYAÇ_RAPORU_BURAK_YENI1309[[#This Row],[ALT_KOD]])+AVERAGEIFS(L:L,D:D,DST_123_ÜRETİM_İHTİYAÇ_RAPORU_BURAK_YENI1309[[#This Row],[ALT_KOD]]))</f>
        <v>19</v>
      </c>
      <c r="L3244">
        <v>0</v>
      </c>
      <c r="M3244">
        <f>IF((DST_123_ÜRETİM_İHTİYAÇ_RAPORU_BURAK_YENI1309[[#This Row],[SATINALMA]]*DST_123_ÜRETİM_İHTİYAÇ_RAPORU_BURAK_YENI1309[[#This Row],[BIRIM_FIYATLAR]])&lt;1,VALUE("0"),DST_123_ÜRETİM_İHTİYAÇ_RAPORU_BURAK_YENI1309[[#This Row],[SATINALMA]]*DST_123_ÜRETİM_İHTİYAÇ_RAPORU_BURAK_YENI1309[[#This Row],[BIRIM_FIYATLAR]])</f>
        <v>1538.6200000000001</v>
      </c>
      <c r="N3244">
        <v>80.98</v>
      </c>
      <c r="O3244" t="s">
        <v>223</v>
      </c>
      <c r="P3244">
        <v>80.98</v>
      </c>
      <c r="Q3244" t="s">
        <v>183</v>
      </c>
    </row>
    <row r="3245" spans="1:17" x14ac:dyDescent="0.25">
      <c r="A3245" t="s">
        <v>1060</v>
      </c>
      <c r="B3245" t="s">
        <v>1061</v>
      </c>
      <c r="C3245" t="s">
        <v>175</v>
      </c>
      <c r="D3245" t="s">
        <v>562</v>
      </c>
      <c r="E3245" t="s">
        <v>563</v>
      </c>
      <c r="F3245">
        <v>11</v>
      </c>
      <c r="G3245" t="s">
        <v>176</v>
      </c>
      <c r="H3245">
        <v>0</v>
      </c>
      <c r="I3245">
        <v>3000</v>
      </c>
      <c r="J3245" s="10">
        <v>0</v>
      </c>
      <c r="K3245" s="10">
        <f>SUMIFS(F:F,D:D,DST_123_ÜRETİM_İHTİYAÇ_RAPORU_BURAK_YENI1309[[#This Row],[ALT_KOD]])-(SUMIFS(H:H,D:D,DST_123_ÜRETİM_İHTİYAÇ_RAPORU_BURAK_YENI1309[[#This Row],[ALT_KOD]])+AVERAGEIFS(I:I,D:D,DST_123_ÜRETİM_İHTİYAÇ_RAPORU_BURAK_YENI1309[[#This Row],[ALT_KOD]])+AVERAGEIFS(L:L,D:D,DST_123_ÜRETİM_İHTİYAÇ_RAPORU_BURAK_YENI1309[[#This Row],[ALT_KOD]]))</f>
        <v>-2847</v>
      </c>
      <c r="L3245">
        <v>0</v>
      </c>
      <c r="M3245">
        <f>IF((DST_123_ÜRETİM_İHTİYAÇ_RAPORU_BURAK_YENI1309[[#This Row],[SATINALMA]]*DST_123_ÜRETİM_İHTİYAÇ_RAPORU_BURAK_YENI1309[[#This Row],[BIRIM_FIYATLAR]])&lt;1,VALUE("0"),DST_123_ÜRETİM_İHTİYAÇ_RAPORU_BURAK_YENI1309[[#This Row],[SATINALMA]]*DST_123_ÜRETİM_İHTİYAÇ_RAPORU_BURAK_YENI1309[[#This Row],[BIRIM_FIYATLAR]])</f>
        <v>0</v>
      </c>
      <c r="N3245">
        <v>0.7</v>
      </c>
      <c r="O3245" t="s">
        <v>240</v>
      </c>
      <c r="P3245">
        <v>7.6999999999999993</v>
      </c>
      <c r="Q3245" t="s">
        <v>180</v>
      </c>
    </row>
    <row r="3246" spans="1:17" x14ac:dyDescent="0.25">
      <c r="A3246" t="s">
        <v>1101</v>
      </c>
      <c r="B3246" t="s">
        <v>1102</v>
      </c>
      <c r="C3246" t="s">
        <v>175</v>
      </c>
      <c r="D3246" t="s">
        <v>562</v>
      </c>
      <c r="E3246" t="s">
        <v>563</v>
      </c>
      <c r="F3246">
        <v>7</v>
      </c>
      <c r="G3246" t="s">
        <v>176</v>
      </c>
      <c r="H3246">
        <v>0</v>
      </c>
      <c r="I3246">
        <v>3000</v>
      </c>
      <c r="J3246" s="10">
        <v>0</v>
      </c>
      <c r="K3246" s="10">
        <f>SUMIFS(F:F,D:D,DST_123_ÜRETİM_İHTİYAÇ_RAPORU_BURAK_YENI1309[[#This Row],[ALT_KOD]])-(SUMIFS(H:H,D:D,DST_123_ÜRETİM_İHTİYAÇ_RAPORU_BURAK_YENI1309[[#This Row],[ALT_KOD]])+AVERAGEIFS(I:I,D:D,DST_123_ÜRETİM_İHTİYAÇ_RAPORU_BURAK_YENI1309[[#This Row],[ALT_KOD]])+AVERAGEIFS(L:L,D:D,DST_123_ÜRETİM_İHTİYAÇ_RAPORU_BURAK_YENI1309[[#This Row],[ALT_KOD]]))</f>
        <v>-2847</v>
      </c>
      <c r="L3246">
        <v>0</v>
      </c>
      <c r="M3246">
        <f>IF((DST_123_ÜRETİM_İHTİYAÇ_RAPORU_BURAK_YENI1309[[#This Row],[SATINALMA]]*DST_123_ÜRETİM_İHTİYAÇ_RAPORU_BURAK_YENI1309[[#This Row],[BIRIM_FIYATLAR]])&lt;1,VALUE("0"),DST_123_ÜRETİM_İHTİYAÇ_RAPORU_BURAK_YENI1309[[#This Row],[SATINALMA]]*DST_123_ÜRETİM_İHTİYAÇ_RAPORU_BURAK_YENI1309[[#This Row],[BIRIM_FIYATLAR]])</f>
        <v>0</v>
      </c>
      <c r="N3246">
        <v>0.7</v>
      </c>
      <c r="O3246" t="s">
        <v>240</v>
      </c>
      <c r="P3246">
        <v>4.8999999999999995</v>
      </c>
      <c r="Q3246" t="s">
        <v>180</v>
      </c>
    </row>
    <row r="3247" spans="1:17" x14ac:dyDescent="0.25">
      <c r="A3247" t="s">
        <v>1144</v>
      </c>
      <c r="B3247" t="s">
        <v>1145</v>
      </c>
      <c r="C3247" t="s">
        <v>175</v>
      </c>
      <c r="D3247" t="s">
        <v>460</v>
      </c>
      <c r="E3247" t="s">
        <v>461</v>
      </c>
      <c r="F3247">
        <v>1.5</v>
      </c>
      <c r="G3247" t="s">
        <v>176</v>
      </c>
      <c r="H3247">
        <v>0</v>
      </c>
      <c r="I3247">
        <v>48</v>
      </c>
      <c r="J3247" s="10">
        <v>26</v>
      </c>
      <c r="K3247" s="10">
        <f>SUMIFS(F:F,D:D,DST_123_ÜRETİM_İHTİYAÇ_RAPORU_BURAK_YENI1309[[#This Row],[ALT_KOD]])-(SUMIFS(H:H,D:D,DST_123_ÜRETİM_İHTİYAÇ_RAPORU_BURAK_YENI1309[[#This Row],[ALT_KOD]])+AVERAGEIFS(I:I,D:D,DST_123_ÜRETİM_İHTİYAÇ_RAPORU_BURAK_YENI1309[[#This Row],[ALT_KOD]])+AVERAGEIFS(L:L,D:D,DST_123_ÜRETİM_İHTİYAÇ_RAPORU_BURAK_YENI1309[[#This Row],[ALT_KOD]]))</f>
        <v>-19.5</v>
      </c>
      <c r="L3247">
        <v>0</v>
      </c>
      <c r="M3247">
        <f>IF((DST_123_ÜRETİM_İHTİYAÇ_RAPORU_BURAK_YENI1309[[#This Row],[SATINALMA]]*DST_123_ÜRETİM_İHTİYAÇ_RAPORU_BURAK_YENI1309[[#This Row],[BIRIM_FIYATLAR]])&lt;1,VALUE("0"),DST_123_ÜRETİM_İHTİYAÇ_RAPORU_BURAK_YENI1309[[#This Row],[SATINALMA]]*DST_123_ÜRETİM_İHTİYAÇ_RAPORU_BURAK_YENI1309[[#This Row],[BIRIM_FIYATLAR]])</f>
        <v>0</v>
      </c>
      <c r="N3247">
        <v>5</v>
      </c>
      <c r="O3247" t="s">
        <v>240</v>
      </c>
      <c r="P3247">
        <v>7.5</v>
      </c>
      <c r="Q3247" t="s">
        <v>180</v>
      </c>
    </row>
    <row r="3248" spans="1:17" x14ac:dyDescent="0.25">
      <c r="A3248" t="s">
        <v>1150</v>
      </c>
      <c r="B3248" t="s">
        <v>1145</v>
      </c>
      <c r="C3248" t="s">
        <v>175</v>
      </c>
      <c r="D3248" t="s">
        <v>562</v>
      </c>
      <c r="E3248" t="s">
        <v>563</v>
      </c>
      <c r="F3248">
        <v>7</v>
      </c>
      <c r="G3248" t="s">
        <v>176</v>
      </c>
      <c r="H3248">
        <v>0</v>
      </c>
      <c r="I3248">
        <v>3000</v>
      </c>
      <c r="J3248" s="10">
        <v>0</v>
      </c>
      <c r="K3248" s="10">
        <f>SUMIFS(F:F,D:D,DST_123_ÜRETİM_İHTİYAÇ_RAPORU_BURAK_YENI1309[[#This Row],[ALT_KOD]])-(SUMIFS(H:H,D:D,DST_123_ÜRETİM_İHTİYAÇ_RAPORU_BURAK_YENI1309[[#This Row],[ALT_KOD]])+AVERAGEIFS(I:I,D:D,DST_123_ÜRETİM_İHTİYAÇ_RAPORU_BURAK_YENI1309[[#This Row],[ALT_KOD]])+AVERAGEIFS(L:L,D:D,DST_123_ÜRETİM_İHTİYAÇ_RAPORU_BURAK_YENI1309[[#This Row],[ALT_KOD]]))</f>
        <v>-2847</v>
      </c>
      <c r="L3248">
        <v>0</v>
      </c>
      <c r="M3248">
        <f>IF((DST_123_ÜRETİM_İHTİYAÇ_RAPORU_BURAK_YENI1309[[#This Row],[SATINALMA]]*DST_123_ÜRETİM_İHTİYAÇ_RAPORU_BURAK_YENI1309[[#This Row],[BIRIM_FIYATLAR]])&lt;1,VALUE("0"),DST_123_ÜRETİM_İHTİYAÇ_RAPORU_BURAK_YENI1309[[#This Row],[SATINALMA]]*DST_123_ÜRETİM_İHTİYAÇ_RAPORU_BURAK_YENI1309[[#This Row],[BIRIM_FIYATLAR]])</f>
        <v>0</v>
      </c>
      <c r="N3248">
        <v>0.7</v>
      </c>
      <c r="O3248" t="s">
        <v>240</v>
      </c>
      <c r="P3248">
        <v>4.8999999999999995</v>
      </c>
      <c r="Q3248" t="s">
        <v>180</v>
      </c>
    </row>
    <row r="3249" spans="1:17" x14ac:dyDescent="0.25">
      <c r="A3249" t="s">
        <v>1147</v>
      </c>
      <c r="B3249" t="s">
        <v>1145</v>
      </c>
      <c r="C3249" t="s">
        <v>175</v>
      </c>
      <c r="D3249" t="s">
        <v>673</v>
      </c>
      <c r="E3249" t="s">
        <v>674</v>
      </c>
      <c r="F3249">
        <v>6</v>
      </c>
      <c r="G3249" t="s">
        <v>176</v>
      </c>
      <c r="H3249">
        <v>0</v>
      </c>
      <c r="I3249">
        <v>150</v>
      </c>
      <c r="J3249" s="10">
        <v>78</v>
      </c>
      <c r="K3249" s="10">
        <f>SUMIFS(F:F,D:D,DST_123_ÜRETİM_İHTİYAÇ_RAPORU_BURAK_YENI1309[[#This Row],[ALT_KOD]])-(SUMIFS(H:H,D:D,DST_123_ÜRETİM_İHTİYAÇ_RAPORU_BURAK_YENI1309[[#This Row],[ALT_KOD]])+AVERAGEIFS(I:I,D:D,DST_123_ÜRETİM_İHTİYAÇ_RAPORU_BURAK_YENI1309[[#This Row],[ALT_KOD]])+AVERAGEIFS(L:L,D:D,DST_123_ÜRETİM_İHTİYAÇ_RAPORU_BURAK_YENI1309[[#This Row],[ALT_KOD]]))</f>
        <v>-48</v>
      </c>
      <c r="L3249">
        <v>0</v>
      </c>
      <c r="M3249">
        <f>IF((DST_123_ÜRETİM_İHTİYAÇ_RAPORU_BURAK_YENI1309[[#This Row],[SATINALMA]]*DST_123_ÜRETİM_İHTİYAÇ_RAPORU_BURAK_YENI1309[[#This Row],[BIRIM_FIYATLAR]])&lt;1,VALUE("0"),DST_123_ÜRETİM_İHTİYAÇ_RAPORU_BURAK_YENI1309[[#This Row],[SATINALMA]]*DST_123_ÜRETİM_İHTİYAÇ_RAPORU_BURAK_YENI1309[[#This Row],[BIRIM_FIYATLAR]])</f>
        <v>0</v>
      </c>
      <c r="N3249">
        <v>20.83</v>
      </c>
      <c r="O3249" t="s">
        <v>226</v>
      </c>
      <c r="P3249">
        <v>124.97999999999999</v>
      </c>
      <c r="Q3249" t="s">
        <v>180</v>
      </c>
    </row>
    <row r="3250" spans="1:17" x14ac:dyDescent="0.25">
      <c r="A3250" t="s">
        <v>1101</v>
      </c>
      <c r="B3250" t="s">
        <v>1102</v>
      </c>
      <c r="C3250" t="s">
        <v>175</v>
      </c>
      <c r="D3250" t="s">
        <v>936</v>
      </c>
      <c r="E3250" t="s">
        <v>937</v>
      </c>
      <c r="F3250">
        <v>5</v>
      </c>
      <c r="G3250" t="s">
        <v>179</v>
      </c>
      <c r="H3250">
        <v>0</v>
      </c>
      <c r="I3250">
        <v>0</v>
      </c>
      <c r="J3250" s="10">
        <v>90</v>
      </c>
      <c r="K3250" s="10">
        <f>SUMIFS(F:F,D:D,DST_123_ÜRETİM_İHTİYAÇ_RAPORU_BURAK_YENI1309[[#This Row],[ALT_KOD]])-(SUMIFS(H:H,D:D,DST_123_ÜRETİM_İHTİYAÇ_RAPORU_BURAK_YENI1309[[#This Row],[ALT_KOD]])+AVERAGEIFS(I:I,D:D,DST_123_ÜRETİM_İHTİYAÇ_RAPORU_BURAK_YENI1309[[#This Row],[ALT_KOD]])+AVERAGEIFS(L:L,D:D,DST_123_ÜRETİM_İHTİYAÇ_RAPORU_BURAK_YENI1309[[#This Row],[ALT_KOD]]))</f>
        <v>10</v>
      </c>
      <c r="L3250">
        <v>0</v>
      </c>
      <c r="M3250">
        <f>IF((DST_123_ÜRETİM_İHTİYAÇ_RAPORU_BURAK_YENI1309[[#This Row],[SATINALMA]]*DST_123_ÜRETİM_İHTİYAÇ_RAPORU_BURAK_YENI1309[[#This Row],[BIRIM_FIYATLAR]])&lt;1,VALUE("0"),DST_123_ÜRETİM_İHTİYAÇ_RAPORU_BURAK_YENI1309[[#This Row],[SATINALMA]]*DST_123_ÜRETİM_İHTİYAÇ_RAPORU_BURAK_YENI1309[[#This Row],[BIRIM_FIYATLAR]])</f>
        <v>80</v>
      </c>
      <c r="N3250">
        <v>8</v>
      </c>
      <c r="O3250" t="s">
        <v>314</v>
      </c>
      <c r="P3250">
        <v>40</v>
      </c>
      <c r="Q3250" t="s">
        <v>180</v>
      </c>
    </row>
    <row r="3251" spans="1:17" x14ac:dyDescent="0.25">
      <c r="A3251" t="s">
        <v>1147</v>
      </c>
      <c r="B3251" t="s">
        <v>1145</v>
      </c>
      <c r="C3251" t="s">
        <v>175</v>
      </c>
      <c r="D3251" t="s">
        <v>562</v>
      </c>
      <c r="E3251" t="s">
        <v>563</v>
      </c>
      <c r="F3251">
        <v>7</v>
      </c>
      <c r="G3251" t="s">
        <v>176</v>
      </c>
      <c r="H3251">
        <v>0</v>
      </c>
      <c r="I3251">
        <v>3000</v>
      </c>
      <c r="J3251" s="10">
        <v>0</v>
      </c>
      <c r="K3251" s="10">
        <f>SUMIFS(F:F,D:D,DST_123_ÜRETİM_İHTİYAÇ_RAPORU_BURAK_YENI1309[[#This Row],[ALT_KOD]])-(SUMIFS(H:H,D:D,DST_123_ÜRETİM_İHTİYAÇ_RAPORU_BURAK_YENI1309[[#This Row],[ALT_KOD]])+AVERAGEIFS(I:I,D:D,DST_123_ÜRETİM_İHTİYAÇ_RAPORU_BURAK_YENI1309[[#This Row],[ALT_KOD]])+AVERAGEIFS(L:L,D:D,DST_123_ÜRETİM_İHTİYAÇ_RAPORU_BURAK_YENI1309[[#This Row],[ALT_KOD]]))</f>
        <v>-2847</v>
      </c>
      <c r="L3251">
        <v>0</v>
      </c>
      <c r="M3251">
        <f>IF((DST_123_ÜRETİM_İHTİYAÇ_RAPORU_BURAK_YENI1309[[#This Row],[SATINALMA]]*DST_123_ÜRETİM_İHTİYAÇ_RAPORU_BURAK_YENI1309[[#This Row],[BIRIM_FIYATLAR]])&lt;1,VALUE("0"),DST_123_ÜRETİM_İHTİYAÇ_RAPORU_BURAK_YENI1309[[#This Row],[SATINALMA]]*DST_123_ÜRETİM_İHTİYAÇ_RAPORU_BURAK_YENI1309[[#This Row],[BIRIM_FIYATLAR]])</f>
        <v>0</v>
      </c>
      <c r="N3251">
        <v>0.7</v>
      </c>
      <c r="O3251" t="s">
        <v>240</v>
      </c>
      <c r="P3251">
        <v>4.8999999999999995</v>
      </c>
      <c r="Q3251" t="s">
        <v>180</v>
      </c>
    </row>
    <row r="3252" spans="1:17" x14ac:dyDescent="0.25">
      <c r="A3252" t="s">
        <v>1149</v>
      </c>
      <c r="B3252" t="s">
        <v>1145</v>
      </c>
      <c r="C3252" t="s">
        <v>175</v>
      </c>
      <c r="D3252" t="s">
        <v>460</v>
      </c>
      <c r="E3252" t="s">
        <v>461</v>
      </c>
      <c r="F3252">
        <v>1.5</v>
      </c>
      <c r="G3252" t="s">
        <v>176</v>
      </c>
      <c r="H3252">
        <v>0</v>
      </c>
      <c r="I3252">
        <v>48</v>
      </c>
      <c r="J3252" s="10">
        <v>26</v>
      </c>
      <c r="K3252" s="10">
        <f>SUMIFS(F:F,D:D,DST_123_ÜRETİM_İHTİYAÇ_RAPORU_BURAK_YENI1309[[#This Row],[ALT_KOD]])-(SUMIFS(H:H,D:D,DST_123_ÜRETİM_İHTİYAÇ_RAPORU_BURAK_YENI1309[[#This Row],[ALT_KOD]])+AVERAGEIFS(I:I,D:D,DST_123_ÜRETİM_İHTİYAÇ_RAPORU_BURAK_YENI1309[[#This Row],[ALT_KOD]])+AVERAGEIFS(L:L,D:D,DST_123_ÜRETİM_İHTİYAÇ_RAPORU_BURAK_YENI1309[[#This Row],[ALT_KOD]]))</f>
        <v>-19.5</v>
      </c>
      <c r="L3252">
        <v>0</v>
      </c>
      <c r="M3252">
        <f>IF((DST_123_ÜRETİM_İHTİYAÇ_RAPORU_BURAK_YENI1309[[#This Row],[SATINALMA]]*DST_123_ÜRETİM_İHTİYAÇ_RAPORU_BURAK_YENI1309[[#This Row],[BIRIM_FIYATLAR]])&lt;1,VALUE("0"),DST_123_ÜRETİM_İHTİYAÇ_RAPORU_BURAK_YENI1309[[#This Row],[SATINALMA]]*DST_123_ÜRETİM_İHTİYAÇ_RAPORU_BURAK_YENI1309[[#This Row],[BIRIM_FIYATLAR]])</f>
        <v>0</v>
      </c>
      <c r="N3252">
        <v>5</v>
      </c>
      <c r="O3252" t="s">
        <v>240</v>
      </c>
      <c r="P3252">
        <v>7.5</v>
      </c>
      <c r="Q3252" t="s">
        <v>180</v>
      </c>
    </row>
    <row r="3253" spans="1:17" x14ac:dyDescent="0.25">
      <c r="A3253" t="s">
        <v>1060</v>
      </c>
      <c r="B3253" t="s">
        <v>1061</v>
      </c>
      <c r="C3253" t="s">
        <v>175</v>
      </c>
      <c r="D3253" t="s">
        <v>766</v>
      </c>
      <c r="E3253" t="s">
        <v>767</v>
      </c>
      <c r="F3253">
        <v>6</v>
      </c>
      <c r="G3253" t="s">
        <v>176</v>
      </c>
      <c r="H3253">
        <v>0</v>
      </c>
      <c r="I3253">
        <v>0</v>
      </c>
      <c r="J3253" s="10">
        <v>0</v>
      </c>
      <c r="K3253" s="10">
        <f>SUMIFS(F:F,D:D,DST_123_ÜRETİM_İHTİYAÇ_RAPORU_BURAK_YENI1309[[#This Row],[ALT_KOD]])-(SUMIFS(H:H,D:D,DST_123_ÜRETİM_İHTİYAÇ_RAPORU_BURAK_YENI1309[[#This Row],[ALT_KOD]])+AVERAGEIFS(I:I,D:D,DST_123_ÜRETİM_İHTİYAÇ_RAPORU_BURAK_YENI1309[[#This Row],[ALT_KOD]])+AVERAGEIFS(L:L,D:D,DST_123_ÜRETİM_İHTİYAÇ_RAPORU_BURAK_YENI1309[[#This Row],[ALT_KOD]]))</f>
        <v>54</v>
      </c>
      <c r="L3253">
        <v>0</v>
      </c>
      <c r="M3253">
        <f>IF((DST_123_ÜRETİM_İHTİYAÇ_RAPORU_BURAK_YENI1309[[#This Row],[SATINALMA]]*DST_123_ÜRETİM_İHTİYAÇ_RAPORU_BURAK_YENI1309[[#This Row],[BIRIM_FIYATLAR]])&lt;1,VALUE("0"),DST_123_ÜRETİM_İHTİYAÇ_RAPORU_BURAK_YENI1309[[#This Row],[SATINALMA]]*DST_123_ÜRETİM_İHTİYAÇ_RAPORU_BURAK_YENI1309[[#This Row],[BIRIM_FIYATLAR]])</f>
        <v>37.799999999999997</v>
      </c>
      <c r="N3253">
        <v>0.7</v>
      </c>
      <c r="O3253" t="s">
        <v>220</v>
      </c>
      <c r="P3253">
        <v>4.1999999999999993</v>
      </c>
      <c r="Q3253" t="s">
        <v>221</v>
      </c>
    </row>
    <row r="3254" spans="1:17" x14ac:dyDescent="0.25">
      <c r="A3254" t="s">
        <v>1147</v>
      </c>
      <c r="B3254" t="s">
        <v>1145</v>
      </c>
      <c r="C3254" t="s">
        <v>175</v>
      </c>
      <c r="D3254" t="s">
        <v>766</v>
      </c>
      <c r="E3254" t="s">
        <v>767</v>
      </c>
      <c r="F3254">
        <v>6</v>
      </c>
      <c r="G3254" t="s">
        <v>176</v>
      </c>
      <c r="H3254">
        <v>0</v>
      </c>
      <c r="I3254">
        <v>0</v>
      </c>
      <c r="J3254" s="10">
        <v>0</v>
      </c>
      <c r="K3254" s="10">
        <f>SUMIFS(F:F,D:D,DST_123_ÜRETİM_İHTİYAÇ_RAPORU_BURAK_YENI1309[[#This Row],[ALT_KOD]])-(SUMIFS(H:H,D:D,DST_123_ÜRETİM_İHTİYAÇ_RAPORU_BURAK_YENI1309[[#This Row],[ALT_KOD]])+AVERAGEIFS(I:I,D:D,DST_123_ÜRETİM_İHTİYAÇ_RAPORU_BURAK_YENI1309[[#This Row],[ALT_KOD]])+AVERAGEIFS(L:L,D:D,DST_123_ÜRETİM_İHTİYAÇ_RAPORU_BURAK_YENI1309[[#This Row],[ALT_KOD]]))</f>
        <v>54</v>
      </c>
      <c r="L3254">
        <v>0</v>
      </c>
      <c r="M3254">
        <f>IF((DST_123_ÜRETİM_İHTİYAÇ_RAPORU_BURAK_YENI1309[[#This Row],[SATINALMA]]*DST_123_ÜRETİM_İHTİYAÇ_RAPORU_BURAK_YENI1309[[#This Row],[BIRIM_FIYATLAR]])&lt;1,VALUE("0"),DST_123_ÜRETİM_İHTİYAÇ_RAPORU_BURAK_YENI1309[[#This Row],[SATINALMA]]*DST_123_ÜRETİM_İHTİYAÇ_RAPORU_BURAK_YENI1309[[#This Row],[BIRIM_FIYATLAR]])</f>
        <v>37.799999999999997</v>
      </c>
      <c r="N3254">
        <v>0.7</v>
      </c>
      <c r="O3254" t="s">
        <v>220</v>
      </c>
      <c r="P3254">
        <v>4.1999999999999993</v>
      </c>
      <c r="Q3254" t="s">
        <v>221</v>
      </c>
    </row>
    <row r="3255" spans="1:17" x14ac:dyDescent="0.25">
      <c r="A3255" t="s">
        <v>1147</v>
      </c>
      <c r="B3255" t="s">
        <v>1145</v>
      </c>
      <c r="C3255" t="s">
        <v>175</v>
      </c>
      <c r="D3255" t="s">
        <v>139</v>
      </c>
      <c r="E3255" t="s">
        <v>140</v>
      </c>
      <c r="F3255">
        <v>0.5</v>
      </c>
      <c r="G3255" t="s">
        <v>176</v>
      </c>
      <c r="H3255">
        <v>0</v>
      </c>
      <c r="I3255">
        <v>0</v>
      </c>
      <c r="J3255" s="10">
        <v>6.1000000000000023</v>
      </c>
      <c r="K3255" s="10">
        <f>SUMIFS(F:F,D:D,DST_123_ÜRETİM_İHTİYAÇ_RAPORU_BURAK_YENI1309[[#This Row],[ALT_KOD]])-(SUMIFS(H:H,D:D,DST_123_ÜRETİM_İHTİYAÇ_RAPORU_BURAK_YENI1309[[#This Row],[ALT_KOD]])+AVERAGEIFS(I:I,D:D,DST_123_ÜRETİM_İHTİYAÇ_RAPORU_BURAK_YENI1309[[#This Row],[ALT_KOD]])+AVERAGEIFS(L:L,D:D,DST_123_ÜRETİM_İHTİYAÇ_RAPORU_BURAK_YENI1309[[#This Row],[ALT_KOD]]))</f>
        <v>8.8000000000000007</v>
      </c>
      <c r="L3255">
        <v>5</v>
      </c>
      <c r="M3255">
        <f>IF((DST_123_ÜRETİM_İHTİYAÇ_RAPORU_BURAK_YENI1309[[#This Row],[SATINALMA]]*DST_123_ÜRETİM_İHTİYAÇ_RAPORU_BURAK_YENI1309[[#This Row],[BIRIM_FIYATLAR]])&lt;1,VALUE("0"),DST_123_ÜRETİM_İHTİYAÇ_RAPORU_BURAK_YENI1309[[#This Row],[SATINALMA]]*DST_123_ÜRETİM_İHTİYAÇ_RAPORU_BURAK_YENI1309[[#This Row],[BIRIM_FIYATLAR]])</f>
        <v>6056.1600000000008</v>
      </c>
      <c r="N3255">
        <v>688.2</v>
      </c>
      <c r="O3255" t="s">
        <v>672</v>
      </c>
      <c r="P3255">
        <v>344.1</v>
      </c>
      <c r="Q3255" t="s">
        <v>184</v>
      </c>
    </row>
    <row r="3256" spans="1:17" x14ac:dyDescent="0.25">
      <c r="A3256" t="s">
        <v>1057</v>
      </c>
      <c r="B3256" t="s">
        <v>1058</v>
      </c>
      <c r="C3256" t="s">
        <v>175</v>
      </c>
      <c r="D3256" t="s">
        <v>554</v>
      </c>
      <c r="E3256" t="s">
        <v>555</v>
      </c>
      <c r="F3256">
        <v>6</v>
      </c>
      <c r="G3256" t="s">
        <v>176</v>
      </c>
      <c r="H3256">
        <v>0</v>
      </c>
      <c r="I3256">
        <v>2080</v>
      </c>
      <c r="J3256" s="10">
        <v>84</v>
      </c>
      <c r="K3256" s="10">
        <f>SUMIFS(F:F,D:D,DST_123_ÜRETİM_İHTİYAÇ_RAPORU_BURAK_YENI1309[[#This Row],[ALT_KOD]])-(SUMIFS(H:H,D:D,DST_123_ÜRETİM_İHTİYAÇ_RAPORU_BURAK_YENI1309[[#This Row],[ALT_KOD]])+AVERAGEIFS(I:I,D:D,DST_123_ÜRETİM_İHTİYAÇ_RAPORU_BURAK_YENI1309[[#This Row],[ALT_KOD]])+AVERAGEIFS(L:L,D:D,DST_123_ÜRETİM_İHTİYAÇ_RAPORU_BURAK_YENI1309[[#This Row],[ALT_KOD]]))</f>
        <v>-2052</v>
      </c>
      <c r="L3256">
        <v>0</v>
      </c>
      <c r="M3256">
        <f>IF((DST_123_ÜRETİM_İHTİYAÇ_RAPORU_BURAK_YENI1309[[#This Row],[SATINALMA]]*DST_123_ÜRETİM_İHTİYAÇ_RAPORU_BURAK_YENI1309[[#This Row],[BIRIM_FIYATLAR]])&lt;1,VALUE("0"),DST_123_ÜRETİM_İHTİYAÇ_RAPORU_BURAK_YENI1309[[#This Row],[SATINALMA]]*DST_123_ÜRETİM_İHTİYAÇ_RAPORU_BURAK_YENI1309[[#This Row],[BIRIM_FIYATLAR]])</f>
        <v>0</v>
      </c>
      <c r="N3256">
        <v>0.28999999999999998</v>
      </c>
      <c r="P3256">
        <v>1.7399999999999998</v>
      </c>
      <c r="Q3256" t="s">
        <v>180</v>
      </c>
    </row>
    <row r="3257" spans="1:17" x14ac:dyDescent="0.25">
      <c r="A3257" t="s">
        <v>1100</v>
      </c>
      <c r="B3257" t="s">
        <v>1058</v>
      </c>
      <c r="C3257" t="s">
        <v>175</v>
      </c>
      <c r="D3257" t="s">
        <v>554</v>
      </c>
      <c r="E3257" t="s">
        <v>555</v>
      </c>
      <c r="F3257">
        <v>6</v>
      </c>
      <c r="G3257" t="s">
        <v>176</v>
      </c>
      <c r="H3257">
        <v>0</v>
      </c>
      <c r="I3257">
        <v>2080</v>
      </c>
      <c r="J3257" s="10">
        <v>84</v>
      </c>
      <c r="K3257" s="10">
        <f>SUMIFS(F:F,D:D,DST_123_ÜRETİM_İHTİYAÇ_RAPORU_BURAK_YENI1309[[#This Row],[ALT_KOD]])-(SUMIFS(H:H,D:D,DST_123_ÜRETİM_İHTİYAÇ_RAPORU_BURAK_YENI1309[[#This Row],[ALT_KOD]])+AVERAGEIFS(I:I,D:D,DST_123_ÜRETİM_İHTİYAÇ_RAPORU_BURAK_YENI1309[[#This Row],[ALT_KOD]])+AVERAGEIFS(L:L,D:D,DST_123_ÜRETİM_İHTİYAÇ_RAPORU_BURAK_YENI1309[[#This Row],[ALT_KOD]]))</f>
        <v>-2052</v>
      </c>
      <c r="L3257">
        <v>0</v>
      </c>
      <c r="M3257">
        <f>IF((DST_123_ÜRETİM_İHTİYAÇ_RAPORU_BURAK_YENI1309[[#This Row],[SATINALMA]]*DST_123_ÜRETİM_İHTİYAÇ_RAPORU_BURAK_YENI1309[[#This Row],[BIRIM_FIYATLAR]])&lt;1,VALUE("0"),DST_123_ÜRETİM_İHTİYAÇ_RAPORU_BURAK_YENI1309[[#This Row],[SATINALMA]]*DST_123_ÜRETİM_İHTİYAÇ_RAPORU_BURAK_YENI1309[[#This Row],[BIRIM_FIYATLAR]])</f>
        <v>0</v>
      </c>
      <c r="N3257">
        <v>0.28999999999999998</v>
      </c>
      <c r="P3257">
        <v>1.7399999999999998</v>
      </c>
      <c r="Q3257" t="s">
        <v>180</v>
      </c>
    </row>
    <row r="3258" spans="1:17" x14ac:dyDescent="0.25">
      <c r="A3258" t="s">
        <v>1098</v>
      </c>
      <c r="B3258" t="s">
        <v>1096</v>
      </c>
      <c r="C3258" t="s">
        <v>175</v>
      </c>
      <c r="D3258" t="s">
        <v>120</v>
      </c>
      <c r="E3258" t="s">
        <v>311</v>
      </c>
      <c r="F3258">
        <v>1.7</v>
      </c>
      <c r="G3258" t="s">
        <v>176</v>
      </c>
      <c r="H3258">
        <v>0</v>
      </c>
      <c r="I3258">
        <v>24</v>
      </c>
      <c r="J3258" s="10">
        <v>18.499999999999982</v>
      </c>
      <c r="K3258" s="10">
        <f>SUMIFS(F:F,D:D,DST_123_ÜRETİM_İHTİYAÇ_RAPORU_BURAK_YENI1309[[#This Row],[ALT_KOD]])-(SUMIFS(H:H,D:D,DST_123_ÜRETİM_İHTİYAÇ_RAPORU_BURAK_YENI1309[[#This Row],[ALT_KOD]])+AVERAGEIFS(I:I,D:D,DST_123_ÜRETİM_İHTİYAÇ_RAPORU_BURAK_YENI1309[[#This Row],[ALT_KOD]])+AVERAGEIFS(L:L,D:D,DST_123_ÜRETİM_İHTİYAÇ_RAPORU_BURAK_YENI1309[[#This Row],[ALT_KOD]]))</f>
        <v>3.899999999999995</v>
      </c>
      <c r="L3258">
        <v>0</v>
      </c>
      <c r="M3258">
        <f>IF((DST_123_ÜRETİM_İHTİYAÇ_RAPORU_BURAK_YENI1309[[#This Row],[SATINALMA]]*DST_123_ÜRETİM_İHTİYAÇ_RAPORU_BURAK_YENI1309[[#This Row],[BIRIM_FIYATLAR]])&lt;1,VALUE("0"),DST_123_ÜRETİM_İHTİYAÇ_RAPORU_BURAK_YENI1309[[#This Row],[SATINALMA]]*DST_123_ÜRETİM_İHTİYAÇ_RAPORU_BURAK_YENI1309[[#This Row],[BIRIM_FIYATLAR]])</f>
        <v>467.99999999999943</v>
      </c>
      <c r="N3258">
        <v>120</v>
      </c>
      <c r="O3258" t="s">
        <v>240</v>
      </c>
      <c r="P3258">
        <v>204</v>
      </c>
      <c r="Q3258" t="s">
        <v>183</v>
      </c>
    </row>
    <row r="3259" spans="1:17" x14ac:dyDescent="0.25">
      <c r="A3259" t="s">
        <v>1196</v>
      </c>
      <c r="B3259" t="s">
        <v>1197</v>
      </c>
      <c r="C3259" t="s">
        <v>175</v>
      </c>
      <c r="D3259" t="s">
        <v>766</v>
      </c>
      <c r="E3259" t="s">
        <v>767</v>
      </c>
      <c r="F3259">
        <v>6</v>
      </c>
      <c r="G3259" t="s">
        <v>176</v>
      </c>
      <c r="H3259">
        <v>0</v>
      </c>
      <c r="I3259">
        <v>0</v>
      </c>
      <c r="J3259" s="10">
        <v>0</v>
      </c>
      <c r="K3259" s="10">
        <f>SUMIFS(F:F,D:D,DST_123_ÜRETİM_İHTİYAÇ_RAPORU_BURAK_YENI1309[[#This Row],[ALT_KOD]])-(SUMIFS(H:H,D:D,DST_123_ÜRETİM_İHTİYAÇ_RAPORU_BURAK_YENI1309[[#This Row],[ALT_KOD]])+AVERAGEIFS(I:I,D:D,DST_123_ÜRETİM_İHTİYAÇ_RAPORU_BURAK_YENI1309[[#This Row],[ALT_KOD]])+AVERAGEIFS(L:L,D:D,DST_123_ÜRETİM_İHTİYAÇ_RAPORU_BURAK_YENI1309[[#This Row],[ALT_KOD]]))</f>
        <v>54</v>
      </c>
      <c r="L3259">
        <v>0</v>
      </c>
      <c r="M3259">
        <f>IF((DST_123_ÜRETİM_İHTİYAÇ_RAPORU_BURAK_YENI1309[[#This Row],[SATINALMA]]*DST_123_ÜRETİM_İHTİYAÇ_RAPORU_BURAK_YENI1309[[#This Row],[BIRIM_FIYATLAR]])&lt;1,VALUE("0"),DST_123_ÜRETİM_İHTİYAÇ_RAPORU_BURAK_YENI1309[[#This Row],[SATINALMA]]*DST_123_ÜRETİM_İHTİYAÇ_RAPORU_BURAK_YENI1309[[#This Row],[BIRIM_FIYATLAR]])</f>
        <v>37.799999999999997</v>
      </c>
      <c r="N3259">
        <v>0.7</v>
      </c>
      <c r="O3259" t="s">
        <v>220</v>
      </c>
      <c r="P3259">
        <v>4.1999999999999993</v>
      </c>
      <c r="Q3259" t="s">
        <v>221</v>
      </c>
    </row>
    <row r="3260" spans="1:17" x14ac:dyDescent="0.25">
      <c r="A3260" t="s">
        <v>1099</v>
      </c>
      <c r="B3260" t="s">
        <v>1055</v>
      </c>
      <c r="C3260" t="s">
        <v>175</v>
      </c>
      <c r="D3260" t="s">
        <v>139</v>
      </c>
      <c r="E3260" t="s">
        <v>140</v>
      </c>
      <c r="F3260">
        <v>1</v>
      </c>
      <c r="G3260" t="s">
        <v>176</v>
      </c>
      <c r="H3260">
        <v>0</v>
      </c>
      <c r="I3260">
        <v>0</v>
      </c>
      <c r="J3260" s="10">
        <v>6.1000000000000023</v>
      </c>
      <c r="K3260" s="10">
        <f>SUMIFS(F:F,D:D,DST_123_ÜRETİM_İHTİYAÇ_RAPORU_BURAK_YENI1309[[#This Row],[ALT_KOD]])-(SUMIFS(H:H,D:D,DST_123_ÜRETİM_İHTİYAÇ_RAPORU_BURAK_YENI1309[[#This Row],[ALT_KOD]])+AVERAGEIFS(I:I,D:D,DST_123_ÜRETİM_İHTİYAÇ_RAPORU_BURAK_YENI1309[[#This Row],[ALT_KOD]])+AVERAGEIFS(L:L,D:D,DST_123_ÜRETİM_İHTİYAÇ_RAPORU_BURAK_YENI1309[[#This Row],[ALT_KOD]]))</f>
        <v>8.8000000000000007</v>
      </c>
      <c r="L3260">
        <v>5</v>
      </c>
      <c r="M3260">
        <f>IF((DST_123_ÜRETİM_İHTİYAÇ_RAPORU_BURAK_YENI1309[[#This Row],[SATINALMA]]*DST_123_ÜRETİM_İHTİYAÇ_RAPORU_BURAK_YENI1309[[#This Row],[BIRIM_FIYATLAR]])&lt;1,VALUE("0"),DST_123_ÜRETİM_İHTİYAÇ_RAPORU_BURAK_YENI1309[[#This Row],[SATINALMA]]*DST_123_ÜRETİM_İHTİYAÇ_RAPORU_BURAK_YENI1309[[#This Row],[BIRIM_FIYATLAR]])</f>
        <v>6056.1600000000008</v>
      </c>
      <c r="N3260">
        <v>688.2</v>
      </c>
      <c r="O3260" t="s">
        <v>672</v>
      </c>
      <c r="P3260">
        <v>688.2</v>
      </c>
      <c r="Q3260" t="s">
        <v>184</v>
      </c>
    </row>
    <row r="3261" spans="1:17" x14ac:dyDescent="0.25">
      <c r="A3261" t="s">
        <v>1098</v>
      </c>
      <c r="B3261" t="s">
        <v>1096</v>
      </c>
      <c r="C3261" t="s">
        <v>175</v>
      </c>
      <c r="D3261" t="s">
        <v>139</v>
      </c>
      <c r="E3261" t="s">
        <v>140</v>
      </c>
      <c r="F3261">
        <v>1</v>
      </c>
      <c r="G3261" t="s">
        <v>176</v>
      </c>
      <c r="H3261">
        <v>0</v>
      </c>
      <c r="I3261">
        <v>0</v>
      </c>
      <c r="J3261" s="10">
        <v>6.1000000000000023</v>
      </c>
      <c r="K3261" s="10">
        <f>SUMIFS(F:F,D:D,DST_123_ÜRETİM_İHTİYAÇ_RAPORU_BURAK_YENI1309[[#This Row],[ALT_KOD]])-(SUMIFS(H:H,D:D,DST_123_ÜRETİM_İHTİYAÇ_RAPORU_BURAK_YENI1309[[#This Row],[ALT_KOD]])+AVERAGEIFS(I:I,D:D,DST_123_ÜRETİM_İHTİYAÇ_RAPORU_BURAK_YENI1309[[#This Row],[ALT_KOD]])+AVERAGEIFS(L:L,D:D,DST_123_ÜRETİM_İHTİYAÇ_RAPORU_BURAK_YENI1309[[#This Row],[ALT_KOD]]))</f>
        <v>8.8000000000000007</v>
      </c>
      <c r="L3261">
        <v>5</v>
      </c>
      <c r="M3261">
        <f>IF((DST_123_ÜRETİM_İHTİYAÇ_RAPORU_BURAK_YENI1309[[#This Row],[SATINALMA]]*DST_123_ÜRETİM_İHTİYAÇ_RAPORU_BURAK_YENI1309[[#This Row],[BIRIM_FIYATLAR]])&lt;1,VALUE("0"),DST_123_ÜRETİM_İHTİYAÇ_RAPORU_BURAK_YENI1309[[#This Row],[SATINALMA]]*DST_123_ÜRETİM_İHTİYAÇ_RAPORU_BURAK_YENI1309[[#This Row],[BIRIM_FIYATLAR]])</f>
        <v>6056.1600000000008</v>
      </c>
      <c r="N3261">
        <v>688.2</v>
      </c>
      <c r="O3261" t="s">
        <v>672</v>
      </c>
      <c r="P3261">
        <v>688.2</v>
      </c>
      <c r="Q3261" t="s">
        <v>184</v>
      </c>
    </row>
    <row r="3262" spans="1:17" x14ac:dyDescent="0.25">
      <c r="A3262" t="s">
        <v>1196</v>
      </c>
      <c r="B3262" t="s">
        <v>1197</v>
      </c>
      <c r="C3262" t="s">
        <v>175</v>
      </c>
      <c r="D3262" t="s">
        <v>139</v>
      </c>
      <c r="E3262" t="s">
        <v>140</v>
      </c>
      <c r="F3262">
        <v>1.5</v>
      </c>
      <c r="G3262" t="s">
        <v>176</v>
      </c>
      <c r="H3262">
        <v>0</v>
      </c>
      <c r="I3262">
        <v>0</v>
      </c>
      <c r="J3262" s="10">
        <v>6.1000000000000023</v>
      </c>
      <c r="K3262" s="10">
        <f>SUMIFS(F:F,D:D,DST_123_ÜRETİM_İHTİYAÇ_RAPORU_BURAK_YENI1309[[#This Row],[ALT_KOD]])-(SUMIFS(H:H,D:D,DST_123_ÜRETİM_İHTİYAÇ_RAPORU_BURAK_YENI1309[[#This Row],[ALT_KOD]])+AVERAGEIFS(I:I,D:D,DST_123_ÜRETİM_İHTİYAÇ_RAPORU_BURAK_YENI1309[[#This Row],[ALT_KOD]])+AVERAGEIFS(L:L,D:D,DST_123_ÜRETİM_İHTİYAÇ_RAPORU_BURAK_YENI1309[[#This Row],[ALT_KOD]]))</f>
        <v>8.8000000000000007</v>
      </c>
      <c r="L3262">
        <v>5</v>
      </c>
      <c r="M3262">
        <f>IF((DST_123_ÜRETİM_İHTİYAÇ_RAPORU_BURAK_YENI1309[[#This Row],[SATINALMA]]*DST_123_ÜRETİM_İHTİYAÇ_RAPORU_BURAK_YENI1309[[#This Row],[BIRIM_FIYATLAR]])&lt;1,VALUE("0"),DST_123_ÜRETİM_İHTİYAÇ_RAPORU_BURAK_YENI1309[[#This Row],[SATINALMA]]*DST_123_ÜRETİM_İHTİYAÇ_RAPORU_BURAK_YENI1309[[#This Row],[BIRIM_FIYATLAR]])</f>
        <v>6056.1600000000008</v>
      </c>
      <c r="N3262">
        <v>688.2</v>
      </c>
      <c r="O3262" t="s">
        <v>672</v>
      </c>
      <c r="P3262">
        <v>1032.3000000000002</v>
      </c>
      <c r="Q3262" t="s">
        <v>184</v>
      </c>
    </row>
    <row r="3263" spans="1:17" x14ac:dyDescent="0.25">
      <c r="A3263" t="s">
        <v>1099</v>
      </c>
      <c r="B3263" t="s">
        <v>1055</v>
      </c>
      <c r="C3263" t="s">
        <v>175</v>
      </c>
      <c r="D3263" t="s">
        <v>120</v>
      </c>
      <c r="E3263" t="s">
        <v>311</v>
      </c>
      <c r="F3263">
        <v>2</v>
      </c>
      <c r="G3263" t="s">
        <v>176</v>
      </c>
      <c r="H3263">
        <v>0</v>
      </c>
      <c r="I3263">
        <v>24</v>
      </c>
      <c r="J3263" s="10">
        <v>18.499999999999982</v>
      </c>
      <c r="K3263" s="10">
        <f>SUMIFS(F:F,D:D,DST_123_ÜRETİM_İHTİYAÇ_RAPORU_BURAK_YENI1309[[#This Row],[ALT_KOD]])-(SUMIFS(H:H,D:D,DST_123_ÜRETİM_İHTİYAÇ_RAPORU_BURAK_YENI1309[[#This Row],[ALT_KOD]])+AVERAGEIFS(I:I,D:D,DST_123_ÜRETİM_İHTİYAÇ_RAPORU_BURAK_YENI1309[[#This Row],[ALT_KOD]])+AVERAGEIFS(L:L,D:D,DST_123_ÜRETİM_İHTİYAÇ_RAPORU_BURAK_YENI1309[[#This Row],[ALT_KOD]]))</f>
        <v>3.899999999999995</v>
      </c>
      <c r="L3263">
        <v>0</v>
      </c>
      <c r="M3263">
        <f>IF((DST_123_ÜRETİM_İHTİYAÇ_RAPORU_BURAK_YENI1309[[#This Row],[SATINALMA]]*DST_123_ÜRETİM_İHTİYAÇ_RAPORU_BURAK_YENI1309[[#This Row],[BIRIM_FIYATLAR]])&lt;1,VALUE("0"),DST_123_ÜRETİM_İHTİYAÇ_RAPORU_BURAK_YENI1309[[#This Row],[SATINALMA]]*DST_123_ÜRETİM_İHTİYAÇ_RAPORU_BURAK_YENI1309[[#This Row],[BIRIM_FIYATLAR]])</f>
        <v>467.99999999999943</v>
      </c>
      <c r="N3263">
        <v>120</v>
      </c>
      <c r="O3263" t="s">
        <v>240</v>
      </c>
      <c r="P3263">
        <v>240</v>
      </c>
      <c r="Q3263" t="s">
        <v>183</v>
      </c>
    </row>
    <row r="3264" spans="1:17" x14ac:dyDescent="0.25">
      <c r="A3264" t="s">
        <v>1099</v>
      </c>
      <c r="B3264" t="s">
        <v>1055</v>
      </c>
      <c r="C3264" t="s">
        <v>175</v>
      </c>
      <c r="D3264" t="s">
        <v>554</v>
      </c>
      <c r="E3264" t="s">
        <v>555</v>
      </c>
      <c r="F3264">
        <v>10</v>
      </c>
      <c r="G3264" t="s">
        <v>176</v>
      </c>
      <c r="H3264">
        <v>0</v>
      </c>
      <c r="I3264">
        <v>2080</v>
      </c>
      <c r="J3264" s="10">
        <v>84</v>
      </c>
      <c r="K3264" s="10">
        <f>SUMIFS(F:F,D:D,DST_123_ÜRETİM_İHTİYAÇ_RAPORU_BURAK_YENI1309[[#This Row],[ALT_KOD]])-(SUMIFS(H:H,D:D,DST_123_ÜRETİM_İHTİYAÇ_RAPORU_BURAK_YENI1309[[#This Row],[ALT_KOD]])+AVERAGEIFS(I:I,D:D,DST_123_ÜRETİM_İHTİYAÇ_RAPORU_BURAK_YENI1309[[#This Row],[ALT_KOD]])+AVERAGEIFS(L:L,D:D,DST_123_ÜRETİM_İHTİYAÇ_RAPORU_BURAK_YENI1309[[#This Row],[ALT_KOD]]))</f>
        <v>-2052</v>
      </c>
      <c r="L3264">
        <v>0</v>
      </c>
      <c r="M3264">
        <f>IF((DST_123_ÜRETİM_İHTİYAÇ_RAPORU_BURAK_YENI1309[[#This Row],[SATINALMA]]*DST_123_ÜRETİM_İHTİYAÇ_RAPORU_BURAK_YENI1309[[#This Row],[BIRIM_FIYATLAR]])&lt;1,VALUE("0"),DST_123_ÜRETİM_İHTİYAÇ_RAPORU_BURAK_YENI1309[[#This Row],[SATINALMA]]*DST_123_ÜRETİM_İHTİYAÇ_RAPORU_BURAK_YENI1309[[#This Row],[BIRIM_FIYATLAR]])</f>
        <v>0</v>
      </c>
      <c r="N3264">
        <v>0.28999999999999998</v>
      </c>
      <c r="P3264">
        <v>2.9</v>
      </c>
      <c r="Q3264" t="s">
        <v>180</v>
      </c>
    </row>
    <row r="3265" spans="1:17" x14ac:dyDescent="0.25">
      <c r="A3265" t="s">
        <v>1142</v>
      </c>
      <c r="B3265" t="s">
        <v>1056</v>
      </c>
      <c r="C3265" t="s">
        <v>175</v>
      </c>
      <c r="D3265" t="s">
        <v>766</v>
      </c>
      <c r="E3265" t="s">
        <v>767</v>
      </c>
      <c r="F3265">
        <v>6</v>
      </c>
      <c r="G3265" t="s">
        <v>176</v>
      </c>
      <c r="H3265">
        <v>0</v>
      </c>
      <c r="I3265">
        <v>0</v>
      </c>
      <c r="J3265" s="10">
        <v>0</v>
      </c>
      <c r="K3265" s="10">
        <f>SUMIFS(F:F,D:D,DST_123_ÜRETİM_İHTİYAÇ_RAPORU_BURAK_YENI1309[[#This Row],[ALT_KOD]])-(SUMIFS(H:H,D:D,DST_123_ÜRETİM_İHTİYAÇ_RAPORU_BURAK_YENI1309[[#This Row],[ALT_KOD]])+AVERAGEIFS(I:I,D:D,DST_123_ÜRETİM_İHTİYAÇ_RAPORU_BURAK_YENI1309[[#This Row],[ALT_KOD]])+AVERAGEIFS(L:L,D:D,DST_123_ÜRETİM_İHTİYAÇ_RAPORU_BURAK_YENI1309[[#This Row],[ALT_KOD]]))</f>
        <v>54</v>
      </c>
      <c r="L3265">
        <v>0</v>
      </c>
      <c r="M3265">
        <f>IF((DST_123_ÜRETİM_İHTİYAÇ_RAPORU_BURAK_YENI1309[[#This Row],[SATINALMA]]*DST_123_ÜRETİM_İHTİYAÇ_RAPORU_BURAK_YENI1309[[#This Row],[BIRIM_FIYATLAR]])&lt;1,VALUE("0"),DST_123_ÜRETİM_İHTİYAÇ_RAPORU_BURAK_YENI1309[[#This Row],[SATINALMA]]*DST_123_ÜRETİM_İHTİYAÇ_RAPORU_BURAK_YENI1309[[#This Row],[BIRIM_FIYATLAR]])</f>
        <v>37.799999999999997</v>
      </c>
      <c r="N3265">
        <v>0.7</v>
      </c>
      <c r="O3265" t="s">
        <v>220</v>
      </c>
      <c r="P3265">
        <v>4.1999999999999993</v>
      </c>
      <c r="Q3265" t="s">
        <v>221</v>
      </c>
    </row>
    <row r="3266" spans="1:17" x14ac:dyDescent="0.25">
      <c r="A3266" t="s">
        <v>1097</v>
      </c>
      <c r="B3266" t="s">
        <v>1055</v>
      </c>
      <c r="C3266" t="s">
        <v>175</v>
      </c>
      <c r="D3266" t="s">
        <v>145</v>
      </c>
      <c r="E3266" t="s">
        <v>146</v>
      </c>
      <c r="F3266">
        <v>2</v>
      </c>
      <c r="G3266" t="s">
        <v>176</v>
      </c>
      <c r="H3266">
        <v>0</v>
      </c>
      <c r="I3266">
        <v>0</v>
      </c>
      <c r="J3266" s="10">
        <v>4.0000000000000497</v>
      </c>
      <c r="K3266" s="10">
        <f>SUMIFS(F:F,D:D,DST_123_ÜRETİM_İHTİYAÇ_RAPORU_BURAK_YENI1309[[#This Row],[ALT_KOD]])-(SUMIFS(H:H,D:D,DST_123_ÜRETİM_İHTİYAÇ_RAPORU_BURAK_YENI1309[[#This Row],[ALT_KOD]])+AVERAGEIFS(I:I,D:D,DST_123_ÜRETİM_İHTİYAÇ_RAPORU_BURAK_YENI1309[[#This Row],[ALT_KOD]])+AVERAGEIFS(L:L,D:D,DST_123_ÜRETİM_İHTİYAÇ_RAPORU_BURAK_YENI1309[[#This Row],[ALT_KOD]]))</f>
        <v>28.999999999999993</v>
      </c>
      <c r="L3266">
        <v>22</v>
      </c>
      <c r="M3266">
        <f>IF((DST_123_ÜRETİM_İHTİYAÇ_RAPORU_BURAK_YENI1309[[#This Row],[SATINALMA]]*DST_123_ÜRETİM_İHTİYAÇ_RAPORU_BURAK_YENI1309[[#This Row],[BIRIM_FIYATLAR]])&lt;1,VALUE("0"),DST_123_ÜRETİM_İHTİYAÇ_RAPORU_BURAK_YENI1309[[#This Row],[SATINALMA]]*DST_123_ÜRETİM_İHTİYAÇ_RAPORU_BURAK_YENI1309[[#This Row],[BIRIM_FIYATLAR]])</f>
        <v>30208.429999999993</v>
      </c>
      <c r="N3266">
        <v>1041.67</v>
      </c>
      <c r="O3266" t="s">
        <v>223</v>
      </c>
      <c r="P3266">
        <v>2083.34</v>
      </c>
      <c r="Q3266" t="s">
        <v>181</v>
      </c>
    </row>
    <row r="3267" spans="1:17" x14ac:dyDescent="0.25">
      <c r="A3267" t="s">
        <v>1142</v>
      </c>
      <c r="B3267" t="s">
        <v>1056</v>
      </c>
      <c r="C3267" t="s">
        <v>175</v>
      </c>
      <c r="D3267" t="s">
        <v>58</v>
      </c>
      <c r="E3267" t="s">
        <v>59</v>
      </c>
      <c r="F3267">
        <v>1</v>
      </c>
      <c r="G3267" t="s">
        <v>176</v>
      </c>
      <c r="H3267">
        <v>0</v>
      </c>
      <c r="I3267">
        <v>17</v>
      </c>
      <c r="J3267" s="10">
        <v>11</v>
      </c>
      <c r="K3267" s="10">
        <f>SUMIFS(F:F,D:D,DST_123_ÜRETİM_İHTİYAÇ_RAPORU_BURAK_YENI1309[[#This Row],[ALT_KOD]])-(SUMIFS(H:H,D:D,DST_123_ÜRETİM_İHTİYAÇ_RAPORU_BURAK_YENI1309[[#This Row],[ALT_KOD]])+AVERAGEIFS(I:I,D:D,DST_123_ÜRETİM_İHTİYAÇ_RAPORU_BURAK_YENI1309[[#This Row],[ALT_KOD]])+AVERAGEIFS(L:L,D:D,DST_123_ÜRETİM_İHTİYAÇ_RAPORU_BURAK_YENI1309[[#This Row],[ALT_KOD]]))</f>
        <v>-5</v>
      </c>
      <c r="L3267">
        <v>0</v>
      </c>
      <c r="M3267">
        <f>IF((DST_123_ÜRETİM_İHTİYAÇ_RAPORU_BURAK_YENI1309[[#This Row],[SATINALMA]]*DST_123_ÜRETİM_İHTİYAÇ_RAPORU_BURAK_YENI1309[[#This Row],[BIRIM_FIYATLAR]])&lt;1,VALUE("0"),DST_123_ÜRETİM_İHTİYAÇ_RAPORU_BURAK_YENI1309[[#This Row],[SATINALMA]]*DST_123_ÜRETİM_İHTİYAÇ_RAPORU_BURAK_YENI1309[[#This Row],[BIRIM_FIYATLAR]])</f>
        <v>0</v>
      </c>
      <c r="N3267">
        <v>1094.4000000000001</v>
      </c>
      <c r="O3267" t="s">
        <v>826</v>
      </c>
      <c r="P3267">
        <v>1094.4000000000001</v>
      </c>
      <c r="Q3267" t="s">
        <v>221</v>
      </c>
    </row>
    <row r="3268" spans="1:17" x14ac:dyDescent="0.25">
      <c r="A3268" t="s">
        <v>1057</v>
      </c>
      <c r="B3268" t="s">
        <v>1058</v>
      </c>
      <c r="C3268" t="s">
        <v>175</v>
      </c>
      <c r="D3268" t="s">
        <v>414</v>
      </c>
      <c r="E3268" t="s">
        <v>415</v>
      </c>
      <c r="F3268">
        <v>0.1</v>
      </c>
      <c r="G3268" t="s">
        <v>179</v>
      </c>
      <c r="H3268">
        <v>0</v>
      </c>
      <c r="I3268">
        <v>50</v>
      </c>
      <c r="J3268" s="10">
        <v>2.8310687127941492E-15</v>
      </c>
      <c r="K3268" s="10">
        <f>SUMIFS(F:F,D:D,DST_123_ÜRETİM_İHTİYAÇ_RAPORU_BURAK_YENI1309[[#This Row],[ALT_KOD]])-(SUMIFS(H:H,D:D,DST_123_ÜRETİM_İHTİYAÇ_RAPORU_BURAK_YENI1309[[#This Row],[ALT_KOD]])+AVERAGEIFS(I:I,D:D,DST_123_ÜRETİM_İHTİYAÇ_RAPORU_BURAK_YENI1309[[#This Row],[ALT_KOD]])+AVERAGEIFS(L:L,D:D,DST_123_ÜRETİM_İHTİYAÇ_RAPORU_BURAK_YENI1309[[#This Row],[ALT_KOD]]))</f>
        <v>-47.8</v>
      </c>
      <c r="L3268">
        <v>0</v>
      </c>
      <c r="M3268">
        <f>IF((DST_123_ÜRETİM_İHTİYAÇ_RAPORU_BURAK_YENI1309[[#This Row],[SATINALMA]]*DST_123_ÜRETİM_İHTİYAÇ_RAPORU_BURAK_YENI1309[[#This Row],[BIRIM_FIYATLAR]])&lt;1,VALUE("0"),DST_123_ÜRETİM_İHTİYAÇ_RAPORU_BURAK_YENI1309[[#This Row],[SATINALMA]]*DST_123_ÜRETİM_İHTİYAÇ_RAPORU_BURAK_YENI1309[[#This Row],[BIRIM_FIYATLAR]])</f>
        <v>0</v>
      </c>
      <c r="N3268">
        <v>25.41</v>
      </c>
      <c r="O3268" t="s">
        <v>826</v>
      </c>
      <c r="P3268">
        <v>2.5410000000000004</v>
      </c>
      <c r="Q3268" t="s">
        <v>221</v>
      </c>
    </row>
    <row r="3269" spans="1:17" x14ac:dyDescent="0.25">
      <c r="A3269" t="s">
        <v>1100</v>
      </c>
      <c r="B3269" t="s">
        <v>1058</v>
      </c>
      <c r="C3269" t="s">
        <v>175</v>
      </c>
      <c r="D3269" t="s">
        <v>414</v>
      </c>
      <c r="E3269" t="s">
        <v>415</v>
      </c>
      <c r="F3269">
        <v>0.1</v>
      </c>
      <c r="G3269" t="s">
        <v>179</v>
      </c>
      <c r="H3269">
        <v>0</v>
      </c>
      <c r="I3269">
        <v>50</v>
      </c>
      <c r="J3269" s="10">
        <v>2.8310687127941492E-15</v>
      </c>
      <c r="K3269" s="10">
        <f>SUMIFS(F:F,D:D,DST_123_ÜRETİM_İHTİYAÇ_RAPORU_BURAK_YENI1309[[#This Row],[ALT_KOD]])-(SUMIFS(H:H,D:D,DST_123_ÜRETİM_İHTİYAÇ_RAPORU_BURAK_YENI1309[[#This Row],[ALT_KOD]])+AVERAGEIFS(I:I,D:D,DST_123_ÜRETİM_İHTİYAÇ_RAPORU_BURAK_YENI1309[[#This Row],[ALT_KOD]])+AVERAGEIFS(L:L,D:D,DST_123_ÜRETİM_İHTİYAÇ_RAPORU_BURAK_YENI1309[[#This Row],[ALT_KOD]]))</f>
        <v>-47.8</v>
      </c>
      <c r="L3269">
        <v>0</v>
      </c>
      <c r="M3269">
        <f>IF((DST_123_ÜRETİM_İHTİYAÇ_RAPORU_BURAK_YENI1309[[#This Row],[SATINALMA]]*DST_123_ÜRETİM_İHTİYAÇ_RAPORU_BURAK_YENI1309[[#This Row],[BIRIM_FIYATLAR]])&lt;1,VALUE("0"),DST_123_ÜRETİM_İHTİYAÇ_RAPORU_BURAK_YENI1309[[#This Row],[SATINALMA]]*DST_123_ÜRETİM_İHTİYAÇ_RAPORU_BURAK_YENI1309[[#This Row],[BIRIM_FIYATLAR]])</f>
        <v>0</v>
      </c>
      <c r="N3269">
        <v>25.41</v>
      </c>
      <c r="O3269" t="s">
        <v>826</v>
      </c>
      <c r="P3269">
        <v>2.5410000000000004</v>
      </c>
      <c r="Q3269" t="s">
        <v>221</v>
      </c>
    </row>
    <row r="3270" spans="1:17" x14ac:dyDescent="0.25">
      <c r="A3270" t="s">
        <v>1101</v>
      </c>
      <c r="B3270" t="s">
        <v>1102</v>
      </c>
      <c r="C3270" t="s">
        <v>175</v>
      </c>
      <c r="D3270" t="s">
        <v>376</v>
      </c>
      <c r="E3270" t="s">
        <v>377</v>
      </c>
      <c r="F3270">
        <v>3</v>
      </c>
      <c r="G3270" t="s">
        <v>176</v>
      </c>
      <c r="H3270">
        <v>0</v>
      </c>
      <c r="I3270">
        <v>38</v>
      </c>
      <c r="J3270" s="10">
        <v>25</v>
      </c>
      <c r="K3270" s="10">
        <f>SUMIFS(F:F,D:D,DST_123_ÜRETİM_İHTİYAÇ_RAPORU_BURAK_YENI1309[[#This Row],[ALT_KOD]])-(SUMIFS(H:H,D:D,DST_123_ÜRETİM_İHTİYAÇ_RAPORU_BURAK_YENI1309[[#This Row],[ALT_KOD]])+AVERAGEIFS(I:I,D:D,DST_123_ÜRETİM_İHTİYAÇ_RAPORU_BURAK_YENI1309[[#This Row],[ALT_KOD]])+AVERAGEIFS(L:L,D:D,DST_123_ÜRETİM_İHTİYAÇ_RAPORU_BURAK_YENI1309[[#This Row],[ALT_KOD]]))</f>
        <v>-2</v>
      </c>
      <c r="L3270">
        <v>20</v>
      </c>
      <c r="M3270">
        <f>IF((DST_123_ÜRETİM_İHTİYAÇ_RAPORU_BURAK_YENI1309[[#This Row],[SATINALMA]]*DST_123_ÜRETİM_İHTİYAÇ_RAPORU_BURAK_YENI1309[[#This Row],[BIRIM_FIYATLAR]])&lt;1,VALUE("0"),DST_123_ÜRETİM_İHTİYAÇ_RAPORU_BURAK_YENI1309[[#This Row],[SATINALMA]]*DST_123_ÜRETİM_İHTİYAÇ_RAPORU_BURAK_YENI1309[[#This Row],[BIRIM_FIYATLAR]])</f>
        <v>0</v>
      </c>
      <c r="N3270">
        <v>245</v>
      </c>
      <c r="O3270" t="s">
        <v>821</v>
      </c>
      <c r="P3270">
        <v>735</v>
      </c>
      <c r="Q3270" t="s">
        <v>178</v>
      </c>
    </row>
    <row r="3271" spans="1:17" x14ac:dyDescent="0.25">
      <c r="A3271" t="s">
        <v>1143</v>
      </c>
      <c r="B3271" t="s">
        <v>1056</v>
      </c>
      <c r="C3271" t="s">
        <v>175</v>
      </c>
      <c r="D3271" t="s">
        <v>670</v>
      </c>
      <c r="E3271" t="s">
        <v>671</v>
      </c>
      <c r="F3271">
        <v>1</v>
      </c>
      <c r="G3271" t="s">
        <v>176</v>
      </c>
      <c r="H3271">
        <v>0</v>
      </c>
      <c r="I3271">
        <v>12</v>
      </c>
      <c r="J3271" s="10">
        <v>13</v>
      </c>
      <c r="K3271" s="10">
        <f>SUMIFS(F:F,D:D,DST_123_ÜRETİM_İHTİYAÇ_RAPORU_BURAK_YENI1309[[#This Row],[ALT_KOD]])-(SUMIFS(H:H,D:D,DST_123_ÜRETİM_İHTİYAÇ_RAPORU_BURAK_YENI1309[[#This Row],[ALT_KOD]])+AVERAGEIFS(I:I,D:D,DST_123_ÜRETİM_İHTİYAÇ_RAPORU_BURAK_YENI1309[[#This Row],[ALT_KOD]])+AVERAGEIFS(L:L,D:D,DST_123_ÜRETİM_İHTİYAÇ_RAPORU_BURAK_YENI1309[[#This Row],[ALT_KOD]]))</f>
        <v>-5</v>
      </c>
      <c r="L3271">
        <v>0</v>
      </c>
      <c r="M3271">
        <f>IF((DST_123_ÜRETİM_İHTİYAÇ_RAPORU_BURAK_YENI1309[[#This Row],[SATINALMA]]*DST_123_ÜRETİM_İHTİYAÇ_RAPORU_BURAK_YENI1309[[#This Row],[BIRIM_FIYATLAR]])&lt;1,VALUE("0"),DST_123_ÜRETİM_İHTİYAÇ_RAPORU_BURAK_YENI1309[[#This Row],[SATINALMA]]*DST_123_ÜRETİM_İHTİYAÇ_RAPORU_BURAK_YENI1309[[#This Row],[BIRIM_FIYATLAR]])</f>
        <v>0</v>
      </c>
      <c r="N3271">
        <v>28339.38</v>
      </c>
      <c r="O3271" t="s">
        <v>214</v>
      </c>
      <c r="P3271">
        <v>28339.38</v>
      </c>
      <c r="Q3271" t="s">
        <v>177</v>
      </c>
    </row>
    <row r="3272" spans="1:17" x14ac:dyDescent="0.25">
      <c r="A3272" t="s">
        <v>1142</v>
      </c>
      <c r="B3272" t="s">
        <v>1056</v>
      </c>
      <c r="C3272" t="s">
        <v>175</v>
      </c>
      <c r="D3272" t="s">
        <v>653</v>
      </c>
      <c r="E3272" t="s">
        <v>654</v>
      </c>
      <c r="F3272">
        <v>0.05</v>
      </c>
      <c r="G3272" t="s">
        <v>185</v>
      </c>
      <c r="H3272">
        <v>0</v>
      </c>
      <c r="I3272">
        <v>0</v>
      </c>
      <c r="J3272" s="10">
        <v>2.6000000000000014</v>
      </c>
      <c r="K3272" s="10">
        <f>SUMIFS(F:F,D:D,DST_123_ÜRETİM_İHTİYAÇ_RAPORU_BURAK_YENI1309[[#This Row],[ALT_KOD]])-(SUMIFS(H:H,D:D,DST_123_ÜRETİM_İHTİYAÇ_RAPORU_BURAK_YENI1309[[#This Row],[ALT_KOD]])+AVERAGEIFS(I:I,D:D,DST_123_ÜRETİM_İHTİYAÇ_RAPORU_BURAK_YENI1309[[#This Row],[ALT_KOD]])+AVERAGEIFS(L:L,D:D,DST_123_ÜRETİM_İHTİYAÇ_RAPORU_BURAK_YENI1309[[#This Row],[ALT_KOD]]))</f>
        <v>0.29999999999999982</v>
      </c>
      <c r="L3272">
        <v>0</v>
      </c>
      <c r="M3272">
        <f>IF((DST_123_ÜRETİM_İHTİYAÇ_RAPORU_BURAK_YENI1309[[#This Row],[SATINALMA]]*DST_123_ÜRETİM_İHTİYAÇ_RAPORU_BURAK_YENI1309[[#This Row],[BIRIM_FIYATLAR]])&lt;1,VALUE("0"),DST_123_ÜRETİM_İHTİYAÇ_RAPORU_BURAK_YENI1309[[#This Row],[SATINALMA]]*DST_123_ÜRETİM_İHTİYAÇ_RAPORU_BURAK_YENI1309[[#This Row],[BIRIM_FIYATLAR]])</f>
        <v>193.70099999999988</v>
      </c>
      <c r="N3272">
        <v>645.66999999999996</v>
      </c>
      <c r="O3272" t="s">
        <v>490</v>
      </c>
      <c r="P3272">
        <v>32.283499999999997</v>
      </c>
      <c r="Q3272" t="s">
        <v>183</v>
      </c>
    </row>
    <row r="3273" spans="1:17" x14ac:dyDescent="0.25">
      <c r="A3273" t="s">
        <v>1142</v>
      </c>
      <c r="B3273" t="s">
        <v>1056</v>
      </c>
      <c r="C3273" t="s">
        <v>175</v>
      </c>
      <c r="D3273" t="s">
        <v>114</v>
      </c>
      <c r="E3273" t="s">
        <v>115</v>
      </c>
      <c r="F3273">
        <v>1.4909999999999999</v>
      </c>
      <c r="G3273" t="s">
        <v>185</v>
      </c>
      <c r="H3273">
        <v>0</v>
      </c>
      <c r="I3273">
        <v>0</v>
      </c>
      <c r="J3273" s="10">
        <v>65.03100000000002</v>
      </c>
      <c r="K3273" s="10">
        <f>SUMIFS(F:F,D:D,DST_123_ÜRETİM_İHTİYAÇ_RAPORU_BURAK_YENI1309[[#This Row],[ALT_KOD]])-(SUMIFS(H:H,D:D,DST_123_ÜRETİM_İHTİYAÇ_RAPORU_BURAK_YENI1309[[#This Row],[ALT_KOD]])+AVERAGEIFS(I:I,D:D,DST_123_ÜRETİM_İHTİYAÇ_RAPORU_BURAK_YENI1309[[#This Row],[ALT_KOD]])+AVERAGEIFS(L:L,D:D,DST_123_ÜRETİM_İHTİYAÇ_RAPORU_BURAK_YENI1309[[#This Row],[ALT_KOD]]))</f>
        <v>17.948</v>
      </c>
      <c r="L3273">
        <v>0</v>
      </c>
      <c r="M3273">
        <f>IF((DST_123_ÜRETİM_İHTİYAÇ_RAPORU_BURAK_YENI1309[[#This Row],[SATINALMA]]*DST_123_ÜRETİM_İHTİYAÇ_RAPORU_BURAK_YENI1309[[#This Row],[BIRIM_FIYATLAR]])&lt;1,VALUE("0"),DST_123_ÜRETİM_İHTİYAÇ_RAPORU_BURAK_YENI1309[[#This Row],[SATINALMA]]*DST_123_ÜRETİM_İHTİYAÇ_RAPORU_BURAK_YENI1309[[#This Row],[BIRIM_FIYATLAR]])</f>
        <v>6991.2844399999994</v>
      </c>
      <c r="N3273">
        <v>389.53</v>
      </c>
      <c r="O3273" t="s">
        <v>490</v>
      </c>
      <c r="P3273">
        <v>580.78922999999986</v>
      </c>
      <c r="Q3273" t="s">
        <v>183</v>
      </c>
    </row>
    <row r="3274" spans="1:17" x14ac:dyDescent="0.25">
      <c r="A3274" t="s">
        <v>1059</v>
      </c>
      <c r="B3274" t="s">
        <v>1058</v>
      </c>
      <c r="C3274" t="s">
        <v>175</v>
      </c>
      <c r="D3274" t="s">
        <v>229</v>
      </c>
      <c r="E3274" t="s">
        <v>230</v>
      </c>
      <c r="F3274">
        <v>2</v>
      </c>
      <c r="G3274" t="s">
        <v>176</v>
      </c>
      <c r="H3274">
        <v>0</v>
      </c>
      <c r="I3274">
        <v>238</v>
      </c>
      <c r="J3274" s="10">
        <v>90</v>
      </c>
      <c r="K3274" s="10">
        <f>SUMIFS(F:F,D:D,DST_123_ÜRETİM_İHTİYAÇ_RAPORU_BURAK_YENI1309[[#This Row],[ALT_KOD]])-(SUMIFS(H:H,D:D,DST_123_ÜRETİM_İHTİYAÇ_RAPORU_BURAK_YENI1309[[#This Row],[ALT_KOD]])+AVERAGEIFS(I:I,D:D,DST_123_ÜRETİM_İHTİYAÇ_RAPORU_BURAK_YENI1309[[#This Row],[ALT_KOD]])+AVERAGEIFS(L:L,D:D,DST_123_ÜRETİM_İHTİYAÇ_RAPORU_BURAK_YENI1309[[#This Row],[ALT_KOD]]))</f>
        <v>-200</v>
      </c>
      <c r="L3274">
        <v>0</v>
      </c>
      <c r="M3274">
        <f>IF((DST_123_ÜRETİM_İHTİYAÇ_RAPORU_BURAK_YENI1309[[#This Row],[SATINALMA]]*DST_123_ÜRETİM_İHTİYAÇ_RAPORU_BURAK_YENI1309[[#This Row],[BIRIM_FIYATLAR]])&lt;1,VALUE("0"),DST_123_ÜRETİM_İHTİYAÇ_RAPORU_BURAK_YENI1309[[#This Row],[SATINALMA]]*DST_123_ÜRETİM_İHTİYAÇ_RAPORU_BURAK_YENI1309[[#This Row],[BIRIM_FIYATLAR]])</f>
        <v>0</v>
      </c>
      <c r="N3274">
        <v>4</v>
      </c>
      <c r="O3274" t="s">
        <v>220</v>
      </c>
      <c r="P3274">
        <v>8</v>
      </c>
      <c r="Q3274" t="s">
        <v>221</v>
      </c>
    </row>
    <row r="3275" spans="1:17" x14ac:dyDescent="0.25">
      <c r="A3275" t="s">
        <v>1101</v>
      </c>
      <c r="B3275" t="s">
        <v>1102</v>
      </c>
      <c r="C3275" t="s">
        <v>175</v>
      </c>
      <c r="D3275" t="s">
        <v>616</v>
      </c>
      <c r="E3275" t="s">
        <v>617</v>
      </c>
      <c r="F3275">
        <v>1</v>
      </c>
      <c r="G3275" t="s">
        <v>176</v>
      </c>
      <c r="H3275">
        <v>0</v>
      </c>
      <c r="I3275">
        <v>114</v>
      </c>
      <c r="J3275" s="10">
        <v>0</v>
      </c>
      <c r="K3275" s="10">
        <f>SUMIFS(F:F,D:D,DST_123_ÜRETİM_İHTİYAÇ_RAPORU_BURAK_YENI1309[[#This Row],[ALT_KOD]])-(SUMIFS(H:H,D:D,DST_123_ÜRETİM_İHTİYAÇ_RAPORU_BURAK_YENI1309[[#This Row],[ALT_KOD]])+AVERAGEIFS(I:I,D:D,DST_123_ÜRETİM_İHTİYAÇ_RAPORU_BURAK_YENI1309[[#This Row],[ALT_KOD]])+AVERAGEIFS(L:L,D:D,DST_123_ÜRETİM_İHTİYAÇ_RAPORU_BURAK_YENI1309[[#This Row],[ALT_KOD]]))</f>
        <v>-109</v>
      </c>
      <c r="L3275">
        <v>0</v>
      </c>
      <c r="M3275">
        <f>IF((DST_123_ÜRETİM_İHTİYAÇ_RAPORU_BURAK_YENI1309[[#This Row],[SATINALMA]]*DST_123_ÜRETİM_İHTİYAÇ_RAPORU_BURAK_YENI1309[[#This Row],[BIRIM_FIYATLAR]])&lt;1,VALUE("0"),DST_123_ÜRETİM_İHTİYAÇ_RAPORU_BURAK_YENI1309[[#This Row],[SATINALMA]]*DST_123_ÜRETİM_İHTİYAÇ_RAPORU_BURAK_YENI1309[[#This Row],[BIRIM_FIYATLAR]])</f>
        <v>0</v>
      </c>
      <c r="N3275">
        <v>10</v>
      </c>
      <c r="P3275">
        <v>10</v>
      </c>
      <c r="Q3275" t="s">
        <v>178</v>
      </c>
    </row>
    <row r="3276" spans="1:17" x14ac:dyDescent="0.25">
      <c r="A3276" t="s">
        <v>1101</v>
      </c>
      <c r="B3276" t="s">
        <v>1102</v>
      </c>
      <c r="C3276" t="s">
        <v>175</v>
      </c>
      <c r="D3276" t="s">
        <v>266</v>
      </c>
      <c r="E3276" t="s">
        <v>267</v>
      </c>
      <c r="F3276">
        <v>2</v>
      </c>
      <c r="G3276" t="s">
        <v>176</v>
      </c>
      <c r="H3276">
        <v>0</v>
      </c>
      <c r="I3276">
        <v>30</v>
      </c>
      <c r="J3276" s="10">
        <v>0</v>
      </c>
      <c r="K3276" s="10">
        <f>SUMIFS(F:F,D:D,DST_123_ÜRETİM_İHTİYAÇ_RAPORU_BURAK_YENI1309[[#This Row],[ALT_KOD]])-(SUMIFS(H:H,D:D,DST_123_ÜRETİM_İHTİYAÇ_RAPORU_BURAK_YENI1309[[#This Row],[ALT_KOD]])+AVERAGEIFS(I:I,D:D,DST_123_ÜRETİM_İHTİYAÇ_RAPORU_BURAK_YENI1309[[#This Row],[ALT_KOD]])+AVERAGEIFS(L:L,D:D,DST_123_ÜRETİM_İHTİYAÇ_RAPORU_BURAK_YENI1309[[#This Row],[ALT_KOD]]))</f>
        <v>-10</v>
      </c>
      <c r="L3276">
        <v>0</v>
      </c>
      <c r="M3276">
        <f>IF((DST_123_ÜRETİM_İHTİYAÇ_RAPORU_BURAK_YENI1309[[#This Row],[SATINALMA]]*DST_123_ÜRETİM_İHTİYAÇ_RAPORU_BURAK_YENI1309[[#This Row],[BIRIM_FIYATLAR]])&lt;1,VALUE("0"),DST_123_ÜRETİM_İHTİYAÇ_RAPORU_BURAK_YENI1309[[#This Row],[SATINALMA]]*DST_123_ÜRETİM_İHTİYAÇ_RAPORU_BURAK_YENI1309[[#This Row],[BIRIM_FIYATLAR]])</f>
        <v>0</v>
      </c>
      <c r="N3276">
        <v>60</v>
      </c>
      <c r="O3276" t="s">
        <v>226</v>
      </c>
      <c r="P3276">
        <v>120</v>
      </c>
      <c r="Q3276" t="s">
        <v>180</v>
      </c>
    </row>
    <row r="3277" spans="1:17" x14ac:dyDescent="0.25">
      <c r="A3277" t="s">
        <v>1095</v>
      </c>
      <c r="B3277" t="s">
        <v>1096</v>
      </c>
      <c r="C3277" t="s">
        <v>175</v>
      </c>
      <c r="D3277" t="s">
        <v>229</v>
      </c>
      <c r="E3277" t="s">
        <v>230</v>
      </c>
      <c r="F3277">
        <v>2</v>
      </c>
      <c r="G3277" t="s">
        <v>176</v>
      </c>
      <c r="H3277">
        <v>0</v>
      </c>
      <c r="I3277">
        <v>238</v>
      </c>
      <c r="J3277" s="10">
        <v>90</v>
      </c>
      <c r="K3277" s="10">
        <f>SUMIFS(F:F,D:D,DST_123_ÜRETİM_İHTİYAÇ_RAPORU_BURAK_YENI1309[[#This Row],[ALT_KOD]])-(SUMIFS(H:H,D:D,DST_123_ÜRETİM_İHTİYAÇ_RAPORU_BURAK_YENI1309[[#This Row],[ALT_KOD]])+AVERAGEIFS(I:I,D:D,DST_123_ÜRETİM_İHTİYAÇ_RAPORU_BURAK_YENI1309[[#This Row],[ALT_KOD]])+AVERAGEIFS(L:L,D:D,DST_123_ÜRETİM_İHTİYAÇ_RAPORU_BURAK_YENI1309[[#This Row],[ALT_KOD]]))</f>
        <v>-200</v>
      </c>
      <c r="L3277">
        <v>0</v>
      </c>
      <c r="M3277">
        <f>IF((DST_123_ÜRETİM_İHTİYAÇ_RAPORU_BURAK_YENI1309[[#This Row],[SATINALMA]]*DST_123_ÜRETİM_İHTİYAÇ_RAPORU_BURAK_YENI1309[[#This Row],[BIRIM_FIYATLAR]])&lt;1,VALUE("0"),DST_123_ÜRETİM_İHTİYAÇ_RAPORU_BURAK_YENI1309[[#This Row],[SATINALMA]]*DST_123_ÜRETİM_İHTİYAÇ_RAPORU_BURAK_YENI1309[[#This Row],[BIRIM_FIYATLAR]])</f>
        <v>0</v>
      </c>
      <c r="N3277">
        <v>4</v>
      </c>
      <c r="O3277" t="s">
        <v>220</v>
      </c>
      <c r="P3277">
        <v>8</v>
      </c>
      <c r="Q3277" t="s">
        <v>221</v>
      </c>
    </row>
    <row r="3278" spans="1:17" x14ac:dyDescent="0.25">
      <c r="A3278" t="s">
        <v>1143</v>
      </c>
      <c r="B3278" t="s">
        <v>1056</v>
      </c>
      <c r="C3278" t="s">
        <v>175</v>
      </c>
      <c r="D3278" t="s">
        <v>54</v>
      </c>
      <c r="E3278" t="s">
        <v>55</v>
      </c>
      <c r="F3278">
        <v>1</v>
      </c>
      <c r="G3278" t="s">
        <v>176</v>
      </c>
      <c r="H3278">
        <v>0</v>
      </c>
      <c r="I3278">
        <v>9</v>
      </c>
      <c r="J3278" s="10">
        <v>13</v>
      </c>
      <c r="K3278" s="10">
        <f>SUMIFS(F:F,D:D,DST_123_ÜRETİM_İHTİYAÇ_RAPORU_BURAK_YENI1309[[#This Row],[ALT_KOD]])-(SUMIFS(H:H,D:D,DST_123_ÜRETİM_İHTİYAÇ_RAPORU_BURAK_YENI1309[[#This Row],[ALT_KOD]])+AVERAGEIFS(I:I,D:D,DST_123_ÜRETİM_İHTİYAÇ_RAPORU_BURAK_YENI1309[[#This Row],[ALT_KOD]])+AVERAGEIFS(L:L,D:D,DST_123_ÜRETİM_İHTİYAÇ_RAPORU_BURAK_YENI1309[[#This Row],[ALT_KOD]]))</f>
        <v>-1</v>
      </c>
      <c r="L3278">
        <v>4</v>
      </c>
      <c r="M3278">
        <f>IF((DST_123_ÜRETİM_İHTİYAÇ_RAPORU_BURAK_YENI1309[[#This Row],[SATINALMA]]*DST_123_ÜRETİM_İHTİYAÇ_RAPORU_BURAK_YENI1309[[#This Row],[BIRIM_FIYATLAR]])&lt;1,VALUE("0"),DST_123_ÜRETİM_İHTİYAÇ_RAPORU_BURAK_YENI1309[[#This Row],[SATINALMA]]*DST_123_ÜRETİM_İHTİYAÇ_RAPORU_BURAK_YENI1309[[#This Row],[BIRIM_FIYATLAR]])</f>
        <v>0</v>
      </c>
      <c r="N3278">
        <v>1600</v>
      </c>
      <c r="O3278" t="s">
        <v>217</v>
      </c>
      <c r="P3278">
        <v>1600</v>
      </c>
      <c r="Q3278" t="s">
        <v>221</v>
      </c>
    </row>
    <row r="3279" spans="1:17" x14ac:dyDescent="0.25">
      <c r="A3279" t="s">
        <v>1059</v>
      </c>
      <c r="B3279" t="s">
        <v>1058</v>
      </c>
      <c r="C3279" t="s">
        <v>175</v>
      </c>
      <c r="D3279" t="s">
        <v>54</v>
      </c>
      <c r="E3279" t="s">
        <v>55</v>
      </c>
      <c r="F3279">
        <v>1</v>
      </c>
      <c r="G3279" t="s">
        <v>176</v>
      </c>
      <c r="H3279">
        <v>1</v>
      </c>
      <c r="I3279">
        <v>9</v>
      </c>
      <c r="J3279" s="10">
        <v>13</v>
      </c>
      <c r="K3279" s="10">
        <f>SUMIFS(F:F,D:D,DST_123_ÜRETİM_İHTİYAÇ_RAPORU_BURAK_YENI1309[[#This Row],[ALT_KOD]])-(SUMIFS(H:H,D:D,DST_123_ÜRETİM_İHTİYAÇ_RAPORU_BURAK_YENI1309[[#This Row],[ALT_KOD]])+AVERAGEIFS(I:I,D:D,DST_123_ÜRETİM_İHTİYAÇ_RAPORU_BURAK_YENI1309[[#This Row],[ALT_KOD]])+AVERAGEIFS(L:L,D:D,DST_123_ÜRETİM_İHTİYAÇ_RAPORU_BURAK_YENI1309[[#This Row],[ALT_KOD]]))</f>
        <v>-1</v>
      </c>
      <c r="L3279">
        <v>4</v>
      </c>
      <c r="M3279">
        <f>IF((DST_123_ÜRETİM_İHTİYAÇ_RAPORU_BURAK_YENI1309[[#This Row],[SATINALMA]]*DST_123_ÜRETİM_İHTİYAÇ_RAPORU_BURAK_YENI1309[[#This Row],[BIRIM_FIYATLAR]])&lt;1,VALUE("0"),DST_123_ÜRETİM_İHTİYAÇ_RAPORU_BURAK_YENI1309[[#This Row],[SATINALMA]]*DST_123_ÜRETİM_İHTİYAÇ_RAPORU_BURAK_YENI1309[[#This Row],[BIRIM_FIYATLAR]])</f>
        <v>0</v>
      </c>
      <c r="N3279">
        <v>1600</v>
      </c>
      <c r="O3279" t="s">
        <v>217</v>
      </c>
      <c r="P3279">
        <v>1600</v>
      </c>
      <c r="Q3279" t="s">
        <v>221</v>
      </c>
    </row>
    <row r="3280" spans="1:17" x14ac:dyDescent="0.25">
      <c r="A3280" t="s">
        <v>1143</v>
      </c>
      <c r="B3280" t="s">
        <v>1056</v>
      </c>
      <c r="C3280" t="s">
        <v>175</v>
      </c>
      <c r="D3280" t="s">
        <v>58</v>
      </c>
      <c r="E3280" t="s">
        <v>59</v>
      </c>
      <c r="F3280">
        <v>1</v>
      </c>
      <c r="G3280" t="s">
        <v>176</v>
      </c>
      <c r="H3280">
        <v>0</v>
      </c>
      <c r="I3280">
        <v>17</v>
      </c>
      <c r="J3280" s="10">
        <v>11</v>
      </c>
      <c r="K3280" s="10">
        <f>SUMIFS(F:F,D:D,DST_123_ÜRETİM_İHTİYAÇ_RAPORU_BURAK_YENI1309[[#This Row],[ALT_KOD]])-(SUMIFS(H:H,D:D,DST_123_ÜRETİM_İHTİYAÇ_RAPORU_BURAK_YENI1309[[#This Row],[ALT_KOD]])+AVERAGEIFS(I:I,D:D,DST_123_ÜRETİM_İHTİYAÇ_RAPORU_BURAK_YENI1309[[#This Row],[ALT_KOD]])+AVERAGEIFS(L:L,D:D,DST_123_ÜRETİM_İHTİYAÇ_RAPORU_BURAK_YENI1309[[#This Row],[ALT_KOD]]))</f>
        <v>-5</v>
      </c>
      <c r="L3280">
        <v>0</v>
      </c>
      <c r="M3280">
        <f>IF((DST_123_ÜRETİM_İHTİYAÇ_RAPORU_BURAK_YENI1309[[#This Row],[SATINALMA]]*DST_123_ÜRETİM_İHTİYAÇ_RAPORU_BURAK_YENI1309[[#This Row],[BIRIM_FIYATLAR]])&lt;1,VALUE("0"),DST_123_ÜRETİM_İHTİYAÇ_RAPORU_BURAK_YENI1309[[#This Row],[SATINALMA]]*DST_123_ÜRETİM_İHTİYAÇ_RAPORU_BURAK_YENI1309[[#This Row],[BIRIM_FIYATLAR]])</f>
        <v>0</v>
      </c>
      <c r="N3280">
        <v>1094.4000000000001</v>
      </c>
      <c r="O3280" t="s">
        <v>826</v>
      </c>
      <c r="P3280">
        <v>1094.4000000000001</v>
      </c>
      <c r="Q3280" t="s">
        <v>221</v>
      </c>
    </row>
    <row r="3281" spans="1:17" x14ac:dyDescent="0.25">
      <c r="A3281" t="s">
        <v>1100</v>
      </c>
      <c r="B3281" t="s">
        <v>1058</v>
      </c>
      <c r="C3281" t="s">
        <v>175</v>
      </c>
      <c r="D3281" t="s">
        <v>1023</v>
      </c>
      <c r="E3281" t="s">
        <v>1024</v>
      </c>
      <c r="F3281">
        <v>16</v>
      </c>
      <c r="G3281" t="s">
        <v>176</v>
      </c>
      <c r="H3281">
        <v>0</v>
      </c>
      <c r="I3281">
        <v>0</v>
      </c>
      <c r="J3281" s="10">
        <v>0</v>
      </c>
      <c r="K3281" s="10">
        <f>SUMIFS(F:F,D:D,DST_123_ÜRETİM_İHTİYAÇ_RAPORU_BURAK_YENI1309[[#This Row],[ALT_KOD]])-(SUMIFS(H:H,D:D,DST_123_ÜRETİM_İHTİYAÇ_RAPORU_BURAK_YENI1309[[#This Row],[ALT_KOD]])+AVERAGEIFS(I:I,D:D,DST_123_ÜRETİM_İHTİYAÇ_RAPORU_BURAK_YENI1309[[#This Row],[ALT_KOD]])+AVERAGEIFS(L:L,D:D,DST_123_ÜRETİM_İHTİYAÇ_RAPORU_BURAK_YENI1309[[#This Row],[ALT_KOD]]))</f>
        <v>32</v>
      </c>
      <c r="L3281">
        <v>0</v>
      </c>
      <c r="M3281">
        <f>IF((DST_123_ÜRETİM_İHTİYAÇ_RAPORU_BURAK_YENI1309[[#This Row],[SATINALMA]]*DST_123_ÜRETİM_İHTİYAÇ_RAPORU_BURAK_YENI1309[[#This Row],[BIRIM_FIYATLAR]])&lt;1,VALUE("0"),DST_123_ÜRETİM_İHTİYAÇ_RAPORU_BURAK_YENI1309[[#This Row],[SATINALMA]]*DST_123_ÜRETİM_İHTİYAÇ_RAPORU_BURAK_YENI1309[[#This Row],[BIRIM_FIYATLAR]])</f>
        <v>14.4</v>
      </c>
      <c r="N3281">
        <v>0.45</v>
      </c>
      <c r="O3281" t="s">
        <v>216</v>
      </c>
      <c r="P3281">
        <v>7.2</v>
      </c>
      <c r="Q3281" t="s">
        <v>180</v>
      </c>
    </row>
    <row r="3282" spans="1:17" x14ac:dyDescent="0.25">
      <c r="A3282" t="s">
        <v>1060</v>
      </c>
      <c r="B3282" t="s">
        <v>1061</v>
      </c>
      <c r="C3282" t="s">
        <v>175</v>
      </c>
      <c r="D3282" t="s">
        <v>768</v>
      </c>
      <c r="E3282" t="s">
        <v>769</v>
      </c>
      <c r="F3282">
        <v>6</v>
      </c>
      <c r="G3282" t="s">
        <v>176</v>
      </c>
      <c r="H3282">
        <v>0</v>
      </c>
      <c r="I3282">
        <v>0</v>
      </c>
      <c r="J3282" s="10">
        <v>0</v>
      </c>
      <c r="K3282" s="10">
        <f>SUMIFS(F:F,D:D,DST_123_ÜRETİM_İHTİYAÇ_RAPORU_BURAK_YENI1309[[#This Row],[ALT_KOD]])-(SUMIFS(H:H,D:D,DST_123_ÜRETİM_İHTİYAÇ_RAPORU_BURAK_YENI1309[[#This Row],[ALT_KOD]])+AVERAGEIFS(I:I,D:D,DST_123_ÜRETİM_İHTİYAÇ_RAPORU_BURAK_YENI1309[[#This Row],[ALT_KOD]])+AVERAGEIFS(L:L,D:D,DST_123_ÜRETİM_İHTİYAÇ_RAPORU_BURAK_YENI1309[[#This Row],[ALT_KOD]]))</f>
        <v>54</v>
      </c>
      <c r="L3282">
        <v>0</v>
      </c>
      <c r="M3282">
        <f>IF((DST_123_ÜRETİM_İHTİYAÇ_RAPORU_BURAK_YENI1309[[#This Row],[SATINALMA]]*DST_123_ÜRETİM_İHTİYAÇ_RAPORU_BURAK_YENI1309[[#This Row],[BIRIM_FIYATLAR]])&lt;1,VALUE("0"),DST_123_ÜRETİM_İHTİYAÇ_RAPORU_BURAK_YENI1309[[#This Row],[SATINALMA]]*DST_123_ÜRETİM_İHTİYAÇ_RAPORU_BURAK_YENI1309[[#This Row],[BIRIM_FIYATLAR]])</f>
        <v>67.5</v>
      </c>
      <c r="N3282">
        <v>1.25</v>
      </c>
      <c r="O3282" t="s">
        <v>220</v>
      </c>
      <c r="P3282">
        <v>7.5</v>
      </c>
      <c r="Q3282" t="s">
        <v>221</v>
      </c>
    </row>
    <row r="3283" spans="1:17" x14ac:dyDescent="0.25">
      <c r="A3283" t="s">
        <v>1095</v>
      </c>
      <c r="B3283" t="s">
        <v>1096</v>
      </c>
      <c r="C3283" t="s">
        <v>175</v>
      </c>
      <c r="D3283" t="s">
        <v>54</v>
      </c>
      <c r="E3283" t="s">
        <v>55</v>
      </c>
      <c r="F3283">
        <v>1</v>
      </c>
      <c r="G3283" t="s">
        <v>176</v>
      </c>
      <c r="H3283">
        <v>0</v>
      </c>
      <c r="I3283">
        <v>9</v>
      </c>
      <c r="J3283" s="10">
        <v>13</v>
      </c>
      <c r="K3283" s="10">
        <f>SUMIFS(F:F,D:D,DST_123_ÜRETİM_İHTİYAÇ_RAPORU_BURAK_YENI1309[[#This Row],[ALT_KOD]])-(SUMIFS(H:H,D:D,DST_123_ÜRETİM_İHTİYAÇ_RAPORU_BURAK_YENI1309[[#This Row],[ALT_KOD]])+AVERAGEIFS(I:I,D:D,DST_123_ÜRETİM_İHTİYAÇ_RAPORU_BURAK_YENI1309[[#This Row],[ALT_KOD]])+AVERAGEIFS(L:L,D:D,DST_123_ÜRETİM_İHTİYAÇ_RAPORU_BURAK_YENI1309[[#This Row],[ALT_KOD]]))</f>
        <v>-1</v>
      </c>
      <c r="L3283">
        <v>4</v>
      </c>
      <c r="M3283">
        <f>IF((DST_123_ÜRETİM_İHTİYAÇ_RAPORU_BURAK_YENI1309[[#This Row],[SATINALMA]]*DST_123_ÜRETİM_İHTİYAÇ_RAPORU_BURAK_YENI1309[[#This Row],[BIRIM_FIYATLAR]])&lt;1,VALUE("0"),DST_123_ÜRETİM_İHTİYAÇ_RAPORU_BURAK_YENI1309[[#This Row],[SATINALMA]]*DST_123_ÜRETİM_İHTİYAÇ_RAPORU_BURAK_YENI1309[[#This Row],[BIRIM_FIYATLAR]])</f>
        <v>0</v>
      </c>
      <c r="N3283">
        <v>1600</v>
      </c>
      <c r="O3283" t="s">
        <v>217</v>
      </c>
      <c r="P3283">
        <v>1600</v>
      </c>
      <c r="Q3283" t="s">
        <v>221</v>
      </c>
    </row>
    <row r="3284" spans="1:17" x14ac:dyDescent="0.25">
      <c r="A3284" t="s">
        <v>1142</v>
      </c>
      <c r="B3284" t="s">
        <v>1056</v>
      </c>
      <c r="C3284" t="s">
        <v>175</v>
      </c>
      <c r="D3284" t="s">
        <v>414</v>
      </c>
      <c r="E3284" t="s">
        <v>415</v>
      </c>
      <c r="F3284">
        <v>0.1</v>
      </c>
      <c r="G3284" t="s">
        <v>179</v>
      </c>
      <c r="H3284">
        <v>0</v>
      </c>
      <c r="I3284">
        <v>50</v>
      </c>
      <c r="J3284" s="10">
        <v>2.8310687127941492E-15</v>
      </c>
      <c r="K3284" s="10">
        <f>SUMIFS(F:F,D:D,DST_123_ÜRETİM_İHTİYAÇ_RAPORU_BURAK_YENI1309[[#This Row],[ALT_KOD]])-(SUMIFS(H:H,D:D,DST_123_ÜRETİM_İHTİYAÇ_RAPORU_BURAK_YENI1309[[#This Row],[ALT_KOD]])+AVERAGEIFS(I:I,D:D,DST_123_ÜRETİM_İHTİYAÇ_RAPORU_BURAK_YENI1309[[#This Row],[ALT_KOD]])+AVERAGEIFS(L:L,D:D,DST_123_ÜRETİM_İHTİYAÇ_RAPORU_BURAK_YENI1309[[#This Row],[ALT_KOD]]))</f>
        <v>-47.8</v>
      </c>
      <c r="L3284">
        <v>0</v>
      </c>
      <c r="M3284">
        <f>IF((DST_123_ÜRETİM_İHTİYAÇ_RAPORU_BURAK_YENI1309[[#This Row],[SATINALMA]]*DST_123_ÜRETİM_İHTİYAÇ_RAPORU_BURAK_YENI1309[[#This Row],[BIRIM_FIYATLAR]])&lt;1,VALUE("0"),DST_123_ÜRETİM_İHTİYAÇ_RAPORU_BURAK_YENI1309[[#This Row],[SATINALMA]]*DST_123_ÜRETİM_İHTİYAÇ_RAPORU_BURAK_YENI1309[[#This Row],[BIRIM_FIYATLAR]])</f>
        <v>0</v>
      </c>
      <c r="N3284">
        <v>25.41</v>
      </c>
      <c r="O3284" t="s">
        <v>826</v>
      </c>
      <c r="P3284">
        <v>2.5410000000000004</v>
      </c>
      <c r="Q3284" t="s">
        <v>221</v>
      </c>
    </row>
    <row r="3285" spans="1:17" x14ac:dyDescent="0.25">
      <c r="A3285" t="s">
        <v>1097</v>
      </c>
      <c r="B3285" t="s">
        <v>1055</v>
      </c>
      <c r="C3285" t="s">
        <v>175</v>
      </c>
      <c r="D3285" t="s">
        <v>414</v>
      </c>
      <c r="E3285" t="s">
        <v>415</v>
      </c>
      <c r="F3285">
        <v>0.1</v>
      </c>
      <c r="G3285" t="s">
        <v>179</v>
      </c>
      <c r="H3285">
        <v>0</v>
      </c>
      <c r="I3285">
        <v>50</v>
      </c>
      <c r="J3285" s="10">
        <v>2.8310687127941492E-15</v>
      </c>
      <c r="K3285" s="10">
        <f>SUMIFS(F:F,D:D,DST_123_ÜRETİM_İHTİYAÇ_RAPORU_BURAK_YENI1309[[#This Row],[ALT_KOD]])-(SUMIFS(H:H,D:D,DST_123_ÜRETİM_İHTİYAÇ_RAPORU_BURAK_YENI1309[[#This Row],[ALT_KOD]])+AVERAGEIFS(I:I,D:D,DST_123_ÜRETİM_İHTİYAÇ_RAPORU_BURAK_YENI1309[[#This Row],[ALT_KOD]])+AVERAGEIFS(L:L,D:D,DST_123_ÜRETİM_İHTİYAÇ_RAPORU_BURAK_YENI1309[[#This Row],[ALT_KOD]]))</f>
        <v>-47.8</v>
      </c>
      <c r="L3285">
        <v>0</v>
      </c>
      <c r="M3285">
        <f>IF((DST_123_ÜRETİM_İHTİYAÇ_RAPORU_BURAK_YENI1309[[#This Row],[SATINALMA]]*DST_123_ÜRETİM_İHTİYAÇ_RAPORU_BURAK_YENI1309[[#This Row],[BIRIM_FIYATLAR]])&lt;1,VALUE("0"),DST_123_ÜRETİM_İHTİYAÇ_RAPORU_BURAK_YENI1309[[#This Row],[SATINALMA]]*DST_123_ÜRETİM_İHTİYAÇ_RAPORU_BURAK_YENI1309[[#This Row],[BIRIM_FIYATLAR]])</f>
        <v>0</v>
      </c>
      <c r="N3285">
        <v>25.41</v>
      </c>
      <c r="O3285" t="s">
        <v>826</v>
      </c>
      <c r="P3285">
        <v>2.5410000000000004</v>
      </c>
      <c r="Q3285" t="s">
        <v>221</v>
      </c>
    </row>
    <row r="3286" spans="1:17" x14ac:dyDescent="0.25">
      <c r="A3286" t="s">
        <v>1095</v>
      </c>
      <c r="B3286" t="s">
        <v>1096</v>
      </c>
      <c r="C3286" t="s">
        <v>175</v>
      </c>
      <c r="D3286" t="s">
        <v>756</v>
      </c>
      <c r="E3286" t="s">
        <v>757</v>
      </c>
      <c r="F3286">
        <v>1</v>
      </c>
      <c r="G3286" t="s">
        <v>176</v>
      </c>
      <c r="H3286">
        <v>0</v>
      </c>
      <c r="I3286">
        <v>2</v>
      </c>
      <c r="J3286" s="10">
        <v>4</v>
      </c>
      <c r="K3286" s="10">
        <f>SUMIFS(F:F,D:D,DST_123_ÜRETİM_İHTİYAÇ_RAPORU_BURAK_YENI1309[[#This Row],[ALT_KOD]])-(SUMIFS(H:H,D:D,DST_123_ÜRETİM_İHTİYAÇ_RAPORU_BURAK_YENI1309[[#This Row],[ALT_KOD]])+AVERAGEIFS(I:I,D:D,DST_123_ÜRETİM_İHTİYAÇ_RAPORU_BURAK_YENI1309[[#This Row],[ALT_KOD]])+AVERAGEIFS(L:L,D:D,DST_123_ÜRETİM_İHTİYAÇ_RAPORU_BURAK_YENI1309[[#This Row],[ALT_KOD]]))</f>
        <v>0</v>
      </c>
      <c r="L3286">
        <v>2</v>
      </c>
      <c r="M3286">
        <f>IF((DST_123_ÜRETİM_İHTİYAÇ_RAPORU_BURAK_YENI1309[[#This Row],[SATINALMA]]*DST_123_ÜRETİM_İHTİYAÇ_RAPORU_BURAK_YENI1309[[#This Row],[BIRIM_FIYATLAR]])&lt;1,VALUE("0"),DST_123_ÜRETİM_İHTİYAÇ_RAPORU_BURAK_YENI1309[[#This Row],[SATINALMA]]*DST_123_ÜRETİM_İHTİYAÇ_RAPORU_BURAK_YENI1309[[#This Row],[BIRIM_FIYATLAR]])</f>
        <v>0</v>
      </c>
      <c r="N3286">
        <v>1667.14</v>
      </c>
      <c r="O3286" t="s">
        <v>632</v>
      </c>
      <c r="P3286">
        <v>1667.14</v>
      </c>
      <c r="Q3286" t="s">
        <v>177</v>
      </c>
    </row>
    <row r="3287" spans="1:17" x14ac:dyDescent="0.25">
      <c r="A3287" t="s">
        <v>1095</v>
      </c>
      <c r="B3287" t="s">
        <v>1096</v>
      </c>
      <c r="C3287" t="s">
        <v>175</v>
      </c>
      <c r="D3287" t="s">
        <v>376</v>
      </c>
      <c r="E3287" t="s">
        <v>377</v>
      </c>
      <c r="F3287">
        <v>3</v>
      </c>
      <c r="G3287" t="s">
        <v>176</v>
      </c>
      <c r="H3287">
        <v>0</v>
      </c>
      <c r="I3287">
        <v>38</v>
      </c>
      <c r="J3287" s="10">
        <v>25</v>
      </c>
      <c r="K3287" s="10">
        <f>SUMIFS(F:F,D:D,DST_123_ÜRETİM_İHTİYAÇ_RAPORU_BURAK_YENI1309[[#This Row],[ALT_KOD]])-(SUMIFS(H:H,D:D,DST_123_ÜRETİM_İHTİYAÇ_RAPORU_BURAK_YENI1309[[#This Row],[ALT_KOD]])+AVERAGEIFS(I:I,D:D,DST_123_ÜRETİM_İHTİYAÇ_RAPORU_BURAK_YENI1309[[#This Row],[ALT_KOD]])+AVERAGEIFS(L:L,D:D,DST_123_ÜRETİM_İHTİYAÇ_RAPORU_BURAK_YENI1309[[#This Row],[ALT_KOD]]))</f>
        <v>-2</v>
      </c>
      <c r="L3287">
        <v>20</v>
      </c>
      <c r="M3287">
        <f>IF((DST_123_ÜRETİM_İHTİYAÇ_RAPORU_BURAK_YENI1309[[#This Row],[SATINALMA]]*DST_123_ÜRETİM_İHTİYAÇ_RAPORU_BURAK_YENI1309[[#This Row],[BIRIM_FIYATLAR]])&lt;1,VALUE("0"),DST_123_ÜRETİM_İHTİYAÇ_RAPORU_BURAK_YENI1309[[#This Row],[SATINALMA]]*DST_123_ÜRETİM_İHTİYAÇ_RAPORU_BURAK_YENI1309[[#This Row],[BIRIM_FIYATLAR]])</f>
        <v>0</v>
      </c>
      <c r="N3287">
        <v>245</v>
      </c>
      <c r="O3287" t="s">
        <v>821</v>
      </c>
      <c r="P3287">
        <v>735</v>
      </c>
      <c r="Q3287" t="s">
        <v>178</v>
      </c>
    </row>
    <row r="3288" spans="1:17" x14ac:dyDescent="0.25">
      <c r="A3288" t="s">
        <v>1097</v>
      </c>
      <c r="B3288" t="s">
        <v>1055</v>
      </c>
      <c r="C3288" t="s">
        <v>175</v>
      </c>
      <c r="D3288" t="s">
        <v>616</v>
      </c>
      <c r="E3288" t="s">
        <v>617</v>
      </c>
      <c r="F3288">
        <v>1</v>
      </c>
      <c r="G3288" t="s">
        <v>176</v>
      </c>
      <c r="H3288">
        <v>0</v>
      </c>
      <c r="I3288">
        <v>114</v>
      </c>
      <c r="J3288" s="10">
        <v>0</v>
      </c>
      <c r="K3288" s="10">
        <f>SUMIFS(F:F,D:D,DST_123_ÜRETİM_İHTİYAÇ_RAPORU_BURAK_YENI1309[[#This Row],[ALT_KOD]])-(SUMIFS(H:H,D:D,DST_123_ÜRETİM_İHTİYAÇ_RAPORU_BURAK_YENI1309[[#This Row],[ALT_KOD]])+AVERAGEIFS(I:I,D:D,DST_123_ÜRETİM_İHTİYAÇ_RAPORU_BURAK_YENI1309[[#This Row],[ALT_KOD]])+AVERAGEIFS(L:L,D:D,DST_123_ÜRETİM_İHTİYAÇ_RAPORU_BURAK_YENI1309[[#This Row],[ALT_KOD]]))</f>
        <v>-109</v>
      </c>
      <c r="L3288">
        <v>0</v>
      </c>
      <c r="M3288">
        <f>IF((DST_123_ÜRETİM_İHTİYAÇ_RAPORU_BURAK_YENI1309[[#This Row],[SATINALMA]]*DST_123_ÜRETİM_İHTİYAÇ_RAPORU_BURAK_YENI1309[[#This Row],[BIRIM_FIYATLAR]])&lt;1,VALUE("0"),DST_123_ÜRETİM_İHTİYAÇ_RAPORU_BURAK_YENI1309[[#This Row],[SATINALMA]]*DST_123_ÜRETİM_İHTİYAÇ_RAPORU_BURAK_YENI1309[[#This Row],[BIRIM_FIYATLAR]])</f>
        <v>0</v>
      </c>
      <c r="N3288">
        <v>10</v>
      </c>
      <c r="P3288">
        <v>10</v>
      </c>
      <c r="Q3288" t="s">
        <v>178</v>
      </c>
    </row>
    <row r="3289" spans="1:17" x14ac:dyDescent="0.25">
      <c r="A3289" t="s">
        <v>1098</v>
      </c>
      <c r="B3289" t="s">
        <v>1096</v>
      </c>
      <c r="C3289" t="s">
        <v>175</v>
      </c>
      <c r="D3289" t="s">
        <v>268</v>
      </c>
      <c r="E3289" t="s">
        <v>588</v>
      </c>
      <c r="F3289">
        <v>1</v>
      </c>
      <c r="G3289" t="s">
        <v>176</v>
      </c>
      <c r="H3289">
        <v>0</v>
      </c>
      <c r="I3289">
        <v>1</v>
      </c>
      <c r="J3289" s="10">
        <v>11</v>
      </c>
      <c r="K3289" s="10">
        <f>SUMIFS(F:F,D:D,DST_123_ÜRETİM_İHTİYAÇ_RAPORU_BURAK_YENI1309[[#This Row],[ALT_KOD]])-(SUMIFS(H:H,D:D,DST_123_ÜRETİM_İHTİYAÇ_RAPORU_BURAK_YENI1309[[#This Row],[ALT_KOD]])+AVERAGEIFS(I:I,D:D,DST_123_ÜRETİM_İHTİYAÇ_RAPORU_BURAK_YENI1309[[#This Row],[ALT_KOD]])+AVERAGEIFS(L:L,D:D,DST_123_ÜRETİM_İHTİYAÇ_RAPORU_BURAK_YENI1309[[#This Row],[ALT_KOD]]))</f>
        <v>16</v>
      </c>
      <c r="L3289">
        <v>0</v>
      </c>
      <c r="M3289">
        <f>IF((DST_123_ÜRETİM_İHTİYAÇ_RAPORU_BURAK_YENI1309[[#This Row],[SATINALMA]]*DST_123_ÜRETİM_İHTİYAÇ_RAPORU_BURAK_YENI1309[[#This Row],[BIRIM_FIYATLAR]])&lt;1,VALUE("0"),DST_123_ÜRETİM_İHTİYAÇ_RAPORU_BURAK_YENI1309[[#This Row],[SATINALMA]]*DST_123_ÜRETİM_İHTİYAÇ_RAPORU_BURAK_YENI1309[[#This Row],[BIRIM_FIYATLAR]])</f>
        <v>212968.32000000001</v>
      </c>
      <c r="N3289">
        <v>13310.52</v>
      </c>
      <c r="O3289" t="s">
        <v>589</v>
      </c>
      <c r="P3289">
        <v>13310.52</v>
      </c>
      <c r="Q3289" t="s">
        <v>177</v>
      </c>
    </row>
    <row r="3290" spans="1:17" x14ac:dyDescent="0.25">
      <c r="A3290" t="s">
        <v>1098</v>
      </c>
      <c r="B3290" t="s">
        <v>1096</v>
      </c>
      <c r="C3290" t="s">
        <v>175</v>
      </c>
      <c r="D3290" t="s">
        <v>435</v>
      </c>
      <c r="E3290" t="s">
        <v>436</v>
      </c>
      <c r="F3290">
        <v>1</v>
      </c>
      <c r="G3290" t="s">
        <v>176</v>
      </c>
      <c r="H3290">
        <v>0</v>
      </c>
      <c r="I3290">
        <v>10</v>
      </c>
      <c r="J3290" s="10">
        <v>5</v>
      </c>
      <c r="K3290" s="10">
        <f>SUMIFS(F:F,D:D,DST_123_ÜRETİM_İHTİYAÇ_RAPORU_BURAK_YENI1309[[#This Row],[ALT_KOD]])-(SUMIFS(H:H,D:D,DST_123_ÜRETİM_İHTİYAÇ_RAPORU_BURAK_YENI1309[[#This Row],[ALT_KOD]])+AVERAGEIFS(I:I,D:D,DST_123_ÜRETİM_İHTİYAÇ_RAPORU_BURAK_YENI1309[[#This Row],[ALT_KOD]])+AVERAGEIFS(L:L,D:D,DST_123_ÜRETİM_İHTİYAÇ_RAPORU_BURAK_YENI1309[[#This Row],[ALT_KOD]]))</f>
        <v>-6</v>
      </c>
      <c r="L3290">
        <v>0</v>
      </c>
      <c r="M3290">
        <f>IF((DST_123_ÜRETİM_İHTİYAÇ_RAPORU_BURAK_YENI1309[[#This Row],[SATINALMA]]*DST_123_ÜRETİM_İHTİYAÇ_RAPORU_BURAK_YENI1309[[#This Row],[BIRIM_FIYATLAR]])&lt;1,VALUE("0"),DST_123_ÜRETİM_İHTİYAÇ_RAPORU_BURAK_YENI1309[[#This Row],[SATINALMA]]*DST_123_ÜRETİM_İHTİYAÇ_RAPORU_BURAK_YENI1309[[#This Row],[BIRIM_FIYATLAR]])</f>
        <v>0</v>
      </c>
      <c r="N3290">
        <v>1723.79</v>
      </c>
      <c r="O3290" t="s">
        <v>636</v>
      </c>
      <c r="P3290">
        <v>1723.79</v>
      </c>
      <c r="Q3290" t="s">
        <v>178</v>
      </c>
    </row>
    <row r="3291" spans="1:17" x14ac:dyDescent="0.25">
      <c r="A3291" t="s">
        <v>1060</v>
      </c>
      <c r="B3291" t="s">
        <v>1061</v>
      </c>
      <c r="C3291" t="s">
        <v>175</v>
      </c>
      <c r="D3291" t="s">
        <v>514</v>
      </c>
      <c r="E3291" t="s">
        <v>515</v>
      </c>
      <c r="F3291">
        <v>0.6</v>
      </c>
      <c r="G3291" t="s">
        <v>176</v>
      </c>
      <c r="H3291">
        <v>0</v>
      </c>
      <c r="I3291">
        <v>0</v>
      </c>
      <c r="J3291" s="10">
        <v>-1.7763568394002505E-15</v>
      </c>
      <c r="K3291" s="10">
        <f>SUMIFS(F:F,D:D,DST_123_ÜRETİM_İHTİYAÇ_RAPORU_BURAK_YENI1309[[#This Row],[ALT_KOD]])-(SUMIFS(H:H,D:D,DST_123_ÜRETİM_İHTİYAÇ_RAPORU_BURAK_YENI1309[[#This Row],[ALT_KOD]])+AVERAGEIFS(I:I,D:D,DST_123_ÜRETİM_İHTİYAÇ_RAPORU_BURAK_YENI1309[[#This Row],[ALT_KOD]])+AVERAGEIFS(L:L,D:D,DST_123_ÜRETİM_İHTİYAÇ_RAPORU_BURAK_YENI1309[[#This Row],[ALT_KOD]]))</f>
        <v>6.9999999999999991</v>
      </c>
      <c r="L3291">
        <v>0</v>
      </c>
      <c r="M3291">
        <f>IF((DST_123_ÜRETİM_İHTİYAÇ_RAPORU_BURAK_YENI1309[[#This Row],[SATINALMA]]*DST_123_ÜRETİM_İHTİYAÇ_RAPORU_BURAK_YENI1309[[#This Row],[BIRIM_FIYATLAR]])&lt;1,VALUE("0"),DST_123_ÜRETİM_İHTİYAÇ_RAPORU_BURAK_YENI1309[[#This Row],[SATINALMA]]*DST_123_ÜRETİM_İHTİYAÇ_RAPORU_BURAK_YENI1309[[#This Row],[BIRIM_FIYATLAR]])</f>
        <v>489.99999999999994</v>
      </c>
      <c r="N3291">
        <v>70</v>
      </c>
      <c r="O3291" t="s">
        <v>240</v>
      </c>
      <c r="P3291">
        <v>42</v>
      </c>
      <c r="Q3291" t="s">
        <v>180</v>
      </c>
    </row>
    <row r="3292" spans="1:17" x14ac:dyDescent="0.25">
      <c r="A3292" t="s">
        <v>1095</v>
      </c>
      <c r="B3292" t="s">
        <v>1096</v>
      </c>
      <c r="C3292" t="s">
        <v>175</v>
      </c>
      <c r="D3292" t="s">
        <v>293</v>
      </c>
      <c r="E3292" t="s">
        <v>323</v>
      </c>
      <c r="F3292">
        <v>0.09</v>
      </c>
      <c r="G3292" t="s">
        <v>185</v>
      </c>
      <c r="H3292">
        <v>0</v>
      </c>
      <c r="I3292">
        <v>2.5</v>
      </c>
      <c r="J3292" s="10">
        <v>-4.9960036108132044E-16</v>
      </c>
      <c r="K3292" s="10">
        <f>SUMIFS(F:F,D:D,DST_123_ÜRETİM_İHTİYAÇ_RAPORU_BURAK_YENI1309[[#This Row],[ALT_KOD]])-(SUMIFS(H:H,D:D,DST_123_ÜRETİM_İHTİYAÇ_RAPORU_BURAK_YENI1309[[#This Row],[ALT_KOD]])+AVERAGEIFS(I:I,D:D,DST_123_ÜRETİM_İHTİYAÇ_RAPORU_BURAK_YENI1309[[#This Row],[ALT_KOD]])+AVERAGEIFS(L:L,D:D,DST_123_ÜRETİM_İHTİYAÇ_RAPORU_BURAK_YENI1309[[#This Row],[ALT_KOD]]))</f>
        <v>-0.61999999999999922</v>
      </c>
      <c r="L3292">
        <v>0</v>
      </c>
      <c r="M3292">
        <f>IF((DST_123_ÜRETİM_İHTİYAÇ_RAPORU_BURAK_YENI1309[[#This Row],[SATINALMA]]*DST_123_ÜRETİM_İHTİYAÇ_RAPORU_BURAK_YENI1309[[#This Row],[BIRIM_FIYATLAR]])&lt;1,VALUE("0"),DST_123_ÜRETİM_İHTİYAÇ_RAPORU_BURAK_YENI1309[[#This Row],[SATINALMA]]*DST_123_ÜRETİM_İHTİYAÇ_RAPORU_BURAK_YENI1309[[#This Row],[BIRIM_FIYATLAR]])</f>
        <v>0</v>
      </c>
      <c r="N3292">
        <v>2400</v>
      </c>
      <c r="O3292" t="s">
        <v>220</v>
      </c>
      <c r="P3292">
        <v>216</v>
      </c>
      <c r="Q3292" t="s">
        <v>180</v>
      </c>
    </row>
    <row r="3293" spans="1:17" x14ac:dyDescent="0.25">
      <c r="A3293" t="s">
        <v>1097</v>
      </c>
      <c r="B3293" t="s">
        <v>1055</v>
      </c>
      <c r="C3293" t="s">
        <v>175</v>
      </c>
      <c r="D3293" t="s">
        <v>293</v>
      </c>
      <c r="E3293" t="s">
        <v>323</v>
      </c>
      <c r="F3293">
        <v>0.30000000000000004</v>
      </c>
      <c r="G3293" t="s">
        <v>185</v>
      </c>
      <c r="H3293">
        <v>0</v>
      </c>
      <c r="I3293">
        <v>2.5</v>
      </c>
      <c r="J3293" s="10">
        <v>-4.9960036108132044E-16</v>
      </c>
      <c r="K3293" s="10">
        <f>SUMIFS(F:F,D:D,DST_123_ÜRETİM_İHTİYAÇ_RAPORU_BURAK_YENI1309[[#This Row],[ALT_KOD]])-(SUMIFS(H:H,D:D,DST_123_ÜRETİM_İHTİYAÇ_RAPORU_BURAK_YENI1309[[#This Row],[ALT_KOD]])+AVERAGEIFS(I:I,D:D,DST_123_ÜRETİM_İHTİYAÇ_RAPORU_BURAK_YENI1309[[#This Row],[ALT_KOD]])+AVERAGEIFS(L:L,D:D,DST_123_ÜRETİM_İHTİYAÇ_RAPORU_BURAK_YENI1309[[#This Row],[ALT_KOD]]))</f>
        <v>-0.61999999999999922</v>
      </c>
      <c r="L3293">
        <v>0</v>
      </c>
      <c r="M3293">
        <f>IF((DST_123_ÜRETİM_İHTİYAÇ_RAPORU_BURAK_YENI1309[[#This Row],[SATINALMA]]*DST_123_ÜRETİM_İHTİYAÇ_RAPORU_BURAK_YENI1309[[#This Row],[BIRIM_FIYATLAR]])&lt;1,VALUE("0"),DST_123_ÜRETİM_İHTİYAÇ_RAPORU_BURAK_YENI1309[[#This Row],[SATINALMA]]*DST_123_ÜRETİM_İHTİYAÇ_RAPORU_BURAK_YENI1309[[#This Row],[BIRIM_FIYATLAR]])</f>
        <v>0</v>
      </c>
      <c r="N3293">
        <v>2400</v>
      </c>
      <c r="O3293" t="s">
        <v>220</v>
      </c>
      <c r="P3293">
        <v>720.00000000000011</v>
      </c>
      <c r="Q3293" t="s">
        <v>180</v>
      </c>
    </row>
    <row r="3294" spans="1:17" x14ac:dyDescent="0.25">
      <c r="A3294" t="s">
        <v>1059</v>
      </c>
      <c r="B3294" t="s">
        <v>1058</v>
      </c>
      <c r="C3294" t="s">
        <v>175</v>
      </c>
      <c r="D3294" t="s">
        <v>293</v>
      </c>
      <c r="E3294" t="s">
        <v>323</v>
      </c>
      <c r="F3294">
        <v>0.06</v>
      </c>
      <c r="G3294" t="s">
        <v>185</v>
      </c>
      <c r="H3294">
        <v>0</v>
      </c>
      <c r="I3294">
        <v>2.5</v>
      </c>
      <c r="J3294" s="10">
        <v>-4.9960036108132044E-16</v>
      </c>
      <c r="K3294" s="10">
        <f>SUMIFS(F:F,D:D,DST_123_ÜRETİM_İHTİYAÇ_RAPORU_BURAK_YENI1309[[#This Row],[ALT_KOD]])-(SUMIFS(H:H,D:D,DST_123_ÜRETİM_İHTİYAÇ_RAPORU_BURAK_YENI1309[[#This Row],[ALT_KOD]])+AVERAGEIFS(I:I,D:D,DST_123_ÜRETİM_İHTİYAÇ_RAPORU_BURAK_YENI1309[[#This Row],[ALT_KOD]])+AVERAGEIFS(L:L,D:D,DST_123_ÜRETİM_İHTİYAÇ_RAPORU_BURAK_YENI1309[[#This Row],[ALT_KOD]]))</f>
        <v>-0.61999999999999922</v>
      </c>
      <c r="L3294">
        <v>0</v>
      </c>
      <c r="M3294">
        <f>IF((DST_123_ÜRETİM_İHTİYAÇ_RAPORU_BURAK_YENI1309[[#This Row],[SATINALMA]]*DST_123_ÜRETİM_İHTİYAÇ_RAPORU_BURAK_YENI1309[[#This Row],[BIRIM_FIYATLAR]])&lt;1,VALUE("0"),DST_123_ÜRETİM_İHTİYAÇ_RAPORU_BURAK_YENI1309[[#This Row],[SATINALMA]]*DST_123_ÜRETİM_İHTİYAÇ_RAPORU_BURAK_YENI1309[[#This Row],[BIRIM_FIYATLAR]])</f>
        <v>0</v>
      </c>
      <c r="N3294">
        <v>2400</v>
      </c>
      <c r="O3294" t="s">
        <v>220</v>
      </c>
      <c r="P3294">
        <v>144</v>
      </c>
      <c r="Q3294" t="s">
        <v>180</v>
      </c>
    </row>
    <row r="3295" spans="1:17" x14ac:dyDescent="0.25">
      <c r="A3295" t="s">
        <v>1147</v>
      </c>
      <c r="B3295" t="s">
        <v>1145</v>
      </c>
      <c r="C3295" t="s">
        <v>175</v>
      </c>
      <c r="D3295" t="s">
        <v>450</v>
      </c>
      <c r="E3295" t="s">
        <v>624</v>
      </c>
      <c r="F3295">
        <v>2</v>
      </c>
      <c r="G3295" t="s">
        <v>176</v>
      </c>
      <c r="H3295">
        <v>0</v>
      </c>
      <c r="I3295">
        <v>6</v>
      </c>
      <c r="J3295" s="10">
        <v>24</v>
      </c>
      <c r="K3295" s="10">
        <f>SUMIFS(F:F,D:D,DST_123_ÜRETİM_İHTİYAÇ_RAPORU_BURAK_YENI1309[[#This Row],[ALT_KOD]])-(SUMIFS(H:H,D:D,DST_123_ÜRETİM_İHTİYAÇ_RAPORU_BURAK_YENI1309[[#This Row],[ALT_KOD]])+AVERAGEIFS(I:I,D:D,DST_123_ÜRETİM_İHTİYAÇ_RAPORU_BURAK_YENI1309[[#This Row],[ALT_KOD]])+AVERAGEIFS(L:L,D:D,DST_123_ÜRETİM_İHTİYAÇ_RAPORU_BURAK_YENI1309[[#This Row],[ALT_KOD]]))</f>
        <v>10</v>
      </c>
      <c r="L3295">
        <v>0</v>
      </c>
      <c r="M3295">
        <f>IF((DST_123_ÜRETİM_İHTİYAÇ_RAPORU_BURAK_YENI1309[[#This Row],[SATINALMA]]*DST_123_ÜRETİM_İHTİYAÇ_RAPORU_BURAK_YENI1309[[#This Row],[BIRIM_FIYATLAR]])&lt;1,VALUE("0"),DST_123_ÜRETİM_İHTİYAÇ_RAPORU_BURAK_YENI1309[[#This Row],[SATINALMA]]*DST_123_ÜRETİM_İHTİYAÇ_RAPORU_BURAK_YENI1309[[#This Row],[BIRIM_FIYATLAR]])</f>
        <v>149462.5</v>
      </c>
      <c r="N3295">
        <v>14946.25</v>
      </c>
      <c r="O3295" t="s">
        <v>625</v>
      </c>
      <c r="P3295">
        <v>29892.5</v>
      </c>
      <c r="Q3295" t="s">
        <v>178</v>
      </c>
    </row>
    <row r="3296" spans="1:17" x14ac:dyDescent="0.25">
      <c r="A3296" t="s">
        <v>1147</v>
      </c>
      <c r="B3296" t="s">
        <v>1145</v>
      </c>
      <c r="C3296" t="s">
        <v>175</v>
      </c>
      <c r="D3296" t="s">
        <v>439</v>
      </c>
      <c r="E3296" t="s">
        <v>440</v>
      </c>
      <c r="F3296">
        <v>1</v>
      </c>
      <c r="G3296" t="s">
        <v>176</v>
      </c>
      <c r="H3296">
        <v>0</v>
      </c>
      <c r="I3296">
        <v>28</v>
      </c>
      <c r="J3296" s="10">
        <v>5</v>
      </c>
      <c r="K3296" s="10">
        <f>SUMIFS(F:F,D:D,DST_123_ÜRETİM_İHTİYAÇ_RAPORU_BURAK_YENI1309[[#This Row],[ALT_KOD]])-(SUMIFS(H:H,D:D,DST_123_ÜRETİM_İHTİYAÇ_RAPORU_BURAK_YENI1309[[#This Row],[ALT_KOD]])+AVERAGEIFS(I:I,D:D,DST_123_ÜRETİM_İHTİYAÇ_RAPORU_BURAK_YENI1309[[#This Row],[ALT_KOD]])+AVERAGEIFS(L:L,D:D,DST_123_ÜRETİM_İHTİYAÇ_RAPORU_BURAK_YENI1309[[#This Row],[ALT_KOD]]))</f>
        <v>-16</v>
      </c>
      <c r="L3296">
        <v>0</v>
      </c>
      <c r="M3296">
        <f>IF((DST_123_ÜRETİM_İHTİYAÇ_RAPORU_BURAK_YENI1309[[#This Row],[SATINALMA]]*DST_123_ÜRETİM_İHTİYAÇ_RAPORU_BURAK_YENI1309[[#This Row],[BIRIM_FIYATLAR]])&lt;1,VALUE("0"),DST_123_ÜRETİM_İHTİYAÇ_RAPORU_BURAK_YENI1309[[#This Row],[SATINALMA]]*DST_123_ÜRETİM_İHTİYAÇ_RAPORU_BURAK_YENI1309[[#This Row],[BIRIM_FIYATLAR]])</f>
        <v>0</v>
      </c>
      <c r="N3296">
        <v>373.06</v>
      </c>
      <c r="O3296" t="s">
        <v>636</v>
      </c>
      <c r="P3296">
        <v>373.06</v>
      </c>
      <c r="Q3296" t="s">
        <v>178</v>
      </c>
    </row>
    <row r="3297" spans="1:17" x14ac:dyDescent="0.25">
      <c r="A3297" t="s">
        <v>1148</v>
      </c>
      <c r="B3297" t="s">
        <v>1056</v>
      </c>
      <c r="C3297" t="s">
        <v>175</v>
      </c>
      <c r="D3297" t="s">
        <v>439</v>
      </c>
      <c r="E3297" t="s">
        <v>440</v>
      </c>
      <c r="F3297">
        <v>1</v>
      </c>
      <c r="G3297" t="s">
        <v>176</v>
      </c>
      <c r="H3297">
        <v>0</v>
      </c>
      <c r="I3297">
        <v>28</v>
      </c>
      <c r="J3297" s="10">
        <v>5</v>
      </c>
      <c r="K3297" s="10">
        <f>SUMIFS(F:F,D:D,DST_123_ÜRETİM_İHTİYAÇ_RAPORU_BURAK_YENI1309[[#This Row],[ALT_KOD]])-(SUMIFS(H:H,D:D,DST_123_ÜRETİM_İHTİYAÇ_RAPORU_BURAK_YENI1309[[#This Row],[ALT_KOD]])+AVERAGEIFS(I:I,D:D,DST_123_ÜRETİM_İHTİYAÇ_RAPORU_BURAK_YENI1309[[#This Row],[ALT_KOD]])+AVERAGEIFS(L:L,D:D,DST_123_ÜRETİM_İHTİYAÇ_RAPORU_BURAK_YENI1309[[#This Row],[ALT_KOD]]))</f>
        <v>-16</v>
      </c>
      <c r="L3297">
        <v>0</v>
      </c>
      <c r="M3297">
        <f>IF((DST_123_ÜRETİM_İHTİYAÇ_RAPORU_BURAK_YENI1309[[#This Row],[SATINALMA]]*DST_123_ÜRETİM_İHTİYAÇ_RAPORU_BURAK_YENI1309[[#This Row],[BIRIM_FIYATLAR]])&lt;1,VALUE("0"),DST_123_ÜRETİM_İHTİYAÇ_RAPORU_BURAK_YENI1309[[#This Row],[SATINALMA]]*DST_123_ÜRETİM_İHTİYAÇ_RAPORU_BURAK_YENI1309[[#This Row],[BIRIM_FIYATLAR]])</f>
        <v>0</v>
      </c>
      <c r="N3297">
        <v>373.06</v>
      </c>
      <c r="O3297" t="s">
        <v>636</v>
      </c>
      <c r="P3297">
        <v>373.06</v>
      </c>
      <c r="Q3297" t="s">
        <v>178</v>
      </c>
    </row>
    <row r="3298" spans="1:17" x14ac:dyDescent="0.25">
      <c r="A3298" t="s">
        <v>1143</v>
      </c>
      <c r="B3298" t="s">
        <v>1056</v>
      </c>
      <c r="C3298" t="s">
        <v>175</v>
      </c>
      <c r="D3298" t="s">
        <v>630</v>
      </c>
      <c r="E3298" t="s">
        <v>631</v>
      </c>
      <c r="F3298">
        <v>498</v>
      </c>
      <c r="G3298" t="s">
        <v>176</v>
      </c>
      <c r="H3298">
        <v>0</v>
      </c>
      <c r="I3298">
        <v>8000</v>
      </c>
      <c r="J3298" s="10">
        <v>11449</v>
      </c>
      <c r="K3298" s="10">
        <f>SUMIFS(F:F,D:D,DST_123_ÜRETİM_İHTİYAÇ_RAPORU_BURAK_YENI1309[[#This Row],[ALT_KOD]])-(SUMIFS(H:H,D:D,DST_123_ÜRETİM_İHTİYAÇ_RAPORU_BURAK_YENI1309[[#This Row],[ALT_KOD]])+AVERAGEIFS(I:I,D:D,DST_123_ÜRETİM_İHTİYAÇ_RAPORU_BURAK_YENI1309[[#This Row],[ALT_KOD]])+AVERAGEIFS(L:L,D:D,DST_123_ÜRETİM_İHTİYAÇ_RAPORU_BURAK_YENI1309[[#This Row],[ALT_KOD]]))</f>
        <v>-1313</v>
      </c>
      <c r="L3298">
        <v>0</v>
      </c>
      <c r="M3298">
        <f>IF((DST_123_ÜRETİM_İHTİYAÇ_RAPORU_BURAK_YENI1309[[#This Row],[SATINALMA]]*DST_123_ÜRETİM_İHTİYAÇ_RAPORU_BURAK_YENI1309[[#This Row],[BIRIM_FIYATLAR]])&lt;1,VALUE("0"),DST_123_ÜRETİM_İHTİYAÇ_RAPORU_BURAK_YENI1309[[#This Row],[SATINALMA]]*DST_123_ÜRETİM_İHTİYAÇ_RAPORU_BURAK_YENI1309[[#This Row],[BIRIM_FIYATLAR]])</f>
        <v>0</v>
      </c>
      <c r="N3298">
        <v>0.54</v>
      </c>
      <c r="O3298" t="s">
        <v>628</v>
      </c>
      <c r="P3298">
        <v>268.92</v>
      </c>
      <c r="Q3298" t="s">
        <v>180</v>
      </c>
    </row>
    <row r="3299" spans="1:17" x14ac:dyDescent="0.25">
      <c r="A3299" t="s">
        <v>1059</v>
      </c>
      <c r="B3299" t="s">
        <v>1058</v>
      </c>
      <c r="C3299" t="s">
        <v>175</v>
      </c>
      <c r="D3299" t="s">
        <v>630</v>
      </c>
      <c r="E3299" t="s">
        <v>631</v>
      </c>
      <c r="F3299">
        <v>210</v>
      </c>
      <c r="G3299" t="s">
        <v>176</v>
      </c>
      <c r="H3299">
        <v>0</v>
      </c>
      <c r="I3299">
        <v>8000</v>
      </c>
      <c r="J3299" s="10">
        <v>11449</v>
      </c>
      <c r="K3299" s="10">
        <f>SUMIFS(F:F,D:D,DST_123_ÜRETİM_İHTİYAÇ_RAPORU_BURAK_YENI1309[[#This Row],[ALT_KOD]])-(SUMIFS(H:H,D:D,DST_123_ÜRETİM_İHTİYAÇ_RAPORU_BURAK_YENI1309[[#This Row],[ALT_KOD]])+AVERAGEIFS(I:I,D:D,DST_123_ÜRETİM_İHTİYAÇ_RAPORU_BURAK_YENI1309[[#This Row],[ALT_KOD]])+AVERAGEIFS(L:L,D:D,DST_123_ÜRETİM_İHTİYAÇ_RAPORU_BURAK_YENI1309[[#This Row],[ALT_KOD]]))</f>
        <v>-1313</v>
      </c>
      <c r="L3299">
        <v>0</v>
      </c>
      <c r="M3299">
        <f>IF((DST_123_ÜRETİM_İHTİYAÇ_RAPORU_BURAK_YENI1309[[#This Row],[SATINALMA]]*DST_123_ÜRETİM_İHTİYAÇ_RAPORU_BURAK_YENI1309[[#This Row],[BIRIM_FIYATLAR]])&lt;1,VALUE("0"),DST_123_ÜRETİM_İHTİYAÇ_RAPORU_BURAK_YENI1309[[#This Row],[SATINALMA]]*DST_123_ÜRETİM_İHTİYAÇ_RAPORU_BURAK_YENI1309[[#This Row],[BIRIM_FIYATLAR]])</f>
        <v>0</v>
      </c>
      <c r="N3299">
        <v>0.54</v>
      </c>
      <c r="O3299" t="s">
        <v>628</v>
      </c>
      <c r="P3299">
        <v>113.4</v>
      </c>
      <c r="Q3299" t="s">
        <v>180</v>
      </c>
    </row>
    <row r="3300" spans="1:17" x14ac:dyDescent="0.25">
      <c r="A3300" t="s">
        <v>1097</v>
      </c>
      <c r="B3300" t="s">
        <v>1055</v>
      </c>
      <c r="C3300" t="s">
        <v>175</v>
      </c>
      <c r="D3300" t="s">
        <v>597</v>
      </c>
      <c r="E3300" t="s">
        <v>598</v>
      </c>
      <c r="F3300">
        <v>2</v>
      </c>
      <c r="G3300" t="s">
        <v>176</v>
      </c>
      <c r="H3300">
        <v>2</v>
      </c>
      <c r="I3300">
        <v>29</v>
      </c>
      <c r="J3300" s="10">
        <v>9</v>
      </c>
      <c r="K3300" s="10">
        <f>SUMIFS(F:F,D:D,DST_123_ÜRETİM_İHTİYAÇ_RAPORU_BURAK_YENI1309[[#This Row],[ALT_KOD]])-(SUMIFS(H:H,D:D,DST_123_ÜRETİM_İHTİYAÇ_RAPORU_BURAK_YENI1309[[#This Row],[ALT_KOD]])+AVERAGEIFS(I:I,D:D,DST_123_ÜRETİM_İHTİYAÇ_RAPORU_BURAK_YENI1309[[#This Row],[ALT_KOD]])+AVERAGEIFS(L:L,D:D,DST_123_ÜRETİM_İHTİYAÇ_RAPORU_BURAK_YENI1309[[#This Row],[ALT_KOD]]))</f>
        <v>-13</v>
      </c>
      <c r="L3300">
        <v>0</v>
      </c>
      <c r="M3300">
        <f>IF((DST_123_ÜRETİM_İHTİYAÇ_RAPORU_BURAK_YENI1309[[#This Row],[SATINALMA]]*DST_123_ÜRETİM_İHTİYAÇ_RAPORU_BURAK_YENI1309[[#This Row],[BIRIM_FIYATLAR]])&lt;1,VALUE("0"),DST_123_ÜRETİM_İHTİYAÇ_RAPORU_BURAK_YENI1309[[#This Row],[SATINALMA]]*DST_123_ÜRETİM_İHTİYAÇ_RAPORU_BURAK_YENI1309[[#This Row],[BIRIM_FIYATLAR]])</f>
        <v>0</v>
      </c>
      <c r="N3300">
        <v>355.05</v>
      </c>
      <c r="O3300" t="s">
        <v>636</v>
      </c>
      <c r="P3300">
        <v>710.1</v>
      </c>
      <c r="Q3300" t="s">
        <v>177</v>
      </c>
    </row>
    <row r="3301" spans="1:17" x14ac:dyDescent="0.25">
      <c r="A3301" t="s">
        <v>1064</v>
      </c>
      <c r="B3301" t="s">
        <v>1055</v>
      </c>
      <c r="C3301" t="s">
        <v>175</v>
      </c>
      <c r="D3301" t="s">
        <v>630</v>
      </c>
      <c r="E3301" t="s">
        <v>631</v>
      </c>
      <c r="F3301">
        <v>562</v>
      </c>
      <c r="G3301" t="s">
        <v>176</v>
      </c>
      <c r="H3301">
        <v>0</v>
      </c>
      <c r="I3301">
        <v>8000</v>
      </c>
      <c r="J3301" s="10">
        <v>11449</v>
      </c>
      <c r="K3301" s="10">
        <f>SUMIFS(F:F,D:D,DST_123_ÜRETİM_İHTİYAÇ_RAPORU_BURAK_YENI1309[[#This Row],[ALT_KOD]])-(SUMIFS(H:H,D:D,DST_123_ÜRETİM_İHTİYAÇ_RAPORU_BURAK_YENI1309[[#This Row],[ALT_KOD]])+AVERAGEIFS(I:I,D:D,DST_123_ÜRETİM_İHTİYAÇ_RAPORU_BURAK_YENI1309[[#This Row],[ALT_KOD]])+AVERAGEIFS(L:L,D:D,DST_123_ÜRETİM_İHTİYAÇ_RAPORU_BURAK_YENI1309[[#This Row],[ALT_KOD]]))</f>
        <v>-1313</v>
      </c>
      <c r="L3301">
        <v>0</v>
      </c>
      <c r="M3301">
        <f>IF((DST_123_ÜRETİM_İHTİYAÇ_RAPORU_BURAK_YENI1309[[#This Row],[SATINALMA]]*DST_123_ÜRETİM_İHTİYAÇ_RAPORU_BURAK_YENI1309[[#This Row],[BIRIM_FIYATLAR]])&lt;1,VALUE("0"),DST_123_ÜRETİM_İHTİYAÇ_RAPORU_BURAK_YENI1309[[#This Row],[SATINALMA]]*DST_123_ÜRETİM_İHTİYAÇ_RAPORU_BURAK_YENI1309[[#This Row],[BIRIM_FIYATLAR]])</f>
        <v>0</v>
      </c>
      <c r="N3301">
        <v>0.54</v>
      </c>
      <c r="O3301" t="s">
        <v>628</v>
      </c>
      <c r="P3301">
        <v>303.48</v>
      </c>
      <c r="Q3301" t="s">
        <v>180</v>
      </c>
    </row>
    <row r="3302" spans="1:17" x14ac:dyDescent="0.25">
      <c r="A3302" t="s">
        <v>1098</v>
      </c>
      <c r="B3302" t="s">
        <v>1096</v>
      </c>
      <c r="C3302" t="s">
        <v>175</v>
      </c>
      <c r="D3302" t="s">
        <v>630</v>
      </c>
      <c r="E3302" t="s">
        <v>631</v>
      </c>
      <c r="F3302">
        <v>430</v>
      </c>
      <c r="G3302" t="s">
        <v>176</v>
      </c>
      <c r="H3302">
        <v>0</v>
      </c>
      <c r="I3302">
        <v>8000</v>
      </c>
      <c r="J3302" s="10">
        <v>11449</v>
      </c>
      <c r="K3302" s="10">
        <f>SUMIFS(F:F,D:D,DST_123_ÜRETİM_İHTİYAÇ_RAPORU_BURAK_YENI1309[[#This Row],[ALT_KOD]])-(SUMIFS(H:H,D:D,DST_123_ÜRETİM_İHTİYAÇ_RAPORU_BURAK_YENI1309[[#This Row],[ALT_KOD]])+AVERAGEIFS(I:I,D:D,DST_123_ÜRETİM_İHTİYAÇ_RAPORU_BURAK_YENI1309[[#This Row],[ALT_KOD]])+AVERAGEIFS(L:L,D:D,DST_123_ÜRETİM_İHTİYAÇ_RAPORU_BURAK_YENI1309[[#This Row],[ALT_KOD]]))</f>
        <v>-1313</v>
      </c>
      <c r="L3302">
        <v>0</v>
      </c>
      <c r="M3302">
        <f>IF((DST_123_ÜRETİM_İHTİYAÇ_RAPORU_BURAK_YENI1309[[#This Row],[SATINALMA]]*DST_123_ÜRETİM_İHTİYAÇ_RAPORU_BURAK_YENI1309[[#This Row],[BIRIM_FIYATLAR]])&lt;1,VALUE("0"),DST_123_ÜRETİM_İHTİYAÇ_RAPORU_BURAK_YENI1309[[#This Row],[SATINALMA]]*DST_123_ÜRETİM_İHTİYAÇ_RAPORU_BURAK_YENI1309[[#This Row],[BIRIM_FIYATLAR]])</f>
        <v>0</v>
      </c>
      <c r="N3302">
        <v>0.54</v>
      </c>
      <c r="O3302" t="s">
        <v>628</v>
      </c>
      <c r="P3302">
        <v>232.20000000000002</v>
      </c>
      <c r="Q3302" t="s">
        <v>180</v>
      </c>
    </row>
    <row r="3303" spans="1:17" x14ac:dyDescent="0.25">
      <c r="A3303" t="s">
        <v>1196</v>
      </c>
      <c r="B3303" t="s">
        <v>1197</v>
      </c>
      <c r="C3303" t="s">
        <v>175</v>
      </c>
      <c r="D3303" t="s">
        <v>450</v>
      </c>
      <c r="E3303" t="s">
        <v>624</v>
      </c>
      <c r="F3303">
        <v>2</v>
      </c>
      <c r="G3303" t="s">
        <v>176</v>
      </c>
      <c r="H3303">
        <v>0</v>
      </c>
      <c r="I3303">
        <v>6</v>
      </c>
      <c r="J3303" s="10">
        <v>24</v>
      </c>
      <c r="K3303" s="10">
        <f>SUMIFS(F:F,D:D,DST_123_ÜRETİM_İHTİYAÇ_RAPORU_BURAK_YENI1309[[#This Row],[ALT_KOD]])-(SUMIFS(H:H,D:D,DST_123_ÜRETİM_İHTİYAÇ_RAPORU_BURAK_YENI1309[[#This Row],[ALT_KOD]])+AVERAGEIFS(I:I,D:D,DST_123_ÜRETİM_İHTİYAÇ_RAPORU_BURAK_YENI1309[[#This Row],[ALT_KOD]])+AVERAGEIFS(L:L,D:D,DST_123_ÜRETİM_İHTİYAÇ_RAPORU_BURAK_YENI1309[[#This Row],[ALT_KOD]]))</f>
        <v>10</v>
      </c>
      <c r="L3303">
        <v>0</v>
      </c>
      <c r="M3303">
        <f>IF((DST_123_ÜRETİM_İHTİYAÇ_RAPORU_BURAK_YENI1309[[#This Row],[SATINALMA]]*DST_123_ÜRETİM_İHTİYAÇ_RAPORU_BURAK_YENI1309[[#This Row],[BIRIM_FIYATLAR]])&lt;1,VALUE("0"),DST_123_ÜRETİM_İHTİYAÇ_RAPORU_BURAK_YENI1309[[#This Row],[SATINALMA]]*DST_123_ÜRETİM_İHTİYAÇ_RAPORU_BURAK_YENI1309[[#This Row],[BIRIM_FIYATLAR]])</f>
        <v>149462.5</v>
      </c>
      <c r="N3303">
        <v>14946.25</v>
      </c>
      <c r="O3303" t="s">
        <v>625</v>
      </c>
      <c r="P3303">
        <v>29892.5</v>
      </c>
      <c r="Q3303" t="s">
        <v>178</v>
      </c>
    </row>
    <row r="3304" spans="1:17" x14ac:dyDescent="0.25">
      <c r="A3304" t="s">
        <v>1149</v>
      </c>
      <c r="B3304" t="s">
        <v>1145</v>
      </c>
      <c r="C3304" t="s">
        <v>175</v>
      </c>
      <c r="D3304" t="s">
        <v>450</v>
      </c>
      <c r="E3304" t="s">
        <v>624</v>
      </c>
      <c r="F3304">
        <v>2</v>
      </c>
      <c r="G3304" t="s">
        <v>176</v>
      </c>
      <c r="H3304">
        <v>0</v>
      </c>
      <c r="I3304">
        <v>6</v>
      </c>
      <c r="J3304" s="10">
        <v>24</v>
      </c>
      <c r="K3304" s="10">
        <f>SUMIFS(F:F,D:D,DST_123_ÜRETİM_İHTİYAÇ_RAPORU_BURAK_YENI1309[[#This Row],[ALT_KOD]])-(SUMIFS(H:H,D:D,DST_123_ÜRETİM_İHTİYAÇ_RAPORU_BURAK_YENI1309[[#This Row],[ALT_KOD]])+AVERAGEIFS(I:I,D:D,DST_123_ÜRETİM_İHTİYAÇ_RAPORU_BURAK_YENI1309[[#This Row],[ALT_KOD]])+AVERAGEIFS(L:L,D:D,DST_123_ÜRETİM_İHTİYAÇ_RAPORU_BURAK_YENI1309[[#This Row],[ALT_KOD]]))</f>
        <v>10</v>
      </c>
      <c r="L3304">
        <v>0</v>
      </c>
      <c r="M3304">
        <f>IF((DST_123_ÜRETİM_İHTİYAÇ_RAPORU_BURAK_YENI1309[[#This Row],[SATINALMA]]*DST_123_ÜRETİM_İHTİYAÇ_RAPORU_BURAK_YENI1309[[#This Row],[BIRIM_FIYATLAR]])&lt;1,VALUE("0"),DST_123_ÜRETİM_İHTİYAÇ_RAPORU_BURAK_YENI1309[[#This Row],[SATINALMA]]*DST_123_ÜRETİM_İHTİYAÇ_RAPORU_BURAK_YENI1309[[#This Row],[BIRIM_FIYATLAR]])</f>
        <v>149462.5</v>
      </c>
      <c r="N3304">
        <v>14946.25</v>
      </c>
      <c r="O3304" t="s">
        <v>625</v>
      </c>
      <c r="P3304">
        <v>29892.5</v>
      </c>
      <c r="Q3304" t="s">
        <v>178</v>
      </c>
    </row>
    <row r="3305" spans="1:17" x14ac:dyDescent="0.25">
      <c r="A3305" t="s">
        <v>1149</v>
      </c>
      <c r="B3305" t="s">
        <v>1145</v>
      </c>
      <c r="C3305" t="s">
        <v>175</v>
      </c>
      <c r="D3305" t="s">
        <v>439</v>
      </c>
      <c r="E3305" t="s">
        <v>440</v>
      </c>
      <c r="F3305">
        <v>1</v>
      </c>
      <c r="G3305" t="s">
        <v>176</v>
      </c>
      <c r="H3305">
        <v>0</v>
      </c>
      <c r="I3305">
        <v>28</v>
      </c>
      <c r="J3305" s="10">
        <v>5</v>
      </c>
      <c r="K3305" s="10">
        <f>SUMIFS(F:F,D:D,DST_123_ÜRETİM_İHTİYAÇ_RAPORU_BURAK_YENI1309[[#This Row],[ALT_KOD]])-(SUMIFS(H:H,D:D,DST_123_ÜRETİM_İHTİYAÇ_RAPORU_BURAK_YENI1309[[#This Row],[ALT_KOD]])+AVERAGEIFS(I:I,D:D,DST_123_ÜRETİM_İHTİYAÇ_RAPORU_BURAK_YENI1309[[#This Row],[ALT_KOD]])+AVERAGEIFS(L:L,D:D,DST_123_ÜRETİM_İHTİYAÇ_RAPORU_BURAK_YENI1309[[#This Row],[ALT_KOD]]))</f>
        <v>-16</v>
      </c>
      <c r="L3305">
        <v>0</v>
      </c>
      <c r="M3305">
        <f>IF((DST_123_ÜRETİM_İHTİYAÇ_RAPORU_BURAK_YENI1309[[#This Row],[SATINALMA]]*DST_123_ÜRETİM_İHTİYAÇ_RAPORU_BURAK_YENI1309[[#This Row],[BIRIM_FIYATLAR]])&lt;1,VALUE("0"),DST_123_ÜRETİM_İHTİYAÇ_RAPORU_BURAK_YENI1309[[#This Row],[SATINALMA]]*DST_123_ÜRETİM_İHTİYAÇ_RAPORU_BURAK_YENI1309[[#This Row],[BIRIM_FIYATLAR]])</f>
        <v>0</v>
      </c>
      <c r="N3305">
        <v>373.06</v>
      </c>
      <c r="O3305" t="s">
        <v>636</v>
      </c>
      <c r="P3305">
        <v>373.06</v>
      </c>
      <c r="Q3305" t="s">
        <v>178</v>
      </c>
    </row>
    <row r="3306" spans="1:17" x14ac:dyDescent="0.25">
      <c r="A3306" t="s">
        <v>1147</v>
      </c>
      <c r="B3306" t="s">
        <v>1145</v>
      </c>
      <c r="C3306" t="s">
        <v>175</v>
      </c>
      <c r="D3306" t="s">
        <v>443</v>
      </c>
      <c r="E3306" t="s">
        <v>444</v>
      </c>
      <c r="F3306">
        <v>1</v>
      </c>
      <c r="G3306" t="s">
        <v>176</v>
      </c>
      <c r="H3306">
        <v>0</v>
      </c>
      <c r="I3306">
        <v>25</v>
      </c>
      <c r="J3306" s="10">
        <v>5</v>
      </c>
      <c r="K3306" s="10">
        <f>SUMIFS(F:F,D:D,DST_123_ÜRETİM_İHTİYAÇ_RAPORU_BURAK_YENI1309[[#This Row],[ALT_KOD]])-(SUMIFS(H:H,D:D,DST_123_ÜRETİM_İHTİYAÇ_RAPORU_BURAK_YENI1309[[#This Row],[ALT_KOD]])+AVERAGEIFS(I:I,D:D,DST_123_ÜRETİM_İHTİYAÇ_RAPORU_BURAK_YENI1309[[#This Row],[ALT_KOD]])+AVERAGEIFS(L:L,D:D,DST_123_ÜRETİM_İHTİYAÇ_RAPORU_BURAK_YENI1309[[#This Row],[ALT_KOD]]))</f>
        <v>-13</v>
      </c>
      <c r="L3306">
        <v>0</v>
      </c>
      <c r="M3306">
        <f>IF((DST_123_ÜRETİM_İHTİYAÇ_RAPORU_BURAK_YENI1309[[#This Row],[SATINALMA]]*DST_123_ÜRETİM_İHTİYAÇ_RAPORU_BURAK_YENI1309[[#This Row],[BIRIM_FIYATLAR]])&lt;1,VALUE("0"),DST_123_ÜRETİM_İHTİYAÇ_RAPORU_BURAK_YENI1309[[#This Row],[SATINALMA]]*DST_123_ÜRETİM_İHTİYAÇ_RAPORU_BURAK_YENI1309[[#This Row],[BIRIM_FIYATLAR]])</f>
        <v>0</v>
      </c>
      <c r="N3306">
        <v>373.06</v>
      </c>
      <c r="O3306" t="s">
        <v>636</v>
      </c>
      <c r="P3306">
        <v>373.06</v>
      </c>
      <c r="Q3306" t="s">
        <v>178</v>
      </c>
    </row>
    <row r="3307" spans="1:17" x14ac:dyDescent="0.25">
      <c r="A3307" t="s">
        <v>1142</v>
      </c>
      <c r="B3307" t="s">
        <v>1056</v>
      </c>
      <c r="C3307" t="s">
        <v>175</v>
      </c>
      <c r="D3307" t="s">
        <v>469</v>
      </c>
      <c r="E3307" t="s">
        <v>470</v>
      </c>
      <c r="F3307">
        <v>1</v>
      </c>
      <c r="G3307" t="s">
        <v>176</v>
      </c>
      <c r="H3307">
        <v>0</v>
      </c>
      <c r="I3307">
        <v>39</v>
      </c>
      <c r="J3307" s="10">
        <v>2</v>
      </c>
      <c r="K3307" s="10">
        <f>SUMIFS(F:F,D:D,DST_123_ÜRETİM_İHTİYAÇ_RAPORU_BURAK_YENI1309[[#This Row],[ALT_KOD]])-(SUMIFS(H:H,D:D,DST_123_ÜRETİM_İHTİYAÇ_RAPORU_BURAK_YENI1309[[#This Row],[ALT_KOD]])+AVERAGEIFS(I:I,D:D,DST_123_ÜRETİM_İHTİYAÇ_RAPORU_BURAK_YENI1309[[#This Row],[ALT_KOD]])+AVERAGEIFS(L:L,D:D,DST_123_ÜRETİM_İHTİYAÇ_RAPORU_BURAK_YENI1309[[#This Row],[ALT_KOD]]))</f>
        <v>-19</v>
      </c>
      <c r="L3307">
        <v>0</v>
      </c>
      <c r="M3307">
        <f>IF((DST_123_ÜRETİM_İHTİYAÇ_RAPORU_BURAK_YENI1309[[#This Row],[SATINALMA]]*DST_123_ÜRETİM_İHTİYAÇ_RAPORU_BURAK_YENI1309[[#This Row],[BIRIM_FIYATLAR]])&lt;1,VALUE("0"),DST_123_ÜRETİM_İHTİYAÇ_RAPORU_BURAK_YENI1309[[#This Row],[SATINALMA]]*DST_123_ÜRETİM_İHTİYAÇ_RAPORU_BURAK_YENI1309[[#This Row],[BIRIM_FIYATLAR]])</f>
        <v>0</v>
      </c>
      <c r="N3307">
        <v>65</v>
      </c>
      <c r="O3307" t="s">
        <v>821</v>
      </c>
      <c r="P3307">
        <v>65</v>
      </c>
      <c r="Q3307" t="s">
        <v>178</v>
      </c>
    </row>
    <row r="3308" spans="1:17" x14ac:dyDescent="0.25">
      <c r="A3308" t="s">
        <v>1060</v>
      </c>
      <c r="B3308" t="s">
        <v>1061</v>
      </c>
      <c r="C3308" t="s">
        <v>175</v>
      </c>
      <c r="D3308" t="s">
        <v>26</v>
      </c>
      <c r="E3308" t="s">
        <v>27</v>
      </c>
      <c r="F3308">
        <v>1</v>
      </c>
      <c r="G3308" t="s">
        <v>176</v>
      </c>
      <c r="H3308">
        <v>1</v>
      </c>
      <c r="I3308">
        <v>24</v>
      </c>
      <c r="J3308" s="10">
        <v>4</v>
      </c>
      <c r="K3308" s="10">
        <f>SUMIFS(F:F,D:D,DST_123_ÜRETİM_İHTİYAÇ_RAPORU_BURAK_YENI1309[[#This Row],[ALT_KOD]])-(SUMIFS(H:H,D:D,DST_123_ÜRETİM_İHTİYAÇ_RAPORU_BURAK_YENI1309[[#This Row],[ALT_KOD]])+AVERAGEIFS(I:I,D:D,DST_123_ÜRETİM_İHTİYAÇ_RAPORU_BURAK_YENI1309[[#This Row],[ALT_KOD]])+AVERAGEIFS(L:L,D:D,DST_123_ÜRETİM_İHTİYAÇ_RAPORU_BURAK_YENI1309[[#This Row],[ALT_KOD]]))</f>
        <v>-17</v>
      </c>
      <c r="L3308">
        <v>0</v>
      </c>
      <c r="M3308">
        <f>IF((DST_123_ÜRETİM_İHTİYAÇ_RAPORU_BURAK_YENI1309[[#This Row],[SATINALMA]]*DST_123_ÜRETİM_İHTİYAÇ_RAPORU_BURAK_YENI1309[[#This Row],[BIRIM_FIYATLAR]])&lt;1,VALUE("0"),DST_123_ÜRETİM_İHTİYAÇ_RAPORU_BURAK_YENI1309[[#This Row],[SATINALMA]]*DST_123_ÜRETİM_İHTİYAÇ_RAPORU_BURAK_YENI1309[[#This Row],[BIRIM_FIYATLAR]])</f>
        <v>0</v>
      </c>
      <c r="N3308">
        <v>625</v>
      </c>
      <c r="O3308" t="s">
        <v>226</v>
      </c>
      <c r="P3308">
        <v>625</v>
      </c>
      <c r="Q3308" t="s">
        <v>180</v>
      </c>
    </row>
    <row r="3309" spans="1:17" x14ac:dyDescent="0.25">
      <c r="A3309" t="s">
        <v>1057</v>
      </c>
      <c r="B3309" t="s">
        <v>1058</v>
      </c>
      <c r="C3309" t="s">
        <v>175</v>
      </c>
      <c r="D3309" t="s">
        <v>26</v>
      </c>
      <c r="E3309" t="s">
        <v>27</v>
      </c>
      <c r="F3309">
        <v>1</v>
      </c>
      <c r="G3309" t="s">
        <v>176</v>
      </c>
      <c r="H3309">
        <v>1</v>
      </c>
      <c r="I3309">
        <v>24</v>
      </c>
      <c r="J3309" s="10">
        <v>4</v>
      </c>
      <c r="K3309" s="10">
        <f>SUMIFS(F:F,D:D,DST_123_ÜRETİM_İHTİYAÇ_RAPORU_BURAK_YENI1309[[#This Row],[ALT_KOD]])-(SUMIFS(H:H,D:D,DST_123_ÜRETİM_İHTİYAÇ_RAPORU_BURAK_YENI1309[[#This Row],[ALT_KOD]])+AVERAGEIFS(I:I,D:D,DST_123_ÜRETİM_İHTİYAÇ_RAPORU_BURAK_YENI1309[[#This Row],[ALT_KOD]])+AVERAGEIFS(L:L,D:D,DST_123_ÜRETİM_İHTİYAÇ_RAPORU_BURAK_YENI1309[[#This Row],[ALT_KOD]]))</f>
        <v>-17</v>
      </c>
      <c r="L3309">
        <v>0</v>
      </c>
      <c r="M3309">
        <f>IF((DST_123_ÜRETİM_İHTİYAÇ_RAPORU_BURAK_YENI1309[[#This Row],[SATINALMA]]*DST_123_ÜRETİM_İHTİYAÇ_RAPORU_BURAK_YENI1309[[#This Row],[BIRIM_FIYATLAR]])&lt;1,VALUE("0"),DST_123_ÜRETİM_İHTİYAÇ_RAPORU_BURAK_YENI1309[[#This Row],[SATINALMA]]*DST_123_ÜRETİM_İHTİYAÇ_RAPORU_BURAK_YENI1309[[#This Row],[BIRIM_FIYATLAR]])</f>
        <v>0</v>
      </c>
      <c r="N3309">
        <v>625</v>
      </c>
      <c r="O3309" t="s">
        <v>226</v>
      </c>
      <c r="P3309">
        <v>625</v>
      </c>
      <c r="Q3309" t="s">
        <v>180</v>
      </c>
    </row>
    <row r="3310" spans="1:17" x14ac:dyDescent="0.25">
      <c r="A3310" t="s">
        <v>1101</v>
      </c>
      <c r="B3310" t="s">
        <v>1102</v>
      </c>
      <c r="C3310" t="s">
        <v>175</v>
      </c>
      <c r="D3310" t="s">
        <v>76</v>
      </c>
      <c r="E3310" t="s">
        <v>77</v>
      </c>
      <c r="F3310">
        <v>3</v>
      </c>
      <c r="G3310" t="s">
        <v>176</v>
      </c>
      <c r="H3310">
        <v>0</v>
      </c>
      <c r="I3310">
        <v>85</v>
      </c>
      <c r="J3310" s="10">
        <v>31</v>
      </c>
      <c r="K3310" s="10">
        <f>SUMIFS(F:F,D:D,DST_123_ÜRETİM_İHTİYAÇ_RAPORU_BURAK_YENI1309[[#This Row],[ALT_KOD]])-(SUMIFS(H:H,D:D,DST_123_ÜRETİM_İHTİYAÇ_RAPORU_BURAK_YENI1309[[#This Row],[ALT_KOD]])+AVERAGEIFS(I:I,D:D,DST_123_ÜRETİM_İHTİYAÇ_RAPORU_BURAK_YENI1309[[#This Row],[ALT_KOD]])+AVERAGEIFS(L:L,D:D,DST_123_ÜRETİM_İHTİYAÇ_RAPORU_BURAK_YENI1309[[#This Row],[ALT_KOD]]))</f>
        <v>-17</v>
      </c>
      <c r="L3310">
        <v>0</v>
      </c>
      <c r="M3310">
        <f>IF((DST_123_ÜRETİM_İHTİYAÇ_RAPORU_BURAK_YENI1309[[#This Row],[SATINALMA]]*DST_123_ÜRETİM_İHTİYAÇ_RAPORU_BURAK_YENI1309[[#This Row],[BIRIM_FIYATLAR]])&lt;1,VALUE("0"),DST_123_ÜRETİM_İHTİYAÇ_RAPORU_BURAK_YENI1309[[#This Row],[SATINALMA]]*DST_123_ÜRETİM_İHTİYAÇ_RAPORU_BURAK_YENI1309[[#This Row],[BIRIM_FIYATLAR]])</f>
        <v>0</v>
      </c>
      <c r="N3310">
        <v>120</v>
      </c>
      <c r="O3310" t="s">
        <v>1152</v>
      </c>
      <c r="P3310">
        <v>360</v>
      </c>
      <c r="Q3310" t="s">
        <v>178</v>
      </c>
    </row>
    <row r="3311" spans="1:17" x14ac:dyDescent="0.25">
      <c r="A3311" t="s">
        <v>1146</v>
      </c>
      <c r="B3311" t="s">
        <v>1145</v>
      </c>
      <c r="C3311" t="s">
        <v>175</v>
      </c>
      <c r="D3311" t="s">
        <v>82</v>
      </c>
      <c r="E3311" t="s">
        <v>83</v>
      </c>
      <c r="F3311">
        <v>60</v>
      </c>
      <c r="G3311" t="s">
        <v>182</v>
      </c>
      <c r="H3311">
        <v>0</v>
      </c>
      <c r="I3311">
        <v>0</v>
      </c>
      <c r="J3311" s="10">
        <v>134.67999999999967</v>
      </c>
      <c r="K3311" s="10">
        <f>SUMIFS(F:F,D:D,DST_123_ÜRETİM_İHTİYAÇ_RAPORU_BURAK_YENI1309[[#This Row],[ALT_KOD]])-(SUMIFS(H:H,D:D,DST_123_ÜRETİM_İHTİYAÇ_RAPORU_BURAK_YENI1309[[#This Row],[ALT_KOD]])+AVERAGEIFS(I:I,D:D,DST_123_ÜRETİM_İHTİYAÇ_RAPORU_BURAK_YENI1309[[#This Row],[ALT_KOD]])+AVERAGEIFS(L:L,D:D,DST_123_ÜRETİM_İHTİYAÇ_RAPORU_BURAK_YENI1309[[#This Row],[ALT_KOD]]))</f>
        <v>420</v>
      </c>
      <c r="L3311">
        <v>13</v>
      </c>
      <c r="M3311">
        <f>IF((DST_123_ÜRETİM_İHTİYAÇ_RAPORU_BURAK_YENI1309[[#This Row],[SATINALMA]]*DST_123_ÜRETİM_İHTİYAÇ_RAPORU_BURAK_YENI1309[[#This Row],[BIRIM_FIYATLAR]])&lt;1,VALUE("0"),DST_123_ÜRETİM_İHTİYAÇ_RAPORU_BURAK_YENI1309[[#This Row],[SATINALMA]]*DST_123_ÜRETİM_İHTİYAÇ_RAPORU_BURAK_YENI1309[[#This Row],[BIRIM_FIYATLAR]])</f>
        <v>95886</v>
      </c>
      <c r="N3311">
        <v>228.3</v>
      </c>
      <c r="O3311" t="s">
        <v>223</v>
      </c>
      <c r="P3311">
        <v>13698</v>
      </c>
      <c r="Q3311" t="s">
        <v>181</v>
      </c>
    </row>
    <row r="3312" spans="1:17" x14ac:dyDescent="0.25">
      <c r="A3312" t="s">
        <v>1144</v>
      </c>
      <c r="B3312" t="s">
        <v>1145</v>
      </c>
      <c r="C3312" t="s">
        <v>175</v>
      </c>
      <c r="D3312" t="s">
        <v>82</v>
      </c>
      <c r="E3312" t="s">
        <v>83</v>
      </c>
      <c r="F3312">
        <v>60</v>
      </c>
      <c r="G3312" t="s">
        <v>182</v>
      </c>
      <c r="H3312">
        <v>0</v>
      </c>
      <c r="I3312">
        <v>0</v>
      </c>
      <c r="J3312" s="10">
        <v>134.67999999999967</v>
      </c>
      <c r="K3312" s="10">
        <f>SUMIFS(F:F,D:D,DST_123_ÜRETİM_İHTİYAÇ_RAPORU_BURAK_YENI1309[[#This Row],[ALT_KOD]])-(SUMIFS(H:H,D:D,DST_123_ÜRETİM_İHTİYAÇ_RAPORU_BURAK_YENI1309[[#This Row],[ALT_KOD]])+AVERAGEIFS(I:I,D:D,DST_123_ÜRETİM_İHTİYAÇ_RAPORU_BURAK_YENI1309[[#This Row],[ALT_KOD]])+AVERAGEIFS(L:L,D:D,DST_123_ÜRETİM_İHTİYAÇ_RAPORU_BURAK_YENI1309[[#This Row],[ALT_KOD]]))</f>
        <v>420</v>
      </c>
      <c r="L3312">
        <v>13</v>
      </c>
      <c r="M3312">
        <f>IF((DST_123_ÜRETİM_İHTİYAÇ_RAPORU_BURAK_YENI1309[[#This Row],[SATINALMA]]*DST_123_ÜRETİM_İHTİYAÇ_RAPORU_BURAK_YENI1309[[#This Row],[BIRIM_FIYATLAR]])&lt;1,VALUE("0"),DST_123_ÜRETİM_İHTİYAÇ_RAPORU_BURAK_YENI1309[[#This Row],[SATINALMA]]*DST_123_ÜRETİM_İHTİYAÇ_RAPORU_BURAK_YENI1309[[#This Row],[BIRIM_FIYATLAR]])</f>
        <v>95886</v>
      </c>
      <c r="N3312">
        <v>228.3</v>
      </c>
      <c r="O3312" t="s">
        <v>223</v>
      </c>
      <c r="P3312">
        <v>13698</v>
      </c>
      <c r="Q3312" t="s">
        <v>181</v>
      </c>
    </row>
    <row r="3313" spans="1:17" x14ac:dyDescent="0.25">
      <c r="A3313" t="s">
        <v>1149</v>
      </c>
      <c r="B3313" t="s">
        <v>1145</v>
      </c>
      <c r="C3313" t="s">
        <v>175</v>
      </c>
      <c r="D3313" t="s">
        <v>684</v>
      </c>
      <c r="E3313" t="s">
        <v>685</v>
      </c>
      <c r="F3313">
        <v>1</v>
      </c>
      <c r="G3313" t="s">
        <v>176</v>
      </c>
      <c r="H3313">
        <v>0</v>
      </c>
      <c r="I3313">
        <v>23</v>
      </c>
      <c r="J3313" s="10">
        <v>17</v>
      </c>
      <c r="K3313" s="10">
        <f>SUMIFS(F:F,D:D,DST_123_ÜRETİM_İHTİYAÇ_RAPORU_BURAK_YENI1309[[#This Row],[ALT_KOD]])-(SUMIFS(H:H,D:D,DST_123_ÜRETİM_İHTİYAÇ_RAPORU_BURAK_YENI1309[[#This Row],[ALT_KOD]])+AVERAGEIFS(I:I,D:D,DST_123_ÜRETİM_İHTİYAÇ_RAPORU_BURAK_YENI1309[[#This Row],[ALT_KOD]])+AVERAGEIFS(L:L,D:D,DST_123_ÜRETİM_İHTİYAÇ_RAPORU_BURAK_YENI1309[[#This Row],[ALT_KOD]]))</f>
        <v>-8</v>
      </c>
      <c r="L3313">
        <v>0</v>
      </c>
      <c r="M3313">
        <f>IF((DST_123_ÜRETİM_İHTİYAÇ_RAPORU_BURAK_YENI1309[[#This Row],[SATINALMA]]*DST_123_ÜRETİM_İHTİYAÇ_RAPORU_BURAK_YENI1309[[#This Row],[BIRIM_FIYATLAR]])&lt;1,VALUE("0"),DST_123_ÜRETİM_İHTİYAÇ_RAPORU_BURAK_YENI1309[[#This Row],[SATINALMA]]*DST_123_ÜRETİM_İHTİYAÇ_RAPORU_BURAK_YENI1309[[#This Row],[BIRIM_FIYATLAR]])</f>
        <v>0</v>
      </c>
      <c r="N3313">
        <v>750</v>
      </c>
      <c r="O3313" t="s">
        <v>584</v>
      </c>
      <c r="P3313">
        <v>750</v>
      </c>
      <c r="Q3313" t="s">
        <v>177</v>
      </c>
    </row>
    <row r="3314" spans="1:17" x14ac:dyDescent="0.25">
      <c r="A3314" t="s">
        <v>1147</v>
      </c>
      <c r="B3314" t="s">
        <v>1145</v>
      </c>
      <c r="C3314" t="s">
        <v>175</v>
      </c>
      <c r="D3314" t="s">
        <v>78</v>
      </c>
      <c r="E3314" t="s">
        <v>79</v>
      </c>
      <c r="F3314">
        <v>3</v>
      </c>
      <c r="G3314" t="s">
        <v>176</v>
      </c>
      <c r="H3314">
        <v>0</v>
      </c>
      <c r="I3314">
        <v>81</v>
      </c>
      <c r="J3314" s="10">
        <v>5</v>
      </c>
      <c r="K3314" s="10">
        <f>SUMIFS(F:F,D:D,DST_123_ÜRETİM_İHTİYAÇ_RAPORU_BURAK_YENI1309[[#This Row],[ALT_KOD]])-(SUMIFS(H:H,D:D,DST_123_ÜRETİM_İHTİYAÇ_RAPORU_BURAK_YENI1309[[#This Row],[ALT_KOD]])+AVERAGEIFS(I:I,D:D,DST_123_ÜRETİM_İHTİYAÇ_RAPORU_BURAK_YENI1309[[#This Row],[ALT_KOD]])+AVERAGEIFS(L:L,D:D,DST_123_ÜRETİM_İHTİYAÇ_RAPORU_BURAK_YENI1309[[#This Row],[ALT_KOD]]))</f>
        <v>-23</v>
      </c>
      <c r="L3314">
        <v>0</v>
      </c>
      <c r="M3314">
        <f>IF((DST_123_ÜRETİM_İHTİYAÇ_RAPORU_BURAK_YENI1309[[#This Row],[SATINALMA]]*DST_123_ÜRETİM_İHTİYAÇ_RAPORU_BURAK_YENI1309[[#This Row],[BIRIM_FIYATLAR]])&lt;1,VALUE("0"),DST_123_ÜRETİM_İHTİYAÇ_RAPORU_BURAK_YENI1309[[#This Row],[SATINALMA]]*DST_123_ÜRETİM_İHTİYAÇ_RAPORU_BURAK_YENI1309[[#This Row],[BIRIM_FIYATLAR]])</f>
        <v>0</v>
      </c>
      <c r="N3314">
        <v>188</v>
      </c>
      <c r="O3314" t="s">
        <v>240</v>
      </c>
      <c r="P3314">
        <v>564</v>
      </c>
      <c r="Q3314" t="s">
        <v>178</v>
      </c>
    </row>
    <row r="3315" spans="1:17" x14ac:dyDescent="0.25">
      <c r="A3315" t="s">
        <v>1060</v>
      </c>
      <c r="B3315" t="s">
        <v>1061</v>
      </c>
      <c r="C3315" t="s">
        <v>175</v>
      </c>
      <c r="D3315" t="s">
        <v>82</v>
      </c>
      <c r="E3315" t="s">
        <v>83</v>
      </c>
      <c r="F3315">
        <v>45</v>
      </c>
      <c r="G3315" t="s">
        <v>182</v>
      </c>
      <c r="H3315">
        <v>0</v>
      </c>
      <c r="I3315">
        <v>0</v>
      </c>
      <c r="J3315" s="10">
        <v>134.67999999999967</v>
      </c>
      <c r="K3315" s="10">
        <f>SUMIFS(F:F,D:D,DST_123_ÜRETİM_İHTİYAÇ_RAPORU_BURAK_YENI1309[[#This Row],[ALT_KOD]])-(SUMIFS(H:H,D:D,DST_123_ÜRETİM_İHTİYAÇ_RAPORU_BURAK_YENI1309[[#This Row],[ALT_KOD]])+AVERAGEIFS(I:I,D:D,DST_123_ÜRETİM_İHTİYAÇ_RAPORU_BURAK_YENI1309[[#This Row],[ALT_KOD]])+AVERAGEIFS(L:L,D:D,DST_123_ÜRETİM_İHTİYAÇ_RAPORU_BURAK_YENI1309[[#This Row],[ALT_KOD]]))</f>
        <v>420</v>
      </c>
      <c r="L3315">
        <v>13</v>
      </c>
      <c r="M3315">
        <f>IF((DST_123_ÜRETİM_İHTİYAÇ_RAPORU_BURAK_YENI1309[[#This Row],[SATINALMA]]*DST_123_ÜRETİM_İHTİYAÇ_RAPORU_BURAK_YENI1309[[#This Row],[BIRIM_FIYATLAR]])&lt;1,VALUE("0"),DST_123_ÜRETİM_İHTİYAÇ_RAPORU_BURAK_YENI1309[[#This Row],[SATINALMA]]*DST_123_ÜRETİM_İHTİYAÇ_RAPORU_BURAK_YENI1309[[#This Row],[BIRIM_FIYATLAR]])</f>
        <v>95886</v>
      </c>
      <c r="N3315">
        <v>228.3</v>
      </c>
      <c r="O3315" t="s">
        <v>223</v>
      </c>
      <c r="P3315">
        <v>10273.5</v>
      </c>
      <c r="Q3315" t="s">
        <v>181</v>
      </c>
    </row>
    <row r="3316" spans="1:17" x14ac:dyDescent="0.25">
      <c r="A3316" t="s">
        <v>1060</v>
      </c>
      <c r="B3316" t="s">
        <v>1061</v>
      </c>
      <c r="C3316" t="s">
        <v>175</v>
      </c>
      <c r="D3316" t="s">
        <v>682</v>
      </c>
      <c r="E3316" t="s">
        <v>683</v>
      </c>
      <c r="F3316">
        <v>2</v>
      </c>
      <c r="G3316" t="s">
        <v>176</v>
      </c>
      <c r="H3316">
        <v>0</v>
      </c>
      <c r="I3316">
        <v>34</v>
      </c>
      <c r="J3316" s="10">
        <v>27</v>
      </c>
      <c r="K3316" s="10">
        <f>SUMIFS(F:F,D:D,DST_123_ÜRETİM_İHTİYAÇ_RAPORU_BURAK_YENI1309[[#This Row],[ALT_KOD]])-(SUMIFS(H:H,D:D,DST_123_ÜRETİM_İHTİYAÇ_RAPORU_BURAK_YENI1309[[#This Row],[ALT_KOD]])+AVERAGEIFS(I:I,D:D,DST_123_ÜRETİM_İHTİYAÇ_RAPORU_BURAK_YENI1309[[#This Row],[ALT_KOD]])+AVERAGEIFS(L:L,D:D,DST_123_ÜRETİM_İHTİYAÇ_RAPORU_BURAK_YENI1309[[#This Row],[ALT_KOD]]))</f>
        <v>-6</v>
      </c>
      <c r="L3316">
        <v>0</v>
      </c>
      <c r="M3316">
        <f>IF((DST_123_ÜRETİM_İHTİYAÇ_RAPORU_BURAK_YENI1309[[#This Row],[SATINALMA]]*DST_123_ÜRETİM_İHTİYAÇ_RAPORU_BURAK_YENI1309[[#This Row],[BIRIM_FIYATLAR]])&lt;1,VALUE("0"),DST_123_ÜRETİM_İHTİYAÇ_RAPORU_BURAK_YENI1309[[#This Row],[SATINALMA]]*DST_123_ÜRETİM_İHTİYAÇ_RAPORU_BURAK_YENI1309[[#This Row],[BIRIM_FIYATLAR]])</f>
        <v>0</v>
      </c>
      <c r="N3316">
        <v>500</v>
      </c>
      <c r="O3316" t="s">
        <v>584</v>
      </c>
      <c r="P3316">
        <v>1000</v>
      </c>
      <c r="Q3316" t="s">
        <v>177</v>
      </c>
    </row>
    <row r="3317" spans="1:17" x14ac:dyDescent="0.25">
      <c r="A3317" t="s">
        <v>1060</v>
      </c>
      <c r="B3317" t="s">
        <v>1061</v>
      </c>
      <c r="C3317" t="s">
        <v>175</v>
      </c>
      <c r="D3317" t="s">
        <v>469</v>
      </c>
      <c r="E3317" t="s">
        <v>470</v>
      </c>
      <c r="F3317">
        <v>1</v>
      </c>
      <c r="G3317" t="s">
        <v>176</v>
      </c>
      <c r="H3317">
        <v>0</v>
      </c>
      <c r="I3317">
        <v>39</v>
      </c>
      <c r="J3317" s="10">
        <v>2</v>
      </c>
      <c r="K3317" s="10">
        <f>SUMIFS(F:F,D:D,DST_123_ÜRETİM_İHTİYAÇ_RAPORU_BURAK_YENI1309[[#This Row],[ALT_KOD]])-(SUMIFS(H:H,D:D,DST_123_ÜRETİM_İHTİYAÇ_RAPORU_BURAK_YENI1309[[#This Row],[ALT_KOD]])+AVERAGEIFS(I:I,D:D,DST_123_ÜRETİM_İHTİYAÇ_RAPORU_BURAK_YENI1309[[#This Row],[ALT_KOD]])+AVERAGEIFS(L:L,D:D,DST_123_ÜRETİM_İHTİYAÇ_RAPORU_BURAK_YENI1309[[#This Row],[ALT_KOD]]))</f>
        <v>-19</v>
      </c>
      <c r="L3317">
        <v>0</v>
      </c>
      <c r="M3317">
        <f>IF((DST_123_ÜRETİM_İHTİYAÇ_RAPORU_BURAK_YENI1309[[#This Row],[SATINALMA]]*DST_123_ÜRETİM_İHTİYAÇ_RAPORU_BURAK_YENI1309[[#This Row],[BIRIM_FIYATLAR]])&lt;1,VALUE("0"),DST_123_ÜRETİM_İHTİYAÇ_RAPORU_BURAK_YENI1309[[#This Row],[SATINALMA]]*DST_123_ÜRETİM_İHTİYAÇ_RAPORU_BURAK_YENI1309[[#This Row],[BIRIM_FIYATLAR]])</f>
        <v>0</v>
      </c>
      <c r="N3317">
        <v>65</v>
      </c>
      <c r="O3317" t="s">
        <v>821</v>
      </c>
      <c r="P3317">
        <v>65</v>
      </c>
      <c r="Q3317" t="s">
        <v>178</v>
      </c>
    </row>
    <row r="3318" spans="1:17" x14ac:dyDescent="0.25">
      <c r="A3318" t="s">
        <v>1150</v>
      </c>
      <c r="B3318" t="s">
        <v>1145</v>
      </c>
      <c r="C3318" t="s">
        <v>175</v>
      </c>
      <c r="D3318" t="s">
        <v>82</v>
      </c>
      <c r="E3318" t="s">
        <v>83</v>
      </c>
      <c r="F3318">
        <v>60</v>
      </c>
      <c r="G3318" t="s">
        <v>182</v>
      </c>
      <c r="H3318">
        <v>0</v>
      </c>
      <c r="I3318">
        <v>0</v>
      </c>
      <c r="J3318" s="10">
        <v>134.67999999999967</v>
      </c>
      <c r="K3318" s="10">
        <f>SUMIFS(F:F,D:D,DST_123_ÜRETİM_İHTİYAÇ_RAPORU_BURAK_YENI1309[[#This Row],[ALT_KOD]])-(SUMIFS(H:H,D:D,DST_123_ÜRETİM_İHTİYAÇ_RAPORU_BURAK_YENI1309[[#This Row],[ALT_KOD]])+AVERAGEIFS(I:I,D:D,DST_123_ÜRETİM_İHTİYAÇ_RAPORU_BURAK_YENI1309[[#This Row],[ALT_KOD]])+AVERAGEIFS(L:L,D:D,DST_123_ÜRETİM_İHTİYAÇ_RAPORU_BURAK_YENI1309[[#This Row],[ALT_KOD]]))</f>
        <v>420</v>
      </c>
      <c r="L3318">
        <v>13</v>
      </c>
      <c r="M3318">
        <f>IF((DST_123_ÜRETİM_İHTİYAÇ_RAPORU_BURAK_YENI1309[[#This Row],[SATINALMA]]*DST_123_ÜRETİM_İHTİYAÇ_RAPORU_BURAK_YENI1309[[#This Row],[BIRIM_FIYATLAR]])&lt;1,VALUE("0"),DST_123_ÜRETİM_İHTİYAÇ_RAPORU_BURAK_YENI1309[[#This Row],[SATINALMA]]*DST_123_ÜRETİM_İHTİYAÇ_RAPORU_BURAK_YENI1309[[#This Row],[BIRIM_FIYATLAR]])</f>
        <v>95886</v>
      </c>
      <c r="N3318">
        <v>228.3</v>
      </c>
      <c r="O3318" t="s">
        <v>223</v>
      </c>
      <c r="P3318">
        <v>13698</v>
      </c>
      <c r="Q3318" t="s">
        <v>181</v>
      </c>
    </row>
    <row r="3319" spans="1:17" x14ac:dyDescent="0.25">
      <c r="A3319" t="s">
        <v>1150</v>
      </c>
      <c r="B3319" t="s">
        <v>1145</v>
      </c>
      <c r="C3319" t="s">
        <v>175</v>
      </c>
      <c r="D3319" t="s">
        <v>682</v>
      </c>
      <c r="E3319" t="s">
        <v>683</v>
      </c>
      <c r="F3319">
        <v>2</v>
      </c>
      <c r="G3319" t="s">
        <v>176</v>
      </c>
      <c r="H3319">
        <v>0</v>
      </c>
      <c r="I3319">
        <v>34</v>
      </c>
      <c r="J3319" s="10">
        <v>27</v>
      </c>
      <c r="K3319" s="10">
        <f>SUMIFS(F:F,D:D,DST_123_ÜRETİM_İHTİYAÇ_RAPORU_BURAK_YENI1309[[#This Row],[ALT_KOD]])-(SUMIFS(H:H,D:D,DST_123_ÜRETİM_İHTİYAÇ_RAPORU_BURAK_YENI1309[[#This Row],[ALT_KOD]])+AVERAGEIFS(I:I,D:D,DST_123_ÜRETİM_İHTİYAÇ_RAPORU_BURAK_YENI1309[[#This Row],[ALT_KOD]])+AVERAGEIFS(L:L,D:D,DST_123_ÜRETİM_İHTİYAÇ_RAPORU_BURAK_YENI1309[[#This Row],[ALT_KOD]]))</f>
        <v>-6</v>
      </c>
      <c r="L3319">
        <v>0</v>
      </c>
      <c r="M3319">
        <f>IF((DST_123_ÜRETİM_İHTİYAÇ_RAPORU_BURAK_YENI1309[[#This Row],[SATINALMA]]*DST_123_ÜRETİM_İHTİYAÇ_RAPORU_BURAK_YENI1309[[#This Row],[BIRIM_FIYATLAR]])&lt;1,VALUE("0"),DST_123_ÜRETİM_İHTİYAÇ_RAPORU_BURAK_YENI1309[[#This Row],[SATINALMA]]*DST_123_ÜRETİM_İHTİYAÇ_RAPORU_BURAK_YENI1309[[#This Row],[BIRIM_FIYATLAR]])</f>
        <v>0</v>
      </c>
      <c r="N3319">
        <v>500</v>
      </c>
      <c r="O3319" t="s">
        <v>584</v>
      </c>
      <c r="P3319">
        <v>1000</v>
      </c>
      <c r="Q3319" t="s">
        <v>177</v>
      </c>
    </row>
    <row r="3320" spans="1:17" x14ac:dyDescent="0.25">
      <c r="A3320" t="s">
        <v>1150</v>
      </c>
      <c r="B3320" t="s">
        <v>1145</v>
      </c>
      <c r="C3320" t="s">
        <v>175</v>
      </c>
      <c r="D3320" t="s">
        <v>684</v>
      </c>
      <c r="E3320" t="s">
        <v>685</v>
      </c>
      <c r="F3320">
        <v>1</v>
      </c>
      <c r="G3320" t="s">
        <v>176</v>
      </c>
      <c r="H3320">
        <v>0</v>
      </c>
      <c r="I3320">
        <v>23</v>
      </c>
      <c r="J3320" s="10">
        <v>17</v>
      </c>
      <c r="K3320" s="10">
        <f>SUMIFS(F:F,D:D,DST_123_ÜRETİM_İHTİYAÇ_RAPORU_BURAK_YENI1309[[#This Row],[ALT_KOD]])-(SUMIFS(H:H,D:D,DST_123_ÜRETİM_İHTİYAÇ_RAPORU_BURAK_YENI1309[[#This Row],[ALT_KOD]])+AVERAGEIFS(I:I,D:D,DST_123_ÜRETİM_İHTİYAÇ_RAPORU_BURAK_YENI1309[[#This Row],[ALT_KOD]])+AVERAGEIFS(L:L,D:D,DST_123_ÜRETİM_İHTİYAÇ_RAPORU_BURAK_YENI1309[[#This Row],[ALT_KOD]]))</f>
        <v>-8</v>
      </c>
      <c r="L3320">
        <v>0</v>
      </c>
      <c r="M3320">
        <f>IF((DST_123_ÜRETİM_İHTİYAÇ_RAPORU_BURAK_YENI1309[[#This Row],[SATINALMA]]*DST_123_ÜRETİM_İHTİYAÇ_RAPORU_BURAK_YENI1309[[#This Row],[BIRIM_FIYATLAR]])&lt;1,VALUE("0"),DST_123_ÜRETİM_İHTİYAÇ_RAPORU_BURAK_YENI1309[[#This Row],[SATINALMA]]*DST_123_ÜRETİM_İHTİYAÇ_RAPORU_BURAK_YENI1309[[#This Row],[BIRIM_FIYATLAR]])</f>
        <v>0</v>
      </c>
      <c r="N3320">
        <v>750</v>
      </c>
      <c r="O3320" t="s">
        <v>584</v>
      </c>
      <c r="P3320">
        <v>750</v>
      </c>
      <c r="Q3320" t="s">
        <v>177</v>
      </c>
    </row>
    <row r="3321" spans="1:17" x14ac:dyDescent="0.25">
      <c r="A3321" t="s">
        <v>1150</v>
      </c>
      <c r="B3321" t="s">
        <v>1145</v>
      </c>
      <c r="C3321" t="s">
        <v>175</v>
      </c>
      <c r="D3321" t="s">
        <v>469</v>
      </c>
      <c r="E3321" t="s">
        <v>470</v>
      </c>
      <c r="F3321">
        <v>1</v>
      </c>
      <c r="G3321" t="s">
        <v>176</v>
      </c>
      <c r="H3321">
        <v>0</v>
      </c>
      <c r="I3321">
        <v>39</v>
      </c>
      <c r="J3321" s="10">
        <v>2</v>
      </c>
      <c r="K3321" s="10">
        <f>SUMIFS(F:F,D:D,DST_123_ÜRETİM_İHTİYAÇ_RAPORU_BURAK_YENI1309[[#This Row],[ALT_KOD]])-(SUMIFS(H:H,D:D,DST_123_ÜRETİM_İHTİYAÇ_RAPORU_BURAK_YENI1309[[#This Row],[ALT_KOD]])+AVERAGEIFS(I:I,D:D,DST_123_ÜRETİM_İHTİYAÇ_RAPORU_BURAK_YENI1309[[#This Row],[ALT_KOD]])+AVERAGEIFS(L:L,D:D,DST_123_ÜRETİM_İHTİYAÇ_RAPORU_BURAK_YENI1309[[#This Row],[ALT_KOD]]))</f>
        <v>-19</v>
      </c>
      <c r="L3321">
        <v>0</v>
      </c>
      <c r="M3321">
        <f>IF((DST_123_ÜRETİM_İHTİYAÇ_RAPORU_BURAK_YENI1309[[#This Row],[SATINALMA]]*DST_123_ÜRETİM_İHTİYAÇ_RAPORU_BURAK_YENI1309[[#This Row],[BIRIM_FIYATLAR]])&lt;1,VALUE("0"),DST_123_ÜRETİM_İHTİYAÇ_RAPORU_BURAK_YENI1309[[#This Row],[SATINALMA]]*DST_123_ÜRETİM_İHTİYAÇ_RAPORU_BURAK_YENI1309[[#This Row],[BIRIM_FIYATLAR]])</f>
        <v>0</v>
      </c>
      <c r="N3321">
        <v>65</v>
      </c>
      <c r="O3321" t="s">
        <v>821</v>
      </c>
      <c r="P3321">
        <v>65</v>
      </c>
      <c r="Q3321" t="s">
        <v>178</v>
      </c>
    </row>
    <row r="3322" spans="1:17" x14ac:dyDescent="0.25">
      <c r="A3322" t="s">
        <v>1147</v>
      </c>
      <c r="B3322" t="s">
        <v>1145</v>
      </c>
      <c r="C3322" t="s">
        <v>175</v>
      </c>
      <c r="D3322" t="s">
        <v>76</v>
      </c>
      <c r="E3322" t="s">
        <v>77</v>
      </c>
      <c r="F3322">
        <v>4</v>
      </c>
      <c r="G3322" t="s">
        <v>176</v>
      </c>
      <c r="H3322">
        <v>0</v>
      </c>
      <c r="I3322">
        <v>85</v>
      </c>
      <c r="J3322" s="10">
        <v>31</v>
      </c>
      <c r="K3322" s="10">
        <f>SUMIFS(F:F,D:D,DST_123_ÜRETİM_İHTİYAÇ_RAPORU_BURAK_YENI1309[[#This Row],[ALT_KOD]])-(SUMIFS(H:H,D:D,DST_123_ÜRETİM_İHTİYAÇ_RAPORU_BURAK_YENI1309[[#This Row],[ALT_KOD]])+AVERAGEIFS(I:I,D:D,DST_123_ÜRETİM_İHTİYAÇ_RAPORU_BURAK_YENI1309[[#This Row],[ALT_KOD]])+AVERAGEIFS(L:L,D:D,DST_123_ÜRETİM_İHTİYAÇ_RAPORU_BURAK_YENI1309[[#This Row],[ALT_KOD]]))</f>
        <v>-17</v>
      </c>
      <c r="L3322">
        <v>0</v>
      </c>
      <c r="M3322">
        <f>IF((DST_123_ÜRETİM_İHTİYAÇ_RAPORU_BURAK_YENI1309[[#This Row],[SATINALMA]]*DST_123_ÜRETİM_İHTİYAÇ_RAPORU_BURAK_YENI1309[[#This Row],[BIRIM_FIYATLAR]])&lt;1,VALUE("0"),DST_123_ÜRETİM_İHTİYAÇ_RAPORU_BURAK_YENI1309[[#This Row],[SATINALMA]]*DST_123_ÜRETİM_İHTİYAÇ_RAPORU_BURAK_YENI1309[[#This Row],[BIRIM_FIYATLAR]])</f>
        <v>0</v>
      </c>
      <c r="N3322">
        <v>120</v>
      </c>
      <c r="O3322" t="s">
        <v>1152</v>
      </c>
      <c r="P3322">
        <v>480</v>
      </c>
      <c r="Q3322" t="s">
        <v>178</v>
      </c>
    </row>
    <row r="3323" spans="1:17" x14ac:dyDescent="0.25">
      <c r="A3323" t="s">
        <v>1148</v>
      </c>
      <c r="B3323" t="s">
        <v>1056</v>
      </c>
      <c r="C3323" t="s">
        <v>175</v>
      </c>
      <c r="D3323" t="s">
        <v>76</v>
      </c>
      <c r="E3323" t="s">
        <v>77</v>
      </c>
      <c r="F3323">
        <v>3</v>
      </c>
      <c r="G3323" t="s">
        <v>176</v>
      </c>
      <c r="H3323">
        <v>0</v>
      </c>
      <c r="I3323">
        <v>85</v>
      </c>
      <c r="J3323" s="10">
        <v>31</v>
      </c>
      <c r="K3323" s="10">
        <f>SUMIFS(F:F,D:D,DST_123_ÜRETİM_İHTİYAÇ_RAPORU_BURAK_YENI1309[[#This Row],[ALT_KOD]])-(SUMIFS(H:H,D:D,DST_123_ÜRETİM_İHTİYAÇ_RAPORU_BURAK_YENI1309[[#This Row],[ALT_KOD]])+AVERAGEIFS(I:I,D:D,DST_123_ÜRETİM_İHTİYAÇ_RAPORU_BURAK_YENI1309[[#This Row],[ALT_KOD]])+AVERAGEIFS(L:L,D:D,DST_123_ÜRETİM_İHTİYAÇ_RAPORU_BURAK_YENI1309[[#This Row],[ALT_KOD]]))</f>
        <v>-17</v>
      </c>
      <c r="L3323">
        <v>0</v>
      </c>
      <c r="M3323">
        <f>IF((DST_123_ÜRETİM_İHTİYAÇ_RAPORU_BURAK_YENI1309[[#This Row],[SATINALMA]]*DST_123_ÜRETİM_İHTİYAÇ_RAPORU_BURAK_YENI1309[[#This Row],[BIRIM_FIYATLAR]])&lt;1,VALUE("0"),DST_123_ÜRETİM_İHTİYAÇ_RAPORU_BURAK_YENI1309[[#This Row],[SATINALMA]]*DST_123_ÜRETİM_İHTİYAÇ_RAPORU_BURAK_YENI1309[[#This Row],[BIRIM_FIYATLAR]])</f>
        <v>0</v>
      </c>
      <c r="N3323">
        <v>120</v>
      </c>
      <c r="O3323" t="s">
        <v>1152</v>
      </c>
      <c r="P3323">
        <v>360</v>
      </c>
      <c r="Q3323" t="s">
        <v>178</v>
      </c>
    </row>
    <row r="3324" spans="1:17" x14ac:dyDescent="0.25">
      <c r="A3324" t="s">
        <v>1060</v>
      </c>
      <c r="B3324" t="s">
        <v>1061</v>
      </c>
      <c r="C3324" t="s">
        <v>175</v>
      </c>
      <c r="D3324" t="s">
        <v>78</v>
      </c>
      <c r="E3324" t="s">
        <v>79</v>
      </c>
      <c r="F3324">
        <v>3</v>
      </c>
      <c r="G3324" t="s">
        <v>176</v>
      </c>
      <c r="H3324">
        <v>0</v>
      </c>
      <c r="I3324">
        <v>81</v>
      </c>
      <c r="J3324" s="10">
        <v>5</v>
      </c>
      <c r="K3324" s="10">
        <f>SUMIFS(F:F,D:D,DST_123_ÜRETİM_İHTİYAÇ_RAPORU_BURAK_YENI1309[[#This Row],[ALT_KOD]])-(SUMIFS(H:H,D:D,DST_123_ÜRETİM_İHTİYAÇ_RAPORU_BURAK_YENI1309[[#This Row],[ALT_KOD]])+AVERAGEIFS(I:I,D:D,DST_123_ÜRETİM_İHTİYAÇ_RAPORU_BURAK_YENI1309[[#This Row],[ALT_KOD]])+AVERAGEIFS(L:L,D:D,DST_123_ÜRETİM_İHTİYAÇ_RAPORU_BURAK_YENI1309[[#This Row],[ALT_KOD]]))</f>
        <v>-23</v>
      </c>
      <c r="L3324">
        <v>0</v>
      </c>
      <c r="M3324">
        <f>IF((DST_123_ÜRETİM_İHTİYAÇ_RAPORU_BURAK_YENI1309[[#This Row],[SATINALMA]]*DST_123_ÜRETİM_İHTİYAÇ_RAPORU_BURAK_YENI1309[[#This Row],[BIRIM_FIYATLAR]])&lt;1,VALUE("0"),DST_123_ÜRETİM_İHTİYAÇ_RAPORU_BURAK_YENI1309[[#This Row],[SATINALMA]]*DST_123_ÜRETİM_İHTİYAÇ_RAPORU_BURAK_YENI1309[[#This Row],[BIRIM_FIYATLAR]])</f>
        <v>0</v>
      </c>
      <c r="N3324">
        <v>188</v>
      </c>
      <c r="O3324" t="s">
        <v>240</v>
      </c>
      <c r="P3324">
        <v>564</v>
      </c>
      <c r="Q3324" t="s">
        <v>178</v>
      </c>
    </row>
    <row r="3325" spans="1:17" x14ac:dyDescent="0.25">
      <c r="A3325" t="s">
        <v>1057</v>
      </c>
      <c r="B3325" t="s">
        <v>1058</v>
      </c>
      <c r="C3325" t="s">
        <v>175</v>
      </c>
      <c r="D3325" t="s">
        <v>78</v>
      </c>
      <c r="E3325" t="s">
        <v>79</v>
      </c>
      <c r="F3325">
        <v>3</v>
      </c>
      <c r="G3325" t="s">
        <v>176</v>
      </c>
      <c r="H3325">
        <v>0</v>
      </c>
      <c r="I3325">
        <v>81</v>
      </c>
      <c r="J3325" s="10">
        <v>5</v>
      </c>
      <c r="K3325" s="10">
        <f>SUMIFS(F:F,D:D,DST_123_ÜRETİM_İHTİYAÇ_RAPORU_BURAK_YENI1309[[#This Row],[ALT_KOD]])-(SUMIFS(H:H,D:D,DST_123_ÜRETİM_İHTİYAÇ_RAPORU_BURAK_YENI1309[[#This Row],[ALT_KOD]])+AVERAGEIFS(I:I,D:D,DST_123_ÜRETİM_İHTİYAÇ_RAPORU_BURAK_YENI1309[[#This Row],[ALT_KOD]])+AVERAGEIFS(L:L,D:D,DST_123_ÜRETİM_İHTİYAÇ_RAPORU_BURAK_YENI1309[[#This Row],[ALT_KOD]]))</f>
        <v>-23</v>
      </c>
      <c r="L3325">
        <v>0</v>
      </c>
      <c r="M3325">
        <f>IF((DST_123_ÜRETİM_İHTİYAÇ_RAPORU_BURAK_YENI1309[[#This Row],[SATINALMA]]*DST_123_ÜRETİM_İHTİYAÇ_RAPORU_BURAK_YENI1309[[#This Row],[BIRIM_FIYATLAR]])&lt;1,VALUE("0"),DST_123_ÜRETİM_İHTİYAÇ_RAPORU_BURAK_YENI1309[[#This Row],[SATINALMA]]*DST_123_ÜRETİM_İHTİYAÇ_RAPORU_BURAK_YENI1309[[#This Row],[BIRIM_FIYATLAR]])</f>
        <v>0</v>
      </c>
      <c r="N3325">
        <v>188</v>
      </c>
      <c r="O3325" t="s">
        <v>240</v>
      </c>
      <c r="P3325">
        <v>564</v>
      </c>
      <c r="Q3325" t="s">
        <v>178</v>
      </c>
    </row>
    <row r="3326" spans="1:17" x14ac:dyDescent="0.25">
      <c r="A3326" t="s">
        <v>1100</v>
      </c>
      <c r="B3326" t="s">
        <v>1058</v>
      </c>
      <c r="C3326" t="s">
        <v>175</v>
      </c>
      <c r="D3326" t="s">
        <v>78</v>
      </c>
      <c r="E3326" t="s">
        <v>79</v>
      </c>
      <c r="F3326">
        <v>3</v>
      </c>
      <c r="G3326" t="s">
        <v>176</v>
      </c>
      <c r="H3326">
        <v>0</v>
      </c>
      <c r="I3326">
        <v>81</v>
      </c>
      <c r="J3326" s="10">
        <v>5</v>
      </c>
      <c r="K3326" s="10">
        <f>SUMIFS(F:F,D:D,DST_123_ÜRETİM_İHTİYAÇ_RAPORU_BURAK_YENI1309[[#This Row],[ALT_KOD]])-(SUMIFS(H:H,D:D,DST_123_ÜRETİM_İHTİYAÇ_RAPORU_BURAK_YENI1309[[#This Row],[ALT_KOD]])+AVERAGEIFS(I:I,D:D,DST_123_ÜRETİM_İHTİYAÇ_RAPORU_BURAK_YENI1309[[#This Row],[ALT_KOD]])+AVERAGEIFS(L:L,D:D,DST_123_ÜRETİM_İHTİYAÇ_RAPORU_BURAK_YENI1309[[#This Row],[ALT_KOD]]))</f>
        <v>-23</v>
      </c>
      <c r="L3326">
        <v>0</v>
      </c>
      <c r="M3326">
        <f>IF((DST_123_ÜRETİM_İHTİYAÇ_RAPORU_BURAK_YENI1309[[#This Row],[SATINALMA]]*DST_123_ÜRETİM_İHTİYAÇ_RAPORU_BURAK_YENI1309[[#This Row],[BIRIM_FIYATLAR]])&lt;1,VALUE("0"),DST_123_ÜRETİM_İHTİYAÇ_RAPORU_BURAK_YENI1309[[#This Row],[SATINALMA]]*DST_123_ÜRETİM_İHTİYAÇ_RAPORU_BURAK_YENI1309[[#This Row],[BIRIM_FIYATLAR]])</f>
        <v>0</v>
      </c>
      <c r="N3326">
        <v>188</v>
      </c>
      <c r="O3326" t="s">
        <v>240</v>
      </c>
      <c r="P3326">
        <v>564</v>
      </c>
      <c r="Q3326" t="s">
        <v>178</v>
      </c>
    </row>
    <row r="3327" spans="1:17" x14ac:dyDescent="0.25">
      <c r="A3327" t="s">
        <v>1148</v>
      </c>
      <c r="B3327" t="s">
        <v>1056</v>
      </c>
      <c r="C3327" t="s">
        <v>175</v>
      </c>
      <c r="D3327" t="s">
        <v>78</v>
      </c>
      <c r="E3327" t="s">
        <v>79</v>
      </c>
      <c r="F3327">
        <v>3</v>
      </c>
      <c r="G3327" t="s">
        <v>176</v>
      </c>
      <c r="H3327">
        <v>0</v>
      </c>
      <c r="I3327">
        <v>81</v>
      </c>
      <c r="J3327" s="10">
        <v>5</v>
      </c>
      <c r="K3327" s="10">
        <f>SUMIFS(F:F,D:D,DST_123_ÜRETİM_İHTİYAÇ_RAPORU_BURAK_YENI1309[[#This Row],[ALT_KOD]])-(SUMIFS(H:H,D:D,DST_123_ÜRETİM_İHTİYAÇ_RAPORU_BURAK_YENI1309[[#This Row],[ALT_KOD]])+AVERAGEIFS(I:I,D:D,DST_123_ÜRETİM_İHTİYAÇ_RAPORU_BURAK_YENI1309[[#This Row],[ALT_KOD]])+AVERAGEIFS(L:L,D:D,DST_123_ÜRETİM_İHTİYAÇ_RAPORU_BURAK_YENI1309[[#This Row],[ALT_KOD]]))</f>
        <v>-23</v>
      </c>
      <c r="L3327">
        <v>0</v>
      </c>
      <c r="M3327">
        <f>IF((DST_123_ÜRETİM_İHTİYAÇ_RAPORU_BURAK_YENI1309[[#This Row],[SATINALMA]]*DST_123_ÜRETİM_İHTİYAÇ_RAPORU_BURAK_YENI1309[[#This Row],[BIRIM_FIYATLAR]])&lt;1,VALUE("0"),DST_123_ÜRETİM_İHTİYAÇ_RAPORU_BURAK_YENI1309[[#This Row],[SATINALMA]]*DST_123_ÜRETİM_İHTİYAÇ_RAPORU_BURAK_YENI1309[[#This Row],[BIRIM_FIYATLAR]])</f>
        <v>0</v>
      </c>
      <c r="N3327">
        <v>188</v>
      </c>
      <c r="O3327" t="s">
        <v>240</v>
      </c>
      <c r="P3327">
        <v>564</v>
      </c>
      <c r="Q3327" t="s">
        <v>178</v>
      </c>
    </row>
    <row r="3328" spans="1:17" x14ac:dyDescent="0.25">
      <c r="A3328" t="s">
        <v>1057</v>
      </c>
      <c r="B3328" t="s">
        <v>1058</v>
      </c>
      <c r="C3328" t="s">
        <v>175</v>
      </c>
      <c r="D3328" t="s">
        <v>82</v>
      </c>
      <c r="E3328" t="s">
        <v>83</v>
      </c>
      <c r="F3328">
        <v>1.5</v>
      </c>
      <c r="G3328" t="s">
        <v>182</v>
      </c>
      <c r="H3328">
        <v>0</v>
      </c>
      <c r="I3328">
        <v>0</v>
      </c>
      <c r="J3328" s="10">
        <v>134.67999999999967</v>
      </c>
      <c r="K3328" s="10">
        <f>SUMIFS(F:F,D:D,DST_123_ÜRETİM_İHTİYAÇ_RAPORU_BURAK_YENI1309[[#This Row],[ALT_KOD]])-(SUMIFS(H:H,D:D,DST_123_ÜRETİM_İHTİYAÇ_RAPORU_BURAK_YENI1309[[#This Row],[ALT_KOD]])+AVERAGEIFS(I:I,D:D,DST_123_ÜRETİM_İHTİYAÇ_RAPORU_BURAK_YENI1309[[#This Row],[ALT_KOD]])+AVERAGEIFS(L:L,D:D,DST_123_ÜRETİM_İHTİYAÇ_RAPORU_BURAK_YENI1309[[#This Row],[ALT_KOD]]))</f>
        <v>420</v>
      </c>
      <c r="L3328">
        <v>13</v>
      </c>
      <c r="M3328">
        <f>IF((DST_123_ÜRETİM_İHTİYAÇ_RAPORU_BURAK_YENI1309[[#This Row],[SATINALMA]]*DST_123_ÜRETİM_İHTİYAÇ_RAPORU_BURAK_YENI1309[[#This Row],[BIRIM_FIYATLAR]])&lt;1,VALUE("0"),DST_123_ÜRETİM_İHTİYAÇ_RAPORU_BURAK_YENI1309[[#This Row],[SATINALMA]]*DST_123_ÜRETİM_İHTİYAÇ_RAPORU_BURAK_YENI1309[[#This Row],[BIRIM_FIYATLAR]])</f>
        <v>95886</v>
      </c>
      <c r="N3328">
        <v>228.3</v>
      </c>
      <c r="O3328" t="s">
        <v>223</v>
      </c>
      <c r="P3328">
        <v>342.45000000000005</v>
      </c>
      <c r="Q3328" t="s">
        <v>181</v>
      </c>
    </row>
    <row r="3329" spans="1:17" x14ac:dyDescent="0.25">
      <c r="A3329" t="s">
        <v>1147</v>
      </c>
      <c r="B3329" t="s">
        <v>1145</v>
      </c>
      <c r="C3329" t="s">
        <v>175</v>
      </c>
      <c r="D3329" t="s">
        <v>682</v>
      </c>
      <c r="E3329" t="s">
        <v>683</v>
      </c>
      <c r="F3329">
        <v>2</v>
      </c>
      <c r="G3329" t="s">
        <v>176</v>
      </c>
      <c r="H3329">
        <v>0</v>
      </c>
      <c r="I3329">
        <v>34</v>
      </c>
      <c r="J3329" s="10">
        <v>27</v>
      </c>
      <c r="K3329" s="10">
        <f>SUMIFS(F:F,D:D,DST_123_ÜRETİM_İHTİYAÇ_RAPORU_BURAK_YENI1309[[#This Row],[ALT_KOD]])-(SUMIFS(H:H,D:D,DST_123_ÜRETİM_İHTİYAÇ_RAPORU_BURAK_YENI1309[[#This Row],[ALT_KOD]])+AVERAGEIFS(I:I,D:D,DST_123_ÜRETİM_İHTİYAÇ_RAPORU_BURAK_YENI1309[[#This Row],[ALT_KOD]])+AVERAGEIFS(L:L,D:D,DST_123_ÜRETİM_İHTİYAÇ_RAPORU_BURAK_YENI1309[[#This Row],[ALT_KOD]]))</f>
        <v>-6</v>
      </c>
      <c r="L3329">
        <v>0</v>
      </c>
      <c r="M3329">
        <f>IF((DST_123_ÜRETİM_İHTİYAÇ_RAPORU_BURAK_YENI1309[[#This Row],[SATINALMA]]*DST_123_ÜRETİM_İHTİYAÇ_RAPORU_BURAK_YENI1309[[#This Row],[BIRIM_FIYATLAR]])&lt;1,VALUE("0"),DST_123_ÜRETİM_İHTİYAÇ_RAPORU_BURAK_YENI1309[[#This Row],[SATINALMA]]*DST_123_ÜRETİM_İHTİYAÇ_RAPORU_BURAK_YENI1309[[#This Row],[BIRIM_FIYATLAR]])</f>
        <v>0</v>
      </c>
      <c r="N3329">
        <v>500</v>
      </c>
      <c r="O3329" t="s">
        <v>584</v>
      </c>
      <c r="P3329">
        <v>1000</v>
      </c>
      <c r="Q3329" t="s">
        <v>177</v>
      </c>
    </row>
    <row r="3330" spans="1:17" x14ac:dyDescent="0.25">
      <c r="A3330" t="s">
        <v>1148</v>
      </c>
      <c r="B3330" t="s">
        <v>1056</v>
      </c>
      <c r="C3330" t="s">
        <v>175</v>
      </c>
      <c r="D3330" t="s">
        <v>682</v>
      </c>
      <c r="E3330" t="s">
        <v>683</v>
      </c>
      <c r="F3330">
        <v>2</v>
      </c>
      <c r="G3330" t="s">
        <v>176</v>
      </c>
      <c r="H3330">
        <v>0</v>
      </c>
      <c r="I3330">
        <v>34</v>
      </c>
      <c r="J3330" s="10">
        <v>27</v>
      </c>
      <c r="K3330" s="10">
        <f>SUMIFS(F:F,D:D,DST_123_ÜRETİM_İHTİYAÇ_RAPORU_BURAK_YENI1309[[#This Row],[ALT_KOD]])-(SUMIFS(H:H,D:D,DST_123_ÜRETİM_İHTİYAÇ_RAPORU_BURAK_YENI1309[[#This Row],[ALT_KOD]])+AVERAGEIFS(I:I,D:D,DST_123_ÜRETİM_İHTİYAÇ_RAPORU_BURAK_YENI1309[[#This Row],[ALT_KOD]])+AVERAGEIFS(L:L,D:D,DST_123_ÜRETİM_İHTİYAÇ_RAPORU_BURAK_YENI1309[[#This Row],[ALT_KOD]]))</f>
        <v>-6</v>
      </c>
      <c r="L3330">
        <v>0</v>
      </c>
      <c r="M3330">
        <f>IF((DST_123_ÜRETİM_İHTİYAÇ_RAPORU_BURAK_YENI1309[[#This Row],[SATINALMA]]*DST_123_ÜRETİM_İHTİYAÇ_RAPORU_BURAK_YENI1309[[#This Row],[BIRIM_FIYATLAR]])&lt;1,VALUE("0"),DST_123_ÜRETİM_İHTİYAÇ_RAPORU_BURAK_YENI1309[[#This Row],[SATINALMA]]*DST_123_ÜRETİM_İHTİYAÇ_RAPORU_BURAK_YENI1309[[#This Row],[BIRIM_FIYATLAR]])</f>
        <v>0</v>
      </c>
      <c r="N3330">
        <v>500</v>
      </c>
      <c r="O3330" t="s">
        <v>584</v>
      </c>
      <c r="P3330">
        <v>1000</v>
      </c>
      <c r="Q3330" t="s">
        <v>177</v>
      </c>
    </row>
    <row r="3331" spans="1:17" x14ac:dyDescent="0.25">
      <c r="A3331" t="s">
        <v>1060</v>
      </c>
      <c r="B3331" t="s">
        <v>1061</v>
      </c>
      <c r="C3331" t="s">
        <v>175</v>
      </c>
      <c r="D3331" t="s">
        <v>684</v>
      </c>
      <c r="E3331" t="s">
        <v>685</v>
      </c>
      <c r="F3331">
        <v>1</v>
      </c>
      <c r="G3331" t="s">
        <v>176</v>
      </c>
      <c r="H3331">
        <v>0</v>
      </c>
      <c r="I3331">
        <v>23</v>
      </c>
      <c r="J3331" s="10">
        <v>17</v>
      </c>
      <c r="K3331" s="10">
        <f>SUMIFS(F:F,D:D,DST_123_ÜRETİM_İHTİYAÇ_RAPORU_BURAK_YENI1309[[#This Row],[ALT_KOD]])-(SUMIFS(H:H,D:D,DST_123_ÜRETİM_İHTİYAÇ_RAPORU_BURAK_YENI1309[[#This Row],[ALT_KOD]])+AVERAGEIFS(I:I,D:D,DST_123_ÜRETİM_İHTİYAÇ_RAPORU_BURAK_YENI1309[[#This Row],[ALT_KOD]])+AVERAGEIFS(L:L,D:D,DST_123_ÜRETİM_İHTİYAÇ_RAPORU_BURAK_YENI1309[[#This Row],[ALT_KOD]]))</f>
        <v>-8</v>
      </c>
      <c r="L3331">
        <v>0</v>
      </c>
      <c r="M3331">
        <f>IF((DST_123_ÜRETİM_İHTİYAÇ_RAPORU_BURAK_YENI1309[[#This Row],[SATINALMA]]*DST_123_ÜRETİM_İHTİYAÇ_RAPORU_BURAK_YENI1309[[#This Row],[BIRIM_FIYATLAR]])&lt;1,VALUE("0"),DST_123_ÜRETİM_İHTİYAÇ_RAPORU_BURAK_YENI1309[[#This Row],[SATINALMA]]*DST_123_ÜRETİM_İHTİYAÇ_RAPORU_BURAK_YENI1309[[#This Row],[BIRIM_FIYATLAR]])</f>
        <v>0</v>
      </c>
      <c r="N3331">
        <v>750</v>
      </c>
      <c r="O3331" t="s">
        <v>584</v>
      </c>
      <c r="P3331">
        <v>750</v>
      </c>
      <c r="Q3331" t="s">
        <v>177</v>
      </c>
    </row>
    <row r="3332" spans="1:17" x14ac:dyDescent="0.25">
      <c r="A3332" t="s">
        <v>1100</v>
      </c>
      <c r="B3332" t="s">
        <v>1058</v>
      </c>
      <c r="C3332" t="s">
        <v>175</v>
      </c>
      <c r="D3332" t="s">
        <v>684</v>
      </c>
      <c r="E3332" t="s">
        <v>685</v>
      </c>
      <c r="F3332">
        <v>1</v>
      </c>
      <c r="G3332" t="s">
        <v>176</v>
      </c>
      <c r="H3332">
        <v>0</v>
      </c>
      <c r="I3332">
        <v>23</v>
      </c>
      <c r="J3332" s="10">
        <v>17</v>
      </c>
      <c r="K3332" s="10">
        <f>SUMIFS(F:F,D:D,DST_123_ÜRETİM_İHTİYAÇ_RAPORU_BURAK_YENI1309[[#This Row],[ALT_KOD]])-(SUMIFS(H:H,D:D,DST_123_ÜRETİM_İHTİYAÇ_RAPORU_BURAK_YENI1309[[#This Row],[ALT_KOD]])+AVERAGEIFS(I:I,D:D,DST_123_ÜRETİM_İHTİYAÇ_RAPORU_BURAK_YENI1309[[#This Row],[ALT_KOD]])+AVERAGEIFS(L:L,D:D,DST_123_ÜRETİM_İHTİYAÇ_RAPORU_BURAK_YENI1309[[#This Row],[ALT_KOD]]))</f>
        <v>-8</v>
      </c>
      <c r="L3332">
        <v>0</v>
      </c>
      <c r="M3332">
        <f>IF((DST_123_ÜRETİM_İHTİYAÇ_RAPORU_BURAK_YENI1309[[#This Row],[SATINALMA]]*DST_123_ÜRETİM_İHTİYAÇ_RAPORU_BURAK_YENI1309[[#This Row],[BIRIM_FIYATLAR]])&lt;1,VALUE("0"),DST_123_ÜRETİM_İHTİYAÇ_RAPORU_BURAK_YENI1309[[#This Row],[SATINALMA]]*DST_123_ÜRETİM_İHTİYAÇ_RAPORU_BURAK_YENI1309[[#This Row],[BIRIM_FIYATLAR]])</f>
        <v>0</v>
      </c>
      <c r="N3332">
        <v>750</v>
      </c>
      <c r="O3332" t="s">
        <v>584</v>
      </c>
      <c r="P3332">
        <v>750</v>
      </c>
      <c r="Q3332" t="s">
        <v>177</v>
      </c>
    </row>
    <row r="3333" spans="1:17" x14ac:dyDescent="0.25">
      <c r="A3333" t="s">
        <v>1147</v>
      </c>
      <c r="B3333" t="s">
        <v>1145</v>
      </c>
      <c r="C3333" t="s">
        <v>175</v>
      </c>
      <c r="D3333" t="s">
        <v>684</v>
      </c>
      <c r="E3333" t="s">
        <v>685</v>
      </c>
      <c r="F3333">
        <v>1</v>
      </c>
      <c r="G3333" t="s">
        <v>176</v>
      </c>
      <c r="H3333">
        <v>0</v>
      </c>
      <c r="I3333">
        <v>23</v>
      </c>
      <c r="J3333" s="10">
        <v>17</v>
      </c>
      <c r="K3333" s="10">
        <f>SUMIFS(F:F,D:D,DST_123_ÜRETİM_İHTİYAÇ_RAPORU_BURAK_YENI1309[[#This Row],[ALT_KOD]])-(SUMIFS(H:H,D:D,DST_123_ÜRETİM_İHTİYAÇ_RAPORU_BURAK_YENI1309[[#This Row],[ALT_KOD]])+AVERAGEIFS(I:I,D:D,DST_123_ÜRETİM_İHTİYAÇ_RAPORU_BURAK_YENI1309[[#This Row],[ALT_KOD]])+AVERAGEIFS(L:L,D:D,DST_123_ÜRETİM_İHTİYAÇ_RAPORU_BURAK_YENI1309[[#This Row],[ALT_KOD]]))</f>
        <v>-8</v>
      </c>
      <c r="L3333">
        <v>0</v>
      </c>
      <c r="M3333">
        <f>IF((DST_123_ÜRETİM_İHTİYAÇ_RAPORU_BURAK_YENI1309[[#This Row],[SATINALMA]]*DST_123_ÜRETİM_İHTİYAÇ_RAPORU_BURAK_YENI1309[[#This Row],[BIRIM_FIYATLAR]])&lt;1,VALUE("0"),DST_123_ÜRETİM_İHTİYAÇ_RAPORU_BURAK_YENI1309[[#This Row],[SATINALMA]]*DST_123_ÜRETİM_İHTİYAÇ_RAPORU_BURAK_YENI1309[[#This Row],[BIRIM_FIYATLAR]])</f>
        <v>0</v>
      </c>
      <c r="N3333">
        <v>750</v>
      </c>
      <c r="O3333" t="s">
        <v>584</v>
      </c>
      <c r="P3333">
        <v>750</v>
      </c>
      <c r="Q3333" t="s">
        <v>177</v>
      </c>
    </row>
    <row r="3334" spans="1:17" x14ac:dyDescent="0.25">
      <c r="A3334" t="s">
        <v>1148</v>
      </c>
      <c r="B3334" t="s">
        <v>1056</v>
      </c>
      <c r="C3334" t="s">
        <v>175</v>
      </c>
      <c r="D3334" t="s">
        <v>684</v>
      </c>
      <c r="E3334" t="s">
        <v>685</v>
      </c>
      <c r="F3334">
        <v>1</v>
      </c>
      <c r="G3334" t="s">
        <v>176</v>
      </c>
      <c r="H3334">
        <v>0</v>
      </c>
      <c r="I3334">
        <v>23</v>
      </c>
      <c r="J3334" s="10">
        <v>17</v>
      </c>
      <c r="K3334" s="10">
        <f>SUMIFS(F:F,D:D,DST_123_ÜRETİM_İHTİYAÇ_RAPORU_BURAK_YENI1309[[#This Row],[ALT_KOD]])-(SUMIFS(H:H,D:D,DST_123_ÜRETİM_İHTİYAÇ_RAPORU_BURAK_YENI1309[[#This Row],[ALT_KOD]])+AVERAGEIFS(I:I,D:D,DST_123_ÜRETİM_İHTİYAÇ_RAPORU_BURAK_YENI1309[[#This Row],[ALT_KOD]])+AVERAGEIFS(L:L,D:D,DST_123_ÜRETİM_İHTİYAÇ_RAPORU_BURAK_YENI1309[[#This Row],[ALT_KOD]]))</f>
        <v>-8</v>
      </c>
      <c r="L3334">
        <v>0</v>
      </c>
      <c r="M3334">
        <f>IF((DST_123_ÜRETİM_İHTİYAÇ_RAPORU_BURAK_YENI1309[[#This Row],[SATINALMA]]*DST_123_ÜRETİM_İHTİYAÇ_RAPORU_BURAK_YENI1309[[#This Row],[BIRIM_FIYATLAR]])&lt;1,VALUE("0"),DST_123_ÜRETİM_İHTİYAÇ_RAPORU_BURAK_YENI1309[[#This Row],[SATINALMA]]*DST_123_ÜRETİM_İHTİYAÇ_RAPORU_BURAK_YENI1309[[#This Row],[BIRIM_FIYATLAR]])</f>
        <v>0</v>
      </c>
      <c r="N3334">
        <v>750</v>
      </c>
      <c r="O3334" t="s">
        <v>584</v>
      </c>
      <c r="P3334">
        <v>750</v>
      </c>
      <c r="Q3334" t="s">
        <v>177</v>
      </c>
    </row>
    <row r="3335" spans="1:17" x14ac:dyDescent="0.25">
      <c r="A3335" t="s">
        <v>1101</v>
      </c>
      <c r="B3335" t="s">
        <v>1102</v>
      </c>
      <c r="C3335" t="s">
        <v>175</v>
      </c>
      <c r="D3335" t="s">
        <v>552</v>
      </c>
      <c r="E3335" t="s">
        <v>553</v>
      </c>
      <c r="F3335">
        <v>1</v>
      </c>
      <c r="G3335" t="s">
        <v>176</v>
      </c>
      <c r="H3335">
        <v>0</v>
      </c>
      <c r="I3335">
        <v>14</v>
      </c>
      <c r="J3335" s="10">
        <v>9.9999999999999929</v>
      </c>
      <c r="K3335" s="10">
        <f>SUMIFS(F:F,D:D,DST_123_ÜRETİM_İHTİYAÇ_RAPORU_BURAK_YENI1309[[#This Row],[ALT_KOD]])-(SUMIFS(H:H,D:D,DST_123_ÜRETİM_İHTİYAÇ_RAPORU_BURAK_YENI1309[[#This Row],[ALT_KOD]])+AVERAGEIFS(I:I,D:D,DST_123_ÜRETİM_İHTİYAÇ_RAPORU_BURAK_YENI1309[[#This Row],[ALT_KOD]])+AVERAGEIFS(L:L,D:D,DST_123_ÜRETİM_İHTİYAÇ_RAPORU_BURAK_YENI1309[[#This Row],[ALT_KOD]]))</f>
        <v>2.5700000000000003</v>
      </c>
      <c r="L3335">
        <v>0</v>
      </c>
      <c r="M3335">
        <f>IF((DST_123_ÜRETİM_İHTİYAÇ_RAPORU_BURAK_YENI1309[[#This Row],[SATINALMA]]*DST_123_ÜRETİM_İHTİYAÇ_RAPORU_BURAK_YENI1309[[#This Row],[BIRIM_FIYATLAR]])&lt;1,VALUE("0"),DST_123_ÜRETİM_İHTİYAÇ_RAPORU_BURAK_YENI1309[[#This Row],[SATINALMA]]*DST_123_ÜRETİM_İHTİYAÇ_RAPORU_BURAK_YENI1309[[#This Row],[BIRIM_FIYATLAR]])</f>
        <v>552.55000000000007</v>
      </c>
      <c r="N3335">
        <v>215</v>
      </c>
      <c r="O3335" t="s">
        <v>240</v>
      </c>
      <c r="P3335">
        <v>215</v>
      </c>
      <c r="Q3335" t="s">
        <v>180</v>
      </c>
    </row>
    <row r="3336" spans="1:17" x14ac:dyDescent="0.25">
      <c r="A3336" t="s">
        <v>1059</v>
      </c>
      <c r="B3336" t="s">
        <v>1058</v>
      </c>
      <c r="C3336" t="s">
        <v>175</v>
      </c>
      <c r="D3336" t="s">
        <v>50</v>
      </c>
      <c r="E3336" t="s">
        <v>51</v>
      </c>
      <c r="F3336">
        <v>1</v>
      </c>
      <c r="G3336" t="s">
        <v>176</v>
      </c>
      <c r="H3336">
        <v>1</v>
      </c>
      <c r="I3336">
        <v>4</v>
      </c>
      <c r="J3336" s="10">
        <v>10</v>
      </c>
      <c r="K3336" s="10">
        <f>SUMIFS(F:F,D:D,DST_123_ÜRETİM_İHTİYAÇ_RAPORU_BURAK_YENI1309[[#This Row],[ALT_KOD]])-(SUMIFS(H:H,D:D,DST_123_ÜRETİM_İHTİYAÇ_RAPORU_BURAK_YENI1309[[#This Row],[ALT_KOD]])+AVERAGEIFS(I:I,D:D,DST_123_ÜRETİM_İHTİYAÇ_RAPORU_BURAK_YENI1309[[#This Row],[ALT_KOD]])+AVERAGEIFS(L:L,D:D,DST_123_ÜRETİM_İHTİYAÇ_RAPORU_BURAK_YENI1309[[#This Row],[ALT_KOD]]))</f>
        <v>8</v>
      </c>
      <c r="L3336">
        <v>0</v>
      </c>
      <c r="M3336">
        <f>IF((DST_123_ÜRETİM_İHTİYAÇ_RAPORU_BURAK_YENI1309[[#This Row],[SATINALMA]]*DST_123_ÜRETİM_İHTİYAÇ_RAPORU_BURAK_YENI1309[[#This Row],[BIRIM_FIYATLAR]])&lt;1,VALUE("0"),DST_123_ÜRETİM_İHTİYAÇ_RAPORU_BURAK_YENI1309[[#This Row],[SATINALMA]]*DST_123_ÜRETİM_İHTİYAÇ_RAPORU_BURAK_YENI1309[[#This Row],[BIRIM_FIYATLAR]])</f>
        <v>41649.120000000003</v>
      </c>
      <c r="N3336">
        <v>5206.1400000000003</v>
      </c>
      <c r="O3336" t="s">
        <v>215</v>
      </c>
      <c r="P3336">
        <v>5206.1400000000003</v>
      </c>
      <c r="Q3336" t="s">
        <v>221</v>
      </c>
    </row>
    <row r="3337" spans="1:17" x14ac:dyDescent="0.25">
      <c r="A3337" t="s">
        <v>1057</v>
      </c>
      <c r="B3337" t="s">
        <v>1058</v>
      </c>
      <c r="C3337" t="s">
        <v>175</v>
      </c>
      <c r="D3337" t="s">
        <v>124</v>
      </c>
      <c r="E3337" t="s">
        <v>125</v>
      </c>
      <c r="F3337">
        <v>6</v>
      </c>
      <c r="G3337" t="s">
        <v>185</v>
      </c>
      <c r="H3337">
        <v>6</v>
      </c>
      <c r="I3337">
        <v>0</v>
      </c>
      <c r="J3337" s="10">
        <v>297.61</v>
      </c>
      <c r="K3337" s="10">
        <f>SUMIFS(F:F,D:D,DST_123_ÜRETİM_İHTİYAÇ_RAPORU_BURAK_YENI1309[[#This Row],[ALT_KOD]])-(SUMIFS(H:H,D:D,DST_123_ÜRETİM_İHTİYAÇ_RAPORU_BURAK_YENI1309[[#This Row],[ALT_KOD]])+AVERAGEIFS(I:I,D:D,DST_123_ÜRETİM_İHTİYAÇ_RAPORU_BURAK_YENI1309[[#This Row],[ALT_KOD]])+AVERAGEIFS(L:L,D:D,DST_123_ÜRETİM_İHTİYAÇ_RAPORU_BURAK_YENI1309[[#This Row],[ALT_KOD]]))</f>
        <v>97.560000000000016</v>
      </c>
      <c r="L3337">
        <v>0</v>
      </c>
      <c r="M3337">
        <f>IF((DST_123_ÜRETİM_İHTİYAÇ_RAPORU_BURAK_YENI1309[[#This Row],[SATINALMA]]*DST_123_ÜRETİM_İHTİYAÇ_RAPORU_BURAK_YENI1309[[#This Row],[BIRIM_FIYATLAR]])&lt;1,VALUE("0"),DST_123_ÜRETİM_İHTİYAÇ_RAPORU_BURAK_YENI1309[[#This Row],[SATINALMA]]*DST_123_ÜRETİM_İHTİYAÇ_RAPORU_BURAK_YENI1309[[#This Row],[BIRIM_FIYATLAR]])</f>
        <v>13285.720800000003</v>
      </c>
      <c r="N3337">
        <v>136.18</v>
      </c>
      <c r="O3337" t="s">
        <v>252</v>
      </c>
      <c r="P3337">
        <v>817.08</v>
      </c>
      <c r="Q3337" t="s">
        <v>183</v>
      </c>
    </row>
    <row r="3338" spans="1:17" x14ac:dyDescent="0.25">
      <c r="A3338" t="s">
        <v>1147</v>
      </c>
      <c r="B3338" t="s">
        <v>1145</v>
      </c>
      <c r="C3338" t="s">
        <v>175</v>
      </c>
      <c r="D3338" t="s">
        <v>264</v>
      </c>
      <c r="E3338" t="s">
        <v>265</v>
      </c>
      <c r="F3338">
        <v>1</v>
      </c>
      <c r="G3338" t="s">
        <v>176</v>
      </c>
      <c r="H3338">
        <v>0</v>
      </c>
      <c r="I3338">
        <v>0</v>
      </c>
      <c r="J3338" s="10">
        <v>8</v>
      </c>
      <c r="K3338" s="10">
        <f>SUMIFS(F:F,D:D,DST_123_ÜRETİM_İHTİYAÇ_RAPORU_BURAK_YENI1309[[#This Row],[ALT_KOD]])-(SUMIFS(H:H,D:D,DST_123_ÜRETİM_İHTİYAÇ_RAPORU_BURAK_YENI1309[[#This Row],[ALT_KOD]])+AVERAGEIFS(I:I,D:D,DST_123_ÜRETİM_İHTİYAÇ_RAPORU_BURAK_YENI1309[[#This Row],[ALT_KOD]])+AVERAGEIFS(L:L,D:D,DST_123_ÜRETİM_İHTİYAÇ_RAPORU_BURAK_YENI1309[[#This Row],[ALT_KOD]]))</f>
        <v>12</v>
      </c>
      <c r="L3338">
        <v>0</v>
      </c>
      <c r="M3338">
        <f>IF((DST_123_ÜRETİM_İHTİYAÇ_RAPORU_BURAK_YENI1309[[#This Row],[SATINALMA]]*DST_123_ÜRETİM_İHTİYAÇ_RAPORU_BURAK_YENI1309[[#This Row],[BIRIM_FIYATLAR]])&lt;1,VALUE("0"),DST_123_ÜRETİM_İHTİYAÇ_RAPORU_BURAK_YENI1309[[#This Row],[SATINALMA]]*DST_123_ÜRETİM_İHTİYAÇ_RAPORU_BURAK_YENI1309[[#This Row],[BIRIM_FIYATLAR]])</f>
        <v>55600.08</v>
      </c>
      <c r="N3338">
        <v>4633.34</v>
      </c>
      <c r="O3338" t="s">
        <v>214</v>
      </c>
      <c r="P3338">
        <v>4633.34</v>
      </c>
      <c r="Q3338" t="s">
        <v>177</v>
      </c>
    </row>
    <row r="3339" spans="1:17" x14ac:dyDescent="0.25">
      <c r="A3339" t="s">
        <v>1148</v>
      </c>
      <c r="B3339" t="s">
        <v>1056</v>
      </c>
      <c r="C3339" t="s">
        <v>175</v>
      </c>
      <c r="D3339" t="s">
        <v>264</v>
      </c>
      <c r="E3339" t="s">
        <v>265</v>
      </c>
      <c r="F3339">
        <v>1</v>
      </c>
      <c r="G3339" t="s">
        <v>176</v>
      </c>
      <c r="H3339">
        <v>0</v>
      </c>
      <c r="I3339">
        <v>0</v>
      </c>
      <c r="J3339" s="10">
        <v>8</v>
      </c>
      <c r="K3339" s="10">
        <f>SUMIFS(F:F,D:D,DST_123_ÜRETİM_İHTİYAÇ_RAPORU_BURAK_YENI1309[[#This Row],[ALT_KOD]])-(SUMIFS(H:H,D:D,DST_123_ÜRETİM_İHTİYAÇ_RAPORU_BURAK_YENI1309[[#This Row],[ALT_KOD]])+AVERAGEIFS(I:I,D:D,DST_123_ÜRETİM_İHTİYAÇ_RAPORU_BURAK_YENI1309[[#This Row],[ALT_KOD]])+AVERAGEIFS(L:L,D:D,DST_123_ÜRETİM_İHTİYAÇ_RAPORU_BURAK_YENI1309[[#This Row],[ALT_KOD]]))</f>
        <v>12</v>
      </c>
      <c r="L3339">
        <v>0</v>
      </c>
      <c r="M3339">
        <f>IF((DST_123_ÜRETİM_İHTİYAÇ_RAPORU_BURAK_YENI1309[[#This Row],[SATINALMA]]*DST_123_ÜRETİM_İHTİYAÇ_RAPORU_BURAK_YENI1309[[#This Row],[BIRIM_FIYATLAR]])&lt;1,VALUE("0"),DST_123_ÜRETİM_İHTİYAÇ_RAPORU_BURAK_YENI1309[[#This Row],[SATINALMA]]*DST_123_ÜRETİM_İHTİYAÇ_RAPORU_BURAK_YENI1309[[#This Row],[BIRIM_FIYATLAR]])</f>
        <v>55600.08</v>
      </c>
      <c r="N3339">
        <v>4633.34</v>
      </c>
      <c r="O3339" t="s">
        <v>214</v>
      </c>
      <c r="P3339">
        <v>4633.34</v>
      </c>
      <c r="Q3339" t="s">
        <v>177</v>
      </c>
    </row>
    <row r="3340" spans="1:17" x14ac:dyDescent="0.25">
      <c r="A3340" t="s">
        <v>1147</v>
      </c>
      <c r="B3340" t="s">
        <v>1145</v>
      </c>
      <c r="C3340" t="s">
        <v>175</v>
      </c>
      <c r="D3340" t="s">
        <v>770</v>
      </c>
      <c r="E3340" t="s">
        <v>771</v>
      </c>
      <c r="F3340">
        <v>6</v>
      </c>
      <c r="G3340" t="s">
        <v>176</v>
      </c>
      <c r="H3340">
        <v>0</v>
      </c>
      <c r="I3340">
        <v>0</v>
      </c>
      <c r="J3340" s="10">
        <v>0</v>
      </c>
      <c r="K3340" s="10">
        <f>SUMIFS(F:F,D:D,DST_123_ÜRETİM_İHTİYAÇ_RAPORU_BURAK_YENI1309[[#This Row],[ALT_KOD]])-(SUMIFS(H:H,D:D,DST_123_ÜRETİM_İHTİYAÇ_RAPORU_BURAK_YENI1309[[#This Row],[ALT_KOD]])+AVERAGEIFS(I:I,D:D,DST_123_ÜRETİM_İHTİYAÇ_RAPORU_BURAK_YENI1309[[#This Row],[ALT_KOD]])+AVERAGEIFS(L:L,D:D,DST_123_ÜRETİM_İHTİYAÇ_RAPORU_BURAK_YENI1309[[#This Row],[ALT_KOD]]))</f>
        <v>54</v>
      </c>
      <c r="L3340">
        <v>0</v>
      </c>
      <c r="M3340">
        <f>IF((DST_123_ÜRETİM_İHTİYAÇ_RAPORU_BURAK_YENI1309[[#This Row],[SATINALMA]]*DST_123_ÜRETİM_İHTİYAÇ_RAPORU_BURAK_YENI1309[[#This Row],[BIRIM_FIYATLAR]])&lt;1,VALUE("0"),DST_123_ÜRETİM_İHTİYAÇ_RAPORU_BURAK_YENI1309[[#This Row],[SATINALMA]]*DST_123_ÜRETİM_İHTİYAÇ_RAPORU_BURAK_YENI1309[[#This Row],[BIRIM_FIYATLAR]])</f>
        <v>35.64</v>
      </c>
      <c r="N3340">
        <v>0.66</v>
      </c>
      <c r="O3340" t="s">
        <v>220</v>
      </c>
      <c r="P3340">
        <v>3.96</v>
      </c>
      <c r="Q3340" t="s">
        <v>221</v>
      </c>
    </row>
    <row r="3341" spans="1:17" x14ac:dyDescent="0.25">
      <c r="A3341" t="s">
        <v>1101</v>
      </c>
      <c r="B3341" t="s">
        <v>1102</v>
      </c>
      <c r="C3341" t="s">
        <v>175</v>
      </c>
      <c r="D3341" t="s">
        <v>548</v>
      </c>
      <c r="E3341" t="s">
        <v>549</v>
      </c>
      <c r="F3341">
        <v>15</v>
      </c>
      <c r="G3341" t="s">
        <v>176</v>
      </c>
      <c r="H3341">
        <v>0</v>
      </c>
      <c r="I3341">
        <v>800</v>
      </c>
      <c r="J3341" s="10">
        <v>0</v>
      </c>
      <c r="K3341" s="10">
        <f>SUMIFS(F:F,D:D,DST_123_ÜRETİM_İHTİYAÇ_RAPORU_BURAK_YENI1309[[#This Row],[ALT_KOD]])-(SUMIFS(H:H,D:D,DST_123_ÜRETİM_İHTİYAÇ_RAPORU_BURAK_YENI1309[[#This Row],[ALT_KOD]])+AVERAGEIFS(I:I,D:D,DST_123_ÜRETİM_İHTİYAÇ_RAPORU_BURAK_YENI1309[[#This Row],[ALT_KOD]])+AVERAGEIFS(L:L,D:D,DST_123_ÜRETİM_İHTİYAÇ_RAPORU_BURAK_YENI1309[[#This Row],[ALT_KOD]]))</f>
        <v>-414</v>
      </c>
      <c r="L3341">
        <v>0</v>
      </c>
      <c r="M3341">
        <f>IF((DST_123_ÜRETİM_İHTİYAÇ_RAPORU_BURAK_YENI1309[[#This Row],[SATINALMA]]*DST_123_ÜRETİM_İHTİYAÇ_RAPORU_BURAK_YENI1309[[#This Row],[BIRIM_FIYATLAR]])&lt;1,VALUE("0"),DST_123_ÜRETİM_İHTİYAÇ_RAPORU_BURAK_YENI1309[[#This Row],[SATINALMA]]*DST_123_ÜRETİM_İHTİYAÇ_RAPORU_BURAK_YENI1309[[#This Row],[BIRIM_FIYATLAR]])</f>
        <v>0</v>
      </c>
      <c r="N3341">
        <v>13.75</v>
      </c>
      <c r="O3341" t="s">
        <v>628</v>
      </c>
      <c r="P3341">
        <v>206.25</v>
      </c>
      <c r="Q3341" t="s">
        <v>180</v>
      </c>
    </row>
    <row r="3342" spans="1:17" x14ac:dyDescent="0.25">
      <c r="A3342" t="s">
        <v>1101</v>
      </c>
      <c r="B3342" t="s">
        <v>1102</v>
      </c>
      <c r="C3342" t="s">
        <v>175</v>
      </c>
      <c r="D3342" t="s">
        <v>264</v>
      </c>
      <c r="E3342" t="s">
        <v>265</v>
      </c>
      <c r="F3342">
        <v>1</v>
      </c>
      <c r="G3342" t="s">
        <v>176</v>
      </c>
      <c r="H3342">
        <v>0</v>
      </c>
      <c r="I3342">
        <v>0</v>
      </c>
      <c r="J3342" s="10">
        <v>8</v>
      </c>
      <c r="K3342" s="10">
        <f>SUMIFS(F:F,D:D,DST_123_ÜRETİM_İHTİYAÇ_RAPORU_BURAK_YENI1309[[#This Row],[ALT_KOD]])-(SUMIFS(H:H,D:D,DST_123_ÜRETİM_İHTİYAÇ_RAPORU_BURAK_YENI1309[[#This Row],[ALT_KOD]])+AVERAGEIFS(I:I,D:D,DST_123_ÜRETİM_İHTİYAÇ_RAPORU_BURAK_YENI1309[[#This Row],[ALT_KOD]])+AVERAGEIFS(L:L,D:D,DST_123_ÜRETİM_İHTİYAÇ_RAPORU_BURAK_YENI1309[[#This Row],[ALT_KOD]]))</f>
        <v>12</v>
      </c>
      <c r="L3342">
        <v>0</v>
      </c>
      <c r="M3342">
        <f>IF((DST_123_ÜRETİM_İHTİYAÇ_RAPORU_BURAK_YENI1309[[#This Row],[SATINALMA]]*DST_123_ÜRETİM_İHTİYAÇ_RAPORU_BURAK_YENI1309[[#This Row],[BIRIM_FIYATLAR]])&lt;1,VALUE("0"),DST_123_ÜRETİM_İHTİYAÇ_RAPORU_BURAK_YENI1309[[#This Row],[SATINALMA]]*DST_123_ÜRETİM_İHTİYAÇ_RAPORU_BURAK_YENI1309[[#This Row],[BIRIM_FIYATLAR]])</f>
        <v>55600.08</v>
      </c>
      <c r="N3342">
        <v>4633.34</v>
      </c>
      <c r="O3342" t="s">
        <v>214</v>
      </c>
      <c r="P3342">
        <v>4633.34</v>
      </c>
      <c r="Q3342" t="s">
        <v>177</v>
      </c>
    </row>
    <row r="3343" spans="1:17" x14ac:dyDescent="0.25">
      <c r="A3343" t="s">
        <v>1060</v>
      </c>
      <c r="B3343" t="s">
        <v>1061</v>
      </c>
      <c r="C3343" t="s">
        <v>175</v>
      </c>
      <c r="D3343" t="s">
        <v>770</v>
      </c>
      <c r="E3343" t="s">
        <v>771</v>
      </c>
      <c r="F3343">
        <v>6</v>
      </c>
      <c r="G3343" t="s">
        <v>176</v>
      </c>
      <c r="H3343">
        <v>0</v>
      </c>
      <c r="I3343">
        <v>0</v>
      </c>
      <c r="J3343" s="10">
        <v>0</v>
      </c>
      <c r="K3343" s="10">
        <f>SUMIFS(F:F,D:D,DST_123_ÜRETİM_İHTİYAÇ_RAPORU_BURAK_YENI1309[[#This Row],[ALT_KOD]])-(SUMIFS(H:H,D:D,DST_123_ÜRETİM_İHTİYAÇ_RAPORU_BURAK_YENI1309[[#This Row],[ALT_KOD]])+AVERAGEIFS(I:I,D:D,DST_123_ÜRETİM_İHTİYAÇ_RAPORU_BURAK_YENI1309[[#This Row],[ALT_KOD]])+AVERAGEIFS(L:L,D:D,DST_123_ÜRETİM_İHTİYAÇ_RAPORU_BURAK_YENI1309[[#This Row],[ALT_KOD]]))</f>
        <v>54</v>
      </c>
      <c r="L3343">
        <v>0</v>
      </c>
      <c r="M3343">
        <f>IF((DST_123_ÜRETİM_İHTİYAÇ_RAPORU_BURAK_YENI1309[[#This Row],[SATINALMA]]*DST_123_ÜRETİM_İHTİYAÇ_RAPORU_BURAK_YENI1309[[#This Row],[BIRIM_FIYATLAR]])&lt;1,VALUE("0"),DST_123_ÜRETİM_İHTİYAÇ_RAPORU_BURAK_YENI1309[[#This Row],[SATINALMA]]*DST_123_ÜRETİM_İHTİYAÇ_RAPORU_BURAK_YENI1309[[#This Row],[BIRIM_FIYATLAR]])</f>
        <v>35.64</v>
      </c>
      <c r="N3343">
        <v>0.66</v>
      </c>
      <c r="O3343" t="s">
        <v>220</v>
      </c>
      <c r="P3343">
        <v>3.96</v>
      </c>
      <c r="Q3343" t="s">
        <v>221</v>
      </c>
    </row>
    <row r="3344" spans="1:17" x14ac:dyDescent="0.25">
      <c r="A3344" t="s">
        <v>1147</v>
      </c>
      <c r="B3344" t="s">
        <v>1145</v>
      </c>
      <c r="C3344" t="s">
        <v>175</v>
      </c>
      <c r="D3344" t="s">
        <v>548</v>
      </c>
      <c r="E3344" t="s">
        <v>549</v>
      </c>
      <c r="F3344">
        <v>28</v>
      </c>
      <c r="G3344" t="s">
        <v>176</v>
      </c>
      <c r="H3344">
        <v>0</v>
      </c>
      <c r="I3344">
        <v>800</v>
      </c>
      <c r="J3344" s="10">
        <v>0</v>
      </c>
      <c r="K3344" s="10">
        <f>SUMIFS(F:F,D:D,DST_123_ÜRETİM_İHTİYAÇ_RAPORU_BURAK_YENI1309[[#This Row],[ALT_KOD]])-(SUMIFS(H:H,D:D,DST_123_ÜRETİM_İHTİYAÇ_RAPORU_BURAK_YENI1309[[#This Row],[ALT_KOD]])+AVERAGEIFS(I:I,D:D,DST_123_ÜRETİM_İHTİYAÇ_RAPORU_BURAK_YENI1309[[#This Row],[ALT_KOD]])+AVERAGEIFS(L:L,D:D,DST_123_ÜRETİM_İHTİYAÇ_RAPORU_BURAK_YENI1309[[#This Row],[ALT_KOD]]))</f>
        <v>-414</v>
      </c>
      <c r="L3344">
        <v>0</v>
      </c>
      <c r="M3344">
        <f>IF((DST_123_ÜRETİM_İHTİYAÇ_RAPORU_BURAK_YENI1309[[#This Row],[SATINALMA]]*DST_123_ÜRETİM_İHTİYAÇ_RAPORU_BURAK_YENI1309[[#This Row],[BIRIM_FIYATLAR]])&lt;1,VALUE("0"),DST_123_ÜRETİM_İHTİYAÇ_RAPORU_BURAK_YENI1309[[#This Row],[SATINALMA]]*DST_123_ÜRETİM_İHTİYAÇ_RAPORU_BURAK_YENI1309[[#This Row],[BIRIM_FIYATLAR]])</f>
        <v>0</v>
      </c>
      <c r="N3344">
        <v>13.75</v>
      </c>
      <c r="O3344" t="s">
        <v>628</v>
      </c>
      <c r="P3344">
        <v>385</v>
      </c>
      <c r="Q3344" t="s">
        <v>180</v>
      </c>
    </row>
    <row r="3345" spans="1:17" x14ac:dyDescent="0.25">
      <c r="A3345" t="s">
        <v>1142</v>
      </c>
      <c r="B3345" t="s">
        <v>1056</v>
      </c>
      <c r="C3345" t="s">
        <v>175</v>
      </c>
      <c r="D3345" t="s">
        <v>50</v>
      </c>
      <c r="E3345" t="s">
        <v>51</v>
      </c>
      <c r="F3345">
        <v>1</v>
      </c>
      <c r="G3345" t="s">
        <v>176</v>
      </c>
      <c r="H3345">
        <v>0</v>
      </c>
      <c r="I3345">
        <v>4</v>
      </c>
      <c r="J3345" s="10">
        <v>10</v>
      </c>
      <c r="K3345" s="10">
        <f>SUMIFS(F:F,D:D,DST_123_ÜRETİM_İHTİYAÇ_RAPORU_BURAK_YENI1309[[#This Row],[ALT_KOD]])-(SUMIFS(H:H,D:D,DST_123_ÜRETİM_İHTİYAÇ_RAPORU_BURAK_YENI1309[[#This Row],[ALT_KOD]])+AVERAGEIFS(I:I,D:D,DST_123_ÜRETİM_İHTİYAÇ_RAPORU_BURAK_YENI1309[[#This Row],[ALT_KOD]])+AVERAGEIFS(L:L,D:D,DST_123_ÜRETİM_İHTİYAÇ_RAPORU_BURAK_YENI1309[[#This Row],[ALT_KOD]]))</f>
        <v>8</v>
      </c>
      <c r="L3345">
        <v>0</v>
      </c>
      <c r="M3345">
        <f>IF((DST_123_ÜRETİM_İHTİYAÇ_RAPORU_BURAK_YENI1309[[#This Row],[SATINALMA]]*DST_123_ÜRETİM_İHTİYAÇ_RAPORU_BURAK_YENI1309[[#This Row],[BIRIM_FIYATLAR]])&lt;1,VALUE("0"),DST_123_ÜRETİM_İHTİYAÇ_RAPORU_BURAK_YENI1309[[#This Row],[SATINALMA]]*DST_123_ÜRETİM_İHTİYAÇ_RAPORU_BURAK_YENI1309[[#This Row],[BIRIM_FIYATLAR]])</f>
        <v>41649.120000000003</v>
      </c>
      <c r="N3345">
        <v>5206.1400000000003</v>
      </c>
      <c r="O3345" t="s">
        <v>215</v>
      </c>
      <c r="P3345">
        <v>5206.1400000000003</v>
      </c>
      <c r="Q3345" t="s">
        <v>221</v>
      </c>
    </row>
    <row r="3346" spans="1:17" x14ac:dyDescent="0.25">
      <c r="A3346" t="s">
        <v>1142</v>
      </c>
      <c r="B3346" t="s">
        <v>1056</v>
      </c>
      <c r="C3346" t="s">
        <v>175</v>
      </c>
      <c r="D3346" t="s">
        <v>1071</v>
      </c>
      <c r="E3346" t="s">
        <v>1072</v>
      </c>
      <c r="F3346">
        <v>0.5</v>
      </c>
      <c r="G3346" t="s">
        <v>176</v>
      </c>
      <c r="H3346">
        <v>0</v>
      </c>
      <c r="I3346">
        <v>0</v>
      </c>
      <c r="J3346" s="10">
        <v>-1.7763568394002505E-15</v>
      </c>
      <c r="K3346" s="10">
        <f>SUMIFS(F:F,D:D,DST_123_ÜRETİM_İHTİYAÇ_RAPORU_BURAK_YENI1309[[#This Row],[ALT_KOD]])-(SUMIFS(H:H,D:D,DST_123_ÜRETİM_İHTİYAÇ_RAPORU_BURAK_YENI1309[[#This Row],[ALT_KOD]])+AVERAGEIFS(I:I,D:D,DST_123_ÜRETİM_İHTİYAÇ_RAPORU_BURAK_YENI1309[[#This Row],[ALT_KOD]])+AVERAGEIFS(L:L,D:D,DST_123_ÜRETİM_İHTİYAÇ_RAPORU_BURAK_YENI1309[[#This Row],[ALT_KOD]]))</f>
        <v>2.5</v>
      </c>
      <c r="L3346">
        <v>0</v>
      </c>
      <c r="M3346">
        <f>IF((DST_123_ÜRETİM_İHTİYAÇ_RAPORU_BURAK_YENI1309[[#This Row],[SATINALMA]]*DST_123_ÜRETİM_İHTİYAÇ_RAPORU_BURAK_YENI1309[[#This Row],[BIRIM_FIYATLAR]])&lt;1,VALUE("0"),DST_123_ÜRETİM_İHTİYAÇ_RAPORU_BURAK_YENI1309[[#This Row],[SATINALMA]]*DST_123_ÜRETİM_İHTİYAÇ_RAPORU_BURAK_YENI1309[[#This Row],[BIRIM_FIYATLAR]])</f>
        <v>208.32499999999999</v>
      </c>
      <c r="N3346">
        <v>83.33</v>
      </c>
      <c r="O3346" t="s">
        <v>226</v>
      </c>
      <c r="P3346">
        <v>41.664999999999999</v>
      </c>
      <c r="Q3346" t="s">
        <v>183</v>
      </c>
    </row>
    <row r="3347" spans="1:17" x14ac:dyDescent="0.25">
      <c r="A3347" t="s">
        <v>1142</v>
      </c>
      <c r="B3347" t="s">
        <v>1056</v>
      </c>
      <c r="C3347" t="s">
        <v>175</v>
      </c>
      <c r="D3347" t="s">
        <v>124</v>
      </c>
      <c r="E3347" t="s">
        <v>125</v>
      </c>
      <c r="F3347">
        <v>7</v>
      </c>
      <c r="G3347" t="s">
        <v>185</v>
      </c>
      <c r="H3347">
        <v>0</v>
      </c>
      <c r="I3347">
        <v>0</v>
      </c>
      <c r="J3347" s="10">
        <v>297.61</v>
      </c>
      <c r="K3347" s="10">
        <f>SUMIFS(F:F,D:D,DST_123_ÜRETİM_İHTİYAÇ_RAPORU_BURAK_YENI1309[[#This Row],[ALT_KOD]])-(SUMIFS(H:H,D:D,DST_123_ÜRETİM_İHTİYAÇ_RAPORU_BURAK_YENI1309[[#This Row],[ALT_KOD]])+AVERAGEIFS(I:I,D:D,DST_123_ÜRETİM_İHTİYAÇ_RAPORU_BURAK_YENI1309[[#This Row],[ALT_KOD]])+AVERAGEIFS(L:L,D:D,DST_123_ÜRETİM_İHTİYAÇ_RAPORU_BURAK_YENI1309[[#This Row],[ALT_KOD]]))</f>
        <v>97.560000000000016</v>
      </c>
      <c r="L3347">
        <v>0</v>
      </c>
      <c r="M3347">
        <f>IF((DST_123_ÜRETİM_İHTİYAÇ_RAPORU_BURAK_YENI1309[[#This Row],[SATINALMA]]*DST_123_ÜRETİM_İHTİYAÇ_RAPORU_BURAK_YENI1309[[#This Row],[BIRIM_FIYATLAR]])&lt;1,VALUE("0"),DST_123_ÜRETİM_İHTİYAÇ_RAPORU_BURAK_YENI1309[[#This Row],[SATINALMA]]*DST_123_ÜRETİM_İHTİYAÇ_RAPORU_BURAK_YENI1309[[#This Row],[BIRIM_FIYATLAR]])</f>
        <v>13285.720800000003</v>
      </c>
      <c r="N3347">
        <v>136.18</v>
      </c>
      <c r="O3347" t="s">
        <v>252</v>
      </c>
      <c r="P3347">
        <v>953.26</v>
      </c>
      <c r="Q3347" t="s">
        <v>183</v>
      </c>
    </row>
    <row r="3348" spans="1:17" x14ac:dyDescent="0.25">
      <c r="A3348" t="s">
        <v>1142</v>
      </c>
      <c r="B3348" t="s">
        <v>1056</v>
      </c>
      <c r="C3348" t="s">
        <v>175</v>
      </c>
      <c r="D3348" t="s">
        <v>770</v>
      </c>
      <c r="E3348" t="s">
        <v>771</v>
      </c>
      <c r="F3348">
        <v>6</v>
      </c>
      <c r="G3348" t="s">
        <v>176</v>
      </c>
      <c r="H3348">
        <v>0</v>
      </c>
      <c r="I3348">
        <v>0</v>
      </c>
      <c r="J3348" s="10">
        <v>0</v>
      </c>
      <c r="K3348" s="10">
        <f>SUMIFS(F:F,D:D,DST_123_ÜRETİM_İHTİYAÇ_RAPORU_BURAK_YENI1309[[#This Row],[ALT_KOD]])-(SUMIFS(H:H,D:D,DST_123_ÜRETİM_İHTİYAÇ_RAPORU_BURAK_YENI1309[[#This Row],[ALT_KOD]])+AVERAGEIFS(I:I,D:D,DST_123_ÜRETİM_İHTİYAÇ_RAPORU_BURAK_YENI1309[[#This Row],[ALT_KOD]])+AVERAGEIFS(L:L,D:D,DST_123_ÜRETİM_İHTİYAÇ_RAPORU_BURAK_YENI1309[[#This Row],[ALT_KOD]]))</f>
        <v>54</v>
      </c>
      <c r="L3348">
        <v>0</v>
      </c>
      <c r="M3348">
        <f>IF((DST_123_ÜRETİM_İHTİYAÇ_RAPORU_BURAK_YENI1309[[#This Row],[SATINALMA]]*DST_123_ÜRETİM_İHTİYAÇ_RAPORU_BURAK_YENI1309[[#This Row],[BIRIM_FIYATLAR]])&lt;1,VALUE("0"),DST_123_ÜRETİM_İHTİYAÇ_RAPORU_BURAK_YENI1309[[#This Row],[SATINALMA]]*DST_123_ÜRETİM_İHTİYAÇ_RAPORU_BURAK_YENI1309[[#This Row],[BIRIM_FIYATLAR]])</f>
        <v>35.64</v>
      </c>
      <c r="N3348">
        <v>0.66</v>
      </c>
      <c r="O3348" t="s">
        <v>220</v>
      </c>
      <c r="P3348">
        <v>3.96</v>
      </c>
      <c r="Q3348" t="s">
        <v>221</v>
      </c>
    </row>
    <row r="3349" spans="1:17" x14ac:dyDescent="0.25">
      <c r="A3349" t="s">
        <v>1059</v>
      </c>
      <c r="B3349" t="s">
        <v>1058</v>
      </c>
      <c r="C3349" t="s">
        <v>175</v>
      </c>
      <c r="D3349" t="s">
        <v>130</v>
      </c>
      <c r="E3349" t="s">
        <v>131</v>
      </c>
      <c r="F3349">
        <v>118</v>
      </c>
      <c r="G3349" t="s">
        <v>176</v>
      </c>
      <c r="H3349">
        <v>0</v>
      </c>
      <c r="I3349">
        <v>2750</v>
      </c>
      <c r="J3349" s="10">
        <v>0</v>
      </c>
      <c r="K3349" s="10">
        <f>SUMIFS(F:F,D:D,DST_123_ÜRETİM_İHTİYAÇ_RAPORU_BURAK_YENI1309[[#This Row],[ALT_KOD]])-(SUMIFS(H:H,D:D,DST_123_ÜRETİM_İHTİYAÇ_RAPORU_BURAK_YENI1309[[#This Row],[ALT_KOD]])+AVERAGEIFS(I:I,D:D,DST_123_ÜRETİM_İHTİYAÇ_RAPORU_BURAK_YENI1309[[#This Row],[ALT_KOD]])+AVERAGEIFS(L:L,D:D,DST_123_ÜRETİM_İHTİYAÇ_RAPORU_BURAK_YENI1309[[#This Row],[ALT_KOD]]))</f>
        <v>-747</v>
      </c>
      <c r="L3349">
        <v>0</v>
      </c>
      <c r="M3349">
        <f>IF((DST_123_ÜRETİM_İHTİYAÇ_RAPORU_BURAK_YENI1309[[#This Row],[SATINALMA]]*DST_123_ÜRETİM_İHTİYAÇ_RAPORU_BURAK_YENI1309[[#This Row],[BIRIM_FIYATLAR]])&lt;1,VALUE("0"),DST_123_ÜRETİM_İHTİYAÇ_RAPORU_BURAK_YENI1309[[#This Row],[SATINALMA]]*DST_123_ÜRETİM_İHTİYAÇ_RAPORU_BURAK_YENI1309[[#This Row],[BIRIM_FIYATLAR]])</f>
        <v>0</v>
      </c>
      <c r="N3349">
        <v>0.7</v>
      </c>
      <c r="O3349" t="s">
        <v>240</v>
      </c>
      <c r="P3349">
        <v>82.6</v>
      </c>
      <c r="Q3349" t="s">
        <v>180</v>
      </c>
    </row>
    <row r="3350" spans="1:17" x14ac:dyDescent="0.25">
      <c r="A3350" t="s">
        <v>1095</v>
      </c>
      <c r="B3350" t="s">
        <v>1096</v>
      </c>
      <c r="C3350" t="s">
        <v>175</v>
      </c>
      <c r="D3350" t="s">
        <v>130</v>
      </c>
      <c r="E3350" t="s">
        <v>131</v>
      </c>
      <c r="F3350">
        <v>88</v>
      </c>
      <c r="G3350" t="s">
        <v>176</v>
      </c>
      <c r="H3350">
        <v>0</v>
      </c>
      <c r="I3350">
        <v>2750</v>
      </c>
      <c r="J3350" s="10">
        <v>0</v>
      </c>
      <c r="K3350" s="10">
        <f>SUMIFS(F:F,D:D,DST_123_ÜRETİM_İHTİYAÇ_RAPORU_BURAK_YENI1309[[#This Row],[ALT_KOD]])-(SUMIFS(H:H,D:D,DST_123_ÜRETİM_İHTİYAÇ_RAPORU_BURAK_YENI1309[[#This Row],[ALT_KOD]])+AVERAGEIFS(I:I,D:D,DST_123_ÜRETİM_İHTİYAÇ_RAPORU_BURAK_YENI1309[[#This Row],[ALT_KOD]])+AVERAGEIFS(L:L,D:D,DST_123_ÜRETİM_İHTİYAÇ_RAPORU_BURAK_YENI1309[[#This Row],[ALT_KOD]]))</f>
        <v>-747</v>
      </c>
      <c r="L3350">
        <v>0</v>
      </c>
      <c r="M3350">
        <f>IF((DST_123_ÜRETİM_İHTİYAÇ_RAPORU_BURAK_YENI1309[[#This Row],[SATINALMA]]*DST_123_ÜRETİM_İHTİYAÇ_RAPORU_BURAK_YENI1309[[#This Row],[BIRIM_FIYATLAR]])&lt;1,VALUE("0"),DST_123_ÜRETİM_İHTİYAÇ_RAPORU_BURAK_YENI1309[[#This Row],[SATINALMA]]*DST_123_ÜRETİM_İHTİYAÇ_RAPORU_BURAK_YENI1309[[#This Row],[BIRIM_FIYATLAR]])</f>
        <v>0</v>
      </c>
      <c r="N3350">
        <v>0.7</v>
      </c>
      <c r="O3350" t="s">
        <v>240</v>
      </c>
      <c r="P3350">
        <v>61.599999999999994</v>
      </c>
      <c r="Q3350" t="s">
        <v>180</v>
      </c>
    </row>
    <row r="3351" spans="1:17" x14ac:dyDescent="0.25">
      <c r="A3351" t="s">
        <v>1095</v>
      </c>
      <c r="B3351" t="s">
        <v>1096</v>
      </c>
      <c r="C3351" t="s">
        <v>175</v>
      </c>
      <c r="D3351" t="s">
        <v>124</v>
      </c>
      <c r="E3351" t="s">
        <v>125</v>
      </c>
      <c r="F3351">
        <v>8.89</v>
      </c>
      <c r="G3351" t="s">
        <v>185</v>
      </c>
      <c r="H3351">
        <v>0</v>
      </c>
      <c r="I3351">
        <v>0</v>
      </c>
      <c r="J3351" s="10">
        <v>297.61</v>
      </c>
      <c r="K3351" s="10">
        <f>SUMIFS(F:F,D:D,DST_123_ÜRETİM_İHTİYAÇ_RAPORU_BURAK_YENI1309[[#This Row],[ALT_KOD]])-(SUMIFS(H:H,D:D,DST_123_ÜRETİM_İHTİYAÇ_RAPORU_BURAK_YENI1309[[#This Row],[ALT_KOD]])+AVERAGEIFS(I:I,D:D,DST_123_ÜRETİM_İHTİYAÇ_RAPORU_BURAK_YENI1309[[#This Row],[ALT_KOD]])+AVERAGEIFS(L:L,D:D,DST_123_ÜRETİM_İHTİYAÇ_RAPORU_BURAK_YENI1309[[#This Row],[ALT_KOD]]))</f>
        <v>97.560000000000016</v>
      </c>
      <c r="L3351">
        <v>0</v>
      </c>
      <c r="M3351">
        <f>IF((DST_123_ÜRETİM_İHTİYAÇ_RAPORU_BURAK_YENI1309[[#This Row],[SATINALMA]]*DST_123_ÜRETİM_İHTİYAÇ_RAPORU_BURAK_YENI1309[[#This Row],[BIRIM_FIYATLAR]])&lt;1,VALUE("0"),DST_123_ÜRETİM_İHTİYAÇ_RAPORU_BURAK_YENI1309[[#This Row],[SATINALMA]]*DST_123_ÜRETİM_İHTİYAÇ_RAPORU_BURAK_YENI1309[[#This Row],[BIRIM_FIYATLAR]])</f>
        <v>13285.720800000003</v>
      </c>
      <c r="N3351">
        <v>136.18</v>
      </c>
      <c r="O3351" t="s">
        <v>252</v>
      </c>
      <c r="P3351">
        <v>1210.6402</v>
      </c>
      <c r="Q3351" t="s">
        <v>183</v>
      </c>
    </row>
    <row r="3352" spans="1:17" x14ac:dyDescent="0.25">
      <c r="A3352" t="s">
        <v>1143</v>
      </c>
      <c r="B3352" t="s">
        <v>1056</v>
      </c>
      <c r="C3352" t="s">
        <v>175</v>
      </c>
      <c r="D3352" t="s">
        <v>548</v>
      </c>
      <c r="E3352" t="s">
        <v>549</v>
      </c>
      <c r="F3352">
        <v>33</v>
      </c>
      <c r="G3352" t="s">
        <v>176</v>
      </c>
      <c r="H3352">
        <v>0</v>
      </c>
      <c r="I3352">
        <v>800</v>
      </c>
      <c r="J3352" s="10">
        <v>0</v>
      </c>
      <c r="K3352" s="10">
        <f>SUMIFS(F:F,D:D,DST_123_ÜRETİM_İHTİYAÇ_RAPORU_BURAK_YENI1309[[#This Row],[ALT_KOD]])-(SUMIFS(H:H,D:D,DST_123_ÜRETİM_İHTİYAÇ_RAPORU_BURAK_YENI1309[[#This Row],[ALT_KOD]])+AVERAGEIFS(I:I,D:D,DST_123_ÜRETİM_İHTİYAÇ_RAPORU_BURAK_YENI1309[[#This Row],[ALT_KOD]])+AVERAGEIFS(L:L,D:D,DST_123_ÜRETİM_İHTİYAÇ_RAPORU_BURAK_YENI1309[[#This Row],[ALT_KOD]]))</f>
        <v>-414</v>
      </c>
      <c r="L3352">
        <v>0</v>
      </c>
      <c r="M3352">
        <f>IF((DST_123_ÜRETİM_İHTİYAÇ_RAPORU_BURAK_YENI1309[[#This Row],[SATINALMA]]*DST_123_ÜRETİM_İHTİYAÇ_RAPORU_BURAK_YENI1309[[#This Row],[BIRIM_FIYATLAR]])&lt;1,VALUE("0"),DST_123_ÜRETİM_İHTİYAÇ_RAPORU_BURAK_YENI1309[[#This Row],[SATINALMA]]*DST_123_ÜRETİM_İHTİYAÇ_RAPORU_BURAK_YENI1309[[#This Row],[BIRIM_FIYATLAR]])</f>
        <v>0</v>
      </c>
      <c r="N3352">
        <v>13.75</v>
      </c>
      <c r="O3352" t="s">
        <v>628</v>
      </c>
      <c r="P3352">
        <v>453.75</v>
      </c>
      <c r="Q3352" t="s">
        <v>180</v>
      </c>
    </row>
    <row r="3353" spans="1:17" x14ac:dyDescent="0.25">
      <c r="A3353" t="s">
        <v>1059</v>
      </c>
      <c r="B3353" t="s">
        <v>1058</v>
      </c>
      <c r="C3353" t="s">
        <v>175</v>
      </c>
      <c r="D3353" t="s">
        <v>552</v>
      </c>
      <c r="E3353" t="s">
        <v>553</v>
      </c>
      <c r="F3353">
        <v>1</v>
      </c>
      <c r="G3353" t="s">
        <v>176</v>
      </c>
      <c r="H3353">
        <v>0</v>
      </c>
      <c r="I3353">
        <v>14</v>
      </c>
      <c r="J3353" s="10">
        <v>9.9999999999999929</v>
      </c>
      <c r="K3353" s="10">
        <f>SUMIFS(F:F,D:D,DST_123_ÜRETİM_İHTİYAÇ_RAPORU_BURAK_YENI1309[[#This Row],[ALT_KOD]])-(SUMIFS(H:H,D:D,DST_123_ÜRETİM_İHTİYAÇ_RAPORU_BURAK_YENI1309[[#This Row],[ALT_KOD]])+AVERAGEIFS(I:I,D:D,DST_123_ÜRETİM_İHTİYAÇ_RAPORU_BURAK_YENI1309[[#This Row],[ALT_KOD]])+AVERAGEIFS(L:L,D:D,DST_123_ÜRETİM_İHTİYAÇ_RAPORU_BURAK_YENI1309[[#This Row],[ALT_KOD]]))</f>
        <v>2.5700000000000003</v>
      </c>
      <c r="L3353">
        <v>0</v>
      </c>
      <c r="M3353">
        <f>IF((DST_123_ÜRETİM_İHTİYAÇ_RAPORU_BURAK_YENI1309[[#This Row],[SATINALMA]]*DST_123_ÜRETİM_İHTİYAÇ_RAPORU_BURAK_YENI1309[[#This Row],[BIRIM_FIYATLAR]])&lt;1,VALUE("0"),DST_123_ÜRETİM_İHTİYAÇ_RAPORU_BURAK_YENI1309[[#This Row],[SATINALMA]]*DST_123_ÜRETİM_İHTİYAÇ_RAPORU_BURAK_YENI1309[[#This Row],[BIRIM_FIYATLAR]])</f>
        <v>552.55000000000007</v>
      </c>
      <c r="N3353">
        <v>215</v>
      </c>
      <c r="O3353" t="s">
        <v>240</v>
      </c>
      <c r="P3353">
        <v>215</v>
      </c>
      <c r="Q3353" t="s">
        <v>180</v>
      </c>
    </row>
    <row r="3354" spans="1:17" x14ac:dyDescent="0.25">
      <c r="A3354" t="s">
        <v>1143</v>
      </c>
      <c r="B3354" t="s">
        <v>1056</v>
      </c>
      <c r="C3354" t="s">
        <v>175</v>
      </c>
      <c r="D3354" t="s">
        <v>560</v>
      </c>
      <c r="E3354" t="s">
        <v>561</v>
      </c>
      <c r="F3354">
        <v>1.5</v>
      </c>
      <c r="G3354" t="s">
        <v>176</v>
      </c>
      <c r="H3354">
        <v>0</v>
      </c>
      <c r="I3354">
        <v>272</v>
      </c>
      <c r="J3354" s="10">
        <v>4.2999999999999652</v>
      </c>
      <c r="K3354" s="10">
        <f>SUMIFS(F:F,D:D,DST_123_ÜRETİM_İHTİYAÇ_RAPORU_BURAK_YENI1309[[#This Row],[ALT_KOD]])-(SUMIFS(H:H,D:D,DST_123_ÜRETİM_İHTİYAÇ_RAPORU_BURAK_YENI1309[[#This Row],[ALT_KOD]])+AVERAGEIFS(I:I,D:D,DST_123_ÜRETİM_İHTİYAÇ_RAPORU_BURAK_YENI1309[[#This Row],[ALT_KOD]])+AVERAGEIFS(L:L,D:D,DST_123_ÜRETİM_İHTİYAÇ_RAPORU_BURAK_YENI1309[[#This Row],[ALT_KOD]]))</f>
        <v>-233.2</v>
      </c>
      <c r="L3354">
        <v>0</v>
      </c>
      <c r="M3354">
        <f>IF((DST_123_ÜRETİM_İHTİYAÇ_RAPORU_BURAK_YENI1309[[#This Row],[SATINALMA]]*DST_123_ÜRETİM_İHTİYAÇ_RAPORU_BURAK_YENI1309[[#This Row],[BIRIM_FIYATLAR]])&lt;1,VALUE("0"),DST_123_ÜRETİM_İHTİYAÇ_RAPORU_BURAK_YENI1309[[#This Row],[SATINALMA]]*DST_123_ÜRETİM_İHTİYAÇ_RAPORU_BURAK_YENI1309[[#This Row],[BIRIM_FIYATLAR]])</f>
        <v>0</v>
      </c>
      <c r="N3354">
        <v>30</v>
      </c>
      <c r="O3354" t="s">
        <v>240</v>
      </c>
      <c r="P3354">
        <v>45</v>
      </c>
      <c r="Q3354" t="s">
        <v>180</v>
      </c>
    </row>
    <row r="3355" spans="1:17" x14ac:dyDescent="0.25">
      <c r="A3355" t="s">
        <v>1059</v>
      </c>
      <c r="B3355" t="s">
        <v>1058</v>
      </c>
      <c r="C3355" t="s">
        <v>175</v>
      </c>
      <c r="D3355" t="s">
        <v>560</v>
      </c>
      <c r="E3355" t="s">
        <v>561</v>
      </c>
      <c r="F3355">
        <v>0.7</v>
      </c>
      <c r="G3355" t="s">
        <v>176</v>
      </c>
      <c r="H3355">
        <v>0</v>
      </c>
      <c r="I3355">
        <v>272</v>
      </c>
      <c r="J3355" s="10">
        <v>4.2999999999999652</v>
      </c>
      <c r="K3355" s="10">
        <f>SUMIFS(F:F,D:D,DST_123_ÜRETİM_İHTİYAÇ_RAPORU_BURAK_YENI1309[[#This Row],[ALT_KOD]])-(SUMIFS(H:H,D:D,DST_123_ÜRETİM_İHTİYAÇ_RAPORU_BURAK_YENI1309[[#This Row],[ALT_KOD]])+AVERAGEIFS(I:I,D:D,DST_123_ÜRETİM_İHTİYAÇ_RAPORU_BURAK_YENI1309[[#This Row],[ALT_KOD]])+AVERAGEIFS(L:L,D:D,DST_123_ÜRETİM_İHTİYAÇ_RAPORU_BURAK_YENI1309[[#This Row],[ALT_KOD]]))</f>
        <v>-233.2</v>
      </c>
      <c r="L3355">
        <v>0</v>
      </c>
      <c r="M3355">
        <f>IF((DST_123_ÜRETİM_İHTİYAÇ_RAPORU_BURAK_YENI1309[[#This Row],[SATINALMA]]*DST_123_ÜRETİM_İHTİYAÇ_RAPORU_BURAK_YENI1309[[#This Row],[BIRIM_FIYATLAR]])&lt;1,VALUE("0"),DST_123_ÜRETİM_İHTİYAÇ_RAPORU_BURAK_YENI1309[[#This Row],[SATINALMA]]*DST_123_ÜRETİM_İHTİYAÇ_RAPORU_BURAK_YENI1309[[#This Row],[BIRIM_FIYATLAR]])</f>
        <v>0</v>
      </c>
      <c r="N3355">
        <v>30</v>
      </c>
      <c r="O3355" t="s">
        <v>240</v>
      </c>
      <c r="P3355">
        <v>21</v>
      </c>
      <c r="Q3355" t="s">
        <v>180</v>
      </c>
    </row>
    <row r="3356" spans="1:17" x14ac:dyDescent="0.25">
      <c r="A3356" t="s">
        <v>1059</v>
      </c>
      <c r="B3356" t="s">
        <v>1058</v>
      </c>
      <c r="C3356" t="s">
        <v>175</v>
      </c>
      <c r="D3356" t="s">
        <v>522</v>
      </c>
      <c r="E3356" t="s">
        <v>523</v>
      </c>
      <c r="F3356">
        <v>2.46</v>
      </c>
      <c r="G3356" t="s">
        <v>176</v>
      </c>
      <c r="H3356">
        <v>0</v>
      </c>
      <c r="I3356">
        <v>235</v>
      </c>
      <c r="J3356" s="10">
        <v>-7.460698725481052E-14</v>
      </c>
      <c r="K3356" s="10">
        <f>SUMIFS(F:F,D:D,DST_123_ÜRETİM_İHTİYAÇ_RAPORU_BURAK_YENI1309[[#This Row],[ALT_KOD]])-(SUMIFS(H:H,D:D,DST_123_ÜRETİM_İHTİYAÇ_RAPORU_BURAK_YENI1309[[#This Row],[ALT_KOD]])+AVERAGEIFS(I:I,D:D,DST_123_ÜRETİM_İHTİYAÇ_RAPORU_BURAK_YENI1309[[#This Row],[ALT_KOD]])+AVERAGEIFS(L:L,D:D,DST_123_ÜRETİM_İHTİYAÇ_RAPORU_BURAK_YENI1309[[#This Row],[ALT_KOD]]))</f>
        <v>-215.94</v>
      </c>
      <c r="L3356">
        <v>0</v>
      </c>
      <c r="M3356">
        <f>IF((DST_123_ÜRETİM_İHTİYAÇ_RAPORU_BURAK_YENI1309[[#This Row],[SATINALMA]]*DST_123_ÜRETİM_İHTİYAÇ_RAPORU_BURAK_YENI1309[[#This Row],[BIRIM_FIYATLAR]])&lt;1,VALUE("0"),DST_123_ÜRETİM_İHTİYAÇ_RAPORU_BURAK_YENI1309[[#This Row],[SATINALMA]]*DST_123_ÜRETİM_İHTİYAÇ_RAPORU_BURAK_YENI1309[[#This Row],[BIRIM_FIYATLAR]])</f>
        <v>0</v>
      </c>
      <c r="N3356">
        <v>15</v>
      </c>
      <c r="O3356" t="s">
        <v>226</v>
      </c>
      <c r="P3356">
        <v>36.9</v>
      </c>
      <c r="Q3356" t="s">
        <v>180</v>
      </c>
    </row>
    <row r="3357" spans="1:17" x14ac:dyDescent="0.25">
      <c r="A3357" t="s">
        <v>1143</v>
      </c>
      <c r="B3357" t="s">
        <v>1056</v>
      </c>
      <c r="C3357" t="s">
        <v>175</v>
      </c>
      <c r="D3357" t="s">
        <v>522</v>
      </c>
      <c r="E3357" t="s">
        <v>523</v>
      </c>
      <c r="F3357">
        <v>1.46</v>
      </c>
      <c r="G3357" t="s">
        <v>176</v>
      </c>
      <c r="H3357">
        <v>0</v>
      </c>
      <c r="I3357">
        <v>235</v>
      </c>
      <c r="J3357" s="10">
        <v>-7.460698725481052E-14</v>
      </c>
      <c r="K3357" s="10">
        <f>SUMIFS(F:F,D:D,DST_123_ÜRETİM_İHTİYAÇ_RAPORU_BURAK_YENI1309[[#This Row],[ALT_KOD]])-(SUMIFS(H:H,D:D,DST_123_ÜRETİM_İHTİYAÇ_RAPORU_BURAK_YENI1309[[#This Row],[ALT_KOD]])+AVERAGEIFS(I:I,D:D,DST_123_ÜRETİM_İHTİYAÇ_RAPORU_BURAK_YENI1309[[#This Row],[ALT_KOD]])+AVERAGEIFS(L:L,D:D,DST_123_ÜRETİM_İHTİYAÇ_RAPORU_BURAK_YENI1309[[#This Row],[ALT_KOD]]))</f>
        <v>-215.94</v>
      </c>
      <c r="L3357">
        <v>0</v>
      </c>
      <c r="M3357">
        <f>IF((DST_123_ÜRETİM_İHTİYAÇ_RAPORU_BURAK_YENI1309[[#This Row],[SATINALMA]]*DST_123_ÜRETİM_İHTİYAÇ_RAPORU_BURAK_YENI1309[[#This Row],[BIRIM_FIYATLAR]])&lt;1,VALUE("0"),DST_123_ÜRETİM_İHTİYAÇ_RAPORU_BURAK_YENI1309[[#This Row],[SATINALMA]]*DST_123_ÜRETİM_İHTİYAÇ_RAPORU_BURAK_YENI1309[[#This Row],[BIRIM_FIYATLAR]])</f>
        <v>0</v>
      </c>
      <c r="N3357">
        <v>15</v>
      </c>
      <c r="O3357" t="s">
        <v>226</v>
      </c>
      <c r="P3357">
        <v>21.9</v>
      </c>
      <c r="Q3357" t="s">
        <v>180</v>
      </c>
    </row>
    <row r="3358" spans="1:17" x14ac:dyDescent="0.25">
      <c r="A3358" t="s">
        <v>1143</v>
      </c>
      <c r="B3358" t="s">
        <v>1056</v>
      </c>
      <c r="C3358" t="s">
        <v>175</v>
      </c>
      <c r="D3358" t="s">
        <v>400</v>
      </c>
      <c r="E3358" t="s">
        <v>401</v>
      </c>
      <c r="F3358">
        <v>1</v>
      </c>
      <c r="G3358" t="s">
        <v>176</v>
      </c>
      <c r="H3358">
        <v>0</v>
      </c>
      <c r="I3358">
        <v>27</v>
      </c>
      <c r="J3358" s="10">
        <v>14</v>
      </c>
      <c r="K3358" s="10">
        <f>SUMIFS(F:F,D:D,DST_123_ÜRETİM_İHTİYAÇ_RAPORU_BURAK_YENI1309[[#This Row],[ALT_KOD]])-(SUMIFS(H:H,D:D,DST_123_ÜRETİM_İHTİYAÇ_RAPORU_BURAK_YENI1309[[#This Row],[ALT_KOD]])+AVERAGEIFS(I:I,D:D,DST_123_ÜRETİM_İHTİYAÇ_RAPORU_BURAK_YENI1309[[#This Row],[ALT_KOD]])+AVERAGEIFS(L:L,D:D,DST_123_ÜRETİM_İHTİYAÇ_RAPORU_BURAK_YENI1309[[#This Row],[ALT_KOD]]))</f>
        <v>-18</v>
      </c>
      <c r="L3358">
        <v>0</v>
      </c>
      <c r="M3358">
        <f>IF((DST_123_ÜRETİM_İHTİYAÇ_RAPORU_BURAK_YENI1309[[#This Row],[SATINALMA]]*DST_123_ÜRETİM_İHTİYAÇ_RAPORU_BURAK_YENI1309[[#This Row],[BIRIM_FIYATLAR]])&lt;1,VALUE("0"),DST_123_ÜRETİM_İHTİYAÇ_RAPORU_BURAK_YENI1309[[#This Row],[SATINALMA]]*DST_123_ÜRETİM_İHTİYAÇ_RAPORU_BURAK_YENI1309[[#This Row],[BIRIM_FIYATLAR]])</f>
        <v>0</v>
      </c>
      <c r="N3358">
        <v>15</v>
      </c>
      <c r="O3358" t="s">
        <v>220</v>
      </c>
      <c r="P3358">
        <v>15</v>
      </c>
      <c r="Q3358" t="s">
        <v>221</v>
      </c>
    </row>
    <row r="3359" spans="1:17" x14ac:dyDescent="0.25">
      <c r="A3359" t="s">
        <v>1142</v>
      </c>
      <c r="B3359" t="s">
        <v>1056</v>
      </c>
      <c r="C3359" t="s">
        <v>175</v>
      </c>
      <c r="D3359" t="s">
        <v>130</v>
      </c>
      <c r="E3359" t="s">
        <v>131</v>
      </c>
      <c r="F3359">
        <v>112</v>
      </c>
      <c r="G3359" t="s">
        <v>176</v>
      </c>
      <c r="H3359">
        <v>0</v>
      </c>
      <c r="I3359">
        <v>2750</v>
      </c>
      <c r="J3359" s="10">
        <v>0</v>
      </c>
      <c r="K3359" s="10">
        <f>SUMIFS(F:F,D:D,DST_123_ÜRETİM_İHTİYAÇ_RAPORU_BURAK_YENI1309[[#This Row],[ALT_KOD]])-(SUMIFS(H:H,D:D,DST_123_ÜRETİM_İHTİYAÇ_RAPORU_BURAK_YENI1309[[#This Row],[ALT_KOD]])+AVERAGEIFS(I:I,D:D,DST_123_ÜRETİM_İHTİYAÇ_RAPORU_BURAK_YENI1309[[#This Row],[ALT_KOD]])+AVERAGEIFS(L:L,D:D,DST_123_ÜRETİM_İHTİYAÇ_RAPORU_BURAK_YENI1309[[#This Row],[ALT_KOD]]))</f>
        <v>-747</v>
      </c>
      <c r="L3359">
        <v>0</v>
      </c>
      <c r="M3359">
        <f>IF((DST_123_ÜRETİM_İHTİYAÇ_RAPORU_BURAK_YENI1309[[#This Row],[SATINALMA]]*DST_123_ÜRETİM_İHTİYAÇ_RAPORU_BURAK_YENI1309[[#This Row],[BIRIM_FIYATLAR]])&lt;1,VALUE("0"),DST_123_ÜRETİM_İHTİYAÇ_RAPORU_BURAK_YENI1309[[#This Row],[SATINALMA]]*DST_123_ÜRETİM_İHTİYAÇ_RAPORU_BURAK_YENI1309[[#This Row],[BIRIM_FIYATLAR]])</f>
        <v>0</v>
      </c>
      <c r="N3359">
        <v>0.7</v>
      </c>
      <c r="O3359" t="s">
        <v>240</v>
      </c>
      <c r="P3359">
        <v>78.399999999999991</v>
      </c>
      <c r="Q3359" t="s">
        <v>180</v>
      </c>
    </row>
    <row r="3360" spans="1:17" x14ac:dyDescent="0.25">
      <c r="A3360" t="s">
        <v>1143</v>
      </c>
      <c r="B3360" t="s">
        <v>1056</v>
      </c>
      <c r="C3360" t="s">
        <v>175</v>
      </c>
      <c r="D3360" t="s">
        <v>130</v>
      </c>
      <c r="E3360" t="s">
        <v>131</v>
      </c>
      <c r="F3360">
        <v>137</v>
      </c>
      <c r="G3360" t="s">
        <v>176</v>
      </c>
      <c r="H3360">
        <v>0</v>
      </c>
      <c r="I3360">
        <v>2750</v>
      </c>
      <c r="J3360" s="10">
        <v>0</v>
      </c>
      <c r="K3360" s="10">
        <f>SUMIFS(F:F,D:D,DST_123_ÜRETİM_İHTİYAÇ_RAPORU_BURAK_YENI1309[[#This Row],[ALT_KOD]])-(SUMIFS(H:H,D:D,DST_123_ÜRETİM_İHTİYAÇ_RAPORU_BURAK_YENI1309[[#This Row],[ALT_KOD]])+AVERAGEIFS(I:I,D:D,DST_123_ÜRETİM_İHTİYAÇ_RAPORU_BURAK_YENI1309[[#This Row],[ALT_KOD]])+AVERAGEIFS(L:L,D:D,DST_123_ÜRETİM_İHTİYAÇ_RAPORU_BURAK_YENI1309[[#This Row],[ALT_KOD]]))</f>
        <v>-747</v>
      </c>
      <c r="L3360">
        <v>0</v>
      </c>
      <c r="M3360">
        <f>IF((DST_123_ÜRETİM_İHTİYAÇ_RAPORU_BURAK_YENI1309[[#This Row],[SATINALMA]]*DST_123_ÜRETİM_İHTİYAÇ_RAPORU_BURAK_YENI1309[[#This Row],[BIRIM_FIYATLAR]])&lt;1,VALUE("0"),DST_123_ÜRETİM_İHTİYAÇ_RAPORU_BURAK_YENI1309[[#This Row],[SATINALMA]]*DST_123_ÜRETİM_İHTİYAÇ_RAPORU_BURAK_YENI1309[[#This Row],[BIRIM_FIYATLAR]])</f>
        <v>0</v>
      </c>
      <c r="N3360">
        <v>0.7</v>
      </c>
      <c r="O3360" t="s">
        <v>240</v>
      </c>
      <c r="P3360">
        <v>95.899999999999991</v>
      </c>
      <c r="Q3360" t="s">
        <v>180</v>
      </c>
    </row>
    <row r="3361" spans="1:17" x14ac:dyDescent="0.25">
      <c r="A3361" t="s">
        <v>1097</v>
      </c>
      <c r="B3361" t="s">
        <v>1055</v>
      </c>
      <c r="C3361" t="s">
        <v>175</v>
      </c>
      <c r="D3361" t="s">
        <v>130</v>
      </c>
      <c r="E3361" t="s">
        <v>131</v>
      </c>
      <c r="F3361">
        <v>96</v>
      </c>
      <c r="G3361" t="s">
        <v>176</v>
      </c>
      <c r="H3361">
        <v>0</v>
      </c>
      <c r="I3361">
        <v>2750</v>
      </c>
      <c r="J3361" s="10">
        <v>0</v>
      </c>
      <c r="K3361" s="10">
        <f>SUMIFS(F:F,D:D,DST_123_ÜRETİM_İHTİYAÇ_RAPORU_BURAK_YENI1309[[#This Row],[ALT_KOD]])-(SUMIFS(H:H,D:D,DST_123_ÜRETİM_İHTİYAÇ_RAPORU_BURAK_YENI1309[[#This Row],[ALT_KOD]])+AVERAGEIFS(I:I,D:D,DST_123_ÜRETİM_İHTİYAÇ_RAPORU_BURAK_YENI1309[[#This Row],[ALT_KOD]])+AVERAGEIFS(L:L,D:D,DST_123_ÜRETİM_İHTİYAÇ_RAPORU_BURAK_YENI1309[[#This Row],[ALT_KOD]]))</f>
        <v>-747</v>
      </c>
      <c r="L3361">
        <v>0</v>
      </c>
      <c r="M3361">
        <f>IF((DST_123_ÜRETİM_İHTİYAÇ_RAPORU_BURAK_YENI1309[[#This Row],[SATINALMA]]*DST_123_ÜRETİM_İHTİYAÇ_RAPORU_BURAK_YENI1309[[#This Row],[BIRIM_FIYATLAR]])&lt;1,VALUE("0"),DST_123_ÜRETİM_İHTİYAÇ_RAPORU_BURAK_YENI1309[[#This Row],[SATINALMA]]*DST_123_ÜRETİM_İHTİYAÇ_RAPORU_BURAK_YENI1309[[#This Row],[BIRIM_FIYATLAR]])</f>
        <v>0</v>
      </c>
      <c r="N3361">
        <v>0.7</v>
      </c>
      <c r="O3361" t="s">
        <v>240</v>
      </c>
      <c r="P3361">
        <v>67.199999999999989</v>
      </c>
      <c r="Q3361" t="s">
        <v>180</v>
      </c>
    </row>
    <row r="3362" spans="1:17" x14ac:dyDescent="0.25">
      <c r="A3362" t="s">
        <v>1143</v>
      </c>
      <c r="B3362" t="s">
        <v>1056</v>
      </c>
      <c r="C3362" t="s">
        <v>175</v>
      </c>
      <c r="D3362" t="s">
        <v>264</v>
      </c>
      <c r="E3362" t="s">
        <v>265</v>
      </c>
      <c r="F3362">
        <v>1</v>
      </c>
      <c r="G3362" t="s">
        <v>176</v>
      </c>
      <c r="H3362">
        <v>0</v>
      </c>
      <c r="I3362">
        <v>0</v>
      </c>
      <c r="J3362" s="10">
        <v>8</v>
      </c>
      <c r="K3362" s="10">
        <f>SUMIFS(F:F,D:D,DST_123_ÜRETİM_İHTİYAÇ_RAPORU_BURAK_YENI1309[[#This Row],[ALT_KOD]])-(SUMIFS(H:H,D:D,DST_123_ÜRETİM_İHTİYAÇ_RAPORU_BURAK_YENI1309[[#This Row],[ALT_KOD]])+AVERAGEIFS(I:I,D:D,DST_123_ÜRETİM_İHTİYAÇ_RAPORU_BURAK_YENI1309[[#This Row],[ALT_KOD]])+AVERAGEIFS(L:L,D:D,DST_123_ÜRETİM_İHTİYAÇ_RAPORU_BURAK_YENI1309[[#This Row],[ALT_KOD]]))</f>
        <v>12</v>
      </c>
      <c r="L3362">
        <v>0</v>
      </c>
      <c r="M3362">
        <f>IF((DST_123_ÜRETİM_İHTİYAÇ_RAPORU_BURAK_YENI1309[[#This Row],[SATINALMA]]*DST_123_ÜRETİM_İHTİYAÇ_RAPORU_BURAK_YENI1309[[#This Row],[BIRIM_FIYATLAR]])&lt;1,VALUE("0"),DST_123_ÜRETİM_İHTİYAÇ_RAPORU_BURAK_YENI1309[[#This Row],[SATINALMA]]*DST_123_ÜRETİM_İHTİYAÇ_RAPORU_BURAK_YENI1309[[#This Row],[BIRIM_FIYATLAR]])</f>
        <v>55600.08</v>
      </c>
      <c r="N3362">
        <v>4633.34</v>
      </c>
      <c r="O3362" t="s">
        <v>214</v>
      </c>
      <c r="P3362">
        <v>4633.34</v>
      </c>
      <c r="Q3362" t="s">
        <v>177</v>
      </c>
    </row>
    <row r="3363" spans="1:17" x14ac:dyDescent="0.25">
      <c r="A3363" t="s">
        <v>1196</v>
      </c>
      <c r="B3363" t="s">
        <v>1197</v>
      </c>
      <c r="C3363" t="s">
        <v>175</v>
      </c>
      <c r="D3363" t="s">
        <v>378</v>
      </c>
      <c r="E3363" t="s">
        <v>379</v>
      </c>
      <c r="F3363">
        <v>2</v>
      </c>
      <c r="G3363" t="s">
        <v>176</v>
      </c>
      <c r="H3363">
        <v>0</v>
      </c>
      <c r="I3363">
        <v>50</v>
      </c>
      <c r="J3363" s="10">
        <v>33</v>
      </c>
      <c r="K3363" s="10">
        <f>SUMIFS(F:F,D:D,DST_123_ÜRETİM_İHTİYAÇ_RAPORU_BURAK_YENI1309[[#This Row],[ALT_KOD]])-(SUMIFS(H:H,D:D,DST_123_ÜRETİM_İHTİYAÇ_RAPORU_BURAK_YENI1309[[#This Row],[ALT_KOD]])+AVERAGEIFS(I:I,D:D,DST_123_ÜRETİM_İHTİYAÇ_RAPORU_BURAK_YENI1309[[#This Row],[ALT_KOD]])+AVERAGEIFS(L:L,D:D,DST_123_ÜRETİM_İHTİYAÇ_RAPORU_BURAK_YENI1309[[#This Row],[ALT_KOD]]))</f>
        <v>-15</v>
      </c>
      <c r="L3363">
        <v>0</v>
      </c>
      <c r="M3363">
        <f>IF((DST_123_ÜRETİM_İHTİYAÇ_RAPORU_BURAK_YENI1309[[#This Row],[SATINALMA]]*DST_123_ÜRETİM_İHTİYAÇ_RAPORU_BURAK_YENI1309[[#This Row],[BIRIM_FIYATLAR]])&lt;1,VALUE("0"),DST_123_ÜRETİM_İHTİYAÇ_RAPORU_BURAK_YENI1309[[#This Row],[SATINALMA]]*DST_123_ÜRETİM_İHTİYAÇ_RAPORU_BURAK_YENI1309[[#This Row],[BIRIM_FIYATLAR]])</f>
        <v>0</v>
      </c>
      <c r="N3363">
        <v>72.599999999999994</v>
      </c>
      <c r="O3363" t="s">
        <v>240</v>
      </c>
      <c r="P3363">
        <v>145.19999999999999</v>
      </c>
      <c r="Q3363" t="s">
        <v>178</v>
      </c>
    </row>
    <row r="3364" spans="1:17" x14ac:dyDescent="0.25">
      <c r="A3364" t="s">
        <v>1098</v>
      </c>
      <c r="B3364" t="s">
        <v>1096</v>
      </c>
      <c r="C3364" t="s">
        <v>175</v>
      </c>
      <c r="D3364" t="s">
        <v>378</v>
      </c>
      <c r="E3364" t="s">
        <v>379</v>
      </c>
      <c r="F3364">
        <v>1</v>
      </c>
      <c r="G3364" t="s">
        <v>176</v>
      </c>
      <c r="H3364">
        <v>0</v>
      </c>
      <c r="I3364">
        <v>50</v>
      </c>
      <c r="J3364" s="10">
        <v>33</v>
      </c>
      <c r="K3364" s="10">
        <f>SUMIFS(F:F,D:D,DST_123_ÜRETİM_İHTİYAÇ_RAPORU_BURAK_YENI1309[[#This Row],[ALT_KOD]])-(SUMIFS(H:H,D:D,DST_123_ÜRETİM_İHTİYAÇ_RAPORU_BURAK_YENI1309[[#This Row],[ALT_KOD]])+AVERAGEIFS(I:I,D:D,DST_123_ÜRETİM_İHTİYAÇ_RAPORU_BURAK_YENI1309[[#This Row],[ALT_KOD]])+AVERAGEIFS(L:L,D:D,DST_123_ÜRETİM_İHTİYAÇ_RAPORU_BURAK_YENI1309[[#This Row],[ALT_KOD]]))</f>
        <v>-15</v>
      </c>
      <c r="L3364">
        <v>0</v>
      </c>
      <c r="M3364">
        <f>IF((DST_123_ÜRETİM_İHTİYAÇ_RAPORU_BURAK_YENI1309[[#This Row],[SATINALMA]]*DST_123_ÜRETİM_İHTİYAÇ_RAPORU_BURAK_YENI1309[[#This Row],[BIRIM_FIYATLAR]])&lt;1,VALUE("0"),DST_123_ÜRETİM_İHTİYAÇ_RAPORU_BURAK_YENI1309[[#This Row],[SATINALMA]]*DST_123_ÜRETİM_İHTİYAÇ_RAPORU_BURAK_YENI1309[[#This Row],[BIRIM_FIYATLAR]])</f>
        <v>0</v>
      </c>
      <c r="N3364">
        <v>72.599999999999994</v>
      </c>
      <c r="O3364" t="s">
        <v>240</v>
      </c>
      <c r="P3364">
        <v>72.599999999999994</v>
      </c>
      <c r="Q3364" t="s">
        <v>178</v>
      </c>
    </row>
    <row r="3365" spans="1:17" x14ac:dyDescent="0.25">
      <c r="A3365" t="s">
        <v>1064</v>
      </c>
      <c r="B3365" t="s">
        <v>1055</v>
      </c>
      <c r="C3365" t="s">
        <v>175</v>
      </c>
      <c r="D3365" t="s">
        <v>141</v>
      </c>
      <c r="E3365" t="s">
        <v>142</v>
      </c>
      <c r="F3365">
        <v>21</v>
      </c>
      <c r="G3365" t="s">
        <v>176</v>
      </c>
      <c r="H3365">
        <v>0</v>
      </c>
      <c r="I3365">
        <v>150</v>
      </c>
      <c r="J3365" s="10">
        <v>0</v>
      </c>
      <c r="K3365" s="10">
        <f>SUMIFS(F:F,D:D,DST_123_ÜRETİM_İHTİYAÇ_RAPORU_BURAK_YENI1309[[#This Row],[ALT_KOD]])-(SUMIFS(H:H,D:D,DST_123_ÜRETİM_İHTİYAÇ_RAPORU_BURAK_YENI1309[[#This Row],[ALT_KOD]])+AVERAGEIFS(I:I,D:D,DST_123_ÜRETİM_İHTİYAÇ_RAPORU_BURAK_YENI1309[[#This Row],[ALT_KOD]])+AVERAGEIFS(L:L,D:D,DST_123_ÜRETİM_İHTİYAÇ_RAPORU_BURAK_YENI1309[[#This Row],[ALT_KOD]]))</f>
        <v>194</v>
      </c>
      <c r="L3365">
        <v>0</v>
      </c>
      <c r="M3365">
        <f>IF((DST_123_ÜRETİM_İHTİYAÇ_RAPORU_BURAK_YENI1309[[#This Row],[SATINALMA]]*DST_123_ÜRETİM_İHTİYAÇ_RAPORU_BURAK_YENI1309[[#This Row],[BIRIM_FIYATLAR]])&lt;1,VALUE("0"),DST_123_ÜRETİM_İHTİYAÇ_RAPORU_BURAK_YENI1309[[#This Row],[SATINALMA]]*DST_123_ÜRETİM_İHTİYAÇ_RAPORU_BURAK_YENI1309[[#This Row],[BIRIM_FIYATLAR]])</f>
        <v>5383.5</v>
      </c>
      <c r="N3365">
        <v>27.75</v>
      </c>
      <c r="O3365" t="s">
        <v>742</v>
      </c>
      <c r="P3365">
        <v>582.75</v>
      </c>
      <c r="Q3365" t="s">
        <v>184</v>
      </c>
    </row>
    <row r="3366" spans="1:17" x14ac:dyDescent="0.25">
      <c r="A3366" t="s">
        <v>1098</v>
      </c>
      <c r="B3366" t="s">
        <v>1096</v>
      </c>
      <c r="C3366" t="s">
        <v>175</v>
      </c>
      <c r="D3366" t="s">
        <v>141</v>
      </c>
      <c r="E3366" t="s">
        <v>142</v>
      </c>
      <c r="F3366">
        <v>21</v>
      </c>
      <c r="G3366" t="s">
        <v>176</v>
      </c>
      <c r="H3366">
        <v>0</v>
      </c>
      <c r="I3366">
        <v>150</v>
      </c>
      <c r="J3366" s="10">
        <v>0</v>
      </c>
      <c r="K3366" s="10">
        <f>SUMIFS(F:F,D:D,DST_123_ÜRETİM_İHTİYAÇ_RAPORU_BURAK_YENI1309[[#This Row],[ALT_KOD]])-(SUMIFS(H:H,D:D,DST_123_ÜRETİM_İHTİYAÇ_RAPORU_BURAK_YENI1309[[#This Row],[ALT_KOD]])+AVERAGEIFS(I:I,D:D,DST_123_ÜRETİM_İHTİYAÇ_RAPORU_BURAK_YENI1309[[#This Row],[ALT_KOD]])+AVERAGEIFS(L:L,D:D,DST_123_ÜRETİM_İHTİYAÇ_RAPORU_BURAK_YENI1309[[#This Row],[ALT_KOD]]))</f>
        <v>194</v>
      </c>
      <c r="L3366">
        <v>0</v>
      </c>
      <c r="M3366">
        <f>IF((DST_123_ÜRETİM_İHTİYAÇ_RAPORU_BURAK_YENI1309[[#This Row],[SATINALMA]]*DST_123_ÜRETİM_İHTİYAÇ_RAPORU_BURAK_YENI1309[[#This Row],[BIRIM_FIYATLAR]])&lt;1,VALUE("0"),DST_123_ÜRETİM_İHTİYAÇ_RAPORU_BURAK_YENI1309[[#This Row],[SATINALMA]]*DST_123_ÜRETİM_İHTİYAÇ_RAPORU_BURAK_YENI1309[[#This Row],[BIRIM_FIYATLAR]])</f>
        <v>5383.5</v>
      </c>
      <c r="N3366">
        <v>27.75</v>
      </c>
      <c r="O3366" t="s">
        <v>742</v>
      </c>
      <c r="P3366">
        <v>582.75</v>
      </c>
      <c r="Q3366" t="s">
        <v>184</v>
      </c>
    </row>
    <row r="3367" spans="1:17" x14ac:dyDescent="0.25">
      <c r="A3367" t="s">
        <v>1196</v>
      </c>
      <c r="B3367" t="s">
        <v>1197</v>
      </c>
      <c r="C3367" t="s">
        <v>175</v>
      </c>
      <c r="D3367" t="s">
        <v>141</v>
      </c>
      <c r="E3367" t="s">
        <v>142</v>
      </c>
      <c r="F3367">
        <v>16</v>
      </c>
      <c r="G3367" t="s">
        <v>176</v>
      </c>
      <c r="H3367">
        <v>0</v>
      </c>
      <c r="I3367">
        <v>150</v>
      </c>
      <c r="J3367" s="10">
        <v>0</v>
      </c>
      <c r="K3367" s="10">
        <f>SUMIFS(F:F,D:D,DST_123_ÜRETİM_İHTİYAÇ_RAPORU_BURAK_YENI1309[[#This Row],[ALT_KOD]])-(SUMIFS(H:H,D:D,DST_123_ÜRETİM_İHTİYAÇ_RAPORU_BURAK_YENI1309[[#This Row],[ALT_KOD]])+AVERAGEIFS(I:I,D:D,DST_123_ÜRETİM_İHTİYAÇ_RAPORU_BURAK_YENI1309[[#This Row],[ALT_KOD]])+AVERAGEIFS(L:L,D:D,DST_123_ÜRETİM_İHTİYAÇ_RAPORU_BURAK_YENI1309[[#This Row],[ALT_KOD]]))</f>
        <v>194</v>
      </c>
      <c r="L3367">
        <v>0</v>
      </c>
      <c r="M3367">
        <f>IF((DST_123_ÜRETİM_İHTİYAÇ_RAPORU_BURAK_YENI1309[[#This Row],[SATINALMA]]*DST_123_ÜRETİM_İHTİYAÇ_RAPORU_BURAK_YENI1309[[#This Row],[BIRIM_FIYATLAR]])&lt;1,VALUE("0"),DST_123_ÜRETİM_İHTİYAÇ_RAPORU_BURAK_YENI1309[[#This Row],[SATINALMA]]*DST_123_ÜRETİM_İHTİYAÇ_RAPORU_BURAK_YENI1309[[#This Row],[BIRIM_FIYATLAR]])</f>
        <v>5383.5</v>
      </c>
      <c r="N3367">
        <v>27.75</v>
      </c>
      <c r="O3367" t="s">
        <v>742</v>
      </c>
      <c r="P3367">
        <v>444</v>
      </c>
      <c r="Q3367" t="s">
        <v>184</v>
      </c>
    </row>
    <row r="3368" spans="1:17" x14ac:dyDescent="0.25">
      <c r="A3368" t="s">
        <v>1099</v>
      </c>
      <c r="B3368" t="s">
        <v>1055</v>
      </c>
      <c r="C3368" t="s">
        <v>175</v>
      </c>
      <c r="D3368" t="s">
        <v>141</v>
      </c>
      <c r="E3368" t="s">
        <v>142</v>
      </c>
      <c r="F3368">
        <v>21</v>
      </c>
      <c r="G3368" t="s">
        <v>176</v>
      </c>
      <c r="H3368">
        <v>0</v>
      </c>
      <c r="I3368">
        <v>150</v>
      </c>
      <c r="J3368" s="10">
        <v>0</v>
      </c>
      <c r="K3368" s="10">
        <f>SUMIFS(F:F,D:D,DST_123_ÜRETİM_İHTİYAÇ_RAPORU_BURAK_YENI1309[[#This Row],[ALT_KOD]])-(SUMIFS(H:H,D:D,DST_123_ÜRETİM_İHTİYAÇ_RAPORU_BURAK_YENI1309[[#This Row],[ALT_KOD]])+AVERAGEIFS(I:I,D:D,DST_123_ÜRETİM_İHTİYAÇ_RAPORU_BURAK_YENI1309[[#This Row],[ALT_KOD]])+AVERAGEIFS(L:L,D:D,DST_123_ÜRETİM_İHTİYAÇ_RAPORU_BURAK_YENI1309[[#This Row],[ALT_KOD]]))</f>
        <v>194</v>
      </c>
      <c r="L3368">
        <v>0</v>
      </c>
      <c r="M3368">
        <f>IF((DST_123_ÜRETİM_İHTİYAÇ_RAPORU_BURAK_YENI1309[[#This Row],[SATINALMA]]*DST_123_ÜRETİM_İHTİYAÇ_RAPORU_BURAK_YENI1309[[#This Row],[BIRIM_FIYATLAR]])&lt;1,VALUE("0"),DST_123_ÜRETİM_İHTİYAÇ_RAPORU_BURAK_YENI1309[[#This Row],[SATINALMA]]*DST_123_ÜRETİM_İHTİYAÇ_RAPORU_BURAK_YENI1309[[#This Row],[BIRIM_FIYATLAR]])</f>
        <v>5383.5</v>
      </c>
      <c r="N3368">
        <v>27.75</v>
      </c>
      <c r="O3368" t="s">
        <v>742</v>
      </c>
      <c r="P3368">
        <v>582.75</v>
      </c>
      <c r="Q3368" t="s">
        <v>184</v>
      </c>
    </row>
    <row r="3369" spans="1:17" x14ac:dyDescent="0.25">
      <c r="A3369" t="s">
        <v>1147</v>
      </c>
      <c r="B3369" t="s">
        <v>1145</v>
      </c>
      <c r="C3369" t="s">
        <v>197</v>
      </c>
      <c r="D3369" t="s">
        <v>793</v>
      </c>
      <c r="E3369" t="s">
        <v>794</v>
      </c>
      <c r="F3369">
        <v>1</v>
      </c>
      <c r="G3369" t="s">
        <v>176</v>
      </c>
      <c r="H3369">
        <v>0</v>
      </c>
      <c r="I3369">
        <v>25</v>
      </c>
      <c r="J3369" s="10">
        <v>4</v>
      </c>
      <c r="K3369" s="10">
        <f>SUMIFS(F:F,D:D,DST_123_ÜRETİM_İHTİYAÇ_RAPORU_BURAK_YENI1309[[#This Row],[ALT_KOD]])-(SUMIFS(H:H,D:D,DST_123_ÜRETİM_İHTİYAÇ_RAPORU_BURAK_YENI1309[[#This Row],[ALT_KOD]])+AVERAGEIFS(I:I,D:D,DST_123_ÜRETİM_İHTİYAÇ_RAPORU_BURAK_YENI1309[[#This Row],[ALT_KOD]])+AVERAGEIFS(L:L,D:D,DST_123_ÜRETİM_İHTİYAÇ_RAPORU_BURAK_YENI1309[[#This Row],[ALT_KOD]]))</f>
        <v>-20</v>
      </c>
      <c r="L3369">
        <v>0</v>
      </c>
      <c r="M3369">
        <f>IF((DST_123_ÜRETİM_İHTİYAÇ_RAPORU_BURAK_YENI1309[[#This Row],[SATINALMA]]*DST_123_ÜRETİM_İHTİYAÇ_RAPORU_BURAK_YENI1309[[#This Row],[BIRIM_FIYATLAR]])&lt;1,VALUE("0"),DST_123_ÜRETİM_İHTİYAÇ_RAPORU_BURAK_YENI1309[[#This Row],[SATINALMA]]*DST_123_ÜRETİM_İHTİYAÇ_RAPORU_BURAK_YENI1309[[#This Row],[BIRIM_FIYATLAR]])</f>
        <v>0</v>
      </c>
      <c r="N3369">
        <v>2800</v>
      </c>
      <c r="O3369" t="s">
        <v>795</v>
      </c>
      <c r="P3369">
        <v>2800</v>
      </c>
      <c r="Q3369" t="s">
        <v>177</v>
      </c>
    </row>
    <row r="3370" spans="1:17" x14ac:dyDescent="0.25">
      <c r="A3370" t="s">
        <v>1148</v>
      </c>
      <c r="B3370" t="s">
        <v>1056</v>
      </c>
      <c r="C3370" t="s">
        <v>175</v>
      </c>
      <c r="D3370" t="s">
        <v>141</v>
      </c>
      <c r="E3370" t="s">
        <v>142</v>
      </c>
      <c r="F3370">
        <v>21</v>
      </c>
      <c r="G3370" t="s">
        <v>176</v>
      </c>
      <c r="H3370">
        <v>0</v>
      </c>
      <c r="I3370">
        <v>150</v>
      </c>
      <c r="J3370" s="10">
        <v>0</v>
      </c>
      <c r="K3370" s="10">
        <f>SUMIFS(F:F,D:D,DST_123_ÜRETİM_İHTİYAÇ_RAPORU_BURAK_YENI1309[[#This Row],[ALT_KOD]])-(SUMIFS(H:H,D:D,DST_123_ÜRETİM_İHTİYAÇ_RAPORU_BURAK_YENI1309[[#This Row],[ALT_KOD]])+AVERAGEIFS(I:I,D:D,DST_123_ÜRETİM_İHTİYAÇ_RAPORU_BURAK_YENI1309[[#This Row],[ALT_KOD]])+AVERAGEIFS(L:L,D:D,DST_123_ÜRETİM_İHTİYAÇ_RAPORU_BURAK_YENI1309[[#This Row],[ALT_KOD]]))</f>
        <v>194</v>
      </c>
      <c r="L3370">
        <v>0</v>
      </c>
      <c r="M3370">
        <f>IF((DST_123_ÜRETİM_İHTİYAÇ_RAPORU_BURAK_YENI1309[[#This Row],[SATINALMA]]*DST_123_ÜRETİM_İHTİYAÇ_RAPORU_BURAK_YENI1309[[#This Row],[BIRIM_FIYATLAR]])&lt;1,VALUE("0"),DST_123_ÜRETİM_İHTİYAÇ_RAPORU_BURAK_YENI1309[[#This Row],[SATINALMA]]*DST_123_ÜRETİM_İHTİYAÇ_RAPORU_BURAK_YENI1309[[#This Row],[BIRIM_FIYATLAR]])</f>
        <v>5383.5</v>
      </c>
      <c r="N3370">
        <v>27.75</v>
      </c>
      <c r="O3370" t="s">
        <v>742</v>
      </c>
      <c r="P3370">
        <v>582.75</v>
      </c>
      <c r="Q3370" t="s">
        <v>184</v>
      </c>
    </row>
    <row r="3371" spans="1:17" x14ac:dyDescent="0.25">
      <c r="A3371" t="s">
        <v>1101</v>
      </c>
      <c r="B3371" t="s">
        <v>1102</v>
      </c>
      <c r="C3371" t="s">
        <v>175</v>
      </c>
      <c r="D3371" t="s">
        <v>840</v>
      </c>
      <c r="E3371" t="s">
        <v>841</v>
      </c>
      <c r="F3371">
        <v>5</v>
      </c>
      <c r="G3371" t="s">
        <v>179</v>
      </c>
      <c r="H3371">
        <v>0</v>
      </c>
      <c r="I3371">
        <v>0</v>
      </c>
      <c r="J3371" s="10">
        <v>165</v>
      </c>
      <c r="K3371" s="10">
        <f>SUMIFS(F:F,D:D,DST_123_ÜRETİM_İHTİYAÇ_RAPORU_BURAK_YENI1309[[#This Row],[ALT_KOD]])-(SUMIFS(H:H,D:D,DST_123_ÜRETİM_İHTİYAÇ_RAPORU_BURAK_YENI1309[[#This Row],[ALT_KOD]])+AVERAGEIFS(I:I,D:D,DST_123_ÜRETİM_İHTİYAÇ_RAPORU_BURAK_YENI1309[[#This Row],[ALT_KOD]])+AVERAGEIFS(L:L,D:D,DST_123_ÜRETİM_İHTİYAÇ_RAPORU_BURAK_YENI1309[[#This Row],[ALT_KOD]]))</f>
        <v>-289</v>
      </c>
      <c r="L3371">
        <v>400</v>
      </c>
      <c r="M3371">
        <f>IF((DST_123_ÜRETİM_İHTİYAÇ_RAPORU_BURAK_YENI1309[[#This Row],[SATINALMA]]*DST_123_ÜRETİM_İHTİYAÇ_RAPORU_BURAK_YENI1309[[#This Row],[BIRIM_FIYATLAR]])&lt;1,VALUE("0"),DST_123_ÜRETİM_İHTİYAÇ_RAPORU_BURAK_YENI1309[[#This Row],[SATINALMA]]*DST_123_ÜRETİM_İHTİYAÇ_RAPORU_BURAK_YENI1309[[#This Row],[BIRIM_FIYATLAR]])</f>
        <v>0</v>
      </c>
      <c r="N3371">
        <v>5</v>
      </c>
      <c r="O3371" t="s">
        <v>224</v>
      </c>
      <c r="P3371">
        <v>25</v>
      </c>
      <c r="Q3371" t="s">
        <v>180</v>
      </c>
    </row>
    <row r="3372" spans="1:17" x14ac:dyDescent="0.25">
      <c r="A3372" t="s">
        <v>1147</v>
      </c>
      <c r="B3372" t="s">
        <v>1145</v>
      </c>
      <c r="C3372" t="s">
        <v>175</v>
      </c>
      <c r="D3372" t="s">
        <v>840</v>
      </c>
      <c r="E3372" t="s">
        <v>841</v>
      </c>
      <c r="F3372">
        <v>5</v>
      </c>
      <c r="G3372" t="s">
        <v>179</v>
      </c>
      <c r="H3372">
        <v>0</v>
      </c>
      <c r="I3372">
        <v>0</v>
      </c>
      <c r="J3372" s="10">
        <v>165</v>
      </c>
      <c r="K3372" s="10">
        <f>SUMIFS(F:F,D:D,DST_123_ÜRETİM_İHTİYAÇ_RAPORU_BURAK_YENI1309[[#This Row],[ALT_KOD]])-(SUMIFS(H:H,D:D,DST_123_ÜRETİM_İHTİYAÇ_RAPORU_BURAK_YENI1309[[#This Row],[ALT_KOD]])+AVERAGEIFS(I:I,D:D,DST_123_ÜRETİM_İHTİYAÇ_RAPORU_BURAK_YENI1309[[#This Row],[ALT_KOD]])+AVERAGEIFS(L:L,D:D,DST_123_ÜRETİM_İHTİYAÇ_RAPORU_BURAK_YENI1309[[#This Row],[ALT_KOD]]))</f>
        <v>-289</v>
      </c>
      <c r="L3372">
        <v>400</v>
      </c>
      <c r="M3372">
        <f>IF((DST_123_ÜRETİM_İHTİYAÇ_RAPORU_BURAK_YENI1309[[#This Row],[SATINALMA]]*DST_123_ÜRETİM_İHTİYAÇ_RAPORU_BURAK_YENI1309[[#This Row],[BIRIM_FIYATLAR]])&lt;1,VALUE("0"),DST_123_ÜRETİM_İHTİYAÇ_RAPORU_BURAK_YENI1309[[#This Row],[SATINALMA]]*DST_123_ÜRETİM_İHTİYAÇ_RAPORU_BURAK_YENI1309[[#This Row],[BIRIM_FIYATLAR]])</f>
        <v>0</v>
      </c>
      <c r="N3372">
        <v>5</v>
      </c>
      <c r="O3372" t="s">
        <v>224</v>
      </c>
      <c r="P3372">
        <v>25</v>
      </c>
      <c r="Q3372" t="s">
        <v>180</v>
      </c>
    </row>
    <row r="3373" spans="1:17" x14ac:dyDescent="0.25">
      <c r="A3373" t="s">
        <v>1148</v>
      </c>
      <c r="B3373" t="s">
        <v>1056</v>
      </c>
      <c r="C3373" t="s">
        <v>175</v>
      </c>
      <c r="D3373" t="s">
        <v>840</v>
      </c>
      <c r="E3373" t="s">
        <v>841</v>
      </c>
      <c r="F3373">
        <v>5</v>
      </c>
      <c r="G3373" t="s">
        <v>179</v>
      </c>
      <c r="H3373">
        <v>0</v>
      </c>
      <c r="I3373">
        <v>0</v>
      </c>
      <c r="J3373" s="10">
        <v>165</v>
      </c>
      <c r="K3373" s="10">
        <f>SUMIFS(F:F,D:D,DST_123_ÜRETİM_İHTİYAÇ_RAPORU_BURAK_YENI1309[[#This Row],[ALT_KOD]])-(SUMIFS(H:H,D:D,DST_123_ÜRETİM_İHTİYAÇ_RAPORU_BURAK_YENI1309[[#This Row],[ALT_KOD]])+AVERAGEIFS(I:I,D:D,DST_123_ÜRETİM_İHTİYAÇ_RAPORU_BURAK_YENI1309[[#This Row],[ALT_KOD]])+AVERAGEIFS(L:L,D:D,DST_123_ÜRETİM_İHTİYAÇ_RAPORU_BURAK_YENI1309[[#This Row],[ALT_KOD]]))</f>
        <v>-289</v>
      </c>
      <c r="L3373">
        <v>400</v>
      </c>
      <c r="M3373">
        <f>IF((DST_123_ÜRETİM_İHTİYAÇ_RAPORU_BURAK_YENI1309[[#This Row],[SATINALMA]]*DST_123_ÜRETİM_İHTİYAÇ_RAPORU_BURAK_YENI1309[[#This Row],[BIRIM_FIYATLAR]])&lt;1,VALUE("0"),DST_123_ÜRETİM_İHTİYAÇ_RAPORU_BURAK_YENI1309[[#This Row],[SATINALMA]]*DST_123_ÜRETİM_İHTİYAÇ_RAPORU_BURAK_YENI1309[[#This Row],[BIRIM_FIYATLAR]])</f>
        <v>0</v>
      </c>
      <c r="N3373">
        <v>5</v>
      </c>
      <c r="O3373" t="s">
        <v>224</v>
      </c>
      <c r="P3373">
        <v>25</v>
      </c>
      <c r="Q3373" t="s">
        <v>180</v>
      </c>
    </row>
    <row r="3374" spans="1:17" x14ac:dyDescent="0.25">
      <c r="A3374" t="s">
        <v>1064</v>
      </c>
      <c r="B3374" t="s">
        <v>1055</v>
      </c>
      <c r="C3374" t="s">
        <v>175</v>
      </c>
      <c r="D3374" t="s">
        <v>378</v>
      </c>
      <c r="E3374" t="s">
        <v>379</v>
      </c>
      <c r="F3374">
        <v>2</v>
      </c>
      <c r="G3374" t="s">
        <v>176</v>
      </c>
      <c r="H3374">
        <v>0</v>
      </c>
      <c r="I3374">
        <v>50</v>
      </c>
      <c r="J3374" s="10">
        <v>33</v>
      </c>
      <c r="K3374" s="10">
        <f>SUMIFS(F:F,D:D,DST_123_ÜRETİM_İHTİYAÇ_RAPORU_BURAK_YENI1309[[#This Row],[ALT_KOD]])-(SUMIFS(H:H,D:D,DST_123_ÜRETİM_İHTİYAÇ_RAPORU_BURAK_YENI1309[[#This Row],[ALT_KOD]])+AVERAGEIFS(I:I,D:D,DST_123_ÜRETİM_İHTİYAÇ_RAPORU_BURAK_YENI1309[[#This Row],[ALT_KOD]])+AVERAGEIFS(L:L,D:D,DST_123_ÜRETİM_İHTİYAÇ_RAPORU_BURAK_YENI1309[[#This Row],[ALT_KOD]]))</f>
        <v>-15</v>
      </c>
      <c r="L3374">
        <v>0</v>
      </c>
      <c r="M3374">
        <f>IF((DST_123_ÜRETİM_İHTİYAÇ_RAPORU_BURAK_YENI1309[[#This Row],[SATINALMA]]*DST_123_ÜRETİM_İHTİYAÇ_RAPORU_BURAK_YENI1309[[#This Row],[BIRIM_FIYATLAR]])&lt;1,VALUE("0"),DST_123_ÜRETİM_İHTİYAÇ_RAPORU_BURAK_YENI1309[[#This Row],[SATINALMA]]*DST_123_ÜRETİM_İHTİYAÇ_RAPORU_BURAK_YENI1309[[#This Row],[BIRIM_FIYATLAR]])</f>
        <v>0</v>
      </c>
      <c r="N3374">
        <v>72.599999999999994</v>
      </c>
      <c r="O3374" t="s">
        <v>240</v>
      </c>
      <c r="P3374">
        <v>145.19999999999999</v>
      </c>
      <c r="Q3374" t="s">
        <v>178</v>
      </c>
    </row>
    <row r="3375" spans="1:17" x14ac:dyDescent="0.25">
      <c r="A3375" t="s">
        <v>1099</v>
      </c>
      <c r="B3375" t="s">
        <v>1055</v>
      </c>
      <c r="C3375" t="s">
        <v>175</v>
      </c>
      <c r="D3375" t="s">
        <v>378</v>
      </c>
      <c r="E3375" t="s">
        <v>379</v>
      </c>
      <c r="F3375">
        <v>2</v>
      </c>
      <c r="G3375" t="s">
        <v>176</v>
      </c>
      <c r="H3375">
        <v>0</v>
      </c>
      <c r="I3375">
        <v>50</v>
      </c>
      <c r="J3375" s="10">
        <v>33</v>
      </c>
      <c r="K3375" s="10">
        <f>SUMIFS(F:F,D:D,DST_123_ÜRETİM_İHTİYAÇ_RAPORU_BURAK_YENI1309[[#This Row],[ALT_KOD]])-(SUMIFS(H:H,D:D,DST_123_ÜRETİM_İHTİYAÇ_RAPORU_BURAK_YENI1309[[#This Row],[ALT_KOD]])+AVERAGEIFS(I:I,D:D,DST_123_ÜRETİM_İHTİYAÇ_RAPORU_BURAK_YENI1309[[#This Row],[ALT_KOD]])+AVERAGEIFS(L:L,D:D,DST_123_ÜRETİM_İHTİYAÇ_RAPORU_BURAK_YENI1309[[#This Row],[ALT_KOD]]))</f>
        <v>-15</v>
      </c>
      <c r="L3375">
        <v>0</v>
      </c>
      <c r="M3375">
        <f>IF((DST_123_ÜRETİM_İHTİYAÇ_RAPORU_BURAK_YENI1309[[#This Row],[SATINALMA]]*DST_123_ÜRETİM_İHTİYAÇ_RAPORU_BURAK_YENI1309[[#This Row],[BIRIM_FIYATLAR]])&lt;1,VALUE("0"),DST_123_ÜRETİM_İHTİYAÇ_RAPORU_BURAK_YENI1309[[#This Row],[SATINALMA]]*DST_123_ÜRETİM_İHTİYAÇ_RAPORU_BURAK_YENI1309[[#This Row],[BIRIM_FIYATLAR]])</f>
        <v>0</v>
      </c>
      <c r="N3375">
        <v>72.599999999999994</v>
      </c>
      <c r="O3375" t="s">
        <v>240</v>
      </c>
      <c r="P3375">
        <v>145.19999999999999</v>
      </c>
      <c r="Q3375" t="s">
        <v>178</v>
      </c>
    </row>
    <row r="3376" spans="1:17" x14ac:dyDescent="0.25">
      <c r="A3376" t="s">
        <v>1095</v>
      </c>
      <c r="B3376" t="s">
        <v>1096</v>
      </c>
      <c r="C3376" t="s">
        <v>175</v>
      </c>
      <c r="D3376" t="s">
        <v>145</v>
      </c>
      <c r="E3376" t="s">
        <v>146</v>
      </c>
      <c r="F3376">
        <v>5</v>
      </c>
      <c r="G3376" t="s">
        <v>176</v>
      </c>
      <c r="H3376">
        <v>0</v>
      </c>
      <c r="I3376">
        <v>0</v>
      </c>
      <c r="J3376" s="10">
        <v>4.0000000000000497</v>
      </c>
      <c r="K3376" s="10">
        <f>SUMIFS(F:F,D:D,DST_123_ÜRETİM_İHTİYAÇ_RAPORU_BURAK_YENI1309[[#This Row],[ALT_KOD]])-(SUMIFS(H:H,D:D,DST_123_ÜRETİM_İHTİYAÇ_RAPORU_BURAK_YENI1309[[#This Row],[ALT_KOD]])+AVERAGEIFS(I:I,D:D,DST_123_ÜRETİM_İHTİYAÇ_RAPORU_BURAK_YENI1309[[#This Row],[ALT_KOD]])+AVERAGEIFS(L:L,D:D,DST_123_ÜRETİM_İHTİYAÇ_RAPORU_BURAK_YENI1309[[#This Row],[ALT_KOD]]))</f>
        <v>28.999999999999993</v>
      </c>
      <c r="L3376">
        <v>22</v>
      </c>
      <c r="M3376">
        <f>IF((DST_123_ÜRETİM_İHTİYAÇ_RAPORU_BURAK_YENI1309[[#This Row],[SATINALMA]]*DST_123_ÜRETİM_İHTİYAÇ_RAPORU_BURAK_YENI1309[[#This Row],[BIRIM_FIYATLAR]])&lt;1,VALUE("0"),DST_123_ÜRETİM_İHTİYAÇ_RAPORU_BURAK_YENI1309[[#This Row],[SATINALMA]]*DST_123_ÜRETİM_İHTİYAÇ_RAPORU_BURAK_YENI1309[[#This Row],[BIRIM_FIYATLAR]])</f>
        <v>30208.429999999993</v>
      </c>
      <c r="N3376">
        <v>1041.67</v>
      </c>
      <c r="O3376" t="s">
        <v>223</v>
      </c>
      <c r="P3376">
        <v>5208.3500000000004</v>
      </c>
      <c r="Q3376" t="s">
        <v>181</v>
      </c>
    </row>
    <row r="3377" spans="1:17" x14ac:dyDescent="0.25">
      <c r="A3377" t="s">
        <v>1097</v>
      </c>
      <c r="B3377" t="s">
        <v>1055</v>
      </c>
      <c r="C3377" t="s">
        <v>175</v>
      </c>
      <c r="D3377" t="s">
        <v>836</v>
      </c>
      <c r="E3377" t="s">
        <v>837</v>
      </c>
      <c r="F3377">
        <v>120</v>
      </c>
      <c r="G3377" t="s">
        <v>179</v>
      </c>
      <c r="H3377">
        <v>0</v>
      </c>
      <c r="I3377">
        <v>0</v>
      </c>
      <c r="J3377" s="10">
        <v>0</v>
      </c>
      <c r="K3377" s="10">
        <f>SUMIFS(F:F,D:D,DST_123_ÜRETİM_İHTİYAÇ_RAPORU_BURAK_YENI1309[[#This Row],[ALT_KOD]])-(SUMIFS(H:H,D:D,DST_123_ÜRETİM_İHTİYAÇ_RAPORU_BURAK_YENI1309[[#This Row],[ALT_KOD]])+AVERAGEIFS(I:I,D:D,DST_123_ÜRETİM_İHTİYAÇ_RAPORU_BURAK_YENI1309[[#This Row],[ALT_KOD]])+AVERAGEIFS(L:L,D:D,DST_123_ÜRETİM_İHTİYAÇ_RAPORU_BURAK_YENI1309[[#This Row],[ALT_KOD]]))</f>
        <v>1760</v>
      </c>
      <c r="L3377">
        <v>0</v>
      </c>
      <c r="M3377">
        <f>IF((DST_123_ÜRETİM_İHTİYAÇ_RAPORU_BURAK_YENI1309[[#This Row],[SATINALMA]]*DST_123_ÜRETİM_İHTİYAÇ_RAPORU_BURAK_YENI1309[[#This Row],[BIRIM_FIYATLAR]])&lt;1,VALUE("0"),DST_123_ÜRETİM_İHTİYAÇ_RAPORU_BURAK_YENI1309[[#This Row],[SATINALMA]]*DST_123_ÜRETİM_İHTİYAÇ_RAPORU_BURAK_YENI1309[[#This Row],[BIRIM_FIYATLAR]])</f>
        <v>0</v>
      </c>
      <c r="N3377">
        <v>0</v>
      </c>
      <c r="P3377">
        <v>0</v>
      </c>
      <c r="Q3377" t="s">
        <v>184</v>
      </c>
    </row>
    <row r="3378" spans="1:17" x14ac:dyDescent="0.25">
      <c r="A3378" t="s">
        <v>1095</v>
      </c>
      <c r="B3378" t="s">
        <v>1096</v>
      </c>
      <c r="C3378" t="s">
        <v>175</v>
      </c>
      <c r="D3378" t="s">
        <v>836</v>
      </c>
      <c r="E3378" t="s">
        <v>837</v>
      </c>
      <c r="F3378">
        <v>120</v>
      </c>
      <c r="G3378" t="s">
        <v>179</v>
      </c>
      <c r="H3378">
        <v>0</v>
      </c>
      <c r="I3378">
        <v>0</v>
      </c>
      <c r="J3378" s="10">
        <v>0</v>
      </c>
      <c r="K3378" s="10">
        <f>SUMIFS(F:F,D:D,DST_123_ÜRETİM_İHTİYAÇ_RAPORU_BURAK_YENI1309[[#This Row],[ALT_KOD]])-(SUMIFS(H:H,D:D,DST_123_ÜRETİM_İHTİYAÇ_RAPORU_BURAK_YENI1309[[#This Row],[ALT_KOD]])+AVERAGEIFS(I:I,D:D,DST_123_ÜRETİM_İHTİYAÇ_RAPORU_BURAK_YENI1309[[#This Row],[ALT_KOD]])+AVERAGEIFS(L:L,D:D,DST_123_ÜRETİM_İHTİYAÇ_RAPORU_BURAK_YENI1309[[#This Row],[ALT_KOD]]))</f>
        <v>1760</v>
      </c>
      <c r="L3378">
        <v>0</v>
      </c>
      <c r="M3378">
        <f>IF((DST_123_ÜRETİM_İHTİYAÇ_RAPORU_BURAK_YENI1309[[#This Row],[SATINALMA]]*DST_123_ÜRETİM_İHTİYAÇ_RAPORU_BURAK_YENI1309[[#This Row],[BIRIM_FIYATLAR]])&lt;1,VALUE("0"),DST_123_ÜRETİM_İHTİYAÇ_RAPORU_BURAK_YENI1309[[#This Row],[SATINALMA]]*DST_123_ÜRETİM_İHTİYAÇ_RAPORU_BURAK_YENI1309[[#This Row],[BIRIM_FIYATLAR]])</f>
        <v>0</v>
      </c>
      <c r="N3378">
        <v>0</v>
      </c>
      <c r="P3378">
        <v>0</v>
      </c>
      <c r="Q3378" t="s">
        <v>184</v>
      </c>
    </row>
    <row r="3379" spans="1:17" x14ac:dyDescent="0.25">
      <c r="A3379" t="s">
        <v>1059</v>
      </c>
      <c r="B3379" t="s">
        <v>1058</v>
      </c>
      <c r="C3379" t="s">
        <v>175</v>
      </c>
      <c r="D3379" t="s">
        <v>953</v>
      </c>
      <c r="E3379" t="s">
        <v>954</v>
      </c>
      <c r="F3379">
        <v>2</v>
      </c>
      <c r="G3379" t="s">
        <v>176</v>
      </c>
      <c r="H3379">
        <v>0</v>
      </c>
      <c r="I3379">
        <v>48</v>
      </c>
      <c r="J3379" s="10">
        <v>2</v>
      </c>
      <c r="K3379" s="10">
        <f>SUMIFS(F:F,D:D,DST_123_ÜRETİM_İHTİYAÇ_RAPORU_BURAK_YENI1309[[#This Row],[ALT_KOD]])-(SUMIFS(H:H,D:D,DST_123_ÜRETİM_İHTİYAÇ_RAPORU_BURAK_YENI1309[[#This Row],[ALT_KOD]])+AVERAGEIFS(I:I,D:D,DST_123_ÜRETİM_İHTİYAÇ_RAPORU_BURAK_YENI1309[[#This Row],[ALT_KOD]])+AVERAGEIFS(L:L,D:D,DST_123_ÜRETİM_İHTİYAÇ_RAPORU_BURAK_YENI1309[[#This Row],[ALT_KOD]]))</f>
        <v>-44</v>
      </c>
      <c r="L3379">
        <v>0</v>
      </c>
      <c r="M3379">
        <f>IF((DST_123_ÜRETİM_İHTİYAÇ_RAPORU_BURAK_YENI1309[[#This Row],[SATINALMA]]*DST_123_ÜRETİM_İHTİYAÇ_RAPORU_BURAK_YENI1309[[#This Row],[BIRIM_FIYATLAR]])&lt;1,VALUE("0"),DST_123_ÜRETİM_İHTİYAÇ_RAPORU_BURAK_YENI1309[[#This Row],[SATINALMA]]*DST_123_ÜRETİM_İHTİYAÇ_RAPORU_BURAK_YENI1309[[#This Row],[BIRIM_FIYATLAR]])</f>
        <v>0</v>
      </c>
      <c r="N3379">
        <v>428.63</v>
      </c>
      <c r="O3379" t="s">
        <v>636</v>
      </c>
      <c r="P3379">
        <v>857.26</v>
      </c>
      <c r="Q3379" t="s">
        <v>178</v>
      </c>
    </row>
    <row r="3380" spans="1:17" x14ac:dyDescent="0.25">
      <c r="A3380" t="s">
        <v>1095</v>
      </c>
      <c r="B3380" t="s">
        <v>1096</v>
      </c>
      <c r="C3380" t="s">
        <v>175</v>
      </c>
      <c r="D3380" t="s">
        <v>319</v>
      </c>
      <c r="E3380" t="s">
        <v>320</v>
      </c>
      <c r="F3380">
        <v>0.124</v>
      </c>
      <c r="G3380" t="s">
        <v>186</v>
      </c>
      <c r="H3380">
        <v>0</v>
      </c>
      <c r="I3380">
        <v>0</v>
      </c>
      <c r="J3380" s="10">
        <v>4.5430000000000446</v>
      </c>
      <c r="K3380" s="10">
        <f>SUMIFS(F:F,D:D,DST_123_ÜRETİM_İHTİYAÇ_RAPORU_BURAK_YENI1309[[#This Row],[ALT_KOD]])-(SUMIFS(H:H,D:D,DST_123_ÜRETİM_İHTİYAÇ_RAPORU_BURAK_YENI1309[[#This Row],[ALT_KOD]])+AVERAGEIFS(I:I,D:D,DST_123_ÜRETİM_İHTİYAÇ_RAPORU_BURAK_YENI1309[[#This Row],[ALT_KOD]])+AVERAGEIFS(L:L,D:D,DST_123_ÜRETİM_İHTİYAÇ_RAPORU_BURAK_YENI1309[[#This Row],[ALT_KOD]]))</f>
        <v>1.4260000000000002</v>
      </c>
      <c r="L3380">
        <v>0</v>
      </c>
      <c r="M3380">
        <f>IF((DST_123_ÜRETİM_İHTİYAÇ_RAPORU_BURAK_YENI1309[[#This Row],[SATINALMA]]*DST_123_ÜRETİM_İHTİYAÇ_RAPORU_BURAK_YENI1309[[#This Row],[BIRIM_FIYATLAR]])&lt;1,VALUE("0"),DST_123_ÜRETİM_İHTİYAÇ_RAPORU_BURAK_YENI1309[[#This Row],[SATINALMA]]*DST_123_ÜRETİM_İHTİYAÇ_RAPORU_BURAK_YENI1309[[#This Row],[BIRIM_FIYATLAR]])</f>
        <v>27807.000000000004</v>
      </c>
      <c r="N3380">
        <v>19500</v>
      </c>
      <c r="O3380" t="s">
        <v>762</v>
      </c>
      <c r="P3380">
        <v>2418</v>
      </c>
      <c r="Q3380" t="s">
        <v>181</v>
      </c>
    </row>
    <row r="3381" spans="1:17" x14ac:dyDescent="0.25">
      <c r="A3381" t="s">
        <v>1059</v>
      </c>
      <c r="B3381" t="s">
        <v>1058</v>
      </c>
      <c r="C3381" t="s">
        <v>175</v>
      </c>
      <c r="D3381" t="s">
        <v>477</v>
      </c>
      <c r="E3381" t="s">
        <v>564</v>
      </c>
      <c r="F3381">
        <v>0.5</v>
      </c>
      <c r="G3381" t="s">
        <v>176</v>
      </c>
      <c r="H3381">
        <v>0</v>
      </c>
      <c r="I3381">
        <v>100</v>
      </c>
      <c r="J3381" s="10">
        <v>0</v>
      </c>
      <c r="K3381" s="10">
        <f>SUMIFS(F:F,D:D,DST_123_ÜRETİM_İHTİYAÇ_RAPORU_BURAK_YENI1309[[#This Row],[ALT_KOD]])-(SUMIFS(H:H,D:D,DST_123_ÜRETİM_İHTİYAÇ_RAPORU_BURAK_YENI1309[[#This Row],[ALT_KOD]])+AVERAGEIFS(I:I,D:D,DST_123_ÜRETİM_İHTİYAÇ_RAPORU_BURAK_YENI1309[[#This Row],[ALT_KOD]])+AVERAGEIFS(L:L,D:D,DST_123_ÜRETİM_İHTİYAÇ_RAPORU_BURAK_YENI1309[[#This Row],[ALT_KOD]]))</f>
        <v>-90.5</v>
      </c>
      <c r="L3381">
        <v>0</v>
      </c>
      <c r="M3381">
        <f>IF((DST_123_ÜRETİM_İHTİYAÇ_RAPORU_BURAK_YENI1309[[#This Row],[SATINALMA]]*DST_123_ÜRETİM_İHTİYAÇ_RAPORU_BURAK_YENI1309[[#This Row],[BIRIM_FIYATLAR]])&lt;1,VALUE("0"),DST_123_ÜRETİM_İHTİYAÇ_RAPORU_BURAK_YENI1309[[#This Row],[SATINALMA]]*DST_123_ÜRETİM_İHTİYAÇ_RAPORU_BURAK_YENI1309[[#This Row],[BIRIM_FIYATLAR]])</f>
        <v>0</v>
      </c>
      <c r="N3381">
        <v>13.5</v>
      </c>
      <c r="O3381" t="s">
        <v>240</v>
      </c>
      <c r="P3381">
        <v>6.75</v>
      </c>
      <c r="Q3381" t="s">
        <v>180</v>
      </c>
    </row>
    <row r="3382" spans="1:17" x14ac:dyDescent="0.25">
      <c r="A3382" t="s">
        <v>1095</v>
      </c>
      <c r="B3382" t="s">
        <v>1096</v>
      </c>
      <c r="C3382" t="s">
        <v>175</v>
      </c>
      <c r="D3382" t="s">
        <v>477</v>
      </c>
      <c r="E3382" t="s">
        <v>564</v>
      </c>
      <c r="F3382">
        <v>0.5</v>
      </c>
      <c r="G3382" t="s">
        <v>176</v>
      </c>
      <c r="H3382">
        <v>0</v>
      </c>
      <c r="I3382">
        <v>100</v>
      </c>
      <c r="J3382" s="10">
        <v>0</v>
      </c>
      <c r="K3382" s="10">
        <f>SUMIFS(F:F,D:D,DST_123_ÜRETİM_İHTİYAÇ_RAPORU_BURAK_YENI1309[[#This Row],[ALT_KOD]])-(SUMIFS(H:H,D:D,DST_123_ÜRETİM_İHTİYAÇ_RAPORU_BURAK_YENI1309[[#This Row],[ALT_KOD]])+AVERAGEIFS(I:I,D:D,DST_123_ÜRETİM_İHTİYAÇ_RAPORU_BURAK_YENI1309[[#This Row],[ALT_KOD]])+AVERAGEIFS(L:L,D:D,DST_123_ÜRETİM_İHTİYAÇ_RAPORU_BURAK_YENI1309[[#This Row],[ALT_KOD]]))</f>
        <v>-90.5</v>
      </c>
      <c r="L3382">
        <v>0</v>
      </c>
      <c r="M3382">
        <f>IF((DST_123_ÜRETİM_İHTİYAÇ_RAPORU_BURAK_YENI1309[[#This Row],[SATINALMA]]*DST_123_ÜRETİM_İHTİYAÇ_RAPORU_BURAK_YENI1309[[#This Row],[BIRIM_FIYATLAR]])&lt;1,VALUE("0"),DST_123_ÜRETİM_İHTİYAÇ_RAPORU_BURAK_YENI1309[[#This Row],[SATINALMA]]*DST_123_ÜRETİM_İHTİYAÇ_RAPORU_BURAK_YENI1309[[#This Row],[BIRIM_FIYATLAR]])</f>
        <v>0</v>
      </c>
      <c r="N3382">
        <v>13.5</v>
      </c>
      <c r="O3382" t="s">
        <v>240</v>
      </c>
      <c r="P3382">
        <v>6.75</v>
      </c>
      <c r="Q3382" t="s">
        <v>180</v>
      </c>
    </row>
    <row r="3383" spans="1:17" x14ac:dyDescent="0.25">
      <c r="A3383" t="s">
        <v>1143</v>
      </c>
      <c r="B3383" t="s">
        <v>1056</v>
      </c>
      <c r="C3383" t="s">
        <v>175</v>
      </c>
      <c r="D3383" t="s">
        <v>477</v>
      </c>
      <c r="E3383" t="s">
        <v>564</v>
      </c>
      <c r="F3383">
        <v>0.5</v>
      </c>
      <c r="G3383" t="s">
        <v>176</v>
      </c>
      <c r="H3383">
        <v>0</v>
      </c>
      <c r="I3383">
        <v>100</v>
      </c>
      <c r="J3383" s="10">
        <v>0</v>
      </c>
      <c r="K3383" s="10">
        <f>SUMIFS(F:F,D:D,DST_123_ÜRETİM_İHTİYAÇ_RAPORU_BURAK_YENI1309[[#This Row],[ALT_KOD]])-(SUMIFS(H:H,D:D,DST_123_ÜRETİM_İHTİYAÇ_RAPORU_BURAK_YENI1309[[#This Row],[ALT_KOD]])+AVERAGEIFS(I:I,D:D,DST_123_ÜRETİM_İHTİYAÇ_RAPORU_BURAK_YENI1309[[#This Row],[ALT_KOD]])+AVERAGEIFS(L:L,D:D,DST_123_ÜRETİM_İHTİYAÇ_RAPORU_BURAK_YENI1309[[#This Row],[ALT_KOD]]))</f>
        <v>-90.5</v>
      </c>
      <c r="L3383">
        <v>0</v>
      </c>
      <c r="M3383">
        <f>IF((DST_123_ÜRETİM_İHTİYAÇ_RAPORU_BURAK_YENI1309[[#This Row],[SATINALMA]]*DST_123_ÜRETİM_İHTİYAÇ_RAPORU_BURAK_YENI1309[[#This Row],[BIRIM_FIYATLAR]])&lt;1,VALUE("0"),DST_123_ÜRETİM_İHTİYAÇ_RAPORU_BURAK_YENI1309[[#This Row],[SATINALMA]]*DST_123_ÜRETİM_İHTİYAÇ_RAPORU_BURAK_YENI1309[[#This Row],[BIRIM_FIYATLAR]])</f>
        <v>0</v>
      </c>
      <c r="N3383">
        <v>13.5</v>
      </c>
      <c r="O3383" t="s">
        <v>240</v>
      </c>
      <c r="P3383">
        <v>6.75</v>
      </c>
      <c r="Q3383" t="s">
        <v>180</v>
      </c>
    </row>
    <row r="3384" spans="1:17" x14ac:dyDescent="0.25">
      <c r="A3384" t="s">
        <v>1142</v>
      </c>
      <c r="B3384" t="s">
        <v>1056</v>
      </c>
      <c r="C3384" t="s">
        <v>175</v>
      </c>
      <c r="D3384" t="s">
        <v>386</v>
      </c>
      <c r="E3384" t="s">
        <v>613</v>
      </c>
      <c r="F3384">
        <v>1</v>
      </c>
      <c r="G3384" t="s">
        <v>182</v>
      </c>
      <c r="H3384">
        <v>0</v>
      </c>
      <c r="I3384">
        <v>0</v>
      </c>
      <c r="J3384" s="10">
        <v>67.08499999999998</v>
      </c>
      <c r="K3384" s="10">
        <f>SUMIFS(F:F,D:D,DST_123_ÜRETİM_İHTİYAÇ_RAPORU_BURAK_YENI1309[[#This Row],[ALT_KOD]])-(SUMIFS(H:H,D:D,DST_123_ÜRETİM_İHTİYAÇ_RAPORU_BURAK_YENI1309[[#This Row],[ALT_KOD]])+AVERAGEIFS(I:I,D:D,DST_123_ÜRETİM_İHTİYAÇ_RAPORU_BURAK_YENI1309[[#This Row],[ALT_KOD]])+AVERAGEIFS(L:L,D:D,DST_123_ÜRETİM_İHTİYAÇ_RAPORU_BURAK_YENI1309[[#This Row],[ALT_KOD]]))</f>
        <v>15</v>
      </c>
      <c r="L3384">
        <v>0</v>
      </c>
      <c r="M3384">
        <f>IF((DST_123_ÜRETİM_İHTİYAÇ_RAPORU_BURAK_YENI1309[[#This Row],[SATINALMA]]*DST_123_ÜRETİM_İHTİYAÇ_RAPORU_BURAK_YENI1309[[#This Row],[BIRIM_FIYATLAR]])&lt;1,VALUE("0"),DST_123_ÜRETİM_İHTİYAÇ_RAPORU_BURAK_YENI1309[[#This Row],[SATINALMA]]*DST_123_ÜRETİM_İHTİYAÇ_RAPORU_BURAK_YENI1309[[#This Row],[BIRIM_FIYATLAR]])</f>
        <v>9778.0499999999993</v>
      </c>
      <c r="N3384">
        <v>651.87</v>
      </c>
      <c r="O3384" t="s">
        <v>223</v>
      </c>
      <c r="P3384">
        <v>651.87</v>
      </c>
      <c r="Q3384" t="s">
        <v>181</v>
      </c>
    </row>
    <row r="3385" spans="1:17" x14ac:dyDescent="0.25">
      <c r="A3385" t="s">
        <v>1095</v>
      </c>
      <c r="B3385" t="s">
        <v>1096</v>
      </c>
      <c r="C3385" t="s">
        <v>175</v>
      </c>
      <c r="D3385" t="s">
        <v>1125</v>
      </c>
      <c r="E3385" t="s">
        <v>1126</v>
      </c>
      <c r="F3385">
        <v>50</v>
      </c>
      <c r="G3385" t="s">
        <v>182</v>
      </c>
      <c r="H3385">
        <v>0</v>
      </c>
      <c r="I3385">
        <v>0</v>
      </c>
      <c r="J3385" s="10">
        <v>9.2500000000000568</v>
      </c>
      <c r="K3385" s="10">
        <f>SUMIFS(F:F,D:D,DST_123_ÜRETİM_İHTİYAÇ_RAPORU_BURAK_YENI1309[[#This Row],[ALT_KOD]])-(SUMIFS(H:H,D:D,DST_123_ÜRETİM_İHTİYAÇ_RAPORU_BURAK_YENI1309[[#This Row],[ALT_KOD]])+AVERAGEIFS(I:I,D:D,DST_123_ÜRETİM_İHTİYAÇ_RAPORU_BURAK_YENI1309[[#This Row],[ALT_KOD]])+AVERAGEIFS(L:L,D:D,DST_123_ÜRETİM_İHTİYAÇ_RAPORU_BURAK_YENI1309[[#This Row],[ALT_KOD]]))</f>
        <v>50</v>
      </c>
      <c r="L3385">
        <v>0</v>
      </c>
      <c r="M3385">
        <f>IF((DST_123_ÜRETİM_İHTİYAÇ_RAPORU_BURAK_YENI1309[[#This Row],[SATINALMA]]*DST_123_ÜRETİM_İHTİYAÇ_RAPORU_BURAK_YENI1309[[#This Row],[BIRIM_FIYATLAR]])&lt;1,VALUE("0"),DST_123_ÜRETİM_İHTİYAÇ_RAPORU_BURAK_YENI1309[[#This Row],[SATINALMA]]*DST_123_ÜRETİM_İHTİYAÇ_RAPORU_BURAK_YENI1309[[#This Row],[BIRIM_FIYATLAR]])</f>
        <v>9727</v>
      </c>
      <c r="N3385">
        <v>194.54</v>
      </c>
      <c r="O3385" t="s">
        <v>223</v>
      </c>
      <c r="P3385">
        <v>9727</v>
      </c>
      <c r="Q3385" t="s">
        <v>181</v>
      </c>
    </row>
    <row r="3386" spans="1:17" x14ac:dyDescent="0.25">
      <c r="A3386" t="s">
        <v>1150</v>
      </c>
      <c r="B3386" t="s">
        <v>1145</v>
      </c>
      <c r="C3386" t="s">
        <v>175</v>
      </c>
      <c r="D3386" t="s">
        <v>108</v>
      </c>
      <c r="E3386" t="s">
        <v>109</v>
      </c>
      <c r="F3386">
        <v>1</v>
      </c>
      <c r="G3386" t="s">
        <v>176</v>
      </c>
      <c r="H3386">
        <v>0</v>
      </c>
      <c r="I3386">
        <v>0</v>
      </c>
      <c r="J3386" s="10">
        <v>5.5699999999999994</v>
      </c>
      <c r="K3386" s="10">
        <f>SUMIFS(F:F,D:D,DST_123_ÜRETİM_İHTİYAÇ_RAPORU_BURAK_YENI1309[[#This Row],[ALT_KOD]])-(SUMIFS(H:H,D:D,DST_123_ÜRETİM_İHTİYAÇ_RAPORU_BURAK_YENI1309[[#This Row],[ALT_KOD]])+AVERAGEIFS(I:I,D:D,DST_123_ÜRETİM_İHTİYAÇ_RAPORU_BURAK_YENI1309[[#This Row],[ALT_KOD]])+AVERAGEIFS(L:L,D:D,DST_123_ÜRETİM_İHTİYAÇ_RAPORU_BURAK_YENI1309[[#This Row],[ALT_KOD]]))</f>
        <v>-2</v>
      </c>
      <c r="L3386">
        <v>7</v>
      </c>
      <c r="M3386">
        <f>IF((DST_123_ÜRETİM_İHTİYAÇ_RAPORU_BURAK_YENI1309[[#This Row],[SATINALMA]]*DST_123_ÜRETİM_İHTİYAÇ_RAPORU_BURAK_YENI1309[[#This Row],[BIRIM_FIYATLAR]])&lt;1,VALUE("0"),DST_123_ÜRETİM_İHTİYAÇ_RAPORU_BURAK_YENI1309[[#This Row],[SATINALMA]]*DST_123_ÜRETİM_İHTİYAÇ_RAPORU_BURAK_YENI1309[[#This Row],[BIRIM_FIYATLAR]])</f>
        <v>0</v>
      </c>
      <c r="N3386">
        <v>1416.67</v>
      </c>
      <c r="O3386" t="s">
        <v>223</v>
      </c>
      <c r="P3386">
        <v>1416.67</v>
      </c>
      <c r="Q3386" t="s">
        <v>181</v>
      </c>
    </row>
    <row r="3387" spans="1:17" x14ac:dyDescent="0.25">
      <c r="A3387" t="s">
        <v>1149</v>
      </c>
      <c r="B3387" t="s">
        <v>1145</v>
      </c>
      <c r="C3387" t="s">
        <v>175</v>
      </c>
      <c r="D3387" t="s">
        <v>120</v>
      </c>
      <c r="E3387" t="s">
        <v>311</v>
      </c>
      <c r="F3387">
        <v>1.5</v>
      </c>
      <c r="G3387" t="s">
        <v>176</v>
      </c>
      <c r="H3387">
        <v>0</v>
      </c>
      <c r="I3387">
        <v>24</v>
      </c>
      <c r="J3387" s="10">
        <v>18.499999999999982</v>
      </c>
      <c r="K3387" s="10">
        <f>SUMIFS(F:F,D:D,DST_123_ÜRETİM_İHTİYAÇ_RAPORU_BURAK_YENI1309[[#This Row],[ALT_KOD]])-(SUMIFS(H:H,D:D,DST_123_ÜRETİM_İHTİYAÇ_RAPORU_BURAK_YENI1309[[#This Row],[ALT_KOD]])+AVERAGEIFS(I:I,D:D,DST_123_ÜRETİM_İHTİYAÇ_RAPORU_BURAK_YENI1309[[#This Row],[ALT_KOD]])+AVERAGEIFS(L:L,D:D,DST_123_ÜRETİM_İHTİYAÇ_RAPORU_BURAK_YENI1309[[#This Row],[ALT_KOD]]))</f>
        <v>3.899999999999995</v>
      </c>
      <c r="L3387">
        <v>0</v>
      </c>
      <c r="M3387">
        <f>IF((DST_123_ÜRETİM_İHTİYAÇ_RAPORU_BURAK_YENI1309[[#This Row],[SATINALMA]]*DST_123_ÜRETİM_İHTİYAÇ_RAPORU_BURAK_YENI1309[[#This Row],[BIRIM_FIYATLAR]])&lt;1,VALUE("0"),DST_123_ÜRETİM_İHTİYAÇ_RAPORU_BURAK_YENI1309[[#This Row],[SATINALMA]]*DST_123_ÜRETİM_İHTİYAÇ_RAPORU_BURAK_YENI1309[[#This Row],[BIRIM_FIYATLAR]])</f>
        <v>467.99999999999943</v>
      </c>
      <c r="N3387">
        <v>120</v>
      </c>
      <c r="O3387" t="s">
        <v>240</v>
      </c>
      <c r="P3387">
        <v>180</v>
      </c>
      <c r="Q3387" t="s">
        <v>183</v>
      </c>
    </row>
    <row r="3388" spans="1:17" x14ac:dyDescent="0.25">
      <c r="A3388" t="s">
        <v>1144</v>
      </c>
      <c r="B3388" t="s">
        <v>1145</v>
      </c>
      <c r="C3388" t="s">
        <v>175</v>
      </c>
      <c r="D3388" t="s">
        <v>766</v>
      </c>
      <c r="E3388" t="s">
        <v>767</v>
      </c>
      <c r="F3388">
        <v>6</v>
      </c>
      <c r="G3388" t="s">
        <v>176</v>
      </c>
      <c r="H3388">
        <v>0</v>
      </c>
      <c r="I3388">
        <v>0</v>
      </c>
      <c r="J3388" s="10">
        <v>0</v>
      </c>
      <c r="K3388" s="10">
        <f>SUMIFS(F:F,D:D,DST_123_ÜRETİM_İHTİYAÇ_RAPORU_BURAK_YENI1309[[#This Row],[ALT_KOD]])-(SUMIFS(H:H,D:D,DST_123_ÜRETİM_İHTİYAÇ_RAPORU_BURAK_YENI1309[[#This Row],[ALT_KOD]])+AVERAGEIFS(I:I,D:D,DST_123_ÜRETİM_İHTİYAÇ_RAPORU_BURAK_YENI1309[[#This Row],[ALT_KOD]])+AVERAGEIFS(L:L,D:D,DST_123_ÜRETİM_İHTİYAÇ_RAPORU_BURAK_YENI1309[[#This Row],[ALT_KOD]]))</f>
        <v>54</v>
      </c>
      <c r="L3388">
        <v>0</v>
      </c>
      <c r="M3388">
        <f>IF((DST_123_ÜRETİM_İHTİYAÇ_RAPORU_BURAK_YENI1309[[#This Row],[SATINALMA]]*DST_123_ÜRETİM_İHTİYAÇ_RAPORU_BURAK_YENI1309[[#This Row],[BIRIM_FIYATLAR]])&lt;1,VALUE("0"),DST_123_ÜRETİM_İHTİYAÇ_RAPORU_BURAK_YENI1309[[#This Row],[SATINALMA]]*DST_123_ÜRETİM_İHTİYAÇ_RAPORU_BURAK_YENI1309[[#This Row],[BIRIM_FIYATLAR]])</f>
        <v>37.799999999999997</v>
      </c>
      <c r="N3388">
        <v>0.7</v>
      </c>
      <c r="O3388" t="s">
        <v>220</v>
      </c>
      <c r="P3388">
        <v>4.1999999999999993</v>
      </c>
      <c r="Q3388" t="s">
        <v>221</v>
      </c>
    </row>
    <row r="3389" spans="1:17" x14ac:dyDescent="0.25">
      <c r="A3389" t="s">
        <v>1150</v>
      </c>
      <c r="B3389" t="s">
        <v>1145</v>
      </c>
      <c r="C3389" t="s">
        <v>175</v>
      </c>
      <c r="D3389" t="s">
        <v>139</v>
      </c>
      <c r="E3389" t="s">
        <v>140</v>
      </c>
      <c r="F3389">
        <v>1.5</v>
      </c>
      <c r="G3389" t="s">
        <v>176</v>
      </c>
      <c r="H3389">
        <v>0</v>
      </c>
      <c r="I3389">
        <v>0</v>
      </c>
      <c r="J3389" s="10">
        <v>6.1000000000000023</v>
      </c>
      <c r="K3389" s="10">
        <f>SUMIFS(F:F,D:D,DST_123_ÜRETİM_İHTİYAÇ_RAPORU_BURAK_YENI1309[[#This Row],[ALT_KOD]])-(SUMIFS(H:H,D:D,DST_123_ÜRETİM_İHTİYAÇ_RAPORU_BURAK_YENI1309[[#This Row],[ALT_KOD]])+AVERAGEIFS(I:I,D:D,DST_123_ÜRETİM_İHTİYAÇ_RAPORU_BURAK_YENI1309[[#This Row],[ALT_KOD]])+AVERAGEIFS(L:L,D:D,DST_123_ÜRETİM_İHTİYAÇ_RAPORU_BURAK_YENI1309[[#This Row],[ALT_KOD]]))</f>
        <v>8.8000000000000007</v>
      </c>
      <c r="L3389">
        <v>5</v>
      </c>
      <c r="M3389">
        <f>IF((DST_123_ÜRETİM_İHTİYAÇ_RAPORU_BURAK_YENI1309[[#This Row],[SATINALMA]]*DST_123_ÜRETİM_İHTİYAÇ_RAPORU_BURAK_YENI1309[[#This Row],[BIRIM_FIYATLAR]])&lt;1,VALUE("0"),DST_123_ÜRETİM_İHTİYAÇ_RAPORU_BURAK_YENI1309[[#This Row],[SATINALMA]]*DST_123_ÜRETİM_İHTİYAÇ_RAPORU_BURAK_YENI1309[[#This Row],[BIRIM_FIYATLAR]])</f>
        <v>6056.1600000000008</v>
      </c>
      <c r="N3389">
        <v>688.2</v>
      </c>
      <c r="O3389" t="s">
        <v>672</v>
      </c>
      <c r="P3389">
        <v>1032.3000000000002</v>
      </c>
      <c r="Q3389" t="s">
        <v>184</v>
      </c>
    </row>
    <row r="3390" spans="1:17" x14ac:dyDescent="0.25">
      <c r="A3390" t="s">
        <v>1143</v>
      </c>
      <c r="B3390" t="s">
        <v>1056</v>
      </c>
      <c r="C3390" t="s">
        <v>175</v>
      </c>
      <c r="D3390" t="s">
        <v>120</v>
      </c>
      <c r="E3390" t="s">
        <v>311</v>
      </c>
      <c r="F3390">
        <v>2</v>
      </c>
      <c r="G3390" t="s">
        <v>176</v>
      </c>
      <c r="H3390">
        <v>0</v>
      </c>
      <c r="I3390">
        <v>24</v>
      </c>
      <c r="J3390" s="10">
        <v>18.499999999999982</v>
      </c>
      <c r="K3390" s="10">
        <f>SUMIFS(F:F,D:D,DST_123_ÜRETİM_İHTİYAÇ_RAPORU_BURAK_YENI1309[[#This Row],[ALT_KOD]])-(SUMIFS(H:H,D:D,DST_123_ÜRETİM_İHTİYAÇ_RAPORU_BURAK_YENI1309[[#This Row],[ALT_KOD]])+AVERAGEIFS(I:I,D:D,DST_123_ÜRETİM_İHTİYAÇ_RAPORU_BURAK_YENI1309[[#This Row],[ALT_KOD]])+AVERAGEIFS(L:L,D:D,DST_123_ÜRETİM_İHTİYAÇ_RAPORU_BURAK_YENI1309[[#This Row],[ALT_KOD]]))</f>
        <v>3.899999999999995</v>
      </c>
      <c r="L3390">
        <v>0</v>
      </c>
      <c r="M3390">
        <f>IF((DST_123_ÜRETİM_İHTİYAÇ_RAPORU_BURAK_YENI1309[[#This Row],[SATINALMA]]*DST_123_ÜRETİM_İHTİYAÇ_RAPORU_BURAK_YENI1309[[#This Row],[BIRIM_FIYATLAR]])&lt;1,VALUE("0"),DST_123_ÜRETİM_İHTİYAÇ_RAPORU_BURAK_YENI1309[[#This Row],[SATINALMA]]*DST_123_ÜRETİM_İHTİYAÇ_RAPORU_BURAK_YENI1309[[#This Row],[BIRIM_FIYATLAR]])</f>
        <v>467.99999999999943</v>
      </c>
      <c r="N3390">
        <v>120</v>
      </c>
      <c r="O3390" t="s">
        <v>240</v>
      </c>
      <c r="P3390">
        <v>240</v>
      </c>
      <c r="Q3390" t="s">
        <v>183</v>
      </c>
    </row>
    <row r="3391" spans="1:17" x14ac:dyDescent="0.25">
      <c r="A3391" t="s">
        <v>1059</v>
      </c>
      <c r="B3391" t="s">
        <v>1058</v>
      </c>
      <c r="C3391" t="s">
        <v>175</v>
      </c>
      <c r="D3391" t="s">
        <v>120</v>
      </c>
      <c r="E3391" t="s">
        <v>311</v>
      </c>
      <c r="F3391">
        <v>2</v>
      </c>
      <c r="G3391" t="s">
        <v>176</v>
      </c>
      <c r="H3391">
        <v>0</v>
      </c>
      <c r="I3391">
        <v>24</v>
      </c>
      <c r="J3391" s="10">
        <v>18.499999999999982</v>
      </c>
      <c r="K3391" s="10">
        <f>SUMIFS(F:F,D:D,DST_123_ÜRETİM_İHTİYAÇ_RAPORU_BURAK_YENI1309[[#This Row],[ALT_KOD]])-(SUMIFS(H:H,D:D,DST_123_ÜRETİM_İHTİYAÇ_RAPORU_BURAK_YENI1309[[#This Row],[ALT_KOD]])+AVERAGEIFS(I:I,D:D,DST_123_ÜRETİM_İHTİYAÇ_RAPORU_BURAK_YENI1309[[#This Row],[ALT_KOD]])+AVERAGEIFS(L:L,D:D,DST_123_ÜRETİM_İHTİYAÇ_RAPORU_BURAK_YENI1309[[#This Row],[ALT_KOD]]))</f>
        <v>3.899999999999995</v>
      </c>
      <c r="L3391">
        <v>0</v>
      </c>
      <c r="M3391">
        <f>IF((DST_123_ÜRETİM_İHTİYAÇ_RAPORU_BURAK_YENI1309[[#This Row],[SATINALMA]]*DST_123_ÜRETİM_İHTİYAÇ_RAPORU_BURAK_YENI1309[[#This Row],[BIRIM_FIYATLAR]])&lt;1,VALUE("0"),DST_123_ÜRETİM_İHTİYAÇ_RAPORU_BURAK_YENI1309[[#This Row],[SATINALMA]]*DST_123_ÜRETİM_İHTİYAÇ_RAPORU_BURAK_YENI1309[[#This Row],[BIRIM_FIYATLAR]])</f>
        <v>467.99999999999943</v>
      </c>
      <c r="N3391">
        <v>120</v>
      </c>
      <c r="O3391" t="s">
        <v>240</v>
      </c>
      <c r="P3391">
        <v>240</v>
      </c>
      <c r="Q3391" t="s">
        <v>183</v>
      </c>
    </row>
    <row r="3392" spans="1:17" x14ac:dyDescent="0.25">
      <c r="A3392" t="s">
        <v>1095</v>
      </c>
      <c r="B3392" t="s">
        <v>1096</v>
      </c>
      <c r="C3392" t="s">
        <v>175</v>
      </c>
      <c r="D3392" t="s">
        <v>139</v>
      </c>
      <c r="E3392" t="s">
        <v>140</v>
      </c>
      <c r="F3392">
        <v>1</v>
      </c>
      <c r="G3392" t="s">
        <v>176</v>
      </c>
      <c r="H3392">
        <v>0</v>
      </c>
      <c r="I3392">
        <v>0</v>
      </c>
      <c r="J3392" s="10">
        <v>6.1000000000000023</v>
      </c>
      <c r="K3392" s="10">
        <f>SUMIFS(F:F,D:D,DST_123_ÜRETİM_İHTİYAÇ_RAPORU_BURAK_YENI1309[[#This Row],[ALT_KOD]])-(SUMIFS(H:H,D:D,DST_123_ÜRETİM_İHTİYAÇ_RAPORU_BURAK_YENI1309[[#This Row],[ALT_KOD]])+AVERAGEIFS(I:I,D:D,DST_123_ÜRETİM_İHTİYAÇ_RAPORU_BURAK_YENI1309[[#This Row],[ALT_KOD]])+AVERAGEIFS(L:L,D:D,DST_123_ÜRETİM_İHTİYAÇ_RAPORU_BURAK_YENI1309[[#This Row],[ALT_KOD]]))</f>
        <v>8.8000000000000007</v>
      </c>
      <c r="L3392">
        <v>5</v>
      </c>
      <c r="M3392">
        <f>IF((DST_123_ÜRETİM_İHTİYAÇ_RAPORU_BURAK_YENI1309[[#This Row],[SATINALMA]]*DST_123_ÜRETİM_İHTİYAÇ_RAPORU_BURAK_YENI1309[[#This Row],[BIRIM_FIYATLAR]])&lt;1,VALUE("0"),DST_123_ÜRETİM_İHTİYAÇ_RAPORU_BURAK_YENI1309[[#This Row],[SATINALMA]]*DST_123_ÜRETİM_İHTİYAÇ_RAPORU_BURAK_YENI1309[[#This Row],[BIRIM_FIYATLAR]])</f>
        <v>6056.1600000000008</v>
      </c>
      <c r="N3392">
        <v>688.2</v>
      </c>
      <c r="O3392" t="s">
        <v>672</v>
      </c>
      <c r="P3392">
        <v>688.2</v>
      </c>
      <c r="Q3392" t="s">
        <v>184</v>
      </c>
    </row>
    <row r="3393" spans="1:17" x14ac:dyDescent="0.25">
      <c r="A3393" t="s">
        <v>1059</v>
      </c>
      <c r="B3393" t="s">
        <v>1058</v>
      </c>
      <c r="C3393" t="s">
        <v>175</v>
      </c>
      <c r="D3393" t="s">
        <v>554</v>
      </c>
      <c r="E3393" t="s">
        <v>555</v>
      </c>
      <c r="F3393">
        <v>6</v>
      </c>
      <c r="G3393" t="s">
        <v>176</v>
      </c>
      <c r="H3393">
        <v>0</v>
      </c>
      <c r="I3393">
        <v>2080</v>
      </c>
      <c r="J3393" s="10">
        <v>84</v>
      </c>
      <c r="K3393" s="10">
        <f>SUMIFS(F:F,D:D,DST_123_ÜRETİM_İHTİYAÇ_RAPORU_BURAK_YENI1309[[#This Row],[ALT_KOD]])-(SUMIFS(H:H,D:D,DST_123_ÜRETİM_İHTİYAÇ_RAPORU_BURAK_YENI1309[[#This Row],[ALT_KOD]])+AVERAGEIFS(I:I,D:D,DST_123_ÜRETİM_İHTİYAÇ_RAPORU_BURAK_YENI1309[[#This Row],[ALT_KOD]])+AVERAGEIFS(L:L,D:D,DST_123_ÜRETİM_İHTİYAÇ_RAPORU_BURAK_YENI1309[[#This Row],[ALT_KOD]]))</f>
        <v>-2052</v>
      </c>
      <c r="L3393">
        <v>0</v>
      </c>
      <c r="M3393">
        <f>IF((DST_123_ÜRETİM_İHTİYAÇ_RAPORU_BURAK_YENI1309[[#This Row],[SATINALMA]]*DST_123_ÜRETİM_İHTİYAÇ_RAPORU_BURAK_YENI1309[[#This Row],[BIRIM_FIYATLAR]])&lt;1,VALUE("0"),DST_123_ÜRETİM_İHTİYAÇ_RAPORU_BURAK_YENI1309[[#This Row],[SATINALMA]]*DST_123_ÜRETİM_İHTİYAÇ_RAPORU_BURAK_YENI1309[[#This Row],[BIRIM_FIYATLAR]])</f>
        <v>0</v>
      </c>
      <c r="N3393">
        <v>0.28999999999999998</v>
      </c>
      <c r="P3393">
        <v>1.7399999999999998</v>
      </c>
      <c r="Q3393" t="s">
        <v>180</v>
      </c>
    </row>
    <row r="3394" spans="1:17" x14ac:dyDescent="0.25">
      <c r="A3394" t="s">
        <v>1060</v>
      </c>
      <c r="B3394" t="s">
        <v>1061</v>
      </c>
      <c r="C3394" t="s">
        <v>175</v>
      </c>
      <c r="D3394" t="s">
        <v>836</v>
      </c>
      <c r="E3394" t="s">
        <v>837</v>
      </c>
      <c r="F3394">
        <v>120</v>
      </c>
      <c r="G3394" t="s">
        <v>179</v>
      </c>
      <c r="H3394">
        <v>0</v>
      </c>
      <c r="I3394">
        <v>0</v>
      </c>
      <c r="J3394" s="10">
        <v>0</v>
      </c>
      <c r="K3394" s="10">
        <f>SUMIFS(F:F,D:D,DST_123_ÜRETİM_İHTİYAÇ_RAPORU_BURAK_YENI1309[[#This Row],[ALT_KOD]])-(SUMIFS(H:H,D:D,DST_123_ÜRETİM_İHTİYAÇ_RAPORU_BURAK_YENI1309[[#This Row],[ALT_KOD]])+AVERAGEIFS(I:I,D:D,DST_123_ÜRETİM_İHTİYAÇ_RAPORU_BURAK_YENI1309[[#This Row],[ALT_KOD]])+AVERAGEIFS(L:L,D:D,DST_123_ÜRETİM_İHTİYAÇ_RAPORU_BURAK_YENI1309[[#This Row],[ALT_KOD]]))</f>
        <v>1760</v>
      </c>
      <c r="L3394">
        <v>0</v>
      </c>
      <c r="M3394">
        <f>IF((DST_123_ÜRETİM_İHTİYAÇ_RAPORU_BURAK_YENI1309[[#This Row],[SATINALMA]]*DST_123_ÜRETİM_İHTİYAÇ_RAPORU_BURAK_YENI1309[[#This Row],[BIRIM_FIYATLAR]])&lt;1,VALUE("0"),DST_123_ÜRETİM_İHTİYAÇ_RAPORU_BURAK_YENI1309[[#This Row],[SATINALMA]]*DST_123_ÜRETİM_İHTİYAÇ_RAPORU_BURAK_YENI1309[[#This Row],[BIRIM_FIYATLAR]])</f>
        <v>0</v>
      </c>
      <c r="N3394">
        <v>0</v>
      </c>
      <c r="P3394">
        <v>0</v>
      </c>
      <c r="Q3394" t="s">
        <v>184</v>
      </c>
    </row>
    <row r="3395" spans="1:17" x14ac:dyDescent="0.25">
      <c r="A3395" t="s">
        <v>1057</v>
      </c>
      <c r="B3395" t="s">
        <v>1058</v>
      </c>
      <c r="C3395" t="s">
        <v>175</v>
      </c>
      <c r="D3395" t="s">
        <v>836</v>
      </c>
      <c r="E3395" t="s">
        <v>837</v>
      </c>
      <c r="F3395">
        <v>20</v>
      </c>
      <c r="G3395" t="s">
        <v>179</v>
      </c>
      <c r="H3395">
        <v>0</v>
      </c>
      <c r="I3395">
        <v>0</v>
      </c>
      <c r="J3395" s="10">
        <v>0</v>
      </c>
      <c r="K3395" s="10">
        <f>SUMIFS(F:F,D:D,DST_123_ÜRETİM_İHTİYAÇ_RAPORU_BURAK_YENI1309[[#This Row],[ALT_KOD]])-(SUMIFS(H:H,D:D,DST_123_ÜRETİM_İHTİYAÇ_RAPORU_BURAK_YENI1309[[#This Row],[ALT_KOD]])+AVERAGEIFS(I:I,D:D,DST_123_ÜRETİM_İHTİYAÇ_RAPORU_BURAK_YENI1309[[#This Row],[ALT_KOD]])+AVERAGEIFS(L:L,D:D,DST_123_ÜRETİM_İHTİYAÇ_RAPORU_BURAK_YENI1309[[#This Row],[ALT_KOD]]))</f>
        <v>1760</v>
      </c>
      <c r="L3395">
        <v>0</v>
      </c>
      <c r="M3395">
        <f>IF((DST_123_ÜRETİM_İHTİYAÇ_RAPORU_BURAK_YENI1309[[#This Row],[SATINALMA]]*DST_123_ÜRETİM_İHTİYAÇ_RAPORU_BURAK_YENI1309[[#This Row],[BIRIM_FIYATLAR]])&lt;1,VALUE("0"),DST_123_ÜRETİM_İHTİYAÇ_RAPORU_BURAK_YENI1309[[#This Row],[SATINALMA]]*DST_123_ÜRETİM_İHTİYAÇ_RAPORU_BURAK_YENI1309[[#This Row],[BIRIM_FIYATLAR]])</f>
        <v>0</v>
      </c>
      <c r="N3395">
        <v>0</v>
      </c>
      <c r="P3395">
        <v>0</v>
      </c>
      <c r="Q3395" t="s">
        <v>184</v>
      </c>
    </row>
    <row r="3396" spans="1:17" x14ac:dyDescent="0.25">
      <c r="A3396" t="s">
        <v>1100</v>
      </c>
      <c r="B3396" t="s">
        <v>1058</v>
      </c>
      <c r="C3396" t="s">
        <v>175</v>
      </c>
      <c r="D3396" t="s">
        <v>836</v>
      </c>
      <c r="E3396" t="s">
        <v>837</v>
      </c>
      <c r="F3396">
        <v>20</v>
      </c>
      <c r="G3396" t="s">
        <v>179</v>
      </c>
      <c r="H3396">
        <v>0</v>
      </c>
      <c r="I3396">
        <v>0</v>
      </c>
      <c r="J3396" s="10">
        <v>0</v>
      </c>
      <c r="K3396" s="10">
        <f>SUMIFS(F:F,D:D,DST_123_ÜRETİM_İHTİYAÇ_RAPORU_BURAK_YENI1309[[#This Row],[ALT_KOD]])-(SUMIFS(H:H,D:D,DST_123_ÜRETİM_İHTİYAÇ_RAPORU_BURAK_YENI1309[[#This Row],[ALT_KOD]])+AVERAGEIFS(I:I,D:D,DST_123_ÜRETİM_İHTİYAÇ_RAPORU_BURAK_YENI1309[[#This Row],[ALT_KOD]])+AVERAGEIFS(L:L,D:D,DST_123_ÜRETİM_İHTİYAÇ_RAPORU_BURAK_YENI1309[[#This Row],[ALT_KOD]]))</f>
        <v>1760</v>
      </c>
      <c r="L3396">
        <v>0</v>
      </c>
      <c r="M3396">
        <f>IF((DST_123_ÜRETİM_İHTİYAÇ_RAPORU_BURAK_YENI1309[[#This Row],[SATINALMA]]*DST_123_ÜRETİM_İHTİYAÇ_RAPORU_BURAK_YENI1309[[#This Row],[BIRIM_FIYATLAR]])&lt;1,VALUE("0"),DST_123_ÜRETİM_İHTİYAÇ_RAPORU_BURAK_YENI1309[[#This Row],[SATINALMA]]*DST_123_ÜRETİM_İHTİYAÇ_RAPORU_BURAK_YENI1309[[#This Row],[BIRIM_FIYATLAR]])</f>
        <v>0</v>
      </c>
      <c r="N3396">
        <v>0</v>
      </c>
      <c r="P3396">
        <v>0</v>
      </c>
      <c r="Q3396" t="s">
        <v>184</v>
      </c>
    </row>
    <row r="3397" spans="1:17" x14ac:dyDescent="0.25">
      <c r="A3397" t="s">
        <v>1060</v>
      </c>
      <c r="B3397" t="s">
        <v>1061</v>
      </c>
      <c r="C3397" t="s">
        <v>175</v>
      </c>
      <c r="D3397" t="s">
        <v>319</v>
      </c>
      <c r="E3397" t="s">
        <v>320</v>
      </c>
      <c r="F3397">
        <v>0.13</v>
      </c>
      <c r="G3397" t="s">
        <v>186</v>
      </c>
      <c r="H3397">
        <v>0</v>
      </c>
      <c r="I3397">
        <v>0</v>
      </c>
      <c r="J3397" s="10">
        <v>4.5430000000000446</v>
      </c>
      <c r="K3397" s="10">
        <f>SUMIFS(F:F,D:D,DST_123_ÜRETİM_İHTİYAÇ_RAPORU_BURAK_YENI1309[[#This Row],[ALT_KOD]])-(SUMIFS(H:H,D:D,DST_123_ÜRETİM_İHTİYAÇ_RAPORU_BURAK_YENI1309[[#This Row],[ALT_KOD]])+AVERAGEIFS(I:I,D:D,DST_123_ÜRETİM_İHTİYAÇ_RAPORU_BURAK_YENI1309[[#This Row],[ALT_KOD]])+AVERAGEIFS(L:L,D:D,DST_123_ÜRETİM_İHTİYAÇ_RAPORU_BURAK_YENI1309[[#This Row],[ALT_KOD]]))</f>
        <v>1.4260000000000002</v>
      </c>
      <c r="L3397">
        <v>0</v>
      </c>
      <c r="M3397">
        <f>IF((DST_123_ÜRETİM_İHTİYAÇ_RAPORU_BURAK_YENI1309[[#This Row],[SATINALMA]]*DST_123_ÜRETİM_İHTİYAÇ_RAPORU_BURAK_YENI1309[[#This Row],[BIRIM_FIYATLAR]])&lt;1,VALUE("0"),DST_123_ÜRETİM_İHTİYAÇ_RAPORU_BURAK_YENI1309[[#This Row],[SATINALMA]]*DST_123_ÜRETİM_İHTİYAÇ_RAPORU_BURAK_YENI1309[[#This Row],[BIRIM_FIYATLAR]])</f>
        <v>27807.000000000004</v>
      </c>
      <c r="N3397">
        <v>19500</v>
      </c>
      <c r="O3397" t="s">
        <v>762</v>
      </c>
      <c r="P3397">
        <v>2535</v>
      </c>
      <c r="Q3397" t="s">
        <v>181</v>
      </c>
    </row>
    <row r="3398" spans="1:17" x14ac:dyDescent="0.25">
      <c r="A3398" t="s">
        <v>1100</v>
      </c>
      <c r="B3398" t="s">
        <v>1058</v>
      </c>
      <c r="C3398" t="s">
        <v>175</v>
      </c>
      <c r="D3398" t="s">
        <v>319</v>
      </c>
      <c r="E3398" t="s">
        <v>320</v>
      </c>
      <c r="F3398">
        <v>0.105</v>
      </c>
      <c r="G3398" t="s">
        <v>186</v>
      </c>
      <c r="H3398">
        <v>0.105</v>
      </c>
      <c r="I3398">
        <v>0</v>
      </c>
      <c r="J3398" s="10">
        <v>4.5430000000000446</v>
      </c>
      <c r="K3398" s="10">
        <f>SUMIFS(F:F,D:D,DST_123_ÜRETİM_İHTİYAÇ_RAPORU_BURAK_YENI1309[[#This Row],[ALT_KOD]])-(SUMIFS(H:H,D:D,DST_123_ÜRETİM_İHTİYAÇ_RAPORU_BURAK_YENI1309[[#This Row],[ALT_KOD]])+AVERAGEIFS(I:I,D:D,DST_123_ÜRETİM_İHTİYAÇ_RAPORU_BURAK_YENI1309[[#This Row],[ALT_KOD]])+AVERAGEIFS(L:L,D:D,DST_123_ÜRETİM_İHTİYAÇ_RAPORU_BURAK_YENI1309[[#This Row],[ALT_KOD]]))</f>
        <v>1.4260000000000002</v>
      </c>
      <c r="L3398">
        <v>0</v>
      </c>
      <c r="M3398">
        <f>IF((DST_123_ÜRETİM_İHTİYAÇ_RAPORU_BURAK_YENI1309[[#This Row],[SATINALMA]]*DST_123_ÜRETİM_İHTİYAÇ_RAPORU_BURAK_YENI1309[[#This Row],[BIRIM_FIYATLAR]])&lt;1,VALUE("0"),DST_123_ÜRETİM_İHTİYAÇ_RAPORU_BURAK_YENI1309[[#This Row],[SATINALMA]]*DST_123_ÜRETİM_İHTİYAÇ_RAPORU_BURAK_YENI1309[[#This Row],[BIRIM_FIYATLAR]])</f>
        <v>27807.000000000004</v>
      </c>
      <c r="N3398">
        <v>19500</v>
      </c>
      <c r="O3398" t="s">
        <v>762</v>
      </c>
      <c r="P3398">
        <v>2047.5</v>
      </c>
      <c r="Q3398" t="s">
        <v>181</v>
      </c>
    </row>
    <row r="3399" spans="1:17" x14ac:dyDescent="0.25">
      <c r="A3399" t="s">
        <v>1143</v>
      </c>
      <c r="B3399" t="s">
        <v>1056</v>
      </c>
      <c r="C3399" t="s">
        <v>175</v>
      </c>
      <c r="D3399" t="s">
        <v>145</v>
      </c>
      <c r="E3399" t="s">
        <v>146</v>
      </c>
      <c r="F3399">
        <v>3</v>
      </c>
      <c r="G3399" t="s">
        <v>176</v>
      </c>
      <c r="H3399">
        <v>0</v>
      </c>
      <c r="I3399">
        <v>0</v>
      </c>
      <c r="J3399" s="10">
        <v>4.0000000000000497</v>
      </c>
      <c r="K3399" s="10">
        <f>SUMIFS(F:F,D:D,DST_123_ÜRETİM_İHTİYAÇ_RAPORU_BURAK_YENI1309[[#This Row],[ALT_KOD]])-(SUMIFS(H:H,D:D,DST_123_ÜRETİM_İHTİYAÇ_RAPORU_BURAK_YENI1309[[#This Row],[ALT_KOD]])+AVERAGEIFS(I:I,D:D,DST_123_ÜRETİM_İHTİYAÇ_RAPORU_BURAK_YENI1309[[#This Row],[ALT_KOD]])+AVERAGEIFS(L:L,D:D,DST_123_ÜRETİM_İHTİYAÇ_RAPORU_BURAK_YENI1309[[#This Row],[ALT_KOD]]))</f>
        <v>28.999999999999993</v>
      </c>
      <c r="L3399">
        <v>22</v>
      </c>
      <c r="M3399">
        <f>IF((DST_123_ÜRETİM_İHTİYAÇ_RAPORU_BURAK_YENI1309[[#This Row],[SATINALMA]]*DST_123_ÜRETİM_İHTİYAÇ_RAPORU_BURAK_YENI1309[[#This Row],[BIRIM_FIYATLAR]])&lt;1,VALUE("0"),DST_123_ÜRETİM_İHTİYAÇ_RAPORU_BURAK_YENI1309[[#This Row],[SATINALMA]]*DST_123_ÜRETİM_İHTİYAÇ_RAPORU_BURAK_YENI1309[[#This Row],[BIRIM_FIYATLAR]])</f>
        <v>30208.429999999993</v>
      </c>
      <c r="N3399">
        <v>1041.67</v>
      </c>
      <c r="O3399" t="s">
        <v>223</v>
      </c>
      <c r="P3399">
        <v>3125.01</v>
      </c>
      <c r="Q3399" t="s">
        <v>181</v>
      </c>
    </row>
    <row r="3400" spans="1:17" x14ac:dyDescent="0.25">
      <c r="A3400" t="s">
        <v>1059</v>
      </c>
      <c r="B3400" t="s">
        <v>1058</v>
      </c>
      <c r="C3400" t="s">
        <v>175</v>
      </c>
      <c r="D3400" t="s">
        <v>836</v>
      </c>
      <c r="E3400" t="s">
        <v>837</v>
      </c>
      <c r="F3400">
        <v>20</v>
      </c>
      <c r="G3400" t="s">
        <v>179</v>
      </c>
      <c r="H3400">
        <v>0</v>
      </c>
      <c r="I3400">
        <v>0</v>
      </c>
      <c r="J3400" s="10">
        <v>0</v>
      </c>
      <c r="K3400" s="10">
        <f>SUMIFS(F:F,D:D,DST_123_ÜRETİM_İHTİYAÇ_RAPORU_BURAK_YENI1309[[#This Row],[ALT_KOD]])-(SUMIFS(H:H,D:D,DST_123_ÜRETİM_İHTİYAÇ_RAPORU_BURAK_YENI1309[[#This Row],[ALT_KOD]])+AVERAGEIFS(I:I,D:D,DST_123_ÜRETİM_İHTİYAÇ_RAPORU_BURAK_YENI1309[[#This Row],[ALT_KOD]])+AVERAGEIFS(L:L,D:D,DST_123_ÜRETİM_İHTİYAÇ_RAPORU_BURAK_YENI1309[[#This Row],[ALT_KOD]]))</f>
        <v>1760</v>
      </c>
      <c r="L3400">
        <v>0</v>
      </c>
      <c r="M3400">
        <f>IF((DST_123_ÜRETİM_İHTİYAÇ_RAPORU_BURAK_YENI1309[[#This Row],[SATINALMA]]*DST_123_ÜRETİM_İHTİYAÇ_RAPORU_BURAK_YENI1309[[#This Row],[BIRIM_FIYATLAR]])&lt;1,VALUE("0"),DST_123_ÜRETİM_İHTİYAÇ_RAPORU_BURAK_YENI1309[[#This Row],[SATINALMA]]*DST_123_ÜRETİM_İHTİYAÇ_RAPORU_BURAK_YENI1309[[#This Row],[BIRIM_FIYATLAR]])</f>
        <v>0</v>
      </c>
      <c r="N3400">
        <v>0</v>
      </c>
      <c r="P3400">
        <v>0</v>
      </c>
      <c r="Q3400" t="s">
        <v>184</v>
      </c>
    </row>
    <row r="3401" spans="1:17" x14ac:dyDescent="0.25">
      <c r="A3401" t="s">
        <v>1143</v>
      </c>
      <c r="B3401" t="s">
        <v>1056</v>
      </c>
      <c r="C3401" t="s">
        <v>175</v>
      </c>
      <c r="D3401" t="s">
        <v>319</v>
      </c>
      <c r="E3401" t="s">
        <v>320</v>
      </c>
      <c r="F3401">
        <v>0.14400000000000002</v>
      </c>
      <c r="G3401" t="s">
        <v>186</v>
      </c>
      <c r="H3401">
        <v>0</v>
      </c>
      <c r="I3401">
        <v>0</v>
      </c>
      <c r="J3401" s="10">
        <v>4.5430000000000446</v>
      </c>
      <c r="K3401" s="10">
        <f>SUMIFS(F:F,D:D,DST_123_ÜRETİM_İHTİYAÇ_RAPORU_BURAK_YENI1309[[#This Row],[ALT_KOD]])-(SUMIFS(H:H,D:D,DST_123_ÜRETİM_İHTİYAÇ_RAPORU_BURAK_YENI1309[[#This Row],[ALT_KOD]])+AVERAGEIFS(I:I,D:D,DST_123_ÜRETİM_İHTİYAÇ_RAPORU_BURAK_YENI1309[[#This Row],[ALT_KOD]])+AVERAGEIFS(L:L,D:D,DST_123_ÜRETİM_İHTİYAÇ_RAPORU_BURAK_YENI1309[[#This Row],[ALT_KOD]]))</f>
        <v>1.4260000000000002</v>
      </c>
      <c r="L3401">
        <v>0</v>
      </c>
      <c r="M3401">
        <f>IF((DST_123_ÜRETİM_İHTİYAÇ_RAPORU_BURAK_YENI1309[[#This Row],[SATINALMA]]*DST_123_ÜRETİM_İHTİYAÇ_RAPORU_BURAK_YENI1309[[#This Row],[BIRIM_FIYATLAR]])&lt;1,VALUE("0"),DST_123_ÜRETİM_İHTİYAÇ_RAPORU_BURAK_YENI1309[[#This Row],[SATINALMA]]*DST_123_ÜRETİM_İHTİYAÇ_RAPORU_BURAK_YENI1309[[#This Row],[BIRIM_FIYATLAR]])</f>
        <v>27807.000000000004</v>
      </c>
      <c r="N3401">
        <v>19500</v>
      </c>
      <c r="O3401" t="s">
        <v>762</v>
      </c>
      <c r="P3401">
        <v>2808.0000000000005</v>
      </c>
      <c r="Q3401" t="s">
        <v>181</v>
      </c>
    </row>
    <row r="3402" spans="1:17" x14ac:dyDescent="0.25">
      <c r="A3402" t="s">
        <v>1150</v>
      </c>
      <c r="B3402" t="s">
        <v>1145</v>
      </c>
      <c r="C3402" t="s">
        <v>175</v>
      </c>
      <c r="D3402" t="s">
        <v>120</v>
      </c>
      <c r="E3402" t="s">
        <v>311</v>
      </c>
      <c r="F3402">
        <v>1.5</v>
      </c>
      <c r="G3402" t="s">
        <v>176</v>
      </c>
      <c r="H3402">
        <v>0</v>
      </c>
      <c r="I3402">
        <v>24</v>
      </c>
      <c r="J3402" s="10">
        <v>18.499999999999982</v>
      </c>
      <c r="K3402" s="10">
        <f>SUMIFS(F:F,D:D,DST_123_ÜRETİM_İHTİYAÇ_RAPORU_BURAK_YENI1309[[#This Row],[ALT_KOD]])-(SUMIFS(H:H,D:D,DST_123_ÜRETİM_İHTİYAÇ_RAPORU_BURAK_YENI1309[[#This Row],[ALT_KOD]])+AVERAGEIFS(I:I,D:D,DST_123_ÜRETİM_İHTİYAÇ_RAPORU_BURAK_YENI1309[[#This Row],[ALT_KOD]])+AVERAGEIFS(L:L,D:D,DST_123_ÜRETİM_İHTİYAÇ_RAPORU_BURAK_YENI1309[[#This Row],[ALT_KOD]]))</f>
        <v>3.899999999999995</v>
      </c>
      <c r="L3402">
        <v>0</v>
      </c>
      <c r="M3402">
        <f>IF((DST_123_ÜRETİM_İHTİYAÇ_RAPORU_BURAK_YENI1309[[#This Row],[SATINALMA]]*DST_123_ÜRETİM_İHTİYAÇ_RAPORU_BURAK_YENI1309[[#This Row],[BIRIM_FIYATLAR]])&lt;1,VALUE("0"),DST_123_ÜRETİM_İHTİYAÇ_RAPORU_BURAK_YENI1309[[#This Row],[SATINALMA]]*DST_123_ÜRETİM_İHTİYAÇ_RAPORU_BURAK_YENI1309[[#This Row],[BIRIM_FIYATLAR]])</f>
        <v>467.99999999999943</v>
      </c>
      <c r="N3402">
        <v>120</v>
      </c>
      <c r="O3402" t="s">
        <v>240</v>
      </c>
      <c r="P3402">
        <v>180</v>
      </c>
      <c r="Q3402" t="s">
        <v>183</v>
      </c>
    </row>
    <row r="3403" spans="1:17" x14ac:dyDescent="0.25">
      <c r="A3403" t="s">
        <v>1150</v>
      </c>
      <c r="B3403" t="s">
        <v>1145</v>
      </c>
      <c r="C3403" t="s">
        <v>175</v>
      </c>
      <c r="D3403" t="s">
        <v>766</v>
      </c>
      <c r="E3403" t="s">
        <v>767</v>
      </c>
      <c r="F3403">
        <v>6</v>
      </c>
      <c r="G3403" t="s">
        <v>176</v>
      </c>
      <c r="H3403">
        <v>0</v>
      </c>
      <c r="I3403">
        <v>0</v>
      </c>
      <c r="J3403" s="10">
        <v>0</v>
      </c>
      <c r="K3403" s="10">
        <f>SUMIFS(F:F,D:D,DST_123_ÜRETİM_İHTİYAÇ_RAPORU_BURAK_YENI1309[[#This Row],[ALT_KOD]])-(SUMIFS(H:H,D:D,DST_123_ÜRETİM_İHTİYAÇ_RAPORU_BURAK_YENI1309[[#This Row],[ALT_KOD]])+AVERAGEIFS(I:I,D:D,DST_123_ÜRETİM_İHTİYAÇ_RAPORU_BURAK_YENI1309[[#This Row],[ALT_KOD]])+AVERAGEIFS(L:L,D:D,DST_123_ÜRETİM_İHTİYAÇ_RAPORU_BURAK_YENI1309[[#This Row],[ALT_KOD]]))</f>
        <v>54</v>
      </c>
      <c r="L3403">
        <v>0</v>
      </c>
      <c r="M3403">
        <f>IF((DST_123_ÜRETİM_İHTİYAÇ_RAPORU_BURAK_YENI1309[[#This Row],[SATINALMA]]*DST_123_ÜRETİM_İHTİYAÇ_RAPORU_BURAK_YENI1309[[#This Row],[BIRIM_FIYATLAR]])&lt;1,VALUE("0"),DST_123_ÜRETİM_İHTİYAÇ_RAPORU_BURAK_YENI1309[[#This Row],[SATINALMA]]*DST_123_ÜRETİM_İHTİYAÇ_RAPORU_BURAK_YENI1309[[#This Row],[BIRIM_FIYATLAR]])</f>
        <v>37.799999999999997</v>
      </c>
      <c r="N3403">
        <v>0.7</v>
      </c>
      <c r="O3403" t="s">
        <v>220</v>
      </c>
      <c r="P3403">
        <v>4.1999999999999993</v>
      </c>
      <c r="Q3403" t="s">
        <v>221</v>
      </c>
    </row>
    <row r="3404" spans="1:17" x14ac:dyDescent="0.25">
      <c r="A3404" t="s">
        <v>1059</v>
      </c>
      <c r="B3404" t="s">
        <v>1058</v>
      </c>
      <c r="C3404" t="s">
        <v>175</v>
      </c>
      <c r="D3404" t="s">
        <v>139</v>
      </c>
      <c r="E3404" t="s">
        <v>140</v>
      </c>
      <c r="F3404">
        <v>0.5</v>
      </c>
      <c r="G3404" t="s">
        <v>176</v>
      </c>
      <c r="H3404">
        <v>0</v>
      </c>
      <c r="I3404">
        <v>0</v>
      </c>
      <c r="J3404" s="10">
        <v>6.1000000000000023</v>
      </c>
      <c r="K3404" s="10">
        <f>SUMIFS(F:F,D:D,DST_123_ÜRETİM_İHTİYAÇ_RAPORU_BURAK_YENI1309[[#This Row],[ALT_KOD]])-(SUMIFS(H:H,D:D,DST_123_ÜRETİM_İHTİYAÇ_RAPORU_BURAK_YENI1309[[#This Row],[ALT_KOD]])+AVERAGEIFS(I:I,D:D,DST_123_ÜRETİM_İHTİYAÇ_RAPORU_BURAK_YENI1309[[#This Row],[ALT_KOD]])+AVERAGEIFS(L:L,D:D,DST_123_ÜRETİM_İHTİYAÇ_RAPORU_BURAK_YENI1309[[#This Row],[ALT_KOD]]))</f>
        <v>8.8000000000000007</v>
      </c>
      <c r="L3404">
        <v>5</v>
      </c>
      <c r="M3404">
        <f>IF((DST_123_ÜRETİM_İHTİYAÇ_RAPORU_BURAK_YENI1309[[#This Row],[SATINALMA]]*DST_123_ÜRETİM_İHTİYAÇ_RAPORU_BURAK_YENI1309[[#This Row],[BIRIM_FIYATLAR]])&lt;1,VALUE("0"),DST_123_ÜRETİM_İHTİYAÇ_RAPORU_BURAK_YENI1309[[#This Row],[SATINALMA]]*DST_123_ÜRETİM_İHTİYAÇ_RAPORU_BURAK_YENI1309[[#This Row],[BIRIM_FIYATLAR]])</f>
        <v>6056.1600000000008</v>
      </c>
      <c r="N3404">
        <v>688.2</v>
      </c>
      <c r="O3404" t="s">
        <v>672</v>
      </c>
      <c r="P3404">
        <v>344.1</v>
      </c>
      <c r="Q3404" t="s">
        <v>184</v>
      </c>
    </row>
    <row r="3405" spans="1:17" x14ac:dyDescent="0.25">
      <c r="A3405" t="s">
        <v>1142</v>
      </c>
      <c r="B3405" t="s">
        <v>1056</v>
      </c>
      <c r="C3405" t="s">
        <v>175</v>
      </c>
      <c r="D3405" t="s">
        <v>145</v>
      </c>
      <c r="E3405" t="s">
        <v>146</v>
      </c>
      <c r="F3405">
        <v>3</v>
      </c>
      <c r="G3405" t="s">
        <v>176</v>
      </c>
      <c r="H3405">
        <v>0</v>
      </c>
      <c r="I3405">
        <v>0</v>
      </c>
      <c r="J3405" s="10">
        <v>4.0000000000000497</v>
      </c>
      <c r="K3405" s="10">
        <f>SUMIFS(F:F,D:D,DST_123_ÜRETİM_İHTİYAÇ_RAPORU_BURAK_YENI1309[[#This Row],[ALT_KOD]])-(SUMIFS(H:H,D:D,DST_123_ÜRETİM_İHTİYAÇ_RAPORU_BURAK_YENI1309[[#This Row],[ALT_KOD]])+AVERAGEIFS(I:I,D:D,DST_123_ÜRETİM_İHTİYAÇ_RAPORU_BURAK_YENI1309[[#This Row],[ALT_KOD]])+AVERAGEIFS(L:L,D:D,DST_123_ÜRETİM_İHTİYAÇ_RAPORU_BURAK_YENI1309[[#This Row],[ALT_KOD]]))</f>
        <v>28.999999999999993</v>
      </c>
      <c r="L3405">
        <v>22</v>
      </c>
      <c r="M3405">
        <f>IF((DST_123_ÜRETİM_İHTİYAÇ_RAPORU_BURAK_YENI1309[[#This Row],[SATINALMA]]*DST_123_ÜRETİM_İHTİYAÇ_RAPORU_BURAK_YENI1309[[#This Row],[BIRIM_FIYATLAR]])&lt;1,VALUE("0"),DST_123_ÜRETİM_İHTİYAÇ_RAPORU_BURAK_YENI1309[[#This Row],[SATINALMA]]*DST_123_ÜRETİM_İHTİYAÇ_RAPORU_BURAK_YENI1309[[#This Row],[BIRIM_FIYATLAR]])</f>
        <v>30208.429999999993</v>
      </c>
      <c r="N3405">
        <v>1041.67</v>
      </c>
      <c r="O3405" t="s">
        <v>223</v>
      </c>
      <c r="P3405">
        <v>3125.01</v>
      </c>
      <c r="Q3405" t="s">
        <v>181</v>
      </c>
    </row>
    <row r="3406" spans="1:17" x14ac:dyDescent="0.25">
      <c r="A3406" t="s">
        <v>1196</v>
      </c>
      <c r="B3406" t="s">
        <v>1197</v>
      </c>
      <c r="C3406" t="s">
        <v>175</v>
      </c>
      <c r="D3406" t="s">
        <v>268</v>
      </c>
      <c r="E3406" t="s">
        <v>588</v>
      </c>
      <c r="F3406">
        <v>1</v>
      </c>
      <c r="G3406" t="s">
        <v>176</v>
      </c>
      <c r="H3406">
        <v>0</v>
      </c>
      <c r="I3406">
        <v>1</v>
      </c>
      <c r="J3406" s="10">
        <v>11</v>
      </c>
      <c r="K3406" s="10">
        <f>SUMIFS(F:F,D:D,DST_123_ÜRETİM_İHTİYAÇ_RAPORU_BURAK_YENI1309[[#This Row],[ALT_KOD]])-(SUMIFS(H:H,D:D,DST_123_ÜRETİM_İHTİYAÇ_RAPORU_BURAK_YENI1309[[#This Row],[ALT_KOD]])+AVERAGEIFS(I:I,D:D,DST_123_ÜRETİM_İHTİYAÇ_RAPORU_BURAK_YENI1309[[#This Row],[ALT_KOD]])+AVERAGEIFS(L:L,D:D,DST_123_ÜRETİM_İHTİYAÇ_RAPORU_BURAK_YENI1309[[#This Row],[ALT_KOD]]))</f>
        <v>16</v>
      </c>
      <c r="L3406">
        <v>0</v>
      </c>
      <c r="M3406">
        <f>IF((DST_123_ÜRETİM_İHTİYAÇ_RAPORU_BURAK_YENI1309[[#This Row],[SATINALMA]]*DST_123_ÜRETİM_İHTİYAÇ_RAPORU_BURAK_YENI1309[[#This Row],[BIRIM_FIYATLAR]])&lt;1,VALUE("0"),DST_123_ÜRETİM_İHTİYAÇ_RAPORU_BURAK_YENI1309[[#This Row],[SATINALMA]]*DST_123_ÜRETİM_İHTİYAÇ_RAPORU_BURAK_YENI1309[[#This Row],[BIRIM_FIYATLAR]])</f>
        <v>212968.32000000001</v>
      </c>
      <c r="N3406">
        <v>13310.52</v>
      </c>
      <c r="O3406" t="s">
        <v>589</v>
      </c>
      <c r="P3406">
        <v>13310.52</v>
      </c>
      <c r="Q3406" t="s">
        <v>177</v>
      </c>
    </row>
    <row r="3407" spans="1:17" x14ac:dyDescent="0.25">
      <c r="A3407" t="s">
        <v>1099</v>
      </c>
      <c r="B3407" t="s">
        <v>1055</v>
      </c>
      <c r="C3407" t="s">
        <v>175</v>
      </c>
      <c r="D3407" t="s">
        <v>268</v>
      </c>
      <c r="E3407" t="s">
        <v>588</v>
      </c>
      <c r="F3407">
        <v>1</v>
      </c>
      <c r="G3407" t="s">
        <v>176</v>
      </c>
      <c r="H3407">
        <v>0</v>
      </c>
      <c r="I3407">
        <v>1</v>
      </c>
      <c r="J3407" s="10">
        <v>11</v>
      </c>
      <c r="K3407" s="10">
        <f>SUMIFS(F:F,D:D,DST_123_ÜRETİM_İHTİYAÇ_RAPORU_BURAK_YENI1309[[#This Row],[ALT_KOD]])-(SUMIFS(H:H,D:D,DST_123_ÜRETİM_İHTİYAÇ_RAPORU_BURAK_YENI1309[[#This Row],[ALT_KOD]])+AVERAGEIFS(I:I,D:D,DST_123_ÜRETİM_İHTİYAÇ_RAPORU_BURAK_YENI1309[[#This Row],[ALT_KOD]])+AVERAGEIFS(L:L,D:D,DST_123_ÜRETİM_İHTİYAÇ_RAPORU_BURAK_YENI1309[[#This Row],[ALT_KOD]]))</f>
        <v>16</v>
      </c>
      <c r="L3407">
        <v>0</v>
      </c>
      <c r="M3407">
        <f>IF((DST_123_ÜRETİM_İHTİYAÇ_RAPORU_BURAK_YENI1309[[#This Row],[SATINALMA]]*DST_123_ÜRETİM_İHTİYAÇ_RAPORU_BURAK_YENI1309[[#This Row],[BIRIM_FIYATLAR]])&lt;1,VALUE("0"),DST_123_ÜRETİM_İHTİYAÇ_RAPORU_BURAK_YENI1309[[#This Row],[SATINALMA]]*DST_123_ÜRETİM_İHTİYAÇ_RAPORU_BURAK_YENI1309[[#This Row],[BIRIM_FIYATLAR]])</f>
        <v>212968.32000000001</v>
      </c>
      <c r="N3407">
        <v>13310.52</v>
      </c>
      <c r="O3407" t="s">
        <v>589</v>
      </c>
      <c r="P3407">
        <v>13310.52</v>
      </c>
      <c r="Q3407" t="s">
        <v>177</v>
      </c>
    </row>
    <row r="3408" spans="1:17" x14ac:dyDescent="0.25">
      <c r="A3408" t="s">
        <v>1099</v>
      </c>
      <c r="B3408" t="s">
        <v>1055</v>
      </c>
      <c r="C3408" t="s">
        <v>175</v>
      </c>
      <c r="D3408" t="s">
        <v>153</v>
      </c>
      <c r="E3408" t="s">
        <v>154</v>
      </c>
      <c r="F3408">
        <v>6</v>
      </c>
      <c r="G3408" t="s">
        <v>176</v>
      </c>
      <c r="H3408">
        <v>6</v>
      </c>
      <c r="I3408">
        <v>46</v>
      </c>
      <c r="J3408" s="10">
        <v>26</v>
      </c>
      <c r="K3408" s="10">
        <f>SUMIFS(F:F,D:D,DST_123_ÜRETİM_İHTİYAÇ_RAPORU_BURAK_YENI1309[[#This Row],[ALT_KOD]])-(SUMIFS(H:H,D:D,DST_123_ÜRETİM_İHTİYAÇ_RAPORU_BURAK_YENI1309[[#This Row],[ALT_KOD]])+AVERAGEIFS(I:I,D:D,DST_123_ÜRETİM_İHTİYAÇ_RAPORU_BURAK_YENI1309[[#This Row],[ALT_KOD]])+AVERAGEIFS(L:L,D:D,DST_123_ÜRETİM_İHTİYAÇ_RAPORU_BURAK_YENI1309[[#This Row],[ALT_KOD]]))</f>
        <v>-24</v>
      </c>
      <c r="L3408">
        <v>0</v>
      </c>
      <c r="M3408">
        <f>IF((DST_123_ÜRETİM_İHTİYAÇ_RAPORU_BURAK_YENI1309[[#This Row],[SATINALMA]]*DST_123_ÜRETİM_İHTİYAÇ_RAPORU_BURAK_YENI1309[[#This Row],[BIRIM_FIYATLAR]])&lt;1,VALUE("0"),DST_123_ÜRETİM_İHTİYAÇ_RAPORU_BURAK_YENI1309[[#This Row],[SATINALMA]]*DST_123_ÜRETİM_İHTİYAÇ_RAPORU_BURAK_YENI1309[[#This Row],[BIRIM_FIYATLAR]])</f>
        <v>0</v>
      </c>
      <c r="N3408">
        <v>199.45</v>
      </c>
      <c r="O3408" t="s">
        <v>275</v>
      </c>
      <c r="P3408">
        <v>1196.6999999999998</v>
      </c>
      <c r="Q3408" t="s">
        <v>180</v>
      </c>
    </row>
    <row r="3409" spans="1:17" x14ac:dyDescent="0.25">
      <c r="A3409" t="s">
        <v>1060</v>
      </c>
      <c r="B3409" t="s">
        <v>1061</v>
      </c>
      <c r="C3409" t="s">
        <v>175</v>
      </c>
      <c r="D3409" t="s">
        <v>155</v>
      </c>
      <c r="E3409" t="s">
        <v>156</v>
      </c>
      <c r="F3409">
        <v>1</v>
      </c>
      <c r="G3409" t="s">
        <v>179</v>
      </c>
      <c r="H3409">
        <v>0</v>
      </c>
      <c r="I3409">
        <v>200</v>
      </c>
      <c r="J3409" s="10">
        <v>74.999999999999957</v>
      </c>
      <c r="K3409" s="10">
        <f>SUMIFS(F:F,D:D,DST_123_ÜRETİM_İHTİYAÇ_RAPORU_BURAK_YENI1309[[#This Row],[ALT_KOD]])-(SUMIFS(H:H,D:D,DST_123_ÜRETİM_İHTİYAÇ_RAPORU_BURAK_YENI1309[[#This Row],[ALT_KOD]])+AVERAGEIFS(I:I,D:D,DST_123_ÜRETİM_İHTİYAÇ_RAPORU_BURAK_YENI1309[[#This Row],[ALT_KOD]])+AVERAGEIFS(L:L,D:D,DST_123_ÜRETİM_İHTİYAÇ_RAPORU_BURAK_YENI1309[[#This Row],[ALT_KOD]]))</f>
        <v>-198.95</v>
      </c>
      <c r="L3409">
        <v>0</v>
      </c>
      <c r="M3409">
        <f>IF((DST_123_ÜRETİM_İHTİYAÇ_RAPORU_BURAK_YENI1309[[#This Row],[SATINALMA]]*DST_123_ÜRETİM_İHTİYAÇ_RAPORU_BURAK_YENI1309[[#This Row],[BIRIM_FIYATLAR]])&lt;1,VALUE("0"),DST_123_ÜRETİM_İHTİYAÇ_RAPORU_BURAK_YENI1309[[#This Row],[SATINALMA]]*DST_123_ÜRETİM_İHTİYAÇ_RAPORU_BURAK_YENI1309[[#This Row],[BIRIM_FIYATLAR]])</f>
        <v>0</v>
      </c>
      <c r="N3409">
        <v>7.4</v>
      </c>
      <c r="O3409" t="s">
        <v>635</v>
      </c>
      <c r="P3409">
        <v>7.4</v>
      </c>
      <c r="Q3409" t="s">
        <v>221</v>
      </c>
    </row>
    <row r="3410" spans="1:17" x14ac:dyDescent="0.25">
      <c r="A3410" t="s">
        <v>1147</v>
      </c>
      <c r="B3410" t="s">
        <v>1145</v>
      </c>
      <c r="C3410" t="s">
        <v>175</v>
      </c>
      <c r="D3410" t="s">
        <v>404</v>
      </c>
      <c r="E3410" t="s">
        <v>405</v>
      </c>
      <c r="F3410">
        <v>5</v>
      </c>
      <c r="G3410" t="s">
        <v>176</v>
      </c>
      <c r="H3410">
        <v>0</v>
      </c>
      <c r="I3410">
        <v>234</v>
      </c>
      <c r="J3410" s="10">
        <v>30</v>
      </c>
      <c r="K3410" s="10">
        <f>SUMIFS(F:F,D:D,DST_123_ÜRETİM_İHTİYAÇ_RAPORU_BURAK_YENI1309[[#This Row],[ALT_KOD]])-(SUMIFS(H:H,D:D,DST_123_ÜRETİM_İHTİYAÇ_RAPORU_BURAK_YENI1309[[#This Row],[ALT_KOD]])+AVERAGEIFS(I:I,D:D,DST_123_ÜRETİM_İHTİYAÇ_RAPORU_BURAK_YENI1309[[#This Row],[ALT_KOD]])+AVERAGEIFS(L:L,D:D,DST_123_ÜRETİM_İHTİYAÇ_RAPORU_BURAK_YENI1309[[#This Row],[ALT_KOD]]))</f>
        <v>-169</v>
      </c>
      <c r="L3410">
        <v>0</v>
      </c>
      <c r="M3410">
        <f>IF((DST_123_ÜRETİM_İHTİYAÇ_RAPORU_BURAK_YENI1309[[#This Row],[SATINALMA]]*DST_123_ÜRETİM_İHTİYAÇ_RAPORU_BURAK_YENI1309[[#This Row],[BIRIM_FIYATLAR]])&lt;1,VALUE("0"),DST_123_ÜRETİM_İHTİYAÇ_RAPORU_BURAK_YENI1309[[#This Row],[SATINALMA]]*DST_123_ÜRETİM_İHTİYAÇ_RAPORU_BURAK_YENI1309[[#This Row],[BIRIM_FIYATLAR]])</f>
        <v>0</v>
      </c>
      <c r="N3410">
        <v>15.21</v>
      </c>
      <c r="O3410" t="s">
        <v>826</v>
      </c>
      <c r="P3410">
        <v>76.050000000000011</v>
      </c>
      <c r="Q3410" t="s">
        <v>221</v>
      </c>
    </row>
    <row r="3411" spans="1:17" x14ac:dyDescent="0.25">
      <c r="A3411" t="s">
        <v>1148</v>
      </c>
      <c r="B3411" t="s">
        <v>1056</v>
      </c>
      <c r="C3411" t="s">
        <v>175</v>
      </c>
      <c r="D3411" t="s">
        <v>404</v>
      </c>
      <c r="E3411" t="s">
        <v>405</v>
      </c>
      <c r="F3411">
        <v>5</v>
      </c>
      <c r="G3411" t="s">
        <v>176</v>
      </c>
      <c r="H3411">
        <v>0</v>
      </c>
      <c r="I3411">
        <v>234</v>
      </c>
      <c r="J3411" s="10">
        <v>30</v>
      </c>
      <c r="K3411" s="10">
        <f>SUMIFS(F:F,D:D,DST_123_ÜRETİM_İHTİYAÇ_RAPORU_BURAK_YENI1309[[#This Row],[ALT_KOD]])-(SUMIFS(H:H,D:D,DST_123_ÜRETİM_İHTİYAÇ_RAPORU_BURAK_YENI1309[[#This Row],[ALT_KOD]])+AVERAGEIFS(I:I,D:D,DST_123_ÜRETİM_İHTİYAÇ_RAPORU_BURAK_YENI1309[[#This Row],[ALT_KOD]])+AVERAGEIFS(L:L,D:D,DST_123_ÜRETİM_İHTİYAÇ_RAPORU_BURAK_YENI1309[[#This Row],[ALT_KOD]]))</f>
        <v>-169</v>
      </c>
      <c r="L3411">
        <v>0</v>
      </c>
      <c r="M3411">
        <f>IF((DST_123_ÜRETİM_İHTİYAÇ_RAPORU_BURAK_YENI1309[[#This Row],[SATINALMA]]*DST_123_ÜRETİM_İHTİYAÇ_RAPORU_BURAK_YENI1309[[#This Row],[BIRIM_FIYATLAR]])&lt;1,VALUE("0"),DST_123_ÜRETİM_İHTİYAÇ_RAPORU_BURAK_YENI1309[[#This Row],[SATINALMA]]*DST_123_ÜRETİM_İHTİYAÇ_RAPORU_BURAK_YENI1309[[#This Row],[BIRIM_FIYATLAR]])</f>
        <v>0</v>
      </c>
      <c r="N3411">
        <v>15.21</v>
      </c>
      <c r="O3411" t="s">
        <v>826</v>
      </c>
      <c r="P3411">
        <v>76.050000000000011</v>
      </c>
      <c r="Q3411" t="s">
        <v>221</v>
      </c>
    </row>
    <row r="3412" spans="1:17" x14ac:dyDescent="0.25">
      <c r="A3412" t="s">
        <v>1148</v>
      </c>
      <c r="B3412" t="s">
        <v>1056</v>
      </c>
      <c r="C3412" t="s">
        <v>175</v>
      </c>
      <c r="D3412" t="s">
        <v>514</v>
      </c>
      <c r="E3412" t="s">
        <v>515</v>
      </c>
      <c r="F3412">
        <v>0.7</v>
      </c>
      <c r="G3412" t="s">
        <v>176</v>
      </c>
      <c r="H3412">
        <v>0</v>
      </c>
      <c r="I3412">
        <v>0</v>
      </c>
      <c r="J3412" s="10">
        <v>-1.7763568394002505E-15</v>
      </c>
      <c r="K3412" s="10">
        <f>SUMIFS(F:F,D:D,DST_123_ÜRETİM_İHTİYAÇ_RAPORU_BURAK_YENI1309[[#This Row],[ALT_KOD]])-(SUMIFS(H:H,D:D,DST_123_ÜRETİM_İHTİYAÇ_RAPORU_BURAK_YENI1309[[#This Row],[ALT_KOD]])+AVERAGEIFS(I:I,D:D,DST_123_ÜRETİM_İHTİYAÇ_RAPORU_BURAK_YENI1309[[#This Row],[ALT_KOD]])+AVERAGEIFS(L:L,D:D,DST_123_ÜRETİM_İHTİYAÇ_RAPORU_BURAK_YENI1309[[#This Row],[ALT_KOD]]))</f>
        <v>6.9999999999999991</v>
      </c>
      <c r="L3412">
        <v>0</v>
      </c>
      <c r="M3412">
        <f>IF((DST_123_ÜRETİM_İHTİYAÇ_RAPORU_BURAK_YENI1309[[#This Row],[SATINALMA]]*DST_123_ÜRETİM_İHTİYAÇ_RAPORU_BURAK_YENI1309[[#This Row],[BIRIM_FIYATLAR]])&lt;1,VALUE("0"),DST_123_ÜRETİM_İHTİYAÇ_RAPORU_BURAK_YENI1309[[#This Row],[SATINALMA]]*DST_123_ÜRETİM_İHTİYAÇ_RAPORU_BURAK_YENI1309[[#This Row],[BIRIM_FIYATLAR]])</f>
        <v>489.99999999999994</v>
      </c>
      <c r="N3412">
        <v>70</v>
      </c>
      <c r="O3412" t="s">
        <v>240</v>
      </c>
      <c r="P3412">
        <v>49</v>
      </c>
      <c r="Q3412" t="s">
        <v>180</v>
      </c>
    </row>
    <row r="3413" spans="1:17" x14ac:dyDescent="0.25">
      <c r="A3413" t="s">
        <v>1057</v>
      </c>
      <c r="B3413" t="s">
        <v>1058</v>
      </c>
      <c r="C3413" t="s">
        <v>175</v>
      </c>
      <c r="D3413" t="s">
        <v>207</v>
      </c>
      <c r="E3413" t="s">
        <v>281</v>
      </c>
      <c r="F3413">
        <v>2.5</v>
      </c>
      <c r="G3413" t="s">
        <v>176</v>
      </c>
      <c r="H3413">
        <v>2.5</v>
      </c>
      <c r="I3413">
        <v>52</v>
      </c>
      <c r="J3413" s="10">
        <v>10.269999999999982</v>
      </c>
      <c r="K3413" s="10">
        <f>SUMIFS(F:F,D:D,DST_123_ÜRETİM_İHTİYAÇ_RAPORU_BURAK_YENI1309[[#This Row],[ALT_KOD]])-(SUMIFS(H:H,D:D,DST_123_ÜRETİM_İHTİYAÇ_RAPORU_BURAK_YENI1309[[#This Row],[ALT_KOD]])+AVERAGEIFS(I:I,D:D,DST_123_ÜRETİM_İHTİYAÇ_RAPORU_BURAK_YENI1309[[#This Row],[ALT_KOD]])+AVERAGEIFS(L:L,D:D,DST_123_ÜRETİM_İHTİYAÇ_RAPORU_BURAK_YENI1309[[#This Row],[ALT_KOD]]))</f>
        <v>-5.0300000000000011</v>
      </c>
      <c r="L3413">
        <v>0</v>
      </c>
      <c r="M3413">
        <f>IF((DST_123_ÜRETİM_İHTİYAÇ_RAPORU_BURAK_YENI1309[[#This Row],[SATINALMA]]*DST_123_ÜRETİM_İHTİYAÇ_RAPORU_BURAK_YENI1309[[#This Row],[BIRIM_FIYATLAR]])&lt;1,VALUE("0"),DST_123_ÜRETİM_İHTİYAÇ_RAPORU_BURAK_YENI1309[[#This Row],[SATINALMA]]*DST_123_ÜRETİM_İHTİYAÇ_RAPORU_BURAK_YENI1309[[#This Row],[BIRIM_FIYATLAR]])</f>
        <v>0</v>
      </c>
      <c r="N3413">
        <v>28</v>
      </c>
      <c r="O3413" t="s">
        <v>240</v>
      </c>
      <c r="P3413">
        <v>70</v>
      </c>
      <c r="Q3413" t="s">
        <v>180</v>
      </c>
    </row>
    <row r="3414" spans="1:17" x14ac:dyDescent="0.25">
      <c r="A3414" t="s">
        <v>1148</v>
      </c>
      <c r="B3414" t="s">
        <v>1056</v>
      </c>
      <c r="C3414" t="s">
        <v>175</v>
      </c>
      <c r="D3414" t="s">
        <v>207</v>
      </c>
      <c r="E3414" t="s">
        <v>281</v>
      </c>
      <c r="F3414">
        <v>3.3900000000000006</v>
      </c>
      <c r="G3414" t="s">
        <v>176</v>
      </c>
      <c r="H3414">
        <v>0</v>
      </c>
      <c r="I3414">
        <v>52</v>
      </c>
      <c r="J3414" s="10">
        <v>10.269999999999982</v>
      </c>
      <c r="K3414" s="10">
        <f>SUMIFS(F:F,D:D,DST_123_ÜRETİM_İHTİYAÇ_RAPORU_BURAK_YENI1309[[#This Row],[ALT_KOD]])-(SUMIFS(H:H,D:D,DST_123_ÜRETİM_İHTİYAÇ_RAPORU_BURAK_YENI1309[[#This Row],[ALT_KOD]])+AVERAGEIFS(I:I,D:D,DST_123_ÜRETİM_İHTİYAÇ_RAPORU_BURAK_YENI1309[[#This Row],[ALT_KOD]])+AVERAGEIFS(L:L,D:D,DST_123_ÜRETİM_İHTİYAÇ_RAPORU_BURAK_YENI1309[[#This Row],[ALT_KOD]]))</f>
        <v>-5.0300000000000011</v>
      </c>
      <c r="L3414">
        <v>0</v>
      </c>
      <c r="M3414">
        <f>IF((DST_123_ÜRETİM_İHTİYAÇ_RAPORU_BURAK_YENI1309[[#This Row],[SATINALMA]]*DST_123_ÜRETİM_İHTİYAÇ_RAPORU_BURAK_YENI1309[[#This Row],[BIRIM_FIYATLAR]])&lt;1,VALUE("0"),DST_123_ÜRETİM_İHTİYAÇ_RAPORU_BURAK_YENI1309[[#This Row],[SATINALMA]]*DST_123_ÜRETİM_İHTİYAÇ_RAPORU_BURAK_YENI1309[[#This Row],[BIRIM_FIYATLAR]])</f>
        <v>0</v>
      </c>
      <c r="N3414">
        <v>28</v>
      </c>
      <c r="O3414" t="s">
        <v>240</v>
      </c>
      <c r="P3414">
        <v>94.920000000000016</v>
      </c>
      <c r="Q3414" t="s">
        <v>180</v>
      </c>
    </row>
    <row r="3415" spans="1:17" x14ac:dyDescent="0.25">
      <c r="A3415" t="s">
        <v>1179</v>
      </c>
      <c r="B3415" t="s">
        <v>1180</v>
      </c>
      <c r="C3415" t="s">
        <v>175</v>
      </c>
      <c r="D3415" t="s">
        <v>268</v>
      </c>
      <c r="E3415" t="s">
        <v>588</v>
      </c>
      <c r="F3415">
        <v>1</v>
      </c>
      <c r="G3415" t="s">
        <v>176</v>
      </c>
      <c r="H3415">
        <v>0</v>
      </c>
      <c r="I3415">
        <v>1</v>
      </c>
      <c r="J3415" s="10">
        <v>11</v>
      </c>
      <c r="K3415" s="10">
        <f>SUMIFS(F:F,D:D,DST_123_ÜRETİM_İHTİYAÇ_RAPORU_BURAK_YENI1309[[#This Row],[ALT_KOD]])-(SUMIFS(H:H,D:D,DST_123_ÜRETİM_İHTİYAÇ_RAPORU_BURAK_YENI1309[[#This Row],[ALT_KOD]])+AVERAGEIFS(I:I,D:D,DST_123_ÜRETİM_İHTİYAÇ_RAPORU_BURAK_YENI1309[[#This Row],[ALT_KOD]])+AVERAGEIFS(L:L,D:D,DST_123_ÜRETİM_İHTİYAÇ_RAPORU_BURAK_YENI1309[[#This Row],[ALT_KOD]]))</f>
        <v>16</v>
      </c>
      <c r="L3415">
        <v>0</v>
      </c>
      <c r="M3415">
        <f>IF((DST_123_ÜRETİM_İHTİYAÇ_RAPORU_BURAK_YENI1309[[#This Row],[SATINALMA]]*DST_123_ÜRETİM_İHTİYAÇ_RAPORU_BURAK_YENI1309[[#This Row],[BIRIM_FIYATLAR]])&lt;1,VALUE("0"),DST_123_ÜRETİM_İHTİYAÇ_RAPORU_BURAK_YENI1309[[#This Row],[SATINALMA]]*DST_123_ÜRETİM_İHTİYAÇ_RAPORU_BURAK_YENI1309[[#This Row],[BIRIM_FIYATLAR]])</f>
        <v>212968.32000000001</v>
      </c>
      <c r="N3415">
        <v>13310.52</v>
      </c>
      <c r="O3415" t="s">
        <v>589</v>
      </c>
      <c r="P3415">
        <v>13310.52</v>
      </c>
      <c r="Q3415" t="s">
        <v>177</v>
      </c>
    </row>
    <row r="3416" spans="1:17" x14ac:dyDescent="0.25">
      <c r="A3416" t="s">
        <v>1101</v>
      </c>
      <c r="B3416" t="s">
        <v>1102</v>
      </c>
      <c r="C3416" t="s">
        <v>175</v>
      </c>
      <c r="D3416" t="s">
        <v>268</v>
      </c>
      <c r="E3416" t="s">
        <v>588</v>
      </c>
      <c r="F3416">
        <v>1</v>
      </c>
      <c r="G3416" t="s">
        <v>176</v>
      </c>
      <c r="H3416">
        <v>0</v>
      </c>
      <c r="I3416">
        <v>1</v>
      </c>
      <c r="J3416" s="10">
        <v>11</v>
      </c>
      <c r="K3416" s="10">
        <f>SUMIFS(F:F,D:D,DST_123_ÜRETİM_İHTİYAÇ_RAPORU_BURAK_YENI1309[[#This Row],[ALT_KOD]])-(SUMIFS(H:H,D:D,DST_123_ÜRETİM_İHTİYAÇ_RAPORU_BURAK_YENI1309[[#This Row],[ALT_KOD]])+AVERAGEIFS(I:I,D:D,DST_123_ÜRETİM_İHTİYAÇ_RAPORU_BURAK_YENI1309[[#This Row],[ALT_KOD]])+AVERAGEIFS(L:L,D:D,DST_123_ÜRETİM_İHTİYAÇ_RAPORU_BURAK_YENI1309[[#This Row],[ALT_KOD]]))</f>
        <v>16</v>
      </c>
      <c r="L3416">
        <v>0</v>
      </c>
      <c r="M3416">
        <f>IF((DST_123_ÜRETİM_İHTİYAÇ_RAPORU_BURAK_YENI1309[[#This Row],[SATINALMA]]*DST_123_ÜRETİM_İHTİYAÇ_RAPORU_BURAK_YENI1309[[#This Row],[BIRIM_FIYATLAR]])&lt;1,VALUE("0"),DST_123_ÜRETİM_İHTİYAÇ_RAPORU_BURAK_YENI1309[[#This Row],[SATINALMA]]*DST_123_ÜRETİM_İHTİYAÇ_RAPORU_BURAK_YENI1309[[#This Row],[BIRIM_FIYATLAR]])</f>
        <v>212968.32000000001</v>
      </c>
      <c r="N3416">
        <v>13310.52</v>
      </c>
      <c r="O3416" t="s">
        <v>589</v>
      </c>
      <c r="P3416">
        <v>13310.52</v>
      </c>
      <c r="Q3416" t="s">
        <v>177</v>
      </c>
    </row>
    <row r="3417" spans="1:17" x14ac:dyDescent="0.25">
      <c r="A3417" t="s">
        <v>1144</v>
      </c>
      <c r="B3417" t="s">
        <v>1145</v>
      </c>
      <c r="C3417" t="s">
        <v>175</v>
      </c>
      <c r="D3417" t="s">
        <v>268</v>
      </c>
      <c r="E3417" t="s">
        <v>588</v>
      </c>
      <c r="F3417">
        <v>1</v>
      </c>
      <c r="G3417" t="s">
        <v>176</v>
      </c>
      <c r="H3417">
        <v>0</v>
      </c>
      <c r="I3417">
        <v>1</v>
      </c>
      <c r="J3417" s="10">
        <v>11</v>
      </c>
      <c r="K3417" s="10">
        <f>SUMIFS(F:F,D:D,DST_123_ÜRETİM_İHTİYAÇ_RAPORU_BURAK_YENI1309[[#This Row],[ALT_KOD]])-(SUMIFS(H:H,D:D,DST_123_ÜRETİM_İHTİYAÇ_RAPORU_BURAK_YENI1309[[#This Row],[ALT_KOD]])+AVERAGEIFS(I:I,D:D,DST_123_ÜRETİM_İHTİYAÇ_RAPORU_BURAK_YENI1309[[#This Row],[ALT_KOD]])+AVERAGEIFS(L:L,D:D,DST_123_ÜRETİM_İHTİYAÇ_RAPORU_BURAK_YENI1309[[#This Row],[ALT_KOD]]))</f>
        <v>16</v>
      </c>
      <c r="L3417">
        <v>0</v>
      </c>
      <c r="M3417">
        <f>IF((DST_123_ÜRETİM_İHTİYAÇ_RAPORU_BURAK_YENI1309[[#This Row],[SATINALMA]]*DST_123_ÜRETİM_İHTİYAÇ_RAPORU_BURAK_YENI1309[[#This Row],[BIRIM_FIYATLAR]])&lt;1,VALUE("0"),DST_123_ÜRETİM_İHTİYAÇ_RAPORU_BURAK_YENI1309[[#This Row],[SATINALMA]]*DST_123_ÜRETİM_İHTİYAÇ_RAPORU_BURAK_YENI1309[[#This Row],[BIRIM_FIYATLAR]])</f>
        <v>212968.32000000001</v>
      </c>
      <c r="N3417">
        <v>13310.52</v>
      </c>
      <c r="O3417" t="s">
        <v>589</v>
      </c>
      <c r="P3417">
        <v>13310.52</v>
      </c>
      <c r="Q3417" t="s">
        <v>177</v>
      </c>
    </row>
    <row r="3418" spans="1:17" x14ac:dyDescent="0.25">
      <c r="A3418" t="s">
        <v>1146</v>
      </c>
      <c r="B3418" t="s">
        <v>1145</v>
      </c>
      <c r="C3418" t="s">
        <v>175</v>
      </c>
      <c r="D3418" t="s">
        <v>268</v>
      </c>
      <c r="E3418" t="s">
        <v>588</v>
      </c>
      <c r="F3418">
        <v>1</v>
      </c>
      <c r="G3418" t="s">
        <v>176</v>
      </c>
      <c r="H3418">
        <v>0</v>
      </c>
      <c r="I3418">
        <v>1</v>
      </c>
      <c r="J3418" s="10">
        <v>11</v>
      </c>
      <c r="K3418" s="10">
        <f>SUMIFS(F:F,D:D,DST_123_ÜRETİM_İHTİYAÇ_RAPORU_BURAK_YENI1309[[#This Row],[ALT_KOD]])-(SUMIFS(H:H,D:D,DST_123_ÜRETİM_İHTİYAÇ_RAPORU_BURAK_YENI1309[[#This Row],[ALT_KOD]])+AVERAGEIFS(I:I,D:D,DST_123_ÜRETİM_İHTİYAÇ_RAPORU_BURAK_YENI1309[[#This Row],[ALT_KOD]])+AVERAGEIFS(L:L,D:D,DST_123_ÜRETİM_İHTİYAÇ_RAPORU_BURAK_YENI1309[[#This Row],[ALT_KOD]]))</f>
        <v>16</v>
      </c>
      <c r="L3418">
        <v>0</v>
      </c>
      <c r="M3418">
        <f>IF((DST_123_ÜRETİM_İHTİYAÇ_RAPORU_BURAK_YENI1309[[#This Row],[SATINALMA]]*DST_123_ÜRETİM_İHTİYAÇ_RAPORU_BURAK_YENI1309[[#This Row],[BIRIM_FIYATLAR]])&lt;1,VALUE("0"),DST_123_ÜRETİM_İHTİYAÇ_RAPORU_BURAK_YENI1309[[#This Row],[SATINALMA]]*DST_123_ÜRETİM_İHTİYAÇ_RAPORU_BURAK_YENI1309[[#This Row],[BIRIM_FIYATLAR]])</f>
        <v>212968.32000000001</v>
      </c>
      <c r="N3418">
        <v>13310.52</v>
      </c>
      <c r="O3418" t="s">
        <v>589</v>
      </c>
      <c r="P3418">
        <v>13310.52</v>
      </c>
      <c r="Q3418" t="s">
        <v>177</v>
      </c>
    </row>
    <row r="3419" spans="1:17" x14ac:dyDescent="0.25">
      <c r="A3419" t="s">
        <v>1148</v>
      </c>
      <c r="B3419" t="s">
        <v>1056</v>
      </c>
      <c r="C3419" t="s">
        <v>175</v>
      </c>
      <c r="D3419" t="s">
        <v>282</v>
      </c>
      <c r="E3419" t="s">
        <v>283</v>
      </c>
      <c r="F3419">
        <v>1.35</v>
      </c>
      <c r="G3419" t="s">
        <v>176</v>
      </c>
      <c r="H3419">
        <v>0</v>
      </c>
      <c r="I3419">
        <v>104</v>
      </c>
      <c r="J3419" s="10">
        <v>-3.5527136788005009E-15</v>
      </c>
      <c r="K3419" s="10">
        <f>SUMIFS(F:F,D:D,DST_123_ÜRETİM_İHTİYAÇ_RAPORU_BURAK_YENI1309[[#This Row],[ALT_KOD]])-(SUMIFS(H:H,D:D,DST_123_ÜRETİM_İHTİYAÇ_RAPORU_BURAK_YENI1309[[#This Row],[ALT_KOD]])+AVERAGEIFS(I:I,D:D,DST_123_ÜRETİM_İHTİYAÇ_RAPORU_BURAK_YENI1309[[#This Row],[ALT_KOD]])+AVERAGEIFS(L:L,D:D,DST_123_ÜRETİM_İHTİYAÇ_RAPORU_BURAK_YENI1309[[#This Row],[ALT_KOD]]))</f>
        <v>-81.349999999999994</v>
      </c>
      <c r="L3419">
        <v>0</v>
      </c>
      <c r="M3419">
        <f>IF((DST_123_ÜRETİM_İHTİYAÇ_RAPORU_BURAK_YENI1309[[#This Row],[SATINALMA]]*DST_123_ÜRETİM_İHTİYAÇ_RAPORU_BURAK_YENI1309[[#This Row],[BIRIM_FIYATLAR]])&lt;1,VALUE("0"),DST_123_ÜRETİM_İHTİYAÇ_RAPORU_BURAK_YENI1309[[#This Row],[SATINALMA]]*DST_123_ÜRETİM_İHTİYAÇ_RAPORU_BURAK_YENI1309[[#This Row],[BIRIM_FIYATLAR]])</f>
        <v>0</v>
      </c>
      <c r="N3419">
        <v>22</v>
      </c>
      <c r="O3419" t="s">
        <v>240</v>
      </c>
      <c r="P3419">
        <v>29.700000000000003</v>
      </c>
      <c r="Q3419" t="s">
        <v>180</v>
      </c>
    </row>
    <row r="3420" spans="1:17" x14ac:dyDescent="0.25">
      <c r="A3420" t="s">
        <v>1148</v>
      </c>
      <c r="B3420" t="s">
        <v>1056</v>
      </c>
      <c r="C3420" t="s">
        <v>175</v>
      </c>
      <c r="D3420" t="s">
        <v>24</v>
      </c>
      <c r="E3420" t="s">
        <v>25</v>
      </c>
      <c r="F3420">
        <v>1</v>
      </c>
      <c r="G3420" t="s">
        <v>176</v>
      </c>
      <c r="H3420">
        <v>0</v>
      </c>
      <c r="I3420">
        <v>30</v>
      </c>
      <c r="J3420" s="10">
        <v>20</v>
      </c>
      <c r="K3420" s="10">
        <f>SUMIFS(F:F,D:D,DST_123_ÜRETİM_İHTİYAÇ_RAPORU_BURAK_YENI1309[[#This Row],[ALT_KOD]])-(SUMIFS(H:H,D:D,DST_123_ÜRETİM_İHTİYAÇ_RAPORU_BURAK_YENI1309[[#This Row],[ALT_KOD]])+AVERAGEIFS(I:I,D:D,DST_123_ÜRETİM_İHTİYAÇ_RAPORU_BURAK_YENI1309[[#This Row],[ALT_KOD]])+AVERAGEIFS(L:L,D:D,DST_123_ÜRETİM_İHTİYAÇ_RAPORU_BURAK_YENI1309[[#This Row],[ALT_KOD]]))</f>
        <v>-7</v>
      </c>
      <c r="L3420">
        <v>0</v>
      </c>
      <c r="M3420">
        <f>IF((DST_123_ÜRETİM_İHTİYAÇ_RAPORU_BURAK_YENI1309[[#This Row],[SATINALMA]]*DST_123_ÜRETİM_İHTİYAÇ_RAPORU_BURAK_YENI1309[[#This Row],[BIRIM_FIYATLAR]])&lt;1,VALUE("0"),DST_123_ÜRETİM_İHTİYAÇ_RAPORU_BURAK_YENI1309[[#This Row],[SATINALMA]]*DST_123_ÜRETİM_İHTİYAÇ_RAPORU_BURAK_YENI1309[[#This Row],[BIRIM_FIYATLAR]])</f>
        <v>0</v>
      </c>
      <c r="N3420">
        <v>62.5</v>
      </c>
      <c r="O3420" t="s">
        <v>628</v>
      </c>
      <c r="P3420">
        <v>62.5</v>
      </c>
      <c r="Q3420" t="s">
        <v>180</v>
      </c>
    </row>
    <row r="3421" spans="1:17" x14ac:dyDescent="0.25">
      <c r="A3421" t="s">
        <v>1147</v>
      </c>
      <c r="B3421" t="s">
        <v>1145</v>
      </c>
      <c r="C3421" t="s">
        <v>175</v>
      </c>
      <c r="D3421" t="s">
        <v>24</v>
      </c>
      <c r="E3421" t="s">
        <v>25</v>
      </c>
      <c r="F3421">
        <v>1</v>
      </c>
      <c r="G3421" t="s">
        <v>176</v>
      </c>
      <c r="H3421">
        <v>0</v>
      </c>
      <c r="I3421">
        <v>30</v>
      </c>
      <c r="J3421" s="10">
        <v>20</v>
      </c>
      <c r="K3421" s="10">
        <f>SUMIFS(F:F,D:D,DST_123_ÜRETİM_İHTİYAÇ_RAPORU_BURAK_YENI1309[[#This Row],[ALT_KOD]])-(SUMIFS(H:H,D:D,DST_123_ÜRETİM_İHTİYAÇ_RAPORU_BURAK_YENI1309[[#This Row],[ALT_KOD]])+AVERAGEIFS(I:I,D:D,DST_123_ÜRETİM_İHTİYAÇ_RAPORU_BURAK_YENI1309[[#This Row],[ALT_KOD]])+AVERAGEIFS(L:L,D:D,DST_123_ÜRETİM_İHTİYAÇ_RAPORU_BURAK_YENI1309[[#This Row],[ALT_KOD]]))</f>
        <v>-7</v>
      </c>
      <c r="L3421">
        <v>0</v>
      </c>
      <c r="M3421">
        <f>IF((DST_123_ÜRETİM_İHTİYAÇ_RAPORU_BURAK_YENI1309[[#This Row],[SATINALMA]]*DST_123_ÜRETİM_İHTİYAÇ_RAPORU_BURAK_YENI1309[[#This Row],[BIRIM_FIYATLAR]])&lt;1,VALUE("0"),DST_123_ÜRETİM_İHTİYAÇ_RAPORU_BURAK_YENI1309[[#This Row],[SATINALMA]]*DST_123_ÜRETİM_İHTİYAÇ_RAPORU_BURAK_YENI1309[[#This Row],[BIRIM_FIYATLAR]])</f>
        <v>0</v>
      </c>
      <c r="N3421">
        <v>62.5</v>
      </c>
      <c r="O3421" t="s">
        <v>628</v>
      </c>
      <c r="P3421">
        <v>62.5</v>
      </c>
      <c r="Q3421" t="s">
        <v>180</v>
      </c>
    </row>
    <row r="3422" spans="1:17" x14ac:dyDescent="0.25">
      <c r="A3422" t="s">
        <v>1148</v>
      </c>
      <c r="B3422" t="s">
        <v>1056</v>
      </c>
      <c r="C3422" t="s">
        <v>175</v>
      </c>
      <c r="D3422" t="s">
        <v>268</v>
      </c>
      <c r="E3422" t="s">
        <v>588</v>
      </c>
      <c r="F3422">
        <v>1</v>
      </c>
      <c r="G3422" t="s">
        <v>176</v>
      </c>
      <c r="H3422">
        <v>0</v>
      </c>
      <c r="I3422">
        <v>1</v>
      </c>
      <c r="J3422" s="10">
        <v>11</v>
      </c>
      <c r="K3422" s="10">
        <f>SUMIFS(F:F,D:D,DST_123_ÜRETİM_İHTİYAÇ_RAPORU_BURAK_YENI1309[[#This Row],[ALT_KOD]])-(SUMIFS(H:H,D:D,DST_123_ÜRETİM_İHTİYAÇ_RAPORU_BURAK_YENI1309[[#This Row],[ALT_KOD]])+AVERAGEIFS(I:I,D:D,DST_123_ÜRETİM_İHTİYAÇ_RAPORU_BURAK_YENI1309[[#This Row],[ALT_KOD]])+AVERAGEIFS(L:L,D:D,DST_123_ÜRETİM_İHTİYAÇ_RAPORU_BURAK_YENI1309[[#This Row],[ALT_KOD]]))</f>
        <v>16</v>
      </c>
      <c r="L3422">
        <v>0</v>
      </c>
      <c r="M3422">
        <f>IF((DST_123_ÜRETİM_İHTİYAÇ_RAPORU_BURAK_YENI1309[[#This Row],[SATINALMA]]*DST_123_ÜRETİM_İHTİYAÇ_RAPORU_BURAK_YENI1309[[#This Row],[BIRIM_FIYATLAR]])&lt;1,VALUE("0"),DST_123_ÜRETİM_İHTİYAÇ_RAPORU_BURAK_YENI1309[[#This Row],[SATINALMA]]*DST_123_ÜRETİM_İHTİYAÇ_RAPORU_BURAK_YENI1309[[#This Row],[BIRIM_FIYATLAR]])</f>
        <v>212968.32000000001</v>
      </c>
      <c r="N3422">
        <v>13310.52</v>
      </c>
      <c r="O3422" t="s">
        <v>589</v>
      </c>
      <c r="P3422">
        <v>13310.52</v>
      </c>
      <c r="Q3422" t="s">
        <v>177</v>
      </c>
    </row>
    <row r="3423" spans="1:17" x14ac:dyDescent="0.25">
      <c r="A3423" t="s">
        <v>1147</v>
      </c>
      <c r="B3423" t="s">
        <v>1145</v>
      </c>
      <c r="C3423" t="s">
        <v>175</v>
      </c>
      <c r="D3423" t="s">
        <v>268</v>
      </c>
      <c r="E3423" t="s">
        <v>588</v>
      </c>
      <c r="F3423">
        <v>1</v>
      </c>
      <c r="G3423" t="s">
        <v>176</v>
      </c>
      <c r="H3423">
        <v>0</v>
      </c>
      <c r="I3423">
        <v>1</v>
      </c>
      <c r="J3423" s="10">
        <v>11</v>
      </c>
      <c r="K3423" s="10">
        <f>SUMIFS(F:F,D:D,DST_123_ÜRETİM_İHTİYAÇ_RAPORU_BURAK_YENI1309[[#This Row],[ALT_KOD]])-(SUMIFS(H:H,D:D,DST_123_ÜRETİM_İHTİYAÇ_RAPORU_BURAK_YENI1309[[#This Row],[ALT_KOD]])+AVERAGEIFS(I:I,D:D,DST_123_ÜRETİM_İHTİYAÇ_RAPORU_BURAK_YENI1309[[#This Row],[ALT_KOD]])+AVERAGEIFS(L:L,D:D,DST_123_ÜRETİM_İHTİYAÇ_RAPORU_BURAK_YENI1309[[#This Row],[ALT_KOD]]))</f>
        <v>16</v>
      </c>
      <c r="L3423">
        <v>0</v>
      </c>
      <c r="M3423">
        <f>IF((DST_123_ÜRETİM_İHTİYAÇ_RAPORU_BURAK_YENI1309[[#This Row],[SATINALMA]]*DST_123_ÜRETİM_İHTİYAÇ_RAPORU_BURAK_YENI1309[[#This Row],[BIRIM_FIYATLAR]])&lt;1,VALUE("0"),DST_123_ÜRETİM_İHTİYAÇ_RAPORU_BURAK_YENI1309[[#This Row],[SATINALMA]]*DST_123_ÜRETİM_İHTİYAÇ_RAPORU_BURAK_YENI1309[[#This Row],[BIRIM_FIYATLAR]])</f>
        <v>212968.32000000001</v>
      </c>
      <c r="N3423">
        <v>13310.52</v>
      </c>
      <c r="O3423" t="s">
        <v>589</v>
      </c>
      <c r="P3423">
        <v>13310.52</v>
      </c>
      <c r="Q3423" t="s">
        <v>177</v>
      </c>
    </row>
    <row r="3424" spans="1:17" x14ac:dyDescent="0.25">
      <c r="A3424" t="s">
        <v>1149</v>
      </c>
      <c r="B3424" t="s">
        <v>1145</v>
      </c>
      <c r="C3424" t="s">
        <v>175</v>
      </c>
      <c r="D3424" t="s">
        <v>268</v>
      </c>
      <c r="E3424" t="s">
        <v>588</v>
      </c>
      <c r="F3424">
        <v>1</v>
      </c>
      <c r="G3424" t="s">
        <v>176</v>
      </c>
      <c r="H3424">
        <v>0</v>
      </c>
      <c r="I3424">
        <v>1</v>
      </c>
      <c r="J3424" s="10">
        <v>11</v>
      </c>
      <c r="K3424" s="10">
        <f>SUMIFS(F:F,D:D,DST_123_ÜRETİM_İHTİYAÇ_RAPORU_BURAK_YENI1309[[#This Row],[ALT_KOD]])-(SUMIFS(H:H,D:D,DST_123_ÜRETİM_İHTİYAÇ_RAPORU_BURAK_YENI1309[[#This Row],[ALT_KOD]])+AVERAGEIFS(I:I,D:D,DST_123_ÜRETİM_İHTİYAÇ_RAPORU_BURAK_YENI1309[[#This Row],[ALT_KOD]])+AVERAGEIFS(L:L,D:D,DST_123_ÜRETİM_İHTİYAÇ_RAPORU_BURAK_YENI1309[[#This Row],[ALT_KOD]]))</f>
        <v>16</v>
      </c>
      <c r="L3424">
        <v>0</v>
      </c>
      <c r="M3424">
        <f>IF((DST_123_ÜRETİM_İHTİYAÇ_RAPORU_BURAK_YENI1309[[#This Row],[SATINALMA]]*DST_123_ÜRETİM_İHTİYAÇ_RAPORU_BURAK_YENI1309[[#This Row],[BIRIM_FIYATLAR]])&lt;1,VALUE("0"),DST_123_ÜRETİM_İHTİYAÇ_RAPORU_BURAK_YENI1309[[#This Row],[SATINALMA]]*DST_123_ÜRETİM_İHTİYAÇ_RAPORU_BURAK_YENI1309[[#This Row],[BIRIM_FIYATLAR]])</f>
        <v>212968.32000000001</v>
      </c>
      <c r="N3424">
        <v>13310.52</v>
      </c>
      <c r="O3424" t="s">
        <v>589</v>
      </c>
      <c r="P3424">
        <v>13310.52</v>
      </c>
      <c r="Q3424" t="s">
        <v>177</v>
      </c>
    </row>
    <row r="3425" spans="1:17" x14ac:dyDescent="0.25">
      <c r="A3425" t="s">
        <v>1144</v>
      </c>
      <c r="B3425" t="s">
        <v>1145</v>
      </c>
      <c r="C3425" t="s">
        <v>175</v>
      </c>
      <c r="D3425" t="s">
        <v>293</v>
      </c>
      <c r="E3425" t="s">
        <v>323</v>
      </c>
      <c r="F3425">
        <v>7.0000000000000007E-2</v>
      </c>
      <c r="G3425" t="s">
        <v>185</v>
      </c>
      <c r="H3425">
        <v>0</v>
      </c>
      <c r="I3425">
        <v>2.5</v>
      </c>
      <c r="J3425" s="10">
        <v>-4.9960036108132044E-16</v>
      </c>
      <c r="K3425" s="10">
        <f>SUMIFS(F:F,D:D,DST_123_ÜRETİM_İHTİYAÇ_RAPORU_BURAK_YENI1309[[#This Row],[ALT_KOD]])-(SUMIFS(H:H,D:D,DST_123_ÜRETİM_İHTİYAÇ_RAPORU_BURAK_YENI1309[[#This Row],[ALT_KOD]])+AVERAGEIFS(I:I,D:D,DST_123_ÜRETİM_İHTİYAÇ_RAPORU_BURAK_YENI1309[[#This Row],[ALT_KOD]])+AVERAGEIFS(L:L,D:D,DST_123_ÜRETİM_İHTİYAÇ_RAPORU_BURAK_YENI1309[[#This Row],[ALT_KOD]]))</f>
        <v>-0.61999999999999922</v>
      </c>
      <c r="L3425">
        <v>0</v>
      </c>
      <c r="M3425">
        <f>IF((DST_123_ÜRETİM_İHTİYAÇ_RAPORU_BURAK_YENI1309[[#This Row],[SATINALMA]]*DST_123_ÜRETİM_İHTİYAÇ_RAPORU_BURAK_YENI1309[[#This Row],[BIRIM_FIYATLAR]])&lt;1,VALUE("0"),DST_123_ÜRETİM_İHTİYAÇ_RAPORU_BURAK_YENI1309[[#This Row],[SATINALMA]]*DST_123_ÜRETİM_İHTİYAÇ_RAPORU_BURAK_YENI1309[[#This Row],[BIRIM_FIYATLAR]])</f>
        <v>0</v>
      </c>
      <c r="N3425">
        <v>2400</v>
      </c>
      <c r="O3425" t="s">
        <v>220</v>
      </c>
      <c r="P3425">
        <v>168.00000000000003</v>
      </c>
      <c r="Q3425" t="s">
        <v>180</v>
      </c>
    </row>
    <row r="3426" spans="1:17" x14ac:dyDescent="0.25">
      <c r="A3426" t="s">
        <v>1060</v>
      </c>
      <c r="B3426" t="s">
        <v>1061</v>
      </c>
      <c r="C3426" t="s">
        <v>175</v>
      </c>
      <c r="D3426" t="s">
        <v>282</v>
      </c>
      <c r="E3426" t="s">
        <v>283</v>
      </c>
      <c r="F3426">
        <v>1</v>
      </c>
      <c r="G3426" t="s">
        <v>176</v>
      </c>
      <c r="H3426">
        <v>0</v>
      </c>
      <c r="I3426">
        <v>104</v>
      </c>
      <c r="J3426" s="10">
        <v>-3.5527136788005009E-15</v>
      </c>
      <c r="K3426" s="10">
        <f>SUMIFS(F:F,D:D,DST_123_ÜRETİM_İHTİYAÇ_RAPORU_BURAK_YENI1309[[#This Row],[ALT_KOD]])-(SUMIFS(H:H,D:D,DST_123_ÜRETİM_İHTİYAÇ_RAPORU_BURAK_YENI1309[[#This Row],[ALT_KOD]])+AVERAGEIFS(I:I,D:D,DST_123_ÜRETİM_İHTİYAÇ_RAPORU_BURAK_YENI1309[[#This Row],[ALT_KOD]])+AVERAGEIFS(L:L,D:D,DST_123_ÜRETİM_İHTİYAÇ_RAPORU_BURAK_YENI1309[[#This Row],[ALT_KOD]]))</f>
        <v>-81.349999999999994</v>
      </c>
      <c r="L3426">
        <v>0</v>
      </c>
      <c r="M3426">
        <f>IF((DST_123_ÜRETİM_İHTİYAÇ_RAPORU_BURAK_YENI1309[[#This Row],[SATINALMA]]*DST_123_ÜRETİM_İHTİYAÇ_RAPORU_BURAK_YENI1309[[#This Row],[BIRIM_FIYATLAR]])&lt;1,VALUE("0"),DST_123_ÜRETİM_İHTİYAÇ_RAPORU_BURAK_YENI1309[[#This Row],[SATINALMA]]*DST_123_ÜRETİM_İHTİYAÇ_RAPORU_BURAK_YENI1309[[#This Row],[BIRIM_FIYATLAR]])</f>
        <v>0</v>
      </c>
      <c r="N3426">
        <v>22</v>
      </c>
      <c r="O3426" t="s">
        <v>240</v>
      </c>
      <c r="P3426">
        <v>22</v>
      </c>
      <c r="Q3426" t="s">
        <v>180</v>
      </c>
    </row>
    <row r="3427" spans="1:17" x14ac:dyDescent="0.25">
      <c r="A3427" t="s">
        <v>1147</v>
      </c>
      <c r="B3427" t="s">
        <v>1145</v>
      </c>
      <c r="C3427" t="s">
        <v>175</v>
      </c>
      <c r="D3427" t="s">
        <v>282</v>
      </c>
      <c r="E3427" t="s">
        <v>283</v>
      </c>
      <c r="F3427">
        <v>1</v>
      </c>
      <c r="G3427" t="s">
        <v>176</v>
      </c>
      <c r="H3427">
        <v>0</v>
      </c>
      <c r="I3427">
        <v>104</v>
      </c>
      <c r="J3427" s="10">
        <v>-3.5527136788005009E-15</v>
      </c>
      <c r="K3427" s="10">
        <f>SUMIFS(F:F,D:D,DST_123_ÜRETİM_İHTİYAÇ_RAPORU_BURAK_YENI1309[[#This Row],[ALT_KOD]])-(SUMIFS(H:H,D:D,DST_123_ÜRETİM_İHTİYAÇ_RAPORU_BURAK_YENI1309[[#This Row],[ALT_KOD]])+AVERAGEIFS(I:I,D:D,DST_123_ÜRETİM_İHTİYAÇ_RAPORU_BURAK_YENI1309[[#This Row],[ALT_KOD]])+AVERAGEIFS(L:L,D:D,DST_123_ÜRETİM_İHTİYAÇ_RAPORU_BURAK_YENI1309[[#This Row],[ALT_KOD]]))</f>
        <v>-81.349999999999994</v>
      </c>
      <c r="L3427">
        <v>0</v>
      </c>
      <c r="M3427">
        <f>IF((DST_123_ÜRETİM_İHTİYAÇ_RAPORU_BURAK_YENI1309[[#This Row],[SATINALMA]]*DST_123_ÜRETİM_İHTİYAÇ_RAPORU_BURAK_YENI1309[[#This Row],[BIRIM_FIYATLAR]])&lt;1,VALUE("0"),DST_123_ÜRETİM_İHTİYAÇ_RAPORU_BURAK_YENI1309[[#This Row],[SATINALMA]]*DST_123_ÜRETİM_İHTİYAÇ_RAPORU_BURAK_YENI1309[[#This Row],[BIRIM_FIYATLAR]])</f>
        <v>0</v>
      </c>
      <c r="N3427">
        <v>22</v>
      </c>
      <c r="O3427" t="s">
        <v>240</v>
      </c>
      <c r="P3427">
        <v>22</v>
      </c>
      <c r="Q3427" t="s">
        <v>180</v>
      </c>
    </row>
    <row r="3428" spans="1:17" x14ac:dyDescent="0.25">
      <c r="A3428" t="s">
        <v>1100</v>
      </c>
      <c r="B3428" t="s">
        <v>1058</v>
      </c>
      <c r="C3428" t="s">
        <v>175</v>
      </c>
      <c r="D3428" t="s">
        <v>282</v>
      </c>
      <c r="E3428" t="s">
        <v>283</v>
      </c>
      <c r="F3428">
        <v>1</v>
      </c>
      <c r="G3428" t="s">
        <v>176</v>
      </c>
      <c r="H3428">
        <v>0</v>
      </c>
      <c r="I3428">
        <v>104</v>
      </c>
      <c r="J3428" s="10">
        <v>-3.5527136788005009E-15</v>
      </c>
      <c r="K3428" s="10">
        <f>SUMIFS(F:F,D:D,DST_123_ÜRETİM_İHTİYAÇ_RAPORU_BURAK_YENI1309[[#This Row],[ALT_KOD]])-(SUMIFS(H:H,D:D,DST_123_ÜRETİM_İHTİYAÇ_RAPORU_BURAK_YENI1309[[#This Row],[ALT_KOD]])+AVERAGEIFS(I:I,D:D,DST_123_ÜRETİM_İHTİYAÇ_RAPORU_BURAK_YENI1309[[#This Row],[ALT_KOD]])+AVERAGEIFS(L:L,D:D,DST_123_ÜRETİM_İHTİYAÇ_RAPORU_BURAK_YENI1309[[#This Row],[ALT_KOD]]))</f>
        <v>-81.349999999999994</v>
      </c>
      <c r="L3428">
        <v>0</v>
      </c>
      <c r="M3428">
        <f>IF((DST_123_ÜRETİM_İHTİYAÇ_RAPORU_BURAK_YENI1309[[#This Row],[SATINALMA]]*DST_123_ÜRETİM_İHTİYAÇ_RAPORU_BURAK_YENI1309[[#This Row],[BIRIM_FIYATLAR]])&lt;1,VALUE("0"),DST_123_ÜRETİM_İHTİYAÇ_RAPORU_BURAK_YENI1309[[#This Row],[SATINALMA]]*DST_123_ÜRETİM_İHTİYAÇ_RAPORU_BURAK_YENI1309[[#This Row],[BIRIM_FIYATLAR]])</f>
        <v>0</v>
      </c>
      <c r="N3428">
        <v>22</v>
      </c>
      <c r="O3428" t="s">
        <v>240</v>
      </c>
      <c r="P3428">
        <v>22</v>
      </c>
      <c r="Q3428" t="s">
        <v>180</v>
      </c>
    </row>
    <row r="3429" spans="1:17" x14ac:dyDescent="0.25">
      <c r="A3429" t="s">
        <v>1148</v>
      </c>
      <c r="B3429" t="s">
        <v>1056</v>
      </c>
      <c r="C3429" t="s">
        <v>175</v>
      </c>
      <c r="D3429" t="s">
        <v>433</v>
      </c>
      <c r="E3429" t="s">
        <v>434</v>
      </c>
      <c r="F3429">
        <v>1</v>
      </c>
      <c r="G3429" t="s">
        <v>176</v>
      </c>
      <c r="H3429">
        <v>0</v>
      </c>
      <c r="I3429">
        <v>12</v>
      </c>
      <c r="J3429" s="10">
        <v>5</v>
      </c>
      <c r="K3429" s="10">
        <f>SUMIFS(F:F,D:D,DST_123_ÜRETİM_İHTİYAÇ_RAPORU_BURAK_YENI1309[[#This Row],[ALT_KOD]])-(SUMIFS(H:H,D:D,DST_123_ÜRETİM_İHTİYAÇ_RAPORU_BURAK_YENI1309[[#This Row],[ALT_KOD]])+AVERAGEIFS(I:I,D:D,DST_123_ÜRETİM_İHTİYAÇ_RAPORU_BURAK_YENI1309[[#This Row],[ALT_KOD]])+AVERAGEIFS(L:L,D:D,DST_123_ÜRETİM_İHTİYAÇ_RAPORU_BURAK_YENI1309[[#This Row],[ALT_KOD]]))</f>
        <v>-8</v>
      </c>
      <c r="L3429">
        <v>0</v>
      </c>
      <c r="M3429">
        <f>IF((DST_123_ÜRETİM_İHTİYAÇ_RAPORU_BURAK_YENI1309[[#This Row],[SATINALMA]]*DST_123_ÜRETİM_İHTİYAÇ_RAPORU_BURAK_YENI1309[[#This Row],[BIRIM_FIYATLAR]])&lt;1,VALUE("0"),DST_123_ÜRETİM_İHTİYAÇ_RAPORU_BURAK_YENI1309[[#This Row],[SATINALMA]]*DST_123_ÜRETİM_İHTİYAÇ_RAPORU_BURAK_YENI1309[[#This Row],[BIRIM_FIYATLAR]])</f>
        <v>0</v>
      </c>
      <c r="N3429">
        <v>1679.53</v>
      </c>
      <c r="O3429" t="s">
        <v>636</v>
      </c>
      <c r="P3429">
        <v>1679.53</v>
      </c>
      <c r="Q3429" t="s">
        <v>178</v>
      </c>
    </row>
    <row r="3430" spans="1:17" x14ac:dyDescent="0.25">
      <c r="A3430" t="s">
        <v>1095</v>
      </c>
      <c r="B3430" t="s">
        <v>1096</v>
      </c>
      <c r="C3430" t="s">
        <v>175</v>
      </c>
      <c r="D3430" t="s">
        <v>433</v>
      </c>
      <c r="E3430" t="s">
        <v>434</v>
      </c>
      <c r="F3430">
        <v>1</v>
      </c>
      <c r="G3430" t="s">
        <v>176</v>
      </c>
      <c r="H3430">
        <v>0</v>
      </c>
      <c r="I3430">
        <v>12</v>
      </c>
      <c r="J3430" s="10">
        <v>5</v>
      </c>
      <c r="K3430" s="10">
        <f>SUMIFS(F:F,D:D,DST_123_ÜRETİM_İHTİYAÇ_RAPORU_BURAK_YENI1309[[#This Row],[ALT_KOD]])-(SUMIFS(H:H,D:D,DST_123_ÜRETİM_İHTİYAÇ_RAPORU_BURAK_YENI1309[[#This Row],[ALT_KOD]])+AVERAGEIFS(I:I,D:D,DST_123_ÜRETİM_İHTİYAÇ_RAPORU_BURAK_YENI1309[[#This Row],[ALT_KOD]])+AVERAGEIFS(L:L,D:D,DST_123_ÜRETİM_İHTİYAÇ_RAPORU_BURAK_YENI1309[[#This Row],[ALT_KOD]]))</f>
        <v>-8</v>
      </c>
      <c r="L3430">
        <v>0</v>
      </c>
      <c r="M3430">
        <f>IF((DST_123_ÜRETİM_İHTİYAÇ_RAPORU_BURAK_YENI1309[[#This Row],[SATINALMA]]*DST_123_ÜRETİM_İHTİYAÇ_RAPORU_BURAK_YENI1309[[#This Row],[BIRIM_FIYATLAR]])&lt;1,VALUE("0"),DST_123_ÜRETİM_İHTİYAÇ_RAPORU_BURAK_YENI1309[[#This Row],[SATINALMA]]*DST_123_ÜRETİM_İHTİYAÇ_RAPORU_BURAK_YENI1309[[#This Row],[BIRIM_FIYATLAR]])</f>
        <v>0</v>
      </c>
      <c r="N3430">
        <v>1679.53</v>
      </c>
      <c r="O3430" t="s">
        <v>636</v>
      </c>
      <c r="P3430">
        <v>1679.53</v>
      </c>
      <c r="Q3430" t="s">
        <v>178</v>
      </c>
    </row>
    <row r="3431" spans="1:17" x14ac:dyDescent="0.25">
      <c r="A3431" t="s">
        <v>1149</v>
      </c>
      <c r="B3431" t="s">
        <v>1145</v>
      </c>
      <c r="C3431" t="s">
        <v>175</v>
      </c>
      <c r="D3431" t="s">
        <v>550</v>
      </c>
      <c r="E3431" t="s">
        <v>551</v>
      </c>
      <c r="F3431">
        <v>2</v>
      </c>
      <c r="G3431" t="s">
        <v>176</v>
      </c>
      <c r="H3431">
        <v>0</v>
      </c>
      <c r="I3431">
        <v>35</v>
      </c>
      <c r="J3431" s="10">
        <v>14</v>
      </c>
      <c r="K3431" s="10">
        <f>SUMIFS(F:F,D:D,DST_123_ÜRETİM_İHTİYAÇ_RAPORU_BURAK_YENI1309[[#This Row],[ALT_KOD]])-(SUMIFS(H:H,D:D,DST_123_ÜRETİM_İHTİYAÇ_RAPORU_BURAK_YENI1309[[#This Row],[ALT_KOD]])+AVERAGEIFS(I:I,D:D,DST_123_ÜRETİM_İHTİYAÇ_RAPORU_BURAK_YENI1309[[#This Row],[ALT_KOD]])+AVERAGEIFS(L:L,D:D,DST_123_ÜRETİM_İHTİYAÇ_RAPORU_BURAK_YENI1309[[#This Row],[ALT_KOD]]))</f>
        <v>-11</v>
      </c>
      <c r="L3431">
        <v>0</v>
      </c>
      <c r="M3431">
        <f>IF((DST_123_ÜRETİM_İHTİYAÇ_RAPORU_BURAK_YENI1309[[#This Row],[SATINALMA]]*DST_123_ÜRETİM_İHTİYAÇ_RAPORU_BURAK_YENI1309[[#This Row],[BIRIM_FIYATLAR]])&lt;1,VALUE("0"),DST_123_ÜRETİM_İHTİYAÇ_RAPORU_BURAK_YENI1309[[#This Row],[SATINALMA]]*DST_123_ÜRETİM_İHTİYAÇ_RAPORU_BURAK_YENI1309[[#This Row],[BIRIM_FIYATLAR]])</f>
        <v>0</v>
      </c>
      <c r="N3431">
        <v>43.75</v>
      </c>
      <c r="O3431" t="s">
        <v>490</v>
      </c>
      <c r="P3431">
        <v>87.5</v>
      </c>
      <c r="Q3431" t="s">
        <v>180</v>
      </c>
    </row>
    <row r="3432" spans="1:17" x14ac:dyDescent="0.25">
      <c r="A3432" t="s">
        <v>1142</v>
      </c>
      <c r="B3432" t="s">
        <v>1056</v>
      </c>
      <c r="C3432" t="s">
        <v>175</v>
      </c>
      <c r="D3432" t="s">
        <v>550</v>
      </c>
      <c r="E3432" t="s">
        <v>551</v>
      </c>
      <c r="F3432">
        <v>2</v>
      </c>
      <c r="G3432" t="s">
        <v>176</v>
      </c>
      <c r="H3432">
        <v>0</v>
      </c>
      <c r="I3432">
        <v>35</v>
      </c>
      <c r="J3432" s="10">
        <v>14</v>
      </c>
      <c r="K3432" s="10">
        <f>SUMIFS(F:F,D:D,DST_123_ÜRETİM_İHTİYAÇ_RAPORU_BURAK_YENI1309[[#This Row],[ALT_KOD]])-(SUMIFS(H:H,D:D,DST_123_ÜRETİM_İHTİYAÇ_RAPORU_BURAK_YENI1309[[#This Row],[ALT_KOD]])+AVERAGEIFS(I:I,D:D,DST_123_ÜRETİM_İHTİYAÇ_RAPORU_BURAK_YENI1309[[#This Row],[ALT_KOD]])+AVERAGEIFS(L:L,D:D,DST_123_ÜRETİM_İHTİYAÇ_RAPORU_BURAK_YENI1309[[#This Row],[ALT_KOD]]))</f>
        <v>-11</v>
      </c>
      <c r="L3432">
        <v>0</v>
      </c>
      <c r="M3432">
        <f>IF((DST_123_ÜRETİM_İHTİYAÇ_RAPORU_BURAK_YENI1309[[#This Row],[SATINALMA]]*DST_123_ÜRETİM_İHTİYAÇ_RAPORU_BURAK_YENI1309[[#This Row],[BIRIM_FIYATLAR]])&lt;1,VALUE("0"),DST_123_ÜRETİM_İHTİYAÇ_RAPORU_BURAK_YENI1309[[#This Row],[SATINALMA]]*DST_123_ÜRETİM_İHTİYAÇ_RAPORU_BURAK_YENI1309[[#This Row],[BIRIM_FIYATLAR]])</f>
        <v>0</v>
      </c>
      <c r="N3432">
        <v>43.75</v>
      </c>
      <c r="O3432" t="s">
        <v>490</v>
      </c>
      <c r="P3432">
        <v>87.5</v>
      </c>
      <c r="Q3432" t="s">
        <v>180</v>
      </c>
    </row>
    <row r="3433" spans="1:17" x14ac:dyDescent="0.25">
      <c r="A3433" t="s">
        <v>1147</v>
      </c>
      <c r="B3433" t="s">
        <v>1145</v>
      </c>
      <c r="C3433" t="s">
        <v>175</v>
      </c>
      <c r="D3433" t="s">
        <v>273</v>
      </c>
      <c r="E3433" t="s">
        <v>274</v>
      </c>
      <c r="F3433">
        <v>1</v>
      </c>
      <c r="G3433" t="s">
        <v>176</v>
      </c>
      <c r="H3433">
        <v>0</v>
      </c>
      <c r="I3433">
        <v>7</v>
      </c>
      <c r="J3433" s="10">
        <v>10</v>
      </c>
      <c r="K3433" s="10">
        <f>SUMIFS(F:F,D:D,DST_123_ÜRETİM_İHTİYAÇ_RAPORU_BURAK_YENI1309[[#This Row],[ALT_KOD]])-(SUMIFS(H:H,D:D,DST_123_ÜRETİM_İHTİYAÇ_RAPORU_BURAK_YENI1309[[#This Row],[ALT_KOD]])+AVERAGEIFS(I:I,D:D,DST_123_ÜRETİM_İHTİYAÇ_RAPORU_BURAK_YENI1309[[#This Row],[ALT_KOD]])+AVERAGEIFS(L:L,D:D,DST_123_ÜRETİM_İHTİYAÇ_RAPORU_BURAK_YENI1309[[#This Row],[ALT_KOD]]))</f>
        <v>4</v>
      </c>
      <c r="L3433">
        <v>0</v>
      </c>
      <c r="M3433">
        <f>IF((DST_123_ÜRETİM_İHTİYAÇ_RAPORU_BURAK_YENI1309[[#This Row],[SATINALMA]]*DST_123_ÜRETİM_İHTİYAÇ_RAPORU_BURAK_YENI1309[[#This Row],[BIRIM_FIYATLAR]])&lt;1,VALUE("0"),DST_123_ÜRETİM_İHTİYAÇ_RAPORU_BURAK_YENI1309[[#This Row],[SATINALMA]]*DST_123_ÜRETİM_İHTİYAÇ_RAPORU_BURAK_YENI1309[[#This Row],[BIRIM_FIYATLAR]])</f>
        <v>1950.24</v>
      </c>
      <c r="N3433">
        <v>487.56</v>
      </c>
      <c r="O3433" t="s">
        <v>275</v>
      </c>
      <c r="P3433">
        <v>487.56</v>
      </c>
      <c r="Q3433" t="s">
        <v>177</v>
      </c>
    </row>
    <row r="3434" spans="1:17" x14ac:dyDescent="0.25">
      <c r="A3434" t="s">
        <v>1057</v>
      </c>
      <c r="B3434" t="s">
        <v>1058</v>
      </c>
      <c r="C3434" t="s">
        <v>175</v>
      </c>
      <c r="D3434" t="s">
        <v>413</v>
      </c>
      <c r="E3434" t="s">
        <v>664</v>
      </c>
      <c r="F3434">
        <v>0.30000000000000004</v>
      </c>
      <c r="G3434" t="s">
        <v>179</v>
      </c>
      <c r="H3434">
        <v>0</v>
      </c>
      <c r="I3434">
        <v>0</v>
      </c>
      <c r="J3434" s="10">
        <v>93.800000000000011</v>
      </c>
      <c r="K3434" s="10">
        <f>SUMIFS(F:F,D:D,DST_123_ÜRETİM_İHTİYAÇ_RAPORU_BURAK_YENI1309[[#This Row],[ALT_KOD]])-(SUMIFS(H:H,D:D,DST_123_ÜRETİM_İHTİYAÇ_RAPORU_BURAK_YENI1309[[#This Row],[ALT_KOD]])+AVERAGEIFS(I:I,D:D,DST_123_ÜRETİM_İHTİYAÇ_RAPORU_BURAK_YENI1309[[#This Row],[ALT_KOD]])+AVERAGEIFS(L:L,D:D,DST_123_ÜRETİM_İHTİYAÇ_RAPORU_BURAK_YENI1309[[#This Row],[ALT_KOD]]))</f>
        <v>5.0999999999999996</v>
      </c>
      <c r="L3434">
        <v>0</v>
      </c>
      <c r="M3434">
        <f>IF((DST_123_ÜRETİM_İHTİYAÇ_RAPORU_BURAK_YENI1309[[#This Row],[SATINALMA]]*DST_123_ÜRETİM_İHTİYAÇ_RAPORU_BURAK_YENI1309[[#This Row],[BIRIM_FIYATLAR]])&lt;1,VALUE("0"),DST_123_ÜRETİM_İHTİYAÇ_RAPORU_BURAK_YENI1309[[#This Row],[SATINALMA]]*DST_123_ÜRETİM_İHTİYAÇ_RAPORU_BURAK_YENI1309[[#This Row],[BIRIM_FIYATLAR]])</f>
        <v>34.526999999999994</v>
      </c>
      <c r="N3434">
        <v>6.77</v>
      </c>
      <c r="O3434" t="s">
        <v>635</v>
      </c>
      <c r="P3434">
        <v>2.0310000000000001</v>
      </c>
      <c r="Q3434" t="s">
        <v>221</v>
      </c>
    </row>
    <row r="3435" spans="1:17" x14ac:dyDescent="0.25">
      <c r="A3435" t="s">
        <v>1100</v>
      </c>
      <c r="B3435" t="s">
        <v>1058</v>
      </c>
      <c r="C3435" t="s">
        <v>175</v>
      </c>
      <c r="D3435" t="s">
        <v>413</v>
      </c>
      <c r="E3435" t="s">
        <v>664</v>
      </c>
      <c r="F3435">
        <v>0.30000000000000004</v>
      </c>
      <c r="G3435" t="s">
        <v>179</v>
      </c>
      <c r="H3435">
        <v>0</v>
      </c>
      <c r="I3435">
        <v>0</v>
      </c>
      <c r="J3435" s="10">
        <v>93.800000000000011</v>
      </c>
      <c r="K3435" s="10">
        <f>SUMIFS(F:F,D:D,DST_123_ÜRETİM_İHTİYAÇ_RAPORU_BURAK_YENI1309[[#This Row],[ALT_KOD]])-(SUMIFS(H:H,D:D,DST_123_ÜRETİM_İHTİYAÇ_RAPORU_BURAK_YENI1309[[#This Row],[ALT_KOD]])+AVERAGEIFS(I:I,D:D,DST_123_ÜRETİM_İHTİYAÇ_RAPORU_BURAK_YENI1309[[#This Row],[ALT_KOD]])+AVERAGEIFS(L:L,D:D,DST_123_ÜRETİM_İHTİYAÇ_RAPORU_BURAK_YENI1309[[#This Row],[ALT_KOD]]))</f>
        <v>5.0999999999999996</v>
      </c>
      <c r="L3435">
        <v>0</v>
      </c>
      <c r="M3435">
        <f>IF((DST_123_ÜRETİM_İHTİYAÇ_RAPORU_BURAK_YENI1309[[#This Row],[SATINALMA]]*DST_123_ÜRETİM_İHTİYAÇ_RAPORU_BURAK_YENI1309[[#This Row],[BIRIM_FIYATLAR]])&lt;1,VALUE("0"),DST_123_ÜRETİM_İHTİYAÇ_RAPORU_BURAK_YENI1309[[#This Row],[SATINALMA]]*DST_123_ÜRETİM_İHTİYAÇ_RAPORU_BURAK_YENI1309[[#This Row],[BIRIM_FIYATLAR]])</f>
        <v>34.526999999999994</v>
      </c>
      <c r="N3435">
        <v>6.77</v>
      </c>
      <c r="O3435" t="s">
        <v>635</v>
      </c>
      <c r="P3435">
        <v>2.0310000000000001</v>
      </c>
      <c r="Q3435" t="s">
        <v>221</v>
      </c>
    </row>
    <row r="3436" spans="1:17" x14ac:dyDescent="0.25">
      <c r="A3436" t="s">
        <v>1147</v>
      </c>
      <c r="B3436" t="s">
        <v>1145</v>
      </c>
      <c r="C3436" t="s">
        <v>175</v>
      </c>
      <c r="D3436" t="s">
        <v>237</v>
      </c>
      <c r="E3436" t="s">
        <v>306</v>
      </c>
      <c r="F3436">
        <v>2</v>
      </c>
      <c r="G3436" t="s">
        <v>176</v>
      </c>
      <c r="H3436">
        <v>0</v>
      </c>
      <c r="I3436">
        <v>37</v>
      </c>
      <c r="J3436" s="10">
        <v>20</v>
      </c>
      <c r="K3436" s="10">
        <f>SUMIFS(F:F,D:D,DST_123_ÜRETİM_İHTİYAÇ_RAPORU_BURAK_YENI1309[[#This Row],[ALT_KOD]])-(SUMIFS(H:H,D:D,DST_123_ÜRETİM_İHTİYAÇ_RAPORU_BURAK_YENI1309[[#This Row],[ALT_KOD]])+AVERAGEIFS(I:I,D:D,DST_123_ÜRETİM_İHTİYAÇ_RAPORU_BURAK_YENI1309[[#This Row],[ALT_KOD]])+AVERAGEIFS(L:L,D:D,DST_123_ÜRETİM_İHTİYAÇ_RAPORU_BURAK_YENI1309[[#This Row],[ALT_KOD]]))</f>
        <v>-13</v>
      </c>
      <c r="L3436">
        <v>0</v>
      </c>
      <c r="M3436">
        <f>IF((DST_123_ÜRETİM_İHTİYAÇ_RAPORU_BURAK_YENI1309[[#This Row],[SATINALMA]]*DST_123_ÜRETİM_İHTİYAÇ_RAPORU_BURAK_YENI1309[[#This Row],[BIRIM_FIYATLAR]])&lt;1,VALUE("0"),DST_123_ÜRETİM_İHTİYAÇ_RAPORU_BURAK_YENI1309[[#This Row],[SATINALMA]]*DST_123_ÜRETİM_İHTİYAÇ_RAPORU_BURAK_YENI1309[[#This Row],[BIRIM_FIYATLAR]])</f>
        <v>0</v>
      </c>
      <c r="N3436">
        <v>45.3</v>
      </c>
      <c r="O3436" t="s">
        <v>826</v>
      </c>
      <c r="P3436">
        <v>90.6</v>
      </c>
      <c r="Q3436" t="s">
        <v>221</v>
      </c>
    </row>
    <row r="3437" spans="1:17" x14ac:dyDescent="0.25">
      <c r="A3437" t="s">
        <v>1100</v>
      </c>
      <c r="B3437" t="s">
        <v>1058</v>
      </c>
      <c r="C3437" t="s">
        <v>175</v>
      </c>
      <c r="D3437" t="s">
        <v>237</v>
      </c>
      <c r="E3437" t="s">
        <v>306</v>
      </c>
      <c r="F3437">
        <v>2</v>
      </c>
      <c r="G3437" t="s">
        <v>176</v>
      </c>
      <c r="H3437">
        <v>2</v>
      </c>
      <c r="I3437">
        <v>37</v>
      </c>
      <c r="J3437" s="10">
        <v>20</v>
      </c>
      <c r="K3437" s="10">
        <f>SUMIFS(F:F,D:D,DST_123_ÜRETİM_İHTİYAÇ_RAPORU_BURAK_YENI1309[[#This Row],[ALT_KOD]])-(SUMIFS(H:H,D:D,DST_123_ÜRETİM_İHTİYAÇ_RAPORU_BURAK_YENI1309[[#This Row],[ALT_KOD]])+AVERAGEIFS(I:I,D:D,DST_123_ÜRETİM_İHTİYAÇ_RAPORU_BURAK_YENI1309[[#This Row],[ALT_KOD]])+AVERAGEIFS(L:L,D:D,DST_123_ÜRETİM_İHTİYAÇ_RAPORU_BURAK_YENI1309[[#This Row],[ALT_KOD]]))</f>
        <v>-13</v>
      </c>
      <c r="L3437">
        <v>0</v>
      </c>
      <c r="M3437">
        <f>IF((DST_123_ÜRETİM_İHTİYAÇ_RAPORU_BURAK_YENI1309[[#This Row],[SATINALMA]]*DST_123_ÜRETİM_İHTİYAÇ_RAPORU_BURAK_YENI1309[[#This Row],[BIRIM_FIYATLAR]])&lt;1,VALUE("0"),DST_123_ÜRETİM_İHTİYAÇ_RAPORU_BURAK_YENI1309[[#This Row],[SATINALMA]]*DST_123_ÜRETİM_İHTİYAÇ_RAPORU_BURAK_YENI1309[[#This Row],[BIRIM_FIYATLAR]])</f>
        <v>0</v>
      </c>
      <c r="N3437">
        <v>45.3</v>
      </c>
      <c r="O3437" t="s">
        <v>826</v>
      </c>
      <c r="P3437">
        <v>90.6</v>
      </c>
      <c r="Q3437" t="s">
        <v>221</v>
      </c>
    </row>
    <row r="3438" spans="1:17" x14ac:dyDescent="0.25">
      <c r="A3438" t="s">
        <v>1060</v>
      </c>
      <c r="B3438" t="s">
        <v>1061</v>
      </c>
      <c r="C3438" t="s">
        <v>175</v>
      </c>
      <c r="D3438" t="s">
        <v>74</v>
      </c>
      <c r="E3438" t="s">
        <v>75</v>
      </c>
      <c r="F3438">
        <v>3</v>
      </c>
      <c r="G3438" t="s">
        <v>176</v>
      </c>
      <c r="H3438">
        <v>0</v>
      </c>
      <c r="I3438">
        <v>24</v>
      </c>
      <c r="J3438" s="10">
        <v>30</v>
      </c>
      <c r="K3438" s="10">
        <f>SUMIFS(F:F,D:D,DST_123_ÜRETİM_İHTİYAÇ_RAPORU_BURAK_YENI1309[[#This Row],[ALT_KOD]])-(SUMIFS(H:H,D:D,DST_123_ÜRETİM_İHTİYAÇ_RAPORU_BURAK_YENI1309[[#This Row],[ALT_KOD]])+AVERAGEIFS(I:I,D:D,DST_123_ÜRETİM_İHTİYAÇ_RAPORU_BURAK_YENI1309[[#This Row],[ALT_KOD]])+AVERAGEIFS(L:L,D:D,DST_123_ÜRETİM_İHTİYAÇ_RAPORU_BURAK_YENI1309[[#This Row],[ALT_KOD]]))</f>
        <v>-24</v>
      </c>
      <c r="L3438">
        <v>50</v>
      </c>
      <c r="M3438">
        <f>IF((DST_123_ÜRETİM_İHTİYAÇ_RAPORU_BURAK_YENI1309[[#This Row],[SATINALMA]]*DST_123_ÜRETİM_İHTİYAÇ_RAPORU_BURAK_YENI1309[[#This Row],[BIRIM_FIYATLAR]])&lt;1,VALUE("0"),DST_123_ÜRETİM_İHTİYAÇ_RAPORU_BURAK_YENI1309[[#This Row],[SATINALMA]]*DST_123_ÜRETİM_İHTİYAÇ_RAPORU_BURAK_YENI1309[[#This Row],[BIRIM_FIYATLAR]])</f>
        <v>0</v>
      </c>
      <c r="N3438">
        <v>37</v>
      </c>
      <c r="O3438" t="s">
        <v>821</v>
      </c>
      <c r="P3438">
        <v>111</v>
      </c>
      <c r="Q3438" t="s">
        <v>178</v>
      </c>
    </row>
    <row r="3439" spans="1:17" x14ac:dyDescent="0.25">
      <c r="A3439" t="s">
        <v>1057</v>
      </c>
      <c r="B3439" t="s">
        <v>1058</v>
      </c>
      <c r="C3439" t="s">
        <v>175</v>
      </c>
      <c r="D3439" t="s">
        <v>74</v>
      </c>
      <c r="E3439" t="s">
        <v>75</v>
      </c>
      <c r="F3439">
        <v>3</v>
      </c>
      <c r="G3439" t="s">
        <v>176</v>
      </c>
      <c r="H3439">
        <v>0</v>
      </c>
      <c r="I3439">
        <v>24</v>
      </c>
      <c r="J3439" s="10">
        <v>30</v>
      </c>
      <c r="K3439" s="10">
        <f>SUMIFS(F:F,D:D,DST_123_ÜRETİM_İHTİYAÇ_RAPORU_BURAK_YENI1309[[#This Row],[ALT_KOD]])-(SUMIFS(H:H,D:D,DST_123_ÜRETİM_İHTİYAÇ_RAPORU_BURAK_YENI1309[[#This Row],[ALT_KOD]])+AVERAGEIFS(I:I,D:D,DST_123_ÜRETİM_İHTİYAÇ_RAPORU_BURAK_YENI1309[[#This Row],[ALT_KOD]])+AVERAGEIFS(L:L,D:D,DST_123_ÜRETİM_İHTİYAÇ_RAPORU_BURAK_YENI1309[[#This Row],[ALT_KOD]]))</f>
        <v>-24</v>
      </c>
      <c r="L3439">
        <v>50</v>
      </c>
      <c r="M3439">
        <f>IF((DST_123_ÜRETİM_İHTİYAÇ_RAPORU_BURAK_YENI1309[[#This Row],[SATINALMA]]*DST_123_ÜRETİM_İHTİYAÇ_RAPORU_BURAK_YENI1309[[#This Row],[BIRIM_FIYATLAR]])&lt;1,VALUE("0"),DST_123_ÜRETİM_İHTİYAÇ_RAPORU_BURAK_YENI1309[[#This Row],[SATINALMA]]*DST_123_ÜRETİM_İHTİYAÇ_RAPORU_BURAK_YENI1309[[#This Row],[BIRIM_FIYATLAR]])</f>
        <v>0</v>
      </c>
      <c r="N3439">
        <v>37</v>
      </c>
      <c r="O3439" t="s">
        <v>821</v>
      </c>
      <c r="P3439">
        <v>111</v>
      </c>
      <c r="Q3439" t="s">
        <v>178</v>
      </c>
    </row>
    <row r="3440" spans="1:17" x14ac:dyDescent="0.25">
      <c r="A3440" t="s">
        <v>1100</v>
      </c>
      <c r="B3440" t="s">
        <v>1058</v>
      </c>
      <c r="C3440" t="s">
        <v>175</v>
      </c>
      <c r="D3440" t="s">
        <v>74</v>
      </c>
      <c r="E3440" t="s">
        <v>75</v>
      </c>
      <c r="F3440">
        <v>3</v>
      </c>
      <c r="G3440" t="s">
        <v>176</v>
      </c>
      <c r="H3440">
        <v>0</v>
      </c>
      <c r="I3440">
        <v>24</v>
      </c>
      <c r="J3440" s="10">
        <v>30</v>
      </c>
      <c r="K3440" s="10">
        <f>SUMIFS(F:F,D:D,DST_123_ÜRETİM_İHTİYAÇ_RAPORU_BURAK_YENI1309[[#This Row],[ALT_KOD]])-(SUMIFS(H:H,D:D,DST_123_ÜRETİM_İHTİYAÇ_RAPORU_BURAK_YENI1309[[#This Row],[ALT_KOD]])+AVERAGEIFS(I:I,D:D,DST_123_ÜRETİM_İHTİYAÇ_RAPORU_BURAK_YENI1309[[#This Row],[ALT_KOD]])+AVERAGEIFS(L:L,D:D,DST_123_ÜRETİM_İHTİYAÇ_RAPORU_BURAK_YENI1309[[#This Row],[ALT_KOD]]))</f>
        <v>-24</v>
      </c>
      <c r="L3440">
        <v>50</v>
      </c>
      <c r="M3440">
        <f>IF((DST_123_ÜRETİM_İHTİYAÇ_RAPORU_BURAK_YENI1309[[#This Row],[SATINALMA]]*DST_123_ÜRETİM_İHTİYAÇ_RAPORU_BURAK_YENI1309[[#This Row],[BIRIM_FIYATLAR]])&lt;1,VALUE("0"),DST_123_ÜRETİM_İHTİYAÇ_RAPORU_BURAK_YENI1309[[#This Row],[SATINALMA]]*DST_123_ÜRETİM_İHTİYAÇ_RAPORU_BURAK_YENI1309[[#This Row],[BIRIM_FIYATLAR]])</f>
        <v>0</v>
      </c>
      <c r="N3440">
        <v>37</v>
      </c>
      <c r="O3440" t="s">
        <v>821</v>
      </c>
      <c r="P3440">
        <v>111</v>
      </c>
      <c r="Q3440" t="s">
        <v>178</v>
      </c>
    </row>
    <row r="3441" spans="1:17" x14ac:dyDescent="0.25">
      <c r="A3441" t="s">
        <v>1148</v>
      </c>
      <c r="B3441" t="s">
        <v>1056</v>
      </c>
      <c r="C3441" t="s">
        <v>175</v>
      </c>
      <c r="D3441" t="s">
        <v>74</v>
      </c>
      <c r="E3441" t="s">
        <v>75</v>
      </c>
      <c r="F3441">
        <v>2</v>
      </c>
      <c r="G3441" t="s">
        <v>176</v>
      </c>
      <c r="H3441">
        <v>0</v>
      </c>
      <c r="I3441">
        <v>24</v>
      </c>
      <c r="J3441" s="10">
        <v>30</v>
      </c>
      <c r="K3441" s="10">
        <f>SUMIFS(F:F,D:D,DST_123_ÜRETİM_İHTİYAÇ_RAPORU_BURAK_YENI1309[[#This Row],[ALT_KOD]])-(SUMIFS(H:H,D:D,DST_123_ÜRETİM_İHTİYAÇ_RAPORU_BURAK_YENI1309[[#This Row],[ALT_KOD]])+AVERAGEIFS(I:I,D:D,DST_123_ÜRETİM_İHTİYAÇ_RAPORU_BURAK_YENI1309[[#This Row],[ALT_KOD]])+AVERAGEIFS(L:L,D:D,DST_123_ÜRETİM_İHTİYAÇ_RAPORU_BURAK_YENI1309[[#This Row],[ALT_KOD]]))</f>
        <v>-24</v>
      </c>
      <c r="L3441">
        <v>50</v>
      </c>
      <c r="M3441">
        <f>IF((DST_123_ÜRETİM_İHTİYAÇ_RAPORU_BURAK_YENI1309[[#This Row],[SATINALMA]]*DST_123_ÜRETİM_İHTİYAÇ_RAPORU_BURAK_YENI1309[[#This Row],[BIRIM_FIYATLAR]])&lt;1,VALUE("0"),DST_123_ÜRETİM_İHTİYAÇ_RAPORU_BURAK_YENI1309[[#This Row],[SATINALMA]]*DST_123_ÜRETİM_İHTİYAÇ_RAPORU_BURAK_YENI1309[[#This Row],[BIRIM_FIYATLAR]])</f>
        <v>0</v>
      </c>
      <c r="N3441">
        <v>37</v>
      </c>
      <c r="O3441" t="s">
        <v>821</v>
      </c>
      <c r="P3441">
        <v>74</v>
      </c>
      <c r="Q3441" t="s">
        <v>178</v>
      </c>
    </row>
    <row r="3442" spans="1:17" x14ac:dyDescent="0.25">
      <c r="A3442" t="s">
        <v>1101</v>
      </c>
      <c r="B3442" t="s">
        <v>1102</v>
      </c>
      <c r="C3442" t="s">
        <v>175</v>
      </c>
      <c r="D3442" t="s">
        <v>80</v>
      </c>
      <c r="E3442" t="s">
        <v>81</v>
      </c>
      <c r="F3442">
        <v>6</v>
      </c>
      <c r="G3442" t="s">
        <v>176</v>
      </c>
      <c r="H3442">
        <v>6</v>
      </c>
      <c r="I3442">
        <v>0</v>
      </c>
      <c r="J3442" s="10">
        <v>10.500000000000064</v>
      </c>
      <c r="K3442" s="10">
        <f>SUMIFS(F:F,D:D,DST_123_ÜRETİM_İHTİYAÇ_RAPORU_BURAK_YENI1309[[#This Row],[ALT_KOD]])-(SUMIFS(H:H,D:D,DST_123_ÜRETİM_İHTİYAÇ_RAPORU_BURAK_YENI1309[[#This Row],[ALT_KOD]])+AVERAGEIFS(I:I,D:D,DST_123_ÜRETİM_İHTİYAÇ_RAPORU_BURAK_YENI1309[[#This Row],[ALT_KOD]])+AVERAGEIFS(L:L,D:D,DST_123_ÜRETİM_İHTİYAÇ_RAPORU_BURAK_YENI1309[[#This Row],[ALT_KOD]]))</f>
        <v>25</v>
      </c>
      <c r="L3442">
        <v>40</v>
      </c>
      <c r="M3442">
        <f>IF((DST_123_ÜRETİM_İHTİYAÇ_RAPORU_BURAK_YENI1309[[#This Row],[SATINALMA]]*DST_123_ÜRETİM_İHTİYAÇ_RAPORU_BURAK_YENI1309[[#This Row],[BIRIM_FIYATLAR]])&lt;1,VALUE("0"),DST_123_ÜRETİM_İHTİYAÇ_RAPORU_BURAK_YENI1309[[#This Row],[SATINALMA]]*DST_123_ÜRETİM_İHTİYAÇ_RAPORU_BURAK_YENI1309[[#This Row],[BIRIM_FIYATLAR]])</f>
        <v>16666.75</v>
      </c>
      <c r="N3442">
        <v>666.67</v>
      </c>
      <c r="O3442" t="s">
        <v>223</v>
      </c>
      <c r="P3442">
        <v>4000.0199999999995</v>
      </c>
      <c r="Q3442" t="s">
        <v>181</v>
      </c>
    </row>
    <row r="3443" spans="1:17" x14ac:dyDescent="0.25">
      <c r="A3443" t="s">
        <v>1060</v>
      </c>
      <c r="B3443" t="s">
        <v>1061</v>
      </c>
      <c r="C3443" t="s">
        <v>175</v>
      </c>
      <c r="D3443" t="s">
        <v>151</v>
      </c>
      <c r="E3443" t="s">
        <v>152</v>
      </c>
      <c r="F3443">
        <v>40</v>
      </c>
      <c r="G3443" t="s">
        <v>176</v>
      </c>
      <c r="H3443">
        <v>0</v>
      </c>
      <c r="I3443">
        <v>1000</v>
      </c>
      <c r="J3443" s="10">
        <v>439.00000000000023</v>
      </c>
      <c r="K3443" s="10">
        <f>SUMIFS(F:F,D:D,DST_123_ÜRETİM_İHTİYAÇ_RAPORU_BURAK_YENI1309[[#This Row],[ALT_KOD]])-(SUMIFS(H:H,D:D,DST_123_ÜRETİM_İHTİYAÇ_RAPORU_BURAK_YENI1309[[#This Row],[ALT_KOD]])+AVERAGEIFS(I:I,D:D,DST_123_ÜRETİM_İHTİYAÇ_RAPORU_BURAK_YENI1309[[#This Row],[ALT_KOD]])+AVERAGEIFS(L:L,D:D,DST_123_ÜRETİM_İHTİYAÇ_RAPORU_BURAK_YENI1309[[#This Row],[ALT_KOD]]))</f>
        <v>-860</v>
      </c>
      <c r="L3443">
        <v>0</v>
      </c>
      <c r="M3443">
        <f>IF((DST_123_ÜRETİM_İHTİYAÇ_RAPORU_BURAK_YENI1309[[#This Row],[SATINALMA]]*DST_123_ÜRETİM_İHTİYAÇ_RAPORU_BURAK_YENI1309[[#This Row],[BIRIM_FIYATLAR]])&lt;1,VALUE("0"),DST_123_ÜRETİM_İHTİYAÇ_RAPORU_BURAK_YENI1309[[#This Row],[SATINALMA]]*DST_123_ÜRETİM_İHTİYAÇ_RAPORU_BURAK_YENI1309[[#This Row],[BIRIM_FIYATLAR]])</f>
        <v>0</v>
      </c>
      <c r="N3443">
        <v>0.5</v>
      </c>
      <c r="O3443" t="s">
        <v>240</v>
      </c>
      <c r="P3443">
        <v>20</v>
      </c>
      <c r="Q3443" t="s">
        <v>180</v>
      </c>
    </row>
    <row r="3444" spans="1:17" x14ac:dyDescent="0.25">
      <c r="A3444" t="s">
        <v>1057</v>
      </c>
      <c r="B3444" t="s">
        <v>1058</v>
      </c>
      <c r="C3444" t="s">
        <v>175</v>
      </c>
      <c r="D3444" t="s">
        <v>151</v>
      </c>
      <c r="E3444" t="s">
        <v>152</v>
      </c>
      <c r="F3444">
        <v>50</v>
      </c>
      <c r="G3444" t="s">
        <v>176</v>
      </c>
      <c r="H3444">
        <v>0</v>
      </c>
      <c r="I3444">
        <v>1000</v>
      </c>
      <c r="J3444" s="10">
        <v>439.00000000000023</v>
      </c>
      <c r="K3444" s="10">
        <f>SUMIFS(F:F,D:D,DST_123_ÜRETİM_İHTİYAÇ_RAPORU_BURAK_YENI1309[[#This Row],[ALT_KOD]])-(SUMIFS(H:H,D:D,DST_123_ÜRETİM_İHTİYAÇ_RAPORU_BURAK_YENI1309[[#This Row],[ALT_KOD]])+AVERAGEIFS(I:I,D:D,DST_123_ÜRETİM_İHTİYAÇ_RAPORU_BURAK_YENI1309[[#This Row],[ALT_KOD]])+AVERAGEIFS(L:L,D:D,DST_123_ÜRETİM_İHTİYAÇ_RAPORU_BURAK_YENI1309[[#This Row],[ALT_KOD]]))</f>
        <v>-860</v>
      </c>
      <c r="L3444">
        <v>0</v>
      </c>
      <c r="M3444">
        <f>IF((DST_123_ÜRETİM_İHTİYAÇ_RAPORU_BURAK_YENI1309[[#This Row],[SATINALMA]]*DST_123_ÜRETİM_İHTİYAÇ_RAPORU_BURAK_YENI1309[[#This Row],[BIRIM_FIYATLAR]])&lt;1,VALUE("0"),DST_123_ÜRETİM_İHTİYAÇ_RAPORU_BURAK_YENI1309[[#This Row],[SATINALMA]]*DST_123_ÜRETİM_İHTİYAÇ_RAPORU_BURAK_YENI1309[[#This Row],[BIRIM_FIYATLAR]])</f>
        <v>0</v>
      </c>
      <c r="N3444">
        <v>0.5</v>
      </c>
      <c r="O3444" t="s">
        <v>240</v>
      </c>
      <c r="P3444">
        <v>25</v>
      </c>
      <c r="Q3444" t="s">
        <v>180</v>
      </c>
    </row>
    <row r="3445" spans="1:17" x14ac:dyDescent="0.25">
      <c r="A3445" t="s">
        <v>1149</v>
      </c>
      <c r="B3445" t="s">
        <v>1145</v>
      </c>
      <c r="C3445" t="s">
        <v>175</v>
      </c>
      <c r="D3445" t="s">
        <v>80</v>
      </c>
      <c r="E3445" t="s">
        <v>81</v>
      </c>
      <c r="F3445">
        <v>6</v>
      </c>
      <c r="G3445" t="s">
        <v>176</v>
      </c>
      <c r="H3445">
        <v>0</v>
      </c>
      <c r="I3445">
        <v>0</v>
      </c>
      <c r="J3445" s="10">
        <v>10.500000000000064</v>
      </c>
      <c r="K3445" s="10">
        <f>SUMIFS(F:F,D:D,DST_123_ÜRETİM_İHTİYAÇ_RAPORU_BURAK_YENI1309[[#This Row],[ALT_KOD]])-(SUMIFS(H:H,D:D,DST_123_ÜRETİM_İHTİYAÇ_RAPORU_BURAK_YENI1309[[#This Row],[ALT_KOD]])+AVERAGEIFS(I:I,D:D,DST_123_ÜRETİM_İHTİYAÇ_RAPORU_BURAK_YENI1309[[#This Row],[ALT_KOD]])+AVERAGEIFS(L:L,D:D,DST_123_ÜRETİM_İHTİYAÇ_RAPORU_BURAK_YENI1309[[#This Row],[ALT_KOD]]))</f>
        <v>25</v>
      </c>
      <c r="L3445">
        <v>40</v>
      </c>
      <c r="M3445">
        <f>IF((DST_123_ÜRETİM_İHTİYAÇ_RAPORU_BURAK_YENI1309[[#This Row],[SATINALMA]]*DST_123_ÜRETİM_İHTİYAÇ_RAPORU_BURAK_YENI1309[[#This Row],[BIRIM_FIYATLAR]])&lt;1,VALUE("0"),DST_123_ÜRETİM_İHTİYAÇ_RAPORU_BURAK_YENI1309[[#This Row],[SATINALMA]]*DST_123_ÜRETİM_İHTİYAÇ_RAPORU_BURAK_YENI1309[[#This Row],[BIRIM_FIYATLAR]])</f>
        <v>16666.75</v>
      </c>
      <c r="N3445">
        <v>666.67</v>
      </c>
      <c r="O3445" t="s">
        <v>223</v>
      </c>
      <c r="P3445">
        <v>4000.0199999999995</v>
      </c>
      <c r="Q3445" t="s">
        <v>181</v>
      </c>
    </row>
    <row r="3446" spans="1:17" x14ac:dyDescent="0.25">
      <c r="A3446" t="s">
        <v>1101</v>
      </c>
      <c r="B3446" t="s">
        <v>1102</v>
      </c>
      <c r="C3446" t="s">
        <v>175</v>
      </c>
      <c r="D3446" t="s">
        <v>558</v>
      </c>
      <c r="E3446" t="s">
        <v>559</v>
      </c>
      <c r="F3446">
        <v>3</v>
      </c>
      <c r="G3446" t="s">
        <v>176</v>
      </c>
      <c r="H3446">
        <v>0</v>
      </c>
      <c r="I3446">
        <v>34</v>
      </c>
      <c r="J3446" s="10">
        <v>97.880000000000024</v>
      </c>
      <c r="K3446" s="10">
        <f>SUMIFS(F:F,D:D,DST_123_ÜRETİM_İHTİYAÇ_RAPORU_BURAK_YENI1309[[#This Row],[ALT_KOD]])-(SUMIFS(H:H,D:D,DST_123_ÜRETİM_İHTİYAÇ_RAPORU_BURAK_YENI1309[[#This Row],[ALT_KOD]])+AVERAGEIFS(I:I,D:D,DST_123_ÜRETİM_İHTİYAÇ_RAPORU_BURAK_YENI1309[[#This Row],[ALT_KOD]])+AVERAGEIFS(L:L,D:D,DST_123_ÜRETİM_İHTİYAÇ_RAPORU_BURAK_YENI1309[[#This Row],[ALT_KOD]]))</f>
        <v>0.88000000000000256</v>
      </c>
      <c r="L3446">
        <v>0</v>
      </c>
      <c r="M3446">
        <f>IF((DST_123_ÜRETİM_İHTİYAÇ_RAPORU_BURAK_YENI1309[[#This Row],[SATINALMA]]*DST_123_ÜRETİM_İHTİYAÇ_RAPORU_BURAK_YENI1309[[#This Row],[BIRIM_FIYATLAR]])&lt;1,VALUE("0"),DST_123_ÜRETİM_İHTİYAÇ_RAPORU_BURAK_YENI1309[[#This Row],[SATINALMA]]*DST_123_ÜRETİM_İHTİYAÇ_RAPORU_BURAK_YENI1309[[#This Row],[BIRIM_FIYATLAR]])</f>
        <v>48.400000000000141</v>
      </c>
      <c r="N3446">
        <v>55</v>
      </c>
      <c r="O3446" t="s">
        <v>240</v>
      </c>
      <c r="P3446">
        <v>165</v>
      </c>
      <c r="Q3446" t="s">
        <v>180</v>
      </c>
    </row>
    <row r="3447" spans="1:17" x14ac:dyDescent="0.25">
      <c r="A3447" t="s">
        <v>1147</v>
      </c>
      <c r="B3447" t="s">
        <v>1145</v>
      </c>
      <c r="C3447" t="s">
        <v>175</v>
      </c>
      <c r="D3447" t="s">
        <v>466</v>
      </c>
      <c r="E3447" t="s">
        <v>467</v>
      </c>
      <c r="F3447">
        <v>110</v>
      </c>
      <c r="G3447" t="s">
        <v>176</v>
      </c>
      <c r="H3447">
        <v>0</v>
      </c>
      <c r="I3447">
        <v>7500</v>
      </c>
      <c r="J3447" s="10">
        <v>0</v>
      </c>
      <c r="K3447" s="10">
        <f>SUMIFS(F:F,D:D,DST_123_ÜRETİM_İHTİYAÇ_RAPORU_BURAK_YENI1309[[#This Row],[ALT_KOD]])-(SUMIFS(H:H,D:D,DST_123_ÜRETİM_İHTİYAÇ_RAPORU_BURAK_YENI1309[[#This Row],[ALT_KOD]])+AVERAGEIFS(I:I,D:D,DST_123_ÜRETİM_İHTİYAÇ_RAPORU_BURAK_YENI1309[[#This Row],[ALT_KOD]])+AVERAGEIFS(L:L,D:D,DST_123_ÜRETİM_İHTİYAÇ_RAPORU_BURAK_YENI1309[[#This Row],[ALT_KOD]]))</f>
        <v>-5570</v>
      </c>
      <c r="L3447">
        <v>0</v>
      </c>
      <c r="M3447">
        <f>IF((DST_123_ÜRETİM_İHTİYAÇ_RAPORU_BURAK_YENI1309[[#This Row],[SATINALMA]]*DST_123_ÜRETİM_İHTİYAÇ_RAPORU_BURAK_YENI1309[[#This Row],[BIRIM_FIYATLAR]])&lt;1,VALUE("0"),DST_123_ÜRETİM_İHTİYAÇ_RAPORU_BURAK_YENI1309[[#This Row],[SATINALMA]]*DST_123_ÜRETİM_İHTİYAÇ_RAPORU_BURAK_YENI1309[[#This Row],[BIRIM_FIYATLAR]])</f>
        <v>0</v>
      </c>
      <c r="N3447">
        <v>0.8</v>
      </c>
      <c r="O3447" t="s">
        <v>826</v>
      </c>
      <c r="P3447">
        <v>88</v>
      </c>
      <c r="Q3447" t="s">
        <v>180</v>
      </c>
    </row>
    <row r="3448" spans="1:17" x14ac:dyDescent="0.25">
      <c r="A3448" t="s">
        <v>1148</v>
      </c>
      <c r="B3448" t="s">
        <v>1056</v>
      </c>
      <c r="C3448" t="s">
        <v>175</v>
      </c>
      <c r="D3448" t="s">
        <v>466</v>
      </c>
      <c r="E3448" t="s">
        <v>467</v>
      </c>
      <c r="F3448">
        <v>80</v>
      </c>
      <c r="G3448" t="s">
        <v>176</v>
      </c>
      <c r="H3448">
        <v>0</v>
      </c>
      <c r="I3448">
        <v>7500</v>
      </c>
      <c r="J3448" s="10">
        <v>0</v>
      </c>
      <c r="K3448" s="10">
        <f>SUMIFS(F:F,D:D,DST_123_ÜRETİM_İHTİYAÇ_RAPORU_BURAK_YENI1309[[#This Row],[ALT_KOD]])-(SUMIFS(H:H,D:D,DST_123_ÜRETİM_İHTİYAÇ_RAPORU_BURAK_YENI1309[[#This Row],[ALT_KOD]])+AVERAGEIFS(I:I,D:D,DST_123_ÜRETİM_İHTİYAÇ_RAPORU_BURAK_YENI1309[[#This Row],[ALT_KOD]])+AVERAGEIFS(L:L,D:D,DST_123_ÜRETİM_İHTİYAÇ_RAPORU_BURAK_YENI1309[[#This Row],[ALT_KOD]]))</f>
        <v>-5570</v>
      </c>
      <c r="L3448">
        <v>0</v>
      </c>
      <c r="M3448">
        <f>IF((DST_123_ÜRETİM_İHTİYAÇ_RAPORU_BURAK_YENI1309[[#This Row],[SATINALMA]]*DST_123_ÜRETİM_İHTİYAÇ_RAPORU_BURAK_YENI1309[[#This Row],[BIRIM_FIYATLAR]])&lt;1,VALUE("0"),DST_123_ÜRETİM_İHTİYAÇ_RAPORU_BURAK_YENI1309[[#This Row],[SATINALMA]]*DST_123_ÜRETİM_İHTİYAÇ_RAPORU_BURAK_YENI1309[[#This Row],[BIRIM_FIYATLAR]])</f>
        <v>0</v>
      </c>
      <c r="N3448">
        <v>0.8</v>
      </c>
      <c r="O3448" t="s">
        <v>826</v>
      </c>
      <c r="P3448">
        <v>64</v>
      </c>
      <c r="Q3448" t="s">
        <v>180</v>
      </c>
    </row>
    <row r="3449" spans="1:17" x14ac:dyDescent="0.25">
      <c r="A3449" t="s">
        <v>1147</v>
      </c>
      <c r="B3449" t="s">
        <v>1145</v>
      </c>
      <c r="C3449" t="s">
        <v>175</v>
      </c>
      <c r="D3449" t="s">
        <v>558</v>
      </c>
      <c r="E3449" t="s">
        <v>559</v>
      </c>
      <c r="F3449">
        <v>4.25</v>
      </c>
      <c r="G3449" t="s">
        <v>176</v>
      </c>
      <c r="H3449">
        <v>0</v>
      </c>
      <c r="I3449">
        <v>34</v>
      </c>
      <c r="J3449" s="10">
        <v>97.880000000000024</v>
      </c>
      <c r="K3449" s="10">
        <f>SUMIFS(F:F,D:D,DST_123_ÜRETİM_İHTİYAÇ_RAPORU_BURAK_YENI1309[[#This Row],[ALT_KOD]])-(SUMIFS(H:H,D:D,DST_123_ÜRETİM_İHTİYAÇ_RAPORU_BURAK_YENI1309[[#This Row],[ALT_KOD]])+AVERAGEIFS(I:I,D:D,DST_123_ÜRETİM_İHTİYAÇ_RAPORU_BURAK_YENI1309[[#This Row],[ALT_KOD]])+AVERAGEIFS(L:L,D:D,DST_123_ÜRETİM_İHTİYAÇ_RAPORU_BURAK_YENI1309[[#This Row],[ALT_KOD]]))</f>
        <v>0.88000000000000256</v>
      </c>
      <c r="L3449">
        <v>0</v>
      </c>
      <c r="M3449">
        <f>IF((DST_123_ÜRETİM_İHTİYAÇ_RAPORU_BURAK_YENI1309[[#This Row],[SATINALMA]]*DST_123_ÜRETİM_İHTİYAÇ_RAPORU_BURAK_YENI1309[[#This Row],[BIRIM_FIYATLAR]])&lt;1,VALUE("0"),DST_123_ÜRETİM_İHTİYAÇ_RAPORU_BURAK_YENI1309[[#This Row],[SATINALMA]]*DST_123_ÜRETİM_İHTİYAÇ_RAPORU_BURAK_YENI1309[[#This Row],[BIRIM_FIYATLAR]])</f>
        <v>48.400000000000141</v>
      </c>
      <c r="N3449">
        <v>55</v>
      </c>
      <c r="O3449" t="s">
        <v>240</v>
      </c>
      <c r="P3449">
        <v>233.75</v>
      </c>
      <c r="Q3449" t="s">
        <v>180</v>
      </c>
    </row>
    <row r="3450" spans="1:17" x14ac:dyDescent="0.25">
      <c r="A3450" t="s">
        <v>1196</v>
      </c>
      <c r="B3450" t="s">
        <v>1197</v>
      </c>
      <c r="C3450" t="s">
        <v>175</v>
      </c>
      <c r="D3450" t="s">
        <v>466</v>
      </c>
      <c r="E3450" t="s">
        <v>467</v>
      </c>
      <c r="F3450">
        <v>110</v>
      </c>
      <c r="G3450" t="s">
        <v>176</v>
      </c>
      <c r="H3450">
        <v>0</v>
      </c>
      <c r="I3450">
        <v>7500</v>
      </c>
      <c r="J3450" s="10">
        <v>0</v>
      </c>
      <c r="K3450" s="10">
        <f>SUMIFS(F:F,D:D,DST_123_ÜRETİM_İHTİYAÇ_RAPORU_BURAK_YENI1309[[#This Row],[ALT_KOD]])-(SUMIFS(H:H,D:D,DST_123_ÜRETİM_İHTİYAÇ_RAPORU_BURAK_YENI1309[[#This Row],[ALT_KOD]])+AVERAGEIFS(I:I,D:D,DST_123_ÜRETİM_İHTİYAÇ_RAPORU_BURAK_YENI1309[[#This Row],[ALT_KOD]])+AVERAGEIFS(L:L,D:D,DST_123_ÜRETİM_İHTİYAÇ_RAPORU_BURAK_YENI1309[[#This Row],[ALT_KOD]]))</f>
        <v>-5570</v>
      </c>
      <c r="L3450">
        <v>0</v>
      </c>
      <c r="M3450">
        <f>IF((DST_123_ÜRETİM_İHTİYAÇ_RAPORU_BURAK_YENI1309[[#This Row],[SATINALMA]]*DST_123_ÜRETİM_İHTİYAÇ_RAPORU_BURAK_YENI1309[[#This Row],[BIRIM_FIYATLAR]])&lt;1,VALUE("0"),DST_123_ÜRETİM_İHTİYAÇ_RAPORU_BURAK_YENI1309[[#This Row],[SATINALMA]]*DST_123_ÜRETİM_İHTİYAÇ_RAPORU_BURAK_YENI1309[[#This Row],[BIRIM_FIYATLAR]])</f>
        <v>0</v>
      </c>
      <c r="N3450">
        <v>0.8</v>
      </c>
      <c r="O3450" t="s">
        <v>826</v>
      </c>
      <c r="P3450">
        <v>88</v>
      </c>
      <c r="Q3450" t="s">
        <v>180</v>
      </c>
    </row>
    <row r="3451" spans="1:17" x14ac:dyDescent="0.25">
      <c r="A3451" t="s">
        <v>1099</v>
      </c>
      <c r="B3451" t="s">
        <v>1055</v>
      </c>
      <c r="C3451" t="s">
        <v>175</v>
      </c>
      <c r="D3451" t="s">
        <v>466</v>
      </c>
      <c r="E3451" t="s">
        <v>467</v>
      </c>
      <c r="F3451">
        <v>120</v>
      </c>
      <c r="G3451" t="s">
        <v>176</v>
      </c>
      <c r="H3451">
        <v>0</v>
      </c>
      <c r="I3451">
        <v>7500</v>
      </c>
      <c r="J3451" s="10">
        <v>0</v>
      </c>
      <c r="K3451" s="10">
        <f>SUMIFS(F:F,D:D,DST_123_ÜRETİM_İHTİYAÇ_RAPORU_BURAK_YENI1309[[#This Row],[ALT_KOD]])-(SUMIFS(H:H,D:D,DST_123_ÜRETİM_İHTİYAÇ_RAPORU_BURAK_YENI1309[[#This Row],[ALT_KOD]])+AVERAGEIFS(I:I,D:D,DST_123_ÜRETİM_İHTİYAÇ_RAPORU_BURAK_YENI1309[[#This Row],[ALT_KOD]])+AVERAGEIFS(L:L,D:D,DST_123_ÜRETİM_İHTİYAÇ_RAPORU_BURAK_YENI1309[[#This Row],[ALT_KOD]]))</f>
        <v>-5570</v>
      </c>
      <c r="L3451">
        <v>0</v>
      </c>
      <c r="M3451">
        <f>IF((DST_123_ÜRETİM_İHTİYAÇ_RAPORU_BURAK_YENI1309[[#This Row],[SATINALMA]]*DST_123_ÜRETİM_İHTİYAÇ_RAPORU_BURAK_YENI1309[[#This Row],[BIRIM_FIYATLAR]])&lt;1,VALUE("0"),DST_123_ÜRETİM_İHTİYAÇ_RAPORU_BURAK_YENI1309[[#This Row],[SATINALMA]]*DST_123_ÜRETİM_İHTİYAÇ_RAPORU_BURAK_YENI1309[[#This Row],[BIRIM_FIYATLAR]])</f>
        <v>0</v>
      </c>
      <c r="N3451">
        <v>0.8</v>
      </c>
      <c r="O3451" t="s">
        <v>826</v>
      </c>
      <c r="P3451">
        <v>96</v>
      </c>
      <c r="Q3451" t="s">
        <v>180</v>
      </c>
    </row>
    <row r="3452" spans="1:17" x14ac:dyDescent="0.25">
      <c r="A3452" t="s">
        <v>1196</v>
      </c>
      <c r="B3452" t="s">
        <v>1197</v>
      </c>
      <c r="C3452" t="s">
        <v>175</v>
      </c>
      <c r="D3452" t="s">
        <v>558</v>
      </c>
      <c r="E3452" t="s">
        <v>559</v>
      </c>
      <c r="F3452">
        <v>4.25</v>
      </c>
      <c r="G3452" t="s">
        <v>176</v>
      </c>
      <c r="H3452">
        <v>0</v>
      </c>
      <c r="I3452">
        <v>34</v>
      </c>
      <c r="J3452" s="10">
        <v>97.880000000000024</v>
      </c>
      <c r="K3452" s="10">
        <f>SUMIFS(F:F,D:D,DST_123_ÜRETİM_İHTİYAÇ_RAPORU_BURAK_YENI1309[[#This Row],[ALT_KOD]])-(SUMIFS(H:H,D:D,DST_123_ÜRETİM_İHTİYAÇ_RAPORU_BURAK_YENI1309[[#This Row],[ALT_KOD]])+AVERAGEIFS(I:I,D:D,DST_123_ÜRETİM_İHTİYAÇ_RAPORU_BURAK_YENI1309[[#This Row],[ALT_KOD]])+AVERAGEIFS(L:L,D:D,DST_123_ÜRETİM_İHTİYAÇ_RAPORU_BURAK_YENI1309[[#This Row],[ALT_KOD]]))</f>
        <v>0.88000000000000256</v>
      </c>
      <c r="L3452">
        <v>0</v>
      </c>
      <c r="M3452">
        <f>IF((DST_123_ÜRETİM_İHTİYAÇ_RAPORU_BURAK_YENI1309[[#This Row],[SATINALMA]]*DST_123_ÜRETİM_İHTİYAÇ_RAPORU_BURAK_YENI1309[[#This Row],[BIRIM_FIYATLAR]])&lt;1,VALUE("0"),DST_123_ÜRETİM_İHTİYAÇ_RAPORU_BURAK_YENI1309[[#This Row],[SATINALMA]]*DST_123_ÜRETİM_İHTİYAÇ_RAPORU_BURAK_YENI1309[[#This Row],[BIRIM_FIYATLAR]])</f>
        <v>48.400000000000141</v>
      </c>
      <c r="N3452">
        <v>55</v>
      </c>
      <c r="O3452" t="s">
        <v>240</v>
      </c>
      <c r="P3452">
        <v>233.75</v>
      </c>
      <c r="Q3452" t="s">
        <v>180</v>
      </c>
    </row>
    <row r="3453" spans="1:17" x14ac:dyDescent="0.25">
      <c r="A3453" t="s">
        <v>1143</v>
      </c>
      <c r="B3453" t="s">
        <v>1056</v>
      </c>
      <c r="C3453" t="s">
        <v>175</v>
      </c>
      <c r="D3453" t="s">
        <v>466</v>
      </c>
      <c r="E3453" t="s">
        <v>467</v>
      </c>
      <c r="F3453">
        <v>105</v>
      </c>
      <c r="G3453" t="s">
        <v>176</v>
      </c>
      <c r="H3453">
        <v>0</v>
      </c>
      <c r="I3453">
        <v>7500</v>
      </c>
      <c r="J3453" s="10">
        <v>0</v>
      </c>
      <c r="K3453" s="10">
        <f>SUMIFS(F:F,D:D,DST_123_ÜRETİM_İHTİYAÇ_RAPORU_BURAK_YENI1309[[#This Row],[ALT_KOD]])-(SUMIFS(H:H,D:D,DST_123_ÜRETİM_İHTİYAÇ_RAPORU_BURAK_YENI1309[[#This Row],[ALT_KOD]])+AVERAGEIFS(I:I,D:D,DST_123_ÜRETİM_İHTİYAÇ_RAPORU_BURAK_YENI1309[[#This Row],[ALT_KOD]])+AVERAGEIFS(L:L,D:D,DST_123_ÜRETİM_İHTİYAÇ_RAPORU_BURAK_YENI1309[[#This Row],[ALT_KOD]]))</f>
        <v>-5570</v>
      </c>
      <c r="L3453">
        <v>0</v>
      </c>
      <c r="M3453">
        <f>IF((DST_123_ÜRETİM_İHTİYAÇ_RAPORU_BURAK_YENI1309[[#This Row],[SATINALMA]]*DST_123_ÜRETİM_İHTİYAÇ_RAPORU_BURAK_YENI1309[[#This Row],[BIRIM_FIYATLAR]])&lt;1,VALUE("0"),DST_123_ÜRETİM_İHTİYAÇ_RAPORU_BURAK_YENI1309[[#This Row],[SATINALMA]]*DST_123_ÜRETİM_İHTİYAÇ_RAPORU_BURAK_YENI1309[[#This Row],[BIRIM_FIYATLAR]])</f>
        <v>0</v>
      </c>
      <c r="N3453">
        <v>0.8</v>
      </c>
      <c r="O3453" t="s">
        <v>826</v>
      </c>
      <c r="P3453">
        <v>84</v>
      </c>
      <c r="Q3453" t="s">
        <v>180</v>
      </c>
    </row>
    <row r="3454" spans="1:17" x14ac:dyDescent="0.25">
      <c r="A3454" t="s">
        <v>1097</v>
      </c>
      <c r="B3454" t="s">
        <v>1055</v>
      </c>
      <c r="C3454" t="s">
        <v>175</v>
      </c>
      <c r="D3454" t="s">
        <v>466</v>
      </c>
      <c r="E3454" t="s">
        <v>467</v>
      </c>
      <c r="F3454">
        <v>80</v>
      </c>
      <c r="G3454" t="s">
        <v>176</v>
      </c>
      <c r="H3454">
        <v>0</v>
      </c>
      <c r="I3454">
        <v>7500</v>
      </c>
      <c r="J3454" s="10">
        <v>0</v>
      </c>
      <c r="K3454" s="10">
        <f>SUMIFS(F:F,D:D,DST_123_ÜRETİM_İHTİYAÇ_RAPORU_BURAK_YENI1309[[#This Row],[ALT_KOD]])-(SUMIFS(H:H,D:D,DST_123_ÜRETİM_İHTİYAÇ_RAPORU_BURAK_YENI1309[[#This Row],[ALT_KOD]])+AVERAGEIFS(I:I,D:D,DST_123_ÜRETİM_İHTİYAÇ_RAPORU_BURAK_YENI1309[[#This Row],[ALT_KOD]])+AVERAGEIFS(L:L,D:D,DST_123_ÜRETİM_İHTİYAÇ_RAPORU_BURAK_YENI1309[[#This Row],[ALT_KOD]]))</f>
        <v>-5570</v>
      </c>
      <c r="L3454">
        <v>0</v>
      </c>
      <c r="M3454">
        <f>IF((DST_123_ÜRETİM_İHTİYAÇ_RAPORU_BURAK_YENI1309[[#This Row],[SATINALMA]]*DST_123_ÜRETİM_İHTİYAÇ_RAPORU_BURAK_YENI1309[[#This Row],[BIRIM_FIYATLAR]])&lt;1,VALUE("0"),DST_123_ÜRETİM_İHTİYAÇ_RAPORU_BURAK_YENI1309[[#This Row],[SATINALMA]]*DST_123_ÜRETİM_İHTİYAÇ_RAPORU_BURAK_YENI1309[[#This Row],[BIRIM_FIYATLAR]])</f>
        <v>0</v>
      </c>
      <c r="N3454">
        <v>0.8</v>
      </c>
      <c r="O3454" t="s">
        <v>826</v>
      </c>
      <c r="P3454">
        <v>64</v>
      </c>
      <c r="Q3454" t="s">
        <v>180</v>
      </c>
    </row>
    <row r="3455" spans="1:17" x14ac:dyDescent="0.25">
      <c r="A3455" t="s">
        <v>1143</v>
      </c>
      <c r="B3455" t="s">
        <v>1056</v>
      </c>
      <c r="C3455" t="s">
        <v>175</v>
      </c>
      <c r="D3455" t="s">
        <v>558</v>
      </c>
      <c r="E3455" t="s">
        <v>559</v>
      </c>
      <c r="F3455">
        <v>3.38</v>
      </c>
      <c r="G3455" t="s">
        <v>176</v>
      </c>
      <c r="H3455">
        <v>0</v>
      </c>
      <c r="I3455">
        <v>34</v>
      </c>
      <c r="J3455" s="10">
        <v>97.880000000000024</v>
      </c>
      <c r="K3455" s="10">
        <f>SUMIFS(F:F,D:D,DST_123_ÜRETİM_İHTİYAÇ_RAPORU_BURAK_YENI1309[[#This Row],[ALT_KOD]])-(SUMIFS(H:H,D:D,DST_123_ÜRETİM_İHTİYAÇ_RAPORU_BURAK_YENI1309[[#This Row],[ALT_KOD]])+AVERAGEIFS(I:I,D:D,DST_123_ÜRETİM_İHTİYAÇ_RAPORU_BURAK_YENI1309[[#This Row],[ALT_KOD]])+AVERAGEIFS(L:L,D:D,DST_123_ÜRETİM_İHTİYAÇ_RAPORU_BURAK_YENI1309[[#This Row],[ALT_KOD]]))</f>
        <v>0.88000000000000256</v>
      </c>
      <c r="L3455">
        <v>0</v>
      </c>
      <c r="M3455">
        <f>IF((DST_123_ÜRETİM_İHTİYAÇ_RAPORU_BURAK_YENI1309[[#This Row],[SATINALMA]]*DST_123_ÜRETİM_İHTİYAÇ_RAPORU_BURAK_YENI1309[[#This Row],[BIRIM_FIYATLAR]])&lt;1,VALUE("0"),DST_123_ÜRETİM_İHTİYAÇ_RAPORU_BURAK_YENI1309[[#This Row],[SATINALMA]]*DST_123_ÜRETİM_İHTİYAÇ_RAPORU_BURAK_YENI1309[[#This Row],[BIRIM_FIYATLAR]])</f>
        <v>48.400000000000141</v>
      </c>
      <c r="N3455">
        <v>55</v>
      </c>
      <c r="O3455" t="s">
        <v>240</v>
      </c>
      <c r="P3455">
        <v>185.9</v>
      </c>
      <c r="Q3455" t="s">
        <v>180</v>
      </c>
    </row>
    <row r="3456" spans="1:17" x14ac:dyDescent="0.25">
      <c r="A3456" t="s">
        <v>1059</v>
      </c>
      <c r="B3456" t="s">
        <v>1058</v>
      </c>
      <c r="C3456" t="s">
        <v>175</v>
      </c>
      <c r="D3456" t="s">
        <v>143</v>
      </c>
      <c r="E3456" t="s">
        <v>144</v>
      </c>
      <c r="F3456">
        <v>4</v>
      </c>
      <c r="G3456" t="s">
        <v>176</v>
      </c>
      <c r="H3456">
        <v>0</v>
      </c>
      <c r="I3456">
        <v>0</v>
      </c>
      <c r="J3456" s="10">
        <v>64</v>
      </c>
      <c r="K3456" s="10">
        <f>SUMIFS(F:F,D:D,DST_123_ÜRETİM_İHTİYAÇ_RAPORU_BURAK_YENI1309[[#This Row],[ALT_KOD]])-(SUMIFS(H:H,D:D,DST_123_ÜRETİM_İHTİYAÇ_RAPORU_BURAK_YENI1309[[#This Row],[ALT_KOD]])+AVERAGEIFS(I:I,D:D,DST_123_ÜRETİM_İHTİYAÇ_RAPORU_BURAK_YENI1309[[#This Row],[ALT_KOD]])+AVERAGEIFS(L:L,D:D,DST_123_ÜRETİM_İHTİYAÇ_RAPORU_BURAK_YENI1309[[#This Row],[ALT_KOD]]))</f>
        <v>40</v>
      </c>
      <c r="L3456">
        <v>0</v>
      </c>
      <c r="M3456">
        <f>IF((DST_123_ÜRETİM_İHTİYAÇ_RAPORU_BURAK_YENI1309[[#This Row],[SATINALMA]]*DST_123_ÜRETİM_İHTİYAÇ_RAPORU_BURAK_YENI1309[[#This Row],[BIRIM_FIYATLAR]])&lt;1,VALUE("0"),DST_123_ÜRETİM_İHTİYAÇ_RAPORU_BURAK_YENI1309[[#This Row],[SATINALMA]]*DST_123_ÜRETİM_İHTİYAÇ_RAPORU_BURAK_YENI1309[[#This Row],[BIRIM_FIYATLAR]])</f>
        <v>274.8</v>
      </c>
      <c r="N3456">
        <v>6.87</v>
      </c>
      <c r="O3456" t="s">
        <v>826</v>
      </c>
      <c r="P3456">
        <v>27.48</v>
      </c>
      <c r="Q3456" t="s">
        <v>221</v>
      </c>
    </row>
    <row r="3457" spans="1:17" x14ac:dyDescent="0.25">
      <c r="A3457" t="s">
        <v>1147</v>
      </c>
      <c r="B3457" t="s">
        <v>1145</v>
      </c>
      <c r="C3457" t="s">
        <v>175</v>
      </c>
      <c r="D3457" t="s">
        <v>478</v>
      </c>
      <c r="E3457" t="s">
        <v>479</v>
      </c>
      <c r="F3457">
        <v>40</v>
      </c>
      <c r="G3457" t="s">
        <v>176</v>
      </c>
      <c r="H3457">
        <v>0</v>
      </c>
      <c r="I3457">
        <v>0</v>
      </c>
      <c r="J3457" s="10">
        <v>1330</v>
      </c>
      <c r="K3457" s="10">
        <f>SUMIFS(F:F,D:D,DST_123_ÜRETİM_İHTİYAÇ_RAPORU_BURAK_YENI1309[[#This Row],[ALT_KOD]])-(SUMIFS(H:H,D:D,DST_123_ÜRETİM_İHTİYAÇ_RAPORU_BURAK_YENI1309[[#This Row],[ALT_KOD]])+AVERAGEIFS(I:I,D:D,DST_123_ÜRETİM_İHTİYAÇ_RAPORU_BURAK_YENI1309[[#This Row],[ALT_KOD]])+AVERAGEIFS(L:L,D:D,DST_123_ÜRETİM_İHTİYAÇ_RAPORU_BURAK_YENI1309[[#This Row],[ALT_KOD]]))</f>
        <v>860</v>
      </c>
      <c r="L3457">
        <v>0</v>
      </c>
      <c r="M3457">
        <f>IF((DST_123_ÜRETİM_İHTİYAÇ_RAPORU_BURAK_YENI1309[[#This Row],[SATINALMA]]*DST_123_ÜRETİM_İHTİYAÇ_RAPORU_BURAK_YENI1309[[#This Row],[BIRIM_FIYATLAR]])&lt;1,VALUE("0"),DST_123_ÜRETİM_İHTİYAÇ_RAPORU_BURAK_YENI1309[[#This Row],[SATINALMA]]*DST_123_ÜRETİM_İHTİYAÇ_RAPORU_BURAK_YENI1309[[#This Row],[BIRIM_FIYATLAR]])</f>
        <v>344</v>
      </c>
      <c r="N3457">
        <v>0.4</v>
      </c>
      <c r="O3457" t="s">
        <v>882</v>
      </c>
      <c r="P3457">
        <v>16</v>
      </c>
      <c r="Q3457" t="s">
        <v>180</v>
      </c>
    </row>
    <row r="3458" spans="1:17" x14ac:dyDescent="0.25">
      <c r="A3458" t="s">
        <v>1097</v>
      </c>
      <c r="B3458" t="s">
        <v>1055</v>
      </c>
      <c r="C3458" t="s">
        <v>175</v>
      </c>
      <c r="D3458" t="s">
        <v>478</v>
      </c>
      <c r="E3458" t="s">
        <v>479</v>
      </c>
      <c r="F3458">
        <v>50</v>
      </c>
      <c r="G3458" t="s">
        <v>176</v>
      </c>
      <c r="H3458">
        <v>0</v>
      </c>
      <c r="I3458">
        <v>0</v>
      </c>
      <c r="J3458" s="10">
        <v>1330</v>
      </c>
      <c r="K3458" s="10">
        <f>SUMIFS(F:F,D:D,DST_123_ÜRETİM_İHTİYAÇ_RAPORU_BURAK_YENI1309[[#This Row],[ALT_KOD]])-(SUMIFS(H:H,D:D,DST_123_ÜRETİM_İHTİYAÇ_RAPORU_BURAK_YENI1309[[#This Row],[ALT_KOD]])+AVERAGEIFS(I:I,D:D,DST_123_ÜRETİM_İHTİYAÇ_RAPORU_BURAK_YENI1309[[#This Row],[ALT_KOD]])+AVERAGEIFS(L:L,D:D,DST_123_ÜRETİM_İHTİYAÇ_RAPORU_BURAK_YENI1309[[#This Row],[ALT_KOD]]))</f>
        <v>860</v>
      </c>
      <c r="L3458">
        <v>0</v>
      </c>
      <c r="M3458">
        <f>IF((DST_123_ÜRETİM_İHTİYAÇ_RAPORU_BURAK_YENI1309[[#This Row],[SATINALMA]]*DST_123_ÜRETİM_İHTİYAÇ_RAPORU_BURAK_YENI1309[[#This Row],[BIRIM_FIYATLAR]])&lt;1,VALUE("0"),DST_123_ÜRETİM_İHTİYAÇ_RAPORU_BURAK_YENI1309[[#This Row],[SATINALMA]]*DST_123_ÜRETİM_İHTİYAÇ_RAPORU_BURAK_YENI1309[[#This Row],[BIRIM_FIYATLAR]])</f>
        <v>344</v>
      </c>
      <c r="N3458">
        <v>0.4</v>
      </c>
      <c r="O3458" t="s">
        <v>882</v>
      </c>
      <c r="P3458">
        <v>20</v>
      </c>
      <c r="Q3458" t="s">
        <v>180</v>
      </c>
    </row>
    <row r="3459" spans="1:17" x14ac:dyDescent="0.25">
      <c r="A3459" t="s">
        <v>1059</v>
      </c>
      <c r="B3459" t="s">
        <v>1058</v>
      </c>
      <c r="C3459" t="s">
        <v>175</v>
      </c>
      <c r="D3459" t="s">
        <v>614</v>
      </c>
      <c r="E3459" t="s">
        <v>615</v>
      </c>
      <c r="F3459">
        <v>1.5</v>
      </c>
      <c r="G3459" t="s">
        <v>185</v>
      </c>
      <c r="H3459">
        <v>0</v>
      </c>
      <c r="I3459">
        <v>39</v>
      </c>
      <c r="J3459" s="10">
        <v>40.000000000000014</v>
      </c>
      <c r="K3459" s="10">
        <f>SUMIFS(F:F,D:D,DST_123_ÜRETİM_İHTİYAÇ_RAPORU_BURAK_YENI1309[[#This Row],[ALT_KOD]])-(SUMIFS(H:H,D:D,DST_123_ÜRETİM_İHTİYAÇ_RAPORU_BURAK_YENI1309[[#This Row],[ALT_KOD]])+AVERAGEIFS(I:I,D:D,DST_123_ÜRETİM_İHTİYAÇ_RAPORU_BURAK_YENI1309[[#This Row],[ALT_KOD]])+AVERAGEIFS(L:L,D:D,DST_123_ÜRETİM_İHTİYAÇ_RAPORU_BURAK_YENI1309[[#This Row],[ALT_KOD]]))</f>
        <v>-18.5</v>
      </c>
      <c r="L3459">
        <v>0</v>
      </c>
      <c r="M3459">
        <f>IF((DST_123_ÜRETİM_İHTİYAÇ_RAPORU_BURAK_YENI1309[[#This Row],[SATINALMA]]*DST_123_ÜRETİM_İHTİYAÇ_RAPORU_BURAK_YENI1309[[#This Row],[BIRIM_FIYATLAR]])&lt;1,VALUE("0"),DST_123_ÜRETİM_İHTİYAÇ_RAPORU_BURAK_YENI1309[[#This Row],[SATINALMA]]*DST_123_ÜRETİM_İHTİYAÇ_RAPORU_BURAK_YENI1309[[#This Row],[BIRIM_FIYATLAR]])</f>
        <v>0</v>
      </c>
      <c r="N3459">
        <v>212.93</v>
      </c>
      <c r="O3459" t="s">
        <v>253</v>
      </c>
      <c r="P3459">
        <v>319.39499999999998</v>
      </c>
      <c r="Q3459" t="s">
        <v>181</v>
      </c>
    </row>
    <row r="3460" spans="1:17" x14ac:dyDescent="0.25">
      <c r="A3460" t="s">
        <v>1095</v>
      </c>
      <c r="B3460" t="s">
        <v>1096</v>
      </c>
      <c r="C3460" t="s">
        <v>175</v>
      </c>
      <c r="D3460" t="s">
        <v>614</v>
      </c>
      <c r="E3460" t="s">
        <v>615</v>
      </c>
      <c r="F3460">
        <v>0.5</v>
      </c>
      <c r="G3460" t="s">
        <v>185</v>
      </c>
      <c r="H3460">
        <v>0</v>
      </c>
      <c r="I3460">
        <v>39</v>
      </c>
      <c r="J3460" s="10">
        <v>40.000000000000014</v>
      </c>
      <c r="K3460" s="10">
        <f>SUMIFS(F:F,D:D,DST_123_ÜRETİM_İHTİYAÇ_RAPORU_BURAK_YENI1309[[#This Row],[ALT_KOD]])-(SUMIFS(H:H,D:D,DST_123_ÜRETİM_İHTİYAÇ_RAPORU_BURAK_YENI1309[[#This Row],[ALT_KOD]])+AVERAGEIFS(I:I,D:D,DST_123_ÜRETİM_İHTİYAÇ_RAPORU_BURAK_YENI1309[[#This Row],[ALT_KOD]])+AVERAGEIFS(L:L,D:D,DST_123_ÜRETİM_İHTİYAÇ_RAPORU_BURAK_YENI1309[[#This Row],[ALT_KOD]]))</f>
        <v>-18.5</v>
      </c>
      <c r="L3460">
        <v>0</v>
      </c>
      <c r="M3460">
        <f>IF((DST_123_ÜRETİM_İHTİYAÇ_RAPORU_BURAK_YENI1309[[#This Row],[SATINALMA]]*DST_123_ÜRETİM_İHTİYAÇ_RAPORU_BURAK_YENI1309[[#This Row],[BIRIM_FIYATLAR]])&lt;1,VALUE("0"),DST_123_ÜRETİM_İHTİYAÇ_RAPORU_BURAK_YENI1309[[#This Row],[SATINALMA]]*DST_123_ÜRETİM_İHTİYAÇ_RAPORU_BURAK_YENI1309[[#This Row],[BIRIM_FIYATLAR]])</f>
        <v>0</v>
      </c>
      <c r="N3460">
        <v>212.93</v>
      </c>
      <c r="O3460" t="s">
        <v>253</v>
      </c>
      <c r="P3460">
        <v>106.465</v>
      </c>
      <c r="Q3460" t="s">
        <v>181</v>
      </c>
    </row>
    <row r="3461" spans="1:17" x14ac:dyDescent="0.25">
      <c r="A3461" t="s">
        <v>1196</v>
      </c>
      <c r="B3461" t="s">
        <v>1197</v>
      </c>
      <c r="C3461" t="s">
        <v>175</v>
      </c>
      <c r="D3461" t="s">
        <v>840</v>
      </c>
      <c r="E3461" t="s">
        <v>841</v>
      </c>
      <c r="F3461">
        <v>9</v>
      </c>
      <c r="G3461" t="s">
        <v>179</v>
      </c>
      <c r="H3461">
        <v>0</v>
      </c>
      <c r="I3461">
        <v>0</v>
      </c>
      <c r="J3461" s="10">
        <v>165</v>
      </c>
      <c r="K3461" s="10">
        <f>SUMIFS(F:F,D:D,DST_123_ÜRETİM_İHTİYAÇ_RAPORU_BURAK_YENI1309[[#This Row],[ALT_KOD]])-(SUMIFS(H:H,D:D,DST_123_ÜRETİM_İHTİYAÇ_RAPORU_BURAK_YENI1309[[#This Row],[ALT_KOD]])+AVERAGEIFS(I:I,D:D,DST_123_ÜRETİM_İHTİYAÇ_RAPORU_BURAK_YENI1309[[#This Row],[ALT_KOD]])+AVERAGEIFS(L:L,D:D,DST_123_ÜRETİM_İHTİYAÇ_RAPORU_BURAK_YENI1309[[#This Row],[ALT_KOD]]))</f>
        <v>-289</v>
      </c>
      <c r="L3461">
        <v>400</v>
      </c>
      <c r="M3461">
        <f>IF((DST_123_ÜRETİM_İHTİYAÇ_RAPORU_BURAK_YENI1309[[#This Row],[SATINALMA]]*DST_123_ÜRETİM_İHTİYAÇ_RAPORU_BURAK_YENI1309[[#This Row],[BIRIM_FIYATLAR]])&lt;1,VALUE("0"),DST_123_ÜRETİM_İHTİYAÇ_RAPORU_BURAK_YENI1309[[#This Row],[SATINALMA]]*DST_123_ÜRETİM_İHTİYAÇ_RAPORU_BURAK_YENI1309[[#This Row],[BIRIM_FIYATLAR]])</f>
        <v>0</v>
      </c>
      <c r="N3461">
        <v>5</v>
      </c>
      <c r="O3461" t="s">
        <v>224</v>
      </c>
      <c r="P3461">
        <v>45</v>
      </c>
      <c r="Q3461" t="s">
        <v>180</v>
      </c>
    </row>
    <row r="3462" spans="1:17" x14ac:dyDescent="0.25">
      <c r="A3462" t="s">
        <v>1059</v>
      </c>
      <c r="B3462" t="s">
        <v>1058</v>
      </c>
      <c r="C3462" t="s">
        <v>175</v>
      </c>
      <c r="D3462" t="s">
        <v>141</v>
      </c>
      <c r="E3462" t="s">
        <v>142</v>
      </c>
      <c r="F3462">
        <v>16</v>
      </c>
      <c r="G3462" t="s">
        <v>176</v>
      </c>
      <c r="H3462">
        <v>0</v>
      </c>
      <c r="I3462">
        <v>150</v>
      </c>
      <c r="J3462" s="10">
        <v>0</v>
      </c>
      <c r="K3462" s="10">
        <f>SUMIFS(F:F,D:D,DST_123_ÜRETİM_İHTİYAÇ_RAPORU_BURAK_YENI1309[[#This Row],[ALT_KOD]])-(SUMIFS(H:H,D:D,DST_123_ÜRETİM_İHTİYAÇ_RAPORU_BURAK_YENI1309[[#This Row],[ALT_KOD]])+AVERAGEIFS(I:I,D:D,DST_123_ÜRETİM_İHTİYAÇ_RAPORU_BURAK_YENI1309[[#This Row],[ALT_KOD]])+AVERAGEIFS(L:L,D:D,DST_123_ÜRETİM_İHTİYAÇ_RAPORU_BURAK_YENI1309[[#This Row],[ALT_KOD]]))</f>
        <v>194</v>
      </c>
      <c r="L3462">
        <v>0</v>
      </c>
      <c r="M3462">
        <f>IF((DST_123_ÜRETİM_İHTİYAÇ_RAPORU_BURAK_YENI1309[[#This Row],[SATINALMA]]*DST_123_ÜRETİM_İHTİYAÇ_RAPORU_BURAK_YENI1309[[#This Row],[BIRIM_FIYATLAR]])&lt;1,VALUE("0"),DST_123_ÜRETİM_İHTİYAÇ_RAPORU_BURAK_YENI1309[[#This Row],[SATINALMA]]*DST_123_ÜRETİM_İHTİYAÇ_RAPORU_BURAK_YENI1309[[#This Row],[BIRIM_FIYATLAR]])</f>
        <v>5383.5</v>
      </c>
      <c r="N3462">
        <v>27.75</v>
      </c>
      <c r="O3462" t="s">
        <v>742</v>
      </c>
      <c r="P3462">
        <v>444</v>
      </c>
      <c r="Q3462" t="s">
        <v>184</v>
      </c>
    </row>
    <row r="3463" spans="1:17" x14ac:dyDescent="0.25">
      <c r="A3463" t="s">
        <v>1143</v>
      </c>
      <c r="B3463" t="s">
        <v>1056</v>
      </c>
      <c r="C3463" t="s">
        <v>175</v>
      </c>
      <c r="D3463" t="s">
        <v>141</v>
      </c>
      <c r="E3463" t="s">
        <v>142</v>
      </c>
      <c r="F3463">
        <v>21</v>
      </c>
      <c r="G3463" t="s">
        <v>176</v>
      </c>
      <c r="H3463">
        <v>0</v>
      </c>
      <c r="I3463">
        <v>150</v>
      </c>
      <c r="J3463" s="10">
        <v>0</v>
      </c>
      <c r="K3463" s="10">
        <f>SUMIFS(F:F,D:D,DST_123_ÜRETİM_İHTİYAÇ_RAPORU_BURAK_YENI1309[[#This Row],[ALT_KOD]])-(SUMIFS(H:H,D:D,DST_123_ÜRETİM_İHTİYAÇ_RAPORU_BURAK_YENI1309[[#This Row],[ALT_KOD]])+AVERAGEIFS(I:I,D:D,DST_123_ÜRETİM_İHTİYAÇ_RAPORU_BURAK_YENI1309[[#This Row],[ALT_KOD]])+AVERAGEIFS(L:L,D:D,DST_123_ÜRETİM_İHTİYAÇ_RAPORU_BURAK_YENI1309[[#This Row],[ALT_KOD]]))</f>
        <v>194</v>
      </c>
      <c r="L3463">
        <v>0</v>
      </c>
      <c r="M3463">
        <f>IF((DST_123_ÜRETİM_İHTİYAÇ_RAPORU_BURAK_YENI1309[[#This Row],[SATINALMA]]*DST_123_ÜRETİM_İHTİYAÇ_RAPORU_BURAK_YENI1309[[#This Row],[BIRIM_FIYATLAR]])&lt;1,VALUE("0"),DST_123_ÜRETİM_İHTİYAÇ_RAPORU_BURAK_YENI1309[[#This Row],[SATINALMA]]*DST_123_ÜRETİM_İHTİYAÇ_RAPORU_BURAK_YENI1309[[#This Row],[BIRIM_FIYATLAR]])</f>
        <v>5383.5</v>
      </c>
      <c r="N3463">
        <v>27.75</v>
      </c>
      <c r="O3463" t="s">
        <v>742</v>
      </c>
      <c r="P3463">
        <v>582.75</v>
      </c>
      <c r="Q3463" t="s">
        <v>184</v>
      </c>
    </row>
    <row r="3464" spans="1:17" x14ac:dyDescent="0.25">
      <c r="A3464" t="s">
        <v>1095</v>
      </c>
      <c r="B3464" t="s">
        <v>1096</v>
      </c>
      <c r="C3464" t="s">
        <v>175</v>
      </c>
      <c r="D3464" t="s">
        <v>840</v>
      </c>
      <c r="E3464" t="s">
        <v>841</v>
      </c>
      <c r="F3464">
        <v>5</v>
      </c>
      <c r="G3464" t="s">
        <v>179</v>
      </c>
      <c r="H3464">
        <v>0</v>
      </c>
      <c r="I3464">
        <v>0</v>
      </c>
      <c r="J3464" s="10">
        <v>165</v>
      </c>
      <c r="K3464" s="10">
        <f>SUMIFS(F:F,D:D,DST_123_ÜRETİM_İHTİYAÇ_RAPORU_BURAK_YENI1309[[#This Row],[ALT_KOD]])-(SUMIFS(H:H,D:D,DST_123_ÜRETİM_İHTİYAÇ_RAPORU_BURAK_YENI1309[[#This Row],[ALT_KOD]])+AVERAGEIFS(I:I,D:D,DST_123_ÜRETİM_İHTİYAÇ_RAPORU_BURAK_YENI1309[[#This Row],[ALT_KOD]])+AVERAGEIFS(L:L,D:D,DST_123_ÜRETİM_İHTİYAÇ_RAPORU_BURAK_YENI1309[[#This Row],[ALT_KOD]]))</f>
        <v>-289</v>
      </c>
      <c r="L3464">
        <v>400</v>
      </c>
      <c r="M3464">
        <f>IF((DST_123_ÜRETİM_İHTİYAÇ_RAPORU_BURAK_YENI1309[[#This Row],[SATINALMA]]*DST_123_ÜRETİM_İHTİYAÇ_RAPORU_BURAK_YENI1309[[#This Row],[BIRIM_FIYATLAR]])&lt;1,VALUE("0"),DST_123_ÜRETİM_İHTİYAÇ_RAPORU_BURAK_YENI1309[[#This Row],[SATINALMA]]*DST_123_ÜRETİM_İHTİYAÇ_RAPORU_BURAK_YENI1309[[#This Row],[BIRIM_FIYATLAR]])</f>
        <v>0</v>
      </c>
      <c r="N3464">
        <v>5</v>
      </c>
      <c r="O3464" t="s">
        <v>224</v>
      </c>
      <c r="P3464">
        <v>25</v>
      </c>
      <c r="Q3464" t="s">
        <v>180</v>
      </c>
    </row>
    <row r="3465" spans="1:17" x14ac:dyDescent="0.25">
      <c r="A3465" t="s">
        <v>1142</v>
      </c>
      <c r="B3465" t="s">
        <v>1056</v>
      </c>
      <c r="C3465" t="s">
        <v>175</v>
      </c>
      <c r="D3465" t="s">
        <v>473</v>
      </c>
      <c r="E3465" t="s">
        <v>474</v>
      </c>
      <c r="F3465">
        <v>30</v>
      </c>
      <c r="G3465" t="s">
        <v>176</v>
      </c>
      <c r="H3465">
        <v>0</v>
      </c>
      <c r="I3465">
        <v>680</v>
      </c>
      <c r="J3465" s="10">
        <v>614</v>
      </c>
      <c r="K3465" s="10">
        <f>SUMIFS(F:F,D:D,DST_123_ÜRETİM_İHTİYAÇ_RAPORU_BURAK_YENI1309[[#This Row],[ALT_KOD]])-(SUMIFS(H:H,D:D,DST_123_ÜRETİM_İHTİYAÇ_RAPORU_BURAK_YENI1309[[#This Row],[ALT_KOD]])+AVERAGEIFS(I:I,D:D,DST_123_ÜRETİM_İHTİYAÇ_RAPORU_BURAK_YENI1309[[#This Row],[ALT_KOD]])+AVERAGEIFS(L:L,D:D,DST_123_ÜRETİM_İHTİYAÇ_RAPORU_BURAK_YENI1309[[#This Row],[ALT_KOD]]))</f>
        <v>118</v>
      </c>
      <c r="L3465">
        <v>0</v>
      </c>
      <c r="M3465">
        <f>IF((DST_123_ÜRETİM_İHTİYAÇ_RAPORU_BURAK_YENI1309[[#This Row],[SATINALMA]]*DST_123_ÜRETİM_İHTİYAÇ_RAPORU_BURAK_YENI1309[[#This Row],[BIRIM_FIYATLAR]])&lt;1,VALUE("0"),DST_123_ÜRETİM_İHTİYAÇ_RAPORU_BURAK_YENI1309[[#This Row],[SATINALMA]]*DST_123_ÜRETİM_İHTİYAÇ_RAPORU_BURAK_YENI1309[[#This Row],[BIRIM_FIYATLAR]])</f>
        <v>247.8</v>
      </c>
      <c r="N3465">
        <v>2.1</v>
      </c>
      <c r="O3465" t="s">
        <v>240</v>
      </c>
      <c r="P3465">
        <v>63</v>
      </c>
      <c r="Q3465" t="s">
        <v>180</v>
      </c>
    </row>
    <row r="3466" spans="1:17" x14ac:dyDescent="0.25">
      <c r="A3466" t="s">
        <v>1150</v>
      </c>
      <c r="B3466" t="s">
        <v>1145</v>
      </c>
      <c r="C3466" t="s">
        <v>197</v>
      </c>
      <c r="D3466" t="s">
        <v>793</v>
      </c>
      <c r="E3466" t="s">
        <v>794</v>
      </c>
      <c r="F3466">
        <v>1</v>
      </c>
      <c r="G3466" t="s">
        <v>176</v>
      </c>
      <c r="H3466">
        <v>0</v>
      </c>
      <c r="I3466">
        <v>25</v>
      </c>
      <c r="J3466" s="10">
        <v>4</v>
      </c>
      <c r="K3466" s="10">
        <f>SUMIFS(F:F,D:D,DST_123_ÜRETİM_İHTİYAÇ_RAPORU_BURAK_YENI1309[[#This Row],[ALT_KOD]])-(SUMIFS(H:H,D:D,DST_123_ÜRETİM_İHTİYAÇ_RAPORU_BURAK_YENI1309[[#This Row],[ALT_KOD]])+AVERAGEIFS(I:I,D:D,DST_123_ÜRETİM_İHTİYAÇ_RAPORU_BURAK_YENI1309[[#This Row],[ALT_KOD]])+AVERAGEIFS(L:L,D:D,DST_123_ÜRETİM_İHTİYAÇ_RAPORU_BURAK_YENI1309[[#This Row],[ALT_KOD]]))</f>
        <v>-20</v>
      </c>
      <c r="L3466">
        <v>0</v>
      </c>
      <c r="M3466">
        <f>IF((DST_123_ÜRETİM_İHTİYAÇ_RAPORU_BURAK_YENI1309[[#This Row],[SATINALMA]]*DST_123_ÜRETİM_İHTİYAÇ_RAPORU_BURAK_YENI1309[[#This Row],[BIRIM_FIYATLAR]])&lt;1,VALUE("0"),DST_123_ÜRETİM_İHTİYAÇ_RAPORU_BURAK_YENI1309[[#This Row],[SATINALMA]]*DST_123_ÜRETİM_İHTİYAÇ_RAPORU_BURAK_YENI1309[[#This Row],[BIRIM_FIYATLAR]])</f>
        <v>0</v>
      </c>
      <c r="N3466">
        <v>2800</v>
      </c>
      <c r="O3466" t="s">
        <v>795</v>
      </c>
      <c r="P3466">
        <v>2800</v>
      </c>
      <c r="Q3466" t="s">
        <v>177</v>
      </c>
    </row>
    <row r="3467" spans="1:17" x14ac:dyDescent="0.25">
      <c r="A3467" t="s">
        <v>1150</v>
      </c>
      <c r="B3467" t="s">
        <v>1145</v>
      </c>
      <c r="C3467" t="s">
        <v>175</v>
      </c>
      <c r="D3467" t="s">
        <v>141</v>
      </c>
      <c r="E3467" t="s">
        <v>142</v>
      </c>
      <c r="F3467">
        <v>16</v>
      </c>
      <c r="G3467" t="s">
        <v>176</v>
      </c>
      <c r="H3467">
        <v>0</v>
      </c>
      <c r="I3467">
        <v>150</v>
      </c>
      <c r="J3467" s="10">
        <v>0</v>
      </c>
      <c r="K3467" s="10">
        <f>SUMIFS(F:F,D:D,DST_123_ÜRETİM_İHTİYAÇ_RAPORU_BURAK_YENI1309[[#This Row],[ALT_KOD]])-(SUMIFS(H:H,D:D,DST_123_ÜRETİM_İHTİYAÇ_RAPORU_BURAK_YENI1309[[#This Row],[ALT_KOD]])+AVERAGEIFS(I:I,D:D,DST_123_ÜRETİM_İHTİYAÇ_RAPORU_BURAK_YENI1309[[#This Row],[ALT_KOD]])+AVERAGEIFS(L:L,D:D,DST_123_ÜRETİM_İHTİYAÇ_RAPORU_BURAK_YENI1309[[#This Row],[ALT_KOD]]))</f>
        <v>194</v>
      </c>
      <c r="L3467">
        <v>0</v>
      </c>
      <c r="M3467">
        <f>IF((DST_123_ÜRETİM_İHTİYAÇ_RAPORU_BURAK_YENI1309[[#This Row],[SATINALMA]]*DST_123_ÜRETİM_İHTİYAÇ_RAPORU_BURAK_YENI1309[[#This Row],[BIRIM_FIYATLAR]])&lt;1,VALUE("0"),DST_123_ÜRETİM_İHTİYAÇ_RAPORU_BURAK_YENI1309[[#This Row],[SATINALMA]]*DST_123_ÜRETİM_İHTİYAÇ_RAPORU_BURAK_YENI1309[[#This Row],[BIRIM_FIYATLAR]])</f>
        <v>5383.5</v>
      </c>
      <c r="N3467">
        <v>27.75</v>
      </c>
      <c r="O3467" t="s">
        <v>742</v>
      </c>
      <c r="P3467">
        <v>444</v>
      </c>
      <c r="Q3467" t="s">
        <v>184</v>
      </c>
    </row>
    <row r="3468" spans="1:17" x14ac:dyDescent="0.25">
      <c r="A3468" t="s">
        <v>1150</v>
      </c>
      <c r="B3468" t="s">
        <v>1145</v>
      </c>
      <c r="C3468" t="s">
        <v>175</v>
      </c>
      <c r="D3468" t="s">
        <v>840</v>
      </c>
      <c r="E3468" t="s">
        <v>841</v>
      </c>
      <c r="F3468">
        <v>9</v>
      </c>
      <c r="G3468" t="s">
        <v>179</v>
      </c>
      <c r="H3468">
        <v>0</v>
      </c>
      <c r="I3468">
        <v>0</v>
      </c>
      <c r="J3468" s="10">
        <v>165</v>
      </c>
      <c r="K3468" s="10">
        <f>SUMIFS(F:F,D:D,DST_123_ÜRETİM_İHTİYAÇ_RAPORU_BURAK_YENI1309[[#This Row],[ALT_KOD]])-(SUMIFS(H:H,D:D,DST_123_ÜRETİM_İHTİYAÇ_RAPORU_BURAK_YENI1309[[#This Row],[ALT_KOD]])+AVERAGEIFS(I:I,D:D,DST_123_ÜRETİM_İHTİYAÇ_RAPORU_BURAK_YENI1309[[#This Row],[ALT_KOD]])+AVERAGEIFS(L:L,D:D,DST_123_ÜRETİM_İHTİYAÇ_RAPORU_BURAK_YENI1309[[#This Row],[ALT_KOD]]))</f>
        <v>-289</v>
      </c>
      <c r="L3468">
        <v>400</v>
      </c>
      <c r="M3468">
        <f>IF((DST_123_ÜRETİM_İHTİYAÇ_RAPORU_BURAK_YENI1309[[#This Row],[SATINALMA]]*DST_123_ÜRETİM_İHTİYAÇ_RAPORU_BURAK_YENI1309[[#This Row],[BIRIM_FIYATLAR]])&lt;1,VALUE("0"),DST_123_ÜRETİM_İHTİYAÇ_RAPORU_BURAK_YENI1309[[#This Row],[SATINALMA]]*DST_123_ÜRETİM_İHTİYAÇ_RAPORU_BURAK_YENI1309[[#This Row],[BIRIM_FIYATLAR]])</f>
        <v>0</v>
      </c>
      <c r="N3468">
        <v>5</v>
      </c>
      <c r="O3468" t="s">
        <v>224</v>
      </c>
      <c r="P3468">
        <v>45</v>
      </c>
      <c r="Q3468" t="s">
        <v>180</v>
      </c>
    </row>
    <row r="3469" spans="1:17" x14ac:dyDescent="0.25">
      <c r="A3469" t="s">
        <v>1095</v>
      </c>
      <c r="B3469" t="s">
        <v>1096</v>
      </c>
      <c r="C3469" t="s">
        <v>197</v>
      </c>
      <c r="D3469" t="s">
        <v>793</v>
      </c>
      <c r="E3469" t="s">
        <v>794</v>
      </c>
      <c r="F3469">
        <v>1</v>
      </c>
      <c r="G3469" t="s">
        <v>176</v>
      </c>
      <c r="H3469">
        <v>0</v>
      </c>
      <c r="I3469">
        <v>25</v>
      </c>
      <c r="J3469" s="10">
        <v>4</v>
      </c>
      <c r="K3469" s="10">
        <f>SUMIFS(F:F,D:D,DST_123_ÜRETİM_İHTİYAÇ_RAPORU_BURAK_YENI1309[[#This Row],[ALT_KOD]])-(SUMIFS(H:H,D:D,DST_123_ÜRETİM_İHTİYAÇ_RAPORU_BURAK_YENI1309[[#This Row],[ALT_KOD]])+AVERAGEIFS(I:I,D:D,DST_123_ÜRETİM_İHTİYAÇ_RAPORU_BURAK_YENI1309[[#This Row],[ALT_KOD]])+AVERAGEIFS(L:L,D:D,DST_123_ÜRETİM_İHTİYAÇ_RAPORU_BURAK_YENI1309[[#This Row],[ALT_KOD]]))</f>
        <v>-20</v>
      </c>
      <c r="L3469">
        <v>0</v>
      </c>
      <c r="M3469">
        <f>IF((DST_123_ÜRETİM_İHTİYAÇ_RAPORU_BURAK_YENI1309[[#This Row],[SATINALMA]]*DST_123_ÜRETİM_İHTİYAÇ_RAPORU_BURAK_YENI1309[[#This Row],[BIRIM_FIYATLAR]])&lt;1,VALUE("0"),DST_123_ÜRETİM_İHTİYAÇ_RAPORU_BURAK_YENI1309[[#This Row],[SATINALMA]]*DST_123_ÜRETİM_İHTİYAÇ_RAPORU_BURAK_YENI1309[[#This Row],[BIRIM_FIYATLAR]])</f>
        <v>0</v>
      </c>
      <c r="N3469">
        <v>2800</v>
      </c>
      <c r="O3469" t="s">
        <v>795</v>
      </c>
      <c r="P3469">
        <v>2800</v>
      </c>
      <c r="Q3469" t="s">
        <v>177</v>
      </c>
    </row>
    <row r="3470" spans="1:17" x14ac:dyDescent="0.25">
      <c r="A3470" t="s">
        <v>1097</v>
      </c>
      <c r="B3470" t="s">
        <v>1055</v>
      </c>
      <c r="C3470" t="s">
        <v>175</v>
      </c>
      <c r="D3470" t="s">
        <v>840</v>
      </c>
      <c r="E3470" t="s">
        <v>841</v>
      </c>
      <c r="F3470">
        <v>5</v>
      </c>
      <c r="G3470" t="s">
        <v>179</v>
      </c>
      <c r="H3470">
        <v>0</v>
      </c>
      <c r="I3470">
        <v>0</v>
      </c>
      <c r="J3470" s="10">
        <v>165</v>
      </c>
      <c r="K3470" s="10">
        <f>SUMIFS(F:F,D:D,DST_123_ÜRETİM_İHTİYAÇ_RAPORU_BURAK_YENI1309[[#This Row],[ALT_KOD]])-(SUMIFS(H:H,D:D,DST_123_ÜRETİM_İHTİYAÇ_RAPORU_BURAK_YENI1309[[#This Row],[ALT_KOD]])+AVERAGEIFS(I:I,D:D,DST_123_ÜRETİM_İHTİYAÇ_RAPORU_BURAK_YENI1309[[#This Row],[ALT_KOD]])+AVERAGEIFS(L:L,D:D,DST_123_ÜRETİM_İHTİYAÇ_RAPORU_BURAK_YENI1309[[#This Row],[ALT_KOD]]))</f>
        <v>-289</v>
      </c>
      <c r="L3470">
        <v>400</v>
      </c>
      <c r="M3470">
        <f>IF((DST_123_ÜRETİM_İHTİYAÇ_RAPORU_BURAK_YENI1309[[#This Row],[SATINALMA]]*DST_123_ÜRETİM_İHTİYAÇ_RAPORU_BURAK_YENI1309[[#This Row],[BIRIM_FIYATLAR]])&lt;1,VALUE("0"),DST_123_ÜRETİM_İHTİYAÇ_RAPORU_BURAK_YENI1309[[#This Row],[SATINALMA]]*DST_123_ÜRETİM_İHTİYAÇ_RAPORU_BURAK_YENI1309[[#This Row],[BIRIM_FIYATLAR]])</f>
        <v>0</v>
      </c>
      <c r="N3470">
        <v>5</v>
      </c>
      <c r="O3470" t="s">
        <v>224</v>
      </c>
      <c r="P3470">
        <v>25</v>
      </c>
      <c r="Q3470" t="s">
        <v>180</v>
      </c>
    </row>
    <row r="3471" spans="1:17" x14ac:dyDescent="0.25">
      <c r="A3471" t="s">
        <v>1057</v>
      </c>
      <c r="B3471" t="s">
        <v>1058</v>
      </c>
      <c r="C3471" t="s">
        <v>175</v>
      </c>
      <c r="D3471" t="s">
        <v>473</v>
      </c>
      <c r="E3471" t="s">
        <v>474</v>
      </c>
      <c r="F3471">
        <v>38</v>
      </c>
      <c r="G3471" t="s">
        <v>176</v>
      </c>
      <c r="H3471">
        <v>0</v>
      </c>
      <c r="I3471">
        <v>680</v>
      </c>
      <c r="J3471" s="10">
        <v>614</v>
      </c>
      <c r="K3471" s="10">
        <f>SUMIFS(F:F,D:D,DST_123_ÜRETİM_İHTİYAÇ_RAPORU_BURAK_YENI1309[[#This Row],[ALT_KOD]])-(SUMIFS(H:H,D:D,DST_123_ÜRETİM_İHTİYAÇ_RAPORU_BURAK_YENI1309[[#This Row],[ALT_KOD]])+AVERAGEIFS(I:I,D:D,DST_123_ÜRETİM_İHTİYAÇ_RAPORU_BURAK_YENI1309[[#This Row],[ALT_KOD]])+AVERAGEIFS(L:L,D:D,DST_123_ÜRETİM_İHTİYAÇ_RAPORU_BURAK_YENI1309[[#This Row],[ALT_KOD]]))</f>
        <v>118</v>
      </c>
      <c r="L3471">
        <v>0</v>
      </c>
      <c r="M3471">
        <f>IF((DST_123_ÜRETİM_İHTİYAÇ_RAPORU_BURAK_YENI1309[[#This Row],[SATINALMA]]*DST_123_ÜRETİM_İHTİYAÇ_RAPORU_BURAK_YENI1309[[#This Row],[BIRIM_FIYATLAR]])&lt;1,VALUE("0"),DST_123_ÜRETİM_İHTİYAÇ_RAPORU_BURAK_YENI1309[[#This Row],[SATINALMA]]*DST_123_ÜRETİM_İHTİYAÇ_RAPORU_BURAK_YENI1309[[#This Row],[BIRIM_FIYATLAR]])</f>
        <v>247.8</v>
      </c>
      <c r="N3471">
        <v>2.1</v>
      </c>
      <c r="O3471" t="s">
        <v>240</v>
      </c>
      <c r="P3471">
        <v>79.8</v>
      </c>
      <c r="Q3471" t="s">
        <v>180</v>
      </c>
    </row>
    <row r="3472" spans="1:17" x14ac:dyDescent="0.25">
      <c r="A3472" t="s">
        <v>1143</v>
      </c>
      <c r="B3472" t="s">
        <v>1056</v>
      </c>
      <c r="C3472" t="s">
        <v>175</v>
      </c>
      <c r="D3472" t="s">
        <v>473</v>
      </c>
      <c r="E3472" t="s">
        <v>474</v>
      </c>
      <c r="F3472">
        <v>40</v>
      </c>
      <c r="G3472" t="s">
        <v>176</v>
      </c>
      <c r="H3472">
        <v>0</v>
      </c>
      <c r="I3472">
        <v>680</v>
      </c>
      <c r="J3472" s="10">
        <v>614</v>
      </c>
      <c r="K3472" s="10">
        <f>SUMIFS(F:F,D:D,DST_123_ÜRETİM_İHTİYAÇ_RAPORU_BURAK_YENI1309[[#This Row],[ALT_KOD]])-(SUMIFS(H:H,D:D,DST_123_ÜRETİM_İHTİYAÇ_RAPORU_BURAK_YENI1309[[#This Row],[ALT_KOD]])+AVERAGEIFS(I:I,D:D,DST_123_ÜRETİM_İHTİYAÇ_RAPORU_BURAK_YENI1309[[#This Row],[ALT_KOD]])+AVERAGEIFS(L:L,D:D,DST_123_ÜRETİM_İHTİYAÇ_RAPORU_BURAK_YENI1309[[#This Row],[ALT_KOD]]))</f>
        <v>118</v>
      </c>
      <c r="L3472">
        <v>0</v>
      </c>
      <c r="M3472">
        <f>IF((DST_123_ÜRETİM_İHTİYAÇ_RAPORU_BURAK_YENI1309[[#This Row],[SATINALMA]]*DST_123_ÜRETİM_İHTİYAÇ_RAPORU_BURAK_YENI1309[[#This Row],[BIRIM_FIYATLAR]])&lt;1,VALUE("0"),DST_123_ÜRETİM_İHTİYAÇ_RAPORU_BURAK_YENI1309[[#This Row],[SATINALMA]]*DST_123_ÜRETİM_İHTİYAÇ_RAPORU_BURAK_YENI1309[[#This Row],[BIRIM_FIYATLAR]])</f>
        <v>247.8</v>
      </c>
      <c r="N3472">
        <v>2.1</v>
      </c>
      <c r="O3472" t="s">
        <v>240</v>
      </c>
      <c r="P3472">
        <v>84</v>
      </c>
      <c r="Q3472" t="s">
        <v>180</v>
      </c>
    </row>
    <row r="3473" spans="1:17" x14ac:dyDescent="0.25">
      <c r="A3473" t="s">
        <v>1059</v>
      </c>
      <c r="B3473" t="s">
        <v>1058</v>
      </c>
      <c r="C3473" t="s">
        <v>175</v>
      </c>
      <c r="D3473" t="s">
        <v>473</v>
      </c>
      <c r="E3473" t="s">
        <v>474</v>
      </c>
      <c r="F3473">
        <v>30</v>
      </c>
      <c r="G3473" t="s">
        <v>176</v>
      </c>
      <c r="H3473">
        <v>0</v>
      </c>
      <c r="I3473">
        <v>680</v>
      </c>
      <c r="J3473" s="10">
        <v>614</v>
      </c>
      <c r="K3473" s="10">
        <f>SUMIFS(F:F,D:D,DST_123_ÜRETİM_İHTİYAÇ_RAPORU_BURAK_YENI1309[[#This Row],[ALT_KOD]])-(SUMIFS(H:H,D:D,DST_123_ÜRETİM_İHTİYAÇ_RAPORU_BURAK_YENI1309[[#This Row],[ALT_KOD]])+AVERAGEIFS(I:I,D:D,DST_123_ÜRETİM_İHTİYAÇ_RAPORU_BURAK_YENI1309[[#This Row],[ALT_KOD]])+AVERAGEIFS(L:L,D:D,DST_123_ÜRETİM_İHTİYAÇ_RAPORU_BURAK_YENI1309[[#This Row],[ALT_KOD]]))</f>
        <v>118</v>
      </c>
      <c r="L3473">
        <v>0</v>
      </c>
      <c r="M3473">
        <f>IF((DST_123_ÜRETİM_İHTİYAÇ_RAPORU_BURAK_YENI1309[[#This Row],[SATINALMA]]*DST_123_ÜRETİM_İHTİYAÇ_RAPORU_BURAK_YENI1309[[#This Row],[BIRIM_FIYATLAR]])&lt;1,VALUE("0"),DST_123_ÜRETİM_İHTİYAÇ_RAPORU_BURAK_YENI1309[[#This Row],[SATINALMA]]*DST_123_ÜRETİM_İHTİYAÇ_RAPORU_BURAK_YENI1309[[#This Row],[BIRIM_FIYATLAR]])</f>
        <v>247.8</v>
      </c>
      <c r="N3473">
        <v>2.1</v>
      </c>
      <c r="O3473" t="s">
        <v>240</v>
      </c>
      <c r="P3473">
        <v>63</v>
      </c>
      <c r="Q3473" t="s">
        <v>180</v>
      </c>
    </row>
    <row r="3474" spans="1:17" x14ac:dyDescent="0.25">
      <c r="A3474" t="s">
        <v>1144</v>
      </c>
      <c r="B3474" t="s">
        <v>1145</v>
      </c>
      <c r="C3474" t="s">
        <v>175</v>
      </c>
      <c r="D3474" t="s">
        <v>141</v>
      </c>
      <c r="E3474" t="s">
        <v>142</v>
      </c>
      <c r="F3474">
        <v>16</v>
      </c>
      <c r="G3474" t="s">
        <v>176</v>
      </c>
      <c r="H3474">
        <v>0</v>
      </c>
      <c r="I3474">
        <v>150</v>
      </c>
      <c r="J3474" s="10">
        <v>0</v>
      </c>
      <c r="K3474" s="10">
        <f>SUMIFS(F:F,D:D,DST_123_ÜRETİM_İHTİYAÇ_RAPORU_BURAK_YENI1309[[#This Row],[ALT_KOD]])-(SUMIFS(H:H,D:D,DST_123_ÜRETİM_İHTİYAÇ_RAPORU_BURAK_YENI1309[[#This Row],[ALT_KOD]])+AVERAGEIFS(I:I,D:D,DST_123_ÜRETİM_İHTİYAÇ_RAPORU_BURAK_YENI1309[[#This Row],[ALT_KOD]])+AVERAGEIFS(L:L,D:D,DST_123_ÜRETİM_İHTİYAÇ_RAPORU_BURAK_YENI1309[[#This Row],[ALT_KOD]]))</f>
        <v>194</v>
      </c>
      <c r="L3474">
        <v>0</v>
      </c>
      <c r="M3474">
        <f>IF((DST_123_ÜRETİM_İHTİYAÇ_RAPORU_BURAK_YENI1309[[#This Row],[SATINALMA]]*DST_123_ÜRETİM_İHTİYAÇ_RAPORU_BURAK_YENI1309[[#This Row],[BIRIM_FIYATLAR]])&lt;1,VALUE("0"),DST_123_ÜRETİM_İHTİYAÇ_RAPORU_BURAK_YENI1309[[#This Row],[SATINALMA]]*DST_123_ÜRETİM_İHTİYAÇ_RAPORU_BURAK_YENI1309[[#This Row],[BIRIM_FIYATLAR]])</f>
        <v>5383.5</v>
      </c>
      <c r="N3474">
        <v>27.75</v>
      </c>
      <c r="O3474" t="s">
        <v>742</v>
      </c>
      <c r="P3474">
        <v>444</v>
      </c>
      <c r="Q3474" t="s">
        <v>184</v>
      </c>
    </row>
    <row r="3475" spans="1:17" x14ac:dyDescent="0.25">
      <c r="A3475" t="s">
        <v>1146</v>
      </c>
      <c r="B3475" t="s">
        <v>1145</v>
      </c>
      <c r="C3475" t="s">
        <v>175</v>
      </c>
      <c r="D3475" t="s">
        <v>141</v>
      </c>
      <c r="E3475" t="s">
        <v>142</v>
      </c>
      <c r="F3475">
        <v>16</v>
      </c>
      <c r="G3475" t="s">
        <v>176</v>
      </c>
      <c r="H3475">
        <v>0</v>
      </c>
      <c r="I3475">
        <v>150</v>
      </c>
      <c r="J3475" s="10">
        <v>0</v>
      </c>
      <c r="K3475" s="10">
        <f>SUMIFS(F:F,D:D,DST_123_ÜRETİM_İHTİYAÇ_RAPORU_BURAK_YENI1309[[#This Row],[ALT_KOD]])-(SUMIFS(H:H,D:D,DST_123_ÜRETİM_İHTİYAÇ_RAPORU_BURAK_YENI1309[[#This Row],[ALT_KOD]])+AVERAGEIFS(I:I,D:D,DST_123_ÜRETİM_İHTİYAÇ_RAPORU_BURAK_YENI1309[[#This Row],[ALT_KOD]])+AVERAGEIFS(L:L,D:D,DST_123_ÜRETİM_İHTİYAÇ_RAPORU_BURAK_YENI1309[[#This Row],[ALT_KOD]]))</f>
        <v>194</v>
      </c>
      <c r="L3475">
        <v>0</v>
      </c>
      <c r="M3475">
        <f>IF((DST_123_ÜRETİM_İHTİYAÇ_RAPORU_BURAK_YENI1309[[#This Row],[SATINALMA]]*DST_123_ÜRETİM_İHTİYAÇ_RAPORU_BURAK_YENI1309[[#This Row],[BIRIM_FIYATLAR]])&lt;1,VALUE("0"),DST_123_ÜRETİM_İHTİYAÇ_RAPORU_BURAK_YENI1309[[#This Row],[SATINALMA]]*DST_123_ÜRETİM_İHTİYAÇ_RAPORU_BURAK_YENI1309[[#This Row],[BIRIM_FIYATLAR]])</f>
        <v>5383.5</v>
      </c>
      <c r="N3475">
        <v>27.75</v>
      </c>
      <c r="O3475" t="s">
        <v>742</v>
      </c>
      <c r="P3475">
        <v>444</v>
      </c>
      <c r="Q3475" t="s">
        <v>184</v>
      </c>
    </row>
    <row r="3476" spans="1:17" x14ac:dyDescent="0.25">
      <c r="A3476" t="s">
        <v>1064</v>
      </c>
      <c r="B3476" t="s">
        <v>1055</v>
      </c>
      <c r="C3476" t="s">
        <v>175</v>
      </c>
      <c r="D3476" t="s">
        <v>840</v>
      </c>
      <c r="E3476" t="s">
        <v>841</v>
      </c>
      <c r="F3476">
        <v>5</v>
      </c>
      <c r="G3476" t="s">
        <v>179</v>
      </c>
      <c r="H3476">
        <v>0</v>
      </c>
      <c r="I3476">
        <v>0</v>
      </c>
      <c r="J3476" s="10">
        <v>165</v>
      </c>
      <c r="K3476" s="10">
        <f>SUMIFS(F:F,D:D,DST_123_ÜRETİM_İHTİYAÇ_RAPORU_BURAK_YENI1309[[#This Row],[ALT_KOD]])-(SUMIFS(H:H,D:D,DST_123_ÜRETİM_İHTİYAÇ_RAPORU_BURAK_YENI1309[[#This Row],[ALT_KOD]])+AVERAGEIFS(I:I,D:D,DST_123_ÜRETİM_İHTİYAÇ_RAPORU_BURAK_YENI1309[[#This Row],[ALT_KOD]])+AVERAGEIFS(L:L,D:D,DST_123_ÜRETİM_İHTİYAÇ_RAPORU_BURAK_YENI1309[[#This Row],[ALT_KOD]]))</f>
        <v>-289</v>
      </c>
      <c r="L3476">
        <v>400</v>
      </c>
      <c r="M3476">
        <f>IF((DST_123_ÜRETİM_İHTİYAÇ_RAPORU_BURAK_YENI1309[[#This Row],[SATINALMA]]*DST_123_ÜRETİM_İHTİYAÇ_RAPORU_BURAK_YENI1309[[#This Row],[BIRIM_FIYATLAR]])&lt;1,VALUE("0"),DST_123_ÜRETİM_İHTİYAÇ_RAPORU_BURAK_YENI1309[[#This Row],[SATINALMA]]*DST_123_ÜRETİM_İHTİYAÇ_RAPORU_BURAK_YENI1309[[#This Row],[BIRIM_FIYATLAR]])</f>
        <v>0</v>
      </c>
      <c r="N3476">
        <v>5</v>
      </c>
      <c r="O3476" t="s">
        <v>224</v>
      </c>
      <c r="P3476">
        <v>25</v>
      </c>
      <c r="Q3476" t="s">
        <v>180</v>
      </c>
    </row>
    <row r="3477" spans="1:17" x14ac:dyDescent="0.25">
      <c r="A3477" t="s">
        <v>1098</v>
      </c>
      <c r="B3477" t="s">
        <v>1096</v>
      </c>
      <c r="C3477" t="s">
        <v>175</v>
      </c>
      <c r="D3477" t="s">
        <v>840</v>
      </c>
      <c r="E3477" t="s">
        <v>841</v>
      </c>
      <c r="F3477">
        <v>5</v>
      </c>
      <c r="G3477" t="s">
        <v>179</v>
      </c>
      <c r="H3477">
        <v>0</v>
      </c>
      <c r="I3477">
        <v>0</v>
      </c>
      <c r="J3477" s="10">
        <v>165</v>
      </c>
      <c r="K3477" s="10">
        <f>SUMIFS(F:F,D:D,DST_123_ÜRETİM_İHTİYAÇ_RAPORU_BURAK_YENI1309[[#This Row],[ALT_KOD]])-(SUMIFS(H:H,D:D,DST_123_ÜRETİM_İHTİYAÇ_RAPORU_BURAK_YENI1309[[#This Row],[ALT_KOD]])+AVERAGEIFS(I:I,D:D,DST_123_ÜRETİM_İHTİYAÇ_RAPORU_BURAK_YENI1309[[#This Row],[ALT_KOD]])+AVERAGEIFS(L:L,D:D,DST_123_ÜRETİM_İHTİYAÇ_RAPORU_BURAK_YENI1309[[#This Row],[ALT_KOD]]))</f>
        <v>-289</v>
      </c>
      <c r="L3477">
        <v>400</v>
      </c>
      <c r="M3477">
        <f>IF((DST_123_ÜRETİM_İHTİYAÇ_RAPORU_BURAK_YENI1309[[#This Row],[SATINALMA]]*DST_123_ÜRETİM_İHTİYAÇ_RAPORU_BURAK_YENI1309[[#This Row],[BIRIM_FIYATLAR]])&lt;1,VALUE("0"),DST_123_ÜRETİM_İHTİYAÇ_RAPORU_BURAK_YENI1309[[#This Row],[SATINALMA]]*DST_123_ÜRETİM_İHTİYAÇ_RAPORU_BURAK_YENI1309[[#This Row],[BIRIM_FIYATLAR]])</f>
        <v>0</v>
      </c>
      <c r="N3477">
        <v>5</v>
      </c>
      <c r="O3477" t="s">
        <v>224</v>
      </c>
      <c r="P3477">
        <v>25</v>
      </c>
      <c r="Q3477" t="s">
        <v>180</v>
      </c>
    </row>
    <row r="3478" spans="1:17" x14ac:dyDescent="0.25">
      <c r="A3478" t="s">
        <v>1144</v>
      </c>
      <c r="B3478" t="s">
        <v>1145</v>
      </c>
      <c r="C3478" t="s">
        <v>175</v>
      </c>
      <c r="D3478" t="s">
        <v>684</v>
      </c>
      <c r="E3478" t="s">
        <v>685</v>
      </c>
      <c r="F3478">
        <v>1</v>
      </c>
      <c r="G3478" t="s">
        <v>176</v>
      </c>
      <c r="H3478">
        <v>0</v>
      </c>
      <c r="I3478">
        <v>23</v>
      </c>
      <c r="J3478" s="10">
        <v>17</v>
      </c>
      <c r="K3478" s="10">
        <f>SUMIFS(F:F,D:D,DST_123_ÜRETİM_İHTİYAÇ_RAPORU_BURAK_YENI1309[[#This Row],[ALT_KOD]])-(SUMIFS(H:H,D:D,DST_123_ÜRETİM_İHTİYAÇ_RAPORU_BURAK_YENI1309[[#This Row],[ALT_KOD]])+AVERAGEIFS(I:I,D:D,DST_123_ÜRETİM_İHTİYAÇ_RAPORU_BURAK_YENI1309[[#This Row],[ALT_KOD]])+AVERAGEIFS(L:L,D:D,DST_123_ÜRETİM_İHTİYAÇ_RAPORU_BURAK_YENI1309[[#This Row],[ALT_KOD]]))</f>
        <v>-8</v>
      </c>
      <c r="L3478">
        <v>0</v>
      </c>
      <c r="M3478">
        <f>IF((DST_123_ÜRETİM_İHTİYAÇ_RAPORU_BURAK_YENI1309[[#This Row],[SATINALMA]]*DST_123_ÜRETİM_İHTİYAÇ_RAPORU_BURAK_YENI1309[[#This Row],[BIRIM_FIYATLAR]])&lt;1,VALUE("0"),DST_123_ÜRETİM_İHTİYAÇ_RAPORU_BURAK_YENI1309[[#This Row],[SATINALMA]]*DST_123_ÜRETİM_İHTİYAÇ_RAPORU_BURAK_YENI1309[[#This Row],[BIRIM_FIYATLAR]])</f>
        <v>0</v>
      </c>
      <c r="N3478">
        <v>750</v>
      </c>
      <c r="O3478" t="s">
        <v>584</v>
      </c>
      <c r="P3478">
        <v>750</v>
      </c>
      <c r="Q3478" t="s">
        <v>177</v>
      </c>
    </row>
    <row r="3479" spans="1:17" x14ac:dyDescent="0.25">
      <c r="A3479" t="s">
        <v>1146</v>
      </c>
      <c r="B3479" t="s">
        <v>1145</v>
      </c>
      <c r="C3479" t="s">
        <v>175</v>
      </c>
      <c r="D3479" t="s">
        <v>684</v>
      </c>
      <c r="E3479" t="s">
        <v>685</v>
      </c>
      <c r="F3479">
        <v>1</v>
      </c>
      <c r="G3479" t="s">
        <v>176</v>
      </c>
      <c r="H3479">
        <v>0</v>
      </c>
      <c r="I3479">
        <v>23</v>
      </c>
      <c r="J3479" s="10">
        <v>17</v>
      </c>
      <c r="K3479" s="10">
        <f>SUMIFS(F:F,D:D,DST_123_ÜRETİM_İHTİYAÇ_RAPORU_BURAK_YENI1309[[#This Row],[ALT_KOD]])-(SUMIFS(H:H,D:D,DST_123_ÜRETİM_İHTİYAÇ_RAPORU_BURAK_YENI1309[[#This Row],[ALT_KOD]])+AVERAGEIFS(I:I,D:D,DST_123_ÜRETİM_İHTİYAÇ_RAPORU_BURAK_YENI1309[[#This Row],[ALT_KOD]])+AVERAGEIFS(L:L,D:D,DST_123_ÜRETİM_İHTİYAÇ_RAPORU_BURAK_YENI1309[[#This Row],[ALT_KOD]]))</f>
        <v>-8</v>
      </c>
      <c r="L3479">
        <v>0</v>
      </c>
      <c r="M3479">
        <f>IF((DST_123_ÜRETİM_İHTİYAÇ_RAPORU_BURAK_YENI1309[[#This Row],[SATINALMA]]*DST_123_ÜRETİM_İHTİYAÇ_RAPORU_BURAK_YENI1309[[#This Row],[BIRIM_FIYATLAR]])&lt;1,VALUE("0"),DST_123_ÜRETİM_İHTİYAÇ_RAPORU_BURAK_YENI1309[[#This Row],[SATINALMA]]*DST_123_ÜRETİM_İHTİYAÇ_RAPORU_BURAK_YENI1309[[#This Row],[BIRIM_FIYATLAR]])</f>
        <v>0</v>
      </c>
      <c r="N3479">
        <v>750</v>
      </c>
      <c r="O3479" t="s">
        <v>584</v>
      </c>
      <c r="P3479">
        <v>750</v>
      </c>
      <c r="Q3479" t="s">
        <v>177</v>
      </c>
    </row>
    <row r="3480" spans="1:17" x14ac:dyDescent="0.25">
      <c r="A3480" t="s">
        <v>1149</v>
      </c>
      <c r="B3480" t="s">
        <v>1145</v>
      </c>
      <c r="C3480" t="s">
        <v>175</v>
      </c>
      <c r="D3480" t="s">
        <v>469</v>
      </c>
      <c r="E3480" t="s">
        <v>470</v>
      </c>
      <c r="F3480">
        <v>1</v>
      </c>
      <c r="G3480" t="s">
        <v>176</v>
      </c>
      <c r="H3480">
        <v>0</v>
      </c>
      <c r="I3480">
        <v>39</v>
      </c>
      <c r="J3480" s="10">
        <v>2</v>
      </c>
      <c r="K3480" s="10">
        <f>SUMIFS(F:F,D:D,DST_123_ÜRETİM_İHTİYAÇ_RAPORU_BURAK_YENI1309[[#This Row],[ALT_KOD]])-(SUMIFS(H:H,D:D,DST_123_ÜRETİM_İHTİYAÇ_RAPORU_BURAK_YENI1309[[#This Row],[ALT_KOD]])+AVERAGEIFS(I:I,D:D,DST_123_ÜRETİM_İHTİYAÇ_RAPORU_BURAK_YENI1309[[#This Row],[ALT_KOD]])+AVERAGEIFS(L:L,D:D,DST_123_ÜRETİM_İHTİYAÇ_RAPORU_BURAK_YENI1309[[#This Row],[ALT_KOD]]))</f>
        <v>-19</v>
      </c>
      <c r="L3480">
        <v>0</v>
      </c>
      <c r="M3480">
        <f>IF((DST_123_ÜRETİM_İHTİYAÇ_RAPORU_BURAK_YENI1309[[#This Row],[SATINALMA]]*DST_123_ÜRETİM_İHTİYAÇ_RAPORU_BURAK_YENI1309[[#This Row],[BIRIM_FIYATLAR]])&lt;1,VALUE("0"),DST_123_ÜRETİM_İHTİYAÇ_RAPORU_BURAK_YENI1309[[#This Row],[SATINALMA]]*DST_123_ÜRETİM_İHTİYAÇ_RAPORU_BURAK_YENI1309[[#This Row],[BIRIM_FIYATLAR]])</f>
        <v>0</v>
      </c>
      <c r="N3480">
        <v>65</v>
      </c>
      <c r="O3480" t="s">
        <v>821</v>
      </c>
      <c r="P3480">
        <v>65</v>
      </c>
      <c r="Q3480" t="s">
        <v>178</v>
      </c>
    </row>
    <row r="3481" spans="1:17" x14ac:dyDescent="0.25">
      <c r="A3481" t="s">
        <v>1146</v>
      </c>
      <c r="B3481" t="s">
        <v>1145</v>
      </c>
      <c r="C3481" t="s">
        <v>175</v>
      </c>
      <c r="D3481" t="s">
        <v>469</v>
      </c>
      <c r="E3481" t="s">
        <v>470</v>
      </c>
      <c r="F3481">
        <v>2</v>
      </c>
      <c r="G3481" t="s">
        <v>176</v>
      </c>
      <c r="H3481">
        <v>0</v>
      </c>
      <c r="I3481">
        <v>39</v>
      </c>
      <c r="J3481" s="10">
        <v>2</v>
      </c>
      <c r="K3481" s="10">
        <f>SUMIFS(F:F,D:D,DST_123_ÜRETİM_İHTİYAÇ_RAPORU_BURAK_YENI1309[[#This Row],[ALT_KOD]])-(SUMIFS(H:H,D:D,DST_123_ÜRETİM_İHTİYAÇ_RAPORU_BURAK_YENI1309[[#This Row],[ALT_KOD]])+AVERAGEIFS(I:I,D:D,DST_123_ÜRETİM_İHTİYAÇ_RAPORU_BURAK_YENI1309[[#This Row],[ALT_KOD]])+AVERAGEIFS(L:L,D:D,DST_123_ÜRETİM_İHTİYAÇ_RAPORU_BURAK_YENI1309[[#This Row],[ALT_KOD]]))</f>
        <v>-19</v>
      </c>
      <c r="L3481">
        <v>0</v>
      </c>
      <c r="M3481">
        <f>IF((DST_123_ÜRETİM_İHTİYAÇ_RAPORU_BURAK_YENI1309[[#This Row],[SATINALMA]]*DST_123_ÜRETİM_İHTİYAÇ_RAPORU_BURAK_YENI1309[[#This Row],[BIRIM_FIYATLAR]])&lt;1,VALUE("0"),DST_123_ÜRETİM_İHTİYAÇ_RAPORU_BURAK_YENI1309[[#This Row],[SATINALMA]]*DST_123_ÜRETİM_İHTİYAÇ_RAPORU_BURAK_YENI1309[[#This Row],[BIRIM_FIYATLAR]])</f>
        <v>0</v>
      </c>
      <c r="N3481">
        <v>65</v>
      </c>
      <c r="O3481" t="s">
        <v>821</v>
      </c>
      <c r="P3481">
        <v>130</v>
      </c>
      <c r="Q3481" t="s">
        <v>178</v>
      </c>
    </row>
    <row r="3482" spans="1:17" x14ac:dyDescent="0.25">
      <c r="A3482" t="s">
        <v>1149</v>
      </c>
      <c r="B3482" t="s">
        <v>1145</v>
      </c>
      <c r="C3482" t="s">
        <v>175</v>
      </c>
      <c r="D3482" t="s">
        <v>336</v>
      </c>
      <c r="E3482" t="s">
        <v>623</v>
      </c>
      <c r="F3482">
        <v>1</v>
      </c>
      <c r="G3482" t="s">
        <v>176</v>
      </c>
      <c r="H3482">
        <v>0</v>
      </c>
      <c r="I3482">
        <v>5</v>
      </c>
      <c r="J3482" s="10">
        <v>4</v>
      </c>
      <c r="K3482" s="10">
        <f>SUMIFS(F:F,D:D,DST_123_ÜRETİM_İHTİYAÇ_RAPORU_BURAK_YENI1309[[#This Row],[ALT_KOD]])-(SUMIFS(H:H,D:D,DST_123_ÜRETİM_İHTİYAÇ_RAPORU_BURAK_YENI1309[[#This Row],[ALT_KOD]])+AVERAGEIFS(I:I,D:D,DST_123_ÜRETİM_İHTİYAÇ_RAPORU_BURAK_YENI1309[[#This Row],[ALT_KOD]])+AVERAGEIFS(L:L,D:D,DST_123_ÜRETİM_İHTİYAÇ_RAPORU_BURAK_YENI1309[[#This Row],[ALT_KOD]]))</f>
        <v>2</v>
      </c>
      <c r="L3482">
        <v>0</v>
      </c>
      <c r="M3482">
        <f>IF((DST_123_ÜRETİM_İHTİYAÇ_RAPORU_BURAK_YENI1309[[#This Row],[SATINALMA]]*DST_123_ÜRETİM_İHTİYAÇ_RAPORU_BURAK_YENI1309[[#This Row],[BIRIM_FIYATLAR]])&lt;1,VALUE("0"),DST_123_ÜRETİM_İHTİYAÇ_RAPORU_BURAK_YENI1309[[#This Row],[SATINALMA]]*DST_123_ÜRETİM_İHTİYAÇ_RAPORU_BURAK_YENI1309[[#This Row],[BIRIM_FIYATLAR]])</f>
        <v>3359.06</v>
      </c>
      <c r="N3482">
        <v>1679.53</v>
      </c>
      <c r="O3482" t="s">
        <v>636</v>
      </c>
      <c r="P3482">
        <v>1679.53</v>
      </c>
      <c r="Q3482" t="s">
        <v>178</v>
      </c>
    </row>
    <row r="3483" spans="1:17" x14ac:dyDescent="0.25">
      <c r="A3483" t="s">
        <v>1146</v>
      </c>
      <c r="B3483" t="s">
        <v>1145</v>
      </c>
      <c r="C3483" t="s">
        <v>175</v>
      </c>
      <c r="D3483" t="s">
        <v>336</v>
      </c>
      <c r="E3483" t="s">
        <v>623</v>
      </c>
      <c r="F3483">
        <v>1</v>
      </c>
      <c r="G3483" t="s">
        <v>176</v>
      </c>
      <c r="H3483">
        <v>0</v>
      </c>
      <c r="I3483">
        <v>5</v>
      </c>
      <c r="J3483" s="10">
        <v>4</v>
      </c>
      <c r="K3483" s="10">
        <f>SUMIFS(F:F,D:D,DST_123_ÜRETİM_İHTİYAÇ_RAPORU_BURAK_YENI1309[[#This Row],[ALT_KOD]])-(SUMIFS(H:H,D:D,DST_123_ÜRETİM_İHTİYAÇ_RAPORU_BURAK_YENI1309[[#This Row],[ALT_KOD]])+AVERAGEIFS(I:I,D:D,DST_123_ÜRETİM_İHTİYAÇ_RAPORU_BURAK_YENI1309[[#This Row],[ALT_KOD]])+AVERAGEIFS(L:L,D:D,DST_123_ÜRETİM_İHTİYAÇ_RAPORU_BURAK_YENI1309[[#This Row],[ALT_KOD]]))</f>
        <v>2</v>
      </c>
      <c r="L3483">
        <v>0</v>
      </c>
      <c r="M3483">
        <f>IF((DST_123_ÜRETİM_İHTİYAÇ_RAPORU_BURAK_YENI1309[[#This Row],[SATINALMA]]*DST_123_ÜRETİM_İHTİYAÇ_RAPORU_BURAK_YENI1309[[#This Row],[BIRIM_FIYATLAR]])&lt;1,VALUE("0"),DST_123_ÜRETİM_İHTİYAÇ_RAPORU_BURAK_YENI1309[[#This Row],[SATINALMA]]*DST_123_ÜRETİM_İHTİYAÇ_RAPORU_BURAK_YENI1309[[#This Row],[BIRIM_FIYATLAR]])</f>
        <v>3359.06</v>
      </c>
      <c r="N3483">
        <v>1679.53</v>
      </c>
      <c r="O3483" t="s">
        <v>636</v>
      </c>
      <c r="P3483">
        <v>1679.53</v>
      </c>
      <c r="Q3483" t="s">
        <v>178</v>
      </c>
    </row>
    <row r="3484" spans="1:17" x14ac:dyDescent="0.25">
      <c r="A3484" t="s">
        <v>1057</v>
      </c>
      <c r="B3484" t="s">
        <v>1058</v>
      </c>
      <c r="C3484" t="s">
        <v>175</v>
      </c>
      <c r="D3484" t="s">
        <v>469</v>
      </c>
      <c r="E3484" t="s">
        <v>470</v>
      </c>
      <c r="F3484">
        <v>1</v>
      </c>
      <c r="G3484" t="s">
        <v>176</v>
      </c>
      <c r="H3484">
        <v>0</v>
      </c>
      <c r="I3484">
        <v>39</v>
      </c>
      <c r="J3484" s="10">
        <v>2</v>
      </c>
      <c r="K3484" s="10">
        <f>SUMIFS(F:F,D:D,DST_123_ÜRETİM_İHTİYAÇ_RAPORU_BURAK_YENI1309[[#This Row],[ALT_KOD]])-(SUMIFS(H:H,D:D,DST_123_ÜRETİM_İHTİYAÇ_RAPORU_BURAK_YENI1309[[#This Row],[ALT_KOD]])+AVERAGEIFS(I:I,D:D,DST_123_ÜRETİM_İHTİYAÇ_RAPORU_BURAK_YENI1309[[#This Row],[ALT_KOD]])+AVERAGEIFS(L:L,D:D,DST_123_ÜRETİM_İHTİYAÇ_RAPORU_BURAK_YENI1309[[#This Row],[ALT_KOD]]))</f>
        <v>-19</v>
      </c>
      <c r="L3484">
        <v>0</v>
      </c>
      <c r="M3484">
        <f>IF((DST_123_ÜRETİM_İHTİYAÇ_RAPORU_BURAK_YENI1309[[#This Row],[SATINALMA]]*DST_123_ÜRETİM_İHTİYAÇ_RAPORU_BURAK_YENI1309[[#This Row],[BIRIM_FIYATLAR]])&lt;1,VALUE("0"),DST_123_ÜRETİM_İHTİYAÇ_RAPORU_BURAK_YENI1309[[#This Row],[SATINALMA]]*DST_123_ÜRETİM_İHTİYAÇ_RAPORU_BURAK_YENI1309[[#This Row],[BIRIM_FIYATLAR]])</f>
        <v>0</v>
      </c>
      <c r="N3484">
        <v>65</v>
      </c>
      <c r="O3484" t="s">
        <v>821</v>
      </c>
      <c r="P3484">
        <v>65</v>
      </c>
      <c r="Q3484" t="s">
        <v>178</v>
      </c>
    </row>
    <row r="3485" spans="1:17" x14ac:dyDescent="0.25">
      <c r="A3485" t="s">
        <v>1148</v>
      </c>
      <c r="B3485" t="s">
        <v>1056</v>
      </c>
      <c r="C3485" t="s">
        <v>175</v>
      </c>
      <c r="D3485" t="s">
        <v>469</v>
      </c>
      <c r="E3485" t="s">
        <v>470</v>
      </c>
      <c r="F3485">
        <v>1</v>
      </c>
      <c r="G3485" t="s">
        <v>176</v>
      </c>
      <c r="H3485">
        <v>0</v>
      </c>
      <c r="I3485">
        <v>39</v>
      </c>
      <c r="J3485" s="10">
        <v>2</v>
      </c>
      <c r="K3485" s="10">
        <f>SUMIFS(F:F,D:D,DST_123_ÜRETİM_İHTİYAÇ_RAPORU_BURAK_YENI1309[[#This Row],[ALT_KOD]])-(SUMIFS(H:H,D:D,DST_123_ÜRETİM_İHTİYAÇ_RAPORU_BURAK_YENI1309[[#This Row],[ALT_KOD]])+AVERAGEIFS(I:I,D:D,DST_123_ÜRETİM_İHTİYAÇ_RAPORU_BURAK_YENI1309[[#This Row],[ALT_KOD]])+AVERAGEIFS(L:L,D:D,DST_123_ÜRETİM_İHTİYAÇ_RAPORU_BURAK_YENI1309[[#This Row],[ALT_KOD]]))</f>
        <v>-19</v>
      </c>
      <c r="L3485">
        <v>0</v>
      </c>
      <c r="M3485">
        <f>IF((DST_123_ÜRETİM_İHTİYAÇ_RAPORU_BURAK_YENI1309[[#This Row],[SATINALMA]]*DST_123_ÜRETİM_İHTİYAÇ_RAPORU_BURAK_YENI1309[[#This Row],[BIRIM_FIYATLAR]])&lt;1,VALUE("0"),DST_123_ÜRETİM_İHTİYAÇ_RAPORU_BURAK_YENI1309[[#This Row],[SATINALMA]]*DST_123_ÜRETİM_İHTİYAÇ_RAPORU_BURAK_YENI1309[[#This Row],[BIRIM_FIYATLAR]])</f>
        <v>0</v>
      </c>
      <c r="N3485">
        <v>65</v>
      </c>
      <c r="O3485" t="s">
        <v>821</v>
      </c>
      <c r="P3485">
        <v>65</v>
      </c>
      <c r="Q3485" t="s">
        <v>178</v>
      </c>
    </row>
    <row r="3486" spans="1:17" x14ac:dyDescent="0.25">
      <c r="A3486" t="s">
        <v>1100</v>
      </c>
      <c r="B3486" t="s">
        <v>1058</v>
      </c>
      <c r="C3486" t="s">
        <v>175</v>
      </c>
      <c r="D3486" t="s">
        <v>469</v>
      </c>
      <c r="E3486" t="s">
        <v>470</v>
      </c>
      <c r="F3486">
        <v>1</v>
      </c>
      <c r="G3486" t="s">
        <v>176</v>
      </c>
      <c r="H3486">
        <v>0</v>
      </c>
      <c r="I3486">
        <v>39</v>
      </c>
      <c r="J3486" s="10">
        <v>2</v>
      </c>
      <c r="K3486" s="10">
        <f>SUMIFS(F:F,D:D,DST_123_ÜRETİM_İHTİYAÇ_RAPORU_BURAK_YENI1309[[#This Row],[ALT_KOD]])-(SUMIFS(H:H,D:D,DST_123_ÜRETİM_İHTİYAÇ_RAPORU_BURAK_YENI1309[[#This Row],[ALT_KOD]])+AVERAGEIFS(I:I,D:D,DST_123_ÜRETİM_İHTİYAÇ_RAPORU_BURAK_YENI1309[[#This Row],[ALT_KOD]])+AVERAGEIFS(L:L,D:D,DST_123_ÜRETİM_İHTİYAÇ_RAPORU_BURAK_YENI1309[[#This Row],[ALT_KOD]]))</f>
        <v>-19</v>
      </c>
      <c r="L3486">
        <v>0</v>
      </c>
      <c r="M3486">
        <f>IF((DST_123_ÜRETİM_İHTİYAÇ_RAPORU_BURAK_YENI1309[[#This Row],[SATINALMA]]*DST_123_ÜRETİM_İHTİYAÇ_RAPORU_BURAK_YENI1309[[#This Row],[BIRIM_FIYATLAR]])&lt;1,VALUE("0"),DST_123_ÜRETİM_İHTİYAÇ_RAPORU_BURAK_YENI1309[[#This Row],[SATINALMA]]*DST_123_ÜRETİM_İHTİYAÇ_RAPORU_BURAK_YENI1309[[#This Row],[BIRIM_FIYATLAR]])</f>
        <v>0</v>
      </c>
      <c r="N3486">
        <v>65</v>
      </c>
      <c r="O3486" t="s">
        <v>821</v>
      </c>
      <c r="P3486">
        <v>65</v>
      </c>
      <c r="Q3486" t="s">
        <v>178</v>
      </c>
    </row>
    <row r="3487" spans="1:17" x14ac:dyDescent="0.25">
      <c r="A3487" t="s">
        <v>1057</v>
      </c>
      <c r="B3487" t="s">
        <v>1058</v>
      </c>
      <c r="C3487" t="s">
        <v>175</v>
      </c>
      <c r="D3487" t="s">
        <v>336</v>
      </c>
      <c r="E3487" t="s">
        <v>623</v>
      </c>
      <c r="F3487">
        <v>1</v>
      </c>
      <c r="G3487" t="s">
        <v>176</v>
      </c>
      <c r="H3487">
        <v>0</v>
      </c>
      <c r="I3487">
        <v>5</v>
      </c>
      <c r="J3487" s="10">
        <v>4</v>
      </c>
      <c r="K3487" s="10">
        <f>SUMIFS(F:F,D:D,DST_123_ÜRETİM_İHTİYAÇ_RAPORU_BURAK_YENI1309[[#This Row],[ALT_KOD]])-(SUMIFS(H:H,D:D,DST_123_ÜRETİM_İHTİYAÇ_RAPORU_BURAK_YENI1309[[#This Row],[ALT_KOD]])+AVERAGEIFS(I:I,D:D,DST_123_ÜRETİM_İHTİYAÇ_RAPORU_BURAK_YENI1309[[#This Row],[ALT_KOD]])+AVERAGEIFS(L:L,D:D,DST_123_ÜRETİM_İHTİYAÇ_RAPORU_BURAK_YENI1309[[#This Row],[ALT_KOD]]))</f>
        <v>2</v>
      </c>
      <c r="L3487">
        <v>0</v>
      </c>
      <c r="M3487">
        <f>IF((DST_123_ÜRETİM_İHTİYAÇ_RAPORU_BURAK_YENI1309[[#This Row],[SATINALMA]]*DST_123_ÜRETİM_İHTİYAÇ_RAPORU_BURAK_YENI1309[[#This Row],[BIRIM_FIYATLAR]])&lt;1,VALUE("0"),DST_123_ÜRETİM_İHTİYAÇ_RAPORU_BURAK_YENI1309[[#This Row],[SATINALMA]]*DST_123_ÜRETİM_İHTİYAÇ_RAPORU_BURAK_YENI1309[[#This Row],[BIRIM_FIYATLAR]])</f>
        <v>3359.06</v>
      </c>
      <c r="N3487">
        <v>1679.53</v>
      </c>
      <c r="O3487" t="s">
        <v>636</v>
      </c>
      <c r="P3487">
        <v>1679.53</v>
      </c>
      <c r="Q3487" t="s">
        <v>178</v>
      </c>
    </row>
    <row r="3488" spans="1:17" x14ac:dyDescent="0.25">
      <c r="A3488" t="s">
        <v>1057</v>
      </c>
      <c r="B3488" t="s">
        <v>1058</v>
      </c>
      <c r="C3488" t="s">
        <v>175</v>
      </c>
      <c r="D3488" t="s">
        <v>1017</v>
      </c>
      <c r="E3488" t="s">
        <v>1018</v>
      </c>
      <c r="F3488">
        <v>0.9</v>
      </c>
      <c r="G3488" t="s">
        <v>179</v>
      </c>
      <c r="H3488">
        <v>0</v>
      </c>
      <c r="I3488">
        <v>0</v>
      </c>
      <c r="J3488" s="10">
        <v>23.200000000000003</v>
      </c>
      <c r="K3488" s="10">
        <f>SUMIFS(F:F,D:D,DST_123_ÜRETİM_İHTİYAÇ_RAPORU_BURAK_YENI1309[[#This Row],[ALT_KOD]])-(SUMIFS(H:H,D:D,DST_123_ÜRETİM_İHTİYAÇ_RAPORU_BURAK_YENI1309[[#This Row],[ALT_KOD]])+AVERAGEIFS(I:I,D:D,DST_123_ÜRETİM_İHTİYAÇ_RAPORU_BURAK_YENI1309[[#This Row],[ALT_KOD]])+AVERAGEIFS(L:L,D:D,DST_123_ÜRETİM_İHTİYAÇ_RAPORU_BURAK_YENI1309[[#This Row],[ALT_KOD]]))</f>
        <v>1.8</v>
      </c>
      <c r="L3488">
        <v>0</v>
      </c>
      <c r="M3488">
        <f>IF((DST_123_ÜRETİM_İHTİYAÇ_RAPORU_BURAK_YENI1309[[#This Row],[SATINALMA]]*DST_123_ÜRETİM_İHTİYAÇ_RAPORU_BURAK_YENI1309[[#This Row],[BIRIM_FIYATLAR]])&lt;1,VALUE("0"),DST_123_ÜRETİM_İHTİYAÇ_RAPORU_BURAK_YENI1309[[#This Row],[SATINALMA]]*DST_123_ÜRETİM_İHTİYAÇ_RAPORU_BURAK_YENI1309[[#This Row],[BIRIM_FIYATLAR]])</f>
        <v>360</v>
      </c>
      <c r="N3488">
        <v>200</v>
      </c>
      <c r="O3488" t="s">
        <v>1019</v>
      </c>
      <c r="P3488">
        <v>180</v>
      </c>
      <c r="Q3488" t="s">
        <v>177</v>
      </c>
    </row>
    <row r="3489" spans="1:17" x14ac:dyDescent="0.25">
      <c r="A3489" t="s">
        <v>1142</v>
      </c>
      <c r="B3489" t="s">
        <v>1056</v>
      </c>
      <c r="C3489" t="s">
        <v>175</v>
      </c>
      <c r="D3489" t="s">
        <v>335</v>
      </c>
      <c r="E3489" t="s">
        <v>622</v>
      </c>
      <c r="F3489">
        <v>1</v>
      </c>
      <c r="G3489" t="s">
        <v>176</v>
      </c>
      <c r="H3489">
        <v>0</v>
      </c>
      <c r="I3489">
        <v>5</v>
      </c>
      <c r="J3489" s="10">
        <v>4</v>
      </c>
      <c r="K3489" s="10">
        <f>SUMIFS(F:F,D:D,DST_123_ÜRETİM_İHTİYAÇ_RAPORU_BURAK_YENI1309[[#This Row],[ALT_KOD]])-(SUMIFS(H:H,D:D,DST_123_ÜRETİM_İHTİYAÇ_RAPORU_BURAK_YENI1309[[#This Row],[ALT_KOD]])+AVERAGEIFS(I:I,D:D,DST_123_ÜRETİM_İHTİYAÇ_RAPORU_BURAK_YENI1309[[#This Row],[ALT_KOD]])+AVERAGEIFS(L:L,D:D,DST_123_ÜRETİM_İHTİYAÇ_RAPORU_BURAK_YENI1309[[#This Row],[ALT_KOD]]))</f>
        <v>2</v>
      </c>
      <c r="L3489">
        <v>0</v>
      </c>
      <c r="M3489">
        <f>IF((DST_123_ÜRETİM_İHTİYAÇ_RAPORU_BURAK_YENI1309[[#This Row],[SATINALMA]]*DST_123_ÜRETİM_İHTİYAÇ_RAPORU_BURAK_YENI1309[[#This Row],[BIRIM_FIYATLAR]])&lt;1,VALUE("0"),DST_123_ÜRETİM_İHTİYAÇ_RAPORU_BURAK_YENI1309[[#This Row],[SATINALMA]]*DST_123_ÜRETİM_İHTİYAÇ_RAPORU_BURAK_YENI1309[[#This Row],[BIRIM_FIYATLAR]])</f>
        <v>3447.58</v>
      </c>
      <c r="N3489">
        <v>1723.79</v>
      </c>
      <c r="O3489" t="s">
        <v>636</v>
      </c>
      <c r="P3489">
        <v>1723.79</v>
      </c>
      <c r="Q3489" t="s">
        <v>178</v>
      </c>
    </row>
    <row r="3490" spans="1:17" x14ac:dyDescent="0.25">
      <c r="A3490" t="s">
        <v>1149</v>
      </c>
      <c r="B3490" t="s">
        <v>1145</v>
      </c>
      <c r="C3490" t="s">
        <v>175</v>
      </c>
      <c r="D3490" t="s">
        <v>750</v>
      </c>
      <c r="E3490" t="s">
        <v>751</v>
      </c>
      <c r="F3490">
        <v>12</v>
      </c>
      <c r="G3490" t="s">
        <v>176</v>
      </c>
      <c r="H3490">
        <v>0</v>
      </c>
      <c r="I3490">
        <v>0</v>
      </c>
      <c r="J3490" s="10">
        <v>0</v>
      </c>
      <c r="K3490" s="10">
        <f>SUMIFS(F:F,D:D,DST_123_ÜRETİM_İHTİYAÇ_RAPORU_BURAK_YENI1309[[#This Row],[ALT_KOD]])-(SUMIFS(H:H,D:D,DST_123_ÜRETİM_İHTİYAÇ_RAPORU_BURAK_YENI1309[[#This Row],[ALT_KOD]])+AVERAGEIFS(I:I,D:D,DST_123_ÜRETİM_İHTİYAÇ_RAPORU_BURAK_YENI1309[[#This Row],[ALT_KOD]])+AVERAGEIFS(L:L,D:D,DST_123_ÜRETİM_İHTİYAÇ_RAPORU_BURAK_YENI1309[[#This Row],[ALT_KOD]]))</f>
        <v>124</v>
      </c>
      <c r="L3490">
        <v>0</v>
      </c>
      <c r="M3490">
        <f>IF((DST_123_ÜRETİM_İHTİYAÇ_RAPORU_BURAK_YENI1309[[#This Row],[SATINALMA]]*DST_123_ÜRETİM_İHTİYAÇ_RAPORU_BURAK_YENI1309[[#This Row],[BIRIM_FIYATLAR]])&lt;1,VALUE("0"),DST_123_ÜRETİM_İHTİYAÇ_RAPORU_BURAK_YENI1309[[#This Row],[SATINALMA]]*DST_123_ÜRETİM_İHTİYAÇ_RAPORU_BURAK_YENI1309[[#This Row],[BIRIM_FIYATLAR]])</f>
        <v>217</v>
      </c>
      <c r="N3490">
        <v>1.75</v>
      </c>
      <c r="O3490" t="s">
        <v>240</v>
      </c>
      <c r="P3490">
        <v>21</v>
      </c>
      <c r="Q3490" t="s">
        <v>180</v>
      </c>
    </row>
    <row r="3491" spans="1:17" x14ac:dyDescent="0.25">
      <c r="A3491" t="s">
        <v>1146</v>
      </c>
      <c r="B3491" t="s">
        <v>1145</v>
      </c>
      <c r="C3491" t="s">
        <v>175</v>
      </c>
      <c r="D3491" t="s">
        <v>750</v>
      </c>
      <c r="E3491" t="s">
        <v>751</v>
      </c>
      <c r="F3491">
        <v>12</v>
      </c>
      <c r="G3491" t="s">
        <v>176</v>
      </c>
      <c r="H3491">
        <v>0</v>
      </c>
      <c r="I3491">
        <v>0</v>
      </c>
      <c r="J3491" s="10">
        <v>0</v>
      </c>
      <c r="K3491" s="10">
        <f>SUMIFS(F:F,D:D,DST_123_ÜRETİM_İHTİYAÇ_RAPORU_BURAK_YENI1309[[#This Row],[ALT_KOD]])-(SUMIFS(H:H,D:D,DST_123_ÜRETİM_İHTİYAÇ_RAPORU_BURAK_YENI1309[[#This Row],[ALT_KOD]])+AVERAGEIFS(I:I,D:D,DST_123_ÜRETİM_İHTİYAÇ_RAPORU_BURAK_YENI1309[[#This Row],[ALT_KOD]])+AVERAGEIFS(L:L,D:D,DST_123_ÜRETİM_İHTİYAÇ_RAPORU_BURAK_YENI1309[[#This Row],[ALT_KOD]]))</f>
        <v>124</v>
      </c>
      <c r="L3491">
        <v>0</v>
      </c>
      <c r="M3491">
        <f>IF((DST_123_ÜRETİM_İHTİYAÇ_RAPORU_BURAK_YENI1309[[#This Row],[SATINALMA]]*DST_123_ÜRETİM_İHTİYAÇ_RAPORU_BURAK_YENI1309[[#This Row],[BIRIM_FIYATLAR]])&lt;1,VALUE("0"),DST_123_ÜRETİM_İHTİYAÇ_RAPORU_BURAK_YENI1309[[#This Row],[SATINALMA]]*DST_123_ÜRETİM_İHTİYAÇ_RAPORU_BURAK_YENI1309[[#This Row],[BIRIM_FIYATLAR]])</f>
        <v>217</v>
      </c>
      <c r="N3491">
        <v>1.75</v>
      </c>
      <c r="O3491" t="s">
        <v>240</v>
      </c>
      <c r="P3491">
        <v>21</v>
      </c>
      <c r="Q3491" t="s">
        <v>180</v>
      </c>
    </row>
    <row r="3492" spans="1:17" x14ac:dyDescent="0.25">
      <c r="A3492" t="s">
        <v>1144</v>
      </c>
      <c r="B3492" t="s">
        <v>1145</v>
      </c>
      <c r="C3492" t="s">
        <v>175</v>
      </c>
      <c r="D3492" t="s">
        <v>750</v>
      </c>
      <c r="E3492" t="s">
        <v>751</v>
      </c>
      <c r="F3492">
        <v>12</v>
      </c>
      <c r="G3492" t="s">
        <v>176</v>
      </c>
      <c r="H3492">
        <v>0</v>
      </c>
      <c r="I3492">
        <v>0</v>
      </c>
      <c r="J3492" s="10">
        <v>0</v>
      </c>
      <c r="K3492" s="10">
        <f>SUMIFS(F:F,D:D,DST_123_ÜRETİM_İHTİYAÇ_RAPORU_BURAK_YENI1309[[#This Row],[ALT_KOD]])-(SUMIFS(H:H,D:D,DST_123_ÜRETİM_İHTİYAÇ_RAPORU_BURAK_YENI1309[[#This Row],[ALT_KOD]])+AVERAGEIFS(I:I,D:D,DST_123_ÜRETİM_İHTİYAÇ_RAPORU_BURAK_YENI1309[[#This Row],[ALT_KOD]])+AVERAGEIFS(L:L,D:D,DST_123_ÜRETİM_İHTİYAÇ_RAPORU_BURAK_YENI1309[[#This Row],[ALT_KOD]]))</f>
        <v>124</v>
      </c>
      <c r="L3492">
        <v>0</v>
      </c>
      <c r="M3492">
        <f>IF((DST_123_ÜRETİM_İHTİYAÇ_RAPORU_BURAK_YENI1309[[#This Row],[SATINALMA]]*DST_123_ÜRETİM_İHTİYAÇ_RAPORU_BURAK_YENI1309[[#This Row],[BIRIM_FIYATLAR]])&lt;1,VALUE("0"),DST_123_ÜRETİM_İHTİYAÇ_RAPORU_BURAK_YENI1309[[#This Row],[SATINALMA]]*DST_123_ÜRETİM_İHTİYAÇ_RAPORU_BURAK_YENI1309[[#This Row],[BIRIM_FIYATLAR]])</f>
        <v>217</v>
      </c>
      <c r="N3492">
        <v>1.75</v>
      </c>
      <c r="O3492" t="s">
        <v>240</v>
      </c>
      <c r="P3492">
        <v>21</v>
      </c>
      <c r="Q3492" t="s">
        <v>180</v>
      </c>
    </row>
    <row r="3493" spans="1:17" x14ac:dyDescent="0.25">
      <c r="A3493" t="s">
        <v>1098</v>
      </c>
      <c r="B3493" t="s">
        <v>1096</v>
      </c>
      <c r="C3493" t="s">
        <v>175</v>
      </c>
      <c r="D3493" t="s">
        <v>550</v>
      </c>
      <c r="E3493" t="s">
        <v>551</v>
      </c>
      <c r="F3493">
        <v>2</v>
      </c>
      <c r="G3493" t="s">
        <v>176</v>
      </c>
      <c r="H3493">
        <v>0</v>
      </c>
      <c r="I3493">
        <v>35</v>
      </c>
      <c r="J3493" s="10">
        <v>14</v>
      </c>
      <c r="K3493" s="10">
        <f>SUMIFS(F:F,D:D,DST_123_ÜRETİM_İHTİYAÇ_RAPORU_BURAK_YENI1309[[#This Row],[ALT_KOD]])-(SUMIFS(H:H,D:D,DST_123_ÜRETİM_İHTİYAÇ_RAPORU_BURAK_YENI1309[[#This Row],[ALT_KOD]])+AVERAGEIFS(I:I,D:D,DST_123_ÜRETİM_İHTİYAÇ_RAPORU_BURAK_YENI1309[[#This Row],[ALT_KOD]])+AVERAGEIFS(L:L,D:D,DST_123_ÜRETİM_İHTİYAÇ_RAPORU_BURAK_YENI1309[[#This Row],[ALT_KOD]]))</f>
        <v>-11</v>
      </c>
      <c r="L3493">
        <v>0</v>
      </c>
      <c r="M3493">
        <f>IF((DST_123_ÜRETİM_İHTİYAÇ_RAPORU_BURAK_YENI1309[[#This Row],[SATINALMA]]*DST_123_ÜRETİM_İHTİYAÇ_RAPORU_BURAK_YENI1309[[#This Row],[BIRIM_FIYATLAR]])&lt;1,VALUE("0"),DST_123_ÜRETİM_İHTİYAÇ_RAPORU_BURAK_YENI1309[[#This Row],[SATINALMA]]*DST_123_ÜRETİM_İHTİYAÇ_RAPORU_BURAK_YENI1309[[#This Row],[BIRIM_FIYATLAR]])</f>
        <v>0</v>
      </c>
      <c r="N3493">
        <v>43.75</v>
      </c>
      <c r="O3493" t="s">
        <v>490</v>
      </c>
      <c r="P3493">
        <v>87.5</v>
      </c>
      <c r="Q3493" t="s">
        <v>180</v>
      </c>
    </row>
    <row r="3494" spans="1:17" x14ac:dyDescent="0.25">
      <c r="A3494" t="s">
        <v>1095</v>
      </c>
      <c r="B3494" t="s">
        <v>1096</v>
      </c>
      <c r="C3494" t="s">
        <v>175</v>
      </c>
      <c r="D3494" t="s">
        <v>943</v>
      </c>
      <c r="E3494" t="s">
        <v>944</v>
      </c>
      <c r="F3494">
        <v>1</v>
      </c>
      <c r="G3494" t="s">
        <v>176</v>
      </c>
      <c r="H3494">
        <v>0</v>
      </c>
      <c r="I3494">
        <v>0</v>
      </c>
      <c r="J3494" s="10">
        <v>0</v>
      </c>
      <c r="K3494" s="10">
        <f>SUMIFS(F:F,D:D,DST_123_ÜRETİM_İHTİYAÇ_RAPORU_BURAK_YENI1309[[#This Row],[ALT_KOD]])-(SUMIFS(H:H,D:D,DST_123_ÜRETİM_İHTİYAÇ_RAPORU_BURAK_YENI1309[[#This Row],[ALT_KOD]])+AVERAGEIFS(I:I,D:D,DST_123_ÜRETİM_İHTİYAÇ_RAPORU_BURAK_YENI1309[[#This Row],[ALT_KOD]])+AVERAGEIFS(L:L,D:D,DST_123_ÜRETİM_İHTİYAÇ_RAPORU_BURAK_YENI1309[[#This Row],[ALT_KOD]]))</f>
        <v>6.5</v>
      </c>
      <c r="L3494">
        <v>0</v>
      </c>
      <c r="M3494">
        <f>IF((DST_123_ÜRETİM_İHTİYAÇ_RAPORU_BURAK_YENI1309[[#This Row],[SATINALMA]]*DST_123_ÜRETİM_İHTİYAÇ_RAPORU_BURAK_YENI1309[[#This Row],[BIRIM_FIYATLAR]])&lt;1,VALUE("0"),DST_123_ÜRETİM_İHTİYAÇ_RAPORU_BURAK_YENI1309[[#This Row],[SATINALMA]]*DST_123_ÜRETİM_İHTİYAÇ_RAPORU_BURAK_YENI1309[[#This Row],[BIRIM_FIYATLAR]])</f>
        <v>247</v>
      </c>
      <c r="N3494">
        <v>38</v>
      </c>
      <c r="O3494" t="s">
        <v>240</v>
      </c>
      <c r="P3494">
        <v>38</v>
      </c>
      <c r="Q3494" t="s">
        <v>183</v>
      </c>
    </row>
    <row r="3495" spans="1:17" x14ac:dyDescent="0.25">
      <c r="A3495" t="s">
        <v>1059</v>
      </c>
      <c r="B3495" t="s">
        <v>1058</v>
      </c>
      <c r="C3495" t="s">
        <v>175</v>
      </c>
      <c r="D3495" t="s">
        <v>500</v>
      </c>
      <c r="E3495" t="s">
        <v>501</v>
      </c>
      <c r="F3495">
        <v>4</v>
      </c>
      <c r="G3495" t="s">
        <v>179</v>
      </c>
      <c r="H3495">
        <v>0</v>
      </c>
      <c r="I3495">
        <v>0</v>
      </c>
      <c r="J3495" s="10">
        <v>27</v>
      </c>
      <c r="K3495" s="10">
        <f>SUMIFS(F:F,D:D,DST_123_ÜRETİM_İHTİYAÇ_RAPORU_BURAK_YENI1309[[#This Row],[ALT_KOD]])-(SUMIFS(H:H,D:D,DST_123_ÜRETİM_İHTİYAÇ_RAPORU_BURAK_YENI1309[[#This Row],[ALT_KOD]])+AVERAGEIFS(I:I,D:D,DST_123_ÜRETİM_İHTİYAÇ_RAPORU_BURAK_YENI1309[[#This Row],[ALT_KOD]])+AVERAGEIFS(L:L,D:D,DST_123_ÜRETİM_İHTİYAÇ_RAPORU_BURAK_YENI1309[[#This Row],[ALT_KOD]]))</f>
        <v>30.5</v>
      </c>
      <c r="L3495">
        <v>0</v>
      </c>
      <c r="M3495">
        <f>IF((DST_123_ÜRETİM_İHTİYAÇ_RAPORU_BURAK_YENI1309[[#This Row],[SATINALMA]]*DST_123_ÜRETİM_İHTİYAÇ_RAPORU_BURAK_YENI1309[[#This Row],[BIRIM_FIYATLAR]])&lt;1,VALUE("0"),DST_123_ÜRETİM_İHTİYAÇ_RAPORU_BURAK_YENI1309[[#This Row],[SATINALMA]]*DST_123_ÜRETİM_İHTİYAÇ_RAPORU_BURAK_YENI1309[[#This Row],[BIRIM_FIYATLAR]])</f>
        <v>396.5</v>
      </c>
      <c r="N3495">
        <v>13</v>
      </c>
      <c r="P3495">
        <v>52</v>
      </c>
      <c r="Q3495" t="s">
        <v>221</v>
      </c>
    </row>
    <row r="3496" spans="1:17" x14ac:dyDescent="0.25">
      <c r="A3496" t="s">
        <v>1143</v>
      </c>
      <c r="B3496" t="s">
        <v>1056</v>
      </c>
      <c r="C3496" t="s">
        <v>175</v>
      </c>
      <c r="D3496" t="s">
        <v>500</v>
      </c>
      <c r="E3496" t="s">
        <v>501</v>
      </c>
      <c r="F3496">
        <v>1.5</v>
      </c>
      <c r="G3496" t="s">
        <v>179</v>
      </c>
      <c r="H3496">
        <v>0</v>
      </c>
      <c r="I3496">
        <v>0</v>
      </c>
      <c r="J3496" s="10">
        <v>27</v>
      </c>
      <c r="K3496" s="10">
        <f>SUMIFS(F:F,D:D,DST_123_ÜRETİM_İHTİYAÇ_RAPORU_BURAK_YENI1309[[#This Row],[ALT_KOD]])-(SUMIFS(H:H,D:D,DST_123_ÜRETİM_İHTİYAÇ_RAPORU_BURAK_YENI1309[[#This Row],[ALT_KOD]])+AVERAGEIFS(I:I,D:D,DST_123_ÜRETİM_İHTİYAÇ_RAPORU_BURAK_YENI1309[[#This Row],[ALT_KOD]])+AVERAGEIFS(L:L,D:D,DST_123_ÜRETİM_İHTİYAÇ_RAPORU_BURAK_YENI1309[[#This Row],[ALT_KOD]]))</f>
        <v>30.5</v>
      </c>
      <c r="L3496">
        <v>0</v>
      </c>
      <c r="M3496">
        <f>IF((DST_123_ÜRETİM_İHTİYAÇ_RAPORU_BURAK_YENI1309[[#This Row],[SATINALMA]]*DST_123_ÜRETİM_İHTİYAÇ_RAPORU_BURAK_YENI1309[[#This Row],[BIRIM_FIYATLAR]])&lt;1,VALUE("0"),DST_123_ÜRETİM_İHTİYAÇ_RAPORU_BURAK_YENI1309[[#This Row],[SATINALMA]]*DST_123_ÜRETİM_İHTİYAÇ_RAPORU_BURAK_YENI1309[[#This Row],[BIRIM_FIYATLAR]])</f>
        <v>396.5</v>
      </c>
      <c r="N3496">
        <v>13</v>
      </c>
      <c r="P3496">
        <v>19.5</v>
      </c>
      <c r="Q3496" t="s">
        <v>221</v>
      </c>
    </row>
    <row r="3497" spans="1:17" x14ac:dyDescent="0.25">
      <c r="A3497" t="s">
        <v>1143</v>
      </c>
      <c r="B3497" t="s">
        <v>1056</v>
      </c>
      <c r="C3497" t="s">
        <v>175</v>
      </c>
      <c r="D3497" t="s">
        <v>550</v>
      </c>
      <c r="E3497" t="s">
        <v>551</v>
      </c>
      <c r="F3497">
        <v>2</v>
      </c>
      <c r="G3497" t="s">
        <v>176</v>
      </c>
      <c r="H3497">
        <v>0</v>
      </c>
      <c r="I3497">
        <v>35</v>
      </c>
      <c r="J3497" s="10">
        <v>14</v>
      </c>
      <c r="K3497" s="10">
        <f>SUMIFS(F:F,D:D,DST_123_ÜRETİM_İHTİYAÇ_RAPORU_BURAK_YENI1309[[#This Row],[ALT_KOD]])-(SUMIFS(H:H,D:D,DST_123_ÜRETİM_İHTİYAÇ_RAPORU_BURAK_YENI1309[[#This Row],[ALT_KOD]])+AVERAGEIFS(I:I,D:D,DST_123_ÜRETİM_İHTİYAÇ_RAPORU_BURAK_YENI1309[[#This Row],[ALT_KOD]])+AVERAGEIFS(L:L,D:D,DST_123_ÜRETİM_İHTİYAÇ_RAPORU_BURAK_YENI1309[[#This Row],[ALT_KOD]]))</f>
        <v>-11</v>
      </c>
      <c r="L3497">
        <v>0</v>
      </c>
      <c r="M3497">
        <f>IF((DST_123_ÜRETİM_İHTİYAÇ_RAPORU_BURAK_YENI1309[[#This Row],[SATINALMA]]*DST_123_ÜRETİM_İHTİYAÇ_RAPORU_BURAK_YENI1309[[#This Row],[BIRIM_FIYATLAR]])&lt;1,VALUE("0"),DST_123_ÜRETİM_İHTİYAÇ_RAPORU_BURAK_YENI1309[[#This Row],[SATINALMA]]*DST_123_ÜRETİM_İHTİYAÇ_RAPORU_BURAK_YENI1309[[#This Row],[BIRIM_FIYATLAR]])</f>
        <v>0</v>
      </c>
      <c r="N3497">
        <v>43.75</v>
      </c>
      <c r="O3497" t="s">
        <v>490</v>
      </c>
      <c r="P3497">
        <v>87.5</v>
      </c>
      <c r="Q3497" t="s">
        <v>180</v>
      </c>
    </row>
    <row r="3498" spans="1:17" x14ac:dyDescent="0.25">
      <c r="A3498" t="s">
        <v>1142</v>
      </c>
      <c r="B3498" t="s">
        <v>1056</v>
      </c>
      <c r="C3498" t="s">
        <v>175</v>
      </c>
      <c r="D3498" t="s">
        <v>273</v>
      </c>
      <c r="E3498" t="s">
        <v>274</v>
      </c>
      <c r="F3498">
        <v>1</v>
      </c>
      <c r="G3498" t="s">
        <v>176</v>
      </c>
      <c r="H3498">
        <v>0</v>
      </c>
      <c r="I3498">
        <v>7</v>
      </c>
      <c r="J3498" s="10">
        <v>10</v>
      </c>
      <c r="K3498" s="10">
        <f>SUMIFS(F:F,D:D,DST_123_ÜRETİM_İHTİYAÇ_RAPORU_BURAK_YENI1309[[#This Row],[ALT_KOD]])-(SUMIFS(H:H,D:D,DST_123_ÜRETİM_İHTİYAÇ_RAPORU_BURAK_YENI1309[[#This Row],[ALT_KOD]])+AVERAGEIFS(I:I,D:D,DST_123_ÜRETİM_İHTİYAÇ_RAPORU_BURAK_YENI1309[[#This Row],[ALT_KOD]])+AVERAGEIFS(L:L,D:D,DST_123_ÜRETİM_İHTİYAÇ_RAPORU_BURAK_YENI1309[[#This Row],[ALT_KOD]]))</f>
        <v>4</v>
      </c>
      <c r="L3498">
        <v>0</v>
      </c>
      <c r="M3498">
        <f>IF((DST_123_ÜRETİM_İHTİYAÇ_RAPORU_BURAK_YENI1309[[#This Row],[SATINALMA]]*DST_123_ÜRETİM_İHTİYAÇ_RAPORU_BURAK_YENI1309[[#This Row],[BIRIM_FIYATLAR]])&lt;1,VALUE("0"),DST_123_ÜRETİM_İHTİYAÇ_RAPORU_BURAK_YENI1309[[#This Row],[SATINALMA]]*DST_123_ÜRETİM_İHTİYAÇ_RAPORU_BURAK_YENI1309[[#This Row],[BIRIM_FIYATLAR]])</f>
        <v>1950.24</v>
      </c>
      <c r="N3498">
        <v>487.56</v>
      </c>
      <c r="O3498" t="s">
        <v>275</v>
      </c>
      <c r="P3498">
        <v>487.56</v>
      </c>
      <c r="Q3498" t="s">
        <v>177</v>
      </c>
    </row>
    <row r="3499" spans="1:17" x14ac:dyDescent="0.25">
      <c r="A3499" t="s">
        <v>1057</v>
      </c>
      <c r="B3499" t="s">
        <v>1058</v>
      </c>
      <c r="C3499" t="s">
        <v>175</v>
      </c>
      <c r="D3499" t="s">
        <v>335</v>
      </c>
      <c r="E3499" t="s">
        <v>622</v>
      </c>
      <c r="F3499">
        <v>1</v>
      </c>
      <c r="G3499" t="s">
        <v>176</v>
      </c>
      <c r="H3499">
        <v>0</v>
      </c>
      <c r="I3499">
        <v>5</v>
      </c>
      <c r="J3499" s="10">
        <v>4</v>
      </c>
      <c r="K3499" s="10">
        <f>SUMIFS(F:F,D:D,DST_123_ÜRETİM_İHTİYAÇ_RAPORU_BURAK_YENI1309[[#This Row],[ALT_KOD]])-(SUMIFS(H:H,D:D,DST_123_ÜRETİM_İHTİYAÇ_RAPORU_BURAK_YENI1309[[#This Row],[ALT_KOD]])+AVERAGEIFS(I:I,D:D,DST_123_ÜRETİM_İHTİYAÇ_RAPORU_BURAK_YENI1309[[#This Row],[ALT_KOD]])+AVERAGEIFS(L:L,D:D,DST_123_ÜRETİM_İHTİYAÇ_RAPORU_BURAK_YENI1309[[#This Row],[ALT_KOD]]))</f>
        <v>2</v>
      </c>
      <c r="L3499">
        <v>0</v>
      </c>
      <c r="M3499">
        <f>IF((DST_123_ÜRETİM_İHTİYAÇ_RAPORU_BURAK_YENI1309[[#This Row],[SATINALMA]]*DST_123_ÜRETİM_İHTİYAÇ_RAPORU_BURAK_YENI1309[[#This Row],[BIRIM_FIYATLAR]])&lt;1,VALUE("0"),DST_123_ÜRETİM_İHTİYAÇ_RAPORU_BURAK_YENI1309[[#This Row],[SATINALMA]]*DST_123_ÜRETİM_İHTİYAÇ_RAPORU_BURAK_YENI1309[[#This Row],[BIRIM_FIYATLAR]])</f>
        <v>3447.58</v>
      </c>
      <c r="N3499">
        <v>1723.79</v>
      </c>
      <c r="O3499" t="s">
        <v>636</v>
      </c>
      <c r="P3499">
        <v>1723.79</v>
      </c>
      <c r="Q3499" t="s">
        <v>178</v>
      </c>
    </row>
    <row r="3500" spans="1:17" x14ac:dyDescent="0.25">
      <c r="A3500" t="s">
        <v>1059</v>
      </c>
      <c r="B3500" t="s">
        <v>1058</v>
      </c>
      <c r="C3500" t="s">
        <v>175</v>
      </c>
      <c r="D3500" t="s">
        <v>335</v>
      </c>
      <c r="E3500" t="s">
        <v>622</v>
      </c>
      <c r="F3500">
        <v>1</v>
      </c>
      <c r="G3500" t="s">
        <v>176</v>
      </c>
      <c r="H3500">
        <v>0</v>
      </c>
      <c r="I3500">
        <v>5</v>
      </c>
      <c r="J3500" s="10">
        <v>4</v>
      </c>
      <c r="K3500" s="10">
        <f>SUMIFS(F:F,D:D,DST_123_ÜRETİM_İHTİYAÇ_RAPORU_BURAK_YENI1309[[#This Row],[ALT_KOD]])-(SUMIFS(H:H,D:D,DST_123_ÜRETİM_İHTİYAÇ_RAPORU_BURAK_YENI1309[[#This Row],[ALT_KOD]])+AVERAGEIFS(I:I,D:D,DST_123_ÜRETİM_İHTİYAÇ_RAPORU_BURAK_YENI1309[[#This Row],[ALT_KOD]])+AVERAGEIFS(L:L,D:D,DST_123_ÜRETİM_İHTİYAÇ_RAPORU_BURAK_YENI1309[[#This Row],[ALT_KOD]]))</f>
        <v>2</v>
      </c>
      <c r="L3500">
        <v>0</v>
      </c>
      <c r="M3500">
        <f>IF((DST_123_ÜRETİM_İHTİYAÇ_RAPORU_BURAK_YENI1309[[#This Row],[SATINALMA]]*DST_123_ÜRETİM_İHTİYAÇ_RAPORU_BURAK_YENI1309[[#This Row],[BIRIM_FIYATLAR]])&lt;1,VALUE("0"),DST_123_ÜRETİM_İHTİYAÇ_RAPORU_BURAK_YENI1309[[#This Row],[SATINALMA]]*DST_123_ÜRETİM_İHTİYAÇ_RAPORU_BURAK_YENI1309[[#This Row],[BIRIM_FIYATLAR]])</f>
        <v>3447.58</v>
      </c>
      <c r="N3500">
        <v>1723.79</v>
      </c>
      <c r="O3500" t="s">
        <v>636</v>
      </c>
      <c r="P3500">
        <v>1723.79</v>
      </c>
      <c r="Q3500" t="s">
        <v>178</v>
      </c>
    </row>
    <row r="3501" spans="1:17" x14ac:dyDescent="0.25">
      <c r="A3501" t="s">
        <v>1150</v>
      </c>
      <c r="B3501" t="s">
        <v>1145</v>
      </c>
      <c r="C3501" t="s">
        <v>175</v>
      </c>
      <c r="D3501" t="s">
        <v>273</v>
      </c>
      <c r="E3501" t="s">
        <v>274</v>
      </c>
      <c r="F3501">
        <v>1</v>
      </c>
      <c r="G3501" t="s">
        <v>176</v>
      </c>
      <c r="H3501">
        <v>0</v>
      </c>
      <c r="I3501">
        <v>7</v>
      </c>
      <c r="J3501" s="10">
        <v>10</v>
      </c>
      <c r="K3501" s="10">
        <f>SUMIFS(F:F,D:D,DST_123_ÜRETİM_İHTİYAÇ_RAPORU_BURAK_YENI1309[[#This Row],[ALT_KOD]])-(SUMIFS(H:H,D:D,DST_123_ÜRETİM_İHTİYAÇ_RAPORU_BURAK_YENI1309[[#This Row],[ALT_KOD]])+AVERAGEIFS(I:I,D:D,DST_123_ÜRETİM_İHTİYAÇ_RAPORU_BURAK_YENI1309[[#This Row],[ALT_KOD]])+AVERAGEIFS(L:L,D:D,DST_123_ÜRETİM_İHTİYAÇ_RAPORU_BURAK_YENI1309[[#This Row],[ALT_KOD]]))</f>
        <v>4</v>
      </c>
      <c r="L3501">
        <v>0</v>
      </c>
      <c r="M3501">
        <f>IF((DST_123_ÜRETİM_İHTİYAÇ_RAPORU_BURAK_YENI1309[[#This Row],[SATINALMA]]*DST_123_ÜRETİM_İHTİYAÇ_RAPORU_BURAK_YENI1309[[#This Row],[BIRIM_FIYATLAR]])&lt;1,VALUE("0"),DST_123_ÜRETİM_İHTİYAÇ_RAPORU_BURAK_YENI1309[[#This Row],[SATINALMA]]*DST_123_ÜRETİM_İHTİYAÇ_RAPORU_BURAK_YENI1309[[#This Row],[BIRIM_FIYATLAR]])</f>
        <v>1950.24</v>
      </c>
      <c r="N3501">
        <v>487.56</v>
      </c>
      <c r="O3501" t="s">
        <v>275</v>
      </c>
      <c r="P3501">
        <v>487.56</v>
      </c>
      <c r="Q3501" t="s">
        <v>177</v>
      </c>
    </row>
    <row r="3502" spans="1:17" x14ac:dyDescent="0.25">
      <c r="A3502" t="s">
        <v>1143</v>
      </c>
      <c r="B3502" t="s">
        <v>1056</v>
      </c>
      <c r="C3502" t="s">
        <v>175</v>
      </c>
      <c r="D3502" t="s">
        <v>718</v>
      </c>
      <c r="E3502" t="s">
        <v>719</v>
      </c>
      <c r="F3502">
        <v>1</v>
      </c>
      <c r="G3502" t="s">
        <v>176</v>
      </c>
      <c r="H3502">
        <v>0</v>
      </c>
      <c r="I3502">
        <v>1</v>
      </c>
      <c r="J3502" s="10">
        <v>4</v>
      </c>
      <c r="K3502" s="10">
        <f>SUMIFS(F:F,D:D,DST_123_ÜRETİM_İHTİYAÇ_RAPORU_BURAK_YENI1309[[#This Row],[ALT_KOD]])-(SUMIFS(H:H,D:D,DST_123_ÜRETİM_İHTİYAÇ_RAPORU_BURAK_YENI1309[[#This Row],[ALT_KOD]])+AVERAGEIFS(I:I,D:D,DST_123_ÜRETİM_İHTİYAÇ_RAPORU_BURAK_YENI1309[[#This Row],[ALT_KOD]])+AVERAGEIFS(L:L,D:D,DST_123_ÜRETİM_İHTİYAÇ_RAPORU_BURAK_YENI1309[[#This Row],[ALT_KOD]]))</f>
        <v>13</v>
      </c>
      <c r="L3502">
        <v>0</v>
      </c>
      <c r="M3502">
        <f>IF((DST_123_ÜRETİM_İHTİYAÇ_RAPORU_BURAK_YENI1309[[#This Row],[SATINALMA]]*DST_123_ÜRETİM_İHTİYAÇ_RAPORU_BURAK_YENI1309[[#This Row],[BIRIM_FIYATLAR]])&lt;1,VALUE("0"),DST_123_ÜRETİM_İHTİYAÇ_RAPORU_BURAK_YENI1309[[#This Row],[SATINALMA]]*DST_123_ÜRETİM_İHTİYAÇ_RAPORU_BURAK_YENI1309[[#This Row],[BIRIM_FIYATLAR]])</f>
        <v>168880.14</v>
      </c>
      <c r="N3502">
        <v>12990.78</v>
      </c>
      <c r="O3502" t="s">
        <v>589</v>
      </c>
      <c r="P3502">
        <v>12990.78</v>
      </c>
      <c r="Q3502" t="s">
        <v>177</v>
      </c>
    </row>
    <row r="3503" spans="1:17" x14ac:dyDescent="0.25">
      <c r="A3503" t="s">
        <v>1143</v>
      </c>
      <c r="B3503" t="s">
        <v>1056</v>
      </c>
      <c r="C3503" t="s">
        <v>175</v>
      </c>
      <c r="D3503" t="s">
        <v>879</v>
      </c>
      <c r="E3503" t="s">
        <v>880</v>
      </c>
      <c r="F3503">
        <v>1</v>
      </c>
      <c r="G3503" t="s">
        <v>176</v>
      </c>
      <c r="H3503">
        <v>0</v>
      </c>
      <c r="I3503">
        <v>9</v>
      </c>
      <c r="J3503" s="10">
        <v>8</v>
      </c>
      <c r="K3503" s="10">
        <f>SUMIFS(F:F,D:D,DST_123_ÜRETİM_İHTİYAÇ_RAPORU_BURAK_YENI1309[[#This Row],[ALT_KOD]])-(SUMIFS(H:H,D:D,DST_123_ÜRETİM_İHTİYAÇ_RAPORU_BURAK_YENI1309[[#This Row],[ALT_KOD]])+AVERAGEIFS(I:I,D:D,DST_123_ÜRETİM_İHTİYAÇ_RAPORU_BURAK_YENI1309[[#This Row],[ALT_KOD]])+AVERAGEIFS(L:L,D:D,DST_123_ÜRETİM_İHTİYAÇ_RAPORU_BURAK_YENI1309[[#This Row],[ALT_KOD]]))</f>
        <v>-12</v>
      </c>
      <c r="L3503">
        <v>15</v>
      </c>
      <c r="M3503">
        <f>IF((DST_123_ÜRETİM_İHTİYAÇ_RAPORU_BURAK_YENI1309[[#This Row],[SATINALMA]]*DST_123_ÜRETİM_İHTİYAÇ_RAPORU_BURAK_YENI1309[[#This Row],[BIRIM_FIYATLAR]])&lt;1,VALUE("0"),DST_123_ÜRETİM_İHTİYAÇ_RAPORU_BURAK_YENI1309[[#This Row],[SATINALMA]]*DST_123_ÜRETİM_İHTİYAÇ_RAPORU_BURAK_YENI1309[[#This Row],[BIRIM_FIYATLAR]])</f>
        <v>0</v>
      </c>
      <c r="N3503">
        <v>776.15</v>
      </c>
      <c r="O3503" t="s">
        <v>881</v>
      </c>
      <c r="P3503">
        <v>776.15</v>
      </c>
      <c r="Q3503" t="s">
        <v>221</v>
      </c>
    </row>
    <row r="3504" spans="1:17" x14ac:dyDescent="0.25">
      <c r="A3504" t="s">
        <v>1101</v>
      </c>
      <c r="B3504" t="s">
        <v>1102</v>
      </c>
      <c r="C3504" t="s">
        <v>175</v>
      </c>
      <c r="D3504" t="s">
        <v>273</v>
      </c>
      <c r="E3504" t="s">
        <v>274</v>
      </c>
      <c r="F3504">
        <v>1</v>
      </c>
      <c r="G3504" t="s">
        <v>176</v>
      </c>
      <c r="H3504">
        <v>1</v>
      </c>
      <c r="I3504">
        <v>7</v>
      </c>
      <c r="J3504" s="10">
        <v>10</v>
      </c>
      <c r="K3504" s="10">
        <f>SUMIFS(F:F,D:D,DST_123_ÜRETİM_İHTİYAÇ_RAPORU_BURAK_YENI1309[[#This Row],[ALT_KOD]])-(SUMIFS(H:H,D:D,DST_123_ÜRETİM_İHTİYAÇ_RAPORU_BURAK_YENI1309[[#This Row],[ALT_KOD]])+AVERAGEIFS(I:I,D:D,DST_123_ÜRETİM_İHTİYAÇ_RAPORU_BURAK_YENI1309[[#This Row],[ALT_KOD]])+AVERAGEIFS(L:L,D:D,DST_123_ÜRETİM_İHTİYAÇ_RAPORU_BURAK_YENI1309[[#This Row],[ALT_KOD]]))</f>
        <v>4</v>
      </c>
      <c r="L3504">
        <v>0</v>
      </c>
      <c r="M3504">
        <f>IF((DST_123_ÜRETİM_İHTİYAÇ_RAPORU_BURAK_YENI1309[[#This Row],[SATINALMA]]*DST_123_ÜRETİM_İHTİYAÇ_RAPORU_BURAK_YENI1309[[#This Row],[BIRIM_FIYATLAR]])&lt;1,VALUE("0"),DST_123_ÜRETİM_İHTİYAÇ_RAPORU_BURAK_YENI1309[[#This Row],[SATINALMA]]*DST_123_ÜRETİM_İHTİYAÇ_RAPORU_BURAK_YENI1309[[#This Row],[BIRIM_FIYATLAR]])</f>
        <v>1950.24</v>
      </c>
      <c r="N3504">
        <v>487.56</v>
      </c>
      <c r="O3504" t="s">
        <v>275</v>
      </c>
      <c r="P3504">
        <v>487.56</v>
      </c>
      <c r="Q3504" t="s">
        <v>177</v>
      </c>
    </row>
    <row r="3505" spans="1:17" x14ac:dyDescent="0.25">
      <c r="A3505" t="s">
        <v>1147</v>
      </c>
      <c r="B3505" t="s">
        <v>1145</v>
      </c>
      <c r="C3505" t="s">
        <v>175</v>
      </c>
      <c r="D3505" t="s">
        <v>335</v>
      </c>
      <c r="E3505" t="s">
        <v>622</v>
      </c>
      <c r="F3505">
        <v>1</v>
      </c>
      <c r="G3505" t="s">
        <v>176</v>
      </c>
      <c r="H3505">
        <v>0</v>
      </c>
      <c r="I3505">
        <v>5</v>
      </c>
      <c r="J3505" s="10">
        <v>4</v>
      </c>
      <c r="K3505" s="10">
        <f>SUMIFS(F:F,D:D,DST_123_ÜRETİM_İHTİYAÇ_RAPORU_BURAK_YENI1309[[#This Row],[ALT_KOD]])-(SUMIFS(H:H,D:D,DST_123_ÜRETİM_İHTİYAÇ_RAPORU_BURAK_YENI1309[[#This Row],[ALT_KOD]])+AVERAGEIFS(I:I,D:D,DST_123_ÜRETİM_İHTİYAÇ_RAPORU_BURAK_YENI1309[[#This Row],[ALT_KOD]])+AVERAGEIFS(L:L,D:D,DST_123_ÜRETİM_İHTİYAÇ_RAPORU_BURAK_YENI1309[[#This Row],[ALT_KOD]]))</f>
        <v>2</v>
      </c>
      <c r="L3505">
        <v>0</v>
      </c>
      <c r="M3505">
        <f>IF((DST_123_ÜRETİM_İHTİYAÇ_RAPORU_BURAK_YENI1309[[#This Row],[SATINALMA]]*DST_123_ÜRETİM_İHTİYAÇ_RAPORU_BURAK_YENI1309[[#This Row],[BIRIM_FIYATLAR]])&lt;1,VALUE("0"),DST_123_ÜRETİM_İHTİYAÇ_RAPORU_BURAK_YENI1309[[#This Row],[SATINALMA]]*DST_123_ÜRETİM_İHTİYAÇ_RAPORU_BURAK_YENI1309[[#This Row],[BIRIM_FIYATLAR]])</f>
        <v>3447.58</v>
      </c>
      <c r="N3505">
        <v>1723.79</v>
      </c>
      <c r="O3505" t="s">
        <v>636</v>
      </c>
      <c r="P3505">
        <v>1723.79</v>
      </c>
      <c r="Q3505" t="s">
        <v>178</v>
      </c>
    </row>
    <row r="3506" spans="1:17" x14ac:dyDescent="0.25">
      <c r="A3506" t="s">
        <v>1143</v>
      </c>
      <c r="B3506" t="s">
        <v>1056</v>
      </c>
      <c r="C3506" t="s">
        <v>175</v>
      </c>
      <c r="D3506" t="s">
        <v>433</v>
      </c>
      <c r="E3506" t="s">
        <v>434</v>
      </c>
      <c r="F3506">
        <v>1</v>
      </c>
      <c r="G3506" t="s">
        <v>176</v>
      </c>
      <c r="H3506">
        <v>0</v>
      </c>
      <c r="I3506">
        <v>12</v>
      </c>
      <c r="J3506" s="10">
        <v>5</v>
      </c>
      <c r="K3506" s="10">
        <f>SUMIFS(F:F,D:D,DST_123_ÜRETİM_İHTİYAÇ_RAPORU_BURAK_YENI1309[[#This Row],[ALT_KOD]])-(SUMIFS(H:H,D:D,DST_123_ÜRETİM_İHTİYAÇ_RAPORU_BURAK_YENI1309[[#This Row],[ALT_KOD]])+AVERAGEIFS(I:I,D:D,DST_123_ÜRETİM_İHTİYAÇ_RAPORU_BURAK_YENI1309[[#This Row],[ALT_KOD]])+AVERAGEIFS(L:L,D:D,DST_123_ÜRETİM_İHTİYAÇ_RAPORU_BURAK_YENI1309[[#This Row],[ALT_KOD]]))</f>
        <v>-8</v>
      </c>
      <c r="L3506">
        <v>0</v>
      </c>
      <c r="M3506">
        <f>IF((DST_123_ÜRETİM_İHTİYAÇ_RAPORU_BURAK_YENI1309[[#This Row],[SATINALMA]]*DST_123_ÜRETİM_İHTİYAÇ_RAPORU_BURAK_YENI1309[[#This Row],[BIRIM_FIYATLAR]])&lt;1,VALUE("0"),DST_123_ÜRETİM_İHTİYAÇ_RAPORU_BURAK_YENI1309[[#This Row],[SATINALMA]]*DST_123_ÜRETİM_İHTİYAÇ_RAPORU_BURAK_YENI1309[[#This Row],[BIRIM_FIYATLAR]])</f>
        <v>0</v>
      </c>
      <c r="N3506">
        <v>1679.53</v>
      </c>
      <c r="O3506" t="s">
        <v>636</v>
      </c>
      <c r="P3506">
        <v>1679.53</v>
      </c>
      <c r="Q3506" t="s">
        <v>178</v>
      </c>
    </row>
    <row r="3507" spans="1:17" x14ac:dyDescent="0.25">
      <c r="A3507" t="s">
        <v>1059</v>
      </c>
      <c r="B3507" t="s">
        <v>1058</v>
      </c>
      <c r="C3507" t="s">
        <v>175</v>
      </c>
      <c r="D3507" t="s">
        <v>967</v>
      </c>
      <c r="E3507" t="s">
        <v>968</v>
      </c>
      <c r="F3507">
        <v>1</v>
      </c>
      <c r="G3507" t="s">
        <v>176</v>
      </c>
      <c r="H3507">
        <v>0</v>
      </c>
      <c r="I3507">
        <v>2</v>
      </c>
      <c r="J3507" s="10">
        <v>3.5527136788005009E-15</v>
      </c>
      <c r="K3507" s="10">
        <f>SUMIFS(F:F,D:D,DST_123_ÜRETİM_İHTİYAÇ_RAPORU_BURAK_YENI1309[[#This Row],[ALT_KOD]])-(SUMIFS(H:H,D:D,DST_123_ÜRETİM_İHTİYAÇ_RAPORU_BURAK_YENI1309[[#This Row],[ALT_KOD]])+AVERAGEIFS(I:I,D:D,DST_123_ÜRETİM_İHTİYAÇ_RAPORU_BURAK_YENI1309[[#This Row],[ALT_KOD]])+AVERAGEIFS(L:L,D:D,DST_123_ÜRETİM_İHTİYAÇ_RAPORU_BURAK_YENI1309[[#This Row],[ALT_KOD]]))</f>
        <v>1</v>
      </c>
      <c r="L3507">
        <v>0</v>
      </c>
      <c r="M3507">
        <f>IF((DST_123_ÜRETİM_İHTİYAÇ_RAPORU_BURAK_YENI1309[[#This Row],[SATINALMA]]*DST_123_ÜRETİM_İHTİYAÇ_RAPORU_BURAK_YENI1309[[#This Row],[BIRIM_FIYATLAR]])&lt;1,VALUE("0"),DST_123_ÜRETİM_İHTİYAÇ_RAPORU_BURAK_YENI1309[[#This Row],[SATINALMA]]*DST_123_ÜRETİM_İHTİYAÇ_RAPORU_BURAK_YENI1309[[#This Row],[BIRIM_FIYATLAR]])</f>
        <v>155</v>
      </c>
      <c r="N3507">
        <v>155</v>
      </c>
      <c r="O3507" t="s">
        <v>969</v>
      </c>
      <c r="P3507">
        <v>155</v>
      </c>
      <c r="Q3507" t="s">
        <v>180</v>
      </c>
    </row>
    <row r="3508" spans="1:17" x14ac:dyDescent="0.25">
      <c r="A3508" t="s">
        <v>1150</v>
      </c>
      <c r="B3508" t="s">
        <v>1145</v>
      </c>
      <c r="C3508" t="s">
        <v>175</v>
      </c>
      <c r="D3508" t="s">
        <v>750</v>
      </c>
      <c r="E3508" t="s">
        <v>751</v>
      </c>
      <c r="F3508">
        <v>12</v>
      </c>
      <c r="G3508" t="s">
        <v>176</v>
      </c>
      <c r="H3508">
        <v>0</v>
      </c>
      <c r="I3508">
        <v>0</v>
      </c>
      <c r="J3508" s="10">
        <v>0</v>
      </c>
      <c r="K3508" s="10">
        <f>SUMIFS(F:F,D:D,DST_123_ÜRETİM_İHTİYAÇ_RAPORU_BURAK_YENI1309[[#This Row],[ALT_KOD]])-(SUMIFS(H:H,D:D,DST_123_ÜRETİM_İHTİYAÇ_RAPORU_BURAK_YENI1309[[#This Row],[ALT_KOD]])+AVERAGEIFS(I:I,D:D,DST_123_ÜRETİM_İHTİYAÇ_RAPORU_BURAK_YENI1309[[#This Row],[ALT_KOD]])+AVERAGEIFS(L:L,D:D,DST_123_ÜRETİM_İHTİYAÇ_RAPORU_BURAK_YENI1309[[#This Row],[ALT_KOD]]))</f>
        <v>124</v>
      </c>
      <c r="L3508">
        <v>0</v>
      </c>
      <c r="M3508">
        <f>IF((DST_123_ÜRETİM_İHTİYAÇ_RAPORU_BURAK_YENI1309[[#This Row],[SATINALMA]]*DST_123_ÜRETİM_İHTİYAÇ_RAPORU_BURAK_YENI1309[[#This Row],[BIRIM_FIYATLAR]])&lt;1,VALUE("0"),DST_123_ÜRETİM_İHTİYAÇ_RAPORU_BURAK_YENI1309[[#This Row],[SATINALMA]]*DST_123_ÜRETİM_İHTİYAÇ_RAPORU_BURAK_YENI1309[[#This Row],[BIRIM_FIYATLAR]])</f>
        <v>217</v>
      </c>
      <c r="N3508">
        <v>1.75</v>
      </c>
      <c r="O3508" t="s">
        <v>240</v>
      </c>
      <c r="P3508">
        <v>21</v>
      </c>
      <c r="Q3508" t="s">
        <v>180</v>
      </c>
    </row>
    <row r="3509" spans="1:17" x14ac:dyDescent="0.25">
      <c r="A3509" t="s">
        <v>1150</v>
      </c>
      <c r="B3509" t="s">
        <v>1145</v>
      </c>
      <c r="C3509" t="s">
        <v>175</v>
      </c>
      <c r="D3509" t="s">
        <v>550</v>
      </c>
      <c r="E3509" t="s">
        <v>551</v>
      </c>
      <c r="F3509">
        <v>2</v>
      </c>
      <c r="G3509" t="s">
        <v>176</v>
      </c>
      <c r="H3509">
        <v>0</v>
      </c>
      <c r="I3509">
        <v>35</v>
      </c>
      <c r="J3509" s="10">
        <v>14</v>
      </c>
      <c r="K3509" s="10">
        <f>SUMIFS(F:F,D:D,DST_123_ÜRETİM_İHTİYAÇ_RAPORU_BURAK_YENI1309[[#This Row],[ALT_KOD]])-(SUMIFS(H:H,D:D,DST_123_ÜRETİM_İHTİYAÇ_RAPORU_BURAK_YENI1309[[#This Row],[ALT_KOD]])+AVERAGEIFS(I:I,D:D,DST_123_ÜRETİM_İHTİYAÇ_RAPORU_BURAK_YENI1309[[#This Row],[ALT_KOD]])+AVERAGEIFS(L:L,D:D,DST_123_ÜRETİM_İHTİYAÇ_RAPORU_BURAK_YENI1309[[#This Row],[ALT_KOD]]))</f>
        <v>-11</v>
      </c>
      <c r="L3509">
        <v>0</v>
      </c>
      <c r="M3509">
        <f>IF((DST_123_ÜRETİM_İHTİYAÇ_RAPORU_BURAK_YENI1309[[#This Row],[SATINALMA]]*DST_123_ÜRETİM_İHTİYAÇ_RAPORU_BURAK_YENI1309[[#This Row],[BIRIM_FIYATLAR]])&lt;1,VALUE("0"),DST_123_ÜRETİM_İHTİYAÇ_RAPORU_BURAK_YENI1309[[#This Row],[SATINALMA]]*DST_123_ÜRETİM_İHTİYAÇ_RAPORU_BURAK_YENI1309[[#This Row],[BIRIM_FIYATLAR]])</f>
        <v>0</v>
      </c>
      <c r="N3509">
        <v>43.75</v>
      </c>
      <c r="O3509" t="s">
        <v>490</v>
      </c>
      <c r="P3509">
        <v>87.5</v>
      </c>
      <c r="Q3509" t="s">
        <v>180</v>
      </c>
    </row>
    <row r="3510" spans="1:17" x14ac:dyDescent="0.25">
      <c r="A3510" t="s">
        <v>1059</v>
      </c>
      <c r="B3510" t="s">
        <v>1058</v>
      </c>
      <c r="C3510" t="s">
        <v>175</v>
      </c>
      <c r="D3510" t="s">
        <v>569</v>
      </c>
      <c r="E3510" t="s">
        <v>570</v>
      </c>
      <c r="F3510">
        <v>4</v>
      </c>
      <c r="G3510" t="s">
        <v>176</v>
      </c>
      <c r="H3510">
        <v>0</v>
      </c>
      <c r="I3510">
        <v>1000</v>
      </c>
      <c r="J3510" s="10">
        <v>1222</v>
      </c>
      <c r="K3510" s="10">
        <f>SUMIFS(F:F,D:D,DST_123_ÜRETİM_İHTİYAÇ_RAPORU_BURAK_YENI1309[[#This Row],[ALT_KOD]])-(SUMIFS(H:H,D:D,DST_123_ÜRETİM_İHTİYAÇ_RAPORU_BURAK_YENI1309[[#This Row],[ALT_KOD]])+AVERAGEIFS(I:I,D:D,DST_123_ÜRETİM_İHTİYAÇ_RAPORU_BURAK_YENI1309[[#This Row],[ALT_KOD]])+AVERAGEIFS(L:L,D:D,DST_123_ÜRETİM_İHTİYAÇ_RAPORU_BURAK_YENI1309[[#This Row],[ALT_KOD]]))</f>
        <v>-903</v>
      </c>
      <c r="L3510">
        <v>0</v>
      </c>
      <c r="M3510">
        <f>IF((DST_123_ÜRETİM_İHTİYAÇ_RAPORU_BURAK_YENI1309[[#This Row],[SATINALMA]]*DST_123_ÜRETİM_İHTİYAÇ_RAPORU_BURAK_YENI1309[[#This Row],[BIRIM_FIYATLAR]])&lt;1,VALUE("0"),DST_123_ÜRETİM_İHTİYAÇ_RAPORU_BURAK_YENI1309[[#This Row],[SATINALMA]]*DST_123_ÜRETİM_İHTİYAÇ_RAPORU_BURAK_YENI1309[[#This Row],[BIRIM_FIYATLAR]])</f>
        <v>0</v>
      </c>
      <c r="N3510">
        <v>1.1399999999999999</v>
      </c>
      <c r="O3510" t="s">
        <v>882</v>
      </c>
      <c r="P3510">
        <v>4.5599999999999996</v>
      </c>
      <c r="Q3510" t="s">
        <v>180</v>
      </c>
    </row>
    <row r="3511" spans="1:17" x14ac:dyDescent="0.25">
      <c r="A3511" t="s">
        <v>1100</v>
      </c>
      <c r="B3511" t="s">
        <v>1058</v>
      </c>
      <c r="C3511" t="s">
        <v>175</v>
      </c>
      <c r="D3511" t="s">
        <v>24</v>
      </c>
      <c r="E3511" t="s">
        <v>25</v>
      </c>
      <c r="F3511">
        <v>1</v>
      </c>
      <c r="G3511" t="s">
        <v>176</v>
      </c>
      <c r="H3511">
        <v>0</v>
      </c>
      <c r="I3511">
        <v>30</v>
      </c>
      <c r="J3511" s="10">
        <v>20</v>
      </c>
      <c r="K3511" s="10">
        <f>SUMIFS(F:F,D:D,DST_123_ÜRETİM_İHTİYAÇ_RAPORU_BURAK_YENI1309[[#This Row],[ALT_KOD]])-(SUMIFS(H:H,D:D,DST_123_ÜRETİM_İHTİYAÇ_RAPORU_BURAK_YENI1309[[#This Row],[ALT_KOD]])+AVERAGEIFS(I:I,D:D,DST_123_ÜRETİM_İHTİYAÇ_RAPORU_BURAK_YENI1309[[#This Row],[ALT_KOD]])+AVERAGEIFS(L:L,D:D,DST_123_ÜRETİM_İHTİYAÇ_RAPORU_BURAK_YENI1309[[#This Row],[ALT_KOD]]))</f>
        <v>-7</v>
      </c>
      <c r="L3511">
        <v>0</v>
      </c>
      <c r="M3511">
        <f>IF((DST_123_ÜRETİM_İHTİYAÇ_RAPORU_BURAK_YENI1309[[#This Row],[SATINALMA]]*DST_123_ÜRETİM_İHTİYAÇ_RAPORU_BURAK_YENI1309[[#This Row],[BIRIM_FIYATLAR]])&lt;1,VALUE("0"),DST_123_ÜRETİM_İHTİYAÇ_RAPORU_BURAK_YENI1309[[#This Row],[SATINALMA]]*DST_123_ÜRETİM_İHTİYAÇ_RAPORU_BURAK_YENI1309[[#This Row],[BIRIM_FIYATLAR]])</f>
        <v>0</v>
      </c>
      <c r="N3511">
        <v>62.5</v>
      </c>
      <c r="O3511" t="s">
        <v>628</v>
      </c>
      <c r="P3511">
        <v>62.5</v>
      </c>
      <c r="Q3511" t="s">
        <v>180</v>
      </c>
    </row>
    <row r="3512" spans="1:17" x14ac:dyDescent="0.25">
      <c r="A3512" t="s">
        <v>1057</v>
      </c>
      <c r="B3512" t="s">
        <v>1058</v>
      </c>
      <c r="C3512" t="s">
        <v>175</v>
      </c>
      <c r="D3512" t="s">
        <v>268</v>
      </c>
      <c r="E3512" t="s">
        <v>588</v>
      </c>
      <c r="F3512">
        <v>1</v>
      </c>
      <c r="G3512" t="s">
        <v>176</v>
      </c>
      <c r="H3512">
        <v>0</v>
      </c>
      <c r="I3512">
        <v>1</v>
      </c>
      <c r="J3512" s="10">
        <v>11</v>
      </c>
      <c r="K3512" s="10">
        <f>SUMIFS(F:F,D:D,DST_123_ÜRETİM_İHTİYAÇ_RAPORU_BURAK_YENI1309[[#This Row],[ALT_KOD]])-(SUMIFS(H:H,D:D,DST_123_ÜRETİM_İHTİYAÇ_RAPORU_BURAK_YENI1309[[#This Row],[ALT_KOD]])+AVERAGEIFS(I:I,D:D,DST_123_ÜRETİM_İHTİYAÇ_RAPORU_BURAK_YENI1309[[#This Row],[ALT_KOD]])+AVERAGEIFS(L:L,D:D,DST_123_ÜRETİM_İHTİYAÇ_RAPORU_BURAK_YENI1309[[#This Row],[ALT_KOD]]))</f>
        <v>16</v>
      </c>
      <c r="L3512">
        <v>0</v>
      </c>
      <c r="M3512">
        <f>IF((DST_123_ÜRETİM_İHTİYAÇ_RAPORU_BURAK_YENI1309[[#This Row],[SATINALMA]]*DST_123_ÜRETİM_İHTİYAÇ_RAPORU_BURAK_YENI1309[[#This Row],[BIRIM_FIYATLAR]])&lt;1,VALUE("0"),DST_123_ÜRETİM_İHTİYAÇ_RAPORU_BURAK_YENI1309[[#This Row],[SATINALMA]]*DST_123_ÜRETİM_İHTİYAÇ_RAPORU_BURAK_YENI1309[[#This Row],[BIRIM_FIYATLAR]])</f>
        <v>212968.32000000001</v>
      </c>
      <c r="N3512">
        <v>13310.52</v>
      </c>
      <c r="O3512" t="s">
        <v>589</v>
      </c>
      <c r="P3512">
        <v>13310.52</v>
      </c>
      <c r="Q3512" t="s">
        <v>177</v>
      </c>
    </row>
    <row r="3513" spans="1:17" x14ac:dyDescent="0.25">
      <c r="A3513" t="s">
        <v>1148</v>
      </c>
      <c r="B3513" t="s">
        <v>1056</v>
      </c>
      <c r="C3513" t="s">
        <v>175</v>
      </c>
      <c r="D3513" t="s">
        <v>153</v>
      </c>
      <c r="E3513" t="s">
        <v>154</v>
      </c>
      <c r="F3513">
        <v>4</v>
      </c>
      <c r="G3513" t="s">
        <v>176</v>
      </c>
      <c r="H3513">
        <v>0</v>
      </c>
      <c r="I3513">
        <v>46</v>
      </c>
      <c r="J3513" s="10">
        <v>26</v>
      </c>
      <c r="K3513" s="10">
        <f>SUMIFS(F:F,D:D,DST_123_ÜRETİM_İHTİYAÇ_RAPORU_BURAK_YENI1309[[#This Row],[ALT_KOD]])-(SUMIFS(H:H,D:D,DST_123_ÜRETİM_İHTİYAÇ_RAPORU_BURAK_YENI1309[[#This Row],[ALT_KOD]])+AVERAGEIFS(I:I,D:D,DST_123_ÜRETİM_İHTİYAÇ_RAPORU_BURAK_YENI1309[[#This Row],[ALT_KOD]])+AVERAGEIFS(L:L,D:D,DST_123_ÜRETİM_İHTİYAÇ_RAPORU_BURAK_YENI1309[[#This Row],[ALT_KOD]]))</f>
        <v>-24</v>
      </c>
      <c r="L3513">
        <v>0</v>
      </c>
      <c r="M3513">
        <f>IF((DST_123_ÜRETİM_İHTİYAÇ_RAPORU_BURAK_YENI1309[[#This Row],[SATINALMA]]*DST_123_ÜRETİM_İHTİYAÇ_RAPORU_BURAK_YENI1309[[#This Row],[BIRIM_FIYATLAR]])&lt;1,VALUE("0"),DST_123_ÜRETİM_İHTİYAÇ_RAPORU_BURAK_YENI1309[[#This Row],[SATINALMA]]*DST_123_ÜRETİM_İHTİYAÇ_RAPORU_BURAK_YENI1309[[#This Row],[BIRIM_FIYATLAR]])</f>
        <v>0</v>
      </c>
      <c r="N3513">
        <v>199.45</v>
      </c>
      <c r="O3513" t="s">
        <v>275</v>
      </c>
      <c r="P3513">
        <v>797.8</v>
      </c>
      <c r="Q3513" t="s">
        <v>180</v>
      </c>
    </row>
    <row r="3514" spans="1:17" x14ac:dyDescent="0.25">
      <c r="A3514" t="s">
        <v>1150</v>
      </c>
      <c r="B3514" t="s">
        <v>1145</v>
      </c>
      <c r="C3514" t="s">
        <v>175</v>
      </c>
      <c r="D3514" t="s">
        <v>268</v>
      </c>
      <c r="E3514" t="s">
        <v>588</v>
      </c>
      <c r="F3514">
        <v>1</v>
      </c>
      <c r="G3514" t="s">
        <v>176</v>
      </c>
      <c r="H3514">
        <v>0</v>
      </c>
      <c r="I3514">
        <v>1</v>
      </c>
      <c r="J3514" s="10">
        <v>11</v>
      </c>
      <c r="K3514" s="10">
        <f>SUMIFS(F:F,D:D,DST_123_ÜRETİM_İHTİYAÇ_RAPORU_BURAK_YENI1309[[#This Row],[ALT_KOD]])-(SUMIFS(H:H,D:D,DST_123_ÜRETİM_İHTİYAÇ_RAPORU_BURAK_YENI1309[[#This Row],[ALT_KOD]])+AVERAGEIFS(I:I,D:D,DST_123_ÜRETİM_İHTİYAÇ_RAPORU_BURAK_YENI1309[[#This Row],[ALT_KOD]])+AVERAGEIFS(L:L,D:D,DST_123_ÜRETİM_İHTİYAÇ_RAPORU_BURAK_YENI1309[[#This Row],[ALT_KOD]]))</f>
        <v>16</v>
      </c>
      <c r="L3514">
        <v>0</v>
      </c>
      <c r="M3514">
        <f>IF((DST_123_ÜRETİM_İHTİYAÇ_RAPORU_BURAK_YENI1309[[#This Row],[SATINALMA]]*DST_123_ÜRETİM_İHTİYAÇ_RAPORU_BURAK_YENI1309[[#This Row],[BIRIM_FIYATLAR]])&lt;1,VALUE("0"),DST_123_ÜRETİM_İHTİYAÇ_RAPORU_BURAK_YENI1309[[#This Row],[SATINALMA]]*DST_123_ÜRETİM_İHTİYAÇ_RAPORU_BURAK_YENI1309[[#This Row],[BIRIM_FIYATLAR]])</f>
        <v>212968.32000000001</v>
      </c>
      <c r="N3514">
        <v>13310.52</v>
      </c>
      <c r="O3514" t="s">
        <v>589</v>
      </c>
      <c r="P3514">
        <v>13310.52</v>
      </c>
      <c r="Q3514" t="s">
        <v>177</v>
      </c>
    </row>
    <row r="3515" spans="1:17" x14ac:dyDescent="0.25">
      <c r="A3515" t="s">
        <v>1150</v>
      </c>
      <c r="B3515" t="s">
        <v>1145</v>
      </c>
      <c r="C3515" t="s">
        <v>175</v>
      </c>
      <c r="D3515" t="s">
        <v>293</v>
      </c>
      <c r="E3515" t="s">
        <v>323</v>
      </c>
      <c r="F3515">
        <v>7.0000000000000007E-2</v>
      </c>
      <c r="G3515" t="s">
        <v>185</v>
      </c>
      <c r="H3515">
        <v>0</v>
      </c>
      <c r="I3515">
        <v>2.5</v>
      </c>
      <c r="J3515" s="10">
        <v>-4.9960036108132044E-16</v>
      </c>
      <c r="K3515" s="10">
        <f>SUMIFS(F:F,D:D,DST_123_ÜRETİM_İHTİYAÇ_RAPORU_BURAK_YENI1309[[#This Row],[ALT_KOD]])-(SUMIFS(H:H,D:D,DST_123_ÜRETİM_İHTİYAÇ_RAPORU_BURAK_YENI1309[[#This Row],[ALT_KOD]])+AVERAGEIFS(I:I,D:D,DST_123_ÜRETİM_İHTİYAÇ_RAPORU_BURAK_YENI1309[[#This Row],[ALT_KOD]])+AVERAGEIFS(L:L,D:D,DST_123_ÜRETİM_İHTİYAÇ_RAPORU_BURAK_YENI1309[[#This Row],[ALT_KOD]]))</f>
        <v>-0.61999999999999922</v>
      </c>
      <c r="L3515">
        <v>0</v>
      </c>
      <c r="M3515">
        <f>IF((DST_123_ÜRETİM_İHTİYAÇ_RAPORU_BURAK_YENI1309[[#This Row],[SATINALMA]]*DST_123_ÜRETİM_İHTİYAÇ_RAPORU_BURAK_YENI1309[[#This Row],[BIRIM_FIYATLAR]])&lt;1,VALUE("0"),DST_123_ÜRETİM_İHTİYAÇ_RAPORU_BURAK_YENI1309[[#This Row],[SATINALMA]]*DST_123_ÜRETİM_İHTİYAÇ_RAPORU_BURAK_YENI1309[[#This Row],[BIRIM_FIYATLAR]])</f>
        <v>0</v>
      </c>
      <c r="N3515">
        <v>2400</v>
      </c>
      <c r="O3515" t="s">
        <v>220</v>
      </c>
      <c r="P3515">
        <v>168.00000000000003</v>
      </c>
      <c r="Q3515" t="s">
        <v>180</v>
      </c>
    </row>
    <row r="3516" spans="1:17" x14ac:dyDescent="0.25">
      <c r="A3516" t="s">
        <v>1144</v>
      </c>
      <c r="B3516" t="s">
        <v>1145</v>
      </c>
      <c r="C3516" t="s">
        <v>175</v>
      </c>
      <c r="D3516" t="s">
        <v>471</v>
      </c>
      <c r="E3516" t="s">
        <v>472</v>
      </c>
      <c r="F3516">
        <v>12</v>
      </c>
      <c r="G3516" t="s">
        <v>176</v>
      </c>
      <c r="H3516">
        <v>0</v>
      </c>
      <c r="I3516">
        <v>200</v>
      </c>
      <c r="J3516" s="10">
        <v>343</v>
      </c>
      <c r="K3516" s="10">
        <f>SUMIFS(F:F,D:D,DST_123_ÜRETİM_İHTİYAÇ_RAPORU_BURAK_YENI1309[[#This Row],[ALT_KOD]])-(SUMIFS(H:H,D:D,DST_123_ÜRETİM_İHTİYAÇ_RAPORU_BURAK_YENI1309[[#This Row],[ALT_KOD]])+AVERAGEIFS(I:I,D:D,DST_123_ÜRETİM_İHTİYAÇ_RAPORU_BURAK_YENI1309[[#This Row],[ALT_KOD]])+AVERAGEIFS(L:L,D:D,DST_123_ÜRETİM_İHTİYAÇ_RAPORU_BURAK_YENI1309[[#This Row],[ALT_KOD]]))</f>
        <v>-8</v>
      </c>
      <c r="L3516">
        <v>0</v>
      </c>
      <c r="M3516">
        <f>IF((DST_123_ÜRETİM_İHTİYAÇ_RAPORU_BURAK_YENI1309[[#This Row],[SATINALMA]]*DST_123_ÜRETİM_İHTİYAÇ_RAPORU_BURAK_YENI1309[[#This Row],[BIRIM_FIYATLAR]])&lt;1,VALUE("0"),DST_123_ÜRETİM_İHTİYAÇ_RAPORU_BURAK_YENI1309[[#This Row],[SATINALMA]]*DST_123_ÜRETİM_İHTİYAÇ_RAPORU_BURAK_YENI1309[[#This Row],[BIRIM_FIYATLAR]])</f>
        <v>0</v>
      </c>
      <c r="N3516">
        <v>9</v>
      </c>
      <c r="O3516" t="s">
        <v>240</v>
      </c>
      <c r="P3516">
        <v>108</v>
      </c>
      <c r="Q3516" t="s">
        <v>180</v>
      </c>
    </row>
    <row r="3517" spans="1:17" x14ac:dyDescent="0.25">
      <c r="A3517" t="s">
        <v>1060</v>
      </c>
      <c r="B3517" t="s">
        <v>1061</v>
      </c>
      <c r="C3517" t="s">
        <v>175</v>
      </c>
      <c r="D3517" t="s">
        <v>293</v>
      </c>
      <c r="E3517" t="s">
        <v>323</v>
      </c>
      <c r="F3517">
        <v>7.0000000000000007E-2</v>
      </c>
      <c r="G3517" t="s">
        <v>185</v>
      </c>
      <c r="H3517">
        <v>0</v>
      </c>
      <c r="I3517">
        <v>2.5</v>
      </c>
      <c r="J3517" s="10">
        <v>-4.9960036108132044E-16</v>
      </c>
      <c r="K3517" s="10">
        <f>SUMIFS(F:F,D:D,DST_123_ÜRETİM_İHTİYAÇ_RAPORU_BURAK_YENI1309[[#This Row],[ALT_KOD]])-(SUMIFS(H:H,D:D,DST_123_ÜRETİM_İHTİYAÇ_RAPORU_BURAK_YENI1309[[#This Row],[ALT_KOD]])+AVERAGEIFS(I:I,D:D,DST_123_ÜRETİM_İHTİYAÇ_RAPORU_BURAK_YENI1309[[#This Row],[ALT_KOD]])+AVERAGEIFS(L:L,D:D,DST_123_ÜRETİM_İHTİYAÇ_RAPORU_BURAK_YENI1309[[#This Row],[ALT_KOD]]))</f>
        <v>-0.61999999999999922</v>
      </c>
      <c r="L3517">
        <v>0</v>
      </c>
      <c r="M3517">
        <f>IF((DST_123_ÜRETİM_İHTİYAÇ_RAPORU_BURAK_YENI1309[[#This Row],[SATINALMA]]*DST_123_ÜRETİM_İHTİYAÇ_RAPORU_BURAK_YENI1309[[#This Row],[BIRIM_FIYATLAR]])&lt;1,VALUE("0"),DST_123_ÜRETİM_İHTİYAÇ_RAPORU_BURAK_YENI1309[[#This Row],[SATINALMA]]*DST_123_ÜRETİM_İHTİYAÇ_RAPORU_BURAK_YENI1309[[#This Row],[BIRIM_FIYATLAR]])</f>
        <v>0</v>
      </c>
      <c r="N3517">
        <v>2400</v>
      </c>
      <c r="O3517" t="s">
        <v>220</v>
      </c>
      <c r="P3517">
        <v>168.00000000000003</v>
      </c>
      <c r="Q3517" t="s">
        <v>180</v>
      </c>
    </row>
    <row r="3518" spans="1:17" x14ac:dyDescent="0.25">
      <c r="A3518" t="s">
        <v>1101</v>
      </c>
      <c r="B3518" t="s">
        <v>1102</v>
      </c>
      <c r="C3518" t="s">
        <v>175</v>
      </c>
      <c r="D3518" t="s">
        <v>293</v>
      </c>
      <c r="E3518" t="s">
        <v>323</v>
      </c>
      <c r="F3518">
        <v>0.09</v>
      </c>
      <c r="G3518" t="s">
        <v>185</v>
      </c>
      <c r="H3518">
        <v>0</v>
      </c>
      <c r="I3518">
        <v>2.5</v>
      </c>
      <c r="J3518" s="10">
        <v>-4.9960036108132044E-16</v>
      </c>
      <c r="K3518" s="10">
        <f>SUMIFS(F:F,D:D,DST_123_ÜRETİM_İHTİYAÇ_RAPORU_BURAK_YENI1309[[#This Row],[ALT_KOD]])-(SUMIFS(H:H,D:D,DST_123_ÜRETİM_İHTİYAÇ_RAPORU_BURAK_YENI1309[[#This Row],[ALT_KOD]])+AVERAGEIFS(I:I,D:D,DST_123_ÜRETİM_İHTİYAÇ_RAPORU_BURAK_YENI1309[[#This Row],[ALT_KOD]])+AVERAGEIFS(L:L,D:D,DST_123_ÜRETİM_İHTİYAÇ_RAPORU_BURAK_YENI1309[[#This Row],[ALT_KOD]]))</f>
        <v>-0.61999999999999922</v>
      </c>
      <c r="L3518">
        <v>0</v>
      </c>
      <c r="M3518">
        <f>IF((DST_123_ÜRETİM_İHTİYAÇ_RAPORU_BURAK_YENI1309[[#This Row],[SATINALMA]]*DST_123_ÜRETİM_İHTİYAÇ_RAPORU_BURAK_YENI1309[[#This Row],[BIRIM_FIYATLAR]])&lt;1,VALUE("0"),DST_123_ÜRETİM_İHTİYAÇ_RAPORU_BURAK_YENI1309[[#This Row],[SATINALMA]]*DST_123_ÜRETİM_İHTİYAÇ_RAPORU_BURAK_YENI1309[[#This Row],[BIRIM_FIYATLAR]])</f>
        <v>0</v>
      </c>
      <c r="N3518">
        <v>2400</v>
      </c>
      <c r="O3518" t="s">
        <v>220</v>
      </c>
      <c r="P3518">
        <v>216</v>
      </c>
      <c r="Q3518" t="s">
        <v>180</v>
      </c>
    </row>
    <row r="3519" spans="1:17" x14ac:dyDescent="0.25">
      <c r="A3519" t="s">
        <v>1101</v>
      </c>
      <c r="B3519" t="s">
        <v>1102</v>
      </c>
      <c r="C3519" t="s">
        <v>175</v>
      </c>
      <c r="D3519" t="s">
        <v>435</v>
      </c>
      <c r="E3519" t="s">
        <v>436</v>
      </c>
      <c r="F3519">
        <v>1</v>
      </c>
      <c r="G3519" t="s">
        <v>176</v>
      </c>
      <c r="H3519">
        <v>1</v>
      </c>
      <c r="I3519">
        <v>10</v>
      </c>
      <c r="J3519" s="10">
        <v>5</v>
      </c>
      <c r="K3519" s="10">
        <f>SUMIFS(F:F,D:D,DST_123_ÜRETİM_İHTİYAÇ_RAPORU_BURAK_YENI1309[[#This Row],[ALT_KOD]])-(SUMIFS(H:H,D:D,DST_123_ÜRETİM_İHTİYAÇ_RAPORU_BURAK_YENI1309[[#This Row],[ALT_KOD]])+AVERAGEIFS(I:I,D:D,DST_123_ÜRETİM_İHTİYAÇ_RAPORU_BURAK_YENI1309[[#This Row],[ALT_KOD]])+AVERAGEIFS(L:L,D:D,DST_123_ÜRETİM_İHTİYAÇ_RAPORU_BURAK_YENI1309[[#This Row],[ALT_KOD]]))</f>
        <v>-6</v>
      </c>
      <c r="L3519">
        <v>0</v>
      </c>
      <c r="M3519">
        <f>IF((DST_123_ÜRETİM_İHTİYAÇ_RAPORU_BURAK_YENI1309[[#This Row],[SATINALMA]]*DST_123_ÜRETİM_İHTİYAÇ_RAPORU_BURAK_YENI1309[[#This Row],[BIRIM_FIYATLAR]])&lt;1,VALUE("0"),DST_123_ÜRETİM_İHTİYAÇ_RAPORU_BURAK_YENI1309[[#This Row],[SATINALMA]]*DST_123_ÜRETİM_İHTİYAÇ_RAPORU_BURAK_YENI1309[[#This Row],[BIRIM_FIYATLAR]])</f>
        <v>0</v>
      </c>
      <c r="N3519">
        <v>1723.79</v>
      </c>
      <c r="O3519" t="s">
        <v>636</v>
      </c>
      <c r="P3519">
        <v>1723.79</v>
      </c>
      <c r="Q3519" t="s">
        <v>178</v>
      </c>
    </row>
    <row r="3520" spans="1:17" x14ac:dyDescent="0.25">
      <c r="A3520" t="s">
        <v>1100</v>
      </c>
      <c r="B3520" t="s">
        <v>1058</v>
      </c>
      <c r="C3520" t="s">
        <v>175</v>
      </c>
      <c r="D3520" t="s">
        <v>1045</v>
      </c>
      <c r="E3520" t="s">
        <v>1046</v>
      </c>
      <c r="F3520">
        <v>1</v>
      </c>
      <c r="G3520" t="s">
        <v>176</v>
      </c>
      <c r="H3520">
        <v>1</v>
      </c>
      <c r="I3520">
        <v>2</v>
      </c>
      <c r="J3520" s="10">
        <v>2</v>
      </c>
      <c r="K3520" s="10">
        <f>SUMIFS(F:F,D:D,DST_123_ÜRETİM_İHTİYAÇ_RAPORU_BURAK_YENI1309[[#This Row],[ALT_KOD]])-(SUMIFS(H:H,D:D,DST_123_ÜRETİM_İHTİYAÇ_RAPORU_BURAK_YENI1309[[#This Row],[ALT_KOD]])+AVERAGEIFS(I:I,D:D,DST_123_ÜRETİM_İHTİYAÇ_RAPORU_BURAK_YENI1309[[#This Row],[ALT_KOD]])+AVERAGEIFS(L:L,D:D,DST_123_ÜRETİM_İHTİYAÇ_RAPORU_BURAK_YENI1309[[#This Row],[ALT_KOD]]))</f>
        <v>-2</v>
      </c>
      <c r="L3520">
        <v>0</v>
      </c>
      <c r="M3520">
        <f>IF((DST_123_ÜRETİM_İHTİYAÇ_RAPORU_BURAK_YENI1309[[#This Row],[SATINALMA]]*DST_123_ÜRETİM_İHTİYAÇ_RAPORU_BURAK_YENI1309[[#This Row],[BIRIM_FIYATLAR]])&lt;1,VALUE("0"),DST_123_ÜRETİM_İHTİYAÇ_RAPORU_BURAK_YENI1309[[#This Row],[SATINALMA]]*DST_123_ÜRETİM_İHTİYAÇ_RAPORU_BURAK_YENI1309[[#This Row],[BIRIM_FIYATLAR]])</f>
        <v>0</v>
      </c>
      <c r="N3520">
        <v>400</v>
      </c>
      <c r="O3520" t="s">
        <v>1034</v>
      </c>
      <c r="P3520">
        <v>400</v>
      </c>
      <c r="Q3520" t="s">
        <v>178</v>
      </c>
    </row>
    <row r="3521" spans="1:17" x14ac:dyDescent="0.25">
      <c r="A3521" t="s">
        <v>1057</v>
      </c>
      <c r="B3521" t="s">
        <v>1058</v>
      </c>
      <c r="C3521" t="s">
        <v>175</v>
      </c>
      <c r="D3521" t="s">
        <v>471</v>
      </c>
      <c r="E3521" t="s">
        <v>472</v>
      </c>
      <c r="F3521">
        <v>12</v>
      </c>
      <c r="G3521" t="s">
        <v>176</v>
      </c>
      <c r="H3521">
        <v>0</v>
      </c>
      <c r="I3521">
        <v>200</v>
      </c>
      <c r="J3521" s="10">
        <v>343</v>
      </c>
      <c r="K3521" s="10">
        <f>SUMIFS(F:F,D:D,DST_123_ÜRETİM_İHTİYAÇ_RAPORU_BURAK_YENI1309[[#This Row],[ALT_KOD]])-(SUMIFS(H:H,D:D,DST_123_ÜRETİM_İHTİYAÇ_RAPORU_BURAK_YENI1309[[#This Row],[ALT_KOD]])+AVERAGEIFS(I:I,D:D,DST_123_ÜRETİM_İHTİYAÇ_RAPORU_BURAK_YENI1309[[#This Row],[ALT_KOD]])+AVERAGEIFS(L:L,D:D,DST_123_ÜRETİM_İHTİYAÇ_RAPORU_BURAK_YENI1309[[#This Row],[ALT_KOD]]))</f>
        <v>-8</v>
      </c>
      <c r="L3521">
        <v>0</v>
      </c>
      <c r="M3521">
        <f>IF((DST_123_ÜRETİM_İHTİYAÇ_RAPORU_BURAK_YENI1309[[#This Row],[SATINALMA]]*DST_123_ÜRETİM_İHTİYAÇ_RAPORU_BURAK_YENI1309[[#This Row],[BIRIM_FIYATLAR]])&lt;1,VALUE("0"),DST_123_ÜRETİM_İHTİYAÇ_RAPORU_BURAK_YENI1309[[#This Row],[SATINALMA]]*DST_123_ÜRETİM_İHTİYAÇ_RAPORU_BURAK_YENI1309[[#This Row],[BIRIM_FIYATLAR]])</f>
        <v>0</v>
      </c>
      <c r="N3521">
        <v>9</v>
      </c>
      <c r="O3521" t="s">
        <v>240</v>
      </c>
      <c r="P3521">
        <v>108</v>
      </c>
      <c r="Q3521" t="s">
        <v>180</v>
      </c>
    </row>
    <row r="3522" spans="1:17" x14ac:dyDescent="0.25">
      <c r="A3522" t="s">
        <v>1101</v>
      </c>
      <c r="B3522" t="s">
        <v>1102</v>
      </c>
      <c r="C3522" t="s">
        <v>175</v>
      </c>
      <c r="D3522" t="s">
        <v>475</v>
      </c>
      <c r="E3522" t="s">
        <v>476</v>
      </c>
      <c r="F3522">
        <v>2</v>
      </c>
      <c r="G3522" t="s">
        <v>176</v>
      </c>
      <c r="H3522">
        <v>0</v>
      </c>
      <c r="I3522">
        <v>6</v>
      </c>
      <c r="J3522" s="10">
        <v>1.7763568394002505E-15</v>
      </c>
      <c r="K3522" s="10">
        <f>SUMIFS(F:F,D:D,DST_123_ÜRETİM_İHTİYAÇ_RAPORU_BURAK_YENI1309[[#This Row],[ALT_KOD]])-(SUMIFS(H:H,D:D,DST_123_ÜRETİM_İHTİYAÇ_RAPORU_BURAK_YENI1309[[#This Row],[ALT_KOD]])+AVERAGEIFS(I:I,D:D,DST_123_ÜRETİM_İHTİYAÇ_RAPORU_BURAK_YENI1309[[#This Row],[ALT_KOD]])+AVERAGEIFS(L:L,D:D,DST_123_ÜRETİM_İHTİYAÇ_RAPORU_BURAK_YENI1309[[#This Row],[ALT_KOD]]))</f>
        <v>7.25</v>
      </c>
      <c r="L3522">
        <v>0</v>
      </c>
      <c r="M3522">
        <f>IF((DST_123_ÜRETİM_İHTİYAÇ_RAPORU_BURAK_YENI1309[[#This Row],[SATINALMA]]*DST_123_ÜRETİM_İHTİYAÇ_RAPORU_BURAK_YENI1309[[#This Row],[BIRIM_FIYATLAR]])&lt;1,VALUE("0"),DST_123_ÜRETİM_İHTİYAÇ_RAPORU_BURAK_YENI1309[[#This Row],[SATINALMA]]*DST_123_ÜRETİM_İHTİYAÇ_RAPORU_BURAK_YENI1309[[#This Row],[BIRIM_FIYATLAR]])</f>
        <v>145</v>
      </c>
      <c r="N3522">
        <v>20</v>
      </c>
      <c r="O3522" t="s">
        <v>226</v>
      </c>
      <c r="P3522">
        <v>40</v>
      </c>
      <c r="Q3522" t="s">
        <v>180</v>
      </c>
    </row>
    <row r="3523" spans="1:17" x14ac:dyDescent="0.25">
      <c r="A3523" t="s">
        <v>1057</v>
      </c>
      <c r="B3523" t="s">
        <v>1058</v>
      </c>
      <c r="C3523" t="s">
        <v>175</v>
      </c>
      <c r="D3523" t="s">
        <v>263</v>
      </c>
      <c r="E3523" t="s">
        <v>419</v>
      </c>
      <c r="F3523">
        <v>1</v>
      </c>
      <c r="G3523" t="s">
        <v>176</v>
      </c>
      <c r="H3523">
        <v>1</v>
      </c>
      <c r="I3523">
        <v>4</v>
      </c>
      <c r="J3523" s="10">
        <v>11</v>
      </c>
      <c r="K3523" s="10">
        <f>SUMIFS(F:F,D:D,DST_123_ÜRETİM_İHTİYAÇ_RAPORU_BURAK_YENI1309[[#This Row],[ALT_KOD]])-(SUMIFS(H:H,D:D,DST_123_ÜRETİM_İHTİYAÇ_RAPORU_BURAK_YENI1309[[#This Row],[ALT_KOD]])+AVERAGEIFS(I:I,D:D,DST_123_ÜRETİM_İHTİYAÇ_RAPORU_BURAK_YENI1309[[#This Row],[ALT_KOD]])+AVERAGEIFS(L:L,D:D,DST_123_ÜRETİM_İHTİYAÇ_RAPORU_BURAK_YENI1309[[#This Row],[ALT_KOD]]))</f>
        <v>9</v>
      </c>
      <c r="L3523">
        <v>0</v>
      </c>
      <c r="M3523">
        <f>IF((DST_123_ÜRETİM_İHTİYAÇ_RAPORU_BURAK_YENI1309[[#This Row],[SATINALMA]]*DST_123_ÜRETİM_İHTİYAÇ_RAPORU_BURAK_YENI1309[[#This Row],[BIRIM_FIYATLAR]])&lt;1,VALUE("0"),DST_123_ÜRETİM_İHTİYAÇ_RAPORU_BURAK_YENI1309[[#This Row],[SATINALMA]]*DST_123_ÜRETİM_İHTİYAÇ_RAPORU_BURAK_YENI1309[[#This Row],[BIRIM_FIYATLAR]])</f>
        <v>54009.99</v>
      </c>
      <c r="N3523">
        <v>6001.11</v>
      </c>
      <c r="O3523" t="s">
        <v>227</v>
      </c>
      <c r="P3523">
        <v>6001.11</v>
      </c>
      <c r="Q3523" t="s">
        <v>221</v>
      </c>
    </row>
    <row r="3524" spans="1:17" x14ac:dyDescent="0.25">
      <c r="A3524" t="s">
        <v>1149</v>
      </c>
      <c r="B3524" t="s">
        <v>1145</v>
      </c>
      <c r="C3524" t="s">
        <v>175</v>
      </c>
      <c r="D3524" t="s">
        <v>293</v>
      </c>
      <c r="E3524" t="s">
        <v>323</v>
      </c>
      <c r="F3524">
        <v>7.0000000000000007E-2</v>
      </c>
      <c r="G3524" t="s">
        <v>185</v>
      </c>
      <c r="H3524">
        <v>0</v>
      </c>
      <c r="I3524">
        <v>2.5</v>
      </c>
      <c r="J3524" s="10">
        <v>-4.9960036108132044E-16</v>
      </c>
      <c r="K3524" s="10">
        <f>SUMIFS(F:F,D:D,DST_123_ÜRETİM_İHTİYAÇ_RAPORU_BURAK_YENI1309[[#This Row],[ALT_KOD]])-(SUMIFS(H:H,D:D,DST_123_ÜRETİM_İHTİYAÇ_RAPORU_BURAK_YENI1309[[#This Row],[ALT_KOD]])+AVERAGEIFS(I:I,D:D,DST_123_ÜRETİM_İHTİYAÇ_RAPORU_BURAK_YENI1309[[#This Row],[ALT_KOD]])+AVERAGEIFS(L:L,D:D,DST_123_ÜRETİM_İHTİYAÇ_RAPORU_BURAK_YENI1309[[#This Row],[ALT_KOD]]))</f>
        <v>-0.61999999999999922</v>
      </c>
      <c r="L3524">
        <v>0</v>
      </c>
      <c r="M3524">
        <f>IF((DST_123_ÜRETİM_İHTİYAÇ_RAPORU_BURAK_YENI1309[[#This Row],[SATINALMA]]*DST_123_ÜRETİM_İHTİYAÇ_RAPORU_BURAK_YENI1309[[#This Row],[BIRIM_FIYATLAR]])&lt;1,VALUE("0"),DST_123_ÜRETİM_İHTİYAÇ_RAPORU_BURAK_YENI1309[[#This Row],[SATINALMA]]*DST_123_ÜRETİM_İHTİYAÇ_RAPORU_BURAK_YENI1309[[#This Row],[BIRIM_FIYATLAR]])</f>
        <v>0</v>
      </c>
      <c r="N3524">
        <v>2400</v>
      </c>
      <c r="O3524" t="s">
        <v>220</v>
      </c>
      <c r="P3524">
        <v>168.00000000000003</v>
      </c>
      <c r="Q3524" t="s">
        <v>180</v>
      </c>
    </row>
    <row r="3525" spans="1:17" x14ac:dyDescent="0.25">
      <c r="A3525" t="s">
        <v>1150</v>
      </c>
      <c r="B3525" t="s">
        <v>1145</v>
      </c>
      <c r="C3525" t="s">
        <v>175</v>
      </c>
      <c r="D3525" t="s">
        <v>471</v>
      </c>
      <c r="E3525" t="s">
        <v>472</v>
      </c>
      <c r="F3525">
        <v>12</v>
      </c>
      <c r="G3525" t="s">
        <v>176</v>
      </c>
      <c r="H3525">
        <v>0</v>
      </c>
      <c r="I3525">
        <v>200</v>
      </c>
      <c r="J3525" s="10">
        <v>343</v>
      </c>
      <c r="K3525" s="10">
        <f>SUMIFS(F:F,D:D,DST_123_ÜRETİM_İHTİYAÇ_RAPORU_BURAK_YENI1309[[#This Row],[ALT_KOD]])-(SUMIFS(H:H,D:D,DST_123_ÜRETİM_İHTİYAÇ_RAPORU_BURAK_YENI1309[[#This Row],[ALT_KOD]])+AVERAGEIFS(I:I,D:D,DST_123_ÜRETİM_İHTİYAÇ_RAPORU_BURAK_YENI1309[[#This Row],[ALT_KOD]])+AVERAGEIFS(L:L,D:D,DST_123_ÜRETİM_İHTİYAÇ_RAPORU_BURAK_YENI1309[[#This Row],[ALT_KOD]]))</f>
        <v>-8</v>
      </c>
      <c r="L3525">
        <v>0</v>
      </c>
      <c r="M3525">
        <f>IF((DST_123_ÜRETİM_İHTİYAÇ_RAPORU_BURAK_YENI1309[[#This Row],[SATINALMA]]*DST_123_ÜRETİM_İHTİYAÇ_RAPORU_BURAK_YENI1309[[#This Row],[BIRIM_FIYATLAR]])&lt;1,VALUE("0"),DST_123_ÜRETİM_İHTİYAÇ_RAPORU_BURAK_YENI1309[[#This Row],[SATINALMA]]*DST_123_ÜRETİM_İHTİYAÇ_RAPORU_BURAK_YENI1309[[#This Row],[BIRIM_FIYATLAR]])</f>
        <v>0</v>
      </c>
      <c r="N3525">
        <v>9</v>
      </c>
      <c r="O3525" t="s">
        <v>240</v>
      </c>
      <c r="P3525">
        <v>108</v>
      </c>
      <c r="Q3525" t="s">
        <v>180</v>
      </c>
    </row>
    <row r="3526" spans="1:17" x14ac:dyDescent="0.25">
      <c r="A3526" t="s">
        <v>1147</v>
      </c>
      <c r="B3526" t="s">
        <v>1145</v>
      </c>
      <c r="C3526" t="s">
        <v>175</v>
      </c>
      <c r="D3526" t="s">
        <v>471</v>
      </c>
      <c r="E3526" t="s">
        <v>472</v>
      </c>
      <c r="F3526">
        <v>12</v>
      </c>
      <c r="G3526" t="s">
        <v>176</v>
      </c>
      <c r="H3526">
        <v>0</v>
      </c>
      <c r="I3526">
        <v>200</v>
      </c>
      <c r="J3526" s="10">
        <v>343</v>
      </c>
      <c r="K3526" s="10">
        <f>SUMIFS(F:F,D:D,DST_123_ÜRETİM_İHTİYAÇ_RAPORU_BURAK_YENI1309[[#This Row],[ALT_KOD]])-(SUMIFS(H:H,D:D,DST_123_ÜRETİM_İHTİYAÇ_RAPORU_BURAK_YENI1309[[#This Row],[ALT_KOD]])+AVERAGEIFS(I:I,D:D,DST_123_ÜRETİM_İHTİYAÇ_RAPORU_BURAK_YENI1309[[#This Row],[ALT_KOD]])+AVERAGEIFS(L:L,D:D,DST_123_ÜRETİM_İHTİYAÇ_RAPORU_BURAK_YENI1309[[#This Row],[ALT_KOD]]))</f>
        <v>-8</v>
      </c>
      <c r="L3526">
        <v>0</v>
      </c>
      <c r="M3526">
        <f>IF((DST_123_ÜRETİM_İHTİYAÇ_RAPORU_BURAK_YENI1309[[#This Row],[SATINALMA]]*DST_123_ÜRETİM_İHTİYAÇ_RAPORU_BURAK_YENI1309[[#This Row],[BIRIM_FIYATLAR]])&lt;1,VALUE("0"),DST_123_ÜRETİM_İHTİYAÇ_RAPORU_BURAK_YENI1309[[#This Row],[SATINALMA]]*DST_123_ÜRETİM_İHTİYAÇ_RAPORU_BURAK_YENI1309[[#This Row],[BIRIM_FIYATLAR]])</f>
        <v>0</v>
      </c>
      <c r="N3526">
        <v>9</v>
      </c>
      <c r="O3526" t="s">
        <v>240</v>
      </c>
      <c r="P3526">
        <v>108</v>
      </c>
      <c r="Q3526" t="s">
        <v>180</v>
      </c>
    </row>
    <row r="3527" spans="1:17" x14ac:dyDescent="0.25">
      <c r="A3527" t="s">
        <v>1100</v>
      </c>
      <c r="B3527" t="s">
        <v>1058</v>
      </c>
      <c r="C3527" t="s">
        <v>175</v>
      </c>
      <c r="D3527" t="s">
        <v>471</v>
      </c>
      <c r="E3527" t="s">
        <v>472</v>
      </c>
      <c r="F3527">
        <v>4</v>
      </c>
      <c r="G3527" t="s">
        <v>176</v>
      </c>
      <c r="H3527">
        <v>0</v>
      </c>
      <c r="I3527">
        <v>200</v>
      </c>
      <c r="J3527" s="10">
        <v>343</v>
      </c>
      <c r="K3527" s="10">
        <f>SUMIFS(F:F,D:D,DST_123_ÜRETİM_İHTİYAÇ_RAPORU_BURAK_YENI1309[[#This Row],[ALT_KOD]])-(SUMIFS(H:H,D:D,DST_123_ÜRETİM_İHTİYAÇ_RAPORU_BURAK_YENI1309[[#This Row],[ALT_KOD]])+AVERAGEIFS(I:I,D:D,DST_123_ÜRETİM_İHTİYAÇ_RAPORU_BURAK_YENI1309[[#This Row],[ALT_KOD]])+AVERAGEIFS(L:L,D:D,DST_123_ÜRETİM_İHTİYAÇ_RAPORU_BURAK_YENI1309[[#This Row],[ALT_KOD]]))</f>
        <v>-8</v>
      </c>
      <c r="L3527">
        <v>0</v>
      </c>
      <c r="M3527">
        <f>IF((DST_123_ÜRETİM_İHTİYAÇ_RAPORU_BURAK_YENI1309[[#This Row],[SATINALMA]]*DST_123_ÜRETİM_İHTİYAÇ_RAPORU_BURAK_YENI1309[[#This Row],[BIRIM_FIYATLAR]])&lt;1,VALUE("0"),DST_123_ÜRETİM_İHTİYAÇ_RAPORU_BURAK_YENI1309[[#This Row],[SATINALMA]]*DST_123_ÜRETİM_İHTİYAÇ_RAPORU_BURAK_YENI1309[[#This Row],[BIRIM_FIYATLAR]])</f>
        <v>0</v>
      </c>
      <c r="N3527">
        <v>9</v>
      </c>
      <c r="O3527" t="s">
        <v>240</v>
      </c>
      <c r="P3527">
        <v>36</v>
      </c>
      <c r="Q3527" t="s">
        <v>180</v>
      </c>
    </row>
    <row r="3528" spans="1:17" x14ac:dyDescent="0.25">
      <c r="A3528" t="s">
        <v>1060</v>
      </c>
      <c r="B3528" t="s">
        <v>1061</v>
      </c>
      <c r="C3528" t="s">
        <v>175</v>
      </c>
      <c r="D3528" t="s">
        <v>475</v>
      </c>
      <c r="E3528" t="s">
        <v>476</v>
      </c>
      <c r="F3528">
        <v>1</v>
      </c>
      <c r="G3528" t="s">
        <v>176</v>
      </c>
      <c r="H3528">
        <v>0</v>
      </c>
      <c r="I3528">
        <v>6</v>
      </c>
      <c r="J3528" s="10">
        <v>1.7763568394002505E-15</v>
      </c>
      <c r="K3528" s="10">
        <f>SUMIFS(F:F,D:D,DST_123_ÜRETİM_İHTİYAÇ_RAPORU_BURAK_YENI1309[[#This Row],[ALT_KOD]])-(SUMIFS(H:H,D:D,DST_123_ÜRETİM_İHTİYAÇ_RAPORU_BURAK_YENI1309[[#This Row],[ALT_KOD]])+AVERAGEIFS(I:I,D:D,DST_123_ÜRETİM_İHTİYAÇ_RAPORU_BURAK_YENI1309[[#This Row],[ALT_KOD]])+AVERAGEIFS(L:L,D:D,DST_123_ÜRETİM_İHTİYAÇ_RAPORU_BURAK_YENI1309[[#This Row],[ALT_KOD]]))</f>
        <v>7.25</v>
      </c>
      <c r="L3528">
        <v>0</v>
      </c>
      <c r="M3528">
        <f>IF((DST_123_ÜRETİM_İHTİYAÇ_RAPORU_BURAK_YENI1309[[#This Row],[SATINALMA]]*DST_123_ÜRETİM_İHTİYAÇ_RAPORU_BURAK_YENI1309[[#This Row],[BIRIM_FIYATLAR]])&lt;1,VALUE("0"),DST_123_ÜRETİM_İHTİYAÇ_RAPORU_BURAK_YENI1309[[#This Row],[SATINALMA]]*DST_123_ÜRETİM_İHTİYAÇ_RAPORU_BURAK_YENI1309[[#This Row],[BIRIM_FIYATLAR]])</f>
        <v>145</v>
      </c>
      <c r="N3528">
        <v>20</v>
      </c>
      <c r="O3528" t="s">
        <v>226</v>
      </c>
      <c r="P3528">
        <v>20</v>
      </c>
      <c r="Q3528" t="s">
        <v>180</v>
      </c>
    </row>
    <row r="3529" spans="1:17" x14ac:dyDescent="0.25">
      <c r="A3529" t="s">
        <v>1057</v>
      </c>
      <c r="B3529" t="s">
        <v>1058</v>
      </c>
      <c r="C3529" t="s">
        <v>175</v>
      </c>
      <c r="D3529" t="s">
        <v>475</v>
      </c>
      <c r="E3529" t="s">
        <v>476</v>
      </c>
      <c r="F3529">
        <v>1</v>
      </c>
      <c r="G3529" t="s">
        <v>176</v>
      </c>
      <c r="H3529">
        <v>0</v>
      </c>
      <c r="I3529">
        <v>6</v>
      </c>
      <c r="J3529" s="10">
        <v>1.7763568394002505E-15</v>
      </c>
      <c r="K3529" s="10">
        <f>SUMIFS(F:F,D:D,DST_123_ÜRETİM_İHTİYAÇ_RAPORU_BURAK_YENI1309[[#This Row],[ALT_KOD]])-(SUMIFS(H:H,D:D,DST_123_ÜRETİM_İHTİYAÇ_RAPORU_BURAK_YENI1309[[#This Row],[ALT_KOD]])+AVERAGEIFS(I:I,D:D,DST_123_ÜRETİM_İHTİYAÇ_RAPORU_BURAK_YENI1309[[#This Row],[ALT_KOD]])+AVERAGEIFS(L:L,D:D,DST_123_ÜRETİM_İHTİYAÇ_RAPORU_BURAK_YENI1309[[#This Row],[ALT_KOD]]))</f>
        <v>7.25</v>
      </c>
      <c r="L3529">
        <v>0</v>
      </c>
      <c r="M3529">
        <f>IF((DST_123_ÜRETİM_İHTİYAÇ_RAPORU_BURAK_YENI1309[[#This Row],[SATINALMA]]*DST_123_ÜRETİM_İHTİYAÇ_RAPORU_BURAK_YENI1309[[#This Row],[BIRIM_FIYATLAR]])&lt;1,VALUE("0"),DST_123_ÜRETİM_İHTİYAÇ_RAPORU_BURAK_YENI1309[[#This Row],[SATINALMA]]*DST_123_ÜRETİM_İHTİYAÇ_RAPORU_BURAK_YENI1309[[#This Row],[BIRIM_FIYATLAR]])</f>
        <v>145</v>
      </c>
      <c r="N3529">
        <v>20</v>
      </c>
      <c r="O3529" t="s">
        <v>226</v>
      </c>
      <c r="P3529">
        <v>20</v>
      </c>
      <c r="Q3529" t="s">
        <v>180</v>
      </c>
    </row>
    <row r="3530" spans="1:17" x14ac:dyDescent="0.25">
      <c r="A3530" t="s">
        <v>1100</v>
      </c>
      <c r="B3530" t="s">
        <v>1058</v>
      </c>
      <c r="C3530" t="s">
        <v>175</v>
      </c>
      <c r="D3530" t="s">
        <v>475</v>
      </c>
      <c r="E3530" t="s">
        <v>476</v>
      </c>
      <c r="F3530">
        <v>1</v>
      </c>
      <c r="G3530" t="s">
        <v>176</v>
      </c>
      <c r="H3530">
        <v>0</v>
      </c>
      <c r="I3530">
        <v>6</v>
      </c>
      <c r="J3530" s="10">
        <v>1.7763568394002505E-15</v>
      </c>
      <c r="K3530" s="10">
        <f>SUMIFS(F:F,D:D,DST_123_ÜRETİM_İHTİYAÇ_RAPORU_BURAK_YENI1309[[#This Row],[ALT_KOD]])-(SUMIFS(H:H,D:D,DST_123_ÜRETİM_İHTİYAÇ_RAPORU_BURAK_YENI1309[[#This Row],[ALT_KOD]])+AVERAGEIFS(I:I,D:D,DST_123_ÜRETİM_İHTİYAÇ_RAPORU_BURAK_YENI1309[[#This Row],[ALT_KOD]])+AVERAGEIFS(L:L,D:D,DST_123_ÜRETİM_İHTİYAÇ_RAPORU_BURAK_YENI1309[[#This Row],[ALT_KOD]]))</f>
        <v>7.25</v>
      </c>
      <c r="L3530">
        <v>0</v>
      </c>
      <c r="M3530">
        <f>IF((DST_123_ÜRETİM_İHTİYAÇ_RAPORU_BURAK_YENI1309[[#This Row],[SATINALMA]]*DST_123_ÜRETİM_İHTİYAÇ_RAPORU_BURAK_YENI1309[[#This Row],[BIRIM_FIYATLAR]])&lt;1,VALUE("0"),DST_123_ÜRETİM_İHTİYAÇ_RAPORU_BURAK_YENI1309[[#This Row],[SATINALMA]]*DST_123_ÜRETİM_İHTİYAÇ_RAPORU_BURAK_YENI1309[[#This Row],[BIRIM_FIYATLAR]])</f>
        <v>145</v>
      </c>
      <c r="N3530">
        <v>20</v>
      </c>
      <c r="O3530" t="s">
        <v>226</v>
      </c>
      <c r="P3530">
        <v>20</v>
      </c>
      <c r="Q3530" t="s">
        <v>180</v>
      </c>
    </row>
    <row r="3531" spans="1:17" x14ac:dyDescent="0.25">
      <c r="A3531" t="s">
        <v>1147</v>
      </c>
      <c r="B3531" t="s">
        <v>1145</v>
      </c>
      <c r="C3531" t="s">
        <v>175</v>
      </c>
      <c r="D3531" t="s">
        <v>263</v>
      </c>
      <c r="E3531" t="s">
        <v>419</v>
      </c>
      <c r="F3531">
        <v>1</v>
      </c>
      <c r="G3531" t="s">
        <v>176</v>
      </c>
      <c r="H3531">
        <v>0</v>
      </c>
      <c r="I3531">
        <v>4</v>
      </c>
      <c r="J3531" s="10">
        <v>11</v>
      </c>
      <c r="K3531" s="10">
        <f>SUMIFS(F:F,D:D,DST_123_ÜRETİM_İHTİYAÇ_RAPORU_BURAK_YENI1309[[#This Row],[ALT_KOD]])-(SUMIFS(H:H,D:D,DST_123_ÜRETİM_İHTİYAÇ_RAPORU_BURAK_YENI1309[[#This Row],[ALT_KOD]])+AVERAGEIFS(I:I,D:D,DST_123_ÜRETİM_İHTİYAÇ_RAPORU_BURAK_YENI1309[[#This Row],[ALT_KOD]])+AVERAGEIFS(L:L,D:D,DST_123_ÜRETİM_İHTİYAÇ_RAPORU_BURAK_YENI1309[[#This Row],[ALT_KOD]]))</f>
        <v>9</v>
      </c>
      <c r="L3531">
        <v>0</v>
      </c>
      <c r="M3531">
        <f>IF((DST_123_ÜRETİM_İHTİYAÇ_RAPORU_BURAK_YENI1309[[#This Row],[SATINALMA]]*DST_123_ÜRETİM_İHTİYAÇ_RAPORU_BURAK_YENI1309[[#This Row],[BIRIM_FIYATLAR]])&lt;1,VALUE("0"),DST_123_ÜRETİM_İHTİYAÇ_RAPORU_BURAK_YENI1309[[#This Row],[SATINALMA]]*DST_123_ÜRETİM_İHTİYAÇ_RAPORU_BURAK_YENI1309[[#This Row],[BIRIM_FIYATLAR]])</f>
        <v>54009.99</v>
      </c>
      <c r="N3531">
        <v>6001.11</v>
      </c>
      <c r="O3531" t="s">
        <v>227</v>
      </c>
      <c r="P3531">
        <v>6001.11</v>
      </c>
      <c r="Q3531" t="s">
        <v>221</v>
      </c>
    </row>
    <row r="3532" spans="1:17" x14ac:dyDescent="0.25">
      <c r="A3532" t="s">
        <v>1143</v>
      </c>
      <c r="B3532" t="s">
        <v>1056</v>
      </c>
      <c r="C3532" t="s">
        <v>175</v>
      </c>
      <c r="D3532" t="s">
        <v>435</v>
      </c>
      <c r="E3532" t="s">
        <v>436</v>
      </c>
      <c r="F3532">
        <v>1</v>
      </c>
      <c r="G3532" t="s">
        <v>176</v>
      </c>
      <c r="H3532">
        <v>0</v>
      </c>
      <c r="I3532">
        <v>10</v>
      </c>
      <c r="J3532" s="10">
        <v>5</v>
      </c>
      <c r="K3532" s="10">
        <f>SUMIFS(F:F,D:D,DST_123_ÜRETİM_İHTİYAÇ_RAPORU_BURAK_YENI1309[[#This Row],[ALT_KOD]])-(SUMIFS(H:H,D:D,DST_123_ÜRETİM_İHTİYAÇ_RAPORU_BURAK_YENI1309[[#This Row],[ALT_KOD]])+AVERAGEIFS(I:I,D:D,DST_123_ÜRETİM_İHTİYAÇ_RAPORU_BURAK_YENI1309[[#This Row],[ALT_KOD]])+AVERAGEIFS(L:L,D:D,DST_123_ÜRETİM_İHTİYAÇ_RAPORU_BURAK_YENI1309[[#This Row],[ALT_KOD]]))</f>
        <v>-6</v>
      </c>
      <c r="L3532">
        <v>0</v>
      </c>
      <c r="M3532">
        <f>IF((DST_123_ÜRETİM_İHTİYAÇ_RAPORU_BURAK_YENI1309[[#This Row],[SATINALMA]]*DST_123_ÜRETİM_İHTİYAÇ_RAPORU_BURAK_YENI1309[[#This Row],[BIRIM_FIYATLAR]])&lt;1,VALUE("0"),DST_123_ÜRETİM_İHTİYAÇ_RAPORU_BURAK_YENI1309[[#This Row],[SATINALMA]]*DST_123_ÜRETİM_İHTİYAÇ_RAPORU_BURAK_YENI1309[[#This Row],[BIRIM_FIYATLAR]])</f>
        <v>0</v>
      </c>
      <c r="N3532">
        <v>1723.79</v>
      </c>
      <c r="O3532" t="s">
        <v>636</v>
      </c>
      <c r="P3532">
        <v>1723.79</v>
      </c>
      <c r="Q3532" t="s">
        <v>178</v>
      </c>
    </row>
    <row r="3533" spans="1:17" x14ac:dyDescent="0.25">
      <c r="A3533" t="s">
        <v>1095</v>
      </c>
      <c r="B3533" t="s">
        <v>1096</v>
      </c>
      <c r="C3533" t="s">
        <v>175</v>
      </c>
      <c r="D3533" t="s">
        <v>471</v>
      </c>
      <c r="E3533" t="s">
        <v>472</v>
      </c>
      <c r="F3533">
        <v>16</v>
      </c>
      <c r="G3533" t="s">
        <v>176</v>
      </c>
      <c r="H3533">
        <v>0</v>
      </c>
      <c r="I3533">
        <v>200</v>
      </c>
      <c r="J3533" s="10">
        <v>343</v>
      </c>
      <c r="K3533" s="10">
        <f>SUMIFS(F:F,D:D,DST_123_ÜRETİM_İHTİYAÇ_RAPORU_BURAK_YENI1309[[#This Row],[ALT_KOD]])-(SUMIFS(H:H,D:D,DST_123_ÜRETİM_İHTİYAÇ_RAPORU_BURAK_YENI1309[[#This Row],[ALT_KOD]])+AVERAGEIFS(I:I,D:D,DST_123_ÜRETİM_İHTİYAÇ_RAPORU_BURAK_YENI1309[[#This Row],[ALT_KOD]])+AVERAGEIFS(L:L,D:D,DST_123_ÜRETİM_İHTİYAÇ_RAPORU_BURAK_YENI1309[[#This Row],[ALT_KOD]]))</f>
        <v>-8</v>
      </c>
      <c r="L3533">
        <v>0</v>
      </c>
      <c r="M3533">
        <f>IF((DST_123_ÜRETİM_İHTİYAÇ_RAPORU_BURAK_YENI1309[[#This Row],[SATINALMA]]*DST_123_ÜRETİM_İHTİYAÇ_RAPORU_BURAK_YENI1309[[#This Row],[BIRIM_FIYATLAR]])&lt;1,VALUE("0"),DST_123_ÜRETİM_İHTİYAÇ_RAPORU_BURAK_YENI1309[[#This Row],[SATINALMA]]*DST_123_ÜRETİM_İHTİYAÇ_RAPORU_BURAK_YENI1309[[#This Row],[BIRIM_FIYATLAR]])</f>
        <v>0</v>
      </c>
      <c r="N3533">
        <v>9</v>
      </c>
      <c r="O3533" t="s">
        <v>240</v>
      </c>
      <c r="P3533">
        <v>144</v>
      </c>
      <c r="Q3533" t="s">
        <v>180</v>
      </c>
    </row>
    <row r="3534" spans="1:17" x14ac:dyDescent="0.25">
      <c r="A3534" t="s">
        <v>1059</v>
      </c>
      <c r="B3534" t="s">
        <v>1058</v>
      </c>
      <c r="C3534" t="s">
        <v>175</v>
      </c>
      <c r="D3534" t="s">
        <v>475</v>
      </c>
      <c r="E3534" t="s">
        <v>476</v>
      </c>
      <c r="F3534">
        <v>1</v>
      </c>
      <c r="G3534" t="s">
        <v>176</v>
      </c>
      <c r="H3534">
        <v>0</v>
      </c>
      <c r="I3534">
        <v>6</v>
      </c>
      <c r="J3534" s="10">
        <v>1.7763568394002505E-15</v>
      </c>
      <c r="K3534" s="10">
        <f>SUMIFS(F:F,D:D,DST_123_ÜRETİM_İHTİYAÇ_RAPORU_BURAK_YENI1309[[#This Row],[ALT_KOD]])-(SUMIFS(H:H,D:D,DST_123_ÜRETİM_İHTİYAÇ_RAPORU_BURAK_YENI1309[[#This Row],[ALT_KOD]])+AVERAGEIFS(I:I,D:D,DST_123_ÜRETİM_İHTİYAÇ_RAPORU_BURAK_YENI1309[[#This Row],[ALT_KOD]])+AVERAGEIFS(L:L,D:D,DST_123_ÜRETİM_İHTİYAÇ_RAPORU_BURAK_YENI1309[[#This Row],[ALT_KOD]]))</f>
        <v>7.25</v>
      </c>
      <c r="L3534">
        <v>0</v>
      </c>
      <c r="M3534">
        <f>IF((DST_123_ÜRETİM_İHTİYAÇ_RAPORU_BURAK_YENI1309[[#This Row],[SATINALMA]]*DST_123_ÜRETİM_İHTİYAÇ_RAPORU_BURAK_YENI1309[[#This Row],[BIRIM_FIYATLAR]])&lt;1,VALUE("0"),DST_123_ÜRETİM_İHTİYAÇ_RAPORU_BURAK_YENI1309[[#This Row],[SATINALMA]]*DST_123_ÜRETİM_İHTİYAÇ_RAPORU_BURAK_YENI1309[[#This Row],[BIRIM_FIYATLAR]])</f>
        <v>145</v>
      </c>
      <c r="N3534">
        <v>20</v>
      </c>
      <c r="O3534" t="s">
        <v>226</v>
      </c>
      <c r="P3534">
        <v>20</v>
      </c>
      <c r="Q3534" t="s">
        <v>180</v>
      </c>
    </row>
    <row r="3535" spans="1:17" x14ac:dyDescent="0.25">
      <c r="A3535" t="s">
        <v>1146</v>
      </c>
      <c r="B3535" t="s">
        <v>1145</v>
      </c>
      <c r="C3535" t="s">
        <v>175</v>
      </c>
      <c r="D3535" t="s">
        <v>293</v>
      </c>
      <c r="E3535" t="s">
        <v>323</v>
      </c>
      <c r="F3535">
        <v>7.0000000000000007E-2</v>
      </c>
      <c r="G3535" t="s">
        <v>185</v>
      </c>
      <c r="H3535">
        <v>0</v>
      </c>
      <c r="I3535">
        <v>2.5</v>
      </c>
      <c r="J3535" s="10">
        <v>-4.9960036108132044E-16</v>
      </c>
      <c r="K3535" s="10">
        <f>SUMIFS(F:F,D:D,DST_123_ÜRETİM_İHTİYAÇ_RAPORU_BURAK_YENI1309[[#This Row],[ALT_KOD]])-(SUMIFS(H:H,D:D,DST_123_ÜRETİM_İHTİYAÇ_RAPORU_BURAK_YENI1309[[#This Row],[ALT_KOD]])+AVERAGEIFS(I:I,D:D,DST_123_ÜRETİM_İHTİYAÇ_RAPORU_BURAK_YENI1309[[#This Row],[ALT_KOD]])+AVERAGEIFS(L:L,D:D,DST_123_ÜRETİM_İHTİYAÇ_RAPORU_BURAK_YENI1309[[#This Row],[ALT_KOD]]))</f>
        <v>-0.61999999999999922</v>
      </c>
      <c r="L3535">
        <v>0</v>
      </c>
      <c r="M3535">
        <f>IF((DST_123_ÜRETİM_İHTİYAÇ_RAPORU_BURAK_YENI1309[[#This Row],[SATINALMA]]*DST_123_ÜRETİM_İHTİYAÇ_RAPORU_BURAK_YENI1309[[#This Row],[BIRIM_FIYATLAR]])&lt;1,VALUE("0"),DST_123_ÜRETİM_İHTİYAÇ_RAPORU_BURAK_YENI1309[[#This Row],[SATINALMA]]*DST_123_ÜRETİM_İHTİYAÇ_RAPORU_BURAK_YENI1309[[#This Row],[BIRIM_FIYATLAR]])</f>
        <v>0</v>
      </c>
      <c r="N3535">
        <v>2400</v>
      </c>
      <c r="O3535" t="s">
        <v>220</v>
      </c>
      <c r="P3535">
        <v>168.00000000000003</v>
      </c>
      <c r="Q3535" t="s">
        <v>180</v>
      </c>
    </row>
    <row r="3536" spans="1:17" x14ac:dyDescent="0.25">
      <c r="A3536" t="s">
        <v>1057</v>
      </c>
      <c r="B3536" t="s">
        <v>1058</v>
      </c>
      <c r="C3536" t="s">
        <v>175</v>
      </c>
      <c r="D3536" t="s">
        <v>293</v>
      </c>
      <c r="E3536" t="s">
        <v>323</v>
      </c>
      <c r="F3536">
        <v>0.06</v>
      </c>
      <c r="G3536" t="s">
        <v>185</v>
      </c>
      <c r="H3536">
        <v>0</v>
      </c>
      <c r="I3536">
        <v>2.5</v>
      </c>
      <c r="J3536" s="10">
        <v>-4.9960036108132044E-16</v>
      </c>
      <c r="K3536" s="10">
        <f>SUMIFS(F:F,D:D,DST_123_ÜRETİM_İHTİYAÇ_RAPORU_BURAK_YENI1309[[#This Row],[ALT_KOD]])-(SUMIFS(H:H,D:D,DST_123_ÜRETİM_İHTİYAÇ_RAPORU_BURAK_YENI1309[[#This Row],[ALT_KOD]])+AVERAGEIFS(I:I,D:D,DST_123_ÜRETİM_İHTİYAÇ_RAPORU_BURAK_YENI1309[[#This Row],[ALT_KOD]])+AVERAGEIFS(L:L,D:D,DST_123_ÜRETİM_İHTİYAÇ_RAPORU_BURAK_YENI1309[[#This Row],[ALT_KOD]]))</f>
        <v>-0.61999999999999922</v>
      </c>
      <c r="L3536">
        <v>0</v>
      </c>
      <c r="M3536">
        <f>IF((DST_123_ÜRETİM_İHTİYAÇ_RAPORU_BURAK_YENI1309[[#This Row],[SATINALMA]]*DST_123_ÜRETİM_İHTİYAÇ_RAPORU_BURAK_YENI1309[[#This Row],[BIRIM_FIYATLAR]])&lt;1,VALUE("0"),DST_123_ÜRETİM_İHTİYAÇ_RAPORU_BURAK_YENI1309[[#This Row],[SATINALMA]]*DST_123_ÜRETİM_İHTİYAÇ_RAPORU_BURAK_YENI1309[[#This Row],[BIRIM_FIYATLAR]])</f>
        <v>0</v>
      </c>
      <c r="N3536">
        <v>2400</v>
      </c>
      <c r="O3536" t="s">
        <v>220</v>
      </c>
      <c r="P3536">
        <v>144</v>
      </c>
      <c r="Q3536" t="s">
        <v>180</v>
      </c>
    </row>
    <row r="3537" spans="1:17" x14ac:dyDescent="0.25">
      <c r="A3537" t="s">
        <v>1100</v>
      </c>
      <c r="B3537" t="s">
        <v>1058</v>
      </c>
      <c r="C3537" t="s">
        <v>175</v>
      </c>
      <c r="D3537" t="s">
        <v>293</v>
      </c>
      <c r="E3537" t="s">
        <v>323</v>
      </c>
      <c r="F3537">
        <v>0.06</v>
      </c>
      <c r="G3537" t="s">
        <v>185</v>
      </c>
      <c r="H3537">
        <v>0</v>
      </c>
      <c r="I3537">
        <v>2.5</v>
      </c>
      <c r="J3537" s="10">
        <v>-4.9960036108132044E-16</v>
      </c>
      <c r="K3537" s="10">
        <f>SUMIFS(F:F,D:D,DST_123_ÜRETİM_İHTİYAÇ_RAPORU_BURAK_YENI1309[[#This Row],[ALT_KOD]])-(SUMIFS(H:H,D:D,DST_123_ÜRETİM_İHTİYAÇ_RAPORU_BURAK_YENI1309[[#This Row],[ALT_KOD]])+AVERAGEIFS(I:I,D:D,DST_123_ÜRETİM_İHTİYAÇ_RAPORU_BURAK_YENI1309[[#This Row],[ALT_KOD]])+AVERAGEIFS(L:L,D:D,DST_123_ÜRETİM_İHTİYAÇ_RAPORU_BURAK_YENI1309[[#This Row],[ALT_KOD]]))</f>
        <v>-0.61999999999999922</v>
      </c>
      <c r="L3537">
        <v>0</v>
      </c>
      <c r="M3537">
        <f>IF((DST_123_ÜRETİM_İHTİYAÇ_RAPORU_BURAK_YENI1309[[#This Row],[SATINALMA]]*DST_123_ÜRETİM_İHTİYAÇ_RAPORU_BURAK_YENI1309[[#This Row],[BIRIM_FIYATLAR]])&lt;1,VALUE("0"),DST_123_ÜRETİM_İHTİYAÇ_RAPORU_BURAK_YENI1309[[#This Row],[SATINALMA]]*DST_123_ÜRETİM_İHTİYAÇ_RAPORU_BURAK_YENI1309[[#This Row],[BIRIM_FIYATLAR]])</f>
        <v>0</v>
      </c>
      <c r="N3537">
        <v>2400</v>
      </c>
      <c r="O3537" t="s">
        <v>220</v>
      </c>
      <c r="P3537">
        <v>144</v>
      </c>
      <c r="Q3537" t="s">
        <v>180</v>
      </c>
    </row>
    <row r="3538" spans="1:17" x14ac:dyDescent="0.25">
      <c r="A3538" t="s">
        <v>1142</v>
      </c>
      <c r="B3538" t="s">
        <v>1056</v>
      </c>
      <c r="C3538" t="s">
        <v>175</v>
      </c>
      <c r="D3538" t="s">
        <v>768</v>
      </c>
      <c r="E3538" t="s">
        <v>769</v>
      </c>
      <c r="F3538">
        <v>6</v>
      </c>
      <c r="G3538" t="s">
        <v>176</v>
      </c>
      <c r="H3538">
        <v>0</v>
      </c>
      <c r="I3538">
        <v>0</v>
      </c>
      <c r="J3538" s="10">
        <v>0</v>
      </c>
      <c r="K3538" s="10">
        <f>SUMIFS(F:F,D:D,DST_123_ÜRETİM_İHTİYAÇ_RAPORU_BURAK_YENI1309[[#This Row],[ALT_KOD]])-(SUMIFS(H:H,D:D,DST_123_ÜRETİM_İHTİYAÇ_RAPORU_BURAK_YENI1309[[#This Row],[ALT_KOD]])+AVERAGEIFS(I:I,D:D,DST_123_ÜRETİM_İHTİYAÇ_RAPORU_BURAK_YENI1309[[#This Row],[ALT_KOD]])+AVERAGEIFS(L:L,D:D,DST_123_ÜRETİM_İHTİYAÇ_RAPORU_BURAK_YENI1309[[#This Row],[ALT_KOD]]))</f>
        <v>54</v>
      </c>
      <c r="L3538">
        <v>0</v>
      </c>
      <c r="M3538">
        <f>IF((DST_123_ÜRETİM_İHTİYAÇ_RAPORU_BURAK_YENI1309[[#This Row],[SATINALMA]]*DST_123_ÜRETİM_İHTİYAÇ_RAPORU_BURAK_YENI1309[[#This Row],[BIRIM_FIYATLAR]])&lt;1,VALUE("0"),DST_123_ÜRETİM_İHTİYAÇ_RAPORU_BURAK_YENI1309[[#This Row],[SATINALMA]]*DST_123_ÜRETİM_İHTİYAÇ_RAPORU_BURAK_YENI1309[[#This Row],[BIRIM_FIYATLAR]])</f>
        <v>67.5</v>
      </c>
      <c r="N3538">
        <v>1.25</v>
      </c>
      <c r="O3538" t="s">
        <v>220</v>
      </c>
      <c r="P3538">
        <v>7.5</v>
      </c>
      <c r="Q3538" t="s">
        <v>221</v>
      </c>
    </row>
    <row r="3539" spans="1:17" x14ac:dyDescent="0.25">
      <c r="A3539" t="s">
        <v>1142</v>
      </c>
      <c r="B3539" t="s">
        <v>1056</v>
      </c>
      <c r="C3539" t="s">
        <v>175</v>
      </c>
      <c r="D3539" t="s">
        <v>134</v>
      </c>
      <c r="E3539" t="s">
        <v>135</v>
      </c>
      <c r="F3539">
        <v>9</v>
      </c>
      <c r="G3539" t="s">
        <v>179</v>
      </c>
      <c r="H3539">
        <v>0</v>
      </c>
      <c r="I3539">
        <v>60</v>
      </c>
      <c r="J3539" s="10">
        <v>52</v>
      </c>
      <c r="K3539" s="10">
        <f>SUMIFS(F:F,D:D,DST_123_ÜRETİM_İHTİYAÇ_RAPORU_BURAK_YENI1309[[#This Row],[ALT_KOD]])-(SUMIFS(H:H,D:D,DST_123_ÜRETİM_İHTİYAÇ_RAPORU_BURAK_YENI1309[[#This Row],[ALT_KOD]])+AVERAGEIFS(I:I,D:D,DST_123_ÜRETİM_İHTİYAÇ_RAPORU_BURAK_YENI1309[[#This Row],[ALT_KOD]])+AVERAGEIFS(L:L,D:D,DST_123_ÜRETİM_İHTİYAÇ_RAPORU_BURAK_YENI1309[[#This Row],[ALT_KOD]]))</f>
        <v>14.5</v>
      </c>
      <c r="L3539">
        <v>80</v>
      </c>
      <c r="M3539">
        <f>IF((DST_123_ÜRETİM_İHTİYAÇ_RAPORU_BURAK_YENI1309[[#This Row],[SATINALMA]]*DST_123_ÜRETİM_İHTİYAÇ_RAPORU_BURAK_YENI1309[[#This Row],[BIRIM_FIYATLAR]])&lt;1,VALUE("0"),DST_123_ÜRETİM_İHTİYAÇ_RAPORU_BURAK_YENI1309[[#This Row],[SATINALMA]]*DST_123_ÜRETİM_İHTİYAÇ_RAPORU_BURAK_YENI1309[[#This Row],[BIRIM_FIYATLAR]])</f>
        <v>710.5</v>
      </c>
      <c r="N3539">
        <v>49</v>
      </c>
      <c r="O3539" t="s">
        <v>672</v>
      </c>
      <c r="P3539">
        <v>441</v>
      </c>
      <c r="Q3539" t="s">
        <v>184</v>
      </c>
    </row>
    <row r="3540" spans="1:17" x14ac:dyDescent="0.25">
      <c r="A3540" t="s">
        <v>1143</v>
      </c>
      <c r="B3540" t="s">
        <v>1056</v>
      </c>
      <c r="C3540" t="s">
        <v>175</v>
      </c>
      <c r="D3540" t="s">
        <v>414</v>
      </c>
      <c r="E3540" t="s">
        <v>415</v>
      </c>
      <c r="F3540">
        <v>0.2</v>
      </c>
      <c r="G3540" t="s">
        <v>179</v>
      </c>
      <c r="H3540">
        <v>0</v>
      </c>
      <c r="I3540">
        <v>50</v>
      </c>
      <c r="J3540" s="10">
        <v>2.8310687127941492E-15</v>
      </c>
      <c r="K3540" s="10">
        <f>SUMIFS(F:F,D:D,DST_123_ÜRETİM_İHTİYAÇ_RAPORU_BURAK_YENI1309[[#This Row],[ALT_KOD]])-(SUMIFS(H:H,D:D,DST_123_ÜRETİM_İHTİYAÇ_RAPORU_BURAK_YENI1309[[#This Row],[ALT_KOD]])+AVERAGEIFS(I:I,D:D,DST_123_ÜRETİM_İHTİYAÇ_RAPORU_BURAK_YENI1309[[#This Row],[ALT_KOD]])+AVERAGEIFS(L:L,D:D,DST_123_ÜRETİM_İHTİYAÇ_RAPORU_BURAK_YENI1309[[#This Row],[ALT_KOD]]))</f>
        <v>-47.8</v>
      </c>
      <c r="L3540">
        <v>0</v>
      </c>
      <c r="M3540">
        <f>IF((DST_123_ÜRETİM_İHTİYAÇ_RAPORU_BURAK_YENI1309[[#This Row],[SATINALMA]]*DST_123_ÜRETİM_İHTİYAÇ_RAPORU_BURAK_YENI1309[[#This Row],[BIRIM_FIYATLAR]])&lt;1,VALUE("0"),DST_123_ÜRETİM_İHTİYAÇ_RAPORU_BURAK_YENI1309[[#This Row],[SATINALMA]]*DST_123_ÜRETİM_İHTİYAÇ_RAPORU_BURAK_YENI1309[[#This Row],[BIRIM_FIYATLAR]])</f>
        <v>0</v>
      </c>
      <c r="N3540">
        <v>25.41</v>
      </c>
      <c r="O3540" t="s">
        <v>826</v>
      </c>
      <c r="P3540">
        <v>5.0820000000000007</v>
      </c>
      <c r="Q3540" t="s">
        <v>221</v>
      </c>
    </row>
    <row r="3541" spans="1:17" x14ac:dyDescent="0.25">
      <c r="A3541" t="s">
        <v>1059</v>
      </c>
      <c r="B3541" t="s">
        <v>1058</v>
      </c>
      <c r="C3541" t="s">
        <v>175</v>
      </c>
      <c r="D3541" t="s">
        <v>414</v>
      </c>
      <c r="E3541" t="s">
        <v>415</v>
      </c>
      <c r="F3541">
        <v>0.1</v>
      </c>
      <c r="G3541" t="s">
        <v>179</v>
      </c>
      <c r="H3541">
        <v>0</v>
      </c>
      <c r="I3541">
        <v>50</v>
      </c>
      <c r="J3541" s="10">
        <v>2.8310687127941492E-15</v>
      </c>
      <c r="K3541" s="10">
        <f>SUMIFS(F:F,D:D,DST_123_ÜRETİM_İHTİYAÇ_RAPORU_BURAK_YENI1309[[#This Row],[ALT_KOD]])-(SUMIFS(H:H,D:D,DST_123_ÜRETİM_İHTİYAÇ_RAPORU_BURAK_YENI1309[[#This Row],[ALT_KOD]])+AVERAGEIFS(I:I,D:D,DST_123_ÜRETİM_İHTİYAÇ_RAPORU_BURAK_YENI1309[[#This Row],[ALT_KOD]])+AVERAGEIFS(L:L,D:D,DST_123_ÜRETİM_İHTİYAÇ_RAPORU_BURAK_YENI1309[[#This Row],[ALT_KOD]]))</f>
        <v>-47.8</v>
      </c>
      <c r="L3541">
        <v>0</v>
      </c>
      <c r="M3541">
        <f>IF((DST_123_ÜRETİM_İHTİYAÇ_RAPORU_BURAK_YENI1309[[#This Row],[SATINALMA]]*DST_123_ÜRETİM_İHTİYAÇ_RAPORU_BURAK_YENI1309[[#This Row],[BIRIM_FIYATLAR]])&lt;1,VALUE("0"),DST_123_ÜRETİM_İHTİYAÇ_RAPORU_BURAK_YENI1309[[#This Row],[SATINALMA]]*DST_123_ÜRETİM_İHTİYAÇ_RAPORU_BURAK_YENI1309[[#This Row],[BIRIM_FIYATLAR]])</f>
        <v>0</v>
      </c>
      <c r="N3541">
        <v>25.41</v>
      </c>
      <c r="O3541" t="s">
        <v>826</v>
      </c>
      <c r="P3541">
        <v>2.5410000000000004</v>
      </c>
      <c r="Q3541" t="s">
        <v>221</v>
      </c>
    </row>
    <row r="3542" spans="1:17" x14ac:dyDescent="0.25">
      <c r="A3542" t="s">
        <v>1095</v>
      </c>
      <c r="B3542" t="s">
        <v>1096</v>
      </c>
      <c r="C3542" t="s">
        <v>175</v>
      </c>
      <c r="D3542" t="s">
        <v>266</v>
      </c>
      <c r="E3542" t="s">
        <v>267</v>
      </c>
      <c r="F3542">
        <v>2</v>
      </c>
      <c r="G3542" t="s">
        <v>176</v>
      </c>
      <c r="H3542">
        <v>0</v>
      </c>
      <c r="I3542">
        <v>30</v>
      </c>
      <c r="J3542" s="10">
        <v>0</v>
      </c>
      <c r="K3542" s="10">
        <f>SUMIFS(F:F,D:D,DST_123_ÜRETİM_İHTİYAÇ_RAPORU_BURAK_YENI1309[[#This Row],[ALT_KOD]])-(SUMIFS(H:H,D:D,DST_123_ÜRETİM_İHTİYAÇ_RAPORU_BURAK_YENI1309[[#This Row],[ALT_KOD]])+AVERAGEIFS(I:I,D:D,DST_123_ÜRETİM_İHTİYAÇ_RAPORU_BURAK_YENI1309[[#This Row],[ALT_KOD]])+AVERAGEIFS(L:L,D:D,DST_123_ÜRETİM_İHTİYAÇ_RAPORU_BURAK_YENI1309[[#This Row],[ALT_KOD]]))</f>
        <v>-10</v>
      </c>
      <c r="L3542">
        <v>0</v>
      </c>
      <c r="M3542">
        <f>IF((DST_123_ÜRETİM_İHTİYAÇ_RAPORU_BURAK_YENI1309[[#This Row],[SATINALMA]]*DST_123_ÜRETİM_İHTİYAÇ_RAPORU_BURAK_YENI1309[[#This Row],[BIRIM_FIYATLAR]])&lt;1,VALUE("0"),DST_123_ÜRETİM_İHTİYAÇ_RAPORU_BURAK_YENI1309[[#This Row],[SATINALMA]]*DST_123_ÜRETİM_İHTİYAÇ_RAPORU_BURAK_YENI1309[[#This Row],[BIRIM_FIYATLAR]])</f>
        <v>0</v>
      </c>
      <c r="N3542">
        <v>60</v>
      </c>
      <c r="O3542" t="s">
        <v>226</v>
      </c>
      <c r="P3542">
        <v>120</v>
      </c>
      <c r="Q3542" t="s">
        <v>180</v>
      </c>
    </row>
    <row r="3543" spans="1:17" x14ac:dyDescent="0.25">
      <c r="A3543" t="s">
        <v>1144</v>
      </c>
      <c r="B3543" t="s">
        <v>1145</v>
      </c>
      <c r="C3543" t="s">
        <v>175</v>
      </c>
      <c r="D3543" t="s">
        <v>466</v>
      </c>
      <c r="E3543" t="s">
        <v>467</v>
      </c>
      <c r="F3543">
        <v>110</v>
      </c>
      <c r="G3543" t="s">
        <v>176</v>
      </c>
      <c r="H3543">
        <v>0</v>
      </c>
      <c r="I3543">
        <v>7500</v>
      </c>
      <c r="J3543" s="10">
        <v>0</v>
      </c>
      <c r="K3543" s="10">
        <f>SUMIFS(F:F,D:D,DST_123_ÜRETİM_İHTİYAÇ_RAPORU_BURAK_YENI1309[[#This Row],[ALT_KOD]])-(SUMIFS(H:H,D:D,DST_123_ÜRETİM_İHTİYAÇ_RAPORU_BURAK_YENI1309[[#This Row],[ALT_KOD]])+AVERAGEIFS(I:I,D:D,DST_123_ÜRETİM_İHTİYAÇ_RAPORU_BURAK_YENI1309[[#This Row],[ALT_KOD]])+AVERAGEIFS(L:L,D:D,DST_123_ÜRETİM_İHTİYAÇ_RAPORU_BURAK_YENI1309[[#This Row],[ALT_KOD]]))</f>
        <v>-5570</v>
      </c>
      <c r="L3543">
        <v>0</v>
      </c>
      <c r="M3543">
        <f>IF((DST_123_ÜRETİM_İHTİYAÇ_RAPORU_BURAK_YENI1309[[#This Row],[SATINALMA]]*DST_123_ÜRETİM_İHTİYAÇ_RAPORU_BURAK_YENI1309[[#This Row],[BIRIM_FIYATLAR]])&lt;1,VALUE("0"),DST_123_ÜRETİM_İHTİYAÇ_RAPORU_BURAK_YENI1309[[#This Row],[SATINALMA]]*DST_123_ÜRETİM_İHTİYAÇ_RAPORU_BURAK_YENI1309[[#This Row],[BIRIM_FIYATLAR]])</f>
        <v>0</v>
      </c>
      <c r="N3543">
        <v>0.8</v>
      </c>
      <c r="O3543" t="s">
        <v>826</v>
      </c>
      <c r="P3543">
        <v>88</v>
      </c>
      <c r="Q3543" t="s">
        <v>180</v>
      </c>
    </row>
    <row r="3544" spans="1:17" x14ac:dyDescent="0.25">
      <c r="A3544" t="s">
        <v>1146</v>
      </c>
      <c r="B3544" t="s">
        <v>1145</v>
      </c>
      <c r="C3544" t="s">
        <v>175</v>
      </c>
      <c r="D3544" t="s">
        <v>466</v>
      </c>
      <c r="E3544" t="s">
        <v>467</v>
      </c>
      <c r="F3544">
        <v>110</v>
      </c>
      <c r="G3544" t="s">
        <v>176</v>
      </c>
      <c r="H3544">
        <v>0</v>
      </c>
      <c r="I3544">
        <v>7500</v>
      </c>
      <c r="J3544" s="10">
        <v>0</v>
      </c>
      <c r="K3544" s="10">
        <f>SUMIFS(F:F,D:D,DST_123_ÜRETİM_İHTİYAÇ_RAPORU_BURAK_YENI1309[[#This Row],[ALT_KOD]])-(SUMIFS(H:H,D:D,DST_123_ÜRETİM_İHTİYAÇ_RAPORU_BURAK_YENI1309[[#This Row],[ALT_KOD]])+AVERAGEIFS(I:I,D:D,DST_123_ÜRETİM_İHTİYAÇ_RAPORU_BURAK_YENI1309[[#This Row],[ALT_KOD]])+AVERAGEIFS(L:L,D:D,DST_123_ÜRETİM_İHTİYAÇ_RAPORU_BURAK_YENI1309[[#This Row],[ALT_KOD]]))</f>
        <v>-5570</v>
      </c>
      <c r="L3544">
        <v>0</v>
      </c>
      <c r="M3544">
        <f>IF((DST_123_ÜRETİM_İHTİYAÇ_RAPORU_BURAK_YENI1309[[#This Row],[SATINALMA]]*DST_123_ÜRETİM_İHTİYAÇ_RAPORU_BURAK_YENI1309[[#This Row],[BIRIM_FIYATLAR]])&lt;1,VALUE("0"),DST_123_ÜRETİM_İHTİYAÇ_RAPORU_BURAK_YENI1309[[#This Row],[SATINALMA]]*DST_123_ÜRETİM_İHTİYAÇ_RAPORU_BURAK_YENI1309[[#This Row],[BIRIM_FIYATLAR]])</f>
        <v>0</v>
      </c>
      <c r="N3544">
        <v>0.8</v>
      </c>
      <c r="O3544" t="s">
        <v>826</v>
      </c>
      <c r="P3544">
        <v>88</v>
      </c>
      <c r="Q3544" t="s">
        <v>180</v>
      </c>
    </row>
    <row r="3545" spans="1:17" x14ac:dyDescent="0.25">
      <c r="A3545" t="s">
        <v>1144</v>
      </c>
      <c r="B3545" t="s">
        <v>1145</v>
      </c>
      <c r="C3545" t="s">
        <v>175</v>
      </c>
      <c r="D3545" t="s">
        <v>558</v>
      </c>
      <c r="E3545" t="s">
        <v>559</v>
      </c>
      <c r="F3545">
        <v>4.25</v>
      </c>
      <c r="G3545" t="s">
        <v>176</v>
      </c>
      <c r="H3545">
        <v>0</v>
      </c>
      <c r="I3545">
        <v>34</v>
      </c>
      <c r="J3545" s="10">
        <v>97.880000000000024</v>
      </c>
      <c r="K3545" s="10">
        <f>SUMIFS(F:F,D:D,DST_123_ÜRETİM_İHTİYAÇ_RAPORU_BURAK_YENI1309[[#This Row],[ALT_KOD]])-(SUMIFS(H:H,D:D,DST_123_ÜRETİM_İHTİYAÇ_RAPORU_BURAK_YENI1309[[#This Row],[ALT_KOD]])+AVERAGEIFS(I:I,D:D,DST_123_ÜRETİM_İHTİYAÇ_RAPORU_BURAK_YENI1309[[#This Row],[ALT_KOD]])+AVERAGEIFS(L:L,D:D,DST_123_ÜRETİM_İHTİYAÇ_RAPORU_BURAK_YENI1309[[#This Row],[ALT_KOD]]))</f>
        <v>0.88000000000000256</v>
      </c>
      <c r="L3545">
        <v>0</v>
      </c>
      <c r="M3545">
        <f>IF((DST_123_ÜRETİM_İHTİYAÇ_RAPORU_BURAK_YENI1309[[#This Row],[SATINALMA]]*DST_123_ÜRETİM_İHTİYAÇ_RAPORU_BURAK_YENI1309[[#This Row],[BIRIM_FIYATLAR]])&lt;1,VALUE("0"),DST_123_ÜRETİM_İHTİYAÇ_RAPORU_BURAK_YENI1309[[#This Row],[SATINALMA]]*DST_123_ÜRETİM_İHTİYAÇ_RAPORU_BURAK_YENI1309[[#This Row],[BIRIM_FIYATLAR]])</f>
        <v>48.400000000000141</v>
      </c>
      <c r="N3545">
        <v>55</v>
      </c>
      <c r="O3545" t="s">
        <v>240</v>
      </c>
      <c r="P3545">
        <v>233.75</v>
      </c>
      <c r="Q3545" t="s">
        <v>180</v>
      </c>
    </row>
    <row r="3546" spans="1:17" x14ac:dyDescent="0.25">
      <c r="A3546" t="s">
        <v>1148</v>
      </c>
      <c r="B3546" t="s">
        <v>1056</v>
      </c>
      <c r="C3546" t="s">
        <v>175</v>
      </c>
      <c r="D3546" t="s">
        <v>567</v>
      </c>
      <c r="E3546" t="s">
        <v>568</v>
      </c>
      <c r="F3546">
        <v>65</v>
      </c>
      <c r="G3546" t="s">
        <v>176</v>
      </c>
      <c r="H3546">
        <v>0</v>
      </c>
      <c r="I3546">
        <v>5000</v>
      </c>
      <c r="J3546" s="10">
        <v>0</v>
      </c>
      <c r="K3546" s="10">
        <f>SUMIFS(F:F,D:D,DST_123_ÜRETİM_İHTİYAÇ_RAPORU_BURAK_YENI1309[[#This Row],[ALT_KOD]])-(SUMIFS(H:H,D:D,DST_123_ÜRETİM_İHTİYAÇ_RAPORU_BURAK_YENI1309[[#This Row],[ALT_KOD]])+AVERAGEIFS(I:I,D:D,DST_123_ÜRETİM_İHTİYAÇ_RAPORU_BURAK_YENI1309[[#This Row],[ALT_KOD]])+AVERAGEIFS(L:L,D:D,DST_123_ÜRETİM_İHTİYAÇ_RAPORU_BURAK_YENI1309[[#This Row],[ALT_KOD]]))</f>
        <v>-3820</v>
      </c>
      <c r="L3546">
        <v>0</v>
      </c>
      <c r="M3546">
        <f>IF((DST_123_ÜRETİM_İHTİYAÇ_RAPORU_BURAK_YENI1309[[#This Row],[SATINALMA]]*DST_123_ÜRETİM_İHTİYAÇ_RAPORU_BURAK_YENI1309[[#This Row],[BIRIM_FIYATLAR]])&lt;1,VALUE("0"),DST_123_ÜRETİM_İHTİYAÇ_RAPORU_BURAK_YENI1309[[#This Row],[SATINALMA]]*DST_123_ÜRETİM_İHTİYAÇ_RAPORU_BURAK_YENI1309[[#This Row],[BIRIM_FIYATLAR]])</f>
        <v>0</v>
      </c>
      <c r="N3546">
        <v>0.6</v>
      </c>
      <c r="O3546" t="s">
        <v>240</v>
      </c>
      <c r="P3546">
        <v>39</v>
      </c>
      <c r="Q3546" t="s">
        <v>180</v>
      </c>
    </row>
    <row r="3547" spans="1:17" x14ac:dyDescent="0.25">
      <c r="A3547" t="s">
        <v>1095</v>
      </c>
      <c r="B3547" t="s">
        <v>1096</v>
      </c>
      <c r="C3547" t="s">
        <v>175</v>
      </c>
      <c r="D3547" t="s">
        <v>567</v>
      </c>
      <c r="E3547" t="s">
        <v>568</v>
      </c>
      <c r="F3547">
        <v>65</v>
      </c>
      <c r="G3547" t="s">
        <v>176</v>
      </c>
      <c r="H3547">
        <v>0</v>
      </c>
      <c r="I3547">
        <v>5000</v>
      </c>
      <c r="J3547" s="10">
        <v>0</v>
      </c>
      <c r="K3547" s="10">
        <f>SUMIFS(F:F,D:D,DST_123_ÜRETİM_İHTİYAÇ_RAPORU_BURAK_YENI1309[[#This Row],[ALT_KOD]])-(SUMIFS(H:H,D:D,DST_123_ÜRETİM_İHTİYAÇ_RAPORU_BURAK_YENI1309[[#This Row],[ALT_KOD]])+AVERAGEIFS(I:I,D:D,DST_123_ÜRETİM_İHTİYAÇ_RAPORU_BURAK_YENI1309[[#This Row],[ALT_KOD]])+AVERAGEIFS(L:L,D:D,DST_123_ÜRETİM_İHTİYAÇ_RAPORU_BURAK_YENI1309[[#This Row],[ALT_KOD]]))</f>
        <v>-3820</v>
      </c>
      <c r="L3547">
        <v>0</v>
      </c>
      <c r="M3547">
        <f>IF((DST_123_ÜRETİM_İHTİYAÇ_RAPORU_BURAK_YENI1309[[#This Row],[SATINALMA]]*DST_123_ÜRETİM_İHTİYAÇ_RAPORU_BURAK_YENI1309[[#This Row],[BIRIM_FIYATLAR]])&lt;1,VALUE("0"),DST_123_ÜRETİM_İHTİYAÇ_RAPORU_BURAK_YENI1309[[#This Row],[SATINALMA]]*DST_123_ÜRETİM_İHTİYAÇ_RAPORU_BURAK_YENI1309[[#This Row],[BIRIM_FIYATLAR]])</f>
        <v>0</v>
      </c>
      <c r="N3547">
        <v>0.6</v>
      </c>
      <c r="O3547" t="s">
        <v>240</v>
      </c>
      <c r="P3547">
        <v>39</v>
      </c>
      <c r="Q3547" t="s">
        <v>180</v>
      </c>
    </row>
    <row r="3548" spans="1:17" x14ac:dyDescent="0.25">
      <c r="A3548" t="s">
        <v>1142</v>
      </c>
      <c r="B3548" t="s">
        <v>1056</v>
      </c>
      <c r="C3548" t="s">
        <v>175</v>
      </c>
      <c r="D3548" t="s">
        <v>478</v>
      </c>
      <c r="E3548" t="s">
        <v>479</v>
      </c>
      <c r="F3548">
        <v>40</v>
      </c>
      <c r="G3548" t="s">
        <v>176</v>
      </c>
      <c r="H3548">
        <v>0</v>
      </c>
      <c r="I3548">
        <v>0</v>
      </c>
      <c r="J3548" s="10">
        <v>1330</v>
      </c>
      <c r="K3548" s="10">
        <f>SUMIFS(F:F,D:D,DST_123_ÜRETİM_İHTİYAÇ_RAPORU_BURAK_YENI1309[[#This Row],[ALT_KOD]])-(SUMIFS(H:H,D:D,DST_123_ÜRETİM_İHTİYAÇ_RAPORU_BURAK_YENI1309[[#This Row],[ALT_KOD]])+AVERAGEIFS(I:I,D:D,DST_123_ÜRETİM_İHTİYAÇ_RAPORU_BURAK_YENI1309[[#This Row],[ALT_KOD]])+AVERAGEIFS(L:L,D:D,DST_123_ÜRETİM_İHTİYAÇ_RAPORU_BURAK_YENI1309[[#This Row],[ALT_KOD]]))</f>
        <v>860</v>
      </c>
      <c r="L3548">
        <v>0</v>
      </c>
      <c r="M3548">
        <f>IF((DST_123_ÜRETİM_İHTİYAÇ_RAPORU_BURAK_YENI1309[[#This Row],[SATINALMA]]*DST_123_ÜRETİM_İHTİYAÇ_RAPORU_BURAK_YENI1309[[#This Row],[BIRIM_FIYATLAR]])&lt;1,VALUE("0"),DST_123_ÜRETİM_İHTİYAÇ_RAPORU_BURAK_YENI1309[[#This Row],[SATINALMA]]*DST_123_ÜRETİM_İHTİYAÇ_RAPORU_BURAK_YENI1309[[#This Row],[BIRIM_FIYATLAR]])</f>
        <v>344</v>
      </c>
      <c r="N3548">
        <v>0.4</v>
      </c>
      <c r="O3548" t="s">
        <v>882</v>
      </c>
      <c r="P3548">
        <v>16</v>
      </c>
      <c r="Q3548" t="s">
        <v>180</v>
      </c>
    </row>
    <row r="3549" spans="1:17" x14ac:dyDescent="0.25">
      <c r="A3549" t="s">
        <v>1142</v>
      </c>
      <c r="B3549" t="s">
        <v>1056</v>
      </c>
      <c r="C3549" t="s">
        <v>175</v>
      </c>
      <c r="D3549" t="s">
        <v>466</v>
      </c>
      <c r="E3549" t="s">
        <v>467</v>
      </c>
      <c r="F3549">
        <v>110</v>
      </c>
      <c r="G3549" t="s">
        <v>176</v>
      </c>
      <c r="H3549">
        <v>0</v>
      </c>
      <c r="I3549">
        <v>7500</v>
      </c>
      <c r="J3549" s="10">
        <v>0</v>
      </c>
      <c r="K3549" s="10">
        <f>SUMIFS(F:F,D:D,DST_123_ÜRETİM_İHTİYAÇ_RAPORU_BURAK_YENI1309[[#This Row],[ALT_KOD]])-(SUMIFS(H:H,D:D,DST_123_ÜRETİM_İHTİYAÇ_RAPORU_BURAK_YENI1309[[#This Row],[ALT_KOD]])+AVERAGEIFS(I:I,D:D,DST_123_ÜRETİM_İHTİYAÇ_RAPORU_BURAK_YENI1309[[#This Row],[ALT_KOD]])+AVERAGEIFS(L:L,D:D,DST_123_ÜRETİM_İHTİYAÇ_RAPORU_BURAK_YENI1309[[#This Row],[ALT_KOD]]))</f>
        <v>-5570</v>
      </c>
      <c r="L3549">
        <v>0</v>
      </c>
      <c r="M3549">
        <f>IF((DST_123_ÜRETİM_İHTİYAÇ_RAPORU_BURAK_YENI1309[[#This Row],[SATINALMA]]*DST_123_ÜRETİM_İHTİYAÇ_RAPORU_BURAK_YENI1309[[#This Row],[BIRIM_FIYATLAR]])&lt;1,VALUE("0"),DST_123_ÜRETİM_İHTİYAÇ_RAPORU_BURAK_YENI1309[[#This Row],[SATINALMA]]*DST_123_ÜRETİM_İHTİYAÇ_RAPORU_BURAK_YENI1309[[#This Row],[BIRIM_FIYATLAR]])</f>
        <v>0</v>
      </c>
      <c r="N3549">
        <v>0.8</v>
      </c>
      <c r="O3549" t="s">
        <v>826</v>
      </c>
      <c r="P3549">
        <v>88</v>
      </c>
      <c r="Q3549" t="s">
        <v>180</v>
      </c>
    </row>
    <row r="3550" spans="1:17" x14ac:dyDescent="0.25">
      <c r="A3550" t="s">
        <v>1142</v>
      </c>
      <c r="B3550" t="s">
        <v>1056</v>
      </c>
      <c r="C3550" t="s">
        <v>175</v>
      </c>
      <c r="D3550" t="s">
        <v>558</v>
      </c>
      <c r="E3550" t="s">
        <v>559</v>
      </c>
      <c r="F3550">
        <v>4.25</v>
      </c>
      <c r="G3550" t="s">
        <v>176</v>
      </c>
      <c r="H3550">
        <v>0</v>
      </c>
      <c r="I3550">
        <v>34</v>
      </c>
      <c r="J3550" s="10">
        <v>97.880000000000024</v>
      </c>
      <c r="K3550" s="10">
        <f>SUMIFS(F:F,D:D,DST_123_ÜRETİM_İHTİYAÇ_RAPORU_BURAK_YENI1309[[#This Row],[ALT_KOD]])-(SUMIFS(H:H,D:D,DST_123_ÜRETİM_İHTİYAÇ_RAPORU_BURAK_YENI1309[[#This Row],[ALT_KOD]])+AVERAGEIFS(I:I,D:D,DST_123_ÜRETİM_İHTİYAÇ_RAPORU_BURAK_YENI1309[[#This Row],[ALT_KOD]])+AVERAGEIFS(L:L,D:D,DST_123_ÜRETİM_İHTİYAÇ_RAPORU_BURAK_YENI1309[[#This Row],[ALT_KOD]]))</f>
        <v>0.88000000000000256</v>
      </c>
      <c r="L3550">
        <v>0</v>
      </c>
      <c r="M3550">
        <f>IF((DST_123_ÜRETİM_İHTİYAÇ_RAPORU_BURAK_YENI1309[[#This Row],[SATINALMA]]*DST_123_ÜRETİM_İHTİYAÇ_RAPORU_BURAK_YENI1309[[#This Row],[BIRIM_FIYATLAR]])&lt;1,VALUE("0"),DST_123_ÜRETİM_İHTİYAÇ_RAPORU_BURAK_YENI1309[[#This Row],[SATINALMA]]*DST_123_ÜRETİM_İHTİYAÇ_RAPORU_BURAK_YENI1309[[#This Row],[BIRIM_FIYATLAR]])</f>
        <v>48.400000000000141</v>
      </c>
      <c r="N3550">
        <v>55</v>
      </c>
      <c r="O3550" t="s">
        <v>240</v>
      </c>
      <c r="P3550">
        <v>233.75</v>
      </c>
      <c r="Q3550" t="s">
        <v>180</v>
      </c>
    </row>
    <row r="3551" spans="1:17" x14ac:dyDescent="0.25">
      <c r="A3551" t="s">
        <v>1142</v>
      </c>
      <c r="B3551" t="s">
        <v>1056</v>
      </c>
      <c r="C3551" t="s">
        <v>175</v>
      </c>
      <c r="D3551" t="s">
        <v>143</v>
      </c>
      <c r="E3551" t="s">
        <v>144</v>
      </c>
      <c r="F3551">
        <v>2</v>
      </c>
      <c r="G3551" t="s">
        <v>176</v>
      </c>
      <c r="H3551">
        <v>0</v>
      </c>
      <c r="I3551">
        <v>0</v>
      </c>
      <c r="J3551" s="10">
        <v>64</v>
      </c>
      <c r="K3551" s="10">
        <f>SUMIFS(F:F,D:D,DST_123_ÜRETİM_İHTİYAÇ_RAPORU_BURAK_YENI1309[[#This Row],[ALT_KOD]])-(SUMIFS(H:H,D:D,DST_123_ÜRETİM_İHTİYAÇ_RAPORU_BURAK_YENI1309[[#This Row],[ALT_KOD]])+AVERAGEIFS(I:I,D:D,DST_123_ÜRETİM_İHTİYAÇ_RAPORU_BURAK_YENI1309[[#This Row],[ALT_KOD]])+AVERAGEIFS(L:L,D:D,DST_123_ÜRETİM_İHTİYAÇ_RAPORU_BURAK_YENI1309[[#This Row],[ALT_KOD]]))</f>
        <v>40</v>
      </c>
      <c r="L3551">
        <v>0</v>
      </c>
      <c r="M3551">
        <f>IF((DST_123_ÜRETİM_İHTİYAÇ_RAPORU_BURAK_YENI1309[[#This Row],[SATINALMA]]*DST_123_ÜRETİM_İHTİYAÇ_RAPORU_BURAK_YENI1309[[#This Row],[BIRIM_FIYATLAR]])&lt;1,VALUE("0"),DST_123_ÜRETİM_İHTİYAÇ_RAPORU_BURAK_YENI1309[[#This Row],[SATINALMA]]*DST_123_ÜRETİM_İHTİYAÇ_RAPORU_BURAK_YENI1309[[#This Row],[BIRIM_FIYATLAR]])</f>
        <v>274.8</v>
      </c>
      <c r="N3551">
        <v>6.87</v>
      </c>
      <c r="O3551" t="s">
        <v>826</v>
      </c>
      <c r="P3551">
        <v>13.74</v>
      </c>
      <c r="Q3551" t="s">
        <v>221</v>
      </c>
    </row>
    <row r="3552" spans="1:17" x14ac:dyDescent="0.25">
      <c r="A3552" t="s">
        <v>1060</v>
      </c>
      <c r="B3552" t="s">
        <v>1061</v>
      </c>
      <c r="C3552" t="s">
        <v>175</v>
      </c>
      <c r="D3552" t="s">
        <v>143</v>
      </c>
      <c r="E3552" t="s">
        <v>144</v>
      </c>
      <c r="F3552">
        <v>2</v>
      </c>
      <c r="G3552" t="s">
        <v>176</v>
      </c>
      <c r="H3552">
        <v>0</v>
      </c>
      <c r="I3552">
        <v>0</v>
      </c>
      <c r="J3552" s="10">
        <v>64</v>
      </c>
      <c r="K3552" s="10">
        <f>SUMIFS(F:F,D:D,DST_123_ÜRETİM_İHTİYAÇ_RAPORU_BURAK_YENI1309[[#This Row],[ALT_KOD]])-(SUMIFS(H:H,D:D,DST_123_ÜRETİM_İHTİYAÇ_RAPORU_BURAK_YENI1309[[#This Row],[ALT_KOD]])+AVERAGEIFS(I:I,D:D,DST_123_ÜRETİM_İHTİYAÇ_RAPORU_BURAK_YENI1309[[#This Row],[ALT_KOD]])+AVERAGEIFS(L:L,D:D,DST_123_ÜRETİM_İHTİYAÇ_RAPORU_BURAK_YENI1309[[#This Row],[ALT_KOD]]))</f>
        <v>40</v>
      </c>
      <c r="L3552">
        <v>0</v>
      </c>
      <c r="M3552">
        <f>IF((DST_123_ÜRETİM_İHTİYAÇ_RAPORU_BURAK_YENI1309[[#This Row],[SATINALMA]]*DST_123_ÜRETİM_İHTİYAÇ_RAPORU_BURAK_YENI1309[[#This Row],[BIRIM_FIYATLAR]])&lt;1,VALUE("0"),DST_123_ÜRETİM_İHTİYAÇ_RAPORU_BURAK_YENI1309[[#This Row],[SATINALMA]]*DST_123_ÜRETİM_İHTİYAÇ_RAPORU_BURAK_YENI1309[[#This Row],[BIRIM_FIYATLAR]])</f>
        <v>274.8</v>
      </c>
      <c r="N3552">
        <v>6.87</v>
      </c>
      <c r="O3552" t="s">
        <v>826</v>
      </c>
      <c r="P3552">
        <v>13.74</v>
      </c>
      <c r="Q3552" t="s">
        <v>221</v>
      </c>
    </row>
    <row r="3553" spans="1:17" x14ac:dyDescent="0.25">
      <c r="A3553" t="s">
        <v>1060</v>
      </c>
      <c r="B3553" t="s">
        <v>1061</v>
      </c>
      <c r="C3553" t="s">
        <v>175</v>
      </c>
      <c r="D3553" t="s">
        <v>567</v>
      </c>
      <c r="E3553" t="s">
        <v>568</v>
      </c>
      <c r="F3553">
        <v>60</v>
      </c>
      <c r="G3553" t="s">
        <v>176</v>
      </c>
      <c r="H3553">
        <v>0</v>
      </c>
      <c r="I3553">
        <v>5000</v>
      </c>
      <c r="J3553" s="10">
        <v>0</v>
      </c>
      <c r="K3553" s="10">
        <f>SUMIFS(F:F,D:D,DST_123_ÜRETİM_İHTİYAÇ_RAPORU_BURAK_YENI1309[[#This Row],[ALT_KOD]])-(SUMIFS(H:H,D:D,DST_123_ÜRETİM_İHTİYAÇ_RAPORU_BURAK_YENI1309[[#This Row],[ALT_KOD]])+AVERAGEIFS(I:I,D:D,DST_123_ÜRETİM_İHTİYAÇ_RAPORU_BURAK_YENI1309[[#This Row],[ALT_KOD]])+AVERAGEIFS(L:L,D:D,DST_123_ÜRETİM_İHTİYAÇ_RAPORU_BURAK_YENI1309[[#This Row],[ALT_KOD]]))</f>
        <v>-3820</v>
      </c>
      <c r="L3553">
        <v>0</v>
      </c>
      <c r="M3553">
        <f>IF((DST_123_ÜRETİM_İHTİYAÇ_RAPORU_BURAK_YENI1309[[#This Row],[SATINALMA]]*DST_123_ÜRETİM_İHTİYAÇ_RAPORU_BURAK_YENI1309[[#This Row],[BIRIM_FIYATLAR]])&lt;1,VALUE("0"),DST_123_ÜRETİM_İHTİYAÇ_RAPORU_BURAK_YENI1309[[#This Row],[SATINALMA]]*DST_123_ÜRETİM_İHTİYAÇ_RAPORU_BURAK_YENI1309[[#This Row],[BIRIM_FIYATLAR]])</f>
        <v>0</v>
      </c>
      <c r="N3553">
        <v>0.6</v>
      </c>
      <c r="O3553" t="s">
        <v>240</v>
      </c>
      <c r="P3553">
        <v>36</v>
      </c>
      <c r="Q3553" t="s">
        <v>180</v>
      </c>
    </row>
    <row r="3554" spans="1:17" x14ac:dyDescent="0.25">
      <c r="A3554" t="s">
        <v>1101</v>
      </c>
      <c r="B3554" t="s">
        <v>1102</v>
      </c>
      <c r="C3554" t="s">
        <v>175</v>
      </c>
      <c r="D3554" t="s">
        <v>478</v>
      </c>
      <c r="E3554" t="s">
        <v>479</v>
      </c>
      <c r="F3554">
        <v>50</v>
      </c>
      <c r="G3554" t="s">
        <v>176</v>
      </c>
      <c r="H3554">
        <v>0</v>
      </c>
      <c r="I3554">
        <v>0</v>
      </c>
      <c r="J3554" s="10">
        <v>1330</v>
      </c>
      <c r="K3554" s="10">
        <f>SUMIFS(F:F,D:D,DST_123_ÜRETİM_İHTİYAÇ_RAPORU_BURAK_YENI1309[[#This Row],[ALT_KOD]])-(SUMIFS(H:H,D:D,DST_123_ÜRETİM_İHTİYAÇ_RAPORU_BURAK_YENI1309[[#This Row],[ALT_KOD]])+AVERAGEIFS(I:I,D:D,DST_123_ÜRETİM_İHTİYAÇ_RAPORU_BURAK_YENI1309[[#This Row],[ALT_KOD]])+AVERAGEIFS(L:L,D:D,DST_123_ÜRETİM_İHTİYAÇ_RAPORU_BURAK_YENI1309[[#This Row],[ALT_KOD]]))</f>
        <v>860</v>
      </c>
      <c r="L3554">
        <v>0</v>
      </c>
      <c r="M3554">
        <f>IF((DST_123_ÜRETİM_İHTİYAÇ_RAPORU_BURAK_YENI1309[[#This Row],[SATINALMA]]*DST_123_ÜRETİM_İHTİYAÇ_RAPORU_BURAK_YENI1309[[#This Row],[BIRIM_FIYATLAR]])&lt;1,VALUE("0"),DST_123_ÜRETİM_İHTİYAÇ_RAPORU_BURAK_YENI1309[[#This Row],[SATINALMA]]*DST_123_ÜRETİM_İHTİYAÇ_RAPORU_BURAK_YENI1309[[#This Row],[BIRIM_FIYATLAR]])</f>
        <v>344</v>
      </c>
      <c r="N3554">
        <v>0.4</v>
      </c>
      <c r="O3554" t="s">
        <v>882</v>
      </c>
      <c r="P3554">
        <v>20</v>
      </c>
      <c r="Q3554" t="s">
        <v>180</v>
      </c>
    </row>
    <row r="3555" spans="1:17" x14ac:dyDescent="0.25">
      <c r="A3555" t="s">
        <v>1142</v>
      </c>
      <c r="B3555" t="s">
        <v>1056</v>
      </c>
      <c r="C3555" t="s">
        <v>175</v>
      </c>
      <c r="D3555" t="s">
        <v>567</v>
      </c>
      <c r="E3555" t="s">
        <v>568</v>
      </c>
      <c r="F3555">
        <v>60</v>
      </c>
      <c r="G3555" t="s">
        <v>176</v>
      </c>
      <c r="H3555">
        <v>0</v>
      </c>
      <c r="I3555">
        <v>5000</v>
      </c>
      <c r="J3555" s="10">
        <v>0</v>
      </c>
      <c r="K3555" s="10">
        <f>SUMIFS(F:F,D:D,DST_123_ÜRETİM_İHTİYAÇ_RAPORU_BURAK_YENI1309[[#This Row],[ALT_KOD]])-(SUMIFS(H:H,D:D,DST_123_ÜRETİM_İHTİYAÇ_RAPORU_BURAK_YENI1309[[#This Row],[ALT_KOD]])+AVERAGEIFS(I:I,D:D,DST_123_ÜRETİM_İHTİYAÇ_RAPORU_BURAK_YENI1309[[#This Row],[ALT_KOD]])+AVERAGEIFS(L:L,D:D,DST_123_ÜRETİM_İHTİYAÇ_RAPORU_BURAK_YENI1309[[#This Row],[ALT_KOD]]))</f>
        <v>-3820</v>
      </c>
      <c r="L3555">
        <v>0</v>
      </c>
      <c r="M3555">
        <f>IF((DST_123_ÜRETİM_İHTİYAÇ_RAPORU_BURAK_YENI1309[[#This Row],[SATINALMA]]*DST_123_ÜRETİM_İHTİYAÇ_RAPORU_BURAK_YENI1309[[#This Row],[BIRIM_FIYATLAR]])&lt;1,VALUE("0"),DST_123_ÜRETİM_İHTİYAÇ_RAPORU_BURAK_YENI1309[[#This Row],[SATINALMA]]*DST_123_ÜRETİM_İHTİYAÇ_RAPORU_BURAK_YENI1309[[#This Row],[BIRIM_FIYATLAR]])</f>
        <v>0</v>
      </c>
      <c r="N3555">
        <v>0.6</v>
      </c>
      <c r="O3555" t="s">
        <v>240</v>
      </c>
      <c r="P3555">
        <v>36</v>
      </c>
      <c r="Q3555" t="s">
        <v>180</v>
      </c>
    </row>
    <row r="3556" spans="1:17" x14ac:dyDescent="0.25">
      <c r="A3556" t="s">
        <v>1142</v>
      </c>
      <c r="B3556" t="s">
        <v>1056</v>
      </c>
      <c r="C3556" t="s">
        <v>175</v>
      </c>
      <c r="D3556" t="s">
        <v>614</v>
      </c>
      <c r="E3556" t="s">
        <v>615</v>
      </c>
      <c r="F3556">
        <v>1.5</v>
      </c>
      <c r="G3556" t="s">
        <v>185</v>
      </c>
      <c r="H3556">
        <v>0</v>
      </c>
      <c r="I3556">
        <v>39</v>
      </c>
      <c r="J3556" s="10">
        <v>40.000000000000014</v>
      </c>
      <c r="K3556" s="10">
        <f>SUMIFS(F:F,D:D,DST_123_ÜRETİM_İHTİYAÇ_RAPORU_BURAK_YENI1309[[#This Row],[ALT_KOD]])-(SUMIFS(H:H,D:D,DST_123_ÜRETİM_İHTİYAÇ_RAPORU_BURAK_YENI1309[[#This Row],[ALT_KOD]])+AVERAGEIFS(I:I,D:D,DST_123_ÜRETİM_İHTİYAÇ_RAPORU_BURAK_YENI1309[[#This Row],[ALT_KOD]])+AVERAGEIFS(L:L,D:D,DST_123_ÜRETİM_İHTİYAÇ_RAPORU_BURAK_YENI1309[[#This Row],[ALT_KOD]]))</f>
        <v>-18.5</v>
      </c>
      <c r="L3556">
        <v>0</v>
      </c>
      <c r="M3556">
        <f>IF((DST_123_ÜRETİM_İHTİYAÇ_RAPORU_BURAK_YENI1309[[#This Row],[SATINALMA]]*DST_123_ÜRETİM_İHTİYAÇ_RAPORU_BURAK_YENI1309[[#This Row],[BIRIM_FIYATLAR]])&lt;1,VALUE("0"),DST_123_ÜRETİM_İHTİYAÇ_RAPORU_BURAK_YENI1309[[#This Row],[SATINALMA]]*DST_123_ÜRETİM_İHTİYAÇ_RAPORU_BURAK_YENI1309[[#This Row],[BIRIM_FIYATLAR]])</f>
        <v>0</v>
      </c>
      <c r="N3556">
        <v>212.93</v>
      </c>
      <c r="O3556" t="s">
        <v>253</v>
      </c>
      <c r="P3556">
        <v>319.39499999999998</v>
      </c>
      <c r="Q3556" t="s">
        <v>181</v>
      </c>
    </row>
    <row r="3557" spans="1:17" x14ac:dyDescent="0.25">
      <c r="A3557" t="s">
        <v>1150</v>
      </c>
      <c r="B3557" t="s">
        <v>1145</v>
      </c>
      <c r="C3557" t="s">
        <v>175</v>
      </c>
      <c r="D3557" t="s">
        <v>466</v>
      </c>
      <c r="E3557" t="s">
        <v>467</v>
      </c>
      <c r="F3557">
        <v>110</v>
      </c>
      <c r="G3557" t="s">
        <v>176</v>
      </c>
      <c r="H3557">
        <v>0</v>
      </c>
      <c r="I3557">
        <v>7500</v>
      </c>
      <c r="J3557" s="10">
        <v>0</v>
      </c>
      <c r="K3557" s="10">
        <f>SUMIFS(F:F,D:D,DST_123_ÜRETİM_İHTİYAÇ_RAPORU_BURAK_YENI1309[[#This Row],[ALT_KOD]])-(SUMIFS(H:H,D:D,DST_123_ÜRETİM_İHTİYAÇ_RAPORU_BURAK_YENI1309[[#This Row],[ALT_KOD]])+AVERAGEIFS(I:I,D:D,DST_123_ÜRETİM_İHTİYAÇ_RAPORU_BURAK_YENI1309[[#This Row],[ALT_KOD]])+AVERAGEIFS(L:L,D:D,DST_123_ÜRETİM_İHTİYAÇ_RAPORU_BURAK_YENI1309[[#This Row],[ALT_KOD]]))</f>
        <v>-5570</v>
      </c>
      <c r="L3557">
        <v>0</v>
      </c>
      <c r="M3557">
        <f>IF((DST_123_ÜRETİM_İHTİYAÇ_RAPORU_BURAK_YENI1309[[#This Row],[SATINALMA]]*DST_123_ÜRETİM_İHTİYAÇ_RAPORU_BURAK_YENI1309[[#This Row],[BIRIM_FIYATLAR]])&lt;1,VALUE("0"),DST_123_ÜRETİM_İHTİYAÇ_RAPORU_BURAK_YENI1309[[#This Row],[SATINALMA]]*DST_123_ÜRETİM_İHTİYAÇ_RAPORU_BURAK_YENI1309[[#This Row],[BIRIM_FIYATLAR]])</f>
        <v>0</v>
      </c>
      <c r="N3557">
        <v>0.8</v>
      </c>
      <c r="O3557" t="s">
        <v>826</v>
      </c>
      <c r="P3557">
        <v>88</v>
      </c>
      <c r="Q3557" t="s">
        <v>180</v>
      </c>
    </row>
    <row r="3558" spans="1:17" x14ac:dyDescent="0.25">
      <c r="A3558" t="s">
        <v>1150</v>
      </c>
      <c r="B3558" t="s">
        <v>1145</v>
      </c>
      <c r="C3558" t="s">
        <v>175</v>
      </c>
      <c r="D3558" t="s">
        <v>558</v>
      </c>
      <c r="E3558" t="s">
        <v>559</v>
      </c>
      <c r="F3558">
        <v>4.25</v>
      </c>
      <c r="G3558" t="s">
        <v>176</v>
      </c>
      <c r="H3558">
        <v>0</v>
      </c>
      <c r="I3558">
        <v>34</v>
      </c>
      <c r="J3558" s="10">
        <v>97.880000000000024</v>
      </c>
      <c r="K3558" s="10">
        <f>SUMIFS(F:F,D:D,DST_123_ÜRETİM_İHTİYAÇ_RAPORU_BURAK_YENI1309[[#This Row],[ALT_KOD]])-(SUMIFS(H:H,D:D,DST_123_ÜRETİM_İHTİYAÇ_RAPORU_BURAK_YENI1309[[#This Row],[ALT_KOD]])+AVERAGEIFS(I:I,D:D,DST_123_ÜRETİM_İHTİYAÇ_RAPORU_BURAK_YENI1309[[#This Row],[ALT_KOD]])+AVERAGEIFS(L:L,D:D,DST_123_ÜRETİM_İHTİYAÇ_RAPORU_BURAK_YENI1309[[#This Row],[ALT_KOD]]))</f>
        <v>0.88000000000000256</v>
      </c>
      <c r="L3558">
        <v>0</v>
      </c>
      <c r="M3558">
        <f>IF((DST_123_ÜRETİM_İHTİYAÇ_RAPORU_BURAK_YENI1309[[#This Row],[SATINALMA]]*DST_123_ÜRETİM_İHTİYAÇ_RAPORU_BURAK_YENI1309[[#This Row],[BIRIM_FIYATLAR]])&lt;1,VALUE("0"),DST_123_ÜRETİM_İHTİYAÇ_RAPORU_BURAK_YENI1309[[#This Row],[SATINALMA]]*DST_123_ÜRETİM_İHTİYAÇ_RAPORU_BURAK_YENI1309[[#This Row],[BIRIM_FIYATLAR]])</f>
        <v>48.400000000000141</v>
      </c>
      <c r="N3558">
        <v>55</v>
      </c>
      <c r="O3558" t="s">
        <v>240</v>
      </c>
      <c r="P3558">
        <v>233.75</v>
      </c>
      <c r="Q3558" t="s">
        <v>180</v>
      </c>
    </row>
    <row r="3559" spans="1:17" x14ac:dyDescent="0.25">
      <c r="A3559" t="s">
        <v>1150</v>
      </c>
      <c r="B3559" t="s">
        <v>1145</v>
      </c>
      <c r="C3559" t="s">
        <v>175</v>
      </c>
      <c r="D3559" t="s">
        <v>143</v>
      </c>
      <c r="E3559" t="s">
        <v>144</v>
      </c>
      <c r="F3559">
        <v>2</v>
      </c>
      <c r="G3559" t="s">
        <v>176</v>
      </c>
      <c r="H3559">
        <v>0</v>
      </c>
      <c r="I3559">
        <v>0</v>
      </c>
      <c r="J3559" s="10">
        <v>64</v>
      </c>
      <c r="K3559" s="10">
        <f>SUMIFS(F:F,D:D,DST_123_ÜRETİM_İHTİYAÇ_RAPORU_BURAK_YENI1309[[#This Row],[ALT_KOD]])-(SUMIFS(H:H,D:D,DST_123_ÜRETİM_İHTİYAÇ_RAPORU_BURAK_YENI1309[[#This Row],[ALT_KOD]])+AVERAGEIFS(I:I,D:D,DST_123_ÜRETİM_İHTİYAÇ_RAPORU_BURAK_YENI1309[[#This Row],[ALT_KOD]])+AVERAGEIFS(L:L,D:D,DST_123_ÜRETİM_İHTİYAÇ_RAPORU_BURAK_YENI1309[[#This Row],[ALT_KOD]]))</f>
        <v>40</v>
      </c>
      <c r="L3559">
        <v>0</v>
      </c>
      <c r="M3559">
        <f>IF((DST_123_ÜRETİM_İHTİYAÇ_RAPORU_BURAK_YENI1309[[#This Row],[SATINALMA]]*DST_123_ÜRETİM_İHTİYAÇ_RAPORU_BURAK_YENI1309[[#This Row],[BIRIM_FIYATLAR]])&lt;1,VALUE("0"),DST_123_ÜRETİM_İHTİYAÇ_RAPORU_BURAK_YENI1309[[#This Row],[SATINALMA]]*DST_123_ÜRETİM_İHTİYAÇ_RAPORU_BURAK_YENI1309[[#This Row],[BIRIM_FIYATLAR]])</f>
        <v>274.8</v>
      </c>
      <c r="N3559">
        <v>6.87</v>
      </c>
      <c r="O3559" t="s">
        <v>826</v>
      </c>
      <c r="P3559">
        <v>13.74</v>
      </c>
      <c r="Q3559" t="s">
        <v>221</v>
      </c>
    </row>
    <row r="3560" spans="1:17" x14ac:dyDescent="0.25">
      <c r="A3560" t="s">
        <v>1142</v>
      </c>
      <c r="B3560" t="s">
        <v>1056</v>
      </c>
      <c r="C3560" t="s">
        <v>175</v>
      </c>
      <c r="D3560" t="s">
        <v>865</v>
      </c>
      <c r="E3560" t="s">
        <v>644</v>
      </c>
      <c r="F3560">
        <v>1</v>
      </c>
      <c r="G3560" t="s">
        <v>176</v>
      </c>
      <c r="H3560">
        <v>0</v>
      </c>
      <c r="I3560">
        <v>3</v>
      </c>
      <c r="J3560" s="10">
        <v>13</v>
      </c>
      <c r="K3560" s="10">
        <f>SUMIFS(F:F,D:D,DST_123_ÜRETİM_İHTİYAÇ_RAPORU_BURAK_YENI1309[[#This Row],[ALT_KOD]])-(SUMIFS(H:H,D:D,DST_123_ÜRETİM_İHTİYAÇ_RAPORU_BURAK_YENI1309[[#This Row],[ALT_KOD]])+AVERAGEIFS(I:I,D:D,DST_123_ÜRETİM_İHTİYAÇ_RAPORU_BURAK_YENI1309[[#This Row],[ALT_KOD]])+AVERAGEIFS(L:L,D:D,DST_123_ÜRETİM_İHTİYAÇ_RAPORU_BURAK_YENI1309[[#This Row],[ALT_KOD]]))</f>
        <v>12</v>
      </c>
      <c r="L3560">
        <v>0</v>
      </c>
      <c r="M3560">
        <f>IF((DST_123_ÜRETİM_İHTİYAÇ_RAPORU_BURAK_YENI1309[[#This Row],[SATINALMA]]*DST_123_ÜRETİM_İHTİYAÇ_RAPORU_BURAK_YENI1309[[#This Row],[BIRIM_FIYATLAR]])&lt;1,VALUE("0"),DST_123_ÜRETİM_İHTİYAÇ_RAPORU_BURAK_YENI1309[[#This Row],[SATINALMA]]*DST_123_ÜRETİM_İHTİYAÇ_RAPORU_BURAK_YENI1309[[#This Row],[BIRIM_FIYATLAR]])</f>
        <v>43576.08</v>
      </c>
      <c r="N3560">
        <v>3631.34</v>
      </c>
      <c r="O3560" t="s">
        <v>647</v>
      </c>
      <c r="P3560">
        <v>3631.34</v>
      </c>
      <c r="Q3560" t="s">
        <v>177</v>
      </c>
    </row>
    <row r="3561" spans="1:17" x14ac:dyDescent="0.25">
      <c r="A3561" t="s">
        <v>1099</v>
      </c>
      <c r="B3561" t="s">
        <v>1055</v>
      </c>
      <c r="C3561" t="s">
        <v>175</v>
      </c>
      <c r="D3561" t="s">
        <v>567</v>
      </c>
      <c r="E3561" t="s">
        <v>568</v>
      </c>
      <c r="F3561">
        <v>65</v>
      </c>
      <c r="G3561" t="s">
        <v>176</v>
      </c>
      <c r="H3561">
        <v>0</v>
      </c>
      <c r="I3561">
        <v>5000</v>
      </c>
      <c r="J3561" s="10">
        <v>0</v>
      </c>
      <c r="K3561" s="10">
        <f>SUMIFS(F:F,D:D,DST_123_ÜRETİM_İHTİYAÇ_RAPORU_BURAK_YENI1309[[#This Row],[ALT_KOD]])-(SUMIFS(H:H,D:D,DST_123_ÜRETİM_İHTİYAÇ_RAPORU_BURAK_YENI1309[[#This Row],[ALT_KOD]])+AVERAGEIFS(I:I,D:D,DST_123_ÜRETİM_İHTİYAÇ_RAPORU_BURAK_YENI1309[[#This Row],[ALT_KOD]])+AVERAGEIFS(L:L,D:D,DST_123_ÜRETİM_İHTİYAÇ_RAPORU_BURAK_YENI1309[[#This Row],[ALT_KOD]]))</f>
        <v>-3820</v>
      </c>
      <c r="L3561">
        <v>0</v>
      </c>
      <c r="M3561">
        <f>IF((DST_123_ÜRETİM_İHTİYAÇ_RAPORU_BURAK_YENI1309[[#This Row],[SATINALMA]]*DST_123_ÜRETİM_İHTİYAÇ_RAPORU_BURAK_YENI1309[[#This Row],[BIRIM_FIYATLAR]])&lt;1,VALUE("0"),DST_123_ÜRETİM_İHTİYAÇ_RAPORU_BURAK_YENI1309[[#This Row],[SATINALMA]]*DST_123_ÜRETİM_İHTİYAÇ_RAPORU_BURAK_YENI1309[[#This Row],[BIRIM_FIYATLAR]])</f>
        <v>0</v>
      </c>
      <c r="N3561">
        <v>0.6</v>
      </c>
      <c r="O3561" t="s">
        <v>240</v>
      </c>
      <c r="P3561">
        <v>39</v>
      </c>
      <c r="Q3561" t="s">
        <v>180</v>
      </c>
    </row>
    <row r="3562" spans="1:17" x14ac:dyDescent="0.25">
      <c r="A3562" t="s">
        <v>1143</v>
      </c>
      <c r="B3562" t="s">
        <v>1056</v>
      </c>
      <c r="C3562" t="s">
        <v>175</v>
      </c>
      <c r="D3562" t="s">
        <v>143</v>
      </c>
      <c r="E3562" t="s">
        <v>144</v>
      </c>
      <c r="F3562">
        <v>2</v>
      </c>
      <c r="G3562" t="s">
        <v>176</v>
      </c>
      <c r="H3562">
        <v>0</v>
      </c>
      <c r="I3562">
        <v>0</v>
      </c>
      <c r="J3562" s="10">
        <v>64</v>
      </c>
      <c r="K3562" s="10">
        <f>SUMIFS(F:F,D:D,DST_123_ÜRETİM_İHTİYAÇ_RAPORU_BURAK_YENI1309[[#This Row],[ALT_KOD]])-(SUMIFS(H:H,D:D,DST_123_ÜRETİM_İHTİYAÇ_RAPORU_BURAK_YENI1309[[#This Row],[ALT_KOD]])+AVERAGEIFS(I:I,D:D,DST_123_ÜRETİM_İHTİYAÇ_RAPORU_BURAK_YENI1309[[#This Row],[ALT_KOD]])+AVERAGEIFS(L:L,D:D,DST_123_ÜRETİM_İHTİYAÇ_RAPORU_BURAK_YENI1309[[#This Row],[ALT_KOD]]))</f>
        <v>40</v>
      </c>
      <c r="L3562">
        <v>0</v>
      </c>
      <c r="M3562">
        <f>IF((DST_123_ÜRETİM_İHTİYAÇ_RAPORU_BURAK_YENI1309[[#This Row],[SATINALMA]]*DST_123_ÜRETİM_İHTİYAÇ_RAPORU_BURAK_YENI1309[[#This Row],[BIRIM_FIYATLAR]])&lt;1,VALUE("0"),DST_123_ÜRETİM_İHTİYAÇ_RAPORU_BURAK_YENI1309[[#This Row],[SATINALMA]]*DST_123_ÜRETİM_İHTİYAÇ_RAPORU_BURAK_YENI1309[[#This Row],[BIRIM_FIYATLAR]])</f>
        <v>274.8</v>
      </c>
      <c r="N3562">
        <v>6.87</v>
      </c>
      <c r="O3562" t="s">
        <v>826</v>
      </c>
      <c r="P3562">
        <v>13.74</v>
      </c>
      <c r="Q3562" t="s">
        <v>221</v>
      </c>
    </row>
    <row r="3563" spans="1:17" x14ac:dyDescent="0.25">
      <c r="A3563" t="s">
        <v>1057</v>
      </c>
      <c r="B3563" t="s">
        <v>1058</v>
      </c>
      <c r="C3563" t="s">
        <v>175</v>
      </c>
      <c r="D3563" t="s">
        <v>143</v>
      </c>
      <c r="E3563" t="s">
        <v>144</v>
      </c>
      <c r="F3563">
        <v>4</v>
      </c>
      <c r="G3563" t="s">
        <v>176</v>
      </c>
      <c r="H3563">
        <v>0</v>
      </c>
      <c r="I3563">
        <v>0</v>
      </c>
      <c r="J3563" s="10">
        <v>64</v>
      </c>
      <c r="K3563" s="10">
        <f>SUMIFS(F:F,D:D,DST_123_ÜRETİM_İHTİYAÇ_RAPORU_BURAK_YENI1309[[#This Row],[ALT_KOD]])-(SUMIFS(H:H,D:D,DST_123_ÜRETİM_İHTİYAÇ_RAPORU_BURAK_YENI1309[[#This Row],[ALT_KOD]])+AVERAGEIFS(I:I,D:D,DST_123_ÜRETİM_İHTİYAÇ_RAPORU_BURAK_YENI1309[[#This Row],[ALT_KOD]])+AVERAGEIFS(L:L,D:D,DST_123_ÜRETİM_İHTİYAÇ_RAPORU_BURAK_YENI1309[[#This Row],[ALT_KOD]]))</f>
        <v>40</v>
      </c>
      <c r="L3563">
        <v>0</v>
      </c>
      <c r="M3563">
        <f>IF((DST_123_ÜRETİM_İHTİYAÇ_RAPORU_BURAK_YENI1309[[#This Row],[SATINALMA]]*DST_123_ÜRETİM_İHTİYAÇ_RAPORU_BURAK_YENI1309[[#This Row],[BIRIM_FIYATLAR]])&lt;1,VALUE("0"),DST_123_ÜRETİM_İHTİYAÇ_RAPORU_BURAK_YENI1309[[#This Row],[SATINALMA]]*DST_123_ÜRETİM_İHTİYAÇ_RAPORU_BURAK_YENI1309[[#This Row],[BIRIM_FIYATLAR]])</f>
        <v>274.8</v>
      </c>
      <c r="N3563">
        <v>6.87</v>
      </c>
      <c r="O3563" t="s">
        <v>826</v>
      </c>
      <c r="P3563">
        <v>27.48</v>
      </c>
      <c r="Q3563" t="s">
        <v>221</v>
      </c>
    </row>
    <row r="3564" spans="1:17" x14ac:dyDescent="0.25">
      <c r="A3564" t="s">
        <v>1101</v>
      </c>
      <c r="B3564" t="s">
        <v>1102</v>
      </c>
      <c r="C3564" t="s">
        <v>175</v>
      </c>
      <c r="D3564" t="s">
        <v>143</v>
      </c>
      <c r="E3564" t="s">
        <v>144</v>
      </c>
      <c r="F3564">
        <v>4</v>
      </c>
      <c r="G3564" t="s">
        <v>176</v>
      </c>
      <c r="H3564">
        <v>0</v>
      </c>
      <c r="I3564">
        <v>0</v>
      </c>
      <c r="J3564" s="10">
        <v>64</v>
      </c>
      <c r="K3564" s="10">
        <f>SUMIFS(F:F,D:D,DST_123_ÜRETİM_İHTİYAÇ_RAPORU_BURAK_YENI1309[[#This Row],[ALT_KOD]])-(SUMIFS(H:H,D:D,DST_123_ÜRETİM_İHTİYAÇ_RAPORU_BURAK_YENI1309[[#This Row],[ALT_KOD]])+AVERAGEIFS(I:I,D:D,DST_123_ÜRETİM_İHTİYAÇ_RAPORU_BURAK_YENI1309[[#This Row],[ALT_KOD]])+AVERAGEIFS(L:L,D:D,DST_123_ÜRETİM_İHTİYAÇ_RAPORU_BURAK_YENI1309[[#This Row],[ALT_KOD]]))</f>
        <v>40</v>
      </c>
      <c r="L3564">
        <v>0</v>
      </c>
      <c r="M3564">
        <f>IF((DST_123_ÜRETİM_İHTİYAÇ_RAPORU_BURAK_YENI1309[[#This Row],[SATINALMA]]*DST_123_ÜRETİM_İHTİYAÇ_RAPORU_BURAK_YENI1309[[#This Row],[BIRIM_FIYATLAR]])&lt;1,VALUE("0"),DST_123_ÜRETİM_İHTİYAÇ_RAPORU_BURAK_YENI1309[[#This Row],[SATINALMA]]*DST_123_ÜRETİM_İHTİYAÇ_RAPORU_BURAK_YENI1309[[#This Row],[BIRIM_FIYATLAR]])</f>
        <v>274.8</v>
      </c>
      <c r="N3564">
        <v>6.87</v>
      </c>
      <c r="O3564" t="s">
        <v>826</v>
      </c>
      <c r="P3564">
        <v>27.48</v>
      </c>
      <c r="Q3564" t="s">
        <v>221</v>
      </c>
    </row>
    <row r="3565" spans="1:17" x14ac:dyDescent="0.25">
      <c r="A3565" t="s">
        <v>1057</v>
      </c>
      <c r="B3565" t="s">
        <v>1058</v>
      </c>
      <c r="C3565" t="s">
        <v>175</v>
      </c>
      <c r="D3565" t="s">
        <v>567</v>
      </c>
      <c r="E3565" t="s">
        <v>568</v>
      </c>
      <c r="F3565">
        <v>60</v>
      </c>
      <c r="G3565" t="s">
        <v>176</v>
      </c>
      <c r="H3565">
        <v>0</v>
      </c>
      <c r="I3565">
        <v>5000</v>
      </c>
      <c r="J3565" s="10">
        <v>0</v>
      </c>
      <c r="K3565" s="10">
        <f>SUMIFS(F:F,D:D,DST_123_ÜRETİM_İHTİYAÇ_RAPORU_BURAK_YENI1309[[#This Row],[ALT_KOD]])-(SUMIFS(H:H,D:D,DST_123_ÜRETİM_İHTİYAÇ_RAPORU_BURAK_YENI1309[[#This Row],[ALT_KOD]])+AVERAGEIFS(I:I,D:D,DST_123_ÜRETİM_İHTİYAÇ_RAPORU_BURAK_YENI1309[[#This Row],[ALT_KOD]])+AVERAGEIFS(L:L,D:D,DST_123_ÜRETİM_İHTİYAÇ_RAPORU_BURAK_YENI1309[[#This Row],[ALT_KOD]]))</f>
        <v>-3820</v>
      </c>
      <c r="L3565">
        <v>0</v>
      </c>
      <c r="M3565">
        <f>IF((DST_123_ÜRETİM_İHTİYAÇ_RAPORU_BURAK_YENI1309[[#This Row],[SATINALMA]]*DST_123_ÜRETİM_İHTİYAÇ_RAPORU_BURAK_YENI1309[[#This Row],[BIRIM_FIYATLAR]])&lt;1,VALUE("0"),DST_123_ÜRETİM_İHTİYAÇ_RAPORU_BURAK_YENI1309[[#This Row],[SATINALMA]]*DST_123_ÜRETİM_İHTİYAÇ_RAPORU_BURAK_YENI1309[[#This Row],[BIRIM_FIYATLAR]])</f>
        <v>0</v>
      </c>
      <c r="N3565">
        <v>0.6</v>
      </c>
      <c r="O3565" t="s">
        <v>240</v>
      </c>
      <c r="P3565">
        <v>36</v>
      </c>
      <c r="Q3565" t="s">
        <v>180</v>
      </c>
    </row>
    <row r="3566" spans="1:17" x14ac:dyDescent="0.25">
      <c r="A3566" t="s">
        <v>1101</v>
      </c>
      <c r="B3566" t="s">
        <v>1102</v>
      </c>
      <c r="C3566" t="s">
        <v>175</v>
      </c>
      <c r="D3566" t="s">
        <v>567</v>
      </c>
      <c r="E3566" t="s">
        <v>568</v>
      </c>
      <c r="F3566">
        <v>65</v>
      </c>
      <c r="G3566" t="s">
        <v>176</v>
      </c>
      <c r="H3566">
        <v>0</v>
      </c>
      <c r="I3566">
        <v>5000</v>
      </c>
      <c r="J3566" s="10">
        <v>0</v>
      </c>
      <c r="K3566" s="10">
        <f>SUMIFS(F:F,D:D,DST_123_ÜRETİM_İHTİYAÇ_RAPORU_BURAK_YENI1309[[#This Row],[ALT_KOD]])-(SUMIFS(H:H,D:D,DST_123_ÜRETİM_İHTİYAÇ_RAPORU_BURAK_YENI1309[[#This Row],[ALT_KOD]])+AVERAGEIFS(I:I,D:D,DST_123_ÜRETİM_İHTİYAÇ_RAPORU_BURAK_YENI1309[[#This Row],[ALT_KOD]])+AVERAGEIFS(L:L,D:D,DST_123_ÜRETİM_İHTİYAÇ_RAPORU_BURAK_YENI1309[[#This Row],[ALT_KOD]]))</f>
        <v>-3820</v>
      </c>
      <c r="L3566">
        <v>0</v>
      </c>
      <c r="M3566">
        <f>IF((DST_123_ÜRETİM_İHTİYAÇ_RAPORU_BURAK_YENI1309[[#This Row],[SATINALMA]]*DST_123_ÜRETİM_İHTİYAÇ_RAPORU_BURAK_YENI1309[[#This Row],[BIRIM_FIYATLAR]])&lt;1,VALUE("0"),DST_123_ÜRETİM_İHTİYAÇ_RAPORU_BURAK_YENI1309[[#This Row],[SATINALMA]]*DST_123_ÜRETİM_İHTİYAÇ_RAPORU_BURAK_YENI1309[[#This Row],[BIRIM_FIYATLAR]])</f>
        <v>0</v>
      </c>
      <c r="N3566">
        <v>0.6</v>
      </c>
      <c r="O3566" t="s">
        <v>240</v>
      </c>
      <c r="P3566">
        <v>39</v>
      </c>
      <c r="Q3566" t="s">
        <v>180</v>
      </c>
    </row>
    <row r="3567" spans="1:17" x14ac:dyDescent="0.25">
      <c r="A3567" t="s">
        <v>1060</v>
      </c>
      <c r="B3567" t="s">
        <v>1061</v>
      </c>
      <c r="C3567" t="s">
        <v>175</v>
      </c>
      <c r="D3567" t="s">
        <v>478</v>
      </c>
      <c r="E3567" t="s">
        <v>479</v>
      </c>
      <c r="F3567">
        <v>40</v>
      </c>
      <c r="G3567" t="s">
        <v>176</v>
      </c>
      <c r="H3567">
        <v>0</v>
      </c>
      <c r="I3567">
        <v>0</v>
      </c>
      <c r="J3567" s="10">
        <v>1330</v>
      </c>
      <c r="K3567" s="10">
        <f>SUMIFS(F:F,D:D,DST_123_ÜRETİM_İHTİYAÇ_RAPORU_BURAK_YENI1309[[#This Row],[ALT_KOD]])-(SUMIFS(H:H,D:D,DST_123_ÜRETİM_İHTİYAÇ_RAPORU_BURAK_YENI1309[[#This Row],[ALT_KOD]])+AVERAGEIFS(I:I,D:D,DST_123_ÜRETİM_İHTİYAÇ_RAPORU_BURAK_YENI1309[[#This Row],[ALT_KOD]])+AVERAGEIFS(L:L,D:D,DST_123_ÜRETİM_İHTİYAÇ_RAPORU_BURAK_YENI1309[[#This Row],[ALT_KOD]]))</f>
        <v>860</v>
      </c>
      <c r="L3567">
        <v>0</v>
      </c>
      <c r="M3567">
        <f>IF((DST_123_ÜRETİM_İHTİYAÇ_RAPORU_BURAK_YENI1309[[#This Row],[SATINALMA]]*DST_123_ÜRETİM_İHTİYAÇ_RAPORU_BURAK_YENI1309[[#This Row],[BIRIM_FIYATLAR]])&lt;1,VALUE("0"),DST_123_ÜRETİM_İHTİYAÇ_RAPORU_BURAK_YENI1309[[#This Row],[SATINALMA]]*DST_123_ÜRETİM_İHTİYAÇ_RAPORU_BURAK_YENI1309[[#This Row],[BIRIM_FIYATLAR]])</f>
        <v>344</v>
      </c>
      <c r="N3567">
        <v>0.4</v>
      </c>
      <c r="O3567" t="s">
        <v>882</v>
      </c>
      <c r="P3567">
        <v>16</v>
      </c>
      <c r="Q3567" t="s">
        <v>180</v>
      </c>
    </row>
    <row r="3568" spans="1:17" x14ac:dyDescent="0.25">
      <c r="A3568" t="s">
        <v>1057</v>
      </c>
      <c r="B3568" t="s">
        <v>1058</v>
      </c>
      <c r="C3568" t="s">
        <v>175</v>
      </c>
      <c r="D3568" t="s">
        <v>478</v>
      </c>
      <c r="E3568" t="s">
        <v>479</v>
      </c>
      <c r="F3568">
        <v>50</v>
      </c>
      <c r="G3568" t="s">
        <v>176</v>
      </c>
      <c r="H3568">
        <v>0</v>
      </c>
      <c r="I3568">
        <v>0</v>
      </c>
      <c r="J3568" s="10">
        <v>1330</v>
      </c>
      <c r="K3568" s="10">
        <f>SUMIFS(F:F,D:D,DST_123_ÜRETİM_İHTİYAÇ_RAPORU_BURAK_YENI1309[[#This Row],[ALT_KOD]])-(SUMIFS(H:H,D:D,DST_123_ÜRETİM_İHTİYAÇ_RAPORU_BURAK_YENI1309[[#This Row],[ALT_KOD]])+AVERAGEIFS(I:I,D:D,DST_123_ÜRETİM_İHTİYAÇ_RAPORU_BURAK_YENI1309[[#This Row],[ALT_KOD]])+AVERAGEIFS(L:L,D:D,DST_123_ÜRETİM_İHTİYAÇ_RAPORU_BURAK_YENI1309[[#This Row],[ALT_KOD]]))</f>
        <v>860</v>
      </c>
      <c r="L3568">
        <v>0</v>
      </c>
      <c r="M3568">
        <f>IF((DST_123_ÜRETİM_İHTİYAÇ_RAPORU_BURAK_YENI1309[[#This Row],[SATINALMA]]*DST_123_ÜRETİM_İHTİYAÇ_RAPORU_BURAK_YENI1309[[#This Row],[BIRIM_FIYATLAR]])&lt;1,VALUE("0"),DST_123_ÜRETİM_İHTİYAÇ_RAPORU_BURAK_YENI1309[[#This Row],[SATINALMA]]*DST_123_ÜRETİM_İHTİYAÇ_RAPORU_BURAK_YENI1309[[#This Row],[BIRIM_FIYATLAR]])</f>
        <v>344</v>
      </c>
      <c r="N3568">
        <v>0.4</v>
      </c>
      <c r="O3568" t="s">
        <v>882</v>
      </c>
      <c r="P3568">
        <v>20</v>
      </c>
      <c r="Q3568" t="s">
        <v>180</v>
      </c>
    </row>
    <row r="3569" spans="1:17" x14ac:dyDescent="0.25">
      <c r="A3569" t="s">
        <v>1148</v>
      </c>
      <c r="B3569" t="s">
        <v>1056</v>
      </c>
      <c r="C3569" t="s">
        <v>175</v>
      </c>
      <c r="D3569" t="s">
        <v>478</v>
      </c>
      <c r="E3569" t="s">
        <v>479</v>
      </c>
      <c r="F3569">
        <v>50</v>
      </c>
      <c r="G3569" t="s">
        <v>176</v>
      </c>
      <c r="H3569">
        <v>0</v>
      </c>
      <c r="I3569">
        <v>0</v>
      </c>
      <c r="J3569" s="10">
        <v>1330</v>
      </c>
      <c r="K3569" s="10">
        <f>SUMIFS(F:F,D:D,DST_123_ÜRETİM_İHTİYAÇ_RAPORU_BURAK_YENI1309[[#This Row],[ALT_KOD]])-(SUMIFS(H:H,D:D,DST_123_ÜRETİM_İHTİYAÇ_RAPORU_BURAK_YENI1309[[#This Row],[ALT_KOD]])+AVERAGEIFS(I:I,D:D,DST_123_ÜRETİM_İHTİYAÇ_RAPORU_BURAK_YENI1309[[#This Row],[ALT_KOD]])+AVERAGEIFS(L:L,D:D,DST_123_ÜRETİM_İHTİYAÇ_RAPORU_BURAK_YENI1309[[#This Row],[ALT_KOD]]))</f>
        <v>860</v>
      </c>
      <c r="L3569">
        <v>0</v>
      </c>
      <c r="M3569">
        <f>IF((DST_123_ÜRETİM_İHTİYAÇ_RAPORU_BURAK_YENI1309[[#This Row],[SATINALMA]]*DST_123_ÜRETİM_İHTİYAÇ_RAPORU_BURAK_YENI1309[[#This Row],[BIRIM_FIYATLAR]])&lt;1,VALUE("0"),DST_123_ÜRETİM_İHTİYAÇ_RAPORU_BURAK_YENI1309[[#This Row],[SATINALMA]]*DST_123_ÜRETİM_İHTİYAÇ_RAPORU_BURAK_YENI1309[[#This Row],[BIRIM_FIYATLAR]])</f>
        <v>344</v>
      </c>
      <c r="N3569">
        <v>0.4</v>
      </c>
      <c r="O3569" t="s">
        <v>882</v>
      </c>
      <c r="P3569">
        <v>20</v>
      </c>
      <c r="Q3569" t="s">
        <v>180</v>
      </c>
    </row>
    <row r="3570" spans="1:17" x14ac:dyDescent="0.25">
      <c r="A3570" t="s">
        <v>1100</v>
      </c>
      <c r="B3570" t="s">
        <v>1058</v>
      </c>
      <c r="C3570" t="s">
        <v>175</v>
      </c>
      <c r="D3570" t="s">
        <v>478</v>
      </c>
      <c r="E3570" t="s">
        <v>479</v>
      </c>
      <c r="F3570">
        <v>50</v>
      </c>
      <c r="G3570" t="s">
        <v>176</v>
      </c>
      <c r="H3570">
        <v>0</v>
      </c>
      <c r="I3570">
        <v>0</v>
      </c>
      <c r="J3570" s="10">
        <v>1330</v>
      </c>
      <c r="K3570" s="10">
        <f>SUMIFS(F:F,D:D,DST_123_ÜRETİM_İHTİYAÇ_RAPORU_BURAK_YENI1309[[#This Row],[ALT_KOD]])-(SUMIFS(H:H,D:D,DST_123_ÜRETİM_İHTİYAÇ_RAPORU_BURAK_YENI1309[[#This Row],[ALT_KOD]])+AVERAGEIFS(I:I,D:D,DST_123_ÜRETİM_İHTİYAÇ_RAPORU_BURAK_YENI1309[[#This Row],[ALT_KOD]])+AVERAGEIFS(L:L,D:D,DST_123_ÜRETİM_İHTİYAÇ_RAPORU_BURAK_YENI1309[[#This Row],[ALT_KOD]]))</f>
        <v>860</v>
      </c>
      <c r="L3570">
        <v>0</v>
      </c>
      <c r="M3570">
        <f>IF((DST_123_ÜRETİM_İHTİYAÇ_RAPORU_BURAK_YENI1309[[#This Row],[SATINALMA]]*DST_123_ÜRETİM_İHTİYAÇ_RAPORU_BURAK_YENI1309[[#This Row],[BIRIM_FIYATLAR]])&lt;1,VALUE("0"),DST_123_ÜRETİM_İHTİYAÇ_RAPORU_BURAK_YENI1309[[#This Row],[SATINALMA]]*DST_123_ÜRETİM_İHTİYAÇ_RAPORU_BURAK_YENI1309[[#This Row],[BIRIM_FIYATLAR]])</f>
        <v>344</v>
      </c>
      <c r="N3570">
        <v>0.4</v>
      </c>
      <c r="O3570" t="s">
        <v>882</v>
      </c>
      <c r="P3570">
        <v>20</v>
      </c>
      <c r="Q3570" t="s">
        <v>180</v>
      </c>
    </row>
    <row r="3571" spans="1:17" x14ac:dyDescent="0.25">
      <c r="A3571" t="s">
        <v>1100</v>
      </c>
      <c r="B3571" t="s">
        <v>1058</v>
      </c>
      <c r="C3571" t="s">
        <v>175</v>
      </c>
      <c r="D3571" t="s">
        <v>451</v>
      </c>
      <c r="E3571" t="s">
        <v>452</v>
      </c>
      <c r="F3571">
        <v>1</v>
      </c>
      <c r="G3571" t="s">
        <v>176</v>
      </c>
      <c r="H3571">
        <v>1</v>
      </c>
      <c r="I3571">
        <v>4</v>
      </c>
      <c r="J3571" s="10">
        <v>9</v>
      </c>
      <c r="K3571" s="10">
        <f>SUMIFS(F:F,D:D,DST_123_ÜRETİM_İHTİYAÇ_RAPORU_BURAK_YENI1309[[#This Row],[ALT_KOD]])-(SUMIFS(H:H,D:D,DST_123_ÜRETİM_İHTİYAÇ_RAPORU_BURAK_YENI1309[[#This Row],[ALT_KOD]])+AVERAGEIFS(I:I,D:D,DST_123_ÜRETİM_İHTİYAÇ_RAPORU_BURAK_YENI1309[[#This Row],[ALT_KOD]])+AVERAGEIFS(L:L,D:D,DST_123_ÜRETİM_İHTİYAÇ_RAPORU_BURAK_YENI1309[[#This Row],[ALT_KOD]]))</f>
        <v>1</v>
      </c>
      <c r="L3571">
        <v>6</v>
      </c>
      <c r="M3571">
        <f>IF((DST_123_ÜRETİM_İHTİYAÇ_RAPORU_BURAK_YENI1309[[#This Row],[SATINALMA]]*DST_123_ÜRETİM_İHTİYAÇ_RAPORU_BURAK_YENI1309[[#This Row],[BIRIM_FIYATLAR]])&lt;1,VALUE("0"),DST_123_ÜRETİM_İHTİYAÇ_RAPORU_BURAK_YENI1309[[#This Row],[SATINALMA]]*DST_123_ÜRETİM_İHTİYAÇ_RAPORU_BURAK_YENI1309[[#This Row],[BIRIM_FIYATLAR]])</f>
        <v>1600</v>
      </c>
      <c r="N3571">
        <v>1600</v>
      </c>
      <c r="O3571" t="s">
        <v>240</v>
      </c>
      <c r="P3571">
        <v>1600</v>
      </c>
      <c r="Q3571" t="s">
        <v>178</v>
      </c>
    </row>
    <row r="3572" spans="1:17" x14ac:dyDescent="0.25">
      <c r="A3572" t="s">
        <v>1147</v>
      </c>
      <c r="B3572" t="s">
        <v>1145</v>
      </c>
      <c r="C3572" t="s">
        <v>175</v>
      </c>
      <c r="D3572" t="s">
        <v>451</v>
      </c>
      <c r="E3572" t="s">
        <v>452</v>
      </c>
      <c r="F3572">
        <v>1</v>
      </c>
      <c r="G3572" t="s">
        <v>176</v>
      </c>
      <c r="H3572">
        <v>0</v>
      </c>
      <c r="I3572">
        <v>4</v>
      </c>
      <c r="J3572" s="10">
        <v>9</v>
      </c>
      <c r="K3572" s="10">
        <f>SUMIFS(F:F,D:D,DST_123_ÜRETİM_İHTİYAÇ_RAPORU_BURAK_YENI1309[[#This Row],[ALT_KOD]])-(SUMIFS(H:H,D:D,DST_123_ÜRETİM_İHTİYAÇ_RAPORU_BURAK_YENI1309[[#This Row],[ALT_KOD]])+AVERAGEIFS(I:I,D:D,DST_123_ÜRETİM_İHTİYAÇ_RAPORU_BURAK_YENI1309[[#This Row],[ALT_KOD]])+AVERAGEIFS(L:L,D:D,DST_123_ÜRETİM_İHTİYAÇ_RAPORU_BURAK_YENI1309[[#This Row],[ALT_KOD]]))</f>
        <v>1</v>
      </c>
      <c r="L3572">
        <v>6</v>
      </c>
      <c r="M3572">
        <f>IF((DST_123_ÜRETİM_İHTİYAÇ_RAPORU_BURAK_YENI1309[[#This Row],[SATINALMA]]*DST_123_ÜRETİM_İHTİYAÇ_RAPORU_BURAK_YENI1309[[#This Row],[BIRIM_FIYATLAR]])&lt;1,VALUE("0"),DST_123_ÜRETİM_İHTİYAÇ_RAPORU_BURAK_YENI1309[[#This Row],[SATINALMA]]*DST_123_ÜRETİM_İHTİYAÇ_RAPORU_BURAK_YENI1309[[#This Row],[BIRIM_FIYATLAR]])</f>
        <v>1600</v>
      </c>
      <c r="N3572">
        <v>1600</v>
      </c>
      <c r="O3572" t="s">
        <v>240</v>
      </c>
      <c r="P3572">
        <v>1600</v>
      </c>
      <c r="Q3572" t="s">
        <v>178</v>
      </c>
    </row>
    <row r="3573" spans="1:17" x14ac:dyDescent="0.25">
      <c r="A3573" t="s">
        <v>1144</v>
      </c>
      <c r="B3573" t="s">
        <v>1145</v>
      </c>
      <c r="C3573" t="s">
        <v>175</v>
      </c>
      <c r="D3573" t="s">
        <v>469</v>
      </c>
      <c r="E3573" t="s">
        <v>470</v>
      </c>
      <c r="F3573">
        <v>1</v>
      </c>
      <c r="G3573" t="s">
        <v>176</v>
      </c>
      <c r="H3573">
        <v>0</v>
      </c>
      <c r="I3573">
        <v>39</v>
      </c>
      <c r="J3573" s="10">
        <v>2</v>
      </c>
      <c r="K3573" s="10">
        <f>SUMIFS(F:F,D:D,DST_123_ÜRETİM_İHTİYAÇ_RAPORU_BURAK_YENI1309[[#This Row],[ALT_KOD]])-(SUMIFS(H:H,D:D,DST_123_ÜRETİM_İHTİYAÇ_RAPORU_BURAK_YENI1309[[#This Row],[ALT_KOD]])+AVERAGEIFS(I:I,D:D,DST_123_ÜRETİM_İHTİYAÇ_RAPORU_BURAK_YENI1309[[#This Row],[ALT_KOD]])+AVERAGEIFS(L:L,D:D,DST_123_ÜRETİM_İHTİYAÇ_RAPORU_BURAK_YENI1309[[#This Row],[ALT_KOD]]))</f>
        <v>-19</v>
      </c>
      <c r="L3573">
        <v>0</v>
      </c>
      <c r="M3573">
        <f>IF((DST_123_ÜRETİM_İHTİYAÇ_RAPORU_BURAK_YENI1309[[#This Row],[SATINALMA]]*DST_123_ÜRETİM_İHTİYAÇ_RAPORU_BURAK_YENI1309[[#This Row],[BIRIM_FIYATLAR]])&lt;1,VALUE("0"),DST_123_ÜRETİM_İHTİYAÇ_RAPORU_BURAK_YENI1309[[#This Row],[SATINALMA]]*DST_123_ÜRETİM_İHTİYAÇ_RAPORU_BURAK_YENI1309[[#This Row],[BIRIM_FIYATLAR]])</f>
        <v>0</v>
      </c>
      <c r="N3573">
        <v>65</v>
      </c>
      <c r="O3573" t="s">
        <v>821</v>
      </c>
      <c r="P3573">
        <v>65</v>
      </c>
      <c r="Q3573" t="s">
        <v>178</v>
      </c>
    </row>
    <row r="3574" spans="1:17" x14ac:dyDescent="0.25">
      <c r="A3574" t="s">
        <v>1147</v>
      </c>
      <c r="B3574" t="s">
        <v>1145</v>
      </c>
      <c r="C3574" t="s">
        <v>175</v>
      </c>
      <c r="D3574" t="s">
        <v>336</v>
      </c>
      <c r="E3574" t="s">
        <v>623</v>
      </c>
      <c r="F3574">
        <v>1</v>
      </c>
      <c r="G3574" t="s">
        <v>176</v>
      </c>
      <c r="H3574">
        <v>0</v>
      </c>
      <c r="I3574">
        <v>5</v>
      </c>
      <c r="J3574" s="10">
        <v>4</v>
      </c>
      <c r="K3574" s="10">
        <f>SUMIFS(F:F,D:D,DST_123_ÜRETİM_İHTİYAÇ_RAPORU_BURAK_YENI1309[[#This Row],[ALT_KOD]])-(SUMIFS(H:H,D:D,DST_123_ÜRETİM_İHTİYAÇ_RAPORU_BURAK_YENI1309[[#This Row],[ALT_KOD]])+AVERAGEIFS(I:I,D:D,DST_123_ÜRETİM_İHTİYAÇ_RAPORU_BURAK_YENI1309[[#This Row],[ALT_KOD]])+AVERAGEIFS(L:L,D:D,DST_123_ÜRETİM_İHTİYAÇ_RAPORU_BURAK_YENI1309[[#This Row],[ALT_KOD]]))</f>
        <v>2</v>
      </c>
      <c r="L3574">
        <v>0</v>
      </c>
      <c r="M3574">
        <f>IF((DST_123_ÜRETİM_İHTİYAÇ_RAPORU_BURAK_YENI1309[[#This Row],[SATINALMA]]*DST_123_ÜRETİM_İHTİYAÇ_RAPORU_BURAK_YENI1309[[#This Row],[BIRIM_FIYATLAR]])&lt;1,VALUE("0"),DST_123_ÜRETİM_İHTİYAÇ_RAPORU_BURAK_YENI1309[[#This Row],[SATINALMA]]*DST_123_ÜRETİM_İHTİYAÇ_RAPORU_BURAK_YENI1309[[#This Row],[BIRIM_FIYATLAR]])</f>
        <v>3359.06</v>
      </c>
      <c r="N3574">
        <v>1679.53</v>
      </c>
      <c r="O3574" t="s">
        <v>636</v>
      </c>
      <c r="P3574">
        <v>1679.53</v>
      </c>
      <c r="Q3574" t="s">
        <v>178</v>
      </c>
    </row>
    <row r="3575" spans="1:17" x14ac:dyDescent="0.25">
      <c r="A3575" t="s">
        <v>1147</v>
      </c>
      <c r="B3575" t="s">
        <v>1145</v>
      </c>
      <c r="C3575" t="s">
        <v>175</v>
      </c>
      <c r="D3575" t="s">
        <v>590</v>
      </c>
      <c r="E3575" t="s">
        <v>591</v>
      </c>
      <c r="F3575">
        <v>1</v>
      </c>
      <c r="G3575" t="s">
        <v>176</v>
      </c>
      <c r="H3575">
        <v>0</v>
      </c>
      <c r="I3575">
        <v>4</v>
      </c>
      <c r="J3575" s="10">
        <v>10</v>
      </c>
      <c r="K3575" s="10">
        <f>SUMIFS(F:F,D:D,DST_123_ÜRETİM_İHTİYAÇ_RAPORU_BURAK_YENI1309[[#This Row],[ALT_KOD]])-(SUMIFS(H:H,D:D,DST_123_ÜRETİM_İHTİYAÇ_RAPORU_BURAK_YENI1309[[#This Row],[ALT_KOD]])+AVERAGEIFS(I:I,D:D,DST_123_ÜRETİM_İHTİYAÇ_RAPORU_BURAK_YENI1309[[#This Row],[ALT_KOD]])+AVERAGEIFS(L:L,D:D,DST_123_ÜRETİM_İHTİYAÇ_RAPORU_BURAK_YENI1309[[#This Row],[ALT_KOD]]))</f>
        <v>-3</v>
      </c>
      <c r="L3575">
        <v>10</v>
      </c>
      <c r="M3575">
        <f>IF((DST_123_ÜRETİM_İHTİYAÇ_RAPORU_BURAK_YENI1309[[#This Row],[SATINALMA]]*DST_123_ÜRETİM_İHTİYAÇ_RAPORU_BURAK_YENI1309[[#This Row],[BIRIM_FIYATLAR]])&lt;1,VALUE("0"),DST_123_ÜRETİM_İHTİYAÇ_RAPORU_BURAK_YENI1309[[#This Row],[SATINALMA]]*DST_123_ÜRETİM_İHTİYAÇ_RAPORU_BURAK_YENI1309[[#This Row],[BIRIM_FIYATLAR]])</f>
        <v>0</v>
      </c>
      <c r="N3575">
        <v>583.77</v>
      </c>
      <c r="O3575" t="s">
        <v>592</v>
      </c>
      <c r="P3575">
        <v>583.77</v>
      </c>
      <c r="Q3575" t="s">
        <v>180</v>
      </c>
    </row>
    <row r="3576" spans="1:17" x14ac:dyDescent="0.25">
      <c r="A3576" t="s">
        <v>1060</v>
      </c>
      <c r="B3576" t="s">
        <v>1061</v>
      </c>
      <c r="C3576" t="s">
        <v>175</v>
      </c>
      <c r="D3576" t="s">
        <v>655</v>
      </c>
      <c r="E3576" t="s">
        <v>656</v>
      </c>
      <c r="F3576">
        <v>2</v>
      </c>
      <c r="G3576" t="s">
        <v>176</v>
      </c>
      <c r="H3576">
        <v>0</v>
      </c>
      <c r="I3576">
        <v>216</v>
      </c>
      <c r="J3576" s="10">
        <v>118</v>
      </c>
      <c r="K3576" s="10">
        <f>SUMIFS(F:F,D:D,DST_123_ÜRETİM_İHTİYAÇ_RAPORU_BURAK_YENI1309[[#This Row],[ALT_KOD]])-(SUMIFS(H:H,D:D,DST_123_ÜRETİM_İHTİYAÇ_RAPORU_BURAK_YENI1309[[#This Row],[ALT_KOD]])+AVERAGEIFS(I:I,D:D,DST_123_ÜRETİM_İHTİYAÇ_RAPORU_BURAK_YENI1309[[#This Row],[ALT_KOD]])+AVERAGEIFS(L:L,D:D,DST_123_ÜRETİM_İHTİYAÇ_RAPORU_BURAK_YENI1309[[#This Row],[ALT_KOD]]))</f>
        <v>-190</v>
      </c>
      <c r="L3576">
        <v>0</v>
      </c>
      <c r="M3576">
        <f>IF((DST_123_ÜRETİM_İHTİYAÇ_RAPORU_BURAK_YENI1309[[#This Row],[SATINALMA]]*DST_123_ÜRETİM_İHTİYAÇ_RAPORU_BURAK_YENI1309[[#This Row],[BIRIM_FIYATLAR]])&lt;1,VALUE("0"),DST_123_ÜRETİM_İHTİYAÇ_RAPORU_BURAK_YENI1309[[#This Row],[SATINALMA]]*DST_123_ÜRETİM_İHTİYAÇ_RAPORU_BURAK_YENI1309[[#This Row],[BIRIM_FIYATLAR]])</f>
        <v>0</v>
      </c>
      <c r="N3576">
        <v>3.95</v>
      </c>
      <c r="O3576" t="s">
        <v>220</v>
      </c>
      <c r="P3576">
        <v>7.9</v>
      </c>
      <c r="Q3576" t="s">
        <v>221</v>
      </c>
    </row>
    <row r="3577" spans="1:17" x14ac:dyDescent="0.25">
      <c r="A3577" t="s">
        <v>1057</v>
      </c>
      <c r="B3577" t="s">
        <v>1058</v>
      </c>
      <c r="C3577" t="s">
        <v>175</v>
      </c>
      <c r="D3577" t="s">
        <v>655</v>
      </c>
      <c r="E3577" t="s">
        <v>656</v>
      </c>
      <c r="F3577">
        <v>2</v>
      </c>
      <c r="G3577" t="s">
        <v>176</v>
      </c>
      <c r="H3577">
        <v>0</v>
      </c>
      <c r="I3577">
        <v>216</v>
      </c>
      <c r="J3577" s="10">
        <v>118</v>
      </c>
      <c r="K3577" s="10">
        <f>SUMIFS(F:F,D:D,DST_123_ÜRETİM_İHTİYAÇ_RAPORU_BURAK_YENI1309[[#This Row],[ALT_KOD]])-(SUMIFS(H:H,D:D,DST_123_ÜRETİM_İHTİYAÇ_RAPORU_BURAK_YENI1309[[#This Row],[ALT_KOD]])+AVERAGEIFS(I:I,D:D,DST_123_ÜRETİM_İHTİYAÇ_RAPORU_BURAK_YENI1309[[#This Row],[ALT_KOD]])+AVERAGEIFS(L:L,D:D,DST_123_ÜRETİM_İHTİYAÇ_RAPORU_BURAK_YENI1309[[#This Row],[ALT_KOD]]))</f>
        <v>-190</v>
      </c>
      <c r="L3577">
        <v>0</v>
      </c>
      <c r="M3577">
        <f>IF((DST_123_ÜRETİM_İHTİYAÇ_RAPORU_BURAK_YENI1309[[#This Row],[SATINALMA]]*DST_123_ÜRETİM_İHTİYAÇ_RAPORU_BURAK_YENI1309[[#This Row],[BIRIM_FIYATLAR]])&lt;1,VALUE("0"),DST_123_ÜRETİM_İHTİYAÇ_RAPORU_BURAK_YENI1309[[#This Row],[SATINALMA]]*DST_123_ÜRETİM_İHTİYAÇ_RAPORU_BURAK_YENI1309[[#This Row],[BIRIM_FIYATLAR]])</f>
        <v>0</v>
      </c>
      <c r="N3577">
        <v>3.95</v>
      </c>
      <c r="O3577" t="s">
        <v>220</v>
      </c>
      <c r="P3577">
        <v>7.9</v>
      </c>
      <c r="Q3577" t="s">
        <v>221</v>
      </c>
    </row>
    <row r="3578" spans="1:17" x14ac:dyDescent="0.25">
      <c r="A3578" t="s">
        <v>1100</v>
      </c>
      <c r="B3578" t="s">
        <v>1058</v>
      </c>
      <c r="C3578" t="s">
        <v>175</v>
      </c>
      <c r="D3578" t="s">
        <v>655</v>
      </c>
      <c r="E3578" t="s">
        <v>656</v>
      </c>
      <c r="F3578">
        <v>2</v>
      </c>
      <c r="G3578" t="s">
        <v>176</v>
      </c>
      <c r="H3578">
        <v>0</v>
      </c>
      <c r="I3578">
        <v>216</v>
      </c>
      <c r="J3578" s="10">
        <v>118</v>
      </c>
      <c r="K3578" s="10">
        <f>SUMIFS(F:F,D:D,DST_123_ÜRETİM_İHTİYAÇ_RAPORU_BURAK_YENI1309[[#This Row],[ALT_KOD]])-(SUMIFS(H:H,D:D,DST_123_ÜRETİM_İHTİYAÇ_RAPORU_BURAK_YENI1309[[#This Row],[ALT_KOD]])+AVERAGEIFS(I:I,D:D,DST_123_ÜRETİM_İHTİYAÇ_RAPORU_BURAK_YENI1309[[#This Row],[ALT_KOD]])+AVERAGEIFS(L:L,D:D,DST_123_ÜRETİM_İHTİYAÇ_RAPORU_BURAK_YENI1309[[#This Row],[ALT_KOD]]))</f>
        <v>-190</v>
      </c>
      <c r="L3578">
        <v>0</v>
      </c>
      <c r="M3578">
        <f>IF((DST_123_ÜRETİM_İHTİYAÇ_RAPORU_BURAK_YENI1309[[#This Row],[SATINALMA]]*DST_123_ÜRETİM_İHTİYAÇ_RAPORU_BURAK_YENI1309[[#This Row],[BIRIM_FIYATLAR]])&lt;1,VALUE("0"),DST_123_ÜRETİM_İHTİYAÇ_RAPORU_BURAK_YENI1309[[#This Row],[SATINALMA]]*DST_123_ÜRETİM_İHTİYAÇ_RAPORU_BURAK_YENI1309[[#This Row],[BIRIM_FIYATLAR]])</f>
        <v>0</v>
      </c>
      <c r="N3578">
        <v>3.95</v>
      </c>
      <c r="O3578" t="s">
        <v>220</v>
      </c>
      <c r="P3578">
        <v>7.9</v>
      </c>
      <c r="Q3578" t="s">
        <v>221</v>
      </c>
    </row>
    <row r="3579" spans="1:17" x14ac:dyDescent="0.25">
      <c r="A3579" t="s">
        <v>1147</v>
      </c>
      <c r="B3579" t="s">
        <v>1145</v>
      </c>
      <c r="C3579" t="s">
        <v>175</v>
      </c>
      <c r="D3579" t="s">
        <v>505</v>
      </c>
      <c r="E3579" t="s">
        <v>506</v>
      </c>
      <c r="F3579">
        <v>1</v>
      </c>
      <c r="G3579" t="s">
        <v>176</v>
      </c>
      <c r="H3579">
        <v>0</v>
      </c>
      <c r="I3579">
        <v>42</v>
      </c>
      <c r="J3579" s="10">
        <v>10</v>
      </c>
      <c r="K3579" s="10">
        <f>SUMIFS(F:F,D:D,DST_123_ÜRETİM_İHTİYAÇ_RAPORU_BURAK_YENI1309[[#This Row],[ALT_KOD]])-(SUMIFS(H:H,D:D,DST_123_ÜRETİM_İHTİYAÇ_RAPORU_BURAK_YENI1309[[#This Row],[ALT_KOD]])+AVERAGEIFS(I:I,D:D,DST_123_ÜRETİM_İHTİYAÇ_RAPORU_BURAK_YENI1309[[#This Row],[ALT_KOD]])+AVERAGEIFS(L:L,D:D,DST_123_ÜRETİM_İHTİYAÇ_RAPORU_BURAK_YENI1309[[#This Row],[ALT_KOD]]))</f>
        <v>-30</v>
      </c>
      <c r="L3579">
        <v>0</v>
      </c>
      <c r="M3579">
        <f>IF((DST_123_ÜRETİM_İHTİYAÇ_RAPORU_BURAK_YENI1309[[#This Row],[SATINALMA]]*DST_123_ÜRETİM_İHTİYAÇ_RAPORU_BURAK_YENI1309[[#This Row],[BIRIM_FIYATLAR]])&lt;1,VALUE("0"),DST_123_ÜRETİM_İHTİYAÇ_RAPORU_BURAK_YENI1309[[#This Row],[SATINALMA]]*DST_123_ÜRETİM_İHTİYAÇ_RAPORU_BURAK_YENI1309[[#This Row],[BIRIM_FIYATLAR]])</f>
        <v>0</v>
      </c>
      <c r="N3579">
        <v>142.5</v>
      </c>
      <c r="O3579" t="s">
        <v>826</v>
      </c>
      <c r="P3579">
        <v>142.5</v>
      </c>
      <c r="Q3579" t="s">
        <v>221</v>
      </c>
    </row>
    <row r="3580" spans="1:17" x14ac:dyDescent="0.25">
      <c r="A3580" t="s">
        <v>1148</v>
      </c>
      <c r="B3580" t="s">
        <v>1056</v>
      </c>
      <c r="C3580" t="s">
        <v>175</v>
      </c>
      <c r="D3580" t="s">
        <v>505</v>
      </c>
      <c r="E3580" t="s">
        <v>506</v>
      </c>
      <c r="F3580">
        <v>1</v>
      </c>
      <c r="G3580" t="s">
        <v>176</v>
      </c>
      <c r="H3580">
        <v>0</v>
      </c>
      <c r="I3580">
        <v>42</v>
      </c>
      <c r="J3580" s="10">
        <v>10</v>
      </c>
      <c r="K3580" s="10">
        <f>SUMIFS(F:F,D:D,DST_123_ÜRETİM_İHTİYAÇ_RAPORU_BURAK_YENI1309[[#This Row],[ALT_KOD]])-(SUMIFS(H:H,D:D,DST_123_ÜRETİM_İHTİYAÇ_RAPORU_BURAK_YENI1309[[#This Row],[ALT_KOD]])+AVERAGEIFS(I:I,D:D,DST_123_ÜRETİM_İHTİYAÇ_RAPORU_BURAK_YENI1309[[#This Row],[ALT_KOD]])+AVERAGEIFS(L:L,D:D,DST_123_ÜRETİM_İHTİYAÇ_RAPORU_BURAK_YENI1309[[#This Row],[ALT_KOD]]))</f>
        <v>-30</v>
      </c>
      <c r="L3580">
        <v>0</v>
      </c>
      <c r="M3580">
        <f>IF((DST_123_ÜRETİM_İHTİYAÇ_RAPORU_BURAK_YENI1309[[#This Row],[SATINALMA]]*DST_123_ÜRETİM_İHTİYAÇ_RAPORU_BURAK_YENI1309[[#This Row],[BIRIM_FIYATLAR]])&lt;1,VALUE("0"),DST_123_ÜRETİM_İHTİYAÇ_RAPORU_BURAK_YENI1309[[#This Row],[SATINALMA]]*DST_123_ÜRETİM_İHTİYAÇ_RAPORU_BURAK_YENI1309[[#This Row],[BIRIM_FIYATLAR]])</f>
        <v>0</v>
      </c>
      <c r="N3580">
        <v>142.5</v>
      </c>
      <c r="O3580" t="s">
        <v>826</v>
      </c>
      <c r="P3580">
        <v>142.5</v>
      </c>
      <c r="Q3580" t="s">
        <v>221</v>
      </c>
    </row>
    <row r="3581" spans="1:17" x14ac:dyDescent="0.25">
      <c r="A3581" t="s">
        <v>1060</v>
      </c>
      <c r="B3581" t="s">
        <v>1061</v>
      </c>
      <c r="C3581" t="s">
        <v>175</v>
      </c>
      <c r="D3581" t="s">
        <v>336</v>
      </c>
      <c r="E3581" t="s">
        <v>623</v>
      </c>
      <c r="F3581">
        <v>1</v>
      </c>
      <c r="G3581" t="s">
        <v>176</v>
      </c>
      <c r="H3581">
        <v>1</v>
      </c>
      <c r="I3581">
        <v>5</v>
      </c>
      <c r="J3581" s="10">
        <v>4</v>
      </c>
      <c r="K3581" s="10">
        <f>SUMIFS(F:F,D:D,DST_123_ÜRETİM_İHTİYAÇ_RAPORU_BURAK_YENI1309[[#This Row],[ALT_KOD]])-(SUMIFS(H:H,D:D,DST_123_ÜRETİM_İHTİYAÇ_RAPORU_BURAK_YENI1309[[#This Row],[ALT_KOD]])+AVERAGEIFS(I:I,D:D,DST_123_ÜRETİM_İHTİYAÇ_RAPORU_BURAK_YENI1309[[#This Row],[ALT_KOD]])+AVERAGEIFS(L:L,D:D,DST_123_ÜRETİM_İHTİYAÇ_RAPORU_BURAK_YENI1309[[#This Row],[ALT_KOD]]))</f>
        <v>2</v>
      </c>
      <c r="L3581">
        <v>0</v>
      </c>
      <c r="M3581">
        <f>IF((DST_123_ÜRETİM_İHTİYAÇ_RAPORU_BURAK_YENI1309[[#This Row],[SATINALMA]]*DST_123_ÜRETİM_İHTİYAÇ_RAPORU_BURAK_YENI1309[[#This Row],[BIRIM_FIYATLAR]])&lt;1,VALUE("0"),DST_123_ÜRETİM_İHTİYAÇ_RAPORU_BURAK_YENI1309[[#This Row],[SATINALMA]]*DST_123_ÜRETİM_İHTİYAÇ_RAPORU_BURAK_YENI1309[[#This Row],[BIRIM_FIYATLAR]])</f>
        <v>3359.06</v>
      </c>
      <c r="N3581">
        <v>1679.53</v>
      </c>
      <c r="O3581" t="s">
        <v>636</v>
      </c>
      <c r="P3581">
        <v>1679.53</v>
      </c>
      <c r="Q3581" t="s">
        <v>178</v>
      </c>
    </row>
    <row r="3582" spans="1:17" x14ac:dyDescent="0.25">
      <c r="A3582" t="s">
        <v>1060</v>
      </c>
      <c r="B3582" t="s">
        <v>1061</v>
      </c>
      <c r="C3582" t="s">
        <v>175</v>
      </c>
      <c r="D3582" t="s">
        <v>590</v>
      </c>
      <c r="E3582" t="s">
        <v>591</v>
      </c>
      <c r="F3582">
        <v>1</v>
      </c>
      <c r="G3582" t="s">
        <v>176</v>
      </c>
      <c r="H3582">
        <v>1</v>
      </c>
      <c r="I3582">
        <v>4</v>
      </c>
      <c r="J3582" s="10">
        <v>10</v>
      </c>
      <c r="K3582" s="10">
        <f>SUMIFS(F:F,D:D,DST_123_ÜRETİM_İHTİYAÇ_RAPORU_BURAK_YENI1309[[#This Row],[ALT_KOD]])-(SUMIFS(H:H,D:D,DST_123_ÜRETİM_İHTİYAÇ_RAPORU_BURAK_YENI1309[[#This Row],[ALT_KOD]])+AVERAGEIFS(I:I,D:D,DST_123_ÜRETİM_İHTİYAÇ_RAPORU_BURAK_YENI1309[[#This Row],[ALT_KOD]])+AVERAGEIFS(L:L,D:D,DST_123_ÜRETİM_İHTİYAÇ_RAPORU_BURAK_YENI1309[[#This Row],[ALT_KOD]]))</f>
        <v>-3</v>
      </c>
      <c r="L3582">
        <v>10</v>
      </c>
      <c r="M3582">
        <f>IF((DST_123_ÜRETİM_İHTİYAÇ_RAPORU_BURAK_YENI1309[[#This Row],[SATINALMA]]*DST_123_ÜRETİM_İHTİYAÇ_RAPORU_BURAK_YENI1309[[#This Row],[BIRIM_FIYATLAR]])&lt;1,VALUE("0"),DST_123_ÜRETİM_İHTİYAÇ_RAPORU_BURAK_YENI1309[[#This Row],[SATINALMA]]*DST_123_ÜRETİM_İHTİYAÇ_RAPORU_BURAK_YENI1309[[#This Row],[BIRIM_FIYATLAR]])</f>
        <v>0</v>
      </c>
      <c r="N3582">
        <v>583.77</v>
      </c>
      <c r="O3582" t="s">
        <v>592</v>
      </c>
      <c r="P3582">
        <v>583.77</v>
      </c>
      <c r="Q3582" t="s">
        <v>180</v>
      </c>
    </row>
    <row r="3583" spans="1:17" x14ac:dyDescent="0.25">
      <c r="A3583" t="s">
        <v>1147</v>
      </c>
      <c r="B3583" t="s">
        <v>1145</v>
      </c>
      <c r="C3583" t="s">
        <v>175</v>
      </c>
      <c r="D3583" t="s">
        <v>655</v>
      </c>
      <c r="E3583" t="s">
        <v>656</v>
      </c>
      <c r="F3583">
        <v>2</v>
      </c>
      <c r="G3583" t="s">
        <v>176</v>
      </c>
      <c r="H3583">
        <v>0</v>
      </c>
      <c r="I3583">
        <v>216</v>
      </c>
      <c r="J3583" s="10">
        <v>118</v>
      </c>
      <c r="K3583" s="10">
        <f>SUMIFS(F:F,D:D,DST_123_ÜRETİM_İHTİYAÇ_RAPORU_BURAK_YENI1309[[#This Row],[ALT_KOD]])-(SUMIFS(H:H,D:D,DST_123_ÜRETİM_İHTİYAÇ_RAPORU_BURAK_YENI1309[[#This Row],[ALT_KOD]])+AVERAGEIFS(I:I,D:D,DST_123_ÜRETİM_İHTİYAÇ_RAPORU_BURAK_YENI1309[[#This Row],[ALT_KOD]])+AVERAGEIFS(L:L,D:D,DST_123_ÜRETİM_İHTİYAÇ_RAPORU_BURAK_YENI1309[[#This Row],[ALT_KOD]]))</f>
        <v>-190</v>
      </c>
      <c r="L3583">
        <v>0</v>
      </c>
      <c r="M3583">
        <f>IF((DST_123_ÜRETİM_İHTİYAÇ_RAPORU_BURAK_YENI1309[[#This Row],[SATINALMA]]*DST_123_ÜRETİM_İHTİYAÇ_RAPORU_BURAK_YENI1309[[#This Row],[BIRIM_FIYATLAR]])&lt;1,VALUE("0"),DST_123_ÜRETİM_İHTİYAÇ_RAPORU_BURAK_YENI1309[[#This Row],[SATINALMA]]*DST_123_ÜRETİM_İHTİYAÇ_RAPORU_BURAK_YENI1309[[#This Row],[BIRIM_FIYATLAR]])</f>
        <v>0</v>
      </c>
      <c r="N3583">
        <v>3.95</v>
      </c>
      <c r="O3583" t="s">
        <v>220</v>
      </c>
      <c r="P3583">
        <v>7.9</v>
      </c>
      <c r="Q3583" t="s">
        <v>221</v>
      </c>
    </row>
    <row r="3584" spans="1:17" x14ac:dyDescent="0.25">
      <c r="A3584" t="s">
        <v>1142</v>
      </c>
      <c r="B3584" t="s">
        <v>1056</v>
      </c>
      <c r="C3584" t="s">
        <v>175</v>
      </c>
      <c r="D3584" t="s">
        <v>336</v>
      </c>
      <c r="E3584" t="s">
        <v>623</v>
      </c>
      <c r="F3584">
        <v>1</v>
      </c>
      <c r="G3584" t="s">
        <v>176</v>
      </c>
      <c r="H3584">
        <v>0</v>
      </c>
      <c r="I3584">
        <v>5</v>
      </c>
      <c r="J3584" s="10">
        <v>4</v>
      </c>
      <c r="K3584" s="10">
        <f>SUMIFS(F:F,D:D,DST_123_ÜRETİM_İHTİYAÇ_RAPORU_BURAK_YENI1309[[#This Row],[ALT_KOD]])-(SUMIFS(H:H,D:D,DST_123_ÜRETİM_İHTİYAÇ_RAPORU_BURAK_YENI1309[[#This Row],[ALT_KOD]])+AVERAGEIFS(I:I,D:D,DST_123_ÜRETİM_İHTİYAÇ_RAPORU_BURAK_YENI1309[[#This Row],[ALT_KOD]])+AVERAGEIFS(L:L,D:D,DST_123_ÜRETİM_İHTİYAÇ_RAPORU_BURAK_YENI1309[[#This Row],[ALT_KOD]]))</f>
        <v>2</v>
      </c>
      <c r="L3584">
        <v>0</v>
      </c>
      <c r="M3584">
        <f>IF((DST_123_ÜRETİM_İHTİYAÇ_RAPORU_BURAK_YENI1309[[#This Row],[SATINALMA]]*DST_123_ÜRETİM_İHTİYAÇ_RAPORU_BURAK_YENI1309[[#This Row],[BIRIM_FIYATLAR]])&lt;1,VALUE("0"),DST_123_ÜRETİM_İHTİYAÇ_RAPORU_BURAK_YENI1309[[#This Row],[SATINALMA]]*DST_123_ÜRETİM_İHTİYAÇ_RAPORU_BURAK_YENI1309[[#This Row],[BIRIM_FIYATLAR]])</f>
        <v>3359.06</v>
      </c>
      <c r="N3584">
        <v>1679.53</v>
      </c>
      <c r="O3584" t="s">
        <v>636</v>
      </c>
      <c r="P3584">
        <v>1679.53</v>
      </c>
      <c r="Q3584" t="s">
        <v>178</v>
      </c>
    </row>
    <row r="3585" spans="1:17" x14ac:dyDescent="0.25">
      <c r="A3585" t="s">
        <v>1142</v>
      </c>
      <c r="B3585" t="s">
        <v>1056</v>
      </c>
      <c r="C3585" t="s">
        <v>175</v>
      </c>
      <c r="D3585" t="s">
        <v>451</v>
      </c>
      <c r="E3585" t="s">
        <v>452</v>
      </c>
      <c r="F3585">
        <v>1</v>
      </c>
      <c r="G3585" t="s">
        <v>176</v>
      </c>
      <c r="H3585">
        <v>0</v>
      </c>
      <c r="I3585">
        <v>4</v>
      </c>
      <c r="J3585" s="10">
        <v>9</v>
      </c>
      <c r="K3585" s="10">
        <f>SUMIFS(F:F,D:D,DST_123_ÜRETİM_İHTİYAÇ_RAPORU_BURAK_YENI1309[[#This Row],[ALT_KOD]])-(SUMIFS(H:H,D:D,DST_123_ÜRETİM_İHTİYAÇ_RAPORU_BURAK_YENI1309[[#This Row],[ALT_KOD]])+AVERAGEIFS(I:I,D:D,DST_123_ÜRETİM_İHTİYAÇ_RAPORU_BURAK_YENI1309[[#This Row],[ALT_KOD]])+AVERAGEIFS(L:L,D:D,DST_123_ÜRETİM_İHTİYAÇ_RAPORU_BURAK_YENI1309[[#This Row],[ALT_KOD]]))</f>
        <v>1</v>
      </c>
      <c r="L3585">
        <v>6</v>
      </c>
      <c r="M3585">
        <f>IF((DST_123_ÜRETİM_İHTİYAÇ_RAPORU_BURAK_YENI1309[[#This Row],[SATINALMA]]*DST_123_ÜRETİM_İHTİYAÇ_RAPORU_BURAK_YENI1309[[#This Row],[BIRIM_FIYATLAR]])&lt;1,VALUE("0"),DST_123_ÜRETİM_İHTİYAÇ_RAPORU_BURAK_YENI1309[[#This Row],[SATINALMA]]*DST_123_ÜRETİM_İHTİYAÇ_RAPORU_BURAK_YENI1309[[#This Row],[BIRIM_FIYATLAR]])</f>
        <v>1600</v>
      </c>
      <c r="N3585">
        <v>1600</v>
      </c>
      <c r="O3585" t="s">
        <v>240</v>
      </c>
      <c r="P3585">
        <v>1600</v>
      </c>
      <c r="Q3585" t="s">
        <v>178</v>
      </c>
    </row>
    <row r="3586" spans="1:17" x14ac:dyDescent="0.25">
      <c r="A3586" t="s">
        <v>1095</v>
      </c>
      <c r="B3586" t="s">
        <v>1096</v>
      </c>
      <c r="C3586" t="s">
        <v>175</v>
      </c>
      <c r="D3586" t="s">
        <v>264</v>
      </c>
      <c r="E3586" t="s">
        <v>265</v>
      </c>
      <c r="F3586">
        <v>1</v>
      </c>
      <c r="G3586" t="s">
        <v>176</v>
      </c>
      <c r="H3586">
        <v>0</v>
      </c>
      <c r="I3586">
        <v>0</v>
      </c>
      <c r="J3586" s="10">
        <v>8</v>
      </c>
      <c r="K3586" s="10">
        <f>SUMIFS(F:F,D:D,DST_123_ÜRETİM_İHTİYAÇ_RAPORU_BURAK_YENI1309[[#This Row],[ALT_KOD]])-(SUMIFS(H:H,D:D,DST_123_ÜRETİM_İHTİYAÇ_RAPORU_BURAK_YENI1309[[#This Row],[ALT_KOD]])+AVERAGEIFS(I:I,D:D,DST_123_ÜRETİM_İHTİYAÇ_RAPORU_BURAK_YENI1309[[#This Row],[ALT_KOD]])+AVERAGEIFS(L:L,D:D,DST_123_ÜRETİM_İHTİYAÇ_RAPORU_BURAK_YENI1309[[#This Row],[ALT_KOD]]))</f>
        <v>12</v>
      </c>
      <c r="L3586">
        <v>0</v>
      </c>
      <c r="M3586">
        <f>IF((DST_123_ÜRETİM_İHTİYAÇ_RAPORU_BURAK_YENI1309[[#This Row],[SATINALMA]]*DST_123_ÜRETİM_İHTİYAÇ_RAPORU_BURAK_YENI1309[[#This Row],[BIRIM_FIYATLAR]])&lt;1,VALUE("0"),DST_123_ÜRETİM_İHTİYAÇ_RAPORU_BURAK_YENI1309[[#This Row],[SATINALMA]]*DST_123_ÜRETİM_İHTİYAÇ_RAPORU_BURAK_YENI1309[[#This Row],[BIRIM_FIYATLAR]])</f>
        <v>55600.08</v>
      </c>
      <c r="N3586">
        <v>4633.34</v>
      </c>
      <c r="O3586" t="s">
        <v>214</v>
      </c>
      <c r="P3586">
        <v>4633.34</v>
      </c>
      <c r="Q3586" t="s">
        <v>177</v>
      </c>
    </row>
    <row r="3587" spans="1:17" x14ac:dyDescent="0.25">
      <c r="A3587" t="s">
        <v>1142</v>
      </c>
      <c r="B3587" t="s">
        <v>1056</v>
      </c>
      <c r="C3587" t="s">
        <v>175</v>
      </c>
      <c r="D3587" t="s">
        <v>548</v>
      </c>
      <c r="E3587" t="s">
        <v>549</v>
      </c>
      <c r="F3587">
        <v>28</v>
      </c>
      <c r="G3587" t="s">
        <v>176</v>
      </c>
      <c r="H3587">
        <v>0</v>
      </c>
      <c r="I3587">
        <v>800</v>
      </c>
      <c r="J3587" s="10">
        <v>0</v>
      </c>
      <c r="K3587" s="10">
        <f>SUMIFS(F:F,D:D,DST_123_ÜRETİM_İHTİYAÇ_RAPORU_BURAK_YENI1309[[#This Row],[ALT_KOD]])-(SUMIFS(H:H,D:D,DST_123_ÜRETİM_İHTİYAÇ_RAPORU_BURAK_YENI1309[[#This Row],[ALT_KOD]])+AVERAGEIFS(I:I,D:D,DST_123_ÜRETİM_İHTİYAÇ_RAPORU_BURAK_YENI1309[[#This Row],[ALT_KOD]])+AVERAGEIFS(L:L,D:D,DST_123_ÜRETİM_İHTİYAÇ_RAPORU_BURAK_YENI1309[[#This Row],[ALT_KOD]]))</f>
        <v>-414</v>
      </c>
      <c r="L3587">
        <v>0</v>
      </c>
      <c r="M3587">
        <f>IF((DST_123_ÜRETİM_İHTİYAÇ_RAPORU_BURAK_YENI1309[[#This Row],[SATINALMA]]*DST_123_ÜRETİM_İHTİYAÇ_RAPORU_BURAK_YENI1309[[#This Row],[BIRIM_FIYATLAR]])&lt;1,VALUE("0"),DST_123_ÜRETİM_İHTİYAÇ_RAPORU_BURAK_YENI1309[[#This Row],[SATINALMA]]*DST_123_ÜRETİM_İHTİYAÇ_RAPORU_BURAK_YENI1309[[#This Row],[BIRIM_FIYATLAR]])</f>
        <v>0</v>
      </c>
      <c r="N3587">
        <v>13.75</v>
      </c>
      <c r="O3587" t="s">
        <v>628</v>
      </c>
      <c r="P3587">
        <v>385</v>
      </c>
      <c r="Q3587" t="s">
        <v>180</v>
      </c>
    </row>
    <row r="3588" spans="1:17" x14ac:dyDescent="0.25">
      <c r="A3588" t="s">
        <v>1097</v>
      </c>
      <c r="B3588" t="s">
        <v>1055</v>
      </c>
      <c r="C3588" t="s">
        <v>175</v>
      </c>
      <c r="D3588" t="s">
        <v>548</v>
      </c>
      <c r="E3588" t="s">
        <v>549</v>
      </c>
      <c r="F3588">
        <v>37</v>
      </c>
      <c r="G3588" t="s">
        <v>176</v>
      </c>
      <c r="H3588">
        <v>0</v>
      </c>
      <c r="I3588">
        <v>800</v>
      </c>
      <c r="J3588" s="10">
        <v>0</v>
      </c>
      <c r="K3588" s="10">
        <f>SUMIFS(F:F,D:D,DST_123_ÜRETİM_İHTİYAÇ_RAPORU_BURAK_YENI1309[[#This Row],[ALT_KOD]])-(SUMIFS(H:H,D:D,DST_123_ÜRETİM_İHTİYAÇ_RAPORU_BURAK_YENI1309[[#This Row],[ALT_KOD]])+AVERAGEIFS(I:I,D:D,DST_123_ÜRETİM_İHTİYAÇ_RAPORU_BURAK_YENI1309[[#This Row],[ALT_KOD]])+AVERAGEIFS(L:L,D:D,DST_123_ÜRETİM_İHTİYAÇ_RAPORU_BURAK_YENI1309[[#This Row],[ALT_KOD]]))</f>
        <v>-414</v>
      </c>
      <c r="L3588">
        <v>0</v>
      </c>
      <c r="M3588">
        <f>IF((DST_123_ÜRETİM_İHTİYAÇ_RAPORU_BURAK_YENI1309[[#This Row],[SATINALMA]]*DST_123_ÜRETİM_İHTİYAÇ_RAPORU_BURAK_YENI1309[[#This Row],[BIRIM_FIYATLAR]])&lt;1,VALUE("0"),DST_123_ÜRETİM_İHTİYAÇ_RAPORU_BURAK_YENI1309[[#This Row],[SATINALMA]]*DST_123_ÜRETİM_İHTİYAÇ_RAPORU_BURAK_YENI1309[[#This Row],[BIRIM_FIYATLAR]])</f>
        <v>0</v>
      </c>
      <c r="N3588">
        <v>13.75</v>
      </c>
      <c r="O3588" t="s">
        <v>628</v>
      </c>
      <c r="P3588">
        <v>508.75</v>
      </c>
      <c r="Q3588" t="s">
        <v>180</v>
      </c>
    </row>
    <row r="3589" spans="1:17" x14ac:dyDescent="0.25">
      <c r="A3589" t="s">
        <v>1142</v>
      </c>
      <c r="B3589" t="s">
        <v>1056</v>
      </c>
      <c r="C3589" t="s">
        <v>175</v>
      </c>
      <c r="D3589" t="s">
        <v>552</v>
      </c>
      <c r="E3589" t="s">
        <v>553</v>
      </c>
      <c r="F3589">
        <v>1</v>
      </c>
      <c r="G3589" t="s">
        <v>176</v>
      </c>
      <c r="H3589">
        <v>0</v>
      </c>
      <c r="I3589">
        <v>14</v>
      </c>
      <c r="J3589" s="10">
        <v>9.9999999999999929</v>
      </c>
      <c r="K3589" s="10">
        <f>SUMIFS(F:F,D:D,DST_123_ÜRETİM_İHTİYAÇ_RAPORU_BURAK_YENI1309[[#This Row],[ALT_KOD]])-(SUMIFS(H:H,D:D,DST_123_ÜRETİM_İHTİYAÇ_RAPORU_BURAK_YENI1309[[#This Row],[ALT_KOD]])+AVERAGEIFS(I:I,D:D,DST_123_ÜRETİM_İHTİYAÇ_RAPORU_BURAK_YENI1309[[#This Row],[ALT_KOD]])+AVERAGEIFS(L:L,D:D,DST_123_ÜRETİM_İHTİYAÇ_RAPORU_BURAK_YENI1309[[#This Row],[ALT_KOD]]))</f>
        <v>2.5700000000000003</v>
      </c>
      <c r="L3589">
        <v>0</v>
      </c>
      <c r="M3589">
        <f>IF((DST_123_ÜRETİM_İHTİYAÇ_RAPORU_BURAK_YENI1309[[#This Row],[SATINALMA]]*DST_123_ÜRETİM_İHTİYAÇ_RAPORU_BURAK_YENI1309[[#This Row],[BIRIM_FIYATLAR]])&lt;1,VALUE("0"),DST_123_ÜRETİM_İHTİYAÇ_RAPORU_BURAK_YENI1309[[#This Row],[SATINALMA]]*DST_123_ÜRETİM_İHTİYAÇ_RAPORU_BURAK_YENI1309[[#This Row],[BIRIM_FIYATLAR]])</f>
        <v>552.55000000000007</v>
      </c>
      <c r="N3589">
        <v>215</v>
      </c>
      <c r="O3589" t="s">
        <v>240</v>
      </c>
      <c r="P3589">
        <v>215</v>
      </c>
      <c r="Q3589" t="s">
        <v>180</v>
      </c>
    </row>
    <row r="3590" spans="1:17" x14ac:dyDescent="0.25">
      <c r="A3590" t="s">
        <v>1143</v>
      </c>
      <c r="B3590" t="s">
        <v>1056</v>
      </c>
      <c r="C3590" t="s">
        <v>175</v>
      </c>
      <c r="D3590" t="s">
        <v>552</v>
      </c>
      <c r="E3590" t="s">
        <v>553</v>
      </c>
      <c r="F3590">
        <v>0.73</v>
      </c>
      <c r="G3590" t="s">
        <v>176</v>
      </c>
      <c r="H3590">
        <v>0</v>
      </c>
      <c r="I3590">
        <v>14</v>
      </c>
      <c r="J3590" s="10">
        <v>9.9999999999999929</v>
      </c>
      <c r="K3590" s="10">
        <f>SUMIFS(F:F,D:D,DST_123_ÜRETİM_İHTİYAÇ_RAPORU_BURAK_YENI1309[[#This Row],[ALT_KOD]])-(SUMIFS(H:H,D:D,DST_123_ÜRETİM_İHTİYAÇ_RAPORU_BURAK_YENI1309[[#This Row],[ALT_KOD]])+AVERAGEIFS(I:I,D:D,DST_123_ÜRETİM_İHTİYAÇ_RAPORU_BURAK_YENI1309[[#This Row],[ALT_KOD]])+AVERAGEIFS(L:L,D:D,DST_123_ÜRETİM_İHTİYAÇ_RAPORU_BURAK_YENI1309[[#This Row],[ALT_KOD]]))</f>
        <v>2.5700000000000003</v>
      </c>
      <c r="L3590">
        <v>0</v>
      </c>
      <c r="M3590">
        <f>IF((DST_123_ÜRETİM_İHTİYAÇ_RAPORU_BURAK_YENI1309[[#This Row],[SATINALMA]]*DST_123_ÜRETİM_İHTİYAÇ_RAPORU_BURAK_YENI1309[[#This Row],[BIRIM_FIYATLAR]])&lt;1,VALUE("0"),DST_123_ÜRETİM_İHTİYAÇ_RAPORU_BURAK_YENI1309[[#This Row],[SATINALMA]]*DST_123_ÜRETİM_İHTİYAÇ_RAPORU_BURAK_YENI1309[[#This Row],[BIRIM_FIYATLAR]])</f>
        <v>552.55000000000007</v>
      </c>
      <c r="N3590">
        <v>215</v>
      </c>
      <c r="O3590" t="s">
        <v>240</v>
      </c>
      <c r="P3590">
        <v>156.94999999999999</v>
      </c>
      <c r="Q3590" t="s">
        <v>180</v>
      </c>
    </row>
    <row r="3591" spans="1:17" x14ac:dyDescent="0.25">
      <c r="A3591" t="s">
        <v>1097</v>
      </c>
      <c r="B3591" t="s">
        <v>1055</v>
      </c>
      <c r="C3591" t="s">
        <v>175</v>
      </c>
      <c r="D3591" t="s">
        <v>552</v>
      </c>
      <c r="E3591" t="s">
        <v>553</v>
      </c>
      <c r="F3591">
        <v>0.8</v>
      </c>
      <c r="G3591" t="s">
        <v>176</v>
      </c>
      <c r="H3591">
        <v>0</v>
      </c>
      <c r="I3591">
        <v>14</v>
      </c>
      <c r="J3591" s="10">
        <v>9.9999999999999929</v>
      </c>
      <c r="K3591" s="10">
        <f>SUMIFS(F:F,D:D,DST_123_ÜRETİM_İHTİYAÇ_RAPORU_BURAK_YENI1309[[#This Row],[ALT_KOD]])-(SUMIFS(H:H,D:D,DST_123_ÜRETİM_İHTİYAÇ_RAPORU_BURAK_YENI1309[[#This Row],[ALT_KOD]])+AVERAGEIFS(I:I,D:D,DST_123_ÜRETİM_İHTİYAÇ_RAPORU_BURAK_YENI1309[[#This Row],[ALT_KOD]])+AVERAGEIFS(L:L,D:D,DST_123_ÜRETİM_İHTİYAÇ_RAPORU_BURAK_YENI1309[[#This Row],[ALT_KOD]]))</f>
        <v>2.5700000000000003</v>
      </c>
      <c r="L3591">
        <v>0</v>
      </c>
      <c r="M3591">
        <f>IF((DST_123_ÜRETİM_İHTİYAÇ_RAPORU_BURAK_YENI1309[[#This Row],[SATINALMA]]*DST_123_ÜRETİM_İHTİYAÇ_RAPORU_BURAK_YENI1309[[#This Row],[BIRIM_FIYATLAR]])&lt;1,VALUE("0"),DST_123_ÜRETİM_İHTİYAÇ_RAPORU_BURAK_YENI1309[[#This Row],[SATINALMA]]*DST_123_ÜRETİM_İHTİYAÇ_RAPORU_BURAK_YENI1309[[#This Row],[BIRIM_FIYATLAR]])</f>
        <v>552.55000000000007</v>
      </c>
      <c r="N3591">
        <v>215</v>
      </c>
      <c r="O3591" t="s">
        <v>240</v>
      </c>
      <c r="P3591">
        <v>172</v>
      </c>
      <c r="Q3591" t="s">
        <v>180</v>
      </c>
    </row>
    <row r="3592" spans="1:17" x14ac:dyDescent="0.25">
      <c r="A3592" t="s">
        <v>1142</v>
      </c>
      <c r="B3592" t="s">
        <v>1056</v>
      </c>
      <c r="C3592" t="s">
        <v>175</v>
      </c>
      <c r="D3592" t="s">
        <v>560</v>
      </c>
      <c r="E3592" t="s">
        <v>561</v>
      </c>
      <c r="F3592">
        <v>3.2</v>
      </c>
      <c r="G3592" t="s">
        <v>176</v>
      </c>
      <c r="H3592">
        <v>0</v>
      </c>
      <c r="I3592">
        <v>272</v>
      </c>
      <c r="J3592" s="10">
        <v>4.2999999999999652</v>
      </c>
      <c r="K3592" s="10">
        <f>SUMIFS(F:F,D:D,DST_123_ÜRETİM_İHTİYAÇ_RAPORU_BURAK_YENI1309[[#This Row],[ALT_KOD]])-(SUMIFS(H:H,D:D,DST_123_ÜRETİM_İHTİYAÇ_RAPORU_BURAK_YENI1309[[#This Row],[ALT_KOD]])+AVERAGEIFS(I:I,D:D,DST_123_ÜRETİM_İHTİYAÇ_RAPORU_BURAK_YENI1309[[#This Row],[ALT_KOD]])+AVERAGEIFS(L:L,D:D,DST_123_ÜRETİM_İHTİYAÇ_RAPORU_BURAK_YENI1309[[#This Row],[ALT_KOD]]))</f>
        <v>-233.2</v>
      </c>
      <c r="L3592">
        <v>0</v>
      </c>
      <c r="M3592">
        <f>IF((DST_123_ÜRETİM_İHTİYAÇ_RAPORU_BURAK_YENI1309[[#This Row],[SATINALMA]]*DST_123_ÜRETİM_İHTİYAÇ_RAPORU_BURAK_YENI1309[[#This Row],[BIRIM_FIYATLAR]])&lt;1,VALUE("0"),DST_123_ÜRETİM_İHTİYAÇ_RAPORU_BURAK_YENI1309[[#This Row],[SATINALMA]]*DST_123_ÜRETİM_İHTİYAÇ_RAPORU_BURAK_YENI1309[[#This Row],[BIRIM_FIYATLAR]])</f>
        <v>0</v>
      </c>
      <c r="N3592">
        <v>30</v>
      </c>
      <c r="O3592" t="s">
        <v>240</v>
      </c>
      <c r="P3592">
        <v>96</v>
      </c>
      <c r="Q3592" t="s">
        <v>180</v>
      </c>
    </row>
    <row r="3593" spans="1:17" x14ac:dyDescent="0.25">
      <c r="A3593" t="s">
        <v>1097</v>
      </c>
      <c r="B3593" t="s">
        <v>1055</v>
      </c>
      <c r="C3593" t="s">
        <v>175</v>
      </c>
      <c r="D3593" t="s">
        <v>560</v>
      </c>
      <c r="E3593" t="s">
        <v>561</v>
      </c>
      <c r="F3593">
        <v>1.5</v>
      </c>
      <c r="G3593" t="s">
        <v>176</v>
      </c>
      <c r="H3593">
        <v>0</v>
      </c>
      <c r="I3593">
        <v>272</v>
      </c>
      <c r="J3593" s="10">
        <v>4.2999999999999652</v>
      </c>
      <c r="K3593" s="10">
        <f>SUMIFS(F:F,D:D,DST_123_ÜRETİM_İHTİYAÇ_RAPORU_BURAK_YENI1309[[#This Row],[ALT_KOD]])-(SUMIFS(H:H,D:D,DST_123_ÜRETİM_İHTİYAÇ_RAPORU_BURAK_YENI1309[[#This Row],[ALT_KOD]])+AVERAGEIFS(I:I,D:D,DST_123_ÜRETİM_İHTİYAÇ_RAPORU_BURAK_YENI1309[[#This Row],[ALT_KOD]])+AVERAGEIFS(L:L,D:D,DST_123_ÜRETİM_İHTİYAÇ_RAPORU_BURAK_YENI1309[[#This Row],[ALT_KOD]]))</f>
        <v>-233.2</v>
      </c>
      <c r="L3593">
        <v>0</v>
      </c>
      <c r="M3593">
        <f>IF((DST_123_ÜRETİM_İHTİYAÇ_RAPORU_BURAK_YENI1309[[#This Row],[SATINALMA]]*DST_123_ÜRETİM_İHTİYAÇ_RAPORU_BURAK_YENI1309[[#This Row],[BIRIM_FIYATLAR]])&lt;1,VALUE("0"),DST_123_ÜRETİM_İHTİYAÇ_RAPORU_BURAK_YENI1309[[#This Row],[SATINALMA]]*DST_123_ÜRETİM_İHTİYAÇ_RAPORU_BURAK_YENI1309[[#This Row],[BIRIM_FIYATLAR]])</f>
        <v>0</v>
      </c>
      <c r="N3593">
        <v>30</v>
      </c>
      <c r="O3593" t="s">
        <v>240</v>
      </c>
      <c r="P3593">
        <v>45</v>
      </c>
      <c r="Q3593" t="s">
        <v>180</v>
      </c>
    </row>
    <row r="3594" spans="1:17" x14ac:dyDescent="0.25">
      <c r="A3594" t="s">
        <v>1097</v>
      </c>
      <c r="B3594" t="s">
        <v>1055</v>
      </c>
      <c r="C3594" t="s">
        <v>175</v>
      </c>
      <c r="D3594" t="s">
        <v>522</v>
      </c>
      <c r="E3594" t="s">
        <v>523</v>
      </c>
      <c r="F3594">
        <v>1.61</v>
      </c>
      <c r="G3594" t="s">
        <v>176</v>
      </c>
      <c r="H3594">
        <v>0</v>
      </c>
      <c r="I3594">
        <v>235</v>
      </c>
      <c r="J3594" s="10">
        <v>-7.460698725481052E-14</v>
      </c>
      <c r="K3594" s="10">
        <f>SUMIFS(F:F,D:D,DST_123_ÜRETİM_İHTİYAÇ_RAPORU_BURAK_YENI1309[[#This Row],[ALT_KOD]])-(SUMIFS(H:H,D:D,DST_123_ÜRETİM_İHTİYAÇ_RAPORU_BURAK_YENI1309[[#This Row],[ALT_KOD]])+AVERAGEIFS(I:I,D:D,DST_123_ÜRETİM_İHTİYAÇ_RAPORU_BURAK_YENI1309[[#This Row],[ALT_KOD]])+AVERAGEIFS(L:L,D:D,DST_123_ÜRETİM_İHTİYAÇ_RAPORU_BURAK_YENI1309[[#This Row],[ALT_KOD]]))</f>
        <v>-215.94</v>
      </c>
      <c r="L3594">
        <v>0</v>
      </c>
      <c r="M3594">
        <f>IF((DST_123_ÜRETİM_İHTİYAÇ_RAPORU_BURAK_YENI1309[[#This Row],[SATINALMA]]*DST_123_ÜRETİM_İHTİYAÇ_RAPORU_BURAK_YENI1309[[#This Row],[BIRIM_FIYATLAR]])&lt;1,VALUE("0"),DST_123_ÜRETİM_İHTİYAÇ_RAPORU_BURAK_YENI1309[[#This Row],[SATINALMA]]*DST_123_ÜRETİM_İHTİYAÇ_RAPORU_BURAK_YENI1309[[#This Row],[BIRIM_FIYATLAR]])</f>
        <v>0</v>
      </c>
      <c r="N3594">
        <v>15</v>
      </c>
      <c r="O3594" t="s">
        <v>226</v>
      </c>
      <c r="P3594">
        <v>24.150000000000002</v>
      </c>
      <c r="Q3594" t="s">
        <v>180</v>
      </c>
    </row>
    <row r="3595" spans="1:17" x14ac:dyDescent="0.25">
      <c r="A3595" t="s">
        <v>1143</v>
      </c>
      <c r="B3595" t="s">
        <v>1056</v>
      </c>
      <c r="C3595" t="s">
        <v>175</v>
      </c>
      <c r="D3595" t="s">
        <v>124</v>
      </c>
      <c r="E3595" t="s">
        <v>125</v>
      </c>
      <c r="F3595">
        <v>9.6300000000000008</v>
      </c>
      <c r="G3595" t="s">
        <v>185</v>
      </c>
      <c r="H3595">
        <v>0</v>
      </c>
      <c r="I3595">
        <v>0</v>
      </c>
      <c r="J3595" s="10">
        <v>297.61</v>
      </c>
      <c r="K3595" s="10">
        <f>SUMIFS(F:F,D:D,DST_123_ÜRETİM_İHTİYAÇ_RAPORU_BURAK_YENI1309[[#This Row],[ALT_KOD]])-(SUMIFS(H:H,D:D,DST_123_ÜRETİM_İHTİYAÇ_RAPORU_BURAK_YENI1309[[#This Row],[ALT_KOD]])+AVERAGEIFS(I:I,D:D,DST_123_ÜRETİM_İHTİYAÇ_RAPORU_BURAK_YENI1309[[#This Row],[ALT_KOD]])+AVERAGEIFS(L:L,D:D,DST_123_ÜRETİM_İHTİYAÇ_RAPORU_BURAK_YENI1309[[#This Row],[ALT_KOD]]))</f>
        <v>97.560000000000016</v>
      </c>
      <c r="L3595">
        <v>0</v>
      </c>
      <c r="M3595">
        <f>IF((DST_123_ÜRETİM_İHTİYAÇ_RAPORU_BURAK_YENI1309[[#This Row],[SATINALMA]]*DST_123_ÜRETİM_İHTİYAÇ_RAPORU_BURAK_YENI1309[[#This Row],[BIRIM_FIYATLAR]])&lt;1,VALUE("0"),DST_123_ÜRETİM_İHTİYAÇ_RAPORU_BURAK_YENI1309[[#This Row],[SATINALMA]]*DST_123_ÜRETİM_İHTİYAÇ_RAPORU_BURAK_YENI1309[[#This Row],[BIRIM_FIYATLAR]])</f>
        <v>13285.720800000003</v>
      </c>
      <c r="N3595">
        <v>136.18</v>
      </c>
      <c r="O3595" t="s">
        <v>252</v>
      </c>
      <c r="P3595">
        <v>1311.4134000000001</v>
      </c>
      <c r="Q3595" t="s">
        <v>183</v>
      </c>
    </row>
    <row r="3596" spans="1:17" x14ac:dyDescent="0.25">
      <c r="A3596" t="s">
        <v>1142</v>
      </c>
      <c r="B3596" t="s">
        <v>1056</v>
      </c>
      <c r="C3596" t="s">
        <v>175</v>
      </c>
      <c r="D3596" t="s">
        <v>264</v>
      </c>
      <c r="E3596" t="s">
        <v>265</v>
      </c>
      <c r="F3596">
        <v>1</v>
      </c>
      <c r="G3596" t="s">
        <v>176</v>
      </c>
      <c r="H3596">
        <v>0</v>
      </c>
      <c r="I3596">
        <v>0</v>
      </c>
      <c r="J3596" s="10">
        <v>8</v>
      </c>
      <c r="K3596" s="10">
        <f>SUMIFS(F:F,D:D,DST_123_ÜRETİM_İHTİYAÇ_RAPORU_BURAK_YENI1309[[#This Row],[ALT_KOD]])-(SUMIFS(H:H,D:D,DST_123_ÜRETİM_İHTİYAÇ_RAPORU_BURAK_YENI1309[[#This Row],[ALT_KOD]])+AVERAGEIFS(I:I,D:D,DST_123_ÜRETİM_İHTİYAÇ_RAPORU_BURAK_YENI1309[[#This Row],[ALT_KOD]])+AVERAGEIFS(L:L,D:D,DST_123_ÜRETİM_İHTİYAÇ_RAPORU_BURAK_YENI1309[[#This Row],[ALT_KOD]]))</f>
        <v>12</v>
      </c>
      <c r="L3596">
        <v>0</v>
      </c>
      <c r="M3596">
        <f>IF((DST_123_ÜRETİM_İHTİYAÇ_RAPORU_BURAK_YENI1309[[#This Row],[SATINALMA]]*DST_123_ÜRETİM_İHTİYAÇ_RAPORU_BURAK_YENI1309[[#This Row],[BIRIM_FIYATLAR]])&lt;1,VALUE("0"),DST_123_ÜRETİM_İHTİYAÇ_RAPORU_BURAK_YENI1309[[#This Row],[SATINALMA]]*DST_123_ÜRETİM_İHTİYAÇ_RAPORU_BURAK_YENI1309[[#This Row],[BIRIM_FIYATLAR]])</f>
        <v>55600.08</v>
      </c>
      <c r="N3596">
        <v>4633.34</v>
      </c>
      <c r="O3596" t="s">
        <v>214</v>
      </c>
      <c r="P3596">
        <v>4633.34</v>
      </c>
      <c r="Q3596" t="s">
        <v>177</v>
      </c>
    </row>
    <row r="3597" spans="1:17" x14ac:dyDescent="0.25">
      <c r="A3597" t="s">
        <v>1143</v>
      </c>
      <c r="B3597" t="s">
        <v>1056</v>
      </c>
      <c r="C3597" t="s">
        <v>175</v>
      </c>
      <c r="D3597" t="s">
        <v>567</v>
      </c>
      <c r="E3597" t="s">
        <v>568</v>
      </c>
      <c r="F3597">
        <v>65</v>
      </c>
      <c r="G3597" t="s">
        <v>176</v>
      </c>
      <c r="H3597">
        <v>0</v>
      </c>
      <c r="I3597">
        <v>5000</v>
      </c>
      <c r="J3597" s="10">
        <v>0</v>
      </c>
      <c r="K3597" s="10">
        <f>SUMIFS(F:F,D:D,DST_123_ÜRETİM_İHTİYAÇ_RAPORU_BURAK_YENI1309[[#This Row],[ALT_KOD]])-(SUMIFS(H:H,D:D,DST_123_ÜRETİM_İHTİYAÇ_RAPORU_BURAK_YENI1309[[#This Row],[ALT_KOD]])+AVERAGEIFS(I:I,D:D,DST_123_ÜRETİM_İHTİYAÇ_RAPORU_BURAK_YENI1309[[#This Row],[ALT_KOD]])+AVERAGEIFS(L:L,D:D,DST_123_ÜRETİM_İHTİYAÇ_RAPORU_BURAK_YENI1309[[#This Row],[ALT_KOD]]))</f>
        <v>-3820</v>
      </c>
      <c r="L3597">
        <v>0</v>
      </c>
      <c r="M3597">
        <f>IF((DST_123_ÜRETİM_İHTİYAÇ_RAPORU_BURAK_YENI1309[[#This Row],[SATINALMA]]*DST_123_ÜRETİM_İHTİYAÇ_RAPORU_BURAK_YENI1309[[#This Row],[BIRIM_FIYATLAR]])&lt;1,VALUE("0"),DST_123_ÜRETİM_İHTİYAÇ_RAPORU_BURAK_YENI1309[[#This Row],[SATINALMA]]*DST_123_ÜRETİM_İHTİYAÇ_RAPORU_BURAK_YENI1309[[#This Row],[BIRIM_FIYATLAR]])</f>
        <v>0</v>
      </c>
      <c r="N3597">
        <v>0.6</v>
      </c>
      <c r="O3597" t="s">
        <v>240</v>
      </c>
      <c r="P3597">
        <v>39</v>
      </c>
      <c r="Q3597" t="s">
        <v>180</v>
      </c>
    </row>
    <row r="3598" spans="1:17" x14ac:dyDescent="0.25">
      <c r="A3598" t="s">
        <v>1097</v>
      </c>
      <c r="B3598" t="s">
        <v>1055</v>
      </c>
      <c r="C3598" t="s">
        <v>175</v>
      </c>
      <c r="D3598" t="s">
        <v>567</v>
      </c>
      <c r="E3598" t="s">
        <v>568</v>
      </c>
      <c r="F3598">
        <v>65</v>
      </c>
      <c r="G3598" t="s">
        <v>176</v>
      </c>
      <c r="H3598">
        <v>0</v>
      </c>
      <c r="I3598">
        <v>5000</v>
      </c>
      <c r="J3598" s="10">
        <v>0</v>
      </c>
      <c r="K3598" s="10">
        <f>SUMIFS(F:F,D:D,DST_123_ÜRETİM_İHTİYAÇ_RAPORU_BURAK_YENI1309[[#This Row],[ALT_KOD]])-(SUMIFS(H:H,D:D,DST_123_ÜRETİM_İHTİYAÇ_RAPORU_BURAK_YENI1309[[#This Row],[ALT_KOD]])+AVERAGEIFS(I:I,D:D,DST_123_ÜRETİM_İHTİYAÇ_RAPORU_BURAK_YENI1309[[#This Row],[ALT_KOD]])+AVERAGEIFS(L:L,D:D,DST_123_ÜRETİM_İHTİYAÇ_RAPORU_BURAK_YENI1309[[#This Row],[ALT_KOD]]))</f>
        <v>-3820</v>
      </c>
      <c r="L3598">
        <v>0</v>
      </c>
      <c r="M3598">
        <f>IF((DST_123_ÜRETİM_İHTİYAÇ_RAPORU_BURAK_YENI1309[[#This Row],[SATINALMA]]*DST_123_ÜRETİM_İHTİYAÇ_RAPORU_BURAK_YENI1309[[#This Row],[BIRIM_FIYATLAR]])&lt;1,VALUE("0"),DST_123_ÜRETİM_İHTİYAÇ_RAPORU_BURAK_YENI1309[[#This Row],[SATINALMA]]*DST_123_ÜRETİM_İHTİYAÇ_RAPORU_BURAK_YENI1309[[#This Row],[BIRIM_FIYATLAR]])</f>
        <v>0</v>
      </c>
      <c r="N3598">
        <v>0.6</v>
      </c>
      <c r="O3598" t="s">
        <v>240</v>
      </c>
      <c r="P3598">
        <v>39</v>
      </c>
      <c r="Q3598" t="s">
        <v>180</v>
      </c>
    </row>
    <row r="3599" spans="1:17" x14ac:dyDescent="0.25">
      <c r="A3599" t="s">
        <v>1059</v>
      </c>
      <c r="B3599" t="s">
        <v>1058</v>
      </c>
      <c r="C3599" t="s">
        <v>175</v>
      </c>
      <c r="D3599" t="s">
        <v>567</v>
      </c>
      <c r="E3599" t="s">
        <v>568</v>
      </c>
      <c r="F3599">
        <v>60</v>
      </c>
      <c r="G3599" t="s">
        <v>176</v>
      </c>
      <c r="H3599">
        <v>0</v>
      </c>
      <c r="I3599">
        <v>5000</v>
      </c>
      <c r="J3599" s="10">
        <v>0</v>
      </c>
      <c r="K3599" s="10">
        <f>SUMIFS(F:F,D:D,DST_123_ÜRETİM_İHTİYAÇ_RAPORU_BURAK_YENI1309[[#This Row],[ALT_KOD]])-(SUMIFS(H:H,D:D,DST_123_ÜRETİM_İHTİYAÇ_RAPORU_BURAK_YENI1309[[#This Row],[ALT_KOD]])+AVERAGEIFS(I:I,D:D,DST_123_ÜRETİM_İHTİYAÇ_RAPORU_BURAK_YENI1309[[#This Row],[ALT_KOD]])+AVERAGEIFS(L:L,D:D,DST_123_ÜRETİM_İHTİYAÇ_RAPORU_BURAK_YENI1309[[#This Row],[ALT_KOD]]))</f>
        <v>-3820</v>
      </c>
      <c r="L3599">
        <v>0</v>
      </c>
      <c r="M3599">
        <f>IF((DST_123_ÜRETİM_İHTİYAÇ_RAPORU_BURAK_YENI1309[[#This Row],[SATINALMA]]*DST_123_ÜRETİM_İHTİYAÇ_RAPORU_BURAK_YENI1309[[#This Row],[BIRIM_FIYATLAR]])&lt;1,VALUE("0"),DST_123_ÜRETİM_İHTİYAÇ_RAPORU_BURAK_YENI1309[[#This Row],[SATINALMA]]*DST_123_ÜRETİM_İHTİYAÇ_RAPORU_BURAK_YENI1309[[#This Row],[BIRIM_FIYATLAR]])</f>
        <v>0</v>
      </c>
      <c r="N3599">
        <v>0.6</v>
      </c>
      <c r="O3599" t="s">
        <v>240</v>
      </c>
      <c r="P3599">
        <v>36</v>
      </c>
      <c r="Q3599" t="s">
        <v>180</v>
      </c>
    </row>
    <row r="3600" spans="1:17" x14ac:dyDescent="0.25">
      <c r="A3600" t="s">
        <v>1059</v>
      </c>
      <c r="B3600" t="s">
        <v>1058</v>
      </c>
      <c r="C3600" t="s">
        <v>175</v>
      </c>
      <c r="D3600" t="s">
        <v>478</v>
      </c>
      <c r="E3600" t="s">
        <v>479</v>
      </c>
      <c r="F3600">
        <v>50</v>
      </c>
      <c r="G3600" t="s">
        <v>176</v>
      </c>
      <c r="H3600">
        <v>0</v>
      </c>
      <c r="I3600">
        <v>0</v>
      </c>
      <c r="J3600" s="10">
        <v>1330</v>
      </c>
      <c r="K3600" s="10">
        <f>SUMIFS(F:F,D:D,DST_123_ÜRETİM_İHTİYAÇ_RAPORU_BURAK_YENI1309[[#This Row],[ALT_KOD]])-(SUMIFS(H:H,D:D,DST_123_ÜRETİM_İHTİYAÇ_RAPORU_BURAK_YENI1309[[#This Row],[ALT_KOD]])+AVERAGEIFS(I:I,D:D,DST_123_ÜRETİM_İHTİYAÇ_RAPORU_BURAK_YENI1309[[#This Row],[ALT_KOD]])+AVERAGEIFS(L:L,D:D,DST_123_ÜRETİM_İHTİYAÇ_RAPORU_BURAK_YENI1309[[#This Row],[ALT_KOD]]))</f>
        <v>860</v>
      </c>
      <c r="L3600">
        <v>0</v>
      </c>
      <c r="M3600">
        <f>IF((DST_123_ÜRETİM_İHTİYAÇ_RAPORU_BURAK_YENI1309[[#This Row],[SATINALMA]]*DST_123_ÜRETİM_İHTİYAÇ_RAPORU_BURAK_YENI1309[[#This Row],[BIRIM_FIYATLAR]])&lt;1,VALUE("0"),DST_123_ÜRETİM_İHTİYAÇ_RAPORU_BURAK_YENI1309[[#This Row],[SATINALMA]]*DST_123_ÜRETİM_İHTİYAÇ_RAPORU_BURAK_YENI1309[[#This Row],[BIRIM_FIYATLAR]])</f>
        <v>344</v>
      </c>
      <c r="N3600">
        <v>0.4</v>
      </c>
      <c r="O3600" t="s">
        <v>882</v>
      </c>
      <c r="P3600">
        <v>20</v>
      </c>
      <c r="Q3600" t="s">
        <v>180</v>
      </c>
    </row>
    <row r="3601" spans="1:17" x14ac:dyDescent="0.25">
      <c r="A3601" t="s">
        <v>1143</v>
      </c>
      <c r="B3601" t="s">
        <v>1056</v>
      </c>
      <c r="C3601" t="s">
        <v>175</v>
      </c>
      <c r="D3601" t="s">
        <v>478</v>
      </c>
      <c r="E3601" t="s">
        <v>479</v>
      </c>
      <c r="F3601">
        <v>50</v>
      </c>
      <c r="G3601" t="s">
        <v>176</v>
      </c>
      <c r="H3601">
        <v>0</v>
      </c>
      <c r="I3601">
        <v>0</v>
      </c>
      <c r="J3601" s="10">
        <v>1330</v>
      </c>
      <c r="K3601" s="10">
        <f>SUMIFS(F:F,D:D,DST_123_ÜRETİM_İHTİYAÇ_RAPORU_BURAK_YENI1309[[#This Row],[ALT_KOD]])-(SUMIFS(H:H,D:D,DST_123_ÜRETİM_İHTİYAÇ_RAPORU_BURAK_YENI1309[[#This Row],[ALT_KOD]])+AVERAGEIFS(I:I,D:D,DST_123_ÜRETİM_İHTİYAÇ_RAPORU_BURAK_YENI1309[[#This Row],[ALT_KOD]])+AVERAGEIFS(L:L,D:D,DST_123_ÜRETİM_İHTİYAÇ_RAPORU_BURAK_YENI1309[[#This Row],[ALT_KOD]]))</f>
        <v>860</v>
      </c>
      <c r="L3601">
        <v>0</v>
      </c>
      <c r="M3601">
        <f>IF((DST_123_ÜRETİM_İHTİYAÇ_RAPORU_BURAK_YENI1309[[#This Row],[SATINALMA]]*DST_123_ÜRETİM_İHTİYAÇ_RAPORU_BURAK_YENI1309[[#This Row],[BIRIM_FIYATLAR]])&lt;1,VALUE("0"),DST_123_ÜRETİM_İHTİYAÇ_RAPORU_BURAK_YENI1309[[#This Row],[SATINALMA]]*DST_123_ÜRETİM_İHTİYAÇ_RAPORU_BURAK_YENI1309[[#This Row],[BIRIM_FIYATLAR]])</f>
        <v>344</v>
      </c>
      <c r="N3601">
        <v>0.4</v>
      </c>
      <c r="O3601" t="s">
        <v>882</v>
      </c>
      <c r="P3601">
        <v>20</v>
      </c>
      <c r="Q3601" t="s">
        <v>180</v>
      </c>
    </row>
    <row r="3602" spans="1:17" x14ac:dyDescent="0.25">
      <c r="A3602" t="s">
        <v>1095</v>
      </c>
      <c r="B3602" t="s">
        <v>1096</v>
      </c>
      <c r="C3602" t="s">
        <v>175</v>
      </c>
      <c r="D3602" t="s">
        <v>478</v>
      </c>
      <c r="E3602" t="s">
        <v>479</v>
      </c>
      <c r="F3602">
        <v>50</v>
      </c>
      <c r="G3602" t="s">
        <v>176</v>
      </c>
      <c r="H3602">
        <v>0</v>
      </c>
      <c r="I3602">
        <v>0</v>
      </c>
      <c r="J3602" s="10">
        <v>1330</v>
      </c>
      <c r="K3602" s="10">
        <f>SUMIFS(F:F,D:D,DST_123_ÜRETİM_İHTİYAÇ_RAPORU_BURAK_YENI1309[[#This Row],[ALT_KOD]])-(SUMIFS(H:H,D:D,DST_123_ÜRETİM_İHTİYAÇ_RAPORU_BURAK_YENI1309[[#This Row],[ALT_KOD]])+AVERAGEIFS(I:I,D:D,DST_123_ÜRETİM_İHTİYAÇ_RAPORU_BURAK_YENI1309[[#This Row],[ALT_KOD]])+AVERAGEIFS(L:L,D:D,DST_123_ÜRETİM_İHTİYAÇ_RAPORU_BURAK_YENI1309[[#This Row],[ALT_KOD]]))</f>
        <v>860</v>
      </c>
      <c r="L3602">
        <v>0</v>
      </c>
      <c r="M3602">
        <f>IF((DST_123_ÜRETİM_İHTİYAÇ_RAPORU_BURAK_YENI1309[[#This Row],[SATINALMA]]*DST_123_ÜRETİM_İHTİYAÇ_RAPORU_BURAK_YENI1309[[#This Row],[BIRIM_FIYATLAR]])&lt;1,VALUE("0"),DST_123_ÜRETİM_İHTİYAÇ_RAPORU_BURAK_YENI1309[[#This Row],[SATINALMA]]*DST_123_ÜRETİM_İHTİYAÇ_RAPORU_BURAK_YENI1309[[#This Row],[BIRIM_FIYATLAR]])</f>
        <v>344</v>
      </c>
      <c r="N3602">
        <v>0.4</v>
      </c>
      <c r="O3602" t="s">
        <v>882</v>
      </c>
      <c r="P3602">
        <v>20</v>
      </c>
      <c r="Q3602" t="s">
        <v>180</v>
      </c>
    </row>
    <row r="3603" spans="1:17" x14ac:dyDescent="0.25">
      <c r="A3603" t="s">
        <v>1143</v>
      </c>
      <c r="B3603" t="s">
        <v>1056</v>
      </c>
      <c r="C3603" t="s">
        <v>175</v>
      </c>
      <c r="D3603" t="s">
        <v>614</v>
      </c>
      <c r="E3603" t="s">
        <v>615</v>
      </c>
      <c r="F3603">
        <v>0.5</v>
      </c>
      <c r="G3603" t="s">
        <v>185</v>
      </c>
      <c r="H3603">
        <v>0</v>
      </c>
      <c r="I3603">
        <v>39</v>
      </c>
      <c r="J3603" s="10">
        <v>40.000000000000014</v>
      </c>
      <c r="K3603" s="10">
        <f>SUMIFS(F:F,D:D,DST_123_ÜRETİM_İHTİYAÇ_RAPORU_BURAK_YENI1309[[#This Row],[ALT_KOD]])-(SUMIFS(H:H,D:D,DST_123_ÜRETİM_İHTİYAÇ_RAPORU_BURAK_YENI1309[[#This Row],[ALT_KOD]])+AVERAGEIFS(I:I,D:D,DST_123_ÜRETİM_İHTİYAÇ_RAPORU_BURAK_YENI1309[[#This Row],[ALT_KOD]])+AVERAGEIFS(L:L,D:D,DST_123_ÜRETİM_İHTİYAÇ_RAPORU_BURAK_YENI1309[[#This Row],[ALT_KOD]]))</f>
        <v>-18.5</v>
      </c>
      <c r="L3603">
        <v>0</v>
      </c>
      <c r="M3603">
        <f>IF((DST_123_ÜRETİM_İHTİYAÇ_RAPORU_BURAK_YENI1309[[#This Row],[SATINALMA]]*DST_123_ÜRETİM_İHTİYAÇ_RAPORU_BURAK_YENI1309[[#This Row],[BIRIM_FIYATLAR]])&lt;1,VALUE("0"),DST_123_ÜRETİM_İHTİYAÇ_RAPORU_BURAK_YENI1309[[#This Row],[SATINALMA]]*DST_123_ÜRETİM_İHTİYAÇ_RAPORU_BURAK_YENI1309[[#This Row],[BIRIM_FIYATLAR]])</f>
        <v>0</v>
      </c>
      <c r="N3603">
        <v>212.93</v>
      </c>
      <c r="O3603" t="s">
        <v>253</v>
      </c>
      <c r="P3603">
        <v>106.465</v>
      </c>
      <c r="Q3603" t="s">
        <v>181</v>
      </c>
    </row>
    <row r="3604" spans="1:17" x14ac:dyDescent="0.25">
      <c r="A3604" t="s">
        <v>1097</v>
      </c>
      <c r="B3604" t="s">
        <v>1055</v>
      </c>
      <c r="C3604" t="s">
        <v>175</v>
      </c>
      <c r="D3604" t="s">
        <v>614</v>
      </c>
      <c r="E3604" t="s">
        <v>615</v>
      </c>
      <c r="F3604">
        <v>0.5</v>
      </c>
      <c r="G3604" t="s">
        <v>185</v>
      </c>
      <c r="H3604">
        <v>0</v>
      </c>
      <c r="I3604">
        <v>39</v>
      </c>
      <c r="J3604" s="10">
        <v>40.000000000000014</v>
      </c>
      <c r="K3604" s="10">
        <f>SUMIFS(F:F,D:D,DST_123_ÜRETİM_İHTİYAÇ_RAPORU_BURAK_YENI1309[[#This Row],[ALT_KOD]])-(SUMIFS(H:H,D:D,DST_123_ÜRETİM_İHTİYAÇ_RAPORU_BURAK_YENI1309[[#This Row],[ALT_KOD]])+AVERAGEIFS(I:I,D:D,DST_123_ÜRETİM_İHTİYAÇ_RAPORU_BURAK_YENI1309[[#This Row],[ALT_KOD]])+AVERAGEIFS(L:L,D:D,DST_123_ÜRETİM_İHTİYAÇ_RAPORU_BURAK_YENI1309[[#This Row],[ALT_KOD]]))</f>
        <v>-18.5</v>
      </c>
      <c r="L3604">
        <v>0</v>
      </c>
      <c r="M3604">
        <f>IF((DST_123_ÜRETİM_İHTİYAÇ_RAPORU_BURAK_YENI1309[[#This Row],[SATINALMA]]*DST_123_ÜRETİM_İHTİYAÇ_RAPORU_BURAK_YENI1309[[#This Row],[BIRIM_FIYATLAR]])&lt;1,VALUE("0"),DST_123_ÜRETİM_İHTİYAÇ_RAPORU_BURAK_YENI1309[[#This Row],[SATINALMA]]*DST_123_ÜRETİM_İHTİYAÇ_RAPORU_BURAK_YENI1309[[#This Row],[BIRIM_FIYATLAR]])</f>
        <v>0</v>
      </c>
      <c r="N3604">
        <v>212.93</v>
      </c>
      <c r="O3604" t="s">
        <v>253</v>
      </c>
      <c r="P3604">
        <v>106.465</v>
      </c>
      <c r="Q3604" t="s">
        <v>181</v>
      </c>
    </row>
    <row r="3605" spans="1:17" x14ac:dyDescent="0.25">
      <c r="A3605" t="s">
        <v>1149</v>
      </c>
      <c r="B3605" t="s">
        <v>1145</v>
      </c>
      <c r="C3605" t="s">
        <v>175</v>
      </c>
      <c r="D3605" t="s">
        <v>466</v>
      </c>
      <c r="E3605" t="s">
        <v>467</v>
      </c>
      <c r="F3605">
        <v>110</v>
      </c>
      <c r="G3605" t="s">
        <v>176</v>
      </c>
      <c r="H3605">
        <v>0</v>
      </c>
      <c r="I3605">
        <v>7500</v>
      </c>
      <c r="J3605" s="10">
        <v>0</v>
      </c>
      <c r="K3605" s="10">
        <f>SUMIFS(F:F,D:D,DST_123_ÜRETİM_İHTİYAÇ_RAPORU_BURAK_YENI1309[[#This Row],[ALT_KOD]])-(SUMIFS(H:H,D:D,DST_123_ÜRETİM_İHTİYAÇ_RAPORU_BURAK_YENI1309[[#This Row],[ALT_KOD]])+AVERAGEIFS(I:I,D:D,DST_123_ÜRETİM_İHTİYAÇ_RAPORU_BURAK_YENI1309[[#This Row],[ALT_KOD]])+AVERAGEIFS(L:L,D:D,DST_123_ÜRETİM_İHTİYAÇ_RAPORU_BURAK_YENI1309[[#This Row],[ALT_KOD]]))</f>
        <v>-5570</v>
      </c>
      <c r="L3605">
        <v>0</v>
      </c>
      <c r="M3605">
        <f>IF((DST_123_ÜRETİM_İHTİYAÇ_RAPORU_BURAK_YENI1309[[#This Row],[SATINALMA]]*DST_123_ÜRETİM_İHTİYAÇ_RAPORU_BURAK_YENI1309[[#This Row],[BIRIM_FIYATLAR]])&lt;1,VALUE("0"),DST_123_ÜRETİM_İHTİYAÇ_RAPORU_BURAK_YENI1309[[#This Row],[SATINALMA]]*DST_123_ÜRETİM_İHTİYAÇ_RAPORU_BURAK_YENI1309[[#This Row],[BIRIM_FIYATLAR]])</f>
        <v>0</v>
      </c>
      <c r="N3605">
        <v>0.8</v>
      </c>
      <c r="O3605" t="s">
        <v>826</v>
      </c>
      <c r="P3605">
        <v>88</v>
      </c>
      <c r="Q3605" t="s">
        <v>180</v>
      </c>
    </row>
    <row r="3606" spans="1:17" x14ac:dyDescent="0.25">
      <c r="A3606" t="s">
        <v>1149</v>
      </c>
      <c r="B3606" t="s">
        <v>1145</v>
      </c>
      <c r="C3606" t="s">
        <v>175</v>
      </c>
      <c r="D3606" t="s">
        <v>558</v>
      </c>
      <c r="E3606" t="s">
        <v>559</v>
      </c>
      <c r="F3606">
        <v>4.25</v>
      </c>
      <c r="G3606" t="s">
        <v>176</v>
      </c>
      <c r="H3606">
        <v>0</v>
      </c>
      <c r="I3606">
        <v>34</v>
      </c>
      <c r="J3606" s="10">
        <v>97.880000000000024</v>
      </c>
      <c r="K3606" s="10">
        <f>SUMIFS(F:F,D:D,DST_123_ÜRETİM_İHTİYAÇ_RAPORU_BURAK_YENI1309[[#This Row],[ALT_KOD]])-(SUMIFS(H:H,D:D,DST_123_ÜRETİM_İHTİYAÇ_RAPORU_BURAK_YENI1309[[#This Row],[ALT_KOD]])+AVERAGEIFS(I:I,D:D,DST_123_ÜRETİM_İHTİYAÇ_RAPORU_BURAK_YENI1309[[#This Row],[ALT_KOD]])+AVERAGEIFS(L:L,D:D,DST_123_ÜRETİM_İHTİYAÇ_RAPORU_BURAK_YENI1309[[#This Row],[ALT_KOD]]))</f>
        <v>0.88000000000000256</v>
      </c>
      <c r="L3606">
        <v>0</v>
      </c>
      <c r="M3606">
        <f>IF((DST_123_ÜRETİM_İHTİYAÇ_RAPORU_BURAK_YENI1309[[#This Row],[SATINALMA]]*DST_123_ÜRETİM_İHTİYAÇ_RAPORU_BURAK_YENI1309[[#This Row],[BIRIM_FIYATLAR]])&lt;1,VALUE("0"),DST_123_ÜRETİM_İHTİYAÇ_RAPORU_BURAK_YENI1309[[#This Row],[SATINALMA]]*DST_123_ÜRETİM_İHTİYAÇ_RAPORU_BURAK_YENI1309[[#This Row],[BIRIM_FIYATLAR]])</f>
        <v>48.400000000000141</v>
      </c>
      <c r="N3606">
        <v>55</v>
      </c>
      <c r="O3606" t="s">
        <v>240</v>
      </c>
      <c r="P3606">
        <v>233.75</v>
      </c>
      <c r="Q3606" t="s">
        <v>180</v>
      </c>
    </row>
    <row r="3607" spans="1:17" x14ac:dyDescent="0.25">
      <c r="A3607" t="s">
        <v>1142</v>
      </c>
      <c r="B3607" t="s">
        <v>1056</v>
      </c>
      <c r="C3607" t="s">
        <v>175</v>
      </c>
      <c r="D3607" t="s">
        <v>582</v>
      </c>
      <c r="E3607" t="s">
        <v>583</v>
      </c>
      <c r="F3607">
        <v>5.9</v>
      </c>
      <c r="G3607" t="s">
        <v>185</v>
      </c>
      <c r="H3607">
        <v>0</v>
      </c>
      <c r="I3607">
        <v>0</v>
      </c>
      <c r="J3607" s="10">
        <v>297.39999999999998</v>
      </c>
      <c r="K3607" s="10">
        <f>SUMIFS(F:F,D:D,DST_123_ÜRETİM_İHTİYAÇ_RAPORU_BURAK_YENI1309[[#This Row],[ALT_KOD]])-(SUMIFS(H:H,D:D,DST_123_ÜRETİM_İHTİYAÇ_RAPORU_BURAK_YENI1309[[#This Row],[ALT_KOD]])+AVERAGEIFS(I:I,D:D,DST_123_ÜRETİM_İHTİYAÇ_RAPORU_BURAK_YENI1309[[#This Row],[ALT_KOD]])+AVERAGEIFS(L:L,D:D,DST_123_ÜRETİM_İHTİYAÇ_RAPORU_BURAK_YENI1309[[#This Row],[ALT_KOD]]))</f>
        <v>94.40000000000002</v>
      </c>
      <c r="L3607">
        <v>0</v>
      </c>
      <c r="M3607">
        <f>IF((DST_123_ÜRETİM_İHTİYAÇ_RAPORU_BURAK_YENI1309[[#This Row],[SATINALMA]]*DST_123_ÜRETİM_İHTİYAÇ_RAPORU_BURAK_YENI1309[[#This Row],[BIRIM_FIYATLAR]])&lt;1,VALUE("0"),DST_123_ÜRETİM_İHTİYAÇ_RAPORU_BURAK_YENI1309[[#This Row],[SATINALMA]]*DST_123_ÜRETİM_İHTİYAÇ_RAPORU_BURAK_YENI1309[[#This Row],[BIRIM_FIYATLAR]])</f>
        <v>21972.544000000005</v>
      </c>
      <c r="N3607">
        <v>232.76</v>
      </c>
      <c r="O3607" t="s">
        <v>490</v>
      </c>
      <c r="P3607">
        <v>1373.2840000000001</v>
      </c>
      <c r="Q3607" t="s">
        <v>183</v>
      </c>
    </row>
    <row r="3608" spans="1:17" x14ac:dyDescent="0.25">
      <c r="A3608" t="s">
        <v>1097</v>
      </c>
      <c r="B3608" t="s">
        <v>1055</v>
      </c>
      <c r="C3608" t="s">
        <v>175</v>
      </c>
      <c r="D3608" t="s">
        <v>582</v>
      </c>
      <c r="E3608" t="s">
        <v>583</v>
      </c>
      <c r="F3608">
        <v>5.9</v>
      </c>
      <c r="G3608" t="s">
        <v>185</v>
      </c>
      <c r="H3608">
        <v>0</v>
      </c>
      <c r="I3608">
        <v>0</v>
      </c>
      <c r="J3608" s="10">
        <v>297.39999999999998</v>
      </c>
      <c r="K3608" s="10">
        <f>SUMIFS(F:F,D:D,DST_123_ÜRETİM_İHTİYAÇ_RAPORU_BURAK_YENI1309[[#This Row],[ALT_KOD]])-(SUMIFS(H:H,D:D,DST_123_ÜRETİM_İHTİYAÇ_RAPORU_BURAK_YENI1309[[#This Row],[ALT_KOD]])+AVERAGEIFS(I:I,D:D,DST_123_ÜRETİM_İHTİYAÇ_RAPORU_BURAK_YENI1309[[#This Row],[ALT_KOD]])+AVERAGEIFS(L:L,D:D,DST_123_ÜRETİM_İHTİYAÇ_RAPORU_BURAK_YENI1309[[#This Row],[ALT_KOD]]))</f>
        <v>94.40000000000002</v>
      </c>
      <c r="L3608">
        <v>0</v>
      </c>
      <c r="M3608">
        <f>IF((DST_123_ÜRETİM_İHTİYAÇ_RAPORU_BURAK_YENI1309[[#This Row],[SATINALMA]]*DST_123_ÜRETİM_İHTİYAÇ_RAPORU_BURAK_YENI1309[[#This Row],[BIRIM_FIYATLAR]])&lt;1,VALUE("0"),DST_123_ÜRETİM_İHTİYAÇ_RAPORU_BURAK_YENI1309[[#This Row],[SATINALMA]]*DST_123_ÜRETİM_İHTİYAÇ_RAPORU_BURAK_YENI1309[[#This Row],[BIRIM_FIYATLAR]])</f>
        <v>21972.544000000005</v>
      </c>
      <c r="N3608">
        <v>232.76</v>
      </c>
      <c r="O3608" t="s">
        <v>490</v>
      </c>
      <c r="P3608">
        <v>1373.2840000000001</v>
      </c>
      <c r="Q3608" t="s">
        <v>183</v>
      </c>
    </row>
    <row r="3609" spans="1:17" x14ac:dyDescent="0.25">
      <c r="A3609" t="s">
        <v>1143</v>
      </c>
      <c r="B3609" t="s">
        <v>1056</v>
      </c>
      <c r="C3609" t="s">
        <v>175</v>
      </c>
      <c r="D3609" t="s">
        <v>865</v>
      </c>
      <c r="E3609" t="s">
        <v>644</v>
      </c>
      <c r="F3609">
        <v>3</v>
      </c>
      <c r="G3609" t="s">
        <v>176</v>
      </c>
      <c r="H3609">
        <v>0</v>
      </c>
      <c r="I3609">
        <v>3</v>
      </c>
      <c r="J3609" s="10">
        <v>13</v>
      </c>
      <c r="K3609" s="10">
        <f>SUMIFS(F:F,D:D,DST_123_ÜRETİM_İHTİYAÇ_RAPORU_BURAK_YENI1309[[#This Row],[ALT_KOD]])-(SUMIFS(H:H,D:D,DST_123_ÜRETİM_İHTİYAÇ_RAPORU_BURAK_YENI1309[[#This Row],[ALT_KOD]])+AVERAGEIFS(I:I,D:D,DST_123_ÜRETİM_İHTİYAÇ_RAPORU_BURAK_YENI1309[[#This Row],[ALT_KOD]])+AVERAGEIFS(L:L,D:D,DST_123_ÜRETİM_İHTİYAÇ_RAPORU_BURAK_YENI1309[[#This Row],[ALT_KOD]]))</f>
        <v>12</v>
      </c>
      <c r="L3609">
        <v>0</v>
      </c>
      <c r="M3609">
        <f>IF((DST_123_ÜRETİM_İHTİYAÇ_RAPORU_BURAK_YENI1309[[#This Row],[SATINALMA]]*DST_123_ÜRETİM_İHTİYAÇ_RAPORU_BURAK_YENI1309[[#This Row],[BIRIM_FIYATLAR]])&lt;1,VALUE("0"),DST_123_ÜRETİM_İHTİYAÇ_RAPORU_BURAK_YENI1309[[#This Row],[SATINALMA]]*DST_123_ÜRETİM_İHTİYAÇ_RAPORU_BURAK_YENI1309[[#This Row],[BIRIM_FIYATLAR]])</f>
        <v>43576.08</v>
      </c>
      <c r="N3609">
        <v>3631.34</v>
      </c>
      <c r="O3609" t="s">
        <v>647</v>
      </c>
      <c r="P3609">
        <v>10894.02</v>
      </c>
      <c r="Q3609" t="s">
        <v>177</v>
      </c>
    </row>
    <row r="3610" spans="1:17" x14ac:dyDescent="0.25">
      <c r="A3610" t="s">
        <v>1100</v>
      </c>
      <c r="B3610" t="s">
        <v>1058</v>
      </c>
      <c r="C3610" t="s">
        <v>175</v>
      </c>
      <c r="D3610" t="s">
        <v>123</v>
      </c>
      <c r="E3610" t="s">
        <v>633</v>
      </c>
      <c r="F3610">
        <v>0.2</v>
      </c>
      <c r="G3610" t="s">
        <v>179</v>
      </c>
      <c r="H3610">
        <v>0</v>
      </c>
      <c r="I3610">
        <v>200</v>
      </c>
      <c r="J3610" s="10">
        <v>5.6843418860808015E-14</v>
      </c>
      <c r="K3610" s="10">
        <f>SUMIFS(F:F,D:D,DST_123_ÜRETİM_İHTİYAÇ_RAPORU_BURAK_YENI1309[[#This Row],[ALT_KOD]])-(SUMIFS(H:H,D:D,DST_123_ÜRETİM_İHTİYAÇ_RAPORU_BURAK_YENI1309[[#This Row],[ALT_KOD]])+AVERAGEIFS(I:I,D:D,DST_123_ÜRETİM_İHTİYAÇ_RAPORU_BURAK_YENI1309[[#This Row],[ALT_KOD]])+AVERAGEIFS(L:L,D:D,DST_123_ÜRETİM_İHTİYAÇ_RAPORU_BURAK_YENI1309[[#This Row],[ALT_KOD]]))</f>
        <v>-196.15</v>
      </c>
      <c r="L3610">
        <v>0</v>
      </c>
      <c r="M3610">
        <f>IF((DST_123_ÜRETİM_İHTİYAÇ_RAPORU_BURAK_YENI1309[[#This Row],[SATINALMA]]*DST_123_ÜRETİM_İHTİYAÇ_RAPORU_BURAK_YENI1309[[#This Row],[BIRIM_FIYATLAR]])&lt;1,VALUE("0"),DST_123_ÜRETİM_İHTİYAÇ_RAPORU_BURAK_YENI1309[[#This Row],[SATINALMA]]*DST_123_ÜRETİM_İHTİYAÇ_RAPORU_BURAK_YENI1309[[#This Row],[BIRIM_FIYATLAR]])</f>
        <v>0</v>
      </c>
      <c r="N3610">
        <v>2.89</v>
      </c>
      <c r="O3610" t="s">
        <v>826</v>
      </c>
      <c r="P3610">
        <v>0.57800000000000007</v>
      </c>
      <c r="Q3610" t="s">
        <v>221</v>
      </c>
    </row>
    <row r="3611" spans="1:17" x14ac:dyDescent="0.25">
      <c r="A3611" t="s">
        <v>1147</v>
      </c>
      <c r="B3611" t="s">
        <v>1145</v>
      </c>
      <c r="C3611" t="s">
        <v>175</v>
      </c>
      <c r="D3611" t="s">
        <v>123</v>
      </c>
      <c r="E3611" t="s">
        <v>633</v>
      </c>
      <c r="F3611">
        <v>0.2</v>
      </c>
      <c r="G3611" t="s">
        <v>179</v>
      </c>
      <c r="H3611">
        <v>0</v>
      </c>
      <c r="I3611">
        <v>200</v>
      </c>
      <c r="J3611" s="10">
        <v>5.6843418860808015E-14</v>
      </c>
      <c r="K3611" s="10">
        <f>SUMIFS(F:F,D:D,DST_123_ÜRETİM_İHTİYAÇ_RAPORU_BURAK_YENI1309[[#This Row],[ALT_KOD]])-(SUMIFS(H:H,D:D,DST_123_ÜRETİM_İHTİYAÇ_RAPORU_BURAK_YENI1309[[#This Row],[ALT_KOD]])+AVERAGEIFS(I:I,D:D,DST_123_ÜRETİM_İHTİYAÇ_RAPORU_BURAK_YENI1309[[#This Row],[ALT_KOD]])+AVERAGEIFS(L:L,D:D,DST_123_ÜRETİM_İHTİYAÇ_RAPORU_BURAK_YENI1309[[#This Row],[ALT_KOD]]))</f>
        <v>-196.15</v>
      </c>
      <c r="L3611">
        <v>0</v>
      </c>
      <c r="M3611">
        <f>IF((DST_123_ÜRETİM_İHTİYAÇ_RAPORU_BURAK_YENI1309[[#This Row],[SATINALMA]]*DST_123_ÜRETİM_İHTİYAÇ_RAPORU_BURAK_YENI1309[[#This Row],[BIRIM_FIYATLAR]])&lt;1,VALUE("0"),DST_123_ÜRETİM_İHTİYAÇ_RAPORU_BURAK_YENI1309[[#This Row],[SATINALMA]]*DST_123_ÜRETİM_İHTİYAÇ_RAPORU_BURAK_YENI1309[[#This Row],[BIRIM_FIYATLAR]])</f>
        <v>0</v>
      </c>
      <c r="N3611">
        <v>2.89</v>
      </c>
      <c r="O3611" t="s">
        <v>826</v>
      </c>
      <c r="P3611">
        <v>0.57800000000000007</v>
      </c>
      <c r="Q3611" t="s">
        <v>221</v>
      </c>
    </row>
    <row r="3612" spans="1:17" x14ac:dyDescent="0.25">
      <c r="A3612" t="s">
        <v>1148</v>
      </c>
      <c r="B3612" t="s">
        <v>1056</v>
      </c>
      <c r="C3612" t="s">
        <v>175</v>
      </c>
      <c r="D3612" t="s">
        <v>123</v>
      </c>
      <c r="E3612" t="s">
        <v>633</v>
      </c>
      <c r="F3612">
        <v>0.2</v>
      </c>
      <c r="G3612" t="s">
        <v>179</v>
      </c>
      <c r="H3612">
        <v>0</v>
      </c>
      <c r="I3612">
        <v>200</v>
      </c>
      <c r="J3612" s="10">
        <v>5.6843418860808015E-14</v>
      </c>
      <c r="K3612" s="10">
        <f>SUMIFS(F:F,D:D,DST_123_ÜRETİM_İHTİYAÇ_RAPORU_BURAK_YENI1309[[#This Row],[ALT_KOD]])-(SUMIFS(H:H,D:D,DST_123_ÜRETİM_İHTİYAÇ_RAPORU_BURAK_YENI1309[[#This Row],[ALT_KOD]])+AVERAGEIFS(I:I,D:D,DST_123_ÜRETİM_İHTİYAÇ_RAPORU_BURAK_YENI1309[[#This Row],[ALT_KOD]])+AVERAGEIFS(L:L,D:D,DST_123_ÜRETİM_İHTİYAÇ_RAPORU_BURAK_YENI1309[[#This Row],[ALT_KOD]]))</f>
        <v>-196.15</v>
      </c>
      <c r="L3612">
        <v>0</v>
      </c>
      <c r="M3612">
        <f>IF((DST_123_ÜRETİM_İHTİYAÇ_RAPORU_BURAK_YENI1309[[#This Row],[SATINALMA]]*DST_123_ÜRETİM_İHTİYAÇ_RAPORU_BURAK_YENI1309[[#This Row],[BIRIM_FIYATLAR]])&lt;1,VALUE("0"),DST_123_ÜRETİM_İHTİYAÇ_RAPORU_BURAK_YENI1309[[#This Row],[SATINALMA]]*DST_123_ÜRETİM_İHTİYAÇ_RAPORU_BURAK_YENI1309[[#This Row],[BIRIM_FIYATLAR]])</f>
        <v>0</v>
      </c>
      <c r="N3612">
        <v>2.89</v>
      </c>
      <c r="O3612" t="s">
        <v>826</v>
      </c>
      <c r="P3612">
        <v>0.57800000000000007</v>
      </c>
      <c r="Q3612" t="s">
        <v>221</v>
      </c>
    </row>
    <row r="3613" spans="1:17" x14ac:dyDescent="0.25">
      <c r="A3613" t="s">
        <v>1060</v>
      </c>
      <c r="B3613" t="s">
        <v>1061</v>
      </c>
      <c r="C3613" t="s">
        <v>175</v>
      </c>
      <c r="D3613" t="s">
        <v>133</v>
      </c>
      <c r="E3613" t="s">
        <v>310</v>
      </c>
      <c r="F3613">
        <v>1</v>
      </c>
      <c r="G3613" t="s">
        <v>176</v>
      </c>
      <c r="H3613">
        <v>1</v>
      </c>
      <c r="I3613">
        <v>15</v>
      </c>
      <c r="J3613" s="10">
        <v>9</v>
      </c>
      <c r="K3613" s="10">
        <f>SUMIFS(F:F,D:D,DST_123_ÜRETİM_İHTİYAÇ_RAPORU_BURAK_YENI1309[[#This Row],[ALT_KOD]])-(SUMIFS(H:H,D:D,DST_123_ÜRETİM_İHTİYAÇ_RAPORU_BURAK_YENI1309[[#This Row],[ALT_KOD]])+AVERAGEIFS(I:I,D:D,DST_123_ÜRETİM_İHTİYAÇ_RAPORU_BURAK_YENI1309[[#This Row],[ALT_KOD]])+AVERAGEIFS(L:L,D:D,DST_123_ÜRETİM_İHTİYAÇ_RAPORU_BURAK_YENI1309[[#This Row],[ALT_KOD]]))</f>
        <v>-3</v>
      </c>
      <c r="L3613">
        <v>0</v>
      </c>
      <c r="M3613">
        <f>IF((DST_123_ÜRETİM_İHTİYAÇ_RAPORU_BURAK_YENI1309[[#This Row],[SATINALMA]]*DST_123_ÜRETİM_İHTİYAÇ_RAPORU_BURAK_YENI1309[[#This Row],[BIRIM_FIYATLAR]])&lt;1,VALUE("0"),DST_123_ÜRETİM_İHTİYAÇ_RAPORU_BURAK_YENI1309[[#This Row],[SATINALMA]]*DST_123_ÜRETİM_İHTİYAÇ_RAPORU_BURAK_YENI1309[[#This Row],[BIRIM_FIYATLAR]])</f>
        <v>0</v>
      </c>
      <c r="N3613">
        <v>224.46</v>
      </c>
      <c r="O3613" t="s">
        <v>826</v>
      </c>
      <c r="P3613">
        <v>224.46</v>
      </c>
      <c r="Q3613" t="s">
        <v>221</v>
      </c>
    </row>
    <row r="3614" spans="1:17" x14ac:dyDescent="0.25">
      <c r="A3614" t="s">
        <v>1057</v>
      </c>
      <c r="B3614" t="s">
        <v>1058</v>
      </c>
      <c r="C3614" t="s">
        <v>175</v>
      </c>
      <c r="D3614" t="s">
        <v>133</v>
      </c>
      <c r="E3614" t="s">
        <v>310</v>
      </c>
      <c r="F3614">
        <v>1</v>
      </c>
      <c r="G3614" t="s">
        <v>176</v>
      </c>
      <c r="H3614">
        <v>1</v>
      </c>
      <c r="I3614">
        <v>15</v>
      </c>
      <c r="J3614" s="10">
        <v>9</v>
      </c>
      <c r="K3614" s="10">
        <f>SUMIFS(F:F,D:D,DST_123_ÜRETİM_İHTİYAÇ_RAPORU_BURAK_YENI1309[[#This Row],[ALT_KOD]])-(SUMIFS(H:H,D:D,DST_123_ÜRETİM_İHTİYAÇ_RAPORU_BURAK_YENI1309[[#This Row],[ALT_KOD]])+AVERAGEIFS(I:I,D:D,DST_123_ÜRETİM_İHTİYAÇ_RAPORU_BURAK_YENI1309[[#This Row],[ALT_KOD]])+AVERAGEIFS(L:L,D:D,DST_123_ÜRETİM_İHTİYAÇ_RAPORU_BURAK_YENI1309[[#This Row],[ALT_KOD]]))</f>
        <v>-3</v>
      </c>
      <c r="L3614">
        <v>0</v>
      </c>
      <c r="M3614">
        <f>IF((DST_123_ÜRETİM_İHTİYAÇ_RAPORU_BURAK_YENI1309[[#This Row],[SATINALMA]]*DST_123_ÜRETİM_İHTİYAÇ_RAPORU_BURAK_YENI1309[[#This Row],[BIRIM_FIYATLAR]])&lt;1,VALUE("0"),DST_123_ÜRETİM_İHTİYAÇ_RAPORU_BURAK_YENI1309[[#This Row],[SATINALMA]]*DST_123_ÜRETİM_İHTİYAÇ_RAPORU_BURAK_YENI1309[[#This Row],[BIRIM_FIYATLAR]])</f>
        <v>0</v>
      </c>
      <c r="N3614">
        <v>224.46</v>
      </c>
      <c r="O3614" t="s">
        <v>826</v>
      </c>
      <c r="P3614">
        <v>224.46</v>
      </c>
      <c r="Q3614" t="s">
        <v>221</v>
      </c>
    </row>
    <row r="3615" spans="1:17" x14ac:dyDescent="0.25">
      <c r="A3615" t="s">
        <v>1147</v>
      </c>
      <c r="B3615" t="s">
        <v>1145</v>
      </c>
      <c r="C3615" t="s">
        <v>175</v>
      </c>
      <c r="D3615" t="s">
        <v>133</v>
      </c>
      <c r="E3615" t="s">
        <v>310</v>
      </c>
      <c r="F3615">
        <v>1</v>
      </c>
      <c r="G3615" t="s">
        <v>176</v>
      </c>
      <c r="H3615">
        <v>0</v>
      </c>
      <c r="I3615">
        <v>15</v>
      </c>
      <c r="J3615" s="10">
        <v>9</v>
      </c>
      <c r="K3615" s="10">
        <f>SUMIFS(F:F,D:D,DST_123_ÜRETİM_İHTİYAÇ_RAPORU_BURAK_YENI1309[[#This Row],[ALT_KOD]])-(SUMIFS(H:H,D:D,DST_123_ÜRETİM_İHTİYAÇ_RAPORU_BURAK_YENI1309[[#This Row],[ALT_KOD]])+AVERAGEIFS(I:I,D:D,DST_123_ÜRETİM_İHTİYAÇ_RAPORU_BURAK_YENI1309[[#This Row],[ALT_KOD]])+AVERAGEIFS(L:L,D:D,DST_123_ÜRETİM_İHTİYAÇ_RAPORU_BURAK_YENI1309[[#This Row],[ALT_KOD]]))</f>
        <v>-3</v>
      </c>
      <c r="L3615">
        <v>0</v>
      </c>
      <c r="M3615">
        <f>IF((DST_123_ÜRETİM_İHTİYAÇ_RAPORU_BURAK_YENI1309[[#This Row],[SATINALMA]]*DST_123_ÜRETİM_İHTİYAÇ_RAPORU_BURAK_YENI1309[[#This Row],[BIRIM_FIYATLAR]])&lt;1,VALUE("0"),DST_123_ÜRETİM_İHTİYAÇ_RAPORU_BURAK_YENI1309[[#This Row],[SATINALMA]]*DST_123_ÜRETİM_İHTİYAÇ_RAPORU_BURAK_YENI1309[[#This Row],[BIRIM_FIYATLAR]])</f>
        <v>0</v>
      </c>
      <c r="N3615">
        <v>224.46</v>
      </c>
      <c r="O3615" t="s">
        <v>826</v>
      </c>
      <c r="P3615">
        <v>224.46</v>
      </c>
      <c r="Q3615" t="s">
        <v>221</v>
      </c>
    </row>
    <row r="3616" spans="1:17" x14ac:dyDescent="0.25">
      <c r="A3616" t="s">
        <v>1148</v>
      </c>
      <c r="B3616" t="s">
        <v>1056</v>
      </c>
      <c r="C3616" t="s">
        <v>175</v>
      </c>
      <c r="D3616" t="s">
        <v>133</v>
      </c>
      <c r="E3616" t="s">
        <v>310</v>
      </c>
      <c r="F3616">
        <v>1</v>
      </c>
      <c r="G3616" t="s">
        <v>176</v>
      </c>
      <c r="H3616">
        <v>0</v>
      </c>
      <c r="I3616">
        <v>15</v>
      </c>
      <c r="J3616" s="10">
        <v>9</v>
      </c>
      <c r="K3616" s="10">
        <f>SUMIFS(F:F,D:D,DST_123_ÜRETİM_İHTİYAÇ_RAPORU_BURAK_YENI1309[[#This Row],[ALT_KOD]])-(SUMIFS(H:H,D:D,DST_123_ÜRETİM_İHTİYAÇ_RAPORU_BURAK_YENI1309[[#This Row],[ALT_KOD]])+AVERAGEIFS(I:I,D:D,DST_123_ÜRETİM_İHTİYAÇ_RAPORU_BURAK_YENI1309[[#This Row],[ALT_KOD]])+AVERAGEIFS(L:L,D:D,DST_123_ÜRETİM_İHTİYAÇ_RAPORU_BURAK_YENI1309[[#This Row],[ALT_KOD]]))</f>
        <v>-3</v>
      </c>
      <c r="L3616">
        <v>0</v>
      </c>
      <c r="M3616">
        <f>IF((DST_123_ÜRETİM_İHTİYAÇ_RAPORU_BURAK_YENI1309[[#This Row],[SATINALMA]]*DST_123_ÜRETİM_İHTİYAÇ_RAPORU_BURAK_YENI1309[[#This Row],[BIRIM_FIYATLAR]])&lt;1,VALUE("0"),DST_123_ÜRETİM_İHTİYAÇ_RAPORU_BURAK_YENI1309[[#This Row],[SATINALMA]]*DST_123_ÜRETİM_İHTİYAÇ_RAPORU_BURAK_YENI1309[[#This Row],[BIRIM_FIYATLAR]])</f>
        <v>0</v>
      </c>
      <c r="N3616">
        <v>224.46</v>
      </c>
      <c r="O3616" t="s">
        <v>826</v>
      </c>
      <c r="P3616">
        <v>224.46</v>
      </c>
      <c r="Q3616" t="s">
        <v>221</v>
      </c>
    </row>
    <row r="3617" spans="1:17" x14ac:dyDescent="0.25">
      <c r="A3617" t="s">
        <v>1100</v>
      </c>
      <c r="B3617" t="s">
        <v>1058</v>
      </c>
      <c r="C3617" t="s">
        <v>175</v>
      </c>
      <c r="D3617" t="s">
        <v>133</v>
      </c>
      <c r="E3617" t="s">
        <v>310</v>
      </c>
      <c r="F3617">
        <v>1</v>
      </c>
      <c r="G3617" t="s">
        <v>176</v>
      </c>
      <c r="H3617">
        <v>1</v>
      </c>
      <c r="I3617">
        <v>15</v>
      </c>
      <c r="J3617" s="10">
        <v>9</v>
      </c>
      <c r="K3617" s="10">
        <f>SUMIFS(F:F,D:D,DST_123_ÜRETİM_İHTİYAÇ_RAPORU_BURAK_YENI1309[[#This Row],[ALT_KOD]])-(SUMIFS(H:H,D:D,DST_123_ÜRETİM_İHTİYAÇ_RAPORU_BURAK_YENI1309[[#This Row],[ALT_KOD]])+AVERAGEIFS(I:I,D:D,DST_123_ÜRETİM_İHTİYAÇ_RAPORU_BURAK_YENI1309[[#This Row],[ALT_KOD]])+AVERAGEIFS(L:L,D:D,DST_123_ÜRETİM_İHTİYAÇ_RAPORU_BURAK_YENI1309[[#This Row],[ALT_KOD]]))</f>
        <v>-3</v>
      </c>
      <c r="L3617">
        <v>0</v>
      </c>
      <c r="M3617">
        <f>IF((DST_123_ÜRETİM_İHTİYAÇ_RAPORU_BURAK_YENI1309[[#This Row],[SATINALMA]]*DST_123_ÜRETİM_İHTİYAÇ_RAPORU_BURAK_YENI1309[[#This Row],[BIRIM_FIYATLAR]])&lt;1,VALUE("0"),DST_123_ÜRETİM_İHTİYAÇ_RAPORU_BURAK_YENI1309[[#This Row],[SATINALMA]]*DST_123_ÜRETİM_İHTİYAÇ_RAPORU_BURAK_YENI1309[[#This Row],[BIRIM_FIYATLAR]])</f>
        <v>0</v>
      </c>
      <c r="N3617">
        <v>224.46</v>
      </c>
      <c r="O3617" t="s">
        <v>826</v>
      </c>
      <c r="P3617">
        <v>224.46</v>
      </c>
      <c r="Q3617" t="s">
        <v>221</v>
      </c>
    </row>
    <row r="3618" spans="1:17" x14ac:dyDescent="0.25">
      <c r="A3618" t="s">
        <v>1143</v>
      </c>
      <c r="B3618" t="s">
        <v>1056</v>
      </c>
      <c r="C3618" t="s">
        <v>175</v>
      </c>
      <c r="D3618" t="s">
        <v>126</v>
      </c>
      <c r="E3618" t="s">
        <v>127</v>
      </c>
      <c r="F3618">
        <v>50</v>
      </c>
      <c r="G3618" t="s">
        <v>179</v>
      </c>
      <c r="H3618">
        <v>0</v>
      </c>
      <c r="I3618">
        <v>0</v>
      </c>
      <c r="J3618" s="10">
        <v>2254.0000000000009</v>
      </c>
      <c r="K3618" s="10">
        <f>SUMIFS(F:F,D:D,DST_123_ÜRETİM_İHTİYAÇ_RAPORU_BURAK_YENI1309[[#This Row],[ALT_KOD]])-(SUMIFS(H:H,D:D,DST_123_ÜRETİM_İHTİYAÇ_RAPORU_BURAK_YENI1309[[#This Row],[ALT_KOD]])+AVERAGEIFS(I:I,D:D,DST_123_ÜRETİM_İHTİYAÇ_RAPORU_BURAK_YENI1309[[#This Row],[ALT_KOD]])+AVERAGEIFS(L:L,D:D,DST_123_ÜRETİM_İHTİYAÇ_RAPORU_BURAK_YENI1309[[#This Row],[ALT_KOD]]))</f>
        <v>300</v>
      </c>
      <c r="L3618">
        <v>0</v>
      </c>
      <c r="M3618">
        <f>IF((DST_123_ÜRETİM_İHTİYAÇ_RAPORU_BURAK_YENI1309[[#This Row],[SATINALMA]]*DST_123_ÜRETİM_İHTİYAÇ_RAPORU_BURAK_YENI1309[[#This Row],[BIRIM_FIYATLAR]])&lt;1,VALUE("0"),DST_123_ÜRETİM_İHTİYAÇ_RAPORU_BURAK_YENI1309[[#This Row],[SATINALMA]]*DST_123_ÜRETİM_İHTİYAÇ_RAPORU_BURAK_YENI1309[[#This Row],[BIRIM_FIYATLAR]])</f>
        <v>3110.9999999999995</v>
      </c>
      <c r="N3618">
        <v>10.37</v>
      </c>
      <c r="O3618" t="s">
        <v>223</v>
      </c>
      <c r="P3618">
        <v>518.5</v>
      </c>
      <c r="Q3618" t="s">
        <v>181</v>
      </c>
    </row>
    <row r="3619" spans="1:17" x14ac:dyDescent="0.25">
      <c r="A3619" t="s">
        <v>1143</v>
      </c>
      <c r="B3619" t="s">
        <v>1056</v>
      </c>
      <c r="C3619" t="s">
        <v>175</v>
      </c>
      <c r="D3619" t="s">
        <v>128</v>
      </c>
      <c r="E3619" t="s">
        <v>129</v>
      </c>
      <c r="F3619">
        <v>9.6300000000000008</v>
      </c>
      <c r="G3619" t="s">
        <v>185</v>
      </c>
      <c r="H3619">
        <v>0</v>
      </c>
      <c r="I3619">
        <v>0</v>
      </c>
      <c r="J3619" s="10">
        <v>260.61</v>
      </c>
      <c r="K3619" s="10">
        <f>SUMIFS(F:F,D:D,DST_123_ÜRETİM_İHTİYAÇ_RAPORU_BURAK_YENI1309[[#This Row],[ALT_KOD]])-(SUMIFS(H:H,D:D,DST_123_ÜRETİM_İHTİYAÇ_RAPORU_BURAK_YENI1309[[#This Row],[ALT_KOD]])+AVERAGEIFS(I:I,D:D,DST_123_ÜRETİM_İHTİYAÇ_RAPORU_BURAK_YENI1309[[#This Row],[ALT_KOD]])+AVERAGEIFS(L:L,D:D,DST_123_ÜRETİM_İHTİYAÇ_RAPORU_BURAK_YENI1309[[#This Row],[ALT_KOD]]))</f>
        <v>97.559999999999988</v>
      </c>
      <c r="L3619">
        <v>0</v>
      </c>
      <c r="M3619">
        <f>IF((DST_123_ÜRETİM_İHTİYAÇ_RAPORU_BURAK_YENI1309[[#This Row],[SATINALMA]]*DST_123_ÜRETİM_İHTİYAÇ_RAPORU_BURAK_YENI1309[[#This Row],[BIRIM_FIYATLAR]])&lt;1,VALUE("0"),DST_123_ÜRETİM_İHTİYAÇ_RAPORU_BURAK_YENI1309[[#This Row],[SATINALMA]]*DST_123_ÜRETİM_İHTİYAÇ_RAPORU_BURAK_YENI1309[[#This Row],[BIRIM_FIYATLAR]])</f>
        <v>13285.720799999999</v>
      </c>
      <c r="N3619">
        <v>136.18</v>
      </c>
      <c r="O3619" t="s">
        <v>252</v>
      </c>
      <c r="P3619">
        <v>1311.4134000000001</v>
      </c>
      <c r="Q3619" t="s">
        <v>183</v>
      </c>
    </row>
    <row r="3620" spans="1:17" x14ac:dyDescent="0.25">
      <c r="A3620" t="s">
        <v>1060</v>
      </c>
      <c r="B3620" t="s">
        <v>1061</v>
      </c>
      <c r="C3620" t="s">
        <v>175</v>
      </c>
      <c r="D3620" t="s">
        <v>833</v>
      </c>
      <c r="E3620" t="s">
        <v>834</v>
      </c>
      <c r="F3620">
        <v>0.5</v>
      </c>
      <c r="G3620" t="s">
        <v>179</v>
      </c>
      <c r="H3620">
        <v>0</v>
      </c>
      <c r="I3620">
        <v>0</v>
      </c>
      <c r="J3620" s="10">
        <v>36.5</v>
      </c>
      <c r="K3620" s="10">
        <f>SUMIFS(F:F,D:D,DST_123_ÜRETİM_İHTİYAÇ_RAPORU_BURAK_YENI1309[[#This Row],[ALT_KOD]])-(SUMIFS(H:H,D:D,DST_123_ÜRETİM_İHTİYAÇ_RAPORU_BURAK_YENI1309[[#This Row],[ALT_KOD]])+AVERAGEIFS(I:I,D:D,DST_123_ÜRETİM_İHTİYAÇ_RAPORU_BURAK_YENI1309[[#This Row],[ALT_KOD]])+AVERAGEIFS(L:L,D:D,DST_123_ÜRETİM_İHTİYAÇ_RAPORU_BURAK_YENI1309[[#This Row],[ALT_KOD]]))</f>
        <v>9</v>
      </c>
      <c r="L3620">
        <v>0</v>
      </c>
      <c r="M3620">
        <f>IF((DST_123_ÜRETİM_İHTİYAÇ_RAPORU_BURAK_YENI1309[[#This Row],[SATINALMA]]*DST_123_ÜRETİM_İHTİYAÇ_RAPORU_BURAK_YENI1309[[#This Row],[BIRIM_FIYATLAR]])&lt;1,VALUE("0"),DST_123_ÜRETİM_İHTİYAÇ_RAPORU_BURAK_YENI1309[[#This Row],[SATINALMA]]*DST_123_ÜRETİM_İHTİYAÇ_RAPORU_BURAK_YENI1309[[#This Row],[BIRIM_FIYATLAR]])</f>
        <v>250.29</v>
      </c>
      <c r="N3620">
        <v>27.81</v>
      </c>
      <c r="O3620" t="s">
        <v>835</v>
      </c>
      <c r="P3620">
        <v>13.904999999999999</v>
      </c>
      <c r="Q3620" t="s">
        <v>184</v>
      </c>
    </row>
    <row r="3621" spans="1:17" x14ac:dyDescent="0.25">
      <c r="A3621" t="s">
        <v>1060</v>
      </c>
      <c r="B3621" t="s">
        <v>1061</v>
      </c>
      <c r="C3621" t="s">
        <v>175</v>
      </c>
      <c r="D3621" t="s">
        <v>372</v>
      </c>
      <c r="E3621" t="s">
        <v>373</v>
      </c>
      <c r="F3621">
        <v>6</v>
      </c>
      <c r="G3621" t="s">
        <v>176</v>
      </c>
      <c r="H3621">
        <v>0</v>
      </c>
      <c r="I3621">
        <v>65</v>
      </c>
      <c r="J3621" s="10">
        <v>54</v>
      </c>
      <c r="K3621" s="10">
        <f>SUMIFS(F:F,D:D,DST_123_ÜRETİM_İHTİYAÇ_RAPORU_BURAK_YENI1309[[#This Row],[ALT_KOD]])-(SUMIFS(H:H,D:D,DST_123_ÜRETİM_İHTİYAÇ_RAPORU_BURAK_YENI1309[[#This Row],[ALT_KOD]])+AVERAGEIFS(I:I,D:D,DST_123_ÜRETİM_İHTİYAÇ_RAPORU_BURAK_YENI1309[[#This Row],[ALT_KOD]])+AVERAGEIFS(L:L,D:D,DST_123_ÜRETİM_İHTİYAÇ_RAPORU_BURAK_YENI1309[[#This Row],[ALT_KOD]]))</f>
        <v>2</v>
      </c>
      <c r="L3621">
        <v>40</v>
      </c>
      <c r="M3621">
        <f>IF((DST_123_ÜRETİM_İHTİYAÇ_RAPORU_BURAK_YENI1309[[#This Row],[SATINALMA]]*DST_123_ÜRETİM_İHTİYAÇ_RAPORU_BURAK_YENI1309[[#This Row],[BIRIM_FIYATLAR]])&lt;1,VALUE("0"),DST_123_ÜRETİM_İHTİYAÇ_RAPORU_BURAK_YENI1309[[#This Row],[SATINALMA]]*DST_123_ÜRETİM_İHTİYAÇ_RAPORU_BURAK_YENI1309[[#This Row],[BIRIM_FIYATLAR]])</f>
        <v>148</v>
      </c>
      <c r="N3621">
        <v>74</v>
      </c>
      <c r="O3621" t="s">
        <v>821</v>
      </c>
      <c r="P3621">
        <v>444</v>
      </c>
      <c r="Q3621" t="s">
        <v>178</v>
      </c>
    </row>
    <row r="3622" spans="1:17" x14ac:dyDescent="0.25">
      <c r="A3622" t="s">
        <v>1142</v>
      </c>
      <c r="B3622" t="s">
        <v>1056</v>
      </c>
      <c r="C3622" t="s">
        <v>175</v>
      </c>
      <c r="D3622" t="s">
        <v>201</v>
      </c>
      <c r="E3622" t="s">
        <v>225</v>
      </c>
      <c r="F3622">
        <v>3</v>
      </c>
      <c r="G3622" t="s">
        <v>176</v>
      </c>
      <c r="H3622">
        <v>0</v>
      </c>
      <c r="I3622">
        <v>65</v>
      </c>
      <c r="J3622" s="10">
        <v>31</v>
      </c>
      <c r="K3622" s="10">
        <f>SUMIFS(F:F,D:D,DST_123_ÜRETİM_İHTİYAÇ_RAPORU_BURAK_YENI1309[[#This Row],[ALT_KOD]])-(SUMIFS(H:H,D:D,DST_123_ÜRETİM_İHTİYAÇ_RAPORU_BURAK_YENI1309[[#This Row],[ALT_KOD]])+AVERAGEIFS(I:I,D:D,DST_123_ÜRETİM_İHTİYAÇ_RAPORU_BURAK_YENI1309[[#This Row],[ALT_KOD]])+AVERAGEIFS(L:L,D:D,DST_123_ÜRETİM_İHTİYAÇ_RAPORU_BURAK_YENI1309[[#This Row],[ALT_KOD]]))</f>
        <v>-31</v>
      </c>
      <c r="L3622">
        <v>0</v>
      </c>
      <c r="M3622">
        <f>IF((DST_123_ÜRETİM_İHTİYAÇ_RAPORU_BURAK_YENI1309[[#This Row],[SATINALMA]]*DST_123_ÜRETİM_İHTİYAÇ_RAPORU_BURAK_YENI1309[[#This Row],[BIRIM_FIYATLAR]])&lt;1,VALUE("0"),DST_123_ÜRETİM_İHTİYAÇ_RAPORU_BURAK_YENI1309[[#This Row],[SATINALMA]]*DST_123_ÜRETİM_İHTİYAÇ_RAPORU_BURAK_YENI1309[[#This Row],[BIRIM_FIYATLAR]])</f>
        <v>0</v>
      </c>
      <c r="N3622">
        <v>45.5</v>
      </c>
      <c r="O3622" t="s">
        <v>504</v>
      </c>
      <c r="P3622">
        <v>136.5</v>
      </c>
      <c r="Q3622" t="s">
        <v>221</v>
      </c>
    </row>
    <row r="3623" spans="1:17" x14ac:dyDescent="0.25">
      <c r="A3623" t="s">
        <v>1142</v>
      </c>
      <c r="B3623" t="s">
        <v>1056</v>
      </c>
      <c r="C3623" t="s">
        <v>175</v>
      </c>
      <c r="D3623" t="s">
        <v>128</v>
      </c>
      <c r="E3623" t="s">
        <v>129</v>
      </c>
      <c r="F3623">
        <v>7</v>
      </c>
      <c r="G3623" t="s">
        <v>185</v>
      </c>
      <c r="H3623">
        <v>0</v>
      </c>
      <c r="I3623">
        <v>0</v>
      </c>
      <c r="J3623" s="10">
        <v>260.61</v>
      </c>
      <c r="K3623" s="10">
        <f>SUMIFS(F:F,D:D,DST_123_ÜRETİM_İHTİYAÇ_RAPORU_BURAK_YENI1309[[#This Row],[ALT_KOD]])-(SUMIFS(H:H,D:D,DST_123_ÜRETİM_İHTİYAÇ_RAPORU_BURAK_YENI1309[[#This Row],[ALT_KOD]])+AVERAGEIFS(I:I,D:D,DST_123_ÜRETİM_İHTİYAÇ_RAPORU_BURAK_YENI1309[[#This Row],[ALT_KOD]])+AVERAGEIFS(L:L,D:D,DST_123_ÜRETİM_İHTİYAÇ_RAPORU_BURAK_YENI1309[[#This Row],[ALT_KOD]]))</f>
        <v>97.559999999999988</v>
      </c>
      <c r="L3623">
        <v>0</v>
      </c>
      <c r="M3623">
        <f>IF((DST_123_ÜRETİM_İHTİYAÇ_RAPORU_BURAK_YENI1309[[#This Row],[SATINALMA]]*DST_123_ÜRETİM_İHTİYAÇ_RAPORU_BURAK_YENI1309[[#This Row],[BIRIM_FIYATLAR]])&lt;1,VALUE("0"),DST_123_ÜRETİM_İHTİYAÇ_RAPORU_BURAK_YENI1309[[#This Row],[SATINALMA]]*DST_123_ÜRETİM_İHTİYAÇ_RAPORU_BURAK_YENI1309[[#This Row],[BIRIM_FIYATLAR]])</f>
        <v>13285.720799999999</v>
      </c>
      <c r="N3623">
        <v>136.18</v>
      </c>
      <c r="O3623" t="s">
        <v>252</v>
      </c>
      <c r="P3623">
        <v>953.26</v>
      </c>
      <c r="Q3623" t="s">
        <v>183</v>
      </c>
    </row>
    <row r="3624" spans="1:17" x14ac:dyDescent="0.25">
      <c r="A3624" t="s">
        <v>1095</v>
      </c>
      <c r="B3624" t="s">
        <v>1096</v>
      </c>
      <c r="C3624" t="s">
        <v>175</v>
      </c>
      <c r="D3624" t="s">
        <v>128</v>
      </c>
      <c r="E3624" t="s">
        <v>129</v>
      </c>
      <c r="F3624">
        <v>8.89</v>
      </c>
      <c r="G3624" t="s">
        <v>185</v>
      </c>
      <c r="H3624">
        <v>0</v>
      </c>
      <c r="I3624">
        <v>0</v>
      </c>
      <c r="J3624" s="10">
        <v>260.61</v>
      </c>
      <c r="K3624" s="10">
        <f>SUMIFS(F:F,D:D,DST_123_ÜRETİM_İHTİYAÇ_RAPORU_BURAK_YENI1309[[#This Row],[ALT_KOD]])-(SUMIFS(H:H,D:D,DST_123_ÜRETİM_İHTİYAÇ_RAPORU_BURAK_YENI1309[[#This Row],[ALT_KOD]])+AVERAGEIFS(I:I,D:D,DST_123_ÜRETİM_İHTİYAÇ_RAPORU_BURAK_YENI1309[[#This Row],[ALT_KOD]])+AVERAGEIFS(L:L,D:D,DST_123_ÜRETİM_İHTİYAÇ_RAPORU_BURAK_YENI1309[[#This Row],[ALT_KOD]]))</f>
        <v>97.559999999999988</v>
      </c>
      <c r="L3624">
        <v>0</v>
      </c>
      <c r="M3624">
        <f>IF((DST_123_ÜRETİM_İHTİYAÇ_RAPORU_BURAK_YENI1309[[#This Row],[SATINALMA]]*DST_123_ÜRETİM_İHTİYAÇ_RAPORU_BURAK_YENI1309[[#This Row],[BIRIM_FIYATLAR]])&lt;1,VALUE("0"),DST_123_ÜRETİM_İHTİYAÇ_RAPORU_BURAK_YENI1309[[#This Row],[SATINALMA]]*DST_123_ÜRETİM_İHTİYAÇ_RAPORU_BURAK_YENI1309[[#This Row],[BIRIM_FIYATLAR]])</f>
        <v>13285.720799999999</v>
      </c>
      <c r="N3624">
        <v>136.18</v>
      </c>
      <c r="O3624" t="s">
        <v>252</v>
      </c>
      <c r="P3624">
        <v>1210.6402</v>
      </c>
      <c r="Q3624" t="s">
        <v>183</v>
      </c>
    </row>
    <row r="3625" spans="1:17" x14ac:dyDescent="0.25">
      <c r="A3625" t="s">
        <v>1059</v>
      </c>
      <c r="B3625" t="s">
        <v>1058</v>
      </c>
      <c r="C3625" t="s">
        <v>175</v>
      </c>
      <c r="D3625" t="s">
        <v>833</v>
      </c>
      <c r="E3625" t="s">
        <v>834</v>
      </c>
      <c r="F3625">
        <v>0.5</v>
      </c>
      <c r="G3625" t="s">
        <v>179</v>
      </c>
      <c r="H3625">
        <v>0</v>
      </c>
      <c r="I3625">
        <v>0</v>
      </c>
      <c r="J3625" s="10">
        <v>36.5</v>
      </c>
      <c r="K3625" s="10">
        <f>SUMIFS(F:F,D:D,DST_123_ÜRETİM_İHTİYAÇ_RAPORU_BURAK_YENI1309[[#This Row],[ALT_KOD]])-(SUMIFS(H:H,D:D,DST_123_ÜRETİM_İHTİYAÇ_RAPORU_BURAK_YENI1309[[#This Row],[ALT_KOD]])+AVERAGEIFS(I:I,D:D,DST_123_ÜRETİM_İHTİYAÇ_RAPORU_BURAK_YENI1309[[#This Row],[ALT_KOD]])+AVERAGEIFS(L:L,D:D,DST_123_ÜRETİM_İHTİYAÇ_RAPORU_BURAK_YENI1309[[#This Row],[ALT_KOD]]))</f>
        <v>9</v>
      </c>
      <c r="L3625">
        <v>0</v>
      </c>
      <c r="M3625">
        <f>IF((DST_123_ÜRETİM_İHTİYAÇ_RAPORU_BURAK_YENI1309[[#This Row],[SATINALMA]]*DST_123_ÜRETİM_İHTİYAÇ_RAPORU_BURAK_YENI1309[[#This Row],[BIRIM_FIYATLAR]])&lt;1,VALUE("0"),DST_123_ÜRETİM_İHTİYAÇ_RAPORU_BURAK_YENI1309[[#This Row],[SATINALMA]]*DST_123_ÜRETİM_İHTİYAÇ_RAPORU_BURAK_YENI1309[[#This Row],[BIRIM_FIYATLAR]])</f>
        <v>250.29</v>
      </c>
      <c r="N3625">
        <v>27.81</v>
      </c>
      <c r="O3625" t="s">
        <v>835</v>
      </c>
      <c r="P3625">
        <v>13.904999999999999</v>
      </c>
      <c r="Q3625" t="s">
        <v>184</v>
      </c>
    </row>
    <row r="3626" spans="1:17" x14ac:dyDescent="0.25">
      <c r="A3626" t="s">
        <v>1097</v>
      </c>
      <c r="B3626" t="s">
        <v>1055</v>
      </c>
      <c r="C3626" t="s">
        <v>175</v>
      </c>
      <c r="D3626" t="s">
        <v>833</v>
      </c>
      <c r="E3626" t="s">
        <v>834</v>
      </c>
      <c r="F3626">
        <v>0.5</v>
      </c>
      <c r="G3626" t="s">
        <v>179</v>
      </c>
      <c r="H3626">
        <v>0</v>
      </c>
      <c r="I3626">
        <v>0</v>
      </c>
      <c r="J3626" s="10">
        <v>36.5</v>
      </c>
      <c r="K3626" s="10">
        <f>SUMIFS(F:F,D:D,DST_123_ÜRETİM_İHTİYAÇ_RAPORU_BURAK_YENI1309[[#This Row],[ALT_KOD]])-(SUMIFS(H:H,D:D,DST_123_ÜRETİM_İHTİYAÇ_RAPORU_BURAK_YENI1309[[#This Row],[ALT_KOD]])+AVERAGEIFS(I:I,D:D,DST_123_ÜRETİM_İHTİYAÇ_RAPORU_BURAK_YENI1309[[#This Row],[ALT_KOD]])+AVERAGEIFS(L:L,D:D,DST_123_ÜRETİM_İHTİYAÇ_RAPORU_BURAK_YENI1309[[#This Row],[ALT_KOD]]))</f>
        <v>9</v>
      </c>
      <c r="L3626">
        <v>0</v>
      </c>
      <c r="M3626">
        <f>IF((DST_123_ÜRETİM_İHTİYAÇ_RAPORU_BURAK_YENI1309[[#This Row],[SATINALMA]]*DST_123_ÜRETİM_İHTİYAÇ_RAPORU_BURAK_YENI1309[[#This Row],[BIRIM_FIYATLAR]])&lt;1,VALUE("0"),DST_123_ÜRETİM_İHTİYAÇ_RAPORU_BURAK_YENI1309[[#This Row],[SATINALMA]]*DST_123_ÜRETİM_İHTİYAÇ_RAPORU_BURAK_YENI1309[[#This Row],[BIRIM_FIYATLAR]])</f>
        <v>250.29</v>
      </c>
      <c r="N3626">
        <v>27.81</v>
      </c>
      <c r="O3626" t="s">
        <v>835</v>
      </c>
      <c r="P3626">
        <v>13.904999999999999</v>
      </c>
      <c r="Q3626" t="s">
        <v>184</v>
      </c>
    </row>
    <row r="3627" spans="1:17" x14ac:dyDescent="0.25">
      <c r="A3627" t="s">
        <v>1143</v>
      </c>
      <c r="B3627" t="s">
        <v>1056</v>
      </c>
      <c r="C3627" t="s">
        <v>175</v>
      </c>
      <c r="D3627" t="s">
        <v>833</v>
      </c>
      <c r="E3627" t="s">
        <v>834</v>
      </c>
      <c r="F3627">
        <v>0.5</v>
      </c>
      <c r="G3627" t="s">
        <v>179</v>
      </c>
      <c r="H3627">
        <v>0</v>
      </c>
      <c r="I3627">
        <v>0</v>
      </c>
      <c r="J3627" s="10">
        <v>36.5</v>
      </c>
      <c r="K3627" s="10">
        <f>SUMIFS(F:F,D:D,DST_123_ÜRETİM_İHTİYAÇ_RAPORU_BURAK_YENI1309[[#This Row],[ALT_KOD]])-(SUMIFS(H:H,D:D,DST_123_ÜRETİM_İHTİYAÇ_RAPORU_BURAK_YENI1309[[#This Row],[ALT_KOD]])+AVERAGEIFS(I:I,D:D,DST_123_ÜRETİM_İHTİYAÇ_RAPORU_BURAK_YENI1309[[#This Row],[ALT_KOD]])+AVERAGEIFS(L:L,D:D,DST_123_ÜRETİM_İHTİYAÇ_RAPORU_BURAK_YENI1309[[#This Row],[ALT_KOD]]))</f>
        <v>9</v>
      </c>
      <c r="L3627">
        <v>0</v>
      </c>
      <c r="M3627">
        <f>IF((DST_123_ÜRETİM_İHTİYAÇ_RAPORU_BURAK_YENI1309[[#This Row],[SATINALMA]]*DST_123_ÜRETİM_İHTİYAÇ_RAPORU_BURAK_YENI1309[[#This Row],[BIRIM_FIYATLAR]])&lt;1,VALUE("0"),DST_123_ÜRETİM_İHTİYAÇ_RAPORU_BURAK_YENI1309[[#This Row],[SATINALMA]]*DST_123_ÜRETİM_İHTİYAÇ_RAPORU_BURAK_YENI1309[[#This Row],[BIRIM_FIYATLAR]])</f>
        <v>250.29</v>
      </c>
      <c r="N3627">
        <v>27.81</v>
      </c>
      <c r="O3627" t="s">
        <v>835</v>
      </c>
      <c r="P3627">
        <v>13.904999999999999</v>
      </c>
      <c r="Q3627" t="s">
        <v>184</v>
      </c>
    </row>
    <row r="3628" spans="1:17" x14ac:dyDescent="0.25">
      <c r="A3628" t="s">
        <v>1059</v>
      </c>
      <c r="B3628" t="s">
        <v>1058</v>
      </c>
      <c r="C3628" t="s">
        <v>175</v>
      </c>
      <c r="D3628" t="s">
        <v>123</v>
      </c>
      <c r="E3628" t="s">
        <v>633</v>
      </c>
      <c r="F3628">
        <v>0.2</v>
      </c>
      <c r="G3628" t="s">
        <v>179</v>
      </c>
      <c r="H3628">
        <v>0</v>
      </c>
      <c r="I3628">
        <v>200</v>
      </c>
      <c r="J3628" s="10">
        <v>5.6843418860808015E-14</v>
      </c>
      <c r="K3628" s="10">
        <f>SUMIFS(F:F,D:D,DST_123_ÜRETİM_İHTİYAÇ_RAPORU_BURAK_YENI1309[[#This Row],[ALT_KOD]])-(SUMIFS(H:H,D:D,DST_123_ÜRETİM_İHTİYAÇ_RAPORU_BURAK_YENI1309[[#This Row],[ALT_KOD]])+AVERAGEIFS(I:I,D:D,DST_123_ÜRETİM_İHTİYAÇ_RAPORU_BURAK_YENI1309[[#This Row],[ALT_KOD]])+AVERAGEIFS(L:L,D:D,DST_123_ÜRETİM_İHTİYAÇ_RAPORU_BURAK_YENI1309[[#This Row],[ALT_KOD]]))</f>
        <v>-196.15</v>
      </c>
      <c r="L3628">
        <v>0</v>
      </c>
      <c r="M3628">
        <f>IF((DST_123_ÜRETİM_İHTİYAÇ_RAPORU_BURAK_YENI1309[[#This Row],[SATINALMA]]*DST_123_ÜRETİM_İHTİYAÇ_RAPORU_BURAK_YENI1309[[#This Row],[BIRIM_FIYATLAR]])&lt;1,VALUE("0"),DST_123_ÜRETİM_İHTİYAÇ_RAPORU_BURAK_YENI1309[[#This Row],[SATINALMA]]*DST_123_ÜRETİM_İHTİYAÇ_RAPORU_BURAK_YENI1309[[#This Row],[BIRIM_FIYATLAR]])</f>
        <v>0</v>
      </c>
      <c r="N3628">
        <v>2.89</v>
      </c>
      <c r="O3628" t="s">
        <v>826</v>
      </c>
      <c r="P3628">
        <v>0.57800000000000007</v>
      </c>
      <c r="Q3628" t="s">
        <v>221</v>
      </c>
    </row>
    <row r="3629" spans="1:17" x14ac:dyDescent="0.25">
      <c r="A3629" t="s">
        <v>1095</v>
      </c>
      <c r="B3629" t="s">
        <v>1096</v>
      </c>
      <c r="C3629" t="s">
        <v>175</v>
      </c>
      <c r="D3629" t="s">
        <v>123</v>
      </c>
      <c r="E3629" t="s">
        <v>633</v>
      </c>
      <c r="F3629">
        <v>0.2</v>
      </c>
      <c r="G3629" t="s">
        <v>179</v>
      </c>
      <c r="H3629">
        <v>0</v>
      </c>
      <c r="I3629">
        <v>200</v>
      </c>
      <c r="J3629" s="10">
        <v>5.6843418860808015E-14</v>
      </c>
      <c r="K3629" s="10">
        <f>SUMIFS(F:F,D:D,DST_123_ÜRETİM_İHTİYAÇ_RAPORU_BURAK_YENI1309[[#This Row],[ALT_KOD]])-(SUMIFS(H:H,D:D,DST_123_ÜRETİM_İHTİYAÇ_RAPORU_BURAK_YENI1309[[#This Row],[ALT_KOD]])+AVERAGEIFS(I:I,D:D,DST_123_ÜRETİM_İHTİYAÇ_RAPORU_BURAK_YENI1309[[#This Row],[ALT_KOD]])+AVERAGEIFS(L:L,D:D,DST_123_ÜRETİM_İHTİYAÇ_RAPORU_BURAK_YENI1309[[#This Row],[ALT_KOD]]))</f>
        <v>-196.15</v>
      </c>
      <c r="L3629">
        <v>0</v>
      </c>
      <c r="M3629">
        <f>IF((DST_123_ÜRETİM_İHTİYAÇ_RAPORU_BURAK_YENI1309[[#This Row],[SATINALMA]]*DST_123_ÜRETİM_İHTİYAÇ_RAPORU_BURAK_YENI1309[[#This Row],[BIRIM_FIYATLAR]])&lt;1,VALUE("0"),DST_123_ÜRETİM_İHTİYAÇ_RAPORU_BURAK_YENI1309[[#This Row],[SATINALMA]]*DST_123_ÜRETİM_İHTİYAÇ_RAPORU_BURAK_YENI1309[[#This Row],[BIRIM_FIYATLAR]])</f>
        <v>0</v>
      </c>
      <c r="N3629">
        <v>2.89</v>
      </c>
      <c r="O3629" t="s">
        <v>826</v>
      </c>
      <c r="P3629">
        <v>0.57800000000000007</v>
      </c>
      <c r="Q3629" t="s">
        <v>221</v>
      </c>
    </row>
    <row r="3630" spans="1:17" x14ac:dyDescent="0.25">
      <c r="A3630" t="s">
        <v>1143</v>
      </c>
      <c r="B3630" t="s">
        <v>1056</v>
      </c>
      <c r="C3630" t="s">
        <v>175</v>
      </c>
      <c r="D3630" t="s">
        <v>133</v>
      </c>
      <c r="E3630" t="s">
        <v>310</v>
      </c>
      <c r="F3630">
        <v>1</v>
      </c>
      <c r="G3630" t="s">
        <v>176</v>
      </c>
      <c r="H3630">
        <v>0</v>
      </c>
      <c r="I3630">
        <v>15</v>
      </c>
      <c r="J3630" s="10">
        <v>9</v>
      </c>
      <c r="K3630" s="10">
        <f>SUMIFS(F:F,D:D,DST_123_ÜRETİM_İHTİYAÇ_RAPORU_BURAK_YENI1309[[#This Row],[ALT_KOD]])-(SUMIFS(H:H,D:D,DST_123_ÜRETİM_İHTİYAÇ_RAPORU_BURAK_YENI1309[[#This Row],[ALT_KOD]])+AVERAGEIFS(I:I,D:D,DST_123_ÜRETİM_İHTİYAÇ_RAPORU_BURAK_YENI1309[[#This Row],[ALT_KOD]])+AVERAGEIFS(L:L,D:D,DST_123_ÜRETİM_İHTİYAÇ_RAPORU_BURAK_YENI1309[[#This Row],[ALT_KOD]]))</f>
        <v>-3</v>
      </c>
      <c r="L3630">
        <v>0</v>
      </c>
      <c r="M3630">
        <f>IF((DST_123_ÜRETİM_İHTİYAÇ_RAPORU_BURAK_YENI1309[[#This Row],[SATINALMA]]*DST_123_ÜRETİM_İHTİYAÇ_RAPORU_BURAK_YENI1309[[#This Row],[BIRIM_FIYATLAR]])&lt;1,VALUE("0"),DST_123_ÜRETİM_İHTİYAÇ_RAPORU_BURAK_YENI1309[[#This Row],[SATINALMA]]*DST_123_ÜRETİM_İHTİYAÇ_RAPORU_BURAK_YENI1309[[#This Row],[BIRIM_FIYATLAR]])</f>
        <v>0</v>
      </c>
      <c r="N3630">
        <v>224.46</v>
      </c>
      <c r="O3630" t="s">
        <v>826</v>
      </c>
      <c r="P3630">
        <v>224.46</v>
      </c>
      <c r="Q3630" t="s">
        <v>221</v>
      </c>
    </row>
    <row r="3631" spans="1:17" x14ac:dyDescent="0.25">
      <c r="A3631" t="s">
        <v>1095</v>
      </c>
      <c r="B3631" t="s">
        <v>1096</v>
      </c>
      <c r="C3631" t="s">
        <v>175</v>
      </c>
      <c r="D3631" t="s">
        <v>236</v>
      </c>
      <c r="E3631" t="s">
        <v>305</v>
      </c>
      <c r="F3631">
        <v>2</v>
      </c>
      <c r="G3631" t="s">
        <v>176</v>
      </c>
      <c r="H3631">
        <v>0</v>
      </c>
      <c r="I3631">
        <v>452</v>
      </c>
      <c r="J3631" s="10">
        <v>25</v>
      </c>
      <c r="K3631" s="10">
        <f>SUMIFS(F:F,D:D,DST_123_ÜRETİM_İHTİYAÇ_RAPORU_BURAK_YENI1309[[#This Row],[ALT_KOD]])-(SUMIFS(H:H,D:D,DST_123_ÜRETİM_İHTİYAÇ_RAPORU_BURAK_YENI1309[[#This Row],[ALT_KOD]])+AVERAGEIFS(I:I,D:D,DST_123_ÜRETİM_İHTİYAÇ_RAPORU_BURAK_YENI1309[[#This Row],[ALT_KOD]])+AVERAGEIFS(L:L,D:D,DST_123_ÜRETİM_İHTİYAÇ_RAPORU_BURAK_YENI1309[[#This Row],[ALT_KOD]]))</f>
        <v>-428</v>
      </c>
      <c r="L3631">
        <v>0</v>
      </c>
      <c r="M3631">
        <f>IF((DST_123_ÜRETİM_İHTİYAÇ_RAPORU_BURAK_YENI1309[[#This Row],[SATINALMA]]*DST_123_ÜRETİM_İHTİYAÇ_RAPORU_BURAK_YENI1309[[#This Row],[BIRIM_FIYATLAR]])&lt;1,VALUE("0"),DST_123_ÜRETİM_İHTİYAÇ_RAPORU_BURAK_YENI1309[[#This Row],[SATINALMA]]*DST_123_ÜRETİM_İHTİYAÇ_RAPORU_BURAK_YENI1309[[#This Row],[BIRIM_FIYATLAR]])</f>
        <v>0</v>
      </c>
      <c r="N3631">
        <v>20</v>
      </c>
      <c r="P3631">
        <v>40</v>
      </c>
      <c r="Q3631" t="s">
        <v>221</v>
      </c>
    </row>
    <row r="3632" spans="1:17" x14ac:dyDescent="0.25">
      <c r="A3632" t="s">
        <v>1142</v>
      </c>
      <c r="B3632" t="s">
        <v>1056</v>
      </c>
      <c r="C3632" t="s">
        <v>175</v>
      </c>
      <c r="D3632" t="s">
        <v>833</v>
      </c>
      <c r="E3632" t="s">
        <v>834</v>
      </c>
      <c r="F3632">
        <v>0.5</v>
      </c>
      <c r="G3632" t="s">
        <v>179</v>
      </c>
      <c r="H3632">
        <v>0</v>
      </c>
      <c r="I3632">
        <v>0</v>
      </c>
      <c r="J3632" s="10">
        <v>36.5</v>
      </c>
      <c r="K3632" s="10">
        <f>SUMIFS(F:F,D:D,DST_123_ÜRETİM_İHTİYAÇ_RAPORU_BURAK_YENI1309[[#This Row],[ALT_KOD]])-(SUMIFS(H:H,D:D,DST_123_ÜRETİM_İHTİYAÇ_RAPORU_BURAK_YENI1309[[#This Row],[ALT_KOD]])+AVERAGEIFS(I:I,D:D,DST_123_ÜRETİM_İHTİYAÇ_RAPORU_BURAK_YENI1309[[#This Row],[ALT_KOD]])+AVERAGEIFS(L:L,D:D,DST_123_ÜRETİM_İHTİYAÇ_RAPORU_BURAK_YENI1309[[#This Row],[ALT_KOD]]))</f>
        <v>9</v>
      </c>
      <c r="L3632">
        <v>0</v>
      </c>
      <c r="M3632">
        <f>IF((DST_123_ÜRETİM_İHTİYAÇ_RAPORU_BURAK_YENI1309[[#This Row],[SATINALMA]]*DST_123_ÜRETİM_İHTİYAÇ_RAPORU_BURAK_YENI1309[[#This Row],[BIRIM_FIYATLAR]])&lt;1,VALUE("0"),DST_123_ÜRETİM_İHTİYAÇ_RAPORU_BURAK_YENI1309[[#This Row],[SATINALMA]]*DST_123_ÜRETİM_İHTİYAÇ_RAPORU_BURAK_YENI1309[[#This Row],[BIRIM_FIYATLAR]])</f>
        <v>250.29</v>
      </c>
      <c r="N3632">
        <v>27.81</v>
      </c>
      <c r="O3632" t="s">
        <v>835</v>
      </c>
      <c r="P3632">
        <v>13.904999999999999</v>
      </c>
      <c r="Q3632" t="s">
        <v>184</v>
      </c>
    </row>
    <row r="3633" spans="1:17" x14ac:dyDescent="0.25">
      <c r="A3633" t="s">
        <v>1142</v>
      </c>
      <c r="B3633" t="s">
        <v>1056</v>
      </c>
      <c r="C3633" t="s">
        <v>175</v>
      </c>
      <c r="D3633" t="s">
        <v>372</v>
      </c>
      <c r="E3633" t="s">
        <v>373</v>
      </c>
      <c r="F3633">
        <v>6</v>
      </c>
      <c r="G3633" t="s">
        <v>176</v>
      </c>
      <c r="H3633">
        <v>0</v>
      </c>
      <c r="I3633">
        <v>65</v>
      </c>
      <c r="J3633" s="10">
        <v>54</v>
      </c>
      <c r="K3633" s="10">
        <f>SUMIFS(F:F,D:D,DST_123_ÜRETİM_İHTİYAÇ_RAPORU_BURAK_YENI1309[[#This Row],[ALT_KOD]])-(SUMIFS(H:H,D:D,DST_123_ÜRETİM_İHTİYAÇ_RAPORU_BURAK_YENI1309[[#This Row],[ALT_KOD]])+AVERAGEIFS(I:I,D:D,DST_123_ÜRETİM_İHTİYAÇ_RAPORU_BURAK_YENI1309[[#This Row],[ALT_KOD]])+AVERAGEIFS(L:L,D:D,DST_123_ÜRETİM_İHTİYAÇ_RAPORU_BURAK_YENI1309[[#This Row],[ALT_KOD]]))</f>
        <v>2</v>
      </c>
      <c r="L3633">
        <v>40</v>
      </c>
      <c r="M3633">
        <f>IF((DST_123_ÜRETİM_İHTİYAÇ_RAPORU_BURAK_YENI1309[[#This Row],[SATINALMA]]*DST_123_ÜRETİM_İHTİYAÇ_RAPORU_BURAK_YENI1309[[#This Row],[BIRIM_FIYATLAR]])&lt;1,VALUE("0"),DST_123_ÜRETİM_İHTİYAÇ_RAPORU_BURAK_YENI1309[[#This Row],[SATINALMA]]*DST_123_ÜRETİM_İHTİYAÇ_RAPORU_BURAK_YENI1309[[#This Row],[BIRIM_FIYATLAR]])</f>
        <v>148</v>
      </c>
      <c r="N3633">
        <v>74</v>
      </c>
      <c r="O3633" t="s">
        <v>821</v>
      </c>
      <c r="P3633">
        <v>444</v>
      </c>
      <c r="Q3633" t="s">
        <v>178</v>
      </c>
    </row>
    <row r="3634" spans="1:17" x14ac:dyDescent="0.25">
      <c r="A3634" t="s">
        <v>1095</v>
      </c>
      <c r="B3634" t="s">
        <v>1096</v>
      </c>
      <c r="C3634" t="s">
        <v>175</v>
      </c>
      <c r="D3634" t="s">
        <v>372</v>
      </c>
      <c r="E3634" t="s">
        <v>373</v>
      </c>
      <c r="F3634">
        <v>5</v>
      </c>
      <c r="G3634" t="s">
        <v>176</v>
      </c>
      <c r="H3634">
        <v>0</v>
      </c>
      <c r="I3634">
        <v>65</v>
      </c>
      <c r="J3634" s="10">
        <v>54</v>
      </c>
      <c r="K3634" s="10">
        <f>SUMIFS(F:F,D:D,DST_123_ÜRETİM_İHTİYAÇ_RAPORU_BURAK_YENI1309[[#This Row],[ALT_KOD]])-(SUMIFS(H:H,D:D,DST_123_ÜRETİM_İHTİYAÇ_RAPORU_BURAK_YENI1309[[#This Row],[ALT_KOD]])+AVERAGEIFS(I:I,D:D,DST_123_ÜRETİM_İHTİYAÇ_RAPORU_BURAK_YENI1309[[#This Row],[ALT_KOD]])+AVERAGEIFS(L:L,D:D,DST_123_ÜRETİM_İHTİYAÇ_RAPORU_BURAK_YENI1309[[#This Row],[ALT_KOD]]))</f>
        <v>2</v>
      </c>
      <c r="L3634">
        <v>40</v>
      </c>
      <c r="M3634">
        <f>IF((DST_123_ÜRETİM_İHTİYAÇ_RAPORU_BURAK_YENI1309[[#This Row],[SATINALMA]]*DST_123_ÜRETİM_İHTİYAÇ_RAPORU_BURAK_YENI1309[[#This Row],[BIRIM_FIYATLAR]])&lt;1,VALUE("0"),DST_123_ÜRETİM_İHTİYAÇ_RAPORU_BURAK_YENI1309[[#This Row],[SATINALMA]]*DST_123_ÜRETİM_İHTİYAÇ_RAPORU_BURAK_YENI1309[[#This Row],[BIRIM_FIYATLAR]])</f>
        <v>148</v>
      </c>
      <c r="N3634">
        <v>74</v>
      </c>
      <c r="O3634" t="s">
        <v>821</v>
      </c>
      <c r="P3634">
        <v>370</v>
      </c>
      <c r="Q3634" t="s">
        <v>178</v>
      </c>
    </row>
    <row r="3635" spans="1:17" x14ac:dyDescent="0.25">
      <c r="A3635" t="s">
        <v>1095</v>
      </c>
      <c r="B3635" t="s">
        <v>1096</v>
      </c>
      <c r="C3635" t="s">
        <v>175</v>
      </c>
      <c r="D3635" t="s">
        <v>133</v>
      </c>
      <c r="E3635" t="s">
        <v>310</v>
      </c>
      <c r="F3635">
        <v>1</v>
      </c>
      <c r="G3635" t="s">
        <v>176</v>
      </c>
      <c r="H3635">
        <v>0</v>
      </c>
      <c r="I3635">
        <v>15</v>
      </c>
      <c r="J3635" s="10">
        <v>9</v>
      </c>
      <c r="K3635" s="10">
        <f>SUMIFS(F:F,D:D,DST_123_ÜRETİM_İHTİYAÇ_RAPORU_BURAK_YENI1309[[#This Row],[ALT_KOD]])-(SUMIFS(H:H,D:D,DST_123_ÜRETİM_İHTİYAÇ_RAPORU_BURAK_YENI1309[[#This Row],[ALT_KOD]])+AVERAGEIFS(I:I,D:D,DST_123_ÜRETİM_İHTİYAÇ_RAPORU_BURAK_YENI1309[[#This Row],[ALT_KOD]])+AVERAGEIFS(L:L,D:D,DST_123_ÜRETİM_İHTİYAÇ_RAPORU_BURAK_YENI1309[[#This Row],[ALT_KOD]]))</f>
        <v>-3</v>
      </c>
      <c r="L3635">
        <v>0</v>
      </c>
      <c r="M3635">
        <f>IF((DST_123_ÜRETİM_İHTİYAÇ_RAPORU_BURAK_YENI1309[[#This Row],[SATINALMA]]*DST_123_ÜRETİM_İHTİYAÇ_RAPORU_BURAK_YENI1309[[#This Row],[BIRIM_FIYATLAR]])&lt;1,VALUE("0"),DST_123_ÜRETİM_İHTİYAÇ_RAPORU_BURAK_YENI1309[[#This Row],[SATINALMA]]*DST_123_ÜRETİM_İHTİYAÇ_RAPORU_BURAK_YENI1309[[#This Row],[BIRIM_FIYATLAR]])</f>
        <v>0</v>
      </c>
      <c r="N3635">
        <v>224.46</v>
      </c>
      <c r="O3635" t="s">
        <v>826</v>
      </c>
      <c r="P3635">
        <v>224.46</v>
      </c>
      <c r="Q3635" t="s">
        <v>221</v>
      </c>
    </row>
    <row r="3636" spans="1:17" x14ac:dyDescent="0.25">
      <c r="A3636" t="s">
        <v>1097</v>
      </c>
      <c r="B3636" t="s">
        <v>1055</v>
      </c>
      <c r="C3636" t="s">
        <v>175</v>
      </c>
      <c r="D3636" t="s">
        <v>372</v>
      </c>
      <c r="E3636" t="s">
        <v>373</v>
      </c>
      <c r="F3636">
        <v>6</v>
      </c>
      <c r="G3636" t="s">
        <v>176</v>
      </c>
      <c r="H3636">
        <v>0</v>
      </c>
      <c r="I3636">
        <v>65</v>
      </c>
      <c r="J3636" s="10">
        <v>54</v>
      </c>
      <c r="K3636" s="10">
        <f>SUMIFS(F:F,D:D,DST_123_ÜRETİM_İHTİYAÇ_RAPORU_BURAK_YENI1309[[#This Row],[ALT_KOD]])-(SUMIFS(H:H,D:D,DST_123_ÜRETİM_İHTİYAÇ_RAPORU_BURAK_YENI1309[[#This Row],[ALT_KOD]])+AVERAGEIFS(I:I,D:D,DST_123_ÜRETİM_İHTİYAÇ_RAPORU_BURAK_YENI1309[[#This Row],[ALT_KOD]])+AVERAGEIFS(L:L,D:D,DST_123_ÜRETİM_İHTİYAÇ_RAPORU_BURAK_YENI1309[[#This Row],[ALT_KOD]]))</f>
        <v>2</v>
      </c>
      <c r="L3636">
        <v>40</v>
      </c>
      <c r="M3636">
        <f>IF((DST_123_ÜRETİM_İHTİYAÇ_RAPORU_BURAK_YENI1309[[#This Row],[SATINALMA]]*DST_123_ÜRETİM_İHTİYAÇ_RAPORU_BURAK_YENI1309[[#This Row],[BIRIM_FIYATLAR]])&lt;1,VALUE("0"),DST_123_ÜRETİM_İHTİYAÇ_RAPORU_BURAK_YENI1309[[#This Row],[SATINALMA]]*DST_123_ÜRETİM_İHTİYAÇ_RAPORU_BURAK_YENI1309[[#This Row],[BIRIM_FIYATLAR]])</f>
        <v>148</v>
      </c>
      <c r="N3636">
        <v>74</v>
      </c>
      <c r="O3636" t="s">
        <v>821</v>
      </c>
      <c r="P3636">
        <v>444</v>
      </c>
      <c r="Q3636" t="s">
        <v>178</v>
      </c>
    </row>
    <row r="3637" spans="1:17" x14ac:dyDescent="0.25">
      <c r="A3637" t="s">
        <v>1097</v>
      </c>
      <c r="B3637" t="s">
        <v>1055</v>
      </c>
      <c r="C3637" t="s">
        <v>175</v>
      </c>
      <c r="D3637" t="s">
        <v>123</v>
      </c>
      <c r="E3637" t="s">
        <v>633</v>
      </c>
      <c r="F3637">
        <v>0.2</v>
      </c>
      <c r="G3637" t="s">
        <v>179</v>
      </c>
      <c r="H3637">
        <v>0</v>
      </c>
      <c r="I3637">
        <v>200</v>
      </c>
      <c r="J3637" s="10">
        <v>5.6843418860808015E-14</v>
      </c>
      <c r="K3637" s="10">
        <f>SUMIFS(F:F,D:D,DST_123_ÜRETİM_İHTİYAÇ_RAPORU_BURAK_YENI1309[[#This Row],[ALT_KOD]])-(SUMIFS(H:H,D:D,DST_123_ÜRETİM_İHTİYAÇ_RAPORU_BURAK_YENI1309[[#This Row],[ALT_KOD]])+AVERAGEIFS(I:I,D:D,DST_123_ÜRETİM_İHTİYAÇ_RAPORU_BURAK_YENI1309[[#This Row],[ALT_KOD]])+AVERAGEIFS(L:L,D:D,DST_123_ÜRETİM_İHTİYAÇ_RAPORU_BURAK_YENI1309[[#This Row],[ALT_KOD]]))</f>
        <v>-196.15</v>
      </c>
      <c r="L3637">
        <v>0</v>
      </c>
      <c r="M3637">
        <f>IF((DST_123_ÜRETİM_İHTİYAÇ_RAPORU_BURAK_YENI1309[[#This Row],[SATINALMA]]*DST_123_ÜRETİM_İHTİYAÇ_RAPORU_BURAK_YENI1309[[#This Row],[BIRIM_FIYATLAR]])&lt;1,VALUE("0"),DST_123_ÜRETİM_İHTİYAÇ_RAPORU_BURAK_YENI1309[[#This Row],[SATINALMA]]*DST_123_ÜRETİM_İHTİYAÇ_RAPORU_BURAK_YENI1309[[#This Row],[BIRIM_FIYATLAR]])</f>
        <v>0</v>
      </c>
      <c r="N3637">
        <v>2.89</v>
      </c>
      <c r="O3637" t="s">
        <v>826</v>
      </c>
      <c r="P3637">
        <v>0.57800000000000007</v>
      </c>
      <c r="Q3637" t="s">
        <v>221</v>
      </c>
    </row>
    <row r="3638" spans="1:17" x14ac:dyDescent="0.25">
      <c r="A3638" t="s">
        <v>1142</v>
      </c>
      <c r="B3638" t="s">
        <v>1056</v>
      </c>
      <c r="C3638" t="s">
        <v>175</v>
      </c>
      <c r="D3638" t="s">
        <v>123</v>
      </c>
      <c r="E3638" t="s">
        <v>633</v>
      </c>
      <c r="F3638">
        <v>0.2</v>
      </c>
      <c r="G3638" t="s">
        <v>179</v>
      </c>
      <c r="H3638">
        <v>0</v>
      </c>
      <c r="I3638">
        <v>200</v>
      </c>
      <c r="J3638" s="10">
        <v>5.6843418860808015E-14</v>
      </c>
      <c r="K3638" s="10">
        <f>SUMIFS(F:F,D:D,DST_123_ÜRETİM_İHTİYAÇ_RAPORU_BURAK_YENI1309[[#This Row],[ALT_KOD]])-(SUMIFS(H:H,D:D,DST_123_ÜRETİM_İHTİYAÇ_RAPORU_BURAK_YENI1309[[#This Row],[ALT_KOD]])+AVERAGEIFS(I:I,D:D,DST_123_ÜRETİM_İHTİYAÇ_RAPORU_BURAK_YENI1309[[#This Row],[ALT_KOD]])+AVERAGEIFS(L:L,D:D,DST_123_ÜRETİM_İHTİYAÇ_RAPORU_BURAK_YENI1309[[#This Row],[ALT_KOD]]))</f>
        <v>-196.15</v>
      </c>
      <c r="L3638">
        <v>0</v>
      </c>
      <c r="M3638">
        <f>IF((DST_123_ÜRETİM_İHTİYAÇ_RAPORU_BURAK_YENI1309[[#This Row],[SATINALMA]]*DST_123_ÜRETİM_İHTİYAÇ_RAPORU_BURAK_YENI1309[[#This Row],[BIRIM_FIYATLAR]])&lt;1,VALUE("0"),DST_123_ÜRETİM_İHTİYAÇ_RAPORU_BURAK_YENI1309[[#This Row],[SATINALMA]]*DST_123_ÜRETİM_İHTİYAÇ_RAPORU_BURAK_YENI1309[[#This Row],[BIRIM_FIYATLAR]])</f>
        <v>0</v>
      </c>
      <c r="N3638">
        <v>2.89</v>
      </c>
      <c r="O3638" t="s">
        <v>826</v>
      </c>
      <c r="P3638">
        <v>0.57800000000000007</v>
      </c>
      <c r="Q3638" t="s">
        <v>221</v>
      </c>
    </row>
    <row r="3639" spans="1:17" x14ac:dyDescent="0.25">
      <c r="A3639" t="s">
        <v>1057</v>
      </c>
      <c r="B3639" t="s">
        <v>1058</v>
      </c>
      <c r="C3639" t="s">
        <v>175</v>
      </c>
      <c r="D3639" t="s">
        <v>959</v>
      </c>
      <c r="E3639" t="s">
        <v>960</v>
      </c>
      <c r="F3639">
        <v>8</v>
      </c>
      <c r="G3639" t="s">
        <v>176</v>
      </c>
      <c r="H3639">
        <v>0</v>
      </c>
      <c r="I3639">
        <v>92</v>
      </c>
      <c r="J3639" s="10">
        <v>0</v>
      </c>
      <c r="K3639" s="10">
        <f>SUMIFS(F:F,D:D,DST_123_ÜRETİM_İHTİYAÇ_RAPORU_BURAK_YENI1309[[#This Row],[ALT_KOD]])-(SUMIFS(H:H,D:D,DST_123_ÜRETİM_İHTİYAÇ_RAPORU_BURAK_YENI1309[[#This Row],[ALT_KOD]])+AVERAGEIFS(I:I,D:D,DST_123_ÜRETİM_İHTİYAÇ_RAPORU_BURAK_YENI1309[[#This Row],[ALT_KOD]])+AVERAGEIFS(L:L,D:D,DST_123_ÜRETİM_İHTİYAÇ_RAPORU_BURAK_YENI1309[[#This Row],[ALT_KOD]]))</f>
        <v>-68</v>
      </c>
      <c r="L3639">
        <v>0</v>
      </c>
      <c r="M3639">
        <f>IF((DST_123_ÜRETİM_İHTİYAÇ_RAPORU_BURAK_YENI1309[[#This Row],[SATINALMA]]*DST_123_ÜRETİM_İHTİYAÇ_RAPORU_BURAK_YENI1309[[#This Row],[BIRIM_FIYATLAR]])&lt;1,VALUE("0"),DST_123_ÜRETİM_İHTİYAÇ_RAPORU_BURAK_YENI1309[[#This Row],[SATINALMA]]*DST_123_ÜRETİM_İHTİYAÇ_RAPORU_BURAK_YENI1309[[#This Row],[BIRIM_FIYATLAR]])</f>
        <v>0</v>
      </c>
      <c r="N3639">
        <v>33</v>
      </c>
      <c r="O3639" t="s">
        <v>226</v>
      </c>
      <c r="P3639">
        <v>264</v>
      </c>
      <c r="Q3639" t="s">
        <v>180</v>
      </c>
    </row>
    <row r="3640" spans="1:17" x14ac:dyDescent="0.25">
      <c r="A3640" t="s">
        <v>1100</v>
      </c>
      <c r="B3640" t="s">
        <v>1058</v>
      </c>
      <c r="C3640" t="s">
        <v>175</v>
      </c>
      <c r="D3640" t="s">
        <v>959</v>
      </c>
      <c r="E3640" t="s">
        <v>960</v>
      </c>
      <c r="F3640">
        <v>8</v>
      </c>
      <c r="G3640" t="s">
        <v>176</v>
      </c>
      <c r="H3640">
        <v>0</v>
      </c>
      <c r="I3640">
        <v>92</v>
      </c>
      <c r="J3640" s="10">
        <v>0</v>
      </c>
      <c r="K3640" s="10">
        <f>SUMIFS(F:F,D:D,DST_123_ÜRETİM_İHTİYAÇ_RAPORU_BURAK_YENI1309[[#This Row],[ALT_KOD]])-(SUMIFS(H:H,D:D,DST_123_ÜRETİM_İHTİYAÇ_RAPORU_BURAK_YENI1309[[#This Row],[ALT_KOD]])+AVERAGEIFS(I:I,D:D,DST_123_ÜRETİM_İHTİYAÇ_RAPORU_BURAK_YENI1309[[#This Row],[ALT_KOD]])+AVERAGEIFS(L:L,D:D,DST_123_ÜRETİM_İHTİYAÇ_RAPORU_BURAK_YENI1309[[#This Row],[ALT_KOD]]))</f>
        <v>-68</v>
      </c>
      <c r="L3640">
        <v>0</v>
      </c>
      <c r="M3640">
        <f>IF((DST_123_ÜRETİM_İHTİYAÇ_RAPORU_BURAK_YENI1309[[#This Row],[SATINALMA]]*DST_123_ÜRETİM_İHTİYAÇ_RAPORU_BURAK_YENI1309[[#This Row],[BIRIM_FIYATLAR]])&lt;1,VALUE("0"),DST_123_ÜRETİM_İHTİYAÇ_RAPORU_BURAK_YENI1309[[#This Row],[SATINALMA]]*DST_123_ÜRETİM_İHTİYAÇ_RAPORU_BURAK_YENI1309[[#This Row],[BIRIM_FIYATLAR]])</f>
        <v>0</v>
      </c>
      <c r="N3640">
        <v>33</v>
      </c>
      <c r="O3640" t="s">
        <v>226</v>
      </c>
      <c r="P3640">
        <v>264</v>
      </c>
      <c r="Q3640" t="s">
        <v>180</v>
      </c>
    </row>
    <row r="3641" spans="1:17" x14ac:dyDescent="0.25">
      <c r="A3641" t="s">
        <v>1057</v>
      </c>
      <c r="B3641" t="s">
        <v>1058</v>
      </c>
      <c r="C3641" t="s">
        <v>175</v>
      </c>
      <c r="D3641" t="s">
        <v>80</v>
      </c>
      <c r="E3641" t="s">
        <v>81</v>
      </c>
      <c r="F3641">
        <v>5</v>
      </c>
      <c r="G3641" t="s">
        <v>176</v>
      </c>
      <c r="H3641">
        <v>5</v>
      </c>
      <c r="I3641">
        <v>0</v>
      </c>
      <c r="J3641" s="10">
        <v>10.500000000000064</v>
      </c>
      <c r="K3641" s="10">
        <f>SUMIFS(F:F,D:D,DST_123_ÜRETİM_İHTİYAÇ_RAPORU_BURAK_YENI1309[[#This Row],[ALT_KOD]])-(SUMIFS(H:H,D:D,DST_123_ÜRETİM_İHTİYAÇ_RAPORU_BURAK_YENI1309[[#This Row],[ALT_KOD]])+AVERAGEIFS(I:I,D:D,DST_123_ÜRETİM_İHTİYAÇ_RAPORU_BURAK_YENI1309[[#This Row],[ALT_KOD]])+AVERAGEIFS(L:L,D:D,DST_123_ÜRETİM_İHTİYAÇ_RAPORU_BURAK_YENI1309[[#This Row],[ALT_KOD]]))</f>
        <v>25</v>
      </c>
      <c r="L3641">
        <v>40</v>
      </c>
      <c r="M3641">
        <f>IF((DST_123_ÜRETİM_İHTİYAÇ_RAPORU_BURAK_YENI1309[[#This Row],[SATINALMA]]*DST_123_ÜRETİM_İHTİYAÇ_RAPORU_BURAK_YENI1309[[#This Row],[BIRIM_FIYATLAR]])&lt;1,VALUE("0"),DST_123_ÜRETİM_İHTİYAÇ_RAPORU_BURAK_YENI1309[[#This Row],[SATINALMA]]*DST_123_ÜRETİM_İHTİYAÇ_RAPORU_BURAK_YENI1309[[#This Row],[BIRIM_FIYATLAR]])</f>
        <v>16666.75</v>
      </c>
      <c r="N3641">
        <v>666.67</v>
      </c>
      <c r="O3641" t="s">
        <v>223</v>
      </c>
      <c r="P3641">
        <v>3333.35</v>
      </c>
      <c r="Q3641" t="s">
        <v>181</v>
      </c>
    </row>
    <row r="3642" spans="1:17" x14ac:dyDescent="0.25">
      <c r="A3642" t="s">
        <v>1144</v>
      </c>
      <c r="B3642" t="s">
        <v>1145</v>
      </c>
      <c r="C3642" t="s">
        <v>175</v>
      </c>
      <c r="D3642" t="s">
        <v>80</v>
      </c>
      <c r="E3642" t="s">
        <v>81</v>
      </c>
      <c r="F3642">
        <v>6</v>
      </c>
      <c r="G3642" t="s">
        <v>176</v>
      </c>
      <c r="H3642">
        <v>0</v>
      </c>
      <c r="I3642">
        <v>0</v>
      </c>
      <c r="J3642" s="10">
        <v>10.500000000000064</v>
      </c>
      <c r="K3642" s="10">
        <f>SUMIFS(F:F,D:D,DST_123_ÜRETİM_İHTİYAÇ_RAPORU_BURAK_YENI1309[[#This Row],[ALT_KOD]])-(SUMIFS(H:H,D:D,DST_123_ÜRETİM_İHTİYAÇ_RAPORU_BURAK_YENI1309[[#This Row],[ALT_KOD]])+AVERAGEIFS(I:I,D:D,DST_123_ÜRETİM_İHTİYAÇ_RAPORU_BURAK_YENI1309[[#This Row],[ALT_KOD]])+AVERAGEIFS(L:L,D:D,DST_123_ÜRETİM_İHTİYAÇ_RAPORU_BURAK_YENI1309[[#This Row],[ALT_KOD]]))</f>
        <v>25</v>
      </c>
      <c r="L3642">
        <v>40</v>
      </c>
      <c r="M3642">
        <f>IF((DST_123_ÜRETİM_İHTİYAÇ_RAPORU_BURAK_YENI1309[[#This Row],[SATINALMA]]*DST_123_ÜRETİM_İHTİYAÇ_RAPORU_BURAK_YENI1309[[#This Row],[BIRIM_FIYATLAR]])&lt;1,VALUE("0"),DST_123_ÜRETİM_İHTİYAÇ_RAPORU_BURAK_YENI1309[[#This Row],[SATINALMA]]*DST_123_ÜRETİM_İHTİYAÇ_RAPORU_BURAK_YENI1309[[#This Row],[BIRIM_FIYATLAR]])</f>
        <v>16666.75</v>
      </c>
      <c r="N3642">
        <v>666.67</v>
      </c>
      <c r="O3642" t="s">
        <v>223</v>
      </c>
      <c r="P3642">
        <v>4000.0199999999995</v>
      </c>
      <c r="Q3642" t="s">
        <v>181</v>
      </c>
    </row>
    <row r="3643" spans="1:17" x14ac:dyDescent="0.25">
      <c r="A3643" t="s">
        <v>1101</v>
      </c>
      <c r="B3643" t="s">
        <v>1102</v>
      </c>
      <c r="C3643" t="s">
        <v>175</v>
      </c>
      <c r="D3643" t="s">
        <v>74</v>
      </c>
      <c r="E3643" t="s">
        <v>75</v>
      </c>
      <c r="F3643">
        <v>1</v>
      </c>
      <c r="G3643" t="s">
        <v>176</v>
      </c>
      <c r="H3643">
        <v>0</v>
      </c>
      <c r="I3643">
        <v>24</v>
      </c>
      <c r="J3643" s="10">
        <v>30</v>
      </c>
      <c r="K3643" s="10">
        <f>SUMIFS(F:F,D:D,DST_123_ÜRETİM_İHTİYAÇ_RAPORU_BURAK_YENI1309[[#This Row],[ALT_KOD]])-(SUMIFS(H:H,D:D,DST_123_ÜRETİM_İHTİYAÇ_RAPORU_BURAK_YENI1309[[#This Row],[ALT_KOD]])+AVERAGEIFS(I:I,D:D,DST_123_ÜRETİM_İHTİYAÇ_RAPORU_BURAK_YENI1309[[#This Row],[ALT_KOD]])+AVERAGEIFS(L:L,D:D,DST_123_ÜRETİM_İHTİYAÇ_RAPORU_BURAK_YENI1309[[#This Row],[ALT_KOD]]))</f>
        <v>-24</v>
      </c>
      <c r="L3643">
        <v>50</v>
      </c>
      <c r="M3643">
        <f>IF((DST_123_ÜRETİM_İHTİYAÇ_RAPORU_BURAK_YENI1309[[#This Row],[SATINALMA]]*DST_123_ÜRETİM_İHTİYAÇ_RAPORU_BURAK_YENI1309[[#This Row],[BIRIM_FIYATLAR]])&lt;1,VALUE("0"),DST_123_ÜRETİM_İHTİYAÇ_RAPORU_BURAK_YENI1309[[#This Row],[SATINALMA]]*DST_123_ÜRETİM_İHTİYAÇ_RAPORU_BURAK_YENI1309[[#This Row],[BIRIM_FIYATLAR]])</f>
        <v>0</v>
      </c>
      <c r="N3643">
        <v>37</v>
      </c>
      <c r="O3643" t="s">
        <v>821</v>
      </c>
      <c r="P3643">
        <v>37</v>
      </c>
      <c r="Q3643" t="s">
        <v>178</v>
      </c>
    </row>
    <row r="3644" spans="1:17" x14ac:dyDescent="0.25">
      <c r="A3644" t="s">
        <v>1147</v>
      </c>
      <c r="B3644" t="s">
        <v>1145</v>
      </c>
      <c r="C3644" t="s">
        <v>175</v>
      </c>
      <c r="D3644" t="s">
        <v>80</v>
      </c>
      <c r="E3644" t="s">
        <v>81</v>
      </c>
      <c r="F3644">
        <v>6</v>
      </c>
      <c r="G3644" t="s">
        <v>176</v>
      </c>
      <c r="H3644">
        <v>0</v>
      </c>
      <c r="I3644">
        <v>0</v>
      </c>
      <c r="J3644" s="10">
        <v>10.500000000000064</v>
      </c>
      <c r="K3644" s="10">
        <f>SUMIFS(F:F,D:D,DST_123_ÜRETİM_İHTİYAÇ_RAPORU_BURAK_YENI1309[[#This Row],[ALT_KOD]])-(SUMIFS(H:H,D:D,DST_123_ÜRETİM_İHTİYAÇ_RAPORU_BURAK_YENI1309[[#This Row],[ALT_KOD]])+AVERAGEIFS(I:I,D:D,DST_123_ÜRETİM_İHTİYAÇ_RAPORU_BURAK_YENI1309[[#This Row],[ALT_KOD]])+AVERAGEIFS(L:L,D:D,DST_123_ÜRETİM_İHTİYAÇ_RAPORU_BURAK_YENI1309[[#This Row],[ALT_KOD]]))</f>
        <v>25</v>
      </c>
      <c r="L3644">
        <v>40</v>
      </c>
      <c r="M3644">
        <f>IF((DST_123_ÜRETİM_İHTİYAÇ_RAPORU_BURAK_YENI1309[[#This Row],[SATINALMA]]*DST_123_ÜRETİM_İHTİYAÇ_RAPORU_BURAK_YENI1309[[#This Row],[BIRIM_FIYATLAR]])&lt;1,VALUE("0"),DST_123_ÜRETİM_İHTİYAÇ_RAPORU_BURAK_YENI1309[[#This Row],[SATINALMA]]*DST_123_ÜRETİM_İHTİYAÇ_RAPORU_BURAK_YENI1309[[#This Row],[BIRIM_FIYATLAR]])</f>
        <v>16666.75</v>
      </c>
      <c r="N3644">
        <v>666.67</v>
      </c>
      <c r="O3644" t="s">
        <v>223</v>
      </c>
      <c r="P3644">
        <v>4000.0199999999995</v>
      </c>
      <c r="Q3644" t="s">
        <v>181</v>
      </c>
    </row>
    <row r="3645" spans="1:17" x14ac:dyDescent="0.25">
      <c r="A3645" t="s">
        <v>1148</v>
      </c>
      <c r="B3645" t="s">
        <v>1056</v>
      </c>
      <c r="C3645" t="s">
        <v>175</v>
      </c>
      <c r="D3645" t="s">
        <v>80</v>
      </c>
      <c r="E3645" t="s">
        <v>81</v>
      </c>
      <c r="F3645">
        <v>0.5</v>
      </c>
      <c r="G3645" t="s">
        <v>176</v>
      </c>
      <c r="H3645">
        <v>0</v>
      </c>
      <c r="I3645">
        <v>0</v>
      </c>
      <c r="J3645" s="10">
        <v>10.500000000000064</v>
      </c>
      <c r="K3645" s="10">
        <f>SUMIFS(F:F,D:D,DST_123_ÜRETİM_İHTİYAÇ_RAPORU_BURAK_YENI1309[[#This Row],[ALT_KOD]])-(SUMIFS(H:H,D:D,DST_123_ÜRETİM_İHTİYAÇ_RAPORU_BURAK_YENI1309[[#This Row],[ALT_KOD]])+AVERAGEIFS(I:I,D:D,DST_123_ÜRETİM_İHTİYAÇ_RAPORU_BURAK_YENI1309[[#This Row],[ALT_KOD]])+AVERAGEIFS(L:L,D:D,DST_123_ÜRETİM_İHTİYAÇ_RAPORU_BURAK_YENI1309[[#This Row],[ALT_KOD]]))</f>
        <v>25</v>
      </c>
      <c r="L3645">
        <v>40</v>
      </c>
      <c r="M3645">
        <f>IF((DST_123_ÜRETİM_İHTİYAÇ_RAPORU_BURAK_YENI1309[[#This Row],[SATINALMA]]*DST_123_ÜRETİM_İHTİYAÇ_RAPORU_BURAK_YENI1309[[#This Row],[BIRIM_FIYATLAR]])&lt;1,VALUE("0"),DST_123_ÜRETİM_İHTİYAÇ_RAPORU_BURAK_YENI1309[[#This Row],[SATINALMA]]*DST_123_ÜRETİM_İHTİYAÇ_RAPORU_BURAK_YENI1309[[#This Row],[BIRIM_FIYATLAR]])</f>
        <v>16666.75</v>
      </c>
      <c r="N3645">
        <v>666.67</v>
      </c>
      <c r="O3645" t="s">
        <v>223</v>
      </c>
      <c r="P3645">
        <v>333.33499999999998</v>
      </c>
      <c r="Q3645" t="s">
        <v>181</v>
      </c>
    </row>
    <row r="3646" spans="1:17" x14ac:dyDescent="0.25">
      <c r="A3646" t="s">
        <v>1101</v>
      </c>
      <c r="B3646" t="s">
        <v>1102</v>
      </c>
      <c r="C3646" t="s">
        <v>175</v>
      </c>
      <c r="D3646" t="s">
        <v>480</v>
      </c>
      <c r="E3646" t="s">
        <v>481</v>
      </c>
      <c r="F3646">
        <v>20</v>
      </c>
      <c r="G3646" t="s">
        <v>176</v>
      </c>
      <c r="H3646">
        <v>0</v>
      </c>
      <c r="I3646">
        <v>442</v>
      </c>
      <c r="J3646" s="10">
        <v>0</v>
      </c>
      <c r="K3646" s="10">
        <f>SUMIFS(F:F,D:D,DST_123_ÜRETİM_İHTİYAÇ_RAPORU_BURAK_YENI1309[[#This Row],[ALT_KOD]])-(SUMIFS(H:H,D:D,DST_123_ÜRETİM_İHTİYAÇ_RAPORU_BURAK_YENI1309[[#This Row],[ALT_KOD]])+AVERAGEIFS(I:I,D:D,DST_123_ÜRETİM_İHTİYAÇ_RAPORU_BURAK_YENI1309[[#This Row],[ALT_KOD]])+AVERAGEIFS(L:L,D:D,DST_123_ÜRETİM_İHTİYAÇ_RAPORU_BURAK_YENI1309[[#This Row],[ALT_KOD]]))</f>
        <v>-64</v>
      </c>
      <c r="L3646">
        <v>0</v>
      </c>
      <c r="M3646">
        <f>IF((DST_123_ÜRETİM_İHTİYAÇ_RAPORU_BURAK_YENI1309[[#This Row],[SATINALMA]]*DST_123_ÜRETİM_İHTİYAÇ_RAPORU_BURAK_YENI1309[[#This Row],[BIRIM_FIYATLAR]])&lt;1,VALUE("0"),DST_123_ÜRETİM_İHTİYAÇ_RAPORU_BURAK_YENI1309[[#This Row],[SATINALMA]]*DST_123_ÜRETİM_İHTİYAÇ_RAPORU_BURAK_YENI1309[[#This Row],[BIRIM_FIYATLAR]])</f>
        <v>0</v>
      </c>
      <c r="N3646">
        <v>9.35</v>
      </c>
      <c r="O3646" t="s">
        <v>882</v>
      </c>
      <c r="P3646">
        <v>187</v>
      </c>
      <c r="Q3646" t="s">
        <v>180</v>
      </c>
    </row>
    <row r="3647" spans="1:17" x14ac:dyDescent="0.25">
      <c r="A3647" t="s">
        <v>1060</v>
      </c>
      <c r="B3647" t="s">
        <v>1061</v>
      </c>
      <c r="C3647" t="s">
        <v>175</v>
      </c>
      <c r="D3647" t="s">
        <v>970</v>
      </c>
      <c r="E3647" t="s">
        <v>971</v>
      </c>
      <c r="F3647">
        <v>0.36</v>
      </c>
      <c r="G3647" t="s">
        <v>182</v>
      </c>
      <c r="H3647">
        <v>0</v>
      </c>
      <c r="I3647">
        <v>0</v>
      </c>
      <c r="J3647" s="10">
        <v>30.76</v>
      </c>
      <c r="K3647" s="10">
        <f>SUMIFS(F:F,D:D,DST_123_ÜRETİM_İHTİYAÇ_RAPORU_BURAK_YENI1309[[#This Row],[ALT_KOD]])-(SUMIFS(H:H,D:D,DST_123_ÜRETİM_İHTİYAÇ_RAPORU_BURAK_YENI1309[[#This Row],[ALT_KOD]])+AVERAGEIFS(I:I,D:D,DST_123_ÜRETİM_İHTİYAÇ_RAPORU_BURAK_YENI1309[[#This Row],[ALT_KOD]])+AVERAGEIFS(L:L,D:D,DST_123_ÜRETİM_İHTİYAÇ_RAPORU_BURAK_YENI1309[[#This Row],[ALT_KOD]]))</f>
        <v>4.4400000000000004</v>
      </c>
      <c r="L3647">
        <v>0</v>
      </c>
      <c r="M3647">
        <f>IF((DST_123_ÜRETİM_İHTİYAÇ_RAPORU_BURAK_YENI1309[[#This Row],[SATINALMA]]*DST_123_ÜRETİM_İHTİYAÇ_RAPORU_BURAK_YENI1309[[#This Row],[BIRIM_FIYATLAR]])&lt;1,VALUE("0"),DST_123_ÜRETİM_İHTİYAÇ_RAPORU_BURAK_YENI1309[[#This Row],[SATINALMA]]*DST_123_ÜRETİM_İHTİYAÇ_RAPORU_BURAK_YENI1309[[#This Row],[BIRIM_FIYATLAR]])</f>
        <v>7762.0524000000005</v>
      </c>
      <c r="N3647">
        <v>1748.21</v>
      </c>
      <c r="O3647" t="s">
        <v>223</v>
      </c>
      <c r="P3647">
        <v>629.35559999999998</v>
      </c>
      <c r="Q3647" t="s">
        <v>181</v>
      </c>
    </row>
    <row r="3648" spans="1:17" x14ac:dyDescent="0.25">
      <c r="A3648" t="s">
        <v>1148</v>
      </c>
      <c r="B3648" t="s">
        <v>1056</v>
      </c>
      <c r="C3648" t="s">
        <v>175</v>
      </c>
      <c r="D3648" t="s">
        <v>970</v>
      </c>
      <c r="E3648" t="s">
        <v>971</v>
      </c>
      <c r="F3648">
        <v>0.6</v>
      </c>
      <c r="G3648" t="s">
        <v>182</v>
      </c>
      <c r="H3648">
        <v>0</v>
      </c>
      <c r="I3648">
        <v>0</v>
      </c>
      <c r="J3648" s="10">
        <v>30.76</v>
      </c>
      <c r="K3648" s="10">
        <f>SUMIFS(F:F,D:D,DST_123_ÜRETİM_İHTİYAÇ_RAPORU_BURAK_YENI1309[[#This Row],[ALT_KOD]])-(SUMIFS(H:H,D:D,DST_123_ÜRETİM_İHTİYAÇ_RAPORU_BURAK_YENI1309[[#This Row],[ALT_KOD]])+AVERAGEIFS(I:I,D:D,DST_123_ÜRETİM_İHTİYAÇ_RAPORU_BURAK_YENI1309[[#This Row],[ALT_KOD]])+AVERAGEIFS(L:L,D:D,DST_123_ÜRETİM_İHTİYAÇ_RAPORU_BURAK_YENI1309[[#This Row],[ALT_KOD]]))</f>
        <v>4.4400000000000004</v>
      </c>
      <c r="L3648">
        <v>0</v>
      </c>
      <c r="M3648">
        <f>IF((DST_123_ÜRETİM_İHTİYAÇ_RAPORU_BURAK_YENI1309[[#This Row],[SATINALMA]]*DST_123_ÜRETİM_İHTİYAÇ_RAPORU_BURAK_YENI1309[[#This Row],[BIRIM_FIYATLAR]])&lt;1,VALUE("0"),DST_123_ÜRETİM_İHTİYAÇ_RAPORU_BURAK_YENI1309[[#This Row],[SATINALMA]]*DST_123_ÜRETİM_İHTİYAÇ_RAPORU_BURAK_YENI1309[[#This Row],[BIRIM_FIYATLAR]])</f>
        <v>7762.0524000000005</v>
      </c>
      <c r="N3648">
        <v>1748.21</v>
      </c>
      <c r="O3648" t="s">
        <v>223</v>
      </c>
      <c r="P3648">
        <v>1048.9259999999999</v>
      </c>
      <c r="Q3648" t="s">
        <v>181</v>
      </c>
    </row>
    <row r="3649" spans="1:17" x14ac:dyDescent="0.25">
      <c r="A3649" t="s">
        <v>1148</v>
      </c>
      <c r="B3649" t="s">
        <v>1056</v>
      </c>
      <c r="C3649" t="s">
        <v>175</v>
      </c>
      <c r="D3649" t="s">
        <v>1051</v>
      </c>
      <c r="E3649" t="s">
        <v>1052</v>
      </c>
      <c r="F3649">
        <v>1</v>
      </c>
      <c r="G3649" t="s">
        <v>176</v>
      </c>
      <c r="H3649">
        <v>0</v>
      </c>
      <c r="I3649">
        <v>2</v>
      </c>
      <c r="J3649" s="10">
        <v>7</v>
      </c>
      <c r="K3649" s="10">
        <f>SUMIFS(F:F,D:D,DST_123_ÜRETİM_İHTİYAÇ_RAPORU_BURAK_YENI1309[[#This Row],[ALT_KOD]])-(SUMIFS(H:H,D:D,DST_123_ÜRETİM_İHTİYAÇ_RAPORU_BURAK_YENI1309[[#This Row],[ALT_KOD]])+AVERAGEIFS(I:I,D:D,DST_123_ÜRETİM_İHTİYAÇ_RAPORU_BURAK_YENI1309[[#This Row],[ALT_KOD]])+AVERAGEIFS(L:L,D:D,DST_123_ÜRETİM_İHTİYAÇ_RAPORU_BURAK_YENI1309[[#This Row],[ALT_KOD]]))</f>
        <v>10</v>
      </c>
      <c r="L3649">
        <v>0</v>
      </c>
      <c r="M3649">
        <f>IF((DST_123_ÜRETİM_İHTİYAÇ_RAPORU_BURAK_YENI1309[[#This Row],[SATINALMA]]*DST_123_ÜRETİM_İHTİYAÇ_RAPORU_BURAK_YENI1309[[#This Row],[BIRIM_FIYATLAR]])&lt;1,VALUE("0"),DST_123_ÜRETİM_İHTİYAÇ_RAPORU_BURAK_YENI1309[[#This Row],[SATINALMA]]*DST_123_ÜRETİM_İHTİYAÇ_RAPORU_BURAK_YENI1309[[#This Row],[BIRIM_FIYATLAR]])</f>
        <v>121389.3</v>
      </c>
      <c r="N3649">
        <v>12138.93</v>
      </c>
      <c r="O3649" t="s">
        <v>634</v>
      </c>
      <c r="P3649">
        <v>12138.93</v>
      </c>
      <c r="Q3649" t="s">
        <v>177</v>
      </c>
    </row>
    <row r="3650" spans="1:17" x14ac:dyDescent="0.25">
      <c r="A3650" t="s">
        <v>1060</v>
      </c>
      <c r="B3650" t="s">
        <v>1061</v>
      </c>
      <c r="C3650" t="s">
        <v>175</v>
      </c>
      <c r="D3650" t="s">
        <v>732</v>
      </c>
      <c r="E3650" t="s">
        <v>733</v>
      </c>
      <c r="F3650">
        <v>16</v>
      </c>
      <c r="G3650" t="s">
        <v>185</v>
      </c>
      <c r="H3650">
        <v>0</v>
      </c>
      <c r="I3650">
        <v>0</v>
      </c>
      <c r="J3650" s="10">
        <v>62.999999999999986</v>
      </c>
      <c r="K3650" s="10">
        <f>SUMIFS(F:F,D:D,DST_123_ÜRETİM_İHTİYAÇ_RAPORU_BURAK_YENI1309[[#This Row],[ALT_KOD]])-(SUMIFS(H:H,D:D,DST_123_ÜRETİM_İHTİYAÇ_RAPORU_BURAK_YENI1309[[#This Row],[ALT_KOD]])+AVERAGEIFS(I:I,D:D,DST_123_ÜRETİM_İHTİYAÇ_RAPORU_BURAK_YENI1309[[#This Row],[ALT_KOD]])+AVERAGEIFS(L:L,D:D,DST_123_ÜRETİM_İHTİYAÇ_RAPORU_BURAK_YENI1309[[#This Row],[ALT_KOD]]))</f>
        <v>196</v>
      </c>
      <c r="L3650">
        <v>0</v>
      </c>
      <c r="M3650">
        <f>IF((DST_123_ÜRETİM_İHTİYAÇ_RAPORU_BURAK_YENI1309[[#This Row],[SATINALMA]]*DST_123_ÜRETİM_İHTİYAÇ_RAPORU_BURAK_YENI1309[[#This Row],[BIRIM_FIYATLAR]])&lt;1,VALUE("0"),DST_123_ÜRETİM_İHTİYAÇ_RAPORU_BURAK_YENI1309[[#This Row],[SATINALMA]]*DST_123_ÜRETİM_İHTİYAÇ_RAPORU_BURAK_YENI1309[[#This Row],[BIRIM_FIYATLAR]])</f>
        <v>215186.44000000003</v>
      </c>
      <c r="N3650">
        <v>1097.8900000000001</v>
      </c>
      <c r="O3650" t="s">
        <v>648</v>
      </c>
      <c r="P3650">
        <v>17566.240000000002</v>
      </c>
      <c r="Q3650" t="s">
        <v>183</v>
      </c>
    </row>
    <row r="3651" spans="1:17" x14ac:dyDescent="0.25">
      <c r="A3651" t="s">
        <v>1148</v>
      </c>
      <c r="B3651" t="s">
        <v>1056</v>
      </c>
      <c r="C3651" t="s">
        <v>175</v>
      </c>
      <c r="D3651" t="s">
        <v>607</v>
      </c>
      <c r="E3651" t="s">
        <v>608</v>
      </c>
      <c r="F3651">
        <v>2</v>
      </c>
      <c r="G3651" t="s">
        <v>176</v>
      </c>
      <c r="H3651">
        <v>0</v>
      </c>
      <c r="I3651">
        <v>0</v>
      </c>
      <c r="J3651" s="10">
        <v>10</v>
      </c>
      <c r="K3651" s="10">
        <f>SUMIFS(F:F,D:D,DST_123_ÜRETİM_İHTİYAÇ_RAPORU_BURAK_YENI1309[[#This Row],[ALT_KOD]])-(SUMIFS(H:H,D:D,DST_123_ÜRETİM_İHTİYAÇ_RAPORU_BURAK_YENI1309[[#This Row],[ALT_KOD]])+AVERAGEIFS(I:I,D:D,DST_123_ÜRETİM_İHTİYAÇ_RAPORU_BURAK_YENI1309[[#This Row],[ALT_KOD]])+AVERAGEIFS(L:L,D:D,DST_123_ÜRETİM_İHTİYAÇ_RAPORU_BURAK_YENI1309[[#This Row],[ALT_KOD]]))</f>
        <v>24</v>
      </c>
      <c r="L3651">
        <v>0</v>
      </c>
      <c r="M3651">
        <f>IF((DST_123_ÜRETİM_İHTİYAÇ_RAPORU_BURAK_YENI1309[[#This Row],[SATINALMA]]*DST_123_ÜRETİM_İHTİYAÇ_RAPORU_BURAK_YENI1309[[#This Row],[BIRIM_FIYATLAR]])&lt;1,VALUE("0"),DST_123_ÜRETİM_İHTİYAÇ_RAPORU_BURAK_YENI1309[[#This Row],[SATINALMA]]*DST_123_ÜRETİM_İHTİYAÇ_RAPORU_BURAK_YENI1309[[#This Row],[BIRIM_FIYATLAR]])</f>
        <v>1358.4</v>
      </c>
      <c r="N3651">
        <v>56.6</v>
      </c>
      <c r="O3651" t="s">
        <v>636</v>
      </c>
      <c r="P3651">
        <v>113.2</v>
      </c>
      <c r="Q3651" t="s">
        <v>177</v>
      </c>
    </row>
    <row r="3652" spans="1:17" x14ac:dyDescent="0.25">
      <c r="A3652" t="s">
        <v>1147</v>
      </c>
      <c r="B3652" t="s">
        <v>1145</v>
      </c>
      <c r="C3652" t="s">
        <v>175</v>
      </c>
      <c r="D3652" t="s">
        <v>448</v>
      </c>
      <c r="E3652" t="s">
        <v>449</v>
      </c>
      <c r="F3652">
        <v>2</v>
      </c>
      <c r="G3652" t="s">
        <v>176</v>
      </c>
      <c r="H3652">
        <v>0</v>
      </c>
      <c r="I3652">
        <v>27</v>
      </c>
      <c r="J3652" s="10">
        <v>16</v>
      </c>
      <c r="K3652" s="10">
        <f>SUMIFS(F:F,D:D,DST_123_ÜRETİM_İHTİYAÇ_RAPORU_BURAK_YENI1309[[#This Row],[ALT_KOD]])-(SUMIFS(H:H,D:D,DST_123_ÜRETİM_İHTİYAÇ_RAPORU_BURAK_YENI1309[[#This Row],[ALT_KOD]])+AVERAGEIFS(I:I,D:D,DST_123_ÜRETİM_İHTİYAÇ_RAPORU_BURAK_YENI1309[[#This Row],[ALT_KOD]])+AVERAGEIFS(L:L,D:D,DST_123_ÜRETİM_İHTİYAÇ_RAPORU_BURAK_YENI1309[[#This Row],[ALT_KOD]]))</f>
        <v>-3</v>
      </c>
      <c r="L3652">
        <v>0</v>
      </c>
      <c r="M3652">
        <f>IF((DST_123_ÜRETİM_İHTİYAÇ_RAPORU_BURAK_YENI1309[[#This Row],[SATINALMA]]*DST_123_ÜRETİM_İHTİYAÇ_RAPORU_BURAK_YENI1309[[#This Row],[BIRIM_FIYATLAR]])&lt;1,VALUE("0"),DST_123_ÜRETİM_İHTİYAÇ_RAPORU_BURAK_YENI1309[[#This Row],[SATINALMA]]*DST_123_ÜRETİM_İHTİYAÇ_RAPORU_BURAK_YENI1309[[#This Row],[BIRIM_FIYATLAR]])</f>
        <v>0</v>
      </c>
      <c r="N3652">
        <v>66.23</v>
      </c>
      <c r="O3652" t="s">
        <v>227</v>
      </c>
      <c r="P3652">
        <v>132.46</v>
      </c>
      <c r="Q3652" t="s">
        <v>221</v>
      </c>
    </row>
    <row r="3653" spans="1:17" x14ac:dyDescent="0.25">
      <c r="A3653" t="s">
        <v>1095</v>
      </c>
      <c r="B3653" t="s">
        <v>1096</v>
      </c>
      <c r="C3653" t="s">
        <v>175</v>
      </c>
      <c r="D3653" t="s">
        <v>548</v>
      </c>
      <c r="E3653" t="s">
        <v>549</v>
      </c>
      <c r="F3653">
        <v>30</v>
      </c>
      <c r="G3653" t="s">
        <v>176</v>
      </c>
      <c r="H3653">
        <v>0</v>
      </c>
      <c r="I3653">
        <v>800</v>
      </c>
      <c r="J3653" s="10">
        <v>0</v>
      </c>
      <c r="K3653" s="10">
        <f>SUMIFS(F:F,D:D,DST_123_ÜRETİM_İHTİYAÇ_RAPORU_BURAK_YENI1309[[#This Row],[ALT_KOD]])-(SUMIFS(H:H,D:D,DST_123_ÜRETİM_İHTİYAÇ_RAPORU_BURAK_YENI1309[[#This Row],[ALT_KOD]])+AVERAGEIFS(I:I,D:D,DST_123_ÜRETİM_İHTİYAÇ_RAPORU_BURAK_YENI1309[[#This Row],[ALT_KOD]])+AVERAGEIFS(L:L,D:D,DST_123_ÜRETİM_İHTİYAÇ_RAPORU_BURAK_YENI1309[[#This Row],[ALT_KOD]]))</f>
        <v>-414</v>
      </c>
      <c r="L3653">
        <v>0</v>
      </c>
      <c r="M3653">
        <f>IF((DST_123_ÜRETİM_İHTİYAÇ_RAPORU_BURAK_YENI1309[[#This Row],[SATINALMA]]*DST_123_ÜRETİM_İHTİYAÇ_RAPORU_BURAK_YENI1309[[#This Row],[BIRIM_FIYATLAR]])&lt;1,VALUE("0"),DST_123_ÜRETİM_İHTİYAÇ_RAPORU_BURAK_YENI1309[[#This Row],[SATINALMA]]*DST_123_ÜRETİM_İHTİYAÇ_RAPORU_BURAK_YENI1309[[#This Row],[BIRIM_FIYATLAR]])</f>
        <v>0</v>
      </c>
      <c r="N3653">
        <v>13.75</v>
      </c>
      <c r="O3653" t="s">
        <v>628</v>
      </c>
      <c r="P3653">
        <v>412.5</v>
      </c>
      <c r="Q3653" t="s">
        <v>180</v>
      </c>
    </row>
    <row r="3654" spans="1:17" x14ac:dyDescent="0.25">
      <c r="A3654" t="s">
        <v>1095</v>
      </c>
      <c r="B3654" t="s">
        <v>1096</v>
      </c>
      <c r="C3654" t="s">
        <v>175</v>
      </c>
      <c r="D3654" t="s">
        <v>552</v>
      </c>
      <c r="E3654" t="s">
        <v>553</v>
      </c>
      <c r="F3654">
        <v>0.67</v>
      </c>
      <c r="G3654" t="s">
        <v>176</v>
      </c>
      <c r="H3654">
        <v>0</v>
      </c>
      <c r="I3654">
        <v>14</v>
      </c>
      <c r="J3654" s="10">
        <v>9.9999999999999929</v>
      </c>
      <c r="K3654" s="10">
        <f>SUMIFS(F:F,D:D,DST_123_ÜRETİM_İHTİYAÇ_RAPORU_BURAK_YENI1309[[#This Row],[ALT_KOD]])-(SUMIFS(H:H,D:D,DST_123_ÜRETİM_İHTİYAÇ_RAPORU_BURAK_YENI1309[[#This Row],[ALT_KOD]])+AVERAGEIFS(I:I,D:D,DST_123_ÜRETİM_İHTİYAÇ_RAPORU_BURAK_YENI1309[[#This Row],[ALT_KOD]])+AVERAGEIFS(L:L,D:D,DST_123_ÜRETİM_İHTİYAÇ_RAPORU_BURAK_YENI1309[[#This Row],[ALT_KOD]]))</f>
        <v>2.5700000000000003</v>
      </c>
      <c r="L3654">
        <v>0</v>
      </c>
      <c r="M3654">
        <f>IF((DST_123_ÜRETİM_İHTİYAÇ_RAPORU_BURAK_YENI1309[[#This Row],[SATINALMA]]*DST_123_ÜRETİM_İHTİYAÇ_RAPORU_BURAK_YENI1309[[#This Row],[BIRIM_FIYATLAR]])&lt;1,VALUE("0"),DST_123_ÜRETİM_İHTİYAÇ_RAPORU_BURAK_YENI1309[[#This Row],[SATINALMA]]*DST_123_ÜRETİM_İHTİYAÇ_RAPORU_BURAK_YENI1309[[#This Row],[BIRIM_FIYATLAR]])</f>
        <v>552.55000000000007</v>
      </c>
      <c r="N3654">
        <v>215</v>
      </c>
      <c r="O3654" t="s">
        <v>240</v>
      </c>
      <c r="P3654">
        <v>144.05000000000001</v>
      </c>
      <c r="Q3654" t="s">
        <v>180</v>
      </c>
    </row>
    <row r="3655" spans="1:17" x14ac:dyDescent="0.25">
      <c r="A3655" t="s">
        <v>1142</v>
      </c>
      <c r="B3655" t="s">
        <v>1056</v>
      </c>
      <c r="C3655" t="s">
        <v>175</v>
      </c>
      <c r="D3655" t="s">
        <v>279</v>
      </c>
      <c r="E3655" t="s">
        <v>318</v>
      </c>
      <c r="F3655">
        <v>1</v>
      </c>
      <c r="G3655" t="s">
        <v>176</v>
      </c>
      <c r="H3655">
        <v>0</v>
      </c>
      <c r="I3655">
        <v>27</v>
      </c>
      <c r="J3655" s="10">
        <v>4</v>
      </c>
      <c r="K3655" s="10">
        <f>SUMIFS(F:F,D:D,DST_123_ÜRETİM_İHTİYAÇ_RAPORU_BURAK_YENI1309[[#This Row],[ALT_KOD]])-(SUMIFS(H:H,D:D,DST_123_ÜRETİM_İHTİYAÇ_RAPORU_BURAK_YENI1309[[#This Row],[ALT_KOD]])+AVERAGEIFS(I:I,D:D,DST_123_ÜRETİM_İHTİYAÇ_RAPORU_BURAK_YENI1309[[#This Row],[ALT_KOD]])+AVERAGEIFS(L:L,D:D,DST_123_ÜRETİM_İHTİYAÇ_RAPORU_BURAK_YENI1309[[#This Row],[ALT_KOD]]))</f>
        <v>-20</v>
      </c>
      <c r="L3655">
        <v>0</v>
      </c>
      <c r="M3655">
        <f>IF((DST_123_ÜRETİM_İHTİYAÇ_RAPORU_BURAK_YENI1309[[#This Row],[SATINALMA]]*DST_123_ÜRETİM_İHTİYAÇ_RAPORU_BURAK_YENI1309[[#This Row],[BIRIM_FIYATLAR]])&lt;1,VALUE("0"),DST_123_ÜRETİM_İHTİYAÇ_RAPORU_BURAK_YENI1309[[#This Row],[SATINALMA]]*DST_123_ÜRETİM_İHTİYAÇ_RAPORU_BURAK_YENI1309[[#This Row],[BIRIM_FIYATLAR]])</f>
        <v>0</v>
      </c>
      <c r="N3655">
        <v>290.73</v>
      </c>
      <c r="O3655" t="s">
        <v>636</v>
      </c>
      <c r="P3655">
        <v>290.73</v>
      </c>
      <c r="Q3655" t="s">
        <v>178</v>
      </c>
    </row>
    <row r="3656" spans="1:17" x14ac:dyDescent="0.25">
      <c r="A3656" t="s">
        <v>1095</v>
      </c>
      <c r="B3656" t="s">
        <v>1096</v>
      </c>
      <c r="C3656" t="s">
        <v>175</v>
      </c>
      <c r="D3656" t="s">
        <v>431</v>
      </c>
      <c r="E3656" t="s">
        <v>432</v>
      </c>
      <c r="F3656">
        <v>1</v>
      </c>
      <c r="G3656" t="s">
        <v>176</v>
      </c>
      <c r="H3656">
        <v>0</v>
      </c>
      <c r="I3656">
        <v>8</v>
      </c>
      <c r="J3656" s="10">
        <v>5</v>
      </c>
      <c r="K3656" s="10">
        <f>SUMIFS(F:F,D:D,DST_123_ÜRETİM_İHTİYAÇ_RAPORU_BURAK_YENI1309[[#This Row],[ALT_KOD]])-(SUMIFS(H:H,D:D,DST_123_ÜRETİM_İHTİYAÇ_RAPORU_BURAK_YENI1309[[#This Row],[ALT_KOD]])+AVERAGEIFS(I:I,D:D,DST_123_ÜRETİM_İHTİYAÇ_RAPORU_BURAK_YENI1309[[#This Row],[ALT_KOD]])+AVERAGEIFS(L:L,D:D,DST_123_ÜRETİM_İHTİYAÇ_RAPORU_BURAK_YENI1309[[#This Row],[ALT_KOD]]))</f>
        <v>-4</v>
      </c>
      <c r="L3656">
        <v>0</v>
      </c>
      <c r="M3656">
        <f>IF((DST_123_ÜRETİM_İHTİYAÇ_RAPORU_BURAK_YENI1309[[#This Row],[SATINALMA]]*DST_123_ÜRETİM_İHTİYAÇ_RAPORU_BURAK_YENI1309[[#This Row],[BIRIM_FIYATLAR]])&lt;1,VALUE("0"),DST_123_ÜRETİM_İHTİYAÇ_RAPORU_BURAK_YENI1309[[#This Row],[SATINALMA]]*DST_123_ÜRETİM_İHTİYAÇ_RAPORU_BURAK_YENI1309[[#This Row],[BIRIM_FIYATLAR]])</f>
        <v>0</v>
      </c>
      <c r="N3656">
        <v>1723.79</v>
      </c>
      <c r="O3656" t="s">
        <v>636</v>
      </c>
      <c r="P3656">
        <v>1723.79</v>
      </c>
      <c r="Q3656" t="s">
        <v>178</v>
      </c>
    </row>
    <row r="3657" spans="1:17" x14ac:dyDescent="0.25">
      <c r="A3657" t="s">
        <v>1059</v>
      </c>
      <c r="B3657" t="s">
        <v>1058</v>
      </c>
      <c r="C3657" t="s">
        <v>175</v>
      </c>
      <c r="D3657" t="s">
        <v>699</v>
      </c>
      <c r="E3657" t="s">
        <v>700</v>
      </c>
      <c r="F3657">
        <v>2</v>
      </c>
      <c r="G3657" t="s">
        <v>176</v>
      </c>
      <c r="H3657">
        <v>0</v>
      </c>
      <c r="I3657">
        <v>135</v>
      </c>
      <c r="J3657" s="10">
        <v>7</v>
      </c>
      <c r="K3657" s="10">
        <f>SUMIFS(F:F,D:D,DST_123_ÜRETİM_İHTİYAÇ_RAPORU_BURAK_YENI1309[[#This Row],[ALT_KOD]])-(SUMIFS(H:H,D:D,DST_123_ÜRETİM_İHTİYAÇ_RAPORU_BURAK_YENI1309[[#This Row],[ALT_KOD]])+AVERAGEIFS(I:I,D:D,DST_123_ÜRETİM_İHTİYAÇ_RAPORU_BURAK_YENI1309[[#This Row],[ALT_KOD]])+AVERAGEIFS(L:L,D:D,DST_123_ÜRETİM_İHTİYAÇ_RAPORU_BURAK_YENI1309[[#This Row],[ALT_KOD]]))</f>
        <v>-119</v>
      </c>
      <c r="L3657">
        <v>0</v>
      </c>
      <c r="M3657">
        <f>IF((DST_123_ÜRETİM_İHTİYAÇ_RAPORU_BURAK_YENI1309[[#This Row],[SATINALMA]]*DST_123_ÜRETİM_İHTİYAÇ_RAPORU_BURAK_YENI1309[[#This Row],[BIRIM_FIYATLAR]])&lt;1,VALUE("0"),DST_123_ÜRETİM_İHTİYAÇ_RAPORU_BURAK_YENI1309[[#This Row],[SATINALMA]]*DST_123_ÜRETİM_İHTİYAÇ_RAPORU_BURAK_YENI1309[[#This Row],[BIRIM_FIYATLAR]])</f>
        <v>0</v>
      </c>
      <c r="N3657">
        <v>39.6</v>
      </c>
      <c r="O3657" t="s">
        <v>220</v>
      </c>
      <c r="P3657">
        <v>79.2</v>
      </c>
      <c r="Q3657" t="s">
        <v>221</v>
      </c>
    </row>
    <row r="3658" spans="1:17" x14ac:dyDescent="0.25">
      <c r="A3658" t="s">
        <v>1143</v>
      </c>
      <c r="B3658" t="s">
        <v>1056</v>
      </c>
      <c r="C3658" t="s">
        <v>175</v>
      </c>
      <c r="D3658" t="s">
        <v>699</v>
      </c>
      <c r="E3658" t="s">
        <v>700</v>
      </c>
      <c r="F3658">
        <v>2</v>
      </c>
      <c r="G3658" t="s">
        <v>176</v>
      </c>
      <c r="H3658">
        <v>0</v>
      </c>
      <c r="I3658">
        <v>135</v>
      </c>
      <c r="J3658" s="10">
        <v>7</v>
      </c>
      <c r="K3658" s="10">
        <f>SUMIFS(F:F,D:D,DST_123_ÜRETİM_İHTİYAÇ_RAPORU_BURAK_YENI1309[[#This Row],[ALT_KOD]])-(SUMIFS(H:H,D:D,DST_123_ÜRETİM_İHTİYAÇ_RAPORU_BURAK_YENI1309[[#This Row],[ALT_KOD]])+AVERAGEIFS(I:I,D:D,DST_123_ÜRETİM_İHTİYAÇ_RAPORU_BURAK_YENI1309[[#This Row],[ALT_KOD]])+AVERAGEIFS(L:L,D:D,DST_123_ÜRETİM_İHTİYAÇ_RAPORU_BURAK_YENI1309[[#This Row],[ALT_KOD]]))</f>
        <v>-119</v>
      </c>
      <c r="L3658">
        <v>0</v>
      </c>
      <c r="M3658">
        <f>IF((DST_123_ÜRETİM_İHTİYAÇ_RAPORU_BURAK_YENI1309[[#This Row],[SATINALMA]]*DST_123_ÜRETİM_İHTİYAÇ_RAPORU_BURAK_YENI1309[[#This Row],[BIRIM_FIYATLAR]])&lt;1,VALUE("0"),DST_123_ÜRETİM_İHTİYAÇ_RAPORU_BURAK_YENI1309[[#This Row],[SATINALMA]]*DST_123_ÜRETİM_İHTİYAÇ_RAPORU_BURAK_YENI1309[[#This Row],[BIRIM_FIYATLAR]])</f>
        <v>0</v>
      </c>
      <c r="N3658">
        <v>39.6</v>
      </c>
      <c r="O3658" t="s">
        <v>220</v>
      </c>
      <c r="P3658">
        <v>79.2</v>
      </c>
      <c r="Q3658" t="s">
        <v>221</v>
      </c>
    </row>
    <row r="3659" spans="1:17" x14ac:dyDescent="0.25">
      <c r="A3659" t="s">
        <v>1097</v>
      </c>
      <c r="B3659" t="s">
        <v>1055</v>
      </c>
      <c r="C3659" t="s">
        <v>175</v>
      </c>
      <c r="D3659" t="s">
        <v>699</v>
      </c>
      <c r="E3659" t="s">
        <v>700</v>
      </c>
      <c r="F3659">
        <v>1</v>
      </c>
      <c r="G3659" t="s">
        <v>176</v>
      </c>
      <c r="H3659">
        <v>0</v>
      </c>
      <c r="I3659">
        <v>135</v>
      </c>
      <c r="J3659" s="10">
        <v>7</v>
      </c>
      <c r="K3659" s="10">
        <f>SUMIFS(F:F,D:D,DST_123_ÜRETİM_İHTİYAÇ_RAPORU_BURAK_YENI1309[[#This Row],[ALT_KOD]])-(SUMIFS(H:H,D:D,DST_123_ÜRETİM_İHTİYAÇ_RAPORU_BURAK_YENI1309[[#This Row],[ALT_KOD]])+AVERAGEIFS(I:I,D:D,DST_123_ÜRETİM_İHTİYAÇ_RAPORU_BURAK_YENI1309[[#This Row],[ALT_KOD]])+AVERAGEIFS(L:L,D:D,DST_123_ÜRETİM_İHTİYAÇ_RAPORU_BURAK_YENI1309[[#This Row],[ALT_KOD]]))</f>
        <v>-119</v>
      </c>
      <c r="L3659">
        <v>0</v>
      </c>
      <c r="M3659">
        <f>IF((DST_123_ÜRETİM_İHTİYAÇ_RAPORU_BURAK_YENI1309[[#This Row],[SATINALMA]]*DST_123_ÜRETİM_İHTİYAÇ_RAPORU_BURAK_YENI1309[[#This Row],[BIRIM_FIYATLAR]])&lt;1,VALUE("0"),DST_123_ÜRETİM_İHTİYAÇ_RAPORU_BURAK_YENI1309[[#This Row],[SATINALMA]]*DST_123_ÜRETİM_İHTİYAÇ_RAPORU_BURAK_YENI1309[[#This Row],[BIRIM_FIYATLAR]])</f>
        <v>0</v>
      </c>
      <c r="N3659">
        <v>39.6</v>
      </c>
      <c r="O3659" t="s">
        <v>220</v>
      </c>
      <c r="P3659">
        <v>39.6</v>
      </c>
      <c r="Q3659" t="s">
        <v>221</v>
      </c>
    </row>
    <row r="3660" spans="1:17" x14ac:dyDescent="0.25">
      <c r="A3660" t="s">
        <v>1059</v>
      </c>
      <c r="B3660" t="s">
        <v>1058</v>
      </c>
      <c r="C3660" t="s">
        <v>175</v>
      </c>
      <c r="D3660" t="s">
        <v>276</v>
      </c>
      <c r="E3660" t="s">
        <v>315</v>
      </c>
      <c r="F3660">
        <v>1</v>
      </c>
      <c r="G3660" t="s">
        <v>176</v>
      </c>
      <c r="H3660">
        <v>0</v>
      </c>
      <c r="I3660">
        <v>28</v>
      </c>
      <c r="J3660" s="10">
        <v>4</v>
      </c>
      <c r="K3660" s="10">
        <f>SUMIFS(F:F,D:D,DST_123_ÜRETİM_İHTİYAÇ_RAPORU_BURAK_YENI1309[[#This Row],[ALT_KOD]])-(SUMIFS(H:H,D:D,DST_123_ÜRETİM_İHTİYAÇ_RAPORU_BURAK_YENI1309[[#This Row],[ALT_KOD]])+AVERAGEIFS(I:I,D:D,DST_123_ÜRETİM_İHTİYAÇ_RAPORU_BURAK_YENI1309[[#This Row],[ALT_KOD]])+AVERAGEIFS(L:L,D:D,DST_123_ÜRETİM_İHTİYAÇ_RAPORU_BURAK_YENI1309[[#This Row],[ALT_KOD]]))</f>
        <v>-21</v>
      </c>
      <c r="L3660">
        <v>0</v>
      </c>
      <c r="M3660">
        <f>IF((DST_123_ÜRETİM_İHTİYAÇ_RAPORU_BURAK_YENI1309[[#This Row],[SATINALMA]]*DST_123_ÜRETİM_İHTİYAÇ_RAPORU_BURAK_YENI1309[[#This Row],[BIRIM_FIYATLAR]])&lt;1,VALUE("0"),DST_123_ÜRETİM_İHTİYAÇ_RAPORU_BURAK_YENI1309[[#This Row],[SATINALMA]]*DST_123_ÜRETİM_İHTİYAÇ_RAPORU_BURAK_YENI1309[[#This Row],[BIRIM_FIYATLAR]])</f>
        <v>0</v>
      </c>
      <c r="N3660">
        <v>290.73</v>
      </c>
      <c r="O3660" t="s">
        <v>636</v>
      </c>
      <c r="P3660">
        <v>290.73</v>
      </c>
      <c r="Q3660" t="s">
        <v>178</v>
      </c>
    </row>
    <row r="3661" spans="1:17" x14ac:dyDescent="0.25">
      <c r="A3661" t="s">
        <v>1143</v>
      </c>
      <c r="B3661" t="s">
        <v>1056</v>
      </c>
      <c r="C3661" t="s">
        <v>175</v>
      </c>
      <c r="D3661" t="s">
        <v>689</v>
      </c>
      <c r="E3661" t="s">
        <v>690</v>
      </c>
      <c r="F3661">
        <v>1</v>
      </c>
      <c r="G3661" t="s">
        <v>176</v>
      </c>
      <c r="H3661">
        <v>0</v>
      </c>
      <c r="I3661">
        <v>23</v>
      </c>
      <c r="J3661" s="10">
        <v>5</v>
      </c>
      <c r="K3661" s="10">
        <f>SUMIFS(F:F,D:D,DST_123_ÜRETİM_İHTİYAÇ_RAPORU_BURAK_YENI1309[[#This Row],[ALT_KOD]])-(SUMIFS(H:H,D:D,DST_123_ÜRETİM_İHTİYAÇ_RAPORU_BURAK_YENI1309[[#This Row],[ALT_KOD]])+AVERAGEIFS(I:I,D:D,DST_123_ÜRETİM_İHTİYAÇ_RAPORU_BURAK_YENI1309[[#This Row],[ALT_KOD]])+AVERAGEIFS(L:L,D:D,DST_123_ÜRETİM_İHTİYAÇ_RAPORU_BURAK_YENI1309[[#This Row],[ALT_KOD]]))</f>
        <v>-12</v>
      </c>
      <c r="L3661">
        <v>0</v>
      </c>
      <c r="M3661">
        <f>IF((DST_123_ÜRETİM_İHTİYAÇ_RAPORU_BURAK_YENI1309[[#This Row],[SATINALMA]]*DST_123_ÜRETİM_İHTİYAÇ_RAPORU_BURAK_YENI1309[[#This Row],[BIRIM_FIYATLAR]])&lt;1,VALUE("0"),DST_123_ÜRETİM_İHTİYAÇ_RAPORU_BURAK_YENI1309[[#This Row],[SATINALMA]]*DST_123_ÜRETİM_İHTİYAÇ_RAPORU_BURAK_YENI1309[[#This Row],[BIRIM_FIYATLAR]])</f>
        <v>0</v>
      </c>
      <c r="N3661">
        <v>871.93</v>
      </c>
      <c r="O3661" t="s">
        <v>691</v>
      </c>
      <c r="P3661">
        <v>871.93</v>
      </c>
      <c r="Q3661" t="s">
        <v>177</v>
      </c>
    </row>
    <row r="3662" spans="1:17" x14ac:dyDescent="0.25">
      <c r="A3662" t="s">
        <v>1095</v>
      </c>
      <c r="B3662" t="s">
        <v>1096</v>
      </c>
      <c r="C3662" t="s">
        <v>175</v>
      </c>
      <c r="D3662" t="s">
        <v>580</v>
      </c>
      <c r="E3662" t="s">
        <v>581</v>
      </c>
      <c r="F3662">
        <v>22.3</v>
      </c>
      <c r="G3662" t="s">
        <v>185</v>
      </c>
      <c r="H3662">
        <v>0</v>
      </c>
      <c r="I3662">
        <v>60</v>
      </c>
      <c r="J3662" s="10">
        <v>219.95999999999984</v>
      </c>
      <c r="K3662" s="10">
        <f>SUMIFS(F:F,D:D,DST_123_ÜRETİM_İHTİYAÇ_RAPORU_BURAK_YENI1309[[#This Row],[ALT_KOD]])-(SUMIFS(H:H,D:D,DST_123_ÜRETİM_İHTİYAÇ_RAPORU_BURAK_YENI1309[[#This Row],[ALT_KOD]])+AVERAGEIFS(I:I,D:D,DST_123_ÜRETİM_İHTİYAÇ_RAPORU_BURAK_YENI1309[[#This Row],[ALT_KOD]])+AVERAGEIFS(L:L,D:D,DST_123_ÜRETİM_İHTİYAÇ_RAPORU_BURAK_YENI1309[[#This Row],[ALT_KOD]]))</f>
        <v>143.41000000000003</v>
      </c>
      <c r="L3662">
        <v>0</v>
      </c>
      <c r="M3662">
        <f>IF((DST_123_ÜRETİM_İHTİYAÇ_RAPORU_BURAK_YENI1309[[#This Row],[SATINALMA]]*DST_123_ÜRETİM_İHTİYAÇ_RAPORU_BURAK_YENI1309[[#This Row],[BIRIM_FIYATLAR]])&lt;1,VALUE("0"),DST_123_ÜRETİM_İHTİYAÇ_RAPORU_BURAK_YENI1309[[#This Row],[SATINALMA]]*DST_123_ÜRETİM_İHTİYAÇ_RAPORU_BURAK_YENI1309[[#This Row],[BIRIM_FIYATLAR]])</f>
        <v>23533.581000000002</v>
      </c>
      <c r="N3662">
        <v>164.1</v>
      </c>
      <c r="O3662" t="s">
        <v>490</v>
      </c>
      <c r="P3662">
        <v>3659.43</v>
      </c>
      <c r="Q3662" t="s">
        <v>183</v>
      </c>
    </row>
    <row r="3663" spans="1:17" x14ac:dyDescent="0.25">
      <c r="A3663" t="s">
        <v>1095</v>
      </c>
      <c r="B3663" t="s">
        <v>1096</v>
      </c>
      <c r="C3663" t="s">
        <v>175</v>
      </c>
      <c r="D3663" t="s">
        <v>1084</v>
      </c>
      <c r="E3663" t="s">
        <v>1085</v>
      </c>
      <c r="F3663">
        <v>2</v>
      </c>
      <c r="G3663" t="s">
        <v>176</v>
      </c>
      <c r="H3663">
        <v>0</v>
      </c>
      <c r="I3663">
        <v>12</v>
      </c>
      <c r="J3663" s="10">
        <v>18</v>
      </c>
      <c r="K3663" s="10">
        <f>SUMIFS(F:F,D:D,DST_123_ÜRETİM_İHTİYAÇ_RAPORU_BURAK_YENI1309[[#This Row],[ALT_KOD]])-(SUMIFS(H:H,D:D,DST_123_ÜRETİM_İHTİYAÇ_RAPORU_BURAK_YENI1309[[#This Row],[ALT_KOD]])+AVERAGEIFS(I:I,D:D,DST_123_ÜRETİM_İHTİYAÇ_RAPORU_BURAK_YENI1309[[#This Row],[ALT_KOD]])+AVERAGEIFS(L:L,D:D,DST_123_ÜRETİM_İHTİYAÇ_RAPORU_BURAK_YENI1309[[#This Row],[ALT_KOD]]))</f>
        <v>-14</v>
      </c>
      <c r="L3663">
        <v>20</v>
      </c>
      <c r="M3663">
        <f>IF((DST_123_ÜRETİM_İHTİYAÇ_RAPORU_BURAK_YENI1309[[#This Row],[SATINALMA]]*DST_123_ÜRETİM_İHTİYAÇ_RAPORU_BURAK_YENI1309[[#This Row],[BIRIM_FIYATLAR]])&lt;1,VALUE("0"),DST_123_ÜRETİM_İHTİYAÇ_RAPORU_BURAK_YENI1309[[#This Row],[SATINALMA]]*DST_123_ÜRETİM_İHTİYAÇ_RAPORU_BURAK_YENI1309[[#This Row],[BIRIM_FIYATLAR]])</f>
        <v>0</v>
      </c>
      <c r="N3663">
        <v>194</v>
      </c>
      <c r="O3663" t="s">
        <v>217</v>
      </c>
      <c r="P3663">
        <v>388</v>
      </c>
      <c r="Q3663" t="s">
        <v>177</v>
      </c>
    </row>
    <row r="3664" spans="1:17" x14ac:dyDescent="0.25">
      <c r="A3664" t="s">
        <v>1143</v>
      </c>
      <c r="B3664" t="s">
        <v>1056</v>
      </c>
      <c r="C3664" t="s">
        <v>175</v>
      </c>
      <c r="D3664" t="s">
        <v>1084</v>
      </c>
      <c r="E3664" t="s">
        <v>1085</v>
      </c>
      <c r="F3664">
        <v>2</v>
      </c>
      <c r="G3664" t="s">
        <v>176</v>
      </c>
      <c r="H3664">
        <v>0</v>
      </c>
      <c r="I3664">
        <v>12</v>
      </c>
      <c r="J3664" s="10">
        <v>18</v>
      </c>
      <c r="K3664" s="10">
        <f>SUMIFS(F:F,D:D,DST_123_ÜRETİM_İHTİYAÇ_RAPORU_BURAK_YENI1309[[#This Row],[ALT_KOD]])-(SUMIFS(H:H,D:D,DST_123_ÜRETİM_İHTİYAÇ_RAPORU_BURAK_YENI1309[[#This Row],[ALT_KOD]])+AVERAGEIFS(I:I,D:D,DST_123_ÜRETİM_İHTİYAÇ_RAPORU_BURAK_YENI1309[[#This Row],[ALT_KOD]])+AVERAGEIFS(L:L,D:D,DST_123_ÜRETİM_İHTİYAÇ_RAPORU_BURAK_YENI1309[[#This Row],[ALT_KOD]]))</f>
        <v>-14</v>
      </c>
      <c r="L3664">
        <v>20</v>
      </c>
      <c r="M3664">
        <f>IF((DST_123_ÜRETİM_İHTİYAÇ_RAPORU_BURAK_YENI1309[[#This Row],[SATINALMA]]*DST_123_ÜRETİM_İHTİYAÇ_RAPORU_BURAK_YENI1309[[#This Row],[BIRIM_FIYATLAR]])&lt;1,VALUE("0"),DST_123_ÜRETİM_İHTİYAÇ_RAPORU_BURAK_YENI1309[[#This Row],[SATINALMA]]*DST_123_ÜRETİM_İHTİYAÇ_RAPORU_BURAK_YENI1309[[#This Row],[BIRIM_FIYATLAR]])</f>
        <v>0</v>
      </c>
      <c r="N3664">
        <v>194</v>
      </c>
      <c r="O3664" t="s">
        <v>217</v>
      </c>
      <c r="P3664">
        <v>388</v>
      </c>
      <c r="Q3664" t="s">
        <v>177</v>
      </c>
    </row>
    <row r="3665" spans="1:17" x14ac:dyDescent="0.25">
      <c r="A3665" t="s">
        <v>1098</v>
      </c>
      <c r="B3665" t="s">
        <v>1096</v>
      </c>
      <c r="C3665" t="s">
        <v>175</v>
      </c>
      <c r="D3665" t="s">
        <v>548</v>
      </c>
      <c r="E3665" t="s">
        <v>549</v>
      </c>
      <c r="F3665">
        <v>30</v>
      </c>
      <c r="G3665" t="s">
        <v>176</v>
      </c>
      <c r="H3665">
        <v>0</v>
      </c>
      <c r="I3665">
        <v>800</v>
      </c>
      <c r="J3665" s="10">
        <v>0</v>
      </c>
      <c r="K3665" s="10">
        <f>SUMIFS(F:F,D:D,DST_123_ÜRETİM_İHTİYAÇ_RAPORU_BURAK_YENI1309[[#This Row],[ALT_KOD]])-(SUMIFS(H:H,D:D,DST_123_ÜRETİM_İHTİYAÇ_RAPORU_BURAK_YENI1309[[#This Row],[ALT_KOD]])+AVERAGEIFS(I:I,D:D,DST_123_ÜRETİM_İHTİYAÇ_RAPORU_BURAK_YENI1309[[#This Row],[ALT_KOD]])+AVERAGEIFS(L:L,D:D,DST_123_ÜRETİM_İHTİYAÇ_RAPORU_BURAK_YENI1309[[#This Row],[ALT_KOD]]))</f>
        <v>-414</v>
      </c>
      <c r="L3665">
        <v>0</v>
      </c>
      <c r="M3665">
        <f>IF((DST_123_ÜRETİM_İHTİYAÇ_RAPORU_BURAK_YENI1309[[#This Row],[SATINALMA]]*DST_123_ÜRETİM_İHTİYAÇ_RAPORU_BURAK_YENI1309[[#This Row],[BIRIM_FIYATLAR]])&lt;1,VALUE("0"),DST_123_ÜRETİM_İHTİYAÇ_RAPORU_BURAK_YENI1309[[#This Row],[SATINALMA]]*DST_123_ÜRETİM_İHTİYAÇ_RAPORU_BURAK_YENI1309[[#This Row],[BIRIM_FIYATLAR]])</f>
        <v>0</v>
      </c>
      <c r="N3665">
        <v>13.75</v>
      </c>
      <c r="O3665" t="s">
        <v>628</v>
      </c>
      <c r="P3665">
        <v>412.5</v>
      </c>
      <c r="Q3665" t="s">
        <v>180</v>
      </c>
    </row>
    <row r="3666" spans="1:17" x14ac:dyDescent="0.25">
      <c r="A3666" t="s">
        <v>1064</v>
      </c>
      <c r="B3666" t="s">
        <v>1055</v>
      </c>
      <c r="C3666" t="s">
        <v>175</v>
      </c>
      <c r="D3666" t="s">
        <v>552</v>
      </c>
      <c r="E3666" t="s">
        <v>553</v>
      </c>
      <c r="F3666">
        <v>0.8</v>
      </c>
      <c r="G3666" t="s">
        <v>176</v>
      </c>
      <c r="H3666">
        <v>0</v>
      </c>
      <c r="I3666">
        <v>14</v>
      </c>
      <c r="J3666" s="10">
        <v>9.9999999999999929</v>
      </c>
      <c r="K3666" s="10">
        <f>SUMIFS(F:F,D:D,DST_123_ÜRETİM_İHTİYAÇ_RAPORU_BURAK_YENI1309[[#This Row],[ALT_KOD]])-(SUMIFS(H:H,D:D,DST_123_ÜRETİM_İHTİYAÇ_RAPORU_BURAK_YENI1309[[#This Row],[ALT_KOD]])+AVERAGEIFS(I:I,D:D,DST_123_ÜRETİM_İHTİYAÇ_RAPORU_BURAK_YENI1309[[#This Row],[ALT_KOD]])+AVERAGEIFS(L:L,D:D,DST_123_ÜRETİM_İHTİYAÇ_RAPORU_BURAK_YENI1309[[#This Row],[ALT_KOD]]))</f>
        <v>2.5700000000000003</v>
      </c>
      <c r="L3666">
        <v>0</v>
      </c>
      <c r="M3666">
        <f>IF((DST_123_ÜRETİM_İHTİYAÇ_RAPORU_BURAK_YENI1309[[#This Row],[SATINALMA]]*DST_123_ÜRETİM_İHTİYAÇ_RAPORU_BURAK_YENI1309[[#This Row],[BIRIM_FIYATLAR]])&lt;1,VALUE("0"),DST_123_ÜRETİM_İHTİYAÇ_RAPORU_BURAK_YENI1309[[#This Row],[SATINALMA]]*DST_123_ÜRETİM_İHTİYAÇ_RAPORU_BURAK_YENI1309[[#This Row],[BIRIM_FIYATLAR]])</f>
        <v>552.55000000000007</v>
      </c>
      <c r="N3666">
        <v>215</v>
      </c>
      <c r="O3666" t="s">
        <v>240</v>
      </c>
      <c r="P3666">
        <v>172</v>
      </c>
      <c r="Q3666" t="s">
        <v>180</v>
      </c>
    </row>
    <row r="3667" spans="1:17" x14ac:dyDescent="0.25">
      <c r="A3667" t="s">
        <v>1059</v>
      </c>
      <c r="B3667" t="s">
        <v>1058</v>
      </c>
      <c r="C3667" t="s">
        <v>175</v>
      </c>
      <c r="D3667" t="s">
        <v>279</v>
      </c>
      <c r="E3667" t="s">
        <v>318</v>
      </c>
      <c r="F3667">
        <v>1</v>
      </c>
      <c r="G3667" t="s">
        <v>176</v>
      </c>
      <c r="H3667">
        <v>0</v>
      </c>
      <c r="I3667">
        <v>27</v>
      </c>
      <c r="J3667" s="10">
        <v>4</v>
      </c>
      <c r="K3667" s="10">
        <f>SUMIFS(F:F,D:D,DST_123_ÜRETİM_İHTİYAÇ_RAPORU_BURAK_YENI1309[[#This Row],[ALT_KOD]])-(SUMIFS(H:H,D:D,DST_123_ÜRETİM_İHTİYAÇ_RAPORU_BURAK_YENI1309[[#This Row],[ALT_KOD]])+AVERAGEIFS(I:I,D:D,DST_123_ÜRETİM_İHTİYAÇ_RAPORU_BURAK_YENI1309[[#This Row],[ALT_KOD]])+AVERAGEIFS(L:L,D:D,DST_123_ÜRETİM_İHTİYAÇ_RAPORU_BURAK_YENI1309[[#This Row],[ALT_KOD]]))</f>
        <v>-20</v>
      </c>
      <c r="L3667">
        <v>0</v>
      </c>
      <c r="M3667">
        <f>IF((DST_123_ÜRETİM_İHTİYAÇ_RAPORU_BURAK_YENI1309[[#This Row],[SATINALMA]]*DST_123_ÜRETİM_İHTİYAÇ_RAPORU_BURAK_YENI1309[[#This Row],[BIRIM_FIYATLAR]])&lt;1,VALUE("0"),DST_123_ÜRETİM_İHTİYAÇ_RAPORU_BURAK_YENI1309[[#This Row],[SATINALMA]]*DST_123_ÜRETİM_İHTİYAÇ_RAPORU_BURAK_YENI1309[[#This Row],[BIRIM_FIYATLAR]])</f>
        <v>0</v>
      </c>
      <c r="N3667">
        <v>290.73</v>
      </c>
      <c r="O3667" t="s">
        <v>636</v>
      </c>
      <c r="P3667">
        <v>290.73</v>
      </c>
      <c r="Q3667" t="s">
        <v>178</v>
      </c>
    </row>
    <row r="3668" spans="1:17" x14ac:dyDescent="0.25">
      <c r="A3668" t="s">
        <v>1143</v>
      </c>
      <c r="B3668" t="s">
        <v>1056</v>
      </c>
      <c r="C3668" t="s">
        <v>175</v>
      </c>
      <c r="D3668" t="s">
        <v>431</v>
      </c>
      <c r="E3668" t="s">
        <v>432</v>
      </c>
      <c r="F3668">
        <v>1</v>
      </c>
      <c r="G3668" t="s">
        <v>176</v>
      </c>
      <c r="H3668">
        <v>0</v>
      </c>
      <c r="I3668">
        <v>8</v>
      </c>
      <c r="J3668" s="10">
        <v>5</v>
      </c>
      <c r="K3668" s="10">
        <f>SUMIFS(F:F,D:D,DST_123_ÜRETİM_İHTİYAÇ_RAPORU_BURAK_YENI1309[[#This Row],[ALT_KOD]])-(SUMIFS(H:H,D:D,DST_123_ÜRETİM_İHTİYAÇ_RAPORU_BURAK_YENI1309[[#This Row],[ALT_KOD]])+AVERAGEIFS(I:I,D:D,DST_123_ÜRETİM_İHTİYAÇ_RAPORU_BURAK_YENI1309[[#This Row],[ALT_KOD]])+AVERAGEIFS(L:L,D:D,DST_123_ÜRETİM_İHTİYAÇ_RAPORU_BURAK_YENI1309[[#This Row],[ALT_KOD]]))</f>
        <v>-4</v>
      </c>
      <c r="L3668">
        <v>0</v>
      </c>
      <c r="M3668">
        <f>IF((DST_123_ÜRETİM_İHTİYAÇ_RAPORU_BURAK_YENI1309[[#This Row],[SATINALMA]]*DST_123_ÜRETİM_İHTİYAÇ_RAPORU_BURAK_YENI1309[[#This Row],[BIRIM_FIYATLAR]])&lt;1,VALUE("0"),DST_123_ÜRETİM_İHTİYAÇ_RAPORU_BURAK_YENI1309[[#This Row],[SATINALMA]]*DST_123_ÜRETİM_İHTİYAÇ_RAPORU_BURAK_YENI1309[[#This Row],[BIRIM_FIYATLAR]])</f>
        <v>0</v>
      </c>
      <c r="N3668">
        <v>1723.79</v>
      </c>
      <c r="O3668" t="s">
        <v>636</v>
      </c>
      <c r="P3668">
        <v>1723.79</v>
      </c>
      <c r="Q3668" t="s">
        <v>178</v>
      </c>
    </row>
    <row r="3669" spans="1:17" x14ac:dyDescent="0.25">
      <c r="A3669" t="s">
        <v>1097</v>
      </c>
      <c r="B3669" t="s">
        <v>1055</v>
      </c>
      <c r="C3669" t="s">
        <v>175</v>
      </c>
      <c r="D3669" t="s">
        <v>141</v>
      </c>
      <c r="E3669" t="s">
        <v>142</v>
      </c>
      <c r="F3669">
        <v>21</v>
      </c>
      <c r="G3669" t="s">
        <v>176</v>
      </c>
      <c r="H3669">
        <v>0</v>
      </c>
      <c r="I3669">
        <v>150</v>
      </c>
      <c r="J3669" s="10">
        <v>0</v>
      </c>
      <c r="K3669" s="10">
        <f>SUMIFS(F:F,D:D,DST_123_ÜRETİM_İHTİYAÇ_RAPORU_BURAK_YENI1309[[#This Row],[ALT_KOD]])-(SUMIFS(H:H,D:D,DST_123_ÜRETİM_İHTİYAÇ_RAPORU_BURAK_YENI1309[[#This Row],[ALT_KOD]])+AVERAGEIFS(I:I,D:D,DST_123_ÜRETİM_İHTİYAÇ_RAPORU_BURAK_YENI1309[[#This Row],[ALT_KOD]])+AVERAGEIFS(L:L,D:D,DST_123_ÜRETİM_İHTİYAÇ_RAPORU_BURAK_YENI1309[[#This Row],[ALT_KOD]]))</f>
        <v>194</v>
      </c>
      <c r="L3669">
        <v>0</v>
      </c>
      <c r="M3669">
        <f>IF((DST_123_ÜRETİM_İHTİYAÇ_RAPORU_BURAK_YENI1309[[#This Row],[SATINALMA]]*DST_123_ÜRETİM_İHTİYAÇ_RAPORU_BURAK_YENI1309[[#This Row],[BIRIM_FIYATLAR]])&lt;1,VALUE("0"),DST_123_ÜRETİM_İHTİYAÇ_RAPORU_BURAK_YENI1309[[#This Row],[SATINALMA]]*DST_123_ÜRETİM_İHTİYAÇ_RAPORU_BURAK_YENI1309[[#This Row],[BIRIM_FIYATLAR]])</f>
        <v>5383.5</v>
      </c>
      <c r="N3669">
        <v>27.75</v>
      </c>
      <c r="O3669" t="s">
        <v>742</v>
      </c>
      <c r="P3669">
        <v>582.75</v>
      </c>
      <c r="Q3669" t="s">
        <v>184</v>
      </c>
    </row>
    <row r="3670" spans="1:17" x14ac:dyDescent="0.25">
      <c r="A3670" t="s">
        <v>1095</v>
      </c>
      <c r="B3670" t="s">
        <v>1096</v>
      </c>
      <c r="C3670" t="s">
        <v>175</v>
      </c>
      <c r="D3670" t="s">
        <v>141</v>
      </c>
      <c r="E3670" t="s">
        <v>142</v>
      </c>
      <c r="F3670">
        <v>21</v>
      </c>
      <c r="G3670" t="s">
        <v>176</v>
      </c>
      <c r="H3670">
        <v>0</v>
      </c>
      <c r="I3670">
        <v>150</v>
      </c>
      <c r="J3670" s="10">
        <v>0</v>
      </c>
      <c r="K3670" s="10">
        <f>SUMIFS(F:F,D:D,DST_123_ÜRETİM_İHTİYAÇ_RAPORU_BURAK_YENI1309[[#This Row],[ALT_KOD]])-(SUMIFS(H:H,D:D,DST_123_ÜRETİM_İHTİYAÇ_RAPORU_BURAK_YENI1309[[#This Row],[ALT_KOD]])+AVERAGEIFS(I:I,D:D,DST_123_ÜRETİM_İHTİYAÇ_RAPORU_BURAK_YENI1309[[#This Row],[ALT_KOD]])+AVERAGEIFS(L:L,D:D,DST_123_ÜRETİM_İHTİYAÇ_RAPORU_BURAK_YENI1309[[#This Row],[ALT_KOD]]))</f>
        <v>194</v>
      </c>
      <c r="L3670">
        <v>0</v>
      </c>
      <c r="M3670">
        <f>IF((DST_123_ÜRETİM_İHTİYAÇ_RAPORU_BURAK_YENI1309[[#This Row],[SATINALMA]]*DST_123_ÜRETİM_İHTİYAÇ_RAPORU_BURAK_YENI1309[[#This Row],[BIRIM_FIYATLAR]])&lt;1,VALUE("0"),DST_123_ÜRETİM_İHTİYAÇ_RAPORU_BURAK_YENI1309[[#This Row],[SATINALMA]]*DST_123_ÜRETİM_İHTİYAÇ_RAPORU_BURAK_YENI1309[[#This Row],[BIRIM_FIYATLAR]])</f>
        <v>5383.5</v>
      </c>
      <c r="N3670">
        <v>27.75</v>
      </c>
      <c r="O3670" t="s">
        <v>742</v>
      </c>
      <c r="P3670">
        <v>582.75</v>
      </c>
      <c r="Q3670" t="s">
        <v>184</v>
      </c>
    </row>
    <row r="3671" spans="1:17" x14ac:dyDescent="0.25">
      <c r="A3671" t="s">
        <v>1059</v>
      </c>
      <c r="B3671" t="s">
        <v>1058</v>
      </c>
      <c r="C3671" t="s">
        <v>175</v>
      </c>
      <c r="D3671" t="s">
        <v>840</v>
      </c>
      <c r="E3671" t="s">
        <v>841</v>
      </c>
      <c r="F3671">
        <v>5</v>
      </c>
      <c r="G3671" t="s">
        <v>179</v>
      </c>
      <c r="H3671">
        <v>0</v>
      </c>
      <c r="I3671">
        <v>0</v>
      </c>
      <c r="J3671" s="10">
        <v>165</v>
      </c>
      <c r="K3671" s="10">
        <f>SUMIFS(F:F,D:D,DST_123_ÜRETİM_İHTİYAÇ_RAPORU_BURAK_YENI1309[[#This Row],[ALT_KOD]])-(SUMIFS(H:H,D:D,DST_123_ÜRETİM_İHTİYAÇ_RAPORU_BURAK_YENI1309[[#This Row],[ALT_KOD]])+AVERAGEIFS(I:I,D:D,DST_123_ÜRETİM_İHTİYAÇ_RAPORU_BURAK_YENI1309[[#This Row],[ALT_KOD]])+AVERAGEIFS(L:L,D:D,DST_123_ÜRETİM_İHTİYAÇ_RAPORU_BURAK_YENI1309[[#This Row],[ALT_KOD]]))</f>
        <v>-289</v>
      </c>
      <c r="L3671">
        <v>400</v>
      </c>
      <c r="M3671">
        <f>IF((DST_123_ÜRETİM_İHTİYAÇ_RAPORU_BURAK_YENI1309[[#This Row],[SATINALMA]]*DST_123_ÜRETİM_İHTİYAÇ_RAPORU_BURAK_YENI1309[[#This Row],[BIRIM_FIYATLAR]])&lt;1,VALUE("0"),DST_123_ÜRETİM_İHTİYAÇ_RAPORU_BURAK_YENI1309[[#This Row],[SATINALMA]]*DST_123_ÜRETİM_İHTİYAÇ_RAPORU_BURAK_YENI1309[[#This Row],[BIRIM_FIYATLAR]])</f>
        <v>0</v>
      </c>
      <c r="N3671">
        <v>5</v>
      </c>
      <c r="O3671" t="s">
        <v>224</v>
      </c>
      <c r="P3671">
        <v>25</v>
      </c>
      <c r="Q3671" t="s">
        <v>180</v>
      </c>
    </row>
    <row r="3672" spans="1:17" x14ac:dyDescent="0.25">
      <c r="A3672" t="s">
        <v>1143</v>
      </c>
      <c r="B3672" t="s">
        <v>1056</v>
      </c>
      <c r="C3672" t="s">
        <v>175</v>
      </c>
      <c r="D3672" t="s">
        <v>840</v>
      </c>
      <c r="E3672" t="s">
        <v>841</v>
      </c>
      <c r="F3672">
        <v>5</v>
      </c>
      <c r="G3672" t="s">
        <v>179</v>
      </c>
      <c r="H3672">
        <v>0</v>
      </c>
      <c r="I3672">
        <v>0</v>
      </c>
      <c r="J3672" s="10">
        <v>165</v>
      </c>
      <c r="K3672" s="10">
        <f>SUMIFS(F:F,D:D,DST_123_ÜRETİM_İHTİYAÇ_RAPORU_BURAK_YENI1309[[#This Row],[ALT_KOD]])-(SUMIFS(H:H,D:D,DST_123_ÜRETİM_İHTİYAÇ_RAPORU_BURAK_YENI1309[[#This Row],[ALT_KOD]])+AVERAGEIFS(I:I,D:D,DST_123_ÜRETİM_İHTİYAÇ_RAPORU_BURAK_YENI1309[[#This Row],[ALT_KOD]])+AVERAGEIFS(L:L,D:D,DST_123_ÜRETİM_İHTİYAÇ_RAPORU_BURAK_YENI1309[[#This Row],[ALT_KOD]]))</f>
        <v>-289</v>
      </c>
      <c r="L3672">
        <v>400</v>
      </c>
      <c r="M3672">
        <f>IF((DST_123_ÜRETİM_İHTİYAÇ_RAPORU_BURAK_YENI1309[[#This Row],[SATINALMA]]*DST_123_ÜRETİM_İHTİYAÇ_RAPORU_BURAK_YENI1309[[#This Row],[BIRIM_FIYATLAR]])&lt;1,VALUE("0"),DST_123_ÜRETİM_İHTİYAÇ_RAPORU_BURAK_YENI1309[[#This Row],[SATINALMA]]*DST_123_ÜRETİM_İHTİYAÇ_RAPORU_BURAK_YENI1309[[#This Row],[BIRIM_FIYATLAR]])</f>
        <v>0</v>
      </c>
      <c r="N3672">
        <v>5</v>
      </c>
      <c r="O3672" t="s">
        <v>224</v>
      </c>
      <c r="P3672">
        <v>25</v>
      </c>
      <c r="Q3672" t="s">
        <v>180</v>
      </c>
    </row>
    <row r="3673" spans="1:17" x14ac:dyDescent="0.25">
      <c r="A3673" t="s">
        <v>1147</v>
      </c>
      <c r="B3673" t="s">
        <v>1145</v>
      </c>
      <c r="C3673" t="s">
        <v>175</v>
      </c>
      <c r="D3673" t="s">
        <v>473</v>
      </c>
      <c r="E3673" t="s">
        <v>474</v>
      </c>
      <c r="F3673">
        <v>38</v>
      </c>
      <c r="G3673" t="s">
        <v>176</v>
      </c>
      <c r="H3673">
        <v>0</v>
      </c>
      <c r="I3673">
        <v>680</v>
      </c>
      <c r="J3673" s="10">
        <v>614</v>
      </c>
      <c r="K3673" s="10">
        <f>SUMIFS(F:F,D:D,DST_123_ÜRETİM_İHTİYAÇ_RAPORU_BURAK_YENI1309[[#This Row],[ALT_KOD]])-(SUMIFS(H:H,D:D,DST_123_ÜRETİM_İHTİYAÇ_RAPORU_BURAK_YENI1309[[#This Row],[ALT_KOD]])+AVERAGEIFS(I:I,D:D,DST_123_ÜRETİM_İHTİYAÇ_RAPORU_BURAK_YENI1309[[#This Row],[ALT_KOD]])+AVERAGEIFS(L:L,D:D,DST_123_ÜRETİM_İHTİYAÇ_RAPORU_BURAK_YENI1309[[#This Row],[ALT_KOD]]))</f>
        <v>118</v>
      </c>
      <c r="L3673">
        <v>0</v>
      </c>
      <c r="M3673">
        <f>IF((DST_123_ÜRETİM_İHTİYAÇ_RAPORU_BURAK_YENI1309[[#This Row],[SATINALMA]]*DST_123_ÜRETİM_İHTİYAÇ_RAPORU_BURAK_YENI1309[[#This Row],[BIRIM_FIYATLAR]])&lt;1,VALUE("0"),DST_123_ÜRETİM_İHTİYAÇ_RAPORU_BURAK_YENI1309[[#This Row],[SATINALMA]]*DST_123_ÜRETİM_İHTİYAÇ_RAPORU_BURAK_YENI1309[[#This Row],[BIRIM_FIYATLAR]])</f>
        <v>247.8</v>
      </c>
      <c r="N3673">
        <v>2.1</v>
      </c>
      <c r="O3673" t="s">
        <v>240</v>
      </c>
      <c r="P3673">
        <v>79.8</v>
      </c>
      <c r="Q3673" t="s">
        <v>180</v>
      </c>
    </row>
    <row r="3674" spans="1:17" x14ac:dyDescent="0.25">
      <c r="A3674" t="s">
        <v>1100</v>
      </c>
      <c r="B3674" t="s">
        <v>1058</v>
      </c>
      <c r="C3674" t="s">
        <v>175</v>
      </c>
      <c r="D3674" t="s">
        <v>473</v>
      </c>
      <c r="E3674" t="s">
        <v>474</v>
      </c>
      <c r="F3674">
        <v>30</v>
      </c>
      <c r="G3674" t="s">
        <v>176</v>
      </c>
      <c r="H3674">
        <v>0</v>
      </c>
      <c r="I3674">
        <v>680</v>
      </c>
      <c r="J3674" s="10">
        <v>614</v>
      </c>
      <c r="K3674" s="10">
        <f>SUMIFS(F:F,D:D,DST_123_ÜRETİM_İHTİYAÇ_RAPORU_BURAK_YENI1309[[#This Row],[ALT_KOD]])-(SUMIFS(H:H,D:D,DST_123_ÜRETİM_İHTİYAÇ_RAPORU_BURAK_YENI1309[[#This Row],[ALT_KOD]])+AVERAGEIFS(I:I,D:D,DST_123_ÜRETİM_İHTİYAÇ_RAPORU_BURAK_YENI1309[[#This Row],[ALT_KOD]])+AVERAGEIFS(L:L,D:D,DST_123_ÜRETİM_İHTİYAÇ_RAPORU_BURAK_YENI1309[[#This Row],[ALT_KOD]]))</f>
        <v>118</v>
      </c>
      <c r="L3674">
        <v>0</v>
      </c>
      <c r="M3674">
        <f>IF((DST_123_ÜRETİM_İHTİYAÇ_RAPORU_BURAK_YENI1309[[#This Row],[SATINALMA]]*DST_123_ÜRETİM_İHTİYAÇ_RAPORU_BURAK_YENI1309[[#This Row],[BIRIM_FIYATLAR]])&lt;1,VALUE("0"),DST_123_ÜRETİM_İHTİYAÇ_RAPORU_BURAK_YENI1309[[#This Row],[SATINALMA]]*DST_123_ÜRETİM_İHTİYAÇ_RAPORU_BURAK_YENI1309[[#This Row],[BIRIM_FIYATLAR]])</f>
        <v>247.8</v>
      </c>
      <c r="N3674">
        <v>2.1</v>
      </c>
      <c r="O3674" t="s">
        <v>240</v>
      </c>
      <c r="P3674">
        <v>63</v>
      </c>
      <c r="Q3674" t="s">
        <v>180</v>
      </c>
    </row>
    <row r="3675" spans="1:17" x14ac:dyDescent="0.25">
      <c r="A3675" t="s">
        <v>1097</v>
      </c>
      <c r="B3675" t="s">
        <v>1055</v>
      </c>
      <c r="C3675" t="s">
        <v>175</v>
      </c>
      <c r="D3675" t="s">
        <v>473</v>
      </c>
      <c r="E3675" t="s">
        <v>474</v>
      </c>
      <c r="F3675">
        <v>52</v>
      </c>
      <c r="G3675" t="s">
        <v>176</v>
      </c>
      <c r="H3675">
        <v>0</v>
      </c>
      <c r="I3675">
        <v>680</v>
      </c>
      <c r="J3675" s="10">
        <v>614</v>
      </c>
      <c r="K3675" s="10">
        <f>SUMIFS(F:F,D:D,DST_123_ÜRETİM_İHTİYAÇ_RAPORU_BURAK_YENI1309[[#This Row],[ALT_KOD]])-(SUMIFS(H:H,D:D,DST_123_ÜRETİM_İHTİYAÇ_RAPORU_BURAK_YENI1309[[#This Row],[ALT_KOD]])+AVERAGEIFS(I:I,D:D,DST_123_ÜRETİM_İHTİYAÇ_RAPORU_BURAK_YENI1309[[#This Row],[ALT_KOD]])+AVERAGEIFS(L:L,D:D,DST_123_ÜRETİM_İHTİYAÇ_RAPORU_BURAK_YENI1309[[#This Row],[ALT_KOD]]))</f>
        <v>118</v>
      </c>
      <c r="L3675">
        <v>0</v>
      </c>
      <c r="M3675">
        <f>IF((DST_123_ÜRETİM_İHTİYAÇ_RAPORU_BURAK_YENI1309[[#This Row],[SATINALMA]]*DST_123_ÜRETİM_İHTİYAÇ_RAPORU_BURAK_YENI1309[[#This Row],[BIRIM_FIYATLAR]])&lt;1,VALUE("0"),DST_123_ÜRETİM_İHTİYAÇ_RAPORU_BURAK_YENI1309[[#This Row],[SATINALMA]]*DST_123_ÜRETİM_İHTİYAÇ_RAPORU_BURAK_YENI1309[[#This Row],[BIRIM_FIYATLAR]])</f>
        <v>247.8</v>
      </c>
      <c r="N3675">
        <v>2.1</v>
      </c>
      <c r="O3675" t="s">
        <v>240</v>
      </c>
      <c r="P3675">
        <v>109.2</v>
      </c>
      <c r="Q3675" t="s">
        <v>180</v>
      </c>
    </row>
    <row r="3676" spans="1:17" x14ac:dyDescent="0.25">
      <c r="A3676" t="s">
        <v>1095</v>
      </c>
      <c r="B3676" t="s">
        <v>1096</v>
      </c>
      <c r="C3676" t="s">
        <v>175</v>
      </c>
      <c r="D3676" t="s">
        <v>161</v>
      </c>
      <c r="E3676" t="s">
        <v>162</v>
      </c>
      <c r="F3676">
        <v>1</v>
      </c>
      <c r="G3676" t="s">
        <v>176</v>
      </c>
      <c r="H3676">
        <v>0</v>
      </c>
      <c r="I3676">
        <v>5</v>
      </c>
      <c r="J3676" s="10">
        <v>8</v>
      </c>
      <c r="K3676" s="10">
        <f>SUMIFS(F:F,D:D,DST_123_ÜRETİM_İHTİYAÇ_RAPORU_BURAK_YENI1309[[#This Row],[ALT_KOD]])-(SUMIFS(H:H,D:D,DST_123_ÜRETİM_İHTİYAÇ_RAPORU_BURAK_YENI1309[[#This Row],[ALT_KOD]])+AVERAGEIFS(I:I,D:D,DST_123_ÜRETİM_İHTİYAÇ_RAPORU_BURAK_YENI1309[[#This Row],[ALT_KOD]])+AVERAGEIFS(L:L,D:D,DST_123_ÜRETİM_İHTİYAÇ_RAPORU_BURAK_YENI1309[[#This Row],[ALT_KOD]]))</f>
        <v>5</v>
      </c>
      <c r="L3676">
        <v>0</v>
      </c>
      <c r="M3676">
        <f>IF((DST_123_ÜRETİM_İHTİYAÇ_RAPORU_BURAK_YENI1309[[#This Row],[SATINALMA]]*DST_123_ÜRETİM_İHTİYAÇ_RAPORU_BURAK_YENI1309[[#This Row],[BIRIM_FIYATLAR]])&lt;1,VALUE("0"),DST_123_ÜRETİM_İHTİYAÇ_RAPORU_BURAK_YENI1309[[#This Row],[SATINALMA]]*DST_123_ÜRETİM_İHTİYAÇ_RAPORU_BURAK_YENI1309[[#This Row],[BIRIM_FIYATLAR]])</f>
        <v>30523.449999999997</v>
      </c>
      <c r="N3676">
        <v>6104.69</v>
      </c>
      <c r="O3676" t="s">
        <v>227</v>
      </c>
      <c r="P3676">
        <v>6104.69</v>
      </c>
      <c r="Q3676" t="s">
        <v>221</v>
      </c>
    </row>
    <row r="3677" spans="1:17" x14ac:dyDescent="0.25">
      <c r="A3677" t="s">
        <v>1144</v>
      </c>
      <c r="B3677" t="s">
        <v>1145</v>
      </c>
      <c r="C3677" t="s">
        <v>197</v>
      </c>
      <c r="D3677" t="s">
        <v>793</v>
      </c>
      <c r="E3677" t="s">
        <v>794</v>
      </c>
      <c r="F3677">
        <v>1</v>
      </c>
      <c r="G3677" t="s">
        <v>176</v>
      </c>
      <c r="H3677">
        <v>0</v>
      </c>
      <c r="I3677">
        <v>25</v>
      </c>
      <c r="J3677" s="10">
        <v>4</v>
      </c>
      <c r="K3677" s="10">
        <f>SUMIFS(F:F,D:D,DST_123_ÜRETİM_İHTİYAÇ_RAPORU_BURAK_YENI1309[[#This Row],[ALT_KOD]])-(SUMIFS(H:H,D:D,DST_123_ÜRETİM_İHTİYAÇ_RAPORU_BURAK_YENI1309[[#This Row],[ALT_KOD]])+AVERAGEIFS(I:I,D:D,DST_123_ÜRETİM_İHTİYAÇ_RAPORU_BURAK_YENI1309[[#This Row],[ALT_KOD]])+AVERAGEIFS(L:L,D:D,DST_123_ÜRETİM_İHTİYAÇ_RAPORU_BURAK_YENI1309[[#This Row],[ALT_KOD]]))</f>
        <v>-20</v>
      </c>
      <c r="L3677">
        <v>0</v>
      </c>
      <c r="M3677">
        <f>IF((DST_123_ÜRETİM_İHTİYAÇ_RAPORU_BURAK_YENI1309[[#This Row],[SATINALMA]]*DST_123_ÜRETİM_İHTİYAÇ_RAPORU_BURAK_YENI1309[[#This Row],[BIRIM_FIYATLAR]])&lt;1,VALUE("0"),DST_123_ÜRETİM_İHTİYAÇ_RAPORU_BURAK_YENI1309[[#This Row],[SATINALMA]]*DST_123_ÜRETİM_İHTİYAÇ_RAPORU_BURAK_YENI1309[[#This Row],[BIRIM_FIYATLAR]])</f>
        <v>0</v>
      </c>
      <c r="N3677">
        <v>2800</v>
      </c>
      <c r="O3677" t="s">
        <v>795</v>
      </c>
      <c r="P3677">
        <v>2800</v>
      </c>
      <c r="Q3677" t="s">
        <v>177</v>
      </c>
    </row>
    <row r="3678" spans="1:17" x14ac:dyDescent="0.25">
      <c r="A3678" t="s">
        <v>1149</v>
      </c>
      <c r="B3678" t="s">
        <v>1145</v>
      </c>
      <c r="C3678" t="s">
        <v>175</v>
      </c>
      <c r="D3678" t="s">
        <v>141</v>
      </c>
      <c r="E3678" t="s">
        <v>142</v>
      </c>
      <c r="F3678">
        <v>16</v>
      </c>
      <c r="G3678" t="s">
        <v>176</v>
      </c>
      <c r="H3678">
        <v>0</v>
      </c>
      <c r="I3678">
        <v>150</v>
      </c>
      <c r="J3678" s="10">
        <v>0</v>
      </c>
      <c r="K3678" s="10">
        <f>SUMIFS(F:F,D:D,DST_123_ÜRETİM_İHTİYAÇ_RAPORU_BURAK_YENI1309[[#This Row],[ALT_KOD]])-(SUMIFS(H:H,D:D,DST_123_ÜRETİM_İHTİYAÇ_RAPORU_BURAK_YENI1309[[#This Row],[ALT_KOD]])+AVERAGEIFS(I:I,D:D,DST_123_ÜRETİM_İHTİYAÇ_RAPORU_BURAK_YENI1309[[#This Row],[ALT_KOD]])+AVERAGEIFS(L:L,D:D,DST_123_ÜRETİM_İHTİYAÇ_RAPORU_BURAK_YENI1309[[#This Row],[ALT_KOD]]))</f>
        <v>194</v>
      </c>
      <c r="L3678">
        <v>0</v>
      </c>
      <c r="M3678">
        <f>IF((DST_123_ÜRETİM_İHTİYAÇ_RAPORU_BURAK_YENI1309[[#This Row],[SATINALMA]]*DST_123_ÜRETİM_İHTİYAÇ_RAPORU_BURAK_YENI1309[[#This Row],[BIRIM_FIYATLAR]])&lt;1,VALUE("0"),DST_123_ÜRETİM_İHTİYAÇ_RAPORU_BURAK_YENI1309[[#This Row],[SATINALMA]]*DST_123_ÜRETİM_İHTİYAÇ_RAPORU_BURAK_YENI1309[[#This Row],[BIRIM_FIYATLAR]])</f>
        <v>5383.5</v>
      </c>
      <c r="N3678">
        <v>27.75</v>
      </c>
      <c r="O3678" t="s">
        <v>742</v>
      </c>
      <c r="P3678">
        <v>444</v>
      </c>
      <c r="Q3678" t="s">
        <v>184</v>
      </c>
    </row>
    <row r="3679" spans="1:17" x14ac:dyDescent="0.25">
      <c r="A3679" t="s">
        <v>1144</v>
      </c>
      <c r="B3679" t="s">
        <v>1145</v>
      </c>
      <c r="C3679" t="s">
        <v>175</v>
      </c>
      <c r="D3679" t="s">
        <v>840</v>
      </c>
      <c r="E3679" t="s">
        <v>841</v>
      </c>
      <c r="F3679">
        <v>9</v>
      </c>
      <c r="G3679" t="s">
        <v>179</v>
      </c>
      <c r="H3679">
        <v>0</v>
      </c>
      <c r="I3679">
        <v>0</v>
      </c>
      <c r="J3679" s="10">
        <v>165</v>
      </c>
      <c r="K3679" s="10">
        <f>SUMIFS(F:F,D:D,DST_123_ÜRETİM_İHTİYAÇ_RAPORU_BURAK_YENI1309[[#This Row],[ALT_KOD]])-(SUMIFS(H:H,D:D,DST_123_ÜRETİM_İHTİYAÇ_RAPORU_BURAK_YENI1309[[#This Row],[ALT_KOD]])+AVERAGEIFS(I:I,D:D,DST_123_ÜRETİM_İHTİYAÇ_RAPORU_BURAK_YENI1309[[#This Row],[ALT_KOD]])+AVERAGEIFS(L:L,D:D,DST_123_ÜRETİM_İHTİYAÇ_RAPORU_BURAK_YENI1309[[#This Row],[ALT_KOD]]))</f>
        <v>-289</v>
      </c>
      <c r="L3679">
        <v>400</v>
      </c>
      <c r="M3679">
        <f>IF((DST_123_ÜRETİM_İHTİYAÇ_RAPORU_BURAK_YENI1309[[#This Row],[SATINALMA]]*DST_123_ÜRETİM_İHTİYAÇ_RAPORU_BURAK_YENI1309[[#This Row],[BIRIM_FIYATLAR]])&lt;1,VALUE("0"),DST_123_ÜRETİM_İHTİYAÇ_RAPORU_BURAK_YENI1309[[#This Row],[SATINALMA]]*DST_123_ÜRETİM_İHTİYAÇ_RAPORU_BURAK_YENI1309[[#This Row],[BIRIM_FIYATLAR]])</f>
        <v>0</v>
      </c>
      <c r="N3679">
        <v>5</v>
      </c>
      <c r="O3679" t="s">
        <v>224</v>
      </c>
      <c r="P3679">
        <v>45</v>
      </c>
      <c r="Q3679" t="s">
        <v>180</v>
      </c>
    </row>
    <row r="3680" spans="1:17" x14ac:dyDescent="0.25">
      <c r="A3680" t="s">
        <v>1146</v>
      </c>
      <c r="B3680" t="s">
        <v>1145</v>
      </c>
      <c r="C3680" t="s">
        <v>175</v>
      </c>
      <c r="D3680" t="s">
        <v>840</v>
      </c>
      <c r="E3680" t="s">
        <v>841</v>
      </c>
      <c r="F3680">
        <v>5</v>
      </c>
      <c r="G3680" t="s">
        <v>179</v>
      </c>
      <c r="H3680">
        <v>0</v>
      </c>
      <c r="I3680">
        <v>0</v>
      </c>
      <c r="J3680" s="10">
        <v>165</v>
      </c>
      <c r="K3680" s="10">
        <f>SUMIFS(F:F,D:D,DST_123_ÜRETİM_İHTİYAÇ_RAPORU_BURAK_YENI1309[[#This Row],[ALT_KOD]])-(SUMIFS(H:H,D:D,DST_123_ÜRETİM_İHTİYAÇ_RAPORU_BURAK_YENI1309[[#This Row],[ALT_KOD]])+AVERAGEIFS(I:I,D:D,DST_123_ÜRETİM_İHTİYAÇ_RAPORU_BURAK_YENI1309[[#This Row],[ALT_KOD]])+AVERAGEIFS(L:L,D:D,DST_123_ÜRETİM_İHTİYAÇ_RAPORU_BURAK_YENI1309[[#This Row],[ALT_KOD]]))</f>
        <v>-289</v>
      </c>
      <c r="L3680">
        <v>400</v>
      </c>
      <c r="M3680">
        <f>IF((DST_123_ÜRETİM_İHTİYAÇ_RAPORU_BURAK_YENI1309[[#This Row],[SATINALMA]]*DST_123_ÜRETİM_İHTİYAÇ_RAPORU_BURAK_YENI1309[[#This Row],[BIRIM_FIYATLAR]])&lt;1,VALUE("0"),DST_123_ÜRETİM_İHTİYAÇ_RAPORU_BURAK_YENI1309[[#This Row],[SATINALMA]]*DST_123_ÜRETİM_İHTİYAÇ_RAPORU_BURAK_YENI1309[[#This Row],[BIRIM_FIYATLAR]])</f>
        <v>0</v>
      </c>
      <c r="N3680">
        <v>5</v>
      </c>
      <c r="O3680" t="s">
        <v>224</v>
      </c>
      <c r="P3680">
        <v>25</v>
      </c>
      <c r="Q3680" t="s">
        <v>180</v>
      </c>
    </row>
    <row r="3681" spans="1:17" x14ac:dyDescent="0.25">
      <c r="A3681" t="s">
        <v>1059</v>
      </c>
      <c r="B3681" t="s">
        <v>1058</v>
      </c>
      <c r="C3681" t="s">
        <v>175</v>
      </c>
      <c r="D3681" t="s">
        <v>593</v>
      </c>
      <c r="E3681" t="s">
        <v>594</v>
      </c>
      <c r="F3681">
        <v>4</v>
      </c>
      <c r="G3681" t="s">
        <v>176</v>
      </c>
      <c r="H3681">
        <v>0</v>
      </c>
      <c r="I3681">
        <v>46</v>
      </c>
      <c r="J3681" s="10">
        <v>12</v>
      </c>
      <c r="K3681" s="10">
        <f>SUMIFS(F:F,D:D,DST_123_ÜRETİM_İHTİYAÇ_RAPORU_BURAK_YENI1309[[#This Row],[ALT_KOD]])-(SUMIFS(H:H,D:D,DST_123_ÜRETİM_İHTİYAÇ_RAPORU_BURAK_YENI1309[[#This Row],[ALT_KOD]])+AVERAGEIFS(I:I,D:D,DST_123_ÜRETİM_İHTİYAÇ_RAPORU_BURAK_YENI1309[[#This Row],[ALT_KOD]])+AVERAGEIFS(L:L,D:D,DST_123_ÜRETİM_İHTİYAÇ_RAPORU_BURAK_YENI1309[[#This Row],[ALT_KOD]]))</f>
        <v>-14</v>
      </c>
      <c r="L3681">
        <v>0</v>
      </c>
      <c r="M3681">
        <f>IF((DST_123_ÜRETİM_İHTİYAÇ_RAPORU_BURAK_YENI1309[[#This Row],[SATINALMA]]*DST_123_ÜRETİM_İHTİYAÇ_RAPORU_BURAK_YENI1309[[#This Row],[BIRIM_FIYATLAR]])&lt;1,VALUE("0"),DST_123_ÜRETİM_İHTİYAÇ_RAPORU_BURAK_YENI1309[[#This Row],[SATINALMA]]*DST_123_ÜRETİM_İHTİYAÇ_RAPORU_BURAK_YENI1309[[#This Row],[BIRIM_FIYATLAR]])</f>
        <v>0</v>
      </c>
      <c r="N3681">
        <v>100</v>
      </c>
      <c r="O3681" t="s">
        <v>1034</v>
      </c>
      <c r="P3681">
        <v>400</v>
      </c>
      <c r="Q3681" t="s">
        <v>177</v>
      </c>
    </row>
    <row r="3682" spans="1:17" x14ac:dyDescent="0.25">
      <c r="A3682" t="s">
        <v>1143</v>
      </c>
      <c r="B3682" t="s">
        <v>1056</v>
      </c>
      <c r="C3682" t="s">
        <v>175</v>
      </c>
      <c r="D3682" t="s">
        <v>703</v>
      </c>
      <c r="E3682" t="s">
        <v>704</v>
      </c>
      <c r="F3682">
        <v>4</v>
      </c>
      <c r="G3682" t="s">
        <v>176</v>
      </c>
      <c r="H3682">
        <v>0</v>
      </c>
      <c r="I3682">
        <v>250</v>
      </c>
      <c r="J3682" s="10">
        <v>302</v>
      </c>
      <c r="K3682" s="10">
        <f>SUMIFS(F:F,D:D,DST_123_ÜRETİM_İHTİYAÇ_RAPORU_BURAK_YENI1309[[#This Row],[ALT_KOD]])-(SUMIFS(H:H,D:D,DST_123_ÜRETİM_İHTİYAÇ_RAPORU_BURAK_YENI1309[[#This Row],[ALT_KOD]])+AVERAGEIFS(I:I,D:D,DST_123_ÜRETİM_İHTİYAÇ_RAPORU_BURAK_YENI1309[[#This Row],[ALT_KOD]])+AVERAGEIFS(L:L,D:D,DST_123_ÜRETİM_İHTİYAÇ_RAPORU_BURAK_YENI1309[[#This Row],[ALT_KOD]]))</f>
        <v>-202</v>
      </c>
      <c r="L3682">
        <v>0</v>
      </c>
      <c r="M3682">
        <f>IF((DST_123_ÜRETİM_İHTİYAÇ_RAPORU_BURAK_YENI1309[[#This Row],[SATINALMA]]*DST_123_ÜRETİM_İHTİYAÇ_RAPORU_BURAK_YENI1309[[#This Row],[BIRIM_FIYATLAR]])&lt;1,VALUE("0"),DST_123_ÜRETİM_İHTİYAÇ_RAPORU_BURAK_YENI1309[[#This Row],[SATINALMA]]*DST_123_ÜRETİM_İHTİYAÇ_RAPORU_BURAK_YENI1309[[#This Row],[BIRIM_FIYATLAR]])</f>
        <v>0</v>
      </c>
      <c r="N3682">
        <v>0.9</v>
      </c>
      <c r="O3682" t="s">
        <v>826</v>
      </c>
      <c r="P3682">
        <v>3.6</v>
      </c>
      <c r="Q3682" t="s">
        <v>221</v>
      </c>
    </row>
    <row r="3683" spans="1:17" x14ac:dyDescent="0.25">
      <c r="A3683" t="s">
        <v>1059</v>
      </c>
      <c r="B3683" t="s">
        <v>1058</v>
      </c>
      <c r="C3683" t="s">
        <v>175</v>
      </c>
      <c r="D3683" t="s">
        <v>703</v>
      </c>
      <c r="E3683" t="s">
        <v>704</v>
      </c>
      <c r="F3683">
        <v>4</v>
      </c>
      <c r="G3683" t="s">
        <v>176</v>
      </c>
      <c r="H3683">
        <v>0</v>
      </c>
      <c r="I3683">
        <v>250</v>
      </c>
      <c r="J3683" s="10">
        <v>302</v>
      </c>
      <c r="K3683" s="10">
        <f>SUMIFS(F:F,D:D,DST_123_ÜRETİM_İHTİYAÇ_RAPORU_BURAK_YENI1309[[#This Row],[ALT_KOD]])-(SUMIFS(H:H,D:D,DST_123_ÜRETİM_İHTİYAÇ_RAPORU_BURAK_YENI1309[[#This Row],[ALT_KOD]])+AVERAGEIFS(I:I,D:D,DST_123_ÜRETİM_İHTİYAÇ_RAPORU_BURAK_YENI1309[[#This Row],[ALT_KOD]])+AVERAGEIFS(L:L,D:D,DST_123_ÜRETİM_İHTİYAÇ_RAPORU_BURAK_YENI1309[[#This Row],[ALT_KOD]]))</f>
        <v>-202</v>
      </c>
      <c r="L3683">
        <v>0</v>
      </c>
      <c r="M3683">
        <f>IF((DST_123_ÜRETİM_İHTİYAÇ_RAPORU_BURAK_YENI1309[[#This Row],[SATINALMA]]*DST_123_ÜRETİM_İHTİYAÇ_RAPORU_BURAK_YENI1309[[#This Row],[BIRIM_FIYATLAR]])&lt;1,VALUE("0"),DST_123_ÜRETİM_İHTİYAÇ_RAPORU_BURAK_YENI1309[[#This Row],[SATINALMA]]*DST_123_ÜRETİM_İHTİYAÇ_RAPORU_BURAK_YENI1309[[#This Row],[BIRIM_FIYATLAR]])</f>
        <v>0</v>
      </c>
      <c r="N3683">
        <v>0.9</v>
      </c>
      <c r="O3683" t="s">
        <v>826</v>
      </c>
      <c r="P3683">
        <v>3.6</v>
      </c>
      <c r="Q3683" t="s">
        <v>221</v>
      </c>
    </row>
    <row r="3684" spans="1:17" x14ac:dyDescent="0.25">
      <c r="A3684" t="s">
        <v>1064</v>
      </c>
      <c r="B3684" t="s">
        <v>1055</v>
      </c>
      <c r="C3684" t="s">
        <v>175</v>
      </c>
      <c r="D3684" t="s">
        <v>473</v>
      </c>
      <c r="E3684" t="s">
        <v>474</v>
      </c>
      <c r="F3684">
        <v>52</v>
      </c>
      <c r="G3684" t="s">
        <v>176</v>
      </c>
      <c r="H3684">
        <v>0</v>
      </c>
      <c r="I3684">
        <v>680</v>
      </c>
      <c r="J3684" s="10">
        <v>614</v>
      </c>
      <c r="K3684" s="10">
        <f>SUMIFS(F:F,D:D,DST_123_ÜRETİM_İHTİYAÇ_RAPORU_BURAK_YENI1309[[#This Row],[ALT_KOD]])-(SUMIFS(H:H,D:D,DST_123_ÜRETİM_İHTİYAÇ_RAPORU_BURAK_YENI1309[[#This Row],[ALT_KOD]])+AVERAGEIFS(I:I,D:D,DST_123_ÜRETİM_İHTİYAÇ_RAPORU_BURAK_YENI1309[[#This Row],[ALT_KOD]])+AVERAGEIFS(L:L,D:D,DST_123_ÜRETİM_İHTİYAÇ_RAPORU_BURAK_YENI1309[[#This Row],[ALT_KOD]]))</f>
        <v>118</v>
      </c>
      <c r="L3684">
        <v>0</v>
      </c>
      <c r="M3684">
        <f>IF((DST_123_ÜRETİM_İHTİYAÇ_RAPORU_BURAK_YENI1309[[#This Row],[SATINALMA]]*DST_123_ÜRETİM_İHTİYAÇ_RAPORU_BURAK_YENI1309[[#This Row],[BIRIM_FIYATLAR]])&lt;1,VALUE("0"),DST_123_ÜRETİM_İHTİYAÇ_RAPORU_BURAK_YENI1309[[#This Row],[SATINALMA]]*DST_123_ÜRETİM_İHTİYAÇ_RAPORU_BURAK_YENI1309[[#This Row],[BIRIM_FIYATLAR]])</f>
        <v>247.8</v>
      </c>
      <c r="N3684">
        <v>2.1</v>
      </c>
      <c r="O3684" t="s">
        <v>240</v>
      </c>
      <c r="P3684">
        <v>109.2</v>
      </c>
      <c r="Q3684" t="s">
        <v>180</v>
      </c>
    </row>
    <row r="3685" spans="1:17" x14ac:dyDescent="0.25">
      <c r="A3685" t="s">
        <v>1196</v>
      </c>
      <c r="B3685" t="s">
        <v>1197</v>
      </c>
      <c r="C3685" t="s">
        <v>175</v>
      </c>
      <c r="D3685" t="s">
        <v>473</v>
      </c>
      <c r="E3685" t="s">
        <v>474</v>
      </c>
      <c r="F3685">
        <v>38</v>
      </c>
      <c r="G3685" t="s">
        <v>176</v>
      </c>
      <c r="H3685">
        <v>0</v>
      </c>
      <c r="I3685">
        <v>680</v>
      </c>
      <c r="J3685" s="10">
        <v>614</v>
      </c>
      <c r="K3685" s="10">
        <f>SUMIFS(F:F,D:D,DST_123_ÜRETİM_İHTİYAÇ_RAPORU_BURAK_YENI1309[[#This Row],[ALT_KOD]])-(SUMIFS(H:H,D:D,DST_123_ÜRETİM_İHTİYAÇ_RAPORU_BURAK_YENI1309[[#This Row],[ALT_KOD]])+AVERAGEIFS(I:I,D:D,DST_123_ÜRETİM_İHTİYAÇ_RAPORU_BURAK_YENI1309[[#This Row],[ALT_KOD]])+AVERAGEIFS(L:L,D:D,DST_123_ÜRETİM_İHTİYAÇ_RAPORU_BURAK_YENI1309[[#This Row],[ALT_KOD]]))</f>
        <v>118</v>
      </c>
      <c r="L3685">
        <v>0</v>
      </c>
      <c r="M3685">
        <f>IF((DST_123_ÜRETİM_İHTİYAÇ_RAPORU_BURAK_YENI1309[[#This Row],[SATINALMA]]*DST_123_ÜRETİM_İHTİYAÇ_RAPORU_BURAK_YENI1309[[#This Row],[BIRIM_FIYATLAR]])&lt;1,VALUE("0"),DST_123_ÜRETİM_İHTİYAÇ_RAPORU_BURAK_YENI1309[[#This Row],[SATINALMA]]*DST_123_ÜRETİM_İHTİYAÇ_RAPORU_BURAK_YENI1309[[#This Row],[BIRIM_FIYATLAR]])</f>
        <v>247.8</v>
      </c>
      <c r="N3685">
        <v>2.1</v>
      </c>
      <c r="O3685" t="s">
        <v>240</v>
      </c>
      <c r="P3685">
        <v>79.8</v>
      </c>
      <c r="Q3685" t="s">
        <v>180</v>
      </c>
    </row>
    <row r="3686" spans="1:17" x14ac:dyDescent="0.25">
      <c r="A3686" t="s">
        <v>1098</v>
      </c>
      <c r="B3686" t="s">
        <v>1096</v>
      </c>
      <c r="C3686" t="s">
        <v>175</v>
      </c>
      <c r="D3686" t="s">
        <v>473</v>
      </c>
      <c r="E3686" t="s">
        <v>474</v>
      </c>
      <c r="F3686">
        <v>52</v>
      </c>
      <c r="G3686" t="s">
        <v>176</v>
      </c>
      <c r="H3686">
        <v>0</v>
      </c>
      <c r="I3686">
        <v>680</v>
      </c>
      <c r="J3686" s="10">
        <v>614</v>
      </c>
      <c r="K3686" s="10">
        <f>SUMIFS(F:F,D:D,DST_123_ÜRETİM_İHTİYAÇ_RAPORU_BURAK_YENI1309[[#This Row],[ALT_KOD]])-(SUMIFS(H:H,D:D,DST_123_ÜRETİM_İHTİYAÇ_RAPORU_BURAK_YENI1309[[#This Row],[ALT_KOD]])+AVERAGEIFS(I:I,D:D,DST_123_ÜRETİM_İHTİYAÇ_RAPORU_BURAK_YENI1309[[#This Row],[ALT_KOD]])+AVERAGEIFS(L:L,D:D,DST_123_ÜRETİM_İHTİYAÇ_RAPORU_BURAK_YENI1309[[#This Row],[ALT_KOD]]))</f>
        <v>118</v>
      </c>
      <c r="L3686">
        <v>0</v>
      </c>
      <c r="M3686">
        <f>IF((DST_123_ÜRETİM_İHTİYAÇ_RAPORU_BURAK_YENI1309[[#This Row],[SATINALMA]]*DST_123_ÜRETİM_İHTİYAÇ_RAPORU_BURAK_YENI1309[[#This Row],[BIRIM_FIYATLAR]])&lt;1,VALUE("0"),DST_123_ÜRETİM_İHTİYAÇ_RAPORU_BURAK_YENI1309[[#This Row],[SATINALMA]]*DST_123_ÜRETİM_İHTİYAÇ_RAPORU_BURAK_YENI1309[[#This Row],[BIRIM_FIYATLAR]])</f>
        <v>247.8</v>
      </c>
      <c r="N3686">
        <v>2.1</v>
      </c>
      <c r="O3686" t="s">
        <v>240</v>
      </c>
      <c r="P3686">
        <v>109.2</v>
      </c>
      <c r="Q3686" t="s">
        <v>180</v>
      </c>
    </row>
    <row r="3687" spans="1:17" x14ac:dyDescent="0.25">
      <c r="A3687" t="s">
        <v>1098</v>
      </c>
      <c r="B3687" t="s">
        <v>1096</v>
      </c>
      <c r="C3687" t="s">
        <v>175</v>
      </c>
      <c r="D3687" t="s">
        <v>161</v>
      </c>
      <c r="E3687" t="s">
        <v>162</v>
      </c>
      <c r="F3687">
        <v>1</v>
      </c>
      <c r="G3687" t="s">
        <v>176</v>
      </c>
      <c r="H3687">
        <v>0</v>
      </c>
      <c r="I3687">
        <v>5</v>
      </c>
      <c r="J3687" s="10">
        <v>8</v>
      </c>
      <c r="K3687" s="10">
        <f>SUMIFS(F:F,D:D,DST_123_ÜRETİM_İHTİYAÇ_RAPORU_BURAK_YENI1309[[#This Row],[ALT_KOD]])-(SUMIFS(H:H,D:D,DST_123_ÜRETİM_İHTİYAÇ_RAPORU_BURAK_YENI1309[[#This Row],[ALT_KOD]])+AVERAGEIFS(I:I,D:D,DST_123_ÜRETİM_İHTİYAÇ_RAPORU_BURAK_YENI1309[[#This Row],[ALT_KOD]])+AVERAGEIFS(L:L,D:D,DST_123_ÜRETİM_İHTİYAÇ_RAPORU_BURAK_YENI1309[[#This Row],[ALT_KOD]]))</f>
        <v>5</v>
      </c>
      <c r="L3687">
        <v>0</v>
      </c>
      <c r="M3687">
        <f>IF((DST_123_ÜRETİM_İHTİYAÇ_RAPORU_BURAK_YENI1309[[#This Row],[SATINALMA]]*DST_123_ÜRETİM_İHTİYAÇ_RAPORU_BURAK_YENI1309[[#This Row],[BIRIM_FIYATLAR]])&lt;1,VALUE("0"),DST_123_ÜRETİM_İHTİYAÇ_RAPORU_BURAK_YENI1309[[#This Row],[SATINALMA]]*DST_123_ÜRETİM_İHTİYAÇ_RAPORU_BURAK_YENI1309[[#This Row],[BIRIM_FIYATLAR]])</f>
        <v>30523.449999999997</v>
      </c>
      <c r="N3687">
        <v>6104.69</v>
      </c>
      <c r="O3687" t="s">
        <v>227</v>
      </c>
      <c r="P3687">
        <v>6104.69</v>
      </c>
      <c r="Q3687" t="s">
        <v>221</v>
      </c>
    </row>
    <row r="3688" spans="1:17" x14ac:dyDescent="0.25">
      <c r="A3688" t="s">
        <v>1099</v>
      </c>
      <c r="B3688" t="s">
        <v>1055</v>
      </c>
      <c r="C3688" t="s">
        <v>175</v>
      </c>
      <c r="D3688" t="s">
        <v>161</v>
      </c>
      <c r="E3688" t="s">
        <v>162</v>
      </c>
      <c r="F3688">
        <v>1</v>
      </c>
      <c r="G3688" t="s">
        <v>176</v>
      </c>
      <c r="H3688">
        <v>0</v>
      </c>
      <c r="I3688">
        <v>5</v>
      </c>
      <c r="J3688" s="10">
        <v>8</v>
      </c>
      <c r="K3688" s="10">
        <f>SUMIFS(F:F,D:D,DST_123_ÜRETİM_İHTİYAÇ_RAPORU_BURAK_YENI1309[[#This Row],[ALT_KOD]])-(SUMIFS(H:H,D:D,DST_123_ÜRETİM_İHTİYAÇ_RAPORU_BURAK_YENI1309[[#This Row],[ALT_KOD]])+AVERAGEIFS(I:I,D:D,DST_123_ÜRETİM_İHTİYAÇ_RAPORU_BURAK_YENI1309[[#This Row],[ALT_KOD]])+AVERAGEIFS(L:L,D:D,DST_123_ÜRETİM_İHTİYAÇ_RAPORU_BURAK_YENI1309[[#This Row],[ALT_KOD]]))</f>
        <v>5</v>
      </c>
      <c r="L3688">
        <v>0</v>
      </c>
      <c r="M3688">
        <f>IF((DST_123_ÜRETİM_İHTİYAÇ_RAPORU_BURAK_YENI1309[[#This Row],[SATINALMA]]*DST_123_ÜRETİM_İHTİYAÇ_RAPORU_BURAK_YENI1309[[#This Row],[BIRIM_FIYATLAR]])&lt;1,VALUE("0"),DST_123_ÜRETİM_İHTİYAÇ_RAPORU_BURAK_YENI1309[[#This Row],[SATINALMA]]*DST_123_ÜRETİM_İHTİYAÇ_RAPORU_BURAK_YENI1309[[#This Row],[BIRIM_FIYATLAR]])</f>
        <v>30523.449999999997</v>
      </c>
      <c r="N3688">
        <v>6104.69</v>
      </c>
      <c r="O3688" t="s">
        <v>227</v>
      </c>
      <c r="P3688">
        <v>6104.69</v>
      </c>
      <c r="Q3688" t="s">
        <v>221</v>
      </c>
    </row>
    <row r="3689" spans="1:17" x14ac:dyDescent="0.25">
      <c r="A3689" t="s">
        <v>1095</v>
      </c>
      <c r="B3689" t="s">
        <v>1096</v>
      </c>
      <c r="C3689" t="s">
        <v>175</v>
      </c>
      <c r="D3689" t="s">
        <v>473</v>
      </c>
      <c r="E3689" t="s">
        <v>474</v>
      </c>
      <c r="F3689">
        <v>52</v>
      </c>
      <c r="G3689" t="s">
        <v>176</v>
      </c>
      <c r="H3689">
        <v>0</v>
      </c>
      <c r="I3689">
        <v>680</v>
      </c>
      <c r="J3689" s="10">
        <v>614</v>
      </c>
      <c r="K3689" s="10">
        <f>SUMIFS(F:F,D:D,DST_123_ÜRETİM_İHTİYAÇ_RAPORU_BURAK_YENI1309[[#This Row],[ALT_KOD]])-(SUMIFS(H:H,D:D,DST_123_ÜRETİM_İHTİYAÇ_RAPORU_BURAK_YENI1309[[#This Row],[ALT_KOD]])+AVERAGEIFS(I:I,D:D,DST_123_ÜRETİM_İHTİYAÇ_RAPORU_BURAK_YENI1309[[#This Row],[ALT_KOD]])+AVERAGEIFS(L:L,D:D,DST_123_ÜRETİM_İHTİYAÇ_RAPORU_BURAK_YENI1309[[#This Row],[ALT_KOD]]))</f>
        <v>118</v>
      </c>
      <c r="L3689">
        <v>0</v>
      </c>
      <c r="M3689">
        <f>IF((DST_123_ÜRETİM_İHTİYAÇ_RAPORU_BURAK_YENI1309[[#This Row],[SATINALMA]]*DST_123_ÜRETİM_İHTİYAÇ_RAPORU_BURAK_YENI1309[[#This Row],[BIRIM_FIYATLAR]])&lt;1,VALUE("0"),DST_123_ÜRETİM_İHTİYAÇ_RAPORU_BURAK_YENI1309[[#This Row],[SATINALMA]]*DST_123_ÜRETİM_İHTİYAÇ_RAPORU_BURAK_YENI1309[[#This Row],[BIRIM_FIYATLAR]])</f>
        <v>247.8</v>
      </c>
      <c r="N3689">
        <v>2.1</v>
      </c>
      <c r="O3689" t="s">
        <v>240</v>
      </c>
      <c r="P3689">
        <v>109.2</v>
      </c>
      <c r="Q3689" t="s">
        <v>180</v>
      </c>
    </row>
    <row r="3690" spans="1:17" x14ac:dyDescent="0.25">
      <c r="A3690" t="s">
        <v>1142</v>
      </c>
      <c r="B3690" t="s">
        <v>1056</v>
      </c>
      <c r="C3690" t="s">
        <v>175</v>
      </c>
      <c r="D3690" t="s">
        <v>161</v>
      </c>
      <c r="E3690" t="s">
        <v>162</v>
      </c>
      <c r="F3690">
        <v>1</v>
      </c>
      <c r="G3690" t="s">
        <v>176</v>
      </c>
      <c r="H3690">
        <v>0</v>
      </c>
      <c r="I3690">
        <v>5</v>
      </c>
      <c r="J3690" s="10">
        <v>8</v>
      </c>
      <c r="K3690" s="10">
        <f>SUMIFS(F:F,D:D,DST_123_ÜRETİM_İHTİYAÇ_RAPORU_BURAK_YENI1309[[#This Row],[ALT_KOD]])-(SUMIFS(H:H,D:D,DST_123_ÜRETİM_İHTİYAÇ_RAPORU_BURAK_YENI1309[[#This Row],[ALT_KOD]])+AVERAGEIFS(I:I,D:D,DST_123_ÜRETİM_İHTİYAÇ_RAPORU_BURAK_YENI1309[[#This Row],[ALT_KOD]])+AVERAGEIFS(L:L,D:D,DST_123_ÜRETİM_İHTİYAÇ_RAPORU_BURAK_YENI1309[[#This Row],[ALT_KOD]]))</f>
        <v>5</v>
      </c>
      <c r="L3690">
        <v>0</v>
      </c>
      <c r="M3690">
        <f>IF((DST_123_ÜRETİM_İHTİYAÇ_RAPORU_BURAK_YENI1309[[#This Row],[SATINALMA]]*DST_123_ÜRETİM_İHTİYAÇ_RAPORU_BURAK_YENI1309[[#This Row],[BIRIM_FIYATLAR]])&lt;1,VALUE("0"),DST_123_ÜRETİM_İHTİYAÇ_RAPORU_BURAK_YENI1309[[#This Row],[SATINALMA]]*DST_123_ÜRETİM_İHTİYAÇ_RAPORU_BURAK_YENI1309[[#This Row],[BIRIM_FIYATLAR]])</f>
        <v>30523.449999999997</v>
      </c>
      <c r="N3690">
        <v>6104.69</v>
      </c>
      <c r="O3690" t="s">
        <v>227</v>
      </c>
      <c r="P3690">
        <v>6104.69</v>
      </c>
      <c r="Q3690" t="s">
        <v>221</v>
      </c>
    </row>
    <row r="3691" spans="1:17" x14ac:dyDescent="0.25">
      <c r="A3691" t="s">
        <v>1149</v>
      </c>
      <c r="B3691" t="s">
        <v>1145</v>
      </c>
      <c r="C3691" t="s">
        <v>197</v>
      </c>
      <c r="D3691" t="s">
        <v>793</v>
      </c>
      <c r="E3691" t="s">
        <v>794</v>
      </c>
      <c r="F3691">
        <v>1</v>
      </c>
      <c r="G3691" t="s">
        <v>176</v>
      </c>
      <c r="H3691">
        <v>0</v>
      </c>
      <c r="I3691">
        <v>25</v>
      </c>
      <c r="J3691" s="10">
        <v>4</v>
      </c>
      <c r="K3691" s="10">
        <f>SUMIFS(F:F,D:D,DST_123_ÜRETİM_İHTİYAÇ_RAPORU_BURAK_YENI1309[[#This Row],[ALT_KOD]])-(SUMIFS(H:H,D:D,DST_123_ÜRETİM_İHTİYAÇ_RAPORU_BURAK_YENI1309[[#This Row],[ALT_KOD]])+AVERAGEIFS(I:I,D:D,DST_123_ÜRETİM_İHTİYAÇ_RAPORU_BURAK_YENI1309[[#This Row],[ALT_KOD]])+AVERAGEIFS(L:L,D:D,DST_123_ÜRETİM_İHTİYAÇ_RAPORU_BURAK_YENI1309[[#This Row],[ALT_KOD]]))</f>
        <v>-20</v>
      </c>
      <c r="L3691">
        <v>0</v>
      </c>
      <c r="M3691">
        <f>IF((DST_123_ÜRETİM_İHTİYAÇ_RAPORU_BURAK_YENI1309[[#This Row],[SATINALMA]]*DST_123_ÜRETİM_İHTİYAÇ_RAPORU_BURAK_YENI1309[[#This Row],[BIRIM_FIYATLAR]])&lt;1,VALUE("0"),DST_123_ÜRETİM_İHTİYAÇ_RAPORU_BURAK_YENI1309[[#This Row],[SATINALMA]]*DST_123_ÜRETİM_İHTİYAÇ_RAPORU_BURAK_YENI1309[[#This Row],[BIRIM_FIYATLAR]])</f>
        <v>0</v>
      </c>
      <c r="N3691">
        <v>2800</v>
      </c>
      <c r="O3691" t="s">
        <v>795</v>
      </c>
      <c r="P3691">
        <v>2800</v>
      </c>
      <c r="Q3691" t="s">
        <v>177</v>
      </c>
    </row>
    <row r="3692" spans="1:17" x14ac:dyDescent="0.25">
      <c r="A3692" t="s">
        <v>1099</v>
      </c>
      <c r="B3692" t="s">
        <v>1055</v>
      </c>
      <c r="C3692" t="s">
        <v>175</v>
      </c>
      <c r="D3692" t="s">
        <v>473</v>
      </c>
      <c r="E3692" t="s">
        <v>474</v>
      </c>
      <c r="F3692">
        <v>44</v>
      </c>
      <c r="G3692" t="s">
        <v>176</v>
      </c>
      <c r="H3692">
        <v>0</v>
      </c>
      <c r="I3692">
        <v>680</v>
      </c>
      <c r="J3692" s="10">
        <v>614</v>
      </c>
      <c r="K3692" s="10">
        <f>SUMIFS(F:F,D:D,DST_123_ÜRETİM_İHTİYAÇ_RAPORU_BURAK_YENI1309[[#This Row],[ALT_KOD]])-(SUMIFS(H:H,D:D,DST_123_ÜRETİM_İHTİYAÇ_RAPORU_BURAK_YENI1309[[#This Row],[ALT_KOD]])+AVERAGEIFS(I:I,D:D,DST_123_ÜRETİM_İHTİYAÇ_RAPORU_BURAK_YENI1309[[#This Row],[ALT_KOD]])+AVERAGEIFS(L:L,D:D,DST_123_ÜRETİM_İHTİYAÇ_RAPORU_BURAK_YENI1309[[#This Row],[ALT_KOD]]))</f>
        <v>118</v>
      </c>
      <c r="L3692">
        <v>0</v>
      </c>
      <c r="M3692">
        <f>IF((DST_123_ÜRETİM_İHTİYAÇ_RAPORU_BURAK_YENI1309[[#This Row],[SATINALMA]]*DST_123_ÜRETİM_İHTİYAÇ_RAPORU_BURAK_YENI1309[[#This Row],[BIRIM_FIYATLAR]])&lt;1,VALUE("0"),DST_123_ÜRETİM_İHTİYAÇ_RAPORU_BURAK_YENI1309[[#This Row],[SATINALMA]]*DST_123_ÜRETİM_İHTİYAÇ_RAPORU_BURAK_YENI1309[[#This Row],[BIRIM_FIYATLAR]])</f>
        <v>247.8</v>
      </c>
      <c r="N3692">
        <v>2.1</v>
      </c>
      <c r="O3692" t="s">
        <v>240</v>
      </c>
      <c r="P3692">
        <v>92.4</v>
      </c>
      <c r="Q3692" t="s">
        <v>180</v>
      </c>
    </row>
    <row r="3693" spans="1:17" x14ac:dyDescent="0.25">
      <c r="A3693" t="s">
        <v>1149</v>
      </c>
      <c r="B3693" t="s">
        <v>1145</v>
      </c>
      <c r="C3693" t="s">
        <v>175</v>
      </c>
      <c r="D3693" t="s">
        <v>840</v>
      </c>
      <c r="E3693" t="s">
        <v>841</v>
      </c>
      <c r="F3693">
        <v>5</v>
      </c>
      <c r="G3693" t="s">
        <v>179</v>
      </c>
      <c r="H3693">
        <v>0</v>
      </c>
      <c r="I3693">
        <v>0</v>
      </c>
      <c r="J3693" s="10">
        <v>165</v>
      </c>
      <c r="K3693" s="10">
        <f>SUMIFS(F:F,D:D,DST_123_ÜRETİM_İHTİYAÇ_RAPORU_BURAK_YENI1309[[#This Row],[ALT_KOD]])-(SUMIFS(H:H,D:D,DST_123_ÜRETİM_İHTİYAÇ_RAPORU_BURAK_YENI1309[[#This Row],[ALT_KOD]])+AVERAGEIFS(I:I,D:D,DST_123_ÜRETİM_İHTİYAÇ_RAPORU_BURAK_YENI1309[[#This Row],[ALT_KOD]])+AVERAGEIFS(L:L,D:D,DST_123_ÜRETİM_İHTİYAÇ_RAPORU_BURAK_YENI1309[[#This Row],[ALT_KOD]]))</f>
        <v>-289</v>
      </c>
      <c r="L3693">
        <v>400</v>
      </c>
      <c r="M3693">
        <f>IF((DST_123_ÜRETİM_İHTİYAÇ_RAPORU_BURAK_YENI1309[[#This Row],[SATINALMA]]*DST_123_ÜRETİM_İHTİYAÇ_RAPORU_BURAK_YENI1309[[#This Row],[BIRIM_FIYATLAR]])&lt;1,VALUE("0"),DST_123_ÜRETİM_İHTİYAÇ_RAPORU_BURAK_YENI1309[[#This Row],[SATINALMA]]*DST_123_ÜRETİM_İHTİYAÇ_RAPORU_BURAK_YENI1309[[#This Row],[BIRIM_FIYATLAR]])</f>
        <v>0</v>
      </c>
      <c r="N3693">
        <v>5</v>
      </c>
      <c r="O3693" t="s">
        <v>224</v>
      </c>
      <c r="P3693">
        <v>25</v>
      </c>
      <c r="Q3693" t="s">
        <v>180</v>
      </c>
    </row>
    <row r="3694" spans="1:17" x14ac:dyDescent="0.25">
      <c r="A3694" t="s">
        <v>1142</v>
      </c>
      <c r="B3694" t="s">
        <v>1056</v>
      </c>
      <c r="C3694" t="s">
        <v>175</v>
      </c>
      <c r="D3694" t="s">
        <v>605</v>
      </c>
      <c r="E3694" t="s">
        <v>606</v>
      </c>
      <c r="F3694">
        <v>4</v>
      </c>
      <c r="G3694" t="s">
        <v>176</v>
      </c>
      <c r="H3694">
        <v>0</v>
      </c>
      <c r="I3694">
        <v>25</v>
      </c>
      <c r="J3694" s="10">
        <v>14</v>
      </c>
      <c r="K3694" s="10">
        <f>SUMIFS(F:F,D:D,DST_123_ÜRETİM_İHTİYAÇ_RAPORU_BURAK_YENI1309[[#This Row],[ALT_KOD]])-(SUMIFS(H:H,D:D,DST_123_ÜRETİM_İHTİYAÇ_RAPORU_BURAK_YENI1309[[#This Row],[ALT_KOD]])+AVERAGEIFS(I:I,D:D,DST_123_ÜRETİM_İHTİYAÇ_RAPORU_BURAK_YENI1309[[#This Row],[ALT_KOD]])+AVERAGEIFS(L:L,D:D,DST_123_ÜRETİM_İHTİYAÇ_RAPORU_BURAK_YENI1309[[#This Row],[ALT_KOD]]))</f>
        <v>7</v>
      </c>
      <c r="L3694">
        <v>0</v>
      </c>
      <c r="M3694">
        <f>IF((DST_123_ÜRETİM_İHTİYAÇ_RAPORU_BURAK_YENI1309[[#This Row],[SATINALMA]]*DST_123_ÜRETİM_İHTİYAÇ_RAPORU_BURAK_YENI1309[[#This Row],[BIRIM_FIYATLAR]])&lt;1,VALUE("0"),DST_123_ÜRETİM_İHTİYAÇ_RAPORU_BURAK_YENI1309[[#This Row],[SATINALMA]]*DST_123_ÜRETİM_İHTİYAÇ_RAPORU_BURAK_YENI1309[[#This Row],[BIRIM_FIYATLAR]])</f>
        <v>1206.6599999999999</v>
      </c>
      <c r="N3694">
        <v>172.38</v>
      </c>
      <c r="O3694" t="s">
        <v>636</v>
      </c>
      <c r="P3694">
        <v>689.52</v>
      </c>
      <c r="Q3694" t="s">
        <v>177</v>
      </c>
    </row>
    <row r="3695" spans="1:17" x14ac:dyDescent="0.25">
      <c r="A3695" t="s">
        <v>1059</v>
      </c>
      <c r="B3695" t="s">
        <v>1058</v>
      </c>
      <c r="C3695" t="s">
        <v>175</v>
      </c>
      <c r="D3695" t="s">
        <v>861</v>
      </c>
      <c r="E3695" t="s">
        <v>862</v>
      </c>
      <c r="F3695">
        <v>12</v>
      </c>
      <c r="G3695" t="s">
        <v>176</v>
      </c>
      <c r="H3695">
        <v>0</v>
      </c>
      <c r="I3695">
        <v>178</v>
      </c>
      <c r="J3695" s="10">
        <v>0</v>
      </c>
      <c r="K3695" s="10">
        <f>SUMIFS(F:F,D:D,DST_123_ÜRETİM_İHTİYAÇ_RAPORU_BURAK_YENI1309[[#This Row],[ALT_KOD]])-(SUMIFS(H:H,D:D,DST_123_ÜRETİM_İHTİYAÇ_RAPORU_BURAK_YENI1309[[#This Row],[ALT_KOD]])+AVERAGEIFS(I:I,D:D,DST_123_ÜRETİM_İHTİYAÇ_RAPORU_BURAK_YENI1309[[#This Row],[ALT_KOD]])+AVERAGEIFS(L:L,D:D,DST_123_ÜRETİM_İHTİYAÇ_RAPORU_BURAK_YENI1309[[#This Row],[ALT_KOD]]))</f>
        <v>-142</v>
      </c>
      <c r="L3695">
        <v>0</v>
      </c>
      <c r="M3695">
        <f>IF((DST_123_ÜRETİM_İHTİYAÇ_RAPORU_BURAK_YENI1309[[#This Row],[SATINALMA]]*DST_123_ÜRETİM_İHTİYAÇ_RAPORU_BURAK_YENI1309[[#This Row],[BIRIM_FIYATLAR]])&lt;1,VALUE("0"),DST_123_ÜRETİM_İHTİYAÇ_RAPORU_BURAK_YENI1309[[#This Row],[SATINALMA]]*DST_123_ÜRETİM_İHTİYAÇ_RAPORU_BURAK_YENI1309[[#This Row],[BIRIM_FIYATLAR]])</f>
        <v>0</v>
      </c>
      <c r="N3695">
        <v>3.45</v>
      </c>
      <c r="O3695" t="s">
        <v>860</v>
      </c>
      <c r="P3695">
        <v>41.400000000000006</v>
      </c>
      <c r="Q3695" t="s">
        <v>180</v>
      </c>
    </row>
    <row r="3696" spans="1:17" x14ac:dyDescent="0.25">
      <c r="A3696" t="s">
        <v>1143</v>
      </c>
      <c r="B3696" t="s">
        <v>1056</v>
      </c>
      <c r="C3696" t="s">
        <v>175</v>
      </c>
      <c r="D3696" t="s">
        <v>783</v>
      </c>
      <c r="E3696" t="s">
        <v>784</v>
      </c>
      <c r="F3696">
        <v>1</v>
      </c>
      <c r="G3696" t="s">
        <v>176</v>
      </c>
      <c r="H3696">
        <v>0</v>
      </c>
      <c r="I3696">
        <v>15</v>
      </c>
      <c r="J3696" s="10">
        <v>11</v>
      </c>
      <c r="K3696" s="10">
        <f>SUMIFS(F:F,D:D,DST_123_ÜRETİM_İHTİYAÇ_RAPORU_BURAK_YENI1309[[#This Row],[ALT_KOD]])-(SUMIFS(H:H,D:D,DST_123_ÜRETİM_İHTİYAÇ_RAPORU_BURAK_YENI1309[[#This Row],[ALT_KOD]])+AVERAGEIFS(I:I,D:D,DST_123_ÜRETİM_İHTİYAÇ_RAPORU_BURAK_YENI1309[[#This Row],[ALT_KOD]])+AVERAGEIFS(L:L,D:D,DST_123_ÜRETİM_İHTİYAÇ_RAPORU_BURAK_YENI1309[[#This Row],[ALT_KOD]]))</f>
        <v>-4</v>
      </c>
      <c r="L3696">
        <v>0</v>
      </c>
      <c r="M3696">
        <f>IF((DST_123_ÜRETİM_İHTİYAÇ_RAPORU_BURAK_YENI1309[[#This Row],[SATINALMA]]*DST_123_ÜRETİM_İHTİYAÇ_RAPORU_BURAK_YENI1309[[#This Row],[BIRIM_FIYATLAR]])&lt;1,VALUE("0"),DST_123_ÜRETİM_İHTİYAÇ_RAPORU_BURAK_YENI1309[[#This Row],[SATINALMA]]*DST_123_ÜRETİM_İHTİYAÇ_RAPORU_BURAK_YENI1309[[#This Row],[BIRIM_FIYATLAR]])</f>
        <v>0</v>
      </c>
      <c r="N3696">
        <v>510</v>
      </c>
      <c r="O3696" t="s">
        <v>289</v>
      </c>
      <c r="P3696">
        <v>510</v>
      </c>
      <c r="Q3696" t="s">
        <v>178</v>
      </c>
    </row>
    <row r="3697" spans="1:17" x14ac:dyDescent="0.25">
      <c r="A3697" t="s">
        <v>1142</v>
      </c>
      <c r="B3697" t="s">
        <v>1056</v>
      </c>
      <c r="C3697" t="s">
        <v>175</v>
      </c>
      <c r="D3697" t="s">
        <v>689</v>
      </c>
      <c r="E3697" t="s">
        <v>690</v>
      </c>
      <c r="F3697">
        <v>1</v>
      </c>
      <c r="G3697" t="s">
        <v>176</v>
      </c>
      <c r="H3697">
        <v>0</v>
      </c>
      <c r="I3697">
        <v>23</v>
      </c>
      <c r="J3697" s="10">
        <v>5</v>
      </c>
      <c r="K3697" s="10">
        <f>SUMIFS(F:F,D:D,DST_123_ÜRETİM_İHTİYAÇ_RAPORU_BURAK_YENI1309[[#This Row],[ALT_KOD]])-(SUMIFS(H:H,D:D,DST_123_ÜRETİM_İHTİYAÇ_RAPORU_BURAK_YENI1309[[#This Row],[ALT_KOD]])+AVERAGEIFS(I:I,D:D,DST_123_ÜRETİM_İHTİYAÇ_RAPORU_BURAK_YENI1309[[#This Row],[ALT_KOD]])+AVERAGEIFS(L:L,D:D,DST_123_ÜRETİM_İHTİYAÇ_RAPORU_BURAK_YENI1309[[#This Row],[ALT_KOD]]))</f>
        <v>-12</v>
      </c>
      <c r="L3697">
        <v>0</v>
      </c>
      <c r="M3697">
        <f>IF((DST_123_ÜRETİM_İHTİYAÇ_RAPORU_BURAK_YENI1309[[#This Row],[SATINALMA]]*DST_123_ÜRETİM_İHTİYAÇ_RAPORU_BURAK_YENI1309[[#This Row],[BIRIM_FIYATLAR]])&lt;1,VALUE("0"),DST_123_ÜRETİM_İHTİYAÇ_RAPORU_BURAK_YENI1309[[#This Row],[SATINALMA]]*DST_123_ÜRETİM_İHTİYAÇ_RAPORU_BURAK_YENI1309[[#This Row],[BIRIM_FIYATLAR]])</f>
        <v>0</v>
      </c>
      <c r="N3697">
        <v>871.93</v>
      </c>
      <c r="O3697" t="s">
        <v>691</v>
      </c>
      <c r="P3697">
        <v>871.93</v>
      </c>
      <c r="Q3697" t="s">
        <v>177</v>
      </c>
    </row>
    <row r="3698" spans="1:17" x14ac:dyDescent="0.25">
      <c r="A3698" t="s">
        <v>1143</v>
      </c>
      <c r="B3698" t="s">
        <v>1056</v>
      </c>
      <c r="C3698" t="s">
        <v>175</v>
      </c>
      <c r="D3698" t="s">
        <v>580</v>
      </c>
      <c r="E3698" t="s">
        <v>581</v>
      </c>
      <c r="F3698">
        <v>23.71</v>
      </c>
      <c r="G3698" t="s">
        <v>185</v>
      </c>
      <c r="H3698">
        <v>0</v>
      </c>
      <c r="I3698">
        <v>60</v>
      </c>
      <c r="J3698" s="10">
        <v>219.95999999999984</v>
      </c>
      <c r="K3698" s="10">
        <f>SUMIFS(F:F,D:D,DST_123_ÜRETİM_İHTİYAÇ_RAPORU_BURAK_YENI1309[[#This Row],[ALT_KOD]])-(SUMIFS(H:H,D:D,DST_123_ÜRETİM_İHTİYAÇ_RAPORU_BURAK_YENI1309[[#This Row],[ALT_KOD]])+AVERAGEIFS(I:I,D:D,DST_123_ÜRETİM_İHTİYAÇ_RAPORU_BURAK_YENI1309[[#This Row],[ALT_KOD]])+AVERAGEIFS(L:L,D:D,DST_123_ÜRETİM_İHTİYAÇ_RAPORU_BURAK_YENI1309[[#This Row],[ALT_KOD]]))</f>
        <v>143.41000000000003</v>
      </c>
      <c r="L3698">
        <v>0</v>
      </c>
      <c r="M3698">
        <f>IF((DST_123_ÜRETİM_İHTİYAÇ_RAPORU_BURAK_YENI1309[[#This Row],[SATINALMA]]*DST_123_ÜRETİM_İHTİYAÇ_RAPORU_BURAK_YENI1309[[#This Row],[BIRIM_FIYATLAR]])&lt;1,VALUE("0"),DST_123_ÜRETİM_İHTİYAÇ_RAPORU_BURAK_YENI1309[[#This Row],[SATINALMA]]*DST_123_ÜRETİM_İHTİYAÇ_RAPORU_BURAK_YENI1309[[#This Row],[BIRIM_FIYATLAR]])</f>
        <v>23533.581000000002</v>
      </c>
      <c r="N3698">
        <v>164.1</v>
      </c>
      <c r="O3698" t="s">
        <v>490</v>
      </c>
      <c r="P3698">
        <v>3890.8110000000001</v>
      </c>
      <c r="Q3698" t="s">
        <v>183</v>
      </c>
    </row>
    <row r="3699" spans="1:17" x14ac:dyDescent="0.25">
      <c r="A3699" t="s">
        <v>1059</v>
      </c>
      <c r="B3699" t="s">
        <v>1058</v>
      </c>
      <c r="C3699" t="s">
        <v>175</v>
      </c>
      <c r="D3699" t="s">
        <v>1084</v>
      </c>
      <c r="E3699" t="s">
        <v>1085</v>
      </c>
      <c r="F3699">
        <v>2</v>
      </c>
      <c r="G3699" t="s">
        <v>176</v>
      </c>
      <c r="H3699">
        <v>2</v>
      </c>
      <c r="I3699">
        <v>12</v>
      </c>
      <c r="J3699" s="10">
        <v>18</v>
      </c>
      <c r="K3699" s="10">
        <f>SUMIFS(F:F,D:D,DST_123_ÜRETİM_İHTİYAÇ_RAPORU_BURAK_YENI1309[[#This Row],[ALT_KOD]])-(SUMIFS(H:H,D:D,DST_123_ÜRETİM_İHTİYAÇ_RAPORU_BURAK_YENI1309[[#This Row],[ALT_KOD]])+AVERAGEIFS(I:I,D:D,DST_123_ÜRETİM_İHTİYAÇ_RAPORU_BURAK_YENI1309[[#This Row],[ALT_KOD]])+AVERAGEIFS(L:L,D:D,DST_123_ÜRETİM_İHTİYAÇ_RAPORU_BURAK_YENI1309[[#This Row],[ALT_KOD]]))</f>
        <v>-14</v>
      </c>
      <c r="L3699">
        <v>20</v>
      </c>
      <c r="M3699">
        <f>IF((DST_123_ÜRETİM_İHTİYAÇ_RAPORU_BURAK_YENI1309[[#This Row],[SATINALMA]]*DST_123_ÜRETİM_İHTİYAÇ_RAPORU_BURAK_YENI1309[[#This Row],[BIRIM_FIYATLAR]])&lt;1,VALUE("0"),DST_123_ÜRETİM_İHTİYAÇ_RAPORU_BURAK_YENI1309[[#This Row],[SATINALMA]]*DST_123_ÜRETİM_İHTİYAÇ_RAPORU_BURAK_YENI1309[[#This Row],[BIRIM_FIYATLAR]])</f>
        <v>0</v>
      </c>
      <c r="N3699">
        <v>194</v>
      </c>
      <c r="O3699" t="s">
        <v>217</v>
      </c>
      <c r="P3699">
        <v>388</v>
      </c>
      <c r="Q3699" t="s">
        <v>177</v>
      </c>
    </row>
    <row r="3700" spans="1:17" x14ac:dyDescent="0.25">
      <c r="A3700" t="s">
        <v>1059</v>
      </c>
      <c r="B3700" t="s">
        <v>1058</v>
      </c>
      <c r="C3700" t="s">
        <v>175</v>
      </c>
      <c r="D3700" t="s">
        <v>1078</v>
      </c>
      <c r="E3700" t="s">
        <v>1079</v>
      </c>
      <c r="F3700">
        <v>1</v>
      </c>
      <c r="G3700" t="s">
        <v>176</v>
      </c>
      <c r="H3700">
        <v>1</v>
      </c>
      <c r="I3700">
        <v>3</v>
      </c>
      <c r="J3700" s="10">
        <v>8</v>
      </c>
      <c r="K3700" s="10">
        <f>SUMIFS(F:F,D:D,DST_123_ÜRETİM_İHTİYAÇ_RAPORU_BURAK_YENI1309[[#This Row],[ALT_KOD]])-(SUMIFS(H:H,D:D,DST_123_ÜRETİM_İHTİYAÇ_RAPORU_BURAK_YENI1309[[#This Row],[ALT_KOD]])+AVERAGEIFS(I:I,D:D,DST_123_ÜRETİM_İHTİYAÇ_RAPORU_BURAK_YENI1309[[#This Row],[ALT_KOD]])+AVERAGEIFS(L:L,D:D,DST_123_ÜRETİM_İHTİYAÇ_RAPORU_BURAK_YENI1309[[#This Row],[ALT_KOD]]))</f>
        <v>-2</v>
      </c>
      <c r="L3700">
        <v>10</v>
      </c>
      <c r="M3700">
        <f>IF((DST_123_ÜRETİM_İHTİYAÇ_RAPORU_BURAK_YENI1309[[#This Row],[SATINALMA]]*DST_123_ÜRETİM_İHTİYAÇ_RAPORU_BURAK_YENI1309[[#This Row],[BIRIM_FIYATLAR]])&lt;1,VALUE("0"),DST_123_ÜRETİM_İHTİYAÇ_RAPORU_BURAK_YENI1309[[#This Row],[SATINALMA]]*DST_123_ÜRETİM_İHTİYAÇ_RAPORU_BURAK_YENI1309[[#This Row],[BIRIM_FIYATLAR]])</f>
        <v>0</v>
      </c>
      <c r="N3700">
        <v>3097.63</v>
      </c>
      <c r="O3700" t="s">
        <v>592</v>
      </c>
      <c r="P3700">
        <v>3097.63</v>
      </c>
      <c r="Q3700" t="s">
        <v>178</v>
      </c>
    </row>
    <row r="3701" spans="1:17" x14ac:dyDescent="0.25">
      <c r="A3701" t="s">
        <v>1146</v>
      </c>
      <c r="B3701" t="s">
        <v>1145</v>
      </c>
      <c r="C3701" t="s">
        <v>175</v>
      </c>
      <c r="D3701" t="s">
        <v>548</v>
      </c>
      <c r="E3701" t="s">
        <v>549</v>
      </c>
      <c r="F3701">
        <v>28</v>
      </c>
      <c r="G3701" t="s">
        <v>176</v>
      </c>
      <c r="H3701">
        <v>0</v>
      </c>
      <c r="I3701">
        <v>800</v>
      </c>
      <c r="J3701" s="10">
        <v>0</v>
      </c>
      <c r="K3701" s="10">
        <f>SUMIFS(F:F,D:D,DST_123_ÜRETİM_İHTİYAÇ_RAPORU_BURAK_YENI1309[[#This Row],[ALT_KOD]])-(SUMIFS(H:H,D:D,DST_123_ÜRETİM_İHTİYAÇ_RAPORU_BURAK_YENI1309[[#This Row],[ALT_KOD]])+AVERAGEIFS(I:I,D:D,DST_123_ÜRETİM_İHTİYAÇ_RAPORU_BURAK_YENI1309[[#This Row],[ALT_KOD]])+AVERAGEIFS(L:L,D:D,DST_123_ÜRETİM_İHTİYAÇ_RAPORU_BURAK_YENI1309[[#This Row],[ALT_KOD]]))</f>
        <v>-414</v>
      </c>
      <c r="L3701">
        <v>0</v>
      </c>
      <c r="M3701">
        <f>IF((DST_123_ÜRETİM_İHTİYAÇ_RAPORU_BURAK_YENI1309[[#This Row],[SATINALMA]]*DST_123_ÜRETİM_İHTİYAÇ_RAPORU_BURAK_YENI1309[[#This Row],[BIRIM_FIYATLAR]])&lt;1,VALUE("0"),DST_123_ÜRETİM_İHTİYAÇ_RAPORU_BURAK_YENI1309[[#This Row],[SATINALMA]]*DST_123_ÜRETİM_İHTİYAÇ_RAPORU_BURAK_YENI1309[[#This Row],[BIRIM_FIYATLAR]])</f>
        <v>0</v>
      </c>
      <c r="N3701">
        <v>13.75</v>
      </c>
      <c r="O3701" t="s">
        <v>628</v>
      </c>
      <c r="P3701">
        <v>385</v>
      </c>
      <c r="Q3701" t="s">
        <v>180</v>
      </c>
    </row>
    <row r="3702" spans="1:17" x14ac:dyDescent="0.25">
      <c r="A3702" t="s">
        <v>1146</v>
      </c>
      <c r="B3702" t="s">
        <v>1145</v>
      </c>
      <c r="C3702" t="s">
        <v>175</v>
      </c>
      <c r="D3702" t="s">
        <v>552</v>
      </c>
      <c r="E3702" t="s">
        <v>553</v>
      </c>
      <c r="F3702">
        <v>1</v>
      </c>
      <c r="G3702" t="s">
        <v>176</v>
      </c>
      <c r="H3702">
        <v>0</v>
      </c>
      <c r="I3702">
        <v>14</v>
      </c>
      <c r="J3702" s="10">
        <v>9.9999999999999929</v>
      </c>
      <c r="K3702" s="10">
        <f>SUMIFS(F:F,D:D,DST_123_ÜRETİM_İHTİYAÇ_RAPORU_BURAK_YENI1309[[#This Row],[ALT_KOD]])-(SUMIFS(H:H,D:D,DST_123_ÜRETİM_İHTİYAÇ_RAPORU_BURAK_YENI1309[[#This Row],[ALT_KOD]])+AVERAGEIFS(I:I,D:D,DST_123_ÜRETİM_İHTİYAÇ_RAPORU_BURAK_YENI1309[[#This Row],[ALT_KOD]])+AVERAGEIFS(L:L,D:D,DST_123_ÜRETİM_İHTİYAÇ_RAPORU_BURAK_YENI1309[[#This Row],[ALT_KOD]]))</f>
        <v>2.5700000000000003</v>
      </c>
      <c r="L3702">
        <v>0</v>
      </c>
      <c r="M3702">
        <f>IF((DST_123_ÜRETİM_İHTİYAÇ_RAPORU_BURAK_YENI1309[[#This Row],[SATINALMA]]*DST_123_ÜRETİM_İHTİYAÇ_RAPORU_BURAK_YENI1309[[#This Row],[BIRIM_FIYATLAR]])&lt;1,VALUE("0"),DST_123_ÜRETİM_İHTİYAÇ_RAPORU_BURAK_YENI1309[[#This Row],[SATINALMA]]*DST_123_ÜRETİM_İHTİYAÇ_RAPORU_BURAK_YENI1309[[#This Row],[BIRIM_FIYATLAR]])</f>
        <v>552.55000000000007</v>
      </c>
      <c r="N3702">
        <v>215</v>
      </c>
      <c r="O3702" t="s">
        <v>240</v>
      </c>
      <c r="P3702">
        <v>215</v>
      </c>
      <c r="Q3702" t="s">
        <v>180</v>
      </c>
    </row>
    <row r="3703" spans="1:17" x14ac:dyDescent="0.25">
      <c r="A3703" t="s">
        <v>1149</v>
      </c>
      <c r="B3703" t="s">
        <v>1145</v>
      </c>
      <c r="C3703" t="s">
        <v>175</v>
      </c>
      <c r="D3703" t="s">
        <v>560</v>
      </c>
      <c r="E3703" t="s">
        <v>561</v>
      </c>
      <c r="F3703">
        <v>3.2</v>
      </c>
      <c r="G3703" t="s">
        <v>176</v>
      </c>
      <c r="H3703">
        <v>0</v>
      </c>
      <c r="I3703">
        <v>272</v>
      </c>
      <c r="J3703" s="10">
        <v>4.2999999999999652</v>
      </c>
      <c r="K3703" s="10">
        <f>SUMIFS(F:F,D:D,DST_123_ÜRETİM_İHTİYAÇ_RAPORU_BURAK_YENI1309[[#This Row],[ALT_KOD]])-(SUMIFS(H:H,D:D,DST_123_ÜRETİM_İHTİYAÇ_RAPORU_BURAK_YENI1309[[#This Row],[ALT_KOD]])+AVERAGEIFS(I:I,D:D,DST_123_ÜRETİM_İHTİYAÇ_RAPORU_BURAK_YENI1309[[#This Row],[ALT_KOD]])+AVERAGEIFS(L:L,D:D,DST_123_ÜRETİM_İHTİYAÇ_RAPORU_BURAK_YENI1309[[#This Row],[ALT_KOD]]))</f>
        <v>-233.2</v>
      </c>
      <c r="L3703">
        <v>0</v>
      </c>
      <c r="M3703">
        <f>IF((DST_123_ÜRETİM_İHTİYAÇ_RAPORU_BURAK_YENI1309[[#This Row],[SATINALMA]]*DST_123_ÜRETİM_İHTİYAÇ_RAPORU_BURAK_YENI1309[[#This Row],[BIRIM_FIYATLAR]])&lt;1,VALUE("0"),DST_123_ÜRETİM_İHTİYAÇ_RAPORU_BURAK_YENI1309[[#This Row],[SATINALMA]]*DST_123_ÜRETİM_İHTİYAÇ_RAPORU_BURAK_YENI1309[[#This Row],[BIRIM_FIYATLAR]])</f>
        <v>0</v>
      </c>
      <c r="N3703">
        <v>30</v>
      </c>
      <c r="O3703" t="s">
        <v>240</v>
      </c>
      <c r="P3703">
        <v>96</v>
      </c>
      <c r="Q3703" t="s">
        <v>180</v>
      </c>
    </row>
    <row r="3704" spans="1:17" x14ac:dyDescent="0.25">
      <c r="A3704" t="s">
        <v>1146</v>
      </c>
      <c r="B3704" t="s">
        <v>1145</v>
      </c>
      <c r="C3704" t="s">
        <v>175</v>
      </c>
      <c r="D3704" t="s">
        <v>560</v>
      </c>
      <c r="E3704" t="s">
        <v>561</v>
      </c>
      <c r="F3704">
        <v>2.7</v>
      </c>
      <c r="G3704" t="s">
        <v>176</v>
      </c>
      <c r="H3704">
        <v>0</v>
      </c>
      <c r="I3704">
        <v>272</v>
      </c>
      <c r="J3704" s="10">
        <v>4.2999999999999652</v>
      </c>
      <c r="K3704" s="10">
        <f>SUMIFS(F:F,D:D,DST_123_ÜRETİM_İHTİYAÇ_RAPORU_BURAK_YENI1309[[#This Row],[ALT_KOD]])-(SUMIFS(H:H,D:D,DST_123_ÜRETİM_İHTİYAÇ_RAPORU_BURAK_YENI1309[[#This Row],[ALT_KOD]])+AVERAGEIFS(I:I,D:D,DST_123_ÜRETİM_İHTİYAÇ_RAPORU_BURAK_YENI1309[[#This Row],[ALT_KOD]])+AVERAGEIFS(L:L,D:D,DST_123_ÜRETİM_İHTİYAÇ_RAPORU_BURAK_YENI1309[[#This Row],[ALT_KOD]]))</f>
        <v>-233.2</v>
      </c>
      <c r="L3704">
        <v>0</v>
      </c>
      <c r="M3704">
        <f>IF((DST_123_ÜRETİM_İHTİYAÇ_RAPORU_BURAK_YENI1309[[#This Row],[SATINALMA]]*DST_123_ÜRETİM_İHTİYAÇ_RAPORU_BURAK_YENI1309[[#This Row],[BIRIM_FIYATLAR]])&lt;1,VALUE("0"),DST_123_ÜRETİM_İHTİYAÇ_RAPORU_BURAK_YENI1309[[#This Row],[SATINALMA]]*DST_123_ÜRETİM_İHTİYAÇ_RAPORU_BURAK_YENI1309[[#This Row],[BIRIM_FIYATLAR]])</f>
        <v>0</v>
      </c>
      <c r="N3704">
        <v>30</v>
      </c>
      <c r="O3704" t="s">
        <v>240</v>
      </c>
      <c r="P3704">
        <v>81</v>
      </c>
      <c r="Q3704" t="s">
        <v>180</v>
      </c>
    </row>
    <row r="3705" spans="1:17" x14ac:dyDescent="0.25">
      <c r="A3705" t="s">
        <v>1149</v>
      </c>
      <c r="B3705" t="s">
        <v>1145</v>
      </c>
      <c r="C3705" t="s">
        <v>175</v>
      </c>
      <c r="D3705" t="s">
        <v>699</v>
      </c>
      <c r="E3705" t="s">
        <v>700</v>
      </c>
      <c r="F3705">
        <v>1</v>
      </c>
      <c r="G3705" t="s">
        <v>176</v>
      </c>
      <c r="H3705">
        <v>0</v>
      </c>
      <c r="I3705">
        <v>135</v>
      </c>
      <c r="J3705" s="10">
        <v>7</v>
      </c>
      <c r="K3705" s="10">
        <f>SUMIFS(F:F,D:D,DST_123_ÜRETİM_İHTİYAÇ_RAPORU_BURAK_YENI1309[[#This Row],[ALT_KOD]])-(SUMIFS(H:H,D:D,DST_123_ÜRETİM_İHTİYAÇ_RAPORU_BURAK_YENI1309[[#This Row],[ALT_KOD]])+AVERAGEIFS(I:I,D:D,DST_123_ÜRETİM_İHTİYAÇ_RAPORU_BURAK_YENI1309[[#This Row],[ALT_KOD]])+AVERAGEIFS(L:L,D:D,DST_123_ÜRETİM_İHTİYAÇ_RAPORU_BURAK_YENI1309[[#This Row],[ALT_KOD]]))</f>
        <v>-119</v>
      </c>
      <c r="L3705">
        <v>0</v>
      </c>
      <c r="M3705">
        <f>IF((DST_123_ÜRETİM_İHTİYAÇ_RAPORU_BURAK_YENI1309[[#This Row],[SATINALMA]]*DST_123_ÜRETİM_İHTİYAÇ_RAPORU_BURAK_YENI1309[[#This Row],[BIRIM_FIYATLAR]])&lt;1,VALUE("0"),DST_123_ÜRETİM_İHTİYAÇ_RAPORU_BURAK_YENI1309[[#This Row],[SATINALMA]]*DST_123_ÜRETİM_İHTİYAÇ_RAPORU_BURAK_YENI1309[[#This Row],[BIRIM_FIYATLAR]])</f>
        <v>0</v>
      </c>
      <c r="N3705">
        <v>39.6</v>
      </c>
      <c r="O3705" t="s">
        <v>220</v>
      </c>
      <c r="P3705">
        <v>39.6</v>
      </c>
      <c r="Q3705" t="s">
        <v>221</v>
      </c>
    </row>
    <row r="3706" spans="1:17" x14ac:dyDescent="0.25">
      <c r="A3706" t="s">
        <v>1060</v>
      </c>
      <c r="B3706" t="s">
        <v>1061</v>
      </c>
      <c r="C3706" t="s">
        <v>175</v>
      </c>
      <c r="D3706" t="s">
        <v>145</v>
      </c>
      <c r="E3706" t="s">
        <v>146</v>
      </c>
      <c r="F3706">
        <v>3</v>
      </c>
      <c r="G3706" t="s">
        <v>176</v>
      </c>
      <c r="H3706">
        <v>0</v>
      </c>
      <c r="I3706">
        <v>0</v>
      </c>
      <c r="J3706" s="10">
        <v>4.0000000000000497</v>
      </c>
      <c r="K3706" s="10">
        <f>SUMIFS(F:F,D:D,DST_123_ÜRETİM_İHTİYAÇ_RAPORU_BURAK_YENI1309[[#This Row],[ALT_KOD]])-(SUMIFS(H:H,D:D,DST_123_ÜRETİM_İHTİYAÇ_RAPORU_BURAK_YENI1309[[#This Row],[ALT_KOD]])+AVERAGEIFS(I:I,D:D,DST_123_ÜRETİM_İHTİYAÇ_RAPORU_BURAK_YENI1309[[#This Row],[ALT_KOD]])+AVERAGEIFS(L:L,D:D,DST_123_ÜRETİM_İHTİYAÇ_RAPORU_BURAK_YENI1309[[#This Row],[ALT_KOD]]))</f>
        <v>28.999999999999993</v>
      </c>
      <c r="L3706">
        <v>22</v>
      </c>
      <c r="M3706">
        <f>IF((DST_123_ÜRETİM_İHTİYAÇ_RAPORU_BURAK_YENI1309[[#This Row],[SATINALMA]]*DST_123_ÜRETİM_İHTİYAÇ_RAPORU_BURAK_YENI1309[[#This Row],[BIRIM_FIYATLAR]])&lt;1,VALUE("0"),DST_123_ÜRETİM_İHTİYAÇ_RAPORU_BURAK_YENI1309[[#This Row],[SATINALMA]]*DST_123_ÜRETİM_İHTİYAÇ_RAPORU_BURAK_YENI1309[[#This Row],[BIRIM_FIYATLAR]])</f>
        <v>30208.429999999993</v>
      </c>
      <c r="N3706">
        <v>1041.67</v>
      </c>
      <c r="O3706" t="s">
        <v>223</v>
      </c>
      <c r="P3706">
        <v>3125.01</v>
      </c>
      <c r="Q3706" t="s">
        <v>181</v>
      </c>
    </row>
    <row r="3707" spans="1:17" x14ac:dyDescent="0.25">
      <c r="A3707" t="s">
        <v>1101</v>
      </c>
      <c r="B3707" t="s">
        <v>1102</v>
      </c>
      <c r="C3707" t="s">
        <v>175</v>
      </c>
      <c r="D3707" t="s">
        <v>836</v>
      </c>
      <c r="E3707" t="s">
        <v>837</v>
      </c>
      <c r="F3707">
        <v>20</v>
      </c>
      <c r="G3707" t="s">
        <v>179</v>
      </c>
      <c r="H3707">
        <v>0</v>
      </c>
      <c r="I3707">
        <v>0</v>
      </c>
      <c r="J3707" s="10">
        <v>0</v>
      </c>
      <c r="K3707" s="10">
        <f>SUMIFS(F:F,D:D,DST_123_ÜRETİM_İHTİYAÇ_RAPORU_BURAK_YENI1309[[#This Row],[ALT_KOD]])-(SUMIFS(H:H,D:D,DST_123_ÜRETİM_İHTİYAÇ_RAPORU_BURAK_YENI1309[[#This Row],[ALT_KOD]])+AVERAGEIFS(I:I,D:D,DST_123_ÜRETİM_İHTİYAÇ_RAPORU_BURAK_YENI1309[[#This Row],[ALT_KOD]])+AVERAGEIFS(L:L,D:D,DST_123_ÜRETİM_İHTİYAÇ_RAPORU_BURAK_YENI1309[[#This Row],[ALT_KOD]]))</f>
        <v>1760</v>
      </c>
      <c r="L3707">
        <v>0</v>
      </c>
      <c r="M3707">
        <f>IF((DST_123_ÜRETİM_İHTİYAÇ_RAPORU_BURAK_YENI1309[[#This Row],[SATINALMA]]*DST_123_ÜRETİM_İHTİYAÇ_RAPORU_BURAK_YENI1309[[#This Row],[BIRIM_FIYATLAR]])&lt;1,VALUE("0"),DST_123_ÜRETİM_İHTİYAÇ_RAPORU_BURAK_YENI1309[[#This Row],[SATINALMA]]*DST_123_ÜRETİM_İHTİYAÇ_RAPORU_BURAK_YENI1309[[#This Row],[BIRIM_FIYATLAR]])</f>
        <v>0</v>
      </c>
      <c r="N3707">
        <v>0</v>
      </c>
      <c r="P3707">
        <v>0</v>
      </c>
      <c r="Q3707" t="s">
        <v>184</v>
      </c>
    </row>
    <row r="3708" spans="1:17" x14ac:dyDescent="0.25">
      <c r="A3708" t="s">
        <v>1059</v>
      </c>
      <c r="B3708" t="s">
        <v>1058</v>
      </c>
      <c r="C3708" t="s">
        <v>175</v>
      </c>
      <c r="D3708" t="s">
        <v>386</v>
      </c>
      <c r="E3708" t="s">
        <v>613</v>
      </c>
      <c r="F3708">
        <v>1</v>
      </c>
      <c r="G3708" t="s">
        <v>182</v>
      </c>
      <c r="H3708">
        <v>0</v>
      </c>
      <c r="I3708">
        <v>0</v>
      </c>
      <c r="J3708" s="10">
        <v>67.08499999999998</v>
      </c>
      <c r="K3708" s="10">
        <f>SUMIFS(F:F,D:D,DST_123_ÜRETİM_İHTİYAÇ_RAPORU_BURAK_YENI1309[[#This Row],[ALT_KOD]])-(SUMIFS(H:H,D:D,DST_123_ÜRETİM_İHTİYAÇ_RAPORU_BURAK_YENI1309[[#This Row],[ALT_KOD]])+AVERAGEIFS(I:I,D:D,DST_123_ÜRETİM_İHTİYAÇ_RAPORU_BURAK_YENI1309[[#This Row],[ALT_KOD]])+AVERAGEIFS(L:L,D:D,DST_123_ÜRETİM_İHTİYAÇ_RAPORU_BURAK_YENI1309[[#This Row],[ALT_KOD]]))</f>
        <v>15</v>
      </c>
      <c r="L3708">
        <v>0</v>
      </c>
      <c r="M3708">
        <f>IF((DST_123_ÜRETİM_İHTİYAÇ_RAPORU_BURAK_YENI1309[[#This Row],[SATINALMA]]*DST_123_ÜRETİM_İHTİYAÇ_RAPORU_BURAK_YENI1309[[#This Row],[BIRIM_FIYATLAR]])&lt;1,VALUE("0"),DST_123_ÜRETİM_İHTİYAÇ_RAPORU_BURAK_YENI1309[[#This Row],[SATINALMA]]*DST_123_ÜRETİM_İHTİYAÇ_RAPORU_BURAK_YENI1309[[#This Row],[BIRIM_FIYATLAR]])</f>
        <v>9778.0499999999993</v>
      </c>
      <c r="N3708">
        <v>651.87</v>
      </c>
      <c r="O3708" t="s">
        <v>223</v>
      </c>
      <c r="P3708">
        <v>651.87</v>
      </c>
      <c r="Q3708" t="s">
        <v>181</v>
      </c>
    </row>
    <row r="3709" spans="1:17" x14ac:dyDescent="0.25">
      <c r="A3709" t="s">
        <v>1143</v>
      </c>
      <c r="B3709" t="s">
        <v>1056</v>
      </c>
      <c r="C3709" t="s">
        <v>175</v>
      </c>
      <c r="D3709" t="s">
        <v>386</v>
      </c>
      <c r="E3709" t="s">
        <v>613</v>
      </c>
      <c r="F3709">
        <v>1</v>
      </c>
      <c r="G3709" t="s">
        <v>182</v>
      </c>
      <c r="H3709">
        <v>0</v>
      </c>
      <c r="I3709">
        <v>0</v>
      </c>
      <c r="J3709" s="10">
        <v>67.08499999999998</v>
      </c>
      <c r="K3709" s="10">
        <f>SUMIFS(F:F,D:D,DST_123_ÜRETİM_İHTİYAÇ_RAPORU_BURAK_YENI1309[[#This Row],[ALT_KOD]])-(SUMIFS(H:H,D:D,DST_123_ÜRETİM_İHTİYAÇ_RAPORU_BURAK_YENI1309[[#This Row],[ALT_KOD]])+AVERAGEIFS(I:I,D:D,DST_123_ÜRETİM_İHTİYAÇ_RAPORU_BURAK_YENI1309[[#This Row],[ALT_KOD]])+AVERAGEIFS(L:L,D:D,DST_123_ÜRETİM_İHTİYAÇ_RAPORU_BURAK_YENI1309[[#This Row],[ALT_KOD]]))</f>
        <v>15</v>
      </c>
      <c r="L3709">
        <v>0</v>
      </c>
      <c r="M3709">
        <f>IF((DST_123_ÜRETİM_İHTİYAÇ_RAPORU_BURAK_YENI1309[[#This Row],[SATINALMA]]*DST_123_ÜRETİM_İHTİYAÇ_RAPORU_BURAK_YENI1309[[#This Row],[BIRIM_FIYATLAR]])&lt;1,VALUE("0"),DST_123_ÜRETİM_İHTİYAÇ_RAPORU_BURAK_YENI1309[[#This Row],[SATINALMA]]*DST_123_ÜRETİM_İHTİYAÇ_RAPORU_BURAK_YENI1309[[#This Row],[BIRIM_FIYATLAR]])</f>
        <v>9778.0499999999993</v>
      </c>
      <c r="N3709">
        <v>651.87</v>
      </c>
      <c r="O3709" t="s">
        <v>223</v>
      </c>
      <c r="P3709">
        <v>651.87</v>
      </c>
      <c r="Q3709" t="s">
        <v>181</v>
      </c>
    </row>
    <row r="3710" spans="1:17" x14ac:dyDescent="0.25">
      <c r="A3710" t="s">
        <v>1146</v>
      </c>
      <c r="B3710" t="s">
        <v>1145</v>
      </c>
      <c r="C3710" t="s">
        <v>175</v>
      </c>
      <c r="D3710" t="s">
        <v>108</v>
      </c>
      <c r="E3710" t="s">
        <v>109</v>
      </c>
      <c r="F3710">
        <v>1</v>
      </c>
      <c r="G3710" t="s">
        <v>176</v>
      </c>
      <c r="H3710">
        <v>0</v>
      </c>
      <c r="I3710">
        <v>0</v>
      </c>
      <c r="J3710" s="10">
        <v>5.5699999999999994</v>
      </c>
      <c r="K3710" s="10">
        <f>SUMIFS(F:F,D:D,DST_123_ÜRETİM_İHTİYAÇ_RAPORU_BURAK_YENI1309[[#This Row],[ALT_KOD]])-(SUMIFS(H:H,D:D,DST_123_ÜRETİM_İHTİYAÇ_RAPORU_BURAK_YENI1309[[#This Row],[ALT_KOD]])+AVERAGEIFS(I:I,D:D,DST_123_ÜRETİM_İHTİYAÇ_RAPORU_BURAK_YENI1309[[#This Row],[ALT_KOD]])+AVERAGEIFS(L:L,D:D,DST_123_ÜRETİM_İHTİYAÇ_RAPORU_BURAK_YENI1309[[#This Row],[ALT_KOD]]))</f>
        <v>-2</v>
      </c>
      <c r="L3710">
        <v>7</v>
      </c>
      <c r="M3710">
        <f>IF((DST_123_ÜRETİM_İHTİYAÇ_RAPORU_BURAK_YENI1309[[#This Row],[SATINALMA]]*DST_123_ÜRETİM_İHTİYAÇ_RAPORU_BURAK_YENI1309[[#This Row],[BIRIM_FIYATLAR]])&lt;1,VALUE("0"),DST_123_ÜRETİM_İHTİYAÇ_RAPORU_BURAK_YENI1309[[#This Row],[SATINALMA]]*DST_123_ÜRETİM_İHTİYAÇ_RAPORU_BURAK_YENI1309[[#This Row],[BIRIM_FIYATLAR]])</f>
        <v>0</v>
      </c>
      <c r="N3710">
        <v>1416.67</v>
      </c>
      <c r="O3710" t="s">
        <v>223</v>
      </c>
      <c r="P3710">
        <v>1416.67</v>
      </c>
      <c r="Q3710" t="s">
        <v>181</v>
      </c>
    </row>
    <row r="3711" spans="1:17" x14ac:dyDescent="0.25">
      <c r="A3711" t="s">
        <v>1146</v>
      </c>
      <c r="B3711" t="s">
        <v>1145</v>
      </c>
      <c r="C3711" t="s">
        <v>175</v>
      </c>
      <c r="D3711" t="s">
        <v>139</v>
      </c>
      <c r="E3711" t="s">
        <v>140</v>
      </c>
      <c r="F3711">
        <v>0.5</v>
      </c>
      <c r="G3711" t="s">
        <v>176</v>
      </c>
      <c r="H3711">
        <v>0</v>
      </c>
      <c r="I3711">
        <v>0</v>
      </c>
      <c r="J3711" s="10">
        <v>6.1000000000000023</v>
      </c>
      <c r="K3711" s="10">
        <f>SUMIFS(F:F,D:D,DST_123_ÜRETİM_İHTİYAÇ_RAPORU_BURAK_YENI1309[[#This Row],[ALT_KOD]])-(SUMIFS(H:H,D:D,DST_123_ÜRETİM_İHTİYAÇ_RAPORU_BURAK_YENI1309[[#This Row],[ALT_KOD]])+AVERAGEIFS(I:I,D:D,DST_123_ÜRETİM_İHTİYAÇ_RAPORU_BURAK_YENI1309[[#This Row],[ALT_KOD]])+AVERAGEIFS(L:L,D:D,DST_123_ÜRETİM_İHTİYAÇ_RAPORU_BURAK_YENI1309[[#This Row],[ALT_KOD]]))</f>
        <v>8.8000000000000007</v>
      </c>
      <c r="L3711">
        <v>5</v>
      </c>
      <c r="M3711">
        <f>IF((DST_123_ÜRETİM_İHTİYAÇ_RAPORU_BURAK_YENI1309[[#This Row],[SATINALMA]]*DST_123_ÜRETİM_İHTİYAÇ_RAPORU_BURAK_YENI1309[[#This Row],[BIRIM_FIYATLAR]])&lt;1,VALUE("0"),DST_123_ÜRETİM_İHTİYAÇ_RAPORU_BURAK_YENI1309[[#This Row],[SATINALMA]]*DST_123_ÜRETİM_İHTİYAÇ_RAPORU_BURAK_YENI1309[[#This Row],[BIRIM_FIYATLAR]])</f>
        <v>6056.1600000000008</v>
      </c>
      <c r="N3711">
        <v>688.2</v>
      </c>
      <c r="O3711" t="s">
        <v>672</v>
      </c>
      <c r="P3711">
        <v>344.1</v>
      </c>
      <c r="Q3711" t="s">
        <v>184</v>
      </c>
    </row>
    <row r="3712" spans="1:17" x14ac:dyDescent="0.25">
      <c r="A3712" t="s">
        <v>1144</v>
      </c>
      <c r="B3712" t="s">
        <v>1145</v>
      </c>
      <c r="C3712" t="s">
        <v>175</v>
      </c>
      <c r="D3712" t="s">
        <v>139</v>
      </c>
      <c r="E3712" t="s">
        <v>140</v>
      </c>
      <c r="F3712">
        <v>1.5</v>
      </c>
      <c r="G3712" t="s">
        <v>176</v>
      </c>
      <c r="H3712">
        <v>0</v>
      </c>
      <c r="I3712">
        <v>0</v>
      </c>
      <c r="J3712" s="10">
        <v>6.1000000000000023</v>
      </c>
      <c r="K3712" s="10">
        <f>SUMIFS(F:F,D:D,DST_123_ÜRETİM_İHTİYAÇ_RAPORU_BURAK_YENI1309[[#This Row],[ALT_KOD]])-(SUMIFS(H:H,D:D,DST_123_ÜRETİM_İHTİYAÇ_RAPORU_BURAK_YENI1309[[#This Row],[ALT_KOD]])+AVERAGEIFS(I:I,D:D,DST_123_ÜRETİM_İHTİYAÇ_RAPORU_BURAK_YENI1309[[#This Row],[ALT_KOD]])+AVERAGEIFS(L:L,D:D,DST_123_ÜRETİM_İHTİYAÇ_RAPORU_BURAK_YENI1309[[#This Row],[ALT_KOD]]))</f>
        <v>8.8000000000000007</v>
      </c>
      <c r="L3712">
        <v>5</v>
      </c>
      <c r="M3712">
        <f>IF((DST_123_ÜRETİM_İHTİYAÇ_RAPORU_BURAK_YENI1309[[#This Row],[SATINALMA]]*DST_123_ÜRETİM_İHTİYAÇ_RAPORU_BURAK_YENI1309[[#This Row],[BIRIM_FIYATLAR]])&lt;1,VALUE("0"),DST_123_ÜRETİM_İHTİYAÇ_RAPORU_BURAK_YENI1309[[#This Row],[SATINALMA]]*DST_123_ÜRETİM_İHTİYAÇ_RAPORU_BURAK_YENI1309[[#This Row],[BIRIM_FIYATLAR]])</f>
        <v>6056.1600000000008</v>
      </c>
      <c r="N3712">
        <v>688.2</v>
      </c>
      <c r="O3712" t="s">
        <v>672</v>
      </c>
      <c r="P3712">
        <v>1032.3000000000002</v>
      </c>
      <c r="Q3712" t="s">
        <v>184</v>
      </c>
    </row>
    <row r="3713" spans="1:17" x14ac:dyDescent="0.25">
      <c r="A3713" t="s">
        <v>1150</v>
      </c>
      <c r="B3713" t="s">
        <v>1145</v>
      </c>
      <c r="C3713" t="s">
        <v>175</v>
      </c>
      <c r="D3713" t="s">
        <v>145</v>
      </c>
      <c r="E3713" t="s">
        <v>146</v>
      </c>
      <c r="F3713">
        <v>3</v>
      </c>
      <c r="G3713" t="s">
        <v>176</v>
      </c>
      <c r="H3713">
        <v>0</v>
      </c>
      <c r="I3713">
        <v>0</v>
      </c>
      <c r="J3713" s="10">
        <v>4.0000000000000497</v>
      </c>
      <c r="K3713" s="10">
        <f>SUMIFS(F:F,D:D,DST_123_ÜRETİM_İHTİYAÇ_RAPORU_BURAK_YENI1309[[#This Row],[ALT_KOD]])-(SUMIFS(H:H,D:D,DST_123_ÜRETİM_İHTİYAÇ_RAPORU_BURAK_YENI1309[[#This Row],[ALT_KOD]])+AVERAGEIFS(I:I,D:D,DST_123_ÜRETİM_İHTİYAÇ_RAPORU_BURAK_YENI1309[[#This Row],[ALT_KOD]])+AVERAGEIFS(L:L,D:D,DST_123_ÜRETİM_İHTİYAÇ_RAPORU_BURAK_YENI1309[[#This Row],[ALT_KOD]]))</f>
        <v>28.999999999999993</v>
      </c>
      <c r="L3713">
        <v>22</v>
      </c>
      <c r="M3713">
        <f>IF((DST_123_ÜRETİM_İHTİYAÇ_RAPORU_BURAK_YENI1309[[#This Row],[SATINALMA]]*DST_123_ÜRETİM_İHTİYAÇ_RAPORU_BURAK_YENI1309[[#This Row],[BIRIM_FIYATLAR]])&lt;1,VALUE("0"),DST_123_ÜRETİM_İHTİYAÇ_RAPORU_BURAK_YENI1309[[#This Row],[SATINALMA]]*DST_123_ÜRETİM_İHTİYAÇ_RAPORU_BURAK_YENI1309[[#This Row],[BIRIM_FIYATLAR]])</f>
        <v>30208.429999999993</v>
      </c>
      <c r="N3713">
        <v>1041.67</v>
      </c>
      <c r="O3713" t="s">
        <v>223</v>
      </c>
      <c r="P3713">
        <v>3125.01</v>
      </c>
      <c r="Q3713" t="s">
        <v>181</v>
      </c>
    </row>
    <row r="3714" spans="1:17" x14ac:dyDescent="0.25">
      <c r="A3714" t="s">
        <v>1142</v>
      </c>
      <c r="B3714" t="s">
        <v>1056</v>
      </c>
      <c r="C3714" t="s">
        <v>175</v>
      </c>
      <c r="D3714" t="s">
        <v>1082</v>
      </c>
      <c r="E3714" t="s">
        <v>1083</v>
      </c>
      <c r="F3714">
        <v>2</v>
      </c>
      <c r="G3714" t="s">
        <v>176</v>
      </c>
      <c r="H3714">
        <v>0</v>
      </c>
      <c r="I3714">
        <v>14</v>
      </c>
      <c r="J3714" s="10">
        <v>19</v>
      </c>
      <c r="K3714" s="10">
        <f>SUMIFS(F:F,D:D,DST_123_ÜRETİM_İHTİYAÇ_RAPORU_BURAK_YENI1309[[#This Row],[ALT_KOD]])-(SUMIFS(H:H,D:D,DST_123_ÜRETİM_İHTİYAÇ_RAPORU_BURAK_YENI1309[[#This Row],[ALT_KOD]])+AVERAGEIFS(I:I,D:D,DST_123_ÜRETİM_İHTİYAÇ_RAPORU_BURAK_YENI1309[[#This Row],[ALT_KOD]])+AVERAGEIFS(L:L,D:D,DST_123_ÜRETİM_İHTİYAÇ_RAPORU_BURAK_YENI1309[[#This Row],[ALT_KOD]]))</f>
        <v>-23</v>
      </c>
      <c r="L3714">
        <v>30</v>
      </c>
      <c r="M3714">
        <f>IF((DST_123_ÜRETİM_İHTİYAÇ_RAPORU_BURAK_YENI1309[[#This Row],[SATINALMA]]*DST_123_ÜRETİM_İHTİYAÇ_RAPORU_BURAK_YENI1309[[#This Row],[BIRIM_FIYATLAR]])&lt;1,VALUE("0"),DST_123_ÜRETİM_İHTİYAÇ_RAPORU_BURAK_YENI1309[[#This Row],[SATINALMA]]*DST_123_ÜRETİM_İHTİYAÇ_RAPORU_BURAK_YENI1309[[#This Row],[BIRIM_FIYATLAR]])</f>
        <v>0</v>
      </c>
      <c r="N3714">
        <v>67.22</v>
      </c>
      <c r="O3714" t="s">
        <v>592</v>
      </c>
      <c r="P3714">
        <v>134.44</v>
      </c>
      <c r="Q3714" t="s">
        <v>178</v>
      </c>
    </row>
    <row r="3715" spans="1:17" x14ac:dyDescent="0.25">
      <c r="A3715" t="s">
        <v>1142</v>
      </c>
      <c r="B3715" t="s">
        <v>1056</v>
      </c>
      <c r="C3715" t="s">
        <v>175</v>
      </c>
      <c r="D3715" t="s">
        <v>836</v>
      </c>
      <c r="E3715" t="s">
        <v>837</v>
      </c>
      <c r="F3715">
        <v>120</v>
      </c>
      <c r="G3715" t="s">
        <v>179</v>
      </c>
      <c r="H3715">
        <v>0</v>
      </c>
      <c r="I3715">
        <v>0</v>
      </c>
      <c r="J3715" s="10">
        <v>0</v>
      </c>
      <c r="K3715" s="10">
        <f>SUMIFS(F:F,D:D,DST_123_ÜRETİM_İHTİYAÇ_RAPORU_BURAK_YENI1309[[#This Row],[ALT_KOD]])-(SUMIFS(H:H,D:D,DST_123_ÜRETİM_İHTİYAÇ_RAPORU_BURAK_YENI1309[[#This Row],[ALT_KOD]])+AVERAGEIFS(I:I,D:D,DST_123_ÜRETİM_İHTİYAÇ_RAPORU_BURAK_YENI1309[[#This Row],[ALT_KOD]])+AVERAGEIFS(L:L,D:D,DST_123_ÜRETİM_İHTİYAÇ_RAPORU_BURAK_YENI1309[[#This Row],[ALT_KOD]]))</f>
        <v>1760</v>
      </c>
      <c r="L3715">
        <v>0</v>
      </c>
      <c r="M3715">
        <f>IF((DST_123_ÜRETİM_İHTİYAÇ_RAPORU_BURAK_YENI1309[[#This Row],[SATINALMA]]*DST_123_ÜRETİM_İHTİYAÇ_RAPORU_BURAK_YENI1309[[#This Row],[BIRIM_FIYATLAR]])&lt;1,VALUE("0"),DST_123_ÜRETİM_İHTİYAÇ_RAPORU_BURAK_YENI1309[[#This Row],[SATINALMA]]*DST_123_ÜRETİM_İHTİYAÇ_RAPORU_BURAK_YENI1309[[#This Row],[BIRIM_FIYATLAR]])</f>
        <v>0</v>
      </c>
      <c r="N3715">
        <v>0</v>
      </c>
      <c r="P3715">
        <v>0</v>
      </c>
      <c r="Q3715" t="s">
        <v>184</v>
      </c>
    </row>
    <row r="3716" spans="1:17" x14ac:dyDescent="0.25">
      <c r="A3716" t="s">
        <v>1142</v>
      </c>
      <c r="B3716" t="s">
        <v>1056</v>
      </c>
      <c r="C3716" t="s">
        <v>175</v>
      </c>
      <c r="D3716" t="s">
        <v>319</v>
      </c>
      <c r="E3716" t="s">
        <v>320</v>
      </c>
      <c r="F3716">
        <v>0.13</v>
      </c>
      <c r="G3716" t="s">
        <v>186</v>
      </c>
      <c r="H3716">
        <v>0</v>
      </c>
      <c r="I3716">
        <v>0</v>
      </c>
      <c r="J3716" s="10">
        <v>4.5430000000000446</v>
      </c>
      <c r="K3716" s="10">
        <f>SUMIFS(F:F,D:D,DST_123_ÜRETİM_İHTİYAÇ_RAPORU_BURAK_YENI1309[[#This Row],[ALT_KOD]])-(SUMIFS(H:H,D:D,DST_123_ÜRETİM_İHTİYAÇ_RAPORU_BURAK_YENI1309[[#This Row],[ALT_KOD]])+AVERAGEIFS(I:I,D:D,DST_123_ÜRETİM_İHTİYAÇ_RAPORU_BURAK_YENI1309[[#This Row],[ALT_KOD]])+AVERAGEIFS(L:L,D:D,DST_123_ÜRETİM_İHTİYAÇ_RAPORU_BURAK_YENI1309[[#This Row],[ALT_KOD]]))</f>
        <v>1.4260000000000002</v>
      </c>
      <c r="L3716">
        <v>0</v>
      </c>
      <c r="M3716">
        <f>IF((DST_123_ÜRETİM_İHTİYAÇ_RAPORU_BURAK_YENI1309[[#This Row],[SATINALMA]]*DST_123_ÜRETİM_İHTİYAÇ_RAPORU_BURAK_YENI1309[[#This Row],[BIRIM_FIYATLAR]])&lt;1,VALUE("0"),DST_123_ÜRETİM_İHTİYAÇ_RAPORU_BURAK_YENI1309[[#This Row],[SATINALMA]]*DST_123_ÜRETİM_İHTİYAÇ_RAPORU_BURAK_YENI1309[[#This Row],[BIRIM_FIYATLAR]])</f>
        <v>27807.000000000004</v>
      </c>
      <c r="N3716">
        <v>19500</v>
      </c>
      <c r="O3716" t="s">
        <v>762</v>
      </c>
      <c r="P3716">
        <v>2535</v>
      </c>
      <c r="Q3716" t="s">
        <v>181</v>
      </c>
    </row>
    <row r="3717" spans="1:17" x14ac:dyDescent="0.25">
      <c r="A3717" t="s">
        <v>1142</v>
      </c>
      <c r="B3717" t="s">
        <v>1056</v>
      </c>
      <c r="C3717" t="s">
        <v>175</v>
      </c>
      <c r="D3717" t="s">
        <v>477</v>
      </c>
      <c r="E3717" t="s">
        <v>564</v>
      </c>
      <c r="F3717">
        <v>0.5</v>
      </c>
      <c r="G3717" t="s">
        <v>176</v>
      </c>
      <c r="H3717">
        <v>0</v>
      </c>
      <c r="I3717">
        <v>100</v>
      </c>
      <c r="J3717" s="10">
        <v>0</v>
      </c>
      <c r="K3717" s="10">
        <f>SUMIFS(F:F,D:D,DST_123_ÜRETİM_İHTİYAÇ_RAPORU_BURAK_YENI1309[[#This Row],[ALT_KOD]])-(SUMIFS(H:H,D:D,DST_123_ÜRETİM_İHTİYAÇ_RAPORU_BURAK_YENI1309[[#This Row],[ALT_KOD]])+AVERAGEIFS(I:I,D:D,DST_123_ÜRETİM_İHTİYAÇ_RAPORU_BURAK_YENI1309[[#This Row],[ALT_KOD]])+AVERAGEIFS(L:L,D:D,DST_123_ÜRETİM_İHTİYAÇ_RAPORU_BURAK_YENI1309[[#This Row],[ALT_KOD]]))</f>
        <v>-90.5</v>
      </c>
      <c r="L3717">
        <v>0</v>
      </c>
      <c r="M3717">
        <f>IF((DST_123_ÜRETİM_İHTİYAÇ_RAPORU_BURAK_YENI1309[[#This Row],[SATINALMA]]*DST_123_ÜRETİM_İHTİYAÇ_RAPORU_BURAK_YENI1309[[#This Row],[BIRIM_FIYATLAR]])&lt;1,VALUE("0"),DST_123_ÜRETİM_İHTİYAÇ_RAPORU_BURAK_YENI1309[[#This Row],[SATINALMA]]*DST_123_ÜRETİM_İHTİYAÇ_RAPORU_BURAK_YENI1309[[#This Row],[BIRIM_FIYATLAR]])</f>
        <v>0</v>
      </c>
      <c r="N3717">
        <v>13.5</v>
      </c>
      <c r="O3717" t="s">
        <v>240</v>
      </c>
      <c r="P3717">
        <v>6.75</v>
      </c>
      <c r="Q3717" t="s">
        <v>180</v>
      </c>
    </row>
    <row r="3718" spans="1:17" x14ac:dyDescent="0.25">
      <c r="A3718" t="s">
        <v>1097</v>
      </c>
      <c r="B3718" t="s">
        <v>1055</v>
      </c>
      <c r="C3718" t="s">
        <v>175</v>
      </c>
      <c r="D3718" t="s">
        <v>477</v>
      </c>
      <c r="E3718" t="s">
        <v>564</v>
      </c>
      <c r="F3718">
        <v>0.5</v>
      </c>
      <c r="G3718" t="s">
        <v>176</v>
      </c>
      <c r="H3718">
        <v>0</v>
      </c>
      <c r="I3718">
        <v>100</v>
      </c>
      <c r="J3718" s="10">
        <v>0</v>
      </c>
      <c r="K3718" s="10">
        <f>SUMIFS(F:F,D:D,DST_123_ÜRETİM_İHTİYAÇ_RAPORU_BURAK_YENI1309[[#This Row],[ALT_KOD]])-(SUMIFS(H:H,D:D,DST_123_ÜRETİM_İHTİYAÇ_RAPORU_BURAK_YENI1309[[#This Row],[ALT_KOD]])+AVERAGEIFS(I:I,D:D,DST_123_ÜRETİM_İHTİYAÇ_RAPORU_BURAK_YENI1309[[#This Row],[ALT_KOD]])+AVERAGEIFS(L:L,D:D,DST_123_ÜRETİM_İHTİYAÇ_RAPORU_BURAK_YENI1309[[#This Row],[ALT_KOD]]))</f>
        <v>-90.5</v>
      </c>
      <c r="L3718">
        <v>0</v>
      </c>
      <c r="M3718">
        <f>IF((DST_123_ÜRETİM_İHTİYAÇ_RAPORU_BURAK_YENI1309[[#This Row],[SATINALMA]]*DST_123_ÜRETİM_İHTİYAÇ_RAPORU_BURAK_YENI1309[[#This Row],[BIRIM_FIYATLAR]])&lt;1,VALUE("0"),DST_123_ÜRETİM_İHTİYAÇ_RAPORU_BURAK_YENI1309[[#This Row],[SATINALMA]]*DST_123_ÜRETİM_İHTİYAÇ_RAPORU_BURAK_YENI1309[[#This Row],[BIRIM_FIYATLAR]])</f>
        <v>0</v>
      </c>
      <c r="N3718">
        <v>13.5</v>
      </c>
      <c r="O3718" t="s">
        <v>240</v>
      </c>
      <c r="P3718">
        <v>6.75</v>
      </c>
      <c r="Q3718" t="s">
        <v>180</v>
      </c>
    </row>
    <row r="3719" spans="1:17" x14ac:dyDescent="0.25">
      <c r="A3719" t="s">
        <v>1144</v>
      </c>
      <c r="B3719" t="s">
        <v>1145</v>
      </c>
      <c r="C3719" t="s">
        <v>175</v>
      </c>
      <c r="D3719" t="s">
        <v>120</v>
      </c>
      <c r="E3719" t="s">
        <v>311</v>
      </c>
      <c r="F3719">
        <v>1.5</v>
      </c>
      <c r="G3719" t="s">
        <v>176</v>
      </c>
      <c r="H3719">
        <v>0</v>
      </c>
      <c r="I3719">
        <v>24</v>
      </c>
      <c r="J3719" s="10">
        <v>18.499999999999982</v>
      </c>
      <c r="K3719" s="10">
        <f>SUMIFS(F:F,D:D,DST_123_ÜRETİM_İHTİYAÇ_RAPORU_BURAK_YENI1309[[#This Row],[ALT_KOD]])-(SUMIFS(H:H,D:D,DST_123_ÜRETİM_İHTİYAÇ_RAPORU_BURAK_YENI1309[[#This Row],[ALT_KOD]])+AVERAGEIFS(I:I,D:D,DST_123_ÜRETİM_İHTİYAÇ_RAPORU_BURAK_YENI1309[[#This Row],[ALT_KOD]])+AVERAGEIFS(L:L,D:D,DST_123_ÜRETİM_İHTİYAÇ_RAPORU_BURAK_YENI1309[[#This Row],[ALT_KOD]]))</f>
        <v>3.899999999999995</v>
      </c>
      <c r="L3719">
        <v>0</v>
      </c>
      <c r="M3719">
        <f>IF((DST_123_ÜRETİM_İHTİYAÇ_RAPORU_BURAK_YENI1309[[#This Row],[SATINALMA]]*DST_123_ÜRETİM_İHTİYAÇ_RAPORU_BURAK_YENI1309[[#This Row],[BIRIM_FIYATLAR]])&lt;1,VALUE("0"),DST_123_ÜRETİM_İHTİYAÇ_RAPORU_BURAK_YENI1309[[#This Row],[SATINALMA]]*DST_123_ÜRETİM_İHTİYAÇ_RAPORU_BURAK_YENI1309[[#This Row],[BIRIM_FIYATLAR]])</f>
        <v>467.99999999999943</v>
      </c>
      <c r="N3719">
        <v>120</v>
      </c>
      <c r="O3719" t="s">
        <v>240</v>
      </c>
      <c r="P3719">
        <v>180</v>
      </c>
      <c r="Q3719" t="s">
        <v>183</v>
      </c>
    </row>
    <row r="3720" spans="1:17" x14ac:dyDescent="0.25">
      <c r="A3720" t="s">
        <v>1146</v>
      </c>
      <c r="B3720" t="s">
        <v>1145</v>
      </c>
      <c r="C3720" t="s">
        <v>175</v>
      </c>
      <c r="D3720" t="s">
        <v>120</v>
      </c>
      <c r="E3720" t="s">
        <v>311</v>
      </c>
      <c r="F3720">
        <v>1.5</v>
      </c>
      <c r="G3720" t="s">
        <v>176</v>
      </c>
      <c r="H3720">
        <v>0</v>
      </c>
      <c r="I3720">
        <v>24</v>
      </c>
      <c r="J3720" s="10">
        <v>18.499999999999982</v>
      </c>
      <c r="K3720" s="10">
        <f>SUMIFS(F:F,D:D,DST_123_ÜRETİM_İHTİYAÇ_RAPORU_BURAK_YENI1309[[#This Row],[ALT_KOD]])-(SUMIFS(H:H,D:D,DST_123_ÜRETİM_İHTİYAÇ_RAPORU_BURAK_YENI1309[[#This Row],[ALT_KOD]])+AVERAGEIFS(I:I,D:D,DST_123_ÜRETİM_İHTİYAÇ_RAPORU_BURAK_YENI1309[[#This Row],[ALT_KOD]])+AVERAGEIFS(L:L,D:D,DST_123_ÜRETİM_İHTİYAÇ_RAPORU_BURAK_YENI1309[[#This Row],[ALT_KOD]]))</f>
        <v>3.899999999999995</v>
      </c>
      <c r="L3720">
        <v>0</v>
      </c>
      <c r="M3720">
        <f>IF((DST_123_ÜRETİM_İHTİYAÇ_RAPORU_BURAK_YENI1309[[#This Row],[SATINALMA]]*DST_123_ÜRETİM_İHTİYAÇ_RAPORU_BURAK_YENI1309[[#This Row],[BIRIM_FIYATLAR]])&lt;1,VALUE("0"),DST_123_ÜRETİM_İHTİYAÇ_RAPORU_BURAK_YENI1309[[#This Row],[SATINALMA]]*DST_123_ÜRETİM_İHTİYAÇ_RAPORU_BURAK_YENI1309[[#This Row],[BIRIM_FIYATLAR]])</f>
        <v>467.99999999999943</v>
      </c>
      <c r="N3720">
        <v>120</v>
      </c>
      <c r="O3720" t="s">
        <v>240</v>
      </c>
      <c r="P3720">
        <v>180</v>
      </c>
      <c r="Q3720" t="s">
        <v>183</v>
      </c>
    </row>
    <row r="3721" spans="1:17" x14ac:dyDescent="0.25">
      <c r="A3721" t="s">
        <v>1059</v>
      </c>
      <c r="B3721" t="s">
        <v>1058</v>
      </c>
      <c r="C3721" t="s">
        <v>175</v>
      </c>
      <c r="D3721" t="s">
        <v>56</v>
      </c>
      <c r="E3721" t="s">
        <v>57</v>
      </c>
      <c r="F3721">
        <v>6</v>
      </c>
      <c r="G3721" t="s">
        <v>179</v>
      </c>
      <c r="H3721">
        <v>0</v>
      </c>
      <c r="I3721">
        <v>140</v>
      </c>
      <c r="J3721" s="10">
        <v>0</v>
      </c>
      <c r="K3721" s="10">
        <f>SUMIFS(F:F,D:D,DST_123_ÜRETİM_İHTİYAÇ_RAPORU_BURAK_YENI1309[[#This Row],[ALT_KOD]])-(SUMIFS(H:H,D:D,DST_123_ÜRETİM_İHTİYAÇ_RAPORU_BURAK_YENI1309[[#This Row],[ALT_KOD]])+AVERAGEIFS(I:I,D:D,DST_123_ÜRETİM_İHTİYAÇ_RAPORU_BURAK_YENI1309[[#This Row],[ALT_KOD]])+AVERAGEIFS(L:L,D:D,DST_123_ÜRETİM_İHTİYAÇ_RAPORU_BURAK_YENI1309[[#This Row],[ALT_KOD]]))</f>
        <v>-122</v>
      </c>
      <c r="L3721">
        <v>0</v>
      </c>
      <c r="M3721">
        <f>IF((DST_123_ÜRETİM_İHTİYAÇ_RAPORU_BURAK_YENI1309[[#This Row],[SATINALMA]]*DST_123_ÜRETİM_İHTİYAÇ_RAPORU_BURAK_YENI1309[[#This Row],[BIRIM_FIYATLAR]])&lt;1,VALUE("0"),DST_123_ÜRETİM_İHTİYAÇ_RAPORU_BURAK_YENI1309[[#This Row],[SATINALMA]]*DST_123_ÜRETİM_İHTİYAÇ_RAPORU_BURAK_YENI1309[[#This Row],[BIRIM_FIYATLAR]])</f>
        <v>0</v>
      </c>
      <c r="N3721">
        <v>25.42</v>
      </c>
      <c r="O3721" t="s">
        <v>826</v>
      </c>
      <c r="P3721">
        <v>152.52000000000001</v>
      </c>
      <c r="Q3721" t="s">
        <v>221</v>
      </c>
    </row>
    <row r="3722" spans="1:17" x14ac:dyDescent="0.25">
      <c r="A3722" t="s">
        <v>1142</v>
      </c>
      <c r="B3722" t="s">
        <v>1056</v>
      </c>
      <c r="C3722" t="s">
        <v>175</v>
      </c>
      <c r="D3722" t="s">
        <v>290</v>
      </c>
      <c r="E3722" t="s">
        <v>291</v>
      </c>
      <c r="F3722">
        <v>6</v>
      </c>
      <c r="G3722" t="s">
        <v>176</v>
      </c>
      <c r="H3722">
        <v>0</v>
      </c>
      <c r="I3722">
        <v>125</v>
      </c>
      <c r="J3722" s="10">
        <v>54</v>
      </c>
      <c r="K3722" s="10">
        <f>SUMIFS(F:F,D:D,DST_123_ÜRETİM_İHTİYAÇ_RAPORU_BURAK_YENI1309[[#This Row],[ALT_KOD]])-(SUMIFS(H:H,D:D,DST_123_ÜRETİM_İHTİYAÇ_RAPORU_BURAK_YENI1309[[#This Row],[ALT_KOD]])+AVERAGEIFS(I:I,D:D,DST_123_ÜRETİM_İHTİYAÇ_RAPORU_BURAK_YENI1309[[#This Row],[ALT_KOD]])+AVERAGEIFS(L:L,D:D,DST_123_ÜRETİM_İHTİYAÇ_RAPORU_BURAK_YENI1309[[#This Row],[ALT_KOD]]))</f>
        <v>-49</v>
      </c>
      <c r="L3722">
        <v>0</v>
      </c>
      <c r="M3722">
        <f>IF((DST_123_ÜRETİM_İHTİYAÇ_RAPORU_BURAK_YENI1309[[#This Row],[SATINALMA]]*DST_123_ÜRETİM_İHTİYAÇ_RAPORU_BURAK_YENI1309[[#This Row],[BIRIM_FIYATLAR]])&lt;1,VALUE("0"),DST_123_ÜRETİM_İHTİYAÇ_RAPORU_BURAK_YENI1309[[#This Row],[SATINALMA]]*DST_123_ÜRETİM_İHTİYAÇ_RAPORU_BURAK_YENI1309[[#This Row],[BIRIM_FIYATLAR]])</f>
        <v>0</v>
      </c>
      <c r="N3722">
        <v>3.75</v>
      </c>
      <c r="O3722" t="s">
        <v>628</v>
      </c>
      <c r="P3722">
        <v>22.5</v>
      </c>
      <c r="Q3722" t="s">
        <v>180</v>
      </c>
    </row>
    <row r="3723" spans="1:17" x14ac:dyDescent="0.25">
      <c r="A3723" t="s">
        <v>1059</v>
      </c>
      <c r="B3723" t="s">
        <v>1058</v>
      </c>
      <c r="C3723" t="s">
        <v>175</v>
      </c>
      <c r="D3723" t="s">
        <v>406</v>
      </c>
      <c r="E3723" t="s">
        <v>407</v>
      </c>
      <c r="F3723">
        <v>1</v>
      </c>
      <c r="G3723" t="s">
        <v>176</v>
      </c>
      <c r="H3723">
        <v>0</v>
      </c>
      <c r="I3723">
        <v>34</v>
      </c>
      <c r="J3723" s="10">
        <v>62</v>
      </c>
      <c r="K3723" s="10">
        <f>SUMIFS(F:F,D:D,DST_123_ÜRETİM_İHTİYAÇ_RAPORU_BURAK_YENI1309[[#This Row],[ALT_KOD]])-(SUMIFS(H:H,D:D,DST_123_ÜRETİM_İHTİYAÇ_RAPORU_BURAK_YENI1309[[#This Row],[ALT_KOD]])+AVERAGEIFS(I:I,D:D,DST_123_ÜRETİM_İHTİYAÇ_RAPORU_BURAK_YENI1309[[#This Row],[ALT_KOD]])+AVERAGEIFS(L:L,D:D,DST_123_ÜRETİM_İHTİYAÇ_RAPORU_BURAK_YENI1309[[#This Row],[ALT_KOD]]))</f>
        <v>-12</v>
      </c>
      <c r="L3723">
        <v>0</v>
      </c>
      <c r="M3723">
        <f>IF((DST_123_ÜRETİM_İHTİYAÇ_RAPORU_BURAK_YENI1309[[#This Row],[SATINALMA]]*DST_123_ÜRETİM_İHTİYAÇ_RAPORU_BURAK_YENI1309[[#This Row],[BIRIM_FIYATLAR]])&lt;1,VALUE("0"),DST_123_ÜRETİM_İHTİYAÇ_RAPORU_BURAK_YENI1309[[#This Row],[SATINALMA]]*DST_123_ÜRETİM_İHTİYAÇ_RAPORU_BURAK_YENI1309[[#This Row],[BIRIM_FIYATLAR]])</f>
        <v>0</v>
      </c>
      <c r="N3723">
        <v>19.07</v>
      </c>
      <c r="O3723" t="s">
        <v>826</v>
      </c>
      <c r="P3723">
        <v>19.07</v>
      </c>
      <c r="Q3723" t="s">
        <v>221</v>
      </c>
    </row>
    <row r="3724" spans="1:17" x14ac:dyDescent="0.25">
      <c r="A3724" t="s">
        <v>1143</v>
      </c>
      <c r="B3724" t="s">
        <v>1056</v>
      </c>
      <c r="C3724" t="s">
        <v>175</v>
      </c>
      <c r="D3724" t="s">
        <v>406</v>
      </c>
      <c r="E3724" t="s">
        <v>407</v>
      </c>
      <c r="F3724">
        <v>1</v>
      </c>
      <c r="G3724" t="s">
        <v>176</v>
      </c>
      <c r="H3724">
        <v>0</v>
      </c>
      <c r="I3724">
        <v>34</v>
      </c>
      <c r="J3724" s="10">
        <v>62</v>
      </c>
      <c r="K3724" s="10">
        <f>SUMIFS(F:F,D:D,DST_123_ÜRETİM_İHTİYAÇ_RAPORU_BURAK_YENI1309[[#This Row],[ALT_KOD]])-(SUMIFS(H:H,D:D,DST_123_ÜRETİM_İHTİYAÇ_RAPORU_BURAK_YENI1309[[#This Row],[ALT_KOD]])+AVERAGEIFS(I:I,D:D,DST_123_ÜRETİM_İHTİYAÇ_RAPORU_BURAK_YENI1309[[#This Row],[ALT_KOD]])+AVERAGEIFS(L:L,D:D,DST_123_ÜRETİM_İHTİYAÇ_RAPORU_BURAK_YENI1309[[#This Row],[ALT_KOD]]))</f>
        <v>-12</v>
      </c>
      <c r="L3724">
        <v>0</v>
      </c>
      <c r="M3724">
        <f>IF((DST_123_ÜRETİM_İHTİYAÇ_RAPORU_BURAK_YENI1309[[#This Row],[SATINALMA]]*DST_123_ÜRETİM_İHTİYAÇ_RAPORU_BURAK_YENI1309[[#This Row],[BIRIM_FIYATLAR]])&lt;1,VALUE("0"),DST_123_ÜRETİM_İHTİYAÇ_RAPORU_BURAK_YENI1309[[#This Row],[SATINALMA]]*DST_123_ÜRETİM_İHTİYAÇ_RAPORU_BURAK_YENI1309[[#This Row],[BIRIM_FIYATLAR]])</f>
        <v>0</v>
      </c>
      <c r="N3724">
        <v>19.07</v>
      </c>
      <c r="O3724" t="s">
        <v>826</v>
      </c>
      <c r="P3724">
        <v>19.07</v>
      </c>
      <c r="Q3724" t="s">
        <v>221</v>
      </c>
    </row>
    <row r="3725" spans="1:17" x14ac:dyDescent="0.25">
      <c r="A3725" t="s">
        <v>1095</v>
      </c>
      <c r="B3725" t="s">
        <v>1096</v>
      </c>
      <c r="C3725" t="s">
        <v>175</v>
      </c>
      <c r="D3725" t="s">
        <v>1109</v>
      </c>
      <c r="E3725" t="s">
        <v>1110</v>
      </c>
      <c r="F3725">
        <v>0.5</v>
      </c>
      <c r="G3725" t="s">
        <v>176</v>
      </c>
      <c r="H3725">
        <v>0</v>
      </c>
      <c r="I3725">
        <v>5</v>
      </c>
      <c r="J3725" s="10">
        <v>3.5527136788005009E-15</v>
      </c>
      <c r="K3725" s="10">
        <f>SUMIFS(F:F,D:D,DST_123_ÜRETİM_İHTİYAÇ_RAPORU_BURAK_YENI1309[[#This Row],[ALT_KOD]])-(SUMIFS(H:H,D:D,DST_123_ÜRETİM_İHTİYAÇ_RAPORU_BURAK_YENI1309[[#This Row],[ALT_KOD]])+AVERAGEIFS(I:I,D:D,DST_123_ÜRETİM_İHTİYAÇ_RAPORU_BURAK_YENI1309[[#This Row],[ALT_KOD]])+AVERAGEIFS(L:L,D:D,DST_123_ÜRETİM_İHTİYAÇ_RAPORU_BURAK_YENI1309[[#This Row],[ALT_KOD]]))</f>
        <v>-4.0999999999999996</v>
      </c>
      <c r="L3725">
        <v>0</v>
      </c>
      <c r="M3725">
        <f>IF((DST_123_ÜRETİM_İHTİYAÇ_RAPORU_BURAK_YENI1309[[#This Row],[SATINALMA]]*DST_123_ÜRETİM_İHTİYAÇ_RAPORU_BURAK_YENI1309[[#This Row],[BIRIM_FIYATLAR]])&lt;1,VALUE("0"),DST_123_ÜRETİM_İHTİYAÇ_RAPORU_BURAK_YENI1309[[#This Row],[SATINALMA]]*DST_123_ÜRETİM_İHTİYAÇ_RAPORU_BURAK_YENI1309[[#This Row],[BIRIM_FIYATLAR]])</f>
        <v>0</v>
      </c>
      <c r="N3725">
        <v>196</v>
      </c>
      <c r="O3725" t="s">
        <v>226</v>
      </c>
      <c r="P3725">
        <v>98</v>
      </c>
      <c r="Q3725" t="s">
        <v>183</v>
      </c>
    </row>
    <row r="3726" spans="1:17" x14ac:dyDescent="0.25">
      <c r="A3726" t="s">
        <v>1095</v>
      </c>
      <c r="B3726" t="s">
        <v>1096</v>
      </c>
      <c r="C3726" t="s">
        <v>175</v>
      </c>
      <c r="D3726" t="s">
        <v>290</v>
      </c>
      <c r="E3726" t="s">
        <v>291</v>
      </c>
      <c r="F3726">
        <v>4</v>
      </c>
      <c r="G3726" t="s">
        <v>176</v>
      </c>
      <c r="H3726">
        <v>0</v>
      </c>
      <c r="I3726">
        <v>125</v>
      </c>
      <c r="J3726" s="10">
        <v>54</v>
      </c>
      <c r="K3726" s="10">
        <f>SUMIFS(F:F,D:D,DST_123_ÜRETİM_İHTİYAÇ_RAPORU_BURAK_YENI1309[[#This Row],[ALT_KOD]])-(SUMIFS(H:H,D:D,DST_123_ÜRETİM_İHTİYAÇ_RAPORU_BURAK_YENI1309[[#This Row],[ALT_KOD]])+AVERAGEIFS(I:I,D:D,DST_123_ÜRETİM_İHTİYAÇ_RAPORU_BURAK_YENI1309[[#This Row],[ALT_KOD]])+AVERAGEIFS(L:L,D:D,DST_123_ÜRETİM_İHTİYAÇ_RAPORU_BURAK_YENI1309[[#This Row],[ALT_KOD]]))</f>
        <v>-49</v>
      </c>
      <c r="L3726">
        <v>0</v>
      </c>
      <c r="M3726">
        <f>IF((DST_123_ÜRETİM_İHTİYAÇ_RAPORU_BURAK_YENI1309[[#This Row],[SATINALMA]]*DST_123_ÜRETİM_İHTİYAÇ_RAPORU_BURAK_YENI1309[[#This Row],[BIRIM_FIYATLAR]])&lt;1,VALUE("0"),DST_123_ÜRETİM_İHTİYAÇ_RAPORU_BURAK_YENI1309[[#This Row],[SATINALMA]]*DST_123_ÜRETİM_İHTİYAÇ_RAPORU_BURAK_YENI1309[[#This Row],[BIRIM_FIYATLAR]])</f>
        <v>0</v>
      </c>
      <c r="N3726">
        <v>3.75</v>
      </c>
      <c r="O3726" t="s">
        <v>628</v>
      </c>
      <c r="P3726">
        <v>15</v>
      </c>
      <c r="Q3726" t="s">
        <v>180</v>
      </c>
    </row>
    <row r="3727" spans="1:17" x14ac:dyDescent="0.25">
      <c r="A3727" t="s">
        <v>1095</v>
      </c>
      <c r="B3727" t="s">
        <v>1096</v>
      </c>
      <c r="C3727" t="s">
        <v>175</v>
      </c>
      <c r="D3727" t="s">
        <v>60</v>
      </c>
      <c r="E3727" t="s">
        <v>61</v>
      </c>
      <c r="F3727">
        <v>1</v>
      </c>
      <c r="G3727" t="s">
        <v>176</v>
      </c>
      <c r="H3727">
        <v>0</v>
      </c>
      <c r="I3727">
        <v>17</v>
      </c>
      <c r="J3727" s="10">
        <v>11</v>
      </c>
      <c r="K3727" s="10">
        <f>SUMIFS(F:F,D:D,DST_123_ÜRETİM_İHTİYAÇ_RAPORU_BURAK_YENI1309[[#This Row],[ALT_KOD]])-(SUMIFS(H:H,D:D,DST_123_ÜRETİM_İHTİYAÇ_RAPORU_BURAK_YENI1309[[#This Row],[ALT_KOD]])+AVERAGEIFS(I:I,D:D,DST_123_ÜRETİM_İHTİYAÇ_RAPORU_BURAK_YENI1309[[#This Row],[ALT_KOD]])+AVERAGEIFS(L:L,D:D,DST_123_ÜRETİM_İHTİYAÇ_RAPORU_BURAK_YENI1309[[#This Row],[ALT_KOD]]))</f>
        <v>-5</v>
      </c>
      <c r="L3727">
        <v>0</v>
      </c>
      <c r="M3727">
        <f>IF((DST_123_ÜRETİM_İHTİYAÇ_RAPORU_BURAK_YENI1309[[#This Row],[SATINALMA]]*DST_123_ÜRETİM_İHTİYAÇ_RAPORU_BURAK_YENI1309[[#This Row],[BIRIM_FIYATLAR]])&lt;1,VALUE("0"),DST_123_ÜRETİM_İHTİYAÇ_RAPORU_BURAK_YENI1309[[#This Row],[SATINALMA]]*DST_123_ÜRETİM_İHTİYAÇ_RAPORU_BURAK_YENI1309[[#This Row],[BIRIM_FIYATLAR]])</f>
        <v>0</v>
      </c>
      <c r="N3727">
        <v>115.6</v>
      </c>
      <c r="O3727" t="s">
        <v>826</v>
      </c>
      <c r="P3727">
        <v>115.6</v>
      </c>
      <c r="Q3727" t="s">
        <v>221</v>
      </c>
    </row>
    <row r="3728" spans="1:17" x14ac:dyDescent="0.25">
      <c r="A3728" t="s">
        <v>1097</v>
      </c>
      <c r="B3728" t="s">
        <v>1055</v>
      </c>
      <c r="C3728" t="s">
        <v>175</v>
      </c>
      <c r="D3728" t="s">
        <v>406</v>
      </c>
      <c r="E3728" t="s">
        <v>407</v>
      </c>
      <c r="F3728">
        <v>1</v>
      </c>
      <c r="G3728" t="s">
        <v>176</v>
      </c>
      <c r="H3728">
        <v>0</v>
      </c>
      <c r="I3728">
        <v>34</v>
      </c>
      <c r="J3728" s="10">
        <v>62</v>
      </c>
      <c r="K3728" s="10">
        <f>SUMIFS(F:F,D:D,DST_123_ÜRETİM_İHTİYAÇ_RAPORU_BURAK_YENI1309[[#This Row],[ALT_KOD]])-(SUMIFS(H:H,D:D,DST_123_ÜRETİM_İHTİYAÇ_RAPORU_BURAK_YENI1309[[#This Row],[ALT_KOD]])+AVERAGEIFS(I:I,D:D,DST_123_ÜRETİM_İHTİYAÇ_RAPORU_BURAK_YENI1309[[#This Row],[ALT_KOD]])+AVERAGEIFS(L:L,D:D,DST_123_ÜRETİM_İHTİYAÇ_RAPORU_BURAK_YENI1309[[#This Row],[ALT_KOD]]))</f>
        <v>-12</v>
      </c>
      <c r="L3728">
        <v>0</v>
      </c>
      <c r="M3728">
        <f>IF((DST_123_ÜRETİM_İHTİYAÇ_RAPORU_BURAK_YENI1309[[#This Row],[SATINALMA]]*DST_123_ÜRETİM_İHTİYAÇ_RAPORU_BURAK_YENI1309[[#This Row],[BIRIM_FIYATLAR]])&lt;1,VALUE("0"),DST_123_ÜRETİM_İHTİYAÇ_RAPORU_BURAK_YENI1309[[#This Row],[SATINALMA]]*DST_123_ÜRETİM_İHTİYAÇ_RAPORU_BURAK_YENI1309[[#This Row],[BIRIM_FIYATLAR]])</f>
        <v>0</v>
      </c>
      <c r="N3728">
        <v>19.07</v>
      </c>
      <c r="O3728" t="s">
        <v>826</v>
      </c>
      <c r="P3728">
        <v>19.07</v>
      </c>
      <c r="Q3728" t="s">
        <v>221</v>
      </c>
    </row>
    <row r="3729" spans="1:17" x14ac:dyDescent="0.25">
      <c r="A3729" t="s">
        <v>1095</v>
      </c>
      <c r="B3729" t="s">
        <v>1096</v>
      </c>
      <c r="C3729" t="s">
        <v>175</v>
      </c>
      <c r="D3729" t="s">
        <v>406</v>
      </c>
      <c r="E3729" t="s">
        <v>407</v>
      </c>
      <c r="F3729">
        <v>1</v>
      </c>
      <c r="G3729" t="s">
        <v>176</v>
      </c>
      <c r="H3729">
        <v>0</v>
      </c>
      <c r="I3729">
        <v>34</v>
      </c>
      <c r="J3729" s="10">
        <v>62</v>
      </c>
      <c r="K3729" s="10">
        <f>SUMIFS(F:F,D:D,DST_123_ÜRETİM_İHTİYAÇ_RAPORU_BURAK_YENI1309[[#This Row],[ALT_KOD]])-(SUMIFS(H:H,D:D,DST_123_ÜRETİM_İHTİYAÇ_RAPORU_BURAK_YENI1309[[#This Row],[ALT_KOD]])+AVERAGEIFS(I:I,D:D,DST_123_ÜRETİM_İHTİYAÇ_RAPORU_BURAK_YENI1309[[#This Row],[ALT_KOD]])+AVERAGEIFS(L:L,D:D,DST_123_ÜRETİM_İHTİYAÇ_RAPORU_BURAK_YENI1309[[#This Row],[ALT_KOD]]))</f>
        <v>-12</v>
      </c>
      <c r="L3729">
        <v>0</v>
      </c>
      <c r="M3729">
        <f>IF((DST_123_ÜRETİM_İHTİYAÇ_RAPORU_BURAK_YENI1309[[#This Row],[SATINALMA]]*DST_123_ÜRETİM_İHTİYAÇ_RAPORU_BURAK_YENI1309[[#This Row],[BIRIM_FIYATLAR]])&lt;1,VALUE("0"),DST_123_ÜRETİM_İHTİYAÇ_RAPORU_BURAK_YENI1309[[#This Row],[SATINALMA]]*DST_123_ÜRETİM_İHTİYAÇ_RAPORU_BURAK_YENI1309[[#This Row],[BIRIM_FIYATLAR]])</f>
        <v>0</v>
      </c>
      <c r="N3729">
        <v>19.07</v>
      </c>
      <c r="O3729" t="s">
        <v>826</v>
      </c>
      <c r="P3729">
        <v>19.07</v>
      </c>
      <c r="Q3729" t="s">
        <v>221</v>
      </c>
    </row>
    <row r="3730" spans="1:17" x14ac:dyDescent="0.25">
      <c r="A3730" t="s">
        <v>1095</v>
      </c>
      <c r="B3730" t="s">
        <v>1096</v>
      </c>
      <c r="C3730" t="s">
        <v>175</v>
      </c>
      <c r="D3730" t="s">
        <v>686</v>
      </c>
      <c r="E3730" t="s">
        <v>687</v>
      </c>
      <c r="F3730">
        <v>1</v>
      </c>
      <c r="G3730" t="s">
        <v>176</v>
      </c>
      <c r="H3730">
        <v>0</v>
      </c>
      <c r="I3730">
        <v>0</v>
      </c>
      <c r="J3730" s="10">
        <v>1</v>
      </c>
      <c r="K3730" s="10">
        <f>SUMIFS(F:F,D:D,DST_123_ÜRETİM_İHTİYAÇ_RAPORU_BURAK_YENI1309[[#This Row],[ALT_KOD]])-(SUMIFS(H:H,D:D,DST_123_ÜRETİM_İHTİYAÇ_RAPORU_BURAK_YENI1309[[#This Row],[ALT_KOD]])+AVERAGEIFS(I:I,D:D,DST_123_ÜRETİM_İHTİYAÇ_RAPORU_BURAK_YENI1309[[#This Row],[ALT_KOD]])+AVERAGEIFS(L:L,D:D,DST_123_ÜRETİM_İHTİYAÇ_RAPORU_BURAK_YENI1309[[#This Row],[ALT_KOD]]))</f>
        <v>9</v>
      </c>
      <c r="L3730">
        <v>0</v>
      </c>
      <c r="M3730">
        <f>IF((DST_123_ÜRETİM_İHTİYAÇ_RAPORU_BURAK_YENI1309[[#This Row],[SATINALMA]]*DST_123_ÜRETİM_İHTİYAÇ_RAPORU_BURAK_YENI1309[[#This Row],[BIRIM_FIYATLAR]])&lt;1,VALUE("0"),DST_123_ÜRETİM_İHTİYAÇ_RAPORU_BURAK_YENI1309[[#This Row],[SATINALMA]]*DST_123_ÜRETİM_İHTİYAÇ_RAPORU_BURAK_YENI1309[[#This Row],[BIRIM_FIYATLAR]])</f>
        <v>13877.91</v>
      </c>
      <c r="N3730">
        <v>1541.99</v>
      </c>
      <c r="O3730" t="s">
        <v>688</v>
      </c>
      <c r="P3730">
        <v>1541.99</v>
      </c>
      <c r="Q3730" t="s">
        <v>177</v>
      </c>
    </row>
    <row r="3731" spans="1:17" x14ac:dyDescent="0.25">
      <c r="A3731" t="s">
        <v>1097</v>
      </c>
      <c r="B3731" t="s">
        <v>1055</v>
      </c>
      <c r="C3731" t="s">
        <v>175</v>
      </c>
      <c r="D3731" t="s">
        <v>686</v>
      </c>
      <c r="E3731" t="s">
        <v>687</v>
      </c>
      <c r="F3731">
        <v>1</v>
      </c>
      <c r="G3731" t="s">
        <v>176</v>
      </c>
      <c r="H3731">
        <v>0</v>
      </c>
      <c r="I3731">
        <v>0</v>
      </c>
      <c r="J3731" s="10">
        <v>1</v>
      </c>
      <c r="K3731" s="10">
        <f>SUMIFS(F:F,D:D,DST_123_ÜRETİM_İHTİYAÇ_RAPORU_BURAK_YENI1309[[#This Row],[ALT_KOD]])-(SUMIFS(H:H,D:D,DST_123_ÜRETİM_İHTİYAÇ_RAPORU_BURAK_YENI1309[[#This Row],[ALT_KOD]])+AVERAGEIFS(I:I,D:D,DST_123_ÜRETİM_İHTİYAÇ_RAPORU_BURAK_YENI1309[[#This Row],[ALT_KOD]])+AVERAGEIFS(L:L,D:D,DST_123_ÜRETİM_İHTİYAÇ_RAPORU_BURAK_YENI1309[[#This Row],[ALT_KOD]]))</f>
        <v>9</v>
      </c>
      <c r="L3731">
        <v>0</v>
      </c>
      <c r="M3731">
        <f>IF((DST_123_ÜRETİM_İHTİYAÇ_RAPORU_BURAK_YENI1309[[#This Row],[SATINALMA]]*DST_123_ÜRETİM_İHTİYAÇ_RAPORU_BURAK_YENI1309[[#This Row],[BIRIM_FIYATLAR]])&lt;1,VALUE("0"),DST_123_ÜRETİM_İHTİYAÇ_RAPORU_BURAK_YENI1309[[#This Row],[SATINALMA]]*DST_123_ÜRETİM_İHTİYAÇ_RAPORU_BURAK_YENI1309[[#This Row],[BIRIM_FIYATLAR]])</f>
        <v>13877.91</v>
      </c>
      <c r="N3731">
        <v>1541.99</v>
      </c>
      <c r="O3731" t="s">
        <v>688</v>
      </c>
      <c r="P3731">
        <v>1541.99</v>
      </c>
      <c r="Q3731" t="s">
        <v>177</v>
      </c>
    </row>
    <row r="3732" spans="1:17" x14ac:dyDescent="0.25">
      <c r="A3732" t="s">
        <v>1143</v>
      </c>
      <c r="B3732" t="s">
        <v>1056</v>
      </c>
      <c r="C3732" t="s">
        <v>175</v>
      </c>
      <c r="D3732" t="s">
        <v>290</v>
      </c>
      <c r="E3732" t="s">
        <v>291</v>
      </c>
      <c r="F3732">
        <v>8</v>
      </c>
      <c r="G3732" t="s">
        <v>176</v>
      </c>
      <c r="H3732">
        <v>0</v>
      </c>
      <c r="I3732">
        <v>125</v>
      </c>
      <c r="J3732" s="10">
        <v>54</v>
      </c>
      <c r="K3732" s="10">
        <f>SUMIFS(F:F,D:D,DST_123_ÜRETİM_İHTİYAÇ_RAPORU_BURAK_YENI1309[[#This Row],[ALT_KOD]])-(SUMIFS(H:H,D:D,DST_123_ÜRETİM_İHTİYAÇ_RAPORU_BURAK_YENI1309[[#This Row],[ALT_KOD]])+AVERAGEIFS(I:I,D:D,DST_123_ÜRETİM_İHTİYAÇ_RAPORU_BURAK_YENI1309[[#This Row],[ALT_KOD]])+AVERAGEIFS(L:L,D:D,DST_123_ÜRETİM_İHTİYAÇ_RAPORU_BURAK_YENI1309[[#This Row],[ALT_KOD]]))</f>
        <v>-49</v>
      </c>
      <c r="L3732">
        <v>0</v>
      </c>
      <c r="M3732">
        <f>IF((DST_123_ÜRETİM_İHTİYAÇ_RAPORU_BURAK_YENI1309[[#This Row],[SATINALMA]]*DST_123_ÜRETİM_İHTİYAÇ_RAPORU_BURAK_YENI1309[[#This Row],[BIRIM_FIYATLAR]])&lt;1,VALUE("0"),DST_123_ÜRETİM_İHTİYAÇ_RAPORU_BURAK_YENI1309[[#This Row],[SATINALMA]]*DST_123_ÜRETİM_İHTİYAÇ_RAPORU_BURAK_YENI1309[[#This Row],[BIRIM_FIYATLAR]])</f>
        <v>0</v>
      </c>
      <c r="N3732">
        <v>3.75</v>
      </c>
      <c r="O3732" t="s">
        <v>628</v>
      </c>
      <c r="P3732">
        <v>30</v>
      </c>
      <c r="Q3732" t="s">
        <v>180</v>
      </c>
    </row>
    <row r="3733" spans="1:17" x14ac:dyDescent="0.25">
      <c r="A3733" t="s">
        <v>1059</v>
      </c>
      <c r="B3733" t="s">
        <v>1058</v>
      </c>
      <c r="C3733" t="s">
        <v>175</v>
      </c>
      <c r="D3733" t="s">
        <v>60</v>
      </c>
      <c r="E3733" t="s">
        <v>61</v>
      </c>
      <c r="F3733">
        <v>1</v>
      </c>
      <c r="G3733" t="s">
        <v>176</v>
      </c>
      <c r="H3733">
        <v>1</v>
      </c>
      <c r="I3733">
        <v>17</v>
      </c>
      <c r="J3733" s="10">
        <v>11</v>
      </c>
      <c r="K3733" s="10">
        <f>SUMIFS(F:F,D:D,DST_123_ÜRETİM_İHTİYAÇ_RAPORU_BURAK_YENI1309[[#This Row],[ALT_KOD]])-(SUMIFS(H:H,D:D,DST_123_ÜRETİM_İHTİYAÇ_RAPORU_BURAK_YENI1309[[#This Row],[ALT_KOD]])+AVERAGEIFS(I:I,D:D,DST_123_ÜRETİM_İHTİYAÇ_RAPORU_BURAK_YENI1309[[#This Row],[ALT_KOD]])+AVERAGEIFS(L:L,D:D,DST_123_ÜRETİM_İHTİYAÇ_RAPORU_BURAK_YENI1309[[#This Row],[ALT_KOD]]))</f>
        <v>-5</v>
      </c>
      <c r="L3733">
        <v>0</v>
      </c>
      <c r="M3733">
        <f>IF((DST_123_ÜRETİM_İHTİYAÇ_RAPORU_BURAK_YENI1309[[#This Row],[SATINALMA]]*DST_123_ÜRETİM_İHTİYAÇ_RAPORU_BURAK_YENI1309[[#This Row],[BIRIM_FIYATLAR]])&lt;1,VALUE("0"),DST_123_ÜRETİM_İHTİYAÇ_RAPORU_BURAK_YENI1309[[#This Row],[SATINALMA]]*DST_123_ÜRETİM_İHTİYAÇ_RAPORU_BURAK_YENI1309[[#This Row],[BIRIM_FIYATLAR]])</f>
        <v>0</v>
      </c>
      <c r="N3733">
        <v>115.6</v>
      </c>
      <c r="O3733" t="s">
        <v>826</v>
      </c>
      <c r="P3733">
        <v>115.6</v>
      </c>
      <c r="Q3733" t="s">
        <v>221</v>
      </c>
    </row>
    <row r="3734" spans="1:17" x14ac:dyDescent="0.25">
      <c r="A3734" t="s">
        <v>1149</v>
      </c>
      <c r="B3734" t="s">
        <v>1145</v>
      </c>
      <c r="C3734" t="s">
        <v>175</v>
      </c>
      <c r="D3734" t="s">
        <v>276</v>
      </c>
      <c r="E3734" t="s">
        <v>315</v>
      </c>
      <c r="F3734">
        <v>1</v>
      </c>
      <c r="G3734" t="s">
        <v>176</v>
      </c>
      <c r="H3734">
        <v>0</v>
      </c>
      <c r="I3734">
        <v>28</v>
      </c>
      <c r="J3734" s="10">
        <v>4</v>
      </c>
      <c r="K3734" s="10">
        <f>SUMIFS(F:F,D:D,DST_123_ÜRETİM_İHTİYAÇ_RAPORU_BURAK_YENI1309[[#This Row],[ALT_KOD]])-(SUMIFS(H:H,D:D,DST_123_ÜRETİM_İHTİYAÇ_RAPORU_BURAK_YENI1309[[#This Row],[ALT_KOD]])+AVERAGEIFS(I:I,D:D,DST_123_ÜRETİM_İHTİYAÇ_RAPORU_BURAK_YENI1309[[#This Row],[ALT_KOD]])+AVERAGEIFS(L:L,D:D,DST_123_ÜRETİM_İHTİYAÇ_RAPORU_BURAK_YENI1309[[#This Row],[ALT_KOD]]))</f>
        <v>-21</v>
      </c>
      <c r="L3734">
        <v>0</v>
      </c>
      <c r="M3734">
        <f>IF((DST_123_ÜRETİM_İHTİYAÇ_RAPORU_BURAK_YENI1309[[#This Row],[SATINALMA]]*DST_123_ÜRETİM_İHTİYAÇ_RAPORU_BURAK_YENI1309[[#This Row],[BIRIM_FIYATLAR]])&lt;1,VALUE("0"),DST_123_ÜRETİM_İHTİYAÇ_RAPORU_BURAK_YENI1309[[#This Row],[SATINALMA]]*DST_123_ÜRETİM_İHTİYAÇ_RAPORU_BURAK_YENI1309[[#This Row],[BIRIM_FIYATLAR]])</f>
        <v>0</v>
      </c>
      <c r="N3734">
        <v>290.73</v>
      </c>
      <c r="O3734" t="s">
        <v>636</v>
      </c>
      <c r="P3734">
        <v>290.73</v>
      </c>
      <c r="Q3734" t="s">
        <v>178</v>
      </c>
    </row>
    <row r="3735" spans="1:17" x14ac:dyDescent="0.25">
      <c r="A3735" t="s">
        <v>1149</v>
      </c>
      <c r="B3735" t="s">
        <v>1145</v>
      </c>
      <c r="C3735" t="s">
        <v>175</v>
      </c>
      <c r="D3735" t="s">
        <v>730</v>
      </c>
      <c r="E3735" t="s">
        <v>731</v>
      </c>
      <c r="F3735">
        <v>2</v>
      </c>
      <c r="G3735" t="s">
        <v>176</v>
      </c>
      <c r="H3735">
        <v>0</v>
      </c>
      <c r="I3735">
        <v>265</v>
      </c>
      <c r="J3735" s="10">
        <v>94</v>
      </c>
      <c r="K3735" s="10">
        <f>SUMIFS(F:F,D:D,DST_123_ÜRETİM_İHTİYAÇ_RAPORU_BURAK_YENI1309[[#This Row],[ALT_KOD]])-(SUMIFS(H:H,D:D,DST_123_ÜRETİM_İHTİYAÇ_RAPORU_BURAK_YENI1309[[#This Row],[ALT_KOD]])+AVERAGEIFS(I:I,D:D,DST_123_ÜRETİM_İHTİYAÇ_RAPORU_BURAK_YENI1309[[#This Row],[ALT_KOD]])+AVERAGEIFS(L:L,D:D,DST_123_ÜRETİM_İHTİYAÇ_RAPORU_BURAK_YENI1309[[#This Row],[ALT_KOD]]))</f>
        <v>-249</v>
      </c>
      <c r="L3735">
        <v>0</v>
      </c>
      <c r="M3735">
        <f>IF((DST_123_ÜRETİM_İHTİYAÇ_RAPORU_BURAK_YENI1309[[#This Row],[SATINALMA]]*DST_123_ÜRETİM_İHTİYAÇ_RAPORU_BURAK_YENI1309[[#This Row],[BIRIM_FIYATLAR]])&lt;1,VALUE("0"),DST_123_ÜRETİM_İHTİYAÇ_RAPORU_BURAK_YENI1309[[#This Row],[SATINALMA]]*DST_123_ÜRETİM_İHTİYAÇ_RAPORU_BURAK_YENI1309[[#This Row],[BIRIM_FIYATLAR]])</f>
        <v>0</v>
      </c>
      <c r="N3735">
        <v>4</v>
      </c>
      <c r="O3735" t="s">
        <v>220</v>
      </c>
      <c r="P3735">
        <v>8</v>
      </c>
      <c r="Q3735" t="s">
        <v>221</v>
      </c>
    </row>
    <row r="3736" spans="1:17" x14ac:dyDescent="0.25">
      <c r="A3736" t="s">
        <v>1095</v>
      </c>
      <c r="B3736" t="s">
        <v>1096</v>
      </c>
      <c r="C3736" t="s">
        <v>175</v>
      </c>
      <c r="D3736" t="s">
        <v>981</v>
      </c>
      <c r="E3736" t="s">
        <v>982</v>
      </c>
      <c r="F3736">
        <v>1</v>
      </c>
      <c r="G3736" t="s">
        <v>176</v>
      </c>
      <c r="H3736">
        <v>0</v>
      </c>
      <c r="I3736">
        <v>4</v>
      </c>
      <c r="J3736" s="10">
        <v>0</v>
      </c>
      <c r="K3736" s="10">
        <f>SUMIFS(F:F,D:D,DST_123_ÜRETİM_İHTİYAÇ_RAPORU_BURAK_YENI1309[[#This Row],[ALT_KOD]])-(SUMIFS(H:H,D:D,DST_123_ÜRETİM_İHTİYAÇ_RAPORU_BURAK_YENI1309[[#This Row],[ALT_KOD]])+AVERAGEIFS(I:I,D:D,DST_123_ÜRETİM_İHTİYAÇ_RAPORU_BURAK_YENI1309[[#This Row],[ALT_KOD]])+AVERAGEIFS(L:L,D:D,DST_123_ÜRETİM_İHTİYAÇ_RAPORU_BURAK_YENI1309[[#This Row],[ALT_KOD]]))</f>
        <v>-1</v>
      </c>
      <c r="L3736">
        <v>0</v>
      </c>
      <c r="M3736">
        <f>IF((DST_123_ÜRETİM_İHTİYAÇ_RAPORU_BURAK_YENI1309[[#This Row],[SATINALMA]]*DST_123_ÜRETİM_İHTİYAÇ_RAPORU_BURAK_YENI1309[[#This Row],[BIRIM_FIYATLAR]])&lt;1,VALUE("0"),DST_123_ÜRETİM_İHTİYAÇ_RAPORU_BURAK_YENI1309[[#This Row],[SATINALMA]]*DST_123_ÜRETİM_İHTİYAÇ_RAPORU_BURAK_YENI1309[[#This Row],[BIRIM_FIYATLAR]])</f>
        <v>0</v>
      </c>
      <c r="N3736">
        <v>3017.33</v>
      </c>
      <c r="O3736" t="s">
        <v>983</v>
      </c>
      <c r="P3736">
        <v>3017.33</v>
      </c>
      <c r="Q3736" t="s">
        <v>177</v>
      </c>
    </row>
    <row r="3737" spans="1:17" x14ac:dyDescent="0.25">
      <c r="A3737" t="s">
        <v>1095</v>
      </c>
      <c r="B3737" t="s">
        <v>1096</v>
      </c>
      <c r="C3737" t="s">
        <v>175</v>
      </c>
      <c r="D3737" t="s">
        <v>689</v>
      </c>
      <c r="E3737" t="s">
        <v>690</v>
      </c>
      <c r="F3737">
        <v>1</v>
      </c>
      <c r="G3737" t="s">
        <v>176</v>
      </c>
      <c r="H3737">
        <v>0</v>
      </c>
      <c r="I3737">
        <v>23</v>
      </c>
      <c r="J3737" s="10">
        <v>5</v>
      </c>
      <c r="K3737" s="10">
        <f>SUMIFS(F:F,D:D,DST_123_ÜRETİM_İHTİYAÇ_RAPORU_BURAK_YENI1309[[#This Row],[ALT_KOD]])-(SUMIFS(H:H,D:D,DST_123_ÜRETİM_İHTİYAÇ_RAPORU_BURAK_YENI1309[[#This Row],[ALT_KOD]])+AVERAGEIFS(I:I,D:D,DST_123_ÜRETİM_İHTİYAÇ_RAPORU_BURAK_YENI1309[[#This Row],[ALT_KOD]])+AVERAGEIFS(L:L,D:D,DST_123_ÜRETİM_İHTİYAÇ_RAPORU_BURAK_YENI1309[[#This Row],[ALT_KOD]]))</f>
        <v>-12</v>
      </c>
      <c r="L3737">
        <v>0</v>
      </c>
      <c r="M3737">
        <f>IF((DST_123_ÜRETİM_İHTİYAÇ_RAPORU_BURAK_YENI1309[[#This Row],[SATINALMA]]*DST_123_ÜRETİM_İHTİYAÇ_RAPORU_BURAK_YENI1309[[#This Row],[BIRIM_FIYATLAR]])&lt;1,VALUE("0"),DST_123_ÜRETİM_İHTİYAÇ_RAPORU_BURAK_YENI1309[[#This Row],[SATINALMA]]*DST_123_ÜRETİM_İHTİYAÇ_RAPORU_BURAK_YENI1309[[#This Row],[BIRIM_FIYATLAR]])</f>
        <v>0</v>
      </c>
      <c r="N3737">
        <v>871.93</v>
      </c>
      <c r="O3737" t="s">
        <v>691</v>
      </c>
      <c r="P3737">
        <v>871.93</v>
      </c>
      <c r="Q3737" t="s">
        <v>177</v>
      </c>
    </row>
    <row r="3738" spans="1:17" x14ac:dyDescent="0.25">
      <c r="A3738" t="s">
        <v>1196</v>
      </c>
      <c r="B3738" t="s">
        <v>1197</v>
      </c>
      <c r="C3738" t="s">
        <v>175</v>
      </c>
      <c r="D3738" t="s">
        <v>552</v>
      </c>
      <c r="E3738" t="s">
        <v>553</v>
      </c>
      <c r="F3738">
        <v>1</v>
      </c>
      <c r="G3738" t="s">
        <v>176</v>
      </c>
      <c r="H3738">
        <v>0</v>
      </c>
      <c r="I3738">
        <v>14</v>
      </c>
      <c r="J3738" s="10">
        <v>9.9999999999999929</v>
      </c>
      <c r="K3738" s="10">
        <f>SUMIFS(F:F,D:D,DST_123_ÜRETİM_İHTİYAÇ_RAPORU_BURAK_YENI1309[[#This Row],[ALT_KOD]])-(SUMIFS(H:H,D:D,DST_123_ÜRETİM_İHTİYAÇ_RAPORU_BURAK_YENI1309[[#This Row],[ALT_KOD]])+AVERAGEIFS(I:I,D:D,DST_123_ÜRETİM_İHTİYAÇ_RAPORU_BURAK_YENI1309[[#This Row],[ALT_KOD]])+AVERAGEIFS(L:L,D:D,DST_123_ÜRETİM_İHTİYAÇ_RAPORU_BURAK_YENI1309[[#This Row],[ALT_KOD]]))</f>
        <v>2.5700000000000003</v>
      </c>
      <c r="L3738">
        <v>0</v>
      </c>
      <c r="M3738">
        <f>IF((DST_123_ÜRETİM_İHTİYAÇ_RAPORU_BURAK_YENI1309[[#This Row],[SATINALMA]]*DST_123_ÜRETİM_İHTİYAÇ_RAPORU_BURAK_YENI1309[[#This Row],[BIRIM_FIYATLAR]])&lt;1,VALUE("0"),DST_123_ÜRETİM_İHTİYAÇ_RAPORU_BURAK_YENI1309[[#This Row],[SATINALMA]]*DST_123_ÜRETİM_İHTİYAÇ_RAPORU_BURAK_YENI1309[[#This Row],[BIRIM_FIYATLAR]])</f>
        <v>552.55000000000007</v>
      </c>
      <c r="N3738">
        <v>215</v>
      </c>
      <c r="O3738" t="s">
        <v>240</v>
      </c>
      <c r="P3738">
        <v>215</v>
      </c>
      <c r="Q3738" t="s">
        <v>180</v>
      </c>
    </row>
    <row r="3739" spans="1:17" x14ac:dyDescent="0.25">
      <c r="A3739" t="s">
        <v>1196</v>
      </c>
      <c r="B3739" t="s">
        <v>1197</v>
      </c>
      <c r="C3739" t="s">
        <v>175</v>
      </c>
      <c r="D3739" t="s">
        <v>560</v>
      </c>
      <c r="E3739" t="s">
        <v>561</v>
      </c>
      <c r="F3739">
        <v>3.2</v>
      </c>
      <c r="G3739" t="s">
        <v>176</v>
      </c>
      <c r="H3739">
        <v>0</v>
      </c>
      <c r="I3739">
        <v>272</v>
      </c>
      <c r="J3739" s="10">
        <v>4.2999999999999652</v>
      </c>
      <c r="K3739" s="10">
        <f>SUMIFS(F:F,D:D,DST_123_ÜRETİM_İHTİYAÇ_RAPORU_BURAK_YENI1309[[#This Row],[ALT_KOD]])-(SUMIFS(H:H,D:D,DST_123_ÜRETİM_İHTİYAÇ_RAPORU_BURAK_YENI1309[[#This Row],[ALT_KOD]])+AVERAGEIFS(I:I,D:D,DST_123_ÜRETİM_İHTİYAÇ_RAPORU_BURAK_YENI1309[[#This Row],[ALT_KOD]])+AVERAGEIFS(L:L,D:D,DST_123_ÜRETİM_İHTİYAÇ_RAPORU_BURAK_YENI1309[[#This Row],[ALT_KOD]]))</f>
        <v>-233.2</v>
      </c>
      <c r="L3739">
        <v>0</v>
      </c>
      <c r="M3739">
        <f>IF((DST_123_ÜRETİM_İHTİYAÇ_RAPORU_BURAK_YENI1309[[#This Row],[SATINALMA]]*DST_123_ÜRETİM_İHTİYAÇ_RAPORU_BURAK_YENI1309[[#This Row],[BIRIM_FIYATLAR]])&lt;1,VALUE("0"),DST_123_ÜRETİM_İHTİYAÇ_RAPORU_BURAK_YENI1309[[#This Row],[SATINALMA]]*DST_123_ÜRETİM_İHTİYAÇ_RAPORU_BURAK_YENI1309[[#This Row],[BIRIM_FIYATLAR]])</f>
        <v>0</v>
      </c>
      <c r="N3739">
        <v>30</v>
      </c>
      <c r="O3739" t="s">
        <v>240</v>
      </c>
      <c r="P3739">
        <v>96</v>
      </c>
      <c r="Q3739" t="s">
        <v>180</v>
      </c>
    </row>
    <row r="3740" spans="1:17" x14ac:dyDescent="0.25">
      <c r="A3740" t="s">
        <v>1099</v>
      </c>
      <c r="B3740" t="s">
        <v>1055</v>
      </c>
      <c r="C3740" t="s">
        <v>175</v>
      </c>
      <c r="D3740" t="s">
        <v>400</v>
      </c>
      <c r="E3740" t="s">
        <v>401</v>
      </c>
      <c r="F3740">
        <v>1</v>
      </c>
      <c r="G3740" t="s">
        <v>176</v>
      </c>
      <c r="H3740">
        <v>0</v>
      </c>
      <c r="I3740">
        <v>27</v>
      </c>
      <c r="J3740" s="10">
        <v>14</v>
      </c>
      <c r="K3740" s="10">
        <f>SUMIFS(F:F,D:D,DST_123_ÜRETİM_İHTİYAÇ_RAPORU_BURAK_YENI1309[[#This Row],[ALT_KOD]])-(SUMIFS(H:H,D:D,DST_123_ÜRETİM_İHTİYAÇ_RAPORU_BURAK_YENI1309[[#This Row],[ALT_KOD]])+AVERAGEIFS(I:I,D:D,DST_123_ÜRETİM_İHTİYAÇ_RAPORU_BURAK_YENI1309[[#This Row],[ALT_KOD]])+AVERAGEIFS(L:L,D:D,DST_123_ÜRETİM_İHTİYAÇ_RAPORU_BURAK_YENI1309[[#This Row],[ALT_KOD]]))</f>
        <v>-18</v>
      </c>
      <c r="L3740">
        <v>0</v>
      </c>
      <c r="M3740">
        <f>IF((DST_123_ÜRETİM_İHTİYAÇ_RAPORU_BURAK_YENI1309[[#This Row],[SATINALMA]]*DST_123_ÜRETİM_İHTİYAÇ_RAPORU_BURAK_YENI1309[[#This Row],[BIRIM_FIYATLAR]])&lt;1,VALUE("0"),DST_123_ÜRETİM_İHTİYAÇ_RAPORU_BURAK_YENI1309[[#This Row],[SATINALMA]]*DST_123_ÜRETİM_İHTİYAÇ_RAPORU_BURAK_YENI1309[[#This Row],[BIRIM_FIYATLAR]])</f>
        <v>0</v>
      </c>
      <c r="N3740">
        <v>15</v>
      </c>
      <c r="O3740" t="s">
        <v>220</v>
      </c>
      <c r="P3740">
        <v>15</v>
      </c>
      <c r="Q3740" t="s">
        <v>221</v>
      </c>
    </row>
    <row r="3741" spans="1:17" x14ac:dyDescent="0.25">
      <c r="A3741" t="s">
        <v>1196</v>
      </c>
      <c r="B3741" t="s">
        <v>1197</v>
      </c>
      <c r="C3741" t="s">
        <v>175</v>
      </c>
      <c r="D3741" t="s">
        <v>400</v>
      </c>
      <c r="E3741" t="s">
        <v>401</v>
      </c>
      <c r="F3741">
        <v>1</v>
      </c>
      <c r="G3741" t="s">
        <v>176</v>
      </c>
      <c r="H3741">
        <v>0</v>
      </c>
      <c r="I3741">
        <v>27</v>
      </c>
      <c r="J3741" s="10">
        <v>14</v>
      </c>
      <c r="K3741" s="10">
        <f>SUMIFS(F:F,D:D,DST_123_ÜRETİM_İHTİYAÇ_RAPORU_BURAK_YENI1309[[#This Row],[ALT_KOD]])-(SUMIFS(H:H,D:D,DST_123_ÜRETİM_İHTİYAÇ_RAPORU_BURAK_YENI1309[[#This Row],[ALT_KOD]])+AVERAGEIFS(I:I,D:D,DST_123_ÜRETİM_İHTİYAÇ_RAPORU_BURAK_YENI1309[[#This Row],[ALT_KOD]])+AVERAGEIFS(L:L,D:D,DST_123_ÜRETİM_İHTİYAÇ_RAPORU_BURAK_YENI1309[[#This Row],[ALT_KOD]]))</f>
        <v>-18</v>
      </c>
      <c r="L3741">
        <v>0</v>
      </c>
      <c r="M3741">
        <f>IF((DST_123_ÜRETİM_İHTİYAÇ_RAPORU_BURAK_YENI1309[[#This Row],[SATINALMA]]*DST_123_ÜRETİM_İHTİYAÇ_RAPORU_BURAK_YENI1309[[#This Row],[BIRIM_FIYATLAR]])&lt;1,VALUE("0"),DST_123_ÜRETİM_İHTİYAÇ_RAPORU_BURAK_YENI1309[[#This Row],[SATINALMA]]*DST_123_ÜRETİM_İHTİYAÇ_RAPORU_BURAK_YENI1309[[#This Row],[BIRIM_FIYATLAR]])</f>
        <v>0</v>
      </c>
      <c r="N3741">
        <v>15</v>
      </c>
      <c r="O3741" t="s">
        <v>220</v>
      </c>
      <c r="P3741">
        <v>15</v>
      </c>
      <c r="Q3741" t="s">
        <v>221</v>
      </c>
    </row>
    <row r="3742" spans="1:17" x14ac:dyDescent="0.25">
      <c r="A3742" t="s">
        <v>1142</v>
      </c>
      <c r="B3742" t="s">
        <v>1056</v>
      </c>
      <c r="C3742" t="s">
        <v>175</v>
      </c>
      <c r="D3742" t="s">
        <v>400</v>
      </c>
      <c r="E3742" t="s">
        <v>401</v>
      </c>
      <c r="F3742">
        <v>1</v>
      </c>
      <c r="G3742" t="s">
        <v>176</v>
      </c>
      <c r="H3742">
        <v>0</v>
      </c>
      <c r="I3742">
        <v>27</v>
      </c>
      <c r="J3742" s="10">
        <v>14</v>
      </c>
      <c r="K3742" s="10">
        <f>SUMIFS(F:F,D:D,DST_123_ÜRETİM_İHTİYAÇ_RAPORU_BURAK_YENI1309[[#This Row],[ALT_KOD]])-(SUMIFS(H:H,D:D,DST_123_ÜRETİM_İHTİYAÇ_RAPORU_BURAK_YENI1309[[#This Row],[ALT_KOD]])+AVERAGEIFS(I:I,D:D,DST_123_ÜRETİM_İHTİYAÇ_RAPORU_BURAK_YENI1309[[#This Row],[ALT_KOD]])+AVERAGEIFS(L:L,D:D,DST_123_ÜRETİM_İHTİYAÇ_RAPORU_BURAK_YENI1309[[#This Row],[ALT_KOD]]))</f>
        <v>-18</v>
      </c>
      <c r="L3742">
        <v>0</v>
      </c>
      <c r="M3742">
        <f>IF((DST_123_ÜRETİM_İHTİYAÇ_RAPORU_BURAK_YENI1309[[#This Row],[SATINALMA]]*DST_123_ÜRETİM_İHTİYAÇ_RAPORU_BURAK_YENI1309[[#This Row],[BIRIM_FIYATLAR]])&lt;1,VALUE("0"),DST_123_ÜRETİM_İHTİYAÇ_RAPORU_BURAK_YENI1309[[#This Row],[SATINALMA]]*DST_123_ÜRETİM_İHTİYAÇ_RAPORU_BURAK_YENI1309[[#This Row],[BIRIM_FIYATLAR]])</f>
        <v>0</v>
      </c>
      <c r="N3742">
        <v>15</v>
      </c>
      <c r="O3742" t="s">
        <v>220</v>
      </c>
      <c r="P3742">
        <v>15</v>
      </c>
      <c r="Q3742" t="s">
        <v>221</v>
      </c>
    </row>
    <row r="3743" spans="1:17" x14ac:dyDescent="0.25">
      <c r="A3743" t="s">
        <v>1142</v>
      </c>
      <c r="B3743" t="s">
        <v>1056</v>
      </c>
      <c r="C3743" t="s">
        <v>175</v>
      </c>
      <c r="D3743" t="s">
        <v>699</v>
      </c>
      <c r="E3743" t="s">
        <v>700</v>
      </c>
      <c r="F3743">
        <v>1</v>
      </c>
      <c r="G3743" t="s">
        <v>176</v>
      </c>
      <c r="H3743">
        <v>0</v>
      </c>
      <c r="I3743">
        <v>135</v>
      </c>
      <c r="J3743" s="10">
        <v>7</v>
      </c>
      <c r="K3743" s="10">
        <f>SUMIFS(F:F,D:D,DST_123_ÜRETİM_İHTİYAÇ_RAPORU_BURAK_YENI1309[[#This Row],[ALT_KOD]])-(SUMIFS(H:H,D:D,DST_123_ÜRETİM_İHTİYAÇ_RAPORU_BURAK_YENI1309[[#This Row],[ALT_KOD]])+AVERAGEIFS(I:I,D:D,DST_123_ÜRETİM_İHTİYAÇ_RAPORU_BURAK_YENI1309[[#This Row],[ALT_KOD]])+AVERAGEIFS(L:L,D:D,DST_123_ÜRETİM_İHTİYAÇ_RAPORU_BURAK_YENI1309[[#This Row],[ALT_KOD]]))</f>
        <v>-119</v>
      </c>
      <c r="L3743">
        <v>0</v>
      </c>
      <c r="M3743">
        <f>IF((DST_123_ÜRETİM_İHTİYAÇ_RAPORU_BURAK_YENI1309[[#This Row],[SATINALMA]]*DST_123_ÜRETİM_İHTİYAÇ_RAPORU_BURAK_YENI1309[[#This Row],[BIRIM_FIYATLAR]])&lt;1,VALUE("0"),DST_123_ÜRETİM_İHTİYAÇ_RAPORU_BURAK_YENI1309[[#This Row],[SATINALMA]]*DST_123_ÜRETİM_İHTİYAÇ_RAPORU_BURAK_YENI1309[[#This Row],[BIRIM_FIYATLAR]])</f>
        <v>0</v>
      </c>
      <c r="N3743">
        <v>39.6</v>
      </c>
      <c r="O3743" t="s">
        <v>220</v>
      </c>
      <c r="P3743">
        <v>39.6</v>
      </c>
      <c r="Q3743" t="s">
        <v>221</v>
      </c>
    </row>
    <row r="3744" spans="1:17" x14ac:dyDescent="0.25">
      <c r="A3744" t="s">
        <v>1142</v>
      </c>
      <c r="B3744" t="s">
        <v>1056</v>
      </c>
      <c r="C3744" t="s">
        <v>175</v>
      </c>
      <c r="D3744" t="s">
        <v>276</v>
      </c>
      <c r="E3744" t="s">
        <v>315</v>
      </c>
      <c r="F3744">
        <v>1</v>
      </c>
      <c r="G3744" t="s">
        <v>176</v>
      </c>
      <c r="H3744">
        <v>0</v>
      </c>
      <c r="I3744">
        <v>28</v>
      </c>
      <c r="J3744" s="10">
        <v>4</v>
      </c>
      <c r="K3744" s="10">
        <f>SUMIFS(F:F,D:D,DST_123_ÜRETİM_İHTİYAÇ_RAPORU_BURAK_YENI1309[[#This Row],[ALT_KOD]])-(SUMIFS(H:H,D:D,DST_123_ÜRETİM_İHTİYAÇ_RAPORU_BURAK_YENI1309[[#This Row],[ALT_KOD]])+AVERAGEIFS(I:I,D:D,DST_123_ÜRETİM_İHTİYAÇ_RAPORU_BURAK_YENI1309[[#This Row],[ALT_KOD]])+AVERAGEIFS(L:L,D:D,DST_123_ÜRETİM_İHTİYAÇ_RAPORU_BURAK_YENI1309[[#This Row],[ALT_KOD]]))</f>
        <v>-21</v>
      </c>
      <c r="L3744">
        <v>0</v>
      </c>
      <c r="M3744">
        <f>IF((DST_123_ÜRETİM_İHTİYAÇ_RAPORU_BURAK_YENI1309[[#This Row],[SATINALMA]]*DST_123_ÜRETİM_İHTİYAÇ_RAPORU_BURAK_YENI1309[[#This Row],[BIRIM_FIYATLAR]])&lt;1,VALUE("0"),DST_123_ÜRETİM_İHTİYAÇ_RAPORU_BURAK_YENI1309[[#This Row],[SATINALMA]]*DST_123_ÜRETİM_İHTİYAÇ_RAPORU_BURAK_YENI1309[[#This Row],[BIRIM_FIYATLAR]])</f>
        <v>0</v>
      </c>
      <c r="N3744">
        <v>290.73</v>
      </c>
      <c r="O3744" t="s">
        <v>636</v>
      </c>
      <c r="P3744">
        <v>290.73</v>
      </c>
      <c r="Q3744" t="s">
        <v>178</v>
      </c>
    </row>
    <row r="3745" spans="1:17" x14ac:dyDescent="0.25">
      <c r="A3745" t="s">
        <v>1142</v>
      </c>
      <c r="B3745" t="s">
        <v>1056</v>
      </c>
      <c r="C3745" t="s">
        <v>175</v>
      </c>
      <c r="D3745" t="s">
        <v>730</v>
      </c>
      <c r="E3745" t="s">
        <v>731</v>
      </c>
      <c r="F3745">
        <v>2</v>
      </c>
      <c r="G3745" t="s">
        <v>176</v>
      </c>
      <c r="H3745">
        <v>0</v>
      </c>
      <c r="I3745">
        <v>265</v>
      </c>
      <c r="J3745" s="10">
        <v>94</v>
      </c>
      <c r="K3745" s="10">
        <f>SUMIFS(F:F,D:D,DST_123_ÜRETİM_İHTİYAÇ_RAPORU_BURAK_YENI1309[[#This Row],[ALT_KOD]])-(SUMIFS(H:H,D:D,DST_123_ÜRETİM_İHTİYAÇ_RAPORU_BURAK_YENI1309[[#This Row],[ALT_KOD]])+AVERAGEIFS(I:I,D:D,DST_123_ÜRETİM_İHTİYAÇ_RAPORU_BURAK_YENI1309[[#This Row],[ALT_KOD]])+AVERAGEIFS(L:L,D:D,DST_123_ÜRETİM_İHTİYAÇ_RAPORU_BURAK_YENI1309[[#This Row],[ALT_KOD]]))</f>
        <v>-249</v>
      </c>
      <c r="L3745">
        <v>0</v>
      </c>
      <c r="M3745">
        <f>IF((DST_123_ÜRETİM_İHTİYAÇ_RAPORU_BURAK_YENI1309[[#This Row],[SATINALMA]]*DST_123_ÜRETİM_İHTİYAÇ_RAPORU_BURAK_YENI1309[[#This Row],[BIRIM_FIYATLAR]])&lt;1,VALUE("0"),DST_123_ÜRETİM_İHTİYAÇ_RAPORU_BURAK_YENI1309[[#This Row],[SATINALMA]]*DST_123_ÜRETİM_İHTİYAÇ_RAPORU_BURAK_YENI1309[[#This Row],[BIRIM_FIYATLAR]])</f>
        <v>0</v>
      </c>
      <c r="N3745">
        <v>4</v>
      </c>
      <c r="O3745" t="s">
        <v>220</v>
      </c>
      <c r="P3745">
        <v>8</v>
      </c>
      <c r="Q3745" t="s">
        <v>221</v>
      </c>
    </row>
    <row r="3746" spans="1:17" x14ac:dyDescent="0.25">
      <c r="A3746" t="s">
        <v>1142</v>
      </c>
      <c r="B3746" t="s">
        <v>1056</v>
      </c>
      <c r="C3746" t="s">
        <v>175</v>
      </c>
      <c r="D3746" t="s">
        <v>580</v>
      </c>
      <c r="E3746" t="s">
        <v>581</v>
      </c>
      <c r="F3746">
        <v>18.8</v>
      </c>
      <c r="G3746" t="s">
        <v>185</v>
      </c>
      <c r="H3746">
        <v>0</v>
      </c>
      <c r="I3746">
        <v>60</v>
      </c>
      <c r="J3746" s="10">
        <v>219.95999999999984</v>
      </c>
      <c r="K3746" s="10">
        <f>SUMIFS(F:F,D:D,DST_123_ÜRETİM_İHTİYAÇ_RAPORU_BURAK_YENI1309[[#This Row],[ALT_KOD]])-(SUMIFS(H:H,D:D,DST_123_ÜRETİM_İHTİYAÇ_RAPORU_BURAK_YENI1309[[#This Row],[ALT_KOD]])+AVERAGEIFS(I:I,D:D,DST_123_ÜRETİM_İHTİYAÇ_RAPORU_BURAK_YENI1309[[#This Row],[ALT_KOD]])+AVERAGEIFS(L:L,D:D,DST_123_ÜRETİM_İHTİYAÇ_RAPORU_BURAK_YENI1309[[#This Row],[ALT_KOD]]))</f>
        <v>143.41000000000003</v>
      </c>
      <c r="L3746">
        <v>0</v>
      </c>
      <c r="M3746">
        <f>IF((DST_123_ÜRETİM_İHTİYAÇ_RAPORU_BURAK_YENI1309[[#This Row],[SATINALMA]]*DST_123_ÜRETİM_İHTİYAÇ_RAPORU_BURAK_YENI1309[[#This Row],[BIRIM_FIYATLAR]])&lt;1,VALUE("0"),DST_123_ÜRETİM_İHTİYAÇ_RAPORU_BURAK_YENI1309[[#This Row],[SATINALMA]]*DST_123_ÜRETİM_İHTİYAÇ_RAPORU_BURAK_YENI1309[[#This Row],[BIRIM_FIYATLAR]])</f>
        <v>23533.581000000002</v>
      </c>
      <c r="N3746">
        <v>164.1</v>
      </c>
      <c r="O3746" t="s">
        <v>490</v>
      </c>
      <c r="P3746">
        <v>3085.08</v>
      </c>
      <c r="Q3746" t="s">
        <v>183</v>
      </c>
    </row>
    <row r="3747" spans="1:17" x14ac:dyDescent="0.25">
      <c r="A3747" t="s">
        <v>1142</v>
      </c>
      <c r="B3747" t="s">
        <v>1056</v>
      </c>
      <c r="C3747" t="s">
        <v>175</v>
      </c>
      <c r="D3747" t="s">
        <v>1084</v>
      </c>
      <c r="E3747" t="s">
        <v>1085</v>
      </c>
      <c r="F3747">
        <v>2</v>
      </c>
      <c r="G3747" t="s">
        <v>176</v>
      </c>
      <c r="H3747">
        <v>0</v>
      </c>
      <c r="I3747">
        <v>12</v>
      </c>
      <c r="J3747" s="10">
        <v>18</v>
      </c>
      <c r="K3747" s="10">
        <f>SUMIFS(F:F,D:D,DST_123_ÜRETİM_İHTİYAÇ_RAPORU_BURAK_YENI1309[[#This Row],[ALT_KOD]])-(SUMIFS(H:H,D:D,DST_123_ÜRETİM_İHTİYAÇ_RAPORU_BURAK_YENI1309[[#This Row],[ALT_KOD]])+AVERAGEIFS(I:I,D:D,DST_123_ÜRETİM_İHTİYAÇ_RAPORU_BURAK_YENI1309[[#This Row],[ALT_KOD]])+AVERAGEIFS(L:L,D:D,DST_123_ÜRETİM_İHTİYAÇ_RAPORU_BURAK_YENI1309[[#This Row],[ALT_KOD]]))</f>
        <v>-14</v>
      </c>
      <c r="L3747">
        <v>20</v>
      </c>
      <c r="M3747">
        <f>IF((DST_123_ÜRETİM_İHTİYAÇ_RAPORU_BURAK_YENI1309[[#This Row],[SATINALMA]]*DST_123_ÜRETİM_İHTİYAÇ_RAPORU_BURAK_YENI1309[[#This Row],[BIRIM_FIYATLAR]])&lt;1,VALUE("0"),DST_123_ÜRETİM_İHTİYAÇ_RAPORU_BURAK_YENI1309[[#This Row],[SATINALMA]]*DST_123_ÜRETİM_İHTİYAÇ_RAPORU_BURAK_YENI1309[[#This Row],[BIRIM_FIYATLAR]])</f>
        <v>0</v>
      </c>
      <c r="N3747">
        <v>194</v>
      </c>
      <c r="O3747" t="s">
        <v>217</v>
      </c>
      <c r="P3747">
        <v>388</v>
      </c>
      <c r="Q3747" t="s">
        <v>177</v>
      </c>
    </row>
    <row r="3748" spans="1:17" x14ac:dyDescent="0.25">
      <c r="A3748" t="s">
        <v>1099</v>
      </c>
      <c r="B3748" t="s">
        <v>1055</v>
      </c>
      <c r="C3748" t="s">
        <v>175</v>
      </c>
      <c r="D3748" t="s">
        <v>548</v>
      </c>
      <c r="E3748" t="s">
        <v>549</v>
      </c>
      <c r="F3748">
        <v>15</v>
      </c>
      <c r="G3748" t="s">
        <v>176</v>
      </c>
      <c r="H3748">
        <v>0</v>
      </c>
      <c r="I3748">
        <v>800</v>
      </c>
      <c r="J3748" s="10">
        <v>0</v>
      </c>
      <c r="K3748" s="10">
        <f>SUMIFS(F:F,D:D,DST_123_ÜRETİM_İHTİYAÇ_RAPORU_BURAK_YENI1309[[#This Row],[ALT_KOD]])-(SUMIFS(H:H,D:D,DST_123_ÜRETİM_İHTİYAÇ_RAPORU_BURAK_YENI1309[[#This Row],[ALT_KOD]])+AVERAGEIFS(I:I,D:D,DST_123_ÜRETİM_İHTİYAÇ_RAPORU_BURAK_YENI1309[[#This Row],[ALT_KOD]])+AVERAGEIFS(L:L,D:D,DST_123_ÜRETİM_İHTİYAÇ_RAPORU_BURAK_YENI1309[[#This Row],[ALT_KOD]]))</f>
        <v>-414</v>
      </c>
      <c r="L3748">
        <v>0</v>
      </c>
      <c r="M3748">
        <f>IF((DST_123_ÜRETİM_İHTİYAÇ_RAPORU_BURAK_YENI1309[[#This Row],[SATINALMA]]*DST_123_ÜRETİM_İHTİYAÇ_RAPORU_BURAK_YENI1309[[#This Row],[BIRIM_FIYATLAR]])&lt;1,VALUE("0"),DST_123_ÜRETİM_İHTİYAÇ_RAPORU_BURAK_YENI1309[[#This Row],[SATINALMA]]*DST_123_ÜRETİM_İHTİYAÇ_RAPORU_BURAK_YENI1309[[#This Row],[BIRIM_FIYATLAR]])</f>
        <v>0</v>
      </c>
      <c r="N3748">
        <v>13.75</v>
      </c>
      <c r="O3748" t="s">
        <v>628</v>
      </c>
      <c r="P3748">
        <v>206.25</v>
      </c>
      <c r="Q3748" t="s">
        <v>180</v>
      </c>
    </row>
    <row r="3749" spans="1:17" x14ac:dyDescent="0.25">
      <c r="A3749" t="s">
        <v>1099</v>
      </c>
      <c r="B3749" t="s">
        <v>1055</v>
      </c>
      <c r="C3749" t="s">
        <v>175</v>
      </c>
      <c r="D3749" t="s">
        <v>552</v>
      </c>
      <c r="E3749" t="s">
        <v>553</v>
      </c>
      <c r="F3749">
        <v>0.73</v>
      </c>
      <c r="G3749" t="s">
        <v>176</v>
      </c>
      <c r="H3749">
        <v>0</v>
      </c>
      <c r="I3749">
        <v>14</v>
      </c>
      <c r="J3749" s="10">
        <v>9.9999999999999929</v>
      </c>
      <c r="K3749" s="10">
        <f>SUMIFS(F:F,D:D,DST_123_ÜRETİM_İHTİYAÇ_RAPORU_BURAK_YENI1309[[#This Row],[ALT_KOD]])-(SUMIFS(H:H,D:D,DST_123_ÜRETİM_İHTİYAÇ_RAPORU_BURAK_YENI1309[[#This Row],[ALT_KOD]])+AVERAGEIFS(I:I,D:D,DST_123_ÜRETİM_İHTİYAÇ_RAPORU_BURAK_YENI1309[[#This Row],[ALT_KOD]])+AVERAGEIFS(L:L,D:D,DST_123_ÜRETİM_İHTİYAÇ_RAPORU_BURAK_YENI1309[[#This Row],[ALT_KOD]]))</f>
        <v>2.5700000000000003</v>
      </c>
      <c r="L3749">
        <v>0</v>
      </c>
      <c r="M3749">
        <f>IF((DST_123_ÜRETİM_İHTİYAÇ_RAPORU_BURAK_YENI1309[[#This Row],[SATINALMA]]*DST_123_ÜRETİM_İHTİYAÇ_RAPORU_BURAK_YENI1309[[#This Row],[BIRIM_FIYATLAR]])&lt;1,VALUE("0"),DST_123_ÜRETİM_İHTİYAÇ_RAPORU_BURAK_YENI1309[[#This Row],[SATINALMA]]*DST_123_ÜRETİM_İHTİYAÇ_RAPORU_BURAK_YENI1309[[#This Row],[BIRIM_FIYATLAR]])</f>
        <v>552.55000000000007</v>
      </c>
      <c r="N3749">
        <v>215</v>
      </c>
      <c r="O3749" t="s">
        <v>240</v>
      </c>
      <c r="P3749">
        <v>156.94999999999999</v>
      </c>
      <c r="Q3749" t="s">
        <v>180</v>
      </c>
    </row>
    <row r="3750" spans="1:17" x14ac:dyDescent="0.25">
      <c r="A3750" t="s">
        <v>1099</v>
      </c>
      <c r="B3750" t="s">
        <v>1055</v>
      </c>
      <c r="C3750" t="s">
        <v>175</v>
      </c>
      <c r="D3750" t="s">
        <v>560</v>
      </c>
      <c r="E3750" t="s">
        <v>561</v>
      </c>
      <c r="F3750">
        <v>3.5</v>
      </c>
      <c r="G3750" t="s">
        <v>176</v>
      </c>
      <c r="H3750">
        <v>0</v>
      </c>
      <c r="I3750">
        <v>272</v>
      </c>
      <c r="J3750" s="10">
        <v>4.2999999999999652</v>
      </c>
      <c r="K3750" s="10">
        <f>SUMIFS(F:F,D:D,DST_123_ÜRETİM_İHTİYAÇ_RAPORU_BURAK_YENI1309[[#This Row],[ALT_KOD]])-(SUMIFS(H:H,D:D,DST_123_ÜRETİM_İHTİYAÇ_RAPORU_BURAK_YENI1309[[#This Row],[ALT_KOD]])+AVERAGEIFS(I:I,D:D,DST_123_ÜRETİM_İHTİYAÇ_RAPORU_BURAK_YENI1309[[#This Row],[ALT_KOD]])+AVERAGEIFS(L:L,D:D,DST_123_ÜRETİM_İHTİYAÇ_RAPORU_BURAK_YENI1309[[#This Row],[ALT_KOD]]))</f>
        <v>-233.2</v>
      </c>
      <c r="L3750">
        <v>0</v>
      </c>
      <c r="M3750">
        <f>IF((DST_123_ÜRETİM_İHTİYAÇ_RAPORU_BURAK_YENI1309[[#This Row],[SATINALMA]]*DST_123_ÜRETİM_İHTİYAÇ_RAPORU_BURAK_YENI1309[[#This Row],[BIRIM_FIYATLAR]])&lt;1,VALUE("0"),DST_123_ÜRETİM_İHTİYAÇ_RAPORU_BURAK_YENI1309[[#This Row],[SATINALMA]]*DST_123_ÜRETİM_İHTİYAÇ_RAPORU_BURAK_YENI1309[[#This Row],[BIRIM_FIYATLAR]])</f>
        <v>0</v>
      </c>
      <c r="N3750">
        <v>30</v>
      </c>
      <c r="O3750" t="s">
        <v>240</v>
      </c>
      <c r="P3750">
        <v>105</v>
      </c>
      <c r="Q3750" t="s">
        <v>180</v>
      </c>
    </row>
    <row r="3751" spans="1:17" x14ac:dyDescent="0.25">
      <c r="A3751" t="s">
        <v>1099</v>
      </c>
      <c r="B3751" t="s">
        <v>1055</v>
      </c>
      <c r="C3751" t="s">
        <v>175</v>
      </c>
      <c r="D3751" t="s">
        <v>522</v>
      </c>
      <c r="E3751" t="s">
        <v>523</v>
      </c>
      <c r="F3751">
        <v>3</v>
      </c>
      <c r="G3751" t="s">
        <v>176</v>
      </c>
      <c r="H3751">
        <v>0</v>
      </c>
      <c r="I3751">
        <v>235</v>
      </c>
      <c r="J3751" s="10">
        <v>-7.460698725481052E-14</v>
      </c>
      <c r="K3751" s="10">
        <f>SUMIFS(F:F,D:D,DST_123_ÜRETİM_İHTİYAÇ_RAPORU_BURAK_YENI1309[[#This Row],[ALT_KOD]])-(SUMIFS(H:H,D:D,DST_123_ÜRETİM_İHTİYAÇ_RAPORU_BURAK_YENI1309[[#This Row],[ALT_KOD]])+AVERAGEIFS(I:I,D:D,DST_123_ÜRETİM_İHTİYAÇ_RAPORU_BURAK_YENI1309[[#This Row],[ALT_KOD]])+AVERAGEIFS(L:L,D:D,DST_123_ÜRETİM_İHTİYAÇ_RAPORU_BURAK_YENI1309[[#This Row],[ALT_KOD]]))</f>
        <v>-215.94</v>
      </c>
      <c r="L3751">
        <v>0</v>
      </c>
      <c r="M3751">
        <f>IF((DST_123_ÜRETİM_İHTİYAÇ_RAPORU_BURAK_YENI1309[[#This Row],[SATINALMA]]*DST_123_ÜRETİM_İHTİYAÇ_RAPORU_BURAK_YENI1309[[#This Row],[BIRIM_FIYATLAR]])&lt;1,VALUE("0"),DST_123_ÜRETİM_İHTİYAÇ_RAPORU_BURAK_YENI1309[[#This Row],[SATINALMA]]*DST_123_ÜRETİM_İHTİYAÇ_RAPORU_BURAK_YENI1309[[#This Row],[BIRIM_FIYATLAR]])</f>
        <v>0</v>
      </c>
      <c r="N3751">
        <v>15</v>
      </c>
      <c r="O3751" t="s">
        <v>226</v>
      </c>
      <c r="P3751">
        <v>45</v>
      </c>
      <c r="Q3751" t="s">
        <v>180</v>
      </c>
    </row>
    <row r="3752" spans="1:17" x14ac:dyDescent="0.25">
      <c r="A3752" t="s">
        <v>1196</v>
      </c>
      <c r="B3752" t="s">
        <v>1197</v>
      </c>
      <c r="C3752" t="s">
        <v>175</v>
      </c>
      <c r="D3752" t="s">
        <v>689</v>
      </c>
      <c r="E3752" t="s">
        <v>690</v>
      </c>
      <c r="F3752">
        <v>1</v>
      </c>
      <c r="G3752" t="s">
        <v>176</v>
      </c>
      <c r="H3752">
        <v>0</v>
      </c>
      <c r="I3752">
        <v>23</v>
      </c>
      <c r="J3752" s="10">
        <v>5</v>
      </c>
      <c r="K3752" s="10">
        <f>SUMIFS(F:F,D:D,DST_123_ÜRETİM_İHTİYAÇ_RAPORU_BURAK_YENI1309[[#This Row],[ALT_KOD]])-(SUMIFS(H:H,D:D,DST_123_ÜRETİM_İHTİYAÇ_RAPORU_BURAK_YENI1309[[#This Row],[ALT_KOD]])+AVERAGEIFS(I:I,D:D,DST_123_ÜRETİM_İHTİYAÇ_RAPORU_BURAK_YENI1309[[#This Row],[ALT_KOD]])+AVERAGEIFS(L:L,D:D,DST_123_ÜRETİM_İHTİYAÇ_RAPORU_BURAK_YENI1309[[#This Row],[ALT_KOD]]))</f>
        <v>-12</v>
      </c>
      <c r="L3752">
        <v>0</v>
      </c>
      <c r="M3752">
        <f>IF((DST_123_ÜRETİM_İHTİYAÇ_RAPORU_BURAK_YENI1309[[#This Row],[SATINALMA]]*DST_123_ÜRETİM_İHTİYAÇ_RAPORU_BURAK_YENI1309[[#This Row],[BIRIM_FIYATLAR]])&lt;1,VALUE("0"),DST_123_ÜRETİM_İHTİYAÇ_RAPORU_BURAK_YENI1309[[#This Row],[SATINALMA]]*DST_123_ÜRETİM_İHTİYAÇ_RAPORU_BURAK_YENI1309[[#This Row],[BIRIM_FIYATLAR]])</f>
        <v>0</v>
      </c>
      <c r="N3752">
        <v>871.93</v>
      </c>
      <c r="O3752" t="s">
        <v>691</v>
      </c>
      <c r="P3752">
        <v>871.93</v>
      </c>
      <c r="Q3752" t="s">
        <v>177</v>
      </c>
    </row>
    <row r="3753" spans="1:17" x14ac:dyDescent="0.25">
      <c r="A3753" t="s">
        <v>1142</v>
      </c>
      <c r="B3753" t="s">
        <v>1056</v>
      </c>
      <c r="C3753" t="s">
        <v>175</v>
      </c>
      <c r="D3753" t="s">
        <v>1078</v>
      </c>
      <c r="E3753" t="s">
        <v>1079</v>
      </c>
      <c r="F3753">
        <v>1</v>
      </c>
      <c r="G3753" t="s">
        <v>176</v>
      </c>
      <c r="H3753">
        <v>0</v>
      </c>
      <c r="I3753">
        <v>3</v>
      </c>
      <c r="J3753" s="10">
        <v>8</v>
      </c>
      <c r="K3753" s="10">
        <f>SUMIFS(F:F,D:D,DST_123_ÜRETİM_İHTİYAÇ_RAPORU_BURAK_YENI1309[[#This Row],[ALT_KOD]])-(SUMIFS(H:H,D:D,DST_123_ÜRETİM_İHTİYAÇ_RAPORU_BURAK_YENI1309[[#This Row],[ALT_KOD]])+AVERAGEIFS(I:I,D:D,DST_123_ÜRETİM_İHTİYAÇ_RAPORU_BURAK_YENI1309[[#This Row],[ALT_KOD]])+AVERAGEIFS(L:L,D:D,DST_123_ÜRETİM_İHTİYAÇ_RAPORU_BURAK_YENI1309[[#This Row],[ALT_KOD]]))</f>
        <v>-2</v>
      </c>
      <c r="L3753">
        <v>10</v>
      </c>
      <c r="M3753">
        <f>IF((DST_123_ÜRETİM_İHTİYAÇ_RAPORU_BURAK_YENI1309[[#This Row],[SATINALMA]]*DST_123_ÜRETİM_İHTİYAÇ_RAPORU_BURAK_YENI1309[[#This Row],[BIRIM_FIYATLAR]])&lt;1,VALUE("0"),DST_123_ÜRETİM_İHTİYAÇ_RAPORU_BURAK_YENI1309[[#This Row],[SATINALMA]]*DST_123_ÜRETİM_İHTİYAÇ_RAPORU_BURAK_YENI1309[[#This Row],[BIRIM_FIYATLAR]])</f>
        <v>0</v>
      </c>
      <c r="N3753">
        <v>3097.63</v>
      </c>
      <c r="O3753" t="s">
        <v>592</v>
      </c>
      <c r="P3753">
        <v>3097.63</v>
      </c>
      <c r="Q3753" t="s">
        <v>178</v>
      </c>
    </row>
    <row r="3754" spans="1:17" x14ac:dyDescent="0.25">
      <c r="A3754" t="s">
        <v>1098</v>
      </c>
      <c r="B3754" t="s">
        <v>1096</v>
      </c>
      <c r="C3754" t="s">
        <v>175</v>
      </c>
      <c r="D3754" t="s">
        <v>552</v>
      </c>
      <c r="E3754" t="s">
        <v>553</v>
      </c>
      <c r="F3754">
        <v>0.67</v>
      </c>
      <c r="G3754" t="s">
        <v>176</v>
      </c>
      <c r="H3754">
        <v>0</v>
      </c>
      <c r="I3754">
        <v>14</v>
      </c>
      <c r="J3754" s="10">
        <v>9.9999999999999929</v>
      </c>
      <c r="K3754" s="10">
        <f>SUMIFS(F:F,D:D,DST_123_ÜRETİM_İHTİYAÇ_RAPORU_BURAK_YENI1309[[#This Row],[ALT_KOD]])-(SUMIFS(H:H,D:D,DST_123_ÜRETİM_İHTİYAÇ_RAPORU_BURAK_YENI1309[[#This Row],[ALT_KOD]])+AVERAGEIFS(I:I,D:D,DST_123_ÜRETİM_İHTİYAÇ_RAPORU_BURAK_YENI1309[[#This Row],[ALT_KOD]])+AVERAGEIFS(L:L,D:D,DST_123_ÜRETİM_İHTİYAÇ_RAPORU_BURAK_YENI1309[[#This Row],[ALT_KOD]]))</f>
        <v>2.5700000000000003</v>
      </c>
      <c r="L3754">
        <v>0</v>
      </c>
      <c r="M3754">
        <f>IF((DST_123_ÜRETİM_İHTİYAÇ_RAPORU_BURAK_YENI1309[[#This Row],[SATINALMA]]*DST_123_ÜRETİM_İHTİYAÇ_RAPORU_BURAK_YENI1309[[#This Row],[BIRIM_FIYATLAR]])&lt;1,VALUE("0"),DST_123_ÜRETİM_İHTİYAÇ_RAPORU_BURAK_YENI1309[[#This Row],[SATINALMA]]*DST_123_ÜRETİM_İHTİYAÇ_RAPORU_BURAK_YENI1309[[#This Row],[BIRIM_FIYATLAR]])</f>
        <v>552.55000000000007</v>
      </c>
      <c r="N3754">
        <v>215</v>
      </c>
      <c r="O3754" t="s">
        <v>240</v>
      </c>
      <c r="P3754">
        <v>144.05000000000001</v>
      </c>
      <c r="Q3754" t="s">
        <v>180</v>
      </c>
    </row>
    <row r="3755" spans="1:17" x14ac:dyDescent="0.25">
      <c r="A3755" t="s">
        <v>1064</v>
      </c>
      <c r="B3755" t="s">
        <v>1055</v>
      </c>
      <c r="C3755" t="s">
        <v>175</v>
      </c>
      <c r="D3755" t="s">
        <v>560</v>
      </c>
      <c r="E3755" t="s">
        <v>561</v>
      </c>
      <c r="F3755">
        <v>1.5</v>
      </c>
      <c r="G3755" t="s">
        <v>176</v>
      </c>
      <c r="H3755">
        <v>0</v>
      </c>
      <c r="I3755">
        <v>272</v>
      </c>
      <c r="J3755" s="10">
        <v>4.2999999999999652</v>
      </c>
      <c r="K3755" s="10">
        <f>SUMIFS(F:F,D:D,DST_123_ÜRETİM_İHTİYAÇ_RAPORU_BURAK_YENI1309[[#This Row],[ALT_KOD]])-(SUMIFS(H:H,D:D,DST_123_ÜRETİM_İHTİYAÇ_RAPORU_BURAK_YENI1309[[#This Row],[ALT_KOD]])+AVERAGEIFS(I:I,D:D,DST_123_ÜRETİM_İHTİYAÇ_RAPORU_BURAK_YENI1309[[#This Row],[ALT_KOD]])+AVERAGEIFS(L:L,D:D,DST_123_ÜRETİM_İHTİYAÇ_RAPORU_BURAK_YENI1309[[#This Row],[ALT_KOD]]))</f>
        <v>-233.2</v>
      </c>
      <c r="L3755">
        <v>0</v>
      </c>
      <c r="M3755">
        <f>IF((DST_123_ÜRETİM_İHTİYAÇ_RAPORU_BURAK_YENI1309[[#This Row],[SATINALMA]]*DST_123_ÜRETİM_İHTİYAÇ_RAPORU_BURAK_YENI1309[[#This Row],[BIRIM_FIYATLAR]])&lt;1,VALUE("0"),DST_123_ÜRETİM_İHTİYAÇ_RAPORU_BURAK_YENI1309[[#This Row],[SATINALMA]]*DST_123_ÜRETİM_İHTİYAÇ_RAPORU_BURAK_YENI1309[[#This Row],[BIRIM_FIYATLAR]])</f>
        <v>0</v>
      </c>
      <c r="N3755">
        <v>30</v>
      </c>
      <c r="O3755" t="s">
        <v>240</v>
      </c>
      <c r="P3755">
        <v>45</v>
      </c>
      <c r="Q3755" t="s">
        <v>180</v>
      </c>
    </row>
    <row r="3756" spans="1:17" x14ac:dyDescent="0.25">
      <c r="A3756" t="s">
        <v>1098</v>
      </c>
      <c r="B3756" t="s">
        <v>1096</v>
      </c>
      <c r="C3756" t="s">
        <v>175</v>
      </c>
      <c r="D3756" t="s">
        <v>560</v>
      </c>
      <c r="E3756" t="s">
        <v>561</v>
      </c>
      <c r="F3756">
        <v>1.5</v>
      </c>
      <c r="G3756" t="s">
        <v>176</v>
      </c>
      <c r="H3756">
        <v>0</v>
      </c>
      <c r="I3756">
        <v>272</v>
      </c>
      <c r="J3756" s="10">
        <v>4.2999999999999652</v>
      </c>
      <c r="K3756" s="10">
        <f>SUMIFS(F:F,D:D,DST_123_ÜRETİM_İHTİYAÇ_RAPORU_BURAK_YENI1309[[#This Row],[ALT_KOD]])-(SUMIFS(H:H,D:D,DST_123_ÜRETİM_İHTİYAÇ_RAPORU_BURAK_YENI1309[[#This Row],[ALT_KOD]])+AVERAGEIFS(I:I,D:D,DST_123_ÜRETİM_İHTİYAÇ_RAPORU_BURAK_YENI1309[[#This Row],[ALT_KOD]])+AVERAGEIFS(L:L,D:D,DST_123_ÜRETİM_İHTİYAÇ_RAPORU_BURAK_YENI1309[[#This Row],[ALT_KOD]]))</f>
        <v>-233.2</v>
      </c>
      <c r="L3756">
        <v>0</v>
      </c>
      <c r="M3756">
        <f>IF((DST_123_ÜRETİM_İHTİYAÇ_RAPORU_BURAK_YENI1309[[#This Row],[SATINALMA]]*DST_123_ÜRETİM_İHTİYAÇ_RAPORU_BURAK_YENI1309[[#This Row],[BIRIM_FIYATLAR]])&lt;1,VALUE("0"),DST_123_ÜRETİM_İHTİYAÇ_RAPORU_BURAK_YENI1309[[#This Row],[SATINALMA]]*DST_123_ÜRETİM_İHTİYAÇ_RAPORU_BURAK_YENI1309[[#This Row],[BIRIM_FIYATLAR]])</f>
        <v>0</v>
      </c>
      <c r="N3756">
        <v>30</v>
      </c>
      <c r="O3756" t="s">
        <v>240</v>
      </c>
      <c r="P3756">
        <v>45</v>
      </c>
      <c r="Q3756" t="s">
        <v>180</v>
      </c>
    </row>
    <row r="3757" spans="1:17" x14ac:dyDescent="0.25">
      <c r="A3757" t="s">
        <v>1064</v>
      </c>
      <c r="B3757" t="s">
        <v>1055</v>
      </c>
      <c r="C3757" t="s">
        <v>175</v>
      </c>
      <c r="D3757" t="s">
        <v>522</v>
      </c>
      <c r="E3757" t="s">
        <v>523</v>
      </c>
      <c r="F3757">
        <v>1.61</v>
      </c>
      <c r="G3757" t="s">
        <v>176</v>
      </c>
      <c r="H3757">
        <v>0</v>
      </c>
      <c r="I3757">
        <v>235</v>
      </c>
      <c r="J3757" s="10">
        <v>-7.460698725481052E-14</v>
      </c>
      <c r="K3757" s="10">
        <f>SUMIFS(F:F,D:D,DST_123_ÜRETİM_İHTİYAÇ_RAPORU_BURAK_YENI1309[[#This Row],[ALT_KOD]])-(SUMIFS(H:H,D:D,DST_123_ÜRETİM_İHTİYAÇ_RAPORU_BURAK_YENI1309[[#This Row],[ALT_KOD]])+AVERAGEIFS(I:I,D:D,DST_123_ÜRETİM_İHTİYAÇ_RAPORU_BURAK_YENI1309[[#This Row],[ALT_KOD]])+AVERAGEIFS(L:L,D:D,DST_123_ÜRETİM_İHTİYAÇ_RAPORU_BURAK_YENI1309[[#This Row],[ALT_KOD]]))</f>
        <v>-215.94</v>
      </c>
      <c r="L3757">
        <v>0</v>
      </c>
      <c r="M3757">
        <f>IF((DST_123_ÜRETİM_İHTİYAÇ_RAPORU_BURAK_YENI1309[[#This Row],[SATINALMA]]*DST_123_ÜRETİM_İHTİYAÇ_RAPORU_BURAK_YENI1309[[#This Row],[BIRIM_FIYATLAR]])&lt;1,VALUE("0"),DST_123_ÜRETİM_İHTİYAÇ_RAPORU_BURAK_YENI1309[[#This Row],[SATINALMA]]*DST_123_ÜRETİM_İHTİYAÇ_RAPORU_BURAK_YENI1309[[#This Row],[BIRIM_FIYATLAR]])</f>
        <v>0</v>
      </c>
      <c r="N3757">
        <v>15</v>
      </c>
      <c r="O3757" t="s">
        <v>226</v>
      </c>
      <c r="P3757">
        <v>24.150000000000002</v>
      </c>
      <c r="Q3757" t="s">
        <v>180</v>
      </c>
    </row>
    <row r="3758" spans="1:17" x14ac:dyDescent="0.25">
      <c r="A3758" t="s">
        <v>1196</v>
      </c>
      <c r="B3758" t="s">
        <v>1197</v>
      </c>
      <c r="C3758" t="s">
        <v>175</v>
      </c>
      <c r="D3758" t="s">
        <v>279</v>
      </c>
      <c r="E3758" t="s">
        <v>318</v>
      </c>
      <c r="F3758">
        <v>1</v>
      </c>
      <c r="G3758" t="s">
        <v>176</v>
      </c>
      <c r="H3758">
        <v>0</v>
      </c>
      <c r="I3758">
        <v>27</v>
      </c>
      <c r="J3758" s="10">
        <v>4</v>
      </c>
      <c r="K3758" s="10">
        <f>SUMIFS(F:F,D:D,DST_123_ÜRETİM_İHTİYAÇ_RAPORU_BURAK_YENI1309[[#This Row],[ALT_KOD]])-(SUMIFS(H:H,D:D,DST_123_ÜRETİM_İHTİYAÇ_RAPORU_BURAK_YENI1309[[#This Row],[ALT_KOD]])+AVERAGEIFS(I:I,D:D,DST_123_ÜRETİM_İHTİYAÇ_RAPORU_BURAK_YENI1309[[#This Row],[ALT_KOD]])+AVERAGEIFS(L:L,D:D,DST_123_ÜRETİM_İHTİYAÇ_RAPORU_BURAK_YENI1309[[#This Row],[ALT_KOD]]))</f>
        <v>-20</v>
      </c>
      <c r="L3758">
        <v>0</v>
      </c>
      <c r="M3758">
        <f>IF((DST_123_ÜRETİM_İHTİYAÇ_RAPORU_BURAK_YENI1309[[#This Row],[SATINALMA]]*DST_123_ÜRETİM_İHTİYAÇ_RAPORU_BURAK_YENI1309[[#This Row],[BIRIM_FIYATLAR]])&lt;1,VALUE("0"),DST_123_ÜRETİM_İHTİYAÇ_RAPORU_BURAK_YENI1309[[#This Row],[SATINALMA]]*DST_123_ÜRETİM_İHTİYAÇ_RAPORU_BURAK_YENI1309[[#This Row],[BIRIM_FIYATLAR]])</f>
        <v>0</v>
      </c>
      <c r="N3758">
        <v>290.73</v>
      </c>
      <c r="O3758" t="s">
        <v>636</v>
      </c>
      <c r="P3758">
        <v>290.73</v>
      </c>
      <c r="Q3758" t="s">
        <v>178</v>
      </c>
    </row>
    <row r="3759" spans="1:17" x14ac:dyDescent="0.25">
      <c r="A3759" t="s">
        <v>1064</v>
      </c>
      <c r="B3759" t="s">
        <v>1055</v>
      </c>
      <c r="C3759" t="s">
        <v>175</v>
      </c>
      <c r="D3759" t="s">
        <v>431</v>
      </c>
      <c r="E3759" t="s">
        <v>432</v>
      </c>
      <c r="F3759">
        <v>1</v>
      </c>
      <c r="G3759" t="s">
        <v>176</v>
      </c>
      <c r="H3759">
        <v>1</v>
      </c>
      <c r="I3759">
        <v>8</v>
      </c>
      <c r="J3759" s="10">
        <v>5</v>
      </c>
      <c r="K3759" s="10">
        <f>SUMIFS(F:F,D:D,DST_123_ÜRETİM_İHTİYAÇ_RAPORU_BURAK_YENI1309[[#This Row],[ALT_KOD]])-(SUMIFS(H:H,D:D,DST_123_ÜRETİM_İHTİYAÇ_RAPORU_BURAK_YENI1309[[#This Row],[ALT_KOD]])+AVERAGEIFS(I:I,D:D,DST_123_ÜRETİM_İHTİYAÇ_RAPORU_BURAK_YENI1309[[#This Row],[ALT_KOD]])+AVERAGEIFS(L:L,D:D,DST_123_ÜRETİM_İHTİYAÇ_RAPORU_BURAK_YENI1309[[#This Row],[ALT_KOD]]))</f>
        <v>-4</v>
      </c>
      <c r="L3759">
        <v>0</v>
      </c>
      <c r="M3759">
        <f>IF((DST_123_ÜRETİM_İHTİYAÇ_RAPORU_BURAK_YENI1309[[#This Row],[SATINALMA]]*DST_123_ÜRETİM_İHTİYAÇ_RAPORU_BURAK_YENI1309[[#This Row],[BIRIM_FIYATLAR]])&lt;1,VALUE("0"),DST_123_ÜRETİM_İHTİYAÇ_RAPORU_BURAK_YENI1309[[#This Row],[SATINALMA]]*DST_123_ÜRETİM_İHTİYAÇ_RAPORU_BURAK_YENI1309[[#This Row],[BIRIM_FIYATLAR]])</f>
        <v>0</v>
      </c>
      <c r="N3759">
        <v>1723.79</v>
      </c>
      <c r="O3759" t="s">
        <v>636</v>
      </c>
      <c r="P3759">
        <v>1723.79</v>
      </c>
      <c r="Q3759" t="s">
        <v>178</v>
      </c>
    </row>
    <row r="3760" spans="1:17" x14ac:dyDescent="0.25">
      <c r="A3760" t="s">
        <v>1098</v>
      </c>
      <c r="B3760" t="s">
        <v>1096</v>
      </c>
      <c r="C3760" t="s">
        <v>175</v>
      </c>
      <c r="D3760" t="s">
        <v>431</v>
      </c>
      <c r="E3760" t="s">
        <v>432</v>
      </c>
      <c r="F3760">
        <v>1</v>
      </c>
      <c r="G3760" t="s">
        <v>176</v>
      </c>
      <c r="H3760">
        <v>0</v>
      </c>
      <c r="I3760">
        <v>8</v>
      </c>
      <c r="J3760" s="10">
        <v>5</v>
      </c>
      <c r="K3760" s="10">
        <f>SUMIFS(F:F,D:D,DST_123_ÜRETİM_İHTİYAÇ_RAPORU_BURAK_YENI1309[[#This Row],[ALT_KOD]])-(SUMIFS(H:H,D:D,DST_123_ÜRETİM_İHTİYAÇ_RAPORU_BURAK_YENI1309[[#This Row],[ALT_KOD]])+AVERAGEIFS(I:I,D:D,DST_123_ÜRETİM_İHTİYAÇ_RAPORU_BURAK_YENI1309[[#This Row],[ALT_KOD]])+AVERAGEIFS(L:L,D:D,DST_123_ÜRETİM_İHTİYAÇ_RAPORU_BURAK_YENI1309[[#This Row],[ALT_KOD]]))</f>
        <v>-4</v>
      </c>
      <c r="L3760">
        <v>0</v>
      </c>
      <c r="M3760">
        <f>IF((DST_123_ÜRETİM_İHTİYAÇ_RAPORU_BURAK_YENI1309[[#This Row],[SATINALMA]]*DST_123_ÜRETİM_İHTİYAÇ_RAPORU_BURAK_YENI1309[[#This Row],[BIRIM_FIYATLAR]])&lt;1,VALUE("0"),DST_123_ÜRETİM_İHTİYAÇ_RAPORU_BURAK_YENI1309[[#This Row],[SATINALMA]]*DST_123_ÜRETİM_İHTİYAÇ_RAPORU_BURAK_YENI1309[[#This Row],[BIRIM_FIYATLAR]])</f>
        <v>0</v>
      </c>
      <c r="N3760">
        <v>1723.79</v>
      </c>
      <c r="O3760" t="s">
        <v>636</v>
      </c>
      <c r="P3760">
        <v>1723.79</v>
      </c>
      <c r="Q3760" t="s">
        <v>178</v>
      </c>
    </row>
    <row r="3761" spans="1:17" x14ac:dyDescent="0.25">
      <c r="A3761" t="s">
        <v>1098</v>
      </c>
      <c r="B3761" t="s">
        <v>1096</v>
      </c>
      <c r="C3761" t="s">
        <v>175</v>
      </c>
      <c r="D3761" t="s">
        <v>981</v>
      </c>
      <c r="E3761" t="s">
        <v>982</v>
      </c>
      <c r="F3761">
        <v>1</v>
      </c>
      <c r="G3761" t="s">
        <v>176</v>
      </c>
      <c r="H3761">
        <v>0</v>
      </c>
      <c r="I3761">
        <v>4</v>
      </c>
      <c r="J3761" s="10">
        <v>0</v>
      </c>
      <c r="K3761" s="10">
        <f>SUMIFS(F:F,D:D,DST_123_ÜRETİM_İHTİYAÇ_RAPORU_BURAK_YENI1309[[#This Row],[ALT_KOD]])-(SUMIFS(H:H,D:D,DST_123_ÜRETİM_İHTİYAÇ_RAPORU_BURAK_YENI1309[[#This Row],[ALT_KOD]])+AVERAGEIFS(I:I,D:D,DST_123_ÜRETİM_İHTİYAÇ_RAPORU_BURAK_YENI1309[[#This Row],[ALT_KOD]])+AVERAGEIFS(L:L,D:D,DST_123_ÜRETİM_İHTİYAÇ_RAPORU_BURAK_YENI1309[[#This Row],[ALT_KOD]]))</f>
        <v>-1</v>
      </c>
      <c r="L3761">
        <v>0</v>
      </c>
      <c r="M3761">
        <f>IF((DST_123_ÜRETİM_İHTİYAÇ_RAPORU_BURAK_YENI1309[[#This Row],[SATINALMA]]*DST_123_ÜRETİM_İHTİYAÇ_RAPORU_BURAK_YENI1309[[#This Row],[BIRIM_FIYATLAR]])&lt;1,VALUE("0"),DST_123_ÜRETİM_İHTİYAÇ_RAPORU_BURAK_YENI1309[[#This Row],[SATINALMA]]*DST_123_ÜRETİM_İHTİYAÇ_RAPORU_BURAK_YENI1309[[#This Row],[BIRIM_FIYATLAR]])</f>
        <v>0</v>
      </c>
      <c r="N3761">
        <v>3017.33</v>
      </c>
      <c r="O3761" t="s">
        <v>983</v>
      </c>
      <c r="P3761">
        <v>3017.33</v>
      </c>
      <c r="Q3761" t="s">
        <v>177</v>
      </c>
    </row>
    <row r="3762" spans="1:17" x14ac:dyDescent="0.25">
      <c r="A3762" t="s">
        <v>1098</v>
      </c>
      <c r="B3762" t="s">
        <v>1096</v>
      </c>
      <c r="C3762" t="s">
        <v>175</v>
      </c>
      <c r="D3762" t="s">
        <v>689</v>
      </c>
      <c r="E3762" t="s">
        <v>690</v>
      </c>
      <c r="F3762">
        <v>1</v>
      </c>
      <c r="G3762" t="s">
        <v>176</v>
      </c>
      <c r="H3762">
        <v>0</v>
      </c>
      <c r="I3762">
        <v>23</v>
      </c>
      <c r="J3762" s="10">
        <v>5</v>
      </c>
      <c r="K3762" s="10">
        <f>SUMIFS(F:F,D:D,DST_123_ÜRETİM_İHTİYAÇ_RAPORU_BURAK_YENI1309[[#This Row],[ALT_KOD]])-(SUMIFS(H:H,D:D,DST_123_ÜRETİM_İHTİYAÇ_RAPORU_BURAK_YENI1309[[#This Row],[ALT_KOD]])+AVERAGEIFS(I:I,D:D,DST_123_ÜRETİM_İHTİYAÇ_RAPORU_BURAK_YENI1309[[#This Row],[ALT_KOD]])+AVERAGEIFS(L:L,D:D,DST_123_ÜRETİM_İHTİYAÇ_RAPORU_BURAK_YENI1309[[#This Row],[ALT_KOD]]))</f>
        <v>-12</v>
      </c>
      <c r="L3762">
        <v>0</v>
      </c>
      <c r="M3762">
        <f>IF((DST_123_ÜRETİM_İHTİYAÇ_RAPORU_BURAK_YENI1309[[#This Row],[SATINALMA]]*DST_123_ÜRETİM_İHTİYAÇ_RAPORU_BURAK_YENI1309[[#This Row],[BIRIM_FIYATLAR]])&lt;1,VALUE("0"),DST_123_ÜRETİM_İHTİYAÇ_RAPORU_BURAK_YENI1309[[#This Row],[SATINALMA]]*DST_123_ÜRETİM_İHTİYAÇ_RAPORU_BURAK_YENI1309[[#This Row],[BIRIM_FIYATLAR]])</f>
        <v>0</v>
      </c>
      <c r="N3762">
        <v>871.93</v>
      </c>
      <c r="O3762" t="s">
        <v>691</v>
      </c>
      <c r="P3762">
        <v>871.93</v>
      </c>
      <c r="Q3762" t="s">
        <v>177</v>
      </c>
    </row>
    <row r="3763" spans="1:17" x14ac:dyDescent="0.25">
      <c r="A3763" t="s">
        <v>1064</v>
      </c>
      <c r="B3763" t="s">
        <v>1055</v>
      </c>
      <c r="C3763" t="s">
        <v>175</v>
      </c>
      <c r="D3763" t="s">
        <v>580</v>
      </c>
      <c r="E3763" t="s">
        <v>581</v>
      </c>
      <c r="F3763">
        <v>35.25</v>
      </c>
      <c r="G3763" t="s">
        <v>185</v>
      </c>
      <c r="H3763">
        <v>35.25</v>
      </c>
      <c r="I3763">
        <v>60</v>
      </c>
      <c r="J3763" s="10">
        <v>219.95999999999984</v>
      </c>
      <c r="K3763" s="10">
        <f>SUMIFS(F:F,D:D,DST_123_ÜRETİM_İHTİYAÇ_RAPORU_BURAK_YENI1309[[#This Row],[ALT_KOD]])-(SUMIFS(H:H,D:D,DST_123_ÜRETİM_İHTİYAÇ_RAPORU_BURAK_YENI1309[[#This Row],[ALT_KOD]])+AVERAGEIFS(I:I,D:D,DST_123_ÜRETİM_İHTİYAÇ_RAPORU_BURAK_YENI1309[[#This Row],[ALT_KOD]])+AVERAGEIFS(L:L,D:D,DST_123_ÜRETİM_İHTİYAÇ_RAPORU_BURAK_YENI1309[[#This Row],[ALT_KOD]]))</f>
        <v>143.41000000000003</v>
      </c>
      <c r="L3763">
        <v>0</v>
      </c>
      <c r="M3763">
        <f>IF((DST_123_ÜRETİM_İHTİYAÇ_RAPORU_BURAK_YENI1309[[#This Row],[SATINALMA]]*DST_123_ÜRETİM_İHTİYAÇ_RAPORU_BURAK_YENI1309[[#This Row],[BIRIM_FIYATLAR]])&lt;1,VALUE("0"),DST_123_ÜRETİM_İHTİYAÇ_RAPORU_BURAK_YENI1309[[#This Row],[SATINALMA]]*DST_123_ÜRETİM_İHTİYAÇ_RAPORU_BURAK_YENI1309[[#This Row],[BIRIM_FIYATLAR]])</f>
        <v>23533.581000000002</v>
      </c>
      <c r="N3763">
        <v>164.1</v>
      </c>
      <c r="O3763" t="s">
        <v>490</v>
      </c>
      <c r="P3763">
        <v>5784.5249999999996</v>
      </c>
      <c r="Q3763" t="s">
        <v>183</v>
      </c>
    </row>
    <row r="3764" spans="1:17" x14ac:dyDescent="0.25">
      <c r="A3764" t="s">
        <v>1196</v>
      </c>
      <c r="B3764" t="s">
        <v>1197</v>
      </c>
      <c r="C3764" t="s">
        <v>175</v>
      </c>
      <c r="D3764" t="s">
        <v>580</v>
      </c>
      <c r="E3764" t="s">
        <v>581</v>
      </c>
      <c r="F3764">
        <v>18.8</v>
      </c>
      <c r="G3764" t="s">
        <v>185</v>
      </c>
      <c r="H3764">
        <v>0</v>
      </c>
      <c r="I3764">
        <v>60</v>
      </c>
      <c r="J3764" s="10">
        <v>219.95999999999984</v>
      </c>
      <c r="K3764" s="10">
        <f>SUMIFS(F:F,D:D,DST_123_ÜRETİM_İHTİYAÇ_RAPORU_BURAK_YENI1309[[#This Row],[ALT_KOD]])-(SUMIFS(H:H,D:D,DST_123_ÜRETİM_İHTİYAÇ_RAPORU_BURAK_YENI1309[[#This Row],[ALT_KOD]])+AVERAGEIFS(I:I,D:D,DST_123_ÜRETİM_İHTİYAÇ_RAPORU_BURAK_YENI1309[[#This Row],[ALT_KOD]])+AVERAGEIFS(L:L,D:D,DST_123_ÜRETİM_İHTİYAÇ_RAPORU_BURAK_YENI1309[[#This Row],[ALT_KOD]]))</f>
        <v>143.41000000000003</v>
      </c>
      <c r="L3764">
        <v>0</v>
      </c>
      <c r="M3764">
        <f>IF((DST_123_ÜRETİM_İHTİYAÇ_RAPORU_BURAK_YENI1309[[#This Row],[SATINALMA]]*DST_123_ÜRETİM_İHTİYAÇ_RAPORU_BURAK_YENI1309[[#This Row],[BIRIM_FIYATLAR]])&lt;1,VALUE("0"),DST_123_ÜRETİM_İHTİYAÇ_RAPORU_BURAK_YENI1309[[#This Row],[SATINALMA]]*DST_123_ÜRETİM_İHTİYAÇ_RAPORU_BURAK_YENI1309[[#This Row],[BIRIM_FIYATLAR]])</f>
        <v>23533.581000000002</v>
      </c>
      <c r="N3764">
        <v>164.1</v>
      </c>
      <c r="O3764" t="s">
        <v>490</v>
      </c>
      <c r="P3764">
        <v>3085.08</v>
      </c>
      <c r="Q3764" t="s">
        <v>183</v>
      </c>
    </row>
    <row r="3765" spans="1:17" x14ac:dyDescent="0.25">
      <c r="A3765" t="s">
        <v>1143</v>
      </c>
      <c r="B3765" t="s">
        <v>1056</v>
      </c>
      <c r="C3765" t="s">
        <v>175</v>
      </c>
      <c r="D3765" t="s">
        <v>1127</v>
      </c>
      <c r="E3765" t="s">
        <v>1128</v>
      </c>
      <c r="F3765">
        <v>2</v>
      </c>
      <c r="G3765" t="s">
        <v>179</v>
      </c>
      <c r="H3765">
        <v>0</v>
      </c>
      <c r="I3765">
        <v>60</v>
      </c>
      <c r="J3765" s="10">
        <v>50</v>
      </c>
      <c r="K3765" s="10">
        <f>SUMIFS(F:F,D:D,DST_123_ÜRETİM_İHTİYAÇ_RAPORU_BURAK_YENI1309[[#This Row],[ALT_KOD]])-(SUMIFS(H:H,D:D,DST_123_ÜRETİM_İHTİYAÇ_RAPORU_BURAK_YENI1309[[#This Row],[ALT_KOD]])+AVERAGEIFS(I:I,D:D,DST_123_ÜRETİM_İHTİYAÇ_RAPORU_BURAK_YENI1309[[#This Row],[ALT_KOD]])+AVERAGEIFS(L:L,D:D,DST_123_ÜRETİM_İHTİYAÇ_RAPORU_BURAK_YENI1309[[#This Row],[ALT_KOD]]))</f>
        <v>-50.5</v>
      </c>
      <c r="L3765">
        <v>0</v>
      </c>
      <c r="M3765">
        <f>IF((DST_123_ÜRETİM_İHTİYAÇ_RAPORU_BURAK_YENI1309[[#This Row],[SATINALMA]]*DST_123_ÜRETİM_İHTİYAÇ_RAPORU_BURAK_YENI1309[[#This Row],[BIRIM_FIYATLAR]])&lt;1,VALUE("0"),DST_123_ÜRETİM_İHTİYAÇ_RAPORU_BURAK_YENI1309[[#This Row],[SATINALMA]]*DST_123_ÜRETİM_İHTİYAÇ_RAPORU_BURAK_YENI1309[[#This Row],[BIRIM_FIYATLAR]])</f>
        <v>0</v>
      </c>
      <c r="N3765">
        <v>265</v>
      </c>
      <c r="O3765" t="s">
        <v>745</v>
      </c>
      <c r="P3765">
        <v>530</v>
      </c>
      <c r="Q3765" t="s">
        <v>184</v>
      </c>
    </row>
    <row r="3766" spans="1:17" x14ac:dyDescent="0.25">
      <c r="A3766" t="s">
        <v>1144</v>
      </c>
      <c r="B3766" t="s">
        <v>1145</v>
      </c>
      <c r="C3766" t="s">
        <v>175</v>
      </c>
      <c r="D3766" t="s">
        <v>552</v>
      </c>
      <c r="E3766" t="s">
        <v>553</v>
      </c>
      <c r="F3766">
        <v>1</v>
      </c>
      <c r="G3766" t="s">
        <v>176</v>
      </c>
      <c r="H3766">
        <v>0</v>
      </c>
      <c r="I3766">
        <v>14</v>
      </c>
      <c r="J3766" s="10">
        <v>9.9999999999999929</v>
      </c>
      <c r="K3766" s="10">
        <f>SUMIFS(F:F,D:D,DST_123_ÜRETİM_İHTİYAÇ_RAPORU_BURAK_YENI1309[[#This Row],[ALT_KOD]])-(SUMIFS(H:H,D:D,DST_123_ÜRETİM_İHTİYAÇ_RAPORU_BURAK_YENI1309[[#This Row],[ALT_KOD]])+AVERAGEIFS(I:I,D:D,DST_123_ÜRETİM_İHTİYAÇ_RAPORU_BURAK_YENI1309[[#This Row],[ALT_KOD]])+AVERAGEIFS(L:L,D:D,DST_123_ÜRETİM_İHTİYAÇ_RAPORU_BURAK_YENI1309[[#This Row],[ALT_KOD]]))</f>
        <v>2.5700000000000003</v>
      </c>
      <c r="L3766">
        <v>0</v>
      </c>
      <c r="M3766">
        <f>IF((DST_123_ÜRETİM_İHTİYAÇ_RAPORU_BURAK_YENI1309[[#This Row],[SATINALMA]]*DST_123_ÜRETİM_İHTİYAÇ_RAPORU_BURAK_YENI1309[[#This Row],[BIRIM_FIYATLAR]])&lt;1,VALUE("0"),DST_123_ÜRETİM_İHTİYAÇ_RAPORU_BURAK_YENI1309[[#This Row],[SATINALMA]]*DST_123_ÜRETİM_İHTİYAÇ_RAPORU_BURAK_YENI1309[[#This Row],[BIRIM_FIYATLAR]])</f>
        <v>552.55000000000007</v>
      </c>
      <c r="N3766">
        <v>215</v>
      </c>
      <c r="O3766" t="s">
        <v>240</v>
      </c>
      <c r="P3766">
        <v>215</v>
      </c>
      <c r="Q3766" t="s">
        <v>180</v>
      </c>
    </row>
    <row r="3767" spans="1:17" x14ac:dyDescent="0.25">
      <c r="A3767" t="s">
        <v>1144</v>
      </c>
      <c r="B3767" t="s">
        <v>1145</v>
      </c>
      <c r="C3767" t="s">
        <v>175</v>
      </c>
      <c r="D3767" t="s">
        <v>560</v>
      </c>
      <c r="E3767" t="s">
        <v>561</v>
      </c>
      <c r="F3767">
        <v>3.2</v>
      </c>
      <c r="G3767" t="s">
        <v>176</v>
      </c>
      <c r="H3767">
        <v>0</v>
      </c>
      <c r="I3767">
        <v>272</v>
      </c>
      <c r="J3767" s="10">
        <v>4.2999999999999652</v>
      </c>
      <c r="K3767" s="10">
        <f>SUMIFS(F:F,D:D,DST_123_ÜRETİM_İHTİYAÇ_RAPORU_BURAK_YENI1309[[#This Row],[ALT_KOD]])-(SUMIFS(H:H,D:D,DST_123_ÜRETİM_İHTİYAÇ_RAPORU_BURAK_YENI1309[[#This Row],[ALT_KOD]])+AVERAGEIFS(I:I,D:D,DST_123_ÜRETİM_İHTİYAÇ_RAPORU_BURAK_YENI1309[[#This Row],[ALT_KOD]])+AVERAGEIFS(L:L,D:D,DST_123_ÜRETİM_İHTİYAÇ_RAPORU_BURAK_YENI1309[[#This Row],[ALT_KOD]]))</f>
        <v>-233.2</v>
      </c>
      <c r="L3767">
        <v>0</v>
      </c>
      <c r="M3767">
        <f>IF((DST_123_ÜRETİM_İHTİYAÇ_RAPORU_BURAK_YENI1309[[#This Row],[SATINALMA]]*DST_123_ÜRETİM_İHTİYAÇ_RAPORU_BURAK_YENI1309[[#This Row],[BIRIM_FIYATLAR]])&lt;1,VALUE("0"),DST_123_ÜRETİM_İHTİYAÇ_RAPORU_BURAK_YENI1309[[#This Row],[SATINALMA]]*DST_123_ÜRETİM_İHTİYAÇ_RAPORU_BURAK_YENI1309[[#This Row],[BIRIM_FIYATLAR]])</f>
        <v>0</v>
      </c>
      <c r="N3767">
        <v>30</v>
      </c>
      <c r="O3767" t="s">
        <v>240</v>
      </c>
      <c r="P3767">
        <v>96</v>
      </c>
      <c r="Q3767" t="s">
        <v>180</v>
      </c>
    </row>
    <row r="3768" spans="1:17" x14ac:dyDescent="0.25">
      <c r="A3768" t="s">
        <v>1150</v>
      </c>
      <c r="B3768" t="s">
        <v>1145</v>
      </c>
      <c r="C3768" t="s">
        <v>175</v>
      </c>
      <c r="D3768" t="s">
        <v>400</v>
      </c>
      <c r="E3768" t="s">
        <v>401</v>
      </c>
      <c r="F3768">
        <v>1</v>
      </c>
      <c r="G3768" t="s">
        <v>176</v>
      </c>
      <c r="H3768">
        <v>0</v>
      </c>
      <c r="I3768">
        <v>27</v>
      </c>
      <c r="J3768" s="10">
        <v>14</v>
      </c>
      <c r="K3768" s="10">
        <f>SUMIFS(F:F,D:D,DST_123_ÜRETİM_İHTİYAÇ_RAPORU_BURAK_YENI1309[[#This Row],[ALT_KOD]])-(SUMIFS(H:H,D:D,DST_123_ÜRETİM_İHTİYAÇ_RAPORU_BURAK_YENI1309[[#This Row],[ALT_KOD]])+AVERAGEIFS(I:I,D:D,DST_123_ÜRETİM_İHTİYAÇ_RAPORU_BURAK_YENI1309[[#This Row],[ALT_KOD]])+AVERAGEIFS(L:L,D:D,DST_123_ÜRETİM_İHTİYAÇ_RAPORU_BURAK_YENI1309[[#This Row],[ALT_KOD]]))</f>
        <v>-18</v>
      </c>
      <c r="L3768">
        <v>0</v>
      </c>
      <c r="M3768">
        <f>IF((DST_123_ÜRETİM_İHTİYAÇ_RAPORU_BURAK_YENI1309[[#This Row],[SATINALMA]]*DST_123_ÜRETİM_İHTİYAÇ_RAPORU_BURAK_YENI1309[[#This Row],[BIRIM_FIYATLAR]])&lt;1,VALUE("0"),DST_123_ÜRETİM_İHTİYAÇ_RAPORU_BURAK_YENI1309[[#This Row],[SATINALMA]]*DST_123_ÜRETİM_İHTİYAÇ_RAPORU_BURAK_YENI1309[[#This Row],[BIRIM_FIYATLAR]])</f>
        <v>0</v>
      </c>
      <c r="N3768">
        <v>15</v>
      </c>
      <c r="O3768" t="s">
        <v>220</v>
      </c>
      <c r="P3768">
        <v>15</v>
      </c>
      <c r="Q3768" t="s">
        <v>221</v>
      </c>
    </row>
    <row r="3769" spans="1:17" x14ac:dyDescent="0.25">
      <c r="A3769" t="s">
        <v>1150</v>
      </c>
      <c r="B3769" t="s">
        <v>1145</v>
      </c>
      <c r="C3769" t="s">
        <v>175</v>
      </c>
      <c r="D3769" t="s">
        <v>699</v>
      </c>
      <c r="E3769" t="s">
        <v>700</v>
      </c>
      <c r="F3769">
        <v>1</v>
      </c>
      <c r="G3769" t="s">
        <v>176</v>
      </c>
      <c r="H3769">
        <v>0</v>
      </c>
      <c r="I3769">
        <v>135</v>
      </c>
      <c r="J3769" s="10">
        <v>7</v>
      </c>
      <c r="K3769" s="10">
        <f>SUMIFS(F:F,D:D,DST_123_ÜRETİM_İHTİYAÇ_RAPORU_BURAK_YENI1309[[#This Row],[ALT_KOD]])-(SUMIFS(H:H,D:D,DST_123_ÜRETİM_İHTİYAÇ_RAPORU_BURAK_YENI1309[[#This Row],[ALT_KOD]])+AVERAGEIFS(I:I,D:D,DST_123_ÜRETİM_İHTİYAÇ_RAPORU_BURAK_YENI1309[[#This Row],[ALT_KOD]])+AVERAGEIFS(L:L,D:D,DST_123_ÜRETİM_İHTİYAÇ_RAPORU_BURAK_YENI1309[[#This Row],[ALT_KOD]]))</f>
        <v>-119</v>
      </c>
      <c r="L3769">
        <v>0</v>
      </c>
      <c r="M3769">
        <f>IF((DST_123_ÜRETİM_İHTİYAÇ_RAPORU_BURAK_YENI1309[[#This Row],[SATINALMA]]*DST_123_ÜRETİM_İHTİYAÇ_RAPORU_BURAK_YENI1309[[#This Row],[BIRIM_FIYATLAR]])&lt;1,VALUE("0"),DST_123_ÜRETİM_İHTİYAÇ_RAPORU_BURAK_YENI1309[[#This Row],[SATINALMA]]*DST_123_ÜRETİM_İHTİYAÇ_RAPORU_BURAK_YENI1309[[#This Row],[BIRIM_FIYATLAR]])</f>
        <v>0</v>
      </c>
      <c r="N3769">
        <v>39.6</v>
      </c>
      <c r="O3769" t="s">
        <v>220</v>
      </c>
      <c r="P3769">
        <v>39.6</v>
      </c>
      <c r="Q3769" t="s">
        <v>221</v>
      </c>
    </row>
    <row r="3770" spans="1:17" x14ac:dyDescent="0.25">
      <c r="A3770" t="s">
        <v>1150</v>
      </c>
      <c r="B3770" t="s">
        <v>1145</v>
      </c>
      <c r="C3770" t="s">
        <v>175</v>
      </c>
      <c r="D3770" t="s">
        <v>730</v>
      </c>
      <c r="E3770" t="s">
        <v>731</v>
      </c>
      <c r="F3770">
        <v>2</v>
      </c>
      <c r="G3770" t="s">
        <v>176</v>
      </c>
      <c r="H3770">
        <v>0</v>
      </c>
      <c r="I3770">
        <v>265</v>
      </c>
      <c r="J3770" s="10">
        <v>94</v>
      </c>
      <c r="K3770" s="10">
        <f>SUMIFS(F:F,D:D,DST_123_ÜRETİM_İHTİYAÇ_RAPORU_BURAK_YENI1309[[#This Row],[ALT_KOD]])-(SUMIFS(H:H,D:D,DST_123_ÜRETİM_İHTİYAÇ_RAPORU_BURAK_YENI1309[[#This Row],[ALT_KOD]])+AVERAGEIFS(I:I,D:D,DST_123_ÜRETİM_İHTİYAÇ_RAPORU_BURAK_YENI1309[[#This Row],[ALT_KOD]])+AVERAGEIFS(L:L,D:D,DST_123_ÜRETİM_İHTİYAÇ_RAPORU_BURAK_YENI1309[[#This Row],[ALT_KOD]]))</f>
        <v>-249</v>
      </c>
      <c r="L3770">
        <v>0</v>
      </c>
      <c r="M3770">
        <f>IF((DST_123_ÜRETİM_İHTİYAÇ_RAPORU_BURAK_YENI1309[[#This Row],[SATINALMA]]*DST_123_ÜRETİM_İHTİYAÇ_RAPORU_BURAK_YENI1309[[#This Row],[BIRIM_FIYATLAR]])&lt;1,VALUE("0"),DST_123_ÜRETİM_İHTİYAÇ_RAPORU_BURAK_YENI1309[[#This Row],[SATINALMA]]*DST_123_ÜRETİM_İHTİYAÇ_RAPORU_BURAK_YENI1309[[#This Row],[BIRIM_FIYATLAR]])</f>
        <v>0</v>
      </c>
      <c r="N3770">
        <v>4</v>
      </c>
      <c r="O3770" t="s">
        <v>220</v>
      </c>
      <c r="P3770">
        <v>8</v>
      </c>
      <c r="Q3770" t="s">
        <v>221</v>
      </c>
    </row>
    <row r="3771" spans="1:17" x14ac:dyDescent="0.25">
      <c r="A3771" t="s">
        <v>1149</v>
      </c>
      <c r="B3771" t="s">
        <v>1145</v>
      </c>
      <c r="C3771" t="s">
        <v>175</v>
      </c>
      <c r="D3771" t="s">
        <v>689</v>
      </c>
      <c r="E3771" t="s">
        <v>690</v>
      </c>
      <c r="F3771">
        <v>1</v>
      </c>
      <c r="G3771" t="s">
        <v>176</v>
      </c>
      <c r="H3771">
        <v>0</v>
      </c>
      <c r="I3771">
        <v>23</v>
      </c>
      <c r="J3771" s="10">
        <v>5</v>
      </c>
      <c r="K3771" s="10">
        <f>SUMIFS(F:F,D:D,DST_123_ÜRETİM_İHTİYAÇ_RAPORU_BURAK_YENI1309[[#This Row],[ALT_KOD]])-(SUMIFS(H:H,D:D,DST_123_ÜRETİM_İHTİYAÇ_RAPORU_BURAK_YENI1309[[#This Row],[ALT_KOD]])+AVERAGEIFS(I:I,D:D,DST_123_ÜRETİM_İHTİYAÇ_RAPORU_BURAK_YENI1309[[#This Row],[ALT_KOD]])+AVERAGEIFS(L:L,D:D,DST_123_ÜRETİM_İHTİYAÇ_RAPORU_BURAK_YENI1309[[#This Row],[ALT_KOD]]))</f>
        <v>-12</v>
      </c>
      <c r="L3771">
        <v>0</v>
      </c>
      <c r="M3771">
        <f>IF((DST_123_ÜRETİM_İHTİYAÇ_RAPORU_BURAK_YENI1309[[#This Row],[SATINALMA]]*DST_123_ÜRETİM_İHTİYAÇ_RAPORU_BURAK_YENI1309[[#This Row],[BIRIM_FIYATLAR]])&lt;1,VALUE("0"),DST_123_ÜRETİM_İHTİYAÇ_RAPORU_BURAK_YENI1309[[#This Row],[SATINALMA]]*DST_123_ÜRETİM_İHTİYAÇ_RAPORU_BURAK_YENI1309[[#This Row],[BIRIM_FIYATLAR]])</f>
        <v>0</v>
      </c>
      <c r="N3771">
        <v>871.93</v>
      </c>
      <c r="O3771" t="s">
        <v>691</v>
      </c>
      <c r="P3771">
        <v>871.93</v>
      </c>
      <c r="Q3771" t="s">
        <v>177</v>
      </c>
    </row>
    <row r="3772" spans="1:17" x14ac:dyDescent="0.25">
      <c r="A3772" t="s">
        <v>1147</v>
      </c>
      <c r="B3772" t="s">
        <v>1145</v>
      </c>
      <c r="C3772" t="s">
        <v>175</v>
      </c>
      <c r="D3772" t="s">
        <v>560</v>
      </c>
      <c r="E3772" t="s">
        <v>561</v>
      </c>
      <c r="F3772">
        <v>3.2</v>
      </c>
      <c r="G3772" t="s">
        <v>176</v>
      </c>
      <c r="H3772">
        <v>0</v>
      </c>
      <c r="I3772">
        <v>272</v>
      </c>
      <c r="J3772" s="10">
        <v>4.2999999999999652</v>
      </c>
      <c r="K3772" s="10">
        <f>SUMIFS(F:F,D:D,DST_123_ÜRETİM_İHTİYAÇ_RAPORU_BURAK_YENI1309[[#This Row],[ALT_KOD]])-(SUMIFS(H:H,D:D,DST_123_ÜRETİM_İHTİYAÇ_RAPORU_BURAK_YENI1309[[#This Row],[ALT_KOD]])+AVERAGEIFS(I:I,D:D,DST_123_ÜRETİM_İHTİYAÇ_RAPORU_BURAK_YENI1309[[#This Row],[ALT_KOD]])+AVERAGEIFS(L:L,D:D,DST_123_ÜRETİM_İHTİYAÇ_RAPORU_BURAK_YENI1309[[#This Row],[ALT_KOD]]))</f>
        <v>-233.2</v>
      </c>
      <c r="L3772">
        <v>0</v>
      </c>
      <c r="M3772">
        <f>IF((DST_123_ÜRETİM_İHTİYAÇ_RAPORU_BURAK_YENI1309[[#This Row],[SATINALMA]]*DST_123_ÜRETİM_İHTİYAÇ_RAPORU_BURAK_YENI1309[[#This Row],[BIRIM_FIYATLAR]])&lt;1,VALUE("0"),DST_123_ÜRETİM_İHTİYAÇ_RAPORU_BURAK_YENI1309[[#This Row],[SATINALMA]]*DST_123_ÜRETİM_İHTİYAÇ_RAPORU_BURAK_YENI1309[[#This Row],[BIRIM_FIYATLAR]])</f>
        <v>0</v>
      </c>
      <c r="N3772">
        <v>30</v>
      </c>
      <c r="O3772" t="s">
        <v>240</v>
      </c>
      <c r="P3772">
        <v>96</v>
      </c>
      <c r="Q3772" t="s">
        <v>180</v>
      </c>
    </row>
    <row r="3773" spans="1:17" x14ac:dyDescent="0.25">
      <c r="A3773" t="s">
        <v>1144</v>
      </c>
      <c r="B3773" t="s">
        <v>1145</v>
      </c>
      <c r="C3773" t="s">
        <v>175</v>
      </c>
      <c r="D3773" t="s">
        <v>689</v>
      </c>
      <c r="E3773" t="s">
        <v>690</v>
      </c>
      <c r="F3773">
        <v>1</v>
      </c>
      <c r="G3773" t="s">
        <v>176</v>
      </c>
      <c r="H3773">
        <v>0</v>
      </c>
      <c r="I3773">
        <v>23</v>
      </c>
      <c r="J3773" s="10">
        <v>5</v>
      </c>
      <c r="K3773" s="10">
        <f>SUMIFS(F:F,D:D,DST_123_ÜRETİM_İHTİYAÇ_RAPORU_BURAK_YENI1309[[#This Row],[ALT_KOD]])-(SUMIFS(H:H,D:D,DST_123_ÜRETİM_İHTİYAÇ_RAPORU_BURAK_YENI1309[[#This Row],[ALT_KOD]])+AVERAGEIFS(I:I,D:D,DST_123_ÜRETİM_İHTİYAÇ_RAPORU_BURAK_YENI1309[[#This Row],[ALT_KOD]])+AVERAGEIFS(L:L,D:D,DST_123_ÜRETİM_İHTİYAÇ_RAPORU_BURAK_YENI1309[[#This Row],[ALT_KOD]]))</f>
        <v>-12</v>
      </c>
      <c r="L3773">
        <v>0</v>
      </c>
      <c r="M3773">
        <f>IF((DST_123_ÜRETİM_İHTİYAÇ_RAPORU_BURAK_YENI1309[[#This Row],[SATINALMA]]*DST_123_ÜRETİM_İHTİYAÇ_RAPORU_BURAK_YENI1309[[#This Row],[BIRIM_FIYATLAR]])&lt;1,VALUE("0"),DST_123_ÜRETİM_İHTİYAÇ_RAPORU_BURAK_YENI1309[[#This Row],[SATINALMA]]*DST_123_ÜRETİM_İHTİYAÇ_RAPORU_BURAK_YENI1309[[#This Row],[BIRIM_FIYATLAR]])</f>
        <v>0</v>
      </c>
      <c r="N3773">
        <v>871.93</v>
      </c>
      <c r="O3773" t="s">
        <v>691</v>
      </c>
      <c r="P3773">
        <v>871.93</v>
      </c>
      <c r="Q3773" t="s">
        <v>177</v>
      </c>
    </row>
    <row r="3774" spans="1:17" x14ac:dyDescent="0.25">
      <c r="A3774" t="s">
        <v>1146</v>
      </c>
      <c r="B3774" t="s">
        <v>1145</v>
      </c>
      <c r="C3774" t="s">
        <v>175</v>
      </c>
      <c r="D3774" t="s">
        <v>689</v>
      </c>
      <c r="E3774" t="s">
        <v>690</v>
      </c>
      <c r="F3774">
        <v>1</v>
      </c>
      <c r="G3774" t="s">
        <v>176</v>
      </c>
      <c r="H3774">
        <v>0</v>
      </c>
      <c r="I3774">
        <v>23</v>
      </c>
      <c r="J3774" s="10">
        <v>5</v>
      </c>
      <c r="K3774" s="10">
        <f>SUMIFS(F:F,D:D,DST_123_ÜRETİM_İHTİYAÇ_RAPORU_BURAK_YENI1309[[#This Row],[ALT_KOD]])-(SUMIFS(H:H,D:D,DST_123_ÜRETİM_İHTİYAÇ_RAPORU_BURAK_YENI1309[[#This Row],[ALT_KOD]])+AVERAGEIFS(I:I,D:D,DST_123_ÜRETİM_İHTİYAÇ_RAPORU_BURAK_YENI1309[[#This Row],[ALT_KOD]])+AVERAGEIFS(L:L,D:D,DST_123_ÜRETİM_İHTİYAÇ_RAPORU_BURAK_YENI1309[[#This Row],[ALT_KOD]]))</f>
        <v>-12</v>
      </c>
      <c r="L3774">
        <v>0</v>
      </c>
      <c r="M3774">
        <f>IF((DST_123_ÜRETİM_İHTİYAÇ_RAPORU_BURAK_YENI1309[[#This Row],[SATINALMA]]*DST_123_ÜRETİM_İHTİYAÇ_RAPORU_BURAK_YENI1309[[#This Row],[BIRIM_FIYATLAR]])&lt;1,VALUE("0"),DST_123_ÜRETİM_İHTİYAÇ_RAPORU_BURAK_YENI1309[[#This Row],[SATINALMA]]*DST_123_ÜRETİM_İHTİYAÇ_RAPORU_BURAK_YENI1309[[#This Row],[BIRIM_FIYATLAR]])</f>
        <v>0</v>
      </c>
      <c r="N3774">
        <v>871.93</v>
      </c>
      <c r="O3774" t="s">
        <v>691</v>
      </c>
      <c r="P3774">
        <v>871.93</v>
      </c>
      <c r="Q3774" t="s">
        <v>177</v>
      </c>
    </row>
    <row r="3775" spans="1:17" x14ac:dyDescent="0.25">
      <c r="A3775" t="s">
        <v>1101</v>
      </c>
      <c r="B3775" t="s">
        <v>1102</v>
      </c>
      <c r="C3775" t="s">
        <v>175</v>
      </c>
      <c r="D3775" t="s">
        <v>522</v>
      </c>
      <c r="E3775" t="s">
        <v>523</v>
      </c>
      <c r="F3775">
        <v>2</v>
      </c>
      <c r="G3775" t="s">
        <v>176</v>
      </c>
      <c r="H3775">
        <v>0</v>
      </c>
      <c r="I3775">
        <v>235</v>
      </c>
      <c r="J3775" s="10">
        <v>-7.460698725481052E-14</v>
      </c>
      <c r="K3775" s="10">
        <f>SUMIFS(F:F,D:D,DST_123_ÜRETİM_İHTİYAÇ_RAPORU_BURAK_YENI1309[[#This Row],[ALT_KOD]])-(SUMIFS(H:H,D:D,DST_123_ÜRETİM_İHTİYAÇ_RAPORU_BURAK_YENI1309[[#This Row],[ALT_KOD]])+AVERAGEIFS(I:I,D:D,DST_123_ÜRETİM_İHTİYAÇ_RAPORU_BURAK_YENI1309[[#This Row],[ALT_KOD]])+AVERAGEIFS(L:L,D:D,DST_123_ÜRETİM_İHTİYAÇ_RAPORU_BURAK_YENI1309[[#This Row],[ALT_KOD]]))</f>
        <v>-215.94</v>
      </c>
      <c r="L3775">
        <v>0</v>
      </c>
      <c r="M3775">
        <f>IF((DST_123_ÜRETİM_İHTİYAÇ_RAPORU_BURAK_YENI1309[[#This Row],[SATINALMA]]*DST_123_ÜRETİM_İHTİYAÇ_RAPORU_BURAK_YENI1309[[#This Row],[BIRIM_FIYATLAR]])&lt;1,VALUE("0"),DST_123_ÜRETİM_İHTİYAÇ_RAPORU_BURAK_YENI1309[[#This Row],[SATINALMA]]*DST_123_ÜRETİM_İHTİYAÇ_RAPORU_BURAK_YENI1309[[#This Row],[BIRIM_FIYATLAR]])</f>
        <v>0</v>
      </c>
      <c r="N3775">
        <v>15</v>
      </c>
      <c r="O3775" t="s">
        <v>226</v>
      </c>
      <c r="P3775">
        <v>30</v>
      </c>
      <c r="Q3775" t="s">
        <v>180</v>
      </c>
    </row>
    <row r="3776" spans="1:17" x14ac:dyDescent="0.25">
      <c r="A3776" t="s">
        <v>1057</v>
      </c>
      <c r="B3776" t="s">
        <v>1058</v>
      </c>
      <c r="C3776" t="s">
        <v>175</v>
      </c>
      <c r="D3776" t="s">
        <v>279</v>
      </c>
      <c r="E3776" t="s">
        <v>318</v>
      </c>
      <c r="F3776">
        <v>1</v>
      </c>
      <c r="G3776" t="s">
        <v>176</v>
      </c>
      <c r="H3776">
        <v>0</v>
      </c>
      <c r="I3776">
        <v>27</v>
      </c>
      <c r="J3776" s="10">
        <v>4</v>
      </c>
      <c r="K3776" s="10">
        <f>SUMIFS(F:F,D:D,DST_123_ÜRETİM_İHTİYAÇ_RAPORU_BURAK_YENI1309[[#This Row],[ALT_KOD]])-(SUMIFS(H:H,D:D,DST_123_ÜRETİM_İHTİYAÇ_RAPORU_BURAK_YENI1309[[#This Row],[ALT_KOD]])+AVERAGEIFS(I:I,D:D,DST_123_ÜRETİM_İHTİYAÇ_RAPORU_BURAK_YENI1309[[#This Row],[ALT_KOD]])+AVERAGEIFS(L:L,D:D,DST_123_ÜRETİM_İHTİYAÇ_RAPORU_BURAK_YENI1309[[#This Row],[ALT_KOD]]))</f>
        <v>-20</v>
      </c>
      <c r="L3776">
        <v>0</v>
      </c>
      <c r="M3776">
        <f>IF((DST_123_ÜRETİM_İHTİYAÇ_RAPORU_BURAK_YENI1309[[#This Row],[SATINALMA]]*DST_123_ÜRETİM_İHTİYAÇ_RAPORU_BURAK_YENI1309[[#This Row],[BIRIM_FIYATLAR]])&lt;1,VALUE("0"),DST_123_ÜRETİM_İHTİYAÇ_RAPORU_BURAK_YENI1309[[#This Row],[SATINALMA]]*DST_123_ÜRETİM_İHTİYAÇ_RAPORU_BURAK_YENI1309[[#This Row],[BIRIM_FIYATLAR]])</f>
        <v>0</v>
      </c>
      <c r="N3776">
        <v>290.73</v>
      </c>
      <c r="O3776" t="s">
        <v>636</v>
      </c>
      <c r="P3776">
        <v>290.73</v>
      </c>
      <c r="Q3776" t="s">
        <v>178</v>
      </c>
    </row>
    <row r="3777" spans="1:17" x14ac:dyDescent="0.25">
      <c r="A3777" t="s">
        <v>1196</v>
      </c>
      <c r="B3777" t="s">
        <v>1197</v>
      </c>
      <c r="C3777" t="s">
        <v>175</v>
      </c>
      <c r="D3777" t="s">
        <v>699</v>
      </c>
      <c r="E3777" t="s">
        <v>700</v>
      </c>
      <c r="F3777">
        <v>1</v>
      </c>
      <c r="G3777" t="s">
        <v>176</v>
      </c>
      <c r="H3777">
        <v>0</v>
      </c>
      <c r="I3777">
        <v>135</v>
      </c>
      <c r="J3777" s="10">
        <v>7</v>
      </c>
      <c r="K3777" s="10">
        <f>SUMIFS(F:F,D:D,DST_123_ÜRETİM_İHTİYAÇ_RAPORU_BURAK_YENI1309[[#This Row],[ALT_KOD]])-(SUMIFS(H:H,D:D,DST_123_ÜRETİM_İHTİYAÇ_RAPORU_BURAK_YENI1309[[#This Row],[ALT_KOD]])+AVERAGEIFS(I:I,D:D,DST_123_ÜRETİM_İHTİYAÇ_RAPORU_BURAK_YENI1309[[#This Row],[ALT_KOD]])+AVERAGEIFS(L:L,D:D,DST_123_ÜRETİM_İHTİYAÇ_RAPORU_BURAK_YENI1309[[#This Row],[ALT_KOD]]))</f>
        <v>-119</v>
      </c>
      <c r="L3777">
        <v>0</v>
      </c>
      <c r="M3777">
        <f>IF((DST_123_ÜRETİM_İHTİYAÇ_RAPORU_BURAK_YENI1309[[#This Row],[SATINALMA]]*DST_123_ÜRETİM_İHTİYAÇ_RAPORU_BURAK_YENI1309[[#This Row],[BIRIM_FIYATLAR]])&lt;1,VALUE("0"),DST_123_ÜRETİM_İHTİYAÇ_RAPORU_BURAK_YENI1309[[#This Row],[SATINALMA]]*DST_123_ÜRETİM_İHTİYAÇ_RAPORU_BURAK_YENI1309[[#This Row],[BIRIM_FIYATLAR]])</f>
        <v>0</v>
      </c>
      <c r="N3777">
        <v>39.6</v>
      </c>
      <c r="O3777" t="s">
        <v>220</v>
      </c>
      <c r="P3777">
        <v>39.6</v>
      </c>
      <c r="Q3777" t="s">
        <v>221</v>
      </c>
    </row>
    <row r="3778" spans="1:17" x14ac:dyDescent="0.25">
      <c r="A3778" t="s">
        <v>1099</v>
      </c>
      <c r="B3778" t="s">
        <v>1055</v>
      </c>
      <c r="C3778" t="s">
        <v>175</v>
      </c>
      <c r="D3778" t="s">
        <v>699</v>
      </c>
      <c r="E3778" t="s">
        <v>700</v>
      </c>
      <c r="F3778">
        <v>1</v>
      </c>
      <c r="G3778" t="s">
        <v>176</v>
      </c>
      <c r="H3778">
        <v>0</v>
      </c>
      <c r="I3778">
        <v>135</v>
      </c>
      <c r="J3778" s="10">
        <v>7</v>
      </c>
      <c r="K3778" s="10">
        <f>SUMIFS(F:F,D:D,DST_123_ÜRETİM_İHTİYAÇ_RAPORU_BURAK_YENI1309[[#This Row],[ALT_KOD]])-(SUMIFS(H:H,D:D,DST_123_ÜRETİM_İHTİYAÇ_RAPORU_BURAK_YENI1309[[#This Row],[ALT_KOD]])+AVERAGEIFS(I:I,D:D,DST_123_ÜRETİM_İHTİYAÇ_RAPORU_BURAK_YENI1309[[#This Row],[ALT_KOD]])+AVERAGEIFS(L:L,D:D,DST_123_ÜRETİM_İHTİYAÇ_RAPORU_BURAK_YENI1309[[#This Row],[ALT_KOD]]))</f>
        <v>-119</v>
      </c>
      <c r="L3778">
        <v>0</v>
      </c>
      <c r="M3778">
        <f>IF((DST_123_ÜRETİM_İHTİYAÇ_RAPORU_BURAK_YENI1309[[#This Row],[SATINALMA]]*DST_123_ÜRETİM_İHTİYAÇ_RAPORU_BURAK_YENI1309[[#This Row],[BIRIM_FIYATLAR]])&lt;1,VALUE("0"),DST_123_ÜRETİM_İHTİYAÇ_RAPORU_BURAK_YENI1309[[#This Row],[SATINALMA]]*DST_123_ÜRETİM_İHTİYAÇ_RAPORU_BURAK_YENI1309[[#This Row],[BIRIM_FIYATLAR]])</f>
        <v>0</v>
      </c>
      <c r="N3778">
        <v>39.6</v>
      </c>
      <c r="O3778" t="s">
        <v>220</v>
      </c>
      <c r="P3778">
        <v>39.6</v>
      </c>
      <c r="Q3778" t="s">
        <v>221</v>
      </c>
    </row>
    <row r="3779" spans="1:17" x14ac:dyDescent="0.25">
      <c r="A3779" t="s">
        <v>1101</v>
      </c>
      <c r="B3779" t="s">
        <v>1102</v>
      </c>
      <c r="C3779" t="s">
        <v>175</v>
      </c>
      <c r="D3779" t="s">
        <v>469</v>
      </c>
      <c r="E3779" t="s">
        <v>470</v>
      </c>
      <c r="F3779">
        <v>1</v>
      </c>
      <c r="G3779" t="s">
        <v>176</v>
      </c>
      <c r="H3779">
        <v>0</v>
      </c>
      <c r="I3779">
        <v>39</v>
      </c>
      <c r="J3779" s="10">
        <v>2</v>
      </c>
      <c r="K3779" s="10">
        <f>SUMIFS(F:F,D:D,DST_123_ÜRETİM_İHTİYAÇ_RAPORU_BURAK_YENI1309[[#This Row],[ALT_KOD]])-(SUMIFS(H:H,D:D,DST_123_ÜRETİM_İHTİYAÇ_RAPORU_BURAK_YENI1309[[#This Row],[ALT_KOD]])+AVERAGEIFS(I:I,D:D,DST_123_ÜRETİM_İHTİYAÇ_RAPORU_BURAK_YENI1309[[#This Row],[ALT_KOD]])+AVERAGEIFS(L:L,D:D,DST_123_ÜRETİM_İHTİYAÇ_RAPORU_BURAK_YENI1309[[#This Row],[ALT_KOD]]))</f>
        <v>-19</v>
      </c>
      <c r="L3779">
        <v>0</v>
      </c>
      <c r="M3779">
        <f>IF((DST_123_ÜRETİM_İHTİYAÇ_RAPORU_BURAK_YENI1309[[#This Row],[SATINALMA]]*DST_123_ÜRETİM_İHTİYAÇ_RAPORU_BURAK_YENI1309[[#This Row],[BIRIM_FIYATLAR]])&lt;1,VALUE("0"),DST_123_ÜRETİM_İHTİYAÇ_RAPORU_BURAK_YENI1309[[#This Row],[SATINALMA]]*DST_123_ÜRETİM_İHTİYAÇ_RAPORU_BURAK_YENI1309[[#This Row],[BIRIM_FIYATLAR]])</f>
        <v>0</v>
      </c>
      <c r="N3779">
        <v>65</v>
      </c>
      <c r="O3779" t="s">
        <v>821</v>
      </c>
      <c r="P3779">
        <v>65</v>
      </c>
      <c r="Q3779" t="s">
        <v>178</v>
      </c>
    </row>
    <row r="3780" spans="1:17" x14ac:dyDescent="0.25">
      <c r="A3780" t="s">
        <v>1059</v>
      </c>
      <c r="B3780" t="s">
        <v>1058</v>
      </c>
      <c r="C3780" t="s">
        <v>175</v>
      </c>
      <c r="D3780" t="s">
        <v>451</v>
      </c>
      <c r="E3780" t="s">
        <v>452</v>
      </c>
      <c r="F3780">
        <v>1</v>
      </c>
      <c r="G3780" t="s">
        <v>176</v>
      </c>
      <c r="H3780">
        <v>1</v>
      </c>
      <c r="I3780">
        <v>4</v>
      </c>
      <c r="J3780" s="10">
        <v>9</v>
      </c>
      <c r="K3780" s="10">
        <f>SUMIFS(F:F,D:D,DST_123_ÜRETİM_İHTİYAÇ_RAPORU_BURAK_YENI1309[[#This Row],[ALT_KOD]])-(SUMIFS(H:H,D:D,DST_123_ÜRETİM_İHTİYAÇ_RAPORU_BURAK_YENI1309[[#This Row],[ALT_KOD]])+AVERAGEIFS(I:I,D:D,DST_123_ÜRETİM_İHTİYAÇ_RAPORU_BURAK_YENI1309[[#This Row],[ALT_KOD]])+AVERAGEIFS(L:L,D:D,DST_123_ÜRETİM_İHTİYAÇ_RAPORU_BURAK_YENI1309[[#This Row],[ALT_KOD]]))</f>
        <v>1</v>
      </c>
      <c r="L3780">
        <v>6</v>
      </c>
      <c r="M3780">
        <f>IF((DST_123_ÜRETİM_İHTİYAÇ_RAPORU_BURAK_YENI1309[[#This Row],[SATINALMA]]*DST_123_ÜRETİM_İHTİYAÇ_RAPORU_BURAK_YENI1309[[#This Row],[BIRIM_FIYATLAR]])&lt;1,VALUE("0"),DST_123_ÜRETİM_İHTİYAÇ_RAPORU_BURAK_YENI1309[[#This Row],[SATINALMA]]*DST_123_ÜRETİM_İHTİYAÇ_RAPORU_BURAK_YENI1309[[#This Row],[BIRIM_FIYATLAR]])</f>
        <v>1600</v>
      </c>
      <c r="N3780">
        <v>1600</v>
      </c>
      <c r="O3780" t="s">
        <v>240</v>
      </c>
      <c r="P3780">
        <v>1600</v>
      </c>
      <c r="Q3780" t="s">
        <v>178</v>
      </c>
    </row>
    <row r="3781" spans="1:17" x14ac:dyDescent="0.25">
      <c r="A3781" t="s">
        <v>1143</v>
      </c>
      <c r="B3781" t="s">
        <v>1056</v>
      </c>
      <c r="C3781" t="s">
        <v>175</v>
      </c>
      <c r="D3781" t="s">
        <v>451</v>
      </c>
      <c r="E3781" t="s">
        <v>452</v>
      </c>
      <c r="F3781">
        <v>1</v>
      </c>
      <c r="G3781" t="s">
        <v>176</v>
      </c>
      <c r="H3781">
        <v>0</v>
      </c>
      <c r="I3781">
        <v>4</v>
      </c>
      <c r="J3781" s="10">
        <v>9</v>
      </c>
      <c r="K3781" s="10">
        <f>SUMIFS(F:F,D:D,DST_123_ÜRETİM_İHTİYAÇ_RAPORU_BURAK_YENI1309[[#This Row],[ALT_KOD]])-(SUMIFS(H:H,D:D,DST_123_ÜRETİM_İHTİYAÇ_RAPORU_BURAK_YENI1309[[#This Row],[ALT_KOD]])+AVERAGEIFS(I:I,D:D,DST_123_ÜRETİM_İHTİYAÇ_RAPORU_BURAK_YENI1309[[#This Row],[ALT_KOD]])+AVERAGEIFS(L:L,D:D,DST_123_ÜRETİM_İHTİYAÇ_RAPORU_BURAK_YENI1309[[#This Row],[ALT_KOD]]))</f>
        <v>1</v>
      </c>
      <c r="L3781">
        <v>6</v>
      </c>
      <c r="M3781">
        <f>IF((DST_123_ÜRETİM_İHTİYAÇ_RAPORU_BURAK_YENI1309[[#This Row],[SATINALMA]]*DST_123_ÜRETİM_İHTİYAÇ_RAPORU_BURAK_YENI1309[[#This Row],[BIRIM_FIYATLAR]])&lt;1,VALUE("0"),DST_123_ÜRETİM_İHTİYAÇ_RAPORU_BURAK_YENI1309[[#This Row],[SATINALMA]]*DST_123_ÜRETİM_İHTİYAÇ_RAPORU_BURAK_YENI1309[[#This Row],[BIRIM_FIYATLAR]])</f>
        <v>1600</v>
      </c>
      <c r="N3781">
        <v>1600</v>
      </c>
      <c r="O3781" t="s">
        <v>240</v>
      </c>
      <c r="P3781">
        <v>1600</v>
      </c>
      <c r="Q3781" t="s">
        <v>178</v>
      </c>
    </row>
    <row r="3782" spans="1:17" x14ac:dyDescent="0.25">
      <c r="A3782" t="s">
        <v>1142</v>
      </c>
      <c r="B3782" t="s">
        <v>1056</v>
      </c>
      <c r="C3782" t="s">
        <v>175</v>
      </c>
      <c r="D3782" t="s">
        <v>655</v>
      </c>
      <c r="E3782" t="s">
        <v>656</v>
      </c>
      <c r="F3782">
        <v>2</v>
      </c>
      <c r="G3782" t="s">
        <v>176</v>
      </c>
      <c r="H3782">
        <v>0</v>
      </c>
      <c r="I3782">
        <v>216</v>
      </c>
      <c r="J3782" s="10">
        <v>118</v>
      </c>
      <c r="K3782" s="10">
        <f>SUMIFS(F:F,D:D,DST_123_ÜRETİM_İHTİYAÇ_RAPORU_BURAK_YENI1309[[#This Row],[ALT_KOD]])-(SUMIFS(H:H,D:D,DST_123_ÜRETİM_İHTİYAÇ_RAPORU_BURAK_YENI1309[[#This Row],[ALT_KOD]])+AVERAGEIFS(I:I,D:D,DST_123_ÜRETİM_İHTİYAÇ_RAPORU_BURAK_YENI1309[[#This Row],[ALT_KOD]])+AVERAGEIFS(L:L,D:D,DST_123_ÜRETİM_İHTİYAÇ_RAPORU_BURAK_YENI1309[[#This Row],[ALT_KOD]]))</f>
        <v>-190</v>
      </c>
      <c r="L3782">
        <v>0</v>
      </c>
      <c r="M3782">
        <f>IF((DST_123_ÜRETİM_İHTİYAÇ_RAPORU_BURAK_YENI1309[[#This Row],[SATINALMA]]*DST_123_ÜRETİM_İHTİYAÇ_RAPORU_BURAK_YENI1309[[#This Row],[BIRIM_FIYATLAR]])&lt;1,VALUE("0"),DST_123_ÜRETİM_İHTİYAÇ_RAPORU_BURAK_YENI1309[[#This Row],[SATINALMA]]*DST_123_ÜRETİM_İHTİYAÇ_RAPORU_BURAK_YENI1309[[#This Row],[BIRIM_FIYATLAR]])</f>
        <v>0</v>
      </c>
      <c r="N3782">
        <v>3.95</v>
      </c>
      <c r="O3782" t="s">
        <v>220</v>
      </c>
      <c r="P3782">
        <v>7.9</v>
      </c>
      <c r="Q3782" t="s">
        <v>221</v>
      </c>
    </row>
    <row r="3783" spans="1:17" x14ac:dyDescent="0.25">
      <c r="A3783" t="s">
        <v>1097</v>
      </c>
      <c r="B3783" t="s">
        <v>1055</v>
      </c>
      <c r="C3783" t="s">
        <v>175</v>
      </c>
      <c r="D3783" t="s">
        <v>505</v>
      </c>
      <c r="E3783" t="s">
        <v>506</v>
      </c>
      <c r="F3783">
        <v>1</v>
      </c>
      <c r="G3783" t="s">
        <v>176</v>
      </c>
      <c r="H3783">
        <v>1</v>
      </c>
      <c r="I3783">
        <v>42</v>
      </c>
      <c r="J3783" s="10">
        <v>10</v>
      </c>
      <c r="K3783" s="10">
        <f>SUMIFS(F:F,D:D,DST_123_ÜRETİM_İHTİYAÇ_RAPORU_BURAK_YENI1309[[#This Row],[ALT_KOD]])-(SUMIFS(H:H,D:D,DST_123_ÜRETİM_İHTİYAÇ_RAPORU_BURAK_YENI1309[[#This Row],[ALT_KOD]])+AVERAGEIFS(I:I,D:D,DST_123_ÜRETİM_İHTİYAÇ_RAPORU_BURAK_YENI1309[[#This Row],[ALT_KOD]])+AVERAGEIFS(L:L,D:D,DST_123_ÜRETİM_İHTİYAÇ_RAPORU_BURAK_YENI1309[[#This Row],[ALT_KOD]]))</f>
        <v>-30</v>
      </c>
      <c r="L3783">
        <v>0</v>
      </c>
      <c r="M3783">
        <f>IF((DST_123_ÜRETİM_İHTİYAÇ_RAPORU_BURAK_YENI1309[[#This Row],[SATINALMA]]*DST_123_ÜRETİM_İHTİYAÇ_RAPORU_BURAK_YENI1309[[#This Row],[BIRIM_FIYATLAR]])&lt;1,VALUE("0"),DST_123_ÜRETİM_İHTİYAÇ_RAPORU_BURAK_YENI1309[[#This Row],[SATINALMA]]*DST_123_ÜRETİM_İHTİYAÇ_RAPORU_BURAK_YENI1309[[#This Row],[BIRIM_FIYATLAR]])</f>
        <v>0</v>
      </c>
      <c r="N3783">
        <v>142.5</v>
      </c>
      <c r="O3783" t="s">
        <v>826</v>
      </c>
      <c r="P3783">
        <v>142.5</v>
      </c>
      <c r="Q3783" t="s">
        <v>221</v>
      </c>
    </row>
    <row r="3784" spans="1:17" x14ac:dyDescent="0.25">
      <c r="A3784" t="s">
        <v>1097</v>
      </c>
      <c r="B3784" t="s">
        <v>1055</v>
      </c>
      <c r="C3784" t="s">
        <v>175</v>
      </c>
      <c r="D3784" t="s">
        <v>802</v>
      </c>
      <c r="E3784" t="s">
        <v>822</v>
      </c>
      <c r="F3784">
        <v>1</v>
      </c>
      <c r="G3784" t="s">
        <v>176</v>
      </c>
      <c r="H3784">
        <v>0</v>
      </c>
      <c r="I3784">
        <v>20.5</v>
      </c>
      <c r="J3784" s="10">
        <v>5</v>
      </c>
      <c r="K3784" s="10">
        <f>SUMIFS(F:F,D:D,DST_123_ÜRETİM_İHTİYAÇ_RAPORU_BURAK_YENI1309[[#This Row],[ALT_KOD]])-(SUMIFS(H:H,D:D,DST_123_ÜRETİM_İHTİYAÇ_RAPORU_BURAK_YENI1309[[#This Row],[ALT_KOD]])+AVERAGEIFS(I:I,D:D,DST_123_ÜRETİM_İHTİYAÇ_RAPORU_BURAK_YENI1309[[#This Row],[ALT_KOD]])+AVERAGEIFS(L:L,D:D,DST_123_ÜRETİM_İHTİYAÇ_RAPORU_BURAK_YENI1309[[#This Row],[ALT_KOD]]))</f>
        <v>-9.5</v>
      </c>
      <c r="L3784">
        <v>0</v>
      </c>
      <c r="M3784">
        <f>IF((DST_123_ÜRETİM_İHTİYAÇ_RAPORU_BURAK_YENI1309[[#This Row],[SATINALMA]]*DST_123_ÜRETİM_İHTİYAÇ_RAPORU_BURAK_YENI1309[[#This Row],[BIRIM_FIYATLAR]])&lt;1,VALUE("0"),DST_123_ÜRETİM_İHTİYAÇ_RAPORU_BURAK_YENI1309[[#This Row],[SATINALMA]]*DST_123_ÜRETİM_İHTİYAÇ_RAPORU_BURAK_YENI1309[[#This Row],[BIRIM_FIYATLAR]])</f>
        <v>0</v>
      </c>
      <c r="N3784">
        <v>175</v>
      </c>
      <c r="O3784" t="s">
        <v>217</v>
      </c>
      <c r="P3784">
        <v>175</v>
      </c>
      <c r="Q3784" t="s">
        <v>180</v>
      </c>
    </row>
    <row r="3785" spans="1:17" x14ac:dyDescent="0.25">
      <c r="A3785" t="s">
        <v>1095</v>
      </c>
      <c r="B3785" t="s">
        <v>1096</v>
      </c>
      <c r="C3785" t="s">
        <v>175</v>
      </c>
      <c r="D3785" t="s">
        <v>736</v>
      </c>
      <c r="E3785" t="s">
        <v>737</v>
      </c>
      <c r="F3785">
        <v>1</v>
      </c>
      <c r="G3785" t="s">
        <v>176</v>
      </c>
      <c r="H3785">
        <v>0</v>
      </c>
      <c r="I3785">
        <v>12</v>
      </c>
      <c r="J3785" s="10">
        <v>17</v>
      </c>
      <c r="K3785" s="10">
        <f>SUMIFS(F:F,D:D,DST_123_ÜRETİM_İHTİYAÇ_RAPORU_BURAK_YENI1309[[#This Row],[ALT_KOD]])-(SUMIFS(H:H,D:D,DST_123_ÜRETİM_İHTİYAÇ_RAPORU_BURAK_YENI1309[[#This Row],[ALT_KOD]])+AVERAGEIFS(I:I,D:D,DST_123_ÜRETİM_İHTİYAÇ_RAPORU_BURAK_YENI1309[[#This Row],[ALT_KOD]])+AVERAGEIFS(L:L,D:D,DST_123_ÜRETİM_İHTİYAÇ_RAPORU_BURAK_YENI1309[[#This Row],[ALT_KOD]]))</f>
        <v>-1</v>
      </c>
      <c r="L3785">
        <v>0</v>
      </c>
      <c r="M3785">
        <f>IF((DST_123_ÜRETİM_İHTİYAÇ_RAPORU_BURAK_YENI1309[[#This Row],[SATINALMA]]*DST_123_ÜRETİM_İHTİYAÇ_RAPORU_BURAK_YENI1309[[#This Row],[BIRIM_FIYATLAR]])&lt;1,VALUE("0"),DST_123_ÜRETİM_İHTİYAÇ_RAPORU_BURAK_YENI1309[[#This Row],[SATINALMA]]*DST_123_ÜRETİM_İHTİYAÇ_RAPORU_BURAK_YENI1309[[#This Row],[BIRIM_FIYATLAR]])</f>
        <v>0</v>
      </c>
      <c r="N3785">
        <v>400</v>
      </c>
      <c r="O3785" t="s">
        <v>667</v>
      </c>
      <c r="P3785">
        <v>400</v>
      </c>
      <c r="Q3785" t="s">
        <v>177</v>
      </c>
    </row>
    <row r="3786" spans="1:17" x14ac:dyDescent="0.25">
      <c r="A3786" t="s">
        <v>1059</v>
      </c>
      <c r="B3786" t="s">
        <v>1058</v>
      </c>
      <c r="C3786" t="s">
        <v>175</v>
      </c>
      <c r="D3786" t="s">
        <v>272</v>
      </c>
      <c r="E3786" t="s">
        <v>621</v>
      </c>
      <c r="F3786">
        <v>1</v>
      </c>
      <c r="G3786" t="s">
        <v>176</v>
      </c>
      <c r="H3786">
        <v>0</v>
      </c>
      <c r="I3786">
        <v>11</v>
      </c>
      <c r="J3786" s="10">
        <v>4</v>
      </c>
      <c r="K3786" s="10">
        <f>SUMIFS(F:F,D:D,DST_123_ÜRETİM_İHTİYAÇ_RAPORU_BURAK_YENI1309[[#This Row],[ALT_KOD]])-(SUMIFS(H:H,D:D,DST_123_ÜRETİM_İHTİYAÇ_RAPORU_BURAK_YENI1309[[#This Row],[ALT_KOD]])+AVERAGEIFS(I:I,D:D,DST_123_ÜRETİM_İHTİYAÇ_RAPORU_BURAK_YENI1309[[#This Row],[ALT_KOD]])+AVERAGEIFS(L:L,D:D,DST_123_ÜRETİM_İHTİYAÇ_RAPORU_BURAK_YENI1309[[#This Row],[ALT_KOD]]))</f>
        <v>-4</v>
      </c>
      <c r="L3786">
        <v>0</v>
      </c>
      <c r="M3786">
        <f>IF((DST_123_ÜRETİM_İHTİYAÇ_RAPORU_BURAK_YENI1309[[#This Row],[SATINALMA]]*DST_123_ÜRETİM_İHTİYAÇ_RAPORU_BURAK_YENI1309[[#This Row],[BIRIM_FIYATLAR]])&lt;1,VALUE("0"),DST_123_ÜRETİM_İHTİYAÇ_RAPORU_BURAK_YENI1309[[#This Row],[SATINALMA]]*DST_123_ÜRETİM_İHTİYAÇ_RAPORU_BURAK_YENI1309[[#This Row],[BIRIM_FIYATLAR]])</f>
        <v>0</v>
      </c>
      <c r="N3786">
        <v>1679.53</v>
      </c>
      <c r="O3786" t="s">
        <v>636</v>
      </c>
      <c r="P3786">
        <v>1679.53</v>
      </c>
      <c r="Q3786" t="s">
        <v>178</v>
      </c>
    </row>
    <row r="3787" spans="1:17" x14ac:dyDescent="0.25">
      <c r="A3787" t="s">
        <v>1143</v>
      </c>
      <c r="B3787" t="s">
        <v>1056</v>
      </c>
      <c r="C3787" t="s">
        <v>175</v>
      </c>
      <c r="D3787" t="s">
        <v>60</v>
      </c>
      <c r="E3787" t="s">
        <v>61</v>
      </c>
      <c r="F3787">
        <v>1</v>
      </c>
      <c r="G3787" t="s">
        <v>176</v>
      </c>
      <c r="H3787">
        <v>0</v>
      </c>
      <c r="I3787">
        <v>17</v>
      </c>
      <c r="J3787" s="10">
        <v>11</v>
      </c>
      <c r="K3787" s="10">
        <f>SUMIFS(F:F,D:D,DST_123_ÜRETİM_İHTİYAÇ_RAPORU_BURAK_YENI1309[[#This Row],[ALT_KOD]])-(SUMIFS(H:H,D:D,DST_123_ÜRETİM_İHTİYAÇ_RAPORU_BURAK_YENI1309[[#This Row],[ALT_KOD]])+AVERAGEIFS(I:I,D:D,DST_123_ÜRETİM_İHTİYAÇ_RAPORU_BURAK_YENI1309[[#This Row],[ALT_KOD]])+AVERAGEIFS(L:L,D:D,DST_123_ÜRETİM_İHTİYAÇ_RAPORU_BURAK_YENI1309[[#This Row],[ALT_KOD]]))</f>
        <v>-5</v>
      </c>
      <c r="L3787">
        <v>0</v>
      </c>
      <c r="M3787">
        <f>IF((DST_123_ÜRETİM_İHTİYAÇ_RAPORU_BURAK_YENI1309[[#This Row],[SATINALMA]]*DST_123_ÜRETİM_İHTİYAÇ_RAPORU_BURAK_YENI1309[[#This Row],[BIRIM_FIYATLAR]])&lt;1,VALUE("0"),DST_123_ÜRETİM_İHTİYAÇ_RAPORU_BURAK_YENI1309[[#This Row],[SATINALMA]]*DST_123_ÜRETİM_İHTİYAÇ_RAPORU_BURAK_YENI1309[[#This Row],[BIRIM_FIYATLAR]])</f>
        <v>0</v>
      </c>
      <c r="N3787">
        <v>115.6</v>
      </c>
      <c r="O3787" t="s">
        <v>826</v>
      </c>
      <c r="P3787">
        <v>115.6</v>
      </c>
      <c r="Q3787" t="s">
        <v>221</v>
      </c>
    </row>
    <row r="3788" spans="1:17" x14ac:dyDescent="0.25">
      <c r="A3788" t="s">
        <v>1143</v>
      </c>
      <c r="B3788" t="s">
        <v>1056</v>
      </c>
      <c r="C3788" t="s">
        <v>175</v>
      </c>
      <c r="D3788" t="s">
        <v>686</v>
      </c>
      <c r="E3788" t="s">
        <v>687</v>
      </c>
      <c r="F3788">
        <v>1</v>
      </c>
      <c r="G3788" t="s">
        <v>176</v>
      </c>
      <c r="H3788">
        <v>0</v>
      </c>
      <c r="I3788">
        <v>0</v>
      </c>
      <c r="J3788" s="10">
        <v>1</v>
      </c>
      <c r="K3788" s="10">
        <f>SUMIFS(F:F,D:D,DST_123_ÜRETİM_İHTİYAÇ_RAPORU_BURAK_YENI1309[[#This Row],[ALT_KOD]])-(SUMIFS(H:H,D:D,DST_123_ÜRETİM_İHTİYAÇ_RAPORU_BURAK_YENI1309[[#This Row],[ALT_KOD]])+AVERAGEIFS(I:I,D:D,DST_123_ÜRETİM_İHTİYAÇ_RAPORU_BURAK_YENI1309[[#This Row],[ALT_KOD]])+AVERAGEIFS(L:L,D:D,DST_123_ÜRETİM_İHTİYAÇ_RAPORU_BURAK_YENI1309[[#This Row],[ALT_KOD]]))</f>
        <v>9</v>
      </c>
      <c r="L3788">
        <v>0</v>
      </c>
      <c r="M3788">
        <f>IF((DST_123_ÜRETİM_İHTİYAÇ_RAPORU_BURAK_YENI1309[[#This Row],[SATINALMA]]*DST_123_ÜRETİM_İHTİYAÇ_RAPORU_BURAK_YENI1309[[#This Row],[BIRIM_FIYATLAR]])&lt;1,VALUE("0"),DST_123_ÜRETİM_İHTİYAÇ_RAPORU_BURAK_YENI1309[[#This Row],[SATINALMA]]*DST_123_ÜRETİM_İHTİYAÇ_RAPORU_BURAK_YENI1309[[#This Row],[BIRIM_FIYATLAR]])</f>
        <v>13877.91</v>
      </c>
      <c r="N3788">
        <v>1541.99</v>
      </c>
      <c r="O3788" t="s">
        <v>688</v>
      </c>
      <c r="P3788">
        <v>1541.99</v>
      </c>
      <c r="Q3788" t="s">
        <v>177</v>
      </c>
    </row>
    <row r="3789" spans="1:17" x14ac:dyDescent="0.25">
      <c r="A3789" t="s">
        <v>1059</v>
      </c>
      <c r="B3789" t="s">
        <v>1058</v>
      </c>
      <c r="C3789" t="s">
        <v>175</v>
      </c>
      <c r="D3789" t="s">
        <v>618</v>
      </c>
      <c r="E3789" t="s">
        <v>827</v>
      </c>
      <c r="F3789">
        <v>1</v>
      </c>
      <c r="G3789" t="s">
        <v>176</v>
      </c>
      <c r="H3789">
        <v>0</v>
      </c>
      <c r="I3789">
        <v>37</v>
      </c>
      <c r="J3789" s="10">
        <v>2</v>
      </c>
      <c r="K3789" s="10">
        <f>SUMIFS(F:F,D:D,DST_123_ÜRETİM_İHTİYAÇ_RAPORU_BURAK_YENI1309[[#This Row],[ALT_KOD]])-(SUMIFS(H:H,D:D,DST_123_ÜRETİM_İHTİYAÇ_RAPORU_BURAK_YENI1309[[#This Row],[ALT_KOD]])+AVERAGEIFS(I:I,D:D,DST_123_ÜRETİM_İHTİYAÇ_RAPORU_BURAK_YENI1309[[#This Row],[ALT_KOD]])+AVERAGEIFS(L:L,D:D,DST_123_ÜRETİM_İHTİYAÇ_RAPORU_BURAK_YENI1309[[#This Row],[ALT_KOD]]))</f>
        <v>-17</v>
      </c>
      <c r="L3789">
        <v>0</v>
      </c>
      <c r="M3789">
        <f>IF((DST_123_ÜRETİM_İHTİYAÇ_RAPORU_BURAK_YENI1309[[#This Row],[SATINALMA]]*DST_123_ÜRETİM_İHTİYAÇ_RAPORU_BURAK_YENI1309[[#This Row],[BIRIM_FIYATLAR]])&lt;1,VALUE("0"),DST_123_ÜRETİM_İHTİYAÇ_RAPORU_BURAK_YENI1309[[#This Row],[SATINALMA]]*DST_123_ÜRETİM_İHTİYAÇ_RAPORU_BURAK_YENI1309[[#This Row],[BIRIM_FIYATLAR]])</f>
        <v>0</v>
      </c>
      <c r="N3789">
        <v>82.6</v>
      </c>
      <c r="O3789" t="s">
        <v>821</v>
      </c>
      <c r="P3789">
        <v>82.6</v>
      </c>
      <c r="Q3789" t="s">
        <v>178</v>
      </c>
    </row>
    <row r="3790" spans="1:17" x14ac:dyDescent="0.25">
      <c r="A3790" t="s">
        <v>1143</v>
      </c>
      <c r="B3790" t="s">
        <v>1056</v>
      </c>
      <c r="C3790" t="s">
        <v>175</v>
      </c>
      <c r="D3790" t="s">
        <v>618</v>
      </c>
      <c r="E3790" t="s">
        <v>827</v>
      </c>
      <c r="F3790">
        <v>1</v>
      </c>
      <c r="G3790" t="s">
        <v>176</v>
      </c>
      <c r="H3790">
        <v>0</v>
      </c>
      <c r="I3790">
        <v>37</v>
      </c>
      <c r="J3790" s="10">
        <v>2</v>
      </c>
      <c r="K3790" s="10">
        <f>SUMIFS(F:F,D:D,DST_123_ÜRETİM_İHTİYAÇ_RAPORU_BURAK_YENI1309[[#This Row],[ALT_KOD]])-(SUMIFS(H:H,D:D,DST_123_ÜRETİM_İHTİYAÇ_RAPORU_BURAK_YENI1309[[#This Row],[ALT_KOD]])+AVERAGEIFS(I:I,D:D,DST_123_ÜRETİM_İHTİYAÇ_RAPORU_BURAK_YENI1309[[#This Row],[ALT_KOD]])+AVERAGEIFS(L:L,D:D,DST_123_ÜRETİM_İHTİYAÇ_RAPORU_BURAK_YENI1309[[#This Row],[ALT_KOD]]))</f>
        <v>-17</v>
      </c>
      <c r="L3790">
        <v>0</v>
      </c>
      <c r="M3790">
        <f>IF((DST_123_ÜRETİM_İHTİYAÇ_RAPORU_BURAK_YENI1309[[#This Row],[SATINALMA]]*DST_123_ÜRETİM_İHTİYAÇ_RAPORU_BURAK_YENI1309[[#This Row],[BIRIM_FIYATLAR]])&lt;1,VALUE("0"),DST_123_ÜRETİM_İHTİYAÇ_RAPORU_BURAK_YENI1309[[#This Row],[SATINALMA]]*DST_123_ÜRETİM_İHTİYAÇ_RAPORU_BURAK_YENI1309[[#This Row],[BIRIM_FIYATLAR]])</f>
        <v>0</v>
      </c>
      <c r="N3790">
        <v>82.6</v>
      </c>
      <c r="O3790" t="s">
        <v>821</v>
      </c>
      <c r="P3790">
        <v>82.6</v>
      </c>
      <c r="Q3790" t="s">
        <v>178</v>
      </c>
    </row>
    <row r="3791" spans="1:17" x14ac:dyDescent="0.25">
      <c r="A3791" t="s">
        <v>1095</v>
      </c>
      <c r="B3791" t="s">
        <v>1096</v>
      </c>
      <c r="C3791" t="s">
        <v>175</v>
      </c>
      <c r="D3791" t="s">
        <v>618</v>
      </c>
      <c r="E3791" t="s">
        <v>827</v>
      </c>
      <c r="F3791">
        <v>1</v>
      </c>
      <c r="G3791" t="s">
        <v>176</v>
      </c>
      <c r="H3791">
        <v>0</v>
      </c>
      <c r="I3791">
        <v>37</v>
      </c>
      <c r="J3791" s="10">
        <v>2</v>
      </c>
      <c r="K3791" s="10">
        <f>SUMIFS(F:F,D:D,DST_123_ÜRETİM_İHTİYAÇ_RAPORU_BURAK_YENI1309[[#This Row],[ALT_KOD]])-(SUMIFS(H:H,D:D,DST_123_ÜRETİM_İHTİYAÇ_RAPORU_BURAK_YENI1309[[#This Row],[ALT_KOD]])+AVERAGEIFS(I:I,D:D,DST_123_ÜRETİM_İHTİYAÇ_RAPORU_BURAK_YENI1309[[#This Row],[ALT_KOD]])+AVERAGEIFS(L:L,D:D,DST_123_ÜRETİM_İHTİYAÇ_RAPORU_BURAK_YENI1309[[#This Row],[ALT_KOD]]))</f>
        <v>-17</v>
      </c>
      <c r="L3791">
        <v>0</v>
      </c>
      <c r="M3791">
        <f>IF((DST_123_ÜRETİM_İHTİYAÇ_RAPORU_BURAK_YENI1309[[#This Row],[SATINALMA]]*DST_123_ÜRETİM_İHTİYAÇ_RAPORU_BURAK_YENI1309[[#This Row],[BIRIM_FIYATLAR]])&lt;1,VALUE("0"),DST_123_ÜRETİM_İHTİYAÇ_RAPORU_BURAK_YENI1309[[#This Row],[SATINALMA]]*DST_123_ÜRETİM_İHTİYAÇ_RAPORU_BURAK_YENI1309[[#This Row],[BIRIM_FIYATLAR]])</f>
        <v>0</v>
      </c>
      <c r="N3791">
        <v>82.6</v>
      </c>
      <c r="O3791" t="s">
        <v>821</v>
      </c>
      <c r="P3791">
        <v>82.6</v>
      </c>
      <c r="Q3791" t="s">
        <v>178</v>
      </c>
    </row>
    <row r="3792" spans="1:17" x14ac:dyDescent="0.25">
      <c r="A3792" t="s">
        <v>1059</v>
      </c>
      <c r="B3792" t="s">
        <v>1058</v>
      </c>
      <c r="C3792" t="s">
        <v>175</v>
      </c>
      <c r="D3792" t="s">
        <v>974</v>
      </c>
      <c r="E3792" t="s">
        <v>975</v>
      </c>
      <c r="F3792">
        <v>5</v>
      </c>
      <c r="G3792" t="s">
        <v>176</v>
      </c>
      <c r="H3792">
        <v>0</v>
      </c>
      <c r="I3792">
        <v>0</v>
      </c>
      <c r="J3792" s="10">
        <v>0</v>
      </c>
      <c r="K3792" s="10">
        <f>SUMIFS(F:F,D:D,DST_123_ÜRETİM_İHTİYAÇ_RAPORU_BURAK_YENI1309[[#This Row],[ALT_KOD]])-(SUMIFS(H:H,D:D,DST_123_ÜRETİM_İHTİYAÇ_RAPORU_BURAK_YENI1309[[#This Row],[ALT_KOD]])+AVERAGEIFS(I:I,D:D,DST_123_ÜRETİM_İHTİYAÇ_RAPORU_BURAK_YENI1309[[#This Row],[ALT_KOD]])+AVERAGEIFS(L:L,D:D,DST_123_ÜRETİM_İHTİYAÇ_RAPORU_BURAK_YENI1309[[#This Row],[ALT_KOD]]))</f>
        <v>10</v>
      </c>
      <c r="L3792">
        <v>0</v>
      </c>
      <c r="M3792">
        <f>IF((DST_123_ÜRETİM_İHTİYAÇ_RAPORU_BURAK_YENI1309[[#This Row],[SATINALMA]]*DST_123_ÜRETİM_İHTİYAÇ_RAPORU_BURAK_YENI1309[[#This Row],[BIRIM_FIYATLAR]])&lt;1,VALUE("0"),DST_123_ÜRETİM_İHTİYAÇ_RAPORU_BURAK_YENI1309[[#This Row],[SATINALMA]]*DST_123_ÜRETİM_İHTİYAÇ_RAPORU_BURAK_YENI1309[[#This Row],[BIRIM_FIYATLAR]])</f>
        <v>6.6000000000000005</v>
      </c>
      <c r="N3792">
        <v>0.66</v>
      </c>
      <c r="P3792">
        <v>3.3000000000000003</v>
      </c>
      <c r="Q3792" t="s">
        <v>180</v>
      </c>
    </row>
    <row r="3793" spans="1:17" x14ac:dyDescent="0.25">
      <c r="A3793" t="s">
        <v>1142</v>
      </c>
      <c r="B3793" t="s">
        <v>1056</v>
      </c>
      <c r="C3793" t="s">
        <v>175</v>
      </c>
      <c r="D3793" t="s">
        <v>60</v>
      </c>
      <c r="E3793" t="s">
        <v>61</v>
      </c>
      <c r="F3793">
        <v>1</v>
      </c>
      <c r="G3793" t="s">
        <v>176</v>
      </c>
      <c r="H3793">
        <v>0</v>
      </c>
      <c r="I3793">
        <v>17</v>
      </c>
      <c r="J3793" s="10">
        <v>11</v>
      </c>
      <c r="K3793" s="10">
        <f>SUMIFS(F:F,D:D,DST_123_ÜRETİM_İHTİYAÇ_RAPORU_BURAK_YENI1309[[#This Row],[ALT_KOD]])-(SUMIFS(H:H,D:D,DST_123_ÜRETİM_İHTİYAÇ_RAPORU_BURAK_YENI1309[[#This Row],[ALT_KOD]])+AVERAGEIFS(I:I,D:D,DST_123_ÜRETİM_İHTİYAÇ_RAPORU_BURAK_YENI1309[[#This Row],[ALT_KOD]])+AVERAGEIFS(L:L,D:D,DST_123_ÜRETİM_İHTİYAÇ_RAPORU_BURAK_YENI1309[[#This Row],[ALT_KOD]]))</f>
        <v>-5</v>
      </c>
      <c r="L3793">
        <v>0</v>
      </c>
      <c r="M3793">
        <f>IF((DST_123_ÜRETİM_İHTİYAÇ_RAPORU_BURAK_YENI1309[[#This Row],[SATINALMA]]*DST_123_ÜRETİM_İHTİYAÇ_RAPORU_BURAK_YENI1309[[#This Row],[BIRIM_FIYATLAR]])&lt;1,VALUE("0"),DST_123_ÜRETİM_İHTİYAÇ_RAPORU_BURAK_YENI1309[[#This Row],[SATINALMA]]*DST_123_ÜRETİM_İHTİYAÇ_RAPORU_BURAK_YENI1309[[#This Row],[BIRIM_FIYATLAR]])</f>
        <v>0</v>
      </c>
      <c r="N3793">
        <v>115.6</v>
      </c>
      <c r="O3793" t="s">
        <v>826</v>
      </c>
      <c r="P3793">
        <v>115.6</v>
      </c>
      <c r="Q3793" t="s">
        <v>221</v>
      </c>
    </row>
    <row r="3794" spans="1:17" x14ac:dyDescent="0.25">
      <c r="A3794" t="s">
        <v>1142</v>
      </c>
      <c r="B3794" t="s">
        <v>1056</v>
      </c>
      <c r="C3794" t="s">
        <v>175</v>
      </c>
      <c r="D3794" t="s">
        <v>406</v>
      </c>
      <c r="E3794" t="s">
        <v>407</v>
      </c>
      <c r="F3794">
        <v>2</v>
      </c>
      <c r="G3794" t="s">
        <v>176</v>
      </c>
      <c r="H3794">
        <v>0</v>
      </c>
      <c r="I3794">
        <v>34</v>
      </c>
      <c r="J3794" s="10">
        <v>62</v>
      </c>
      <c r="K3794" s="10">
        <f>SUMIFS(F:F,D:D,DST_123_ÜRETİM_İHTİYAÇ_RAPORU_BURAK_YENI1309[[#This Row],[ALT_KOD]])-(SUMIFS(H:H,D:D,DST_123_ÜRETİM_İHTİYAÇ_RAPORU_BURAK_YENI1309[[#This Row],[ALT_KOD]])+AVERAGEIFS(I:I,D:D,DST_123_ÜRETİM_İHTİYAÇ_RAPORU_BURAK_YENI1309[[#This Row],[ALT_KOD]])+AVERAGEIFS(L:L,D:D,DST_123_ÜRETİM_İHTİYAÇ_RAPORU_BURAK_YENI1309[[#This Row],[ALT_KOD]]))</f>
        <v>-12</v>
      </c>
      <c r="L3794">
        <v>0</v>
      </c>
      <c r="M3794">
        <f>IF((DST_123_ÜRETİM_İHTİYAÇ_RAPORU_BURAK_YENI1309[[#This Row],[SATINALMA]]*DST_123_ÜRETİM_İHTİYAÇ_RAPORU_BURAK_YENI1309[[#This Row],[BIRIM_FIYATLAR]])&lt;1,VALUE("0"),DST_123_ÜRETİM_İHTİYAÇ_RAPORU_BURAK_YENI1309[[#This Row],[SATINALMA]]*DST_123_ÜRETİM_İHTİYAÇ_RAPORU_BURAK_YENI1309[[#This Row],[BIRIM_FIYATLAR]])</f>
        <v>0</v>
      </c>
      <c r="N3794">
        <v>19.07</v>
      </c>
      <c r="O3794" t="s">
        <v>826</v>
      </c>
      <c r="P3794">
        <v>38.14</v>
      </c>
      <c r="Q3794" t="s">
        <v>221</v>
      </c>
    </row>
    <row r="3795" spans="1:17" x14ac:dyDescent="0.25">
      <c r="A3795" t="s">
        <v>1142</v>
      </c>
      <c r="B3795" t="s">
        <v>1056</v>
      </c>
      <c r="C3795" t="s">
        <v>175</v>
      </c>
      <c r="D3795" t="s">
        <v>618</v>
      </c>
      <c r="E3795" t="s">
        <v>827</v>
      </c>
      <c r="F3795">
        <v>1</v>
      </c>
      <c r="G3795" t="s">
        <v>176</v>
      </c>
      <c r="H3795">
        <v>0</v>
      </c>
      <c r="I3795">
        <v>37</v>
      </c>
      <c r="J3795" s="10">
        <v>2</v>
      </c>
      <c r="K3795" s="10">
        <f>SUMIFS(F:F,D:D,DST_123_ÜRETİM_İHTİYAÇ_RAPORU_BURAK_YENI1309[[#This Row],[ALT_KOD]])-(SUMIFS(H:H,D:D,DST_123_ÜRETİM_İHTİYAÇ_RAPORU_BURAK_YENI1309[[#This Row],[ALT_KOD]])+AVERAGEIFS(I:I,D:D,DST_123_ÜRETİM_İHTİYAÇ_RAPORU_BURAK_YENI1309[[#This Row],[ALT_KOD]])+AVERAGEIFS(L:L,D:D,DST_123_ÜRETİM_İHTİYAÇ_RAPORU_BURAK_YENI1309[[#This Row],[ALT_KOD]]))</f>
        <v>-17</v>
      </c>
      <c r="L3795">
        <v>0</v>
      </c>
      <c r="M3795">
        <f>IF((DST_123_ÜRETİM_İHTİYAÇ_RAPORU_BURAK_YENI1309[[#This Row],[SATINALMA]]*DST_123_ÜRETİM_İHTİYAÇ_RAPORU_BURAK_YENI1309[[#This Row],[BIRIM_FIYATLAR]])&lt;1,VALUE("0"),DST_123_ÜRETİM_İHTİYAÇ_RAPORU_BURAK_YENI1309[[#This Row],[SATINALMA]]*DST_123_ÜRETİM_İHTİYAÇ_RAPORU_BURAK_YENI1309[[#This Row],[BIRIM_FIYATLAR]])</f>
        <v>0</v>
      </c>
      <c r="N3795">
        <v>82.6</v>
      </c>
      <c r="O3795" t="s">
        <v>821</v>
      </c>
      <c r="P3795">
        <v>82.6</v>
      </c>
      <c r="Q3795" t="s">
        <v>178</v>
      </c>
    </row>
    <row r="3796" spans="1:17" x14ac:dyDescent="0.25">
      <c r="A3796" t="s">
        <v>1097</v>
      </c>
      <c r="B3796" t="s">
        <v>1055</v>
      </c>
      <c r="C3796" t="s">
        <v>175</v>
      </c>
      <c r="D3796" t="s">
        <v>618</v>
      </c>
      <c r="E3796" t="s">
        <v>827</v>
      </c>
      <c r="F3796">
        <v>1</v>
      </c>
      <c r="G3796" t="s">
        <v>176</v>
      </c>
      <c r="H3796">
        <v>0</v>
      </c>
      <c r="I3796">
        <v>37</v>
      </c>
      <c r="J3796" s="10">
        <v>2</v>
      </c>
      <c r="K3796" s="10">
        <f>SUMIFS(F:F,D:D,DST_123_ÜRETİM_İHTİYAÇ_RAPORU_BURAK_YENI1309[[#This Row],[ALT_KOD]])-(SUMIFS(H:H,D:D,DST_123_ÜRETİM_İHTİYAÇ_RAPORU_BURAK_YENI1309[[#This Row],[ALT_KOD]])+AVERAGEIFS(I:I,D:D,DST_123_ÜRETİM_İHTİYAÇ_RAPORU_BURAK_YENI1309[[#This Row],[ALT_KOD]])+AVERAGEIFS(L:L,D:D,DST_123_ÜRETİM_İHTİYAÇ_RAPORU_BURAK_YENI1309[[#This Row],[ALT_KOD]]))</f>
        <v>-17</v>
      </c>
      <c r="L3796">
        <v>0</v>
      </c>
      <c r="M3796">
        <f>IF((DST_123_ÜRETİM_İHTİYAÇ_RAPORU_BURAK_YENI1309[[#This Row],[SATINALMA]]*DST_123_ÜRETİM_İHTİYAÇ_RAPORU_BURAK_YENI1309[[#This Row],[BIRIM_FIYATLAR]])&lt;1,VALUE("0"),DST_123_ÜRETİM_İHTİYAÇ_RAPORU_BURAK_YENI1309[[#This Row],[SATINALMA]]*DST_123_ÜRETİM_İHTİYAÇ_RAPORU_BURAK_YENI1309[[#This Row],[BIRIM_FIYATLAR]])</f>
        <v>0</v>
      </c>
      <c r="N3796">
        <v>82.6</v>
      </c>
      <c r="O3796" t="s">
        <v>821</v>
      </c>
      <c r="P3796">
        <v>82.6</v>
      </c>
      <c r="Q3796" t="s">
        <v>178</v>
      </c>
    </row>
    <row r="3797" spans="1:17" x14ac:dyDescent="0.25">
      <c r="A3797" t="s">
        <v>1142</v>
      </c>
      <c r="B3797" t="s">
        <v>1056</v>
      </c>
      <c r="C3797" t="s">
        <v>175</v>
      </c>
      <c r="D3797" t="s">
        <v>299</v>
      </c>
      <c r="E3797" t="s">
        <v>300</v>
      </c>
      <c r="F3797">
        <v>18</v>
      </c>
      <c r="G3797" t="s">
        <v>176</v>
      </c>
      <c r="H3797">
        <v>0</v>
      </c>
      <c r="I3797">
        <v>180</v>
      </c>
      <c r="J3797" s="10">
        <v>80</v>
      </c>
      <c r="K3797" s="10">
        <f>SUMIFS(F:F,D:D,DST_123_ÜRETİM_İHTİYAÇ_RAPORU_BURAK_YENI1309[[#This Row],[ALT_KOD]])-(SUMIFS(H:H,D:D,DST_123_ÜRETİM_İHTİYAÇ_RAPORU_BURAK_YENI1309[[#This Row],[ALT_KOD]])+AVERAGEIFS(I:I,D:D,DST_123_ÜRETİM_İHTİYAÇ_RAPORU_BURAK_YENI1309[[#This Row],[ALT_KOD]])+AVERAGEIFS(L:L,D:D,DST_123_ÜRETİM_İHTİYAÇ_RAPORU_BURAK_YENI1309[[#This Row],[ALT_KOD]]))</f>
        <v>32</v>
      </c>
      <c r="L3797">
        <v>0</v>
      </c>
      <c r="M3797">
        <f>IF((DST_123_ÜRETİM_İHTİYAÇ_RAPORU_BURAK_YENI1309[[#This Row],[SATINALMA]]*DST_123_ÜRETİM_İHTİYAÇ_RAPORU_BURAK_YENI1309[[#This Row],[BIRIM_FIYATLAR]])&lt;1,VALUE("0"),DST_123_ÜRETİM_İHTİYAÇ_RAPORU_BURAK_YENI1309[[#This Row],[SATINALMA]]*DST_123_ÜRETİM_İHTİYAÇ_RAPORU_BURAK_YENI1309[[#This Row],[BIRIM_FIYATLAR]])</f>
        <v>7680</v>
      </c>
      <c r="N3797">
        <v>240</v>
      </c>
      <c r="O3797" t="s">
        <v>240</v>
      </c>
      <c r="P3797">
        <v>4320</v>
      </c>
      <c r="Q3797" t="s">
        <v>180</v>
      </c>
    </row>
    <row r="3798" spans="1:17" x14ac:dyDescent="0.25">
      <c r="A3798" t="s">
        <v>1143</v>
      </c>
      <c r="B3798" t="s">
        <v>1056</v>
      </c>
      <c r="C3798" t="s">
        <v>175</v>
      </c>
      <c r="D3798" t="s">
        <v>338</v>
      </c>
      <c r="E3798" t="s">
        <v>339</v>
      </c>
      <c r="F3798">
        <v>17.100000000000001</v>
      </c>
      <c r="G3798" t="s">
        <v>185</v>
      </c>
      <c r="H3798">
        <v>0</v>
      </c>
      <c r="I3798">
        <v>0</v>
      </c>
      <c r="J3798" s="10">
        <v>154.94999999999996</v>
      </c>
      <c r="K3798" s="10">
        <f>SUMIFS(F:F,D:D,DST_123_ÜRETİM_İHTİYAÇ_RAPORU_BURAK_YENI1309[[#This Row],[ALT_KOD]])-(SUMIFS(H:H,D:D,DST_123_ÜRETİM_İHTİYAÇ_RAPORU_BURAK_YENI1309[[#This Row],[ALT_KOD]])+AVERAGEIFS(I:I,D:D,DST_123_ÜRETİM_İHTİYAÇ_RAPORU_BURAK_YENI1309[[#This Row],[ALT_KOD]])+AVERAGEIFS(L:L,D:D,DST_123_ÜRETİM_İHTİYAÇ_RAPORU_BURAK_YENI1309[[#This Row],[ALT_KOD]]))</f>
        <v>21.899999999999991</v>
      </c>
      <c r="L3798">
        <v>60</v>
      </c>
      <c r="M3798">
        <f>IF((DST_123_ÜRETİM_İHTİYAÇ_RAPORU_BURAK_YENI1309[[#This Row],[SATINALMA]]*DST_123_ÜRETİM_İHTİYAÇ_RAPORU_BURAK_YENI1309[[#This Row],[BIRIM_FIYATLAR]])&lt;1,VALUE("0"),DST_123_ÜRETİM_İHTİYAÇ_RAPORU_BURAK_YENI1309[[#This Row],[SATINALMA]]*DST_123_ÜRETİM_İHTİYAÇ_RAPORU_BURAK_YENI1309[[#This Row],[BIRIM_FIYATLAR]])</f>
        <v>4265.0249999999987</v>
      </c>
      <c r="N3798">
        <v>194.75</v>
      </c>
      <c r="O3798" t="s">
        <v>490</v>
      </c>
      <c r="P3798">
        <v>3330.2250000000004</v>
      </c>
      <c r="Q3798" t="s">
        <v>183</v>
      </c>
    </row>
    <row r="3799" spans="1:17" x14ac:dyDescent="0.25">
      <c r="A3799" t="s">
        <v>1143</v>
      </c>
      <c r="B3799" t="s">
        <v>1056</v>
      </c>
      <c r="C3799" t="s">
        <v>175</v>
      </c>
      <c r="D3799" t="s">
        <v>391</v>
      </c>
      <c r="E3799" t="s">
        <v>392</v>
      </c>
      <c r="F3799">
        <v>10</v>
      </c>
      <c r="G3799" t="s">
        <v>176</v>
      </c>
      <c r="H3799">
        <v>0</v>
      </c>
      <c r="I3799">
        <v>0</v>
      </c>
      <c r="J3799" s="10">
        <v>58.050000000000026</v>
      </c>
      <c r="K3799" s="10">
        <f>SUMIFS(F:F,D:D,DST_123_ÜRETİM_İHTİYAÇ_RAPORU_BURAK_YENI1309[[#This Row],[ALT_KOD]])-(SUMIFS(H:H,D:D,DST_123_ÜRETİM_İHTİYAÇ_RAPORU_BURAK_YENI1309[[#This Row],[ALT_KOD]])+AVERAGEIFS(I:I,D:D,DST_123_ÜRETİM_İHTİYAÇ_RAPORU_BURAK_YENI1309[[#This Row],[ALT_KOD]])+AVERAGEIFS(L:L,D:D,DST_123_ÜRETİM_İHTİYAÇ_RAPORU_BURAK_YENI1309[[#This Row],[ALT_KOD]]))</f>
        <v>144.72000000000003</v>
      </c>
      <c r="L3799">
        <v>37</v>
      </c>
      <c r="M3799">
        <f>IF((DST_123_ÜRETİM_İHTİYAÇ_RAPORU_BURAK_YENI1309[[#This Row],[SATINALMA]]*DST_123_ÜRETİM_İHTİYAÇ_RAPORU_BURAK_YENI1309[[#This Row],[BIRIM_FIYATLAR]])&lt;1,VALUE("0"),DST_123_ÜRETİM_İHTİYAÇ_RAPORU_BURAK_YENI1309[[#This Row],[SATINALMA]]*DST_123_ÜRETİM_İHTİYAÇ_RAPORU_BURAK_YENI1309[[#This Row],[BIRIM_FIYATLAR]])</f>
        <v>261099.48240000007</v>
      </c>
      <c r="N3799">
        <v>1804.17</v>
      </c>
      <c r="O3799" t="s">
        <v>223</v>
      </c>
      <c r="P3799">
        <v>18041.7</v>
      </c>
      <c r="Q3799" t="s">
        <v>181</v>
      </c>
    </row>
    <row r="3800" spans="1:17" x14ac:dyDescent="0.25">
      <c r="A3800" t="s">
        <v>1059</v>
      </c>
      <c r="B3800" t="s">
        <v>1058</v>
      </c>
      <c r="C3800" t="s">
        <v>175</v>
      </c>
      <c r="D3800" t="s">
        <v>391</v>
      </c>
      <c r="E3800" t="s">
        <v>392</v>
      </c>
      <c r="F3800">
        <v>5.5</v>
      </c>
      <c r="G3800" t="s">
        <v>176</v>
      </c>
      <c r="H3800">
        <v>0</v>
      </c>
      <c r="I3800">
        <v>0</v>
      </c>
      <c r="J3800" s="10">
        <v>58.050000000000026</v>
      </c>
      <c r="K3800" s="10">
        <f>SUMIFS(F:F,D:D,DST_123_ÜRETİM_İHTİYAÇ_RAPORU_BURAK_YENI1309[[#This Row],[ALT_KOD]])-(SUMIFS(H:H,D:D,DST_123_ÜRETİM_İHTİYAÇ_RAPORU_BURAK_YENI1309[[#This Row],[ALT_KOD]])+AVERAGEIFS(I:I,D:D,DST_123_ÜRETİM_İHTİYAÇ_RAPORU_BURAK_YENI1309[[#This Row],[ALT_KOD]])+AVERAGEIFS(L:L,D:D,DST_123_ÜRETİM_İHTİYAÇ_RAPORU_BURAK_YENI1309[[#This Row],[ALT_KOD]]))</f>
        <v>144.72000000000003</v>
      </c>
      <c r="L3800">
        <v>37</v>
      </c>
      <c r="M3800">
        <f>IF((DST_123_ÜRETİM_İHTİYAÇ_RAPORU_BURAK_YENI1309[[#This Row],[SATINALMA]]*DST_123_ÜRETİM_İHTİYAÇ_RAPORU_BURAK_YENI1309[[#This Row],[BIRIM_FIYATLAR]])&lt;1,VALUE("0"),DST_123_ÜRETİM_İHTİYAÇ_RAPORU_BURAK_YENI1309[[#This Row],[SATINALMA]]*DST_123_ÜRETİM_İHTİYAÇ_RAPORU_BURAK_YENI1309[[#This Row],[BIRIM_FIYATLAR]])</f>
        <v>261099.48240000007</v>
      </c>
      <c r="N3800">
        <v>1804.17</v>
      </c>
      <c r="O3800" t="s">
        <v>223</v>
      </c>
      <c r="P3800">
        <v>9922.9350000000013</v>
      </c>
      <c r="Q3800" t="s">
        <v>181</v>
      </c>
    </row>
    <row r="3801" spans="1:17" x14ac:dyDescent="0.25">
      <c r="A3801" t="s">
        <v>1097</v>
      </c>
      <c r="B3801" t="s">
        <v>1055</v>
      </c>
      <c r="C3801" t="s">
        <v>175</v>
      </c>
      <c r="D3801" t="s">
        <v>508</v>
      </c>
      <c r="E3801" t="s">
        <v>509</v>
      </c>
      <c r="F3801">
        <v>1</v>
      </c>
      <c r="G3801" t="s">
        <v>176</v>
      </c>
      <c r="H3801">
        <v>1</v>
      </c>
      <c r="I3801">
        <v>4</v>
      </c>
      <c r="J3801" s="10">
        <v>10</v>
      </c>
      <c r="K3801" s="10">
        <f>SUMIFS(F:F,D:D,DST_123_ÜRETİM_İHTİYAÇ_RAPORU_BURAK_YENI1309[[#This Row],[ALT_KOD]])-(SUMIFS(H:H,D:D,DST_123_ÜRETİM_İHTİYAÇ_RAPORU_BURAK_YENI1309[[#This Row],[ALT_KOD]])+AVERAGEIFS(I:I,D:D,DST_123_ÜRETİM_İHTİYAÇ_RAPORU_BURAK_YENI1309[[#This Row],[ALT_KOD]])+AVERAGEIFS(L:L,D:D,DST_123_ÜRETİM_İHTİYAÇ_RAPORU_BURAK_YENI1309[[#This Row],[ALT_KOD]]))</f>
        <v>1</v>
      </c>
      <c r="L3801">
        <v>7</v>
      </c>
      <c r="M3801">
        <f>IF((DST_123_ÜRETİM_İHTİYAÇ_RAPORU_BURAK_YENI1309[[#This Row],[SATINALMA]]*DST_123_ÜRETİM_İHTİYAÇ_RAPORU_BURAK_YENI1309[[#This Row],[BIRIM_FIYATLAR]])&lt;1,VALUE("0"),DST_123_ÜRETİM_İHTİYAÇ_RAPORU_BURAK_YENI1309[[#This Row],[SATINALMA]]*DST_123_ÜRETİM_İHTİYAÇ_RAPORU_BURAK_YENI1309[[#This Row],[BIRIM_FIYATLAR]])</f>
        <v>1535.25</v>
      </c>
      <c r="N3801">
        <v>1535.25</v>
      </c>
      <c r="O3801" t="s">
        <v>507</v>
      </c>
      <c r="P3801">
        <v>1535.25</v>
      </c>
      <c r="Q3801" t="s">
        <v>221</v>
      </c>
    </row>
    <row r="3802" spans="1:17" x14ac:dyDescent="0.25">
      <c r="A3802" t="s">
        <v>1059</v>
      </c>
      <c r="B3802" t="s">
        <v>1058</v>
      </c>
      <c r="C3802" t="s">
        <v>175</v>
      </c>
      <c r="D3802" t="s">
        <v>508</v>
      </c>
      <c r="E3802" t="s">
        <v>509</v>
      </c>
      <c r="F3802">
        <v>1</v>
      </c>
      <c r="G3802" t="s">
        <v>176</v>
      </c>
      <c r="H3802">
        <v>1</v>
      </c>
      <c r="I3802">
        <v>4</v>
      </c>
      <c r="J3802" s="10">
        <v>10</v>
      </c>
      <c r="K3802" s="10">
        <f>SUMIFS(F:F,D:D,DST_123_ÜRETİM_İHTİYAÇ_RAPORU_BURAK_YENI1309[[#This Row],[ALT_KOD]])-(SUMIFS(H:H,D:D,DST_123_ÜRETİM_İHTİYAÇ_RAPORU_BURAK_YENI1309[[#This Row],[ALT_KOD]])+AVERAGEIFS(I:I,D:D,DST_123_ÜRETİM_İHTİYAÇ_RAPORU_BURAK_YENI1309[[#This Row],[ALT_KOD]])+AVERAGEIFS(L:L,D:D,DST_123_ÜRETİM_İHTİYAÇ_RAPORU_BURAK_YENI1309[[#This Row],[ALT_KOD]]))</f>
        <v>1</v>
      </c>
      <c r="L3802">
        <v>7</v>
      </c>
      <c r="M3802">
        <f>IF((DST_123_ÜRETİM_İHTİYAÇ_RAPORU_BURAK_YENI1309[[#This Row],[SATINALMA]]*DST_123_ÜRETİM_İHTİYAÇ_RAPORU_BURAK_YENI1309[[#This Row],[BIRIM_FIYATLAR]])&lt;1,VALUE("0"),DST_123_ÜRETİM_İHTİYAÇ_RAPORU_BURAK_YENI1309[[#This Row],[SATINALMA]]*DST_123_ÜRETİM_İHTİYAÇ_RAPORU_BURAK_YENI1309[[#This Row],[BIRIM_FIYATLAR]])</f>
        <v>1535.25</v>
      </c>
      <c r="N3802">
        <v>1535.25</v>
      </c>
      <c r="O3802" t="s">
        <v>507</v>
      </c>
      <c r="P3802">
        <v>1535.25</v>
      </c>
      <c r="Q3802" t="s">
        <v>221</v>
      </c>
    </row>
    <row r="3803" spans="1:17" x14ac:dyDescent="0.25">
      <c r="A3803" t="s">
        <v>1095</v>
      </c>
      <c r="B3803" t="s">
        <v>1096</v>
      </c>
      <c r="C3803" t="s">
        <v>175</v>
      </c>
      <c r="D3803" t="s">
        <v>508</v>
      </c>
      <c r="E3803" t="s">
        <v>509</v>
      </c>
      <c r="F3803">
        <v>1</v>
      </c>
      <c r="G3803" t="s">
        <v>176</v>
      </c>
      <c r="H3803">
        <v>0</v>
      </c>
      <c r="I3803">
        <v>4</v>
      </c>
      <c r="J3803" s="10">
        <v>10</v>
      </c>
      <c r="K3803" s="10">
        <f>SUMIFS(F:F,D:D,DST_123_ÜRETİM_İHTİYAÇ_RAPORU_BURAK_YENI1309[[#This Row],[ALT_KOD]])-(SUMIFS(H:H,D:D,DST_123_ÜRETİM_İHTİYAÇ_RAPORU_BURAK_YENI1309[[#This Row],[ALT_KOD]])+AVERAGEIFS(I:I,D:D,DST_123_ÜRETİM_İHTİYAÇ_RAPORU_BURAK_YENI1309[[#This Row],[ALT_KOD]])+AVERAGEIFS(L:L,D:D,DST_123_ÜRETİM_İHTİYAÇ_RAPORU_BURAK_YENI1309[[#This Row],[ALT_KOD]]))</f>
        <v>1</v>
      </c>
      <c r="L3803">
        <v>7</v>
      </c>
      <c r="M3803">
        <f>IF((DST_123_ÜRETİM_İHTİYAÇ_RAPORU_BURAK_YENI1309[[#This Row],[SATINALMA]]*DST_123_ÜRETİM_İHTİYAÇ_RAPORU_BURAK_YENI1309[[#This Row],[BIRIM_FIYATLAR]])&lt;1,VALUE("0"),DST_123_ÜRETİM_İHTİYAÇ_RAPORU_BURAK_YENI1309[[#This Row],[SATINALMA]]*DST_123_ÜRETİM_İHTİYAÇ_RAPORU_BURAK_YENI1309[[#This Row],[BIRIM_FIYATLAR]])</f>
        <v>1535.25</v>
      </c>
      <c r="N3803">
        <v>1535.25</v>
      </c>
      <c r="O3803" t="s">
        <v>507</v>
      </c>
      <c r="P3803">
        <v>1535.25</v>
      </c>
      <c r="Q3803" t="s">
        <v>221</v>
      </c>
    </row>
    <row r="3804" spans="1:17" x14ac:dyDescent="0.25">
      <c r="A3804" t="s">
        <v>1095</v>
      </c>
      <c r="B3804" t="s">
        <v>1096</v>
      </c>
      <c r="C3804" t="s">
        <v>175</v>
      </c>
      <c r="D3804" t="s">
        <v>512</v>
      </c>
      <c r="E3804" t="s">
        <v>513</v>
      </c>
      <c r="F3804">
        <v>2</v>
      </c>
      <c r="G3804" t="s">
        <v>176</v>
      </c>
      <c r="H3804">
        <v>0</v>
      </c>
      <c r="I3804">
        <v>4</v>
      </c>
      <c r="J3804" s="10">
        <v>10</v>
      </c>
      <c r="K3804" s="10">
        <f>SUMIFS(F:F,D:D,DST_123_ÜRETİM_İHTİYAÇ_RAPORU_BURAK_YENI1309[[#This Row],[ALT_KOD]])-(SUMIFS(H:H,D:D,DST_123_ÜRETİM_İHTİYAÇ_RAPORU_BURAK_YENI1309[[#This Row],[ALT_KOD]])+AVERAGEIFS(I:I,D:D,DST_123_ÜRETİM_İHTİYAÇ_RAPORU_BURAK_YENI1309[[#This Row],[ALT_KOD]])+AVERAGEIFS(L:L,D:D,DST_123_ÜRETİM_İHTİYAÇ_RAPORU_BURAK_YENI1309[[#This Row],[ALT_KOD]]))</f>
        <v>26</v>
      </c>
      <c r="L3804">
        <v>0</v>
      </c>
      <c r="M3804">
        <f>IF((DST_123_ÜRETİM_İHTİYAÇ_RAPORU_BURAK_YENI1309[[#This Row],[SATINALMA]]*DST_123_ÜRETİM_İHTİYAÇ_RAPORU_BURAK_YENI1309[[#This Row],[BIRIM_FIYATLAR]])&lt;1,VALUE("0"),DST_123_ÜRETİM_İHTİYAÇ_RAPORU_BURAK_YENI1309[[#This Row],[SATINALMA]]*DST_123_ÜRETİM_İHTİYAÇ_RAPORU_BURAK_YENI1309[[#This Row],[BIRIM_FIYATLAR]])</f>
        <v>41686.58</v>
      </c>
      <c r="N3804">
        <v>1603.33</v>
      </c>
      <c r="O3804" t="s">
        <v>262</v>
      </c>
      <c r="P3804">
        <v>3206.66</v>
      </c>
      <c r="Q3804" t="s">
        <v>221</v>
      </c>
    </row>
    <row r="3805" spans="1:17" x14ac:dyDescent="0.25">
      <c r="A3805" t="s">
        <v>1142</v>
      </c>
      <c r="B3805" t="s">
        <v>1056</v>
      </c>
      <c r="C3805" t="s">
        <v>175</v>
      </c>
      <c r="D3805" t="s">
        <v>792</v>
      </c>
      <c r="E3805" t="s">
        <v>136</v>
      </c>
      <c r="F3805">
        <v>8</v>
      </c>
      <c r="G3805" t="s">
        <v>176</v>
      </c>
      <c r="H3805">
        <v>0</v>
      </c>
      <c r="I3805">
        <v>524</v>
      </c>
      <c r="J3805" s="10">
        <v>352</v>
      </c>
      <c r="K3805" s="10">
        <f>SUMIFS(F:F,D:D,DST_123_ÜRETİM_İHTİYAÇ_RAPORU_BURAK_YENI1309[[#This Row],[ALT_KOD]])-(SUMIFS(H:H,D:D,DST_123_ÜRETİM_İHTİYAÇ_RAPORU_BURAK_YENI1309[[#This Row],[ALT_KOD]])+AVERAGEIFS(I:I,D:D,DST_123_ÜRETİM_İHTİYAÇ_RAPORU_BURAK_YENI1309[[#This Row],[ALT_KOD]])+AVERAGEIFS(L:L,D:D,DST_123_ÜRETİM_İHTİYAÇ_RAPORU_BURAK_YENI1309[[#This Row],[ALT_KOD]]))</f>
        <v>-374</v>
      </c>
      <c r="L3805">
        <v>0</v>
      </c>
      <c r="M3805">
        <f>IF((DST_123_ÜRETİM_İHTİYAÇ_RAPORU_BURAK_YENI1309[[#This Row],[SATINALMA]]*DST_123_ÜRETİM_İHTİYAÇ_RAPORU_BURAK_YENI1309[[#This Row],[BIRIM_FIYATLAR]])&lt;1,VALUE("0"),DST_123_ÜRETİM_İHTİYAÇ_RAPORU_BURAK_YENI1309[[#This Row],[SATINALMA]]*DST_123_ÜRETİM_İHTİYAÇ_RAPORU_BURAK_YENI1309[[#This Row],[BIRIM_FIYATLAR]])</f>
        <v>0</v>
      </c>
      <c r="N3805">
        <v>8.1</v>
      </c>
      <c r="O3805" t="s">
        <v>504</v>
      </c>
      <c r="P3805">
        <v>64.8</v>
      </c>
      <c r="Q3805" t="s">
        <v>221</v>
      </c>
    </row>
    <row r="3806" spans="1:17" x14ac:dyDescent="0.25">
      <c r="A3806" t="s">
        <v>1143</v>
      </c>
      <c r="B3806" t="s">
        <v>1056</v>
      </c>
      <c r="C3806" t="s">
        <v>175</v>
      </c>
      <c r="D3806" t="s">
        <v>299</v>
      </c>
      <c r="E3806" t="s">
        <v>300</v>
      </c>
      <c r="F3806">
        <v>12.5</v>
      </c>
      <c r="G3806" t="s">
        <v>176</v>
      </c>
      <c r="H3806">
        <v>0</v>
      </c>
      <c r="I3806">
        <v>180</v>
      </c>
      <c r="J3806" s="10">
        <v>80</v>
      </c>
      <c r="K3806" s="10">
        <f>SUMIFS(F:F,D:D,DST_123_ÜRETİM_İHTİYAÇ_RAPORU_BURAK_YENI1309[[#This Row],[ALT_KOD]])-(SUMIFS(H:H,D:D,DST_123_ÜRETİM_İHTİYAÇ_RAPORU_BURAK_YENI1309[[#This Row],[ALT_KOD]])+AVERAGEIFS(I:I,D:D,DST_123_ÜRETİM_İHTİYAÇ_RAPORU_BURAK_YENI1309[[#This Row],[ALT_KOD]])+AVERAGEIFS(L:L,D:D,DST_123_ÜRETİM_İHTİYAÇ_RAPORU_BURAK_YENI1309[[#This Row],[ALT_KOD]]))</f>
        <v>32</v>
      </c>
      <c r="L3806">
        <v>0</v>
      </c>
      <c r="M3806">
        <f>IF((DST_123_ÜRETİM_İHTİYAÇ_RAPORU_BURAK_YENI1309[[#This Row],[SATINALMA]]*DST_123_ÜRETİM_İHTİYAÇ_RAPORU_BURAK_YENI1309[[#This Row],[BIRIM_FIYATLAR]])&lt;1,VALUE("0"),DST_123_ÜRETİM_İHTİYAÇ_RAPORU_BURAK_YENI1309[[#This Row],[SATINALMA]]*DST_123_ÜRETİM_İHTİYAÇ_RAPORU_BURAK_YENI1309[[#This Row],[BIRIM_FIYATLAR]])</f>
        <v>7680</v>
      </c>
      <c r="N3806">
        <v>240</v>
      </c>
      <c r="O3806" t="s">
        <v>240</v>
      </c>
      <c r="P3806">
        <v>3000</v>
      </c>
      <c r="Q3806" t="s">
        <v>180</v>
      </c>
    </row>
    <row r="3807" spans="1:17" x14ac:dyDescent="0.25">
      <c r="A3807" t="s">
        <v>1095</v>
      </c>
      <c r="B3807" t="s">
        <v>1096</v>
      </c>
      <c r="C3807" t="s">
        <v>175</v>
      </c>
      <c r="D3807" t="s">
        <v>338</v>
      </c>
      <c r="E3807" t="s">
        <v>339</v>
      </c>
      <c r="F3807">
        <v>16.66</v>
      </c>
      <c r="G3807" t="s">
        <v>185</v>
      </c>
      <c r="H3807">
        <v>0</v>
      </c>
      <c r="I3807">
        <v>0</v>
      </c>
      <c r="J3807" s="10">
        <v>154.94999999999996</v>
      </c>
      <c r="K3807" s="10">
        <f>SUMIFS(F:F,D:D,DST_123_ÜRETİM_İHTİYAÇ_RAPORU_BURAK_YENI1309[[#This Row],[ALT_KOD]])-(SUMIFS(H:H,D:D,DST_123_ÜRETİM_İHTİYAÇ_RAPORU_BURAK_YENI1309[[#This Row],[ALT_KOD]])+AVERAGEIFS(I:I,D:D,DST_123_ÜRETİM_İHTİYAÇ_RAPORU_BURAK_YENI1309[[#This Row],[ALT_KOD]])+AVERAGEIFS(L:L,D:D,DST_123_ÜRETİM_İHTİYAÇ_RAPORU_BURAK_YENI1309[[#This Row],[ALT_KOD]]))</f>
        <v>21.899999999999991</v>
      </c>
      <c r="L3807">
        <v>60</v>
      </c>
      <c r="M3807">
        <f>IF((DST_123_ÜRETİM_İHTİYAÇ_RAPORU_BURAK_YENI1309[[#This Row],[SATINALMA]]*DST_123_ÜRETİM_İHTİYAÇ_RAPORU_BURAK_YENI1309[[#This Row],[BIRIM_FIYATLAR]])&lt;1,VALUE("0"),DST_123_ÜRETİM_İHTİYAÇ_RAPORU_BURAK_YENI1309[[#This Row],[SATINALMA]]*DST_123_ÜRETİM_İHTİYAÇ_RAPORU_BURAK_YENI1309[[#This Row],[BIRIM_FIYATLAR]])</f>
        <v>4265.0249999999987</v>
      </c>
      <c r="N3807">
        <v>194.75</v>
      </c>
      <c r="O3807" t="s">
        <v>490</v>
      </c>
      <c r="P3807">
        <v>3244.5349999999999</v>
      </c>
      <c r="Q3807" t="s">
        <v>183</v>
      </c>
    </row>
    <row r="3808" spans="1:17" x14ac:dyDescent="0.25">
      <c r="A3808" t="s">
        <v>1095</v>
      </c>
      <c r="B3808" t="s">
        <v>1096</v>
      </c>
      <c r="C3808" t="s">
        <v>175</v>
      </c>
      <c r="D3808" t="s">
        <v>391</v>
      </c>
      <c r="E3808" t="s">
        <v>392</v>
      </c>
      <c r="F3808">
        <v>16.240000000000002</v>
      </c>
      <c r="G3808" t="s">
        <v>176</v>
      </c>
      <c r="H3808">
        <v>0</v>
      </c>
      <c r="I3808">
        <v>0</v>
      </c>
      <c r="J3808" s="10">
        <v>58.050000000000026</v>
      </c>
      <c r="K3808" s="10">
        <f>SUMIFS(F:F,D:D,DST_123_ÜRETİM_İHTİYAÇ_RAPORU_BURAK_YENI1309[[#This Row],[ALT_KOD]])-(SUMIFS(H:H,D:D,DST_123_ÜRETİM_İHTİYAÇ_RAPORU_BURAK_YENI1309[[#This Row],[ALT_KOD]])+AVERAGEIFS(I:I,D:D,DST_123_ÜRETİM_İHTİYAÇ_RAPORU_BURAK_YENI1309[[#This Row],[ALT_KOD]])+AVERAGEIFS(L:L,D:D,DST_123_ÜRETİM_İHTİYAÇ_RAPORU_BURAK_YENI1309[[#This Row],[ALT_KOD]]))</f>
        <v>144.72000000000003</v>
      </c>
      <c r="L3808">
        <v>37</v>
      </c>
      <c r="M3808">
        <f>IF((DST_123_ÜRETİM_İHTİYAÇ_RAPORU_BURAK_YENI1309[[#This Row],[SATINALMA]]*DST_123_ÜRETİM_İHTİYAÇ_RAPORU_BURAK_YENI1309[[#This Row],[BIRIM_FIYATLAR]])&lt;1,VALUE("0"),DST_123_ÜRETİM_İHTİYAÇ_RAPORU_BURAK_YENI1309[[#This Row],[SATINALMA]]*DST_123_ÜRETİM_İHTİYAÇ_RAPORU_BURAK_YENI1309[[#This Row],[BIRIM_FIYATLAR]])</f>
        <v>261099.48240000007</v>
      </c>
      <c r="N3808">
        <v>1804.17</v>
      </c>
      <c r="O3808" t="s">
        <v>223</v>
      </c>
      <c r="P3808">
        <v>29299.720800000006</v>
      </c>
      <c r="Q3808" t="s">
        <v>181</v>
      </c>
    </row>
    <row r="3809" spans="1:17" x14ac:dyDescent="0.25">
      <c r="A3809" t="s">
        <v>1143</v>
      </c>
      <c r="B3809" t="s">
        <v>1056</v>
      </c>
      <c r="C3809" t="s">
        <v>175</v>
      </c>
      <c r="D3809" t="s">
        <v>508</v>
      </c>
      <c r="E3809" t="s">
        <v>509</v>
      </c>
      <c r="F3809">
        <v>1</v>
      </c>
      <c r="G3809" t="s">
        <v>176</v>
      </c>
      <c r="H3809">
        <v>0</v>
      </c>
      <c r="I3809">
        <v>4</v>
      </c>
      <c r="J3809" s="10">
        <v>10</v>
      </c>
      <c r="K3809" s="10">
        <f>SUMIFS(F:F,D:D,DST_123_ÜRETİM_İHTİYAÇ_RAPORU_BURAK_YENI1309[[#This Row],[ALT_KOD]])-(SUMIFS(H:H,D:D,DST_123_ÜRETİM_İHTİYAÇ_RAPORU_BURAK_YENI1309[[#This Row],[ALT_KOD]])+AVERAGEIFS(I:I,D:D,DST_123_ÜRETİM_İHTİYAÇ_RAPORU_BURAK_YENI1309[[#This Row],[ALT_KOD]])+AVERAGEIFS(L:L,D:D,DST_123_ÜRETİM_İHTİYAÇ_RAPORU_BURAK_YENI1309[[#This Row],[ALT_KOD]]))</f>
        <v>1</v>
      </c>
      <c r="L3809">
        <v>7</v>
      </c>
      <c r="M3809">
        <f>IF((DST_123_ÜRETİM_İHTİYAÇ_RAPORU_BURAK_YENI1309[[#This Row],[SATINALMA]]*DST_123_ÜRETİM_İHTİYAÇ_RAPORU_BURAK_YENI1309[[#This Row],[BIRIM_FIYATLAR]])&lt;1,VALUE("0"),DST_123_ÜRETİM_İHTİYAÇ_RAPORU_BURAK_YENI1309[[#This Row],[SATINALMA]]*DST_123_ÜRETİM_İHTİYAÇ_RAPORU_BURAK_YENI1309[[#This Row],[BIRIM_FIYATLAR]])</f>
        <v>1535.25</v>
      </c>
      <c r="N3809">
        <v>1535.25</v>
      </c>
      <c r="O3809" t="s">
        <v>507</v>
      </c>
      <c r="P3809">
        <v>1535.25</v>
      </c>
      <c r="Q3809" t="s">
        <v>221</v>
      </c>
    </row>
    <row r="3810" spans="1:17" x14ac:dyDescent="0.25">
      <c r="A3810" t="s">
        <v>1143</v>
      </c>
      <c r="B3810" t="s">
        <v>1056</v>
      </c>
      <c r="C3810" t="s">
        <v>175</v>
      </c>
      <c r="D3810" t="s">
        <v>512</v>
      </c>
      <c r="E3810" t="s">
        <v>513</v>
      </c>
      <c r="F3810">
        <v>2</v>
      </c>
      <c r="G3810" t="s">
        <v>176</v>
      </c>
      <c r="H3810">
        <v>0</v>
      </c>
      <c r="I3810">
        <v>4</v>
      </c>
      <c r="J3810" s="10">
        <v>10</v>
      </c>
      <c r="K3810" s="10">
        <f>SUMIFS(F:F,D:D,DST_123_ÜRETİM_İHTİYAÇ_RAPORU_BURAK_YENI1309[[#This Row],[ALT_KOD]])-(SUMIFS(H:H,D:D,DST_123_ÜRETİM_İHTİYAÇ_RAPORU_BURAK_YENI1309[[#This Row],[ALT_KOD]])+AVERAGEIFS(I:I,D:D,DST_123_ÜRETİM_İHTİYAÇ_RAPORU_BURAK_YENI1309[[#This Row],[ALT_KOD]])+AVERAGEIFS(L:L,D:D,DST_123_ÜRETİM_İHTİYAÇ_RAPORU_BURAK_YENI1309[[#This Row],[ALT_KOD]]))</f>
        <v>26</v>
      </c>
      <c r="L3810">
        <v>0</v>
      </c>
      <c r="M3810">
        <f>IF((DST_123_ÜRETİM_İHTİYAÇ_RAPORU_BURAK_YENI1309[[#This Row],[SATINALMA]]*DST_123_ÜRETİM_İHTİYAÇ_RAPORU_BURAK_YENI1309[[#This Row],[BIRIM_FIYATLAR]])&lt;1,VALUE("0"),DST_123_ÜRETİM_İHTİYAÇ_RAPORU_BURAK_YENI1309[[#This Row],[SATINALMA]]*DST_123_ÜRETİM_İHTİYAÇ_RAPORU_BURAK_YENI1309[[#This Row],[BIRIM_FIYATLAR]])</f>
        <v>41686.58</v>
      </c>
      <c r="N3810">
        <v>1603.33</v>
      </c>
      <c r="O3810" t="s">
        <v>262</v>
      </c>
      <c r="P3810">
        <v>3206.66</v>
      </c>
      <c r="Q3810" t="s">
        <v>221</v>
      </c>
    </row>
    <row r="3811" spans="1:17" x14ac:dyDescent="0.25">
      <c r="A3811" t="s">
        <v>1059</v>
      </c>
      <c r="B3811" t="s">
        <v>1058</v>
      </c>
      <c r="C3811" t="s">
        <v>175</v>
      </c>
      <c r="D3811" t="s">
        <v>1093</v>
      </c>
      <c r="E3811" t="s">
        <v>1094</v>
      </c>
      <c r="F3811">
        <v>1</v>
      </c>
      <c r="G3811" t="s">
        <v>176</v>
      </c>
      <c r="H3811">
        <v>0</v>
      </c>
      <c r="I3811">
        <v>0</v>
      </c>
      <c r="J3811" s="10">
        <v>0</v>
      </c>
      <c r="K3811" s="10">
        <f>SUMIFS(F:F,D:D,DST_123_ÜRETİM_İHTİYAÇ_RAPORU_BURAK_YENI1309[[#This Row],[ALT_KOD]])-(SUMIFS(H:H,D:D,DST_123_ÜRETİM_İHTİYAÇ_RAPORU_BURAK_YENI1309[[#This Row],[ALT_KOD]])+AVERAGEIFS(I:I,D:D,DST_123_ÜRETİM_İHTİYAÇ_RAPORU_BURAK_YENI1309[[#This Row],[ALT_KOD]])+AVERAGEIFS(L:L,D:D,DST_123_ÜRETİM_İHTİYAÇ_RAPORU_BURAK_YENI1309[[#This Row],[ALT_KOD]]))</f>
        <v>1</v>
      </c>
      <c r="L3811">
        <v>0</v>
      </c>
      <c r="M3811">
        <f>IF((DST_123_ÜRETİM_İHTİYAÇ_RAPORU_BURAK_YENI1309[[#This Row],[SATINALMA]]*DST_123_ÜRETİM_İHTİYAÇ_RAPORU_BURAK_YENI1309[[#This Row],[BIRIM_FIYATLAR]])&lt;1,VALUE("0"),DST_123_ÜRETİM_İHTİYAÇ_RAPORU_BURAK_YENI1309[[#This Row],[SATINALMA]]*DST_123_ÜRETİM_İHTİYAÇ_RAPORU_BURAK_YENI1309[[#This Row],[BIRIM_FIYATLAR]])</f>
        <v>0</v>
      </c>
      <c r="N3811">
        <v>0</v>
      </c>
      <c r="P3811">
        <v>0</v>
      </c>
      <c r="Q3811" t="s">
        <v>177</v>
      </c>
    </row>
    <row r="3812" spans="1:17" x14ac:dyDescent="0.25">
      <c r="A3812" t="s">
        <v>1196</v>
      </c>
      <c r="B3812" t="s">
        <v>1197</v>
      </c>
      <c r="C3812" t="s">
        <v>175</v>
      </c>
      <c r="D3812" t="s">
        <v>938</v>
      </c>
      <c r="E3812" t="s">
        <v>939</v>
      </c>
      <c r="F3812">
        <v>4</v>
      </c>
      <c r="G3812" t="s">
        <v>176</v>
      </c>
      <c r="H3812">
        <v>0</v>
      </c>
      <c r="I3812">
        <v>0</v>
      </c>
      <c r="J3812" s="10">
        <v>4</v>
      </c>
      <c r="K3812" s="10">
        <f>SUMIFS(F:F,D:D,DST_123_ÜRETİM_İHTİYAÇ_RAPORU_BURAK_YENI1309[[#This Row],[ALT_KOD]])-(SUMIFS(H:H,D:D,DST_123_ÜRETİM_İHTİYAÇ_RAPORU_BURAK_YENI1309[[#This Row],[ALT_KOD]])+AVERAGEIFS(I:I,D:D,DST_123_ÜRETİM_İHTİYAÇ_RAPORU_BURAK_YENI1309[[#This Row],[ALT_KOD]])+AVERAGEIFS(L:L,D:D,DST_123_ÜRETİM_İHTİYAÇ_RAPORU_BURAK_YENI1309[[#This Row],[ALT_KOD]]))</f>
        <v>16</v>
      </c>
      <c r="L3812">
        <v>0</v>
      </c>
      <c r="M3812">
        <f>IF((DST_123_ÜRETİM_İHTİYAÇ_RAPORU_BURAK_YENI1309[[#This Row],[SATINALMA]]*DST_123_ÜRETİM_İHTİYAÇ_RAPORU_BURAK_YENI1309[[#This Row],[BIRIM_FIYATLAR]])&lt;1,VALUE("0"),DST_123_ÜRETİM_İHTİYAÇ_RAPORU_BURAK_YENI1309[[#This Row],[SATINALMA]]*DST_123_ÜRETİM_İHTİYAÇ_RAPORU_BURAK_YENI1309[[#This Row],[BIRIM_FIYATLAR]])</f>
        <v>1440</v>
      </c>
      <c r="N3812">
        <v>90</v>
      </c>
      <c r="O3812" t="s">
        <v>940</v>
      </c>
      <c r="P3812">
        <v>360</v>
      </c>
      <c r="Q3812" t="s">
        <v>222</v>
      </c>
    </row>
    <row r="3813" spans="1:17" x14ac:dyDescent="0.25">
      <c r="A3813" t="s">
        <v>1098</v>
      </c>
      <c r="B3813" t="s">
        <v>1096</v>
      </c>
      <c r="C3813" t="s">
        <v>175</v>
      </c>
      <c r="D3813" t="s">
        <v>60</v>
      </c>
      <c r="E3813" t="s">
        <v>61</v>
      </c>
      <c r="F3813">
        <v>1</v>
      </c>
      <c r="G3813" t="s">
        <v>176</v>
      </c>
      <c r="H3813">
        <v>0</v>
      </c>
      <c r="I3813">
        <v>17</v>
      </c>
      <c r="J3813" s="10">
        <v>11</v>
      </c>
      <c r="K3813" s="10">
        <f>SUMIFS(F:F,D:D,DST_123_ÜRETİM_İHTİYAÇ_RAPORU_BURAK_YENI1309[[#This Row],[ALT_KOD]])-(SUMIFS(H:H,D:D,DST_123_ÜRETİM_İHTİYAÇ_RAPORU_BURAK_YENI1309[[#This Row],[ALT_KOD]])+AVERAGEIFS(I:I,D:D,DST_123_ÜRETİM_İHTİYAÇ_RAPORU_BURAK_YENI1309[[#This Row],[ALT_KOD]])+AVERAGEIFS(L:L,D:D,DST_123_ÜRETİM_İHTİYAÇ_RAPORU_BURAK_YENI1309[[#This Row],[ALT_KOD]]))</f>
        <v>-5</v>
      </c>
      <c r="L3813">
        <v>0</v>
      </c>
      <c r="M3813">
        <f>IF((DST_123_ÜRETİM_İHTİYAÇ_RAPORU_BURAK_YENI1309[[#This Row],[SATINALMA]]*DST_123_ÜRETİM_İHTİYAÇ_RAPORU_BURAK_YENI1309[[#This Row],[BIRIM_FIYATLAR]])&lt;1,VALUE("0"),DST_123_ÜRETİM_İHTİYAÇ_RAPORU_BURAK_YENI1309[[#This Row],[SATINALMA]]*DST_123_ÜRETİM_İHTİYAÇ_RAPORU_BURAK_YENI1309[[#This Row],[BIRIM_FIYATLAR]])</f>
        <v>0</v>
      </c>
      <c r="N3813">
        <v>115.6</v>
      </c>
      <c r="O3813" t="s">
        <v>826</v>
      </c>
      <c r="P3813">
        <v>115.6</v>
      </c>
      <c r="Q3813" t="s">
        <v>221</v>
      </c>
    </row>
    <row r="3814" spans="1:17" x14ac:dyDescent="0.25">
      <c r="A3814" t="s">
        <v>1196</v>
      </c>
      <c r="B3814" t="s">
        <v>1197</v>
      </c>
      <c r="C3814" t="s">
        <v>175</v>
      </c>
      <c r="D3814" t="s">
        <v>406</v>
      </c>
      <c r="E3814" t="s">
        <v>407</v>
      </c>
      <c r="F3814">
        <v>2</v>
      </c>
      <c r="G3814" t="s">
        <v>176</v>
      </c>
      <c r="H3814">
        <v>0</v>
      </c>
      <c r="I3814">
        <v>34</v>
      </c>
      <c r="J3814" s="10">
        <v>62</v>
      </c>
      <c r="K3814" s="10">
        <f>SUMIFS(F:F,D:D,DST_123_ÜRETİM_İHTİYAÇ_RAPORU_BURAK_YENI1309[[#This Row],[ALT_KOD]])-(SUMIFS(H:H,D:D,DST_123_ÜRETİM_İHTİYAÇ_RAPORU_BURAK_YENI1309[[#This Row],[ALT_KOD]])+AVERAGEIFS(I:I,D:D,DST_123_ÜRETİM_İHTİYAÇ_RAPORU_BURAK_YENI1309[[#This Row],[ALT_KOD]])+AVERAGEIFS(L:L,D:D,DST_123_ÜRETİM_İHTİYAÇ_RAPORU_BURAK_YENI1309[[#This Row],[ALT_KOD]]))</f>
        <v>-12</v>
      </c>
      <c r="L3814">
        <v>0</v>
      </c>
      <c r="M3814">
        <f>IF((DST_123_ÜRETİM_İHTİYAÇ_RAPORU_BURAK_YENI1309[[#This Row],[SATINALMA]]*DST_123_ÜRETİM_İHTİYAÇ_RAPORU_BURAK_YENI1309[[#This Row],[BIRIM_FIYATLAR]])&lt;1,VALUE("0"),DST_123_ÜRETİM_İHTİYAÇ_RAPORU_BURAK_YENI1309[[#This Row],[SATINALMA]]*DST_123_ÜRETİM_İHTİYAÇ_RAPORU_BURAK_YENI1309[[#This Row],[BIRIM_FIYATLAR]])</f>
        <v>0</v>
      </c>
      <c r="N3814">
        <v>19.07</v>
      </c>
      <c r="O3814" t="s">
        <v>826</v>
      </c>
      <c r="P3814">
        <v>38.14</v>
      </c>
      <c r="Q3814" t="s">
        <v>221</v>
      </c>
    </row>
    <row r="3815" spans="1:17" x14ac:dyDescent="0.25">
      <c r="A3815" t="s">
        <v>1098</v>
      </c>
      <c r="B3815" t="s">
        <v>1096</v>
      </c>
      <c r="C3815" t="s">
        <v>175</v>
      </c>
      <c r="D3815" t="s">
        <v>451</v>
      </c>
      <c r="E3815" t="s">
        <v>452</v>
      </c>
      <c r="F3815">
        <v>1</v>
      </c>
      <c r="G3815" t="s">
        <v>176</v>
      </c>
      <c r="H3815">
        <v>0</v>
      </c>
      <c r="I3815">
        <v>4</v>
      </c>
      <c r="J3815" s="10">
        <v>9</v>
      </c>
      <c r="K3815" s="10">
        <f>SUMIFS(F:F,D:D,DST_123_ÜRETİM_İHTİYAÇ_RAPORU_BURAK_YENI1309[[#This Row],[ALT_KOD]])-(SUMIFS(H:H,D:D,DST_123_ÜRETİM_İHTİYAÇ_RAPORU_BURAK_YENI1309[[#This Row],[ALT_KOD]])+AVERAGEIFS(I:I,D:D,DST_123_ÜRETİM_İHTİYAÇ_RAPORU_BURAK_YENI1309[[#This Row],[ALT_KOD]])+AVERAGEIFS(L:L,D:D,DST_123_ÜRETİM_İHTİYAÇ_RAPORU_BURAK_YENI1309[[#This Row],[ALT_KOD]]))</f>
        <v>1</v>
      </c>
      <c r="L3815">
        <v>6</v>
      </c>
      <c r="M3815">
        <f>IF((DST_123_ÜRETİM_İHTİYAÇ_RAPORU_BURAK_YENI1309[[#This Row],[SATINALMA]]*DST_123_ÜRETİM_İHTİYAÇ_RAPORU_BURAK_YENI1309[[#This Row],[BIRIM_FIYATLAR]])&lt;1,VALUE("0"),DST_123_ÜRETİM_İHTİYAÇ_RAPORU_BURAK_YENI1309[[#This Row],[SATINALMA]]*DST_123_ÜRETİM_İHTİYAÇ_RAPORU_BURAK_YENI1309[[#This Row],[BIRIM_FIYATLAR]])</f>
        <v>1600</v>
      </c>
      <c r="N3815">
        <v>1600</v>
      </c>
      <c r="O3815" t="s">
        <v>240</v>
      </c>
      <c r="P3815">
        <v>1600</v>
      </c>
      <c r="Q3815" t="s">
        <v>178</v>
      </c>
    </row>
    <row r="3816" spans="1:17" x14ac:dyDescent="0.25">
      <c r="A3816" t="s">
        <v>1098</v>
      </c>
      <c r="B3816" t="s">
        <v>1096</v>
      </c>
      <c r="C3816" t="s">
        <v>175</v>
      </c>
      <c r="D3816" t="s">
        <v>590</v>
      </c>
      <c r="E3816" t="s">
        <v>591</v>
      </c>
      <c r="F3816">
        <v>1</v>
      </c>
      <c r="G3816" t="s">
        <v>176</v>
      </c>
      <c r="H3816">
        <v>0</v>
      </c>
      <c r="I3816">
        <v>4</v>
      </c>
      <c r="J3816" s="10">
        <v>10</v>
      </c>
      <c r="K3816" s="10">
        <f>SUMIFS(F:F,D:D,DST_123_ÜRETİM_İHTİYAÇ_RAPORU_BURAK_YENI1309[[#This Row],[ALT_KOD]])-(SUMIFS(H:H,D:D,DST_123_ÜRETİM_İHTİYAÇ_RAPORU_BURAK_YENI1309[[#This Row],[ALT_KOD]])+AVERAGEIFS(I:I,D:D,DST_123_ÜRETİM_İHTİYAÇ_RAPORU_BURAK_YENI1309[[#This Row],[ALT_KOD]])+AVERAGEIFS(L:L,D:D,DST_123_ÜRETİM_İHTİYAÇ_RAPORU_BURAK_YENI1309[[#This Row],[ALT_KOD]]))</f>
        <v>-3</v>
      </c>
      <c r="L3816">
        <v>10</v>
      </c>
      <c r="M3816">
        <f>IF((DST_123_ÜRETİM_İHTİYAÇ_RAPORU_BURAK_YENI1309[[#This Row],[SATINALMA]]*DST_123_ÜRETİM_İHTİYAÇ_RAPORU_BURAK_YENI1309[[#This Row],[BIRIM_FIYATLAR]])&lt;1,VALUE("0"),DST_123_ÜRETİM_İHTİYAÇ_RAPORU_BURAK_YENI1309[[#This Row],[SATINALMA]]*DST_123_ÜRETİM_İHTİYAÇ_RAPORU_BURAK_YENI1309[[#This Row],[BIRIM_FIYATLAR]])</f>
        <v>0</v>
      </c>
      <c r="N3816">
        <v>583.77</v>
      </c>
      <c r="O3816" t="s">
        <v>592</v>
      </c>
      <c r="P3816">
        <v>583.77</v>
      </c>
      <c r="Q3816" t="s">
        <v>180</v>
      </c>
    </row>
    <row r="3817" spans="1:17" x14ac:dyDescent="0.25">
      <c r="A3817" t="s">
        <v>1095</v>
      </c>
      <c r="B3817" t="s">
        <v>1096</v>
      </c>
      <c r="C3817" t="s">
        <v>175</v>
      </c>
      <c r="D3817" t="s">
        <v>505</v>
      </c>
      <c r="E3817" t="s">
        <v>506</v>
      </c>
      <c r="F3817">
        <v>1</v>
      </c>
      <c r="G3817" t="s">
        <v>176</v>
      </c>
      <c r="H3817">
        <v>0</v>
      </c>
      <c r="I3817">
        <v>42</v>
      </c>
      <c r="J3817" s="10">
        <v>10</v>
      </c>
      <c r="K3817" s="10">
        <f>SUMIFS(F:F,D:D,DST_123_ÜRETİM_İHTİYAÇ_RAPORU_BURAK_YENI1309[[#This Row],[ALT_KOD]])-(SUMIFS(H:H,D:D,DST_123_ÜRETİM_İHTİYAÇ_RAPORU_BURAK_YENI1309[[#This Row],[ALT_KOD]])+AVERAGEIFS(I:I,D:D,DST_123_ÜRETİM_İHTİYAÇ_RAPORU_BURAK_YENI1309[[#This Row],[ALT_KOD]])+AVERAGEIFS(L:L,D:D,DST_123_ÜRETİM_İHTİYAÇ_RAPORU_BURAK_YENI1309[[#This Row],[ALT_KOD]]))</f>
        <v>-30</v>
      </c>
      <c r="L3817">
        <v>0</v>
      </c>
      <c r="M3817">
        <f>IF((DST_123_ÜRETİM_İHTİYAÇ_RAPORU_BURAK_YENI1309[[#This Row],[SATINALMA]]*DST_123_ÜRETİM_İHTİYAÇ_RAPORU_BURAK_YENI1309[[#This Row],[BIRIM_FIYATLAR]])&lt;1,VALUE("0"),DST_123_ÜRETİM_İHTİYAÇ_RAPORU_BURAK_YENI1309[[#This Row],[SATINALMA]]*DST_123_ÜRETİM_İHTİYAÇ_RAPORU_BURAK_YENI1309[[#This Row],[BIRIM_FIYATLAR]])</f>
        <v>0</v>
      </c>
      <c r="N3817">
        <v>142.5</v>
      </c>
      <c r="O3817" t="s">
        <v>826</v>
      </c>
      <c r="P3817">
        <v>142.5</v>
      </c>
      <c r="Q3817" t="s">
        <v>221</v>
      </c>
    </row>
    <row r="3818" spans="1:17" x14ac:dyDescent="0.25">
      <c r="A3818" t="s">
        <v>1142</v>
      </c>
      <c r="B3818" t="s">
        <v>1056</v>
      </c>
      <c r="C3818" t="s">
        <v>175</v>
      </c>
      <c r="D3818" t="s">
        <v>1159</v>
      </c>
      <c r="E3818" t="s">
        <v>1160</v>
      </c>
      <c r="F3818">
        <v>6</v>
      </c>
      <c r="G3818" t="s">
        <v>176</v>
      </c>
      <c r="H3818">
        <v>0</v>
      </c>
      <c r="I3818">
        <v>0</v>
      </c>
      <c r="J3818" s="10">
        <v>0</v>
      </c>
      <c r="K3818" s="10">
        <f>SUMIFS(F:F,D:D,DST_123_ÜRETİM_İHTİYAÇ_RAPORU_BURAK_YENI1309[[#This Row],[ALT_KOD]])-(SUMIFS(H:H,D:D,DST_123_ÜRETİM_İHTİYAÇ_RAPORU_BURAK_YENI1309[[#This Row],[ALT_KOD]])+AVERAGEIFS(I:I,D:D,DST_123_ÜRETİM_İHTİYAÇ_RAPORU_BURAK_YENI1309[[#This Row],[ALT_KOD]])+AVERAGEIFS(L:L,D:D,DST_123_ÜRETİM_İHTİYAÇ_RAPORU_BURAK_YENI1309[[#This Row],[ALT_KOD]]))</f>
        <v>42</v>
      </c>
      <c r="L3818">
        <v>0</v>
      </c>
      <c r="M3818">
        <f>IF((DST_123_ÜRETİM_İHTİYAÇ_RAPORU_BURAK_YENI1309[[#This Row],[SATINALMA]]*DST_123_ÜRETİM_İHTİYAÇ_RAPORU_BURAK_YENI1309[[#This Row],[BIRIM_FIYATLAR]])&lt;1,VALUE("0"),DST_123_ÜRETİM_İHTİYAÇ_RAPORU_BURAK_YENI1309[[#This Row],[SATINALMA]]*DST_123_ÜRETİM_İHTİYAÇ_RAPORU_BURAK_YENI1309[[#This Row],[BIRIM_FIYATLAR]])</f>
        <v>15.12</v>
      </c>
      <c r="N3818">
        <v>0.36</v>
      </c>
      <c r="O3818" t="s">
        <v>882</v>
      </c>
      <c r="P3818">
        <v>2.16</v>
      </c>
      <c r="Q3818" t="s">
        <v>180</v>
      </c>
    </row>
    <row r="3819" spans="1:17" x14ac:dyDescent="0.25">
      <c r="A3819" t="s">
        <v>1149</v>
      </c>
      <c r="B3819" t="s">
        <v>1145</v>
      </c>
      <c r="C3819" t="s">
        <v>175</v>
      </c>
      <c r="D3819" t="s">
        <v>590</v>
      </c>
      <c r="E3819" t="s">
        <v>591</v>
      </c>
      <c r="F3819">
        <v>1</v>
      </c>
      <c r="G3819" t="s">
        <v>176</v>
      </c>
      <c r="H3819">
        <v>0</v>
      </c>
      <c r="I3819">
        <v>4</v>
      </c>
      <c r="J3819" s="10">
        <v>10</v>
      </c>
      <c r="K3819" s="10">
        <f>SUMIFS(F:F,D:D,DST_123_ÜRETİM_İHTİYAÇ_RAPORU_BURAK_YENI1309[[#This Row],[ALT_KOD]])-(SUMIFS(H:H,D:D,DST_123_ÜRETİM_İHTİYAÇ_RAPORU_BURAK_YENI1309[[#This Row],[ALT_KOD]])+AVERAGEIFS(I:I,D:D,DST_123_ÜRETİM_İHTİYAÇ_RAPORU_BURAK_YENI1309[[#This Row],[ALT_KOD]])+AVERAGEIFS(L:L,D:D,DST_123_ÜRETİM_İHTİYAÇ_RAPORU_BURAK_YENI1309[[#This Row],[ALT_KOD]]))</f>
        <v>-3</v>
      </c>
      <c r="L3819">
        <v>10</v>
      </c>
      <c r="M3819">
        <f>IF((DST_123_ÜRETİM_İHTİYAÇ_RAPORU_BURAK_YENI1309[[#This Row],[SATINALMA]]*DST_123_ÜRETİM_İHTİYAÇ_RAPORU_BURAK_YENI1309[[#This Row],[BIRIM_FIYATLAR]])&lt;1,VALUE("0"),DST_123_ÜRETİM_İHTİYAÇ_RAPORU_BURAK_YENI1309[[#This Row],[SATINALMA]]*DST_123_ÜRETİM_İHTİYAÇ_RAPORU_BURAK_YENI1309[[#This Row],[BIRIM_FIYATLAR]])</f>
        <v>0</v>
      </c>
      <c r="N3819">
        <v>583.77</v>
      </c>
      <c r="O3819" t="s">
        <v>592</v>
      </c>
      <c r="P3819">
        <v>583.77</v>
      </c>
      <c r="Q3819" t="s">
        <v>180</v>
      </c>
    </row>
    <row r="3820" spans="1:17" x14ac:dyDescent="0.25">
      <c r="A3820" t="s">
        <v>1149</v>
      </c>
      <c r="B3820" t="s">
        <v>1145</v>
      </c>
      <c r="C3820" t="s">
        <v>175</v>
      </c>
      <c r="D3820" t="s">
        <v>655</v>
      </c>
      <c r="E3820" t="s">
        <v>656</v>
      </c>
      <c r="F3820">
        <v>2</v>
      </c>
      <c r="G3820" t="s">
        <v>176</v>
      </c>
      <c r="H3820">
        <v>0</v>
      </c>
      <c r="I3820">
        <v>216</v>
      </c>
      <c r="J3820" s="10">
        <v>118</v>
      </c>
      <c r="K3820" s="10">
        <f>SUMIFS(F:F,D:D,DST_123_ÜRETİM_İHTİYAÇ_RAPORU_BURAK_YENI1309[[#This Row],[ALT_KOD]])-(SUMIFS(H:H,D:D,DST_123_ÜRETİM_İHTİYAÇ_RAPORU_BURAK_YENI1309[[#This Row],[ALT_KOD]])+AVERAGEIFS(I:I,D:D,DST_123_ÜRETİM_İHTİYAÇ_RAPORU_BURAK_YENI1309[[#This Row],[ALT_KOD]])+AVERAGEIFS(L:L,D:D,DST_123_ÜRETİM_İHTİYAÇ_RAPORU_BURAK_YENI1309[[#This Row],[ALT_KOD]]))</f>
        <v>-190</v>
      </c>
      <c r="L3820">
        <v>0</v>
      </c>
      <c r="M3820">
        <f>IF((DST_123_ÜRETİM_İHTİYAÇ_RAPORU_BURAK_YENI1309[[#This Row],[SATINALMA]]*DST_123_ÜRETİM_İHTİYAÇ_RAPORU_BURAK_YENI1309[[#This Row],[BIRIM_FIYATLAR]])&lt;1,VALUE("0"),DST_123_ÜRETİM_İHTİYAÇ_RAPORU_BURAK_YENI1309[[#This Row],[SATINALMA]]*DST_123_ÜRETİM_İHTİYAÇ_RAPORU_BURAK_YENI1309[[#This Row],[BIRIM_FIYATLAR]])</f>
        <v>0</v>
      </c>
      <c r="N3820">
        <v>3.95</v>
      </c>
      <c r="O3820" t="s">
        <v>220</v>
      </c>
      <c r="P3820">
        <v>7.9</v>
      </c>
      <c r="Q3820" t="s">
        <v>221</v>
      </c>
    </row>
    <row r="3821" spans="1:17" x14ac:dyDescent="0.25">
      <c r="A3821" t="s">
        <v>1146</v>
      </c>
      <c r="B3821" t="s">
        <v>1145</v>
      </c>
      <c r="C3821" t="s">
        <v>175</v>
      </c>
      <c r="D3821" t="s">
        <v>655</v>
      </c>
      <c r="E3821" t="s">
        <v>656</v>
      </c>
      <c r="F3821">
        <v>2</v>
      </c>
      <c r="G3821" t="s">
        <v>176</v>
      </c>
      <c r="H3821">
        <v>0</v>
      </c>
      <c r="I3821">
        <v>216</v>
      </c>
      <c r="J3821" s="10">
        <v>118</v>
      </c>
      <c r="K3821" s="10">
        <f>SUMIFS(F:F,D:D,DST_123_ÜRETİM_İHTİYAÇ_RAPORU_BURAK_YENI1309[[#This Row],[ALT_KOD]])-(SUMIFS(H:H,D:D,DST_123_ÜRETİM_İHTİYAÇ_RAPORU_BURAK_YENI1309[[#This Row],[ALT_KOD]])+AVERAGEIFS(I:I,D:D,DST_123_ÜRETİM_İHTİYAÇ_RAPORU_BURAK_YENI1309[[#This Row],[ALT_KOD]])+AVERAGEIFS(L:L,D:D,DST_123_ÜRETİM_İHTİYAÇ_RAPORU_BURAK_YENI1309[[#This Row],[ALT_KOD]]))</f>
        <v>-190</v>
      </c>
      <c r="L3821">
        <v>0</v>
      </c>
      <c r="M3821">
        <f>IF((DST_123_ÜRETİM_İHTİYAÇ_RAPORU_BURAK_YENI1309[[#This Row],[SATINALMA]]*DST_123_ÜRETİM_İHTİYAÇ_RAPORU_BURAK_YENI1309[[#This Row],[BIRIM_FIYATLAR]])&lt;1,VALUE("0"),DST_123_ÜRETİM_İHTİYAÇ_RAPORU_BURAK_YENI1309[[#This Row],[SATINALMA]]*DST_123_ÜRETİM_İHTİYAÇ_RAPORU_BURAK_YENI1309[[#This Row],[BIRIM_FIYATLAR]])</f>
        <v>0</v>
      </c>
      <c r="N3821">
        <v>3.95</v>
      </c>
      <c r="O3821" t="s">
        <v>220</v>
      </c>
      <c r="P3821">
        <v>7.9</v>
      </c>
      <c r="Q3821" t="s">
        <v>221</v>
      </c>
    </row>
    <row r="3822" spans="1:17" x14ac:dyDescent="0.25">
      <c r="A3822" t="s">
        <v>1144</v>
      </c>
      <c r="B3822" t="s">
        <v>1145</v>
      </c>
      <c r="C3822" t="s">
        <v>175</v>
      </c>
      <c r="D3822" t="s">
        <v>655</v>
      </c>
      <c r="E3822" t="s">
        <v>656</v>
      </c>
      <c r="F3822">
        <v>2</v>
      </c>
      <c r="G3822" t="s">
        <v>176</v>
      </c>
      <c r="H3822">
        <v>0</v>
      </c>
      <c r="I3822">
        <v>216</v>
      </c>
      <c r="J3822" s="10">
        <v>118</v>
      </c>
      <c r="K3822" s="10">
        <f>SUMIFS(F:F,D:D,DST_123_ÜRETİM_İHTİYAÇ_RAPORU_BURAK_YENI1309[[#This Row],[ALT_KOD]])-(SUMIFS(H:H,D:D,DST_123_ÜRETİM_İHTİYAÇ_RAPORU_BURAK_YENI1309[[#This Row],[ALT_KOD]])+AVERAGEIFS(I:I,D:D,DST_123_ÜRETİM_İHTİYAÇ_RAPORU_BURAK_YENI1309[[#This Row],[ALT_KOD]])+AVERAGEIFS(L:L,D:D,DST_123_ÜRETİM_İHTİYAÇ_RAPORU_BURAK_YENI1309[[#This Row],[ALT_KOD]]))</f>
        <v>-190</v>
      </c>
      <c r="L3822">
        <v>0</v>
      </c>
      <c r="M3822">
        <f>IF((DST_123_ÜRETİM_İHTİYAÇ_RAPORU_BURAK_YENI1309[[#This Row],[SATINALMA]]*DST_123_ÜRETİM_İHTİYAÇ_RAPORU_BURAK_YENI1309[[#This Row],[BIRIM_FIYATLAR]])&lt;1,VALUE("0"),DST_123_ÜRETİM_İHTİYAÇ_RAPORU_BURAK_YENI1309[[#This Row],[SATINALMA]]*DST_123_ÜRETİM_İHTİYAÇ_RAPORU_BURAK_YENI1309[[#This Row],[BIRIM_FIYATLAR]])</f>
        <v>0</v>
      </c>
      <c r="N3822">
        <v>3.95</v>
      </c>
      <c r="O3822" t="s">
        <v>220</v>
      </c>
      <c r="P3822">
        <v>7.9</v>
      </c>
      <c r="Q3822" t="s">
        <v>221</v>
      </c>
    </row>
    <row r="3823" spans="1:17" x14ac:dyDescent="0.25">
      <c r="A3823" t="s">
        <v>1149</v>
      </c>
      <c r="B3823" t="s">
        <v>1145</v>
      </c>
      <c r="C3823" t="s">
        <v>175</v>
      </c>
      <c r="D3823" t="s">
        <v>505</v>
      </c>
      <c r="E3823" t="s">
        <v>506</v>
      </c>
      <c r="F3823">
        <v>1</v>
      </c>
      <c r="G3823" t="s">
        <v>176</v>
      </c>
      <c r="H3823">
        <v>0</v>
      </c>
      <c r="I3823">
        <v>42</v>
      </c>
      <c r="J3823" s="10">
        <v>10</v>
      </c>
      <c r="K3823" s="10">
        <f>SUMIFS(F:F,D:D,DST_123_ÜRETİM_İHTİYAÇ_RAPORU_BURAK_YENI1309[[#This Row],[ALT_KOD]])-(SUMIFS(H:H,D:D,DST_123_ÜRETİM_İHTİYAÇ_RAPORU_BURAK_YENI1309[[#This Row],[ALT_KOD]])+AVERAGEIFS(I:I,D:D,DST_123_ÜRETİM_İHTİYAÇ_RAPORU_BURAK_YENI1309[[#This Row],[ALT_KOD]])+AVERAGEIFS(L:L,D:D,DST_123_ÜRETİM_İHTİYAÇ_RAPORU_BURAK_YENI1309[[#This Row],[ALT_KOD]]))</f>
        <v>-30</v>
      </c>
      <c r="L3823">
        <v>0</v>
      </c>
      <c r="M3823">
        <f>IF((DST_123_ÜRETİM_İHTİYAÇ_RAPORU_BURAK_YENI1309[[#This Row],[SATINALMA]]*DST_123_ÜRETİM_İHTİYAÇ_RAPORU_BURAK_YENI1309[[#This Row],[BIRIM_FIYATLAR]])&lt;1,VALUE("0"),DST_123_ÜRETİM_İHTİYAÇ_RAPORU_BURAK_YENI1309[[#This Row],[SATINALMA]]*DST_123_ÜRETİM_İHTİYAÇ_RAPORU_BURAK_YENI1309[[#This Row],[BIRIM_FIYATLAR]])</f>
        <v>0</v>
      </c>
      <c r="N3823">
        <v>142.5</v>
      </c>
      <c r="O3823" t="s">
        <v>826</v>
      </c>
      <c r="P3823">
        <v>142.5</v>
      </c>
      <c r="Q3823" t="s">
        <v>221</v>
      </c>
    </row>
    <row r="3824" spans="1:17" x14ac:dyDescent="0.25">
      <c r="A3824" t="s">
        <v>1057</v>
      </c>
      <c r="B3824" t="s">
        <v>1058</v>
      </c>
      <c r="C3824" t="s">
        <v>175</v>
      </c>
      <c r="D3824" t="s">
        <v>272</v>
      </c>
      <c r="E3824" t="s">
        <v>621</v>
      </c>
      <c r="F3824">
        <v>1</v>
      </c>
      <c r="G3824" t="s">
        <v>176</v>
      </c>
      <c r="H3824">
        <v>0</v>
      </c>
      <c r="I3824">
        <v>11</v>
      </c>
      <c r="J3824" s="10">
        <v>4</v>
      </c>
      <c r="K3824" s="10">
        <f>SUMIFS(F:F,D:D,DST_123_ÜRETİM_İHTİYAÇ_RAPORU_BURAK_YENI1309[[#This Row],[ALT_KOD]])-(SUMIFS(H:H,D:D,DST_123_ÜRETİM_İHTİYAÇ_RAPORU_BURAK_YENI1309[[#This Row],[ALT_KOD]])+AVERAGEIFS(I:I,D:D,DST_123_ÜRETİM_İHTİYAÇ_RAPORU_BURAK_YENI1309[[#This Row],[ALT_KOD]])+AVERAGEIFS(L:L,D:D,DST_123_ÜRETİM_İHTİYAÇ_RAPORU_BURAK_YENI1309[[#This Row],[ALT_KOD]]))</f>
        <v>-4</v>
      </c>
      <c r="L3824">
        <v>0</v>
      </c>
      <c r="M3824">
        <f>IF((DST_123_ÜRETİM_İHTİYAÇ_RAPORU_BURAK_YENI1309[[#This Row],[SATINALMA]]*DST_123_ÜRETİM_İHTİYAÇ_RAPORU_BURAK_YENI1309[[#This Row],[BIRIM_FIYATLAR]])&lt;1,VALUE("0"),DST_123_ÜRETİM_İHTİYAÇ_RAPORU_BURAK_YENI1309[[#This Row],[SATINALMA]]*DST_123_ÜRETİM_İHTİYAÇ_RAPORU_BURAK_YENI1309[[#This Row],[BIRIM_FIYATLAR]])</f>
        <v>0</v>
      </c>
      <c r="N3824">
        <v>1679.53</v>
      </c>
      <c r="O3824" t="s">
        <v>636</v>
      </c>
      <c r="P3824">
        <v>1679.53</v>
      </c>
      <c r="Q3824" t="s">
        <v>178</v>
      </c>
    </row>
    <row r="3825" spans="1:17" x14ac:dyDescent="0.25">
      <c r="A3825" t="s">
        <v>1150</v>
      </c>
      <c r="B3825" t="s">
        <v>1145</v>
      </c>
      <c r="C3825" t="s">
        <v>175</v>
      </c>
      <c r="D3825" t="s">
        <v>1159</v>
      </c>
      <c r="E3825" t="s">
        <v>1160</v>
      </c>
      <c r="F3825">
        <v>6</v>
      </c>
      <c r="G3825" t="s">
        <v>176</v>
      </c>
      <c r="H3825">
        <v>0</v>
      </c>
      <c r="I3825">
        <v>0</v>
      </c>
      <c r="J3825" s="10">
        <v>0</v>
      </c>
      <c r="K3825" s="10">
        <f>SUMIFS(F:F,D:D,DST_123_ÜRETİM_İHTİYAÇ_RAPORU_BURAK_YENI1309[[#This Row],[ALT_KOD]])-(SUMIFS(H:H,D:D,DST_123_ÜRETİM_İHTİYAÇ_RAPORU_BURAK_YENI1309[[#This Row],[ALT_KOD]])+AVERAGEIFS(I:I,D:D,DST_123_ÜRETİM_İHTİYAÇ_RAPORU_BURAK_YENI1309[[#This Row],[ALT_KOD]])+AVERAGEIFS(L:L,D:D,DST_123_ÜRETİM_İHTİYAÇ_RAPORU_BURAK_YENI1309[[#This Row],[ALT_KOD]]))</f>
        <v>42</v>
      </c>
      <c r="L3825">
        <v>0</v>
      </c>
      <c r="M3825">
        <f>IF((DST_123_ÜRETİM_İHTİYAÇ_RAPORU_BURAK_YENI1309[[#This Row],[SATINALMA]]*DST_123_ÜRETİM_İHTİYAÇ_RAPORU_BURAK_YENI1309[[#This Row],[BIRIM_FIYATLAR]])&lt;1,VALUE("0"),DST_123_ÜRETİM_İHTİYAÇ_RAPORU_BURAK_YENI1309[[#This Row],[SATINALMA]]*DST_123_ÜRETİM_İHTİYAÇ_RAPORU_BURAK_YENI1309[[#This Row],[BIRIM_FIYATLAR]])</f>
        <v>15.12</v>
      </c>
      <c r="N3825">
        <v>0.36</v>
      </c>
      <c r="O3825" t="s">
        <v>882</v>
      </c>
      <c r="P3825">
        <v>2.16</v>
      </c>
      <c r="Q3825" t="s">
        <v>180</v>
      </c>
    </row>
    <row r="3826" spans="1:17" x14ac:dyDescent="0.25">
      <c r="A3826" t="s">
        <v>1149</v>
      </c>
      <c r="B3826" t="s">
        <v>1145</v>
      </c>
      <c r="C3826" t="s">
        <v>175</v>
      </c>
      <c r="D3826" t="s">
        <v>802</v>
      </c>
      <c r="E3826" t="s">
        <v>822</v>
      </c>
      <c r="F3826">
        <v>1</v>
      </c>
      <c r="G3826" t="s">
        <v>176</v>
      </c>
      <c r="H3826">
        <v>0</v>
      </c>
      <c r="I3826">
        <v>20.5</v>
      </c>
      <c r="J3826" s="10">
        <v>5</v>
      </c>
      <c r="K3826" s="10">
        <f>SUMIFS(F:F,D:D,DST_123_ÜRETİM_İHTİYAÇ_RAPORU_BURAK_YENI1309[[#This Row],[ALT_KOD]])-(SUMIFS(H:H,D:D,DST_123_ÜRETİM_İHTİYAÇ_RAPORU_BURAK_YENI1309[[#This Row],[ALT_KOD]])+AVERAGEIFS(I:I,D:D,DST_123_ÜRETİM_İHTİYAÇ_RAPORU_BURAK_YENI1309[[#This Row],[ALT_KOD]])+AVERAGEIFS(L:L,D:D,DST_123_ÜRETİM_İHTİYAÇ_RAPORU_BURAK_YENI1309[[#This Row],[ALT_KOD]]))</f>
        <v>-9.5</v>
      </c>
      <c r="L3826">
        <v>0</v>
      </c>
      <c r="M3826">
        <f>IF((DST_123_ÜRETİM_İHTİYAÇ_RAPORU_BURAK_YENI1309[[#This Row],[SATINALMA]]*DST_123_ÜRETİM_İHTİYAÇ_RAPORU_BURAK_YENI1309[[#This Row],[BIRIM_FIYATLAR]])&lt;1,VALUE("0"),DST_123_ÜRETİM_İHTİYAÇ_RAPORU_BURAK_YENI1309[[#This Row],[SATINALMA]]*DST_123_ÜRETİM_İHTİYAÇ_RAPORU_BURAK_YENI1309[[#This Row],[BIRIM_FIYATLAR]])</f>
        <v>0</v>
      </c>
      <c r="N3826">
        <v>175</v>
      </c>
      <c r="O3826" t="s">
        <v>217</v>
      </c>
      <c r="P3826">
        <v>175</v>
      </c>
      <c r="Q3826" t="s">
        <v>180</v>
      </c>
    </row>
    <row r="3827" spans="1:17" x14ac:dyDescent="0.25">
      <c r="A3827" t="s">
        <v>1142</v>
      </c>
      <c r="B3827" t="s">
        <v>1056</v>
      </c>
      <c r="C3827" t="s">
        <v>175</v>
      </c>
      <c r="D3827" t="s">
        <v>590</v>
      </c>
      <c r="E3827" t="s">
        <v>591</v>
      </c>
      <c r="F3827">
        <v>1</v>
      </c>
      <c r="G3827" t="s">
        <v>176</v>
      </c>
      <c r="H3827">
        <v>0</v>
      </c>
      <c r="I3827">
        <v>4</v>
      </c>
      <c r="J3827" s="10">
        <v>10</v>
      </c>
      <c r="K3827" s="10">
        <f>SUMIFS(F:F,D:D,DST_123_ÜRETİM_İHTİYAÇ_RAPORU_BURAK_YENI1309[[#This Row],[ALT_KOD]])-(SUMIFS(H:H,D:D,DST_123_ÜRETİM_İHTİYAÇ_RAPORU_BURAK_YENI1309[[#This Row],[ALT_KOD]])+AVERAGEIFS(I:I,D:D,DST_123_ÜRETİM_İHTİYAÇ_RAPORU_BURAK_YENI1309[[#This Row],[ALT_KOD]])+AVERAGEIFS(L:L,D:D,DST_123_ÜRETİM_İHTİYAÇ_RAPORU_BURAK_YENI1309[[#This Row],[ALT_KOD]]))</f>
        <v>-3</v>
      </c>
      <c r="L3827">
        <v>10</v>
      </c>
      <c r="M3827">
        <f>IF((DST_123_ÜRETİM_İHTİYAÇ_RAPORU_BURAK_YENI1309[[#This Row],[SATINALMA]]*DST_123_ÜRETİM_İHTİYAÇ_RAPORU_BURAK_YENI1309[[#This Row],[BIRIM_FIYATLAR]])&lt;1,VALUE("0"),DST_123_ÜRETİM_İHTİYAÇ_RAPORU_BURAK_YENI1309[[#This Row],[SATINALMA]]*DST_123_ÜRETİM_İHTİYAÇ_RAPORU_BURAK_YENI1309[[#This Row],[BIRIM_FIYATLAR]])</f>
        <v>0</v>
      </c>
      <c r="N3827">
        <v>583.77</v>
      </c>
      <c r="O3827" t="s">
        <v>592</v>
      </c>
      <c r="P3827">
        <v>583.77</v>
      </c>
      <c r="Q3827" t="s">
        <v>180</v>
      </c>
    </row>
    <row r="3828" spans="1:17" x14ac:dyDescent="0.25">
      <c r="A3828" t="s">
        <v>1142</v>
      </c>
      <c r="B3828" t="s">
        <v>1056</v>
      </c>
      <c r="C3828" t="s">
        <v>175</v>
      </c>
      <c r="D3828" t="s">
        <v>505</v>
      </c>
      <c r="E3828" t="s">
        <v>506</v>
      </c>
      <c r="F3828">
        <v>1</v>
      </c>
      <c r="G3828" t="s">
        <v>176</v>
      </c>
      <c r="H3828">
        <v>0</v>
      </c>
      <c r="I3828">
        <v>42</v>
      </c>
      <c r="J3828" s="10">
        <v>10</v>
      </c>
      <c r="K3828" s="10">
        <f>SUMIFS(F:F,D:D,DST_123_ÜRETİM_İHTİYAÇ_RAPORU_BURAK_YENI1309[[#This Row],[ALT_KOD]])-(SUMIFS(H:H,D:D,DST_123_ÜRETİM_İHTİYAÇ_RAPORU_BURAK_YENI1309[[#This Row],[ALT_KOD]])+AVERAGEIFS(I:I,D:D,DST_123_ÜRETİM_İHTİYAÇ_RAPORU_BURAK_YENI1309[[#This Row],[ALT_KOD]])+AVERAGEIFS(L:L,D:D,DST_123_ÜRETİM_İHTİYAÇ_RAPORU_BURAK_YENI1309[[#This Row],[ALT_KOD]]))</f>
        <v>-30</v>
      </c>
      <c r="L3828">
        <v>0</v>
      </c>
      <c r="M3828">
        <f>IF((DST_123_ÜRETİM_İHTİYAÇ_RAPORU_BURAK_YENI1309[[#This Row],[SATINALMA]]*DST_123_ÜRETİM_İHTİYAÇ_RAPORU_BURAK_YENI1309[[#This Row],[BIRIM_FIYATLAR]])&lt;1,VALUE("0"),DST_123_ÜRETİM_İHTİYAÇ_RAPORU_BURAK_YENI1309[[#This Row],[SATINALMA]]*DST_123_ÜRETİM_İHTİYAÇ_RAPORU_BURAK_YENI1309[[#This Row],[BIRIM_FIYATLAR]])</f>
        <v>0</v>
      </c>
      <c r="N3828">
        <v>142.5</v>
      </c>
      <c r="O3828" t="s">
        <v>826</v>
      </c>
      <c r="P3828">
        <v>142.5</v>
      </c>
      <c r="Q3828" t="s">
        <v>221</v>
      </c>
    </row>
    <row r="3829" spans="1:17" x14ac:dyDescent="0.25">
      <c r="A3829" t="s">
        <v>1142</v>
      </c>
      <c r="B3829" t="s">
        <v>1056</v>
      </c>
      <c r="C3829" t="s">
        <v>175</v>
      </c>
      <c r="D3829" t="s">
        <v>1161</v>
      </c>
      <c r="E3829" t="s">
        <v>1162</v>
      </c>
      <c r="F3829">
        <v>2</v>
      </c>
      <c r="G3829" t="s">
        <v>176</v>
      </c>
      <c r="H3829">
        <v>0</v>
      </c>
      <c r="I3829">
        <v>0</v>
      </c>
      <c r="J3829" s="10">
        <v>0</v>
      </c>
      <c r="K3829" s="10">
        <f>SUMIFS(F:F,D:D,DST_123_ÜRETİM_İHTİYAÇ_RAPORU_BURAK_YENI1309[[#This Row],[ALT_KOD]])-(SUMIFS(H:H,D:D,DST_123_ÜRETİM_İHTİYAÇ_RAPORU_BURAK_YENI1309[[#This Row],[ALT_KOD]])+AVERAGEIFS(I:I,D:D,DST_123_ÜRETİM_İHTİYAÇ_RAPORU_BURAK_YENI1309[[#This Row],[ALT_KOD]])+AVERAGEIFS(L:L,D:D,DST_123_ÜRETİM_İHTİYAÇ_RAPORU_BURAK_YENI1309[[#This Row],[ALT_KOD]]))</f>
        <v>14</v>
      </c>
      <c r="L3829">
        <v>0</v>
      </c>
      <c r="M3829">
        <f>IF((DST_123_ÜRETİM_İHTİYAÇ_RAPORU_BURAK_YENI1309[[#This Row],[SATINALMA]]*DST_123_ÜRETİM_İHTİYAÇ_RAPORU_BURAK_YENI1309[[#This Row],[BIRIM_FIYATLAR]])&lt;1,VALUE("0"),DST_123_ÜRETİM_İHTİYAÇ_RAPORU_BURAK_YENI1309[[#This Row],[SATINALMA]]*DST_123_ÜRETİM_İHTİYAÇ_RAPORU_BURAK_YENI1309[[#This Row],[BIRIM_FIYATLAR]])</f>
        <v>0</v>
      </c>
      <c r="N3829">
        <v>0</v>
      </c>
      <c r="P3829">
        <v>0</v>
      </c>
      <c r="Q3829" t="s">
        <v>221</v>
      </c>
    </row>
    <row r="3830" spans="1:17" x14ac:dyDescent="0.25">
      <c r="A3830" t="s">
        <v>1142</v>
      </c>
      <c r="B3830" t="s">
        <v>1056</v>
      </c>
      <c r="C3830" t="s">
        <v>175</v>
      </c>
      <c r="D3830" t="s">
        <v>802</v>
      </c>
      <c r="E3830" t="s">
        <v>822</v>
      </c>
      <c r="F3830">
        <v>1</v>
      </c>
      <c r="G3830" t="s">
        <v>176</v>
      </c>
      <c r="H3830">
        <v>0</v>
      </c>
      <c r="I3830">
        <v>20.5</v>
      </c>
      <c r="J3830" s="10">
        <v>5</v>
      </c>
      <c r="K3830" s="10">
        <f>SUMIFS(F:F,D:D,DST_123_ÜRETİM_İHTİYAÇ_RAPORU_BURAK_YENI1309[[#This Row],[ALT_KOD]])-(SUMIFS(H:H,D:D,DST_123_ÜRETİM_İHTİYAÇ_RAPORU_BURAK_YENI1309[[#This Row],[ALT_KOD]])+AVERAGEIFS(I:I,D:D,DST_123_ÜRETİM_İHTİYAÇ_RAPORU_BURAK_YENI1309[[#This Row],[ALT_KOD]])+AVERAGEIFS(L:L,D:D,DST_123_ÜRETİM_İHTİYAÇ_RAPORU_BURAK_YENI1309[[#This Row],[ALT_KOD]]))</f>
        <v>-9.5</v>
      </c>
      <c r="L3830">
        <v>0</v>
      </c>
      <c r="M3830">
        <f>IF((DST_123_ÜRETİM_İHTİYAÇ_RAPORU_BURAK_YENI1309[[#This Row],[SATINALMA]]*DST_123_ÜRETİM_İHTİYAÇ_RAPORU_BURAK_YENI1309[[#This Row],[BIRIM_FIYATLAR]])&lt;1,VALUE("0"),DST_123_ÜRETİM_İHTİYAÇ_RAPORU_BURAK_YENI1309[[#This Row],[SATINALMA]]*DST_123_ÜRETİM_İHTİYAÇ_RAPORU_BURAK_YENI1309[[#This Row],[BIRIM_FIYATLAR]])</f>
        <v>0</v>
      </c>
      <c r="N3830">
        <v>175</v>
      </c>
      <c r="O3830" t="s">
        <v>217</v>
      </c>
      <c r="P3830">
        <v>175</v>
      </c>
      <c r="Q3830" t="s">
        <v>180</v>
      </c>
    </row>
    <row r="3831" spans="1:17" x14ac:dyDescent="0.25">
      <c r="A3831" t="s">
        <v>1142</v>
      </c>
      <c r="B3831" t="s">
        <v>1056</v>
      </c>
      <c r="C3831" t="s">
        <v>175</v>
      </c>
      <c r="D3831" t="s">
        <v>736</v>
      </c>
      <c r="E3831" t="s">
        <v>737</v>
      </c>
      <c r="F3831">
        <v>1</v>
      </c>
      <c r="G3831" t="s">
        <v>176</v>
      </c>
      <c r="H3831">
        <v>0</v>
      </c>
      <c r="I3831">
        <v>12</v>
      </c>
      <c r="J3831" s="10">
        <v>17</v>
      </c>
      <c r="K3831" s="10">
        <f>SUMIFS(F:F,D:D,DST_123_ÜRETİM_İHTİYAÇ_RAPORU_BURAK_YENI1309[[#This Row],[ALT_KOD]])-(SUMIFS(H:H,D:D,DST_123_ÜRETİM_İHTİYAÇ_RAPORU_BURAK_YENI1309[[#This Row],[ALT_KOD]])+AVERAGEIFS(I:I,D:D,DST_123_ÜRETİM_İHTİYAÇ_RAPORU_BURAK_YENI1309[[#This Row],[ALT_KOD]])+AVERAGEIFS(L:L,D:D,DST_123_ÜRETİM_İHTİYAÇ_RAPORU_BURAK_YENI1309[[#This Row],[ALT_KOD]]))</f>
        <v>-1</v>
      </c>
      <c r="L3831">
        <v>0</v>
      </c>
      <c r="M3831">
        <f>IF((DST_123_ÜRETİM_İHTİYAÇ_RAPORU_BURAK_YENI1309[[#This Row],[SATINALMA]]*DST_123_ÜRETİM_İHTİYAÇ_RAPORU_BURAK_YENI1309[[#This Row],[BIRIM_FIYATLAR]])&lt;1,VALUE("0"),DST_123_ÜRETİM_İHTİYAÇ_RAPORU_BURAK_YENI1309[[#This Row],[SATINALMA]]*DST_123_ÜRETİM_İHTİYAÇ_RAPORU_BURAK_YENI1309[[#This Row],[BIRIM_FIYATLAR]])</f>
        <v>0</v>
      </c>
      <c r="N3831">
        <v>400</v>
      </c>
      <c r="O3831" t="s">
        <v>667</v>
      </c>
      <c r="P3831">
        <v>400</v>
      </c>
      <c r="Q3831" t="s">
        <v>177</v>
      </c>
    </row>
    <row r="3832" spans="1:17" x14ac:dyDescent="0.25">
      <c r="A3832" t="s">
        <v>1143</v>
      </c>
      <c r="B3832" t="s">
        <v>1056</v>
      </c>
      <c r="C3832" t="s">
        <v>175</v>
      </c>
      <c r="D3832" t="s">
        <v>736</v>
      </c>
      <c r="E3832" t="s">
        <v>737</v>
      </c>
      <c r="F3832">
        <v>1</v>
      </c>
      <c r="G3832" t="s">
        <v>176</v>
      </c>
      <c r="H3832">
        <v>0</v>
      </c>
      <c r="I3832">
        <v>12</v>
      </c>
      <c r="J3832" s="10">
        <v>17</v>
      </c>
      <c r="K3832" s="10">
        <f>SUMIFS(F:F,D:D,DST_123_ÜRETİM_İHTİYAÇ_RAPORU_BURAK_YENI1309[[#This Row],[ALT_KOD]])-(SUMIFS(H:H,D:D,DST_123_ÜRETİM_İHTİYAÇ_RAPORU_BURAK_YENI1309[[#This Row],[ALT_KOD]])+AVERAGEIFS(I:I,D:D,DST_123_ÜRETİM_İHTİYAÇ_RAPORU_BURAK_YENI1309[[#This Row],[ALT_KOD]])+AVERAGEIFS(L:L,D:D,DST_123_ÜRETİM_İHTİYAÇ_RAPORU_BURAK_YENI1309[[#This Row],[ALT_KOD]]))</f>
        <v>-1</v>
      </c>
      <c r="L3832">
        <v>0</v>
      </c>
      <c r="M3832">
        <f>IF((DST_123_ÜRETİM_İHTİYAÇ_RAPORU_BURAK_YENI1309[[#This Row],[SATINALMA]]*DST_123_ÜRETİM_İHTİYAÇ_RAPORU_BURAK_YENI1309[[#This Row],[BIRIM_FIYATLAR]])&lt;1,VALUE("0"),DST_123_ÜRETİM_İHTİYAÇ_RAPORU_BURAK_YENI1309[[#This Row],[SATINALMA]]*DST_123_ÜRETİM_İHTİYAÇ_RAPORU_BURAK_YENI1309[[#This Row],[BIRIM_FIYATLAR]])</f>
        <v>0</v>
      </c>
      <c r="N3832">
        <v>400</v>
      </c>
      <c r="O3832" t="s">
        <v>667</v>
      </c>
      <c r="P3832">
        <v>400</v>
      </c>
      <c r="Q3832" t="s">
        <v>177</v>
      </c>
    </row>
    <row r="3833" spans="1:17" x14ac:dyDescent="0.25">
      <c r="A3833" t="s">
        <v>1142</v>
      </c>
      <c r="B3833" t="s">
        <v>1056</v>
      </c>
      <c r="C3833" t="s">
        <v>175</v>
      </c>
      <c r="D3833" t="s">
        <v>272</v>
      </c>
      <c r="E3833" t="s">
        <v>621</v>
      </c>
      <c r="F3833">
        <v>1</v>
      </c>
      <c r="G3833" t="s">
        <v>176</v>
      </c>
      <c r="H3833">
        <v>0</v>
      </c>
      <c r="I3833">
        <v>11</v>
      </c>
      <c r="J3833" s="10">
        <v>4</v>
      </c>
      <c r="K3833" s="10">
        <f>SUMIFS(F:F,D:D,DST_123_ÜRETİM_İHTİYAÇ_RAPORU_BURAK_YENI1309[[#This Row],[ALT_KOD]])-(SUMIFS(H:H,D:D,DST_123_ÜRETİM_İHTİYAÇ_RAPORU_BURAK_YENI1309[[#This Row],[ALT_KOD]])+AVERAGEIFS(I:I,D:D,DST_123_ÜRETİM_İHTİYAÇ_RAPORU_BURAK_YENI1309[[#This Row],[ALT_KOD]])+AVERAGEIFS(L:L,D:D,DST_123_ÜRETİM_İHTİYAÇ_RAPORU_BURAK_YENI1309[[#This Row],[ALT_KOD]]))</f>
        <v>-4</v>
      </c>
      <c r="L3833">
        <v>0</v>
      </c>
      <c r="M3833">
        <f>IF((DST_123_ÜRETİM_İHTİYAÇ_RAPORU_BURAK_YENI1309[[#This Row],[SATINALMA]]*DST_123_ÜRETİM_İHTİYAÇ_RAPORU_BURAK_YENI1309[[#This Row],[BIRIM_FIYATLAR]])&lt;1,VALUE("0"),DST_123_ÜRETİM_İHTİYAÇ_RAPORU_BURAK_YENI1309[[#This Row],[SATINALMA]]*DST_123_ÜRETİM_İHTİYAÇ_RAPORU_BURAK_YENI1309[[#This Row],[BIRIM_FIYATLAR]])</f>
        <v>0</v>
      </c>
      <c r="N3833">
        <v>1679.53</v>
      </c>
      <c r="O3833" t="s">
        <v>636</v>
      </c>
      <c r="P3833">
        <v>1679.53</v>
      </c>
      <c r="Q3833" t="s">
        <v>178</v>
      </c>
    </row>
    <row r="3834" spans="1:17" x14ac:dyDescent="0.25">
      <c r="A3834" t="s">
        <v>1196</v>
      </c>
      <c r="B3834" t="s">
        <v>1197</v>
      </c>
      <c r="C3834" t="s">
        <v>175</v>
      </c>
      <c r="D3834" t="s">
        <v>276</v>
      </c>
      <c r="E3834" t="s">
        <v>315</v>
      </c>
      <c r="F3834">
        <v>1</v>
      </c>
      <c r="G3834" t="s">
        <v>176</v>
      </c>
      <c r="H3834">
        <v>0</v>
      </c>
      <c r="I3834">
        <v>28</v>
      </c>
      <c r="J3834" s="10">
        <v>4</v>
      </c>
      <c r="K3834" s="10">
        <f>SUMIFS(F:F,D:D,DST_123_ÜRETİM_İHTİYAÇ_RAPORU_BURAK_YENI1309[[#This Row],[ALT_KOD]])-(SUMIFS(H:H,D:D,DST_123_ÜRETİM_İHTİYAÇ_RAPORU_BURAK_YENI1309[[#This Row],[ALT_KOD]])+AVERAGEIFS(I:I,D:D,DST_123_ÜRETİM_İHTİYAÇ_RAPORU_BURAK_YENI1309[[#This Row],[ALT_KOD]])+AVERAGEIFS(L:L,D:D,DST_123_ÜRETİM_İHTİYAÇ_RAPORU_BURAK_YENI1309[[#This Row],[ALT_KOD]]))</f>
        <v>-21</v>
      </c>
      <c r="L3834">
        <v>0</v>
      </c>
      <c r="M3834">
        <f>IF((DST_123_ÜRETİM_İHTİYAÇ_RAPORU_BURAK_YENI1309[[#This Row],[SATINALMA]]*DST_123_ÜRETİM_İHTİYAÇ_RAPORU_BURAK_YENI1309[[#This Row],[BIRIM_FIYATLAR]])&lt;1,VALUE("0"),DST_123_ÜRETİM_İHTİYAÇ_RAPORU_BURAK_YENI1309[[#This Row],[SATINALMA]]*DST_123_ÜRETİM_İHTİYAÇ_RAPORU_BURAK_YENI1309[[#This Row],[BIRIM_FIYATLAR]])</f>
        <v>0</v>
      </c>
      <c r="N3834">
        <v>290.73</v>
      </c>
      <c r="O3834" t="s">
        <v>636</v>
      </c>
      <c r="P3834">
        <v>290.73</v>
      </c>
      <c r="Q3834" t="s">
        <v>178</v>
      </c>
    </row>
    <row r="3835" spans="1:17" x14ac:dyDescent="0.25">
      <c r="A3835" t="s">
        <v>1196</v>
      </c>
      <c r="B3835" t="s">
        <v>1197</v>
      </c>
      <c r="C3835" t="s">
        <v>175</v>
      </c>
      <c r="D3835" t="s">
        <v>730</v>
      </c>
      <c r="E3835" t="s">
        <v>731</v>
      </c>
      <c r="F3835">
        <v>2</v>
      </c>
      <c r="G3835" t="s">
        <v>176</v>
      </c>
      <c r="H3835">
        <v>0</v>
      </c>
      <c r="I3835">
        <v>265</v>
      </c>
      <c r="J3835" s="10">
        <v>94</v>
      </c>
      <c r="K3835" s="10">
        <f>SUMIFS(F:F,D:D,DST_123_ÜRETİM_İHTİYAÇ_RAPORU_BURAK_YENI1309[[#This Row],[ALT_KOD]])-(SUMIFS(H:H,D:D,DST_123_ÜRETİM_İHTİYAÇ_RAPORU_BURAK_YENI1309[[#This Row],[ALT_KOD]])+AVERAGEIFS(I:I,D:D,DST_123_ÜRETİM_İHTİYAÇ_RAPORU_BURAK_YENI1309[[#This Row],[ALT_KOD]])+AVERAGEIFS(L:L,D:D,DST_123_ÜRETİM_İHTİYAÇ_RAPORU_BURAK_YENI1309[[#This Row],[ALT_KOD]]))</f>
        <v>-249</v>
      </c>
      <c r="L3835">
        <v>0</v>
      </c>
      <c r="M3835">
        <f>IF((DST_123_ÜRETİM_İHTİYAÇ_RAPORU_BURAK_YENI1309[[#This Row],[SATINALMA]]*DST_123_ÜRETİM_İHTİYAÇ_RAPORU_BURAK_YENI1309[[#This Row],[BIRIM_FIYATLAR]])&lt;1,VALUE("0"),DST_123_ÜRETİM_İHTİYAÇ_RAPORU_BURAK_YENI1309[[#This Row],[SATINALMA]]*DST_123_ÜRETİM_İHTİYAÇ_RAPORU_BURAK_YENI1309[[#This Row],[BIRIM_FIYATLAR]])</f>
        <v>0</v>
      </c>
      <c r="N3835">
        <v>4</v>
      </c>
      <c r="O3835" t="s">
        <v>220</v>
      </c>
      <c r="P3835">
        <v>8</v>
      </c>
      <c r="Q3835" t="s">
        <v>221</v>
      </c>
    </row>
    <row r="3836" spans="1:17" x14ac:dyDescent="0.25">
      <c r="A3836" t="s">
        <v>1095</v>
      </c>
      <c r="B3836" t="s">
        <v>1096</v>
      </c>
      <c r="C3836" t="s">
        <v>175</v>
      </c>
      <c r="D3836" t="s">
        <v>1078</v>
      </c>
      <c r="E3836" t="s">
        <v>1079</v>
      </c>
      <c r="F3836">
        <v>1</v>
      </c>
      <c r="G3836" t="s">
        <v>176</v>
      </c>
      <c r="H3836">
        <v>0</v>
      </c>
      <c r="I3836">
        <v>3</v>
      </c>
      <c r="J3836" s="10">
        <v>8</v>
      </c>
      <c r="K3836" s="10">
        <f>SUMIFS(F:F,D:D,DST_123_ÜRETİM_İHTİYAÇ_RAPORU_BURAK_YENI1309[[#This Row],[ALT_KOD]])-(SUMIFS(H:H,D:D,DST_123_ÜRETİM_İHTİYAÇ_RAPORU_BURAK_YENI1309[[#This Row],[ALT_KOD]])+AVERAGEIFS(I:I,D:D,DST_123_ÜRETİM_İHTİYAÇ_RAPORU_BURAK_YENI1309[[#This Row],[ALT_KOD]])+AVERAGEIFS(L:L,D:D,DST_123_ÜRETİM_İHTİYAÇ_RAPORU_BURAK_YENI1309[[#This Row],[ALT_KOD]]))</f>
        <v>-2</v>
      </c>
      <c r="L3836">
        <v>10</v>
      </c>
      <c r="M3836">
        <f>IF((DST_123_ÜRETİM_İHTİYAÇ_RAPORU_BURAK_YENI1309[[#This Row],[SATINALMA]]*DST_123_ÜRETİM_İHTİYAÇ_RAPORU_BURAK_YENI1309[[#This Row],[BIRIM_FIYATLAR]])&lt;1,VALUE("0"),DST_123_ÜRETİM_İHTİYAÇ_RAPORU_BURAK_YENI1309[[#This Row],[SATINALMA]]*DST_123_ÜRETİM_İHTİYAÇ_RAPORU_BURAK_YENI1309[[#This Row],[BIRIM_FIYATLAR]])</f>
        <v>0</v>
      </c>
      <c r="N3836">
        <v>3097.63</v>
      </c>
      <c r="O3836" t="s">
        <v>592</v>
      </c>
      <c r="P3836">
        <v>3097.63</v>
      </c>
      <c r="Q3836" t="s">
        <v>178</v>
      </c>
    </row>
    <row r="3837" spans="1:17" x14ac:dyDescent="0.25">
      <c r="A3837" t="s">
        <v>1150</v>
      </c>
      <c r="B3837" t="s">
        <v>1145</v>
      </c>
      <c r="C3837" t="s">
        <v>175</v>
      </c>
      <c r="D3837" t="s">
        <v>548</v>
      </c>
      <c r="E3837" t="s">
        <v>549</v>
      </c>
      <c r="F3837">
        <v>28</v>
      </c>
      <c r="G3837" t="s">
        <v>176</v>
      </c>
      <c r="H3837">
        <v>0</v>
      </c>
      <c r="I3837">
        <v>800</v>
      </c>
      <c r="J3837" s="10">
        <v>0</v>
      </c>
      <c r="K3837" s="10">
        <f>SUMIFS(F:F,D:D,DST_123_ÜRETİM_İHTİYAÇ_RAPORU_BURAK_YENI1309[[#This Row],[ALT_KOD]])-(SUMIFS(H:H,D:D,DST_123_ÜRETİM_İHTİYAÇ_RAPORU_BURAK_YENI1309[[#This Row],[ALT_KOD]])+AVERAGEIFS(I:I,D:D,DST_123_ÜRETİM_İHTİYAÇ_RAPORU_BURAK_YENI1309[[#This Row],[ALT_KOD]])+AVERAGEIFS(L:L,D:D,DST_123_ÜRETİM_İHTİYAÇ_RAPORU_BURAK_YENI1309[[#This Row],[ALT_KOD]]))</f>
        <v>-414</v>
      </c>
      <c r="L3837">
        <v>0</v>
      </c>
      <c r="M3837">
        <f>IF((DST_123_ÜRETİM_İHTİYAÇ_RAPORU_BURAK_YENI1309[[#This Row],[SATINALMA]]*DST_123_ÜRETİM_İHTİYAÇ_RAPORU_BURAK_YENI1309[[#This Row],[BIRIM_FIYATLAR]])&lt;1,VALUE("0"),DST_123_ÜRETİM_İHTİYAÇ_RAPORU_BURAK_YENI1309[[#This Row],[SATINALMA]]*DST_123_ÜRETİM_İHTİYAÇ_RAPORU_BURAK_YENI1309[[#This Row],[BIRIM_FIYATLAR]])</f>
        <v>0</v>
      </c>
      <c r="N3837">
        <v>13.75</v>
      </c>
      <c r="O3837" t="s">
        <v>628</v>
      </c>
      <c r="P3837">
        <v>385</v>
      </c>
      <c r="Q3837" t="s">
        <v>180</v>
      </c>
    </row>
    <row r="3838" spans="1:17" x14ac:dyDescent="0.25">
      <c r="A3838" t="s">
        <v>1150</v>
      </c>
      <c r="B3838" t="s">
        <v>1145</v>
      </c>
      <c r="C3838" t="s">
        <v>175</v>
      </c>
      <c r="D3838" t="s">
        <v>552</v>
      </c>
      <c r="E3838" t="s">
        <v>553</v>
      </c>
      <c r="F3838">
        <v>1</v>
      </c>
      <c r="G3838" t="s">
        <v>176</v>
      </c>
      <c r="H3838">
        <v>0</v>
      </c>
      <c r="I3838">
        <v>14</v>
      </c>
      <c r="J3838" s="10">
        <v>9.9999999999999929</v>
      </c>
      <c r="K3838" s="10">
        <f>SUMIFS(F:F,D:D,DST_123_ÜRETİM_İHTİYAÇ_RAPORU_BURAK_YENI1309[[#This Row],[ALT_KOD]])-(SUMIFS(H:H,D:D,DST_123_ÜRETİM_İHTİYAÇ_RAPORU_BURAK_YENI1309[[#This Row],[ALT_KOD]])+AVERAGEIFS(I:I,D:D,DST_123_ÜRETİM_İHTİYAÇ_RAPORU_BURAK_YENI1309[[#This Row],[ALT_KOD]])+AVERAGEIFS(L:L,D:D,DST_123_ÜRETİM_İHTİYAÇ_RAPORU_BURAK_YENI1309[[#This Row],[ALT_KOD]]))</f>
        <v>2.5700000000000003</v>
      </c>
      <c r="L3838">
        <v>0</v>
      </c>
      <c r="M3838">
        <f>IF((DST_123_ÜRETİM_İHTİYAÇ_RAPORU_BURAK_YENI1309[[#This Row],[SATINALMA]]*DST_123_ÜRETİM_İHTİYAÇ_RAPORU_BURAK_YENI1309[[#This Row],[BIRIM_FIYATLAR]])&lt;1,VALUE("0"),DST_123_ÜRETİM_İHTİYAÇ_RAPORU_BURAK_YENI1309[[#This Row],[SATINALMA]]*DST_123_ÜRETİM_İHTİYAÇ_RAPORU_BURAK_YENI1309[[#This Row],[BIRIM_FIYATLAR]])</f>
        <v>552.55000000000007</v>
      </c>
      <c r="N3838">
        <v>215</v>
      </c>
      <c r="O3838" t="s">
        <v>240</v>
      </c>
      <c r="P3838">
        <v>215</v>
      </c>
      <c r="Q3838" t="s">
        <v>180</v>
      </c>
    </row>
    <row r="3839" spans="1:17" x14ac:dyDescent="0.25">
      <c r="A3839" t="s">
        <v>1150</v>
      </c>
      <c r="B3839" t="s">
        <v>1145</v>
      </c>
      <c r="C3839" t="s">
        <v>175</v>
      </c>
      <c r="D3839" t="s">
        <v>560</v>
      </c>
      <c r="E3839" t="s">
        <v>561</v>
      </c>
      <c r="F3839">
        <v>3.2</v>
      </c>
      <c r="G3839" t="s">
        <v>176</v>
      </c>
      <c r="H3839">
        <v>0</v>
      </c>
      <c r="I3839">
        <v>272</v>
      </c>
      <c r="J3839" s="10">
        <v>4.2999999999999652</v>
      </c>
      <c r="K3839" s="10">
        <f>SUMIFS(F:F,D:D,DST_123_ÜRETİM_İHTİYAÇ_RAPORU_BURAK_YENI1309[[#This Row],[ALT_KOD]])-(SUMIFS(H:H,D:D,DST_123_ÜRETİM_İHTİYAÇ_RAPORU_BURAK_YENI1309[[#This Row],[ALT_KOD]])+AVERAGEIFS(I:I,D:D,DST_123_ÜRETİM_İHTİYAÇ_RAPORU_BURAK_YENI1309[[#This Row],[ALT_KOD]])+AVERAGEIFS(L:L,D:D,DST_123_ÜRETİM_İHTİYAÇ_RAPORU_BURAK_YENI1309[[#This Row],[ALT_KOD]]))</f>
        <v>-233.2</v>
      </c>
      <c r="L3839">
        <v>0</v>
      </c>
      <c r="M3839">
        <f>IF((DST_123_ÜRETİM_İHTİYAÇ_RAPORU_BURAK_YENI1309[[#This Row],[SATINALMA]]*DST_123_ÜRETİM_İHTİYAÇ_RAPORU_BURAK_YENI1309[[#This Row],[BIRIM_FIYATLAR]])&lt;1,VALUE("0"),DST_123_ÜRETİM_İHTİYAÇ_RAPORU_BURAK_YENI1309[[#This Row],[SATINALMA]]*DST_123_ÜRETİM_İHTİYAÇ_RAPORU_BURAK_YENI1309[[#This Row],[BIRIM_FIYATLAR]])</f>
        <v>0</v>
      </c>
      <c r="N3839">
        <v>30</v>
      </c>
      <c r="O3839" t="s">
        <v>240</v>
      </c>
      <c r="P3839">
        <v>96</v>
      </c>
      <c r="Q3839" t="s">
        <v>180</v>
      </c>
    </row>
    <row r="3840" spans="1:17" x14ac:dyDescent="0.25">
      <c r="A3840" t="s">
        <v>1146</v>
      </c>
      <c r="B3840" t="s">
        <v>1145</v>
      </c>
      <c r="C3840" t="s">
        <v>175</v>
      </c>
      <c r="D3840" t="s">
        <v>279</v>
      </c>
      <c r="E3840" t="s">
        <v>318</v>
      </c>
      <c r="F3840">
        <v>1</v>
      </c>
      <c r="G3840" t="s">
        <v>176</v>
      </c>
      <c r="H3840">
        <v>0</v>
      </c>
      <c r="I3840">
        <v>27</v>
      </c>
      <c r="J3840" s="10">
        <v>4</v>
      </c>
      <c r="K3840" s="10">
        <f>SUMIFS(F:F,D:D,DST_123_ÜRETİM_İHTİYAÇ_RAPORU_BURAK_YENI1309[[#This Row],[ALT_KOD]])-(SUMIFS(H:H,D:D,DST_123_ÜRETİM_İHTİYAÇ_RAPORU_BURAK_YENI1309[[#This Row],[ALT_KOD]])+AVERAGEIFS(I:I,D:D,DST_123_ÜRETİM_İHTİYAÇ_RAPORU_BURAK_YENI1309[[#This Row],[ALT_KOD]])+AVERAGEIFS(L:L,D:D,DST_123_ÜRETİM_İHTİYAÇ_RAPORU_BURAK_YENI1309[[#This Row],[ALT_KOD]]))</f>
        <v>-20</v>
      </c>
      <c r="L3840">
        <v>0</v>
      </c>
      <c r="M3840">
        <f>IF((DST_123_ÜRETİM_İHTİYAÇ_RAPORU_BURAK_YENI1309[[#This Row],[SATINALMA]]*DST_123_ÜRETİM_İHTİYAÇ_RAPORU_BURAK_YENI1309[[#This Row],[BIRIM_FIYATLAR]])&lt;1,VALUE("0"),DST_123_ÜRETİM_İHTİYAÇ_RAPORU_BURAK_YENI1309[[#This Row],[SATINALMA]]*DST_123_ÜRETİM_İHTİYAÇ_RAPORU_BURAK_YENI1309[[#This Row],[BIRIM_FIYATLAR]])</f>
        <v>0</v>
      </c>
      <c r="N3840">
        <v>290.73</v>
      </c>
      <c r="O3840" t="s">
        <v>636</v>
      </c>
      <c r="P3840">
        <v>290.73</v>
      </c>
      <c r="Q3840" t="s">
        <v>178</v>
      </c>
    </row>
    <row r="3841" spans="1:17" x14ac:dyDescent="0.25">
      <c r="A3841" t="s">
        <v>1098</v>
      </c>
      <c r="B3841" t="s">
        <v>1096</v>
      </c>
      <c r="C3841" t="s">
        <v>175</v>
      </c>
      <c r="D3841" t="s">
        <v>406</v>
      </c>
      <c r="E3841" t="s">
        <v>407</v>
      </c>
      <c r="F3841">
        <v>1</v>
      </c>
      <c r="G3841" t="s">
        <v>176</v>
      </c>
      <c r="H3841">
        <v>0</v>
      </c>
      <c r="I3841">
        <v>34</v>
      </c>
      <c r="J3841" s="10">
        <v>62</v>
      </c>
      <c r="K3841" s="10">
        <f>SUMIFS(F:F,D:D,DST_123_ÜRETİM_İHTİYAÇ_RAPORU_BURAK_YENI1309[[#This Row],[ALT_KOD]])-(SUMIFS(H:H,D:D,DST_123_ÜRETİM_İHTİYAÇ_RAPORU_BURAK_YENI1309[[#This Row],[ALT_KOD]])+AVERAGEIFS(I:I,D:D,DST_123_ÜRETİM_İHTİYAÇ_RAPORU_BURAK_YENI1309[[#This Row],[ALT_KOD]])+AVERAGEIFS(L:L,D:D,DST_123_ÜRETİM_İHTİYAÇ_RAPORU_BURAK_YENI1309[[#This Row],[ALT_KOD]]))</f>
        <v>-12</v>
      </c>
      <c r="L3841">
        <v>0</v>
      </c>
      <c r="M3841">
        <f>IF((DST_123_ÜRETİM_İHTİYAÇ_RAPORU_BURAK_YENI1309[[#This Row],[SATINALMA]]*DST_123_ÜRETİM_İHTİYAÇ_RAPORU_BURAK_YENI1309[[#This Row],[BIRIM_FIYATLAR]])&lt;1,VALUE("0"),DST_123_ÜRETİM_İHTİYAÇ_RAPORU_BURAK_YENI1309[[#This Row],[SATINALMA]]*DST_123_ÜRETİM_İHTİYAÇ_RAPORU_BURAK_YENI1309[[#This Row],[BIRIM_FIYATLAR]])</f>
        <v>0</v>
      </c>
      <c r="N3841">
        <v>19.07</v>
      </c>
      <c r="O3841" t="s">
        <v>826</v>
      </c>
      <c r="P3841">
        <v>19.07</v>
      </c>
      <c r="Q3841" t="s">
        <v>221</v>
      </c>
    </row>
    <row r="3842" spans="1:17" x14ac:dyDescent="0.25">
      <c r="A3842" t="s">
        <v>1098</v>
      </c>
      <c r="B3842" t="s">
        <v>1096</v>
      </c>
      <c r="C3842" t="s">
        <v>175</v>
      </c>
      <c r="D3842" t="s">
        <v>299</v>
      </c>
      <c r="E3842" t="s">
        <v>300</v>
      </c>
      <c r="F3842">
        <v>9.5</v>
      </c>
      <c r="G3842" t="s">
        <v>176</v>
      </c>
      <c r="H3842">
        <v>0</v>
      </c>
      <c r="I3842">
        <v>180</v>
      </c>
      <c r="J3842" s="10">
        <v>80</v>
      </c>
      <c r="K3842" s="10">
        <f>SUMIFS(F:F,D:D,DST_123_ÜRETİM_İHTİYAÇ_RAPORU_BURAK_YENI1309[[#This Row],[ALT_KOD]])-(SUMIFS(H:H,D:D,DST_123_ÜRETİM_İHTİYAÇ_RAPORU_BURAK_YENI1309[[#This Row],[ALT_KOD]])+AVERAGEIFS(I:I,D:D,DST_123_ÜRETİM_İHTİYAÇ_RAPORU_BURAK_YENI1309[[#This Row],[ALT_KOD]])+AVERAGEIFS(L:L,D:D,DST_123_ÜRETİM_İHTİYAÇ_RAPORU_BURAK_YENI1309[[#This Row],[ALT_KOD]]))</f>
        <v>32</v>
      </c>
      <c r="L3842">
        <v>0</v>
      </c>
      <c r="M3842">
        <f>IF((DST_123_ÜRETİM_İHTİYAÇ_RAPORU_BURAK_YENI1309[[#This Row],[SATINALMA]]*DST_123_ÜRETİM_İHTİYAÇ_RAPORU_BURAK_YENI1309[[#This Row],[BIRIM_FIYATLAR]])&lt;1,VALUE("0"),DST_123_ÜRETİM_İHTİYAÇ_RAPORU_BURAK_YENI1309[[#This Row],[SATINALMA]]*DST_123_ÜRETİM_İHTİYAÇ_RAPORU_BURAK_YENI1309[[#This Row],[BIRIM_FIYATLAR]])</f>
        <v>7680</v>
      </c>
      <c r="N3842">
        <v>240</v>
      </c>
      <c r="O3842" t="s">
        <v>240</v>
      </c>
      <c r="P3842">
        <v>2280</v>
      </c>
      <c r="Q3842" t="s">
        <v>180</v>
      </c>
    </row>
    <row r="3843" spans="1:17" x14ac:dyDescent="0.25">
      <c r="A3843" t="s">
        <v>1196</v>
      </c>
      <c r="B3843" t="s">
        <v>1197</v>
      </c>
      <c r="C3843" t="s">
        <v>175</v>
      </c>
      <c r="D3843" t="s">
        <v>338</v>
      </c>
      <c r="E3843" t="s">
        <v>339</v>
      </c>
      <c r="F3843">
        <v>2.4700000000000002</v>
      </c>
      <c r="G3843" t="s">
        <v>185</v>
      </c>
      <c r="H3843">
        <v>0</v>
      </c>
      <c r="I3843">
        <v>0</v>
      </c>
      <c r="J3843" s="10">
        <v>154.94999999999996</v>
      </c>
      <c r="K3843" s="10">
        <f>SUMIFS(F:F,D:D,DST_123_ÜRETİM_İHTİYAÇ_RAPORU_BURAK_YENI1309[[#This Row],[ALT_KOD]])-(SUMIFS(H:H,D:D,DST_123_ÜRETİM_İHTİYAÇ_RAPORU_BURAK_YENI1309[[#This Row],[ALT_KOD]])+AVERAGEIFS(I:I,D:D,DST_123_ÜRETİM_İHTİYAÇ_RAPORU_BURAK_YENI1309[[#This Row],[ALT_KOD]])+AVERAGEIFS(L:L,D:D,DST_123_ÜRETİM_İHTİYAÇ_RAPORU_BURAK_YENI1309[[#This Row],[ALT_KOD]]))</f>
        <v>21.899999999999991</v>
      </c>
      <c r="L3843">
        <v>60</v>
      </c>
      <c r="M3843">
        <f>IF((DST_123_ÜRETİM_İHTİYAÇ_RAPORU_BURAK_YENI1309[[#This Row],[SATINALMA]]*DST_123_ÜRETİM_İHTİYAÇ_RAPORU_BURAK_YENI1309[[#This Row],[BIRIM_FIYATLAR]])&lt;1,VALUE("0"),DST_123_ÜRETİM_İHTİYAÇ_RAPORU_BURAK_YENI1309[[#This Row],[SATINALMA]]*DST_123_ÜRETİM_İHTİYAÇ_RAPORU_BURAK_YENI1309[[#This Row],[BIRIM_FIYATLAR]])</f>
        <v>4265.0249999999987</v>
      </c>
      <c r="N3843">
        <v>194.75</v>
      </c>
      <c r="O3843" t="s">
        <v>490</v>
      </c>
      <c r="P3843">
        <v>481.03250000000003</v>
      </c>
      <c r="Q3843" t="s">
        <v>183</v>
      </c>
    </row>
    <row r="3844" spans="1:17" x14ac:dyDescent="0.25">
      <c r="A3844" t="s">
        <v>1098</v>
      </c>
      <c r="B3844" t="s">
        <v>1096</v>
      </c>
      <c r="C3844" t="s">
        <v>175</v>
      </c>
      <c r="D3844" t="s">
        <v>338</v>
      </c>
      <c r="E3844" t="s">
        <v>339</v>
      </c>
      <c r="F3844">
        <v>16.66</v>
      </c>
      <c r="G3844" t="s">
        <v>185</v>
      </c>
      <c r="H3844">
        <v>0</v>
      </c>
      <c r="I3844">
        <v>0</v>
      </c>
      <c r="J3844" s="10">
        <v>154.94999999999996</v>
      </c>
      <c r="K3844" s="10">
        <f>SUMIFS(F:F,D:D,DST_123_ÜRETİM_İHTİYAÇ_RAPORU_BURAK_YENI1309[[#This Row],[ALT_KOD]])-(SUMIFS(H:H,D:D,DST_123_ÜRETİM_İHTİYAÇ_RAPORU_BURAK_YENI1309[[#This Row],[ALT_KOD]])+AVERAGEIFS(I:I,D:D,DST_123_ÜRETİM_İHTİYAÇ_RAPORU_BURAK_YENI1309[[#This Row],[ALT_KOD]])+AVERAGEIFS(L:L,D:D,DST_123_ÜRETİM_İHTİYAÇ_RAPORU_BURAK_YENI1309[[#This Row],[ALT_KOD]]))</f>
        <v>21.899999999999991</v>
      </c>
      <c r="L3844">
        <v>60</v>
      </c>
      <c r="M3844">
        <f>IF((DST_123_ÜRETİM_İHTİYAÇ_RAPORU_BURAK_YENI1309[[#This Row],[SATINALMA]]*DST_123_ÜRETİM_İHTİYAÇ_RAPORU_BURAK_YENI1309[[#This Row],[BIRIM_FIYATLAR]])&lt;1,VALUE("0"),DST_123_ÜRETİM_İHTİYAÇ_RAPORU_BURAK_YENI1309[[#This Row],[SATINALMA]]*DST_123_ÜRETİM_İHTİYAÇ_RAPORU_BURAK_YENI1309[[#This Row],[BIRIM_FIYATLAR]])</f>
        <v>4265.0249999999987</v>
      </c>
      <c r="N3844">
        <v>194.75</v>
      </c>
      <c r="O3844" t="s">
        <v>490</v>
      </c>
      <c r="P3844">
        <v>3244.5349999999999</v>
      </c>
      <c r="Q3844" t="s">
        <v>183</v>
      </c>
    </row>
    <row r="3845" spans="1:17" x14ac:dyDescent="0.25">
      <c r="A3845" t="s">
        <v>1196</v>
      </c>
      <c r="B3845" t="s">
        <v>1197</v>
      </c>
      <c r="C3845" t="s">
        <v>175</v>
      </c>
      <c r="D3845" t="s">
        <v>391</v>
      </c>
      <c r="E3845" t="s">
        <v>392</v>
      </c>
      <c r="F3845">
        <v>10</v>
      </c>
      <c r="G3845" t="s">
        <v>176</v>
      </c>
      <c r="H3845">
        <v>0</v>
      </c>
      <c r="I3845">
        <v>0</v>
      </c>
      <c r="J3845" s="10">
        <v>58.050000000000026</v>
      </c>
      <c r="K3845" s="10">
        <f>SUMIFS(F:F,D:D,DST_123_ÜRETİM_İHTİYAÇ_RAPORU_BURAK_YENI1309[[#This Row],[ALT_KOD]])-(SUMIFS(H:H,D:D,DST_123_ÜRETİM_İHTİYAÇ_RAPORU_BURAK_YENI1309[[#This Row],[ALT_KOD]])+AVERAGEIFS(I:I,D:D,DST_123_ÜRETİM_İHTİYAÇ_RAPORU_BURAK_YENI1309[[#This Row],[ALT_KOD]])+AVERAGEIFS(L:L,D:D,DST_123_ÜRETİM_İHTİYAÇ_RAPORU_BURAK_YENI1309[[#This Row],[ALT_KOD]]))</f>
        <v>144.72000000000003</v>
      </c>
      <c r="L3845">
        <v>37</v>
      </c>
      <c r="M3845">
        <f>IF((DST_123_ÜRETİM_İHTİYAÇ_RAPORU_BURAK_YENI1309[[#This Row],[SATINALMA]]*DST_123_ÜRETİM_İHTİYAÇ_RAPORU_BURAK_YENI1309[[#This Row],[BIRIM_FIYATLAR]])&lt;1,VALUE("0"),DST_123_ÜRETİM_İHTİYAÇ_RAPORU_BURAK_YENI1309[[#This Row],[SATINALMA]]*DST_123_ÜRETİM_İHTİYAÇ_RAPORU_BURAK_YENI1309[[#This Row],[BIRIM_FIYATLAR]])</f>
        <v>261099.48240000007</v>
      </c>
      <c r="N3845">
        <v>1804.17</v>
      </c>
      <c r="O3845" t="s">
        <v>223</v>
      </c>
      <c r="P3845">
        <v>18041.7</v>
      </c>
      <c r="Q3845" t="s">
        <v>181</v>
      </c>
    </row>
    <row r="3846" spans="1:17" x14ac:dyDescent="0.25">
      <c r="A3846" t="s">
        <v>1099</v>
      </c>
      <c r="B3846" t="s">
        <v>1055</v>
      </c>
      <c r="C3846" t="s">
        <v>175</v>
      </c>
      <c r="D3846" t="s">
        <v>391</v>
      </c>
      <c r="E3846" t="s">
        <v>392</v>
      </c>
      <c r="F3846">
        <v>10</v>
      </c>
      <c r="G3846" t="s">
        <v>176</v>
      </c>
      <c r="H3846">
        <v>0</v>
      </c>
      <c r="I3846">
        <v>0</v>
      </c>
      <c r="J3846" s="10">
        <v>58.050000000000026</v>
      </c>
      <c r="K3846" s="10">
        <f>SUMIFS(F:F,D:D,DST_123_ÜRETİM_İHTİYAÇ_RAPORU_BURAK_YENI1309[[#This Row],[ALT_KOD]])-(SUMIFS(H:H,D:D,DST_123_ÜRETİM_İHTİYAÇ_RAPORU_BURAK_YENI1309[[#This Row],[ALT_KOD]])+AVERAGEIFS(I:I,D:D,DST_123_ÜRETİM_İHTİYAÇ_RAPORU_BURAK_YENI1309[[#This Row],[ALT_KOD]])+AVERAGEIFS(L:L,D:D,DST_123_ÜRETİM_İHTİYAÇ_RAPORU_BURAK_YENI1309[[#This Row],[ALT_KOD]]))</f>
        <v>144.72000000000003</v>
      </c>
      <c r="L3846">
        <v>37</v>
      </c>
      <c r="M3846">
        <f>IF((DST_123_ÜRETİM_İHTİYAÇ_RAPORU_BURAK_YENI1309[[#This Row],[SATINALMA]]*DST_123_ÜRETİM_İHTİYAÇ_RAPORU_BURAK_YENI1309[[#This Row],[BIRIM_FIYATLAR]])&lt;1,VALUE("0"),DST_123_ÜRETİM_İHTİYAÇ_RAPORU_BURAK_YENI1309[[#This Row],[SATINALMA]]*DST_123_ÜRETİM_İHTİYAÇ_RAPORU_BURAK_YENI1309[[#This Row],[BIRIM_FIYATLAR]])</f>
        <v>261099.48240000007</v>
      </c>
      <c r="N3846">
        <v>1804.17</v>
      </c>
      <c r="O3846" t="s">
        <v>223</v>
      </c>
      <c r="P3846">
        <v>18041.7</v>
      </c>
      <c r="Q3846" t="s">
        <v>181</v>
      </c>
    </row>
    <row r="3847" spans="1:17" x14ac:dyDescent="0.25">
      <c r="A3847" t="s">
        <v>1098</v>
      </c>
      <c r="B3847" t="s">
        <v>1096</v>
      </c>
      <c r="C3847" t="s">
        <v>175</v>
      </c>
      <c r="D3847" t="s">
        <v>508</v>
      </c>
      <c r="E3847" t="s">
        <v>509</v>
      </c>
      <c r="F3847">
        <v>1</v>
      </c>
      <c r="G3847" t="s">
        <v>176</v>
      </c>
      <c r="H3847">
        <v>0</v>
      </c>
      <c r="I3847">
        <v>4</v>
      </c>
      <c r="J3847" s="10">
        <v>10</v>
      </c>
      <c r="K3847" s="10">
        <f>SUMIFS(F:F,D:D,DST_123_ÜRETİM_İHTİYAÇ_RAPORU_BURAK_YENI1309[[#This Row],[ALT_KOD]])-(SUMIFS(H:H,D:D,DST_123_ÜRETİM_İHTİYAÇ_RAPORU_BURAK_YENI1309[[#This Row],[ALT_KOD]])+AVERAGEIFS(I:I,D:D,DST_123_ÜRETİM_İHTİYAÇ_RAPORU_BURAK_YENI1309[[#This Row],[ALT_KOD]])+AVERAGEIFS(L:L,D:D,DST_123_ÜRETİM_İHTİYAÇ_RAPORU_BURAK_YENI1309[[#This Row],[ALT_KOD]]))</f>
        <v>1</v>
      </c>
      <c r="L3847">
        <v>7</v>
      </c>
      <c r="M3847">
        <f>IF((DST_123_ÜRETİM_İHTİYAÇ_RAPORU_BURAK_YENI1309[[#This Row],[SATINALMA]]*DST_123_ÜRETİM_İHTİYAÇ_RAPORU_BURAK_YENI1309[[#This Row],[BIRIM_FIYATLAR]])&lt;1,VALUE("0"),DST_123_ÜRETİM_İHTİYAÇ_RAPORU_BURAK_YENI1309[[#This Row],[SATINALMA]]*DST_123_ÜRETİM_İHTİYAÇ_RAPORU_BURAK_YENI1309[[#This Row],[BIRIM_FIYATLAR]])</f>
        <v>1535.25</v>
      </c>
      <c r="N3847">
        <v>1535.25</v>
      </c>
      <c r="O3847" t="s">
        <v>507</v>
      </c>
      <c r="P3847">
        <v>1535.25</v>
      </c>
      <c r="Q3847" t="s">
        <v>221</v>
      </c>
    </row>
    <row r="3848" spans="1:17" x14ac:dyDescent="0.25">
      <c r="A3848" t="s">
        <v>1150</v>
      </c>
      <c r="B3848" t="s">
        <v>1145</v>
      </c>
      <c r="C3848" t="s">
        <v>175</v>
      </c>
      <c r="D3848" t="s">
        <v>938</v>
      </c>
      <c r="E3848" t="s">
        <v>939</v>
      </c>
      <c r="F3848">
        <v>4</v>
      </c>
      <c r="G3848" t="s">
        <v>176</v>
      </c>
      <c r="H3848">
        <v>0</v>
      </c>
      <c r="I3848">
        <v>0</v>
      </c>
      <c r="J3848" s="10">
        <v>4</v>
      </c>
      <c r="K3848" s="10">
        <f>SUMIFS(F:F,D:D,DST_123_ÜRETİM_İHTİYAÇ_RAPORU_BURAK_YENI1309[[#This Row],[ALT_KOD]])-(SUMIFS(H:H,D:D,DST_123_ÜRETİM_İHTİYAÇ_RAPORU_BURAK_YENI1309[[#This Row],[ALT_KOD]])+AVERAGEIFS(I:I,D:D,DST_123_ÜRETİM_İHTİYAÇ_RAPORU_BURAK_YENI1309[[#This Row],[ALT_KOD]])+AVERAGEIFS(L:L,D:D,DST_123_ÜRETİM_İHTİYAÇ_RAPORU_BURAK_YENI1309[[#This Row],[ALT_KOD]]))</f>
        <v>16</v>
      </c>
      <c r="L3848">
        <v>0</v>
      </c>
      <c r="M3848">
        <f>IF((DST_123_ÜRETİM_İHTİYAÇ_RAPORU_BURAK_YENI1309[[#This Row],[SATINALMA]]*DST_123_ÜRETİM_İHTİYAÇ_RAPORU_BURAK_YENI1309[[#This Row],[BIRIM_FIYATLAR]])&lt;1,VALUE("0"),DST_123_ÜRETİM_İHTİYAÇ_RAPORU_BURAK_YENI1309[[#This Row],[SATINALMA]]*DST_123_ÜRETİM_İHTİYAÇ_RAPORU_BURAK_YENI1309[[#This Row],[BIRIM_FIYATLAR]])</f>
        <v>1440</v>
      </c>
      <c r="N3848">
        <v>90</v>
      </c>
      <c r="O3848" t="s">
        <v>940</v>
      </c>
      <c r="P3848">
        <v>360</v>
      </c>
      <c r="Q3848" t="s">
        <v>222</v>
      </c>
    </row>
    <row r="3849" spans="1:17" x14ac:dyDescent="0.25">
      <c r="A3849" t="s">
        <v>1150</v>
      </c>
      <c r="B3849" t="s">
        <v>1145</v>
      </c>
      <c r="C3849" t="s">
        <v>175</v>
      </c>
      <c r="D3849" t="s">
        <v>60</v>
      </c>
      <c r="E3849" t="s">
        <v>61</v>
      </c>
      <c r="F3849">
        <v>1</v>
      </c>
      <c r="G3849" t="s">
        <v>176</v>
      </c>
      <c r="H3849">
        <v>0</v>
      </c>
      <c r="I3849">
        <v>17</v>
      </c>
      <c r="J3849" s="10">
        <v>11</v>
      </c>
      <c r="K3849" s="10">
        <f>SUMIFS(F:F,D:D,DST_123_ÜRETİM_İHTİYAÇ_RAPORU_BURAK_YENI1309[[#This Row],[ALT_KOD]])-(SUMIFS(H:H,D:D,DST_123_ÜRETİM_İHTİYAÇ_RAPORU_BURAK_YENI1309[[#This Row],[ALT_KOD]])+AVERAGEIFS(I:I,D:D,DST_123_ÜRETİM_İHTİYAÇ_RAPORU_BURAK_YENI1309[[#This Row],[ALT_KOD]])+AVERAGEIFS(L:L,D:D,DST_123_ÜRETİM_İHTİYAÇ_RAPORU_BURAK_YENI1309[[#This Row],[ALT_KOD]]))</f>
        <v>-5</v>
      </c>
      <c r="L3849">
        <v>0</v>
      </c>
      <c r="M3849">
        <f>IF((DST_123_ÜRETİM_İHTİYAÇ_RAPORU_BURAK_YENI1309[[#This Row],[SATINALMA]]*DST_123_ÜRETİM_İHTİYAÇ_RAPORU_BURAK_YENI1309[[#This Row],[BIRIM_FIYATLAR]])&lt;1,VALUE("0"),DST_123_ÜRETİM_İHTİYAÇ_RAPORU_BURAK_YENI1309[[#This Row],[SATINALMA]]*DST_123_ÜRETİM_İHTİYAÇ_RAPORU_BURAK_YENI1309[[#This Row],[BIRIM_FIYATLAR]])</f>
        <v>0</v>
      </c>
      <c r="N3849">
        <v>115.6</v>
      </c>
      <c r="O3849" t="s">
        <v>826</v>
      </c>
      <c r="P3849">
        <v>115.6</v>
      </c>
      <c r="Q3849" t="s">
        <v>221</v>
      </c>
    </row>
    <row r="3850" spans="1:17" x14ac:dyDescent="0.25">
      <c r="A3850" t="s">
        <v>1150</v>
      </c>
      <c r="B3850" t="s">
        <v>1145</v>
      </c>
      <c r="C3850" t="s">
        <v>175</v>
      </c>
      <c r="D3850" t="s">
        <v>406</v>
      </c>
      <c r="E3850" t="s">
        <v>407</v>
      </c>
      <c r="F3850">
        <v>2</v>
      </c>
      <c r="G3850" t="s">
        <v>176</v>
      </c>
      <c r="H3850">
        <v>0</v>
      </c>
      <c r="I3850">
        <v>34</v>
      </c>
      <c r="J3850" s="10">
        <v>62</v>
      </c>
      <c r="K3850" s="10">
        <f>SUMIFS(F:F,D:D,DST_123_ÜRETİM_İHTİYAÇ_RAPORU_BURAK_YENI1309[[#This Row],[ALT_KOD]])-(SUMIFS(H:H,D:D,DST_123_ÜRETİM_İHTİYAÇ_RAPORU_BURAK_YENI1309[[#This Row],[ALT_KOD]])+AVERAGEIFS(I:I,D:D,DST_123_ÜRETİM_İHTİYAÇ_RAPORU_BURAK_YENI1309[[#This Row],[ALT_KOD]])+AVERAGEIFS(L:L,D:D,DST_123_ÜRETİM_İHTİYAÇ_RAPORU_BURAK_YENI1309[[#This Row],[ALT_KOD]]))</f>
        <v>-12</v>
      </c>
      <c r="L3850">
        <v>0</v>
      </c>
      <c r="M3850">
        <f>IF((DST_123_ÜRETİM_İHTİYAÇ_RAPORU_BURAK_YENI1309[[#This Row],[SATINALMA]]*DST_123_ÜRETİM_İHTİYAÇ_RAPORU_BURAK_YENI1309[[#This Row],[BIRIM_FIYATLAR]])&lt;1,VALUE("0"),DST_123_ÜRETİM_İHTİYAÇ_RAPORU_BURAK_YENI1309[[#This Row],[SATINALMA]]*DST_123_ÜRETİM_İHTİYAÇ_RAPORU_BURAK_YENI1309[[#This Row],[BIRIM_FIYATLAR]])</f>
        <v>0</v>
      </c>
      <c r="N3850">
        <v>19.07</v>
      </c>
      <c r="O3850" t="s">
        <v>826</v>
      </c>
      <c r="P3850">
        <v>38.14</v>
      </c>
      <c r="Q3850" t="s">
        <v>221</v>
      </c>
    </row>
    <row r="3851" spans="1:17" x14ac:dyDescent="0.25">
      <c r="A3851" t="s">
        <v>1150</v>
      </c>
      <c r="B3851" t="s">
        <v>1145</v>
      </c>
      <c r="C3851" t="s">
        <v>175</v>
      </c>
      <c r="D3851" t="s">
        <v>618</v>
      </c>
      <c r="E3851" t="s">
        <v>827</v>
      </c>
      <c r="F3851">
        <v>1</v>
      </c>
      <c r="G3851" t="s">
        <v>176</v>
      </c>
      <c r="H3851">
        <v>0</v>
      </c>
      <c r="I3851">
        <v>37</v>
      </c>
      <c r="J3851" s="10">
        <v>2</v>
      </c>
      <c r="K3851" s="10">
        <f>SUMIFS(F:F,D:D,DST_123_ÜRETİM_İHTİYAÇ_RAPORU_BURAK_YENI1309[[#This Row],[ALT_KOD]])-(SUMIFS(H:H,D:D,DST_123_ÜRETİM_İHTİYAÇ_RAPORU_BURAK_YENI1309[[#This Row],[ALT_KOD]])+AVERAGEIFS(I:I,D:D,DST_123_ÜRETİM_İHTİYAÇ_RAPORU_BURAK_YENI1309[[#This Row],[ALT_KOD]])+AVERAGEIFS(L:L,D:D,DST_123_ÜRETİM_İHTİYAÇ_RAPORU_BURAK_YENI1309[[#This Row],[ALT_KOD]]))</f>
        <v>-17</v>
      </c>
      <c r="L3851">
        <v>0</v>
      </c>
      <c r="M3851">
        <f>IF((DST_123_ÜRETİM_İHTİYAÇ_RAPORU_BURAK_YENI1309[[#This Row],[SATINALMA]]*DST_123_ÜRETİM_İHTİYAÇ_RAPORU_BURAK_YENI1309[[#This Row],[BIRIM_FIYATLAR]])&lt;1,VALUE("0"),DST_123_ÜRETİM_İHTİYAÇ_RAPORU_BURAK_YENI1309[[#This Row],[SATINALMA]]*DST_123_ÜRETİM_İHTİYAÇ_RAPORU_BURAK_YENI1309[[#This Row],[BIRIM_FIYATLAR]])</f>
        <v>0</v>
      </c>
      <c r="N3851">
        <v>82.6</v>
      </c>
      <c r="O3851" t="s">
        <v>821</v>
      </c>
      <c r="P3851">
        <v>82.6</v>
      </c>
      <c r="Q3851" t="s">
        <v>178</v>
      </c>
    </row>
    <row r="3852" spans="1:17" x14ac:dyDescent="0.25">
      <c r="A3852" t="s">
        <v>1149</v>
      </c>
      <c r="B3852" t="s">
        <v>1145</v>
      </c>
      <c r="C3852" t="s">
        <v>175</v>
      </c>
      <c r="D3852" t="s">
        <v>299</v>
      </c>
      <c r="E3852" t="s">
        <v>300</v>
      </c>
      <c r="F3852">
        <v>18</v>
      </c>
      <c r="G3852" t="s">
        <v>176</v>
      </c>
      <c r="H3852">
        <v>0</v>
      </c>
      <c r="I3852">
        <v>180</v>
      </c>
      <c r="J3852" s="10">
        <v>80</v>
      </c>
      <c r="K3852" s="10">
        <f>SUMIFS(F:F,D:D,DST_123_ÜRETİM_İHTİYAÇ_RAPORU_BURAK_YENI1309[[#This Row],[ALT_KOD]])-(SUMIFS(H:H,D:D,DST_123_ÜRETİM_İHTİYAÇ_RAPORU_BURAK_YENI1309[[#This Row],[ALT_KOD]])+AVERAGEIFS(I:I,D:D,DST_123_ÜRETİM_İHTİYAÇ_RAPORU_BURAK_YENI1309[[#This Row],[ALT_KOD]])+AVERAGEIFS(L:L,D:D,DST_123_ÜRETİM_İHTİYAÇ_RAPORU_BURAK_YENI1309[[#This Row],[ALT_KOD]]))</f>
        <v>32</v>
      </c>
      <c r="L3852">
        <v>0</v>
      </c>
      <c r="M3852">
        <f>IF((DST_123_ÜRETİM_İHTİYAÇ_RAPORU_BURAK_YENI1309[[#This Row],[SATINALMA]]*DST_123_ÜRETİM_İHTİYAÇ_RAPORU_BURAK_YENI1309[[#This Row],[BIRIM_FIYATLAR]])&lt;1,VALUE("0"),DST_123_ÜRETİM_İHTİYAÇ_RAPORU_BURAK_YENI1309[[#This Row],[SATINALMA]]*DST_123_ÜRETİM_İHTİYAÇ_RAPORU_BURAK_YENI1309[[#This Row],[BIRIM_FIYATLAR]])</f>
        <v>7680</v>
      </c>
      <c r="N3852">
        <v>240</v>
      </c>
      <c r="O3852" t="s">
        <v>240</v>
      </c>
      <c r="P3852">
        <v>4320</v>
      </c>
      <c r="Q3852" t="s">
        <v>180</v>
      </c>
    </row>
    <row r="3853" spans="1:17" x14ac:dyDescent="0.25">
      <c r="A3853" t="s">
        <v>1142</v>
      </c>
      <c r="B3853" t="s">
        <v>1056</v>
      </c>
      <c r="C3853" t="s">
        <v>175</v>
      </c>
      <c r="D3853" t="s">
        <v>512</v>
      </c>
      <c r="E3853" t="s">
        <v>513</v>
      </c>
      <c r="F3853">
        <v>2</v>
      </c>
      <c r="G3853" t="s">
        <v>176</v>
      </c>
      <c r="H3853">
        <v>0</v>
      </c>
      <c r="I3853">
        <v>4</v>
      </c>
      <c r="J3853" s="10">
        <v>10</v>
      </c>
      <c r="K3853" s="10">
        <f>SUMIFS(F:F,D:D,DST_123_ÜRETİM_İHTİYAÇ_RAPORU_BURAK_YENI1309[[#This Row],[ALT_KOD]])-(SUMIFS(H:H,D:D,DST_123_ÜRETİM_İHTİYAÇ_RAPORU_BURAK_YENI1309[[#This Row],[ALT_KOD]])+AVERAGEIFS(I:I,D:D,DST_123_ÜRETİM_İHTİYAÇ_RAPORU_BURAK_YENI1309[[#This Row],[ALT_KOD]])+AVERAGEIFS(L:L,D:D,DST_123_ÜRETİM_İHTİYAÇ_RAPORU_BURAK_YENI1309[[#This Row],[ALT_KOD]]))</f>
        <v>26</v>
      </c>
      <c r="L3853">
        <v>0</v>
      </c>
      <c r="M3853">
        <f>IF((DST_123_ÜRETİM_İHTİYAÇ_RAPORU_BURAK_YENI1309[[#This Row],[SATINALMA]]*DST_123_ÜRETİM_İHTİYAÇ_RAPORU_BURAK_YENI1309[[#This Row],[BIRIM_FIYATLAR]])&lt;1,VALUE("0"),DST_123_ÜRETİM_İHTİYAÇ_RAPORU_BURAK_YENI1309[[#This Row],[SATINALMA]]*DST_123_ÜRETİM_İHTİYAÇ_RAPORU_BURAK_YENI1309[[#This Row],[BIRIM_FIYATLAR]])</f>
        <v>41686.58</v>
      </c>
      <c r="N3853">
        <v>1603.33</v>
      </c>
      <c r="O3853" t="s">
        <v>262</v>
      </c>
      <c r="P3853">
        <v>3206.66</v>
      </c>
      <c r="Q3853" t="s">
        <v>221</v>
      </c>
    </row>
    <row r="3854" spans="1:17" x14ac:dyDescent="0.25">
      <c r="A3854" t="s">
        <v>1097</v>
      </c>
      <c r="B3854" t="s">
        <v>1055</v>
      </c>
      <c r="C3854" t="s">
        <v>175</v>
      </c>
      <c r="D3854" t="s">
        <v>512</v>
      </c>
      <c r="E3854" t="s">
        <v>513</v>
      </c>
      <c r="F3854">
        <v>2</v>
      </c>
      <c r="G3854" t="s">
        <v>176</v>
      </c>
      <c r="H3854">
        <v>2</v>
      </c>
      <c r="I3854">
        <v>4</v>
      </c>
      <c r="J3854" s="10">
        <v>10</v>
      </c>
      <c r="K3854" s="10">
        <f>SUMIFS(F:F,D:D,DST_123_ÜRETİM_İHTİYAÇ_RAPORU_BURAK_YENI1309[[#This Row],[ALT_KOD]])-(SUMIFS(H:H,D:D,DST_123_ÜRETİM_İHTİYAÇ_RAPORU_BURAK_YENI1309[[#This Row],[ALT_KOD]])+AVERAGEIFS(I:I,D:D,DST_123_ÜRETİM_İHTİYAÇ_RAPORU_BURAK_YENI1309[[#This Row],[ALT_KOD]])+AVERAGEIFS(L:L,D:D,DST_123_ÜRETİM_İHTİYAÇ_RAPORU_BURAK_YENI1309[[#This Row],[ALT_KOD]]))</f>
        <v>26</v>
      </c>
      <c r="L3854">
        <v>0</v>
      </c>
      <c r="M3854">
        <f>IF((DST_123_ÜRETİM_İHTİYAÇ_RAPORU_BURAK_YENI1309[[#This Row],[SATINALMA]]*DST_123_ÜRETİM_İHTİYAÇ_RAPORU_BURAK_YENI1309[[#This Row],[BIRIM_FIYATLAR]])&lt;1,VALUE("0"),DST_123_ÜRETİM_İHTİYAÇ_RAPORU_BURAK_YENI1309[[#This Row],[SATINALMA]]*DST_123_ÜRETİM_İHTİYAÇ_RAPORU_BURAK_YENI1309[[#This Row],[BIRIM_FIYATLAR]])</f>
        <v>41686.58</v>
      </c>
      <c r="N3854">
        <v>1603.33</v>
      </c>
      <c r="O3854" t="s">
        <v>262</v>
      </c>
      <c r="P3854">
        <v>3206.66</v>
      </c>
      <c r="Q3854" t="s">
        <v>221</v>
      </c>
    </row>
    <row r="3855" spans="1:17" x14ac:dyDescent="0.25">
      <c r="A3855" t="s">
        <v>1143</v>
      </c>
      <c r="B3855" t="s">
        <v>1056</v>
      </c>
      <c r="C3855" t="s">
        <v>175</v>
      </c>
      <c r="D3855" t="s">
        <v>792</v>
      </c>
      <c r="E3855" t="s">
        <v>136</v>
      </c>
      <c r="F3855">
        <v>8</v>
      </c>
      <c r="G3855" t="s">
        <v>176</v>
      </c>
      <c r="H3855">
        <v>0</v>
      </c>
      <c r="I3855">
        <v>524</v>
      </c>
      <c r="J3855" s="10">
        <v>352</v>
      </c>
      <c r="K3855" s="10">
        <f>SUMIFS(F:F,D:D,DST_123_ÜRETİM_İHTİYAÇ_RAPORU_BURAK_YENI1309[[#This Row],[ALT_KOD]])-(SUMIFS(H:H,D:D,DST_123_ÜRETİM_İHTİYAÇ_RAPORU_BURAK_YENI1309[[#This Row],[ALT_KOD]])+AVERAGEIFS(I:I,D:D,DST_123_ÜRETİM_İHTİYAÇ_RAPORU_BURAK_YENI1309[[#This Row],[ALT_KOD]])+AVERAGEIFS(L:L,D:D,DST_123_ÜRETİM_İHTİYAÇ_RAPORU_BURAK_YENI1309[[#This Row],[ALT_KOD]]))</f>
        <v>-374</v>
      </c>
      <c r="L3855">
        <v>0</v>
      </c>
      <c r="M3855">
        <f>IF((DST_123_ÜRETİM_İHTİYAÇ_RAPORU_BURAK_YENI1309[[#This Row],[SATINALMA]]*DST_123_ÜRETİM_İHTİYAÇ_RAPORU_BURAK_YENI1309[[#This Row],[BIRIM_FIYATLAR]])&lt;1,VALUE("0"),DST_123_ÜRETİM_İHTİYAÇ_RAPORU_BURAK_YENI1309[[#This Row],[SATINALMA]]*DST_123_ÜRETİM_İHTİYAÇ_RAPORU_BURAK_YENI1309[[#This Row],[BIRIM_FIYATLAR]])</f>
        <v>0</v>
      </c>
      <c r="N3855">
        <v>8.1</v>
      </c>
      <c r="O3855" t="s">
        <v>504</v>
      </c>
      <c r="P3855">
        <v>64.8</v>
      </c>
      <c r="Q3855" t="s">
        <v>221</v>
      </c>
    </row>
    <row r="3856" spans="1:17" x14ac:dyDescent="0.25">
      <c r="A3856" t="s">
        <v>1064</v>
      </c>
      <c r="B3856" t="s">
        <v>1055</v>
      </c>
      <c r="C3856" t="s">
        <v>175</v>
      </c>
      <c r="D3856" t="s">
        <v>406</v>
      </c>
      <c r="E3856" t="s">
        <v>407</v>
      </c>
      <c r="F3856">
        <v>1</v>
      </c>
      <c r="G3856" t="s">
        <v>176</v>
      </c>
      <c r="H3856">
        <v>1</v>
      </c>
      <c r="I3856">
        <v>34</v>
      </c>
      <c r="J3856" s="10">
        <v>62</v>
      </c>
      <c r="K3856" s="10">
        <f>SUMIFS(F:F,D:D,DST_123_ÜRETİM_İHTİYAÇ_RAPORU_BURAK_YENI1309[[#This Row],[ALT_KOD]])-(SUMIFS(H:H,D:D,DST_123_ÜRETİM_İHTİYAÇ_RAPORU_BURAK_YENI1309[[#This Row],[ALT_KOD]])+AVERAGEIFS(I:I,D:D,DST_123_ÜRETİM_İHTİYAÇ_RAPORU_BURAK_YENI1309[[#This Row],[ALT_KOD]])+AVERAGEIFS(L:L,D:D,DST_123_ÜRETİM_İHTİYAÇ_RAPORU_BURAK_YENI1309[[#This Row],[ALT_KOD]]))</f>
        <v>-12</v>
      </c>
      <c r="L3856">
        <v>0</v>
      </c>
      <c r="M3856">
        <f>IF((DST_123_ÜRETİM_İHTİYAÇ_RAPORU_BURAK_YENI1309[[#This Row],[SATINALMA]]*DST_123_ÜRETİM_İHTİYAÇ_RAPORU_BURAK_YENI1309[[#This Row],[BIRIM_FIYATLAR]])&lt;1,VALUE("0"),DST_123_ÜRETİM_İHTİYAÇ_RAPORU_BURAK_YENI1309[[#This Row],[SATINALMA]]*DST_123_ÜRETİM_İHTİYAÇ_RAPORU_BURAK_YENI1309[[#This Row],[BIRIM_FIYATLAR]])</f>
        <v>0</v>
      </c>
      <c r="N3856">
        <v>19.07</v>
      </c>
      <c r="O3856" t="s">
        <v>826</v>
      </c>
      <c r="P3856">
        <v>19.07</v>
      </c>
      <c r="Q3856" t="s">
        <v>221</v>
      </c>
    </row>
    <row r="3857" spans="1:17" x14ac:dyDescent="0.25">
      <c r="A3857" t="s">
        <v>1149</v>
      </c>
      <c r="B3857" t="s">
        <v>1145</v>
      </c>
      <c r="C3857" t="s">
        <v>175</v>
      </c>
      <c r="D3857" t="s">
        <v>766</v>
      </c>
      <c r="E3857" t="s">
        <v>767</v>
      </c>
      <c r="F3857">
        <v>6</v>
      </c>
      <c r="G3857" t="s">
        <v>176</v>
      </c>
      <c r="H3857">
        <v>0</v>
      </c>
      <c r="I3857">
        <v>0</v>
      </c>
      <c r="J3857" s="10">
        <v>0</v>
      </c>
      <c r="K3857" s="10">
        <f>SUMIFS(F:F,D:D,DST_123_ÜRETİM_İHTİYAÇ_RAPORU_BURAK_YENI1309[[#This Row],[ALT_KOD]])-(SUMIFS(H:H,D:D,DST_123_ÜRETİM_İHTİYAÇ_RAPORU_BURAK_YENI1309[[#This Row],[ALT_KOD]])+AVERAGEIFS(I:I,D:D,DST_123_ÜRETİM_İHTİYAÇ_RAPORU_BURAK_YENI1309[[#This Row],[ALT_KOD]])+AVERAGEIFS(L:L,D:D,DST_123_ÜRETİM_İHTİYAÇ_RAPORU_BURAK_YENI1309[[#This Row],[ALT_KOD]]))</f>
        <v>54</v>
      </c>
      <c r="L3857">
        <v>0</v>
      </c>
      <c r="M3857">
        <f>IF((DST_123_ÜRETİM_İHTİYAÇ_RAPORU_BURAK_YENI1309[[#This Row],[SATINALMA]]*DST_123_ÜRETİM_İHTİYAÇ_RAPORU_BURAK_YENI1309[[#This Row],[BIRIM_FIYATLAR]])&lt;1,VALUE("0"),DST_123_ÜRETİM_İHTİYAÇ_RAPORU_BURAK_YENI1309[[#This Row],[SATINALMA]]*DST_123_ÜRETİM_İHTİYAÇ_RAPORU_BURAK_YENI1309[[#This Row],[BIRIM_FIYATLAR]])</f>
        <v>37.799999999999997</v>
      </c>
      <c r="N3857">
        <v>0.7</v>
      </c>
      <c r="O3857" t="s">
        <v>220</v>
      </c>
      <c r="P3857">
        <v>4.1999999999999993</v>
      </c>
      <c r="Q3857" t="s">
        <v>221</v>
      </c>
    </row>
    <row r="3858" spans="1:17" x14ac:dyDescent="0.25">
      <c r="A3858" t="s">
        <v>1146</v>
      </c>
      <c r="B3858" t="s">
        <v>1145</v>
      </c>
      <c r="C3858" t="s">
        <v>175</v>
      </c>
      <c r="D3858" t="s">
        <v>766</v>
      </c>
      <c r="E3858" t="s">
        <v>767</v>
      </c>
      <c r="F3858">
        <v>6</v>
      </c>
      <c r="G3858" t="s">
        <v>176</v>
      </c>
      <c r="H3858">
        <v>0</v>
      </c>
      <c r="I3858">
        <v>0</v>
      </c>
      <c r="J3858" s="10">
        <v>0</v>
      </c>
      <c r="K3858" s="10">
        <f>SUMIFS(F:F,D:D,DST_123_ÜRETİM_İHTİYAÇ_RAPORU_BURAK_YENI1309[[#This Row],[ALT_KOD]])-(SUMIFS(H:H,D:D,DST_123_ÜRETİM_İHTİYAÇ_RAPORU_BURAK_YENI1309[[#This Row],[ALT_KOD]])+AVERAGEIFS(I:I,D:D,DST_123_ÜRETİM_İHTİYAÇ_RAPORU_BURAK_YENI1309[[#This Row],[ALT_KOD]])+AVERAGEIFS(L:L,D:D,DST_123_ÜRETİM_İHTİYAÇ_RAPORU_BURAK_YENI1309[[#This Row],[ALT_KOD]]))</f>
        <v>54</v>
      </c>
      <c r="L3858">
        <v>0</v>
      </c>
      <c r="M3858">
        <f>IF((DST_123_ÜRETİM_İHTİYAÇ_RAPORU_BURAK_YENI1309[[#This Row],[SATINALMA]]*DST_123_ÜRETİM_İHTİYAÇ_RAPORU_BURAK_YENI1309[[#This Row],[BIRIM_FIYATLAR]])&lt;1,VALUE("0"),DST_123_ÜRETİM_İHTİYAÇ_RAPORU_BURAK_YENI1309[[#This Row],[SATINALMA]]*DST_123_ÜRETİM_İHTİYAÇ_RAPORU_BURAK_YENI1309[[#This Row],[BIRIM_FIYATLAR]])</f>
        <v>37.799999999999997</v>
      </c>
      <c r="N3858">
        <v>0.7</v>
      </c>
      <c r="O3858" t="s">
        <v>220</v>
      </c>
      <c r="P3858">
        <v>4.1999999999999993</v>
      </c>
      <c r="Q3858" t="s">
        <v>221</v>
      </c>
    </row>
    <row r="3859" spans="1:17" x14ac:dyDescent="0.25">
      <c r="A3859" t="s">
        <v>1149</v>
      </c>
      <c r="B3859" t="s">
        <v>1145</v>
      </c>
      <c r="C3859" t="s">
        <v>175</v>
      </c>
      <c r="D3859" t="s">
        <v>139</v>
      </c>
      <c r="E3859" t="s">
        <v>140</v>
      </c>
      <c r="F3859">
        <v>0.5</v>
      </c>
      <c r="G3859" t="s">
        <v>176</v>
      </c>
      <c r="H3859">
        <v>0</v>
      </c>
      <c r="I3859">
        <v>0</v>
      </c>
      <c r="J3859" s="10">
        <v>6.1000000000000023</v>
      </c>
      <c r="K3859" s="10">
        <f>SUMIFS(F:F,D:D,DST_123_ÜRETİM_İHTİYAÇ_RAPORU_BURAK_YENI1309[[#This Row],[ALT_KOD]])-(SUMIFS(H:H,D:D,DST_123_ÜRETİM_İHTİYAÇ_RAPORU_BURAK_YENI1309[[#This Row],[ALT_KOD]])+AVERAGEIFS(I:I,D:D,DST_123_ÜRETİM_İHTİYAÇ_RAPORU_BURAK_YENI1309[[#This Row],[ALT_KOD]])+AVERAGEIFS(L:L,D:D,DST_123_ÜRETİM_İHTİYAÇ_RAPORU_BURAK_YENI1309[[#This Row],[ALT_KOD]]))</f>
        <v>8.8000000000000007</v>
      </c>
      <c r="L3859">
        <v>5</v>
      </c>
      <c r="M3859">
        <f>IF((DST_123_ÜRETİM_İHTİYAÇ_RAPORU_BURAK_YENI1309[[#This Row],[SATINALMA]]*DST_123_ÜRETİM_İHTİYAÇ_RAPORU_BURAK_YENI1309[[#This Row],[BIRIM_FIYATLAR]])&lt;1,VALUE("0"),DST_123_ÜRETİM_İHTİYAÇ_RAPORU_BURAK_YENI1309[[#This Row],[SATINALMA]]*DST_123_ÜRETİM_İHTİYAÇ_RAPORU_BURAK_YENI1309[[#This Row],[BIRIM_FIYATLAR]])</f>
        <v>6056.1600000000008</v>
      </c>
      <c r="N3859">
        <v>688.2</v>
      </c>
      <c r="O3859" t="s">
        <v>672</v>
      </c>
      <c r="P3859">
        <v>344.1</v>
      </c>
      <c r="Q3859" t="s">
        <v>184</v>
      </c>
    </row>
    <row r="3860" spans="1:17" x14ac:dyDescent="0.25">
      <c r="A3860" t="s">
        <v>1144</v>
      </c>
      <c r="B3860" t="s">
        <v>1145</v>
      </c>
      <c r="C3860" t="s">
        <v>175</v>
      </c>
      <c r="D3860" t="s">
        <v>145</v>
      </c>
      <c r="E3860" t="s">
        <v>146</v>
      </c>
      <c r="F3860">
        <v>3</v>
      </c>
      <c r="G3860" t="s">
        <v>176</v>
      </c>
      <c r="H3860">
        <v>0</v>
      </c>
      <c r="I3860">
        <v>0</v>
      </c>
      <c r="J3860" s="10">
        <v>4.0000000000000497</v>
      </c>
      <c r="K3860" s="10">
        <f>SUMIFS(F:F,D:D,DST_123_ÜRETİM_İHTİYAÇ_RAPORU_BURAK_YENI1309[[#This Row],[ALT_KOD]])-(SUMIFS(H:H,D:D,DST_123_ÜRETİM_İHTİYAÇ_RAPORU_BURAK_YENI1309[[#This Row],[ALT_KOD]])+AVERAGEIFS(I:I,D:D,DST_123_ÜRETİM_İHTİYAÇ_RAPORU_BURAK_YENI1309[[#This Row],[ALT_KOD]])+AVERAGEIFS(L:L,D:D,DST_123_ÜRETİM_İHTİYAÇ_RAPORU_BURAK_YENI1309[[#This Row],[ALT_KOD]]))</f>
        <v>28.999999999999993</v>
      </c>
      <c r="L3860">
        <v>22</v>
      </c>
      <c r="M3860">
        <f>IF((DST_123_ÜRETİM_İHTİYAÇ_RAPORU_BURAK_YENI1309[[#This Row],[SATINALMA]]*DST_123_ÜRETİM_İHTİYAÇ_RAPORU_BURAK_YENI1309[[#This Row],[BIRIM_FIYATLAR]])&lt;1,VALUE("0"),DST_123_ÜRETİM_İHTİYAÇ_RAPORU_BURAK_YENI1309[[#This Row],[SATINALMA]]*DST_123_ÜRETİM_İHTİYAÇ_RAPORU_BURAK_YENI1309[[#This Row],[BIRIM_FIYATLAR]])</f>
        <v>30208.429999999993</v>
      </c>
      <c r="N3860">
        <v>1041.67</v>
      </c>
      <c r="O3860" t="s">
        <v>223</v>
      </c>
      <c r="P3860">
        <v>3125.01</v>
      </c>
      <c r="Q3860" t="s">
        <v>181</v>
      </c>
    </row>
    <row r="3861" spans="1:17" x14ac:dyDescent="0.25">
      <c r="A3861" t="s">
        <v>1149</v>
      </c>
      <c r="B3861" t="s">
        <v>1145</v>
      </c>
      <c r="C3861" t="s">
        <v>175</v>
      </c>
      <c r="D3861" t="s">
        <v>836</v>
      </c>
      <c r="E3861" t="s">
        <v>837</v>
      </c>
      <c r="F3861">
        <v>120</v>
      </c>
      <c r="G3861" t="s">
        <v>179</v>
      </c>
      <c r="H3861">
        <v>0</v>
      </c>
      <c r="I3861">
        <v>0</v>
      </c>
      <c r="J3861" s="10">
        <v>0</v>
      </c>
      <c r="K3861" s="10">
        <f>SUMIFS(F:F,D:D,DST_123_ÜRETİM_İHTİYAÇ_RAPORU_BURAK_YENI1309[[#This Row],[ALT_KOD]])-(SUMIFS(H:H,D:D,DST_123_ÜRETİM_İHTİYAÇ_RAPORU_BURAK_YENI1309[[#This Row],[ALT_KOD]])+AVERAGEIFS(I:I,D:D,DST_123_ÜRETİM_İHTİYAÇ_RAPORU_BURAK_YENI1309[[#This Row],[ALT_KOD]])+AVERAGEIFS(L:L,D:D,DST_123_ÜRETİM_İHTİYAÇ_RAPORU_BURAK_YENI1309[[#This Row],[ALT_KOD]]))</f>
        <v>1760</v>
      </c>
      <c r="L3861">
        <v>0</v>
      </c>
      <c r="M3861">
        <f>IF((DST_123_ÜRETİM_İHTİYAÇ_RAPORU_BURAK_YENI1309[[#This Row],[SATINALMA]]*DST_123_ÜRETİM_İHTİYAÇ_RAPORU_BURAK_YENI1309[[#This Row],[BIRIM_FIYATLAR]])&lt;1,VALUE("0"),DST_123_ÜRETİM_İHTİYAÇ_RAPORU_BURAK_YENI1309[[#This Row],[SATINALMA]]*DST_123_ÜRETİM_İHTİYAÇ_RAPORU_BURAK_YENI1309[[#This Row],[BIRIM_FIYATLAR]])</f>
        <v>0</v>
      </c>
      <c r="N3861">
        <v>0</v>
      </c>
      <c r="P3861">
        <v>0</v>
      </c>
      <c r="Q3861" t="s">
        <v>184</v>
      </c>
    </row>
    <row r="3862" spans="1:17" x14ac:dyDescent="0.25">
      <c r="A3862" t="s">
        <v>1064</v>
      </c>
      <c r="B3862" t="s">
        <v>1055</v>
      </c>
      <c r="C3862" t="s">
        <v>175</v>
      </c>
      <c r="D3862" t="s">
        <v>145</v>
      </c>
      <c r="E3862" t="s">
        <v>146</v>
      </c>
      <c r="F3862">
        <v>2</v>
      </c>
      <c r="G3862" t="s">
        <v>176</v>
      </c>
      <c r="H3862">
        <v>0</v>
      </c>
      <c r="I3862">
        <v>0</v>
      </c>
      <c r="J3862" s="10">
        <v>4.0000000000000497</v>
      </c>
      <c r="K3862" s="10">
        <f>SUMIFS(F:F,D:D,DST_123_ÜRETİM_İHTİYAÇ_RAPORU_BURAK_YENI1309[[#This Row],[ALT_KOD]])-(SUMIFS(H:H,D:D,DST_123_ÜRETİM_İHTİYAÇ_RAPORU_BURAK_YENI1309[[#This Row],[ALT_KOD]])+AVERAGEIFS(I:I,D:D,DST_123_ÜRETİM_İHTİYAÇ_RAPORU_BURAK_YENI1309[[#This Row],[ALT_KOD]])+AVERAGEIFS(L:L,D:D,DST_123_ÜRETİM_İHTİYAÇ_RAPORU_BURAK_YENI1309[[#This Row],[ALT_KOD]]))</f>
        <v>28.999999999999993</v>
      </c>
      <c r="L3862">
        <v>22</v>
      </c>
      <c r="M3862">
        <f>IF((DST_123_ÜRETİM_İHTİYAÇ_RAPORU_BURAK_YENI1309[[#This Row],[SATINALMA]]*DST_123_ÜRETİM_İHTİYAÇ_RAPORU_BURAK_YENI1309[[#This Row],[BIRIM_FIYATLAR]])&lt;1,VALUE("0"),DST_123_ÜRETİM_İHTİYAÇ_RAPORU_BURAK_YENI1309[[#This Row],[SATINALMA]]*DST_123_ÜRETİM_İHTİYAÇ_RAPORU_BURAK_YENI1309[[#This Row],[BIRIM_FIYATLAR]])</f>
        <v>30208.429999999993</v>
      </c>
      <c r="N3862">
        <v>1041.67</v>
      </c>
      <c r="O3862" t="s">
        <v>223</v>
      </c>
      <c r="P3862">
        <v>2083.34</v>
      </c>
      <c r="Q3862" t="s">
        <v>181</v>
      </c>
    </row>
    <row r="3863" spans="1:17" x14ac:dyDescent="0.25">
      <c r="A3863" t="s">
        <v>1099</v>
      </c>
      <c r="B3863" t="s">
        <v>1055</v>
      </c>
      <c r="C3863" t="s">
        <v>175</v>
      </c>
      <c r="D3863" t="s">
        <v>145</v>
      </c>
      <c r="E3863" t="s">
        <v>146</v>
      </c>
      <c r="F3863">
        <v>5</v>
      </c>
      <c r="G3863" t="s">
        <v>176</v>
      </c>
      <c r="H3863">
        <v>0</v>
      </c>
      <c r="I3863">
        <v>0</v>
      </c>
      <c r="J3863" s="10">
        <v>4.0000000000000497</v>
      </c>
      <c r="K3863" s="10">
        <f>SUMIFS(F:F,D:D,DST_123_ÜRETİM_İHTİYAÇ_RAPORU_BURAK_YENI1309[[#This Row],[ALT_KOD]])-(SUMIFS(H:H,D:D,DST_123_ÜRETİM_İHTİYAÇ_RAPORU_BURAK_YENI1309[[#This Row],[ALT_KOD]])+AVERAGEIFS(I:I,D:D,DST_123_ÜRETİM_İHTİYAÇ_RAPORU_BURAK_YENI1309[[#This Row],[ALT_KOD]])+AVERAGEIFS(L:L,D:D,DST_123_ÜRETİM_İHTİYAÇ_RAPORU_BURAK_YENI1309[[#This Row],[ALT_KOD]]))</f>
        <v>28.999999999999993</v>
      </c>
      <c r="L3863">
        <v>22</v>
      </c>
      <c r="M3863">
        <f>IF((DST_123_ÜRETİM_İHTİYAÇ_RAPORU_BURAK_YENI1309[[#This Row],[SATINALMA]]*DST_123_ÜRETİM_İHTİYAÇ_RAPORU_BURAK_YENI1309[[#This Row],[BIRIM_FIYATLAR]])&lt;1,VALUE("0"),DST_123_ÜRETİM_İHTİYAÇ_RAPORU_BURAK_YENI1309[[#This Row],[SATINALMA]]*DST_123_ÜRETİM_İHTİYAÇ_RAPORU_BURAK_YENI1309[[#This Row],[BIRIM_FIYATLAR]])</f>
        <v>30208.429999999993</v>
      </c>
      <c r="N3863">
        <v>1041.67</v>
      </c>
      <c r="O3863" t="s">
        <v>223</v>
      </c>
      <c r="P3863">
        <v>5208.3500000000004</v>
      </c>
      <c r="Q3863" t="s">
        <v>181</v>
      </c>
    </row>
    <row r="3864" spans="1:17" x14ac:dyDescent="0.25">
      <c r="A3864" t="s">
        <v>1064</v>
      </c>
      <c r="B3864" t="s">
        <v>1055</v>
      </c>
      <c r="C3864" t="s">
        <v>175</v>
      </c>
      <c r="D3864" t="s">
        <v>836</v>
      </c>
      <c r="E3864" t="s">
        <v>837</v>
      </c>
      <c r="F3864">
        <v>120</v>
      </c>
      <c r="G3864" t="s">
        <v>179</v>
      </c>
      <c r="H3864">
        <v>0</v>
      </c>
      <c r="I3864">
        <v>0</v>
      </c>
      <c r="J3864" s="10">
        <v>0</v>
      </c>
      <c r="K3864" s="10">
        <f>SUMIFS(F:F,D:D,DST_123_ÜRETİM_İHTİYAÇ_RAPORU_BURAK_YENI1309[[#This Row],[ALT_KOD]])-(SUMIFS(H:H,D:D,DST_123_ÜRETİM_İHTİYAÇ_RAPORU_BURAK_YENI1309[[#This Row],[ALT_KOD]])+AVERAGEIFS(I:I,D:D,DST_123_ÜRETİM_İHTİYAÇ_RAPORU_BURAK_YENI1309[[#This Row],[ALT_KOD]])+AVERAGEIFS(L:L,D:D,DST_123_ÜRETİM_İHTİYAÇ_RAPORU_BURAK_YENI1309[[#This Row],[ALT_KOD]]))</f>
        <v>1760</v>
      </c>
      <c r="L3864">
        <v>0</v>
      </c>
      <c r="M3864">
        <f>IF((DST_123_ÜRETİM_İHTİYAÇ_RAPORU_BURAK_YENI1309[[#This Row],[SATINALMA]]*DST_123_ÜRETİM_İHTİYAÇ_RAPORU_BURAK_YENI1309[[#This Row],[BIRIM_FIYATLAR]])&lt;1,VALUE("0"),DST_123_ÜRETİM_İHTİYAÇ_RAPORU_BURAK_YENI1309[[#This Row],[SATINALMA]]*DST_123_ÜRETİM_İHTİYAÇ_RAPORU_BURAK_YENI1309[[#This Row],[BIRIM_FIYATLAR]])</f>
        <v>0</v>
      </c>
      <c r="N3864">
        <v>0</v>
      </c>
      <c r="P3864">
        <v>0</v>
      </c>
      <c r="Q3864" t="s">
        <v>184</v>
      </c>
    </row>
    <row r="3865" spans="1:17" x14ac:dyDescent="0.25">
      <c r="A3865" t="s">
        <v>1099</v>
      </c>
      <c r="B3865" t="s">
        <v>1055</v>
      </c>
      <c r="C3865" t="s">
        <v>175</v>
      </c>
      <c r="D3865" t="s">
        <v>836</v>
      </c>
      <c r="E3865" t="s">
        <v>837</v>
      </c>
      <c r="F3865">
        <v>120</v>
      </c>
      <c r="G3865" t="s">
        <v>179</v>
      </c>
      <c r="H3865">
        <v>0</v>
      </c>
      <c r="I3865">
        <v>0</v>
      </c>
      <c r="J3865" s="10">
        <v>0</v>
      </c>
      <c r="K3865" s="10">
        <f>SUMIFS(F:F,D:D,DST_123_ÜRETİM_İHTİYAÇ_RAPORU_BURAK_YENI1309[[#This Row],[ALT_KOD]])-(SUMIFS(H:H,D:D,DST_123_ÜRETİM_İHTİYAÇ_RAPORU_BURAK_YENI1309[[#This Row],[ALT_KOD]])+AVERAGEIFS(I:I,D:D,DST_123_ÜRETİM_İHTİYAÇ_RAPORU_BURAK_YENI1309[[#This Row],[ALT_KOD]])+AVERAGEIFS(L:L,D:D,DST_123_ÜRETİM_İHTİYAÇ_RAPORU_BURAK_YENI1309[[#This Row],[ALT_KOD]]))</f>
        <v>1760</v>
      </c>
      <c r="L3865">
        <v>0</v>
      </c>
      <c r="M3865">
        <f>IF((DST_123_ÜRETİM_İHTİYAÇ_RAPORU_BURAK_YENI1309[[#This Row],[SATINALMA]]*DST_123_ÜRETİM_İHTİYAÇ_RAPORU_BURAK_YENI1309[[#This Row],[BIRIM_FIYATLAR]])&lt;1,VALUE("0"),DST_123_ÜRETİM_İHTİYAÇ_RAPORU_BURAK_YENI1309[[#This Row],[SATINALMA]]*DST_123_ÜRETİM_İHTİYAÇ_RAPORU_BURAK_YENI1309[[#This Row],[BIRIM_FIYATLAR]])</f>
        <v>0</v>
      </c>
      <c r="N3865">
        <v>0</v>
      </c>
      <c r="P3865">
        <v>0</v>
      </c>
      <c r="Q3865" t="s">
        <v>184</v>
      </c>
    </row>
    <row r="3866" spans="1:17" x14ac:dyDescent="0.25">
      <c r="A3866" t="s">
        <v>1064</v>
      </c>
      <c r="B3866" t="s">
        <v>1055</v>
      </c>
      <c r="C3866" t="s">
        <v>175</v>
      </c>
      <c r="D3866" t="s">
        <v>477</v>
      </c>
      <c r="E3866" t="s">
        <v>564</v>
      </c>
      <c r="F3866">
        <v>0.5</v>
      </c>
      <c r="G3866" t="s">
        <v>176</v>
      </c>
      <c r="H3866">
        <v>0</v>
      </c>
      <c r="I3866">
        <v>100</v>
      </c>
      <c r="J3866" s="10">
        <v>0</v>
      </c>
      <c r="K3866" s="10">
        <f>SUMIFS(F:F,D:D,DST_123_ÜRETİM_İHTİYAÇ_RAPORU_BURAK_YENI1309[[#This Row],[ALT_KOD]])-(SUMIFS(H:H,D:D,DST_123_ÜRETİM_İHTİYAÇ_RAPORU_BURAK_YENI1309[[#This Row],[ALT_KOD]])+AVERAGEIFS(I:I,D:D,DST_123_ÜRETİM_İHTİYAÇ_RAPORU_BURAK_YENI1309[[#This Row],[ALT_KOD]])+AVERAGEIFS(L:L,D:D,DST_123_ÜRETİM_İHTİYAÇ_RAPORU_BURAK_YENI1309[[#This Row],[ALT_KOD]]))</f>
        <v>-90.5</v>
      </c>
      <c r="L3866">
        <v>0</v>
      </c>
      <c r="M3866">
        <f>IF((DST_123_ÜRETİM_İHTİYAÇ_RAPORU_BURAK_YENI1309[[#This Row],[SATINALMA]]*DST_123_ÜRETİM_İHTİYAÇ_RAPORU_BURAK_YENI1309[[#This Row],[BIRIM_FIYATLAR]])&lt;1,VALUE("0"),DST_123_ÜRETİM_İHTİYAÇ_RAPORU_BURAK_YENI1309[[#This Row],[SATINALMA]]*DST_123_ÜRETİM_İHTİYAÇ_RAPORU_BURAK_YENI1309[[#This Row],[BIRIM_FIYATLAR]])</f>
        <v>0</v>
      </c>
      <c r="N3866">
        <v>13.5</v>
      </c>
      <c r="O3866" t="s">
        <v>240</v>
      </c>
      <c r="P3866">
        <v>6.75</v>
      </c>
      <c r="Q3866" t="s">
        <v>180</v>
      </c>
    </row>
    <row r="3867" spans="1:17" x14ac:dyDescent="0.25">
      <c r="A3867" t="s">
        <v>1095</v>
      </c>
      <c r="B3867" t="s">
        <v>1096</v>
      </c>
      <c r="C3867" t="s">
        <v>175</v>
      </c>
      <c r="D3867" t="s">
        <v>734</v>
      </c>
      <c r="E3867" t="s">
        <v>735</v>
      </c>
      <c r="F3867">
        <v>1</v>
      </c>
      <c r="G3867" t="s">
        <v>176</v>
      </c>
      <c r="H3867">
        <v>0</v>
      </c>
      <c r="I3867">
        <v>10</v>
      </c>
      <c r="J3867" s="10">
        <v>17</v>
      </c>
      <c r="K3867" s="10">
        <f>SUMIFS(F:F,D:D,DST_123_ÜRETİM_İHTİYAÇ_RAPORU_BURAK_YENI1309[[#This Row],[ALT_KOD]])-(SUMIFS(H:H,D:D,DST_123_ÜRETİM_İHTİYAÇ_RAPORU_BURAK_YENI1309[[#This Row],[ALT_KOD]])+AVERAGEIFS(I:I,D:D,DST_123_ÜRETİM_İHTİYAÇ_RAPORU_BURAK_YENI1309[[#This Row],[ALT_KOD]])+AVERAGEIFS(L:L,D:D,DST_123_ÜRETİM_İHTİYAÇ_RAPORU_BURAK_YENI1309[[#This Row],[ALT_KOD]]))</f>
        <v>1</v>
      </c>
      <c r="L3867">
        <v>0</v>
      </c>
      <c r="M3867">
        <f>IF((DST_123_ÜRETİM_İHTİYAÇ_RAPORU_BURAK_YENI1309[[#This Row],[SATINALMA]]*DST_123_ÜRETİM_İHTİYAÇ_RAPORU_BURAK_YENI1309[[#This Row],[BIRIM_FIYATLAR]])&lt;1,VALUE("0"),DST_123_ÜRETİM_İHTİYAÇ_RAPORU_BURAK_YENI1309[[#This Row],[SATINALMA]]*DST_123_ÜRETİM_İHTİYAÇ_RAPORU_BURAK_YENI1309[[#This Row],[BIRIM_FIYATLAR]])</f>
        <v>565.83000000000004</v>
      </c>
      <c r="N3867">
        <v>565.83000000000004</v>
      </c>
      <c r="O3867" t="s">
        <v>667</v>
      </c>
      <c r="P3867">
        <v>565.83000000000004</v>
      </c>
      <c r="Q3867" t="s">
        <v>677</v>
      </c>
    </row>
    <row r="3868" spans="1:17" x14ac:dyDescent="0.25">
      <c r="A3868" t="s">
        <v>1098</v>
      </c>
      <c r="B3868" t="s">
        <v>1096</v>
      </c>
      <c r="C3868" t="s">
        <v>175</v>
      </c>
      <c r="D3868" t="s">
        <v>145</v>
      </c>
      <c r="E3868" t="s">
        <v>146</v>
      </c>
      <c r="F3868">
        <v>5</v>
      </c>
      <c r="G3868" t="s">
        <v>176</v>
      </c>
      <c r="H3868">
        <v>0</v>
      </c>
      <c r="I3868">
        <v>0</v>
      </c>
      <c r="J3868" s="10">
        <v>4.0000000000000497</v>
      </c>
      <c r="K3868" s="10">
        <f>SUMIFS(F:F,D:D,DST_123_ÜRETİM_İHTİYAÇ_RAPORU_BURAK_YENI1309[[#This Row],[ALT_KOD]])-(SUMIFS(H:H,D:D,DST_123_ÜRETİM_İHTİYAÇ_RAPORU_BURAK_YENI1309[[#This Row],[ALT_KOD]])+AVERAGEIFS(I:I,D:D,DST_123_ÜRETİM_İHTİYAÇ_RAPORU_BURAK_YENI1309[[#This Row],[ALT_KOD]])+AVERAGEIFS(L:L,D:D,DST_123_ÜRETİM_İHTİYAÇ_RAPORU_BURAK_YENI1309[[#This Row],[ALT_KOD]]))</f>
        <v>28.999999999999993</v>
      </c>
      <c r="L3868">
        <v>22</v>
      </c>
      <c r="M3868">
        <f>IF((DST_123_ÜRETİM_İHTİYAÇ_RAPORU_BURAK_YENI1309[[#This Row],[SATINALMA]]*DST_123_ÜRETİM_İHTİYAÇ_RAPORU_BURAK_YENI1309[[#This Row],[BIRIM_FIYATLAR]])&lt;1,VALUE("0"),DST_123_ÜRETİM_İHTİYAÇ_RAPORU_BURAK_YENI1309[[#This Row],[SATINALMA]]*DST_123_ÜRETİM_İHTİYAÇ_RAPORU_BURAK_YENI1309[[#This Row],[BIRIM_FIYATLAR]])</f>
        <v>30208.429999999993</v>
      </c>
      <c r="N3868">
        <v>1041.67</v>
      </c>
      <c r="O3868" t="s">
        <v>223</v>
      </c>
      <c r="P3868">
        <v>5208.3500000000004</v>
      </c>
      <c r="Q3868" t="s">
        <v>181</v>
      </c>
    </row>
    <row r="3869" spans="1:17" x14ac:dyDescent="0.25">
      <c r="A3869" t="s">
        <v>1098</v>
      </c>
      <c r="B3869" t="s">
        <v>1096</v>
      </c>
      <c r="C3869" t="s">
        <v>175</v>
      </c>
      <c r="D3869" t="s">
        <v>836</v>
      </c>
      <c r="E3869" t="s">
        <v>837</v>
      </c>
      <c r="F3869">
        <v>120</v>
      </c>
      <c r="G3869" t="s">
        <v>179</v>
      </c>
      <c r="H3869">
        <v>0</v>
      </c>
      <c r="I3869">
        <v>0</v>
      </c>
      <c r="J3869" s="10">
        <v>0</v>
      </c>
      <c r="K3869" s="10">
        <f>SUMIFS(F:F,D:D,DST_123_ÜRETİM_İHTİYAÇ_RAPORU_BURAK_YENI1309[[#This Row],[ALT_KOD]])-(SUMIFS(H:H,D:D,DST_123_ÜRETİM_İHTİYAÇ_RAPORU_BURAK_YENI1309[[#This Row],[ALT_KOD]])+AVERAGEIFS(I:I,D:D,DST_123_ÜRETİM_İHTİYAÇ_RAPORU_BURAK_YENI1309[[#This Row],[ALT_KOD]])+AVERAGEIFS(L:L,D:D,DST_123_ÜRETİM_İHTİYAÇ_RAPORU_BURAK_YENI1309[[#This Row],[ALT_KOD]]))</f>
        <v>1760</v>
      </c>
      <c r="L3869">
        <v>0</v>
      </c>
      <c r="M3869">
        <f>IF((DST_123_ÜRETİM_İHTİYAÇ_RAPORU_BURAK_YENI1309[[#This Row],[SATINALMA]]*DST_123_ÜRETİM_İHTİYAÇ_RAPORU_BURAK_YENI1309[[#This Row],[BIRIM_FIYATLAR]])&lt;1,VALUE("0"),DST_123_ÜRETİM_İHTİYAÇ_RAPORU_BURAK_YENI1309[[#This Row],[SATINALMA]]*DST_123_ÜRETİM_İHTİYAÇ_RAPORU_BURAK_YENI1309[[#This Row],[BIRIM_FIYATLAR]])</f>
        <v>0</v>
      </c>
      <c r="N3869">
        <v>0</v>
      </c>
      <c r="P3869">
        <v>0</v>
      </c>
      <c r="Q3869" t="s">
        <v>184</v>
      </c>
    </row>
    <row r="3870" spans="1:17" x14ac:dyDescent="0.25">
      <c r="A3870" t="s">
        <v>1196</v>
      </c>
      <c r="B3870" t="s">
        <v>1197</v>
      </c>
      <c r="C3870" t="s">
        <v>175</v>
      </c>
      <c r="D3870" t="s">
        <v>477</v>
      </c>
      <c r="E3870" t="s">
        <v>564</v>
      </c>
      <c r="F3870">
        <v>0.5</v>
      </c>
      <c r="G3870" t="s">
        <v>176</v>
      </c>
      <c r="H3870">
        <v>0</v>
      </c>
      <c r="I3870">
        <v>100</v>
      </c>
      <c r="J3870" s="10">
        <v>0</v>
      </c>
      <c r="K3870" s="10">
        <f>SUMIFS(F:F,D:D,DST_123_ÜRETİM_İHTİYAÇ_RAPORU_BURAK_YENI1309[[#This Row],[ALT_KOD]])-(SUMIFS(H:H,D:D,DST_123_ÜRETİM_İHTİYAÇ_RAPORU_BURAK_YENI1309[[#This Row],[ALT_KOD]])+AVERAGEIFS(I:I,D:D,DST_123_ÜRETİM_İHTİYAÇ_RAPORU_BURAK_YENI1309[[#This Row],[ALT_KOD]])+AVERAGEIFS(L:L,D:D,DST_123_ÜRETİM_İHTİYAÇ_RAPORU_BURAK_YENI1309[[#This Row],[ALT_KOD]]))</f>
        <v>-90.5</v>
      </c>
      <c r="L3870">
        <v>0</v>
      </c>
      <c r="M3870">
        <f>IF((DST_123_ÜRETİM_İHTİYAÇ_RAPORU_BURAK_YENI1309[[#This Row],[SATINALMA]]*DST_123_ÜRETİM_İHTİYAÇ_RAPORU_BURAK_YENI1309[[#This Row],[BIRIM_FIYATLAR]])&lt;1,VALUE("0"),DST_123_ÜRETİM_İHTİYAÇ_RAPORU_BURAK_YENI1309[[#This Row],[SATINALMA]]*DST_123_ÜRETİM_İHTİYAÇ_RAPORU_BURAK_YENI1309[[#This Row],[BIRIM_FIYATLAR]])</f>
        <v>0</v>
      </c>
      <c r="N3870">
        <v>13.5</v>
      </c>
      <c r="O3870" t="s">
        <v>240</v>
      </c>
      <c r="P3870">
        <v>6.75</v>
      </c>
      <c r="Q3870" t="s">
        <v>180</v>
      </c>
    </row>
    <row r="3871" spans="1:17" x14ac:dyDescent="0.25">
      <c r="A3871" t="s">
        <v>1099</v>
      </c>
      <c r="B3871" t="s">
        <v>1055</v>
      </c>
      <c r="C3871" t="s">
        <v>175</v>
      </c>
      <c r="D3871" t="s">
        <v>477</v>
      </c>
      <c r="E3871" t="s">
        <v>564</v>
      </c>
      <c r="F3871">
        <v>0.5</v>
      </c>
      <c r="G3871" t="s">
        <v>176</v>
      </c>
      <c r="H3871">
        <v>0</v>
      </c>
      <c r="I3871">
        <v>100</v>
      </c>
      <c r="J3871" s="10">
        <v>0</v>
      </c>
      <c r="K3871" s="10">
        <f>SUMIFS(F:F,D:D,DST_123_ÜRETİM_İHTİYAÇ_RAPORU_BURAK_YENI1309[[#This Row],[ALT_KOD]])-(SUMIFS(H:H,D:D,DST_123_ÜRETİM_İHTİYAÇ_RAPORU_BURAK_YENI1309[[#This Row],[ALT_KOD]])+AVERAGEIFS(I:I,D:D,DST_123_ÜRETİM_İHTİYAÇ_RAPORU_BURAK_YENI1309[[#This Row],[ALT_KOD]])+AVERAGEIFS(L:L,D:D,DST_123_ÜRETİM_İHTİYAÇ_RAPORU_BURAK_YENI1309[[#This Row],[ALT_KOD]]))</f>
        <v>-90.5</v>
      </c>
      <c r="L3871">
        <v>0</v>
      </c>
      <c r="M3871">
        <f>IF((DST_123_ÜRETİM_İHTİYAÇ_RAPORU_BURAK_YENI1309[[#This Row],[SATINALMA]]*DST_123_ÜRETİM_İHTİYAÇ_RAPORU_BURAK_YENI1309[[#This Row],[BIRIM_FIYATLAR]])&lt;1,VALUE("0"),DST_123_ÜRETİM_İHTİYAÇ_RAPORU_BURAK_YENI1309[[#This Row],[SATINALMA]]*DST_123_ÜRETİM_İHTİYAÇ_RAPORU_BURAK_YENI1309[[#This Row],[BIRIM_FIYATLAR]])</f>
        <v>0</v>
      </c>
      <c r="N3871">
        <v>13.5</v>
      </c>
      <c r="O3871" t="s">
        <v>240</v>
      </c>
      <c r="P3871">
        <v>6.75</v>
      </c>
      <c r="Q3871" t="s">
        <v>180</v>
      </c>
    </row>
    <row r="3872" spans="1:17" x14ac:dyDescent="0.25">
      <c r="A3872" t="s">
        <v>1098</v>
      </c>
      <c r="B3872" t="s">
        <v>1096</v>
      </c>
      <c r="C3872" t="s">
        <v>175</v>
      </c>
      <c r="D3872" t="s">
        <v>386</v>
      </c>
      <c r="E3872" t="s">
        <v>613</v>
      </c>
      <c r="F3872">
        <v>1</v>
      </c>
      <c r="G3872" t="s">
        <v>182</v>
      </c>
      <c r="H3872">
        <v>0</v>
      </c>
      <c r="I3872">
        <v>0</v>
      </c>
      <c r="J3872" s="10">
        <v>67.08499999999998</v>
      </c>
      <c r="K3872" s="10">
        <f>SUMIFS(F:F,D:D,DST_123_ÜRETİM_İHTİYAÇ_RAPORU_BURAK_YENI1309[[#This Row],[ALT_KOD]])-(SUMIFS(H:H,D:D,DST_123_ÜRETİM_İHTİYAÇ_RAPORU_BURAK_YENI1309[[#This Row],[ALT_KOD]])+AVERAGEIFS(I:I,D:D,DST_123_ÜRETİM_İHTİYAÇ_RAPORU_BURAK_YENI1309[[#This Row],[ALT_KOD]])+AVERAGEIFS(L:L,D:D,DST_123_ÜRETİM_İHTİYAÇ_RAPORU_BURAK_YENI1309[[#This Row],[ALT_KOD]]))</f>
        <v>15</v>
      </c>
      <c r="L3872">
        <v>0</v>
      </c>
      <c r="M3872">
        <f>IF((DST_123_ÜRETİM_İHTİYAÇ_RAPORU_BURAK_YENI1309[[#This Row],[SATINALMA]]*DST_123_ÜRETİM_İHTİYAÇ_RAPORU_BURAK_YENI1309[[#This Row],[BIRIM_FIYATLAR]])&lt;1,VALUE("0"),DST_123_ÜRETİM_İHTİYAÇ_RAPORU_BURAK_YENI1309[[#This Row],[SATINALMA]]*DST_123_ÜRETİM_İHTİYAÇ_RAPORU_BURAK_YENI1309[[#This Row],[BIRIM_FIYATLAR]])</f>
        <v>9778.0499999999993</v>
      </c>
      <c r="N3872">
        <v>651.87</v>
      </c>
      <c r="O3872" t="s">
        <v>223</v>
      </c>
      <c r="P3872">
        <v>651.87</v>
      </c>
      <c r="Q3872" t="s">
        <v>181</v>
      </c>
    </row>
    <row r="3873" spans="1:17" x14ac:dyDescent="0.25">
      <c r="A3873" t="s">
        <v>1150</v>
      </c>
      <c r="B3873" t="s">
        <v>1145</v>
      </c>
      <c r="C3873" t="s">
        <v>175</v>
      </c>
      <c r="D3873" t="s">
        <v>836</v>
      </c>
      <c r="E3873" t="s">
        <v>837</v>
      </c>
      <c r="F3873">
        <v>120</v>
      </c>
      <c r="G3873" t="s">
        <v>179</v>
      </c>
      <c r="H3873">
        <v>0</v>
      </c>
      <c r="I3873">
        <v>0</v>
      </c>
      <c r="J3873" s="10">
        <v>0</v>
      </c>
      <c r="K3873" s="10">
        <f>SUMIFS(F:F,D:D,DST_123_ÜRETİM_İHTİYAÇ_RAPORU_BURAK_YENI1309[[#This Row],[ALT_KOD]])-(SUMIFS(H:H,D:D,DST_123_ÜRETİM_İHTİYAÇ_RAPORU_BURAK_YENI1309[[#This Row],[ALT_KOD]])+AVERAGEIFS(I:I,D:D,DST_123_ÜRETİM_İHTİYAÇ_RAPORU_BURAK_YENI1309[[#This Row],[ALT_KOD]])+AVERAGEIFS(L:L,D:D,DST_123_ÜRETİM_İHTİYAÇ_RAPORU_BURAK_YENI1309[[#This Row],[ALT_KOD]]))</f>
        <v>1760</v>
      </c>
      <c r="L3873">
        <v>0</v>
      </c>
      <c r="M3873">
        <f>IF((DST_123_ÜRETİM_İHTİYAÇ_RAPORU_BURAK_YENI1309[[#This Row],[SATINALMA]]*DST_123_ÜRETİM_İHTİYAÇ_RAPORU_BURAK_YENI1309[[#This Row],[BIRIM_FIYATLAR]])&lt;1,VALUE("0"),DST_123_ÜRETİM_İHTİYAÇ_RAPORU_BURAK_YENI1309[[#This Row],[SATINALMA]]*DST_123_ÜRETİM_İHTİYAÇ_RAPORU_BURAK_YENI1309[[#This Row],[BIRIM_FIYATLAR]])</f>
        <v>0</v>
      </c>
      <c r="N3873">
        <v>0</v>
      </c>
      <c r="P3873">
        <v>0</v>
      </c>
      <c r="Q3873" t="s">
        <v>184</v>
      </c>
    </row>
    <row r="3874" spans="1:17" x14ac:dyDescent="0.25">
      <c r="A3874" t="s">
        <v>1150</v>
      </c>
      <c r="B3874" t="s">
        <v>1145</v>
      </c>
      <c r="C3874" t="s">
        <v>175</v>
      </c>
      <c r="D3874" t="s">
        <v>319</v>
      </c>
      <c r="E3874" t="s">
        <v>320</v>
      </c>
      <c r="F3874">
        <v>0.13</v>
      </c>
      <c r="G3874" t="s">
        <v>186</v>
      </c>
      <c r="H3874">
        <v>0</v>
      </c>
      <c r="I3874">
        <v>0</v>
      </c>
      <c r="J3874" s="10">
        <v>4.5430000000000446</v>
      </c>
      <c r="K3874" s="10">
        <f>SUMIFS(F:F,D:D,DST_123_ÜRETİM_İHTİYAÇ_RAPORU_BURAK_YENI1309[[#This Row],[ALT_KOD]])-(SUMIFS(H:H,D:D,DST_123_ÜRETİM_İHTİYAÇ_RAPORU_BURAK_YENI1309[[#This Row],[ALT_KOD]])+AVERAGEIFS(I:I,D:D,DST_123_ÜRETİM_İHTİYAÇ_RAPORU_BURAK_YENI1309[[#This Row],[ALT_KOD]])+AVERAGEIFS(L:L,D:D,DST_123_ÜRETİM_İHTİYAÇ_RAPORU_BURAK_YENI1309[[#This Row],[ALT_KOD]]))</f>
        <v>1.4260000000000002</v>
      </c>
      <c r="L3874">
        <v>0</v>
      </c>
      <c r="M3874">
        <f>IF((DST_123_ÜRETİM_İHTİYAÇ_RAPORU_BURAK_YENI1309[[#This Row],[SATINALMA]]*DST_123_ÜRETİM_İHTİYAÇ_RAPORU_BURAK_YENI1309[[#This Row],[BIRIM_FIYATLAR]])&lt;1,VALUE("0"),DST_123_ÜRETİM_İHTİYAÇ_RAPORU_BURAK_YENI1309[[#This Row],[SATINALMA]]*DST_123_ÜRETİM_İHTİYAÇ_RAPORU_BURAK_YENI1309[[#This Row],[BIRIM_FIYATLAR]])</f>
        <v>27807.000000000004</v>
      </c>
      <c r="N3874">
        <v>19500</v>
      </c>
      <c r="O3874" t="s">
        <v>762</v>
      </c>
      <c r="P3874">
        <v>2535</v>
      </c>
      <c r="Q3874" t="s">
        <v>181</v>
      </c>
    </row>
    <row r="3875" spans="1:17" x14ac:dyDescent="0.25">
      <c r="A3875" t="s">
        <v>1150</v>
      </c>
      <c r="B3875" t="s">
        <v>1145</v>
      </c>
      <c r="C3875" t="s">
        <v>175</v>
      </c>
      <c r="D3875" t="s">
        <v>477</v>
      </c>
      <c r="E3875" t="s">
        <v>564</v>
      </c>
      <c r="F3875">
        <v>0.5</v>
      </c>
      <c r="G3875" t="s">
        <v>176</v>
      </c>
      <c r="H3875">
        <v>0</v>
      </c>
      <c r="I3875">
        <v>100</v>
      </c>
      <c r="J3875" s="10">
        <v>0</v>
      </c>
      <c r="K3875" s="10">
        <f>SUMIFS(F:F,D:D,DST_123_ÜRETİM_İHTİYAÇ_RAPORU_BURAK_YENI1309[[#This Row],[ALT_KOD]])-(SUMIFS(H:H,D:D,DST_123_ÜRETİM_İHTİYAÇ_RAPORU_BURAK_YENI1309[[#This Row],[ALT_KOD]])+AVERAGEIFS(I:I,D:D,DST_123_ÜRETİM_İHTİYAÇ_RAPORU_BURAK_YENI1309[[#This Row],[ALT_KOD]])+AVERAGEIFS(L:L,D:D,DST_123_ÜRETİM_İHTİYAÇ_RAPORU_BURAK_YENI1309[[#This Row],[ALT_KOD]]))</f>
        <v>-90.5</v>
      </c>
      <c r="L3875">
        <v>0</v>
      </c>
      <c r="M3875">
        <f>IF((DST_123_ÜRETİM_İHTİYAÇ_RAPORU_BURAK_YENI1309[[#This Row],[SATINALMA]]*DST_123_ÜRETİM_İHTİYAÇ_RAPORU_BURAK_YENI1309[[#This Row],[BIRIM_FIYATLAR]])&lt;1,VALUE("0"),DST_123_ÜRETİM_İHTİYAÇ_RAPORU_BURAK_YENI1309[[#This Row],[SATINALMA]]*DST_123_ÜRETİM_İHTİYAÇ_RAPORU_BURAK_YENI1309[[#This Row],[BIRIM_FIYATLAR]])</f>
        <v>0</v>
      </c>
      <c r="N3875">
        <v>13.5</v>
      </c>
      <c r="O3875" t="s">
        <v>240</v>
      </c>
      <c r="P3875">
        <v>6.75</v>
      </c>
      <c r="Q3875" t="s">
        <v>180</v>
      </c>
    </row>
    <row r="3876" spans="1:17" x14ac:dyDescent="0.25">
      <c r="A3876" t="s">
        <v>1143</v>
      </c>
      <c r="B3876" t="s">
        <v>1056</v>
      </c>
      <c r="C3876" t="s">
        <v>175</v>
      </c>
      <c r="D3876" t="s">
        <v>763</v>
      </c>
      <c r="E3876" t="s">
        <v>764</v>
      </c>
      <c r="F3876">
        <v>1</v>
      </c>
      <c r="G3876" t="s">
        <v>176</v>
      </c>
      <c r="H3876">
        <v>0</v>
      </c>
      <c r="I3876">
        <v>12</v>
      </c>
      <c r="J3876" s="10">
        <v>8</v>
      </c>
      <c r="K3876" s="10">
        <f>SUMIFS(F:F,D:D,DST_123_ÜRETİM_İHTİYAÇ_RAPORU_BURAK_YENI1309[[#This Row],[ALT_KOD]])-(SUMIFS(H:H,D:D,DST_123_ÜRETİM_İHTİYAÇ_RAPORU_BURAK_YENI1309[[#This Row],[ALT_KOD]])+AVERAGEIFS(I:I,D:D,DST_123_ÜRETİM_İHTİYAÇ_RAPORU_BURAK_YENI1309[[#This Row],[ALT_KOD]])+AVERAGEIFS(L:L,D:D,DST_123_ÜRETİM_İHTİYAÇ_RAPORU_BURAK_YENI1309[[#This Row],[ALT_KOD]]))</f>
        <v>0</v>
      </c>
      <c r="L3876">
        <v>0</v>
      </c>
      <c r="M3876">
        <f>IF((DST_123_ÜRETİM_İHTİYAÇ_RAPORU_BURAK_YENI1309[[#This Row],[SATINALMA]]*DST_123_ÜRETİM_İHTİYAÇ_RAPORU_BURAK_YENI1309[[#This Row],[BIRIM_FIYATLAR]])&lt;1,VALUE("0"),DST_123_ÜRETİM_İHTİYAÇ_RAPORU_BURAK_YENI1309[[#This Row],[SATINALMA]]*DST_123_ÜRETİM_İHTİYAÇ_RAPORU_BURAK_YENI1309[[#This Row],[BIRIM_FIYATLAR]])</f>
        <v>0</v>
      </c>
      <c r="N3876">
        <v>401.17</v>
      </c>
      <c r="O3876" t="s">
        <v>765</v>
      </c>
      <c r="P3876">
        <v>401.17</v>
      </c>
      <c r="Q3876" t="s">
        <v>221</v>
      </c>
    </row>
    <row r="3877" spans="1:17" x14ac:dyDescent="0.25">
      <c r="A3877" t="s">
        <v>1060</v>
      </c>
      <c r="B3877" t="s">
        <v>1061</v>
      </c>
      <c r="C3877" t="s">
        <v>175</v>
      </c>
      <c r="D3877" t="s">
        <v>477</v>
      </c>
      <c r="E3877" t="s">
        <v>564</v>
      </c>
      <c r="F3877">
        <v>0.5</v>
      </c>
      <c r="G3877" t="s">
        <v>176</v>
      </c>
      <c r="H3877">
        <v>0</v>
      </c>
      <c r="I3877">
        <v>100</v>
      </c>
      <c r="J3877" s="10">
        <v>0</v>
      </c>
      <c r="K3877" s="10">
        <f>SUMIFS(F:F,D:D,DST_123_ÜRETİM_İHTİYAÇ_RAPORU_BURAK_YENI1309[[#This Row],[ALT_KOD]])-(SUMIFS(H:H,D:D,DST_123_ÜRETİM_İHTİYAÇ_RAPORU_BURAK_YENI1309[[#This Row],[ALT_KOD]])+AVERAGEIFS(I:I,D:D,DST_123_ÜRETİM_İHTİYAÇ_RAPORU_BURAK_YENI1309[[#This Row],[ALT_KOD]])+AVERAGEIFS(L:L,D:D,DST_123_ÜRETİM_İHTİYAÇ_RAPORU_BURAK_YENI1309[[#This Row],[ALT_KOD]]))</f>
        <v>-90.5</v>
      </c>
      <c r="L3877">
        <v>0</v>
      </c>
      <c r="M3877">
        <f>IF((DST_123_ÜRETİM_İHTİYAÇ_RAPORU_BURAK_YENI1309[[#This Row],[SATINALMA]]*DST_123_ÜRETİM_İHTİYAÇ_RAPORU_BURAK_YENI1309[[#This Row],[BIRIM_FIYATLAR]])&lt;1,VALUE("0"),DST_123_ÜRETİM_İHTİYAÇ_RAPORU_BURAK_YENI1309[[#This Row],[SATINALMA]]*DST_123_ÜRETİM_İHTİYAÇ_RAPORU_BURAK_YENI1309[[#This Row],[BIRIM_FIYATLAR]])</f>
        <v>0</v>
      </c>
      <c r="N3877">
        <v>13.5</v>
      </c>
      <c r="O3877" t="s">
        <v>240</v>
      </c>
      <c r="P3877">
        <v>6.75</v>
      </c>
      <c r="Q3877" t="s">
        <v>180</v>
      </c>
    </row>
    <row r="3878" spans="1:17" x14ac:dyDescent="0.25">
      <c r="A3878" t="s">
        <v>1147</v>
      </c>
      <c r="B3878" t="s">
        <v>1145</v>
      </c>
      <c r="C3878" t="s">
        <v>175</v>
      </c>
      <c r="D3878" t="s">
        <v>477</v>
      </c>
      <c r="E3878" t="s">
        <v>564</v>
      </c>
      <c r="F3878">
        <v>0.5</v>
      </c>
      <c r="G3878" t="s">
        <v>176</v>
      </c>
      <c r="H3878">
        <v>0</v>
      </c>
      <c r="I3878">
        <v>100</v>
      </c>
      <c r="J3878" s="10">
        <v>0</v>
      </c>
      <c r="K3878" s="10">
        <f>SUMIFS(F:F,D:D,DST_123_ÜRETİM_İHTİYAÇ_RAPORU_BURAK_YENI1309[[#This Row],[ALT_KOD]])-(SUMIFS(H:H,D:D,DST_123_ÜRETİM_İHTİYAÇ_RAPORU_BURAK_YENI1309[[#This Row],[ALT_KOD]])+AVERAGEIFS(I:I,D:D,DST_123_ÜRETİM_İHTİYAÇ_RAPORU_BURAK_YENI1309[[#This Row],[ALT_KOD]])+AVERAGEIFS(L:L,D:D,DST_123_ÜRETİM_İHTİYAÇ_RAPORU_BURAK_YENI1309[[#This Row],[ALT_KOD]]))</f>
        <v>-90.5</v>
      </c>
      <c r="L3878">
        <v>0</v>
      </c>
      <c r="M3878">
        <f>IF((DST_123_ÜRETİM_İHTİYAÇ_RAPORU_BURAK_YENI1309[[#This Row],[SATINALMA]]*DST_123_ÜRETİM_İHTİYAÇ_RAPORU_BURAK_YENI1309[[#This Row],[BIRIM_FIYATLAR]])&lt;1,VALUE("0"),DST_123_ÜRETİM_İHTİYAÇ_RAPORU_BURAK_YENI1309[[#This Row],[SATINALMA]]*DST_123_ÜRETİM_İHTİYAÇ_RAPORU_BURAK_YENI1309[[#This Row],[BIRIM_FIYATLAR]])</f>
        <v>0</v>
      </c>
      <c r="N3878">
        <v>13.5</v>
      </c>
      <c r="O3878" t="s">
        <v>240</v>
      </c>
      <c r="P3878">
        <v>6.75</v>
      </c>
      <c r="Q3878" t="s">
        <v>180</v>
      </c>
    </row>
    <row r="3879" spans="1:17" x14ac:dyDescent="0.25">
      <c r="A3879" t="s">
        <v>1100</v>
      </c>
      <c r="B3879" t="s">
        <v>1058</v>
      </c>
      <c r="C3879" t="s">
        <v>175</v>
      </c>
      <c r="D3879" t="s">
        <v>477</v>
      </c>
      <c r="E3879" t="s">
        <v>564</v>
      </c>
      <c r="F3879">
        <v>0.5</v>
      </c>
      <c r="G3879" t="s">
        <v>176</v>
      </c>
      <c r="H3879">
        <v>0</v>
      </c>
      <c r="I3879">
        <v>100</v>
      </c>
      <c r="J3879" s="10">
        <v>0</v>
      </c>
      <c r="K3879" s="10">
        <f>SUMIFS(F:F,D:D,DST_123_ÜRETİM_İHTİYAÇ_RAPORU_BURAK_YENI1309[[#This Row],[ALT_KOD]])-(SUMIFS(H:H,D:D,DST_123_ÜRETİM_İHTİYAÇ_RAPORU_BURAK_YENI1309[[#This Row],[ALT_KOD]])+AVERAGEIFS(I:I,D:D,DST_123_ÜRETİM_İHTİYAÇ_RAPORU_BURAK_YENI1309[[#This Row],[ALT_KOD]])+AVERAGEIFS(L:L,D:D,DST_123_ÜRETİM_İHTİYAÇ_RAPORU_BURAK_YENI1309[[#This Row],[ALT_KOD]]))</f>
        <v>-90.5</v>
      </c>
      <c r="L3879">
        <v>0</v>
      </c>
      <c r="M3879">
        <f>IF((DST_123_ÜRETİM_İHTİYAÇ_RAPORU_BURAK_YENI1309[[#This Row],[SATINALMA]]*DST_123_ÜRETİM_İHTİYAÇ_RAPORU_BURAK_YENI1309[[#This Row],[BIRIM_FIYATLAR]])&lt;1,VALUE("0"),DST_123_ÜRETİM_İHTİYAÇ_RAPORU_BURAK_YENI1309[[#This Row],[SATINALMA]]*DST_123_ÜRETİM_İHTİYAÇ_RAPORU_BURAK_YENI1309[[#This Row],[BIRIM_FIYATLAR]])</f>
        <v>0</v>
      </c>
      <c r="N3879">
        <v>13.5</v>
      </c>
      <c r="O3879" t="s">
        <v>240</v>
      </c>
      <c r="P3879">
        <v>6.75</v>
      </c>
      <c r="Q3879" t="s">
        <v>180</v>
      </c>
    </row>
    <row r="3880" spans="1:17" x14ac:dyDescent="0.25">
      <c r="A3880" t="s">
        <v>1148</v>
      </c>
      <c r="B3880" t="s">
        <v>1056</v>
      </c>
      <c r="C3880" t="s">
        <v>175</v>
      </c>
      <c r="D3880" t="s">
        <v>477</v>
      </c>
      <c r="E3880" t="s">
        <v>564</v>
      </c>
      <c r="F3880">
        <v>0.5</v>
      </c>
      <c r="G3880" t="s">
        <v>176</v>
      </c>
      <c r="H3880">
        <v>0</v>
      </c>
      <c r="I3880">
        <v>100</v>
      </c>
      <c r="J3880" s="10">
        <v>0</v>
      </c>
      <c r="K3880" s="10">
        <f>SUMIFS(F:F,D:D,DST_123_ÜRETİM_İHTİYAÇ_RAPORU_BURAK_YENI1309[[#This Row],[ALT_KOD]])-(SUMIFS(H:H,D:D,DST_123_ÜRETİM_İHTİYAÇ_RAPORU_BURAK_YENI1309[[#This Row],[ALT_KOD]])+AVERAGEIFS(I:I,D:D,DST_123_ÜRETİM_İHTİYAÇ_RAPORU_BURAK_YENI1309[[#This Row],[ALT_KOD]])+AVERAGEIFS(L:L,D:D,DST_123_ÜRETİM_İHTİYAÇ_RAPORU_BURAK_YENI1309[[#This Row],[ALT_KOD]]))</f>
        <v>-90.5</v>
      </c>
      <c r="L3880">
        <v>0</v>
      </c>
      <c r="M3880">
        <f>IF((DST_123_ÜRETİM_İHTİYAÇ_RAPORU_BURAK_YENI1309[[#This Row],[SATINALMA]]*DST_123_ÜRETİM_İHTİYAÇ_RAPORU_BURAK_YENI1309[[#This Row],[BIRIM_FIYATLAR]])&lt;1,VALUE("0"),DST_123_ÜRETİM_İHTİYAÇ_RAPORU_BURAK_YENI1309[[#This Row],[SATINALMA]]*DST_123_ÜRETİM_İHTİYAÇ_RAPORU_BURAK_YENI1309[[#This Row],[BIRIM_FIYATLAR]])</f>
        <v>0</v>
      </c>
      <c r="N3880">
        <v>13.5</v>
      </c>
      <c r="O3880" t="s">
        <v>240</v>
      </c>
      <c r="P3880">
        <v>6.75</v>
      </c>
      <c r="Q3880" t="s">
        <v>180</v>
      </c>
    </row>
    <row r="3881" spans="1:17" x14ac:dyDescent="0.25">
      <c r="A3881" t="s">
        <v>1147</v>
      </c>
      <c r="B3881" t="s">
        <v>1145</v>
      </c>
      <c r="C3881" t="s">
        <v>175</v>
      </c>
      <c r="D3881" t="s">
        <v>386</v>
      </c>
      <c r="E3881" t="s">
        <v>613</v>
      </c>
      <c r="F3881">
        <v>1</v>
      </c>
      <c r="G3881" t="s">
        <v>182</v>
      </c>
      <c r="H3881">
        <v>0</v>
      </c>
      <c r="I3881">
        <v>0</v>
      </c>
      <c r="J3881" s="10">
        <v>67.08499999999998</v>
      </c>
      <c r="K3881" s="10">
        <f>SUMIFS(F:F,D:D,DST_123_ÜRETİM_İHTİYAÇ_RAPORU_BURAK_YENI1309[[#This Row],[ALT_KOD]])-(SUMIFS(H:H,D:D,DST_123_ÜRETİM_İHTİYAÇ_RAPORU_BURAK_YENI1309[[#This Row],[ALT_KOD]])+AVERAGEIFS(I:I,D:D,DST_123_ÜRETİM_İHTİYAÇ_RAPORU_BURAK_YENI1309[[#This Row],[ALT_KOD]])+AVERAGEIFS(L:L,D:D,DST_123_ÜRETİM_İHTİYAÇ_RAPORU_BURAK_YENI1309[[#This Row],[ALT_KOD]]))</f>
        <v>15</v>
      </c>
      <c r="L3881">
        <v>0</v>
      </c>
      <c r="M3881">
        <f>IF((DST_123_ÜRETİM_İHTİYAÇ_RAPORU_BURAK_YENI1309[[#This Row],[SATINALMA]]*DST_123_ÜRETİM_İHTİYAÇ_RAPORU_BURAK_YENI1309[[#This Row],[BIRIM_FIYATLAR]])&lt;1,VALUE("0"),DST_123_ÜRETİM_İHTİYAÇ_RAPORU_BURAK_YENI1309[[#This Row],[SATINALMA]]*DST_123_ÜRETİM_İHTİYAÇ_RAPORU_BURAK_YENI1309[[#This Row],[BIRIM_FIYATLAR]])</f>
        <v>9778.0499999999993</v>
      </c>
      <c r="N3881">
        <v>651.87</v>
      </c>
      <c r="O3881" t="s">
        <v>223</v>
      </c>
      <c r="P3881">
        <v>651.87</v>
      </c>
      <c r="Q3881" t="s">
        <v>181</v>
      </c>
    </row>
    <row r="3882" spans="1:17" x14ac:dyDescent="0.25">
      <c r="A3882" t="s">
        <v>1100</v>
      </c>
      <c r="B3882" t="s">
        <v>1058</v>
      </c>
      <c r="C3882" t="s">
        <v>175</v>
      </c>
      <c r="D3882" t="s">
        <v>386</v>
      </c>
      <c r="E3882" t="s">
        <v>613</v>
      </c>
      <c r="F3882">
        <v>1</v>
      </c>
      <c r="G3882" t="s">
        <v>182</v>
      </c>
      <c r="H3882">
        <v>1</v>
      </c>
      <c r="I3882">
        <v>0</v>
      </c>
      <c r="J3882" s="10">
        <v>67.08499999999998</v>
      </c>
      <c r="K3882" s="10">
        <f>SUMIFS(F:F,D:D,DST_123_ÜRETİM_İHTİYAÇ_RAPORU_BURAK_YENI1309[[#This Row],[ALT_KOD]])-(SUMIFS(H:H,D:D,DST_123_ÜRETİM_İHTİYAÇ_RAPORU_BURAK_YENI1309[[#This Row],[ALT_KOD]])+AVERAGEIFS(I:I,D:D,DST_123_ÜRETİM_İHTİYAÇ_RAPORU_BURAK_YENI1309[[#This Row],[ALT_KOD]])+AVERAGEIFS(L:L,D:D,DST_123_ÜRETİM_İHTİYAÇ_RAPORU_BURAK_YENI1309[[#This Row],[ALT_KOD]]))</f>
        <v>15</v>
      </c>
      <c r="L3882">
        <v>0</v>
      </c>
      <c r="M3882">
        <f>IF((DST_123_ÜRETİM_İHTİYAÇ_RAPORU_BURAK_YENI1309[[#This Row],[SATINALMA]]*DST_123_ÜRETİM_İHTİYAÇ_RAPORU_BURAK_YENI1309[[#This Row],[BIRIM_FIYATLAR]])&lt;1,VALUE("0"),DST_123_ÜRETİM_İHTİYAÇ_RAPORU_BURAK_YENI1309[[#This Row],[SATINALMA]]*DST_123_ÜRETİM_İHTİYAÇ_RAPORU_BURAK_YENI1309[[#This Row],[BIRIM_FIYATLAR]])</f>
        <v>9778.0499999999993</v>
      </c>
      <c r="N3882">
        <v>651.87</v>
      </c>
      <c r="O3882" t="s">
        <v>223</v>
      </c>
      <c r="P3882">
        <v>651.87</v>
      </c>
      <c r="Q3882" t="s">
        <v>181</v>
      </c>
    </row>
    <row r="3883" spans="1:17" x14ac:dyDescent="0.25">
      <c r="A3883" t="s">
        <v>1144</v>
      </c>
      <c r="B3883" t="s">
        <v>1145</v>
      </c>
      <c r="C3883" t="s">
        <v>175</v>
      </c>
      <c r="D3883" t="s">
        <v>836</v>
      </c>
      <c r="E3883" t="s">
        <v>837</v>
      </c>
      <c r="F3883">
        <v>120</v>
      </c>
      <c r="G3883" t="s">
        <v>179</v>
      </c>
      <c r="H3883">
        <v>0</v>
      </c>
      <c r="I3883">
        <v>0</v>
      </c>
      <c r="J3883" s="10">
        <v>0</v>
      </c>
      <c r="K3883" s="10">
        <f>SUMIFS(F:F,D:D,DST_123_ÜRETİM_İHTİYAÇ_RAPORU_BURAK_YENI1309[[#This Row],[ALT_KOD]])-(SUMIFS(H:H,D:D,DST_123_ÜRETİM_İHTİYAÇ_RAPORU_BURAK_YENI1309[[#This Row],[ALT_KOD]])+AVERAGEIFS(I:I,D:D,DST_123_ÜRETİM_İHTİYAÇ_RAPORU_BURAK_YENI1309[[#This Row],[ALT_KOD]])+AVERAGEIFS(L:L,D:D,DST_123_ÜRETİM_İHTİYAÇ_RAPORU_BURAK_YENI1309[[#This Row],[ALT_KOD]]))</f>
        <v>1760</v>
      </c>
      <c r="L3883">
        <v>0</v>
      </c>
      <c r="M3883">
        <f>IF((DST_123_ÜRETİM_İHTİYAÇ_RAPORU_BURAK_YENI1309[[#This Row],[SATINALMA]]*DST_123_ÜRETİM_İHTİYAÇ_RAPORU_BURAK_YENI1309[[#This Row],[BIRIM_FIYATLAR]])&lt;1,VALUE("0"),DST_123_ÜRETİM_İHTİYAÇ_RAPORU_BURAK_YENI1309[[#This Row],[SATINALMA]]*DST_123_ÜRETİM_İHTİYAÇ_RAPORU_BURAK_YENI1309[[#This Row],[BIRIM_FIYATLAR]])</f>
        <v>0</v>
      </c>
      <c r="N3883">
        <v>0</v>
      </c>
      <c r="P3883">
        <v>0</v>
      </c>
      <c r="Q3883" t="s">
        <v>184</v>
      </c>
    </row>
    <row r="3884" spans="1:17" x14ac:dyDescent="0.25">
      <c r="A3884" t="s">
        <v>1146</v>
      </c>
      <c r="B3884" t="s">
        <v>1145</v>
      </c>
      <c r="C3884" t="s">
        <v>175</v>
      </c>
      <c r="D3884" t="s">
        <v>836</v>
      </c>
      <c r="E3884" t="s">
        <v>837</v>
      </c>
      <c r="F3884">
        <v>120</v>
      </c>
      <c r="G3884" t="s">
        <v>179</v>
      </c>
      <c r="H3884">
        <v>0</v>
      </c>
      <c r="I3884">
        <v>0</v>
      </c>
      <c r="J3884" s="10">
        <v>0</v>
      </c>
      <c r="K3884" s="10">
        <f>SUMIFS(F:F,D:D,DST_123_ÜRETİM_İHTİYAÇ_RAPORU_BURAK_YENI1309[[#This Row],[ALT_KOD]])-(SUMIFS(H:H,D:D,DST_123_ÜRETİM_İHTİYAÇ_RAPORU_BURAK_YENI1309[[#This Row],[ALT_KOD]])+AVERAGEIFS(I:I,D:D,DST_123_ÜRETİM_İHTİYAÇ_RAPORU_BURAK_YENI1309[[#This Row],[ALT_KOD]])+AVERAGEIFS(L:L,D:D,DST_123_ÜRETİM_İHTİYAÇ_RAPORU_BURAK_YENI1309[[#This Row],[ALT_KOD]]))</f>
        <v>1760</v>
      </c>
      <c r="L3884">
        <v>0</v>
      </c>
      <c r="M3884">
        <f>IF((DST_123_ÜRETİM_İHTİYAÇ_RAPORU_BURAK_YENI1309[[#This Row],[SATINALMA]]*DST_123_ÜRETİM_İHTİYAÇ_RAPORU_BURAK_YENI1309[[#This Row],[BIRIM_FIYATLAR]])&lt;1,VALUE("0"),DST_123_ÜRETİM_İHTİYAÇ_RAPORU_BURAK_YENI1309[[#This Row],[SATINALMA]]*DST_123_ÜRETİM_İHTİYAÇ_RAPORU_BURAK_YENI1309[[#This Row],[BIRIM_FIYATLAR]])</f>
        <v>0</v>
      </c>
      <c r="N3884">
        <v>0</v>
      </c>
      <c r="P3884">
        <v>0</v>
      </c>
      <c r="Q3884" t="s">
        <v>184</v>
      </c>
    </row>
    <row r="3885" spans="1:17" x14ac:dyDescent="0.25">
      <c r="A3885" t="s">
        <v>1144</v>
      </c>
      <c r="B3885" t="s">
        <v>1145</v>
      </c>
      <c r="C3885" t="s">
        <v>175</v>
      </c>
      <c r="D3885" t="s">
        <v>319</v>
      </c>
      <c r="E3885" t="s">
        <v>320</v>
      </c>
      <c r="F3885">
        <v>0.13</v>
      </c>
      <c r="G3885" t="s">
        <v>186</v>
      </c>
      <c r="H3885">
        <v>0</v>
      </c>
      <c r="I3885">
        <v>0</v>
      </c>
      <c r="J3885" s="10">
        <v>4.5430000000000446</v>
      </c>
      <c r="K3885" s="10">
        <f>SUMIFS(F:F,D:D,DST_123_ÜRETİM_İHTİYAÇ_RAPORU_BURAK_YENI1309[[#This Row],[ALT_KOD]])-(SUMIFS(H:H,D:D,DST_123_ÜRETİM_İHTİYAÇ_RAPORU_BURAK_YENI1309[[#This Row],[ALT_KOD]])+AVERAGEIFS(I:I,D:D,DST_123_ÜRETİM_İHTİYAÇ_RAPORU_BURAK_YENI1309[[#This Row],[ALT_KOD]])+AVERAGEIFS(L:L,D:D,DST_123_ÜRETİM_İHTİYAÇ_RAPORU_BURAK_YENI1309[[#This Row],[ALT_KOD]]))</f>
        <v>1.4260000000000002</v>
      </c>
      <c r="L3885">
        <v>0</v>
      </c>
      <c r="M3885">
        <f>IF((DST_123_ÜRETİM_İHTİYAÇ_RAPORU_BURAK_YENI1309[[#This Row],[SATINALMA]]*DST_123_ÜRETİM_İHTİYAÇ_RAPORU_BURAK_YENI1309[[#This Row],[BIRIM_FIYATLAR]])&lt;1,VALUE("0"),DST_123_ÜRETİM_İHTİYAÇ_RAPORU_BURAK_YENI1309[[#This Row],[SATINALMA]]*DST_123_ÜRETİM_İHTİYAÇ_RAPORU_BURAK_YENI1309[[#This Row],[BIRIM_FIYATLAR]])</f>
        <v>27807.000000000004</v>
      </c>
      <c r="N3885">
        <v>19500</v>
      </c>
      <c r="O3885" t="s">
        <v>762</v>
      </c>
      <c r="P3885">
        <v>2535</v>
      </c>
      <c r="Q3885" t="s">
        <v>181</v>
      </c>
    </row>
    <row r="3886" spans="1:17" x14ac:dyDescent="0.25">
      <c r="A3886" t="s">
        <v>1149</v>
      </c>
      <c r="B3886" t="s">
        <v>1145</v>
      </c>
      <c r="C3886" t="s">
        <v>175</v>
      </c>
      <c r="D3886" t="s">
        <v>477</v>
      </c>
      <c r="E3886" t="s">
        <v>564</v>
      </c>
      <c r="F3886">
        <v>0.5</v>
      </c>
      <c r="G3886" t="s">
        <v>176</v>
      </c>
      <c r="H3886">
        <v>0</v>
      </c>
      <c r="I3886">
        <v>100</v>
      </c>
      <c r="J3886" s="10">
        <v>0</v>
      </c>
      <c r="K3886" s="10">
        <f>SUMIFS(F:F,D:D,DST_123_ÜRETİM_İHTİYAÇ_RAPORU_BURAK_YENI1309[[#This Row],[ALT_KOD]])-(SUMIFS(H:H,D:D,DST_123_ÜRETİM_İHTİYAÇ_RAPORU_BURAK_YENI1309[[#This Row],[ALT_KOD]])+AVERAGEIFS(I:I,D:D,DST_123_ÜRETİM_İHTİYAÇ_RAPORU_BURAK_YENI1309[[#This Row],[ALT_KOD]])+AVERAGEIFS(L:L,D:D,DST_123_ÜRETİM_İHTİYAÇ_RAPORU_BURAK_YENI1309[[#This Row],[ALT_KOD]]))</f>
        <v>-90.5</v>
      </c>
      <c r="L3886">
        <v>0</v>
      </c>
      <c r="M3886">
        <f>IF((DST_123_ÜRETİM_İHTİYAÇ_RAPORU_BURAK_YENI1309[[#This Row],[SATINALMA]]*DST_123_ÜRETİM_İHTİYAÇ_RAPORU_BURAK_YENI1309[[#This Row],[BIRIM_FIYATLAR]])&lt;1,VALUE("0"),DST_123_ÜRETİM_İHTİYAÇ_RAPORU_BURAK_YENI1309[[#This Row],[SATINALMA]]*DST_123_ÜRETİM_İHTİYAÇ_RAPORU_BURAK_YENI1309[[#This Row],[BIRIM_FIYATLAR]])</f>
        <v>0</v>
      </c>
      <c r="N3886">
        <v>13.5</v>
      </c>
      <c r="O3886" t="s">
        <v>240</v>
      </c>
      <c r="P3886">
        <v>6.75</v>
      </c>
      <c r="Q3886" t="s">
        <v>180</v>
      </c>
    </row>
    <row r="3887" spans="1:17" x14ac:dyDescent="0.25">
      <c r="A3887" t="s">
        <v>1146</v>
      </c>
      <c r="B3887" t="s">
        <v>1145</v>
      </c>
      <c r="C3887" t="s">
        <v>175</v>
      </c>
      <c r="D3887" t="s">
        <v>460</v>
      </c>
      <c r="E3887" t="s">
        <v>461</v>
      </c>
      <c r="F3887">
        <v>1.5</v>
      </c>
      <c r="G3887" t="s">
        <v>176</v>
      </c>
      <c r="H3887">
        <v>0</v>
      </c>
      <c r="I3887">
        <v>48</v>
      </c>
      <c r="J3887" s="10">
        <v>26</v>
      </c>
      <c r="K3887" s="10">
        <f>SUMIFS(F:F,D:D,DST_123_ÜRETİM_İHTİYAÇ_RAPORU_BURAK_YENI1309[[#This Row],[ALT_KOD]])-(SUMIFS(H:H,D:D,DST_123_ÜRETİM_İHTİYAÇ_RAPORU_BURAK_YENI1309[[#This Row],[ALT_KOD]])+AVERAGEIFS(I:I,D:D,DST_123_ÜRETİM_İHTİYAÇ_RAPORU_BURAK_YENI1309[[#This Row],[ALT_KOD]])+AVERAGEIFS(L:L,D:D,DST_123_ÜRETİM_İHTİYAÇ_RAPORU_BURAK_YENI1309[[#This Row],[ALT_KOD]]))</f>
        <v>-19.5</v>
      </c>
      <c r="L3887">
        <v>0</v>
      </c>
      <c r="M3887">
        <f>IF((DST_123_ÜRETİM_İHTİYAÇ_RAPORU_BURAK_YENI1309[[#This Row],[SATINALMA]]*DST_123_ÜRETİM_İHTİYAÇ_RAPORU_BURAK_YENI1309[[#This Row],[BIRIM_FIYATLAR]])&lt;1,VALUE("0"),DST_123_ÜRETİM_İHTİYAÇ_RAPORU_BURAK_YENI1309[[#This Row],[SATINALMA]]*DST_123_ÜRETİM_İHTİYAÇ_RAPORU_BURAK_YENI1309[[#This Row],[BIRIM_FIYATLAR]])</f>
        <v>0</v>
      </c>
      <c r="N3887">
        <v>5</v>
      </c>
      <c r="O3887" t="s">
        <v>240</v>
      </c>
      <c r="P3887">
        <v>7.5</v>
      </c>
      <c r="Q3887" t="s">
        <v>180</v>
      </c>
    </row>
    <row r="3888" spans="1:17" x14ac:dyDescent="0.25">
      <c r="A3888" t="s">
        <v>1144</v>
      </c>
      <c r="B3888" t="s">
        <v>1145</v>
      </c>
      <c r="C3888" t="s">
        <v>175</v>
      </c>
      <c r="D3888" t="s">
        <v>562</v>
      </c>
      <c r="E3888" t="s">
        <v>563</v>
      </c>
      <c r="F3888">
        <v>7</v>
      </c>
      <c r="G3888" t="s">
        <v>176</v>
      </c>
      <c r="H3888">
        <v>0</v>
      </c>
      <c r="I3888">
        <v>3000</v>
      </c>
      <c r="J3888" s="10">
        <v>0</v>
      </c>
      <c r="K3888" s="10">
        <f>SUMIFS(F:F,D:D,DST_123_ÜRETİM_İHTİYAÇ_RAPORU_BURAK_YENI1309[[#This Row],[ALT_KOD]])-(SUMIFS(H:H,D:D,DST_123_ÜRETİM_İHTİYAÇ_RAPORU_BURAK_YENI1309[[#This Row],[ALT_KOD]])+AVERAGEIFS(I:I,D:D,DST_123_ÜRETİM_İHTİYAÇ_RAPORU_BURAK_YENI1309[[#This Row],[ALT_KOD]])+AVERAGEIFS(L:L,D:D,DST_123_ÜRETİM_İHTİYAÇ_RAPORU_BURAK_YENI1309[[#This Row],[ALT_KOD]]))</f>
        <v>-2847</v>
      </c>
      <c r="L3888">
        <v>0</v>
      </c>
      <c r="M3888">
        <f>IF((DST_123_ÜRETİM_İHTİYAÇ_RAPORU_BURAK_YENI1309[[#This Row],[SATINALMA]]*DST_123_ÜRETİM_İHTİYAÇ_RAPORU_BURAK_YENI1309[[#This Row],[BIRIM_FIYATLAR]])&lt;1,VALUE("0"),DST_123_ÜRETİM_İHTİYAÇ_RAPORU_BURAK_YENI1309[[#This Row],[SATINALMA]]*DST_123_ÜRETİM_İHTİYAÇ_RAPORU_BURAK_YENI1309[[#This Row],[BIRIM_FIYATLAR]])</f>
        <v>0</v>
      </c>
      <c r="N3888">
        <v>0.7</v>
      </c>
      <c r="O3888" t="s">
        <v>240</v>
      </c>
      <c r="P3888">
        <v>4.8999999999999995</v>
      </c>
      <c r="Q3888" t="s">
        <v>180</v>
      </c>
    </row>
    <row r="3889" spans="1:17" x14ac:dyDescent="0.25">
      <c r="A3889" t="s">
        <v>1146</v>
      </c>
      <c r="B3889" t="s">
        <v>1145</v>
      </c>
      <c r="C3889" t="s">
        <v>175</v>
      </c>
      <c r="D3889" t="s">
        <v>562</v>
      </c>
      <c r="E3889" t="s">
        <v>563</v>
      </c>
      <c r="F3889">
        <v>7</v>
      </c>
      <c r="G3889" t="s">
        <v>176</v>
      </c>
      <c r="H3889">
        <v>0</v>
      </c>
      <c r="I3889">
        <v>3000</v>
      </c>
      <c r="J3889" s="10">
        <v>0</v>
      </c>
      <c r="K3889" s="10">
        <f>SUMIFS(F:F,D:D,DST_123_ÜRETİM_İHTİYAÇ_RAPORU_BURAK_YENI1309[[#This Row],[ALT_KOD]])-(SUMIFS(H:H,D:D,DST_123_ÜRETİM_İHTİYAÇ_RAPORU_BURAK_YENI1309[[#This Row],[ALT_KOD]])+AVERAGEIFS(I:I,D:D,DST_123_ÜRETİM_İHTİYAÇ_RAPORU_BURAK_YENI1309[[#This Row],[ALT_KOD]])+AVERAGEIFS(L:L,D:D,DST_123_ÜRETİM_İHTİYAÇ_RAPORU_BURAK_YENI1309[[#This Row],[ALT_KOD]]))</f>
        <v>-2847</v>
      </c>
      <c r="L3889">
        <v>0</v>
      </c>
      <c r="M3889">
        <f>IF((DST_123_ÜRETİM_İHTİYAÇ_RAPORU_BURAK_YENI1309[[#This Row],[SATINALMA]]*DST_123_ÜRETİM_İHTİYAÇ_RAPORU_BURAK_YENI1309[[#This Row],[BIRIM_FIYATLAR]])&lt;1,VALUE("0"),DST_123_ÜRETİM_İHTİYAÇ_RAPORU_BURAK_YENI1309[[#This Row],[SATINALMA]]*DST_123_ÜRETİM_İHTİYAÇ_RAPORU_BURAK_YENI1309[[#This Row],[BIRIM_FIYATLAR]])</f>
        <v>0</v>
      </c>
      <c r="N3889">
        <v>0.7</v>
      </c>
      <c r="O3889" t="s">
        <v>240</v>
      </c>
      <c r="P3889">
        <v>4.8999999999999995</v>
      </c>
      <c r="Q3889" t="s">
        <v>180</v>
      </c>
    </row>
    <row r="3890" spans="1:17" x14ac:dyDescent="0.25">
      <c r="A3890" t="s">
        <v>1149</v>
      </c>
      <c r="B3890" t="s">
        <v>1145</v>
      </c>
      <c r="C3890" t="s">
        <v>175</v>
      </c>
      <c r="D3890" t="s">
        <v>402</v>
      </c>
      <c r="E3890" t="s">
        <v>403</v>
      </c>
      <c r="F3890">
        <v>1</v>
      </c>
      <c r="G3890" t="s">
        <v>176</v>
      </c>
      <c r="H3890">
        <v>0</v>
      </c>
      <c r="I3890">
        <v>24</v>
      </c>
      <c r="J3890" s="10">
        <v>14</v>
      </c>
      <c r="K3890" s="10">
        <f>SUMIFS(F:F,D:D,DST_123_ÜRETİM_İHTİYAÇ_RAPORU_BURAK_YENI1309[[#This Row],[ALT_KOD]])-(SUMIFS(H:H,D:D,DST_123_ÜRETİM_İHTİYAÇ_RAPORU_BURAK_YENI1309[[#This Row],[ALT_KOD]])+AVERAGEIFS(I:I,D:D,DST_123_ÜRETİM_İHTİYAÇ_RAPORU_BURAK_YENI1309[[#This Row],[ALT_KOD]])+AVERAGEIFS(L:L,D:D,DST_123_ÜRETİM_İHTİYAÇ_RAPORU_BURAK_YENI1309[[#This Row],[ALT_KOD]]))</f>
        <v>-15</v>
      </c>
      <c r="L3890">
        <v>0</v>
      </c>
      <c r="M3890">
        <f>IF((DST_123_ÜRETİM_İHTİYAÇ_RAPORU_BURAK_YENI1309[[#This Row],[SATINALMA]]*DST_123_ÜRETİM_İHTİYAÇ_RAPORU_BURAK_YENI1309[[#This Row],[BIRIM_FIYATLAR]])&lt;1,VALUE("0"),DST_123_ÜRETİM_İHTİYAÇ_RAPORU_BURAK_YENI1309[[#This Row],[SATINALMA]]*DST_123_ÜRETİM_İHTİYAÇ_RAPORU_BURAK_YENI1309[[#This Row],[BIRIM_FIYATLAR]])</f>
        <v>0</v>
      </c>
      <c r="N3890">
        <v>15</v>
      </c>
      <c r="O3890" t="s">
        <v>220</v>
      </c>
      <c r="P3890">
        <v>15</v>
      </c>
      <c r="Q3890" t="s">
        <v>221</v>
      </c>
    </row>
    <row r="3891" spans="1:17" x14ac:dyDescent="0.25">
      <c r="A3891" t="s">
        <v>1147</v>
      </c>
      <c r="B3891" t="s">
        <v>1145</v>
      </c>
      <c r="C3891" t="s">
        <v>175</v>
      </c>
      <c r="D3891" t="s">
        <v>402</v>
      </c>
      <c r="E3891" t="s">
        <v>403</v>
      </c>
      <c r="F3891">
        <v>1</v>
      </c>
      <c r="G3891" t="s">
        <v>176</v>
      </c>
      <c r="H3891">
        <v>0</v>
      </c>
      <c r="I3891">
        <v>24</v>
      </c>
      <c r="J3891" s="10">
        <v>14</v>
      </c>
      <c r="K3891" s="10">
        <f>SUMIFS(F:F,D:D,DST_123_ÜRETİM_İHTİYAÇ_RAPORU_BURAK_YENI1309[[#This Row],[ALT_KOD]])-(SUMIFS(H:H,D:D,DST_123_ÜRETİM_İHTİYAÇ_RAPORU_BURAK_YENI1309[[#This Row],[ALT_KOD]])+AVERAGEIFS(I:I,D:D,DST_123_ÜRETİM_İHTİYAÇ_RAPORU_BURAK_YENI1309[[#This Row],[ALT_KOD]])+AVERAGEIFS(L:L,D:D,DST_123_ÜRETİM_İHTİYAÇ_RAPORU_BURAK_YENI1309[[#This Row],[ALT_KOD]]))</f>
        <v>-15</v>
      </c>
      <c r="L3891">
        <v>0</v>
      </c>
      <c r="M3891">
        <f>IF((DST_123_ÜRETİM_İHTİYAÇ_RAPORU_BURAK_YENI1309[[#This Row],[SATINALMA]]*DST_123_ÜRETİM_İHTİYAÇ_RAPORU_BURAK_YENI1309[[#This Row],[BIRIM_FIYATLAR]])&lt;1,VALUE("0"),DST_123_ÜRETİM_İHTİYAÇ_RAPORU_BURAK_YENI1309[[#This Row],[SATINALMA]]*DST_123_ÜRETİM_İHTİYAÇ_RAPORU_BURAK_YENI1309[[#This Row],[BIRIM_FIYATLAR]])</f>
        <v>0</v>
      </c>
      <c r="N3891">
        <v>15</v>
      </c>
      <c r="O3891" t="s">
        <v>220</v>
      </c>
      <c r="P3891">
        <v>15</v>
      </c>
      <c r="Q3891" t="s">
        <v>221</v>
      </c>
    </row>
    <row r="3892" spans="1:17" x14ac:dyDescent="0.25">
      <c r="A3892" t="s">
        <v>1149</v>
      </c>
      <c r="B3892" t="s">
        <v>1145</v>
      </c>
      <c r="C3892" t="s">
        <v>175</v>
      </c>
      <c r="D3892" t="s">
        <v>660</v>
      </c>
      <c r="E3892" t="s">
        <v>661</v>
      </c>
      <c r="F3892">
        <v>1</v>
      </c>
      <c r="G3892" t="s">
        <v>185</v>
      </c>
      <c r="H3892">
        <v>0</v>
      </c>
      <c r="I3892">
        <v>0</v>
      </c>
      <c r="J3892" s="10">
        <v>0</v>
      </c>
      <c r="K3892" s="10">
        <f>SUMIFS(F:F,D:D,DST_123_ÜRETİM_İHTİYAÇ_RAPORU_BURAK_YENI1309[[#This Row],[ALT_KOD]])-(SUMIFS(H:H,D:D,DST_123_ÜRETİM_İHTİYAÇ_RAPORU_BURAK_YENI1309[[#This Row],[ALT_KOD]])+AVERAGEIFS(I:I,D:D,DST_123_ÜRETİM_İHTİYAÇ_RAPORU_BURAK_YENI1309[[#This Row],[ALT_KOD]])+AVERAGEIFS(L:L,D:D,DST_123_ÜRETİM_İHTİYAÇ_RAPORU_BURAK_YENI1309[[#This Row],[ALT_KOD]]))</f>
        <v>19</v>
      </c>
      <c r="L3892">
        <v>0</v>
      </c>
      <c r="M3892">
        <f>IF((DST_123_ÜRETİM_İHTİYAÇ_RAPORU_BURAK_YENI1309[[#This Row],[SATINALMA]]*DST_123_ÜRETİM_İHTİYAÇ_RAPORU_BURAK_YENI1309[[#This Row],[BIRIM_FIYATLAR]])&lt;1,VALUE("0"),DST_123_ÜRETİM_İHTİYAÇ_RAPORU_BURAK_YENI1309[[#This Row],[SATINALMA]]*DST_123_ÜRETİM_İHTİYAÇ_RAPORU_BURAK_YENI1309[[#This Row],[BIRIM_FIYATLAR]])</f>
        <v>1538.6200000000001</v>
      </c>
      <c r="N3892">
        <v>80.98</v>
      </c>
      <c r="O3892" t="s">
        <v>223</v>
      </c>
      <c r="P3892">
        <v>80.98</v>
      </c>
      <c r="Q3892" t="s">
        <v>183</v>
      </c>
    </row>
    <row r="3893" spans="1:17" x14ac:dyDescent="0.25">
      <c r="A3893" t="s">
        <v>1146</v>
      </c>
      <c r="B3893" t="s">
        <v>1145</v>
      </c>
      <c r="C3893" t="s">
        <v>175</v>
      </c>
      <c r="D3893" t="s">
        <v>660</v>
      </c>
      <c r="E3893" t="s">
        <v>661</v>
      </c>
      <c r="F3893">
        <v>1</v>
      </c>
      <c r="G3893" t="s">
        <v>185</v>
      </c>
      <c r="H3893">
        <v>0</v>
      </c>
      <c r="I3893">
        <v>0</v>
      </c>
      <c r="J3893" s="10">
        <v>0</v>
      </c>
      <c r="K3893" s="10">
        <f>SUMIFS(F:F,D:D,DST_123_ÜRETİM_İHTİYAÇ_RAPORU_BURAK_YENI1309[[#This Row],[ALT_KOD]])-(SUMIFS(H:H,D:D,DST_123_ÜRETİM_İHTİYAÇ_RAPORU_BURAK_YENI1309[[#This Row],[ALT_KOD]])+AVERAGEIFS(I:I,D:D,DST_123_ÜRETİM_İHTİYAÇ_RAPORU_BURAK_YENI1309[[#This Row],[ALT_KOD]])+AVERAGEIFS(L:L,D:D,DST_123_ÜRETİM_İHTİYAÇ_RAPORU_BURAK_YENI1309[[#This Row],[ALT_KOD]]))</f>
        <v>19</v>
      </c>
      <c r="L3893">
        <v>0</v>
      </c>
      <c r="M3893">
        <f>IF((DST_123_ÜRETİM_İHTİYAÇ_RAPORU_BURAK_YENI1309[[#This Row],[SATINALMA]]*DST_123_ÜRETİM_İHTİYAÇ_RAPORU_BURAK_YENI1309[[#This Row],[BIRIM_FIYATLAR]])&lt;1,VALUE("0"),DST_123_ÜRETİM_İHTİYAÇ_RAPORU_BURAK_YENI1309[[#This Row],[SATINALMA]]*DST_123_ÜRETİM_İHTİYAÇ_RAPORU_BURAK_YENI1309[[#This Row],[BIRIM_FIYATLAR]])</f>
        <v>1538.6200000000001</v>
      </c>
      <c r="N3893">
        <v>80.98</v>
      </c>
      <c r="O3893" t="s">
        <v>223</v>
      </c>
      <c r="P3893">
        <v>80.98</v>
      </c>
      <c r="Q3893" t="s">
        <v>183</v>
      </c>
    </row>
    <row r="3894" spans="1:17" x14ac:dyDescent="0.25">
      <c r="A3894" t="s">
        <v>1144</v>
      </c>
      <c r="B3894" t="s">
        <v>1145</v>
      </c>
      <c r="C3894" t="s">
        <v>175</v>
      </c>
      <c r="D3894" t="s">
        <v>660</v>
      </c>
      <c r="E3894" t="s">
        <v>661</v>
      </c>
      <c r="F3894">
        <v>1</v>
      </c>
      <c r="G3894" t="s">
        <v>185</v>
      </c>
      <c r="H3894">
        <v>0</v>
      </c>
      <c r="I3894">
        <v>0</v>
      </c>
      <c r="J3894" s="10">
        <v>0</v>
      </c>
      <c r="K3894" s="10">
        <f>SUMIFS(F:F,D:D,DST_123_ÜRETİM_İHTİYAÇ_RAPORU_BURAK_YENI1309[[#This Row],[ALT_KOD]])-(SUMIFS(H:H,D:D,DST_123_ÜRETİM_İHTİYAÇ_RAPORU_BURAK_YENI1309[[#This Row],[ALT_KOD]])+AVERAGEIFS(I:I,D:D,DST_123_ÜRETİM_İHTİYAÇ_RAPORU_BURAK_YENI1309[[#This Row],[ALT_KOD]])+AVERAGEIFS(L:L,D:D,DST_123_ÜRETİM_İHTİYAÇ_RAPORU_BURAK_YENI1309[[#This Row],[ALT_KOD]]))</f>
        <v>19</v>
      </c>
      <c r="L3894">
        <v>0</v>
      </c>
      <c r="M3894">
        <f>IF((DST_123_ÜRETİM_İHTİYAÇ_RAPORU_BURAK_YENI1309[[#This Row],[SATINALMA]]*DST_123_ÜRETİM_İHTİYAÇ_RAPORU_BURAK_YENI1309[[#This Row],[BIRIM_FIYATLAR]])&lt;1,VALUE("0"),DST_123_ÜRETİM_İHTİYAÇ_RAPORU_BURAK_YENI1309[[#This Row],[SATINALMA]]*DST_123_ÜRETİM_İHTİYAÇ_RAPORU_BURAK_YENI1309[[#This Row],[BIRIM_FIYATLAR]])</f>
        <v>1538.6200000000001</v>
      </c>
      <c r="N3894">
        <v>80.98</v>
      </c>
      <c r="O3894" t="s">
        <v>223</v>
      </c>
      <c r="P3894">
        <v>80.98</v>
      </c>
      <c r="Q3894" t="s">
        <v>183</v>
      </c>
    </row>
    <row r="3895" spans="1:17" x14ac:dyDescent="0.25">
      <c r="A3895" t="s">
        <v>1144</v>
      </c>
      <c r="B3895" t="s">
        <v>1145</v>
      </c>
      <c r="C3895" t="s">
        <v>175</v>
      </c>
      <c r="D3895" t="s">
        <v>402</v>
      </c>
      <c r="E3895" t="s">
        <v>403</v>
      </c>
      <c r="F3895">
        <v>1</v>
      </c>
      <c r="G3895" t="s">
        <v>176</v>
      </c>
      <c r="H3895">
        <v>0</v>
      </c>
      <c r="I3895">
        <v>24</v>
      </c>
      <c r="J3895" s="10">
        <v>14</v>
      </c>
      <c r="K3895" s="10">
        <f>SUMIFS(F:F,D:D,DST_123_ÜRETİM_İHTİYAÇ_RAPORU_BURAK_YENI1309[[#This Row],[ALT_KOD]])-(SUMIFS(H:H,D:D,DST_123_ÜRETİM_İHTİYAÇ_RAPORU_BURAK_YENI1309[[#This Row],[ALT_KOD]])+AVERAGEIFS(I:I,D:D,DST_123_ÜRETİM_İHTİYAÇ_RAPORU_BURAK_YENI1309[[#This Row],[ALT_KOD]])+AVERAGEIFS(L:L,D:D,DST_123_ÜRETİM_İHTİYAÇ_RAPORU_BURAK_YENI1309[[#This Row],[ALT_KOD]]))</f>
        <v>-15</v>
      </c>
      <c r="L3895">
        <v>0</v>
      </c>
      <c r="M3895">
        <f>IF((DST_123_ÜRETİM_İHTİYAÇ_RAPORU_BURAK_YENI1309[[#This Row],[SATINALMA]]*DST_123_ÜRETİM_İHTİYAÇ_RAPORU_BURAK_YENI1309[[#This Row],[BIRIM_FIYATLAR]])&lt;1,VALUE("0"),DST_123_ÜRETİM_İHTİYAÇ_RAPORU_BURAK_YENI1309[[#This Row],[SATINALMA]]*DST_123_ÜRETİM_İHTİYAÇ_RAPORU_BURAK_YENI1309[[#This Row],[BIRIM_FIYATLAR]])</f>
        <v>0</v>
      </c>
      <c r="N3895">
        <v>15</v>
      </c>
      <c r="O3895" t="s">
        <v>220</v>
      </c>
      <c r="P3895">
        <v>15</v>
      </c>
      <c r="Q3895" t="s">
        <v>221</v>
      </c>
    </row>
    <row r="3896" spans="1:17" x14ac:dyDescent="0.25">
      <c r="A3896" t="s">
        <v>1146</v>
      </c>
      <c r="B3896" t="s">
        <v>1145</v>
      </c>
      <c r="C3896" t="s">
        <v>175</v>
      </c>
      <c r="D3896" t="s">
        <v>402</v>
      </c>
      <c r="E3896" t="s">
        <v>403</v>
      </c>
      <c r="F3896">
        <v>1</v>
      </c>
      <c r="G3896" t="s">
        <v>176</v>
      </c>
      <c r="H3896">
        <v>0</v>
      </c>
      <c r="I3896">
        <v>24</v>
      </c>
      <c r="J3896" s="10">
        <v>14</v>
      </c>
      <c r="K3896" s="10">
        <f>SUMIFS(F:F,D:D,DST_123_ÜRETİM_İHTİYAÇ_RAPORU_BURAK_YENI1309[[#This Row],[ALT_KOD]])-(SUMIFS(H:H,D:D,DST_123_ÜRETİM_İHTİYAÇ_RAPORU_BURAK_YENI1309[[#This Row],[ALT_KOD]])+AVERAGEIFS(I:I,D:D,DST_123_ÜRETİM_İHTİYAÇ_RAPORU_BURAK_YENI1309[[#This Row],[ALT_KOD]])+AVERAGEIFS(L:L,D:D,DST_123_ÜRETİM_İHTİYAÇ_RAPORU_BURAK_YENI1309[[#This Row],[ALT_KOD]]))</f>
        <v>-15</v>
      </c>
      <c r="L3896">
        <v>0</v>
      </c>
      <c r="M3896">
        <f>IF((DST_123_ÜRETİM_İHTİYAÇ_RAPORU_BURAK_YENI1309[[#This Row],[SATINALMA]]*DST_123_ÜRETİM_İHTİYAÇ_RAPORU_BURAK_YENI1309[[#This Row],[BIRIM_FIYATLAR]])&lt;1,VALUE("0"),DST_123_ÜRETİM_İHTİYAÇ_RAPORU_BURAK_YENI1309[[#This Row],[SATINALMA]]*DST_123_ÜRETİM_İHTİYAÇ_RAPORU_BURAK_YENI1309[[#This Row],[BIRIM_FIYATLAR]])</f>
        <v>0</v>
      </c>
      <c r="N3896">
        <v>15</v>
      </c>
      <c r="O3896" t="s">
        <v>220</v>
      </c>
      <c r="P3896">
        <v>15</v>
      </c>
      <c r="Q3896" t="s">
        <v>221</v>
      </c>
    </row>
    <row r="3897" spans="1:17" x14ac:dyDescent="0.25">
      <c r="A3897" t="s">
        <v>1148</v>
      </c>
      <c r="B3897" t="s">
        <v>1056</v>
      </c>
      <c r="C3897" t="s">
        <v>175</v>
      </c>
      <c r="D3897" t="s">
        <v>611</v>
      </c>
      <c r="E3897" t="s">
        <v>612</v>
      </c>
      <c r="F3897">
        <v>50</v>
      </c>
      <c r="G3897" t="s">
        <v>182</v>
      </c>
      <c r="H3897">
        <v>0</v>
      </c>
      <c r="I3897">
        <v>0</v>
      </c>
      <c r="J3897" s="10">
        <v>252.50000000000003</v>
      </c>
      <c r="K3897" s="10">
        <f>SUMIFS(F:F,D:D,DST_123_ÜRETİM_İHTİYAÇ_RAPORU_BURAK_YENI1309[[#This Row],[ALT_KOD]])-(SUMIFS(H:H,D:D,DST_123_ÜRETİM_İHTİYAÇ_RAPORU_BURAK_YENI1309[[#This Row],[ALT_KOD]])+AVERAGEIFS(I:I,D:D,DST_123_ÜRETİM_İHTİYAÇ_RAPORU_BURAK_YENI1309[[#This Row],[ALT_KOD]])+AVERAGEIFS(L:L,D:D,DST_123_ÜRETİM_İHTİYAÇ_RAPORU_BURAK_YENI1309[[#This Row],[ALT_KOD]]))</f>
        <v>402.5</v>
      </c>
      <c r="L3897">
        <v>19.5</v>
      </c>
      <c r="M3897">
        <f>IF((DST_123_ÜRETİM_İHTİYAÇ_RAPORU_BURAK_YENI1309[[#This Row],[SATINALMA]]*DST_123_ÜRETİM_İHTİYAÇ_RAPORU_BURAK_YENI1309[[#This Row],[BIRIM_FIYATLAR]])&lt;1,VALUE("0"),DST_123_ÜRETİM_İHTİYAÇ_RAPORU_BURAK_YENI1309[[#This Row],[SATINALMA]]*DST_123_ÜRETİM_İHTİYAÇ_RAPORU_BURAK_YENI1309[[#This Row],[BIRIM_FIYATLAR]])</f>
        <v>81928.875</v>
      </c>
      <c r="N3897">
        <v>203.55</v>
      </c>
      <c r="O3897" t="s">
        <v>223</v>
      </c>
      <c r="P3897">
        <v>10177.5</v>
      </c>
      <c r="Q3897" t="s">
        <v>181</v>
      </c>
    </row>
    <row r="3898" spans="1:17" x14ac:dyDescent="0.25">
      <c r="A3898" t="s">
        <v>1100</v>
      </c>
      <c r="B3898" t="s">
        <v>1058</v>
      </c>
      <c r="C3898" t="s">
        <v>175</v>
      </c>
      <c r="D3898" t="s">
        <v>970</v>
      </c>
      <c r="E3898" t="s">
        <v>971</v>
      </c>
      <c r="F3898">
        <v>0.3</v>
      </c>
      <c r="G3898" t="s">
        <v>182</v>
      </c>
      <c r="H3898">
        <v>0</v>
      </c>
      <c r="I3898">
        <v>0</v>
      </c>
      <c r="J3898" s="10">
        <v>30.76</v>
      </c>
      <c r="K3898" s="10">
        <f>SUMIFS(F:F,D:D,DST_123_ÜRETİM_İHTİYAÇ_RAPORU_BURAK_YENI1309[[#This Row],[ALT_KOD]])-(SUMIFS(H:H,D:D,DST_123_ÜRETİM_İHTİYAÇ_RAPORU_BURAK_YENI1309[[#This Row],[ALT_KOD]])+AVERAGEIFS(I:I,D:D,DST_123_ÜRETİM_İHTİYAÇ_RAPORU_BURAK_YENI1309[[#This Row],[ALT_KOD]])+AVERAGEIFS(L:L,D:D,DST_123_ÜRETİM_İHTİYAÇ_RAPORU_BURAK_YENI1309[[#This Row],[ALT_KOD]]))</f>
        <v>4.4400000000000004</v>
      </c>
      <c r="L3898">
        <v>0</v>
      </c>
      <c r="M3898">
        <f>IF((DST_123_ÜRETİM_İHTİYAÇ_RAPORU_BURAK_YENI1309[[#This Row],[SATINALMA]]*DST_123_ÜRETİM_İHTİYAÇ_RAPORU_BURAK_YENI1309[[#This Row],[BIRIM_FIYATLAR]])&lt;1,VALUE("0"),DST_123_ÜRETİM_İHTİYAÇ_RAPORU_BURAK_YENI1309[[#This Row],[SATINALMA]]*DST_123_ÜRETİM_İHTİYAÇ_RAPORU_BURAK_YENI1309[[#This Row],[BIRIM_FIYATLAR]])</f>
        <v>7762.0524000000005</v>
      </c>
      <c r="N3898">
        <v>1748.21</v>
      </c>
      <c r="O3898" t="s">
        <v>223</v>
      </c>
      <c r="P3898">
        <v>524.46299999999997</v>
      </c>
      <c r="Q3898" t="s">
        <v>181</v>
      </c>
    </row>
    <row r="3899" spans="1:17" x14ac:dyDescent="0.25">
      <c r="A3899" t="s">
        <v>1147</v>
      </c>
      <c r="B3899" t="s">
        <v>1145</v>
      </c>
      <c r="C3899" t="s">
        <v>175</v>
      </c>
      <c r="D3899" t="s">
        <v>1155</v>
      </c>
      <c r="E3899" t="s">
        <v>1156</v>
      </c>
      <c r="F3899">
        <v>4</v>
      </c>
      <c r="G3899" t="s">
        <v>176</v>
      </c>
      <c r="H3899">
        <v>0</v>
      </c>
      <c r="I3899">
        <v>0</v>
      </c>
      <c r="J3899" s="10">
        <v>0</v>
      </c>
      <c r="K3899" s="10">
        <f>SUMIFS(F:F,D:D,DST_123_ÜRETİM_İHTİYAÇ_RAPORU_BURAK_YENI1309[[#This Row],[ALT_KOD]])-(SUMIFS(H:H,D:D,DST_123_ÜRETİM_İHTİYAÇ_RAPORU_BURAK_YENI1309[[#This Row],[ALT_KOD]])+AVERAGEIFS(I:I,D:D,DST_123_ÜRETİM_İHTİYAÇ_RAPORU_BURAK_YENI1309[[#This Row],[ALT_KOD]])+AVERAGEIFS(L:L,D:D,DST_123_ÜRETİM_İHTİYAÇ_RAPORU_BURAK_YENI1309[[#This Row],[ALT_KOD]]))</f>
        <v>24</v>
      </c>
      <c r="L3899">
        <v>0</v>
      </c>
      <c r="M3899">
        <f>IF((DST_123_ÜRETİM_İHTİYAÇ_RAPORU_BURAK_YENI1309[[#This Row],[SATINALMA]]*DST_123_ÜRETİM_İHTİYAÇ_RAPORU_BURAK_YENI1309[[#This Row],[BIRIM_FIYATLAR]])&lt;1,VALUE("0"),DST_123_ÜRETİM_İHTİYAÇ_RAPORU_BURAK_YENI1309[[#This Row],[SATINALMA]]*DST_123_ÜRETİM_İHTİYAÇ_RAPORU_BURAK_YENI1309[[#This Row],[BIRIM_FIYATLAR]])</f>
        <v>21.12</v>
      </c>
      <c r="N3899">
        <v>0.88</v>
      </c>
      <c r="O3899" t="s">
        <v>635</v>
      </c>
      <c r="P3899">
        <v>3.52</v>
      </c>
      <c r="Q3899" t="s">
        <v>221</v>
      </c>
    </row>
    <row r="3900" spans="1:17" x14ac:dyDescent="0.25">
      <c r="A3900" t="s">
        <v>1147</v>
      </c>
      <c r="B3900" t="s">
        <v>1145</v>
      </c>
      <c r="C3900" t="s">
        <v>175</v>
      </c>
      <c r="D3900" t="s">
        <v>1051</v>
      </c>
      <c r="E3900" t="s">
        <v>1052</v>
      </c>
      <c r="F3900">
        <v>1</v>
      </c>
      <c r="G3900" t="s">
        <v>176</v>
      </c>
      <c r="H3900">
        <v>0</v>
      </c>
      <c r="I3900">
        <v>2</v>
      </c>
      <c r="J3900" s="10">
        <v>7</v>
      </c>
      <c r="K3900" s="10">
        <f>SUMIFS(F:F,D:D,DST_123_ÜRETİM_İHTİYAÇ_RAPORU_BURAK_YENI1309[[#This Row],[ALT_KOD]])-(SUMIFS(H:H,D:D,DST_123_ÜRETİM_İHTİYAÇ_RAPORU_BURAK_YENI1309[[#This Row],[ALT_KOD]])+AVERAGEIFS(I:I,D:D,DST_123_ÜRETİM_İHTİYAÇ_RAPORU_BURAK_YENI1309[[#This Row],[ALT_KOD]])+AVERAGEIFS(L:L,D:D,DST_123_ÜRETİM_İHTİYAÇ_RAPORU_BURAK_YENI1309[[#This Row],[ALT_KOD]]))</f>
        <v>10</v>
      </c>
      <c r="L3900">
        <v>0</v>
      </c>
      <c r="M3900">
        <f>IF((DST_123_ÜRETİM_İHTİYAÇ_RAPORU_BURAK_YENI1309[[#This Row],[SATINALMA]]*DST_123_ÜRETİM_İHTİYAÇ_RAPORU_BURAK_YENI1309[[#This Row],[BIRIM_FIYATLAR]])&lt;1,VALUE("0"),DST_123_ÜRETİM_İHTİYAÇ_RAPORU_BURAK_YENI1309[[#This Row],[SATINALMA]]*DST_123_ÜRETİM_İHTİYAÇ_RAPORU_BURAK_YENI1309[[#This Row],[BIRIM_FIYATLAR]])</f>
        <v>121389.3</v>
      </c>
      <c r="N3900">
        <v>12138.93</v>
      </c>
      <c r="O3900" t="s">
        <v>634</v>
      </c>
      <c r="P3900">
        <v>12138.93</v>
      </c>
      <c r="Q3900" t="s">
        <v>177</v>
      </c>
    </row>
    <row r="3901" spans="1:17" x14ac:dyDescent="0.25">
      <c r="A3901" t="s">
        <v>1101</v>
      </c>
      <c r="B3901" t="s">
        <v>1102</v>
      </c>
      <c r="C3901" t="s">
        <v>175</v>
      </c>
      <c r="D3901" t="s">
        <v>732</v>
      </c>
      <c r="E3901" t="s">
        <v>733</v>
      </c>
      <c r="F3901">
        <v>18</v>
      </c>
      <c r="G3901" t="s">
        <v>185</v>
      </c>
      <c r="H3901">
        <v>0</v>
      </c>
      <c r="I3901">
        <v>0</v>
      </c>
      <c r="J3901" s="10">
        <v>62.999999999999986</v>
      </c>
      <c r="K3901" s="10">
        <f>SUMIFS(F:F,D:D,DST_123_ÜRETİM_İHTİYAÇ_RAPORU_BURAK_YENI1309[[#This Row],[ALT_KOD]])-(SUMIFS(H:H,D:D,DST_123_ÜRETİM_İHTİYAÇ_RAPORU_BURAK_YENI1309[[#This Row],[ALT_KOD]])+AVERAGEIFS(I:I,D:D,DST_123_ÜRETİM_İHTİYAÇ_RAPORU_BURAK_YENI1309[[#This Row],[ALT_KOD]])+AVERAGEIFS(L:L,D:D,DST_123_ÜRETİM_İHTİYAÇ_RAPORU_BURAK_YENI1309[[#This Row],[ALT_KOD]]))</f>
        <v>196</v>
      </c>
      <c r="L3901">
        <v>0</v>
      </c>
      <c r="M3901">
        <f>IF((DST_123_ÜRETİM_İHTİYAÇ_RAPORU_BURAK_YENI1309[[#This Row],[SATINALMA]]*DST_123_ÜRETİM_İHTİYAÇ_RAPORU_BURAK_YENI1309[[#This Row],[BIRIM_FIYATLAR]])&lt;1,VALUE("0"),DST_123_ÜRETİM_İHTİYAÇ_RAPORU_BURAK_YENI1309[[#This Row],[SATINALMA]]*DST_123_ÜRETİM_İHTİYAÇ_RAPORU_BURAK_YENI1309[[#This Row],[BIRIM_FIYATLAR]])</f>
        <v>215186.44000000003</v>
      </c>
      <c r="N3901">
        <v>1097.8900000000001</v>
      </c>
      <c r="O3901" t="s">
        <v>648</v>
      </c>
      <c r="P3901">
        <v>19762.02</v>
      </c>
      <c r="Q3901" t="s">
        <v>183</v>
      </c>
    </row>
    <row r="3902" spans="1:17" x14ac:dyDescent="0.25">
      <c r="A3902" t="s">
        <v>1143</v>
      </c>
      <c r="B3902" t="s">
        <v>1056</v>
      </c>
      <c r="C3902" t="s">
        <v>175</v>
      </c>
      <c r="D3902" t="s">
        <v>607</v>
      </c>
      <c r="E3902" t="s">
        <v>608</v>
      </c>
      <c r="F3902">
        <v>2</v>
      </c>
      <c r="G3902" t="s">
        <v>176</v>
      </c>
      <c r="H3902">
        <v>0</v>
      </c>
      <c r="I3902">
        <v>0</v>
      </c>
      <c r="J3902" s="10">
        <v>10</v>
      </c>
      <c r="K3902" s="10">
        <f>SUMIFS(F:F,D:D,DST_123_ÜRETİM_İHTİYAÇ_RAPORU_BURAK_YENI1309[[#This Row],[ALT_KOD]])-(SUMIFS(H:H,D:D,DST_123_ÜRETİM_İHTİYAÇ_RAPORU_BURAK_YENI1309[[#This Row],[ALT_KOD]])+AVERAGEIFS(I:I,D:D,DST_123_ÜRETİM_İHTİYAÇ_RAPORU_BURAK_YENI1309[[#This Row],[ALT_KOD]])+AVERAGEIFS(L:L,D:D,DST_123_ÜRETİM_İHTİYAÇ_RAPORU_BURAK_YENI1309[[#This Row],[ALT_KOD]]))</f>
        <v>24</v>
      </c>
      <c r="L3902">
        <v>0</v>
      </c>
      <c r="M3902">
        <f>IF((DST_123_ÜRETİM_İHTİYAÇ_RAPORU_BURAK_YENI1309[[#This Row],[SATINALMA]]*DST_123_ÜRETİM_İHTİYAÇ_RAPORU_BURAK_YENI1309[[#This Row],[BIRIM_FIYATLAR]])&lt;1,VALUE("0"),DST_123_ÜRETİM_İHTİYAÇ_RAPORU_BURAK_YENI1309[[#This Row],[SATINALMA]]*DST_123_ÜRETİM_İHTİYAÇ_RAPORU_BURAK_YENI1309[[#This Row],[BIRIM_FIYATLAR]])</f>
        <v>1358.4</v>
      </c>
      <c r="N3902">
        <v>56.6</v>
      </c>
      <c r="O3902" t="s">
        <v>636</v>
      </c>
      <c r="P3902">
        <v>113.2</v>
      </c>
      <c r="Q3902" t="s">
        <v>177</v>
      </c>
    </row>
    <row r="3903" spans="1:17" x14ac:dyDescent="0.25">
      <c r="A3903" t="s">
        <v>1097</v>
      </c>
      <c r="B3903" t="s">
        <v>1055</v>
      </c>
      <c r="C3903" t="s">
        <v>175</v>
      </c>
      <c r="D3903" t="s">
        <v>607</v>
      </c>
      <c r="E3903" t="s">
        <v>608</v>
      </c>
      <c r="F3903">
        <v>2</v>
      </c>
      <c r="G3903" t="s">
        <v>176</v>
      </c>
      <c r="H3903">
        <v>0</v>
      </c>
      <c r="I3903">
        <v>0</v>
      </c>
      <c r="J3903" s="10">
        <v>10</v>
      </c>
      <c r="K3903" s="10">
        <f>SUMIFS(F:F,D:D,DST_123_ÜRETİM_İHTİYAÇ_RAPORU_BURAK_YENI1309[[#This Row],[ALT_KOD]])-(SUMIFS(H:H,D:D,DST_123_ÜRETİM_İHTİYAÇ_RAPORU_BURAK_YENI1309[[#This Row],[ALT_KOD]])+AVERAGEIFS(I:I,D:D,DST_123_ÜRETİM_İHTİYAÇ_RAPORU_BURAK_YENI1309[[#This Row],[ALT_KOD]])+AVERAGEIFS(L:L,D:D,DST_123_ÜRETİM_İHTİYAÇ_RAPORU_BURAK_YENI1309[[#This Row],[ALT_KOD]]))</f>
        <v>24</v>
      </c>
      <c r="L3903">
        <v>0</v>
      </c>
      <c r="M3903">
        <f>IF((DST_123_ÜRETİM_İHTİYAÇ_RAPORU_BURAK_YENI1309[[#This Row],[SATINALMA]]*DST_123_ÜRETİM_İHTİYAÇ_RAPORU_BURAK_YENI1309[[#This Row],[BIRIM_FIYATLAR]])&lt;1,VALUE("0"),DST_123_ÜRETİM_İHTİYAÇ_RAPORU_BURAK_YENI1309[[#This Row],[SATINALMA]]*DST_123_ÜRETİM_İHTİYAÇ_RAPORU_BURAK_YENI1309[[#This Row],[BIRIM_FIYATLAR]])</f>
        <v>1358.4</v>
      </c>
      <c r="N3903">
        <v>56.6</v>
      </c>
      <c r="O3903" t="s">
        <v>636</v>
      </c>
      <c r="P3903">
        <v>113.2</v>
      </c>
      <c r="Q3903" t="s">
        <v>177</v>
      </c>
    </row>
    <row r="3904" spans="1:17" x14ac:dyDescent="0.25">
      <c r="A3904" t="s">
        <v>1095</v>
      </c>
      <c r="B3904" t="s">
        <v>1096</v>
      </c>
      <c r="C3904" t="s">
        <v>175</v>
      </c>
      <c r="D3904" t="s">
        <v>480</v>
      </c>
      <c r="E3904" t="s">
        <v>481</v>
      </c>
      <c r="F3904">
        <v>35</v>
      </c>
      <c r="G3904" t="s">
        <v>176</v>
      </c>
      <c r="H3904">
        <v>0</v>
      </c>
      <c r="I3904">
        <v>442</v>
      </c>
      <c r="J3904" s="10">
        <v>0</v>
      </c>
      <c r="K3904" s="10">
        <f>SUMIFS(F:F,D:D,DST_123_ÜRETİM_İHTİYAÇ_RAPORU_BURAK_YENI1309[[#This Row],[ALT_KOD]])-(SUMIFS(H:H,D:D,DST_123_ÜRETİM_İHTİYAÇ_RAPORU_BURAK_YENI1309[[#This Row],[ALT_KOD]])+AVERAGEIFS(I:I,D:D,DST_123_ÜRETİM_İHTİYAÇ_RAPORU_BURAK_YENI1309[[#This Row],[ALT_KOD]])+AVERAGEIFS(L:L,D:D,DST_123_ÜRETİM_İHTİYAÇ_RAPORU_BURAK_YENI1309[[#This Row],[ALT_KOD]]))</f>
        <v>-64</v>
      </c>
      <c r="L3904">
        <v>0</v>
      </c>
      <c r="M3904">
        <f>IF((DST_123_ÜRETİM_İHTİYAÇ_RAPORU_BURAK_YENI1309[[#This Row],[SATINALMA]]*DST_123_ÜRETİM_İHTİYAÇ_RAPORU_BURAK_YENI1309[[#This Row],[BIRIM_FIYATLAR]])&lt;1,VALUE("0"),DST_123_ÜRETİM_İHTİYAÇ_RAPORU_BURAK_YENI1309[[#This Row],[SATINALMA]]*DST_123_ÜRETİM_İHTİYAÇ_RAPORU_BURAK_YENI1309[[#This Row],[BIRIM_FIYATLAR]])</f>
        <v>0</v>
      </c>
      <c r="N3904">
        <v>9.35</v>
      </c>
      <c r="O3904" t="s">
        <v>882</v>
      </c>
      <c r="P3904">
        <v>327.25</v>
      </c>
      <c r="Q3904" t="s">
        <v>180</v>
      </c>
    </row>
    <row r="3905" spans="1:17" x14ac:dyDescent="0.25">
      <c r="A3905" t="s">
        <v>1143</v>
      </c>
      <c r="B3905" t="s">
        <v>1056</v>
      </c>
      <c r="C3905" t="s">
        <v>175</v>
      </c>
      <c r="D3905" t="s">
        <v>448</v>
      </c>
      <c r="E3905" t="s">
        <v>449</v>
      </c>
      <c r="F3905">
        <v>2</v>
      </c>
      <c r="G3905" t="s">
        <v>176</v>
      </c>
      <c r="H3905">
        <v>0</v>
      </c>
      <c r="I3905">
        <v>27</v>
      </c>
      <c r="J3905" s="10">
        <v>16</v>
      </c>
      <c r="K3905" s="10">
        <f>SUMIFS(F:F,D:D,DST_123_ÜRETİM_İHTİYAÇ_RAPORU_BURAK_YENI1309[[#This Row],[ALT_KOD]])-(SUMIFS(H:H,D:D,DST_123_ÜRETİM_İHTİYAÇ_RAPORU_BURAK_YENI1309[[#This Row],[ALT_KOD]])+AVERAGEIFS(I:I,D:D,DST_123_ÜRETİM_İHTİYAÇ_RAPORU_BURAK_YENI1309[[#This Row],[ALT_KOD]])+AVERAGEIFS(L:L,D:D,DST_123_ÜRETİM_İHTİYAÇ_RAPORU_BURAK_YENI1309[[#This Row],[ALT_KOD]]))</f>
        <v>-3</v>
      </c>
      <c r="L3905">
        <v>0</v>
      </c>
      <c r="M3905">
        <f>IF((DST_123_ÜRETİM_İHTİYAÇ_RAPORU_BURAK_YENI1309[[#This Row],[SATINALMA]]*DST_123_ÜRETİM_İHTİYAÇ_RAPORU_BURAK_YENI1309[[#This Row],[BIRIM_FIYATLAR]])&lt;1,VALUE("0"),DST_123_ÜRETİM_İHTİYAÇ_RAPORU_BURAK_YENI1309[[#This Row],[SATINALMA]]*DST_123_ÜRETİM_İHTİYAÇ_RAPORU_BURAK_YENI1309[[#This Row],[BIRIM_FIYATLAR]])</f>
        <v>0</v>
      </c>
      <c r="N3905">
        <v>66.23</v>
      </c>
      <c r="O3905" t="s">
        <v>227</v>
      </c>
      <c r="P3905">
        <v>132.46</v>
      </c>
      <c r="Q3905" t="s">
        <v>221</v>
      </c>
    </row>
    <row r="3906" spans="1:17" x14ac:dyDescent="0.25">
      <c r="A3906" t="s">
        <v>1147</v>
      </c>
      <c r="B3906" t="s">
        <v>1145</v>
      </c>
      <c r="C3906" t="s">
        <v>175</v>
      </c>
      <c r="D3906" t="s">
        <v>607</v>
      </c>
      <c r="E3906" t="s">
        <v>608</v>
      </c>
      <c r="F3906">
        <v>2</v>
      </c>
      <c r="G3906" t="s">
        <v>176</v>
      </c>
      <c r="H3906">
        <v>0</v>
      </c>
      <c r="I3906">
        <v>0</v>
      </c>
      <c r="J3906" s="10">
        <v>10</v>
      </c>
      <c r="K3906" s="10">
        <f>SUMIFS(F:F,D:D,DST_123_ÜRETİM_İHTİYAÇ_RAPORU_BURAK_YENI1309[[#This Row],[ALT_KOD]])-(SUMIFS(H:H,D:D,DST_123_ÜRETİM_İHTİYAÇ_RAPORU_BURAK_YENI1309[[#This Row],[ALT_KOD]])+AVERAGEIFS(I:I,D:D,DST_123_ÜRETİM_İHTİYAÇ_RAPORU_BURAK_YENI1309[[#This Row],[ALT_KOD]])+AVERAGEIFS(L:L,D:D,DST_123_ÜRETİM_İHTİYAÇ_RAPORU_BURAK_YENI1309[[#This Row],[ALT_KOD]]))</f>
        <v>24</v>
      </c>
      <c r="L3906">
        <v>0</v>
      </c>
      <c r="M3906">
        <f>IF((DST_123_ÜRETİM_İHTİYAÇ_RAPORU_BURAK_YENI1309[[#This Row],[SATINALMA]]*DST_123_ÜRETİM_İHTİYAÇ_RAPORU_BURAK_YENI1309[[#This Row],[BIRIM_FIYATLAR]])&lt;1,VALUE("0"),DST_123_ÜRETİM_İHTİYAÇ_RAPORU_BURAK_YENI1309[[#This Row],[SATINALMA]]*DST_123_ÜRETİM_İHTİYAÇ_RAPORU_BURAK_YENI1309[[#This Row],[BIRIM_FIYATLAR]])</f>
        <v>1358.4</v>
      </c>
      <c r="N3906">
        <v>56.6</v>
      </c>
      <c r="O3906" t="s">
        <v>636</v>
      </c>
      <c r="P3906">
        <v>113.2</v>
      </c>
      <c r="Q3906" t="s">
        <v>177</v>
      </c>
    </row>
    <row r="3907" spans="1:17" x14ac:dyDescent="0.25">
      <c r="A3907" t="s">
        <v>1060</v>
      </c>
      <c r="B3907" t="s">
        <v>1061</v>
      </c>
      <c r="C3907" t="s">
        <v>175</v>
      </c>
      <c r="D3907" t="s">
        <v>480</v>
      </c>
      <c r="E3907" t="s">
        <v>481</v>
      </c>
      <c r="F3907">
        <v>16</v>
      </c>
      <c r="G3907" t="s">
        <v>176</v>
      </c>
      <c r="H3907">
        <v>0</v>
      </c>
      <c r="I3907">
        <v>442</v>
      </c>
      <c r="J3907" s="10">
        <v>0</v>
      </c>
      <c r="K3907" s="10">
        <f>SUMIFS(F:F,D:D,DST_123_ÜRETİM_İHTİYAÇ_RAPORU_BURAK_YENI1309[[#This Row],[ALT_KOD]])-(SUMIFS(H:H,D:D,DST_123_ÜRETİM_İHTİYAÇ_RAPORU_BURAK_YENI1309[[#This Row],[ALT_KOD]])+AVERAGEIFS(I:I,D:D,DST_123_ÜRETİM_İHTİYAÇ_RAPORU_BURAK_YENI1309[[#This Row],[ALT_KOD]])+AVERAGEIFS(L:L,D:D,DST_123_ÜRETİM_İHTİYAÇ_RAPORU_BURAK_YENI1309[[#This Row],[ALT_KOD]]))</f>
        <v>-64</v>
      </c>
      <c r="L3907">
        <v>0</v>
      </c>
      <c r="M3907">
        <f>IF((DST_123_ÜRETİM_İHTİYAÇ_RAPORU_BURAK_YENI1309[[#This Row],[SATINALMA]]*DST_123_ÜRETİM_İHTİYAÇ_RAPORU_BURAK_YENI1309[[#This Row],[BIRIM_FIYATLAR]])&lt;1,VALUE("0"),DST_123_ÜRETİM_İHTİYAÇ_RAPORU_BURAK_YENI1309[[#This Row],[SATINALMA]]*DST_123_ÜRETİM_İHTİYAÇ_RAPORU_BURAK_YENI1309[[#This Row],[BIRIM_FIYATLAR]])</f>
        <v>0</v>
      </c>
      <c r="N3907">
        <v>9.35</v>
      </c>
      <c r="O3907" t="s">
        <v>882</v>
      </c>
      <c r="P3907">
        <v>149.6</v>
      </c>
      <c r="Q3907" t="s">
        <v>180</v>
      </c>
    </row>
    <row r="3908" spans="1:17" x14ac:dyDescent="0.25">
      <c r="A3908" t="s">
        <v>1147</v>
      </c>
      <c r="B3908" t="s">
        <v>1145</v>
      </c>
      <c r="C3908" t="s">
        <v>175</v>
      </c>
      <c r="D3908" t="s">
        <v>480</v>
      </c>
      <c r="E3908" t="s">
        <v>481</v>
      </c>
      <c r="F3908">
        <v>16</v>
      </c>
      <c r="G3908" t="s">
        <v>176</v>
      </c>
      <c r="H3908">
        <v>0</v>
      </c>
      <c r="I3908">
        <v>442</v>
      </c>
      <c r="J3908" s="10">
        <v>0</v>
      </c>
      <c r="K3908" s="10">
        <f>SUMIFS(F:F,D:D,DST_123_ÜRETİM_İHTİYAÇ_RAPORU_BURAK_YENI1309[[#This Row],[ALT_KOD]])-(SUMIFS(H:H,D:D,DST_123_ÜRETİM_İHTİYAÇ_RAPORU_BURAK_YENI1309[[#This Row],[ALT_KOD]])+AVERAGEIFS(I:I,D:D,DST_123_ÜRETİM_İHTİYAÇ_RAPORU_BURAK_YENI1309[[#This Row],[ALT_KOD]])+AVERAGEIFS(L:L,D:D,DST_123_ÜRETİM_İHTİYAÇ_RAPORU_BURAK_YENI1309[[#This Row],[ALT_KOD]]))</f>
        <v>-64</v>
      </c>
      <c r="L3908">
        <v>0</v>
      </c>
      <c r="M3908">
        <f>IF((DST_123_ÜRETİM_İHTİYAÇ_RAPORU_BURAK_YENI1309[[#This Row],[SATINALMA]]*DST_123_ÜRETİM_İHTİYAÇ_RAPORU_BURAK_YENI1309[[#This Row],[BIRIM_FIYATLAR]])&lt;1,VALUE("0"),DST_123_ÜRETİM_İHTİYAÇ_RAPORU_BURAK_YENI1309[[#This Row],[SATINALMA]]*DST_123_ÜRETİM_İHTİYAÇ_RAPORU_BURAK_YENI1309[[#This Row],[BIRIM_FIYATLAR]])</f>
        <v>0</v>
      </c>
      <c r="N3908">
        <v>9.35</v>
      </c>
      <c r="O3908" t="s">
        <v>882</v>
      </c>
      <c r="P3908">
        <v>149.6</v>
      </c>
      <c r="Q3908" t="s">
        <v>180</v>
      </c>
    </row>
    <row r="3909" spans="1:17" x14ac:dyDescent="0.25">
      <c r="A3909" t="s">
        <v>1148</v>
      </c>
      <c r="B3909" t="s">
        <v>1056</v>
      </c>
      <c r="C3909" t="s">
        <v>175</v>
      </c>
      <c r="D3909" t="s">
        <v>480</v>
      </c>
      <c r="E3909" t="s">
        <v>481</v>
      </c>
      <c r="F3909">
        <v>35</v>
      </c>
      <c r="G3909" t="s">
        <v>176</v>
      </c>
      <c r="H3909">
        <v>0</v>
      </c>
      <c r="I3909">
        <v>442</v>
      </c>
      <c r="J3909" s="10">
        <v>0</v>
      </c>
      <c r="K3909" s="10">
        <f>SUMIFS(F:F,D:D,DST_123_ÜRETİM_İHTİYAÇ_RAPORU_BURAK_YENI1309[[#This Row],[ALT_KOD]])-(SUMIFS(H:H,D:D,DST_123_ÜRETİM_İHTİYAÇ_RAPORU_BURAK_YENI1309[[#This Row],[ALT_KOD]])+AVERAGEIFS(I:I,D:D,DST_123_ÜRETİM_İHTİYAÇ_RAPORU_BURAK_YENI1309[[#This Row],[ALT_KOD]])+AVERAGEIFS(L:L,D:D,DST_123_ÜRETİM_İHTİYAÇ_RAPORU_BURAK_YENI1309[[#This Row],[ALT_KOD]]))</f>
        <v>-64</v>
      </c>
      <c r="L3909">
        <v>0</v>
      </c>
      <c r="M3909">
        <f>IF((DST_123_ÜRETİM_İHTİYAÇ_RAPORU_BURAK_YENI1309[[#This Row],[SATINALMA]]*DST_123_ÜRETİM_İHTİYAÇ_RAPORU_BURAK_YENI1309[[#This Row],[BIRIM_FIYATLAR]])&lt;1,VALUE("0"),DST_123_ÜRETİM_İHTİYAÇ_RAPORU_BURAK_YENI1309[[#This Row],[SATINALMA]]*DST_123_ÜRETİM_İHTİYAÇ_RAPORU_BURAK_YENI1309[[#This Row],[BIRIM_FIYATLAR]])</f>
        <v>0</v>
      </c>
      <c r="N3909">
        <v>9.35</v>
      </c>
      <c r="O3909" t="s">
        <v>882</v>
      </c>
      <c r="P3909">
        <v>327.25</v>
      </c>
      <c r="Q3909" t="s">
        <v>180</v>
      </c>
    </row>
    <row r="3910" spans="1:17" x14ac:dyDescent="0.25">
      <c r="A3910" t="s">
        <v>1148</v>
      </c>
      <c r="B3910" t="s">
        <v>1056</v>
      </c>
      <c r="C3910" t="s">
        <v>175</v>
      </c>
      <c r="D3910" t="s">
        <v>448</v>
      </c>
      <c r="E3910" t="s">
        <v>449</v>
      </c>
      <c r="F3910">
        <v>2</v>
      </c>
      <c r="G3910" t="s">
        <v>176</v>
      </c>
      <c r="H3910">
        <v>0</v>
      </c>
      <c r="I3910">
        <v>27</v>
      </c>
      <c r="J3910" s="10">
        <v>16</v>
      </c>
      <c r="K3910" s="10">
        <f>SUMIFS(F:F,D:D,DST_123_ÜRETİM_İHTİYAÇ_RAPORU_BURAK_YENI1309[[#This Row],[ALT_KOD]])-(SUMIFS(H:H,D:D,DST_123_ÜRETİM_İHTİYAÇ_RAPORU_BURAK_YENI1309[[#This Row],[ALT_KOD]])+AVERAGEIFS(I:I,D:D,DST_123_ÜRETİM_İHTİYAÇ_RAPORU_BURAK_YENI1309[[#This Row],[ALT_KOD]])+AVERAGEIFS(L:L,D:D,DST_123_ÜRETİM_İHTİYAÇ_RAPORU_BURAK_YENI1309[[#This Row],[ALT_KOD]]))</f>
        <v>-3</v>
      </c>
      <c r="L3910">
        <v>0</v>
      </c>
      <c r="M3910">
        <f>IF((DST_123_ÜRETİM_İHTİYAÇ_RAPORU_BURAK_YENI1309[[#This Row],[SATINALMA]]*DST_123_ÜRETİM_İHTİYAÇ_RAPORU_BURAK_YENI1309[[#This Row],[BIRIM_FIYATLAR]])&lt;1,VALUE("0"),DST_123_ÜRETİM_İHTİYAÇ_RAPORU_BURAK_YENI1309[[#This Row],[SATINALMA]]*DST_123_ÜRETİM_İHTİYAÇ_RAPORU_BURAK_YENI1309[[#This Row],[BIRIM_FIYATLAR]])</f>
        <v>0</v>
      </c>
      <c r="N3910">
        <v>66.23</v>
      </c>
      <c r="O3910" t="s">
        <v>227</v>
      </c>
      <c r="P3910">
        <v>132.46</v>
      </c>
      <c r="Q3910" t="s">
        <v>221</v>
      </c>
    </row>
    <row r="3911" spans="1:17" x14ac:dyDescent="0.25">
      <c r="A3911" t="s">
        <v>1143</v>
      </c>
      <c r="B3911" t="s">
        <v>1056</v>
      </c>
      <c r="C3911" t="s">
        <v>175</v>
      </c>
      <c r="D3911" t="s">
        <v>123</v>
      </c>
      <c r="E3911" t="s">
        <v>633</v>
      </c>
      <c r="F3911">
        <v>0.44999999999999996</v>
      </c>
      <c r="G3911" t="s">
        <v>179</v>
      </c>
      <c r="H3911">
        <v>0</v>
      </c>
      <c r="I3911">
        <v>200</v>
      </c>
      <c r="J3911" s="10">
        <v>5.6843418860808015E-14</v>
      </c>
      <c r="K3911" s="10">
        <f>SUMIFS(F:F,D:D,DST_123_ÜRETİM_İHTİYAÇ_RAPORU_BURAK_YENI1309[[#This Row],[ALT_KOD]])-(SUMIFS(H:H,D:D,DST_123_ÜRETİM_İHTİYAÇ_RAPORU_BURAK_YENI1309[[#This Row],[ALT_KOD]])+AVERAGEIFS(I:I,D:D,DST_123_ÜRETİM_İHTİYAÇ_RAPORU_BURAK_YENI1309[[#This Row],[ALT_KOD]])+AVERAGEIFS(L:L,D:D,DST_123_ÜRETİM_İHTİYAÇ_RAPORU_BURAK_YENI1309[[#This Row],[ALT_KOD]]))</f>
        <v>-196.15</v>
      </c>
      <c r="L3911">
        <v>0</v>
      </c>
      <c r="M3911">
        <f>IF((DST_123_ÜRETİM_İHTİYAÇ_RAPORU_BURAK_YENI1309[[#This Row],[SATINALMA]]*DST_123_ÜRETİM_İHTİYAÇ_RAPORU_BURAK_YENI1309[[#This Row],[BIRIM_FIYATLAR]])&lt;1,VALUE("0"),DST_123_ÜRETİM_İHTİYAÇ_RAPORU_BURAK_YENI1309[[#This Row],[SATINALMA]]*DST_123_ÜRETİM_İHTİYAÇ_RAPORU_BURAK_YENI1309[[#This Row],[BIRIM_FIYATLAR]])</f>
        <v>0</v>
      </c>
      <c r="N3911">
        <v>2.89</v>
      </c>
      <c r="O3911" t="s">
        <v>826</v>
      </c>
      <c r="P3911">
        <v>1.3005</v>
      </c>
      <c r="Q3911" t="s">
        <v>221</v>
      </c>
    </row>
    <row r="3912" spans="1:17" x14ac:dyDescent="0.25">
      <c r="A3912" t="s">
        <v>1142</v>
      </c>
      <c r="B3912" t="s">
        <v>1056</v>
      </c>
      <c r="C3912" t="s">
        <v>175</v>
      </c>
      <c r="D3912" t="s">
        <v>133</v>
      </c>
      <c r="E3912" t="s">
        <v>310</v>
      </c>
      <c r="F3912">
        <v>1</v>
      </c>
      <c r="G3912" t="s">
        <v>176</v>
      </c>
      <c r="H3912">
        <v>0</v>
      </c>
      <c r="I3912">
        <v>15</v>
      </c>
      <c r="J3912" s="10">
        <v>9</v>
      </c>
      <c r="K3912" s="10">
        <f>SUMIFS(F:F,D:D,DST_123_ÜRETİM_İHTİYAÇ_RAPORU_BURAK_YENI1309[[#This Row],[ALT_KOD]])-(SUMIFS(H:H,D:D,DST_123_ÜRETİM_İHTİYAÇ_RAPORU_BURAK_YENI1309[[#This Row],[ALT_KOD]])+AVERAGEIFS(I:I,D:D,DST_123_ÜRETİM_İHTİYAÇ_RAPORU_BURAK_YENI1309[[#This Row],[ALT_KOD]])+AVERAGEIFS(L:L,D:D,DST_123_ÜRETİM_İHTİYAÇ_RAPORU_BURAK_YENI1309[[#This Row],[ALT_KOD]]))</f>
        <v>-3</v>
      </c>
      <c r="L3912">
        <v>0</v>
      </c>
      <c r="M3912">
        <f>IF((DST_123_ÜRETİM_İHTİYAÇ_RAPORU_BURAK_YENI1309[[#This Row],[SATINALMA]]*DST_123_ÜRETİM_İHTİYAÇ_RAPORU_BURAK_YENI1309[[#This Row],[BIRIM_FIYATLAR]])&lt;1,VALUE("0"),DST_123_ÜRETİM_İHTİYAÇ_RAPORU_BURAK_YENI1309[[#This Row],[SATINALMA]]*DST_123_ÜRETİM_İHTİYAÇ_RAPORU_BURAK_YENI1309[[#This Row],[BIRIM_FIYATLAR]])</f>
        <v>0</v>
      </c>
      <c r="N3912">
        <v>224.46</v>
      </c>
      <c r="O3912" t="s">
        <v>826</v>
      </c>
      <c r="P3912">
        <v>224.46</v>
      </c>
      <c r="Q3912" t="s">
        <v>221</v>
      </c>
    </row>
    <row r="3913" spans="1:17" x14ac:dyDescent="0.25">
      <c r="A3913" t="s">
        <v>1142</v>
      </c>
      <c r="B3913" t="s">
        <v>1056</v>
      </c>
      <c r="C3913" t="s">
        <v>175</v>
      </c>
      <c r="D3913" t="s">
        <v>236</v>
      </c>
      <c r="E3913" t="s">
        <v>305</v>
      </c>
      <c r="F3913">
        <v>2</v>
      </c>
      <c r="G3913" t="s">
        <v>176</v>
      </c>
      <c r="H3913">
        <v>0</v>
      </c>
      <c r="I3913">
        <v>452</v>
      </c>
      <c r="J3913" s="10">
        <v>25</v>
      </c>
      <c r="K3913" s="10">
        <f>SUMIFS(F:F,D:D,DST_123_ÜRETİM_İHTİYAÇ_RAPORU_BURAK_YENI1309[[#This Row],[ALT_KOD]])-(SUMIFS(H:H,D:D,DST_123_ÜRETİM_İHTİYAÇ_RAPORU_BURAK_YENI1309[[#This Row],[ALT_KOD]])+AVERAGEIFS(I:I,D:D,DST_123_ÜRETİM_İHTİYAÇ_RAPORU_BURAK_YENI1309[[#This Row],[ALT_KOD]])+AVERAGEIFS(L:L,D:D,DST_123_ÜRETİM_İHTİYAÇ_RAPORU_BURAK_YENI1309[[#This Row],[ALT_KOD]]))</f>
        <v>-428</v>
      </c>
      <c r="L3913">
        <v>0</v>
      </c>
      <c r="M3913">
        <f>IF((DST_123_ÜRETİM_İHTİYAÇ_RAPORU_BURAK_YENI1309[[#This Row],[SATINALMA]]*DST_123_ÜRETİM_İHTİYAÇ_RAPORU_BURAK_YENI1309[[#This Row],[BIRIM_FIYATLAR]])&lt;1,VALUE("0"),DST_123_ÜRETİM_İHTİYAÇ_RAPORU_BURAK_YENI1309[[#This Row],[SATINALMA]]*DST_123_ÜRETİM_İHTİYAÇ_RAPORU_BURAK_YENI1309[[#This Row],[BIRIM_FIYATLAR]])</f>
        <v>0</v>
      </c>
      <c r="N3913">
        <v>20</v>
      </c>
      <c r="P3913">
        <v>40</v>
      </c>
      <c r="Q3913" t="s">
        <v>221</v>
      </c>
    </row>
    <row r="3914" spans="1:17" x14ac:dyDescent="0.25">
      <c r="A3914" t="s">
        <v>1143</v>
      </c>
      <c r="B3914" t="s">
        <v>1056</v>
      </c>
      <c r="C3914" t="s">
        <v>175</v>
      </c>
      <c r="D3914" t="s">
        <v>236</v>
      </c>
      <c r="E3914" t="s">
        <v>305</v>
      </c>
      <c r="F3914">
        <v>2</v>
      </c>
      <c r="G3914" t="s">
        <v>176</v>
      </c>
      <c r="H3914">
        <v>0</v>
      </c>
      <c r="I3914">
        <v>452</v>
      </c>
      <c r="J3914" s="10">
        <v>25</v>
      </c>
      <c r="K3914" s="10">
        <f>SUMIFS(F:F,D:D,DST_123_ÜRETİM_İHTİYAÇ_RAPORU_BURAK_YENI1309[[#This Row],[ALT_KOD]])-(SUMIFS(H:H,D:D,DST_123_ÜRETİM_İHTİYAÇ_RAPORU_BURAK_YENI1309[[#This Row],[ALT_KOD]])+AVERAGEIFS(I:I,D:D,DST_123_ÜRETİM_İHTİYAÇ_RAPORU_BURAK_YENI1309[[#This Row],[ALT_KOD]])+AVERAGEIFS(L:L,D:D,DST_123_ÜRETİM_İHTİYAÇ_RAPORU_BURAK_YENI1309[[#This Row],[ALT_KOD]]))</f>
        <v>-428</v>
      </c>
      <c r="L3914">
        <v>0</v>
      </c>
      <c r="M3914">
        <f>IF((DST_123_ÜRETİM_İHTİYAÇ_RAPORU_BURAK_YENI1309[[#This Row],[SATINALMA]]*DST_123_ÜRETİM_İHTİYAÇ_RAPORU_BURAK_YENI1309[[#This Row],[BIRIM_FIYATLAR]])&lt;1,VALUE("0"),DST_123_ÜRETİM_İHTİYAÇ_RAPORU_BURAK_YENI1309[[#This Row],[SATINALMA]]*DST_123_ÜRETİM_İHTİYAÇ_RAPORU_BURAK_YENI1309[[#This Row],[BIRIM_FIYATLAR]])</f>
        <v>0</v>
      </c>
      <c r="N3914">
        <v>20</v>
      </c>
      <c r="P3914">
        <v>40</v>
      </c>
      <c r="Q3914" t="s">
        <v>221</v>
      </c>
    </row>
    <row r="3915" spans="1:17" x14ac:dyDescent="0.25">
      <c r="A3915" t="s">
        <v>1059</v>
      </c>
      <c r="B3915" t="s">
        <v>1058</v>
      </c>
      <c r="C3915" t="s">
        <v>175</v>
      </c>
      <c r="D3915" t="s">
        <v>720</v>
      </c>
      <c r="E3915" t="s">
        <v>721</v>
      </c>
      <c r="F3915">
        <v>2</v>
      </c>
      <c r="G3915" t="s">
        <v>176</v>
      </c>
      <c r="H3915">
        <v>0</v>
      </c>
      <c r="I3915">
        <v>200</v>
      </c>
      <c r="J3915" s="10">
        <v>88</v>
      </c>
      <c r="K3915" s="10">
        <f>SUMIFS(F:F,D:D,DST_123_ÜRETİM_İHTİYAÇ_RAPORU_BURAK_YENI1309[[#This Row],[ALT_KOD]])-(SUMIFS(H:H,D:D,DST_123_ÜRETİM_İHTİYAÇ_RAPORU_BURAK_YENI1309[[#This Row],[ALT_KOD]])+AVERAGEIFS(I:I,D:D,DST_123_ÜRETİM_İHTİYAÇ_RAPORU_BURAK_YENI1309[[#This Row],[ALT_KOD]])+AVERAGEIFS(L:L,D:D,DST_123_ÜRETİM_İHTİYAÇ_RAPORU_BURAK_YENI1309[[#This Row],[ALT_KOD]]))</f>
        <v>-190</v>
      </c>
      <c r="L3915">
        <v>0</v>
      </c>
      <c r="M3915">
        <f>IF((DST_123_ÜRETİM_İHTİYAÇ_RAPORU_BURAK_YENI1309[[#This Row],[SATINALMA]]*DST_123_ÜRETİM_İHTİYAÇ_RAPORU_BURAK_YENI1309[[#This Row],[BIRIM_FIYATLAR]])&lt;1,VALUE("0"),DST_123_ÜRETİM_İHTİYAÇ_RAPORU_BURAK_YENI1309[[#This Row],[SATINALMA]]*DST_123_ÜRETİM_İHTİYAÇ_RAPORU_BURAK_YENI1309[[#This Row],[BIRIM_FIYATLAR]])</f>
        <v>0</v>
      </c>
      <c r="N3915">
        <v>10</v>
      </c>
      <c r="O3915" t="s">
        <v>226</v>
      </c>
      <c r="P3915">
        <v>20</v>
      </c>
      <c r="Q3915" t="s">
        <v>180</v>
      </c>
    </row>
    <row r="3916" spans="1:17" x14ac:dyDescent="0.25">
      <c r="A3916" t="s">
        <v>1097</v>
      </c>
      <c r="B3916" t="s">
        <v>1055</v>
      </c>
      <c r="C3916" t="s">
        <v>175</v>
      </c>
      <c r="D3916" t="s">
        <v>710</v>
      </c>
      <c r="E3916" t="s">
        <v>711</v>
      </c>
      <c r="F3916">
        <v>1</v>
      </c>
      <c r="G3916" t="s">
        <v>176</v>
      </c>
      <c r="H3916">
        <v>0</v>
      </c>
      <c r="I3916">
        <v>0</v>
      </c>
      <c r="J3916" s="10">
        <v>2</v>
      </c>
      <c r="K3916" s="10">
        <f>SUMIFS(F:F,D:D,DST_123_ÜRETİM_İHTİYAÇ_RAPORU_BURAK_YENI1309[[#This Row],[ALT_KOD]])-(SUMIFS(H:H,D:D,DST_123_ÜRETİM_İHTİYAÇ_RAPORU_BURAK_YENI1309[[#This Row],[ALT_KOD]])+AVERAGEIFS(I:I,D:D,DST_123_ÜRETİM_İHTİYAÇ_RAPORU_BURAK_YENI1309[[#This Row],[ALT_KOD]])+AVERAGEIFS(L:L,D:D,DST_123_ÜRETİM_İHTİYAÇ_RAPORU_BURAK_YENI1309[[#This Row],[ALT_KOD]]))</f>
        <v>8</v>
      </c>
      <c r="L3916">
        <v>0</v>
      </c>
      <c r="M3916">
        <f>IF((DST_123_ÜRETİM_İHTİYAÇ_RAPORU_BURAK_YENI1309[[#This Row],[SATINALMA]]*DST_123_ÜRETİM_İHTİYAÇ_RAPORU_BURAK_YENI1309[[#This Row],[BIRIM_FIYATLAR]])&lt;1,VALUE("0"),DST_123_ÜRETİM_İHTİYAÇ_RAPORU_BURAK_YENI1309[[#This Row],[SATINALMA]]*DST_123_ÜRETİM_İHTİYAÇ_RAPORU_BURAK_YENI1309[[#This Row],[BIRIM_FIYATLAR]])</f>
        <v>191760</v>
      </c>
      <c r="N3916">
        <v>23970</v>
      </c>
      <c r="O3916" t="s">
        <v>1195</v>
      </c>
      <c r="P3916">
        <v>23970</v>
      </c>
      <c r="Q3916" t="s">
        <v>177</v>
      </c>
    </row>
    <row r="3917" spans="1:17" x14ac:dyDescent="0.25">
      <c r="A3917" t="s">
        <v>1059</v>
      </c>
      <c r="B3917" t="s">
        <v>1058</v>
      </c>
      <c r="C3917" t="s">
        <v>175</v>
      </c>
      <c r="D3917" t="s">
        <v>873</v>
      </c>
      <c r="E3917" t="s">
        <v>874</v>
      </c>
      <c r="F3917">
        <v>1</v>
      </c>
      <c r="G3917" t="s">
        <v>176</v>
      </c>
      <c r="H3917">
        <v>1</v>
      </c>
      <c r="I3917">
        <v>5</v>
      </c>
      <c r="J3917" s="10">
        <v>6</v>
      </c>
      <c r="K3917" s="10">
        <f>SUMIFS(F:F,D:D,DST_123_ÜRETİM_İHTİYAÇ_RAPORU_BURAK_YENI1309[[#This Row],[ALT_KOD]])-(SUMIFS(H:H,D:D,DST_123_ÜRETİM_İHTİYAÇ_RAPORU_BURAK_YENI1309[[#This Row],[ALT_KOD]])+AVERAGEIFS(I:I,D:D,DST_123_ÜRETİM_İHTİYAÇ_RAPORU_BURAK_YENI1309[[#This Row],[ALT_KOD]])+AVERAGEIFS(L:L,D:D,DST_123_ÜRETİM_İHTİYAÇ_RAPORU_BURAK_YENI1309[[#This Row],[ALT_KOD]]))</f>
        <v>-17</v>
      </c>
      <c r="L3917">
        <v>12</v>
      </c>
      <c r="M3917">
        <f>IF((DST_123_ÜRETİM_İHTİYAÇ_RAPORU_BURAK_YENI1309[[#This Row],[SATINALMA]]*DST_123_ÜRETİM_İHTİYAÇ_RAPORU_BURAK_YENI1309[[#This Row],[BIRIM_FIYATLAR]])&lt;1,VALUE("0"),DST_123_ÜRETİM_İHTİYAÇ_RAPORU_BURAK_YENI1309[[#This Row],[SATINALMA]]*DST_123_ÜRETİM_İHTİYAÇ_RAPORU_BURAK_YENI1309[[#This Row],[BIRIM_FIYATLAR]])</f>
        <v>0</v>
      </c>
      <c r="N3917">
        <v>14305.4</v>
      </c>
      <c r="O3917" t="s">
        <v>872</v>
      </c>
      <c r="P3917">
        <v>14305.4</v>
      </c>
      <c r="Q3917" t="s">
        <v>178</v>
      </c>
    </row>
    <row r="3918" spans="1:17" x14ac:dyDescent="0.25">
      <c r="A3918" t="s">
        <v>1143</v>
      </c>
      <c r="B3918" t="s">
        <v>1056</v>
      </c>
      <c r="C3918" t="s">
        <v>175</v>
      </c>
      <c r="D3918" t="s">
        <v>429</v>
      </c>
      <c r="E3918" t="s">
        <v>430</v>
      </c>
      <c r="F3918">
        <v>1</v>
      </c>
      <c r="G3918" t="s">
        <v>176</v>
      </c>
      <c r="H3918">
        <v>0</v>
      </c>
      <c r="I3918">
        <v>10</v>
      </c>
      <c r="J3918" s="10">
        <v>5</v>
      </c>
      <c r="K3918" s="10">
        <f>SUMIFS(F:F,D:D,DST_123_ÜRETİM_İHTİYAÇ_RAPORU_BURAK_YENI1309[[#This Row],[ALT_KOD]])-(SUMIFS(H:H,D:D,DST_123_ÜRETİM_İHTİYAÇ_RAPORU_BURAK_YENI1309[[#This Row],[ALT_KOD]])+AVERAGEIFS(I:I,D:D,DST_123_ÜRETİM_İHTİYAÇ_RAPORU_BURAK_YENI1309[[#This Row],[ALT_KOD]])+AVERAGEIFS(L:L,D:D,DST_123_ÜRETİM_İHTİYAÇ_RAPORU_BURAK_YENI1309[[#This Row],[ALT_KOD]]))</f>
        <v>-6</v>
      </c>
      <c r="L3918">
        <v>0</v>
      </c>
      <c r="M3918">
        <f>IF((DST_123_ÜRETİM_İHTİYAÇ_RAPORU_BURAK_YENI1309[[#This Row],[SATINALMA]]*DST_123_ÜRETİM_İHTİYAÇ_RAPORU_BURAK_YENI1309[[#This Row],[BIRIM_FIYATLAR]])&lt;1,VALUE("0"),DST_123_ÜRETİM_İHTİYAÇ_RAPORU_BURAK_YENI1309[[#This Row],[SATINALMA]]*DST_123_ÜRETİM_İHTİYAÇ_RAPORU_BURAK_YENI1309[[#This Row],[BIRIM_FIYATLAR]])</f>
        <v>0</v>
      </c>
      <c r="N3918">
        <v>1679.53</v>
      </c>
      <c r="O3918" t="s">
        <v>636</v>
      </c>
      <c r="P3918">
        <v>1679.53</v>
      </c>
      <c r="Q3918" t="s">
        <v>178</v>
      </c>
    </row>
    <row r="3919" spans="1:17" x14ac:dyDescent="0.25">
      <c r="A3919" t="s">
        <v>1095</v>
      </c>
      <c r="B3919" t="s">
        <v>1096</v>
      </c>
      <c r="C3919" t="s">
        <v>175</v>
      </c>
      <c r="D3919" t="s">
        <v>347</v>
      </c>
      <c r="E3919" t="s">
        <v>348</v>
      </c>
      <c r="F3919">
        <v>0.1</v>
      </c>
      <c r="G3919" t="s">
        <v>176</v>
      </c>
      <c r="H3919">
        <v>0</v>
      </c>
      <c r="I3919">
        <v>2</v>
      </c>
      <c r="J3919" s="10">
        <v>-6.3837823915946501E-16</v>
      </c>
      <c r="K3919" s="10">
        <f>SUMIFS(F:F,D:D,DST_123_ÜRETİM_İHTİYAÇ_RAPORU_BURAK_YENI1309[[#This Row],[ALT_KOD]])-(SUMIFS(H:H,D:D,DST_123_ÜRETİM_İHTİYAÇ_RAPORU_BURAK_YENI1309[[#This Row],[ALT_KOD]])+AVERAGEIFS(I:I,D:D,DST_123_ÜRETİM_İHTİYAÇ_RAPORU_BURAK_YENI1309[[#This Row],[ALT_KOD]])+AVERAGEIFS(L:L,D:D,DST_123_ÜRETİM_İHTİYAÇ_RAPORU_BURAK_YENI1309[[#This Row],[ALT_KOD]]))</f>
        <v>1.4000000000000004</v>
      </c>
      <c r="L3919">
        <v>0</v>
      </c>
      <c r="M3919">
        <f>IF((DST_123_ÜRETİM_İHTİYAÇ_RAPORU_BURAK_YENI1309[[#This Row],[SATINALMA]]*DST_123_ÜRETİM_İHTİYAÇ_RAPORU_BURAK_YENI1309[[#This Row],[BIRIM_FIYATLAR]])&lt;1,VALUE("0"),DST_123_ÜRETİM_İHTİYAÇ_RAPORU_BURAK_YENI1309[[#This Row],[SATINALMA]]*DST_123_ÜRETİM_İHTİYAÇ_RAPORU_BURAK_YENI1309[[#This Row],[BIRIM_FIYATLAR]])</f>
        <v>3889.2000000000012</v>
      </c>
      <c r="N3919">
        <v>2778</v>
      </c>
      <c r="O3919" t="s">
        <v>217</v>
      </c>
      <c r="P3919">
        <v>277.8</v>
      </c>
      <c r="Q3919" t="s">
        <v>183</v>
      </c>
    </row>
    <row r="3920" spans="1:17" x14ac:dyDescent="0.25">
      <c r="A3920" t="s">
        <v>1095</v>
      </c>
      <c r="B3920" t="s">
        <v>1096</v>
      </c>
      <c r="C3920" t="s">
        <v>175</v>
      </c>
      <c r="D3920" t="s">
        <v>342</v>
      </c>
      <c r="E3920" t="s">
        <v>343</v>
      </c>
      <c r="F3920">
        <v>0.1</v>
      </c>
      <c r="G3920" t="s">
        <v>176</v>
      </c>
      <c r="H3920">
        <v>0</v>
      </c>
      <c r="I3920">
        <v>2</v>
      </c>
      <c r="J3920" s="10">
        <v>1.7763568394002505E-15</v>
      </c>
      <c r="K3920" s="10">
        <f>SUMIFS(F:F,D:D,DST_123_ÜRETİM_İHTİYAÇ_RAPORU_BURAK_YENI1309[[#This Row],[ALT_KOD]])-(SUMIFS(H:H,D:D,DST_123_ÜRETİM_İHTİYAÇ_RAPORU_BURAK_YENI1309[[#This Row],[ALT_KOD]])+AVERAGEIFS(I:I,D:D,DST_123_ÜRETİM_İHTİYAÇ_RAPORU_BURAK_YENI1309[[#This Row],[ALT_KOD]])+AVERAGEIFS(L:L,D:D,DST_123_ÜRETİM_İHTİYAÇ_RAPORU_BURAK_YENI1309[[#This Row],[ALT_KOD]]))</f>
        <v>-0.84999999999999964</v>
      </c>
      <c r="L3920">
        <v>0</v>
      </c>
      <c r="M3920">
        <f>IF((DST_123_ÜRETİM_İHTİYAÇ_RAPORU_BURAK_YENI1309[[#This Row],[SATINALMA]]*DST_123_ÜRETİM_İHTİYAÇ_RAPORU_BURAK_YENI1309[[#This Row],[BIRIM_FIYATLAR]])&lt;1,VALUE("0"),DST_123_ÜRETİM_İHTİYAÇ_RAPORU_BURAK_YENI1309[[#This Row],[SATINALMA]]*DST_123_ÜRETİM_İHTİYAÇ_RAPORU_BURAK_YENI1309[[#This Row],[BIRIM_FIYATLAR]])</f>
        <v>0</v>
      </c>
      <c r="N3920">
        <v>1400</v>
      </c>
      <c r="O3920" t="s">
        <v>217</v>
      </c>
      <c r="P3920">
        <v>140</v>
      </c>
      <c r="Q3920" t="s">
        <v>183</v>
      </c>
    </row>
    <row r="3921" spans="1:17" x14ac:dyDescent="0.25">
      <c r="A3921" t="s">
        <v>1142</v>
      </c>
      <c r="B3921" t="s">
        <v>1056</v>
      </c>
      <c r="C3921" t="s">
        <v>175</v>
      </c>
      <c r="D3921" t="s">
        <v>710</v>
      </c>
      <c r="E3921" t="s">
        <v>711</v>
      </c>
      <c r="F3921">
        <v>1</v>
      </c>
      <c r="G3921" t="s">
        <v>176</v>
      </c>
      <c r="H3921">
        <v>0</v>
      </c>
      <c r="I3921">
        <v>0</v>
      </c>
      <c r="J3921" s="10">
        <v>2</v>
      </c>
      <c r="K3921" s="10">
        <f>SUMIFS(F:F,D:D,DST_123_ÜRETİM_İHTİYAÇ_RAPORU_BURAK_YENI1309[[#This Row],[ALT_KOD]])-(SUMIFS(H:H,D:D,DST_123_ÜRETİM_İHTİYAÇ_RAPORU_BURAK_YENI1309[[#This Row],[ALT_KOD]])+AVERAGEIFS(I:I,D:D,DST_123_ÜRETİM_İHTİYAÇ_RAPORU_BURAK_YENI1309[[#This Row],[ALT_KOD]])+AVERAGEIFS(L:L,D:D,DST_123_ÜRETİM_İHTİYAÇ_RAPORU_BURAK_YENI1309[[#This Row],[ALT_KOD]]))</f>
        <v>8</v>
      </c>
      <c r="L3921">
        <v>0</v>
      </c>
      <c r="M3921">
        <f>IF((DST_123_ÜRETİM_İHTİYAÇ_RAPORU_BURAK_YENI1309[[#This Row],[SATINALMA]]*DST_123_ÜRETİM_İHTİYAÇ_RAPORU_BURAK_YENI1309[[#This Row],[BIRIM_FIYATLAR]])&lt;1,VALUE("0"),DST_123_ÜRETİM_İHTİYAÇ_RAPORU_BURAK_YENI1309[[#This Row],[SATINALMA]]*DST_123_ÜRETİM_İHTİYAÇ_RAPORU_BURAK_YENI1309[[#This Row],[BIRIM_FIYATLAR]])</f>
        <v>191760</v>
      </c>
      <c r="N3921">
        <v>23970</v>
      </c>
      <c r="O3921" t="s">
        <v>1195</v>
      </c>
      <c r="P3921">
        <v>23970</v>
      </c>
      <c r="Q3921" t="s">
        <v>177</v>
      </c>
    </row>
    <row r="3922" spans="1:17" x14ac:dyDescent="0.25">
      <c r="A3922" t="s">
        <v>1142</v>
      </c>
      <c r="B3922" t="s">
        <v>1056</v>
      </c>
      <c r="C3922" t="s">
        <v>175</v>
      </c>
      <c r="D3922" t="s">
        <v>342</v>
      </c>
      <c r="E3922" t="s">
        <v>343</v>
      </c>
      <c r="F3922">
        <v>0.05</v>
      </c>
      <c r="G3922" t="s">
        <v>176</v>
      </c>
      <c r="H3922">
        <v>0</v>
      </c>
      <c r="I3922">
        <v>2</v>
      </c>
      <c r="J3922" s="10">
        <v>1.7763568394002505E-15</v>
      </c>
      <c r="K3922" s="10">
        <f>SUMIFS(F:F,D:D,DST_123_ÜRETİM_İHTİYAÇ_RAPORU_BURAK_YENI1309[[#This Row],[ALT_KOD]])-(SUMIFS(H:H,D:D,DST_123_ÜRETİM_İHTİYAÇ_RAPORU_BURAK_YENI1309[[#This Row],[ALT_KOD]])+AVERAGEIFS(I:I,D:D,DST_123_ÜRETİM_İHTİYAÇ_RAPORU_BURAK_YENI1309[[#This Row],[ALT_KOD]])+AVERAGEIFS(L:L,D:D,DST_123_ÜRETİM_İHTİYAÇ_RAPORU_BURAK_YENI1309[[#This Row],[ALT_KOD]]))</f>
        <v>-0.84999999999999964</v>
      </c>
      <c r="L3922">
        <v>0</v>
      </c>
      <c r="M3922">
        <f>IF((DST_123_ÜRETİM_İHTİYAÇ_RAPORU_BURAK_YENI1309[[#This Row],[SATINALMA]]*DST_123_ÜRETİM_İHTİYAÇ_RAPORU_BURAK_YENI1309[[#This Row],[BIRIM_FIYATLAR]])&lt;1,VALUE("0"),DST_123_ÜRETİM_İHTİYAÇ_RAPORU_BURAK_YENI1309[[#This Row],[SATINALMA]]*DST_123_ÜRETİM_İHTİYAÇ_RAPORU_BURAK_YENI1309[[#This Row],[BIRIM_FIYATLAR]])</f>
        <v>0</v>
      </c>
      <c r="N3922">
        <v>1400</v>
      </c>
      <c r="O3922" t="s">
        <v>217</v>
      </c>
      <c r="P3922">
        <v>70</v>
      </c>
      <c r="Q3922" t="s">
        <v>183</v>
      </c>
    </row>
    <row r="3923" spans="1:17" x14ac:dyDescent="0.25">
      <c r="A3923" t="s">
        <v>1142</v>
      </c>
      <c r="B3923" t="s">
        <v>1056</v>
      </c>
      <c r="C3923" t="s">
        <v>175</v>
      </c>
      <c r="D3923" t="s">
        <v>502</v>
      </c>
      <c r="E3923" t="s">
        <v>503</v>
      </c>
      <c r="F3923">
        <v>2</v>
      </c>
      <c r="G3923" t="s">
        <v>176</v>
      </c>
      <c r="H3923">
        <v>0</v>
      </c>
      <c r="I3923">
        <v>115</v>
      </c>
      <c r="J3923" s="10">
        <v>2</v>
      </c>
      <c r="K3923" s="10">
        <f>SUMIFS(F:F,D:D,DST_123_ÜRETİM_İHTİYAÇ_RAPORU_BURAK_YENI1309[[#This Row],[ALT_KOD]])-(SUMIFS(H:H,D:D,DST_123_ÜRETİM_İHTİYAÇ_RAPORU_BURAK_YENI1309[[#This Row],[ALT_KOD]])+AVERAGEIFS(I:I,D:D,DST_123_ÜRETİM_İHTİYAÇ_RAPORU_BURAK_YENI1309[[#This Row],[ALT_KOD]])+AVERAGEIFS(L:L,D:D,DST_123_ÜRETİM_İHTİYAÇ_RAPORU_BURAK_YENI1309[[#This Row],[ALT_KOD]]))</f>
        <v>-77</v>
      </c>
      <c r="L3923">
        <v>0</v>
      </c>
      <c r="M3923">
        <f>IF((DST_123_ÜRETİM_İHTİYAÇ_RAPORU_BURAK_YENI1309[[#This Row],[SATINALMA]]*DST_123_ÜRETİM_İHTİYAÇ_RAPORU_BURAK_YENI1309[[#This Row],[BIRIM_FIYATLAR]])&lt;1,VALUE("0"),DST_123_ÜRETİM_İHTİYAÇ_RAPORU_BURAK_YENI1309[[#This Row],[SATINALMA]]*DST_123_ÜRETİM_İHTİYAÇ_RAPORU_BURAK_YENI1309[[#This Row],[BIRIM_FIYATLAR]])</f>
        <v>0</v>
      </c>
      <c r="N3923">
        <v>0.44</v>
      </c>
      <c r="O3923" t="s">
        <v>504</v>
      </c>
      <c r="P3923">
        <v>0.88</v>
      </c>
      <c r="Q3923" t="s">
        <v>221</v>
      </c>
    </row>
    <row r="3924" spans="1:17" x14ac:dyDescent="0.25">
      <c r="A3924" t="s">
        <v>1142</v>
      </c>
      <c r="B3924" t="s">
        <v>1056</v>
      </c>
      <c r="C3924" t="s">
        <v>175</v>
      </c>
      <c r="D3924" t="s">
        <v>510</v>
      </c>
      <c r="E3924" t="s">
        <v>511</v>
      </c>
      <c r="F3924">
        <v>2</v>
      </c>
      <c r="G3924" t="s">
        <v>176</v>
      </c>
      <c r="H3924">
        <v>0</v>
      </c>
      <c r="I3924">
        <v>0</v>
      </c>
      <c r="J3924" s="10">
        <v>14</v>
      </c>
      <c r="K3924" s="10">
        <f>SUMIFS(F:F,D:D,DST_123_ÜRETİM_İHTİYAÇ_RAPORU_BURAK_YENI1309[[#This Row],[ALT_KOD]])-(SUMIFS(H:H,D:D,DST_123_ÜRETİM_İHTİYAÇ_RAPORU_BURAK_YENI1309[[#This Row],[ALT_KOD]])+AVERAGEIFS(I:I,D:D,DST_123_ÜRETİM_İHTİYAÇ_RAPORU_BURAK_YENI1309[[#This Row],[ALT_KOD]])+AVERAGEIFS(L:L,D:D,DST_123_ÜRETİM_İHTİYAÇ_RAPORU_BURAK_YENI1309[[#This Row],[ALT_KOD]]))</f>
        <v>38</v>
      </c>
      <c r="L3924">
        <v>0</v>
      </c>
      <c r="M3924">
        <f>IF((DST_123_ÜRETİM_İHTİYAÇ_RAPORU_BURAK_YENI1309[[#This Row],[SATINALMA]]*DST_123_ÜRETİM_İHTİYAÇ_RAPORU_BURAK_YENI1309[[#This Row],[BIRIM_FIYATLAR]])&lt;1,VALUE("0"),DST_123_ÜRETİM_İHTİYAÇ_RAPORU_BURAK_YENI1309[[#This Row],[SATINALMA]]*DST_123_ÜRETİM_İHTİYAÇ_RAPORU_BURAK_YENI1309[[#This Row],[BIRIM_FIYATLAR]])</f>
        <v>261.06</v>
      </c>
      <c r="N3924">
        <v>6.87</v>
      </c>
      <c r="O3924" t="s">
        <v>826</v>
      </c>
      <c r="P3924">
        <v>13.74</v>
      </c>
      <c r="Q3924" t="s">
        <v>221</v>
      </c>
    </row>
    <row r="3925" spans="1:17" x14ac:dyDescent="0.25">
      <c r="A3925" t="s">
        <v>1097</v>
      </c>
      <c r="B3925" t="s">
        <v>1055</v>
      </c>
      <c r="C3925" t="s">
        <v>175</v>
      </c>
      <c r="D3925" t="s">
        <v>347</v>
      </c>
      <c r="E3925" t="s">
        <v>348</v>
      </c>
      <c r="F3925">
        <v>0.1</v>
      </c>
      <c r="G3925" t="s">
        <v>176</v>
      </c>
      <c r="H3925">
        <v>0</v>
      </c>
      <c r="I3925">
        <v>2</v>
      </c>
      <c r="J3925" s="10">
        <v>-6.3837823915946501E-16</v>
      </c>
      <c r="K3925" s="10">
        <f>SUMIFS(F:F,D:D,DST_123_ÜRETİM_İHTİYAÇ_RAPORU_BURAK_YENI1309[[#This Row],[ALT_KOD]])-(SUMIFS(H:H,D:D,DST_123_ÜRETİM_İHTİYAÇ_RAPORU_BURAK_YENI1309[[#This Row],[ALT_KOD]])+AVERAGEIFS(I:I,D:D,DST_123_ÜRETİM_İHTİYAÇ_RAPORU_BURAK_YENI1309[[#This Row],[ALT_KOD]])+AVERAGEIFS(L:L,D:D,DST_123_ÜRETİM_İHTİYAÇ_RAPORU_BURAK_YENI1309[[#This Row],[ALT_KOD]]))</f>
        <v>1.4000000000000004</v>
      </c>
      <c r="L3925">
        <v>0</v>
      </c>
      <c r="M3925">
        <f>IF((DST_123_ÜRETİM_İHTİYAÇ_RAPORU_BURAK_YENI1309[[#This Row],[SATINALMA]]*DST_123_ÜRETİM_İHTİYAÇ_RAPORU_BURAK_YENI1309[[#This Row],[BIRIM_FIYATLAR]])&lt;1,VALUE("0"),DST_123_ÜRETİM_İHTİYAÇ_RAPORU_BURAK_YENI1309[[#This Row],[SATINALMA]]*DST_123_ÜRETİM_İHTİYAÇ_RAPORU_BURAK_YENI1309[[#This Row],[BIRIM_FIYATLAR]])</f>
        <v>3889.2000000000012</v>
      </c>
      <c r="N3925">
        <v>2778</v>
      </c>
      <c r="O3925" t="s">
        <v>217</v>
      </c>
      <c r="P3925">
        <v>277.8</v>
      </c>
      <c r="Q3925" t="s">
        <v>183</v>
      </c>
    </row>
    <row r="3926" spans="1:17" x14ac:dyDescent="0.25">
      <c r="A3926" t="s">
        <v>1147</v>
      </c>
      <c r="B3926" t="s">
        <v>1145</v>
      </c>
      <c r="C3926" t="s">
        <v>175</v>
      </c>
      <c r="D3926" t="s">
        <v>611</v>
      </c>
      <c r="E3926" t="s">
        <v>612</v>
      </c>
      <c r="F3926">
        <v>15</v>
      </c>
      <c r="G3926" t="s">
        <v>182</v>
      </c>
      <c r="H3926">
        <v>0</v>
      </c>
      <c r="I3926">
        <v>0</v>
      </c>
      <c r="J3926" s="10">
        <v>252.50000000000003</v>
      </c>
      <c r="K3926" s="10">
        <f>SUMIFS(F:F,D:D,DST_123_ÜRETİM_İHTİYAÇ_RAPORU_BURAK_YENI1309[[#This Row],[ALT_KOD]])-(SUMIFS(H:H,D:D,DST_123_ÜRETİM_İHTİYAÇ_RAPORU_BURAK_YENI1309[[#This Row],[ALT_KOD]])+AVERAGEIFS(I:I,D:D,DST_123_ÜRETİM_İHTİYAÇ_RAPORU_BURAK_YENI1309[[#This Row],[ALT_KOD]])+AVERAGEIFS(L:L,D:D,DST_123_ÜRETİM_İHTİYAÇ_RAPORU_BURAK_YENI1309[[#This Row],[ALT_KOD]]))</f>
        <v>402.5</v>
      </c>
      <c r="L3926">
        <v>19.5</v>
      </c>
      <c r="M3926">
        <f>IF((DST_123_ÜRETİM_İHTİYAÇ_RAPORU_BURAK_YENI1309[[#This Row],[SATINALMA]]*DST_123_ÜRETİM_İHTİYAÇ_RAPORU_BURAK_YENI1309[[#This Row],[BIRIM_FIYATLAR]])&lt;1,VALUE("0"),DST_123_ÜRETİM_İHTİYAÇ_RAPORU_BURAK_YENI1309[[#This Row],[SATINALMA]]*DST_123_ÜRETİM_İHTİYAÇ_RAPORU_BURAK_YENI1309[[#This Row],[BIRIM_FIYATLAR]])</f>
        <v>81928.875</v>
      </c>
      <c r="N3926">
        <v>203.55</v>
      </c>
      <c r="O3926" t="s">
        <v>223</v>
      </c>
      <c r="P3926">
        <v>3053.25</v>
      </c>
      <c r="Q3926" t="s">
        <v>181</v>
      </c>
    </row>
    <row r="3927" spans="1:17" x14ac:dyDescent="0.25">
      <c r="A3927" t="s">
        <v>1150</v>
      </c>
      <c r="B3927" t="s">
        <v>1145</v>
      </c>
      <c r="C3927" t="s">
        <v>175</v>
      </c>
      <c r="D3927" t="s">
        <v>660</v>
      </c>
      <c r="E3927" t="s">
        <v>661</v>
      </c>
      <c r="F3927">
        <v>1</v>
      </c>
      <c r="G3927" t="s">
        <v>185</v>
      </c>
      <c r="H3927">
        <v>0</v>
      </c>
      <c r="I3927">
        <v>0</v>
      </c>
      <c r="J3927" s="10">
        <v>0</v>
      </c>
      <c r="K3927" s="10">
        <f>SUMIFS(F:F,D:D,DST_123_ÜRETİM_İHTİYAÇ_RAPORU_BURAK_YENI1309[[#This Row],[ALT_KOD]])-(SUMIFS(H:H,D:D,DST_123_ÜRETİM_İHTİYAÇ_RAPORU_BURAK_YENI1309[[#This Row],[ALT_KOD]])+AVERAGEIFS(I:I,D:D,DST_123_ÜRETİM_İHTİYAÇ_RAPORU_BURAK_YENI1309[[#This Row],[ALT_KOD]])+AVERAGEIFS(L:L,D:D,DST_123_ÜRETİM_İHTİYAÇ_RAPORU_BURAK_YENI1309[[#This Row],[ALT_KOD]]))</f>
        <v>19</v>
      </c>
      <c r="L3927">
        <v>0</v>
      </c>
      <c r="M3927">
        <f>IF((DST_123_ÜRETİM_İHTİYAÇ_RAPORU_BURAK_YENI1309[[#This Row],[SATINALMA]]*DST_123_ÜRETİM_İHTİYAÇ_RAPORU_BURAK_YENI1309[[#This Row],[BIRIM_FIYATLAR]])&lt;1,VALUE("0"),DST_123_ÜRETİM_İHTİYAÇ_RAPORU_BURAK_YENI1309[[#This Row],[SATINALMA]]*DST_123_ÜRETİM_İHTİYAÇ_RAPORU_BURAK_YENI1309[[#This Row],[BIRIM_FIYATLAR]])</f>
        <v>1538.6200000000001</v>
      </c>
      <c r="N3927">
        <v>80.98</v>
      </c>
      <c r="O3927" t="s">
        <v>223</v>
      </c>
      <c r="P3927">
        <v>80.98</v>
      </c>
      <c r="Q3927" t="s">
        <v>183</v>
      </c>
    </row>
    <row r="3928" spans="1:17" x14ac:dyDescent="0.25">
      <c r="A3928" t="s">
        <v>1149</v>
      </c>
      <c r="B3928" t="s">
        <v>1145</v>
      </c>
      <c r="C3928" t="s">
        <v>175</v>
      </c>
      <c r="D3928" t="s">
        <v>562</v>
      </c>
      <c r="E3928" t="s">
        <v>563</v>
      </c>
      <c r="F3928">
        <v>7</v>
      </c>
      <c r="G3928" t="s">
        <v>176</v>
      </c>
      <c r="H3928">
        <v>0</v>
      </c>
      <c r="I3928">
        <v>3000</v>
      </c>
      <c r="J3928" s="10">
        <v>0</v>
      </c>
      <c r="K3928" s="10">
        <f>SUMIFS(F:F,D:D,DST_123_ÜRETİM_İHTİYAÇ_RAPORU_BURAK_YENI1309[[#This Row],[ALT_KOD]])-(SUMIFS(H:H,D:D,DST_123_ÜRETİM_İHTİYAÇ_RAPORU_BURAK_YENI1309[[#This Row],[ALT_KOD]])+AVERAGEIFS(I:I,D:D,DST_123_ÜRETİM_İHTİYAÇ_RAPORU_BURAK_YENI1309[[#This Row],[ALT_KOD]])+AVERAGEIFS(L:L,D:D,DST_123_ÜRETİM_İHTİYAÇ_RAPORU_BURAK_YENI1309[[#This Row],[ALT_KOD]]))</f>
        <v>-2847</v>
      </c>
      <c r="L3928">
        <v>0</v>
      </c>
      <c r="M3928">
        <f>IF((DST_123_ÜRETİM_İHTİYAÇ_RAPORU_BURAK_YENI1309[[#This Row],[SATINALMA]]*DST_123_ÜRETİM_İHTİYAÇ_RAPORU_BURAK_YENI1309[[#This Row],[BIRIM_FIYATLAR]])&lt;1,VALUE("0"),DST_123_ÜRETİM_İHTİYAÇ_RAPORU_BURAK_YENI1309[[#This Row],[SATINALMA]]*DST_123_ÜRETİM_İHTİYAÇ_RAPORU_BURAK_YENI1309[[#This Row],[BIRIM_FIYATLAR]])</f>
        <v>0</v>
      </c>
      <c r="N3928">
        <v>0.7</v>
      </c>
      <c r="O3928" t="s">
        <v>240</v>
      </c>
      <c r="P3928">
        <v>4.8999999999999995</v>
      </c>
      <c r="Q3928" t="s">
        <v>180</v>
      </c>
    </row>
    <row r="3929" spans="1:17" x14ac:dyDescent="0.25">
      <c r="A3929" t="s">
        <v>1150</v>
      </c>
      <c r="B3929" t="s">
        <v>1145</v>
      </c>
      <c r="C3929" t="s">
        <v>175</v>
      </c>
      <c r="D3929" t="s">
        <v>402</v>
      </c>
      <c r="E3929" t="s">
        <v>403</v>
      </c>
      <c r="F3929">
        <v>1</v>
      </c>
      <c r="G3929" t="s">
        <v>176</v>
      </c>
      <c r="H3929">
        <v>0</v>
      </c>
      <c r="I3929">
        <v>24</v>
      </c>
      <c r="J3929" s="10">
        <v>14</v>
      </c>
      <c r="K3929" s="10">
        <f>SUMIFS(F:F,D:D,DST_123_ÜRETİM_İHTİYAÇ_RAPORU_BURAK_YENI1309[[#This Row],[ALT_KOD]])-(SUMIFS(H:H,D:D,DST_123_ÜRETİM_İHTİYAÇ_RAPORU_BURAK_YENI1309[[#This Row],[ALT_KOD]])+AVERAGEIFS(I:I,D:D,DST_123_ÜRETİM_İHTİYAÇ_RAPORU_BURAK_YENI1309[[#This Row],[ALT_KOD]])+AVERAGEIFS(L:L,D:D,DST_123_ÜRETİM_İHTİYAÇ_RAPORU_BURAK_YENI1309[[#This Row],[ALT_KOD]]))</f>
        <v>-15</v>
      </c>
      <c r="L3929">
        <v>0</v>
      </c>
      <c r="M3929">
        <f>IF((DST_123_ÜRETİM_İHTİYAÇ_RAPORU_BURAK_YENI1309[[#This Row],[SATINALMA]]*DST_123_ÜRETİM_İHTİYAÇ_RAPORU_BURAK_YENI1309[[#This Row],[BIRIM_FIYATLAR]])&lt;1,VALUE("0"),DST_123_ÜRETİM_İHTİYAÇ_RAPORU_BURAK_YENI1309[[#This Row],[SATINALMA]]*DST_123_ÜRETİM_İHTİYAÇ_RAPORU_BURAK_YENI1309[[#This Row],[BIRIM_FIYATLAR]])</f>
        <v>0</v>
      </c>
      <c r="N3929">
        <v>15</v>
      </c>
      <c r="O3929" t="s">
        <v>220</v>
      </c>
      <c r="P3929">
        <v>15</v>
      </c>
      <c r="Q3929" t="s">
        <v>221</v>
      </c>
    </row>
    <row r="3930" spans="1:17" x14ac:dyDescent="0.25">
      <c r="A3930" t="s">
        <v>1147</v>
      </c>
      <c r="B3930" t="s">
        <v>1145</v>
      </c>
      <c r="C3930" t="s">
        <v>175</v>
      </c>
      <c r="D3930" t="s">
        <v>626</v>
      </c>
      <c r="E3930" t="s">
        <v>627</v>
      </c>
      <c r="F3930">
        <v>2</v>
      </c>
      <c r="G3930" t="s">
        <v>176</v>
      </c>
      <c r="H3930">
        <v>0</v>
      </c>
      <c r="I3930">
        <v>5</v>
      </c>
      <c r="J3930" s="10">
        <v>24</v>
      </c>
      <c r="K3930" s="10">
        <f>SUMIFS(F:F,D:D,DST_123_ÜRETİM_İHTİYAÇ_RAPORU_BURAK_YENI1309[[#This Row],[ALT_KOD]])-(SUMIFS(H:H,D:D,DST_123_ÜRETİM_İHTİYAÇ_RAPORU_BURAK_YENI1309[[#This Row],[ALT_KOD]])+AVERAGEIFS(I:I,D:D,DST_123_ÜRETİM_İHTİYAÇ_RAPORU_BURAK_YENI1309[[#This Row],[ALT_KOD]])+AVERAGEIFS(L:L,D:D,DST_123_ÜRETİM_İHTİYAÇ_RAPORU_BURAK_YENI1309[[#This Row],[ALT_KOD]]))</f>
        <v>11</v>
      </c>
      <c r="L3930">
        <v>0</v>
      </c>
      <c r="M3930">
        <f>IF((DST_123_ÜRETİM_İHTİYAÇ_RAPORU_BURAK_YENI1309[[#This Row],[SATINALMA]]*DST_123_ÜRETİM_İHTİYAÇ_RAPORU_BURAK_YENI1309[[#This Row],[BIRIM_FIYATLAR]])&lt;1,VALUE("0"),DST_123_ÜRETİM_İHTİYAÇ_RAPORU_BURAK_YENI1309[[#This Row],[SATINALMA]]*DST_123_ÜRETİM_İHTİYAÇ_RAPORU_BURAK_YENI1309[[#This Row],[BIRIM_FIYATLAR]])</f>
        <v>164408.75</v>
      </c>
      <c r="N3930">
        <v>14946.25</v>
      </c>
      <c r="O3930" t="s">
        <v>625</v>
      </c>
      <c r="P3930">
        <v>29892.5</v>
      </c>
      <c r="Q3930" t="s">
        <v>178</v>
      </c>
    </row>
    <row r="3931" spans="1:17" x14ac:dyDescent="0.25">
      <c r="A3931" t="s">
        <v>1060</v>
      </c>
      <c r="B3931" t="s">
        <v>1061</v>
      </c>
      <c r="C3931" t="s">
        <v>175</v>
      </c>
      <c r="D3931" t="s">
        <v>611</v>
      </c>
      <c r="E3931" t="s">
        <v>612</v>
      </c>
      <c r="F3931">
        <v>15</v>
      </c>
      <c r="G3931" t="s">
        <v>182</v>
      </c>
      <c r="H3931">
        <v>0</v>
      </c>
      <c r="I3931">
        <v>0</v>
      </c>
      <c r="J3931" s="10">
        <v>252.50000000000003</v>
      </c>
      <c r="K3931" s="10">
        <f>SUMIFS(F:F,D:D,DST_123_ÜRETİM_İHTİYAÇ_RAPORU_BURAK_YENI1309[[#This Row],[ALT_KOD]])-(SUMIFS(H:H,D:D,DST_123_ÜRETİM_İHTİYAÇ_RAPORU_BURAK_YENI1309[[#This Row],[ALT_KOD]])+AVERAGEIFS(I:I,D:D,DST_123_ÜRETİM_İHTİYAÇ_RAPORU_BURAK_YENI1309[[#This Row],[ALT_KOD]])+AVERAGEIFS(L:L,D:D,DST_123_ÜRETİM_İHTİYAÇ_RAPORU_BURAK_YENI1309[[#This Row],[ALT_KOD]]))</f>
        <v>402.5</v>
      </c>
      <c r="L3931">
        <v>19.5</v>
      </c>
      <c r="M3931">
        <f>IF((DST_123_ÜRETİM_İHTİYAÇ_RAPORU_BURAK_YENI1309[[#This Row],[SATINALMA]]*DST_123_ÜRETİM_İHTİYAÇ_RAPORU_BURAK_YENI1309[[#This Row],[BIRIM_FIYATLAR]])&lt;1,VALUE("0"),DST_123_ÜRETİM_İHTİYAÇ_RAPORU_BURAK_YENI1309[[#This Row],[SATINALMA]]*DST_123_ÜRETİM_İHTİYAÇ_RAPORU_BURAK_YENI1309[[#This Row],[BIRIM_FIYATLAR]])</f>
        <v>81928.875</v>
      </c>
      <c r="N3931">
        <v>203.55</v>
      </c>
      <c r="O3931" t="s">
        <v>223</v>
      </c>
      <c r="P3931">
        <v>3053.25</v>
      </c>
      <c r="Q3931" t="s">
        <v>181</v>
      </c>
    </row>
    <row r="3932" spans="1:17" x14ac:dyDescent="0.25">
      <c r="A3932" t="s">
        <v>1057</v>
      </c>
      <c r="B3932" t="s">
        <v>1058</v>
      </c>
      <c r="C3932" t="s">
        <v>175</v>
      </c>
      <c r="D3932" t="s">
        <v>611</v>
      </c>
      <c r="E3932" t="s">
        <v>612</v>
      </c>
      <c r="F3932">
        <v>6</v>
      </c>
      <c r="G3932" t="s">
        <v>182</v>
      </c>
      <c r="H3932">
        <v>0</v>
      </c>
      <c r="I3932">
        <v>0</v>
      </c>
      <c r="J3932" s="10">
        <v>252.50000000000003</v>
      </c>
      <c r="K3932" s="10">
        <f>SUMIFS(F:F,D:D,DST_123_ÜRETİM_İHTİYAÇ_RAPORU_BURAK_YENI1309[[#This Row],[ALT_KOD]])-(SUMIFS(H:H,D:D,DST_123_ÜRETİM_İHTİYAÇ_RAPORU_BURAK_YENI1309[[#This Row],[ALT_KOD]])+AVERAGEIFS(I:I,D:D,DST_123_ÜRETİM_İHTİYAÇ_RAPORU_BURAK_YENI1309[[#This Row],[ALT_KOD]])+AVERAGEIFS(L:L,D:D,DST_123_ÜRETİM_İHTİYAÇ_RAPORU_BURAK_YENI1309[[#This Row],[ALT_KOD]]))</f>
        <v>402.5</v>
      </c>
      <c r="L3932">
        <v>19.5</v>
      </c>
      <c r="M3932">
        <f>IF((DST_123_ÜRETİM_İHTİYAÇ_RAPORU_BURAK_YENI1309[[#This Row],[SATINALMA]]*DST_123_ÜRETİM_İHTİYAÇ_RAPORU_BURAK_YENI1309[[#This Row],[BIRIM_FIYATLAR]])&lt;1,VALUE("0"),DST_123_ÜRETİM_İHTİYAÇ_RAPORU_BURAK_YENI1309[[#This Row],[SATINALMA]]*DST_123_ÜRETİM_İHTİYAÇ_RAPORU_BURAK_YENI1309[[#This Row],[BIRIM_FIYATLAR]])</f>
        <v>81928.875</v>
      </c>
      <c r="N3932">
        <v>203.55</v>
      </c>
      <c r="O3932" t="s">
        <v>223</v>
      </c>
      <c r="P3932">
        <v>1221.3000000000002</v>
      </c>
      <c r="Q3932" t="s">
        <v>181</v>
      </c>
    </row>
    <row r="3933" spans="1:17" x14ac:dyDescent="0.25">
      <c r="A3933" t="s">
        <v>1095</v>
      </c>
      <c r="B3933" t="s">
        <v>1096</v>
      </c>
      <c r="C3933" t="s">
        <v>175</v>
      </c>
      <c r="D3933" t="s">
        <v>626</v>
      </c>
      <c r="E3933" t="s">
        <v>627</v>
      </c>
      <c r="F3933">
        <v>2</v>
      </c>
      <c r="G3933" t="s">
        <v>176</v>
      </c>
      <c r="H3933">
        <v>0</v>
      </c>
      <c r="I3933">
        <v>5</v>
      </c>
      <c r="J3933" s="10">
        <v>24</v>
      </c>
      <c r="K3933" s="10">
        <f>SUMIFS(F:F,D:D,DST_123_ÜRETİM_İHTİYAÇ_RAPORU_BURAK_YENI1309[[#This Row],[ALT_KOD]])-(SUMIFS(H:H,D:D,DST_123_ÜRETİM_İHTİYAÇ_RAPORU_BURAK_YENI1309[[#This Row],[ALT_KOD]])+AVERAGEIFS(I:I,D:D,DST_123_ÜRETİM_İHTİYAÇ_RAPORU_BURAK_YENI1309[[#This Row],[ALT_KOD]])+AVERAGEIFS(L:L,D:D,DST_123_ÜRETİM_İHTİYAÇ_RAPORU_BURAK_YENI1309[[#This Row],[ALT_KOD]]))</f>
        <v>11</v>
      </c>
      <c r="L3933">
        <v>0</v>
      </c>
      <c r="M3933">
        <f>IF((DST_123_ÜRETİM_İHTİYAÇ_RAPORU_BURAK_YENI1309[[#This Row],[SATINALMA]]*DST_123_ÜRETİM_İHTİYAÇ_RAPORU_BURAK_YENI1309[[#This Row],[BIRIM_FIYATLAR]])&lt;1,VALUE("0"),DST_123_ÜRETİM_İHTİYAÇ_RAPORU_BURAK_YENI1309[[#This Row],[SATINALMA]]*DST_123_ÜRETİM_İHTİYAÇ_RAPORU_BURAK_YENI1309[[#This Row],[BIRIM_FIYATLAR]])</f>
        <v>164408.75</v>
      </c>
      <c r="N3933">
        <v>14946.25</v>
      </c>
      <c r="O3933" t="s">
        <v>625</v>
      </c>
      <c r="P3933">
        <v>29892.5</v>
      </c>
      <c r="Q3933" t="s">
        <v>178</v>
      </c>
    </row>
    <row r="3934" spans="1:17" x14ac:dyDescent="0.25">
      <c r="A3934" t="s">
        <v>1143</v>
      </c>
      <c r="B3934" t="s">
        <v>1056</v>
      </c>
      <c r="C3934" t="s">
        <v>175</v>
      </c>
      <c r="D3934" t="s">
        <v>611</v>
      </c>
      <c r="E3934" t="s">
        <v>612</v>
      </c>
      <c r="F3934">
        <v>55</v>
      </c>
      <c r="G3934" t="s">
        <v>182</v>
      </c>
      <c r="H3934">
        <v>0</v>
      </c>
      <c r="I3934">
        <v>0</v>
      </c>
      <c r="J3934" s="10">
        <v>252.50000000000003</v>
      </c>
      <c r="K3934" s="10">
        <f>SUMIFS(F:F,D:D,DST_123_ÜRETİM_İHTİYAÇ_RAPORU_BURAK_YENI1309[[#This Row],[ALT_KOD]])-(SUMIFS(H:H,D:D,DST_123_ÜRETİM_İHTİYAÇ_RAPORU_BURAK_YENI1309[[#This Row],[ALT_KOD]])+AVERAGEIFS(I:I,D:D,DST_123_ÜRETİM_İHTİYAÇ_RAPORU_BURAK_YENI1309[[#This Row],[ALT_KOD]])+AVERAGEIFS(L:L,D:D,DST_123_ÜRETİM_İHTİYAÇ_RAPORU_BURAK_YENI1309[[#This Row],[ALT_KOD]]))</f>
        <v>402.5</v>
      </c>
      <c r="L3934">
        <v>19.5</v>
      </c>
      <c r="M3934">
        <f>IF((DST_123_ÜRETİM_İHTİYAÇ_RAPORU_BURAK_YENI1309[[#This Row],[SATINALMA]]*DST_123_ÜRETİM_İHTİYAÇ_RAPORU_BURAK_YENI1309[[#This Row],[BIRIM_FIYATLAR]])&lt;1,VALUE("0"),DST_123_ÜRETİM_İHTİYAÇ_RAPORU_BURAK_YENI1309[[#This Row],[SATINALMA]]*DST_123_ÜRETİM_İHTİYAÇ_RAPORU_BURAK_YENI1309[[#This Row],[BIRIM_FIYATLAR]])</f>
        <v>81928.875</v>
      </c>
      <c r="N3934">
        <v>203.55</v>
      </c>
      <c r="O3934" t="s">
        <v>223</v>
      </c>
      <c r="P3934">
        <v>11195.25</v>
      </c>
      <c r="Q3934" t="s">
        <v>181</v>
      </c>
    </row>
    <row r="3935" spans="1:17" x14ac:dyDescent="0.25">
      <c r="A3935" t="s">
        <v>1059</v>
      </c>
      <c r="B3935" t="s">
        <v>1058</v>
      </c>
      <c r="C3935" t="s">
        <v>175</v>
      </c>
      <c r="D3935" t="s">
        <v>611</v>
      </c>
      <c r="E3935" t="s">
        <v>612</v>
      </c>
      <c r="F3935">
        <v>6</v>
      </c>
      <c r="G3935" t="s">
        <v>182</v>
      </c>
      <c r="H3935">
        <v>0</v>
      </c>
      <c r="I3935">
        <v>0</v>
      </c>
      <c r="J3935" s="10">
        <v>252.50000000000003</v>
      </c>
      <c r="K3935" s="10">
        <f>SUMIFS(F:F,D:D,DST_123_ÜRETİM_İHTİYAÇ_RAPORU_BURAK_YENI1309[[#This Row],[ALT_KOD]])-(SUMIFS(H:H,D:D,DST_123_ÜRETİM_İHTİYAÇ_RAPORU_BURAK_YENI1309[[#This Row],[ALT_KOD]])+AVERAGEIFS(I:I,D:D,DST_123_ÜRETİM_İHTİYAÇ_RAPORU_BURAK_YENI1309[[#This Row],[ALT_KOD]])+AVERAGEIFS(L:L,D:D,DST_123_ÜRETİM_İHTİYAÇ_RAPORU_BURAK_YENI1309[[#This Row],[ALT_KOD]]))</f>
        <v>402.5</v>
      </c>
      <c r="L3935">
        <v>19.5</v>
      </c>
      <c r="M3935">
        <f>IF((DST_123_ÜRETİM_İHTİYAÇ_RAPORU_BURAK_YENI1309[[#This Row],[SATINALMA]]*DST_123_ÜRETİM_İHTİYAÇ_RAPORU_BURAK_YENI1309[[#This Row],[BIRIM_FIYATLAR]])&lt;1,VALUE("0"),DST_123_ÜRETİM_İHTİYAÇ_RAPORU_BURAK_YENI1309[[#This Row],[SATINALMA]]*DST_123_ÜRETİM_İHTİYAÇ_RAPORU_BURAK_YENI1309[[#This Row],[BIRIM_FIYATLAR]])</f>
        <v>81928.875</v>
      </c>
      <c r="N3935">
        <v>203.55</v>
      </c>
      <c r="O3935" t="s">
        <v>223</v>
      </c>
      <c r="P3935">
        <v>1221.3000000000002</v>
      </c>
      <c r="Q3935" t="s">
        <v>181</v>
      </c>
    </row>
    <row r="3936" spans="1:17" x14ac:dyDescent="0.25">
      <c r="A3936" t="s">
        <v>1098</v>
      </c>
      <c r="B3936" t="s">
        <v>1096</v>
      </c>
      <c r="C3936" t="s">
        <v>175</v>
      </c>
      <c r="D3936" t="s">
        <v>626</v>
      </c>
      <c r="E3936" t="s">
        <v>627</v>
      </c>
      <c r="F3936">
        <v>2</v>
      </c>
      <c r="G3936" t="s">
        <v>176</v>
      </c>
      <c r="H3936">
        <v>0</v>
      </c>
      <c r="I3936">
        <v>5</v>
      </c>
      <c r="J3936" s="10">
        <v>24</v>
      </c>
      <c r="K3936" s="10">
        <f>SUMIFS(F:F,D:D,DST_123_ÜRETİM_İHTİYAÇ_RAPORU_BURAK_YENI1309[[#This Row],[ALT_KOD]])-(SUMIFS(H:H,D:D,DST_123_ÜRETİM_İHTİYAÇ_RAPORU_BURAK_YENI1309[[#This Row],[ALT_KOD]])+AVERAGEIFS(I:I,D:D,DST_123_ÜRETİM_İHTİYAÇ_RAPORU_BURAK_YENI1309[[#This Row],[ALT_KOD]])+AVERAGEIFS(L:L,D:D,DST_123_ÜRETİM_İHTİYAÇ_RAPORU_BURAK_YENI1309[[#This Row],[ALT_KOD]]))</f>
        <v>11</v>
      </c>
      <c r="L3936">
        <v>0</v>
      </c>
      <c r="M3936">
        <f>IF((DST_123_ÜRETİM_İHTİYAÇ_RAPORU_BURAK_YENI1309[[#This Row],[SATINALMA]]*DST_123_ÜRETİM_İHTİYAÇ_RAPORU_BURAK_YENI1309[[#This Row],[BIRIM_FIYATLAR]])&lt;1,VALUE("0"),DST_123_ÜRETİM_İHTİYAÇ_RAPORU_BURAK_YENI1309[[#This Row],[SATINALMA]]*DST_123_ÜRETİM_İHTİYAÇ_RAPORU_BURAK_YENI1309[[#This Row],[BIRIM_FIYATLAR]])</f>
        <v>164408.75</v>
      </c>
      <c r="N3936">
        <v>14946.25</v>
      </c>
      <c r="O3936" t="s">
        <v>625</v>
      </c>
      <c r="P3936">
        <v>29892.5</v>
      </c>
      <c r="Q3936" t="s">
        <v>178</v>
      </c>
    </row>
    <row r="3937" spans="1:17" x14ac:dyDescent="0.25">
      <c r="A3937" t="s">
        <v>1099</v>
      </c>
      <c r="B3937" t="s">
        <v>1055</v>
      </c>
      <c r="C3937" t="s">
        <v>175</v>
      </c>
      <c r="D3937" t="s">
        <v>626</v>
      </c>
      <c r="E3937" t="s">
        <v>627</v>
      </c>
      <c r="F3937">
        <v>2</v>
      </c>
      <c r="G3937" t="s">
        <v>176</v>
      </c>
      <c r="H3937">
        <v>2</v>
      </c>
      <c r="I3937">
        <v>5</v>
      </c>
      <c r="J3937" s="10">
        <v>24</v>
      </c>
      <c r="K3937" s="10">
        <f>SUMIFS(F:F,D:D,DST_123_ÜRETİM_İHTİYAÇ_RAPORU_BURAK_YENI1309[[#This Row],[ALT_KOD]])-(SUMIFS(H:H,D:D,DST_123_ÜRETİM_İHTİYAÇ_RAPORU_BURAK_YENI1309[[#This Row],[ALT_KOD]])+AVERAGEIFS(I:I,D:D,DST_123_ÜRETİM_İHTİYAÇ_RAPORU_BURAK_YENI1309[[#This Row],[ALT_KOD]])+AVERAGEIFS(L:L,D:D,DST_123_ÜRETİM_İHTİYAÇ_RAPORU_BURAK_YENI1309[[#This Row],[ALT_KOD]]))</f>
        <v>11</v>
      </c>
      <c r="L3937">
        <v>0</v>
      </c>
      <c r="M3937">
        <f>IF((DST_123_ÜRETİM_İHTİYAÇ_RAPORU_BURAK_YENI1309[[#This Row],[SATINALMA]]*DST_123_ÜRETİM_İHTİYAÇ_RAPORU_BURAK_YENI1309[[#This Row],[BIRIM_FIYATLAR]])&lt;1,VALUE("0"),DST_123_ÜRETİM_İHTİYAÇ_RAPORU_BURAK_YENI1309[[#This Row],[SATINALMA]]*DST_123_ÜRETİM_İHTİYAÇ_RAPORU_BURAK_YENI1309[[#This Row],[BIRIM_FIYATLAR]])</f>
        <v>164408.75</v>
      </c>
      <c r="N3937">
        <v>14946.25</v>
      </c>
      <c r="O3937" t="s">
        <v>625</v>
      </c>
      <c r="P3937">
        <v>29892.5</v>
      </c>
      <c r="Q3937" t="s">
        <v>178</v>
      </c>
    </row>
    <row r="3938" spans="1:17" x14ac:dyDescent="0.25">
      <c r="A3938" t="s">
        <v>1196</v>
      </c>
      <c r="B3938" t="s">
        <v>1197</v>
      </c>
      <c r="C3938" t="s">
        <v>175</v>
      </c>
      <c r="D3938" t="s">
        <v>626</v>
      </c>
      <c r="E3938" t="s">
        <v>627</v>
      </c>
      <c r="F3938">
        <v>2</v>
      </c>
      <c r="G3938" t="s">
        <v>176</v>
      </c>
      <c r="H3938">
        <v>0</v>
      </c>
      <c r="I3938">
        <v>5</v>
      </c>
      <c r="J3938" s="10">
        <v>24</v>
      </c>
      <c r="K3938" s="10">
        <f>SUMIFS(F:F,D:D,DST_123_ÜRETİM_İHTİYAÇ_RAPORU_BURAK_YENI1309[[#This Row],[ALT_KOD]])-(SUMIFS(H:H,D:D,DST_123_ÜRETİM_İHTİYAÇ_RAPORU_BURAK_YENI1309[[#This Row],[ALT_KOD]])+AVERAGEIFS(I:I,D:D,DST_123_ÜRETİM_İHTİYAÇ_RAPORU_BURAK_YENI1309[[#This Row],[ALT_KOD]])+AVERAGEIFS(L:L,D:D,DST_123_ÜRETİM_İHTİYAÇ_RAPORU_BURAK_YENI1309[[#This Row],[ALT_KOD]]))</f>
        <v>11</v>
      </c>
      <c r="L3938">
        <v>0</v>
      </c>
      <c r="M3938">
        <f>IF((DST_123_ÜRETİM_İHTİYAÇ_RAPORU_BURAK_YENI1309[[#This Row],[SATINALMA]]*DST_123_ÜRETİM_İHTİYAÇ_RAPORU_BURAK_YENI1309[[#This Row],[BIRIM_FIYATLAR]])&lt;1,VALUE("0"),DST_123_ÜRETİM_İHTİYAÇ_RAPORU_BURAK_YENI1309[[#This Row],[SATINALMA]]*DST_123_ÜRETİM_İHTİYAÇ_RAPORU_BURAK_YENI1309[[#This Row],[BIRIM_FIYATLAR]])</f>
        <v>164408.75</v>
      </c>
      <c r="N3938">
        <v>14946.25</v>
      </c>
      <c r="O3938" t="s">
        <v>625</v>
      </c>
      <c r="P3938">
        <v>29892.5</v>
      </c>
      <c r="Q3938" t="s">
        <v>178</v>
      </c>
    </row>
    <row r="3939" spans="1:17" x14ac:dyDescent="0.25">
      <c r="A3939" t="s">
        <v>1098</v>
      </c>
      <c r="B3939" t="s">
        <v>1096</v>
      </c>
      <c r="C3939" t="s">
        <v>175</v>
      </c>
      <c r="D3939" t="s">
        <v>611</v>
      </c>
      <c r="E3939" t="s">
        <v>612</v>
      </c>
      <c r="F3939">
        <v>50</v>
      </c>
      <c r="G3939" t="s">
        <v>182</v>
      </c>
      <c r="H3939">
        <v>0</v>
      </c>
      <c r="I3939">
        <v>0</v>
      </c>
      <c r="J3939" s="10">
        <v>252.50000000000003</v>
      </c>
      <c r="K3939" s="10">
        <f>SUMIFS(F:F,D:D,DST_123_ÜRETİM_İHTİYAÇ_RAPORU_BURAK_YENI1309[[#This Row],[ALT_KOD]])-(SUMIFS(H:H,D:D,DST_123_ÜRETİM_İHTİYAÇ_RAPORU_BURAK_YENI1309[[#This Row],[ALT_KOD]])+AVERAGEIFS(I:I,D:D,DST_123_ÜRETİM_İHTİYAÇ_RAPORU_BURAK_YENI1309[[#This Row],[ALT_KOD]])+AVERAGEIFS(L:L,D:D,DST_123_ÜRETİM_İHTİYAÇ_RAPORU_BURAK_YENI1309[[#This Row],[ALT_KOD]]))</f>
        <v>402.5</v>
      </c>
      <c r="L3939">
        <v>19.5</v>
      </c>
      <c r="M3939">
        <f>IF((DST_123_ÜRETİM_İHTİYAÇ_RAPORU_BURAK_YENI1309[[#This Row],[SATINALMA]]*DST_123_ÜRETİM_İHTİYAÇ_RAPORU_BURAK_YENI1309[[#This Row],[BIRIM_FIYATLAR]])&lt;1,VALUE("0"),DST_123_ÜRETİM_İHTİYAÇ_RAPORU_BURAK_YENI1309[[#This Row],[SATINALMA]]*DST_123_ÜRETİM_İHTİYAÇ_RAPORU_BURAK_YENI1309[[#This Row],[BIRIM_FIYATLAR]])</f>
        <v>81928.875</v>
      </c>
      <c r="N3939">
        <v>203.55</v>
      </c>
      <c r="O3939" t="s">
        <v>223</v>
      </c>
      <c r="P3939">
        <v>10177.5</v>
      </c>
      <c r="Q3939" t="s">
        <v>181</v>
      </c>
    </row>
    <row r="3940" spans="1:17" x14ac:dyDescent="0.25">
      <c r="A3940" t="s">
        <v>1150</v>
      </c>
      <c r="B3940" t="s">
        <v>1145</v>
      </c>
      <c r="C3940" t="s">
        <v>175</v>
      </c>
      <c r="D3940" t="s">
        <v>611</v>
      </c>
      <c r="E3940" t="s">
        <v>612</v>
      </c>
      <c r="F3940">
        <v>15</v>
      </c>
      <c r="G3940" t="s">
        <v>182</v>
      </c>
      <c r="H3940">
        <v>0</v>
      </c>
      <c r="I3940">
        <v>0</v>
      </c>
      <c r="J3940" s="10">
        <v>252.50000000000003</v>
      </c>
      <c r="K3940" s="10">
        <f>SUMIFS(F:F,D:D,DST_123_ÜRETİM_İHTİYAÇ_RAPORU_BURAK_YENI1309[[#This Row],[ALT_KOD]])-(SUMIFS(H:H,D:D,DST_123_ÜRETİM_İHTİYAÇ_RAPORU_BURAK_YENI1309[[#This Row],[ALT_KOD]])+AVERAGEIFS(I:I,D:D,DST_123_ÜRETİM_İHTİYAÇ_RAPORU_BURAK_YENI1309[[#This Row],[ALT_KOD]])+AVERAGEIFS(L:L,D:D,DST_123_ÜRETİM_İHTİYAÇ_RAPORU_BURAK_YENI1309[[#This Row],[ALT_KOD]]))</f>
        <v>402.5</v>
      </c>
      <c r="L3940">
        <v>19.5</v>
      </c>
      <c r="M3940">
        <f>IF((DST_123_ÜRETİM_İHTİYAÇ_RAPORU_BURAK_YENI1309[[#This Row],[SATINALMA]]*DST_123_ÜRETİM_İHTİYAÇ_RAPORU_BURAK_YENI1309[[#This Row],[BIRIM_FIYATLAR]])&lt;1,VALUE("0"),DST_123_ÜRETİM_İHTİYAÇ_RAPORU_BURAK_YENI1309[[#This Row],[SATINALMA]]*DST_123_ÜRETİM_İHTİYAÇ_RAPORU_BURAK_YENI1309[[#This Row],[BIRIM_FIYATLAR]])</f>
        <v>81928.875</v>
      </c>
      <c r="N3940">
        <v>203.55</v>
      </c>
      <c r="O3940" t="s">
        <v>223</v>
      </c>
      <c r="P3940">
        <v>3053.25</v>
      </c>
      <c r="Q3940" t="s">
        <v>181</v>
      </c>
    </row>
    <row r="3941" spans="1:17" x14ac:dyDescent="0.25">
      <c r="A3941" t="s">
        <v>1097</v>
      </c>
      <c r="B3941" t="s">
        <v>1055</v>
      </c>
      <c r="C3941" t="s">
        <v>175</v>
      </c>
      <c r="D3941" t="s">
        <v>626</v>
      </c>
      <c r="E3941" t="s">
        <v>627</v>
      </c>
      <c r="F3941">
        <v>2</v>
      </c>
      <c r="G3941" t="s">
        <v>176</v>
      </c>
      <c r="H3941">
        <v>2</v>
      </c>
      <c r="I3941">
        <v>5</v>
      </c>
      <c r="J3941" s="10">
        <v>24</v>
      </c>
      <c r="K3941" s="10">
        <f>SUMIFS(F:F,D:D,DST_123_ÜRETİM_İHTİYAÇ_RAPORU_BURAK_YENI1309[[#This Row],[ALT_KOD]])-(SUMIFS(H:H,D:D,DST_123_ÜRETİM_İHTİYAÇ_RAPORU_BURAK_YENI1309[[#This Row],[ALT_KOD]])+AVERAGEIFS(I:I,D:D,DST_123_ÜRETİM_İHTİYAÇ_RAPORU_BURAK_YENI1309[[#This Row],[ALT_KOD]])+AVERAGEIFS(L:L,D:D,DST_123_ÜRETİM_İHTİYAÇ_RAPORU_BURAK_YENI1309[[#This Row],[ALT_KOD]]))</f>
        <v>11</v>
      </c>
      <c r="L3941">
        <v>0</v>
      </c>
      <c r="M3941">
        <f>IF((DST_123_ÜRETİM_İHTİYAÇ_RAPORU_BURAK_YENI1309[[#This Row],[SATINALMA]]*DST_123_ÜRETİM_İHTİYAÇ_RAPORU_BURAK_YENI1309[[#This Row],[BIRIM_FIYATLAR]])&lt;1,VALUE("0"),DST_123_ÜRETİM_İHTİYAÇ_RAPORU_BURAK_YENI1309[[#This Row],[SATINALMA]]*DST_123_ÜRETİM_İHTİYAÇ_RAPORU_BURAK_YENI1309[[#This Row],[BIRIM_FIYATLAR]])</f>
        <v>164408.75</v>
      </c>
      <c r="N3941">
        <v>14946.25</v>
      </c>
      <c r="O3941" t="s">
        <v>625</v>
      </c>
      <c r="P3941">
        <v>29892.5</v>
      </c>
      <c r="Q3941" t="s">
        <v>178</v>
      </c>
    </row>
    <row r="3942" spans="1:17" x14ac:dyDescent="0.25">
      <c r="A3942" t="s">
        <v>1099</v>
      </c>
      <c r="B3942" t="s">
        <v>1055</v>
      </c>
      <c r="C3942" t="s">
        <v>175</v>
      </c>
      <c r="D3942" t="s">
        <v>406</v>
      </c>
      <c r="E3942" t="s">
        <v>407</v>
      </c>
      <c r="F3942">
        <v>1</v>
      </c>
      <c r="G3942" t="s">
        <v>176</v>
      </c>
      <c r="H3942">
        <v>0</v>
      </c>
      <c r="I3942">
        <v>34</v>
      </c>
      <c r="J3942" s="10">
        <v>62</v>
      </c>
      <c r="K3942" s="10">
        <f>SUMIFS(F:F,D:D,DST_123_ÜRETİM_İHTİYAÇ_RAPORU_BURAK_YENI1309[[#This Row],[ALT_KOD]])-(SUMIFS(H:H,D:D,DST_123_ÜRETİM_İHTİYAÇ_RAPORU_BURAK_YENI1309[[#This Row],[ALT_KOD]])+AVERAGEIFS(I:I,D:D,DST_123_ÜRETİM_İHTİYAÇ_RAPORU_BURAK_YENI1309[[#This Row],[ALT_KOD]])+AVERAGEIFS(L:L,D:D,DST_123_ÜRETİM_İHTİYAÇ_RAPORU_BURAK_YENI1309[[#This Row],[ALT_KOD]]))</f>
        <v>-12</v>
      </c>
      <c r="L3942">
        <v>0</v>
      </c>
      <c r="M3942">
        <f>IF((DST_123_ÜRETİM_İHTİYAÇ_RAPORU_BURAK_YENI1309[[#This Row],[SATINALMA]]*DST_123_ÜRETİM_İHTİYAÇ_RAPORU_BURAK_YENI1309[[#This Row],[BIRIM_FIYATLAR]])&lt;1,VALUE("0"),DST_123_ÜRETİM_İHTİYAÇ_RAPORU_BURAK_YENI1309[[#This Row],[SATINALMA]]*DST_123_ÜRETİM_İHTİYAÇ_RAPORU_BURAK_YENI1309[[#This Row],[BIRIM_FIYATLAR]])</f>
        <v>0</v>
      </c>
      <c r="N3942">
        <v>19.07</v>
      </c>
      <c r="O3942" t="s">
        <v>826</v>
      </c>
      <c r="P3942">
        <v>19.07</v>
      </c>
      <c r="Q3942" t="s">
        <v>221</v>
      </c>
    </row>
    <row r="3943" spans="1:17" x14ac:dyDescent="0.25">
      <c r="A3943" t="s">
        <v>1064</v>
      </c>
      <c r="B3943" t="s">
        <v>1055</v>
      </c>
      <c r="C3943" t="s">
        <v>175</v>
      </c>
      <c r="D3943" t="s">
        <v>686</v>
      </c>
      <c r="E3943" t="s">
        <v>687</v>
      </c>
      <c r="F3943">
        <v>1</v>
      </c>
      <c r="G3943" t="s">
        <v>176</v>
      </c>
      <c r="H3943">
        <v>0</v>
      </c>
      <c r="I3943">
        <v>0</v>
      </c>
      <c r="J3943" s="10">
        <v>1</v>
      </c>
      <c r="K3943" s="10">
        <f>SUMIFS(F:F,D:D,DST_123_ÜRETİM_İHTİYAÇ_RAPORU_BURAK_YENI1309[[#This Row],[ALT_KOD]])-(SUMIFS(H:H,D:D,DST_123_ÜRETİM_İHTİYAÇ_RAPORU_BURAK_YENI1309[[#This Row],[ALT_KOD]])+AVERAGEIFS(I:I,D:D,DST_123_ÜRETİM_İHTİYAÇ_RAPORU_BURAK_YENI1309[[#This Row],[ALT_KOD]])+AVERAGEIFS(L:L,D:D,DST_123_ÜRETİM_İHTİYAÇ_RAPORU_BURAK_YENI1309[[#This Row],[ALT_KOD]]))</f>
        <v>9</v>
      </c>
      <c r="L3943">
        <v>0</v>
      </c>
      <c r="M3943">
        <f>IF((DST_123_ÜRETİM_İHTİYAÇ_RAPORU_BURAK_YENI1309[[#This Row],[SATINALMA]]*DST_123_ÜRETİM_İHTİYAÇ_RAPORU_BURAK_YENI1309[[#This Row],[BIRIM_FIYATLAR]])&lt;1,VALUE("0"),DST_123_ÜRETİM_İHTİYAÇ_RAPORU_BURAK_YENI1309[[#This Row],[SATINALMA]]*DST_123_ÜRETİM_İHTİYAÇ_RAPORU_BURAK_YENI1309[[#This Row],[BIRIM_FIYATLAR]])</f>
        <v>13877.91</v>
      </c>
      <c r="N3943">
        <v>1541.99</v>
      </c>
      <c r="O3943" t="s">
        <v>688</v>
      </c>
      <c r="P3943">
        <v>1541.99</v>
      </c>
      <c r="Q3943" t="s">
        <v>177</v>
      </c>
    </row>
    <row r="3944" spans="1:17" x14ac:dyDescent="0.25">
      <c r="A3944" t="s">
        <v>1099</v>
      </c>
      <c r="B3944" t="s">
        <v>1055</v>
      </c>
      <c r="C3944" t="s">
        <v>175</v>
      </c>
      <c r="D3944" t="s">
        <v>686</v>
      </c>
      <c r="E3944" t="s">
        <v>687</v>
      </c>
      <c r="F3944">
        <v>1</v>
      </c>
      <c r="G3944" t="s">
        <v>176</v>
      </c>
      <c r="H3944">
        <v>0</v>
      </c>
      <c r="I3944">
        <v>0</v>
      </c>
      <c r="J3944" s="10">
        <v>1</v>
      </c>
      <c r="K3944" s="10">
        <f>SUMIFS(F:F,D:D,DST_123_ÜRETİM_İHTİYAÇ_RAPORU_BURAK_YENI1309[[#This Row],[ALT_KOD]])-(SUMIFS(H:H,D:D,DST_123_ÜRETİM_İHTİYAÇ_RAPORU_BURAK_YENI1309[[#This Row],[ALT_KOD]])+AVERAGEIFS(I:I,D:D,DST_123_ÜRETİM_İHTİYAÇ_RAPORU_BURAK_YENI1309[[#This Row],[ALT_KOD]])+AVERAGEIFS(L:L,D:D,DST_123_ÜRETİM_İHTİYAÇ_RAPORU_BURAK_YENI1309[[#This Row],[ALT_KOD]]))</f>
        <v>9</v>
      </c>
      <c r="L3944">
        <v>0</v>
      </c>
      <c r="M3944">
        <f>IF((DST_123_ÜRETİM_İHTİYAÇ_RAPORU_BURAK_YENI1309[[#This Row],[SATINALMA]]*DST_123_ÜRETİM_İHTİYAÇ_RAPORU_BURAK_YENI1309[[#This Row],[BIRIM_FIYATLAR]])&lt;1,VALUE("0"),DST_123_ÜRETİM_İHTİYAÇ_RAPORU_BURAK_YENI1309[[#This Row],[SATINALMA]]*DST_123_ÜRETİM_İHTİYAÇ_RAPORU_BURAK_YENI1309[[#This Row],[BIRIM_FIYATLAR]])</f>
        <v>13877.91</v>
      </c>
      <c r="N3944">
        <v>1541.99</v>
      </c>
      <c r="O3944" t="s">
        <v>688</v>
      </c>
      <c r="P3944">
        <v>1541.99</v>
      </c>
      <c r="Q3944" t="s">
        <v>177</v>
      </c>
    </row>
    <row r="3945" spans="1:17" x14ac:dyDescent="0.25">
      <c r="A3945" t="s">
        <v>1064</v>
      </c>
      <c r="B3945" t="s">
        <v>1055</v>
      </c>
      <c r="C3945" t="s">
        <v>175</v>
      </c>
      <c r="D3945" t="s">
        <v>618</v>
      </c>
      <c r="E3945" t="s">
        <v>827</v>
      </c>
      <c r="F3945">
        <v>1</v>
      </c>
      <c r="G3945" t="s">
        <v>176</v>
      </c>
      <c r="H3945">
        <v>0</v>
      </c>
      <c r="I3945">
        <v>37</v>
      </c>
      <c r="J3945" s="10">
        <v>2</v>
      </c>
      <c r="K3945" s="10">
        <f>SUMIFS(F:F,D:D,DST_123_ÜRETİM_İHTİYAÇ_RAPORU_BURAK_YENI1309[[#This Row],[ALT_KOD]])-(SUMIFS(H:H,D:D,DST_123_ÜRETİM_İHTİYAÇ_RAPORU_BURAK_YENI1309[[#This Row],[ALT_KOD]])+AVERAGEIFS(I:I,D:D,DST_123_ÜRETİM_İHTİYAÇ_RAPORU_BURAK_YENI1309[[#This Row],[ALT_KOD]])+AVERAGEIFS(L:L,D:D,DST_123_ÜRETİM_İHTİYAÇ_RAPORU_BURAK_YENI1309[[#This Row],[ALT_KOD]]))</f>
        <v>-17</v>
      </c>
      <c r="L3945">
        <v>0</v>
      </c>
      <c r="M3945">
        <f>IF((DST_123_ÜRETİM_İHTİYAÇ_RAPORU_BURAK_YENI1309[[#This Row],[SATINALMA]]*DST_123_ÜRETİM_İHTİYAÇ_RAPORU_BURAK_YENI1309[[#This Row],[BIRIM_FIYATLAR]])&lt;1,VALUE("0"),DST_123_ÜRETİM_İHTİYAÇ_RAPORU_BURAK_YENI1309[[#This Row],[SATINALMA]]*DST_123_ÜRETİM_İHTİYAÇ_RAPORU_BURAK_YENI1309[[#This Row],[BIRIM_FIYATLAR]])</f>
        <v>0</v>
      </c>
      <c r="N3945">
        <v>82.6</v>
      </c>
      <c r="O3945" t="s">
        <v>821</v>
      </c>
      <c r="P3945">
        <v>82.6</v>
      </c>
      <c r="Q3945" t="s">
        <v>178</v>
      </c>
    </row>
    <row r="3946" spans="1:17" x14ac:dyDescent="0.25">
      <c r="A3946" t="s">
        <v>1059</v>
      </c>
      <c r="B3946" t="s">
        <v>1058</v>
      </c>
      <c r="C3946" t="s">
        <v>175</v>
      </c>
      <c r="D3946" t="s">
        <v>870</v>
      </c>
      <c r="E3946" t="s">
        <v>871</v>
      </c>
      <c r="F3946">
        <v>4</v>
      </c>
      <c r="G3946" t="s">
        <v>176</v>
      </c>
      <c r="H3946">
        <v>0</v>
      </c>
      <c r="I3946">
        <v>0</v>
      </c>
      <c r="J3946" s="10">
        <v>8</v>
      </c>
      <c r="K3946" s="10">
        <f>SUMIFS(F:F,D:D,DST_123_ÜRETİM_İHTİYAÇ_RAPORU_BURAK_YENI1309[[#This Row],[ALT_KOD]])-(SUMIFS(H:H,D:D,DST_123_ÜRETİM_İHTİYAÇ_RAPORU_BURAK_YENI1309[[#This Row],[ALT_KOD]])+AVERAGEIFS(I:I,D:D,DST_123_ÜRETİM_İHTİYAÇ_RAPORU_BURAK_YENI1309[[#This Row],[ALT_KOD]])+AVERAGEIFS(L:L,D:D,DST_123_ÜRETİM_İHTİYAÇ_RAPORU_BURAK_YENI1309[[#This Row],[ALT_KOD]]))</f>
        <v>-60</v>
      </c>
      <c r="L3946">
        <v>72</v>
      </c>
      <c r="M3946">
        <f>IF((DST_123_ÜRETİM_İHTİYAÇ_RAPORU_BURAK_YENI1309[[#This Row],[SATINALMA]]*DST_123_ÜRETİM_İHTİYAÇ_RAPORU_BURAK_YENI1309[[#This Row],[BIRIM_FIYATLAR]])&lt;1,VALUE("0"),DST_123_ÜRETİM_İHTİYAÇ_RAPORU_BURAK_YENI1309[[#This Row],[SATINALMA]]*DST_123_ÜRETİM_İHTİYAÇ_RAPORU_BURAK_YENI1309[[#This Row],[BIRIM_FIYATLAR]])</f>
        <v>0</v>
      </c>
      <c r="N3946">
        <v>5265.79</v>
      </c>
      <c r="O3946" t="s">
        <v>872</v>
      </c>
      <c r="P3946">
        <v>21063.16</v>
      </c>
      <c r="Q3946" t="s">
        <v>178</v>
      </c>
    </row>
    <row r="3947" spans="1:17" x14ac:dyDescent="0.25">
      <c r="A3947" t="s">
        <v>1097</v>
      </c>
      <c r="B3947" t="s">
        <v>1055</v>
      </c>
      <c r="C3947" t="s">
        <v>175</v>
      </c>
      <c r="D3947" t="s">
        <v>299</v>
      </c>
      <c r="E3947" t="s">
        <v>300</v>
      </c>
      <c r="F3947">
        <v>14</v>
      </c>
      <c r="G3947" t="s">
        <v>176</v>
      </c>
      <c r="H3947">
        <v>0</v>
      </c>
      <c r="I3947">
        <v>180</v>
      </c>
      <c r="J3947" s="10">
        <v>80</v>
      </c>
      <c r="K3947" s="10">
        <f>SUMIFS(F:F,D:D,DST_123_ÜRETİM_İHTİYAÇ_RAPORU_BURAK_YENI1309[[#This Row],[ALT_KOD]])-(SUMIFS(H:H,D:D,DST_123_ÜRETİM_İHTİYAÇ_RAPORU_BURAK_YENI1309[[#This Row],[ALT_KOD]])+AVERAGEIFS(I:I,D:D,DST_123_ÜRETİM_İHTİYAÇ_RAPORU_BURAK_YENI1309[[#This Row],[ALT_KOD]])+AVERAGEIFS(L:L,D:D,DST_123_ÜRETİM_İHTİYAÇ_RAPORU_BURAK_YENI1309[[#This Row],[ALT_KOD]]))</f>
        <v>32</v>
      </c>
      <c r="L3947">
        <v>0</v>
      </c>
      <c r="M3947">
        <f>IF((DST_123_ÜRETİM_İHTİYAÇ_RAPORU_BURAK_YENI1309[[#This Row],[SATINALMA]]*DST_123_ÜRETİM_İHTİYAÇ_RAPORU_BURAK_YENI1309[[#This Row],[BIRIM_FIYATLAR]])&lt;1,VALUE("0"),DST_123_ÜRETİM_İHTİYAÇ_RAPORU_BURAK_YENI1309[[#This Row],[SATINALMA]]*DST_123_ÜRETİM_İHTİYAÇ_RAPORU_BURAK_YENI1309[[#This Row],[BIRIM_FIYATLAR]])</f>
        <v>7680</v>
      </c>
      <c r="N3947">
        <v>240</v>
      </c>
      <c r="O3947" t="s">
        <v>240</v>
      </c>
      <c r="P3947">
        <v>3360</v>
      </c>
      <c r="Q3947" t="s">
        <v>180</v>
      </c>
    </row>
    <row r="3948" spans="1:17" x14ac:dyDescent="0.25">
      <c r="A3948" t="s">
        <v>1095</v>
      </c>
      <c r="B3948" t="s">
        <v>1096</v>
      </c>
      <c r="C3948" t="s">
        <v>175</v>
      </c>
      <c r="D3948" t="s">
        <v>299</v>
      </c>
      <c r="E3948" t="s">
        <v>300</v>
      </c>
      <c r="F3948">
        <v>9.5</v>
      </c>
      <c r="G3948" t="s">
        <v>176</v>
      </c>
      <c r="H3948">
        <v>0</v>
      </c>
      <c r="I3948">
        <v>180</v>
      </c>
      <c r="J3948" s="10">
        <v>80</v>
      </c>
      <c r="K3948" s="10">
        <f>SUMIFS(F:F,D:D,DST_123_ÜRETİM_İHTİYAÇ_RAPORU_BURAK_YENI1309[[#This Row],[ALT_KOD]])-(SUMIFS(H:H,D:D,DST_123_ÜRETİM_İHTİYAÇ_RAPORU_BURAK_YENI1309[[#This Row],[ALT_KOD]])+AVERAGEIFS(I:I,D:D,DST_123_ÜRETİM_İHTİYAÇ_RAPORU_BURAK_YENI1309[[#This Row],[ALT_KOD]])+AVERAGEIFS(L:L,D:D,DST_123_ÜRETİM_İHTİYAÇ_RAPORU_BURAK_YENI1309[[#This Row],[ALT_KOD]]))</f>
        <v>32</v>
      </c>
      <c r="L3948">
        <v>0</v>
      </c>
      <c r="M3948">
        <f>IF((DST_123_ÜRETİM_İHTİYAÇ_RAPORU_BURAK_YENI1309[[#This Row],[SATINALMA]]*DST_123_ÜRETİM_İHTİYAÇ_RAPORU_BURAK_YENI1309[[#This Row],[BIRIM_FIYATLAR]])&lt;1,VALUE("0"),DST_123_ÜRETİM_İHTİYAÇ_RAPORU_BURAK_YENI1309[[#This Row],[SATINALMA]]*DST_123_ÜRETİM_İHTİYAÇ_RAPORU_BURAK_YENI1309[[#This Row],[BIRIM_FIYATLAR]])</f>
        <v>7680</v>
      </c>
      <c r="N3948">
        <v>240</v>
      </c>
      <c r="O3948" t="s">
        <v>240</v>
      </c>
      <c r="P3948">
        <v>2280</v>
      </c>
      <c r="Q3948" t="s">
        <v>180</v>
      </c>
    </row>
    <row r="3949" spans="1:17" x14ac:dyDescent="0.25">
      <c r="A3949" t="s">
        <v>1142</v>
      </c>
      <c r="B3949" t="s">
        <v>1056</v>
      </c>
      <c r="C3949" t="s">
        <v>175</v>
      </c>
      <c r="D3949" t="s">
        <v>338</v>
      </c>
      <c r="E3949" t="s">
        <v>339</v>
      </c>
      <c r="F3949">
        <v>2.4700000000000002</v>
      </c>
      <c r="G3949" t="s">
        <v>185</v>
      </c>
      <c r="H3949">
        <v>0</v>
      </c>
      <c r="I3949">
        <v>0</v>
      </c>
      <c r="J3949" s="10">
        <v>154.94999999999996</v>
      </c>
      <c r="K3949" s="10">
        <f>SUMIFS(F:F,D:D,DST_123_ÜRETİM_İHTİYAÇ_RAPORU_BURAK_YENI1309[[#This Row],[ALT_KOD]])-(SUMIFS(H:H,D:D,DST_123_ÜRETİM_İHTİYAÇ_RAPORU_BURAK_YENI1309[[#This Row],[ALT_KOD]])+AVERAGEIFS(I:I,D:D,DST_123_ÜRETİM_İHTİYAÇ_RAPORU_BURAK_YENI1309[[#This Row],[ALT_KOD]])+AVERAGEIFS(L:L,D:D,DST_123_ÜRETİM_İHTİYAÇ_RAPORU_BURAK_YENI1309[[#This Row],[ALT_KOD]]))</f>
        <v>21.899999999999991</v>
      </c>
      <c r="L3949">
        <v>60</v>
      </c>
      <c r="M3949">
        <f>IF((DST_123_ÜRETİM_İHTİYAÇ_RAPORU_BURAK_YENI1309[[#This Row],[SATINALMA]]*DST_123_ÜRETİM_İHTİYAÇ_RAPORU_BURAK_YENI1309[[#This Row],[BIRIM_FIYATLAR]])&lt;1,VALUE("0"),DST_123_ÜRETİM_İHTİYAÇ_RAPORU_BURAK_YENI1309[[#This Row],[SATINALMA]]*DST_123_ÜRETİM_İHTİYAÇ_RAPORU_BURAK_YENI1309[[#This Row],[BIRIM_FIYATLAR]])</f>
        <v>4265.0249999999987</v>
      </c>
      <c r="N3949">
        <v>194.75</v>
      </c>
      <c r="O3949" t="s">
        <v>490</v>
      </c>
      <c r="P3949">
        <v>481.03250000000003</v>
      </c>
      <c r="Q3949" t="s">
        <v>183</v>
      </c>
    </row>
    <row r="3950" spans="1:17" x14ac:dyDescent="0.25">
      <c r="A3950" t="s">
        <v>1142</v>
      </c>
      <c r="B3950" t="s">
        <v>1056</v>
      </c>
      <c r="C3950" t="s">
        <v>175</v>
      </c>
      <c r="D3950" t="s">
        <v>391</v>
      </c>
      <c r="E3950" t="s">
        <v>392</v>
      </c>
      <c r="F3950">
        <v>10</v>
      </c>
      <c r="G3950" t="s">
        <v>176</v>
      </c>
      <c r="H3950">
        <v>0</v>
      </c>
      <c r="I3950">
        <v>0</v>
      </c>
      <c r="J3950" s="10">
        <v>58.050000000000026</v>
      </c>
      <c r="K3950" s="10">
        <f>SUMIFS(F:F,D:D,DST_123_ÜRETİM_İHTİYAÇ_RAPORU_BURAK_YENI1309[[#This Row],[ALT_KOD]])-(SUMIFS(H:H,D:D,DST_123_ÜRETİM_İHTİYAÇ_RAPORU_BURAK_YENI1309[[#This Row],[ALT_KOD]])+AVERAGEIFS(I:I,D:D,DST_123_ÜRETİM_İHTİYAÇ_RAPORU_BURAK_YENI1309[[#This Row],[ALT_KOD]])+AVERAGEIFS(L:L,D:D,DST_123_ÜRETİM_İHTİYAÇ_RAPORU_BURAK_YENI1309[[#This Row],[ALT_KOD]]))</f>
        <v>144.72000000000003</v>
      </c>
      <c r="L3950">
        <v>37</v>
      </c>
      <c r="M3950">
        <f>IF((DST_123_ÜRETİM_İHTİYAÇ_RAPORU_BURAK_YENI1309[[#This Row],[SATINALMA]]*DST_123_ÜRETİM_İHTİYAÇ_RAPORU_BURAK_YENI1309[[#This Row],[BIRIM_FIYATLAR]])&lt;1,VALUE("0"),DST_123_ÜRETİM_İHTİYAÇ_RAPORU_BURAK_YENI1309[[#This Row],[SATINALMA]]*DST_123_ÜRETİM_İHTİYAÇ_RAPORU_BURAK_YENI1309[[#This Row],[BIRIM_FIYATLAR]])</f>
        <v>261099.48240000007</v>
      </c>
      <c r="N3950">
        <v>1804.17</v>
      </c>
      <c r="O3950" t="s">
        <v>223</v>
      </c>
      <c r="P3950">
        <v>18041.7</v>
      </c>
      <c r="Q3950" t="s">
        <v>181</v>
      </c>
    </row>
    <row r="3951" spans="1:17" x14ac:dyDescent="0.25">
      <c r="A3951" t="s">
        <v>1097</v>
      </c>
      <c r="B3951" t="s">
        <v>1055</v>
      </c>
      <c r="C3951" t="s">
        <v>175</v>
      </c>
      <c r="D3951" t="s">
        <v>391</v>
      </c>
      <c r="E3951" t="s">
        <v>392</v>
      </c>
      <c r="F3951">
        <v>12</v>
      </c>
      <c r="G3951" t="s">
        <v>176</v>
      </c>
      <c r="H3951">
        <v>0</v>
      </c>
      <c r="I3951">
        <v>0</v>
      </c>
      <c r="J3951" s="10">
        <v>58.050000000000026</v>
      </c>
      <c r="K3951" s="10">
        <f>SUMIFS(F:F,D:D,DST_123_ÜRETİM_İHTİYAÇ_RAPORU_BURAK_YENI1309[[#This Row],[ALT_KOD]])-(SUMIFS(H:H,D:D,DST_123_ÜRETİM_İHTİYAÇ_RAPORU_BURAK_YENI1309[[#This Row],[ALT_KOD]])+AVERAGEIFS(I:I,D:D,DST_123_ÜRETİM_İHTİYAÇ_RAPORU_BURAK_YENI1309[[#This Row],[ALT_KOD]])+AVERAGEIFS(L:L,D:D,DST_123_ÜRETİM_İHTİYAÇ_RAPORU_BURAK_YENI1309[[#This Row],[ALT_KOD]]))</f>
        <v>144.72000000000003</v>
      </c>
      <c r="L3951">
        <v>37</v>
      </c>
      <c r="M3951">
        <f>IF((DST_123_ÜRETİM_İHTİYAÇ_RAPORU_BURAK_YENI1309[[#This Row],[SATINALMA]]*DST_123_ÜRETİM_İHTİYAÇ_RAPORU_BURAK_YENI1309[[#This Row],[BIRIM_FIYATLAR]])&lt;1,VALUE("0"),DST_123_ÜRETİM_İHTİYAÇ_RAPORU_BURAK_YENI1309[[#This Row],[SATINALMA]]*DST_123_ÜRETİM_İHTİYAÇ_RAPORU_BURAK_YENI1309[[#This Row],[BIRIM_FIYATLAR]])</f>
        <v>261099.48240000007</v>
      </c>
      <c r="N3951">
        <v>1804.17</v>
      </c>
      <c r="O3951" t="s">
        <v>223</v>
      </c>
      <c r="P3951">
        <v>21650.04</v>
      </c>
      <c r="Q3951" t="s">
        <v>181</v>
      </c>
    </row>
    <row r="3952" spans="1:17" x14ac:dyDescent="0.25">
      <c r="A3952" t="s">
        <v>1142</v>
      </c>
      <c r="B3952" t="s">
        <v>1056</v>
      </c>
      <c r="C3952" t="s">
        <v>175</v>
      </c>
      <c r="D3952" t="s">
        <v>508</v>
      </c>
      <c r="E3952" t="s">
        <v>509</v>
      </c>
      <c r="F3952">
        <v>1</v>
      </c>
      <c r="G3952" t="s">
        <v>176</v>
      </c>
      <c r="H3952">
        <v>0</v>
      </c>
      <c r="I3952">
        <v>4</v>
      </c>
      <c r="J3952" s="10">
        <v>10</v>
      </c>
      <c r="K3952" s="10">
        <f>SUMIFS(F:F,D:D,DST_123_ÜRETİM_İHTİYAÇ_RAPORU_BURAK_YENI1309[[#This Row],[ALT_KOD]])-(SUMIFS(H:H,D:D,DST_123_ÜRETİM_İHTİYAÇ_RAPORU_BURAK_YENI1309[[#This Row],[ALT_KOD]])+AVERAGEIFS(I:I,D:D,DST_123_ÜRETİM_İHTİYAÇ_RAPORU_BURAK_YENI1309[[#This Row],[ALT_KOD]])+AVERAGEIFS(L:L,D:D,DST_123_ÜRETİM_İHTİYAÇ_RAPORU_BURAK_YENI1309[[#This Row],[ALT_KOD]]))</f>
        <v>1</v>
      </c>
      <c r="L3952">
        <v>7</v>
      </c>
      <c r="M3952">
        <f>IF((DST_123_ÜRETİM_İHTİYAÇ_RAPORU_BURAK_YENI1309[[#This Row],[SATINALMA]]*DST_123_ÜRETİM_İHTİYAÇ_RAPORU_BURAK_YENI1309[[#This Row],[BIRIM_FIYATLAR]])&lt;1,VALUE("0"),DST_123_ÜRETİM_İHTİYAÇ_RAPORU_BURAK_YENI1309[[#This Row],[SATINALMA]]*DST_123_ÜRETİM_İHTİYAÇ_RAPORU_BURAK_YENI1309[[#This Row],[BIRIM_FIYATLAR]])</f>
        <v>1535.25</v>
      </c>
      <c r="N3952">
        <v>1535.25</v>
      </c>
      <c r="O3952" t="s">
        <v>507</v>
      </c>
      <c r="P3952">
        <v>1535.25</v>
      </c>
      <c r="Q3952" t="s">
        <v>221</v>
      </c>
    </row>
    <row r="3953" spans="1:17" x14ac:dyDescent="0.25">
      <c r="A3953" t="s">
        <v>1098</v>
      </c>
      <c r="B3953" t="s">
        <v>1096</v>
      </c>
      <c r="C3953" t="s">
        <v>175</v>
      </c>
      <c r="D3953" t="s">
        <v>618</v>
      </c>
      <c r="E3953" t="s">
        <v>827</v>
      </c>
      <c r="F3953">
        <v>1</v>
      </c>
      <c r="G3953" t="s">
        <v>176</v>
      </c>
      <c r="H3953">
        <v>0</v>
      </c>
      <c r="I3953">
        <v>37</v>
      </c>
      <c r="J3953" s="10">
        <v>2</v>
      </c>
      <c r="K3953" s="10">
        <f>SUMIFS(F:F,D:D,DST_123_ÜRETİM_İHTİYAÇ_RAPORU_BURAK_YENI1309[[#This Row],[ALT_KOD]])-(SUMIFS(H:H,D:D,DST_123_ÜRETİM_İHTİYAÇ_RAPORU_BURAK_YENI1309[[#This Row],[ALT_KOD]])+AVERAGEIFS(I:I,D:D,DST_123_ÜRETİM_İHTİYAÇ_RAPORU_BURAK_YENI1309[[#This Row],[ALT_KOD]])+AVERAGEIFS(L:L,D:D,DST_123_ÜRETİM_İHTİYAÇ_RAPORU_BURAK_YENI1309[[#This Row],[ALT_KOD]]))</f>
        <v>-17</v>
      </c>
      <c r="L3953">
        <v>0</v>
      </c>
      <c r="M3953">
        <f>IF((DST_123_ÜRETİM_İHTİYAÇ_RAPORU_BURAK_YENI1309[[#This Row],[SATINALMA]]*DST_123_ÜRETİM_İHTİYAÇ_RAPORU_BURAK_YENI1309[[#This Row],[BIRIM_FIYATLAR]])&lt;1,VALUE("0"),DST_123_ÜRETİM_İHTİYAÇ_RAPORU_BURAK_YENI1309[[#This Row],[SATINALMA]]*DST_123_ÜRETİM_İHTİYAÇ_RAPORU_BURAK_YENI1309[[#This Row],[BIRIM_FIYATLAR]])</f>
        <v>0</v>
      </c>
      <c r="N3953">
        <v>82.6</v>
      </c>
      <c r="O3953" t="s">
        <v>821</v>
      </c>
      <c r="P3953">
        <v>82.6</v>
      </c>
      <c r="Q3953" t="s">
        <v>178</v>
      </c>
    </row>
    <row r="3954" spans="1:17" x14ac:dyDescent="0.25">
      <c r="A3954" t="s">
        <v>1059</v>
      </c>
      <c r="B3954" t="s">
        <v>1058</v>
      </c>
      <c r="C3954" t="s">
        <v>175</v>
      </c>
      <c r="D3954" t="s">
        <v>792</v>
      </c>
      <c r="E3954" t="s">
        <v>136</v>
      </c>
      <c r="F3954">
        <v>8</v>
      </c>
      <c r="G3954" t="s">
        <v>176</v>
      </c>
      <c r="H3954">
        <v>0</v>
      </c>
      <c r="I3954">
        <v>524</v>
      </c>
      <c r="J3954" s="10">
        <v>352</v>
      </c>
      <c r="K3954" s="10">
        <f>SUMIFS(F:F,D:D,DST_123_ÜRETİM_İHTİYAÇ_RAPORU_BURAK_YENI1309[[#This Row],[ALT_KOD]])-(SUMIFS(H:H,D:D,DST_123_ÜRETİM_İHTİYAÇ_RAPORU_BURAK_YENI1309[[#This Row],[ALT_KOD]])+AVERAGEIFS(I:I,D:D,DST_123_ÜRETİM_İHTİYAÇ_RAPORU_BURAK_YENI1309[[#This Row],[ALT_KOD]])+AVERAGEIFS(L:L,D:D,DST_123_ÜRETİM_İHTİYAÇ_RAPORU_BURAK_YENI1309[[#This Row],[ALT_KOD]]))</f>
        <v>-374</v>
      </c>
      <c r="L3954">
        <v>0</v>
      </c>
      <c r="M3954">
        <f>IF((DST_123_ÜRETİM_İHTİYAÇ_RAPORU_BURAK_YENI1309[[#This Row],[SATINALMA]]*DST_123_ÜRETİM_İHTİYAÇ_RAPORU_BURAK_YENI1309[[#This Row],[BIRIM_FIYATLAR]])&lt;1,VALUE("0"),DST_123_ÜRETİM_İHTİYAÇ_RAPORU_BURAK_YENI1309[[#This Row],[SATINALMA]]*DST_123_ÜRETİM_İHTİYAÇ_RAPORU_BURAK_YENI1309[[#This Row],[BIRIM_FIYATLAR]])</f>
        <v>0</v>
      </c>
      <c r="N3954">
        <v>8.1</v>
      </c>
      <c r="O3954" t="s">
        <v>504</v>
      </c>
      <c r="P3954">
        <v>64.8</v>
      </c>
      <c r="Q3954" t="s">
        <v>221</v>
      </c>
    </row>
    <row r="3955" spans="1:17" x14ac:dyDescent="0.25">
      <c r="A3955" t="s">
        <v>1095</v>
      </c>
      <c r="B3955" t="s">
        <v>1096</v>
      </c>
      <c r="C3955" t="s">
        <v>175</v>
      </c>
      <c r="D3955" t="s">
        <v>792</v>
      </c>
      <c r="E3955" t="s">
        <v>136</v>
      </c>
      <c r="F3955">
        <v>8</v>
      </c>
      <c r="G3955" t="s">
        <v>176</v>
      </c>
      <c r="H3955">
        <v>0</v>
      </c>
      <c r="I3955">
        <v>524</v>
      </c>
      <c r="J3955" s="10">
        <v>352</v>
      </c>
      <c r="K3955" s="10">
        <f>SUMIFS(F:F,D:D,DST_123_ÜRETİM_İHTİYAÇ_RAPORU_BURAK_YENI1309[[#This Row],[ALT_KOD]])-(SUMIFS(H:H,D:D,DST_123_ÜRETİM_İHTİYAÇ_RAPORU_BURAK_YENI1309[[#This Row],[ALT_KOD]])+AVERAGEIFS(I:I,D:D,DST_123_ÜRETİM_İHTİYAÇ_RAPORU_BURAK_YENI1309[[#This Row],[ALT_KOD]])+AVERAGEIFS(L:L,D:D,DST_123_ÜRETİM_İHTİYAÇ_RAPORU_BURAK_YENI1309[[#This Row],[ALT_KOD]]))</f>
        <v>-374</v>
      </c>
      <c r="L3955">
        <v>0</v>
      </c>
      <c r="M3955">
        <f>IF((DST_123_ÜRETİM_İHTİYAÇ_RAPORU_BURAK_YENI1309[[#This Row],[SATINALMA]]*DST_123_ÜRETİM_İHTİYAÇ_RAPORU_BURAK_YENI1309[[#This Row],[BIRIM_FIYATLAR]])&lt;1,VALUE("0"),DST_123_ÜRETİM_İHTİYAÇ_RAPORU_BURAK_YENI1309[[#This Row],[SATINALMA]]*DST_123_ÜRETİM_İHTİYAÇ_RAPORU_BURAK_YENI1309[[#This Row],[BIRIM_FIYATLAR]])</f>
        <v>0</v>
      </c>
      <c r="N3955">
        <v>8.1</v>
      </c>
      <c r="O3955" t="s">
        <v>504</v>
      </c>
      <c r="P3955">
        <v>64.8</v>
      </c>
      <c r="Q3955" t="s">
        <v>221</v>
      </c>
    </row>
    <row r="3956" spans="1:17" x14ac:dyDescent="0.25">
      <c r="A3956" t="s">
        <v>1196</v>
      </c>
      <c r="B3956" t="s">
        <v>1197</v>
      </c>
      <c r="C3956" t="s">
        <v>175</v>
      </c>
      <c r="D3956" t="s">
        <v>60</v>
      </c>
      <c r="E3956" t="s">
        <v>61</v>
      </c>
      <c r="F3956">
        <v>1</v>
      </c>
      <c r="G3956" t="s">
        <v>176</v>
      </c>
      <c r="H3956">
        <v>0</v>
      </c>
      <c r="I3956">
        <v>17</v>
      </c>
      <c r="J3956" s="10">
        <v>11</v>
      </c>
      <c r="K3956" s="10">
        <f>SUMIFS(F:F,D:D,DST_123_ÜRETİM_İHTİYAÇ_RAPORU_BURAK_YENI1309[[#This Row],[ALT_KOD]])-(SUMIFS(H:H,D:D,DST_123_ÜRETİM_İHTİYAÇ_RAPORU_BURAK_YENI1309[[#This Row],[ALT_KOD]])+AVERAGEIFS(I:I,D:D,DST_123_ÜRETİM_İHTİYAÇ_RAPORU_BURAK_YENI1309[[#This Row],[ALT_KOD]])+AVERAGEIFS(L:L,D:D,DST_123_ÜRETİM_İHTİYAÇ_RAPORU_BURAK_YENI1309[[#This Row],[ALT_KOD]]))</f>
        <v>-5</v>
      </c>
      <c r="L3956">
        <v>0</v>
      </c>
      <c r="M3956">
        <f>IF((DST_123_ÜRETİM_İHTİYAÇ_RAPORU_BURAK_YENI1309[[#This Row],[SATINALMA]]*DST_123_ÜRETİM_İHTİYAÇ_RAPORU_BURAK_YENI1309[[#This Row],[BIRIM_FIYATLAR]])&lt;1,VALUE("0"),DST_123_ÜRETİM_İHTİYAÇ_RAPORU_BURAK_YENI1309[[#This Row],[SATINALMA]]*DST_123_ÜRETİM_İHTİYAÇ_RAPORU_BURAK_YENI1309[[#This Row],[BIRIM_FIYATLAR]])</f>
        <v>0</v>
      </c>
      <c r="N3956">
        <v>115.6</v>
      </c>
      <c r="O3956" t="s">
        <v>826</v>
      </c>
      <c r="P3956">
        <v>115.6</v>
      </c>
      <c r="Q3956" t="s">
        <v>221</v>
      </c>
    </row>
    <row r="3957" spans="1:17" x14ac:dyDescent="0.25">
      <c r="A3957" t="s">
        <v>1099</v>
      </c>
      <c r="B3957" t="s">
        <v>1055</v>
      </c>
      <c r="C3957" t="s">
        <v>175</v>
      </c>
      <c r="D3957" t="s">
        <v>60</v>
      </c>
      <c r="E3957" t="s">
        <v>61</v>
      </c>
      <c r="F3957">
        <v>1</v>
      </c>
      <c r="G3957" t="s">
        <v>176</v>
      </c>
      <c r="H3957">
        <v>0</v>
      </c>
      <c r="I3957">
        <v>17</v>
      </c>
      <c r="J3957" s="10">
        <v>11</v>
      </c>
      <c r="K3957" s="10">
        <f>SUMIFS(F:F,D:D,DST_123_ÜRETİM_İHTİYAÇ_RAPORU_BURAK_YENI1309[[#This Row],[ALT_KOD]])-(SUMIFS(H:H,D:D,DST_123_ÜRETİM_İHTİYAÇ_RAPORU_BURAK_YENI1309[[#This Row],[ALT_KOD]])+AVERAGEIFS(I:I,D:D,DST_123_ÜRETİM_İHTİYAÇ_RAPORU_BURAK_YENI1309[[#This Row],[ALT_KOD]])+AVERAGEIFS(L:L,D:D,DST_123_ÜRETİM_İHTİYAÇ_RAPORU_BURAK_YENI1309[[#This Row],[ALT_KOD]]))</f>
        <v>-5</v>
      </c>
      <c r="L3957">
        <v>0</v>
      </c>
      <c r="M3957">
        <f>IF((DST_123_ÜRETİM_İHTİYAÇ_RAPORU_BURAK_YENI1309[[#This Row],[SATINALMA]]*DST_123_ÜRETİM_İHTİYAÇ_RAPORU_BURAK_YENI1309[[#This Row],[BIRIM_FIYATLAR]])&lt;1,VALUE("0"),DST_123_ÜRETİM_İHTİYAÇ_RAPORU_BURAK_YENI1309[[#This Row],[SATINALMA]]*DST_123_ÜRETİM_İHTİYAÇ_RAPORU_BURAK_YENI1309[[#This Row],[BIRIM_FIYATLAR]])</f>
        <v>0</v>
      </c>
      <c r="N3957">
        <v>115.6</v>
      </c>
      <c r="O3957" t="s">
        <v>826</v>
      </c>
      <c r="P3957">
        <v>115.6</v>
      </c>
      <c r="Q3957" t="s">
        <v>221</v>
      </c>
    </row>
    <row r="3958" spans="1:17" x14ac:dyDescent="0.25">
      <c r="A3958" t="s">
        <v>1098</v>
      </c>
      <c r="B3958" t="s">
        <v>1096</v>
      </c>
      <c r="C3958" t="s">
        <v>175</v>
      </c>
      <c r="D3958" t="s">
        <v>686</v>
      </c>
      <c r="E3958" t="s">
        <v>687</v>
      </c>
      <c r="F3958">
        <v>1</v>
      </c>
      <c r="G3958" t="s">
        <v>176</v>
      </c>
      <c r="H3958">
        <v>0</v>
      </c>
      <c r="I3958">
        <v>0</v>
      </c>
      <c r="J3958" s="10">
        <v>1</v>
      </c>
      <c r="K3958" s="10">
        <f>SUMIFS(F:F,D:D,DST_123_ÜRETİM_İHTİYAÇ_RAPORU_BURAK_YENI1309[[#This Row],[ALT_KOD]])-(SUMIFS(H:H,D:D,DST_123_ÜRETİM_İHTİYAÇ_RAPORU_BURAK_YENI1309[[#This Row],[ALT_KOD]])+AVERAGEIFS(I:I,D:D,DST_123_ÜRETİM_İHTİYAÇ_RAPORU_BURAK_YENI1309[[#This Row],[ALT_KOD]])+AVERAGEIFS(L:L,D:D,DST_123_ÜRETİM_İHTİYAÇ_RAPORU_BURAK_YENI1309[[#This Row],[ALT_KOD]]))</f>
        <v>9</v>
      </c>
      <c r="L3958">
        <v>0</v>
      </c>
      <c r="M3958">
        <f>IF((DST_123_ÜRETİM_İHTİYAÇ_RAPORU_BURAK_YENI1309[[#This Row],[SATINALMA]]*DST_123_ÜRETİM_İHTİYAÇ_RAPORU_BURAK_YENI1309[[#This Row],[BIRIM_FIYATLAR]])&lt;1,VALUE("0"),DST_123_ÜRETİM_İHTİYAÇ_RAPORU_BURAK_YENI1309[[#This Row],[SATINALMA]]*DST_123_ÜRETİM_İHTİYAÇ_RAPORU_BURAK_YENI1309[[#This Row],[BIRIM_FIYATLAR]])</f>
        <v>13877.91</v>
      </c>
      <c r="N3958">
        <v>1541.99</v>
      </c>
      <c r="O3958" t="s">
        <v>688</v>
      </c>
      <c r="P3958">
        <v>1541.99</v>
      </c>
      <c r="Q3958" t="s">
        <v>177</v>
      </c>
    </row>
    <row r="3959" spans="1:17" x14ac:dyDescent="0.25">
      <c r="A3959" t="s">
        <v>1196</v>
      </c>
      <c r="B3959" t="s">
        <v>1197</v>
      </c>
      <c r="C3959" t="s">
        <v>175</v>
      </c>
      <c r="D3959" t="s">
        <v>618</v>
      </c>
      <c r="E3959" t="s">
        <v>827</v>
      </c>
      <c r="F3959">
        <v>1</v>
      </c>
      <c r="G3959" t="s">
        <v>176</v>
      </c>
      <c r="H3959">
        <v>0</v>
      </c>
      <c r="I3959">
        <v>37</v>
      </c>
      <c r="J3959" s="10">
        <v>2</v>
      </c>
      <c r="K3959" s="10">
        <f>SUMIFS(F:F,D:D,DST_123_ÜRETİM_İHTİYAÇ_RAPORU_BURAK_YENI1309[[#This Row],[ALT_KOD]])-(SUMIFS(H:H,D:D,DST_123_ÜRETİM_İHTİYAÇ_RAPORU_BURAK_YENI1309[[#This Row],[ALT_KOD]])+AVERAGEIFS(I:I,D:D,DST_123_ÜRETİM_İHTİYAÇ_RAPORU_BURAK_YENI1309[[#This Row],[ALT_KOD]])+AVERAGEIFS(L:L,D:D,DST_123_ÜRETİM_İHTİYAÇ_RAPORU_BURAK_YENI1309[[#This Row],[ALT_KOD]]))</f>
        <v>-17</v>
      </c>
      <c r="L3959">
        <v>0</v>
      </c>
      <c r="M3959">
        <f>IF((DST_123_ÜRETİM_İHTİYAÇ_RAPORU_BURAK_YENI1309[[#This Row],[SATINALMA]]*DST_123_ÜRETİM_İHTİYAÇ_RAPORU_BURAK_YENI1309[[#This Row],[BIRIM_FIYATLAR]])&lt;1,VALUE("0"),DST_123_ÜRETİM_İHTİYAÇ_RAPORU_BURAK_YENI1309[[#This Row],[SATINALMA]]*DST_123_ÜRETİM_İHTİYAÇ_RAPORU_BURAK_YENI1309[[#This Row],[BIRIM_FIYATLAR]])</f>
        <v>0</v>
      </c>
      <c r="N3959">
        <v>82.6</v>
      </c>
      <c r="O3959" t="s">
        <v>821</v>
      </c>
      <c r="P3959">
        <v>82.6</v>
      </c>
      <c r="Q3959" t="s">
        <v>178</v>
      </c>
    </row>
    <row r="3960" spans="1:17" x14ac:dyDescent="0.25">
      <c r="A3960" t="s">
        <v>1099</v>
      </c>
      <c r="B3960" t="s">
        <v>1055</v>
      </c>
      <c r="C3960" t="s">
        <v>175</v>
      </c>
      <c r="D3960" t="s">
        <v>618</v>
      </c>
      <c r="E3960" t="s">
        <v>827</v>
      </c>
      <c r="F3960">
        <v>2</v>
      </c>
      <c r="G3960" t="s">
        <v>176</v>
      </c>
      <c r="H3960">
        <v>0</v>
      </c>
      <c r="I3960">
        <v>37</v>
      </c>
      <c r="J3960" s="10">
        <v>2</v>
      </c>
      <c r="K3960" s="10">
        <f>SUMIFS(F:F,D:D,DST_123_ÜRETİM_İHTİYAÇ_RAPORU_BURAK_YENI1309[[#This Row],[ALT_KOD]])-(SUMIFS(H:H,D:D,DST_123_ÜRETİM_İHTİYAÇ_RAPORU_BURAK_YENI1309[[#This Row],[ALT_KOD]])+AVERAGEIFS(I:I,D:D,DST_123_ÜRETİM_İHTİYAÇ_RAPORU_BURAK_YENI1309[[#This Row],[ALT_KOD]])+AVERAGEIFS(L:L,D:D,DST_123_ÜRETİM_İHTİYAÇ_RAPORU_BURAK_YENI1309[[#This Row],[ALT_KOD]]))</f>
        <v>-17</v>
      </c>
      <c r="L3960">
        <v>0</v>
      </c>
      <c r="M3960">
        <f>IF((DST_123_ÜRETİM_İHTİYAÇ_RAPORU_BURAK_YENI1309[[#This Row],[SATINALMA]]*DST_123_ÜRETİM_İHTİYAÇ_RAPORU_BURAK_YENI1309[[#This Row],[BIRIM_FIYATLAR]])&lt;1,VALUE("0"),DST_123_ÜRETİM_İHTİYAÇ_RAPORU_BURAK_YENI1309[[#This Row],[SATINALMA]]*DST_123_ÜRETİM_İHTİYAÇ_RAPORU_BURAK_YENI1309[[#This Row],[BIRIM_FIYATLAR]])</f>
        <v>0</v>
      </c>
      <c r="N3960">
        <v>82.6</v>
      </c>
      <c r="O3960" t="s">
        <v>821</v>
      </c>
      <c r="P3960">
        <v>165.2</v>
      </c>
      <c r="Q3960" t="s">
        <v>178</v>
      </c>
    </row>
    <row r="3961" spans="1:17" x14ac:dyDescent="0.25">
      <c r="A3961" t="s">
        <v>1144</v>
      </c>
      <c r="B3961" t="s">
        <v>1145</v>
      </c>
      <c r="C3961" t="s">
        <v>175</v>
      </c>
      <c r="D3961" t="s">
        <v>938</v>
      </c>
      <c r="E3961" t="s">
        <v>939</v>
      </c>
      <c r="F3961">
        <v>4</v>
      </c>
      <c r="G3961" t="s">
        <v>176</v>
      </c>
      <c r="H3961">
        <v>0</v>
      </c>
      <c r="I3961">
        <v>0</v>
      </c>
      <c r="J3961" s="10">
        <v>4</v>
      </c>
      <c r="K3961" s="10">
        <f>SUMIFS(F:F,D:D,DST_123_ÜRETİM_İHTİYAÇ_RAPORU_BURAK_YENI1309[[#This Row],[ALT_KOD]])-(SUMIFS(H:H,D:D,DST_123_ÜRETİM_İHTİYAÇ_RAPORU_BURAK_YENI1309[[#This Row],[ALT_KOD]])+AVERAGEIFS(I:I,D:D,DST_123_ÜRETİM_İHTİYAÇ_RAPORU_BURAK_YENI1309[[#This Row],[ALT_KOD]])+AVERAGEIFS(L:L,D:D,DST_123_ÜRETİM_İHTİYAÇ_RAPORU_BURAK_YENI1309[[#This Row],[ALT_KOD]]))</f>
        <v>16</v>
      </c>
      <c r="L3961">
        <v>0</v>
      </c>
      <c r="M3961">
        <f>IF((DST_123_ÜRETİM_İHTİYAÇ_RAPORU_BURAK_YENI1309[[#This Row],[SATINALMA]]*DST_123_ÜRETİM_İHTİYAÇ_RAPORU_BURAK_YENI1309[[#This Row],[BIRIM_FIYATLAR]])&lt;1,VALUE("0"),DST_123_ÜRETİM_İHTİYAÇ_RAPORU_BURAK_YENI1309[[#This Row],[SATINALMA]]*DST_123_ÜRETİM_İHTİYAÇ_RAPORU_BURAK_YENI1309[[#This Row],[BIRIM_FIYATLAR]])</f>
        <v>1440</v>
      </c>
      <c r="N3961">
        <v>90</v>
      </c>
      <c r="O3961" t="s">
        <v>940</v>
      </c>
      <c r="P3961">
        <v>360</v>
      </c>
      <c r="Q3961" t="s">
        <v>222</v>
      </c>
    </row>
    <row r="3962" spans="1:17" x14ac:dyDescent="0.25">
      <c r="A3962" t="s">
        <v>1149</v>
      </c>
      <c r="B3962" t="s">
        <v>1145</v>
      </c>
      <c r="C3962" t="s">
        <v>175</v>
      </c>
      <c r="D3962" t="s">
        <v>60</v>
      </c>
      <c r="E3962" t="s">
        <v>61</v>
      </c>
      <c r="F3962">
        <v>1</v>
      </c>
      <c r="G3962" t="s">
        <v>176</v>
      </c>
      <c r="H3962">
        <v>0</v>
      </c>
      <c r="I3962">
        <v>17</v>
      </c>
      <c r="J3962" s="10">
        <v>11</v>
      </c>
      <c r="K3962" s="10">
        <f>SUMIFS(F:F,D:D,DST_123_ÜRETİM_İHTİYAÇ_RAPORU_BURAK_YENI1309[[#This Row],[ALT_KOD]])-(SUMIFS(H:H,D:D,DST_123_ÜRETİM_İHTİYAÇ_RAPORU_BURAK_YENI1309[[#This Row],[ALT_KOD]])+AVERAGEIFS(I:I,D:D,DST_123_ÜRETİM_İHTİYAÇ_RAPORU_BURAK_YENI1309[[#This Row],[ALT_KOD]])+AVERAGEIFS(L:L,D:D,DST_123_ÜRETİM_İHTİYAÇ_RAPORU_BURAK_YENI1309[[#This Row],[ALT_KOD]]))</f>
        <v>-5</v>
      </c>
      <c r="L3962">
        <v>0</v>
      </c>
      <c r="M3962">
        <f>IF((DST_123_ÜRETİM_İHTİYAÇ_RAPORU_BURAK_YENI1309[[#This Row],[SATINALMA]]*DST_123_ÜRETİM_İHTİYAÇ_RAPORU_BURAK_YENI1309[[#This Row],[BIRIM_FIYATLAR]])&lt;1,VALUE("0"),DST_123_ÜRETİM_İHTİYAÇ_RAPORU_BURAK_YENI1309[[#This Row],[SATINALMA]]*DST_123_ÜRETİM_İHTİYAÇ_RAPORU_BURAK_YENI1309[[#This Row],[BIRIM_FIYATLAR]])</f>
        <v>0</v>
      </c>
      <c r="N3962">
        <v>115.6</v>
      </c>
      <c r="O3962" t="s">
        <v>826</v>
      </c>
      <c r="P3962">
        <v>115.6</v>
      </c>
      <c r="Q3962" t="s">
        <v>221</v>
      </c>
    </row>
    <row r="3963" spans="1:17" x14ac:dyDescent="0.25">
      <c r="A3963" t="s">
        <v>1144</v>
      </c>
      <c r="B3963" t="s">
        <v>1145</v>
      </c>
      <c r="C3963" t="s">
        <v>175</v>
      </c>
      <c r="D3963" t="s">
        <v>406</v>
      </c>
      <c r="E3963" t="s">
        <v>407</v>
      </c>
      <c r="F3963">
        <v>2</v>
      </c>
      <c r="G3963" t="s">
        <v>176</v>
      </c>
      <c r="H3963">
        <v>0</v>
      </c>
      <c r="I3963">
        <v>34</v>
      </c>
      <c r="J3963" s="10">
        <v>62</v>
      </c>
      <c r="K3963" s="10">
        <f>SUMIFS(F:F,D:D,DST_123_ÜRETİM_İHTİYAÇ_RAPORU_BURAK_YENI1309[[#This Row],[ALT_KOD]])-(SUMIFS(H:H,D:D,DST_123_ÜRETİM_İHTİYAÇ_RAPORU_BURAK_YENI1309[[#This Row],[ALT_KOD]])+AVERAGEIFS(I:I,D:D,DST_123_ÜRETİM_İHTİYAÇ_RAPORU_BURAK_YENI1309[[#This Row],[ALT_KOD]])+AVERAGEIFS(L:L,D:D,DST_123_ÜRETİM_İHTİYAÇ_RAPORU_BURAK_YENI1309[[#This Row],[ALT_KOD]]))</f>
        <v>-12</v>
      </c>
      <c r="L3963">
        <v>0</v>
      </c>
      <c r="M3963">
        <f>IF((DST_123_ÜRETİM_İHTİYAÇ_RAPORU_BURAK_YENI1309[[#This Row],[SATINALMA]]*DST_123_ÜRETİM_İHTİYAÇ_RAPORU_BURAK_YENI1309[[#This Row],[BIRIM_FIYATLAR]])&lt;1,VALUE("0"),DST_123_ÜRETİM_İHTİYAÇ_RAPORU_BURAK_YENI1309[[#This Row],[SATINALMA]]*DST_123_ÜRETİM_İHTİYAÇ_RAPORU_BURAK_YENI1309[[#This Row],[BIRIM_FIYATLAR]])</f>
        <v>0</v>
      </c>
      <c r="N3963">
        <v>19.07</v>
      </c>
      <c r="O3963" t="s">
        <v>826</v>
      </c>
      <c r="P3963">
        <v>38.14</v>
      </c>
      <c r="Q3963" t="s">
        <v>221</v>
      </c>
    </row>
    <row r="3964" spans="1:17" x14ac:dyDescent="0.25">
      <c r="A3964" t="s">
        <v>1144</v>
      </c>
      <c r="B3964" t="s">
        <v>1145</v>
      </c>
      <c r="C3964" t="s">
        <v>175</v>
      </c>
      <c r="D3964" t="s">
        <v>299</v>
      </c>
      <c r="E3964" t="s">
        <v>300</v>
      </c>
      <c r="F3964">
        <v>26</v>
      </c>
      <c r="G3964" t="s">
        <v>176</v>
      </c>
      <c r="H3964">
        <v>0</v>
      </c>
      <c r="I3964">
        <v>180</v>
      </c>
      <c r="J3964" s="10">
        <v>80</v>
      </c>
      <c r="K3964" s="10">
        <f>SUMIFS(F:F,D:D,DST_123_ÜRETİM_İHTİYAÇ_RAPORU_BURAK_YENI1309[[#This Row],[ALT_KOD]])-(SUMIFS(H:H,D:D,DST_123_ÜRETİM_İHTİYAÇ_RAPORU_BURAK_YENI1309[[#This Row],[ALT_KOD]])+AVERAGEIFS(I:I,D:D,DST_123_ÜRETİM_İHTİYAÇ_RAPORU_BURAK_YENI1309[[#This Row],[ALT_KOD]])+AVERAGEIFS(L:L,D:D,DST_123_ÜRETİM_İHTİYAÇ_RAPORU_BURAK_YENI1309[[#This Row],[ALT_KOD]]))</f>
        <v>32</v>
      </c>
      <c r="L3964">
        <v>0</v>
      </c>
      <c r="M3964">
        <f>IF((DST_123_ÜRETİM_İHTİYAÇ_RAPORU_BURAK_YENI1309[[#This Row],[SATINALMA]]*DST_123_ÜRETİM_İHTİYAÇ_RAPORU_BURAK_YENI1309[[#This Row],[BIRIM_FIYATLAR]])&lt;1,VALUE("0"),DST_123_ÜRETİM_İHTİYAÇ_RAPORU_BURAK_YENI1309[[#This Row],[SATINALMA]]*DST_123_ÜRETİM_İHTİYAÇ_RAPORU_BURAK_YENI1309[[#This Row],[BIRIM_FIYATLAR]])</f>
        <v>7680</v>
      </c>
      <c r="N3964">
        <v>240</v>
      </c>
      <c r="O3964" t="s">
        <v>240</v>
      </c>
      <c r="P3964">
        <v>6240</v>
      </c>
      <c r="Q3964" t="s">
        <v>180</v>
      </c>
    </row>
    <row r="3965" spans="1:17" x14ac:dyDescent="0.25">
      <c r="A3965" t="s">
        <v>1150</v>
      </c>
      <c r="B3965" t="s">
        <v>1145</v>
      </c>
      <c r="C3965" t="s">
        <v>175</v>
      </c>
      <c r="D3965" t="s">
        <v>391</v>
      </c>
      <c r="E3965" t="s">
        <v>392</v>
      </c>
      <c r="F3965">
        <v>10</v>
      </c>
      <c r="G3965" t="s">
        <v>176</v>
      </c>
      <c r="H3965">
        <v>0</v>
      </c>
      <c r="I3965">
        <v>0</v>
      </c>
      <c r="J3965" s="10">
        <v>58.050000000000026</v>
      </c>
      <c r="K3965" s="10">
        <f>SUMIFS(F:F,D:D,DST_123_ÜRETİM_İHTİYAÇ_RAPORU_BURAK_YENI1309[[#This Row],[ALT_KOD]])-(SUMIFS(H:H,D:D,DST_123_ÜRETİM_İHTİYAÇ_RAPORU_BURAK_YENI1309[[#This Row],[ALT_KOD]])+AVERAGEIFS(I:I,D:D,DST_123_ÜRETİM_İHTİYAÇ_RAPORU_BURAK_YENI1309[[#This Row],[ALT_KOD]])+AVERAGEIFS(L:L,D:D,DST_123_ÜRETİM_İHTİYAÇ_RAPORU_BURAK_YENI1309[[#This Row],[ALT_KOD]]))</f>
        <v>144.72000000000003</v>
      </c>
      <c r="L3965">
        <v>37</v>
      </c>
      <c r="M3965">
        <f>IF((DST_123_ÜRETİM_İHTİYAÇ_RAPORU_BURAK_YENI1309[[#This Row],[SATINALMA]]*DST_123_ÜRETİM_İHTİYAÇ_RAPORU_BURAK_YENI1309[[#This Row],[BIRIM_FIYATLAR]])&lt;1,VALUE("0"),DST_123_ÜRETİM_İHTİYAÇ_RAPORU_BURAK_YENI1309[[#This Row],[SATINALMA]]*DST_123_ÜRETİM_İHTİYAÇ_RAPORU_BURAK_YENI1309[[#This Row],[BIRIM_FIYATLAR]])</f>
        <v>261099.48240000007</v>
      </c>
      <c r="N3965">
        <v>1804.17</v>
      </c>
      <c r="O3965" t="s">
        <v>223</v>
      </c>
      <c r="P3965">
        <v>18041.7</v>
      </c>
      <c r="Q3965" t="s">
        <v>181</v>
      </c>
    </row>
    <row r="3966" spans="1:17" x14ac:dyDescent="0.25">
      <c r="A3966" t="s">
        <v>1150</v>
      </c>
      <c r="B3966" t="s">
        <v>1145</v>
      </c>
      <c r="C3966" t="s">
        <v>175</v>
      </c>
      <c r="D3966" t="s">
        <v>508</v>
      </c>
      <c r="E3966" t="s">
        <v>509</v>
      </c>
      <c r="F3966">
        <v>1</v>
      </c>
      <c r="G3966" t="s">
        <v>176</v>
      </c>
      <c r="H3966">
        <v>0</v>
      </c>
      <c r="I3966">
        <v>4</v>
      </c>
      <c r="J3966" s="10">
        <v>10</v>
      </c>
      <c r="K3966" s="10">
        <f>SUMIFS(F:F,D:D,DST_123_ÜRETİM_İHTİYAÇ_RAPORU_BURAK_YENI1309[[#This Row],[ALT_KOD]])-(SUMIFS(H:H,D:D,DST_123_ÜRETİM_İHTİYAÇ_RAPORU_BURAK_YENI1309[[#This Row],[ALT_KOD]])+AVERAGEIFS(I:I,D:D,DST_123_ÜRETİM_İHTİYAÇ_RAPORU_BURAK_YENI1309[[#This Row],[ALT_KOD]])+AVERAGEIFS(L:L,D:D,DST_123_ÜRETİM_İHTİYAÇ_RAPORU_BURAK_YENI1309[[#This Row],[ALT_KOD]]))</f>
        <v>1</v>
      </c>
      <c r="L3966">
        <v>7</v>
      </c>
      <c r="M3966">
        <f>IF((DST_123_ÜRETİM_İHTİYAÇ_RAPORU_BURAK_YENI1309[[#This Row],[SATINALMA]]*DST_123_ÜRETİM_İHTİYAÇ_RAPORU_BURAK_YENI1309[[#This Row],[BIRIM_FIYATLAR]])&lt;1,VALUE("0"),DST_123_ÜRETİM_İHTİYAÇ_RAPORU_BURAK_YENI1309[[#This Row],[SATINALMA]]*DST_123_ÜRETİM_İHTİYAÇ_RAPORU_BURAK_YENI1309[[#This Row],[BIRIM_FIYATLAR]])</f>
        <v>1535.25</v>
      </c>
      <c r="N3966">
        <v>1535.25</v>
      </c>
      <c r="O3966" t="s">
        <v>507</v>
      </c>
      <c r="P3966">
        <v>1535.25</v>
      </c>
      <c r="Q3966" t="s">
        <v>221</v>
      </c>
    </row>
    <row r="3967" spans="1:17" x14ac:dyDescent="0.25">
      <c r="A3967" t="s">
        <v>1057</v>
      </c>
      <c r="B3967" t="s">
        <v>1058</v>
      </c>
      <c r="C3967" t="s">
        <v>175</v>
      </c>
      <c r="D3967" t="s">
        <v>406</v>
      </c>
      <c r="E3967" t="s">
        <v>407</v>
      </c>
      <c r="F3967">
        <v>1</v>
      </c>
      <c r="G3967" t="s">
        <v>176</v>
      </c>
      <c r="H3967">
        <v>0</v>
      </c>
      <c r="I3967">
        <v>34</v>
      </c>
      <c r="J3967" s="10">
        <v>62</v>
      </c>
      <c r="K3967" s="10">
        <f>SUMIFS(F:F,D:D,DST_123_ÜRETİM_İHTİYAÇ_RAPORU_BURAK_YENI1309[[#This Row],[ALT_KOD]])-(SUMIFS(H:H,D:D,DST_123_ÜRETİM_İHTİYAÇ_RAPORU_BURAK_YENI1309[[#This Row],[ALT_KOD]])+AVERAGEIFS(I:I,D:D,DST_123_ÜRETİM_İHTİYAÇ_RAPORU_BURAK_YENI1309[[#This Row],[ALT_KOD]])+AVERAGEIFS(L:L,D:D,DST_123_ÜRETİM_İHTİYAÇ_RAPORU_BURAK_YENI1309[[#This Row],[ALT_KOD]]))</f>
        <v>-12</v>
      </c>
      <c r="L3967">
        <v>0</v>
      </c>
      <c r="M3967">
        <f>IF((DST_123_ÜRETİM_İHTİYAÇ_RAPORU_BURAK_YENI1309[[#This Row],[SATINALMA]]*DST_123_ÜRETİM_İHTİYAÇ_RAPORU_BURAK_YENI1309[[#This Row],[BIRIM_FIYATLAR]])&lt;1,VALUE("0"),DST_123_ÜRETİM_İHTİYAÇ_RAPORU_BURAK_YENI1309[[#This Row],[SATINALMA]]*DST_123_ÜRETİM_İHTİYAÇ_RAPORU_BURAK_YENI1309[[#This Row],[BIRIM_FIYATLAR]])</f>
        <v>0</v>
      </c>
      <c r="N3967">
        <v>19.07</v>
      </c>
      <c r="O3967" t="s">
        <v>826</v>
      </c>
      <c r="P3967">
        <v>19.07</v>
      </c>
      <c r="Q3967" t="s">
        <v>221</v>
      </c>
    </row>
    <row r="3968" spans="1:17" x14ac:dyDescent="0.25">
      <c r="A3968" t="s">
        <v>1060</v>
      </c>
      <c r="B3968" t="s">
        <v>1061</v>
      </c>
      <c r="C3968" t="s">
        <v>175</v>
      </c>
      <c r="D3968" t="s">
        <v>686</v>
      </c>
      <c r="E3968" t="s">
        <v>687</v>
      </c>
      <c r="F3968">
        <v>1</v>
      </c>
      <c r="G3968" t="s">
        <v>176</v>
      </c>
      <c r="H3968">
        <v>0</v>
      </c>
      <c r="I3968">
        <v>0</v>
      </c>
      <c r="J3968" s="10">
        <v>1</v>
      </c>
      <c r="K3968" s="10">
        <f>SUMIFS(F:F,D:D,DST_123_ÜRETİM_İHTİYAÇ_RAPORU_BURAK_YENI1309[[#This Row],[ALT_KOD]])-(SUMIFS(H:H,D:D,DST_123_ÜRETİM_İHTİYAÇ_RAPORU_BURAK_YENI1309[[#This Row],[ALT_KOD]])+AVERAGEIFS(I:I,D:D,DST_123_ÜRETİM_İHTİYAÇ_RAPORU_BURAK_YENI1309[[#This Row],[ALT_KOD]])+AVERAGEIFS(L:L,D:D,DST_123_ÜRETİM_İHTİYAÇ_RAPORU_BURAK_YENI1309[[#This Row],[ALT_KOD]]))</f>
        <v>9</v>
      </c>
      <c r="L3968">
        <v>0</v>
      </c>
      <c r="M3968">
        <f>IF((DST_123_ÜRETİM_İHTİYAÇ_RAPORU_BURAK_YENI1309[[#This Row],[SATINALMA]]*DST_123_ÜRETİM_İHTİYAÇ_RAPORU_BURAK_YENI1309[[#This Row],[BIRIM_FIYATLAR]])&lt;1,VALUE("0"),DST_123_ÜRETİM_İHTİYAÇ_RAPORU_BURAK_YENI1309[[#This Row],[SATINALMA]]*DST_123_ÜRETİM_İHTİYAÇ_RAPORU_BURAK_YENI1309[[#This Row],[BIRIM_FIYATLAR]])</f>
        <v>13877.91</v>
      </c>
      <c r="N3968">
        <v>1541.99</v>
      </c>
      <c r="O3968" t="s">
        <v>688</v>
      </c>
      <c r="P3968">
        <v>1541.99</v>
      </c>
      <c r="Q3968" t="s">
        <v>177</v>
      </c>
    </row>
    <row r="3969" spans="1:17" x14ac:dyDescent="0.25">
      <c r="A3969" t="s">
        <v>1149</v>
      </c>
      <c r="B3969" t="s">
        <v>1145</v>
      </c>
      <c r="C3969" t="s">
        <v>175</v>
      </c>
      <c r="D3969" t="s">
        <v>508</v>
      </c>
      <c r="E3969" t="s">
        <v>509</v>
      </c>
      <c r="F3969">
        <v>1</v>
      </c>
      <c r="G3969" t="s">
        <v>176</v>
      </c>
      <c r="H3969">
        <v>0</v>
      </c>
      <c r="I3969">
        <v>4</v>
      </c>
      <c r="J3969" s="10">
        <v>10</v>
      </c>
      <c r="K3969" s="10">
        <f>SUMIFS(F:F,D:D,DST_123_ÜRETİM_İHTİYAÇ_RAPORU_BURAK_YENI1309[[#This Row],[ALT_KOD]])-(SUMIFS(H:H,D:D,DST_123_ÜRETİM_İHTİYAÇ_RAPORU_BURAK_YENI1309[[#This Row],[ALT_KOD]])+AVERAGEIFS(I:I,D:D,DST_123_ÜRETİM_İHTİYAÇ_RAPORU_BURAK_YENI1309[[#This Row],[ALT_KOD]])+AVERAGEIFS(L:L,D:D,DST_123_ÜRETİM_İHTİYAÇ_RAPORU_BURAK_YENI1309[[#This Row],[ALT_KOD]]))</f>
        <v>1</v>
      </c>
      <c r="L3969">
        <v>7</v>
      </c>
      <c r="M3969">
        <f>IF((DST_123_ÜRETİM_İHTİYAÇ_RAPORU_BURAK_YENI1309[[#This Row],[SATINALMA]]*DST_123_ÜRETİM_İHTİYAÇ_RAPORU_BURAK_YENI1309[[#This Row],[BIRIM_FIYATLAR]])&lt;1,VALUE("0"),DST_123_ÜRETİM_İHTİYAÇ_RAPORU_BURAK_YENI1309[[#This Row],[SATINALMA]]*DST_123_ÜRETİM_İHTİYAÇ_RAPORU_BURAK_YENI1309[[#This Row],[BIRIM_FIYATLAR]])</f>
        <v>1535.25</v>
      </c>
      <c r="N3969">
        <v>1535.25</v>
      </c>
      <c r="O3969" t="s">
        <v>507</v>
      </c>
      <c r="P3969">
        <v>1535.25</v>
      </c>
      <c r="Q3969" t="s">
        <v>221</v>
      </c>
    </row>
    <row r="3970" spans="1:17" x14ac:dyDescent="0.25">
      <c r="A3970" t="s">
        <v>1060</v>
      </c>
      <c r="B3970" t="s">
        <v>1061</v>
      </c>
      <c r="C3970" t="s">
        <v>175</v>
      </c>
      <c r="D3970" t="s">
        <v>938</v>
      </c>
      <c r="E3970" t="s">
        <v>939</v>
      </c>
      <c r="F3970">
        <v>4</v>
      </c>
      <c r="G3970" t="s">
        <v>176</v>
      </c>
      <c r="H3970">
        <v>0</v>
      </c>
      <c r="I3970">
        <v>0</v>
      </c>
      <c r="J3970" s="10">
        <v>4</v>
      </c>
      <c r="K3970" s="10">
        <f>SUMIFS(F:F,D:D,DST_123_ÜRETİM_İHTİYAÇ_RAPORU_BURAK_YENI1309[[#This Row],[ALT_KOD]])-(SUMIFS(H:H,D:D,DST_123_ÜRETİM_İHTİYAÇ_RAPORU_BURAK_YENI1309[[#This Row],[ALT_KOD]])+AVERAGEIFS(I:I,D:D,DST_123_ÜRETİM_İHTİYAÇ_RAPORU_BURAK_YENI1309[[#This Row],[ALT_KOD]])+AVERAGEIFS(L:L,D:D,DST_123_ÜRETİM_İHTİYAÇ_RAPORU_BURAK_YENI1309[[#This Row],[ALT_KOD]]))</f>
        <v>16</v>
      </c>
      <c r="L3970">
        <v>0</v>
      </c>
      <c r="M3970">
        <f>IF((DST_123_ÜRETİM_İHTİYAÇ_RAPORU_BURAK_YENI1309[[#This Row],[SATINALMA]]*DST_123_ÜRETİM_İHTİYAÇ_RAPORU_BURAK_YENI1309[[#This Row],[BIRIM_FIYATLAR]])&lt;1,VALUE("0"),DST_123_ÜRETİM_İHTİYAÇ_RAPORU_BURAK_YENI1309[[#This Row],[SATINALMA]]*DST_123_ÜRETİM_İHTİYAÇ_RAPORU_BURAK_YENI1309[[#This Row],[BIRIM_FIYATLAR]])</f>
        <v>1440</v>
      </c>
      <c r="N3970">
        <v>90</v>
      </c>
      <c r="O3970" t="s">
        <v>940</v>
      </c>
      <c r="P3970">
        <v>360</v>
      </c>
      <c r="Q3970" t="s">
        <v>222</v>
      </c>
    </row>
    <row r="3971" spans="1:17" x14ac:dyDescent="0.25">
      <c r="A3971" t="s">
        <v>1057</v>
      </c>
      <c r="B3971" t="s">
        <v>1058</v>
      </c>
      <c r="C3971" t="s">
        <v>175</v>
      </c>
      <c r="D3971" t="s">
        <v>60</v>
      </c>
      <c r="E3971" t="s">
        <v>61</v>
      </c>
      <c r="F3971">
        <v>1</v>
      </c>
      <c r="G3971" t="s">
        <v>176</v>
      </c>
      <c r="H3971">
        <v>1</v>
      </c>
      <c r="I3971">
        <v>17</v>
      </c>
      <c r="J3971" s="10">
        <v>11</v>
      </c>
      <c r="K3971" s="10">
        <f>SUMIFS(F:F,D:D,DST_123_ÜRETİM_İHTİYAÇ_RAPORU_BURAK_YENI1309[[#This Row],[ALT_KOD]])-(SUMIFS(H:H,D:D,DST_123_ÜRETİM_İHTİYAÇ_RAPORU_BURAK_YENI1309[[#This Row],[ALT_KOD]])+AVERAGEIFS(I:I,D:D,DST_123_ÜRETİM_İHTİYAÇ_RAPORU_BURAK_YENI1309[[#This Row],[ALT_KOD]])+AVERAGEIFS(L:L,D:D,DST_123_ÜRETİM_İHTİYAÇ_RAPORU_BURAK_YENI1309[[#This Row],[ALT_KOD]]))</f>
        <v>-5</v>
      </c>
      <c r="L3971">
        <v>0</v>
      </c>
      <c r="M3971">
        <f>IF((DST_123_ÜRETİM_İHTİYAÇ_RAPORU_BURAK_YENI1309[[#This Row],[SATINALMA]]*DST_123_ÜRETİM_İHTİYAÇ_RAPORU_BURAK_YENI1309[[#This Row],[BIRIM_FIYATLAR]])&lt;1,VALUE("0"),DST_123_ÜRETİM_İHTİYAÇ_RAPORU_BURAK_YENI1309[[#This Row],[SATINALMA]]*DST_123_ÜRETİM_İHTİYAÇ_RAPORU_BURAK_YENI1309[[#This Row],[BIRIM_FIYATLAR]])</f>
        <v>0</v>
      </c>
      <c r="N3971">
        <v>115.6</v>
      </c>
      <c r="O3971" t="s">
        <v>826</v>
      </c>
      <c r="P3971">
        <v>115.6</v>
      </c>
      <c r="Q3971" t="s">
        <v>221</v>
      </c>
    </row>
    <row r="3972" spans="1:17" x14ac:dyDescent="0.25">
      <c r="A3972" t="s">
        <v>1060</v>
      </c>
      <c r="B3972" t="s">
        <v>1061</v>
      </c>
      <c r="C3972" t="s">
        <v>175</v>
      </c>
      <c r="D3972" t="s">
        <v>406</v>
      </c>
      <c r="E3972" t="s">
        <v>407</v>
      </c>
      <c r="F3972">
        <v>1</v>
      </c>
      <c r="G3972" t="s">
        <v>176</v>
      </c>
      <c r="H3972">
        <v>1</v>
      </c>
      <c r="I3972">
        <v>34</v>
      </c>
      <c r="J3972" s="10">
        <v>62</v>
      </c>
      <c r="K3972" s="10">
        <f>SUMIFS(F:F,D:D,DST_123_ÜRETİM_İHTİYAÇ_RAPORU_BURAK_YENI1309[[#This Row],[ALT_KOD]])-(SUMIFS(H:H,D:D,DST_123_ÜRETİM_İHTİYAÇ_RAPORU_BURAK_YENI1309[[#This Row],[ALT_KOD]])+AVERAGEIFS(I:I,D:D,DST_123_ÜRETİM_İHTİYAÇ_RAPORU_BURAK_YENI1309[[#This Row],[ALT_KOD]])+AVERAGEIFS(L:L,D:D,DST_123_ÜRETİM_İHTİYAÇ_RAPORU_BURAK_YENI1309[[#This Row],[ALT_KOD]]))</f>
        <v>-12</v>
      </c>
      <c r="L3972">
        <v>0</v>
      </c>
      <c r="M3972">
        <f>IF((DST_123_ÜRETİM_İHTİYAÇ_RAPORU_BURAK_YENI1309[[#This Row],[SATINALMA]]*DST_123_ÜRETİM_İHTİYAÇ_RAPORU_BURAK_YENI1309[[#This Row],[BIRIM_FIYATLAR]])&lt;1,VALUE("0"),DST_123_ÜRETİM_İHTİYAÇ_RAPORU_BURAK_YENI1309[[#This Row],[SATINALMA]]*DST_123_ÜRETİM_İHTİYAÇ_RAPORU_BURAK_YENI1309[[#This Row],[BIRIM_FIYATLAR]])</f>
        <v>0</v>
      </c>
      <c r="N3972">
        <v>19.07</v>
      </c>
      <c r="O3972" t="s">
        <v>826</v>
      </c>
      <c r="P3972">
        <v>19.07</v>
      </c>
      <c r="Q3972" t="s">
        <v>221</v>
      </c>
    </row>
    <row r="3973" spans="1:17" x14ac:dyDescent="0.25">
      <c r="A3973" t="s">
        <v>1100</v>
      </c>
      <c r="B3973" t="s">
        <v>1058</v>
      </c>
      <c r="C3973" t="s">
        <v>175</v>
      </c>
      <c r="D3973" t="s">
        <v>406</v>
      </c>
      <c r="E3973" t="s">
        <v>407</v>
      </c>
      <c r="F3973">
        <v>1</v>
      </c>
      <c r="G3973" t="s">
        <v>176</v>
      </c>
      <c r="H3973">
        <v>1</v>
      </c>
      <c r="I3973">
        <v>34</v>
      </c>
      <c r="J3973" s="10">
        <v>62</v>
      </c>
      <c r="K3973" s="10">
        <f>SUMIFS(F:F,D:D,DST_123_ÜRETİM_İHTİYAÇ_RAPORU_BURAK_YENI1309[[#This Row],[ALT_KOD]])-(SUMIFS(H:H,D:D,DST_123_ÜRETİM_İHTİYAÇ_RAPORU_BURAK_YENI1309[[#This Row],[ALT_KOD]])+AVERAGEIFS(I:I,D:D,DST_123_ÜRETİM_İHTİYAÇ_RAPORU_BURAK_YENI1309[[#This Row],[ALT_KOD]])+AVERAGEIFS(L:L,D:D,DST_123_ÜRETİM_İHTİYAÇ_RAPORU_BURAK_YENI1309[[#This Row],[ALT_KOD]]))</f>
        <v>-12</v>
      </c>
      <c r="L3973">
        <v>0</v>
      </c>
      <c r="M3973">
        <f>IF((DST_123_ÜRETİM_İHTİYAÇ_RAPORU_BURAK_YENI1309[[#This Row],[SATINALMA]]*DST_123_ÜRETİM_İHTİYAÇ_RAPORU_BURAK_YENI1309[[#This Row],[BIRIM_FIYATLAR]])&lt;1,VALUE("0"),DST_123_ÜRETİM_İHTİYAÇ_RAPORU_BURAK_YENI1309[[#This Row],[SATINALMA]]*DST_123_ÜRETİM_İHTİYAÇ_RAPORU_BURAK_YENI1309[[#This Row],[BIRIM_FIYATLAR]])</f>
        <v>0</v>
      </c>
      <c r="N3973">
        <v>19.07</v>
      </c>
      <c r="O3973" t="s">
        <v>826</v>
      </c>
      <c r="P3973">
        <v>19.07</v>
      </c>
      <c r="Q3973" t="s">
        <v>221</v>
      </c>
    </row>
    <row r="3974" spans="1:17" x14ac:dyDescent="0.25">
      <c r="A3974" t="s">
        <v>1147</v>
      </c>
      <c r="B3974" t="s">
        <v>1145</v>
      </c>
      <c r="C3974" t="s">
        <v>175</v>
      </c>
      <c r="D3974" t="s">
        <v>406</v>
      </c>
      <c r="E3974" t="s">
        <v>407</v>
      </c>
      <c r="F3974">
        <v>2</v>
      </c>
      <c r="G3974" t="s">
        <v>176</v>
      </c>
      <c r="H3974">
        <v>0</v>
      </c>
      <c r="I3974">
        <v>34</v>
      </c>
      <c r="J3974" s="10">
        <v>62</v>
      </c>
      <c r="K3974" s="10">
        <f>SUMIFS(F:F,D:D,DST_123_ÜRETİM_İHTİYAÇ_RAPORU_BURAK_YENI1309[[#This Row],[ALT_KOD]])-(SUMIFS(H:H,D:D,DST_123_ÜRETİM_İHTİYAÇ_RAPORU_BURAK_YENI1309[[#This Row],[ALT_KOD]])+AVERAGEIFS(I:I,D:D,DST_123_ÜRETİM_İHTİYAÇ_RAPORU_BURAK_YENI1309[[#This Row],[ALT_KOD]])+AVERAGEIFS(L:L,D:D,DST_123_ÜRETİM_İHTİYAÇ_RAPORU_BURAK_YENI1309[[#This Row],[ALT_KOD]]))</f>
        <v>-12</v>
      </c>
      <c r="L3974">
        <v>0</v>
      </c>
      <c r="M3974">
        <f>IF((DST_123_ÜRETİM_İHTİYAÇ_RAPORU_BURAK_YENI1309[[#This Row],[SATINALMA]]*DST_123_ÜRETİM_İHTİYAÇ_RAPORU_BURAK_YENI1309[[#This Row],[BIRIM_FIYATLAR]])&lt;1,VALUE("0"),DST_123_ÜRETİM_İHTİYAÇ_RAPORU_BURAK_YENI1309[[#This Row],[SATINALMA]]*DST_123_ÜRETİM_İHTİYAÇ_RAPORU_BURAK_YENI1309[[#This Row],[BIRIM_FIYATLAR]])</f>
        <v>0</v>
      </c>
      <c r="N3974">
        <v>19.07</v>
      </c>
      <c r="O3974" t="s">
        <v>826</v>
      </c>
      <c r="P3974">
        <v>38.14</v>
      </c>
      <c r="Q3974" t="s">
        <v>221</v>
      </c>
    </row>
    <row r="3975" spans="1:17" x14ac:dyDescent="0.25">
      <c r="A3975" t="s">
        <v>1060</v>
      </c>
      <c r="B3975" t="s">
        <v>1061</v>
      </c>
      <c r="C3975" t="s">
        <v>175</v>
      </c>
      <c r="D3975" t="s">
        <v>618</v>
      </c>
      <c r="E3975" t="s">
        <v>827</v>
      </c>
      <c r="F3975">
        <v>1</v>
      </c>
      <c r="G3975" t="s">
        <v>176</v>
      </c>
      <c r="H3975">
        <v>0</v>
      </c>
      <c r="I3975">
        <v>37</v>
      </c>
      <c r="J3975" s="10">
        <v>2</v>
      </c>
      <c r="K3975" s="10">
        <f>SUMIFS(F:F,D:D,DST_123_ÜRETİM_İHTİYAÇ_RAPORU_BURAK_YENI1309[[#This Row],[ALT_KOD]])-(SUMIFS(H:H,D:D,DST_123_ÜRETİM_İHTİYAÇ_RAPORU_BURAK_YENI1309[[#This Row],[ALT_KOD]])+AVERAGEIFS(I:I,D:D,DST_123_ÜRETİM_İHTİYAÇ_RAPORU_BURAK_YENI1309[[#This Row],[ALT_KOD]])+AVERAGEIFS(L:L,D:D,DST_123_ÜRETİM_İHTİYAÇ_RAPORU_BURAK_YENI1309[[#This Row],[ALT_KOD]]))</f>
        <v>-17</v>
      </c>
      <c r="L3975">
        <v>0</v>
      </c>
      <c r="M3975">
        <f>IF((DST_123_ÜRETİM_İHTİYAÇ_RAPORU_BURAK_YENI1309[[#This Row],[SATINALMA]]*DST_123_ÜRETİM_İHTİYAÇ_RAPORU_BURAK_YENI1309[[#This Row],[BIRIM_FIYATLAR]])&lt;1,VALUE("0"),DST_123_ÜRETİM_İHTİYAÇ_RAPORU_BURAK_YENI1309[[#This Row],[SATINALMA]]*DST_123_ÜRETİM_İHTİYAÇ_RAPORU_BURAK_YENI1309[[#This Row],[BIRIM_FIYATLAR]])</f>
        <v>0</v>
      </c>
      <c r="N3975">
        <v>82.6</v>
      </c>
      <c r="O3975" t="s">
        <v>821</v>
      </c>
      <c r="P3975">
        <v>82.6</v>
      </c>
      <c r="Q3975" t="s">
        <v>178</v>
      </c>
    </row>
    <row r="3976" spans="1:17" x14ac:dyDescent="0.25">
      <c r="A3976" t="s">
        <v>1057</v>
      </c>
      <c r="B3976" t="s">
        <v>1058</v>
      </c>
      <c r="C3976" t="s">
        <v>175</v>
      </c>
      <c r="D3976" t="s">
        <v>618</v>
      </c>
      <c r="E3976" t="s">
        <v>827</v>
      </c>
      <c r="F3976">
        <v>1</v>
      </c>
      <c r="G3976" t="s">
        <v>176</v>
      </c>
      <c r="H3976">
        <v>0</v>
      </c>
      <c r="I3976">
        <v>37</v>
      </c>
      <c r="J3976" s="10">
        <v>2</v>
      </c>
      <c r="K3976" s="10">
        <f>SUMIFS(F:F,D:D,DST_123_ÜRETİM_İHTİYAÇ_RAPORU_BURAK_YENI1309[[#This Row],[ALT_KOD]])-(SUMIFS(H:H,D:D,DST_123_ÜRETİM_İHTİYAÇ_RAPORU_BURAK_YENI1309[[#This Row],[ALT_KOD]])+AVERAGEIFS(I:I,D:D,DST_123_ÜRETİM_İHTİYAÇ_RAPORU_BURAK_YENI1309[[#This Row],[ALT_KOD]])+AVERAGEIFS(L:L,D:D,DST_123_ÜRETİM_İHTİYAÇ_RAPORU_BURAK_YENI1309[[#This Row],[ALT_KOD]]))</f>
        <v>-17</v>
      </c>
      <c r="L3976">
        <v>0</v>
      </c>
      <c r="M3976">
        <f>IF((DST_123_ÜRETİM_İHTİYAÇ_RAPORU_BURAK_YENI1309[[#This Row],[SATINALMA]]*DST_123_ÜRETİM_İHTİYAÇ_RAPORU_BURAK_YENI1309[[#This Row],[BIRIM_FIYATLAR]])&lt;1,VALUE("0"),DST_123_ÜRETİM_İHTİYAÇ_RAPORU_BURAK_YENI1309[[#This Row],[SATINALMA]]*DST_123_ÜRETİM_İHTİYAÇ_RAPORU_BURAK_YENI1309[[#This Row],[BIRIM_FIYATLAR]])</f>
        <v>0</v>
      </c>
      <c r="N3976">
        <v>82.6</v>
      </c>
      <c r="O3976" t="s">
        <v>821</v>
      </c>
      <c r="P3976">
        <v>82.6</v>
      </c>
      <c r="Q3976" t="s">
        <v>178</v>
      </c>
    </row>
    <row r="3977" spans="1:17" x14ac:dyDescent="0.25">
      <c r="A3977" t="s">
        <v>1100</v>
      </c>
      <c r="B3977" t="s">
        <v>1058</v>
      </c>
      <c r="C3977" t="s">
        <v>175</v>
      </c>
      <c r="D3977" t="s">
        <v>618</v>
      </c>
      <c r="E3977" t="s">
        <v>827</v>
      </c>
      <c r="F3977">
        <v>1</v>
      </c>
      <c r="G3977" t="s">
        <v>176</v>
      </c>
      <c r="H3977">
        <v>0</v>
      </c>
      <c r="I3977">
        <v>37</v>
      </c>
      <c r="J3977" s="10">
        <v>2</v>
      </c>
      <c r="K3977" s="10">
        <f>SUMIFS(F:F,D:D,DST_123_ÜRETİM_İHTİYAÇ_RAPORU_BURAK_YENI1309[[#This Row],[ALT_KOD]])-(SUMIFS(H:H,D:D,DST_123_ÜRETİM_İHTİYAÇ_RAPORU_BURAK_YENI1309[[#This Row],[ALT_KOD]])+AVERAGEIFS(I:I,D:D,DST_123_ÜRETİM_İHTİYAÇ_RAPORU_BURAK_YENI1309[[#This Row],[ALT_KOD]])+AVERAGEIFS(L:L,D:D,DST_123_ÜRETİM_İHTİYAÇ_RAPORU_BURAK_YENI1309[[#This Row],[ALT_KOD]]))</f>
        <v>-17</v>
      </c>
      <c r="L3977">
        <v>0</v>
      </c>
      <c r="M3977">
        <f>IF((DST_123_ÜRETİM_İHTİYAÇ_RAPORU_BURAK_YENI1309[[#This Row],[SATINALMA]]*DST_123_ÜRETİM_İHTİYAÇ_RAPORU_BURAK_YENI1309[[#This Row],[BIRIM_FIYATLAR]])&lt;1,VALUE("0"),DST_123_ÜRETİM_İHTİYAÇ_RAPORU_BURAK_YENI1309[[#This Row],[SATINALMA]]*DST_123_ÜRETİM_İHTİYAÇ_RAPORU_BURAK_YENI1309[[#This Row],[BIRIM_FIYATLAR]])</f>
        <v>0</v>
      </c>
      <c r="N3977">
        <v>82.6</v>
      </c>
      <c r="O3977" t="s">
        <v>821</v>
      </c>
      <c r="P3977">
        <v>82.6</v>
      </c>
      <c r="Q3977" t="s">
        <v>178</v>
      </c>
    </row>
    <row r="3978" spans="1:17" x14ac:dyDescent="0.25">
      <c r="A3978" t="s">
        <v>1148</v>
      </c>
      <c r="B3978" t="s">
        <v>1056</v>
      </c>
      <c r="C3978" t="s">
        <v>175</v>
      </c>
      <c r="D3978" t="s">
        <v>618</v>
      </c>
      <c r="E3978" t="s">
        <v>827</v>
      </c>
      <c r="F3978">
        <v>1</v>
      </c>
      <c r="G3978" t="s">
        <v>176</v>
      </c>
      <c r="H3978">
        <v>0</v>
      </c>
      <c r="I3978">
        <v>37</v>
      </c>
      <c r="J3978" s="10">
        <v>2</v>
      </c>
      <c r="K3978" s="10">
        <f>SUMIFS(F:F,D:D,DST_123_ÜRETİM_İHTİYAÇ_RAPORU_BURAK_YENI1309[[#This Row],[ALT_KOD]])-(SUMIFS(H:H,D:D,DST_123_ÜRETİM_İHTİYAÇ_RAPORU_BURAK_YENI1309[[#This Row],[ALT_KOD]])+AVERAGEIFS(I:I,D:D,DST_123_ÜRETİM_İHTİYAÇ_RAPORU_BURAK_YENI1309[[#This Row],[ALT_KOD]])+AVERAGEIFS(L:L,D:D,DST_123_ÜRETİM_İHTİYAÇ_RAPORU_BURAK_YENI1309[[#This Row],[ALT_KOD]]))</f>
        <v>-17</v>
      </c>
      <c r="L3978">
        <v>0</v>
      </c>
      <c r="M3978">
        <f>IF((DST_123_ÜRETİM_İHTİYAÇ_RAPORU_BURAK_YENI1309[[#This Row],[SATINALMA]]*DST_123_ÜRETİM_İHTİYAÇ_RAPORU_BURAK_YENI1309[[#This Row],[BIRIM_FIYATLAR]])&lt;1,VALUE("0"),DST_123_ÜRETİM_İHTİYAÇ_RAPORU_BURAK_YENI1309[[#This Row],[SATINALMA]]*DST_123_ÜRETİM_İHTİYAÇ_RAPORU_BURAK_YENI1309[[#This Row],[BIRIM_FIYATLAR]])</f>
        <v>0</v>
      </c>
      <c r="N3978">
        <v>82.6</v>
      </c>
      <c r="O3978" t="s">
        <v>821</v>
      </c>
      <c r="P3978">
        <v>82.6</v>
      </c>
      <c r="Q3978" t="s">
        <v>178</v>
      </c>
    </row>
    <row r="3979" spans="1:17" x14ac:dyDescent="0.25">
      <c r="A3979" t="s">
        <v>1057</v>
      </c>
      <c r="B3979" t="s">
        <v>1058</v>
      </c>
      <c r="C3979" t="s">
        <v>175</v>
      </c>
      <c r="D3979" t="s">
        <v>974</v>
      </c>
      <c r="E3979" t="s">
        <v>975</v>
      </c>
      <c r="F3979">
        <v>5</v>
      </c>
      <c r="G3979" t="s">
        <v>176</v>
      </c>
      <c r="H3979">
        <v>0</v>
      </c>
      <c r="I3979">
        <v>0</v>
      </c>
      <c r="J3979" s="10">
        <v>0</v>
      </c>
      <c r="K3979" s="10">
        <f>SUMIFS(F:F,D:D,DST_123_ÜRETİM_İHTİYAÇ_RAPORU_BURAK_YENI1309[[#This Row],[ALT_KOD]])-(SUMIFS(H:H,D:D,DST_123_ÜRETİM_İHTİYAÇ_RAPORU_BURAK_YENI1309[[#This Row],[ALT_KOD]])+AVERAGEIFS(I:I,D:D,DST_123_ÜRETİM_İHTİYAÇ_RAPORU_BURAK_YENI1309[[#This Row],[ALT_KOD]])+AVERAGEIFS(L:L,D:D,DST_123_ÜRETİM_İHTİYAÇ_RAPORU_BURAK_YENI1309[[#This Row],[ALT_KOD]]))</f>
        <v>10</v>
      </c>
      <c r="L3979">
        <v>0</v>
      </c>
      <c r="M3979">
        <f>IF((DST_123_ÜRETİM_İHTİYAÇ_RAPORU_BURAK_YENI1309[[#This Row],[SATINALMA]]*DST_123_ÜRETİM_İHTİYAÇ_RAPORU_BURAK_YENI1309[[#This Row],[BIRIM_FIYATLAR]])&lt;1,VALUE("0"),DST_123_ÜRETİM_İHTİYAÇ_RAPORU_BURAK_YENI1309[[#This Row],[SATINALMA]]*DST_123_ÜRETİM_İHTİYAÇ_RAPORU_BURAK_YENI1309[[#This Row],[BIRIM_FIYATLAR]])</f>
        <v>6.6000000000000005</v>
      </c>
      <c r="N3979">
        <v>0.66</v>
      </c>
      <c r="P3979">
        <v>3.3000000000000003</v>
      </c>
      <c r="Q3979" t="s">
        <v>180</v>
      </c>
    </row>
    <row r="3980" spans="1:17" x14ac:dyDescent="0.25">
      <c r="A3980" t="s">
        <v>1143</v>
      </c>
      <c r="B3980" t="s">
        <v>1056</v>
      </c>
      <c r="C3980" t="s">
        <v>175</v>
      </c>
      <c r="D3980" t="s">
        <v>266</v>
      </c>
      <c r="E3980" t="s">
        <v>267</v>
      </c>
      <c r="F3980">
        <v>8</v>
      </c>
      <c r="G3980" t="s">
        <v>176</v>
      </c>
      <c r="H3980">
        <v>0</v>
      </c>
      <c r="I3980">
        <v>30</v>
      </c>
      <c r="J3980" s="10">
        <v>0</v>
      </c>
      <c r="K3980" s="10">
        <f>SUMIFS(F:F,D:D,DST_123_ÜRETİM_İHTİYAÇ_RAPORU_BURAK_YENI1309[[#This Row],[ALT_KOD]])-(SUMIFS(H:H,D:D,DST_123_ÜRETİM_İHTİYAÇ_RAPORU_BURAK_YENI1309[[#This Row],[ALT_KOD]])+AVERAGEIFS(I:I,D:D,DST_123_ÜRETİM_İHTİYAÇ_RAPORU_BURAK_YENI1309[[#This Row],[ALT_KOD]])+AVERAGEIFS(L:L,D:D,DST_123_ÜRETİM_İHTİYAÇ_RAPORU_BURAK_YENI1309[[#This Row],[ALT_KOD]]))</f>
        <v>-10</v>
      </c>
      <c r="L3980">
        <v>0</v>
      </c>
      <c r="M3980">
        <f>IF((DST_123_ÜRETİM_İHTİYAÇ_RAPORU_BURAK_YENI1309[[#This Row],[SATINALMA]]*DST_123_ÜRETİM_İHTİYAÇ_RAPORU_BURAK_YENI1309[[#This Row],[BIRIM_FIYATLAR]])&lt;1,VALUE("0"),DST_123_ÜRETİM_İHTİYAÇ_RAPORU_BURAK_YENI1309[[#This Row],[SATINALMA]]*DST_123_ÜRETİM_İHTİYAÇ_RAPORU_BURAK_YENI1309[[#This Row],[BIRIM_FIYATLAR]])</f>
        <v>0</v>
      </c>
      <c r="N3980">
        <v>60</v>
      </c>
      <c r="O3980" t="s">
        <v>226</v>
      </c>
      <c r="P3980">
        <v>480</v>
      </c>
      <c r="Q3980" t="s">
        <v>180</v>
      </c>
    </row>
    <row r="3981" spans="1:17" x14ac:dyDescent="0.25">
      <c r="A3981" t="s">
        <v>1097</v>
      </c>
      <c r="B3981" t="s">
        <v>1055</v>
      </c>
      <c r="C3981" t="s">
        <v>175</v>
      </c>
      <c r="D3981" t="s">
        <v>134</v>
      </c>
      <c r="E3981" t="s">
        <v>135</v>
      </c>
      <c r="F3981">
        <v>5</v>
      </c>
      <c r="G3981" t="s">
        <v>179</v>
      </c>
      <c r="H3981">
        <v>0</v>
      </c>
      <c r="I3981">
        <v>60</v>
      </c>
      <c r="J3981" s="10">
        <v>52</v>
      </c>
      <c r="K3981" s="10">
        <f>SUMIFS(F:F,D:D,DST_123_ÜRETİM_İHTİYAÇ_RAPORU_BURAK_YENI1309[[#This Row],[ALT_KOD]])-(SUMIFS(H:H,D:D,DST_123_ÜRETİM_İHTİYAÇ_RAPORU_BURAK_YENI1309[[#This Row],[ALT_KOD]])+AVERAGEIFS(I:I,D:D,DST_123_ÜRETİM_İHTİYAÇ_RAPORU_BURAK_YENI1309[[#This Row],[ALT_KOD]])+AVERAGEIFS(L:L,D:D,DST_123_ÜRETİM_İHTİYAÇ_RAPORU_BURAK_YENI1309[[#This Row],[ALT_KOD]]))</f>
        <v>14.5</v>
      </c>
      <c r="L3981">
        <v>80</v>
      </c>
      <c r="M3981">
        <f>IF((DST_123_ÜRETİM_İHTİYAÇ_RAPORU_BURAK_YENI1309[[#This Row],[SATINALMA]]*DST_123_ÜRETİM_İHTİYAÇ_RAPORU_BURAK_YENI1309[[#This Row],[BIRIM_FIYATLAR]])&lt;1,VALUE("0"),DST_123_ÜRETİM_İHTİYAÇ_RAPORU_BURAK_YENI1309[[#This Row],[SATINALMA]]*DST_123_ÜRETİM_İHTİYAÇ_RAPORU_BURAK_YENI1309[[#This Row],[BIRIM_FIYATLAR]])</f>
        <v>710.5</v>
      </c>
      <c r="N3981">
        <v>49</v>
      </c>
      <c r="O3981" t="s">
        <v>672</v>
      </c>
      <c r="P3981">
        <v>245</v>
      </c>
      <c r="Q3981" t="s">
        <v>184</v>
      </c>
    </row>
    <row r="3982" spans="1:17" x14ac:dyDescent="0.25">
      <c r="A3982" t="s">
        <v>1059</v>
      </c>
      <c r="B3982" t="s">
        <v>1058</v>
      </c>
      <c r="C3982" t="s">
        <v>175</v>
      </c>
      <c r="D3982" t="s">
        <v>134</v>
      </c>
      <c r="E3982" t="s">
        <v>135</v>
      </c>
      <c r="F3982">
        <v>6</v>
      </c>
      <c r="G3982" t="s">
        <v>179</v>
      </c>
      <c r="H3982">
        <v>0</v>
      </c>
      <c r="I3982">
        <v>60</v>
      </c>
      <c r="J3982" s="10">
        <v>52</v>
      </c>
      <c r="K3982" s="10">
        <f>SUMIFS(F:F,D:D,DST_123_ÜRETİM_İHTİYAÇ_RAPORU_BURAK_YENI1309[[#This Row],[ALT_KOD]])-(SUMIFS(H:H,D:D,DST_123_ÜRETİM_İHTİYAÇ_RAPORU_BURAK_YENI1309[[#This Row],[ALT_KOD]])+AVERAGEIFS(I:I,D:D,DST_123_ÜRETİM_İHTİYAÇ_RAPORU_BURAK_YENI1309[[#This Row],[ALT_KOD]])+AVERAGEIFS(L:L,D:D,DST_123_ÜRETİM_İHTİYAÇ_RAPORU_BURAK_YENI1309[[#This Row],[ALT_KOD]]))</f>
        <v>14.5</v>
      </c>
      <c r="L3982">
        <v>80</v>
      </c>
      <c r="M3982">
        <f>IF((DST_123_ÜRETİM_İHTİYAÇ_RAPORU_BURAK_YENI1309[[#This Row],[SATINALMA]]*DST_123_ÜRETİM_İHTİYAÇ_RAPORU_BURAK_YENI1309[[#This Row],[BIRIM_FIYATLAR]])&lt;1,VALUE("0"),DST_123_ÜRETİM_İHTİYAÇ_RAPORU_BURAK_YENI1309[[#This Row],[SATINALMA]]*DST_123_ÜRETİM_İHTİYAÇ_RAPORU_BURAK_YENI1309[[#This Row],[BIRIM_FIYATLAR]])</f>
        <v>710.5</v>
      </c>
      <c r="N3982">
        <v>49</v>
      </c>
      <c r="O3982" t="s">
        <v>672</v>
      </c>
      <c r="P3982">
        <v>294</v>
      </c>
      <c r="Q3982" t="s">
        <v>184</v>
      </c>
    </row>
    <row r="3983" spans="1:17" x14ac:dyDescent="0.25">
      <c r="A3983" t="s">
        <v>1095</v>
      </c>
      <c r="B3983" t="s">
        <v>1096</v>
      </c>
      <c r="C3983" t="s">
        <v>175</v>
      </c>
      <c r="D3983" t="s">
        <v>134</v>
      </c>
      <c r="E3983" t="s">
        <v>135</v>
      </c>
      <c r="F3983">
        <v>7.5</v>
      </c>
      <c r="G3983" t="s">
        <v>179</v>
      </c>
      <c r="H3983">
        <v>0</v>
      </c>
      <c r="I3983">
        <v>60</v>
      </c>
      <c r="J3983" s="10">
        <v>52</v>
      </c>
      <c r="K3983" s="10">
        <f>SUMIFS(F:F,D:D,DST_123_ÜRETİM_İHTİYAÇ_RAPORU_BURAK_YENI1309[[#This Row],[ALT_KOD]])-(SUMIFS(H:H,D:D,DST_123_ÜRETİM_İHTİYAÇ_RAPORU_BURAK_YENI1309[[#This Row],[ALT_KOD]])+AVERAGEIFS(I:I,D:D,DST_123_ÜRETİM_İHTİYAÇ_RAPORU_BURAK_YENI1309[[#This Row],[ALT_KOD]])+AVERAGEIFS(L:L,D:D,DST_123_ÜRETİM_İHTİYAÇ_RAPORU_BURAK_YENI1309[[#This Row],[ALT_KOD]]))</f>
        <v>14.5</v>
      </c>
      <c r="L3983">
        <v>80</v>
      </c>
      <c r="M3983">
        <f>IF((DST_123_ÜRETİM_İHTİYAÇ_RAPORU_BURAK_YENI1309[[#This Row],[SATINALMA]]*DST_123_ÜRETİM_İHTİYAÇ_RAPORU_BURAK_YENI1309[[#This Row],[BIRIM_FIYATLAR]])&lt;1,VALUE("0"),DST_123_ÜRETİM_İHTİYAÇ_RAPORU_BURAK_YENI1309[[#This Row],[SATINALMA]]*DST_123_ÜRETİM_İHTİYAÇ_RAPORU_BURAK_YENI1309[[#This Row],[BIRIM_FIYATLAR]])</f>
        <v>710.5</v>
      </c>
      <c r="N3983">
        <v>49</v>
      </c>
      <c r="O3983" t="s">
        <v>672</v>
      </c>
      <c r="P3983">
        <v>367.5</v>
      </c>
      <c r="Q3983" t="s">
        <v>184</v>
      </c>
    </row>
    <row r="3984" spans="1:17" x14ac:dyDescent="0.25">
      <c r="A3984" t="s">
        <v>1142</v>
      </c>
      <c r="B3984" t="s">
        <v>1056</v>
      </c>
      <c r="C3984" t="s">
        <v>175</v>
      </c>
      <c r="D3984" t="s">
        <v>241</v>
      </c>
      <c r="E3984" t="s">
        <v>242</v>
      </c>
      <c r="F3984">
        <v>1</v>
      </c>
      <c r="G3984" t="s">
        <v>176</v>
      </c>
      <c r="H3984">
        <v>0</v>
      </c>
      <c r="I3984">
        <v>49</v>
      </c>
      <c r="J3984" s="10">
        <v>1.6000000000000005</v>
      </c>
      <c r="K3984" s="10">
        <f>SUMIFS(F:F,D:D,DST_123_ÜRETİM_İHTİYAÇ_RAPORU_BURAK_YENI1309[[#This Row],[ALT_KOD]])-(SUMIFS(H:H,D:D,DST_123_ÜRETİM_İHTİYAÇ_RAPORU_BURAK_YENI1309[[#This Row],[ALT_KOD]])+AVERAGEIFS(I:I,D:D,DST_123_ÜRETİM_İHTİYAÇ_RAPORU_BURAK_YENI1309[[#This Row],[ALT_KOD]])+AVERAGEIFS(L:L,D:D,DST_123_ÜRETİM_İHTİYAÇ_RAPORU_BURAK_YENI1309[[#This Row],[ALT_KOD]]))</f>
        <v>-37.599999999999994</v>
      </c>
      <c r="L3984">
        <v>0</v>
      </c>
      <c r="M3984">
        <f>IF((DST_123_ÜRETİM_İHTİYAÇ_RAPORU_BURAK_YENI1309[[#This Row],[SATINALMA]]*DST_123_ÜRETİM_İHTİYAÇ_RAPORU_BURAK_YENI1309[[#This Row],[BIRIM_FIYATLAR]])&lt;1,VALUE("0"),DST_123_ÜRETİM_İHTİYAÇ_RAPORU_BURAK_YENI1309[[#This Row],[SATINALMA]]*DST_123_ÜRETİM_İHTİYAÇ_RAPORU_BURAK_YENI1309[[#This Row],[BIRIM_FIYATLAR]])</f>
        <v>0</v>
      </c>
      <c r="N3984">
        <v>60</v>
      </c>
      <c r="O3984" t="s">
        <v>490</v>
      </c>
      <c r="P3984">
        <v>60</v>
      </c>
      <c r="Q3984" t="s">
        <v>180</v>
      </c>
    </row>
    <row r="3985" spans="1:17" x14ac:dyDescent="0.25">
      <c r="A3985" t="s">
        <v>1143</v>
      </c>
      <c r="B3985" t="s">
        <v>1056</v>
      </c>
      <c r="C3985" t="s">
        <v>175</v>
      </c>
      <c r="D3985" t="s">
        <v>157</v>
      </c>
      <c r="E3985" t="s">
        <v>158</v>
      </c>
      <c r="F3985">
        <v>1</v>
      </c>
      <c r="G3985" t="s">
        <v>176</v>
      </c>
      <c r="H3985">
        <v>0</v>
      </c>
      <c r="I3985">
        <v>4</v>
      </c>
      <c r="J3985" s="10">
        <v>22</v>
      </c>
      <c r="K3985" s="10">
        <f>SUMIFS(F:F,D:D,DST_123_ÜRETİM_İHTİYAÇ_RAPORU_BURAK_YENI1309[[#This Row],[ALT_KOD]])-(SUMIFS(H:H,D:D,DST_123_ÜRETİM_İHTİYAÇ_RAPORU_BURAK_YENI1309[[#This Row],[ALT_KOD]])+AVERAGEIFS(I:I,D:D,DST_123_ÜRETİM_İHTİYAÇ_RAPORU_BURAK_YENI1309[[#This Row],[ALT_KOD]])+AVERAGEIFS(L:L,D:D,DST_123_ÜRETİM_İHTİYAÇ_RAPORU_BURAK_YENI1309[[#This Row],[ALT_KOD]]))</f>
        <v>-5</v>
      </c>
      <c r="L3985">
        <v>20</v>
      </c>
      <c r="M3985">
        <f>IF((DST_123_ÜRETİM_İHTİYAÇ_RAPORU_BURAK_YENI1309[[#This Row],[SATINALMA]]*DST_123_ÜRETİM_İHTİYAÇ_RAPORU_BURAK_YENI1309[[#This Row],[BIRIM_FIYATLAR]])&lt;1,VALUE("0"),DST_123_ÜRETİM_İHTİYAÇ_RAPORU_BURAK_YENI1309[[#This Row],[SATINALMA]]*DST_123_ÜRETİM_İHTİYAÇ_RAPORU_BURAK_YENI1309[[#This Row],[BIRIM_FIYATLAR]])</f>
        <v>0</v>
      </c>
      <c r="N3985">
        <v>65</v>
      </c>
      <c r="O3985" t="s">
        <v>761</v>
      </c>
      <c r="P3985">
        <v>65</v>
      </c>
      <c r="Q3985" t="s">
        <v>178</v>
      </c>
    </row>
    <row r="3986" spans="1:17" x14ac:dyDescent="0.25">
      <c r="A3986" t="s">
        <v>1059</v>
      </c>
      <c r="B3986" t="s">
        <v>1058</v>
      </c>
      <c r="C3986" t="s">
        <v>175</v>
      </c>
      <c r="D3986" t="s">
        <v>157</v>
      </c>
      <c r="E3986" t="s">
        <v>158</v>
      </c>
      <c r="F3986">
        <v>1</v>
      </c>
      <c r="G3986" t="s">
        <v>176</v>
      </c>
      <c r="H3986">
        <v>0</v>
      </c>
      <c r="I3986">
        <v>4</v>
      </c>
      <c r="J3986" s="10">
        <v>22</v>
      </c>
      <c r="K3986" s="10">
        <f>SUMIFS(F:F,D:D,DST_123_ÜRETİM_İHTİYAÇ_RAPORU_BURAK_YENI1309[[#This Row],[ALT_KOD]])-(SUMIFS(H:H,D:D,DST_123_ÜRETİM_İHTİYAÇ_RAPORU_BURAK_YENI1309[[#This Row],[ALT_KOD]])+AVERAGEIFS(I:I,D:D,DST_123_ÜRETİM_İHTİYAÇ_RAPORU_BURAK_YENI1309[[#This Row],[ALT_KOD]])+AVERAGEIFS(L:L,D:D,DST_123_ÜRETİM_İHTİYAÇ_RAPORU_BURAK_YENI1309[[#This Row],[ALT_KOD]]))</f>
        <v>-5</v>
      </c>
      <c r="L3986">
        <v>20</v>
      </c>
      <c r="M3986">
        <f>IF((DST_123_ÜRETİM_İHTİYAÇ_RAPORU_BURAK_YENI1309[[#This Row],[SATINALMA]]*DST_123_ÜRETİM_İHTİYAÇ_RAPORU_BURAK_YENI1309[[#This Row],[BIRIM_FIYATLAR]])&lt;1,VALUE("0"),DST_123_ÜRETİM_İHTİYAÇ_RAPORU_BURAK_YENI1309[[#This Row],[SATINALMA]]*DST_123_ÜRETİM_İHTİYAÇ_RAPORU_BURAK_YENI1309[[#This Row],[BIRIM_FIYATLAR]])</f>
        <v>0</v>
      </c>
      <c r="N3986">
        <v>65</v>
      </c>
      <c r="O3986" t="s">
        <v>761</v>
      </c>
      <c r="P3986">
        <v>65</v>
      </c>
      <c r="Q3986" t="s">
        <v>178</v>
      </c>
    </row>
    <row r="3987" spans="1:17" x14ac:dyDescent="0.25">
      <c r="A3987" t="s">
        <v>1142</v>
      </c>
      <c r="B3987" t="s">
        <v>1056</v>
      </c>
      <c r="C3987" t="s">
        <v>175</v>
      </c>
      <c r="D3987" t="s">
        <v>376</v>
      </c>
      <c r="E3987" t="s">
        <v>377</v>
      </c>
      <c r="F3987">
        <v>3</v>
      </c>
      <c r="G3987" t="s">
        <v>176</v>
      </c>
      <c r="H3987">
        <v>0</v>
      </c>
      <c r="I3987">
        <v>38</v>
      </c>
      <c r="J3987" s="10">
        <v>25</v>
      </c>
      <c r="K3987" s="10">
        <f>SUMIFS(F:F,D:D,DST_123_ÜRETİM_İHTİYAÇ_RAPORU_BURAK_YENI1309[[#This Row],[ALT_KOD]])-(SUMIFS(H:H,D:D,DST_123_ÜRETİM_İHTİYAÇ_RAPORU_BURAK_YENI1309[[#This Row],[ALT_KOD]])+AVERAGEIFS(I:I,D:D,DST_123_ÜRETİM_İHTİYAÇ_RAPORU_BURAK_YENI1309[[#This Row],[ALT_KOD]])+AVERAGEIFS(L:L,D:D,DST_123_ÜRETİM_İHTİYAÇ_RAPORU_BURAK_YENI1309[[#This Row],[ALT_KOD]]))</f>
        <v>-2</v>
      </c>
      <c r="L3987">
        <v>20</v>
      </c>
      <c r="M3987">
        <f>IF((DST_123_ÜRETİM_İHTİYAÇ_RAPORU_BURAK_YENI1309[[#This Row],[SATINALMA]]*DST_123_ÜRETİM_İHTİYAÇ_RAPORU_BURAK_YENI1309[[#This Row],[BIRIM_FIYATLAR]])&lt;1,VALUE("0"),DST_123_ÜRETİM_İHTİYAÇ_RAPORU_BURAK_YENI1309[[#This Row],[SATINALMA]]*DST_123_ÜRETİM_İHTİYAÇ_RAPORU_BURAK_YENI1309[[#This Row],[BIRIM_FIYATLAR]])</f>
        <v>0</v>
      </c>
      <c r="N3987">
        <v>245</v>
      </c>
      <c r="O3987" t="s">
        <v>821</v>
      </c>
      <c r="P3987">
        <v>735</v>
      </c>
      <c r="Q3987" t="s">
        <v>178</v>
      </c>
    </row>
    <row r="3988" spans="1:17" x14ac:dyDescent="0.25">
      <c r="A3988" t="s">
        <v>1097</v>
      </c>
      <c r="B3988" t="s">
        <v>1055</v>
      </c>
      <c r="C3988" t="s">
        <v>175</v>
      </c>
      <c r="D3988" t="s">
        <v>376</v>
      </c>
      <c r="E3988" t="s">
        <v>377</v>
      </c>
      <c r="F3988">
        <v>3</v>
      </c>
      <c r="G3988" t="s">
        <v>176</v>
      </c>
      <c r="H3988">
        <v>0</v>
      </c>
      <c r="I3988">
        <v>38</v>
      </c>
      <c r="J3988" s="10">
        <v>25</v>
      </c>
      <c r="K3988" s="10">
        <f>SUMIFS(F:F,D:D,DST_123_ÜRETİM_İHTİYAÇ_RAPORU_BURAK_YENI1309[[#This Row],[ALT_KOD]])-(SUMIFS(H:H,D:D,DST_123_ÜRETİM_İHTİYAÇ_RAPORU_BURAK_YENI1309[[#This Row],[ALT_KOD]])+AVERAGEIFS(I:I,D:D,DST_123_ÜRETİM_İHTİYAÇ_RAPORU_BURAK_YENI1309[[#This Row],[ALT_KOD]])+AVERAGEIFS(L:L,D:D,DST_123_ÜRETİM_İHTİYAÇ_RAPORU_BURAK_YENI1309[[#This Row],[ALT_KOD]]))</f>
        <v>-2</v>
      </c>
      <c r="L3988">
        <v>20</v>
      </c>
      <c r="M3988">
        <f>IF((DST_123_ÜRETİM_İHTİYAÇ_RAPORU_BURAK_YENI1309[[#This Row],[SATINALMA]]*DST_123_ÜRETİM_İHTİYAÇ_RAPORU_BURAK_YENI1309[[#This Row],[BIRIM_FIYATLAR]])&lt;1,VALUE("0"),DST_123_ÜRETİM_İHTİYAÇ_RAPORU_BURAK_YENI1309[[#This Row],[SATINALMA]]*DST_123_ÜRETİM_İHTİYAÇ_RAPORU_BURAK_YENI1309[[#This Row],[BIRIM_FIYATLAR]])</f>
        <v>0</v>
      </c>
      <c r="N3988">
        <v>245</v>
      </c>
      <c r="O3988" t="s">
        <v>821</v>
      </c>
      <c r="P3988">
        <v>735</v>
      </c>
      <c r="Q3988" t="s">
        <v>178</v>
      </c>
    </row>
    <row r="3989" spans="1:17" x14ac:dyDescent="0.25">
      <c r="A3989" t="s">
        <v>1097</v>
      </c>
      <c r="B3989" t="s">
        <v>1055</v>
      </c>
      <c r="C3989" t="s">
        <v>175</v>
      </c>
      <c r="D3989" t="s">
        <v>266</v>
      </c>
      <c r="E3989" t="s">
        <v>267</v>
      </c>
      <c r="F3989">
        <v>2</v>
      </c>
      <c r="G3989" t="s">
        <v>176</v>
      </c>
      <c r="H3989">
        <v>0</v>
      </c>
      <c r="I3989">
        <v>30</v>
      </c>
      <c r="J3989" s="10">
        <v>0</v>
      </c>
      <c r="K3989" s="10">
        <f>SUMIFS(F:F,D:D,DST_123_ÜRETİM_İHTİYAÇ_RAPORU_BURAK_YENI1309[[#This Row],[ALT_KOD]])-(SUMIFS(H:H,D:D,DST_123_ÜRETİM_İHTİYAÇ_RAPORU_BURAK_YENI1309[[#This Row],[ALT_KOD]])+AVERAGEIFS(I:I,D:D,DST_123_ÜRETİM_İHTİYAÇ_RAPORU_BURAK_YENI1309[[#This Row],[ALT_KOD]])+AVERAGEIFS(L:L,D:D,DST_123_ÜRETİM_İHTİYAÇ_RAPORU_BURAK_YENI1309[[#This Row],[ALT_KOD]]))</f>
        <v>-10</v>
      </c>
      <c r="L3989">
        <v>0</v>
      </c>
      <c r="M3989">
        <f>IF((DST_123_ÜRETİM_İHTİYAÇ_RAPORU_BURAK_YENI1309[[#This Row],[SATINALMA]]*DST_123_ÜRETİM_İHTİYAÇ_RAPORU_BURAK_YENI1309[[#This Row],[BIRIM_FIYATLAR]])&lt;1,VALUE("0"),DST_123_ÜRETİM_İHTİYAÇ_RAPORU_BURAK_YENI1309[[#This Row],[SATINALMA]]*DST_123_ÜRETİM_İHTİYAÇ_RAPORU_BURAK_YENI1309[[#This Row],[BIRIM_FIYATLAR]])</f>
        <v>0</v>
      </c>
      <c r="N3989">
        <v>60</v>
      </c>
      <c r="O3989" t="s">
        <v>226</v>
      </c>
      <c r="P3989">
        <v>120</v>
      </c>
      <c r="Q3989" t="s">
        <v>180</v>
      </c>
    </row>
    <row r="3990" spans="1:17" x14ac:dyDescent="0.25">
      <c r="A3990" t="s">
        <v>1142</v>
      </c>
      <c r="B3990" t="s">
        <v>1056</v>
      </c>
      <c r="C3990" t="s">
        <v>175</v>
      </c>
      <c r="D3990" t="s">
        <v>277</v>
      </c>
      <c r="E3990" t="s">
        <v>316</v>
      </c>
      <c r="F3990">
        <v>1</v>
      </c>
      <c r="G3990" t="s">
        <v>176</v>
      </c>
      <c r="H3990">
        <v>0</v>
      </c>
      <c r="I3990">
        <v>27</v>
      </c>
      <c r="J3990" s="10">
        <v>4</v>
      </c>
      <c r="K3990" s="10">
        <f>SUMIFS(F:F,D:D,DST_123_ÜRETİM_İHTİYAÇ_RAPORU_BURAK_YENI1309[[#This Row],[ALT_KOD]])-(SUMIFS(H:H,D:D,DST_123_ÜRETİM_İHTİYAÇ_RAPORU_BURAK_YENI1309[[#This Row],[ALT_KOD]])+AVERAGEIFS(I:I,D:D,DST_123_ÜRETİM_İHTİYAÇ_RAPORU_BURAK_YENI1309[[#This Row],[ALT_KOD]])+AVERAGEIFS(L:L,D:D,DST_123_ÜRETİM_İHTİYAÇ_RAPORU_BURAK_YENI1309[[#This Row],[ALT_KOD]]))</f>
        <v>-20</v>
      </c>
      <c r="L3990">
        <v>0</v>
      </c>
      <c r="M3990">
        <f>IF((DST_123_ÜRETİM_İHTİYAÇ_RAPORU_BURAK_YENI1309[[#This Row],[SATINALMA]]*DST_123_ÜRETİM_İHTİYAÇ_RAPORU_BURAK_YENI1309[[#This Row],[BIRIM_FIYATLAR]])&lt;1,VALUE("0"),DST_123_ÜRETİM_İHTİYAÇ_RAPORU_BURAK_YENI1309[[#This Row],[SATINALMA]]*DST_123_ÜRETİM_İHTİYAÇ_RAPORU_BURAK_YENI1309[[#This Row],[BIRIM_FIYATLAR]])</f>
        <v>0</v>
      </c>
      <c r="N3990">
        <v>287.13</v>
      </c>
      <c r="O3990" t="s">
        <v>636</v>
      </c>
      <c r="P3990">
        <v>287.13</v>
      </c>
      <c r="Q3990" t="s">
        <v>178</v>
      </c>
    </row>
    <row r="3991" spans="1:17" x14ac:dyDescent="0.25">
      <c r="A3991" t="s">
        <v>1142</v>
      </c>
      <c r="B3991" t="s">
        <v>1056</v>
      </c>
      <c r="C3991" t="s">
        <v>175</v>
      </c>
      <c r="D3991" t="s">
        <v>278</v>
      </c>
      <c r="E3991" t="s">
        <v>317</v>
      </c>
      <c r="F3991">
        <v>1</v>
      </c>
      <c r="G3991" t="s">
        <v>176</v>
      </c>
      <c r="H3991">
        <v>0</v>
      </c>
      <c r="I3991">
        <v>27</v>
      </c>
      <c r="J3991" s="10">
        <v>4</v>
      </c>
      <c r="K3991" s="10">
        <f>SUMIFS(F:F,D:D,DST_123_ÜRETİM_İHTİYAÇ_RAPORU_BURAK_YENI1309[[#This Row],[ALT_KOD]])-(SUMIFS(H:H,D:D,DST_123_ÜRETİM_İHTİYAÇ_RAPORU_BURAK_YENI1309[[#This Row],[ALT_KOD]])+AVERAGEIFS(I:I,D:D,DST_123_ÜRETİM_İHTİYAÇ_RAPORU_BURAK_YENI1309[[#This Row],[ALT_KOD]])+AVERAGEIFS(L:L,D:D,DST_123_ÜRETİM_İHTİYAÇ_RAPORU_BURAK_YENI1309[[#This Row],[ALT_KOD]]))</f>
        <v>-20</v>
      </c>
      <c r="L3991">
        <v>0</v>
      </c>
      <c r="M3991">
        <f>IF((DST_123_ÜRETİM_İHTİYAÇ_RAPORU_BURAK_YENI1309[[#This Row],[SATINALMA]]*DST_123_ÜRETİM_İHTİYAÇ_RAPORU_BURAK_YENI1309[[#This Row],[BIRIM_FIYATLAR]])&lt;1,VALUE("0"),DST_123_ÜRETİM_İHTİYAÇ_RAPORU_BURAK_YENI1309[[#This Row],[SATINALMA]]*DST_123_ÜRETİM_İHTİYAÇ_RAPORU_BURAK_YENI1309[[#This Row],[BIRIM_FIYATLAR]])</f>
        <v>0</v>
      </c>
      <c r="N3991">
        <v>287.13</v>
      </c>
      <c r="O3991" t="s">
        <v>636</v>
      </c>
      <c r="P3991">
        <v>287.13</v>
      </c>
      <c r="Q3991" t="s">
        <v>178</v>
      </c>
    </row>
    <row r="3992" spans="1:17" x14ac:dyDescent="0.25">
      <c r="A3992" t="s">
        <v>1143</v>
      </c>
      <c r="B3992" t="s">
        <v>1056</v>
      </c>
      <c r="C3992" t="s">
        <v>175</v>
      </c>
      <c r="D3992" t="s">
        <v>616</v>
      </c>
      <c r="E3992" t="s">
        <v>617</v>
      </c>
      <c r="F3992">
        <v>1</v>
      </c>
      <c r="G3992" t="s">
        <v>176</v>
      </c>
      <c r="H3992">
        <v>0</v>
      </c>
      <c r="I3992">
        <v>114</v>
      </c>
      <c r="J3992" s="10">
        <v>0</v>
      </c>
      <c r="K3992" s="10">
        <f>SUMIFS(F:F,D:D,DST_123_ÜRETİM_İHTİYAÇ_RAPORU_BURAK_YENI1309[[#This Row],[ALT_KOD]])-(SUMIFS(H:H,D:D,DST_123_ÜRETİM_İHTİYAÇ_RAPORU_BURAK_YENI1309[[#This Row],[ALT_KOD]])+AVERAGEIFS(I:I,D:D,DST_123_ÜRETİM_İHTİYAÇ_RAPORU_BURAK_YENI1309[[#This Row],[ALT_KOD]])+AVERAGEIFS(L:L,D:D,DST_123_ÜRETİM_İHTİYAÇ_RAPORU_BURAK_YENI1309[[#This Row],[ALT_KOD]]))</f>
        <v>-109</v>
      </c>
      <c r="L3992">
        <v>0</v>
      </c>
      <c r="M3992">
        <f>IF((DST_123_ÜRETİM_İHTİYAÇ_RAPORU_BURAK_YENI1309[[#This Row],[SATINALMA]]*DST_123_ÜRETİM_İHTİYAÇ_RAPORU_BURAK_YENI1309[[#This Row],[BIRIM_FIYATLAR]])&lt;1,VALUE("0"),DST_123_ÜRETİM_İHTİYAÇ_RAPORU_BURAK_YENI1309[[#This Row],[SATINALMA]]*DST_123_ÜRETİM_İHTİYAÇ_RAPORU_BURAK_YENI1309[[#This Row],[BIRIM_FIYATLAR]])</f>
        <v>0</v>
      </c>
      <c r="N3992">
        <v>10</v>
      </c>
      <c r="P3992">
        <v>10</v>
      </c>
      <c r="Q3992" t="s">
        <v>178</v>
      </c>
    </row>
    <row r="3993" spans="1:17" x14ac:dyDescent="0.25">
      <c r="A3993" t="s">
        <v>1059</v>
      </c>
      <c r="B3993" t="s">
        <v>1058</v>
      </c>
      <c r="C3993" t="s">
        <v>175</v>
      </c>
      <c r="D3993" t="s">
        <v>1023</v>
      </c>
      <c r="E3993" t="s">
        <v>1024</v>
      </c>
      <c r="F3993">
        <v>16</v>
      </c>
      <c r="G3993" t="s">
        <v>176</v>
      </c>
      <c r="H3993">
        <v>0</v>
      </c>
      <c r="I3993">
        <v>0</v>
      </c>
      <c r="J3993" s="10">
        <v>0</v>
      </c>
      <c r="K3993" s="10">
        <f>SUMIFS(F:F,D:D,DST_123_ÜRETİM_İHTİYAÇ_RAPORU_BURAK_YENI1309[[#This Row],[ALT_KOD]])-(SUMIFS(H:H,D:D,DST_123_ÜRETİM_İHTİYAÇ_RAPORU_BURAK_YENI1309[[#This Row],[ALT_KOD]])+AVERAGEIFS(I:I,D:D,DST_123_ÜRETİM_İHTİYAÇ_RAPORU_BURAK_YENI1309[[#This Row],[ALT_KOD]])+AVERAGEIFS(L:L,D:D,DST_123_ÜRETİM_İHTİYAÇ_RAPORU_BURAK_YENI1309[[#This Row],[ALT_KOD]]))</f>
        <v>32</v>
      </c>
      <c r="L3993">
        <v>0</v>
      </c>
      <c r="M3993">
        <f>IF((DST_123_ÜRETİM_İHTİYAÇ_RAPORU_BURAK_YENI1309[[#This Row],[SATINALMA]]*DST_123_ÜRETİM_İHTİYAÇ_RAPORU_BURAK_YENI1309[[#This Row],[BIRIM_FIYATLAR]])&lt;1,VALUE("0"),DST_123_ÜRETİM_İHTİYAÇ_RAPORU_BURAK_YENI1309[[#This Row],[SATINALMA]]*DST_123_ÜRETİM_İHTİYAÇ_RAPORU_BURAK_YENI1309[[#This Row],[BIRIM_FIYATLAR]])</f>
        <v>14.4</v>
      </c>
      <c r="N3993">
        <v>0.45</v>
      </c>
      <c r="O3993" t="s">
        <v>216</v>
      </c>
      <c r="P3993">
        <v>7.2</v>
      </c>
      <c r="Q3993" t="s">
        <v>180</v>
      </c>
    </row>
    <row r="3994" spans="1:17" x14ac:dyDescent="0.25">
      <c r="A3994" t="s">
        <v>1143</v>
      </c>
      <c r="B3994" t="s">
        <v>1056</v>
      </c>
      <c r="C3994" t="s">
        <v>175</v>
      </c>
      <c r="D3994" t="s">
        <v>134</v>
      </c>
      <c r="E3994" t="s">
        <v>135</v>
      </c>
      <c r="F3994">
        <v>6.5</v>
      </c>
      <c r="G3994" t="s">
        <v>179</v>
      </c>
      <c r="H3994">
        <v>0</v>
      </c>
      <c r="I3994">
        <v>60</v>
      </c>
      <c r="J3994" s="10">
        <v>52</v>
      </c>
      <c r="K3994" s="10">
        <f>SUMIFS(F:F,D:D,DST_123_ÜRETİM_İHTİYAÇ_RAPORU_BURAK_YENI1309[[#This Row],[ALT_KOD]])-(SUMIFS(H:H,D:D,DST_123_ÜRETİM_İHTİYAÇ_RAPORU_BURAK_YENI1309[[#This Row],[ALT_KOD]])+AVERAGEIFS(I:I,D:D,DST_123_ÜRETİM_İHTİYAÇ_RAPORU_BURAK_YENI1309[[#This Row],[ALT_KOD]])+AVERAGEIFS(L:L,D:D,DST_123_ÜRETİM_İHTİYAÇ_RAPORU_BURAK_YENI1309[[#This Row],[ALT_KOD]]))</f>
        <v>14.5</v>
      </c>
      <c r="L3994">
        <v>80</v>
      </c>
      <c r="M3994">
        <f>IF((DST_123_ÜRETİM_İHTİYAÇ_RAPORU_BURAK_YENI1309[[#This Row],[SATINALMA]]*DST_123_ÜRETİM_İHTİYAÇ_RAPORU_BURAK_YENI1309[[#This Row],[BIRIM_FIYATLAR]])&lt;1,VALUE("0"),DST_123_ÜRETİM_İHTİYAÇ_RAPORU_BURAK_YENI1309[[#This Row],[SATINALMA]]*DST_123_ÜRETİM_İHTİYAÇ_RAPORU_BURAK_YENI1309[[#This Row],[BIRIM_FIYATLAR]])</f>
        <v>710.5</v>
      </c>
      <c r="N3994">
        <v>49</v>
      </c>
      <c r="O3994" t="s">
        <v>672</v>
      </c>
      <c r="P3994">
        <v>318.5</v>
      </c>
      <c r="Q3994" t="s">
        <v>184</v>
      </c>
    </row>
    <row r="3995" spans="1:17" x14ac:dyDescent="0.25">
      <c r="A3995" t="s">
        <v>1143</v>
      </c>
      <c r="B3995" t="s">
        <v>1056</v>
      </c>
      <c r="C3995" t="s">
        <v>175</v>
      </c>
      <c r="D3995" t="s">
        <v>241</v>
      </c>
      <c r="E3995" t="s">
        <v>242</v>
      </c>
      <c r="F3995">
        <v>1.35</v>
      </c>
      <c r="G3995" t="s">
        <v>176</v>
      </c>
      <c r="H3995">
        <v>0</v>
      </c>
      <c r="I3995">
        <v>49</v>
      </c>
      <c r="J3995" s="10">
        <v>1.6000000000000005</v>
      </c>
      <c r="K3995" s="10">
        <f>SUMIFS(F:F,D:D,DST_123_ÜRETİM_İHTİYAÇ_RAPORU_BURAK_YENI1309[[#This Row],[ALT_KOD]])-(SUMIFS(H:H,D:D,DST_123_ÜRETİM_İHTİYAÇ_RAPORU_BURAK_YENI1309[[#This Row],[ALT_KOD]])+AVERAGEIFS(I:I,D:D,DST_123_ÜRETİM_İHTİYAÇ_RAPORU_BURAK_YENI1309[[#This Row],[ALT_KOD]])+AVERAGEIFS(L:L,D:D,DST_123_ÜRETİM_İHTİYAÇ_RAPORU_BURAK_YENI1309[[#This Row],[ALT_KOD]]))</f>
        <v>-37.599999999999994</v>
      </c>
      <c r="L3995">
        <v>0</v>
      </c>
      <c r="M3995">
        <f>IF((DST_123_ÜRETİM_İHTİYAÇ_RAPORU_BURAK_YENI1309[[#This Row],[SATINALMA]]*DST_123_ÜRETİM_İHTİYAÇ_RAPORU_BURAK_YENI1309[[#This Row],[BIRIM_FIYATLAR]])&lt;1,VALUE("0"),DST_123_ÜRETİM_İHTİYAÇ_RAPORU_BURAK_YENI1309[[#This Row],[SATINALMA]]*DST_123_ÜRETİM_İHTİYAÇ_RAPORU_BURAK_YENI1309[[#This Row],[BIRIM_FIYATLAR]])</f>
        <v>0</v>
      </c>
      <c r="N3995">
        <v>60</v>
      </c>
      <c r="O3995" t="s">
        <v>490</v>
      </c>
      <c r="P3995">
        <v>81</v>
      </c>
      <c r="Q3995" t="s">
        <v>180</v>
      </c>
    </row>
    <row r="3996" spans="1:17" x14ac:dyDescent="0.25">
      <c r="A3996" t="s">
        <v>1059</v>
      </c>
      <c r="B3996" t="s">
        <v>1058</v>
      </c>
      <c r="C3996" t="s">
        <v>175</v>
      </c>
      <c r="D3996" t="s">
        <v>278</v>
      </c>
      <c r="E3996" t="s">
        <v>317</v>
      </c>
      <c r="F3996">
        <v>1</v>
      </c>
      <c r="G3996" t="s">
        <v>176</v>
      </c>
      <c r="H3996">
        <v>0</v>
      </c>
      <c r="I3996">
        <v>27</v>
      </c>
      <c r="J3996" s="10">
        <v>4</v>
      </c>
      <c r="K3996" s="10">
        <f>SUMIFS(F:F,D:D,DST_123_ÜRETİM_İHTİYAÇ_RAPORU_BURAK_YENI1309[[#This Row],[ALT_KOD]])-(SUMIFS(H:H,D:D,DST_123_ÜRETİM_İHTİYAÇ_RAPORU_BURAK_YENI1309[[#This Row],[ALT_KOD]])+AVERAGEIFS(I:I,D:D,DST_123_ÜRETİM_İHTİYAÇ_RAPORU_BURAK_YENI1309[[#This Row],[ALT_KOD]])+AVERAGEIFS(L:L,D:D,DST_123_ÜRETİM_İHTİYAÇ_RAPORU_BURAK_YENI1309[[#This Row],[ALT_KOD]]))</f>
        <v>-20</v>
      </c>
      <c r="L3996">
        <v>0</v>
      </c>
      <c r="M3996">
        <f>IF((DST_123_ÜRETİM_İHTİYAÇ_RAPORU_BURAK_YENI1309[[#This Row],[SATINALMA]]*DST_123_ÜRETİM_İHTİYAÇ_RAPORU_BURAK_YENI1309[[#This Row],[BIRIM_FIYATLAR]])&lt;1,VALUE("0"),DST_123_ÜRETİM_İHTİYAÇ_RAPORU_BURAK_YENI1309[[#This Row],[SATINALMA]]*DST_123_ÜRETİM_İHTİYAÇ_RAPORU_BURAK_YENI1309[[#This Row],[BIRIM_FIYATLAR]])</f>
        <v>0</v>
      </c>
      <c r="N3996">
        <v>287.13</v>
      </c>
      <c r="O3996" t="s">
        <v>636</v>
      </c>
      <c r="P3996">
        <v>287.13</v>
      </c>
      <c r="Q3996" t="s">
        <v>178</v>
      </c>
    </row>
    <row r="3997" spans="1:17" x14ac:dyDescent="0.25">
      <c r="A3997" t="s">
        <v>1143</v>
      </c>
      <c r="B3997" t="s">
        <v>1056</v>
      </c>
      <c r="C3997" t="s">
        <v>175</v>
      </c>
      <c r="D3997" t="s">
        <v>445</v>
      </c>
      <c r="E3997" t="s">
        <v>629</v>
      </c>
      <c r="F3997">
        <v>4</v>
      </c>
      <c r="G3997" t="s">
        <v>176</v>
      </c>
      <c r="H3997">
        <v>0</v>
      </c>
      <c r="I3997">
        <v>109</v>
      </c>
      <c r="J3997" s="10">
        <v>34</v>
      </c>
      <c r="K3997" s="10">
        <f>SUMIFS(F:F,D:D,DST_123_ÜRETİM_İHTİYAÇ_RAPORU_BURAK_YENI1309[[#This Row],[ALT_KOD]])-(SUMIFS(H:H,D:D,DST_123_ÜRETİM_İHTİYAÇ_RAPORU_BURAK_YENI1309[[#This Row],[ALT_KOD]])+AVERAGEIFS(I:I,D:D,DST_123_ÜRETİM_İHTİYAÇ_RAPORU_BURAK_YENI1309[[#This Row],[ALT_KOD]])+AVERAGEIFS(L:L,D:D,DST_123_ÜRETİM_İHTİYAÇ_RAPORU_BURAK_YENI1309[[#This Row],[ALT_KOD]]))</f>
        <v>-71</v>
      </c>
      <c r="L3997">
        <v>0</v>
      </c>
      <c r="M3997">
        <f>IF((DST_123_ÜRETİM_İHTİYAÇ_RAPORU_BURAK_YENI1309[[#This Row],[SATINALMA]]*DST_123_ÜRETİM_İHTİYAÇ_RAPORU_BURAK_YENI1309[[#This Row],[BIRIM_FIYATLAR]])&lt;1,VALUE("0"),DST_123_ÜRETİM_İHTİYAÇ_RAPORU_BURAK_YENI1309[[#This Row],[SATINALMA]]*DST_123_ÜRETİM_İHTİYAÇ_RAPORU_BURAK_YENI1309[[#This Row],[BIRIM_FIYATLAR]])</f>
        <v>0</v>
      </c>
      <c r="N3997">
        <v>250</v>
      </c>
      <c r="O3997" t="s">
        <v>628</v>
      </c>
      <c r="P3997">
        <v>1000</v>
      </c>
      <c r="Q3997" t="s">
        <v>180</v>
      </c>
    </row>
    <row r="3998" spans="1:17" x14ac:dyDescent="0.25">
      <c r="A3998" t="s">
        <v>1142</v>
      </c>
      <c r="B3998" t="s">
        <v>1056</v>
      </c>
      <c r="C3998" t="s">
        <v>175</v>
      </c>
      <c r="D3998" t="s">
        <v>445</v>
      </c>
      <c r="E3998" t="s">
        <v>629</v>
      </c>
      <c r="F3998">
        <v>4</v>
      </c>
      <c r="G3998" t="s">
        <v>176</v>
      </c>
      <c r="H3998">
        <v>0</v>
      </c>
      <c r="I3998">
        <v>109</v>
      </c>
      <c r="J3998" s="10">
        <v>34</v>
      </c>
      <c r="K3998" s="10">
        <f>SUMIFS(F:F,D:D,DST_123_ÜRETİM_İHTİYAÇ_RAPORU_BURAK_YENI1309[[#This Row],[ALT_KOD]])-(SUMIFS(H:H,D:D,DST_123_ÜRETİM_İHTİYAÇ_RAPORU_BURAK_YENI1309[[#This Row],[ALT_KOD]])+AVERAGEIFS(I:I,D:D,DST_123_ÜRETİM_İHTİYAÇ_RAPORU_BURAK_YENI1309[[#This Row],[ALT_KOD]])+AVERAGEIFS(L:L,D:D,DST_123_ÜRETİM_İHTİYAÇ_RAPORU_BURAK_YENI1309[[#This Row],[ALT_KOD]]))</f>
        <v>-71</v>
      </c>
      <c r="L3998">
        <v>0</v>
      </c>
      <c r="M3998">
        <f>IF((DST_123_ÜRETİM_İHTİYAÇ_RAPORU_BURAK_YENI1309[[#This Row],[SATINALMA]]*DST_123_ÜRETİM_İHTİYAÇ_RAPORU_BURAK_YENI1309[[#This Row],[BIRIM_FIYATLAR]])&lt;1,VALUE("0"),DST_123_ÜRETİM_İHTİYAÇ_RAPORU_BURAK_YENI1309[[#This Row],[SATINALMA]]*DST_123_ÜRETİM_İHTİYAÇ_RAPORU_BURAK_YENI1309[[#This Row],[BIRIM_FIYATLAR]])</f>
        <v>0</v>
      </c>
      <c r="N3998">
        <v>250</v>
      </c>
      <c r="O3998" t="s">
        <v>628</v>
      </c>
      <c r="P3998">
        <v>1000</v>
      </c>
      <c r="Q3998" t="s">
        <v>180</v>
      </c>
    </row>
    <row r="3999" spans="1:17" x14ac:dyDescent="0.25">
      <c r="A3999" t="s">
        <v>1097</v>
      </c>
      <c r="B3999" t="s">
        <v>1055</v>
      </c>
      <c r="C3999" t="s">
        <v>175</v>
      </c>
      <c r="D3999" t="s">
        <v>637</v>
      </c>
      <c r="E3999" t="s">
        <v>638</v>
      </c>
      <c r="F3999">
        <v>1</v>
      </c>
      <c r="G3999" t="s">
        <v>176</v>
      </c>
      <c r="H3999">
        <v>0</v>
      </c>
      <c r="I3999">
        <v>19</v>
      </c>
      <c r="J3999" s="10">
        <v>17</v>
      </c>
      <c r="K3999" s="10">
        <f>SUMIFS(F:F,D:D,DST_123_ÜRETİM_İHTİYAÇ_RAPORU_BURAK_YENI1309[[#This Row],[ALT_KOD]])-(SUMIFS(H:H,D:D,DST_123_ÜRETİM_İHTİYAÇ_RAPORU_BURAK_YENI1309[[#This Row],[ALT_KOD]])+AVERAGEIFS(I:I,D:D,DST_123_ÜRETİM_İHTİYAÇ_RAPORU_BURAK_YENI1309[[#This Row],[ALT_KOD]])+AVERAGEIFS(L:L,D:D,DST_123_ÜRETİM_İHTİYAÇ_RAPORU_BURAK_YENI1309[[#This Row],[ALT_KOD]]))</f>
        <v>0</v>
      </c>
      <c r="L3999">
        <v>0</v>
      </c>
      <c r="M3999">
        <f>IF((DST_123_ÜRETİM_İHTİYAÇ_RAPORU_BURAK_YENI1309[[#This Row],[SATINALMA]]*DST_123_ÜRETİM_İHTİYAÇ_RAPORU_BURAK_YENI1309[[#This Row],[BIRIM_FIYATLAR]])&lt;1,VALUE("0"),DST_123_ÜRETİM_İHTİYAÇ_RAPORU_BURAK_YENI1309[[#This Row],[SATINALMA]]*DST_123_ÜRETİM_İHTİYAÇ_RAPORU_BURAK_YENI1309[[#This Row],[BIRIM_FIYATLAR]])</f>
        <v>0</v>
      </c>
      <c r="N3999">
        <v>113.64</v>
      </c>
      <c r="O3999" t="s">
        <v>639</v>
      </c>
      <c r="P3999">
        <v>113.64</v>
      </c>
      <c r="Q3999" t="s">
        <v>640</v>
      </c>
    </row>
    <row r="4000" spans="1:17" x14ac:dyDescent="0.25">
      <c r="A4000" t="s">
        <v>1097</v>
      </c>
      <c r="B4000" t="s">
        <v>1055</v>
      </c>
      <c r="C4000" t="s">
        <v>175</v>
      </c>
      <c r="D4000" t="s">
        <v>830</v>
      </c>
      <c r="E4000" t="s">
        <v>831</v>
      </c>
      <c r="F4000">
        <v>5.5</v>
      </c>
      <c r="G4000" t="s">
        <v>179</v>
      </c>
      <c r="H4000">
        <v>0</v>
      </c>
      <c r="I4000">
        <v>100</v>
      </c>
      <c r="J4000" s="10">
        <v>0</v>
      </c>
      <c r="K4000" s="10">
        <f>SUMIFS(F:F,D:D,DST_123_ÜRETİM_İHTİYAÇ_RAPORU_BURAK_YENI1309[[#This Row],[ALT_KOD]])-(SUMIFS(H:H,D:D,DST_123_ÜRETİM_İHTİYAÇ_RAPORU_BURAK_YENI1309[[#This Row],[ALT_KOD]])+AVERAGEIFS(I:I,D:D,DST_123_ÜRETİM_İHTİYAÇ_RAPORU_BURAK_YENI1309[[#This Row],[ALT_KOD]])+AVERAGEIFS(L:L,D:D,DST_123_ÜRETİM_İHTİYAÇ_RAPORU_BURAK_YENI1309[[#This Row],[ALT_KOD]]))</f>
        <v>-227.63999999999987</v>
      </c>
      <c r="L4000">
        <v>214.64</v>
      </c>
      <c r="M4000">
        <f>IF((DST_123_ÜRETİM_İHTİYAÇ_RAPORU_BURAK_YENI1309[[#This Row],[SATINALMA]]*DST_123_ÜRETİM_İHTİYAÇ_RAPORU_BURAK_YENI1309[[#This Row],[BIRIM_FIYATLAR]])&lt;1,VALUE("0"),DST_123_ÜRETİM_İHTİYAÇ_RAPORU_BURAK_YENI1309[[#This Row],[SATINALMA]]*DST_123_ÜRETİM_İHTİYAÇ_RAPORU_BURAK_YENI1309[[#This Row],[BIRIM_FIYATLAR]])</f>
        <v>0</v>
      </c>
      <c r="N4000">
        <v>50.81</v>
      </c>
      <c r="O4000" t="s">
        <v>832</v>
      </c>
      <c r="P4000">
        <v>279.45500000000004</v>
      </c>
      <c r="Q4000" t="s">
        <v>184</v>
      </c>
    </row>
    <row r="4001" spans="1:17" x14ac:dyDescent="0.25">
      <c r="A4001" t="s">
        <v>1095</v>
      </c>
      <c r="B4001" t="s">
        <v>1096</v>
      </c>
      <c r="C4001" t="s">
        <v>175</v>
      </c>
      <c r="D4001" t="s">
        <v>830</v>
      </c>
      <c r="E4001" t="s">
        <v>831</v>
      </c>
      <c r="F4001">
        <v>5</v>
      </c>
      <c r="G4001" t="s">
        <v>179</v>
      </c>
      <c r="H4001">
        <v>0</v>
      </c>
      <c r="I4001">
        <v>100</v>
      </c>
      <c r="J4001" s="10">
        <v>0</v>
      </c>
      <c r="K4001" s="10">
        <f>SUMIFS(F:F,D:D,DST_123_ÜRETİM_İHTİYAÇ_RAPORU_BURAK_YENI1309[[#This Row],[ALT_KOD]])-(SUMIFS(H:H,D:D,DST_123_ÜRETİM_İHTİYAÇ_RAPORU_BURAK_YENI1309[[#This Row],[ALT_KOD]])+AVERAGEIFS(I:I,D:D,DST_123_ÜRETİM_İHTİYAÇ_RAPORU_BURAK_YENI1309[[#This Row],[ALT_KOD]])+AVERAGEIFS(L:L,D:D,DST_123_ÜRETİM_İHTİYAÇ_RAPORU_BURAK_YENI1309[[#This Row],[ALT_KOD]]))</f>
        <v>-227.63999999999987</v>
      </c>
      <c r="L4001">
        <v>214.64</v>
      </c>
      <c r="M4001">
        <f>IF((DST_123_ÜRETİM_İHTİYAÇ_RAPORU_BURAK_YENI1309[[#This Row],[SATINALMA]]*DST_123_ÜRETİM_İHTİYAÇ_RAPORU_BURAK_YENI1309[[#This Row],[BIRIM_FIYATLAR]])&lt;1,VALUE("0"),DST_123_ÜRETİM_İHTİYAÇ_RAPORU_BURAK_YENI1309[[#This Row],[SATINALMA]]*DST_123_ÜRETİM_İHTİYAÇ_RAPORU_BURAK_YENI1309[[#This Row],[BIRIM_FIYATLAR]])</f>
        <v>0</v>
      </c>
      <c r="N4001">
        <v>50.81</v>
      </c>
      <c r="O4001" t="s">
        <v>832</v>
      </c>
      <c r="P4001">
        <v>254.05</v>
      </c>
      <c r="Q4001" t="s">
        <v>184</v>
      </c>
    </row>
    <row r="4002" spans="1:17" x14ac:dyDescent="0.25">
      <c r="A4002" t="s">
        <v>1142</v>
      </c>
      <c r="B4002" t="s">
        <v>1056</v>
      </c>
      <c r="C4002" t="s">
        <v>175</v>
      </c>
      <c r="D4002" t="s">
        <v>1035</v>
      </c>
      <c r="E4002" t="s">
        <v>1036</v>
      </c>
      <c r="F4002">
        <v>1</v>
      </c>
      <c r="G4002" t="s">
        <v>176</v>
      </c>
      <c r="H4002">
        <v>0</v>
      </c>
      <c r="I4002">
        <v>19</v>
      </c>
      <c r="J4002" s="10">
        <v>4</v>
      </c>
      <c r="K4002" s="10">
        <f>SUMIFS(F:F,D:D,DST_123_ÜRETİM_İHTİYAÇ_RAPORU_BURAK_YENI1309[[#This Row],[ALT_KOD]])-(SUMIFS(H:H,D:D,DST_123_ÜRETİM_İHTİYAÇ_RAPORU_BURAK_YENI1309[[#This Row],[ALT_KOD]])+AVERAGEIFS(I:I,D:D,DST_123_ÜRETİM_İHTİYAÇ_RAPORU_BURAK_YENI1309[[#This Row],[ALT_KOD]])+AVERAGEIFS(L:L,D:D,DST_123_ÜRETİM_İHTİYAÇ_RAPORU_BURAK_YENI1309[[#This Row],[ALT_KOD]]))</f>
        <v>-12</v>
      </c>
      <c r="L4002">
        <v>0</v>
      </c>
      <c r="M4002">
        <f>IF((DST_123_ÜRETİM_İHTİYAÇ_RAPORU_BURAK_YENI1309[[#This Row],[SATINALMA]]*DST_123_ÜRETİM_İHTİYAÇ_RAPORU_BURAK_YENI1309[[#This Row],[BIRIM_FIYATLAR]])&lt;1,VALUE("0"),DST_123_ÜRETİM_İHTİYAÇ_RAPORU_BURAK_YENI1309[[#This Row],[SATINALMA]]*DST_123_ÜRETİM_İHTİYAÇ_RAPORU_BURAK_YENI1309[[#This Row],[BIRIM_FIYATLAR]])</f>
        <v>0</v>
      </c>
      <c r="N4002">
        <v>85</v>
      </c>
      <c r="O4002" t="s">
        <v>821</v>
      </c>
      <c r="P4002">
        <v>85</v>
      </c>
      <c r="Q4002" t="s">
        <v>178</v>
      </c>
    </row>
    <row r="4003" spans="1:17" x14ac:dyDescent="0.25">
      <c r="A4003" t="s">
        <v>1143</v>
      </c>
      <c r="B4003" t="s">
        <v>1056</v>
      </c>
      <c r="C4003" t="s">
        <v>175</v>
      </c>
      <c r="D4003" t="s">
        <v>569</v>
      </c>
      <c r="E4003" t="s">
        <v>570</v>
      </c>
      <c r="F4003">
        <v>4</v>
      </c>
      <c r="G4003" t="s">
        <v>176</v>
      </c>
      <c r="H4003">
        <v>0</v>
      </c>
      <c r="I4003">
        <v>1000</v>
      </c>
      <c r="J4003" s="10">
        <v>1222</v>
      </c>
      <c r="K4003" s="10">
        <f>SUMIFS(F:F,D:D,DST_123_ÜRETİM_İHTİYAÇ_RAPORU_BURAK_YENI1309[[#This Row],[ALT_KOD]])-(SUMIFS(H:H,D:D,DST_123_ÜRETİM_İHTİYAÇ_RAPORU_BURAK_YENI1309[[#This Row],[ALT_KOD]])+AVERAGEIFS(I:I,D:D,DST_123_ÜRETİM_İHTİYAÇ_RAPORU_BURAK_YENI1309[[#This Row],[ALT_KOD]])+AVERAGEIFS(L:L,D:D,DST_123_ÜRETİM_İHTİYAÇ_RAPORU_BURAK_YENI1309[[#This Row],[ALT_KOD]]))</f>
        <v>-903</v>
      </c>
      <c r="L4003">
        <v>0</v>
      </c>
      <c r="M4003">
        <f>IF((DST_123_ÜRETİM_İHTİYAÇ_RAPORU_BURAK_YENI1309[[#This Row],[SATINALMA]]*DST_123_ÜRETİM_İHTİYAÇ_RAPORU_BURAK_YENI1309[[#This Row],[BIRIM_FIYATLAR]])&lt;1,VALUE("0"),DST_123_ÜRETİM_İHTİYAÇ_RAPORU_BURAK_YENI1309[[#This Row],[SATINALMA]]*DST_123_ÜRETİM_İHTİYAÇ_RAPORU_BURAK_YENI1309[[#This Row],[BIRIM_FIYATLAR]])</f>
        <v>0</v>
      </c>
      <c r="N4003">
        <v>1.1399999999999999</v>
      </c>
      <c r="O4003" t="s">
        <v>882</v>
      </c>
      <c r="P4003">
        <v>4.5599999999999996</v>
      </c>
      <c r="Q4003" t="s">
        <v>180</v>
      </c>
    </row>
    <row r="4004" spans="1:17" x14ac:dyDescent="0.25">
      <c r="A4004" t="s">
        <v>1143</v>
      </c>
      <c r="B4004" t="s">
        <v>1056</v>
      </c>
      <c r="C4004" t="s">
        <v>175</v>
      </c>
      <c r="D4004" t="s">
        <v>779</v>
      </c>
      <c r="E4004" t="s">
        <v>780</v>
      </c>
      <c r="F4004">
        <v>2</v>
      </c>
      <c r="G4004" t="s">
        <v>176</v>
      </c>
      <c r="H4004">
        <v>0</v>
      </c>
      <c r="I4004">
        <v>1</v>
      </c>
      <c r="J4004" s="10">
        <v>14</v>
      </c>
      <c r="K4004" s="10">
        <f>SUMIFS(F:F,D:D,DST_123_ÜRETİM_İHTİYAÇ_RAPORU_BURAK_YENI1309[[#This Row],[ALT_KOD]])-(SUMIFS(H:H,D:D,DST_123_ÜRETİM_İHTİYAÇ_RAPORU_BURAK_YENI1309[[#This Row],[ALT_KOD]])+AVERAGEIFS(I:I,D:D,DST_123_ÜRETİM_İHTİYAÇ_RAPORU_BURAK_YENI1309[[#This Row],[ALT_KOD]])+AVERAGEIFS(L:L,D:D,DST_123_ÜRETİM_İHTİYAÇ_RAPORU_BURAK_YENI1309[[#This Row],[ALT_KOD]]))</f>
        <v>25</v>
      </c>
      <c r="L4004">
        <v>0</v>
      </c>
      <c r="M4004">
        <f>IF((DST_123_ÜRETİM_İHTİYAÇ_RAPORU_BURAK_YENI1309[[#This Row],[SATINALMA]]*DST_123_ÜRETİM_İHTİYAÇ_RAPORU_BURAK_YENI1309[[#This Row],[BIRIM_FIYATLAR]])&lt;1,VALUE("0"),DST_123_ÜRETİM_İHTİYAÇ_RAPORU_BURAK_YENI1309[[#This Row],[SATINALMA]]*DST_123_ÜRETİM_İHTİYAÇ_RAPORU_BURAK_YENI1309[[#This Row],[BIRIM_FIYATLAR]])</f>
        <v>11103.25</v>
      </c>
      <c r="N4004">
        <v>444.13</v>
      </c>
      <c r="O4004" t="s">
        <v>589</v>
      </c>
      <c r="P4004">
        <v>888.26</v>
      </c>
      <c r="Q4004" t="s">
        <v>177</v>
      </c>
    </row>
    <row r="4005" spans="1:17" x14ac:dyDescent="0.25">
      <c r="A4005" t="s">
        <v>1095</v>
      </c>
      <c r="B4005" t="s">
        <v>1096</v>
      </c>
      <c r="C4005" t="s">
        <v>175</v>
      </c>
      <c r="D4005" t="s">
        <v>779</v>
      </c>
      <c r="E4005" t="s">
        <v>780</v>
      </c>
      <c r="F4005">
        <v>2</v>
      </c>
      <c r="G4005" t="s">
        <v>176</v>
      </c>
      <c r="H4005">
        <v>0</v>
      </c>
      <c r="I4005">
        <v>1</v>
      </c>
      <c r="J4005" s="10">
        <v>14</v>
      </c>
      <c r="K4005" s="10">
        <f>SUMIFS(F:F,D:D,DST_123_ÜRETİM_İHTİYAÇ_RAPORU_BURAK_YENI1309[[#This Row],[ALT_KOD]])-(SUMIFS(H:H,D:D,DST_123_ÜRETİM_İHTİYAÇ_RAPORU_BURAK_YENI1309[[#This Row],[ALT_KOD]])+AVERAGEIFS(I:I,D:D,DST_123_ÜRETİM_İHTİYAÇ_RAPORU_BURAK_YENI1309[[#This Row],[ALT_KOD]])+AVERAGEIFS(L:L,D:D,DST_123_ÜRETİM_İHTİYAÇ_RAPORU_BURAK_YENI1309[[#This Row],[ALT_KOD]]))</f>
        <v>25</v>
      </c>
      <c r="L4005">
        <v>0</v>
      </c>
      <c r="M4005">
        <f>IF((DST_123_ÜRETİM_İHTİYAÇ_RAPORU_BURAK_YENI1309[[#This Row],[SATINALMA]]*DST_123_ÜRETİM_İHTİYAÇ_RAPORU_BURAK_YENI1309[[#This Row],[BIRIM_FIYATLAR]])&lt;1,VALUE("0"),DST_123_ÜRETİM_İHTİYAÇ_RAPORU_BURAK_YENI1309[[#This Row],[SATINALMA]]*DST_123_ÜRETİM_İHTİYAÇ_RAPORU_BURAK_YENI1309[[#This Row],[BIRIM_FIYATLAR]])</f>
        <v>11103.25</v>
      </c>
      <c r="N4005">
        <v>444.13</v>
      </c>
      <c r="O4005" t="s">
        <v>589</v>
      </c>
      <c r="P4005">
        <v>888.26</v>
      </c>
      <c r="Q4005" t="s">
        <v>177</v>
      </c>
    </row>
    <row r="4006" spans="1:17" x14ac:dyDescent="0.25">
      <c r="A4006" t="s">
        <v>1095</v>
      </c>
      <c r="B4006" t="s">
        <v>1096</v>
      </c>
      <c r="C4006" t="s">
        <v>175</v>
      </c>
      <c r="D4006" t="s">
        <v>718</v>
      </c>
      <c r="E4006" t="s">
        <v>719</v>
      </c>
      <c r="F4006">
        <v>1</v>
      </c>
      <c r="G4006" t="s">
        <v>176</v>
      </c>
      <c r="H4006">
        <v>0</v>
      </c>
      <c r="I4006">
        <v>1</v>
      </c>
      <c r="J4006" s="10">
        <v>4</v>
      </c>
      <c r="K4006" s="10">
        <f>SUMIFS(F:F,D:D,DST_123_ÜRETİM_İHTİYAÇ_RAPORU_BURAK_YENI1309[[#This Row],[ALT_KOD]])-(SUMIFS(H:H,D:D,DST_123_ÜRETİM_İHTİYAÇ_RAPORU_BURAK_YENI1309[[#This Row],[ALT_KOD]])+AVERAGEIFS(I:I,D:D,DST_123_ÜRETİM_İHTİYAÇ_RAPORU_BURAK_YENI1309[[#This Row],[ALT_KOD]])+AVERAGEIFS(L:L,D:D,DST_123_ÜRETİM_İHTİYAÇ_RAPORU_BURAK_YENI1309[[#This Row],[ALT_KOD]]))</f>
        <v>13</v>
      </c>
      <c r="L4006">
        <v>0</v>
      </c>
      <c r="M4006">
        <f>IF((DST_123_ÜRETİM_İHTİYAÇ_RAPORU_BURAK_YENI1309[[#This Row],[SATINALMA]]*DST_123_ÜRETİM_İHTİYAÇ_RAPORU_BURAK_YENI1309[[#This Row],[BIRIM_FIYATLAR]])&lt;1,VALUE("0"),DST_123_ÜRETİM_İHTİYAÇ_RAPORU_BURAK_YENI1309[[#This Row],[SATINALMA]]*DST_123_ÜRETİM_İHTİYAÇ_RAPORU_BURAK_YENI1309[[#This Row],[BIRIM_FIYATLAR]])</f>
        <v>168880.14</v>
      </c>
      <c r="N4006">
        <v>12990.78</v>
      </c>
      <c r="O4006" t="s">
        <v>589</v>
      </c>
      <c r="P4006">
        <v>12990.78</v>
      </c>
      <c r="Q4006" t="s">
        <v>177</v>
      </c>
    </row>
    <row r="4007" spans="1:17" x14ac:dyDescent="0.25">
      <c r="A4007" t="s">
        <v>1142</v>
      </c>
      <c r="B4007" t="s">
        <v>1056</v>
      </c>
      <c r="C4007" t="s">
        <v>175</v>
      </c>
      <c r="D4007" t="s">
        <v>347</v>
      </c>
      <c r="E4007" t="s">
        <v>348</v>
      </c>
      <c r="F4007">
        <v>0.1</v>
      </c>
      <c r="G4007" t="s">
        <v>176</v>
      </c>
      <c r="H4007">
        <v>0</v>
      </c>
      <c r="I4007">
        <v>2</v>
      </c>
      <c r="J4007" s="10">
        <v>-6.3837823915946501E-16</v>
      </c>
      <c r="K4007" s="10">
        <f>SUMIFS(F:F,D:D,DST_123_ÜRETİM_İHTİYAÇ_RAPORU_BURAK_YENI1309[[#This Row],[ALT_KOD]])-(SUMIFS(H:H,D:D,DST_123_ÜRETİM_İHTİYAÇ_RAPORU_BURAK_YENI1309[[#This Row],[ALT_KOD]])+AVERAGEIFS(I:I,D:D,DST_123_ÜRETİM_İHTİYAÇ_RAPORU_BURAK_YENI1309[[#This Row],[ALT_KOD]])+AVERAGEIFS(L:L,D:D,DST_123_ÜRETİM_İHTİYAÇ_RAPORU_BURAK_YENI1309[[#This Row],[ALT_KOD]]))</f>
        <v>1.4000000000000004</v>
      </c>
      <c r="L4007">
        <v>0</v>
      </c>
      <c r="M4007">
        <f>IF((DST_123_ÜRETİM_İHTİYAÇ_RAPORU_BURAK_YENI1309[[#This Row],[SATINALMA]]*DST_123_ÜRETİM_İHTİYAÇ_RAPORU_BURAK_YENI1309[[#This Row],[BIRIM_FIYATLAR]])&lt;1,VALUE("0"),DST_123_ÜRETİM_İHTİYAÇ_RAPORU_BURAK_YENI1309[[#This Row],[SATINALMA]]*DST_123_ÜRETİM_İHTİYAÇ_RAPORU_BURAK_YENI1309[[#This Row],[BIRIM_FIYATLAR]])</f>
        <v>3889.2000000000012</v>
      </c>
      <c r="N4007">
        <v>2778</v>
      </c>
      <c r="O4007" t="s">
        <v>217</v>
      </c>
      <c r="P4007">
        <v>277.8</v>
      </c>
      <c r="Q4007" t="s">
        <v>183</v>
      </c>
    </row>
    <row r="4008" spans="1:17" x14ac:dyDescent="0.25">
      <c r="A4008" t="s">
        <v>1097</v>
      </c>
      <c r="B4008" t="s">
        <v>1055</v>
      </c>
      <c r="C4008" t="s">
        <v>175</v>
      </c>
      <c r="D4008" t="s">
        <v>342</v>
      </c>
      <c r="E4008" t="s">
        <v>343</v>
      </c>
      <c r="F4008">
        <v>0.1</v>
      </c>
      <c r="G4008" t="s">
        <v>176</v>
      </c>
      <c r="H4008">
        <v>0</v>
      </c>
      <c r="I4008">
        <v>2</v>
      </c>
      <c r="J4008" s="10">
        <v>1.7763568394002505E-15</v>
      </c>
      <c r="K4008" s="10">
        <f>SUMIFS(F:F,D:D,DST_123_ÜRETİM_İHTİYAÇ_RAPORU_BURAK_YENI1309[[#This Row],[ALT_KOD]])-(SUMIFS(H:H,D:D,DST_123_ÜRETİM_İHTİYAÇ_RAPORU_BURAK_YENI1309[[#This Row],[ALT_KOD]])+AVERAGEIFS(I:I,D:D,DST_123_ÜRETİM_İHTİYAÇ_RAPORU_BURAK_YENI1309[[#This Row],[ALT_KOD]])+AVERAGEIFS(L:L,D:D,DST_123_ÜRETİM_İHTİYAÇ_RAPORU_BURAK_YENI1309[[#This Row],[ALT_KOD]]))</f>
        <v>-0.84999999999999964</v>
      </c>
      <c r="L4008">
        <v>0</v>
      </c>
      <c r="M4008">
        <f>IF((DST_123_ÜRETİM_İHTİYAÇ_RAPORU_BURAK_YENI1309[[#This Row],[SATINALMA]]*DST_123_ÜRETİM_İHTİYAÇ_RAPORU_BURAK_YENI1309[[#This Row],[BIRIM_FIYATLAR]])&lt;1,VALUE("0"),DST_123_ÜRETİM_İHTİYAÇ_RAPORU_BURAK_YENI1309[[#This Row],[SATINALMA]]*DST_123_ÜRETİM_İHTİYAÇ_RAPORU_BURAK_YENI1309[[#This Row],[BIRIM_FIYATLAR]])</f>
        <v>0</v>
      </c>
      <c r="N4008">
        <v>1400</v>
      </c>
      <c r="O4008" t="s">
        <v>217</v>
      </c>
      <c r="P4008">
        <v>140</v>
      </c>
      <c r="Q4008" t="s">
        <v>183</v>
      </c>
    </row>
    <row r="4009" spans="1:17" x14ac:dyDescent="0.25">
      <c r="A4009" t="s">
        <v>1095</v>
      </c>
      <c r="B4009" t="s">
        <v>1096</v>
      </c>
      <c r="C4009" t="s">
        <v>175</v>
      </c>
      <c r="D4009" t="s">
        <v>510</v>
      </c>
      <c r="E4009" t="s">
        <v>511</v>
      </c>
      <c r="F4009">
        <v>2</v>
      </c>
      <c r="G4009" t="s">
        <v>176</v>
      </c>
      <c r="H4009">
        <v>0</v>
      </c>
      <c r="I4009">
        <v>0</v>
      </c>
      <c r="J4009" s="10">
        <v>14</v>
      </c>
      <c r="K4009" s="10">
        <f>SUMIFS(F:F,D:D,DST_123_ÜRETİM_İHTİYAÇ_RAPORU_BURAK_YENI1309[[#This Row],[ALT_KOD]])-(SUMIFS(H:H,D:D,DST_123_ÜRETİM_İHTİYAÇ_RAPORU_BURAK_YENI1309[[#This Row],[ALT_KOD]])+AVERAGEIFS(I:I,D:D,DST_123_ÜRETİM_İHTİYAÇ_RAPORU_BURAK_YENI1309[[#This Row],[ALT_KOD]])+AVERAGEIFS(L:L,D:D,DST_123_ÜRETİM_İHTİYAÇ_RAPORU_BURAK_YENI1309[[#This Row],[ALT_KOD]]))</f>
        <v>38</v>
      </c>
      <c r="L4009">
        <v>0</v>
      </c>
      <c r="M4009">
        <f>IF((DST_123_ÜRETİM_İHTİYAÇ_RAPORU_BURAK_YENI1309[[#This Row],[SATINALMA]]*DST_123_ÜRETİM_İHTİYAÇ_RAPORU_BURAK_YENI1309[[#This Row],[BIRIM_FIYATLAR]])&lt;1,VALUE("0"),DST_123_ÜRETİM_İHTİYAÇ_RAPORU_BURAK_YENI1309[[#This Row],[SATINALMA]]*DST_123_ÜRETİM_İHTİYAÇ_RAPORU_BURAK_YENI1309[[#This Row],[BIRIM_FIYATLAR]])</f>
        <v>261.06</v>
      </c>
      <c r="N4009">
        <v>6.87</v>
      </c>
      <c r="O4009" t="s">
        <v>826</v>
      </c>
      <c r="P4009">
        <v>13.74</v>
      </c>
      <c r="Q4009" t="s">
        <v>221</v>
      </c>
    </row>
    <row r="4010" spans="1:17" x14ac:dyDescent="0.25">
      <c r="A4010" t="s">
        <v>1196</v>
      </c>
      <c r="B4010" t="s">
        <v>1197</v>
      </c>
      <c r="C4010" t="s">
        <v>175</v>
      </c>
      <c r="D4010" t="s">
        <v>236</v>
      </c>
      <c r="E4010" t="s">
        <v>305</v>
      </c>
      <c r="F4010">
        <v>2</v>
      </c>
      <c r="G4010" t="s">
        <v>176</v>
      </c>
      <c r="H4010">
        <v>0</v>
      </c>
      <c r="I4010">
        <v>452</v>
      </c>
      <c r="J4010" s="10">
        <v>25</v>
      </c>
      <c r="K4010" s="10">
        <f>SUMIFS(F:F,D:D,DST_123_ÜRETİM_İHTİYAÇ_RAPORU_BURAK_YENI1309[[#This Row],[ALT_KOD]])-(SUMIFS(H:H,D:D,DST_123_ÜRETİM_İHTİYAÇ_RAPORU_BURAK_YENI1309[[#This Row],[ALT_KOD]])+AVERAGEIFS(I:I,D:D,DST_123_ÜRETİM_İHTİYAÇ_RAPORU_BURAK_YENI1309[[#This Row],[ALT_KOD]])+AVERAGEIFS(L:L,D:D,DST_123_ÜRETİM_İHTİYAÇ_RAPORU_BURAK_YENI1309[[#This Row],[ALT_KOD]]))</f>
        <v>-428</v>
      </c>
      <c r="L4010">
        <v>0</v>
      </c>
      <c r="M4010">
        <f>IF((DST_123_ÜRETİM_İHTİYAÇ_RAPORU_BURAK_YENI1309[[#This Row],[SATINALMA]]*DST_123_ÜRETİM_İHTİYAÇ_RAPORU_BURAK_YENI1309[[#This Row],[BIRIM_FIYATLAR]])&lt;1,VALUE("0"),DST_123_ÜRETİM_İHTİYAÇ_RAPORU_BURAK_YENI1309[[#This Row],[SATINALMA]]*DST_123_ÜRETİM_İHTİYAÇ_RAPORU_BURAK_YENI1309[[#This Row],[BIRIM_FIYATLAR]])</f>
        <v>0</v>
      </c>
      <c r="N4010">
        <v>20</v>
      </c>
      <c r="P4010">
        <v>40</v>
      </c>
      <c r="Q4010" t="s">
        <v>221</v>
      </c>
    </row>
    <row r="4011" spans="1:17" x14ac:dyDescent="0.25">
      <c r="A4011" t="s">
        <v>1099</v>
      </c>
      <c r="B4011" t="s">
        <v>1055</v>
      </c>
      <c r="C4011" t="s">
        <v>175</v>
      </c>
      <c r="D4011" t="s">
        <v>236</v>
      </c>
      <c r="E4011" t="s">
        <v>305</v>
      </c>
      <c r="F4011">
        <v>2</v>
      </c>
      <c r="G4011" t="s">
        <v>176</v>
      </c>
      <c r="H4011">
        <v>0</v>
      </c>
      <c r="I4011">
        <v>452</v>
      </c>
      <c r="J4011" s="10">
        <v>25</v>
      </c>
      <c r="K4011" s="10">
        <f>SUMIFS(F:F,D:D,DST_123_ÜRETİM_İHTİYAÇ_RAPORU_BURAK_YENI1309[[#This Row],[ALT_KOD]])-(SUMIFS(H:H,D:D,DST_123_ÜRETİM_İHTİYAÇ_RAPORU_BURAK_YENI1309[[#This Row],[ALT_KOD]])+AVERAGEIFS(I:I,D:D,DST_123_ÜRETİM_İHTİYAÇ_RAPORU_BURAK_YENI1309[[#This Row],[ALT_KOD]])+AVERAGEIFS(L:L,D:D,DST_123_ÜRETİM_İHTİYAÇ_RAPORU_BURAK_YENI1309[[#This Row],[ALT_KOD]]))</f>
        <v>-428</v>
      </c>
      <c r="L4011">
        <v>0</v>
      </c>
      <c r="M4011">
        <f>IF((DST_123_ÜRETİM_İHTİYAÇ_RAPORU_BURAK_YENI1309[[#This Row],[SATINALMA]]*DST_123_ÜRETİM_İHTİYAÇ_RAPORU_BURAK_YENI1309[[#This Row],[BIRIM_FIYATLAR]])&lt;1,VALUE("0"),DST_123_ÜRETİM_İHTİYAÇ_RAPORU_BURAK_YENI1309[[#This Row],[SATINALMA]]*DST_123_ÜRETİM_İHTİYAÇ_RAPORU_BURAK_YENI1309[[#This Row],[BIRIM_FIYATLAR]])</f>
        <v>0</v>
      </c>
      <c r="N4011">
        <v>20</v>
      </c>
      <c r="P4011">
        <v>40</v>
      </c>
      <c r="Q4011" t="s">
        <v>221</v>
      </c>
    </row>
    <row r="4012" spans="1:17" x14ac:dyDescent="0.25">
      <c r="A4012" t="s">
        <v>1099</v>
      </c>
      <c r="B4012" t="s">
        <v>1055</v>
      </c>
      <c r="C4012" t="s">
        <v>175</v>
      </c>
      <c r="D4012" t="s">
        <v>502</v>
      </c>
      <c r="E4012" t="s">
        <v>503</v>
      </c>
      <c r="F4012">
        <v>2</v>
      </c>
      <c r="G4012" t="s">
        <v>176</v>
      </c>
      <c r="H4012">
        <v>0</v>
      </c>
      <c r="I4012">
        <v>115</v>
      </c>
      <c r="J4012" s="10">
        <v>2</v>
      </c>
      <c r="K4012" s="10">
        <f>SUMIFS(F:F,D:D,DST_123_ÜRETİM_İHTİYAÇ_RAPORU_BURAK_YENI1309[[#This Row],[ALT_KOD]])-(SUMIFS(H:H,D:D,DST_123_ÜRETİM_İHTİYAÇ_RAPORU_BURAK_YENI1309[[#This Row],[ALT_KOD]])+AVERAGEIFS(I:I,D:D,DST_123_ÜRETİM_İHTİYAÇ_RAPORU_BURAK_YENI1309[[#This Row],[ALT_KOD]])+AVERAGEIFS(L:L,D:D,DST_123_ÜRETİM_İHTİYAÇ_RAPORU_BURAK_YENI1309[[#This Row],[ALT_KOD]]))</f>
        <v>-77</v>
      </c>
      <c r="L4012">
        <v>0</v>
      </c>
      <c r="M4012">
        <f>IF((DST_123_ÜRETİM_İHTİYAÇ_RAPORU_BURAK_YENI1309[[#This Row],[SATINALMA]]*DST_123_ÜRETİM_İHTİYAÇ_RAPORU_BURAK_YENI1309[[#This Row],[BIRIM_FIYATLAR]])&lt;1,VALUE("0"),DST_123_ÜRETİM_İHTİYAÇ_RAPORU_BURAK_YENI1309[[#This Row],[SATINALMA]]*DST_123_ÜRETİM_İHTİYAÇ_RAPORU_BURAK_YENI1309[[#This Row],[BIRIM_FIYATLAR]])</f>
        <v>0</v>
      </c>
      <c r="N4012">
        <v>0.44</v>
      </c>
      <c r="O4012" t="s">
        <v>504</v>
      </c>
      <c r="P4012">
        <v>0.88</v>
      </c>
      <c r="Q4012" t="s">
        <v>221</v>
      </c>
    </row>
    <row r="4013" spans="1:17" x14ac:dyDescent="0.25">
      <c r="A4013" t="s">
        <v>1150</v>
      </c>
      <c r="B4013" t="s">
        <v>1145</v>
      </c>
      <c r="C4013" t="s">
        <v>175</v>
      </c>
      <c r="D4013" t="s">
        <v>236</v>
      </c>
      <c r="E4013" t="s">
        <v>305</v>
      </c>
      <c r="F4013">
        <v>2</v>
      </c>
      <c r="G4013" t="s">
        <v>176</v>
      </c>
      <c r="H4013">
        <v>0</v>
      </c>
      <c r="I4013">
        <v>452</v>
      </c>
      <c r="J4013" s="10">
        <v>25</v>
      </c>
      <c r="K4013" s="10">
        <f>SUMIFS(F:F,D:D,DST_123_ÜRETİM_İHTİYAÇ_RAPORU_BURAK_YENI1309[[#This Row],[ALT_KOD]])-(SUMIFS(H:H,D:D,DST_123_ÜRETİM_İHTİYAÇ_RAPORU_BURAK_YENI1309[[#This Row],[ALT_KOD]])+AVERAGEIFS(I:I,D:D,DST_123_ÜRETİM_İHTİYAÇ_RAPORU_BURAK_YENI1309[[#This Row],[ALT_KOD]])+AVERAGEIFS(L:L,D:D,DST_123_ÜRETİM_İHTİYAÇ_RAPORU_BURAK_YENI1309[[#This Row],[ALT_KOD]]))</f>
        <v>-428</v>
      </c>
      <c r="L4013">
        <v>0</v>
      </c>
      <c r="M4013">
        <f>IF((DST_123_ÜRETİM_İHTİYAÇ_RAPORU_BURAK_YENI1309[[#This Row],[SATINALMA]]*DST_123_ÜRETİM_İHTİYAÇ_RAPORU_BURAK_YENI1309[[#This Row],[BIRIM_FIYATLAR]])&lt;1,VALUE("0"),DST_123_ÜRETİM_İHTİYAÇ_RAPORU_BURAK_YENI1309[[#This Row],[SATINALMA]]*DST_123_ÜRETİM_İHTİYAÇ_RAPORU_BURAK_YENI1309[[#This Row],[BIRIM_FIYATLAR]])</f>
        <v>0</v>
      </c>
      <c r="N4013">
        <v>20</v>
      </c>
      <c r="P4013">
        <v>40</v>
      </c>
      <c r="Q4013" t="s">
        <v>221</v>
      </c>
    </row>
    <row r="4014" spans="1:17" x14ac:dyDescent="0.25">
      <c r="A4014" t="s">
        <v>1146</v>
      </c>
      <c r="B4014" t="s">
        <v>1145</v>
      </c>
      <c r="C4014" t="s">
        <v>175</v>
      </c>
      <c r="D4014" t="s">
        <v>720</v>
      </c>
      <c r="E4014" t="s">
        <v>721</v>
      </c>
      <c r="F4014">
        <v>2</v>
      </c>
      <c r="G4014" t="s">
        <v>176</v>
      </c>
      <c r="H4014">
        <v>0</v>
      </c>
      <c r="I4014">
        <v>200</v>
      </c>
      <c r="J4014" s="10">
        <v>88</v>
      </c>
      <c r="K4014" s="10">
        <f>SUMIFS(F:F,D:D,DST_123_ÜRETİM_İHTİYAÇ_RAPORU_BURAK_YENI1309[[#This Row],[ALT_KOD]])-(SUMIFS(H:H,D:D,DST_123_ÜRETİM_İHTİYAÇ_RAPORU_BURAK_YENI1309[[#This Row],[ALT_KOD]])+AVERAGEIFS(I:I,D:D,DST_123_ÜRETİM_İHTİYAÇ_RAPORU_BURAK_YENI1309[[#This Row],[ALT_KOD]])+AVERAGEIFS(L:L,D:D,DST_123_ÜRETİM_İHTİYAÇ_RAPORU_BURAK_YENI1309[[#This Row],[ALT_KOD]]))</f>
        <v>-190</v>
      </c>
      <c r="L4014">
        <v>0</v>
      </c>
      <c r="M4014">
        <f>IF((DST_123_ÜRETİM_İHTİYAÇ_RAPORU_BURAK_YENI1309[[#This Row],[SATINALMA]]*DST_123_ÜRETİM_İHTİYAÇ_RAPORU_BURAK_YENI1309[[#This Row],[BIRIM_FIYATLAR]])&lt;1,VALUE("0"),DST_123_ÜRETİM_İHTİYAÇ_RAPORU_BURAK_YENI1309[[#This Row],[SATINALMA]]*DST_123_ÜRETİM_İHTİYAÇ_RAPORU_BURAK_YENI1309[[#This Row],[BIRIM_FIYATLAR]])</f>
        <v>0</v>
      </c>
      <c r="N4014">
        <v>10</v>
      </c>
      <c r="O4014" t="s">
        <v>226</v>
      </c>
      <c r="P4014">
        <v>20</v>
      </c>
      <c r="Q4014" t="s">
        <v>180</v>
      </c>
    </row>
    <row r="4015" spans="1:17" x14ac:dyDescent="0.25">
      <c r="A4015" t="s">
        <v>1144</v>
      </c>
      <c r="B4015" t="s">
        <v>1145</v>
      </c>
      <c r="C4015" t="s">
        <v>175</v>
      </c>
      <c r="D4015" t="s">
        <v>800</v>
      </c>
      <c r="E4015" t="s">
        <v>801</v>
      </c>
      <c r="F4015">
        <v>3</v>
      </c>
      <c r="G4015" t="s">
        <v>176</v>
      </c>
      <c r="H4015">
        <v>0</v>
      </c>
      <c r="I4015">
        <v>400</v>
      </c>
      <c r="J4015" s="10">
        <v>0</v>
      </c>
      <c r="K4015" s="10">
        <f>SUMIFS(F:F,D:D,DST_123_ÜRETİM_İHTİYAÇ_RAPORU_BURAK_YENI1309[[#This Row],[ALT_KOD]])-(SUMIFS(H:H,D:D,DST_123_ÜRETİM_İHTİYAÇ_RAPORU_BURAK_YENI1309[[#This Row],[ALT_KOD]])+AVERAGEIFS(I:I,D:D,DST_123_ÜRETİM_İHTİYAÇ_RAPORU_BURAK_YENI1309[[#This Row],[ALT_KOD]])+AVERAGEIFS(L:L,D:D,DST_123_ÜRETİM_İHTİYAÇ_RAPORU_BURAK_YENI1309[[#This Row],[ALT_KOD]]))</f>
        <v>-388</v>
      </c>
      <c r="L4015">
        <v>0</v>
      </c>
      <c r="M4015">
        <f>IF((DST_123_ÜRETİM_İHTİYAÇ_RAPORU_BURAK_YENI1309[[#This Row],[SATINALMA]]*DST_123_ÜRETİM_İHTİYAÇ_RAPORU_BURAK_YENI1309[[#This Row],[BIRIM_FIYATLAR]])&lt;1,VALUE("0"),DST_123_ÜRETİM_İHTİYAÇ_RAPORU_BURAK_YENI1309[[#This Row],[SATINALMA]]*DST_123_ÜRETİM_İHTİYAÇ_RAPORU_BURAK_YENI1309[[#This Row],[BIRIM_FIYATLAR]])</f>
        <v>0</v>
      </c>
      <c r="N4015">
        <v>10</v>
      </c>
      <c r="O4015" t="s">
        <v>226</v>
      </c>
      <c r="P4015">
        <v>30</v>
      </c>
      <c r="Q4015" t="s">
        <v>180</v>
      </c>
    </row>
    <row r="4016" spans="1:17" x14ac:dyDescent="0.25">
      <c r="A4016" t="s">
        <v>1144</v>
      </c>
      <c r="B4016" t="s">
        <v>1145</v>
      </c>
      <c r="C4016" t="s">
        <v>175</v>
      </c>
      <c r="D4016" t="s">
        <v>347</v>
      </c>
      <c r="E4016" t="s">
        <v>348</v>
      </c>
      <c r="F4016">
        <v>0.1</v>
      </c>
      <c r="G4016" t="s">
        <v>176</v>
      </c>
      <c r="H4016">
        <v>0</v>
      </c>
      <c r="I4016">
        <v>2</v>
      </c>
      <c r="J4016" s="10">
        <v>-6.3837823915946501E-16</v>
      </c>
      <c r="K4016" s="10">
        <f>SUMIFS(F:F,D:D,DST_123_ÜRETİM_İHTİYAÇ_RAPORU_BURAK_YENI1309[[#This Row],[ALT_KOD]])-(SUMIFS(H:H,D:D,DST_123_ÜRETİM_İHTİYAÇ_RAPORU_BURAK_YENI1309[[#This Row],[ALT_KOD]])+AVERAGEIFS(I:I,D:D,DST_123_ÜRETİM_İHTİYAÇ_RAPORU_BURAK_YENI1309[[#This Row],[ALT_KOD]])+AVERAGEIFS(L:L,D:D,DST_123_ÜRETİM_İHTİYAÇ_RAPORU_BURAK_YENI1309[[#This Row],[ALT_KOD]]))</f>
        <v>1.4000000000000004</v>
      </c>
      <c r="L4016">
        <v>0</v>
      </c>
      <c r="M4016">
        <f>IF((DST_123_ÜRETİM_İHTİYAÇ_RAPORU_BURAK_YENI1309[[#This Row],[SATINALMA]]*DST_123_ÜRETİM_İHTİYAÇ_RAPORU_BURAK_YENI1309[[#This Row],[BIRIM_FIYATLAR]])&lt;1,VALUE("0"),DST_123_ÜRETİM_İHTİYAÇ_RAPORU_BURAK_YENI1309[[#This Row],[SATINALMA]]*DST_123_ÜRETİM_İHTİYAÇ_RAPORU_BURAK_YENI1309[[#This Row],[BIRIM_FIYATLAR]])</f>
        <v>3889.2000000000012</v>
      </c>
      <c r="N4016">
        <v>2778</v>
      </c>
      <c r="O4016" t="s">
        <v>217</v>
      </c>
      <c r="P4016">
        <v>277.8</v>
      </c>
      <c r="Q4016" t="s">
        <v>183</v>
      </c>
    </row>
    <row r="4017" spans="1:17" x14ac:dyDescent="0.25">
      <c r="A4017" t="s">
        <v>1146</v>
      </c>
      <c r="B4017" t="s">
        <v>1145</v>
      </c>
      <c r="C4017" t="s">
        <v>175</v>
      </c>
      <c r="D4017" t="s">
        <v>347</v>
      </c>
      <c r="E4017" t="s">
        <v>348</v>
      </c>
      <c r="F4017">
        <v>0.05</v>
      </c>
      <c r="G4017" t="s">
        <v>176</v>
      </c>
      <c r="H4017">
        <v>0</v>
      </c>
      <c r="I4017">
        <v>2</v>
      </c>
      <c r="J4017" s="10">
        <v>-6.3837823915946501E-16</v>
      </c>
      <c r="K4017" s="10">
        <f>SUMIFS(F:F,D:D,DST_123_ÜRETİM_İHTİYAÇ_RAPORU_BURAK_YENI1309[[#This Row],[ALT_KOD]])-(SUMIFS(H:H,D:D,DST_123_ÜRETİM_İHTİYAÇ_RAPORU_BURAK_YENI1309[[#This Row],[ALT_KOD]])+AVERAGEIFS(I:I,D:D,DST_123_ÜRETİM_İHTİYAÇ_RAPORU_BURAK_YENI1309[[#This Row],[ALT_KOD]])+AVERAGEIFS(L:L,D:D,DST_123_ÜRETİM_İHTİYAÇ_RAPORU_BURAK_YENI1309[[#This Row],[ALT_KOD]]))</f>
        <v>1.4000000000000004</v>
      </c>
      <c r="L4017">
        <v>0</v>
      </c>
      <c r="M4017">
        <f>IF((DST_123_ÜRETİM_İHTİYAÇ_RAPORU_BURAK_YENI1309[[#This Row],[SATINALMA]]*DST_123_ÜRETİM_İHTİYAÇ_RAPORU_BURAK_YENI1309[[#This Row],[BIRIM_FIYATLAR]])&lt;1,VALUE("0"),DST_123_ÜRETİM_İHTİYAÇ_RAPORU_BURAK_YENI1309[[#This Row],[SATINALMA]]*DST_123_ÜRETİM_İHTİYAÇ_RAPORU_BURAK_YENI1309[[#This Row],[BIRIM_FIYATLAR]])</f>
        <v>3889.2000000000012</v>
      </c>
      <c r="N4017">
        <v>2778</v>
      </c>
      <c r="O4017" t="s">
        <v>217</v>
      </c>
      <c r="P4017">
        <v>138.9</v>
      </c>
      <c r="Q4017" t="s">
        <v>183</v>
      </c>
    </row>
    <row r="4018" spans="1:17" x14ac:dyDescent="0.25">
      <c r="A4018" t="s">
        <v>1149</v>
      </c>
      <c r="B4018" t="s">
        <v>1145</v>
      </c>
      <c r="C4018" t="s">
        <v>175</v>
      </c>
      <c r="D4018" t="s">
        <v>342</v>
      </c>
      <c r="E4018" t="s">
        <v>343</v>
      </c>
      <c r="F4018">
        <v>0.05</v>
      </c>
      <c r="G4018" t="s">
        <v>176</v>
      </c>
      <c r="H4018">
        <v>0</v>
      </c>
      <c r="I4018">
        <v>2</v>
      </c>
      <c r="J4018" s="10">
        <v>1.7763568394002505E-15</v>
      </c>
      <c r="K4018" s="10">
        <f>SUMIFS(F:F,D:D,DST_123_ÜRETİM_İHTİYAÇ_RAPORU_BURAK_YENI1309[[#This Row],[ALT_KOD]])-(SUMIFS(H:H,D:D,DST_123_ÜRETİM_İHTİYAÇ_RAPORU_BURAK_YENI1309[[#This Row],[ALT_KOD]])+AVERAGEIFS(I:I,D:D,DST_123_ÜRETİM_İHTİYAÇ_RAPORU_BURAK_YENI1309[[#This Row],[ALT_KOD]])+AVERAGEIFS(L:L,D:D,DST_123_ÜRETİM_İHTİYAÇ_RAPORU_BURAK_YENI1309[[#This Row],[ALT_KOD]]))</f>
        <v>-0.84999999999999964</v>
      </c>
      <c r="L4018">
        <v>0</v>
      </c>
      <c r="M4018">
        <f>IF((DST_123_ÜRETİM_İHTİYAÇ_RAPORU_BURAK_YENI1309[[#This Row],[SATINALMA]]*DST_123_ÜRETİM_İHTİYAÇ_RAPORU_BURAK_YENI1309[[#This Row],[BIRIM_FIYATLAR]])&lt;1,VALUE("0"),DST_123_ÜRETİM_İHTİYAÇ_RAPORU_BURAK_YENI1309[[#This Row],[SATINALMA]]*DST_123_ÜRETİM_İHTİYAÇ_RAPORU_BURAK_YENI1309[[#This Row],[BIRIM_FIYATLAR]])</f>
        <v>0</v>
      </c>
      <c r="N4018">
        <v>1400</v>
      </c>
      <c r="O4018" t="s">
        <v>217</v>
      </c>
      <c r="P4018">
        <v>70</v>
      </c>
      <c r="Q4018" t="s">
        <v>183</v>
      </c>
    </row>
    <row r="4019" spans="1:17" x14ac:dyDescent="0.25">
      <c r="A4019" t="s">
        <v>1143</v>
      </c>
      <c r="B4019" t="s">
        <v>1056</v>
      </c>
      <c r="C4019" t="s">
        <v>175</v>
      </c>
      <c r="D4019" t="s">
        <v>502</v>
      </c>
      <c r="E4019" t="s">
        <v>503</v>
      </c>
      <c r="F4019">
        <v>2</v>
      </c>
      <c r="G4019" t="s">
        <v>176</v>
      </c>
      <c r="H4019">
        <v>0</v>
      </c>
      <c r="I4019">
        <v>115</v>
      </c>
      <c r="J4019" s="10">
        <v>2</v>
      </c>
      <c r="K4019" s="10">
        <f>SUMIFS(F:F,D:D,DST_123_ÜRETİM_İHTİYAÇ_RAPORU_BURAK_YENI1309[[#This Row],[ALT_KOD]])-(SUMIFS(H:H,D:D,DST_123_ÜRETİM_İHTİYAÇ_RAPORU_BURAK_YENI1309[[#This Row],[ALT_KOD]])+AVERAGEIFS(I:I,D:D,DST_123_ÜRETİM_İHTİYAÇ_RAPORU_BURAK_YENI1309[[#This Row],[ALT_KOD]])+AVERAGEIFS(L:L,D:D,DST_123_ÜRETİM_İHTİYAÇ_RAPORU_BURAK_YENI1309[[#This Row],[ALT_KOD]]))</f>
        <v>-77</v>
      </c>
      <c r="L4019">
        <v>0</v>
      </c>
      <c r="M4019">
        <f>IF((DST_123_ÜRETİM_İHTİYAÇ_RAPORU_BURAK_YENI1309[[#This Row],[SATINALMA]]*DST_123_ÜRETİM_İHTİYAÇ_RAPORU_BURAK_YENI1309[[#This Row],[BIRIM_FIYATLAR]])&lt;1,VALUE("0"),DST_123_ÜRETİM_İHTİYAÇ_RAPORU_BURAK_YENI1309[[#This Row],[SATINALMA]]*DST_123_ÜRETİM_İHTİYAÇ_RAPORU_BURAK_YENI1309[[#This Row],[BIRIM_FIYATLAR]])</f>
        <v>0</v>
      </c>
      <c r="N4019">
        <v>0.44</v>
      </c>
      <c r="O4019" t="s">
        <v>504</v>
      </c>
      <c r="P4019">
        <v>0.88</v>
      </c>
      <c r="Q4019" t="s">
        <v>221</v>
      </c>
    </row>
    <row r="4020" spans="1:17" x14ac:dyDescent="0.25">
      <c r="A4020" t="s">
        <v>1097</v>
      </c>
      <c r="B4020" t="s">
        <v>1055</v>
      </c>
      <c r="C4020" t="s">
        <v>175</v>
      </c>
      <c r="D4020" t="s">
        <v>502</v>
      </c>
      <c r="E4020" t="s">
        <v>503</v>
      </c>
      <c r="F4020">
        <v>2</v>
      </c>
      <c r="G4020" t="s">
        <v>176</v>
      </c>
      <c r="H4020">
        <v>0</v>
      </c>
      <c r="I4020">
        <v>115</v>
      </c>
      <c r="J4020" s="10">
        <v>2</v>
      </c>
      <c r="K4020" s="10">
        <f>SUMIFS(F:F,D:D,DST_123_ÜRETİM_İHTİYAÇ_RAPORU_BURAK_YENI1309[[#This Row],[ALT_KOD]])-(SUMIFS(H:H,D:D,DST_123_ÜRETİM_İHTİYAÇ_RAPORU_BURAK_YENI1309[[#This Row],[ALT_KOD]])+AVERAGEIFS(I:I,D:D,DST_123_ÜRETİM_İHTİYAÇ_RAPORU_BURAK_YENI1309[[#This Row],[ALT_KOD]])+AVERAGEIFS(L:L,D:D,DST_123_ÜRETİM_İHTİYAÇ_RAPORU_BURAK_YENI1309[[#This Row],[ALT_KOD]]))</f>
        <v>-77</v>
      </c>
      <c r="L4020">
        <v>0</v>
      </c>
      <c r="M4020">
        <f>IF((DST_123_ÜRETİM_İHTİYAÇ_RAPORU_BURAK_YENI1309[[#This Row],[SATINALMA]]*DST_123_ÜRETİM_İHTİYAÇ_RAPORU_BURAK_YENI1309[[#This Row],[BIRIM_FIYATLAR]])&lt;1,VALUE("0"),DST_123_ÜRETİM_İHTİYAÇ_RAPORU_BURAK_YENI1309[[#This Row],[SATINALMA]]*DST_123_ÜRETİM_İHTİYAÇ_RAPORU_BURAK_YENI1309[[#This Row],[BIRIM_FIYATLAR]])</f>
        <v>0</v>
      </c>
      <c r="N4020">
        <v>0.44</v>
      </c>
      <c r="O4020" t="s">
        <v>504</v>
      </c>
      <c r="P4020">
        <v>0.88</v>
      </c>
      <c r="Q4020" t="s">
        <v>221</v>
      </c>
    </row>
    <row r="4021" spans="1:17" x14ac:dyDescent="0.25">
      <c r="A4021" t="s">
        <v>1060</v>
      </c>
      <c r="B4021" t="s">
        <v>1061</v>
      </c>
      <c r="C4021" t="s">
        <v>175</v>
      </c>
      <c r="D4021" t="s">
        <v>603</v>
      </c>
      <c r="E4021" t="s">
        <v>604</v>
      </c>
      <c r="F4021">
        <v>2</v>
      </c>
      <c r="G4021" t="s">
        <v>176</v>
      </c>
      <c r="H4021">
        <v>0</v>
      </c>
      <c r="I4021">
        <v>5</v>
      </c>
      <c r="J4021" s="10">
        <v>10</v>
      </c>
      <c r="K4021" s="10">
        <f>SUMIFS(F:F,D:D,DST_123_ÜRETİM_İHTİYAÇ_RAPORU_BURAK_YENI1309[[#This Row],[ALT_KOD]])-(SUMIFS(H:H,D:D,DST_123_ÜRETİM_İHTİYAÇ_RAPORU_BURAK_YENI1309[[#This Row],[ALT_KOD]])+AVERAGEIFS(I:I,D:D,DST_123_ÜRETİM_İHTİYAÇ_RAPORU_BURAK_YENI1309[[#This Row],[ALT_KOD]])+AVERAGEIFS(L:L,D:D,DST_123_ÜRETİM_İHTİYAÇ_RAPORU_BURAK_YENI1309[[#This Row],[ALT_KOD]]))</f>
        <v>11</v>
      </c>
      <c r="L4021">
        <v>0</v>
      </c>
      <c r="M4021">
        <f>IF((DST_123_ÜRETİM_İHTİYAÇ_RAPORU_BURAK_YENI1309[[#This Row],[SATINALMA]]*DST_123_ÜRETİM_İHTİYAÇ_RAPORU_BURAK_YENI1309[[#This Row],[BIRIM_FIYATLAR]])&lt;1,VALUE("0"),DST_123_ÜRETİM_İHTİYAÇ_RAPORU_BURAK_YENI1309[[#This Row],[SATINALMA]]*DST_123_ÜRETİM_İHTİYAÇ_RAPORU_BURAK_YENI1309[[#This Row],[BIRIM_FIYATLAR]])</f>
        <v>832.04</v>
      </c>
      <c r="N4021">
        <v>75.64</v>
      </c>
      <c r="O4021" t="s">
        <v>636</v>
      </c>
      <c r="P4021">
        <v>151.28</v>
      </c>
      <c r="Q4021" t="s">
        <v>177</v>
      </c>
    </row>
    <row r="4022" spans="1:17" x14ac:dyDescent="0.25">
      <c r="A4022" t="s">
        <v>1095</v>
      </c>
      <c r="B4022" t="s">
        <v>1096</v>
      </c>
      <c r="C4022" t="s">
        <v>175</v>
      </c>
      <c r="D4022" t="s">
        <v>448</v>
      </c>
      <c r="E4022" t="s">
        <v>449</v>
      </c>
      <c r="F4022">
        <v>2</v>
      </c>
      <c r="G4022" t="s">
        <v>176</v>
      </c>
      <c r="H4022">
        <v>0</v>
      </c>
      <c r="I4022">
        <v>27</v>
      </c>
      <c r="J4022" s="10">
        <v>16</v>
      </c>
      <c r="K4022" s="10">
        <f>SUMIFS(F:F,D:D,DST_123_ÜRETİM_İHTİYAÇ_RAPORU_BURAK_YENI1309[[#This Row],[ALT_KOD]])-(SUMIFS(H:H,D:D,DST_123_ÜRETİM_İHTİYAÇ_RAPORU_BURAK_YENI1309[[#This Row],[ALT_KOD]])+AVERAGEIFS(I:I,D:D,DST_123_ÜRETİM_İHTİYAÇ_RAPORU_BURAK_YENI1309[[#This Row],[ALT_KOD]])+AVERAGEIFS(L:L,D:D,DST_123_ÜRETİM_İHTİYAÇ_RAPORU_BURAK_YENI1309[[#This Row],[ALT_KOD]]))</f>
        <v>-3</v>
      </c>
      <c r="L4022">
        <v>0</v>
      </c>
      <c r="M4022">
        <f>IF((DST_123_ÜRETİM_İHTİYAÇ_RAPORU_BURAK_YENI1309[[#This Row],[SATINALMA]]*DST_123_ÜRETİM_İHTİYAÇ_RAPORU_BURAK_YENI1309[[#This Row],[BIRIM_FIYATLAR]])&lt;1,VALUE("0"),DST_123_ÜRETİM_İHTİYAÇ_RAPORU_BURAK_YENI1309[[#This Row],[SATINALMA]]*DST_123_ÜRETİM_İHTİYAÇ_RAPORU_BURAK_YENI1309[[#This Row],[BIRIM_FIYATLAR]])</f>
        <v>0</v>
      </c>
      <c r="N4022">
        <v>66.23</v>
      </c>
      <c r="O4022" t="s">
        <v>227</v>
      </c>
      <c r="P4022">
        <v>132.46</v>
      </c>
      <c r="Q4022" t="s">
        <v>221</v>
      </c>
    </row>
    <row r="4023" spans="1:17" x14ac:dyDescent="0.25">
      <c r="A4023" t="s">
        <v>1059</v>
      </c>
      <c r="B4023" t="s">
        <v>1058</v>
      </c>
      <c r="C4023" t="s">
        <v>175</v>
      </c>
      <c r="D4023" t="s">
        <v>970</v>
      </c>
      <c r="E4023" t="s">
        <v>971</v>
      </c>
      <c r="F4023">
        <v>0.3</v>
      </c>
      <c r="G4023" t="s">
        <v>182</v>
      </c>
      <c r="H4023">
        <v>0</v>
      </c>
      <c r="I4023">
        <v>0</v>
      </c>
      <c r="J4023" s="10">
        <v>30.76</v>
      </c>
      <c r="K4023" s="10">
        <f>SUMIFS(F:F,D:D,DST_123_ÜRETİM_İHTİYAÇ_RAPORU_BURAK_YENI1309[[#This Row],[ALT_KOD]])-(SUMIFS(H:H,D:D,DST_123_ÜRETİM_İHTİYAÇ_RAPORU_BURAK_YENI1309[[#This Row],[ALT_KOD]])+AVERAGEIFS(I:I,D:D,DST_123_ÜRETİM_İHTİYAÇ_RAPORU_BURAK_YENI1309[[#This Row],[ALT_KOD]])+AVERAGEIFS(L:L,D:D,DST_123_ÜRETİM_İHTİYAÇ_RAPORU_BURAK_YENI1309[[#This Row],[ALT_KOD]]))</f>
        <v>4.4400000000000004</v>
      </c>
      <c r="L4023">
        <v>0</v>
      </c>
      <c r="M4023">
        <f>IF((DST_123_ÜRETİM_İHTİYAÇ_RAPORU_BURAK_YENI1309[[#This Row],[SATINALMA]]*DST_123_ÜRETİM_İHTİYAÇ_RAPORU_BURAK_YENI1309[[#This Row],[BIRIM_FIYATLAR]])&lt;1,VALUE("0"),DST_123_ÜRETİM_İHTİYAÇ_RAPORU_BURAK_YENI1309[[#This Row],[SATINALMA]]*DST_123_ÜRETİM_İHTİYAÇ_RAPORU_BURAK_YENI1309[[#This Row],[BIRIM_FIYATLAR]])</f>
        <v>7762.0524000000005</v>
      </c>
      <c r="N4023">
        <v>1748.21</v>
      </c>
      <c r="O4023" t="s">
        <v>223</v>
      </c>
      <c r="P4023">
        <v>524.46299999999997</v>
      </c>
      <c r="Q4023" t="s">
        <v>181</v>
      </c>
    </row>
    <row r="4024" spans="1:17" x14ac:dyDescent="0.25">
      <c r="A4024" t="s">
        <v>1143</v>
      </c>
      <c r="B4024" t="s">
        <v>1056</v>
      </c>
      <c r="C4024" t="s">
        <v>175</v>
      </c>
      <c r="D4024" t="s">
        <v>970</v>
      </c>
      <c r="E4024" t="s">
        <v>971</v>
      </c>
      <c r="F4024">
        <v>0.6</v>
      </c>
      <c r="G4024" t="s">
        <v>182</v>
      </c>
      <c r="H4024">
        <v>0</v>
      </c>
      <c r="I4024">
        <v>0</v>
      </c>
      <c r="J4024" s="10">
        <v>30.76</v>
      </c>
      <c r="K4024" s="10">
        <f>SUMIFS(F:F,D:D,DST_123_ÜRETİM_İHTİYAÇ_RAPORU_BURAK_YENI1309[[#This Row],[ALT_KOD]])-(SUMIFS(H:H,D:D,DST_123_ÜRETİM_İHTİYAÇ_RAPORU_BURAK_YENI1309[[#This Row],[ALT_KOD]])+AVERAGEIFS(I:I,D:D,DST_123_ÜRETİM_İHTİYAÇ_RAPORU_BURAK_YENI1309[[#This Row],[ALT_KOD]])+AVERAGEIFS(L:L,D:D,DST_123_ÜRETİM_İHTİYAÇ_RAPORU_BURAK_YENI1309[[#This Row],[ALT_KOD]]))</f>
        <v>4.4400000000000004</v>
      </c>
      <c r="L4024">
        <v>0</v>
      </c>
      <c r="M4024">
        <f>IF((DST_123_ÜRETİM_İHTİYAÇ_RAPORU_BURAK_YENI1309[[#This Row],[SATINALMA]]*DST_123_ÜRETİM_İHTİYAÇ_RAPORU_BURAK_YENI1309[[#This Row],[BIRIM_FIYATLAR]])&lt;1,VALUE("0"),DST_123_ÜRETİM_İHTİYAÇ_RAPORU_BURAK_YENI1309[[#This Row],[SATINALMA]]*DST_123_ÜRETİM_İHTİYAÇ_RAPORU_BURAK_YENI1309[[#This Row],[BIRIM_FIYATLAR]])</f>
        <v>7762.0524000000005</v>
      </c>
      <c r="N4024">
        <v>1748.21</v>
      </c>
      <c r="O4024" t="s">
        <v>223</v>
      </c>
      <c r="P4024">
        <v>1048.9259999999999</v>
      </c>
      <c r="Q4024" t="s">
        <v>181</v>
      </c>
    </row>
    <row r="4025" spans="1:17" x14ac:dyDescent="0.25">
      <c r="A4025" t="s">
        <v>1142</v>
      </c>
      <c r="B4025" t="s">
        <v>1056</v>
      </c>
      <c r="C4025" t="s">
        <v>175</v>
      </c>
      <c r="D4025" t="s">
        <v>1155</v>
      </c>
      <c r="E4025" t="s">
        <v>1156</v>
      </c>
      <c r="F4025">
        <v>6</v>
      </c>
      <c r="G4025" t="s">
        <v>176</v>
      </c>
      <c r="H4025">
        <v>0</v>
      </c>
      <c r="I4025">
        <v>0</v>
      </c>
      <c r="J4025" s="10">
        <v>0</v>
      </c>
      <c r="K4025" s="10">
        <f>SUMIFS(F:F,D:D,DST_123_ÜRETİM_İHTİYAÇ_RAPORU_BURAK_YENI1309[[#This Row],[ALT_KOD]])-(SUMIFS(H:H,D:D,DST_123_ÜRETİM_İHTİYAÇ_RAPORU_BURAK_YENI1309[[#This Row],[ALT_KOD]])+AVERAGEIFS(I:I,D:D,DST_123_ÜRETİM_İHTİYAÇ_RAPORU_BURAK_YENI1309[[#This Row],[ALT_KOD]])+AVERAGEIFS(L:L,D:D,DST_123_ÜRETİM_İHTİYAÇ_RAPORU_BURAK_YENI1309[[#This Row],[ALT_KOD]]))</f>
        <v>24</v>
      </c>
      <c r="L4025">
        <v>0</v>
      </c>
      <c r="M4025">
        <f>IF((DST_123_ÜRETİM_İHTİYAÇ_RAPORU_BURAK_YENI1309[[#This Row],[SATINALMA]]*DST_123_ÜRETİM_İHTİYAÇ_RAPORU_BURAK_YENI1309[[#This Row],[BIRIM_FIYATLAR]])&lt;1,VALUE("0"),DST_123_ÜRETİM_İHTİYAÇ_RAPORU_BURAK_YENI1309[[#This Row],[SATINALMA]]*DST_123_ÜRETİM_İHTİYAÇ_RAPORU_BURAK_YENI1309[[#This Row],[BIRIM_FIYATLAR]])</f>
        <v>21.12</v>
      </c>
      <c r="N4025">
        <v>0.88</v>
      </c>
      <c r="O4025" t="s">
        <v>635</v>
      </c>
      <c r="P4025">
        <v>5.28</v>
      </c>
      <c r="Q4025" t="s">
        <v>221</v>
      </c>
    </row>
    <row r="4026" spans="1:17" x14ac:dyDescent="0.25">
      <c r="A4026" t="s">
        <v>1142</v>
      </c>
      <c r="B4026" t="s">
        <v>1056</v>
      </c>
      <c r="C4026" t="s">
        <v>175</v>
      </c>
      <c r="D4026" t="s">
        <v>1051</v>
      </c>
      <c r="E4026" t="s">
        <v>1052</v>
      </c>
      <c r="F4026">
        <v>1</v>
      </c>
      <c r="G4026" t="s">
        <v>176</v>
      </c>
      <c r="H4026">
        <v>0</v>
      </c>
      <c r="I4026">
        <v>2</v>
      </c>
      <c r="J4026" s="10">
        <v>7</v>
      </c>
      <c r="K4026" s="10">
        <f>SUMIFS(F:F,D:D,DST_123_ÜRETİM_İHTİYAÇ_RAPORU_BURAK_YENI1309[[#This Row],[ALT_KOD]])-(SUMIFS(H:H,D:D,DST_123_ÜRETİM_İHTİYAÇ_RAPORU_BURAK_YENI1309[[#This Row],[ALT_KOD]])+AVERAGEIFS(I:I,D:D,DST_123_ÜRETİM_İHTİYAÇ_RAPORU_BURAK_YENI1309[[#This Row],[ALT_KOD]])+AVERAGEIFS(L:L,D:D,DST_123_ÜRETİM_İHTİYAÇ_RAPORU_BURAK_YENI1309[[#This Row],[ALT_KOD]]))</f>
        <v>10</v>
      </c>
      <c r="L4026">
        <v>0</v>
      </c>
      <c r="M4026">
        <f>IF((DST_123_ÜRETİM_İHTİYAÇ_RAPORU_BURAK_YENI1309[[#This Row],[SATINALMA]]*DST_123_ÜRETİM_İHTİYAÇ_RAPORU_BURAK_YENI1309[[#This Row],[BIRIM_FIYATLAR]])&lt;1,VALUE("0"),DST_123_ÜRETİM_İHTİYAÇ_RAPORU_BURAK_YENI1309[[#This Row],[SATINALMA]]*DST_123_ÜRETİM_İHTİYAÇ_RAPORU_BURAK_YENI1309[[#This Row],[BIRIM_FIYATLAR]])</f>
        <v>121389.3</v>
      </c>
      <c r="N4026">
        <v>12138.93</v>
      </c>
      <c r="O4026" t="s">
        <v>634</v>
      </c>
      <c r="P4026">
        <v>12138.93</v>
      </c>
      <c r="Q4026" t="s">
        <v>177</v>
      </c>
    </row>
    <row r="4027" spans="1:17" x14ac:dyDescent="0.25">
      <c r="A4027" t="s">
        <v>1142</v>
      </c>
      <c r="B4027" t="s">
        <v>1056</v>
      </c>
      <c r="C4027" t="s">
        <v>175</v>
      </c>
      <c r="D4027" t="s">
        <v>732</v>
      </c>
      <c r="E4027" t="s">
        <v>733</v>
      </c>
      <c r="F4027">
        <v>16</v>
      </c>
      <c r="G4027" t="s">
        <v>185</v>
      </c>
      <c r="H4027">
        <v>0</v>
      </c>
      <c r="I4027">
        <v>0</v>
      </c>
      <c r="J4027" s="10">
        <v>62.999999999999986</v>
      </c>
      <c r="K4027" s="10">
        <f>SUMIFS(F:F,D:D,DST_123_ÜRETİM_İHTİYAÇ_RAPORU_BURAK_YENI1309[[#This Row],[ALT_KOD]])-(SUMIFS(H:H,D:D,DST_123_ÜRETİM_İHTİYAÇ_RAPORU_BURAK_YENI1309[[#This Row],[ALT_KOD]])+AVERAGEIFS(I:I,D:D,DST_123_ÜRETİM_İHTİYAÇ_RAPORU_BURAK_YENI1309[[#This Row],[ALT_KOD]])+AVERAGEIFS(L:L,D:D,DST_123_ÜRETİM_İHTİYAÇ_RAPORU_BURAK_YENI1309[[#This Row],[ALT_KOD]]))</f>
        <v>196</v>
      </c>
      <c r="L4027">
        <v>0</v>
      </c>
      <c r="M4027">
        <f>IF((DST_123_ÜRETİM_İHTİYAÇ_RAPORU_BURAK_YENI1309[[#This Row],[SATINALMA]]*DST_123_ÜRETİM_İHTİYAÇ_RAPORU_BURAK_YENI1309[[#This Row],[BIRIM_FIYATLAR]])&lt;1,VALUE("0"),DST_123_ÜRETİM_İHTİYAÇ_RAPORU_BURAK_YENI1309[[#This Row],[SATINALMA]]*DST_123_ÜRETİM_İHTİYAÇ_RAPORU_BURAK_YENI1309[[#This Row],[BIRIM_FIYATLAR]])</f>
        <v>215186.44000000003</v>
      </c>
      <c r="N4027">
        <v>1097.8900000000001</v>
      </c>
      <c r="O4027" t="s">
        <v>648</v>
      </c>
      <c r="P4027">
        <v>17566.240000000002</v>
      </c>
      <c r="Q4027" t="s">
        <v>183</v>
      </c>
    </row>
    <row r="4028" spans="1:17" x14ac:dyDescent="0.25">
      <c r="A4028" t="s">
        <v>1097</v>
      </c>
      <c r="B4028" t="s">
        <v>1055</v>
      </c>
      <c r="C4028" t="s">
        <v>175</v>
      </c>
      <c r="D4028" t="s">
        <v>732</v>
      </c>
      <c r="E4028" t="s">
        <v>733</v>
      </c>
      <c r="F4028">
        <v>18</v>
      </c>
      <c r="G4028" t="s">
        <v>185</v>
      </c>
      <c r="H4028">
        <v>0</v>
      </c>
      <c r="I4028">
        <v>0</v>
      </c>
      <c r="J4028" s="10">
        <v>62.999999999999986</v>
      </c>
      <c r="K4028" s="10">
        <f>SUMIFS(F:F,D:D,DST_123_ÜRETİM_İHTİYAÇ_RAPORU_BURAK_YENI1309[[#This Row],[ALT_KOD]])-(SUMIFS(H:H,D:D,DST_123_ÜRETİM_İHTİYAÇ_RAPORU_BURAK_YENI1309[[#This Row],[ALT_KOD]])+AVERAGEIFS(I:I,D:D,DST_123_ÜRETİM_İHTİYAÇ_RAPORU_BURAK_YENI1309[[#This Row],[ALT_KOD]])+AVERAGEIFS(L:L,D:D,DST_123_ÜRETİM_İHTİYAÇ_RAPORU_BURAK_YENI1309[[#This Row],[ALT_KOD]]))</f>
        <v>196</v>
      </c>
      <c r="L4028">
        <v>0</v>
      </c>
      <c r="M4028">
        <f>IF((DST_123_ÜRETİM_İHTİYAÇ_RAPORU_BURAK_YENI1309[[#This Row],[SATINALMA]]*DST_123_ÜRETİM_İHTİYAÇ_RAPORU_BURAK_YENI1309[[#This Row],[BIRIM_FIYATLAR]])&lt;1,VALUE("0"),DST_123_ÜRETİM_İHTİYAÇ_RAPORU_BURAK_YENI1309[[#This Row],[SATINALMA]]*DST_123_ÜRETİM_İHTİYAÇ_RAPORU_BURAK_YENI1309[[#This Row],[BIRIM_FIYATLAR]])</f>
        <v>215186.44000000003</v>
      </c>
      <c r="N4028">
        <v>1097.8900000000001</v>
      </c>
      <c r="O4028" t="s">
        <v>648</v>
      </c>
      <c r="P4028">
        <v>19762.02</v>
      </c>
      <c r="Q4028" t="s">
        <v>183</v>
      </c>
    </row>
    <row r="4029" spans="1:17" x14ac:dyDescent="0.25">
      <c r="A4029" t="s">
        <v>1095</v>
      </c>
      <c r="B4029" t="s">
        <v>1096</v>
      </c>
      <c r="C4029" t="s">
        <v>175</v>
      </c>
      <c r="D4029" t="s">
        <v>1067</v>
      </c>
      <c r="E4029" t="s">
        <v>1068</v>
      </c>
      <c r="F4029">
        <v>12</v>
      </c>
      <c r="G4029" t="s">
        <v>179</v>
      </c>
      <c r="H4029">
        <v>0</v>
      </c>
      <c r="I4029">
        <v>100</v>
      </c>
      <c r="J4029" s="10">
        <v>84</v>
      </c>
      <c r="K4029" s="10">
        <f>SUMIFS(F:F,D:D,DST_123_ÜRETİM_İHTİYAÇ_RAPORU_BURAK_YENI1309[[#This Row],[ALT_KOD]])-(SUMIFS(H:H,D:D,DST_123_ÜRETİM_İHTİYAÇ_RAPORU_BURAK_YENI1309[[#This Row],[ALT_KOD]])+AVERAGEIFS(I:I,D:D,DST_123_ÜRETİM_İHTİYAÇ_RAPORU_BURAK_YENI1309[[#This Row],[ALT_KOD]])+AVERAGEIFS(L:L,D:D,DST_123_ÜRETİM_İHTİYAÇ_RAPORU_BURAK_YENI1309[[#This Row],[ALT_KOD]]))</f>
        <v>-32</v>
      </c>
      <c r="L4029">
        <v>0</v>
      </c>
      <c r="M4029">
        <f>IF((DST_123_ÜRETİM_İHTİYAÇ_RAPORU_BURAK_YENI1309[[#This Row],[SATINALMA]]*DST_123_ÜRETİM_İHTİYAÇ_RAPORU_BURAK_YENI1309[[#This Row],[BIRIM_FIYATLAR]])&lt;1,VALUE("0"),DST_123_ÜRETİM_İHTİYAÇ_RAPORU_BURAK_YENI1309[[#This Row],[SATINALMA]]*DST_123_ÜRETİM_İHTİYAÇ_RAPORU_BURAK_YENI1309[[#This Row],[BIRIM_FIYATLAR]])</f>
        <v>0</v>
      </c>
      <c r="N4029">
        <v>14.85</v>
      </c>
      <c r="O4029" t="s">
        <v>826</v>
      </c>
      <c r="P4029">
        <v>178.2</v>
      </c>
      <c r="Q4029" t="s">
        <v>221</v>
      </c>
    </row>
    <row r="4030" spans="1:17" x14ac:dyDescent="0.25">
      <c r="A4030" t="s">
        <v>1095</v>
      </c>
      <c r="B4030" t="s">
        <v>1096</v>
      </c>
      <c r="C4030" t="s">
        <v>175</v>
      </c>
      <c r="D4030" t="s">
        <v>738</v>
      </c>
      <c r="E4030" t="s">
        <v>739</v>
      </c>
      <c r="F4030">
        <v>1</v>
      </c>
      <c r="G4030" t="s">
        <v>176</v>
      </c>
      <c r="H4030">
        <v>0</v>
      </c>
      <c r="I4030">
        <v>10</v>
      </c>
      <c r="J4030" s="10">
        <v>16</v>
      </c>
      <c r="K4030" s="10">
        <f>SUMIFS(F:F,D:D,DST_123_ÜRETİM_İHTİYAÇ_RAPORU_BURAK_YENI1309[[#This Row],[ALT_KOD]])-(SUMIFS(H:H,D:D,DST_123_ÜRETİM_İHTİYAÇ_RAPORU_BURAK_YENI1309[[#This Row],[ALT_KOD]])+AVERAGEIFS(I:I,D:D,DST_123_ÜRETİM_İHTİYAÇ_RAPORU_BURAK_YENI1309[[#This Row],[ALT_KOD]])+AVERAGEIFS(L:L,D:D,DST_123_ÜRETİM_İHTİYAÇ_RAPORU_BURAK_YENI1309[[#This Row],[ALT_KOD]]))</f>
        <v>2</v>
      </c>
      <c r="L4030">
        <v>0</v>
      </c>
      <c r="M4030">
        <f>IF((DST_123_ÜRETİM_İHTİYAÇ_RAPORU_BURAK_YENI1309[[#This Row],[SATINALMA]]*DST_123_ÜRETİM_İHTİYAÇ_RAPORU_BURAK_YENI1309[[#This Row],[BIRIM_FIYATLAR]])&lt;1,VALUE("0"),DST_123_ÜRETİM_İHTİYAÇ_RAPORU_BURAK_YENI1309[[#This Row],[SATINALMA]]*DST_123_ÜRETİM_İHTİYAÇ_RAPORU_BURAK_YENI1309[[#This Row],[BIRIM_FIYATLAR]])</f>
        <v>233.34</v>
      </c>
      <c r="N4030">
        <v>116.67</v>
      </c>
      <c r="O4030" t="s">
        <v>667</v>
      </c>
      <c r="P4030">
        <v>116.67</v>
      </c>
      <c r="Q4030" t="s">
        <v>177</v>
      </c>
    </row>
    <row r="4031" spans="1:17" x14ac:dyDescent="0.25">
      <c r="A4031" t="s">
        <v>1142</v>
      </c>
      <c r="B4031" t="s">
        <v>1056</v>
      </c>
      <c r="C4031" t="s">
        <v>175</v>
      </c>
      <c r="D4031" t="s">
        <v>781</v>
      </c>
      <c r="E4031" t="s">
        <v>782</v>
      </c>
      <c r="F4031">
        <v>1</v>
      </c>
      <c r="G4031" t="s">
        <v>176</v>
      </c>
      <c r="H4031">
        <v>0</v>
      </c>
      <c r="I4031">
        <v>14</v>
      </c>
      <c r="J4031" s="10">
        <v>9</v>
      </c>
      <c r="K4031" s="10">
        <f>SUMIFS(F:F,D:D,DST_123_ÜRETİM_İHTİYAÇ_RAPORU_BURAK_YENI1309[[#This Row],[ALT_KOD]])-(SUMIFS(H:H,D:D,DST_123_ÜRETİM_İHTİYAÇ_RAPORU_BURAK_YENI1309[[#This Row],[ALT_KOD]])+AVERAGEIFS(I:I,D:D,DST_123_ÜRETİM_İHTİYAÇ_RAPORU_BURAK_YENI1309[[#This Row],[ALT_KOD]])+AVERAGEIFS(L:L,D:D,DST_123_ÜRETİM_İHTİYAÇ_RAPORU_BURAK_YENI1309[[#This Row],[ALT_KOD]]))</f>
        <v>-3</v>
      </c>
      <c r="L4031">
        <v>0</v>
      </c>
      <c r="M4031">
        <f>IF((DST_123_ÜRETİM_İHTİYAÇ_RAPORU_BURAK_YENI1309[[#This Row],[SATINALMA]]*DST_123_ÜRETİM_İHTİYAÇ_RAPORU_BURAK_YENI1309[[#This Row],[BIRIM_FIYATLAR]])&lt;1,VALUE("0"),DST_123_ÜRETİM_İHTİYAÇ_RAPORU_BURAK_YENI1309[[#This Row],[SATINALMA]]*DST_123_ÜRETİM_İHTİYAÇ_RAPORU_BURAK_YENI1309[[#This Row],[BIRIM_FIYATLAR]])</f>
        <v>0</v>
      </c>
      <c r="N4031">
        <v>1020</v>
      </c>
      <c r="O4031" t="s">
        <v>289</v>
      </c>
      <c r="P4031">
        <v>1020</v>
      </c>
      <c r="Q4031" t="s">
        <v>178</v>
      </c>
    </row>
    <row r="4032" spans="1:17" x14ac:dyDescent="0.25">
      <c r="A4032" t="s">
        <v>1196</v>
      </c>
      <c r="B4032" t="s">
        <v>1197</v>
      </c>
      <c r="C4032" t="s">
        <v>175</v>
      </c>
      <c r="D4032" t="s">
        <v>607</v>
      </c>
      <c r="E4032" t="s">
        <v>608</v>
      </c>
      <c r="F4032">
        <v>2</v>
      </c>
      <c r="G4032" t="s">
        <v>176</v>
      </c>
      <c r="H4032">
        <v>0</v>
      </c>
      <c r="I4032">
        <v>0</v>
      </c>
      <c r="J4032" s="10">
        <v>10</v>
      </c>
      <c r="K4032" s="10">
        <f>SUMIFS(F:F,D:D,DST_123_ÜRETİM_İHTİYAÇ_RAPORU_BURAK_YENI1309[[#This Row],[ALT_KOD]])-(SUMIFS(H:H,D:D,DST_123_ÜRETİM_İHTİYAÇ_RAPORU_BURAK_YENI1309[[#This Row],[ALT_KOD]])+AVERAGEIFS(I:I,D:D,DST_123_ÜRETİM_İHTİYAÇ_RAPORU_BURAK_YENI1309[[#This Row],[ALT_KOD]])+AVERAGEIFS(L:L,D:D,DST_123_ÜRETİM_İHTİYAÇ_RAPORU_BURAK_YENI1309[[#This Row],[ALT_KOD]]))</f>
        <v>24</v>
      </c>
      <c r="L4032">
        <v>0</v>
      </c>
      <c r="M4032">
        <f>IF((DST_123_ÜRETİM_İHTİYAÇ_RAPORU_BURAK_YENI1309[[#This Row],[SATINALMA]]*DST_123_ÜRETİM_İHTİYAÇ_RAPORU_BURAK_YENI1309[[#This Row],[BIRIM_FIYATLAR]])&lt;1,VALUE("0"),DST_123_ÜRETİM_İHTİYAÇ_RAPORU_BURAK_YENI1309[[#This Row],[SATINALMA]]*DST_123_ÜRETİM_İHTİYAÇ_RAPORU_BURAK_YENI1309[[#This Row],[BIRIM_FIYATLAR]])</f>
        <v>1358.4</v>
      </c>
      <c r="N4032">
        <v>56.6</v>
      </c>
      <c r="O4032" t="s">
        <v>636</v>
      </c>
      <c r="P4032">
        <v>113.2</v>
      </c>
      <c r="Q4032" t="s">
        <v>177</v>
      </c>
    </row>
    <row r="4033" spans="1:17" x14ac:dyDescent="0.25">
      <c r="A4033" t="s">
        <v>1099</v>
      </c>
      <c r="B4033" t="s">
        <v>1055</v>
      </c>
      <c r="C4033" t="s">
        <v>175</v>
      </c>
      <c r="D4033" t="s">
        <v>480</v>
      </c>
      <c r="E4033" t="s">
        <v>481</v>
      </c>
      <c r="F4033">
        <v>20</v>
      </c>
      <c r="G4033" t="s">
        <v>176</v>
      </c>
      <c r="H4033">
        <v>0</v>
      </c>
      <c r="I4033">
        <v>442</v>
      </c>
      <c r="J4033" s="10">
        <v>0</v>
      </c>
      <c r="K4033" s="10">
        <f>SUMIFS(F:F,D:D,DST_123_ÜRETİM_İHTİYAÇ_RAPORU_BURAK_YENI1309[[#This Row],[ALT_KOD]])-(SUMIFS(H:H,D:D,DST_123_ÜRETİM_İHTİYAÇ_RAPORU_BURAK_YENI1309[[#This Row],[ALT_KOD]])+AVERAGEIFS(I:I,D:D,DST_123_ÜRETİM_İHTİYAÇ_RAPORU_BURAK_YENI1309[[#This Row],[ALT_KOD]])+AVERAGEIFS(L:L,D:D,DST_123_ÜRETİM_İHTİYAÇ_RAPORU_BURAK_YENI1309[[#This Row],[ALT_KOD]]))</f>
        <v>-64</v>
      </c>
      <c r="L4033">
        <v>0</v>
      </c>
      <c r="M4033">
        <f>IF((DST_123_ÜRETİM_İHTİYAÇ_RAPORU_BURAK_YENI1309[[#This Row],[SATINALMA]]*DST_123_ÜRETİM_İHTİYAÇ_RAPORU_BURAK_YENI1309[[#This Row],[BIRIM_FIYATLAR]])&lt;1,VALUE("0"),DST_123_ÜRETİM_İHTİYAÇ_RAPORU_BURAK_YENI1309[[#This Row],[SATINALMA]]*DST_123_ÜRETİM_İHTİYAÇ_RAPORU_BURAK_YENI1309[[#This Row],[BIRIM_FIYATLAR]])</f>
        <v>0</v>
      </c>
      <c r="N4033">
        <v>9.35</v>
      </c>
      <c r="O4033" t="s">
        <v>882</v>
      </c>
      <c r="P4033">
        <v>187</v>
      </c>
      <c r="Q4033" t="s">
        <v>180</v>
      </c>
    </row>
    <row r="4034" spans="1:17" x14ac:dyDescent="0.25">
      <c r="A4034" t="s">
        <v>1196</v>
      </c>
      <c r="B4034" t="s">
        <v>1197</v>
      </c>
      <c r="C4034" t="s">
        <v>175</v>
      </c>
      <c r="D4034" t="s">
        <v>480</v>
      </c>
      <c r="E4034" t="s">
        <v>481</v>
      </c>
      <c r="F4034">
        <v>16</v>
      </c>
      <c r="G4034" t="s">
        <v>176</v>
      </c>
      <c r="H4034">
        <v>0</v>
      </c>
      <c r="I4034">
        <v>442</v>
      </c>
      <c r="J4034" s="10">
        <v>0</v>
      </c>
      <c r="K4034" s="10">
        <f>SUMIFS(F:F,D:D,DST_123_ÜRETİM_İHTİYAÇ_RAPORU_BURAK_YENI1309[[#This Row],[ALT_KOD]])-(SUMIFS(H:H,D:D,DST_123_ÜRETİM_İHTİYAÇ_RAPORU_BURAK_YENI1309[[#This Row],[ALT_KOD]])+AVERAGEIFS(I:I,D:D,DST_123_ÜRETİM_İHTİYAÇ_RAPORU_BURAK_YENI1309[[#This Row],[ALT_KOD]])+AVERAGEIFS(L:L,D:D,DST_123_ÜRETİM_İHTİYAÇ_RAPORU_BURAK_YENI1309[[#This Row],[ALT_KOD]]))</f>
        <v>-64</v>
      </c>
      <c r="L4034">
        <v>0</v>
      </c>
      <c r="M4034">
        <f>IF((DST_123_ÜRETİM_İHTİYAÇ_RAPORU_BURAK_YENI1309[[#This Row],[SATINALMA]]*DST_123_ÜRETİM_İHTİYAÇ_RAPORU_BURAK_YENI1309[[#This Row],[BIRIM_FIYATLAR]])&lt;1,VALUE("0"),DST_123_ÜRETİM_İHTİYAÇ_RAPORU_BURAK_YENI1309[[#This Row],[SATINALMA]]*DST_123_ÜRETİM_İHTİYAÇ_RAPORU_BURAK_YENI1309[[#This Row],[BIRIM_FIYATLAR]])</f>
        <v>0</v>
      </c>
      <c r="N4034">
        <v>9.35</v>
      </c>
      <c r="O4034" t="s">
        <v>882</v>
      </c>
      <c r="P4034">
        <v>149.6</v>
      </c>
      <c r="Q4034" t="s">
        <v>180</v>
      </c>
    </row>
    <row r="4035" spans="1:17" x14ac:dyDescent="0.25">
      <c r="A4035" t="s">
        <v>1099</v>
      </c>
      <c r="B4035" t="s">
        <v>1055</v>
      </c>
      <c r="C4035" t="s">
        <v>175</v>
      </c>
      <c r="D4035" t="s">
        <v>448</v>
      </c>
      <c r="E4035" t="s">
        <v>449</v>
      </c>
      <c r="F4035">
        <v>2</v>
      </c>
      <c r="G4035" t="s">
        <v>176</v>
      </c>
      <c r="H4035">
        <v>0</v>
      </c>
      <c r="I4035">
        <v>27</v>
      </c>
      <c r="J4035" s="10">
        <v>16</v>
      </c>
      <c r="K4035" s="10">
        <f>SUMIFS(F:F,D:D,DST_123_ÜRETİM_İHTİYAÇ_RAPORU_BURAK_YENI1309[[#This Row],[ALT_KOD]])-(SUMIFS(H:H,D:D,DST_123_ÜRETİM_İHTİYAÇ_RAPORU_BURAK_YENI1309[[#This Row],[ALT_KOD]])+AVERAGEIFS(I:I,D:D,DST_123_ÜRETİM_İHTİYAÇ_RAPORU_BURAK_YENI1309[[#This Row],[ALT_KOD]])+AVERAGEIFS(L:L,D:D,DST_123_ÜRETİM_İHTİYAÇ_RAPORU_BURAK_YENI1309[[#This Row],[ALT_KOD]]))</f>
        <v>-3</v>
      </c>
      <c r="L4035">
        <v>0</v>
      </c>
      <c r="M4035">
        <f>IF((DST_123_ÜRETİM_İHTİYAÇ_RAPORU_BURAK_YENI1309[[#This Row],[SATINALMA]]*DST_123_ÜRETİM_İHTİYAÇ_RAPORU_BURAK_YENI1309[[#This Row],[BIRIM_FIYATLAR]])&lt;1,VALUE("0"),DST_123_ÜRETİM_İHTİYAÇ_RAPORU_BURAK_YENI1309[[#This Row],[SATINALMA]]*DST_123_ÜRETİM_İHTİYAÇ_RAPORU_BURAK_YENI1309[[#This Row],[BIRIM_FIYATLAR]])</f>
        <v>0</v>
      </c>
      <c r="N4035">
        <v>66.23</v>
      </c>
      <c r="O4035" t="s">
        <v>227</v>
      </c>
      <c r="P4035">
        <v>132.46</v>
      </c>
      <c r="Q4035" t="s">
        <v>221</v>
      </c>
    </row>
    <row r="4036" spans="1:17" x14ac:dyDescent="0.25">
      <c r="A4036" t="s">
        <v>1064</v>
      </c>
      <c r="B4036" t="s">
        <v>1055</v>
      </c>
      <c r="C4036" t="s">
        <v>175</v>
      </c>
      <c r="D4036" t="s">
        <v>1051</v>
      </c>
      <c r="E4036" t="s">
        <v>1052</v>
      </c>
      <c r="F4036">
        <v>1</v>
      </c>
      <c r="G4036" t="s">
        <v>176</v>
      </c>
      <c r="H4036">
        <v>1</v>
      </c>
      <c r="I4036">
        <v>2</v>
      </c>
      <c r="J4036" s="10">
        <v>7</v>
      </c>
      <c r="K4036" s="10">
        <f>SUMIFS(F:F,D:D,DST_123_ÜRETİM_İHTİYAÇ_RAPORU_BURAK_YENI1309[[#This Row],[ALT_KOD]])-(SUMIFS(H:H,D:D,DST_123_ÜRETİM_İHTİYAÇ_RAPORU_BURAK_YENI1309[[#This Row],[ALT_KOD]])+AVERAGEIFS(I:I,D:D,DST_123_ÜRETİM_İHTİYAÇ_RAPORU_BURAK_YENI1309[[#This Row],[ALT_KOD]])+AVERAGEIFS(L:L,D:D,DST_123_ÜRETİM_İHTİYAÇ_RAPORU_BURAK_YENI1309[[#This Row],[ALT_KOD]]))</f>
        <v>10</v>
      </c>
      <c r="L4036">
        <v>0</v>
      </c>
      <c r="M4036">
        <f>IF((DST_123_ÜRETİM_İHTİYAÇ_RAPORU_BURAK_YENI1309[[#This Row],[SATINALMA]]*DST_123_ÜRETİM_İHTİYAÇ_RAPORU_BURAK_YENI1309[[#This Row],[BIRIM_FIYATLAR]])&lt;1,VALUE("0"),DST_123_ÜRETİM_İHTİYAÇ_RAPORU_BURAK_YENI1309[[#This Row],[SATINALMA]]*DST_123_ÜRETİM_İHTİYAÇ_RAPORU_BURAK_YENI1309[[#This Row],[BIRIM_FIYATLAR]])</f>
        <v>121389.3</v>
      </c>
      <c r="N4036">
        <v>12138.93</v>
      </c>
      <c r="O4036" t="s">
        <v>634</v>
      </c>
      <c r="P4036">
        <v>12138.93</v>
      </c>
      <c r="Q4036" t="s">
        <v>177</v>
      </c>
    </row>
    <row r="4037" spans="1:17" x14ac:dyDescent="0.25">
      <c r="A4037" t="s">
        <v>1144</v>
      </c>
      <c r="B4037" t="s">
        <v>1145</v>
      </c>
      <c r="C4037" t="s">
        <v>175</v>
      </c>
      <c r="D4037" t="s">
        <v>448</v>
      </c>
      <c r="E4037" t="s">
        <v>449</v>
      </c>
      <c r="F4037">
        <v>2</v>
      </c>
      <c r="G4037" t="s">
        <v>176</v>
      </c>
      <c r="H4037">
        <v>0</v>
      </c>
      <c r="I4037">
        <v>27</v>
      </c>
      <c r="J4037" s="10">
        <v>16</v>
      </c>
      <c r="K4037" s="10">
        <f>SUMIFS(F:F,D:D,DST_123_ÜRETİM_İHTİYAÇ_RAPORU_BURAK_YENI1309[[#This Row],[ALT_KOD]])-(SUMIFS(H:H,D:D,DST_123_ÜRETİM_İHTİYAÇ_RAPORU_BURAK_YENI1309[[#This Row],[ALT_KOD]])+AVERAGEIFS(I:I,D:D,DST_123_ÜRETİM_İHTİYAÇ_RAPORU_BURAK_YENI1309[[#This Row],[ALT_KOD]])+AVERAGEIFS(L:L,D:D,DST_123_ÜRETİM_İHTİYAÇ_RAPORU_BURAK_YENI1309[[#This Row],[ALT_KOD]]))</f>
        <v>-3</v>
      </c>
      <c r="L4037">
        <v>0</v>
      </c>
      <c r="M4037">
        <f>IF((DST_123_ÜRETİM_İHTİYAÇ_RAPORU_BURAK_YENI1309[[#This Row],[SATINALMA]]*DST_123_ÜRETİM_İHTİYAÇ_RAPORU_BURAK_YENI1309[[#This Row],[BIRIM_FIYATLAR]])&lt;1,VALUE("0"),DST_123_ÜRETİM_İHTİYAÇ_RAPORU_BURAK_YENI1309[[#This Row],[SATINALMA]]*DST_123_ÜRETİM_İHTİYAÇ_RAPORU_BURAK_YENI1309[[#This Row],[BIRIM_FIYATLAR]])</f>
        <v>0</v>
      </c>
      <c r="N4037">
        <v>66.23</v>
      </c>
      <c r="O4037" t="s">
        <v>227</v>
      </c>
      <c r="P4037">
        <v>132.46</v>
      </c>
      <c r="Q4037" t="s">
        <v>221</v>
      </c>
    </row>
    <row r="4038" spans="1:17" x14ac:dyDescent="0.25">
      <c r="A4038" t="s">
        <v>1143</v>
      </c>
      <c r="B4038" t="s">
        <v>1056</v>
      </c>
      <c r="C4038" t="s">
        <v>175</v>
      </c>
      <c r="D4038" t="s">
        <v>480</v>
      </c>
      <c r="E4038" t="s">
        <v>481</v>
      </c>
      <c r="F4038">
        <v>35</v>
      </c>
      <c r="G4038" t="s">
        <v>176</v>
      </c>
      <c r="H4038">
        <v>0</v>
      </c>
      <c r="I4038">
        <v>442</v>
      </c>
      <c r="J4038" s="10">
        <v>0</v>
      </c>
      <c r="K4038" s="10">
        <f>SUMIFS(F:F,D:D,DST_123_ÜRETİM_İHTİYAÇ_RAPORU_BURAK_YENI1309[[#This Row],[ALT_KOD]])-(SUMIFS(H:H,D:D,DST_123_ÜRETİM_İHTİYAÇ_RAPORU_BURAK_YENI1309[[#This Row],[ALT_KOD]])+AVERAGEIFS(I:I,D:D,DST_123_ÜRETİM_İHTİYAÇ_RAPORU_BURAK_YENI1309[[#This Row],[ALT_KOD]])+AVERAGEIFS(L:L,D:D,DST_123_ÜRETİM_İHTİYAÇ_RAPORU_BURAK_YENI1309[[#This Row],[ALT_KOD]]))</f>
        <v>-64</v>
      </c>
      <c r="L4038">
        <v>0</v>
      </c>
      <c r="M4038">
        <f>IF((DST_123_ÜRETİM_İHTİYAÇ_RAPORU_BURAK_YENI1309[[#This Row],[SATINALMA]]*DST_123_ÜRETİM_İHTİYAÇ_RAPORU_BURAK_YENI1309[[#This Row],[BIRIM_FIYATLAR]])&lt;1,VALUE("0"),DST_123_ÜRETİM_İHTİYAÇ_RAPORU_BURAK_YENI1309[[#This Row],[SATINALMA]]*DST_123_ÜRETİM_İHTİYAÇ_RAPORU_BURAK_YENI1309[[#This Row],[BIRIM_FIYATLAR]])</f>
        <v>0</v>
      </c>
      <c r="N4038">
        <v>9.35</v>
      </c>
      <c r="O4038" t="s">
        <v>882</v>
      </c>
      <c r="P4038">
        <v>327.25</v>
      </c>
      <c r="Q4038" t="s">
        <v>180</v>
      </c>
    </row>
    <row r="4039" spans="1:17" x14ac:dyDescent="0.25">
      <c r="A4039" t="s">
        <v>1097</v>
      </c>
      <c r="B4039" t="s">
        <v>1055</v>
      </c>
      <c r="C4039" t="s">
        <v>175</v>
      </c>
      <c r="D4039" t="s">
        <v>480</v>
      </c>
      <c r="E4039" t="s">
        <v>481</v>
      </c>
      <c r="F4039">
        <v>35</v>
      </c>
      <c r="G4039" t="s">
        <v>176</v>
      </c>
      <c r="H4039">
        <v>0</v>
      </c>
      <c r="I4039">
        <v>442</v>
      </c>
      <c r="J4039" s="10">
        <v>0</v>
      </c>
      <c r="K4039" s="10">
        <f>SUMIFS(F:F,D:D,DST_123_ÜRETİM_İHTİYAÇ_RAPORU_BURAK_YENI1309[[#This Row],[ALT_KOD]])-(SUMIFS(H:H,D:D,DST_123_ÜRETİM_İHTİYAÇ_RAPORU_BURAK_YENI1309[[#This Row],[ALT_KOD]])+AVERAGEIFS(I:I,D:D,DST_123_ÜRETİM_İHTİYAÇ_RAPORU_BURAK_YENI1309[[#This Row],[ALT_KOD]])+AVERAGEIFS(L:L,D:D,DST_123_ÜRETİM_İHTİYAÇ_RAPORU_BURAK_YENI1309[[#This Row],[ALT_KOD]]))</f>
        <v>-64</v>
      </c>
      <c r="L4039">
        <v>0</v>
      </c>
      <c r="M4039">
        <f>IF((DST_123_ÜRETİM_İHTİYAÇ_RAPORU_BURAK_YENI1309[[#This Row],[SATINALMA]]*DST_123_ÜRETİM_İHTİYAÇ_RAPORU_BURAK_YENI1309[[#This Row],[BIRIM_FIYATLAR]])&lt;1,VALUE("0"),DST_123_ÜRETİM_İHTİYAÇ_RAPORU_BURAK_YENI1309[[#This Row],[SATINALMA]]*DST_123_ÜRETİM_İHTİYAÇ_RAPORU_BURAK_YENI1309[[#This Row],[BIRIM_FIYATLAR]])</f>
        <v>0</v>
      </c>
      <c r="N4039">
        <v>9.35</v>
      </c>
      <c r="O4039" t="s">
        <v>882</v>
      </c>
      <c r="P4039">
        <v>327.25</v>
      </c>
      <c r="Q4039" t="s">
        <v>180</v>
      </c>
    </row>
    <row r="4040" spans="1:17" x14ac:dyDescent="0.25">
      <c r="A4040" t="s">
        <v>1059</v>
      </c>
      <c r="B4040" t="s">
        <v>1058</v>
      </c>
      <c r="C4040" t="s">
        <v>175</v>
      </c>
      <c r="D4040" t="s">
        <v>448</v>
      </c>
      <c r="E4040" t="s">
        <v>449</v>
      </c>
      <c r="F4040">
        <v>2</v>
      </c>
      <c r="G4040" t="s">
        <v>176</v>
      </c>
      <c r="H4040">
        <v>2</v>
      </c>
      <c r="I4040">
        <v>27</v>
      </c>
      <c r="J4040" s="10">
        <v>16</v>
      </c>
      <c r="K4040" s="10">
        <f>SUMIFS(F:F,D:D,DST_123_ÜRETİM_İHTİYAÇ_RAPORU_BURAK_YENI1309[[#This Row],[ALT_KOD]])-(SUMIFS(H:H,D:D,DST_123_ÜRETİM_İHTİYAÇ_RAPORU_BURAK_YENI1309[[#This Row],[ALT_KOD]])+AVERAGEIFS(I:I,D:D,DST_123_ÜRETİM_İHTİYAÇ_RAPORU_BURAK_YENI1309[[#This Row],[ALT_KOD]])+AVERAGEIFS(L:L,D:D,DST_123_ÜRETİM_İHTİYAÇ_RAPORU_BURAK_YENI1309[[#This Row],[ALT_KOD]]))</f>
        <v>-3</v>
      </c>
      <c r="L4040">
        <v>0</v>
      </c>
      <c r="M4040">
        <f>IF((DST_123_ÜRETİM_İHTİYAÇ_RAPORU_BURAK_YENI1309[[#This Row],[SATINALMA]]*DST_123_ÜRETİM_İHTİYAÇ_RAPORU_BURAK_YENI1309[[#This Row],[BIRIM_FIYATLAR]])&lt;1,VALUE("0"),DST_123_ÜRETİM_İHTİYAÇ_RAPORU_BURAK_YENI1309[[#This Row],[SATINALMA]]*DST_123_ÜRETİM_İHTİYAÇ_RAPORU_BURAK_YENI1309[[#This Row],[BIRIM_FIYATLAR]])</f>
        <v>0</v>
      </c>
      <c r="N4040">
        <v>66.23</v>
      </c>
      <c r="O4040" t="s">
        <v>227</v>
      </c>
      <c r="P4040">
        <v>132.46</v>
      </c>
      <c r="Q4040" t="s">
        <v>221</v>
      </c>
    </row>
    <row r="4041" spans="1:17" x14ac:dyDescent="0.25">
      <c r="A4041" t="s">
        <v>1095</v>
      </c>
      <c r="B4041" t="s">
        <v>1096</v>
      </c>
      <c r="C4041" t="s">
        <v>175</v>
      </c>
      <c r="D4041" t="s">
        <v>970</v>
      </c>
      <c r="E4041" t="s">
        <v>971</v>
      </c>
      <c r="F4041">
        <v>0.6</v>
      </c>
      <c r="G4041" t="s">
        <v>182</v>
      </c>
      <c r="H4041">
        <v>0</v>
      </c>
      <c r="I4041">
        <v>0</v>
      </c>
      <c r="J4041" s="10">
        <v>30.76</v>
      </c>
      <c r="K4041" s="10">
        <f>SUMIFS(F:F,D:D,DST_123_ÜRETİM_İHTİYAÇ_RAPORU_BURAK_YENI1309[[#This Row],[ALT_KOD]])-(SUMIFS(H:H,D:D,DST_123_ÜRETİM_İHTİYAÇ_RAPORU_BURAK_YENI1309[[#This Row],[ALT_KOD]])+AVERAGEIFS(I:I,D:D,DST_123_ÜRETİM_İHTİYAÇ_RAPORU_BURAK_YENI1309[[#This Row],[ALT_KOD]])+AVERAGEIFS(L:L,D:D,DST_123_ÜRETİM_İHTİYAÇ_RAPORU_BURAK_YENI1309[[#This Row],[ALT_KOD]]))</f>
        <v>4.4400000000000004</v>
      </c>
      <c r="L4041">
        <v>0</v>
      </c>
      <c r="M4041">
        <f>IF((DST_123_ÜRETİM_İHTİYAÇ_RAPORU_BURAK_YENI1309[[#This Row],[SATINALMA]]*DST_123_ÜRETİM_İHTİYAÇ_RAPORU_BURAK_YENI1309[[#This Row],[BIRIM_FIYATLAR]])&lt;1,VALUE("0"),DST_123_ÜRETİM_İHTİYAÇ_RAPORU_BURAK_YENI1309[[#This Row],[SATINALMA]]*DST_123_ÜRETİM_İHTİYAÇ_RAPORU_BURAK_YENI1309[[#This Row],[BIRIM_FIYATLAR]])</f>
        <v>7762.0524000000005</v>
      </c>
      <c r="N4041">
        <v>1748.21</v>
      </c>
      <c r="O4041" t="s">
        <v>223</v>
      </c>
      <c r="P4041">
        <v>1048.9259999999999</v>
      </c>
      <c r="Q4041" t="s">
        <v>181</v>
      </c>
    </row>
    <row r="4042" spans="1:17" x14ac:dyDescent="0.25">
      <c r="A4042" t="s">
        <v>1142</v>
      </c>
      <c r="B4042" t="s">
        <v>1056</v>
      </c>
      <c r="C4042" t="s">
        <v>175</v>
      </c>
      <c r="D4042" t="s">
        <v>603</v>
      </c>
      <c r="E4042" t="s">
        <v>604</v>
      </c>
      <c r="F4042">
        <v>2</v>
      </c>
      <c r="G4042" t="s">
        <v>176</v>
      </c>
      <c r="H4042">
        <v>0</v>
      </c>
      <c r="I4042">
        <v>5</v>
      </c>
      <c r="J4042" s="10">
        <v>10</v>
      </c>
      <c r="K4042" s="10">
        <f>SUMIFS(F:F,D:D,DST_123_ÜRETİM_İHTİYAÇ_RAPORU_BURAK_YENI1309[[#This Row],[ALT_KOD]])-(SUMIFS(H:H,D:D,DST_123_ÜRETİM_İHTİYAÇ_RAPORU_BURAK_YENI1309[[#This Row],[ALT_KOD]])+AVERAGEIFS(I:I,D:D,DST_123_ÜRETİM_İHTİYAÇ_RAPORU_BURAK_YENI1309[[#This Row],[ALT_KOD]])+AVERAGEIFS(L:L,D:D,DST_123_ÜRETİM_İHTİYAÇ_RAPORU_BURAK_YENI1309[[#This Row],[ALT_KOD]]))</f>
        <v>11</v>
      </c>
      <c r="L4042">
        <v>0</v>
      </c>
      <c r="M4042">
        <f>IF((DST_123_ÜRETİM_İHTİYAÇ_RAPORU_BURAK_YENI1309[[#This Row],[SATINALMA]]*DST_123_ÜRETİM_İHTİYAÇ_RAPORU_BURAK_YENI1309[[#This Row],[BIRIM_FIYATLAR]])&lt;1,VALUE("0"),DST_123_ÜRETİM_İHTİYAÇ_RAPORU_BURAK_YENI1309[[#This Row],[SATINALMA]]*DST_123_ÜRETİM_İHTİYAÇ_RAPORU_BURAK_YENI1309[[#This Row],[BIRIM_FIYATLAR]])</f>
        <v>832.04</v>
      </c>
      <c r="N4042">
        <v>75.64</v>
      </c>
      <c r="O4042" t="s">
        <v>636</v>
      </c>
      <c r="P4042">
        <v>151.28</v>
      </c>
      <c r="Q4042" t="s">
        <v>177</v>
      </c>
    </row>
    <row r="4043" spans="1:17" x14ac:dyDescent="0.25">
      <c r="A4043" t="s">
        <v>1095</v>
      </c>
      <c r="B4043" t="s">
        <v>1096</v>
      </c>
      <c r="C4043" t="s">
        <v>175</v>
      </c>
      <c r="D4043" t="s">
        <v>732</v>
      </c>
      <c r="E4043" t="s">
        <v>733</v>
      </c>
      <c r="F4043">
        <v>18</v>
      </c>
      <c r="G4043" t="s">
        <v>185</v>
      </c>
      <c r="H4043">
        <v>0</v>
      </c>
      <c r="I4043">
        <v>0</v>
      </c>
      <c r="J4043" s="10">
        <v>62.999999999999986</v>
      </c>
      <c r="K4043" s="10">
        <f>SUMIFS(F:F,D:D,DST_123_ÜRETİM_İHTİYAÇ_RAPORU_BURAK_YENI1309[[#This Row],[ALT_KOD]])-(SUMIFS(H:H,D:D,DST_123_ÜRETİM_İHTİYAÇ_RAPORU_BURAK_YENI1309[[#This Row],[ALT_KOD]])+AVERAGEIFS(I:I,D:D,DST_123_ÜRETİM_İHTİYAÇ_RAPORU_BURAK_YENI1309[[#This Row],[ALT_KOD]])+AVERAGEIFS(L:L,D:D,DST_123_ÜRETİM_İHTİYAÇ_RAPORU_BURAK_YENI1309[[#This Row],[ALT_KOD]]))</f>
        <v>196</v>
      </c>
      <c r="L4043">
        <v>0</v>
      </c>
      <c r="M4043">
        <f>IF((DST_123_ÜRETİM_İHTİYAÇ_RAPORU_BURAK_YENI1309[[#This Row],[SATINALMA]]*DST_123_ÜRETİM_İHTİYAÇ_RAPORU_BURAK_YENI1309[[#This Row],[BIRIM_FIYATLAR]])&lt;1,VALUE("0"),DST_123_ÜRETİM_İHTİYAÇ_RAPORU_BURAK_YENI1309[[#This Row],[SATINALMA]]*DST_123_ÜRETİM_İHTİYAÇ_RAPORU_BURAK_YENI1309[[#This Row],[BIRIM_FIYATLAR]])</f>
        <v>215186.44000000003</v>
      </c>
      <c r="N4043">
        <v>1097.8900000000001</v>
      </c>
      <c r="O4043" t="s">
        <v>648</v>
      </c>
      <c r="P4043">
        <v>19762.02</v>
      </c>
      <c r="Q4043" t="s">
        <v>183</v>
      </c>
    </row>
    <row r="4044" spans="1:17" x14ac:dyDescent="0.25">
      <c r="A4044" t="s">
        <v>1097</v>
      </c>
      <c r="B4044" t="s">
        <v>1055</v>
      </c>
      <c r="C4044" t="s">
        <v>175</v>
      </c>
      <c r="D4044" t="s">
        <v>1067</v>
      </c>
      <c r="E4044" t="s">
        <v>1068</v>
      </c>
      <c r="F4044">
        <v>8</v>
      </c>
      <c r="G4044" t="s">
        <v>179</v>
      </c>
      <c r="H4044">
        <v>0</v>
      </c>
      <c r="I4044">
        <v>100</v>
      </c>
      <c r="J4044" s="10">
        <v>84</v>
      </c>
      <c r="K4044" s="10">
        <f>SUMIFS(F:F,D:D,DST_123_ÜRETİM_İHTİYAÇ_RAPORU_BURAK_YENI1309[[#This Row],[ALT_KOD]])-(SUMIFS(H:H,D:D,DST_123_ÜRETİM_İHTİYAÇ_RAPORU_BURAK_YENI1309[[#This Row],[ALT_KOD]])+AVERAGEIFS(I:I,D:D,DST_123_ÜRETİM_İHTİYAÇ_RAPORU_BURAK_YENI1309[[#This Row],[ALT_KOD]])+AVERAGEIFS(L:L,D:D,DST_123_ÜRETİM_İHTİYAÇ_RAPORU_BURAK_YENI1309[[#This Row],[ALT_KOD]]))</f>
        <v>-32</v>
      </c>
      <c r="L4044">
        <v>0</v>
      </c>
      <c r="M4044">
        <f>IF((DST_123_ÜRETİM_İHTİYAÇ_RAPORU_BURAK_YENI1309[[#This Row],[SATINALMA]]*DST_123_ÜRETİM_İHTİYAÇ_RAPORU_BURAK_YENI1309[[#This Row],[BIRIM_FIYATLAR]])&lt;1,VALUE("0"),DST_123_ÜRETİM_İHTİYAÇ_RAPORU_BURAK_YENI1309[[#This Row],[SATINALMA]]*DST_123_ÜRETİM_İHTİYAÇ_RAPORU_BURAK_YENI1309[[#This Row],[BIRIM_FIYATLAR]])</f>
        <v>0</v>
      </c>
      <c r="N4044">
        <v>14.85</v>
      </c>
      <c r="O4044" t="s">
        <v>826</v>
      </c>
      <c r="P4044">
        <v>118.8</v>
      </c>
      <c r="Q4044" t="s">
        <v>221</v>
      </c>
    </row>
    <row r="4045" spans="1:17" x14ac:dyDescent="0.25">
      <c r="A4045" t="s">
        <v>1142</v>
      </c>
      <c r="B4045" t="s">
        <v>1056</v>
      </c>
      <c r="C4045" t="s">
        <v>175</v>
      </c>
      <c r="D4045" t="s">
        <v>716</v>
      </c>
      <c r="E4045" t="s">
        <v>717</v>
      </c>
      <c r="F4045">
        <v>0.2</v>
      </c>
      <c r="G4045" t="s">
        <v>179</v>
      </c>
      <c r="H4045">
        <v>0</v>
      </c>
      <c r="I4045">
        <v>200</v>
      </c>
      <c r="J4045" s="10">
        <v>85.649999999999977</v>
      </c>
      <c r="K4045" s="10">
        <f>SUMIFS(F:F,D:D,DST_123_ÜRETİM_İHTİYAÇ_RAPORU_BURAK_YENI1309[[#This Row],[ALT_KOD]])-(SUMIFS(H:H,D:D,DST_123_ÜRETİM_İHTİYAÇ_RAPORU_BURAK_YENI1309[[#This Row],[ALT_KOD]])+AVERAGEIFS(I:I,D:D,DST_123_ÜRETİM_İHTİYAÇ_RAPORU_BURAK_YENI1309[[#This Row],[ALT_KOD]])+AVERAGEIFS(L:L,D:D,DST_123_ÜRETİM_İHTİYAÇ_RAPORU_BURAK_YENI1309[[#This Row],[ALT_KOD]]))</f>
        <v>-196.4</v>
      </c>
      <c r="L4045">
        <v>0</v>
      </c>
      <c r="M4045">
        <f>IF((DST_123_ÜRETİM_İHTİYAÇ_RAPORU_BURAK_YENI1309[[#This Row],[SATINALMA]]*DST_123_ÜRETİM_İHTİYAÇ_RAPORU_BURAK_YENI1309[[#This Row],[BIRIM_FIYATLAR]])&lt;1,VALUE("0"),DST_123_ÜRETİM_İHTİYAÇ_RAPORU_BURAK_YENI1309[[#This Row],[SATINALMA]]*DST_123_ÜRETİM_İHTİYAÇ_RAPORU_BURAK_YENI1309[[#This Row],[BIRIM_FIYATLAR]])</f>
        <v>0</v>
      </c>
      <c r="N4045">
        <v>3.62</v>
      </c>
      <c r="O4045" t="s">
        <v>826</v>
      </c>
      <c r="P4045">
        <v>0.72400000000000009</v>
      </c>
      <c r="Q4045" t="s">
        <v>221</v>
      </c>
    </row>
    <row r="4046" spans="1:17" x14ac:dyDescent="0.25">
      <c r="A4046" t="s">
        <v>1143</v>
      </c>
      <c r="B4046" t="s">
        <v>1056</v>
      </c>
      <c r="C4046" t="s">
        <v>175</v>
      </c>
      <c r="D4046" t="s">
        <v>716</v>
      </c>
      <c r="E4046" t="s">
        <v>717</v>
      </c>
      <c r="F4046">
        <v>0.2</v>
      </c>
      <c r="G4046" t="s">
        <v>179</v>
      </c>
      <c r="H4046">
        <v>0</v>
      </c>
      <c r="I4046">
        <v>200</v>
      </c>
      <c r="J4046" s="10">
        <v>85.649999999999977</v>
      </c>
      <c r="K4046" s="10">
        <f>SUMIFS(F:F,D:D,DST_123_ÜRETİM_İHTİYAÇ_RAPORU_BURAK_YENI1309[[#This Row],[ALT_KOD]])-(SUMIFS(H:H,D:D,DST_123_ÜRETİM_İHTİYAÇ_RAPORU_BURAK_YENI1309[[#This Row],[ALT_KOD]])+AVERAGEIFS(I:I,D:D,DST_123_ÜRETİM_İHTİYAÇ_RAPORU_BURAK_YENI1309[[#This Row],[ALT_KOD]])+AVERAGEIFS(L:L,D:D,DST_123_ÜRETİM_İHTİYAÇ_RAPORU_BURAK_YENI1309[[#This Row],[ALT_KOD]]))</f>
        <v>-196.4</v>
      </c>
      <c r="L4046">
        <v>0</v>
      </c>
      <c r="M4046">
        <f>IF((DST_123_ÜRETİM_İHTİYAÇ_RAPORU_BURAK_YENI1309[[#This Row],[SATINALMA]]*DST_123_ÜRETİM_İHTİYAÇ_RAPORU_BURAK_YENI1309[[#This Row],[BIRIM_FIYATLAR]])&lt;1,VALUE("0"),DST_123_ÜRETİM_İHTİYAÇ_RAPORU_BURAK_YENI1309[[#This Row],[SATINALMA]]*DST_123_ÜRETİM_İHTİYAÇ_RAPORU_BURAK_YENI1309[[#This Row],[BIRIM_FIYATLAR]])</f>
        <v>0</v>
      </c>
      <c r="N4046">
        <v>3.62</v>
      </c>
      <c r="O4046" t="s">
        <v>826</v>
      </c>
      <c r="P4046">
        <v>0.72400000000000009</v>
      </c>
      <c r="Q4046" t="s">
        <v>221</v>
      </c>
    </row>
    <row r="4047" spans="1:17" x14ac:dyDescent="0.25">
      <c r="A4047" t="s">
        <v>1097</v>
      </c>
      <c r="B4047" t="s">
        <v>1055</v>
      </c>
      <c r="C4047" t="s">
        <v>175</v>
      </c>
      <c r="D4047" t="s">
        <v>716</v>
      </c>
      <c r="E4047" t="s">
        <v>717</v>
      </c>
      <c r="F4047">
        <v>0.2</v>
      </c>
      <c r="G4047" t="s">
        <v>179</v>
      </c>
      <c r="H4047">
        <v>0</v>
      </c>
      <c r="I4047">
        <v>200</v>
      </c>
      <c r="J4047" s="10">
        <v>85.649999999999977</v>
      </c>
      <c r="K4047" s="10">
        <f>SUMIFS(F:F,D:D,DST_123_ÜRETİM_İHTİYAÇ_RAPORU_BURAK_YENI1309[[#This Row],[ALT_KOD]])-(SUMIFS(H:H,D:D,DST_123_ÜRETİM_İHTİYAÇ_RAPORU_BURAK_YENI1309[[#This Row],[ALT_KOD]])+AVERAGEIFS(I:I,D:D,DST_123_ÜRETİM_İHTİYAÇ_RAPORU_BURAK_YENI1309[[#This Row],[ALT_KOD]])+AVERAGEIFS(L:L,D:D,DST_123_ÜRETİM_İHTİYAÇ_RAPORU_BURAK_YENI1309[[#This Row],[ALT_KOD]]))</f>
        <v>-196.4</v>
      </c>
      <c r="L4047">
        <v>0</v>
      </c>
      <c r="M4047">
        <f>IF((DST_123_ÜRETİM_İHTİYAÇ_RAPORU_BURAK_YENI1309[[#This Row],[SATINALMA]]*DST_123_ÜRETİM_İHTİYAÇ_RAPORU_BURAK_YENI1309[[#This Row],[BIRIM_FIYATLAR]])&lt;1,VALUE("0"),DST_123_ÜRETİM_İHTİYAÇ_RAPORU_BURAK_YENI1309[[#This Row],[SATINALMA]]*DST_123_ÜRETİM_İHTİYAÇ_RAPORU_BURAK_YENI1309[[#This Row],[BIRIM_FIYATLAR]])</f>
        <v>0</v>
      </c>
      <c r="N4047">
        <v>3.62</v>
      </c>
      <c r="O4047" t="s">
        <v>826</v>
      </c>
      <c r="P4047">
        <v>0.72400000000000009</v>
      </c>
      <c r="Q4047" t="s">
        <v>221</v>
      </c>
    </row>
    <row r="4048" spans="1:17" x14ac:dyDescent="0.25">
      <c r="A4048" t="s">
        <v>1059</v>
      </c>
      <c r="B4048" t="s">
        <v>1058</v>
      </c>
      <c r="C4048" t="s">
        <v>175</v>
      </c>
      <c r="D4048" t="s">
        <v>502</v>
      </c>
      <c r="E4048" t="s">
        <v>503</v>
      </c>
      <c r="F4048">
        <v>2</v>
      </c>
      <c r="G4048" t="s">
        <v>176</v>
      </c>
      <c r="H4048">
        <v>0</v>
      </c>
      <c r="I4048">
        <v>115</v>
      </c>
      <c r="J4048" s="10">
        <v>2</v>
      </c>
      <c r="K4048" s="10">
        <f>SUMIFS(F:F,D:D,DST_123_ÜRETİM_İHTİYAÇ_RAPORU_BURAK_YENI1309[[#This Row],[ALT_KOD]])-(SUMIFS(H:H,D:D,DST_123_ÜRETİM_İHTİYAÇ_RAPORU_BURAK_YENI1309[[#This Row],[ALT_KOD]])+AVERAGEIFS(I:I,D:D,DST_123_ÜRETİM_İHTİYAÇ_RAPORU_BURAK_YENI1309[[#This Row],[ALT_KOD]])+AVERAGEIFS(L:L,D:D,DST_123_ÜRETİM_İHTİYAÇ_RAPORU_BURAK_YENI1309[[#This Row],[ALT_KOD]]))</f>
        <v>-77</v>
      </c>
      <c r="L4048">
        <v>0</v>
      </c>
      <c r="M4048">
        <f>IF((DST_123_ÜRETİM_İHTİYAÇ_RAPORU_BURAK_YENI1309[[#This Row],[SATINALMA]]*DST_123_ÜRETİM_İHTİYAÇ_RAPORU_BURAK_YENI1309[[#This Row],[BIRIM_FIYATLAR]])&lt;1,VALUE("0"),DST_123_ÜRETİM_İHTİYAÇ_RAPORU_BURAK_YENI1309[[#This Row],[SATINALMA]]*DST_123_ÜRETİM_İHTİYAÇ_RAPORU_BURAK_YENI1309[[#This Row],[BIRIM_FIYATLAR]])</f>
        <v>0</v>
      </c>
      <c r="N4048">
        <v>0.44</v>
      </c>
      <c r="O4048" t="s">
        <v>504</v>
      </c>
      <c r="P4048">
        <v>0.88</v>
      </c>
      <c r="Q4048" t="s">
        <v>221</v>
      </c>
    </row>
    <row r="4049" spans="1:17" x14ac:dyDescent="0.25">
      <c r="A4049" t="s">
        <v>1142</v>
      </c>
      <c r="B4049" t="s">
        <v>1056</v>
      </c>
      <c r="C4049" t="s">
        <v>175</v>
      </c>
      <c r="D4049" t="s">
        <v>986</v>
      </c>
      <c r="E4049" t="s">
        <v>987</v>
      </c>
      <c r="F4049">
        <v>2.5</v>
      </c>
      <c r="G4049" t="s">
        <v>185</v>
      </c>
      <c r="H4049">
        <v>0</v>
      </c>
      <c r="I4049">
        <v>139</v>
      </c>
      <c r="J4049" s="10">
        <v>45.499999999999943</v>
      </c>
      <c r="K4049" s="10">
        <f>SUMIFS(F:F,D:D,DST_123_ÜRETİM_İHTİYAÇ_RAPORU_BURAK_YENI1309[[#This Row],[ALT_KOD]])-(SUMIFS(H:H,D:D,DST_123_ÜRETİM_İHTİYAÇ_RAPORU_BURAK_YENI1309[[#This Row],[ALT_KOD]])+AVERAGEIFS(I:I,D:D,DST_123_ÜRETİM_İHTİYAÇ_RAPORU_BURAK_YENI1309[[#This Row],[ALT_KOD]])+AVERAGEIFS(L:L,D:D,DST_123_ÜRETİM_İHTİYAÇ_RAPORU_BURAK_YENI1309[[#This Row],[ALT_KOD]]))</f>
        <v>-124</v>
      </c>
      <c r="L4049">
        <v>0</v>
      </c>
      <c r="M4049">
        <f>IF((DST_123_ÜRETİM_İHTİYAÇ_RAPORU_BURAK_YENI1309[[#This Row],[SATINALMA]]*DST_123_ÜRETİM_İHTİYAÇ_RAPORU_BURAK_YENI1309[[#This Row],[BIRIM_FIYATLAR]])&lt;1,VALUE("0"),DST_123_ÜRETİM_İHTİYAÇ_RAPORU_BURAK_YENI1309[[#This Row],[SATINALMA]]*DST_123_ÜRETİM_İHTİYAÇ_RAPORU_BURAK_YENI1309[[#This Row],[BIRIM_FIYATLAR]])</f>
        <v>0</v>
      </c>
      <c r="N4049">
        <v>233.95</v>
      </c>
      <c r="O4049" t="s">
        <v>490</v>
      </c>
      <c r="P4049">
        <v>584.875</v>
      </c>
      <c r="Q4049" t="s">
        <v>183</v>
      </c>
    </row>
    <row r="4050" spans="1:17" x14ac:dyDescent="0.25">
      <c r="A4050" t="s">
        <v>1097</v>
      </c>
      <c r="B4050" t="s">
        <v>1055</v>
      </c>
      <c r="C4050" t="s">
        <v>175</v>
      </c>
      <c r="D4050" t="s">
        <v>510</v>
      </c>
      <c r="E4050" t="s">
        <v>511</v>
      </c>
      <c r="F4050">
        <v>2</v>
      </c>
      <c r="G4050" t="s">
        <v>176</v>
      </c>
      <c r="H4050">
        <v>0</v>
      </c>
      <c r="I4050">
        <v>0</v>
      </c>
      <c r="J4050" s="10">
        <v>14</v>
      </c>
      <c r="K4050" s="10">
        <f>SUMIFS(F:F,D:D,DST_123_ÜRETİM_İHTİYAÇ_RAPORU_BURAK_YENI1309[[#This Row],[ALT_KOD]])-(SUMIFS(H:H,D:D,DST_123_ÜRETİM_İHTİYAÇ_RAPORU_BURAK_YENI1309[[#This Row],[ALT_KOD]])+AVERAGEIFS(I:I,D:D,DST_123_ÜRETİM_İHTİYAÇ_RAPORU_BURAK_YENI1309[[#This Row],[ALT_KOD]])+AVERAGEIFS(L:L,D:D,DST_123_ÜRETİM_İHTİYAÇ_RAPORU_BURAK_YENI1309[[#This Row],[ALT_KOD]]))</f>
        <v>38</v>
      </c>
      <c r="L4050">
        <v>0</v>
      </c>
      <c r="M4050">
        <f>IF((DST_123_ÜRETİM_İHTİYAÇ_RAPORU_BURAK_YENI1309[[#This Row],[SATINALMA]]*DST_123_ÜRETİM_İHTİYAÇ_RAPORU_BURAK_YENI1309[[#This Row],[BIRIM_FIYATLAR]])&lt;1,VALUE("0"),DST_123_ÜRETİM_İHTİYAÇ_RAPORU_BURAK_YENI1309[[#This Row],[SATINALMA]]*DST_123_ÜRETİM_İHTİYAÇ_RAPORU_BURAK_YENI1309[[#This Row],[BIRIM_FIYATLAR]])</f>
        <v>261.06</v>
      </c>
      <c r="N4050">
        <v>6.87</v>
      </c>
      <c r="O4050" t="s">
        <v>826</v>
      </c>
      <c r="P4050">
        <v>13.74</v>
      </c>
      <c r="Q4050" t="s">
        <v>221</v>
      </c>
    </row>
    <row r="4051" spans="1:17" x14ac:dyDescent="0.25">
      <c r="A4051" t="s">
        <v>1143</v>
      </c>
      <c r="B4051" t="s">
        <v>1056</v>
      </c>
      <c r="C4051" t="s">
        <v>175</v>
      </c>
      <c r="D4051" t="s">
        <v>972</v>
      </c>
      <c r="E4051" t="s">
        <v>973</v>
      </c>
      <c r="F4051">
        <v>1</v>
      </c>
      <c r="G4051" t="s">
        <v>179</v>
      </c>
      <c r="H4051">
        <v>0</v>
      </c>
      <c r="I4051">
        <v>50</v>
      </c>
      <c r="J4051" s="10">
        <v>0</v>
      </c>
      <c r="K4051" s="10">
        <f>SUMIFS(F:F,D:D,DST_123_ÜRETİM_İHTİYAÇ_RAPORU_BURAK_YENI1309[[#This Row],[ALT_KOD]])-(SUMIFS(H:H,D:D,DST_123_ÜRETİM_İHTİYAÇ_RAPORU_BURAK_YENI1309[[#This Row],[ALT_KOD]])+AVERAGEIFS(I:I,D:D,DST_123_ÜRETİM_İHTİYAÇ_RAPORU_BURAK_YENI1309[[#This Row],[ALT_KOD]])+AVERAGEIFS(L:L,D:D,DST_123_ÜRETİM_İHTİYAÇ_RAPORU_BURAK_YENI1309[[#This Row],[ALT_KOD]]))</f>
        <v>-48</v>
      </c>
      <c r="L4051">
        <v>0</v>
      </c>
      <c r="M4051">
        <f>IF((DST_123_ÜRETİM_İHTİYAÇ_RAPORU_BURAK_YENI1309[[#This Row],[SATINALMA]]*DST_123_ÜRETİM_İHTİYAÇ_RAPORU_BURAK_YENI1309[[#This Row],[BIRIM_FIYATLAR]])&lt;1,VALUE("0"),DST_123_ÜRETİM_İHTİYAÇ_RAPORU_BURAK_YENI1309[[#This Row],[SATINALMA]]*DST_123_ÜRETİM_İHTİYAÇ_RAPORU_BURAK_YENI1309[[#This Row],[BIRIM_FIYATLAR]])</f>
        <v>0</v>
      </c>
      <c r="N4051">
        <v>180</v>
      </c>
      <c r="O4051" t="s">
        <v>314</v>
      </c>
      <c r="P4051">
        <v>180</v>
      </c>
      <c r="Q4051" t="s">
        <v>178</v>
      </c>
    </row>
    <row r="4052" spans="1:17" x14ac:dyDescent="0.25">
      <c r="A4052" t="s">
        <v>1059</v>
      </c>
      <c r="B4052" t="s">
        <v>1058</v>
      </c>
      <c r="C4052" t="s">
        <v>175</v>
      </c>
      <c r="D4052" t="s">
        <v>963</v>
      </c>
      <c r="E4052" t="s">
        <v>964</v>
      </c>
      <c r="F4052">
        <v>4</v>
      </c>
      <c r="G4052" t="s">
        <v>176</v>
      </c>
      <c r="H4052">
        <v>0</v>
      </c>
      <c r="I4052">
        <v>40</v>
      </c>
      <c r="J4052" s="10">
        <v>0</v>
      </c>
      <c r="K4052" s="10">
        <f>SUMIFS(F:F,D:D,DST_123_ÜRETİM_İHTİYAÇ_RAPORU_BURAK_YENI1309[[#This Row],[ALT_KOD]])-(SUMIFS(H:H,D:D,DST_123_ÜRETİM_İHTİYAÇ_RAPORU_BURAK_YENI1309[[#This Row],[ALT_KOD]])+AVERAGEIFS(I:I,D:D,DST_123_ÜRETİM_İHTİYAÇ_RAPORU_BURAK_YENI1309[[#This Row],[ALT_KOD]])+AVERAGEIFS(L:L,D:D,DST_123_ÜRETİM_İHTİYAÇ_RAPORU_BURAK_YENI1309[[#This Row],[ALT_KOD]]))</f>
        <v>-28</v>
      </c>
      <c r="L4052">
        <v>0</v>
      </c>
      <c r="M4052">
        <f>IF((DST_123_ÜRETİM_İHTİYAÇ_RAPORU_BURAK_YENI1309[[#This Row],[SATINALMA]]*DST_123_ÜRETİM_İHTİYAÇ_RAPORU_BURAK_YENI1309[[#This Row],[BIRIM_FIYATLAR]])&lt;1,VALUE("0"),DST_123_ÜRETİM_İHTİYAÇ_RAPORU_BURAK_YENI1309[[#This Row],[SATINALMA]]*DST_123_ÜRETİM_İHTİYAÇ_RAPORU_BURAK_YENI1309[[#This Row],[BIRIM_FIYATLAR]])</f>
        <v>0</v>
      </c>
      <c r="N4052">
        <v>33</v>
      </c>
      <c r="O4052" t="s">
        <v>226</v>
      </c>
      <c r="P4052">
        <v>132</v>
      </c>
      <c r="Q4052" t="s">
        <v>180</v>
      </c>
    </row>
    <row r="4053" spans="1:17" x14ac:dyDescent="0.25">
      <c r="A4053" t="s">
        <v>1143</v>
      </c>
      <c r="B4053" t="s">
        <v>1056</v>
      </c>
      <c r="C4053" t="s">
        <v>175</v>
      </c>
      <c r="D4053" t="s">
        <v>710</v>
      </c>
      <c r="E4053" t="s">
        <v>711</v>
      </c>
      <c r="F4053">
        <v>1</v>
      </c>
      <c r="G4053" t="s">
        <v>176</v>
      </c>
      <c r="H4053">
        <v>0</v>
      </c>
      <c r="I4053">
        <v>0</v>
      </c>
      <c r="J4053" s="10">
        <v>2</v>
      </c>
      <c r="K4053" s="10">
        <f>SUMIFS(F:F,D:D,DST_123_ÜRETİM_İHTİYAÇ_RAPORU_BURAK_YENI1309[[#This Row],[ALT_KOD]])-(SUMIFS(H:H,D:D,DST_123_ÜRETİM_İHTİYAÇ_RAPORU_BURAK_YENI1309[[#This Row],[ALT_KOD]])+AVERAGEIFS(I:I,D:D,DST_123_ÜRETİM_İHTİYAÇ_RAPORU_BURAK_YENI1309[[#This Row],[ALT_KOD]])+AVERAGEIFS(L:L,D:D,DST_123_ÜRETİM_İHTİYAÇ_RAPORU_BURAK_YENI1309[[#This Row],[ALT_KOD]]))</f>
        <v>8</v>
      </c>
      <c r="L4053">
        <v>0</v>
      </c>
      <c r="M4053">
        <f>IF((DST_123_ÜRETİM_İHTİYAÇ_RAPORU_BURAK_YENI1309[[#This Row],[SATINALMA]]*DST_123_ÜRETİM_İHTİYAÇ_RAPORU_BURAK_YENI1309[[#This Row],[BIRIM_FIYATLAR]])&lt;1,VALUE("0"),DST_123_ÜRETİM_İHTİYAÇ_RAPORU_BURAK_YENI1309[[#This Row],[SATINALMA]]*DST_123_ÜRETİM_İHTİYAÇ_RAPORU_BURAK_YENI1309[[#This Row],[BIRIM_FIYATLAR]])</f>
        <v>191760</v>
      </c>
      <c r="N4053">
        <v>23970</v>
      </c>
      <c r="O4053" t="s">
        <v>1195</v>
      </c>
      <c r="P4053">
        <v>23970</v>
      </c>
      <c r="Q4053" t="s">
        <v>177</v>
      </c>
    </row>
    <row r="4054" spans="1:17" x14ac:dyDescent="0.25">
      <c r="A4054" t="s">
        <v>1143</v>
      </c>
      <c r="B4054" t="s">
        <v>1056</v>
      </c>
      <c r="C4054" t="s">
        <v>175</v>
      </c>
      <c r="D4054" t="s">
        <v>984</v>
      </c>
      <c r="E4054" t="s">
        <v>985</v>
      </c>
      <c r="F4054">
        <v>1</v>
      </c>
      <c r="G4054" t="s">
        <v>176</v>
      </c>
      <c r="H4054">
        <v>0</v>
      </c>
      <c r="I4054">
        <v>4</v>
      </c>
      <c r="J4054" s="10">
        <v>1</v>
      </c>
      <c r="K4054" s="10">
        <f>SUMIFS(F:F,D:D,DST_123_ÜRETİM_İHTİYAÇ_RAPORU_BURAK_YENI1309[[#This Row],[ALT_KOD]])-(SUMIFS(H:H,D:D,DST_123_ÜRETİM_İHTİYAÇ_RAPORU_BURAK_YENI1309[[#This Row],[ALT_KOD]])+AVERAGEIFS(I:I,D:D,DST_123_ÜRETİM_İHTİYAÇ_RAPORU_BURAK_YENI1309[[#This Row],[ALT_KOD]])+AVERAGEIFS(L:L,D:D,DST_123_ÜRETİM_İHTİYAÇ_RAPORU_BURAK_YENI1309[[#This Row],[ALT_KOD]]))</f>
        <v>-3</v>
      </c>
      <c r="L4054">
        <v>0</v>
      </c>
      <c r="M4054">
        <f>IF((DST_123_ÜRETİM_İHTİYAÇ_RAPORU_BURAK_YENI1309[[#This Row],[SATINALMA]]*DST_123_ÜRETİM_İHTİYAÇ_RAPORU_BURAK_YENI1309[[#This Row],[BIRIM_FIYATLAR]])&lt;1,VALUE("0"),DST_123_ÜRETİM_İHTİYAÇ_RAPORU_BURAK_YENI1309[[#This Row],[SATINALMA]]*DST_123_ÜRETİM_İHTİYAÇ_RAPORU_BURAK_YENI1309[[#This Row],[BIRIM_FIYATLAR]])</f>
        <v>0</v>
      </c>
      <c r="N4054">
        <v>270</v>
      </c>
      <c r="O4054" t="s">
        <v>240</v>
      </c>
      <c r="P4054">
        <v>270</v>
      </c>
      <c r="Q4054" t="s">
        <v>183</v>
      </c>
    </row>
    <row r="4055" spans="1:17" x14ac:dyDescent="0.25">
      <c r="A4055" t="s">
        <v>1095</v>
      </c>
      <c r="B4055" t="s">
        <v>1096</v>
      </c>
      <c r="C4055" t="s">
        <v>175</v>
      </c>
      <c r="D4055" t="s">
        <v>429</v>
      </c>
      <c r="E4055" t="s">
        <v>430</v>
      </c>
      <c r="F4055">
        <v>1</v>
      </c>
      <c r="G4055" t="s">
        <v>176</v>
      </c>
      <c r="H4055">
        <v>0</v>
      </c>
      <c r="I4055">
        <v>10</v>
      </c>
      <c r="J4055" s="10">
        <v>5</v>
      </c>
      <c r="K4055" s="10">
        <f>SUMIFS(F:F,D:D,DST_123_ÜRETİM_İHTİYAÇ_RAPORU_BURAK_YENI1309[[#This Row],[ALT_KOD]])-(SUMIFS(H:H,D:D,DST_123_ÜRETİM_İHTİYAÇ_RAPORU_BURAK_YENI1309[[#This Row],[ALT_KOD]])+AVERAGEIFS(I:I,D:D,DST_123_ÜRETİM_İHTİYAÇ_RAPORU_BURAK_YENI1309[[#This Row],[ALT_KOD]])+AVERAGEIFS(L:L,D:D,DST_123_ÜRETİM_İHTİYAÇ_RAPORU_BURAK_YENI1309[[#This Row],[ALT_KOD]]))</f>
        <v>-6</v>
      </c>
      <c r="L4055">
        <v>0</v>
      </c>
      <c r="M4055">
        <f>IF((DST_123_ÜRETİM_İHTİYAÇ_RAPORU_BURAK_YENI1309[[#This Row],[SATINALMA]]*DST_123_ÜRETİM_İHTİYAÇ_RAPORU_BURAK_YENI1309[[#This Row],[BIRIM_FIYATLAR]])&lt;1,VALUE("0"),DST_123_ÜRETİM_İHTİYAÇ_RAPORU_BURAK_YENI1309[[#This Row],[SATINALMA]]*DST_123_ÜRETİM_İHTİYAÇ_RAPORU_BURAK_YENI1309[[#This Row],[BIRIM_FIYATLAR]])</f>
        <v>0</v>
      </c>
      <c r="N4055">
        <v>1679.53</v>
      </c>
      <c r="O4055" t="s">
        <v>636</v>
      </c>
      <c r="P4055">
        <v>1679.53</v>
      </c>
      <c r="Q4055" t="s">
        <v>178</v>
      </c>
    </row>
    <row r="4056" spans="1:17" x14ac:dyDescent="0.25">
      <c r="A4056" t="s">
        <v>1059</v>
      </c>
      <c r="B4056" t="s">
        <v>1058</v>
      </c>
      <c r="C4056" t="s">
        <v>175</v>
      </c>
      <c r="D4056" t="s">
        <v>347</v>
      </c>
      <c r="E4056" t="s">
        <v>348</v>
      </c>
      <c r="F4056">
        <v>0.5</v>
      </c>
      <c r="G4056" t="s">
        <v>176</v>
      </c>
      <c r="H4056">
        <v>0</v>
      </c>
      <c r="I4056">
        <v>2</v>
      </c>
      <c r="J4056" s="10">
        <v>-6.3837823915946501E-16</v>
      </c>
      <c r="K4056" s="10">
        <f>SUMIFS(F:F,D:D,DST_123_ÜRETİM_İHTİYAÇ_RAPORU_BURAK_YENI1309[[#This Row],[ALT_KOD]])-(SUMIFS(H:H,D:D,DST_123_ÜRETİM_İHTİYAÇ_RAPORU_BURAK_YENI1309[[#This Row],[ALT_KOD]])+AVERAGEIFS(I:I,D:D,DST_123_ÜRETİM_İHTİYAÇ_RAPORU_BURAK_YENI1309[[#This Row],[ALT_KOD]])+AVERAGEIFS(L:L,D:D,DST_123_ÜRETİM_İHTİYAÇ_RAPORU_BURAK_YENI1309[[#This Row],[ALT_KOD]]))</f>
        <v>1.4000000000000004</v>
      </c>
      <c r="L4056">
        <v>0</v>
      </c>
      <c r="M4056">
        <f>IF((DST_123_ÜRETİM_İHTİYAÇ_RAPORU_BURAK_YENI1309[[#This Row],[SATINALMA]]*DST_123_ÜRETİM_İHTİYAÇ_RAPORU_BURAK_YENI1309[[#This Row],[BIRIM_FIYATLAR]])&lt;1,VALUE("0"),DST_123_ÜRETİM_İHTİYAÇ_RAPORU_BURAK_YENI1309[[#This Row],[SATINALMA]]*DST_123_ÜRETİM_İHTİYAÇ_RAPORU_BURAK_YENI1309[[#This Row],[BIRIM_FIYATLAR]])</f>
        <v>3889.2000000000012</v>
      </c>
      <c r="N4056">
        <v>2778</v>
      </c>
      <c r="O4056" t="s">
        <v>217</v>
      </c>
      <c r="P4056">
        <v>1389</v>
      </c>
      <c r="Q4056" t="s">
        <v>183</v>
      </c>
    </row>
    <row r="4057" spans="1:17" x14ac:dyDescent="0.25">
      <c r="A4057" t="s">
        <v>1143</v>
      </c>
      <c r="B4057" t="s">
        <v>1056</v>
      </c>
      <c r="C4057" t="s">
        <v>175</v>
      </c>
      <c r="D4057" t="s">
        <v>347</v>
      </c>
      <c r="E4057" t="s">
        <v>348</v>
      </c>
      <c r="F4057">
        <v>0.1</v>
      </c>
      <c r="G4057" t="s">
        <v>176</v>
      </c>
      <c r="H4057">
        <v>0</v>
      </c>
      <c r="I4057">
        <v>2</v>
      </c>
      <c r="J4057" s="10">
        <v>-6.3837823915946501E-16</v>
      </c>
      <c r="K4057" s="10">
        <f>SUMIFS(F:F,D:D,DST_123_ÜRETİM_İHTİYAÇ_RAPORU_BURAK_YENI1309[[#This Row],[ALT_KOD]])-(SUMIFS(H:H,D:D,DST_123_ÜRETİM_İHTİYAÇ_RAPORU_BURAK_YENI1309[[#This Row],[ALT_KOD]])+AVERAGEIFS(I:I,D:D,DST_123_ÜRETİM_İHTİYAÇ_RAPORU_BURAK_YENI1309[[#This Row],[ALT_KOD]])+AVERAGEIFS(L:L,D:D,DST_123_ÜRETİM_İHTİYAÇ_RAPORU_BURAK_YENI1309[[#This Row],[ALT_KOD]]))</f>
        <v>1.4000000000000004</v>
      </c>
      <c r="L4057">
        <v>0</v>
      </c>
      <c r="M4057">
        <f>IF((DST_123_ÜRETİM_İHTİYAÇ_RAPORU_BURAK_YENI1309[[#This Row],[SATINALMA]]*DST_123_ÜRETİM_İHTİYAÇ_RAPORU_BURAK_YENI1309[[#This Row],[BIRIM_FIYATLAR]])&lt;1,VALUE("0"),DST_123_ÜRETİM_İHTİYAÇ_RAPORU_BURAK_YENI1309[[#This Row],[SATINALMA]]*DST_123_ÜRETİM_İHTİYAÇ_RAPORU_BURAK_YENI1309[[#This Row],[BIRIM_FIYATLAR]])</f>
        <v>3889.2000000000012</v>
      </c>
      <c r="N4057">
        <v>2778</v>
      </c>
      <c r="O4057" t="s">
        <v>217</v>
      </c>
      <c r="P4057">
        <v>277.8</v>
      </c>
      <c r="Q4057" t="s">
        <v>183</v>
      </c>
    </row>
    <row r="4058" spans="1:17" x14ac:dyDescent="0.25">
      <c r="A4058" t="s">
        <v>1143</v>
      </c>
      <c r="B4058" t="s">
        <v>1056</v>
      </c>
      <c r="C4058" t="s">
        <v>175</v>
      </c>
      <c r="D4058" t="s">
        <v>342</v>
      </c>
      <c r="E4058" t="s">
        <v>343</v>
      </c>
      <c r="F4058">
        <v>0.1</v>
      </c>
      <c r="G4058" t="s">
        <v>176</v>
      </c>
      <c r="H4058">
        <v>0</v>
      </c>
      <c r="I4058">
        <v>2</v>
      </c>
      <c r="J4058" s="10">
        <v>1.7763568394002505E-15</v>
      </c>
      <c r="K4058" s="10">
        <f>SUMIFS(F:F,D:D,DST_123_ÜRETİM_İHTİYAÇ_RAPORU_BURAK_YENI1309[[#This Row],[ALT_KOD]])-(SUMIFS(H:H,D:D,DST_123_ÜRETİM_İHTİYAÇ_RAPORU_BURAK_YENI1309[[#This Row],[ALT_KOD]])+AVERAGEIFS(I:I,D:D,DST_123_ÜRETİM_İHTİYAÇ_RAPORU_BURAK_YENI1309[[#This Row],[ALT_KOD]])+AVERAGEIFS(L:L,D:D,DST_123_ÜRETİM_İHTİYAÇ_RAPORU_BURAK_YENI1309[[#This Row],[ALT_KOD]]))</f>
        <v>-0.84999999999999964</v>
      </c>
      <c r="L4058">
        <v>0</v>
      </c>
      <c r="M4058">
        <f>IF((DST_123_ÜRETİM_İHTİYAÇ_RAPORU_BURAK_YENI1309[[#This Row],[SATINALMA]]*DST_123_ÜRETİM_İHTİYAÇ_RAPORU_BURAK_YENI1309[[#This Row],[BIRIM_FIYATLAR]])&lt;1,VALUE("0"),DST_123_ÜRETİM_İHTİYAÇ_RAPORU_BURAK_YENI1309[[#This Row],[SATINALMA]]*DST_123_ÜRETİM_İHTİYAÇ_RAPORU_BURAK_YENI1309[[#This Row],[BIRIM_FIYATLAR]])</f>
        <v>0</v>
      </c>
      <c r="N4058">
        <v>1400</v>
      </c>
      <c r="O4058" t="s">
        <v>217</v>
      </c>
      <c r="P4058">
        <v>140</v>
      </c>
      <c r="Q4058" t="s">
        <v>183</v>
      </c>
    </row>
    <row r="4059" spans="1:17" x14ac:dyDescent="0.25">
      <c r="A4059" t="s">
        <v>1095</v>
      </c>
      <c r="B4059" t="s">
        <v>1096</v>
      </c>
      <c r="C4059" t="s">
        <v>175</v>
      </c>
      <c r="D4059" t="s">
        <v>502</v>
      </c>
      <c r="E4059" t="s">
        <v>503</v>
      </c>
      <c r="F4059">
        <v>2</v>
      </c>
      <c r="G4059" t="s">
        <v>176</v>
      </c>
      <c r="H4059">
        <v>0</v>
      </c>
      <c r="I4059">
        <v>115</v>
      </c>
      <c r="J4059" s="10">
        <v>2</v>
      </c>
      <c r="K4059" s="10">
        <f>SUMIFS(F:F,D:D,DST_123_ÜRETİM_İHTİYAÇ_RAPORU_BURAK_YENI1309[[#This Row],[ALT_KOD]])-(SUMIFS(H:H,D:D,DST_123_ÜRETİM_İHTİYAÇ_RAPORU_BURAK_YENI1309[[#This Row],[ALT_KOD]])+AVERAGEIFS(I:I,D:D,DST_123_ÜRETİM_İHTİYAÇ_RAPORU_BURAK_YENI1309[[#This Row],[ALT_KOD]])+AVERAGEIFS(L:L,D:D,DST_123_ÜRETİM_İHTİYAÇ_RAPORU_BURAK_YENI1309[[#This Row],[ALT_KOD]]))</f>
        <v>-77</v>
      </c>
      <c r="L4059">
        <v>0</v>
      </c>
      <c r="M4059">
        <f>IF((DST_123_ÜRETİM_İHTİYAÇ_RAPORU_BURAK_YENI1309[[#This Row],[SATINALMA]]*DST_123_ÜRETİM_İHTİYAÇ_RAPORU_BURAK_YENI1309[[#This Row],[BIRIM_FIYATLAR]])&lt;1,VALUE("0"),DST_123_ÜRETİM_İHTİYAÇ_RAPORU_BURAK_YENI1309[[#This Row],[SATINALMA]]*DST_123_ÜRETİM_İHTİYAÇ_RAPORU_BURAK_YENI1309[[#This Row],[BIRIM_FIYATLAR]])</f>
        <v>0</v>
      </c>
      <c r="N4059">
        <v>0.44</v>
      </c>
      <c r="O4059" t="s">
        <v>504</v>
      </c>
      <c r="P4059">
        <v>0.88</v>
      </c>
      <c r="Q4059" t="s">
        <v>221</v>
      </c>
    </row>
    <row r="4060" spans="1:17" x14ac:dyDescent="0.25">
      <c r="A4060" t="s">
        <v>1143</v>
      </c>
      <c r="B4060" t="s">
        <v>1056</v>
      </c>
      <c r="C4060" t="s">
        <v>175</v>
      </c>
      <c r="D4060" t="s">
        <v>510</v>
      </c>
      <c r="E4060" t="s">
        <v>511</v>
      </c>
      <c r="F4060">
        <v>2</v>
      </c>
      <c r="G4060" t="s">
        <v>176</v>
      </c>
      <c r="H4060">
        <v>0</v>
      </c>
      <c r="I4060">
        <v>0</v>
      </c>
      <c r="J4060" s="10">
        <v>14</v>
      </c>
      <c r="K4060" s="10">
        <f>SUMIFS(F:F,D:D,DST_123_ÜRETİM_İHTİYAÇ_RAPORU_BURAK_YENI1309[[#This Row],[ALT_KOD]])-(SUMIFS(H:H,D:D,DST_123_ÜRETİM_İHTİYAÇ_RAPORU_BURAK_YENI1309[[#This Row],[ALT_KOD]])+AVERAGEIFS(I:I,D:D,DST_123_ÜRETİM_İHTİYAÇ_RAPORU_BURAK_YENI1309[[#This Row],[ALT_KOD]])+AVERAGEIFS(L:L,D:D,DST_123_ÜRETİM_İHTİYAÇ_RAPORU_BURAK_YENI1309[[#This Row],[ALT_KOD]]))</f>
        <v>38</v>
      </c>
      <c r="L4060">
        <v>0</v>
      </c>
      <c r="M4060">
        <f>IF((DST_123_ÜRETİM_İHTİYAÇ_RAPORU_BURAK_YENI1309[[#This Row],[SATINALMA]]*DST_123_ÜRETİM_İHTİYAÇ_RAPORU_BURAK_YENI1309[[#This Row],[BIRIM_FIYATLAR]])&lt;1,VALUE("0"),DST_123_ÜRETİM_İHTİYAÇ_RAPORU_BURAK_YENI1309[[#This Row],[SATINALMA]]*DST_123_ÜRETİM_İHTİYAÇ_RAPORU_BURAK_YENI1309[[#This Row],[BIRIM_FIYATLAR]])</f>
        <v>261.06</v>
      </c>
      <c r="N4060">
        <v>6.87</v>
      </c>
      <c r="O4060" t="s">
        <v>826</v>
      </c>
      <c r="P4060">
        <v>13.74</v>
      </c>
      <c r="Q4060" t="s">
        <v>221</v>
      </c>
    </row>
    <row r="4061" spans="1:17" x14ac:dyDescent="0.25">
      <c r="A4061" t="s">
        <v>1098</v>
      </c>
      <c r="B4061" t="s">
        <v>1096</v>
      </c>
      <c r="C4061" t="s">
        <v>175</v>
      </c>
      <c r="D4061" t="s">
        <v>236</v>
      </c>
      <c r="E4061" t="s">
        <v>305</v>
      </c>
      <c r="F4061">
        <v>2</v>
      </c>
      <c r="G4061" t="s">
        <v>176</v>
      </c>
      <c r="H4061">
        <v>0</v>
      </c>
      <c r="I4061">
        <v>452</v>
      </c>
      <c r="J4061" s="10">
        <v>25</v>
      </c>
      <c r="K4061" s="10">
        <f>SUMIFS(F:F,D:D,DST_123_ÜRETİM_İHTİYAÇ_RAPORU_BURAK_YENI1309[[#This Row],[ALT_KOD]])-(SUMIFS(H:H,D:D,DST_123_ÜRETİM_İHTİYAÇ_RAPORU_BURAK_YENI1309[[#This Row],[ALT_KOD]])+AVERAGEIFS(I:I,D:D,DST_123_ÜRETİM_İHTİYAÇ_RAPORU_BURAK_YENI1309[[#This Row],[ALT_KOD]])+AVERAGEIFS(L:L,D:D,DST_123_ÜRETİM_İHTİYAÇ_RAPORU_BURAK_YENI1309[[#This Row],[ALT_KOD]]))</f>
        <v>-428</v>
      </c>
      <c r="L4061">
        <v>0</v>
      </c>
      <c r="M4061">
        <f>IF((DST_123_ÜRETİM_İHTİYAÇ_RAPORU_BURAK_YENI1309[[#This Row],[SATINALMA]]*DST_123_ÜRETİM_İHTİYAÇ_RAPORU_BURAK_YENI1309[[#This Row],[BIRIM_FIYATLAR]])&lt;1,VALUE("0"),DST_123_ÜRETİM_İHTİYAÇ_RAPORU_BURAK_YENI1309[[#This Row],[SATINALMA]]*DST_123_ÜRETİM_İHTİYAÇ_RAPORU_BURAK_YENI1309[[#This Row],[BIRIM_FIYATLAR]])</f>
        <v>0</v>
      </c>
      <c r="N4061">
        <v>20</v>
      </c>
      <c r="P4061">
        <v>40</v>
      </c>
      <c r="Q4061" t="s">
        <v>221</v>
      </c>
    </row>
    <row r="4062" spans="1:17" x14ac:dyDescent="0.25">
      <c r="A4062" t="s">
        <v>1196</v>
      </c>
      <c r="B4062" t="s">
        <v>1197</v>
      </c>
      <c r="C4062" t="s">
        <v>175</v>
      </c>
      <c r="D4062" t="s">
        <v>800</v>
      </c>
      <c r="E4062" t="s">
        <v>801</v>
      </c>
      <c r="F4062">
        <v>3</v>
      </c>
      <c r="G4062" t="s">
        <v>176</v>
      </c>
      <c r="H4062">
        <v>0</v>
      </c>
      <c r="I4062">
        <v>400</v>
      </c>
      <c r="J4062" s="10">
        <v>0</v>
      </c>
      <c r="K4062" s="10">
        <f>SUMIFS(F:F,D:D,DST_123_ÜRETİM_İHTİYAÇ_RAPORU_BURAK_YENI1309[[#This Row],[ALT_KOD]])-(SUMIFS(H:H,D:D,DST_123_ÜRETİM_İHTİYAÇ_RAPORU_BURAK_YENI1309[[#This Row],[ALT_KOD]])+AVERAGEIFS(I:I,D:D,DST_123_ÜRETİM_İHTİYAÇ_RAPORU_BURAK_YENI1309[[#This Row],[ALT_KOD]])+AVERAGEIFS(L:L,D:D,DST_123_ÜRETİM_İHTİYAÇ_RAPORU_BURAK_YENI1309[[#This Row],[ALT_KOD]]))</f>
        <v>-388</v>
      </c>
      <c r="L4062">
        <v>0</v>
      </c>
      <c r="M4062">
        <f>IF((DST_123_ÜRETİM_İHTİYAÇ_RAPORU_BURAK_YENI1309[[#This Row],[SATINALMA]]*DST_123_ÜRETİM_İHTİYAÇ_RAPORU_BURAK_YENI1309[[#This Row],[BIRIM_FIYATLAR]])&lt;1,VALUE("0"),DST_123_ÜRETİM_İHTİYAÇ_RAPORU_BURAK_YENI1309[[#This Row],[SATINALMA]]*DST_123_ÜRETİM_İHTİYAÇ_RAPORU_BURAK_YENI1309[[#This Row],[BIRIM_FIYATLAR]])</f>
        <v>0</v>
      </c>
      <c r="N4062">
        <v>10</v>
      </c>
      <c r="O4062" t="s">
        <v>226</v>
      </c>
      <c r="P4062">
        <v>30</v>
      </c>
      <c r="Q4062" t="s">
        <v>180</v>
      </c>
    </row>
    <row r="4063" spans="1:17" x14ac:dyDescent="0.25">
      <c r="A4063" t="s">
        <v>1150</v>
      </c>
      <c r="B4063" t="s">
        <v>1145</v>
      </c>
      <c r="C4063" t="s">
        <v>175</v>
      </c>
      <c r="D4063" t="s">
        <v>689</v>
      </c>
      <c r="E4063" t="s">
        <v>690</v>
      </c>
      <c r="F4063">
        <v>1</v>
      </c>
      <c r="G4063" t="s">
        <v>176</v>
      </c>
      <c r="H4063">
        <v>0</v>
      </c>
      <c r="I4063">
        <v>23</v>
      </c>
      <c r="J4063" s="10">
        <v>5</v>
      </c>
      <c r="K4063" s="10">
        <f>SUMIFS(F:F,D:D,DST_123_ÜRETİM_İHTİYAÇ_RAPORU_BURAK_YENI1309[[#This Row],[ALT_KOD]])-(SUMIFS(H:H,D:D,DST_123_ÜRETİM_İHTİYAÇ_RAPORU_BURAK_YENI1309[[#This Row],[ALT_KOD]])+AVERAGEIFS(I:I,D:D,DST_123_ÜRETİM_İHTİYAÇ_RAPORU_BURAK_YENI1309[[#This Row],[ALT_KOD]])+AVERAGEIFS(L:L,D:D,DST_123_ÜRETİM_İHTİYAÇ_RAPORU_BURAK_YENI1309[[#This Row],[ALT_KOD]]))</f>
        <v>-12</v>
      </c>
      <c r="L4063">
        <v>0</v>
      </c>
      <c r="M4063">
        <f>IF((DST_123_ÜRETİM_İHTİYAÇ_RAPORU_BURAK_YENI1309[[#This Row],[SATINALMA]]*DST_123_ÜRETİM_İHTİYAÇ_RAPORU_BURAK_YENI1309[[#This Row],[BIRIM_FIYATLAR]])&lt;1,VALUE("0"),DST_123_ÜRETİM_İHTİYAÇ_RAPORU_BURAK_YENI1309[[#This Row],[SATINALMA]]*DST_123_ÜRETİM_İHTİYAÇ_RAPORU_BURAK_YENI1309[[#This Row],[BIRIM_FIYATLAR]])</f>
        <v>0</v>
      </c>
      <c r="N4063">
        <v>871.93</v>
      </c>
      <c r="O4063" t="s">
        <v>691</v>
      </c>
      <c r="P4063">
        <v>871.93</v>
      </c>
      <c r="Q4063" t="s">
        <v>177</v>
      </c>
    </row>
    <row r="4064" spans="1:17" x14ac:dyDescent="0.25">
      <c r="A4064" t="s">
        <v>1148</v>
      </c>
      <c r="B4064" t="s">
        <v>1056</v>
      </c>
      <c r="C4064" t="s">
        <v>175</v>
      </c>
      <c r="D4064" t="s">
        <v>560</v>
      </c>
      <c r="E4064" t="s">
        <v>561</v>
      </c>
      <c r="F4064">
        <v>1.5</v>
      </c>
      <c r="G4064" t="s">
        <v>176</v>
      </c>
      <c r="H4064">
        <v>0</v>
      </c>
      <c r="I4064">
        <v>272</v>
      </c>
      <c r="J4064" s="10">
        <v>4.2999999999999652</v>
      </c>
      <c r="K4064" s="10">
        <f>SUMIFS(F:F,D:D,DST_123_ÜRETİM_İHTİYAÇ_RAPORU_BURAK_YENI1309[[#This Row],[ALT_KOD]])-(SUMIFS(H:H,D:D,DST_123_ÜRETİM_İHTİYAÇ_RAPORU_BURAK_YENI1309[[#This Row],[ALT_KOD]])+AVERAGEIFS(I:I,D:D,DST_123_ÜRETİM_İHTİYAÇ_RAPORU_BURAK_YENI1309[[#This Row],[ALT_KOD]])+AVERAGEIFS(L:L,D:D,DST_123_ÜRETİM_İHTİYAÇ_RAPORU_BURAK_YENI1309[[#This Row],[ALT_KOD]]))</f>
        <v>-233.2</v>
      </c>
      <c r="L4064">
        <v>0</v>
      </c>
      <c r="M4064">
        <f>IF((DST_123_ÜRETİM_İHTİYAÇ_RAPORU_BURAK_YENI1309[[#This Row],[SATINALMA]]*DST_123_ÜRETİM_İHTİYAÇ_RAPORU_BURAK_YENI1309[[#This Row],[BIRIM_FIYATLAR]])&lt;1,VALUE("0"),DST_123_ÜRETİM_İHTİYAÇ_RAPORU_BURAK_YENI1309[[#This Row],[SATINALMA]]*DST_123_ÜRETİM_İHTİYAÇ_RAPORU_BURAK_YENI1309[[#This Row],[BIRIM_FIYATLAR]])</f>
        <v>0</v>
      </c>
      <c r="N4064">
        <v>30</v>
      </c>
      <c r="O4064" t="s">
        <v>240</v>
      </c>
      <c r="P4064">
        <v>45</v>
      </c>
      <c r="Q4064" t="s">
        <v>180</v>
      </c>
    </row>
    <row r="4065" spans="1:17" x14ac:dyDescent="0.25">
      <c r="A4065" t="s">
        <v>1060</v>
      </c>
      <c r="B4065" t="s">
        <v>1061</v>
      </c>
      <c r="C4065" t="s">
        <v>175</v>
      </c>
      <c r="D4065" t="s">
        <v>522</v>
      </c>
      <c r="E4065" t="s">
        <v>523</v>
      </c>
      <c r="F4065">
        <v>3</v>
      </c>
      <c r="G4065" t="s">
        <v>176</v>
      </c>
      <c r="H4065">
        <v>0</v>
      </c>
      <c r="I4065">
        <v>235</v>
      </c>
      <c r="J4065" s="10">
        <v>-7.460698725481052E-14</v>
      </c>
      <c r="K4065" s="10">
        <f>SUMIFS(F:F,D:D,DST_123_ÜRETİM_İHTİYAÇ_RAPORU_BURAK_YENI1309[[#This Row],[ALT_KOD]])-(SUMIFS(H:H,D:D,DST_123_ÜRETİM_İHTİYAÇ_RAPORU_BURAK_YENI1309[[#This Row],[ALT_KOD]])+AVERAGEIFS(I:I,D:D,DST_123_ÜRETİM_İHTİYAÇ_RAPORU_BURAK_YENI1309[[#This Row],[ALT_KOD]])+AVERAGEIFS(L:L,D:D,DST_123_ÜRETİM_İHTİYAÇ_RAPORU_BURAK_YENI1309[[#This Row],[ALT_KOD]]))</f>
        <v>-215.94</v>
      </c>
      <c r="L4065">
        <v>0</v>
      </c>
      <c r="M4065">
        <f>IF((DST_123_ÜRETİM_İHTİYAÇ_RAPORU_BURAK_YENI1309[[#This Row],[SATINALMA]]*DST_123_ÜRETİM_İHTİYAÇ_RAPORU_BURAK_YENI1309[[#This Row],[BIRIM_FIYATLAR]])&lt;1,VALUE("0"),DST_123_ÜRETİM_İHTİYAÇ_RAPORU_BURAK_YENI1309[[#This Row],[SATINALMA]]*DST_123_ÜRETİM_İHTİYAÇ_RAPORU_BURAK_YENI1309[[#This Row],[BIRIM_FIYATLAR]])</f>
        <v>0</v>
      </c>
      <c r="N4065">
        <v>15</v>
      </c>
      <c r="O4065" t="s">
        <v>226</v>
      </c>
      <c r="P4065">
        <v>45</v>
      </c>
      <c r="Q4065" t="s">
        <v>180</v>
      </c>
    </row>
    <row r="4066" spans="1:17" x14ac:dyDescent="0.25">
      <c r="A4066" t="s">
        <v>1147</v>
      </c>
      <c r="B4066" t="s">
        <v>1145</v>
      </c>
      <c r="C4066" t="s">
        <v>175</v>
      </c>
      <c r="D4066" t="s">
        <v>400</v>
      </c>
      <c r="E4066" t="s">
        <v>401</v>
      </c>
      <c r="F4066">
        <v>1</v>
      </c>
      <c r="G4066" t="s">
        <v>176</v>
      </c>
      <c r="H4066">
        <v>0</v>
      </c>
      <c r="I4066">
        <v>27</v>
      </c>
      <c r="J4066" s="10">
        <v>14</v>
      </c>
      <c r="K4066" s="10">
        <f>SUMIFS(F:F,D:D,DST_123_ÜRETİM_İHTİYAÇ_RAPORU_BURAK_YENI1309[[#This Row],[ALT_KOD]])-(SUMIFS(H:H,D:D,DST_123_ÜRETİM_İHTİYAÇ_RAPORU_BURAK_YENI1309[[#This Row],[ALT_KOD]])+AVERAGEIFS(I:I,D:D,DST_123_ÜRETİM_İHTİYAÇ_RAPORU_BURAK_YENI1309[[#This Row],[ALT_KOD]])+AVERAGEIFS(L:L,D:D,DST_123_ÜRETİM_İHTİYAÇ_RAPORU_BURAK_YENI1309[[#This Row],[ALT_KOD]]))</f>
        <v>-18</v>
      </c>
      <c r="L4066">
        <v>0</v>
      </c>
      <c r="M4066">
        <f>IF((DST_123_ÜRETİM_İHTİYAÇ_RAPORU_BURAK_YENI1309[[#This Row],[SATINALMA]]*DST_123_ÜRETİM_İHTİYAÇ_RAPORU_BURAK_YENI1309[[#This Row],[BIRIM_FIYATLAR]])&lt;1,VALUE("0"),DST_123_ÜRETİM_İHTİYAÇ_RAPORU_BURAK_YENI1309[[#This Row],[SATINALMA]]*DST_123_ÜRETİM_İHTİYAÇ_RAPORU_BURAK_YENI1309[[#This Row],[BIRIM_FIYATLAR]])</f>
        <v>0</v>
      </c>
      <c r="N4066">
        <v>15</v>
      </c>
      <c r="O4066" t="s">
        <v>220</v>
      </c>
      <c r="P4066">
        <v>15</v>
      </c>
      <c r="Q4066" t="s">
        <v>221</v>
      </c>
    </row>
    <row r="4067" spans="1:17" x14ac:dyDescent="0.25">
      <c r="A4067" t="s">
        <v>1147</v>
      </c>
      <c r="B4067" t="s">
        <v>1145</v>
      </c>
      <c r="C4067" t="s">
        <v>175</v>
      </c>
      <c r="D4067" t="s">
        <v>699</v>
      </c>
      <c r="E4067" t="s">
        <v>700</v>
      </c>
      <c r="F4067">
        <v>1</v>
      </c>
      <c r="G4067" t="s">
        <v>176</v>
      </c>
      <c r="H4067">
        <v>0</v>
      </c>
      <c r="I4067">
        <v>135</v>
      </c>
      <c r="J4067" s="10">
        <v>7</v>
      </c>
      <c r="K4067" s="10">
        <f>SUMIFS(F:F,D:D,DST_123_ÜRETİM_İHTİYAÇ_RAPORU_BURAK_YENI1309[[#This Row],[ALT_KOD]])-(SUMIFS(H:H,D:D,DST_123_ÜRETİM_İHTİYAÇ_RAPORU_BURAK_YENI1309[[#This Row],[ALT_KOD]])+AVERAGEIFS(I:I,D:D,DST_123_ÜRETİM_İHTİYAÇ_RAPORU_BURAK_YENI1309[[#This Row],[ALT_KOD]])+AVERAGEIFS(L:L,D:D,DST_123_ÜRETİM_İHTİYAÇ_RAPORU_BURAK_YENI1309[[#This Row],[ALT_KOD]]))</f>
        <v>-119</v>
      </c>
      <c r="L4067">
        <v>0</v>
      </c>
      <c r="M4067">
        <f>IF((DST_123_ÜRETİM_İHTİYAÇ_RAPORU_BURAK_YENI1309[[#This Row],[SATINALMA]]*DST_123_ÜRETİM_İHTİYAÇ_RAPORU_BURAK_YENI1309[[#This Row],[BIRIM_FIYATLAR]])&lt;1,VALUE("0"),DST_123_ÜRETİM_İHTİYAÇ_RAPORU_BURAK_YENI1309[[#This Row],[SATINALMA]]*DST_123_ÜRETİM_İHTİYAÇ_RAPORU_BURAK_YENI1309[[#This Row],[BIRIM_FIYATLAR]])</f>
        <v>0</v>
      </c>
      <c r="N4067">
        <v>39.6</v>
      </c>
      <c r="O4067" t="s">
        <v>220</v>
      </c>
      <c r="P4067">
        <v>39.6</v>
      </c>
      <c r="Q4067" t="s">
        <v>221</v>
      </c>
    </row>
    <row r="4068" spans="1:17" x14ac:dyDescent="0.25">
      <c r="A4068" t="s">
        <v>1148</v>
      </c>
      <c r="B4068" t="s">
        <v>1056</v>
      </c>
      <c r="C4068" t="s">
        <v>175</v>
      </c>
      <c r="D4068" t="s">
        <v>431</v>
      </c>
      <c r="E4068" t="s">
        <v>432</v>
      </c>
      <c r="F4068">
        <v>1</v>
      </c>
      <c r="G4068" t="s">
        <v>176</v>
      </c>
      <c r="H4068">
        <v>0</v>
      </c>
      <c r="I4068">
        <v>8</v>
      </c>
      <c r="J4068" s="10">
        <v>5</v>
      </c>
      <c r="K4068" s="10">
        <f>SUMIFS(F:F,D:D,DST_123_ÜRETİM_İHTİYAÇ_RAPORU_BURAK_YENI1309[[#This Row],[ALT_KOD]])-(SUMIFS(H:H,D:D,DST_123_ÜRETİM_İHTİYAÇ_RAPORU_BURAK_YENI1309[[#This Row],[ALT_KOD]])+AVERAGEIFS(I:I,D:D,DST_123_ÜRETİM_İHTİYAÇ_RAPORU_BURAK_YENI1309[[#This Row],[ALT_KOD]])+AVERAGEIFS(L:L,D:D,DST_123_ÜRETİM_İHTİYAÇ_RAPORU_BURAK_YENI1309[[#This Row],[ALT_KOD]]))</f>
        <v>-4</v>
      </c>
      <c r="L4068">
        <v>0</v>
      </c>
      <c r="M4068">
        <f>IF((DST_123_ÜRETİM_İHTİYAÇ_RAPORU_BURAK_YENI1309[[#This Row],[SATINALMA]]*DST_123_ÜRETİM_İHTİYAÇ_RAPORU_BURAK_YENI1309[[#This Row],[BIRIM_FIYATLAR]])&lt;1,VALUE("0"),DST_123_ÜRETİM_İHTİYAÇ_RAPORU_BURAK_YENI1309[[#This Row],[SATINALMA]]*DST_123_ÜRETİM_İHTİYAÇ_RAPORU_BURAK_YENI1309[[#This Row],[BIRIM_FIYATLAR]])</f>
        <v>0</v>
      </c>
      <c r="N4068">
        <v>1723.79</v>
      </c>
      <c r="O4068" t="s">
        <v>636</v>
      </c>
      <c r="P4068">
        <v>1723.79</v>
      </c>
      <c r="Q4068" t="s">
        <v>178</v>
      </c>
    </row>
    <row r="4069" spans="1:17" x14ac:dyDescent="0.25">
      <c r="A4069" t="s">
        <v>1060</v>
      </c>
      <c r="B4069" t="s">
        <v>1061</v>
      </c>
      <c r="C4069" t="s">
        <v>175</v>
      </c>
      <c r="D4069" t="s">
        <v>730</v>
      </c>
      <c r="E4069" t="s">
        <v>731</v>
      </c>
      <c r="F4069">
        <v>2</v>
      </c>
      <c r="G4069" t="s">
        <v>176</v>
      </c>
      <c r="H4069">
        <v>0</v>
      </c>
      <c r="I4069">
        <v>265</v>
      </c>
      <c r="J4069" s="10">
        <v>94</v>
      </c>
      <c r="K4069" s="10">
        <f>SUMIFS(F:F,D:D,DST_123_ÜRETİM_İHTİYAÇ_RAPORU_BURAK_YENI1309[[#This Row],[ALT_KOD]])-(SUMIFS(H:H,D:D,DST_123_ÜRETİM_İHTİYAÇ_RAPORU_BURAK_YENI1309[[#This Row],[ALT_KOD]])+AVERAGEIFS(I:I,D:D,DST_123_ÜRETİM_İHTİYAÇ_RAPORU_BURAK_YENI1309[[#This Row],[ALT_KOD]])+AVERAGEIFS(L:L,D:D,DST_123_ÜRETİM_İHTİYAÇ_RAPORU_BURAK_YENI1309[[#This Row],[ALT_KOD]]))</f>
        <v>-249</v>
      </c>
      <c r="L4069">
        <v>0</v>
      </c>
      <c r="M4069">
        <f>IF((DST_123_ÜRETİM_İHTİYAÇ_RAPORU_BURAK_YENI1309[[#This Row],[SATINALMA]]*DST_123_ÜRETİM_İHTİYAÇ_RAPORU_BURAK_YENI1309[[#This Row],[BIRIM_FIYATLAR]])&lt;1,VALUE("0"),DST_123_ÜRETİM_İHTİYAÇ_RAPORU_BURAK_YENI1309[[#This Row],[SATINALMA]]*DST_123_ÜRETİM_İHTİYAÇ_RAPORU_BURAK_YENI1309[[#This Row],[BIRIM_FIYATLAR]])</f>
        <v>0</v>
      </c>
      <c r="N4069">
        <v>4</v>
      </c>
      <c r="O4069" t="s">
        <v>220</v>
      </c>
      <c r="P4069">
        <v>8</v>
      </c>
      <c r="Q4069" t="s">
        <v>221</v>
      </c>
    </row>
    <row r="4070" spans="1:17" x14ac:dyDescent="0.25">
      <c r="A4070" t="s">
        <v>1147</v>
      </c>
      <c r="B4070" t="s">
        <v>1145</v>
      </c>
      <c r="C4070" t="s">
        <v>175</v>
      </c>
      <c r="D4070" t="s">
        <v>730</v>
      </c>
      <c r="E4070" t="s">
        <v>731</v>
      </c>
      <c r="F4070">
        <v>2</v>
      </c>
      <c r="G4070" t="s">
        <v>176</v>
      </c>
      <c r="H4070">
        <v>0</v>
      </c>
      <c r="I4070">
        <v>265</v>
      </c>
      <c r="J4070" s="10">
        <v>94</v>
      </c>
      <c r="K4070" s="10">
        <f>SUMIFS(F:F,D:D,DST_123_ÜRETİM_İHTİYAÇ_RAPORU_BURAK_YENI1309[[#This Row],[ALT_KOD]])-(SUMIFS(H:H,D:D,DST_123_ÜRETİM_İHTİYAÇ_RAPORU_BURAK_YENI1309[[#This Row],[ALT_KOD]])+AVERAGEIFS(I:I,D:D,DST_123_ÜRETİM_İHTİYAÇ_RAPORU_BURAK_YENI1309[[#This Row],[ALT_KOD]])+AVERAGEIFS(L:L,D:D,DST_123_ÜRETİM_İHTİYAÇ_RAPORU_BURAK_YENI1309[[#This Row],[ALT_KOD]]))</f>
        <v>-249</v>
      </c>
      <c r="L4070">
        <v>0</v>
      </c>
      <c r="M4070">
        <f>IF((DST_123_ÜRETİM_İHTİYAÇ_RAPORU_BURAK_YENI1309[[#This Row],[SATINALMA]]*DST_123_ÜRETİM_İHTİYAÇ_RAPORU_BURAK_YENI1309[[#This Row],[BIRIM_FIYATLAR]])&lt;1,VALUE("0"),DST_123_ÜRETİM_İHTİYAÇ_RAPORU_BURAK_YENI1309[[#This Row],[SATINALMA]]*DST_123_ÜRETİM_İHTİYAÇ_RAPORU_BURAK_YENI1309[[#This Row],[BIRIM_FIYATLAR]])</f>
        <v>0</v>
      </c>
      <c r="N4070">
        <v>4</v>
      </c>
      <c r="O4070" t="s">
        <v>220</v>
      </c>
      <c r="P4070">
        <v>8</v>
      </c>
      <c r="Q4070" t="s">
        <v>221</v>
      </c>
    </row>
    <row r="4071" spans="1:17" x14ac:dyDescent="0.25">
      <c r="A4071" t="s">
        <v>1148</v>
      </c>
      <c r="B4071" t="s">
        <v>1056</v>
      </c>
      <c r="C4071" t="s">
        <v>175</v>
      </c>
      <c r="D4071" t="s">
        <v>981</v>
      </c>
      <c r="E4071" t="s">
        <v>982</v>
      </c>
      <c r="F4071">
        <v>1</v>
      </c>
      <c r="G4071" t="s">
        <v>176</v>
      </c>
      <c r="H4071">
        <v>0</v>
      </c>
      <c r="I4071">
        <v>4</v>
      </c>
      <c r="J4071" s="10">
        <v>0</v>
      </c>
      <c r="K4071" s="10">
        <f>SUMIFS(F:F,D:D,DST_123_ÜRETİM_İHTİYAÇ_RAPORU_BURAK_YENI1309[[#This Row],[ALT_KOD]])-(SUMIFS(H:H,D:D,DST_123_ÜRETİM_İHTİYAÇ_RAPORU_BURAK_YENI1309[[#This Row],[ALT_KOD]])+AVERAGEIFS(I:I,D:D,DST_123_ÜRETİM_İHTİYAÇ_RAPORU_BURAK_YENI1309[[#This Row],[ALT_KOD]])+AVERAGEIFS(L:L,D:D,DST_123_ÜRETİM_İHTİYAÇ_RAPORU_BURAK_YENI1309[[#This Row],[ALT_KOD]]))</f>
        <v>-1</v>
      </c>
      <c r="L4071">
        <v>0</v>
      </c>
      <c r="M4071">
        <f>IF((DST_123_ÜRETİM_İHTİYAÇ_RAPORU_BURAK_YENI1309[[#This Row],[SATINALMA]]*DST_123_ÜRETİM_İHTİYAÇ_RAPORU_BURAK_YENI1309[[#This Row],[BIRIM_FIYATLAR]])&lt;1,VALUE("0"),DST_123_ÜRETİM_İHTİYAÇ_RAPORU_BURAK_YENI1309[[#This Row],[SATINALMA]]*DST_123_ÜRETİM_İHTİYAÇ_RAPORU_BURAK_YENI1309[[#This Row],[BIRIM_FIYATLAR]])</f>
        <v>0</v>
      </c>
      <c r="N4071">
        <v>3017.33</v>
      </c>
      <c r="O4071" t="s">
        <v>983</v>
      </c>
      <c r="P4071">
        <v>3017.33</v>
      </c>
      <c r="Q4071" t="s">
        <v>177</v>
      </c>
    </row>
    <row r="4072" spans="1:17" x14ac:dyDescent="0.25">
      <c r="A4072" t="s">
        <v>1060</v>
      </c>
      <c r="B4072" t="s">
        <v>1061</v>
      </c>
      <c r="C4072" t="s">
        <v>175</v>
      </c>
      <c r="D4072" t="s">
        <v>689</v>
      </c>
      <c r="E4072" t="s">
        <v>690</v>
      </c>
      <c r="F4072">
        <v>1</v>
      </c>
      <c r="G4072" t="s">
        <v>176</v>
      </c>
      <c r="H4072">
        <v>1</v>
      </c>
      <c r="I4072">
        <v>23</v>
      </c>
      <c r="J4072" s="10">
        <v>5</v>
      </c>
      <c r="K4072" s="10">
        <f>SUMIFS(F:F,D:D,DST_123_ÜRETİM_İHTİYAÇ_RAPORU_BURAK_YENI1309[[#This Row],[ALT_KOD]])-(SUMIFS(H:H,D:D,DST_123_ÜRETİM_İHTİYAÇ_RAPORU_BURAK_YENI1309[[#This Row],[ALT_KOD]])+AVERAGEIFS(I:I,D:D,DST_123_ÜRETİM_İHTİYAÇ_RAPORU_BURAK_YENI1309[[#This Row],[ALT_KOD]])+AVERAGEIFS(L:L,D:D,DST_123_ÜRETİM_İHTİYAÇ_RAPORU_BURAK_YENI1309[[#This Row],[ALT_KOD]]))</f>
        <v>-12</v>
      </c>
      <c r="L4072">
        <v>0</v>
      </c>
      <c r="M4072">
        <f>IF((DST_123_ÜRETİM_İHTİYAÇ_RAPORU_BURAK_YENI1309[[#This Row],[SATINALMA]]*DST_123_ÜRETİM_İHTİYAÇ_RAPORU_BURAK_YENI1309[[#This Row],[BIRIM_FIYATLAR]])&lt;1,VALUE("0"),DST_123_ÜRETİM_İHTİYAÇ_RAPORU_BURAK_YENI1309[[#This Row],[SATINALMA]]*DST_123_ÜRETİM_İHTİYAÇ_RAPORU_BURAK_YENI1309[[#This Row],[BIRIM_FIYATLAR]])</f>
        <v>0</v>
      </c>
      <c r="N4072">
        <v>871.93</v>
      </c>
      <c r="O4072" t="s">
        <v>691</v>
      </c>
      <c r="P4072">
        <v>871.93</v>
      </c>
      <c r="Q4072" t="s">
        <v>177</v>
      </c>
    </row>
    <row r="4073" spans="1:17" x14ac:dyDescent="0.25">
      <c r="A4073" t="s">
        <v>1148</v>
      </c>
      <c r="B4073" t="s">
        <v>1056</v>
      </c>
      <c r="C4073" t="s">
        <v>175</v>
      </c>
      <c r="D4073" t="s">
        <v>689</v>
      </c>
      <c r="E4073" t="s">
        <v>690</v>
      </c>
      <c r="F4073">
        <v>1</v>
      </c>
      <c r="G4073" t="s">
        <v>176</v>
      </c>
      <c r="H4073">
        <v>0</v>
      </c>
      <c r="I4073">
        <v>23</v>
      </c>
      <c r="J4073" s="10">
        <v>5</v>
      </c>
      <c r="K4073" s="10">
        <f>SUMIFS(F:F,D:D,DST_123_ÜRETİM_İHTİYAÇ_RAPORU_BURAK_YENI1309[[#This Row],[ALT_KOD]])-(SUMIFS(H:H,D:D,DST_123_ÜRETİM_İHTİYAÇ_RAPORU_BURAK_YENI1309[[#This Row],[ALT_KOD]])+AVERAGEIFS(I:I,D:D,DST_123_ÜRETİM_İHTİYAÇ_RAPORU_BURAK_YENI1309[[#This Row],[ALT_KOD]])+AVERAGEIFS(L:L,D:D,DST_123_ÜRETİM_İHTİYAÇ_RAPORU_BURAK_YENI1309[[#This Row],[ALT_KOD]]))</f>
        <v>-12</v>
      </c>
      <c r="L4073">
        <v>0</v>
      </c>
      <c r="M4073">
        <f>IF((DST_123_ÜRETİM_İHTİYAÇ_RAPORU_BURAK_YENI1309[[#This Row],[SATINALMA]]*DST_123_ÜRETİM_İHTİYAÇ_RAPORU_BURAK_YENI1309[[#This Row],[BIRIM_FIYATLAR]])&lt;1,VALUE("0"),DST_123_ÜRETİM_İHTİYAÇ_RAPORU_BURAK_YENI1309[[#This Row],[SATINALMA]]*DST_123_ÜRETİM_İHTİYAÇ_RAPORU_BURAK_YENI1309[[#This Row],[BIRIM_FIYATLAR]])</f>
        <v>0</v>
      </c>
      <c r="N4073">
        <v>871.93</v>
      </c>
      <c r="O4073" t="s">
        <v>691</v>
      </c>
      <c r="P4073">
        <v>871.93</v>
      </c>
      <c r="Q4073" t="s">
        <v>177</v>
      </c>
    </row>
    <row r="4074" spans="1:17" x14ac:dyDescent="0.25">
      <c r="A4074" t="s">
        <v>1149</v>
      </c>
      <c r="B4074" t="s">
        <v>1145</v>
      </c>
      <c r="C4074" t="s">
        <v>175</v>
      </c>
      <c r="D4074" t="s">
        <v>400</v>
      </c>
      <c r="E4074" t="s">
        <v>401</v>
      </c>
      <c r="F4074">
        <v>1</v>
      </c>
      <c r="G4074" t="s">
        <v>176</v>
      </c>
      <c r="H4074">
        <v>0</v>
      </c>
      <c r="I4074">
        <v>27</v>
      </c>
      <c r="J4074" s="10">
        <v>14</v>
      </c>
      <c r="K4074" s="10">
        <f>SUMIFS(F:F,D:D,DST_123_ÜRETİM_İHTİYAÇ_RAPORU_BURAK_YENI1309[[#This Row],[ALT_KOD]])-(SUMIFS(H:H,D:D,DST_123_ÜRETİM_İHTİYAÇ_RAPORU_BURAK_YENI1309[[#This Row],[ALT_KOD]])+AVERAGEIFS(I:I,D:D,DST_123_ÜRETİM_İHTİYAÇ_RAPORU_BURAK_YENI1309[[#This Row],[ALT_KOD]])+AVERAGEIFS(L:L,D:D,DST_123_ÜRETİM_İHTİYAÇ_RAPORU_BURAK_YENI1309[[#This Row],[ALT_KOD]]))</f>
        <v>-18</v>
      </c>
      <c r="L4074">
        <v>0</v>
      </c>
      <c r="M4074">
        <f>IF((DST_123_ÜRETİM_İHTİYAÇ_RAPORU_BURAK_YENI1309[[#This Row],[SATINALMA]]*DST_123_ÜRETİM_İHTİYAÇ_RAPORU_BURAK_YENI1309[[#This Row],[BIRIM_FIYATLAR]])&lt;1,VALUE("0"),DST_123_ÜRETİM_İHTİYAÇ_RAPORU_BURAK_YENI1309[[#This Row],[SATINALMA]]*DST_123_ÜRETİM_İHTİYAÇ_RAPORU_BURAK_YENI1309[[#This Row],[BIRIM_FIYATLAR]])</f>
        <v>0</v>
      </c>
      <c r="N4074">
        <v>15</v>
      </c>
      <c r="O4074" t="s">
        <v>220</v>
      </c>
      <c r="P4074">
        <v>15</v>
      </c>
      <c r="Q4074" t="s">
        <v>221</v>
      </c>
    </row>
    <row r="4075" spans="1:17" x14ac:dyDescent="0.25">
      <c r="A4075" t="s">
        <v>1144</v>
      </c>
      <c r="B4075" t="s">
        <v>1145</v>
      </c>
      <c r="C4075" t="s">
        <v>175</v>
      </c>
      <c r="D4075" t="s">
        <v>400</v>
      </c>
      <c r="E4075" t="s">
        <v>401</v>
      </c>
      <c r="F4075">
        <v>1</v>
      </c>
      <c r="G4075" t="s">
        <v>176</v>
      </c>
      <c r="H4075">
        <v>0</v>
      </c>
      <c r="I4075">
        <v>27</v>
      </c>
      <c r="J4075" s="10">
        <v>14</v>
      </c>
      <c r="K4075" s="10">
        <f>SUMIFS(F:F,D:D,DST_123_ÜRETİM_İHTİYAÇ_RAPORU_BURAK_YENI1309[[#This Row],[ALT_KOD]])-(SUMIFS(H:H,D:D,DST_123_ÜRETİM_İHTİYAÇ_RAPORU_BURAK_YENI1309[[#This Row],[ALT_KOD]])+AVERAGEIFS(I:I,D:D,DST_123_ÜRETİM_İHTİYAÇ_RAPORU_BURAK_YENI1309[[#This Row],[ALT_KOD]])+AVERAGEIFS(L:L,D:D,DST_123_ÜRETİM_İHTİYAÇ_RAPORU_BURAK_YENI1309[[#This Row],[ALT_KOD]]))</f>
        <v>-18</v>
      </c>
      <c r="L4075">
        <v>0</v>
      </c>
      <c r="M4075">
        <f>IF((DST_123_ÜRETİM_İHTİYAÇ_RAPORU_BURAK_YENI1309[[#This Row],[SATINALMA]]*DST_123_ÜRETİM_İHTİYAÇ_RAPORU_BURAK_YENI1309[[#This Row],[BIRIM_FIYATLAR]])&lt;1,VALUE("0"),DST_123_ÜRETİM_İHTİYAÇ_RAPORU_BURAK_YENI1309[[#This Row],[SATINALMA]]*DST_123_ÜRETİM_İHTİYAÇ_RAPORU_BURAK_YENI1309[[#This Row],[BIRIM_FIYATLAR]])</f>
        <v>0</v>
      </c>
      <c r="N4075">
        <v>15</v>
      </c>
      <c r="O4075" t="s">
        <v>220</v>
      </c>
      <c r="P4075">
        <v>15</v>
      </c>
      <c r="Q4075" t="s">
        <v>221</v>
      </c>
    </row>
    <row r="4076" spans="1:17" x14ac:dyDescent="0.25">
      <c r="A4076" t="s">
        <v>1144</v>
      </c>
      <c r="B4076" t="s">
        <v>1145</v>
      </c>
      <c r="C4076" t="s">
        <v>175</v>
      </c>
      <c r="D4076" t="s">
        <v>699</v>
      </c>
      <c r="E4076" t="s">
        <v>700</v>
      </c>
      <c r="F4076">
        <v>1</v>
      </c>
      <c r="G4076" t="s">
        <v>176</v>
      </c>
      <c r="H4076">
        <v>0</v>
      </c>
      <c r="I4076">
        <v>135</v>
      </c>
      <c r="J4076" s="10">
        <v>7</v>
      </c>
      <c r="K4076" s="10">
        <f>SUMIFS(F:F,D:D,DST_123_ÜRETİM_İHTİYAÇ_RAPORU_BURAK_YENI1309[[#This Row],[ALT_KOD]])-(SUMIFS(H:H,D:D,DST_123_ÜRETİM_İHTİYAÇ_RAPORU_BURAK_YENI1309[[#This Row],[ALT_KOD]])+AVERAGEIFS(I:I,D:D,DST_123_ÜRETİM_İHTİYAÇ_RAPORU_BURAK_YENI1309[[#This Row],[ALT_KOD]])+AVERAGEIFS(L:L,D:D,DST_123_ÜRETİM_İHTİYAÇ_RAPORU_BURAK_YENI1309[[#This Row],[ALT_KOD]]))</f>
        <v>-119</v>
      </c>
      <c r="L4076">
        <v>0</v>
      </c>
      <c r="M4076">
        <f>IF((DST_123_ÜRETİM_İHTİYAÇ_RAPORU_BURAK_YENI1309[[#This Row],[SATINALMA]]*DST_123_ÜRETİM_İHTİYAÇ_RAPORU_BURAK_YENI1309[[#This Row],[BIRIM_FIYATLAR]])&lt;1,VALUE("0"),DST_123_ÜRETİM_İHTİYAÇ_RAPORU_BURAK_YENI1309[[#This Row],[SATINALMA]]*DST_123_ÜRETİM_İHTİYAÇ_RAPORU_BURAK_YENI1309[[#This Row],[BIRIM_FIYATLAR]])</f>
        <v>0</v>
      </c>
      <c r="N4076">
        <v>39.6</v>
      </c>
      <c r="O4076" t="s">
        <v>220</v>
      </c>
      <c r="P4076">
        <v>39.6</v>
      </c>
      <c r="Q4076" t="s">
        <v>221</v>
      </c>
    </row>
    <row r="4077" spans="1:17" x14ac:dyDescent="0.25">
      <c r="A4077" t="s">
        <v>1146</v>
      </c>
      <c r="B4077" t="s">
        <v>1145</v>
      </c>
      <c r="C4077" t="s">
        <v>175</v>
      </c>
      <c r="D4077" t="s">
        <v>699</v>
      </c>
      <c r="E4077" t="s">
        <v>700</v>
      </c>
      <c r="F4077">
        <v>1</v>
      </c>
      <c r="G4077" t="s">
        <v>176</v>
      </c>
      <c r="H4077">
        <v>0</v>
      </c>
      <c r="I4077">
        <v>135</v>
      </c>
      <c r="J4077" s="10">
        <v>7</v>
      </c>
      <c r="K4077" s="10">
        <f>SUMIFS(F:F,D:D,DST_123_ÜRETİM_İHTİYAÇ_RAPORU_BURAK_YENI1309[[#This Row],[ALT_KOD]])-(SUMIFS(H:H,D:D,DST_123_ÜRETİM_İHTİYAÇ_RAPORU_BURAK_YENI1309[[#This Row],[ALT_KOD]])+AVERAGEIFS(I:I,D:D,DST_123_ÜRETİM_İHTİYAÇ_RAPORU_BURAK_YENI1309[[#This Row],[ALT_KOD]])+AVERAGEIFS(L:L,D:D,DST_123_ÜRETİM_İHTİYAÇ_RAPORU_BURAK_YENI1309[[#This Row],[ALT_KOD]]))</f>
        <v>-119</v>
      </c>
      <c r="L4077">
        <v>0</v>
      </c>
      <c r="M4077">
        <f>IF((DST_123_ÜRETİM_İHTİYAÇ_RAPORU_BURAK_YENI1309[[#This Row],[SATINALMA]]*DST_123_ÜRETİM_İHTİYAÇ_RAPORU_BURAK_YENI1309[[#This Row],[BIRIM_FIYATLAR]])&lt;1,VALUE("0"),DST_123_ÜRETİM_İHTİYAÇ_RAPORU_BURAK_YENI1309[[#This Row],[SATINALMA]]*DST_123_ÜRETİM_İHTİYAÇ_RAPORU_BURAK_YENI1309[[#This Row],[BIRIM_FIYATLAR]])</f>
        <v>0</v>
      </c>
      <c r="N4077">
        <v>39.6</v>
      </c>
      <c r="O4077" t="s">
        <v>220</v>
      </c>
      <c r="P4077">
        <v>39.6</v>
      </c>
      <c r="Q4077" t="s">
        <v>221</v>
      </c>
    </row>
    <row r="4078" spans="1:17" x14ac:dyDescent="0.25">
      <c r="A4078" t="s">
        <v>1146</v>
      </c>
      <c r="B4078" t="s">
        <v>1145</v>
      </c>
      <c r="C4078" t="s">
        <v>175</v>
      </c>
      <c r="D4078" t="s">
        <v>276</v>
      </c>
      <c r="E4078" t="s">
        <v>315</v>
      </c>
      <c r="F4078">
        <v>1</v>
      </c>
      <c r="G4078" t="s">
        <v>176</v>
      </c>
      <c r="H4078">
        <v>0</v>
      </c>
      <c r="I4078">
        <v>28</v>
      </c>
      <c r="J4078" s="10">
        <v>4</v>
      </c>
      <c r="K4078" s="10">
        <f>SUMIFS(F:F,D:D,DST_123_ÜRETİM_İHTİYAÇ_RAPORU_BURAK_YENI1309[[#This Row],[ALT_KOD]])-(SUMIFS(H:H,D:D,DST_123_ÜRETİM_İHTİYAÇ_RAPORU_BURAK_YENI1309[[#This Row],[ALT_KOD]])+AVERAGEIFS(I:I,D:D,DST_123_ÜRETİM_İHTİYAÇ_RAPORU_BURAK_YENI1309[[#This Row],[ALT_KOD]])+AVERAGEIFS(L:L,D:D,DST_123_ÜRETİM_İHTİYAÇ_RAPORU_BURAK_YENI1309[[#This Row],[ALT_KOD]]))</f>
        <v>-21</v>
      </c>
      <c r="L4078">
        <v>0</v>
      </c>
      <c r="M4078">
        <f>IF((DST_123_ÜRETİM_İHTİYAÇ_RAPORU_BURAK_YENI1309[[#This Row],[SATINALMA]]*DST_123_ÜRETİM_İHTİYAÇ_RAPORU_BURAK_YENI1309[[#This Row],[BIRIM_FIYATLAR]])&lt;1,VALUE("0"),DST_123_ÜRETİM_İHTİYAÇ_RAPORU_BURAK_YENI1309[[#This Row],[SATINALMA]]*DST_123_ÜRETİM_İHTİYAÇ_RAPORU_BURAK_YENI1309[[#This Row],[BIRIM_FIYATLAR]])</f>
        <v>0</v>
      </c>
      <c r="N4078">
        <v>290.73</v>
      </c>
      <c r="O4078" t="s">
        <v>636</v>
      </c>
      <c r="P4078">
        <v>290.73</v>
      </c>
      <c r="Q4078" t="s">
        <v>178</v>
      </c>
    </row>
    <row r="4079" spans="1:17" x14ac:dyDescent="0.25">
      <c r="A4079" t="s">
        <v>1149</v>
      </c>
      <c r="B4079" t="s">
        <v>1145</v>
      </c>
      <c r="C4079" t="s">
        <v>175</v>
      </c>
      <c r="D4079" t="s">
        <v>279</v>
      </c>
      <c r="E4079" t="s">
        <v>318</v>
      </c>
      <c r="F4079">
        <v>1</v>
      </c>
      <c r="G4079" t="s">
        <v>176</v>
      </c>
      <c r="H4079">
        <v>0</v>
      </c>
      <c r="I4079">
        <v>27</v>
      </c>
      <c r="J4079" s="10">
        <v>4</v>
      </c>
      <c r="K4079" s="10">
        <f>SUMIFS(F:F,D:D,DST_123_ÜRETİM_İHTİYAÇ_RAPORU_BURAK_YENI1309[[#This Row],[ALT_KOD]])-(SUMIFS(H:H,D:D,DST_123_ÜRETİM_İHTİYAÇ_RAPORU_BURAK_YENI1309[[#This Row],[ALT_KOD]])+AVERAGEIFS(I:I,D:D,DST_123_ÜRETİM_İHTİYAÇ_RAPORU_BURAK_YENI1309[[#This Row],[ALT_KOD]])+AVERAGEIFS(L:L,D:D,DST_123_ÜRETİM_İHTİYAÇ_RAPORU_BURAK_YENI1309[[#This Row],[ALT_KOD]]))</f>
        <v>-20</v>
      </c>
      <c r="L4079">
        <v>0</v>
      </c>
      <c r="M4079">
        <f>IF((DST_123_ÜRETİM_İHTİYAÇ_RAPORU_BURAK_YENI1309[[#This Row],[SATINALMA]]*DST_123_ÜRETİM_İHTİYAÇ_RAPORU_BURAK_YENI1309[[#This Row],[BIRIM_FIYATLAR]])&lt;1,VALUE("0"),DST_123_ÜRETİM_İHTİYAÇ_RAPORU_BURAK_YENI1309[[#This Row],[SATINALMA]]*DST_123_ÜRETİM_İHTİYAÇ_RAPORU_BURAK_YENI1309[[#This Row],[BIRIM_FIYATLAR]])</f>
        <v>0</v>
      </c>
      <c r="N4079">
        <v>290.73</v>
      </c>
      <c r="O4079" t="s">
        <v>636</v>
      </c>
      <c r="P4079">
        <v>290.73</v>
      </c>
      <c r="Q4079" t="s">
        <v>178</v>
      </c>
    </row>
    <row r="4080" spans="1:17" x14ac:dyDescent="0.25">
      <c r="A4080" t="s">
        <v>1146</v>
      </c>
      <c r="B4080" t="s">
        <v>1145</v>
      </c>
      <c r="C4080" t="s">
        <v>175</v>
      </c>
      <c r="D4080" t="s">
        <v>730</v>
      </c>
      <c r="E4080" t="s">
        <v>731</v>
      </c>
      <c r="F4080">
        <v>2</v>
      </c>
      <c r="G4080" t="s">
        <v>176</v>
      </c>
      <c r="H4080">
        <v>0</v>
      </c>
      <c r="I4080">
        <v>265</v>
      </c>
      <c r="J4080" s="10">
        <v>94</v>
      </c>
      <c r="K4080" s="10">
        <f>SUMIFS(F:F,D:D,DST_123_ÜRETİM_İHTİYAÇ_RAPORU_BURAK_YENI1309[[#This Row],[ALT_KOD]])-(SUMIFS(H:H,D:D,DST_123_ÜRETİM_İHTİYAÇ_RAPORU_BURAK_YENI1309[[#This Row],[ALT_KOD]])+AVERAGEIFS(I:I,D:D,DST_123_ÜRETİM_İHTİYAÇ_RAPORU_BURAK_YENI1309[[#This Row],[ALT_KOD]])+AVERAGEIFS(L:L,D:D,DST_123_ÜRETİM_İHTİYAÇ_RAPORU_BURAK_YENI1309[[#This Row],[ALT_KOD]]))</f>
        <v>-249</v>
      </c>
      <c r="L4080">
        <v>0</v>
      </c>
      <c r="M4080">
        <f>IF((DST_123_ÜRETİM_İHTİYAÇ_RAPORU_BURAK_YENI1309[[#This Row],[SATINALMA]]*DST_123_ÜRETİM_İHTİYAÇ_RAPORU_BURAK_YENI1309[[#This Row],[BIRIM_FIYATLAR]])&lt;1,VALUE("0"),DST_123_ÜRETİM_İHTİYAÇ_RAPORU_BURAK_YENI1309[[#This Row],[SATINALMA]]*DST_123_ÜRETİM_İHTİYAÇ_RAPORU_BURAK_YENI1309[[#This Row],[BIRIM_FIYATLAR]])</f>
        <v>0</v>
      </c>
      <c r="N4080">
        <v>4</v>
      </c>
      <c r="O4080" t="s">
        <v>220</v>
      </c>
      <c r="P4080">
        <v>8</v>
      </c>
      <c r="Q4080" t="s">
        <v>221</v>
      </c>
    </row>
    <row r="4081" spans="1:17" x14ac:dyDescent="0.25">
      <c r="A4081" t="s">
        <v>1144</v>
      </c>
      <c r="B4081" t="s">
        <v>1145</v>
      </c>
      <c r="C4081" t="s">
        <v>175</v>
      </c>
      <c r="D4081" t="s">
        <v>730</v>
      </c>
      <c r="E4081" t="s">
        <v>731</v>
      </c>
      <c r="F4081">
        <v>2</v>
      </c>
      <c r="G4081" t="s">
        <v>176</v>
      </c>
      <c r="H4081">
        <v>0</v>
      </c>
      <c r="I4081">
        <v>265</v>
      </c>
      <c r="J4081" s="10">
        <v>94</v>
      </c>
      <c r="K4081" s="10">
        <f>SUMIFS(F:F,D:D,DST_123_ÜRETİM_İHTİYAÇ_RAPORU_BURAK_YENI1309[[#This Row],[ALT_KOD]])-(SUMIFS(H:H,D:D,DST_123_ÜRETİM_İHTİYAÇ_RAPORU_BURAK_YENI1309[[#This Row],[ALT_KOD]])+AVERAGEIFS(I:I,D:D,DST_123_ÜRETİM_İHTİYAÇ_RAPORU_BURAK_YENI1309[[#This Row],[ALT_KOD]])+AVERAGEIFS(L:L,D:D,DST_123_ÜRETİM_İHTİYAÇ_RAPORU_BURAK_YENI1309[[#This Row],[ALT_KOD]]))</f>
        <v>-249</v>
      </c>
      <c r="L4081">
        <v>0</v>
      </c>
      <c r="M4081">
        <f>IF((DST_123_ÜRETİM_İHTİYAÇ_RAPORU_BURAK_YENI1309[[#This Row],[SATINALMA]]*DST_123_ÜRETİM_İHTİYAÇ_RAPORU_BURAK_YENI1309[[#This Row],[BIRIM_FIYATLAR]])&lt;1,VALUE("0"),DST_123_ÜRETİM_İHTİYAÇ_RAPORU_BURAK_YENI1309[[#This Row],[SATINALMA]]*DST_123_ÜRETİM_İHTİYAÇ_RAPORU_BURAK_YENI1309[[#This Row],[BIRIM_FIYATLAR]])</f>
        <v>0</v>
      </c>
      <c r="N4081">
        <v>4</v>
      </c>
      <c r="O4081" t="s">
        <v>220</v>
      </c>
      <c r="P4081">
        <v>8</v>
      </c>
      <c r="Q4081" t="s">
        <v>221</v>
      </c>
    </row>
    <row r="4082" spans="1:17" x14ac:dyDescent="0.25">
      <c r="A4082" t="s">
        <v>1101</v>
      </c>
      <c r="B4082" t="s">
        <v>1102</v>
      </c>
      <c r="C4082" t="s">
        <v>175</v>
      </c>
      <c r="D4082" t="s">
        <v>560</v>
      </c>
      <c r="E4082" t="s">
        <v>561</v>
      </c>
      <c r="F4082">
        <v>2.5</v>
      </c>
      <c r="G4082" t="s">
        <v>176</v>
      </c>
      <c r="H4082">
        <v>0</v>
      </c>
      <c r="I4082">
        <v>272</v>
      </c>
      <c r="J4082" s="10">
        <v>4.2999999999999652</v>
      </c>
      <c r="K4082" s="10">
        <f>SUMIFS(F:F,D:D,DST_123_ÜRETİM_İHTİYAÇ_RAPORU_BURAK_YENI1309[[#This Row],[ALT_KOD]])-(SUMIFS(H:H,D:D,DST_123_ÜRETİM_İHTİYAÇ_RAPORU_BURAK_YENI1309[[#This Row],[ALT_KOD]])+AVERAGEIFS(I:I,D:D,DST_123_ÜRETİM_İHTİYAÇ_RAPORU_BURAK_YENI1309[[#This Row],[ALT_KOD]])+AVERAGEIFS(L:L,D:D,DST_123_ÜRETİM_İHTİYAÇ_RAPORU_BURAK_YENI1309[[#This Row],[ALT_KOD]]))</f>
        <v>-233.2</v>
      </c>
      <c r="L4082">
        <v>0</v>
      </c>
      <c r="M4082">
        <f>IF((DST_123_ÜRETİM_İHTİYAÇ_RAPORU_BURAK_YENI1309[[#This Row],[SATINALMA]]*DST_123_ÜRETİM_İHTİYAÇ_RAPORU_BURAK_YENI1309[[#This Row],[BIRIM_FIYATLAR]])&lt;1,VALUE("0"),DST_123_ÜRETİM_İHTİYAÇ_RAPORU_BURAK_YENI1309[[#This Row],[SATINALMA]]*DST_123_ÜRETİM_İHTİYAÇ_RAPORU_BURAK_YENI1309[[#This Row],[BIRIM_FIYATLAR]])</f>
        <v>0</v>
      </c>
      <c r="N4082">
        <v>30</v>
      </c>
      <c r="O4082" t="s">
        <v>240</v>
      </c>
      <c r="P4082">
        <v>75</v>
      </c>
      <c r="Q4082" t="s">
        <v>180</v>
      </c>
    </row>
    <row r="4083" spans="1:17" x14ac:dyDescent="0.25">
      <c r="A4083" t="s">
        <v>1149</v>
      </c>
      <c r="B4083" t="s">
        <v>1145</v>
      </c>
      <c r="C4083" t="s">
        <v>175</v>
      </c>
      <c r="D4083" t="s">
        <v>703</v>
      </c>
      <c r="E4083" t="s">
        <v>704</v>
      </c>
      <c r="F4083">
        <v>4</v>
      </c>
      <c r="G4083" t="s">
        <v>176</v>
      </c>
      <c r="H4083">
        <v>0</v>
      </c>
      <c r="I4083">
        <v>250</v>
      </c>
      <c r="J4083" s="10">
        <v>302</v>
      </c>
      <c r="K4083" s="10">
        <f>SUMIFS(F:F,D:D,DST_123_ÜRETİM_İHTİYAÇ_RAPORU_BURAK_YENI1309[[#This Row],[ALT_KOD]])-(SUMIFS(H:H,D:D,DST_123_ÜRETİM_İHTİYAÇ_RAPORU_BURAK_YENI1309[[#This Row],[ALT_KOD]])+AVERAGEIFS(I:I,D:D,DST_123_ÜRETİM_İHTİYAÇ_RAPORU_BURAK_YENI1309[[#This Row],[ALT_KOD]])+AVERAGEIFS(L:L,D:D,DST_123_ÜRETİM_İHTİYAÇ_RAPORU_BURAK_YENI1309[[#This Row],[ALT_KOD]]))</f>
        <v>-202</v>
      </c>
      <c r="L4083">
        <v>0</v>
      </c>
      <c r="M4083">
        <f>IF((DST_123_ÜRETİM_İHTİYAÇ_RAPORU_BURAK_YENI1309[[#This Row],[SATINALMA]]*DST_123_ÜRETİM_İHTİYAÇ_RAPORU_BURAK_YENI1309[[#This Row],[BIRIM_FIYATLAR]])&lt;1,VALUE("0"),DST_123_ÜRETİM_İHTİYAÇ_RAPORU_BURAK_YENI1309[[#This Row],[SATINALMA]]*DST_123_ÜRETİM_İHTİYAÇ_RAPORU_BURAK_YENI1309[[#This Row],[BIRIM_FIYATLAR]])</f>
        <v>0</v>
      </c>
      <c r="N4083">
        <v>0.9</v>
      </c>
      <c r="O4083" t="s">
        <v>826</v>
      </c>
      <c r="P4083">
        <v>3.6</v>
      </c>
      <c r="Q4083" t="s">
        <v>221</v>
      </c>
    </row>
    <row r="4084" spans="1:17" x14ac:dyDescent="0.25">
      <c r="A4084" t="s">
        <v>1149</v>
      </c>
      <c r="B4084" t="s">
        <v>1145</v>
      </c>
      <c r="C4084" t="s">
        <v>175</v>
      </c>
      <c r="D4084" t="s">
        <v>605</v>
      </c>
      <c r="E4084" t="s">
        <v>606</v>
      </c>
      <c r="F4084">
        <v>4</v>
      </c>
      <c r="G4084" t="s">
        <v>176</v>
      </c>
      <c r="H4084">
        <v>0</v>
      </c>
      <c r="I4084">
        <v>25</v>
      </c>
      <c r="J4084" s="10">
        <v>14</v>
      </c>
      <c r="K4084" s="10">
        <f>SUMIFS(F:F,D:D,DST_123_ÜRETİM_İHTİYAÇ_RAPORU_BURAK_YENI1309[[#This Row],[ALT_KOD]])-(SUMIFS(H:H,D:D,DST_123_ÜRETİM_İHTİYAÇ_RAPORU_BURAK_YENI1309[[#This Row],[ALT_KOD]])+AVERAGEIFS(I:I,D:D,DST_123_ÜRETİM_İHTİYAÇ_RAPORU_BURAK_YENI1309[[#This Row],[ALT_KOD]])+AVERAGEIFS(L:L,D:D,DST_123_ÜRETİM_İHTİYAÇ_RAPORU_BURAK_YENI1309[[#This Row],[ALT_KOD]]))</f>
        <v>7</v>
      </c>
      <c r="L4084">
        <v>0</v>
      </c>
      <c r="M4084">
        <f>IF((DST_123_ÜRETİM_İHTİYAÇ_RAPORU_BURAK_YENI1309[[#This Row],[SATINALMA]]*DST_123_ÜRETİM_İHTİYAÇ_RAPORU_BURAK_YENI1309[[#This Row],[BIRIM_FIYATLAR]])&lt;1,VALUE("0"),DST_123_ÜRETİM_İHTİYAÇ_RAPORU_BURAK_YENI1309[[#This Row],[SATINALMA]]*DST_123_ÜRETİM_İHTİYAÇ_RAPORU_BURAK_YENI1309[[#This Row],[BIRIM_FIYATLAR]])</f>
        <v>1206.6599999999999</v>
      </c>
      <c r="N4084">
        <v>172.38</v>
      </c>
      <c r="O4084" t="s">
        <v>636</v>
      </c>
      <c r="P4084">
        <v>689.52</v>
      </c>
      <c r="Q4084" t="s">
        <v>177</v>
      </c>
    </row>
    <row r="4085" spans="1:17" x14ac:dyDescent="0.25">
      <c r="A4085" t="s">
        <v>1146</v>
      </c>
      <c r="B4085" t="s">
        <v>1145</v>
      </c>
      <c r="C4085" t="s">
        <v>175</v>
      </c>
      <c r="D4085" t="s">
        <v>605</v>
      </c>
      <c r="E4085" t="s">
        <v>606</v>
      </c>
      <c r="F4085">
        <v>4</v>
      </c>
      <c r="G4085" t="s">
        <v>176</v>
      </c>
      <c r="H4085">
        <v>0</v>
      </c>
      <c r="I4085">
        <v>25</v>
      </c>
      <c r="J4085" s="10">
        <v>14</v>
      </c>
      <c r="K4085" s="10">
        <f>SUMIFS(F:F,D:D,DST_123_ÜRETİM_İHTİYAÇ_RAPORU_BURAK_YENI1309[[#This Row],[ALT_KOD]])-(SUMIFS(H:H,D:D,DST_123_ÜRETİM_İHTİYAÇ_RAPORU_BURAK_YENI1309[[#This Row],[ALT_KOD]])+AVERAGEIFS(I:I,D:D,DST_123_ÜRETİM_İHTİYAÇ_RAPORU_BURAK_YENI1309[[#This Row],[ALT_KOD]])+AVERAGEIFS(L:L,D:D,DST_123_ÜRETİM_İHTİYAÇ_RAPORU_BURAK_YENI1309[[#This Row],[ALT_KOD]]))</f>
        <v>7</v>
      </c>
      <c r="L4085">
        <v>0</v>
      </c>
      <c r="M4085">
        <f>IF((DST_123_ÜRETİM_İHTİYAÇ_RAPORU_BURAK_YENI1309[[#This Row],[SATINALMA]]*DST_123_ÜRETİM_İHTİYAÇ_RAPORU_BURAK_YENI1309[[#This Row],[BIRIM_FIYATLAR]])&lt;1,VALUE("0"),DST_123_ÜRETİM_İHTİYAÇ_RAPORU_BURAK_YENI1309[[#This Row],[SATINALMA]]*DST_123_ÜRETİM_İHTİYAÇ_RAPORU_BURAK_YENI1309[[#This Row],[BIRIM_FIYATLAR]])</f>
        <v>1206.6599999999999</v>
      </c>
      <c r="N4085">
        <v>172.38</v>
      </c>
      <c r="O4085" t="s">
        <v>636</v>
      </c>
      <c r="P4085">
        <v>689.52</v>
      </c>
      <c r="Q4085" t="s">
        <v>177</v>
      </c>
    </row>
    <row r="4086" spans="1:17" x14ac:dyDescent="0.25">
      <c r="A4086" t="s">
        <v>1150</v>
      </c>
      <c r="B4086" t="s">
        <v>1145</v>
      </c>
      <c r="C4086" t="s">
        <v>175</v>
      </c>
      <c r="D4086" t="s">
        <v>783</v>
      </c>
      <c r="E4086" t="s">
        <v>784</v>
      </c>
      <c r="F4086">
        <v>1</v>
      </c>
      <c r="G4086" t="s">
        <v>176</v>
      </c>
      <c r="H4086">
        <v>0</v>
      </c>
      <c r="I4086">
        <v>15</v>
      </c>
      <c r="J4086" s="10">
        <v>11</v>
      </c>
      <c r="K4086" s="10">
        <f>SUMIFS(F:F,D:D,DST_123_ÜRETİM_İHTİYAÇ_RAPORU_BURAK_YENI1309[[#This Row],[ALT_KOD]])-(SUMIFS(H:H,D:D,DST_123_ÜRETİM_İHTİYAÇ_RAPORU_BURAK_YENI1309[[#This Row],[ALT_KOD]])+AVERAGEIFS(I:I,D:D,DST_123_ÜRETİM_İHTİYAÇ_RAPORU_BURAK_YENI1309[[#This Row],[ALT_KOD]])+AVERAGEIFS(L:L,D:D,DST_123_ÜRETİM_İHTİYAÇ_RAPORU_BURAK_YENI1309[[#This Row],[ALT_KOD]]))</f>
        <v>-4</v>
      </c>
      <c r="L4086">
        <v>0</v>
      </c>
      <c r="M4086">
        <f>IF((DST_123_ÜRETİM_İHTİYAÇ_RAPORU_BURAK_YENI1309[[#This Row],[SATINALMA]]*DST_123_ÜRETİM_İHTİYAÇ_RAPORU_BURAK_YENI1309[[#This Row],[BIRIM_FIYATLAR]])&lt;1,VALUE("0"),DST_123_ÜRETİM_İHTİYAÇ_RAPORU_BURAK_YENI1309[[#This Row],[SATINALMA]]*DST_123_ÜRETİM_İHTİYAÇ_RAPORU_BURAK_YENI1309[[#This Row],[BIRIM_FIYATLAR]])</f>
        <v>0</v>
      </c>
      <c r="N4086">
        <v>510</v>
      </c>
      <c r="O4086" t="s">
        <v>289</v>
      </c>
      <c r="P4086">
        <v>510</v>
      </c>
      <c r="Q4086" t="s">
        <v>178</v>
      </c>
    </row>
    <row r="4087" spans="1:17" x14ac:dyDescent="0.25">
      <c r="A4087" t="s">
        <v>1101</v>
      </c>
      <c r="B4087" t="s">
        <v>1102</v>
      </c>
      <c r="C4087" t="s">
        <v>175</v>
      </c>
      <c r="D4087" t="s">
        <v>473</v>
      </c>
      <c r="E4087" t="s">
        <v>474</v>
      </c>
      <c r="F4087">
        <v>98</v>
      </c>
      <c r="G4087" t="s">
        <v>176</v>
      </c>
      <c r="H4087">
        <v>0</v>
      </c>
      <c r="I4087">
        <v>680</v>
      </c>
      <c r="J4087" s="10">
        <v>614</v>
      </c>
      <c r="K4087" s="10">
        <f>SUMIFS(F:F,D:D,DST_123_ÜRETİM_İHTİYAÇ_RAPORU_BURAK_YENI1309[[#This Row],[ALT_KOD]])-(SUMIFS(H:H,D:D,DST_123_ÜRETİM_İHTİYAÇ_RAPORU_BURAK_YENI1309[[#This Row],[ALT_KOD]])+AVERAGEIFS(I:I,D:D,DST_123_ÜRETİM_İHTİYAÇ_RAPORU_BURAK_YENI1309[[#This Row],[ALT_KOD]])+AVERAGEIFS(L:L,D:D,DST_123_ÜRETİM_İHTİYAÇ_RAPORU_BURAK_YENI1309[[#This Row],[ALT_KOD]]))</f>
        <v>118</v>
      </c>
      <c r="L4087">
        <v>0</v>
      </c>
      <c r="M4087">
        <f>IF((DST_123_ÜRETİM_İHTİYAÇ_RAPORU_BURAK_YENI1309[[#This Row],[SATINALMA]]*DST_123_ÜRETİM_İHTİYAÇ_RAPORU_BURAK_YENI1309[[#This Row],[BIRIM_FIYATLAR]])&lt;1,VALUE("0"),DST_123_ÜRETİM_İHTİYAÇ_RAPORU_BURAK_YENI1309[[#This Row],[SATINALMA]]*DST_123_ÜRETİM_İHTİYAÇ_RAPORU_BURAK_YENI1309[[#This Row],[BIRIM_FIYATLAR]])</f>
        <v>247.8</v>
      </c>
      <c r="N4087">
        <v>2.1</v>
      </c>
      <c r="O4087" t="s">
        <v>240</v>
      </c>
      <c r="P4087">
        <v>205.8</v>
      </c>
      <c r="Q4087" t="s">
        <v>180</v>
      </c>
    </row>
    <row r="4088" spans="1:17" x14ac:dyDescent="0.25">
      <c r="A4088" t="s">
        <v>1064</v>
      </c>
      <c r="B4088" t="s">
        <v>1055</v>
      </c>
      <c r="C4088" t="s">
        <v>175</v>
      </c>
      <c r="D4088" t="s">
        <v>161</v>
      </c>
      <c r="E4088" t="s">
        <v>162</v>
      </c>
      <c r="F4088">
        <v>1</v>
      </c>
      <c r="G4088" t="s">
        <v>176</v>
      </c>
      <c r="H4088">
        <v>1</v>
      </c>
      <c r="I4088">
        <v>5</v>
      </c>
      <c r="J4088" s="10">
        <v>8</v>
      </c>
      <c r="K4088" s="10">
        <f>SUMIFS(F:F,D:D,DST_123_ÜRETİM_İHTİYAÇ_RAPORU_BURAK_YENI1309[[#This Row],[ALT_KOD]])-(SUMIFS(H:H,D:D,DST_123_ÜRETİM_İHTİYAÇ_RAPORU_BURAK_YENI1309[[#This Row],[ALT_KOD]])+AVERAGEIFS(I:I,D:D,DST_123_ÜRETİM_İHTİYAÇ_RAPORU_BURAK_YENI1309[[#This Row],[ALT_KOD]])+AVERAGEIFS(L:L,D:D,DST_123_ÜRETİM_İHTİYAÇ_RAPORU_BURAK_YENI1309[[#This Row],[ALT_KOD]]))</f>
        <v>5</v>
      </c>
      <c r="L4088">
        <v>0</v>
      </c>
      <c r="M4088">
        <f>IF((DST_123_ÜRETİM_İHTİYAÇ_RAPORU_BURAK_YENI1309[[#This Row],[SATINALMA]]*DST_123_ÜRETİM_İHTİYAÇ_RAPORU_BURAK_YENI1309[[#This Row],[BIRIM_FIYATLAR]])&lt;1,VALUE("0"),DST_123_ÜRETİM_İHTİYAÇ_RAPORU_BURAK_YENI1309[[#This Row],[SATINALMA]]*DST_123_ÜRETİM_İHTİYAÇ_RAPORU_BURAK_YENI1309[[#This Row],[BIRIM_FIYATLAR]])</f>
        <v>30523.449999999997</v>
      </c>
      <c r="N4088">
        <v>6104.69</v>
      </c>
      <c r="O4088" t="s">
        <v>227</v>
      </c>
      <c r="P4088">
        <v>6104.69</v>
      </c>
      <c r="Q4088" t="s">
        <v>221</v>
      </c>
    </row>
    <row r="4089" spans="1:17" x14ac:dyDescent="0.25">
      <c r="A4089" t="s">
        <v>1095</v>
      </c>
      <c r="B4089" t="s">
        <v>1096</v>
      </c>
      <c r="C4089" t="s">
        <v>175</v>
      </c>
      <c r="D4089" t="s">
        <v>1138</v>
      </c>
      <c r="E4089" t="s">
        <v>1139</v>
      </c>
      <c r="F4089">
        <v>2</v>
      </c>
      <c r="G4089" t="s">
        <v>176</v>
      </c>
      <c r="H4089">
        <v>0</v>
      </c>
      <c r="I4089">
        <v>29</v>
      </c>
      <c r="J4089" s="10">
        <v>0</v>
      </c>
      <c r="K4089" s="10">
        <f>SUMIFS(F:F,D:D,DST_123_ÜRETİM_İHTİYAÇ_RAPORU_BURAK_YENI1309[[#This Row],[ALT_KOD]])-(SUMIFS(H:H,D:D,DST_123_ÜRETİM_İHTİYAÇ_RAPORU_BURAK_YENI1309[[#This Row],[ALT_KOD]])+AVERAGEIFS(I:I,D:D,DST_123_ÜRETİM_İHTİYAÇ_RAPORU_BURAK_YENI1309[[#This Row],[ALT_KOD]])+AVERAGEIFS(L:L,D:D,DST_123_ÜRETİM_İHTİYAÇ_RAPORU_BURAK_YENI1309[[#This Row],[ALT_KOD]]))</f>
        <v>-27</v>
      </c>
      <c r="L4089">
        <v>0</v>
      </c>
      <c r="M4089">
        <f>IF((DST_123_ÜRETİM_İHTİYAÇ_RAPORU_BURAK_YENI1309[[#This Row],[SATINALMA]]*DST_123_ÜRETİM_İHTİYAÇ_RAPORU_BURAK_YENI1309[[#This Row],[BIRIM_FIYATLAR]])&lt;1,VALUE("0"),DST_123_ÜRETİM_İHTİYAÇ_RAPORU_BURAK_YENI1309[[#This Row],[SATINALMA]]*DST_123_ÜRETİM_İHTİYAÇ_RAPORU_BURAK_YENI1309[[#This Row],[BIRIM_FIYATLAR]])</f>
        <v>0</v>
      </c>
      <c r="N4089">
        <v>213.48</v>
      </c>
      <c r="O4089" t="s">
        <v>636</v>
      </c>
      <c r="P4089">
        <v>426.96</v>
      </c>
      <c r="Q4089" t="s">
        <v>178</v>
      </c>
    </row>
    <row r="4090" spans="1:17" x14ac:dyDescent="0.25">
      <c r="A4090" t="s">
        <v>1095</v>
      </c>
      <c r="B4090" t="s">
        <v>1096</v>
      </c>
      <c r="C4090" t="s">
        <v>175</v>
      </c>
      <c r="D4090" t="s">
        <v>879</v>
      </c>
      <c r="E4090" t="s">
        <v>880</v>
      </c>
      <c r="F4090">
        <v>1</v>
      </c>
      <c r="G4090" t="s">
        <v>176</v>
      </c>
      <c r="H4090">
        <v>0</v>
      </c>
      <c r="I4090">
        <v>9</v>
      </c>
      <c r="J4090" s="10">
        <v>8</v>
      </c>
      <c r="K4090" s="10">
        <f>SUMIFS(F:F,D:D,DST_123_ÜRETİM_İHTİYAÇ_RAPORU_BURAK_YENI1309[[#This Row],[ALT_KOD]])-(SUMIFS(H:H,D:D,DST_123_ÜRETİM_İHTİYAÇ_RAPORU_BURAK_YENI1309[[#This Row],[ALT_KOD]])+AVERAGEIFS(I:I,D:D,DST_123_ÜRETİM_İHTİYAÇ_RAPORU_BURAK_YENI1309[[#This Row],[ALT_KOD]])+AVERAGEIFS(L:L,D:D,DST_123_ÜRETİM_İHTİYAÇ_RAPORU_BURAK_YENI1309[[#This Row],[ALT_KOD]]))</f>
        <v>-12</v>
      </c>
      <c r="L4090">
        <v>15</v>
      </c>
      <c r="M4090">
        <f>IF((DST_123_ÜRETİM_İHTİYAÇ_RAPORU_BURAK_YENI1309[[#This Row],[SATINALMA]]*DST_123_ÜRETİM_İHTİYAÇ_RAPORU_BURAK_YENI1309[[#This Row],[BIRIM_FIYATLAR]])&lt;1,VALUE("0"),DST_123_ÜRETİM_İHTİYAÇ_RAPORU_BURAK_YENI1309[[#This Row],[SATINALMA]]*DST_123_ÜRETİM_İHTİYAÇ_RAPORU_BURAK_YENI1309[[#This Row],[BIRIM_FIYATLAR]])</f>
        <v>0</v>
      </c>
      <c r="N4090">
        <v>776.15</v>
      </c>
      <c r="O4090" t="s">
        <v>881</v>
      </c>
      <c r="P4090">
        <v>776.15</v>
      </c>
      <c r="Q4090" t="s">
        <v>221</v>
      </c>
    </row>
    <row r="4091" spans="1:17" x14ac:dyDescent="0.25">
      <c r="A4091" t="s">
        <v>1196</v>
      </c>
      <c r="B4091" t="s">
        <v>1197</v>
      </c>
      <c r="C4091" t="s">
        <v>175</v>
      </c>
      <c r="D4091" t="s">
        <v>335</v>
      </c>
      <c r="E4091" t="s">
        <v>622</v>
      </c>
      <c r="F4091">
        <v>1</v>
      </c>
      <c r="G4091" t="s">
        <v>176</v>
      </c>
      <c r="H4091">
        <v>0</v>
      </c>
      <c r="I4091">
        <v>5</v>
      </c>
      <c r="J4091" s="10">
        <v>4</v>
      </c>
      <c r="K4091" s="10">
        <f>SUMIFS(F:F,D:D,DST_123_ÜRETİM_İHTİYAÇ_RAPORU_BURAK_YENI1309[[#This Row],[ALT_KOD]])-(SUMIFS(H:H,D:D,DST_123_ÜRETİM_İHTİYAÇ_RAPORU_BURAK_YENI1309[[#This Row],[ALT_KOD]])+AVERAGEIFS(I:I,D:D,DST_123_ÜRETİM_İHTİYAÇ_RAPORU_BURAK_YENI1309[[#This Row],[ALT_KOD]])+AVERAGEIFS(L:L,D:D,DST_123_ÜRETİM_İHTİYAÇ_RAPORU_BURAK_YENI1309[[#This Row],[ALT_KOD]]))</f>
        <v>2</v>
      </c>
      <c r="L4091">
        <v>0</v>
      </c>
      <c r="M4091">
        <f>IF((DST_123_ÜRETİM_İHTİYAÇ_RAPORU_BURAK_YENI1309[[#This Row],[SATINALMA]]*DST_123_ÜRETİM_İHTİYAÇ_RAPORU_BURAK_YENI1309[[#This Row],[BIRIM_FIYATLAR]])&lt;1,VALUE("0"),DST_123_ÜRETİM_İHTİYAÇ_RAPORU_BURAK_YENI1309[[#This Row],[SATINALMA]]*DST_123_ÜRETİM_İHTİYAÇ_RAPORU_BURAK_YENI1309[[#This Row],[BIRIM_FIYATLAR]])</f>
        <v>3447.58</v>
      </c>
      <c r="N4091">
        <v>1723.79</v>
      </c>
      <c r="O4091" t="s">
        <v>636</v>
      </c>
      <c r="P4091">
        <v>1723.79</v>
      </c>
      <c r="Q4091" t="s">
        <v>178</v>
      </c>
    </row>
    <row r="4092" spans="1:17" x14ac:dyDescent="0.25">
      <c r="A4092" t="s">
        <v>1098</v>
      </c>
      <c r="B4092" t="s">
        <v>1096</v>
      </c>
      <c r="C4092" t="s">
        <v>175</v>
      </c>
      <c r="D4092" t="s">
        <v>433</v>
      </c>
      <c r="E4092" t="s">
        <v>434</v>
      </c>
      <c r="F4092">
        <v>1</v>
      </c>
      <c r="G4092" t="s">
        <v>176</v>
      </c>
      <c r="H4092">
        <v>0</v>
      </c>
      <c r="I4092">
        <v>12</v>
      </c>
      <c r="J4092" s="10">
        <v>5</v>
      </c>
      <c r="K4092" s="10">
        <f>SUMIFS(F:F,D:D,DST_123_ÜRETİM_İHTİYAÇ_RAPORU_BURAK_YENI1309[[#This Row],[ALT_KOD]])-(SUMIFS(H:H,D:D,DST_123_ÜRETİM_İHTİYAÇ_RAPORU_BURAK_YENI1309[[#This Row],[ALT_KOD]])+AVERAGEIFS(I:I,D:D,DST_123_ÜRETİM_İHTİYAÇ_RAPORU_BURAK_YENI1309[[#This Row],[ALT_KOD]])+AVERAGEIFS(L:L,D:D,DST_123_ÜRETİM_İHTİYAÇ_RAPORU_BURAK_YENI1309[[#This Row],[ALT_KOD]]))</f>
        <v>-8</v>
      </c>
      <c r="L4092">
        <v>0</v>
      </c>
      <c r="M4092">
        <f>IF((DST_123_ÜRETİM_İHTİYAÇ_RAPORU_BURAK_YENI1309[[#This Row],[SATINALMA]]*DST_123_ÜRETİM_İHTİYAÇ_RAPORU_BURAK_YENI1309[[#This Row],[BIRIM_FIYATLAR]])&lt;1,VALUE("0"),DST_123_ÜRETİM_İHTİYAÇ_RAPORU_BURAK_YENI1309[[#This Row],[SATINALMA]]*DST_123_ÜRETİM_İHTİYAÇ_RAPORU_BURAK_YENI1309[[#This Row],[BIRIM_FIYATLAR]])</f>
        <v>0</v>
      </c>
      <c r="N4092">
        <v>1679.53</v>
      </c>
      <c r="O4092" t="s">
        <v>636</v>
      </c>
      <c r="P4092">
        <v>1679.53</v>
      </c>
      <c r="Q4092" t="s">
        <v>178</v>
      </c>
    </row>
    <row r="4093" spans="1:17" x14ac:dyDescent="0.25">
      <c r="A4093" t="s">
        <v>1144</v>
      </c>
      <c r="B4093" t="s">
        <v>1145</v>
      </c>
      <c r="C4093" t="s">
        <v>175</v>
      </c>
      <c r="D4093" t="s">
        <v>550</v>
      </c>
      <c r="E4093" t="s">
        <v>551</v>
      </c>
      <c r="F4093">
        <v>2</v>
      </c>
      <c r="G4093" t="s">
        <v>176</v>
      </c>
      <c r="H4093">
        <v>0</v>
      </c>
      <c r="I4093">
        <v>35</v>
      </c>
      <c r="J4093" s="10">
        <v>14</v>
      </c>
      <c r="K4093" s="10">
        <f>SUMIFS(F:F,D:D,DST_123_ÜRETİM_İHTİYAÇ_RAPORU_BURAK_YENI1309[[#This Row],[ALT_KOD]])-(SUMIFS(H:H,D:D,DST_123_ÜRETİM_İHTİYAÇ_RAPORU_BURAK_YENI1309[[#This Row],[ALT_KOD]])+AVERAGEIFS(I:I,D:D,DST_123_ÜRETİM_İHTİYAÇ_RAPORU_BURAK_YENI1309[[#This Row],[ALT_KOD]])+AVERAGEIFS(L:L,D:D,DST_123_ÜRETİM_İHTİYAÇ_RAPORU_BURAK_YENI1309[[#This Row],[ALT_KOD]]))</f>
        <v>-11</v>
      </c>
      <c r="L4093">
        <v>0</v>
      </c>
      <c r="M4093">
        <f>IF((DST_123_ÜRETİM_İHTİYAÇ_RAPORU_BURAK_YENI1309[[#This Row],[SATINALMA]]*DST_123_ÜRETİM_İHTİYAÇ_RAPORU_BURAK_YENI1309[[#This Row],[BIRIM_FIYATLAR]])&lt;1,VALUE("0"),DST_123_ÜRETİM_İHTİYAÇ_RAPORU_BURAK_YENI1309[[#This Row],[SATINALMA]]*DST_123_ÜRETİM_İHTİYAÇ_RAPORU_BURAK_YENI1309[[#This Row],[BIRIM_FIYATLAR]])</f>
        <v>0</v>
      </c>
      <c r="N4093">
        <v>43.75</v>
      </c>
      <c r="O4093" t="s">
        <v>490</v>
      </c>
      <c r="P4093">
        <v>87.5</v>
      </c>
      <c r="Q4093" t="s">
        <v>180</v>
      </c>
    </row>
    <row r="4094" spans="1:17" x14ac:dyDescent="0.25">
      <c r="A4094" t="s">
        <v>1146</v>
      </c>
      <c r="B4094" t="s">
        <v>1145</v>
      </c>
      <c r="C4094" t="s">
        <v>175</v>
      </c>
      <c r="D4094" t="s">
        <v>550</v>
      </c>
      <c r="E4094" t="s">
        <v>551</v>
      </c>
      <c r="F4094">
        <v>2</v>
      </c>
      <c r="G4094" t="s">
        <v>176</v>
      </c>
      <c r="H4094">
        <v>0</v>
      </c>
      <c r="I4094">
        <v>35</v>
      </c>
      <c r="J4094" s="10">
        <v>14</v>
      </c>
      <c r="K4094" s="10">
        <f>SUMIFS(F:F,D:D,DST_123_ÜRETİM_İHTİYAÇ_RAPORU_BURAK_YENI1309[[#This Row],[ALT_KOD]])-(SUMIFS(H:H,D:D,DST_123_ÜRETİM_İHTİYAÇ_RAPORU_BURAK_YENI1309[[#This Row],[ALT_KOD]])+AVERAGEIFS(I:I,D:D,DST_123_ÜRETİM_İHTİYAÇ_RAPORU_BURAK_YENI1309[[#This Row],[ALT_KOD]])+AVERAGEIFS(L:L,D:D,DST_123_ÜRETİM_İHTİYAÇ_RAPORU_BURAK_YENI1309[[#This Row],[ALT_KOD]]))</f>
        <v>-11</v>
      </c>
      <c r="L4094">
        <v>0</v>
      </c>
      <c r="M4094">
        <f>IF((DST_123_ÜRETİM_İHTİYAÇ_RAPORU_BURAK_YENI1309[[#This Row],[SATINALMA]]*DST_123_ÜRETİM_İHTİYAÇ_RAPORU_BURAK_YENI1309[[#This Row],[BIRIM_FIYATLAR]])&lt;1,VALUE("0"),DST_123_ÜRETİM_İHTİYAÇ_RAPORU_BURAK_YENI1309[[#This Row],[SATINALMA]]*DST_123_ÜRETİM_İHTİYAÇ_RAPORU_BURAK_YENI1309[[#This Row],[BIRIM_FIYATLAR]])</f>
        <v>0</v>
      </c>
      <c r="N4094">
        <v>43.75</v>
      </c>
      <c r="O4094" t="s">
        <v>490</v>
      </c>
      <c r="P4094">
        <v>87.5</v>
      </c>
      <c r="Q4094" t="s">
        <v>180</v>
      </c>
    </row>
    <row r="4095" spans="1:17" x14ac:dyDescent="0.25">
      <c r="A4095" t="s">
        <v>1142</v>
      </c>
      <c r="B4095" t="s">
        <v>1056</v>
      </c>
      <c r="C4095" t="s">
        <v>175</v>
      </c>
      <c r="D4095" t="s">
        <v>569</v>
      </c>
      <c r="E4095" t="s">
        <v>570</v>
      </c>
      <c r="F4095">
        <v>7</v>
      </c>
      <c r="G4095" t="s">
        <v>176</v>
      </c>
      <c r="H4095">
        <v>0</v>
      </c>
      <c r="I4095">
        <v>1000</v>
      </c>
      <c r="J4095" s="10">
        <v>1222</v>
      </c>
      <c r="K4095" s="10">
        <f>SUMIFS(F:F,D:D,DST_123_ÜRETİM_İHTİYAÇ_RAPORU_BURAK_YENI1309[[#This Row],[ALT_KOD]])-(SUMIFS(H:H,D:D,DST_123_ÜRETİM_İHTİYAÇ_RAPORU_BURAK_YENI1309[[#This Row],[ALT_KOD]])+AVERAGEIFS(I:I,D:D,DST_123_ÜRETİM_İHTİYAÇ_RAPORU_BURAK_YENI1309[[#This Row],[ALT_KOD]])+AVERAGEIFS(L:L,D:D,DST_123_ÜRETİM_İHTİYAÇ_RAPORU_BURAK_YENI1309[[#This Row],[ALT_KOD]]))</f>
        <v>-903</v>
      </c>
      <c r="L4095">
        <v>0</v>
      </c>
      <c r="M4095">
        <f>IF((DST_123_ÜRETİM_İHTİYAÇ_RAPORU_BURAK_YENI1309[[#This Row],[SATINALMA]]*DST_123_ÜRETİM_İHTİYAÇ_RAPORU_BURAK_YENI1309[[#This Row],[BIRIM_FIYATLAR]])&lt;1,VALUE("0"),DST_123_ÜRETİM_İHTİYAÇ_RAPORU_BURAK_YENI1309[[#This Row],[SATINALMA]]*DST_123_ÜRETİM_İHTİYAÇ_RAPORU_BURAK_YENI1309[[#This Row],[BIRIM_FIYATLAR]])</f>
        <v>0</v>
      </c>
      <c r="N4095">
        <v>1.1399999999999999</v>
      </c>
      <c r="O4095" t="s">
        <v>882</v>
      </c>
      <c r="P4095">
        <v>7.9799999999999995</v>
      </c>
      <c r="Q4095" t="s">
        <v>180</v>
      </c>
    </row>
    <row r="4096" spans="1:17" x14ac:dyDescent="0.25">
      <c r="A4096" t="s">
        <v>1142</v>
      </c>
      <c r="B4096" t="s">
        <v>1056</v>
      </c>
      <c r="C4096" t="s">
        <v>175</v>
      </c>
      <c r="D4096" t="s">
        <v>779</v>
      </c>
      <c r="E4096" t="s">
        <v>780</v>
      </c>
      <c r="F4096">
        <v>2</v>
      </c>
      <c r="G4096" t="s">
        <v>176</v>
      </c>
      <c r="H4096">
        <v>0</v>
      </c>
      <c r="I4096">
        <v>1</v>
      </c>
      <c r="J4096" s="10">
        <v>14</v>
      </c>
      <c r="K4096" s="10">
        <f>SUMIFS(F:F,D:D,DST_123_ÜRETİM_İHTİYAÇ_RAPORU_BURAK_YENI1309[[#This Row],[ALT_KOD]])-(SUMIFS(H:H,D:D,DST_123_ÜRETİM_İHTİYAÇ_RAPORU_BURAK_YENI1309[[#This Row],[ALT_KOD]])+AVERAGEIFS(I:I,D:D,DST_123_ÜRETİM_İHTİYAÇ_RAPORU_BURAK_YENI1309[[#This Row],[ALT_KOD]])+AVERAGEIFS(L:L,D:D,DST_123_ÜRETİM_İHTİYAÇ_RAPORU_BURAK_YENI1309[[#This Row],[ALT_KOD]]))</f>
        <v>25</v>
      </c>
      <c r="L4096">
        <v>0</v>
      </c>
      <c r="M4096">
        <f>IF((DST_123_ÜRETİM_İHTİYAÇ_RAPORU_BURAK_YENI1309[[#This Row],[SATINALMA]]*DST_123_ÜRETİM_İHTİYAÇ_RAPORU_BURAK_YENI1309[[#This Row],[BIRIM_FIYATLAR]])&lt;1,VALUE("0"),DST_123_ÜRETİM_İHTİYAÇ_RAPORU_BURAK_YENI1309[[#This Row],[SATINALMA]]*DST_123_ÜRETİM_İHTİYAÇ_RAPORU_BURAK_YENI1309[[#This Row],[BIRIM_FIYATLAR]])</f>
        <v>11103.25</v>
      </c>
      <c r="N4096">
        <v>444.13</v>
      </c>
      <c r="O4096" t="s">
        <v>589</v>
      </c>
      <c r="P4096">
        <v>888.26</v>
      </c>
      <c r="Q4096" t="s">
        <v>177</v>
      </c>
    </row>
    <row r="4097" spans="1:17" x14ac:dyDescent="0.25">
      <c r="A4097" t="s">
        <v>1142</v>
      </c>
      <c r="B4097" t="s">
        <v>1056</v>
      </c>
      <c r="C4097" t="s">
        <v>175</v>
      </c>
      <c r="D4097" t="s">
        <v>718</v>
      </c>
      <c r="E4097" t="s">
        <v>719</v>
      </c>
      <c r="F4097">
        <v>1</v>
      </c>
      <c r="G4097" t="s">
        <v>176</v>
      </c>
      <c r="H4097">
        <v>0</v>
      </c>
      <c r="I4097">
        <v>1</v>
      </c>
      <c r="J4097" s="10">
        <v>4</v>
      </c>
      <c r="K4097" s="10">
        <f>SUMIFS(F:F,D:D,DST_123_ÜRETİM_İHTİYAÇ_RAPORU_BURAK_YENI1309[[#This Row],[ALT_KOD]])-(SUMIFS(H:H,D:D,DST_123_ÜRETİM_İHTİYAÇ_RAPORU_BURAK_YENI1309[[#This Row],[ALT_KOD]])+AVERAGEIFS(I:I,D:D,DST_123_ÜRETİM_İHTİYAÇ_RAPORU_BURAK_YENI1309[[#This Row],[ALT_KOD]])+AVERAGEIFS(L:L,D:D,DST_123_ÜRETİM_İHTİYAÇ_RAPORU_BURAK_YENI1309[[#This Row],[ALT_KOD]]))</f>
        <v>13</v>
      </c>
      <c r="L4097">
        <v>0</v>
      </c>
      <c r="M4097">
        <f>IF((DST_123_ÜRETİM_İHTİYAÇ_RAPORU_BURAK_YENI1309[[#This Row],[SATINALMA]]*DST_123_ÜRETİM_İHTİYAÇ_RAPORU_BURAK_YENI1309[[#This Row],[BIRIM_FIYATLAR]])&lt;1,VALUE("0"),DST_123_ÜRETİM_İHTİYAÇ_RAPORU_BURAK_YENI1309[[#This Row],[SATINALMA]]*DST_123_ÜRETİM_İHTİYAÇ_RAPORU_BURAK_YENI1309[[#This Row],[BIRIM_FIYATLAR]])</f>
        <v>168880.14</v>
      </c>
      <c r="N4097">
        <v>12990.78</v>
      </c>
      <c r="O4097" t="s">
        <v>589</v>
      </c>
      <c r="P4097">
        <v>12990.78</v>
      </c>
      <c r="Q4097" t="s">
        <v>177</v>
      </c>
    </row>
    <row r="4098" spans="1:17" x14ac:dyDescent="0.25">
      <c r="A4098" t="s">
        <v>1097</v>
      </c>
      <c r="B4098" t="s">
        <v>1055</v>
      </c>
      <c r="C4098" t="s">
        <v>175</v>
      </c>
      <c r="D4098" t="s">
        <v>718</v>
      </c>
      <c r="E4098" t="s">
        <v>719</v>
      </c>
      <c r="F4098">
        <v>1</v>
      </c>
      <c r="G4098" t="s">
        <v>176</v>
      </c>
      <c r="H4098">
        <v>0</v>
      </c>
      <c r="I4098">
        <v>1</v>
      </c>
      <c r="J4098" s="10">
        <v>4</v>
      </c>
      <c r="K4098" s="10">
        <f>SUMIFS(F:F,D:D,DST_123_ÜRETİM_İHTİYAÇ_RAPORU_BURAK_YENI1309[[#This Row],[ALT_KOD]])-(SUMIFS(H:H,D:D,DST_123_ÜRETİM_İHTİYAÇ_RAPORU_BURAK_YENI1309[[#This Row],[ALT_KOD]])+AVERAGEIFS(I:I,D:D,DST_123_ÜRETİM_İHTİYAÇ_RAPORU_BURAK_YENI1309[[#This Row],[ALT_KOD]])+AVERAGEIFS(L:L,D:D,DST_123_ÜRETİM_İHTİYAÇ_RAPORU_BURAK_YENI1309[[#This Row],[ALT_KOD]]))</f>
        <v>13</v>
      </c>
      <c r="L4098">
        <v>0</v>
      </c>
      <c r="M4098">
        <f>IF((DST_123_ÜRETİM_İHTİYAÇ_RAPORU_BURAK_YENI1309[[#This Row],[SATINALMA]]*DST_123_ÜRETİM_İHTİYAÇ_RAPORU_BURAK_YENI1309[[#This Row],[BIRIM_FIYATLAR]])&lt;1,VALUE("0"),DST_123_ÜRETİM_İHTİYAÇ_RAPORU_BURAK_YENI1309[[#This Row],[SATINALMA]]*DST_123_ÜRETİM_İHTİYAÇ_RAPORU_BURAK_YENI1309[[#This Row],[BIRIM_FIYATLAR]])</f>
        <v>168880.14</v>
      </c>
      <c r="N4098">
        <v>12990.78</v>
      </c>
      <c r="O4098" t="s">
        <v>589</v>
      </c>
      <c r="P4098">
        <v>12990.78</v>
      </c>
      <c r="Q4098" t="s">
        <v>177</v>
      </c>
    </row>
    <row r="4099" spans="1:17" x14ac:dyDescent="0.25">
      <c r="A4099" t="s">
        <v>1142</v>
      </c>
      <c r="B4099" t="s">
        <v>1056</v>
      </c>
      <c r="C4099" t="s">
        <v>175</v>
      </c>
      <c r="D4099" t="s">
        <v>1175</v>
      </c>
      <c r="E4099" t="s">
        <v>1176</v>
      </c>
      <c r="F4099">
        <v>2</v>
      </c>
      <c r="G4099" t="s">
        <v>176</v>
      </c>
      <c r="H4099">
        <v>0</v>
      </c>
      <c r="I4099">
        <v>500</v>
      </c>
      <c r="J4099" s="10">
        <v>500</v>
      </c>
      <c r="K4099" s="10">
        <f>SUMIFS(F:F,D:D,DST_123_ÜRETİM_İHTİYAÇ_RAPORU_BURAK_YENI1309[[#This Row],[ALT_KOD]])-(SUMIFS(H:H,D:D,DST_123_ÜRETİM_İHTİYAÇ_RAPORU_BURAK_YENI1309[[#This Row],[ALT_KOD]])+AVERAGEIFS(I:I,D:D,DST_123_ÜRETİM_İHTİYAÇ_RAPORU_BURAK_YENI1309[[#This Row],[ALT_KOD]])+AVERAGEIFS(L:L,D:D,DST_123_ÜRETİM_İHTİYAÇ_RAPORU_BURAK_YENI1309[[#This Row],[ALT_KOD]]))</f>
        <v>-486</v>
      </c>
      <c r="L4099">
        <v>0</v>
      </c>
      <c r="M4099">
        <f>IF((DST_123_ÜRETİM_İHTİYAÇ_RAPORU_BURAK_YENI1309[[#This Row],[SATINALMA]]*DST_123_ÜRETİM_İHTİYAÇ_RAPORU_BURAK_YENI1309[[#This Row],[BIRIM_FIYATLAR]])&lt;1,VALUE("0"),DST_123_ÜRETİM_İHTİYAÇ_RAPORU_BURAK_YENI1309[[#This Row],[SATINALMA]]*DST_123_ÜRETİM_İHTİYAÇ_RAPORU_BURAK_YENI1309[[#This Row],[BIRIM_FIYATLAR]])</f>
        <v>0</v>
      </c>
      <c r="N4099">
        <v>0.65</v>
      </c>
      <c r="O4099" t="s">
        <v>826</v>
      </c>
      <c r="P4099">
        <v>1.3</v>
      </c>
      <c r="Q4099" t="s">
        <v>221</v>
      </c>
    </row>
    <row r="4100" spans="1:17" x14ac:dyDescent="0.25">
      <c r="A4100" t="s">
        <v>1142</v>
      </c>
      <c r="B4100" t="s">
        <v>1056</v>
      </c>
      <c r="C4100" t="s">
        <v>175</v>
      </c>
      <c r="D4100" t="s">
        <v>1177</v>
      </c>
      <c r="E4100" t="s">
        <v>1178</v>
      </c>
      <c r="F4100">
        <v>2</v>
      </c>
      <c r="G4100" t="s">
        <v>176</v>
      </c>
      <c r="H4100">
        <v>0</v>
      </c>
      <c r="I4100">
        <v>500</v>
      </c>
      <c r="J4100" s="10">
        <v>500</v>
      </c>
      <c r="K4100" s="10">
        <f>SUMIFS(F:F,D:D,DST_123_ÜRETİM_İHTİYAÇ_RAPORU_BURAK_YENI1309[[#This Row],[ALT_KOD]])-(SUMIFS(H:H,D:D,DST_123_ÜRETİM_İHTİYAÇ_RAPORU_BURAK_YENI1309[[#This Row],[ALT_KOD]])+AVERAGEIFS(I:I,D:D,DST_123_ÜRETİM_İHTİYAÇ_RAPORU_BURAK_YENI1309[[#This Row],[ALT_KOD]])+AVERAGEIFS(L:L,D:D,DST_123_ÜRETİM_İHTİYAÇ_RAPORU_BURAK_YENI1309[[#This Row],[ALT_KOD]]))</f>
        <v>-486</v>
      </c>
      <c r="L4100">
        <v>0</v>
      </c>
      <c r="M4100">
        <f>IF((DST_123_ÜRETİM_İHTİYAÇ_RAPORU_BURAK_YENI1309[[#This Row],[SATINALMA]]*DST_123_ÜRETİM_İHTİYAÇ_RAPORU_BURAK_YENI1309[[#This Row],[BIRIM_FIYATLAR]])&lt;1,VALUE("0"),DST_123_ÜRETİM_İHTİYAÇ_RAPORU_BURAK_YENI1309[[#This Row],[SATINALMA]]*DST_123_ÜRETİM_İHTİYAÇ_RAPORU_BURAK_YENI1309[[#This Row],[BIRIM_FIYATLAR]])</f>
        <v>0</v>
      </c>
      <c r="N4100">
        <v>0.39</v>
      </c>
      <c r="O4100" t="s">
        <v>826</v>
      </c>
      <c r="P4100">
        <v>0.78</v>
      </c>
      <c r="Q4100" t="s">
        <v>221</v>
      </c>
    </row>
    <row r="4101" spans="1:17" x14ac:dyDescent="0.25">
      <c r="A4101" t="s">
        <v>1064</v>
      </c>
      <c r="B4101" t="s">
        <v>1055</v>
      </c>
      <c r="C4101" t="s">
        <v>175</v>
      </c>
      <c r="D4101" t="s">
        <v>569</v>
      </c>
      <c r="E4101" t="s">
        <v>570</v>
      </c>
      <c r="F4101">
        <v>4</v>
      </c>
      <c r="G4101" t="s">
        <v>176</v>
      </c>
      <c r="H4101">
        <v>0</v>
      </c>
      <c r="I4101">
        <v>1000</v>
      </c>
      <c r="J4101" s="10">
        <v>1222</v>
      </c>
      <c r="K4101" s="10">
        <f>SUMIFS(F:F,D:D,DST_123_ÜRETİM_İHTİYAÇ_RAPORU_BURAK_YENI1309[[#This Row],[ALT_KOD]])-(SUMIFS(H:H,D:D,DST_123_ÜRETİM_İHTİYAÇ_RAPORU_BURAK_YENI1309[[#This Row],[ALT_KOD]])+AVERAGEIFS(I:I,D:D,DST_123_ÜRETİM_İHTİYAÇ_RAPORU_BURAK_YENI1309[[#This Row],[ALT_KOD]])+AVERAGEIFS(L:L,D:D,DST_123_ÜRETİM_İHTİYAÇ_RAPORU_BURAK_YENI1309[[#This Row],[ALT_KOD]]))</f>
        <v>-903</v>
      </c>
      <c r="L4101">
        <v>0</v>
      </c>
      <c r="M4101">
        <f>IF((DST_123_ÜRETİM_İHTİYAÇ_RAPORU_BURAK_YENI1309[[#This Row],[SATINALMA]]*DST_123_ÜRETİM_İHTİYAÇ_RAPORU_BURAK_YENI1309[[#This Row],[BIRIM_FIYATLAR]])&lt;1,VALUE("0"),DST_123_ÜRETİM_İHTİYAÇ_RAPORU_BURAK_YENI1309[[#This Row],[SATINALMA]]*DST_123_ÜRETİM_İHTİYAÇ_RAPORU_BURAK_YENI1309[[#This Row],[BIRIM_FIYATLAR]])</f>
        <v>0</v>
      </c>
      <c r="N4101">
        <v>1.1399999999999999</v>
      </c>
      <c r="O4101" t="s">
        <v>882</v>
      </c>
      <c r="P4101">
        <v>4.5599999999999996</v>
      </c>
      <c r="Q4101" t="s">
        <v>180</v>
      </c>
    </row>
    <row r="4102" spans="1:17" x14ac:dyDescent="0.25">
      <c r="A4102" t="s">
        <v>1099</v>
      </c>
      <c r="B4102" t="s">
        <v>1055</v>
      </c>
      <c r="C4102" t="s">
        <v>175</v>
      </c>
      <c r="D4102" t="s">
        <v>569</v>
      </c>
      <c r="E4102" t="s">
        <v>570</v>
      </c>
      <c r="F4102">
        <v>4</v>
      </c>
      <c r="G4102" t="s">
        <v>176</v>
      </c>
      <c r="H4102">
        <v>0</v>
      </c>
      <c r="I4102">
        <v>1000</v>
      </c>
      <c r="J4102" s="10">
        <v>1222</v>
      </c>
      <c r="K4102" s="10">
        <f>SUMIFS(F:F,D:D,DST_123_ÜRETİM_İHTİYAÇ_RAPORU_BURAK_YENI1309[[#This Row],[ALT_KOD]])-(SUMIFS(H:H,D:D,DST_123_ÜRETİM_İHTİYAÇ_RAPORU_BURAK_YENI1309[[#This Row],[ALT_KOD]])+AVERAGEIFS(I:I,D:D,DST_123_ÜRETİM_İHTİYAÇ_RAPORU_BURAK_YENI1309[[#This Row],[ALT_KOD]])+AVERAGEIFS(L:L,D:D,DST_123_ÜRETİM_İHTİYAÇ_RAPORU_BURAK_YENI1309[[#This Row],[ALT_KOD]]))</f>
        <v>-903</v>
      </c>
      <c r="L4102">
        <v>0</v>
      </c>
      <c r="M4102">
        <f>IF((DST_123_ÜRETİM_İHTİYAÇ_RAPORU_BURAK_YENI1309[[#This Row],[SATINALMA]]*DST_123_ÜRETİM_İHTİYAÇ_RAPORU_BURAK_YENI1309[[#This Row],[BIRIM_FIYATLAR]])&lt;1,VALUE("0"),DST_123_ÜRETİM_İHTİYAÇ_RAPORU_BURAK_YENI1309[[#This Row],[SATINALMA]]*DST_123_ÜRETİM_İHTİYAÇ_RAPORU_BURAK_YENI1309[[#This Row],[BIRIM_FIYATLAR]])</f>
        <v>0</v>
      </c>
      <c r="N4102">
        <v>1.1399999999999999</v>
      </c>
      <c r="O4102" t="s">
        <v>882</v>
      </c>
      <c r="P4102">
        <v>4.5599999999999996</v>
      </c>
      <c r="Q4102" t="s">
        <v>180</v>
      </c>
    </row>
    <row r="4103" spans="1:17" x14ac:dyDescent="0.25">
      <c r="A4103" t="s">
        <v>1149</v>
      </c>
      <c r="B4103" t="s">
        <v>1145</v>
      </c>
      <c r="C4103" t="s">
        <v>175</v>
      </c>
      <c r="D4103" t="s">
        <v>335</v>
      </c>
      <c r="E4103" t="s">
        <v>622</v>
      </c>
      <c r="F4103">
        <v>1</v>
      </c>
      <c r="G4103" t="s">
        <v>176</v>
      </c>
      <c r="H4103">
        <v>0</v>
      </c>
      <c r="I4103">
        <v>5</v>
      </c>
      <c r="J4103" s="10">
        <v>4</v>
      </c>
      <c r="K4103" s="10">
        <f>SUMIFS(F:F,D:D,DST_123_ÜRETİM_İHTİYAÇ_RAPORU_BURAK_YENI1309[[#This Row],[ALT_KOD]])-(SUMIFS(H:H,D:D,DST_123_ÜRETİM_İHTİYAÇ_RAPORU_BURAK_YENI1309[[#This Row],[ALT_KOD]])+AVERAGEIFS(I:I,D:D,DST_123_ÜRETİM_İHTİYAÇ_RAPORU_BURAK_YENI1309[[#This Row],[ALT_KOD]])+AVERAGEIFS(L:L,D:D,DST_123_ÜRETİM_İHTİYAÇ_RAPORU_BURAK_YENI1309[[#This Row],[ALT_KOD]]))</f>
        <v>2</v>
      </c>
      <c r="L4103">
        <v>0</v>
      </c>
      <c r="M4103">
        <f>IF((DST_123_ÜRETİM_İHTİYAÇ_RAPORU_BURAK_YENI1309[[#This Row],[SATINALMA]]*DST_123_ÜRETİM_İHTİYAÇ_RAPORU_BURAK_YENI1309[[#This Row],[BIRIM_FIYATLAR]])&lt;1,VALUE("0"),DST_123_ÜRETİM_İHTİYAÇ_RAPORU_BURAK_YENI1309[[#This Row],[SATINALMA]]*DST_123_ÜRETİM_İHTİYAÇ_RAPORU_BURAK_YENI1309[[#This Row],[BIRIM_FIYATLAR]])</f>
        <v>3447.58</v>
      </c>
      <c r="N4103">
        <v>1723.79</v>
      </c>
      <c r="O4103" t="s">
        <v>636</v>
      </c>
      <c r="P4103">
        <v>1723.79</v>
      </c>
      <c r="Q4103" t="s">
        <v>178</v>
      </c>
    </row>
    <row r="4104" spans="1:17" x14ac:dyDescent="0.25">
      <c r="A4104" t="s">
        <v>1144</v>
      </c>
      <c r="B4104" t="s">
        <v>1145</v>
      </c>
      <c r="C4104" t="s">
        <v>175</v>
      </c>
      <c r="D4104" t="s">
        <v>779</v>
      </c>
      <c r="E4104" t="s">
        <v>780</v>
      </c>
      <c r="F4104">
        <v>2</v>
      </c>
      <c r="G4104" t="s">
        <v>176</v>
      </c>
      <c r="H4104">
        <v>0</v>
      </c>
      <c r="I4104">
        <v>1</v>
      </c>
      <c r="J4104" s="10">
        <v>14</v>
      </c>
      <c r="K4104" s="10">
        <f>SUMIFS(F:F,D:D,DST_123_ÜRETİM_İHTİYAÇ_RAPORU_BURAK_YENI1309[[#This Row],[ALT_KOD]])-(SUMIFS(H:H,D:D,DST_123_ÜRETİM_İHTİYAÇ_RAPORU_BURAK_YENI1309[[#This Row],[ALT_KOD]])+AVERAGEIFS(I:I,D:D,DST_123_ÜRETİM_İHTİYAÇ_RAPORU_BURAK_YENI1309[[#This Row],[ALT_KOD]])+AVERAGEIFS(L:L,D:D,DST_123_ÜRETİM_İHTİYAÇ_RAPORU_BURAK_YENI1309[[#This Row],[ALT_KOD]]))</f>
        <v>25</v>
      </c>
      <c r="L4104">
        <v>0</v>
      </c>
      <c r="M4104">
        <f>IF((DST_123_ÜRETİM_İHTİYAÇ_RAPORU_BURAK_YENI1309[[#This Row],[SATINALMA]]*DST_123_ÜRETİM_İHTİYAÇ_RAPORU_BURAK_YENI1309[[#This Row],[BIRIM_FIYATLAR]])&lt;1,VALUE("0"),DST_123_ÜRETİM_İHTİYAÇ_RAPORU_BURAK_YENI1309[[#This Row],[SATINALMA]]*DST_123_ÜRETİM_İHTİYAÇ_RAPORU_BURAK_YENI1309[[#This Row],[BIRIM_FIYATLAR]])</f>
        <v>11103.25</v>
      </c>
      <c r="N4104">
        <v>444.13</v>
      </c>
      <c r="O4104" t="s">
        <v>589</v>
      </c>
      <c r="P4104">
        <v>888.26</v>
      </c>
      <c r="Q4104" t="s">
        <v>177</v>
      </c>
    </row>
    <row r="4105" spans="1:17" x14ac:dyDescent="0.25">
      <c r="A4105" t="s">
        <v>1146</v>
      </c>
      <c r="B4105" t="s">
        <v>1145</v>
      </c>
      <c r="C4105" t="s">
        <v>175</v>
      </c>
      <c r="D4105" t="s">
        <v>779</v>
      </c>
      <c r="E4105" t="s">
        <v>780</v>
      </c>
      <c r="F4105">
        <v>2</v>
      </c>
      <c r="G4105" t="s">
        <v>176</v>
      </c>
      <c r="H4105">
        <v>0</v>
      </c>
      <c r="I4105">
        <v>1</v>
      </c>
      <c r="J4105" s="10">
        <v>14</v>
      </c>
      <c r="K4105" s="10">
        <f>SUMIFS(F:F,D:D,DST_123_ÜRETİM_İHTİYAÇ_RAPORU_BURAK_YENI1309[[#This Row],[ALT_KOD]])-(SUMIFS(H:H,D:D,DST_123_ÜRETİM_İHTİYAÇ_RAPORU_BURAK_YENI1309[[#This Row],[ALT_KOD]])+AVERAGEIFS(I:I,D:D,DST_123_ÜRETİM_İHTİYAÇ_RAPORU_BURAK_YENI1309[[#This Row],[ALT_KOD]])+AVERAGEIFS(L:L,D:D,DST_123_ÜRETİM_İHTİYAÇ_RAPORU_BURAK_YENI1309[[#This Row],[ALT_KOD]]))</f>
        <v>25</v>
      </c>
      <c r="L4105">
        <v>0</v>
      </c>
      <c r="M4105">
        <f>IF((DST_123_ÜRETİM_İHTİYAÇ_RAPORU_BURAK_YENI1309[[#This Row],[SATINALMA]]*DST_123_ÜRETİM_İHTİYAÇ_RAPORU_BURAK_YENI1309[[#This Row],[BIRIM_FIYATLAR]])&lt;1,VALUE("0"),DST_123_ÜRETİM_İHTİYAÇ_RAPORU_BURAK_YENI1309[[#This Row],[SATINALMA]]*DST_123_ÜRETİM_İHTİYAÇ_RAPORU_BURAK_YENI1309[[#This Row],[BIRIM_FIYATLAR]])</f>
        <v>11103.25</v>
      </c>
      <c r="N4105">
        <v>444.13</v>
      </c>
      <c r="O4105" t="s">
        <v>589</v>
      </c>
      <c r="P4105">
        <v>888.26</v>
      </c>
      <c r="Q4105" t="s">
        <v>177</v>
      </c>
    </row>
    <row r="4106" spans="1:17" x14ac:dyDescent="0.25">
      <c r="A4106" t="s">
        <v>1149</v>
      </c>
      <c r="B4106" t="s">
        <v>1145</v>
      </c>
      <c r="C4106" t="s">
        <v>175</v>
      </c>
      <c r="D4106" t="s">
        <v>718</v>
      </c>
      <c r="E4106" t="s">
        <v>719</v>
      </c>
      <c r="F4106">
        <v>1</v>
      </c>
      <c r="G4106" t="s">
        <v>176</v>
      </c>
      <c r="H4106">
        <v>0</v>
      </c>
      <c r="I4106">
        <v>1</v>
      </c>
      <c r="J4106" s="10">
        <v>4</v>
      </c>
      <c r="K4106" s="10">
        <f>SUMIFS(F:F,D:D,DST_123_ÜRETİM_İHTİYAÇ_RAPORU_BURAK_YENI1309[[#This Row],[ALT_KOD]])-(SUMIFS(H:H,D:D,DST_123_ÜRETİM_İHTİYAÇ_RAPORU_BURAK_YENI1309[[#This Row],[ALT_KOD]])+AVERAGEIFS(I:I,D:D,DST_123_ÜRETİM_İHTİYAÇ_RAPORU_BURAK_YENI1309[[#This Row],[ALT_KOD]])+AVERAGEIFS(L:L,D:D,DST_123_ÜRETİM_İHTİYAÇ_RAPORU_BURAK_YENI1309[[#This Row],[ALT_KOD]]))</f>
        <v>13</v>
      </c>
      <c r="L4106">
        <v>0</v>
      </c>
      <c r="M4106">
        <f>IF((DST_123_ÜRETİM_İHTİYAÇ_RAPORU_BURAK_YENI1309[[#This Row],[SATINALMA]]*DST_123_ÜRETİM_İHTİYAÇ_RAPORU_BURAK_YENI1309[[#This Row],[BIRIM_FIYATLAR]])&lt;1,VALUE("0"),DST_123_ÜRETİM_İHTİYAÇ_RAPORU_BURAK_YENI1309[[#This Row],[SATINALMA]]*DST_123_ÜRETİM_İHTİYAÇ_RAPORU_BURAK_YENI1309[[#This Row],[BIRIM_FIYATLAR]])</f>
        <v>168880.14</v>
      </c>
      <c r="N4106">
        <v>12990.78</v>
      </c>
      <c r="O4106" t="s">
        <v>589</v>
      </c>
      <c r="P4106">
        <v>12990.78</v>
      </c>
      <c r="Q4106" t="s">
        <v>177</v>
      </c>
    </row>
    <row r="4107" spans="1:17" x14ac:dyDescent="0.25">
      <c r="A4107" t="s">
        <v>1149</v>
      </c>
      <c r="B4107" t="s">
        <v>1145</v>
      </c>
      <c r="C4107" t="s">
        <v>175</v>
      </c>
      <c r="D4107" t="s">
        <v>879</v>
      </c>
      <c r="E4107" t="s">
        <v>880</v>
      </c>
      <c r="F4107">
        <v>1</v>
      </c>
      <c r="G4107" t="s">
        <v>176</v>
      </c>
      <c r="H4107">
        <v>0</v>
      </c>
      <c r="I4107">
        <v>9</v>
      </c>
      <c r="J4107" s="10">
        <v>8</v>
      </c>
      <c r="K4107" s="10">
        <f>SUMIFS(F:F,D:D,DST_123_ÜRETİM_İHTİYAÇ_RAPORU_BURAK_YENI1309[[#This Row],[ALT_KOD]])-(SUMIFS(H:H,D:D,DST_123_ÜRETİM_İHTİYAÇ_RAPORU_BURAK_YENI1309[[#This Row],[ALT_KOD]])+AVERAGEIFS(I:I,D:D,DST_123_ÜRETİM_İHTİYAÇ_RAPORU_BURAK_YENI1309[[#This Row],[ALT_KOD]])+AVERAGEIFS(L:L,D:D,DST_123_ÜRETİM_İHTİYAÇ_RAPORU_BURAK_YENI1309[[#This Row],[ALT_KOD]]))</f>
        <v>-12</v>
      </c>
      <c r="L4107">
        <v>15</v>
      </c>
      <c r="M4107">
        <f>IF((DST_123_ÜRETİM_İHTİYAÇ_RAPORU_BURAK_YENI1309[[#This Row],[SATINALMA]]*DST_123_ÜRETİM_İHTİYAÇ_RAPORU_BURAK_YENI1309[[#This Row],[BIRIM_FIYATLAR]])&lt;1,VALUE("0"),DST_123_ÜRETİM_İHTİYAÇ_RAPORU_BURAK_YENI1309[[#This Row],[SATINALMA]]*DST_123_ÜRETİM_İHTİYAÇ_RAPORU_BURAK_YENI1309[[#This Row],[BIRIM_FIYATLAR]])</f>
        <v>0</v>
      </c>
      <c r="N4107">
        <v>776.15</v>
      </c>
      <c r="O4107" t="s">
        <v>881</v>
      </c>
      <c r="P4107">
        <v>776.15</v>
      </c>
      <c r="Q4107" t="s">
        <v>221</v>
      </c>
    </row>
    <row r="4108" spans="1:17" x14ac:dyDescent="0.25">
      <c r="A4108" t="s">
        <v>1146</v>
      </c>
      <c r="B4108" t="s">
        <v>1145</v>
      </c>
      <c r="C4108" t="s">
        <v>175</v>
      </c>
      <c r="D4108" t="s">
        <v>1175</v>
      </c>
      <c r="E4108" t="s">
        <v>1176</v>
      </c>
      <c r="F4108">
        <v>2</v>
      </c>
      <c r="G4108" t="s">
        <v>176</v>
      </c>
      <c r="H4108">
        <v>0</v>
      </c>
      <c r="I4108">
        <v>500</v>
      </c>
      <c r="J4108" s="10">
        <v>500</v>
      </c>
      <c r="K4108" s="10">
        <f>SUMIFS(F:F,D:D,DST_123_ÜRETİM_İHTİYAÇ_RAPORU_BURAK_YENI1309[[#This Row],[ALT_KOD]])-(SUMIFS(H:H,D:D,DST_123_ÜRETİM_İHTİYAÇ_RAPORU_BURAK_YENI1309[[#This Row],[ALT_KOD]])+AVERAGEIFS(I:I,D:D,DST_123_ÜRETİM_İHTİYAÇ_RAPORU_BURAK_YENI1309[[#This Row],[ALT_KOD]])+AVERAGEIFS(L:L,D:D,DST_123_ÜRETİM_İHTİYAÇ_RAPORU_BURAK_YENI1309[[#This Row],[ALT_KOD]]))</f>
        <v>-486</v>
      </c>
      <c r="L4108">
        <v>0</v>
      </c>
      <c r="M4108">
        <f>IF((DST_123_ÜRETİM_İHTİYAÇ_RAPORU_BURAK_YENI1309[[#This Row],[SATINALMA]]*DST_123_ÜRETİM_İHTİYAÇ_RAPORU_BURAK_YENI1309[[#This Row],[BIRIM_FIYATLAR]])&lt;1,VALUE("0"),DST_123_ÜRETİM_İHTİYAÇ_RAPORU_BURAK_YENI1309[[#This Row],[SATINALMA]]*DST_123_ÜRETİM_İHTİYAÇ_RAPORU_BURAK_YENI1309[[#This Row],[BIRIM_FIYATLAR]])</f>
        <v>0</v>
      </c>
      <c r="N4108">
        <v>0.65</v>
      </c>
      <c r="O4108" t="s">
        <v>826</v>
      </c>
      <c r="P4108">
        <v>1.3</v>
      </c>
      <c r="Q4108" t="s">
        <v>221</v>
      </c>
    </row>
    <row r="4109" spans="1:17" x14ac:dyDescent="0.25">
      <c r="A4109" t="s">
        <v>1144</v>
      </c>
      <c r="B4109" t="s">
        <v>1145</v>
      </c>
      <c r="C4109" t="s">
        <v>175</v>
      </c>
      <c r="D4109" t="s">
        <v>1175</v>
      </c>
      <c r="E4109" t="s">
        <v>1176</v>
      </c>
      <c r="F4109">
        <v>2</v>
      </c>
      <c r="G4109" t="s">
        <v>176</v>
      </c>
      <c r="H4109">
        <v>0</v>
      </c>
      <c r="I4109">
        <v>500</v>
      </c>
      <c r="J4109" s="10">
        <v>500</v>
      </c>
      <c r="K4109" s="10">
        <f>SUMIFS(F:F,D:D,DST_123_ÜRETİM_İHTİYAÇ_RAPORU_BURAK_YENI1309[[#This Row],[ALT_KOD]])-(SUMIFS(H:H,D:D,DST_123_ÜRETİM_İHTİYAÇ_RAPORU_BURAK_YENI1309[[#This Row],[ALT_KOD]])+AVERAGEIFS(I:I,D:D,DST_123_ÜRETİM_İHTİYAÇ_RAPORU_BURAK_YENI1309[[#This Row],[ALT_KOD]])+AVERAGEIFS(L:L,D:D,DST_123_ÜRETİM_İHTİYAÇ_RAPORU_BURAK_YENI1309[[#This Row],[ALT_KOD]]))</f>
        <v>-486</v>
      </c>
      <c r="L4109">
        <v>0</v>
      </c>
      <c r="M4109">
        <f>IF((DST_123_ÜRETİM_İHTİYAÇ_RAPORU_BURAK_YENI1309[[#This Row],[SATINALMA]]*DST_123_ÜRETİM_İHTİYAÇ_RAPORU_BURAK_YENI1309[[#This Row],[BIRIM_FIYATLAR]])&lt;1,VALUE("0"),DST_123_ÜRETİM_İHTİYAÇ_RAPORU_BURAK_YENI1309[[#This Row],[SATINALMA]]*DST_123_ÜRETİM_İHTİYAÇ_RAPORU_BURAK_YENI1309[[#This Row],[BIRIM_FIYATLAR]])</f>
        <v>0</v>
      </c>
      <c r="N4109">
        <v>0.65</v>
      </c>
      <c r="O4109" t="s">
        <v>826</v>
      </c>
      <c r="P4109">
        <v>1.3</v>
      </c>
      <c r="Q4109" t="s">
        <v>221</v>
      </c>
    </row>
    <row r="4110" spans="1:17" x14ac:dyDescent="0.25">
      <c r="A4110" t="s">
        <v>1149</v>
      </c>
      <c r="B4110" t="s">
        <v>1145</v>
      </c>
      <c r="C4110" t="s">
        <v>175</v>
      </c>
      <c r="D4110" t="s">
        <v>1177</v>
      </c>
      <c r="E4110" t="s">
        <v>1178</v>
      </c>
      <c r="F4110">
        <v>2</v>
      </c>
      <c r="G4110" t="s">
        <v>176</v>
      </c>
      <c r="H4110">
        <v>0</v>
      </c>
      <c r="I4110">
        <v>500</v>
      </c>
      <c r="J4110" s="10">
        <v>500</v>
      </c>
      <c r="K4110" s="10">
        <f>SUMIFS(F:F,D:D,DST_123_ÜRETİM_İHTİYAÇ_RAPORU_BURAK_YENI1309[[#This Row],[ALT_KOD]])-(SUMIFS(H:H,D:D,DST_123_ÜRETİM_İHTİYAÇ_RAPORU_BURAK_YENI1309[[#This Row],[ALT_KOD]])+AVERAGEIFS(I:I,D:D,DST_123_ÜRETİM_İHTİYAÇ_RAPORU_BURAK_YENI1309[[#This Row],[ALT_KOD]])+AVERAGEIFS(L:L,D:D,DST_123_ÜRETİM_İHTİYAÇ_RAPORU_BURAK_YENI1309[[#This Row],[ALT_KOD]]))</f>
        <v>-486</v>
      </c>
      <c r="L4110">
        <v>0</v>
      </c>
      <c r="M4110">
        <f>IF((DST_123_ÜRETİM_İHTİYAÇ_RAPORU_BURAK_YENI1309[[#This Row],[SATINALMA]]*DST_123_ÜRETİM_İHTİYAÇ_RAPORU_BURAK_YENI1309[[#This Row],[BIRIM_FIYATLAR]])&lt;1,VALUE("0"),DST_123_ÜRETİM_İHTİYAÇ_RAPORU_BURAK_YENI1309[[#This Row],[SATINALMA]]*DST_123_ÜRETİM_İHTİYAÇ_RAPORU_BURAK_YENI1309[[#This Row],[BIRIM_FIYATLAR]])</f>
        <v>0</v>
      </c>
      <c r="N4110">
        <v>0.39</v>
      </c>
      <c r="O4110" t="s">
        <v>826</v>
      </c>
      <c r="P4110">
        <v>0.78</v>
      </c>
      <c r="Q4110" t="s">
        <v>221</v>
      </c>
    </row>
    <row r="4111" spans="1:17" x14ac:dyDescent="0.25">
      <c r="A4111" t="s">
        <v>1146</v>
      </c>
      <c r="B4111" t="s">
        <v>1145</v>
      </c>
      <c r="C4111" t="s">
        <v>175</v>
      </c>
      <c r="D4111" t="s">
        <v>1177</v>
      </c>
      <c r="E4111" t="s">
        <v>1178</v>
      </c>
      <c r="F4111">
        <v>2</v>
      </c>
      <c r="G4111" t="s">
        <v>176</v>
      </c>
      <c r="H4111">
        <v>0</v>
      </c>
      <c r="I4111">
        <v>500</v>
      </c>
      <c r="J4111" s="10">
        <v>500</v>
      </c>
      <c r="K4111" s="10">
        <f>SUMIFS(F:F,D:D,DST_123_ÜRETİM_İHTİYAÇ_RAPORU_BURAK_YENI1309[[#This Row],[ALT_KOD]])-(SUMIFS(H:H,D:D,DST_123_ÜRETİM_İHTİYAÇ_RAPORU_BURAK_YENI1309[[#This Row],[ALT_KOD]])+AVERAGEIFS(I:I,D:D,DST_123_ÜRETİM_İHTİYAÇ_RAPORU_BURAK_YENI1309[[#This Row],[ALT_KOD]])+AVERAGEIFS(L:L,D:D,DST_123_ÜRETİM_İHTİYAÇ_RAPORU_BURAK_YENI1309[[#This Row],[ALT_KOD]]))</f>
        <v>-486</v>
      </c>
      <c r="L4111">
        <v>0</v>
      </c>
      <c r="M4111">
        <f>IF((DST_123_ÜRETİM_İHTİYAÇ_RAPORU_BURAK_YENI1309[[#This Row],[SATINALMA]]*DST_123_ÜRETİM_İHTİYAÇ_RAPORU_BURAK_YENI1309[[#This Row],[BIRIM_FIYATLAR]])&lt;1,VALUE("0"),DST_123_ÜRETİM_İHTİYAÇ_RAPORU_BURAK_YENI1309[[#This Row],[SATINALMA]]*DST_123_ÜRETİM_İHTİYAÇ_RAPORU_BURAK_YENI1309[[#This Row],[BIRIM_FIYATLAR]])</f>
        <v>0</v>
      </c>
      <c r="N4111">
        <v>0.39</v>
      </c>
      <c r="O4111" t="s">
        <v>826</v>
      </c>
      <c r="P4111">
        <v>0.78</v>
      </c>
      <c r="Q4111" t="s">
        <v>221</v>
      </c>
    </row>
    <row r="4112" spans="1:17" x14ac:dyDescent="0.25">
      <c r="A4112" t="s">
        <v>1098</v>
      </c>
      <c r="B4112" t="s">
        <v>1096</v>
      </c>
      <c r="C4112" t="s">
        <v>175</v>
      </c>
      <c r="D4112" t="s">
        <v>569</v>
      </c>
      <c r="E4112" t="s">
        <v>570</v>
      </c>
      <c r="F4112">
        <v>4</v>
      </c>
      <c r="G4112" t="s">
        <v>176</v>
      </c>
      <c r="H4112">
        <v>0</v>
      </c>
      <c r="I4112">
        <v>1000</v>
      </c>
      <c r="J4112" s="10">
        <v>1222</v>
      </c>
      <c r="K4112" s="10">
        <f>SUMIFS(F:F,D:D,DST_123_ÜRETİM_İHTİYAÇ_RAPORU_BURAK_YENI1309[[#This Row],[ALT_KOD]])-(SUMIFS(H:H,D:D,DST_123_ÜRETİM_İHTİYAÇ_RAPORU_BURAK_YENI1309[[#This Row],[ALT_KOD]])+AVERAGEIFS(I:I,D:D,DST_123_ÜRETİM_İHTİYAÇ_RAPORU_BURAK_YENI1309[[#This Row],[ALT_KOD]])+AVERAGEIFS(L:L,D:D,DST_123_ÜRETİM_İHTİYAÇ_RAPORU_BURAK_YENI1309[[#This Row],[ALT_KOD]]))</f>
        <v>-903</v>
      </c>
      <c r="L4112">
        <v>0</v>
      </c>
      <c r="M4112">
        <f>IF((DST_123_ÜRETİM_İHTİYAÇ_RAPORU_BURAK_YENI1309[[#This Row],[SATINALMA]]*DST_123_ÜRETİM_İHTİYAÇ_RAPORU_BURAK_YENI1309[[#This Row],[BIRIM_FIYATLAR]])&lt;1,VALUE("0"),DST_123_ÜRETİM_İHTİYAÇ_RAPORU_BURAK_YENI1309[[#This Row],[SATINALMA]]*DST_123_ÜRETİM_İHTİYAÇ_RAPORU_BURAK_YENI1309[[#This Row],[BIRIM_FIYATLAR]])</f>
        <v>0</v>
      </c>
      <c r="N4112">
        <v>1.1399999999999999</v>
      </c>
      <c r="O4112" t="s">
        <v>882</v>
      </c>
      <c r="P4112">
        <v>4.5599999999999996</v>
      </c>
      <c r="Q4112" t="s">
        <v>180</v>
      </c>
    </row>
    <row r="4113" spans="1:17" x14ac:dyDescent="0.25">
      <c r="A4113" t="s">
        <v>1150</v>
      </c>
      <c r="B4113" t="s">
        <v>1145</v>
      </c>
      <c r="C4113" t="s">
        <v>175</v>
      </c>
      <c r="D4113" t="s">
        <v>779</v>
      </c>
      <c r="E4113" t="s">
        <v>780</v>
      </c>
      <c r="F4113">
        <v>2</v>
      </c>
      <c r="G4113" t="s">
        <v>176</v>
      </c>
      <c r="H4113">
        <v>0</v>
      </c>
      <c r="I4113">
        <v>1</v>
      </c>
      <c r="J4113" s="10">
        <v>14</v>
      </c>
      <c r="K4113" s="10">
        <f>SUMIFS(F:F,D:D,DST_123_ÜRETİM_İHTİYAÇ_RAPORU_BURAK_YENI1309[[#This Row],[ALT_KOD]])-(SUMIFS(H:H,D:D,DST_123_ÜRETİM_İHTİYAÇ_RAPORU_BURAK_YENI1309[[#This Row],[ALT_KOD]])+AVERAGEIFS(I:I,D:D,DST_123_ÜRETİM_İHTİYAÇ_RAPORU_BURAK_YENI1309[[#This Row],[ALT_KOD]])+AVERAGEIFS(L:L,D:D,DST_123_ÜRETİM_İHTİYAÇ_RAPORU_BURAK_YENI1309[[#This Row],[ALT_KOD]]))</f>
        <v>25</v>
      </c>
      <c r="L4113">
        <v>0</v>
      </c>
      <c r="M4113">
        <f>IF((DST_123_ÜRETİM_İHTİYAÇ_RAPORU_BURAK_YENI1309[[#This Row],[SATINALMA]]*DST_123_ÜRETİM_İHTİYAÇ_RAPORU_BURAK_YENI1309[[#This Row],[BIRIM_FIYATLAR]])&lt;1,VALUE("0"),DST_123_ÜRETİM_İHTİYAÇ_RAPORU_BURAK_YENI1309[[#This Row],[SATINALMA]]*DST_123_ÜRETİM_İHTİYAÇ_RAPORU_BURAK_YENI1309[[#This Row],[BIRIM_FIYATLAR]])</f>
        <v>11103.25</v>
      </c>
      <c r="N4113">
        <v>444.13</v>
      </c>
      <c r="O4113" t="s">
        <v>589</v>
      </c>
      <c r="P4113">
        <v>888.26</v>
      </c>
      <c r="Q4113" t="s">
        <v>177</v>
      </c>
    </row>
    <row r="4114" spans="1:17" x14ac:dyDescent="0.25">
      <c r="A4114" t="s">
        <v>1142</v>
      </c>
      <c r="B4114" t="s">
        <v>1056</v>
      </c>
      <c r="C4114" t="s">
        <v>175</v>
      </c>
      <c r="D4114" t="s">
        <v>637</v>
      </c>
      <c r="E4114" t="s">
        <v>638</v>
      </c>
      <c r="F4114">
        <v>1</v>
      </c>
      <c r="G4114" t="s">
        <v>176</v>
      </c>
      <c r="H4114">
        <v>0</v>
      </c>
      <c r="I4114">
        <v>19</v>
      </c>
      <c r="J4114" s="10">
        <v>17</v>
      </c>
      <c r="K4114" s="10">
        <f>SUMIFS(F:F,D:D,DST_123_ÜRETİM_İHTİYAÇ_RAPORU_BURAK_YENI1309[[#This Row],[ALT_KOD]])-(SUMIFS(H:H,D:D,DST_123_ÜRETİM_İHTİYAÇ_RAPORU_BURAK_YENI1309[[#This Row],[ALT_KOD]])+AVERAGEIFS(I:I,D:D,DST_123_ÜRETİM_İHTİYAÇ_RAPORU_BURAK_YENI1309[[#This Row],[ALT_KOD]])+AVERAGEIFS(L:L,D:D,DST_123_ÜRETİM_İHTİYAÇ_RAPORU_BURAK_YENI1309[[#This Row],[ALT_KOD]]))</f>
        <v>0</v>
      </c>
      <c r="L4114">
        <v>0</v>
      </c>
      <c r="M4114">
        <f>IF((DST_123_ÜRETİM_İHTİYAÇ_RAPORU_BURAK_YENI1309[[#This Row],[SATINALMA]]*DST_123_ÜRETİM_İHTİYAÇ_RAPORU_BURAK_YENI1309[[#This Row],[BIRIM_FIYATLAR]])&lt;1,VALUE("0"),DST_123_ÜRETİM_İHTİYAÇ_RAPORU_BURAK_YENI1309[[#This Row],[SATINALMA]]*DST_123_ÜRETİM_İHTİYAÇ_RAPORU_BURAK_YENI1309[[#This Row],[BIRIM_FIYATLAR]])</f>
        <v>0</v>
      </c>
      <c r="N4114">
        <v>113.64</v>
      </c>
      <c r="O4114" t="s">
        <v>639</v>
      </c>
      <c r="P4114">
        <v>113.64</v>
      </c>
      <c r="Q4114" t="s">
        <v>640</v>
      </c>
    </row>
    <row r="4115" spans="1:17" x14ac:dyDescent="0.25">
      <c r="A4115" t="s">
        <v>1064</v>
      </c>
      <c r="B4115" t="s">
        <v>1055</v>
      </c>
      <c r="C4115" t="s">
        <v>175</v>
      </c>
      <c r="D4115" t="s">
        <v>134</v>
      </c>
      <c r="E4115" t="s">
        <v>135</v>
      </c>
      <c r="F4115">
        <v>5</v>
      </c>
      <c r="G4115" t="s">
        <v>179</v>
      </c>
      <c r="H4115">
        <v>0</v>
      </c>
      <c r="I4115">
        <v>60</v>
      </c>
      <c r="J4115" s="10">
        <v>52</v>
      </c>
      <c r="K4115" s="10">
        <f>SUMIFS(F:F,D:D,DST_123_ÜRETİM_İHTİYAÇ_RAPORU_BURAK_YENI1309[[#This Row],[ALT_KOD]])-(SUMIFS(H:H,D:D,DST_123_ÜRETİM_İHTİYAÇ_RAPORU_BURAK_YENI1309[[#This Row],[ALT_KOD]])+AVERAGEIFS(I:I,D:D,DST_123_ÜRETİM_İHTİYAÇ_RAPORU_BURAK_YENI1309[[#This Row],[ALT_KOD]])+AVERAGEIFS(L:L,D:D,DST_123_ÜRETİM_İHTİYAÇ_RAPORU_BURAK_YENI1309[[#This Row],[ALT_KOD]]))</f>
        <v>14.5</v>
      </c>
      <c r="L4115">
        <v>80</v>
      </c>
      <c r="M4115">
        <f>IF((DST_123_ÜRETİM_İHTİYAÇ_RAPORU_BURAK_YENI1309[[#This Row],[SATINALMA]]*DST_123_ÜRETİM_İHTİYAÇ_RAPORU_BURAK_YENI1309[[#This Row],[BIRIM_FIYATLAR]])&lt;1,VALUE("0"),DST_123_ÜRETİM_İHTİYAÇ_RAPORU_BURAK_YENI1309[[#This Row],[SATINALMA]]*DST_123_ÜRETİM_İHTİYAÇ_RAPORU_BURAK_YENI1309[[#This Row],[BIRIM_FIYATLAR]])</f>
        <v>710.5</v>
      </c>
      <c r="N4115">
        <v>49</v>
      </c>
      <c r="O4115" t="s">
        <v>672</v>
      </c>
      <c r="P4115">
        <v>245</v>
      </c>
      <c r="Q4115" t="s">
        <v>184</v>
      </c>
    </row>
    <row r="4116" spans="1:17" x14ac:dyDescent="0.25">
      <c r="A4116" t="s">
        <v>1196</v>
      </c>
      <c r="B4116" t="s">
        <v>1197</v>
      </c>
      <c r="C4116" t="s">
        <v>175</v>
      </c>
      <c r="D4116" t="s">
        <v>134</v>
      </c>
      <c r="E4116" t="s">
        <v>135</v>
      </c>
      <c r="F4116">
        <v>12</v>
      </c>
      <c r="G4116" t="s">
        <v>179</v>
      </c>
      <c r="H4116">
        <v>0</v>
      </c>
      <c r="I4116">
        <v>60</v>
      </c>
      <c r="J4116" s="10">
        <v>52</v>
      </c>
      <c r="K4116" s="10">
        <f>SUMIFS(F:F,D:D,DST_123_ÜRETİM_İHTİYAÇ_RAPORU_BURAK_YENI1309[[#This Row],[ALT_KOD]])-(SUMIFS(H:H,D:D,DST_123_ÜRETİM_İHTİYAÇ_RAPORU_BURAK_YENI1309[[#This Row],[ALT_KOD]])+AVERAGEIFS(I:I,D:D,DST_123_ÜRETİM_İHTİYAÇ_RAPORU_BURAK_YENI1309[[#This Row],[ALT_KOD]])+AVERAGEIFS(L:L,D:D,DST_123_ÜRETİM_İHTİYAÇ_RAPORU_BURAK_YENI1309[[#This Row],[ALT_KOD]]))</f>
        <v>14.5</v>
      </c>
      <c r="L4116">
        <v>80</v>
      </c>
      <c r="M4116">
        <f>IF((DST_123_ÜRETİM_İHTİYAÇ_RAPORU_BURAK_YENI1309[[#This Row],[SATINALMA]]*DST_123_ÜRETİM_İHTİYAÇ_RAPORU_BURAK_YENI1309[[#This Row],[BIRIM_FIYATLAR]])&lt;1,VALUE("0"),DST_123_ÜRETİM_İHTİYAÇ_RAPORU_BURAK_YENI1309[[#This Row],[SATINALMA]]*DST_123_ÜRETİM_İHTİYAÇ_RAPORU_BURAK_YENI1309[[#This Row],[BIRIM_FIYATLAR]])</f>
        <v>710.5</v>
      </c>
      <c r="N4116">
        <v>49</v>
      </c>
      <c r="O4116" t="s">
        <v>672</v>
      </c>
      <c r="P4116">
        <v>588</v>
      </c>
      <c r="Q4116" t="s">
        <v>184</v>
      </c>
    </row>
    <row r="4117" spans="1:17" x14ac:dyDescent="0.25">
      <c r="A4117" t="s">
        <v>1144</v>
      </c>
      <c r="B4117" t="s">
        <v>1145</v>
      </c>
      <c r="C4117" t="s">
        <v>175</v>
      </c>
      <c r="D4117" t="s">
        <v>473</v>
      </c>
      <c r="E4117" t="s">
        <v>474</v>
      </c>
      <c r="F4117">
        <v>44</v>
      </c>
      <c r="G4117" t="s">
        <v>176</v>
      </c>
      <c r="H4117">
        <v>0</v>
      </c>
      <c r="I4117">
        <v>680</v>
      </c>
      <c r="J4117" s="10">
        <v>614</v>
      </c>
      <c r="K4117" s="10">
        <f>SUMIFS(F:F,D:D,DST_123_ÜRETİM_İHTİYAÇ_RAPORU_BURAK_YENI1309[[#This Row],[ALT_KOD]])-(SUMIFS(H:H,D:D,DST_123_ÜRETİM_İHTİYAÇ_RAPORU_BURAK_YENI1309[[#This Row],[ALT_KOD]])+AVERAGEIFS(I:I,D:D,DST_123_ÜRETİM_İHTİYAÇ_RAPORU_BURAK_YENI1309[[#This Row],[ALT_KOD]])+AVERAGEIFS(L:L,D:D,DST_123_ÜRETİM_İHTİYAÇ_RAPORU_BURAK_YENI1309[[#This Row],[ALT_KOD]]))</f>
        <v>118</v>
      </c>
      <c r="L4117">
        <v>0</v>
      </c>
      <c r="M4117">
        <f>IF((DST_123_ÜRETİM_İHTİYAÇ_RAPORU_BURAK_YENI1309[[#This Row],[SATINALMA]]*DST_123_ÜRETİM_İHTİYAÇ_RAPORU_BURAK_YENI1309[[#This Row],[BIRIM_FIYATLAR]])&lt;1,VALUE("0"),DST_123_ÜRETİM_İHTİYAÇ_RAPORU_BURAK_YENI1309[[#This Row],[SATINALMA]]*DST_123_ÜRETİM_İHTİYAÇ_RAPORU_BURAK_YENI1309[[#This Row],[BIRIM_FIYATLAR]])</f>
        <v>247.8</v>
      </c>
      <c r="N4117">
        <v>2.1</v>
      </c>
      <c r="O4117" t="s">
        <v>240</v>
      </c>
      <c r="P4117">
        <v>92.4</v>
      </c>
      <c r="Q4117" t="s">
        <v>180</v>
      </c>
    </row>
    <row r="4118" spans="1:17" x14ac:dyDescent="0.25">
      <c r="A4118" t="s">
        <v>1146</v>
      </c>
      <c r="B4118" t="s">
        <v>1145</v>
      </c>
      <c r="C4118" t="s">
        <v>175</v>
      </c>
      <c r="D4118" t="s">
        <v>161</v>
      </c>
      <c r="E4118" t="s">
        <v>162</v>
      </c>
      <c r="F4118">
        <v>1</v>
      </c>
      <c r="G4118" t="s">
        <v>176</v>
      </c>
      <c r="H4118">
        <v>0</v>
      </c>
      <c r="I4118">
        <v>5</v>
      </c>
      <c r="J4118" s="10">
        <v>8</v>
      </c>
      <c r="K4118" s="10">
        <f>SUMIFS(F:F,D:D,DST_123_ÜRETİM_İHTİYAÇ_RAPORU_BURAK_YENI1309[[#This Row],[ALT_KOD]])-(SUMIFS(H:H,D:D,DST_123_ÜRETİM_İHTİYAÇ_RAPORU_BURAK_YENI1309[[#This Row],[ALT_KOD]])+AVERAGEIFS(I:I,D:D,DST_123_ÜRETİM_İHTİYAÇ_RAPORU_BURAK_YENI1309[[#This Row],[ALT_KOD]])+AVERAGEIFS(L:L,D:D,DST_123_ÜRETİM_İHTİYAÇ_RAPORU_BURAK_YENI1309[[#This Row],[ALT_KOD]]))</f>
        <v>5</v>
      </c>
      <c r="L4118">
        <v>0</v>
      </c>
      <c r="M4118">
        <f>IF((DST_123_ÜRETİM_İHTİYAÇ_RAPORU_BURAK_YENI1309[[#This Row],[SATINALMA]]*DST_123_ÜRETİM_İHTİYAÇ_RAPORU_BURAK_YENI1309[[#This Row],[BIRIM_FIYATLAR]])&lt;1,VALUE("0"),DST_123_ÜRETİM_İHTİYAÇ_RAPORU_BURAK_YENI1309[[#This Row],[SATINALMA]]*DST_123_ÜRETİM_İHTİYAÇ_RAPORU_BURAK_YENI1309[[#This Row],[BIRIM_FIYATLAR]])</f>
        <v>30523.449999999997</v>
      </c>
      <c r="N4118">
        <v>6104.69</v>
      </c>
      <c r="O4118" t="s">
        <v>227</v>
      </c>
      <c r="P4118">
        <v>6104.69</v>
      </c>
      <c r="Q4118" t="s">
        <v>221</v>
      </c>
    </row>
    <row r="4119" spans="1:17" x14ac:dyDescent="0.25">
      <c r="A4119" t="s">
        <v>1144</v>
      </c>
      <c r="B4119" t="s">
        <v>1145</v>
      </c>
      <c r="C4119" t="s">
        <v>175</v>
      </c>
      <c r="D4119" t="s">
        <v>161</v>
      </c>
      <c r="E4119" t="s">
        <v>162</v>
      </c>
      <c r="F4119">
        <v>1</v>
      </c>
      <c r="G4119" t="s">
        <v>176</v>
      </c>
      <c r="H4119">
        <v>0</v>
      </c>
      <c r="I4119">
        <v>5</v>
      </c>
      <c r="J4119" s="10">
        <v>8</v>
      </c>
      <c r="K4119" s="10">
        <f>SUMIFS(F:F,D:D,DST_123_ÜRETİM_İHTİYAÇ_RAPORU_BURAK_YENI1309[[#This Row],[ALT_KOD]])-(SUMIFS(H:H,D:D,DST_123_ÜRETİM_İHTİYAÇ_RAPORU_BURAK_YENI1309[[#This Row],[ALT_KOD]])+AVERAGEIFS(I:I,D:D,DST_123_ÜRETİM_İHTİYAÇ_RAPORU_BURAK_YENI1309[[#This Row],[ALT_KOD]])+AVERAGEIFS(L:L,D:D,DST_123_ÜRETİM_İHTİYAÇ_RAPORU_BURAK_YENI1309[[#This Row],[ALT_KOD]]))</f>
        <v>5</v>
      </c>
      <c r="L4119">
        <v>0</v>
      </c>
      <c r="M4119">
        <f>IF((DST_123_ÜRETİM_İHTİYAÇ_RAPORU_BURAK_YENI1309[[#This Row],[SATINALMA]]*DST_123_ÜRETİM_İHTİYAÇ_RAPORU_BURAK_YENI1309[[#This Row],[BIRIM_FIYATLAR]])&lt;1,VALUE("0"),DST_123_ÜRETİM_İHTİYAÇ_RAPORU_BURAK_YENI1309[[#This Row],[SATINALMA]]*DST_123_ÜRETİM_İHTİYAÇ_RAPORU_BURAK_YENI1309[[#This Row],[BIRIM_FIYATLAR]])</f>
        <v>30523.449999999997</v>
      </c>
      <c r="N4119">
        <v>6104.69</v>
      </c>
      <c r="O4119" t="s">
        <v>227</v>
      </c>
      <c r="P4119">
        <v>6104.69</v>
      </c>
      <c r="Q4119" t="s">
        <v>221</v>
      </c>
    </row>
    <row r="4120" spans="1:17" x14ac:dyDescent="0.25">
      <c r="A4120" t="s">
        <v>1142</v>
      </c>
      <c r="B4120" t="s">
        <v>1056</v>
      </c>
      <c r="C4120" t="s">
        <v>175</v>
      </c>
      <c r="D4120" t="s">
        <v>783</v>
      </c>
      <c r="E4120" t="s">
        <v>784</v>
      </c>
      <c r="F4120">
        <v>1</v>
      </c>
      <c r="G4120" t="s">
        <v>176</v>
      </c>
      <c r="H4120">
        <v>0</v>
      </c>
      <c r="I4120">
        <v>15</v>
      </c>
      <c r="J4120" s="10">
        <v>11</v>
      </c>
      <c r="K4120" s="10">
        <f>SUMIFS(F:F,D:D,DST_123_ÜRETİM_İHTİYAÇ_RAPORU_BURAK_YENI1309[[#This Row],[ALT_KOD]])-(SUMIFS(H:H,D:D,DST_123_ÜRETİM_İHTİYAÇ_RAPORU_BURAK_YENI1309[[#This Row],[ALT_KOD]])+AVERAGEIFS(I:I,D:D,DST_123_ÜRETİM_İHTİYAÇ_RAPORU_BURAK_YENI1309[[#This Row],[ALT_KOD]])+AVERAGEIFS(L:L,D:D,DST_123_ÜRETİM_İHTİYAÇ_RAPORU_BURAK_YENI1309[[#This Row],[ALT_KOD]]))</f>
        <v>-4</v>
      </c>
      <c r="L4120">
        <v>0</v>
      </c>
      <c r="M4120">
        <f>IF((DST_123_ÜRETİM_İHTİYAÇ_RAPORU_BURAK_YENI1309[[#This Row],[SATINALMA]]*DST_123_ÜRETİM_İHTİYAÇ_RAPORU_BURAK_YENI1309[[#This Row],[BIRIM_FIYATLAR]])&lt;1,VALUE("0"),DST_123_ÜRETİM_İHTİYAÇ_RAPORU_BURAK_YENI1309[[#This Row],[SATINALMA]]*DST_123_ÜRETİM_İHTİYAÇ_RAPORU_BURAK_YENI1309[[#This Row],[BIRIM_FIYATLAR]])</f>
        <v>0</v>
      </c>
      <c r="N4120">
        <v>510</v>
      </c>
      <c r="O4120" t="s">
        <v>289</v>
      </c>
      <c r="P4120">
        <v>510</v>
      </c>
      <c r="Q4120" t="s">
        <v>178</v>
      </c>
    </row>
    <row r="4121" spans="1:17" x14ac:dyDescent="0.25">
      <c r="A4121" t="s">
        <v>1150</v>
      </c>
      <c r="B4121" t="s">
        <v>1145</v>
      </c>
      <c r="C4121" t="s">
        <v>175</v>
      </c>
      <c r="D4121" t="s">
        <v>605</v>
      </c>
      <c r="E4121" t="s">
        <v>606</v>
      </c>
      <c r="F4121">
        <v>4</v>
      </c>
      <c r="G4121" t="s">
        <v>176</v>
      </c>
      <c r="H4121">
        <v>0</v>
      </c>
      <c r="I4121">
        <v>25</v>
      </c>
      <c r="J4121" s="10">
        <v>14</v>
      </c>
      <c r="K4121" s="10">
        <f>SUMIFS(F:F,D:D,DST_123_ÜRETİM_İHTİYAÇ_RAPORU_BURAK_YENI1309[[#This Row],[ALT_KOD]])-(SUMIFS(H:H,D:D,DST_123_ÜRETİM_İHTİYAÇ_RAPORU_BURAK_YENI1309[[#This Row],[ALT_KOD]])+AVERAGEIFS(I:I,D:D,DST_123_ÜRETİM_İHTİYAÇ_RAPORU_BURAK_YENI1309[[#This Row],[ALT_KOD]])+AVERAGEIFS(L:L,D:D,DST_123_ÜRETİM_İHTİYAÇ_RAPORU_BURAK_YENI1309[[#This Row],[ALT_KOD]]))</f>
        <v>7</v>
      </c>
      <c r="L4121">
        <v>0</v>
      </c>
      <c r="M4121">
        <f>IF((DST_123_ÜRETİM_İHTİYAÇ_RAPORU_BURAK_YENI1309[[#This Row],[SATINALMA]]*DST_123_ÜRETİM_İHTİYAÇ_RAPORU_BURAK_YENI1309[[#This Row],[BIRIM_FIYATLAR]])&lt;1,VALUE("0"),DST_123_ÜRETİM_İHTİYAÇ_RAPORU_BURAK_YENI1309[[#This Row],[SATINALMA]]*DST_123_ÜRETİM_İHTİYAÇ_RAPORU_BURAK_YENI1309[[#This Row],[BIRIM_FIYATLAR]])</f>
        <v>1206.6599999999999</v>
      </c>
      <c r="N4121">
        <v>172.38</v>
      </c>
      <c r="O4121" t="s">
        <v>636</v>
      </c>
      <c r="P4121">
        <v>689.52</v>
      </c>
      <c r="Q4121" t="s">
        <v>177</v>
      </c>
    </row>
    <row r="4122" spans="1:17" x14ac:dyDescent="0.25">
      <c r="A4122" t="s">
        <v>1144</v>
      </c>
      <c r="B4122" t="s">
        <v>1145</v>
      </c>
      <c r="C4122" t="s">
        <v>175</v>
      </c>
      <c r="D4122" t="s">
        <v>783</v>
      </c>
      <c r="E4122" t="s">
        <v>784</v>
      </c>
      <c r="F4122">
        <v>1</v>
      </c>
      <c r="G4122" t="s">
        <v>176</v>
      </c>
      <c r="H4122">
        <v>0</v>
      </c>
      <c r="I4122">
        <v>15</v>
      </c>
      <c r="J4122" s="10">
        <v>11</v>
      </c>
      <c r="K4122" s="10">
        <f>SUMIFS(F:F,D:D,DST_123_ÜRETİM_İHTİYAÇ_RAPORU_BURAK_YENI1309[[#This Row],[ALT_KOD]])-(SUMIFS(H:H,D:D,DST_123_ÜRETİM_İHTİYAÇ_RAPORU_BURAK_YENI1309[[#This Row],[ALT_KOD]])+AVERAGEIFS(I:I,D:D,DST_123_ÜRETİM_İHTİYAÇ_RAPORU_BURAK_YENI1309[[#This Row],[ALT_KOD]])+AVERAGEIFS(L:L,D:D,DST_123_ÜRETİM_İHTİYAÇ_RAPORU_BURAK_YENI1309[[#This Row],[ALT_KOD]]))</f>
        <v>-4</v>
      </c>
      <c r="L4122">
        <v>0</v>
      </c>
      <c r="M4122">
        <f>IF((DST_123_ÜRETİM_İHTİYAÇ_RAPORU_BURAK_YENI1309[[#This Row],[SATINALMA]]*DST_123_ÜRETİM_İHTİYAÇ_RAPORU_BURAK_YENI1309[[#This Row],[BIRIM_FIYATLAR]])&lt;1,VALUE("0"),DST_123_ÜRETİM_İHTİYAÇ_RAPORU_BURAK_YENI1309[[#This Row],[SATINALMA]]*DST_123_ÜRETİM_İHTİYAÇ_RAPORU_BURAK_YENI1309[[#This Row],[BIRIM_FIYATLAR]])</f>
        <v>0</v>
      </c>
      <c r="N4122">
        <v>510</v>
      </c>
      <c r="O4122" t="s">
        <v>289</v>
      </c>
      <c r="P4122">
        <v>510</v>
      </c>
      <c r="Q4122" t="s">
        <v>178</v>
      </c>
    </row>
    <row r="4123" spans="1:17" x14ac:dyDescent="0.25">
      <c r="A4123" t="s">
        <v>1146</v>
      </c>
      <c r="B4123" t="s">
        <v>1145</v>
      </c>
      <c r="C4123" t="s">
        <v>175</v>
      </c>
      <c r="D4123" t="s">
        <v>783</v>
      </c>
      <c r="E4123" t="s">
        <v>784</v>
      </c>
      <c r="F4123">
        <v>1</v>
      </c>
      <c r="G4123" t="s">
        <v>176</v>
      </c>
      <c r="H4123">
        <v>0</v>
      </c>
      <c r="I4123">
        <v>15</v>
      </c>
      <c r="J4123" s="10">
        <v>11</v>
      </c>
      <c r="K4123" s="10">
        <f>SUMIFS(F:F,D:D,DST_123_ÜRETİM_İHTİYAÇ_RAPORU_BURAK_YENI1309[[#This Row],[ALT_KOD]])-(SUMIFS(H:H,D:D,DST_123_ÜRETİM_İHTİYAÇ_RAPORU_BURAK_YENI1309[[#This Row],[ALT_KOD]])+AVERAGEIFS(I:I,D:D,DST_123_ÜRETİM_İHTİYAÇ_RAPORU_BURAK_YENI1309[[#This Row],[ALT_KOD]])+AVERAGEIFS(L:L,D:D,DST_123_ÜRETİM_İHTİYAÇ_RAPORU_BURAK_YENI1309[[#This Row],[ALT_KOD]]))</f>
        <v>-4</v>
      </c>
      <c r="L4123">
        <v>0</v>
      </c>
      <c r="M4123">
        <f>IF((DST_123_ÜRETİM_İHTİYAÇ_RAPORU_BURAK_YENI1309[[#This Row],[SATINALMA]]*DST_123_ÜRETİM_İHTİYAÇ_RAPORU_BURAK_YENI1309[[#This Row],[BIRIM_FIYATLAR]])&lt;1,VALUE("0"),DST_123_ÜRETİM_İHTİYAÇ_RAPORU_BURAK_YENI1309[[#This Row],[SATINALMA]]*DST_123_ÜRETİM_İHTİYAÇ_RAPORU_BURAK_YENI1309[[#This Row],[BIRIM_FIYATLAR]])</f>
        <v>0</v>
      </c>
      <c r="N4123">
        <v>510</v>
      </c>
      <c r="O4123" t="s">
        <v>289</v>
      </c>
      <c r="P4123">
        <v>510</v>
      </c>
      <c r="Q4123" t="s">
        <v>178</v>
      </c>
    </row>
    <row r="4124" spans="1:17" x14ac:dyDescent="0.25">
      <c r="A4124" t="s">
        <v>1142</v>
      </c>
      <c r="B4124" t="s">
        <v>1056</v>
      </c>
      <c r="C4124" t="s">
        <v>175</v>
      </c>
      <c r="D4124" t="s">
        <v>593</v>
      </c>
      <c r="E4124" t="s">
        <v>594</v>
      </c>
      <c r="F4124">
        <v>4</v>
      </c>
      <c r="G4124" t="s">
        <v>176</v>
      </c>
      <c r="H4124">
        <v>0</v>
      </c>
      <c r="I4124">
        <v>46</v>
      </c>
      <c r="J4124" s="10">
        <v>12</v>
      </c>
      <c r="K4124" s="10">
        <f>SUMIFS(F:F,D:D,DST_123_ÜRETİM_İHTİYAÇ_RAPORU_BURAK_YENI1309[[#This Row],[ALT_KOD]])-(SUMIFS(H:H,D:D,DST_123_ÜRETİM_İHTİYAÇ_RAPORU_BURAK_YENI1309[[#This Row],[ALT_KOD]])+AVERAGEIFS(I:I,D:D,DST_123_ÜRETİM_İHTİYAÇ_RAPORU_BURAK_YENI1309[[#This Row],[ALT_KOD]])+AVERAGEIFS(L:L,D:D,DST_123_ÜRETİM_İHTİYAÇ_RAPORU_BURAK_YENI1309[[#This Row],[ALT_KOD]]))</f>
        <v>-14</v>
      </c>
      <c r="L4124">
        <v>0</v>
      </c>
      <c r="M4124">
        <f>IF((DST_123_ÜRETİM_İHTİYAÇ_RAPORU_BURAK_YENI1309[[#This Row],[SATINALMA]]*DST_123_ÜRETİM_İHTİYAÇ_RAPORU_BURAK_YENI1309[[#This Row],[BIRIM_FIYATLAR]])&lt;1,VALUE("0"),DST_123_ÜRETİM_İHTİYAÇ_RAPORU_BURAK_YENI1309[[#This Row],[SATINALMA]]*DST_123_ÜRETİM_İHTİYAÇ_RAPORU_BURAK_YENI1309[[#This Row],[BIRIM_FIYATLAR]])</f>
        <v>0</v>
      </c>
      <c r="N4124">
        <v>100</v>
      </c>
      <c r="O4124" t="s">
        <v>1034</v>
      </c>
      <c r="P4124">
        <v>400</v>
      </c>
      <c r="Q4124" t="s">
        <v>177</v>
      </c>
    </row>
    <row r="4125" spans="1:17" x14ac:dyDescent="0.25">
      <c r="A4125" t="s">
        <v>1142</v>
      </c>
      <c r="B4125" t="s">
        <v>1056</v>
      </c>
      <c r="C4125" t="s">
        <v>175</v>
      </c>
      <c r="D4125" t="s">
        <v>703</v>
      </c>
      <c r="E4125" t="s">
        <v>704</v>
      </c>
      <c r="F4125">
        <v>6</v>
      </c>
      <c r="G4125" t="s">
        <v>176</v>
      </c>
      <c r="H4125">
        <v>0</v>
      </c>
      <c r="I4125">
        <v>250</v>
      </c>
      <c r="J4125" s="10">
        <v>302</v>
      </c>
      <c r="K4125" s="10">
        <f>SUMIFS(F:F,D:D,DST_123_ÜRETİM_İHTİYAÇ_RAPORU_BURAK_YENI1309[[#This Row],[ALT_KOD]])-(SUMIFS(H:H,D:D,DST_123_ÜRETİM_İHTİYAÇ_RAPORU_BURAK_YENI1309[[#This Row],[ALT_KOD]])+AVERAGEIFS(I:I,D:D,DST_123_ÜRETİM_İHTİYAÇ_RAPORU_BURAK_YENI1309[[#This Row],[ALT_KOD]])+AVERAGEIFS(L:L,D:D,DST_123_ÜRETİM_İHTİYAÇ_RAPORU_BURAK_YENI1309[[#This Row],[ALT_KOD]]))</f>
        <v>-202</v>
      </c>
      <c r="L4125">
        <v>0</v>
      </c>
      <c r="M4125">
        <f>IF((DST_123_ÜRETİM_İHTİYAÇ_RAPORU_BURAK_YENI1309[[#This Row],[SATINALMA]]*DST_123_ÜRETİM_İHTİYAÇ_RAPORU_BURAK_YENI1309[[#This Row],[BIRIM_FIYATLAR]])&lt;1,VALUE("0"),DST_123_ÜRETİM_İHTİYAÇ_RAPORU_BURAK_YENI1309[[#This Row],[SATINALMA]]*DST_123_ÜRETİM_İHTİYAÇ_RAPORU_BURAK_YENI1309[[#This Row],[BIRIM_FIYATLAR]])</f>
        <v>0</v>
      </c>
      <c r="N4125">
        <v>0.9</v>
      </c>
      <c r="O4125" t="s">
        <v>826</v>
      </c>
      <c r="P4125">
        <v>5.4</v>
      </c>
      <c r="Q4125" t="s">
        <v>221</v>
      </c>
    </row>
    <row r="4126" spans="1:17" x14ac:dyDescent="0.25">
      <c r="A4126" t="s">
        <v>1150</v>
      </c>
      <c r="B4126" t="s">
        <v>1145</v>
      </c>
      <c r="C4126" t="s">
        <v>175</v>
      </c>
      <c r="D4126" t="s">
        <v>473</v>
      </c>
      <c r="E4126" t="s">
        <v>474</v>
      </c>
      <c r="F4126">
        <v>44</v>
      </c>
      <c r="G4126" t="s">
        <v>176</v>
      </c>
      <c r="H4126">
        <v>0</v>
      </c>
      <c r="I4126">
        <v>680</v>
      </c>
      <c r="J4126" s="10">
        <v>614</v>
      </c>
      <c r="K4126" s="10">
        <f>SUMIFS(F:F,D:D,DST_123_ÜRETİM_İHTİYAÇ_RAPORU_BURAK_YENI1309[[#This Row],[ALT_KOD]])-(SUMIFS(H:H,D:D,DST_123_ÜRETİM_İHTİYAÇ_RAPORU_BURAK_YENI1309[[#This Row],[ALT_KOD]])+AVERAGEIFS(I:I,D:D,DST_123_ÜRETİM_İHTİYAÇ_RAPORU_BURAK_YENI1309[[#This Row],[ALT_KOD]])+AVERAGEIFS(L:L,D:D,DST_123_ÜRETİM_İHTİYAÇ_RAPORU_BURAK_YENI1309[[#This Row],[ALT_KOD]]))</f>
        <v>118</v>
      </c>
      <c r="L4126">
        <v>0</v>
      </c>
      <c r="M4126">
        <f>IF((DST_123_ÜRETİM_İHTİYAÇ_RAPORU_BURAK_YENI1309[[#This Row],[SATINALMA]]*DST_123_ÜRETİM_İHTİYAÇ_RAPORU_BURAK_YENI1309[[#This Row],[BIRIM_FIYATLAR]])&lt;1,VALUE("0"),DST_123_ÜRETİM_İHTİYAÇ_RAPORU_BURAK_YENI1309[[#This Row],[SATINALMA]]*DST_123_ÜRETİM_İHTİYAÇ_RAPORU_BURAK_YENI1309[[#This Row],[BIRIM_FIYATLAR]])</f>
        <v>247.8</v>
      </c>
      <c r="N4126">
        <v>2.1</v>
      </c>
      <c r="O4126" t="s">
        <v>240</v>
      </c>
      <c r="P4126">
        <v>92.4</v>
      </c>
      <c r="Q4126" t="s">
        <v>180</v>
      </c>
    </row>
    <row r="4127" spans="1:17" x14ac:dyDescent="0.25">
      <c r="A4127" t="s">
        <v>1150</v>
      </c>
      <c r="B4127" t="s">
        <v>1145</v>
      </c>
      <c r="C4127" t="s">
        <v>175</v>
      </c>
      <c r="D4127" t="s">
        <v>593</v>
      </c>
      <c r="E4127" t="s">
        <v>594</v>
      </c>
      <c r="F4127">
        <v>4</v>
      </c>
      <c r="G4127" t="s">
        <v>176</v>
      </c>
      <c r="H4127">
        <v>4</v>
      </c>
      <c r="I4127">
        <v>46</v>
      </c>
      <c r="J4127" s="10">
        <v>12</v>
      </c>
      <c r="K4127" s="10">
        <f>SUMIFS(F:F,D:D,DST_123_ÜRETİM_İHTİYAÇ_RAPORU_BURAK_YENI1309[[#This Row],[ALT_KOD]])-(SUMIFS(H:H,D:D,DST_123_ÜRETİM_İHTİYAÇ_RAPORU_BURAK_YENI1309[[#This Row],[ALT_KOD]])+AVERAGEIFS(I:I,D:D,DST_123_ÜRETİM_İHTİYAÇ_RAPORU_BURAK_YENI1309[[#This Row],[ALT_KOD]])+AVERAGEIFS(L:L,D:D,DST_123_ÜRETİM_İHTİYAÇ_RAPORU_BURAK_YENI1309[[#This Row],[ALT_KOD]]))</f>
        <v>-14</v>
      </c>
      <c r="L4127">
        <v>0</v>
      </c>
      <c r="M4127">
        <f>IF((DST_123_ÜRETİM_İHTİYAÇ_RAPORU_BURAK_YENI1309[[#This Row],[SATINALMA]]*DST_123_ÜRETİM_İHTİYAÇ_RAPORU_BURAK_YENI1309[[#This Row],[BIRIM_FIYATLAR]])&lt;1,VALUE("0"),DST_123_ÜRETİM_İHTİYAÇ_RAPORU_BURAK_YENI1309[[#This Row],[SATINALMA]]*DST_123_ÜRETİM_İHTİYAÇ_RAPORU_BURAK_YENI1309[[#This Row],[BIRIM_FIYATLAR]])</f>
        <v>0</v>
      </c>
      <c r="N4127">
        <v>100</v>
      </c>
      <c r="O4127" t="s">
        <v>1034</v>
      </c>
      <c r="P4127">
        <v>400</v>
      </c>
      <c r="Q4127" t="s">
        <v>177</v>
      </c>
    </row>
    <row r="4128" spans="1:17" x14ac:dyDescent="0.25">
      <c r="A4128" t="s">
        <v>1150</v>
      </c>
      <c r="B4128" t="s">
        <v>1145</v>
      </c>
      <c r="C4128" t="s">
        <v>175</v>
      </c>
      <c r="D4128" t="s">
        <v>703</v>
      </c>
      <c r="E4128" t="s">
        <v>704</v>
      </c>
      <c r="F4128">
        <v>2</v>
      </c>
      <c r="G4128" t="s">
        <v>176</v>
      </c>
      <c r="H4128">
        <v>0</v>
      </c>
      <c r="I4128">
        <v>250</v>
      </c>
      <c r="J4128" s="10">
        <v>302</v>
      </c>
      <c r="K4128" s="10">
        <f>SUMIFS(F:F,D:D,DST_123_ÜRETİM_İHTİYAÇ_RAPORU_BURAK_YENI1309[[#This Row],[ALT_KOD]])-(SUMIFS(H:H,D:D,DST_123_ÜRETİM_İHTİYAÇ_RAPORU_BURAK_YENI1309[[#This Row],[ALT_KOD]])+AVERAGEIFS(I:I,D:D,DST_123_ÜRETİM_İHTİYAÇ_RAPORU_BURAK_YENI1309[[#This Row],[ALT_KOD]])+AVERAGEIFS(L:L,D:D,DST_123_ÜRETİM_İHTİYAÇ_RAPORU_BURAK_YENI1309[[#This Row],[ALT_KOD]]))</f>
        <v>-202</v>
      </c>
      <c r="L4128">
        <v>0</v>
      </c>
      <c r="M4128">
        <f>IF((DST_123_ÜRETİM_İHTİYAÇ_RAPORU_BURAK_YENI1309[[#This Row],[SATINALMA]]*DST_123_ÜRETİM_İHTİYAÇ_RAPORU_BURAK_YENI1309[[#This Row],[BIRIM_FIYATLAR]])&lt;1,VALUE("0"),DST_123_ÜRETİM_İHTİYAÇ_RAPORU_BURAK_YENI1309[[#This Row],[SATINALMA]]*DST_123_ÜRETİM_İHTİYAÇ_RAPORU_BURAK_YENI1309[[#This Row],[BIRIM_FIYATLAR]])</f>
        <v>0</v>
      </c>
      <c r="N4128">
        <v>0.9</v>
      </c>
      <c r="O4128" t="s">
        <v>826</v>
      </c>
      <c r="P4128">
        <v>1.8</v>
      </c>
      <c r="Q4128" t="s">
        <v>221</v>
      </c>
    </row>
    <row r="4129" spans="1:17" x14ac:dyDescent="0.25">
      <c r="A4129" t="s">
        <v>1196</v>
      </c>
      <c r="B4129" t="s">
        <v>1197</v>
      </c>
      <c r="C4129" t="s">
        <v>175</v>
      </c>
      <c r="D4129" t="s">
        <v>161</v>
      </c>
      <c r="E4129" t="s">
        <v>162</v>
      </c>
      <c r="F4129">
        <v>1</v>
      </c>
      <c r="G4129" t="s">
        <v>176</v>
      </c>
      <c r="H4129">
        <v>0</v>
      </c>
      <c r="I4129">
        <v>5</v>
      </c>
      <c r="J4129" s="10">
        <v>8</v>
      </c>
      <c r="K4129" s="10">
        <f>SUMIFS(F:F,D:D,DST_123_ÜRETİM_İHTİYAÇ_RAPORU_BURAK_YENI1309[[#This Row],[ALT_KOD]])-(SUMIFS(H:H,D:D,DST_123_ÜRETİM_İHTİYAÇ_RAPORU_BURAK_YENI1309[[#This Row],[ALT_KOD]])+AVERAGEIFS(I:I,D:D,DST_123_ÜRETİM_İHTİYAÇ_RAPORU_BURAK_YENI1309[[#This Row],[ALT_KOD]])+AVERAGEIFS(L:L,D:D,DST_123_ÜRETİM_İHTİYAÇ_RAPORU_BURAK_YENI1309[[#This Row],[ALT_KOD]]))</f>
        <v>5</v>
      </c>
      <c r="L4129">
        <v>0</v>
      </c>
      <c r="M4129">
        <f>IF((DST_123_ÜRETİM_İHTİYAÇ_RAPORU_BURAK_YENI1309[[#This Row],[SATINALMA]]*DST_123_ÜRETİM_İHTİYAÇ_RAPORU_BURAK_YENI1309[[#This Row],[BIRIM_FIYATLAR]])&lt;1,VALUE("0"),DST_123_ÜRETİM_İHTİYAÇ_RAPORU_BURAK_YENI1309[[#This Row],[SATINALMA]]*DST_123_ÜRETİM_İHTİYAÇ_RAPORU_BURAK_YENI1309[[#This Row],[BIRIM_FIYATLAR]])</f>
        <v>30523.449999999997</v>
      </c>
      <c r="N4129">
        <v>6104.69</v>
      </c>
      <c r="O4129" t="s">
        <v>227</v>
      </c>
      <c r="P4129">
        <v>6104.69</v>
      </c>
      <c r="Q4129" t="s">
        <v>221</v>
      </c>
    </row>
    <row r="4130" spans="1:17" x14ac:dyDescent="0.25">
      <c r="A4130" t="s">
        <v>1149</v>
      </c>
      <c r="B4130" t="s">
        <v>1145</v>
      </c>
      <c r="C4130" t="s">
        <v>175</v>
      </c>
      <c r="D4130" t="s">
        <v>473</v>
      </c>
      <c r="E4130" t="s">
        <v>474</v>
      </c>
      <c r="F4130">
        <v>38</v>
      </c>
      <c r="G4130" t="s">
        <v>176</v>
      </c>
      <c r="H4130">
        <v>0</v>
      </c>
      <c r="I4130">
        <v>680</v>
      </c>
      <c r="J4130" s="10">
        <v>614</v>
      </c>
      <c r="K4130" s="10">
        <f>SUMIFS(F:F,D:D,DST_123_ÜRETİM_İHTİYAÇ_RAPORU_BURAK_YENI1309[[#This Row],[ALT_KOD]])-(SUMIFS(H:H,D:D,DST_123_ÜRETİM_İHTİYAÇ_RAPORU_BURAK_YENI1309[[#This Row],[ALT_KOD]])+AVERAGEIFS(I:I,D:D,DST_123_ÜRETİM_İHTİYAÇ_RAPORU_BURAK_YENI1309[[#This Row],[ALT_KOD]])+AVERAGEIFS(L:L,D:D,DST_123_ÜRETİM_İHTİYAÇ_RAPORU_BURAK_YENI1309[[#This Row],[ALT_KOD]]))</f>
        <v>118</v>
      </c>
      <c r="L4130">
        <v>0</v>
      </c>
      <c r="M4130">
        <f>IF((DST_123_ÜRETİM_İHTİYAÇ_RAPORU_BURAK_YENI1309[[#This Row],[SATINALMA]]*DST_123_ÜRETİM_İHTİYAÇ_RAPORU_BURAK_YENI1309[[#This Row],[BIRIM_FIYATLAR]])&lt;1,VALUE("0"),DST_123_ÜRETİM_İHTİYAÇ_RAPORU_BURAK_YENI1309[[#This Row],[SATINALMA]]*DST_123_ÜRETİM_İHTİYAÇ_RAPORU_BURAK_YENI1309[[#This Row],[BIRIM_FIYATLAR]])</f>
        <v>247.8</v>
      </c>
      <c r="N4130">
        <v>2.1</v>
      </c>
      <c r="O4130" t="s">
        <v>240</v>
      </c>
      <c r="P4130">
        <v>79.8</v>
      </c>
      <c r="Q4130" t="s">
        <v>180</v>
      </c>
    </row>
    <row r="4131" spans="1:17" x14ac:dyDescent="0.25">
      <c r="A4131" t="s">
        <v>1146</v>
      </c>
      <c r="B4131" t="s">
        <v>1145</v>
      </c>
      <c r="C4131" t="s">
        <v>175</v>
      </c>
      <c r="D4131" t="s">
        <v>473</v>
      </c>
      <c r="E4131" t="s">
        <v>474</v>
      </c>
      <c r="F4131">
        <v>38</v>
      </c>
      <c r="G4131" t="s">
        <v>176</v>
      </c>
      <c r="H4131">
        <v>0</v>
      </c>
      <c r="I4131">
        <v>680</v>
      </c>
      <c r="J4131" s="10">
        <v>614</v>
      </c>
      <c r="K4131" s="10">
        <f>SUMIFS(F:F,D:D,DST_123_ÜRETİM_İHTİYAÇ_RAPORU_BURAK_YENI1309[[#This Row],[ALT_KOD]])-(SUMIFS(H:H,D:D,DST_123_ÜRETİM_İHTİYAÇ_RAPORU_BURAK_YENI1309[[#This Row],[ALT_KOD]])+AVERAGEIFS(I:I,D:D,DST_123_ÜRETİM_İHTİYAÇ_RAPORU_BURAK_YENI1309[[#This Row],[ALT_KOD]])+AVERAGEIFS(L:L,D:D,DST_123_ÜRETİM_İHTİYAÇ_RAPORU_BURAK_YENI1309[[#This Row],[ALT_KOD]]))</f>
        <v>118</v>
      </c>
      <c r="L4131">
        <v>0</v>
      </c>
      <c r="M4131">
        <f>IF((DST_123_ÜRETİM_İHTİYAÇ_RAPORU_BURAK_YENI1309[[#This Row],[SATINALMA]]*DST_123_ÜRETİM_İHTİYAÇ_RAPORU_BURAK_YENI1309[[#This Row],[BIRIM_FIYATLAR]])&lt;1,VALUE("0"),DST_123_ÜRETİM_İHTİYAÇ_RAPORU_BURAK_YENI1309[[#This Row],[SATINALMA]]*DST_123_ÜRETİM_İHTİYAÇ_RAPORU_BURAK_YENI1309[[#This Row],[BIRIM_FIYATLAR]])</f>
        <v>247.8</v>
      </c>
      <c r="N4131">
        <v>2.1</v>
      </c>
      <c r="O4131" t="s">
        <v>240</v>
      </c>
      <c r="P4131">
        <v>79.8</v>
      </c>
      <c r="Q4131" t="s">
        <v>180</v>
      </c>
    </row>
    <row r="4132" spans="1:17" x14ac:dyDescent="0.25">
      <c r="A4132" t="s">
        <v>1149</v>
      </c>
      <c r="B4132" t="s">
        <v>1145</v>
      </c>
      <c r="C4132" t="s">
        <v>175</v>
      </c>
      <c r="D4132" t="s">
        <v>161</v>
      </c>
      <c r="E4132" t="s">
        <v>162</v>
      </c>
      <c r="F4132">
        <v>1</v>
      </c>
      <c r="G4132" t="s">
        <v>176</v>
      </c>
      <c r="H4132">
        <v>0</v>
      </c>
      <c r="I4132">
        <v>5</v>
      </c>
      <c r="J4132" s="10">
        <v>8</v>
      </c>
      <c r="K4132" s="10">
        <f>SUMIFS(F:F,D:D,DST_123_ÜRETİM_İHTİYAÇ_RAPORU_BURAK_YENI1309[[#This Row],[ALT_KOD]])-(SUMIFS(H:H,D:D,DST_123_ÜRETİM_İHTİYAÇ_RAPORU_BURAK_YENI1309[[#This Row],[ALT_KOD]])+AVERAGEIFS(I:I,D:D,DST_123_ÜRETİM_İHTİYAÇ_RAPORU_BURAK_YENI1309[[#This Row],[ALT_KOD]])+AVERAGEIFS(L:L,D:D,DST_123_ÜRETİM_İHTİYAÇ_RAPORU_BURAK_YENI1309[[#This Row],[ALT_KOD]]))</f>
        <v>5</v>
      </c>
      <c r="L4132">
        <v>0</v>
      </c>
      <c r="M4132">
        <f>IF((DST_123_ÜRETİM_İHTİYAÇ_RAPORU_BURAK_YENI1309[[#This Row],[SATINALMA]]*DST_123_ÜRETİM_İHTİYAÇ_RAPORU_BURAK_YENI1309[[#This Row],[BIRIM_FIYATLAR]])&lt;1,VALUE("0"),DST_123_ÜRETİM_İHTİYAÇ_RAPORU_BURAK_YENI1309[[#This Row],[SATINALMA]]*DST_123_ÜRETİM_İHTİYAÇ_RAPORU_BURAK_YENI1309[[#This Row],[BIRIM_FIYATLAR]])</f>
        <v>30523.449999999997</v>
      </c>
      <c r="N4132">
        <v>6104.69</v>
      </c>
      <c r="O4132" t="s">
        <v>227</v>
      </c>
      <c r="P4132">
        <v>6104.69</v>
      </c>
      <c r="Q4132" t="s">
        <v>221</v>
      </c>
    </row>
    <row r="4133" spans="1:17" x14ac:dyDescent="0.25">
      <c r="A4133" t="s">
        <v>1149</v>
      </c>
      <c r="B4133" t="s">
        <v>1145</v>
      </c>
      <c r="C4133" t="s">
        <v>175</v>
      </c>
      <c r="D4133" t="s">
        <v>593</v>
      </c>
      <c r="E4133" t="s">
        <v>594</v>
      </c>
      <c r="F4133">
        <v>4</v>
      </c>
      <c r="G4133" t="s">
        <v>176</v>
      </c>
      <c r="H4133">
        <v>0</v>
      </c>
      <c r="I4133">
        <v>46</v>
      </c>
      <c r="J4133" s="10">
        <v>12</v>
      </c>
      <c r="K4133" s="10">
        <f>SUMIFS(F:F,D:D,DST_123_ÜRETİM_İHTİYAÇ_RAPORU_BURAK_YENI1309[[#This Row],[ALT_KOD]])-(SUMIFS(H:H,D:D,DST_123_ÜRETİM_İHTİYAÇ_RAPORU_BURAK_YENI1309[[#This Row],[ALT_KOD]])+AVERAGEIFS(I:I,D:D,DST_123_ÜRETİM_İHTİYAÇ_RAPORU_BURAK_YENI1309[[#This Row],[ALT_KOD]])+AVERAGEIFS(L:L,D:D,DST_123_ÜRETİM_İHTİYAÇ_RAPORU_BURAK_YENI1309[[#This Row],[ALT_KOD]]))</f>
        <v>-14</v>
      </c>
      <c r="L4133">
        <v>0</v>
      </c>
      <c r="M4133">
        <f>IF((DST_123_ÜRETİM_İHTİYAÇ_RAPORU_BURAK_YENI1309[[#This Row],[SATINALMA]]*DST_123_ÜRETİM_İHTİYAÇ_RAPORU_BURAK_YENI1309[[#This Row],[BIRIM_FIYATLAR]])&lt;1,VALUE("0"),DST_123_ÜRETİM_İHTİYAÇ_RAPORU_BURAK_YENI1309[[#This Row],[SATINALMA]]*DST_123_ÜRETİM_İHTİYAÇ_RAPORU_BURAK_YENI1309[[#This Row],[BIRIM_FIYATLAR]])</f>
        <v>0</v>
      </c>
      <c r="N4133">
        <v>100</v>
      </c>
      <c r="O4133" t="s">
        <v>1034</v>
      </c>
      <c r="P4133">
        <v>400</v>
      </c>
      <c r="Q4133" t="s">
        <v>177</v>
      </c>
    </row>
    <row r="4134" spans="1:17" x14ac:dyDescent="0.25">
      <c r="A4134" t="s">
        <v>1144</v>
      </c>
      <c r="B4134" t="s">
        <v>1145</v>
      </c>
      <c r="C4134" t="s">
        <v>175</v>
      </c>
      <c r="D4134" t="s">
        <v>593</v>
      </c>
      <c r="E4134" t="s">
        <v>594</v>
      </c>
      <c r="F4134">
        <v>4</v>
      </c>
      <c r="G4134" t="s">
        <v>176</v>
      </c>
      <c r="H4134">
        <v>0</v>
      </c>
      <c r="I4134">
        <v>46</v>
      </c>
      <c r="J4134" s="10">
        <v>12</v>
      </c>
      <c r="K4134" s="10">
        <f>SUMIFS(F:F,D:D,DST_123_ÜRETİM_İHTİYAÇ_RAPORU_BURAK_YENI1309[[#This Row],[ALT_KOD]])-(SUMIFS(H:H,D:D,DST_123_ÜRETİM_İHTİYAÇ_RAPORU_BURAK_YENI1309[[#This Row],[ALT_KOD]])+AVERAGEIFS(I:I,D:D,DST_123_ÜRETİM_İHTİYAÇ_RAPORU_BURAK_YENI1309[[#This Row],[ALT_KOD]])+AVERAGEIFS(L:L,D:D,DST_123_ÜRETİM_İHTİYAÇ_RAPORU_BURAK_YENI1309[[#This Row],[ALT_KOD]]))</f>
        <v>-14</v>
      </c>
      <c r="L4134">
        <v>0</v>
      </c>
      <c r="M4134">
        <f>IF((DST_123_ÜRETİM_İHTİYAÇ_RAPORU_BURAK_YENI1309[[#This Row],[SATINALMA]]*DST_123_ÜRETİM_İHTİYAÇ_RAPORU_BURAK_YENI1309[[#This Row],[BIRIM_FIYATLAR]])&lt;1,VALUE("0"),DST_123_ÜRETİM_İHTİYAÇ_RAPORU_BURAK_YENI1309[[#This Row],[SATINALMA]]*DST_123_ÜRETİM_İHTİYAÇ_RAPORU_BURAK_YENI1309[[#This Row],[BIRIM_FIYATLAR]])</f>
        <v>0</v>
      </c>
      <c r="N4134">
        <v>100</v>
      </c>
      <c r="O4134" t="s">
        <v>1034</v>
      </c>
      <c r="P4134">
        <v>400</v>
      </c>
      <c r="Q4134" t="s">
        <v>177</v>
      </c>
    </row>
    <row r="4135" spans="1:17" x14ac:dyDescent="0.25">
      <c r="A4135" t="s">
        <v>1146</v>
      </c>
      <c r="B4135" t="s">
        <v>1145</v>
      </c>
      <c r="C4135" t="s">
        <v>175</v>
      </c>
      <c r="D4135" t="s">
        <v>593</v>
      </c>
      <c r="E4135" t="s">
        <v>594</v>
      </c>
      <c r="F4135">
        <v>4</v>
      </c>
      <c r="G4135" t="s">
        <v>176</v>
      </c>
      <c r="H4135">
        <v>0</v>
      </c>
      <c r="I4135">
        <v>46</v>
      </c>
      <c r="J4135" s="10">
        <v>12</v>
      </c>
      <c r="K4135" s="10">
        <f>SUMIFS(F:F,D:D,DST_123_ÜRETİM_İHTİYAÇ_RAPORU_BURAK_YENI1309[[#This Row],[ALT_KOD]])-(SUMIFS(H:H,D:D,DST_123_ÜRETİM_İHTİYAÇ_RAPORU_BURAK_YENI1309[[#This Row],[ALT_KOD]])+AVERAGEIFS(I:I,D:D,DST_123_ÜRETİM_İHTİYAÇ_RAPORU_BURAK_YENI1309[[#This Row],[ALT_KOD]])+AVERAGEIFS(L:L,D:D,DST_123_ÜRETİM_İHTİYAÇ_RAPORU_BURAK_YENI1309[[#This Row],[ALT_KOD]]))</f>
        <v>-14</v>
      </c>
      <c r="L4135">
        <v>0</v>
      </c>
      <c r="M4135">
        <f>IF((DST_123_ÜRETİM_İHTİYAÇ_RAPORU_BURAK_YENI1309[[#This Row],[SATINALMA]]*DST_123_ÜRETİM_İHTİYAÇ_RAPORU_BURAK_YENI1309[[#This Row],[BIRIM_FIYATLAR]])&lt;1,VALUE("0"),DST_123_ÜRETİM_İHTİYAÇ_RAPORU_BURAK_YENI1309[[#This Row],[SATINALMA]]*DST_123_ÜRETİM_İHTİYAÇ_RAPORU_BURAK_YENI1309[[#This Row],[BIRIM_FIYATLAR]])</f>
        <v>0</v>
      </c>
      <c r="N4135">
        <v>100</v>
      </c>
      <c r="O4135" t="s">
        <v>1034</v>
      </c>
      <c r="P4135">
        <v>400</v>
      </c>
      <c r="Q4135" t="s">
        <v>177</v>
      </c>
    </row>
    <row r="4136" spans="1:17" x14ac:dyDescent="0.25">
      <c r="A4136" t="s">
        <v>1095</v>
      </c>
      <c r="B4136" t="s">
        <v>1096</v>
      </c>
      <c r="C4136" t="s">
        <v>175</v>
      </c>
      <c r="D4136" t="s">
        <v>783</v>
      </c>
      <c r="E4136" t="s">
        <v>784</v>
      </c>
      <c r="F4136">
        <v>1</v>
      </c>
      <c r="G4136" t="s">
        <v>176</v>
      </c>
      <c r="H4136">
        <v>0</v>
      </c>
      <c r="I4136">
        <v>15</v>
      </c>
      <c r="J4136" s="10">
        <v>11</v>
      </c>
      <c r="K4136" s="10">
        <f>SUMIFS(F:F,D:D,DST_123_ÜRETİM_İHTİYAÇ_RAPORU_BURAK_YENI1309[[#This Row],[ALT_KOD]])-(SUMIFS(H:H,D:D,DST_123_ÜRETİM_İHTİYAÇ_RAPORU_BURAK_YENI1309[[#This Row],[ALT_KOD]])+AVERAGEIFS(I:I,D:D,DST_123_ÜRETİM_İHTİYAÇ_RAPORU_BURAK_YENI1309[[#This Row],[ALT_KOD]])+AVERAGEIFS(L:L,D:D,DST_123_ÜRETİM_İHTİYAÇ_RAPORU_BURAK_YENI1309[[#This Row],[ALT_KOD]]))</f>
        <v>-4</v>
      </c>
      <c r="L4136">
        <v>0</v>
      </c>
      <c r="M4136">
        <f>IF((DST_123_ÜRETİM_İHTİYAÇ_RAPORU_BURAK_YENI1309[[#This Row],[SATINALMA]]*DST_123_ÜRETİM_İHTİYAÇ_RAPORU_BURAK_YENI1309[[#This Row],[BIRIM_FIYATLAR]])&lt;1,VALUE("0"),DST_123_ÜRETİM_İHTİYAÇ_RAPORU_BURAK_YENI1309[[#This Row],[SATINALMA]]*DST_123_ÜRETİM_İHTİYAÇ_RAPORU_BURAK_YENI1309[[#This Row],[BIRIM_FIYATLAR]])</f>
        <v>0</v>
      </c>
      <c r="N4136">
        <v>510</v>
      </c>
      <c r="O4136" t="s">
        <v>289</v>
      </c>
      <c r="P4136">
        <v>510</v>
      </c>
      <c r="Q4136" t="s">
        <v>178</v>
      </c>
    </row>
    <row r="4137" spans="1:17" x14ac:dyDescent="0.25">
      <c r="A4137" t="s">
        <v>1099</v>
      </c>
      <c r="B4137" t="s">
        <v>1055</v>
      </c>
      <c r="C4137" t="s">
        <v>175</v>
      </c>
      <c r="D4137" t="s">
        <v>655</v>
      </c>
      <c r="E4137" t="s">
        <v>656</v>
      </c>
      <c r="F4137">
        <v>2</v>
      </c>
      <c r="G4137" t="s">
        <v>176</v>
      </c>
      <c r="H4137">
        <v>0</v>
      </c>
      <c r="I4137">
        <v>216</v>
      </c>
      <c r="J4137" s="10">
        <v>118</v>
      </c>
      <c r="K4137" s="10">
        <f>SUMIFS(F:F,D:D,DST_123_ÜRETİM_İHTİYAÇ_RAPORU_BURAK_YENI1309[[#This Row],[ALT_KOD]])-(SUMIFS(H:H,D:D,DST_123_ÜRETİM_İHTİYAÇ_RAPORU_BURAK_YENI1309[[#This Row],[ALT_KOD]])+AVERAGEIFS(I:I,D:D,DST_123_ÜRETİM_İHTİYAÇ_RAPORU_BURAK_YENI1309[[#This Row],[ALT_KOD]])+AVERAGEIFS(L:L,D:D,DST_123_ÜRETİM_İHTİYAÇ_RAPORU_BURAK_YENI1309[[#This Row],[ALT_KOD]]))</f>
        <v>-190</v>
      </c>
      <c r="L4137">
        <v>0</v>
      </c>
      <c r="M4137">
        <f>IF((DST_123_ÜRETİM_İHTİYAÇ_RAPORU_BURAK_YENI1309[[#This Row],[SATINALMA]]*DST_123_ÜRETİM_İHTİYAÇ_RAPORU_BURAK_YENI1309[[#This Row],[BIRIM_FIYATLAR]])&lt;1,VALUE("0"),DST_123_ÜRETİM_İHTİYAÇ_RAPORU_BURAK_YENI1309[[#This Row],[SATINALMA]]*DST_123_ÜRETİM_İHTİYAÇ_RAPORU_BURAK_YENI1309[[#This Row],[BIRIM_FIYATLAR]])</f>
        <v>0</v>
      </c>
      <c r="N4137">
        <v>3.95</v>
      </c>
      <c r="O4137" t="s">
        <v>220</v>
      </c>
      <c r="P4137">
        <v>7.9</v>
      </c>
      <c r="Q4137" t="s">
        <v>221</v>
      </c>
    </row>
    <row r="4138" spans="1:17" x14ac:dyDescent="0.25">
      <c r="A4138" t="s">
        <v>1148</v>
      </c>
      <c r="B4138" t="s">
        <v>1056</v>
      </c>
      <c r="C4138" t="s">
        <v>175</v>
      </c>
      <c r="D4138" t="s">
        <v>451</v>
      </c>
      <c r="E4138" t="s">
        <v>452</v>
      </c>
      <c r="F4138">
        <v>1</v>
      </c>
      <c r="G4138" t="s">
        <v>176</v>
      </c>
      <c r="H4138">
        <v>0</v>
      </c>
      <c r="I4138">
        <v>4</v>
      </c>
      <c r="J4138" s="10">
        <v>9</v>
      </c>
      <c r="K4138" s="10">
        <f>SUMIFS(F:F,D:D,DST_123_ÜRETİM_İHTİYAÇ_RAPORU_BURAK_YENI1309[[#This Row],[ALT_KOD]])-(SUMIFS(H:H,D:D,DST_123_ÜRETİM_İHTİYAÇ_RAPORU_BURAK_YENI1309[[#This Row],[ALT_KOD]])+AVERAGEIFS(I:I,D:D,DST_123_ÜRETİM_İHTİYAÇ_RAPORU_BURAK_YENI1309[[#This Row],[ALT_KOD]])+AVERAGEIFS(L:L,D:D,DST_123_ÜRETİM_İHTİYAÇ_RAPORU_BURAK_YENI1309[[#This Row],[ALT_KOD]]))</f>
        <v>1</v>
      </c>
      <c r="L4138">
        <v>6</v>
      </c>
      <c r="M4138">
        <f>IF((DST_123_ÜRETİM_İHTİYAÇ_RAPORU_BURAK_YENI1309[[#This Row],[SATINALMA]]*DST_123_ÜRETİM_İHTİYAÇ_RAPORU_BURAK_YENI1309[[#This Row],[BIRIM_FIYATLAR]])&lt;1,VALUE("0"),DST_123_ÜRETİM_İHTİYAÇ_RAPORU_BURAK_YENI1309[[#This Row],[SATINALMA]]*DST_123_ÜRETİM_İHTİYAÇ_RAPORU_BURAK_YENI1309[[#This Row],[BIRIM_FIYATLAR]])</f>
        <v>1600</v>
      </c>
      <c r="N4138">
        <v>1600</v>
      </c>
      <c r="O4138" t="s">
        <v>240</v>
      </c>
      <c r="P4138">
        <v>1600</v>
      </c>
      <c r="Q4138" t="s">
        <v>178</v>
      </c>
    </row>
    <row r="4139" spans="1:17" x14ac:dyDescent="0.25">
      <c r="A4139" t="s">
        <v>1100</v>
      </c>
      <c r="B4139" t="s">
        <v>1058</v>
      </c>
      <c r="C4139" t="s">
        <v>175</v>
      </c>
      <c r="D4139" t="s">
        <v>590</v>
      </c>
      <c r="E4139" t="s">
        <v>591</v>
      </c>
      <c r="F4139">
        <v>1</v>
      </c>
      <c r="G4139" t="s">
        <v>176</v>
      </c>
      <c r="H4139">
        <v>1</v>
      </c>
      <c r="I4139">
        <v>4</v>
      </c>
      <c r="J4139" s="10">
        <v>10</v>
      </c>
      <c r="K4139" s="10">
        <f>SUMIFS(F:F,D:D,DST_123_ÜRETİM_İHTİYAÇ_RAPORU_BURAK_YENI1309[[#This Row],[ALT_KOD]])-(SUMIFS(H:H,D:D,DST_123_ÜRETİM_İHTİYAÇ_RAPORU_BURAK_YENI1309[[#This Row],[ALT_KOD]])+AVERAGEIFS(I:I,D:D,DST_123_ÜRETİM_İHTİYAÇ_RAPORU_BURAK_YENI1309[[#This Row],[ALT_KOD]])+AVERAGEIFS(L:L,D:D,DST_123_ÜRETİM_İHTİYAÇ_RAPORU_BURAK_YENI1309[[#This Row],[ALT_KOD]]))</f>
        <v>-3</v>
      </c>
      <c r="L4139">
        <v>10</v>
      </c>
      <c r="M4139">
        <f>IF((DST_123_ÜRETİM_İHTİYAÇ_RAPORU_BURAK_YENI1309[[#This Row],[SATINALMA]]*DST_123_ÜRETİM_İHTİYAÇ_RAPORU_BURAK_YENI1309[[#This Row],[BIRIM_FIYATLAR]])&lt;1,VALUE("0"),DST_123_ÜRETİM_İHTİYAÇ_RAPORU_BURAK_YENI1309[[#This Row],[SATINALMA]]*DST_123_ÜRETİM_İHTİYAÇ_RAPORU_BURAK_YENI1309[[#This Row],[BIRIM_FIYATLAR]])</f>
        <v>0</v>
      </c>
      <c r="N4139">
        <v>583.77</v>
      </c>
      <c r="O4139" t="s">
        <v>592</v>
      </c>
      <c r="P4139">
        <v>583.77</v>
      </c>
      <c r="Q4139" t="s">
        <v>180</v>
      </c>
    </row>
    <row r="4140" spans="1:17" x14ac:dyDescent="0.25">
      <c r="A4140" t="s">
        <v>1148</v>
      </c>
      <c r="B4140" t="s">
        <v>1056</v>
      </c>
      <c r="C4140" t="s">
        <v>175</v>
      </c>
      <c r="D4140" t="s">
        <v>590</v>
      </c>
      <c r="E4140" t="s">
        <v>591</v>
      </c>
      <c r="F4140">
        <v>1</v>
      </c>
      <c r="G4140" t="s">
        <v>176</v>
      </c>
      <c r="H4140">
        <v>0</v>
      </c>
      <c r="I4140">
        <v>4</v>
      </c>
      <c r="J4140" s="10">
        <v>10</v>
      </c>
      <c r="K4140" s="10">
        <f>SUMIFS(F:F,D:D,DST_123_ÜRETİM_İHTİYAÇ_RAPORU_BURAK_YENI1309[[#This Row],[ALT_KOD]])-(SUMIFS(H:H,D:D,DST_123_ÜRETİM_İHTİYAÇ_RAPORU_BURAK_YENI1309[[#This Row],[ALT_KOD]])+AVERAGEIFS(I:I,D:D,DST_123_ÜRETİM_İHTİYAÇ_RAPORU_BURAK_YENI1309[[#This Row],[ALT_KOD]])+AVERAGEIFS(L:L,D:D,DST_123_ÜRETİM_İHTİYAÇ_RAPORU_BURAK_YENI1309[[#This Row],[ALT_KOD]]))</f>
        <v>-3</v>
      </c>
      <c r="L4140">
        <v>10</v>
      </c>
      <c r="M4140">
        <f>IF((DST_123_ÜRETİM_İHTİYAÇ_RAPORU_BURAK_YENI1309[[#This Row],[SATINALMA]]*DST_123_ÜRETİM_İHTİYAÇ_RAPORU_BURAK_YENI1309[[#This Row],[BIRIM_FIYATLAR]])&lt;1,VALUE("0"),DST_123_ÜRETİM_İHTİYAÇ_RAPORU_BURAK_YENI1309[[#This Row],[SATINALMA]]*DST_123_ÜRETİM_İHTİYAÇ_RAPORU_BURAK_YENI1309[[#This Row],[BIRIM_FIYATLAR]])</f>
        <v>0</v>
      </c>
      <c r="N4140">
        <v>583.77</v>
      </c>
      <c r="O4140" t="s">
        <v>592</v>
      </c>
      <c r="P4140">
        <v>583.77</v>
      </c>
      <c r="Q4140" t="s">
        <v>180</v>
      </c>
    </row>
    <row r="4141" spans="1:17" x14ac:dyDescent="0.25">
      <c r="A4141" t="s">
        <v>1147</v>
      </c>
      <c r="B4141" t="s">
        <v>1145</v>
      </c>
      <c r="C4141" t="s">
        <v>175</v>
      </c>
      <c r="D4141" t="s">
        <v>1159</v>
      </c>
      <c r="E4141" t="s">
        <v>1160</v>
      </c>
      <c r="F4141">
        <v>6</v>
      </c>
      <c r="G4141" t="s">
        <v>176</v>
      </c>
      <c r="H4141">
        <v>0</v>
      </c>
      <c r="I4141">
        <v>0</v>
      </c>
      <c r="J4141" s="10">
        <v>0</v>
      </c>
      <c r="K4141" s="10">
        <f>SUMIFS(F:F,D:D,DST_123_ÜRETİM_İHTİYAÇ_RAPORU_BURAK_YENI1309[[#This Row],[ALT_KOD]])-(SUMIFS(H:H,D:D,DST_123_ÜRETİM_İHTİYAÇ_RAPORU_BURAK_YENI1309[[#This Row],[ALT_KOD]])+AVERAGEIFS(I:I,D:D,DST_123_ÜRETİM_İHTİYAÇ_RAPORU_BURAK_YENI1309[[#This Row],[ALT_KOD]])+AVERAGEIFS(L:L,D:D,DST_123_ÜRETİM_İHTİYAÇ_RAPORU_BURAK_YENI1309[[#This Row],[ALT_KOD]]))</f>
        <v>42</v>
      </c>
      <c r="L4141">
        <v>0</v>
      </c>
      <c r="M4141">
        <f>IF((DST_123_ÜRETİM_İHTİYAÇ_RAPORU_BURAK_YENI1309[[#This Row],[SATINALMA]]*DST_123_ÜRETİM_İHTİYAÇ_RAPORU_BURAK_YENI1309[[#This Row],[BIRIM_FIYATLAR]])&lt;1,VALUE("0"),DST_123_ÜRETİM_İHTİYAÇ_RAPORU_BURAK_YENI1309[[#This Row],[SATINALMA]]*DST_123_ÜRETİM_İHTİYAÇ_RAPORU_BURAK_YENI1309[[#This Row],[BIRIM_FIYATLAR]])</f>
        <v>15.12</v>
      </c>
      <c r="N4141">
        <v>0.36</v>
      </c>
      <c r="O4141" t="s">
        <v>882</v>
      </c>
      <c r="P4141">
        <v>2.16</v>
      </c>
      <c r="Q4141" t="s">
        <v>180</v>
      </c>
    </row>
    <row r="4142" spans="1:17" x14ac:dyDescent="0.25">
      <c r="A4142" t="s">
        <v>1099</v>
      </c>
      <c r="B4142" t="s">
        <v>1055</v>
      </c>
      <c r="C4142" t="s">
        <v>175</v>
      </c>
      <c r="D4142" t="s">
        <v>134</v>
      </c>
      <c r="E4142" t="s">
        <v>135</v>
      </c>
      <c r="F4142">
        <v>5</v>
      </c>
      <c r="G4142" t="s">
        <v>179</v>
      </c>
      <c r="H4142">
        <v>0</v>
      </c>
      <c r="I4142">
        <v>60</v>
      </c>
      <c r="J4142" s="10">
        <v>52</v>
      </c>
      <c r="K4142" s="10">
        <f>SUMIFS(F:F,D:D,DST_123_ÜRETİM_İHTİYAÇ_RAPORU_BURAK_YENI1309[[#This Row],[ALT_KOD]])-(SUMIFS(H:H,D:D,DST_123_ÜRETİM_İHTİYAÇ_RAPORU_BURAK_YENI1309[[#This Row],[ALT_KOD]])+AVERAGEIFS(I:I,D:D,DST_123_ÜRETİM_İHTİYAÇ_RAPORU_BURAK_YENI1309[[#This Row],[ALT_KOD]])+AVERAGEIFS(L:L,D:D,DST_123_ÜRETİM_İHTİYAÇ_RAPORU_BURAK_YENI1309[[#This Row],[ALT_KOD]]))</f>
        <v>14.5</v>
      </c>
      <c r="L4142">
        <v>80</v>
      </c>
      <c r="M4142">
        <f>IF((DST_123_ÜRETİM_İHTİYAÇ_RAPORU_BURAK_YENI1309[[#This Row],[SATINALMA]]*DST_123_ÜRETİM_İHTİYAÇ_RAPORU_BURAK_YENI1309[[#This Row],[BIRIM_FIYATLAR]])&lt;1,VALUE("0"),DST_123_ÜRETİM_İHTİYAÇ_RAPORU_BURAK_YENI1309[[#This Row],[SATINALMA]]*DST_123_ÜRETİM_İHTİYAÇ_RAPORU_BURAK_YENI1309[[#This Row],[BIRIM_FIYATLAR]])</f>
        <v>710.5</v>
      </c>
      <c r="N4142">
        <v>49</v>
      </c>
      <c r="O4142" t="s">
        <v>672</v>
      </c>
      <c r="P4142">
        <v>245</v>
      </c>
      <c r="Q4142" t="s">
        <v>184</v>
      </c>
    </row>
    <row r="4143" spans="1:17" x14ac:dyDescent="0.25">
      <c r="A4143" t="s">
        <v>1196</v>
      </c>
      <c r="B4143" t="s">
        <v>1197</v>
      </c>
      <c r="C4143" t="s">
        <v>175</v>
      </c>
      <c r="D4143" t="s">
        <v>241</v>
      </c>
      <c r="E4143" t="s">
        <v>242</v>
      </c>
      <c r="F4143">
        <v>1</v>
      </c>
      <c r="G4143" t="s">
        <v>176</v>
      </c>
      <c r="H4143">
        <v>0</v>
      </c>
      <c r="I4143">
        <v>49</v>
      </c>
      <c r="J4143" s="10">
        <v>1.6000000000000005</v>
      </c>
      <c r="K4143" s="10">
        <f>SUMIFS(F:F,D:D,DST_123_ÜRETİM_İHTİYAÇ_RAPORU_BURAK_YENI1309[[#This Row],[ALT_KOD]])-(SUMIFS(H:H,D:D,DST_123_ÜRETİM_İHTİYAÇ_RAPORU_BURAK_YENI1309[[#This Row],[ALT_KOD]])+AVERAGEIFS(I:I,D:D,DST_123_ÜRETİM_İHTİYAÇ_RAPORU_BURAK_YENI1309[[#This Row],[ALT_KOD]])+AVERAGEIFS(L:L,D:D,DST_123_ÜRETİM_İHTİYAÇ_RAPORU_BURAK_YENI1309[[#This Row],[ALT_KOD]]))</f>
        <v>-37.599999999999994</v>
      </c>
      <c r="L4143">
        <v>0</v>
      </c>
      <c r="M4143">
        <f>IF((DST_123_ÜRETİM_İHTİYAÇ_RAPORU_BURAK_YENI1309[[#This Row],[SATINALMA]]*DST_123_ÜRETİM_İHTİYAÇ_RAPORU_BURAK_YENI1309[[#This Row],[BIRIM_FIYATLAR]])&lt;1,VALUE("0"),DST_123_ÜRETİM_İHTİYAÇ_RAPORU_BURAK_YENI1309[[#This Row],[SATINALMA]]*DST_123_ÜRETİM_İHTİYAÇ_RAPORU_BURAK_YENI1309[[#This Row],[BIRIM_FIYATLAR]])</f>
        <v>0</v>
      </c>
      <c r="N4143">
        <v>60</v>
      </c>
      <c r="O4143" t="s">
        <v>490</v>
      </c>
      <c r="P4143">
        <v>60</v>
      </c>
      <c r="Q4143" t="s">
        <v>180</v>
      </c>
    </row>
    <row r="4144" spans="1:17" x14ac:dyDescent="0.25">
      <c r="A4144" t="s">
        <v>1064</v>
      </c>
      <c r="B4144" t="s">
        <v>1055</v>
      </c>
      <c r="C4144" t="s">
        <v>175</v>
      </c>
      <c r="D4144" t="s">
        <v>157</v>
      </c>
      <c r="E4144" t="s">
        <v>158</v>
      </c>
      <c r="F4144">
        <v>1</v>
      </c>
      <c r="G4144" t="s">
        <v>176</v>
      </c>
      <c r="H4144">
        <v>0</v>
      </c>
      <c r="I4144">
        <v>4</v>
      </c>
      <c r="J4144" s="10">
        <v>22</v>
      </c>
      <c r="K4144" s="10">
        <f>SUMIFS(F:F,D:D,DST_123_ÜRETİM_İHTİYAÇ_RAPORU_BURAK_YENI1309[[#This Row],[ALT_KOD]])-(SUMIFS(H:H,D:D,DST_123_ÜRETİM_İHTİYAÇ_RAPORU_BURAK_YENI1309[[#This Row],[ALT_KOD]])+AVERAGEIFS(I:I,D:D,DST_123_ÜRETİM_İHTİYAÇ_RAPORU_BURAK_YENI1309[[#This Row],[ALT_KOD]])+AVERAGEIFS(L:L,D:D,DST_123_ÜRETİM_İHTİYAÇ_RAPORU_BURAK_YENI1309[[#This Row],[ALT_KOD]]))</f>
        <v>-5</v>
      </c>
      <c r="L4144">
        <v>20</v>
      </c>
      <c r="M4144">
        <f>IF((DST_123_ÜRETİM_İHTİYAÇ_RAPORU_BURAK_YENI1309[[#This Row],[SATINALMA]]*DST_123_ÜRETİM_İHTİYAÇ_RAPORU_BURAK_YENI1309[[#This Row],[BIRIM_FIYATLAR]])&lt;1,VALUE("0"),DST_123_ÜRETİM_İHTİYAÇ_RAPORU_BURAK_YENI1309[[#This Row],[SATINALMA]]*DST_123_ÜRETİM_İHTİYAÇ_RAPORU_BURAK_YENI1309[[#This Row],[BIRIM_FIYATLAR]])</f>
        <v>0</v>
      </c>
      <c r="N4144">
        <v>65</v>
      </c>
      <c r="O4144" t="s">
        <v>761</v>
      </c>
      <c r="P4144">
        <v>65</v>
      </c>
      <c r="Q4144" t="s">
        <v>178</v>
      </c>
    </row>
    <row r="4145" spans="1:17" x14ac:dyDescent="0.25">
      <c r="A4145" t="s">
        <v>1142</v>
      </c>
      <c r="B4145" t="s">
        <v>1056</v>
      </c>
      <c r="C4145" t="s">
        <v>175</v>
      </c>
      <c r="D4145" t="s">
        <v>844</v>
      </c>
      <c r="E4145" t="s">
        <v>845</v>
      </c>
      <c r="F4145">
        <v>3</v>
      </c>
      <c r="G4145" t="s">
        <v>176</v>
      </c>
      <c r="H4145">
        <v>0</v>
      </c>
      <c r="I4145">
        <v>36</v>
      </c>
      <c r="J4145" s="10">
        <v>26</v>
      </c>
      <c r="K4145" s="10">
        <f>SUMIFS(F:F,D:D,DST_123_ÜRETİM_İHTİYAÇ_RAPORU_BURAK_YENI1309[[#This Row],[ALT_KOD]])-(SUMIFS(H:H,D:D,DST_123_ÜRETİM_İHTİYAÇ_RAPORU_BURAK_YENI1309[[#This Row],[ALT_KOD]])+AVERAGEIFS(I:I,D:D,DST_123_ÜRETİM_İHTİYAÇ_RAPORU_BURAK_YENI1309[[#This Row],[ALT_KOD]])+AVERAGEIFS(L:L,D:D,DST_123_ÜRETİM_İHTİYAÇ_RAPORU_BURAK_YENI1309[[#This Row],[ALT_KOD]]))</f>
        <v>1</v>
      </c>
      <c r="L4145">
        <v>0</v>
      </c>
      <c r="M4145">
        <f>IF((DST_123_ÜRETİM_İHTİYAÇ_RAPORU_BURAK_YENI1309[[#This Row],[SATINALMA]]*DST_123_ÜRETİM_İHTİYAÇ_RAPORU_BURAK_YENI1309[[#This Row],[BIRIM_FIYATLAR]])&lt;1,VALUE("0"),DST_123_ÜRETİM_İHTİYAÇ_RAPORU_BURAK_YENI1309[[#This Row],[SATINALMA]]*DST_123_ÜRETİM_İHTİYAÇ_RAPORU_BURAK_YENI1309[[#This Row],[BIRIM_FIYATLAR]])</f>
        <v>348.7</v>
      </c>
      <c r="N4145">
        <v>348.7</v>
      </c>
      <c r="O4145" t="s">
        <v>636</v>
      </c>
      <c r="P4145">
        <v>1046.0999999999999</v>
      </c>
      <c r="Q4145" t="s">
        <v>177</v>
      </c>
    </row>
    <row r="4146" spans="1:17" x14ac:dyDescent="0.25">
      <c r="A4146" t="s">
        <v>1149</v>
      </c>
      <c r="B4146" t="s">
        <v>1145</v>
      </c>
      <c r="C4146" t="s">
        <v>175</v>
      </c>
      <c r="D4146" t="s">
        <v>157</v>
      </c>
      <c r="E4146" t="s">
        <v>158</v>
      </c>
      <c r="F4146">
        <v>1</v>
      </c>
      <c r="G4146" t="s">
        <v>176</v>
      </c>
      <c r="H4146">
        <v>0</v>
      </c>
      <c r="I4146">
        <v>4</v>
      </c>
      <c r="J4146" s="10">
        <v>22</v>
      </c>
      <c r="K4146" s="10">
        <f>SUMIFS(F:F,D:D,DST_123_ÜRETİM_İHTİYAÇ_RAPORU_BURAK_YENI1309[[#This Row],[ALT_KOD]])-(SUMIFS(H:H,D:D,DST_123_ÜRETİM_İHTİYAÇ_RAPORU_BURAK_YENI1309[[#This Row],[ALT_KOD]])+AVERAGEIFS(I:I,D:D,DST_123_ÜRETİM_İHTİYAÇ_RAPORU_BURAK_YENI1309[[#This Row],[ALT_KOD]])+AVERAGEIFS(L:L,D:D,DST_123_ÜRETİM_İHTİYAÇ_RAPORU_BURAK_YENI1309[[#This Row],[ALT_KOD]]))</f>
        <v>-5</v>
      </c>
      <c r="L4146">
        <v>20</v>
      </c>
      <c r="M4146">
        <f>IF((DST_123_ÜRETİM_İHTİYAÇ_RAPORU_BURAK_YENI1309[[#This Row],[SATINALMA]]*DST_123_ÜRETİM_İHTİYAÇ_RAPORU_BURAK_YENI1309[[#This Row],[BIRIM_FIYATLAR]])&lt;1,VALUE("0"),DST_123_ÜRETİM_İHTİYAÇ_RAPORU_BURAK_YENI1309[[#This Row],[SATINALMA]]*DST_123_ÜRETİM_İHTİYAÇ_RAPORU_BURAK_YENI1309[[#This Row],[BIRIM_FIYATLAR]])</f>
        <v>0</v>
      </c>
      <c r="N4146">
        <v>65</v>
      </c>
      <c r="O4146" t="s">
        <v>761</v>
      </c>
      <c r="P4146">
        <v>65</v>
      </c>
      <c r="Q4146" t="s">
        <v>178</v>
      </c>
    </row>
    <row r="4147" spans="1:17" x14ac:dyDescent="0.25">
      <c r="A4147" t="s">
        <v>1146</v>
      </c>
      <c r="B4147" t="s">
        <v>1145</v>
      </c>
      <c r="C4147" t="s">
        <v>175</v>
      </c>
      <c r="D4147" t="s">
        <v>277</v>
      </c>
      <c r="E4147" t="s">
        <v>316</v>
      </c>
      <c r="F4147">
        <v>1</v>
      </c>
      <c r="G4147" t="s">
        <v>176</v>
      </c>
      <c r="H4147">
        <v>0</v>
      </c>
      <c r="I4147">
        <v>27</v>
      </c>
      <c r="J4147" s="10">
        <v>4</v>
      </c>
      <c r="K4147" s="10">
        <f>SUMIFS(F:F,D:D,DST_123_ÜRETİM_İHTİYAÇ_RAPORU_BURAK_YENI1309[[#This Row],[ALT_KOD]])-(SUMIFS(H:H,D:D,DST_123_ÜRETİM_İHTİYAÇ_RAPORU_BURAK_YENI1309[[#This Row],[ALT_KOD]])+AVERAGEIFS(I:I,D:D,DST_123_ÜRETİM_İHTİYAÇ_RAPORU_BURAK_YENI1309[[#This Row],[ALT_KOD]])+AVERAGEIFS(L:L,D:D,DST_123_ÜRETİM_İHTİYAÇ_RAPORU_BURAK_YENI1309[[#This Row],[ALT_KOD]]))</f>
        <v>-20</v>
      </c>
      <c r="L4147">
        <v>0</v>
      </c>
      <c r="M4147">
        <f>IF((DST_123_ÜRETİM_İHTİYAÇ_RAPORU_BURAK_YENI1309[[#This Row],[SATINALMA]]*DST_123_ÜRETİM_İHTİYAÇ_RAPORU_BURAK_YENI1309[[#This Row],[BIRIM_FIYATLAR]])&lt;1,VALUE("0"),DST_123_ÜRETİM_İHTİYAÇ_RAPORU_BURAK_YENI1309[[#This Row],[SATINALMA]]*DST_123_ÜRETİM_İHTİYAÇ_RAPORU_BURAK_YENI1309[[#This Row],[BIRIM_FIYATLAR]])</f>
        <v>0</v>
      </c>
      <c r="N4147">
        <v>287.13</v>
      </c>
      <c r="O4147" t="s">
        <v>636</v>
      </c>
      <c r="P4147">
        <v>287.13</v>
      </c>
      <c r="Q4147" t="s">
        <v>178</v>
      </c>
    </row>
    <row r="4148" spans="1:17" x14ac:dyDescent="0.25">
      <c r="A4148" t="s">
        <v>1146</v>
      </c>
      <c r="B4148" t="s">
        <v>1145</v>
      </c>
      <c r="C4148" t="s">
        <v>175</v>
      </c>
      <c r="D4148" t="s">
        <v>278</v>
      </c>
      <c r="E4148" t="s">
        <v>317</v>
      </c>
      <c r="F4148">
        <v>1</v>
      </c>
      <c r="G4148" t="s">
        <v>176</v>
      </c>
      <c r="H4148">
        <v>0</v>
      </c>
      <c r="I4148">
        <v>27</v>
      </c>
      <c r="J4148" s="10">
        <v>4</v>
      </c>
      <c r="K4148" s="10">
        <f>SUMIFS(F:F,D:D,DST_123_ÜRETİM_İHTİYAÇ_RAPORU_BURAK_YENI1309[[#This Row],[ALT_KOD]])-(SUMIFS(H:H,D:D,DST_123_ÜRETİM_İHTİYAÇ_RAPORU_BURAK_YENI1309[[#This Row],[ALT_KOD]])+AVERAGEIFS(I:I,D:D,DST_123_ÜRETİM_İHTİYAÇ_RAPORU_BURAK_YENI1309[[#This Row],[ALT_KOD]])+AVERAGEIFS(L:L,D:D,DST_123_ÜRETİM_İHTİYAÇ_RAPORU_BURAK_YENI1309[[#This Row],[ALT_KOD]]))</f>
        <v>-20</v>
      </c>
      <c r="L4148">
        <v>0</v>
      </c>
      <c r="M4148">
        <f>IF((DST_123_ÜRETİM_İHTİYAÇ_RAPORU_BURAK_YENI1309[[#This Row],[SATINALMA]]*DST_123_ÜRETİM_İHTİYAÇ_RAPORU_BURAK_YENI1309[[#This Row],[BIRIM_FIYATLAR]])&lt;1,VALUE("0"),DST_123_ÜRETİM_İHTİYAÇ_RAPORU_BURAK_YENI1309[[#This Row],[SATINALMA]]*DST_123_ÜRETİM_İHTİYAÇ_RAPORU_BURAK_YENI1309[[#This Row],[BIRIM_FIYATLAR]])</f>
        <v>0</v>
      </c>
      <c r="N4148">
        <v>287.13</v>
      </c>
      <c r="O4148" t="s">
        <v>636</v>
      </c>
      <c r="P4148">
        <v>287.13</v>
      </c>
      <c r="Q4148" t="s">
        <v>178</v>
      </c>
    </row>
    <row r="4149" spans="1:17" x14ac:dyDescent="0.25">
      <c r="A4149" t="s">
        <v>1059</v>
      </c>
      <c r="B4149" t="s">
        <v>1058</v>
      </c>
      <c r="C4149" t="s">
        <v>175</v>
      </c>
      <c r="D4149" t="s">
        <v>637</v>
      </c>
      <c r="E4149" t="s">
        <v>638</v>
      </c>
      <c r="F4149">
        <v>1</v>
      </c>
      <c r="G4149" t="s">
        <v>176</v>
      </c>
      <c r="H4149">
        <v>0</v>
      </c>
      <c r="I4149">
        <v>19</v>
      </c>
      <c r="J4149" s="10">
        <v>17</v>
      </c>
      <c r="K4149" s="10">
        <f>SUMIFS(F:F,D:D,DST_123_ÜRETİM_İHTİYAÇ_RAPORU_BURAK_YENI1309[[#This Row],[ALT_KOD]])-(SUMIFS(H:H,D:D,DST_123_ÜRETİM_İHTİYAÇ_RAPORU_BURAK_YENI1309[[#This Row],[ALT_KOD]])+AVERAGEIFS(I:I,D:D,DST_123_ÜRETİM_İHTİYAÇ_RAPORU_BURAK_YENI1309[[#This Row],[ALT_KOD]])+AVERAGEIFS(L:L,D:D,DST_123_ÜRETİM_İHTİYAÇ_RAPORU_BURAK_YENI1309[[#This Row],[ALT_KOD]]))</f>
        <v>0</v>
      </c>
      <c r="L4149">
        <v>0</v>
      </c>
      <c r="M4149">
        <f>IF((DST_123_ÜRETİM_İHTİYAÇ_RAPORU_BURAK_YENI1309[[#This Row],[SATINALMA]]*DST_123_ÜRETİM_İHTİYAÇ_RAPORU_BURAK_YENI1309[[#This Row],[BIRIM_FIYATLAR]])&lt;1,VALUE("0"),DST_123_ÜRETİM_İHTİYAÇ_RAPORU_BURAK_YENI1309[[#This Row],[SATINALMA]]*DST_123_ÜRETİM_İHTİYAÇ_RAPORU_BURAK_YENI1309[[#This Row],[BIRIM_FIYATLAR]])</f>
        <v>0</v>
      </c>
      <c r="N4149">
        <v>113.64</v>
      </c>
      <c r="O4149" t="s">
        <v>639</v>
      </c>
      <c r="P4149">
        <v>113.64</v>
      </c>
      <c r="Q4149" t="s">
        <v>640</v>
      </c>
    </row>
    <row r="4150" spans="1:17" x14ac:dyDescent="0.25">
      <c r="A4150" t="s">
        <v>1059</v>
      </c>
      <c r="B4150" t="s">
        <v>1058</v>
      </c>
      <c r="C4150" t="s">
        <v>175</v>
      </c>
      <c r="D4150" t="s">
        <v>830</v>
      </c>
      <c r="E4150" t="s">
        <v>831</v>
      </c>
      <c r="F4150">
        <v>5</v>
      </c>
      <c r="G4150" t="s">
        <v>179</v>
      </c>
      <c r="H4150">
        <v>0</v>
      </c>
      <c r="I4150">
        <v>100</v>
      </c>
      <c r="J4150" s="10">
        <v>0</v>
      </c>
      <c r="K4150" s="10">
        <f>SUMIFS(F:F,D:D,DST_123_ÜRETİM_İHTİYAÇ_RAPORU_BURAK_YENI1309[[#This Row],[ALT_KOD]])-(SUMIFS(H:H,D:D,DST_123_ÜRETİM_İHTİYAÇ_RAPORU_BURAK_YENI1309[[#This Row],[ALT_KOD]])+AVERAGEIFS(I:I,D:D,DST_123_ÜRETİM_İHTİYAÇ_RAPORU_BURAK_YENI1309[[#This Row],[ALT_KOD]])+AVERAGEIFS(L:L,D:D,DST_123_ÜRETİM_İHTİYAÇ_RAPORU_BURAK_YENI1309[[#This Row],[ALT_KOD]]))</f>
        <v>-227.63999999999987</v>
      </c>
      <c r="L4150">
        <v>214.64</v>
      </c>
      <c r="M4150">
        <f>IF((DST_123_ÜRETİM_İHTİYAÇ_RAPORU_BURAK_YENI1309[[#This Row],[SATINALMA]]*DST_123_ÜRETİM_İHTİYAÇ_RAPORU_BURAK_YENI1309[[#This Row],[BIRIM_FIYATLAR]])&lt;1,VALUE("0"),DST_123_ÜRETİM_İHTİYAÇ_RAPORU_BURAK_YENI1309[[#This Row],[SATINALMA]]*DST_123_ÜRETİM_İHTİYAÇ_RAPORU_BURAK_YENI1309[[#This Row],[BIRIM_FIYATLAR]])</f>
        <v>0</v>
      </c>
      <c r="N4150">
        <v>50.81</v>
      </c>
      <c r="O4150" t="s">
        <v>832</v>
      </c>
      <c r="P4150">
        <v>254.05</v>
      </c>
      <c r="Q4150" t="s">
        <v>184</v>
      </c>
    </row>
    <row r="4151" spans="1:17" x14ac:dyDescent="0.25">
      <c r="A4151" t="s">
        <v>1143</v>
      </c>
      <c r="B4151" t="s">
        <v>1056</v>
      </c>
      <c r="C4151" t="s">
        <v>175</v>
      </c>
      <c r="D4151" t="s">
        <v>830</v>
      </c>
      <c r="E4151" t="s">
        <v>831</v>
      </c>
      <c r="F4151">
        <v>5</v>
      </c>
      <c r="G4151" t="s">
        <v>179</v>
      </c>
      <c r="H4151">
        <v>0</v>
      </c>
      <c r="I4151">
        <v>100</v>
      </c>
      <c r="J4151" s="10">
        <v>0</v>
      </c>
      <c r="K4151" s="10">
        <f>SUMIFS(F:F,D:D,DST_123_ÜRETİM_İHTİYAÇ_RAPORU_BURAK_YENI1309[[#This Row],[ALT_KOD]])-(SUMIFS(H:H,D:D,DST_123_ÜRETİM_İHTİYAÇ_RAPORU_BURAK_YENI1309[[#This Row],[ALT_KOD]])+AVERAGEIFS(I:I,D:D,DST_123_ÜRETİM_İHTİYAÇ_RAPORU_BURAK_YENI1309[[#This Row],[ALT_KOD]])+AVERAGEIFS(L:L,D:D,DST_123_ÜRETİM_İHTİYAÇ_RAPORU_BURAK_YENI1309[[#This Row],[ALT_KOD]]))</f>
        <v>-227.63999999999987</v>
      </c>
      <c r="L4151">
        <v>214.64</v>
      </c>
      <c r="M4151">
        <f>IF((DST_123_ÜRETİM_İHTİYAÇ_RAPORU_BURAK_YENI1309[[#This Row],[SATINALMA]]*DST_123_ÜRETİM_İHTİYAÇ_RAPORU_BURAK_YENI1309[[#This Row],[BIRIM_FIYATLAR]])&lt;1,VALUE("0"),DST_123_ÜRETİM_İHTİYAÇ_RAPORU_BURAK_YENI1309[[#This Row],[SATINALMA]]*DST_123_ÜRETİM_İHTİYAÇ_RAPORU_BURAK_YENI1309[[#This Row],[BIRIM_FIYATLAR]])</f>
        <v>0</v>
      </c>
      <c r="N4151">
        <v>50.81</v>
      </c>
      <c r="O4151" t="s">
        <v>832</v>
      </c>
      <c r="P4151">
        <v>254.05</v>
      </c>
      <c r="Q4151" t="s">
        <v>184</v>
      </c>
    </row>
    <row r="4152" spans="1:17" x14ac:dyDescent="0.25">
      <c r="A4152" t="s">
        <v>1098</v>
      </c>
      <c r="B4152" t="s">
        <v>1096</v>
      </c>
      <c r="C4152" t="s">
        <v>175</v>
      </c>
      <c r="D4152" t="s">
        <v>134</v>
      </c>
      <c r="E4152" t="s">
        <v>135</v>
      </c>
      <c r="F4152">
        <v>7.5</v>
      </c>
      <c r="G4152" t="s">
        <v>179</v>
      </c>
      <c r="H4152">
        <v>0</v>
      </c>
      <c r="I4152">
        <v>60</v>
      </c>
      <c r="J4152" s="10">
        <v>52</v>
      </c>
      <c r="K4152" s="10">
        <f>SUMIFS(F:F,D:D,DST_123_ÜRETİM_İHTİYAÇ_RAPORU_BURAK_YENI1309[[#This Row],[ALT_KOD]])-(SUMIFS(H:H,D:D,DST_123_ÜRETİM_İHTİYAÇ_RAPORU_BURAK_YENI1309[[#This Row],[ALT_KOD]])+AVERAGEIFS(I:I,D:D,DST_123_ÜRETİM_İHTİYAÇ_RAPORU_BURAK_YENI1309[[#This Row],[ALT_KOD]])+AVERAGEIFS(L:L,D:D,DST_123_ÜRETİM_İHTİYAÇ_RAPORU_BURAK_YENI1309[[#This Row],[ALT_KOD]]))</f>
        <v>14.5</v>
      </c>
      <c r="L4152">
        <v>80</v>
      </c>
      <c r="M4152">
        <f>IF((DST_123_ÜRETİM_İHTİYAÇ_RAPORU_BURAK_YENI1309[[#This Row],[SATINALMA]]*DST_123_ÜRETİM_İHTİYAÇ_RAPORU_BURAK_YENI1309[[#This Row],[BIRIM_FIYATLAR]])&lt;1,VALUE("0"),DST_123_ÜRETİM_İHTİYAÇ_RAPORU_BURAK_YENI1309[[#This Row],[SATINALMA]]*DST_123_ÜRETİM_İHTİYAÇ_RAPORU_BURAK_YENI1309[[#This Row],[BIRIM_FIYATLAR]])</f>
        <v>710.5</v>
      </c>
      <c r="N4152">
        <v>49</v>
      </c>
      <c r="O4152" t="s">
        <v>672</v>
      </c>
      <c r="P4152">
        <v>367.5</v>
      </c>
      <c r="Q4152" t="s">
        <v>184</v>
      </c>
    </row>
    <row r="4153" spans="1:17" x14ac:dyDescent="0.25">
      <c r="A4153" t="s">
        <v>1098</v>
      </c>
      <c r="B4153" t="s">
        <v>1096</v>
      </c>
      <c r="C4153" t="s">
        <v>175</v>
      </c>
      <c r="D4153" t="s">
        <v>241</v>
      </c>
      <c r="E4153" t="s">
        <v>242</v>
      </c>
      <c r="F4153">
        <v>1.35</v>
      </c>
      <c r="G4153" t="s">
        <v>176</v>
      </c>
      <c r="H4153">
        <v>0</v>
      </c>
      <c r="I4153">
        <v>49</v>
      </c>
      <c r="J4153" s="10">
        <v>1.6000000000000005</v>
      </c>
      <c r="K4153" s="10">
        <f>SUMIFS(F:F,D:D,DST_123_ÜRETİM_İHTİYAÇ_RAPORU_BURAK_YENI1309[[#This Row],[ALT_KOD]])-(SUMIFS(H:H,D:D,DST_123_ÜRETİM_İHTİYAÇ_RAPORU_BURAK_YENI1309[[#This Row],[ALT_KOD]])+AVERAGEIFS(I:I,D:D,DST_123_ÜRETİM_İHTİYAÇ_RAPORU_BURAK_YENI1309[[#This Row],[ALT_KOD]])+AVERAGEIFS(L:L,D:D,DST_123_ÜRETİM_İHTİYAÇ_RAPORU_BURAK_YENI1309[[#This Row],[ALT_KOD]]))</f>
        <v>-37.599999999999994</v>
      </c>
      <c r="L4153">
        <v>0</v>
      </c>
      <c r="M4153">
        <f>IF((DST_123_ÜRETİM_İHTİYAÇ_RAPORU_BURAK_YENI1309[[#This Row],[SATINALMA]]*DST_123_ÜRETİM_İHTİYAÇ_RAPORU_BURAK_YENI1309[[#This Row],[BIRIM_FIYATLAR]])&lt;1,VALUE("0"),DST_123_ÜRETİM_İHTİYAÇ_RAPORU_BURAK_YENI1309[[#This Row],[SATINALMA]]*DST_123_ÜRETİM_İHTİYAÇ_RAPORU_BURAK_YENI1309[[#This Row],[BIRIM_FIYATLAR]])</f>
        <v>0</v>
      </c>
      <c r="N4153">
        <v>60</v>
      </c>
      <c r="O4153" t="s">
        <v>490</v>
      </c>
      <c r="P4153">
        <v>81</v>
      </c>
      <c r="Q4153" t="s">
        <v>180</v>
      </c>
    </row>
    <row r="4154" spans="1:17" x14ac:dyDescent="0.25">
      <c r="A4154" t="s">
        <v>1196</v>
      </c>
      <c r="B4154" t="s">
        <v>1197</v>
      </c>
      <c r="C4154" t="s">
        <v>175</v>
      </c>
      <c r="D4154" t="s">
        <v>157</v>
      </c>
      <c r="E4154" t="s">
        <v>158</v>
      </c>
      <c r="F4154">
        <v>1</v>
      </c>
      <c r="G4154" t="s">
        <v>176</v>
      </c>
      <c r="H4154">
        <v>0</v>
      </c>
      <c r="I4154">
        <v>4</v>
      </c>
      <c r="J4154" s="10">
        <v>22</v>
      </c>
      <c r="K4154" s="10">
        <f>SUMIFS(F:F,D:D,DST_123_ÜRETİM_İHTİYAÇ_RAPORU_BURAK_YENI1309[[#This Row],[ALT_KOD]])-(SUMIFS(H:H,D:D,DST_123_ÜRETİM_İHTİYAÇ_RAPORU_BURAK_YENI1309[[#This Row],[ALT_KOD]])+AVERAGEIFS(I:I,D:D,DST_123_ÜRETİM_İHTİYAÇ_RAPORU_BURAK_YENI1309[[#This Row],[ALT_KOD]])+AVERAGEIFS(L:L,D:D,DST_123_ÜRETİM_İHTİYAÇ_RAPORU_BURAK_YENI1309[[#This Row],[ALT_KOD]]))</f>
        <v>-5</v>
      </c>
      <c r="L4154">
        <v>20</v>
      </c>
      <c r="M4154">
        <f>IF((DST_123_ÜRETİM_İHTİYAÇ_RAPORU_BURAK_YENI1309[[#This Row],[SATINALMA]]*DST_123_ÜRETİM_İHTİYAÇ_RAPORU_BURAK_YENI1309[[#This Row],[BIRIM_FIYATLAR]])&lt;1,VALUE("0"),DST_123_ÜRETİM_İHTİYAÇ_RAPORU_BURAK_YENI1309[[#This Row],[SATINALMA]]*DST_123_ÜRETİM_İHTİYAÇ_RAPORU_BURAK_YENI1309[[#This Row],[BIRIM_FIYATLAR]])</f>
        <v>0</v>
      </c>
      <c r="N4154">
        <v>65</v>
      </c>
      <c r="O4154" t="s">
        <v>761</v>
      </c>
      <c r="P4154">
        <v>65</v>
      </c>
      <c r="Q4154" t="s">
        <v>178</v>
      </c>
    </row>
    <row r="4155" spans="1:17" x14ac:dyDescent="0.25">
      <c r="A4155" t="s">
        <v>1098</v>
      </c>
      <c r="B4155" t="s">
        <v>1096</v>
      </c>
      <c r="C4155" t="s">
        <v>175</v>
      </c>
      <c r="D4155" t="s">
        <v>157</v>
      </c>
      <c r="E4155" t="s">
        <v>158</v>
      </c>
      <c r="F4155">
        <v>1</v>
      </c>
      <c r="G4155" t="s">
        <v>176</v>
      </c>
      <c r="H4155">
        <v>0</v>
      </c>
      <c r="I4155">
        <v>4</v>
      </c>
      <c r="J4155" s="10">
        <v>22</v>
      </c>
      <c r="K4155" s="10">
        <f>SUMIFS(F:F,D:D,DST_123_ÜRETİM_İHTİYAÇ_RAPORU_BURAK_YENI1309[[#This Row],[ALT_KOD]])-(SUMIFS(H:H,D:D,DST_123_ÜRETİM_İHTİYAÇ_RAPORU_BURAK_YENI1309[[#This Row],[ALT_KOD]])+AVERAGEIFS(I:I,D:D,DST_123_ÜRETİM_İHTİYAÇ_RAPORU_BURAK_YENI1309[[#This Row],[ALT_KOD]])+AVERAGEIFS(L:L,D:D,DST_123_ÜRETİM_İHTİYAÇ_RAPORU_BURAK_YENI1309[[#This Row],[ALT_KOD]]))</f>
        <v>-5</v>
      </c>
      <c r="L4155">
        <v>20</v>
      </c>
      <c r="M4155">
        <f>IF((DST_123_ÜRETİM_İHTİYAÇ_RAPORU_BURAK_YENI1309[[#This Row],[SATINALMA]]*DST_123_ÜRETİM_İHTİYAÇ_RAPORU_BURAK_YENI1309[[#This Row],[BIRIM_FIYATLAR]])&lt;1,VALUE("0"),DST_123_ÜRETİM_İHTİYAÇ_RAPORU_BURAK_YENI1309[[#This Row],[SATINALMA]]*DST_123_ÜRETİM_İHTİYAÇ_RAPORU_BURAK_YENI1309[[#This Row],[BIRIM_FIYATLAR]])</f>
        <v>0</v>
      </c>
      <c r="N4155">
        <v>65</v>
      </c>
      <c r="O4155" t="s">
        <v>761</v>
      </c>
      <c r="P4155">
        <v>65</v>
      </c>
      <c r="Q4155" t="s">
        <v>178</v>
      </c>
    </row>
    <row r="4156" spans="1:17" x14ac:dyDescent="0.25">
      <c r="A4156" t="s">
        <v>1099</v>
      </c>
      <c r="B4156" t="s">
        <v>1055</v>
      </c>
      <c r="C4156" t="s">
        <v>175</v>
      </c>
      <c r="D4156" t="s">
        <v>157</v>
      </c>
      <c r="E4156" t="s">
        <v>158</v>
      </c>
      <c r="F4156">
        <v>1</v>
      </c>
      <c r="G4156" t="s">
        <v>176</v>
      </c>
      <c r="H4156">
        <v>0</v>
      </c>
      <c r="I4156">
        <v>4</v>
      </c>
      <c r="J4156" s="10">
        <v>22</v>
      </c>
      <c r="K4156" s="10">
        <f>SUMIFS(F:F,D:D,DST_123_ÜRETİM_İHTİYAÇ_RAPORU_BURAK_YENI1309[[#This Row],[ALT_KOD]])-(SUMIFS(H:H,D:D,DST_123_ÜRETİM_İHTİYAÇ_RAPORU_BURAK_YENI1309[[#This Row],[ALT_KOD]])+AVERAGEIFS(I:I,D:D,DST_123_ÜRETİM_İHTİYAÇ_RAPORU_BURAK_YENI1309[[#This Row],[ALT_KOD]])+AVERAGEIFS(L:L,D:D,DST_123_ÜRETİM_İHTİYAÇ_RAPORU_BURAK_YENI1309[[#This Row],[ALT_KOD]]))</f>
        <v>-5</v>
      </c>
      <c r="L4156">
        <v>20</v>
      </c>
      <c r="M4156">
        <f>IF((DST_123_ÜRETİM_İHTİYAÇ_RAPORU_BURAK_YENI1309[[#This Row],[SATINALMA]]*DST_123_ÜRETİM_İHTİYAÇ_RAPORU_BURAK_YENI1309[[#This Row],[BIRIM_FIYATLAR]])&lt;1,VALUE("0"),DST_123_ÜRETİM_İHTİYAÇ_RAPORU_BURAK_YENI1309[[#This Row],[SATINALMA]]*DST_123_ÜRETİM_İHTİYAÇ_RAPORU_BURAK_YENI1309[[#This Row],[BIRIM_FIYATLAR]])</f>
        <v>0</v>
      </c>
      <c r="N4156">
        <v>65</v>
      </c>
      <c r="O4156" t="s">
        <v>761</v>
      </c>
      <c r="P4156">
        <v>65</v>
      </c>
      <c r="Q4156" t="s">
        <v>178</v>
      </c>
    </row>
    <row r="4157" spans="1:17" x14ac:dyDescent="0.25">
      <c r="A4157" t="s">
        <v>1095</v>
      </c>
      <c r="B4157" t="s">
        <v>1096</v>
      </c>
      <c r="C4157" t="s">
        <v>175</v>
      </c>
      <c r="D4157" t="s">
        <v>241</v>
      </c>
      <c r="E4157" t="s">
        <v>242</v>
      </c>
      <c r="F4157">
        <v>1.35</v>
      </c>
      <c r="G4157" t="s">
        <v>176</v>
      </c>
      <c r="H4157">
        <v>0</v>
      </c>
      <c r="I4157">
        <v>49</v>
      </c>
      <c r="J4157" s="10">
        <v>1.6000000000000005</v>
      </c>
      <c r="K4157" s="10">
        <f>SUMIFS(F:F,D:D,DST_123_ÜRETİM_İHTİYAÇ_RAPORU_BURAK_YENI1309[[#This Row],[ALT_KOD]])-(SUMIFS(H:H,D:D,DST_123_ÜRETİM_İHTİYAÇ_RAPORU_BURAK_YENI1309[[#This Row],[ALT_KOD]])+AVERAGEIFS(I:I,D:D,DST_123_ÜRETİM_İHTİYAÇ_RAPORU_BURAK_YENI1309[[#This Row],[ALT_KOD]])+AVERAGEIFS(L:L,D:D,DST_123_ÜRETİM_İHTİYAÇ_RAPORU_BURAK_YENI1309[[#This Row],[ALT_KOD]]))</f>
        <v>-37.599999999999994</v>
      </c>
      <c r="L4157">
        <v>0</v>
      </c>
      <c r="M4157">
        <f>IF((DST_123_ÜRETİM_İHTİYAÇ_RAPORU_BURAK_YENI1309[[#This Row],[SATINALMA]]*DST_123_ÜRETİM_İHTİYAÇ_RAPORU_BURAK_YENI1309[[#This Row],[BIRIM_FIYATLAR]])&lt;1,VALUE("0"),DST_123_ÜRETİM_İHTİYAÇ_RAPORU_BURAK_YENI1309[[#This Row],[SATINALMA]]*DST_123_ÜRETİM_İHTİYAÇ_RAPORU_BURAK_YENI1309[[#This Row],[BIRIM_FIYATLAR]])</f>
        <v>0</v>
      </c>
      <c r="N4157">
        <v>60</v>
      </c>
      <c r="O4157" t="s">
        <v>490</v>
      </c>
      <c r="P4157">
        <v>81</v>
      </c>
      <c r="Q4157" t="s">
        <v>180</v>
      </c>
    </row>
    <row r="4158" spans="1:17" x14ac:dyDescent="0.25">
      <c r="A4158" t="s">
        <v>1142</v>
      </c>
      <c r="B4158" t="s">
        <v>1056</v>
      </c>
      <c r="C4158" t="s">
        <v>175</v>
      </c>
      <c r="D4158" t="s">
        <v>157</v>
      </c>
      <c r="E4158" t="s">
        <v>158</v>
      </c>
      <c r="F4158">
        <v>1</v>
      </c>
      <c r="G4158" t="s">
        <v>176</v>
      </c>
      <c r="H4158">
        <v>0</v>
      </c>
      <c r="I4158">
        <v>4</v>
      </c>
      <c r="J4158" s="10">
        <v>22</v>
      </c>
      <c r="K4158" s="10">
        <f>SUMIFS(F:F,D:D,DST_123_ÜRETİM_İHTİYAÇ_RAPORU_BURAK_YENI1309[[#This Row],[ALT_KOD]])-(SUMIFS(H:H,D:D,DST_123_ÜRETİM_İHTİYAÇ_RAPORU_BURAK_YENI1309[[#This Row],[ALT_KOD]])+AVERAGEIFS(I:I,D:D,DST_123_ÜRETİM_İHTİYAÇ_RAPORU_BURAK_YENI1309[[#This Row],[ALT_KOD]])+AVERAGEIFS(L:L,D:D,DST_123_ÜRETİM_İHTİYAÇ_RAPORU_BURAK_YENI1309[[#This Row],[ALT_KOD]]))</f>
        <v>-5</v>
      </c>
      <c r="L4158">
        <v>20</v>
      </c>
      <c r="M4158">
        <f>IF((DST_123_ÜRETİM_İHTİYAÇ_RAPORU_BURAK_YENI1309[[#This Row],[SATINALMA]]*DST_123_ÜRETİM_İHTİYAÇ_RAPORU_BURAK_YENI1309[[#This Row],[BIRIM_FIYATLAR]])&lt;1,VALUE("0"),DST_123_ÜRETİM_İHTİYAÇ_RAPORU_BURAK_YENI1309[[#This Row],[SATINALMA]]*DST_123_ÜRETİM_İHTİYAÇ_RAPORU_BURAK_YENI1309[[#This Row],[BIRIM_FIYATLAR]])</f>
        <v>0</v>
      </c>
      <c r="N4158">
        <v>65</v>
      </c>
      <c r="O4158" t="s">
        <v>761</v>
      </c>
      <c r="P4158">
        <v>65</v>
      </c>
      <c r="Q4158" t="s">
        <v>178</v>
      </c>
    </row>
    <row r="4159" spans="1:17" x14ac:dyDescent="0.25">
      <c r="A4159" t="s">
        <v>1097</v>
      </c>
      <c r="B4159" t="s">
        <v>1055</v>
      </c>
      <c r="C4159" t="s">
        <v>175</v>
      </c>
      <c r="D4159" t="s">
        <v>157</v>
      </c>
      <c r="E4159" t="s">
        <v>158</v>
      </c>
      <c r="F4159">
        <v>1</v>
      </c>
      <c r="G4159" t="s">
        <v>176</v>
      </c>
      <c r="H4159">
        <v>0</v>
      </c>
      <c r="I4159">
        <v>4</v>
      </c>
      <c r="J4159" s="10">
        <v>22</v>
      </c>
      <c r="K4159" s="10">
        <f>SUMIFS(F:F,D:D,DST_123_ÜRETİM_İHTİYAÇ_RAPORU_BURAK_YENI1309[[#This Row],[ALT_KOD]])-(SUMIFS(H:H,D:D,DST_123_ÜRETİM_İHTİYAÇ_RAPORU_BURAK_YENI1309[[#This Row],[ALT_KOD]])+AVERAGEIFS(I:I,D:D,DST_123_ÜRETİM_İHTİYAÇ_RAPORU_BURAK_YENI1309[[#This Row],[ALT_KOD]])+AVERAGEIFS(L:L,D:D,DST_123_ÜRETİM_İHTİYAÇ_RAPORU_BURAK_YENI1309[[#This Row],[ALT_KOD]]))</f>
        <v>-5</v>
      </c>
      <c r="L4159">
        <v>20</v>
      </c>
      <c r="M4159">
        <f>IF((DST_123_ÜRETİM_İHTİYAÇ_RAPORU_BURAK_YENI1309[[#This Row],[SATINALMA]]*DST_123_ÜRETİM_İHTİYAÇ_RAPORU_BURAK_YENI1309[[#This Row],[BIRIM_FIYATLAR]])&lt;1,VALUE("0"),DST_123_ÜRETİM_İHTİYAÇ_RAPORU_BURAK_YENI1309[[#This Row],[SATINALMA]]*DST_123_ÜRETİM_İHTİYAÇ_RAPORU_BURAK_YENI1309[[#This Row],[BIRIM_FIYATLAR]])</f>
        <v>0</v>
      </c>
      <c r="N4159">
        <v>65</v>
      </c>
      <c r="O4159" t="s">
        <v>761</v>
      </c>
      <c r="P4159">
        <v>65</v>
      </c>
      <c r="Q4159" t="s">
        <v>178</v>
      </c>
    </row>
    <row r="4160" spans="1:17" x14ac:dyDescent="0.25">
      <c r="A4160" t="s">
        <v>1095</v>
      </c>
      <c r="B4160" t="s">
        <v>1096</v>
      </c>
      <c r="C4160" t="s">
        <v>175</v>
      </c>
      <c r="D4160" t="s">
        <v>445</v>
      </c>
      <c r="E4160" t="s">
        <v>629</v>
      </c>
      <c r="F4160">
        <v>2</v>
      </c>
      <c r="G4160" t="s">
        <v>176</v>
      </c>
      <c r="H4160">
        <v>0</v>
      </c>
      <c r="I4160">
        <v>109</v>
      </c>
      <c r="J4160" s="10">
        <v>34</v>
      </c>
      <c r="K4160" s="10">
        <f>SUMIFS(F:F,D:D,DST_123_ÜRETİM_İHTİYAÇ_RAPORU_BURAK_YENI1309[[#This Row],[ALT_KOD]])-(SUMIFS(H:H,D:D,DST_123_ÜRETİM_İHTİYAÇ_RAPORU_BURAK_YENI1309[[#This Row],[ALT_KOD]])+AVERAGEIFS(I:I,D:D,DST_123_ÜRETİM_İHTİYAÇ_RAPORU_BURAK_YENI1309[[#This Row],[ALT_KOD]])+AVERAGEIFS(L:L,D:D,DST_123_ÜRETİM_İHTİYAÇ_RAPORU_BURAK_YENI1309[[#This Row],[ALT_KOD]]))</f>
        <v>-71</v>
      </c>
      <c r="L4160">
        <v>0</v>
      </c>
      <c r="M4160">
        <f>IF((DST_123_ÜRETİM_İHTİYAÇ_RAPORU_BURAK_YENI1309[[#This Row],[SATINALMA]]*DST_123_ÜRETİM_İHTİYAÇ_RAPORU_BURAK_YENI1309[[#This Row],[BIRIM_FIYATLAR]])&lt;1,VALUE("0"),DST_123_ÜRETİM_İHTİYAÇ_RAPORU_BURAK_YENI1309[[#This Row],[SATINALMA]]*DST_123_ÜRETİM_İHTİYAÇ_RAPORU_BURAK_YENI1309[[#This Row],[BIRIM_FIYATLAR]])</f>
        <v>0</v>
      </c>
      <c r="N4160">
        <v>250</v>
      </c>
      <c r="O4160" t="s">
        <v>628</v>
      </c>
      <c r="P4160">
        <v>500</v>
      </c>
      <c r="Q4160" t="s">
        <v>180</v>
      </c>
    </row>
    <row r="4161" spans="1:17" x14ac:dyDescent="0.25">
      <c r="A4161" t="s">
        <v>1097</v>
      </c>
      <c r="B4161" t="s">
        <v>1055</v>
      </c>
      <c r="C4161" t="s">
        <v>175</v>
      </c>
      <c r="D4161" t="s">
        <v>445</v>
      </c>
      <c r="E4161" t="s">
        <v>629</v>
      </c>
      <c r="F4161">
        <v>4</v>
      </c>
      <c r="G4161" t="s">
        <v>176</v>
      </c>
      <c r="H4161">
        <v>4</v>
      </c>
      <c r="I4161">
        <v>109</v>
      </c>
      <c r="J4161" s="10">
        <v>34</v>
      </c>
      <c r="K4161" s="10">
        <f>SUMIFS(F:F,D:D,DST_123_ÜRETİM_İHTİYAÇ_RAPORU_BURAK_YENI1309[[#This Row],[ALT_KOD]])-(SUMIFS(H:H,D:D,DST_123_ÜRETİM_İHTİYAÇ_RAPORU_BURAK_YENI1309[[#This Row],[ALT_KOD]])+AVERAGEIFS(I:I,D:D,DST_123_ÜRETİM_İHTİYAÇ_RAPORU_BURAK_YENI1309[[#This Row],[ALT_KOD]])+AVERAGEIFS(L:L,D:D,DST_123_ÜRETİM_İHTİYAÇ_RAPORU_BURAK_YENI1309[[#This Row],[ALT_KOD]]))</f>
        <v>-71</v>
      </c>
      <c r="L4161">
        <v>0</v>
      </c>
      <c r="M4161">
        <f>IF((DST_123_ÜRETİM_İHTİYAÇ_RAPORU_BURAK_YENI1309[[#This Row],[SATINALMA]]*DST_123_ÜRETİM_İHTİYAÇ_RAPORU_BURAK_YENI1309[[#This Row],[BIRIM_FIYATLAR]])&lt;1,VALUE("0"),DST_123_ÜRETİM_İHTİYAÇ_RAPORU_BURAK_YENI1309[[#This Row],[SATINALMA]]*DST_123_ÜRETİM_İHTİYAÇ_RAPORU_BURAK_YENI1309[[#This Row],[BIRIM_FIYATLAR]])</f>
        <v>0</v>
      </c>
      <c r="N4161">
        <v>250</v>
      </c>
      <c r="O4161" t="s">
        <v>628</v>
      </c>
      <c r="P4161">
        <v>1000</v>
      </c>
      <c r="Q4161" t="s">
        <v>180</v>
      </c>
    </row>
    <row r="4162" spans="1:17" x14ac:dyDescent="0.25">
      <c r="A4162" t="s">
        <v>1143</v>
      </c>
      <c r="B4162" t="s">
        <v>1056</v>
      </c>
      <c r="C4162" t="s">
        <v>175</v>
      </c>
      <c r="D4162" t="s">
        <v>637</v>
      </c>
      <c r="E4162" t="s">
        <v>638</v>
      </c>
      <c r="F4162">
        <v>1</v>
      </c>
      <c r="G4162" t="s">
        <v>176</v>
      </c>
      <c r="H4162">
        <v>0</v>
      </c>
      <c r="I4162">
        <v>19</v>
      </c>
      <c r="J4162" s="10">
        <v>17</v>
      </c>
      <c r="K4162" s="10">
        <f>SUMIFS(F:F,D:D,DST_123_ÜRETİM_İHTİYAÇ_RAPORU_BURAK_YENI1309[[#This Row],[ALT_KOD]])-(SUMIFS(H:H,D:D,DST_123_ÜRETİM_İHTİYAÇ_RAPORU_BURAK_YENI1309[[#This Row],[ALT_KOD]])+AVERAGEIFS(I:I,D:D,DST_123_ÜRETİM_İHTİYAÇ_RAPORU_BURAK_YENI1309[[#This Row],[ALT_KOD]])+AVERAGEIFS(L:L,D:D,DST_123_ÜRETİM_İHTİYAÇ_RAPORU_BURAK_YENI1309[[#This Row],[ALT_KOD]]))</f>
        <v>0</v>
      </c>
      <c r="L4162">
        <v>0</v>
      </c>
      <c r="M4162">
        <f>IF((DST_123_ÜRETİM_İHTİYAÇ_RAPORU_BURAK_YENI1309[[#This Row],[SATINALMA]]*DST_123_ÜRETİM_İHTİYAÇ_RAPORU_BURAK_YENI1309[[#This Row],[BIRIM_FIYATLAR]])&lt;1,VALUE("0"),DST_123_ÜRETİM_İHTİYAÇ_RAPORU_BURAK_YENI1309[[#This Row],[SATINALMA]]*DST_123_ÜRETİM_İHTİYAÇ_RAPORU_BURAK_YENI1309[[#This Row],[BIRIM_FIYATLAR]])</f>
        <v>0</v>
      </c>
      <c r="N4162">
        <v>113.64</v>
      </c>
      <c r="O4162" t="s">
        <v>639</v>
      </c>
      <c r="P4162">
        <v>113.64</v>
      </c>
      <c r="Q4162" t="s">
        <v>640</v>
      </c>
    </row>
    <row r="4163" spans="1:17" x14ac:dyDescent="0.25">
      <c r="A4163" t="s">
        <v>1142</v>
      </c>
      <c r="B4163" t="s">
        <v>1056</v>
      </c>
      <c r="C4163" t="s">
        <v>175</v>
      </c>
      <c r="D4163" t="s">
        <v>830</v>
      </c>
      <c r="E4163" t="s">
        <v>831</v>
      </c>
      <c r="F4163">
        <v>4</v>
      </c>
      <c r="G4163" t="s">
        <v>179</v>
      </c>
      <c r="H4163">
        <v>0</v>
      </c>
      <c r="I4163">
        <v>100</v>
      </c>
      <c r="J4163" s="10">
        <v>0</v>
      </c>
      <c r="K4163" s="10">
        <f>SUMIFS(F:F,D:D,DST_123_ÜRETİM_İHTİYAÇ_RAPORU_BURAK_YENI1309[[#This Row],[ALT_KOD]])-(SUMIFS(H:H,D:D,DST_123_ÜRETİM_İHTİYAÇ_RAPORU_BURAK_YENI1309[[#This Row],[ALT_KOD]])+AVERAGEIFS(I:I,D:D,DST_123_ÜRETİM_İHTİYAÇ_RAPORU_BURAK_YENI1309[[#This Row],[ALT_KOD]])+AVERAGEIFS(L:L,D:D,DST_123_ÜRETİM_İHTİYAÇ_RAPORU_BURAK_YENI1309[[#This Row],[ALT_KOD]]))</f>
        <v>-227.63999999999987</v>
      </c>
      <c r="L4163">
        <v>214.64</v>
      </c>
      <c r="M4163">
        <f>IF((DST_123_ÜRETİM_İHTİYAÇ_RAPORU_BURAK_YENI1309[[#This Row],[SATINALMA]]*DST_123_ÜRETİM_İHTİYAÇ_RAPORU_BURAK_YENI1309[[#This Row],[BIRIM_FIYATLAR]])&lt;1,VALUE("0"),DST_123_ÜRETİM_İHTİYAÇ_RAPORU_BURAK_YENI1309[[#This Row],[SATINALMA]]*DST_123_ÜRETİM_İHTİYAÇ_RAPORU_BURAK_YENI1309[[#This Row],[BIRIM_FIYATLAR]])</f>
        <v>0</v>
      </c>
      <c r="N4163">
        <v>50.81</v>
      </c>
      <c r="O4163" t="s">
        <v>832</v>
      </c>
      <c r="P4163">
        <v>203.24</v>
      </c>
      <c r="Q4163" t="s">
        <v>184</v>
      </c>
    </row>
    <row r="4164" spans="1:17" x14ac:dyDescent="0.25">
      <c r="A4164" t="s">
        <v>1196</v>
      </c>
      <c r="B4164" t="s">
        <v>1197</v>
      </c>
      <c r="C4164" t="s">
        <v>175</v>
      </c>
      <c r="D4164" t="s">
        <v>277</v>
      </c>
      <c r="E4164" t="s">
        <v>316</v>
      </c>
      <c r="F4164">
        <v>1</v>
      </c>
      <c r="G4164" t="s">
        <v>176</v>
      </c>
      <c r="H4164">
        <v>0</v>
      </c>
      <c r="I4164">
        <v>27</v>
      </c>
      <c r="J4164" s="10">
        <v>4</v>
      </c>
      <c r="K4164" s="10">
        <f>SUMIFS(F:F,D:D,DST_123_ÜRETİM_İHTİYAÇ_RAPORU_BURAK_YENI1309[[#This Row],[ALT_KOD]])-(SUMIFS(H:H,D:D,DST_123_ÜRETİM_İHTİYAÇ_RAPORU_BURAK_YENI1309[[#This Row],[ALT_KOD]])+AVERAGEIFS(I:I,D:D,DST_123_ÜRETİM_İHTİYAÇ_RAPORU_BURAK_YENI1309[[#This Row],[ALT_KOD]])+AVERAGEIFS(L:L,D:D,DST_123_ÜRETİM_İHTİYAÇ_RAPORU_BURAK_YENI1309[[#This Row],[ALT_KOD]]))</f>
        <v>-20</v>
      </c>
      <c r="L4164">
        <v>0</v>
      </c>
      <c r="M4164">
        <f>IF((DST_123_ÜRETİM_İHTİYAÇ_RAPORU_BURAK_YENI1309[[#This Row],[SATINALMA]]*DST_123_ÜRETİM_İHTİYAÇ_RAPORU_BURAK_YENI1309[[#This Row],[BIRIM_FIYATLAR]])&lt;1,VALUE("0"),DST_123_ÜRETİM_İHTİYAÇ_RAPORU_BURAK_YENI1309[[#This Row],[SATINALMA]]*DST_123_ÜRETİM_İHTİYAÇ_RAPORU_BURAK_YENI1309[[#This Row],[BIRIM_FIYATLAR]])</f>
        <v>0</v>
      </c>
      <c r="N4164">
        <v>287.13</v>
      </c>
      <c r="O4164" t="s">
        <v>636</v>
      </c>
      <c r="P4164">
        <v>287.13</v>
      </c>
      <c r="Q4164" t="s">
        <v>178</v>
      </c>
    </row>
    <row r="4165" spans="1:17" x14ac:dyDescent="0.25">
      <c r="A4165" t="s">
        <v>1196</v>
      </c>
      <c r="B4165" t="s">
        <v>1197</v>
      </c>
      <c r="C4165" t="s">
        <v>175</v>
      </c>
      <c r="D4165" t="s">
        <v>278</v>
      </c>
      <c r="E4165" t="s">
        <v>317</v>
      </c>
      <c r="F4165">
        <v>1</v>
      </c>
      <c r="G4165" t="s">
        <v>176</v>
      </c>
      <c r="H4165">
        <v>0</v>
      </c>
      <c r="I4165">
        <v>27</v>
      </c>
      <c r="J4165" s="10">
        <v>4</v>
      </c>
      <c r="K4165" s="10">
        <f>SUMIFS(F:F,D:D,DST_123_ÜRETİM_İHTİYAÇ_RAPORU_BURAK_YENI1309[[#This Row],[ALT_KOD]])-(SUMIFS(H:H,D:D,DST_123_ÜRETİM_İHTİYAÇ_RAPORU_BURAK_YENI1309[[#This Row],[ALT_KOD]])+AVERAGEIFS(I:I,D:D,DST_123_ÜRETİM_İHTİYAÇ_RAPORU_BURAK_YENI1309[[#This Row],[ALT_KOD]])+AVERAGEIFS(L:L,D:D,DST_123_ÜRETİM_İHTİYAÇ_RAPORU_BURAK_YENI1309[[#This Row],[ALT_KOD]]))</f>
        <v>-20</v>
      </c>
      <c r="L4165">
        <v>0</v>
      </c>
      <c r="M4165">
        <f>IF((DST_123_ÜRETİM_İHTİYAÇ_RAPORU_BURAK_YENI1309[[#This Row],[SATINALMA]]*DST_123_ÜRETİM_İHTİYAÇ_RAPORU_BURAK_YENI1309[[#This Row],[BIRIM_FIYATLAR]])&lt;1,VALUE("0"),DST_123_ÜRETİM_İHTİYAÇ_RAPORU_BURAK_YENI1309[[#This Row],[SATINALMA]]*DST_123_ÜRETİM_İHTİYAÇ_RAPORU_BURAK_YENI1309[[#This Row],[BIRIM_FIYATLAR]])</f>
        <v>0</v>
      </c>
      <c r="N4165">
        <v>287.13</v>
      </c>
      <c r="O4165" t="s">
        <v>636</v>
      </c>
      <c r="P4165">
        <v>287.13</v>
      </c>
      <c r="Q4165" t="s">
        <v>178</v>
      </c>
    </row>
    <row r="4166" spans="1:17" x14ac:dyDescent="0.25">
      <c r="A4166" t="s">
        <v>1196</v>
      </c>
      <c r="B4166" t="s">
        <v>1197</v>
      </c>
      <c r="C4166" t="s">
        <v>175</v>
      </c>
      <c r="D4166" t="s">
        <v>445</v>
      </c>
      <c r="E4166" t="s">
        <v>629</v>
      </c>
      <c r="F4166">
        <v>4</v>
      </c>
      <c r="G4166" t="s">
        <v>176</v>
      </c>
      <c r="H4166">
        <v>0</v>
      </c>
      <c r="I4166">
        <v>109</v>
      </c>
      <c r="J4166" s="10">
        <v>34</v>
      </c>
      <c r="K4166" s="10">
        <f>SUMIFS(F:F,D:D,DST_123_ÜRETİM_İHTİYAÇ_RAPORU_BURAK_YENI1309[[#This Row],[ALT_KOD]])-(SUMIFS(H:H,D:D,DST_123_ÜRETİM_İHTİYAÇ_RAPORU_BURAK_YENI1309[[#This Row],[ALT_KOD]])+AVERAGEIFS(I:I,D:D,DST_123_ÜRETİM_İHTİYAÇ_RAPORU_BURAK_YENI1309[[#This Row],[ALT_KOD]])+AVERAGEIFS(L:L,D:D,DST_123_ÜRETİM_İHTİYAÇ_RAPORU_BURAK_YENI1309[[#This Row],[ALT_KOD]]))</f>
        <v>-71</v>
      </c>
      <c r="L4166">
        <v>0</v>
      </c>
      <c r="M4166">
        <f>IF((DST_123_ÜRETİM_İHTİYAÇ_RAPORU_BURAK_YENI1309[[#This Row],[SATINALMA]]*DST_123_ÜRETİM_İHTİYAÇ_RAPORU_BURAK_YENI1309[[#This Row],[BIRIM_FIYATLAR]])&lt;1,VALUE("0"),DST_123_ÜRETİM_İHTİYAÇ_RAPORU_BURAK_YENI1309[[#This Row],[SATINALMA]]*DST_123_ÜRETİM_İHTİYAÇ_RAPORU_BURAK_YENI1309[[#This Row],[BIRIM_FIYATLAR]])</f>
        <v>0</v>
      </c>
      <c r="N4166">
        <v>250</v>
      </c>
      <c r="O4166" t="s">
        <v>628</v>
      </c>
      <c r="P4166">
        <v>1000</v>
      </c>
      <c r="Q4166" t="s">
        <v>180</v>
      </c>
    </row>
    <row r="4167" spans="1:17" x14ac:dyDescent="0.25">
      <c r="A4167" t="s">
        <v>1150</v>
      </c>
      <c r="B4167" t="s">
        <v>1145</v>
      </c>
      <c r="C4167" t="s">
        <v>175</v>
      </c>
      <c r="D4167" t="s">
        <v>134</v>
      </c>
      <c r="E4167" t="s">
        <v>135</v>
      </c>
      <c r="F4167">
        <v>12</v>
      </c>
      <c r="G4167" t="s">
        <v>179</v>
      </c>
      <c r="H4167">
        <v>0</v>
      </c>
      <c r="I4167">
        <v>60</v>
      </c>
      <c r="J4167" s="10">
        <v>52</v>
      </c>
      <c r="K4167" s="10">
        <f>SUMIFS(F:F,D:D,DST_123_ÜRETİM_İHTİYAÇ_RAPORU_BURAK_YENI1309[[#This Row],[ALT_KOD]])-(SUMIFS(H:H,D:D,DST_123_ÜRETİM_İHTİYAÇ_RAPORU_BURAK_YENI1309[[#This Row],[ALT_KOD]])+AVERAGEIFS(I:I,D:D,DST_123_ÜRETİM_İHTİYAÇ_RAPORU_BURAK_YENI1309[[#This Row],[ALT_KOD]])+AVERAGEIFS(L:L,D:D,DST_123_ÜRETİM_İHTİYAÇ_RAPORU_BURAK_YENI1309[[#This Row],[ALT_KOD]]))</f>
        <v>14.5</v>
      </c>
      <c r="L4167">
        <v>80</v>
      </c>
      <c r="M4167">
        <f>IF((DST_123_ÜRETİM_İHTİYAÇ_RAPORU_BURAK_YENI1309[[#This Row],[SATINALMA]]*DST_123_ÜRETİM_İHTİYAÇ_RAPORU_BURAK_YENI1309[[#This Row],[BIRIM_FIYATLAR]])&lt;1,VALUE("0"),DST_123_ÜRETİM_İHTİYAÇ_RAPORU_BURAK_YENI1309[[#This Row],[SATINALMA]]*DST_123_ÜRETİM_İHTİYAÇ_RAPORU_BURAK_YENI1309[[#This Row],[BIRIM_FIYATLAR]])</f>
        <v>710.5</v>
      </c>
      <c r="N4167">
        <v>49</v>
      </c>
      <c r="O4167" t="s">
        <v>672</v>
      </c>
      <c r="P4167">
        <v>588</v>
      </c>
      <c r="Q4167" t="s">
        <v>184</v>
      </c>
    </row>
    <row r="4168" spans="1:17" x14ac:dyDescent="0.25">
      <c r="A4168" t="s">
        <v>1143</v>
      </c>
      <c r="B4168" t="s">
        <v>1056</v>
      </c>
      <c r="C4168" t="s">
        <v>175</v>
      </c>
      <c r="D4168" t="s">
        <v>844</v>
      </c>
      <c r="E4168" t="s">
        <v>845</v>
      </c>
      <c r="F4168">
        <v>4</v>
      </c>
      <c r="G4168" t="s">
        <v>176</v>
      </c>
      <c r="H4168">
        <v>0</v>
      </c>
      <c r="I4168">
        <v>36</v>
      </c>
      <c r="J4168" s="10">
        <v>26</v>
      </c>
      <c r="K4168" s="10">
        <f>SUMIFS(F:F,D:D,DST_123_ÜRETİM_İHTİYAÇ_RAPORU_BURAK_YENI1309[[#This Row],[ALT_KOD]])-(SUMIFS(H:H,D:D,DST_123_ÜRETİM_İHTİYAÇ_RAPORU_BURAK_YENI1309[[#This Row],[ALT_KOD]])+AVERAGEIFS(I:I,D:D,DST_123_ÜRETİM_İHTİYAÇ_RAPORU_BURAK_YENI1309[[#This Row],[ALT_KOD]])+AVERAGEIFS(L:L,D:D,DST_123_ÜRETİM_İHTİYAÇ_RAPORU_BURAK_YENI1309[[#This Row],[ALT_KOD]]))</f>
        <v>1</v>
      </c>
      <c r="L4168">
        <v>0</v>
      </c>
      <c r="M4168">
        <f>IF((DST_123_ÜRETİM_İHTİYAÇ_RAPORU_BURAK_YENI1309[[#This Row],[SATINALMA]]*DST_123_ÜRETİM_İHTİYAÇ_RAPORU_BURAK_YENI1309[[#This Row],[BIRIM_FIYATLAR]])&lt;1,VALUE("0"),DST_123_ÜRETİM_İHTİYAÇ_RAPORU_BURAK_YENI1309[[#This Row],[SATINALMA]]*DST_123_ÜRETİM_İHTİYAÇ_RAPORU_BURAK_YENI1309[[#This Row],[BIRIM_FIYATLAR]])</f>
        <v>348.7</v>
      </c>
      <c r="N4168">
        <v>348.7</v>
      </c>
      <c r="O4168" t="s">
        <v>636</v>
      </c>
      <c r="P4168">
        <v>1394.8</v>
      </c>
      <c r="Q4168" t="s">
        <v>177</v>
      </c>
    </row>
    <row r="4169" spans="1:17" x14ac:dyDescent="0.25">
      <c r="A4169" t="s">
        <v>1060</v>
      </c>
      <c r="B4169" t="s">
        <v>1061</v>
      </c>
      <c r="C4169" t="s">
        <v>175</v>
      </c>
      <c r="D4169" t="s">
        <v>870</v>
      </c>
      <c r="E4169" t="s">
        <v>871</v>
      </c>
      <c r="F4169">
        <v>4</v>
      </c>
      <c r="G4169" t="s">
        <v>176</v>
      </c>
      <c r="H4169">
        <v>0</v>
      </c>
      <c r="I4169">
        <v>0</v>
      </c>
      <c r="J4169" s="10">
        <v>8</v>
      </c>
      <c r="K4169" s="10">
        <f>SUMIFS(F:F,D:D,DST_123_ÜRETİM_İHTİYAÇ_RAPORU_BURAK_YENI1309[[#This Row],[ALT_KOD]])-(SUMIFS(H:H,D:D,DST_123_ÜRETİM_İHTİYAÇ_RAPORU_BURAK_YENI1309[[#This Row],[ALT_KOD]])+AVERAGEIFS(I:I,D:D,DST_123_ÜRETİM_İHTİYAÇ_RAPORU_BURAK_YENI1309[[#This Row],[ALT_KOD]])+AVERAGEIFS(L:L,D:D,DST_123_ÜRETİM_İHTİYAÇ_RAPORU_BURAK_YENI1309[[#This Row],[ALT_KOD]]))</f>
        <v>-60</v>
      </c>
      <c r="L4169">
        <v>72</v>
      </c>
      <c r="M4169">
        <f>IF((DST_123_ÜRETİM_İHTİYAÇ_RAPORU_BURAK_YENI1309[[#This Row],[SATINALMA]]*DST_123_ÜRETİM_İHTİYAÇ_RAPORU_BURAK_YENI1309[[#This Row],[BIRIM_FIYATLAR]])&lt;1,VALUE("0"),DST_123_ÜRETİM_İHTİYAÇ_RAPORU_BURAK_YENI1309[[#This Row],[SATINALMA]]*DST_123_ÜRETİM_İHTİYAÇ_RAPORU_BURAK_YENI1309[[#This Row],[BIRIM_FIYATLAR]])</f>
        <v>0</v>
      </c>
      <c r="N4169">
        <v>5265.79</v>
      </c>
      <c r="O4169" t="s">
        <v>872</v>
      </c>
      <c r="P4169">
        <v>21063.16</v>
      </c>
      <c r="Q4169" t="s">
        <v>178</v>
      </c>
    </row>
    <row r="4170" spans="1:17" x14ac:dyDescent="0.25">
      <c r="A4170" t="s">
        <v>1100</v>
      </c>
      <c r="B4170" t="s">
        <v>1058</v>
      </c>
      <c r="C4170" t="s">
        <v>175</v>
      </c>
      <c r="D4170" t="s">
        <v>870</v>
      </c>
      <c r="E4170" t="s">
        <v>871</v>
      </c>
      <c r="F4170">
        <v>4</v>
      </c>
      <c r="G4170" t="s">
        <v>176</v>
      </c>
      <c r="H4170">
        <v>0</v>
      </c>
      <c r="I4170">
        <v>0</v>
      </c>
      <c r="J4170" s="10">
        <v>8</v>
      </c>
      <c r="K4170" s="10">
        <f>SUMIFS(F:F,D:D,DST_123_ÜRETİM_İHTİYAÇ_RAPORU_BURAK_YENI1309[[#This Row],[ALT_KOD]])-(SUMIFS(H:H,D:D,DST_123_ÜRETİM_İHTİYAÇ_RAPORU_BURAK_YENI1309[[#This Row],[ALT_KOD]])+AVERAGEIFS(I:I,D:D,DST_123_ÜRETİM_İHTİYAÇ_RAPORU_BURAK_YENI1309[[#This Row],[ALT_KOD]])+AVERAGEIFS(L:L,D:D,DST_123_ÜRETİM_İHTİYAÇ_RAPORU_BURAK_YENI1309[[#This Row],[ALT_KOD]]))</f>
        <v>-60</v>
      </c>
      <c r="L4170">
        <v>72</v>
      </c>
      <c r="M4170">
        <f>IF((DST_123_ÜRETİM_İHTİYAÇ_RAPORU_BURAK_YENI1309[[#This Row],[SATINALMA]]*DST_123_ÜRETİM_İHTİYAÇ_RAPORU_BURAK_YENI1309[[#This Row],[BIRIM_FIYATLAR]])&lt;1,VALUE("0"),DST_123_ÜRETİM_İHTİYAÇ_RAPORU_BURAK_YENI1309[[#This Row],[SATINALMA]]*DST_123_ÜRETİM_İHTİYAÇ_RAPORU_BURAK_YENI1309[[#This Row],[BIRIM_FIYATLAR]])</f>
        <v>0</v>
      </c>
      <c r="N4170">
        <v>5265.79</v>
      </c>
      <c r="O4170" t="s">
        <v>872</v>
      </c>
      <c r="P4170">
        <v>21063.16</v>
      </c>
      <c r="Q4170" t="s">
        <v>178</v>
      </c>
    </row>
    <row r="4171" spans="1:17" x14ac:dyDescent="0.25">
      <c r="A4171" t="s">
        <v>1101</v>
      </c>
      <c r="B4171" t="s">
        <v>1102</v>
      </c>
      <c r="C4171" t="s">
        <v>175</v>
      </c>
      <c r="D4171" t="s">
        <v>299</v>
      </c>
      <c r="E4171" t="s">
        <v>300</v>
      </c>
      <c r="F4171">
        <v>12.5</v>
      </c>
      <c r="G4171" t="s">
        <v>176</v>
      </c>
      <c r="H4171">
        <v>0</v>
      </c>
      <c r="I4171">
        <v>180</v>
      </c>
      <c r="J4171" s="10">
        <v>80</v>
      </c>
      <c r="K4171" s="10">
        <f>SUMIFS(F:F,D:D,DST_123_ÜRETİM_İHTİYAÇ_RAPORU_BURAK_YENI1309[[#This Row],[ALT_KOD]])-(SUMIFS(H:H,D:D,DST_123_ÜRETİM_İHTİYAÇ_RAPORU_BURAK_YENI1309[[#This Row],[ALT_KOD]])+AVERAGEIFS(I:I,D:D,DST_123_ÜRETİM_İHTİYAÇ_RAPORU_BURAK_YENI1309[[#This Row],[ALT_KOD]])+AVERAGEIFS(L:L,D:D,DST_123_ÜRETİM_İHTİYAÇ_RAPORU_BURAK_YENI1309[[#This Row],[ALT_KOD]]))</f>
        <v>32</v>
      </c>
      <c r="L4171">
        <v>0</v>
      </c>
      <c r="M4171">
        <f>IF((DST_123_ÜRETİM_İHTİYAÇ_RAPORU_BURAK_YENI1309[[#This Row],[SATINALMA]]*DST_123_ÜRETİM_İHTİYAÇ_RAPORU_BURAK_YENI1309[[#This Row],[BIRIM_FIYATLAR]])&lt;1,VALUE("0"),DST_123_ÜRETİM_İHTİYAÇ_RAPORU_BURAK_YENI1309[[#This Row],[SATINALMA]]*DST_123_ÜRETİM_İHTİYAÇ_RAPORU_BURAK_YENI1309[[#This Row],[BIRIM_FIYATLAR]])</f>
        <v>7680</v>
      </c>
      <c r="N4171">
        <v>240</v>
      </c>
      <c r="O4171" t="s">
        <v>240</v>
      </c>
      <c r="P4171">
        <v>3000</v>
      </c>
      <c r="Q4171" t="s">
        <v>180</v>
      </c>
    </row>
    <row r="4172" spans="1:17" x14ac:dyDescent="0.25">
      <c r="A4172" t="s">
        <v>1148</v>
      </c>
      <c r="B4172" t="s">
        <v>1056</v>
      </c>
      <c r="C4172" t="s">
        <v>175</v>
      </c>
      <c r="D4172" t="s">
        <v>338</v>
      </c>
      <c r="E4172" t="s">
        <v>339</v>
      </c>
      <c r="F4172">
        <v>16.66</v>
      </c>
      <c r="G4172" t="s">
        <v>185</v>
      </c>
      <c r="H4172">
        <v>0</v>
      </c>
      <c r="I4172">
        <v>0</v>
      </c>
      <c r="J4172" s="10">
        <v>154.94999999999996</v>
      </c>
      <c r="K4172" s="10">
        <f>SUMIFS(F:F,D:D,DST_123_ÜRETİM_İHTİYAÇ_RAPORU_BURAK_YENI1309[[#This Row],[ALT_KOD]])-(SUMIFS(H:H,D:D,DST_123_ÜRETİM_İHTİYAÇ_RAPORU_BURAK_YENI1309[[#This Row],[ALT_KOD]])+AVERAGEIFS(I:I,D:D,DST_123_ÜRETİM_İHTİYAÇ_RAPORU_BURAK_YENI1309[[#This Row],[ALT_KOD]])+AVERAGEIFS(L:L,D:D,DST_123_ÜRETİM_İHTİYAÇ_RAPORU_BURAK_YENI1309[[#This Row],[ALT_KOD]]))</f>
        <v>21.899999999999991</v>
      </c>
      <c r="L4172">
        <v>60</v>
      </c>
      <c r="M4172">
        <f>IF((DST_123_ÜRETİM_İHTİYAÇ_RAPORU_BURAK_YENI1309[[#This Row],[SATINALMA]]*DST_123_ÜRETİM_İHTİYAÇ_RAPORU_BURAK_YENI1309[[#This Row],[BIRIM_FIYATLAR]])&lt;1,VALUE("0"),DST_123_ÜRETİM_İHTİYAÇ_RAPORU_BURAK_YENI1309[[#This Row],[SATINALMA]]*DST_123_ÜRETİM_İHTİYAÇ_RAPORU_BURAK_YENI1309[[#This Row],[BIRIM_FIYATLAR]])</f>
        <v>4265.0249999999987</v>
      </c>
      <c r="N4172">
        <v>194.75</v>
      </c>
      <c r="O4172" t="s">
        <v>490</v>
      </c>
      <c r="P4172">
        <v>3244.5349999999999</v>
      </c>
      <c r="Q4172" t="s">
        <v>183</v>
      </c>
    </row>
    <row r="4173" spans="1:17" x14ac:dyDescent="0.25">
      <c r="A4173" t="s">
        <v>1196</v>
      </c>
      <c r="B4173" t="s">
        <v>1197</v>
      </c>
      <c r="C4173" t="s">
        <v>175</v>
      </c>
      <c r="D4173" t="s">
        <v>299</v>
      </c>
      <c r="E4173" t="s">
        <v>300</v>
      </c>
      <c r="F4173">
        <v>26</v>
      </c>
      <c r="G4173" t="s">
        <v>176</v>
      </c>
      <c r="H4173">
        <v>0</v>
      </c>
      <c r="I4173">
        <v>180</v>
      </c>
      <c r="J4173" s="10">
        <v>80</v>
      </c>
      <c r="K4173" s="10">
        <f>SUMIFS(F:F,D:D,DST_123_ÜRETİM_İHTİYAÇ_RAPORU_BURAK_YENI1309[[#This Row],[ALT_KOD]])-(SUMIFS(H:H,D:D,DST_123_ÜRETİM_İHTİYAÇ_RAPORU_BURAK_YENI1309[[#This Row],[ALT_KOD]])+AVERAGEIFS(I:I,D:D,DST_123_ÜRETİM_İHTİYAÇ_RAPORU_BURAK_YENI1309[[#This Row],[ALT_KOD]])+AVERAGEIFS(L:L,D:D,DST_123_ÜRETİM_İHTİYAÇ_RAPORU_BURAK_YENI1309[[#This Row],[ALT_KOD]]))</f>
        <v>32</v>
      </c>
      <c r="L4173">
        <v>0</v>
      </c>
      <c r="M4173">
        <f>IF((DST_123_ÜRETİM_İHTİYAÇ_RAPORU_BURAK_YENI1309[[#This Row],[SATINALMA]]*DST_123_ÜRETİM_İHTİYAÇ_RAPORU_BURAK_YENI1309[[#This Row],[BIRIM_FIYATLAR]])&lt;1,VALUE("0"),DST_123_ÜRETİM_İHTİYAÇ_RAPORU_BURAK_YENI1309[[#This Row],[SATINALMA]]*DST_123_ÜRETİM_İHTİYAÇ_RAPORU_BURAK_YENI1309[[#This Row],[BIRIM_FIYATLAR]])</f>
        <v>7680</v>
      </c>
      <c r="N4173">
        <v>240</v>
      </c>
      <c r="O4173" t="s">
        <v>240</v>
      </c>
      <c r="P4173">
        <v>6240</v>
      </c>
      <c r="Q4173" t="s">
        <v>180</v>
      </c>
    </row>
    <row r="4174" spans="1:17" x14ac:dyDescent="0.25">
      <c r="A4174" t="s">
        <v>1099</v>
      </c>
      <c r="B4174" t="s">
        <v>1055</v>
      </c>
      <c r="C4174" t="s">
        <v>175</v>
      </c>
      <c r="D4174" t="s">
        <v>299</v>
      </c>
      <c r="E4174" t="s">
        <v>300</v>
      </c>
      <c r="F4174">
        <v>12.5</v>
      </c>
      <c r="G4174" t="s">
        <v>176</v>
      </c>
      <c r="H4174">
        <v>0</v>
      </c>
      <c r="I4174">
        <v>180</v>
      </c>
      <c r="J4174" s="10">
        <v>80</v>
      </c>
      <c r="K4174" s="10">
        <f>SUMIFS(F:F,D:D,DST_123_ÜRETİM_İHTİYAÇ_RAPORU_BURAK_YENI1309[[#This Row],[ALT_KOD]])-(SUMIFS(H:H,D:D,DST_123_ÜRETİM_İHTİYAÇ_RAPORU_BURAK_YENI1309[[#This Row],[ALT_KOD]])+AVERAGEIFS(I:I,D:D,DST_123_ÜRETİM_İHTİYAÇ_RAPORU_BURAK_YENI1309[[#This Row],[ALT_KOD]])+AVERAGEIFS(L:L,D:D,DST_123_ÜRETİM_İHTİYAÇ_RAPORU_BURAK_YENI1309[[#This Row],[ALT_KOD]]))</f>
        <v>32</v>
      </c>
      <c r="L4174">
        <v>0</v>
      </c>
      <c r="M4174">
        <f>IF((DST_123_ÜRETİM_İHTİYAÇ_RAPORU_BURAK_YENI1309[[#This Row],[SATINALMA]]*DST_123_ÜRETİM_İHTİYAÇ_RAPORU_BURAK_YENI1309[[#This Row],[BIRIM_FIYATLAR]])&lt;1,VALUE("0"),DST_123_ÜRETİM_İHTİYAÇ_RAPORU_BURAK_YENI1309[[#This Row],[SATINALMA]]*DST_123_ÜRETİM_İHTİYAÇ_RAPORU_BURAK_YENI1309[[#This Row],[BIRIM_FIYATLAR]])</f>
        <v>7680</v>
      </c>
      <c r="N4174">
        <v>240</v>
      </c>
      <c r="O4174" t="s">
        <v>240</v>
      </c>
      <c r="P4174">
        <v>3000</v>
      </c>
      <c r="Q4174" t="s">
        <v>180</v>
      </c>
    </row>
    <row r="4175" spans="1:17" x14ac:dyDescent="0.25">
      <c r="A4175" t="s">
        <v>1196</v>
      </c>
      <c r="B4175" t="s">
        <v>1197</v>
      </c>
      <c r="C4175" t="s">
        <v>175</v>
      </c>
      <c r="D4175" t="s">
        <v>508</v>
      </c>
      <c r="E4175" t="s">
        <v>509</v>
      </c>
      <c r="F4175">
        <v>1</v>
      </c>
      <c r="G4175" t="s">
        <v>176</v>
      </c>
      <c r="H4175">
        <v>0</v>
      </c>
      <c r="I4175">
        <v>4</v>
      </c>
      <c r="J4175" s="10">
        <v>10</v>
      </c>
      <c r="K4175" s="10">
        <f>SUMIFS(F:F,D:D,DST_123_ÜRETİM_İHTİYAÇ_RAPORU_BURAK_YENI1309[[#This Row],[ALT_KOD]])-(SUMIFS(H:H,D:D,DST_123_ÜRETİM_İHTİYAÇ_RAPORU_BURAK_YENI1309[[#This Row],[ALT_KOD]])+AVERAGEIFS(I:I,D:D,DST_123_ÜRETİM_İHTİYAÇ_RAPORU_BURAK_YENI1309[[#This Row],[ALT_KOD]])+AVERAGEIFS(L:L,D:D,DST_123_ÜRETİM_İHTİYAÇ_RAPORU_BURAK_YENI1309[[#This Row],[ALT_KOD]]))</f>
        <v>1</v>
      </c>
      <c r="L4175">
        <v>7</v>
      </c>
      <c r="M4175">
        <f>IF((DST_123_ÜRETİM_İHTİYAÇ_RAPORU_BURAK_YENI1309[[#This Row],[SATINALMA]]*DST_123_ÜRETİM_İHTİYAÇ_RAPORU_BURAK_YENI1309[[#This Row],[BIRIM_FIYATLAR]])&lt;1,VALUE("0"),DST_123_ÜRETİM_İHTİYAÇ_RAPORU_BURAK_YENI1309[[#This Row],[SATINALMA]]*DST_123_ÜRETİM_İHTİYAÇ_RAPORU_BURAK_YENI1309[[#This Row],[BIRIM_FIYATLAR]])</f>
        <v>1535.25</v>
      </c>
      <c r="N4175">
        <v>1535.25</v>
      </c>
      <c r="O4175" t="s">
        <v>507</v>
      </c>
      <c r="P4175">
        <v>1535.25</v>
      </c>
      <c r="Q4175" t="s">
        <v>221</v>
      </c>
    </row>
    <row r="4176" spans="1:17" x14ac:dyDescent="0.25">
      <c r="A4176" t="s">
        <v>1099</v>
      </c>
      <c r="B4176" t="s">
        <v>1055</v>
      </c>
      <c r="C4176" t="s">
        <v>175</v>
      </c>
      <c r="D4176" t="s">
        <v>508</v>
      </c>
      <c r="E4176" t="s">
        <v>509</v>
      </c>
      <c r="F4176">
        <v>1</v>
      </c>
      <c r="G4176" t="s">
        <v>176</v>
      </c>
      <c r="H4176">
        <v>0</v>
      </c>
      <c r="I4176">
        <v>4</v>
      </c>
      <c r="J4176" s="10">
        <v>10</v>
      </c>
      <c r="K4176" s="10">
        <f>SUMIFS(F:F,D:D,DST_123_ÜRETİM_İHTİYAÇ_RAPORU_BURAK_YENI1309[[#This Row],[ALT_KOD]])-(SUMIFS(H:H,D:D,DST_123_ÜRETİM_İHTİYAÇ_RAPORU_BURAK_YENI1309[[#This Row],[ALT_KOD]])+AVERAGEIFS(I:I,D:D,DST_123_ÜRETİM_İHTİYAÇ_RAPORU_BURAK_YENI1309[[#This Row],[ALT_KOD]])+AVERAGEIFS(L:L,D:D,DST_123_ÜRETİM_İHTİYAÇ_RAPORU_BURAK_YENI1309[[#This Row],[ALT_KOD]]))</f>
        <v>1</v>
      </c>
      <c r="L4176">
        <v>7</v>
      </c>
      <c r="M4176">
        <f>IF((DST_123_ÜRETİM_İHTİYAÇ_RAPORU_BURAK_YENI1309[[#This Row],[SATINALMA]]*DST_123_ÜRETİM_İHTİYAÇ_RAPORU_BURAK_YENI1309[[#This Row],[BIRIM_FIYATLAR]])&lt;1,VALUE("0"),DST_123_ÜRETİM_İHTİYAÇ_RAPORU_BURAK_YENI1309[[#This Row],[SATINALMA]]*DST_123_ÜRETİM_İHTİYAÇ_RAPORU_BURAK_YENI1309[[#This Row],[BIRIM_FIYATLAR]])</f>
        <v>1535.25</v>
      </c>
      <c r="N4176">
        <v>1535.25</v>
      </c>
      <c r="O4176" t="s">
        <v>507</v>
      </c>
      <c r="P4176">
        <v>1535.25</v>
      </c>
      <c r="Q4176" t="s">
        <v>221</v>
      </c>
    </row>
    <row r="4177" spans="1:17" x14ac:dyDescent="0.25">
      <c r="A4177" t="s">
        <v>1097</v>
      </c>
      <c r="B4177" t="s">
        <v>1055</v>
      </c>
      <c r="C4177" t="s">
        <v>175</v>
      </c>
      <c r="D4177" t="s">
        <v>792</v>
      </c>
      <c r="E4177" t="s">
        <v>136</v>
      </c>
      <c r="F4177">
        <v>8</v>
      </c>
      <c r="G4177" t="s">
        <v>176</v>
      </c>
      <c r="H4177">
        <v>0</v>
      </c>
      <c r="I4177">
        <v>524</v>
      </c>
      <c r="J4177" s="10">
        <v>352</v>
      </c>
      <c r="K4177" s="10">
        <f>SUMIFS(F:F,D:D,DST_123_ÜRETİM_İHTİYAÇ_RAPORU_BURAK_YENI1309[[#This Row],[ALT_KOD]])-(SUMIFS(H:H,D:D,DST_123_ÜRETİM_İHTİYAÇ_RAPORU_BURAK_YENI1309[[#This Row],[ALT_KOD]])+AVERAGEIFS(I:I,D:D,DST_123_ÜRETİM_İHTİYAÇ_RAPORU_BURAK_YENI1309[[#This Row],[ALT_KOD]])+AVERAGEIFS(L:L,D:D,DST_123_ÜRETİM_İHTİYAÇ_RAPORU_BURAK_YENI1309[[#This Row],[ALT_KOD]]))</f>
        <v>-374</v>
      </c>
      <c r="L4177">
        <v>0</v>
      </c>
      <c r="M4177">
        <f>IF((DST_123_ÜRETİM_İHTİYAÇ_RAPORU_BURAK_YENI1309[[#This Row],[SATINALMA]]*DST_123_ÜRETİM_İHTİYAÇ_RAPORU_BURAK_YENI1309[[#This Row],[BIRIM_FIYATLAR]])&lt;1,VALUE("0"),DST_123_ÜRETİM_İHTİYAÇ_RAPORU_BURAK_YENI1309[[#This Row],[SATINALMA]]*DST_123_ÜRETİM_İHTİYAÇ_RAPORU_BURAK_YENI1309[[#This Row],[BIRIM_FIYATLAR]])</f>
        <v>0</v>
      </c>
      <c r="N4177">
        <v>8.1</v>
      </c>
      <c r="O4177" t="s">
        <v>504</v>
      </c>
      <c r="P4177">
        <v>64.8</v>
      </c>
      <c r="Q4177" t="s">
        <v>221</v>
      </c>
    </row>
    <row r="4178" spans="1:17" x14ac:dyDescent="0.25">
      <c r="A4178" t="s">
        <v>1144</v>
      </c>
      <c r="B4178" t="s">
        <v>1145</v>
      </c>
      <c r="C4178" t="s">
        <v>175</v>
      </c>
      <c r="D4178" t="s">
        <v>60</v>
      </c>
      <c r="E4178" t="s">
        <v>61</v>
      </c>
      <c r="F4178">
        <v>1</v>
      </c>
      <c r="G4178" t="s">
        <v>176</v>
      </c>
      <c r="H4178">
        <v>0</v>
      </c>
      <c r="I4178">
        <v>17</v>
      </c>
      <c r="J4178" s="10">
        <v>11</v>
      </c>
      <c r="K4178" s="10">
        <f>SUMIFS(F:F,D:D,DST_123_ÜRETİM_İHTİYAÇ_RAPORU_BURAK_YENI1309[[#This Row],[ALT_KOD]])-(SUMIFS(H:H,D:D,DST_123_ÜRETİM_İHTİYAÇ_RAPORU_BURAK_YENI1309[[#This Row],[ALT_KOD]])+AVERAGEIFS(I:I,D:D,DST_123_ÜRETİM_İHTİYAÇ_RAPORU_BURAK_YENI1309[[#This Row],[ALT_KOD]])+AVERAGEIFS(L:L,D:D,DST_123_ÜRETİM_İHTİYAÇ_RAPORU_BURAK_YENI1309[[#This Row],[ALT_KOD]]))</f>
        <v>-5</v>
      </c>
      <c r="L4178">
        <v>0</v>
      </c>
      <c r="M4178">
        <f>IF((DST_123_ÜRETİM_İHTİYAÇ_RAPORU_BURAK_YENI1309[[#This Row],[SATINALMA]]*DST_123_ÜRETİM_İHTİYAÇ_RAPORU_BURAK_YENI1309[[#This Row],[BIRIM_FIYATLAR]])&lt;1,VALUE("0"),DST_123_ÜRETİM_İHTİYAÇ_RAPORU_BURAK_YENI1309[[#This Row],[SATINALMA]]*DST_123_ÜRETİM_İHTİYAÇ_RAPORU_BURAK_YENI1309[[#This Row],[BIRIM_FIYATLAR]])</f>
        <v>0</v>
      </c>
      <c r="N4178">
        <v>115.6</v>
      </c>
      <c r="O4178" t="s">
        <v>826</v>
      </c>
      <c r="P4178">
        <v>115.6</v>
      </c>
      <c r="Q4178" t="s">
        <v>221</v>
      </c>
    </row>
    <row r="4179" spans="1:17" x14ac:dyDescent="0.25">
      <c r="A4179" t="s">
        <v>1146</v>
      </c>
      <c r="B4179" t="s">
        <v>1145</v>
      </c>
      <c r="C4179" t="s">
        <v>175</v>
      </c>
      <c r="D4179" t="s">
        <v>60</v>
      </c>
      <c r="E4179" t="s">
        <v>61</v>
      </c>
      <c r="F4179">
        <v>1</v>
      </c>
      <c r="G4179" t="s">
        <v>176</v>
      </c>
      <c r="H4179">
        <v>0</v>
      </c>
      <c r="I4179">
        <v>17</v>
      </c>
      <c r="J4179" s="10">
        <v>11</v>
      </c>
      <c r="K4179" s="10">
        <f>SUMIFS(F:F,D:D,DST_123_ÜRETİM_İHTİYAÇ_RAPORU_BURAK_YENI1309[[#This Row],[ALT_KOD]])-(SUMIFS(H:H,D:D,DST_123_ÜRETİM_İHTİYAÇ_RAPORU_BURAK_YENI1309[[#This Row],[ALT_KOD]])+AVERAGEIFS(I:I,D:D,DST_123_ÜRETİM_İHTİYAÇ_RAPORU_BURAK_YENI1309[[#This Row],[ALT_KOD]])+AVERAGEIFS(L:L,D:D,DST_123_ÜRETİM_İHTİYAÇ_RAPORU_BURAK_YENI1309[[#This Row],[ALT_KOD]]))</f>
        <v>-5</v>
      </c>
      <c r="L4179">
        <v>0</v>
      </c>
      <c r="M4179">
        <f>IF((DST_123_ÜRETİM_İHTİYAÇ_RAPORU_BURAK_YENI1309[[#This Row],[SATINALMA]]*DST_123_ÜRETİM_İHTİYAÇ_RAPORU_BURAK_YENI1309[[#This Row],[BIRIM_FIYATLAR]])&lt;1,VALUE("0"),DST_123_ÜRETİM_İHTİYAÇ_RAPORU_BURAK_YENI1309[[#This Row],[SATINALMA]]*DST_123_ÜRETİM_İHTİYAÇ_RAPORU_BURAK_YENI1309[[#This Row],[BIRIM_FIYATLAR]])</f>
        <v>0</v>
      </c>
      <c r="N4179">
        <v>115.6</v>
      </c>
      <c r="O4179" t="s">
        <v>826</v>
      </c>
      <c r="P4179">
        <v>115.6</v>
      </c>
      <c r="Q4179" t="s">
        <v>221</v>
      </c>
    </row>
    <row r="4180" spans="1:17" x14ac:dyDescent="0.25">
      <c r="A4180" t="s">
        <v>1149</v>
      </c>
      <c r="B4180" t="s">
        <v>1145</v>
      </c>
      <c r="C4180" t="s">
        <v>175</v>
      </c>
      <c r="D4180" t="s">
        <v>406</v>
      </c>
      <c r="E4180" t="s">
        <v>407</v>
      </c>
      <c r="F4180">
        <v>2</v>
      </c>
      <c r="G4180" t="s">
        <v>176</v>
      </c>
      <c r="H4180">
        <v>0</v>
      </c>
      <c r="I4180">
        <v>34</v>
      </c>
      <c r="J4180" s="10">
        <v>62</v>
      </c>
      <c r="K4180" s="10">
        <f>SUMIFS(F:F,D:D,DST_123_ÜRETİM_İHTİYAÇ_RAPORU_BURAK_YENI1309[[#This Row],[ALT_KOD]])-(SUMIFS(H:H,D:D,DST_123_ÜRETİM_İHTİYAÇ_RAPORU_BURAK_YENI1309[[#This Row],[ALT_KOD]])+AVERAGEIFS(I:I,D:D,DST_123_ÜRETİM_İHTİYAÇ_RAPORU_BURAK_YENI1309[[#This Row],[ALT_KOD]])+AVERAGEIFS(L:L,D:D,DST_123_ÜRETİM_İHTİYAÇ_RAPORU_BURAK_YENI1309[[#This Row],[ALT_KOD]]))</f>
        <v>-12</v>
      </c>
      <c r="L4180">
        <v>0</v>
      </c>
      <c r="M4180">
        <f>IF((DST_123_ÜRETİM_İHTİYAÇ_RAPORU_BURAK_YENI1309[[#This Row],[SATINALMA]]*DST_123_ÜRETİM_İHTİYAÇ_RAPORU_BURAK_YENI1309[[#This Row],[BIRIM_FIYATLAR]])&lt;1,VALUE("0"),DST_123_ÜRETİM_İHTİYAÇ_RAPORU_BURAK_YENI1309[[#This Row],[SATINALMA]]*DST_123_ÜRETİM_İHTİYAÇ_RAPORU_BURAK_YENI1309[[#This Row],[BIRIM_FIYATLAR]])</f>
        <v>0</v>
      </c>
      <c r="N4180">
        <v>19.07</v>
      </c>
      <c r="O4180" t="s">
        <v>826</v>
      </c>
      <c r="P4180">
        <v>38.14</v>
      </c>
      <c r="Q4180" t="s">
        <v>221</v>
      </c>
    </row>
    <row r="4181" spans="1:17" x14ac:dyDescent="0.25">
      <c r="A4181" t="s">
        <v>1146</v>
      </c>
      <c r="B4181" t="s">
        <v>1145</v>
      </c>
      <c r="C4181" t="s">
        <v>175</v>
      </c>
      <c r="D4181" t="s">
        <v>406</v>
      </c>
      <c r="E4181" t="s">
        <v>407</v>
      </c>
      <c r="F4181">
        <v>2</v>
      </c>
      <c r="G4181" t="s">
        <v>176</v>
      </c>
      <c r="H4181">
        <v>0</v>
      </c>
      <c r="I4181">
        <v>34</v>
      </c>
      <c r="J4181" s="10">
        <v>62</v>
      </c>
      <c r="K4181" s="10">
        <f>SUMIFS(F:F,D:D,DST_123_ÜRETİM_İHTİYAÇ_RAPORU_BURAK_YENI1309[[#This Row],[ALT_KOD]])-(SUMIFS(H:H,D:D,DST_123_ÜRETİM_İHTİYAÇ_RAPORU_BURAK_YENI1309[[#This Row],[ALT_KOD]])+AVERAGEIFS(I:I,D:D,DST_123_ÜRETİM_İHTİYAÇ_RAPORU_BURAK_YENI1309[[#This Row],[ALT_KOD]])+AVERAGEIFS(L:L,D:D,DST_123_ÜRETİM_İHTİYAÇ_RAPORU_BURAK_YENI1309[[#This Row],[ALT_KOD]]))</f>
        <v>-12</v>
      </c>
      <c r="L4181">
        <v>0</v>
      </c>
      <c r="M4181">
        <f>IF((DST_123_ÜRETİM_İHTİYAÇ_RAPORU_BURAK_YENI1309[[#This Row],[SATINALMA]]*DST_123_ÜRETİM_İHTİYAÇ_RAPORU_BURAK_YENI1309[[#This Row],[BIRIM_FIYATLAR]])&lt;1,VALUE("0"),DST_123_ÜRETİM_İHTİYAÇ_RAPORU_BURAK_YENI1309[[#This Row],[SATINALMA]]*DST_123_ÜRETİM_İHTİYAÇ_RAPORU_BURAK_YENI1309[[#This Row],[BIRIM_FIYATLAR]])</f>
        <v>0</v>
      </c>
      <c r="N4181">
        <v>19.07</v>
      </c>
      <c r="O4181" t="s">
        <v>826</v>
      </c>
      <c r="P4181">
        <v>38.14</v>
      </c>
      <c r="Q4181" t="s">
        <v>221</v>
      </c>
    </row>
    <row r="4182" spans="1:17" x14ac:dyDescent="0.25">
      <c r="A4182" t="s">
        <v>1144</v>
      </c>
      <c r="B4182" t="s">
        <v>1145</v>
      </c>
      <c r="C4182" t="s">
        <v>175</v>
      </c>
      <c r="D4182" t="s">
        <v>618</v>
      </c>
      <c r="E4182" t="s">
        <v>827</v>
      </c>
      <c r="F4182">
        <v>1</v>
      </c>
      <c r="G4182" t="s">
        <v>176</v>
      </c>
      <c r="H4182">
        <v>0</v>
      </c>
      <c r="I4182">
        <v>37</v>
      </c>
      <c r="J4182" s="10">
        <v>2</v>
      </c>
      <c r="K4182" s="10">
        <f>SUMIFS(F:F,D:D,DST_123_ÜRETİM_İHTİYAÇ_RAPORU_BURAK_YENI1309[[#This Row],[ALT_KOD]])-(SUMIFS(H:H,D:D,DST_123_ÜRETİM_İHTİYAÇ_RAPORU_BURAK_YENI1309[[#This Row],[ALT_KOD]])+AVERAGEIFS(I:I,D:D,DST_123_ÜRETİM_İHTİYAÇ_RAPORU_BURAK_YENI1309[[#This Row],[ALT_KOD]])+AVERAGEIFS(L:L,D:D,DST_123_ÜRETİM_İHTİYAÇ_RAPORU_BURAK_YENI1309[[#This Row],[ALT_KOD]]))</f>
        <v>-17</v>
      </c>
      <c r="L4182">
        <v>0</v>
      </c>
      <c r="M4182">
        <f>IF((DST_123_ÜRETİM_İHTİYAÇ_RAPORU_BURAK_YENI1309[[#This Row],[SATINALMA]]*DST_123_ÜRETİM_İHTİYAÇ_RAPORU_BURAK_YENI1309[[#This Row],[BIRIM_FIYATLAR]])&lt;1,VALUE("0"),DST_123_ÜRETİM_İHTİYAÇ_RAPORU_BURAK_YENI1309[[#This Row],[SATINALMA]]*DST_123_ÜRETİM_İHTİYAÇ_RAPORU_BURAK_YENI1309[[#This Row],[BIRIM_FIYATLAR]])</f>
        <v>0</v>
      </c>
      <c r="N4182">
        <v>82.6</v>
      </c>
      <c r="O4182" t="s">
        <v>821</v>
      </c>
      <c r="P4182">
        <v>82.6</v>
      </c>
      <c r="Q4182" t="s">
        <v>178</v>
      </c>
    </row>
    <row r="4183" spans="1:17" x14ac:dyDescent="0.25">
      <c r="A4183" t="s">
        <v>1146</v>
      </c>
      <c r="B4183" t="s">
        <v>1145</v>
      </c>
      <c r="C4183" t="s">
        <v>175</v>
      </c>
      <c r="D4183" t="s">
        <v>618</v>
      </c>
      <c r="E4183" t="s">
        <v>827</v>
      </c>
      <c r="F4183">
        <v>1</v>
      </c>
      <c r="G4183" t="s">
        <v>176</v>
      </c>
      <c r="H4183">
        <v>0</v>
      </c>
      <c r="I4183">
        <v>37</v>
      </c>
      <c r="J4183" s="10">
        <v>2</v>
      </c>
      <c r="K4183" s="10">
        <f>SUMIFS(F:F,D:D,DST_123_ÜRETİM_İHTİYAÇ_RAPORU_BURAK_YENI1309[[#This Row],[ALT_KOD]])-(SUMIFS(H:H,D:D,DST_123_ÜRETİM_İHTİYAÇ_RAPORU_BURAK_YENI1309[[#This Row],[ALT_KOD]])+AVERAGEIFS(I:I,D:D,DST_123_ÜRETİM_İHTİYAÇ_RAPORU_BURAK_YENI1309[[#This Row],[ALT_KOD]])+AVERAGEIFS(L:L,D:D,DST_123_ÜRETİM_İHTİYAÇ_RAPORU_BURAK_YENI1309[[#This Row],[ALT_KOD]]))</f>
        <v>-17</v>
      </c>
      <c r="L4183">
        <v>0</v>
      </c>
      <c r="M4183">
        <f>IF((DST_123_ÜRETİM_İHTİYAÇ_RAPORU_BURAK_YENI1309[[#This Row],[SATINALMA]]*DST_123_ÜRETİM_İHTİYAÇ_RAPORU_BURAK_YENI1309[[#This Row],[BIRIM_FIYATLAR]])&lt;1,VALUE("0"),DST_123_ÜRETİM_İHTİYAÇ_RAPORU_BURAK_YENI1309[[#This Row],[SATINALMA]]*DST_123_ÜRETİM_İHTİYAÇ_RAPORU_BURAK_YENI1309[[#This Row],[BIRIM_FIYATLAR]])</f>
        <v>0</v>
      </c>
      <c r="N4183">
        <v>82.6</v>
      </c>
      <c r="O4183" t="s">
        <v>821</v>
      </c>
      <c r="P4183">
        <v>82.6</v>
      </c>
      <c r="Q4183" t="s">
        <v>178</v>
      </c>
    </row>
    <row r="4184" spans="1:17" x14ac:dyDescent="0.25">
      <c r="A4184" t="s">
        <v>1149</v>
      </c>
      <c r="B4184" t="s">
        <v>1145</v>
      </c>
      <c r="C4184" t="s">
        <v>175</v>
      </c>
      <c r="D4184" t="s">
        <v>338</v>
      </c>
      <c r="E4184" t="s">
        <v>339</v>
      </c>
      <c r="F4184">
        <v>2.4700000000000002</v>
      </c>
      <c r="G4184" t="s">
        <v>185</v>
      </c>
      <c r="H4184">
        <v>0</v>
      </c>
      <c r="I4184">
        <v>0</v>
      </c>
      <c r="J4184" s="10">
        <v>154.94999999999996</v>
      </c>
      <c r="K4184" s="10">
        <f>SUMIFS(F:F,D:D,DST_123_ÜRETİM_İHTİYAÇ_RAPORU_BURAK_YENI1309[[#This Row],[ALT_KOD]])-(SUMIFS(H:H,D:D,DST_123_ÜRETİM_İHTİYAÇ_RAPORU_BURAK_YENI1309[[#This Row],[ALT_KOD]])+AVERAGEIFS(I:I,D:D,DST_123_ÜRETİM_İHTİYAÇ_RAPORU_BURAK_YENI1309[[#This Row],[ALT_KOD]])+AVERAGEIFS(L:L,D:D,DST_123_ÜRETİM_İHTİYAÇ_RAPORU_BURAK_YENI1309[[#This Row],[ALT_KOD]]))</f>
        <v>21.899999999999991</v>
      </c>
      <c r="L4184">
        <v>60</v>
      </c>
      <c r="M4184">
        <f>IF((DST_123_ÜRETİM_İHTİYAÇ_RAPORU_BURAK_YENI1309[[#This Row],[SATINALMA]]*DST_123_ÜRETİM_İHTİYAÇ_RAPORU_BURAK_YENI1309[[#This Row],[BIRIM_FIYATLAR]])&lt;1,VALUE("0"),DST_123_ÜRETİM_İHTİYAÇ_RAPORU_BURAK_YENI1309[[#This Row],[SATINALMA]]*DST_123_ÜRETİM_İHTİYAÇ_RAPORU_BURAK_YENI1309[[#This Row],[BIRIM_FIYATLAR]])</f>
        <v>4265.0249999999987</v>
      </c>
      <c r="N4184">
        <v>194.75</v>
      </c>
      <c r="O4184" t="s">
        <v>490</v>
      </c>
      <c r="P4184">
        <v>481.03250000000003</v>
      </c>
      <c r="Q4184" t="s">
        <v>183</v>
      </c>
    </row>
    <row r="4185" spans="1:17" x14ac:dyDescent="0.25">
      <c r="A4185" t="s">
        <v>1149</v>
      </c>
      <c r="B4185" t="s">
        <v>1145</v>
      </c>
      <c r="C4185" t="s">
        <v>175</v>
      </c>
      <c r="D4185" t="s">
        <v>391</v>
      </c>
      <c r="E4185" t="s">
        <v>392</v>
      </c>
      <c r="F4185">
        <v>10</v>
      </c>
      <c r="G4185" t="s">
        <v>176</v>
      </c>
      <c r="H4185">
        <v>0</v>
      </c>
      <c r="I4185">
        <v>0</v>
      </c>
      <c r="J4185" s="10">
        <v>58.050000000000026</v>
      </c>
      <c r="K4185" s="10">
        <f>SUMIFS(F:F,D:D,DST_123_ÜRETİM_İHTİYAÇ_RAPORU_BURAK_YENI1309[[#This Row],[ALT_KOD]])-(SUMIFS(H:H,D:D,DST_123_ÜRETİM_İHTİYAÇ_RAPORU_BURAK_YENI1309[[#This Row],[ALT_KOD]])+AVERAGEIFS(I:I,D:D,DST_123_ÜRETİM_İHTİYAÇ_RAPORU_BURAK_YENI1309[[#This Row],[ALT_KOD]])+AVERAGEIFS(L:L,D:D,DST_123_ÜRETİM_İHTİYAÇ_RAPORU_BURAK_YENI1309[[#This Row],[ALT_KOD]]))</f>
        <v>144.72000000000003</v>
      </c>
      <c r="L4185">
        <v>37</v>
      </c>
      <c r="M4185">
        <f>IF((DST_123_ÜRETİM_İHTİYAÇ_RAPORU_BURAK_YENI1309[[#This Row],[SATINALMA]]*DST_123_ÜRETİM_İHTİYAÇ_RAPORU_BURAK_YENI1309[[#This Row],[BIRIM_FIYATLAR]])&lt;1,VALUE("0"),DST_123_ÜRETİM_İHTİYAÇ_RAPORU_BURAK_YENI1309[[#This Row],[SATINALMA]]*DST_123_ÜRETİM_İHTİYAÇ_RAPORU_BURAK_YENI1309[[#This Row],[BIRIM_FIYATLAR]])</f>
        <v>261099.48240000007</v>
      </c>
      <c r="N4185">
        <v>1804.17</v>
      </c>
      <c r="O4185" t="s">
        <v>223</v>
      </c>
      <c r="P4185">
        <v>18041.7</v>
      </c>
      <c r="Q4185" t="s">
        <v>181</v>
      </c>
    </row>
    <row r="4186" spans="1:17" x14ac:dyDescent="0.25">
      <c r="A4186" t="s">
        <v>1147</v>
      </c>
      <c r="B4186" t="s">
        <v>1145</v>
      </c>
      <c r="C4186" t="s">
        <v>175</v>
      </c>
      <c r="D4186" t="s">
        <v>299</v>
      </c>
      <c r="E4186" t="s">
        <v>300</v>
      </c>
      <c r="F4186">
        <v>18</v>
      </c>
      <c r="G4186" t="s">
        <v>176</v>
      </c>
      <c r="H4186">
        <v>0</v>
      </c>
      <c r="I4186">
        <v>180</v>
      </c>
      <c r="J4186" s="10">
        <v>80</v>
      </c>
      <c r="K4186" s="10">
        <f>SUMIFS(F:F,D:D,DST_123_ÜRETİM_İHTİYAÇ_RAPORU_BURAK_YENI1309[[#This Row],[ALT_KOD]])-(SUMIFS(H:H,D:D,DST_123_ÜRETİM_İHTİYAÇ_RAPORU_BURAK_YENI1309[[#This Row],[ALT_KOD]])+AVERAGEIFS(I:I,D:D,DST_123_ÜRETİM_İHTİYAÇ_RAPORU_BURAK_YENI1309[[#This Row],[ALT_KOD]])+AVERAGEIFS(L:L,D:D,DST_123_ÜRETİM_İHTİYAÇ_RAPORU_BURAK_YENI1309[[#This Row],[ALT_KOD]]))</f>
        <v>32</v>
      </c>
      <c r="L4186">
        <v>0</v>
      </c>
      <c r="M4186">
        <f>IF((DST_123_ÜRETİM_İHTİYAÇ_RAPORU_BURAK_YENI1309[[#This Row],[SATINALMA]]*DST_123_ÜRETİM_İHTİYAÇ_RAPORU_BURAK_YENI1309[[#This Row],[BIRIM_FIYATLAR]])&lt;1,VALUE("0"),DST_123_ÜRETİM_İHTİYAÇ_RAPORU_BURAK_YENI1309[[#This Row],[SATINALMA]]*DST_123_ÜRETİM_İHTİYAÇ_RAPORU_BURAK_YENI1309[[#This Row],[BIRIM_FIYATLAR]])</f>
        <v>7680</v>
      </c>
      <c r="N4186">
        <v>240</v>
      </c>
      <c r="O4186" t="s">
        <v>240</v>
      </c>
      <c r="P4186">
        <v>4320</v>
      </c>
      <c r="Q4186" t="s">
        <v>180</v>
      </c>
    </row>
    <row r="4187" spans="1:17" x14ac:dyDescent="0.25">
      <c r="A4187" t="s">
        <v>1149</v>
      </c>
      <c r="B4187" t="s">
        <v>1145</v>
      </c>
      <c r="C4187" t="s">
        <v>175</v>
      </c>
      <c r="D4187" t="s">
        <v>386</v>
      </c>
      <c r="E4187" t="s">
        <v>613</v>
      </c>
      <c r="F4187">
        <v>1</v>
      </c>
      <c r="G4187" t="s">
        <v>182</v>
      </c>
      <c r="H4187">
        <v>0</v>
      </c>
      <c r="I4187">
        <v>0</v>
      </c>
      <c r="J4187" s="10">
        <v>67.08499999999998</v>
      </c>
      <c r="K4187" s="10">
        <f>SUMIFS(F:F,D:D,DST_123_ÜRETİM_İHTİYAÇ_RAPORU_BURAK_YENI1309[[#This Row],[ALT_KOD]])-(SUMIFS(H:H,D:D,DST_123_ÜRETİM_İHTİYAÇ_RAPORU_BURAK_YENI1309[[#This Row],[ALT_KOD]])+AVERAGEIFS(I:I,D:D,DST_123_ÜRETİM_İHTİYAÇ_RAPORU_BURAK_YENI1309[[#This Row],[ALT_KOD]])+AVERAGEIFS(L:L,D:D,DST_123_ÜRETİM_İHTİYAÇ_RAPORU_BURAK_YENI1309[[#This Row],[ALT_KOD]]))</f>
        <v>15</v>
      </c>
      <c r="L4187">
        <v>0</v>
      </c>
      <c r="M4187">
        <f>IF((DST_123_ÜRETİM_İHTİYAÇ_RAPORU_BURAK_YENI1309[[#This Row],[SATINALMA]]*DST_123_ÜRETİM_İHTİYAÇ_RAPORU_BURAK_YENI1309[[#This Row],[BIRIM_FIYATLAR]])&lt;1,VALUE("0"),DST_123_ÜRETİM_İHTİYAÇ_RAPORU_BURAK_YENI1309[[#This Row],[SATINALMA]]*DST_123_ÜRETİM_İHTİYAÇ_RAPORU_BURAK_YENI1309[[#This Row],[BIRIM_FIYATLAR]])</f>
        <v>9778.0499999999993</v>
      </c>
      <c r="N4187">
        <v>651.87</v>
      </c>
      <c r="O4187" t="s">
        <v>223</v>
      </c>
      <c r="P4187">
        <v>651.87</v>
      </c>
      <c r="Q4187" t="s">
        <v>181</v>
      </c>
    </row>
    <row r="4188" spans="1:17" x14ac:dyDescent="0.25">
      <c r="A4188" t="s">
        <v>1144</v>
      </c>
      <c r="B4188" t="s">
        <v>1145</v>
      </c>
      <c r="C4188" t="s">
        <v>175</v>
      </c>
      <c r="D4188" t="s">
        <v>734</v>
      </c>
      <c r="E4188" t="s">
        <v>735</v>
      </c>
      <c r="F4188">
        <v>1</v>
      </c>
      <c r="G4188" t="s">
        <v>176</v>
      </c>
      <c r="H4188">
        <v>0</v>
      </c>
      <c r="I4188">
        <v>10</v>
      </c>
      <c r="J4188" s="10">
        <v>17</v>
      </c>
      <c r="K4188" s="10">
        <f>SUMIFS(F:F,D:D,DST_123_ÜRETİM_İHTİYAÇ_RAPORU_BURAK_YENI1309[[#This Row],[ALT_KOD]])-(SUMIFS(H:H,D:D,DST_123_ÜRETİM_İHTİYAÇ_RAPORU_BURAK_YENI1309[[#This Row],[ALT_KOD]])+AVERAGEIFS(I:I,D:D,DST_123_ÜRETİM_İHTİYAÇ_RAPORU_BURAK_YENI1309[[#This Row],[ALT_KOD]])+AVERAGEIFS(L:L,D:D,DST_123_ÜRETİM_İHTİYAÇ_RAPORU_BURAK_YENI1309[[#This Row],[ALT_KOD]]))</f>
        <v>1</v>
      </c>
      <c r="L4188">
        <v>0</v>
      </c>
      <c r="M4188">
        <f>IF((DST_123_ÜRETİM_İHTİYAÇ_RAPORU_BURAK_YENI1309[[#This Row],[SATINALMA]]*DST_123_ÜRETİM_İHTİYAÇ_RAPORU_BURAK_YENI1309[[#This Row],[BIRIM_FIYATLAR]])&lt;1,VALUE("0"),DST_123_ÜRETİM_İHTİYAÇ_RAPORU_BURAK_YENI1309[[#This Row],[SATINALMA]]*DST_123_ÜRETİM_İHTİYAÇ_RAPORU_BURAK_YENI1309[[#This Row],[BIRIM_FIYATLAR]])</f>
        <v>565.83000000000004</v>
      </c>
      <c r="N4188">
        <v>565.83000000000004</v>
      </c>
      <c r="O4188" t="s">
        <v>667</v>
      </c>
      <c r="P4188">
        <v>565.83000000000004</v>
      </c>
      <c r="Q4188" t="s">
        <v>677</v>
      </c>
    </row>
    <row r="4189" spans="1:17" x14ac:dyDescent="0.25">
      <c r="A4189" t="s">
        <v>1146</v>
      </c>
      <c r="B4189" t="s">
        <v>1145</v>
      </c>
      <c r="C4189" t="s">
        <v>175</v>
      </c>
      <c r="D4189" t="s">
        <v>734</v>
      </c>
      <c r="E4189" t="s">
        <v>735</v>
      </c>
      <c r="F4189">
        <v>1</v>
      </c>
      <c r="G4189" t="s">
        <v>176</v>
      </c>
      <c r="H4189">
        <v>0</v>
      </c>
      <c r="I4189">
        <v>10</v>
      </c>
      <c r="J4189" s="10">
        <v>17</v>
      </c>
      <c r="K4189" s="10">
        <f>SUMIFS(F:F,D:D,DST_123_ÜRETİM_İHTİYAÇ_RAPORU_BURAK_YENI1309[[#This Row],[ALT_KOD]])-(SUMIFS(H:H,D:D,DST_123_ÜRETİM_İHTİYAÇ_RAPORU_BURAK_YENI1309[[#This Row],[ALT_KOD]])+AVERAGEIFS(I:I,D:D,DST_123_ÜRETİM_İHTİYAÇ_RAPORU_BURAK_YENI1309[[#This Row],[ALT_KOD]])+AVERAGEIFS(L:L,D:D,DST_123_ÜRETİM_İHTİYAÇ_RAPORU_BURAK_YENI1309[[#This Row],[ALT_KOD]]))</f>
        <v>1</v>
      </c>
      <c r="L4189">
        <v>0</v>
      </c>
      <c r="M4189">
        <f>IF((DST_123_ÜRETİM_İHTİYAÇ_RAPORU_BURAK_YENI1309[[#This Row],[SATINALMA]]*DST_123_ÜRETİM_İHTİYAÇ_RAPORU_BURAK_YENI1309[[#This Row],[BIRIM_FIYATLAR]])&lt;1,VALUE("0"),DST_123_ÜRETİM_İHTİYAÇ_RAPORU_BURAK_YENI1309[[#This Row],[SATINALMA]]*DST_123_ÜRETİM_İHTİYAÇ_RAPORU_BURAK_YENI1309[[#This Row],[BIRIM_FIYATLAR]])</f>
        <v>565.83000000000004</v>
      </c>
      <c r="N4189">
        <v>565.83000000000004</v>
      </c>
      <c r="O4189" t="s">
        <v>667</v>
      </c>
      <c r="P4189">
        <v>565.83000000000004</v>
      </c>
      <c r="Q4189" t="s">
        <v>677</v>
      </c>
    </row>
    <row r="4190" spans="1:17" x14ac:dyDescent="0.25">
      <c r="A4190" t="s">
        <v>1149</v>
      </c>
      <c r="B4190" t="s">
        <v>1145</v>
      </c>
      <c r="C4190" t="s">
        <v>175</v>
      </c>
      <c r="D4190" t="s">
        <v>1082</v>
      </c>
      <c r="E4190" t="s">
        <v>1083</v>
      </c>
      <c r="F4190">
        <v>2</v>
      </c>
      <c r="G4190" t="s">
        <v>176</v>
      </c>
      <c r="H4190">
        <v>0</v>
      </c>
      <c r="I4190">
        <v>14</v>
      </c>
      <c r="J4190" s="10">
        <v>19</v>
      </c>
      <c r="K4190" s="10">
        <f>SUMIFS(F:F,D:D,DST_123_ÜRETİM_İHTİYAÇ_RAPORU_BURAK_YENI1309[[#This Row],[ALT_KOD]])-(SUMIFS(H:H,D:D,DST_123_ÜRETİM_İHTİYAÇ_RAPORU_BURAK_YENI1309[[#This Row],[ALT_KOD]])+AVERAGEIFS(I:I,D:D,DST_123_ÜRETİM_İHTİYAÇ_RAPORU_BURAK_YENI1309[[#This Row],[ALT_KOD]])+AVERAGEIFS(L:L,D:D,DST_123_ÜRETİM_İHTİYAÇ_RAPORU_BURAK_YENI1309[[#This Row],[ALT_KOD]]))</f>
        <v>-23</v>
      </c>
      <c r="L4190">
        <v>30</v>
      </c>
      <c r="M4190">
        <f>IF((DST_123_ÜRETİM_İHTİYAÇ_RAPORU_BURAK_YENI1309[[#This Row],[SATINALMA]]*DST_123_ÜRETİM_İHTİYAÇ_RAPORU_BURAK_YENI1309[[#This Row],[BIRIM_FIYATLAR]])&lt;1,VALUE("0"),DST_123_ÜRETİM_İHTİYAÇ_RAPORU_BURAK_YENI1309[[#This Row],[SATINALMA]]*DST_123_ÜRETİM_İHTİYAÇ_RAPORU_BURAK_YENI1309[[#This Row],[BIRIM_FIYATLAR]])</f>
        <v>0</v>
      </c>
      <c r="N4190">
        <v>67.22</v>
      </c>
      <c r="O4190" t="s">
        <v>592</v>
      </c>
      <c r="P4190">
        <v>134.44</v>
      </c>
      <c r="Q4190" t="s">
        <v>178</v>
      </c>
    </row>
    <row r="4191" spans="1:17" x14ac:dyDescent="0.25">
      <c r="A4191" t="s">
        <v>1149</v>
      </c>
      <c r="B4191" t="s">
        <v>1145</v>
      </c>
      <c r="C4191" t="s">
        <v>175</v>
      </c>
      <c r="D4191" t="s">
        <v>145</v>
      </c>
      <c r="E4191" t="s">
        <v>146</v>
      </c>
      <c r="F4191">
        <v>3</v>
      </c>
      <c r="G4191" t="s">
        <v>176</v>
      </c>
      <c r="H4191">
        <v>0</v>
      </c>
      <c r="I4191">
        <v>0</v>
      </c>
      <c r="J4191" s="10">
        <v>4.0000000000000497</v>
      </c>
      <c r="K4191" s="10">
        <f>SUMIFS(F:F,D:D,DST_123_ÜRETİM_İHTİYAÇ_RAPORU_BURAK_YENI1309[[#This Row],[ALT_KOD]])-(SUMIFS(H:H,D:D,DST_123_ÜRETİM_İHTİYAÇ_RAPORU_BURAK_YENI1309[[#This Row],[ALT_KOD]])+AVERAGEIFS(I:I,D:D,DST_123_ÜRETİM_İHTİYAÇ_RAPORU_BURAK_YENI1309[[#This Row],[ALT_KOD]])+AVERAGEIFS(L:L,D:D,DST_123_ÜRETİM_İHTİYAÇ_RAPORU_BURAK_YENI1309[[#This Row],[ALT_KOD]]))</f>
        <v>28.999999999999993</v>
      </c>
      <c r="L4191">
        <v>22</v>
      </c>
      <c r="M4191">
        <f>IF((DST_123_ÜRETİM_İHTİYAÇ_RAPORU_BURAK_YENI1309[[#This Row],[SATINALMA]]*DST_123_ÜRETİM_İHTİYAÇ_RAPORU_BURAK_YENI1309[[#This Row],[BIRIM_FIYATLAR]])&lt;1,VALUE("0"),DST_123_ÜRETİM_İHTİYAÇ_RAPORU_BURAK_YENI1309[[#This Row],[SATINALMA]]*DST_123_ÜRETİM_İHTİYAÇ_RAPORU_BURAK_YENI1309[[#This Row],[BIRIM_FIYATLAR]])</f>
        <v>30208.429999999993</v>
      </c>
      <c r="N4191">
        <v>1041.67</v>
      </c>
      <c r="O4191" t="s">
        <v>223</v>
      </c>
      <c r="P4191">
        <v>3125.01</v>
      </c>
      <c r="Q4191" t="s">
        <v>181</v>
      </c>
    </row>
    <row r="4192" spans="1:17" x14ac:dyDescent="0.25">
      <c r="A4192" t="s">
        <v>1146</v>
      </c>
      <c r="B4192" t="s">
        <v>1145</v>
      </c>
      <c r="C4192" t="s">
        <v>175</v>
      </c>
      <c r="D4192" t="s">
        <v>145</v>
      </c>
      <c r="E4192" t="s">
        <v>146</v>
      </c>
      <c r="F4192">
        <v>3</v>
      </c>
      <c r="G4192" t="s">
        <v>176</v>
      </c>
      <c r="H4192">
        <v>0</v>
      </c>
      <c r="I4192">
        <v>0</v>
      </c>
      <c r="J4192" s="10">
        <v>4.0000000000000497</v>
      </c>
      <c r="K4192" s="10">
        <f>SUMIFS(F:F,D:D,DST_123_ÜRETİM_İHTİYAÇ_RAPORU_BURAK_YENI1309[[#This Row],[ALT_KOD]])-(SUMIFS(H:H,D:D,DST_123_ÜRETİM_İHTİYAÇ_RAPORU_BURAK_YENI1309[[#This Row],[ALT_KOD]])+AVERAGEIFS(I:I,D:D,DST_123_ÜRETİM_İHTİYAÇ_RAPORU_BURAK_YENI1309[[#This Row],[ALT_KOD]])+AVERAGEIFS(L:L,D:D,DST_123_ÜRETİM_İHTİYAÇ_RAPORU_BURAK_YENI1309[[#This Row],[ALT_KOD]]))</f>
        <v>28.999999999999993</v>
      </c>
      <c r="L4192">
        <v>22</v>
      </c>
      <c r="M4192">
        <f>IF((DST_123_ÜRETİM_İHTİYAÇ_RAPORU_BURAK_YENI1309[[#This Row],[SATINALMA]]*DST_123_ÜRETİM_İHTİYAÇ_RAPORU_BURAK_YENI1309[[#This Row],[BIRIM_FIYATLAR]])&lt;1,VALUE("0"),DST_123_ÜRETİM_İHTİYAÇ_RAPORU_BURAK_YENI1309[[#This Row],[SATINALMA]]*DST_123_ÜRETİM_İHTİYAÇ_RAPORU_BURAK_YENI1309[[#This Row],[BIRIM_FIYATLAR]])</f>
        <v>30208.429999999993</v>
      </c>
      <c r="N4192">
        <v>1041.67</v>
      </c>
      <c r="O4192" t="s">
        <v>223</v>
      </c>
      <c r="P4192">
        <v>3125.01</v>
      </c>
      <c r="Q4192" t="s">
        <v>181</v>
      </c>
    </row>
    <row r="4193" spans="1:17" x14ac:dyDescent="0.25">
      <c r="A4193" t="s">
        <v>1142</v>
      </c>
      <c r="B4193" t="s">
        <v>1056</v>
      </c>
      <c r="C4193" t="s">
        <v>175</v>
      </c>
      <c r="D4193" t="s">
        <v>734</v>
      </c>
      <c r="E4193" t="s">
        <v>735</v>
      </c>
      <c r="F4193">
        <v>1</v>
      </c>
      <c r="G4193" t="s">
        <v>176</v>
      </c>
      <c r="H4193">
        <v>0</v>
      </c>
      <c r="I4193">
        <v>10</v>
      </c>
      <c r="J4193" s="10">
        <v>17</v>
      </c>
      <c r="K4193" s="10">
        <f>SUMIFS(F:F,D:D,DST_123_ÜRETİM_İHTİYAÇ_RAPORU_BURAK_YENI1309[[#This Row],[ALT_KOD]])-(SUMIFS(H:H,D:D,DST_123_ÜRETİM_İHTİYAÇ_RAPORU_BURAK_YENI1309[[#This Row],[ALT_KOD]])+AVERAGEIFS(I:I,D:D,DST_123_ÜRETİM_İHTİYAÇ_RAPORU_BURAK_YENI1309[[#This Row],[ALT_KOD]])+AVERAGEIFS(L:L,D:D,DST_123_ÜRETİM_İHTİYAÇ_RAPORU_BURAK_YENI1309[[#This Row],[ALT_KOD]]))</f>
        <v>1</v>
      </c>
      <c r="L4193">
        <v>0</v>
      </c>
      <c r="M4193">
        <f>IF((DST_123_ÜRETİM_İHTİYAÇ_RAPORU_BURAK_YENI1309[[#This Row],[SATINALMA]]*DST_123_ÜRETİM_İHTİYAÇ_RAPORU_BURAK_YENI1309[[#This Row],[BIRIM_FIYATLAR]])&lt;1,VALUE("0"),DST_123_ÜRETİM_İHTİYAÇ_RAPORU_BURAK_YENI1309[[#This Row],[SATINALMA]]*DST_123_ÜRETİM_İHTİYAÇ_RAPORU_BURAK_YENI1309[[#This Row],[BIRIM_FIYATLAR]])</f>
        <v>565.83000000000004</v>
      </c>
      <c r="N4193">
        <v>565.83000000000004</v>
      </c>
      <c r="O4193" t="s">
        <v>667</v>
      </c>
      <c r="P4193">
        <v>565.83000000000004</v>
      </c>
      <c r="Q4193" t="s">
        <v>677</v>
      </c>
    </row>
    <row r="4194" spans="1:17" x14ac:dyDescent="0.25">
      <c r="A4194" t="s">
        <v>1143</v>
      </c>
      <c r="B4194" t="s">
        <v>1056</v>
      </c>
      <c r="C4194" t="s">
        <v>175</v>
      </c>
      <c r="D4194" t="s">
        <v>734</v>
      </c>
      <c r="E4194" t="s">
        <v>735</v>
      </c>
      <c r="F4194">
        <v>1</v>
      </c>
      <c r="G4194" t="s">
        <v>176</v>
      </c>
      <c r="H4194">
        <v>0</v>
      </c>
      <c r="I4194">
        <v>10</v>
      </c>
      <c r="J4194" s="10">
        <v>17</v>
      </c>
      <c r="K4194" s="10">
        <f>SUMIFS(F:F,D:D,DST_123_ÜRETİM_İHTİYAÇ_RAPORU_BURAK_YENI1309[[#This Row],[ALT_KOD]])-(SUMIFS(H:H,D:D,DST_123_ÜRETİM_İHTİYAÇ_RAPORU_BURAK_YENI1309[[#This Row],[ALT_KOD]])+AVERAGEIFS(I:I,D:D,DST_123_ÜRETİM_İHTİYAÇ_RAPORU_BURAK_YENI1309[[#This Row],[ALT_KOD]])+AVERAGEIFS(L:L,D:D,DST_123_ÜRETİM_İHTİYAÇ_RAPORU_BURAK_YENI1309[[#This Row],[ALT_KOD]]))</f>
        <v>1</v>
      </c>
      <c r="L4194">
        <v>0</v>
      </c>
      <c r="M4194">
        <f>IF((DST_123_ÜRETİM_İHTİYAÇ_RAPORU_BURAK_YENI1309[[#This Row],[SATINALMA]]*DST_123_ÜRETİM_İHTİYAÇ_RAPORU_BURAK_YENI1309[[#This Row],[BIRIM_FIYATLAR]])&lt;1,VALUE("0"),DST_123_ÜRETİM_İHTİYAÇ_RAPORU_BURAK_YENI1309[[#This Row],[SATINALMA]]*DST_123_ÜRETİM_İHTİYAÇ_RAPORU_BURAK_YENI1309[[#This Row],[BIRIM_FIYATLAR]])</f>
        <v>565.83000000000004</v>
      </c>
      <c r="N4194">
        <v>565.83000000000004</v>
      </c>
      <c r="O4194" t="s">
        <v>667</v>
      </c>
      <c r="P4194">
        <v>565.83000000000004</v>
      </c>
      <c r="Q4194" t="s">
        <v>677</v>
      </c>
    </row>
    <row r="4195" spans="1:17" x14ac:dyDescent="0.25">
      <c r="A4195" t="s">
        <v>1196</v>
      </c>
      <c r="B4195" t="s">
        <v>1197</v>
      </c>
      <c r="C4195" t="s">
        <v>175</v>
      </c>
      <c r="D4195" t="s">
        <v>145</v>
      </c>
      <c r="E4195" t="s">
        <v>146</v>
      </c>
      <c r="F4195">
        <v>3</v>
      </c>
      <c r="G4195" t="s">
        <v>176</v>
      </c>
      <c r="H4195">
        <v>0</v>
      </c>
      <c r="I4195">
        <v>0</v>
      </c>
      <c r="J4195" s="10">
        <v>4.0000000000000497</v>
      </c>
      <c r="K4195" s="10">
        <f>SUMIFS(F:F,D:D,DST_123_ÜRETİM_İHTİYAÇ_RAPORU_BURAK_YENI1309[[#This Row],[ALT_KOD]])-(SUMIFS(H:H,D:D,DST_123_ÜRETİM_İHTİYAÇ_RAPORU_BURAK_YENI1309[[#This Row],[ALT_KOD]])+AVERAGEIFS(I:I,D:D,DST_123_ÜRETİM_İHTİYAÇ_RAPORU_BURAK_YENI1309[[#This Row],[ALT_KOD]])+AVERAGEIFS(L:L,D:D,DST_123_ÜRETİM_İHTİYAÇ_RAPORU_BURAK_YENI1309[[#This Row],[ALT_KOD]]))</f>
        <v>28.999999999999993</v>
      </c>
      <c r="L4195">
        <v>22</v>
      </c>
      <c r="M4195">
        <f>IF((DST_123_ÜRETİM_İHTİYAÇ_RAPORU_BURAK_YENI1309[[#This Row],[SATINALMA]]*DST_123_ÜRETİM_İHTİYAÇ_RAPORU_BURAK_YENI1309[[#This Row],[BIRIM_FIYATLAR]])&lt;1,VALUE("0"),DST_123_ÜRETİM_İHTİYAÇ_RAPORU_BURAK_YENI1309[[#This Row],[SATINALMA]]*DST_123_ÜRETİM_İHTİYAÇ_RAPORU_BURAK_YENI1309[[#This Row],[BIRIM_FIYATLAR]])</f>
        <v>30208.429999999993</v>
      </c>
      <c r="N4195">
        <v>1041.67</v>
      </c>
      <c r="O4195" t="s">
        <v>223</v>
      </c>
      <c r="P4195">
        <v>3125.01</v>
      </c>
      <c r="Q4195" t="s">
        <v>181</v>
      </c>
    </row>
    <row r="4196" spans="1:17" x14ac:dyDescent="0.25">
      <c r="A4196" t="s">
        <v>1144</v>
      </c>
      <c r="B4196" t="s">
        <v>1145</v>
      </c>
      <c r="C4196" t="s">
        <v>175</v>
      </c>
      <c r="D4196" t="s">
        <v>134</v>
      </c>
      <c r="E4196" t="s">
        <v>135</v>
      </c>
      <c r="F4196">
        <v>12</v>
      </c>
      <c r="G4196" t="s">
        <v>179</v>
      </c>
      <c r="H4196">
        <v>0</v>
      </c>
      <c r="I4196">
        <v>60</v>
      </c>
      <c r="J4196" s="10">
        <v>52</v>
      </c>
      <c r="K4196" s="10">
        <f>SUMIFS(F:F,D:D,DST_123_ÜRETİM_İHTİYAÇ_RAPORU_BURAK_YENI1309[[#This Row],[ALT_KOD]])-(SUMIFS(H:H,D:D,DST_123_ÜRETİM_İHTİYAÇ_RAPORU_BURAK_YENI1309[[#This Row],[ALT_KOD]])+AVERAGEIFS(I:I,D:D,DST_123_ÜRETİM_İHTİYAÇ_RAPORU_BURAK_YENI1309[[#This Row],[ALT_KOD]])+AVERAGEIFS(L:L,D:D,DST_123_ÜRETİM_İHTİYAÇ_RAPORU_BURAK_YENI1309[[#This Row],[ALT_KOD]]))</f>
        <v>14.5</v>
      </c>
      <c r="L4196">
        <v>80</v>
      </c>
      <c r="M4196">
        <f>IF((DST_123_ÜRETİM_İHTİYAÇ_RAPORU_BURAK_YENI1309[[#This Row],[SATINALMA]]*DST_123_ÜRETİM_İHTİYAÇ_RAPORU_BURAK_YENI1309[[#This Row],[BIRIM_FIYATLAR]])&lt;1,VALUE("0"),DST_123_ÜRETİM_İHTİYAÇ_RAPORU_BURAK_YENI1309[[#This Row],[SATINALMA]]*DST_123_ÜRETİM_İHTİYAÇ_RAPORU_BURAK_YENI1309[[#This Row],[BIRIM_FIYATLAR]])</f>
        <v>710.5</v>
      </c>
      <c r="N4196">
        <v>49</v>
      </c>
      <c r="O4196" t="s">
        <v>672</v>
      </c>
      <c r="P4196">
        <v>588</v>
      </c>
      <c r="Q4196" t="s">
        <v>184</v>
      </c>
    </row>
    <row r="4197" spans="1:17" x14ac:dyDescent="0.25">
      <c r="A4197" t="s">
        <v>1146</v>
      </c>
      <c r="B4197" t="s">
        <v>1145</v>
      </c>
      <c r="C4197" t="s">
        <v>175</v>
      </c>
      <c r="D4197" t="s">
        <v>134</v>
      </c>
      <c r="E4197" t="s">
        <v>135</v>
      </c>
      <c r="F4197">
        <v>9</v>
      </c>
      <c r="G4197" t="s">
        <v>179</v>
      </c>
      <c r="H4197">
        <v>0</v>
      </c>
      <c r="I4197">
        <v>60</v>
      </c>
      <c r="J4197" s="10">
        <v>52</v>
      </c>
      <c r="K4197" s="10">
        <f>SUMIFS(F:F,D:D,DST_123_ÜRETİM_İHTİYAÇ_RAPORU_BURAK_YENI1309[[#This Row],[ALT_KOD]])-(SUMIFS(H:H,D:D,DST_123_ÜRETİM_İHTİYAÇ_RAPORU_BURAK_YENI1309[[#This Row],[ALT_KOD]])+AVERAGEIFS(I:I,D:D,DST_123_ÜRETİM_İHTİYAÇ_RAPORU_BURAK_YENI1309[[#This Row],[ALT_KOD]])+AVERAGEIFS(L:L,D:D,DST_123_ÜRETİM_İHTİYAÇ_RAPORU_BURAK_YENI1309[[#This Row],[ALT_KOD]]))</f>
        <v>14.5</v>
      </c>
      <c r="L4197">
        <v>80</v>
      </c>
      <c r="M4197">
        <f>IF((DST_123_ÜRETİM_İHTİYAÇ_RAPORU_BURAK_YENI1309[[#This Row],[SATINALMA]]*DST_123_ÜRETİM_İHTİYAÇ_RAPORU_BURAK_YENI1309[[#This Row],[BIRIM_FIYATLAR]])&lt;1,VALUE("0"),DST_123_ÜRETİM_İHTİYAÇ_RAPORU_BURAK_YENI1309[[#This Row],[SATINALMA]]*DST_123_ÜRETİM_İHTİYAÇ_RAPORU_BURAK_YENI1309[[#This Row],[BIRIM_FIYATLAR]])</f>
        <v>710.5</v>
      </c>
      <c r="N4197">
        <v>49</v>
      </c>
      <c r="O4197" t="s">
        <v>672</v>
      </c>
      <c r="P4197">
        <v>441</v>
      </c>
      <c r="Q4197" t="s">
        <v>184</v>
      </c>
    </row>
    <row r="4198" spans="1:17" x14ac:dyDescent="0.25">
      <c r="A4198" t="s">
        <v>1150</v>
      </c>
      <c r="B4198" t="s">
        <v>1145</v>
      </c>
      <c r="C4198" t="s">
        <v>175</v>
      </c>
      <c r="D4198" t="s">
        <v>241</v>
      </c>
      <c r="E4198" t="s">
        <v>242</v>
      </c>
      <c r="F4198">
        <v>1</v>
      </c>
      <c r="G4198" t="s">
        <v>176</v>
      </c>
      <c r="H4198">
        <v>0</v>
      </c>
      <c r="I4198">
        <v>49</v>
      </c>
      <c r="J4198" s="10">
        <v>1.6000000000000005</v>
      </c>
      <c r="K4198" s="10">
        <f>SUMIFS(F:F,D:D,DST_123_ÜRETİM_İHTİYAÇ_RAPORU_BURAK_YENI1309[[#This Row],[ALT_KOD]])-(SUMIFS(H:H,D:D,DST_123_ÜRETİM_İHTİYAÇ_RAPORU_BURAK_YENI1309[[#This Row],[ALT_KOD]])+AVERAGEIFS(I:I,D:D,DST_123_ÜRETİM_İHTİYAÇ_RAPORU_BURAK_YENI1309[[#This Row],[ALT_KOD]])+AVERAGEIFS(L:L,D:D,DST_123_ÜRETİM_İHTİYAÇ_RAPORU_BURAK_YENI1309[[#This Row],[ALT_KOD]]))</f>
        <v>-37.599999999999994</v>
      </c>
      <c r="L4198">
        <v>0</v>
      </c>
      <c r="M4198">
        <f>IF((DST_123_ÜRETİM_İHTİYAÇ_RAPORU_BURAK_YENI1309[[#This Row],[SATINALMA]]*DST_123_ÜRETİM_İHTİYAÇ_RAPORU_BURAK_YENI1309[[#This Row],[BIRIM_FIYATLAR]])&lt;1,VALUE("0"),DST_123_ÜRETİM_İHTİYAÇ_RAPORU_BURAK_YENI1309[[#This Row],[SATINALMA]]*DST_123_ÜRETİM_İHTİYAÇ_RAPORU_BURAK_YENI1309[[#This Row],[BIRIM_FIYATLAR]])</f>
        <v>0</v>
      </c>
      <c r="N4198">
        <v>60</v>
      </c>
      <c r="O4198" t="s">
        <v>490</v>
      </c>
      <c r="P4198">
        <v>60</v>
      </c>
      <c r="Q4198" t="s">
        <v>180</v>
      </c>
    </row>
    <row r="4199" spans="1:17" x14ac:dyDescent="0.25">
      <c r="A4199" t="s">
        <v>1144</v>
      </c>
      <c r="B4199" t="s">
        <v>1145</v>
      </c>
      <c r="C4199" t="s">
        <v>175</v>
      </c>
      <c r="D4199" t="s">
        <v>241</v>
      </c>
      <c r="E4199" t="s">
        <v>242</v>
      </c>
      <c r="F4199">
        <v>1</v>
      </c>
      <c r="G4199" t="s">
        <v>176</v>
      </c>
      <c r="H4199">
        <v>0</v>
      </c>
      <c r="I4199">
        <v>49</v>
      </c>
      <c r="J4199" s="10">
        <v>1.6000000000000005</v>
      </c>
      <c r="K4199" s="10">
        <f>SUMIFS(F:F,D:D,DST_123_ÜRETİM_İHTİYAÇ_RAPORU_BURAK_YENI1309[[#This Row],[ALT_KOD]])-(SUMIFS(H:H,D:D,DST_123_ÜRETİM_İHTİYAÇ_RAPORU_BURAK_YENI1309[[#This Row],[ALT_KOD]])+AVERAGEIFS(I:I,D:D,DST_123_ÜRETİM_İHTİYAÇ_RAPORU_BURAK_YENI1309[[#This Row],[ALT_KOD]])+AVERAGEIFS(L:L,D:D,DST_123_ÜRETİM_İHTİYAÇ_RAPORU_BURAK_YENI1309[[#This Row],[ALT_KOD]]))</f>
        <v>-37.599999999999994</v>
      </c>
      <c r="L4199">
        <v>0</v>
      </c>
      <c r="M4199">
        <f>IF((DST_123_ÜRETİM_İHTİYAÇ_RAPORU_BURAK_YENI1309[[#This Row],[SATINALMA]]*DST_123_ÜRETİM_İHTİYAÇ_RAPORU_BURAK_YENI1309[[#This Row],[BIRIM_FIYATLAR]])&lt;1,VALUE("0"),DST_123_ÜRETİM_İHTİYAÇ_RAPORU_BURAK_YENI1309[[#This Row],[SATINALMA]]*DST_123_ÜRETİM_İHTİYAÇ_RAPORU_BURAK_YENI1309[[#This Row],[BIRIM_FIYATLAR]])</f>
        <v>0</v>
      </c>
      <c r="N4199">
        <v>60</v>
      </c>
      <c r="O4199" t="s">
        <v>490</v>
      </c>
      <c r="P4199">
        <v>60</v>
      </c>
      <c r="Q4199" t="s">
        <v>180</v>
      </c>
    </row>
    <row r="4200" spans="1:17" x14ac:dyDescent="0.25">
      <c r="A4200" t="s">
        <v>1150</v>
      </c>
      <c r="B4200" t="s">
        <v>1145</v>
      </c>
      <c r="C4200" t="s">
        <v>175</v>
      </c>
      <c r="D4200" t="s">
        <v>157</v>
      </c>
      <c r="E4200" t="s">
        <v>158</v>
      </c>
      <c r="F4200">
        <v>1</v>
      </c>
      <c r="G4200" t="s">
        <v>176</v>
      </c>
      <c r="H4200">
        <v>0</v>
      </c>
      <c r="I4200">
        <v>4</v>
      </c>
      <c r="J4200" s="10">
        <v>22</v>
      </c>
      <c r="K4200" s="10">
        <f>SUMIFS(F:F,D:D,DST_123_ÜRETİM_İHTİYAÇ_RAPORU_BURAK_YENI1309[[#This Row],[ALT_KOD]])-(SUMIFS(H:H,D:D,DST_123_ÜRETİM_İHTİYAÇ_RAPORU_BURAK_YENI1309[[#This Row],[ALT_KOD]])+AVERAGEIFS(I:I,D:D,DST_123_ÜRETİM_İHTİYAÇ_RAPORU_BURAK_YENI1309[[#This Row],[ALT_KOD]])+AVERAGEIFS(L:L,D:D,DST_123_ÜRETİM_İHTİYAÇ_RAPORU_BURAK_YENI1309[[#This Row],[ALT_KOD]]))</f>
        <v>-5</v>
      </c>
      <c r="L4200">
        <v>20</v>
      </c>
      <c r="M4200">
        <f>IF((DST_123_ÜRETİM_İHTİYAÇ_RAPORU_BURAK_YENI1309[[#This Row],[SATINALMA]]*DST_123_ÜRETİM_İHTİYAÇ_RAPORU_BURAK_YENI1309[[#This Row],[BIRIM_FIYATLAR]])&lt;1,VALUE("0"),DST_123_ÜRETİM_İHTİYAÇ_RAPORU_BURAK_YENI1309[[#This Row],[SATINALMA]]*DST_123_ÜRETİM_İHTİYAÇ_RAPORU_BURAK_YENI1309[[#This Row],[BIRIM_FIYATLAR]])</f>
        <v>0</v>
      </c>
      <c r="N4200">
        <v>65</v>
      </c>
      <c r="O4200" t="s">
        <v>761</v>
      </c>
      <c r="P4200">
        <v>65</v>
      </c>
      <c r="Q4200" t="s">
        <v>178</v>
      </c>
    </row>
    <row r="4201" spans="1:17" x14ac:dyDescent="0.25">
      <c r="A4201" t="s">
        <v>1149</v>
      </c>
      <c r="B4201" t="s">
        <v>1145</v>
      </c>
      <c r="C4201" t="s">
        <v>175</v>
      </c>
      <c r="D4201" t="s">
        <v>277</v>
      </c>
      <c r="E4201" t="s">
        <v>316</v>
      </c>
      <c r="F4201">
        <v>1</v>
      </c>
      <c r="G4201" t="s">
        <v>176</v>
      </c>
      <c r="H4201">
        <v>0</v>
      </c>
      <c r="I4201">
        <v>27</v>
      </c>
      <c r="J4201" s="10">
        <v>4</v>
      </c>
      <c r="K4201" s="10">
        <f>SUMIFS(F:F,D:D,DST_123_ÜRETİM_İHTİYAÇ_RAPORU_BURAK_YENI1309[[#This Row],[ALT_KOD]])-(SUMIFS(H:H,D:D,DST_123_ÜRETİM_İHTİYAÇ_RAPORU_BURAK_YENI1309[[#This Row],[ALT_KOD]])+AVERAGEIFS(I:I,D:D,DST_123_ÜRETİM_İHTİYAÇ_RAPORU_BURAK_YENI1309[[#This Row],[ALT_KOD]])+AVERAGEIFS(L:L,D:D,DST_123_ÜRETİM_İHTİYAÇ_RAPORU_BURAK_YENI1309[[#This Row],[ALT_KOD]]))</f>
        <v>-20</v>
      </c>
      <c r="L4201">
        <v>0</v>
      </c>
      <c r="M4201">
        <f>IF((DST_123_ÜRETİM_İHTİYAÇ_RAPORU_BURAK_YENI1309[[#This Row],[SATINALMA]]*DST_123_ÜRETİM_İHTİYAÇ_RAPORU_BURAK_YENI1309[[#This Row],[BIRIM_FIYATLAR]])&lt;1,VALUE("0"),DST_123_ÜRETİM_İHTİYAÇ_RAPORU_BURAK_YENI1309[[#This Row],[SATINALMA]]*DST_123_ÜRETİM_İHTİYAÇ_RAPORU_BURAK_YENI1309[[#This Row],[BIRIM_FIYATLAR]])</f>
        <v>0</v>
      </c>
      <c r="N4201">
        <v>287.13</v>
      </c>
      <c r="O4201" t="s">
        <v>636</v>
      </c>
      <c r="P4201">
        <v>287.13</v>
      </c>
      <c r="Q4201" t="s">
        <v>178</v>
      </c>
    </row>
    <row r="4202" spans="1:17" x14ac:dyDescent="0.25">
      <c r="A4202" t="s">
        <v>1149</v>
      </c>
      <c r="B4202" t="s">
        <v>1145</v>
      </c>
      <c r="C4202" t="s">
        <v>175</v>
      </c>
      <c r="D4202" t="s">
        <v>278</v>
      </c>
      <c r="E4202" t="s">
        <v>317</v>
      </c>
      <c r="F4202">
        <v>1</v>
      </c>
      <c r="G4202" t="s">
        <v>176</v>
      </c>
      <c r="H4202">
        <v>0</v>
      </c>
      <c r="I4202">
        <v>27</v>
      </c>
      <c r="J4202" s="10">
        <v>4</v>
      </c>
      <c r="K4202" s="10">
        <f>SUMIFS(F:F,D:D,DST_123_ÜRETİM_İHTİYAÇ_RAPORU_BURAK_YENI1309[[#This Row],[ALT_KOD]])-(SUMIFS(H:H,D:D,DST_123_ÜRETİM_İHTİYAÇ_RAPORU_BURAK_YENI1309[[#This Row],[ALT_KOD]])+AVERAGEIFS(I:I,D:D,DST_123_ÜRETİM_İHTİYAÇ_RAPORU_BURAK_YENI1309[[#This Row],[ALT_KOD]])+AVERAGEIFS(L:L,D:D,DST_123_ÜRETİM_İHTİYAÇ_RAPORU_BURAK_YENI1309[[#This Row],[ALT_KOD]]))</f>
        <v>-20</v>
      </c>
      <c r="L4202">
        <v>0</v>
      </c>
      <c r="M4202">
        <f>IF((DST_123_ÜRETİM_İHTİYAÇ_RAPORU_BURAK_YENI1309[[#This Row],[SATINALMA]]*DST_123_ÜRETİM_İHTİYAÇ_RAPORU_BURAK_YENI1309[[#This Row],[BIRIM_FIYATLAR]])&lt;1,VALUE("0"),DST_123_ÜRETİM_İHTİYAÇ_RAPORU_BURAK_YENI1309[[#This Row],[SATINALMA]]*DST_123_ÜRETİM_İHTİYAÇ_RAPORU_BURAK_YENI1309[[#This Row],[BIRIM_FIYATLAR]])</f>
        <v>0</v>
      </c>
      <c r="N4202">
        <v>287.13</v>
      </c>
      <c r="O4202" t="s">
        <v>636</v>
      </c>
      <c r="P4202">
        <v>287.13</v>
      </c>
      <c r="Q4202" t="s">
        <v>178</v>
      </c>
    </row>
    <row r="4203" spans="1:17" x14ac:dyDescent="0.25">
      <c r="A4203" t="s">
        <v>1149</v>
      </c>
      <c r="B4203" t="s">
        <v>1145</v>
      </c>
      <c r="C4203" t="s">
        <v>175</v>
      </c>
      <c r="D4203" t="s">
        <v>445</v>
      </c>
      <c r="E4203" t="s">
        <v>629</v>
      </c>
      <c r="F4203">
        <v>4</v>
      </c>
      <c r="G4203" t="s">
        <v>176</v>
      </c>
      <c r="H4203">
        <v>0</v>
      </c>
      <c r="I4203">
        <v>109</v>
      </c>
      <c r="J4203" s="10">
        <v>34</v>
      </c>
      <c r="K4203" s="10">
        <f>SUMIFS(F:F,D:D,DST_123_ÜRETİM_İHTİYAÇ_RAPORU_BURAK_YENI1309[[#This Row],[ALT_KOD]])-(SUMIFS(H:H,D:D,DST_123_ÜRETİM_İHTİYAÇ_RAPORU_BURAK_YENI1309[[#This Row],[ALT_KOD]])+AVERAGEIFS(I:I,D:D,DST_123_ÜRETİM_İHTİYAÇ_RAPORU_BURAK_YENI1309[[#This Row],[ALT_KOD]])+AVERAGEIFS(L:L,D:D,DST_123_ÜRETİM_İHTİYAÇ_RAPORU_BURAK_YENI1309[[#This Row],[ALT_KOD]]))</f>
        <v>-71</v>
      </c>
      <c r="L4203">
        <v>0</v>
      </c>
      <c r="M4203">
        <f>IF((DST_123_ÜRETİM_İHTİYAÇ_RAPORU_BURAK_YENI1309[[#This Row],[SATINALMA]]*DST_123_ÜRETİM_İHTİYAÇ_RAPORU_BURAK_YENI1309[[#This Row],[BIRIM_FIYATLAR]])&lt;1,VALUE("0"),DST_123_ÜRETİM_İHTİYAÇ_RAPORU_BURAK_YENI1309[[#This Row],[SATINALMA]]*DST_123_ÜRETİM_İHTİYAÇ_RAPORU_BURAK_YENI1309[[#This Row],[BIRIM_FIYATLAR]])</f>
        <v>0</v>
      </c>
      <c r="N4203">
        <v>250</v>
      </c>
      <c r="O4203" t="s">
        <v>628</v>
      </c>
      <c r="P4203">
        <v>1000</v>
      </c>
      <c r="Q4203" t="s">
        <v>180</v>
      </c>
    </row>
    <row r="4204" spans="1:17" x14ac:dyDescent="0.25">
      <c r="A4204" t="s">
        <v>1146</v>
      </c>
      <c r="B4204" t="s">
        <v>1145</v>
      </c>
      <c r="C4204" t="s">
        <v>175</v>
      </c>
      <c r="D4204" t="s">
        <v>445</v>
      </c>
      <c r="E4204" t="s">
        <v>629</v>
      </c>
      <c r="F4204">
        <v>4</v>
      </c>
      <c r="G4204" t="s">
        <v>176</v>
      </c>
      <c r="H4204">
        <v>0</v>
      </c>
      <c r="I4204">
        <v>109</v>
      </c>
      <c r="J4204" s="10">
        <v>34</v>
      </c>
      <c r="K4204" s="10">
        <f>SUMIFS(F:F,D:D,DST_123_ÜRETİM_İHTİYAÇ_RAPORU_BURAK_YENI1309[[#This Row],[ALT_KOD]])-(SUMIFS(H:H,D:D,DST_123_ÜRETİM_İHTİYAÇ_RAPORU_BURAK_YENI1309[[#This Row],[ALT_KOD]])+AVERAGEIFS(I:I,D:D,DST_123_ÜRETİM_İHTİYAÇ_RAPORU_BURAK_YENI1309[[#This Row],[ALT_KOD]])+AVERAGEIFS(L:L,D:D,DST_123_ÜRETİM_İHTİYAÇ_RAPORU_BURAK_YENI1309[[#This Row],[ALT_KOD]]))</f>
        <v>-71</v>
      </c>
      <c r="L4204">
        <v>0</v>
      </c>
      <c r="M4204">
        <f>IF((DST_123_ÜRETİM_İHTİYAÇ_RAPORU_BURAK_YENI1309[[#This Row],[SATINALMA]]*DST_123_ÜRETİM_İHTİYAÇ_RAPORU_BURAK_YENI1309[[#This Row],[BIRIM_FIYATLAR]])&lt;1,VALUE("0"),DST_123_ÜRETİM_İHTİYAÇ_RAPORU_BURAK_YENI1309[[#This Row],[SATINALMA]]*DST_123_ÜRETİM_İHTİYAÇ_RAPORU_BURAK_YENI1309[[#This Row],[BIRIM_FIYATLAR]])</f>
        <v>0</v>
      </c>
      <c r="N4204">
        <v>250</v>
      </c>
      <c r="O4204" t="s">
        <v>628</v>
      </c>
      <c r="P4204">
        <v>1000</v>
      </c>
      <c r="Q4204" t="s">
        <v>180</v>
      </c>
    </row>
    <row r="4205" spans="1:17" x14ac:dyDescent="0.25">
      <c r="A4205" t="s">
        <v>1144</v>
      </c>
      <c r="B4205" t="s">
        <v>1145</v>
      </c>
      <c r="C4205" t="s">
        <v>175</v>
      </c>
      <c r="D4205" t="s">
        <v>445</v>
      </c>
      <c r="E4205" t="s">
        <v>629</v>
      </c>
      <c r="F4205">
        <v>4</v>
      </c>
      <c r="G4205" t="s">
        <v>176</v>
      </c>
      <c r="H4205">
        <v>0</v>
      </c>
      <c r="I4205">
        <v>109</v>
      </c>
      <c r="J4205" s="10">
        <v>34</v>
      </c>
      <c r="K4205" s="10">
        <f>SUMIFS(F:F,D:D,DST_123_ÜRETİM_İHTİYAÇ_RAPORU_BURAK_YENI1309[[#This Row],[ALT_KOD]])-(SUMIFS(H:H,D:D,DST_123_ÜRETİM_İHTİYAÇ_RAPORU_BURAK_YENI1309[[#This Row],[ALT_KOD]])+AVERAGEIFS(I:I,D:D,DST_123_ÜRETİM_İHTİYAÇ_RAPORU_BURAK_YENI1309[[#This Row],[ALT_KOD]])+AVERAGEIFS(L:L,D:D,DST_123_ÜRETİM_İHTİYAÇ_RAPORU_BURAK_YENI1309[[#This Row],[ALT_KOD]]))</f>
        <v>-71</v>
      </c>
      <c r="L4205">
        <v>0</v>
      </c>
      <c r="M4205">
        <f>IF((DST_123_ÜRETİM_İHTİYAÇ_RAPORU_BURAK_YENI1309[[#This Row],[SATINALMA]]*DST_123_ÜRETİM_İHTİYAÇ_RAPORU_BURAK_YENI1309[[#This Row],[BIRIM_FIYATLAR]])&lt;1,VALUE("0"),DST_123_ÜRETİM_İHTİYAÇ_RAPORU_BURAK_YENI1309[[#This Row],[SATINALMA]]*DST_123_ÜRETİM_İHTİYAÇ_RAPORU_BURAK_YENI1309[[#This Row],[BIRIM_FIYATLAR]])</f>
        <v>0</v>
      </c>
      <c r="N4205">
        <v>250</v>
      </c>
      <c r="O4205" t="s">
        <v>628</v>
      </c>
      <c r="P4205">
        <v>1000</v>
      </c>
      <c r="Q4205" t="s">
        <v>180</v>
      </c>
    </row>
    <row r="4206" spans="1:17" x14ac:dyDescent="0.25">
      <c r="A4206" t="s">
        <v>1060</v>
      </c>
      <c r="B4206" t="s">
        <v>1061</v>
      </c>
      <c r="C4206" t="s">
        <v>175</v>
      </c>
      <c r="D4206" t="s">
        <v>134</v>
      </c>
      <c r="E4206" t="s">
        <v>135</v>
      </c>
      <c r="F4206">
        <v>12</v>
      </c>
      <c r="G4206" t="s">
        <v>179</v>
      </c>
      <c r="H4206">
        <v>0</v>
      </c>
      <c r="I4206">
        <v>60</v>
      </c>
      <c r="J4206" s="10">
        <v>52</v>
      </c>
      <c r="K4206" s="10">
        <f>SUMIFS(F:F,D:D,DST_123_ÜRETİM_İHTİYAÇ_RAPORU_BURAK_YENI1309[[#This Row],[ALT_KOD]])-(SUMIFS(H:H,D:D,DST_123_ÜRETİM_İHTİYAÇ_RAPORU_BURAK_YENI1309[[#This Row],[ALT_KOD]])+AVERAGEIFS(I:I,D:D,DST_123_ÜRETİM_İHTİYAÇ_RAPORU_BURAK_YENI1309[[#This Row],[ALT_KOD]])+AVERAGEIFS(L:L,D:D,DST_123_ÜRETİM_İHTİYAÇ_RAPORU_BURAK_YENI1309[[#This Row],[ALT_KOD]]))</f>
        <v>14.5</v>
      </c>
      <c r="L4206">
        <v>80</v>
      </c>
      <c r="M4206">
        <f>IF((DST_123_ÜRETİM_İHTİYAÇ_RAPORU_BURAK_YENI1309[[#This Row],[SATINALMA]]*DST_123_ÜRETİM_İHTİYAÇ_RAPORU_BURAK_YENI1309[[#This Row],[BIRIM_FIYATLAR]])&lt;1,VALUE("0"),DST_123_ÜRETİM_İHTİYAÇ_RAPORU_BURAK_YENI1309[[#This Row],[SATINALMA]]*DST_123_ÜRETİM_İHTİYAÇ_RAPORU_BURAK_YENI1309[[#This Row],[BIRIM_FIYATLAR]])</f>
        <v>710.5</v>
      </c>
      <c r="N4206">
        <v>49</v>
      </c>
      <c r="O4206" t="s">
        <v>672</v>
      </c>
      <c r="P4206">
        <v>588</v>
      </c>
      <c r="Q4206" t="s">
        <v>184</v>
      </c>
    </row>
    <row r="4207" spans="1:17" x14ac:dyDescent="0.25">
      <c r="A4207" t="s">
        <v>1101</v>
      </c>
      <c r="B4207" t="s">
        <v>1102</v>
      </c>
      <c r="C4207" t="s">
        <v>175</v>
      </c>
      <c r="D4207" t="s">
        <v>134</v>
      </c>
      <c r="E4207" t="s">
        <v>135</v>
      </c>
      <c r="F4207">
        <v>7.5</v>
      </c>
      <c r="G4207" t="s">
        <v>179</v>
      </c>
      <c r="H4207">
        <v>0</v>
      </c>
      <c r="I4207">
        <v>60</v>
      </c>
      <c r="J4207" s="10">
        <v>52</v>
      </c>
      <c r="K4207" s="10">
        <f>SUMIFS(F:F,D:D,DST_123_ÜRETİM_İHTİYAÇ_RAPORU_BURAK_YENI1309[[#This Row],[ALT_KOD]])-(SUMIFS(H:H,D:D,DST_123_ÜRETİM_İHTİYAÇ_RAPORU_BURAK_YENI1309[[#This Row],[ALT_KOD]])+AVERAGEIFS(I:I,D:D,DST_123_ÜRETİM_İHTİYAÇ_RAPORU_BURAK_YENI1309[[#This Row],[ALT_KOD]])+AVERAGEIFS(L:L,D:D,DST_123_ÜRETİM_İHTİYAÇ_RAPORU_BURAK_YENI1309[[#This Row],[ALT_KOD]]))</f>
        <v>14.5</v>
      </c>
      <c r="L4207">
        <v>80</v>
      </c>
      <c r="M4207">
        <f>IF((DST_123_ÜRETİM_İHTİYAÇ_RAPORU_BURAK_YENI1309[[#This Row],[SATINALMA]]*DST_123_ÜRETİM_İHTİYAÇ_RAPORU_BURAK_YENI1309[[#This Row],[BIRIM_FIYATLAR]])&lt;1,VALUE("0"),DST_123_ÜRETİM_İHTİYAÇ_RAPORU_BURAK_YENI1309[[#This Row],[SATINALMA]]*DST_123_ÜRETİM_İHTİYAÇ_RAPORU_BURAK_YENI1309[[#This Row],[BIRIM_FIYATLAR]])</f>
        <v>710.5</v>
      </c>
      <c r="N4207">
        <v>49</v>
      </c>
      <c r="O4207" t="s">
        <v>672</v>
      </c>
      <c r="P4207">
        <v>367.5</v>
      </c>
      <c r="Q4207" t="s">
        <v>184</v>
      </c>
    </row>
    <row r="4208" spans="1:17" x14ac:dyDescent="0.25">
      <c r="A4208" t="s">
        <v>1057</v>
      </c>
      <c r="B4208" t="s">
        <v>1058</v>
      </c>
      <c r="C4208" t="s">
        <v>175</v>
      </c>
      <c r="D4208" t="s">
        <v>241</v>
      </c>
      <c r="E4208" t="s">
        <v>242</v>
      </c>
      <c r="F4208">
        <v>1</v>
      </c>
      <c r="G4208" t="s">
        <v>176</v>
      </c>
      <c r="H4208">
        <v>1</v>
      </c>
      <c r="I4208">
        <v>49</v>
      </c>
      <c r="J4208" s="10">
        <v>1.6000000000000005</v>
      </c>
      <c r="K4208" s="10">
        <f>SUMIFS(F:F,D:D,DST_123_ÜRETİM_İHTİYAÇ_RAPORU_BURAK_YENI1309[[#This Row],[ALT_KOD]])-(SUMIFS(H:H,D:D,DST_123_ÜRETİM_İHTİYAÇ_RAPORU_BURAK_YENI1309[[#This Row],[ALT_KOD]])+AVERAGEIFS(I:I,D:D,DST_123_ÜRETİM_İHTİYAÇ_RAPORU_BURAK_YENI1309[[#This Row],[ALT_KOD]])+AVERAGEIFS(L:L,D:D,DST_123_ÜRETİM_İHTİYAÇ_RAPORU_BURAK_YENI1309[[#This Row],[ALT_KOD]]))</f>
        <v>-37.599999999999994</v>
      </c>
      <c r="L4208">
        <v>0</v>
      </c>
      <c r="M4208">
        <f>IF((DST_123_ÜRETİM_İHTİYAÇ_RAPORU_BURAK_YENI1309[[#This Row],[SATINALMA]]*DST_123_ÜRETİM_İHTİYAÇ_RAPORU_BURAK_YENI1309[[#This Row],[BIRIM_FIYATLAR]])&lt;1,VALUE("0"),DST_123_ÜRETİM_İHTİYAÇ_RAPORU_BURAK_YENI1309[[#This Row],[SATINALMA]]*DST_123_ÜRETİM_İHTİYAÇ_RAPORU_BURAK_YENI1309[[#This Row],[BIRIM_FIYATLAR]])</f>
        <v>0</v>
      </c>
      <c r="N4208">
        <v>60</v>
      </c>
      <c r="O4208" t="s">
        <v>490</v>
      </c>
      <c r="P4208">
        <v>60</v>
      </c>
      <c r="Q4208" t="s">
        <v>180</v>
      </c>
    </row>
    <row r="4209" spans="1:17" x14ac:dyDescent="0.25">
      <c r="A4209" t="s">
        <v>1100</v>
      </c>
      <c r="B4209" t="s">
        <v>1058</v>
      </c>
      <c r="C4209" t="s">
        <v>175</v>
      </c>
      <c r="D4209" t="s">
        <v>241</v>
      </c>
      <c r="E4209" t="s">
        <v>242</v>
      </c>
      <c r="F4209">
        <v>1</v>
      </c>
      <c r="G4209" t="s">
        <v>176</v>
      </c>
      <c r="H4209">
        <v>1</v>
      </c>
      <c r="I4209">
        <v>49</v>
      </c>
      <c r="J4209" s="10">
        <v>1.6000000000000005</v>
      </c>
      <c r="K4209" s="10">
        <f>SUMIFS(F:F,D:D,DST_123_ÜRETİM_İHTİYAÇ_RAPORU_BURAK_YENI1309[[#This Row],[ALT_KOD]])-(SUMIFS(H:H,D:D,DST_123_ÜRETİM_İHTİYAÇ_RAPORU_BURAK_YENI1309[[#This Row],[ALT_KOD]])+AVERAGEIFS(I:I,D:D,DST_123_ÜRETİM_İHTİYAÇ_RAPORU_BURAK_YENI1309[[#This Row],[ALT_KOD]])+AVERAGEIFS(L:L,D:D,DST_123_ÜRETİM_İHTİYAÇ_RAPORU_BURAK_YENI1309[[#This Row],[ALT_KOD]]))</f>
        <v>-37.599999999999994</v>
      </c>
      <c r="L4209">
        <v>0</v>
      </c>
      <c r="M4209">
        <f>IF((DST_123_ÜRETİM_İHTİYAÇ_RAPORU_BURAK_YENI1309[[#This Row],[SATINALMA]]*DST_123_ÜRETİM_İHTİYAÇ_RAPORU_BURAK_YENI1309[[#This Row],[BIRIM_FIYATLAR]])&lt;1,VALUE("0"),DST_123_ÜRETİM_İHTİYAÇ_RAPORU_BURAK_YENI1309[[#This Row],[SATINALMA]]*DST_123_ÜRETİM_İHTİYAÇ_RAPORU_BURAK_YENI1309[[#This Row],[BIRIM_FIYATLAR]])</f>
        <v>0</v>
      </c>
      <c r="N4209">
        <v>60</v>
      </c>
      <c r="O4209" t="s">
        <v>490</v>
      </c>
      <c r="P4209">
        <v>60</v>
      </c>
      <c r="Q4209" t="s">
        <v>180</v>
      </c>
    </row>
    <row r="4210" spans="1:17" x14ac:dyDescent="0.25">
      <c r="A4210" t="s">
        <v>1148</v>
      </c>
      <c r="B4210" t="s">
        <v>1056</v>
      </c>
      <c r="C4210" t="s">
        <v>175</v>
      </c>
      <c r="D4210" t="s">
        <v>241</v>
      </c>
      <c r="E4210" t="s">
        <v>242</v>
      </c>
      <c r="F4210">
        <v>1.35</v>
      </c>
      <c r="G4210" t="s">
        <v>176</v>
      </c>
      <c r="H4210">
        <v>0</v>
      </c>
      <c r="I4210">
        <v>49</v>
      </c>
      <c r="J4210" s="10">
        <v>1.6000000000000005</v>
      </c>
      <c r="K4210" s="10">
        <f>SUMIFS(F:F,D:D,DST_123_ÜRETİM_İHTİYAÇ_RAPORU_BURAK_YENI1309[[#This Row],[ALT_KOD]])-(SUMIFS(H:H,D:D,DST_123_ÜRETİM_İHTİYAÇ_RAPORU_BURAK_YENI1309[[#This Row],[ALT_KOD]])+AVERAGEIFS(I:I,D:D,DST_123_ÜRETİM_İHTİYAÇ_RAPORU_BURAK_YENI1309[[#This Row],[ALT_KOD]])+AVERAGEIFS(L:L,D:D,DST_123_ÜRETİM_İHTİYAÇ_RAPORU_BURAK_YENI1309[[#This Row],[ALT_KOD]]))</f>
        <v>-37.599999999999994</v>
      </c>
      <c r="L4210">
        <v>0</v>
      </c>
      <c r="M4210">
        <f>IF((DST_123_ÜRETİM_İHTİYAÇ_RAPORU_BURAK_YENI1309[[#This Row],[SATINALMA]]*DST_123_ÜRETİM_İHTİYAÇ_RAPORU_BURAK_YENI1309[[#This Row],[BIRIM_FIYATLAR]])&lt;1,VALUE("0"),DST_123_ÜRETİM_İHTİYAÇ_RAPORU_BURAK_YENI1309[[#This Row],[SATINALMA]]*DST_123_ÜRETİM_İHTİYAÇ_RAPORU_BURAK_YENI1309[[#This Row],[BIRIM_FIYATLAR]])</f>
        <v>0</v>
      </c>
      <c r="N4210">
        <v>60</v>
      </c>
      <c r="O4210" t="s">
        <v>490</v>
      </c>
      <c r="P4210">
        <v>81</v>
      </c>
      <c r="Q4210" t="s">
        <v>180</v>
      </c>
    </row>
    <row r="4211" spans="1:17" x14ac:dyDescent="0.25">
      <c r="A4211" t="s">
        <v>1147</v>
      </c>
      <c r="B4211" t="s">
        <v>1145</v>
      </c>
      <c r="C4211" t="s">
        <v>175</v>
      </c>
      <c r="D4211" t="s">
        <v>134</v>
      </c>
      <c r="E4211" t="s">
        <v>135</v>
      </c>
      <c r="F4211">
        <v>9</v>
      </c>
      <c r="G4211" t="s">
        <v>179</v>
      </c>
      <c r="H4211">
        <v>0</v>
      </c>
      <c r="I4211">
        <v>60</v>
      </c>
      <c r="J4211" s="10">
        <v>52</v>
      </c>
      <c r="K4211" s="10">
        <f>SUMIFS(F:F,D:D,DST_123_ÜRETİM_İHTİYAÇ_RAPORU_BURAK_YENI1309[[#This Row],[ALT_KOD]])-(SUMIFS(H:H,D:D,DST_123_ÜRETİM_İHTİYAÇ_RAPORU_BURAK_YENI1309[[#This Row],[ALT_KOD]])+AVERAGEIFS(I:I,D:D,DST_123_ÜRETİM_İHTİYAÇ_RAPORU_BURAK_YENI1309[[#This Row],[ALT_KOD]])+AVERAGEIFS(L:L,D:D,DST_123_ÜRETİM_İHTİYAÇ_RAPORU_BURAK_YENI1309[[#This Row],[ALT_KOD]]))</f>
        <v>14.5</v>
      </c>
      <c r="L4211">
        <v>80</v>
      </c>
      <c r="M4211">
        <f>IF((DST_123_ÜRETİM_İHTİYAÇ_RAPORU_BURAK_YENI1309[[#This Row],[SATINALMA]]*DST_123_ÜRETİM_İHTİYAÇ_RAPORU_BURAK_YENI1309[[#This Row],[BIRIM_FIYATLAR]])&lt;1,VALUE("0"),DST_123_ÜRETİM_İHTİYAÇ_RAPORU_BURAK_YENI1309[[#This Row],[SATINALMA]]*DST_123_ÜRETİM_İHTİYAÇ_RAPORU_BURAK_YENI1309[[#This Row],[BIRIM_FIYATLAR]])</f>
        <v>710.5</v>
      </c>
      <c r="N4211">
        <v>49</v>
      </c>
      <c r="O4211" t="s">
        <v>672</v>
      </c>
      <c r="P4211">
        <v>441</v>
      </c>
      <c r="Q4211" t="s">
        <v>184</v>
      </c>
    </row>
    <row r="4212" spans="1:17" x14ac:dyDescent="0.25">
      <c r="A4212" t="s">
        <v>1147</v>
      </c>
      <c r="B4212" t="s">
        <v>1145</v>
      </c>
      <c r="C4212" t="s">
        <v>175</v>
      </c>
      <c r="D4212" t="s">
        <v>241</v>
      </c>
      <c r="E4212" t="s">
        <v>242</v>
      </c>
      <c r="F4212">
        <v>1</v>
      </c>
      <c r="G4212" t="s">
        <v>176</v>
      </c>
      <c r="H4212">
        <v>0</v>
      </c>
      <c r="I4212">
        <v>49</v>
      </c>
      <c r="J4212" s="10">
        <v>1.6000000000000005</v>
      </c>
      <c r="K4212" s="10">
        <f>SUMIFS(F:F,D:D,DST_123_ÜRETİM_İHTİYAÇ_RAPORU_BURAK_YENI1309[[#This Row],[ALT_KOD]])-(SUMIFS(H:H,D:D,DST_123_ÜRETİM_İHTİYAÇ_RAPORU_BURAK_YENI1309[[#This Row],[ALT_KOD]])+AVERAGEIFS(I:I,D:D,DST_123_ÜRETİM_İHTİYAÇ_RAPORU_BURAK_YENI1309[[#This Row],[ALT_KOD]])+AVERAGEIFS(L:L,D:D,DST_123_ÜRETİM_İHTİYAÇ_RAPORU_BURAK_YENI1309[[#This Row],[ALT_KOD]]))</f>
        <v>-37.599999999999994</v>
      </c>
      <c r="L4212">
        <v>0</v>
      </c>
      <c r="M4212">
        <f>IF((DST_123_ÜRETİM_İHTİYAÇ_RAPORU_BURAK_YENI1309[[#This Row],[SATINALMA]]*DST_123_ÜRETİM_İHTİYAÇ_RAPORU_BURAK_YENI1309[[#This Row],[BIRIM_FIYATLAR]])&lt;1,VALUE("0"),DST_123_ÜRETİM_İHTİYAÇ_RAPORU_BURAK_YENI1309[[#This Row],[SATINALMA]]*DST_123_ÜRETİM_İHTİYAÇ_RAPORU_BURAK_YENI1309[[#This Row],[BIRIM_FIYATLAR]])</f>
        <v>0</v>
      </c>
      <c r="N4212">
        <v>60</v>
      </c>
      <c r="O4212" t="s">
        <v>490</v>
      </c>
      <c r="P4212">
        <v>60</v>
      </c>
      <c r="Q4212" t="s">
        <v>180</v>
      </c>
    </row>
    <row r="4213" spans="1:17" x14ac:dyDescent="0.25">
      <c r="A4213" t="s">
        <v>1101</v>
      </c>
      <c r="B4213" t="s">
        <v>1102</v>
      </c>
      <c r="C4213" t="s">
        <v>175</v>
      </c>
      <c r="D4213" t="s">
        <v>157</v>
      </c>
      <c r="E4213" t="s">
        <v>158</v>
      </c>
      <c r="F4213">
        <v>1</v>
      </c>
      <c r="G4213" t="s">
        <v>176</v>
      </c>
      <c r="H4213">
        <v>0</v>
      </c>
      <c r="I4213">
        <v>4</v>
      </c>
      <c r="J4213" s="10">
        <v>22</v>
      </c>
      <c r="K4213" s="10">
        <f>SUMIFS(F:F,D:D,DST_123_ÜRETİM_İHTİYAÇ_RAPORU_BURAK_YENI1309[[#This Row],[ALT_KOD]])-(SUMIFS(H:H,D:D,DST_123_ÜRETİM_İHTİYAÇ_RAPORU_BURAK_YENI1309[[#This Row],[ALT_KOD]])+AVERAGEIFS(I:I,D:D,DST_123_ÜRETİM_İHTİYAÇ_RAPORU_BURAK_YENI1309[[#This Row],[ALT_KOD]])+AVERAGEIFS(L:L,D:D,DST_123_ÜRETİM_İHTİYAÇ_RAPORU_BURAK_YENI1309[[#This Row],[ALT_KOD]]))</f>
        <v>-5</v>
      </c>
      <c r="L4213">
        <v>20</v>
      </c>
      <c r="M4213">
        <f>IF((DST_123_ÜRETİM_İHTİYAÇ_RAPORU_BURAK_YENI1309[[#This Row],[SATINALMA]]*DST_123_ÜRETİM_İHTİYAÇ_RAPORU_BURAK_YENI1309[[#This Row],[BIRIM_FIYATLAR]])&lt;1,VALUE("0"),DST_123_ÜRETİM_İHTİYAÇ_RAPORU_BURAK_YENI1309[[#This Row],[SATINALMA]]*DST_123_ÜRETİM_İHTİYAÇ_RAPORU_BURAK_YENI1309[[#This Row],[BIRIM_FIYATLAR]])</f>
        <v>0</v>
      </c>
      <c r="N4213">
        <v>65</v>
      </c>
      <c r="O4213" t="s">
        <v>761</v>
      </c>
      <c r="P4213">
        <v>65</v>
      </c>
      <c r="Q4213" t="s">
        <v>178</v>
      </c>
    </row>
    <row r="4214" spans="1:17" x14ac:dyDescent="0.25">
      <c r="A4214" t="s">
        <v>1098</v>
      </c>
      <c r="B4214" t="s">
        <v>1096</v>
      </c>
      <c r="C4214" t="s">
        <v>175</v>
      </c>
      <c r="D4214" t="s">
        <v>445</v>
      </c>
      <c r="E4214" t="s">
        <v>629</v>
      </c>
      <c r="F4214">
        <v>2</v>
      </c>
      <c r="G4214" t="s">
        <v>176</v>
      </c>
      <c r="H4214">
        <v>0</v>
      </c>
      <c r="I4214">
        <v>109</v>
      </c>
      <c r="J4214" s="10">
        <v>34</v>
      </c>
      <c r="K4214" s="10">
        <f>SUMIFS(F:F,D:D,DST_123_ÜRETİM_İHTİYAÇ_RAPORU_BURAK_YENI1309[[#This Row],[ALT_KOD]])-(SUMIFS(H:H,D:D,DST_123_ÜRETİM_İHTİYAÇ_RAPORU_BURAK_YENI1309[[#This Row],[ALT_KOD]])+AVERAGEIFS(I:I,D:D,DST_123_ÜRETİM_İHTİYAÇ_RAPORU_BURAK_YENI1309[[#This Row],[ALT_KOD]])+AVERAGEIFS(L:L,D:D,DST_123_ÜRETİM_İHTİYAÇ_RAPORU_BURAK_YENI1309[[#This Row],[ALT_KOD]]))</f>
        <v>-71</v>
      </c>
      <c r="L4214">
        <v>0</v>
      </c>
      <c r="M4214">
        <f>IF((DST_123_ÜRETİM_İHTİYAÇ_RAPORU_BURAK_YENI1309[[#This Row],[SATINALMA]]*DST_123_ÜRETİM_İHTİYAÇ_RAPORU_BURAK_YENI1309[[#This Row],[BIRIM_FIYATLAR]])&lt;1,VALUE("0"),DST_123_ÜRETİM_İHTİYAÇ_RAPORU_BURAK_YENI1309[[#This Row],[SATINALMA]]*DST_123_ÜRETİM_İHTİYAÇ_RAPORU_BURAK_YENI1309[[#This Row],[BIRIM_FIYATLAR]])</f>
        <v>0</v>
      </c>
      <c r="N4214">
        <v>250</v>
      </c>
      <c r="O4214" t="s">
        <v>628</v>
      </c>
      <c r="P4214">
        <v>500</v>
      </c>
      <c r="Q4214" t="s">
        <v>180</v>
      </c>
    </row>
    <row r="4215" spans="1:17" x14ac:dyDescent="0.25">
      <c r="A4215" t="s">
        <v>1095</v>
      </c>
      <c r="B4215" t="s">
        <v>1096</v>
      </c>
      <c r="C4215" t="s">
        <v>175</v>
      </c>
      <c r="D4215" t="s">
        <v>844</v>
      </c>
      <c r="E4215" t="s">
        <v>845</v>
      </c>
      <c r="F4215">
        <v>4</v>
      </c>
      <c r="G4215" t="s">
        <v>176</v>
      </c>
      <c r="H4215">
        <v>0</v>
      </c>
      <c r="I4215">
        <v>36</v>
      </c>
      <c r="J4215" s="10">
        <v>26</v>
      </c>
      <c r="K4215" s="10">
        <f>SUMIFS(F:F,D:D,DST_123_ÜRETİM_İHTİYAÇ_RAPORU_BURAK_YENI1309[[#This Row],[ALT_KOD]])-(SUMIFS(H:H,D:D,DST_123_ÜRETİM_İHTİYAÇ_RAPORU_BURAK_YENI1309[[#This Row],[ALT_KOD]])+AVERAGEIFS(I:I,D:D,DST_123_ÜRETİM_İHTİYAÇ_RAPORU_BURAK_YENI1309[[#This Row],[ALT_KOD]])+AVERAGEIFS(L:L,D:D,DST_123_ÜRETİM_İHTİYAÇ_RAPORU_BURAK_YENI1309[[#This Row],[ALT_KOD]]))</f>
        <v>1</v>
      </c>
      <c r="L4215">
        <v>0</v>
      </c>
      <c r="M4215">
        <f>IF((DST_123_ÜRETİM_İHTİYAÇ_RAPORU_BURAK_YENI1309[[#This Row],[SATINALMA]]*DST_123_ÜRETİM_İHTİYAÇ_RAPORU_BURAK_YENI1309[[#This Row],[BIRIM_FIYATLAR]])&lt;1,VALUE("0"),DST_123_ÜRETİM_İHTİYAÇ_RAPORU_BURAK_YENI1309[[#This Row],[SATINALMA]]*DST_123_ÜRETİM_İHTİYAÇ_RAPORU_BURAK_YENI1309[[#This Row],[BIRIM_FIYATLAR]])</f>
        <v>348.7</v>
      </c>
      <c r="N4215">
        <v>348.7</v>
      </c>
      <c r="O4215" t="s">
        <v>636</v>
      </c>
      <c r="P4215">
        <v>1394.8</v>
      </c>
      <c r="Q4215" t="s">
        <v>177</v>
      </c>
    </row>
    <row r="4216" spans="1:17" x14ac:dyDescent="0.25">
      <c r="A4216" t="s">
        <v>1149</v>
      </c>
      <c r="B4216" t="s">
        <v>1145</v>
      </c>
      <c r="C4216" t="s">
        <v>175</v>
      </c>
      <c r="D4216" t="s">
        <v>134</v>
      </c>
      <c r="E4216" t="s">
        <v>135</v>
      </c>
      <c r="F4216">
        <v>9</v>
      </c>
      <c r="G4216" t="s">
        <v>179</v>
      </c>
      <c r="H4216">
        <v>0</v>
      </c>
      <c r="I4216">
        <v>60</v>
      </c>
      <c r="J4216" s="10">
        <v>52</v>
      </c>
      <c r="K4216" s="10">
        <f>SUMIFS(F:F,D:D,DST_123_ÜRETİM_İHTİYAÇ_RAPORU_BURAK_YENI1309[[#This Row],[ALT_KOD]])-(SUMIFS(H:H,D:D,DST_123_ÜRETİM_İHTİYAÇ_RAPORU_BURAK_YENI1309[[#This Row],[ALT_KOD]])+AVERAGEIFS(I:I,D:D,DST_123_ÜRETİM_İHTİYAÇ_RAPORU_BURAK_YENI1309[[#This Row],[ALT_KOD]])+AVERAGEIFS(L:L,D:D,DST_123_ÜRETİM_İHTİYAÇ_RAPORU_BURAK_YENI1309[[#This Row],[ALT_KOD]]))</f>
        <v>14.5</v>
      </c>
      <c r="L4216">
        <v>80</v>
      </c>
      <c r="M4216">
        <f>IF((DST_123_ÜRETİM_İHTİYAÇ_RAPORU_BURAK_YENI1309[[#This Row],[SATINALMA]]*DST_123_ÜRETİM_İHTİYAÇ_RAPORU_BURAK_YENI1309[[#This Row],[BIRIM_FIYATLAR]])&lt;1,VALUE("0"),DST_123_ÜRETİM_İHTİYAÇ_RAPORU_BURAK_YENI1309[[#This Row],[SATINALMA]]*DST_123_ÜRETİM_İHTİYAÇ_RAPORU_BURAK_YENI1309[[#This Row],[BIRIM_FIYATLAR]])</f>
        <v>710.5</v>
      </c>
      <c r="N4216">
        <v>49</v>
      </c>
      <c r="O4216" t="s">
        <v>672</v>
      </c>
      <c r="P4216">
        <v>441</v>
      </c>
      <c r="Q4216" t="s">
        <v>184</v>
      </c>
    </row>
    <row r="4217" spans="1:17" x14ac:dyDescent="0.25">
      <c r="A4217" t="s">
        <v>1149</v>
      </c>
      <c r="B4217" t="s">
        <v>1145</v>
      </c>
      <c r="C4217" t="s">
        <v>175</v>
      </c>
      <c r="D4217" t="s">
        <v>241</v>
      </c>
      <c r="E4217" t="s">
        <v>242</v>
      </c>
      <c r="F4217">
        <v>1</v>
      </c>
      <c r="G4217" t="s">
        <v>176</v>
      </c>
      <c r="H4217">
        <v>0</v>
      </c>
      <c r="I4217">
        <v>49</v>
      </c>
      <c r="J4217" s="10">
        <v>1.6000000000000005</v>
      </c>
      <c r="K4217" s="10">
        <f>SUMIFS(F:F,D:D,DST_123_ÜRETİM_İHTİYAÇ_RAPORU_BURAK_YENI1309[[#This Row],[ALT_KOD]])-(SUMIFS(H:H,D:D,DST_123_ÜRETİM_İHTİYAÇ_RAPORU_BURAK_YENI1309[[#This Row],[ALT_KOD]])+AVERAGEIFS(I:I,D:D,DST_123_ÜRETİM_İHTİYAÇ_RAPORU_BURAK_YENI1309[[#This Row],[ALT_KOD]])+AVERAGEIFS(L:L,D:D,DST_123_ÜRETİM_İHTİYAÇ_RAPORU_BURAK_YENI1309[[#This Row],[ALT_KOD]]))</f>
        <v>-37.599999999999994</v>
      </c>
      <c r="L4217">
        <v>0</v>
      </c>
      <c r="M4217">
        <f>IF((DST_123_ÜRETİM_İHTİYAÇ_RAPORU_BURAK_YENI1309[[#This Row],[SATINALMA]]*DST_123_ÜRETİM_İHTİYAÇ_RAPORU_BURAK_YENI1309[[#This Row],[BIRIM_FIYATLAR]])&lt;1,VALUE("0"),DST_123_ÜRETİM_İHTİYAÇ_RAPORU_BURAK_YENI1309[[#This Row],[SATINALMA]]*DST_123_ÜRETİM_İHTİYAÇ_RAPORU_BURAK_YENI1309[[#This Row],[BIRIM_FIYATLAR]])</f>
        <v>0</v>
      </c>
      <c r="N4217">
        <v>60</v>
      </c>
      <c r="O4217" t="s">
        <v>490</v>
      </c>
      <c r="P4217">
        <v>60</v>
      </c>
      <c r="Q4217" t="s">
        <v>180</v>
      </c>
    </row>
    <row r="4218" spans="1:17" x14ac:dyDescent="0.25">
      <c r="A4218" t="s">
        <v>1150</v>
      </c>
      <c r="B4218" t="s">
        <v>1145</v>
      </c>
      <c r="C4218" t="s">
        <v>175</v>
      </c>
      <c r="D4218" t="s">
        <v>277</v>
      </c>
      <c r="E4218" t="s">
        <v>316</v>
      </c>
      <c r="F4218">
        <v>1</v>
      </c>
      <c r="G4218" t="s">
        <v>176</v>
      </c>
      <c r="H4218">
        <v>1</v>
      </c>
      <c r="I4218">
        <v>27</v>
      </c>
      <c r="J4218" s="10">
        <v>4</v>
      </c>
      <c r="K4218" s="10">
        <f>SUMIFS(F:F,D:D,DST_123_ÜRETİM_İHTİYAÇ_RAPORU_BURAK_YENI1309[[#This Row],[ALT_KOD]])-(SUMIFS(H:H,D:D,DST_123_ÜRETİM_İHTİYAÇ_RAPORU_BURAK_YENI1309[[#This Row],[ALT_KOD]])+AVERAGEIFS(I:I,D:D,DST_123_ÜRETİM_İHTİYAÇ_RAPORU_BURAK_YENI1309[[#This Row],[ALT_KOD]])+AVERAGEIFS(L:L,D:D,DST_123_ÜRETİM_İHTİYAÇ_RAPORU_BURAK_YENI1309[[#This Row],[ALT_KOD]]))</f>
        <v>-20</v>
      </c>
      <c r="L4218">
        <v>0</v>
      </c>
      <c r="M4218">
        <f>IF((DST_123_ÜRETİM_İHTİYAÇ_RAPORU_BURAK_YENI1309[[#This Row],[SATINALMA]]*DST_123_ÜRETİM_İHTİYAÇ_RAPORU_BURAK_YENI1309[[#This Row],[BIRIM_FIYATLAR]])&lt;1,VALUE("0"),DST_123_ÜRETİM_İHTİYAÇ_RAPORU_BURAK_YENI1309[[#This Row],[SATINALMA]]*DST_123_ÜRETİM_İHTİYAÇ_RAPORU_BURAK_YENI1309[[#This Row],[BIRIM_FIYATLAR]])</f>
        <v>0</v>
      </c>
      <c r="N4218">
        <v>287.13</v>
      </c>
      <c r="O4218" t="s">
        <v>636</v>
      </c>
      <c r="P4218">
        <v>287.13</v>
      </c>
      <c r="Q4218" t="s">
        <v>178</v>
      </c>
    </row>
    <row r="4219" spans="1:17" x14ac:dyDescent="0.25">
      <c r="A4219" t="s">
        <v>1147</v>
      </c>
      <c r="B4219" t="s">
        <v>1145</v>
      </c>
      <c r="C4219" t="s">
        <v>175</v>
      </c>
      <c r="D4219" t="s">
        <v>157</v>
      </c>
      <c r="E4219" t="s">
        <v>158</v>
      </c>
      <c r="F4219">
        <v>1</v>
      </c>
      <c r="G4219" t="s">
        <v>176</v>
      </c>
      <c r="H4219">
        <v>0</v>
      </c>
      <c r="I4219">
        <v>4</v>
      </c>
      <c r="J4219" s="10">
        <v>22</v>
      </c>
      <c r="K4219" s="10">
        <f>SUMIFS(F:F,D:D,DST_123_ÜRETİM_İHTİYAÇ_RAPORU_BURAK_YENI1309[[#This Row],[ALT_KOD]])-(SUMIFS(H:H,D:D,DST_123_ÜRETİM_İHTİYAÇ_RAPORU_BURAK_YENI1309[[#This Row],[ALT_KOD]])+AVERAGEIFS(I:I,D:D,DST_123_ÜRETİM_İHTİYAÇ_RAPORU_BURAK_YENI1309[[#This Row],[ALT_KOD]])+AVERAGEIFS(L:L,D:D,DST_123_ÜRETİM_İHTİYAÇ_RAPORU_BURAK_YENI1309[[#This Row],[ALT_KOD]]))</f>
        <v>-5</v>
      </c>
      <c r="L4219">
        <v>20</v>
      </c>
      <c r="M4219">
        <f>IF((DST_123_ÜRETİM_İHTİYAÇ_RAPORU_BURAK_YENI1309[[#This Row],[SATINALMA]]*DST_123_ÜRETİM_İHTİYAÇ_RAPORU_BURAK_YENI1309[[#This Row],[BIRIM_FIYATLAR]])&lt;1,VALUE("0"),DST_123_ÜRETİM_İHTİYAÇ_RAPORU_BURAK_YENI1309[[#This Row],[SATINALMA]]*DST_123_ÜRETİM_İHTİYAÇ_RAPORU_BURAK_YENI1309[[#This Row],[BIRIM_FIYATLAR]])</f>
        <v>0</v>
      </c>
      <c r="N4219">
        <v>65</v>
      </c>
      <c r="O4219" t="s">
        <v>761</v>
      </c>
      <c r="P4219">
        <v>65</v>
      </c>
      <c r="Q4219" t="s">
        <v>178</v>
      </c>
    </row>
    <row r="4220" spans="1:17" x14ac:dyDescent="0.25">
      <c r="A4220" t="s">
        <v>1148</v>
      </c>
      <c r="B4220" t="s">
        <v>1056</v>
      </c>
      <c r="C4220" t="s">
        <v>175</v>
      </c>
      <c r="D4220" t="s">
        <v>157</v>
      </c>
      <c r="E4220" t="s">
        <v>158</v>
      </c>
      <c r="F4220">
        <v>1</v>
      </c>
      <c r="G4220" t="s">
        <v>176</v>
      </c>
      <c r="H4220">
        <v>0</v>
      </c>
      <c r="I4220">
        <v>4</v>
      </c>
      <c r="J4220" s="10">
        <v>22</v>
      </c>
      <c r="K4220" s="10">
        <f>SUMIFS(F:F,D:D,DST_123_ÜRETİM_İHTİYAÇ_RAPORU_BURAK_YENI1309[[#This Row],[ALT_KOD]])-(SUMIFS(H:H,D:D,DST_123_ÜRETİM_İHTİYAÇ_RAPORU_BURAK_YENI1309[[#This Row],[ALT_KOD]])+AVERAGEIFS(I:I,D:D,DST_123_ÜRETİM_İHTİYAÇ_RAPORU_BURAK_YENI1309[[#This Row],[ALT_KOD]])+AVERAGEIFS(L:L,D:D,DST_123_ÜRETİM_İHTİYAÇ_RAPORU_BURAK_YENI1309[[#This Row],[ALT_KOD]]))</f>
        <v>-5</v>
      </c>
      <c r="L4220">
        <v>20</v>
      </c>
      <c r="M4220">
        <f>IF((DST_123_ÜRETİM_İHTİYAÇ_RAPORU_BURAK_YENI1309[[#This Row],[SATINALMA]]*DST_123_ÜRETİM_İHTİYAÇ_RAPORU_BURAK_YENI1309[[#This Row],[BIRIM_FIYATLAR]])&lt;1,VALUE("0"),DST_123_ÜRETİM_İHTİYAÇ_RAPORU_BURAK_YENI1309[[#This Row],[SATINALMA]]*DST_123_ÜRETİM_İHTİYAÇ_RAPORU_BURAK_YENI1309[[#This Row],[BIRIM_FIYATLAR]])</f>
        <v>0</v>
      </c>
      <c r="N4220">
        <v>65</v>
      </c>
      <c r="O4220" t="s">
        <v>761</v>
      </c>
      <c r="P4220">
        <v>65</v>
      </c>
      <c r="Q4220" t="s">
        <v>178</v>
      </c>
    </row>
    <row r="4221" spans="1:17" x14ac:dyDescent="0.25">
      <c r="A4221" t="s">
        <v>1148</v>
      </c>
      <c r="B4221" t="s">
        <v>1056</v>
      </c>
      <c r="C4221" t="s">
        <v>175</v>
      </c>
      <c r="D4221" t="s">
        <v>293</v>
      </c>
      <c r="E4221" t="s">
        <v>323</v>
      </c>
      <c r="F4221">
        <v>0.09</v>
      </c>
      <c r="G4221" t="s">
        <v>185</v>
      </c>
      <c r="H4221">
        <v>0</v>
      </c>
      <c r="I4221">
        <v>2.5</v>
      </c>
      <c r="J4221" s="10">
        <v>-4.9960036108132044E-16</v>
      </c>
      <c r="K4221" s="10">
        <f>SUMIFS(F:F,D:D,DST_123_ÜRETİM_İHTİYAÇ_RAPORU_BURAK_YENI1309[[#This Row],[ALT_KOD]])-(SUMIFS(H:H,D:D,DST_123_ÜRETİM_İHTİYAÇ_RAPORU_BURAK_YENI1309[[#This Row],[ALT_KOD]])+AVERAGEIFS(I:I,D:D,DST_123_ÜRETİM_İHTİYAÇ_RAPORU_BURAK_YENI1309[[#This Row],[ALT_KOD]])+AVERAGEIFS(L:L,D:D,DST_123_ÜRETİM_İHTİYAÇ_RAPORU_BURAK_YENI1309[[#This Row],[ALT_KOD]]))</f>
        <v>-0.61999999999999922</v>
      </c>
      <c r="L4221">
        <v>0</v>
      </c>
      <c r="M4221">
        <f>IF((DST_123_ÜRETİM_İHTİYAÇ_RAPORU_BURAK_YENI1309[[#This Row],[SATINALMA]]*DST_123_ÜRETİM_İHTİYAÇ_RAPORU_BURAK_YENI1309[[#This Row],[BIRIM_FIYATLAR]])&lt;1,VALUE("0"),DST_123_ÜRETİM_İHTİYAÇ_RAPORU_BURAK_YENI1309[[#This Row],[SATINALMA]]*DST_123_ÜRETİM_İHTİYAÇ_RAPORU_BURAK_YENI1309[[#This Row],[BIRIM_FIYATLAR]])</f>
        <v>0</v>
      </c>
      <c r="N4221">
        <v>2400</v>
      </c>
      <c r="O4221" t="s">
        <v>220</v>
      </c>
      <c r="P4221">
        <v>216</v>
      </c>
      <c r="Q4221" t="s">
        <v>180</v>
      </c>
    </row>
    <row r="4222" spans="1:17" x14ac:dyDescent="0.25">
      <c r="A4222" t="s">
        <v>1059</v>
      </c>
      <c r="B4222" t="s">
        <v>1058</v>
      </c>
      <c r="C4222" t="s">
        <v>175</v>
      </c>
      <c r="D4222" t="s">
        <v>1017</v>
      </c>
      <c r="E4222" t="s">
        <v>1018</v>
      </c>
      <c r="F4222">
        <v>0.9</v>
      </c>
      <c r="G4222" t="s">
        <v>179</v>
      </c>
      <c r="H4222">
        <v>0</v>
      </c>
      <c r="I4222">
        <v>0</v>
      </c>
      <c r="J4222" s="10">
        <v>23.200000000000003</v>
      </c>
      <c r="K4222" s="10">
        <f>SUMIFS(F:F,D:D,DST_123_ÜRETİM_İHTİYAÇ_RAPORU_BURAK_YENI1309[[#This Row],[ALT_KOD]])-(SUMIFS(H:H,D:D,DST_123_ÜRETİM_İHTİYAÇ_RAPORU_BURAK_YENI1309[[#This Row],[ALT_KOD]])+AVERAGEIFS(I:I,D:D,DST_123_ÜRETİM_İHTİYAÇ_RAPORU_BURAK_YENI1309[[#This Row],[ALT_KOD]])+AVERAGEIFS(L:L,D:D,DST_123_ÜRETİM_İHTİYAÇ_RAPORU_BURAK_YENI1309[[#This Row],[ALT_KOD]]))</f>
        <v>1.8</v>
      </c>
      <c r="L4222">
        <v>0</v>
      </c>
      <c r="M4222">
        <f>IF((DST_123_ÜRETİM_İHTİYAÇ_RAPORU_BURAK_YENI1309[[#This Row],[SATINALMA]]*DST_123_ÜRETİM_İHTİYAÇ_RAPORU_BURAK_YENI1309[[#This Row],[BIRIM_FIYATLAR]])&lt;1,VALUE("0"),DST_123_ÜRETİM_İHTİYAÇ_RAPORU_BURAK_YENI1309[[#This Row],[SATINALMA]]*DST_123_ÜRETİM_İHTİYAÇ_RAPORU_BURAK_YENI1309[[#This Row],[BIRIM_FIYATLAR]])</f>
        <v>360</v>
      </c>
      <c r="N4222">
        <v>200</v>
      </c>
      <c r="O4222" t="s">
        <v>1019</v>
      </c>
      <c r="P4222">
        <v>180</v>
      </c>
      <c r="Q4222" t="s">
        <v>177</v>
      </c>
    </row>
    <row r="4223" spans="1:17" x14ac:dyDescent="0.25">
      <c r="A4223" t="s">
        <v>1095</v>
      </c>
      <c r="B4223" t="s">
        <v>1096</v>
      </c>
      <c r="C4223" t="s">
        <v>175</v>
      </c>
      <c r="D4223" t="s">
        <v>451</v>
      </c>
      <c r="E4223" t="s">
        <v>452</v>
      </c>
      <c r="F4223">
        <v>1</v>
      </c>
      <c r="G4223" t="s">
        <v>176</v>
      </c>
      <c r="H4223">
        <v>0</v>
      </c>
      <c r="I4223">
        <v>4</v>
      </c>
      <c r="J4223" s="10">
        <v>9</v>
      </c>
      <c r="K4223" s="10">
        <f>SUMIFS(F:F,D:D,DST_123_ÜRETİM_İHTİYAÇ_RAPORU_BURAK_YENI1309[[#This Row],[ALT_KOD]])-(SUMIFS(H:H,D:D,DST_123_ÜRETİM_İHTİYAÇ_RAPORU_BURAK_YENI1309[[#This Row],[ALT_KOD]])+AVERAGEIFS(I:I,D:D,DST_123_ÜRETİM_İHTİYAÇ_RAPORU_BURAK_YENI1309[[#This Row],[ALT_KOD]])+AVERAGEIFS(L:L,D:D,DST_123_ÜRETİM_İHTİYAÇ_RAPORU_BURAK_YENI1309[[#This Row],[ALT_KOD]]))</f>
        <v>1</v>
      </c>
      <c r="L4223">
        <v>6</v>
      </c>
      <c r="M4223">
        <f>IF((DST_123_ÜRETİM_İHTİYAÇ_RAPORU_BURAK_YENI1309[[#This Row],[SATINALMA]]*DST_123_ÜRETİM_İHTİYAÇ_RAPORU_BURAK_YENI1309[[#This Row],[BIRIM_FIYATLAR]])&lt;1,VALUE("0"),DST_123_ÜRETİM_İHTİYAÇ_RAPORU_BURAK_YENI1309[[#This Row],[SATINALMA]]*DST_123_ÜRETİM_İHTİYAÇ_RAPORU_BURAK_YENI1309[[#This Row],[BIRIM_FIYATLAR]])</f>
        <v>1600</v>
      </c>
      <c r="N4223">
        <v>1600</v>
      </c>
      <c r="O4223" t="s">
        <v>240</v>
      </c>
      <c r="P4223">
        <v>1600</v>
      </c>
      <c r="Q4223" t="s">
        <v>178</v>
      </c>
    </row>
    <row r="4224" spans="1:17" x14ac:dyDescent="0.25">
      <c r="A4224" t="s">
        <v>1143</v>
      </c>
      <c r="B4224" t="s">
        <v>1056</v>
      </c>
      <c r="C4224" t="s">
        <v>175</v>
      </c>
      <c r="D4224" t="s">
        <v>590</v>
      </c>
      <c r="E4224" t="s">
        <v>591</v>
      </c>
      <c r="F4224">
        <v>1</v>
      </c>
      <c r="G4224" t="s">
        <v>176</v>
      </c>
      <c r="H4224">
        <v>0</v>
      </c>
      <c r="I4224">
        <v>4</v>
      </c>
      <c r="J4224" s="10">
        <v>10</v>
      </c>
      <c r="K4224" s="10">
        <f>SUMIFS(F:F,D:D,DST_123_ÜRETİM_İHTİYAÇ_RAPORU_BURAK_YENI1309[[#This Row],[ALT_KOD]])-(SUMIFS(H:H,D:D,DST_123_ÜRETİM_İHTİYAÇ_RAPORU_BURAK_YENI1309[[#This Row],[ALT_KOD]])+AVERAGEIFS(I:I,D:D,DST_123_ÜRETİM_İHTİYAÇ_RAPORU_BURAK_YENI1309[[#This Row],[ALT_KOD]])+AVERAGEIFS(L:L,D:D,DST_123_ÜRETİM_İHTİYAÇ_RAPORU_BURAK_YENI1309[[#This Row],[ALT_KOD]]))</f>
        <v>-3</v>
      </c>
      <c r="L4224">
        <v>10</v>
      </c>
      <c r="M4224">
        <f>IF((DST_123_ÜRETİM_İHTİYAÇ_RAPORU_BURAK_YENI1309[[#This Row],[SATINALMA]]*DST_123_ÜRETİM_İHTİYAÇ_RAPORU_BURAK_YENI1309[[#This Row],[BIRIM_FIYATLAR]])&lt;1,VALUE("0"),DST_123_ÜRETİM_İHTİYAÇ_RAPORU_BURAK_YENI1309[[#This Row],[SATINALMA]]*DST_123_ÜRETİM_İHTİYAÇ_RAPORU_BURAK_YENI1309[[#This Row],[BIRIM_FIYATLAR]])</f>
        <v>0</v>
      </c>
      <c r="N4224">
        <v>583.77</v>
      </c>
      <c r="O4224" t="s">
        <v>592</v>
      </c>
      <c r="P4224">
        <v>583.77</v>
      </c>
      <c r="Q4224" t="s">
        <v>180</v>
      </c>
    </row>
    <row r="4225" spans="1:17" x14ac:dyDescent="0.25">
      <c r="A4225" t="s">
        <v>1095</v>
      </c>
      <c r="B4225" t="s">
        <v>1096</v>
      </c>
      <c r="C4225" t="s">
        <v>175</v>
      </c>
      <c r="D4225" t="s">
        <v>590</v>
      </c>
      <c r="E4225" t="s">
        <v>591</v>
      </c>
      <c r="F4225">
        <v>1</v>
      </c>
      <c r="G4225" t="s">
        <v>176</v>
      </c>
      <c r="H4225">
        <v>0</v>
      </c>
      <c r="I4225">
        <v>4</v>
      </c>
      <c r="J4225" s="10">
        <v>10</v>
      </c>
      <c r="K4225" s="10">
        <f>SUMIFS(F:F,D:D,DST_123_ÜRETİM_İHTİYAÇ_RAPORU_BURAK_YENI1309[[#This Row],[ALT_KOD]])-(SUMIFS(H:H,D:D,DST_123_ÜRETİM_İHTİYAÇ_RAPORU_BURAK_YENI1309[[#This Row],[ALT_KOD]])+AVERAGEIFS(I:I,D:D,DST_123_ÜRETİM_İHTİYAÇ_RAPORU_BURAK_YENI1309[[#This Row],[ALT_KOD]])+AVERAGEIFS(L:L,D:D,DST_123_ÜRETİM_İHTİYAÇ_RAPORU_BURAK_YENI1309[[#This Row],[ALT_KOD]]))</f>
        <v>-3</v>
      </c>
      <c r="L4225">
        <v>10</v>
      </c>
      <c r="M4225">
        <f>IF((DST_123_ÜRETİM_İHTİYAÇ_RAPORU_BURAK_YENI1309[[#This Row],[SATINALMA]]*DST_123_ÜRETİM_İHTİYAÇ_RAPORU_BURAK_YENI1309[[#This Row],[BIRIM_FIYATLAR]])&lt;1,VALUE("0"),DST_123_ÜRETİM_İHTİYAÇ_RAPORU_BURAK_YENI1309[[#This Row],[SATINALMA]]*DST_123_ÜRETİM_İHTİYAÇ_RAPORU_BURAK_YENI1309[[#This Row],[BIRIM_FIYATLAR]])</f>
        <v>0</v>
      </c>
      <c r="N4225">
        <v>583.77</v>
      </c>
      <c r="O4225" t="s">
        <v>592</v>
      </c>
      <c r="P4225">
        <v>583.77</v>
      </c>
      <c r="Q4225" t="s">
        <v>180</v>
      </c>
    </row>
    <row r="4226" spans="1:17" x14ac:dyDescent="0.25">
      <c r="A4226" t="s">
        <v>1059</v>
      </c>
      <c r="B4226" t="s">
        <v>1058</v>
      </c>
      <c r="C4226" t="s">
        <v>175</v>
      </c>
      <c r="D4226" t="s">
        <v>655</v>
      </c>
      <c r="E4226" t="s">
        <v>656</v>
      </c>
      <c r="F4226">
        <v>2</v>
      </c>
      <c r="G4226" t="s">
        <v>176</v>
      </c>
      <c r="H4226">
        <v>0</v>
      </c>
      <c r="I4226">
        <v>216</v>
      </c>
      <c r="J4226" s="10">
        <v>118</v>
      </c>
      <c r="K4226" s="10">
        <f>SUMIFS(F:F,D:D,DST_123_ÜRETİM_İHTİYAÇ_RAPORU_BURAK_YENI1309[[#This Row],[ALT_KOD]])-(SUMIFS(H:H,D:D,DST_123_ÜRETİM_İHTİYAÇ_RAPORU_BURAK_YENI1309[[#This Row],[ALT_KOD]])+AVERAGEIFS(I:I,D:D,DST_123_ÜRETİM_İHTİYAÇ_RAPORU_BURAK_YENI1309[[#This Row],[ALT_KOD]])+AVERAGEIFS(L:L,D:D,DST_123_ÜRETİM_İHTİYAÇ_RAPORU_BURAK_YENI1309[[#This Row],[ALT_KOD]]))</f>
        <v>-190</v>
      </c>
      <c r="L4226">
        <v>0</v>
      </c>
      <c r="M4226">
        <f>IF((DST_123_ÜRETİM_İHTİYAÇ_RAPORU_BURAK_YENI1309[[#This Row],[SATINALMA]]*DST_123_ÜRETİM_İHTİYAÇ_RAPORU_BURAK_YENI1309[[#This Row],[BIRIM_FIYATLAR]])&lt;1,VALUE("0"),DST_123_ÜRETİM_İHTİYAÇ_RAPORU_BURAK_YENI1309[[#This Row],[SATINALMA]]*DST_123_ÜRETİM_İHTİYAÇ_RAPORU_BURAK_YENI1309[[#This Row],[BIRIM_FIYATLAR]])</f>
        <v>0</v>
      </c>
      <c r="N4226">
        <v>3.95</v>
      </c>
      <c r="O4226" t="s">
        <v>220</v>
      </c>
      <c r="P4226">
        <v>7.9</v>
      </c>
      <c r="Q4226" t="s">
        <v>221</v>
      </c>
    </row>
    <row r="4227" spans="1:17" x14ac:dyDescent="0.25">
      <c r="A4227" t="s">
        <v>1143</v>
      </c>
      <c r="B4227" t="s">
        <v>1056</v>
      </c>
      <c r="C4227" t="s">
        <v>175</v>
      </c>
      <c r="D4227" t="s">
        <v>655</v>
      </c>
      <c r="E4227" t="s">
        <v>656</v>
      </c>
      <c r="F4227">
        <v>2</v>
      </c>
      <c r="G4227" t="s">
        <v>176</v>
      </c>
      <c r="H4227">
        <v>0</v>
      </c>
      <c r="I4227">
        <v>216</v>
      </c>
      <c r="J4227" s="10">
        <v>118</v>
      </c>
      <c r="K4227" s="10">
        <f>SUMIFS(F:F,D:D,DST_123_ÜRETİM_İHTİYAÇ_RAPORU_BURAK_YENI1309[[#This Row],[ALT_KOD]])-(SUMIFS(H:H,D:D,DST_123_ÜRETİM_İHTİYAÇ_RAPORU_BURAK_YENI1309[[#This Row],[ALT_KOD]])+AVERAGEIFS(I:I,D:D,DST_123_ÜRETİM_İHTİYAÇ_RAPORU_BURAK_YENI1309[[#This Row],[ALT_KOD]])+AVERAGEIFS(L:L,D:D,DST_123_ÜRETİM_İHTİYAÇ_RAPORU_BURAK_YENI1309[[#This Row],[ALT_KOD]]))</f>
        <v>-190</v>
      </c>
      <c r="L4227">
        <v>0</v>
      </c>
      <c r="M4227">
        <f>IF((DST_123_ÜRETİM_İHTİYAÇ_RAPORU_BURAK_YENI1309[[#This Row],[SATINALMA]]*DST_123_ÜRETİM_İHTİYAÇ_RAPORU_BURAK_YENI1309[[#This Row],[BIRIM_FIYATLAR]])&lt;1,VALUE("0"),DST_123_ÜRETİM_İHTİYAÇ_RAPORU_BURAK_YENI1309[[#This Row],[SATINALMA]]*DST_123_ÜRETİM_İHTİYAÇ_RAPORU_BURAK_YENI1309[[#This Row],[BIRIM_FIYATLAR]])</f>
        <v>0</v>
      </c>
      <c r="N4227">
        <v>3.95</v>
      </c>
      <c r="O4227" t="s">
        <v>220</v>
      </c>
      <c r="P4227">
        <v>7.9</v>
      </c>
      <c r="Q4227" t="s">
        <v>221</v>
      </c>
    </row>
    <row r="4228" spans="1:17" x14ac:dyDescent="0.25">
      <c r="A4228" t="s">
        <v>1143</v>
      </c>
      <c r="B4228" t="s">
        <v>1056</v>
      </c>
      <c r="C4228" t="s">
        <v>175</v>
      </c>
      <c r="D4228" t="s">
        <v>505</v>
      </c>
      <c r="E4228" t="s">
        <v>506</v>
      </c>
      <c r="F4228">
        <v>1</v>
      </c>
      <c r="G4228" t="s">
        <v>176</v>
      </c>
      <c r="H4228">
        <v>0</v>
      </c>
      <c r="I4228">
        <v>42</v>
      </c>
      <c r="J4228" s="10">
        <v>10</v>
      </c>
      <c r="K4228" s="10">
        <f>SUMIFS(F:F,D:D,DST_123_ÜRETİM_İHTİYAÇ_RAPORU_BURAK_YENI1309[[#This Row],[ALT_KOD]])-(SUMIFS(H:H,D:D,DST_123_ÜRETİM_İHTİYAÇ_RAPORU_BURAK_YENI1309[[#This Row],[ALT_KOD]])+AVERAGEIFS(I:I,D:D,DST_123_ÜRETİM_İHTİYAÇ_RAPORU_BURAK_YENI1309[[#This Row],[ALT_KOD]])+AVERAGEIFS(L:L,D:D,DST_123_ÜRETİM_İHTİYAÇ_RAPORU_BURAK_YENI1309[[#This Row],[ALT_KOD]]))</f>
        <v>-30</v>
      </c>
      <c r="L4228">
        <v>0</v>
      </c>
      <c r="M4228">
        <f>IF((DST_123_ÜRETİM_İHTİYAÇ_RAPORU_BURAK_YENI1309[[#This Row],[SATINALMA]]*DST_123_ÜRETİM_İHTİYAÇ_RAPORU_BURAK_YENI1309[[#This Row],[BIRIM_FIYATLAR]])&lt;1,VALUE("0"),DST_123_ÜRETİM_İHTİYAÇ_RAPORU_BURAK_YENI1309[[#This Row],[SATINALMA]]*DST_123_ÜRETİM_İHTİYAÇ_RAPORU_BURAK_YENI1309[[#This Row],[BIRIM_FIYATLAR]])</f>
        <v>0</v>
      </c>
      <c r="N4228">
        <v>142.5</v>
      </c>
      <c r="O4228" t="s">
        <v>826</v>
      </c>
      <c r="P4228">
        <v>142.5</v>
      </c>
      <c r="Q4228" t="s">
        <v>221</v>
      </c>
    </row>
    <row r="4229" spans="1:17" x14ac:dyDescent="0.25">
      <c r="A4229" t="s">
        <v>1143</v>
      </c>
      <c r="B4229" t="s">
        <v>1056</v>
      </c>
      <c r="C4229" t="s">
        <v>175</v>
      </c>
      <c r="D4229" t="s">
        <v>802</v>
      </c>
      <c r="E4229" t="s">
        <v>822</v>
      </c>
      <c r="F4229">
        <v>1</v>
      </c>
      <c r="G4229" t="s">
        <v>176</v>
      </c>
      <c r="H4229">
        <v>0</v>
      </c>
      <c r="I4229">
        <v>20.5</v>
      </c>
      <c r="J4229" s="10">
        <v>5</v>
      </c>
      <c r="K4229" s="10">
        <f>SUMIFS(F:F,D:D,DST_123_ÜRETİM_İHTİYAÇ_RAPORU_BURAK_YENI1309[[#This Row],[ALT_KOD]])-(SUMIFS(H:H,D:D,DST_123_ÜRETİM_İHTİYAÇ_RAPORU_BURAK_YENI1309[[#This Row],[ALT_KOD]])+AVERAGEIFS(I:I,D:D,DST_123_ÜRETİM_İHTİYAÇ_RAPORU_BURAK_YENI1309[[#This Row],[ALT_KOD]])+AVERAGEIFS(L:L,D:D,DST_123_ÜRETİM_İHTİYAÇ_RAPORU_BURAK_YENI1309[[#This Row],[ALT_KOD]]))</f>
        <v>-9.5</v>
      </c>
      <c r="L4229">
        <v>0</v>
      </c>
      <c r="M4229">
        <f>IF((DST_123_ÜRETİM_İHTİYAÇ_RAPORU_BURAK_YENI1309[[#This Row],[SATINALMA]]*DST_123_ÜRETİM_İHTİYAÇ_RAPORU_BURAK_YENI1309[[#This Row],[BIRIM_FIYATLAR]])&lt;1,VALUE("0"),DST_123_ÜRETİM_İHTİYAÇ_RAPORU_BURAK_YENI1309[[#This Row],[SATINALMA]]*DST_123_ÜRETİM_İHTİYAÇ_RAPORU_BURAK_YENI1309[[#This Row],[BIRIM_FIYATLAR]])</f>
        <v>0</v>
      </c>
      <c r="N4229">
        <v>175</v>
      </c>
      <c r="O4229" t="s">
        <v>217</v>
      </c>
      <c r="P4229">
        <v>175</v>
      </c>
      <c r="Q4229" t="s">
        <v>180</v>
      </c>
    </row>
    <row r="4230" spans="1:17" x14ac:dyDescent="0.25">
      <c r="A4230" t="s">
        <v>1099</v>
      </c>
      <c r="B4230" t="s">
        <v>1055</v>
      </c>
      <c r="C4230" t="s">
        <v>175</v>
      </c>
      <c r="D4230" t="s">
        <v>505</v>
      </c>
      <c r="E4230" t="s">
        <v>506</v>
      </c>
      <c r="F4230">
        <v>1</v>
      </c>
      <c r="G4230" t="s">
        <v>176</v>
      </c>
      <c r="H4230">
        <v>0</v>
      </c>
      <c r="I4230">
        <v>42</v>
      </c>
      <c r="J4230" s="10">
        <v>10</v>
      </c>
      <c r="K4230" s="10">
        <f>SUMIFS(F:F,D:D,DST_123_ÜRETİM_İHTİYAÇ_RAPORU_BURAK_YENI1309[[#This Row],[ALT_KOD]])-(SUMIFS(H:H,D:D,DST_123_ÜRETİM_İHTİYAÇ_RAPORU_BURAK_YENI1309[[#This Row],[ALT_KOD]])+AVERAGEIFS(I:I,D:D,DST_123_ÜRETİM_İHTİYAÇ_RAPORU_BURAK_YENI1309[[#This Row],[ALT_KOD]])+AVERAGEIFS(L:L,D:D,DST_123_ÜRETİM_İHTİYAÇ_RAPORU_BURAK_YENI1309[[#This Row],[ALT_KOD]]))</f>
        <v>-30</v>
      </c>
      <c r="L4230">
        <v>0</v>
      </c>
      <c r="M4230">
        <f>IF((DST_123_ÜRETİM_İHTİYAÇ_RAPORU_BURAK_YENI1309[[#This Row],[SATINALMA]]*DST_123_ÜRETİM_İHTİYAÇ_RAPORU_BURAK_YENI1309[[#This Row],[BIRIM_FIYATLAR]])&lt;1,VALUE("0"),DST_123_ÜRETİM_İHTİYAÇ_RAPORU_BURAK_YENI1309[[#This Row],[SATINALMA]]*DST_123_ÜRETİM_İHTİYAÇ_RAPORU_BURAK_YENI1309[[#This Row],[BIRIM_FIYATLAR]])</f>
        <v>0</v>
      </c>
      <c r="N4230">
        <v>142.5</v>
      </c>
      <c r="O4230" t="s">
        <v>826</v>
      </c>
      <c r="P4230">
        <v>142.5</v>
      </c>
      <c r="Q4230" t="s">
        <v>221</v>
      </c>
    </row>
    <row r="4231" spans="1:17" x14ac:dyDescent="0.25">
      <c r="A4231" t="s">
        <v>1150</v>
      </c>
      <c r="B4231" t="s">
        <v>1145</v>
      </c>
      <c r="C4231" t="s">
        <v>175</v>
      </c>
      <c r="D4231" t="s">
        <v>451</v>
      </c>
      <c r="E4231" t="s">
        <v>452</v>
      </c>
      <c r="F4231">
        <v>1</v>
      </c>
      <c r="G4231" t="s">
        <v>176</v>
      </c>
      <c r="H4231">
        <v>0</v>
      </c>
      <c r="I4231">
        <v>4</v>
      </c>
      <c r="J4231" s="10">
        <v>9</v>
      </c>
      <c r="K4231" s="10">
        <f>SUMIFS(F:F,D:D,DST_123_ÜRETİM_İHTİYAÇ_RAPORU_BURAK_YENI1309[[#This Row],[ALT_KOD]])-(SUMIFS(H:H,D:D,DST_123_ÜRETİM_İHTİYAÇ_RAPORU_BURAK_YENI1309[[#This Row],[ALT_KOD]])+AVERAGEIFS(I:I,D:D,DST_123_ÜRETİM_İHTİYAÇ_RAPORU_BURAK_YENI1309[[#This Row],[ALT_KOD]])+AVERAGEIFS(L:L,D:D,DST_123_ÜRETİM_İHTİYAÇ_RAPORU_BURAK_YENI1309[[#This Row],[ALT_KOD]]))</f>
        <v>1</v>
      </c>
      <c r="L4231">
        <v>6</v>
      </c>
      <c r="M4231">
        <f>IF((DST_123_ÜRETİM_İHTİYAÇ_RAPORU_BURAK_YENI1309[[#This Row],[SATINALMA]]*DST_123_ÜRETİM_İHTİYAÇ_RAPORU_BURAK_YENI1309[[#This Row],[BIRIM_FIYATLAR]])&lt;1,VALUE("0"),DST_123_ÜRETİM_İHTİYAÇ_RAPORU_BURAK_YENI1309[[#This Row],[SATINALMA]]*DST_123_ÜRETİM_İHTİYAÇ_RAPORU_BURAK_YENI1309[[#This Row],[BIRIM_FIYATLAR]])</f>
        <v>1600</v>
      </c>
      <c r="N4231">
        <v>1600</v>
      </c>
      <c r="O4231" t="s">
        <v>240</v>
      </c>
      <c r="P4231">
        <v>1600</v>
      </c>
      <c r="Q4231" t="s">
        <v>178</v>
      </c>
    </row>
    <row r="4232" spans="1:17" x14ac:dyDescent="0.25">
      <c r="A4232" t="s">
        <v>1150</v>
      </c>
      <c r="B4232" t="s">
        <v>1145</v>
      </c>
      <c r="C4232" t="s">
        <v>175</v>
      </c>
      <c r="D4232" t="s">
        <v>590</v>
      </c>
      <c r="E4232" t="s">
        <v>591</v>
      </c>
      <c r="F4232">
        <v>1</v>
      </c>
      <c r="G4232" t="s">
        <v>176</v>
      </c>
      <c r="H4232">
        <v>0</v>
      </c>
      <c r="I4232">
        <v>4</v>
      </c>
      <c r="J4232" s="10">
        <v>10</v>
      </c>
      <c r="K4232" s="10">
        <f>SUMIFS(F:F,D:D,DST_123_ÜRETİM_İHTİYAÇ_RAPORU_BURAK_YENI1309[[#This Row],[ALT_KOD]])-(SUMIFS(H:H,D:D,DST_123_ÜRETİM_İHTİYAÇ_RAPORU_BURAK_YENI1309[[#This Row],[ALT_KOD]])+AVERAGEIFS(I:I,D:D,DST_123_ÜRETİM_İHTİYAÇ_RAPORU_BURAK_YENI1309[[#This Row],[ALT_KOD]])+AVERAGEIFS(L:L,D:D,DST_123_ÜRETİM_İHTİYAÇ_RAPORU_BURAK_YENI1309[[#This Row],[ALT_KOD]]))</f>
        <v>-3</v>
      </c>
      <c r="L4232">
        <v>10</v>
      </c>
      <c r="M4232">
        <f>IF((DST_123_ÜRETİM_İHTİYAÇ_RAPORU_BURAK_YENI1309[[#This Row],[SATINALMA]]*DST_123_ÜRETİM_İHTİYAÇ_RAPORU_BURAK_YENI1309[[#This Row],[BIRIM_FIYATLAR]])&lt;1,VALUE("0"),DST_123_ÜRETİM_İHTİYAÇ_RAPORU_BURAK_YENI1309[[#This Row],[SATINALMA]]*DST_123_ÜRETİM_İHTİYAÇ_RAPORU_BURAK_YENI1309[[#This Row],[BIRIM_FIYATLAR]])</f>
        <v>0</v>
      </c>
      <c r="N4232">
        <v>583.77</v>
      </c>
      <c r="O4232" t="s">
        <v>592</v>
      </c>
      <c r="P4232">
        <v>583.77</v>
      </c>
      <c r="Q4232" t="s">
        <v>180</v>
      </c>
    </row>
    <row r="4233" spans="1:17" x14ac:dyDescent="0.25">
      <c r="A4233" t="s">
        <v>1150</v>
      </c>
      <c r="B4233" t="s">
        <v>1145</v>
      </c>
      <c r="C4233" t="s">
        <v>175</v>
      </c>
      <c r="D4233" t="s">
        <v>505</v>
      </c>
      <c r="E4233" t="s">
        <v>506</v>
      </c>
      <c r="F4233">
        <v>1</v>
      </c>
      <c r="G4233" t="s">
        <v>176</v>
      </c>
      <c r="H4233">
        <v>0</v>
      </c>
      <c r="I4233">
        <v>42</v>
      </c>
      <c r="J4233" s="10">
        <v>10</v>
      </c>
      <c r="K4233" s="10">
        <f>SUMIFS(F:F,D:D,DST_123_ÜRETİM_İHTİYAÇ_RAPORU_BURAK_YENI1309[[#This Row],[ALT_KOD]])-(SUMIFS(H:H,D:D,DST_123_ÜRETİM_İHTİYAÇ_RAPORU_BURAK_YENI1309[[#This Row],[ALT_KOD]])+AVERAGEIFS(I:I,D:D,DST_123_ÜRETİM_İHTİYAÇ_RAPORU_BURAK_YENI1309[[#This Row],[ALT_KOD]])+AVERAGEIFS(L:L,D:D,DST_123_ÜRETİM_İHTİYAÇ_RAPORU_BURAK_YENI1309[[#This Row],[ALT_KOD]]))</f>
        <v>-30</v>
      </c>
      <c r="L4233">
        <v>0</v>
      </c>
      <c r="M4233">
        <f>IF((DST_123_ÜRETİM_İHTİYAÇ_RAPORU_BURAK_YENI1309[[#This Row],[SATINALMA]]*DST_123_ÜRETİM_İHTİYAÇ_RAPORU_BURAK_YENI1309[[#This Row],[BIRIM_FIYATLAR]])&lt;1,VALUE("0"),DST_123_ÜRETİM_İHTİYAÇ_RAPORU_BURAK_YENI1309[[#This Row],[SATINALMA]]*DST_123_ÜRETİM_İHTİYAÇ_RAPORU_BURAK_YENI1309[[#This Row],[BIRIM_FIYATLAR]])</f>
        <v>0</v>
      </c>
      <c r="N4233">
        <v>142.5</v>
      </c>
      <c r="O4233" t="s">
        <v>826</v>
      </c>
      <c r="P4233">
        <v>142.5</v>
      </c>
      <c r="Q4233" t="s">
        <v>221</v>
      </c>
    </row>
    <row r="4234" spans="1:17" x14ac:dyDescent="0.25">
      <c r="A4234" t="s">
        <v>1060</v>
      </c>
      <c r="B4234" t="s">
        <v>1061</v>
      </c>
      <c r="C4234" t="s">
        <v>175</v>
      </c>
      <c r="D4234" t="s">
        <v>736</v>
      </c>
      <c r="E4234" t="s">
        <v>737</v>
      </c>
      <c r="F4234">
        <v>1</v>
      </c>
      <c r="G4234" t="s">
        <v>176</v>
      </c>
      <c r="H4234">
        <v>1</v>
      </c>
      <c r="I4234">
        <v>12</v>
      </c>
      <c r="J4234" s="10">
        <v>17</v>
      </c>
      <c r="K4234" s="10">
        <f>SUMIFS(F:F,D:D,DST_123_ÜRETİM_İHTİYAÇ_RAPORU_BURAK_YENI1309[[#This Row],[ALT_KOD]])-(SUMIFS(H:H,D:D,DST_123_ÜRETİM_İHTİYAÇ_RAPORU_BURAK_YENI1309[[#This Row],[ALT_KOD]])+AVERAGEIFS(I:I,D:D,DST_123_ÜRETİM_İHTİYAÇ_RAPORU_BURAK_YENI1309[[#This Row],[ALT_KOD]])+AVERAGEIFS(L:L,D:D,DST_123_ÜRETİM_İHTİYAÇ_RAPORU_BURAK_YENI1309[[#This Row],[ALT_KOD]]))</f>
        <v>-1</v>
      </c>
      <c r="L4234">
        <v>0</v>
      </c>
      <c r="M4234">
        <f>IF((DST_123_ÜRETİM_İHTİYAÇ_RAPORU_BURAK_YENI1309[[#This Row],[SATINALMA]]*DST_123_ÜRETİM_İHTİYAÇ_RAPORU_BURAK_YENI1309[[#This Row],[BIRIM_FIYATLAR]])&lt;1,VALUE("0"),DST_123_ÜRETİM_İHTİYAÇ_RAPORU_BURAK_YENI1309[[#This Row],[SATINALMA]]*DST_123_ÜRETİM_İHTİYAÇ_RAPORU_BURAK_YENI1309[[#This Row],[BIRIM_FIYATLAR]])</f>
        <v>0</v>
      </c>
      <c r="N4234">
        <v>400</v>
      </c>
      <c r="O4234" t="s">
        <v>667</v>
      </c>
      <c r="P4234">
        <v>400</v>
      </c>
      <c r="Q4234" t="s">
        <v>177</v>
      </c>
    </row>
    <row r="4235" spans="1:17" x14ac:dyDescent="0.25">
      <c r="A4235" t="s">
        <v>1196</v>
      </c>
      <c r="B4235" t="s">
        <v>1197</v>
      </c>
      <c r="C4235" t="s">
        <v>175</v>
      </c>
      <c r="D4235" t="s">
        <v>451</v>
      </c>
      <c r="E4235" t="s">
        <v>452</v>
      </c>
      <c r="F4235">
        <v>1</v>
      </c>
      <c r="G4235" t="s">
        <v>176</v>
      </c>
      <c r="H4235">
        <v>0</v>
      </c>
      <c r="I4235">
        <v>4</v>
      </c>
      <c r="J4235" s="10">
        <v>9</v>
      </c>
      <c r="K4235" s="10">
        <f>SUMIFS(F:F,D:D,DST_123_ÜRETİM_İHTİYAÇ_RAPORU_BURAK_YENI1309[[#This Row],[ALT_KOD]])-(SUMIFS(H:H,D:D,DST_123_ÜRETİM_İHTİYAÇ_RAPORU_BURAK_YENI1309[[#This Row],[ALT_KOD]])+AVERAGEIFS(I:I,D:D,DST_123_ÜRETİM_İHTİYAÇ_RAPORU_BURAK_YENI1309[[#This Row],[ALT_KOD]])+AVERAGEIFS(L:L,D:D,DST_123_ÜRETİM_İHTİYAÇ_RAPORU_BURAK_YENI1309[[#This Row],[ALT_KOD]]))</f>
        <v>1</v>
      </c>
      <c r="L4235">
        <v>6</v>
      </c>
      <c r="M4235">
        <f>IF((DST_123_ÜRETİM_İHTİYAÇ_RAPORU_BURAK_YENI1309[[#This Row],[SATINALMA]]*DST_123_ÜRETİM_İHTİYAÇ_RAPORU_BURAK_YENI1309[[#This Row],[BIRIM_FIYATLAR]])&lt;1,VALUE("0"),DST_123_ÜRETİM_İHTİYAÇ_RAPORU_BURAK_YENI1309[[#This Row],[SATINALMA]]*DST_123_ÜRETİM_İHTİYAÇ_RAPORU_BURAK_YENI1309[[#This Row],[BIRIM_FIYATLAR]])</f>
        <v>1600</v>
      </c>
      <c r="N4235">
        <v>1600</v>
      </c>
      <c r="O4235" t="s">
        <v>240</v>
      </c>
      <c r="P4235">
        <v>1600</v>
      </c>
      <c r="Q4235" t="s">
        <v>178</v>
      </c>
    </row>
    <row r="4236" spans="1:17" x14ac:dyDescent="0.25">
      <c r="A4236" t="s">
        <v>1098</v>
      </c>
      <c r="B4236" t="s">
        <v>1096</v>
      </c>
      <c r="C4236" t="s">
        <v>175</v>
      </c>
      <c r="D4236" t="s">
        <v>505</v>
      </c>
      <c r="E4236" t="s">
        <v>506</v>
      </c>
      <c r="F4236">
        <v>1</v>
      </c>
      <c r="G4236" t="s">
        <v>176</v>
      </c>
      <c r="H4236">
        <v>0</v>
      </c>
      <c r="I4236">
        <v>42</v>
      </c>
      <c r="J4236" s="10">
        <v>10</v>
      </c>
      <c r="K4236" s="10">
        <f>SUMIFS(F:F,D:D,DST_123_ÜRETİM_İHTİYAÇ_RAPORU_BURAK_YENI1309[[#This Row],[ALT_KOD]])-(SUMIFS(H:H,D:D,DST_123_ÜRETİM_İHTİYAÇ_RAPORU_BURAK_YENI1309[[#This Row],[ALT_KOD]])+AVERAGEIFS(I:I,D:D,DST_123_ÜRETİM_İHTİYAÇ_RAPORU_BURAK_YENI1309[[#This Row],[ALT_KOD]])+AVERAGEIFS(L:L,D:D,DST_123_ÜRETİM_İHTİYAÇ_RAPORU_BURAK_YENI1309[[#This Row],[ALT_KOD]]))</f>
        <v>-30</v>
      </c>
      <c r="L4236">
        <v>0</v>
      </c>
      <c r="M4236">
        <f>IF((DST_123_ÜRETİM_İHTİYAÇ_RAPORU_BURAK_YENI1309[[#This Row],[SATINALMA]]*DST_123_ÜRETİM_İHTİYAÇ_RAPORU_BURAK_YENI1309[[#This Row],[BIRIM_FIYATLAR]])&lt;1,VALUE("0"),DST_123_ÜRETİM_İHTİYAÇ_RAPORU_BURAK_YENI1309[[#This Row],[SATINALMA]]*DST_123_ÜRETİM_İHTİYAÇ_RAPORU_BURAK_YENI1309[[#This Row],[BIRIM_FIYATLAR]])</f>
        <v>0</v>
      </c>
      <c r="N4236">
        <v>142.5</v>
      </c>
      <c r="O4236" t="s">
        <v>826</v>
      </c>
      <c r="P4236">
        <v>142.5</v>
      </c>
      <c r="Q4236" t="s">
        <v>221</v>
      </c>
    </row>
    <row r="4237" spans="1:17" x14ac:dyDescent="0.25">
      <c r="A4237" t="s">
        <v>1196</v>
      </c>
      <c r="B4237" t="s">
        <v>1197</v>
      </c>
      <c r="C4237" t="s">
        <v>175</v>
      </c>
      <c r="D4237" t="s">
        <v>1159</v>
      </c>
      <c r="E4237" t="s">
        <v>1160</v>
      </c>
      <c r="F4237">
        <v>6</v>
      </c>
      <c r="G4237" t="s">
        <v>176</v>
      </c>
      <c r="H4237">
        <v>0</v>
      </c>
      <c r="I4237">
        <v>0</v>
      </c>
      <c r="J4237" s="10">
        <v>0</v>
      </c>
      <c r="K4237" s="10">
        <f>SUMIFS(F:F,D:D,DST_123_ÜRETİM_İHTİYAÇ_RAPORU_BURAK_YENI1309[[#This Row],[ALT_KOD]])-(SUMIFS(H:H,D:D,DST_123_ÜRETİM_İHTİYAÇ_RAPORU_BURAK_YENI1309[[#This Row],[ALT_KOD]])+AVERAGEIFS(I:I,D:D,DST_123_ÜRETİM_İHTİYAÇ_RAPORU_BURAK_YENI1309[[#This Row],[ALT_KOD]])+AVERAGEIFS(L:L,D:D,DST_123_ÜRETİM_İHTİYAÇ_RAPORU_BURAK_YENI1309[[#This Row],[ALT_KOD]]))</f>
        <v>42</v>
      </c>
      <c r="L4237">
        <v>0</v>
      </c>
      <c r="M4237">
        <f>IF((DST_123_ÜRETİM_İHTİYAÇ_RAPORU_BURAK_YENI1309[[#This Row],[SATINALMA]]*DST_123_ÜRETİM_İHTİYAÇ_RAPORU_BURAK_YENI1309[[#This Row],[BIRIM_FIYATLAR]])&lt;1,VALUE("0"),DST_123_ÜRETİM_İHTİYAÇ_RAPORU_BURAK_YENI1309[[#This Row],[SATINALMA]]*DST_123_ÜRETİM_İHTİYAÇ_RAPORU_BURAK_YENI1309[[#This Row],[BIRIM_FIYATLAR]])</f>
        <v>15.12</v>
      </c>
      <c r="N4237">
        <v>0.36</v>
      </c>
      <c r="O4237" t="s">
        <v>882</v>
      </c>
      <c r="P4237">
        <v>2.16</v>
      </c>
      <c r="Q4237" t="s">
        <v>180</v>
      </c>
    </row>
    <row r="4238" spans="1:17" x14ac:dyDescent="0.25">
      <c r="A4238" t="s">
        <v>1149</v>
      </c>
      <c r="B4238" t="s">
        <v>1145</v>
      </c>
      <c r="C4238" t="s">
        <v>175</v>
      </c>
      <c r="D4238" t="s">
        <v>451</v>
      </c>
      <c r="E4238" t="s">
        <v>452</v>
      </c>
      <c r="F4238">
        <v>1</v>
      </c>
      <c r="G4238" t="s">
        <v>176</v>
      </c>
      <c r="H4238">
        <v>0</v>
      </c>
      <c r="I4238">
        <v>4</v>
      </c>
      <c r="J4238" s="10">
        <v>9</v>
      </c>
      <c r="K4238" s="10">
        <f>SUMIFS(F:F,D:D,DST_123_ÜRETİM_İHTİYAÇ_RAPORU_BURAK_YENI1309[[#This Row],[ALT_KOD]])-(SUMIFS(H:H,D:D,DST_123_ÜRETİM_İHTİYAÇ_RAPORU_BURAK_YENI1309[[#This Row],[ALT_KOD]])+AVERAGEIFS(I:I,D:D,DST_123_ÜRETİM_İHTİYAÇ_RAPORU_BURAK_YENI1309[[#This Row],[ALT_KOD]])+AVERAGEIFS(L:L,D:D,DST_123_ÜRETİM_İHTİYAÇ_RAPORU_BURAK_YENI1309[[#This Row],[ALT_KOD]]))</f>
        <v>1</v>
      </c>
      <c r="L4238">
        <v>6</v>
      </c>
      <c r="M4238">
        <f>IF((DST_123_ÜRETİM_İHTİYAÇ_RAPORU_BURAK_YENI1309[[#This Row],[SATINALMA]]*DST_123_ÜRETİM_İHTİYAÇ_RAPORU_BURAK_YENI1309[[#This Row],[BIRIM_FIYATLAR]])&lt;1,VALUE("0"),DST_123_ÜRETİM_İHTİYAÇ_RAPORU_BURAK_YENI1309[[#This Row],[SATINALMA]]*DST_123_ÜRETİM_İHTİYAÇ_RAPORU_BURAK_YENI1309[[#This Row],[BIRIM_FIYATLAR]])</f>
        <v>1600</v>
      </c>
      <c r="N4238">
        <v>1600</v>
      </c>
      <c r="O4238" t="s">
        <v>240</v>
      </c>
      <c r="P4238">
        <v>1600</v>
      </c>
      <c r="Q4238" t="s">
        <v>178</v>
      </c>
    </row>
    <row r="4239" spans="1:17" x14ac:dyDescent="0.25">
      <c r="A4239" t="s">
        <v>1146</v>
      </c>
      <c r="B4239" t="s">
        <v>1145</v>
      </c>
      <c r="C4239" t="s">
        <v>175</v>
      </c>
      <c r="D4239" t="s">
        <v>451</v>
      </c>
      <c r="E4239" t="s">
        <v>452</v>
      </c>
      <c r="F4239">
        <v>1</v>
      </c>
      <c r="G4239" t="s">
        <v>176</v>
      </c>
      <c r="H4239">
        <v>0</v>
      </c>
      <c r="I4239">
        <v>4</v>
      </c>
      <c r="J4239" s="10">
        <v>9</v>
      </c>
      <c r="K4239" s="10">
        <f>SUMIFS(F:F,D:D,DST_123_ÜRETİM_İHTİYAÇ_RAPORU_BURAK_YENI1309[[#This Row],[ALT_KOD]])-(SUMIFS(H:H,D:D,DST_123_ÜRETİM_İHTİYAÇ_RAPORU_BURAK_YENI1309[[#This Row],[ALT_KOD]])+AVERAGEIFS(I:I,D:D,DST_123_ÜRETİM_İHTİYAÇ_RAPORU_BURAK_YENI1309[[#This Row],[ALT_KOD]])+AVERAGEIFS(L:L,D:D,DST_123_ÜRETİM_İHTİYAÇ_RAPORU_BURAK_YENI1309[[#This Row],[ALT_KOD]]))</f>
        <v>1</v>
      </c>
      <c r="L4239">
        <v>6</v>
      </c>
      <c r="M4239">
        <f>IF((DST_123_ÜRETİM_İHTİYAÇ_RAPORU_BURAK_YENI1309[[#This Row],[SATINALMA]]*DST_123_ÜRETİM_İHTİYAÇ_RAPORU_BURAK_YENI1309[[#This Row],[BIRIM_FIYATLAR]])&lt;1,VALUE("0"),DST_123_ÜRETİM_İHTİYAÇ_RAPORU_BURAK_YENI1309[[#This Row],[SATINALMA]]*DST_123_ÜRETİM_İHTİYAÇ_RAPORU_BURAK_YENI1309[[#This Row],[BIRIM_FIYATLAR]])</f>
        <v>1600</v>
      </c>
      <c r="N4239">
        <v>1600</v>
      </c>
      <c r="O4239" t="s">
        <v>240</v>
      </c>
      <c r="P4239">
        <v>1600</v>
      </c>
      <c r="Q4239" t="s">
        <v>178</v>
      </c>
    </row>
    <row r="4240" spans="1:17" x14ac:dyDescent="0.25">
      <c r="A4240" t="s">
        <v>1144</v>
      </c>
      <c r="B4240" t="s">
        <v>1145</v>
      </c>
      <c r="C4240" t="s">
        <v>175</v>
      </c>
      <c r="D4240" t="s">
        <v>590</v>
      </c>
      <c r="E4240" t="s">
        <v>591</v>
      </c>
      <c r="F4240">
        <v>1</v>
      </c>
      <c r="G4240" t="s">
        <v>176</v>
      </c>
      <c r="H4240">
        <v>0</v>
      </c>
      <c r="I4240">
        <v>4</v>
      </c>
      <c r="J4240" s="10">
        <v>10</v>
      </c>
      <c r="K4240" s="10">
        <f>SUMIFS(F:F,D:D,DST_123_ÜRETİM_İHTİYAÇ_RAPORU_BURAK_YENI1309[[#This Row],[ALT_KOD]])-(SUMIFS(H:H,D:D,DST_123_ÜRETİM_İHTİYAÇ_RAPORU_BURAK_YENI1309[[#This Row],[ALT_KOD]])+AVERAGEIFS(I:I,D:D,DST_123_ÜRETİM_İHTİYAÇ_RAPORU_BURAK_YENI1309[[#This Row],[ALT_KOD]])+AVERAGEIFS(L:L,D:D,DST_123_ÜRETİM_İHTİYAÇ_RAPORU_BURAK_YENI1309[[#This Row],[ALT_KOD]]))</f>
        <v>-3</v>
      </c>
      <c r="L4240">
        <v>10</v>
      </c>
      <c r="M4240">
        <f>IF((DST_123_ÜRETİM_İHTİYAÇ_RAPORU_BURAK_YENI1309[[#This Row],[SATINALMA]]*DST_123_ÜRETİM_İHTİYAÇ_RAPORU_BURAK_YENI1309[[#This Row],[BIRIM_FIYATLAR]])&lt;1,VALUE("0"),DST_123_ÜRETİM_İHTİYAÇ_RAPORU_BURAK_YENI1309[[#This Row],[SATINALMA]]*DST_123_ÜRETİM_İHTİYAÇ_RAPORU_BURAK_YENI1309[[#This Row],[BIRIM_FIYATLAR]])</f>
        <v>0</v>
      </c>
      <c r="N4240">
        <v>583.77</v>
      </c>
      <c r="O4240" t="s">
        <v>592</v>
      </c>
      <c r="P4240">
        <v>583.77</v>
      </c>
      <c r="Q4240" t="s">
        <v>180</v>
      </c>
    </row>
    <row r="4241" spans="1:17" x14ac:dyDescent="0.25">
      <c r="A4241" t="s">
        <v>1146</v>
      </c>
      <c r="B4241" t="s">
        <v>1145</v>
      </c>
      <c r="C4241" t="s">
        <v>175</v>
      </c>
      <c r="D4241" t="s">
        <v>590</v>
      </c>
      <c r="E4241" t="s">
        <v>591</v>
      </c>
      <c r="F4241">
        <v>1</v>
      </c>
      <c r="G4241" t="s">
        <v>176</v>
      </c>
      <c r="H4241">
        <v>0</v>
      </c>
      <c r="I4241">
        <v>4</v>
      </c>
      <c r="J4241" s="10">
        <v>10</v>
      </c>
      <c r="K4241" s="10">
        <f>SUMIFS(F:F,D:D,DST_123_ÜRETİM_İHTİYAÇ_RAPORU_BURAK_YENI1309[[#This Row],[ALT_KOD]])-(SUMIFS(H:H,D:D,DST_123_ÜRETİM_İHTİYAÇ_RAPORU_BURAK_YENI1309[[#This Row],[ALT_KOD]])+AVERAGEIFS(I:I,D:D,DST_123_ÜRETİM_İHTİYAÇ_RAPORU_BURAK_YENI1309[[#This Row],[ALT_KOD]])+AVERAGEIFS(L:L,D:D,DST_123_ÜRETİM_İHTİYAÇ_RAPORU_BURAK_YENI1309[[#This Row],[ALT_KOD]]))</f>
        <v>-3</v>
      </c>
      <c r="L4241">
        <v>10</v>
      </c>
      <c r="M4241">
        <f>IF((DST_123_ÜRETİM_İHTİYAÇ_RAPORU_BURAK_YENI1309[[#This Row],[SATINALMA]]*DST_123_ÜRETİM_İHTİYAÇ_RAPORU_BURAK_YENI1309[[#This Row],[BIRIM_FIYATLAR]])&lt;1,VALUE("0"),DST_123_ÜRETİM_İHTİYAÇ_RAPORU_BURAK_YENI1309[[#This Row],[SATINALMA]]*DST_123_ÜRETİM_İHTİYAÇ_RAPORU_BURAK_YENI1309[[#This Row],[BIRIM_FIYATLAR]])</f>
        <v>0</v>
      </c>
      <c r="N4241">
        <v>583.77</v>
      </c>
      <c r="O4241" t="s">
        <v>592</v>
      </c>
      <c r="P4241">
        <v>583.77</v>
      </c>
      <c r="Q4241" t="s">
        <v>180</v>
      </c>
    </row>
    <row r="4242" spans="1:17" x14ac:dyDescent="0.25">
      <c r="A4242" t="s">
        <v>1146</v>
      </c>
      <c r="B4242" t="s">
        <v>1145</v>
      </c>
      <c r="C4242" t="s">
        <v>175</v>
      </c>
      <c r="D4242" t="s">
        <v>505</v>
      </c>
      <c r="E4242" t="s">
        <v>506</v>
      </c>
      <c r="F4242">
        <v>1</v>
      </c>
      <c r="G4242" t="s">
        <v>176</v>
      </c>
      <c r="H4242">
        <v>0</v>
      </c>
      <c r="I4242">
        <v>42</v>
      </c>
      <c r="J4242" s="10">
        <v>10</v>
      </c>
      <c r="K4242" s="10">
        <f>SUMIFS(F:F,D:D,DST_123_ÜRETİM_İHTİYAÇ_RAPORU_BURAK_YENI1309[[#This Row],[ALT_KOD]])-(SUMIFS(H:H,D:D,DST_123_ÜRETİM_İHTİYAÇ_RAPORU_BURAK_YENI1309[[#This Row],[ALT_KOD]])+AVERAGEIFS(I:I,D:D,DST_123_ÜRETİM_İHTİYAÇ_RAPORU_BURAK_YENI1309[[#This Row],[ALT_KOD]])+AVERAGEIFS(L:L,D:D,DST_123_ÜRETİM_İHTİYAÇ_RAPORU_BURAK_YENI1309[[#This Row],[ALT_KOD]]))</f>
        <v>-30</v>
      </c>
      <c r="L4242">
        <v>0</v>
      </c>
      <c r="M4242">
        <f>IF((DST_123_ÜRETİM_İHTİYAÇ_RAPORU_BURAK_YENI1309[[#This Row],[SATINALMA]]*DST_123_ÜRETİM_İHTİYAÇ_RAPORU_BURAK_YENI1309[[#This Row],[BIRIM_FIYATLAR]])&lt;1,VALUE("0"),DST_123_ÜRETİM_İHTİYAÇ_RAPORU_BURAK_YENI1309[[#This Row],[SATINALMA]]*DST_123_ÜRETİM_İHTİYAÇ_RAPORU_BURAK_YENI1309[[#This Row],[BIRIM_FIYATLAR]])</f>
        <v>0</v>
      </c>
      <c r="N4242">
        <v>142.5</v>
      </c>
      <c r="O4242" t="s">
        <v>826</v>
      </c>
      <c r="P4242">
        <v>142.5</v>
      </c>
      <c r="Q4242" t="s">
        <v>221</v>
      </c>
    </row>
    <row r="4243" spans="1:17" x14ac:dyDescent="0.25">
      <c r="A4243" t="s">
        <v>1147</v>
      </c>
      <c r="B4243" t="s">
        <v>1145</v>
      </c>
      <c r="C4243" t="s">
        <v>175</v>
      </c>
      <c r="D4243" t="s">
        <v>597</v>
      </c>
      <c r="E4243" t="s">
        <v>598</v>
      </c>
      <c r="F4243">
        <v>2</v>
      </c>
      <c r="G4243" t="s">
        <v>176</v>
      </c>
      <c r="H4243">
        <v>0</v>
      </c>
      <c r="I4243">
        <v>29</v>
      </c>
      <c r="J4243" s="10">
        <v>9</v>
      </c>
      <c r="K4243" s="10">
        <f>SUMIFS(F:F,D:D,DST_123_ÜRETİM_İHTİYAÇ_RAPORU_BURAK_YENI1309[[#This Row],[ALT_KOD]])-(SUMIFS(H:H,D:D,DST_123_ÜRETİM_İHTİYAÇ_RAPORU_BURAK_YENI1309[[#This Row],[ALT_KOD]])+AVERAGEIFS(I:I,D:D,DST_123_ÜRETİM_İHTİYAÇ_RAPORU_BURAK_YENI1309[[#This Row],[ALT_KOD]])+AVERAGEIFS(L:L,D:D,DST_123_ÜRETİM_İHTİYAÇ_RAPORU_BURAK_YENI1309[[#This Row],[ALT_KOD]]))</f>
        <v>-13</v>
      </c>
      <c r="L4243">
        <v>0</v>
      </c>
      <c r="M4243">
        <f>IF((DST_123_ÜRETİM_İHTİYAÇ_RAPORU_BURAK_YENI1309[[#This Row],[SATINALMA]]*DST_123_ÜRETİM_İHTİYAÇ_RAPORU_BURAK_YENI1309[[#This Row],[BIRIM_FIYATLAR]])&lt;1,VALUE("0"),DST_123_ÜRETİM_İHTİYAÇ_RAPORU_BURAK_YENI1309[[#This Row],[SATINALMA]]*DST_123_ÜRETİM_İHTİYAÇ_RAPORU_BURAK_YENI1309[[#This Row],[BIRIM_FIYATLAR]])</f>
        <v>0</v>
      </c>
      <c r="N4243">
        <v>355.05</v>
      </c>
      <c r="O4243" t="s">
        <v>636</v>
      </c>
      <c r="P4243">
        <v>710.1</v>
      </c>
      <c r="Q4243" t="s">
        <v>177</v>
      </c>
    </row>
    <row r="4244" spans="1:17" x14ac:dyDescent="0.25">
      <c r="A4244" t="s">
        <v>1149</v>
      </c>
      <c r="B4244" t="s">
        <v>1145</v>
      </c>
      <c r="C4244" t="s">
        <v>175</v>
      </c>
      <c r="D4244" t="s">
        <v>630</v>
      </c>
      <c r="E4244" t="s">
        <v>631</v>
      </c>
      <c r="F4244">
        <v>278</v>
      </c>
      <c r="G4244" t="s">
        <v>176</v>
      </c>
      <c r="H4244">
        <v>0</v>
      </c>
      <c r="I4244">
        <v>8000</v>
      </c>
      <c r="J4244" s="10">
        <v>11449</v>
      </c>
      <c r="K4244" s="10">
        <f>SUMIFS(F:F,D:D,DST_123_ÜRETİM_İHTİYAÇ_RAPORU_BURAK_YENI1309[[#This Row],[ALT_KOD]])-(SUMIFS(H:H,D:D,DST_123_ÜRETİM_İHTİYAÇ_RAPORU_BURAK_YENI1309[[#This Row],[ALT_KOD]])+AVERAGEIFS(I:I,D:D,DST_123_ÜRETİM_İHTİYAÇ_RAPORU_BURAK_YENI1309[[#This Row],[ALT_KOD]])+AVERAGEIFS(L:L,D:D,DST_123_ÜRETİM_İHTİYAÇ_RAPORU_BURAK_YENI1309[[#This Row],[ALT_KOD]]))</f>
        <v>-1313</v>
      </c>
      <c r="L4244">
        <v>0</v>
      </c>
      <c r="M4244">
        <f>IF((DST_123_ÜRETİM_İHTİYAÇ_RAPORU_BURAK_YENI1309[[#This Row],[SATINALMA]]*DST_123_ÜRETİM_İHTİYAÇ_RAPORU_BURAK_YENI1309[[#This Row],[BIRIM_FIYATLAR]])&lt;1,VALUE("0"),DST_123_ÜRETİM_İHTİYAÇ_RAPORU_BURAK_YENI1309[[#This Row],[SATINALMA]]*DST_123_ÜRETİM_İHTİYAÇ_RAPORU_BURAK_YENI1309[[#This Row],[BIRIM_FIYATLAR]])</f>
        <v>0</v>
      </c>
      <c r="N4244">
        <v>0.54</v>
      </c>
      <c r="O4244" t="s">
        <v>628</v>
      </c>
      <c r="P4244">
        <v>150.12</v>
      </c>
      <c r="Q4244" t="s">
        <v>180</v>
      </c>
    </row>
    <row r="4245" spans="1:17" x14ac:dyDescent="0.25">
      <c r="A4245" t="s">
        <v>1150</v>
      </c>
      <c r="B4245" t="s">
        <v>1145</v>
      </c>
      <c r="C4245" t="s">
        <v>175</v>
      </c>
      <c r="D4245" t="s">
        <v>439</v>
      </c>
      <c r="E4245" t="s">
        <v>440</v>
      </c>
      <c r="F4245">
        <v>1</v>
      </c>
      <c r="G4245" t="s">
        <v>176</v>
      </c>
      <c r="H4245">
        <v>0</v>
      </c>
      <c r="I4245">
        <v>28</v>
      </c>
      <c r="J4245" s="10">
        <v>5</v>
      </c>
      <c r="K4245" s="10">
        <f>SUMIFS(F:F,D:D,DST_123_ÜRETİM_İHTİYAÇ_RAPORU_BURAK_YENI1309[[#This Row],[ALT_KOD]])-(SUMIFS(H:H,D:D,DST_123_ÜRETİM_İHTİYAÇ_RAPORU_BURAK_YENI1309[[#This Row],[ALT_KOD]])+AVERAGEIFS(I:I,D:D,DST_123_ÜRETİM_İHTİYAÇ_RAPORU_BURAK_YENI1309[[#This Row],[ALT_KOD]])+AVERAGEIFS(L:L,D:D,DST_123_ÜRETİM_İHTİYAÇ_RAPORU_BURAK_YENI1309[[#This Row],[ALT_KOD]]))</f>
        <v>-16</v>
      </c>
      <c r="L4245">
        <v>0</v>
      </c>
      <c r="M4245">
        <f>IF((DST_123_ÜRETİM_İHTİYAÇ_RAPORU_BURAK_YENI1309[[#This Row],[SATINALMA]]*DST_123_ÜRETİM_İHTİYAÇ_RAPORU_BURAK_YENI1309[[#This Row],[BIRIM_FIYATLAR]])&lt;1,VALUE("0"),DST_123_ÜRETİM_İHTİYAÇ_RAPORU_BURAK_YENI1309[[#This Row],[SATINALMA]]*DST_123_ÜRETİM_İHTİYAÇ_RAPORU_BURAK_YENI1309[[#This Row],[BIRIM_FIYATLAR]])</f>
        <v>0</v>
      </c>
      <c r="N4245">
        <v>373.06</v>
      </c>
      <c r="O4245" t="s">
        <v>636</v>
      </c>
      <c r="P4245">
        <v>373.06</v>
      </c>
      <c r="Q4245" t="s">
        <v>178</v>
      </c>
    </row>
    <row r="4246" spans="1:17" x14ac:dyDescent="0.25">
      <c r="A4246" t="s">
        <v>1060</v>
      </c>
      <c r="B4246" t="s">
        <v>1061</v>
      </c>
      <c r="C4246" t="s">
        <v>175</v>
      </c>
      <c r="D4246" t="s">
        <v>597</v>
      </c>
      <c r="E4246" t="s">
        <v>598</v>
      </c>
      <c r="F4246">
        <v>2</v>
      </c>
      <c r="G4246" t="s">
        <v>176</v>
      </c>
      <c r="H4246">
        <v>0</v>
      </c>
      <c r="I4246">
        <v>29</v>
      </c>
      <c r="J4246" s="10">
        <v>9</v>
      </c>
      <c r="K4246" s="10">
        <f>SUMIFS(F:F,D:D,DST_123_ÜRETİM_İHTİYAÇ_RAPORU_BURAK_YENI1309[[#This Row],[ALT_KOD]])-(SUMIFS(H:H,D:D,DST_123_ÜRETİM_İHTİYAÇ_RAPORU_BURAK_YENI1309[[#This Row],[ALT_KOD]])+AVERAGEIFS(I:I,D:D,DST_123_ÜRETİM_İHTİYAÇ_RAPORU_BURAK_YENI1309[[#This Row],[ALT_KOD]])+AVERAGEIFS(L:L,D:D,DST_123_ÜRETİM_İHTİYAÇ_RAPORU_BURAK_YENI1309[[#This Row],[ALT_KOD]]))</f>
        <v>-13</v>
      </c>
      <c r="L4246">
        <v>0</v>
      </c>
      <c r="M4246">
        <f>IF((DST_123_ÜRETİM_İHTİYAÇ_RAPORU_BURAK_YENI1309[[#This Row],[SATINALMA]]*DST_123_ÜRETİM_İHTİYAÇ_RAPORU_BURAK_YENI1309[[#This Row],[BIRIM_FIYATLAR]])&lt;1,VALUE("0"),DST_123_ÜRETİM_İHTİYAÇ_RAPORU_BURAK_YENI1309[[#This Row],[SATINALMA]]*DST_123_ÜRETİM_İHTİYAÇ_RAPORU_BURAK_YENI1309[[#This Row],[BIRIM_FIYATLAR]])</f>
        <v>0</v>
      </c>
      <c r="N4246">
        <v>355.05</v>
      </c>
      <c r="O4246" t="s">
        <v>636</v>
      </c>
      <c r="P4246">
        <v>710.1</v>
      </c>
      <c r="Q4246" t="s">
        <v>177</v>
      </c>
    </row>
    <row r="4247" spans="1:17" x14ac:dyDescent="0.25">
      <c r="A4247" t="s">
        <v>1147</v>
      </c>
      <c r="B4247" t="s">
        <v>1145</v>
      </c>
      <c r="C4247" t="s">
        <v>175</v>
      </c>
      <c r="D4247" t="s">
        <v>642</v>
      </c>
      <c r="E4247" t="s">
        <v>643</v>
      </c>
      <c r="F4247">
        <v>4</v>
      </c>
      <c r="G4247" t="s">
        <v>176</v>
      </c>
      <c r="H4247">
        <v>0</v>
      </c>
      <c r="I4247">
        <v>19</v>
      </c>
      <c r="J4247" s="10">
        <v>19</v>
      </c>
      <c r="K4247" s="10">
        <f>SUMIFS(F:F,D:D,DST_123_ÜRETİM_İHTİYAÇ_RAPORU_BURAK_YENI1309[[#This Row],[ALT_KOD]])-(SUMIFS(H:H,D:D,DST_123_ÜRETİM_İHTİYAÇ_RAPORU_BURAK_YENI1309[[#This Row],[ALT_KOD]])+AVERAGEIFS(I:I,D:D,DST_123_ÜRETİM_İHTİYAÇ_RAPORU_BURAK_YENI1309[[#This Row],[ALT_KOD]])+AVERAGEIFS(L:L,D:D,DST_123_ÜRETİM_İHTİYAÇ_RAPORU_BURAK_YENI1309[[#This Row],[ALT_KOD]]))</f>
        <v>14</v>
      </c>
      <c r="L4247">
        <v>0</v>
      </c>
      <c r="M4247">
        <f>IF((DST_123_ÜRETİM_İHTİYAÇ_RAPORU_BURAK_YENI1309[[#This Row],[SATINALMA]]*DST_123_ÜRETİM_İHTİYAÇ_RAPORU_BURAK_YENI1309[[#This Row],[BIRIM_FIYATLAR]])&lt;1,VALUE("0"),DST_123_ÜRETİM_İHTİYAÇ_RAPORU_BURAK_YENI1309[[#This Row],[SATINALMA]]*DST_123_ÜRETİM_İHTİYAÇ_RAPORU_BURAK_YENI1309[[#This Row],[BIRIM_FIYATLAR]])</f>
        <v>44207.66</v>
      </c>
      <c r="N4247">
        <v>3157.69</v>
      </c>
      <c r="O4247" t="s">
        <v>647</v>
      </c>
      <c r="P4247">
        <v>12630.76</v>
      </c>
      <c r="Q4247" t="s">
        <v>177</v>
      </c>
    </row>
    <row r="4248" spans="1:17" x14ac:dyDescent="0.25">
      <c r="A4248" t="s">
        <v>1148</v>
      </c>
      <c r="B4248" t="s">
        <v>1056</v>
      </c>
      <c r="C4248" t="s">
        <v>175</v>
      </c>
      <c r="D4248" t="s">
        <v>435</v>
      </c>
      <c r="E4248" t="s">
        <v>436</v>
      </c>
      <c r="F4248">
        <v>1</v>
      </c>
      <c r="G4248" t="s">
        <v>176</v>
      </c>
      <c r="H4248">
        <v>0</v>
      </c>
      <c r="I4248">
        <v>10</v>
      </c>
      <c r="J4248" s="10">
        <v>5</v>
      </c>
      <c r="K4248" s="10">
        <f>SUMIFS(F:F,D:D,DST_123_ÜRETİM_İHTİYAÇ_RAPORU_BURAK_YENI1309[[#This Row],[ALT_KOD]])-(SUMIFS(H:H,D:D,DST_123_ÜRETİM_İHTİYAÇ_RAPORU_BURAK_YENI1309[[#This Row],[ALT_KOD]])+AVERAGEIFS(I:I,D:D,DST_123_ÜRETİM_İHTİYAÇ_RAPORU_BURAK_YENI1309[[#This Row],[ALT_KOD]])+AVERAGEIFS(L:L,D:D,DST_123_ÜRETİM_İHTİYAÇ_RAPORU_BURAK_YENI1309[[#This Row],[ALT_KOD]]))</f>
        <v>-6</v>
      </c>
      <c r="L4248">
        <v>0</v>
      </c>
      <c r="M4248">
        <f>IF((DST_123_ÜRETİM_İHTİYAÇ_RAPORU_BURAK_YENI1309[[#This Row],[SATINALMA]]*DST_123_ÜRETİM_İHTİYAÇ_RAPORU_BURAK_YENI1309[[#This Row],[BIRIM_FIYATLAR]])&lt;1,VALUE("0"),DST_123_ÜRETİM_İHTİYAÇ_RAPORU_BURAK_YENI1309[[#This Row],[SATINALMA]]*DST_123_ÜRETİM_İHTİYAÇ_RAPORU_BURAK_YENI1309[[#This Row],[BIRIM_FIYATLAR]])</f>
        <v>0</v>
      </c>
      <c r="N4248">
        <v>1723.79</v>
      </c>
      <c r="O4248" t="s">
        <v>636</v>
      </c>
      <c r="P4248">
        <v>1723.79</v>
      </c>
      <c r="Q4248" t="s">
        <v>178</v>
      </c>
    </row>
    <row r="4249" spans="1:17" x14ac:dyDescent="0.25">
      <c r="A4249" t="s">
        <v>1148</v>
      </c>
      <c r="B4249" t="s">
        <v>1056</v>
      </c>
      <c r="C4249" t="s">
        <v>175</v>
      </c>
      <c r="D4249" t="s">
        <v>471</v>
      </c>
      <c r="E4249" t="s">
        <v>472</v>
      </c>
      <c r="F4249">
        <v>4</v>
      </c>
      <c r="G4249" t="s">
        <v>176</v>
      </c>
      <c r="H4249">
        <v>0</v>
      </c>
      <c r="I4249">
        <v>200</v>
      </c>
      <c r="J4249" s="10">
        <v>343</v>
      </c>
      <c r="K4249" s="10">
        <f>SUMIFS(F:F,D:D,DST_123_ÜRETİM_İHTİYAÇ_RAPORU_BURAK_YENI1309[[#This Row],[ALT_KOD]])-(SUMIFS(H:H,D:D,DST_123_ÜRETİM_İHTİYAÇ_RAPORU_BURAK_YENI1309[[#This Row],[ALT_KOD]])+AVERAGEIFS(I:I,D:D,DST_123_ÜRETİM_İHTİYAÇ_RAPORU_BURAK_YENI1309[[#This Row],[ALT_KOD]])+AVERAGEIFS(L:L,D:D,DST_123_ÜRETİM_İHTİYAÇ_RAPORU_BURAK_YENI1309[[#This Row],[ALT_KOD]]))</f>
        <v>-8</v>
      </c>
      <c r="L4249">
        <v>0</v>
      </c>
      <c r="M4249">
        <f>IF((DST_123_ÜRETİM_İHTİYAÇ_RAPORU_BURAK_YENI1309[[#This Row],[SATINALMA]]*DST_123_ÜRETİM_İHTİYAÇ_RAPORU_BURAK_YENI1309[[#This Row],[BIRIM_FIYATLAR]])&lt;1,VALUE("0"),DST_123_ÜRETİM_İHTİYAÇ_RAPORU_BURAK_YENI1309[[#This Row],[SATINALMA]]*DST_123_ÜRETİM_İHTİYAÇ_RAPORU_BURAK_YENI1309[[#This Row],[BIRIM_FIYATLAR]])</f>
        <v>0</v>
      </c>
      <c r="N4249">
        <v>9</v>
      </c>
      <c r="O4249" t="s">
        <v>240</v>
      </c>
      <c r="P4249">
        <v>36</v>
      </c>
      <c r="Q4249" t="s">
        <v>180</v>
      </c>
    </row>
    <row r="4250" spans="1:17" x14ac:dyDescent="0.25">
      <c r="A4250" t="s">
        <v>1148</v>
      </c>
      <c r="B4250" t="s">
        <v>1056</v>
      </c>
      <c r="C4250" t="s">
        <v>175</v>
      </c>
      <c r="D4250" t="s">
        <v>263</v>
      </c>
      <c r="E4250" t="s">
        <v>419</v>
      </c>
      <c r="F4250">
        <v>1</v>
      </c>
      <c r="G4250" t="s">
        <v>176</v>
      </c>
      <c r="H4250">
        <v>0</v>
      </c>
      <c r="I4250">
        <v>4</v>
      </c>
      <c r="J4250" s="10">
        <v>11</v>
      </c>
      <c r="K4250" s="10">
        <f>SUMIFS(F:F,D:D,DST_123_ÜRETİM_İHTİYAÇ_RAPORU_BURAK_YENI1309[[#This Row],[ALT_KOD]])-(SUMIFS(H:H,D:D,DST_123_ÜRETİM_İHTİYAÇ_RAPORU_BURAK_YENI1309[[#This Row],[ALT_KOD]])+AVERAGEIFS(I:I,D:D,DST_123_ÜRETİM_İHTİYAÇ_RAPORU_BURAK_YENI1309[[#This Row],[ALT_KOD]])+AVERAGEIFS(L:L,D:D,DST_123_ÜRETİM_İHTİYAÇ_RAPORU_BURAK_YENI1309[[#This Row],[ALT_KOD]]))</f>
        <v>9</v>
      </c>
      <c r="L4250">
        <v>0</v>
      </c>
      <c r="M4250">
        <f>IF((DST_123_ÜRETİM_İHTİYAÇ_RAPORU_BURAK_YENI1309[[#This Row],[SATINALMA]]*DST_123_ÜRETİM_İHTİYAÇ_RAPORU_BURAK_YENI1309[[#This Row],[BIRIM_FIYATLAR]])&lt;1,VALUE("0"),DST_123_ÜRETİM_İHTİYAÇ_RAPORU_BURAK_YENI1309[[#This Row],[SATINALMA]]*DST_123_ÜRETİM_İHTİYAÇ_RAPORU_BURAK_YENI1309[[#This Row],[BIRIM_FIYATLAR]])</f>
        <v>54009.99</v>
      </c>
      <c r="N4250">
        <v>6001.11</v>
      </c>
      <c r="O4250" t="s">
        <v>227</v>
      </c>
      <c r="P4250">
        <v>6001.11</v>
      </c>
      <c r="Q4250" t="s">
        <v>221</v>
      </c>
    </row>
    <row r="4251" spans="1:17" x14ac:dyDescent="0.25">
      <c r="A4251" t="s">
        <v>1095</v>
      </c>
      <c r="B4251" t="s">
        <v>1096</v>
      </c>
      <c r="C4251" t="s">
        <v>175</v>
      </c>
      <c r="D4251" t="s">
        <v>435</v>
      </c>
      <c r="E4251" t="s">
        <v>436</v>
      </c>
      <c r="F4251">
        <v>1</v>
      </c>
      <c r="G4251" t="s">
        <v>176</v>
      </c>
      <c r="H4251">
        <v>0</v>
      </c>
      <c r="I4251">
        <v>10</v>
      </c>
      <c r="J4251" s="10">
        <v>5</v>
      </c>
      <c r="K4251" s="10">
        <f>SUMIFS(F:F,D:D,DST_123_ÜRETİM_İHTİYAÇ_RAPORU_BURAK_YENI1309[[#This Row],[ALT_KOD]])-(SUMIFS(H:H,D:D,DST_123_ÜRETİM_İHTİYAÇ_RAPORU_BURAK_YENI1309[[#This Row],[ALT_KOD]])+AVERAGEIFS(I:I,D:D,DST_123_ÜRETİM_İHTİYAÇ_RAPORU_BURAK_YENI1309[[#This Row],[ALT_KOD]])+AVERAGEIFS(L:L,D:D,DST_123_ÜRETİM_İHTİYAÇ_RAPORU_BURAK_YENI1309[[#This Row],[ALT_KOD]]))</f>
        <v>-6</v>
      </c>
      <c r="L4251">
        <v>0</v>
      </c>
      <c r="M4251">
        <f>IF((DST_123_ÜRETİM_İHTİYAÇ_RAPORU_BURAK_YENI1309[[#This Row],[SATINALMA]]*DST_123_ÜRETİM_İHTİYAÇ_RAPORU_BURAK_YENI1309[[#This Row],[BIRIM_FIYATLAR]])&lt;1,VALUE("0"),DST_123_ÜRETİM_İHTİYAÇ_RAPORU_BURAK_YENI1309[[#This Row],[SATINALMA]]*DST_123_ÜRETİM_İHTİYAÇ_RAPORU_BURAK_YENI1309[[#This Row],[BIRIM_FIYATLAR]])</f>
        <v>0</v>
      </c>
      <c r="N4251">
        <v>1723.79</v>
      </c>
      <c r="O4251" t="s">
        <v>636</v>
      </c>
      <c r="P4251">
        <v>1723.79</v>
      </c>
      <c r="Q4251" t="s">
        <v>178</v>
      </c>
    </row>
    <row r="4252" spans="1:17" x14ac:dyDescent="0.25">
      <c r="A4252" t="s">
        <v>1097</v>
      </c>
      <c r="B4252" t="s">
        <v>1055</v>
      </c>
      <c r="C4252" t="s">
        <v>175</v>
      </c>
      <c r="D4252" t="s">
        <v>435</v>
      </c>
      <c r="E4252" t="s">
        <v>436</v>
      </c>
      <c r="F4252">
        <v>1</v>
      </c>
      <c r="G4252" t="s">
        <v>176</v>
      </c>
      <c r="H4252">
        <v>1</v>
      </c>
      <c r="I4252">
        <v>10</v>
      </c>
      <c r="J4252" s="10">
        <v>5</v>
      </c>
      <c r="K4252" s="10">
        <f>SUMIFS(F:F,D:D,DST_123_ÜRETİM_İHTİYAÇ_RAPORU_BURAK_YENI1309[[#This Row],[ALT_KOD]])-(SUMIFS(H:H,D:D,DST_123_ÜRETİM_İHTİYAÇ_RAPORU_BURAK_YENI1309[[#This Row],[ALT_KOD]])+AVERAGEIFS(I:I,D:D,DST_123_ÜRETİM_İHTİYAÇ_RAPORU_BURAK_YENI1309[[#This Row],[ALT_KOD]])+AVERAGEIFS(L:L,D:D,DST_123_ÜRETİM_İHTİYAÇ_RAPORU_BURAK_YENI1309[[#This Row],[ALT_KOD]]))</f>
        <v>-6</v>
      </c>
      <c r="L4252">
        <v>0</v>
      </c>
      <c r="M4252">
        <f>IF((DST_123_ÜRETİM_İHTİYAÇ_RAPORU_BURAK_YENI1309[[#This Row],[SATINALMA]]*DST_123_ÜRETİM_İHTİYAÇ_RAPORU_BURAK_YENI1309[[#This Row],[BIRIM_FIYATLAR]])&lt;1,VALUE("0"),DST_123_ÜRETİM_İHTİYAÇ_RAPORU_BURAK_YENI1309[[#This Row],[SATINALMA]]*DST_123_ÜRETİM_İHTİYAÇ_RAPORU_BURAK_YENI1309[[#This Row],[BIRIM_FIYATLAR]])</f>
        <v>0</v>
      </c>
      <c r="N4252">
        <v>1723.79</v>
      </c>
      <c r="O4252" t="s">
        <v>636</v>
      </c>
      <c r="P4252">
        <v>1723.79</v>
      </c>
      <c r="Q4252" t="s">
        <v>178</v>
      </c>
    </row>
    <row r="4253" spans="1:17" x14ac:dyDescent="0.25">
      <c r="A4253" t="s">
        <v>1142</v>
      </c>
      <c r="B4253" t="s">
        <v>1056</v>
      </c>
      <c r="C4253" t="s">
        <v>175</v>
      </c>
      <c r="D4253" t="s">
        <v>263</v>
      </c>
      <c r="E4253" t="s">
        <v>419</v>
      </c>
      <c r="F4253">
        <v>1</v>
      </c>
      <c r="G4253" t="s">
        <v>176</v>
      </c>
      <c r="H4253">
        <v>0</v>
      </c>
      <c r="I4253">
        <v>4</v>
      </c>
      <c r="J4253" s="10">
        <v>11</v>
      </c>
      <c r="K4253" s="10">
        <f>SUMIFS(F:F,D:D,DST_123_ÜRETİM_İHTİYAÇ_RAPORU_BURAK_YENI1309[[#This Row],[ALT_KOD]])-(SUMIFS(H:H,D:D,DST_123_ÜRETİM_İHTİYAÇ_RAPORU_BURAK_YENI1309[[#This Row],[ALT_KOD]])+AVERAGEIFS(I:I,D:D,DST_123_ÜRETİM_İHTİYAÇ_RAPORU_BURAK_YENI1309[[#This Row],[ALT_KOD]])+AVERAGEIFS(L:L,D:D,DST_123_ÜRETİM_İHTİYAÇ_RAPORU_BURAK_YENI1309[[#This Row],[ALT_KOD]]))</f>
        <v>9</v>
      </c>
      <c r="L4253">
        <v>0</v>
      </c>
      <c r="M4253">
        <f>IF((DST_123_ÜRETİM_İHTİYAÇ_RAPORU_BURAK_YENI1309[[#This Row],[SATINALMA]]*DST_123_ÜRETİM_İHTİYAÇ_RAPORU_BURAK_YENI1309[[#This Row],[BIRIM_FIYATLAR]])&lt;1,VALUE("0"),DST_123_ÜRETİM_İHTİYAÇ_RAPORU_BURAK_YENI1309[[#This Row],[SATINALMA]]*DST_123_ÜRETİM_İHTİYAÇ_RAPORU_BURAK_YENI1309[[#This Row],[BIRIM_FIYATLAR]])</f>
        <v>54009.99</v>
      </c>
      <c r="N4253">
        <v>6001.11</v>
      </c>
      <c r="O4253" t="s">
        <v>227</v>
      </c>
      <c r="P4253">
        <v>6001.11</v>
      </c>
      <c r="Q4253" t="s">
        <v>221</v>
      </c>
    </row>
    <row r="4254" spans="1:17" x14ac:dyDescent="0.25">
      <c r="A4254" t="s">
        <v>1149</v>
      </c>
      <c r="B4254" t="s">
        <v>1145</v>
      </c>
      <c r="C4254" t="s">
        <v>175</v>
      </c>
      <c r="D4254" t="s">
        <v>471</v>
      </c>
      <c r="E4254" t="s">
        <v>472</v>
      </c>
      <c r="F4254">
        <v>12</v>
      </c>
      <c r="G4254" t="s">
        <v>176</v>
      </c>
      <c r="H4254">
        <v>0</v>
      </c>
      <c r="I4254">
        <v>200</v>
      </c>
      <c r="J4254" s="10">
        <v>343</v>
      </c>
      <c r="K4254" s="10">
        <f>SUMIFS(F:F,D:D,DST_123_ÜRETİM_İHTİYAÇ_RAPORU_BURAK_YENI1309[[#This Row],[ALT_KOD]])-(SUMIFS(H:H,D:D,DST_123_ÜRETİM_İHTİYAÇ_RAPORU_BURAK_YENI1309[[#This Row],[ALT_KOD]])+AVERAGEIFS(I:I,D:D,DST_123_ÜRETİM_İHTİYAÇ_RAPORU_BURAK_YENI1309[[#This Row],[ALT_KOD]])+AVERAGEIFS(L:L,D:D,DST_123_ÜRETİM_İHTİYAÇ_RAPORU_BURAK_YENI1309[[#This Row],[ALT_KOD]]))</f>
        <v>-8</v>
      </c>
      <c r="L4254">
        <v>0</v>
      </c>
      <c r="M4254">
        <f>IF((DST_123_ÜRETİM_İHTİYAÇ_RAPORU_BURAK_YENI1309[[#This Row],[SATINALMA]]*DST_123_ÜRETİM_İHTİYAÇ_RAPORU_BURAK_YENI1309[[#This Row],[BIRIM_FIYATLAR]])&lt;1,VALUE("0"),DST_123_ÜRETİM_İHTİYAÇ_RAPORU_BURAK_YENI1309[[#This Row],[SATINALMA]]*DST_123_ÜRETİM_İHTİYAÇ_RAPORU_BURAK_YENI1309[[#This Row],[BIRIM_FIYATLAR]])</f>
        <v>0</v>
      </c>
      <c r="N4254">
        <v>9</v>
      </c>
      <c r="O4254" t="s">
        <v>240</v>
      </c>
      <c r="P4254">
        <v>108</v>
      </c>
      <c r="Q4254" t="s">
        <v>180</v>
      </c>
    </row>
    <row r="4255" spans="1:17" x14ac:dyDescent="0.25">
      <c r="A4255" t="s">
        <v>1146</v>
      </c>
      <c r="B4255" t="s">
        <v>1145</v>
      </c>
      <c r="C4255" t="s">
        <v>175</v>
      </c>
      <c r="D4255" t="s">
        <v>475</v>
      </c>
      <c r="E4255" t="s">
        <v>476</v>
      </c>
      <c r="F4255">
        <v>1</v>
      </c>
      <c r="G4255" t="s">
        <v>176</v>
      </c>
      <c r="H4255">
        <v>0</v>
      </c>
      <c r="I4255">
        <v>6</v>
      </c>
      <c r="J4255" s="10">
        <v>1.7763568394002505E-15</v>
      </c>
      <c r="K4255" s="10">
        <f>SUMIFS(F:F,D:D,DST_123_ÜRETİM_İHTİYAÇ_RAPORU_BURAK_YENI1309[[#This Row],[ALT_KOD]])-(SUMIFS(H:H,D:D,DST_123_ÜRETİM_İHTİYAÇ_RAPORU_BURAK_YENI1309[[#This Row],[ALT_KOD]])+AVERAGEIFS(I:I,D:D,DST_123_ÜRETİM_İHTİYAÇ_RAPORU_BURAK_YENI1309[[#This Row],[ALT_KOD]])+AVERAGEIFS(L:L,D:D,DST_123_ÜRETİM_İHTİYAÇ_RAPORU_BURAK_YENI1309[[#This Row],[ALT_KOD]]))</f>
        <v>7.25</v>
      </c>
      <c r="L4255">
        <v>0</v>
      </c>
      <c r="M4255">
        <f>IF((DST_123_ÜRETİM_İHTİYAÇ_RAPORU_BURAK_YENI1309[[#This Row],[SATINALMA]]*DST_123_ÜRETİM_İHTİYAÇ_RAPORU_BURAK_YENI1309[[#This Row],[BIRIM_FIYATLAR]])&lt;1,VALUE("0"),DST_123_ÜRETİM_İHTİYAÇ_RAPORU_BURAK_YENI1309[[#This Row],[SATINALMA]]*DST_123_ÜRETİM_İHTİYAÇ_RAPORU_BURAK_YENI1309[[#This Row],[BIRIM_FIYATLAR]])</f>
        <v>145</v>
      </c>
      <c r="N4255">
        <v>20</v>
      </c>
      <c r="O4255" t="s">
        <v>226</v>
      </c>
      <c r="P4255">
        <v>20</v>
      </c>
      <c r="Q4255" t="s">
        <v>180</v>
      </c>
    </row>
    <row r="4256" spans="1:17" x14ac:dyDescent="0.25">
      <c r="A4256" t="s">
        <v>1149</v>
      </c>
      <c r="B4256" t="s">
        <v>1145</v>
      </c>
      <c r="C4256" t="s">
        <v>175</v>
      </c>
      <c r="D4256" t="s">
        <v>263</v>
      </c>
      <c r="E4256" t="s">
        <v>419</v>
      </c>
      <c r="F4256">
        <v>1</v>
      </c>
      <c r="G4256" t="s">
        <v>176</v>
      </c>
      <c r="H4256">
        <v>0</v>
      </c>
      <c r="I4256">
        <v>4</v>
      </c>
      <c r="J4256" s="10">
        <v>11</v>
      </c>
      <c r="K4256" s="10">
        <f>SUMIFS(F:F,D:D,DST_123_ÜRETİM_İHTİYAÇ_RAPORU_BURAK_YENI1309[[#This Row],[ALT_KOD]])-(SUMIFS(H:H,D:D,DST_123_ÜRETİM_İHTİYAÇ_RAPORU_BURAK_YENI1309[[#This Row],[ALT_KOD]])+AVERAGEIFS(I:I,D:D,DST_123_ÜRETİM_İHTİYAÇ_RAPORU_BURAK_YENI1309[[#This Row],[ALT_KOD]])+AVERAGEIFS(L:L,D:D,DST_123_ÜRETİM_İHTİYAÇ_RAPORU_BURAK_YENI1309[[#This Row],[ALT_KOD]]))</f>
        <v>9</v>
      </c>
      <c r="L4256">
        <v>0</v>
      </c>
      <c r="M4256">
        <f>IF((DST_123_ÜRETİM_İHTİYAÇ_RAPORU_BURAK_YENI1309[[#This Row],[SATINALMA]]*DST_123_ÜRETİM_İHTİYAÇ_RAPORU_BURAK_YENI1309[[#This Row],[BIRIM_FIYATLAR]])&lt;1,VALUE("0"),DST_123_ÜRETİM_İHTİYAÇ_RAPORU_BURAK_YENI1309[[#This Row],[SATINALMA]]*DST_123_ÜRETİM_İHTİYAÇ_RAPORU_BURAK_YENI1309[[#This Row],[BIRIM_FIYATLAR]])</f>
        <v>54009.99</v>
      </c>
      <c r="N4256">
        <v>6001.11</v>
      </c>
      <c r="O4256" t="s">
        <v>227</v>
      </c>
      <c r="P4256">
        <v>6001.11</v>
      </c>
      <c r="Q4256" t="s">
        <v>221</v>
      </c>
    </row>
    <row r="4257" spans="1:17" x14ac:dyDescent="0.25">
      <c r="A4257" t="s">
        <v>1147</v>
      </c>
      <c r="B4257" t="s">
        <v>1145</v>
      </c>
      <c r="C4257" t="s">
        <v>175</v>
      </c>
      <c r="D4257" t="s">
        <v>293</v>
      </c>
      <c r="E4257" t="s">
        <v>323</v>
      </c>
      <c r="F4257">
        <v>7.0000000000000007E-2</v>
      </c>
      <c r="G4257" t="s">
        <v>185</v>
      </c>
      <c r="H4257">
        <v>0</v>
      </c>
      <c r="I4257">
        <v>2.5</v>
      </c>
      <c r="J4257" s="10">
        <v>-4.9960036108132044E-16</v>
      </c>
      <c r="K4257" s="10">
        <f>SUMIFS(F:F,D:D,DST_123_ÜRETİM_İHTİYAÇ_RAPORU_BURAK_YENI1309[[#This Row],[ALT_KOD]])-(SUMIFS(H:H,D:D,DST_123_ÜRETİM_İHTİYAÇ_RAPORU_BURAK_YENI1309[[#This Row],[ALT_KOD]])+AVERAGEIFS(I:I,D:D,DST_123_ÜRETİM_İHTİYAÇ_RAPORU_BURAK_YENI1309[[#This Row],[ALT_KOD]])+AVERAGEIFS(L:L,D:D,DST_123_ÜRETİM_İHTİYAÇ_RAPORU_BURAK_YENI1309[[#This Row],[ALT_KOD]]))</f>
        <v>-0.61999999999999922</v>
      </c>
      <c r="L4257">
        <v>0</v>
      </c>
      <c r="M4257">
        <f>IF((DST_123_ÜRETİM_İHTİYAÇ_RAPORU_BURAK_YENI1309[[#This Row],[SATINALMA]]*DST_123_ÜRETİM_İHTİYAÇ_RAPORU_BURAK_YENI1309[[#This Row],[BIRIM_FIYATLAR]])&lt;1,VALUE("0"),DST_123_ÜRETİM_İHTİYAÇ_RAPORU_BURAK_YENI1309[[#This Row],[SATINALMA]]*DST_123_ÜRETİM_İHTİYAÇ_RAPORU_BURAK_YENI1309[[#This Row],[BIRIM_FIYATLAR]])</f>
        <v>0</v>
      </c>
      <c r="N4257">
        <v>2400</v>
      </c>
      <c r="O4257" t="s">
        <v>220</v>
      </c>
      <c r="P4257">
        <v>168.00000000000003</v>
      </c>
      <c r="Q4257" t="s">
        <v>180</v>
      </c>
    </row>
    <row r="4258" spans="1:17" x14ac:dyDescent="0.25">
      <c r="A4258" t="s">
        <v>1101</v>
      </c>
      <c r="B4258" t="s">
        <v>1102</v>
      </c>
      <c r="C4258" t="s">
        <v>175</v>
      </c>
      <c r="D4258" t="s">
        <v>471</v>
      </c>
      <c r="E4258" t="s">
        <v>472</v>
      </c>
      <c r="F4258">
        <v>16</v>
      </c>
      <c r="G4258" t="s">
        <v>176</v>
      </c>
      <c r="H4258">
        <v>0</v>
      </c>
      <c r="I4258">
        <v>200</v>
      </c>
      <c r="J4258" s="10">
        <v>343</v>
      </c>
      <c r="K4258" s="10">
        <f>SUMIFS(F:F,D:D,DST_123_ÜRETİM_İHTİYAÇ_RAPORU_BURAK_YENI1309[[#This Row],[ALT_KOD]])-(SUMIFS(H:H,D:D,DST_123_ÜRETİM_İHTİYAÇ_RAPORU_BURAK_YENI1309[[#This Row],[ALT_KOD]])+AVERAGEIFS(I:I,D:D,DST_123_ÜRETİM_İHTİYAÇ_RAPORU_BURAK_YENI1309[[#This Row],[ALT_KOD]])+AVERAGEIFS(L:L,D:D,DST_123_ÜRETİM_İHTİYAÇ_RAPORU_BURAK_YENI1309[[#This Row],[ALT_KOD]]))</f>
        <v>-8</v>
      </c>
      <c r="L4258">
        <v>0</v>
      </c>
      <c r="M4258">
        <f>IF((DST_123_ÜRETİM_İHTİYAÇ_RAPORU_BURAK_YENI1309[[#This Row],[SATINALMA]]*DST_123_ÜRETİM_İHTİYAÇ_RAPORU_BURAK_YENI1309[[#This Row],[BIRIM_FIYATLAR]])&lt;1,VALUE("0"),DST_123_ÜRETİM_İHTİYAÇ_RAPORU_BURAK_YENI1309[[#This Row],[SATINALMA]]*DST_123_ÜRETİM_İHTİYAÇ_RAPORU_BURAK_YENI1309[[#This Row],[BIRIM_FIYATLAR]])</f>
        <v>0</v>
      </c>
      <c r="N4258">
        <v>9</v>
      </c>
      <c r="O4258" t="s">
        <v>240</v>
      </c>
      <c r="P4258">
        <v>144</v>
      </c>
      <c r="Q4258" t="s">
        <v>180</v>
      </c>
    </row>
    <row r="4259" spans="1:17" x14ac:dyDescent="0.25">
      <c r="A4259" t="s">
        <v>1097</v>
      </c>
      <c r="B4259" t="s">
        <v>1055</v>
      </c>
      <c r="C4259" t="s">
        <v>175</v>
      </c>
      <c r="D4259" t="s">
        <v>471</v>
      </c>
      <c r="E4259" t="s">
        <v>472</v>
      </c>
      <c r="F4259">
        <v>16</v>
      </c>
      <c r="G4259" t="s">
        <v>176</v>
      </c>
      <c r="H4259">
        <v>0</v>
      </c>
      <c r="I4259">
        <v>200</v>
      </c>
      <c r="J4259" s="10">
        <v>343</v>
      </c>
      <c r="K4259" s="10">
        <f>SUMIFS(F:F,D:D,DST_123_ÜRETİM_İHTİYAÇ_RAPORU_BURAK_YENI1309[[#This Row],[ALT_KOD]])-(SUMIFS(H:H,D:D,DST_123_ÜRETİM_İHTİYAÇ_RAPORU_BURAK_YENI1309[[#This Row],[ALT_KOD]])+AVERAGEIFS(I:I,D:D,DST_123_ÜRETİM_İHTİYAÇ_RAPORU_BURAK_YENI1309[[#This Row],[ALT_KOD]])+AVERAGEIFS(L:L,D:D,DST_123_ÜRETİM_İHTİYAÇ_RAPORU_BURAK_YENI1309[[#This Row],[ALT_KOD]]))</f>
        <v>-8</v>
      </c>
      <c r="L4259">
        <v>0</v>
      </c>
      <c r="M4259">
        <f>IF((DST_123_ÜRETİM_İHTİYAÇ_RAPORU_BURAK_YENI1309[[#This Row],[SATINALMA]]*DST_123_ÜRETİM_İHTİYAÇ_RAPORU_BURAK_YENI1309[[#This Row],[BIRIM_FIYATLAR]])&lt;1,VALUE("0"),DST_123_ÜRETİM_İHTİYAÇ_RAPORU_BURAK_YENI1309[[#This Row],[SATINALMA]]*DST_123_ÜRETİM_İHTİYAÇ_RAPORU_BURAK_YENI1309[[#This Row],[BIRIM_FIYATLAR]])</f>
        <v>0</v>
      </c>
      <c r="N4259">
        <v>9</v>
      </c>
      <c r="O4259" t="s">
        <v>240</v>
      </c>
      <c r="P4259">
        <v>144</v>
      </c>
      <c r="Q4259" t="s">
        <v>180</v>
      </c>
    </row>
    <row r="4260" spans="1:17" x14ac:dyDescent="0.25">
      <c r="A4260" t="s">
        <v>1097</v>
      </c>
      <c r="B4260" t="s">
        <v>1055</v>
      </c>
      <c r="C4260" t="s">
        <v>175</v>
      </c>
      <c r="D4260" t="s">
        <v>475</v>
      </c>
      <c r="E4260" t="s">
        <v>476</v>
      </c>
      <c r="F4260">
        <v>1</v>
      </c>
      <c r="G4260" t="s">
        <v>176</v>
      </c>
      <c r="H4260">
        <v>0</v>
      </c>
      <c r="I4260">
        <v>6</v>
      </c>
      <c r="J4260" s="10">
        <v>1.7763568394002505E-15</v>
      </c>
      <c r="K4260" s="10">
        <f>SUMIFS(F:F,D:D,DST_123_ÜRETİM_İHTİYAÇ_RAPORU_BURAK_YENI1309[[#This Row],[ALT_KOD]])-(SUMIFS(H:H,D:D,DST_123_ÜRETİM_İHTİYAÇ_RAPORU_BURAK_YENI1309[[#This Row],[ALT_KOD]])+AVERAGEIFS(I:I,D:D,DST_123_ÜRETİM_İHTİYAÇ_RAPORU_BURAK_YENI1309[[#This Row],[ALT_KOD]])+AVERAGEIFS(L:L,D:D,DST_123_ÜRETİM_İHTİYAÇ_RAPORU_BURAK_YENI1309[[#This Row],[ALT_KOD]]))</f>
        <v>7.25</v>
      </c>
      <c r="L4260">
        <v>0</v>
      </c>
      <c r="M4260">
        <f>IF((DST_123_ÜRETİM_İHTİYAÇ_RAPORU_BURAK_YENI1309[[#This Row],[SATINALMA]]*DST_123_ÜRETİM_İHTİYAÇ_RAPORU_BURAK_YENI1309[[#This Row],[BIRIM_FIYATLAR]])&lt;1,VALUE("0"),DST_123_ÜRETİM_İHTİYAÇ_RAPORU_BURAK_YENI1309[[#This Row],[SATINALMA]]*DST_123_ÜRETİM_İHTİYAÇ_RAPORU_BURAK_YENI1309[[#This Row],[BIRIM_FIYATLAR]])</f>
        <v>145</v>
      </c>
      <c r="N4260">
        <v>20</v>
      </c>
      <c r="O4260" t="s">
        <v>226</v>
      </c>
      <c r="P4260">
        <v>20</v>
      </c>
      <c r="Q4260" t="s">
        <v>180</v>
      </c>
    </row>
    <row r="4261" spans="1:17" x14ac:dyDescent="0.25">
      <c r="A4261" t="s">
        <v>1097</v>
      </c>
      <c r="B4261" t="s">
        <v>1055</v>
      </c>
      <c r="C4261" t="s">
        <v>175</v>
      </c>
      <c r="D4261" t="s">
        <v>263</v>
      </c>
      <c r="E4261" t="s">
        <v>419</v>
      </c>
      <c r="F4261">
        <v>1</v>
      </c>
      <c r="G4261" t="s">
        <v>176</v>
      </c>
      <c r="H4261">
        <v>0</v>
      </c>
      <c r="I4261">
        <v>4</v>
      </c>
      <c r="J4261" s="10">
        <v>11</v>
      </c>
      <c r="K4261" s="10">
        <f>SUMIFS(F:F,D:D,DST_123_ÜRETİM_İHTİYAÇ_RAPORU_BURAK_YENI1309[[#This Row],[ALT_KOD]])-(SUMIFS(H:H,D:D,DST_123_ÜRETİM_İHTİYAÇ_RAPORU_BURAK_YENI1309[[#This Row],[ALT_KOD]])+AVERAGEIFS(I:I,D:D,DST_123_ÜRETİM_İHTİYAÇ_RAPORU_BURAK_YENI1309[[#This Row],[ALT_KOD]])+AVERAGEIFS(L:L,D:D,DST_123_ÜRETİM_İHTİYAÇ_RAPORU_BURAK_YENI1309[[#This Row],[ALT_KOD]]))</f>
        <v>9</v>
      </c>
      <c r="L4261">
        <v>0</v>
      </c>
      <c r="M4261">
        <f>IF((DST_123_ÜRETİM_İHTİYAÇ_RAPORU_BURAK_YENI1309[[#This Row],[SATINALMA]]*DST_123_ÜRETİM_İHTİYAÇ_RAPORU_BURAK_YENI1309[[#This Row],[BIRIM_FIYATLAR]])&lt;1,VALUE("0"),DST_123_ÜRETİM_İHTİYAÇ_RAPORU_BURAK_YENI1309[[#This Row],[SATINALMA]]*DST_123_ÜRETİM_İHTİYAÇ_RAPORU_BURAK_YENI1309[[#This Row],[BIRIM_FIYATLAR]])</f>
        <v>54009.99</v>
      </c>
      <c r="N4261">
        <v>6001.11</v>
      </c>
      <c r="O4261" t="s">
        <v>227</v>
      </c>
      <c r="P4261">
        <v>6001.11</v>
      </c>
      <c r="Q4261" t="s">
        <v>221</v>
      </c>
    </row>
    <row r="4262" spans="1:17" x14ac:dyDescent="0.25">
      <c r="A4262" t="s">
        <v>1095</v>
      </c>
      <c r="B4262" t="s">
        <v>1096</v>
      </c>
      <c r="C4262" t="s">
        <v>175</v>
      </c>
      <c r="D4262" t="s">
        <v>475</v>
      </c>
      <c r="E4262" t="s">
        <v>476</v>
      </c>
      <c r="F4262">
        <v>1</v>
      </c>
      <c r="G4262" t="s">
        <v>176</v>
      </c>
      <c r="H4262">
        <v>0</v>
      </c>
      <c r="I4262">
        <v>6</v>
      </c>
      <c r="J4262" s="10">
        <v>1.7763568394002505E-15</v>
      </c>
      <c r="K4262" s="10">
        <f>SUMIFS(F:F,D:D,DST_123_ÜRETİM_İHTİYAÇ_RAPORU_BURAK_YENI1309[[#This Row],[ALT_KOD]])-(SUMIFS(H:H,D:D,DST_123_ÜRETİM_İHTİYAÇ_RAPORU_BURAK_YENI1309[[#This Row],[ALT_KOD]])+AVERAGEIFS(I:I,D:D,DST_123_ÜRETİM_İHTİYAÇ_RAPORU_BURAK_YENI1309[[#This Row],[ALT_KOD]])+AVERAGEIFS(L:L,D:D,DST_123_ÜRETİM_İHTİYAÇ_RAPORU_BURAK_YENI1309[[#This Row],[ALT_KOD]]))</f>
        <v>7.25</v>
      </c>
      <c r="L4262">
        <v>0</v>
      </c>
      <c r="M4262">
        <f>IF((DST_123_ÜRETİM_İHTİYAÇ_RAPORU_BURAK_YENI1309[[#This Row],[SATINALMA]]*DST_123_ÜRETİM_İHTİYAÇ_RAPORU_BURAK_YENI1309[[#This Row],[BIRIM_FIYATLAR]])&lt;1,VALUE("0"),DST_123_ÜRETİM_İHTİYAÇ_RAPORU_BURAK_YENI1309[[#This Row],[SATINALMA]]*DST_123_ÜRETİM_İHTİYAÇ_RAPORU_BURAK_YENI1309[[#This Row],[BIRIM_FIYATLAR]])</f>
        <v>145</v>
      </c>
      <c r="N4262">
        <v>20</v>
      </c>
      <c r="O4262" t="s">
        <v>226</v>
      </c>
      <c r="P4262">
        <v>20</v>
      </c>
      <c r="Q4262" t="s">
        <v>180</v>
      </c>
    </row>
    <row r="4263" spans="1:17" x14ac:dyDescent="0.25">
      <c r="A4263" t="s">
        <v>1095</v>
      </c>
      <c r="B4263" t="s">
        <v>1096</v>
      </c>
      <c r="C4263" t="s">
        <v>175</v>
      </c>
      <c r="D4263" t="s">
        <v>263</v>
      </c>
      <c r="E4263" t="s">
        <v>419</v>
      </c>
      <c r="F4263">
        <v>1</v>
      </c>
      <c r="G4263" t="s">
        <v>176</v>
      </c>
      <c r="H4263">
        <v>0</v>
      </c>
      <c r="I4263">
        <v>4</v>
      </c>
      <c r="J4263" s="10">
        <v>11</v>
      </c>
      <c r="K4263" s="10">
        <f>SUMIFS(F:F,D:D,DST_123_ÜRETİM_İHTİYAÇ_RAPORU_BURAK_YENI1309[[#This Row],[ALT_KOD]])-(SUMIFS(H:H,D:D,DST_123_ÜRETİM_İHTİYAÇ_RAPORU_BURAK_YENI1309[[#This Row],[ALT_KOD]])+AVERAGEIFS(I:I,D:D,DST_123_ÜRETİM_İHTİYAÇ_RAPORU_BURAK_YENI1309[[#This Row],[ALT_KOD]])+AVERAGEIFS(L:L,D:D,DST_123_ÜRETİM_İHTİYAÇ_RAPORU_BURAK_YENI1309[[#This Row],[ALT_KOD]]))</f>
        <v>9</v>
      </c>
      <c r="L4263">
        <v>0</v>
      </c>
      <c r="M4263">
        <f>IF((DST_123_ÜRETİM_İHTİYAÇ_RAPORU_BURAK_YENI1309[[#This Row],[SATINALMA]]*DST_123_ÜRETİM_İHTİYAÇ_RAPORU_BURAK_YENI1309[[#This Row],[BIRIM_FIYATLAR]])&lt;1,VALUE("0"),DST_123_ÜRETİM_İHTİYAÇ_RAPORU_BURAK_YENI1309[[#This Row],[SATINALMA]]*DST_123_ÜRETİM_İHTİYAÇ_RAPORU_BURAK_YENI1309[[#This Row],[BIRIM_FIYATLAR]])</f>
        <v>54009.99</v>
      </c>
      <c r="N4263">
        <v>6001.11</v>
      </c>
      <c r="O4263" t="s">
        <v>227</v>
      </c>
      <c r="P4263">
        <v>6001.11</v>
      </c>
      <c r="Q4263" t="s">
        <v>221</v>
      </c>
    </row>
    <row r="4264" spans="1:17" x14ac:dyDescent="0.25">
      <c r="A4264" t="s">
        <v>1143</v>
      </c>
      <c r="B4264" t="s">
        <v>1056</v>
      </c>
      <c r="C4264" t="s">
        <v>175</v>
      </c>
      <c r="D4264" t="s">
        <v>1076</v>
      </c>
      <c r="E4264" t="s">
        <v>1077</v>
      </c>
      <c r="F4264">
        <v>1</v>
      </c>
      <c r="G4264" t="s">
        <v>176</v>
      </c>
      <c r="H4264">
        <v>0</v>
      </c>
      <c r="I4264">
        <v>0</v>
      </c>
      <c r="J4264" s="10">
        <v>0</v>
      </c>
      <c r="K4264" s="10">
        <f>SUMIFS(F:F,D:D,DST_123_ÜRETİM_İHTİYAÇ_RAPORU_BURAK_YENI1309[[#This Row],[ALT_KOD]])-(SUMIFS(H:H,D:D,DST_123_ÜRETİM_İHTİYAÇ_RAPORU_BURAK_YENI1309[[#This Row],[ALT_KOD]])+AVERAGEIFS(I:I,D:D,DST_123_ÜRETİM_İHTİYAÇ_RAPORU_BURAK_YENI1309[[#This Row],[ALT_KOD]])+AVERAGEIFS(L:L,D:D,DST_123_ÜRETİM_İHTİYAÇ_RAPORU_BURAK_YENI1309[[#This Row],[ALT_KOD]]))</f>
        <v>15</v>
      </c>
      <c r="L4264">
        <v>0</v>
      </c>
      <c r="M4264">
        <f>IF((DST_123_ÜRETİM_İHTİYAÇ_RAPORU_BURAK_YENI1309[[#This Row],[SATINALMA]]*DST_123_ÜRETİM_İHTİYAÇ_RAPORU_BURAK_YENI1309[[#This Row],[BIRIM_FIYATLAR]])&lt;1,VALUE("0"),DST_123_ÜRETİM_İHTİYAÇ_RAPORU_BURAK_YENI1309[[#This Row],[SATINALMA]]*DST_123_ÜRETİM_İHTİYAÇ_RAPORU_BURAK_YENI1309[[#This Row],[BIRIM_FIYATLAR]])</f>
        <v>0</v>
      </c>
      <c r="N4264">
        <v>0</v>
      </c>
      <c r="P4264">
        <v>0</v>
      </c>
      <c r="Q4264" t="s">
        <v>177</v>
      </c>
    </row>
    <row r="4265" spans="1:17" x14ac:dyDescent="0.25">
      <c r="A4265" t="s">
        <v>1196</v>
      </c>
      <c r="B4265" t="s">
        <v>1197</v>
      </c>
      <c r="C4265" t="s">
        <v>175</v>
      </c>
      <c r="D4265" t="s">
        <v>471</v>
      </c>
      <c r="E4265" t="s">
        <v>472</v>
      </c>
      <c r="F4265">
        <v>12</v>
      </c>
      <c r="G4265" t="s">
        <v>176</v>
      </c>
      <c r="H4265">
        <v>0</v>
      </c>
      <c r="I4265">
        <v>200</v>
      </c>
      <c r="J4265" s="10">
        <v>343</v>
      </c>
      <c r="K4265" s="10">
        <f>SUMIFS(F:F,D:D,DST_123_ÜRETİM_İHTİYAÇ_RAPORU_BURAK_YENI1309[[#This Row],[ALT_KOD]])-(SUMIFS(H:H,D:D,DST_123_ÜRETİM_İHTİYAÇ_RAPORU_BURAK_YENI1309[[#This Row],[ALT_KOD]])+AVERAGEIFS(I:I,D:D,DST_123_ÜRETİM_İHTİYAÇ_RAPORU_BURAK_YENI1309[[#This Row],[ALT_KOD]])+AVERAGEIFS(L:L,D:D,DST_123_ÜRETİM_İHTİYAÇ_RAPORU_BURAK_YENI1309[[#This Row],[ALT_KOD]]))</f>
        <v>-8</v>
      </c>
      <c r="L4265">
        <v>0</v>
      </c>
      <c r="M4265">
        <f>IF((DST_123_ÜRETİM_İHTİYAÇ_RAPORU_BURAK_YENI1309[[#This Row],[SATINALMA]]*DST_123_ÜRETİM_İHTİYAÇ_RAPORU_BURAK_YENI1309[[#This Row],[BIRIM_FIYATLAR]])&lt;1,VALUE("0"),DST_123_ÜRETİM_İHTİYAÇ_RAPORU_BURAK_YENI1309[[#This Row],[SATINALMA]]*DST_123_ÜRETİM_İHTİYAÇ_RAPORU_BURAK_YENI1309[[#This Row],[BIRIM_FIYATLAR]])</f>
        <v>0</v>
      </c>
      <c r="N4265">
        <v>9</v>
      </c>
      <c r="O4265" t="s">
        <v>240</v>
      </c>
      <c r="P4265">
        <v>108</v>
      </c>
      <c r="Q4265" t="s">
        <v>180</v>
      </c>
    </row>
    <row r="4266" spans="1:17" x14ac:dyDescent="0.25">
      <c r="A4266" t="s">
        <v>1098</v>
      </c>
      <c r="B4266" t="s">
        <v>1096</v>
      </c>
      <c r="C4266" t="s">
        <v>175</v>
      </c>
      <c r="D4266" t="s">
        <v>471</v>
      </c>
      <c r="E4266" t="s">
        <v>472</v>
      </c>
      <c r="F4266">
        <v>16</v>
      </c>
      <c r="G4266" t="s">
        <v>176</v>
      </c>
      <c r="H4266">
        <v>0</v>
      </c>
      <c r="I4266">
        <v>200</v>
      </c>
      <c r="J4266" s="10">
        <v>343</v>
      </c>
      <c r="K4266" s="10">
        <f>SUMIFS(F:F,D:D,DST_123_ÜRETİM_İHTİYAÇ_RAPORU_BURAK_YENI1309[[#This Row],[ALT_KOD]])-(SUMIFS(H:H,D:D,DST_123_ÜRETİM_İHTİYAÇ_RAPORU_BURAK_YENI1309[[#This Row],[ALT_KOD]])+AVERAGEIFS(I:I,D:D,DST_123_ÜRETİM_İHTİYAÇ_RAPORU_BURAK_YENI1309[[#This Row],[ALT_KOD]])+AVERAGEIFS(L:L,D:D,DST_123_ÜRETİM_İHTİYAÇ_RAPORU_BURAK_YENI1309[[#This Row],[ALT_KOD]]))</f>
        <v>-8</v>
      </c>
      <c r="L4266">
        <v>0</v>
      </c>
      <c r="M4266">
        <f>IF((DST_123_ÜRETİM_İHTİYAÇ_RAPORU_BURAK_YENI1309[[#This Row],[SATINALMA]]*DST_123_ÜRETİM_İHTİYAÇ_RAPORU_BURAK_YENI1309[[#This Row],[BIRIM_FIYATLAR]])&lt;1,VALUE("0"),DST_123_ÜRETİM_İHTİYAÇ_RAPORU_BURAK_YENI1309[[#This Row],[SATINALMA]]*DST_123_ÜRETİM_İHTİYAÇ_RAPORU_BURAK_YENI1309[[#This Row],[BIRIM_FIYATLAR]])</f>
        <v>0</v>
      </c>
      <c r="N4266">
        <v>9</v>
      </c>
      <c r="O4266" t="s">
        <v>240</v>
      </c>
      <c r="P4266">
        <v>144</v>
      </c>
      <c r="Q4266" t="s">
        <v>180</v>
      </c>
    </row>
    <row r="4267" spans="1:17" x14ac:dyDescent="0.25">
      <c r="A4267" t="s">
        <v>1099</v>
      </c>
      <c r="B4267" t="s">
        <v>1055</v>
      </c>
      <c r="C4267" t="s">
        <v>175</v>
      </c>
      <c r="D4267" t="s">
        <v>471</v>
      </c>
      <c r="E4267" t="s">
        <v>472</v>
      </c>
      <c r="F4267">
        <v>8</v>
      </c>
      <c r="G4267" t="s">
        <v>176</v>
      </c>
      <c r="H4267">
        <v>0</v>
      </c>
      <c r="I4267">
        <v>200</v>
      </c>
      <c r="J4267" s="10">
        <v>343</v>
      </c>
      <c r="K4267" s="10">
        <f>SUMIFS(F:F,D:D,DST_123_ÜRETİM_İHTİYAÇ_RAPORU_BURAK_YENI1309[[#This Row],[ALT_KOD]])-(SUMIFS(H:H,D:D,DST_123_ÜRETİM_İHTİYAÇ_RAPORU_BURAK_YENI1309[[#This Row],[ALT_KOD]])+AVERAGEIFS(I:I,D:D,DST_123_ÜRETİM_İHTİYAÇ_RAPORU_BURAK_YENI1309[[#This Row],[ALT_KOD]])+AVERAGEIFS(L:L,D:D,DST_123_ÜRETİM_İHTİYAÇ_RAPORU_BURAK_YENI1309[[#This Row],[ALT_KOD]]))</f>
        <v>-8</v>
      </c>
      <c r="L4267">
        <v>0</v>
      </c>
      <c r="M4267">
        <f>IF((DST_123_ÜRETİM_İHTİYAÇ_RAPORU_BURAK_YENI1309[[#This Row],[SATINALMA]]*DST_123_ÜRETİM_İHTİYAÇ_RAPORU_BURAK_YENI1309[[#This Row],[BIRIM_FIYATLAR]])&lt;1,VALUE("0"),DST_123_ÜRETİM_İHTİYAÇ_RAPORU_BURAK_YENI1309[[#This Row],[SATINALMA]]*DST_123_ÜRETİM_İHTİYAÇ_RAPORU_BURAK_YENI1309[[#This Row],[BIRIM_FIYATLAR]])</f>
        <v>0</v>
      </c>
      <c r="N4267">
        <v>9</v>
      </c>
      <c r="O4267" t="s">
        <v>240</v>
      </c>
      <c r="P4267">
        <v>72</v>
      </c>
      <c r="Q4267" t="s">
        <v>180</v>
      </c>
    </row>
    <row r="4268" spans="1:17" x14ac:dyDescent="0.25">
      <c r="A4268" t="s">
        <v>1196</v>
      </c>
      <c r="B4268" t="s">
        <v>1197</v>
      </c>
      <c r="C4268" t="s">
        <v>175</v>
      </c>
      <c r="D4268" t="s">
        <v>263</v>
      </c>
      <c r="E4268" t="s">
        <v>419</v>
      </c>
      <c r="F4268">
        <v>1</v>
      </c>
      <c r="G4268" t="s">
        <v>176</v>
      </c>
      <c r="H4268">
        <v>0</v>
      </c>
      <c r="I4268">
        <v>4</v>
      </c>
      <c r="J4268" s="10">
        <v>11</v>
      </c>
      <c r="K4268" s="10">
        <f>SUMIFS(F:F,D:D,DST_123_ÜRETİM_İHTİYAÇ_RAPORU_BURAK_YENI1309[[#This Row],[ALT_KOD]])-(SUMIFS(H:H,D:D,DST_123_ÜRETİM_İHTİYAÇ_RAPORU_BURAK_YENI1309[[#This Row],[ALT_KOD]])+AVERAGEIFS(I:I,D:D,DST_123_ÜRETİM_İHTİYAÇ_RAPORU_BURAK_YENI1309[[#This Row],[ALT_KOD]])+AVERAGEIFS(L:L,D:D,DST_123_ÜRETİM_İHTİYAÇ_RAPORU_BURAK_YENI1309[[#This Row],[ALT_KOD]]))</f>
        <v>9</v>
      </c>
      <c r="L4268">
        <v>0</v>
      </c>
      <c r="M4268">
        <f>IF((DST_123_ÜRETİM_İHTİYAÇ_RAPORU_BURAK_YENI1309[[#This Row],[SATINALMA]]*DST_123_ÜRETİM_İHTİYAÇ_RAPORU_BURAK_YENI1309[[#This Row],[BIRIM_FIYATLAR]])&lt;1,VALUE("0"),DST_123_ÜRETİM_İHTİYAÇ_RAPORU_BURAK_YENI1309[[#This Row],[SATINALMA]]*DST_123_ÜRETİM_İHTİYAÇ_RAPORU_BURAK_YENI1309[[#This Row],[BIRIM_FIYATLAR]])</f>
        <v>54009.99</v>
      </c>
      <c r="N4268">
        <v>6001.11</v>
      </c>
      <c r="O4268" t="s">
        <v>227</v>
      </c>
      <c r="P4268">
        <v>6001.11</v>
      </c>
      <c r="Q4268" t="s">
        <v>221</v>
      </c>
    </row>
    <row r="4269" spans="1:17" x14ac:dyDescent="0.25">
      <c r="A4269" t="s">
        <v>1098</v>
      </c>
      <c r="B4269" t="s">
        <v>1096</v>
      </c>
      <c r="C4269" t="s">
        <v>175</v>
      </c>
      <c r="D4269" t="s">
        <v>263</v>
      </c>
      <c r="E4269" t="s">
        <v>419</v>
      </c>
      <c r="F4269">
        <v>1</v>
      </c>
      <c r="G4269" t="s">
        <v>176</v>
      </c>
      <c r="H4269">
        <v>0</v>
      </c>
      <c r="I4269">
        <v>4</v>
      </c>
      <c r="J4269" s="10">
        <v>11</v>
      </c>
      <c r="K4269" s="10">
        <f>SUMIFS(F:F,D:D,DST_123_ÜRETİM_İHTİYAÇ_RAPORU_BURAK_YENI1309[[#This Row],[ALT_KOD]])-(SUMIFS(H:H,D:D,DST_123_ÜRETİM_İHTİYAÇ_RAPORU_BURAK_YENI1309[[#This Row],[ALT_KOD]])+AVERAGEIFS(I:I,D:D,DST_123_ÜRETİM_İHTİYAÇ_RAPORU_BURAK_YENI1309[[#This Row],[ALT_KOD]])+AVERAGEIFS(L:L,D:D,DST_123_ÜRETİM_İHTİYAÇ_RAPORU_BURAK_YENI1309[[#This Row],[ALT_KOD]]))</f>
        <v>9</v>
      </c>
      <c r="L4269">
        <v>0</v>
      </c>
      <c r="M4269">
        <f>IF((DST_123_ÜRETİM_İHTİYAÇ_RAPORU_BURAK_YENI1309[[#This Row],[SATINALMA]]*DST_123_ÜRETİM_İHTİYAÇ_RAPORU_BURAK_YENI1309[[#This Row],[BIRIM_FIYATLAR]])&lt;1,VALUE("0"),DST_123_ÜRETİM_İHTİYAÇ_RAPORU_BURAK_YENI1309[[#This Row],[SATINALMA]]*DST_123_ÜRETİM_İHTİYAÇ_RAPORU_BURAK_YENI1309[[#This Row],[BIRIM_FIYATLAR]])</f>
        <v>54009.99</v>
      </c>
      <c r="N4269">
        <v>6001.11</v>
      </c>
      <c r="O4269" t="s">
        <v>227</v>
      </c>
      <c r="P4269">
        <v>6001.11</v>
      </c>
      <c r="Q4269" t="s">
        <v>221</v>
      </c>
    </row>
    <row r="4270" spans="1:17" x14ac:dyDescent="0.25">
      <c r="A4270" t="s">
        <v>1099</v>
      </c>
      <c r="B4270" t="s">
        <v>1055</v>
      </c>
      <c r="C4270" t="s">
        <v>175</v>
      </c>
      <c r="D4270" t="s">
        <v>263</v>
      </c>
      <c r="E4270" t="s">
        <v>419</v>
      </c>
      <c r="F4270">
        <v>1</v>
      </c>
      <c r="G4270" t="s">
        <v>176</v>
      </c>
      <c r="H4270">
        <v>0</v>
      </c>
      <c r="I4270">
        <v>4</v>
      </c>
      <c r="J4270" s="10">
        <v>11</v>
      </c>
      <c r="K4270" s="10">
        <f>SUMIFS(F:F,D:D,DST_123_ÜRETİM_İHTİYAÇ_RAPORU_BURAK_YENI1309[[#This Row],[ALT_KOD]])-(SUMIFS(H:H,D:D,DST_123_ÜRETİM_İHTİYAÇ_RAPORU_BURAK_YENI1309[[#This Row],[ALT_KOD]])+AVERAGEIFS(I:I,D:D,DST_123_ÜRETİM_İHTİYAÇ_RAPORU_BURAK_YENI1309[[#This Row],[ALT_KOD]])+AVERAGEIFS(L:L,D:D,DST_123_ÜRETİM_İHTİYAÇ_RAPORU_BURAK_YENI1309[[#This Row],[ALT_KOD]]))</f>
        <v>9</v>
      </c>
      <c r="L4270">
        <v>0</v>
      </c>
      <c r="M4270">
        <f>IF((DST_123_ÜRETİM_İHTİYAÇ_RAPORU_BURAK_YENI1309[[#This Row],[SATINALMA]]*DST_123_ÜRETİM_İHTİYAÇ_RAPORU_BURAK_YENI1309[[#This Row],[BIRIM_FIYATLAR]])&lt;1,VALUE("0"),DST_123_ÜRETİM_İHTİYAÇ_RAPORU_BURAK_YENI1309[[#This Row],[SATINALMA]]*DST_123_ÜRETİM_İHTİYAÇ_RAPORU_BURAK_YENI1309[[#This Row],[BIRIM_FIYATLAR]])</f>
        <v>54009.99</v>
      </c>
      <c r="N4270">
        <v>6001.11</v>
      </c>
      <c r="O4270" t="s">
        <v>227</v>
      </c>
      <c r="P4270">
        <v>6001.11</v>
      </c>
      <c r="Q4270" t="s">
        <v>221</v>
      </c>
    </row>
    <row r="4271" spans="1:17" x14ac:dyDescent="0.25">
      <c r="A4271" t="s">
        <v>1147</v>
      </c>
      <c r="B4271" t="s">
        <v>1145</v>
      </c>
      <c r="C4271" t="s">
        <v>175</v>
      </c>
      <c r="D4271" t="s">
        <v>1076</v>
      </c>
      <c r="E4271" t="s">
        <v>1077</v>
      </c>
      <c r="F4271">
        <v>1</v>
      </c>
      <c r="G4271" t="s">
        <v>176</v>
      </c>
      <c r="H4271">
        <v>0</v>
      </c>
      <c r="I4271">
        <v>0</v>
      </c>
      <c r="J4271" s="10">
        <v>0</v>
      </c>
      <c r="K4271" s="10">
        <f>SUMIFS(F:F,D:D,DST_123_ÜRETİM_İHTİYAÇ_RAPORU_BURAK_YENI1309[[#This Row],[ALT_KOD]])-(SUMIFS(H:H,D:D,DST_123_ÜRETİM_İHTİYAÇ_RAPORU_BURAK_YENI1309[[#This Row],[ALT_KOD]])+AVERAGEIFS(I:I,D:D,DST_123_ÜRETİM_İHTİYAÇ_RAPORU_BURAK_YENI1309[[#This Row],[ALT_KOD]])+AVERAGEIFS(L:L,D:D,DST_123_ÜRETİM_İHTİYAÇ_RAPORU_BURAK_YENI1309[[#This Row],[ALT_KOD]]))</f>
        <v>15</v>
      </c>
      <c r="L4271">
        <v>0</v>
      </c>
      <c r="M4271">
        <f>IF((DST_123_ÜRETİM_İHTİYAÇ_RAPORU_BURAK_YENI1309[[#This Row],[SATINALMA]]*DST_123_ÜRETİM_İHTİYAÇ_RAPORU_BURAK_YENI1309[[#This Row],[BIRIM_FIYATLAR]])&lt;1,VALUE("0"),DST_123_ÜRETİM_İHTİYAÇ_RAPORU_BURAK_YENI1309[[#This Row],[SATINALMA]]*DST_123_ÜRETİM_İHTİYAÇ_RAPORU_BURAK_YENI1309[[#This Row],[BIRIM_FIYATLAR]])</f>
        <v>0</v>
      </c>
      <c r="N4271">
        <v>0</v>
      </c>
      <c r="P4271">
        <v>0</v>
      </c>
      <c r="Q4271" t="s">
        <v>177</v>
      </c>
    </row>
    <row r="4272" spans="1:17" x14ac:dyDescent="0.25">
      <c r="A4272" t="s">
        <v>1095</v>
      </c>
      <c r="B4272" t="s">
        <v>1096</v>
      </c>
      <c r="C4272" t="s">
        <v>175</v>
      </c>
      <c r="D4272" t="s">
        <v>1076</v>
      </c>
      <c r="E4272" t="s">
        <v>1077</v>
      </c>
      <c r="F4272">
        <v>1</v>
      </c>
      <c r="G4272" t="s">
        <v>176</v>
      </c>
      <c r="H4272">
        <v>0</v>
      </c>
      <c r="I4272">
        <v>0</v>
      </c>
      <c r="J4272" s="10">
        <v>0</v>
      </c>
      <c r="K4272" s="10">
        <f>SUMIFS(F:F,D:D,DST_123_ÜRETİM_İHTİYAÇ_RAPORU_BURAK_YENI1309[[#This Row],[ALT_KOD]])-(SUMIFS(H:H,D:D,DST_123_ÜRETİM_İHTİYAÇ_RAPORU_BURAK_YENI1309[[#This Row],[ALT_KOD]])+AVERAGEIFS(I:I,D:D,DST_123_ÜRETİM_İHTİYAÇ_RAPORU_BURAK_YENI1309[[#This Row],[ALT_KOD]])+AVERAGEIFS(L:L,D:D,DST_123_ÜRETİM_İHTİYAÇ_RAPORU_BURAK_YENI1309[[#This Row],[ALT_KOD]]))</f>
        <v>15</v>
      </c>
      <c r="L4272">
        <v>0</v>
      </c>
      <c r="M4272">
        <f>IF((DST_123_ÜRETİM_İHTİYAÇ_RAPORU_BURAK_YENI1309[[#This Row],[SATINALMA]]*DST_123_ÜRETİM_İHTİYAÇ_RAPORU_BURAK_YENI1309[[#This Row],[BIRIM_FIYATLAR]])&lt;1,VALUE("0"),DST_123_ÜRETİM_İHTİYAÇ_RAPORU_BURAK_YENI1309[[#This Row],[SATINALMA]]*DST_123_ÜRETİM_İHTİYAÇ_RAPORU_BURAK_YENI1309[[#This Row],[BIRIM_FIYATLAR]])</f>
        <v>0</v>
      </c>
      <c r="N4272">
        <v>0</v>
      </c>
      <c r="P4272">
        <v>0</v>
      </c>
      <c r="Q4272" t="s">
        <v>177</v>
      </c>
    </row>
    <row r="4273" spans="1:17" x14ac:dyDescent="0.25">
      <c r="A4273" t="s">
        <v>1097</v>
      </c>
      <c r="B4273" t="s">
        <v>1055</v>
      </c>
      <c r="C4273" t="s">
        <v>175</v>
      </c>
      <c r="D4273" t="s">
        <v>1076</v>
      </c>
      <c r="E4273" t="s">
        <v>1077</v>
      </c>
      <c r="F4273">
        <v>1</v>
      </c>
      <c r="G4273" t="s">
        <v>176</v>
      </c>
      <c r="H4273">
        <v>0</v>
      </c>
      <c r="I4273">
        <v>0</v>
      </c>
      <c r="J4273" s="10">
        <v>0</v>
      </c>
      <c r="K4273" s="10">
        <f>SUMIFS(F:F,D:D,DST_123_ÜRETİM_İHTİYAÇ_RAPORU_BURAK_YENI1309[[#This Row],[ALT_KOD]])-(SUMIFS(H:H,D:D,DST_123_ÜRETİM_İHTİYAÇ_RAPORU_BURAK_YENI1309[[#This Row],[ALT_KOD]])+AVERAGEIFS(I:I,D:D,DST_123_ÜRETİM_İHTİYAÇ_RAPORU_BURAK_YENI1309[[#This Row],[ALT_KOD]])+AVERAGEIFS(L:L,D:D,DST_123_ÜRETİM_İHTİYAÇ_RAPORU_BURAK_YENI1309[[#This Row],[ALT_KOD]]))</f>
        <v>15</v>
      </c>
      <c r="L4273">
        <v>0</v>
      </c>
      <c r="M4273">
        <f>IF((DST_123_ÜRETİM_İHTİYAÇ_RAPORU_BURAK_YENI1309[[#This Row],[SATINALMA]]*DST_123_ÜRETİM_İHTİYAÇ_RAPORU_BURAK_YENI1309[[#This Row],[BIRIM_FIYATLAR]])&lt;1,VALUE("0"),DST_123_ÜRETİM_İHTİYAÇ_RAPORU_BURAK_YENI1309[[#This Row],[SATINALMA]]*DST_123_ÜRETİM_İHTİYAÇ_RAPORU_BURAK_YENI1309[[#This Row],[BIRIM_FIYATLAR]])</f>
        <v>0</v>
      </c>
      <c r="N4273">
        <v>0</v>
      </c>
      <c r="P4273">
        <v>0</v>
      </c>
      <c r="Q4273" t="s">
        <v>177</v>
      </c>
    </row>
    <row r="4274" spans="1:17" x14ac:dyDescent="0.25">
      <c r="A4274" t="s">
        <v>1099</v>
      </c>
      <c r="B4274" t="s">
        <v>1055</v>
      </c>
      <c r="C4274" t="s">
        <v>175</v>
      </c>
      <c r="D4274" t="s">
        <v>475</v>
      </c>
      <c r="E4274" t="s">
        <v>476</v>
      </c>
      <c r="F4274">
        <v>2</v>
      </c>
      <c r="G4274" t="s">
        <v>176</v>
      </c>
      <c r="H4274">
        <v>0</v>
      </c>
      <c r="I4274">
        <v>6</v>
      </c>
      <c r="J4274" s="10">
        <v>1.7763568394002505E-15</v>
      </c>
      <c r="K4274" s="10">
        <f>SUMIFS(F:F,D:D,DST_123_ÜRETİM_İHTİYAÇ_RAPORU_BURAK_YENI1309[[#This Row],[ALT_KOD]])-(SUMIFS(H:H,D:D,DST_123_ÜRETİM_İHTİYAÇ_RAPORU_BURAK_YENI1309[[#This Row],[ALT_KOD]])+AVERAGEIFS(I:I,D:D,DST_123_ÜRETİM_İHTİYAÇ_RAPORU_BURAK_YENI1309[[#This Row],[ALT_KOD]])+AVERAGEIFS(L:L,D:D,DST_123_ÜRETİM_İHTİYAÇ_RAPORU_BURAK_YENI1309[[#This Row],[ALT_KOD]]))</f>
        <v>7.25</v>
      </c>
      <c r="L4274">
        <v>0</v>
      </c>
      <c r="M4274">
        <f>IF((DST_123_ÜRETİM_İHTİYAÇ_RAPORU_BURAK_YENI1309[[#This Row],[SATINALMA]]*DST_123_ÜRETİM_İHTİYAÇ_RAPORU_BURAK_YENI1309[[#This Row],[BIRIM_FIYATLAR]])&lt;1,VALUE("0"),DST_123_ÜRETİM_İHTİYAÇ_RAPORU_BURAK_YENI1309[[#This Row],[SATINALMA]]*DST_123_ÜRETİM_İHTİYAÇ_RAPORU_BURAK_YENI1309[[#This Row],[BIRIM_FIYATLAR]])</f>
        <v>145</v>
      </c>
      <c r="N4274">
        <v>20</v>
      </c>
      <c r="O4274" t="s">
        <v>226</v>
      </c>
      <c r="P4274">
        <v>40</v>
      </c>
      <c r="Q4274" t="s">
        <v>180</v>
      </c>
    </row>
    <row r="4275" spans="1:17" x14ac:dyDescent="0.25">
      <c r="A4275" t="s">
        <v>1150</v>
      </c>
      <c r="B4275" t="s">
        <v>1145</v>
      </c>
      <c r="C4275" t="s">
        <v>175</v>
      </c>
      <c r="D4275" t="s">
        <v>718</v>
      </c>
      <c r="E4275" t="s">
        <v>719</v>
      </c>
      <c r="F4275">
        <v>1</v>
      </c>
      <c r="G4275" t="s">
        <v>176</v>
      </c>
      <c r="H4275">
        <v>0</v>
      </c>
      <c r="I4275">
        <v>1</v>
      </c>
      <c r="J4275" s="10">
        <v>4</v>
      </c>
      <c r="K4275" s="10">
        <f>SUMIFS(F:F,D:D,DST_123_ÜRETİM_İHTİYAÇ_RAPORU_BURAK_YENI1309[[#This Row],[ALT_KOD]])-(SUMIFS(H:H,D:D,DST_123_ÜRETİM_İHTİYAÇ_RAPORU_BURAK_YENI1309[[#This Row],[ALT_KOD]])+AVERAGEIFS(I:I,D:D,DST_123_ÜRETİM_İHTİYAÇ_RAPORU_BURAK_YENI1309[[#This Row],[ALT_KOD]])+AVERAGEIFS(L:L,D:D,DST_123_ÜRETİM_İHTİYAÇ_RAPORU_BURAK_YENI1309[[#This Row],[ALT_KOD]]))</f>
        <v>13</v>
      </c>
      <c r="L4275">
        <v>0</v>
      </c>
      <c r="M4275">
        <f>IF((DST_123_ÜRETİM_İHTİYAÇ_RAPORU_BURAK_YENI1309[[#This Row],[SATINALMA]]*DST_123_ÜRETİM_İHTİYAÇ_RAPORU_BURAK_YENI1309[[#This Row],[BIRIM_FIYATLAR]])&lt;1,VALUE("0"),DST_123_ÜRETİM_İHTİYAÇ_RAPORU_BURAK_YENI1309[[#This Row],[SATINALMA]]*DST_123_ÜRETİM_İHTİYAÇ_RAPORU_BURAK_YENI1309[[#This Row],[BIRIM_FIYATLAR]])</f>
        <v>168880.14</v>
      </c>
      <c r="N4275">
        <v>12990.78</v>
      </c>
      <c r="O4275" t="s">
        <v>589</v>
      </c>
      <c r="P4275">
        <v>12990.78</v>
      </c>
      <c r="Q4275" t="s">
        <v>177</v>
      </c>
    </row>
    <row r="4276" spans="1:17" x14ac:dyDescent="0.25">
      <c r="A4276" t="s">
        <v>1064</v>
      </c>
      <c r="B4276" t="s">
        <v>1055</v>
      </c>
      <c r="C4276" t="s">
        <v>175</v>
      </c>
      <c r="D4276" t="s">
        <v>710</v>
      </c>
      <c r="E4276" t="s">
        <v>711</v>
      </c>
      <c r="F4276">
        <v>1</v>
      </c>
      <c r="G4276" t="s">
        <v>176</v>
      </c>
      <c r="H4276">
        <v>0</v>
      </c>
      <c r="I4276">
        <v>0</v>
      </c>
      <c r="J4276" s="10">
        <v>2</v>
      </c>
      <c r="K4276" s="10">
        <f>SUMIFS(F:F,D:D,DST_123_ÜRETİM_İHTİYAÇ_RAPORU_BURAK_YENI1309[[#This Row],[ALT_KOD]])-(SUMIFS(H:H,D:D,DST_123_ÜRETİM_İHTİYAÇ_RAPORU_BURAK_YENI1309[[#This Row],[ALT_KOD]])+AVERAGEIFS(I:I,D:D,DST_123_ÜRETİM_İHTİYAÇ_RAPORU_BURAK_YENI1309[[#This Row],[ALT_KOD]])+AVERAGEIFS(L:L,D:D,DST_123_ÜRETİM_İHTİYAÇ_RAPORU_BURAK_YENI1309[[#This Row],[ALT_KOD]]))</f>
        <v>8</v>
      </c>
      <c r="L4276">
        <v>0</v>
      </c>
      <c r="M4276">
        <f>IF((DST_123_ÜRETİM_İHTİYAÇ_RAPORU_BURAK_YENI1309[[#This Row],[SATINALMA]]*DST_123_ÜRETİM_İHTİYAÇ_RAPORU_BURAK_YENI1309[[#This Row],[BIRIM_FIYATLAR]])&lt;1,VALUE("0"),DST_123_ÜRETİM_İHTİYAÇ_RAPORU_BURAK_YENI1309[[#This Row],[SATINALMA]]*DST_123_ÜRETİM_İHTİYAÇ_RAPORU_BURAK_YENI1309[[#This Row],[BIRIM_FIYATLAR]])</f>
        <v>191760</v>
      </c>
      <c r="N4276">
        <v>23970</v>
      </c>
      <c r="O4276" t="s">
        <v>1195</v>
      </c>
      <c r="P4276">
        <v>23970</v>
      </c>
      <c r="Q4276" t="s">
        <v>177</v>
      </c>
    </row>
    <row r="4277" spans="1:17" x14ac:dyDescent="0.25">
      <c r="A4277" t="s">
        <v>1098</v>
      </c>
      <c r="B4277" t="s">
        <v>1096</v>
      </c>
      <c r="C4277" t="s">
        <v>175</v>
      </c>
      <c r="D4277" t="s">
        <v>710</v>
      </c>
      <c r="E4277" t="s">
        <v>711</v>
      </c>
      <c r="F4277">
        <v>1</v>
      </c>
      <c r="G4277" t="s">
        <v>176</v>
      </c>
      <c r="H4277">
        <v>0</v>
      </c>
      <c r="I4277">
        <v>0</v>
      </c>
      <c r="J4277" s="10">
        <v>2</v>
      </c>
      <c r="K4277" s="10">
        <f>SUMIFS(F:F,D:D,DST_123_ÜRETİM_İHTİYAÇ_RAPORU_BURAK_YENI1309[[#This Row],[ALT_KOD]])-(SUMIFS(H:H,D:D,DST_123_ÜRETİM_İHTİYAÇ_RAPORU_BURAK_YENI1309[[#This Row],[ALT_KOD]])+AVERAGEIFS(I:I,D:D,DST_123_ÜRETİM_İHTİYAÇ_RAPORU_BURAK_YENI1309[[#This Row],[ALT_KOD]])+AVERAGEIFS(L:L,D:D,DST_123_ÜRETİM_İHTİYAÇ_RAPORU_BURAK_YENI1309[[#This Row],[ALT_KOD]]))</f>
        <v>8</v>
      </c>
      <c r="L4277">
        <v>0</v>
      </c>
      <c r="M4277">
        <f>IF((DST_123_ÜRETİM_İHTİYAÇ_RAPORU_BURAK_YENI1309[[#This Row],[SATINALMA]]*DST_123_ÜRETİM_İHTİYAÇ_RAPORU_BURAK_YENI1309[[#This Row],[BIRIM_FIYATLAR]])&lt;1,VALUE("0"),DST_123_ÜRETİM_İHTİYAÇ_RAPORU_BURAK_YENI1309[[#This Row],[SATINALMA]]*DST_123_ÜRETİM_İHTİYAÇ_RAPORU_BURAK_YENI1309[[#This Row],[BIRIM_FIYATLAR]])</f>
        <v>191760</v>
      </c>
      <c r="N4277">
        <v>23970</v>
      </c>
      <c r="O4277" t="s">
        <v>1195</v>
      </c>
      <c r="P4277">
        <v>23970</v>
      </c>
      <c r="Q4277" t="s">
        <v>177</v>
      </c>
    </row>
    <row r="4278" spans="1:17" x14ac:dyDescent="0.25">
      <c r="A4278" t="s">
        <v>1098</v>
      </c>
      <c r="B4278" t="s">
        <v>1096</v>
      </c>
      <c r="C4278" t="s">
        <v>175</v>
      </c>
      <c r="D4278" t="s">
        <v>429</v>
      </c>
      <c r="E4278" t="s">
        <v>430</v>
      </c>
      <c r="F4278">
        <v>1</v>
      </c>
      <c r="G4278" t="s">
        <v>176</v>
      </c>
      <c r="H4278">
        <v>0</v>
      </c>
      <c r="I4278">
        <v>10</v>
      </c>
      <c r="J4278" s="10">
        <v>5</v>
      </c>
      <c r="K4278" s="10">
        <f>SUMIFS(F:F,D:D,DST_123_ÜRETİM_İHTİYAÇ_RAPORU_BURAK_YENI1309[[#This Row],[ALT_KOD]])-(SUMIFS(H:H,D:D,DST_123_ÜRETİM_İHTİYAÇ_RAPORU_BURAK_YENI1309[[#This Row],[ALT_KOD]])+AVERAGEIFS(I:I,D:D,DST_123_ÜRETİM_İHTİYAÇ_RAPORU_BURAK_YENI1309[[#This Row],[ALT_KOD]])+AVERAGEIFS(L:L,D:D,DST_123_ÜRETİM_İHTİYAÇ_RAPORU_BURAK_YENI1309[[#This Row],[ALT_KOD]]))</f>
        <v>-6</v>
      </c>
      <c r="L4278">
        <v>0</v>
      </c>
      <c r="M4278">
        <f>IF((DST_123_ÜRETİM_İHTİYAÇ_RAPORU_BURAK_YENI1309[[#This Row],[SATINALMA]]*DST_123_ÜRETİM_İHTİYAÇ_RAPORU_BURAK_YENI1309[[#This Row],[BIRIM_FIYATLAR]])&lt;1,VALUE("0"),DST_123_ÜRETİM_İHTİYAÇ_RAPORU_BURAK_YENI1309[[#This Row],[SATINALMA]]*DST_123_ÜRETİM_İHTİYAÇ_RAPORU_BURAK_YENI1309[[#This Row],[BIRIM_FIYATLAR]])</f>
        <v>0</v>
      </c>
      <c r="N4278">
        <v>1679.53</v>
      </c>
      <c r="O4278" t="s">
        <v>636</v>
      </c>
      <c r="P4278">
        <v>1679.53</v>
      </c>
      <c r="Q4278" t="s">
        <v>178</v>
      </c>
    </row>
    <row r="4279" spans="1:17" x14ac:dyDescent="0.25">
      <c r="A4279" t="s">
        <v>1064</v>
      </c>
      <c r="B4279" t="s">
        <v>1055</v>
      </c>
      <c r="C4279" t="s">
        <v>175</v>
      </c>
      <c r="D4279" t="s">
        <v>347</v>
      </c>
      <c r="E4279" t="s">
        <v>348</v>
      </c>
      <c r="F4279">
        <v>0.1</v>
      </c>
      <c r="G4279" t="s">
        <v>176</v>
      </c>
      <c r="H4279">
        <v>0</v>
      </c>
      <c r="I4279">
        <v>2</v>
      </c>
      <c r="J4279" s="10">
        <v>-6.3837823915946501E-16</v>
      </c>
      <c r="K4279" s="10">
        <f>SUMIFS(F:F,D:D,DST_123_ÜRETİM_İHTİYAÇ_RAPORU_BURAK_YENI1309[[#This Row],[ALT_KOD]])-(SUMIFS(H:H,D:D,DST_123_ÜRETİM_İHTİYAÇ_RAPORU_BURAK_YENI1309[[#This Row],[ALT_KOD]])+AVERAGEIFS(I:I,D:D,DST_123_ÜRETİM_İHTİYAÇ_RAPORU_BURAK_YENI1309[[#This Row],[ALT_KOD]])+AVERAGEIFS(L:L,D:D,DST_123_ÜRETİM_İHTİYAÇ_RAPORU_BURAK_YENI1309[[#This Row],[ALT_KOD]]))</f>
        <v>1.4000000000000004</v>
      </c>
      <c r="L4279">
        <v>0</v>
      </c>
      <c r="M4279">
        <f>IF((DST_123_ÜRETİM_İHTİYAÇ_RAPORU_BURAK_YENI1309[[#This Row],[SATINALMA]]*DST_123_ÜRETİM_İHTİYAÇ_RAPORU_BURAK_YENI1309[[#This Row],[BIRIM_FIYATLAR]])&lt;1,VALUE("0"),DST_123_ÜRETİM_İHTİYAÇ_RAPORU_BURAK_YENI1309[[#This Row],[SATINALMA]]*DST_123_ÜRETİM_İHTİYAÇ_RAPORU_BURAK_YENI1309[[#This Row],[BIRIM_FIYATLAR]])</f>
        <v>3889.2000000000012</v>
      </c>
      <c r="N4279">
        <v>2778</v>
      </c>
      <c r="O4279" t="s">
        <v>217</v>
      </c>
      <c r="P4279">
        <v>277.8</v>
      </c>
      <c r="Q4279" t="s">
        <v>183</v>
      </c>
    </row>
    <row r="4280" spans="1:17" x14ac:dyDescent="0.25">
      <c r="A4280" t="s">
        <v>1098</v>
      </c>
      <c r="B4280" t="s">
        <v>1096</v>
      </c>
      <c r="C4280" t="s">
        <v>175</v>
      </c>
      <c r="D4280" t="s">
        <v>347</v>
      </c>
      <c r="E4280" t="s">
        <v>348</v>
      </c>
      <c r="F4280">
        <v>0.1</v>
      </c>
      <c r="G4280" t="s">
        <v>176</v>
      </c>
      <c r="H4280">
        <v>0</v>
      </c>
      <c r="I4280">
        <v>2</v>
      </c>
      <c r="J4280" s="10">
        <v>-6.3837823915946501E-16</v>
      </c>
      <c r="K4280" s="10">
        <f>SUMIFS(F:F,D:D,DST_123_ÜRETİM_İHTİYAÇ_RAPORU_BURAK_YENI1309[[#This Row],[ALT_KOD]])-(SUMIFS(H:H,D:D,DST_123_ÜRETİM_İHTİYAÇ_RAPORU_BURAK_YENI1309[[#This Row],[ALT_KOD]])+AVERAGEIFS(I:I,D:D,DST_123_ÜRETİM_İHTİYAÇ_RAPORU_BURAK_YENI1309[[#This Row],[ALT_KOD]])+AVERAGEIFS(L:L,D:D,DST_123_ÜRETİM_İHTİYAÇ_RAPORU_BURAK_YENI1309[[#This Row],[ALT_KOD]]))</f>
        <v>1.4000000000000004</v>
      </c>
      <c r="L4280">
        <v>0</v>
      </c>
      <c r="M4280">
        <f>IF((DST_123_ÜRETİM_İHTİYAÇ_RAPORU_BURAK_YENI1309[[#This Row],[SATINALMA]]*DST_123_ÜRETİM_İHTİYAÇ_RAPORU_BURAK_YENI1309[[#This Row],[BIRIM_FIYATLAR]])&lt;1,VALUE("0"),DST_123_ÜRETİM_İHTİYAÇ_RAPORU_BURAK_YENI1309[[#This Row],[SATINALMA]]*DST_123_ÜRETİM_İHTİYAÇ_RAPORU_BURAK_YENI1309[[#This Row],[BIRIM_FIYATLAR]])</f>
        <v>3889.2000000000012</v>
      </c>
      <c r="N4280">
        <v>2778</v>
      </c>
      <c r="O4280" t="s">
        <v>217</v>
      </c>
      <c r="P4280">
        <v>277.8</v>
      </c>
      <c r="Q4280" t="s">
        <v>183</v>
      </c>
    </row>
    <row r="4281" spans="1:17" x14ac:dyDescent="0.25">
      <c r="A4281" t="s">
        <v>1064</v>
      </c>
      <c r="B4281" t="s">
        <v>1055</v>
      </c>
      <c r="C4281" t="s">
        <v>175</v>
      </c>
      <c r="D4281" t="s">
        <v>342</v>
      </c>
      <c r="E4281" t="s">
        <v>343</v>
      </c>
      <c r="F4281">
        <v>0.1</v>
      </c>
      <c r="G4281" t="s">
        <v>176</v>
      </c>
      <c r="H4281">
        <v>0</v>
      </c>
      <c r="I4281">
        <v>2</v>
      </c>
      <c r="J4281" s="10">
        <v>1.7763568394002505E-15</v>
      </c>
      <c r="K4281" s="10">
        <f>SUMIFS(F:F,D:D,DST_123_ÜRETİM_İHTİYAÇ_RAPORU_BURAK_YENI1309[[#This Row],[ALT_KOD]])-(SUMIFS(H:H,D:D,DST_123_ÜRETİM_İHTİYAÇ_RAPORU_BURAK_YENI1309[[#This Row],[ALT_KOD]])+AVERAGEIFS(I:I,D:D,DST_123_ÜRETİM_İHTİYAÇ_RAPORU_BURAK_YENI1309[[#This Row],[ALT_KOD]])+AVERAGEIFS(L:L,D:D,DST_123_ÜRETİM_İHTİYAÇ_RAPORU_BURAK_YENI1309[[#This Row],[ALT_KOD]]))</f>
        <v>-0.84999999999999964</v>
      </c>
      <c r="L4281">
        <v>0</v>
      </c>
      <c r="M4281">
        <f>IF((DST_123_ÜRETİM_İHTİYAÇ_RAPORU_BURAK_YENI1309[[#This Row],[SATINALMA]]*DST_123_ÜRETİM_İHTİYAÇ_RAPORU_BURAK_YENI1309[[#This Row],[BIRIM_FIYATLAR]])&lt;1,VALUE("0"),DST_123_ÜRETİM_İHTİYAÇ_RAPORU_BURAK_YENI1309[[#This Row],[SATINALMA]]*DST_123_ÜRETİM_İHTİYAÇ_RAPORU_BURAK_YENI1309[[#This Row],[BIRIM_FIYATLAR]])</f>
        <v>0</v>
      </c>
      <c r="N4281">
        <v>1400</v>
      </c>
      <c r="O4281" t="s">
        <v>217</v>
      </c>
      <c r="P4281">
        <v>140</v>
      </c>
      <c r="Q4281" t="s">
        <v>183</v>
      </c>
    </row>
    <row r="4282" spans="1:17" x14ac:dyDescent="0.25">
      <c r="A4282" t="s">
        <v>1098</v>
      </c>
      <c r="B4282" t="s">
        <v>1096</v>
      </c>
      <c r="C4282" t="s">
        <v>175</v>
      </c>
      <c r="D4282" t="s">
        <v>342</v>
      </c>
      <c r="E4282" t="s">
        <v>343</v>
      </c>
      <c r="F4282">
        <v>0.1</v>
      </c>
      <c r="G4282" t="s">
        <v>176</v>
      </c>
      <c r="H4282">
        <v>0</v>
      </c>
      <c r="I4282">
        <v>2</v>
      </c>
      <c r="J4282" s="10">
        <v>1.7763568394002505E-15</v>
      </c>
      <c r="K4282" s="10">
        <f>SUMIFS(F:F,D:D,DST_123_ÜRETİM_İHTİYAÇ_RAPORU_BURAK_YENI1309[[#This Row],[ALT_KOD]])-(SUMIFS(H:H,D:D,DST_123_ÜRETİM_İHTİYAÇ_RAPORU_BURAK_YENI1309[[#This Row],[ALT_KOD]])+AVERAGEIFS(I:I,D:D,DST_123_ÜRETİM_İHTİYAÇ_RAPORU_BURAK_YENI1309[[#This Row],[ALT_KOD]])+AVERAGEIFS(L:L,D:D,DST_123_ÜRETİM_İHTİYAÇ_RAPORU_BURAK_YENI1309[[#This Row],[ALT_KOD]]))</f>
        <v>-0.84999999999999964</v>
      </c>
      <c r="L4282">
        <v>0</v>
      </c>
      <c r="M4282">
        <f>IF((DST_123_ÜRETİM_İHTİYAÇ_RAPORU_BURAK_YENI1309[[#This Row],[SATINALMA]]*DST_123_ÜRETİM_İHTİYAÇ_RAPORU_BURAK_YENI1309[[#This Row],[BIRIM_FIYATLAR]])&lt;1,VALUE("0"),DST_123_ÜRETİM_İHTİYAÇ_RAPORU_BURAK_YENI1309[[#This Row],[SATINALMA]]*DST_123_ÜRETİM_İHTİYAÇ_RAPORU_BURAK_YENI1309[[#This Row],[BIRIM_FIYATLAR]])</f>
        <v>0</v>
      </c>
      <c r="N4282">
        <v>1400</v>
      </c>
      <c r="O4282" t="s">
        <v>217</v>
      </c>
      <c r="P4282">
        <v>140</v>
      </c>
      <c r="Q4282" t="s">
        <v>183</v>
      </c>
    </row>
    <row r="4283" spans="1:17" x14ac:dyDescent="0.25">
      <c r="A4283" t="s">
        <v>1064</v>
      </c>
      <c r="B4283" t="s">
        <v>1055</v>
      </c>
      <c r="C4283" t="s">
        <v>175</v>
      </c>
      <c r="D4283" t="s">
        <v>502</v>
      </c>
      <c r="E4283" t="s">
        <v>503</v>
      </c>
      <c r="F4283">
        <v>2</v>
      </c>
      <c r="G4283" t="s">
        <v>176</v>
      </c>
      <c r="H4283">
        <v>0</v>
      </c>
      <c r="I4283">
        <v>115</v>
      </c>
      <c r="J4283" s="10">
        <v>2</v>
      </c>
      <c r="K4283" s="10">
        <f>SUMIFS(F:F,D:D,DST_123_ÜRETİM_İHTİYAÇ_RAPORU_BURAK_YENI1309[[#This Row],[ALT_KOD]])-(SUMIFS(H:H,D:D,DST_123_ÜRETİM_İHTİYAÇ_RAPORU_BURAK_YENI1309[[#This Row],[ALT_KOD]])+AVERAGEIFS(I:I,D:D,DST_123_ÜRETİM_İHTİYAÇ_RAPORU_BURAK_YENI1309[[#This Row],[ALT_KOD]])+AVERAGEIFS(L:L,D:D,DST_123_ÜRETİM_İHTİYAÇ_RAPORU_BURAK_YENI1309[[#This Row],[ALT_KOD]]))</f>
        <v>-77</v>
      </c>
      <c r="L4283">
        <v>0</v>
      </c>
      <c r="M4283">
        <f>IF((DST_123_ÜRETİM_İHTİYAÇ_RAPORU_BURAK_YENI1309[[#This Row],[SATINALMA]]*DST_123_ÜRETİM_İHTİYAÇ_RAPORU_BURAK_YENI1309[[#This Row],[BIRIM_FIYATLAR]])&lt;1,VALUE("0"),DST_123_ÜRETİM_İHTİYAÇ_RAPORU_BURAK_YENI1309[[#This Row],[SATINALMA]]*DST_123_ÜRETİM_İHTİYAÇ_RAPORU_BURAK_YENI1309[[#This Row],[BIRIM_FIYATLAR]])</f>
        <v>0</v>
      </c>
      <c r="N4283">
        <v>0.44</v>
      </c>
      <c r="O4283" t="s">
        <v>504</v>
      </c>
      <c r="P4283">
        <v>0.88</v>
      </c>
      <c r="Q4283" t="s">
        <v>221</v>
      </c>
    </row>
    <row r="4284" spans="1:17" x14ac:dyDescent="0.25">
      <c r="A4284" t="s">
        <v>1196</v>
      </c>
      <c r="B4284" t="s">
        <v>1197</v>
      </c>
      <c r="C4284" t="s">
        <v>175</v>
      </c>
      <c r="D4284" t="s">
        <v>502</v>
      </c>
      <c r="E4284" t="s">
        <v>503</v>
      </c>
      <c r="F4284">
        <v>2</v>
      </c>
      <c r="G4284" t="s">
        <v>176</v>
      </c>
      <c r="H4284">
        <v>0</v>
      </c>
      <c r="I4284">
        <v>115</v>
      </c>
      <c r="J4284" s="10">
        <v>2</v>
      </c>
      <c r="K4284" s="10">
        <f>SUMIFS(F:F,D:D,DST_123_ÜRETİM_İHTİYAÇ_RAPORU_BURAK_YENI1309[[#This Row],[ALT_KOD]])-(SUMIFS(H:H,D:D,DST_123_ÜRETİM_İHTİYAÇ_RAPORU_BURAK_YENI1309[[#This Row],[ALT_KOD]])+AVERAGEIFS(I:I,D:D,DST_123_ÜRETİM_İHTİYAÇ_RAPORU_BURAK_YENI1309[[#This Row],[ALT_KOD]])+AVERAGEIFS(L:L,D:D,DST_123_ÜRETİM_İHTİYAÇ_RAPORU_BURAK_YENI1309[[#This Row],[ALT_KOD]]))</f>
        <v>-77</v>
      </c>
      <c r="L4284">
        <v>0</v>
      </c>
      <c r="M4284">
        <f>IF((DST_123_ÜRETİM_İHTİYAÇ_RAPORU_BURAK_YENI1309[[#This Row],[SATINALMA]]*DST_123_ÜRETİM_İHTİYAÇ_RAPORU_BURAK_YENI1309[[#This Row],[BIRIM_FIYATLAR]])&lt;1,VALUE("0"),DST_123_ÜRETİM_İHTİYAÇ_RAPORU_BURAK_YENI1309[[#This Row],[SATINALMA]]*DST_123_ÜRETİM_İHTİYAÇ_RAPORU_BURAK_YENI1309[[#This Row],[BIRIM_FIYATLAR]])</f>
        <v>0</v>
      </c>
      <c r="N4284">
        <v>0.44</v>
      </c>
      <c r="O4284" t="s">
        <v>504</v>
      </c>
      <c r="P4284">
        <v>0.88</v>
      </c>
      <c r="Q4284" t="s">
        <v>221</v>
      </c>
    </row>
    <row r="4285" spans="1:17" x14ac:dyDescent="0.25">
      <c r="A4285" t="s">
        <v>1098</v>
      </c>
      <c r="B4285" t="s">
        <v>1096</v>
      </c>
      <c r="C4285" t="s">
        <v>175</v>
      </c>
      <c r="D4285" t="s">
        <v>502</v>
      </c>
      <c r="E4285" t="s">
        <v>503</v>
      </c>
      <c r="F4285">
        <v>2</v>
      </c>
      <c r="G4285" t="s">
        <v>176</v>
      </c>
      <c r="H4285">
        <v>0</v>
      </c>
      <c r="I4285">
        <v>115</v>
      </c>
      <c r="J4285" s="10">
        <v>2</v>
      </c>
      <c r="K4285" s="10">
        <f>SUMIFS(F:F,D:D,DST_123_ÜRETİM_İHTİYAÇ_RAPORU_BURAK_YENI1309[[#This Row],[ALT_KOD]])-(SUMIFS(H:H,D:D,DST_123_ÜRETİM_İHTİYAÇ_RAPORU_BURAK_YENI1309[[#This Row],[ALT_KOD]])+AVERAGEIFS(I:I,D:D,DST_123_ÜRETİM_İHTİYAÇ_RAPORU_BURAK_YENI1309[[#This Row],[ALT_KOD]])+AVERAGEIFS(L:L,D:D,DST_123_ÜRETİM_İHTİYAÇ_RAPORU_BURAK_YENI1309[[#This Row],[ALT_KOD]]))</f>
        <v>-77</v>
      </c>
      <c r="L4285">
        <v>0</v>
      </c>
      <c r="M4285">
        <f>IF((DST_123_ÜRETİM_İHTİYAÇ_RAPORU_BURAK_YENI1309[[#This Row],[SATINALMA]]*DST_123_ÜRETİM_İHTİYAÇ_RAPORU_BURAK_YENI1309[[#This Row],[BIRIM_FIYATLAR]])&lt;1,VALUE("0"),DST_123_ÜRETİM_İHTİYAÇ_RAPORU_BURAK_YENI1309[[#This Row],[SATINALMA]]*DST_123_ÜRETİM_İHTİYAÇ_RAPORU_BURAK_YENI1309[[#This Row],[BIRIM_FIYATLAR]])</f>
        <v>0</v>
      </c>
      <c r="N4285">
        <v>0.44</v>
      </c>
      <c r="O4285" t="s">
        <v>504</v>
      </c>
      <c r="P4285">
        <v>0.88</v>
      </c>
      <c r="Q4285" t="s">
        <v>221</v>
      </c>
    </row>
    <row r="4286" spans="1:17" x14ac:dyDescent="0.25">
      <c r="A4286" t="s">
        <v>1144</v>
      </c>
      <c r="B4286" t="s">
        <v>1145</v>
      </c>
      <c r="C4286" t="s">
        <v>175</v>
      </c>
      <c r="D4286" t="s">
        <v>236</v>
      </c>
      <c r="E4286" t="s">
        <v>305</v>
      </c>
      <c r="F4286">
        <v>2</v>
      </c>
      <c r="G4286" t="s">
        <v>176</v>
      </c>
      <c r="H4286">
        <v>0</v>
      </c>
      <c r="I4286">
        <v>452</v>
      </c>
      <c r="J4286" s="10">
        <v>25</v>
      </c>
      <c r="K4286" s="10">
        <f>SUMIFS(F:F,D:D,DST_123_ÜRETİM_İHTİYAÇ_RAPORU_BURAK_YENI1309[[#This Row],[ALT_KOD]])-(SUMIFS(H:H,D:D,DST_123_ÜRETİM_İHTİYAÇ_RAPORU_BURAK_YENI1309[[#This Row],[ALT_KOD]])+AVERAGEIFS(I:I,D:D,DST_123_ÜRETİM_İHTİYAÇ_RAPORU_BURAK_YENI1309[[#This Row],[ALT_KOD]])+AVERAGEIFS(L:L,D:D,DST_123_ÜRETİM_İHTİYAÇ_RAPORU_BURAK_YENI1309[[#This Row],[ALT_KOD]]))</f>
        <v>-428</v>
      </c>
      <c r="L4286">
        <v>0</v>
      </c>
      <c r="M4286">
        <f>IF((DST_123_ÜRETİM_İHTİYAÇ_RAPORU_BURAK_YENI1309[[#This Row],[SATINALMA]]*DST_123_ÜRETİM_İHTİYAÇ_RAPORU_BURAK_YENI1309[[#This Row],[BIRIM_FIYATLAR]])&lt;1,VALUE("0"),DST_123_ÜRETİM_İHTİYAÇ_RAPORU_BURAK_YENI1309[[#This Row],[SATINALMA]]*DST_123_ÜRETİM_İHTİYAÇ_RAPORU_BURAK_YENI1309[[#This Row],[BIRIM_FIYATLAR]])</f>
        <v>0</v>
      </c>
      <c r="N4286">
        <v>20</v>
      </c>
      <c r="P4286">
        <v>40</v>
      </c>
      <c r="Q4286" t="s">
        <v>221</v>
      </c>
    </row>
    <row r="4287" spans="1:17" x14ac:dyDescent="0.25">
      <c r="A4287" t="s">
        <v>1146</v>
      </c>
      <c r="B4287" t="s">
        <v>1145</v>
      </c>
      <c r="C4287" t="s">
        <v>175</v>
      </c>
      <c r="D4287" t="s">
        <v>236</v>
      </c>
      <c r="E4287" t="s">
        <v>305</v>
      </c>
      <c r="F4287">
        <v>2</v>
      </c>
      <c r="G4287" t="s">
        <v>176</v>
      </c>
      <c r="H4287">
        <v>0</v>
      </c>
      <c r="I4287">
        <v>452</v>
      </c>
      <c r="J4287" s="10">
        <v>25</v>
      </c>
      <c r="K4287" s="10">
        <f>SUMIFS(F:F,D:D,DST_123_ÜRETİM_İHTİYAÇ_RAPORU_BURAK_YENI1309[[#This Row],[ALT_KOD]])-(SUMIFS(H:H,D:D,DST_123_ÜRETİM_İHTİYAÇ_RAPORU_BURAK_YENI1309[[#This Row],[ALT_KOD]])+AVERAGEIFS(I:I,D:D,DST_123_ÜRETİM_İHTİYAÇ_RAPORU_BURAK_YENI1309[[#This Row],[ALT_KOD]])+AVERAGEIFS(L:L,D:D,DST_123_ÜRETİM_İHTİYAÇ_RAPORU_BURAK_YENI1309[[#This Row],[ALT_KOD]]))</f>
        <v>-428</v>
      </c>
      <c r="L4287">
        <v>0</v>
      </c>
      <c r="M4287">
        <f>IF((DST_123_ÜRETİM_İHTİYAÇ_RAPORU_BURAK_YENI1309[[#This Row],[SATINALMA]]*DST_123_ÜRETİM_İHTİYAÇ_RAPORU_BURAK_YENI1309[[#This Row],[BIRIM_FIYATLAR]])&lt;1,VALUE("0"),DST_123_ÜRETİM_İHTİYAÇ_RAPORU_BURAK_YENI1309[[#This Row],[SATINALMA]]*DST_123_ÜRETİM_İHTİYAÇ_RAPORU_BURAK_YENI1309[[#This Row],[BIRIM_FIYATLAR]])</f>
        <v>0</v>
      </c>
      <c r="N4287">
        <v>20</v>
      </c>
      <c r="P4287">
        <v>40</v>
      </c>
      <c r="Q4287" t="s">
        <v>221</v>
      </c>
    </row>
    <row r="4288" spans="1:17" x14ac:dyDescent="0.25">
      <c r="A4288" t="s">
        <v>1099</v>
      </c>
      <c r="B4288" t="s">
        <v>1055</v>
      </c>
      <c r="C4288" t="s">
        <v>175</v>
      </c>
      <c r="D4288" t="s">
        <v>710</v>
      </c>
      <c r="E4288" t="s">
        <v>711</v>
      </c>
      <c r="F4288">
        <v>1</v>
      </c>
      <c r="G4288" t="s">
        <v>176</v>
      </c>
      <c r="H4288">
        <v>0</v>
      </c>
      <c r="I4288">
        <v>0</v>
      </c>
      <c r="J4288" s="10">
        <v>2</v>
      </c>
      <c r="K4288" s="10">
        <f>SUMIFS(F:F,D:D,DST_123_ÜRETİM_İHTİYAÇ_RAPORU_BURAK_YENI1309[[#This Row],[ALT_KOD]])-(SUMIFS(H:H,D:D,DST_123_ÜRETİM_İHTİYAÇ_RAPORU_BURAK_YENI1309[[#This Row],[ALT_KOD]])+AVERAGEIFS(I:I,D:D,DST_123_ÜRETİM_İHTİYAÇ_RAPORU_BURAK_YENI1309[[#This Row],[ALT_KOD]])+AVERAGEIFS(L:L,D:D,DST_123_ÜRETİM_İHTİYAÇ_RAPORU_BURAK_YENI1309[[#This Row],[ALT_KOD]]))</f>
        <v>8</v>
      </c>
      <c r="L4288">
        <v>0</v>
      </c>
      <c r="M4288">
        <f>IF((DST_123_ÜRETİM_İHTİYAÇ_RAPORU_BURAK_YENI1309[[#This Row],[SATINALMA]]*DST_123_ÜRETİM_İHTİYAÇ_RAPORU_BURAK_YENI1309[[#This Row],[BIRIM_FIYATLAR]])&lt;1,VALUE("0"),DST_123_ÜRETİM_İHTİYAÇ_RAPORU_BURAK_YENI1309[[#This Row],[SATINALMA]]*DST_123_ÜRETİM_İHTİYAÇ_RAPORU_BURAK_YENI1309[[#This Row],[BIRIM_FIYATLAR]])</f>
        <v>191760</v>
      </c>
      <c r="N4288">
        <v>23970</v>
      </c>
      <c r="O4288" t="s">
        <v>1195</v>
      </c>
      <c r="P4288">
        <v>23970</v>
      </c>
      <c r="Q4288" t="s">
        <v>177</v>
      </c>
    </row>
    <row r="4289" spans="1:17" x14ac:dyDescent="0.25">
      <c r="A4289" t="s">
        <v>1098</v>
      </c>
      <c r="B4289" t="s">
        <v>1096</v>
      </c>
      <c r="C4289" t="s">
        <v>175</v>
      </c>
      <c r="D4289" t="s">
        <v>478</v>
      </c>
      <c r="E4289" t="s">
        <v>479</v>
      </c>
      <c r="F4289">
        <v>50</v>
      </c>
      <c r="G4289" t="s">
        <v>176</v>
      </c>
      <c r="H4289">
        <v>0</v>
      </c>
      <c r="I4289">
        <v>0</v>
      </c>
      <c r="J4289" s="10">
        <v>1330</v>
      </c>
      <c r="K4289" s="10">
        <f>SUMIFS(F:F,D:D,DST_123_ÜRETİM_İHTİYAÇ_RAPORU_BURAK_YENI1309[[#This Row],[ALT_KOD]])-(SUMIFS(H:H,D:D,DST_123_ÜRETİM_İHTİYAÇ_RAPORU_BURAK_YENI1309[[#This Row],[ALT_KOD]])+AVERAGEIFS(I:I,D:D,DST_123_ÜRETİM_İHTİYAÇ_RAPORU_BURAK_YENI1309[[#This Row],[ALT_KOD]])+AVERAGEIFS(L:L,D:D,DST_123_ÜRETİM_İHTİYAÇ_RAPORU_BURAK_YENI1309[[#This Row],[ALT_KOD]]))</f>
        <v>860</v>
      </c>
      <c r="L4289">
        <v>0</v>
      </c>
      <c r="M4289">
        <f>IF((DST_123_ÜRETİM_İHTİYAÇ_RAPORU_BURAK_YENI1309[[#This Row],[SATINALMA]]*DST_123_ÜRETİM_İHTİYAÇ_RAPORU_BURAK_YENI1309[[#This Row],[BIRIM_FIYATLAR]])&lt;1,VALUE("0"),DST_123_ÜRETİM_İHTİYAÇ_RAPORU_BURAK_YENI1309[[#This Row],[SATINALMA]]*DST_123_ÜRETİM_İHTİYAÇ_RAPORU_BURAK_YENI1309[[#This Row],[BIRIM_FIYATLAR]])</f>
        <v>344</v>
      </c>
      <c r="N4289">
        <v>0.4</v>
      </c>
      <c r="O4289" t="s">
        <v>882</v>
      </c>
      <c r="P4289">
        <v>20</v>
      </c>
      <c r="Q4289" t="s">
        <v>180</v>
      </c>
    </row>
    <row r="4290" spans="1:17" x14ac:dyDescent="0.25">
      <c r="A4290" t="s">
        <v>1146</v>
      </c>
      <c r="B4290" t="s">
        <v>1145</v>
      </c>
      <c r="C4290" t="s">
        <v>175</v>
      </c>
      <c r="D4290" t="s">
        <v>143</v>
      </c>
      <c r="E4290" t="s">
        <v>144</v>
      </c>
      <c r="F4290">
        <v>2</v>
      </c>
      <c r="G4290" t="s">
        <v>176</v>
      </c>
      <c r="H4290">
        <v>0</v>
      </c>
      <c r="I4290">
        <v>0</v>
      </c>
      <c r="J4290" s="10">
        <v>64</v>
      </c>
      <c r="K4290" s="10">
        <f>SUMIFS(F:F,D:D,DST_123_ÜRETİM_İHTİYAÇ_RAPORU_BURAK_YENI1309[[#This Row],[ALT_KOD]])-(SUMIFS(H:H,D:D,DST_123_ÜRETİM_İHTİYAÇ_RAPORU_BURAK_YENI1309[[#This Row],[ALT_KOD]])+AVERAGEIFS(I:I,D:D,DST_123_ÜRETİM_İHTİYAÇ_RAPORU_BURAK_YENI1309[[#This Row],[ALT_KOD]])+AVERAGEIFS(L:L,D:D,DST_123_ÜRETİM_İHTİYAÇ_RAPORU_BURAK_YENI1309[[#This Row],[ALT_KOD]]))</f>
        <v>40</v>
      </c>
      <c r="L4290">
        <v>0</v>
      </c>
      <c r="M4290">
        <f>IF((DST_123_ÜRETİM_İHTİYAÇ_RAPORU_BURAK_YENI1309[[#This Row],[SATINALMA]]*DST_123_ÜRETİM_İHTİYAÇ_RAPORU_BURAK_YENI1309[[#This Row],[BIRIM_FIYATLAR]])&lt;1,VALUE("0"),DST_123_ÜRETİM_İHTİYAÇ_RAPORU_BURAK_YENI1309[[#This Row],[SATINALMA]]*DST_123_ÜRETİM_İHTİYAÇ_RAPORU_BURAK_YENI1309[[#This Row],[BIRIM_FIYATLAR]])</f>
        <v>274.8</v>
      </c>
      <c r="N4290">
        <v>6.87</v>
      </c>
      <c r="O4290" t="s">
        <v>826</v>
      </c>
      <c r="P4290">
        <v>13.74</v>
      </c>
      <c r="Q4290" t="s">
        <v>221</v>
      </c>
    </row>
    <row r="4291" spans="1:17" x14ac:dyDescent="0.25">
      <c r="A4291" t="s">
        <v>1144</v>
      </c>
      <c r="B4291" t="s">
        <v>1145</v>
      </c>
      <c r="C4291" t="s">
        <v>175</v>
      </c>
      <c r="D4291" t="s">
        <v>143</v>
      </c>
      <c r="E4291" t="s">
        <v>144</v>
      </c>
      <c r="F4291">
        <v>2</v>
      </c>
      <c r="G4291" t="s">
        <v>176</v>
      </c>
      <c r="H4291">
        <v>0</v>
      </c>
      <c r="I4291">
        <v>0</v>
      </c>
      <c r="J4291" s="10">
        <v>64</v>
      </c>
      <c r="K4291" s="10">
        <f>SUMIFS(F:F,D:D,DST_123_ÜRETİM_İHTİYAÇ_RAPORU_BURAK_YENI1309[[#This Row],[ALT_KOD]])-(SUMIFS(H:H,D:D,DST_123_ÜRETİM_İHTİYAÇ_RAPORU_BURAK_YENI1309[[#This Row],[ALT_KOD]])+AVERAGEIFS(I:I,D:D,DST_123_ÜRETİM_İHTİYAÇ_RAPORU_BURAK_YENI1309[[#This Row],[ALT_KOD]])+AVERAGEIFS(L:L,D:D,DST_123_ÜRETİM_İHTİYAÇ_RAPORU_BURAK_YENI1309[[#This Row],[ALT_KOD]]))</f>
        <v>40</v>
      </c>
      <c r="L4291">
        <v>0</v>
      </c>
      <c r="M4291">
        <f>IF((DST_123_ÜRETİM_İHTİYAÇ_RAPORU_BURAK_YENI1309[[#This Row],[SATINALMA]]*DST_123_ÜRETİM_İHTİYAÇ_RAPORU_BURAK_YENI1309[[#This Row],[BIRIM_FIYATLAR]])&lt;1,VALUE("0"),DST_123_ÜRETİM_İHTİYAÇ_RAPORU_BURAK_YENI1309[[#This Row],[SATINALMA]]*DST_123_ÜRETİM_İHTİYAÇ_RAPORU_BURAK_YENI1309[[#This Row],[BIRIM_FIYATLAR]])</f>
        <v>274.8</v>
      </c>
      <c r="N4291">
        <v>6.87</v>
      </c>
      <c r="O4291" t="s">
        <v>826</v>
      </c>
      <c r="P4291">
        <v>13.74</v>
      </c>
      <c r="Q4291" t="s">
        <v>221</v>
      </c>
    </row>
    <row r="4292" spans="1:17" x14ac:dyDescent="0.25">
      <c r="A4292" t="s">
        <v>1059</v>
      </c>
      <c r="B4292" t="s">
        <v>1058</v>
      </c>
      <c r="C4292" t="s">
        <v>175</v>
      </c>
      <c r="D4292" t="s">
        <v>582</v>
      </c>
      <c r="E4292" t="s">
        <v>583</v>
      </c>
      <c r="F4292">
        <v>5.9</v>
      </c>
      <c r="G4292" t="s">
        <v>185</v>
      </c>
      <c r="H4292">
        <v>5.9</v>
      </c>
      <c r="I4292">
        <v>0</v>
      </c>
      <c r="J4292" s="10">
        <v>297.39999999999998</v>
      </c>
      <c r="K4292" s="10">
        <f>SUMIFS(F:F,D:D,DST_123_ÜRETİM_İHTİYAÇ_RAPORU_BURAK_YENI1309[[#This Row],[ALT_KOD]])-(SUMIFS(H:H,D:D,DST_123_ÜRETİM_İHTİYAÇ_RAPORU_BURAK_YENI1309[[#This Row],[ALT_KOD]])+AVERAGEIFS(I:I,D:D,DST_123_ÜRETİM_İHTİYAÇ_RAPORU_BURAK_YENI1309[[#This Row],[ALT_KOD]])+AVERAGEIFS(L:L,D:D,DST_123_ÜRETİM_İHTİYAÇ_RAPORU_BURAK_YENI1309[[#This Row],[ALT_KOD]]))</f>
        <v>94.40000000000002</v>
      </c>
      <c r="L4292">
        <v>0</v>
      </c>
      <c r="M4292">
        <f>IF((DST_123_ÜRETİM_İHTİYAÇ_RAPORU_BURAK_YENI1309[[#This Row],[SATINALMA]]*DST_123_ÜRETİM_İHTİYAÇ_RAPORU_BURAK_YENI1309[[#This Row],[BIRIM_FIYATLAR]])&lt;1,VALUE("0"),DST_123_ÜRETİM_İHTİYAÇ_RAPORU_BURAK_YENI1309[[#This Row],[SATINALMA]]*DST_123_ÜRETİM_İHTİYAÇ_RAPORU_BURAK_YENI1309[[#This Row],[BIRIM_FIYATLAR]])</f>
        <v>21972.544000000005</v>
      </c>
      <c r="N4292">
        <v>232.76</v>
      </c>
      <c r="O4292" t="s">
        <v>490</v>
      </c>
      <c r="P4292">
        <v>1373.2840000000001</v>
      </c>
      <c r="Q4292" t="s">
        <v>183</v>
      </c>
    </row>
    <row r="4293" spans="1:17" x14ac:dyDescent="0.25">
      <c r="A4293" t="s">
        <v>1095</v>
      </c>
      <c r="B4293" t="s">
        <v>1096</v>
      </c>
      <c r="C4293" t="s">
        <v>175</v>
      </c>
      <c r="D4293" t="s">
        <v>582</v>
      </c>
      <c r="E4293" t="s">
        <v>583</v>
      </c>
      <c r="F4293">
        <v>5.9</v>
      </c>
      <c r="G4293" t="s">
        <v>185</v>
      </c>
      <c r="H4293">
        <v>0</v>
      </c>
      <c r="I4293">
        <v>0</v>
      </c>
      <c r="J4293" s="10">
        <v>297.39999999999998</v>
      </c>
      <c r="K4293" s="10">
        <f>SUMIFS(F:F,D:D,DST_123_ÜRETİM_İHTİYAÇ_RAPORU_BURAK_YENI1309[[#This Row],[ALT_KOD]])-(SUMIFS(H:H,D:D,DST_123_ÜRETİM_İHTİYAÇ_RAPORU_BURAK_YENI1309[[#This Row],[ALT_KOD]])+AVERAGEIFS(I:I,D:D,DST_123_ÜRETİM_İHTİYAÇ_RAPORU_BURAK_YENI1309[[#This Row],[ALT_KOD]])+AVERAGEIFS(L:L,D:D,DST_123_ÜRETİM_İHTİYAÇ_RAPORU_BURAK_YENI1309[[#This Row],[ALT_KOD]]))</f>
        <v>94.40000000000002</v>
      </c>
      <c r="L4293">
        <v>0</v>
      </c>
      <c r="M4293">
        <f>IF((DST_123_ÜRETİM_İHTİYAÇ_RAPORU_BURAK_YENI1309[[#This Row],[SATINALMA]]*DST_123_ÜRETİM_İHTİYAÇ_RAPORU_BURAK_YENI1309[[#This Row],[BIRIM_FIYATLAR]])&lt;1,VALUE("0"),DST_123_ÜRETİM_İHTİYAÇ_RAPORU_BURAK_YENI1309[[#This Row],[SATINALMA]]*DST_123_ÜRETİM_İHTİYAÇ_RAPORU_BURAK_YENI1309[[#This Row],[BIRIM_FIYATLAR]])</f>
        <v>21972.544000000005</v>
      </c>
      <c r="N4293">
        <v>232.76</v>
      </c>
      <c r="O4293" t="s">
        <v>490</v>
      </c>
      <c r="P4293">
        <v>1373.2840000000001</v>
      </c>
      <c r="Q4293" t="s">
        <v>183</v>
      </c>
    </row>
    <row r="4294" spans="1:17" x14ac:dyDescent="0.25">
      <c r="A4294" t="s">
        <v>1196</v>
      </c>
      <c r="B4294" t="s">
        <v>1197</v>
      </c>
      <c r="C4294" t="s">
        <v>175</v>
      </c>
      <c r="D4294" t="s">
        <v>614</v>
      </c>
      <c r="E4294" t="s">
        <v>615</v>
      </c>
      <c r="F4294">
        <v>1.5</v>
      </c>
      <c r="G4294" t="s">
        <v>185</v>
      </c>
      <c r="H4294">
        <v>0</v>
      </c>
      <c r="I4294">
        <v>39</v>
      </c>
      <c r="J4294" s="10">
        <v>40.000000000000014</v>
      </c>
      <c r="K4294" s="10">
        <f>SUMIFS(F:F,D:D,DST_123_ÜRETİM_İHTİYAÇ_RAPORU_BURAK_YENI1309[[#This Row],[ALT_KOD]])-(SUMIFS(H:H,D:D,DST_123_ÜRETİM_İHTİYAÇ_RAPORU_BURAK_YENI1309[[#This Row],[ALT_KOD]])+AVERAGEIFS(I:I,D:D,DST_123_ÜRETİM_İHTİYAÇ_RAPORU_BURAK_YENI1309[[#This Row],[ALT_KOD]])+AVERAGEIFS(L:L,D:D,DST_123_ÜRETİM_İHTİYAÇ_RAPORU_BURAK_YENI1309[[#This Row],[ALT_KOD]]))</f>
        <v>-18.5</v>
      </c>
      <c r="L4294">
        <v>0</v>
      </c>
      <c r="M4294">
        <f>IF((DST_123_ÜRETİM_İHTİYAÇ_RAPORU_BURAK_YENI1309[[#This Row],[SATINALMA]]*DST_123_ÜRETİM_İHTİYAÇ_RAPORU_BURAK_YENI1309[[#This Row],[BIRIM_FIYATLAR]])&lt;1,VALUE("0"),DST_123_ÜRETİM_İHTİYAÇ_RAPORU_BURAK_YENI1309[[#This Row],[SATINALMA]]*DST_123_ÜRETİM_İHTİYAÇ_RAPORU_BURAK_YENI1309[[#This Row],[BIRIM_FIYATLAR]])</f>
        <v>0</v>
      </c>
      <c r="N4294">
        <v>212.93</v>
      </c>
      <c r="O4294" t="s">
        <v>253</v>
      </c>
      <c r="P4294">
        <v>319.39499999999998</v>
      </c>
      <c r="Q4294" t="s">
        <v>181</v>
      </c>
    </row>
    <row r="4295" spans="1:17" x14ac:dyDescent="0.25">
      <c r="A4295" t="s">
        <v>1099</v>
      </c>
      <c r="B4295" t="s">
        <v>1055</v>
      </c>
      <c r="C4295" t="s">
        <v>175</v>
      </c>
      <c r="D4295" t="s">
        <v>614</v>
      </c>
      <c r="E4295" t="s">
        <v>615</v>
      </c>
      <c r="F4295">
        <v>0.5</v>
      </c>
      <c r="G4295" t="s">
        <v>185</v>
      </c>
      <c r="H4295">
        <v>0</v>
      </c>
      <c r="I4295">
        <v>39</v>
      </c>
      <c r="J4295" s="10">
        <v>40.000000000000014</v>
      </c>
      <c r="K4295" s="10">
        <f>SUMIFS(F:F,D:D,DST_123_ÜRETİM_İHTİYAÇ_RAPORU_BURAK_YENI1309[[#This Row],[ALT_KOD]])-(SUMIFS(H:H,D:D,DST_123_ÜRETİM_İHTİYAÇ_RAPORU_BURAK_YENI1309[[#This Row],[ALT_KOD]])+AVERAGEIFS(I:I,D:D,DST_123_ÜRETİM_İHTİYAÇ_RAPORU_BURAK_YENI1309[[#This Row],[ALT_KOD]])+AVERAGEIFS(L:L,D:D,DST_123_ÜRETİM_İHTİYAÇ_RAPORU_BURAK_YENI1309[[#This Row],[ALT_KOD]]))</f>
        <v>-18.5</v>
      </c>
      <c r="L4295">
        <v>0</v>
      </c>
      <c r="M4295">
        <f>IF((DST_123_ÜRETİM_İHTİYAÇ_RAPORU_BURAK_YENI1309[[#This Row],[SATINALMA]]*DST_123_ÜRETİM_İHTİYAÇ_RAPORU_BURAK_YENI1309[[#This Row],[BIRIM_FIYATLAR]])&lt;1,VALUE("0"),DST_123_ÜRETİM_İHTİYAÇ_RAPORU_BURAK_YENI1309[[#This Row],[SATINALMA]]*DST_123_ÜRETİM_İHTİYAÇ_RAPORU_BURAK_YENI1309[[#This Row],[BIRIM_FIYATLAR]])</f>
        <v>0</v>
      </c>
      <c r="N4295">
        <v>212.93</v>
      </c>
      <c r="O4295" t="s">
        <v>253</v>
      </c>
      <c r="P4295">
        <v>106.465</v>
      </c>
      <c r="Q4295" t="s">
        <v>181</v>
      </c>
    </row>
    <row r="4296" spans="1:17" x14ac:dyDescent="0.25">
      <c r="A4296" t="s">
        <v>1144</v>
      </c>
      <c r="B4296" t="s">
        <v>1145</v>
      </c>
      <c r="C4296" t="s">
        <v>175</v>
      </c>
      <c r="D4296" t="s">
        <v>567</v>
      </c>
      <c r="E4296" t="s">
        <v>568</v>
      </c>
      <c r="F4296">
        <v>60</v>
      </c>
      <c r="G4296" t="s">
        <v>176</v>
      </c>
      <c r="H4296">
        <v>0</v>
      </c>
      <c r="I4296">
        <v>5000</v>
      </c>
      <c r="J4296" s="10">
        <v>0</v>
      </c>
      <c r="K4296" s="10">
        <f>SUMIFS(F:F,D:D,DST_123_ÜRETİM_İHTİYAÇ_RAPORU_BURAK_YENI1309[[#This Row],[ALT_KOD]])-(SUMIFS(H:H,D:D,DST_123_ÜRETİM_İHTİYAÇ_RAPORU_BURAK_YENI1309[[#This Row],[ALT_KOD]])+AVERAGEIFS(I:I,D:D,DST_123_ÜRETİM_İHTİYAÇ_RAPORU_BURAK_YENI1309[[#This Row],[ALT_KOD]])+AVERAGEIFS(L:L,D:D,DST_123_ÜRETİM_İHTİYAÇ_RAPORU_BURAK_YENI1309[[#This Row],[ALT_KOD]]))</f>
        <v>-3820</v>
      </c>
      <c r="L4296">
        <v>0</v>
      </c>
      <c r="M4296">
        <f>IF((DST_123_ÜRETİM_İHTİYAÇ_RAPORU_BURAK_YENI1309[[#This Row],[SATINALMA]]*DST_123_ÜRETİM_İHTİYAÇ_RAPORU_BURAK_YENI1309[[#This Row],[BIRIM_FIYATLAR]])&lt;1,VALUE("0"),DST_123_ÜRETİM_İHTİYAÇ_RAPORU_BURAK_YENI1309[[#This Row],[SATINALMA]]*DST_123_ÜRETİM_İHTİYAÇ_RAPORU_BURAK_YENI1309[[#This Row],[BIRIM_FIYATLAR]])</f>
        <v>0</v>
      </c>
      <c r="N4296">
        <v>0.6</v>
      </c>
      <c r="O4296" t="s">
        <v>240</v>
      </c>
      <c r="P4296">
        <v>36</v>
      </c>
      <c r="Q4296" t="s">
        <v>180</v>
      </c>
    </row>
    <row r="4297" spans="1:17" x14ac:dyDescent="0.25">
      <c r="A4297" t="s">
        <v>1144</v>
      </c>
      <c r="B4297" t="s">
        <v>1145</v>
      </c>
      <c r="C4297" t="s">
        <v>175</v>
      </c>
      <c r="D4297" t="s">
        <v>478</v>
      </c>
      <c r="E4297" t="s">
        <v>479</v>
      </c>
      <c r="F4297">
        <v>40</v>
      </c>
      <c r="G4297" t="s">
        <v>176</v>
      </c>
      <c r="H4297">
        <v>0</v>
      </c>
      <c r="I4297">
        <v>0</v>
      </c>
      <c r="J4297" s="10">
        <v>1330</v>
      </c>
      <c r="K4297" s="10">
        <f>SUMIFS(F:F,D:D,DST_123_ÜRETİM_İHTİYAÇ_RAPORU_BURAK_YENI1309[[#This Row],[ALT_KOD]])-(SUMIFS(H:H,D:D,DST_123_ÜRETİM_İHTİYAÇ_RAPORU_BURAK_YENI1309[[#This Row],[ALT_KOD]])+AVERAGEIFS(I:I,D:D,DST_123_ÜRETİM_İHTİYAÇ_RAPORU_BURAK_YENI1309[[#This Row],[ALT_KOD]])+AVERAGEIFS(L:L,D:D,DST_123_ÜRETİM_İHTİYAÇ_RAPORU_BURAK_YENI1309[[#This Row],[ALT_KOD]]))</f>
        <v>860</v>
      </c>
      <c r="L4297">
        <v>0</v>
      </c>
      <c r="M4297">
        <f>IF((DST_123_ÜRETİM_İHTİYAÇ_RAPORU_BURAK_YENI1309[[#This Row],[SATINALMA]]*DST_123_ÜRETİM_İHTİYAÇ_RAPORU_BURAK_YENI1309[[#This Row],[BIRIM_FIYATLAR]])&lt;1,VALUE("0"),DST_123_ÜRETİM_İHTİYAÇ_RAPORU_BURAK_YENI1309[[#This Row],[SATINALMA]]*DST_123_ÜRETİM_İHTİYAÇ_RAPORU_BURAK_YENI1309[[#This Row],[BIRIM_FIYATLAR]])</f>
        <v>344</v>
      </c>
      <c r="N4297">
        <v>0.4</v>
      </c>
      <c r="O4297" t="s">
        <v>882</v>
      </c>
      <c r="P4297">
        <v>16</v>
      </c>
      <c r="Q4297" t="s">
        <v>180</v>
      </c>
    </row>
    <row r="4298" spans="1:17" x14ac:dyDescent="0.25">
      <c r="A4298" t="s">
        <v>1146</v>
      </c>
      <c r="B4298" t="s">
        <v>1145</v>
      </c>
      <c r="C4298" t="s">
        <v>175</v>
      </c>
      <c r="D4298" t="s">
        <v>478</v>
      </c>
      <c r="E4298" t="s">
        <v>479</v>
      </c>
      <c r="F4298">
        <v>40</v>
      </c>
      <c r="G4298" t="s">
        <v>176</v>
      </c>
      <c r="H4298">
        <v>0</v>
      </c>
      <c r="I4298">
        <v>0</v>
      </c>
      <c r="J4298" s="10">
        <v>1330</v>
      </c>
      <c r="K4298" s="10">
        <f>SUMIFS(F:F,D:D,DST_123_ÜRETİM_İHTİYAÇ_RAPORU_BURAK_YENI1309[[#This Row],[ALT_KOD]])-(SUMIFS(H:H,D:D,DST_123_ÜRETİM_İHTİYAÇ_RAPORU_BURAK_YENI1309[[#This Row],[ALT_KOD]])+AVERAGEIFS(I:I,D:D,DST_123_ÜRETİM_İHTİYAÇ_RAPORU_BURAK_YENI1309[[#This Row],[ALT_KOD]])+AVERAGEIFS(L:L,D:D,DST_123_ÜRETİM_İHTİYAÇ_RAPORU_BURAK_YENI1309[[#This Row],[ALT_KOD]]))</f>
        <v>860</v>
      </c>
      <c r="L4298">
        <v>0</v>
      </c>
      <c r="M4298">
        <f>IF((DST_123_ÜRETİM_İHTİYAÇ_RAPORU_BURAK_YENI1309[[#This Row],[SATINALMA]]*DST_123_ÜRETİM_İHTİYAÇ_RAPORU_BURAK_YENI1309[[#This Row],[BIRIM_FIYATLAR]])&lt;1,VALUE("0"),DST_123_ÜRETİM_İHTİYAÇ_RAPORU_BURAK_YENI1309[[#This Row],[SATINALMA]]*DST_123_ÜRETİM_İHTİYAÇ_RAPORU_BURAK_YENI1309[[#This Row],[BIRIM_FIYATLAR]])</f>
        <v>344</v>
      </c>
      <c r="N4298">
        <v>0.4</v>
      </c>
      <c r="O4298" t="s">
        <v>882</v>
      </c>
      <c r="P4298">
        <v>16</v>
      </c>
      <c r="Q4298" t="s">
        <v>180</v>
      </c>
    </row>
    <row r="4299" spans="1:17" x14ac:dyDescent="0.25">
      <c r="A4299" t="s">
        <v>1150</v>
      </c>
      <c r="B4299" t="s">
        <v>1145</v>
      </c>
      <c r="C4299" t="s">
        <v>175</v>
      </c>
      <c r="D4299" t="s">
        <v>582</v>
      </c>
      <c r="E4299" t="s">
        <v>583</v>
      </c>
      <c r="F4299">
        <v>5.9</v>
      </c>
      <c r="G4299" t="s">
        <v>185</v>
      </c>
      <c r="H4299">
        <v>0</v>
      </c>
      <c r="I4299">
        <v>0</v>
      </c>
      <c r="J4299" s="10">
        <v>297.39999999999998</v>
      </c>
      <c r="K4299" s="10">
        <f>SUMIFS(F:F,D:D,DST_123_ÜRETİM_İHTİYAÇ_RAPORU_BURAK_YENI1309[[#This Row],[ALT_KOD]])-(SUMIFS(H:H,D:D,DST_123_ÜRETİM_İHTİYAÇ_RAPORU_BURAK_YENI1309[[#This Row],[ALT_KOD]])+AVERAGEIFS(I:I,D:D,DST_123_ÜRETİM_İHTİYAÇ_RAPORU_BURAK_YENI1309[[#This Row],[ALT_KOD]])+AVERAGEIFS(L:L,D:D,DST_123_ÜRETİM_İHTİYAÇ_RAPORU_BURAK_YENI1309[[#This Row],[ALT_KOD]]))</f>
        <v>94.40000000000002</v>
      </c>
      <c r="L4299">
        <v>0</v>
      </c>
      <c r="M4299">
        <f>IF((DST_123_ÜRETİM_İHTİYAÇ_RAPORU_BURAK_YENI1309[[#This Row],[SATINALMA]]*DST_123_ÜRETİM_İHTİYAÇ_RAPORU_BURAK_YENI1309[[#This Row],[BIRIM_FIYATLAR]])&lt;1,VALUE("0"),DST_123_ÜRETİM_İHTİYAÇ_RAPORU_BURAK_YENI1309[[#This Row],[SATINALMA]]*DST_123_ÜRETİM_İHTİYAÇ_RAPORU_BURAK_YENI1309[[#This Row],[BIRIM_FIYATLAR]])</f>
        <v>21972.544000000005</v>
      </c>
      <c r="N4299">
        <v>232.76</v>
      </c>
      <c r="O4299" t="s">
        <v>490</v>
      </c>
      <c r="P4299">
        <v>1373.2840000000001</v>
      </c>
      <c r="Q4299" t="s">
        <v>183</v>
      </c>
    </row>
    <row r="4300" spans="1:17" x14ac:dyDescent="0.25">
      <c r="A4300" t="s">
        <v>1142</v>
      </c>
      <c r="B4300" t="s">
        <v>1056</v>
      </c>
      <c r="C4300" t="s">
        <v>175</v>
      </c>
      <c r="D4300" t="s">
        <v>803</v>
      </c>
      <c r="E4300" t="s">
        <v>804</v>
      </c>
      <c r="F4300">
        <v>1</v>
      </c>
      <c r="G4300" t="s">
        <v>176</v>
      </c>
      <c r="H4300">
        <v>0</v>
      </c>
      <c r="I4300">
        <v>7</v>
      </c>
      <c r="J4300" s="10">
        <v>2</v>
      </c>
      <c r="K4300" s="10">
        <f>SUMIFS(F:F,D:D,DST_123_ÜRETİM_İHTİYAÇ_RAPORU_BURAK_YENI1309[[#This Row],[ALT_KOD]])-(SUMIFS(H:H,D:D,DST_123_ÜRETİM_İHTİYAÇ_RAPORU_BURAK_YENI1309[[#This Row],[ALT_KOD]])+AVERAGEIFS(I:I,D:D,DST_123_ÜRETİM_İHTİYAÇ_RAPORU_BURAK_YENI1309[[#This Row],[ALT_KOD]])+AVERAGEIFS(L:L,D:D,DST_123_ÜRETİM_İHTİYAÇ_RAPORU_BURAK_YENI1309[[#This Row],[ALT_KOD]]))</f>
        <v>0</v>
      </c>
      <c r="L4300">
        <v>0</v>
      </c>
      <c r="M4300">
        <f>IF((DST_123_ÜRETİM_İHTİYAÇ_RAPORU_BURAK_YENI1309[[#This Row],[SATINALMA]]*DST_123_ÜRETİM_İHTİYAÇ_RAPORU_BURAK_YENI1309[[#This Row],[BIRIM_FIYATLAR]])&lt;1,VALUE("0"),DST_123_ÜRETİM_İHTİYAÇ_RAPORU_BURAK_YENI1309[[#This Row],[SATINALMA]]*DST_123_ÜRETİM_İHTİYAÇ_RAPORU_BURAK_YENI1309[[#This Row],[BIRIM_FIYATLAR]])</f>
        <v>0</v>
      </c>
      <c r="N4300">
        <v>337.5</v>
      </c>
      <c r="O4300" t="s">
        <v>246</v>
      </c>
      <c r="P4300">
        <v>337.5</v>
      </c>
      <c r="Q4300" t="s">
        <v>177</v>
      </c>
    </row>
    <row r="4301" spans="1:17" x14ac:dyDescent="0.25">
      <c r="A4301" t="s">
        <v>1146</v>
      </c>
      <c r="B4301" t="s">
        <v>1145</v>
      </c>
      <c r="C4301" t="s">
        <v>175</v>
      </c>
      <c r="D4301" t="s">
        <v>803</v>
      </c>
      <c r="E4301" t="s">
        <v>804</v>
      </c>
      <c r="F4301">
        <v>1</v>
      </c>
      <c r="G4301" t="s">
        <v>176</v>
      </c>
      <c r="H4301">
        <v>0</v>
      </c>
      <c r="I4301">
        <v>7</v>
      </c>
      <c r="J4301" s="10">
        <v>2</v>
      </c>
      <c r="K4301" s="10">
        <f>SUMIFS(F:F,D:D,DST_123_ÜRETİM_İHTİYAÇ_RAPORU_BURAK_YENI1309[[#This Row],[ALT_KOD]])-(SUMIFS(H:H,D:D,DST_123_ÜRETİM_İHTİYAÇ_RAPORU_BURAK_YENI1309[[#This Row],[ALT_KOD]])+AVERAGEIFS(I:I,D:D,DST_123_ÜRETİM_İHTİYAÇ_RAPORU_BURAK_YENI1309[[#This Row],[ALT_KOD]])+AVERAGEIFS(L:L,D:D,DST_123_ÜRETİM_İHTİYAÇ_RAPORU_BURAK_YENI1309[[#This Row],[ALT_KOD]]))</f>
        <v>0</v>
      </c>
      <c r="L4301">
        <v>0</v>
      </c>
      <c r="M4301">
        <f>IF((DST_123_ÜRETİM_İHTİYAÇ_RAPORU_BURAK_YENI1309[[#This Row],[SATINALMA]]*DST_123_ÜRETİM_İHTİYAÇ_RAPORU_BURAK_YENI1309[[#This Row],[BIRIM_FIYATLAR]])&lt;1,VALUE("0"),DST_123_ÜRETİM_İHTİYAÇ_RAPORU_BURAK_YENI1309[[#This Row],[SATINALMA]]*DST_123_ÜRETİM_İHTİYAÇ_RAPORU_BURAK_YENI1309[[#This Row],[BIRIM_FIYATLAR]])</f>
        <v>0</v>
      </c>
      <c r="N4301">
        <v>337.5</v>
      </c>
      <c r="O4301" t="s">
        <v>246</v>
      </c>
      <c r="P4301">
        <v>337.5</v>
      </c>
      <c r="Q4301" t="s">
        <v>177</v>
      </c>
    </row>
    <row r="4302" spans="1:17" x14ac:dyDescent="0.25">
      <c r="A4302" t="s">
        <v>1144</v>
      </c>
      <c r="B4302" t="s">
        <v>1145</v>
      </c>
      <c r="C4302" t="s">
        <v>175</v>
      </c>
      <c r="D4302" t="s">
        <v>803</v>
      </c>
      <c r="E4302" t="s">
        <v>804</v>
      </c>
      <c r="F4302">
        <v>1</v>
      </c>
      <c r="G4302" t="s">
        <v>176</v>
      </c>
      <c r="H4302">
        <v>0</v>
      </c>
      <c r="I4302">
        <v>7</v>
      </c>
      <c r="J4302" s="10">
        <v>2</v>
      </c>
      <c r="K4302" s="10">
        <f>SUMIFS(F:F,D:D,DST_123_ÜRETİM_İHTİYAÇ_RAPORU_BURAK_YENI1309[[#This Row],[ALT_KOD]])-(SUMIFS(H:H,D:D,DST_123_ÜRETİM_İHTİYAÇ_RAPORU_BURAK_YENI1309[[#This Row],[ALT_KOD]])+AVERAGEIFS(I:I,D:D,DST_123_ÜRETİM_İHTİYAÇ_RAPORU_BURAK_YENI1309[[#This Row],[ALT_KOD]])+AVERAGEIFS(L:L,D:D,DST_123_ÜRETİM_İHTİYAÇ_RAPORU_BURAK_YENI1309[[#This Row],[ALT_KOD]]))</f>
        <v>0</v>
      </c>
      <c r="L4302">
        <v>0</v>
      </c>
      <c r="M4302">
        <f>IF((DST_123_ÜRETİM_İHTİYAÇ_RAPORU_BURAK_YENI1309[[#This Row],[SATINALMA]]*DST_123_ÜRETİM_İHTİYAÇ_RAPORU_BURAK_YENI1309[[#This Row],[BIRIM_FIYATLAR]])&lt;1,VALUE("0"),DST_123_ÜRETİM_İHTİYAÇ_RAPORU_BURAK_YENI1309[[#This Row],[SATINALMA]]*DST_123_ÜRETİM_İHTİYAÇ_RAPORU_BURAK_YENI1309[[#This Row],[BIRIM_FIYATLAR]])</f>
        <v>0</v>
      </c>
      <c r="N4302">
        <v>337.5</v>
      </c>
      <c r="O4302" t="s">
        <v>246</v>
      </c>
      <c r="P4302">
        <v>337.5</v>
      </c>
      <c r="Q4302" t="s">
        <v>177</v>
      </c>
    </row>
    <row r="4303" spans="1:17" x14ac:dyDescent="0.25">
      <c r="A4303" t="s">
        <v>1150</v>
      </c>
      <c r="B4303" t="s">
        <v>1145</v>
      </c>
      <c r="C4303" t="s">
        <v>175</v>
      </c>
      <c r="D4303" t="s">
        <v>478</v>
      </c>
      <c r="E4303" t="s">
        <v>479</v>
      </c>
      <c r="F4303">
        <v>40</v>
      </c>
      <c r="G4303" t="s">
        <v>176</v>
      </c>
      <c r="H4303">
        <v>0</v>
      </c>
      <c r="I4303">
        <v>0</v>
      </c>
      <c r="J4303" s="10">
        <v>1330</v>
      </c>
      <c r="K4303" s="10">
        <f>SUMIFS(F:F,D:D,DST_123_ÜRETİM_İHTİYAÇ_RAPORU_BURAK_YENI1309[[#This Row],[ALT_KOD]])-(SUMIFS(H:H,D:D,DST_123_ÜRETİM_İHTİYAÇ_RAPORU_BURAK_YENI1309[[#This Row],[ALT_KOD]])+AVERAGEIFS(I:I,D:D,DST_123_ÜRETİM_İHTİYAÇ_RAPORU_BURAK_YENI1309[[#This Row],[ALT_KOD]])+AVERAGEIFS(L:L,D:D,DST_123_ÜRETİM_İHTİYAÇ_RAPORU_BURAK_YENI1309[[#This Row],[ALT_KOD]]))</f>
        <v>860</v>
      </c>
      <c r="L4303">
        <v>0</v>
      </c>
      <c r="M4303">
        <f>IF((DST_123_ÜRETİM_İHTİYAÇ_RAPORU_BURAK_YENI1309[[#This Row],[SATINALMA]]*DST_123_ÜRETİM_İHTİYAÇ_RAPORU_BURAK_YENI1309[[#This Row],[BIRIM_FIYATLAR]])&lt;1,VALUE("0"),DST_123_ÜRETİM_İHTİYAÇ_RAPORU_BURAK_YENI1309[[#This Row],[SATINALMA]]*DST_123_ÜRETİM_İHTİYAÇ_RAPORU_BURAK_YENI1309[[#This Row],[BIRIM_FIYATLAR]])</f>
        <v>344</v>
      </c>
      <c r="N4303">
        <v>0.4</v>
      </c>
      <c r="O4303" t="s">
        <v>882</v>
      </c>
      <c r="P4303">
        <v>16</v>
      </c>
      <c r="Q4303" t="s">
        <v>180</v>
      </c>
    </row>
    <row r="4304" spans="1:17" x14ac:dyDescent="0.25">
      <c r="A4304" t="s">
        <v>1196</v>
      </c>
      <c r="B4304" t="s">
        <v>1197</v>
      </c>
      <c r="C4304" t="s">
        <v>175</v>
      </c>
      <c r="D4304" t="s">
        <v>836</v>
      </c>
      <c r="E4304" t="s">
        <v>837</v>
      </c>
      <c r="F4304">
        <v>120</v>
      </c>
      <c r="G4304" t="s">
        <v>179</v>
      </c>
      <c r="H4304">
        <v>0</v>
      </c>
      <c r="I4304">
        <v>0</v>
      </c>
      <c r="J4304" s="10">
        <v>0</v>
      </c>
      <c r="K4304" s="10">
        <f>SUMIFS(F:F,D:D,DST_123_ÜRETİM_İHTİYAÇ_RAPORU_BURAK_YENI1309[[#This Row],[ALT_KOD]])-(SUMIFS(H:H,D:D,DST_123_ÜRETİM_İHTİYAÇ_RAPORU_BURAK_YENI1309[[#This Row],[ALT_KOD]])+AVERAGEIFS(I:I,D:D,DST_123_ÜRETİM_İHTİYAÇ_RAPORU_BURAK_YENI1309[[#This Row],[ALT_KOD]])+AVERAGEIFS(L:L,D:D,DST_123_ÜRETİM_İHTİYAÇ_RAPORU_BURAK_YENI1309[[#This Row],[ALT_KOD]]))</f>
        <v>1760</v>
      </c>
      <c r="L4304">
        <v>0</v>
      </c>
      <c r="M4304">
        <f>IF((DST_123_ÜRETİM_İHTİYAÇ_RAPORU_BURAK_YENI1309[[#This Row],[SATINALMA]]*DST_123_ÜRETİM_İHTİYAÇ_RAPORU_BURAK_YENI1309[[#This Row],[BIRIM_FIYATLAR]])&lt;1,VALUE("0"),DST_123_ÜRETİM_İHTİYAÇ_RAPORU_BURAK_YENI1309[[#This Row],[SATINALMA]]*DST_123_ÜRETİM_İHTİYAÇ_RAPORU_BURAK_YENI1309[[#This Row],[BIRIM_FIYATLAR]])</f>
        <v>0</v>
      </c>
      <c r="N4304">
        <v>0</v>
      </c>
      <c r="P4304">
        <v>0</v>
      </c>
      <c r="Q4304" t="s">
        <v>184</v>
      </c>
    </row>
    <row r="4305" spans="1:17" x14ac:dyDescent="0.25">
      <c r="A4305" t="s">
        <v>1196</v>
      </c>
      <c r="B4305" t="s">
        <v>1197</v>
      </c>
      <c r="C4305" t="s">
        <v>175</v>
      </c>
      <c r="D4305" t="s">
        <v>319</v>
      </c>
      <c r="E4305" t="s">
        <v>320</v>
      </c>
      <c r="F4305">
        <v>0.13</v>
      </c>
      <c r="G4305" t="s">
        <v>186</v>
      </c>
      <c r="H4305">
        <v>0</v>
      </c>
      <c r="I4305">
        <v>0</v>
      </c>
      <c r="J4305" s="10">
        <v>4.5430000000000446</v>
      </c>
      <c r="K4305" s="10">
        <f>SUMIFS(F:F,D:D,DST_123_ÜRETİM_İHTİYAÇ_RAPORU_BURAK_YENI1309[[#This Row],[ALT_KOD]])-(SUMIFS(H:H,D:D,DST_123_ÜRETİM_İHTİYAÇ_RAPORU_BURAK_YENI1309[[#This Row],[ALT_KOD]])+AVERAGEIFS(I:I,D:D,DST_123_ÜRETİM_İHTİYAÇ_RAPORU_BURAK_YENI1309[[#This Row],[ALT_KOD]])+AVERAGEIFS(L:L,D:D,DST_123_ÜRETİM_İHTİYAÇ_RAPORU_BURAK_YENI1309[[#This Row],[ALT_KOD]]))</f>
        <v>1.4260000000000002</v>
      </c>
      <c r="L4305">
        <v>0</v>
      </c>
      <c r="M4305">
        <f>IF((DST_123_ÜRETİM_İHTİYAÇ_RAPORU_BURAK_YENI1309[[#This Row],[SATINALMA]]*DST_123_ÜRETİM_İHTİYAÇ_RAPORU_BURAK_YENI1309[[#This Row],[BIRIM_FIYATLAR]])&lt;1,VALUE("0"),DST_123_ÜRETİM_İHTİYAÇ_RAPORU_BURAK_YENI1309[[#This Row],[SATINALMA]]*DST_123_ÜRETİM_İHTİYAÇ_RAPORU_BURAK_YENI1309[[#This Row],[BIRIM_FIYATLAR]])</f>
        <v>27807.000000000004</v>
      </c>
      <c r="N4305">
        <v>19500</v>
      </c>
      <c r="O4305" t="s">
        <v>762</v>
      </c>
      <c r="P4305">
        <v>2535</v>
      </c>
      <c r="Q4305" t="s">
        <v>181</v>
      </c>
    </row>
    <row r="4306" spans="1:17" x14ac:dyDescent="0.25">
      <c r="A4306" t="s">
        <v>1098</v>
      </c>
      <c r="B4306" t="s">
        <v>1096</v>
      </c>
      <c r="C4306" t="s">
        <v>175</v>
      </c>
      <c r="D4306" t="s">
        <v>319</v>
      </c>
      <c r="E4306" t="s">
        <v>320</v>
      </c>
      <c r="F4306">
        <v>0.124</v>
      </c>
      <c r="G4306" t="s">
        <v>186</v>
      </c>
      <c r="H4306">
        <v>0</v>
      </c>
      <c r="I4306">
        <v>0</v>
      </c>
      <c r="J4306" s="10">
        <v>4.5430000000000446</v>
      </c>
      <c r="K4306" s="10">
        <f>SUMIFS(F:F,D:D,DST_123_ÜRETİM_İHTİYAÇ_RAPORU_BURAK_YENI1309[[#This Row],[ALT_KOD]])-(SUMIFS(H:H,D:D,DST_123_ÜRETİM_İHTİYAÇ_RAPORU_BURAK_YENI1309[[#This Row],[ALT_KOD]])+AVERAGEIFS(I:I,D:D,DST_123_ÜRETİM_İHTİYAÇ_RAPORU_BURAK_YENI1309[[#This Row],[ALT_KOD]])+AVERAGEIFS(L:L,D:D,DST_123_ÜRETİM_İHTİYAÇ_RAPORU_BURAK_YENI1309[[#This Row],[ALT_KOD]]))</f>
        <v>1.4260000000000002</v>
      </c>
      <c r="L4306">
        <v>0</v>
      </c>
      <c r="M4306">
        <f>IF((DST_123_ÜRETİM_İHTİYAÇ_RAPORU_BURAK_YENI1309[[#This Row],[SATINALMA]]*DST_123_ÜRETİM_İHTİYAÇ_RAPORU_BURAK_YENI1309[[#This Row],[BIRIM_FIYATLAR]])&lt;1,VALUE("0"),DST_123_ÜRETİM_İHTİYAÇ_RAPORU_BURAK_YENI1309[[#This Row],[SATINALMA]]*DST_123_ÜRETİM_İHTİYAÇ_RAPORU_BURAK_YENI1309[[#This Row],[BIRIM_FIYATLAR]])</f>
        <v>27807.000000000004</v>
      </c>
      <c r="N4306">
        <v>19500</v>
      </c>
      <c r="O4306" t="s">
        <v>762</v>
      </c>
      <c r="P4306">
        <v>2418</v>
      </c>
      <c r="Q4306" t="s">
        <v>181</v>
      </c>
    </row>
    <row r="4307" spans="1:17" x14ac:dyDescent="0.25">
      <c r="A4307" t="s">
        <v>1098</v>
      </c>
      <c r="B4307" t="s">
        <v>1096</v>
      </c>
      <c r="C4307" t="s">
        <v>175</v>
      </c>
      <c r="D4307" t="s">
        <v>477</v>
      </c>
      <c r="E4307" t="s">
        <v>564</v>
      </c>
      <c r="F4307">
        <v>0.5</v>
      </c>
      <c r="G4307" t="s">
        <v>176</v>
      </c>
      <c r="H4307">
        <v>0</v>
      </c>
      <c r="I4307">
        <v>100</v>
      </c>
      <c r="J4307" s="10">
        <v>0</v>
      </c>
      <c r="K4307" s="10">
        <f>SUMIFS(F:F,D:D,DST_123_ÜRETİM_İHTİYAÇ_RAPORU_BURAK_YENI1309[[#This Row],[ALT_KOD]])-(SUMIFS(H:H,D:D,DST_123_ÜRETİM_İHTİYAÇ_RAPORU_BURAK_YENI1309[[#This Row],[ALT_KOD]])+AVERAGEIFS(I:I,D:D,DST_123_ÜRETİM_İHTİYAÇ_RAPORU_BURAK_YENI1309[[#This Row],[ALT_KOD]])+AVERAGEIFS(L:L,D:D,DST_123_ÜRETİM_İHTİYAÇ_RAPORU_BURAK_YENI1309[[#This Row],[ALT_KOD]]))</f>
        <v>-90.5</v>
      </c>
      <c r="L4307">
        <v>0</v>
      </c>
      <c r="M4307">
        <f>IF((DST_123_ÜRETİM_İHTİYAÇ_RAPORU_BURAK_YENI1309[[#This Row],[SATINALMA]]*DST_123_ÜRETİM_İHTİYAÇ_RAPORU_BURAK_YENI1309[[#This Row],[BIRIM_FIYATLAR]])&lt;1,VALUE("0"),DST_123_ÜRETİM_İHTİYAÇ_RAPORU_BURAK_YENI1309[[#This Row],[SATINALMA]]*DST_123_ÜRETİM_İHTİYAÇ_RAPORU_BURAK_YENI1309[[#This Row],[BIRIM_FIYATLAR]])</f>
        <v>0</v>
      </c>
      <c r="N4307">
        <v>13.5</v>
      </c>
      <c r="O4307" t="s">
        <v>240</v>
      </c>
      <c r="P4307">
        <v>6.75</v>
      </c>
      <c r="Q4307" t="s">
        <v>180</v>
      </c>
    </row>
    <row r="4308" spans="1:17" x14ac:dyDescent="0.25">
      <c r="A4308" t="s">
        <v>1149</v>
      </c>
      <c r="B4308" t="s">
        <v>1145</v>
      </c>
      <c r="C4308" t="s">
        <v>175</v>
      </c>
      <c r="D4308" t="s">
        <v>319</v>
      </c>
      <c r="E4308" t="s">
        <v>320</v>
      </c>
      <c r="F4308">
        <v>0.13</v>
      </c>
      <c r="G4308" t="s">
        <v>186</v>
      </c>
      <c r="H4308">
        <v>0</v>
      </c>
      <c r="I4308">
        <v>0</v>
      </c>
      <c r="J4308" s="10">
        <v>4.5430000000000446</v>
      </c>
      <c r="K4308" s="10">
        <f>SUMIFS(F:F,D:D,DST_123_ÜRETİM_İHTİYAÇ_RAPORU_BURAK_YENI1309[[#This Row],[ALT_KOD]])-(SUMIFS(H:H,D:D,DST_123_ÜRETİM_İHTİYAÇ_RAPORU_BURAK_YENI1309[[#This Row],[ALT_KOD]])+AVERAGEIFS(I:I,D:D,DST_123_ÜRETİM_İHTİYAÇ_RAPORU_BURAK_YENI1309[[#This Row],[ALT_KOD]])+AVERAGEIFS(L:L,D:D,DST_123_ÜRETİM_İHTİYAÇ_RAPORU_BURAK_YENI1309[[#This Row],[ALT_KOD]]))</f>
        <v>1.4260000000000002</v>
      </c>
      <c r="L4308">
        <v>0</v>
      </c>
      <c r="M4308">
        <f>IF((DST_123_ÜRETİM_İHTİYAÇ_RAPORU_BURAK_YENI1309[[#This Row],[SATINALMA]]*DST_123_ÜRETİM_İHTİYAÇ_RAPORU_BURAK_YENI1309[[#This Row],[BIRIM_FIYATLAR]])&lt;1,VALUE("0"),DST_123_ÜRETİM_İHTİYAÇ_RAPORU_BURAK_YENI1309[[#This Row],[SATINALMA]]*DST_123_ÜRETİM_İHTİYAÇ_RAPORU_BURAK_YENI1309[[#This Row],[BIRIM_FIYATLAR]])</f>
        <v>27807.000000000004</v>
      </c>
      <c r="N4308">
        <v>19500</v>
      </c>
      <c r="O4308" t="s">
        <v>762</v>
      </c>
      <c r="P4308">
        <v>2535</v>
      </c>
      <c r="Q4308" t="s">
        <v>181</v>
      </c>
    </row>
    <row r="4309" spans="1:17" x14ac:dyDescent="0.25">
      <c r="A4309" t="s">
        <v>1144</v>
      </c>
      <c r="B4309" t="s">
        <v>1145</v>
      </c>
      <c r="C4309" t="s">
        <v>175</v>
      </c>
      <c r="D4309" t="s">
        <v>477</v>
      </c>
      <c r="E4309" t="s">
        <v>564</v>
      </c>
      <c r="F4309">
        <v>0.5</v>
      </c>
      <c r="G4309" t="s">
        <v>176</v>
      </c>
      <c r="H4309">
        <v>0</v>
      </c>
      <c r="I4309">
        <v>100</v>
      </c>
      <c r="J4309" s="10">
        <v>0</v>
      </c>
      <c r="K4309" s="10">
        <f>SUMIFS(F:F,D:D,DST_123_ÜRETİM_İHTİYAÇ_RAPORU_BURAK_YENI1309[[#This Row],[ALT_KOD]])-(SUMIFS(H:H,D:D,DST_123_ÜRETİM_İHTİYAÇ_RAPORU_BURAK_YENI1309[[#This Row],[ALT_KOD]])+AVERAGEIFS(I:I,D:D,DST_123_ÜRETİM_İHTİYAÇ_RAPORU_BURAK_YENI1309[[#This Row],[ALT_KOD]])+AVERAGEIFS(L:L,D:D,DST_123_ÜRETİM_İHTİYAÇ_RAPORU_BURAK_YENI1309[[#This Row],[ALT_KOD]]))</f>
        <v>-90.5</v>
      </c>
      <c r="L4309">
        <v>0</v>
      </c>
      <c r="M4309">
        <f>IF((DST_123_ÜRETİM_İHTİYAÇ_RAPORU_BURAK_YENI1309[[#This Row],[SATINALMA]]*DST_123_ÜRETİM_İHTİYAÇ_RAPORU_BURAK_YENI1309[[#This Row],[BIRIM_FIYATLAR]])&lt;1,VALUE("0"),DST_123_ÜRETİM_İHTİYAÇ_RAPORU_BURAK_YENI1309[[#This Row],[SATINALMA]]*DST_123_ÜRETİM_İHTİYAÇ_RAPORU_BURAK_YENI1309[[#This Row],[BIRIM_FIYATLAR]])</f>
        <v>0</v>
      </c>
      <c r="N4309">
        <v>13.5</v>
      </c>
      <c r="O4309" t="s">
        <v>240</v>
      </c>
      <c r="P4309">
        <v>6.75</v>
      </c>
      <c r="Q4309" t="s">
        <v>180</v>
      </c>
    </row>
    <row r="4310" spans="1:17" x14ac:dyDescent="0.25">
      <c r="A4310" t="s">
        <v>1146</v>
      </c>
      <c r="B4310" t="s">
        <v>1145</v>
      </c>
      <c r="C4310" t="s">
        <v>175</v>
      </c>
      <c r="D4310" t="s">
        <v>477</v>
      </c>
      <c r="E4310" t="s">
        <v>564</v>
      </c>
      <c r="F4310">
        <v>0.5</v>
      </c>
      <c r="G4310" t="s">
        <v>176</v>
      </c>
      <c r="H4310">
        <v>0</v>
      </c>
      <c r="I4310">
        <v>100</v>
      </c>
      <c r="J4310" s="10">
        <v>0</v>
      </c>
      <c r="K4310" s="10">
        <f>SUMIFS(F:F,D:D,DST_123_ÜRETİM_İHTİYAÇ_RAPORU_BURAK_YENI1309[[#This Row],[ALT_KOD]])-(SUMIFS(H:H,D:D,DST_123_ÜRETİM_İHTİYAÇ_RAPORU_BURAK_YENI1309[[#This Row],[ALT_KOD]])+AVERAGEIFS(I:I,D:D,DST_123_ÜRETİM_İHTİYAÇ_RAPORU_BURAK_YENI1309[[#This Row],[ALT_KOD]])+AVERAGEIFS(L:L,D:D,DST_123_ÜRETİM_İHTİYAÇ_RAPORU_BURAK_YENI1309[[#This Row],[ALT_KOD]]))</f>
        <v>-90.5</v>
      </c>
      <c r="L4310">
        <v>0</v>
      </c>
      <c r="M4310">
        <f>IF((DST_123_ÜRETİM_İHTİYAÇ_RAPORU_BURAK_YENI1309[[#This Row],[SATINALMA]]*DST_123_ÜRETİM_İHTİYAÇ_RAPORU_BURAK_YENI1309[[#This Row],[BIRIM_FIYATLAR]])&lt;1,VALUE("0"),DST_123_ÜRETİM_İHTİYAÇ_RAPORU_BURAK_YENI1309[[#This Row],[SATINALMA]]*DST_123_ÜRETİM_İHTİYAÇ_RAPORU_BURAK_YENI1309[[#This Row],[BIRIM_FIYATLAR]])</f>
        <v>0</v>
      </c>
      <c r="N4310">
        <v>13.5</v>
      </c>
      <c r="O4310" t="s">
        <v>240</v>
      </c>
      <c r="P4310">
        <v>6.75</v>
      </c>
      <c r="Q4310" t="s">
        <v>180</v>
      </c>
    </row>
    <row r="4311" spans="1:17" x14ac:dyDescent="0.25">
      <c r="A4311" t="s">
        <v>1150</v>
      </c>
      <c r="B4311" t="s">
        <v>1145</v>
      </c>
      <c r="C4311" t="s">
        <v>175</v>
      </c>
      <c r="D4311" t="s">
        <v>386</v>
      </c>
      <c r="E4311" t="s">
        <v>613</v>
      </c>
      <c r="F4311">
        <v>1</v>
      </c>
      <c r="G4311" t="s">
        <v>182</v>
      </c>
      <c r="H4311">
        <v>0</v>
      </c>
      <c r="I4311">
        <v>0</v>
      </c>
      <c r="J4311" s="10">
        <v>67.08499999999998</v>
      </c>
      <c r="K4311" s="10">
        <f>SUMIFS(F:F,D:D,DST_123_ÜRETİM_İHTİYAÇ_RAPORU_BURAK_YENI1309[[#This Row],[ALT_KOD]])-(SUMIFS(H:H,D:D,DST_123_ÜRETİM_İHTİYAÇ_RAPORU_BURAK_YENI1309[[#This Row],[ALT_KOD]])+AVERAGEIFS(I:I,D:D,DST_123_ÜRETİM_İHTİYAÇ_RAPORU_BURAK_YENI1309[[#This Row],[ALT_KOD]])+AVERAGEIFS(L:L,D:D,DST_123_ÜRETİM_İHTİYAÇ_RAPORU_BURAK_YENI1309[[#This Row],[ALT_KOD]]))</f>
        <v>15</v>
      </c>
      <c r="L4311">
        <v>0</v>
      </c>
      <c r="M4311">
        <f>IF((DST_123_ÜRETİM_İHTİYAÇ_RAPORU_BURAK_YENI1309[[#This Row],[SATINALMA]]*DST_123_ÜRETİM_İHTİYAÇ_RAPORU_BURAK_YENI1309[[#This Row],[BIRIM_FIYATLAR]])&lt;1,VALUE("0"),DST_123_ÜRETİM_İHTİYAÇ_RAPORU_BURAK_YENI1309[[#This Row],[SATINALMA]]*DST_123_ÜRETİM_İHTİYAÇ_RAPORU_BURAK_YENI1309[[#This Row],[BIRIM_FIYATLAR]])</f>
        <v>9778.0499999999993</v>
      </c>
      <c r="N4311">
        <v>651.87</v>
      </c>
      <c r="O4311" t="s">
        <v>223</v>
      </c>
      <c r="P4311">
        <v>651.87</v>
      </c>
      <c r="Q4311" t="s">
        <v>181</v>
      </c>
    </row>
    <row r="4312" spans="1:17" x14ac:dyDescent="0.25">
      <c r="A4312" t="s">
        <v>1142</v>
      </c>
      <c r="B4312" t="s">
        <v>1056</v>
      </c>
      <c r="C4312" t="s">
        <v>175</v>
      </c>
      <c r="D4312" t="s">
        <v>763</v>
      </c>
      <c r="E4312" t="s">
        <v>764</v>
      </c>
      <c r="F4312">
        <v>1</v>
      </c>
      <c r="G4312" t="s">
        <v>176</v>
      </c>
      <c r="H4312">
        <v>0</v>
      </c>
      <c r="I4312">
        <v>12</v>
      </c>
      <c r="J4312" s="10">
        <v>8</v>
      </c>
      <c r="K4312" s="10">
        <f>SUMIFS(F:F,D:D,DST_123_ÜRETİM_İHTİYAÇ_RAPORU_BURAK_YENI1309[[#This Row],[ALT_KOD]])-(SUMIFS(H:H,D:D,DST_123_ÜRETİM_İHTİYAÇ_RAPORU_BURAK_YENI1309[[#This Row],[ALT_KOD]])+AVERAGEIFS(I:I,D:D,DST_123_ÜRETİM_İHTİYAÇ_RAPORU_BURAK_YENI1309[[#This Row],[ALT_KOD]])+AVERAGEIFS(L:L,D:D,DST_123_ÜRETİM_İHTİYAÇ_RAPORU_BURAK_YENI1309[[#This Row],[ALT_KOD]]))</f>
        <v>0</v>
      </c>
      <c r="L4312">
        <v>0</v>
      </c>
      <c r="M4312">
        <f>IF((DST_123_ÜRETİM_İHTİYAÇ_RAPORU_BURAK_YENI1309[[#This Row],[SATINALMA]]*DST_123_ÜRETİM_İHTİYAÇ_RAPORU_BURAK_YENI1309[[#This Row],[BIRIM_FIYATLAR]])&lt;1,VALUE("0"),DST_123_ÜRETİM_İHTİYAÇ_RAPORU_BURAK_YENI1309[[#This Row],[SATINALMA]]*DST_123_ÜRETİM_İHTİYAÇ_RAPORU_BURAK_YENI1309[[#This Row],[BIRIM_FIYATLAR]])</f>
        <v>0</v>
      </c>
      <c r="N4312">
        <v>401.17</v>
      </c>
      <c r="O4312" t="s">
        <v>765</v>
      </c>
      <c r="P4312">
        <v>401.17</v>
      </c>
      <c r="Q4312" t="s">
        <v>221</v>
      </c>
    </row>
    <row r="4313" spans="1:17" x14ac:dyDescent="0.25">
      <c r="A4313" t="s">
        <v>1150</v>
      </c>
      <c r="B4313" t="s">
        <v>1145</v>
      </c>
      <c r="C4313" t="s">
        <v>175</v>
      </c>
      <c r="D4313" t="s">
        <v>734</v>
      </c>
      <c r="E4313" t="s">
        <v>735</v>
      </c>
      <c r="F4313">
        <v>1</v>
      </c>
      <c r="G4313" t="s">
        <v>176</v>
      </c>
      <c r="H4313">
        <v>0</v>
      </c>
      <c r="I4313">
        <v>10</v>
      </c>
      <c r="J4313" s="10">
        <v>17</v>
      </c>
      <c r="K4313" s="10">
        <f>SUMIFS(F:F,D:D,DST_123_ÜRETİM_İHTİYAÇ_RAPORU_BURAK_YENI1309[[#This Row],[ALT_KOD]])-(SUMIFS(H:H,D:D,DST_123_ÜRETİM_İHTİYAÇ_RAPORU_BURAK_YENI1309[[#This Row],[ALT_KOD]])+AVERAGEIFS(I:I,D:D,DST_123_ÜRETİM_İHTİYAÇ_RAPORU_BURAK_YENI1309[[#This Row],[ALT_KOD]])+AVERAGEIFS(L:L,D:D,DST_123_ÜRETİM_İHTİYAÇ_RAPORU_BURAK_YENI1309[[#This Row],[ALT_KOD]]))</f>
        <v>1</v>
      </c>
      <c r="L4313">
        <v>0</v>
      </c>
      <c r="M4313">
        <f>IF((DST_123_ÜRETİM_İHTİYAÇ_RAPORU_BURAK_YENI1309[[#This Row],[SATINALMA]]*DST_123_ÜRETİM_İHTİYAÇ_RAPORU_BURAK_YENI1309[[#This Row],[BIRIM_FIYATLAR]])&lt;1,VALUE("0"),DST_123_ÜRETİM_İHTİYAÇ_RAPORU_BURAK_YENI1309[[#This Row],[SATINALMA]]*DST_123_ÜRETİM_İHTİYAÇ_RAPORU_BURAK_YENI1309[[#This Row],[BIRIM_FIYATLAR]])</f>
        <v>565.83000000000004</v>
      </c>
      <c r="N4313">
        <v>565.83000000000004</v>
      </c>
      <c r="O4313" t="s">
        <v>667</v>
      </c>
      <c r="P4313">
        <v>565.83000000000004</v>
      </c>
      <c r="Q4313" t="s">
        <v>677</v>
      </c>
    </row>
    <row r="4314" spans="1:17" x14ac:dyDescent="0.25">
      <c r="A4314" t="s">
        <v>1146</v>
      </c>
      <c r="B4314" t="s">
        <v>1145</v>
      </c>
      <c r="C4314" t="s">
        <v>175</v>
      </c>
      <c r="D4314" t="s">
        <v>1082</v>
      </c>
      <c r="E4314" t="s">
        <v>1083</v>
      </c>
      <c r="F4314">
        <v>2</v>
      </c>
      <c r="G4314" t="s">
        <v>176</v>
      </c>
      <c r="H4314">
        <v>0</v>
      </c>
      <c r="I4314">
        <v>14</v>
      </c>
      <c r="J4314" s="10">
        <v>19</v>
      </c>
      <c r="K4314" s="10">
        <f>SUMIFS(F:F,D:D,DST_123_ÜRETİM_İHTİYAÇ_RAPORU_BURAK_YENI1309[[#This Row],[ALT_KOD]])-(SUMIFS(H:H,D:D,DST_123_ÜRETİM_İHTİYAÇ_RAPORU_BURAK_YENI1309[[#This Row],[ALT_KOD]])+AVERAGEIFS(I:I,D:D,DST_123_ÜRETİM_İHTİYAÇ_RAPORU_BURAK_YENI1309[[#This Row],[ALT_KOD]])+AVERAGEIFS(L:L,D:D,DST_123_ÜRETİM_İHTİYAÇ_RAPORU_BURAK_YENI1309[[#This Row],[ALT_KOD]]))</f>
        <v>-23</v>
      </c>
      <c r="L4314">
        <v>30</v>
      </c>
      <c r="M4314">
        <f>IF((DST_123_ÜRETİM_İHTİYAÇ_RAPORU_BURAK_YENI1309[[#This Row],[SATINALMA]]*DST_123_ÜRETİM_İHTİYAÇ_RAPORU_BURAK_YENI1309[[#This Row],[BIRIM_FIYATLAR]])&lt;1,VALUE("0"),DST_123_ÜRETİM_İHTİYAÇ_RAPORU_BURAK_YENI1309[[#This Row],[SATINALMA]]*DST_123_ÜRETİM_İHTİYAÇ_RAPORU_BURAK_YENI1309[[#This Row],[BIRIM_FIYATLAR]])</f>
        <v>0</v>
      </c>
      <c r="N4314">
        <v>67.22</v>
      </c>
      <c r="O4314" t="s">
        <v>592</v>
      </c>
      <c r="P4314">
        <v>134.44</v>
      </c>
      <c r="Q4314" t="s">
        <v>178</v>
      </c>
    </row>
    <row r="4315" spans="1:17" x14ac:dyDescent="0.25">
      <c r="A4315" t="s">
        <v>1146</v>
      </c>
      <c r="B4315" t="s">
        <v>1145</v>
      </c>
      <c r="C4315" t="s">
        <v>175</v>
      </c>
      <c r="D4315" t="s">
        <v>386</v>
      </c>
      <c r="E4315" t="s">
        <v>613</v>
      </c>
      <c r="F4315">
        <v>1</v>
      </c>
      <c r="G4315" t="s">
        <v>182</v>
      </c>
      <c r="H4315">
        <v>0</v>
      </c>
      <c r="I4315">
        <v>0</v>
      </c>
      <c r="J4315" s="10">
        <v>67.08499999999998</v>
      </c>
      <c r="K4315" s="10">
        <f>SUMIFS(F:F,D:D,DST_123_ÜRETİM_İHTİYAÇ_RAPORU_BURAK_YENI1309[[#This Row],[ALT_KOD]])-(SUMIFS(H:H,D:D,DST_123_ÜRETİM_İHTİYAÇ_RAPORU_BURAK_YENI1309[[#This Row],[ALT_KOD]])+AVERAGEIFS(I:I,D:D,DST_123_ÜRETİM_İHTİYAÇ_RAPORU_BURAK_YENI1309[[#This Row],[ALT_KOD]])+AVERAGEIFS(L:L,D:D,DST_123_ÜRETİM_İHTİYAÇ_RAPORU_BURAK_YENI1309[[#This Row],[ALT_KOD]]))</f>
        <v>15</v>
      </c>
      <c r="L4315">
        <v>0</v>
      </c>
      <c r="M4315">
        <f>IF((DST_123_ÜRETİM_İHTİYAÇ_RAPORU_BURAK_YENI1309[[#This Row],[SATINALMA]]*DST_123_ÜRETİM_İHTİYAÇ_RAPORU_BURAK_YENI1309[[#This Row],[BIRIM_FIYATLAR]])&lt;1,VALUE("0"),DST_123_ÜRETİM_İHTİYAÇ_RAPORU_BURAK_YENI1309[[#This Row],[SATINALMA]]*DST_123_ÜRETİM_İHTİYAÇ_RAPORU_BURAK_YENI1309[[#This Row],[BIRIM_FIYATLAR]])</f>
        <v>9778.0499999999993</v>
      </c>
      <c r="N4315">
        <v>651.87</v>
      </c>
      <c r="O4315" t="s">
        <v>223</v>
      </c>
      <c r="P4315">
        <v>651.87</v>
      </c>
      <c r="Q4315" t="s">
        <v>181</v>
      </c>
    </row>
    <row r="4316" spans="1:17" x14ac:dyDescent="0.25">
      <c r="A4316" t="s">
        <v>1095</v>
      </c>
      <c r="B4316" t="s">
        <v>1096</v>
      </c>
      <c r="C4316" t="s">
        <v>175</v>
      </c>
      <c r="D4316" t="s">
        <v>763</v>
      </c>
      <c r="E4316" t="s">
        <v>764</v>
      </c>
      <c r="F4316">
        <v>1</v>
      </c>
      <c r="G4316" t="s">
        <v>176</v>
      </c>
      <c r="H4316">
        <v>0</v>
      </c>
      <c r="I4316">
        <v>12</v>
      </c>
      <c r="J4316" s="10">
        <v>8</v>
      </c>
      <c r="K4316" s="10">
        <f>SUMIFS(F:F,D:D,DST_123_ÜRETİM_İHTİYAÇ_RAPORU_BURAK_YENI1309[[#This Row],[ALT_KOD]])-(SUMIFS(H:H,D:D,DST_123_ÜRETİM_İHTİYAÇ_RAPORU_BURAK_YENI1309[[#This Row],[ALT_KOD]])+AVERAGEIFS(I:I,D:D,DST_123_ÜRETİM_İHTİYAÇ_RAPORU_BURAK_YENI1309[[#This Row],[ALT_KOD]])+AVERAGEIFS(L:L,D:D,DST_123_ÜRETİM_İHTİYAÇ_RAPORU_BURAK_YENI1309[[#This Row],[ALT_KOD]]))</f>
        <v>0</v>
      </c>
      <c r="L4316">
        <v>0</v>
      </c>
      <c r="M4316">
        <f>IF((DST_123_ÜRETİM_İHTİYAÇ_RAPORU_BURAK_YENI1309[[#This Row],[SATINALMA]]*DST_123_ÜRETİM_İHTİYAÇ_RAPORU_BURAK_YENI1309[[#This Row],[BIRIM_FIYATLAR]])&lt;1,VALUE("0"),DST_123_ÜRETİM_İHTİYAÇ_RAPORU_BURAK_YENI1309[[#This Row],[SATINALMA]]*DST_123_ÜRETİM_İHTİYAÇ_RAPORU_BURAK_YENI1309[[#This Row],[BIRIM_FIYATLAR]])</f>
        <v>0</v>
      </c>
      <c r="N4316">
        <v>401.17</v>
      </c>
      <c r="O4316" t="s">
        <v>765</v>
      </c>
      <c r="P4316">
        <v>401.17</v>
      </c>
      <c r="Q4316" t="s">
        <v>221</v>
      </c>
    </row>
    <row r="4317" spans="1:17" x14ac:dyDescent="0.25">
      <c r="A4317" t="s">
        <v>1149</v>
      </c>
      <c r="B4317" t="s">
        <v>1145</v>
      </c>
      <c r="C4317" t="s">
        <v>175</v>
      </c>
      <c r="D4317" t="s">
        <v>734</v>
      </c>
      <c r="E4317" t="s">
        <v>735</v>
      </c>
      <c r="F4317">
        <v>1</v>
      </c>
      <c r="G4317" t="s">
        <v>176</v>
      </c>
      <c r="H4317">
        <v>0</v>
      </c>
      <c r="I4317">
        <v>10</v>
      </c>
      <c r="J4317" s="10">
        <v>17</v>
      </c>
      <c r="K4317" s="10">
        <f>SUMIFS(F:F,D:D,DST_123_ÜRETİM_İHTİYAÇ_RAPORU_BURAK_YENI1309[[#This Row],[ALT_KOD]])-(SUMIFS(H:H,D:D,DST_123_ÜRETİM_İHTİYAÇ_RAPORU_BURAK_YENI1309[[#This Row],[ALT_KOD]])+AVERAGEIFS(I:I,D:D,DST_123_ÜRETİM_İHTİYAÇ_RAPORU_BURAK_YENI1309[[#This Row],[ALT_KOD]])+AVERAGEIFS(L:L,D:D,DST_123_ÜRETİM_İHTİYAÇ_RAPORU_BURAK_YENI1309[[#This Row],[ALT_KOD]]))</f>
        <v>1</v>
      </c>
      <c r="L4317">
        <v>0</v>
      </c>
      <c r="M4317">
        <f>IF((DST_123_ÜRETİM_İHTİYAÇ_RAPORU_BURAK_YENI1309[[#This Row],[SATINALMA]]*DST_123_ÜRETİM_İHTİYAÇ_RAPORU_BURAK_YENI1309[[#This Row],[BIRIM_FIYATLAR]])&lt;1,VALUE("0"),DST_123_ÜRETİM_İHTİYAÇ_RAPORU_BURAK_YENI1309[[#This Row],[SATINALMA]]*DST_123_ÜRETİM_İHTİYAÇ_RAPORU_BURAK_YENI1309[[#This Row],[BIRIM_FIYATLAR]])</f>
        <v>565.83000000000004</v>
      </c>
      <c r="N4317">
        <v>565.83000000000004</v>
      </c>
      <c r="O4317" t="s">
        <v>667</v>
      </c>
      <c r="P4317">
        <v>565.83000000000004</v>
      </c>
      <c r="Q4317" t="s">
        <v>677</v>
      </c>
    </row>
    <row r="4318" spans="1:17" x14ac:dyDescent="0.25">
      <c r="A4318" t="s">
        <v>1150</v>
      </c>
      <c r="B4318" t="s">
        <v>1145</v>
      </c>
      <c r="C4318" t="s">
        <v>175</v>
      </c>
      <c r="D4318" t="s">
        <v>1082</v>
      </c>
      <c r="E4318" t="s">
        <v>1083</v>
      </c>
      <c r="F4318">
        <v>2</v>
      </c>
      <c r="G4318" t="s">
        <v>176</v>
      </c>
      <c r="H4318">
        <v>0</v>
      </c>
      <c r="I4318">
        <v>14</v>
      </c>
      <c r="J4318" s="10">
        <v>19</v>
      </c>
      <c r="K4318" s="10">
        <f>SUMIFS(F:F,D:D,DST_123_ÜRETİM_İHTİYAÇ_RAPORU_BURAK_YENI1309[[#This Row],[ALT_KOD]])-(SUMIFS(H:H,D:D,DST_123_ÜRETİM_İHTİYAÇ_RAPORU_BURAK_YENI1309[[#This Row],[ALT_KOD]])+AVERAGEIFS(I:I,D:D,DST_123_ÜRETİM_İHTİYAÇ_RAPORU_BURAK_YENI1309[[#This Row],[ALT_KOD]])+AVERAGEIFS(L:L,D:D,DST_123_ÜRETİM_İHTİYAÇ_RAPORU_BURAK_YENI1309[[#This Row],[ALT_KOD]]))</f>
        <v>-23</v>
      </c>
      <c r="L4318">
        <v>30</v>
      </c>
      <c r="M4318">
        <f>IF((DST_123_ÜRETİM_İHTİYAÇ_RAPORU_BURAK_YENI1309[[#This Row],[SATINALMA]]*DST_123_ÜRETİM_İHTİYAÇ_RAPORU_BURAK_YENI1309[[#This Row],[BIRIM_FIYATLAR]])&lt;1,VALUE("0"),DST_123_ÜRETİM_İHTİYAÇ_RAPORU_BURAK_YENI1309[[#This Row],[SATINALMA]]*DST_123_ÜRETİM_İHTİYAÇ_RAPORU_BURAK_YENI1309[[#This Row],[BIRIM_FIYATLAR]])</f>
        <v>0</v>
      </c>
      <c r="N4318">
        <v>67.22</v>
      </c>
      <c r="O4318" t="s">
        <v>592</v>
      </c>
      <c r="P4318">
        <v>134.44</v>
      </c>
      <c r="Q4318" t="s">
        <v>178</v>
      </c>
    </row>
    <row r="4319" spans="1:17" x14ac:dyDescent="0.25">
      <c r="A4319" t="s">
        <v>1101</v>
      </c>
      <c r="B4319" t="s">
        <v>1102</v>
      </c>
      <c r="C4319" t="s">
        <v>175</v>
      </c>
      <c r="D4319" t="s">
        <v>386</v>
      </c>
      <c r="E4319" t="s">
        <v>613</v>
      </c>
      <c r="F4319">
        <v>1</v>
      </c>
      <c r="G4319" t="s">
        <v>182</v>
      </c>
      <c r="H4319">
        <v>0</v>
      </c>
      <c r="I4319">
        <v>0</v>
      </c>
      <c r="J4319" s="10">
        <v>67.08499999999998</v>
      </c>
      <c r="K4319" s="10">
        <f>SUMIFS(F:F,D:D,DST_123_ÜRETİM_İHTİYAÇ_RAPORU_BURAK_YENI1309[[#This Row],[ALT_KOD]])-(SUMIFS(H:H,D:D,DST_123_ÜRETİM_İHTİYAÇ_RAPORU_BURAK_YENI1309[[#This Row],[ALT_KOD]])+AVERAGEIFS(I:I,D:D,DST_123_ÜRETİM_İHTİYAÇ_RAPORU_BURAK_YENI1309[[#This Row],[ALT_KOD]])+AVERAGEIFS(L:L,D:D,DST_123_ÜRETİM_İHTİYAÇ_RAPORU_BURAK_YENI1309[[#This Row],[ALT_KOD]]))</f>
        <v>15</v>
      </c>
      <c r="L4319">
        <v>0</v>
      </c>
      <c r="M4319">
        <f>IF((DST_123_ÜRETİM_İHTİYAÇ_RAPORU_BURAK_YENI1309[[#This Row],[SATINALMA]]*DST_123_ÜRETİM_İHTİYAÇ_RAPORU_BURAK_YENI1309[[#This Row],[BIRIM_FIYATLAR]])&lt;1,VALUE("0"),DST_123_ÜRETİM_İHTİYAÇ_RAPORU_BURAK_YENI1309[[#This Row],[SATINALMA]]*DST_123_ÜRETİM_İHTİYAÇ_RAPORU_BURAK_YENI1309[[#This Row],[BIRIM_FIYATLAR]])</f>
        <v>9778.0499999999993</v>
      </c>
      <c r="N4319">
        <v>651.87</v>
      </c>
      <c r="O4319" t="s">
        <v>223</v>
      </c>
      <c r="P4319">
        <v>651.87</v>
      </c>
      <c r="Q4319" t="s">
        <v>181</v>
      </c>
    </row>
    <row r="4320" spans="1:17" x14ac:dyDescent="0.25">
      <c r="A4320" t="s">
        <v>1147</v>
      </c>
      <c r="B4320" t="s">
        <v>1145</v>
      </c>
      <c r="C4320" t="s">
        <v>175</v>
      </c>
      <c r="D4320" t="s">
        <v>763</v>
      </c>
      <c r="E4320" t="s">
        <v>764</v>
      </c>
      <c r="F4320">
        <v>1</v>
      </c>
      <c r="G4320" t="s">
        <v>176</v>
      </c>
      <c r="H4320">
        <v>0</v>
      </c>
      <c r="I4320">
        <v>12</v>
      </c>
      <c r="J4320" s="10">
        <v>8</v>
      </c>
      <c r="K4320" s="10">
        <f>SUMIFS(F:F,D:D,DST_123_ÜRETİM_İHTİYAÇ_RAPORU_BURAK_YENI1309[[#This Row],[ALT_KOD]])-(SUMIFS(H:H,D:D,DST_123_ÜRETİM_İHTİYAÇ_RAPORU_BURAK_YENI1309[[#This Row],[ALT_KOD]])+AVERAGEIFS(I:I,D:D,DST_123_ÜRETİM_İHTİYAÇ_RAPORU_BURAK_YENI1309[[#This Row],[ALT_KOD]])+AVERAGEIFS(L:L,D:D,DST_123_ÜRETİM_İHTİYAÇ_RAPORU_BURAK_YENI1309[[#This Row],[ALT_KOD]]))</f>
        <v>0</v>
      </c>
      <c r="L4320">
        <v>0</v>
      </c>
      <c r="M4320">
        <f>IF((DST_123_ÜRETİM_İHTİYAÇ_RAPORU_BURAK_YENI1309[[#This Row],[SATINALMA]]*DST_123_ÜRETİM_İHTİYAÇ_RAPORU_BURAK_YENI1309[[#This Row],[BIRIM_FIYATLAR]])&lt;1,VALUE("0"),DST_123_ÜRETİM_İHTİYAÇ_RAPORU_BURAK_YENI1309[[#This Row],[SATINALMA]]*DST_123_ÜRETİM_İHTİYAÇ_RAPORU_BURAK_YENI1309[[#This Row],[BIRIM_FIYATLAR]])</f>
        <v>0</v>
      </c>
      <c r="N4320">
        <v>401.17</v>
      </c>
      <c r="O4320" t="s">
        <v>765</v>
      </c>
      <c r="P4320">
        <v>401.17</v>
      </c>
      <c r="Q4320" t="s">
        <v>221</v>
      </c>
    </row>
    <row r="4321" spans="1:17" x14ac:dyDescent="0.25">
      <c r="A4321" t="s">
        <v>1149</v>
      </c>
      <c r="B4321" t="s">
        <v>1145</v>
      </c>
      <c r="C4321" t="s">
        <v>175</v>
      </c>
      <c r="D4321" t="s">
        <v>763</v>
      </c>
      <c r="E4321" t="s">
        <v>764</v>
      </c>
      <c r="F4321">
        <v>1</v>
      </c>
      <c r="G4321" t="s">
        <v>176</v>
      </c>
      <c r="H4321">
        <v>0</v>
      </c>
      <c r="I4321">
        <v>12</v>
      </c>
      <c r="J4321" s="10">
        <v>8</v>
      </c>
      <c r="K4321" s="10">
        <f>SUMIFS(F:F,D:D,DST_123_ÜRETİM_İHTİYAÇ_RAPORU_BURAK_YENI1309[[#This Row],[ALT_KOD]])-(SUMIFS(H:H,D:D,DST_123_ÜRETİM_İHTİYAÇ_RAPORU_BURAK_YENI1309[[#This Row],[ALT_KOD]])+AVERAGEIFS(I:I,D:D,DST_123_ÜRETİM_İHTİYAÇ_RAPORU_BURAK_YENI1309[[#This Row],[ALT_KOD]])+AVERAGEIFS(L:L,D:D,DST_123_ÜRETİM_İHTİYAÇ_RAPORU_BURAK_YENI1309[[#This Row],[ALT_KOD]]))</f>
        <v>0</v>
      </c>
      <c r="L4321">
        <v>0</v>
      </c>
      <c r="M4321">
        <f>IF((DST_123_ÜRETİM_İHTİYAÇ_RAPORU_BURAK_YENI1309[[#This Row],[SATINALMA]]*DST_123_ÜRETİM_İHTİYAÇ_RAPORU_BURAK_YENI1309[[#This Row],[BIRIM_FIYATLAR]])&lt;1,VALUE("0"),DST_123_ÜRETİM_İHTİYAÇ_RAPORU_BURAK_YENI1309[[#This Row],[SATINALMA]]*DST_123_ÜRETİM_İHTİYAÇ_RAPORU_BURAK_YENI1309[[#This Row],[BIRIM_FIYATLAR]])</f>
        <v>0</v>
      </c>
      <c r="N4321">
        <v>401.17</v>
      </c>
      <c r="O4321" t="s">
        <v>765</v>
      </c>
      <c r="P4321">
        <v>401.17</v>
      </c>
      <c r="Q4321" t="s">
        <v>221</v>
      </c>
    </row>
    <row r="4322" spans="1:17" x14ac:dyDescent="0.25">
      <c r="A4322" t="s">
        <v>1179</v>
      </c>
      <c r="B4322" t="s">
        <v>1180</v>
      </c>
      <c r="C4322" t="s">
        <v>175</v>
      </c>
      <c r="D4322" t="s">
        <v>947</v>
      </c>
      <c r="E4322" t="s">
        <v>948</v>
      </c>
      <c r="F4322">
        <v>1</v>
      </c>
      <c r="G4322" t="s">
        <v>176</v>
      </c>
      <c r="H4322">
        <v>0</v>
      </c>
      <c r="I4322">
        <v>0</v>
      </c>
      <c r="J4322" s="10">
        <v>7</v>
      </c>
      <c r="K4322" s="10">
        <f>SUMIFS(F:F,D:D,DST_123_ÜRETİM_İHTİYAÇ_RAPORU_BURAK_YENI1309[[#This Row],[ALT_KOD]])-(SUMIFS(H:H,D:D,DST_123_ÜRETİM_İHTİYAÇ_RAPORU_BURAK_YENI1309[[#This Row],[ALT_KOD]])+AVERAGEIFS(I:I,D:D,DST_123_ÜRETİM_İHTİYAÇ_RAPORU_BURAK_YENI1309[[#This Row],[ALT_KOD]])+AVERAGEIFS(L:L,D:D,DST_123_ÜRETİM_İHTİYAÇ_RAPORU_BURAK_YENI1309[[#This Row],[ALT_KOD]]))</f>
        <v>2</v>
      </c>
      <c r="L4322">
        <v>0</v>
      </c>
      <c r="M4322">
        <f>IF((DST_123_ÜRETİM_İHTİYAÇ_RAPORU_BURAK_YENI1309[[#This Row],[SATINALMA]]*DST_123_ÜRETİM_İHTİYAÇ_RAPORU_BURAK_YENI1309[[#This Row],[BIRIM_FIYATLAR]])&lt;1,VALUE("0"),DST_123_ÜRETİM_İHTİYAÇ_RAPORU_BURAK_YENI1309[[#This Row],[SATINALMA]]*DST_123_ÜRETİM_İHTİYAÇ_RAPORU_BURAK_YENI1309[[#This Row],[BIRIM_FIYATLAR]])</f>
        <v>8001.48</v>
      </c>
      <c r="N4322">
        <v>4000.74</v>
      </c>
      <c r="O4322" t="s">
        <v>227</v>
      </c>
      <c r="P4322">
        <v>4000.74</v>
      </c>
      <c r="Q4322" t="s">
        <v>221</v>
      </c>
    </row>
    <row r="4323" spans="1:17" x14ac:dyDescent="0.25">
      <c r="A4323" t="s">
        <v>1147</v>
      </c>
      <c r="B4323" t="s">
        <v>1145</v>
      </c>
      <c r="C4323" t="s">
        <v>175</v>
      </c>
      <c r="D4323" t="s">
        <v>595</v>
      </c>
      <c r="E4323" t="s">
        <v>596</v>
      </c>
      <c r="F4323">
        <v>1</v>
      </c>
      <c r="G4323" t="s">
        <v>176</v>
      </c>
      <c r="H4323">
        <v>0</v>
      </c>
      <c r="I4323">
        <v>18</v>
      </c>
      <c r="J4323" s="10">
        <v>3</v>
      </c>
      <c r="K4323" s="10">
        <f>SUMIFS(F:F,D:D,DST_123_ÜRETİM_İHTİYAÇ_RAPORU_BURAK_YENI1309[[#This Row],[ALT_KOD]])-(SUMIFS(H:H,D:D,DST_123_ÜRETİM_İHTİYAÇ_RAPORU_BURAK_YENI1309[[#This Row],[ALT_KOD]])+AVERAGEIFS(I:I,D:D,DST_123_ÜRETİM_İHTİYAÇ_RAPORU_BURAK_YENI1309[[#This Row],[ALT_KOD]])+AVERAGEIFS(L:L,D:D,DST_123_ÜRETİM_İHTİYAÇ_RAPORU_BURAK_YENI1309[[#This Row],[ALT_KOD]]))</f>
        <v>-1</v>
      </c>
      <c r="L4323">
        <v>0</v>
      </c>
      <c r="M4323">
        <f>IF((DST_123_ÜRETİM_İHTİYAÇ_RAPORU_BURAK_YENI1309[[#This Row],[SATINALMA]]*DST_123_ÜRETİM_İHTİYAÇ_RAPORU_BURAK_YENI1309[[#This Row],[BIRIM_FIYATLAR]])&lt;1,VALUE("0"),DST_123_ÜRETİM_İHTİYAÇ_RAPORU_BURAK_YENI1309[[#This Row],[SATINALMA]]*DST_123_ÜRETİM_İHTİYAÇ_RAPORU_BURAK_YENI1309[[#This Row],[BIRIM_FIYATLAR]])</f>
        <v>0</v>
      </c>
      <c r="N4323">
        <v>4852.33</v>
      </c>
      <c r="O4323" t="s">
        <v>636</v>
      </c>
      <c r="P4323">
        <v>4852.33</v>
      </c>
      <c r="Q4323" t="s">
        <v>177</v>
      </c>
    </row>
    <row r="4324" spans="1:17" x14ac:dyDescent="0.25">
      <c r="A4324" t="s">
        <v>1147</v>
      </c>
      <c r="B4324" t="s">
        <v>1145</v>
      </c>
      <c r="C4324" t="s">
        <v>175</v>
      </c>
      <c r="D4324" t="s">
        <v>774</v>
      </c>
      <c r="E4324" t="s">
        <v>775</v>
      </c>
      <c r="F4324">
        <v>3</v>
      </c>
      <c r="G4324" t="s">
        <v>182</v>
      </c>
      <c r="H4324">
        <v>0</v>
      </c>
      <c r="I4324">
        <v>0</v>
      </c>
      <c r="J4324" s="10">
        <v>0</v>
      </c>
      <c r="K4324" s="10">
        <f>SUMIFS(F:F,D:D,DST_123_ÜRETİM_İHTİYAÇ_RAPORU_BURAK_YENI1309[[#This Row],[ALT_KOD]])-(SUMIFS(H:H,D:D,DST_123_ÜRETİM_İHTİYAÇ_RAPORU_BURAK_YENI1309[[#This Row],[ALT_KOD]])+AVERAGEIFS(I:I,D:D,DST_123_ÜRETİM_İHTİYAÇ_RAPORU_BURAK_YENI1309[[#This Row],[ALT_KOD]])+AVERAGEIFS(L:L,D:D,DST_123_ÜRETİM_İHTİYAÇ_RAPORU_BURAK_YENI1309[[#This Row],[ALT_KOD]]))</f>
        <v>24</v>
      </c>
      <c r="L4324">
        <v>0</v>
      </c>
      <c r="M4324">
        <f>IF((DST_123_ÜRETİM_İHTİYAÇ_RAPORU_BURAK_YENI1309[[#This Row],[SATINALMA]]*DST_123_ÜRETİM_İHTİYAÇ_RAPORU_BURAK_YENI1309[[#This Row],[BIRIM_FIYATLAR]])&lt;1,VALUE("0"),DST_123_ÜRETİM_İHTİYAÇ_RAPORU_BURAK_YENI1309[[#This Row],[SATINALMA]]*DST_123_ÜRETİM_İHTİYAÇ_RAPORU_BURAK_YENI1309[[#This Row],[BIRIM_FIYATLAR]])</f>
        <v>14751.119999999999</v>
      </c>
      <c r="N4324">
        <v>614.63</v>
      </c>
      <c r="O4324" t="s">
        <v>253</v>
      </c>
      <c r="P4324">
        <v>1843.8899999999999</v>
      </c>
      <c r="Q4324" t="s">
        <v>657</v>
      </c>
    </row>
    <row r="4325" spans="1:17" x14ac:dyDescent="0.25">
      <c r="A4325" t="s">
        <v>1149</v>
      </c>
      <c r="B4325" t="s">
        <v>1145</v>
      </c>
      <c r="C4325" t="s">
        <v>175</v>
      </c>
      <c r="D4325" t="s">
        <v>885</v>
      </c>
      <c r="E4325" t="s">
        <v>886</v>
      </c>
      <c r="F4325">
        <v>50</v>
      </c>
      <c r="G4325" t="s">
        <v>179</v>
      </c>
      <c r="H4325">
        <v>0</v>
      </c>
      <c r="I4325">
        <v>0</v>
      </c>
      <c r="J4325" s="10">
        <v>57</v>
      </c>
      <c r="K4325" s="10">
        <f>SUMIFS(F:F,D:D,DST_123_ÜRETİM_İHTİYAÇ_RAPORU_BURAK_YENI1309[[#This Row],[ALT_KOD]])-(SUMIFS(H:H,D:D,DST_123_ÜRETİM_İHTİYAÇ_RAPORU_BURAK_YENI1309[[#This Row],[ALT_KOD]])+AVERAGEIFS(I:I,D:D,DST_123_ÜRETİM_İHTİYAÇ_RAPORU_BURAK_YENI1309[[#This Row],[ALT_KOD]])+AVERAGEIFS(L:L,D:D,DST_123_ÜRETİM_İHTİYAÇ_RAPORU_BURAK_YENI1309[[#This Row],[ALT_KOD]]))</f>
        <v>350</v>
      </c>
      <c r="L4325">
        <v>0</v>
      </c>
      <c r="M4325">
        <f>IF((DST_123_ÜRETİM_İHTİYAÇ_RAPORU_BURAK_YENI1309[[#This Row],[SATINALMA]]*DST_123_ÜRETİM_İHTİYAÇ_RAPORU_BURAK_YENI1309[[#This Row],[BIRIM_FIYATLAR]])&lt;1,VALUE("0"),DST_123_ÜRETİM_İHTİYAÇ_RAPORU_BURAK_YENI1309[[#This Row],[SATINALMA]]*DST_123_ÜRETİM_İHTİYAÇ_RAPORU_BURAK_YENI1309[[#This Row],[BIRIM_FIYATLAR]])</f>
        <v>3132.4999999999995</v>
      </c>
      <c r="N4325">
        <v>8.9499999999999993</v>
      </c>
      <c r="O4325" t="s">
        <v>223</v>
      </c>
      <c r="P4325">
        <v>447.49999999999994</v>
      </c>
      <c r="Q4325" t="s">
        <v>181</v>
      </c>
    </row>
    <row r="4326" spans="1:17" x14ac:dyDescent="0.25">
      <c r="A4326" t="s">
        <v>1149</v>
      </c>
      <c r="B4326" t="s">
        <v>1145</v>
      </c>
      <c r="C4326" t="s">
        <v>175</v>
      </c>
      <c r="D4326" t="s">
        <v>1169</v>
      </c>
      <c r="E4326" t="s">
        <v>1170</v>
      </c>
      <c r="F4326">
        <v>2</v>
      </c>
      <c r="G4326" t="s">
        <v>176</v>
      </c>
      <c r="H4326">
        <v>0</v>
      </c>
      <c r="I4326">
        <v>250</v>
      </c>
      <c r="J4326" s="10">
        <v>250</v>
      </c>
      <c r="K4326" s="10">
        <f>SUMIFS(F:F,D:D,DST_123_ÜRETİM_İHTİYAÇ_RAPORU_BURAK_YENI1309[[#This Row],[ALT_KOD]])-(SUMIFS(H:H,D:D,DST_123_ÜRETİM_İHTİYAÇ_RAPORU_BURAK_YENI1309[[#This Row],[ALT_KOD]])+AVERAGEIFS(I:I,D:D,DST_123_ÜRETİM_İHTİYAÇ_RAPORU_BURAK_YENI1309[[#This Row],[ALT_KOD]])+AVERAGEIFS(L:L,D:D,DST_123_ÜRETİM_İHTİYAÇ_RAPORU_BURAK_YENI1309[[#This Row],[ALT_KOD]]))</f>
        <v>-236</v>
      </c>
      <c r="L4326">
        <v>0</v>
      </c>
      <c r="M4326">
        <f>IF((DST_123_ÜRETİM_İHTİYAÇ_RAPORU_BURAK_YENI1309[[#This Row],[SATINALMA]]*DST_123_ÜRETİM_İHTİYAÇ_RAPORU_BURAK_YENI1309[[#This Row],[BIRIM_FIYATLAR]])&lt;1,VALUE("0"),DST_123_ÜRETİM_İHTİYAÇ_RAPORU_BURAK_YENI1309[[#This Row],[SATINALMA]]*DST_123_ÜRETİM_İHTİYAÇ_RAPORU_BURAK_YENI1309[[#This Row],[BIRIM_FIYATLAR]])</f>
        <v>0</v>
      </c>
      <c r="N4326">
        <v>1.07</v>
      </c>
      <c r="O4326" t="s">
        <v>826</v>
      </c>
      <c r="P4326">
        <v>2.14</v>
      </c>
      <c r="Q4326" t="s">
        <v>221</v>
      </c>
    </row>
    <row r="4327" spans="1:17" x14ac:dyDescent="0.25">
      <c r="A4327" t="s">
        <v>1146</v>
      </c>
      <c r="B4327" t="s">
        <v>1145</v>
      </c>
      <c r="C4327" t="s">
        <v>175</v>
      </c>
      <c r="D4327" t="s">
        <v>1167</v>
      </c>
      <c r="E4327" t="s">
        <v>1168</v>
      </c>
      <c r="F4327">
        <v>2</v>
      </c>
      <c r="G4327" t="s">
        <v>176</v>
      </c>
      <c r="H4327">
        <v>0</v>
      </c>
      <c r="I4327">
        <v>500</v>
      </c>
      <c r="J4327" s="10">
        <v>500</v>
      </c>
      <c r="K4327" s="10">
        <f>SUMIFS(F:F,D:D,DST_123_ÜRETİM_İHTİYAÇ_RAPORU_BURAK_YENI1309[[#This Row],[ALT_KOD]])-(SUMIFS(H:H,D:D,DST_123_ÜRETİM_İHTİYAÇ_RAPORU_BURAK_YENI1309[[#This Row],[ALT_KOD]])+AVERAGEIFS(I:I,D:D,DST_123_ÜRETİM_İHTİYAÇ_RAPORU_BURAK_YENI1309[[#This Row],[ALT_KOD]])+AVERAGEIFS(L:L,D:D,DST_123_ÜRETİM_İHTİYAÇ_RAPORU_BURAK_YENI1309[[#This Row],[ALT_KOD]]))</f>
        <v>-486</v>
      </c>
      <c r="L4327">
        <v>0</v>
      </c>
      <c r="M4327">
        <f>IF((DST_123_ÜRETİM_İHTİYAÇ_RAPORU_BURAK_YENI1309[[#This Row],[SATINALMA]]*DST_123_ÜRETİM_İHTİYAÇ_RAPORU_BURAK_YENI1309[[#This Row],[BIRIM_FIYATLAR]])&lt;1,VALUE("0"),DST_123_ÜRETİM_İHTİYAÇ_RAPORU_BURAK_YENI1309[[#This Row],[SATINALMA]]*DST_123_ÜRETİM_İHTİYAÇ_RAPORU_BURAK_YENI1309[[#This Row],[BIRIM_FIYATLAR]])</f>
        <v>0</v>
      </c>
      <c r="N4327">
        <v>0.55000000000000004</v>
      </c>
      <c r="O4327" t="s">
        <v>826</v>
      </c>
      <c r="P4327">
        <v>1.1000000000000001</v>
      </c>
      <c r="Q4327" t="s">
        <v>221</v>
      </c>
    </row>
    <row r="4328" spans="1:17" x14ac:dyDescent="0.25">
      <c r="A4328" t="s">
        <v>1144</v>
      </c>
      <c r="B4328" t="s">
        <v>1145</v>
      </c>
      <c r="C4328" t="s">
        <v>175</v>
      </c>
      <c r="D4328" t="s">
        <v>1167</v>
      </c>
      <c r="E4328" t="s">
        <v>1168</v>
      </c>
      <c r="F4328">
        <v>2</v>
      </c>
      <c r="G4328" t="s">
        <v>176</v>
      </c>
      <c r="H4328">
        <v>0</v>
      </c>
      <c r="I4328">
        <v>500</v>
      </c>
      <c r="J4328" s="10">
        <v>500</v>
      </c>
      <c r="K4328" s="10">
        <f>SUMIFS(F:F,D:D,DST_123_ÜRETİM_İHTİYAÇ_RAPORU_BURAK_YENI1309[[#This Row],[ALT_KOD]])-(SUMIFS(H:H,D:D,DST_123_ÜRETİM_İHTİYAÇ_RAPORU_BURAK_YENI1309[[#This Row],[ALT_KOD]])+AVERAGEIFS(I:I,D:D,DST_123_ÜRETİM_İHTİYAÇ_RAPORU_BURAK_YENI1309[[#This Row],[ALT_KOD]])+AVERAGEIFS(L:L,D:D,DST_123_ÜRETİM_İHTİYAÇ_RAPORU_BURAK_YENI1309[[#This Row],[ALT_KOD]]))</f>
        <v>-486</v>
      </c>
      <c r="L4328">
        <v>0</v>
      </c>
      <c r="M4328">
        <f>IF((DST_123_ÜRETİM_İHTİYAÇ_RAPORU_BURAK_YENI1309[[#This Row],[SATINALMA]]*DST_123_ÜRETİM_İHTİYAÇ_RAPORU_BURAK_YENI1309[[#This Row],[BIRIM_FIYATLAR]])&lt;1,VALUE("0"),DST_123_ÜRETİM_İHTİYAÇ_RAPORU_BURAK_YENI1309[[#This Row],[SATINALMA]]*DST_123_ÜRETİM_İHTİYAÇ_RAPORU_BURAK_YENI1309[[#This Row],[BIRIM_FIYATLAR]])</f>
        <v>0</v>
      </c>
      <c r="N4328">
        <v>0.55000000000000004</v>
      </c>
      <c r="O4328" t="s">
        <v>826</v>
      </c>
      <c r="P4328">
        <v>1.1000000000000001</v>
      </c>
      <c r="Q4328" t="s">
        <v>221</v>
      </c>
    </row>
    <row r="4329" spans="1:17" x14ac:dyDescent="0.25">
      <c r="A4329" t="s">
        <v>1147</v>
      </c>
      <c r="B4329" t="s">
        <v>1145</v>
      </c>
      <c r="C4329" t="s">
        <v>175</v>
      </c>
      <c r="D4329" t="s">
        <v>885</v>
      </c>
      <c r="E4329" t="s">
        <v>886</v>
      </c>
      <c r="F4329">
        <v>50</v>
      </c>
      <c r="G4329" t="s">
        <v>179</v>
      </c>
      <c r="H4329">
        <v>0</v>
      </c>
      <c r="I4329">
        <v>0</v>
      </c>
      <c r="J4329" s="10">
        <v>57</v>
      </c>
      <c r="K4329" s="10">
        <f>SUMIFS(F:F,D:D,DST_123_ÜRETİM_İHTİYAÇ_RAPORU_BURAK_YENI1309[[#This Row],[ALT_KOD]])-(SUMIFS(H:H,D:D,DST_123_ÜRETİM_İHTİYAÇ_RAPORU_BURAK_YENI1309[[#This Row],[ALT_KOD]])+AVERAGEIFS(I:I,D:D,DST_123_ÜRETİM_İHTİYAÇ_RAPORU_BURAK_YENI1309[[#This Row],[ALT_KOD]])+AVERAGEIFS(L:L,D:D,DST_123_ÜRETİM_İHTİYAÇ_RAPORU_BURAK_YENI1309[[#This Row],[ALT_KOD]]))</f>
        <v>350</v>
      </c>
      <c r="L4329">
        <v>0</v>
      </c>
      <c r="M4329">
        <f>IF((DST_123_ÜRETİM_İHTİYAÇ_RAPORU_BURAK_YENI1309[[#This Row],[SATINALMA]]*DST_123_ÜRETİM_İHTİYAÇ_RAPORU_BURAK_YENI1309[[#This Row],[BIRIM_FIYATLAR]])&lt;1,VALUE("0"),DST_123_ÜRETİM_İHTİYAÇ_RAPORU_BURAK_YENI1309[[#This Row],[SATINALMA]]*DST_123_ÜRETİM_İHTİYAÇ_RAPORU_BURAK_YENI1309[[#This Row],[BIRIM_FIYATLAR]])</f>
        <v>3132.4999999999995</v>
      </c>
      <c r="N4329">
        <v>8.9499999999999993</v>
      </c>
      <c r="O4329" t="s">
        <v>223</v>
      </c>
      <c r="P4329">
        <v>447.49999999999994</v>
      </c>
      <c r="Q4329" t="s">
        <v>181</v>
      </c>
    </row>
    <row r="4330" spans="1:17" x14ac:dyDescent="0.25">
      <c r="A4330" t="s">
        <v>1147</v>
      </c>
      <c r="B4330" t="s">
        <v>1145</v>
      </c>
      <c r="C4330" t="s">
        <v>175</v>
      </c>
      <c r="D4330" t="s">
        <v>1169</v>
      </c>
      <c r="E4330" t="s">
        <v>1170</v>
      </c>
      <c r="F4330">
        <v>2</v>
      </c>
      <c r="G4330" t="s">
        <v>176</v>
      </c>
      <c r="H4330">
        <v>0</v>
      </c>
      <c r="I4330">
        <v>250</v>
      </c>
      <c r="J4330" s="10">
        <v>250</v>
      </c>
      <c r="K4330" s="10">
        <f>SUMIFS(F:F,D:D,DST_123_ÜRETİM_İHTİYAÇ_RAPORU_BURAK_YENI1309[[#This Row],[ALT_KOD]])-(SUMIFS(H:H,D:D,DST_123_ÜRETİM_İHTİYAÇ_RAPORU_BURAK_YENI1309[[#This Row],[ALT_KOD]])+AVERAGEIFS(I:I,D:D,DST_123_ÜRETİM_İHTİYAÇ_RAPORU_BURAK_YENI1309[[#This Row],[ALT_KOD]])+AVERAGEIFS(L:L,D:D,DST_123_ÜRETİM_İHTİYAÇ_RAPORU_BURAK_YENI1309[[#This Row],[ALT_KOD]]))</f>
        <v>-236</v>
      </c>
      <c r="L4330">
        <v>0</v>
      </c>
      <c r="M4330">
        <f>IF((DST_123_ÜRETİM_İHTİYAÇ_RAPORU_BURAK_YENI1309[[#This Row],[SATINALMA]]*DST_123_ÜRETİM_İHTİYAÇ_RAPORU_BURAK_YENI1309[[#This Row],[BIRIM_FIYATLAR]])&lt;1,VALUE("0"),DST_123_ÜRETİM_İHTİYAÇ_RAPORU_BURAK_YENI1309[[#This Row],[SATINALMA]]*DST_123_ÜRETİM_İHTİYAÇ_RAPORU_BURAK_YENI1309[[#This Row],[BIRIM_FIYATLAR]])</f>
        <v>0</v>
      </c>
      <c r="N4330">
        <v>1.07</v>
      </c>
      <c r="O4330" t="s">
        <v>826</v>
      </c>
      <c r="P4330">
        <v>2.14</v>
      </c>
      <c r="Q4330" t="s">
        <v>221</v>
      </c>
    </row>
    <row r="4331" spans="1:17" x14ac:dyDescent="0.25">
      <c r="A4331" t="s">
        <v>1149</v>
      </c>
      <c r="B4331" t="s">
        <v>1145</v>
      </c>
      <c r="C4331" t="s">
        <v>175</v>
      </c>
      <c r="D4331" t="s">
        <v>614</v>
      </c>
      <c r="E4331" t="s">
        <v>615</v>
      </c>
      <c r="F4331">
        <v>1.5</v>
      </c>
      <c r="G4331" t="s">
        <v>185</v>
      </c>
      <c r="H4331">
        <v>0</v>
      </c>
      <c r="I4331">
        <v>39</v>
      </c>
      <c r="J4331" s="10">
        <v>40.000000000000014</v>
      </c>
      <c r="K4331" s="10">
        <f>SUMIFS(F:F,D:D,DST_123_ÜRETİM_İHTİYAÇ_RAPORU_BURAK_YENI1309[[#This Row],[ALT_KOD]])-(SUMIFS(H:H,D:D,DST_123_ÜRETİM_İHTİYAÇ_RAPORU_BURAK_YENI1309[[#This Row],[ALT_KOD]])+AVERAGEIFS(I:I,D:D,DST_123_ÜRETİM_İHTİYAÇ_RAPORU_BURAK_YENI1309[[#This Row],[ALT_KOD]])+AVERAGEIFS(L:L,D:D,DST_123_ÜRETİM_İHTİYAÇ_RAPORU_BURAK_YENI1309[[#This Row],[ALT_KOD]]))</f>
        <v>-18.5</v>
      </c>
      <c r="L4331">
        <v>0</v>
      </c>
      <c r="M4331">
        <f>IF((DST_123_ÜRETİM_İHTİYAÇ_RAPORU_BURAK_YENI1309[[#This Row],[SATINALMA]]*DST_123_ÜRETİM_İHTİYAÇ_RAPORU_BURAK_YENI1309[[#This Row],[BIRIM_FIYATLAR]])&lt;1,VALUE("0"),DST_123_ÜRETİM_İHTİYAÇ_RAPORU_BURAK_YENI1309[[#This Row],[SATINALMA]]*DST_123_ÜRETİM_İHTİYAÇ_RAPORU_BURAK_YENI1309[[#This Row],[BIRIM_FIYATLAR]])</f>
        <v>0</v>
      </c>
      <c r="N4331">
        <v>212.93</v>
      </c>
      <c r="O4331" t="s">
        <v>253</v>
      </c>
      <c r="P4331">
        <v>319.39499999999998</v>
      </c>
      <c r="Q4331" t="s">
        <v>181</v>
      </c>
    </row>
    <row r="4332" spans="1:17" x14ac:dyDescent="0.25">
      <c r="A4332" t="s">
        <v>1144</v>
      </c>
      <c r="B4332" t="s">
        <v>1145</v>
      </c>
      <c r="C4332" t="s">
        <v>175</v>
      </c>
      <c r="D4332" t="s">
        <v>582</v>
      </c>
      <c r="E4332" t="s">
        <v>583</v>
      </c>
      <c r="F4332">
        <v>5.9</v>
      </c>
      <c r="G4332" t="s">
        <v>185</v>
      </c>
      <c r="H4332">
        <v>0</v>
      </c>
      <c r="I4332">
        <v>0</v>
      </c>
      <c r="J4332" s="10">
        <v>297.39999999999998</v>
      </c>
      <c r="K4332" s="10">
        <f>SUMIFS(F:F,D:D,DST_123_ÜRETİM_İHTİYAÇ_RAPORU_BURAK_YENI1309[[#This Row],[ALT_KOD]])-(SUMIFS(H:H,D:D,DST_123_ÜRETİM_İHTİYAÇ_RAPORU_BURAK_YENI1309[[#This Row],[ALT_KOD]])+AVERAGEIFS(I:I,D:D,DST_123_ÜRETİM_İHTİYAÇ_RAPORU_BURAK_YENI1309[[#This Row],[ALT_KOD]])+AVERAGEIFS(L:L,D:D,DST_123_ÜRETİM_İHTİYAÇ_RAPORU_BURAK_YENI1309[[#This Row],[ALT_KOD]]))</f>
        <v>94.40000000000002</v>
      </c>
      <c r="L4332">
        <v>0</v>
      </c>
      <c r="M4332">
        <f>IF((DST_123_ÜRETİM_İHTİYAÇ_RAPORU_BURAK_YENI1309[[#This Row],[SATINALMA]]*DST_123_ÜRETİM_İHTİYAÇ_RAPORU_BURAK_YENI1309[[#This Row],[BIRIM_FIYATLAR]])&lt;1,VALUE("0"),DST_123_ÜRETİM_İHTİYAÇ_RAPORU_BURAK_YENI1309[[#This Row],[SATINALMA]]*DST_123_ÜRETİM_İHTİYAÇ_RAPORU_BURAK_YENI1309[[#This Row],[BIRIM_FIYATLAR]])</f>
        <v>21972.544000000005</v>
      </c>
      <c r="N4332">
        <v>232.76</v>
      </c>
      <c r="O4332" t="s">
        <v>490</v>
      </c>
      <c r="P4332">
        <v>1373.2840000000001</v>
      </c>
      <c r="Q4332" t="s">
        <v>183</v>
      </c>
    </row>
    <row r="4333" spans="1:17" x14ac:dyDescent="0.25">
      <c r="A4333" t="s">
        <v>1146</v>
      </c>
      <c r="B4333" t="s">
        <v>1145</v>
      </c>
      <c r="C4333" t="s">
        <v>175</v>
      </c>
      <c r="D4333" t="s">
        <v>582</v>
      </c>
      <c r="E4333" t="s">
        <v>583</v>
      </c>
      <c r="F4333">
        <v>5.9</v>
      </c>
      <c r="G4333" t="s">
        <v>185</v>
      </c>
      <c r="H4333">
        <v>0</v>
      </c>
      <c r="I4333">
        <v>0</v>
      </c>
      <c r="J4333" s="10">
        <v>297.39999999999998</v>
      </c>
      <c r="K4333" s="10">
        <f>SUMIFS(F:F,D:D,DST_123_ÜRETİM_İHTİYAÇ_RAPORU_BURAK_YENI1309[[#This Row],[ALT_KOD]])-(SUMIFS(H:H,D:D,DST_123_ÜRETİM_İHTİYAÇ_RAPORU_BURAK_YENI1309[[#This Row],[ALT_KOD]])+AVERAGEIFS(I:I,D:D,DST_123_ÜRETİM_İHTİYAÇ_RAPORU_BURAK_YENI1309[[#This Row],[ALT_KOD]])+AVERAGEIFS(L:L,D:D,DST_123_ÜRETİM_İHTİYAÇ_RAPORU_BURAK_YENI1309[[#This Row],[ALT_KOD]]))</f>
        <v>94.40000000000002</v>
      </c>
      <c r="L4333">
        <v>0</v>
      </c>
      <c r="M4333">
        <f>IF((DST_123_ÜRETİM_İHTİYAÇ_RAPORU_BURAK_YENI1309[[#This Row],[SATINALMA]]*DST_123_ÜRETİM_İHTİYAÇ_RAPORU_BURAK_YENI1309[[#This Row],[BIRIM_FIYATLAR]])&lt;1,VALUE("0"),DST_123_ÜRETİM_İHTİYAÇ_RAPORU_BURAK_YENI1309[[#This Row],[SATINALMA]]*DST_123_ÜRETİM_İHTİYAÇ_RAPORU_BURAK_YENI1309[[#This Row],[BIRIM_FIYATLAR]])</f>
        <v>21972.544000000005</v>
      </c>
      <c r="N4333">
        <v>232.76</v>
      </c>
      <c r="O4333" t="s">
        <v>490</v>
      </c>
      <c r="P4333">
        <v>1373.2840000000001</v>
      </c>
      <c r="Q4333" t="s">
        <v>183</v>
      </c>
    </row>
    <row r="4334" spans="1:17" x14ac:dyDescent="0.25">
      <c r="A4334" t="s">
        <v>1149</v>
      </c>
      <c r="B4334" t="s">
        <v>1145</v>
      </c>
      <c r="C4334" t="s">
        <v>175</v>
      </c>
      <c r="D4334" t="s">
        <v>865</v>
      </c>
      <c r="E4334" t="s">
        <v>644</v>
      </c>
      <c r="F4334">
        <v>1</v>
      </c>
      <c r="G4334" t="s">
        <v>176</v>
      </c>
      <c r="H4334">
        <v>0</v>
      </c>
      <c r="I4334">
        <v>3</v>
      </c>
      <c r="J4334" s="10">
        <v>13</v>
      </c>
      <c r="K4334" s="10">
        <f>SUMIFS(F:F,D:D,DST_123_ÜRETİM_İHTİYAÇ_RAPORU_BURAK_YENI1309[[#This Row],[ALT_KOD]])-(SUMIFS(H:H,D:D,DST_123_ÜRETİM_İHTİYAÇ_RAPORU_BURAK_YENI1309[[#This Row],[ALT_KOD]])+AVERAGEIFS(I:I,D:D,DST_123_ÜRETİM_İHTİYAÇ_RAPORU_BURAK_YENI1309[[#This Row],[ALT_KOD]])+AVERAGEIFS(L:L,D:D,DST_123_ÜRETİM_İHTİYAÇ_RAPORU_BURAK_YENI1309[[#This Row],[ALT_KOD]]))</f>
        <v>12</v>
      </c>
      <c r="L4334">
        <v>0</v>
      </c>
      <c r="M4334">
        <f>IF((DST_123_ÜRETİM_İHTİYAÇ_RAPORU_BURAK_YENI1309[[#This Row],[SATINALMA]]*DST_123_ÜRETİM_İHTİYAÇ_RAPORU_BURAK_YENI1309[[#This Row],[BIRIM_FIYATLAR]])&lt;1,VALUE("0"),DST_123_ÜRETİM_İHTİYAÇ_RAPORU_BURAK_YENI1309[[#This Row],[SATINALMA]]*DST_123_ÜRETİM_İHTİYAÇ_RAPORU_BURAK_YENI1309[[#This Row],[BIRIM_FIYATLAR]])</f>
        <v>43576.08</v>
      </c>
      <c r="N4334">
        <v>3631.34</v>
      </c>
      <c r="O4334" t="s">
        <v>647</v>
      </c>
      <c r="P4334">
        <v>3631.34</v>
      </c>
      <c r="Q4334" t="s">
        <v>177</v>
      </c>
    </row>
    <row r="4335" spans="1:17" x14ac:dyDescent="0.25">
      <c r="A4335" t="s">
        <v>1150</v>
      </c>
      <c r="B4335" t="s">
        <v>1145</v>
      </c>
      <c r="C4335" t="s">
        <v>175</v>
      </c>
      <c r="D4335" t="s">
        <v>803</v>
      </c>
      <c r="E4335" t="s">
        <v>804</v>
      </c>
      <c r="F4335">
        <v>1</v>
      </c>
      <c r="G4335" t="s">
        <v>176</v>
      </c>
      <c r="H4335">
        <v>0</v>
      </c>
      <c r="I4335">
        <v>7</v>
      </c>
      <c r="J4335" s="10">
        <v>2</v>
      </c>
      <c r="K4335" s="10">
        <f>SUMIFS(F:F,D:D,DST_123_ÜRETİM_İHTİYAÇ_RAPORU_BURAK_YENI1309[[#This Row],[ALT_KOD]])-(SUMIFS(H:H,D:D,DST_123_ÜRETİM_İHTİYAÇ_RAPORU_BURAK_YENI1309[[#This Row],[ALT_KOD]])+AVERAGEIFS(I:I,D:D,DST_123_ÜRETİM_İHTİYAÇ_RAPORU_BURAK_YENI1309[[#This Row],[ALT_KOD]])+AVERAGEIFS(L:L,D:D,DST_123_ÜRETİM_İHTİYAÇ_RAPORU_BURAK_YENI1309[[#This Row],[ALT_KOD]]))</f>
        <v>0</v>
      </c>
      <c r="L4335">
        <v>0</v>
      </c>
      <c r="M4335">
        <f>IF((DST_123_ÜRETİM_İHTİYAÇ_RAPORU_BURAK_YENI1309[[#This Row],[SATINALMA]]*DST_123_ÜRETİM_İHTİYAÇ_RAPORU_BURAK_YENI1309[[#This Row],[BIRIM_FIYATLAR]])&lt;1,VALUE("0"),DST_123_ÜRETİM_İHTİYAÇ_RAPORU_BURAK_YENI1309[[#This Row],[SATINALMA]]*DST_123_ÜRETİM_İHTİYAÇ_RAPORU_BURAK_YENI1309[[#This Row],[BIRIM_FIYATLAR]])</f>
        <v>0</v>
      </c>
      <c r="N4335">
        <v>337.5</v>
      </c>
      <c r="O4335" t="s">
        <v>246</v>
      </c>
      <c r="P4335">
        <v>337.5</v>
      </c>
      <c r="Q4335" t="s">
        <v>177</v>
      </c>
    </row>
    <row r="4336" spans="1:17" x14ac:dyDescent="0.25">
      <c r="A4336" t="s">
        <v>1143</v>
      </c>
      <c r="B4336" t="s">
        <v>1056</v>
      </c>
      <c r="C4336" t="s">
        <v>175</v>
      </c>
      <c r="D4336" t="s">
        <v>582</v>
      </c>
      <c r="E4336" t="s">
        <v>583</v>
      </c>
      <c r="F4336">
        <v>5.9</v>
      </c>
      <c r="G4336" t="s">
        <v>185</v>
      </c>
      <c r="H4336">
        <v>0</v>
      </c>
      <c r="I4336">
        <v>0</v>
      </c>
      <c r="J4336" s="10">
        <v>297.39999999999998</v>
      </c>
      <c r="K4336" s="10">
        <f>SUMIFS(F:F,D:D,DST_123_ÜRETİM_İHTİYAÇ_RAPORU_BURAK_YENI1309[[#This Row],[ALT_KOD]])-(SUMIFS(H:H,D:D,DST_123_ÜRETİM_İHTİYAÇ_RAPORU_BURAK_YENI1309[[#This Row],[ALT_KOD]])+AVERAGEIFS(I:I,D:D,DST_123_ÜRETİM_İHTİYAÇ_RAPORU_BURAK_YENI1309[[#This Row],[ALT_KOD]])+AVERAGEIFS(L:L,D:D,DST_123_ÜRETİM_İHTİYAÇ_RAPORU_BURAK_YENI1309[[#This Row],[ALT_KOD]]))</f>
        <v>94.40000000000002</v>
      </c>
      <c r="L4336">
        <v>0</v>
      </c>
      <c r="M4336">
        <f>IF((DST_123_ÜRETİM_İHTİYAÇ_RAPORU_BURAK_YENI1309[[#This Row],[SATINALMA]]*DST_123_ÜRETİM_İHTİYAÇ_RAPORU_BURAK_YENI1309[[#This Row],[BIRIM_FIYATLAR]])&lt;1,VALUE("0"),DST_123_ÜRETİM_İHTİYAÇ_RAPORU_BURAK_YENI1309[[#This Row],[SATINALMA]]*DST_123_ÜRETİM_İHTİYAÇ_RAPORU_BURAK_YENI1309[[#This Row],[BIRIM_FIYATLAR]])</f>
        <v>21972.544000000005</v>
      </c>
      <c r="N4336">
        <v>232.76</v>
      </c>
      <c r="O4336" t="s">
        <v>490</v>
      </c>
      <c r="P4336">
        <v>1373.2840000000001</v>
      </c>
      <c r="Q4336" t="s">
        <v>183</v>
      </c>
    </row>
    <row r="4337" spans="1:17" x14ac:dyDescent="0.25">
      <c r="A4337" t="s">
        <v>1143</v>
      </c>
      <c r="B4337" t="s">
        <v>1056</v>
      </c>
      <c r="C4337" t="s">
        <v>175</v>
      </c>
      <c r="D4337" t="s">
        <v>863</v>
      </c>
      <c r="E4337" t="s">
        <v>864</v>
      </c>
      <c r="F4337">
        <v>2</v>
      </c>
      <c r="G4337" t="s">
        <v>176</v>
      </c>
      <c r="H4337">
        <v>0</v>
      </c>
      <c r="I4337">
        <v>2</v>
      </c>
      <c r="J4337" s="10">
        <v>4</v>
      </c>
      <c r="K4337" s="10">
        <f>SUMIFS(F:F,D:D,DST_123_ÜRETİM_İHTİYAÇ_RAPORU_BURAK_YENI1309[[#This Row],[ALT_KOD]])-(SUMIFS(H:H,D:D,DST_123_ÜRETİM_İHTİYAÇ_RAPORU_BURAK_YENI1309[[#This Row],[ALT_KOD]])+AVERAGEIFS(I:I,D:D,DST_123_ÜRETİM_İHTİYAÇ_RAPORU_BURAK_YENI1309[[#This Row],[ALT_KOD]])+AVERAGEIFS(L:L,D:D,DST_123_ÜRETİM_İHTİYAÇ_RAPORU_BURAK_YENI1309[[#This Row],[ALT_KOD]]))</f>
        <v>0</v>
      </c>
      <c r="L4337">
        <v>0</v>
      </c>
      <c r="M4337">
        <f>IF((DST_123_ÜRETİM_İHTİYAÇ_RAPORU_BURAK_YENI1309[[#This Row],[SATINALMA]]*DST_123_ÜRETİM_İHTİYAÇ_RAPORU_BURAK_YENI1309[[#This Row],[BIRIM_FIYATLAR]])&lt;1,VALUE("0"),DST_123_ÜRETİM_İHTİYAÇ_RAPORU_BURAK_YENI1309[[#This Row],[SATINALMA]]*DST_123_ÜRETİM_İHTİYAÇ_RAPORU_BURAK_YENI1309[[#This Row],[BIRIM_FIYATLAR]])</f>
        <v>0</v>
      </c>
      <c r="N4337">
        <v>4864</v>
      </c>
      <c r="O4337" t="s">
        <v>647</v>
      </c>
      <c r="P4337">
        <v>9728</v>
      </c>
      <c r="Q4337" t="s">
        <v>177</v>
      </c>
    </row>
    <row r="4338" spans="1:17" x14ac:dyDescent="0.25">
      <c r="A4338" t="s">
        <v>1095</v>
      </c>
      <c r="B4338" t="s">
        <v>1096</v>
      </c>
      <c r="C4338" t="s">
        <v>175</v>
      </c>
      <c r="D4338" t="s">
        <v>865</v>
      </c>
      <c r="E4338" t="s">
        <v>644</v>
      </c>
      <c r="F4338">
        <v>2</v>
      </c>
      <c r="G4338" t="s">
        <v>176</v>
      </c>
      <c r="H4338">
        <v>0</v>
      </c>
      <c r="I4338">
        <v>3</v>
      </c>
      <c r="J4338" s="10">
        <v>13</v>
      </c>
      <c r="K4338" s="10">
        <f>SUMIFS(F:F,D:D,DST_123_ÜRETİM_İHTİYAÇ_RAPORU_BURAK_YENI1309[[#This Row],[ALT_KOD]])-(SUMIFS(H:H,D:D,DST_123_ÜRETİM_İHTİYAÇ_RAPORU_BURAK_YENI1309[[#This Row],[ALT_KOD]])+AVERAGEIFS(I:I,D:D,DST_123_ÜRETİM_İHTİYAÇ_RAPORU_BURAK_YENI1309[[#This Row],[ALT_KOD]])+AVERAGEIFS(L:L,D:D,DST_123_ÜRETİM_İHTİYAÇ_RAPORU_BURAK_YENI1309[[#This Row],[ALT_KOD]]))</f>
        <v>12</v>
      </c>
      <c r="L4338">
        <v>0</v>
      </c>
      <c r="M4338">
        <f>IF((DST_123_ÜRETİM_İHTİYAÇ_RAPORU_BURAK_YENI1309[[#This Row],[SATINALMA]]*DST_123_ÜRETİM_İHTİYAÇ_RAPORU_BURAK_YENI1309[[#This Row],[BIRIM_FIYATLAR]])&lt;1,VALUE("0"),DST_123_ÜRETİM_İHTİYAÇ_RAPORU_BURAK_YENI1309[[#This Row],[SATINALMA]]*DST_123_ÜRETİM_İHTİYAÇ_RAPORU_BURAK_YENI1309[[#This Row],[BIRIM_FIYATLAR]])</f>
        <v>43576.08</v>
      </c>
      <c r="N4338">
        <v>3631.34</v>
      </c>
      <c r="O4338" t="s">
        <v>647</v>
      </c>
      <c r="P4338">
        <v>7262.68</v>
      </c>
      <c r="Q4338" t="s">
        <v>177</v>
      </c>
    </row>
    <row r="4339" spans="1:17" x14ac:dyDescent="0.25">
      <c r="A4339" t="s">
        <v>1099</v>
      </c>
      <c r="B4339" t="s">
        <v>1055</v>
      </c>
      <c r="C4339" t="s">
        <v>175</v>
      </c>
      <c r="D4339" t="s">
        <v>143</v>
      </c>
      <c r="E4339" t="s">
        <v>144</v>
      </c>
      <c r="F4339">
        <v>2</v>
      </c>
      <c r="G4339" t="s">
        <v>176</v>
      </c>
      <c r="H4339">
        <v>0</v>
      </c>
      <c r="I4339">
        <v>0</v>
      </c>
      <c r="J4339" s="10">
        <v>64</v>
      </c>
      <c r="K4339" s="10">
        <f>SUMIFS(F:F,D:D,DST_123_ÜRETİM_İHTİYAÇ_RAPORU_BURAK_YENI1309[[#This Row],[ALT_KOD]])-(SUMIFS(H:H,D:D,DST_123_ÜRETİM_İHTİYAÇ_RAPORU_BURAK_YENI1309[[#This Row],[ALT_KOD]])+AVERAGEIFS(I:I,D:D,DST_123_ÜRETİM_İHTİYAÇ_RAPORU_BURAK_YENI1309[[#This Row],[ALT_KOD]])+AVERAGEIFS(L:L,D:D,DST_123_ÜRETİM_İHTİYAÇ_RAPORU_BURAK_YENI1309[[#This Row],[ALT_KOD]]))</f>
        <v>40</v>
      </c>
      <c r="L4339">
        <v>0</v>
      </c>
      <c r="M4339">
        <f>IF((DST_123_ÜRETİM_İHTİYAÇ_RAPORU_BURAK_YENI1309[[#This Row],[SATINALMA]]*DST_123_ÜRETİM_İHTİYAÇ_RAPORU_BURAK_YENI1309[[#This Row],[BIRIM_FIYATLAR]])&lt;1,VALUE("0"),DST_123_ÜRETİM_İHTİYAÇ_RAPORU_BURAK_YENI1309[[#This Row],[SATINALMA]]*DST_123_ÜRETİM_İHTİYAÇ_RAPORU_BURAK_YENI1309[[#This Row],[BIRIM_FIYATLAR]])</f>
        <v>274.8</v>
      </c>
      <c r="N4339">
        <v>6.87</v>
      </c>
      <c r="O4339" t="s">
        <v>826</v>
      </c>
      <c r="P4339">
        <v>13.74</v>
      </c>
      <c r="Q4339" t="s">
        <v>221</v>
      </c>
    </row>
    <row r="4340" spans="1:17" x14ac:dyDescent="0.25">
      <c r="A4340" t="s">
        <v>1196</v>
      </c>
      <c r="B4340" t="s">
        <v>1197</v>
      </c>
      <c r="C4340" t="s">
        <v>175</v>
      </c>
      <c r="D4340" t="s">
        <v>143</v>
      </c>
      <c r="E4340" t="s">
        <v>144</v>
      </c>
      <c r="F4340">
        <v>2</v>
      </c>
      <c r="G4340" t="s">
        <v>176</v>
      </c>
      <c r="H4340">
        <v>0</v>
      </c>
      <c r="I4340">
        <v>0</v>
      </c>
      <c r="J4340" s="10">
        <v>64</v>
      </c>
      <c r="K4340" s="10">
        <f>SUMIFS(F:F,D:D,DST_123_ÜRETİM_İHTİYAÇ_RAPORU_BURAK_YENI1309[[#This Row],[ALT_KOD]])-(SUMIFS(H:H,D:D,DST_123_ÜRETİM_İHTİYAÇ_RAPORU_BURAK_YENI1309[[#This Row],[ALT_KOD]])+AVERAGEIFS(I:I,D:D,DST_123_ÜRETİM_İHTİYAÇ_RAPORU_BURAK_YENI1309[[#This Row],[ALT_KOD]])+AVERAGEIFS(L:L,D:D,DST_123_ÜRETİM_İHTİYAÇ_RAPORU_BURAK_YENI1309[[#This Row],[ALT_KOD]]))</f>
        <v>40</v>
      </c>
      <c r="L4340">
        <v>0</v>
      </c>
      <c r="M4340">
        <f>IF((DST_123_ÜRETİM_İHTİYAÇ_RAPORU_BURAK_YENI1309[[#This Row],[SATINALMA]]*DST_123_ÜRETİM_İHTİYAÇ_RAPORU_BURAK_YENI1309[[#This Row],[BIRIM_FIYATLAR]])&lt;1,VALUE("0"),DST_123_ÜRETİM_İHTİYAÇ_RAPORU_BURAK_YENI1309[[#This Row],[SATINALMA]]*DST_123_ÜRETİM_İHTİYAÇ_RAPORU_BURAK_YENI1309[[#This Row],[BIRIM_FIYATLAR]])</f>
        <v>274.8</v>
      </c>
      <c r="N4340">
        <v>6.87</v>
      </c>
      <c r="O4340" t="s">
        <v>826</v>
      </c>
      <c r="P4340">
        <v>13.74</v>
      </c>
      <c r="Q4340" t="s">
        <v>221</v>
      </c>
    </row>
    <row r="4341" spans="1:17" x14ac:dyDescent="0.25">
      <c r="A4341" t="s">
        <v>1064</v>
      </c>
      <c r="B4341" t="s">
        <v>1055</v>
      </c>
      <c r="C4341" t="s">
        <v>175</v>
      </c>
      <c r="D4341" t="s">
        <v>567</v>
      </c>
      <c r="E4341" t="s">
        <v>568</v>
      </c>
      <c r="F4341">
        <v>65</v>
      </c>
      <c r="G4341" t="s">
        <v>176</v>
      </c>
      <c r="H4341">
        <v>0</v>
      </c>
      <c r="I4341">
        <v>5000</v>
      </c>
      <c r="J4341" s="10">
        <v>0</v>
      </c>
      <c r="K4341" s="10">
        <f>SUMIFS(F:F,D:D,DST_123_ÜRETİM_İHTİYAÇ_RAPORU_BURAK_YENI1309[[#This Row],[ALT_KOD]])-(SUMIFS(H:H,D:D,DST_123_ÜRETİM_İHTİYAÇ_RAPORU_BURAK_YENI1309[[#This Row],[ALT_KOD]])+AVERAGEIFS(I:I,D:D,DST_123_ÜRETİM_İHTİYAÇ_RAPORU_BURAK_YENI1309[[#This Row],[ALT_KOD]])+AVERAGEIFS(L:L,D:D,DST_123_ÜRETİM_İHTİYAÇ_RAPORU_BURAK_YENI1309[[#This Row],[ALT_KOD]]))</f>
        <v>-3820</v>
      </c>
      <c r="L4341">
        <v>0</v>
      </c>
      <c r="M4341">
        <f>IF((DST_123_ÜRETİM_İHTİYAÇ_RAPORU_BURAK_YENI1309[[#This Row],[SATINALMA]]*DST_123_ÜRETİM_İHTİYAÇ_RAPORU_BURAK_YENI1309[[#This Row],[BIRIM_FIYATLAR]])&lt;1,VALUE("0"),DST_123_ÜRETİM_İHTİYAÇ_RAPORU_BURAK_YENI1309[[#This Row],[SATINALMA]]*DST_123_ÜRETİM_İHTİYAÇ_RAPORU_BURAK_YENI1309[[#This Row],[BIRIM_FIYATLAR]])</f>
        <v>0</v>
      </c>
      <c r="N4341">
        <v>0.6</v>
      </c>
      <c r="O4341" t="s">
        <v>240</v>
      </c>
      <c r="P4341">
        <v>39</v>
      </c>
      <c r="Q4341" t="s">
        <v>180</v>
      </c>
    </row>
    <row r="4342" spans="1:17" x14ac:dyDescent="0.25">
      <c r="A4342" t="s">
        <v>1196</v>
      </c>
      <c r="B4342" t="s">
        <v>1197</v>
      </c>
      <c r="C4342" t="s">
        <v>175</v>
      </c>
      <c r="D4342" t="s">
        <v>567</v>
      </c>
      <c r="E4342" t="s">
        <v>568</v>
      </c>
      <c r="F4342">
        <v>60</v>
      </c>
      <c r="G4342" t="s">
        <v>176</v>
      </c>
      <c r="H4342">
        <v>0</v>
      </c>
      <c r="I4342">
        <v>5000</v>
      </c>
      <c r="J4342" s="10">
        <v>0</v>
      </c>
      <c r="K4342" s="10">
        <f>SUMIFS(F:F,D:D,DST_123_ÜRETİM_İHTİYAÇ_RAPORU_BURAK_YENI1309[[#This Row],[ALT_KOD]])-(SUMIFS(H:H,D:D,DST_123_ÜRETİM_İHTİYAÇ_RAPORU_BURAK_YENI1309[[#This Row],[ALT_KOD]])+AVERAGEIFS(I:I,D:D,DST_123_ÜRETİM_İHTİYAÇ_RAPORU_BURAK_YENI1309[[#This Row],[ALT_KOD]])+AVERAGEIFS(L:L,D:D,DST_123_ÜRETİM_İHTİYAÇ_RAPORU_BURAK_YENI1309[[#This Row],[ALT_KOD]]))</f>
        <v>-3820</v>
      </c>
      <c r="L4342">
        <v>0</v>
      </c>
      <c r="M4342">
        <f>IF((DST_123_ÜRETİM_İHTİYAÇ_RAPORU_BURAK_YENI1309[[#This Row],[SATINALMA]]*DST_123_ÜRETİM_İHTİYAÇ_RAPORU_BURAK_YENI1309[[#This Row],[BIRIM_FIYATLAR]])&lt;1,VALUE("0"),DST_123_ÜRETİM_İHTİYAÇ_RAPORU_BURAK_YENI1309[[#This Row],[SATINALMA]]*DST_123_ÜRETİM_İHTİYAÇ_RAPORU_BURAK_YENI1309[[#This Row],[BIRIM_FIYATLAR]])</f>
        <v>0</v>
      </c>
      <c r="N4342">
        <v>0.6</v>
      </c>
      <c r="O4342" t="s">
        <v>240</v>
      </c>
      <c r="P4342">
        <v>36</v>
      </c>
      <c r="Q4342" t="s">
        <v>180</v>
      </c>
    </row>
    <row r="4343" spans="1:17" x14ac:dyDescent="0.25">
      <c r="A4343" t="s">
        <v>1098</v>
      </c>
      <c r="B4343" t="s">
        <v>1096</v>
      </c>
      <c r="C4343" t="s">
        <v>175</v>
      </c>
      <c r="D4343" t="s">
        <v>567</v>
      </c>
      <c r="E4343" t="s">
        <v>568</v>
      </c>
      <c r="F4343">
        <v>65</v>
      </c>
      <c r="G4343" t="s">
        <v>176</v>
      </c>
      <c r="H4343">
        <v>0</v>
      </c>
      <c r="I4343">
        <v>5000</v>
      </c>
      <c r="J4343" s="10">
        <v>0</v>
      </c>
      <c r="K4343" s="10">
        <f>SUMIFS(F:F,D:D,DST_123_ÜRETİM_İHTİYAÇ_RAPORU_BURAK_YENI1309[[#This Row],[ALT_KOD]])-(SUMIFS(H:H,D:D,DST_123_ÜRETİM_İHTİYAÇ_RAPORU_BURAK_YENI1309[[#This Row],[ALT_KOD]])+AVERAGEIFS(I:I,D:D,DST_123_ÜRETİM_İHTİYAÇ_RAPORU_BURAK_YENI1309[[#This Row],[ALT_KOD]])+AVERAGEIFS(L:L,D:D,DST_123_ÜRETİM_İHTİYAÇ_RAPORU_BURAK_YENI1309[[#This Row],[ALT_KOD]]))</f>
        <v>-3820</v>
      </c>
      <c r="L4343">
        <v>0</v>
      </c>
      <c r="M4343">
        <f>IF((DST_123_ÜRETİM_İHTİYAÇ_RAPORU_BURAK_YENI1309[[#This Row],[SATINALMA]]*DST_123_ÜRETİM_İHTİYAÇ_RAPORU_BURAK_YENI1309[[#This Row],[BIRIM_FIYATLAR]])&lt;1,VALUE("0"),DST_123_ÜRETİM_İHTİYAÇ_RAPORU_BURAK_YENI1309[[#This Row],[SATINALMA]]*DST_123_ÜRETİM_İHTİYAÇ_RAPORU_BURAK_YENI1309[[#This Row],[BIRIM_FIYATLAR]])</f>
        <v>0</v>
      </c>
      <c r="N4343">
        <v>0.6</v>
      </c>
      <c r="O4343" t="s">
        <v>240</v>
      </c>
      <c r="P4343">
        <v>39</v>
      </c>
      <c r="Q4343" t="s">
        <v>180</v>
      </c>
    </row>
    <row r="4344" spans="1:17" x14ac:dyDescent="0.25">
      <c r="A4344" t="s">
        <v>1143</v>
      </c>
      <c r="B4344" t="s">
        <v>1056</v>
      </c>
      <c r="C4344" t="s">
        <v>175</v>
      </c>
      <c r="D4344" t="s">
        <v>781</v>
      </c>
      <c r="E4344" t="s">
        <v>782</v>
      </c>
      <c r="F4344">
        <v>1</v>
      </c>
      <c r="G4344" t="s">
        <v>176</v>
      </c>
      <c r="H4344">
        <v>0</v>
      </c>
      <c r="I4344">
        <v>14</v>
      </c>
      <c r="J4344" s="10">
        <v>9</v>
      </c>
      <c r="K4344" s="10">
        <f>SUMIFS(F:F,D:D,DST_123_ÜRETİM_İHTİYAÇ_RAPORU_BURAK_YENI1309[[#This Row],[ALT_KOD]])-(SUMIFS(H:H,D:D,DST_123_ÜRETİM_İHTİYAÇ_RAPORU_BURAK_YENI1309[[#This Row],[ALT_KOD]])+AVERAGEIFS(I:I,D:D,DST_123_ÜRETİM_İHTİYAÇ_RAPORU_BURAK_YENI1309[[#This Row],[ALT_KOD]])+AVERAGEIFS(L:L,D:D,DST_123_ÜRETİM_İHTİYAÇ_RAPORU_BURAK_YENI1309[[#This Row],[ALT_KOD]]))</f>
        <v>-3</v>
      </c>
      <c r="L4344">
        <v>0</v>
      </c>
      <c r="M4344">
        <f>IF((DST_123_ÜRETİM_İHTİYAÇ_RAPORU_BURAK_YENI1309[[#This Row],[SATINALMA]]*DST_123_ÜRETİM_İHTİYAÇ_RAPORU_BURAK_YENI1309[[#This Row],[BIRIM_FIYATLAR]])&lt;1,VALUE("0"),DST_123_ÜRETİM_İHTİYAÇ_RAPORU_BURAK_YENI1309[[#This Row],[SATINALMA]]*DST_123_ÜRETİM_İHTİYAÇ_RAPORU_BURAK_YENI1309[[#This Row],[BIRIM_FIYATLAR]])</f>
        <v>0</v>
      </c>
      <c r="N4344">
        <v>1020</v>
      </c>
      <c r="O4344" t="s">
        <v>289</v>
      </c>
      <c r="P4344">
        <v>1020</v>
      </c>
      <c r="Q4344" t="s">
        <v>178</v>
      </c>
    </row>
    <row r="4345" spans="1:17" x14ac:dyDescent="0.25">
      <c r="A4345" t="s">
        <v>1097</v>
      </c>
      <c r="B4345" t="s">
        <v>1055</v>
      </c>
      <c r="C4345" t="s">
        <v>175</v>
      </c>
      <c r="D4345" t="s">
        <v>778</v>
      </c>
      <c r="E4345" t="s">
        <v>132</v>
      </c>
      <c r="F4345">
        <v>18</v>
      </c>
      <c r="G4345" t="s">
        <v>176</v>
      </c>
      <c r="H4345">
        <v>0</v>
      </c>
      <c r="I4345">
        <v>564</v>
      </c>
      <c r="J4345" s="10">
        <v>98</v>
      </c>
      <c r="K4345" s="10">
        <f>SUMIFS(F:F,D:D,DST_123_ÜRETİM_İHTİYAÇ_RAPORU_BURAK_YENI1309[[#This Row],[ALT_KOD]])-(SUMIFS(H:H,D:D,DST_123_ÜRETİM_İHTİYAÇ_RAPORU_BURAK_YENI1309[[#This Row],[ALT_KOD]])+AVERAGEIFS(I:I,D:D,DST_123_ÜRETİM_İHTİYAÇ_RAPORU_BURAK_YENI1309[[#This Row],[ALT_KOD]])+AVERAGEIFS(L:L,D:D,DST_123_ÜRETİM_İHTİYAÇ_RAPORU_BURAK_YENI1309[[#This Row],[ALT_KOD]]))</f>
        <v>-250</v>
      </c>
      <c r="L4345">
        <v>0</v>
      </c>
      <c r="M4345">
        <f>IF((DST_123_ÜRETİM_İHTİYAÇ_RAPORU_BURAK_YENI1309[[#This Row],[SATINALMA]]*DST_123_ÜRETİM_İHTİYAÇ_RAPORU_BURAK_YENI1309[[#This Row],[BIRIM_FIYATLAR]])&lt;1,VALUE("0"),DST_123_ÜRETİM_İHTİYAÇ_RAPORU_BURAK_YENI1309[[#This Row],[SATINALMA]]*DST_123_ÜRETİM_İHTİYAÇ_RAPORU_BURAK_YENI1309[[#This Row],[BIRIM_FIYATLAR]])</f>
        <v>0</v>
      </c>
      <c r="N4345">
        <v>6.67</v>
      </c>
      <c r="O4345" t="s">
        <v>1194</v>
      </c>
      <c r="P4345">
        <v>120.06</v>
      </c>
      <c r="Q4345" t="s">
        <v>221</v>
      </c>
    </row>
    <row r="4346" spans="1:17" x14ac:dyDescent="0.25">
      <c r="A4346" t="s">
        <v>1059</v>
      </c>
      <c r="B4346" t="s">
        <v>1058</v>
      </c>
      <c r="C4346" t="s">
        <v>175</v>
      </c>
      <c r="D4346" t="s">
        <v>778</v>
      </c>
      <c r="E4346" t="s">
        <v>132</v>
      </c>
      <c r="F4346">
        <v>22</v>
      </c>
      <c r="G4346" t="s">
        <v>176</v>
      </c>
      <c r="H4346">
        <v>0</v>
      </c>
      <c r="I4346">
        <v>564</v>
      </c>
      <c r="J4346" s="10">
        <v>98</v>
      </c>
      <c r="K4346" s="10">
        <f>SUMIFS(F:F,D:D,DST_123_ÜRETİM_İHTİYAÇ_RAPORU_BURAK_YENI1309[[#This Row],[ALT_KOD]])-(SUMIFS(H:H,D:D,DST_123_ÜRETİM_İHTİYAÇ_RAPORU_BURAK_YENI1309[[#This Row],[ALT_KOD]])+AVERAGEIFS(I:I,D:D,DST_123_ÜRETİM_İHTİYAÇ_RAPORU_BURAK_YENI1309[[#This Row],[ALT_KOD]])+AVERAGEIFS(L:L,D:D,DST_123_ÜRETİM_İHTİYAÇ_RAPORU_BURAK_YENI1309[[#This Row],[ALT_KOD]]))</f>
        <v>-250</v>
      </c>
      <c r="L4346">
        <v>0</v>
      </c>
      <c r="M4346">
        <f>IF((DST_123_ÜRETİM_İHTİYAÇ_RAPORU_BURAK_YENI1309[[#This Row],[SATINALMA]]*DST_123_ÜRETİM_İHTİYAÇ_RAPORU_BURAK_YENI1309[[#This Row],[BIRIM_FIYATLAR]])&lt;1,VALUE("0"),DST_123_ÜRETİM_İHTİYAÇ_RAPORU_BURAK_YENI1309[[#This Row],[SATINALMA]]*DST_123_ÜRETİM_İHTİYAÇ_RAPORU_BURAK_YENI1309[[#This Row],[BIRIM_FIYATLAR]])</f>
        <v>0</v>
      </c>
      <c r="N4346">
        <v>6.67</v>
      </c>
      <c r="O4346" t="s">
        <v>1194</v>
      </c>
      <c r="P4346">
        <v>146.74</v>
      </c>
      <c r="Q4346" t="s">
        <v>221</v>
      </c>
    </row>
    <row r="4347" spans="1:17" x14ac:dyDescent="0.25">
      <c r="A4347" t="s">
        <v>1143</v>
      </c>
      <c r="B4347" t="s">
        <v>1056</v>
      </c>
      <c r="C4347" t="s">
        <v>175</v>
      </c>
      <c r="D4347" t="s">
        <v>778</v>
      </c>
      <c r="E4347" t="s">
        <v>132</v>
      </c>
      <c r="F4347">
        <v>20</v>
      </c>
      <c r="G4347" t="s">
        <v>176</v>
      </c>
      <c r="H4347">
        <v>0</v>
      </c>
      <c r="I4347">
        <v>564</v>
      </c>
      <c r="J4347" s="10">
        <v>98</v>
      </c>
      <c r="K4347" s="10">
        <f>SUMIFS(F:F,D:D,DST_123_ÜRETİM_İHTİYAÇ_RAPORU_BURAK_YENI1309[[#This Row],[ALT_KOD]])-(SUMIFS(H:H,D:D,DST_123_ÜRETİM_İHTİYAÇ_RAPORU_BURAK_YENI1309[[#This Row],[ALT_KOD]])+AVERAGEIFS(I:I,D:D,DST_123_ÜRETİM_İHTİYAÇ_RAPORU_BURAK_YENI1309[[#This Row],[ALT_KOD]])+AVERAGEIFS(L:L,D:D,DST_123_ÜRETİM_İHTİYAÇ_RAPORU_BURAK_YENI1309[[#This Row],[ALT_KOD]]))</f>
        <v>-250</v>
      </c>
      <c r="L4347">
        <v>0</v>
      </c>
      <c r="M4347">
        <f>IF((DST_123_ÜRETİM_İHTİYAÇ_RAPORU_BURAK_YENI1309[[#This Row],[SATINALMA]]*DST_123_ÜRETİM_İHTİYAÇ_RAPORU_BURAK_YENI1309[[#This Row],[BIRIM_FIYATLAR]])&lt;1,VALUE("0"),DST_123_ÜRETİM_İHTİYAÇ_RAPORU_BURAK_YENI1309[[#This Row],[SATINALMA]]*DST_123_ÜRETİM_İHTİYAÇ_RAPORU_BURAK_YENI1309[[#This Row],[BIRIM_FIYATLAR]])</f>
        <v>0</v>
      </c>
      <c r="N4347">
        <v>6.67</v>
      </c>
      <c r="O4347" t="s">
        <v>1194</v>
      </c>
      <c r="P4347">
        <v>133.4</v>
      </c>
      <c r="Q4347" t="s">
        <v>221</v>
      </c>
    </row>
    <row r="4348" spans="1:17" x14ac:dyDescent="0.25">
      <c r="A4348" t="s">
        <v>1098</v>
      </c>
      <c r="B4348" t="s">
        <v>1096</v>
      </c>
      <c r="C4348" t="s">
        <v>175</v>
      </c>
      <c r="D4348" t="s">
        <v>607</v>
      </c>
      <c r="E4348" t="s">
        <v>608</v>
      </c>
      <c r="F4348">
        <v>2</v>
      </c>
      <c r="G4348" t="s">
        <v>176</v>
      </c>
      <c r="H4348">
        <v>0</v>
      </c>
      <c r="I4348">
        <v>0</v>
      </c>
      <c r="J4348" s="10">
        <v>10</v>
      </c>
      <c r="K4348" s="10">
        <f>SUMIFS(F:F,D:D,DST_123_ÜRETİM_İHTİYAÇ_RAPORU_BURAK_YENI1309[[#This Row],[ALT_KOD]])-(SUMIFS(H:H,D:D,DST_123_ÜRETİM_İHTİYAÇ_RAPORU_BURAK_YENI1309[[#This Row],[ALT_KOD]])+AVERAGEIFS(I:I,D:D,DST_123_ÜRETİM_İHTİYAÇ_RAPORU_BURAK_YENI1309[[#This Row],[ALT_KOD]])+AVERAGEIFS(L:L,D:D,DST_123_ÜRETİM_İHTİYAÇ_RAPORU_BURAK_YENI1309[[#This Row],[ALT_KOD]]))</f>
        <v>24</v>
      </c>
      <c r="L4348">
        <v>0</v>
      </c>
      <c r="M4348">
        <f>IF((DST_123_ÜRETİM_İHTİYAÇ_RAPORU_BURAK_YENI1309[[#This Row],[SATINALMA]]*DST_123_ÜRETİM_İHTİYAÇ_RAPORU_BURAK_YENI1309[[#This Row],[BIRIM_FIYATLAR]])&lt;1,VALUE("0"),DST_123_ÜRETİM_İHTİYAÇ_RAPORU_BURAK_YENI1309[[#This Row],[SATINALMA]]*DST_123_ÜRETİM_İHTİYAÇ_RAPORU_BURAK_YENI1309[[#This Row],[BIRIM_FIYATLAR]])</f>
        <v>1358.4</v>
      </c>
      <c r="N4348">
        <v>56.6</v>
      </c>
      <c r="O4348" t="s">
        <v>636</v>
      </c>
      <c r="P4348">
        <v>113.2</v>
      </c>
      <c r="Q4348" t="s">
        <v>177</v>
      </c>
    </row>
    <row r="4349" spans="1:17" x14ac:dyDescent="0.25">
      <c r="A4349" t="s">
        <v>1146</v>
      </c>
      <c r="B4349" t="s">
        <v>1145</v>
      </c>
      <c r="C4349" t="s">
        <v>175</v>
      </c>
      <c r="D4349" t="s">
        <v>1155</v>
      </c>
      <c r="E4349" t="s">
        <v>1156</v>
      </c>
      <c r="F4349">
        <v>4</v>
      </c>
      <c r="G4349" t="s">
        <v>176</v>
      </c>
      <c r="H4349">
        <v>0</v>
      </c>
      <c r="I4349">
        <v>0</v>
      </c>
      <c r="J4349" s="10">
        <v>0</v>
      </c>
      <c r="K4349" s="10">
        <f>SUMIFS(F:F,D:D,DST_123_ÜRETİM_İHTİYAÇ_RAPORU_BURAK_YENI1309[[#This Row],[ALT_KOD]])-(SUMIFS(H:H,D:D,DST_123_ÜRETİM_İHTİYAÇ_RAPORU_BURAK_YENI1309[[#This Row],[ALT_KOD]])+AVERAGEIFS(I:I,D:D,DST_123_ÜRETİM_İHTİYAÇ_RAPORU_BURAK_YENI1309[[#This Row],[ALT_KOD]])+AVERAGEIFS(L:L,D:D,DST_123_ÜRETİM_İHTİYAÇ_RAPORU_BURAK_YENI1309[[#This Row],[ALT_KOD]]))</f>
        <v>24</v>
      </c>
      <c r="L4349">
        <v>0</v>
      </c>
      <c r="M4349">
        <f>IF((DST_123_ÜRETİM_İHTİYAÇ_RAPORU_BURAK_YENI1309[[#This Row],[SATINALMA]]*DST_123_ÜRETİM_İHTİYAÇ_RAPORU_BURAK_YENI1309[[#This Row],[BIRIM_FIYATLAR]])&lt;1,VALUE("0"),DST_123_ÜRETİM_İHTİYAÇ_RAPORU_BURAK_YENI1309[[#This Row],[SATINALMA]]*DST_123_ÜRETİM_İHTİYAÇ_RAPORU_BURAK_YENI1309[[#This Row],[BIRIM_FIYATLAR]])</f>
        <v>21.12</v>
      </c>
      <c r="N4349">
        <v>0.88</v>
      </c>
      <c r="O4349" t="s">
        <v>635</v>
      </c>
      <c r="P4349">
        <v>3.52</v>
      </c>
      <c r="Q4349" t="s">
        <v>221</v>
      </c>
    </row>
    <row r="4350" spans="1:17" x14ac:dyDescent="0.25">
      <c r="A4350" t="s">
        <v>1144</v>
      </c>
      <c r="B4350" t="s">
        <v>1145</v>
      </c>
      <c r="C4350" t="s">
        <v>175</v>
      </c>
      <c r="D4350" t="s">
        <v>1155</v>
      </c>
      <c r="E4350" t="s">
        <v>1156</v>
      </c>
      <c r="F4350">
        <v>2</v>
      </c>
      <c r="G4350" t="s">
        <v>176</v>
      </c>
      <c r="H4350">
        <v>0</v>
      </c>
      <c r="I4350">
        <v>0</v>
      </c>
      <c r="J4350" s="10">
        <v>0</v>
      </c>
      <c r="K4350" s="10">
        <f>SUMIFS(F:F,D:D,DST_123_ÜRETİM_İHTİYAÇ_RAPORU_BURAK_YENI1309[[#This Row],[ALT_KOD]])-(SUMIFS(H:H,D:D,DST_123_ÜRETİM_İHTİYAÇ_RAPORU_BURAK_YENI1309[[#This Row],[ALT_KOD]])+AVERAGEIFS(I:I,D:D,DST_123_ÜRETİM_İHTİYAÇ_RAPORU_BURAK_YENI1309[[#This Row],[ALT_KOD]])+AVERAGEIFS(L:L,D:D,DST_123_ÜRETİM_İHTİYAÇ_RAPORU_BURAK_YENI1309[[#This Row],[ALT_KOD]]))</f>
        <v>24</v>
      </c>
      <c r="L4350">
        <v>0</v>
      </c>
      <c r="M4350">
        <f>IF((DST_123_ÜRETİM_İHTİYAÇ_RAPORU_BURAK_YENI1309[[#This Row],[SATINALMA]]*DST_123_ÜRETİM_İHTİYAÇ_RAPORU_BURAK_YENI1309[[#This Row],[BIRIM_FIYATLAR]])&lt;1,VALUE("0"),DST_123_ÜRETİM_İHTİYAÇ_RAPORU_BURAK_YENI1309[[#This Row],[SATINALMA]]*DST_123_ÜRETİM_İHTİYAÇ_RAPORU_BURAK_YENI1309[[#This Row],[BIRIM_FIYATLAR]])</f>
        <v>21.12</v>
      </c>
      <c r="N4350">
        <v>0.88</v>
      </c>
      <c r="O4350" t="s">
        <v>635</v>
      </c>
      <c r="P4350">
        <v>1.76</v>
      </c>
      <c r="Q4350" t="s">
        <v>221</v>
      </c>
    </row>
    <row r="4351" spans="1:17" x14ac:dyDescent="0.25">
      <c r="A4351" t="s">
        <v>1146</v>
      </c>
      <c r="B4351" t="s">
        <v>1145</v>
      </c>
      <c r="C4351" t="s">
        <v>175</v>
      </c>
      <c r="D4351" t="s">
        <v>1051</v>
      </c>
      <c r="E4351" t="s">
        <v>1052</v>
      </c>
      <c r="F4351">
        <v>1</v>
      </c>
      <c r="G4351" t="s">
        <v>176</v>
      </c>
      <c r="H4351">
        <v>0</v>
      </c>
      <c r="I4351">
        <v>2</v>
      </c>
      <c r="J4351" s="10">
        <v>7</v>
      </c>
      <c r="K4351" s="10">
        <f>SUMIFS(F:F,D:D,DST_123_ÜRETİM_İHTİYAÇ_RAPORU_BURAK_YENI1309[[#This Row],[ALT_KOD]])-(SUMIFS(H:H,D:D,DST_123_ÜRETİM_İHTİYAÇ_RAPORU_BURAK_YENI1309[[#This Row],[ALT_KOD]])+AVERAGEIFS(I:I,D:D,DST_123_ÜRETİM_İHTİYAÇ_RAPORU_BURAK_YENI1309[[#This Row],[ALT_KOD]])+AVERAGEIFS(L:L,D:D,DST_123_ÜRETİM_İHTİYAÇ_RAPORU_BURAK_YENI1309[[#This Row],[ALT_KOD]]))</f>
        <v>10</v>
      </c>
      <c r="L4351">
        <v>0</v>
      </c>
      <c r="M4351">
        <f>IF((DST_123_ÜRETİM_İHTİYAÇ_RAPORU_BURAK_YENI1309[[#This Row],[SATINALMA]]*DST_123_ÜRETİM_İHTİYAÇ_RAPORU_BURAK_YENI1309[[#This Row],[BIRIM_FIYATLAR]])&lt;1,VALUE("0"),DST_123_ÜRETİM_İHTİYAÇ_RAPORU_BURAK_YENI1309[[#This Row],[SATINALMA]]*DST_123_ÜRETİM_İHTİYAÇ_RAPORU_BURAK_YENI1309[[#This Row],[BIRIM_FIYATLAR]])</f>
        <v>121389.3</v>
      </c>
      <c r="N4351">
        <v>12138.93</v>
      </c>
      <c r="O4351" t="s">
        <v>634</v>
      </c>
      <c r="P4351">
        <v>12138.93</v>
      </c>
      <c r="Q4351" t="s">
        <v>177</v>
      </c>
    </row>
    <row r="4352" spans="1:17" x14ac:dyDescent="0.25">
      <c r="A4352" t="s">
        <v>1144</v>
      </c>
      <c r="B4352" t="s">
        <v>1145</v>
      </c>
      <c r="C4352" t="s">
        <v>175</v>
      </c>
      <c r="D4352" t="s">
        <v>1051</v>
      </c>
      <c r="E4352" t="s">
        <v>1052</v>
      </c>
      <c r="F4352">
        <v>1</v>
      </c>
      <c r="G4352" t="s">
        <v>176</v>
      </c>
      <c r="H4352">
        <v>0</v>
      </c>
      <c r="I4352">
        <v>2</v>
      </c>
      <c r="J4352" s="10">
        <v>7</v>
      </c>
      <c r="K4352" s="10">
        <f>SUMIFS(F:F,D:D,DST_123_ÜRETİM_İHTİYAÇ_RAPORU_BURAK_YENI1309[[#This Row],[ALT_KOD]])-(SUMIFS(H:H,D:D,DST_123_ÜRETİM_İHTİYAÇ_RAPORU_BURAK_YENI1309[[#This Row],[ALT_KOD]])+AVERAGEIFS(I:I,D:D,DST_123_ÜRETİM_İHTİYAÇ_RAPORU_BURAK_YENI1309[[#This Row],[ALT_KOD]])+AVERAGEIFS(L:L,D:D,DST_123_ÜRETİM_İHTİYAÇ_RAPORU_BURAK_YENI1309[[#This Row],[ALT_KOD]]))</f>
        <v>10</v>
      </c>
      <c r="L4352">
        <v>0</v>
      </c>
      <c r="M4352">
        <f>IF((DST_123_ÜRETİM_İHTİYAÇ_RAPORU_BURAK_YENI1309[[#This Row],[SATINALMA]]*DST_123_ÜRETİM_İHTİYAÇ_RAPORU_BURAK_YENI1309[[#This Row],[BIRIM_FIYATLAR]])&lt;1,VALUE("0"),DST_123_ÜRETİM_İHTİYAÇ_RAPORU_BURAK_YENI1309[[#This Row],[SATINALMA]]*DST_123_ÜRETİM_İHTİYAÇ_RAPORU_BURAK_YENI1309[[#This Row],[BIRIM_FIYATLAR]])</f>
        <v>121389.3</v>
      </c>
      <c r="N4352">
        <v>12138.93</v>
      </c>
      <c r="O4352" t="s">
        <v>634</v>
      </c>
      <c r="P4352">
        <v>12138.93</v>
      </c>
      <c r="Q4352" t="s">
        <v>177</v>
      </c>
    </row>
    <row r="4353" spans="1:17" x14ac:dyDescent="0.25">
      <c r="A4353" t="s">
        <v>1148</v>
      </c>
      <c r="B4353" t="s">
        <v>1056</v>
      </c>
      <c r="C4353" t="s">
        <v>175</v>
      </c>
      <c r="D4353" t="s">
        <v>1067</v>
      </c>
      <c r="E4353" t="s">
        <v>1068</v>
      </c>
      <c r="F4353">
        <v>16</v>
      </c>
      <c r="G4353" t="s">
        <v>179</v>
      </c>
      <c r="H4353">
        <v>0</v>
      </c>
      <c r="I4353">
        <v>100</v>
      </c>
      <c r="J4353" s="10">
        <v>84</v>
      </c>
      <c r="K4353" s="10">
        <f>SUMIFS(F:F,D:D,DST_123_ÜRETİM_İHTİYAÇ_RAPORU_BURAK_YENI1309[[#This Row],[ALT_KOD]])-(SUMIFS(H:H,D:D,DST_123_ÜRETİM_İHTİYAÇ_RAPORU_BURAK_YENI1309[[#This Row],[ALT_KOD]])+AVERAGEIFS(I:I,D:D,DST_123_ÜRETİM_İHTİYAÇ_RAPORU_BURAK_YENI1309[[#This Row],[ALT_KOD]])+AVERAGEIFS(L:L,D:D,DST_123_ÜRETİM_İHTİYAÇ_RAPORU_BURAK_YENI1309[[#This Row],[ALT_KOD]]))</f>
        <v>-32</v>
      </c>
      <c r="L4353">
        <v>0</v>
      </c>
      <c r="M4353">
        <f>IF((DST_123_ÜRETİM_İHTİYAÇ_RAPORU_BURAK_YENI1309[[#This Row],[SATINALMA]]*DST_123_ÜRETİM_İHTİYAÇ_RAPORU_BURAK_YENI1309[[#This Row],[BIRIM_FIYATLAR]])&lt;1,VALUE("0"),DST_123_ÜRETİM_İHTİYAÇ_RAPORU_BURAK_YENI1309[[#This Row],[SATINALMA]]*DST_123_ÜRETİM_İHTİYAÇ_RAPORU_BURAK_YENI1309[[#This Row],[BIRIM_FIYATLAR]])</f>
        <v>0</v>
      </c>
      <c r="N4353">
        <v>14.85</v>
      </c>
      <c r="O4353" t="s">
        <v>826</v>
      </c>
      <c r="P4353">
        <v>237.6</v>
      </c>
      <c r="Q4353" t="s">
        <v>221</v>
      </c>
    </row>
    <row r="4354" spans="1:17" x14ac:dyDescent="0.25">
      <c r="A4354" t="s">
        <v>1060</v>
      </c>
      <c r="B4354" t="s">
        <v>1061</v>
      </c>
      <c r="C4354" t="s">
        <v>175</v>
      </c>
      <c r="D4354" t="s">
        <v>716</v>
      </c>
      <c r="E4354" t="s">
        <v>717</v>
      </c>
      <c r="F4354">
        <v>0.2</v>
      </c>
      <c r="G4354" t="s">
        <v>179</v>
      </c>
      <c r="H4354">
        <v>0</v>
      </c>
      <c r="I4354">
        <v>200</v>
      </c>
      <c r="J4354" s="10">
        <v>85.649999999999977</v>
      </c>
      <c r="K4354" s="10">
        <f>SUMIFS(F:F,D:D,DST_123_ÜRETİM_İHTİYAÇ_RAPORU_BURAK_YENI1309[[#This Row],[ALT_KOD]])-(SUMIFS(H:H,D:D,DST_123_ÜRETİM_İHTİYAÇ_RAPORU_BURAK_YENI1309[[#This Row],[ALT_KOD]])+AVERAGEIFS(I:I,D:D,DST_123_ÜRETİM_İHTİYAÇ_RAPORU_BURAK_YENI1309[[#This Row],[ALT_KOD]])+AVERAGEIFS(L:L,D:D,DST_123_ÜRETİM_İHTİYAÇ_RAPORU_BURAK_YENI1309[[#This Row],[ALT_KOD]]))</f>
        <v>-196.4</v>
      </c>
      <c r="L4354">
        <v>0</v>
      </c>
      <c r="M4354">
        <f>IF((DST_123_ÜRETİM_İHTİYAÇ_RAPORU_BURAK_YENI1309[[#This Row],[SATINALMA]]*DST_123_ÜRETİM_İHTİYAÇ_RAPORU_BURAK_YENI1309[[#This Row],[BIRIM_FIYATLAR]])&lt;1,VALUE("0"),DST_123_ÜRETİM_İHTİYAÇ_RAPORU_BURAK_YENI1309[[#This Row],[SATINALMA]]*DST_123_ÜRETİM_İHTİYAÇ_RAPORU_BURAK_YENI1309[[#This Row],[BIRIM_FIYATLAR]])</f>
        <v>0</v>
      </c>
      <c r="N4354">
        <v>3.62</v>
      </c>
      <c r="O4354" t="s">
        <v>826</v>
      </c>
      <c r="P4354">
        <v>0.72400000000000009</v>
      </c>
      <c r="Q4354" t="s">
        <v>221</v>
      </c>
    </row>
    <row r="4355" spans="1:17" x14ac:dyDescent="0.25">
      <c r="A4355" t="s">
        <v>1147</v>
      </c>
      <c r="B4355" t="s">
        <v>1145</v>
      </c>
      <c r="C4355" t="s">
        <v>175</v>
      </c>
      <c r="D4355" t="s">
        <v>716</v>
      </c>
      <c r="E4355" t="s">
        <v>717</v>
      </c>
      <c r="F4355">
        <v>0.2</v>
      </c>
      <c r="G4355" t="s">
        <v>179</v>
      </c>
      <c r="H4355">
        <v>0</v>
      </c>
      <c r="I4355">
        <v>200</v>
      </c>
      <c r="J4355" s="10">
        <v>85.649999999999977</v>
      </c>
      <c r="K4355" s="10">
        <f>SUMIFS(F:F,D:D,DST_123_ÜRETİM_İHTİYAÇ_RAPORU_BURAK_YENI1309[[#This Row],[ALT_KOD]])-(SUMIFS(H:H,D:D,DST_123_ÜRETİM_İHTİYAÇ_RAPORU_BURAK_YENI1309[[#This Row],[ALT_KOD]])+AVERAGEIFS(I:I,D:D,DST_123_ÜRETİM_İHTİYAÇ_RAPORU_BURAK_YENI1309[[#This Row],[ALT_KOD]])+AVERAGEIFS(L:L,D:D,DST_123_ÜRETİM_İHTİYAÇ_RAPORU_BURAK_YENI1309[[#This Row],[ALT_KOD]]))</f>
        <v>-196.4</v>
      </c>
      <c r="L4355">
        <v>0</v>
      </c>
      <c r="M4355">
        <f>IF((DST_123_ÜRETİM_İHTİYAÇ_RAPORU_BURAK_YENI1309[[#This Row],[SATINALMA]]*DST_123_ÜRETİM_İHTİYAÇ_RAPORU_BURAK_YENI1309[[#This Row],[BIRIM_FIYATLAR]])&lt;1,VALUE("0"),DST_123_ÜRETİM_İHTİYAÇ_RAPORU_BURAK_YENI1309[[#This Row],[SATINALMA]]*DST_123_ÜRETİM_İHTİYAÇ_RAPORU_BURAK_YENI1309[[#This Row],[BIRIM_FIYATLAR]])</f>
        <v>0</v>
      </c>
      <c r="N4355">
        <v>3.62</v>
      </c>
      <c r="O4355" t="s">
        <v>826</v>
      </c>
      <c r="P4355">
        <v>0.72400000000000009</v>
      </c>
      <c r="Q4355" t="s">
        <v>221</v>
      </c>
    </row>
    <row r="4356" spans="1:17" x14ac:dyDescent="0.25">
      <c r="A4356" t="s">
        <v>1100</v>
      </c>
      <c r="B4356" t="s">
        <v>1058</v>
      </c>
      <c r="C4356" t="s">
        <v>175</v>
      </c>
      <c r="D4356" t="s">
        <v>716</v>
      </c>
      <c r="E4356" t="s">
        <v>717</v>
      </c>
      <c r="F4356">
        <v>0.2</v>
      </c>
      <c r="G4356" t="s">
        <v>179</v>
      </c>
      <c r="H4356">
        <v>0</v>
      </c>
      <c r="I4356">
        <v>200</v>
      </c>
      <c r="J4356" s="10">
        <v>85.649999999999977</v>
      </c>
      <c r="K4356" s="10">
        <f>SUMIFS(F:F,D:D,DST_123_ÜRETİM_İHTİYAÇ_RAPORU_BURAK_YENI1309[[#This Row],[ALT_KOD]])-(SUMIFS(H:H,D:D,DST_123_ÜRETİM_İHTİYAÇ_RAPORU_BURAK_YENI1309[[#This Row],[ALT_KOD]])+AVERAGEIFS(I:I,D:D,DST_123_ÜRETİM_İHTİYAÇ_RAPORU_BURAK_YENI1309[[#This Row],[ALT_KOD]])+AVERAGEIFS(L:L,D:D,DST_123_ÜRETİM_İHTİYAÇ_RAPORU_BURAK_YENI1309[[#This Row],[ALT_KOD]]))</f>
        <v>-196.4</v>
      </c>
      <c r="L4356">
        <v>0</v>
      </c>
      <c r="M4356">
        <f>IF((DST_123_ÜRETİM_İHTİYAÇ_RAPORU_BURAK_YENI1309[[#This Row],[SATINALMA]]*DST_123_ÜRETİM_İHTİYAÇ_RAPORU_BURAK_YENI1309[[#This Row],[BIRIM_FIYATLAR]])&lt;1,VALUE("0"),DST_123_ÜRETİM_İHTİYAÇ_RAPORU_BURAK_YENI1309[[#This Row],[SATINALMA]]*DST_123_ÜRETİM_İHTİYAÇ_RAPORU_BURAK_YENI1309[[#This Row],[BIRIM_FIYATLAR]])</f>
        <v>0</v>
      </c>
      <c r="N4356">
        <v>3.62</v>
      </c>
      <c r="O4356" t="s">
        <v>826</v>
      </c>
      <c r="P4356">
        <v>0.72400000000000009</v>
      </c>
      <c r="Q4356" t="s">
        <v>221</v>
      </c>
    </row>
    <row r="4357" spans="1:17" x14ac:dyDescent="0.25">
      <c r="A4357" t="s">
        <v>1148</v>
      </c>
      <c r="B4357" t="s">
        <v>1056</v>
      </c>
      <c r="C4357" t="s">
        <v>175</v>
      </c>
      <c r="D4357" t="s">
        <v>716</v>
      </c>
      <c r="E4357" t="s">
        <v>717</v>
      </c>
      <c r="F4357">
        <v>0.2</v>
      </c>
      <c r="G4357" t="s">
        <v>179</v>
      </c>
      <c r="H4357">
        <v>0</v>
      </c>
      <c r="I4357">
        <v>200</v>
      </c>
      <c r="J4357" s="10">
        <v>85.649999999999977</v>
      </c>
      <c r="K4357" s="10">
        <f>SUMIFS(F:F,D:D,DST_123_ÜRETİM_İHTİYAÇ_RAPORU_BURAK_YENI1309[[#This Row],[ALT_KOD]])-(SUMIFS(H:H,D:D,DST_123_ÜRETİM_İHTİYAÇ_RAPORU_BURAK_YENI1309[[#This Row],[ALT_KOD]])+AVERAGEIFS(I:I,D:D,DST_123_ÜRETİM_İHTİYAÇ_RAPORU_BURAK_YENI1309[[#This Row],[ALT_KOD]])+AVERAGEIFS(L:L,D:D,DST_123_ÜRETİM_İHTİYAÇ_RAPORU_BURAK_YENI1309[[#This Row],[ALT_KOD]]))</f>
        <v>-196.4</v>
      </c>
      <c r="L4357">
        <v>0</v>
      </c>
      <c r="M4357">
        <f>IF((DST_123_ÜRETİM_İHTİYAÇ_RAPORU_BURAK_YENI1309[[#This Row],[SATINALMA]]*DST_123_ÜRETİM_İHTİYAÇ_RAPORU_BURAK_YENI1309[[#This Row],[BIRIM_FIYATLAR]])&lt;1,VALUE("0"),DST_123_ÜRETİM_İHTİYAÇ_RAPORU_BURAK_YENI1309[[#This Row],[SATINALMA]]*DST_123_ÜRETİM_İHTİYAÇ_RAPORU_BURAK_YENI1309[[#This Row],[BIRIM_FIYATLAR]])</f>
        <v>0</v>
      </c>
      <c r="N4357">
        <v>3.62</v>
      </c>
      <c r="O4357" t="s">
        <v>826</v>
      </c>
      <c r="P4357">
        <v>0.72400000000000009</v>
      </c>
      <c r="Q4357" t="s">
        <v>221</v>
      </c>
    </row>
    <row r="4358" spans="1:17" x14ac:dyDescent="0.25">
      <c r="A4358" t="s">
        <v>1147</v>
      </c>
      <c r="B4358" t="s">
        <v>1145</v>
      </c>
      <c r="C4358" t="s">
        <v>175</v>
      </c>
      <c r="D4358" t="s">
        <v>738</v>
      </c>
      <c r="E4358" t="s">
        <v>739</v>
      </c>
      <c r="F4358">
        <v>1</v>
      </c>
      <c r="G4358" t="s">
        <v>176</v>
      </c>
      <c r="H4358">
        <v>0</v>
      </c>
      <c r="I4358">
        <v>10</v>
      </c>
      <c r="J4358" s="10">
        <v>16</v>
      </c>
      <c r="K4358" s="10">
        <f>SUMIFS(F:F,D:D,DST_123_ÜRETİM_İHTİYAÇ_RAPORU_BURAK_YENI1309[[#This Row],[ALT_KOD]])-(SUMIFS(H:H,D:D,DST_123_ÜRETİM_İHTİYAÇ_RAPORU_BURAK_YENI1309[[#This Row],[ALT_KOD]])+AVERAGEIFS(I:I,D:D,DST_123_ÜRETİM_İHTİYAÇ_RAPORU_BURAK_YENI1309[[#This Row],[ALT_KOD]])+AVERAGEIFS(L:L,D:D,DST_123_ÜRETİM_İHTİYAÇ_RAPORU_BURAK_YENI1309[[#This Row],[ALT_KOD]]))</f>
        <v>2</v>
      </c>
      <c r="L4358">
        <v>0</v>
      </c>
      <c r="M4358">
        <f>IF((DST_123_ÜRETİM_İHTİYAÇ_RAPORU_BURAK_YENI1309[[#This Row],[SATINALMA]]*DST_123_ÜRETİM_İHTİYAÇ_RAPORU_BURAK_YENI1309[[#This Row],[BIRIM_FIYATLAR]])&lt;1,VALUE("0"),DST_123_ÜRETİM_İHTİYAÇ_RAPORU_BURAK_YENI1309[[#This Row],[SATINALMA]]*DST_123_ÜRETİM_İHTİYAÇ_RAPORU_BURAK_YENI1309[[#This Row],[BIRIM_FIYATLAR]])</f>
        <v>233.34</v>
      </c>
      <c r="N4358">
        <v>116.67</v>
      </c>
      <c r="O4358" t="s">
        <v>667</v>
      </c>
      <c r="P4358">
        <v>116.67</v>
      </c>
      <c r="Q4358" t="s">
        <v>177</v>
      </c>
    </row>
    <row r="4359" spans="1:17" x14ac:dyDescent="0.25">
      <c r="A4359" t="s">
        <v>1148</v>
      </c>
      <c r="B4359" t="s">
        <v>1056</v>
      </c>
      <c r="C4359" t="s">
        <v>175</v>
      </c>
      <c r="D4359" t="s">
        <v>738</v>
      </c>
      <c r="E4359" t="s">
        <v>739</v>
      </c>
      <c r="F4359">
        <v>1</v>
      </c>
      <c r="G4359" t="s">
        <v>176</v>
      </c>
      <c r="H4359">
        <v>0</v>
      </c>
      <c r="I4359">
        <v>10</v>
      </c>
      <c r="J4359" s="10">
        <v>16</v>
      </c>
      <c r="K4359" s="10">
        <f>SUMIFS(F:F,D:D,DST_123_ÜRETİM_İHTİYAÇ_RAPORU_BURAK_YENI1309[[#This Row],[ALT_KOD]])-(SUMIFS(H:H,D:D,DST_123_ÜRETİM_İHTİYAÇ_RAPORU_BURAK_YENI1309[[#This Row],[ALT_KOD]])+AVERAGEIFS(I:I,D:D,DST_123_ÜRETİM_İHTİYAÇ_RAPORU_BURAK_YENI1309[[#This Row],[ALT_KOD]])+AVERAGEIFS(L:L,D:D,DST_123_ÜRETİM_İHTİYAÇ_RAPORU_BURAK_YENI1309[[#This Row],[ALT_KOD]]))</f>
        <v>2</v>
      </c>
      <c r="L4359">
        <v>0</v>
      </c>
      <c r="M4359">
        <f>IF((DST_123_ÜRETİM_İHTİYAÇ_RAPORU_BURAK_YENI1309[[#This Row],[SATINALMA]]*DST_123_ÜRETİM_İHTİYAÇ_RAPORU_BURAK_YENI1309[[#This Row],[BIRIM_FIYATLAR]])&lt;1,VALUE("0"),DST_123_ÜRETİM_İHTİYAÇ_RAPORU_BURAK_YENI1309[[#This Row],[SATINALMA]]*DST_123_ÜRETİM_İHTİYAÇ_RAPORU_BURAK_YENI1309[[#This Row],[BIRIM_FIYATLAR]])</f>
        <v>233.34</v>
      </c>
      <c r="N4359">
        <v>116.67</v>
      </c>
      <c r="O4359" t="s">
        <v>667</v>
      </c>
      <c r="P4359">
        <v>116.67</v>
      </c>
      <c r="Q4359" t="s">
        <v>177</v>
      </c>
    </row>
    <row r="4360" spans="1:17" x14ac:dyDescent="0.25">
      <c r="A4360" t="s">
        <v>1148</v>
      </c>
      <c r="B4360" t="s">
        <v>1056</v>
      </c>
      <c r="C4360" t="s">
        <v>175</v>
      </c>
      <c r="D4360" t="s">
        <v>778</v>
      </c>
      <c r="E4360" t="s">
        <v>132</v>
      </c>
      <c r="F4360">
        <v>14</v>
      </c>
      <c r="G4360" t="s">
        <v>176</v>
      </c>
      <c r="H4360">
        <v>0</v>
      </c>
      <c r="I4360">
        <v>564</v>
      </c>
      <c r="J4360" s="10">
        <v>98</v>
      </c>
      <c r="K4360" s="10">
        <f>SUMIFS(F:F,D:D,DST_123_ÜRETİM_İHTİYAÇ_RAPORU_BURAK_YENI1309[[#This Row],[ALT_KOD]])-(SUMIFS(H:H,D:D,DST_123_ÜRETİM_İHTİYAÇ_RAPORU_BURAK_YENI1309[[#This Row],[ALT_KOD]])+AVERAGEIFS(I:I,D:D,DST_123_ÜRETİM_İHTİYAÇ_RAPORU_BURAK_YENI1309[[#This Row],[ALT_KOD]])+AVERAGEIFS(L:L,D:D,DST_123_ÜRETİM_İHTİYAÇ_RAPORU_BURAK_YENI1309[[#This Row],[ALT_KOD]]))</f>
        <v>-250</v>
      </c>
      <c r="L4360">
        <v>0</v>
      </c>
      <c r="M4360">
        <f>IF((DST_123_ÜRETİM_İHTİYAÇ_RAPORU_BURAK_YENI1309[[#This Row],[SATINALMA]]*DST_123_ÜRETİM_İHTİYAÇ_RAPORU_BURAK_YENI1309[[#This Row],[BIRIM_FIYATLAR]])&lt;1,VALUE("0"),DST_123_ÜRETİM_İHTİYAÇ_RAPORU_BURAK_YENI1309[[#This Row],[SATINALMA]]*DST_123_ÜRETİM_İHTİYAÇ_RAPORU_BURAK_YENI1309[[#This Row],[BIRIM_FIYATLAR]])</f>
        <v>0</v>
      </c>
      <c r="N4360">
        <v>6.67</v>
      </c>
      <c r="O4360" t="s">
        <v>1194</v>
      </c>
      <c r="P4360">
        <v>93.38</v>
      </c>
      <c r="Q4360" t="s">
        <v>221</v>
      </c>
    </row>
    <row r="4361" spans="1:17" x14ac:dyDescent="0.25">
      <c r="A4361" t="s">
        <v>1150</v>
      </c>
      <c r="B4361" t="s">
        <v>1145</v>
      </c>
      <c r="C4361" t="s">
        <v>175</v>
      </c>
      <c r="D4361" t="s">
        <v>603</v>
      </c>
      <c r="E4361" t="s">
        <v>604</v>
      </c>
      <c r="F4361">
        <v>2</v>
      </c>
      <c r="G4361" t="s">
        <v>176</v>
      </c>
      <c r="H4361">
        <v>0</v>
      </c>
      <c r="I4361">
        <v>5</v>
      </c>
      <c r="J4361" s="10">
        <v>10</v>
      </c>
      <c r="K4361" s="10">
        <f>SUMIFS(F:F,D:D,DST_123_ÜRETİM_İHTİYAÇ_RAPORU_BURAK_YENI1309[[#This Row],[ALT_KOD]])-(SUMIFS(H:H,D:D,DST_123_ÜRETİM_İHTİYAÇ_RAPORU_BURAK_YENI1309[[#This Row],[ALT_KOD]])+AVERAGEIFS(I:I,D:D,DST_123_ÜRETİM_İHTİYAÇ_RAPORU_BURAK_YENI1309[[#This Row],[ALT_KOD]])+AVERAGEIFS(L:L,D:D,DST_123_ÜRETİM_İHTİYAÇ_RAPORU_BURAK_YENI1309[[#This Row],[ALT_KOD]]))</f>
        <v>11</v>
      </c>
      <c r="L4361">
        <v>0</v>
      </c>
      <c r="M4361">
        <f>IF((DST_123_ÜRETİM_İHTİYAÇ_RAPORU_BURAK_YENI1309[[#This Row],[SATINALMA]]*DST_123_ÜRETİM_İHTİYAÇ_RAPORU_BURAK_YENI1309[[#This Row],[BIRIM_FIYATLAR]])&lt;1,VALUE("0"),DST_123_ÜRETİM_İHTİYAÇ_RAPORU_BURAK_YENI1309[[#This Row],[SATINALMA]]*DST_123_ÜRETİM_İHTİYAÇ_RAPORU_BURAK_YENI1309[[#This Row],[BIRIM_FIYATLAR]])</f>
        <v>832.04</v>
      </c>
      <c r="N4361">
        <v>75.64</v>
      </c>
      <c r="O4361" t="s">
        <v>636</v>
      </c>
      <c r="P4361">
        <v>151.28</v>
      </c>
      <c r="Q4361" t="s">
        <v>177</v>
      </c>
    </row>
    <row r="4362" spans="1:17" x14ac:dyDescent="0.25">
      <c r="A4362" t="s">
        <v>1149</v>
      </c>
      <c r="B4362" t="s">
        <v>1145</v>
      </c>
      <c r="C4362" t="s">
        <v>175</v>
      </c>
      <c r="D4362" t="s">
        <v>732</v>
      </c>
      <c r="E4362" t="s">
        <v>733</v>
      </c>
      <c r="F4362">
        <v>16</v>
      </c>
      <c r="G4362" t="s">
        <v>185</v>
      </c>
      <c r="H4362">
        <v>0</v>
      </c>
      <c r="I4362">
        <v>0</v>
      </c>
      <c r="J4362" s="10">
        <v>62.999999999999986</v>
      </c>
      <c r="K4362" s="10">
        <f>SUMIFS(F:F,D:D,DST_123_ÜRETİM_İHTİYAÇ_RAPORU_BURAK_YENI1309[[#This Row],[ALT_KOD]])-(SUMIFS(H:H,D:D,DST_123_ÜRETİM_İHTİYAÇ_RAPORU_BURAK_YENI1309[[#This Row],[ALT_KOD]])+AVERAGEIFS(I:I,D:D,DST_123_ÜRETİM_İHTİYAÇ_RAPORU_BURAK_YENI1309[[#This Row],[ALT_KOD]])+AVERAGEIFS(L:L,D:D,DST_123_ÜRETİM_İHTİYAÇ_RAPORU_BURAK_YENI1309[[#This Row],[ALT_KOD]]))</f>
        <v>196</v>
      </c>
      <c r="L4362">
        <v>0</v>
      </c>
      <c r="M4362">
        <f>IF((DST_123_ÜRETİM_İHTİYAÇ_RAPORU_BURAK_YENI1309[[#This Row],[SATINALMA]]*DST_123_ÜRETİM_İHTİYAÇ_RAPORU_BURAK_YENI1309[[#This Row],[BIRIM_FIYATLAR]])&lt;1,VALUE("0"),DST_123_ÜRETİM_İHTİYAÇ_RAPORU_BURAK_YENI1309[[#This Row],[SATINALMA]]*DST_123_ÜRETİM_İHTİYAÇ_RAPORU_BURAK_YENI1309[[#This Row],[BIRIM_FIYATLAR]])</f>
        <v>215186.44000000003</v>
      </c>
      <c r="N4362">
        <v>1097.8900000000001</v>
      </c>
      <c r="O4362" t="s">
        <v>648</v>
      </c>
      <c r="P4362">
        <v>17566.240000000002</v>
      </c>
      <c r="Q4362" t="s">
        <v>183</v>
      </c>
    </row>
    <row r="4363" spans="1:17" x14ac:dyDescent="0.25">
      <c r="A4363" t="s">
        <v>1146</v>
      </c>
      <c r="B4363" t="s">
        <v>1145</v>
      </c>
      <c r="C4363" t="s">
        <v>175</v>
      </c>
      <c r="D4363" t="s">
        <v>732</v>
      </c>
      <c r="E4363" t="s">
        <v>733</v>
      </c>
      <c r="F4363">
        <v>16</v>
      </c>
      <c r="G4363" t="s">
        <v>185</v>
      </c>
      <c r="H4363">
        <v>0</v>
      </c>
      <c r="I4363">
        <v>0</v>
      </c>
      <c r="J4363" s="10">
        <v>62.999999999999986</v>
      </c>
      <c r="K4363" s="10">
        <f>SUMIFS(F:F,D:D,DST_123_ÜRETİM_İHTİYAÇ_RAPORU_BURAK_YENI1309[[#This Row],[ALT_KOD]])-(SUMIFS(H:H,D:D,DST_123_ÜRETİM_İHTİYAÇ_RAPORU_BURAK_YENI1309[[#This Row],[ALT_KOD]])+AVERAGEIFS(I:I,D:D,DST_123_ÜRETİM_İHTİYAÇ_RAPORU_BURAK_YENI1309[[#This Row],[ALT_KOD]])+AVERAGEIFS(L:L,D:D,DST_123_ÜRETİM_İHTİYAÇ_RAPORU_BURAK_YENI1309[[#This Row],[ALT_KOD]]))</f>
        <v>196</v>
      </c>
      <c r="L4363">
        <v>0</v>
      </c>
      <c r="M4363">
        <f>IF((DST_123_ÜRETİM_İHTİYAÇ_RAPORU_BURAK_YENI1309[[#This Row],[SATINALMA]]*DST_123_ÜRETİM_İHTİYAÇ_RAPORU_BURAK_YENI1309[[#This Row],[BIRIM_FIYATLAR]])&lt;1,VALUE("0"),DST_123_ÜRETİM_İHTİYAÇ_RAPORU_BURAK_YENI1309[[#This Row],[SATINALMA]]*DST_123_ÜRETİM_İHTİYAÇ_RAPORU_BURAK_YENI1309[[#This Row],[BIRIM_FIYATLAR]])</f>
        <v>215186.44000000003</v>
      </c>
      <c r="N4363">
        <v>1097.8900000000001</v>
      </c>
      <c r="O4363" t="s">
        <v>648</v>
      </c>
      <c r="P4363">
        <v>17566.240000000002</v>
      </c>
      <c r="Q4363" t="s">
        <v>183</v>
      </c>
    </row>
    <row r="4364" spans="1:17" x14ac:dyDescent="0.25">
      <c r="A4364" t="s">
        <v>1150</v>
      </c>
      <c r="B4364" t="s">
        <v>1145</v>
      </c>
      <c r="C4364" t="s">
        <v>175</v>
      </c>
      <c r="D4364" t="s">
        <v>716</v>
      </c>
      <c r="E4364" t="s">
        <v>717</v>
      </c>
      <c r="F4364">
        <v>0.2</v>
      </c>
      <c r="G4364" t="s">
        <v>179</v>
      </c>
      <c r="H4364">
        <v>0</v>
      </c>
      <c r="I4364">
        <v>200</v>
      </c>
      <c r="J4364" s="10">
        <v>85.649999999999977</v>
      </c>
      <c r="K4364" s="10">
        <f>SUMIFS(F:F,D:D,DST_123_ÜRETİM_İHTİYAÇ_RAPORU_BURAK_YENI1309[[#This Row],[ALT_KOD]])-(SUMIFS(H:H,D:D,DST_123_ÜRETİM_İHTİYAÇ_RAPORU_BURAK_YENI1309[[#This Row],[ALT_KOD]])+AVERAGEIFS(I:I,D:D,DST_123_ÜRETİM_İHTİYAÇ_RAPORU_BURAK_YENI1309[[#This Row],[ALT_KOD]])+AVERAGEIFS(L:L,D:D,DST_123_ÜRETİM_İHTİYAÇ_RAPORU_BURAK_YENI1309[[#This Row],[ALT_KOD]]))</f>
        <v>-196.4</v>
      </c>
      <c r="L4364">
        <v>0</v>
      </c>
      <c r="M4364">
        <f>IF((DST_123_ÜRETİM_İHTİYAÇ_RAPORU_BURAK_YENI1309[[#This Row],[SATINALMA]]*DST_123_ÜRETİM_İHTİYAÇ_RAPORU_BURAK_YENI1309[[#This Row],[BIRIM_FIYATLAR]])&lt;1,VALUE("0"),DST_123_ÜRETİM_İHTİYAÇ_RAPORU_BURAK_YENI1309[[#This Row],[SATINALMA]]*DST_123_ÜRETİM_İHTİYAÇ_RAPORU_BURAK_YENI1309[[#This Row],[BIRIM_FIYATLAR]])</f>
        <v>0</v>
      </c>
      <c r="N4364">
        <v>3.62</v>
      </c>
      <c r="O4364" t="s">
        <v>826</v>
      </c>
      <c r="P4364">
        <v>0.72400000000000009</v>
      </c>
      <c r="Q4364" t="s">
        <v>221</v>
      </c>
    </row>
    <row r="4365" spans="1:17" x14ac:dyDescent="0.25">
      <c r="A4365" t="s">
        <v>1143</v>
      </c>
      <c r="B4365" t="s">
        <v>1056</v>
      </c>
      <c r="C4365" t="s">
        <v>175</v>
      </c>
      <c r="D4365" t="s">
        <v>732</v>
      </c>
      <c r="E4365" t="s">
        <v>733</v>
      </c>
      <c r="F4365">
        <v>18</v>
      </c>
      <c r="G4365" t="s">
        <v>185</v>
      </c>
      <c r="H4365">
        <v>0</v>
      </c>
      <c r="I4365">
        <v>0</v>
      </c>
      <c r="J4365" s="10">
        <v>62.999999999999986</v>
      </c>
      <c r="K4365" s="10">
        <f>SUMIFS(F:F,D:D,DST_123_ÜRETİM_İHTİYAÇ_RAPORU_BURAK_YENI1309[[#This Row],[ALT_KOD]])-(SUMIFS(H:H,D:D,DST_123_ÜRETİM_İHTİYAÇ_RAPORU_BURAK_YENI1309[[#This Row],[ALT_KOD]])+AVERAGEIFS(I:I,D:D,DST_123_ÜRETİM_İHTİYAÇ_RAPORU_BURAK_YENI1309[[#This Row],[ALT_KOD]])+AVERAGEIFS(L:L,D:D,DST_123_ÜRETİM_İHTİYAÇ_RAPORU_BURAK_YENI1309[[#This Row],[ALT_KOD]]))</f>
        <v>196</v>
      </c>
      <c r="L4365">
        <v>0</v>
      </c>
      <c r="M4365">
        <f>IF((DST_123_ÜRETİM_İHTİYAÇ_RAPORU_BURAK_YENI1309[[#This Row],[SATINALMA]]*DST_123_ÜRETİM_İHTİYAÇ_RAPORU_BURAK_YENI1309[[#This Row],[BIRIM_FIYATLAR]])&lt;1,VALUE("0"),DST_123_ÜRETİM_İHTİYAÇ_RAPORU_BURAK_YENI1309[[#This Row],[SATINALMA]]*DST_123_ÜRETİM_İHTİYAÇ_RAPORU_BURAK_YENI1309[[#This Row],[BIRIM_FIYATLAR]])</f>
        <v>215186.44000000003</v>
      </c>
      <c r="N4365">
        <v>1097.8900000000001</v>
      </c>
      <c r="O4365" t="s">
        <v>648</v>
      </c>
      <c r="P4365">
        <v>19762.02</v>
      </c>
      <c r="Q4365" t="s">
        <v>183</v>
      </c>
    </row>
    <row r="4366" spans="1:17" x14ac:dyDescent="0.25">
      <c r="A4366" t="s">
        <v>1059</v>
      </c>
      <c r="B4366" t="s">
        <v>1058</v>
      </c>
      <c r="C4366" t="s">
        <v>175</v>
      </c>
      <c r="D4366" t="s">
        <v>732</v>
      </c>
      <c r="E4366" t="s">
        <v>733</v>
      </c>
      <c r="F4366">
        <v>14</v>
      </c>
      <c r="G4366" t="s">
        <v>185</v>
      </c>
      <c r="H4366">
        <v>0</v>
      </c>
      <c r="I4366">
        <v>0</v>
      </c>
      <c r="J4366" s="10">
        <v>62.999999999999986</v>
      </c>
      <c r="K4366" s="10">
        <f>SUMIFS(F:F,D:D,DST_123_ÜRETİM_İHTİYAÇ_RAPORU_BURAK_YENI1309[[#This Row],[ALT_KOD]])-(SUMIFS(H:H,D:D,DST_123_ÜRETİM_İHTİYAÇ_RAPORU_BURAK_YENI1309[[#This Row],[ALT_KOD]])+AVERAGEIFS(I:I,D:D,DST_123_ÜRETİM_İHTİYAÇ_RAPORU_BURAK_YENI1309[[#This Row],[ALT_KOD]])+AVERAGEIFS(L:L,D:D,DST_123_ÜRETİM_İHTİYAÇ_RAPORU_BURAK_YENI1309[[#This Row],[ALT_KOD]]))</f>
        <v>196</v>
      </c>
      <c r="L4366">
        <v>0</v>
      </c>
      <c r="M4366">
        <f>IF((DST_123_ÜRETİM_İHTİYAÇ_RAPORU_BURAK_YENI1309[[#This Row],[SATINALMA]]*DST_123_ÜRETİM_İHTİYAÇ_RAPORU_BURAK_YENI1309[[#This Row],[BIRIM_FIYATLAR]])&lt;1,VALUE("0"),DST_123_ÜRETİM_İHTİYAÇ_RAPORU_BURAK_YENI1309[[#This Row],[SATINALMA]]*DST_123_ÜRETİM_İHTİYAÇ_RAPORU_BURAK_YENI1309[[#This Row],[BIRIM_FIYATLAR]])</f>
        <v>215186.44000000003</v>
      </c>
      <c r="N4366">
        <v>1097.8900000000001</v>
      </c>
      <c r="O4366" t="s">
        <v>648</v>
      </c>
      <c r="P4366">
        <v>15370.460000000001</v>
      </c>
      <c r="Q4366" t="s">
        <v>183</v>
      </c>
    </row>
    <row r="4367" spans="1:17" x14ac:dyDescent="0.25">
      <c r="A4367" t="s">
        <v>1143</v>
      </c>
      <c r="B4367" t="s">
        <v>1056</v>
      </c>
      <c r="C4367" t="s">
        <v>175</v>
      </c>
      <c r="D4367" t="s">
        <v>1067</v>
      </c>
      <c r="E4367" t="s">
        <v>1068</v>
      </c>
      <c r="F4367">
        <v>4</v>
      </c>
      <c r="G4367" t="s">
        <v>179</v>
      </c>
      <c r="H4367">
        <v>0</v>
      </c>
      <c r="I4367">
        <v>100</v>
      </c>
      <c r="J4367" s="10">
        <v>84</v>
      </c>
      <c r="K4367" s="10">
        <f>SUMIFS(F:F,D:D,DST_123_ÜRETİM_İHTİYAÇ_RAPORU_BURAK_YENI1309[[#This Row],[ALT_KOD]])-(SUMIFS(H:H,D:D,DST_123_ÜRETİM_İHTİYAÇ_RAPORU_BURAK_YENI1309[[#This Row],[ALT_KOD]])+AVERAGEIFS(I:I,D:D,DST_123_ÜRETİM_İHTİYAÇ_RAPORU_BURAK_YENI1309[[#This Row],[ALT_KOD]])+AVERAGEIFS(L:L,D:D,DST_123_ÜRETİM_İHTİYAÇ_RAPORU_BURAK_YENI1309[[#This Row],[ALT_KOD]]))</f>
        <v>-32</v>
      </c>
      <c r="L4367">
        <v>0</v>
      </c>
      <c r="M4367">
        <f>IF((DST_123_ÜRETİM_İHTİYAÇ_RAPORU_BURAK_YENI1309[[#This Row],[SATINALMA]]*DST_123_ÜRETİM_İHTİYAÇ_RAPORU_BURAK_YENI1309[[#This Row],[BIRIM_FIYATLAR]])&lt;1,VALUE("0"),DST_123_ÜRETİM_İHTİYAÇ_RAPORU_BURAK_YENI1309[[#This Row],[SATINALMA]]*DST_123_ÜRETİM_İHTİYAÇ_RAPORU_BURAK_YENI1309[[#This Row],[BIRIM_FIYATLAR]])</f>
        <v>0</v>
      </c>
      <c r="N4367">
        <v>14.85</v>
      </c>
      <c r="O4367" t="s">
        <v>826</v>
      </c>
      <c r="P4367">
        <v>59.4</v>
      </c>
      <c r="Q4367" t="s">
        <v>221</v>
      </c>
    </row>
    <row r="4368" spans="1:17" x14ac:dyDescent="0.25">
      <c r="A4368" t="s">
        <v>1059</v>
      </c>
      <c r="B4368" t="s">
        <v>1058</v>
      </c>
      <c r="C4368" t="s">
        <v>175</v>
      </c>
      <c r="D4368" t="s">
        <v>716</v>
      </c>
      <c r="E4368" t="s">
        <v>717</v>
      </c>
      <c r="F4368">
        <v>0.2</v>
      </c>
      <c r="G4368" t="s">
        <v>179</v>
      </c>
      <c r="H4368">
        <v>0</v>
      </c>
      <c r="I4368">
        <v>200</v>
      </c>
      <c r="J4368" s="10">
        <v>85.649999999999977</v>
      </c>
      <c r="K4368" s="10">
        <f>SUMIFS(F:F,D:D,DST_123_ÜRETİM_İHTİYAÇ_RAPORU_BURAK_YENI1309[[#This Row],[ALT_KOD]])-(SUMIFS(H:H,D:D,DST_123_ÜRETİM_İHTİYAÇ_RAPORU_BURAK_YENI1309[[#This Row],[ALT_KOD]])+AVERAGEIFS(I:I,D:D,DST_123_ÜRETİM_İHTİYAÇ_RAPORU_BURAK_YENI1309[[#This Row],[ALT_KOD]])+AVERAGEIFS(L:L,D:D,DST_123_ÜRETİM_İHTİYAÇ_RAPORU_BURAK_YENI1309[[#This Row],[ALT_KOD]]))</f>
        <v>-196.4</v>
      </c>
      <c r="L4368">
        <v>0</v>
      </c>
      <c r="M4368">
        <f>IF((DST_123_ÜRETİM_İHTİYAÇ_RAPORU_BURAK_YENI1309[[#This Row],[SATINALMA]]*DST_123_ÜRETİM_İHTİYAÇ_RAPORU_BURAK_YENI1309[[#This Row],[BIRIM_FIYATLAR]])&lt;1,VALUE("0"),DST_123_ÜRETİM_İHTİYAÇ_RAPORU_BURAK_YENI1309[[#This Row],[SATINALMA]]*DST_123_ÜRETİM_İHTİYAÇ_RAPORU_BURAK_YENI1309[[#This Row],[BIRIM_FIYATLAR]])</f>
        <v>0</v>
      </c>
      <c r="N4368">
        <v>3.62</v>
      </c>
      <c r="O4368" t="s">
        <v>826</v>
      </c>
      <c r="P4368">
        <v>0.72400000000000009</v>
      </c>
      <c r="Q4368" t="s">
        <v>221</v>
      </c>
    </row>
    <row r="4369" spans="1:17" x14ac:dyDescent="0.25">
      <c r="A4369" t="s">
        <v>1095</v>
      </c>
      <c r="B4369" t="s">
        <v>1096</v>
      </c>
      <c r="C4369" t="s">
        <v>175</v>
      </c>
      <c r="D4369" t="s">
        <v>716</v>
      </c>
      <c r="E4369" t="s">
        <v>717</v>
      </c>
      <c r="F4369">
        <v>0.2</v>
      </c>
      <c r="G4369" t="s">
        <v>179</v>
      </c>
      <c r="H4369">
        <v>0</v>
      </c>
      <c r="I4369">
        <v>200</v>
      </c>
      <c r="J4369" s="10">
        <v>85.649999999999977</v>
      </c>
      <c r="K4369" s="10">
        <f>SUMIFS(F:F,D:D,DST_123_ÜRETİM_İHTİYAÇ_RAPORU_BURAK_YENI1309[[#This Row],[ALT_KOD]])-(SUMIFS(H:H,D:D,DST_123_ÜRETİM_İHTİYAÇ_RAPORU_BURAK_YENI1309[[#This Row],[ALT_KOD]])+AVERAGEIFS(I:I,D:D,DST_123_ÜRETİM_İHTİYAÇ_RAPORU_BURAK_YENI1309[[#This Row],[ALT_KOD]])+AVERAGEIFS(L:L,D:D,DST_123_ÜRETİM_İHTİYAÇ_RAPORU_BURAK_YENI1309[[#This Row],[ALT_KOD]]))</f>
        <v>-196.4</v>
      </c>
      <c r="L4369">
        <v>0</v>
      </c>
      <c r="M4369">
        <f>IF((DST_123_ÜRETİM_İHTİYAÇ_RAPORU_BURAK_YENI1309[[#This Row],[SATINALMA]]*DST_123_ÜRETİM_İHTİYAÇ_RAPORU_BURAK_YENI1309[[#This Row],[BIRIM_FIYATLAR]])&lt;1,VALUE("0"),DST_123_ÜRETİM_İHTİYAÇ_RAPORU_BURAK_YENI1309[[#This Row],[SATINALMA]]*DST_123_ÜRETİM_İHTİYAÇ_RAPORU_BURAK_YENI1309[[#This Row],[BIRIM_FIYATLAR]])</f>
        <v>0</v>
      </c>
      <c r="N4369">
        <v>3.62</v>
      </c>
      <c r="O4369" t="s">
        <v>826</v>
      </c>
      <c r="P4369">
        <v>0.72400000000000009</v>
      </c>
      <c r="Q4369" t="s">
        <v>221</v>
      </c>
    </row>
    <row r="4370" spans="1:17" x14ac:dyDescent="0.25">
      <c r="A4370" t="s">
        <v>1143</v>
      </c>
      <c r="B4370" t="s">
        <v>1056</v>
      </c>
      <c r="C4370" t="s">
        <v>175</v>
      </c>
      <c r="D4370" t="s">
        <v>738</v>
      </c>
      <c r="E4370" t="s">
        <v>739</v>
      </c>
      <c r="F4370">
        <v>1</v>
      </c>
      <c r="G4370" t="s">
        <v>176</v>
      </c>
      <c r="H4370">
        <v>0</v>
      </c>
      <c r="I4370">
        <v>10</v>
      </c>
      <c r="J4370" s="10">
        <v>16</v>
      </c>
      <c r="K4370" s="10">
        <f>SUMIFS(F:F,D:D,DST_123_ÜRETİM_İHTİYAÇ_RAPORU_BURAK_YENI1309[[#This Row],[ALT_KOD]])-(SUMIFS(H:H,D:D,DST_123_ÜRETİM_İHTİYAÇ_RAPORU_BURAK_YENI1309[[#This Row],[ALT_KOD]])+AVERAGEIFS(I:I,D:D,DST_123_ÜRETİM_İHTİYAÇ_RAPORU_BURAK_YENI1309[[#This Row],[ALT_KOD]])+AVERAGEIFS(L:L,D:D,DST_123_ÜRETİM_İHTİYAÇ_RAPORU_BURAK_YENI1309[[#This Row],[ALT_KOD]]))</f>
        <v>2</v>
      </c>
      <c r="L4370">
        <v>0</v>
      </c>
      <c r="M4370">
        <f>IF((DST_123_ÜRETİM_İHTİYAÇ_RAPORU_BURAK_YENI1309[[#This Row],[SATINALMA]]*DST_123_ÜRETİM_İHTİYAÇ_RAPORU_BURAK_YENI1309[[#This Row],[BIRIM_FIYATLAR]])&lt;1,VALUE("0"),DST_123_ÜRETİM_İHTİYAÇ_RAPORU_BURAK_YENI1309[[#This Row],[SATINALMA]]*DST_123_ÜRETİM_İHTİYAÇ_RAPORU_BURAK_YENI1309[[#This Row],[BIRIM_FIYATLAR]])</f>
        <v>233.34</v>
      </c>
      <c r="N4370">
        <v>116.67</v>
      </c>
      <c r="O4370" t="s">
        <v>667</v>
      </c>
      <c r="P4370">
        <v>116.67</v>
      </c>
      <c r="Q4370" t="s">
        <v>177</v>
      </c>
    </row>
    <row r="4371" spans="1:17" x14ac:dyDescent="0.25">
      <c r="A4371" t="s">
        <v>1095</v>
      </c>
      <c r="B4371" t="s">
        <v>1096</v>
      </c>
      <c r="C4371" t="s">
        <v>175</v>
      </c>
      <c r="D4371" t="s">
        <v>781</v>
      </c>
      <c r="E4371" t="s">
        <v>782</v>
      </c>
      <c r="F4371">
        <v>1</v>
      </c>
      <c r="G4371" t="s">
        <v>176</v>
      </c>
      <c r="H4371">
        <v>0</v>
      </c>
      <c r="I4371">
        <v>14</v>
      </c>
      <c r="J4371" s="10">
        <v>9</v>
      </c>
      <c r="K4371" s="10">
        <f>SUMIFS(F:F,D:D,DST_123_ÜRETİM_İHTİYAÇ_RAPORU_BURAK_YENI1309[[#This Row],[ALT_KOD]])-(SUMIFS(H:H,D:D,DST_123_ÜRETİM_İHTİYAÇ_RAPORU_BURAK_YENI1309[[#This Row],[ALT_KOD]])+AVERAGEIFS(I:I,D:D,DST_123_ÜRETİM_İHTİYAÇ_RAPORU_BURAK_YENI1309[[#This Row],[ALT_KOD]])+AVERAGEIFS(L:L,D:D,DST_123_ÜRETİM_İHTİYAÇ_RAPORU_BURAK_YENI1309[[#This Row],[ALT_KOD]]))</f>
        <v>-3</v>
      </c>
      <c r="L4371">
        <v>0</v>
      </c>
      <c r="M4371">
        <f>IF((DST_123_ÜRETİM_İHTİYAÇ_RAPORU_BURAK_YENI1309[[#This Row],[SATINALMA]]*DST_123_ÜRETİM_İHTİYAÇ_RAPORU_BURAK_YENI1309[[#This Row],[BIRIM_FIYATLAR]])&lt;1,VALUE("0"),DST_123_ÜRETİM_İHTİYAÇ_RAPORU_BURAK_YENI1309[[#This Row],[SATINALMA]]*DST_123_ÜRETİM_İHTİYAÇ_RAPORU_BURAK_YENI1309[[#This Row],[BIRIM_FIYATLAR]])</f>
        <v>0</v>
      </c>
      <c r="N4371">
        <v>1020</v>
      </c>
      <c r="O4371" t="s">
        <v>289</v>
      </c>
      <c r="P4371">
        <v>1020</v>
      </c>
      <c r="Q4371" t="s">
        <v>178</v>
      </c>
    </row>
    <row r="4372" spans="1:17" x14ac:dyDescent="0.25">
      <c r="A4372" t="s">
        <v>1095</v>
      </c>
      <c r="B4372" t="s">
        <v>1096</v>
      </c>
      <c r="C4372" t="s">
        <v>175</v>
      </c>
      <c r="D4372" t="s">
        <v>778</v>
      </c>
      <c r="E4372" t="s">
        <v>132</v>
      </c>
      <c r="F4372">
        <v>10</v>
      </c>
      <c r="G4372" t="s">
        <v>176</v>
      </c>
      <c r="H4372">
        <v>0</v>
      </c>
      <c r="I4372">
        <v>564</v>
      </c>
      <c r="J4372" s="10">
        <v>98</v>
      </c>
      <c r="K4372" s="10">
        <f>SUMIFS(F:F,D:D,DST_123_ÜRETİM_İHTİYAÇ_RAPORU_BURAK_YENI1309[[#This Row],[ALT_KOD]])-(SUMIFS(H:H,D:D,DST_123_ÜRETİM_İHTİYAÇ_RAPORU_BURAK_YENI1309[[#This Row],[ALT_KOD]])+AVERAGEIFS(I:I,D:D,DST_123_ÜRETİM_İHTİYAÇ_RAPORU_BURAK_YENI1309[[#This Row],[ALT_KOD]])+AVERAGEIFS(L:L,D:D,DST_123_ÜRETİM_İHTİYAÇ_RAPORU_BURAK_YENI1309[[#This Row],[ALT_KOD]]))</f>
        <v>-250</v>
      </c>
      <c r="L4372">
        <v>0</v>
      </c>
      <c r="M4372">
        <f>IF((DST_123_ÜRETİM_İHTİYAÇ_RAPORU_BURAK_YENI1309[[#This Row],[SATINALMA]]*DST_123_ÜRETİM_İHTİYAÇ_RAPORU_BURAK_YENI1309[[#This Row],[BIRIM_FIYATLAR]])&lt;1,VALUE("0"),DST_123_ÜRETİM_İHTİYAÇ_RAPORU_BURAK_YENI1309[[#This Row],[SATINALMA]]*DST_123_ÜRETİM_İHTİYAÇ_RAPORU_BURAK_YENI1309[[#This Row],[BIRIM_FIYATLAR]])</f>
        <v>0</v>
      </c>
      <c r="N4372">
        <v>6.67</v>
      </c>
      <c r="O4372" t="s">
        <v>1194</v>
      </c>
      <c r="P4372">
        <v>66.7</v>
      </c>
      <c r="Q4372" t="s">
        <v>221</v>
      </c>
    </row>
    <row r="4373" spans="1:17" x14ac:dyDescent="0.25">
      <c r="A4373" t="s">
        <v>1064</v>
      </c>
      <c r="B4373" t="s">
        <v>1055</v>
      </c>
      <c r="C4373" t="s">
        <v>175</v>
      </c>
      <c r="D4373" t="s">
        <v>607</v>
      </c>
      <c r="E4373" t="s">
        <v>608</v>
      </c>
      <c r="F4373">
        <v>2</v>
      </c>
      <c r="G4373" t="s">
        <v>176</v>
      </c>
      <c r="H4373">
        <v>0</v>
      </c>
      <c r="I4373">
        <v>0</v>
      </c>
      <c r="J4373" s="10">
        <v>10</v>
      </c>
      <c r="K4373" s="10">
        <f>SUMIFS(F:F,D:D,DST_123_ÜRETİM_İHTİYAÇ_RAPORU_BURAK_YENI1309[[#This Row],[ALT_KOD]])-(SUMIFS(H:H,D:D,DST_123_ÜRETİM_İHTİYAÇ_RAPORU_BURAK_YENI1309[[#This Row],[ALT_KOD]])+AVERAGEIFS(I:I,D:D,DST_123_ÜRETİM_İHTİYAÇ_RAPORU_BURAK_YENI1309[[#This Row],[ALT_KOD]])+AVERAGEIFS(L:L,D:D,DST_123_ÜRETİM_İHTİYAÇ_RAPORU_BURAK_YENI1309[[#This Row],[ALT_KOD]]))</f>
        <v>24</v>
      </c>
      <c r="L4373">
        <v>0</v>
      </c>
      <c r="M4373">
        <f>IF((DST_123_ÜRETİM_İHTİYAÇ_RAPORU_BURAK_YENI1309[[#This Row],[SATINALMA]]*DST_123_ÜRETİM_İHTİYAÇ_RAPORU_BURAK_YENI1309[[#This Row],[BIRIM_FIYATLAR]])&lt;1,VALUE("0"),DST_123_ÜRETİM_İHTİYAÇ_RAPORU_BURAK_YENI1309[[#This Row],[SATINALMA]]*DST_123_ÜRETİM_İHTİYAÇ_RAPORU_BURAK_YENI1309[[#This Row],[BIRIM_FIYATLAR]])</f>
        <v>1358.4</v>
      </c>
      <c r="N4373">
        <v>56.6</v>
      </c>
      <c r="O4373" t="s">
        <v>636</v>
      </c>
      <c r="P4373">
        <v>113.2</v>
      </c>
      <c r="Q4373" t="s">
        <v>177</v>
      </c>
    </row>
    <row r="4374" spans="1:17" x14ac:dyDescent="0.25">
      <c r="A4374" t="s">
        <v>1064</v>
      </c>
      <c r="B4374" t="s">
        <v>1055</v>
      </c>
      <c r="C4374" t="s">
        <v>175</v>
      </c>
      <c r="D4374" t="s">
        <v>480</v>
      </c>
      <c r="E4374" t="s">
        <v>481</v>
      </c>
      <c r="F4374">
        <v>35</v>
      </c>
      <c r="G4374" t="s">
        <v>176</v>
      </c>
      <c r="H4374">
        <v>0</v>
      </c>
      <c r="I4374">
        <v>442</v>
      </c>
      <c r="J4374" s="10">
        <v>0</v>
      </c>
      <c r="K4374" s="10">
        <f>SUMIFS(F:F,D:D,DST_123_ÜRETİM_İHTİYAÇ_RAPORU_BURAK_YENI1309[[#This Row],[ALT_KOD]])-(SUMIFS(H:H,D:D,DST_123_ÜRETİM_İHTİYAÇ_RAPORU_BURAK_YENI1309[[#This Row],[ALT_KOD]])+AVERAGEIFS(I:I,D:D,DST_123_ÜRETİM_İHTİYAÇ_RAPORU_BURAK_YENI1309[[#This Row],[ALT_KOD]])+AVERAGEIFS(L:L,D:D,DST_123_ÜRETİM_İHTİYAÇ_RAPORU_BURAK_YENI1309[[#This Row],[ALT_KOD]]))</f>
        <v>-64</v>
      </c>
      <c r="L4374">
        <v>0</v>
      </c>
      <c r="M4374">
        <f>IF((DST_123_ÜRETİM_İHTİYAÇ_RAPORU_BURAK_YENI1309[[#This Row],[SATINALMA]]*DST_123_ÜRETİM_İHTİYAÇ_RAPORU_BURAK_YENI1309[[#This Row],[BIRIM_FIYATLAR]])&lt;1,VALUE("0"),DST_123_ÜRETİM_İHTİYAÇ_RAPORU_BURAK_YENI1309[[#This Row],[SATINALMA]]*DST_123_ÜRETİM_İHTİYAÇ_RAPORU_BURAK_YENI1309[[#This Row],[BIRIM_FIYATLAR]])</f>
        <v>0</v>
      </c>
      <c r="N4374">
        <v>9.35</v>
      </c>
      <c r="O4374" t="s">
        <v>882</v>
      </c>
      <c r="P4374">
        <v>327.25</v>
      </c>
      <c r="Q4374" t="s">
        <v>180</v>
      </c>
    </row>
    <row r="4375" spans="1:17" x14ac:dyDescent="0.25">
      <c r="A4375" t="s">
        <v>1098</v>
      </c>
      <c r="B4375" t="s">
        <v>1096</v>
      </c>
      <c r="C4375" t="s">
        <v>175</v>
      </c>
      <c r="D4375" t="s">
        <v>480</v>
      </c>
      <c r="E4375" t="s">
        <v>481</v>
      </c>
      <c r="F4375">
        <v>35</v>
      </c>
      <c r="G4375" t="s">
        <v>176</v>
      </c>
      <c r="H4375">
        <v>0</v>
      </c>
      <c r="I4375">
        <v>442</v>
      </c>
      <c r="J4375" s="10">
        <v>0</v>
      </c>
      <c r="K4375" s="10">
        <f>SUMIFS(F:F,D:D,DST_123_ÜRETİM_İHTİYAÇ_RAPORU_BURAK_YENI1309[[#This Row],[ALT_KOD]])-(SUMIFS(H:H,D:D,DST_123_ÜRETİM_İHTİYAÇ_RAPORU_BURAK_YENI1309[[#This Row],[ALT_KOD]])+AVERAGEIFS(I:I,D:D,DST_123_ÜRETİM_İHTİYAÇ_RAPORU_BURAK_YENI1309[[#This Row],[ALT_KOD]])+AVERAGEIFS(L:L,D:D,DST_123_ÜRETİM_İHTİYAÇ_RAPORU_BURAK_YENI1309[[#This Row],[ALT_KOD]]))</f>
        <v>-64</v>
      </c>
      <c r="L4375">
        <v>0</v>
      </c>
      <c r="M4375">
        <f>IF((DST_123_ÜRETİM_İHTİYAÇ_RAPORU_BURAK_YENI1309[[#This Row],[SATINALMA]]*DST_123_ÜRETİM_İHTİYAÇ_RAPORU_BURAK_YENI1309[[#This Row],[BIRIM_FIYATLAR]])&lt;1,VALUE("0"),DST_123_ÜRETİM_İHTİYAÇ_RAPORU_BURAK_YENI1309[[#This Row],[SATINALMA]]*DST_123_ÜRETİM_İHTİYAÇ_RAPORU_BURAK_YENI1309[[#This Row],[BIRIM_FIYATLAR]])</f>
        <v>0</v>
      </c>
      <c r="N4375">
        <v>9.35</v>
      </c>
      <c r="O4375" t="s">
        <v>882</v>
      </c>
      <c r="P4375">
        <v>327.25</v>
      </c>
      <c r="Q4375" t="s">
        <v>180</v>
      </c>
    </row>
    <row r="4376" spans="1:17" x14ac:dyDescent="0.25">
      <c r="A4376" t="s">
        <v>1196</v>
      </c>
      <c r="B4376" t="s">
        <v>1197</v>
      </c>
      <c r="C4376" t="s">
        <v>175</v>
      </c>
      <c r="D4376" t="s">
        <v>448</v>
      </c>
      <c r="E4376" t="s">
        <v>449</v>
      </c>
      <c r="F4376">
        <v>2</v>
      </c>
      <c r="G4376" t="s">
        <v>176</v>
      </c>
      <c r="H4376">
        <v>0</v>
      </c>
      <c r="I4376">
        <v>27</v>
      </c>
      <c r="J4376" s="10">
        <v>16</v>
      </c>
      <c r="K4376" s="10">
        <f>SUMIFS(F:F,D:D,DST_123_ÜRETİM_İHTİYAÇ_RAPORU_BURAK_YENI1309[[#This Row],[ALT_KOD]])-(SUMIFS(H:H,D:D,DST_123_ÜRETİM_İHTİYAÇ_RAPORU_BURAK_YENI1309[[#This Row],[ALT_KOD]])+AVERAGEIFS(I:I,D:D,DST_123_ÜRETİM_İHTİYAÇ_RAPORU_BURAK_YENI1309[[#This Row],[ALT_KOD]])+AVERAGEIFS(L:L,D:D,DST_123_ÜRETİM_İHTİYAÇ_RAPORU_BURAK_YENI1309[[#This Row],[ALT_KOD]]))</f>
        <v>-3</v>
      </c>
      <c r="L4376">
        <v>0</v>
      </c>
      <c r="M4376">
        <f>IF((DST_123_ÜRETİM_İHTİYAÇ_RAPORU_BURAK_YENI1309[[#This Row],[SATINALMA]]*DST_123_ÜRETİM_İHTİYAÇ_RAPORU_BURAK_YENI1309[[#This Row],[BIRIM_FIYATLAR]])&lt;1,VALUE("0"),DST_123_ÜRETİM_İHTİYAÇ_RAPORU_BURAK_YENI1309[[#This Row],[SATINALMA]]*DST_123_ÜRETİM_İHTİYAÇ_RAPORU_BURAK_YENI1309[[#This Row],[BIRIM_FIYATLAR]])</f>
        <v>0</v>
      </c>
      <c r="N4376">
        <v>66.23</v>
      </c>
      <c r="O4376" t="s">
        <v>227</v>
      </c>
      <c r="P4376">
        <v>132.46</v>
      </c>
      <c r="Q4376" t="s">
        <v>221</v>
      </c>
    </row>
    <row r="4377" spans="1:17" x14ac:dyDescent="0.25">
      <c r="A4377" t="s">
        <v>1098</v>
      </c>
      <c r="B4377" t="s">
        <v>1096</v>
      </c>
      <c r="C4377" t="s">
        <v>175</v>
      </c>
      <c r="D4377" t="s">
        <v>448</v>
      </c>
      <c r="E4377" t="s">
        <v>449</v>
      </c>
      <c r="F4377">
        <v>2</v>
      </c>
      <c r="G4377" t="s">
        <v>176</v>
      </c>
      <c r="H4377">
        <v>0</v>
      </c>
      <c r="I4377">
        <v>27</v>
      </c>
      <c r="J4377" s="10">
        <v>16</v>
      </c>
      <c r="K4377" s="10">
        <f>SUMIFS(F:F,D:D,DST_123_ÜRETİM_İHTİYAÇ_RAPORU_BURAK_YENI1309[[#This Row],[ALT_KOD]])-(SUMIFS(H:H,D:D,DST_123_ÜRETİM_İHTİYAÇ_RAPORU_BURAK_YENI1309[[#This Row],[ALT_KOD]])+AVERAGEIFS(I:I,D:D,DST_123_ÜRETİM_İHTİYAÇ_RAPORU_BURAK_YENI1309[[#This Row],[ALT_KOD]])+AVERAGEIFS(L:L,D:D,DST_123_ÜRETİM_İHTİYAÇ_RAPORU_BURAK_YENI1309[[#This Row],[ALT_KOD]]))</f>
        <v>-3</v>
      </c>
      <c r="L4377">
        <v>0</v>
      </c>
      <c r="M4377">
        <f>IF((DST_123_ÜRETİM_İHTİYAÇ_RAPORU_BURAK_YENI1309[[#This Row],[SATINALMA]]*DST_123_ÜRETİM_İHTİYAÇ_RAPORU_BURAK_YENI1309[[#This Row],[BIRIM_FIYATLAR]])&lt;1,VALUE("0"),DST_123_ÜRETİM_İHTİYAÇ_RAPORU_BURAK_YENI1309[[#This Row],[SATINALMA]]*DST_123_ÜRETİM_İHTİYAÇ_RAPORU_BURAK_YENI1309[[#This Row],[BIRIM_FIYATLAR]])</f>
        <v>0</v>
      </c>
      <c r="N4377">
        <v>66.23</v>
      </c>
      <c r="O4377" t="s">
        <v>227</v>
      </c>
      <c r="P4377">
        <v>132.46</v>
      </c>
      <c r="Q4377" t="s">
        <v>221</v>
      </c>
    </row>
    <row r="4378" spans="1:17" x14ac:dyDescent="0.25">
      <c r="A4378" t="s">
        <v>1098</v>
      </c>
      <c r="B4378" t="s">
        <v>1096</v>
      </c>
      <c r="C4378" t="s">
        <v>175</v>
      </c>
      <c r="D4378" t="s">
        <v>970</v>
      </c>
      <c r="E4378" t="s">
        <v>971</v>
      </c>
      <c r="F4378">
        <v>0.6</v>
      </c>
      <c r="G4378" t="s">
        <v>182</v>
      </c>
      <c r="H4378">
        <v>0</v>
      </c>
      <c r="I4378">
        <v>0</v>
      </c>
      <c r="J4378" s="10">
        <v>30.76</v>
      </c>
      <c r="K4378" s="10">
        <f>SUMIFS(F:F,D:D,DST_123_ÜRETİM_İHTİYAÇ_RAPORU_BURAK_YENI1309[[#This Row],[ALT_KOD]])-(SUMIFS(H:H,D:D,DST_123_ÜRETİM_İHTİYAÇ_RAPORU_BURAK_YENI1309[[#This Row],[ALT_KOD]])+AVERAGEIFS(I:I,D:D,DST_123_ÜRETİM_İHTİYAÇ_RAPORU_BURAK_YENI1309[[#This Row],[ALT_KOD]])+AVERAGEIFS(L:L,D:D,DST_123_ÜRETİM_İHTİYAÇ_RAPORU_BURAK_YENI1309[[#This Row],[ALT_KOD]]))</f>
        <v>4.4400000000000004</v>
      </c>
      <c r="L4378">
        <v>0</v>
      </c>
      <c r="M4378">
        <f>IF((DST_123_ÜRETİM_İHTİYAÇ_RAPORU_BURAK_YENI1309[[#This Row],[SATINALMA]]*DST_123_ÜRETİM_İHTİYAÇ_RAPORU_BURAK_YENI1309[[#This Row],[BIRIM_FIYATLAR]])&lt;1,VALUE("0"),DST_123_ÜRETİM_İHTİYAÇ_RAPORU_BURAK_YENI1309[[#This Row],[SATINALMA]]*DST_123_ÜRETİM_İHTİYAÇ_RAPORU_BURAK_YENI1309[[#This Row],[BIRIM_FIYATLAR]])</f>
        <v>7762.0524000000005</v>
      </c>
      <c r="N4378">
        <v>1748.21</v>
      </c>
      <c r="O4378" t="s">
        <v>223</v>
      </c>
      <c r="P4378">
        <v>1048.9259999999999</v>
      </c>
      <c r="Q4378" t="s">
        <v>181</v>
      </c>
    </row>
    <row r="4379" spans="1:17" x14ac:dyDescent="0.25">
      <c r="A4379" t="s">
        <v>1196</v>
      </c>
      <c r="B4379" t="s">
        <v>1197</v>
      </c>
      <c r="C4379" t="s">
        <v>175</v>
      </c>
      <c r="D4379" t="s">
        <v>1155</v>
      </c>
      <c r="E4379" t="s">
        <v>1156</v>
      </c>
      <c r="F4379">
        <v>2</v>
      </c>
      <c r="G4379" t="s">
        <v>176</v>
      </c>
      <c r="H4379">
        <v>0</v>
      </c>
      <c r="I4379">
        <v>0</v>
      </c>
      <c r="J4379" s="10">
        <v>0</v>
      </c>
      <c r="K4379" s="10">
        <f>SUMIFS(F:F,D:D,DST_123_ÜRETİM_İHTİYAÇ_RAPORU_BURAK_YENI1309[[#This Row],[ALT_KOD]])-(SUMIFS(H:H,D:D,DST_123_ÜRETİM_İHTİYAÇ_RAPORU_BURAK_YENI1309[[#This Row],[ALT_KOD]])+AVERAGEIFS(I:I,D:D,DST_123_ÜRETİM_İHTİYAÇ_RAPORU_BURAK_YENI1309[[#This Row],[ALT_KOD]])+AVERAGEIFS(L:L,D:D,DST_123_ÜRETİM_İHTİYAÇ_RAPORU_BURAK_YENI1309[[#This Row],[ALT_KOD]]))</f>
        <v>24</v>
      </c>
      <c r="L4379">
        <v>0</v>
      </c>
      <c r="M4379">
        <f>IF((DST_123_ÜRETİM_İHTİYAÇ_RAPORU_BURAK_YENI1309[[#This Row],[SATINALMA]]*DST_123_ÜRETİM_İHTİYAÇ_RAPORU_BURAK_YENI1309[[#This Row],[BIRIM_FIYATLAR]])&lt;1,VALUE("0"),DST_123_ÜRETİM_İHTİYAÇ_RAPORU_BURAK_YENI1309[[#This Row],[SATINALMA]]*DST_123_ÜRETİM_İHTİYAÇ_RAPORU_BURAK_YENI1309[[#This Row],[BIRIM_FIYATLAR]])</f>
        <v>21.12</v>
      </c>
      <c r="N4379">
        <v>0.88</v>
      </c>
      <c r="O4379" t="s">
        <v>635</v>
      </c>
      <c r="P4379">
        <v>1.76</v>
      </c>
      <c r="Q4379" t="s">
        <v>221</v>
      </c>
    </row>
    <row r="4380" spans="1:17" x14ac:dyDescent="0.25">
      <c r="A4380" t="s">
        <v>1196</v>
      </c>
      <c r="B4380" t="s">
        <v>1197</v>
      </c>
      <c r="C4380" t="s">
        <v>175</v>
      </c>
      <c r="D4380" t="s">
        <v>1051</v>
      </c>
      <c r="E4380" t="s">
        <v>1052</v>
      </c>
      <c r="F4380">
        <v>1</v>
      </c>
      <c r="G4380" t="s">
        <v>176</v>
      </c>
      <c r="H4380">
        <v>0</v>
      </c>
      <c r="I4380">
        <v>2</v>
      </c>
      <c r="J4380" s="10">
        <v>7</v>
      </c>
      <c r="K4380" s="10">
        <f>SUMIFS(F:F,D:D,DST_123_ÜRETİM_İHTİYAÇ_RAPORU_BURAK_YENI1309[[#This Row],[ALT_KOD]])-(SUMIFS(H:H,D:D,DST_123_ÜRETİM_İHTİYAÇ_RAPORU_BURAK_YENI1309[[#This Row],[ALT_KOD]])+AVERAGEIFS(I:I,D:D,DST_123_ÜRETİM_İHTİYAÇ_RAPORU_BURAK_YENI1309[[#This Row],[ALT_KOD]])+AVERAGEIFS(L:L,D:D,DST_123_ÜRETİM_İHTİYAÇ_RAPORU_BURAK_YENI1309[[#This Row],[ALT_KOD]]))</f>
        <v>10</v>
      </c>
      <c r="L4380">
        <v>0</v>
      </c>
      <c r="M4380">
        <f>IF((DST_123_ÜRETİM_İHTİYAÇ_RAPORU_BURAK_YENI1309[[#This Row],[SATINALMA]]*DST_123_ÜRETİM_İHTİYAÇ_RAPORU_BURAK_YENI1309[[#This Row],[BIRIM_FIYATLAR]])&lt;1,VALUE("0"),DST_123_ÜRETİM_İHTİYAÇ_RAPORU_BURAK_YENI1309[[#This Row],[SATINALMA]]*DST_123_ÜRETİM_İHTİYAÇ_RAPORU_BURAK_YENI1309[[#This Row],[BIRIM_FIYATLAR]])</f>
        <v>121389.3</v>
      </c>
      <c r="N4380">
        <v>12138.93</v>
      </c>
      <c r="O4380" t="s">
        <v>634</v>
      </c>
      <c r="P4380">
        <v>12138.93</v>
      </c>
      <c r="Q4380" t="s">
        <v>177</v>
      </c>
    </row>
    <row r="4381" spans="1:17" x14ac:dyDescent="0.25">
      <c r="A4381" t="s">
        <v>1179</v>
      </c>
      <c r="B4381" t="s">
        <v>1180</v>
      </c>
      <c r="C4381" t="s">
        <v>175</v>
      </c>
      <c r="D4381" t="s">
        <v>1051</v>
      </c>
      <c r="E4381" t="s">
        <v>1052</v>
      </c>
      <c r="F4381">
        <v>1</v>
      </c>
      <c r="G4381" t="s">
        <v>176</v>
      </c>
      <c r="H4381">
        <v>0</v>
      </c>
      <c r="I4381">
        <v>2</v>
      </c>
      <c r="J4381" s="10">
        <v>7</v>
      </c>
      <c r="K4381" s="10">
        <f>SUMIFS(F:F,D:D,DST_123_ÜRETİM_İHTİYAÇ_RAPORU_BURAK_YENI1309[[#This Row],[ALT_KOD]])-(SUMIFS(H:H,D:D,DST_123_ÜRETİM_İHTİYAÇ_RAPORU_BURAK_YENI1309[[#This Row],[ALT_KOD]])+AVERAGEIFS(I:I,D:D,DST_123_ÜRETİM_İHTİYAÇ_RAPORU_BURAK_YENI1309[[#This Row],[ALT_KOD]])+AVERAGEIFS(L:L,D:D,DST_123_ÜRETİM_İHTİYAÇ_RAPORU_BURAK_YENI1309[[#This Row],[ALT_KOD]]))</f>
        <v>10</v>
      </c>
      <c r="L4381">
        <v>0</v>
      </c>
      <c r="M4381">
        <f>IF((DST_123_ÜRETİM_İHTİYAÇ_RAPORU_BURAK_YENI1309[[#This Row],[SATINALMA]]*DST_123_ÜRETİM_İHTİYAÇ_RAPORU_BURAK_YENI1309[[#This Row],[BIRIM_FIYATLAR]])&lt;1,VALUE("0"),DST_123_ÜRETİM_İHTİYAÇ_RAPORU_BURAK_YENI1309[[#This Row],[SATINALMA]]*DST_123_ÜRETİM_İHTİYAÇ_RAPORU_BURAK_YENI1309[[#This Row],[BIRIM_FIYATLAR]])</f>
        <v>121389.3</v>
      </c>
      <c r="N4381">
        <v>12138.93</v>
      </c>
      <c r="O4381" t="s">
        <v>634</v>
      </c>
      <c r="P4381">
        <v>12138.93</v>
      </c>
      <c r="Q4381" t="s">
        <v>177</v>
      </c>
    </row>
    <row r="4382" spans="1:17" x14ac:dyDescent="0.25">
      <c r="A4382" t="s">
        <v>1147</v>
      </c>
      <c r="B4382" t="s">
        <v>1145</v>
      </c>
      <c r="C4382" t="s">
        <v>175</v>
      </c>
      <c r="D4382" t="s">
        <v>603</v>
      </c>
      <c r="E4382" t="s">
        <v>604</v>
      </c>
      <c r="F4382">
        <v>2</v>
      </c>
      <c r="G4382" t="s">
        <v>176</v>
      </c>
      <c r="H4382">
        <v>0</v>
      </c>
      <c r="I4382">
        <v>5</v>
      </c>
      <c r="J4382" s="10">
        <v>10</v>
      </c>
      <c r="K4382" s="10">
        <f>SUMIFS(F:F,D:D,DST_123_ÜRETİM_İHTİYAÇ_RAPORU_BURAK_YENI1309[[#This Row],[ALT_KOD]])-(SUMIFS(H:H,D:D,DST_123_ÜRETİM_İHTİYAÇ_RAPORU_BURAK_YENI1309[[#This Row],[ALT_KOD]])+AVERAGEIFS(I:I,D:D,DST_123_ÜRETİM_İHTİYAÇ_RAPORU_BURAK_YENI1309[[#This Row],[ALT_KOD]])+AVERAGEIFS(L:L,D:D,DST_123_ÜRETİM_İHTİYAÇ_RAPORU_BURAK_YENI1309[[#This Row],[ALT_KOD]]))</f>
        <v>11</v>
      </c>
      <c r="L4382">
        <v>0</v>
      </c>
      <c r="M4382">
        <f>IF((DST_123_ÜRETİM_İHTİYAÇ_RAPORU_BURAK_YENI1309[[#This Row],[SATINALMA]]*DST_123_ÜRETİM_İHTİYAÇ_RAPORU_BURAK_YENI1309[[#This Row],[BIRIM_FIYATLAR]])&lt;1,VALUE("0"),DST_123_ÜRETİM_İHTİYAÇ_RAPORU_BURAK_YENI1309[[#This Row],[SATINALMA]]*DST_123_ÜRETİM_İHTİYAÇ_RAPORU_BURAK_YENI1309[[#This Row],[BIRIM_FIYATLAR]])</f>
        <v>832.04</v>
      </c>
      <c r="N4382">
        <v>75.64</v>
      </c>
      <c r="O4382" t="s">
        <v>636</v>
      </c>
      <c r="P4382">
        <v>151.28</v>
      </c>
      <c r="Q4382" t="s">
        <v>177</v>
      </c>
    </row>
    <row r="4383" spans="1:17" x14ac:dyDescent="0.25">
      <c r="A4383" t="s">
        <v>1142</v>
      </c>
      <c r="B4383" t="s">
        <v>1056</v>
      </c>
      <c r="C4383" t="s">
        <v>175</v>
      </c>
      <c r="D4383" t="s">
        <v>607</v>
      </c>
      <c r="E4383" t="s">
        <v>608</v>
      </c>
      <c r="F4383">
        <v>2</v>
      </c>
      <c r="G4383" t="s">
        <v>176</v>
      </c>
      <c r="H4383">
        <v>0</v>
      </c>
      <c r="I4383">
        <v>0</v>
      </c>
      <c r="J4383" s="10">
        <v>10</v>
      </c>
      <c r="K4383" s="10">
        <f>SUMIFS(F:F,D:D,DST_123_ÜRETİM_İHTİYAÇ_RAPORU_BURAK_YENI1309[[#This Row],[ALT_KOD]])-(SUMIFS(H:H,D:D,DST_123_ÜRETİM_İHTİYAÇ_RAPORU_BURAK_YENI1309[[#This Row],[ALT_KOD]])+AVERAGEIFS(I:I,D:D,DST_123_ÜRETİM_İHTİYAÇ_RAPORU_BURAK_YENI1309[[#This Row],[ALT_KOD]])+AVERAGEIFS(L:L,D:D,DST_123_ÜRETİM_İHTİYAÇ_RAPORU_BURAK_YENI1309[[#This Row],[ALT_KOD]]))</f>
        <v>24</v>
      </c>
      <c r="L4383">
        <v>0</v>
      </c>
      <c r="M4383">
        <f>IF((DST_123_ÜRETİM_İHTİYAÇ_RAPORU_BURAK_YENI1309[[#This Row],[SATINALMA]]*DST_123_ÜRETİM_İHTİYAÇ_RAPORU_BURAK_YENI1309[[#This Row],[BIRIM_FIYATLAR]])&lt;1,VALUE("0"),DST_123_ÜRETİM_İHTİYAÇ_RAPORU_BURAK_YENI1309[[#This Row],[SATINALMA]]*DST_123_ÜRETİM_İHTİYAÇ_RAPORU_BURAK_YENI1309[[#This Row],[BIRIM_FIYATLAR]])</f>
        <v>1358.4</v>
      </c>
      <c r="N4383">
        <v>56.6</v>
      </c>
      <c r="O4383" t="s">
        <v>636</v>
      </c>
      <c r="P4383">
        <v>113.2</v>
      </c>
      <c r="Q4383" t="s">
        <v>177</v>
      </c>
    </row>
    <row r="4384" spans="1:17" x14ac:dyDescent="0.25">
      <c r="A4384" t="s">
        <v>1142</v>
      </c>
      <c r="B4384" t="s">
        <v>1056</v>
      </c>
      <c r="C4384" t="s">
        <v>175</v>
      </c>
      <c r="D4384" t="s">
        <v>480</v>
      </c>
      <c r="E4384" t="s">
        <v>481</v>
      </c>
      <c r="F4384">
        <v>16</v>
      </c>
      <c r="G4384" t="s">
        <v>176</v>
      </c>
      <c r="H4384">
        <v>0</v>
      </c>
      <c r="I4384">
        <v>442</v>
      </c>
      <c r="J4384" s="10">
        <v>0</v>
      </c>
      <c r="K4384" s="10">
        <f>SUMIFS(F:F,D:D,DST_123_ÜRETİM_İHTİYAÇ_RAPORU_BURAK_YENI1309[[#This Row],[ALT_KOD]])-(SUMIFS(H:H,D:D,DST_123_ÜRETİM_İHTİYAÇ_RAPORU_BURAK_YENI1309[[#This Row],[ALT_KOD]])+AVERAGEIFS(I:I,D:D,DST_123_ÜRETİM_İHTİYAÇ_RAPORU_BURAK_YENI1309[[#This Row],[ALT_KOD]])+AVERAGEIFS(L:L,D:D,DST_123_ÜRETİM_İHTİYAÇ_RAPORU_BURAK_YENI1309[[#This Row],[ALT_KOD]]))</f>
        <v>-64</v>
      </c>
      <c r="L4384">
        <v>0</v>
      </c>
      <c r="M4384">
        <f>IF((DST_123_ÜRETİM_İHTİYAÇ_RAPORU_BURAK_YENI1309[[#This Row],[SATINALMA]]*DST_123_ÜRETİM_İHTİYAÇ_RAPORU_BURAK_YENI1309[[#This Row],[BIRIM_FIYATLAR]])&lt;1,VALUE("0"),DST_123_ÜRETİM_İHTİYAÇ_RAPORU_BURAK_YENI1309[[#This Row],[SATINALMA]]*DST_123_ÜRETİM_İHTİYAÇ_RAPORU_BURAK_YENI1309[[#This Row],[BIRIM_FIYATLAR]])</f>
        <v>0</v>
      </c>
      <c r="N4384">
        <v>9.35</v>
      </c>
      <c r="O4384" t="s">
        <v>882</v>
      </c>
      <c r="P4384">
        <v>149.6</v>
      </c>
      <c r="Q4384" t="s">
        <v>180</v>
      </c>
    </row>
    <row r="4385" spans="1:17" x14ac:dyDescent="0.25">
      <c r="A4385" t="s">
        <v>1142</v>
      </c>
      <c r="B4385" t="s">
        <v>1056</v>
      </c>
      <c r="C4385" t="s">
        <v>175</v>
      </c>
      <c r="D4385" t="s">
        <v>448</v>
      </c>
      <c r="E4385" t="s">
        <v>449</v>
      </c>
      <c r="F4385">
        <v>2</v>
      </c>
      <c r="G4385" t="s">
        <v>176</v>
      </c>
      <c r="H4385">
        <v>0</v>
      </c>
      <c r="I4385">
        <v>27</v>
      </c>
      <c r="J4385" s="10">
        <v>16</v>
      </c>
      <c r="K4385" s="10">
        <f>SUMIFS(F:F,D:D,DST_123_ÜRETİM_İHTİYAÇ_RAPORU_BURAK_YENI1309[[#This Row],[ALT_KOD]])-(SUMIFS(H:H,D:D,DST_123_ÜRETİM_İHTİYAÇ_RAPORU_BURAK_YENI1309[[#This Row],[ALT_KOD]])+AVERAGEIFS(I:I,D:D,DST_123_ÜRETİM_İHTİYAÇ_RAPORU_BURAK_YENI1309[[#This Row],[ALT_KOD]])+AVERAGEIFS(L:L,D:D,DST_123_ÜRETİM_İHTİYAÇ_RAPORU_BURAK_YENI1309[[#This Row],[ALT_KOD]]))</f>
        <v>-3</v>
      </c>
      <c r="L4385">
        <v>0</v>
      </c>
      <c r="M4385">
        <f>IF((DST_123_ÜRETİM_İHTİYAÇ_RAPORU_BURAK_YENI1309[[#This Row],[SATINALMA]]*DST_123_ÜRETİM_İHTİYAÇ_RAPORU_BURAK_YENI1309[[#This Row],[BIRIM_FIYATLAR]])&lt;1,VALUE("0"),DST_123_ÜRETİM_İHTİYAÇ_RAPORU_BURAK_YENI1309[[#This Row],[SATINALMA]]*DST_123_ÜRETİM_İHTİYAÇ_RAPORU_BURAK_YENI1309[[#This Row],[BIRIM_FIYATLAR]])</f>
        <v>0</v>
      </c>
      <c r="N4385">
        <v>66.23</v>
      </c>
      <c r="O4385" t="s">
        <v>227</v>
      </c>
      <c r="P4385">
        <v>132.46</v>
      </c>
      <c r="Q4385" t="s">
        <v>221</v>
      </c>
    </row>
    <row r="4386" spans="1:17" x14ac:dyDescent="0.25">
      <c r="A4386" t="s">
        <v>1143</v>
      </c>
      <c r="B4386" t="s">
        <v>1056</v>
      </c>
      <c r="C4386" t="s">
        <v>175</v>
      </c>
      <c r="D4386" t="s">
        <v>1051</v>
      </c>
      <c r="E4386" t="s">
        <v>1052</v>
      </c>
      <c r="F4386">
        <v>1</v>
      </c>
      <c r="G4386" t="s">
        <v>176</v>
      </c>
      <c r="H4386">
        <v>0</v>
      </c>
      <c r="I4386">
        <v>2</v>
      </c>
      <c r="J4386" s="10">
        <v>7</v>
      </c>
      <c r="K4386" s="10">
        <f>SUMIFS(F:F,D:D,DST_123_ÜRETİM_İHTİYAÇ_RAPORU_BURAK_YENI1309[[#This Row],[ALT_KOD]])-(SUMIFS(H:H,D:D,DST_123_ÜRETİM_İHTİYAÇ_RAPORU_BURAK_YENI1309[[#This Row],[ALT_KOD]])+AVERAGEIFS(I:I,D:D,DST_123_ÜRETİM_İHTİYAÇ_RAPORU_BURAK_YENI1309[[#This Row],[ALT_KOD]])+AVERAGEIFS(L:L,D:D,DST_123_ÜRETİM_İHTİYAÇ_RAPORU_BURAK_YENI1309[[#This Row],[ALT_KOD]]))</f>
        <v>10</v>
      </c>
      <c r="L4386">
        <v>0</v>
      </c>
      <c r="M4386">
        <f>IF((DST_123_ÜRETİM_İHTİYAÇ_RAPORU_BURAK_YENI1309[[#This Row],[SATINALMA]]*DST_123_ÜRETİM_İHTİYAÇ_RAPORU_BURAK_YENI1309[[#This Row],[BIRIM_FIYATLAR]])&lt;1,VALUE("0"),DST_123_ÜRETİM_İHTİYAÇ_RAPORU_BURAK_YENI1309[[#This Row],[SATINALMA]]*DST_123_ÜRETİM_İHTİYAÇ_RAPORU_BURAK_YENI1309[[#This Row],[BIRIM_FIYATLAR]])</f>
        <v>121389.3</v>
      </c>
      <c r="N4386">
        <v>12138.93</v>
      </c>
      <c r="O4386" t="s">
        <v>634</v>
      </c>
      <c r="P4386">
        <v>12138.93</v>
      </c>
      <c r="Q4386" t="s">
        <v>177</v>
      </c>
    </row>
    <row r="4387" spans="1:17" x14ac:dyDescent="0.25">
      <c r="A4387" t="s">
        <v>1150</v>
      </c>
      <c r="B4387" t="s">
        <v>1145</v>
      </c>
      <c r="C4387" t="s">
        <v>175</v>
      </c>
      <c r="D4387" t="s">
        <v>1175</v>
      </c>
      <c r="E4387" t="s">
        <v>1176</v>
      </c>
      <c r="F4387">
        <v>2</v>
      </c>
      <c r="G4387" t="s">
        <v>176</v>
      </c>
      <c r="H4387">
        <v>0</v>
      </c>
      <c r="I4387">
        <v>500</v>
      </c>
      <c r="J4387" s="10">
        <v>500</v>
      </c>
      <c r="K4387" s="10">
        <f>SUMIFS(F:F,D:D,DST_123_ÜRETİM_İHTİYAÇ_RAPORU_BURAK_YENI1309[[#This Row],[ALT_KOD]])-(SUMIFS(H:H,D:D,DST_123_ÜRETİM_İHTİYAÇ_RAPORU_BURAK_YENI1309[[#This Row],[ALT_KOD]])+AVERAGEIFS(I:I,D:D,DST_123_ÜRETİM_İHTİYAÇ_RAPORU_BURAK_YENI1309[[#This Row],[ALT_KOD]])+AVERAGEIFS(L:L,D:D,DST_123_ÜRETİM_İHTİYAÇ_RAPORU_BURAK_YENI1309[[#This Row],[ALT_KOD]]))</f>
        <v>-486</v>
      </c>
      <c r="L4387">
        <v>0</v>
      </c>
      <c r="M4387">
        <f>IF((DST_123_ÜRETİM_İHTİYAÇ_RAPORU_BURAK_YENI1309[[#This Row],[SATINALMA]]*DST_123_ÜRETİM_İHTİYAÇ_RAPORU_BURAK_YENI1309[[#This Row],[BIRIM_FIYATLAR]])&lt;1,VALUE("0"),DST_123_ÜRETİM_İHTİYAÇ_RAPORU_BURAK_YENI1309[[#This Row],[SATINALMA]]*DST_123_ÜRETİM_İHTİYAÇ_RAPORU_BURAK_YENI1309[[#This Row],[BIRIM_FIYATLAR]])</f>
        <v>0</v>
      </c>
      <c r="N4387">
        <v>0.65</v>
      </c>
      <c r="O4387" t="s">
        <v>826</v>
      </c>
      <c r="P4387">
        <v>1.3</v>
      </c>
      <c r="Q4387" t="s">
        <v>221</v>
      </c>
    </row>
    <row r="4388" spans="1:17" x14ac:dyDescent="0.25">
      <c r="A4388" t="s">
        <v>1150</v>
      </c>
      <c r="B4388" t="s">
        <v>1145</v>
      </c>
      <c r="C4388" t="s">
        <v>175</v>
      </c>
      <c r="D4388" t="s">
        <v>1177</v>
      </c>
      <c r="E4388" t="s">
        <v>1178</v>
      </c>
      <c r="F4388">
        <v>2</v>
      </c>
      <c r="G4388" t="s">
        <v>176</v>
      </c>
      <c r="H4388">
        <v>0</v>
      </c>
      <c r="I4388">
        <v>500</v>
      </c>
      <c r="J4388" s="10">
        <v>500</v>
      </c>
      <c r="K4388" s="10">
        <f>SUMIFS(F:F,D:D,DST_123_ÜRETİM_İHTİYAÇ_RAPORU_BURAK_YENI1309[[#This Row],[ALT_KOD]])-(SUMIFS(H:H,D:D,DST_123_ÜRETİM_İHTİYAÇ_RAPORU_BURAK_YENI1309[[#This Row],[ALT_KOD]])+AVERAGEIFS(I:I,D:D,DST_123_ÜRETİM_İHTİYAÇ_RAPORU_BURAK_YENI1309[[#This Row],[ALT_KOD]])+AVERAGEIFS(L:L,D:D,DST_123_ÜRETİM_İHTİYAÇ_RAPORU_BURAK_YENI1309[[#This Row],[ALT_KOD]]))</f>
        <v>-486</v>
      </c>
      <c r="L4388">
        <v>0</v>
      </c>
      <c r="M4388">
        <f>IF((DST_123_ÜRETİM_İHTİYAÇ_RAPORU_BURAK_YENI1309[[#This Row],[SATINALMA]]*DST_123_ÜRETİM_İHTİYAÇ_RAPORU_BURAK_YENI1309[[#This Row],[BIRIM_FIYATLAR]])&lt;1,VALUE("0"),DST_123_ÜRETİM_İHTİYAÇ_RAPORU_BURAK_YENI1309[[#This Row],[SATINALMA]]*DST_123_ÜRETİM_İHTİYAÇ_RAPORU_BURAK_YENI1309[[#This Row],[BIRIM_FIYATLAR]])</f>
        <v>0</v>
      </c>
      <c r="N4388">
        <v>0.39</v>
      </c>
      <c r="O4388" t="s">
        <v>826</v>
      </c>
      <c r="P4388">
        <v>0.78</v>
      </c>
      <c r="Q4388" t="s">
        <v>221</v>
      </c>
    </row>
    <row r="4389" spans="1:17" x14ac:dyDescent="0.25">
      <c r="A4389" t="s">
        <v>1149</v>
      </c>
      <c r="B4389" t="s">
        <v>1145</v>
      </c>
      <c r="C4389" t="s">
        <v>175</v>
      </c>
      <c r="D4389" t="s">
        <v>271</v>
      </c>
      <c r="E4389" t="s">
        <v>620</v>
      </c>
      <c r="F4389">
        <v>1</v>
      </c>
      <c r="G4389" t="s">
        <v>176</v>
      </c>
      <c r="H4389">
        <v>0</v>
      </c>
      <c r="I4389">
        <v>8</v>
      </c>
      <c r="J4389" s="10">
        <v>4</v>
      </c>
      <c r="K4389" s="10">
        <f>SUMIFS(F:F,D:D,DST_123_ÜRETİM_İHTİYAÇ_RAPORU_BURAK_YENI1309[[#This Row],[ALT_KOD]])-(SUMIFS(H:H,D:D,DST_123_ÜRETİM_İHTİYAÇ_RAPORU_BURAK_YENI1309[[#This Row],[ALT_KOD]])+AVERAGEIFS(I:I,D:D,DST_123_ÜRETİM_İHTİYAÇ_RAPORU_BURAK_YENI1309[[#This Row],[ALT_KOD]])+AVERAGEIFS(L:L,D:D,DST_123_ÜRETİM_İHTİYAÇ_RAPORU_BURAK_YENI1309[[#This Row],[ALT_KOD]]))</f>
        <v>-1</v>
      </c>
      <c r="L4389">
        <v>0</v>
      </c>
      <c r="M4389">
        <f>IF((DST_123_ÜRETİM_İHTİYAÇ_RAPORU_BURAK_YENI1309[[#This Row],[SATINALMA]]*DST_123_ÜRETİM_İHTİYAÇ_RAPORU_BURAK_YENI1309[[#This Row],[BIRIM_FIYATLAR]])&lt;1,VALUE("0"),DST_123_ÜRETİM_İHTİYAÇ_RAPORU_BURAK_YENI1309[[#This Row],[SATINALMA]]*DST_123_ÜRETİM_İHTİYAÇ_RAPORU_BURAK_YENI1309[[#This Row],[BIRIM_FIYATLAR]])</f>
        <v>0</v>
      </c>
      <c r="N4389">
        <v>1723.79</v>
      </c>
      <c r="O4389" t="s">
        <v>636</v>
      </c>
      <c r="P4389">
        <v>1723.79</v>
      </c>
      <c r="Q4389" t="s">
        <v>178</v>
      </c>
    </row>
    <row r="4390" spans="1:17" x14ac:dyDescent="0.25">
      <c r="A4390" t="s">
        <v>1149</v>
      </c>
      <c r="B4390" t="s">
        <v>1145</v>
      </c>
      <c r="C4390" t="s">
        <v>175</v>
      </c>
      <c r="D4390" t="s">
        <v>273</v>
      </c>
      <c r="E4390" t="s">
        <v>274</v>
      </c>
      <c r="F4390">
        <v>1</v>
      </c>
      <c r="G4390" t="s">
        <v>176</v>
      </c>
      <c r="H4390">
        <v>0</v>
      </c>
      <c r="I4390">
        <v>7</v>
      </c>
      <c r="J4390" s="10">
        <v>10</v>
      </c>
      <c r="K4390" s="10">
        <f>SUMIFS(F:F,D:D,DST_123_ÜRETİM_İHTİYAÇ_RAPORU_BURAK_YENI1309[[#This Row],[ALT_KOD]])-(SUMIFS(H:H,D:D,DST_123_ÜRETİM_İHTİYAÇ_RAPORU_BURAK_YENI1309[[#This Row],[ALT_KOD]])+AVERAGEIFS(I:I,D:D,DST_123_ÜRETİM_İHTİYAÇ_RAPORU_BURAK_YENI1309[[#This Row],[ALT_KOD]])+AVERAGEIFS(L:L,D:D,DST_123_ÜRETİM_İHTİYAÇ_RAPORU_BURAK_YENI1309[[#This Row],[ALT_KOD]]))</f>
        <v>4</v>
      </c>
      <c r="L4390">
        <v>0</v>
      </c>
      <c r="M4390">
        <f>IF((DST_123_ÜRETİM_İHTİYAÇ_RAPORU_BURAK_YENI1309[[#This Row],[SATINALMA]]*DST_123_ÜRETİM_İHTİYAÇ_RAPORU_BURAK_YENI1309[[#This Row],[BIRIM_FIYATLAR]])&lt;1,VALUE("0"),DST_123_ÜRETİM_İHTİYAÇ_RAPORU_BURAK_YENI1309[[#This Row],[SATINALMA]]*DST_123_ÜRETİM_İHTİYAÇ_RAPORU_BURAK_YENI1309[[#This Row],[BIRIM_FIYATLAR]])</f>
        <v>1950.24</v>
      </c>
      <c r="N4390">
        <v>487.56</v>
      </c>
      <c r="O4390" t="s">
        <v>275</v>
      </c>
      <c r="P4390">
        <v>487.56</v>
      </c>
      <c r="Q4390" t="s">
        <v>177</v>
      </c>
    </row>
    <row r="4391" spans="1:17" x14ac:dyDescent="0.25">
      <c r="A4391" t="s">
        <v>1144</v>
      </c>
      <c r="B4391" t="s">
        <v>1145</v>
      </c>
      <c r="C4391" t="s">
        <v>175</v>
      </c>
      <c r="D4391" t="s">
        <v>273</v>
      </c>
      <c r="E4391" t="s">
        <v>274</v>
      </c>
      <c r="F4391">
        <v>1</v>
      </c>
      <c r="G4391" t="s">
        <v>176</v>
      </c>
      <c r="H4391">
        <v>0</v>
      </c>
      <c r="I4391">
        <v>7</v>
      </c>
      <c r="J4391" s="10">
        <v>10</v>
      </c>
      <c r="K4391" s="10">
        <f>SUMIFS(F:F,D:D,DST_123_ÜRETİM_İHTİYAÇ_RAPORU_BURAK_YENI1309[[#This Row],[ALT_KOD]])-(SUMIFS(H:H,D:D,DST_123_ÜRETİM_İHTİYAÇ_RAPORU_BURAK_YENI1309[[#This Row],[ALT_KOD]])+AVERAGEIFS(I:I,D:D,DST_123_ÜRETİM_İHTİYAÇ_RAPORU_BURAK_YENI1309[[#This Row],[ALT_KOD]])+AVERAGEIFS(L:L,D:D,DST_123_ÜRETİM_İHTİYAÇ_RAPORU_BURAK_YENI1309[[#This Row],[ALT_KOD]]))</f>
        <v>4</v>
      </c>
      <c r="L4391">
        <v>0</v>
      </c>
      <c r="M4391">
        <f>IF((DST_123_ÜRETİM_İHTİYAÇ_RAPORU_BURAK_YENI1309[[#This Row],[SATINALMA]]*DST_123_ÜRETİM_İHTİYAÇ_RAPORU_BURAK_YENI1309[[#This Row],[BIRIM_FIYATLAR]])&lt;1,VALUE("0"),DST_123_ÜRETİM_İHTİYAÇ_RAPORU_BURAK_YENI1309[[#This Row],[SATINALMA]]*DST_123_ÜRETİM_İHTİYAÇ_RAPORU_BURAK_YENI1309[[#This Row],[BIRIM_FIYATLAR]])</f>
        <v>1950.24</v>
      </c>
      <c r="N4391">
        <v>487.56</v>
      </c>
      <c r="O4391" t="s">
        <v>275</v>
      </c>
      <c r="P4391">
        <v>487.56</v>
      </c>
      <c r="Q4391" t="s">
        <v>177</v>
      </c>
    </row>
    <row r="4392" spans="1:17" x14ac:dyDescent="0.25">
      <c r="A4392" t="s">
        <v>1146</v>
      </c>
      <c r="B4392" t="s">
        <v>1145</v>
      </c>
      <c r="C4392" t="s">
        <v>175</v>
      </c>
      <c r="D4392" t="s">
        <v>273</v>
      </c>
      <c r="E4392" t="s">
        <v>274</v>
      </c>
      <c r="F4392">
        <v>1</v>
      </c>
      <c r="G4392" t="s">
        <v>176</v>
      </c>
      <c r="H4392">
        <v>0</v>
      </c>
      <c r="I4392">
        <v>7</v>
      </c>
      <c r="J4392" s="10">
        <v>10</v>
      </c>
      <c r="K4392" s="10">
        <f>SUMIFS(F:F,D:D,DST_123_ÜRETİM_İHTİYAÇ_RAPORU_BURAK_YENI1309[[#This Row],[ALT_KOD]])-(SUMIFS(H:H,D:D,DST_123_ÜRETİM_İHTİYAÇ_RAPORU_BURAK_YENI1309[[#This Row],[ALT_KOD]])+AVERAGEIFS(I:I,D:D,DST_123_ÜRETİM_İHTİYAÇ_RAPORU_BURAK_YENI1309[[#This Row],[ALT_KOD]])+AVERAGEIFS(L:L,D:D,DST_123_ÜRETİM_İHTİYAÇ_RAPORU_BURAK_YENI1309[[#This Row],[ALT_KOD]]))</f>
        <v>4</v>
      </c>
      <c r="L4392">
        <v>0</v>
      </c>
      <c r="M4392">
        <f>IF((DST_123_ÜRETİM_İHTİYAÇ_RAPORU_BURAK_YENI1309[[#This Row],[SATINALMA]]*DST_123_ÜRETİM_İHTİYAÇ_RAPORU_BURAK_YENI1309[[#This Row],[BIRIM_FIYATLAR]])&lt;1,VALUE("0"),DST_123_ÜRETİM_İHTİYAÇ_RAPORU_BURAK_YENI1309[[#This Row],[SATINALMA]]*DST_123_ÜRETİM_İHTİYAÇ_RAPORU_BURAK_YENI1309[[#This Row],[BIRIM_FIYATLAR]])</f>
        <v>1950.24</v>
      </c>
      <c r="N4392">
        <v>487.56</v>
      </c>
      <c r="O4392" t="s">
        <v>275</v>
      </c>
      <c r="P4392">
        <v>487.56</v>
      </c>
      <c r="Q4392" t="s">
        <v>177</v>
      </c>
    </row>
    <row r="4393" spans="1:17" x14ac:dyDescent="0.25">
      <c r="A4393" t="s">
        <v>1097</v>
      </c>
      <c r="B4393" t="s">
        <v>1055</v>
      </c>
      <c r="C4393" t="s">
        <v>175</v>
      </c>
      <c r="D4393" t="s">
        <v>569</v>
      </c>
      <c r="E4393" t="s">
        <v>570</v>
      </c>
      <c r="F4393">
        <v>4</v>
      </c>
      <c r="G4393" t="s">
        <v>176</v>
      </c>
      <c r="H4393">
        <v>0</v>
      </c>
      <c r="I4393">
        <v>1000</v>
      </c>
      <c r="J4393" s="10">
        <v>1222</v>
      </c>
      <c r="K4393" s="10">
        <f>SUMIFS(F:F,D:D,DST_123_ÜRETİM_İHTİYAÇ_RAPORU_BURAK_YENI1309[[#This Row],[ALT_KOD]])-(SUMIFS(H:H,D:D,DST_123_ÜRETİM_İHTİYAÇ_RAPORU_BURAK_YENI1309[[#This Row],[ALT_KOD]])+AVERAGEIFS(I:I,D:D,DST_123_ÜRETİM_İHTİYAÇ_RAPORU_BURAK_YENI1309[[#This Row],[ALT_KOD]])+AVERAGEIFS(L:L,D:D,DST_123_ÜRETİM_İHTİYAÇ_RAPORU_BURAK_YENI1309[[#This Row],[ALT_KOD]]))</f>
        <v>-903</v>
      </c>
      <c r="L4393">
        <v>0</v>
      </c>
      <c r="M4393">
        <f>IF((DST_123_ÜRETİM_İHTİYAÇ_RAPORU_BURAK_YENI1309[[#This Row],[SATINALMA]]*DST_123_ÜRETİM_İHTİYAÇ_RAPORU_BURAK_YENI1309[[#This Row],[BIRIM_FIYATLAR]])&lt;1,VALUE("0"),DST_123_ÜRETİM_İHTİYAÇ_RAPORU_BURAK_YENI1309[[#This Row],[SATINALMA]]*DST_123_ÜRETİM_İHTİYAÇ_RAPORU_BURAK_YENI1309[[#This Row],[BIRIM_FIYATLAR]])</f>
        <v>0</v>
      </c>
      <c r="N4393">
        <v>1.1399999999999999</v>
      </c>
      <c r="O4393" t="s">
        <v>882</v>
      </c>
      <c r="P4393">
        <v>4.5599999999999996</v>
      </c>
      <c r="Q4393" t="s">
        <v>180</v>
      </c>
    </row>
    <row r="4394" spans="1:17" x14ac:dyDescent="0.25">
      <c r="A4394" t="s">
        <v>1095</v>
      </c>
      <c r="B4394" t="s">
        <v>1096</v>
      </c>
      <c r="C4394" t="s">
        <v>175</v>
      </c>
      <c r="D4394" t="s">
        <v>569</v>
      </c>
      <c r="E4394" t="s">
        <v>570</v>
      </c>
      <c r="F4394">
        <v>4</v>
      </c>
      <c r="G4394" t="s">
        <v>176</v>
      </c>
      <c r="H4394">
        <v>0</v>
      </c>
      <c r="I4394">
        <v>1000</v>
      </c>
      <c r="J4394" s="10">
        <v>1222</v>
      </c>
      <c r="K4394" s="10">
        <f>SUMIFS(F:F,D:D,DST_123_ÜRETİM_İHTİYAÇ_RAPORU_BURAK_YENI1309[[#This Row],[ALT_KOD]])-(SUMIFS(H:H,D:D,DST_123_ÜRETİM_İHTİYAÇ_RAPORU_BURAK_YENI1309[[#This Row],[ALT_KOD]])+AVERAGEIFS(I:I,D:D,DST_123_ÜRETİM_İHTİYAÇ_RAPORU_BURAK_YENI1309[[#This Row],[ALT_KOD]])+AVERAGEIFS(L:L,D:D,DST_123_ÜRETİM_İHTİYAÇ_RAPORU_BURAK_YENI1309[[#This Row],[ALT_KOD]]))</f>
        <v>-903</v>
      </c>
      <c r="L4394">
        <v>0</v>
      </c>
      <c r="M4394">
        <f>IF((DST_123_ÜRETİM_İHTİYAÇ_RAPORU_BURAK_YENI1309[[#This Row],[SATINALMA]]*DST_123_ÜRETİM_İHTİYAÇ_RAPORU_BURAK_YENI1309[[#This Row],[BIRIM_FIYATLAR]])&lt;1,VALUE("0"),DST_123_ÜRETİM_İHTİYAÇ_RAPORU_BURAK_YENI1309[[#This Row],[SATINALMA]]*DST_123_ÜRETİM_İHTİYAÇ_RAPORU_BURAK_YENI1309[[#This Row],[BIRIM_FIYATLAR]])</f>
        <v>0</v>
      </c>
      <c r="N4394">
        <v>1.1399999999999999</v>
      </c>
      <c r="O4394" t="s">
        <v>882</v>
      </c>
      <c r="P4394">
        <v>4.5599999999999996</v>
      </c>
      <c r="Q4394" t="s">
        <v>180</v>
      </c>
    </row>
    <row r="4395" spans="1:17" x14ac:dyDescent="0.25">
      <c r="A4395" t="s">
        <v>1142</v>
      </c>
      <c r="B4395" t="s">
        <v>1056</v>
      </c>
      <c r="C4395" t="s">
        <v>175</v>
      </c>
      <c r="D4395" t="s">
        <v>879</v>
      </c>
      <c r="E4395" t="s">
        <v>880</v>
      </c>
      <c r="F4395">
        <v>1</v>
      </c>
      <c r="G4395" t="s">
        <v>176</v>
      </c>
      <c r="H4395">
        <v>0</v>
      </c>
      <c r="I4395">
        <v>9</v>
      </c>
      <c r="J4395" s="10">
        <v>8</v>
      </c>
      <c r="K4395" s="10">
        <f>SUMIFS(F:F,D:D,DST_123_ÜRETİM_İHTİYAÇ_RAPORU_BURAK_YENI1309[[#This Row],[ALT_KOD]])-(SUMIFS(H:H,D:D,DST_123_ÜRETİM_İHTİYAÇ_RAPORU_BURAK_YENI1309[[#This Row],[ALT_KOD]])+AVERAGEIFS(I:I,D:D,DST_123_ÜRETİM_İHTİYAÇ_RAPORU_BURAK_YENI1309[[#This Row],[ALT_KOD]])+AVERAGEIFS(L:L,D:D,DST_123_ÜRETİM_İHTİYAÇ_RAPORU_BURAK_YENI1309[[#This Row],[ALT_KOD]]))</f>
        <v>-12</v>
      </c>
      <c r="L4395">
        <v>15</v>
      </c>
      <c r="M4395">
        <f>IF((DST_123_ÜRETİM_İHTİYAÇ_RAPORU_BURAK_YENI1309[[#This Row],[SATINALMA]]*DST_123_ÜRETİM_İHTİYAÇ_RAPORU_BURAK_YENI1309[[#This Row],[BIRIM_FIYATLAR]])&lt;1,VALUE("0"),DST_123_ÜRETİM_İHTİYAÇ_RAPORU_BURAK_YENI1309[[#This Row],[SATINALMA]]*DST_123_ÜRETİM_İHTİYAÇ_RAPORU_BURAK_YENI1309[[#This Row],[BIRIM_FIYATLAR]])</f>
        <v>0</v>
      </c>
      <c r="N4395">
        <v>776.15</v>
      </c>
      <c r="O4395" t="s">
        <v>881</v>
      </c>
      <c r="P4395">
        <v>776.15</v>
      </c>
      <c r="Q4395" t="s">
        <v>221</v>
      </c>
    </row>
    <row r="4396" spans="1:17" x14ac:dyDescent="0.25">
      <c r="A4396" t="s">
        <v>1196</v>
      </c>
      <c r="B4396" t="s">
        <v>1197</v>
      </c>
      <c r="C4396" t="s">
        <v>175</v>
      </c>
      <c r="D4396" t="s">
        <v>569</v>
      </c>
      <c r="E4396" t="s">
        <v>570</v>
      </c>
      <c r="F4396">
        <v>7</v>
      </c>
      <c r="G4396" t="s">
        <v>176</v>
      </c>
      <c r="H4396">
        <v>0</v>
      </c>
      <c r="I4396">
        <v>1000</v>
      </c>
      <c r="J4396" s="10">
        <v>1222</v>
      </c>
      <c r="K4396" s="10">
        <f>SUMIFS(F:F,D:D,DST_123_ÜRETİM_İHTİYAÇ_RAPORU_BURAK_YENI1309[[#This Row],[ALT_KOD]])-(SUMIFS(H:H,D:D,DST_123_ÜRETİM_İHTİYAÇ_RAPORU_BURAK_YENI1309[[#This Row],[ALT_KOD]])+AVERAGEIFS(I:I,D:D,DST_123_ÜRETİM_İHTİYAÇ_RAPORU_BURAK_YENI1309[[#This Row],[ALT_KOD]])+AVERAGEIFS(L:L,D:D,DST_123_ÜRETİM_İHTİYAÇ_RAPORU_BURAK_YENI1309[[#This Row],[ALT_KOD]]))</f>
        <v>-903</v>
      </c>
      <c r="L4396">
        <v>0</v>
      </c>
      <c r="M4396">
        <f>IF((DST_123_ÜRETİM_İHTİYAÇ_RAPORU_BURAK_YENI1309[[#This Row],[SATINALMA]]*DST_123_ÜRETİM_İHTİYAÇ_RAPORU_BURAK_YENI1309[[#This Row],[BIRIM_FIYATLAR]])&lt;1,VALUE("0"),DST_123_ÜRETİM_İHTİYAÇ_RAPORU_BURAK_YENI1309[[#This Row],[SATINALMA]]*DST_123_ÜRETİM_İHTİYAÇ_RAPORU_BURAK_YENI1309[[#This Row],[BIRIM_FIYATLAR]])</f>
        <v>0</v>
      </c>
      <c r="N4396">
        <v>1.1399999999999999</v>
      </c>
      <c r="O4396" t="s">
        <v>882</v>
      </c>
      <c r="P4396">
        <v>7.9799999999999995</v>
      </c>
      <c r="Q4396" t="s">
        <v>180</v>
      </c>
    </row>
    <row r="4397" spans="1:17" x14ac:dyDescent="0.25">
      <c r="A4397" t="s">
        <v>1196</v>
      </c>
      <c r="B4397" t="s">
        <v>1197</v>
      </c>
      <c r="C4397" t="s">
        <v>175</v>
      </c>
      <c r="D4397" t="s">
        <v>779</v>
      </c>
      <c r="E4397" t="s">
        <v>780</v>
      </c>
      <c r="F4397">
        <v>2</v>
      </c>
      <c r="G4397" t="s">
        <v>176</v>
      </c>
      <c r="H4397">
        <v>0</v>
      </c>
      <c r="I4397">
        <v>1</v>
      </c>
      <c r="J4397" s="10">
        <v>14</v>
      </c>
      <c r="K4397" s="10">
        <f>SUMIFS(F:F,D:D,DST_123_ÜRETİM_İHTİYAÇ_RAPORU_BURAK_YENI1309[[#This Row],[ALT_KOD]])-(SUMIFS(H:H,D:D,DST_123_ÜRETİM_İHTİYAÇ_RAPORU_BURAK_YENI1309[[#This Row],[ALT_KOD]])+AVERAGEIFS(I:I,D:D,DST_123_ÜRETİM_İHTİYAÇ_RAPORU_BURAK_YENI1309[[#This Row],[ALT_KOD]])+AVERAGEIFS(L:L,D:D,DST_123_ÜRETİM_İHTİYAÇ_RAPORU_BURAK_YENI1309[[#This Row],[ALT_KOD]]))</f>
        <v>25</v>
      </c>
      <c r="L4397">
        <v>0</v>
      </c>
      <c r="M4397">
        <f>IF((DST_123_ÜRETİM_İHTİYAÇ_RAPORU_BURAK_YENI1309[[#This Row],[SATINALMA]]*DST_123_ÜRETİM_İHTİYAÇ_RAPORU_BURAK_YENI1309[[#This Row],[BIRIM_FIYATLAR]])&lt;1,VALUE("0"),DST_123_ÜRETİM_İHTİYAÇ_RAPORU_BURAK_YENI1309[[#This Row],[SATINALMA]]*DST_123_ÜRETİM_İHTİYAÇ_RAPORU_BURAK_YENI1309[[#This Row],[BIRIM_FIYATLAR]])</f>
        <v>11103.25</v>
      </c>
      <c r="N4397">
        <v>444.13</v>
      </c>
      <c r="O4397" t="s">
        <v>589</v>
      </c>
      <c r="P4397">
        <v>888.26</v>
      </c>
      <c r="Q4397" t="s">
        <v>177</v>
      </c>
    </row>
    <row r="4398" spans="1:17" x14ac:dyDescent="0.25">
      <c r="A4398" t="s">
        <v>1099</v>
      </c>
      <c r="B4398" t="s">
        <v>1055</v>
      </c>
      <c r="C4398" t="s">
        <v>175</v>
      </c>
      <c r="D4398" t="s">
        <v>779</v>
      </c>
      <c r="E4398" t="s">
        <v>780</v>
      </c>
      <c r="F4398">
        <v>2</v>
      </c>
      <c r="G4398" t="s">
        <v>176</v>
      </c>
      <c r="H4398">
        <v>0</v>
      </c>
      <c r="I4398">
        <v>1</v>
      </c>
      <c r="J4398" s="10">
        <v>14</v>
      </c>
      <c r="K4398" s="10">
        <f>SUMIFS(F:F,D:D,DST_123_ÜRETİM_İHTİYAÇ_RAPORU_BURAK_YENI1309[[#This Row],[ALT_KOD]])-(SUMIFS(H:H,D:D,DST_123_ÜRETİM_İHTİYAÇ_RAPORU_BURAK_YENI1309[[#This Row],[ALT_KOD]])+AVERAGEIFS(I:I,D:D,DST_123_ÜRETİM_İHTİYAÇ_RAPORU_BURAK_YENI1309[[#This Row],[ALT_KOD]])+AVERAGEIFS(L:L,D:D,DST_123_ÜRETİM_İHTİYAÇ_RAPORU_BURAK_YENI1309[[#This Row],[ALT_KOD]]))</f>
        <v>25</v>
      </c>
      <c r="L4398">
        <v>0</v>
      </c>
      <c r="M4398">
        <f>IF((DST_123_ÜRETİM_İHTİYAÇ_RAPORU_BURAK_YENI1309[[#This Row],[SATINALMA]]*DST_123_ÜRETİM_İHTİYAÇ_RAPORU_BURAK_YENI1309[[#This Row],[BIRIM_FIYATLAR]])&lt;1,VALUE("0"),DST_123_ÜRETİM_İHTİYAÇ_RAPORU_BURAK_YENI1309[[#This Row],[SATINALMA]]*DST_123_ÜRETİM_İHTİYAÇ_RAPORU_BURAK_YENI1309[[#This Row],[BIRIM_FIYATLAR]])</f>
        <v>11103.25</v>
      </c>
      <c r="N4398">
        <v>444.13</v>
      </c>
      <c r="O4398" t="s">
        <v>589</v>
      </c>
      <c r="P4398">
        <v>888.26</v>
      </c>
      <c r="Q4398" t="s">
        <v>177</v>
      </c>
    </row>
    <row r="4399" spans="1:17" x14ac:dyDescent="0.25">
      <c r="A4399" t="s">
        <v>1144</v>
      </c>
      <c r="B4399" t="s">
        <v>1145</v>
      </c>
      <c r="C4399" t="s">
        <v>175</v>
      </c>
      <c r="D4399" t="s">
        <v>569</v>
      </c>
      <c r="E4399" t="s">
        <v>570</v>
      </c>
      <c r="F4399">
        <v>7</v>
      </c>
      <c r="G4399" t="s">
        <v>176</v>
      </c>
      <c r="H4399">
        <v>0</v>
      </c>
      <c r="I4399">
        <v>1000</v>
      </c>
      <c r="J4399" s="10">
        <v>1222</v>
      </c>
      <c r="K4399" s="10">
        <f>SUMIFS(F:F,D:D,DST_123_ÜRETİM_İHTİYAÇ_RAPORU_BURAK_YENI1309[[#This Row],[ALT_KOD]])-(SUMIFS(H:H,D:D,DST_123_ÜRETİM_İHTİYAÇ_RAPORU_BURAK_YENI1309[[#This Row],[ALT_KOD]])+AVERAGEIFS(I:I,D:D,DST_123_ÜRETİM_İHTİYAÇ_RAPORU_BURAK_YENI1309[[#This Row],[ALT_KOD]])+AVERAGEIFS(L:L,D:D,DST_123_ÜRETİM_İHTİYAÇ_RAPORU_BURAK_YENI1309[[#This Row],[ALT_KOD]]))</f>
        <v>-903</v>
      </c>
      <c r="L4399">
        <v>0</v>
      </c>
      <c r="M4399">
        <f>IF((DST_123_ÜRETİM_İHTİYAÇ_RAPORU_BURAK_YENI1309[[#This Row],[SATINALMA]]*DST_123_ÜRETİM_İHTİYAÇ_RAPORU_BURAK_YENI1309[[#This Row],[BIRIM_FIYATLAR]])&lt;1,VALUE("0"),DST_123_ÜRETİM_İHTİYAÇ_RAPORU_BURAK_YENI1309[[#This Row],[SATINALMA]]*DST_123_ÜRETİM_İHTİYAÇ_RAPORU_BURAK_YENI1309[[#This Row],[BIRIM_FIYATLAR]])</f>
        <v>0</v>
      </c>
      <c r="N4399">
        <v>1.1399999999999999</v>
      </c>
      <c r="O4399" t="s">
        <v>882</v>
      </c>
      <c r="P4399">
        <v>7.9799999999999995</v>
      </c>
      <c r="Q4399" t="s">
        <v>180</v>
      </c>
    </row>
    <row r="4400" spans="1:17" x14ac:dyDescent="0.25">
      <c r="A4400" t="s">
        <v>1146</v>
      </c>
      <c r="B4400" t="s">
        <v>1145</v>
      </c>
      <c r="C4400" t="s">
        <v>175</v>
      </c>
      <c r="D4400" t="s">
        <v>569</v>
      </c>
      <c r="E4400" t="s">
        <v>570</v>
      </c>
      <c r="F4400">
        <v>7</v>
      </c>
      <c r="G4400" t="s">
        <v>176</v>
      </c>
      <c r="H4400">
        <v>0</v>
      </c>
      <c r="I4400">
        <v>1000</v>
      </c>
      <c r="J4400" s="10">
        <v>1222</v>
      </c>
      <c r="K4400" s="10">
        <f>SUMIFS(F:F,D:D,DST_123_ÜRETİM_İHTİYAÇ_RAPORU_BURAK_YENI1309[[#This Row],[ALT_KOD]])-(SUMIFS(H:H,D:D,DST_123_ÜRETİM_İHTİYAÇ_RAPORU_BURAK_YENI1309[[#This Row],[ALT_KOD]])+AVERAGEIFS(I:I,D:D,DST_123_ÜRETİM_İHTİYAÇ_RAPORU_BURAK_YENI1309[[#This Row],[ALT_KOD]])+AVERAGEIFS(L:L,D:D,DST_123_ÜRETİM_İHTİYAÇ_RAPORU_BURAK_YENI1309[[#This Row],[ALT_KOD]]))</f>
        <v>-903</v>
      </c>
      <c r="L4400">
        <v>0</v>
      </c>
      <c r="M4400">
        <f>IF((DST_123_ÜRETİM_İHTİYAÇ_RAPORU_BURAK_YENI1309[[#This Row],[SATINALMA]]*DST_123_ÜRETİM_İHTİYAÇ_RAPORU_BURAK_YENI1309[[#This Row],[BIRIM_FIYATLAR]])&lt;1,VALUE("0"),DST_123_ÜRETİM_İHTİYAÇ_RAPORU_BURAK_YENI1309[[#This Row],[SATINALMA]]*DST_123_ÜRETİM_İHTİYAÇ_RAPORU_BURAK_YENI1309[[#This Row],[BIRIM_FIYATLAR]])</f>
        <v>0</v>
      </c>
      <c r="N4400">
        <v>1.1399999999999999</v>
      </c>
      <c r="O4400" t="s">
        <v>882</v>
      </c>
      <c r="P4400">
        <v>7.9799999999999995</v>
      </c>
      <c r="Q4400" t="s">
        <v>180</v>
      </c>
    </row>
    <row r="4401" spans="1:17" x14ac:dyDescent="0.25">
      <c r="A4401" t="s">
        <v>1149</v>
      </c>
      <c r="B4401" t="s">
        <v>1145</v>
      </c>
      <c r="C4401" t="s">
        <v>175</v>
      </c>
      <c r="D4401" t="s">
        <v>779</v>
      </c>
      <c r="E4401" t="s">
        <v>780</v>
      </c>
      <c r="F4401">
        <v>2</v>
      </c>
      <c r="G4401" t="s">
        <v>176</v>
      </c>
      <c r="H4401">
        <v>0</v>
      </c>
      <c r="I4401">
        <v>1</v>
      </c>
      <c r="J4401" s="10">
        <v>14</v>
      </c>
      <c r="K4401" s="10">
        <f>SUMIFS(F:F,D:D,DST_123_ÜRETİM_İHTİYAÇ_RAPORU_BURAK_YENI1309[[#This Row],[ALT_KOD]])-(SUMIFS(H:H,D:D,DST_123_ÜRETİM_İHTİYAÇ_RAPORU_BURAK_YENI1309[[#This Row],[ALT_KOD]])+AVERAGEIFS(I:I,D:D,DST_123_ÜRETİM_İHTİYAÇ_RAPORU_BURAK_YENI1309[[#This Row],[ALT_KOD]])+AVERAGEIFS(L:L,D:D,DST_123_ÜRETİM_İHTİYAÇ_RAPORU_BURAK_YENI1309[[#This Row],[ALT_KOD]]))</f>
        <v>25</v>
      </c>
      <c r="L4401">
        <v>0</v>
      </c>
      <c r="M4401">
        <f>IF((DST_123_ÜRETİM_İHTİYAÇ_RAPORU_BURAK_YENI1309[[#This Row],[SATINALMA]]*DST_123_ÜRETİM_İHTİYAÇ_RAPORU_BURAK_YENI1309[[#This Row],[BIRIM_FIYATLAR]])&lt;1,VALUE("0"),DST_123_ÜRETİM_İHTİYAÇ_RAPORU_BURAK_YENI1309[[#This Row],[SATINALMA]]*DST_123_ÜRETİM_İHTİYAÇ_RAPORU_BURAK_YENI1309[[#This Row],[BIRIM_FIYATLAR]])</f>
        <v>11103.25</v>
      </c>
      <c r="N4401">
        <v>444.13</v>
      </c>
      <c r="O4401" t="s">
        <v>589</v>
      </c>
      <c r="P4401">
        <v>888.26</v>
      </c>
      <c r="Q4401" t="s">
        <v>177</v>
      </c>
    </row>
    <row r="4402" spans="1:17" x14ac:dyDescent="0.25">
      <c r="A4402" t="s">
        <v>1059</v>
      </c>
      <c r="B4402" t="s">
        <v>1058</v>
      </c>
      <c r="C4402" t="s">
        <v>175</v>
      </c>
      <c r="D4402" t="s">
        <v>271</v>
      </c>
      <c r="E4402" t="s">
        <v>620</v>
      </c>
      <c r="F4402">
        <v>1</v>
      </c>
      <c r="G4402" t="s">
        <v>176</v>
      </c>
      <c r="H4402">
        <v>0</v>
      </c>
      <c r="I4402">
        <v>8</v>
      </c>
      <c r="J4402" s="10">
        <v>4</v>
      </c>
      <c r="K4402" s="10">
        <f>SUMIFS(F:F,D:D,DST_123_ÜRETİM_İHTİYAÇ_RAPORU_BURAK_YENI1309[[#This Row],[ALT_KOD]])-(SUMIFS(H:H,D:D,DST_123_ÜRETİM_İHTİYAÇ_RAPORU_BURAK_YENI1309[[#This Row],[ALT_KOD]])+AVERAGEIFS(I:I,D:D,DST_123_ÜRETİM_İHTİYAÇ_RAPORU_BURAK_YENI1309[[#This Row],[ALT_KOD]])+AVERAGEIFS(L:L,D:D,DST_123_ÜRETİM_İHTİYAÇ_RAPORU_BURAK_YENI1309[[#This Row],[ALT_KOD]]))</f>
        <v>-1</v>
      </c>
      <c r="L4402">
        <v>0</v>
      </c>
      <c r="M4402">
        <f>IF((DST_123_ÜRETİM_İHTİYAÇ_RAPORU_BURAK_YENI1309[[#This Row],[SATINALMA]]*DST_123_ÜRETİM_İHTİYAÇ_RAPORU_BURAK_YENI1309[[#This Row],[BIRIM_FIYATLAR]])&lt;1,VALUE("0"),DST_123_ÜRETİM_İHTİYAÇ_RAPORU_BURAK_YENI1309[[#This Row],[SATINALMA]]*DST_123_ÜRETİM_İHTİYAÇ_RAPORU_BURAK_YENI1309[[#This Row],[BIRIM_FIYATLAR]])</f>
        <v>0</v>
      </c>
      <c r="N4402">
        <v>1723.79</v>
      </c>
      <c r="O4402" t="s">
        <v>636</v>
      </c>
      <c r="P4402">
        <v>1723.79</v>
      </c>
      <c r="Q4402" t="s">
        <v>178</v>
      </c>
    </row>
    <row r="4403" spans="1:17" x14ac:dyDescent="0.25">
      <c r="A4403" t="s">
        <v>1150</v>
      </c>
      <c r="B4403" t="s">
        <v>1145</v>
      </c>
      <c r="C4403" t="s">
        <v>175</v>
      </c>
      <c r="D4403" t="s">
        <v>879</v>
      </c>
      <c r="E4403" t="s">
        <v>880</v>
      </c>
      <c r="F4403">
        <v>1</v>
      </c>
      <c r="G4403" t="s">
        <v>176</v>
      </c>
      <c r="H4403">
        <v>0</v>
      </c>
      <c r="I4403">
        <v>9</v>
      </c>
      <c r="J4403" s="10">
        <v>8</v>
      </c>
      <c r="K4403" s="10">
        <f>SUMIFS(F:F,D:D,DST_123_ÜRETİM_İHTİYAÇ_RAPORU_BURAK_YENI1309[[#This Row],[ALT_KOD]])-(SUMIFS(H:H,D:D,DST_123_ÜRETİM_İHTİYAÇ_RAPORU_BURAK_YENI1309[[#This Row],[ALT_KOD]])+AVERAGEIFS(I:I,D:D,DST_123_ÜRETİM_İHTİYAÇ_RAPORU_BURAK_YENI1309[[#This Row],[ALT_KOD]])+AVERAGEIFS(L:L,D:D,DST_123_ÜRETİM_İHTİYAÇ_RAPORU_BURAK_YENI1309[[#This Row],[ALT_KOD]]))</f>
        <v>-12</v>
      </c>
      <c r="L4403">
        <v>15</v>
      </c>
      <c r="M4403">
        <f>IF((DST_123_ÜRETİM_İHTİYAÇ_RAPORU_BURAK_YENI1309[[#This Row],[SATINALMA]]*DST_123_ÜRETİM_İHTİYAÇ_RAPORU_BURAK_YENI1309[[#This Row],[BIRIM_FIYATLAR]])&lt;1,VALUE("0"),DST_123_ÜRETİM_İHTİYAÇ_RAPORU_BURAK_YENI1309[[#This Row],[SATINALMA]]*DST_123_ÜRETİM_İHTİYAÇ_RAPORU_BURAK_YENI1309[[#This Row],[BIRIM_FIYATLAR]])</f>
        <v>0</v>
      </c>
      <c r="N4403">
        <v>776.15</v>
      </c>
      <c r="O4403" t="s">
        <v>881</v>
      </c>
      <c r="P4403">
        <v>776.15</v>
      </c>
      <c r="Q4403" t="s">
        <v>221</v>
      </c>
    </row>
    <row r="4404" spans="1:17" x14ac:dyDescent="0.25">
      <c r="A4404" t="s">
        <v>1149</v>
      </c>
      <c r="B4404" t="s">
        <v>1145</v>
      </c>
      <c r="C4404" t="s">
        <v>175</v>
      </c>
      <c r="D4404" t="s">
        <v>1175</v>
      </c>
      <c r="E4404" t="s">
        <v>1176</v>
      </c>
      <c r="F4404">
        <v>2</v>
      </c>
      <c r="G4404" t="s">
        <v>176</v>
      </c>
      <c r="H4404">
        <v>0</v>
      </c>
      <c r="I4404">
        <v>500</v>
      </c>
      <c r="J4404" s="10">
        <v>500</v>
      </c>
      <c r="K4404" s="10">
        <f>SUMIFS(F:F,D:D,DST_123_ÜRETİM_İHTİYAÇ_RAPORU_BURAK_YENI1309[[#This Row],[ALT_KOD]])-(SUMIFS(H:H,D:D,DST_123_ÜRETİM_İHTİYAÇ_RAPORU_BURAK_YENI1309[[#This Row],[ALT_KOD]])+AVERAGEIFS(I:I,D:D,DST_123_ÜRETİM_İHTİYAÇ_RAPORU_BURAK_YENI1309[[#This Row],[ALT_KOD]])+AVERAGEIFS(L:L,D:D,DST_123_ÜRETİM_İHTİYAÇ_RAPORU_BURAK_YENI1309[[#This Row],[ALT_KOD]]))</f>
        <v>-486</v>
      </c>
      <c r="L4404">
        <v>0</v>
      </c>
      <c r="M4404">
        <f>IF((DST_123_ÜRETİM_İHTİYAÇ_RAPORU_BURAK_YENI1309[[#This Row],[SATINALMA]]*DST_123_ÜRETİM_İHTİYAÇ_RAPORU_BURAK_YENI1309[[#This Row],[BIRIM_FIYATLAR]])&lt;1,VALUE("0"),DST_123_ÜRETİM_İHTİYAÇ_RAPORU_BURAK_YENI1309[[#This Row],[SATINALMA]]*DST_123_ÜRETİM_İHTİYAÇ_RAPORU_BURAK_YENI1309[[#This Row],[BIRIM_FIYATLAR]])</f>
        <v>0</v>
      </c>
      <c r="N4404">
        <v>0.65</v>
      </c>
      <c r="O4404" t="s">
        <v>826</v>
      </c>
      <c r="P4404">
        <v>1.3</v>
      </c>
      <c r="Q4404" t="s">
        <v>221</v>
      </c>
    </row>
    <row r="4405" spans="1:17" x14ac:dyDescent="0.25">
      <c r="A4405" t="s">
        <v>1098</v>
      </c>
      <c r="B4405" t="s">
        <v>1096</v>
      </c>
      <c r="C4405" t="s">
        <v>175</v>
      </c>
      <c r="D4405" t="s">
        <v>779</v>
      </c>
      <c r="E4405" t="s">
        <v>780</v>
      </c>
      <c r="F4405">
        <v>2</v>
      </c>
      <c r="G4405" t="s">
        <v>176</v>
      </c>
      <c r="H4405">
        <v>0</v>
      </c>
      <c r="I4405">
        <v>1</v>
      </c>
      <c r="J4405" s="10">
        <v>14</v>
      </c>
      <c r="K4405" s="10">
        <f>SUMIFS(F:F,D:D,DST_123_ÜRETİM_İHTİYAÇ_RAPORU_BURAK_YENI1309[[#This Row],[ALT_KOD]])-(SUMIFS(H:H,D:D,DST_123_ÜRETİM_İHTİYAÇ_RAPORU_BURAK_YENI1309[[#This Row],[ALT_KOD]])+AVERAGEIFS(I:I,D:D,DST_123_ÜRETİM_İHTİYAÇ_RAPORU_BURAK_YENI1309[[#This Row],[ALT_KOD]])+AVERAGEIFS(L:L,D:D,DST_123_ÜRETİM_İHTİYAÇ_RAPORU_BURAK_YENI1309[[#This Row],[ALT_KOD]]))</f>
        <v>25</v>
      </c>
      <c r="L4405">
        <v>0</v>
      </c>
      <c r="M4405">
        <f>IF((DST_123_ÜRETİM_İHTİYAÇ_RAPORU_BURAK_YENI1309[[#This Row],[SATINALMA]]*DST_123_ÜRETİM_İHTİYAÇ_RAPORU_BURAK_YENI1309[[#This Row],[BIRIM_FIYATLAR]])&lt;1,VALUE("0"),DST_123_ÜRETİM_İHTİYAÇ_RAPORU_BURAK_YENI1309[[#This Row],[SATINALMA]]*DST_123_ÜRETİM_İHTİYAÇ_RAPORU_BURAK_YENI1309[[#This Row],[BIRIM_FIYATLAR]])</f>
        <v>11103.25</v>
      </c>
      <c r="N4405">
        <v>444.13</v>
      </c>
      <c r="O4405" t="s">
        <v>589</v>
      </c>
      <c r="P4405">
        <v>888.26</v>
      </c>
      <c r="Q4405" t="s">
        <v>177</v>
      </c>
    </row>
    <row r="4406" spans="1:17" x14ac:dyDescent="0.25">
      <c r="A4406" t="s">
        <v>1146</v>
      </c>
      <c r="B4406" t="s">
        <v>1145</v>
      </c>
      <c r="C4406" t="s">
        <v>175</v>
      </c>
      <c r="D4406" t="s">
        <v>335</v>
      </c>
      <c r="E4406" t="s">
        <v>622</v>
      </c>
      <c r="F4406">
        <v>1</v>
      </c>
      <c r="G4406" t="s">
        <v>176</v>
      </c>
      <c r="H4406">
        <v>0</v>
      </c>
      <c r="I4406">
        <v>5</v>
      </c>
      <c r="J4406" s="10">
        <v>4</v>
      </c>
      <c r="K4406" s="10">
        <f>SUMIFS(F:F,D:D,DST_123_ÜRETİM_İHTİYAÇ_RAPORU_BURAK_YENI1309[[#This Row],[ALT_KOD]])-(SUMIFS(H:H,D:D,DST_123_ÜRETİM_İHTİYAÇ_RAPORU_BURAK_YENI1309[[#This Row],[ALT_KOD]])+AVERAGEIFS(I:I,D:D,DST_123_ÜRETİM_İHTİYAÇ_RAPORU_BURAK_YENI1309[[#This Row],[ALT_KOD]])+AVERAGEIFS(L:L,D:D,DST_123_ÜRETİM_İHTİYAÇ_RAPORU_BURAK_YENI1309[[#This Row],[ALT_KOD]]))</f>
        <v>2</v>
      </c>
      <c r="L4406">
        <v>0</v>
      </c>
      <c r="M4406">
        <f>IF((DST_123_ÜRETİM_İHTİYAÇ_RAPORU_BURAK_YENI1309[[#This Row],[SATINALMA]]*DST_123_ÜRETİM_İHTİYAÇ_RAPORU_BURAK_YENI1309[[#This Row],[BIRIM_FIYATLAR]])&lt;1,VALUE("0"),DST_123_ÜRETİM_İHTİYAÇ_RAPORU_BURAK_YENI1309[[#This Row],[SATINALMA]]*DST_123_ÜRETİM_İHTİYAÇ_RAPORU_BURAK_YENI1309[[#This Row],[BIRIM_FIYATLAR]])</f>
        <v>3447.58</v>
      </c>
      <c r="N4406">
        <v>1723.79</v>
      </c>
      <c r="O4406" t="s">
        <v>636</v>
      </c>
      <c r="P4406">
        <v>1723.79</v>
      </c>
      <c r="Q4406" t="s">
        <v>178</v>
      </c>
    </row>
    <row r="4407" spans="1:17" x14ac:dyDescent="0.25">
      <c r="A4407" t="s">
        <v>1150</v>
      </c>
      <c r="B4407" t="s">
        <v>1145</v>
      </c>
      <c r="C4407" t="s">
        <v>175</v>
      </c>
      <c r="D4407" t="s">
        <v>569</v>
      </c>
      <c r="E4407" t="s">
        <v>570</v>
      </c>
      <c r="F4407">
        <v>7</v>
      </c>
      <c r="G4407" t="s">
        <v>176</v>
      </c>
      <c r="H4407">
        <v>0</v>
      </c>
      <c r="I4407">
        <v>1000</v>
      </c>
      <c r="J4407" s="10">
        <v>1222</v>
      </c>
      <c r="K4407" s="10">
        <f>SUMIFS(F:F,D:D,DST_123_ÜRETİM_İHTİYAÇ_RAPORU_BURAK_YENI1309[[#This Row],[ALT_KOD]])-(SUMIFS(H:H,D:D,DST_123_ÜRETİM_İHTİYAÇ_RAPORU_BURAK_YENI1309[[#This Row],[ALT_KOD]])+AVERAGEIFS(I:I,D:D,DST_123_ÜRETİM_İHTİYAÇ_RAPORU_BURAK_YENI1309[[#This Row],[ALT_KOD]])+AVERAGEIFS(L:L,D:D,DST_123_ÜRETİM_İHTİYAÇ_RAPORU_BURAK_YENI1309[[#This Row],[ALT_KOD]]))</f>
        <v>-903</v>
      </c>
      <c r="L4407">
        <v>0</v>
      </c>
      <c r="M4407">
        <f>IF((DST_123_ÜRETİM_İHTİYAÇ_RAPORU_BURAK_YENI1309[[#This Row],[SATINALMA]]*DST_123_ÜRETİM_İHTİYAÇ_RAPORU_BURAK_YENI1309[[#This Row],[BIRIM_FIYATLAR]])&lt;1,VALUE("0"),DST_123_ÜRETİM_İHTİYAÇ_RAPORU_BURAK_YENI1309[[#This Row],[SATINALMA]]*DST_123_ÜRETİM_İHTİYAÇ_RAPORU_BURAK_YENI1309[[#This Row],[BIRIM_FIYATLAR]])</f>
        <v>0</v>
      </c>
      <c r="N4407">
        <v>1.1399999999999999</v>
      </c>
      <c r="O4407" t="s">
        <v>882</v>
      </c>
      <c r="P4407">
        <v>7.9799999999999995</v>
      </c>
      <c r="Q4407" t="s">
        <v>180</v>
      </c>
    </row>
    <row r="4408" spans="1:17" x14ac:dyDescent="0.25">
      <c r="A4408" t="s">
        <v>1142</v>
      </c>
      <c r="B4408" t="s">
        <v>1056</v>
      </c>
      <c r="C4408" t="s">
        <v>175</v>
      </c>
      <c r="D4408" t="s">
        <v>271</v>
      </c>
      <c r="E4408" t="s">
        <v>620</v>
      </c>
      <c r="F4408">
        <v>1</v>
      </c>
      <c r="G4408" t="s">
        <v>176</v>
      </c>
      <c r="H4408">
        <v>0</v>
      </c>
      <c r="I4408">
        <v>8</v>
      </c>
      <c r="J4408" s="10">
        <v>4</v>
      </c>
      <c r="K4408" s="10">
        <f>SUMIFS(F:F,D:D,DST_123_ÜRETİM_İHTİYAÇ_RAPORU_BURAK_YENI1309[[#This Row],[ALT_KOD]])-(SUMIFS(H:H,D:D,DST_123_ÜRETİM_İHTİYAÇ_RAPORU_BURAK_YENI1309[[#This Row],[ALT_KOD]])+AVERAGEIFS(I:I,D:D,DST_123_ÜRETİM_İHTİYAÇ_RAPORU_BURAK_YENI1309[[#This Row],[ALT_KOD]])+AVERAGEIFS(L:L,D:D,DST_123_ÜRETİM_İHTİYAÇ_RAPORU_BURAK_YENI1309[[#This Row],[ALT_KOD]]))</f>
        <v>-1</v>
      </c>
      <c r="L4408">
        <v>0</v>
      </c>
      <c r="M4408">
        <f>IF((DST_123_ÜRETİM_İHTİYAÇ_RAPORU_BURAK_YENI1309[[#This Row],[SATINALMA]]*DST_123_ÜRETİM_İHTİYAÇ_RAPORU_BURAK_YENI1309[[#This Row],[BIRIM_FIYATLAR]])&lt;1,VALUE("0"),DST_123_ÜRETİM_İHTİYAÇ_RAPORU_BURAK_YENI1309[[#This Row],[SATINALMA]]*DST_123_ÜRETİM_İHTİYAÇ_RAPORU_BURAK_YENI1309[[#This Row],[BIRIM_FIYATLAR]])</f>
        <v>0</v>
      </c>
      <c r="N4408">
        <v>1723.79</v>
      </c>
      <c r="O4408" t="s">
        <v>636</v>
      </c>
      <c r="P4408">
        <v>1723.79</v>
      </c>
      <c r="Q4408" t="s">
        <v>178</v>
      </c>
    </row>
    <row r="4409" spans="1:17" x14ac:dyDescent="0.25">
      <c r="A4409" t="s">
        <v>1146</v>
      </c>
      <c r="B4409" t="s">
        <v>1145</v>
      </c>
      <c r="C4409" t="s">
        <v>175</v>
      </c>
      <c r="D4409" t="s">
        <v>718</v>
      </c>
      <c r="E4409" t="s">
        <v>719</v>
      </c>
      <c r="F4409">
        <v>1</v>
      </c>
      <c r="G4409" t="s">
        <v>176</v>
      </c>
      <c r="H4409">
        <v>0</v>
      </c>
      <c r="I4409">
        <v>1</v>
      </c>
      <c r="J4409" s="10">
        <v>4</v>
      </c>
      <c r="K4409" s="10">
        <f>SUMIFS(F:F,D:D,DST_123_ÜRETİM_İHTİYAÇ_RAPORU_BURAK_YENI1309[[#This Row],[ALT_KOD]])-(SUMIFS(H:H,D:D,DST_123_ÜRETİM_İHTİYAÇ_RAPORU_BURAK_YENI1309[[#This Row],[ALT_KOD]])+AVERAGEIFS(I:I,D:D,DST_123_ÜRETİM_İHTİYAÇ_RAPORU_BURAK_YENI1309[[#This Row],[ALT_KOD]])+AVERAGEIFS(L:L,D:D,DST_123_ÜRETİM_İHTİYAÇ_RAPORU_BURAK_YENI1309[[#This Row],[ALT_KOD]]))</f>
        <v>13</v>
      </c>
      <c r="L4409">
        <v>0</v>
      </c>
      <c r="M4409">
        <f>IF((DST_123_ÜRETİM_İHTİYAÇ_RAPORU_BURAK_YENI1309[[#This Row],[SATINALMA]]*DST_123_ÜRETİM_İHTİYAÇ_RAPORU_BURAK_YENI1309[[#This Row],[BIRIM_FIYATLAR]])&lt;1,VALUE("0"),DST_123_ÜRETİM_İHTİYAÇ_RAPORU_BURAK_YENI1309[[#This Row],[SATINALMA]]*DST_123_ÜRETİM_İHTİYAÇ_RAPORU_BURAK_YENI1309[[#This Row],[BIRIM_FIYATLAR]])</f>
        <v>168880.14</v>
      </c>
      <c r="N4409">
        <v>12990.78</v>
      </c>
      <c r="O4409" t="s">
        <v>589</v>
      </c>
      <c r="P4409">
        <v>12990.78</v>
      </c>
      <c r="Q4409" t="s">
        <v>177</v>
      </c>
    </row>
    <row r="4410" spans="1:17" x14ac:dyDescent="0.25">
      <c r="A4410" t="s">
        <v>1146</v>
      </c>
      <c r="B4410" t="s">
        <v>1145</v>
      </c>
      <c r="C4410" t="s">
        <v>175</v>
      </c>
      <c r="D4410" t="s">
        <v>879</v>
      </c>
      <c r="E4410" t="s">
        <v>880</v>
      </c>
      <c r="F4410">
        <v>1</v>
      </c>
      <c r="G4410" t="s">
        <v>176</v>
      </c>
      <c r="H4410">
        <v>0</v>
      </c>
      <c r="I4410">
        <v>9</v>
      </c>
      <c r="J4410" s="10">
        <v>8</v>
      </c>
      <c r="K4410" s="10">
        <f>SUMIFS(F:F,D:D,DST_123_ÜRETİM_İHTİYAÇ_RAPORU_BURAK_YENI1309[[#This Row],[ALT_KOD]])-(SUMIFS(H:H,D:D,DST_123_ÜRETİM_İHTİYAÇ_RAPORU_BURAK_YENI1309[[#This Row],[ALT_KOD]])+AVERAGEIFS(I:I,D:D,DST_123_ÜRETİM_İHTİYAÇ_RAPORU_BURAK_YENI1309[[#This Row],[ALT_KOD]])+AVERAGEIFS(L:L,D:D,DST_123_ÜRETİM_İHTİYAÇ_RAPORU_BURAK_YENI1309[[#This Row],[ALT_KOD]]))</f>
        <v>-12</v>
      </c>
      <c r="L4410">
        <v>15</v>
      </c>
      <c r="M4410">
        <f>IF((DST_123_ÜRETİM_İHTİYAÇ_RAPORU_BURAK_YENI1309[[#This Row],[SATINALMA]]*DST_123_ÜRETİM_İHTİYAÇ_RAPORU_BURAK_YENI1309[[#This Row],[BIRIM_FIYATLAR]])&lt;1,VALUE("0"),DST_123_ÜRETİM_İHTİYAÇ_RAPORU_BURAK_YENI1309[[#This Row],[SATINALMA]]*DST_123_ÜRETİM_İHTİYAÇ_RAPORU_BURAK_YENI1309[[#This Row],[BIRIM_FIYATLAR]])</f>
        <v>0</v>
      </c>
      <c r="N4410">
        <v>776.15</v>
      </c>
      <c r="O4410" t="s">
        <v>881</v>
      </c>
      <c r="P4410">
        <v>776.15</v>
      </c>
      <c r="Q4410" t="s">
        <v>221</v>
      </c>
    </row>
    <row r="4411" spans="1:17" x14ac:dyDescent="0.25">
      <c r="A4411" t="s">
        <v>1144</v>
      </c>
      <c r="B4411" t="s">
        <v>1145</v>
      </c>
      <c r="C4411" t="s">
        <v>175</v>
      </c>
      <c r="D4411" t="s">
        <v>879</v>
      </c>
      <c r="E4411" t="s">
        <v>880</v>
      </c>
      <c r="F4411">
        <v>1</v>
      </c>
      <c r="G4411" t="s">
        <v>176</v>
      </c>
      <c r="H4411">
        <v>0</v>
      </c>
      <c r="I4411">
        <v>9</v>
      </c>
      <c r="J4411" s="10">
        <v>8</v>
      </c>
      <c r="K4411" s="10">
        <f>SUMIFS(F:F,D:D,DST_123_ÜRETİM_İHTİYAÇ_RAPORU_BURAK_YENI1309[[#This Row],[ALT_KOD]])-(SUMIFS(H:H,D:D,DST_123_ÜRETİM_İHTİYAÇ_RAPORU_BURAK_YENI1309[[#This Row],[ALT_KOD]])+AVERAGEIFS(I:I,D:D,DST_123_ÜRETİM_İHTİYAÇ_RAPORU_BURAK_YENI1309[[#This Row],[ALT_KOD]])+AVERAGEIFS(L:L,D:D,DST_123_ÜRETİM_İHTİYAÇ_RAPORU_BURAK_YENI1309[[#This Row],[ALT_KOD]]))</f>
        <v>-12</v>
      </c>
      <c r="L4411">
        <v>15</v>
      </c>
      <c r="M4411">
        <f>IF((DST_123_ÜRETİM_İHTİYAÇ_RAPORU_BURAK_YENI1309[[#This Row],[SATINALMA]]*DST_123_ÜRETİM_İHTİYAÇ_RAPORU_BURAK_YENI1309[[#This Row],[BIRIM_FIYATLAR]])&lt;1,VALUE("0"),DST_123_ÜRETİM_İHTİYAÇ_RAPORU_BURAK_YENI1309[[#This Row],[SATINALMA]]*DST_123_ÜRETİM_İHTİYAÇ_RAPORU_BURAK_YENI1309[[#This Row],[BIRIM_FIYATLAR]])</f>
        <v>0</v>
      </c>
      <c r="N4411">
        <v>776.15</v>
      </c>
      <c r="O4411" t="s">
        <v>881</v>
      </c>
      <c r="P4411">
        <v>776.15</v>
      </c>
      <c r="Q4411" t="s">
        <v>221</v>
      </c>
    </row>
    <row r="4412" spans="1:17" x14ac:dyDescent="0.25">
      <c r="A4412" t="s">
        <v>1144</v>
      </c>
      <c r="B4412" t="s">
        <v>1145</v>
      </c>
      <c r="C4412" t="s">
        <v>175</v>
      </c>
      <c r="D4412" t="s">
        <v>1177</v>
      </c>
      <c r="E4412" t="s">
        <v>1178</v>
      </c>
      <c r="F4412">
        <v>2</v>
      </c>
      <c r="G4412" t="s">
        <v>176</v>
      </c>
      <c r="H4412">
        <v>0</v>
      </c>
      <c r="I4412">
        <v>500</v>
      </c>
      <c r="J4412" s="10">
        <v>500</v>
      </c>
      <c r="K4412" s="10">
        <f>SUMIFS(F:F,D:D,DST_123_ÜRETİM_İHTİYAÇ_RAPORU_BURAK_YENI1309[[#This Row],[ALT_KOD]])-(SUMIFS(H:H,D:D,DST_123_ÜRETİM_İHTİYAÇ_RAPORU_BURAK_YENI1309[[#This Row],[ALT_KOD]])+AVERAGEIFS(I:I,D:D,DST_123_ÜRETİM_İHTİYAÇ_RAPORU_BURAK_YENI1309[[#This Row],[ALT_KOD]])+AVERAGEIFS(L:L,D:D,DST_123_ÜRETİM_İHTİYAÇ_RAPORU_BURAK_YENI1309[[#This Row],[ALT_KOD]]))</f>
        <v>-486</v>
      </c>
      <c r="L4412">
        <v>0</v>
      </c>
      <c r="M4412">
        <f>IF((DST_123_ÜRETİM_İHTİYAÇ_RAPORU_BURAK_YENI1309[[#This Row],[SATINALMA]]*DST_123_ÜRETİM_İHTİYAÇ_RAPORU_BURAK_YENI1309[[#This Row],[BIRIM_FIYATLAR]])&lt;1,VALUE("0"),DST_123_ÜRETİM_İHTİYAÇ_RAPORU_BURAK_YENI1309[[#This Row],[SATINALMA]]*DST_123_ÜRETİM_İHTİYAÇ_RAPORU_BURAK_YENI1309[[#This Row],[BIRIM_FIYATLAR]])</f>
        <v>0</v>
      </c>
      <c r="N4412">
        <v>0.39</v>
      </c>
      <c r="O4412" t="s">
        <v>826</v>
      </c>
      <c r="P4412">
        <v>0.78</v>
      </c>
      <c r="Q4412" t="s">
        <v>221</v>
      </c>
    </row>
    <row r="4413" spans="1:17" x14ac:dyDescent="0.25">
      <c r="A4413" t="s">
        <v>1057</v>
      </c>
      <c r="B4413" t="s">
        <v>1058</v>
      </c>
      <c r="C4413" t="s">
        <v>175</v>
      </c>
      <c r="D4413" t="s">
        <v>967</v>
      </c>
      <c r="E4413" t="s">
        <v>968</v>
      </c>
      <c r="F4413">
        <v>1</v>
      </c>
      <c r="G4413" t="s">
        <v>176</v>
      </c>
      <c r="H4413">
        <v>0</v>
      </c>
      <c r="I4413">
        <v>2</v>
      </c>
      <c r="J4413" s="10">
        <v>3.5527136788005009E-15</v>
      </c>
      <c r="K4413" s="10">
        <f>SUMIFS(F:F,D:D,DST_123_ÜRETİM_İHTİYAÇ_RAPORU_BURAK_YENI1309[[#This Row],[ALT_KOD]])-(SUMIFS(H:H,D:D,DST_123_ÜRETİM_İHTİYAÇ_RAPORU_BURAK_YENI1309[[#This Row],[ALT_KOD]])+AVERAGEIFS(I:I,D:D,DST_123_ÜRETİM_İHTİYAÇ_RAPORU_BURAK_YENI1309[[#This Row],[ALT_KOD]])+AVERAGEIFS(L:L,D:D,DST_123_ÜRETİM_İHTİYAÇ_RAPORU_BURAK_YENI1309[[#This Row],[ALT_KOD]]))</f>
        <v>1</v>
      </c>
      <c r="L4413">
        <v>0</v>
      </c>
      <c r="M4413">
        <f>IF((DST_123_ÜRETİM_İHTİYAÇ_RAPORU_BURAK_YENI1309[[#This Row],[SATINALMA]]*DST_123_ÜRETİM_İHTİYAÇ_RAPORU_BURAK_YENI1309[[#This Row],[BIRIM_FIYATLAR]])&lt;1,VALUE("0"),DST_123_ÜRETİM_İHTİYAÇ_RAPORU_BURAK_YENI1309[[#This Row],[SATINALMA]]*DST_123_ÜRETİM_İHTİYAÇ_RAPORU_BURAK_YENI1309[[#This Row],[BIRIM_FIYATLAR]])</f>
        <v>155</v>
      </c>
      <c r="N4413">
        <v>155</v>
      </c>
      <c r="O4413" t="s">
        <v>969</v>
      </c>
      <c r="P4413">
        <v>155</v>
      </c>
      <c r="Q4413" t="s">
        <v>180</v>
      </c>
    </row>
    <row r="4414" spans="1:17" x14ac:dyDescent="0.25">
      <c r="A4414" t="s">
        <v>1147</v>
      </c>
      <c r="B4414" t="s">
        <v>1145</v>
      </c>
      <c r="C4414" t="s">
        <v>175</v>
      </c>
      <c r="D4414" t="s">
        <v>1165</v>
      </c>
      <c r="E4414" t="s">
        <v>1166</v>
      </c>
      <c r="F4414">
        <v>2</v>
      </c>
      <c r="G4414" t="s">
        <v>176</v>
      </c>
      <c r="H4414">
        <v>0</v>
      </c>
      <c r="I4414">
        <v>1000</v>
      </c>
      <c r="J4414" s="10">
        <v>1000</v>
      </c>
      <c r="K4414" s="10">
        <f>SUMIFS(F:F,D:D,DST_123_ÜRETİM_İHTİYAÇ_RAPORU_BURAK_YENI1309[[#This Row],[ALT_KOD]])-(SUMIFS(H:H,D:D,DST_123_ÜRETİM_İHTİYAÇ_RAPORU_BURAK_YENI1309[[#This Row],[ALT_KOD]])+AVERAGEIFS(I:I,D:D,DST_123_ÜRETİM_İHTİYAÇ_RAPORU_BURAK_YENI1309[[#This Row],[ALT_KOD]])+AVERAGEIFS(L:L,D:D,DST_123_ÜRETİM_İHTİYAÇ_RAPORU_BURAK_YENI1309[[#This Row],[ALT_KOD]]))</f>
        <v>-986</v>
      </c>
      <c r="L4414">
        <v>0</v>
      </c>
      <c r="M4414">
        <f>IF((DST_123_ÜRETİM_İHTİYAÇ_RAPORU_BURAK_YENI1309[[#This Row],[SATINALMA]]*DST_123_ÜRETİM_İHTİYAÇ_RAPORU_BURAK_YENI1309[[#This Row],[BIRIM_FIYATLAR]])&lt;1,VALUE("0"),DST_123_ÜRETİM_İHTİYAÇ_RAPORU_BURAK_YENI1309[[#This Row],[SATINALMA]]*DST_123_ÜRETİM_İHTİYAÇ_RAPORU_BURAK_YENI1309[[#This Row],[BIRIM_FIYATLAR]])</f>
        <v>0</v>
      </c>
      <c r="N4414">
        <v>0.28000000000000003</v>
      </c>
      <c r="O4414" t="s">
        <v>826</v>
      </c>
      <c r="P4414">
        <v>0.56000000000000005</v>
      </c>
      <c r="Q4414" t="s">
        <v>221</v>
      </c>
    </row>
    <row r="4415" spans="1:17" x14ac:dyDescent="0.25">
      <c r="A4415" t="s">
        <v>1150</v>
      </c>
      <c r="B4415" t="s">
        <v>1145</v>
      </c>
      <c r="C4415" t="s">
        <v>175</v>
      </c>
      <c r="D4415" t="s">
        <v>597</v>
      </c>
      <c r="E4415" t="s">
        <v>598</v>
      </c>
      <c r="F4415">
        <v>2</v>
      </c>
      <c r="G4415" t="s">
        <v>176</v>
      </c>
      <c r="H4415">
        <v>0</v>
      </c>
      <c r="I4415">
        <v>29</v>
      </c>
      <c r="J4415" s="10">
        <v>9</v>
      </c>
      <c r="K4415" s="10">
        <f>SUMIFS(F:F,D:D,DST_123_ÜRETİM_İHTİYAÇ_RAPORU_BURAK_YENI1309[[#This Row],[ALT_KOD]])-(SUMIFS(H:H,D:D,DST_123_ÜRETİM_İHTİYAÇ_RAPORU_BURAK_YENI1309[[#This Row],[ALT_KOD]])+AVERAGEIFS(I:I,D:D,DST_123_ÜRETİM_İHTİYAÇ_RAPORU_BURAK_YENI1309[[#This Row],[ALT_KOD]])+AVERAGEIFS(L:L,D:D,DST_123_ÜRETİM_İHTİYAÇ_RAPORU_BURAK_YENI1309[[#This Row],[ALT_KOD]]))</f>
        <v>-13</v>
      </c>
      <c r="L4415">
        <v>0</v>
      </c>
      <c r="M4415">
        <f>IF((DST_123_ÜRETİM_İHTİYAÇ_RAPORU_BURAK_YENI1309[[#This Row],[SATINALMA]]*DST_123_ÜRETİM_İHTİYAÇ_RAPORU_BURAK_YENI1309[[#This Row],[BIRIM_FIYATLAR]])&lt;1,VALUE("0"),DST_123_ÜRETİM_İHTİYAÇ_RAPORU_BURAK_YENI1309[[#This Row],[SATINALMA]]*DST_123_ÜRETİM_İHTİYAÇ_RAPORU_BURAK_YENI1309[[#This Row],[BIRIM_FIYATLAR]])</f>
        <v>0</v>
      </c>
      <c r="N4415">
        <v>355.05</v>
      </c>
      <c r="O4415" t="s">
        <v>636</v>
      </c>
      <c r="P4415">
        <v>710.1</v>
      </c>
      <c r="Q4415" t="s">
        <v>177</v>
      </c>
    </row>
    <row r="4416" spans="1:17" x14ac:dyDescent="0.25">
      <c r="A4416" t="s">
        <v>1148</v>
      </c>
      <c r="B4416" t="s">
        <v>1056</v>
      </c>
      <c r="C4416" t="s">
        <v>175</v>
      </c>
      <c r="D4416" t="s">
        <v>642</v>
      </c>
      <c r="E4416" t="s">
        <v>643</v>
      </c>
      <c r="F4416">
        <v>3</v>
      </c>
      <c r="G4416" t="s">
        <v>176</v>
      </c>
      <c r="H4416">
        <v>0</v>
      </c>
      <c r="I4416">
        <v>19</v>
      </c>
      <c r="J4416" s="10">
        <v>19</v>
      </c>
      <c r="K4416" s="10">
        <f>SUMIFS(F:F,D:D,DST_123_ÜRETİM_İHTİYAÇ_RAPORU_BURAK_YENI1309[[#This Row],[ALT_KOD]])-(SUMIFS(H:H,D:D,DST_123_ÜRETİM_İHTİYAÇ_RAPORU_BURAK_YENI1309[[#This Row],[ALT_KOD]])+AVERAGEIFS(I:I,D:D,DST_123_ÜRETİM_İHTİYAÇ_RAPORU_BURAK_YENI1309[[#This Row],[ALT_KOD]])+AVERAGEIFS(L:L,D:D,DST_123_ÜRETİM_İHTİYAÇ_RAPORU_BURAK_YENI1309[[#This Row],[ALT_KOD]]))</f>
        <v>14</v>
      </c>
      <c r="L4416">
        <v>0</v>
      </c>
      <c r="M4416">
        <f>IF((DST_123_ÜRETİM_İHTİYAÇ_RAPORU_BURAK_YENI1309[[#This Row],[SATINALMA]]*DST_123_ÜRETİM_İHTİYAÇ_RAPORU_BURAK_YENI1309[[#This Row],[BIRIM_FIYATLAR]])&lt;1,VALUE("0"),DST_123_ÜRETİM_İHTİYAÇ_RAPORU_BURAK_YENI1309[[#This Row],[SATINALMA]]*DST_123_ÜRETİM_İHTİYAÇ_RAPORU_BURAK_YENI1309[[#This Row],[BIRIM_FIYATLAR]])</f>
        <v>44207.66</v>
      </c>
      <c r="N4416">
        <v>3157.69</v>
      </c>
      <c r="O4416" t="s">
        <v>647</v>
      </c>
      <c r="P4416">
        <v>9473.07</v>
      </c>
      <c r="Q4416" t="s">
        <v>177</v>
      </c>
    </row>
    <row r="4417" spans="1:17" x14ac:dyDescent="0.25">
      <c r="A4417" t="s">
        <v>1148</v>
      </c>
      <c r="B4417" t="s">
        <v>1056</v>
      </c>
      <c r="C4417" t="s">
        <v>175</v>
      </c>
      <c r="D4417" t="s">
        <v>740</v>
      </c>
      <c r="E4417" t="s">
        <v>741</v>
      </c>
      <c r="F4417">
        <v>1</v>
      </c>
      <c r="G4417" t="s">
        <v>176</v>
      </c>
      <c r="H4417">
        <v>0</v>
      </c>
      <c r="I4417">
        <v>17</v>
      </c>
      <c r="J4417" s="10">
        <v>17</v>
      </c>
      <c r="K4417" s="10">
        <f>SUMIFS(F:F,D:D,DST_123_ÜRETİM_İHTİYAÇ_RAPORU_BURAK_YENI1309[[#This Row],[ALT_KOD]])-(SUMIFS(H:H,D:D,DST_123_ÜRETİM_İHTİYAÇ_RAPORU_BURAK_YENI1309[[#This Row],[ALT_KOD]])+AVERAGEIFS(I:I,D:D,DST_123_ÜRETİM_İHTİYAÇ_RAPORU_BURAK_YENI1309[[#This Row],[ALT_KOD]])+AVERAGEIFS(L:L,D:D,DST_123_ÜRETİM_İHTİYAÇ_RAPORU_BURAK_YENI1309[[#This Row],[ALT_KOD]]))</f>
        <v>-6</v>
      </c>
      <c r="L4417">
        <v>0</v>
      </c>
      <c r="M4417">
        <f>IF((DST_123_ÜRETİM_İHTİYAÇ_RAPORU_BURAK_YENI1309[[#This Row],[SATINALMA]]*DST_123_ÜRETİM_İHTİYAÇ_RAPORU_BURAK_YENI1309[[#This Row],[BIRIM_FIYATLAR]])&lt;1,VALUE("0"),DST_123_ÜRETİM_İHTİYAÇ_RAPORU_BURAK_YENI1309[[#This Row],[SATINALMA]]*DST_123_ÜRETİM_İHTİYAÇ_RAPORU_BURAK_YENI1309[[#This Row],[BIRIM_FIYATLAR]])</f>
        <v>0</v>
      </c>
      <c r="N4417">
        <v>41.67</v>
      </c>
      <c r="O4417" t="s">
        <v>667</v>
      </c>
      <c r="P4417">
        <v>41.67</v>
      </c>
      <c r="Q4417" t="s">
        <v>177</v>
      </c>
    </row>
    <row r="4418" spans="1:17" x14ac:dyDescent="0.25">
      <c r="A4418" t="s">
        <v>1144</v>
      </c>
      <c r="B4418" t="s">
        <v>1145</v>
      </c>
      <c r="C4418" t="s">
        <v>175</v>
      </c>
      <c r="D4418" t="s">
        <v>443</v>
      </c>
      <c r="E4418" t="s">
        <v>444</v>
      </c>
      <c r="F4418">
        <v>1</v>
      </c>
      <c r="G4418" t="s">
        <v>176</v>
      </c>
      <c r="H4418">
        <v>0</v>
      </c>
      <c r="I4418">
        <v>25</v>
      </c>
      <c r="J4418" s="10">
        <v>5</v>
      </c>
      <c r="K4418" s="10">
        <f>SUMIFS(F:F,D:D,DST_123_ÜRETİM_İHTİYAÇ_RAPORU_BURAK_YENI1309[[#This Row],[ALT_KOD]])-(SUMIFS(H:H,D:D,DST_123_ÜRETİM_İHTİYAÇ_RAPORU_BURAK_YENI1309[[#This Row],[ALT_KOD]])+AVERAGEIFS(I:I,D:D,DST_123_ÜRETİM_İHTİYAÇ_RAPORU_BURAK_YENI1309[[#This Row],[ALT_KOD]])+AVERAGEIFS(L:L,D:D,DST_123_ÜRETİM_İHTİYAÇ_RAPORU_BURAK_YENI1309[[#This Row],[ALT_KOD]]))</f>
        <v>-13</v>
      </c>
      <c r="L4418">
        <v>0</v>
      </c>
      <c r="M4418">
        <f>IF((DST_123_ÜRETİM_İHTİYAÇ_RAPORU_BURAK_YENI1309[[#This Row],[SATINALMA]]*DST_123_ÜRETİM_İHTİYAÇ_RAPORU_BURAK_YENI1309[[#This Row],[BIRIM_FIYATLAR]])&lt;1,VALUE("0"),DST_123_ÜRETİM_İHTİYAÇ_RAPORU_BURAK_YENI1309[[#This Row],[SATINALMA]]*DST_123_ÜRETİM_İHTİYAÇ_RAPORU_BURAK_YENI1309[[#This Row],[BIRIM_FIYATLAR]])</f>
        <v>0</v>
      </c>
      <c r="N4418">
        <v>373.06</v>
      </c>
      <c r="O4418" t="s">
        <v>636</v>
      </c>
      <c r="P4418">
        <v>373.06</v>
      </c>
      <c r="Q4418" t="s">
        <v>178</v>
      </c>
    </row>
    <row r="4419" spans="1:17" x14ac:dyDescent="0.25">
      <c r="A4419" t="s">
        <v>1146</v>
      </c>
      <c r="B4419" t="s">
        <v>1145</v>
      </c>
      <c r="C4419" t="s">
        <v>175</v>
      </c>
      <c r="D4419" t="s">
        <v>443</v>
      </c>
      <c r="E4419" t="s">
        <v>444</v>
      </c>
      <c r="F4419">
        <v>1</v>
      </c>
      <c r="G4419" t="s">
        <v>176</v>
      </c>
      <c r="H4419">
        <v>0</v>
      </c>
      <c r="I4419">
        <v>25</v>
      </c>
      <c r="J4419" s="10">
        <v>5</v>
      </c>
      <c r="K4419" s="10">
        <f>SUMIFS(F:F,D:D,DST_123_ÜRETİM_İHTİYAÇ_RAPORU_BURAK_YENI1309[[#This Row],[ALT_KOD]])-(SUMIFS(H:H,D:D,DST_123_ÜRETİM_İHTİYAÇ_RAPORU_BURAK_YENI1309[[#This Row],[ALT_KOD]])+AVERAGEIFS(I:I,D:D,DST_123_ÜRETİM_İHTİYAÇ_RAPORU_BURAK_YENI1309[[#This Row],[ALT_KOD]])+AVERAGEIFS(L:L,D:D,DST_123_ÜRETİM_İHTİYAÇ_RAPORU_BURAK_YENI1309[[#This Row],[ALT_KOD]]))</f>
        <v>-13</v>
      </c>
      <c r="L4419">
        <v>0</v>
      </c>
      <c r="M4419">
        <f>IF((DST_123_ÜRETİM_İHTİYAÇ_RAPORU_BURAK_YENI1309[[#This Row],[SATINALMA]]*DST_123_ÜRETİM_İHTİYAÇ_RAPORU_BURAK_YENI1309[[#This Row],[BIRIM_FIYATLAR]])&lt;1,VALUE("0"),DST_123_ÜRETİM_İHTİYAÇ_RAPORU_BURAK_YENI1309[[#This Row],[SATINALMA]]*DST_123_ÜRETİM_İHTİYAÇ_RAPORU_BURAK_YENI1309[[#This Row],[BIRIM_FIYATLAR]])</f>
        <v>0</v>
      </c>
      <c r="N4419">
        <v>373.06</v>
      </c>
      <c r="O4419" t="s">
        <v>636</v>
      </c>
      <c r="P4419">
        <v>373.06</v>
      </c>
      <c r="Q4419" t="s">
        <v>178</v>
      </c>
    </row>
    <row r="4420" spans="1:17" x14ac:dyDescent="0.25">
      <c r="A4420" t="s">
        <v>1144</v>
      </c>
      <c r="B4420" t="s">
        <v>1145</v>
      </c>
      <c r="C4420" t="s">
        <v>175</v>
      </c>
      <c r="D4420" t="s">
        <v>597</v>
      </c>
      <c r="E4420" t="s">
        <v>598</v>
      </c>
      <c r="F4420">
        <v>2</v>
      </c>
      <c r="G4420" t="s">
        <v>176</v>
      </c>
      <c r="H4420">
        <v>0</v>
      </c>
      <c r="I4420">
        <v>29</v>
      </c>
      <c r="J4420" s="10">
        <v>9</v>
      </c>
      <c r="K4420" s="10">
        <f>SUMIFS(F:F,D:D,DST_123_ÜRETİM_İHTİYAÇ_RAPORU_BURAK_YENI1309[[#This Row],[ALT_KOD]])-(SUMIFS(H:H,D:D,DST_123_ÜRETİM_İHTİYAÇ_RAPORU_BURAK_YENI1309[[#This Row],[ALT_KOD]])+AVERAGEIFS(I:I,D:D,DST_123_ÜRETİM_İHTİYAÇ_RAPORU_BURAK_YENI1309[[#This Row],[ALT_KOD]])+AVERAGEIFS(L:L,D:D,DST_123_ÜRETİM_İHTİYAÇ_RAPORU_BURAK_YENI1309[[#This Row],[ALT_KOD]]))</f>
        <v>-13</v>
      </c>
      <c r="L4420">
        <v>0</v>
      </c>
      <c r="M4420">
        <f>IF((DST_123_ÜRETİM_İHTİYAÇ_RAPORU_BURAK_YENI1309[[#This Row],[SATINALMA]]*DST_123_ÜRETİM_İHTİYAÇ_RAPORU_BURAK_YENI1309[[#This Row],[BIRIM_FIYATLAR]])&lt;1,VALUE("0"),DST_123_ÜRETİM_İHTİYAÇ_RAPORU_BURAK_YENI1309[[#This Row],[SATINALMA]]*DST_123_ÜRETİM_İHTİYAÇ_RAPORU_BURAK_YENI1309[[#This Row],[BIRIM_FIYATLAR]])</f>
        <v>0</v>
      </c>
      <c r="N4420">
        <v>355.05</v>
      </c>
      <c r="O4420" t="s">
        <v>636</v>
      </c>
      <c r="P4420">
        <v>710.1</v>
      </c>
      <c r="Q4420" t="s">
        <v>177</v>
      </c>
    </row>
    <row r="4421" spans="1:17" x14ac:dyDescent="0.25">
      <c r="A4421" t="s">
        <v>1150</v>
      </c>
      <c r="B4421" t="s">
        <v>1145</v>
      </c>
      <c r="C4421" t="s">
        <v>175</v>
      </c>
      <c r="D4421" t="s">
        <v>642</v>
      </c>
      <c r="E4421" t="s">
        <v>643</v>
      </c>
      <c r="F4421">
        <v>4</v>
      </c>
      <c r="G4421" t="s">
        <v>176</v>
      </c>
      <c r="H4421">
        <v>0</v>
      </c>
      <c r="I4421">
        <v>19</v>
      </c>
      <c r="J4421" s="10">
        <v>19</v>
      </c>
      <c r="K4421" s="10">
        <f>SUMIFS(F:F,D:D,DST_123_ÜRETİM_İHTİYAÇ_RAPORU_BURAK_YENI1309[[#This Row],[ALT_KOD]])-(SUMIFS(H:H,D:D,DST_123_ÜRETİM_İHTİYAÇ_RAPORU_BURAK_YENI1309[[#This Row],[ALT_KOD]])+AVERAGEIFS(I:I,D:D,DST_123_ÜRETİM_İHTİYAÇ_RAPORU_BURAK_YENI1309[[#This Row],[ALT_KOD]])+AVERAGEIFS(L:L,D:D,DST_123_ÜRETİM_İHTİYAÇ_RAPORU_BURAK_YENI1309[[#This Row],[ALT_KOD]]))</f>
        <v>14</v>
      </c>
      <c r="L4421">
        <v>0</v>
      </c>
      <c r="M4421">
        <f>IF((DST_123_ÜRETİM_İHTİYAÇ_RAPORU_BURAK_YENI1309[[#This Row],[SATINALMA]]*DST_123_ÜRETİM_İHTİYAÇ_RAPORU_BURAK_YENI1309[[#This Row],[BIRIM_FIYATLAR]])&lt;1,VALUE("0"),DST_123_ÜRETİM_İHTİYAÇ_RAPORU_BURAK_YENI1309[[#This Row],[SATINALMA]]*DST_123_ÜRETİM_İHTİYAÇ_RAPORU_BURAK_YENI1309[[#This Row],[BIRIM_FIYATLAR]])</f>
        <v>44207.66</v>
      </c>
      <c r="N4421">
        <v>3157.69</v>
      </c>
      <c r="O4421" t="s">
        <v>647</v>
      </c>
      <c r="P4421">
        <v>12630.76</v>
      </c>
      <c r="Q4421" t="s">
        <v>177</v>
      </c>
    </row>
    <row r="4422" spans="1:17" x14ac:dyDescent="0.25">
      <c r="A4422" t="s">
        <v>1150</v>
      </c>
      <c r="B4422" t="s">
        <v>1145</v>
      </c>
      <c r="C4422" t="s">
        <v>175</v>
      </c>
      <c r="D4422" t="s">
        <v>1165</v>
      </c>
      <c r="E4422" t="s">
        <v>1166</v>
      </c>
      <c r="F4422">
        <v>2</v>
      </c>
      <c r="G4422" t="s">
        <v>176</v>
      </c>
      <c r="H4422">
        <v>0</v>
      </c>
      <c r="I4422">
        <v>1000</v>
      </c>
      <c r="J4422" s="10">
        <v>1000</v>
      </c>
      <c r="K4422" s="10">
        <f>SUMIFS(F:F,D:D,DST_123_ÜRETİM_İHTİYAÇ_RAPORU_BURAK_YENI1309[[#This Row],[ALT_KOD]])-(SUMIFS(H:H,D:D,DST_123_ÜRETİM_İHTİYAÇ_RAPORU_BURAK_YENI1309[[#This Row],[ALT_KOD]])+AVERAGEIFS(I:I,D:D,DST_123_ÜRETİM_İHTİYAÇ_RAPORU_BURAK_YENI1309[[#This Row],[ALT_KOD]])+AVERAGEIFS(L:L,D:D,DST_123_ÜRETİM_İHTİYAÇ_RAPORU_BURAK_YENI1309[[#This Row],[ALT_KOD]]))</f>
        <v>-986</v>
      </c>
      <c r="L4422">
        <v>0</v>
      </c>
      <c r="M4422">
        <f>IF((DST_123_ÜRETİM_İHTİYAÇ_RAPORU_BURAK_YENI1309[[#This Row],[SATINALMA]]*DST_123_ÜRETİM_İHTİYAÇ_RAPORU_BURAK_YENI1309[[#This Row],[BIRIM_FIYATLAR]])&lt;1,VALUE("0"),DST_123_ÜRETİM_İHTİYAÇ_RAPORU_BURAK_YENI1309[[#This Row],[SATINALMA]]*DST_123_ÜRETİM_İHTİYAÇ_RAPORU_BURAK_YENI1309[[#This Row],[BIRIM_FIYATLAR]])</f>
        <v>0</v>
      </c>
      <c r="N4422">
        <v>0.28000000000000003</v>
      </c>
      <c r="O4422" t="s">
        <v>826</v>
      </c>
      <c r="P4422">
        <v>0.56000000000000005</v>
      </c>
      <c r="Q4422" t="s">
        <v>221</v>
      </c>
    </row>
    <row r="4423" spans="1:17" x14ac:dyDescent="0.25">
      <c r="A4423" t="s">
        <v>1144</v>
      </c>
      <c r="B4423" t="s">
        <v>1145</v>
      </c>
      <c r="C4423" t="s">
        <v>175</v>
      </c>
      <c r="D4423" t="s">
        <v>740</v>
      </c>
      <c r="E4423" t="s">
        <v>741</v>
      </c>
      <c r="F4423">
        <v>1</v>
      </c>
      <c r="G4423" t="s">
        <v>176</v>
      </c>
      <c r="H4423">
        <v>0</v>
      </c>
      <c r="I4423">
        <v>17</v>
      </c>
      <c r="J4423" s="10">
        <v>17</v>
      </c>
      <c r="K4423" s="10">
        <f>SUMIFS(F:F,D:D,DST_123_ÜRETİM_İHTİYAÇ_RAPORU_BURAK_YENI1309[[#This Row],[ALT_KOD]])-(SUMIFS(H:H,D:D,DST_123_ÜRETİM_İHTİYAÇ_RAPORU_BURAK_YENI1309[[#This Row],[ALT_KOD]])+AVERAGEIFS(I:I,D:D,DST_123_ÜRETİM_İHTİYAÇ_RAPORU_BURAK_YENI1309[[#This Row],[ALT_KOD]])+AVERAGEIFS(L:L,D:D,DST_123_ÜRETİM_İHTİYAÇ_RAPORU_BURAK_YENI1309[[#This Row],[ALT_KOD]]))</f>
        <v>-6</v>
      </c>
      <c r="L4423">
        <v>0</v>
      </c>
      <c r="M4423">
        <f>IF((DST_123_ÜRETİM_İHTİYAÇ_RAPORU_BURAK_YENI1309[[#This Row],[SATINALMA]]*DST_123_ÜRETİM_İHTİYAÇ_RAPORU_BURAK_YENI1309[[#This Row],[BIRIM_FIYATLAR]])&lt;1,VALUE("0"),DST_123_ÜRETİM_İHTİYAÇ_RAPORU_BURAK_YENI1309[[#This Row],[SATINALMA]]*DST_123_ÜRETİM_İHTİYAÇ_RAPORU_BURAK_YENI1309[[#This Row],[BIRIM_FIYATLAR]])</f>
        <v>0</v>
      </c>
      <c r="N4423">
        <v>41.67</v>
      </c>
      <c r="O4423" t="s">
        <v>667</v>
      </c>
      <c r="P4423">
        <v>41.67</v>
      </c>
      <c r="Q4423" t="s">
        <v>177</v>
      </c>
    </row>
    <row r="4424" spans="1:17" x14ac:dyDescent="0.25">
      <c r="A4424" t="s">
        <v>1146</v>
      </c>
      <c r="B4424" t="s">
        <v>1145</v>
      </c>
      <c r="C4424" t="s">
        <v>175</v>
      </c>
      <c r="D4424" t="s">
        <v>630</v>
      </c>
      <c r="E4424" t="s">
        <v>631</v>
      </c>
      <c r="F4424">
        <v>278</v>
      </c>
      <c r="G4424" t="s">
        <v>176</v>
      </c>
      <c r="H4424">
        <v>0</v>
      </c>
      <c r="I4424">
        <v>8000</v>
      </c>
      <c r="J4424" s="10">
        <v>11449</v>
      </c>
      <c r="K4424" s="10">
        <f>SUMIFS(F:F,D:D,DST_123_ÜRETİM_İHTİYAÇ_RAPORU_BURAK_YENI1309[[#This Row],[ALT_KOD]])-(SUMIFS(H:H,D:D,DST_123_ÜRETİM_İHTİYAÇ_RAPORU_BURAK_YENI1309[[#This Row],[ALT_KOD]])+AVERAGEIFS(I:I,D:D,DST_123_ÜRETİM_İHTİYAÇ_RAPORU_BURAK_YENI1309[[#This Row],[ALT_KOD]])+AVERAGEIFS(L:L,D:D,DST_123_ÜRETİM_İHTİYAÇ_RAPORU_BURAK_YENI1309[[#This Row],[ALT_KOD]]))</f>
        <v>-1313</v>
      </c>
      <c r="L4424">
        <v>0</v>
      </c>
      <c r="M4424">
        <f>IF((DST_123_ÜRETİM_İHTİYAÇ_RAPORU_BURAK_YENI1309[[#This Row],[SATINALMA]]*DST_123_ÜRETİM_İHTİYAÇ_RAPORU_BURAK_YENI1309[[#This Row],[BIRIM_FIYATLAR]])&lt;1,VALUE("0"),DST_123_ÜRETİM_İHTİYAÇ_RAPORU_BURAK_YENI1309[[#This Row],[SATINALMA]]*DST_123_ÜRETİM_İHTİYAÇ_RAPORU_BURAK_YENI1309[[#This Row],[BIRIM_FIYATLAR]])</f>
        <v>0</v>
      </c>
      <c r="N4424">
        <v>0.54</v>
      </c>
      <c r="O4424" t="s">
        <v>628</v>
      </c>
      <c r="P4424">
        <v>150.12</v>
      </c>
      <c r="Q4424" t="s">
        <v>180</v>
      </c>
    </row>
    <row r="4425" spans="1:17" x14ac:dyDescent="0.25">
      <c r="A4425" t="s">
        <v>1144</v>
      </c>
      <c r="B4425" t="s">
        <v>1145</v>
      </c>
      <c r="C4425" t="s">
        <v>175</v>
      </c>
      <c r="D4425" t="s">
        <v>630</v>
      </c>
      <c r="E4425" t="s">
        <v>631</v>
      </c>
      <c r="F4425">
        <v>278</v>
      </c>
      <c r="G4425" t="s">
        <v>176</v>
      </c>
      <c r="H4425">
        <v>0</v>
      </c>
      <c r="I4425">
        <v>8000</v>
      </c>
      <c r="J4425" s="10">
        <v>11449</v>
      </c>
      <c r="K4425" s="10">
        <f>SUMIFS(F:F,D:D,DST_123_ÜRETİM_İHTİYAÇ_RAPORU_BURAK_YENI1309[[#This Row],[ALT_KOD]])-(SUMIFS(H:H,D:D,DST_123_ÜRETİM_İHTİYAÇ_RAPORU_BURAK_YENI1309[[#This Row],[ALT_KOD]])+AVERAGEIFS(I:I,D:D,DST_123_ÜRETİM_İHTİYAÇ_RAPORU_BURAK_YENI1309[[#This Row],[ALT_KOD]])+AVERAGEIFS(L:L,D:D,DST_123_ÜRETİM_İHTİYAÇ_RAPORU_BURAK_YENI1309[[#This Row],[ALT_KOD]]))</f>
        <v>-1313</v>
      </c>
      <c r="L4425">
        <v>0</v>
      </c>
      <c r="M4425">
        <f>IF((DST_123_ÜRETİM_İHTİYAÇ_RAPORU_BURAK_YENI1309[[#This Row],[SATINALMA]]*DST_123_ÜRETİM_İHTİYAÇ_RAPORU_BURAK_YENI1309[[#This Row],[BIRIM_FIYATLAR]])&lt;1,VALUE("0"),DST_123_ÜRETİM_İHTİYAÇ_RAPORU_BURAK_YENI1309[[#This Row],[SATINALMA]]*DST_123_ÜRETİM_İHTİYAÇ_RAPORU_BURAK_YENI1309[[#This Row],[BIRIM_FIYATLAR]])</f>
        <v>0</v>
      </c>
      <c r="N4425">
        <v>0.54</v>
      </c>
      <c r="O4425" t="s">
        <v>628</v>
      </c>
      <c r="P4425">
        <v>150.12</v>
      </c>
      <c r="Q4425" t="s">
        <v>180</v>
      </c>
    </row>
    <row r="4426" spans="1:17" x14ac:dyDescent="0.25">
      <c r="A4426" t="s">
        <v>1150</v>
      </c>
      <c r="B4426" t="s">
        <v>1145</v>
      </c>
      <c r="C4426" t="s">
        <v>175</v>
      </c>
      <c r="D4426" t="s">
        <v>450</v>
      </c>
      <c r="E4426" t="s">
        <v>624</v>
      </c>
      <c r="F4426">
        <v>2</v>
      </c>
      <c r="G4426" t="s">
        <v>176</v>
      </c>
      <c r="H4426">
        <v>0</v>
      </c>
      <c r="I4426">
        <v>6</v>
      </c>
      <c r="J4426" s="10">
        <v>24</v>
      </c>
      <c r="K4426" s="10">
        <f>SUMIFS(F:F,D:D,DST_123_ÜRETİM_İHTİYAÇ_RAPORU_BURAK_YENI1309[[#This Row],[ALT_KOD]])-(SUMIFS(H:H,D:D,DST_123_ÜRETİM_İHTİYAÇ_RAPORU_BURAK_YENI1309[[#This Row],[ALT_KOD]])+AVERAGEIFS(I:I,D:D,DST_123_ÜRETİM_İHTİYAÇ_RAPORU_BURAK_YENI1309[[#This Row],[ALT_KOD]])+AVERAGEIFS(L:L,D:D,DST_123_ÜRETİM_İHTİYAÇ_RAPORU_BURAK_YENI1309[[#This Row],[ALT_KOD]]))</f>
        <v>10</v>
      </c>
      <c r="L4426">
        <v>0</v>
      </c>
      <c r="M4426">
        <f>IF((DST_123_ÜRETİM_İHTİYAÇ_RAPORU_BURAK_YENI1309[[#This Row],[SATINALMA]]*DST_123_ÜRETİM_İHTİYAÇ_RAPORU_BURAK_YENI1309[[#This Row],[BIRIM_FIYATLAR]])&lt;1,VALUE("0"),DST_123_ÜRETİM_İHTİYAÇ_RAPORU_BURAK_YENI1309[[#This Row],[SATINALMA]]*DST_123_ÜRETİM_İHTİYAÇ_RAPORU_BURAK_YENI1309[[#This Row],[BIRIM_FIYATLAR]])</f>
        <v>149462.5</v>
      </c>
      <c r="N4426">
        <v>14946.25</v>
      </c>
      <c r="O4426" t="s">
        <v>625</v>
      </c>
      <c r="P4426">
        <v>29892.5</v>
      </c>
      <c r="Q4426" t="s">
        <v>178</v>
      </c>
    </row>
    <row r="4427" spans="1:17" x14ac:dyDescent="0.25">
      <c r="A4427" t="s">
        <v>1060</v>
      </c>
      <c r="B4427" t="s">
        <v>1061</v>
      </c>
      <c r="C4427" t="s">
        <v>175</v>
      </c>
      <c r="D4427" t="s">
        <v>443</v>
      </c>
      <c r="E4427" t="s">
        <v>444</v>
      </c>
      <c r="F4427">
        <v>1</v>
      </c>
      <c r="G4427" t="s">
        <v>176</v>
      </c>
      <c r="H4427">
        <v>0</v>
      </c>
      <c r="I4427">
        <v>25</v>
      </c>
      <c r="J4427" s="10">
        <v>5</v>
      </c>
      <c r="K4427" s="10">
        <f>SUMIFS(F:F,D:D,DST_123_ÜRETİM_İHTİYAÇ_RAPORU_BURAK_YENI1309[[#This Row],[ALT_KOD]])-(SUMIFS(H:H,D:D,DST_123_ÜRETİM_İHTİYAÇ_RAPORU_BURAK_YENI1309[[#This Row],[ALT_KOD]])+AVERAGEIFS(I:I,D:D,DST_123_ÜRETİM_İHTİYAÇ_RAPORU_BURAK_YENI1309[[#This Row],[ALT_KOD]])+AVERAGEIFS(L:L,D:D,DST_123_ÜRETİM_İHTİYAÇ_RAPORU_BURAK_YENI1309[[#This Row],[ALT_KOD]]))</f>
        <v>-13</v>
      </c>
      <c r="L4427">
        <v>0</v>
      </c>
      <c r="M4427">
        <f>IF((DST_123_ÜRETİM_İHTİYAÇ_RAPORU_BURAK_YENI1309[[#This Row],[SATINALMA]]*DST_123_ÜRETİM_İHTİYAÇ_RAPORU_BURAK_YENI1309[[#This Row],[BIRIM_FIYATLAR]])&lt;1,VALUE("0"),DST_123_ÜRETİM_İHTİYAÇ_RAPORU_BURAK_YENI1309[[#This Row],[SATINALMA]]*DST_123_ÜRETİM_İHTİYAÇ_RAPORU_BURAK_YENI1309[[#This Row],[BIRIM_FIYATLAR]])</f>
        <v>0</v>
      </c>
      <c r="N4427">
        <v>373.06</v>
      </c>
      <c r="O4427" t="s">
        <v>636</v>
      </c>
      <c r="P4427">
        <v>373.06</v>
      </c>
      <c r="Q4427" t="s">
        <v>178</v>
      </c>
    </row>
    <row r="4428" spans="1:17" x14ac:dyDescent="0.25">
      <c r="A4428" t="s">
        <v>1148</v>
      </c>
      <c r="B4428" t="s">
        <v>1056</v>
      </c>
      <c r="C4428" t="s">
        <v>175</v>
      </c>
      <c r="D4428" t="s">
        <v>443</v>
      </c>
      <c r="E4428" t="s">
        <v>444</v>
      </c>
      <c r="F4428">
        <v>1</v>
      </c>
      <c r="G4428" t="s">
        <v>176</v>
      </c>
      <c r="H4428">
        <v>0</v>
      </c>
      <c r="I4428">
        <v>25</v>
      </c>
      <c r="J4428" s="10">
        <v>5</v>
      </c>
      <c r="K4428" s="10">
        <f>SUMIFS(F:F,D:D,DST_123_ÜRETİM_İHTİYAÇ_RAPORU_BURAK_YENI1309[[#This Row],[ALT_KOD]])-(SUMIFS(H:H,D:D,DST_123_ÜRETİM_İHTİYAÇ_RAPORU_BURAK_YENI1309[[#This Row],[ALT_KOD]])+AVERAGEIFS(I:I,D:D,DST_123_ÜRETİM_İHTİYAÇ_RAPORU_BURAK_YENI1309[[#This Row],[ALT_KOD]])+AVERAGEIFS(L:L,D:D,DST_123_ÜRETİM_İHTİYAÇ_RAPORU_BURAK_YENI1309[[#This Row],[ALT_KOD]]))</f>
        <v>-13</v>
      </c>
      <c r="L4428">
        <v>0</v>
      </c>
      <c r="M4428">
        <f>IF((DST_123_ÜRETİM_İHTİYAÇ_RAPORU_BURAK_YENI1309[[#This Row],[SATINALMA]]*DST_123_ÜRETİM_İHTİYAÇ_RAPORU_BURAK_YENI1309[[#This Row],[BIRIM_FIYATLAR]])&lt;1,VALUE("0"),DST_123_ÜRETİM_İHTİYAÇ_RAPORU_BURAK_YENI1309[[#This Row],[SATINALMA]]*DST_123_ÜRETİM_İHTİYAÇ_RAPORU_BURAK_YENI1309[[#This Row],[BIRIM_FIYATLAR]])</f>
        <v>0</v>
      </c>
      <c r="N4428">
        <v>373.06</v>
      </c>
      <c r="O4428" t="s">
        <v>636</v>
      </c>
      <c r="P4428">
        <v>373.06</v>
      </c>
      <c r="Q4428" t="s">
        <v>178</v>
      </c>
    </row>
    <row r="4429" spans="1:17" x14ac:dyDescent="0.25">
      <c r="A4429" t="s">
        <v>1060</v>
      </c>
      <c r="B4429" t="s">
        <v>1061</v>
      </c>
      <c r="C4429" t="s">
        <v>175</v>
      </c>
      <c r="D4429" t="s">
        <v>714</v>
      </c>
      <c r="E4429" t="s">
        <v>715</v>
      </c>
      <c r="F4429">
        <v>2</v>
      </c>
      <c r="G4429" t="s">
        <v>176</v>
      </c>
      <c r="H4429">
        <v>2</v>
      </c>
      <c r="I4429">
        <v>5</v>
      </c>
      <c r="J4429" s="10">
        <v>4</v>
      </c>
      <c r="K4429" s="10">
        <f>SUMIFS(F:F,D:D,DST_123_ÜRETİM_İHTİYAÇ_RAPORU_BURAK_YENI1309[[#This Row],[ALT_KOD]])-(SUMIFS(H:H,D:D,DST_123_ÜRETİM_İHTİYAÇ_RAPORU_BURAK_YENI1309[[#This Row],[ALT_KOD]])+AVERAGEIFS(I:I,D:D,DST_123_ÜRETİM_İHTİYAÇ_RAPORU_BURAK_YENI1309[[#This Row],[ALT_KOD]])+AVERAGEIFS(L:L,D:D,DST_123_ÜRETİM_İHTİYAÇ_RAPORU_BURAK_YENI1309[[#This Row],[ALT_KOD]]))</f>
        <v>1</v>
      </c>
      <c r="L4429">
        <v>0</v>
      </c>
      <c r="M4429">
        <f>IF((DST_123_ÜRETİM_İHTİYAÇ_RAPORU_BURAK_YENI1309[[#This Row],[SATINALMA]]*DST_123_ÜRETİM_İHTİYAÇ_RAPORU_BURAK_YENI1309[[#This Row],[BIRIM_FIYATLAR]])&lt;1,VALUE("0"),DST_123_ÜRETİM_İHTİYAÇ_RAPORU_BURAK_YENI1309[[#This Row],[SATINALMA]]*DST_123_ÜRETİM_İHTİYAÇ_RAPORU_BURAK_YENI1309[[#This Row],[BIRIM_FIYATLAR]])</f>
        <v>400</v>
      </c>
      <c r="N4429">
        <v>400</v>
      </c>
      <c r="O4429" t="s">
        <v>215</v>
      </c>
      <c r="P4429">
        <v>800</v>
      </c>
      <c r="Q4429" t="s">
        <v>221</v>
      </c>
    </row>
    <row r="4430" spans="1:17" x14ac:dyDescent="0.25">
      <c r="A4430" t="s">
        <v>1057</v>
      </c>
      <c r="B4430" t="s">
        <v>1058</v>
      </c>
      <c r="C4430" t="s">
        <v>175</v>
      </c>
      <c r="D4430" t="s">
        <v>714</v>
      </c>
      <c r="E4430" t="s">
        <v>715</v>
      </c>
      <c r="F4430">
        <v>2</v>
      </c>
      <c r="G4430" t="s">
        <v>176</v>
      </c>
      <c r="H4430">
        <v>0</v>
      </c>
      <c r="I4430">
        <v>5</v>
      </c>
      <c r="J4430" s="10">
        <v>4</v>
      </c>
      <c r="K4430" s="10">
        <f>SUMIFS(F:F,D:D,DST_123_ÜRETİM_İHTİYAÇ_RAPORU_BURAK_YENI1309[[#This Row],[ALT_KOD]])-(SUMIFS(H:H,D:D,DST_123_ÜRETİM_İHTİYAÇ_RAPORU_BURAK_YENI1309[[#This Row],[ALT_KOD]])+AVERAGEIFS(I:I,D:D,DST_123_ÜRETİM_İHTİYAÇ_RAPORU_BURAK_YENI1309[[#This Row],[ALT_KOD]])+AVERAGEIFS(L:L,D:D,DST_123_ÜRETİM_İHTİYAÇ_RAPORU_BURAK_YENI1309[[#This Row],[ALT_KOD]]))</f>
        <v>1</v>
      </c>
      <c r="L4430">
        <v>0</v>
      </c>
      <c r="M4430">
        <f>IF((DST_123_ÜRETİM_İHTİYAÇ_RAPORU_BURAK_YENI1309[[#This Row],[SATINALMA]]*DST_123_ÜRETİM_İHTİYAÇ_RAPORU_BURAK_YENI1309[[#This Row],[BIRIM_FIYATLAR]])&lt;1,VALUE("0"),DST_123_ÜRETİM_İHTİYAÇ_RAPORU_BURAK_YENI1309[[#This Row],[SATINALMA]]*DST_123_ÜRETİM_İHTİYAÇ_RAPORU_BURAK_YENI1309[[#This Row],[BIRIM_FIYATLAR]])</f>
        <v>400</v>
      </c>
      <c r="N4430">
        <v>400</v>
      </c>
      <c r="O4430" t="s">
        <v>215</v>
      </c>
      <c r="P4430">
        <v>800</v>
      </c>
      <c r="Q4430" t="s">
        <v>221</v>
      </c>
    </row>
    <row r="4431" spans="1:17" x14ac:dyDescent="0.25">
      <c r="A4431" t="s">
        <v>1101</v>
      </c>
      <c r="B4431" t="s">
        <v>1102</v>
      </c>
      <c r="C4431" t="s">
        <v>175</v>
      </c>
      <c r="D4431" t="s">
        <v>597</v>
      </c>
      <c r="E4431" t="s">
        <v>598</v>
      </c>
      <c r="F4431">
        <v>2</v>
      </c>
      <c r="G4431" t="s">
        <v>176</v>
      </c>
      <c r="H4431">
        <v>2</v>
      </c>
      <c r="I4431">
        <v>29</v>
      </c>
      <c r="J4431" s="10">
        <v>9</v>
      </c>
      <c r="K4431" s="10">
        <f>SUMIFS(F:F,D:D,DST_123_ÜRETİM_İHTİYAÇ_RAPORU_BURAK_YENI1309[[#This Row],[ALT_KOD]])-(SUMIFS(H:H,D:D,DST_123_ÜRETİM_İHTİYAÇ_RAPORU_BURAK_YENI1309[[#This Row],[ALT_KOD]])+AVERAGEIFS(I:I,D:D,DST_123_ÜRETİM_İHTİYAÇ_RAPORU_BURAK_YENI1309[[#This Row],[ALT_KOD]])+AVERAGEIFS(L:L,D:D,DST_123_ÜRETİM_İHTİYAÇ_RAPORU_BURAK_YENI1309[[#This Row],[ALT_KOD]]))</f>
        <v>-13</v>
      </c>
      <c r="L4431">
        <v>0</v>
      </c>
      <c r="M4431">
        <f>IF((DST_123_ÜRETİM_İHTİYAÇ_RAPORU_BURAK_YENI1309[[#This Row],[SATINALMA]]*DST_123_ÜRETİM_İHTİYAÇ_RAPORU_BURAK_YENI1309[[#This Row],[BIRIM_FIYATLAR]])&lt;1,VALUE("0"),DST_123_ÜRETİM_İHTİYAÇ_RAPORU_BURAK_YENI1309[[#This Row],[SATINALMA]]*DST_123_ÜRETİM_İHTİYAÇ_RAPORU_BURAK_YENI1309[[#This Row],[BIRIM_FIYATLAR]])</f>
        <v>0</v>
      </c>
      <c r="N4431">
        <v>355.05</v>
      </c>
      <c r="O4431" t="s">
        <v>636</v>
      </c>
      <c r="P4431">
        <v>710.1</v>
      </c>
      <c r="Q4431" t="s">
        <v>177</v>
      </c>
    </row>
    <row r="4432" spans="1:17" x14ac:dyDescent="0.25">
      <c r="A4432" t="s">
        <v>1060</v>
      </c>
      <c r="B4432" t="s">
        <v>1061</v>
      </c>
      <c r="C4432" t="s">
        <v>175</v>
      </c>
      <c r="D4432" t="s">
        <v>848</v>
      </c>
      <c r="E4432" t="s">
        <v>849</v>
      </c>
      <c r="F4432">
        <v>3</v>
      </c>
      <c r="G4432" t="s">
        <v>176</v>
      </c>
      <c r="H4432">
        <v>0</v>
      </c>
      <c r="I4432">
        <v>22</v>
      </c>
      <c r="J4432" s="10">
        <v>18</v>
      </c>
      <c r="K4432" s="10">
        <f>SUMIFS(F:F,D:D,DST_123_ÜRETİM_İHTİYAÇ_RAPORU_BURAK_YENI1309[[#This Row],[ALT_KOD]])-(SUMIFS(H:H,D:D,DST_123_ÜRETİM_İHTİYAÇ_RAPORU_BURAK_YENI1309[[#This Row],[ALT_KOD]])+AVERAGEIFS(I:I,D:D,DST_123_ÜRETİM_İHTİYAÇ_RAPORU_BURAK_YENI1309[[#This Row],[ALT_KOD]])+AVERAGEIFS(L:L,D:D,DST_123_ÜRETİM_İHTİYAÇ_RAPORU_BURAK_YENI1309[[#This Row],[ALT_KOD]]))</f>
        <v>-13</v>
      </c>
      <c r="L4432">
        <v>0</v>
      </c>
      <c r="M4432">
        <f>IF((DST_123_ÜRETİM_İHTİYAÇ_RAPORU_BURAK_YENI1309[[#This Row],[SATINALMA]]*DST_123_ÜRETİM_İHTİYAÇ_RAPORU_BURAK_YENI1309[[#This Row],[BIRIM_FIYATLAR]])&lt;1,VALUE("0"),DST_123_ÜRETİM_İHTİYAÇ_RAPORU_BURAK_YENI1309[[#This Row],[SATINALMA]]*DST_123_ÜRETİM_İHTİYAÇ_RAPORU_BURAK_YENI1309[[#This Row],[BIRIM_FIYATLAR]])</f>
        <v>0</v>
      </c>
      <c r="N4432">
        <v>19.600000000000001</v>
      </c>
      <c r="O4432" t="s">
        <v>1135</v>
      </c>
      <c r="P4432">
        <v>58.800000000000004</v>
      </c>
      <c r="Q4432" t="s">
        <v>221</v>
      </c>
    </row>
    <row r="4433" spans="1:17" x14ac:dyDescent="0.25">
      <c r="A4433" t="s">
        <v>1100</v>
      </c>
      <c r="B4433" t="s">
        <v>1058</v>
      </c>
      <c r="C4433" t="s">
        <v>175</v>
      </c>
      <c r="D4433" t="s">
        <v>848</v>
      </c>
      <c r="E4433" t="s">
        <v>849</v>
      </c>
      <c r="F4433">
        <v>3</v>
      </c>
      <c r="G4433" t="s">
        <v>176</v>
      </c>
      <c r="H4433">
        <v>0</v>
      </c>
      <c r="I4433">
        <v>22</v>
      </c>
      <c r="J4433" s="10">
        <v>18</v>
      </c>
      <c r="K4433" s="10">
        <f>SUMIFS(F:F,D:D,DST_123_ÜRETİM_İHTİYAÇ_RAPORU_BURAK_YENI1309[[#This Row],[ALT_KOD]])-(SUMIFS(H:H,D:D,DST_123_ÜRETİM_İHTİYAÇ_RAPORU_BURAK_YENI1309[[#This Row],[ALT_KOD]])+AVERAGEIFS(I:I,D:D,DST_123_ÜRETİM_İHTİYAÇ_RAPORU_BURAK_YENI1309[[#This Row],[ALT_KOD]])+AVERAGEIFS(L:L,D:D,DST_123_ÜRETİM_İHTİYAÇ_RAPORU_BURAK_YENI1309[[#This Row],[ALT_KOD]]))</f>
        <v>-13</v>
      </c>
      <c r="L4433">
        <v>0</v>
      </c>
      <c r="M4433">
        <f>IF((DST_123_ÜRETİM_İHTİYAÇ_RAPORU_BURAK_YENI1309[[#This Row],[SATINALMA]]*DST_123_ÜRETİM_İHTİYAÇ_RAPORU_BURAK_YENI1309[[#This Row],[BIRIM_FIYATLAR]])&lt;1,VALUE("0"),DST_123_ÜRETİM_İHTİYAÇ_RAPORU_BURAK_YENI1309[[#This Row],[SATINALMA]]*DST_123_ÜRETİM_İHTİYAÇ_RAPORU_BURAK_YENI1309[[#This Row],[BIRIM_FIYATLAR]])</f>
        <v>0</v>
      </c>
      <c r="N4433">
        <v>19.600000000000001</v>
      </c>
      <c r="O4433" t="s">
        <v>1135</v>
      </c>
      <c r="P4433">
        <v>58.800000000000004</v>
      </c>
      <c r="Q4433" t="s">
        <v>221</v>
      </c>
    </row>
    <row r="4434" spans="1:17" x14ac:dyDescent="0.25">
      <c r="A4434" t="s">
        <v>1150</v>
      </c>
      <c r="B4434" t="s">
        <v>1145</v>
      </c>
      <c r="C4434" t="s">
        <v>175</v>
      </c>
      <c r="D4434" t="s">
        <v>443</v>
      </c>
      <c r="E4434" t="s">
        <v>444</v>
      </c>
      <c r="F4434">
        <v>1</v>
      </c>
      <c r="G4434" t="s">
        <v>176</v>
      </c>
      <c r="H4434">
        <v>0</v>
      </c>
      <c r="I4434">
        <v>25</v>
      </c>
      <c r="J4434" s="10">
        <v>5</v>
      </c>
      <c r="K4434" s="10">
        <f>SUMIFS(F:F,D:D,DST_123_ÜRETİM_İHTİYAÇ_RAPORU_BURAK_YENI1309[[#This Row],[ALT_KOD]])-(SUMIFS(H:H,D:D,DST_123_ÜRETİM_İHTİYAÇ_RAPORU_BURAK_YENI1309[[#This Row],[ALT_KOD]])+AVERAGEIFS(I:I,D:D,DST_123_ÜRETİM_İHTİYAÇ_RAPORU_BURAK_YENI1309[[#This Row],[ALT_KOD]])+AVERAGEIFS(L:L,D:D,DST_123_ÜRETİM_İHTİYAÇ_RAPORU_BURAK_YENI1309[[#This Row],[ALT_KOD]]))</f>
        <v>-13</v>
      </c>
      <c r="L4434">
        <v>0</v>
      </c>
      <c r="M4434">
        <f>IF((DST_123_ÜRETİM_İHTİYAÇ_RAPORU_BURAK_YENI1309[[#This Row],[SATINALMA]]*DST_123_ÜRETİM_İHTİYAÇ_RAPORU_BURAK_YENI1309[[#This Row],[BIRIM_FIYATLAR]])&lt;1,VALUE("0"),DST_123_ÜRETİM_İHTİYAÇ_RAPORU_BURAK_YENI1309[[#This Row],[SATINALMA]]*DST_123_ÜRETİM_İHTİYAÇ_RAPORU_BURAK_YENI1309[[#This Row],[BIRIM_FIYATLAR]])</f>
        <v>0</v>
      </c>
      <c r="N4434">
        <v>373.06</v>
      </c>
      <c r="O4434" t="s">
        <v>636</v>
      </c>
      <c r="P4434">
        <v>373.06</v>
      </c>
      <c r="Q4434" t="s">
        <v>178</v>
      </c>
    </row>
    <row r="4435" spans="1:17" x14ac:dyDescent="0.25">
      <c r="A4435" t="s">
        <v>1149</v>
      </c>
      <c r="B4435" t="s">
        <v>1145</v>
      </c>
      <c r="C4435" t="s">
        <v>175</v>
      </c>
      <c r="D4435" t="s">
        <v>642</v>
      </c>
      <c r="E4435" t="s">
        <v>643</v>
      </c>
      <c r="F4435">
        <v>4</v>
      </c>
      <c r="G4435" t="s">
        <v>176</v>
      </c>
      <c r="H4435">
        <v>0</v>
      </c>
      <c r="I4435">
        <v>19</v>
      </c>
      <c r="J4435" s="10">
        <v>19</v>
      </c>
      <c r="K4435" s="10">
        <f>SUMIFS(F:F,D:D,DST_123_ÜRETİM_İHTİYAÇ_RAPORU_BURAK_YENI1309[[#This Row],[ALT_KOD]])-(SUMIFS(H:H,D:D,DST_123_ÜRETİM_İHTİYAÇ_RAPORU_BURAK_YENI1309[[#This Row],[ALT_KOD]])+AVERAGEIFS(I:I,D:D,DST_123_ÜRETİM_İHTİYAÇ_RAPORU_BURAK_YENI1309[[#This Row],[ALT_KOD]])+AVERAGEIFS(L:L,D:D,DST_123_ÜRETİM_İHTİYAÇ_RAPORU_BURAK_YENI1309[[#This Row],[ALT_KOD]]))</f>
        <v>14</v>
      </c>
      <c r="L4435">
        <v>0</v>
      </c>
      <c r="M4435">
        <f>IF((DST_123_ÜRETİM_İHTİYAÇ_RAPORU_BURAK_YENI1309[[#This Row],[SATINALMA]]*DST_123_ÜRETİM_İHTİYAÇ_RAPORU_BURAK_YENI1309[[#This Row],[BIRIM_FIYATLAR]])&lt;1,VALUE("0"),DST_123_ÜRETİM_İHTİYAÇ_RAPORU_BURAK_YENI1309[[#This Row],[SATINALMA]]*DST_123_ÜRETİM_İHTİYAÇ_RAPORU_BURAK_YENI1309[[#This Row],[BIRIM_FIYATLAR]])</f>
        <v>44207.66</v>
      </c>
      <c r="N4435">
        <v>3157.69</v>
      </c>
      <c r="O4435" t="s">
        <v>647</v>
      </c>
      <c r="P4435">
        <v>12630.76</v>
      </c>
      <c r="Q4435" t="s">
        <v>177</v>
      </c>
    </row>
    <row r="4436" spans="1:17" x14ac:dyDescent="0.25">
      <c r="A4436" t="s">
        <v>1057</v>
      </c>
      <c r="B4436" t="s">
        <v>1058</v>
      </c>
      <c r="C4436" t="s">
        <v>175</v>
      </c>
      <c r="D4436" t="s">
        <v>522</v>
      </c>
      <c r="E4436" t="s">
        <v>523</v>
      </c>
      <c r="F4436">
        <v>2.46</v>
      </c>
      <c r="G4436" t="s">
        <v>176</v>
      </c>
      <c r="H4436">
        <v>0</v>
      </c>
      <c r="I4436">
        <v>235</v>
      </c>
      <c r="J4436" s="10">
        <v>-7.460698725481052E-14</v>
      </c>
      <c r="K4436" s="10">
        <f>SUMIFS(F:F,D:D,DST_123_ÜRETİM_İHTİYAÇ_RAPORU_BURAK_YENI1309[[#This Row],[ALT_KOD]])-(SUMIFS(H:H,D:D,DST_123_ÜRETİM_İHTİYAÇ_RAPORU_BURAK_YENI1309[[#This Row],[ALT_KOD]])+AVERAGEIFS(I:I,D:D,DST_123_ÜRETİM_İHTİYAÇ_RAPORU_BURAK_YENI1309[[#This Row],[ALT_KOD]])+AVERAGEIFS(L:L,D:D,DST_123_ÜRETİM_İHTİYAÇ_RAPORU_BURAK_YENI1309[[#This Row],[ALT_KOD]]))</f>
        <v>-215.94</v>
      </c>
      <c r="L4436">
        <v>0</v>
      </c>
      <c r="M4436">
        <f>IF((DST_123_ÜRETİM_İHTİYAÇ_RAPORU_BURAK_YENI1309[[#This Row],[SATINALMA]]*DST_123_ÜRETİM_İHTİYAÇ_RAPORU_BURAK_YENI1309[[#This Row],[BIRIM_FIYATLAR]])&lt;1,VALUE("0"),DST_123_ÜRETİM_İHTİYAÇ_RAPORU_BURAK_YENI1309[[#This Row],[SATINALMA]]*DST_123_ÜRETİM_İHTİYAÇ_RAPORU_BURAK_YENI1309[[#This Row],[BIRIM_FIYATLAR]])</f>
        <v>0</v>
      </c>
      <c r="N4436">
        <v>15</v>
      </c>
      <c r="O4436" t="s">
        <v>226</v>
      </c>
      <c r="P4436">
        <v>36.9</v>
      </c>
      <c r="Q4436" t="s">
        <v>180</v>
      </c>
    </row>
    <row r="4437" spans="1:17" x14ac:dyDescent="0.25">
      <c r="A4437" t="s">
        <v>1100</v>
      </c>
      <c r="B4437" t="s">
        <v>1058</v>
      </c>
      <c r="C4437" t="s">
        <v>175</v>
      </c>
      <c r="D4437" t="s">
        <v>522</v>
      </c>
      <c r="E4437" t="s">
        <v>523</v>
      </c>
      <c r="F4437">
        <v>1.46</v>
      </c>
      <c r="G4437" t="s">
        <v>176</v>
      </c>
      <c r="H4437">
        <v>0</v>
      </c>
      <c r="I4437">
        <v>235</v>
      </c>
      <c r="J4437" s="10">
        <v>-7.460698725481052E-14</v>
      </c>
      <c r="K4437" s="10">
        <f>SUMIFS(F:F,D:D,DST_123_ÜRETİM_İHTİYAÇ_RAPORU_BURAK_YENI1309[[#This Row],[ALT_KOD]])-(SUMIFS(H:H,D:D,DST_123_ÜRETİM_İHTİYAÇ_RAPORU_BURAK_YENI1309[[#This Row],[ALT_KOD]])+AVERAGEIFS(I:I,D:D,DST_123_ÜRETİM_İHTİYAÇ_RAPORU_BURAK_YENI1309[[#This Row],[ALT_KOD]])+AVERAGEIFS(L:L,D:D,DST_123_ÜRETİM_İHTİYAÇ_RAPORU_BURAK_YENI1309[[#This Row],[ALT_KOD]]))</f>
        <v>-215.94</v>
      </c>
      <c r="L4437">
        <v>0</v>
      </c>
      <c r="M4437">
        <f>IF((DST_123_ÜRETİM_İHTİYAÇ_RAPORU_BURAK_YENI1309[[#This Row],[SATINALMA]]*DST_123_ÜRETİM_İHTİYAÇ_RAPORU_BURAK_YENI1309[[#This Row],[BIRIM_FIYATLAR]])&lt;1,VALUE("0"),DST_123_ÜRETİM_İHTİYAÇ_RAPORU_BURAK_YENI1309[[#This Row],[SATINALMA]]*DST_123_ÜRETİM_İHTİYAÇ_RAPORU_BURAK_YENI1309[[#This Row],[BIRIM_FIYATLAR]])</f>
        <v>0</v>
      </c>
      <c r="N4437">
        <v>15</v>
      </c>
      <c r="O4437" t="s">
        <v>226</v>
      </c>
      <c r="P4437">
        <v>21.9</v>
      </c>
      <c r="Q4437" t="s">
        <v>180</v>
      </c>
    </row>
    <row r="4438" spans="1:17" x14ac:dyDescent="0.25">
      <c r="A4438" t="s">
        <v>1179</v>
      </c>
      <c r="B4438" t="s">
        <v>1180</v>
      </c>
      <c r="C4438" t="s">
        <v>175</v>
      </c>
      <c r="D4438" t="s">
        <v>1189</v>
      </c>
      <c r="E4438" t="s">
        <v>1190</v>
      </c>
      <c r="F4438">
        <v>1</v>
      </c>
      <c r="G4438" t="s">
        <v>176</v>
      </c>
      <c r="H4438">
        <v>0</v>
      </c>
      <c r="I4438">
        <v>0</v>
      </c>
      <c r="J4438" s="10">
        <v>0</v>
      </c>
      <c r="K4438" s="10">
        <f>SUMIFS(F:F,D:D,DST_123_ÜRETİM_İHTİYAÇ_RAPORU_BURAK_YENI1309[[#This Row],[ALT_KOD]])-(SUMIFS(H:H,D:D,DST_123_ÜRETİM_İHTİYAÇ_RAPORU_BURAK_YENI1309[[#This Row],[ALT_KOD]])+AVERAGEIFS(I:I,D:D,DST_123_ÜRETİM_İHTİYAÇ_RAPORU_BURAK_YENI1309[[#This Row],[ALT_KOD]])+AVERAGEIFS(L:L,D:D,DST_123_ÜRETİM_İHTİYAÇ_RAPORU_BURAK_YENI1309[[#This Row],[ALT_KOD]]))</f>
        <v>1</v>
      </c>
      <c r="L4438">
        <v>0</v>
      </c>
      <c r="M4438">
        <f>IF((DST_123_ÜRETİM_İHTİYAÇ_RAPORU_BURAK_YENI1309[[#This Row],[SATINALMA]]*DST_123_ÜRETİM_İHTİYAÇ_RAPORU_BURAK_YENI1309[[#This Row],[BIRIM_FIYATLAR]])&lt;1,VALUE("0"),DST_123_ÜRETİM_İHTİYAÇ_RAPORU_BURAK_YENI1309[[#This Row],[SATINALMA]]*DST_123_ÜRETİM_İHTİYAÇ_RAPORU_BURAK_YENI1309[[#This Row],[BIRIM_FIYATLAR]])</f>
        <v>17633.25</v>
      </c>
      <c r="N4438">
        <v>17633.25</v>
      </c>
      <c r="O4438" t="s">
        <v>1186</v>
      </c>
      <c r="P4438">
        <v>17633.25</v>
      </c>
      <c r="Q4438" t="s">
        <v>177</v>
      </c>
    </row>
    <row r="4439" spans="1:17" x14ac:dyDescent="0.25">
      <c r="A4439" t="s">
        <v>1057</v>
      </c>
      <c r="B4439" t="s">
        <v>1058</v>
      </c>
      <c r="C4439" t="s">
        <v>175</v>
      </c>
      <c r="D4439" t="s">
        <v>699</v>
      </c>
      <c r="E4439" t="s">
        <v>700</v>
      </c>
      <c r="F4439">
        <v>2</v>
      </c>
      <c r="G4439" t="s">
        <v>176</v>
      </c>
      <c r="H4439">
        <v>0</v>
      </c>
      <c r="I4439">
        <v>135</v>
      </c>
      <c r="J4439" s="10">
        <v>7</v>
      </c>
      <c r="K4439" s="10">
        <f>SUMIFS(F:F,D:D,DST_123_ÜRETİM_İHTİYAÇ_RAPORU_BURAK_YENI1309[[#This Row],[ALT_KOD]])-(SUMIFS(H:H,D:D,DST_123_ÜRETİM_İHTİYAÇ_RAPORU_BURAK_YENI1309[[#This Row],[ALT_KOD]])+AVERAGEIFS(I:I,D:D,DST_123_ÜRETİM_İHTİYAÇ_RAPORU_BURAK_YENI1309[[#This Row],[ALT_KOD]])+AVERAGEIFS(L:L,D:D,DST_123_ÜRETİM_İHTİYAÇ_RAPORU_BURAK_YENI1309[[#This Row],[ALT_KOD]]))</f>
        <v>-119</v>
      </c>
      <c r="L4439">
        <v>0</v>
      </c>
      <c r="M4439">
        <f>IF((DST_123_ÜRETİM_İHTİYAÇ_RAPORU_BURAK_YENI1309[[#This Row],[SATINALMA]]*DST_123_ÜRETİM_İHTİYAÇ_RAPORU_BURAK_YENI1309[[#This Row],[BIRIM_FIYATLAR]])&lt;1,VALUE("0"),DST_123_ÜRETİM_İHTİYAÇ_RAPORU_BURAK_YENI1309[[#This Row],[SATINALMA]]*DST_123_ÜRETİM_İHTİYAÇ_RAPORU_BURAK_YENI1309[[#This Row],[BIRIM_FIYATLAR]])</f>
        <v>0</v>
      </c>
      <c r="N4439">
        <v>39.6</v>
      </c>
      <c r="O4439" t="s">
        <v>220</v>
      </c>
      <c r="P4439">
        <v>79.2</v>
      </c>
      <c r="Q4439" t="s">
        <v>221</v>
      </c>
    </row>
    <row r="4440" spans="1:17" x14ac:dyDescent="0.25">
      <c r="A4440" t="s">
        <v>1148</v>
      </c>
      <c r="B4440" t="s">
        <v>1056</v>
      </c>
      <c r="C4440" t="s">
        <v>175</v>
      </c>
      <c r="D4440" t="s">
        <v>699</v>
      </c>
      <c r="E4440" t="s">
        <v>700</v>
      </c>
      <c r="F4440">
        <v>1</v>
      </c>
      <c r="G4440" t="s">
        <v>176</v>
      </c>
      <c r="H4440">
        <v>0</v>
      </c>
      <c r="I4440">
        <v>135</v>
      </c>
      <c r="J4440" s="10">
        <v>7</v>
      </c>
      <c r="K4440" s="10">
        <f>SUMIFS(F:F,D:D,DST_123_ÜRETİM_İHTİYAÇ_RAPORU_BURAK_YENI1309[[#This Row],[ALT_KOD]])-(SUMIFS(H:H,D:D,DST_123_ÜRETİM_İHTİYAÇ_RAPORU_BURAK_YENI1309[[#This Row],[ALT_KOD]])+AVERAGEIFS(I:I,D:D,DST_123_ÜRETİM_İHTİYAÇ_RAPORU_BURAK_YENI1309[[#This Row],[ALT_KOD]])+AVERAGEIFS(L:L,D:D,DST_123_ÜRETİM_İHTİYAÇ_RAPORU_BURAK_YENI1309[[#This Row],[ALT_KOD]]))</f>
        <v>-119</v>
      </c>
      <c r="L4440">
        <v>0</v>
      </c>
      <c r="M4440">
        <f>IF((DST_123_ÜRETİM_İHTİYAÇ_RAPORU_BURAK_YENI1309[[#This Row],[SATINALMA]]*DST_123_ÜRETİM_İHTİYAÇ_RAPORU_BURAK_YENI1309[[#This Row],[BIRIM_FIYATLAR]])&lt;1,VALUE("0"),DST_123_ÜRETİM_İHTİYAÇ_RAPORU_BURAK_YENI1309[[#This Row],[SATINALMA]]*DST_123_ÜRETİM_İHTİYAÇ_RAPORU_BURAK_YENI1309[[#This Row],[BIRIM_FIYATLAR]])</f>
        <v>0</v>
      </c>
      <c r="N4440">
        <v>39.6</v>
      </c>
      <c r="O4440" t="s">
        <v>220</v>
      </c>
      <c r="P4440">
        <v>39.6</v>
      </c>
      <c r="Q4440" t="s">
        <v>221</v>
      </c>
    </row>
    <row r="4441" spans="1:17" x14ac:dyDescent="0.25">
      <c r="A4441" t="s">
        <v>1057</v>
      </c>
      <c r="B4441" t="s">
        <v>1058</v>
      </c>
      <c r="C4441" t="s">
        <v>175</v>
      </c>
      <c r="D4441" t="s">
        <v>276</v>
      </c>
      <c r="E4441" t="s">
        <v>315</v>
      </c>
      <c r="F4441">
        <v>1</v>
      </c>
      <c r="G4441" t="s">
        <v>176</v>
      </c>
      <c r="H4441">
        <v>0</v>
      </c>
      <c r="I4441">
        <v>28</v>
      </c>
      <c r="J4441" s="10">
        <v>4</v>
      </c>
      <c r="K4441" s="10">
        <f>SUMIFS(F:F,D:D,DST_123_ÜRETİM_İHTİYAÇ_RAPORU_BURAK_YENI1309[[#This Row],[ALT_KOD]])-(SUMIFS(H:H,D:D,DST_123_ÜRETİM_İHTİYAÇ_RAPORU_BURAK_YENI1309[[#This Row],[ALT_KOD]])+AVERAGEIFS(I:I,D:D,DST_123_ÜRETİM_İHTİYAÇ_RAPORU_BURAK_YENI1309[[#This Row],[ALT_KOD]])+AVERAGEIFS(L:L,D:D,DST_123_ÜRETİM_İHTİYAÇ_RAPORU_BURAK_YENI1309[[#This Row],[ALT_KOD]]))</f>
        <v>-21</v>
      </c>
      <c r="L4441">
        <v>0</v>
      </c>
      <c r="M4441">
        <f>IF((DST_123_ÜRETİM_İHTİYAÇ_RAPORU_BURAK_YENI1309[[#This Row],[SATINALMA]]*DST_123_ÜRETİM_İHTİYAÇ_RAPORU_BURAK_YENI1309[[#This Row],[BIRIM_FIYATLAR]])&lt;1,VALUE("0"),DST_123_ÜRETİM_İHTİYAÇ_RAPORU_BURAK_YENI1309[[#This Row],[SATINALMA]]*DST_123_ÜRETİM_İHTİYAÇ_RAPORU_BURAK_YENI1309[[#This Row],[BIRIM_FIYATLAR]])</f>
        <v>0</v>
      </c>
      <c r="N4441">
        <v>290.73</v>
      </c>
      <c r="O4441" t="s">
        <v>636</v>
      </c>
      <c r="P4441">
        <v>290.73</v>
      </c>
      <c r="Q4441" t="s">
        <v>178</v>
      </c>
    </row>
    <row r="4442" spans="1:17" x14ac:dyDescent="0.25">
      <c r="A4442" t="s">
        <v>1147</v>
      </c>
      <c r="B4442" t="s">
        <v>1145</v>
      </c>
      <c r="C4442" t="s">
        <v>175</v>
      </c>
      <c r="D4442" t="s">
        <v>279</v>
      </c>
      <c r="E4442" t="s">
        <v>318</v>
      </c>
      <c r="F4442">
        <v>1</v>
      </c>
      <c r="G4442" t="s">
        <v>176</v>
      </c>
      <c r="H4442">
        <v>0</v>
      </c>
      <c r="I4442">
        <v>27</v>
      </c>
      <c r="J4442" s="10">
        <v>4</v>
      </c>
      <c r="K4442" s="10">
        <f>SUMIFS(F:F,D:D,DST_123_ÜRETİM_İHTİYAÇ_RAPORU_BURAK_YENI1309[[#This Row],[ALT_KOD]])-(SUMIFS(H:H,D:D,DST_123_ÜRETİM_İHTİYAÇ_RAPORU_BURAK_YENI1309[[#This Row],[ALT_KOD]])+AVERAGEIFS(I:I,D:D,DST_123_ÜRETİM_İHTİYAÇ_RAPORU_BURAK_YENI1309[[#This Row],[ALT_KOD]])+AVERAGEIFS(L:L,D:D,DST_123_ÜRETİM_İHTİYAÇ_RAPORU_BURAK_YENI1309[[#This Row],[ALT_KOD]]))</f>
        <v>-20</v>
      </c>
      <c r="L4442">
        <v>0</v>
      </c>
      <c r="M4442">
        <f>IF((DST_123_ÜRETİM_İHTİYAÇ_RAPORU_BURAK_YENI1309[[#This Row],[SATINALMA]]*DST_123_ÜRETİM_İHTİYAÇ_RAPORU_BURAK_YENI1309[[#This Row],[BIRIM_FIYATLAR]])&lt;1,VALUE("0"),DST_123_ÜRETİM_İHTİYAÇ_RAPORU_BURAK_YENI1309[[#This Row],[SATINALMA]]*DST_123_ÜRETİM_İHTİYAÇ_RAPORU_BURAK_YENI1309[[#This Row],[BIRIM_FIYATLAR]])</f>
        <v>0</v>
      </c>
      <c r="N4442">
        <v>290.73</v>
      </c>
      <c r="O4442" t="s">
        <v>636</v>
      </c>
      <c r="P4442">
        <v>290.73</v>
      </c>
      <c r="Q4442" t="s">
        <v>178</v>
      </c>
    </row>
    <row r="4443" spans="1:17" x14ac:dyDescent="0.25">
      <c r="A4443" t="s">
        <v>1101</v>
      </c>
      <c r="B4443" t="s">
        <v>1102</v>
      </c>
      <c r="C4443" t="s">
        <v>175</v>
      </c>
      <c r="D4443" t="s">
        <v>431</v>
      </c>
      <c r="E4443" t="s">
        <v>432</v>
      </c>
      <c r="F4443">
        <v>1</v>
      </c>
      <c r="G4443" t="s">
        <v>176</v>
      </c>
      <c r="H4443">
        <v>1</v>
      </c>
      <c r="I4443">
        <v>8</v>
      </c>
      <c r="J4443" s="10">
        <v>5</v>
      </c>
      <c r="K4443" s="10">
        <f>SUMIFS(F:F,D:D,DST_123_ÜRETİM_İHTİYAÇ_RAPORU_BURAK_YENI1309[[#This Row],[ALT_KOD]])-(SUMIFS(H:H,D:D,DST_123_ÜRETİM_İHTİYAÇ_RAPORU_BURAK_YENI1309[[#This Row],[ALT_KOD]])+AVERAGEIFS(I:I,D:D,DST_123_ÜRETİM_İHTİYAÇ_RAPORU_BURAK_YENI1309[[#This Row],[ALT_KOD]])+AVERAGEIFS(L:L,D:D,DST_123_ÜRETİM_İHTİYAÇ_RAPORU_BURAK_YENI1309[[#This Row],[ALT_KOD]]))</f>
        <v>-4</v>
      </c>
      <c r="L4443">
        <v>0</v>
      </c>
      <c r="M4443">
        <f>IF((DST_123_ÜRETİM_İHTİYAÇ_RAPORU_BURAK_YENI1309[[#This Row],[SATINALMA]]*DST_123_ÜRETİM_İHTİYAÇ_RAPORU_BURAK_YENI1309[[#This Row],[BIRIM_FIYATLAR]])&lt;1,VALUE("0"),DST_123_ÜRETİM_İHTİYAÇ_RAPORU_BURAK_YENI1309[[#This Row],[SATINALMA]]*DST_123_ÜRETİM_İHTİYAÇ_RAPORU_BURAK_YENI1309[[#This Row],[BIRIM_FIYATLAR]])</f>
        <v>0</v>
      </c>
      <c r="N4443">
        <v>1723.79</v>
      </c>
      <c r="O4443" t="s">
        <v>636</v>
      </c>
      <c r="P4443">
        <v>1723.79</v>
      </c>
      <c r="Q4443" t="s">
        <v>178</v>
      </c>
    </row>
    <row r="4444" spans="1:17" x14ac:dyDescent="0.25">
      <c r="A4444" t="s">
        <v>1100</v>
      </c>
      <c r="B4444" t="s">
        <v>1058</v>
      </c>
      <c r="C4444" t="s">
        <v>175</v>
      </c>
      <c r="D4444" t="s">
        <v>580</v>
      </c>
      <c r="E4444" t="s">
        <v>581</v>
      </c>
      <c r="F4444">
        <v>17.8</v>
      </c>
      <c r="G4444" t="s">
        <v>185</v>
      </c>
      <c r="H4444">
        <v>17.8</v>
      </c>
      <c r="I4444">
        <v>60</v>
      </c>
      <c r="J4444" s="10">
        <v>219.95999999999984</v>
      </c>
      <c r="K4444" s="10">
        <f>SUMIFS(F:F,D:D,DST_123_ÜRETİM_İHTİYAÇ_RAPORU_BURAK_YENI1309[[#This Row],[ALT_KOD]])-(SUMIFS(H:H,D:D,DST_123_ÜRETİM_İHTİYAÇ_RAPORU_BURAK_YENI1309[[#This Row],[ALT_KOD]])+AVERAGEIFS(I:I,D:D,DST_123_ÜRETİM_İHTİYAÇ_RAPORU_BURAK_YENI1309[[#This Row],[ALT_KOD]])+AVERAGEIFS(L:L,D:D,DST_123_ÜRETİM_İHTİYAÇ_RAPORU_BURAK_YENI1309[[#This Row],[ALT_KOD]]))</f>
        <v>143.41000000000003</v>
      </c>
      <c r="L4444">
        <v>0</v>
      </c>
      <c r="M4444">
        <f>IF((DST_123_ÜRETİM_İHTİYAÇ_RAPORU_BURAK_YENI1309[[#This Row],[SATINALMA]]*DST_123_ÜRETİM_İHTİYAÇ_RAPORU_BURAK_YENI1309[[#This Row],[BIRIM_FIYATLAR]])&lt;1,VALUE("0"),DST_123_ÜRETİM_İHTİYAÇ_RAPORU_BURAK_YENI1309[[#This Row],[SATINALMA]]*DST_123_ÜRETİM_İHTİYAÇ_RAPORU_BURAK_YENI1309[[#This Row],[BIRIM_FIYATLAR]])</f>
        <v>23533.581000000002</v>
      </c>
      <c r="N4444">
        <v>164.1</v>
      </c>
      <c r="O4444" t="s">
        <v>490</v>
      </c>
      <c r="P4444">
        <v>2920.98</v>
      </c>
      <c r="Q4444" t="s">
        <v>183</v>
      </c>
    </row>
    <row r="4445" spans="1:17" x14ac:dyDescent="0.25">
      <c r="A4445" t="s">
        <v>1147</v>
      </c>
      <c r="B4445" t="s">
        <v>1145</v>
      </c>
      <c r="C4445" t="s">
        <v>175</v>
      </c>
      <c r="D4445" t="s">
        <v>580</v>
      </c>
      <c r="E4445" t="s">
        <v>581</v>
      </c>
      <c r="F4445">
        <v>18.8</v>
      </c>
      <c r="G4445" t="s">
        <v>185</v>
      </c>
      <c r="H4445">
        <v>0</v>
      </c>
      <c r="I4445">
        <v>60</v>
      </c>
      <c r="J4445" s="10">
        <v>219.95999999999984</v>
      </c>
      <c r="K4445" s="10">
        <f>SUMIFS(F:F,D:D,DST_123_ÜRETİM_İHTİYAÇ_RAPORU_BURAK_YENI1309[[#This Row],[ALT_KOD]])-(SUMIFS(H:H,D:D,DST_123_ÜRETİM_İHTİYAÇ_RAPORU_BURAK_YENI1309[[#This Row],[ALT_KOD]])+AVERAGEIFS(I:I,D:D,DST_123_ÜRETİM_İHTİYAÇ_RAPORU_BURAK_YENI1309[[#This Row],[ALT_KOD]])+AVERAGEIFS(L:L,D:D,DST_123_ÜRETİM_İHTİYAÇ_RAPORU_BURAK_YENI1309[[#This Row],[ALT_KOD]]))</f>
        <v>143.41000000000003</v>
      </c>
      <c r="L4445">
        <v>0</v>
      </c>
      <c r="M4445">
        <f>IF((DST_123_ÜRETİM_İHTİYAÇ_RAPORU_BURAK_YENI1309[[#This Row],[SATINALMA]]*DST_123_ÜRETİM_İHTİYAÇ_RAPORU_BURAK_YENI1309[[#This Row],[BIRIM_FIYATLAR]])&lt;1,VALUE("0"),DST_123_ÜRETİM_İHTİYAÇ_RAPORU_BURAK_YENI1309[[#This Row],[SATINALMA]]*DST_123_ÜRETİM_İHTİYAÇ_RAPORU_BURAK_YENI1309[[#This Row],[BIRIM_FIYATLAR]])</f>
        <v>23533.581000000002</v>
      </c>
      <c r="N4445">
        <v>164.1</v>
      </c>
      <c r="O4445" t="s">
        <v>490</v>
      </c>
      <c r="P4445">
        <v>3085.08</v>
      </c>
      <c r="Q4445" t="s">
        <v>183</v>
      </c>
    </row>
    <row r="4446" spans="1:17" x14ac:dyDescent="0.25">
      <c r="A4446" t="s">
        <v>1148</v>
      </c>
      <c r="B4446" t="s">
        <v>1056</v>
      </c>
      <c r="C4446" t="s">
        <v>175</v>
      </c>
      <c r="D4446" t="s">
        <v>580</v>
      </c>
      <c r="E4446" t="s">
        <v>581</v>
      </c>
      <c r="F4446">
        <v>22.3</v>
      </c>
      <c r="G4446" t="s">
        <v>185</v>
      </c>
      <c r="H4446">
        <v>0</v>
      </c>
      <c r="I4446">
        <v>60</v>
      </c>
      <c r="J4446" s="10">
        <v>219.95999999999984</v>
      </c>
      <c r="K4446" s="10">
        <f>SUMIFS(F:F,D:D,DST_123_ÜRETİM_İHTİYAÇ_RAPORU_BURAK_YENI1309[[#This Row],[ALT_KOD]])-(SUMIFS(H:H,D:D,DST_123_ÜRETİM_İHTİYAÇ_RAPORU_BURAK_YENI1309[[#This Row],[ALT_KOD]])+AVERAGEIFS(I:I,D:D,DST_123_ÜRETİM_İHTİYAÇ_RAPORU_BURAK_YENI1309[[#This Row],[ALT_KOD]])+AVERAGEIFS(L:L,D:D,DST_123_ÜRETİM_İHTİYAÇ_RAPORU_BURAK_YENI1309[[#This Row],[ALT_KOD]]))</f>
        <v>143.41000000000003</v>
      </c>
      <c r="L4446">
        <v>0</v>
      </c>
      <c r="M4446">
        <f>IF((DST_123_ÜRETİM_İHTİYAÇ_RAPORU_BURAK_YENI1309[[#This Row],[SATINALMA]]*DST_123_ÜRETİM_İHTİYAÇ_RAPORU_BURAK_YENI1309[[#This Row],[BIRIM_FIYATLAR]])&lt;1,VALUE("0"),DST_123_ÜRETİM_İHTİYAÇ_RAPORU_BURAK_YENI1309[[#This Row],[SATINALMA]]*DST_123_ÜRETİM_İHTİYAÇ_RAPORU_BURAK_YENI1309[[#This Row],[BIRIM_FIYATLAR]])</f>
        <v>23533.581000000002</v>
      </c>
      <c r="N4446">
        <v>164.1</v>
      </c>
      <c r="O4446" t="s">
        <v>490</v>
      </c>
      <c r="P4446">
        <v>3659.43</v>
      </c>
      <c r="Q4446" t="s">
        <v>183</v>
      </c>
    </row>
    <row r="4447" spans="1:17" x14ac:dyDescent="0.25">
      <c r="A4447" t="s">
        <v>1060</v>
      </c>
      <c r="B4447" t="s">
        <v>1061</v>
      </c>
      <c r="C4447" t="s">
        <v>175</v>
      </c>
      <c r="D4447" t="s">
        <v>400</v>
      </c>
      <c r="E4447" t="s">
        <v>401</v>
      </c>
      <c r="F4447">
        <v>1</v>
      </c>
      <c r="G4447" t="s">
        <v>176</v>
      </c>
      <c r="H4447">
        <v>1</v>
      </c>
      <c r="I4447">
        <v>27</v>
      </c>
      <c r="J4447" s="10">
        <v>14</v>
      </c>
      <c r="K4447" s="10">
        <f>SUMIFS(F:F,D:D,DST_123_ÜRETİM_İHTİYAÇ_RAPORU_BURAK_YENI1309[[#This Row],[ALT_KOD]])-(SUMIFS(H:H,D:D,DST_123_ÜRETİM_İHTİYAÇ_RAPORU_BURAK_YENI1309[[#This Row],[ALT_KOD]])+AVERAGEIFS(I:I,D:D,DST_123_ÜRETİM_İHTİYAÇ_RAPORU_BURAK_YENI1309[[#This Row],[ALT_KOD]])+AVERAGEIFS(L:L,D:D,DST_123_ÜRETİM_İHTİYAÇ_RAPORU_BURAK_YENI1309[[#This Row],[ALT_KOD]]))</f>
        <v>-18</v>
      </c>
      <c r="L4447">
        <v>0</v>
      </c>
      <c r="M4447">
        <f>IF((DST_123_ÜRETİM_İHTİYAÇ_RAPORU_BURAK_YENI1309[[#This Row],[SATINALMA]]*DST_123_ÜRETİM_İHTİYAÇ_RAPORU_BURAK_YENI1309[[#This Row],[BIRIM_FIYATLAR]])&lt;1,VALUE("0"),DST_123_ÜRETİM_İHTİYAÇ_RAPORU_BURAK_YENI1309[[#This Row],[SATINALMA]]*DST_123_ÜRETİM_İHTİYAÇ_RAPORU_BURAK_YENI1309[[#This Row],[BIRIM_FIYATLAR]])</f>
        <v>0</v>
      </c>
      <c r="N4447">
        <v>15</v>
      </c>
      <c r="O4447" t="s">
        <v>220</v>
      </c>
      <c r="P4447">
        <v>15</v>
      </c>
      <c r="Q4447" t="s">
        <v>221</v>
      </c>
    </row>
    <row r="4448" spans="1:17" x14ac:dyDescent="0.25">
      <c r="A4448" t="s">
        <v>1147</v>
      </c>
      <c r="B4448" t="s">
        <v>1145</v>
      </c>
      <c r="C4448" t="s">
        <v>175</v>
      </c>
      <c r="D4448" t="s">
        <v>689</v>
      </c>
      <c r="E4448" t="s">
        <v>690</v>
      </c>
      <c r="F4448">
        <v>1</v>
      </c>
      <c r="G4448" t="s">
        <v>176</v>
      </c>
      <c r="H4448">
        <v>0</v>
      </c>
      <c r="I4448">
        <v>23</v>
      </c>
      <c r="J4448" s="10">
        <v>5</v>
      </c>
      <c r="K4448" s="10">
        <f>SUMIFS(F:F,D:D,DST_123_ÜRETİM_İHTİYAÇ_RAPORU_BURAK_YENI1309[[#This Row],[ALT_KOD]])-(SUMIFS(H:H,D:D,DST_123_ÜRETİM_İHTİYAÇ_RAPORU_BURAK_YENI1309[[#This Row],[ALT_KOD]])+AVERAGEIFS(I:I,D:D,DST_123_ÜRETİM_İHTİYAÇ_RAPORU_BURAK_YENI1309[[#This Row],[ALT_KOD]])+AVERAGEIFS(L:L,D:D,DST_123_ÜRETİM_İHTİYAÇ_RAPORU_BURAK_YENI1309[[#This Row],[ALT_KOD]]))</f>
        <v>-12</v>
      </c>
      <c r="L4448">
        <v>0</v>
      </c>
      <c r="M4448">
        <f>IF((DST_123_ÜRETİM_İHTİYAÇ_RAPORU_BURAK_YENI1309[[#This Row],[SATINALMA]]*DST_123_ÜRETİM_İHTİYAÇ_RAPORU_BURAK_YENI1309[[#This Row],[BIRIM_FIYATLAR]])&lt;1,VALUE("0"),DST_123_ÜRETİM_İHTİYAÇ_RAPORU_BURAK_YENI1309[[#This Row],[SATINALMA]]*DST_123_ÜRETİM_İHTİYAÇ_RAPORU_BURAK_YENI1309[[#This Row],[BIRIM_FIYATLAR]])</f>
        <v>0</v>
      </c>
      <c r="N4448">
        <v>871.93</v>
      </c>
      <c r="O4448" t="s">
        <v>691</v>
      </c>
      <c r="P4448">
        <v>871.93</v>
      </c>
      <c r="Q4448" t="s">
        <v>177</v>
      </c>
    </row>
    <row r="4449" spans="1:17" x14ac:dyDescent="0.25">
      <c r="A4449" t="s">
        <v>1150</v>
      </c>
      <c r="B4449" t="s">
        <v>1145</v>
      </c>
      <c r="C4449" t="s">
        <v>175</v>
      </c>
      <c r="D4449" t="s">
        <v>580</v>
      </c>
      <c r="E4449" t="s">
        <v>581</v>
      </c>
      <c r="F4449">
        <v>18.8</v>
      </c>
      <c r="G4449" t="s">
        <v>185</v>
      </c>
      <c r="H4449">
        <v>0</v>
      </c>
      <c r="I4449">
        <v>60</v>
      </c>
      <c r="J4449" s="10">
        <v>219.95999999999984</v>
      </c>
      <c r="K4449" s="10">
        <f>SUMIFS(F:F,D:D,DST_123_ÜRETİM_İHTİYAÇ_RAPORU_BURAK_YENI1309[[#This Row],[ALT_KOD]])-(SUMIFS(H:H,D:D,DST_123_ÜRETİM_İHTİYAÇ_RAPORU_BURAK_YENI1309[[#This Row],[ALT_KOD]])+AVERAGEIFS(I:I,D:D,DST_123_ÜRETİM_İHTİYAÇ_RAPORU_BURAK_YENI1309[[#This Row],[ALT_KOD]])+AVERAGEIFS(L:L,D:D,DST_123_ÜRETİM_İHTİYAÇ_RAPORU_BURAK_YENI1309[[#This Row],[ALT_KOD]]))</f>
        <v>143.41000000000003</v>
      </c>
      <c r="L4449">
        <v>0</v>
      </c>
      <c r="M4449">
        <f>IF((DST_123_ÜRETİM_İHTİYAÇ_RAPORU_BURAK_YENI1309[[#This Row],[SATINALMA]]*DST_123_ÜRETİM_İHTİYAÇ_RAPORU_BURAK_YENI1309[[#This Row],[BIRIM_FIYATLAR]])&lt;1,VALUE("0"),DST_123_ÜRETİM_İHTİYAÇ_RAPORU_BURAK_YENI1309[[#This Row],[SATINALMA]]*DST_123_ÜRETİM_İHTİYAÇ_RAPORU_BURAK_YENI1309[[#This Row],[BIRIM_FIYATLAR]])</f>
        <v>23533.581000000002</v>
      </c>
      <c r="N4449">
        <v>164.1</v>
      </c>
      <c r="O4449" t="s">
        <v>490</v>
      </c>
      <c r="P4449">
        <v>3085.08</v>
      </c>
      <c r="Q4449" t="s">
        <v>183</v>
      </c>
    </row>
    <row r="4450" spans="1:17" x14ac:dyDescent="0.25">
      <c r="A4450" t="s">
        <v>1148</v>
      </c>
      <c r="B4450" t="s">
        <v>1056</v>
      </c>
      <c r="C4450" t="s">
        <v>175</v>
      </c>
      <c r="D4450" t="s">
        <v>1127</v>
      </c>
      <c r="E4450" t="s">
        <v>1128</v>
      </c>
      <c r="F4450">
        <v>2</v>
      </c>
      <c r="G4450" t="s">
        <v>179</v>
      </c>
      <c r="H4450">
        <v>0</v>
      </c>
      <c r="I4450">
        <v>60</v>
      </c>
      <c r="J4450" s="10">
        <v>50</v>
      </c>
      <c r="K4450" s="10">
        <f>SUMIFS(F:F,D:D,DST_123_ÜRETİM_İHTİYAÇ_RAPORU_BURAK_YENI1309[[#This Row],[ALT_KOD]])-(SUMIFS(H:H,D:D,DST_123_ÜRETİM_İHTİYAÇ_RAPORU_BURAK_YENI1309[[#This Row],[ALT_KOD]])+AVERAGEIFS(I:I,D:D,DST_123_ÜRETİM_İHTİYAÇ_RAPORU_BURAK_YENI1309[[#This Row],[ALT_KOD]])+AVERAGEIFS(L:L,D:D,DST_123_ÜRETİM_İHTİYAÇ_RAPORU_BURAK_YENI1309[[#This Row],[ALT_KOD]]))</f>
        <v>-50.5</v>
      </c>
      <c r="L4450">
        <v>0</v>
      </c>
      <c r="M4450">
        <f>IF((DST_123_ÜRETİM_İHTİYAÇ_RAPORU_BURAK_YENI1309[[#This Row],[SATINALMA]]*DST_123_ÜRETİM_İHTİYAÇ_RAPORU_BURAK_YENI1309[[#This Row],[BIRIM_FIYATLAR]])&lt;1,VALUE("0"),DST_123_ÜRETİM_İHTİYAÇ_RAPORU_BURAK_YENI1309[[#This Row],[SATINALMA]]*DST_123_ÜRETİM_İHTİYAÇ_RAPORU_BURAK_YENI1309[[#This Row],[BIRIM_FIYATLAR]])</f>
        <v>0</v>
      </c>
      <c r="N4450">
        <v>265</v>
      </c>
      <c r="O4450" t="s">
        <v>745</v>
      </c>
      <c r="P4450">
        <v>530</v>
      </c>
      <c r="Q4450" t="s">
        <v>184</v>
      </c>
    </row>
    <row r="4451" spans="1:17" x14ac:dyDescent="0.25">
      <c r="A4451" t="s">
        <v>1098</v>
      </c>
      <c r="B4451" t="s">
        <v>1096</v>
      </c>
      <c r="C4451" t="s">
        <v>175</v>
      </c>
      <c r="D4451" t="s">
        <v>580</v>
      </c>
      <c r="E4451" t="s">
        <v>581</v>
      </c>
      <c r="F4451">
        <v>22.3</v>
      </c>
      <c r="G4451" t="s">
        <v>185</v>
      </c>
      <c r="H4451">
        <v>0</v>
      </c>
      <c r="I4451">
        <v>60</v>
      </c>
      <c r="J4451" s="10">
        <v>219.95999999999984</v>
      </c>
      <c r="K4451" s="10">
        <f>SUMIFS(F:F,D:D,DST_123_ÜRETİM_İHTİYAÇ_RAPORU_BURAK_YENI1309[[#This Row],[ALT_KOD]])-(SUMIFS(H:H,D:D,DST_123_ÜRETİM_İHTİYAÇ_RAPORU_BURAK_YENI1309[[#This Row],[ALT_KOD]])+AVERAGEIFS(I:I,D:D,DST_123_ÜRETİM_İHTİYAÇ_RAPORU_BURAK_YENI1309[[#This Row],[ALT_KOD]])+AVERAGEIFS(L:L,D:D,DST_123_ÜRETİM_İHTİYAÇ_RAPORU_BURAK_YENI1309[[#This Row],[ALT_KOD]]))</f>
        <v>143.41000000000003</v>
      </c>
      <c r="L4451">
        <v>0</v>
      </c>
      <c r="M4451">
        <f>IF((DST_123_ÜRETİM_İHTİYAÇ_RAPORU_BURAK_YENI1309[[#This Row],[SATINALMA]]*DST_123_ÜRETİM_İHTİYAÇ_RAPORU_BURAK_YENI1309[[#This Row],[BIRIM_FIYATLAR]])&lt;1,VALUE("0"),DST_123_ÜRETİM_İHTİYAÇ_RAPORU_BURAK_YENI1309[[#This Row],[SATINALMA]]*DST_123_ÜRETİM_İHTİYAÇ_RAPORU_BURAK_YENI1309[[#This Row],[BIRIM_FIYATLAR]])</f>
        <v>23533.581000000002</v>
      </c>
      <c r="N4451">
        <v>164.1</v>
      </c>
      <c r="O4451" t="s">
        <v>490</v>
      </c>
      <c r="P4451">
        <v>3659.43</v>
      </c>
      <c r="Q4451" t="s">
        <v>183</v>
      </c>
    </row>
    <row r="4452" spans="1:17" x14ac:dyDescent="0.25">
      <c r="A4452" t="s">
        <v>1148</v>
      </c>
      <c r="B4452" t="s">
        <v>1056</v>
      </c>
      <c r="C4452" t="s">
        <v>175</v>
      </c>
      <c r="D4452" t="s">
        <v>1084</v>
      </c>
      <c r="E4452" t="s">
        <v>1085</v>
      </c>
      <c r="F4452">
        <v>2</v>
      </c>
      <c r="G4452" t="s">
        <v>176</v>
      </c>
      <c r="H4452">
        <v>0</v>
      </c>
      <c r="I4452">
        <v>12</v>
      </c>
      <c r="J4452" s="10">
        <v>18</v>
      </c>
      <c r="K4452" s="10">
        <f>SUMIFS(F:F,D:D,DST_123_ÜRETİM_İHTİYAÇ_RAPORU_BURAK_YENI1309[[#This Row],[ALT_KOD]])-(SUMIFS(H:H,D:D,DST_123_ÜRETİM_İHTİYAÇ_RAPORU_BURAK_YENI1309[[#This Row],[ALT_KOD]])+AVERAGEIFS(I:I,D:D,DST_123_ÜRETİM_İHTİYAÇ_RAPORU_BURAK_YENI1309[[#This Row],[ALT_KOD]])+AVERAGEIFS(L:L,D:D,DST_123_ÜRETİM_İHTİYAÇ_RAPORU_BURAK_YENI1309[[#This Row],[ALT_KOD]]))</f>
        <v>-14</v>
      </c>
      <c r="L4452">
        <v>20</v>
      </c>
      <c r="M4452">
        <f>IF((DST_123_ÜRETİM_İHTİYAÇ_RAPORU_BURAK_YENI1309[[#This Row],[SATINALMA]]*DST_123_ÜRETİM_İHTİYAÇ_RAPORU_BURAK_YENI1309[[#This Row],[BIRIM_FIYATLAR]])&lt;1,VALUE("0"),DST_123_ÜRETİM_İHTİYAÇ_RAPORU_BURAK_YENI1309[[#This Row],[SATINALMA]]*DST_123_ÜRETİM_İHTİYAÇ_RAPORU_BURAK_YENI1309[[#This Row],[BIRIM_FIYATLAR]])</f>
        <v>0</v>
      </c>
      <c r="N4452">
        <v>194</v>
      </c>
      <c r="O4452" t="s">
        <v>217</v>
      </c>
      <c r="P4452">
        <v>388</v>
      </c>
      <c r="Q4452" t="s">
        <v>177</v>
      </c>
    </row>
    <row r="4453" spans="1:17" x14ac:dyDescent="0.25">
      <c r="A4453" t="s">
        <v>1179</v>
      </c>
      <c r="B4453" t="s">
        <v>1180</v>
      </c>
      <c r="C4453" t="s">
        <v>175</v>
      </c>
      <c r="D4453" t="s">
        <v>1078</v>
      </c>
      <c r="E4453" t="s">
        <v>1079</v>
      </c>
      <c r="F4453">
        <v>1</v>
      </c>
      <c r="G4453" t="s">
        <v>176</v>
      </c>
      <c r="H4453">
        <v>0</v>
      </c>
      <c r="I4453">
        <v>3</v>
      </c>
      <c r="J4453" s="10">
        <v>8</v>
      </c>
      <c r="K4453" s="10">
        <f>SUMIFS(F:F,D:D,DST_123_ÜRETİM_İHTİYAÇ_RAPORU_BURAK_YENI1309[[#This Row],[ALT_KOD]])-(SUMIFS(H:H,D:D,DST_123_ÜRETİM_İHTİYAÇ_RAPORU_BURAK_YENI1309[[#This Row],[ALT_KOD]])+AVERAGEIFS(I:I,D:D,DST_123_ÜRETİM_İHTİYAÇ_RAPORU_BURAK_YENI1309[[#This Row],[ALT_KOD]])+AVERAGEIFS(L:L,D:D,DST_123_ÜRETİM_İHTİYAÇ_RAPORU_BURAK_YENI1309[[#This Row],[ALT_KOD]]))</f>
        <v>-2</v>
      </c>
      <c r="L4453">
        <v>10</v>
      </c>
      <c r="M4453">
        <f>IF((DST_123_ÜRETİM_İHTİYAÇ_RAPORU_BURAK_YENI1309[[#This Row],[SATINALMA]]*DST_123_ÜRETİM_İHTİYAÇ_RAPORU_BURAK_YENI1309[[#This Row],[BIRIM_FIYATLAR]])&lt;1,VALUE("0"),DST_123_ÜRETİM_İHTİYAÇ_RAPORU_BURAK_YENI1309[[#This Row],[SATINALMA]]*DST_123_ÜRETİM_İHTİYAÇ_RAPORU_BURAK_YENI1309[[#This Row],[BIRIM_FIYATLAR]])</f>
        <v>0</v>
      </c>
      <c r="N4453">
        <v>3097.63</v>
      </c>
      <c r="O4453" t="s">
        <v>592</v>
      </c>
      <c r="P4453">
        <v>3097.63</v>
      </c>
      <c r="Q4453" t="s">
        <v>178</v>
      </c>
    </row>
    <row r="4454" spans="1:17" x14ac:dyDescent="0.25">
      <c r="A4454" t="s">
        <v>1149</v>
      </c>
      <c r="B4454" t="s">
        <v>1145</v>
      </c>
      <c r="C4454" t="s">
        <v>175</v>
      </c>
      <c r="D4454" t="s">
        <v>580</v>
      </c>
      <c r="E4454" t="s">
        <v>581</v>
      </c>
      <c r="F4454">
        <v>18.8</v>
      </c>
      <c r="G4454" t="s">
        <v>185</v>
      </c>
      <c r="H4454">
        <v>0</v>
      </c>
      <c r="I4454">
        <v>60</v>
      </c>
      <c r="J4454" s="10">
        <v>219.95999999999984</v>
      </c>
      <c r="K4454" s="10">
        <f>SUMIFS(F:F,D:D,DST_123_ÜRETİM_İHTİYAÇ_RAPORU_BURAK_YENI1309[[#This Row],[ALT_KOD]])-(SUMIFS(H:H,D:D,DST_123_ÜRETİM_İHTİYAÇ_RAPORU_BURAK_YENI1309[[#This Row],[ALT_KOD]])+AVERAGEIFS(I:I,D:D,DST_123_ÜRETİM_İHTİYAÇ_RAPORU_BURAK_YENI1309[[#This Row],[ALT_KOD]])+AVERAGEIFS(L:L,D:D,DST_123_ÜRETİM_İHTİYAÇ_RAPORU_BURAK_YENI1309[[#This Row],[ALT_KOD]]))</f>
        <v>143.41000000000003</v>
      </c>
      <c r="L4454">
        <v>0</v>
      </c>
      <c r="M4454">
        <f>IF((DST_123_ÜRETİM_İHTİYAÇ_RAPORU_BURAK_YENI1309[[#This Row],[SATINALMA]]*DST_123_ÜRETİM_İHTİYAÇ_RAPORU_BURAK_YENI1309[[#This Row],[BIRIM_FIYATLAR]])&lt;1,VALUE("0"),DST_123_ÜRETİM_İHTİYAÇ_RAPORU_BURAK_YENI1309[[#This Row],[SATINALMA]]*DST_123_ÜRETİM_İHTİYAÇ_RAPORU_BURAK_YENI1309[[#This Row],[BIRIM_FIYATLAR]])</f>
        <v>23533.581000000002</v>
      </c>
      <c r="N4454">
        <v>164.1</v>
      </c>
      <c r="O4454" t="s">
        <v>490</v>
      </c>
      <c r="P4454">
        <v>3085.08</v>
      </c>
      <c r="Q4454" t="s">
        <v>183</v>
      </c>
    </row>
    <row r="4455" spans="1:17" x14ac:dyDescent="0.25">
      <c r="A4455" t="s">
        <v>1149</v>
      </c>
      <c r="B4455" t="s">
        <v>1145</v>
      </c>
      <c r="C4455" t="s">
        <v>175</v>
      </c>
      <c r="D4455" t="s">
        <v>1084</v>
      </c>
      <c r="E4455" t="s">
        <v>1085</v>
      </c>
      <c r="F4455">
        <v>2</v>
      </c>
      <c r="G4455" t="s">
        <v>176</v>
      </c>
      <c r="H4455">
        <v>0</v>
      </c>
      <c r="I4455">
        <v>12</v>
      </c>
      <c r="J4455" s="10">
        <v>18</v>
      </c>
      <c r="K4455" s="10">
        <f>SUMIFS(F:F,D:D,DST_123_ÜRETİM_İHTİYAÇ_RAPORU_BURAK_YENI1309[[#This Row],[ALT_KOD]])-(SUMIFS(H:H,D:D,DST_123_ÜRETİM_İHTİYAÇ_RAPORU_BURAK_YENI1309[[#This Row],[ALT_KOD]])+AVERAGEIFS(I:I,D:D,DST_123_ÜRETİM_İHTİYAÇ_RAPORU_BURAK_YENI1309[[#This Row],[ALT_KOD]])+AVERAGEIFS(L:L,D:D,DST_123_ÜRETİM_İHTİYAÇ_RAPORU_BURAK_YENI1309[[#This Row],[ALT_KOD]]))</f>
        <v>-14</v>
      </c>
      <c r="L4455">
        <v>20</v>
      </c>
      <c r="M4455">
        <f>IF((DST_123_ÜRETİM_İHTİYAÇ_RAPORU_BURAK_YENI1309[[#This Row],[SATINALMA]]*DST_123_ÜRETİM_İHTİYAÇ_RAPORU_BURAK_YENI1309[[#This Row],[BIRIM_FIYATLAR]])&lt;1,VALUE("0"),DST_123_ÜRETİM_İHTİYAÇ_RAPORU_BURAK_YENI1309[[#This Row],[SATINALMA]]*DST_123_ÜRETİM_İHTİYAÇ_RAPORU_BURAK_YENI1309[[#This Row],[BIRIM_FIYATLAR]])</f>
        <v>0</v>
      </c>
      <c r="N4455">
        <v>194</v>
      </c>
      <c r="O4455" t="s">
        <v>217</v>
      </c>
      <c r="P4455">
        <v>388</v>
      </c>
      <c r="Q4455" t="s">
        <v>177</v>
      </c>
    </row>
    <row r="4456" spans="1:17" x14ac:dyDescent="0.25">
      <c r="A4456" t="s">
        <v>1144</v>
      </c>
      <c r="B4456" t="s">
        <v>1145</v>
      </c>
      <c r="C4456" t="s">
        <v>175</v>
      </c>
      <c r="D4456" t="s">
        <v>1084</v>
      </c>
      <c r="E4456" t="s">
        <v>1085</v>
      </c>
      <c r="F4456">
        <v>2</v>
      </c>
      <c r="G4456" t="s">
        <v>176</v>
      </c>
      <c r="H4456">
        <v>0</v>
      </c>
      <c r="I4456">
        <v>12</v>
      </c>
      <c r="J4456" s="10">
        <v>18</v>
      </c>
      <c r="K4456" s="10">
        <f>SUMIFS(F:F,D:D,DST_123_ÜRETİM_İHTİYAÇ_RAPORU_BURAK_YENI1309[[#This Row],[ALT_KOD]])-(SUMIFS(H:H,D:D,DST_123_ÜRETİM_İHTİYAÇ_RAPORU_BURAK_YENI1309[[#This Row],[ALT_KOD]])+AVERAGEIFS(I:I,D:D,DST_123_ÜRETİM_İHTİYAÇ_RAPORU_BURAK_YENI1309[[#This Row],[ALT_KOD]])+AVERAGEIFS(L:L,D:D,DST_123_ÜRETİM_İHTİYAÇ_RAPORU_BURAK_YENI1309[[#This Row],[ALT_KOD]]))</f>
        <v>-14</v>
      </c>
      <c r="L4456">
        <v>20</v>
      </c>
      <c r="M4456">
        <f>IF((DST_123_ÜRETİM_İHTİYAÇ_RAPORU_BURAK_YENI1309[[#This Row],[SATINALMA]]*DST_123_ÜRETİM_İHTİYAÇ_RAPORU_BURAK_YENI1309[[#This Row],[BIRIM_FIYATLAR]])&lt;1,VALUE("0"),DST_123_ÜRETİM_İHTİYAÇ_RAPORU_BURAK_YENI1309[[#This Row],[SATINALMA]]*DST_123_ÜRETİM_İHTİYAÇ_RAPORU_BURAK_YENI1309[[#This Row],[BIRIM_FIYATLAR]])</f>
        <v>0</v>
      </c>
      <c r="N4456">
        <v>194</v>
      </c>
      <c r="O4456" t="s">
        <v>217</v>
      </c>
      <c r="P4456">
        <v>388</v>
      </c>
      <c r="Q4456" t="s">
        <v>177</v>
      </c>
    </row>
    <row r="4457" spans="1:17" x14ac:dyDescent="0.25">
      <c r="A4457" t="s">
        <v>1149</v>
      </c>
      <c r="B4457" t="s">
        <v>1145</v>
      </c>
      <c r="C4457" t="s">
        <v>175</v>
      </c>
      <c r="D4457" t="s">
        <v>1078</v>
      </c>
      <c r="E4457" t="s">
        <v>1079</v>
      </c>
      <c r="F4457">
        <v>1</v>
      </c>
      <c r="G4457" t="s">
        <v>176</v>
      </c>
      <c r="H4457">
        <v>0</v>
      </c>
      <c r="I4457">
        <v>3</v>
      </c>
      <c r="J4457" s="10">
        <v>8</v>
      </c>
      <c r="K4457" s="10">
        <f>SUMIFS(F:F,D:D,DST_123_ÜRETİM_İHTİYAÇ_RAPORU_BURAK_YENI1309[[#This Row],[ALT_KOD]])-(SUMIFS(H:H,D:D,DST_123_ÜRETİM_İHTİYAÇ_RAPORU_BURAK_YENI1309[[#This Row],[ALT_KOD]])+AVERAGEIFS(I:I,D:D,DST_123_ÜRETİM_İHTİYAÇ_RAPORU_BURAK_YENI1309[[#This Row],[ALT_KOD]])+AVERAGEIFS(L:L,D:D,DST_123_ÜRETİM_İHTİYAÇ_RAPORU_BURAK_YENI1309[[#This Row],[ALT_KOD]]))</f>
        <v>-2</v>
      </c>
      <c r="L4457">
        <v>10</v>
      </c>
      <c r="M4457">
        <f>IF((DST_123_ÜRETİM_İHTİYAÇ_RAPORU_BURAK_YENI1309[[#This Row],[SATINALMA]]*DST_123_ÜRETİM_İHTİYAÇ_RAPORU_BURAK_YENI1309[[#This Row],[BIRIM_FIYATLAR]])&lt;1,VALUE("0"),DST_123_ÜRETİM_İHTİYAÇ_RAPORU_BURAK_YENI1309[[#This Row],[SATINALMA]]*DST_123_ÜRETİM_İHTİYAÇ_RAPORU_BURAK_YENI1309[[#This Row],[BIRIM_FIYATLAR]])</f>
        <v>0</v>
      </c>
      <c r="N4457">
        <v>3097.63</v>
      </c>
      <c r="O4457" t="s">
        <v>592</v>
      </c>
      <c r="P4457">
        <v>3097.63</v>
      </c>
      <c r="Q4457" t="s">
        <v>178</v>
      </c>
    </row>
    <row r="4458" spans="1:17" x14ac:dyDescent="0.25">
      <c r="A4458" t="s">
        <v>1146</v>
      </c>
      <c r="B4458" t="s">
        <v>1145</v>
      </c>
      <c r="C4458" t="s">
        <v>175</v>
      </c>
      <c r="D4458" t="s">
        <v>1078</v>
      </c>
      <c r="E4458" t="s">
        <v>1079</v>
      </c>
      <c r="F4458">
        <v>1</v>
      </c>
      <c r="G4458" t="s">
        <v>176</v>
      </c>
      <c r="H4458">
        <v>0</v>
      </c>
      <c r="I4458">
        <v>3</v>
      </c>
      <c r="J4458" s="10">
        <v>8</v>
      </c>
      <c r="K4458" s="10">
        <f>SUMIFS(F:F,D:D,DST_123_ÜRETİM_İHTİYAÇ_RAPORU_BURAK_YENI1309[[#This Row],[ALT_KOD]])-(SUMIFS(H:H,D:D,DST_123_ÜRETİM_İHTİYAÇ_RAPORU_BURAK_YENI1309[[#This Row],[ALT_KOD]])+AVERAGEIFS(I:I,D:D,DST_123_ÜRETİM_İHTİYAÇ_RAPORU_BURAK_YENI1309[[#This Row],[ALT_KOD]])+AVERAGEIFS(L:L,D:D,DST_123_ÜRETİM_İHTİYAÇ_RAPORU_BURAK_YENI1309[[#This Row],[ALT_KOD]]))</f>
        <v>-2</v>
      </c>
      <c r="L4458">
        <v>10</v>
      </c>
      <c r="M4458">
        <f>IF((DST_123_ÜRETİM_İHTİYAÇ_RAPORU_BURAK_YENI1309[[#This Row],[SATINALMA]]*DST_123_ÜRETİM_İHTİYAÇ_RAPORU_BURAK_YENI1309[[#This Row],[BIRIM_FIYATLAR]])&lt;1,VALUE("0"),DST_123_ÜRETİM_İHTİYAÇ_RAPORU_BURAK_YENI1309[[#This Row],[SATINALMA]]*DST_123_ÜRETİM_İHTİYAÇ_RAPORU_BURAK_YENI1309[[#This Row],[BIRIM_FIYATLAR]])</f>
        <v>0</v>
      </c>
      <c r="N4458">
        <v>3097.63</v>
      </c>
      <c r="O4458" t="s">
        <v>592</v>
      </c>
      <c r="P4458">
        <v>3097.63</v>
      </c>
      <c r="Q4458" t="s">
        <v>178</v>
      </c>
    </row>
    <row r="4459" spans="1:17" x14ac:dyDescent="0.25">
      <c r="A4459" t="s">
        <v>1147</v>
      </c>
      <c r="B4459" t="s">
        <v>1145</v>
      </c>
      <c r="C4459" t="s">
        <v>175</v>
      </c>
      <c r="D4459" t="s">
        <v>1084</v>
      </c>
      <c r="E4459" t="s">
        <v>1085</v>
      </c>
      <c r="F4459">
        <v>2</v>
      </c>
      <c r="G4459" t="s">
        <v>176</v>
      </c>
      <c r="H4459">
        <v>0</v>
      </c>
      <c r="I4459">
        <v>12</v>
      </c>
      <c r="J4459" s="10">
        <v>18</v>
      </c>
      <c r="K4459" s="10">
        <f>SUMIFS(F:F,D:D,DST_123_ÜRETİM_İHTİYAÇ_RAPORU_BURAK_YENI1309[[#This Row],[ALT_KOD]])-(SUMIFS(H:H,D:D,DST_123_ÜRETİM_İHTİYAÇ_RAPORU_BURAK_YENI1309[[#This Row],[ALT_KOD]])+AVERAGEIFS(I:I,D:D,DST_123_ÜRETİM_İHTİYAÇ_RAPORU_BURAK_YENI1309[[#This Row],[ALT_KOD]])+AVERAGEIFS(L:L,D:D,DST_123_ÜRETİM_İHTİYAÇ_RAPORU_BURAK_YENI1309[[#This Row],[ALT_KOD]]))</f>
        <v>-14</v>
      </c>
      <c r="L4459">
        <v>20</v>
      </c>
      <c r="M4459">
        <f>IF((DST_123_ÜRETİM_İHTİYAÇ_RAPORU_BURAK_YENI1309[[#This Row],[SATINALMA]]*DST_123_ÜRETİM_İHTİYAÇ_RAPORU_BURAK_YENI1309[[#This Row],[BIRIM_FIYATLAR]])&lt;1,VALUE("0"),DST_123_ÜRETİM_İHTİYAÇ_RAPORU_BURAK_YENI1309[[#This Row],[SATINALMA]]*DST_123_ÜRETİM_İHTİYAÇ_RAPORU_BURAK_YENI1309[[#This Row],[BIRIM_FIYATLAR]])</f>
        <v>0</v>
      </c>
      <c r="N4459">
        <v>194</v>
      </c>
      <c r="O4459" t="s">
        <v>217</v>
      </c>
      <c r="P4459">
        <v>388</v>
      </c>
      <c r="Q4459" t="s">
        <v>177</v>
      </c>
    </row>
    <row r="4460" spans="1:17" x14ac:dyDescent="0.25">
      <c r="A4460" t="s">
        <v>1147</v>
      </c>
      <c r="B4460" t="s">
        <v>1145</v>
      </c>
      <c r="C4460" t="s">
        <v>175</v>
      </c>
      <c r="D4460" t="s">
        <v>1078</v>
      </c>
      <c r="E4460" t="s">
        <v>1079</v>
      </c>
      <c r="F4460">
        <v>1</v>
      </c>
      <c r="G4460" t="s">
        <v>176</v>
      </c>
      <c r="H4460">
        <v>0</v>
      </c>
      <c r="I4460">
        <v>3</v>
      </c>
      <c r="J4460" s="10">
        <v>8</v>
      </c>
      <c r="K4460" s="10">
        <f>SUMIFS(F:F,D:D,DST_123_ÜRETİM_İHTİYAÇ_RAPORU_BURAK_YENI1309[[#This Row],[ALT_KOD]])-(SUMIFS(H:H,D:D,DST_123_ÜRETİM_İHTİYAÇ_RAPORU_BURAK_YENI1309[[#This Row],[ALT_KOD]])+AVERAGEIFS(I:I,D:D,DST_123_ÜRETİM_İHTİYAÇ_RAPORU_BURAK_YENI1309[[#This Row],[ALT_KOD]])+AVERAGEIFS(L:L,D:D,DST_123_ÜRETİM_İHTİYAÇ_RAPORU_BURAK_YENI1309[[#This Row],[ALT_KOD]]))</f>
        <v>-2</v>
      </c>
      <c r="L4460">
        <v>10</v>
      </c>
      <c r="M4460">
        <f>IF((DST_123_ÜRETİM_İHTİYAÇ_RAPORU_BURAK_YENI1309[[#This Row],[SATINALMA]]*DST_123_ÜRETİM_İHTİYAÇ_RAPORU_BURAK_YENI1309[[#This Row],[BIRIM_FIYATLAR]])&lt;1,VALUE("0"),DST_123_ÜRETİM_İHTİYAÇ_RAPORU_BURAK_YENI1309[[#This Row],[SATINALMA]]*DST_123_ÜRETİM_İHTİYAÇ_RAPORU_BURAK_YENI1309[[#This Row],[BIRIM_FIYATLAR]])</f>
        <v>0</v>
      </c>
      <c r="N4460">
        <v>3097.63</v>
      </c>
      <c r="O4460" t="s">
        <v>592</v>
      </c>
      <c r="P4460">
        <v>3097.63</v>
      </c>
      <c r="Q4460" t="s">
        <v>178</v>
      </c>
    </row>
    <row r="4461" spans="1:17" x14ac:dyDescent="0.25">
      <c r="A4461" t="s">
        <v>1148</v>
      </c>
      <c r="B4461" t="s">
        <v>1056</v>
      </c>
      <c r="C4461" t="s">
        <v>175</v>
      </c>
      <c r="D4461" t="s">
        <v>1078</v>
      </c>
      <c r="E4461" t="s">
        <v>1079</v>
      </c>
      <c r="F4461">
        <v>1</v>
      </c>
      <c r="G4461" t="s">
        <v>176</v>
      </c>
      <c r="H4461">
        <v>0</v>
      </c>
      <c r="I4461">
        <v>3</v>
      </c>
      <c r="J4461" s="10">
        <v>8</v>
      </c>
      <c r="K4461" s="10">
        <f>SUMIFS(F:F,D:D,DST_123_ÜRETİM_İHTİYAÇ_RAPORU_BURAK_YENI1309[[#This Row],[ALT_KOD]])-(SUMIFS(H:H,D:D,DST_123_ÜRETİM_İHTİYAÇ_RAPORU_BURAK_YENI1309[[#This Row],[ALT_KOD]])+AVERAGEIFS(I:I,D:D,DST_123_ÜRETİM_İHTİYAÇ_RAPORU_BURAK_YENI1309[[#This Row],[ALT_KOD]])+AVERAGEIFS(L:L,D:D,DST_123_ÜRETİM_İHTİYAÇ_RAPORU_BURAK_YENI1309[[#This Row],[ALT_KOD]]))</f>
        <v>-2</v>
      </c>
      <c r="L4461">
        <v>10</v>
      </c>
      <c r="M4461">
        <f>IF((DST_123_ÜRETİM_İHTİYAÇ_RAPORU_BURAK_YENI1309[[#This Row],[SATINALMA]]*DST_123_ÜRETİM_İHTİYAÇ_RAPORU_BURAK_YENI1309[[#This Row],[BIRIM_FIYATLAR]])&lt;1,VALUE("0"),DST_123_ÜRETİM_İHTİYAÇ_RAPORU_BURAK_YENI1309[[#This Row],[SATINALMA]]*DST_123_ÜRETİM_İHTİYAÇ_RAPORU_BURAK_YENI1309[[#This Row],[BIRIM_FIYATLAR]])</f>
        <v>0</v>
      </c>
      <c r="N4461">
        <v>3097.63</v>
      </c>
      <c r="O4461" t="s">
        <v>592</v>
      </c>
      <c r="P4461">
        <v>3097.63</v>
      </c>
      <c r="Q4461" t="s">
        <v>178</v>
      </c>
    </row>
    <row r="4462" spans="1:17" x14ac:dyDescent="0.25">
      <c r="A4462" t="s">
        <v>1101</v>
      </c>
      <c r="B4462" t="s">
        <v>1102</v>
      </c>
      <c r="C4462" t="s">
        <v>175</v>
      </c>
      <c r="D4462" t="s">
        <v>1127</v>
      </c>
      <c r="E4462" t="s">
        <v>1128</v>
      </c>
      <c r="F4462">
        <v>3</v>
      </c>
      <c r="G4462" t="s">
        <v>179</v>
      </c>
      <c r="H4462">
        <v>0</v>
      </c>
      <c r="I4462">
        <v>60</v>
      </c>
      <c r="J4462" s="10">
        <v>50</v>
      </c>
      <c r="K4462" s="10">
        <f>SUMIFS(F:F,D:D,DST_123_ÜRETİM_İHTİYAÇ_RAPORU_BURAK_YENI1309[[#This Row],[ALT_KOD]])-(SUMIFS(H:H,D:D,DST_123_ÜRETİM_İHTİYAÇ_RAPORU_BURAK_YENI1309[[#This Row],[ALT_KOD]])+AVERAGEIFS(I:I,D:D,DST_123_ÜRETİM_İHTİYAÇ_RAPORU_BURAK_YENI1309[[#This Row],[ALT_KOD]])+AVERAGEIFS(L:L,D:D,DST_123_ÜRETİM_İHTİYAÇ_RAPORU_BURAK_YENI1309[[#This Row],[ALT_KOD]]))</f>
        <v>-50.5</v>
      </c>
      <c r="L4462">
        <v>0</v>
      </c>
      <c r="M4462">
        <f>IF((DST_123_ÜRETİM_İHTİYAÇ_RAPORU_BURAK_YENI1309[[#This Row],[SATINALMA]]*DST_123_ÜRETİM_İHTİYAÇ_RAPORU_BURAK_YENI1309[[#This Row],[BIRIM_FIYATLAR]])&lt;1,VALUE("0"),DST_123_ÜRETİM_İHTİYAÇ_RAPORU_BURAK_YENI1309[[#This Row],[SATINALMA]]*DST_123_ÜRETİM_İHTİYAÇ_RAPORU_BURAK_YENI1309[[#This Row],[BIRIM_FIYATLAR]])</f>
        <v>0</v>
      </c>
      <c r="N4462">
        <v>265</v>
      </c>
      <c r="O4462" t="s">
        <v>745</v>
      </c>
      <c r="P4462">
        <v>795</v>
      </c>
      <c r="Q4462" t="s">
        <v>184</v>
      </c>
    </row>
    <row r="4463" spans="1:17" x14ac:dyDescent="0.25">
      <c r="A4463" t="s">
        <v>1144</v>
      </c>
      <c r="B4463" t="s">
        <v>1145</v>
      </c>
      <c r="C4463" t="s">
        <v>175</v>
      </c>
      <c r="D4463" t="s">
        <v>703</v>
      </c>
      <c r="E4463" t="s">
        <v>704</v>
      </c>
      <c r="F4463">
        <v>2</v>
      </c>
      <c r="G4463" t="s">
        <v>176</v>
      </c>
      <c r="H4463">
        <v>0</v>
      </c>
      <c r="I4463">
        <v>250</v>
      </c>
      <c r="J4463" s="10">
        <v>302</v>
      </c>
      <c r="K4463" s="10">
        <f>SUMIFS(F:F,D:D,DST_123_ÜRETİM_İHTİYAÇ_RAPORU_BURAK_YENI1309[[#This Row],[ALT_KOD]])-(SUMIFS(H:H,D:D,DST_123_ÜRETİM_İHTİYAÇ_RAPORU_BURAK_YENI1309[[#This Row],[ALT_KOD]])+AVERAGEIFS(I:I,D:D,DST_123_ÜRETİM_İHTİYAÇ_RAPORU_BURAK_YENI1309[[#This Row],[ALT_KOD]])+AVERAGEIFS(L:L,D:D,DST_123_ÜRETİM_İHTİYAÇ_RAPORU_BURAK_YENI1309[[#This Row],[ALT_KOD]]))</f>
        <v>-202</v>
      </c>
      <c r="L4463">
        <v>0</v>
      </c>
      <c r="M4463">
        <f>IF((DST_123_ÜRETİM_İHTİYAÇ_RAPORU_BURAK_YENI1309[[#This Row],[SATINALMA]]*DST_123_ÜRETİM_İHTİYAÇ_RAPORU_BURAK_YENI1309[[#This Row],[BIRIM_FIYATLAR]])&lt;1,VALUE("0"),DST_123_ÜRETİM_İHTİYAÇ_RAPORU_BURAK_YENI1309[[#This Row],[SATINALMA]]*DST_123_ÜRETİM_İHTİYAÇ_RAPORU_BURAK_YENI1309[[#This Row],[BIRIM_FIYATLAR]])</f>
        <v>0</v>
      </c>
      <c r="N4463">
        <v>0.9</v>
      </c>
      <c r="O4463" t="s">
        <v>826</v>
      </c>
      <c r="P4463">
        <v>1.8</v>
      </c>
      <c r="Q4463" t="s">
        <v>221</v>
      </c>
    </row>
    <row r="4464" spans="1:17" x14ac:dyDescent="0.25">
      <c r="A4464" t="s">
        <v>1146</v>
      </c>
      <c r="B4464" t="s">
        <v>1145</v>
      </c>
      <c r="C4464" t="s">
        <v>175</v>
      </c>
      <c r="D4464" t="s">
        <v>703</v>
      </c>
      <c r="E4464" t="s">
        <v>704</v>
      </c>
      <c r="F4464">
        <v>4</v>
      </c>
      <c r="G4464" t="s">
        <v>176</v>
      </c>
      <c r="H4464">
        <v>0</v>
      </c>
      <c r="I4464">
        <v>250</v>
      </c>
      <c r="J4464" s="10">
        <v>302</v>
      </c>
      <c r="K4464" s="10">
        <f>SUMIFS(F:F,D:D,DST_123_ÜRETİM_İHTİYAÇ_RAPORU_BURAK_YENI1309[[#This Row],[ALT_KOD]])-(SUMIFS(H:H,D:D,DST_123_ÜRETİM_İHTİYAÇ_RAPORU_BURAK_YENI1309[[#This Row],[ALT_KOD]])+AVERAGEIFS(I:I,D:D,DST_123_ÜRETİM_İHTİYAÇ_RAPORU_BURAK_YENI1309[[#This Row],[ALT_KOD]])+AVERAGEIFS(L:L,D:D,DST_123_ÜRETİM_İHTİYAÇ_RAPORU_BURAK_YENI1309[[#This Row],[ALT_KOD]]))</f>
        <v>-202</v>
      </c>
      <c r="L4464">
        <v>0</v>
      </c>
      <c r="M4464">
        <f>IF((DST_123_ÜRETİM_İHTİYAÇ_RAPORU_BURAK_YENI1309[[#This Row],[SATINALMA]]*DST_123_ÜRETİM_İHTİYAÇ_RAPORU_BURAK_YENI1309[[#This Row],[BIRIM_FIYATLAR]])&lt;1,VALUE("0"),DST_123_ÜRETİM_İHTİYAÇ_RAPORU_BURAK_YENI1309[[#This Row],[SATINALMA]]*DST_123_ÜRETİM_İHTİYAÇ_RAPORU_BURAK_YENI1309[[#This Row],[BIRIM_FIYATLAR]])</f>
        <v>0</v>
      </c>
      <c r="N4464">
        <v>0.9</v>
      </c>
      <c r="O4464" t="s">
        <v>826</v>
      </c>
      <c r="P4464">
        <v>3.6</v>
      </c>
      <c r="Q4464" t="s">
        <v>221</v>
      </c>
    </row>
    <row r="4465" spans="1:17" x14ac:dyDescent="0.25">
      <c r="A4465" t="s">
        <v>1144</v>
      </c>
      <c r="B4465" t="s">
        <v>1145</v>
      </c>
      <c r="C4465" t="s">
        <v>175</v>
      </c>
      <c r="D4465" t="s">
        <v>605</v>
      </c>
      <c r="E4465" t="s">
        <v>606</v>
      </c>
      <c r="F4465">
        <v>4</v>
      </c>
      <c r="G4465" t="s">
        <v>176</v>
      </c>
      <c r="H4465">
        <v>0</v>
      </c>
      <c r="I4465">
        <v>25</v>
      </c>
      <c r="J4465" s="10">
        <v>14</v>
      </c>
      <c r="K4465" s="10">
        <f>SUMIFS(F:F,D:D,DST_123_ÜRETİM_İHTİYAÇ_RAPORU_BURAK_YENI1309[[#This Row],[ALT_KOD]])-(SUMIFS(H:H,D:D,DST_123_ÜRETİM_İHTİYAÇ_RAPORU_BURAK_YENI1309[[#This Row],[ALT_KOD]])+AVERAGEIFS(I:I,D:D,DST_123_ÜRETİM_İHTİYAÇ_RAPORU_BURAK_YENI1309[[#This Row],[ALT_KOD]])+AVERAGEIFS(L:L,D:D,DST_123_ÜRETİM_İHTİYAÇ_RAPORU_BURAK_YENI1309[[#This Row],[ALT_KOD]]))</f>
        <v>7</v>
      </c>
      <c r="L4465">
        <v>0</v>
      </c>
      <c r="M4465">
        <f>IF((DST_123_ÜRETİM_İHTİYAÇ_RAPORU_BURAK_YENI1309[[#This Row],[SATINALMA]]*DST_123_ÜRETİM_İHTİYAÇ_RAPORU_BURAK_YENI1309[[#This Row],[BIRIM_FIYATLAR]])&lt;1,VALUE("0"),DST_123_ÜRETİM_İHTİYAÇ_RAPORU_BURAK_YENI1309[[#This Row],[SATINALMA]]*DST_123_ÜRETİM_İHTİYAÇ_RAPORU_BURAK_YENI1309[[#This Row],[BIRIM_FIYATLAR]])</f>
        <v>1206.6599999999999</v>
      </c>
      <c r="N4465">
        <v>172.38</v>
      </c>
      <c r="O4465" t="s">
        <v>636</v>
      </c>
      <c r="P4465">
        <v>689.52</v>
      </c>
      <c r="Q4465" t="s">
        <v>177</v>
      </c>
    </row>
    <row r="4466" spans="1:17" x14ac:dyDescent="0.25">
      <c r="A4466" t="s">
        <v>1148</v>
      </c>
      <c r="B4466" t="s">
        <v>1056</v>
      </c>
      <c r="C4466" t="s">
        <v>175</v>
      </c>
      <c r="D4466" t="s">
        <v>473</v>
      </c>
      <c r="E4466" t="s">
        <v>474</v>
      </c>
      <c r="F4466">
        <v>40</v>
      </c>
      <c r="G4466" t="s">
        <v>176</v>
      </c>
      <c r="H4466">
        <v>0</v>
      </c>
      <c r="I4466">
        <v>680</v>
      </c>
      <c r="J4466" s="10">
        <v>614</v>
      </c>
      <c r="K4466" s="10">
        <f>SUMIFS(F:F,D:D,DST_123_ÜRETİM_İHTİYAÇ_RAPORU_BURAK_YENI1309[[#This Row],[ALT_KOD]])-(SUMIFS(H:H,D:D,DST_123_ÜRETİM_İHTİYAÇ_RAPORU_BURAK_YENI1309[[#This Row],[ALT_KOD]])+AVERAGEIFS(I:I,D:D,DST_123_ÜRETİM_İHTİYAÇ_RAPORU_BURAK_YENI1309[[#This Row],[ALT_KOD]])+AVERAGEIFS(L:L,D:D,DST_123_ÜRETİM_İHTİYAÇ_RAPORU_BURAK_YENI1309[[#This Row],[ALT_KOD]]))</f>
        <v>118</v>
      </c>
      <c r="L4466">
        <v>0</v>
      </c>
      <c r="M4466">
        <f>IF((DST_123_ÜRETİM_İHTİYAÇ_RAPORU_BURAK_YENI1309[[#This Row],[SATINALMA]]*DST_123_ÜRETİM_İHTİYAÇ_RAPORU_BURAK_YENI1309[[#This Row],[BIRIM_FIYATLAR]])&lt;1,VALUE("0"),DST_123_ÜRETİM_İHTİYAÇ_RAPORU_BURAK_YENI1309[[#This Row],[SATINALMA]]*DST_123_ÜRETİM_İHTİYAÇ_RAPORU_BURAK_YENI1309[[#This Row],[BIRIM_FIYATLAR]])</f>
        <v>247.8</v>
      </c>
      <c r="N4466">
        <v>2.1</v>
      </c>
      <c r="O4466" t="s">
        <v>240</v>
      </c>
      <c r="P4466">
        <v>84</v>
      </c>
      <c r="Q4466" t="s">
        <v>180</v>
      </c>
    </row>
    <row r="4467" spans="1:17" x14ac:dyDescent="0.25">
      <c r="A4467" t="s">
        <v>1149</v>
      </c>
      <c r="B4467" t="s">
        <v>1145</v>
      </c>
      <c r="C4467" t="s">
        <v>175</v>
      </c>
      <c r="D4467" t="s">
        <v>595</v>
      </c>
      <c r="E4467" t="s">
        <v>596</v>
      </c>
      <c r="F4467">
        <v>1</v>
      </c>
      <c r="G4467" t="s">
        <v>176</v>
      </c>
      <c r="H4467">
        <v>0</v>
      </c>
      <c r="I4467">
        <v>18</v>
      </c>
      <c r="J4467" s="10">
        <v>3</v>
      </c>
      <c r="K4467" s="10">
        <f>SUMIFS(F:F,D:D,DST_123_ÜRETİM_İHTİYAÇ_RAPORU_BURAK_YENI1309[[#This Row],[ALT_KOD]])-(SUMIFS(H:H,D:D,DST_123_ÜRETİM_İHTİYAÇ_RAPORU_BURAK_YENI1309[[#This Row],[ALT_KOD]])+AVERAGEIFS(I:I,D:D,DST_123_ÜRETİM_İHTİYAÇ_RAPORU_BURAK_YENI1309[[#This Row],[ALT_KOD]])+AVERAGEIFS(L:L,D:D,DST_123_ÜRETİM_İHTİYAÇ_RAPORU_BURAK_YENI1309[[#This Row],[ALT_KOD]]))</f>
        <v>-1</v>
      </c>
      <c r="L4467">
        <v>0</v>
      </c>
      <c r="M4467">
        <f>IF((DST_123_ÜRETİM_İHTİYAÇ_RAPORU_BURAK_YENI1309[[#This Row],[SATINALMA]]*DST_123_ÜRETİM_İHTİYAÇ_RAPORU_BURAK_YENI1309[[#This Row],[BIRIM_FIYATLAR]])&lt;1,VALUE("0"),DST_123_ÜRETİM_İHTİYAÇ_RAPORU_BURAK_YENI1309[[#This Row],[SATINALMA]]*DST_123_ÜRETİM_İHTİYAÇ_RAPORU_BURAK_YENI1309[[#This Row],[BIRIM_FIYATLAR]])</f>
        <v>0</v>
      </c>
      <c r="N4467">
        <v>4852.33</v>
      </c>
      <c r="O4467" t="s">
        <v>636</v>
      </c>
      <c r="P4467">
        <v>4852.33</v>
      </c>
      <c r="Q4467" t="s">
        <v>177</v>
      </c>
    </row>
    <row r="4468" spans="1:17" x14ac:dyDescent="0.25">
      <c r="A4468" t="s">
        <v>1146</v>
      </c>
      <c r="B4468" t="s">
        <v>1145</v>
      </c>
      <c r="C4468" t="s">
        <v>175</v>
      </c>
      <c r="D4468" t="s">
        <v>1169</v>
      </c>
      <c r="E4468" t="s">
        <v>1170</v>
      </c>
      <c r="F4468">
        <v>2</v>
      </c>
      <c r="G4468" t="s">
        <v>176</v>
      </c>
      <c r="H4468">
        <v>0</v>
      </c>
      <c r="I4468">
        <v>250</v>
      </c>
      <c r="J4468" s="10">
        <v>250</v>
      </c>
      <c r="K4468" s="10">
        <f>SUMIFS(F:F,D:D,DST_123_ÜRETİM_İHTİYAÇ_RAPORU_BURAK_YENI1309[[#This Row],[ALT_KOD]])-(SUMIFS(H:H,D:D,DST_123_ÜRETİM_İHTİYAÇ_RAPORU_BURAK_YENI1309[[#This Row],[ALT_KOD]])+AVERAGEIFS(I:I,D:D,DST_123_ÜRETİM_İHTİYAÇ_RAPORU_BURAK_YENI1309[[#This Row],[ALT_KOD]])+AVERAGEIFS(L:L,D:D,DST_123_ÜRETİM_İHTİYAÇ_RAPORU_BURAK_YENI1309[[#This Row],[ALT_KOD]]))</f>
        <v>-236</v>
      </c>
      <c r="L4468">
        <v>0</v>
      </c>
      <c r="M4468">
        <f>IF((DST_123_ÜRETİM_İHTİYAÇ_RAPORU_BURAK_YENI1309[[#This Row],[SATINALMA]]*DST_123_ÜRETİM_İHTİYAÇ_RAPORU_BURAK_YENI1309[[#This Row],[BIRIM_FIYATLAR]])&lt;1,VALUE("0"),DST_123_ÜRETİM_İHTİYAÇ_RAPORU_BURAK_YENI1309[[#This Row],[SATINALMA]]*DST_123_ÜRETİM_İHTİYAÇ_RAPORU_BURAK_YENI1309[[#This Row],[BIRIM_FIYATLAR]])</f>
        <v>0</v>
      </c>
      <c r="N4468">
        <v>1.07</v>
      </c>
      <c r="O4468" t="s">
        <v>826</v>
      </c>
      <c r="P4468">
        <v>2.14</v>
      </c>
      <c r="Q4468" t="s">
        <v>221</v>
      </c>
    </row>
    <row r="4469" spans="1:17" x14ac:dyDescent="0.25">
      <c r="A4469" t="s">
        <v>1144</v>
      </c>
      <c r="B4469" t="s">
        <v>1145</v>
      </c>
      <c r="C4469" t="s">
        <v>175</v>
      </c>
      <c r="D4469" t="s">
        <v>1169</v>
      </c>
      <c r="E4469" t="s">
        <v>1170</v>
      </c>
      <c r="F4469">
        <v>2</v>
      </c>
      <c r="G4469" t="s">
        <v>176</v>
      </c>
      <c r="H4469">
        <v>0</v>
      </c>
      <c r="I4469">
        <v>250</v>
      </c>
      <c r="J4469" s="10">
        <v>250</v>
      </c>
      <c r="K4469" s="10">
        <f>SUMIFS(F:F,D:D,DST_123_ÜRETİM_İHTİYAÇ_RAPORU_BURAK_YENI1309[[#This Row],[ALT_KOD]])-(SUMIFS(H:H,D:D,DST_123_ÜRETİM_İHTİYAÇ_RAPORU_BURAK_YENI1309[[#This Row],[ALT_KOD]])+AVERAGEIFS(I:I,D:D,DST_123_ÜRETİM_İHTİYAÇ_RAPORU_BURAK_YENI1309[[#This Row],[ALT_KOD]])+AVERAGEIFS(L:L,D:D,DST_123_ÜRETİM_İHTİYAÇ_RAPORU_BURAK_YENI1309[[#This Row],[ALT_KOD]]))</f>
        <v>-236</v>
      </c>
      <c r="L4469">
        <v>0</v>
      </c>
      <c r="M4469">
        <f>IF((DST_123_ÜRETİM_İHTİYAÇ_RAPORU_BURAK_YENI1309[[#This Row],[SATINALMA]]*DST_123_ÜRETİM_İHTİYAÇ_RAPORU_BURAK_YENI1309[[#This Row],[BIRIM_FIYATLAR]])&lt;1,VALUE("0"),DST_123_ÜRETİM_İHTİYAÇ_RAPORU_BURAK_YENI1309[[#This Row],[SATINALMA]]*DST_123_ÜRETİM_İHTİYAÇ_RAPORU_BURAK_YENI1309[[#This Row],[BIRIM_FIYATLAR]])</f>
        <v>0</v>
      </c>
      <c r="N4469">
        <v>1.07</v>
      </c>
      <c r="O4469" t="s">
        <v>826</v>
      </c>
      <c r="P4469">
        <v>2.14</v>
      </c>
      <c r="Q4469" t="s">
        <v>221</v>
      </c>
    </row>
    <row r="4470" spans="1:17" x14ac:dyDescent="0.25">
      <c r="A4470" t="s">
        <v>1144</v>
      </c>
      <c r="B4470" t="s">
        <v>1145</v>
      </c>
      <c r="C4470" t="s">
        <v>175</v>
      </c>
      <c r="D4470" t="s">
        <v>774</v>
      </c>
      <c r="E4470" t="s">
        <v>775</v>
      </c>
      <c r="F4470">
        <v>3</v>
      </c>
      <c r="G4470" t="s">
        <v>182</v>
      </c>
      <c r="H4470">
        <v>0</v>
      </c>
      <c r="I4470">
        <v>0</v>
      </c>
      <c r="J4470" s="10">
        <v>0</v>
      </c>
      <c r="K4470" s="10">
        <f>SUMIFS(F:F,D:D,DST_123_ÜRETİM_İHTİYAÇ_RAPORU_BURAK_YENI1309[[#This Row],[ALT_KOD]])-(SUMIFS(H:H,D:D,DST_123_ÜRETİM_İHTİYAÇ_RAPORU_BURAK_YENI1309[[#This Row],[ALT_KOD]])+AVERAGEIFS(I:I,D:D,DST_123_ÜRETİM_İHTİYAÇ_RAPORU_BURAK_YENI1309[[#This Row],[ALT_KOD]])+AVERAGEIFS(L:L,D:D,DST_123_ÜRETİM_İHTİYAÇ_RAPORU_BURAK_YENI1309[[#This Row],[ALT_KOD]]))</f>
        <v>24</v>
      </c>
      <c r="L4470">
        <v>0</v>
      </c>
      <c r="M4470">
        <f>IF((DST_123_ÜRETİM_İHTİYAÇ_RAPORU_BURAK_YENI1309[[#This Row],[SATINALMA]]*DST_123_ÜRETİM_İHTİYAÇ_RAPORU_BURAK_YENI1309[[#This Row],[BIRIM_FIYATLAR]])&lt;1,VALUE("0"),DST_123_ÜRETİM_İHTİYAÇ_RAPORU_BURAK_YENI1309[[#This Row],[SATINALMA]]*DST_123_ÜRETİM_İHTİYAÇ_RAPORU_BURAK_YENI1309[[#This Row],[BIRIM_FIYATLAR]])</f>
        <v>14751.119999999999</v>
      </c>
      <c r="N4470">
        <v>614.63</v>
      </c>
      <c r="O4470" t="s">
        <v>253</v>
      </c>
      <c r="P4470">
        <v>1843.8899999999999</v>
      </c>
      <c r="Q4470" t="s">
        <v>657</v>
      </c>
    </row>
    <row r="4471" spans="1:17" x14ac:dyDescent="0.25">
      <c r="A4471" t="s">
        <v>1146</v>
      </c>
      <c r="B4471" t="s">
        <v>1145</v>
      </c>
      <c r="C4471" t="s">
        <v>175</v>
      </c>
      <c r="D4471" t="s">
        <v>774</v>
      </c>
      <c r="E4471" t="s">
        <v>775</v>
      </c>
      <c r="F4471">
        <v>3</v>
      </c>
      <c r="G4471" t="s">
        <v>182</v>
      </c>
      <c r="H4471">
        <v>0</v>
      </c>
      <c r="I4471">
        <v>0</v>
      </c>
      <c r="J4471" s="10">
        <v>0</v>
      </c>
      <c r="K4471" s="10">
        <f>SUMIFS(F:F,D:D,DST_123_ÜRETİM_İHTİYAÇ_RAPORU_BURAK_YENI1309[[#This Row],[ALT_KOD]])-(SUMIFS(H:H,D:D,DST_123_ÜRETİM_İHTİYAÇ_RAPORU_BURAK_YENI1309[[#This Row],[ALT_KOD]])+AVERAGEIFS(I:I,D:D,DST_123_ÜRETİM_İHTİYAÇ_RAPORU_BURAK_YENI1309[[#This Row],[ALT_KOD]])+AVERAGEIFS(L:L,D:D,DST_123_ÜRETİM_İHTİYAÇ_RAPORU_BURAK_YENI1309[[#This Row],[ALT_KOD]]))</f>
        <v>24</v>
      </c>
      <c r="L4471">
        <v>0</v>
      </c>
      <c r="M4471">
        <f>IF((DST_123_ÜRETİM_İHTİYAÇ_RAPORU_BURAK_YENI1309[[#This Row],[SATINALMA]]*DST_123_ÜRETİM_İHTİYAÇ_RAPORU_BURAK_YENI1309[[#This Row],[BIRIM_FIYATLAR]])&lt;1,VALUE("0"),DST_123_ÜRETİM_İHTİYAÇ_RAPORU_BURAK_YENI1309[[#This Row],[SATINALMA]]*DST_123_ÜRETİM_İHTİYAÇ_RAPORU_BURAK_YENI1309[[#This Row],[BIRIM_FIYATLAR]])</f>
        <v>14751.119999999999</v>
      </c>
      <c r="N4471">
        <v>614.63</v>
      </c>
      <c r="O4471" t="s">
        <v>253</v>
      </c>
      <c r="P4471">
        <v>1843.8899999999999</v>
      </c>
      <c r="Q4471" t="s">
        <v>657</v>
      </c>
    </row>
    <row r="4472" spans="1:17" x14ac:dyDescent="0.25">
      <c r="A4472" t="s">
        <v>1098</v>
      </c>
      <c r="B4472" t="s">
        <v>1096</v>
      </c>
      <c r="C4472" t="s">
        <v>175</v>
      </c>
      <c r="D4472" t="s">
        <v>1121</v>
      </c>
      <c r="E4472" t="s">
        <v>1122</v>
      </c>
      <c r="F4472">
        <v>0.2</v>
      </c>
      <c r="G4472" t="s">
        <v>185</v>
      </c>
      <c r="H4472">
        <v>0</v>
      </c>
      <c r="I4472">
        <v>0</v>
      </c>
      <c r="J4472" s="10">
        <v>0</v>
      </c>
      <c r="K4472" s="10">
        <f>SUMIFS(F:F,D:D,DST_123_ÜRETİM_İHTİYAÇ_RAPORU_BURAK_YENI1309[[#This Row],[ALT_KOD]])-(SUMIFS(H:H,D:D,DST_123_ÜRETİM_İHTİYAÇ_RAPORU_BURAK_YENI1309[[#This Row],[ALT_KOD]])+AVERAGEIFS(I:I,D:D,DST_123_ÜRETİM_İHTİYAÇ_RAPORU_BURAK_YENI1309[[#This Row],[ALT_KOD]])+AVERAGEIFS(L:L,D:D,DST_123_ÜRETİM_İHTİYAÇ_RAPORU_BURAK_YENI1309[[#This Row],[ALT_KOD]]))</f>
        <v>0.60000000000000009</v>
      </c>
      <c r="L4472">
        <v>0</v>
      </c>
      <c r="M4472">
        <f>IF((DST_123_ÜRETİM_İHTİYAÇ_RAPORU_BURAK_YENI1309[[#This Row],[SATINALMA]]*DST_123_ÜRETİM_İHTİYAÇ_RAPORU_BURAK_YENI1309[[#This Row],[BIRIM_FIYATLAR]])&lt;1,VALUE("0"),DST_123_ÜRETİM_İHTİYAÇ_RAPORU_BURAK_YENI1309[[#This Row],[SATINALMA]]*DST_123_ÜRETİM_İHTİYAÇ_RAPORU_BURAK_YENI1309[[#This Row],[BIRIM_FIYATLAR]])</f>
        <v>126.49200000000002</v>
      </c>
      <c r="N4472">
        <v>210.82</v>
      </c>
      <c r="O4472" t="s">
        <v>490</v>
      </c>
      <c r="P4472">
        <v>42.164000000000001</v>
      </c>
      <c r="Q4472" t="s">
        <v>183</v>
      </c>
    </row>
    <row r="4473" spans="1:17" x14ac:dyDescent="0.25">
      <c r="A4473" t="s">
        <v>1144</v>
      </c>
      <c r="B4473" t="s">
        <v>1145</v>
      </c>
      <c r="C4473" t="s">
        <v>175</v>
      </c>
      <c r="D4473" t="s">
        <v>595</v>
      </c>
      <c r="E4473" t="s">
        <v>596</v>
      </c>
      <c r="F4473">
        <v>1</v>
      </c>
      <c r="G4473" t="s">
        <v>176</v>
      </c>
      <c r="H4473">
        <v>0</v>
      </c>
      <c r="I4473">
        <v>18</v>
      </c>
      <c r="J4473" s="10">
        <v>3</v>
      </c>
      <c r="K4473" s="10">
        <f>SUMIFS(F:F,D:D,DST_123_ÜRETİM_İHTİYAÇ_RAPORU_BURAK_YENI1309[[#This Row],[ALT_KOD]])-(SUMIFS(H:H,D:D,DST_123_ÜRETİM_İHTİYAÇ_RAPORU_BURAK_YENI1309[[#This Row],[ALT_KOD]])+AVERAGEIFS(I:I,D:D,DST_123_ÜRETİM_İHTİYAÇ_RAPORU_BURAK_YENI1309[[#This Row],[ALT_KOD]])+AVERAGEIFS(L:L,D:D,DST_123_ÜRETİM_İHTİYAÇ_RAPORU_BURAK_YENI1309[[#This Row],[ALT_KOD]]))</f>
        <v>-1</v>
      </c>
      <c r="L4473">
        <v>0</v>
      </c>
      <c r="M4473">
        <f>IF((DST_123_ÜRETİM_İHTİYAÇ_RAPORU_BURAK_YENI1309[[#This Row],[SATINALMA]]*DST_123_ÜRETİM_İHTİYAÇ_RAPORU_BURAK_YENI1309[[#This Row],[BIRIM_FIYATLAR]])&lt;1,VALUE("0"),DST_123_ÜRETİM_İHTİYAÇ_RAPORU_BURAK_YENI1309[[#This Row],[SATINALMA]]*DST_123_ÜRETİM_İHTİYAÇ_RAPORU_BURAK_YENI1309[[#This Row],[BIRIM_FIYATLAR]])</f>
        <v>0</v>
      </c>
      <c r="N4473">
        <v>4852.33</v>
      </c>
      <c r="O4473" t="s">
        <v>636</v>
      </c>
      <c r="P4473">
        <v>4852.33</v>
      </c>
      <c r="Q4473" t="s">
        <v>177</v>
      </c>
    </row>
    <row r="4474" spans="1:17" x14ac:dyDescent="0.25">
      <c r="A4474" t="s">
        <v>1146</v>
      </c>
      <c r="B4474" t="s">
        <v>1145</v>
      </c>
      <c r="C4474" t="s">
        <v>175</v>
      </c>
      <c r="D4474" t="s">
        <v>595</v>
      </c>
      <c r="E4474" t="s">
        <v>596</v>
      </c>
      <c r="F4474">
        <v>1</v>
      </c>
      <c r="G4474" t="s">
        <v>176</v>
      </c>
      <c r="H4474">
        <v>0</v>
      </c>
      <c r="I4474">
        <v>18</v>
      </c>
      <c r="J4474" s="10">
        <v>3</v>
      </c>
      <c r="K4474" s="10">
        <f>SUMIFS(F:F,D:D,DST_123_ÜRETİM_İHTİYAÇ_RAPORU_BURAK_YENI1309[[#This Row],[ALT_KOD]])-(SUMIFS(H:H,D:D,DST_123_ÜRETİM_İHTİYAÇ_RAPORU_BURAK_YENI1309[[#This Row],[ALT_KOD]])+AVERAGEIFS(I:I,D:D,DST_123_ÜRETİM_İHTİYAÇ_RAPORU_BURAK_YENI1309[[#This Row],[ALT_KOD]])+AVERAGEIFS(L:L,D:D,DST_123_ÜRETİM_İHTİYAÇ_RAPORU_BURAK_YENI1309[[#This Row],[ALT_KOD]]))</f>
        <v>-1</v>
      </c>
      <c r="L4474">
        <v>0</v>
      </c>
      <c r="M4474">
        <f>IF((DST_123_ÜRETİM_İHTİYAÇ_RAPORU_BURAK_YENI1309[[#This Row],[SATINALMA]]*DST_123_ÜRETİM_İHTİYAÇ_RAPORU_BURAK_YENI1309[[#This Row],[BIRIM_FIYATLAR]])&lt;1,VALUE("0"),DST_123_ÜRETİM_İHTİYAÇ_RAPORU_BURAK_YENI1309[[#This Row],[SATINALMA]]*DST_123_ÜRETİM_İHTİYAÇ_RAPORU_BURAK_YENI1309[[#This Row],[BIRIM_FIYATLAR]])</f>
        <v>0</v>
      </c>
      <c r="N4474">
        <v>4852.33</v>
      </c>
      <c r="O4474" t="s">
        <v>636</v>
      </c>
      <c r="P4474">
        <v>4852.33</v>
      </c>
      <c r="Q4474" t="s">
        <v>177</v>
      </c>
    </row>
    <row r="4475" spans="1:17" x14ac:dyDescent="0.25">
      <c r="A4475" t="s">
        <v>1144</v>
      </c>
      <c r="B4475" t="s">
        <v>1145</v>
      </c>
      <c r="C4475" t="s">
        <v>175</v>
      </c>
      <c r="D4475" t="s">
        <v>885</v>
      </c>
      <c r="E4475" t="s">
        <v>886</v>
      </c>
      <c r="F4475">
        <v>50</v>
      </c>
      <c r="G4475" t="s">
        <v>179</v>
      </c>
      <c r="H4475">
        <v>0</v>
      </c>
      <c r="I4475">
        <v>0</v>
      </c>
      <c r="J4475" s="10">
        <v>57</v>
      </c>
      <c r="K4475" s="10">
        <f>SUMIFS(F:F,D:D,DST_123_ÜRETİM_İHTİYAÇ_RAPORU_BURAK_YENI1309[[#This Row],[ALT_KOD]])-(SUMIFS(H:H,D:D,DST_123_ÜRETİM_İHTİYAÇ_RAPORU_BURAK_YENI1309[[#This Row],[ALT_KOD]])+AVERAGEIFS(I:I,D:D,DST_123_ÜRETİM_İHTİYAÇ_RAPORU_BURAK_YENI1309[[#This Row],[ALT_KOD]])+AVERAGEIFS(L:L,D:D,DST_123_ÜRETİM_İHTİYAÇ_RAPORU_BURAK_YENI1309[[#This Row],[ALT_KOD]]))</f>
        <v>350</v>
      </c>
      <c r="L4475">
        <v>0</v>
      </c>
      <c r="M4475">
        <f>IF((DST_123_ÜRETİM_İHTİYAÇ_RAPORU_BURAK_YENI1309[[#This Row],[SATINALMA]]*DST_123_ÜRETİM_İHTİYAÇ_RAPORU_BURAK_YENI1309[[#This Row],[BIRIM_FIYATLAR]])&lt;1,VALUE("0"),DST_123_ÜRETİM_İHTİYAÇ_RAPORU_BURAK_YENI1309[[#This Row],[SATINALMA]]*DST_123_ÜRETİM_İHTİYAÇ_RAPORU_BURAK_YENI1309[[#This Row],[BIRIM_FIYATLAR]])</f>
        <v>3132.4999999999995</v>
      </c>
      <c r="N4475">
        <v>8.9499999999999993</v>
      </c>
      <c r="O4475" t="s">
        <v>223</v>
      </c>
      <c r="P4475">
        <v>447.49999999999994</v>
      </c>
      <c r="Q4475" t="s">
        <v>181</v>
      </c>
    </row>
    <row r="4476" spans="1:17" x14ac:dyDescent="0.25">
      <c r="A4476" t="s">
        <v>1149</v>
      </c>
      <c r="B4476" t="s">
        <v>1145</v>
      </c>
      <c r="C4476" t="s">
        <v>175</v>
      </c>
      <c r="D4476" t="s">
        <v>1167</v>
      </c>
      <c r="E4476" t="s">
        <v>1168</v>
      </c>
      <c r="F4476">
        <v>2</v>
      </c>
      <c r="G4476" t="s">
        <v>176</v>
      </c>
      <c r="H4476">
        <v>0</v>
      </c>
      <c r="I4476">
        <v>500</v>
      </c>
      <c r="J4476" s="10">
        <v>500</v>
      </c>
      <c r="K4476" s="10">
        <f>SUMIFS(F:F,D:D,DST_123_ÜRETİM_İHTİYAÇ_RAPORU_BURAK_YENI1309[[#This Row],[ALT_KOD]])-(SUMIFS(H:H,D:D,DST_123_ÜRETİM_İHTİYAÇ_RAPORU_BURAK_YENI1309[[#This Row],[ALT_KOD]])+AVERAGEIFS(I:I,D:D,DST_123_ÜRETİM_İHTİYAÇ_RAPORU_BURAK_YENI1309[[#This Row],[ALT_KOD]])+AVERAGEIFS(L:L,D:D,DST_123_ÜRETİM_İHTİYAÇ_RAPORU_BURAK_YENI1309[[#This Row],[ALT_KOD]]))</f>
        <v>-486</v>
      </c>
      <c r="L4476">
        <v>0</v>
      </c>
      <c r="M4476">
        <f>IF((DST_123_ÜRETİM_İHTİYAÇ_RAPORU_BURAK_YENI1309[[#This Row],[SATINALMA]]*DST_123_ÜRETİM_İHTİYAÇ_RAPORU_BURAK_YENI1309[[#This Row],[BIRIM_FIYATLAR]])&lt;1,VALUE("0"),DST_123_ÜRETİM_İHTİYAÇ_RAPORU_BURAK_YENI1309[[#This Row],[SATINALMA]]*DST_123_ÜRETİM_İHTİYAÇ_RAPORU_BURAK_YENI1309[[#This Row],[BIRIM_FIYATLAR]])</f>
        <v>0</v>
      </c>
      <c r="N4476">
        <v>0.55000000000000004</v>
      </c>
      <c r="O4476" t="s">
        <v>826</v>
      </c>
      <c r="P4476">
        <v>1.1000000000000001</v>
      </c>
      <c r="Q4476" t="s">
        <v>221</v>
      </c>
    </row>
    <row r="4477" spans="1:17" x14ac:dyDescent="0.25">
      <c r="A4477" t="s">
        <v>1150</v>
      </c>
      <c r="B4477" t="s">
        <v>1145</v>
      </c>
      <c r="C4477" t="s">
        <v>175</v>
      </c>
      <c r="D4477" t="s">
        <v>774</v>
      </c>
      <c r="E4477" t="s">
        <v>775</v>
      </c>
      <c r="F4477">
        <v>3</v>
      </c>
      <c r="G4477" t="s">
        <v>182</v>
      </c>
      <c r="H4477">
        <v>0</v>
      </c>
      <c r="I4477">
        <v>0</v>
      </c>
      <c r="J4477" s="10">
        <v>0</v>
      </c>
      <c r="K4477" s="10">
        <f>SUMIFS(F:F,D:D,DST_123_ÜRETİM_İHTİYAÇ_RAPORU_BURAK_YENI1309[[#This Row],[ALT_KOD]])-(SUMIFS(H:H,D:D,DST_123_ÜRETİM_İHTİYAÇ_RAPORU_BURAK_YENI1309[[#This Row],[ALT_KOD]])+AVERAGEIFS(I:I,D:D,DST_123_ÜRETİM_İHTİYAÇ_RAPORU_BURAK_YENI1309[[#This Row],[ALT_KOD]])+AVERAGEIFS(L:L,D:D,DST_123_ÜRETİM_İHTİYAÇ_RAPORU_BURAK_YENI1309[[#This Row],[ALT_KOD]]))</f>
        <v>24</v>
      </c>
      <c r="L4477">
        <v>0</v>
      </c>
      <c r="M4477">
        <f>IF((DST_123_ÜRETİM_İHTİYAÇ_RAPORU_BURAK_YENI1309[[#This Row],[SATINALMA]]*DST_123_ÜRETİM_İHTİYAÇ_RAPORU_BURAK_YENI1309[[#This Row],[BIRIM_FIYATLAR]])&lt;1,VALUE("0"),DST_123_ÜRETİM_İHTİYAÇ_RAPORU_BURAK_YENI1309[[#This Row],[SATINALMA]]*DST_123_ÜRETİM_İHTİYAÇ_RAPORU_BURAK_YENI1309[[#This Row],[BIRIM_FIYATLAR]])</f>
        <v>14751.119999999999</v>
      </c>
      <c r="N4477">
        <v>614.63</v>
      </c>
      <c r="O4477" t="s">
        <v>253</v>
      </c>
      <c r="P4477">
        <v>1843.8899999999999</v>
      </c>
      <c r="Q4477" t="s">
        <v>657</v>
      </c>
    </row>
    <row r="4478" spans="1:17" x14ac:dyDescent="0.25">
      <c r="A4478" t="s">
        <v>1196</v>
      </c>
      <c r="B4478" t="s">
        <v>1197</v>
      </c>
      <c r="C4478" t="s">
        <v>175</v>
      </c>
      <c r="D4478" t="s">
        <v>947</v>
      </c>
      <c r="E4478" t="s">
        <v>948</v>
      </c>
      <c r="F4478">
        <v>1</v>
      </c>
      <c r="G4478" t="s">
        <v>176</v>
      </c>
      <c r="H4478">
        <v>0</v>
      </c>
      <c r="I4478">
        <v>0</v>
      </c>
      <c r="J4478" s="10">
        <v>7</v>
      </c>
      <c r="K4478" s="10">
        <f>SUMIFS(F:F,D:D,DST_123_ÜRETİM_İHTİYAÇ_RAPORU_BURAK_YENI1309[[#This Row],[ALT_KOD]])-(SUMIFS(H:H,D:D,DST_123_ÜRETİM_İHTİYAÇ_RAPORU_BURAK_YENI1309[[#This Row],[ALT_KOD]])+AVERAGEIFS(I:I,D:D,DST_123_ÜRETİM_İHTİYAÇ_RAPORU_BURAK_YENI1309[[#This Row],[ALT_KOD]])+AVERAGEIFS(L:L,D:D,DST_123_ÜRETİM_İHTİYAÇ_RAPORU_BURAK_YENI1309[[#This Row],[ALT_KOD]]))</f>
        <v>2</v>
      </c>
      <c r="L4478">
        <v>0</v>
      </c>
      <c r="M4478">
        <f>IF((DST_123_ÜRETİM_İHTİYAÇ_RAPORU_BURAK_YENI1309[[#This Row],[SATINALMA]]*DST_123_ÜRETİM_İHTİYAÇ_RAPORU_BURAK_YENI1309[[#This Row],[BIRIM_FIYATLAR]])&lt;1,VALUE("0"),DST_123_ÜRETİM_İHTİYAÇ_RAPORU_BURAK_YENI1309[[#This Row],[SATINALMA]]*DST_123_ÜRETİM_İHTİYAÇ_RAPORU_BURAK_YENI1309[[#This Row],[BIRIM_FIYATLAR]])</f>
        <v>8001.48</v>
      </c>
      <c r="N4478">
        <v>4000.74</v>
      </c>
      <c r="O4478" t="s">
        <v>227</v>
      </c>
      <c r="P4478">
        <v>4000.74</v>
      </c>
      <c r="Q4478" t="s">
        <v>221</v>
      </c>
    </row>
    <row r="4479" spans="1:17" x14ac:dyDescent="0.25">
      <c r="A4479" t="s">
        <v>1196</v>
      </c>
      <c r="B4479" t="s">
        <v>1197</v>
      </c>
      <c r="C4479" t="s">
        <v>175</v>
      </c>
      <c r="D4479" t="s">
        <v>1167</v>
      </c>
      <c r="E4479" t="s">
        <v>1168</v>
      </c>
      <c r="F4479">
        <v>2</v>
      </c>
      <c r="G4479" t="s">
        <v>176</v>
      </c>
      <c r="H4479">
        <v>0</v>
      </c>
      <c r="I4479">
        <v>500</v>
      </c>
      <c r="J4479" s="10">
        <v>500</v>
      </c>
      <c r="K4479" s="10">
        <f>SUMIFS(F:F,D:D,DST_123_ÜRETİM_İHTİYAÇ_RAPORU_BURAK_YENI1309[[#This Row],[ALT_KOD]])-(SUMIFS(H:H,D:D,DST_123_ÜRETİM_İHTİYAÇ_RAPORU_BURAK_YENI1309[[#This Row],[ALT_KOD]])+AVERAGEIFS(I:I,D:D,DST_123_ÜRETİM_İHTİYAÇ_RAPORU_BURAK_YENI1309[[#This Row],[ALT_KOD]])+AVERAGEIFS(L:L,D:D,DST_123_ÜRETİM_İHTİYAÇ_RAPORU_BURAK_YENI1309[[#This Row],[ALT_KOD]]))</f>
        <v>-486</v>
      </c>
      <c r="L4479">
        <v>0</v>
      </c>
      <c r="M4479">
        <f>IF((DST_123_ÜRETİM_İHTİYAÇ_RAPORU_BURAK_YENI1309[[#This Row],[SATINALMA]]*DST_123_ÜRETİM_İHTİYAÇ_RAPORU_BURAK_YENI1309[[#This Row],[BIRIM_FIYATLAR]])&lt;1,VALUE("0"),DST_123_ÜRETİM_İHTİYAÇ_RAPORU_BURAK_YENI1309[[#This Row],[SATINALMA]]*DST_123_ÜRETİM_İHTİYAÇ_RAPORU_BURAK_YENI1309[[#This Row],[BIRIM_FIYATLAR]])</f>
        <v>0</v>
      </c>
      <c r="N4479">
        <v>0.55000000000000004</v>
      </c>
      <c r="O4479" t="s">
        <v>826</v>
      </c>
      <c r="P4479">
        <v>1.1000000000000001</v>
      </c>
      <c r="Q4479" t="s">
        <v>221</v>
      </c>
    </row>
    <row r="4480" spans="1:17" x14ac:dyDescent="0.25">
      <c r="A4480" t="s">
        <v>1097</v>
      </c>
      <c r="B4480" t="s">
        <v>1055</v>
      </c>
      <c r="C4480" t="s">
        <v>175</v>
      </c>
      <c r="D4480" t="s">
        <v>269</v>
      </c>
      <c r="E4480" t="s">
        <v>270</v>
      </c>
      <c r="F4480">
        <v>1</v>
      </c>
      <c r="G4480" t="s">
        <v>176</v>
      </c>
      <c r="H4480">
        <v>1</v>
      </c>
      <c r="I4480">
        <v>13</v>
      </c>
      <c r="J4480" s="10">
        <v>9</v>
      </c>
      <c r="K4480" s="10">
        <f>SUMIFS(F:F,D:D,DST_123_ÜRETİM_İHTİYAÇ_RAPORU_BURAK_YENI1309[[#This Row],[ALT_KOD]])-(SUMIFS(H:H,D:D,DST_123_ÜRETİM_İHTİYAÇ_RAPORU_BURAK_YENI1309[[#This Row],[ALT_KOD]])+AVERAGEIFS(I:I,D:D,DST_123_ÜRETİM_İHTİYAÇ_RAPORU_BURAK_YENI1309[[#This Row],[ALT_KOD]])+AVERAGEIFS(L:L,D:D,DST_123_ÜRETİM_İHTİYAÇ_RAPORU_BURAK_YENI1309[[#This Row],[ALT_KOD]]))</f>
        <v>-1</v>
      </c>
      <c r="L4480">
        <v>0</v>
      </c>
      <c r="M4480">
        <f>IF((DST_123_ÜRETİM_İHTİYAÇ_RAPORU_BURAK_YENI1309[[#This Row],[SATINALMA]]*DST_123_ÜRETİM_İHTİYAÇ_RAPORU_BURAK_YENI1309[[#This Row],[BIRIM_FIYATLAR]])&lt;1,VALUE("0"),DST_123_ÜRETİM_İHTİYAÇ_RAPORU_BURAK_YENI1309[[#This Row],[SATINALMA]]*DST_123_ÜRETİM_İHTİYAÇ_RAPORU_BURAK_YENI1309[[#This Row],[BIRIM_FIYATLAR]])</f>
        <v>0</v>
      </c>
      <c r="N4480">
        <v>270</v>
      </c>
      <c r="O4480" t="s">
        <v>220</v>
      </c>
      <c r="P4480">
        <v>270</v>
      </c>
      <c r="Q4480" t="s">
        <v>221</v>
      </c>
    </row>
    <row r="4481" spans="1:17" x14ac:dyDescent="0.25">
      <c r="A4481" t="s">
        <v>1150</v>
      </c>
      <c r="B4481" t="s">
        <v>1145</v>
      </c>
      <c r="C4481" t="s">
        <v>175</v>
      </c>
      <c r="D4481" t="s">
        <v>885</v>
      </c>
      <c r="E4481" t="s">
        <v>886</v>
      </c>
      <c r="F4481">
        <v>50</v>
      </c>
      <c r="G4481" t="s">
        <v>179</v>
      </c>
      <c r="H4481">
        <v>0</v>
      </c>
      <c r="I4481">
        <v>0</v>
      </c>
      <c r="J4481" s="10">
        <v>57</v>
      </c>
      <c r="K4481" s="10">
        <f>SUMIFS(F:F,D:D,DST_123_ÜRETİM_İHTİYAÇ_RAPORU_BURAK_YENI1309[[#This Row],[ALT_KOD]])-(SUMIFS(H:H,D:D,DST_123_ÜRETİM_İHTİYAÇ_RAPORU_BURAK_YENI1309[[#This Row],[ALT_KOD]])+AVERAGEIFS(I:I,D:D,DST_123_ÜRETİM_İHTİYAÇ_RAPORU_BURAK_YENI1309[[#This Row],[ALT_KOD]])+AVERAGEIFS(L:L,D:D,DST_123_ÜRETİM_İHTİYAÇ_RAPORU_BURAK_YENI1309[[#This Row],[ALT_KOD]]))</f>
        <v>350</v>
      </c>
      <c r="L4481">
        <v>0</v>
      </c>
      <c r="M4481">
        <f>IF((DST_123_ÜRETİM_İHTİYAÇ_RAPORU_BURAK_YENI1309[[#This Row],[SATINALMA]]*DST_123_ÜRETİM_İHTİYAÇ_RAPORU_BURAK_YENI1309[[#This Row],[BIRIM_FIYATLAR]])&lt;1,VALUE("0"),DST_123_ÜRETİM_İHTİYAÇ_RAPORU_BURAK_YENI1309[[#This Row],[SATINALMA]]*DST_123_ÜRETİM_İHTİYAÇ_RAPORU_BURAK_YENI1309[[#This Row],[BIRIM_FIYATLAR]])</f>
        <v>3132.4999999999995</v>
      </c>
      <c r="N4481">
        <v>8.9499999999999993</v>
      </c>
      <c r="O4481" t="s">
        <v>223</v>
      </c>
      <c r="P4481">
        <v>447.49999999999994</v>
      </c>
      <c r="Q4481" t="s">
        <v>181</v>
      </c>
    </row>
    <row r="4482" spans="1:17" x14ac:dyDescent="0.25">
      <c r="A4482" t="s">
        <v>1150</v>
      </c>
      <c r="B4482" t="s">
        <v>1145</v>
      </c>
      <c r="C4482" t="s">
        <v>175</v>
      </c>
      <c r="D4482" t="s">
        <v>1169</v>
      </c>
      <c r="E4482" t="s">
        <v>1170</v>
      </c>
      <c r="F4482">
        <v>2</v>
      </c>
      <c r="G4482" t="s">
        <v>176</v>
      </c>
      <c r="H4482">
        <v>0</v>
      </c>
      <c r="I4482">
        <v>250</v>
      </c>
      <c r="J4482" s="10">
        <v>250</v>
      </c>
      <c r="K4482" s="10">
        <f>SUMIFS(F:F,D:D,DST_123_ÜRETİM_İHTİYAÇ_RAPORU_BURAK_YENI1309[[#This Row],[ALT_KOD]])-(SUMIFS(H:H,D:D,DST_123_ÜRETİM_İHTİYAÇ_RAPORU_BURAK_YENI1309[[#This Row],[ALT_KOD]])+AVERAGEIFS(I:I,D:D,DST_123_ÜRETİM_İHTİYAÇ_RAPORU_BURAK_YENI1309[[#This Row],[ALT_KOD]])+AVERAGEIFS(L:L,D:D,DST_123_ÜRETİM_İHTİYAÇ_RAPORU_BURAK_YENI1309[[#This Row],[ALT_KOD]]))</f>
        <v>-236</v>
      </c>
      <c r="L4482">
        <v>0</v>
      </c>
      <c r="M4482">
        <f>IF((DST_123_ÜRETİM_İHTİYAÇ_RAPORU_BURAK_YENI1309[[#This Row],[SATINALMA]]*DST_123_ÜRETİM_İHTİYAÇ_RAPORU_BURAK_YENI1309[[#This Row],[BIRIM_FIYATLAR]])&lt;1,VALUE("0"),DST_123_ÜRETİM_İHTİYAÇ_RAPORU_BURAK_YENI1309[[#This Row],[SATINALMA]]*DST_123_ÜRETİM_İHTİYAÇ_RAPORU_BURAK_YENI1309[[#This Row],[BIRIM_FIYATLAR]])</f>
        <v>0</v>
      </c>
      <c r="N4482">
        <v>1.07</v>
      </c>
      <c r="O4482" t="s">
        <v>826</v>
      </c>
      <c r="P4482">
        <v>2.14</v>
      </c>
      <c r="Q4482" t="s">
        <v>221</v>
      </c>
    </row>
    <row r="4483" spans="1:17" x14ac:dyDescent="0.25">
      <c r="A4483" t="s">
        <v>1150</v>
      </c>
      <c r="B4483" t="s">
        <v>1145</v>
      </c>
      <c r="C4483" t="s">
        <v>175</v>
      </c>
      <c r="D4483" t="s">
        <v>1167</v>
      </c>
      <c r="E4483" t="s">
        <v>1168</v>
      </c>
      <c r="F4483">
        <v>2</v>
      </c>
      <c r="G4483" t="s">
        <v>176</v>
      </c>
      <c r="H4483">
        <v>0</v>
      </c>
      <c r="I4483">
        <v>500</v>
      </c>
      <c r="J4483" s="10">
        <v>500</v>
      </c>
      <c r="K4483" s="10">
        <f>SUMIFS(F:F,D:D,DST_123_ÜRETİM_İHTİYAÇ_RAPORU_BURAK_YENI1309[[#This Row],[ALT_KOD]])-(SUMIFS(H:H,D:D,DST_123_ÜRETİM_İHTİYAÇ_RAPORU_BURAK_YENI1309[[#This Row],[ALT_KOD]])+AVERAGEIFS(I:I,D:D,DST_123_ÜRETİM_İHTİYAÇ_RAPORU_BURAK_YENI1309[[#This Row],[ALT_KOD]])+AVERAGEIFS(L:L,D:D,DST_123_ÜRETİM_İHTİYAÇ_RAPORU_BURAK_YENI1309[[#This Row],[ALT_KOD]]))</f>
        <v>-486</v>
      </c>
      <c r="L4483">
        <v>0</v>
      </c>
      <c r="M4483">
        <f>IF((DST_123_ÜRETİM_İHTİYAÇ_RAPORU_BURAK_YENI1309[[#This Row],[SATINALMA]]*DST_123_ÜRETİM_İHTİYAÇ_RAPORU_BURAK_YENI1309[[#This Row],[BIRIM_FIYATLAR]])&lt;1,VALUE("0"),DST_123_ÜRETİM_İHTİYAÇ_RAPORU_BURAK_YENI1309[[#This Row],[SATINALMA]]*DST_123_ÜRETİM_İHTİYAÇ_RAPORU_BURAK_YENI1309[[#This Row],[BIRIM_FIYATLAR]])</f>
        <v>0</v>
      </c>
      <c r="N4483">
        <v>0.55000000000000004</v>
      </c>
      <c r="O4483" t="s">
        <v>826</v>
      </c>
      <c r="P4483">
        <v>1.1000000000000001</v>
      </c>
      <c r="Q4483" t="s">
        <v>221</v>
      </c>
    </row>
    <row r="4484" spans="1:17" x14ac:dyDescent="0.25">
      <c r="A4484" t="s">
        <v>1149</v>
      </c>
      <c r="B4484" t="s">
        <v>1145</v>
      </c>
      <c r="C4484" t="s">
        <v>175</v>
      </c>
      <c r="D4484" t="s">
        <v>774</v>
      </c>
      <c r="E4484" t="s">
        <v>775</v>
      </c>
      <c r="F4484">
        <v>3</v>
      </c>
      <c r="G4484" t="s">
        <v>182</v>
      </c>
      <c r="H4484">
        <v>0</v>
      </c>
      <c r="I4484">
        <v>0</v>
      </c>
      <c r="J4484" s="10">
        <v>0</v>
      </c>
      <c r="K4484" s="10">
        <f>SUMIFS(F:F,D:D,DST_123_ÜRETİM_İHTİYAÇ_RAPORU_BURAK_YENI1309[[#This Row],[ALT_KOD]])-(SUMIFS(H:H,D:D,DST_123_ÜRETİM_İHTİYAÇ_RAPORU_BURAK_YENI1309[[#This Row],[ALT_KOD]])+AVERAGEIFS(I:I,D:D,DST_123_ÜRETİM_İHTİYAÇ_RAPORU_BURAK_YENI1309[[#This Row],[ALT_KOD]])+AVERAGEIFS(L:L,D:D,DST_123_ÜRETİM_İHTİYAÇ_RAPORU_BURAK_YENI1309[[#This Row],[ALT_KOD]]))</f>
        <v>24</v>
      </c>
      <c r="L4484">
        <v>0</v>
      </c>
      <c r="M4484">
        <f>IF((DST_123_ÜRETİM_İHTİYAÇ_RAPORU_BURAK_YENI1309[[#This Row],[SATINALMA]]*DST_123_ÜRETİM_İHTİYAÇ_RAPORU_BURAK_YENI1309[[#This Row],[BIRIM_FIYATLAR]])&lt;1,VALUE("0"),DST_123_ÜRETİM_İHTİYAÇ_RAPORU_BURAK_YENI1309[[#This Row],[SATINALMA]]*DST_123_ÜRETİM_İHTİYAÇ_RAPORU_BURAK_YENI1309[[#This Row],[BIRIM_FIYATLAR]])</f>
        <v>14751.119999999999</v>
      </c>
      <c r="N4484">
        <v>614.63</v>
      </c>
      <c r="O4484" t="s">
        <v>253</v>
      </c>
      <c r="P4484">
        <v>1843.8899999999999</v>
      </c>
      <c r="Q4484" t="s">
        <v>657</v>
      </c>
    </row>
    <row r="4485" spans="1:17" x14ac:dyDescent="0.25">
      <c r="A4485" t="s">
        <v>1101</v>
      </c>
      <c r="B4485" t="s">
        <v>1102</v>
      </c>
      <c r="C4485" t="s">
        <v>175</v>
      </c>
      <c r="D4485" t="s">
        <v>391</v>
      </c>
      <c r="E4485" t="s">
        <v>392</v>
      </c>
      <c r="F4485">
        <v>10</v>
      </c>
      <c r="G4485" t="s">
        <v>176</v>
      </c>
      <c r="H4485">
        <v>0</v>
      </c>
      <c r="I4485">
        <v>0</v>
      </c>
      <c r="J4485" s="10">
        <v>58.050000000000026</v>
      </c>
      <c r="K4485" s="10">
        <f>SUMIFS(F:F,D:D,DST_123_ÜRETİM_İHTİYAÇ_RAPORU_BURAK_YENI1309[[#This Row],[ALT_KOD]])-(SUMIFS(H:H,D:D,DST_123_ÜRETİM_İHTİYAÇ_RAPORU_BURAK_YENI1309[[#This Row],[ALT_KOD]])+AVERAGEIFS(I:I,D:D,DST_123_ÜRETİM_İHTİYAÇ_RAPORU_BURAK_YENI1309[[#This Row],[ALT_KOD]])+AVERAGEIFS(L:L,D:D,DST_123_ÜRETİM_İHTİYAÇ_RAPORU_BURAK_YENI1309[[#This Row],[ALT_KOD]]))</f>
        <v>144.72000000000003</v>
      </c>
      <c r="L4485">
        <v>37</v>
      </c>
      <c r="M4485">
        <f>IF((DST_123_ÜRETİM_İHTİYAÇ_RAPORU_BURAK_YENI1309[[#This Row],[SATINALMA]]*DST_123_ÜRETİM_İHTİYAÇ_RAPORU_BURAK_YENI1309[[#This Row],[BIRIM_FIYATLAR]])&lt;1,VALUE("0"),DST_123_ÜRETİM_İHTİYAÇ_RAPORU_BURAK_YENI1309[[#This Row],[SATINALMA]]*DST_123_ÜRETİM_İHTİYAÇ_RAPORU_BURAK_YENI1309[[#This Row],[BIRIM_FIYATLAR]])</f>
        <v>261099.48240000007</v>
      </c>
      <c r="N4485">
        <v>1804.17</v>
      </c>
      <c r="O4485" t="s">
        <v>223</v>
      </c>
      <c r="P4485">
        <v>18041.7</v>
      </c>
      <c r="Q4485" t="s">
        <v>181</v>
      </c>
    </row>
    <row r="4486" spans="1:17" x14ac:dyDescent="0.25">
      <c r="A4486" t="s">
        <v>1146</v>
      </c>
      <c r="B4486" t="s">
        <v>1145</v>
      </c>
      <c r="C4486" t="s">
        <v>175</v>
      </c>
      <c r="D4486" t="s">
        <v>686</v>
      </c>
      <c r="E4486" t="s">
        <v>687</v>
      </c>
      <c r="F4486">
        <v>1</v>
      </c>
      <c r="G4486" t="s">
        <v>176</v>
      </c>
      <c r="H4486">
        <v>0</v>
      </c>
      <c r="I4486">
        <v>0</v>
      </c>
      <c r="J4486" s="10">
        <v>1</v>
      </c>
      <c r="K4486" s="10">
        <f>SUMIFS(F:F,D:D,DST_123_ÜRETİM_İHTİYAÇ_RAPORU_BURAK_YENI1309[[#This Row],[ALT_KOD]])-(SUMIFS(H:H,D:D,DST_123_ÜRETİM_İHTİYAÇ_RAPORU_BURAK_YENI1309[[#This Row],[ALT_KOD]])+AVERAGEIFS(I:I,D:D,DST_123_ÜRETİM_İHTİYAÇ_RAPORU_BURAK_YENI1309[[#This Row],[ALT_KOD]])+AVERAGEIFS(L:L,D:D,DST_123_ÜRETİM_İHTİYAÇ_RAPORU_BURAK_YENI1309[[#This Row],[ALT_KOD]]))</f>
        <v>9</v>
      </c>
      <c r="L4486">
        <v>0</v>
      </c>
      <c r="M4486">
        <f>IF((DST_123_ÜRETİM_İHTİYAÇ_RAPORU_BURAK_YENI1309[[#This Row],[SATINALMA]]*DST_123_ÜRETİM_İHTİYAÇ_RAPORU_BURAK_YENI1309[[#This Row],[BIRIM_FIYATLAR]])&lt;1,VALUE("0"),DST_123_ÜRETİM_İHTİYAÇ_RAPORU_BURAK_YENI1309[[#This Row],[SATINALMA]]*DST_123_ÜRETİM_İHTİYAÇ_RAPORU_BURAK_YENI1309[[#This Row],[BIRIM_FIYATLAR]])</f>
        <v>13877.91</v>
      </c>
      <c r="N4486">
        <v>1541.99</v>
      </c>
      <c r="O4486" t="s">
        <v>688</v>
      </c>
      <c r="P4486">
        <v>1541.99</v>
      </c>
      <c r="Q4486" t="s">
        <v>177</v>
      </c>
    </row>
    <row r="4487" spans="1:17" x14ac:dyDescent="0.25">
      <c r="A4487" t="s">
        <v>1149</v>
      </c>
      <c r="B4487" t="s">
        <v>1145</v>
      </c>
      <c r="C4487" t="s">
        <v>175</v>
      </c>
      <c r="D4487" t="s">
        <v>618</v>
      </c>
      <c r="E4487" t="s">
        <v>827</v>
      </c>
      <c r="F4487">
        <v>1</v>
      </c>
      <c r="G4487" t="s">
        <v>176</v>
      </c>
      <c r="H4487">
        <v>0</v>
      </c>
      <c r="I4487">
        <v>37</v>
      </c>
      <c r="J4487" s="10">
        <v>2</v>
      </c>
      <c r="K4487" s="10">
        <f>SUMIFS(F:F,D:D,DST_123_ÜRETİM_İHTİYAÇ_RAPORU_BURAK_YENI1309[[#This Row],[ALT_KOD]])-(SUMIFS(H:H,D:D,DST_123_ÜRETİM_İHTİYAÇ_RAPORU_BURAK_YENI1309[[#This Row],[ALT_KOD]])+AVERAGEIFS(I:I,D:D,DST_123_ÜRETİM_İHTİYAÇ_RAPORU_BURAK_YENI1309[[#This Row],[ALT_KOD]])+AVERAGEIFS(L:L,D:D,DST_123_ÜRETİM_İHTİYAÇ_RAPORU_BURAK_YENI1309[[#This Row],[ALT_KOD]]))</f>
        <v>-17</v>
      </c>
      <c r="L4487">
        <v>0</v>
      </c>
      <c r="M4487">
        <f>IF((DST_123_ÜRETİM_İHTİYAÇ_RAPORU_BURAK_YENI1309[[#This Row],[SATINALMA]]*DST_123_ÜRETİM_İHTİYAÇ_RAPORU_BURAK_YENI1309[[#This Row],[BIRIM_FIYATLAR]])&lt;1,VALUE("0"),DST_123_ÜRETİM_İHTİYAÇ_RAPORU_BURAK_YENI1309[[#This Row],[SATINALMA]]*DST_123_ÜRETİM_İHTİYAÇ_RAPORU_BURAK_YENI1309[[#This Row],[BIRIM_FIYATLAR]])</f>
        <v>0</v>
      </c>
      <c r="N4487">
        <v>82.6</v>
      </c>
      <c r="O4487" t="s">
        <v>821</v>
      </c>
      <c r="P4487">
        <v>82.6</v>
      </c>
      <c r="Q4487" t="s">
        <v>178</v>
      </c>
    </row>
    <row r="4488" spans="1:17" x14ac:dyDescent="0.25">
      <c r="A4488" t="s">
        <v>1150</v>
      </c>
      <c r="B4488" t="s">
        <v>1145</v>
      </c>
      <c r="C4488" t="s">
        <v>175</v>
      </c>
      <c r="D4488" t="s">
        <v>299</v>
      </c>
      <c r="E4488" t="s">
        <v>300</v>
      </c>
      <c r="F4488">
        <v>26</v>
      </c>
      <c r="G4488" t="s">
        <v>176</v>
      </c>
      <c r="H4488">
        <v>0</v>
      </c>
      <c r="I4488">
        <v>180</v>
      </c>
      <c r="J4488" s="10">
        <v>80</v>
      </c>
      <c r="K4488" s="10">
        <f>SUMIFS(F:F,D:D,DST_123_ÜRETİM_İHTİYAÇ_RAPORU_BURAK_YENI1309[[#This Row],[ALT_KOD]])-(SUMIFS(H:H,D:D,DST_123_ÜRETİM_İHTİYAÇ_RAPORU_BURAK_YENI1309[[#This Row],[ALT_KOD]])+AVERAGEIFS(I:I,D:D,DST_123_ÜRETİM_İHTİYAÇ_RAPORU_BURAK_YENI1309[[#This Row],[ALT_KOD]])+AVERAGEIFS(L:L,D:D,DST_123_ÜRETİM_İHTİYAÇ_RAPORU_BURAK_YENI1309[[#This Row],[ALT_KOD]]))</f>
        <v>32</v>
      </c>
      <c r="L4488">
        <v>0</v>
      </c>
      <c r="M4488">
        <f>IF((DST_123_ÜRETİM_İHTİYAÇ_RAPORU_BURAK_YENI1309[[#This Row],[SATINALMA]]*DST_123_ÜRETİM_İHTİYAÇ_RAPORU_BURAK_YENI1309[[#This Row],[BIRIM_FIYATLAR]])&lt;1,VALUE("0"),DST_123_ÜRETİM_İHTİYAÇ_RAPORU_BURAK_YENI1309[[#This Row],[SATINALMA]]*DST_123_ÜRETİM_İHTİYAÇ_RAPORU_BURAK_YENI1309[[#This Row],[BIRIM_FIYATLAR]])</f>
        <v>7680</v>
      </c>
      <c r="N4488">
        <v>240</v>
      </c>
      <c r="O4488" t="s">
        <v>240</v>
      </c>
      <c r="P4488">
        <v>6240</v>
      </c>
      <c r="Q4488" t="s">
        <v>180</v>
      </c>
    </row>
    <row r="4489" spans="1:17" x14ac:dyDescent="0.25">
      <c r="A4489" t="s">
        <v>1144</v>
      </c>
      <c r="B4489" t="s">
        <v>1145</v>
      </c>
      <c r="C4489" t="s">
        <v>175</v>
      </c>
      <c r="D4489" t="s">
        <v>338</v>
      </c>
      <c r="E4489" t="s">
        <v>339</v>
      </c>
      <c r="F4489">
        <v>2.4700000000000002</v>
      </c>
      <c r="G4489" t="s">
        <v>185</v>
      </c>
      <c r="H4489">
        <v>0</v>
      </c>
      <c r="I4489">
        <v>0</v>
      </c>
      <c r="J4489" s="10">
        <v>154.94999999999996</v>
      </c>
      <c r="K4489" s="10">
        <f>SUMIFS(F:F,D:D,DST_123_ÜRETİM_İHTİYAÇ_RAPORU_BURAK_YENI1309[[#This Row],[ALT_KOD]])-(SUMIFS(H:H,D:D,DST_123_ÜRETİM_İHTİYAÇ_RAPORU_BURAK_YENI1309[[#This Row],[ALT_KOD]])+AVERAGEIFS(I:I,D:D,DST_123_ÜRETİM_İHTİYAÇ_RAPORU_BURAK_YENI1309[[#This Row],[ALT_KOD]])+AVERAGEIFS(L:L,D:D,DST_123_ÜRETİM_İHTİYAÇ_RAPORU_BURAK_YENI1309[[#This Row],[ALT_KOD]]))</f>
        <v>21.899999999999991</v>
      </c>
      <c r="L4489">
        <v>60</v>
      </c>
      <c r="M4489">
        <f>IF((DST_123_ÜRETİM_İHTİYAÇ_RAPORU_BURAK_YENI1309[[#This Row],[SATINALMA]]*DST_123_ÜRETİM_İHTİYAÇ_RAPORU_BURAK_YENI1309[[#This Row],[BIRIM_FIYATLAR]])&lt;1,VALUE("0"),DST_123_ÜRETİM_İHTİYAÇ_RAPORU_BURAK_YENI1309[[#This Row],[SATINALMA]]*DST_123_ÜRETİM_İHTİYAÇ_RAPORU_BURAK_YENI1309[[#This Row],[BIRIM_FIYATLAR]])</f>
        <v>4265.0249999999987</v>
      </c>
      <c r="N4489">
        <v>194.75</v>
      </c>
      <c r="O4489" t="s">
        <v>490</v>
      </c>
      <c r="P4489">
        <v>481.03250000000003</v>
      </c>
      <c r="Q4489" t="s">
        <v>183</v>
      </c>
    </row>
    <row r="4490" spans="1:17" x14ac:dyDescent="0.25">
      <c r="A4490" t="s">
        <v>1146</v>
      </c>
      <c r="B4490" t="s">
        <v>1145</v>
      </c>
      <c r="C4490" t="s">
        <v>175</v>
      </c>
      <c r="D4490" t="s">
        <v>338</v>
      </c>
      <c r="E4490" t="s">
        <v>339</v>
      </c>
      <c r="F4490">
        <v>2.4700000000000002</v>
      </c>
      <c r="G4490" t="s">
        <v>185</v>
      </c>
      <c r="H4490">
        <v>2.4700000000000002</v>
      </c>
      <c r="I4490">
        <v>0</v>
      </c>
      <c r="J4490" s="10">
        <v>154.94999999999996</v>
      </c>
      <c r="K4490" s="10">
        <f>SUMIFS(F:F,D:D,DST_123_ÜRETİM_İHTİYAÇ_RAPORU_BURAK_YENI1309[[#This Row],[ALT_KOD]])-(SUMIFS(H:H,D:D,DST_123_ÜRETİM_İHTİYAÇ_RAPORU_BURAK_YENI1309[[#This Row],[ALT_KOD]])+AVERAGEIFS(I:I,D:D,DST_123_ÜRETİM_İHTİYAÇ_RAPORU_BURAK_YENI1309[[#This Row],[ALT_KOD]])+AVERAGEIFS(L:L,D:D,DST_123_ÜRETİM_İHTİYAÇ_RAPORU_BURAK_YENI1309[[#This Row],[ALT_KOD]]))</f>
        <v>21.899999999999991</v>
      </c>
      <c r="L4490">
        <v>60</v>
      </c>
      <c r="M4490">
        <f>IF((DST_123_ÜRETİM_İHTİYAÇ_RAPORU_BURAK_YENI1309[[#This Row],[SATINALMA]]*DST_123_ÜRETİM_İHTİYAÇ_RAPORU_BURAK_YENI1309[[#This Row],[BIRIM_FIYATLAR]])&lt;1,VALUE("0"),DST_123_ÜRETİM_İHTİYAÇ_RAPORU_BURAK_YENI1309[[#This Row],[SATINALMA]]*DST_123_ÜRETİM_İHTİYAÇ_RAPORU_BURAK_YENI1309[[#This Row],[BIRIM_FIYATLAR]])</f>
        <v>4265.0249999999987</v>
      </c>
      <c r="N4490">
        <v>194.75</v>
      </c>
      <c r="O4490" t="s">
        <v>490</v>
      </c>
      <c r="P4490">
        <v>481.03250000000003</v>
      </c>
      <c r="Q4490" t="s">
        <v>183</v>
      </c>
    </row>
    <row r="4491" spans="1:17" x14ac:dyDescent="0.25">
      <c r="A4491" t="s">
        <v>1144</v>
      </c>
      <c r="B4491" t="s">
        <v>1145</v>
      </c>
      <c r="C4491" t="s">
        <v>175</v>
      </c>
      <c r="D4491" t="s">
        <v>391</v>
      </c>
      <c r="E4491" t="s">
        <v>392</v>
      </c>
      <c r="F4491">
        <v>10</v>
      </c>
      <c r="G4491" t="s">
        <v>176</v>
      </c>
      <c r="H4491">
        <v>0</v>
      </c>
      <c r="I4491">
        <v>0</v>
      </c>
      <c r="J4491" s="10">
        <v>58.050000000000026</v>
      </c>
      <c r="K4491" s="10">
        <f>SUMIFS(F:F,D:D,DST_123_ÜRETİM_İHTİYAÇ_RAPORU_BURAK_YENI1309[[#This Row],[ALT_KOD]])-(SUMIFS(H:H,D:D,DST_123_ÜRETİM_İHTİYAÇ_RAPORU_BURAK_YENI1309[[#This Row],[ALT_KOD]])+AVERAGEIFS(I:I,D:D,DST_123_ÜRETİM_İHTİYAÇ_RAPORU_BURAK_YENI1309[[#This Row],[ALT_KOD]])+AVERAGEIFS(L:L,D:D,DST_123_ÜRETİM_İHTİYAÇ_RAPORU_BURAK_YENI1309[[#This Row],[ALT_KOD]]))</f>
        <v>144.72000000000003</v>
      </c>
      <c r="L4491">
        <v>37</v>
      </c>
      <c r="M4491">
        <f>IF((DST_123_ÜRETİM_İHTİYAÇ_RAPORU_BURAK_YENI1309[[#This Row],[SATINALMA]]*DST_123_ÜRETİM_İHTİYAÇ_RAPORU_BURAK_YENI1309[[#This Row],[BIRIM_FIYATLAR]])&lt;1,VALUE("0"),DST_123_ÜRETİM_İHTİYAÇ_RAPORU_BURAK_YENI1309[[#This Row],[SATINALMA]]*DST_123_ÜRETİM_İHTİYAÇ_RAPORU_BURAK_YENI1309[[#This Row],[BIRIM_FIYATLAR]])</f>
        <v>261099.48240000007</v>
      </c>
      <c r="N4491">
        <v>1804.17</v>
      </c>
      <c r="O4491" t="s">
        <v>223</v>
      </c>
      <c r="P4491">
        <v>18041.7</v>
      </c>
      <c r="Q4491" t="s">
        <v>181</v>
      </c>
    </row>
    <row r="4492" spans="1:17" x14ac:dyDescent="0.25">
      <c r="A4492" t="s">
        <v>1146</v>
      </c>
      <c r="B4492" t="s">
        <v>1145</v>
      </c>
      <c r="C4492" t="s">
        <v>175</v>
      </c>
      <c r="D4492" t="s">
        <v>391</v>
      </c>
      <c r="E4492" t="s">
        <v>392</v>
      </c>
      <c r="F4492">
        <v>10</v>
      </c>
      <c r="G4492" t="s">
        <v>176</v>
      </c>
      <c r="H4492">
        <v>0</v>
      </c>
      <c r="I4492">
        <v>0</v>
      </c>
      <c r="J4492" s="10">
        <v>58.050000000000026</v>
      </c>
      <c r="K4492" s="10">
        <f>SUMIFS(F:F,D:D,DST_123_ÜRETİM_İHTİYAÇ_RAPORU_BURAK_YENI1309[[#This Row],[ALT_KOD]])-(SUMIFS(H:H,D:D,DST_123_ÜRETİM_İHTİYAÇ_RAPORU_BURAK_YENI1309[[#This Row],[ALT_KOD]])+AVERAGEIFS(I:I,D:D,DST_123_ÜRETİM_İHTİYAÇ_RAPORU_BURAK_YENI1309[[#This Row],[ALT_KOD]])+AVERAGEIFS(L:L,D:D,DST_123_ÜRETİM_İHTİYAÇ_RAPORU_BURAK_YENI1309[[#This Row],[ALT_KOD]]))</f>
        <v>144.72000000000003</v>
      </c>
      <c r="L4492">
        <v>37</v>
      </c>
      <c r="M4492">
        <f>IF((DST_123_ÜRETİM_İHTİYAÇ_RAPORU_BURAK_YENI1309[[#This Row],[SATINALMA]]*DST_123_ÜRETİM_İHTİYAÇ_RAPORU_BURAK_YENI1309[[#This Row],[BIRIM_FIYATLAR]])&lt;1,VALUE("0"),DST_123_ÜRETİM_İHTİYAÇ_RAPORU_BURAK_YENI1309[[#This Row],[SATINALMA]]*DST_123_ÜRETİM_İHTİYAÇ_RAPORU_BURAK_YENI1309[[#This Row],[BIRIM_FIYATLAR]])</f>
        <v>261099.48240000007</v>
      </c>
      <c r="N4492">
        <v>1804.17</v>
      </c>
      <c r="O4492" t="s">
        <v>223</v>
      </c>
      <c r="P4492">
        <v>18041.7</v>
      </c>
      <c r="Q4492" t="s">
        <v>181</v>
      </c>
    </row>
    <row r="4493" spans="1:17" x14ac:dyDescent="0.25">
      <c r="A4493" t="s">
        <v>1144</v>
      </c>
      <c r="B4493" t="s">
        <v>1145</v>
      </c>
      <c r="C4493" t="s">
        <v>175</v>
      </c>
      <c r="D4493" t="s">
        <v>508</v>
      </c>
      <c r="E4493" t="s">
        <v>509</v>
      </c>
      <c r="F4493">
        <v>1</v>
      </c>
      <c r="G4493" t="s">
        <v>176</v>
      </c>
      <c r="H4493">
        <v>0</v>
      </c>
      <c r="I4493">
        <v>4</v>
      </c>
      <c r="J4493" s="10">
        <v>10</v>
      </c>
      <c r="K4493" s="10">
        <f>SUMIFS(F:F,D:D,DST_123_ÜRETİM_İHTİYAÇ_RAPORU_BURAK_YENI1309[[#This Row],[ALT_KOD]])-(SUMIFS(H:H,D:D,DST_123_ÜRETİM_İHTİYAÇ_RAPORU_BURAK_YENI1309[[#This Row],[ALT_KOD]])+AVERAGEIFS(I:I,D:D,DST_123_ÜRETİM_İHTİYAÇ_RAPORU_BURAK_YENI1309[[#This Row],[ALT_KOD]])+AVERAGEIFS(L:L,D:D,DST_123_ÜRETİM_İHTİYAÇ_RAPORU_BURAK_YENI1309[[#This Row],[ALT_KOD]]))</f>
        <v>1</v>
      </c>
      <c r="L4493">
        <v>7</v>
      </c>
      <c r="M4493">
        <f>IF((DST_123_ÜRETİM_İHTİYAÇ_RAPORU_BURAK_YENI1309[[#This Row],[SATINALMA]]*DST_123_ÜRETİM_İHTİYAÇ_RAPORU_BURAK_YENI1309[[#This Row],[BIRIM_FIYATLAR]])&lt;1,VALUE("0"),DST_123_ÜRETİM_İHTİYAÇ_RAPORU_BURAK_YENI1309[[#This Row],[SATINALMA]]*DST_123_ÜRETİM_İHTİYAÇ_RAPORU_BURAK_YENI1309[[#This Row],[BIRIM_FIYATLAR]])</f>
        <v>1535.25</v>
      </c>
      <c r="N4493">
        <v>1535.25</v>
      </c>
      <c r="O4493" t="s">
        <v>507</v>
      </c>
      <c r="P4493">
        <v>1535.25</v>
      </c>
      <c r="Q4493" t="s">
        <v>221</v>
      </c>
    </row>
    <row r="4494" spans="1:17" x14ac:dyDescent="0.25">
      <c r="A4494" t="s">
        <v>1146</v>
      </c>
      <c r="B4494" t="s">
        <v>1145</v>
      </c>
      <c r="C4494" t="s">
        <v>175</v>
      </c>
      <c r="D4494" t="s">
        <v>508</v>
      </c>
      <c r="E4494" t="s">
        <v>509</v>
      </c>
      <c r="F4494">
        <v>1</v>
      </c>
      <c r="G4494" t="s">
        <v>176</v>
      </c>
      <c r="H4494">
        <v>0</v>
      </c>
      <c r="I4494">
        <v>4</v>
      </c>
      <c r="J4494" s="10">
        <v>10</v>
      </c>
      <c r="K4494" s="10">
        <f>SUMIFS(F:F,D:D,DST_123_ÜRETİM_İHTİYAÇ_RAPORU_BURAK_YENI1309[[#This Row],[ALT_KOD]])-(SUMIFS(H:H,D:D,DST_123_ÜRETİM_İHTİYAÇ_RAPORU_BURAK_YENI1309[[#This Row],[ALT_KOD]])+AVERAGEIFS(I:I,D:D,DST_123_ÜRETİM_İHTİYAÇ_RAPORU_BURAK_YENI1309[[#This Row],[ALT_KOD]])+AVERAGEIFS(L:L,D:D,DST_123_ÜRETİM_İHTİYAÇ_RAPORU_BURAK_YENI1309[[#This Row],[ALT_KOD]]))</f>
        <v>1</v>
      </c>
      <c r="L4494">
        <v>7</v>
      </c>
      <c r="M4494">
        <f>IF((DST_123_ÜRETİM_İHTİYAÇ_RAPORU_BURAK_YENI1309[[#This Row],[SATINALMA]]*DST_123_ÜRETİM_İHTİYAÇ_RAPORU_BURAK_YENI1309[[#This Row],[BIRIM_FIYATLAR]])&lt;1,VALUE("0"),DST_123_ÜRETİM_İHTİYAÇ_RAPORU_BURAK_YENI1309[[#This Row],[SATINALMA]]*DST_123_ÜRETİM_İHTİYAÇ_RAPORU_BURAK_YENI1309[[#This Row],[BIRIM_FIYATLAR]])</f>
        <v>1535.25</v>
      </c>
      <c r="N4494">
        <v>1535.25</v>
      </c>
      <c r="O4494" t="s">
        <v>507</v>
      </c>
      <c r="P4494">
        <v>1535.25</v>
      </c>
      <c r="Q4494" t="s">
        <v>221</v>
      </c>
    </row>
    <row r="4495" spans="1:17" x14ac:dyDescent="0.25">
      <c r="A4495" t="s">
        <v>1147</v>
      </c>
      <c r="B4495" t="s">
        <v>1145</v>
      </c>
      <c r="C4495" t="s">
        <v>175</v>
      </c>
      <c r="D4495" t="s">
        <v>60</v>
      </c>
      <c r="E4495" t="s">
        <v>61</v>
      </c>
      <c r="F4495">
        <v>1</v>
      </c>
      <c r="G4495" t="s">
        <v>176</v>
      </c>
      <c r="H4495">
        <v>0</v>
      </c>
      <c r="I4495">
        <v>17</v>
      </c>
      <c r="J4495" s="10">
        <v>11</v>
      </c>
      <c r="K4495" s="10">
        <f>SUMIFS(F:F,D:D,DST_123_ÜRETİM_İHTİYAÇ_RAPORU_BURAK_YENI1309[[#This Row],[ALT_KOD]])-(SUMIFS(H:H,D:D,DST_123_ÜRETİM_İHTİYAÇ_RAPORU_BURAK_YENI1309[[#This Row],[ALT_KOD]])+AVERAGEIFS(I:I,D:D,DST_123_ÜRETİM_İHTİYAÇ_RAPORU_BURAK_YENI1309[[#This Row],[ALT_KOD]])+AVERAGEIFS(L:L,D:D,DST_123_ÜRETİM_İHTİYAÇ_RAPORU_BURAK_YENI1309[[#This Row],[ALT_KOD]]))</f>
        <v>-5</v>
      </c>
      <c r="L4495">
        <v>0</v>
      </c>
      <c r="M4495">
        <f>IF((DST_123_ÜRETİM_İHTİYAÇ_RAPORU_BURAK_YENI1309[[#This Row],[SATINALMA]]*DST_123_ÜRETİM_İHTİYAÇ_RAPORU_BURAK_YENI1309[[#This Row],[BIRIM_FIYATLAR]])&lt;1,VALUE("0"),DST_123_ÜRETİM_İHTİYAÇ_RAPORU_BURAK_YENI1309[[#This Row],[SATINALMA]]*DST_123_ÜRETİM_İHTİYAÇ_RAPORU_BURAK_YENI1309[[#This Row],[BIRIM_FIYATLAR]])</f>
        <v>0</v>
      </c>
      <c r="N4495">
        <v>115.6</v>
      </c>
      <c r="O4495" t="s">
        <v>826</v>
      </c>
      <c r="P4495">
        <v>115.6</v>
      </c>
      <c r="Q4495" t="s">
        <v>221</v>
      </c>
    </row>
    <row r="4496" spans="1:17" x14ac:dyDescent="0.25">
      <c r="A4496" t="s">
        <v>1148</v>
      </c>
      <c r="B4496" t="s">
        <v>1056</v>
      </c>
      <c r="C4496" t="s">
        <v>175</v>
      </c>
      <c r="D4496" t="s">
        <v>60</v>
      </c>
      <c r="E4496" t="s">
        <v>61</v>
      </c>
      <c r="F4496">
        <v>1</v>
      </c>
      <c r="G4496" t="s">
        <v>176</v>
      </c>
      <c r="H4496">
        <v>0</v>
      </c>
      <c r="I4496">
        <v>17</v>
      </c>
      <c r="J4496" s="10">
        <v>11</v>
      </c>
      <c r="K4496" s="10">
        <f>SUMIFS(F:F,D:D,DST_123_ÜRETİM_İHTİYAÇ_RAPORU_BURAK_YENI1309[[#This Row],[ALT_KOD]])-(SUMIFS(H:H,D:D,DST_123_ÜRETİM_İHTİYAÇ_RAPORU_BURAK_YENI1309[[#This Row],[ALT_KOD]])+AVERAGEIFS(I:I,D:D,DST_123_ÜRETİM_İHTİYAÇ_RAPORU_BURAK_YENI1309[[#This Row],[ALT_KOD]])+AVERAGEIFS(L:L,D:D,DST_123_ÜRETİM_İHTİYAÇ_RAPORU_BURAK_YENI1309[[#This Row],[ALT_KOD]]))</f>
        <v>-5</v>
      </c>
      <c r="L4496">
        <v>0</v>
      </c>
      <c r="M4496">
        <f>IF((DST_123_ÜRETİM_İHTİYAÇ_RAPORU_BURAK_YENI1309[[#This Row],[SATINALMA]]*DST_123_ÜRETİM_İHTİYAÇ_RAPORU_BURAK_YENI1309[[#This Row],[BIRIM_FIYATLAR]])&lt;1,VALUE("0"),DST_123_ÜRETİM_İHTİYAÇ_RAPORU_BURAK_YENI1309[[#This Row],[SATINALMA]]*DST_123_ÜRETİM_İHTİYAÇ_RAPORU_BURAK_YENI1309[[#This Row],[BIRIM_FIYATLAR]])</f>
        <v>0</v>
      </c>
      <c r="N4496">
        <v>115.6</v>
      </c>
      <c r="O4496" t="s">
        <v>826</v>
      </c>
      <c r="P4496">
        <v>115.6</v>
      </c>
      <c r="Q4496" t="s">
        <v>221</v>
      </c>
    </row>
    <row r="4497" spans="1:17" x14ac:dyDescent="0.25">
      <c r="A4497" t="s">
        <v>1148</v>
      </c>
      <c r="B4497" t="s">
        <v>1056</v>
      </c>
      <c r="C4497" t="s">
        <v>175</v>
      </c>
      <c r="D4497" t="s">
        <v>406</v>
      </c>
      <c r="E4497" t="s">
        <v>407</v>
      </c>
      <c r="F4497">
        <v>1</v>
      </c>
      <c r="G4497" t="s">
        <v>176</v>
      </c>
      <c r="H4497">
        <v>0</v>
      </c>
      <c r="I4497">
        <v>34</v>
      </c>
      <c r="J4497" s="10">
        <v>62</v>
      </c>
      <c r="K4497" s="10">
        <f>SUMIFS(F:F,D:D,DST_123_ÜRETİM_İHTİYAÇ_RAPORU_BURAK_YENI1309[[#This Row],[ALT_KOD]])-(SUMIFS(H:H,D:D,DST_123_ÜRETİM_İHTİYAÇ_RAPORU_BURAK_YENI1309[[#This Row],[ALT_KOD]])+AVERAGEIFS(I:I,D:D,DST_123_ÜRETİM_İHTİYAÇ_RAPORU_BURAK_YENI1309[[#This Row],[ALT_KOD]])+AVERAGEIFS(L:L,D:D,DST_123_ÜRETİM_İHTİYAÇ_RAPORU_BURAK_YENI1309[[#This Row],[ALT_KOD]]))</f>
        <v>-12</v>
      </c>
      <c r="L4497">
        <v>0</v>
      </c>
      <c r="M4497">
        <f>IF((DST_123_ÜRETİM_İHTİYAÇ_RAPORU_BURAK_YENI1309[[#This Row],[SATINALMA]]*DST_123_ÜRETİM_İHTİYAÇ_RAPORU_BURAK_YENI1309[[#This Row],[BIRIM_FIYATLAR]])&lt;1,VALUE("0"),DST_123_ÜRETİM_İHTİYAÇ_RAPORU_BURAK_YENI1309[[#This Row],[SATINALMA]]*DST_123_ÜRETİM_İHTİYAÇ_RAPORU_BURAK_YENI1309[[#This Row],[BIRIM_FIYATLAR]])</f>
        <v>0</v>
      </c>
      <c r="N4497">
        <v>19.07</v>
      </c>
      <c r="O4497" t="s">
        <v>826</v>
      </c>
      <c r="P4497">
        <v>19.07</v>
      </c>
      <c r="Q4497" t="s">
        <v>221</v>
      </c>
    </row>
    <row r="4498" spans="1:17" x14ac:dyDescent="0.25">
      <c r="A4498" t="s">
        <v>1148</v>
      </c>
      <c r="B4498" t="s">
        <v>1056</v>
      </c>
      <c r="C4498" t="s">
        <v>175</v>
      </c>
      <c r="D4498" t="s">
        <v>686</v>
      </c>
      <c r="E4498" t="s">
        <v>687</v>
      </c>
      <c r="F4498">
        <v>1</v>
      </c>
      <c r="G4498" t="s">
        <v>176</v>
      </c>
      <c r="H4498">
        <v>0</v>
      </c>
      <c r="I4498">
        <v>0</v>
      </c>
      <c r="J4498" s="10">
        <v>1</v>
      </c>
      <c r="K4498" s="10">
        <f>SUMIFS(F:F,D:D,DST_123_ÜRETİM_İHTİYAÇ_RAPORU_BURAK_YENI1309[[#This Row],[ALT_KOD]])-(SUMIFS(H:H,D:D,DST_123_ÜRETİM_İHTİYAÇ_RAPORU_BURAK_YENI1309[[#This Row],[ALT_KOD]])+AVERAGEIFS(I:I,D:D,DST_123_ÜRETİM_İHTİYAÇ_RAPORU_BURAK_YENI1309[[#This Row],[ALT_KOD]])+AVERAGEIFS(L:L,D:D,DST_123_ÜRETİM_İHTİYAÇ_RAPORU_BURAK_YENI1309[[#This Row],[ALT_KOD]]))</f>
        <v>9</v>
      </c>
      <c r="L4498">
        <v>0</v>
      </c>
      <c r="M4498">
        <f>IF((DST_123_ÜRETİM_İHTİYAÇ_RAPORU_BURAK_YENI1309[[#This Row],[SATINALMA]]*DST_123_ÜRETİM_İHTİYAÇ_RAPORU_BURAK_YENI1309[[#This Row],[BIRIM_FIYATLAR]])&lt;1,VALUE("0"),DST_123_ÜRETİM_İHTİYAÇ_RAPORU_BURAK_YENI1309[[#This Row],[SATINALMA]]*DST_123_ÜRETİM_İHTİYAÇ_RAPORU_BURAK_YENI1309[[#This Row],[BIRIM_FIYATLAR]])</f>
        <v>13877.91</v>
      </c>
      <c r="N4498">
        <v>1541.99</v>
      </c>
      <c r="O4498" t="s">
        <v>688</v>
      </c>
      <c r="P4498">
        <v>1541.99</v>
      </c>
      <c r="Q4498" t="s">
        <v>177</v>
      </c>
    </row>
    <row r="4499" spans="1:17" x14ac:dyDescent="0.25">
      <c r="A4499" t="s">
        <v>1147</v>
      </c>
      <c r="B4499" t="s">
        <v>1145</v>
      </c>
      <c r="C4499" t="s">
        <v>175</v>
      </c>
      <c r="D4499" t="s">
        <v>618</v>
      </c>
      <c r="E4499" t="s">
        <v>827</v>
      </c>
      <c r="F4499">
        <v>1</v>
      </c>
      <c r="G4499" t="s">
        <v>176</v>
      </c>
      <c r="H4499">
        <v>0</v>
      </c>
      <c r="I4499">
        <v>37</v>
      </c>
      <c r="J4499" s="10">
        <v>2</v>
      </c>
      <c r="K4499" s="10">
        <f>SUMIFS(F:F,D:D,DST_123_ÜRETİM_İHTİYAÇ_RAPORU_BURAK_YENI1309[[#This Row],[ALT_KOD]])-(SUMIFS(H:H,D:D,DST_123_ÜRETİM_İHTİYAÇ_RAPORU_BURAK_YENI1309[[#This Row],[ALT_KOD]])+AVERAGEIFS(I:I,D:D,DST_123_ÜRETİM_İHTİYAÇ_RAPORU_BURAK_YENI1309[[#This Row],[ALT_KOD]])+AVERAGEIFS(L:L,D:D,DST_123_ÜRETİM_İHTİYAÇ_RAPORU_BURAK_YENI1309[[#This Row],[ALT_KOD]]))</f>
        <v>-17</v>
      </c>
      <c r="L4499">
        <v>0</v>
      </c>
      <c r="M4499">
        <f>IF((DST_123_ÜRETİM_İHTİYAÇ_RAPORU_BURAK_YENI1309[[#This Row],[SATINALMA]]*DST_123_ÜRETİM_İHTİYAÇ_RAPORU_BURAK_YENI1309[[#This Row],[BIRIM_FIYATLAR]])&lt;1,VALUE("0"),DST_123_ÜRETİM_İHTİYAÇ_RAPORU_BURAK_YENI1309[[#This Row],[SATINALMA]]*DST_123_ÜRETİM_İHTİYAÇ_RAPORU_BURAK_YENI1309[[#This Row],[BIRIM_FIYATLAR]])</f>
        <v>0</v>
      </c>
      <c r="N4499">
        <v>82.6</v>
      </c>
      <c r="O4499" t="s">
        <v>821</v>
      </c>
      <c r="P4499">
        <v>82.6</v>
      </c>
      <c r="Q4499" t="s">
        <v>178</v>
      </c>
    </row>
    <row r="4500" spans="1:17" x14ac:dyDescent="0.25">
      <c r="A4500" t="s">
        <v>1057</v>
      </c>
      <c r="B4500" t="s">
        <v>1058</v>
      </c>
      <c r="C4500" t="s">
        <v>175</v>
      </c>
      <c r="D4500" t="s">
        <v>391</v>
      </c>
      <c r="E4500" t="s">
        <v>392</v>
      </c>
      <c r="F4500">
        <v>5.5</v>
      </c>
      <c r="G4500" t="s">
        <v>176</v>
      </c>
      <c r="H4500">
        <v>0</v>
      </c>
      <c r="I4500">
        <v>0</v>
      </c>
      <c r="J4500" s="10">
        <v>58.050000000000026</v>
      </c>
      <c r="K4500" s="10">
        <f>SUMIFS(F:F,D:D,DST_123_ÜRETİM_İHTİYAÇ_RAPORU_BURAK_YENI1309[[#This Row],[ALT_KOD]])-(SUMIFS(H:H,D:D,DST_123_ÜRETİM_İHTİYAÇ_RAPORU_BURAK_YENI1309[[#This Row],[ALT_KOD]])+AVERAGEIFS(I:I,D:D,DST_123_ÜRETİM_İHTİYAÇ_RAPORU_BURAK_YENI1309[[#This Row],[ALT_KOD]])+AVERAGEIFS(L:L,D:D,DST_123_ÜRETİM_İHTİYAÇ_RAPORU_BURAK_YENI1309[[#This Row],[ALT_KOD]]))</f>
        <v>144.72000000000003</v>
      </c>
      <c r="L4500">
        <v>37</v>
      </c>
      <c r="M4500">
        <f>IF((DST_123_ÜRETİM_İHTİYAÇ_RAPORU_BURAK_YENI1309[[#This Row],[SATINALMA]]*DST_123_ÜRETİM_İHTİYAÇ_RAPORU_BURAK_YENI1309[[#This Row],[BIRIM_FIYATLAR]])&lt;1,VALUE("0"),DST_123_ÜRETİM_İHTİYAÇ_RAPORU_BURAK_YENI1309[[#This Row],[SATINALMA]]*DST_123_ÜRETİM_İHTİYAÇ_RAPORU_BURAK_YENI1309[[#This Row],[BIRIM_FIYATLAR]])</f>
        <v>261099.48240000007</v>
      </c>
      <c r="N4500">
        <v>1804.17</v>
      </c>
      <c r="O4500" t="s">
        <v>223</v>
      </c>
      <c r="P4500">
        <v>9922.9350000000013</v>
      </c>
      <c r="Q4500" t="s">
        <v>181</v>
      </c>
    </row>
    <row r="4501" spans="1:17" x14ac:dyDescent="0.25">
      <c r="A4501" t="s">
        <v>1148</v>
      </c>
      <c r="B4501" t="s">
        <v>1056</v>
      </c>
      <c r="C4501" t="s">
        <v>175</v>
      </c>
      <c r="D4501" t="s">
        <v>508</v>
      </c>
      <c r="E4501" t="s">
        <v>509</v>
      </c>
      <c r="F4501">
        <v>1</v>
      </c>
      <c r="G4501" t="s">
        <v>176</v>
      </c>
      <c r="H4501">
        <v>0</v>
      </c>
      <c r="I4501">
        <v>4</v>
      </c>
      <c r="J4501" s="10">
        <v>10</v>
      </c>
      <c r="K4501" s="10">
        <f>SUMIFS(F:F,D:D,DST_123_ÜRETİM_İHTİYAÇ_RAPORU_BURAK_YENI1309[[#This Row],[ALT_KOD]])-(SUMIFS(H:H,D:D,DST_123_ÜRETİM_İHTİYAÇ_RAPORU_BURAK_YENI1309[[#This Row],[ALT_KOD]])+AVERAGEIFS(I:I,D:D,DST_123_ÜRETİM_İHTİYAÇ_RAPORU_BURAK_YENI1309[[#This Row],[ALT_KOD]])+AVERAGEIFS(L:L,D:D,DST_123_ÜRETİM_İHTİYAÇ_RAPORU_BURAK_YENI1309[[#This Row],[ALT_KOD]]))</f>
        <v>1</v>
      </c>
      <c r="L4501">
        <v>7</v>
      </c>
      <c r="M4501">
        <f>IF((DST_123_ÜRETİM_İHTİYAÇ_RAPORU_BURAK_YENI1309[[#This Row],[SATINALMA]]*DST_123_ÜRETİM_İHTİYAÇ_RAPORU_BURAK_YENI1309[[#This Row],[BIRIM_FIYATLAR]])&lt;1,VALUE("0"),DST_123_ÜRETİM_İHTİYAÇ_RAPORU_BURAK_YENI1309[[#This Row],[SATINALMA]]*DST_123_ÜRETİM_İHTİYAÇ_RAPORU_BURAK_YENI1309[[#This Row],[BIRIM_FIYATLAR]])</f>
        <v>1535.25</v>
      </c>
      <c r="N4501">
        <v>1535.25</v>
      </c>
      <c r="O4501" t="s">
        <v>507</v>
      </c>
      <c r="P4501">
        <v>1535.25</v>
      </c>
      <c r="Q4501" t="s">
        <v>221</v>
      </c>
    </row>
    <row r="4502" spans="1:17" x14ac:dyDescent="0.25">
      <c r="A4502" t="s">
        <v>1147</v>
      </c>
      <c r="B4502" t="s">
        <v>1145</v>
      </c>
      <c r="C4502" t="s">
        <v>175</v>
      </c>
      <c r="D4502" t="s">
        <v>512</v>
      </c>
      <c r="E4502" t="s">
        <v>513</v>
      </c>
      <c r="F4502">
        <v>2</v>
      </c>
      <c r="G4502" t="s">
        <v>176</v>
      </c>
      <c r="H4502">
        <v>0</v>
      </c>
      <c r="I4502">
        <v>4</v>
      </c>
      <c r="J4502" s="10">
        <v>10</v>
      </c>
      <c r="K4502" s="10">
        <f>SUMIFS(F:F,D:D,DST_123_ÜRETİM_İHTİYAÇ_RAPORU_BURAK_YENI1309[[#This Row],[ALT_KOD]])-(SUMIFS(H:H,D:D,DST_123_ÜRETİM_İHTİYAÇ_RAPORU_BURAK_YENI1309[[#This Row],[ALT_KOD]])+AVERAGEIFS(I:I,D:D,DST_123_ÜRETİM_İHTİYAÇ_RAPORU_BURAK_YENI1309[[#This Row],[ALT_KOD]])+AVERAGEIFS(L:L,D:D,DST_123_ÜRETİM_İHTİYAÇ_RAPORU_BURAK_YENI1309[[#This Row],[ALT_KOD]]))</f>
        <v>26</v>
      </c>
      <c r="L4502">
        <v>0</v>
      </c>
      <c r="M4502">
        <f>IF((DST_123_ÜRETİM_İHTİYAÇ_RAPORU_BURAK_YENI1309[[#This Row],[SATINALMA]]*DST_123_ÜRETİM_İHTİYAÇ_RAPORU_BURAK_YENI1309[[#This Row],[BIRIM_FIYATLAR]])&lt;1,VALUE("0"),DST_123_ÜRETİM_İHTİYAÇ_RAPORU_BURAK_YENI1309[[#This Row],[SATINALMA]]*DST_123_ÜRETİM_İHTİYAÇ_RAPORU_BURAK_YENI1309[[#This Row],[BIRIM_FIYATLAR]])</f>
        <v>41686.58</v>
      </c>
      <c r="N4502">
        <v>1603.33</v>
      </c>
      <c r="O4502" t="s">
        <v>262</v>
      </c>
      <c r="P4502">
        <v>3206.66</v>
      </c>
      <c r="Q4502" t="s">
        <v>221</v>
      </c>
    </row>
    <row r="4503" spans="1:17" x14ac:dyDescent="0.25">
      <c r="A4503" t="s">
        <v>1148</v>
      </c>
      <c r="B4503" t="s">
        <v>1056</v>
      </c>
      <c r="C4503" t="s">
        <v>175</v>
      </c>
      <c r="D4503" t="s">
        <v>512</v>
      </c>
      <c r="E4503" t="s">
        <v>513</v>
      </c>
      <c r="F4503">
        <v>2</v>
      </c>
      <c r="G4503" t="s">
        <v>176</v>
      </c>
      <c r="H4503">
        <v>0</v>
      </c>
      <c r="I4503">
        <v>4</v>
      </c>
      <c r="J4503" s="10">
        <v>10</v>
      </c>
      <c r="K4503" s="10">
        <f>SUMIFS(F:F,D:D,DST_123_ÜRETİM_İHTİYAÇ_RAPORU_BURAK_YENI1309[[#This Row],[ALT_KOD]])-(SUMIFS(H:H,D:D,DST_123_ÜRETİM_İHTİYAÇ_RAPORU_BURAK_YENI1309[[#This Row],[ALT_KOD]])+AVERAGEIFS(I:I,D:D,DST_123_ÜRETİM_İHTİYAÇ_RAPORU_BURAK_YENI1309[[#This Row],[ALT_KOD]])+AVERAGEIFS(L:L,D:D,DST_123_ÜRETİM_İHTİYAÇ_RAPORU_BURAK_YENI1309[[#This Row],[ALT_KOD]]))</f>
        <v>26</v>
      </c>
      <c r="L4503">
        <v>0</v>
      </c>
      <c r="M4503">
        <f>IF((DST_123_ÜRETİM_İHTİYAÇ_RAPORU_BURAK_YENI1309[[#This Row],[SATINALMA]]*DST_123_ÜRETİM_İHTİYAÇ_RAPORU_BURAK_YENI1309[[#This Row],[BIRIM_FIYATLAR]])&lt;1,VALUE("0"),DST_123_ÜRETİM_İHTİYAÇ_RAPORU_BURAK_YENI1309[[#This Row],[SATINALMA]]*DST_123_ÜRETİM_İHTİYAÇ_RAPORU_BURAK_YENI1309[[#This Row],[BIRIM_FIYATLAR]])</f>
        <v>41686.58</v>
      </c>
      <c r="N4503">
        <v>1603.33</v>
      </c>
      <c r="O4503" t="s">
        <v>262</v>
      </c>
      <c r="P4503">
        <v>3206.66</v>
      </c>
      <c r="Q4503" t="s">
        <v>221</v>
      </c>
    </row>
    <row r="4504" spans="1:17" x14ac:dyDescent="0.25">
      <c r="A4504" t="s">
        <v>1101</v>
      </c>
      <c r="B4504" t="s">
        <v>1102</v>
      </c>
      <c r="C4504" t="s">
        <v>175</v>
      </c>
      <c r="D4504" t="s">
        <v>618</v>
      </c>
      <c r="E4504" t="s">
        <v>827</v>
      </c>
      <c r="F4504">
        <v>1</v>
      </c>
      <c r="G4504" t="s">
        <v>176</v>
      </c>
      <c r="H4504">
        <v>0</v>
      </c>
      <c r="I4504">
        <v>37</v>
      </c>
      <c r="J4504" s="10">
        <v>2</v>
      </c>
      <c r="K4504" s="10">
        <f>SUMIFS(F:F,D:D,DST_123_ÜRETİM_İHTİYAÇ_RAPORU_BURAK_YENI1309[[#This Row],[ALT_KOD]])-(SUMIFS(H:H,D:D,DST_123_ÜRETİM_İHTİYAÇ_RAPORU_BURAK_YENI1309[[#This Row],[ALT_KOD]])+AVERAGEIFS(I:I,D:D,DST_123_ÜRETİM_İHTİYAÇ_RAPORU_BURAK_YENI1309[[#This Row],[ALT_KOD]])+AVERAGEIFS(L:L,D:D,DST_123_ÜRETİM_İHTİYAÇ_RAPORU_BURAK_YENI1309[[#This Row],[ALT_KOD]]))</f>
        <v>-17</v>
      </c>
      <c r="L4504">
        <v>0</v>
      </c>
      <c r="M4504">
        <f>IF((DST_123_ÜRETİM_İHTİYAÇ_RAPORU_BURAK_YENI1309[[#This Row],[SATINALMA]]*DST_123_ÜRETİM_İHTİYAÇ_RAPORU_BURAK_YENI1309[[#This Row],[BIRIM_FIYATLAR]])&lt;1,VALUE("0"),DST_123_ÜRETİM_İHTİYAÇ_RAPORU_BURAK_YENI1309[[#This Row],[SATINALMA]]*DST_123_ÜRETİM_İHTİYAÇ_RAPORU_BURAK_YENI1309[[#This Row],[BIRIM_FIYATLAR]])</f>
        <v>0</v>
      </c>
      <c r="N4504">
        <v>82.6</v>
      </c>
      <c r="O4504" t="s">
        <v>821</v>
      </c>
      <c r="P4504">
        <v>82.6</v>
      </c>
      <c r="Q4504" t="s">
        <v>178</v>
      </c>
    </row>
    <row r="4505" spans="1:17" x14ac:dyDescent="0.25">
      <c r="A4505" t="s">
        <v>1057</v>
      </c>
      <c r="B4505" t="s">
        <v>1058</v>
      </c>
      <c r="C4505" t="s">
        <v>175</v>
      </c>
      <c r="D4505" t="s">
        <v>299</v>
      </c>
      <c r="E4505" t="s">
        <v>300</v>
      </c>
      <c r="F4505">
        <v>13.5</v>
      </c>
      <c r="G4505" t="s">
        <v>176</v>
      </c>
      <c r="H4505">
        <v>13.5</v>
      </c>
      <c r="I4505">
        <v>180</v>
      </c>
      <c r="J4505" s="10">
        <v>80</v>
      </c>
      <c r="K4505" s="10">
        <f>SUMIFS(F:F,D:D,DST_123_ÜRETİM_İHTİYAÇ_RAPORU_BURAK_YENI1309[[#This Row],[ALT_KOD]])-(SUMIFS(H:H,D:D,DST_123_ÜRETİM_İHTİYAÇ_RAPORU_BURAK_YENI1309[[#This Row],[ALT_KOD]])+AVERAGEIFS(I:I,D:D,DST_123_ÜRETİM_İHTİYAÇ_RAPORU_BURAK_YENI1309[[#This Row],[ALT_KOD]])+AVERAGEIFS(L:L,D:D,DST_123_ÜRETİM_İHTİYAÇ_RAPORU_BURAK_YENI1309[[#This Row],[ALT_KOD]]))</f>
        <v>32</v>
      </c>
      <c r="L4505">
        <v>0</v>
      </c>
      <c r="M4505">
        <f>IF((DST_123_ÜRETİM_İHTİYAÇ_RAPORU_BURAK_YENI1309[[#This Row],[SATINALMA]]*DST_123_ÜRETİM_İHTİYAÇ_RAPORU_BURAK_YENI1309[[#This Row],[BIRIM_FIYATLAR]])&lt;1,VALUE("0"),DST_123_ÜRETİM_İHTİYAÇ_RAPORU_BURAK_YENI1309[[#This Row],[SATINALMA]]*DST_123_ÜRETİM_İHTİYAÇ_RAPORU_BURAK_YENI1309[[#This Row],[BIRIM_FIYATLAR]])</f>
        <v>7680</v>
      </c>
      <c r="N4505">
        <v>240</v>
      </c>
      <c r="O4505" t="s">
        <v>240</v>
      </c>
      <c r="P4505">
        <v>3240</v>
      </c>
      <c r="Q4505" t="s">
        <v>180</v>
      </c>
    </row>
    <row r="4506" spans="1:17" x14ac:dyDescent="0.25">
      <c r="A4506" t="s">
        <v>1100</v>
      </c>
      <c r="B4506" t="s">
        <v>1058</v>
      </c>
      <c r="C4506" t="s">
        <v>175</v>
      </c>
      <c r="D4506" t="s">
        <v>299</v>
      </c>
      <c r="E4506" t="s">
        <v>300</v>
      </c>
      <c r="F4506">
        <v>9.5</v>
      </c>
      <c r="G4506" t="s">
        <v>176</v>
      </c>
      <c r="H4506">
        <v>9.5</v>
      </c>
      <c r="I4506">
        <v>180</v>
      </c>
      <c r="J4506" s="10">
        <v>80</v>
      </c>
      <c r="K4506" s="10">
        <f>SUMIFS(F:F,D:D,DST_123_ÜRETİM_İHTİYAÇ_RAPORU_BURAK_YENI1309[[#This Row],[ALT_KOD]])-(SUMIFS(H:H,D:D,DST_123_ÜRETİM_İHTİYAÇ_RAPORU_BURAK_YENI1309[[#This Row],[ALT_KOD]])+AVERAGEIFS(I:I,D:D,DST_123_ÜRETİM_İHTİYAÇ_RAPORU_BURAK_YENI1309[[#This Row],[ALT_KOD]])+AVERAGEIFS(L:L,D:D,DST_123_ÜRETİM_İHTİYAÇ_RAPORU_BURAK_YENI1309[[#This Row],[ALT_KOD]]))</f>
        <v>32</v>
      </c>
      <c r="L4506">
        <v>0</v>
      </c>
      <c r="M4506">
        <f>IF((DST_123_ÜRETİM_İHTİYAÇ_RAPORU_BURAK_YENI1309[[#This Row],[SATINALMA]]*DST_123_ÜRETİM_İHTİYAÇ_RAPORU_BURAK_YENI1309[[#This Row],[BIRIM_FIYATLAR]])&lt;1,VALUE("0"),DST_123_ÜRETİM_İHTİYAÇ_RAPORU_BURAK_YENI1309[[#This Row],[SATINALMA]]*DST_123_ÜRETİM_İHTİYAÇ_RAPORU_BURAK_YENI1309[[#This Row],[BIRIM_FIYATLAR]])</f>
        <v>7680</v>
      </c>
      <c r="N4506">
        <v>240</v>
      </c>
      <c r="O4506" t="s">
        <v>240</v>
      </c>
      <c r="P4506">
        <v>2280</v>
      </c>
      <c r="Q4506" t="s">
        <v>180</v>
      </c>
    </row>
    <row r="4507" spans="1:17" x14ac:dyDescent="0.25">
      <c r="A4507" t="s">
        <v>1148</v>
      </c>
      <c r="B4507" t="s">
        <v>1056</v>
      </c>
      <c r="C4507" t="s">
        <v>175</v>
      </c>
      <c r="D4507" t="s">
        <v>299</v>
      </c>
      <c r="E4507" t="s">
        <v>300</v>
      </c>
      <c r="F4507">
        <v>9.5</v>
      </c>
      <c r="G4507" t="s">
        <v>176</v>
      </c>
      <c r="H4507">
        <v>0</v>
      </c>
      <c r="I4507">
        <v>180</v>
      </c>
      <c r="J4507" s="10">
        <v>80</v>
      </c>
      <c r="K4507" s="10">
        <f>SUMIFS(F:F,D:D,DST_123_ÜRETİM_İHTİYAÇ_RAPORU_BURAK_YENI1309[[#This Row],[ALT_KOD]])-(SUMIFS(H:H,D:D,DST_123_ÜRETİM_İHTİYAÇ_RAPORU_BURAK_YENI1309[[#This Row],[ALT_KOD]])+AVERAGEIFS(I:I,D:D,DST_123_ÜRETİM_İHTİYAÇ_RAPORU_BURAK_YENI1309[[#This Row],[ALT_KOD]])+AVERAGEIFS(L:L,D:D,DST_123_ÜRETİM_İHTİYAÇ_RAPORU_BURAK_YENI1309[[#This Row],[ALT_KOD]]))</f>
        <v>32</v>
      </c>
      <c r="L4507">
        <v>0</v>
      </c>
      <c r="M4507">
        <f>IF((DST_123_ÜRETİM_İHTİYAÇ_RAPORU_BURAK_YENI1309[[#This Row],[SATINALMA]]*DST_123_ÜRETİM_İHTİYAÇ_RAPORU_BURAK_YENI1309[[#This Row],[BIRIM_FIYATLAR]])&lt;1,VALUE("0"),DST_123_ÜRETİM_İHTİYAÇ_RAPORU_BURAK_YENI1309[[#This Row],[SATINALMA]]*DST_123_ÜRETİM_İHTİYAÇ_RAPORU_BURAK_YENI1309[[#This Row],[BIRIM_FIYATLAR]])</f>
        <v>7680</v>
      </c>
      <c r="N4507">
        <v>240</v>
      </c>
      <c r="O4507" t="s">
        <v>240</v>
      </c>
      <c r="P4507">
        <v>2280</v>
      </c>
      <c r="Q4507" t="s">
        <v>180</v>
      </c>
    </row>
    <row r="4508" spans="1:17" x14ac:dyDescent="0.25">
      <c r="A4508" t="s">
        <v>1060</v>
      </c>
      <c r="B4508" t="s">
        <v>1061</v>
      </c>
      <c r="C4508" t="s">
        <v>175</v>
      </c>
      <c r="D4508" t="s">
        <v>391</v>
      </c>
      <c r="E4508" t="s">
        <v>392</v>
      </c>
      <c r="F4508">
        <v>10</v>
      </c>
      <c r="G4508" t="s">
        <v>176</v>
      </c>
      <c r="H4508">
        <v>0</v>
      </c>
      <c r="I4508">
        <v>0</v>
      </c>
      <c r="J4508" s="10">
        <v>58.050000000000026</v>
      </c>
      <c r="K4508" s="10">
        <f>SUMIFS(F:F,D:D,DST_123_ÜRETİM_İHTİYAÇ_RAPORU_BURAK_YENI1309[[#This Row],[ALT_KOD]])-(SUMIFS(H:H,D:D,DST_123_ÜRETİM_İHTİYAÇ_RAPORU_BURAK_YENI1309[[#This Row],[ALT_KOD]])+AVERAGEIFS(I:I,D:D,DST_123_ÜRETİM_İHTİYAÇ_RAPORU_BURAK_YENI1309[[#This Row],[ALT_KOD]])+AVERAGEIFS(L:L,D:D,DST_123_ÜRETİM_İHTİYAÇ_RAPORU_BURAK_YENI1309[[#This Row],[ALT_KOD]]))</f>
        <v>144.72000000000003</v>
      </c>
      <c r="L4508">
        <v>37</v>
      </c>
      <c r="M4508">
        <f>IF((DST_123_ÜRETİM_İHTİYAÇ_RAPORU_BURAK_YENI1309[[#This Row],[SATINALMA]]*DST_123_ÜRETİM_İHTİYAÇ_RAPORU_BURAK_YENI1309[[#This Row],[BIRIM_FIYATLAR]])&lt;1,VALUE("0"),DST_123_ÜRETİM_İHTİYAÇ_RAPORU_BURAK_YENI1309[[#This Row],[SATINALMA]]*DST_123_ÜRETİM_İHTİYAÇ_RAPORU_BURAK_YENI1309[[#This Row],[BIRIM_FIYATLAR]])</f>
        <v>261099.48240000007</v>
      </c>
      <c r="N4508">
        <v>1804.17</v>
      </c>
      <c r="O4508" t="s">
        <v>223</v>
      </c>
      <c r="P4508">
        <v>18041.7</v>
      </c>
      <c r="Q4508" t="s">
        <v>181</v>
      </c>
    </row>
    <row r="4509" spans="1:17" x14ac:dyDescent="0.25">
      <c r="A4509" t="s">
        <v>1101</v>
      </c>
      <c r="B4509" t="s">
        <v>1102</v>
      </c>
      <c r="C4509" t="s">
        <v>175</v>
      </c>
      <c r="D4509" t="s">
        <v>512</v>
      </c>
      <c r="E4509" t="s">
        <v>513</v>
      </c>
      <c r="F4509">
        <v>2</v>
      </c>
      <c r="G4509" t="s">
        <v>176</v>
      </c>
      <c r="H4509">
        <v>2</v>
      </c>
      <c r="I4509">
        <v>4</v>
      </c>
      <c r="J4509" s="10">
        <v>10</v>
      </c>
      <c r="K4509" s="10">
        <f>SUMIFS(F:F,D:D,DST_123_ÜRETİM_İHTİYAÇ_RAPORU_BURAK_YENI1309[[#This Row],[ALT_KOD]])-(SUMIFS(H:H,D:D,DST_123_ÜRETİM_İHTİYAÇ_RAPORU_BURAK_YENI1309[[#This Row],[ALT_KOD]])+AVERAGEIFS(I:I,D:D,DST_123_ÜRETİM_İHTİYAÇ_RAPORU_BURAK_YENI1309[[#This Row],[ALT_KOD]])+AVERAGEIFS(L:L,D:D,DST_123_ÜRETİM_İHTİYAÇ_RAPORU_BURAK_YENI1309[[#This Row],[ALT_KOD]]))</f>
        <v>26</v>
      </c>
      <c r="L4509">
        <v>0</v>
      </c>
      <c r="M4509">
        <f>IF((DST_123_ÜRETİM_İHTİYAÇ_RAPORU_BURAK_YENI1309[[#This Row],[SATINALMA]]*DST_123_ÜRETİM_İHTİYAÇ_RAPORU_BURAK_YENI1309[[#This Row],[BIRIM_FIYATLAR]])&lt;1,VALUE("0"),DST_123_ÜRETİM_İHTİYAÇ_RAPORU_BURAK_YENI1309[[#This Row],[SATINALMA]]*DST_123_ÜRETİM_İHTİYAÇ_RAPORU_BURAK_YENI1309[[#This Row],[BIRIM_FIYATLAR]])</f>
        <v>41686.58</v>
      </c>
      <c r="N4509">
        <v>1603.33</v>
      </c>
      <c r="O4509" t="s">
        <v>262</v>
      </c>
      <c r="P4509">
        <v>3206.66</v>
      </c>
      <c r="Q4509" t="s">
        <v>221</v>
      </c>
    </row>
    <row r="4510" spans="1:17" x14ac:dyDescent="0.25">
      <c r="A4510" t="s">
        <v>1101</v>
      </c>
      <c r="B4510" t="s">
        <v>1102</v>
      </c>
      <c r="C4510" t="s">
        <v>175</v>
      </c>
      <c r="D4510" t="s">
        <v>1140</v>
      </c>
      <c r="E4510" t="s">
        <v>1141</v>
      </c>
      <c r="F4510">
        <v>1</v>
      </c>
      <c r="G4510" t="s">
        <v>176</v>
      </c>
      <c r="H4510">
        <v>0</v>
      </c>
      <c r="I4510">
        <v>0</v>
      </c>
      <c r="J4510" s="10">
        <v>0</v>
      </c>
      <c r="K4510" s="10">
        <f>SUMIFS(F:F,D:D,DST_123_ÜRETİM_İHTİYAÇ_RAPORU_BURAK_YENI1309[[#This Row],[ALT_KOD]])-(SUMIFS(H:H,D:D,DST_123_ÜRETİM_İHTİYAÇ_RAPORU_BURAK_YENI1309[[#This Row],[ALT_KOD]])+AVERAGEIFS(I:I,D:D,DST_123_ÜRETİM_İHTİYAÇ_RAPORU_BURAK_YENI1309[[#This Row],[ALT_KOD]])+AVERAGEIFS(L:L,D:D,DST_123_ÜRETİM_İHTİYAÇ_RAPORU_BURAK_YENI1309[[#This Row],[ALT_KOD]]))</f>
        <v>2</v>
      </c>
      <c r="L4510">
        <v>0</v>
      </c>
      <c r="M4510">
        <f>IF((DST_123_ÜRETİM_İHTİYAÇ_RAPORU_BURAK_YENI1309[[#This Row],[SATINALMA]]*DST_123_ÜRETİM_İHTİYAÇ_RAPORU_BURAK_YENI1309[[#This Row],[BIRIM_FIYATLAR]])&lt;1,VALUE("0"),DST_123_ÜRETİM_İHTİYAÇ_RAPORU_BURAK_YENI1309[[#This Row],[SATINALMA]]*DST_123_ÜRETİM_İHTİYAÇ_RAPORU_BURAK_YENI1309[[#This Row],[BIRIM_FIYATLAR]])</f>
        <v>0</v>
      </c>
      <c r="N4510">
        <v>0</v>
      </c>
      <c r="P4510">
        <v>0</v>
      </c>
      <c r="Q4510" t="s">
        <v>177</v>
      </c>
    </row>
    <row r="4511" spans="1:17" x14ac:dyDescent="0.25">
      <c r="A4511" t="s">
        <v>1057</v>
      </c>
      <c r="B4511" t="s">
        <v>1058</v>
      </c>
      <c r="C4511" t="s">
        <v>175</v>
      </c>
      <c r="D4511" t="s">
        <v>792</v>
      </c>
      <c r="E4511" t="s">
        <v>136</v>
      </c>
      <c r="F4511">
        <v>8</v>
      </c>
      <c r="G4511" t="s">
        <v>176</v>
      </c>
      <c r="H4511">
        <v>0</v>
      </c>
      <c r="I4511">
        <v>524</v>
      </c>
      <c r="J4511" s="10">
        <v>352</v>
      </c>
      <c r="K4511" s="10">
        <f>SUMIFS(F:F,D:D,DST_123_ÜRETİM_İHTİYAÇ_RAPORU_BURAK_YENI1309[[#This Row],[ALT_KOD]])-(SUMIFS(H:H,D:D,DST_123_ÜRETİM_İHTİYAÇ_RAPORU_BURAK_YENI1309[[#This Row],[ALT_KOD]])+AVERAGEIFS(I:I,D:D,DST_123_ÜRETİM_İHTİYAÇ_RAPORU_BURAK_YENI1309[[#This Row],[ALT_KOD]])+AVERAGEIFS(L:L,D:D,DST_123_ÜRETİM_İHTİYAÇ_RAPORU_BURAK_YENI1309[[#This Row],[ALT_KOD]]))</f>
        <v>-374</v>
      </c>
      <c r="L4511">
        <v>0</v>
      </c>
      <c r="M4511">
        <f>IF((DST_123_ÜRETİM_İHTİYAÇ_RAPORU_BURAK_YENI1309[[#This Row],[SATINALMA]]*DST_123_ÜRETİM_İHTİYAÇ_RAPORU_BURAK_YENI1309[[#This Row],[BIRIM_FIYATLAR]])&lt;1,VALUE("0"),DST_123_ÜRETİM_İHTİYAÇ_RAPORU_BURAK_YENI1309[[#This Row],[SATINALMA]]*DST_123_ÜRETİM_İHTİYAÇ_RAPORU_BURAK_YENI1309[[#This Row],[BIRIM_FIYATLAR]])</f>
        <v>0</v>
      </c>
      <c r="N4511">
        <v>8.1</v>
      </c>
      <c r="O4511" t="s">
        <v>504</v>
      </c>
      <c r="P4511">
        <v>64.8</v>
      </c>
      <c r="Q4511" t="s">
        <v>221</v>
      </c>
    </row>
    <row r="4512" spans="1:17" x14ac:dyDescent="0.25">
      <c r="A4512" t="s">
        <v>1147</v>
      </c>
      <c r="B4512" t="s">
        <v>1145</v>
      </c>
      <c r="C4512" t="s">
        <v>175</v>
      </c>
      <c r="D4512" t="s">
        <v>338</v>
      </c>
      <c r="E4512" t="s">
        <v>339</v>
      </c>
      <c r="F4512">
        <v>2.4700000000000002</v>
      </c>
      <c r="G4512" t="s">
        <v>185</v>
      </c>
      <c r="H4512">
        <v>0</v>
      </c>
      <c r="I4512">
        <v>0</v>
      </c>
      <c r="J4512" s="10">
        <v>154.94999999999996</v>
      </c>
      <c r="K4512" s="10">
        <f>SUMIFS(F:F,D:D,DST_123_ÜRETİM_İHTİYAÇ_RAPORU_BURAK_YENI1309[[#This Row],[ALT_KOD]])-(SUMIFS(H:H,D:D,DST_123_ÜRETİM_İHTİYAÇ_RAPORU_BURAK_YENI1309[[#This Row],[ALT_KOD]])+AVERAGEIFS(I:I,D:D,DST_123_ÜRETİM_İHTİYAÇ_RAPORU_BURAK_YENI1309[[#This Row],[ALT_KOD]])+AVERAGEIFS(L:L,D:D,DST_123_ÜRETİM_İHTİYAÇ_RAPORU_BURAK_YENI1309[[#This Row],[ALT_KOD]]))</f>
        <v>21.899999999999991</v>
      </c>
      <c r="L4512">
        <v>60</v>
      </c>
      <c r="M4512">
        <f>IF((DST_123_ÜRETİM_İHTİYAÇ_RAPORU_BURAK_YENI1309[[#This Row],[SATINALMA]]*DST_123_ÜRETİM_İHTİYAÇ_RAPORU_BURAK_YENI1309[[#This Row],[BIRIM_FIYATLAR]])&lt;1,VALUE("0"),DST_123_ÜRETİM_İHTİYAÇ_RAPORU_BURAK_YENI1309[[#This Row],[SATINALMA]]*DST_123_ÜRETİM_İHTİYAÇ_RAPORU_BURAK_YENI1309[[#This Row],[BIRIM_FIYATLAR]])</f>
        <v>4265.0249999999987</v>
      </c>
      <c r="N4512">
        <v>194.75</v>
      </c>
      <c r="O4512" t="s">
        <v>490</v>
      </c>
      <c r="P4512">
        <v>481.03250000000003</v>
      </c>
      <c r="Q4512" t="s">
        <v>183</v>
      </c>
    </row>
    <row r="4513" spans="1:17" x14ac:dyDescent="0.25">
      <c r="A4513" t="s">
        <v>1142</v>
      </c>
      <c r="B4513" t="s">
        <v>1056</v>
      </c>
      <c r="C4513" t="s">
        <v>175</v>
      </c>
      <c r="D4513" t="s">
        <v>611</v>
      </c>
      <c r="E4513" t="s">
        <v>612</v>
      </c>
      <c r="F4513">
        <v>15</v>
      </c>
      <c r="G4513" t="s">
        <v>182</v>
      </c>
      <c r="H4513">
        <v>0</v>
      </c>
      <c r="I4513">
        <v>0</v>
      </c>
      <c r="J4513" s="10">
        <v>252.50000000000003</v>
      </c>
      <c r="K4513" s="10">
        <f>SUMIFS(F:F,D:D,DST_123_ÜRETİM_İHTİYAÇ_RAPORU_BURAK_YENI1309[[#This Row],[ALT_KOD]])-(SUMIFS(H:H,D:D,DST_123_ÜRETİM_İHTİYAÇ_RAPORU_BURAK_YENI1309[[#This Row],[ALT_KOD]])+AVERAGEIFS(I:I,D:D,DST_123_ÜRETİM_İHTİYAÇ_RAPORU_BURAK_YENI1309[[#This Row],[ALT_KOD]])+AVERAGEIFS(L:L,D:D,DST_123_ÜRETİM_İHTİYAÇ_RAPORU_BURAK_YENI1309[[#This Row],[ALT_KOD]]))</f>
        <v>402.5</v>
      </c>
      <c r="L4513">
        <v>19.5</v>
      </c>
      <c r="M4513">
        <f>IF((DST_123_ÜRETİM_İHTİYAÇ_RAPORU_BURAK_YENI1309[[#This Row],[SATINALMA]]*DST_123_ÜRETİM_İHTİYAÇ_RAPORU_BURAK_YENI1309[[#This Row],[BIRIM_FIYATLAR]])&lt;1,VALUE("0"),DST_123_ÜRETİM_İHTİYAÇ_RAPORU_BURAK_YENI1309[[#This Row],[SATINALMA]]*DST_123_ÜRETİM_İHTİYAÇ_RAPORU_BURAK_YENI1309[[#This Row],[BIRIM_FIYATLAR]])</f>
        <v>81928.875</v>
      </c>
      <c r="N4513">
        <v>203.55</v>
      </c>
      <c r="O4513" t="s">
        <v>223</v>
      </c>
      <c r="P4513">
        <v>3053.25</v>
      </c>
      <c r="Q4513" t="s">
        <v>181</v>
      </c>
    </row>
    <row r="4514" spans="1:17" x14ac:dyDescent="0.25">
      <c r="A4514" t="s">
        <v>1100</v>
      </c>
      <c r="B4514" t="s">
        <v>1058</v>
      </c>
      <c r="C4514" t="s">
        <v>175</v>
      </c>
      <c r="D4514" t="s">
        <v>662</v>
      </c>
      <c r="E4514" t="s">
        <v>663</v>
      </c>
      <c r="F4514">
        <v>14</v>
      </c>
      <c r="G4514" t="s">
        <v>185</v>
      </c>
      <c r="H4514">
        <v>0</v>
      </c>
      <c r="I4514">
        <v>0</v>
      </c>
      <c r="J4514" s="10">
        <v>205.05</v>
      </c>
      <c r="K4514" s="10">
        <f>SUMIFS(F:F,D:D,DST_123_ÜRETİM_İHTİYAÇ_RAPORU_BURAK_YENI1309[[#This Row],[ALT_KOD]])-(SUMIFS(H:H,D:D,DST_123_ÜRETİM_İHTİYAÇ_RAPORU_BURAK_YENI1309[[#This Row],[ALT_KOD]])+AVERAGEIFS(I:I,D:D,DST_123_ÜRETİM_İHTİYAÇ_RAPORU_BURAK_YENI1309[[#This Row],[ALT_KOD]])+AVERAGEIFS(L:L,D:D,DST_123_ÜRETİM_İHTİYAÇ_RAPORU_BURAK_YENI1309[[#This Row],[ALT_KOD]]))</f>
        <v>100</v>
      </c>
      <c r="L4514">
        <v>0</v>
      </c>
      <c r="M4514">
        <f>IF((DST_123_ÜRETİM_İHTİYAÇ_RAPORU_BURAK_YENI1309[[#This Row],[SATINALMA]]*DST_123_ÜRETİM_İHTİYAÇ_RAPORU_BURAK_YENI1309[[#This Row],[BIRIM_FIYATLAR]])&lt;1,VALUE("0"),DST_123_ÜRETİM_İHTİYAÇ_RAPORU_BURAK_YENI1309[[#This Row],[SATINALMA]]*DST_123_ÜRETİM_İHTİYAÇ_RAPORU_BURAK_YENI1309[[#This Row],[BIRIM_FIYATLAR]])</f>
        <v>109467</v>
      </c>
      <c r="N4514">
        <v>1094.67</v>
      </c>
      <c r="O4514" t="s">
        <v>648</v>
      </c>
      <c r="P4514">
        <v>15325.380000000001</v>
      </c>
      <c r="Q4514" t="s">
        <v>183</v>
      </c>
    </row>
    <row r="4515" spans="1:17" x14ac:dyDescent="0.25">
      <c r="A4515" t="s">
        <v>1147</v>
      </c>
      <c r="B4515" t="s">
        <v>1145</v>
      </c>
      <c r="C4515" t="s">
        <v>175</v>
      </c>
      <c r="D4515" t="s">
        <v>662</v>
      </c>
      <c r="E4515" t="s">
        <v>663</v>
      </c>
      <c r="F4515">
        <v>18</v>
      </c>
      <c r="G4515" t="s">
        <v>185</v>
      </c>
      <c r="H4515">
        <v>0</v>
      </c>
      <c r="I4515">
        <v>0</v>
      </c>
      <c r="J4515" s="10">
        <v>205.05</v>
      </c>
      <c r="K4515" s="10">
        <f>SUMIFS(F:F,D:D,DST_123_ÜRETİM_İHTİYAÇ_RAPORU_BURAK_YENI1309[[#This Row],[ALT_KOD]])-(SUMIFS(H:H,D:D,DST_123_ÜRETİM_İHTİYAÇ_RAPORU_BURAK_YENI1309[[#This Row],[ALT_KOD]])+AVERAGEIFS(I:I,D:D,DST_123_ÜRETİM_İHTİYAÇ_RAPORU_BURAK_YENI1309[[#This Row],[ALT_KOD]])+AVERAGEIFS(L:L,D:D,DST_123_ÜRETİM_İHTİYAÇ_RAPORU_BURAK_YENI1309[[#This Row],[ALT_KOD]]))</f>
        <v>100</v>
      </c>
      <c r="L4515">
        <v>0</v>
      </c>
      <c r="M4515">
        <f>IF((DST_123_ÜRETİM_İHTİYAÇ_RAPORU_BURAK_YENI1309[[#This Row],[SATINALMA]]*DST_123_ÜRETİM_İHTİYAÇ_RAPORU_BURAK_YENI1309[[#This Row],[BIRIM_FIYATLAR]])&lt;1,VALUE("0"),DST_123_ÜRETİM_İHTİYAÇ_RAPORU_BURAK_YENI1309[[#This Row],[SATINALMA]]*DST_123_ÜRETİM_İHTİYAÇ_RAPORU_BURAK_YENI1309[[#This Row],[BIRIM_FIYATLAR]])</f>
        <v>109467</v>
      </c>
      <c r="N4515">
        <v>1094.67</v>
      </c>
      <c r="O4515" t="s">
        <v>648</v>
      </c>
      <c r="P4515">
        <v>19704.060000000001</v>
      </c>
      <c r="Q4515" t="s">
        <v>183</v>
      </c>
    </row>
    <row r="4516" spans="1:17" x14ac:dyDescent="0.25">
      <c r="A4516" t="s">
        <v>1060</v>
      </c>
      <c r="B4516" t="s">
        <v>1061</v>
      </c>
      <c r="C4516" t="s">
        <v>175</v>
      </c>
      <c r="D4516" t="s">
        <v>1090</v>
      </c>
      <c r="E4516" t="s">
        <v>1091</v>
      </c>
      <c r="F4516">
        <v>1</v>
      </c>
      <c r="G4516" t="s">
        <v>176</v>
      </c>
      <c r="H4516">
        <v>1</v>
      </c>
      <c r="I4516">
        <v>1</v>
      </c>
      <c r="J4516" s="10">
        <v>5</v>
      </c>
      <c r="K4516" s="10">
        <f>SUMIFS(F:F,D:D,DST_123_ÜRETİM_İHTİYAÇ_RAPORU_BURAK_YENI1309[[#This Row],[ALT_KOD]])-(SUMIFS(H:H,D:D,DST_123_ÜRETİM_İHTİYAÇ_RAPORU_BURAK_YENI1309[[#This Row],[ALT_KOD]])+AVERAGEIFS(I:I,D:D,DST_123_ÜRETİM_İHTİYAÇ_RAPORU_BURAK_YENI1309[[#This Row],[ALT_KOD]])+AVERAGEIFS(L:L,D:D,DST_123_ÜRETİM_İHTİYAÇ_RAPORU_BURAK_YENI1309[[#This Row],[ALT_KOD]]))</f>
        <v>0</v>
      </c>
      <c r="L4516">
        <v>0</v>
      </c>
      <c r="M4516">
        <f>IF((DST_123_ÜRETİM_İHTİYAÇ_RAPORU_BURAK_YENI1309[[#This Row],[SATINALMA]]*DST_123_ÜRETİM_İHTİYAÇ_RAPORU_BURAK_YENI1309[[#This Row],[BIRIM_FIYATLAR]])&lt;1,VALUE("0"),DST_123_ÜRETİM_İHTİYAÇ_RAPORU_BURAK_YENI1309[[#This Row],[SATINALMA]]*DST_123_ÜRETİM_İHTİYAÇ_RAPORU_BURAK_YENI1309[[#This Row],[BIRIM_FIYATLAR]])</f>
        <v>0</v>
      </c>
      <c r="N4516">
        <v>3500</v>
      </c>
      <c r="O4516" t="s">
        <v>1092</v>
      </c>
      <c r="P4516">
        <v>3500</v>
      </c>
      <c r="Q4516" t="s">
        <v>221</v>
      </c>
    </row>
    <row r="4517" spans="1:17" x14ac:dyDescent="0.25">
      <c r="A4517" t="s">
        <v>1150</v>
      </c>
      <c r="B4517" t="s">
        <v>1145</v>
      </c>
      <c r="C4517" t="s">
        <v>175</v>
      </c>
      <c r="D4517" t="s">
        <v>662</v>
      </c>
      <c r="E4517" t="s">
        <v>663</v>
      </c>
      <c r="F4517">
        <v>18</v>
      </c>
      <c r="G4517" t="s">
        <v>185</v>
      </c>
      <c r="H4517">
        <v>0</v>
      </c>
      <c r="I4517">
        <v>0</v>
      </c>
      <c r="J4517" s="10">
        <v>205.05</v>
      </c>
      <c r="K4517" s="10">
        <f>SUMIFS(F:F,D:D,DST_123_ÜRETİM_İHTİYAÇ_RAPORU_BURAK_YENI1309[[#This Row],[ALT_KOD]])-(SUMIFS(H:H,D:D,DST_123_ÜRETİM_İHTİYAÇ_RAPORU_BURAK_YENI1309[[#This Row],[ALT_KOD]])+AVERAGEIFS(I:I,D:D,DST_123_ÜRETİM_İHTİYAÇ_RAPORU_BURAK_YENI1309[[#This Row],[ALT_KOD]])+AVERAGEIFS(L:L,D:D,DST_123_ÜRETİM_İHTİYAÇ_RAPORU_BURAK_YENI1309[[#This Row],[ALT_KOD]]))</f>
        <v>100</v>
      </c>
      <c r="L4517">
        <v>0</v>
      </c>
      <c r="M4517">
        <f>IF((DST_123_ÜRETİM_İHTİYAÇ_RAPORU_BURAK_YENI1309[[#This Row],[SATINALMA]]*DST_123_ÜRETİM_İHTİYAÇ_RAPORU_BURAK_YENI1309[[#This Row],[BIRIM_FIYATLAR]])&lt;1,VALUE("0"),DST_123_ÜRETİM_İHTİYAÇ_RAPORU_BURAK_YENI1309[[#This Row],[SATINALMA]]*DST_123_ÜRETİM_İHTİYAÇ_RAPORU_BURAK_YENI1309[[#This Row],[BIRIM_FIYATLAR]])</f>
        <v>109467</v>
      </c>
      <c r="N4517">
        <v>1094.67</v>
      </c>
      <c r="O4517" t="s">
        <v>648</v>
      </c>
      <c r="P4517">
        <v>19704.060000000001</v>
      </c>
      <c r="Q4517" t="s">
        <v>183</v>
      </c>
    </row>
    <row r="4518" spans="1:17" x14ac:dyDescent="0.25">
      <c r="A4518" t="s">
        <v>1196</v>
      </c>
      <c r="B4518" t="s">
        <v>1197</v>
      </c>
      <c r="C4518" t="s">
        <v>175</v>
      </c>
      <c r="D4518" t="s">
        <v>611</v>
      </c>
      <c r="E4518" t="s">
        <v>612</v>
      </c>
      <c r="F4518">
        <v>45</v>
      </c>
      <c r="G4518" t="s">
        <v>182</v>
      </c>
      <c r="H4518">
        <v>0</v>
      </c>
      <c r="I4518">
        <v>0</v>
      </c>
      <c r="J4518" s="10">
        <v>252.50000000000003</v>
      </c>
      <c r="K4518" s="10">
        <f>SUMIFS(F:F,D:D,DST_123_ÜRETİM_İHTİYAÇ_RAPORU_BURAK_YENI1309[[#This Row],[ALT_KOD]])-(SUMIFS(H:H,D:D,DST_123_ÜRETİM_İHTİYAÇ_RAPORU_BURAK_YENI1309[[#This Row],[ALT_KOD]])+AVERAGEIFS(I:I,D:D,DST_123_ÜRETİM_İHTİYAÇ_RAPORU_BURAK_YENI1309[[#This Row],[ALT_KOD]])+AVERAGEIFS(L:L,D:D,DST_123_ÜRETİM_İHTİYAÇ_RAPORU_BURAK_YENI1309[[#This Row],[ALT_KOD]]))</f>
        <v>402.5</v>
      </c>
      <c r="L4518">
        <v>19.5</v>
      </c>
      <c r="M4518">
        <f>IF((DST_123_ÜRETİM_İHTİYAÇ_RAPORU_BURAK_YENI1309[[#This Row],[SATINALMA]]*DST_123_ÜRETİM_İHTİYAÇ_RAPORU_BURAK_YENI1309[[#This Row],[BIRIM_FIYATLAR]])&lt;1,VALUE("0"),DST_123_ÜRETİM_İHTİYAÇ_RAPORU_BURAK_YENI1309[[#This Row],[SATINALMA]]*DST_123_ÜRETİM_İHTİYAÇ_RAPORU_BURAK_YENI1309[[#This Row],[BIRIM_FIYATLAR]])</f>
        <v>81928.875</v>
      </c>
      <c r="N4518">
        <v>203.55</v>
      </c>
      <c r="O4518" t="s">
        <v>223</v>
      </c>
      <c r="P4518">
        <v>9159.75</v>
      </c>
      <c r="Q4518" t="s">
        <v>181</v>
      </c>
    </row>
    <row r="4519" spans="1:17" x14ac:dyDescent="0.25">
      <c r="A4519" t="s">
        <v>1099</v>
      </c>
      <c r="B4519" t="s">
        <v>1055</v>
      </c>
      <c r="C4519" t="s">
        <v>175</v>
      </c>
      <c r="D4519" t="s">
        <v>611</v>
      </c>
      <c r="E4519" t="s">
        <v>612</v>
      </c>
      <c r="F4519">
        <v>50</v>
      </c>
      <c r="G4519" t="s">
        <v>182</v>
      </c>
      <c r="H4519">
        <v>0</v>
      </c>
      <c r="I4519">
        <v>0</v>
      </c>
      <c r="J4519" s="10">
        <v>252.50000000000003</v>
      </c>
      <c r="K4519" s="10">
        <f>SUMIFS(F:F,D:D,DST_123_ÜRETİM_İHTİYAÇ_RAPORU_BURAK_YENI1309[[#This Row],[ALT_KOD]])-(SUMIFS(H:H,D:D,DST_123_ÜRETİM_İHTİYAÇ_RAPORU_BURAK_YENI1309[[#This Row],[ALT_KOD]])+AVERAGEIFS(I:I,D:D,DST_123_ÜRETİM_İHTİYAÇ_RAPORU_BURAK_YENI1309[[#This Row],[ALT_KOD]])+AVERAGEIFS(L:L,D:D,DST_123_ÜRETİM_İHTİYAÇ_RAPORU_BURAK_YENI1309[[#This Row],[ALT_KOD]]))</f>
        <v>402.5</v>
      </c>
      <c r="L4519">
        <v>19.5</v>
      </c>
      <c r="M4519">
        <f>IF((DST_123_ÜRETİM_İHTİYAÇ_RAPORU_BURAK_YENI1309[[#This Row],[SATINALMA]]*DST_123_ÜRETİM_İHTİYAÇ_RAPORU_BURAK_YENI1309[[#This Row],[BIRIM_FIYATLAR]])&lt;1,VALUE("0"),DST_123_ÜRETİM_İHTİYAÇ_RAPORU_BURAK_YENI1309[[#This Row],[SATINALMA]]*DST_123_ÜRETİM_İHTİYAÇ_RAPORU_BURAK_YENI1309[[#This Row],[BIRIM_FIYATLAR]])</f>
        <v>81928.875</v>
      </c>
      <c r="N4519">
        <v>203.55</v>
      </c>
      <c r="O4519" t="s">
        <v>223</v>
      </c>
      <c r="P4519">
        <v>10177.5</v>
      </c>
      <c r="Q4519" t="s">
        <v>181</v>
      </c>
    </row>
    <row r="4520" spans="1:17" x14ac:dyDescent="0.25">
      <c r="A4520" t="s">
        <v>1101</v>
      </c>
      <c r="B4520" t="s">
        <v>1102</v>
      </c>
      <c r="C4520" t="s">
        <v>175</v>
      </c>
      <c r="D4520" t="s">
        <v>611</v>
      </c>
      <c r="E4520" t="s">
        <v>612</v>
      </c>
      <c r="F4520">
        <v>55</v>
      </c>
      <c r="G4520" t="s">
        <v>182</v>
      </c>
      <c r="H4520">
        <v>0</v>
      </c>
      <c r="I4520">
        <v>0</v>
      </c>
      <c r="J4520" s="10">
        <v>252.50000000000003</v>
      </c>
      <c r="K4520" s="10">
        <f>SUMIFS(F:F,D:D,DST_123_ÜRETİM_İHTİYAÇ_RAPORU_BURAK_YENI1309[[#This Row],[ALT_KOD]])-(SUMIFS(H:H,D:D,DST_123_ÜRETİM_İHTİYAÇ_RAPORU_BURAK_YENI1309[[#This Row],[ALT_KOD]])+AVERAGEIFS(I:I,D:D,DST_123_ÜRETİM_İHTİYAÇ_RAPORU_BURAK_YENI1309[[#This Row],[ALT_KOD]])+AVERAGEIFS(L:L,D:D,DST_123_ÜRETİM_İHTİYAÇ_RAPORU_BURAK_YENI1309[[#This Row],[ALT_KOD]]))</f>
        <v>402.5</v>
      </c>
      <c r="L4520">
        <v>19.5</v>
      </c>
      <c r="M4520">
        <f>IF((DST_123_ÜRETİM_İHTİYAÇ_RAPORU_BURAK_YENI1309[[#This Row],[SATINALMA]]*DST_123_ÜRETİM_İHTİYAÇ_RAPORU_BURAK_YENI1309[[#This Row],[BIRIM_FIYATLAR]])&lt;1,VALUE("0"),DST_123_ÜRETİM_İHTİYAÇ_RAPORU_BURAK_YENI1309[[#This Row],[SATINALMA]]*DST_123_ÜRETİM_İHTİYAÇ_RAPORU_BURAK_YENI1309[[#This Row],[BIRIM_FIYATLAR]])</f>
        <v>81928.875</v>
      </c>
      <c r="N4520">
        <v>203.55</v>
      </c>
      <c r="O4520" t="s">
        <v>223</v>
      </c>
      <c r="P4520">
        <v>11195.25</v>
      </c>
      <c r="Q4520" t="s">
        <v>181</v>
      </c>
    </row>
    <row r="4521" spans="1:17" x14ac:dyDescent="0.25">
      <c r="A4521" t="s">
        <v>1144</v>
      </c>
      <c r="B4521" t="s">
        <v>1145</v>
      </c>
      <c r="C4521" t="s">
        <v>175</v>
      </c>
      <c r="D4521" t="s">
        <v>626</v>
      </c>
      <c r="E4521" t="s">
        <v>627</v>
      </c>
      <c r="F4521">
        <v>2</v>
      </c>
      <c r="G4521" t="s">
        <v>176</v>
      </c>
      <c r="H4521">
        <v>0</v>
      </c>
      <c r="I4521">
        <v>5</v>
      </c>
      <c r="J4521" s="10">
        <v>24</v>
      </c>
      <c r="K4521" s="10">
        <f>SUMIFS(F:F,D:D,DST_123_ÜRETİM_İHTİYAÇ_RAPORU_BURAK_YENI1309[[#This Row],[ALT_KOD]])-(SUMIFS(H:H,D:D,DST_123_ÜRETİM_İHTİYAÇ_RAPORU_BURAK_YENI1309[[#This Row],[ALT_KOD]])+AVERAGEIFS(I:I,D:D,DST_123_ÜRETİM_İHTİYAÇ_RAPORU_BURAK_YENI1309[[#This Row],[ALT_KOD]])+AVERAGEIFS(L:L,D:D,DST_123_ÜRETİM_İHTİYAÇ_RAPORU_BURAK_YENI1309[[#This Row],[ALT_KOD]]))</f>
        <v>11</v>
      </c>
      <c r="L4521">
        <v>0</v>
      </c>
      <c r="M4521">
        <f>IF((DST_123_ÜRETİM_İHTİYAÇ_RAPORU_BURAK_YENI1309[[#This Row],[SATINALMA]]*DST_123_ÜRETİM_İHTİYAÇ_RAPORU_BURAK_YENI1309[[#This Row],[BIRIM_FIYATLAR]])&lt;1,VALUE("0"),DST_123_ÜRETİM_İHTİYAÇ_RAPORU_BURAK_YENI1309[[#This Row],[SATINALMA]]*DST_123_ÜRETİM_İHTİYAÇ_RAPORU_BURAK_YENI1309[[#This Row],[BIRIM_FIYATLAR]])</f>
        <v>164408.75</v>
      </c>
      <c r="N4521">
        <v>14946.25</v>
      </c>
      <c r="O4521" t="s">
        <v>625</v>
      </c>
      <c r="P4521">
        <v>29892.5</v>
      </c>
      <c r="Q4521" t="s">
        <v>178</v>
      </c>
    </row>
    <row r="4522" spans="1:17" x14ac:dyDescent="0.25">
      <c r="A4522" t="s">
        <v>1147</v>
      </c>
      <c r="B4522" t="s">
        <v>1145</v>
      </c>
      <c r="C4522" t="s">
        <v>175</v>
      </c>
      <c r="D4522" t="s">
        <v>593</v>
      </c>
      <c r="E4522" t="s">
        <v>594</v>
      </c>
      <c r="F4522">
        <v>4</v>
      </c>
      <c r="G4522" t="s">
        <v>176</v>
      </c>
      <c r="H4522">
        <v>0</v>
      </c>
      <c r="I4522">
        <v>46</v>
      </c>
      <c r="J4522" s="10">
        <v>12</v>
      </c>
      <c r="K4522" s="10">
        <f>SUMIFS(F:F,D:D,DST_123_ÜRETİM_İHTİYAÇ_RAPORU_BURAK_YENI1309[[#This Row],[ALT_KOD]])-(SUMIFS(H:H,D:D,DST_123_ÜRETİM_İHTİYAÇ_RAPORU_BURAK_YENI1309[[#This Row],[ALT_KOD]])+AVERAGEIFS(I:I,D:D,DST_123_ÜRETİM_İHTİYAÇ_RAPORU_BURAK_YENI1309[[#This Row],[ALT_KOD]])+AVERAGEIFS(L:L,D:D,DST_123_ÜRETİM_İHTİYAÇ_RAPORU_BURAK_YENI1309[[#This Row],[ALT_KOD]]))</f>
        <v>-14</v>
      </c>
      <c r="L4522">
        <v>0</v>
      </c>
      <c r="M4522">
        <f>IF((DST_123_ÜRETİM_İHTİYAÇ_RAPORU_BURAK_YENI1309[[#This Row],[SATINALMA]]*DST_123_ÜRETİM_İHTİYAÇ_RAPORU_BURAK_YENI1309[[#This Row],[BIRIM_FIYATLAR]])&lt;1,VALUE("0"),DST_123_ÜRETİM_İHTİYAÇ_RAPORU_BURAK_YENI1309[[#This Row],[SATINALMA]]*DST_123_ÜRETİM_İHTİYAÇ_RAPORU_BURAK_YENI1309[[#This Row],[BIRIM_FIYATLAR]])</f>
        <v>0</v>
      </c>
      <c r="N4522">
        <v>100</v>
      </c>
      <c r="O4522" t="s">
        <v>1034</v>
      </c>
      <c r="P4522">
        <v>400</v>
      </c>
      <c r="Q4522" t="s">
        <v>177</v>
      </c>
    </row>
    <row r="4523" spans="1:17" x14ac:dyDescent="0.25">
      <c r="A4523" t="s">
        <v>1147</v>
      </c>
      <c r="B4523" t="s">
        <v>1145</v>
      </c>
      <c r="C4523" t="s">
        <v>175</v>
      </c>
      <c r="D4523" t="s">
        <v>703</v>
      </c>
      <c r="E4523" t="s">
        <v>704</v>
      </c>
      <c r="F4523">
        <v>4</v>
      </c>
      <c r="G4523" t="s">
        <v>176</v>
      </c>
      <c r="H4523">
        <v>0</v>
      </c>
      <c r="I4523">
        <v>250</v>
      </c>
      <c r="J4523" s="10">
        <v>302</v>
      </c>
      <c r="K4523" s="10">
        <f>SUMIFS(F:F,D:D,DST_123_ÜRETİM_İHTİYAÇ_RAPORU_BURAK_YENI1309[[#This Row],[ALT_KOD]])-(SUMIFS(H:H,D:D,DST_123_ÜRETİM_İHTİYAÇ_RAPORU_BURAK_YENI1309[[#This Row],[ALT_KOD]])+AVERAGEIFS(I:I,D:D,DST_123_ÜRETİM_İHTİYAÇ_RAPORU_BURAK_YENI1309[[#This Row],[ALT_KOD]])+AVERAGEIFS(L:L,D:D,DST_123_ÜRETİM_İHTİYAÇ_RAPORU_BURAK_YENI1309[[#This Row],[ALT_KOD]]))</f>
        <v>-202</v>
      </c>
      <c r="L4523">
        <v>0</v>
      </c>
      <c r="M4523">
        <f>IF((DST_123_ÜRETİM_İHTİYAÇ_RAPORU_BURAK_YENI1309[[#This Row],[SATINALMA]]*DST_123_ÜRETİM_İHTİYAÇ_RAPORU_BURAK_YENI1309[[#This Row],[BIRIM_FIYATLAR]])&lt;1,VALUE("0"),DST_123_ÜRETİM_İHTİYAÇ_RAPORU_BURAK_YENI1309[[#This Row],[SATINALMA]]*DST_123_ÜRETİM_İHTİYAÇ_RAPORU_BURAK_YENI1309[[#This Row],[BIRIM_FIYATLAR]])</f>
        <v>0</v>
      </c>
      <c r="N4523">
        <v>0.9</v>
      </c>
      <c r="O4523" t="s">
        <v>826</v>
      </c>
      <c r="P4523">
        <v>3.6</v>
      </c>
      <c r="Q4523" t="s">
        <v>221</v>
      </c>
    </row>
    <row r="4524" spans="1:17" x14ac:dyDescent="0.25">
      <c r="A4524" t="s">
        <v>1060</v>
      </c>
      <c r="B4524" t="s">
        <v>1061</v>
      </c>
      <c r="C4524" t="s">
        <v>175</v>
      </c>
      <c r="D4524" t="s">
        <v>605</v>
      </c>
      <c r="E4524" t="s">
        <v>606</v>
      </c>
      <c r="F4524">
        <v>4</v>
      </c>
      <c r="G4524" t="s">
        <v>176</v>
      </c>
      <c r="H4524">
        <v>0</v>
      </c>
      <c r="I4524">
        <v>25</v>
      </c>
      <c r="J4524" s="10">
        <v>14</v>
      </c>
      <c r="K4524" s="10">
        <f>SUMIFS(F:F,D:D,DST_123_ÜRETİM_İHTİYAÇ_RAPORU_BURAK_YENI1309[[#This Row],[ALT_KOD]])-(SUMIFS(H:H,D:D,DST_123_ÜRETİM_İHTİYAÇ_RAPORU_BURAK_YENI1309[[#This Row],[ALT_KOD]])+AVERAGEIFS(I:I,D:D,DST_123_ÜRETİM_İHTİYAÇ_RAPORU_BURAK_YENI1309[[#This Row],[ALT_KOD]])+AVERAGEIFS(L:L,D:D,DST_123_ÜRETİM_İHTİYAÇ_RAPORU_BURAK_YENI1309[[#This Row],[ALT_KOD]]))</f>
        <v>7</v>
      </c>
      <c r="L4524">
        <v>0</v>
      </c>
      <c r="M4524">
        <f>IF((DST_123_ÜRETİM_İHTİYAÇ_RAPORU_BURAK_YENI1309[[#This Row],[SATINALMA]]*DST_123_ÜRETİM_İHTİYAÇ_RAPORU_BURAK_YENI1309[[#This Row],[BIRIM_FIYATLAR]])&lt;1,VALUE("0"),DST_123_ÜRETİM_İHTİYAÇ_RAPORU_BURAK_YENI1309[[#This Row],[SATINALMA]]*DST_123_ÜRETİM_İHTİYAÇ_RAPORU_BURAK_YENI1309[[#This Row],[BIRIM_FIYATLAR]])</f>
        <v>1206.6599999999999</v>
      </c>
      <c r="N4524">
        <v>172.38</v>
      </c>
      <c r="O4524" t="s">
        <v>636</v>
      </c>
      <c r="P4524">
        <v>689.52</v>
      </c>
      <c r="Q4524" t="s">
        <v>177</v>
      </c>
    </row>
    <row r="4525" spans="1:17" x14ac:dyDescent="0.25">
      <c r="A4525" t="s">
        <v>1147</v>
      </c>
      <c r="B4525" t="s">
        <v>1145</v>
      </c>
      <c r="C4525" t="s">
        <v>175</v>
      </c>
      <c r="D4525" t="s">
        <v>605</v>
      </c>
      <c r="E4525" t="s">
        <v>606</v>
      </c>
      <c r="F4525">
        <v>4</v>
      </c>
      <c r="G4525" t="s">
        <v>176</v>
      </c>
      <c r="H4525">
        <v>0</v>
      </c>
      <c r="I4525">
        <v>25</v>
      </c>
      <c r="J4525" s="10">
        <v>14</v>
      </c>
      <c r="K4525" s="10">
        <f>SUMIFS(F:F,D:D,DST_123_ÜRETİM_İHTİYAÇ_RAPORU_BURAK_YENI1309[[#This Row],[ALT_KOD]])-(SUMIFS(H:H,D:D,DST_123_ÜRETİM_İHTİYAÇ_RAPORU_BURAK_YENI1309[[#This Row],[ALT_KOD]])+AVERAGEIFS(I:I,D:D,DST_123_ÜRETİM_İHTİYAÇ_RAPORU_BURAK_YENI1309[[#This Row],[ALT_KOD]])+AVERAGEIFS(L:L,D:D,DST_123_ÜRETİM_İHTİYAÇ_RAPORU_BURAK_YENI1309[[#This Row],[ALT_KOD]]))</f>
        <v>7</v>
      </c>
      <c r="L4525">
        <v>0</v>
      </c>
      <c r="M4525">
        <f>IF((DST_123_ÜRETİM_İHTİYAÇ_RAPORU_BURAK_YENI1309[[#This Row],[SATINALMA]]*DST_123_ÜRETİM_İHTİYAÇ_RAPORU_BURAK_YENI1309[[#This Row],[BIRIM_FIYATLAR]])&lt;1,VALUE("0"),DST_123_ÜRETİM_İHTİYAÇ_RAPORU_BURAK_YENI1309[[#This Row],[SATINALMA]]*DST_123_ÜRETİM_İHTİYAÇ_RAPORU_BURAK_YENI1309[[#This Row],[BIRIM_FIYATLAR]])</f>
        <v>1206.6599999999999</v>
      </c>
      <c r="N4525">
        <v>172.38</v>
      </c>
      <c r="O4525" t="s">
        <v>636</v>
      </c>
      <c r="P4525">
        <v>689.52</v>
      </c>
      <c r="Q4525" t="s">
        <v>177</v>
      </c>
    </row>
    <row r="4526" spans="1:17" x14ac:dyDescent="0.25">
      <c r="A4526" t="s">
        <v>1148</v>
      </c>
      <c r="B4526" t="s">
        <v>1056</v>
      </c>
      <c r="C4526" t="s">
        <v>175</v>
      </c>
      <c r="D4526" t="s">
        <v>783</v>
      </c>
      <c r="E4526" t="s">
        <v>784</v>
      </c>
      <c r="F4526">
        <v>1</v>
      </c>
      <c r="G4526" t="s">
        <v>176</v>
      </c>
      <c r="H4526">
        <v>0</v>
      </c>
      <c r="I4526">
        <v>15</v>
      </c>
      <c r="J4526" s="10">
        <v>11</v>
      </c>
      <c r="K4526" s="10">
        <f>SUMIFS(F:F,D:D,DST_123_ÜRETİM_İHTİYAÇ_RAPORU_BURAK_YENI1309[[#This Row],[ALT_KOD]])-(SUMIFS(H:H,D:D,DST_123_ÜRETİM_İHTİYAÇ_RAPORU_BURAK_YENI1309[[#This Row],[ALT_KOD]])+AVERAGEIFS(I:I,D:D,DST_123_ÜRETİM_İHTİYAÇ_RAPORU_BURAK_YENI1309[[#This Row],[ALT_KOD]])+AVERAGEIFS(L:L,D:D,DST_123_ÜRETİM_İHTİYAÇ_RAPORU_BURAK_YENI1309[[#This Row],[ALT_KOD]]))</f>
        <v>-4</v>
      </c>
      <c r="L4526">
        <v>0</v>
      </c>
      <c r="M4526">
        <f>IF((DST_123_ÜRETİM_İHTİYAÇ_RAPORU_BURAK_YENI1309[[#This Row],[SATINALMA]]*DST_123_ÜRETİM_İHTİYAÇ_RAPORU_BURAK_YENI1309[[#This Row],[BIRIM_FIYATLAR]])&lt;1,VALUE("0"),DST_123_ÜRETİM_İHTİYAÇ_RAPORU_BURAK_YENI1309[[#This Row],[SATINALMA]]*DST_123_ÜRETİM_İHTİYAÇ_RAPORU_BURAK_YENI1309[[#This Row],[BIRIM_FIYATLAR]])</f>
        <v>0</v>
      </c>
      <c r="N4526">
        <v>510</v>
      </c>
      <c r="O4526" t="s">
        <v>289</v>
      </c>
      <c r="P4526">
        <v>510</v>
      </c>
      <c r="Q4526" t="s">
        <v>178</v>
      </c>
    </row>
    <row r="4527" spans="1:17" x14ac:dyDescent="0.25">
      <c r="A4527" t="s">
        <v>1196</v>
      </c>
      <c r="B4527" t="s">
        <v>1197</v>
      </c>
      <c r="C4527" t="s">
        <v>175</v>
      </c>
      <c r="D4527" t="s">
        <v>593</v>
      </c>
      <c r="E4527" t="s">
        <v>594</v>
      </c>
      <c r="F4527">
        <v>4</v>
      </c>
      <c r="G4527" t="s">
        <v>176</v>
      </c>
      <c r="H4527">
        <v>0</v>
      </c>
      <c r="I4527">
        <v>46</v>
      </c>
      <c r="J4527" s="10">
        <v>12</v>
      </c>
      <c r="K4527" s="10">
        <f>SUMIFS(F:F,D:D,DST_123_ÜRETİM_İHTİYAÇ_RAPORU_BURAK_YENI1309[[#This Row],[ALT_KOD]])-(SUMIFS(H:H,D:D,DST_123_ÜRETİM_İHTİYAÇ_RAPORU_BURAK_YENI1309[[#This Row],[ALT_KOD]])+AVERAGEIFS(I:I,D:D,DST_123_ÜRETİM_İHTİYAÇ_RAPORU_BURAK_YENI1309[[#This Row],[ALT_KOD]])+AVERAGEIFS(L:L,D:D,DST_123_ÜRETİM_İHTİYAÇ_RAPORU_BURAK_YENI1309[[#This Row],[ALT_KOD]]))</f>
        <v>-14</v>
      </c>
      <c r="L4527">
        <v>0</v>
      </c>
      <c r="M4527">
        <f>IF((DST_123_ÜRETİM_İHTİYAÇ_RAPORU_BURAK_YENI1309[[#This Row],[SATINALMA]]*DST_123_ÜRETİM_İHTİYAÇ_RAPORU_BURAK_YENI1309[[#This Row],[BIRIM_FIYATLAR]])&lt;1,VALUE("0"),DST_123_ÜRETİM_İHTİYAÇ_RAPORU_BURAK_YENI1309[[#This Row],[SATINALMA]]*DST_123_ÜRETİM_İHTİYAÇ_RAPORU_BURAK_YENI1309[[#This Row],[BIRIM_FIYATLAR]])</f>
        <v>0</v>
      </c>
      <c r="N4527">
        <v>100</v>
      </c>
      <c r="O4527" t="s">
        <v>1034</v>
      </c>
      <c r="P4527">
        <v>400</v>
      </c>
      <c r="Q4527" t="s">
        <v>177</v>
      </c>
    </row>
    <row r="4528" spans="1:17" x14ac:dyDescent="0.25">
      <c r="A4528" t="s">
        <v>1196</v>
      </c>
      <c r="B4528" t="s">
        <v>1197</v>
      </c>
      <c r="C4528" t="s">
        <v>175</v>
      </c>
      <c r="D4528" t="s">
        <v>703</v>
      </c>
      <c r="E4528" t="s">
        <v>704</v>
      </c>
      <c r="F4528">
        <v>2</v>
      </c>
      <c r="G4528" t="s">
        <v>176</v>
      </c>
      <c r="H4528">
        <v>0</v>
      </c>
      <c r="I4528">
        <v>250</v>
      </c>
      <c r="J4528" s="10">
        <v>302</v>
      </c>
      <c r="K4528" s="10">
        <f>SUMIFS(F:F,D:D,DST_123_ÜRETİM_İHTİYAÇ_RAPORU_BURAK_YENI1309[[#This Row],[ALT_KOD]])-(SUMIFS(H:H,D:D,DST_123_ÜRETİM_İHTİYAÇ_RAPORU_BURAK_YENI1309[[#This Row],[ALT_KOD]])+AVERAGEIFS(I:I,D:D,DST_123_ÜRETİM_İHTİYAÇ_RAPORU_BURAK_YENI1309[[#This Row],[ALT_KOD]])+AVERAGEIFS(L:L,D:D,DST_123_ÜRETİM_İHTİYAÇ_RAPORU_BURAK_YENI1309[[#This Row],[ALT_KOD]]))</f>
        <v>-202</v>
      </c>
      <c r="L4528">
        <v>0</v>
      </c>
      <c r="M4528">
        <f>IF((DST_123_ÜRETİM_İHTİYAÇ_RAPORU_BURAK_YENI1309[[#This Row],[SATINALMA]]*DST_123_ÜRETİM_İHTİYAÇ_RAPORU_BURAK_YENI1309[[#This Row],[BIRIM_FIYATLAR]])&lt;1,VALUE("0"),DST_123_ÜRETİM_İHTİYAÇ_RAPORU_BURAK_YENI1309[[#This Row],[SATINALMA]]*DST_123_ÜRETİM_İHTİYAÇ_RAPORU_BURAK_YENI1309[[#This Row],[BIRIM_FIYATLAR]])</f>
        <v>0</v>
      </c>
      <c r="N4528">
        <v>0.9</v>
      </c>
      <c r="O4528" t="s">
        <v>826</v>
      </c>
      <c r="P4528">
        <v>1.8</v>
      </c>
      <c r="Q4528" t="s">
        <v>221</v>
      </c>
    </row>
    <row r="4529" spans="1:17" x14ac:dyDescent="0.25">
      <c r="A4529" t="s">
        <v>1149</v>
      </c>
      <c r="B4529" t="s">
        <v>1145</v>
      </c>
      <c r="C4529" t="s">
        <v>175</v>
      </c>
      <c r="D4529" t="s">
        <v>783</v>
      </c>
      <c r="E4529" t="s">
        <v>784</v>
      </c>
      <c r="F4529">
        <v>1</v>
      </c>
      <c r="G4529" t="s">
        <v>176</v>
      </c>
      <c r="H4529">
        <v>0</v>
      </c>
      <c r="I4529">
        <v>15</v>
      </c>
      <c r="J4529" s="10">
        <v>11</v>
      </c>
      <c r="K4529" s="10">
        <f>SUMIFS(F:F,D:D,DST_123_ÜRETİM_İHTİYAÇ_RAPORU_BURAK_YENI1309[[#This Row],[ALT_KOD]])-(SUMIFS(H:H,D:D,DST_123_ÜRETİM_İHTİYAÇ_RAPORU_BURAK_YENI1309[[#This Row],[ALT_KOD]])+AVERAGEIFS(I:I,D:D,DST_123_ÜRETİM_İHTİYAÇ_RAPORU_BURAK_YENI1309[[#This Row],[ALT_KOD]])+AVERAGEIFS(L:L,D:D,DST_123_ÜRETİM_İHTİYAÇ_RAPORU_BURAK_YENI1309[[#This Row],[ALT_KOD]]))</f>
        <v>-4</v>
      </c>
      <c r="L4529">
        <v>0</v>
      </c>
      <c r="M4529">
        <f>IF((DST_123_ÜRETİM_İHTİYAÇ_RAPORU_BURAK_YENI1309[[#This Row],[SATINALMA]]*DST_123_ÜRETİM_İHTİYAÇ_RAPORU_BURAK_YENI1309[[#This Row],[BIRIM_FIYATLAR]])&lt;1,VALUE("0"),DST_123_ÜRETİM_İHTİYAÇ_RAPORU_BURAK_YENI1309[[#This Row],[SATINALMA]]*DST_123_ÜRETİM_İHTİYAÇ_RAPORU_BURAK_YENI1309[[#This Row],[BIRIM_FIYATLAR]])</f>
        <v>0</v>
      </c>
      <c r="N4529">
        <v>510</v>
      </c>
      <c r="O4529" t="s">
        <v>289</v>
      </c>
      <c r="P4529">
        <v>510</v>
      </c>
      <c r="Q4529" t="s">
        <v>178</v>
      </c>
    </row>
    <row r="4530" spans="1:17" x14ac:dyDescent="0.25">
      <c r="A4530" t="s">
        <v>1148</v>
      </c>
      <c r="B4530" t="s">
        <v>1056</v>
      </c>
      <c r="C4530" t="s">
        <v>175</v>
      </c>
      <c r="D4530" t="s">
        <v>161</v>
      </c>
      <c r="E4530" t="s">
        <v>162</v>
      </c>
      <c r="F4530">
        <v>1</v>
      </c>
      <c r="G4530" t="s">
        <v>176</v>
      </c>
      <c r="H4530">
        <v>0</v>
      </c>
      <c r="I4530">
        <v>5</v>
      </c>
      <c r="J4530" s="10">
        <v>8</v>
      </c>
      <c r="K4530" s="10">
        <f>SUMIFS(F:F,D:D,DST_123_ÜRETİM_İHTİYAÇ_RAPORU_BURAK_YENI1309[[#This Row],[ALT_KOD]])-(SUMIFS(H:H,D:D,DST_123_ÜRETİM_İHTİYAÇ_RAPORU_BURAK_YENI1309[[#This Row],[ALT_KOD]])+AVERAGEIFS(I:I,D:D,DST_123_ÜRETİM_İHTİYAÇ_RAPORU_BURAK_YENI1309[[#This Row],[ALT_KOD]])+AVERAGEIFS(L:L,D:D,DST_123_ÜRETİM_İHTİYAÇ_RAPORU_BURAK_YENI1309[[#This Row],[ALT_KOD]]))</f>
        <v>5</v>
      </c>
      <c r="L4530">
        <v>0</v>
      </c>
      <c r="M4530">
        <f>IF((DST_123_ÜRETİM_İHTİYAÇ_RAPORU_BURAK_YENI1309[[#This Row],[SATINALMA]]*DST_123_ÜRETİM_İHTİYAÇ_RAPORU_BURAK_YENI1309[[#This Row],[BIRIM_FIYATLAR]])&lt;1,VALUE("0"),DST_123_ÜRETİM_İHTİYAÇ_RAPORU_BURAK_YENI1309[[#This Row],[SATINALMA]]*DST_123_ÜRETİM_İHTİYAÇ_RAPORU_BURAK_YENI1309[[#This Row],[BIRIM_FIYATLAR]])</f>
        <v>30523.449999999997</v>
      </c>
      <c r="N4530">
        <v>6104.69</v>
      </c>
      <c r="O4530" t="s">
        <v>227</v>
      </c>
      <c r="P4530">
        <v>6104.69</v>
      </c>
      <c r="Q4530" t="s">
        <v>221</v>
      </c>
    </row>
    <row r="4531" spans="1:17" x14ac:dyDescent="0.25">
      <c r="A4531" t="s">
        <v>1057</v>
      </c>
      <c r="B4531" t="s">
        <v>1058</v>
      </c>
      <c r="C4531" t="s">
        <v>175</v>
      </c>
      <c r="D4531" t="s">
        <v>593</v>
      </c>
      <c r="E4531" t="s">
        <v>594</v>
      </c>
      <c r="F4531">
        <v>4</v>
      </c>
      <c r="G4531" t="s">
        <v>176</v>
      </c>
      <c r="H4531">
        <v>0</v>
      </c>
      <c r="I4531">
        <v>46</v>
      </c>
      <c r="J4531" s="10">
        <v>12</v>
      </c>
      <c r="K4531" s="10">
        <f>SUMIFS(F:F,D:D,DST_123_ÜRETİM_İHTİYAÇ_RAPORU_BURAK_YENI1309[[#This Row],[ALT_KOD]])-(SUMIFS(H:H,D:D,DST_123_ÜRETİM_İHTİYAÇ_RAPORU_BURAK_YENI1309[[#This Row],[ALT_KOD]])+AVERAGEIFS(I:I,D:D,DST_123_ÜRETİM_İHTİYAÇ_RAPORU_BURAK_YENI1309[[#This Row],[ALT_KOD]])+AVERAGEIFS(L:L,D:D,DST_123_ÜRETİM_İHTİYAÇ_RAPORU_BURAK_YENI1309[[#This Row],[ALT_KOD]]))</f>
        <v>-14</v>
      </c>
      <c r="L4531">
        <v>0</v>
      </c>
      <c r="M4531">
        <f>IF((DST_123_ÜRETİM_İHTİYAÇ_RAPORU_BURAK_YENI1309[[#This Row],[SATINALMA]]*DST_123_ÜRETİM_İHTİYAÇ_RAPORU_BURAK_YENI1309[[#This Row],[BIRIM_FIYATLAR]])&lt;1,VALUE("0"),DST_123_ÜRETİM_İHTİYAÇ_RAPORU_BURAK_YENI1309[[#This Row],[SATINALMA]]*DST_123_ÜRETİM_İHTİYAÇ_RAPORU_BURAK_YENI1309[[#This Row],[BIRIM_FIYATLAR]])</f>
        <v>0</v>
      </c>
      <c r="N4531">
        <v>100</v>
      </c>
      <c r="O4531" t="s">
        <v>1034</v>
      </c>
      <c r="P4531">
        <v>400</v>
      </c>
      <c r="Q4531" t="s">
        <v>177</v>
      </c>
    </row>
    <row r="4532" spans="1:17" x14ac:dyDescent="0.25">
      <c r="A4532" t="s">
        <v>1100</v>
      </c>
      <c r="B4532" t="s">
        <v>1058</v>
      </c>
      <c r="C4532" t="s">
        <v>175</v>
      </c>
      <c r="D4532" t="s">
        <v>593</v>
      </c>
      <c r="E4532" t="s">
        <v>594</v>
      </c>
      <c r="F4532">
        <v>4</v>
      </c>
      <c r="G4532" t="s">
        <v>176</v>
      </c>
      <c r="H4532">
        <v>4</v>
      </c>
      <c r="I4532">
        <v>46</v>
      </c>
      <c r="J4532" s="10">
        <v>12</v>
      </c>
      <c r="K4532" s="10">
        <f>SUMIFS(F:F,D:D,DST_123_ÜRETİM_İHTİYAÇ_RAPORU_BURAK_YENI1309[[#This Row],[ALT_KOD]])-(SUMIFS(H:H,D:D,DST_123_ÜRETİM_İHTİYAÇ_RAPORU_BURAK_YENI1309[[#This Row],[ALT_KOD]])+AVERAGEIFS(I:I,D:D,DST_123_ÜRETİM_İHTİYAÇ_RAPORU_BURAK_YENI1309[[#This Row],[ALT_KOD]])+AVERAGEIFS(L:L,D:D,DST_123_ÜRETİM_İHTİYAÇ_RAPORU_BURAK_YENI1309[[#This Row],[ALT_KOD]]))</f>
        <v>-14</v>
      </c>
      <c r="L4532">
        <v>0</v>
      </c>
      <c r="M4532">
        <f>IF((DST_123_ÜRETİM_İHTİYAÇ_RAPORU_BURAK_YENI1309[[#This Row],[SATINALMA]]*DST_123_ÜRETİM_İHTİYAÇ_RAPORU_BURAK_YENI1309[[#This Row],[BIRIM_FIYATLAR]])&lt;1,VALUE("0"),DST_123_ÜRETİM_İHTİYAÇ_RAPORU_BURAK_YENI1309[[#This Row],[SATINALMA]]*DST_123_ÜRETİM_İHTİYAÇ_RAPORU_BURAK_YENI1309[[#This Row],[BIRIM_FIYATLAR]])</f>
        <v>0</v>
      </c>
      <c r="N4532">
        <v>100</v>
      </c>
      <c r="O4532" t="s">
        <v>1034</v>
      </c>
      <c r="P4532">
        <v>400</v>
      </c>
      <c r="Q4532" t="s">
        <v>177</v>
      </c>
    </row>
    <row r="4533" spans="1:17" x14ac:dyDescent="0.25">
      <c r="A4533" t="s">
        <v>1057</v>
      </c>
      <c r="B4533" t="s">
        <v>1058</v>
      </c>
      <c r="C4533" t="s">
        <v>175</v>
      </c>
      <c r="D4533" t="s">
        <v>703</v>
      </c>
      <c r="E4533" t="s">
        <v>704</v>
      </c>
      <c r="F4533">
        <v>4</v>
      </c>
      <c r="G4533" t="s">
        <v>176</v>
      </c>
      <c r="H4533">
        <v>0</v>
      </c>
      <c r="I4533">
        <v>250</v>
      </c>
      <c r="J4533" s="10">
        <v>302</v>
      </c>
      <c r="K4533" s="10">
        <f>SUMIFS(F:F,D:D,DST_123_ÜRETİM_İHTİYAÇ_RAPORU_BURAK_YENI1309[[#This Row],[ALT_KOD]])-(SUMIFS(H:H,D:D,DST_123_ÜRETİM_İHTİYAÇ_RAPORU_BURAK_YENI1309[[#This Row],[ALT_KOD]])+AVERAGEIFS(I:I,D:D,DST_123_ÜRETİM_İHTİYAÇ_RAPORU_BURAK_YENI1309[[#This Row],[ALT_KOD]])+AVERAGEIFS(L:L,D:D,DST_123_ÜRETİM_İHTİYAÇ_RAPORU_BURAK_YENI1309[[#This Row],[ALT_KOD]]))</f>
        <v>-202</v>
      </c>
      <c r="L4533">
        <v>0</v>
      </c>
      <c r="M4533">
        <f>IF((DST_123_ÜRETİM_İHTİYAÇ_RAPORU_BURAK_YENI1309[[#This Row],[SATINALMA]]*DST_123_ÜRETİM_İHTİYAÇ_RAPORU_BURAK_YENI1309[[#This Row],[BIRIM_FIYATLAR]])&lt;1,VALUE("0"),DST_123_ÜRETİM_İHTİYAÇ_RAPORU_BURAK_YENI1309[[#This Row],[SATINALMA]]*DST_123_ÜRETİM_İHTİYAÇ_RAPORU_BURAK_YENI1309[[#This Row],[BIRIM_FIYATLAR]])</f>
        <v>0</v>
      </c>
      <c r="N4533">
        <v>0.9</v>
      </c>
      <c r="O4533" t="s">
        <v>826</v>
      </c>
      <c r="P4533">
        <v>3.6</v>
      </c>
      <c r="Q4533" t="s">
        <v>221</v>
      </c>
    </row>
    <row r="4534" spans="1:17" x14ac:dyDescent="0.25">
      <c r="A4534" t="s">
        <v>1100</v>
      </c>
      <c r="B4534" t="s">
        <v>1058</v>
      </c>
      <c r="C4534" t="s">
        <v>175</v>
      </c>
      <c r="D4534" t="s">
        <v>703</v>
      </c>
      <c r="E4534" t="s">
        <v>704</v>
      </c>
      <c r="F4534">
        <v>4</v>
      </c>
      <c r="G4534" t="s">
        <v>176</v>
      </c>
      <c r="H4534">
        <v>0</v>
      </c>
      <c r="I4534">
        <v>250</v>
      </c>
      <c r="J4534" s="10">
        <v>302</v>
      </c>
      <c r="K4534" s="10">
        <f>SUMIFS(F:F,D:D,DST_123_ÜRETİM_İHTİYAÇ_RAPORU_BURAK_YENI1309[[#This Row],[ALT_KOD]])-(SUMIFS(H:H,D:D,DST_123_ÜRETİM_İHTİYAÇ_RAPORU_BURAK_YENI1309[[#This Row],[ALT_KOD]])+AVERAGEIFS(I:I,D:D,DST_123_ÜRETİM_İHTİYAÇ_RAPORU_BURAK_YENI1309[[#This Row],[ALT_KOD]])+AVERAGEIFS(L:L,D:D,DST_123_ÜRETİM_İHTİYAÇ_RAPORU_BURAK_YENI1309[[#This Row],[ALT_KOD]]))</f>
        <v>-202</v>
      </c>
      <c r="L4534">
        <v>0</v>
      </c>
      <c r="M4534">
        <f>IF((DST_123_ÜRETİM_İHTİYAÇ_RAPORU_BURAK_YENI1309[[#This Row],[SATINALMA]]*DST_123_ÜRETİM_İHTİYAÇ_RAPORU_BURAK_YENI1309[[#This Row],[BIRIM_FIYATLAR]])&lt;1,VALUE("0"),DST_123_ÜRETİM_İHTİYAÇ_RAPORU_BURAK_YENI1309[[#This Row],[SATINALMA]]*DST_123_ÜRETİM_İHTİYAÇ_RAPORU_BURAK_YENI1309[[#This Row],[BIRIM_FIYATLAR]])</f>
        <v>0</v>
      </c>
      <c r="N4534">
        <v>0.9</v>
      </c>
      <c r="O4534" t="s">
        <v>826</v>
      </c>
      <c r="P4534">
        <v>3.6</v>
      </c>
      <c r="Q4534" t="s">
        <v>221</v>
      </c>
    </row>
    <row r="4535" spans="1:17" x14ac:dyDescent="0.25">
      <c r="A4535" t="s">
        <v>1100</v>
      </c>
      <c r="B4535" t="s">
        <v>1058</v>
      </c>
      <c r="C4535" t="s">
        <v>175</v>
      </c>
      <c r="D4535" t="s">
        <v>861</v>
      </c>
      <c r="E4535" t="s">
        <v>862</v>
      </c>
      <c r="F4535">
        <v>12</v>
      </c>
      <c r="G4535" t="s">
        <v>176</v>
      </c>
      <c r="H4535">
        <v>0</v>
      </c>
      <c r="I4535">
        <v>178</v>
      </c>
      <c r="J4535" s="10">
        <v>0</v>
      </c>
      <c r="K4535" s="10">
        <f>SUMIFS(F:F,D:D,DST_123_ÜRETİM_İHTİYAÇ_RAPORU_BURAK_YENI1309[[#This Row],[ALT_KOD]])-(SUMIFS(H:H,D:D,DST_123_ÜRETİM_İHTİYAÇ_RAPORU_BURAK_YENI1309[[#This Row],[ALT_KOD]])+AVERAGEIFS(I:I,D:D,DST_123_ÜRETİM_İHTİYAÇ_RAPORU_BURAK_YENI1309[[#This Row],[ALT_KOD]])+AVERAGEIFS(L:L,D:D,DST_123_ÜRETİM_İHTİYAÇ_RAPORU_BURAK_YENI1309[[#This Row],[ALT_KOD]]))</f>
        <v>-142</v>
      </c>
      <c r="L4535">
        <v>0</v>
      </c>
      <c r="M4535">
        <f>IF((DST_123_ÜRETİM_İHTİYAÇ_RAPORU_BURAK_YENI1309[[#This Row],[SATINALMA]]*DST_123_ÜRETİM_İHTİYAÇ_RAPORU_BURAK_YENI1309[[#This Row],[BIRIM_FIYATLAR]])&lt;1,VALUE("0"),DST_123_ÜRETİM_İHTİYAÇ_RAPORU_BURAK_YENI1309[[#This Row],[SATINALMA]]*DST_123_ÜRETİM_İHTİYAÇ_RAPORU_BURAK_YENI1309[[#This Row],[BIRIM_FIYATLAR]])</f>
        <v>0</v>
      </c>
      <c r="N4535">
        <v>3.45</v>
      </c>
      <c r="O4535" t="s">
        <v>860</v>
      </c>
      <c r="P4535">
        <v>41.400000000000006</v>
      </c>
      <c r="Q4535" t="s">
        <v>180</v>
      </c>
    </row>
    <row r="4536" spans="1:17" x14ac:dyDescent="0.25">
      <c r="A4536" t="s">
        <v>1147</v>
      </c>
      <c r="B4536" t="s">
        <v>1145</v>
      </c>
      <c r="C4536" t="s">
        <v>175</v>
      </c>
      <c r="D4536" t="s">
        <v>783</v>
      </c>
      <c r="E4536" t="s">
        <v>784</v>
      </c>
      <c r="F4536">
        <v>1</v>
      </c>
      <c r="G4536" t="s">
        <v>176</v>
      </c>
      <c r="H4536">
        <v>0</v>
      </c>
      <c r="I4536">
        <v>15</v>
      </c>
      <c r="J4536" s="10">
        <v>11</v>
      </c>
      <c r="K4536" s="10">
        <f>SUMIFS(F:F,D:D,DST_123_ÜRETİM_İHTİYAÇ_RAPORU_BURAK_YENI1309[[#This Row],[ALT_KOD]])-(SUMIFS(H:H,D:D,DST_123_ÜRETİM_İHTİYAÇ_RAPORU_BURAK_YENI1309[[#This Row],[ALT_KOD]])+AVERAGEIFS(I:I,D:D,DST_123_ÜRETİM_İHTİYAÇ_RAPORU_BURAK_YENI1309[[#This Row],[ALT_KOD]])+AVERAGEIFS(L:L,D:D,DST_123_ÜRETİM_İHTİYAÇ_RAPORU_BURAK_YENI1309[[#This Row],[ALT_KOD]]))</f>
        <v>-4</v>
      </c>
      <c r="L4536">
        <v>0</v>
      </c>
      <c r="M4536">
        <f>IF((DST_123_ÜRETİM_İHTİYAÇ_RAPORU_BURAK_YENI1309[[#This Row],[SATINALMA]]*DST_123_ÜRETİM_İHTİYAÇ_RAPORU_BURAK_YENI1309[[#This Row],[BIRIM_FIYATLAR]])&lt;1,VALUE("0"),DST_123_ÜRETİM_İHTİYAÇ_RAPORU_BURAK_YENI1309[[#This Row],[SATINALMA]]*DST_123_ÜRETİM_İHTİYAÇ_RAPORU_BURAK_YENI1309[[#This Row],[BIRIM_FIYATLAR]])</f>
        <v>0</v>
      </c>
      <c r="N4536">
        <v>510</v>
      </c>
      <c r="O4536" t="s">
        <v>289</v>
      </c>
      <c r="P4536">
        <v>510</v>
      </c>
      <c r="Q4536" t="s">
        <v>178</v>
      </c>
    </row>
    <row r="4537" spans="1:17" x14ac:dyDescent="0.25">
      <c r="A4537" t="s">
        <v>1179</v>
      </c>
      <c r="B4537" t="s">
        <v>1180</v>
      </c>
      <c r="C4537" t="s">
        <v>175</v>
      </c>
      <c r="D4537" t="s">
        <v>161</v>
      </c>
      <c r="E4537" t="s">
        <v>162</v>
      </c>
      <c r="F4537">
        <v>1</v>
      </c>
      <c r="G4537" t="s">
        <v>176</v>
      </c>
      <c r="H4537">
        <v>0</v>
      </c>
      <c r="I4537">
        <v>5</v>
      </c>
      <c r="J4537" s="10">
        <v>8</v>
      </c>
      <c r="K4537" s="10">
        <f>SUMIFS(F:F,D:D,DST_123_ÜRETİM_İHTİYAÇ_RAPORU_BURAK_YENI1309[[#This Row],[ALT_KOD]])-(SUMIFS(H:H,D:D,DST_123_ÜRETİM_İHTİYAÇ_RAPORU_BURAK_YENI1309[[#This Row],[ALT_KOD]])+AVERAGEIFS(I:I,D:D,DST_123_ÜRETİM_İHTİYAÇ_RAPORU_BURAK_YENI1309[[#This Row],[ALT_KOD]])+AVERAGEIFS(L:L,D:D,DST_123_ÜRETİM_İHTİYAÇ_RAPORU_BURAK_YENI1309[[#This Row],[ALT_KOD]]))</f>
        <v>5</v>
      </c>
      <c r="L4537">
        <v>0</v>
      </c>
      <c r="M4537">
        <f>IF((DST_123_ÜRETİM_İHTİYAÇ_RAPORU_BURAK_YENI1309[[#This Row],[SATINALMA]]*DST_123_ÜRETİM_İHTİYAÇ_RAPORU_BURAK_YENI1309[[#This Row],[BIRIM_FIYATLAR]])&lt;1,VALUE("0"),DST_123_ÜRETİM_İHTİYAÇ_RAPORU_BURAK_YENI1309[[#This Row],[SATINALMA]]*DST_123_ÜRETİM_İHTİYAÇ_RAPORU_BURAK_YENI1309[[#This Row],[BIRIM_FIYATLAR]])</f>
        <v>30523.449999999997</v>
      </c>
      <c r="N4537">
        <v>6104.69</v>
      </c>
      <c r="O4537" t="s">
        <v>227</v>
      </c>
      <c r="P4537">
        <v>6104.69</v>
      </c>
      <c r="Q4537" t="s">
        <v>221</v>
      </c>
    </row>
    <row r="4538" spans="1:17" x14ac:dyDescent="0.25">
      <c r="A4538" t="s">
        <v>1060</v>
      </c>
      <c r="B4538" t="s">
        <v>1061</v>
      </c>
      <c r="C4538" t="s">
        <v>175</v>
      </c>
      <c r="D4538" t="s">
        <v>861</v>
      </c>
      <c r="E4538" t="s">
        <v>862</v>
      </c>
      <c r="F4538">
        <v>12</v>
      </c>
      <c r="G4538" t="s">
        <v>176</v>
      </c>
      <c r="H4538">
        <v>0</v>
      </c>
      <c r="I4538">
        <v>178</v>
      </c>
      <c r="J4538" s="10">
        <v>0</v>
      </c>
      <c r="K4538" s="10">
        <f>SUMIFS(F:F,D:D,DST_123_ÜRETİM_İHTİYAÇ_RAPORU_BURAK_YENI1309[[#This Row],[ALT_KOD]])-(SUMIFS(H:H,D:D,DST_123_ÜRETİM_İHTİYAÇ_RAPORU_BURAK_YENI1309[[#This Row],[ALT_KOD]])+AVERAGEIFS(I:I,D:D,DST_123_ÜRETİM_İHTİYAÇ_RAPORU_BURAK_YENI1309[[#This Row],[ALT_KOD]])+AVERAGEIFS(L:L,D:D,DST_123_ÜRETİM_İHTİYAÇ_RAPORU_BURAK_YENI1309[[#This Row],[ALT_KOD]]))</f>
        <v>-142</v>
      </c>
      <c r="L4538">
        <v>0</v>
      </c>
      <c r="M4538">
        <f>IF((DST_123_ÜRETİM_İHTİYAÇ_RAPORU_BURAK_YENI1309[[#This Row],[SATINALMA]]*DST_123_ÜRETİM_İHTİYAÇ_RAPORU_BURAK_YENI1309[[#This Row],[BIRIM_FIYATLAR]])&lt;1,VALUE("0"),DST_123_ÜRETİM_İHTİYAÇ_RAPORU_BURAK_YENI1309[[#This Row],[SATINALMA]]*DST_123_ÜRETİM_İHTİYAÇ_RAPORU_BURAK_YENI1309[[#This Row],[BIRIM_FIYATLAR]])</f>
        <v>0</v>
      </c>
      <c r="N4538">
        <v>3.45</v>
      </c>
      <c r="O4538" t="s">
        <v>860</v>
      </c>
      <c r="P4538">
        <v>41.400000000000006</v>
      </c>
      <c r="Q4538" t="s">
        <v>180</v>
      </c>
    </row>
    <row r="4539" spans="1:17" x14ac:dyDescent="0.25">
      <c r="A4539" t="s">
        <v>1101</v>
      </c>
      <c r="B4539" t="s">
        <v>1102</v>
      </c>
      <c r="C4539" t="s">
        <v>175</v>
      </c>
      <c r="D4539" t="s">
        <v>703</v>
      </c>
      <c r="E4539" t="s">
        <v>704</v>
      </c>
      <c r="F4539">
        <v>4</v>
      </c>
      <c r="G4539" t="s">
        <v>176</v>
      </c>
      <c r="H4539">
        <v>0</v>
      </c>
      <c r="I4539">
        <v>250</v>
      </c>
      <c r="J4539" s="10">
        <v>302</v>
      </c>
      <c r="K4539" s="10">
        <f>SUMIFS(F:F,D:D,DST_123_ÜRETİM_İHTİYAÇ_RAPORU_BURAK_YENI1309[[#This Row],[ALT_KOD]])-(SUMIFS(H:H,D:D,DST_123_ÜRETİM_İHTİYAÇ_RAPORU_BURAK_YENI1309[[#This Row],[ALT_KOD]])+AVERAGEIFS(I:I,D:D,DST_123_ÜRETİM_İHTİYAÇ_RAPORU_BURAK_YENI1309[[#This Row],[ALT_KOD]])+AVERAGEIFS(L:L,D:D,DST_123_ÜRETİM_İHTİYAÇ_RAPORU_BURAK_YENI1309[[#This Row],[ALT_KOD]]))</f>
        <v>-202</v>
      </c>
      <c r="L4539">
        <v>0</v>
      </c>
      <c r="M4539">
        <f>IF((DST_123_ÜRETİM_İHTİYAÇ_RAPORU_BURAK_YENI1309[[#This Row],[SATINALMA]]*DST_123_ÜRETİM_İHTİYAÇ_RAPORU_BURAK_YENI1309[[#This Row],[BIRIM_FIYATLAR]])&lt;1,VALUE("0"),DST_123_ÜRETİM_İHTİYAÇ_RAPORU_BURAK_YENI1309[[#This Row],[SATINALMA]]*DST_123_ÜRETİM_İHTİYAÇ_RAPORU_BURAK_YENI1309[[#This Row],[BIRIM_FIYATLAR]])</f>
        <v>0</v>
      </c>
      <c r="N4539">
        <v>0.9</v>
      </c>
      <c r="O4539" t="s">
        <v>826</v>
      </c>
      <c r="P4539">
        <v>3.6</v>
      </c>
      <c r="Q4539" t="s">
        <v>221</v>
      </c>
    </row>
    <row r="4540" spans="1:17" x14ac:dyDescent="0.25">
      <c r="A4540" t="s">
        <v>1060</v>
      </c>
      <c r="B4540" t="s">
        <v>1061</v>
      </c>
      <c r="C4540" t="s">
        <v>175</v>
      </c>
      <c r="D4540" t="s">
        <v>783</v>
      </c>
      <c r="E4540" t="s">
        <v>784</v>
      </c>
      <c r="F4540">
        <v>1</v>
      </c>
      <c r="G4540" t="s">
        <v>176</v>
      </c>
      <c r="H4540">
        <v>1</v>
      </c>
      <c r="I4540">
        <v>15</v>
      </c>
      <c r="J4540" s="10">
        <v>11</v>
      </c>
      <c r="K4540" s="10">
        <f>SUMIFS(F:F,D:D,DST_123_ÜRETİM_İHTİYAÇ_RAPORU_BURAK_YENI1309[[#This Row],[ALT_KOD]])-(SUMIFS(H:H,D:D,DST_123_ÜRETİM_İHTİYAÇ_RAPORU_BURAK_YENI1309[[#This Row],[ALT_KOD]])+AVERAGEIFS(I:I,D:D,DST_123_ÜRETİM_İHTİYAÇ_RAPORU_BURAK_YENI1309[[#This Row],[ALT_KOD]])+AVERAGEIFS(L:L,D:D,DST_123_ÜRETİM_İHTİYAÇ_RAPORU_BURAK_YENI1309[[#This Row],[ALT_KOD]]))</f>
        <v>-4</v>
      </c>
      <c r="L4540">
        <v>0</v>
      </c>
      <c r="M4540">
        <f>IF((DST_123_ÜRETİM_İHTİYAÇ_RAPORU_BURAK_YENI1309[[#This Row],[SATINALMA]]*DST_123_ÜRETİM_İHTİYAÇ_RAPORU_BURAK_YENI1309[[#This Row],[BIRIM_FIYATLAR]])&lt;1,VALUE("0"),DST_123_ÜRETİM_İHTİYAÇ_RAPORU_BURAK_YENI1309[[#This Row],[SATINALMA]]*DST_123_ÜRETİM_İHTİYAÇ_RAPORU_BURAK_YENI1309[[#This Row],[BIRIM_FIYATLAR]])</f>
        <v>0</v>
      </c>
      <c r="N4540">
        <v>510</v>
      </c>
      <c r="O4540" t="s">
        <v>289</v>
      </c>
      <c r="P4540">
        <v>510</v>
      </c>
      <c r="Q4540" t="s">
        <v>178</v>
      </c>
    </row>
    <row r="4541" spans="1:17" x14ac:dyDescent="0.25">
      <c r="A4541" t="s">
        <v>1057</v>
      </c>
      <c r="B4541" t="s">
        <v>1058</v>
      </c>
      <c r="C4541" t="s">
        <v>175</v>
      </c>
      <c r="D4541" t="s">
        <v>783</v>
      </c>
      <c r="E4541" t="s">
        <v>784</v>
      </c>
      <c r="F4541">
        <v>1</v>
      </c>
      <c r="G4541" t="s">
        <v>176</v>
      </c>
      <c r="H4541">
        <v>1</v>
      </c>
      <c r="I4541">
        <v>15</v>
      </c>
      <c r="J4541" s="10">
        <v>11</v>
      </c>
      <c r="K4541" s="10">
        <f>SUMIFS(F:F,D:D,DST_123_ÜRETİM_İHTİYAÇ_RAPORU_BURAK_YENI1309[[#This Row],[ALT_KOD]])-(SUMIFS(H:H,D:D,DST_123_ÜRETİM_İHTİYAÇ_RAPORU_BURAK_YENI1309[[#This Row],[ALT_KOD]])+AVERAGEIFS(I:I,D:D,DST_123_ÜRETİM_İHTİYAÇ_RAPORU_BURAK_YENI1309[[#This Row],[ALT_KOD]])+AVERAGEIFS(L:L,D:D,DST_123_ÜRETİM_İHTİYAÇ_RAPORU_BURAK_YENI1309[[#This Row],[ALT_KOD]]))</f>
        <v>-4</v>
      </c>
      <c r="L4541">
        <v>0</v>
      </c>
      <c r="M4541">
        <f>IF((DST_123_ÜRETİM_İHTİYAÇ_RAPORU_BURAK_YENI1309[[#This Row],[SATINALMA]]*DST_123_ÜRETİM_İHTİYAÇ_RAPORU_BURAK_YENI1309[[#This Row],[BIRIM_FIYATLAR]])&lt;1,VALUE("0"),DST_123_ÜRETİM_İHTİYAÇ_RAPORU_BURAK_YENI1309[[#This Row],[SATINALMA]]*DST_123_ÜRETİM_İHTİYAÇ_RAPORU_BURAK_YENI1309[[#This Row],[BIRIM_FIYATLAR]])</f>
        <v>0</v>
      </c>
      <c r="N4541">
        <v>510</v>
      </c>
      <c r="O4541" t="s">
        <v>289</v>
      </c>
      <c r="P4541">
        <v>510</v>
      </c>
      <c r="Q4541" t="s">
        <v>178</v>
      </c>
    </row>
    <row r="4542" spans="1:17" x14ac:dyDescent="0.25">
      <c r="A4542" t="s">
        <v>1059</v>
      </c>
      <c r="B4542" t="s">
        <v>1058</v>
      </c>
      <c r="C4542" t="s">
        <v>175</v>
      </c>
      <c r="D4542" t="s">
        <v>904</v>
      </c>
      <c r="E4542" t="s">
        <v>905</v>
      </c>
      <c r="F4542">
        <v>2</v>
      </c>
      <c r="G4542" t="s">
        <v>176</v>
      </c>
      <c r="H4542">
        <v>2</v>
      </c>
      <c r="I4542">
        <v>3</v>
      </c>
      <c r="J4542" s="10">
        <v>6</v>
      </c>
      <c r="K4542" s="10">
        <f>SUMIFS(F:F,D:D,DST_123_ÜRETİM_İHTİYAÇ_RAPORU_BURAK_YENI1309[[#This Row],[ALT_KOD]])-(SUMIFS(H:H,D:D,DST_123_ÜRETİM_İHTİYAÇ_RAPORU_BURAK_YENI1309[[#This Row],[ALT_KOD]])+AVERAGEIFS(I:I,D:D,DST_123_ÜRETİM_İHTİYAÇ_RAPORU_BURAK_YENI1309[[#This Row],[ALT_KOD]])+AVERAGEIFS(L:L,D:D,DST_123_ÜRETİM_İHTİYAÇ_RAPORU_BURAK_YENI1309[[#This Row],[ALT_KOD]]))</f>
        <v>-3</v>
      </c>
      <c r="L4542">
        <v>0</v>
      </c>
      <c r="M4542">
        <f>IF((DST_123_ÜRETİM_İHTİYAÇ_RAPORU_BURAK_YENI1309[[#This Row],[SATINALMA]]*DST_123_ÜRETİM_İHTİYAÇ_RAPORU_BURAK_YENI1309[[#This Row],[BIRIM_FIYATLAR]])&lt;1,VALUE("0"),DST_123_ÜRETİM_İHTİYAÇ_RAPORU_BURAK_YENI1309[[#This Row],[SATINALMA]]*DST_123_ÜRETİM_İHTİYAÇ_RAPORU_BURAK_YENI1309[[#This Row],[BIRIM_FIYATLAR]])</f>
        <v>0</v>
      </c>
      <c r="N4542">
        <v>100</v>
      </c>
      <c r="O4542" t="s">
        <v>226</v>
      </c>
      <c r="P4542">
        <v>200</v>
      </c>
      <c r="Q4542" t="s">
        <v>180</v>
      </c>
    </row>
    <row r="4543" spans="1:17" x14ac:dyDescent="0.25">
      <c r="A4543" t="s">
        <v>1101</v>
      </c>
      <c r="B4543" t="s">
        <v>1102</v>
      </c>
      <c r="C4543" t="s">
        <v>175</v>
      </c>
      <c r="D4543" t="s">
        <v>9</v>
      </c>
      <c r="E4543" t="s">
        <v>10</v>
      </c>
      <c r="F4543">
        <v>4</v>
      </c>
      <c r="G4543" t="s">
        <v>176</v>
      </c>
      <c r="H4543">
        <v>4</v>
      </c>
      <c r="I4543">
        <v>39</v>
      </c>
      <c r="J4543" s="10">
        <v>32</v>
      </c>
      <c r="K4543" s="10">
        <f>SUMIFS(F:F,D:D,DST_123_ÜRETİM_İHTİYAÇ_RAPORU_BURAK_YENI1309[[#This Row],[ALT_KOD]])-(SUMIFS(H:H,D:D,DST_123_ÜRETİM_İHTİYAÇ_RAPORU_BURAK_YENI1309[[#This Row],[ALT_KOD]])+AVERAGEIFS(I:I,D:D,DST_123_ÜRETİM_İHTİYAÇ_RAPORU_BURAK_YENI1309[[#This Row],[ALT_KOD]])+AVERAGEIFS(L:L,D:D,DST_123_ÜRETİM_İHTİYAÇ_RAPORU_BURAK_YENI1309[[#This Row],[ALT_KOD]]))</f>
        <v>-11</v>
      </c>
      <c r="L4543">
        <v>0</v>
      </c>
      <c r="M4543">
        <f>IF((DST_123_ÜRETİM_İHTİYAÇ_RAPORU_BURAK_YENI1309[[#This Row],[SATINALMA]]*DST_123_ÜRETİM_İHTİYAÇ_RAPORU_BURAK_YENI1309[[#This Row],[BIRIM_FIYATLAR]])&lt;1,VALUE("0"),DST_123_ÜRETİM_İHTİYAÇ_RAPORU_BURAK_YENI1309[[#This Row],[SATINALMA]]*DST_123_ÜRETİM_İHTİYAÇ_RAPORU_BURAK_YENI1309[[#This Row],[BIRIM_FIYATLAR]])</f>
        <v>0</v>
      </c>
      <c r="N4543">
        <v>73.349999999999994</v>
      </c>
      <c r="O4543" t="s">
        <v>227</v>
      </c>
      <c r="P4543">
        <v>293.39999999999998</v>
      </c>
      <c r="Q4543" t="s">
        <v>221</v>
      </c>
    </row>
    <row r="4544" spans="1:17" x14ac:dyDescent="0.25">
      <c r="A4544" t="s">
        <v>1057</v>
      </c>
      <c r="B4544" t="s">
        <v>1058</v>
      </c>
      <c r="C4544" t="s">
        <v>175</v>
      </c>
      <c r="D4544" t="s">
        <v>7</v>
      </c>
      <c r="E4544" t="s">
        <v>8</v>
      </c>
      <c r="F4544">
        <v>1</v>
      </c>
      <c r="G4544" t="s">
        <v>176</v>
      </c>
      <c r="H4544">
        <v>1</v>
      </c>
      <c r="I4544">
        <v>6</v>
      </c>
      <c r="J4544" s="10">
        <v>7</v>
      </c>
      <c r="K4544" s="10">
        <f>SUMIFS(F:F,D:D,DST_123_ÜRETİM_İHTİYAÇ_RAPORU_BURAK_YENI1309[[#This Row],[ALT_KOD]])-(SUMIFS(H:H,D:D,DST_123_ÜRETİM_İHTİYAÇ_RAPORU_BURAK_YENI1309[[#This Row],[ALT_KOD]])+AVERAGEIFS(I:I,D:D,DST_123_ÜRETİM_İHTİYAÇ_RAPORU_BURAK_YENI1309[[#This Row],[ALT_KOD]])+AVERAGEIFS(L:L,D:D,DST_123_ÜRETİM_İHTİYAÇ_RAPORU_BURAK_YENI1309[[#This Row],[ALT_KOD]]))</f>
        <v>2</v>
      </c>
      <c r="L4544">
        <v>0</v>
      </c>
      <c r="M4544">
        <f>IF((DST_123_ÜRETİM_İHTİYAÇ_RAPORU_BURAK_YENI1309[[#This Row],[SATINALMA]]*DST_123_ÜRETİM_İHTİYAÇ_RAPORU_BURAK_YENI1309[[#This Row],[BIRIM_FIYATLAR]])&lt;1,VALUE("0"),DST_123_ÜRETİM_İHTİYAÇ_RAPORU_BURAK_YENI1309[[#This Row],[SATINALMA]]*DST_123_ÜRETİM_İHTİYAÇ_RAPORU_BURAK_YENI1309[[#This Row],[BIRIM_FIYATLAR]])</f>
        <v>4960.92</v>
      </c>
      <c r="N4544">
        <v>2480.46</v>
      </c>
      <c r="O4544" t="s">
        <v>227</v>
      </c>
      <c r="P4544">
        <v>2480.46</v>
      </c>
      <c r="Q4544" t="s">
        <v>221</v>
      </c>
    </row>
    <row r="4545" spans="1:17" x14ac:dyDescent="0.25">
      <c r="A4545" t="s">
        <v>1196</v>
      </c>
      <c r="B4545" t="s">
        <v>1197</v>
      </c>
      <c r="C4545" t="s">
        <v>175</v>
      </c>
      <c r="D4545" t="s">
        <v>783</v>
      </c>
      <c r="E4545" t="s">
        <v>784</v>
      </c>
      <c r="F4545">
        <v>1</v>
      </c>
      <c r="G4545" t="s">
        <v>176</v>
      </c>
      <c r="H4545">
        <v>0</v>
      </c>
      <c r="I4545">
        <v>15</v>
      </c>
      <c r="J4545" s="10">
        <v>11</v>
      </c>
      <c r="K4545" s="10">
        <f>SUMIFS(F:F,D:D,DST_123_ÜRETİM_İHTİYAÇ_RAPORU_BURAK_YENI1309[[#This Row],[ALT_KOD]])-(SUMIFS(H:H,D:D,DST_123_ÜRETİM_İHTİYAÇ_RAPORU_BURAK_YENI1309[[#This Row],[ALT_KOD]])+AVERAGEIFS(I:I,D:D,DST_123_ÜRETİM_İHTİYAÇ_RAPORU_BURAK_YENI1309[[#This Row],[ALT_KOD]])+AVERAGEIFS(L:L,D:D,DST_123_ÜRETİM_İHTİYAÇ_RAPORU_BURAK_YENI1309[[#This Row],[ALT_KOD]]))</f>
        <v>-4</v>
      </c>
      <c r="L4545">
        <v>0</v>
      </c>
      <c r="M4545">
        <f>IF((DST_123_ÜRETİM_İHTİYAÇ_RAPORU_BURAK_YENI1309[[#This Row],[SATINALMA]]*DST_123_ÜRETİM_İHTİYAÇ_RAPORU_BURAK_YENI1309[[#This Row],[BIRIM_FIYATLAR]])&lt;1,VALUE("0"),DST_123_ÜRETİM_İHTİYAÇ_RAPORU_BURAK_YENI1309[[#This Row],[SATINALMA]]*DST_123_ÜRETİM_İHTİYAÇ_RAPORU_BURAK_YENI1309[[#This Row],[BIRIM_FIYATLAR]])</f>
        <v>0</v>
      </c>
      <c r="N4545">
        <v>510</v>
      </c>
      <c r="O4545" t="s">
        <v>289</v>
      </c>
      <c r="P4545">
        <v>510</v>
      </c>
      <c r="Q4545" t="s">
        <v>178</v>
      </c>
    </row>
    <row r="4546" spans="1:17" x14ac:dyDescent="0.25">
      <c r="A4546" t="s">
        <v>1098</v>
      </c>
      <c r="B4546" t="s">
        <v>1096</v>
      </c>
      <c r="C4546" t="s">
        <v>175</v>
      </c>
      <c r="D4546" t="s">
        <v>783</v>
      </c>
      <c r="E4546" t="s">
        <v>784</v>
      </c>
      <c r="F4546">
        <v>1</v>
      </c>
      <c r="G4546" t="s">
        <v>176</v>
      </c>
      <c r="H4546">
        <v>0</v>
      </c>
      <c r="I4546">
        <v>15</v>
      </c>
      <c r="J4546" s="10">
        <v>11</v>
      </c>
      <c r="K4546" s="10">
        <f>SUMIFS(F:F,D:D,DST_123_ÜRETİM_İHTİYAÇ_RAPORU_BURAK_YENI1309[[#This Row],[ALT_KOD]])-(SUMIFS(H:H,D:D,DST_123_ÜRETİM_İHTİYAÇ_RAPORU_BURAK_YENI1309[[#This Row],[ALT_KOD]])+AVERAGEIFS(I:I,D:D,DST_123_ÜRETİM_İHTİYAÇ_RAPORU_BURAK_YENI1309[[#This Row],[ALT_KOD]])+AVERAGEIFS(L:L,D:D,DST_123_ÜRETİM_İHTİYAÇ_RAPORU_BURAK_YENI1309[[#This Row],[ALT_KOD]]))</f>
        <v>-4</v>
      </c>
      <c r="L4546">
        <v>0</v>
      </c>
      <c r="M4546">
        <f>IF((DST_123_ÜRETİM_İHTİYAÇ_RAPORU_BURAK_YENI1309[[#This Row],[SATINALMA]]*DST_123_ÜRETİM_İHTİYAÇ_RAPORU_BURAK_YENI1309[[#This Row],[BIRIM_FIYATLAR]])&lt;1,VALUE("0"),DST_123_ÜRETİM_İHTİYAÇ_RAPORU_BURAK_YENI1309[[#This Row],[SATINALMA]]*DST_123_ÜRETİM_İHTİYAÇ_RAPORU_BURAK_YENI1309[[#This Row],[BIRIM_FIYATLAR]])</f>
        <v>0</v>
      </c>
      <c r="N4546">
        <v>510</v>
      </c>
      <c r="O4546" t="s">
        <v>289</v>
      </c>
      <c r="P4546">
        <v>510</v>
      </c>
      <c r="Q4546" t="s">
        <v>178</v>
      </c>
    </row>
    <row r="4547" spans="1:17" x14ac:dyDescent="0.25">
      <c r="A4547" t="s">
        <v>1057</v>
      </c>
      <c r="B4547" t="s">
        <v>1058</v>
      </c>
      <c r="C4547" t="s">
        <v>175</v>
      </c>
      <c r="D4547" t="s">
        <v>98</v>
      </c>
      <c r="E4547" t="s">
        <v>248</v>
      </c>
      <c r="F4547">
        <v>4</v>
      </c>
      <c r="G4547" t="s">
        <v>176</v>
      </c>
      <c r="H4547">
        <v>4</v>
      </c>
      <c r="I4547">
        <v>230</v>
      </c>
      <c r="J4547" s="10">
        <v>72</v>
      </c>
      <c r="K4547" s="10">
        <f>SUMIFS(F:F,D:D,DST_123_ÜRETİM_İHTİYAÇ_RAPORU_BURAK_YENI1309[[#This Row],[ALT_KOD]])-(SUMIFS(H:H,D:D,DST_123_ÜRETİM_İHTİYAÇ_RAPORU_BURAK_YENI1309[[#This Row],[ALT_KOD]])+AVERAGEIFS(I:I,D:D,DST_123_ÜRETİM_İHTİYAÇ_RAPORU_BURAK_YENI1309[[#This Row],[ALT_KOD]])+AVERAGEIFS(L:L,D:D,DST_123_ÜRETİM_İHTİYAÇ_RAPORU_BURAK_YENI1309[[#This Row],[ALT_KOD]]))</f>
        <v>-172</v>
      </c>
      <c r="L4547">
        <v>0</v>
      </c>
      <c r="M4547">
        <f>IF((DST_123_ÜRETİM_İHTİYAÇ_RAPORU_BURAK_YENI1309[[#This Row],[SATINALMA]]*DST_123_ÜRETİM_İHTİYAÇ_RAPORU_BURAK_YENI1309[[#This Row],[BIRIM_FIYATLAR]])&lt;1,VALUE("0"),DST_123_ÜRETİM_İHTİYAÇ_RAPORU_BURAK_YENI1309[[#This Row],[SATINALMA]]*DST_123_ÜRETİM_İHTİYAÇ_RAPORU_BURAK_YENI1309[[#This Row],[BIRIM_FIYATLAR]])</f>
        <v>0</v>
      </c>
      <c r="N4547">
        <v>225</v>
      </c>
      <c r="O4547" t="s">
        <v>825</v>
      </c>
      <c r="P4547">
        <v>900</v>
      </c>
      <c r="Q4547" t="s">
        <v>177</v>
      </c>
    </row>
    <row r="4548" spans="1:17" x14ac:dyDescent="0.25">
      <c r="A4548" t="s">
        <v>1142</v>
      </c>
      <c r="B4548" t="s">
        <v>1056</v>
      </c>
      <c r="C4548" t="s">
        <v>175</v>
      </c>
      <c r="D4548" t="s">
        <v>738</v>
      </c>
      <c r="E4548" t="s">
        <v>739</v>
      </c>
      <c r="F4548">
        <v>1</v>
      </c>
      <c r="G4548" t="s">
        <v>176</v>
      </c>
      <c r="H4548">
        <v>0</v>
      </c>
      <c r="I4548">
        <v>10</v>
      </c>
      <c r="J4548" s="10">
        <v>16</v>
      </c>
      <c r="K4548" s="10">
        <f>SUMIFS(F:F,D:D,DST_123_ÜRETİM_İHTİYAÇ_RAPORU_BURAK_YENI1309[[#This Row],[ALT_KOD]])-(SUMIFS(H:H,D:D,DST_123_ÜRETİM_İHTİYAÇ_RAPORU_BURAK_YENI1309[[#This Row],[ALT_KOD]])+AVERAGEIFS(I:I,D:D,DST_123_ÜRETİM_İHTİYAÇ_RAPORU_BURAK_YENI1309[[#This Row],[ALT_KOD]])+AVERAGEIFS(L:L,D:D,DST_123_ÜRETİM_İHTİYAÇ_RAPORU_BURAK_YENI1309[[#This Row],[ALT_KOD]]))</f>
        <v>2</v>
      </c>
      <c r="L4548">
        <v>0</v>
      </c>
      <c r="M4548">
        <f>IF((DST_123_ÜRETİM_İHTİYAÇ_RAPORU_BURAK_YENI1309[[#This Row],[SATINALMA]]*DST_123_ÜRETİM_İHTİYAÇ_RAPORU_BURAK_YENI1309[[#This Row],[BIRIM_FIYATLAR]])&lt;1,VALUE("0"),DST_123_ÜRETİM_İHTİYAÇ_RAPORU_BURAK_YENI1309[[#This Row],[SATINALMA]]*DST_123_ÜRETİM_İHTİYAÇ_RAPORU_BURAK_YENI1309[[#This Row],[BIRIM_FIYATLAR]])</f>
        <v>233.34</v>
      </c>
      <c r="N4548">
        <v>116.67</v>
      </c>
      <c r="O4548" t="s">
        <v>667</v>
      </c>
      <c r="P4548">
        <v>116.67</v>
      </c>
      <c r="Q4548" t="s">
        <v>177</v>
      </c>
    </row>
    <row r="4549" spans="1:17" x14ac:dyDescent="0.25">
      <c r="A4549" t="s">
        <v>1196</v>
      </c>
      <c r="B4549" t="s">
        <v>1197</v>
      </c>
      <c r="C4549" t="s">
        <v>175</v>
      </c>
      <c r="D4549" t="s">
        <v>988</v>
      </c>
      <c r="E4549" t="s">
        <v>989</v>
      </c>
      <c r="F4549">
        <v>1</v>
      </c>
      <c r="G4549" t="s">
        <v>176</v>
      </c>
      <c r="H4549">
        <v>0</v>
      </c>
      <c r="I4549">
        <v>2</v>
      </c>
      <c r="J4549" s="10">
        <v>1</v>
      </c>
      <c r="K4549" s="10">
        <f>SUMIFS(F:F,D:D,DST_123_ÜRETİM_İHTİYAÇ_RAPORU_BURAK_YENI1309[[#This Row],[ALT_KOD]])-(SUMIFS(H:H,D:D,DST_123_ÜRETİM_İHTİYAÇ_RAPORU_BURAK_YENI1309[[#This Row],[ALT_KOD]])+AVERAGEIFS(I:I,D:D,DST_123_ÜRETİM_İHTİYAÇ_RAPORU_BURAK_YENI1309[[#This Row],[ALT_KOD]])+AVERAGEIFS(L:L,D:D,DST_123_ÜRETİM_İHTİYAÇ_RAPORU_BURAK_YENI1309[[#This Row],[ALT_KOD]]))</f>
        <v>-1</v>
      </c>
      <c r="L4549">
        <v>2</v>
      </c>
      <c r="M4549">
        <f>IF((DST_123_ÜRETİM_İHTİYAÇ_RAPORU_BURAK_YENI1309[[#This Row],[SATINALMA]]*DST_123_ÜRETİM_İHTİYAÇ_RAPORU_BURAK_YENI1309[[#This Row],[BIRIM_FIYATLAR]])&lt;1,VALUE("0"),DST_123_ÜRETİM_İHTİYAÇ_RAPORU_BURAK_YENI1309[[#This Row],[SATINALMA]]*DST_123_ÜRETİM_İHTİYAÇ_RAPORU_BURAK_YENI1309[[#This Row],[BIRIM_FIYATLAR]])</f>
        <v>0</v>
      </c>
      <c r="N4549">
        <v>41000</v>
      </c>
      <c r="O4549" t="s">
        <v>785</v>
      </c>
      <c r="P4549">
        <v>41000</v>
      </c>
      <c r="Q4549" t="s">
        <v>222</v>
      </c>
    </row>
    <row r="4550" spans="1:17" x14ac:dyDescent="0.25">
      <c r="A4550" t="s">
        <v>1149</v>
      </c>
      <c r="B4550" t="s">
        <v>1145</v>
      </c>
      <c r="C4550" t="s">
        <v>175</v>
      </c>
      <c r="D4550" t="s">
        <v>607</v>
      </c>
      <c r="E4550" t="s">
        <v>608</v>
      </c>
      <c r="F4550">
        <v>2</v>
      </c>
      <c r="G4550" t="s">
        <v>176</v>
      </c>
      <c r="H4550">
        <v>0</v>
      </c>
      <c r="I4550">
        <v>0</v>
      </c>
      <c r="J4550" s="10">
        <v>10</v>
      </c>
      <c r="K4550" s="10">
        <f>SUMIFS(F:F,D:D,DST_123_ÜRETİM_İHTİYAÇ_RAPORU_BURAK_YENI1309[[#This Row],[ALT_KOD]])-(SUMIFS(H:H,D:D,DST_123_ÜRETİM_İHTİYAÇ_RAPORU_BURAK_YENI1309[[#This Row],[ALT_KOD]])+AVERAGEIFS(I:I,D:D,DST_123_ÜRETİM_İHTİYAÇ_RAPORU_BURAK_YENI1309[[#This Row],[ALT_KOD]])+AVERAGEIFS(L:L,D:D,DST_123_ÜRETİM_İHTİYAÇ_RAPORU_BURAK_YENI1309[[#This Row],[ALT_KOD]]))</f>
        <v>24</v>
      </c>
      <c r="L4550">
        <v>0</v>
      </c>
      <c r="M4550">
        <f>IF((DST_123_ÜRETİM_İHTİYAÇ_RAPORU_BURAK_YENI1309[[#This Row],[SATINALMA]]*DST_123_ÜRETİM_İHTİYAÇ_RAPORU_BURAK_YENI1309[[#This Row],[BIRIM_FIYATLAR]])&lt;1,VALUE("0"),DST_123_ÜRETİM_İHTİYAÇ_RAPORU_BURAK_YENI1309[[#This Row],[SATINALMA]]*DST_123_ÜRETİM_İHTİYAÇ_RAPORU_BURAK_YENI1309[[#This Row],[BIRIM_FIYATLAR]])</f>
        <v>1358.4</v>
      </c>
      <c r="N4550">
        <v>56.6</v>
      </c>
      <c r="O4550" t="s">
        <v>636</v>
      </c>
      <c r="P4550">
        <v>113.2</v>
      </c>
      <c r="Q4550" t="s">
        <v>177</v>
      </c>
    </row>
    <row r="4551" spans="1:17" x14ac:dyDescent="0.25">
      <c r="A4551" t="s">
        <v>1144</v>
      </c>
      <c r="B4551" t="s">
        <v>1145</v>
      </c>
      <c r="C4551" t="s">
        <v>175</v>
      </c>
      <c r="D4551" t="s">
        <v>607</v>
      </c>
      <c r="E4551" t="s">
        <v>608</v>
      </c>
      <c r="F4551">
        <v>2</v>
      </c>
      <c r="G4551" t="s">
        <v>176</v>
      </c>
      <c r="H4551">
        <v>0</v>
      </c>
      <c r="I4551">
        <v>0</v>
      </c>
      <c r="J4551" s="10">
        <v>10</v>
      </c>
      <c r="K4551" s="10">
        <f>SUMIFS(F:F,D:D,DST_123_ÜRETİM_İHTİYAÇ_RAPORU_BURAK_YENI1309[[#This Row],[ALT_KOD]])-(SUMIFS(H:H,D:D,DST_123_ÜRETİM_İHTİYAÇ_RAPORU_BURAK_YENI1309[[#This Row],[ALT_KOD]])+AVERAGEIFS(I:I,D:D,DST_123_ÜRETİM_İHTİYAÇ_RAPORU_BURAK_YENI1309[[#This Row],[ALT_KOD]])+AVERAGEIFS(L:L,D:D,DST_123_ÜRETİM_İHTİYAÇ_RAPORU_BURAK_YENI1309[[#This Row],[ALT_KOD]]))</f>
        <v>24</v>
      </c>
      <c r="L4551">
        <v>0</v>
      </c>
      <c r="M4551">
        <f>IF((DST_123_ÜRETİM_İHTİYAÇ_RAPORU_BURAK_YENI1309[[#This Row],[SATINALMA]]*DST_123_ÜRETİM_İHTİYAÇ_RAPORU_BURAK_YENI1309[[#This Row],[BIRIM_FIYATLAR]])&lt;1,VALUE("0"),DST_123_ÜRETİM_İHTİYAÇ_RAPORU_BURAK_YENI1309[[#This Row],[SATINALMA]]*DST_123_ÜRETİM_İHTİYAÇ_RAPORU_BURAK_YENI1309[[#This Row],[BIRIM_FIYATLAR]])</f>
        <v>1358.4</v>
      </c>
      <c r="N4551">
        <v>56.6</v>
      </c>
      <c r="O4551" t="s">
        <v>636</v>
      </c>
      <c r="P4551">
        <v>113.2</v>
      </c>
      <c r="Q4551" t="s">
        <v>177</v>
      </c>
    </row>
    <row r="4552" spans="1:17" x14ac:dyDescent="0.25">
      <c r="A4552" t="s">
        <v>1144</v>
      </c>
      <c r="B4552" t="s">
        <v>1145</v>
      </c>
      <c r="C4552" t="s">
        <v>175</v>
      </c>
      <c r="D4552" t="s">
        <v>480</v>
      </c>
      <c r="E4552" t="s">
        <v>481</v>
      </c>
      <c r="F4552">
        <v>16</v>
      </c>
      <c r="G4552" t="s">
        <v>176</v>
      </c>
      <c r="H4552">
        <v>0</v>
      </c>
      <c r="I4552">
        <v>442</v>
      </c>
      <c r="J4552" s="10">
        <v>0</v>
      </c>
      <c r="K4552" s="10">
        <f>SUMIFS(F:F,D:D,DST_123_ÜRETİM_İHTİYAÇ_RAPORU_BURAK_YENI1309[[#This Row],[ALT_KOD]])-(SUMIFS(H:H,D:D,DST_123_ÜRETİM_İHTİYAÇ_RAPORU_BURAK_YENI1309[[#This Row],[ALT_KOD]])+AVERAGEIFS(I:I,D:D,DST_123_ÜRETİM_İHTİYAÇ_RAPORU_BURAK_YENI1309[[#This Row],[ALT_KOD]])+AVERAGEIFS(L:L,D:D,DST_123_ÜRETİM_İHTİYAÇ_RAPORU_BURAK_YENI1309[[#This Row],[ALT_KOD]]))</f>
        <v>-64</v>
      </c>
      <c r="L4552">
        <v>0</v>
      </c>
      <c r="M4552">
        <f>IF((DST_123_ÜRETİM_İHTİYAÇ_RAPORU_BURAK_YENI1309[[#This Row],[SATINALMA]]*DST_123_ÜRETİM_İHTİYAÇ_RAPORU_BURAK_YENI1309[[#This Row],[BIRIM_FIYATLAR]])&lt;1,VALUE("0"),DST_123_ÜRETİM_İHTİYAÇ_RAPORU_BURAK_YENI1309[[#This Row],[SATINALMA]]*DST_123_ÜRETİM_İHTİYAÇ_RAPORU_BURAK_YENI1309[[#This Row],[BIRIM_FIYATLAR]])</f>
        <v>0</v>
      </c>
      <c r="N4552">
        <v>9.35</v>
      </c>
      <c r="O4552" t="s">
        <v>882</v>
      </c>
      <c r="P4552">
        <v>149.6</v>
      </c>
      <c r="Q4552" t="s">
        <v>180</v>
      </c>
    </row>
    <row r="4553" spans="1:17" x14ac:dyDescent="0.25">
      <c r="A4553" t="s">
        <v>1146</v>
      </c>
      <c r="B4553" t="s">
        <v>1145</v>
      </c>
      <c r="C4553" t="s">
        <v>175</v>
      </c>
      <c r="D4553" t="s">
        <v>480</v>
      </c>
      <c r="E4553" t="s">
        <v>481</v>
      </c>
      <c r="F4553">
        <v>16</v>
      </c>
      <c r="G4553" t="s">
        <v>176</v>
      </c>
      <c r="H4553">
        <v>0</v>
      </c>
      <c r="I4553">
        <v>442</v>
      </c>
      <c r="J4553" s="10">
        <v>0</v>
      </c>
      <c r="K4553" s="10">
        <f>SUMIFS(F:F,D:D,DST_123_ÜRETİM_İHTİYAÇ_RAPORU_BURAK_YENI1309[[#This Row],[ALT_KOD]])-(SUMIFS(H:H,D:D,DST_123_ÜRETİM_İHTİYAÇ_RAPORU_BURAK_YENI1309[[#This Row],[ALT_KOD]])+AVERAGEIFS(I:I,D:D,DST_123_ÜRETİM_İHTİYAÇ_RAPORU_BURAK_YENI1309[[#This Row],[ALT_KOD]])+AVERAGEIFS(L:L,D:D,DST_123_ÜRETİM_İHTİYAÇ_RAPORU_BURAK_YENI1309[[#This Row],[ALT_KOD]]))</f>
        <v>-64</v>
      </c>
      <c r="L4553">
        <v>0</v>
      </c>
      <c r="M4553">
        <f>IF((DST_123_ÜRETİM_İHTİYAÇ_RAPORU_BURAK_YENI1309[[#This Row],[SATINALMA]]*DST_123_ÜRETİM_İHTİYAÇ_RAPORU_BURAK_YENI1309[[#This Row],[BIRIM_FIYATLAR]])&lt;1,VALUE("0"),DST_123_ÜRETİM_İHTİYAÇ_RAPORU_BURAK_YENI1309[[#This Row],[SATINALMA]]*DST_123_ÜRETİM_İHTİYAÇ_RAPORU_BURAK_YENI1309[[#This Row],[BIRIM_FIYATLAR]])</f>
        <v>0</v>
      </c>
      <c r="N4553">
        <v>9.35</v>
      </c>
      <c r="O4553" t="s">
        <v>882</v>
      </c>
      <c r="P4553">
        <v>149.6</v>
      </c>
      <c r="Q4553" t="s">
        <v>180</v>
      </c>
    </row>
    <row r="4554" spans="1:17" x14ac:dyDescent="0.25">
      <c r="A4554" t="s">
        <v>1149</v>
      </c>
      <c r="B4554" t="s">
        <v>1145</v>
      </c>
      <c r="C4554" t="s">
        <v>175</v>
      </c>
      <c r="D4554" t="s">
        <v>448</v>
      </c>
      <c r="E4554" t="s">
        <v>449</v>
      </c>
      <c r="F4554">
        <v>2</v>
      </c>
      <c r="G4554" t="s">
        <v>176</v>
      </c>
      <c r="H4554">
        <v>0</v>
      </c>
      <c r="I4554">
        <v>27</v>
      </c>
      <c r="J4554" s="10">
        <v>16</v>
      </c>
      <c r="K4554" s="10">
        <f>SUMIFS(F:F,D:D,DST_123_ÜRETİM_İHTİYAÇ_RAPORU_BURAK_YENI1309[[#This Row],[ALT_KOD]])-(SUMIFS(H:H,D:D,DST_123_ÜRETİM_İHTİYAÇ_RAPORU_BURAK_YENI1309[[#This Row],[ALT_KOD]])+AVERAGEIFS(I:I,D:D,DST_123_ÜRETİM_İHTİYAÇ_RAPORU_BURAK_YENI1309[[#This Row],[ALT_KOD]])+AVERAGEIFS(L:L,D:D,DST_123_ÜRETİM_İHTİYAÇ_RAPORU_BURAK_YENI1309[[#This Row],[ALT_KOD]]))</f>
        <v>-3</v>
      </c>
      <c r="L4554">
        <v>0</v>
      </c>
      <c r="M4554">
        <f>IF((DST_123_ÜRETİM_İHTİYAÇ_RAPORU_BURAK_YENI1309[[#This Row],[SATINALMA]]*DST_123_ÜRETİM_İHTİYAÇ_RAPORU_BURAK_YENI1309[[#This Row],[BIRIM_FIYATLAR]])&lt;1,VALUE("0"),DST_123_ÜRETİM_İHTİYAÇ_RAPORU_BURAK_YENI1309[[#This Row],[SATINALMA]]*DST_123_ÜRETİM_İHTİYAÇ_RAPORU_BURAK_YENI1309[[#This Row],[BIRIM_FIYATLAR]])</f>
        <v>0</v>
      </c>
      <c r="N4554">
        <v>66.23</v>
      </c>
      <c r="O4554" t="s">
        <v>227</v>
      </c>
      <c r="P4554">
        <v>132.46</v>
      </c>
      <c r="Q4554" t="s">
        <v>221</v>
      </c>
    </row>
    <row r="4555" spans="1:17" x14ac:dyDescent="0.25">
      <c r="A4555" t="s">
        <v>1146</v>
      </c>
      <c r="B4555" t="s">
        <v>1145</v>
      </c>
      <c r="C4555" t="s">
        <v>175</v>
      </c>
      <c r="D4555" t="s">
        <v>448</v>
      </c>
      <c r="E4555" t="s">
        <v>449</v>
      </c>
      <c r="F4555">
        <v>2</v>
      </c>
      <c r="G4555" t="s">
        <v>176</v>
      </c>
      <c r="H4555">
        <v>0</v>
      </c>
      <c r="I4555">
        <v>27</v>
      </c>
      <c r="J4555" s="10">
        <v>16</v>
      </c>
      <c r="K4555" s="10">
        <f>SUMIFS(F:F,D:D,DST_123_ÜRETİM_İHTİYAÇ_RAPORU_BURAK_YENI1309[[#This Row],[ALT_KOD]])-(SUMIFS(H:H,D:D,DST_123_ÜRETİM_İHTİYAÇ_RAPORU_BURAK_YENI1309[[#This Row],[ALT_KOD]])+AVERAGEIFS(I:I,D:D,DST_123_ÜRETİM_İHTİYAÇ_RAPORU_BURAK_YENI1309[[#This Row],[ALT_KOD]])+AVERAGEIFS(L:L,D:D,DST_123_ÜRETİM_İHTİYAÇ_RAPORU_BURAK_YENI1309[[#This Row],[ALT_KOD]]))</f>
        <v>-3</v>
      </c>
      <c r="L4555">
        <v>0</v>
      </c>
      <c r="M4555">
        <f>IF((DST_123_ÜRETİM_İHTİYAÇ_RAPORU_BURAK_YENI1309[[#This Row],[SATINALMA]]*DST_123_ÜRETİM_İHTİYAÇ_RAPORU_BURAK_YENI1309[[#This Row],[BIRIM_FIYATLAR]])&lt;1,VALUE("0"),DST_123_ÜRETİM_İHTİYAÇ_RAPORU_BURAK_YENI1309[[#This Row],[SATINALMA]]*DST_123_ÜRETİM_İHTİYAÇ_RAPORU_BURAK_YENI1309[[#This Row],[BIRIM_FIYATLAR]])</f>
        <v>0</v>
      </c>
      <c r="N4555">
        <v>66.23</v>
      </c>
      <c r="O4555" t="s">
        <v>227</v>
      </c>
      <c r="P4555">
        <v>132.46</v>
      </c>
      <c r="Q4555" t="s">
        <v>221</v>
      </c>
    </row>
    <row r="4556" spans="1:17" x14ac:dyDescent="0.25">
      <c r="A4556" t="s">
        <v>1144</v>
      </c>
      <c r="B4556" t="s">
        <v>1145</v>
      </c>
      <c r="C4556" t="s">
        <v>175</v>
      </c>
      <c r="D4556" t="s">
        <v>970</v>
      </c>
      <c r="E4556" t="s">
        <v>971</v>
      </c>
      <c r="F4556">
        <v>0.36</v>
      </c>
      <c r="G4556" t="s">
        <v>182</v>
      </c>
      <c r="H4556">
        <v>0</v>
      </c>
      <c r="I4556">
        <v>0</v>
      </c>
      <c r="J4556" s="10">
        <v>30.76</v>
      </c>
      <c r="K4556" s="10">
        <f>SUMIFS(F:F,D:D,DST_123_ÜRETİM_İHTİYAÇ_RAPORU_BURAK_YENI1309[[#This Row],[ALT_KOD]])-(SUMIFS(H:H,D:D,DST_123_ÜRETİM_İHTİYAÇ_RAPORU_BURAK_YENI1309[[#This Row],[ALT_KOD]])+AVERAGEIFS(I:I,D:D,DST_123_ÜRETİM_İHTİYAÇ_RAPORU_BURAK_YENI1309[[#This Row],[ALT_KOD]])+AVERAGEIFS(L:L,D:D,DST_123_ÜRETİM_İHTİYAÇ_RAPORU_BURAK_YENI1309[[#This Row],[ALT_KOD]]))</f>
        <v>4.4400000000000004</v>
      </c>
      <c r="L4556">
        <v>0</v>
      </c>
      <c r="M4556">
        <f>IF((DST_123_ÜRETİM_İHTİYAÇ_RAPORU_BURAK_YENI1309[[#This Row],[SATINALMA]]*DST_123_ÜRETİM_İHTİYAÇ_RAPORU_BURAK_YENI1309[[#This Row],[BIRIM_FIYATLAR]])&lt;1,VALUE("0"),DST_123_ÜRETİM_İHTİYAÇ_RAPORU_BURAK_YENI1309[[#This Row],[SATINALMA]]*DST_123_ÜRETİM_İHTİYAÇ_RAPORU_BURAK_YENI1309[[#This Row],[BIRIM_FIYATLAR]])</f>
        <v>7762.0524000000005</v>
      </c>
      <c r="N4556">
        <v>1748.21</v>
      </c>
      <c r="O4556" t="s">
        <v>223</v>
      </c>
      <c r="P4556">
        <v>629.35559999999998</v>
      </c>
      <c r="Q4556" t="s">
        <v>181</v>
      </c>
    </row>
    <row r="4557" spans="1:17" x14ac:dyDescent="0.25">
      <c r="A4557" t="s">
        <v>1149</v>
      </c>
      <c r="B4557" t="s">
        <v>1145</v>
      </c>
      <c r="C4557" t="s">
        <v>175</v>
      </c>
      <c r="D4557" t="s">
        <v>1155</v>
      </c>
      <c r="E4557" t="s">
        <v>1156</v>
      </c>
      <c r="F4557">
        <v>4</v>
      </c>
      <c r="G4557" t="s">
        <v>176</v>
      </c>
      <c r="H4557">
        <v>0</v>
      </c>
      <c r="I4557">
        <v>0</v>
      </c>
      <c r="J4557" s="10">
        <v>0</v>
      </c>
      <c r="K4557" s="10">
        <f>SUMIFS(F:F,D:D,DST_123_ÜRETİM_İHTİYAÇ_RAPORU_BURAK_YENI1309[[#This Row],[ALT_KOD]])-(SUMIFS(H:H,D:D,DST_123_ÜRETİM_İHTİYAÇ_RAPORU_BURAK_YENI1309[[#This Row],[ALT_KOD]])+AVERAGEIFS(I:I,D:D,DST_123_ÜRETİM_İHTİYAÇ_RAPORU_BURAK_YENI1309[[#This Row],[ALT_KOD]])+AVERAGEIFS(L:L,D:D,DST_123_ÜRETİM_İHTİYAÇ_RAPORU_BURAK_YENI1309[[#This Row],[ALT_KOD]]))</f>
        <v>24</v>
      </c>
      <c r="L4557">
        <v>0</v>
      </c>
      <c r="M4557">
        <f>IF((DST_123_ÜRETİM_İHTİYAÇ_RAPORU_BURAK_YENI1309[[#This Row],[SATINALMA]]*DST_123_ÜRETİM_İHTİYAÇ_RAPORU_BURAK_YENI1309[[#This Row],[BIRIM_FIYATLAR]])&lt;1,VALUE("0"),DST_123_ÜRETİM_İHTİYAÇ_RAPORU_BURAK_YENI1309[[#This Row],[SATINALMA]]*DST_123_ÜRETİM_İHTİYAÇ_RAPORU_BURAK_YENI1309[[#This Row],[BIRIM_FIYATLAR]])</f>
        <v>21.12</v>
      </c>
      <c r="N4557">
        <v>0.88</v>
      </c>
      <c r="O4557" t="s">
        <v>635</v>
      </c>
      <c r="P4557">
        <v>3.52</v>
      </c>
      <c r="Q4557" t="s">
        <v>221</v>
      </c>
    </row>
    <row r="4558" spans="1:17" x14ac:dyDescent="0.25">
      <c r="A4558" t="s">
        <v>1149</v>
      </c>
      <c r="B4558" t="s">
        <v>1145</v>
      </c>
      <c r="C4558" t="s">
        <v>175</v>
      </c>
      <c r="D4558" t="s">
        <v>1051</v>
      </c>
      <c r="E4558" t="s">
        <v>1052</v>
      </c>
      <c r="F4558">
        <v>1</v>
      </c>
      <c r="G4558" t="s">
        <v>176</v>
      </c>
      <c r="H4558">
        <v>0</v>
      </c>
      <c r="I4558">
        <v>2</v>
      </c>
      <c r="J4558" s="10">
        <v>7</v>
      </c>
      <c r="K4558" s="10">
        <f>SUMIFS(F:F,D:D,DST_123_ÜRETİM_İHTİYAÇ_RAPORU_BURAK_YENI1309[[#This Row],[ALT_KOD]])-(SUMIFS(H:H,D:D,DST_123_ÜRETİM_İHTİYAÇ_RAPORU_BURAK_YENI1309[[#This Row],[ALT_KOD]])+AVERAGEIFS(I:I,D:D,DST_123_ÜRETİM_İHTİYAÇ_RAPORU_BURAK_YENI1309[[#This Row],[ALT_KOD]])+AVERAGEIFS(L:L,D:D,DST_123_ÜRETİM_İHTİYAÇ_RAPORU_BURAK_YENI1309[[#This Row],[ALT_KOD]]))</f>
        <v>10</v>
      </c>
      <c r="L4558">
        <v>0</v>
      </c>
      <c r="M4558">
        <f>IF((DST_123_ÜRETİM_İHTİYAÇ_RAPORU_BURAK_YENI1309[[#This Row],[SATINALMA]]*DST_123_ÜRETİM_İHTİYAÇ_RAPORU_BURAK_YENI1309[[#This Row],[BIRIM_FIYATLAR]])&lt;1,VALUE("0"),DST_123_ÜRETİM_İHTİYAÇ_RAPORU_BURAK_YENI1309[[#This Row],[SATINALMA]]*DST_123_ÜRETİM_İHTİYAÇ_RAPORU_BURAK_YENI1309[[#This Row],[BIRIM_FIYATLAR]])</f>
        <v>121389.3</v>
      </c>
      <c r="N4558">
        <v>12138.93</v>
      </c>
      <c r="O4558" t="s">
        <v>634</v>
      </c>
      <c r="P4558">
        <v>12138.93</v>
      </c>
      <c r="Q4558" t="s">
        <v>177</v>
      </c>
    </row>
    <row r="4559" spans="1:17" x14ac:dyDescent="0.25">
      <c r="A4559" t="s">
        <v>1057</v>
      </c>
      <c r="B4559" t="s">
        <v>1058</v>
      </c>
      <c r="C4559" t="s">
        <v>175</v>
      </c>
      <c r="D4559" t="s">
        <v>716</v>
      </c>
      <c r="E4559" t="s">
        <v>717</v>
      </c>
      <c r="F4559">
        <v>0.2</v>
      </c>
      <c r="G4559" t="s">
        <v>179</v>
      </c>
      <c r="H4559">
        <v>0</v>
      </c>
      <c r="I4559">
        <v>200</v>
      </c>
      <c r="J4559" s="10">
        <v>85.649999999999977</v>
      </c>
      <c r="K4559" s="10">
        <f>SUMIFS(F:F,D:D,DST_123_ÜRETİM_İHTİYAÇ_RAPORU_BURAK_YENI1309[[#This Row],[ALT_KOD]])-(SUMIFS(H:H,D:D,DST_123_ÜRETİM_İHTİYAÇ_RAPORU_BURAK_YENI1309[[#This Row],[ALT_KOD]])+AVERAGEIFS(I:I,D:D,DST_123_ÜRETİM_İHTİYAÇ_RAPORU_BURAK_YENI1309[[#This Row],[ALT_KOD]])+AVERAGEIFS(L:L,D:D,DST_123_ÜRETİM_İHTİYAÇ_RAPORU_BURAK_YENI1309[[#This Row],[ALT_KOD]]))</f>
        <v>-196.4</v>
      </c>
      <c r="L4559">
        <v>0</v>
      </c>
      <c r="M4559">
        <f>IF((DST_123_ÜRETİM_İHTİYAÇ_RAPORU_BURAK_YENI1309[[#This Row],[SATINALMA]]*DST_123_ÜRETİM_İHTİYAÇ_RAPORU_BURAK_YENI1309[[#This Row],[BIRIM_FIYATLAR]])&lt;1,VALUE("0"),DST_123_ÜRETİM_İHTİYAÇ_RAPORU_BURAK_YENI1309[[#This Row],[SATINALMA]]*DST_123_ÜRETİM_İHTİYAÇ_RAPORU_BURAK_YENI1309[[#This Row],[BIRIM_FIYATLAR]])</f>
        <v>0</v>
      </c>
      <c r="N4559">
        <v>3.62</v>
      </c>
      <c r="O4559" t="s">
        <v>826</v>
      </c>
      <c r="P4559">
        <v>0.72400000000000009</v>
      </c>
      <c r="Q4559" t="s">
        <v>221</v>
      </c>
    </row>
    <row r="4560" spans="1:17" x14ac:dyDescent="0.25">
      <c r="A4560" t="s">
        <v>1101</v>
      </c>
      <c r="B4560" t="s">
        <v>1102</v>
      </c>
      <c r="C4560" t="s">
        <v>175</v>
      </c>
      <c r="D4560" t="s">
        <v>716</v>
      </c>
      <c r="E4560" t="s">
        <v>717</v>
      </c>
      <c r="F4560">
        <v>0.2</v>
      </c>
      <c r="G4560" t="s">
        <v>179</v>
      </c>
      <c r="H4560">
        <v>0</v>
      </c>
      <c r="I4560">
        <v>200</v>
      </c>
      <c r="J4560" s="10">
        <v>85.649999999999977</v>
      </c>
      <c r="K4560" s="10">
        <f>SUMIFS(F:F,D:D,DST_123_ÜRETİM_İHTİYAÇ_RAPORU_BURAK_YENI1309[[#This Row],[ALT_KOD]])-(SUMIFS(H:H,D:D,DST_123_ÜRETİM_İHTİYAÇ_RAPORU_BURAK_YENI1309[[#This Row],[ALT_KOD]])+AVERAGEIFS(I:I,D:D,DST_123_ÜRETİM_İHTİYAÇ_RAPORU_BURAK_YENI1309[[#This Row],[ALT_KOD]])+AVERAGEIFS(L:L,D:D,DST_123_ÜRETİM_İHTİYAÇ_RAPORU_BURAK_YENI1309[[#This Row],[ALT_KOD]]))</f>
        <v>-196.4</v>
      </c>
      <c r="L4560">
        <v>0</v>
      </c>
      <c r="M4560">
        <f>IF((DST_123_ÜRETİM_İHTİYAÇ_RAPORU_BURAK_YENI1309[[#This Row],[SATINALMA]]*DST_123_ÜRETİM_İHTİYAÇ_RAPORU_BURAK_YENI1309[[#This Row],[BIRIM_FIYATLAR]])&lt;1,VALUE("0"),DST_123_ÜRETİM_İHTİYAÇ_RAPORU_BURAK_YENI1309[[#This Row],[SATINALMA]]*DST_123_ÜRETİM_İHTİYAÇ_RAPORU_BURAK_YENI1309[[#This Row],[BIRIM_FIYATLAR]])</f>
        <v>0</v>
      </c>
      <c r="N4560">
        <v>3.62</v>
      </c>
      <c r="O4560" t="s">
        <v>826</v>
      </c>
      <c r="P4560">
        <v>0.72400000000000009</v>
      </c>
      <c r="Q4560" t="s">
        <v>221</v>
      </c>
    </row>
    <row r="4561" spans="1:17" x14ac:dyDescent="0.25">
      <c r="A4561" t="s">
        <v>1099</v>
      </c>
      <c r="B4561" t="s">
        <v>1055</v>
      </c>
      <c r="C4561" t="s">
        <v>175</v>
      </c>
      <c r="D4561" t="s">
        <v>347</v>
      </c>
      <c r="E4561" t="s">
        <v>348</v>
      </c>
      <c r="F4561">
        <v>1.05</v>
      </c>
      <c r="G4561" t="s">
        <v>176</v>
      </c>
      <c r="H4561">
        <v>0</v>
      </c>
      <c r="I4561">
        <v>2</v>
      </c>
      <c r="J4561" s="10">
        <v>-6.3837823915946501E-16</v>
      </c>
      <c r="K4561" s="10">
        <f>SUMIFS(F:F,D:D,DST_123_ÜRETİM_İHTİYAÇ_RAPORU_BURAK_YENI1309[[#This Row],[ALT_KOD]])-(SUMIFS(H:H,D:D,DST_123_ÜRETİM_İHTİYAÇ_RAPORU_BURAK_YENI1309[[#This Row],[ALT_KOD]])+AVERAGEIFS(I:I,D:D,DST_123_ÜRETİM_İHTİYAÇ_RAPORU_BURAK_YENI1309[[#This Row],[ALT_KOD]])+AVERAGEIFS(L:L,D:D,DST_123_ÜRETİM_İHTİYAÇ_RAPORU_BURAK_YENI1309[[#This Row],[ALT_KOD]]))</f>
        <v>1.4000000000000004</v>
      </c>
      <c r="L4561">
        <v>0</v>
      </c>
      <c r="M4561">
        <f>IF((DST_123_ÜRETİM_İHTİYAÇ_RAPORU_BURAK_YENI1309[[#This Row],[SATINALMA]]*DST_123_ÜRETİM_İHTİYAÇ_RAPORU_BURAK_YENI1309[[#This Row],[BIRIM_FIYATLAR]])&lt;1,VALUE("0"),DST_123_ÜRETİM_İHTİYAÇ_RAPORU_BURAK_YENI1309[[#This Row],[SATINALMA]]*DST_123_ÜRETİM_İHTİYAÇ_RAPORU_BURAK_YENI1309[[#This Row],[BIRIM_FIYATLAR]])</f>
        <v>3889.2000000000012</v>
      </c>
      <c r="N4561">
        <v>2778</v>
      </c>
      <c r="O4561" t="s">
        <v>217</v>
      </c>
      <c r="P4561">
        <v>2916.9</v>
      </c>
      <c r="Q4561" t="s">
        <v>183</v>
      </c>
    </row>
    <row r="4562" spans="1:17" x14ac:dyDescent="0.25">
      <c r="A4562" t="s">
        <v>1099</v>
      </c>
      <c r="B4562" t="s">
        <v>1055</v>
      </c>
      <c r="C4562" t="s">
        <v>175</v>
      </c>
      <c r="D4562" t="s">
        <v>342</v>
      </c>
      <c r="E4562" t="s">
        <v>343</v>
      </c>
      <c r="F4562">
        <v>0.1</v>
      </c>
      <c r="G4562" t="s">
        <v>176</v>
      </c>
      <c r="H4562">
        <v>0</v>
      </c>
      <c r="I4562">
        <v>2</v>
      </c>
      <c r="J4562" s="10">
        <v>1.7763568394002505E-15</v>
      </c>
      <c r="K4562" s="10">
        <f>SUMIFS(F:F,D:D,DST_123_ÜRETİM_İHTİYAÇ_RAPORU_BURAK_YENI1309[[#This Row],[ALT_KOD]])-(SUMIFS(H:H,D:D,DST_123_ÜRETİM_İHTİYAÇ_RAPORU_BURAK_YENI1309[[#This Row],[ALT_KOD]])+AVERAGEIFS(I:I,D:D,DST_123_ÜRETİM_İHTİYAÇ_RAPORU_BURAK_YENI1309[[#This Row],[ALT_KOD]])+AVERAGEIFS(L:L,D:D,DST_123_ÜRETİM_İHTİYAÇ_RAPORU_BURAK_YENI1309[[#This Row],[ALT_KOD]]))</f>
        <v>-0.84999999999999964</v>
      </c>
      <c r="L4562">
        <v>0</v>
      </c>
      <c r="M4562">
        <f>IF((DST_123_ÜRETİM_İHTİYAÇ_RAPORU_BURAK_YENI1309[[#This Row],[SATINALMA]]*DST_123_ÜRETİM_İHTİYAÇ_RAPORU_BURAK_YENI1309[[#This Row],[BIRIM_FIYATLAR]])&lt;1,VALUE("0"),DST_123_ÜRETİM_İHTİYAÇ_RAPORU_BURAK_YENI1309[[#This Row],[SATINALMA]]*DST_123_ÜRETİM_İHTİYAÇ_RAPORU_BURAK_YENI1309[[#This Row],[BIRIM_FIYATLAR]])</f>
        <v>0</v>
      </c>
      <c r="N4562">
        <v>1400</v>
      </c>
      <c r="O4562" t="s">
        <v>217</v>
      </c>
      <c r="P4562">
        <v>140</v>
      </c>
      <c r="Q4562" t="s">
        <v>183</v>
      </c>
    </row>
    <row r="4563" spans="1:17" x14ac:dyDescent="0.25">
      <c r="A4563" t="s">
        <v>1144</v>
      </c>
      <c r="B4563" t="s">
        <v>1145</v>
      </c>
      <c r="C4563" t="s">
        <v>175</v>
      </c>
      <c r="D4563" t="s">
        <v>342</v>
      </c>
      <c r="E4563" t="s">
        <v>343</v>
      </c>
      <c r="F4563">
        <v>0.05</v>
      </c>
      <c r="G4563" t="s">
        <v>176</v>
      </c>
      <c r="H4563">
        <v>0</v>
      </c>
      <c r="I4563">
        <v>2</v>
      </c>
      <c r="J4563" s="10">
        <v>1.7763568394002505E-15</v>
      </c>
      <c r="K4563" s="10">
        <f>SUMIFS(F:F,D:D,DST_123_ÜRETİM_İHTİYAÇ_RAPORU_BURAK_YENI1309[[#This Row],[ALT_KOD]])-(SUMIFS(H:H,D:D,DST_123_ÜRETİM_İHTİYAÇ_RAPORU_BURAK_YENI1309[[#This Row],[ALT_KOD]])+AVERAGEIFS(I:I,D:D,DST_123_ÜRETİM_İHTİYAÇ_RAPORU_BURAK_YENI1309[[#This Row],[ALT_KOD]])+AVERAGEIFS(L:L,D:D,DST_123_ÜRETİM_İHTİYAÇ_RAPORU_BURAK_YENI1309[[#This Row],[ALT_KOD]]))</f>
        <v>-0.84999999999999964</v>
      </c>
      <c r="L4563">
        <v>0</v>
      </c>
      <c r="M4563">
        <f>IF((DST_123_ÜRETİM_İHTİYAÇ_RAPORU_BURAK_YENI1309[[#This Row],[SATINALMA]]*DST_123_ÜRETİM_İHTİYAÇ_RAPORU_BURAK_YENI1309[[#This Row],[BIRIM_FIYATLAR]])&lt;1,VALUE("0"),DST_123_ÜRETİM_İHTİYAÇ_RAPORU_BURAK_YENI1309[[#This Row],[SATINALMA]]*DST_123_ÜRETİM_İHTİYAÇ_RAPORU_BURAK_YENI1309[[#This Row],[BIRIM_FIYATLAR]])</f>
        <v>0</v>
      </c>
      <c r="N4563">
        <v>1400</v>
      </c>
      <c r="O4563" t="s">
        <v>217</v>
      </c>
      <c r="P4563">
        <v>70</v>
      </c>
      <c r="Q4563" t="s">
        <v>183</v>
      </c>
    </row>
    <row r="4564" spans="1:17" x14ac:dyDescent="0.25">
      <c r="A4564" t="s">
        <v>1146</v>
      </c>
      <c r="B4564" t="s">
        <v>1145</v>
      </c>
      <c r="C4564" t="s">
        <v>175</v>
      </c>
      <c r="D4564" t="s">
        <v>342</v>
      </c>
      <c r="E4564" t="s">
        <v>343</v>
      </c>
      <c r="F4564">
        <v>0.05</v>
      </c>
      <c r="G4564" t="s">
        <v>176</v>
      </c>
      <c r="H4564">
        <v>0</v>
      </c>
      <c r="I4564">
        <v>2</v>
      </c>
      <c r="J4564" s="10">
        <v>1.7763568394002505E-15</v>
      </c>
      <c r="K4564" s="10">
        <f>SUMIFS(F:F,D:D,DST_123_ÜRETİM_İHTİYAÇ_RAPORU_BURAK_YENI1309[[#This Row],[ALT_KOD]])-(SUMIFS(H:H,D:D,DST_123_ÜRETİM_İHTİYAÇ_RAPORU_BURAK_YENI1309[[#This Row],[ALT_KOD]])+AVERAGEIFS(I:I,D:D,DST_123_ÜRETİM_İHTİYAÇ_RAPORU_BURAK_YENI1309[[#This Row],[ALT_KOD]])+AVERAGEIFS(L:L,D:D,DST_123_ÜRETİM_İHTİYAÇ_RAPORU_BURAK_YENI1309[[#This Row],[ALT_KOD]]))</f>
        <v>-0.84999999999999964</v>
      </c>
      <c r="L4564">
        <v>0</v>
      </c>
      <c r="M4564">
        <f>IF((DST_123_ÜRETİM_İHTİYAÇ_RAPORU_BURAK_YENI1309[[#This Row],[SATINALMA]]*DST_123_ÜRETİM_İHTİYAÇ_RAPORU_BURAK_YENI1309[[#This Row],[BIRIM_FIYATLAR]])&lt;1,VALUE("0"),DST_123_ÜRETİM_İHTİYAÇ_RAPORU_BURAK_YENI1309[[#This Row],[SATINALMA]]*DST_123_ÜRETİM_İHTİYAÇ_RAPORU_BURAK_YENI1309[[#This Row],[BIRIM_FIYATLAR]])</f>
        <v>0</v>
      </c>
      <c r="N4564">
        <v>1400</v>
      </c>
      <c r="O4564" t="s">
        <v>217</v>
      </c>
      <c r="P4564">
        <v>70</v>
      </c>
      <c r="Q4564" t="s">
        <v>183</v>
      </c>
    </row>
    <row r="4565" spans="1:17" x14ac:dyDescent="0.25">
      <c r="A4565" t="s">
        <v>1149</v>
      </c>
      <c r="B4565" t="s">
        <v>1145</v>
      </c>
      <c r="C4565" t="s">
        <v>175</v>
      </c>
      <c r="D4565" t="s">
        <v>502</v>
      </c>
      <c r="E4565" t="s">
        <v>503</v>
      </c>
      <c r="F4565">
        <v>2</v>
      </c>
      <c r="G4565" t="s">
        <v>176</v>
      </c>
      <c r="H4565">
        <v>0</v>
      </c>
      <c r="I4565">
        <v>115</v>
      </c>
      <c r="J4565" s="10">
        <v>2</v>
      </c>
      <c r="K4565" s="10">
        <f>SUMIFS(F:F,D:D,DST_123_ÜRETİM_İHTİYAÇ_RAPORU_BURAK_YENI1309[[#This Row],[ALT_KOD]])-(SUMIFS(H:H,D:D,DST_123_ÜRETİM_İHTİYAÇ_RAPORU_BURAK_YENI1309[[#This Row],[ALT_KOD]])+AVERAGEIFS(I:I,D:D,DST_123_ÜRETİM_İHTİYAÇ_RAPORU_BURAK_YENI1309[[#This Row],[ALT_KOD]])+AVERAGEIFS(L:L,D:D,DST_123_ÜRETİM_İHTİYAÇ_RAPORU_BURAK_YENI1309[[#This Row],[ALT_KOD]]))</f>
        <v>-77</v>
      </c>
      <c r="L4565">
        <v>0</v>
      </c>
      <c r="M4565">
        <f>IF((DST_123_ÜRETİM_İHTİYAÇ_RAPORU_BURAK_YENI1309[[#This Row],[SATINALMA]]*DST_123_ÜRETİM_İHTİYAÇ_RAPORU_BURAK_YENI1309[[#This Row],[BIRIM_FIYATLAR]])&lt;1,VALUE("0"),DST_123_ÜRETİM_İHTİYAÇ_RAPORU_BURAK_YENI1309[[#This Row],[SATINALMA]]*DST_123_ÜRETİM_İHTİYAÇ_RAPORU_BURAK_YENI1309[[#This Row],[BIRIM_FIYATLAR]])</f>
        <v>0</v>
      </c>
      <c r="N4565">
        <v>0.44</v>
      </c>
      <c r="O4565" t="s">
        <v>504</v>
      </c>
      <c r="P4565">
        <v>0.88</v>
      </c>
      <c r="Q4565" t="s">
        <v>221</v>
      </c>
    </row>
    <row r="4566" spans="1:17" x14ac:dyDescent="0.25">
      <c r="A4566" t="s">
        <v>1057</v>
      </c>
      <c r="B4566" t="s">
        <v>1058</v>
      </c>
      <c r="C4566" t="s">
        <v>175</v>
      </c>
      <c r="D4566" t="s">
        <v>963</v>
      </c>
      <c r="E4566" t="s">
        <v>964</v>
      </c>
      <c r="F4566">
        <v>4</v>
      </c>
      <c r="G4566" t="s">
        <v>176</v>
      </c>
      <c r="H4566">
        <v>0</v>
      </c>
      <c r="I4566">
        <v>40</v>
      </c>
      <c r="J4566" s="10">
        <v>0</v>
      </c>
      <c r="K4566" s="10">
        <f>SUMIFS(F:F,D:D,DST_123_ÜRETİM_İHTİYAÇ_RAPORU_BURAK_YENI1309[[#This Row],[ALT_KOD]])-(SUMIFS(H:H,D:D,DST_123_ÜRETİM_İHTİYAÇ_RAPORU_BURAK_YENI1309[[#This Row],[ALT_KOD]])+AVERAGEIFS(I:I,D:D,DST_123_ÜRETİM_İHTİYAÇ_RAPORU_BURAK_YENI1309[[#This Row],[ALT_KOD]])+AVERAGEIFS(L:L,D:D,DST_123_ÜRETİM_İHTİYAÇ_RAPORU_BURAK_YENI1309[[#This Row],[ALT_KOD]]))</f>
        <v>-28</v>
      </c>
      <c r="L4566">
        <v>0</v>
      </c>
      <c r="M4566">
        <f>IF((DST_123_ÜRETİM_İHTİYAÇ_RAPORU_BURAK_YENI1309[[#This Row],[SATINALMA]]*DST_123_ÜRETİM_İHTİYAÇ_RAPORU_BURAK_YENI1309[[#This Row],[BIRIM_FIYATLAR]])&lt;1,VALUE("0"),DST_123_ÜRETİM_İHTİYAÇ_RAPORU_BURAK_YENI1309[[#This Row],[SATINALMA]]*DST_123_ÜRETİM_İHTİYAÇ_RAPORU_BURAK_YENI1309[[#This Row],[BIRIM_FIYATLAR]])</f>
        <v>0</v>
      </c>
      <c r="N4566">
        <v>33</v>
      </c>
      <c r="O4566" t="s">
        <v>226</v>
      </c>
      <c r="P4566">
        <v>132</v>
      </c>
      <c r="Q4566" t="s">
        <v>180</v>
      </c>
    </row>
    <row r="4567" spans="1:17" x14ac:dyDescent="0.25">
      <c r="A4567" t="s">
        <v>1100</v>
      </c>
      <c r="B4567" t="s">
        <v>1058</v>
      </c>
      <c r="C4567" t="s">
        <v>175</v>
      </c>
      <c r="D4567" t="s">
        <v>963</v>
      </c>
      <c r="E4567" t="s">
        <v>964</v>
      </c>
      <c r="F4567">
        <v>4</v>
      </c>
      <c r="G4567" t="s">
        <v>176</v>
      </c>
      <c r="H4567">
        <v>0</v>
      </c>
      <c r="I4567">
        <v>40</v>
      </c>
      <c r="J4567" s="10">
        <v>0</v>
      </c>
      <c r="K4567" s="10">
        <f>SUMIFS(F:F,D:D,DST_123_ÜRETİM_İHTİYAÇ_RAPORU_BURAK_YENI1309[[#This Row],[ALT_KOD]])-(SUMIFS(H:H,D:D,DST_123_ÜRETİM_İHTİYAÇ_RAPORU_BURAK_YENI1309[[#This Row],[ALT_KOD]])+AVERAGEIFS(I:I,D:D,DST_123_ÜRETİM_İHTİYAÇ_RAPORU_BURAK_YENI1309[[#This Row],[ALT_KOD]])+AVERAGEIFS(L:L,D:D,DST_123_ÜRETİM_İHTİYAÇ_RAPORU_BURAK_YENI1309[[#This Row],[ALT_KOD]]))</f>
        <v>-28</v>
      </c>
      <c r="L4567">
        <v>0</v>
      </c>
      <c r="M4567">
        <f>IF((DST_123_ÜRETİM_İHTİYAÇ_RAPORU_BURAK_YENI1309[[#This Row],[SATINALMA]]*DST_123_ÜRETİM_İHTİYAÇ_RAPORU_BURAK_YENI1309[[#This Row],[BIRIM_FIYATLAR]])&lt;1,VALUE("0"),DST_123_ÜRETİM_İHTİYAÇ_RAPORU_BURAK_YENI1309[[#This Row],[SATINALMA]]*DST_123_ÜRETİM_İHTİYAÇ_RAPORU_BURAK_YENI1309[[#This Row],[BIRIM_FIYATLAR]])</f>
        <v>0</v>
      </c>
      <c r="N4567">
        <v>33</v>
      </c>
      <c r="O4567" t="s">
        <v>226</v>
      </c>
      <c r="P4567">
        <v>132</v>
      </c>
      <c r="Q4567" t="s">
        <v>180</v>
      </c>
    </row>
    <row r="4568" spans="1:17" x14ac:dyDescent="0.25">
      <c r="A4568" t="s">
        <v>1144</v>
      </c>
      <c r="B4568" t="s">
        <v>1145</v>
      </c>
      <c r="C4568" t="s">
        <v>175</v>
      </c>
      <c r="D4568" t="s">
        <v>502</v>
      </c>
      <c r="E4568" t="s">
        <v>503</v>
      </c>
      <c r="F4568">
        <v>2</v>
      </c>
      <c r="G4568" t="s">
        <v>176</v>
      </c>
      <c r="H4568">
        <v>0</v>
      </c>
      <c r="I4568">
        <v>115</v>
      </c>
      <c r="J4568" s="10">
        <v>2</v>
      </c>
      <c r="K4568" s="10">
        <f>SUMIFS(F:F,D:D,DST_123_ÜRETİM_İHTİYAÇ_RAPORU_BURAK_YENI1309[[#This Row],[ALT_KOD]])-(SUMIFS(H:H,D:D,DST_123_ÜRETİM_İHTİYAÇ_RAPORU_BURAK_YENI1309[[#This Row],[ALT_KOD]])+AVERAGEIFS(I:I,D:D,DST_123_ÜRETİM_İHTİYAÇ_RAPORU_BURAK_YENI1309[[#This Row],[ALT_KOD]])+AVERAGEIFS(L:L,D:D,DST_123_ÜRETİM_İHTİYAÇ_RAPORU_BURAK_YENI1309[[#This Row],[ALT_KOD]]))</f>
        <v>-77</v>
      </c>
      <c r="L4568">
        <v>0</v>
      </c>
      <c r="M4568">
        <f>IF((DST_123_ÜRETİM_İHTİYAÇ_RAPORU_BURAK_YENI1309[[#This Row],[SATINALMA]]*DST_123_ÜRETİM_İHTİYAÇ_RAPORU_BURAK_YENI1309[[#This Row],[BIRIM_FIYATLAR]])&lt;1,VALUE("0"),DST_123_ÜRETİM_İHTİYAÇ_RAPORU_BURAK_YENI1309[[#This Row],[SATINALMA]]*DST_123_ÜRETİM_İHTİYAÇ_RAPORU_BURAK_YENI1309[[#This Row],[BIRIM_FIYATLAR]])</f>
        <v>0</v>
      </c>
      <c r="N4568">
        <v>0.44</v>
      </c>
      <c r="O4568" t="s">
        <v>504</v>
      </c>
      <c r="P4568">
        <v>0.88</v>
      </c>
      <c r="Q4568" t="s">
        <v>221</v>
      </c>
    </row>
    <row r="4569" spans="1:17" x14ac:dyDescent="0.25">
      <c r="A4569" t="s">
        <v>1146</v>
      </c>
      <c r="B4569" t="s">
        <v>1145</v>
      </c>
      <c r="C4569" t="s">
        <v>175</v>
      </c>
      <c r="D4569" t="s">
        <v>502</v>
      </c>
      <c r="E4569" t="s">
        <v>503</v>
      </c>
      <c r="F4569">
        <v>2</v>
      </c>
      <c r="G4569" t="s">
        <v>176</v>
      </c>
      <c r="H4569">
        <v>0</v>
      </c>
      <c r="I4569">
        <v>115</v>
      </c>
      <c r="J4569" s="10">
        <v>2</v>
      </c>
      <c r="K4569" s="10">
        <f>SUMIFS(F:F,D:D,DST_123_ÜRETİM_İHTİYAÇ_RAPORU_BURAK_YENI1309[[#This Row],[ALT_KOD]])-(SUMIFS(H:H,D:D,DST_123_ÜRETİM_İHTİYAÇ_RAPORU_BURAK_YENI1309[[#This Row],[ALT_KOD]])+AVERAGEIFS(I:I,D:D,DST_123_ÜRETİM_İHTİYAÇ_RAPORU_BURAK_YENI1309[[#This Row],[ALT_KOD]])+AVERAGEIFS(L:L,D:D,DST_123_ÜRETİM_İHTİYAÇ_RAPORU_BURAK_YENI1309[[#This Row],[ALT_KOD]]))</f>
        <v>-77</v>
      </c>
      <c r="L4569">
        <v>0</v>
      </c>
      <c r="M4569">
        <f>IF((DST_123_ÜRETİM_İHTİYAÇ_RAPORU_BURAK_YENI1309[[#This Row],[SATINALMA]]*DST_123_ÜRETİM_İHTİYAÇ_RAPORU_BURAK_YENI1309[[#This Row],[BIRIM_FIYATLAR]])&lt;1,VALUE("0"),DST_123_ÜRETİM_İHTİYAÇ_RAPORU_BURAK_YENI1309[[#This Row],[SATINALMA]]*DST_123_ÜRETİM_İHTİYAÇ_RAPORU_BURAK_YENI1309[[#This Row],[BIRIM_FIYATLAR]])</f>
        <v>0</v>
      </c>
      <c r="N4569">
        <v>0.44</v>
      </c>
      <c r="O4569" t="s">
        <v>504</v>
      </c>
      <c r="P4569">
        <v>0.88</v>
      </c>
      <c r="Q4569" t="s">
        <v>221</v>
      </c>
    </row>
    <row r="4570" spans="1:17" x14ac:dyDescent="0.25">
      <c r="A4570" t="s">
        <v>1147</v>
      </c>
      <c r="B4570" t="s">
        <v>1145</v>
      </c>
      <c r="C4570" t="s">
        <v>175</v>
      </c>
      <c r="D4570" t="s">
        <v>236</v>
      </c>
      <c r="E4570" t="s">
        <v>305</v>
      </c>
      <c r="F4570">
        <v>2</v>
      </c>
      <c r="G4570" t="s">
        <v>176</v>
      </c>
      <c r="H4570">
        <v>0</v>
      </c>
      <c r="I4570">
        <v>452</v>
      </c>
      <c r="J4570" s="10">
        <v>25</v>
      </c>
      <c r="K4570" s="10">
        <f>SUMIFS(F:F,D:D,DST_123_ÜRETİM_İHTİYAÇ_RAPORU_BURAK_YENI1309[[#This Row],[ALT_KOD]])-(SUMIFS(H:H,D:D,DST_123_ÜRETİM_İHTİYAÇ_RAPORU_BURAK_YENI1309[[#This Row],[ALT_KOD]])+AVERAGEIFS(I:I,D:D,DST_123_ÜRETİM_İHTİYAÇ_RAPORU_BURAK_YENI1309[[#This Row],[ALT_KOD]])+AVERAGEIFS(L:L,D:D,DST_123_ÜRETİM_İHTİYAÇ_RAPORU_BURAK_YENI1309[[#This Row],[ALT_KOD]]))</f>
        <v>-428</v>
      </c>
      <c r="L4570">
        <v>0</v>
      </c>
      <c r="M4570">
        <f>IF((DST_123_ÜRETİM_İHTİYAÇ_RAPORU_BURAK_YENI1309[[#This Row],[SATINALMA]]*DST_123_ÜRETİM_İHTİYAÇ_RAPORU_BURAK_YENI1309[[#This Row],[BIRIM_FIYATLAR]])&lt;1,VALUE("0"),DST_123_ÜRETİM_İHTİYAÇ_RAPORU_BURAK_YENI1309[[#This Row],[SATINALMA]]*DST_123_ÜRETİM_İHTİYAÇ_RAPORU_BURAK_YENI1309[[#This Row],[BIRIM_FIYATLAR]])</f>
        <v>0</v>
      </c>
      <c r="N4570">
        <v>20</v>
      </c>
      <c r="P4570">
        <v>40</v>
      </c>
      <c r="Q4570" t="s">
        <v>221</v>
      </c>
    </row>
    <row r="4571" spans="1:17" x14ac:dyDescent="0.25">
      <c r="A4571" t="s">
        <v>1148</v>
      </c>
      <c r="B4571" t="s">
        <v>1056</v>
      </c>
      <c r="C4571" t="s">
        <v>175</v>
      </c>
      <c r="D4571" t="s">
        <v>236</v>
      </c>
      <c r="E4571" t="s">
        <v>305</v>
      </c>
      <c r="F4571">
        <v>2</v>
      </c>
      <c r="G4571" t="s">
        <v>176</v>
      </c>
      <c r="H4571">
        <v>0</v>
      </c>
      <c r="I4571">
        <v>452</v>
      </c>
      <c r="J4571" s="10">
        <v>25</v>
      </c>
      <c r="K4571" s="10">
        <f>SUMIFS(F:F,D:D,DST_123_ÜRETİM_İHTİYAÇ_RAPORU_BURAK_YENI1309[[#This Row],[ALT_KOD]])-(SUMIFS(H:H,D:D,DST_123_ÜRETİM_İHTİYAÇ_RAPORU_BURAK_YENI1309[[#This Row],[ALT_KOD]])+AVERAGEIFS(I:I,D:D,DST_123_ÜRETİM_İHTİYAÇ_RAPORU_BURAK_YENI1309[[#This Row],[ALT_KOD]])+AVERAGEIFS(L:L,D:D,DST_123_ÜRETİM_İHTİYAÇ_RAPORU_BURAK_YENI1309[[#This Row],[ALT_KOD]]))</f>
        <v>-428</v>
      </c>
      <c r="L4571">
        <v>0</v>
      </c>
      <c r="M4571">
        <f>IF((DST_123_ÜRETİM_İHTİYAÇ_RAPORU_BURAK_YENI1309[[#This Row],[SATINALMA]]*DST_123_ÜRETİM_İHTİYAÇ_RAPORU_BURAK_YENI1309[[#This Row],[BIRIM_FIYATLAR]])&lt;1,VALUE("0"),DST_123_ÜRETİM_İHTİYAÇ_RAPORU_BURAK_YENI1309[[#This Row],[SATINALMA]]*DST_123_ÜRETİM_İHTİYAÇ_RAPORU_BURAK_YENI1309[[#This Row],[BIRIM_FIYATLAR]])</f>
        <v>0</v>
      </c>
      <c r="N4571">
        <v>20</v>
      </c>
      <c r="P4571">
        <v>40</v>
      </c>
      <c r="Q4571" t="s">
        <v>221</v>
      </c>
    </row>
    <row r="4572" spans="1:17" x14ac:dyDescent="0.25">
      <c r="A4572" t="s">
        <v>1148</v>
      </c>
      <c r="B4572" t="s">
        <v>1056</v>
      </c>
      <c r="C4572" t="s">
        <v>175</v>
      </c>
      <c r="D4572" t="s">
        <v>710</v>
      </c>
      <c r="E4572" t="s">
        <v>711</v>
      </c>
      <c r="F4572">
        <v>1</v>
      </c>
      <c r="G4572" t="s">
        <v>176</v>
      </c>
      <c r="H4572">
        <v>0</v>
      </c>
      <c r="I4572">
        <v>0</v>
      </c>
      <c r="J4572" s="10">
        <v>2</v>
      </c>
      <c r="K4572" s="10">
        <f>SUMIFS(F:F,D:D,DST_123_ÜRETİM_İHTİYAÇ_RAPORU_BURAK_YENI1309[[#This Row],[ALT_KOD]])-(SUMIFS(H:H,D:D,DST_123_ÜRETİM_İHTİYAÇ_RAPORU_BURAK_YENI1309[[#This Row],[ALT_KOD]])+AVERAGEIFS(I:I,D:D,DST_123_ÜRETİM_İHTİYAÇ_RAPORU_BURAK_YENI1309[[#This Row],[ALT_KOD]])+AVERAGEIFS(L:L,D:D,DST_123_ÜRETİM_İHTİYAÇ_RAPORU_BURAK_YENI1309[[#This Row],[ALT_KOD]]))</f>
        <v>8</v>
      </c>
      <c r="L4572">
        <v>0</v>
      </c>
      <c r="M4572">
        <f>IF((DST_123_ÜRETİM_İHTİYAÇ_RAPORU_BURAK_YENI1309[[#This Row],[SATINALMA]]*DST_123_ÜRETİM_İHTİYAÇ_RAPORU_BURAK_YENI1309[[#This Row],[BIRIM_FIYATLAR]])&lt;1,VALUE("0"),DST_123_ÜRETİM_İHTİYAÇ_RAPORU_BURAK_YENI1309[[#This Row],[SATINALMA]]*DST_123_ÜRETİM_İHTİYAÇ_RAPORU_BURAK_YENI1309[[#This Row],[BIRIM_FIYATLAR]])</f>
        <v>191760</v>
      </c>
      <c r="N4572">
        <v>23970</v>
      </c>
      <c r="O4572" t="s">
        <v>1195</v>
      </c>
      <c r="P4572">
        <v>23970</v>
      </c>
      <c r="Q4572" t="s">
        <v>177</v>
      </c>
    </row>
    <row r="4573" spans="1:17" x14ac:dyDescent="0.25">
      <c r="A4573" t="s">
        <v>1101</v>
      </c>
      <c r="B4573" t="s">
        <v>1102</v>
      </c>
      <c r="C4573" t="s">
        <v>175</v>
      </c>
      <c r="D4573" t="s">
        <v>347</v>
      </c>
      <c r="E4573" t="s">
        <v>348</v>
      </c>
      <c r="F4573">
        <v>0.05</v>
      </c>
      <c r="G4573" t="s">
        <v>176</v>
      </c>
      <c r="H4573">
        <v>0</v>
      </c>
      <c r="I4573">
        <v>2</v>
      </c>
      <c r="J4573" s="10">
        <v>-6.3837823915946501E-16</v>
      </c>
      <c r="K4573" s="10">
        <f>SUMIFS(F:F,D:D,DST_123_ÜRETİM_İHTİYAÇ_RAPORU_BURAK_YENI1309[[#This Row],[ALT_KOD]])-(SUMIFS(H:H,D:D,DST_123_ÜRETİM_İHTİYAÇ_RAPORU_BURAK_YENI1309[[#This Row],[ALT_KOD]])+AVERAGEIFS(I:I,D:D,DST_123_ÜRETİM_İHTİYAÇ_RAPORU_BURAK_YENI1309[[#This Row],[ALT_KOD]])+AVERAGEIFS(L:L,D:D,DST_123_ÜRETİM_İHTİYAÇ_RAPORU_BURAK_YENI1309[[#This Row],[ALT_KOD]]))</f>
        <v>1.4000000000000004</v>
      </c>
      <c r="L4573">
        <v>0</v>
      </c>
      <c r="M4573">
        <f>IF((DST_123_ÜRETİM_İHTİYAÇ_RAPORU_BURAK_YENI1309[[#This Row],[SATINALMA]]*DST_123_ÜRETİM_İHTİYAÇ_RAPORU_BURAK_YENI1309[[#This Row],[BIRIM_FIYATLAR]])&lt;1,VALUE("0"),DST_123_ÜRETİM_İHTİYAÇ_RAPORU_BURAK_YENI1309[[#This Row],[SATINALMA]]*DST_123_ÜRETİM_İHTİYAÇ_RAPORU_BURAK_YENI1309[[#This Row],[BIRIM_FIYATLAR]])</f>
        <v>3889.2000000000012</v>
      </c>
      <c r="N4573">
        <v>2778</v>
      </c>
      <c r="O4573" t="s">
        <v>217</v>
      </c>
      <c r="P4573">
        <v>138.9</v>
      </c>
      <c r="Q4573" t="s">
        <v>183</v>
      </c>
    </row>
    <row r="4574" spans="1:17" x14ac:dyDescent="0.25">
      <c r="A4574" t="s">
        <v>1101</v>
      </c>
      <c r="B4574" t="s">
        <v>1102</v>
      </c>
      <c r="C4574" t="s">
        <v>175</v>
      </c>
      <c r="D4574" t="s">
        <v>342</v>
      </c>
      <c r="E4574" t="s">
        <v>343</v>
      </c>
      <c r="F4574">
        <v>0.05</v>
      </c>
      <c r="G4574" t="s">
        <v>176</v>
      </c>
      <c r="H4574">
        <v>0</v>
      </c>
      <c r="I4574">
        <v>2</v>
      </c>
      <c r="J4574" s="10">
        <v>1.7763568394002505E-15</v>
      </c>
      <c r="K4574" s="10">
        <f>SUMIFS(F:F,D:D,DST_123_ÜRETİM_İHTİYAÇ_RAPORU_BURAK_YENI1309[[#This Row],[ALT_KOD]])-(SUMIFS(H:H,D:D,DST_123_ÜRETİM_İHTİYAÇ_RAPORU_BURAK_YENI1309[[#This Row],[ALT_KOD]])+AVERAGEIFS(I:I,D:D,DST_123_ÜRETİM_İHTİYAÇ_RAPORU_BURAK_YENI1309[[#This Row],[ALT_KOD]])+AVERAGEIFS(L:L,D:D,DST_123_ÜRETİM_İHTİYAÇ_RAPORU_BURAK_YENI1309[[#This Row],[ALT_KOD]]))</f>
        <v>-0.84999999999999964</v>
      </c>
      <c r="L4574">
        <v>0</v>
      </c>
      <c r="M4574">
        <f>IF((DST_123_ÜRETİM_İHTİYAÇ_RAPORU_BURAK_YENI1309[[#This Row],[SATINALMA]]*DST_123_ÜRETİM_İHTİYAÇ_RAPORU_BURAK_YENI1309[[#This Row],[BIRIM_FIYATLAR]])&lt;1,VALUE("0"),DST_123_ÜRETİM_İHTİYAÇ_RAPORU_BURAK_YENI1309[[#This Row],[SATINALMA]]*DST_123_ÜRETİM_İHTİYAÇ_RAPORU_BURAK_YENI1309[[#This Row],[BIRIM_FIYATLAR]])</f>
        <v>0</v>
      </c>
      <c r="N4574">
        <v>1400</v>
      </c>
      <c r="O4574" t="s">
        <v>217</v>
      </c>
      <c r="P4574">
        <v>70</v>
      </c>
      <c r="Q4574" t="s">
        <v>183</v>
      </c>
    </row>
    <row r="4575" spans="1:17" x14ac:dyDescent="0.25">
      <c r="A4575" t="s">
        <v>1196</v>
      </c>
      <c r="B4575" t="s">
        <v>1197</v>
      </c>
      <c r="C4575" t="s">
        <v>175</v>
      </c>
      <c r="D4575" t="s">
        <v>342</v>
      </c>
      <c r="E4575" t="s">
        <v>343</v>
      </c>
      <c r="F4575">
        <v>0.05</v>
      </c>
      <c r="G4575" t="s">
        <v>176</v>
      </c>
      <c r="H4575">
        <v>0</v>
      </c>
      <c r="I4575">
        <v>2</v>
      </c>
      <c r="J4575" s="10">
        <v>1.7763568394002505E-15</v>
      </c>
      <c r="K4575" s="10">
        <f>SUMIFS(F:F,D:D,DST_123_ÜRETİM_İHTİYAÇ_RAPORU_BURAK_YENI1309[[#This Row],[ALT_KOD]])-(SUMIFS(H:H,D:D,DST_123_ÜRETİM_İHTİYAÇ_RAPORU_BURAK_YENI1309[[#This Row],[ALT_KOD]])+AVERAGEIFS(I:I,D:D,DST_123_ÜRETİM_İHTİYAÇ_RAPORU_BURAK_YENI1309[[#This Row],[ALT_KOD]])+AVERAGEIFS(L:L,D:D,DST_123_ÜRETİM_İHTİYAÇ_RAPORU_BURAK_YENI1309[[#This Row],[ALT_KOD]]))</f>
        <v>-0.84999999999999964</v>
      </c>
      <c r="L4575">
        <v>0</v>
      </c>
      <c r="M4575">
        <f>IF((DST_123_ÜRETİM_İHTİYAÇ_RAPORU_BURAK_YENI1309[[#This Row],[SATINALMA]]*DST_123_ÜRETİM_İHTİYAÇ_RAPORU_BURAK_YENI1309[[#This Row],[BIRIM_FIYATLAR]])&lt;1,VALUE("0"),DST_123_ÜRETİM_İHTİYAÇ_RAPORU_BURAK_YENI1309[[#This Row],[SATINALMA]]*DST_123_ÜRETİM_İHTİYAÇ_RAPORU_BURAK_YENI1309[[#This Row],[BIRIM_FIYATLAR]])</f>
        <v>0</v>
      </c>
      <c r="N4575">
        <v>1400</v>
      </c>
      <c r="O4575" t="s">
        <v>217</v>
      </c>
      <c r="P4575">
        <v>70</v>
      </c>
      <c r="Q4575" t="s">
        <v>183</v>
      </c>
    </row>
    <row r="4576" spans="1:17" x14ac:dyDescent="0.25">
      <c r="A4576" t="s">
        <v>1146</v>
      </c>
      <c r="B4576" t="s">
        <v>1145</v>
      </c>
      <c r="C4576" t="s">
        <v>175</v>
      </c>
      <c r="D4576" t="s">
        <v>626</v>
      </c>
      <c r="E4576" t="s">
        <v>627</v>
      </c>
      <c r="F4576">
        <v>2</v>
      </c>
      <c r="G4576" t="s">
        <v>176</v>
      </c>
      <c r="H4576">
        <v>0</v>
      </c>
      <c r="I4576">
        <v>5</v>
      </c>
      <c r="J4576" s="10">
        <v>24</v>
      </c>
      <c r="K4576" s="10">
        <f>SUMIFS(F:F,D:D,DST_123_ÜRETİM_İHTİYAÇ_RAPORU_BURAK_YENI1309[[#This Row],[ALT_KOD]])-(SUMIFS(H:H,D:D,DST_123_ÜRETİM_İHTİYAÇ_RAPORU_BURAK_YENI1309[[#This Row],[ALT_KOD]])+AVERAGEIFS(I:I,D:D,DST_123_ÜRETİM_İHTİYAÇ_RAPORU_BURAK_YENI1309[[#This Row],[ALT_KOD]])+AVERAGEIFS(L:L,D:D,DST_123_ÜRETİM_İHTİYAÇ_RAPORU_BURAK_YENI1309[[#This Row],[ALT_KOD]]))</f>
        <v>11</v>
      </c>
      <c r="L4576">
        <v>0</v>
      </c>
      <c r="M4576">
        <f>IF((DST_123_ÜRETİM_İHTİYAÇ_RAPORU_BURAK_YENI1309[[#This Row],[SATINALMA]]*DST_123_ÜRETİM_İHTİYAÇ_RAPORU_BURAK_YENI1309[[#This Row],[BIRIM_FIYATLAR]])&lt;1,VALUE("0"),DST_123_ÜRETİM_İHTİYAÇ_RAPORU_BURAK_YENI1309[[#This Row],[SATINALMA]]*DST_123_ÜRETİM_İHTİYAÇ_RAPORU_BURAK_YENI1309[[#This Row],[BIRIM_FIYATLAR]])</f>
        <v>164408.75</v>
      </c>
      <c r="N4576">
        <v>14946.25</v>
      </c>
      <c r="O4576" t="s">
        <v>625</v>
      </c>
      <c r="P4576">
        <v>29892.5</v>
      </c>
      <c r="Q4576" t="s">
        <v>178</v>
      </c>
    </row>
    <row r="4577" spans="1:17" x14ac:dyDescent="0.25">
      <c r="A4577" t="s">
        <v>1149</v>
      </c>
      <c r="B4577" t="s">
        <v>1145</v>
      </c>
      <c r="C4577" t="s">
        <v>175</v>
      </c>
      <c r="D4577" t="s">
        <v>611</v>
      </c>
      <c r="E4577" t="s">
        <v>612</v>
      </c>
      <c r="F4577">
        <v>15</v>
      </c>
      <c r="G4577" t="s">
        <v>182</v>
      </c>
      <c r="H4577">
        <v>0</v>
      </c>
      <c r="I4577">
        <v>0</v>
      </c>
      <c r="J4577" s="10">
        <v>252.50000000000003</v>
      </c>
      <c r="K4577" s="10">
        <f>SUMIFS(F:F,D:D,DST_123_ÜRETİM_İHTİYAÇ_RAPORU_BURAK_YENI1309[[#This Row],[ALT_KOD]])-(SUMIFS(H:H,D:D,DST_123_ÜRETİM_İHTİYAÇ_RAPORU_BURAK_YENI1309[[#This Row],[ALT_KOD]])+AVERAGEIFS(I:I,D:D,DST_123_ÜRETİM_İHTİYAÇ_RAPORU_BURAK_YENI1309[[#This Row],[ALT_KOD]])+AVERAGEIFS(L:L,D:D,DST_123_ÜRETİM_İHTİYAÇ_RAPORU_BURAK_YENI1309[[#This Row],[ALT_KOD]]))</f>
        <v>402.5</v>
      </c>
      <c r="L4577">
        <v>19.5</v>
      </c>
      <c r="M4577">
        <f>IF((DST_123_ÜRETİM_İHTİYAÇ_RAPORU_BURAK_YENI1309[[#This Row],[SATINALMA]]*DST_123_ÜRETİM_İHTİYAÇ_RAPORU_BURAK_YENI1309[[#This Row],[BIRIM_FIYATLAR]])&lt;1,VALUE("0"),DST_123_ÜRETİM_İHTİYAÇ_RAPORU_BURAK_YENI1309[[#This Row],[SATINALMA]]*DST_123_ÜRETİM_İHTİYAÇ_RAPORU_BURAK_YENI1309[[#This Row],[BIRIM_FIYATLAR]])</f>
        <v>81928.875</v>
      </c>
      <c r="N4577">
        <v>203.55</v>
      </c>
      <c r="O4577" t="s">
        <v>223</v>
      </c>
      <c r="P4577">
        <v>3053.25</v>
      </c>
      <c r="Q4577" t="s">
        <v>181</v>
      </c>
    </row>
    <row r="4578" spans="1:17" x14ac:dyDescent="0.25">
      <c r="A4578" t="s">
        <v>1150</v>
      </c>
      <c r="B4578" t="s">
        <v>1145</v>
      </c>
      <c r="C4578" t="s">
        <v>175</v>
      </c>
      <c r="D4578" t="s">
        <v>626</v>
      </c>
      <c r="E4578" t="s">
        <v>627</v>
      </c>
      <c r="F4578">
        <v>2</v>
      </c>
      <c r="G4578" t="s">
        <v>176</v>
      </c>
      <c r="H4578">
        <v>0</v>
      </c>
      <c r="I4578">
        <v>5</v>
      </c>
      <c r="J4578" s="10">
        <v>24</v>
      </c>
      <c r="K4578" s="10">
        <f>SUMIFS(F:F,D:D,DST_123_ÜRETİM_İHTİYAÇ_RAPORU_BURAK_YENI1309[[#This Row],[ALT_KOD]])-(SUMIFS(H:H,D:D,DST_123_ÜRETİM_İHTİYAÇ_RAPORU_BURAK_YENI1309[[#This Row],[ALT_KOD]])+AVERAGEIFS(I:I,D:D,DST_123_ÜRETİM_İHTİYAÇ_RAPORU_BURAK_YENI1309[[#This Row],[ALT_KOD]])+AVERAGEIFS(L:L,D:D,DST_123_ÜRETİM_İHTİYAÇ_RAPORU_BURAK_YENI1309[[#This Row],[ALT_KOD]]))</f>
        <v>11</v>
      </c>
      <c r="L4578">
        <v>0</v>
      </c>
      <c r="M4578">
        <f>IF((DST_123_ÜRETİM_İHTİYAÇ_RAPORU_BURAK_YENI1309[[#This Row],[SATINALMA]]*DST_123_ÜRETİM_İHTİYAÇ_RAPORU_BURAK_YENI1309[[#This Row],[BIRIM_FIYATLAR]])&lt;1,VALUE("0"),DST_123_ÜRETİM_İHTİYAÇ_RAPORU_BURAK_YENI1309[[#This Row],[SATINALMA]]*DST_123_ÜRETİM_İHTİYAÇ_RAPORU_BURAK_YENI1309[[#This Row],[BIRIM_FIYATLAR]])</f>
        <v>164408.75</v>
      </c>
      <c r="N4578">
        <v>14946.25</v>
      </c>
      <c r="O4578" t="s">
        <v>625</v>
      </c>
      <c r="P4578">
        <v>29892.5</v>
      </c>
      <c r="Q4578" t="s">
        <v>178</v>
      </c>
    </row>
    <row r="4579" spans="1:17" x14ac:dyDescent="0.25">
      <c r="A4579" t="s">
        <v>1057</v>
      </c>
      <c r="B4579" t="s">
        <v>1058</v>
      </c>
      <c r="C4579" t="s">
        <v>175</v>
      </c>
      <c r="D4579" t="s">
        <v>662</v>
      </c>
      <c r="E4579" t="s">
        <v>663</v>
      </c>
      <c r="F4579">
        <v>14</v>
      </c>
      <c r="G4579" t="s">
        <v>185</v>
      </c>
      <c r="H4579">
        <v>0</v>
      </c>
      <c r="I4579">
        <v>0</v>
      </c>
      <c r="J4579" s="10">
        <v>205.05</v>
      </c>
      <c r="K4579" s="10">
        <f>SUMIFS(F:F,D:D,DST_123_ÜRETİM_İHTİYAÇ_RAPORU_BURAK_YENI1309[[#This Row],[ALT_KOD]])-(SUMIFS(H:H,D:D,DST_123_ÜRETİM_İHTİYAÇ_RAPORU_BURAK_YENI1309[[#This Row],[ALT_KOD]])+AVERAGEIFS(I:I,D:D,DST_123_ÜRETİM_İHTİYAÇ_RAPORU_BURAK_YENI1309[[#This Row],[ALT_KOD]])+AVERAGEIFS(L:L,D:D,DST_123_ÜRETİM_İHTİYAÇ_RAPORU_BURAK_YENI1309[[#This Row],[ALT_KOD]]))</f>
        <v>100</v>
      </c>
      <c r="L4579">
        <v>0</v>
      </c>
      <c r="M4579">
        <f>IF((DST_123_ÜRETİM_İHTİYAÇ_RAPORU_BURAK_YENI1309[[#This Row],[SATINALMA]]*DST_123_ÜRETİM_İHTİYAÇ_RAPORU_BURAK_YENI1309[[#This Row],[BIRIM_FIYATLAR]])&lt;1,VALUE("0"),DST_123_ÜRETİM_İHTİYAÇ_RAPORU_BURAK_YENI1309[[#This Row],[SATINALMA]]*DST_123_ÜRETİM_İHTİYAÇ_RAPORU_BURAK_YENI1309[[#This Row],[BIRIM_FIYATLAR]])</f>
        <v>109467</v>
      </c>
      <c r="N4579">
        <v>1094.67</v>
      </c>
      <c r="O4579" t="s">
        <v>648</v>
      </c>
      <c r="P4579">
        <v>15325.380000000001</v>
      </c>
      <c r="Q4579" t="s">
        <v>183</v>
      </c>
    </row>
    <row r="4580" spans="1:17" x14ac:dyDescent="0.25">
      <c r="A4580" t="s">
        <v>1064</v>
      </c>
      <c r="B4580" t="s">
        <v>1055</v>
      </c>
      <c r="C4580" t="s">
        <v>175</v>
      </c>
      <c r="D4580" t="s">
        <v>626</v>
      </c>
      <c r="E4580" t="s">
        <v>627</v>
      </c>
      <c r="F4580">
        <v>2</v>
      </c>
      <c r="G4580" t="s">
        <v>176</v>
      </c>
      <c r="H4580">
        <v>2</v>
      </c>
      <c r="I4580">
        <v>5</v>
      </c>
      <c r="J4580" s="10">
        <v>24</v>
      </c>
      <c r="K4580" s="10">
        <f>SUMIFS(F:F,D:D,DST_123_ÜRETİM_İHTİYAÇ_RAPORU_BURAK_YENI1309[[#This Row],[ALT_KOD]])-(SUMIFS(H:H,D:D,DST_123_ÜRETİM_İHTİYAÇ_RAPORU_BURAK_YENI1309[[#This Row],[ALT_KOD]])+AVERAGEIFS(I:I,D:D,DST_123_ÜRETİM_İHTİYAÇ_RAPORU_BURAK_YENI1309[[#This Row],[ALT_KOD]])+AVERAGEIFS(L:L,D:D,DST_123_ÜRETİM_İHTİYAÇ_RAPORU_BURAK_YENI1309[[#This Row],[ALT_KOD]]))</f>
        <v>11</v>
      </c>
      <c r="L4580">
        <v>0</v>
      </c>
      <c r="M4580">
        <f>IF((DST_123_ÜRETİM_İHTİYAÇ_RAPORU_BURAK_YENI1309[[#This Row],[SATINALMA]]*DST_123_ÜRETİM_İHTİYAÇ_RAPORU_BURAK_YENI1309[[#This Row],[BIRIM_FIYATLAR]])&lt;1,VALUE("0"),DST_123_ÜRETİM_İHTİYAÇ_RAPORU_BURAK_YENI1309[[#This Row],[SATINALMA]]*DST_123_ÜRETİM_İHTİYAÇ_RAPORU_BURAK_YENI1309[[#This Row],[BIRIM_FIYATLAR]])</f>
        <v>164408.75</v>
      </c>
      <c r="N4580">
        <v>14946.25</v>
      </c>
      <c r="O4580" t="s">
        <v>625</v>
      </c>
      <c r="P4580">
        <v>29892.5</v>
      </c>
      <c r="Q4580" t="s">
        <v>178</v>
      </c>
    </row>
    <row r="4581" spans="1:17" x14ac:dyDescent="0.25">
      <c r="A4581" t="s">
        <v>1149</v>
      </c>
      <c r="B4581" t="s">
        <v>1145</v>
      </c>
      <c r="C4581" t="s">
        <v>175</v>
      </c>
      <c r="D4581" t="s">
        <v>626</v>
      </c>
      <c r="E4581" t="s">
        <v>627</v>
      </c>
      <c r="F4581">
        <v>2</v>
      </c>
      <c r="G4581" t="s">
        <v>176</v>
      </c>
      <c r="H4581">
        <v>0</v>
      </c>
      <c r="I4581">
        <v>5</v>
      </c>
      <c r="J4581" s="10">
        <v>24</v>
      </c>
      <c r="K4581" s="10">
        <f>SUMIFS(F:F,D:D,DST_123_ÜRETİM_İHTİYAÇ_RAPORU_BURAK_YENI1309[[#This Row],[ALT_KOD]])-(SUMIFS(H:H,D:D,DST_123_ÜRETİM_İHTİYAÇ_RAPORU_BURAK_YENI1309[[#This Row],[ALT_KOD]])+AVERAGEIFS(I:I,D:D,DST_123_ÜRETİM_İHTİYAÇ_RAPORU_BURAK_YENI1309[[#This Row],[ALT_KOD]])+AVERAGEIFS(L:L,D:D,DST_123_ÜRETİM_İHTİYAÇ_RAPORU_BURAK_YENI1309[[#This Row],[ALT_KOD]]))</f>
        <v>11</v>
      </c>
      <c r="L4581">
        <v>0</v>
      </c>
      <c r="M4581">
        <f>IF((DST_123_ÜRETİM_İHTİYAÇ_RAPORU_BURAK_YENI1309[[#This Row],[SATINALMA]]*DST_123_ÜRETİM_İHTİYAÇ_RAPORU_BURAK_YENI1309[[#This Row],[BIRIM_FIYATLAR]])&lt;1,VALUE("0"),DST_123_ÜRETİM_İHTİYAÇ_RAPORU_BURAK_YENI1309[[#This Row],[SATINALMA]]*DST_123_ÜRETİM_İHTİYAÇ_RAPORU_BURAK_YENI1309[[#This Row],[BIRIM_FIYATLAR]])</f>
        <v>164408.75</v>
      </c>
      <c r="N4581">
        <v>14946.25</v>
      </c>
      <c r="O4581" t="s">
        <v>625</v>
      </c>
      <c r="P4581">
        <v>29892.5</v>
      </c>
      <c r="Q4581" t="s">
        <v>178</v>
      </c>
    </row>
    <row r="4582" spans="1:17" x14ac:dyDescent="0.25">
      <c r="A4582" t="s">
        <v>1146</v>
      </c>
      <c r="B4582" t="s">
        <v>1145</v>
      </c>
      <c r="C4582" t="s">
        <v>175</v>
      </c>
      <c r="D4582" t="s">
        <v>611</v>
      </c>
      <c r="E4582" t="s">
        <v>612</v>
      </c>
      <c r="F4582">
        <v>15</v>
      </c>
      <c r="G4582" t="s">
        <v>182</v>
      </c>
      <c r="H4582">
        <v>0</v>
      </c>
      <c r="I4582">
        <v>0</v>
      </c>
      <c r="J4582" s="10">
        <v>252.50000000000003</v>
      </c>
      <c r="K4582" s="10">
        <f>SUMIFS(F:F,D:D,DST_123_ÜRETİM_İHTİYAÇ_RAPORU_BURAK_YENI1309[[#This Row],[ALT_KOD]])-(SUMIFS(H:H,D:D,DST_123_ÜRETİM_İHTİYAÇ_RAPORU_BURAK_YENI1309[[#This Row],[ALT_KOD]])+AVERAGEIFS(I:I,D:D,DST_123_ÜRETİM_İHTİYAÇ_RAPORU_BURAK_YENI1309[[#This Row],[ALT_KOD]])+AVERAGEIFS(L:L,D:D,DST_123_ÜRETİM_İHTİYAÇ_RAPORU_BURAK_YENI1309[[#This Row],[ALT_KOD]]))</f>
        <v>402.5</v>
      </c>
      <c r="L4582">
        <v>19.5</v>
      </c>
      <c r="M4582">
        <f>IF((DST_123_ÜRETİM_İHTİYAÇ_RAPORU_BURAK_YENI1309[[#This Row],[SATINALMA]]*DST_123_ÜRETİM_İHTİYAÇ_RAPORU_BURAK_YENI1309[[#This Row],[BIRIM_FIYATLAR]])&lt;1,VALUE("0"),DST_123_ÜRETİM_İHTİYAÇ_RAPORU_BURAK_YENI1309[[#This Row],[SATINALMA]]*DST_123_ÜRETİM_İHTİYAÇ_RAPORU_BURAK_YENI1309[[#This Row],[BIRIM_FIYATLAR]])</f>
        <v>81928.875</v>
      </c>
      <c r="N4582">
        <v>203.55</v>
      </c>
      <c r="O4582" t="s">
        <v>223</v>
      </c>
      <c r="P4582">
        <v>3053.25</v>
      </c>
      <c r="Q4582" t="s">
        <v>181</v>
      </c>
    </row>
    <row r="4583" spans="1:17" x14ac:dyDescent="0.25">
      <c r="A4583" t="s">
        <v>1144</v>
      </c>
      <c r="B4583" t="s">
        <v>1145</v>
      </c>
      <c r="C4583" t="s">
        <v>175</v>
      </c>
      <c r="D4583" t="s">
        <v>611</v>
      </c>
      <c r="E4583" t="s">
        <v>612</v>
      </c>
      <c r="F4583">
        <v>15</v>
      </c>
      <c r="G4583" t="s">
        <v>182</v>
      </c>
      <c r="H4583">
        <v>0</v>
      </c>
      <c r="I4583">
        <v>0</v>
      </c>
      <c r="J4583" s="10">
        <v>252.50000000000003</v>
      </c>
      <c r="K4583" s="10">
        <f>SUMIFS(F:F,D:D,DST_123_ÜRETİM_İHTİYAÇ_RAPORU_BURAK_YENI1309[[#This Row],[ALT_KOD]])-(SUMIFS(H:H,D:D,DST_123_ÜRETİM_İHTİYAÇ_RAPORU_BURAK_YENI1309[[#This Row],[ALT_KOD]])+AVERAGEIFS(I:I,D:D,DST_123_ÜRETİM_İHTİYAÇ_RAPORU_BURAK_YENI1309[[#This Row],[ALT_KOD]])+AVERAGEIFS(L:L,D:D,DST_123_ÜRETİM_İHTİYAÇ_RAPORU_BURAK_YENI1309[[#This Row],[ALT_KOD]]))</f>
        <v>402.5</v>
      </c>
      <c r="L4583">
        <v>19.5</v>
      </c>
      <c r="M4583">
        <f>IF((DST_123_ÜRETİM_İHTİYAÇ_RAPORU_BURAK_YENI1309[[#This Row],[SATINALMA]]*DST_123_ÜRETİM_İHTİYAÇ_RAPORU_BURAK_YENI1309[[#This Row],[BIRIM_FIYATLAR]])&lt;1,VALUE("0"),DST_123_ÜRETİM_İHTİYAÇ_RAPORU_BURAK_YENI1309[[#This Row],[SATINALMA]]*DST_123_ÜRETİM_İHTİYAÇ_RAPORU_BURAK_YENI1309[[#This Row],[BIRIM_FIYATLAR]])</f>
        <v>81928.875</v>
      </c>
      <c r="N4583">
        <v>203.55</v>
      </c>
      <c r="O4583" t="s">
        <v>223</v>
      </c>
      <c r="P4583">
        <v>3053.25</v>
      </c>
      <c r="Q4583" t="s">
        <v>181</v>
      </c>
    </row>
    <row r="4584" spans="1:17" x14ac:dyDescent="0.25">
      <c r="A4584" t="s">
        <v>1101</v>
      </c>
      <c r="B4584" t="s">
        <v>1102</v>
      </c>
      <c r="C4584" t="s">
        <v>175</v>
      </c>
      <c r="D4584" t="s">
        <v>70</v>
      </c>
      <c r="E4584" t="s">
        <v>287</v>
      </c>
      <c r="F4584">
        <v>11.67</v>
      </c>
      <c r="G4584" t="s">
        <v>185</v>
      </c>
      <c r="H4584">
        <v>11.67</v>
      </c>
      <c r="I4584">
        <v>0</v>
      </c>
      <c r="J4584" s="10">
        <v>233.6899999999996</v>
      </c>
      <c r="K4584" s="10">
        <f>SUMIFS(F:F,D:D,DST_123_ÜRETİM_İHTİYAÇ_RAPORU_BURAK_YENI1309[[#This Row],[ALT_KOD]])-(SUMIFS(H:H,D:D,DST_123_ÜRETİM_İHTİYAÇ_RAPORU_BURAK_YENI1309[[#This Row],[ALT_KOD]])+AVERAGEIFS(I:I,D:D,DST_123_ÜRETİM_İHTİYAÇ_RAPORU_BURAK_YENI1309[[#This Row],[ALT_KOD]])+AVERAGEIFS(L:L,D:D,DST_123_ÜRETİM_İHTİYAÇ_RAPORU_BURAK_YENI1309[[#This Row],[ALT_KOD]]))</f>
        <v>63.129999999999995</v>
      </c>
      <c r="L4584">
        <v>0</v>
      </c>
      <c r="M4584">
        <f>IF((DST_123_ÜRETİM_İHTİYAÇ_RAPORU_BURAK_YENI1309[[#This Row],[SATINALMA]]*DST_123_ÜRETİM_İHTİYAÇ_RAPORU_BURAK_YENI1309[[#This Row],[BIRIM_FIYATLAR]])&lt;1,VALUE("0"),DST_123_ÜRETİM_İHTİYAÇ_RAPORU_BURAK_YENI1309[[#This Row],[SATINALMA]]*DST_123_ÜRETİM_İHTİYAÇ_RAPORU_BURAK_YENI1309[[#This Row],[BIRIM_FIYATLAR]])</f>
        <v>6403.9071999999996</v>
      </c>
      <c r="N4584">
        <v>101.44</v>
      </c>
      <c r="O4584" t="s">
        <v>490</v>
      </c>
      <c r="P4584">
        <v>1183.8047999999999</v>
      </c>
      <c r="Q4584" t="s">
        <v>183</v>
      </c>
    </row>
    <row r="4585" spans="1:17" x14ac:dyDescent="0.25">
      <c r="A4585" t="s">
        <v>1060</v>
      </c>
      <c r="B4585" t="s">
        <v>1061</v>
      </c>
      <c r="C4585" t="s">
        <v>175</v>
      </c>
      <c r="D4585" t="s">
        <v>462</v>
      </c>
      <c r="E4585" t="s">
        <v>463</v>
      </c>
      <c r="F4585">
        <v>0.55000000000000004</v>
      </c>
      <c r="G4585" t="s">
        <v>176</v>
      </c>
      <c r="H4585">
        <v>0.55000000000000004</v>
      </c>
      <c r="I4585">
        <v>0</v>
      </c>
      <c r="J4585" s="10">
        <v>5.5999999999999988</v>
      </c>
      <c r="K4585" s="10">
        <f>SUMIFS(F:F,D:D,DST_123_ÜRETİM_İHTİYAÇ_RAPORU_BURAK_YENI1309[[#This Row],[ALT_KOD]])-(SUMIFS(H:H,D:D,DST_123_ÜRETİM_İHTİYAÇ_RAPORU_BURAK_YENI1309[[#This Row],[ALT_KOD]])+AVERAGEIFS(I:I,D:D,DST_123_ÜRETİM_İHTİYAÇ_RAPORU_BURAK_YENI1309[[#This Row],[ALT_KOD]])+AVERAGEIFS(L:L,D:D,DST_123_ÜRETİM_İHTİYAÇ_RAPORU_BURAK_YENI1309[[#This Row],[ALT_KOD]]))</f>
        <v>7.2</v>
      </c>
      <c r="L4585">
        <v>0</v>
      </c>
      <c r="M4585">
        <f>IF((DST_123_ÜRETİM_İHTİYAÇ_RAPORU_BURAK_YENI1309[[#This Row],[SATINALMA]]*DST_123_ÜRETİM_İHTİYAÇ_RAPORU_BURAK_YENI1309[[#This Row],[BIRIM_FIYATLAR]])&lt;1,VALUE("0"),DST_123_ÜRETİM_İHTİYAÇ_RAPORU_BURAK_YENI1309[[#This Row],[SATINALMA]]*DST_123_ÜRETİM_İHTİYAÇ_RAPORU_BURAK_YENI1309[[#This Row],[BIRIM_FIYATLAR]])</f>
        <v>1170.0719999999999</v>
      </c>
      <c r="N4585">
        <v>162.51</v>
      </c>
      <c r="O4585" t="s">
        <v>490</v>
      </c>
      <c r="P4585">
        <v>89.380499999999998</v>
      </c>
      <c r="Q4585" t="s">
        <v>183</v>
      </c>
    </row>
    <row r="4586" spans="1:17" x14ac:dyDescent="0.25">
      <c r="A4586" t="s">
        <v>1098</v>
      </c>
      <c r="B4586" t="s">
        <v>1096</v>
      </c>
      <c r="C4586" t="s">
        <v>175</v>
      </c>
      <c r="D4586" t="s">
        <v>662</v>
      </c>
      <c r="E4586" t="s">
        <v>663</v>
      </c>
      <c r="F4586">
        <v>18</v>
      </c>
      <c r="G4586" t="s">
        <v>185</v>
      </c>
      <c r="H4586">
        <v>0</v>
      </c>
      <c r="I4586">
        <v>0</v>
      </c>
      <c r="J4586" s="10">
        <v>205.05</v>
      </c>
      <c r="K4586" s="10">
        <f>SUMIFS(F:F,D:D,DST_123_ÜRETİM_İHTİYAÇ_RAPORU_BURAK_YENI1309[[#This Row],[ALT_KOD]])-(SUMIFS(H:H,D:D,DST_123_ÜRETİM_İHTİYAÇ_RAPORU_BURAK_YENI1309[[#This Row],[ALT_KOD]])+AVERAGEIFS(I:I,D:D,DST_123_ÜRETİM_İHTİYAÇ_RAPORU_BURAK_YENI1309[[#This Row],[ALT_KOD]])+AVERAGEIFS(L:L,D:D,DST_123_ÜRETİM_İHTİYAÇ_RAPORU_BURAK_YENI1309[[#This Row],[ALT_KOD]]))</f>
        <v>100</v>
      </c>
      <c r="L4586">
        <v>0</v>
      </c>
      <c r="M4586">
        <f>IF((DST_123_ÜRETİM_İHTİYAÇ_RAPORU_BURAK_YENI1309[[#This Row],[SATINALMA]]*DST_123_ÜRETİM_İHTİYAÇ_RAPORU_BURAK_YENI1309[[#This Row],[BIRIM_FIYATLAR]])&lt;1,VALUE("0"),DST_123_ÜRETİM_İHTİYAÇ_RAPORU_BURAK_YENI1309[[#This Row],[SATINALMA]]*DST_123_ÜRETİM_İHTİYAÇ_RAPORU_BURAK_YENI1309[[#This Row],[BIRIM_FIYATLAR]])</f>
        <v>109467</v>
      </c>
      <c r="N4586">
        <v>1094.67</v>
      </c>
      <c r="O4586" t="s">
        <v>648</v>
      </c>
      <c r="P4586">
        <v>19704.060000000001</v>
      </c>
      <c r="Q4586" t="s">
        <v>183</v>
      </c>
    </row>
    <row r="4587" spans="1:17" x14ac:dyDescent="0.25">
      <c r="A4587" t="s">
        <v>1057</v>
      </c>
      <c r="B4587" t="s">
        <v>1058</v>
      </c>
      <c r="C4587" t="s">
        <v>175</v>
      </c>
      <c r="D4587" t="s">
        <v>524</v>
      </c>
      <c r="E4587" t="s">
        <v>525</v>
      </c>
      <c r="F4587">
        <v>5</v>
      </c>
      <c r="G4587" t="s">
        <v>176</v>
      </c>
      <c r="H4587">
        <v>5</v>
      </c>
      <c r="I4587">
        <v>300</v>
      </c>
      <c r="J4587" s="10">
        <v>325</v>
      </c>
      <c r="K4587" s="10">
        <f>SUMIFS(F:F,D:D,DST_123_ÜRETİM_İHTİYAÇ_RAPORU_BURAK_YENI1309[[#This Row],[ALT_KOD]])-(SUMIFS(H:H,D:D,DST_123_ÜRETİM_İHTİYAÇ_RAPORU_BURAK_YENI1309[[#This Row],[ALT_KOD]])+AVERAGEIFS(I:I,D:D,DST_123_ÜRETİM_İHTİYAÇ_RAPORU_BURAK_YENI1309[[#This Row],[ALT_KOD]])+AVERAGEIFS(L:L,D:D,DST_123_ÜRETİM_İHTİYAÇ_RAPORU_BURAK_YENI1309[[#This Row],[ALT_KOD]]))</f>
        <v>-192</v>
      </c>
      <c r="L4587">
        <v>0</v>
      </c>
      <c r="M4587">
        <f>IF((DST_123_ÜRETİM_İHTİYAÇ_RAPORU_BURAK_YENI1309[[#This Row],[SATINALMA]]*DST_123_ÜRETİM_İHTİYAÇ_RAPORU_BURAK_YENI1309[[#This Row],[BIRIM_FIYATLAR]])&lt;1,VALUE("0"),DST_123_ÜRETİM_İHTİYAÇ_RAPORU_BURAK_YENI1309[[#This Row],[SATINALMA]]*DST_123_ÜRETİM_İHTİYAÇ_RAPORU_BURAK_YENI1309[[#This Row],[BIRIM_FIYATLAR]])</f>
        <v>0</v>
      </c>
      <c r="N4587">
        <v>12</v>
      </c>
      <c r="O4587" t="s">
        <v>226</v>
      </c>
      <c r="P4587">
        <v>60</v>
      </c>
      <c r="Q4587" t="s">
        <v>180</v>
      </c>
    </row>
    <row r="4588" spans="1:17" x14ac:dyDescent="0.25">
      <c r="A4588" t="s">
        <v>1059</v>
      </c>
      <c r="B4588" t="s">
        <v>1058</v>
      </c>
      <c r="C4588" t="s">
        <v>175</v>
      </c>
      <c r="D4588" t="s">
        <v>524</v>
      </c>
      <c r="E4588" t="s">
        <v>525</v>
      </c>
      <c r="F4588">
        <v>5</v>
      </c>
      <c r="G4588" t="s">
        <v>176</v>
      </c>
      <c r="H4588">
        <v>5</v>
      </c>
      <c r="I4588">
        <v>300</v>
      </c>
      <c r="J4588" s="10">
        <v>325</v>
      </c>
      <c r="K4588" s="10">
        <f>SUMIFS(F:F,D:D,DST_123_ÜRETİM_İHTİYAÇ_RAPORU_BURAK_YENI1309[[#This Row],[ALT_KOD]])-(SUMIFS(H:H,D:D,DST_123_ÜRETİM_İHTİYAÇ_RAPORU_BURAK_YENI1309[[#This Row],[ALT_KOD]])+AVERAGEIFS(I:I,D:D,DST_123_ÜRETİM_İHTİYAÇ_RAPORU_BURAK_YENI1309[[#This Row],[ALT_KOD]])+AVERAGEIFS(L:L,D:D,DST_123_ÜRETİM_İHTİYAÇ_RAPORU_BURAK_YENI1309[[#This Row],[ALT_KOD]]))</f>
        <v>-192</v>
      </c>
      <c r="L4588">
        <v>0</v>
      </c>
      <c r="M4588">
        <f>IF((DST_123_ÜRETİM_İHTİYAÇ_RAPORU_BURAK_YENI1309[[#This Row],[SATINALMA]]*DST_123_ÜRETİM_İHTİYAÇ_RAPORU_BURAK_YENI1309[[#This Row],[BIRIM_FIYATLAR]])&lt;1,VALUE("0"),DST_123_ÜRETİM_İHTİYAÇ_RAPORU_BURAK_YENI1309[[#This Row],[SATINALMA]]*DST_123_ÜRETİM_İHTİYAÇ_RAPORU_BURAK_YENI1309[[#This Row],[BIRIM_FIYATLAR]])</f>
        <v>0</v>
      </c>
      <c r="N4588">
        <v>12</v>
      </c>
      <c r="O4588" t="s">
        <v>226</v>
      </c>
      <c r="P4588">
        <v>60</v>
      </c>
      <c r="Q4588" t="s">
        <v>180</v>
      </c>
    </row>
    <row r="4589" spans="1:17" x14ac:dyDescent="0.25">
      <c r="A4589" t="s">
        <v>1100</v>
      </c>
      <c r="B4589" t="s">
        <v>1058</v>
      </c>
      <c r="C4589" t="s">
        <v>175</v>
      </c>
      <c r="D4589" t="s">
        <v>524</v>
      </c>
      <c r="E4589" t="s">
        <v>525</v>
      </c>
      <c r="F4589">
        <v>5</v>
      </c>
      <c r="G4589" t="s">
        <v>176</v>
      </c>
      <c r="H4589">
        <v>5</v>
      </c>
      <c r="I4589">
        <v>300</v>
      </c>
      <c r="J4589" s="10">
        <v>325</v>
      </c>
      <c r="K4589" s="10">
        <f>SUMIFS(F:F,D:D,DST_123_ÜRETİM_İHTİYAÇ_RAPORU_BURAK_YENI1309[[#This Row],[ALT_KOD]])-(SUMIFS(H:H,D:D,DST_123_ÜRETİM_İHTİYAÇ_RAPORU_BURAK_YENI1309[[#This Row],[ALT_KOD]])+AVERAGEIFS(I:I,D:D,DST_123_ÜRETİM_İHTİYAÇ_RAPORU_BURAK_YENI1309[[#This Row],[ALT_KOD]])+AVERAGEIFS(L:L,D:D,DST_123_ÜRETİM_İHTİYAÇ_RAPORU_BURAK_YENI1309[[#This Row],[ALT_KOD]]))</f>
        <v>-192</v>
      </c>
      <c r="L4589">
        <v>0</v>
      </c>
      <c r="M4589">
        <f>IF((DST_123_ÜRETİM_İHTİYAÇ_RAPORU_BURAK_YENI1309[[#This Row],[SATINALMA]]*DST_123_ÜRETİM_İHTİYAÇ_RAPORU_BURAK_YENI1309[[#This Row],[BIRIM_FIYATLAR]])&lt;1,VALUE("0"),DST_123_ÜRETİM_İHTİYAÇ_RAPORU_BURAK_YENI1309[[#This Row],[SATINALMA]]*DST_123_ÜRETİM_İHTİYAÇ_RAPORU_BURAK_YENI1309[[#This Row],[BIRIM_FIYATLAR]])</f>
        <v>0</v>
      </c>
      <c r="N4589">
        <v>12</v>
      </c>
      <c r="O4589" t="s">
        <v>226</v>
      </c>
      <c r="P4589">
        <v>60</v>
      </c>
      <c r="Q4589" t="s">
        <v>180</v>
      </c>
    </row>
    <row r="4590" spans="1:17" x14ac:dyDescent="0.25">
      <c r="A4590" t="s">
        <v>1057</v>
      </c>
      <c r="B4590" t="s">
        <v>1058</v>
      </c>
      <c r="C4590" t="s">
        <v>175</v>
      </c>
      <c r="D4590" t="s">
        <v>462</v>
      </c>
      <c r="E4590" t="s">
        <v>463</v>
      </c>
      <c r="F4590">
        <v>0.7</v>
      </c>
      <c r="G4590" t="s">
        <v>176</v>
      </c>
      <c r="H4590">
        <v>0.7</v>
      </c>
      <c r="I4590">
        <v>0</v>
      </c>
      <c r="J4590" s="10">
        <v>5.5999999999999988</v>
      </c>
      <c r="K4590" s="10">
        <f>SUMIFS(F:F,D:D,DST_123_ÜRETİM_İHTİYAÇ_RAPORU_BURAK_YENI1309[[#This Row],[ALT_KOD]])-(SUMIFS(H:H,D:D,DST_123_ÜRETİM_İHTİYAÇ_RAPORU_BURAK_YENI1309[[#This Row],[ALT_KOD]])+AVERAGEIFS(I:I,D:D,DST_123_ÜRETİM_İHTİYAÇ_RAPORU_BURAK_YENI1309[[#This Row],[ALT_KOD]])+AVERAGEIFS(L:L,D:D,DST_123_ÜRETİM_İHTİYAÇ_RAPORU_BURAK_YENI1309[[#This Row],[ALT_KOD]]))</f>
        <v>7.2</v>
      </c>
      <c r="L4590">
        <v>0</v>
      </c>
      <c r="M4590">
        <f>IF((DST_123_ÜRETİM_İHTİYAÇ_RAPORU_BURAK_YENI1309[[#This Row],[SATINALMA]]*DST_123_ÜRETİM_İHTİYAÇ_RAPORU_BURAK_YENI1309[[#This Row],[BIRIM_FIYATLAR]])&lt;1,VALUE("0"),DST_123_ÜRETİM_İHTİYAÇ_RAPORU_BURAK_YENI1309[[#This Row],[SATINALMA]]*DST_123_ÜRETİM_İHTİYAÇ_RAPORU_BURAK_YENI1309[[#This Row],[BIRIM_FIYATLAR]])</f>
        <v>1170.0719999999999</v>
      </c>
      <c r="N4590">
        <v>162.51</v>
      </c>
      <c r="O4590" t="s">
        <v>490</v>
      </c>
      <c r="P4590">
        <v>113.75699999999999</v>
      </c>
      <c r="Q4590" t="s">
        <v>183</v>
      </c>
    </row>
    <row r="4591" spans="1:17" x14ac:dyDescent="0.25">
      <c r="A4591" t="s">
        <v>1060</v>
      </c>
      <c r="B4591" t="s">
        <v>1061</v>
      </c>
      <c r="C4591" t="s">
        <v>175</v>
      </c>
      <c r="D4591" t="s">
        <v>402</v>
      </c>
      <c r="E4591" t="s">
        <v>403</v>
      </c>
      <c r="F4591">
        <v>1</v>
      </c>
      <c r="G4591" t="s">
        <v>176</v>
      </c>
      <c r="H4591">
        <v>1</v>
      </c>
      <c r="I4591">
        <v>24</v>
      </c>
      <c r="J4591" s="10">
        <v>14</v>
      </c>
      <c r="K4591" s="10">
        <f>SUMIFS(F:F,D:D,DST_123_ÜRETİM_İHTİYAÇ_RAPORU_BURAK_YENI1309[[#This Row],[ALT_KOD]])-(SUMIFS(H:H,D:D,DST_123_ÜRETİM_İHTİYAÇ_RAPORU_BURAK_YENI1309[[#This Row],[ALT_KOD]])+AVERAGEIFS(I:I,D:D,DST_123_ÜRETİM_İHTİYAÇ_RAPORU_BURAK_YENI1309[[#This Row],[ALT_KOD]])+AVERAGEIFS(L:L,D:D,DST_123_ÜRETİM_İHTİYAÇ_RAPORU_BURAK_YENI1309[[#This Row],[ALT_KOD]]))</f>
        <v>-15</v>
      </c>
      <c r="L4591">
        <v>0</v>
      </c>
      <c r="M4591">
        <f>IF((DST_123_ÜRETİM_İHTİYAÇ_RAPORU_BURAK_YENI1309[[#This Row],[SATINALMA]]*DST_123_ÜRETİM_İHTİYAÇ_RAPORU_BURAK_YENI1309[[#This Row],[BIRIM_FIYATLAR]])&lt;1,VALUE("0"),DST_123_ÜRETİM_İHTİYAÇ_RAPORU_BURAK_YENI1309[[#This Row],[SATINALMA]]*DST_123_ÜRETİM_İHTİYAÇ_RAPORU_BURAK_YENI1309[[#This Row],[BIRIM_FIYATLAR]])</f>
        <v>0</v>
      </c>
      <c r="N4591">
        <v>15</v>
      </c>
      <c r="O4591" t="s">
        <v>220</v>
      </c>
      <c r="P4591">
        <v>15</v>
      </c>
      <c r="Q4591" t="s">
        <v>221</v>
      </c>
    </row>
    <row r="4592" spans="1:17" x14ac:dyDescent="0.25">
      <c r="A4592" t="s">
        <v>1060</v>
      </c>
      <c r="B4592" t="s">
        <v>1061</v>
      </c>
      <c r="C4592" t="s">
        <v>175</v>
      </c>
      <c r="D4592" t="s">
        <v>15</v>
      </c>
      <c r="E4592" t="s">
        <v>16</v>
      </c>
      <c r="F4592">
        <v>1</v>
      </c>
      <c r="G4592" t="s">
        <v>176</v>
      </c>
      <c r="H4592">
        <v>1</v>
      </c>
      <c r="I4592">
        <v>7</v>
      </c>
      <c r="J4592" s="10">
        <v>10</v>
      </c>
      <c r="K4592" s="10">
        <f>SUMIFS(F:F,D:D,DST_123_ÜRETİM_İHTİYAÇ_RAPORU_BURAK_YENI1309[[#This Row],[ALT_KOD]])-(SUMIFS(H:H,D:D,DST_123_ÜRETİM_İHTİYAÇ_RAPORU_BURAK_YENI1309[[#This Row],[ALT_KOD]])+AVERAGEIFS(I:I,D:D,DST_123_ÜRETİM_İHTİYAÇ_RAPORU_BURAK_YENI1309[[#This Row],[ALT_KOD]])+AVERAGEIFS(L:L,D:D,DST_123_ÜRETİM_İHTİYAÇ_RAPORU_BURAK_YENI1309[[#This Row],[ALT_KOD]]))</f>
        <v>6</v>
      </c>
      <c r="L4592">
        <v>0</v>
      </c>
      <c r="M4592">
        <f>IF((DST_123_ÜRETİM_İHTİYAÇ_RAPORU_BURAK_YENI1309[[#This Row],[SATINALMA]]*DST_123_ÜRETİM_İHTİYAÇ_RAPORU_BURAK_YENI1309[[#This Row],[BIRIM_FIYATLAR]])&lt;1,VALUE("0"),DST_123_ÜRETİM_İHTİYAÇ_RAPORU_BURAK_YENI1309[[#This Row],[SATINALMA]]*DST_123_ÜRETİM_İHTİYAÇ_RAPORU_BURAK_YENI1309[[#This Row],[BIRIM_FIYATLAR]])</f>
        <v>20303.939999999999</v>
      </c>
      <c r="N4592">
        <v>3383.99</v>
      </c>
      <c r="O4592" t="s">
        <v>215</v>
      </c>
      <c r="P4592">
        <v>3383.99</v>
      </c>
      <c r="Q4592" t="s">
        <v>221</v>
      </c>
    </row>
    <row r="4593" spans="1:17" x14ac:dyDescent="0.25">
      <c r="A4593" t="s">
        <v>1057</v>
      </c>
      <c r="B4593" t="s">
        <v>1058</v>
      </c>
      <c r="C4593" t="s">
        <v>175</v>
      </c>
      <c r="D4593" t="s">
        <v>147</v>
      </c>
      <c r="E4593" t="s">
        <v>148</v>
      </c>
      <c r="F4593">
        <v>1</v>
      </c>
      <c r="G4593" t="s">
        <v>176</v>
      </c>
      <c r="H4593">
        <v>1</v>
      </c>
      <c r="I4593">
        <v>3</v>
      </c>
      <c r="J4593" s="10">
        <v>11</v>
      </c>
      <c r="K4593" s="10">
        <f>SUMIFS(F:F,D:D,DST_123_ÜRETİM_İHTİYAÇ_RAPORU_BURAK_YENI1309[[#This Row],[ALT_KOD]])-(SUMIFS(H:H,D:D,DST_123_ÜRETİM_İHTİYAÇ_RAPORU_BURAK_YENI1309[[#This Row],[ALT_KOD]])+AVERAGEIFS(I:I,D:D,DST_123_ÜRETİM_İHTİYAÇ_RAPORU_BURAK_YENI1309[[#This Row],[ALT_KOD]])+AVERAGEIFS(L:L,D:D,DST_123_ÜRETİM_İHTİYAÇ_RAPORU_BURAK_YENI1309[[#This Row],[ALT_KOD]]))</f>
        <v>7</v>
      </c>
      <c r="L4593">
        <v>0</v>
      </c>
      <c r="M4593">
        <f>IF((DST_123_ÜRETİM_İHTİYAÇ_RAPORU_BURAK_YENI1309[[#This Row],[SATINALMA]]*DST_123_ÜRETİM_İHTİYAÇ_RAPORU_BURAK_YENI1309[[#This Row],[BIRIM_FIYATLAR]])&lt;1,VALUE("0"),DST_123_ÜRETİM_İHTİYAÇ_RAPORU_BURAK_YENI1309[[#This Row],[SATINALMA]]*DST_123_ÜRETİM_İHTİYAÇ_RAPORU_BURAK_YENI1309[[#This Row],[BIRIM_FIYATLAR]])</f>
        <v>22092.98</v>
      </c>
      <c r="N4593">
        <v>3156.14</v>
      </c>
      <c r="O4593" t="s">
        <v>227</v>
      </c>
      <c r="P4593">
        <v>3156.14</v>
      </c>
      <c r="Q4593" t="s">
        <v>221</v>
      </c>
    </row>
    <row r="4594" spans="1:17" x14ac:dyDescent="0.25">
      <c r="A4594" t="s">
        <v>1144</v>
      </c>
      <c r="B4594" t="s">
        <v>1145</v>
      </c>
      <c r="C4594" t="s">
        <v>175</v>
      </c>
      <c r="D4594" t="s">
        <v>763</v>
      </c>
      <c r="E4594" t="s">
        <v>764</v>
      </c>
      <c r="F4594">
        <v>1</v>
      </c>
      <c r="G4594" t="s">
        <v>176</v>
      </c>
      <c r="H4594">
        <v>0</v>
      </c>
      <c r="I4594">
        <v>12</v>
      </c>
      <c r="J4594" s="10">
        <v>8</v>
      </c>
      <c r="K4594" s="10">
        <f>SUMIFS(F:F,D:D,DST_123_ÜRETİM_İHTİYAÇ_RAPORU_BURAK_YENI1309[[#This Row],[ALT_KOD]])-(SUMIFS(H:H,D:D,DST_123_ÜRETİM_İHTİYAÇ_RAPORU_BURAK_YENI1309[[#This Row],[ALT_KOD]])+AVERAGEIFS(I:I,D:D,DST_123_ÜRETİM_İHTİYAÇ_RAPORU_BURAK_YENI1309[[#This Row],[ALT_KOD]])+AVERAGEIFS(L:L,D:D,DST_123_ÜRETİM_İHTİYAÇ_RAPORU_BURAK_YENI1309[[#This Row],[ALT_KOD]]))</f>
        <v>0</v>
      </c>
      <c r="L4594">
        <v>0</v>
      </c>
      <c r="M4594">
        <f>IF((DST_123_ÜRETİM_İHTİYAÇ_RAPORU_BURAK_YENI1309[[#This Row],[SATINALMA]]*DST_123_ÜRETİM_İHTİYAÇ_RAPORU_BURAK_YENI1309[[#This Row],[BIRIM_FIYATLAR]])&lt;1,VALUE("0"),DST_123_ÜRETİM_İHTİYAÇ_RAPORU_BURAK_YENI1309[[#This Row],[SATINALMA]]*DST_123_ÜRETİM_İHTİYAÇ_RAPORU_BURAK_YENI1309[[#This Row],[BIRIM_FIYATLAR]])</f>
        <v>0</v>
      </c>
      <c r="N4594">
        <v>401.17</v>
      </c>
      <c r="O4594" t="s">
        <v>765</v>
      </c>
      <c r="P4594">
        <v>401.17</v>
      </c>
      <c r="Q4594" t="s">
        <v>221</v>
      </c>
    </row>
    <row r="4595" spans="1:17" x14ac:dyDescent="0.25">
      <c r="A4595" t="s">
        <v>1146</v>
      </c>
      <c r="B4595" t="s">
        <v>1145</v>
      </c>
      <c r="C4595" t="s">
        <v>175</v>
      </c>
      <c r="D4595" t="s">
        <v>763</v>
      </c>
      <c r="E4595" t="s">
        <v>764</v>
      </c>
      <c r="F4595">
        <v>1</v>
      </c>
      <c r="G4595" t="s">
        <v>176</v>
      </c>
      <c r="H4595">
        <v>0</v>
      </c>
      <c r="I4595">
        <v>12</v>
      </c>
      <c r="J4595" s="10">
        <v>8</v>
      </c>
      <c r="K4595" s="10">
        <f>SUMIFS(F:F,D:D,DST_123_ÜRETİM_İHTİYAÇ_RAPORU_BURAK_YENI1309[[#This Row],[ALT_KOD]])-(SUMIFS(H:H,D:D,DST_123_ÜRETİM_İHTİYAÇ_RAPORU_BURAK_YENI1309[[#This Row],[ALT_KOD]])+AVERAGEIFS(I:I,D:D,DST_123_ÜRETİM_İHTİYAÇ_RAPORU_BURAK_YENI1309[[#This Row],[ALT_KOD]])+AVERAGEIFS(L:L,D:D,DST_123_ÜRETİM_İHTİYAÇ_RAPORU_BURAK_YENI1309[[#This Row],[ALT_KOD]]))</f>
        <v>0</v>
      </c>
      <c r="L4595">
        <v>0</v>
      </c>
      <c r="M4595">
        <f>IF((DST_123_ÜRETİM_İHTİYAÇ_RAPORU_BURAK_YENI1309[[#This Row],[SATINALMA]]*DST_123_ÜRETİM_İHTİYAÇ_RAPORU_BURAK_YENI1309[[#This Row],[BIRIM_FIYATLAR]])&lt;1,VALUE("0"),DST_123_ÜRETİM_İHTİYAÇ_RAPORU_BURAK_YENI1309[[#This Row],[SATINALMA]]*DST_123_ÜRETİM_İHTİYAÇ_RAPORU_BURAK_YENI1309[[#This Row],[BIRIM_FIYATLAR]])</f>
        <v>0</v>
      </c>
      <c r="N4595">
        <v>401.17</v>
      </c>
      <c r="O4595" t="s">
        <v>765</v>
      </c>
      <c r="P4595">
        <v>401.17</v>
      </c>
      <c r="Q4595" t="s">
        <v>221</v>
      </c>
    </row>
    <row r="4596" spans="1:17" x14ac:dyDescent="0.25">
      <c r="A4596" t="s">
        <v>1057</v>
      </c>
      <c r="B4596" t="s">
        <v>1058</v>
      </c>
      <c r="C4596" t="s">
        <v>175</v>
      </c>
      <c r="D4596" t="s">
        <v>386</v>
      </c>
      <c r="E4596" t="s">
        <v>613</v>
      </c>
      <c r="F4596">
        <v>1</v>
      </c>
      <c r="G4596" t="s">
        <v>182</v>
      </c>
      <c r="H4596">
        <v>0</v>
      </c>
      <c r="I4596">
        <v>0</v>
      </c>
      <c r="J4596" s="10">
        <v>67.08499999999998</v>
      </c>
      <c r="K4596" s="10">
        <f>SUMIFS(F:F,D:D,DST_123_ÜRETİM_İHTİYAÇ_RAPORU_BURAK_YENI1309[[#This Row],[ALT_KOD]])-(SUMIFS(H:H,D:D,DST_123_ÜRETİM_İHTİYAÇ_RAPORU_BURAK_YENI1309[[#This Row],[ALT_KOD]])+AVERAGEIFS(I:I,D:D,DST_123_ÜRETİM_İHTİYAÇ_RAPORU_BURAK_YENI1309[[#This Row],[ALT_KOD]])+AVERAGEIFS(L:L,D:D,DST_123_ÜRETİM_İHTİYAÇ_RAPORU_BURAK_YENI1309[[#This Row],[ALT_KOD]]))</f>
        <v>15</v>
      </c>
      <c r="L4596">
        <v>0</v>
      </c>
      <c r="M4596">
        <f>IF((DST_123_ÜRETİM_İHTİYAÇ_RAPORU_BURAK_YENI1309[[#This Row],[SATINALMA]]*DST_123_ÜRETİM_İHTİYAÇ_RAPORU_BURAK_YENI1309[[#This Row],[BIRIM_FIYATLAR]])&lt;1,VALUE("0"),DST_123_ÜRETİM_İHTİYAÇ_RAPORU_BURAK_YENI1309[[#This Row],[SATINALMA]]*DST_123_ÜRETİM_İHTİYAÇ_RAPORU_BURAK_YENI1309[[#This Row],[BIRIM_FIYATLAR]])</f>
        <v>9778.0499999999993</v>
      </c>
      <c r="N4596">
        <v>651.87</v>
      </c>
      <c r="O4596" t="s">
        <v>223</v>
      </c>
      <c r="P4596">
        <v>651.87</v>
      </c>
      <c r="Q4596" t="s">
        <v>181</v>
      </c>
    </row>
    <row r="4597" spans="1:17" x14ac:dyDescent="0.25">
      <c r="A4597" t="s">
        <v>1147</v>
      </c>
      <c r="B4597" t="s">
        <v>1145</v>
      </c>
      <c r="C4597" t="s">
        <v>175</v>
      </c>
      <c r="D4597" t="s">
        <v>734</v>
      </c>
      <c r="E4597" t="s">
        <v>735</v>
      </c>
      <c r="F4597">
        <v>1</v>
      </c>
      <c r="G4597" t="s">
        <v>176</v>
      </c>
      <c r="H4597">
        <v>0</v>
      </c>
      <c r="I4597">
        <v>10</v>
      </c>
      <c r="J4597" s="10">
        <v>17</v>
      </c>
      <c r="K4597" s="10">
        <f>SUMIFS(F:F,D:D,DST_123_ÜRETİM_İHTİYAÇ_RAPORU_BURAK_YENI1309[[#This Row],[ALT_KOD]])-(SUMIFS(H:H,D:D,DST_123_ÜRETİM_İHTİYAÇ_RAPORU_BURAK_YENI1309[[#This Row],[ALT_KOD]])+AVERAGEIFS(I:I,D:D,DST_123_ÜRETİM_İHTİYAÇ_RAPORU_BURAK_YENI1309[[#This Row],[ALT_KOD]])+AVERAGEIFS(L:L,D:D,DST_123_ÜRETİM_İHTİYAÇ_RAPORU_BURAK_YENI1309[[#This Row],[ALT_KOD]]))</f>
        <v>1</v>
      </c>
      <c r="L4597">
        <v>0</v>
      </c>
      <c r="M4597">
        <f>IF((DST_123_ÜRETİM_İHTİYAÇ_RAPORU_BURAK_YENI1309[[#This Row],[SATINALMA]]*DST_123_ÜRETİM_İHTİYAÇ_RAPORU_BURAK_YENI1309[[#This Row],[BIRIM_FIYATLAR]])&lt;1,VALUE("0"),DST_123_ÜRETİM_İHTİYAÇ_RAPORU_BURAK_YENI1309[[#This Row],[SATINALMA]]*DST_123_ÜRETİM_İHTİYAÇ_RAPORU_BURAK_YENI1309[[#This Row],[BIRIM_FIYATLAR]])</f>
        <v>565.83000000000004</v>
      </c>
      <c r="N4597">
        <v>565.83000000000004</v>
      </c>
      <c r="O4597" t="s">
        <v>667</v>
      </c>
      <c r="P4597">
        <v>565.83000000000004</v>
      </c>
      <c r="Q4597" t="s">
        <v>677</v>
      </c>
    </row>
    <row r="4598" spans="1:17" x14ac:dyDescent="0.25">
      <c r="A4598" t="s">
        <v>1148</v>
      </c>
      <c r="B4598" t="s">
        <v>1056</v>
      </c>
      <c r="C4598" t="s">
        <v>175</v>
      </c>
      <c r="D4598" t="s">
        <v>734</v>
      </c>
      <c r="E4598" t="s">
        <v>735</v>
      </c>
      <c r="F4598">
        <v>1</v>
      </c>
      <c r="G4598" t="s">
        <v>176</v>
      </c>
      <c r="H4598">
        <v>0</v>
      </c>
      <c r="I4598">
        <v>10</v>
      </c>
      <c r="J4598" s="10">
        <v>17</v>
      </c>
      <c r="K4598" s="10">
        <f>SUMIFS(F:F,D:D,DST_123_ÜRETİM_İHTİYAÇ_RAPORU_BURAK_YENI1309[[#This Row],[ALT_KOD]])-(SUMIFS(H:H,D:D,DST_123_ÜRETİM_İHTİYAÇ_RAPORU_BURAK_YENI1309[[#This Row],[ALT_KOD]])+AVERAGEIFS(I:I,D:D,DST_123_ÜRETİM_İHTİYAÇ_RAPORU_BURAK_YENI1309[[#This Row],[ALT_KOD]])+AVERAGEIFS(L:L,D:D,DST_123_ÜRETİM_İHTİYAÇ_RAPORU_BURAK_YENI1309[[#This Row],[ALT_KOD]]))</f>
        <v>1</v>
      </c>
      <c r="L4598">
        <v>0</v>
      </c>
      <c r="M4598">
        <f>IF((DST_123_ÜRETİM_İHTİYAÇ_RAPORU_BURAK_YENI1309[[#This Row],[SATINALMA]]*DST_123_ÜRETİM_İHTİYAÇ_RAPORU_BURAK_YENI1309[[#This Row],[BIRIM_FIYATLAR]])&lt;1,VALUE("0"),DST_123_ÜRETİM_İHTİYAÇ_RAPORU_BURAK_YENI1309[[#This Row],[SATINALMA]]*DST_123_ÜRETİM_İHTİYAÇ_RAPORU_BURAK_YENI1309[[#This Row],[BIRIM_FIYATLAR]])</f>
        <v>565.83000000000004</v>
      </c>
      <c r="N4598">
        <v>565.83000000000004</v>
      </c>
      <c r="O4598" t="s">
        <v>667</v>
      </c>
      <c r="P4598">
        <v>565.83000000000004</v>
      </c>
      <c r="Q4598" t="s">
        <v>677</v>
      </c>
    </row>
    <row r="4599" spans="1:17" x14ac:dyDescent="0.25">
      <c r="A4599" t="s">
        <v>1148</v>
      </c>
      <c r="B4599" t="s">
        <v>1056</v>
      </c>
      <c r="C4599" t="s">
        <v>175</v>
      </c>
      <c r="D4599" t="s">
        <v>763</v>
      </c>
      <c r="E4599" t="s">
        <v>764</v>
      </c>
      <c r="F4599">
        <v>1</v>
      </c>
      <c r="G4599" t="s">
        <v>176</v>
      </c>
      <c r="H4599">
        <v>0</v>
      </c>
      <c r="I4599">
        <v>12</v>
      </c>
      <c r="J4599" s="10">
        <v>8</v>
      </c>
      <c r="K4599" s="10">
        <f>SUMIFS(F:F,D:D,DST_123_ÜRETİM_İHTİYAÇ_RAPORU_BURAK_YENI1309[[#This Row],[ALT_KOD]])-(SUMIFS(H:H,D:D,DST_123_ÜRETİM_İHTİYAÇ_RAPORU_BURAK_YENI1309[[#This Row],[ALT_KOD]])+AVERAGEIFS(I:I,D:D,DST_123_ÜRETİM_İHTİYAÇ_RAPORU_BURAK_YENI1309[[#This Row],[ALT_KOD]])+AVERAGEIFS(L:L,D:D,DST_123_ÜRETİM_İHTİYAÇ_RAPORU_BURAK_YENI1309[[#This Row],[ALT_KOD]]))</f>
        <v>0</v>
      </c>
      <c r="L4599">
        <v>0</v>
      </c>
      <c r="M4599">
        <f>IF((DST_123_ÜRETİM_İHTİYAÇ_RAPORU_BURAK_YENI1309[[#This Row],[SATINALMA]]*DST_123_ÜRETİM_İHTİYAÇ_RAPORU_BURAK_YENI1309[[#This Row],[BIRIM_FIYATLAR]])&lt;1,VALUE("0"),DST_123_ÜRETİM_İHTİYAÇ_RAPORU_BURAK_YENI1309[[#This Row],[SATINALMA]]*DST_123_ÜRETİM_İHTİYAÇ_RAPORU_BURAK_YENI1309[[#This Row],[BIRIM_FIYATLAR]])</f>
        <v>0</v>
      </c>
      <c r="N4599">
        <v>401.17</v>
      </c>
      <c r="O4599" t="s">
        <v>765</v>
      </c>
      <c r="P4599">
        <v>401.17</v>
      </c>
      <c r="Q4599" t="s">
        <v>221</v>
      </c>
    </row>
    <row r="4600" spans="1:17" x14ac:dyDescent="0.25">
      <c r="A4600" t="s">
        <v>1099</v>
      </c>
      <c r="B4600" t="s">
        <v>1055</v>
      </c>
      <c r="C4600" t="s">
        <v>175</v>
      </c>
      <c r="D4600" t="s">
        <v>734</v>
      </c>
      <c r="E4600" t="s">
        <v>735</v>
      </c>
      <c r="F4600">
        <v>1</v>
      </c>
      <c r="G4600" t="s">
        <v>176</v>
      </c>
      <c r="H4600">
        <v>1</v>
      </c>
      <c r="I4600">
        <v>10</v>
      </c>
      <c r="J4600" s="10">
        <v>17</v>
      </c>
      <c r="K4600" s="10">
        <f>SUMIFS(F:F,D:D,DST_123_ÜRETİM_İHTİYAÇ_RAPORU_BURAK_YENI1309[[#This Row],[ALT_KOD]])-(SUMIFS(H:H,D:D,DST_123_ÜRETİM_İHTİYAÇ_RAPORU_BURAK_YENI1309[[#This Row],[ALT_KOD]])+AVERAGEIFS(I:I,D:D,DST_123_ÜRETİM_İHTİYAÇ_RAPORU_BURAK_YENI1309[[#This Row],[ALT_KOD]])+AVERAGEIFS(L:L,D:D,DST_123_ÜRETİM_İHTİYAÇ_RAPORU_BURAK_YENI1309[[#This Row],[ALT_KOD]]))</f>
        <v>1</v>
      </c>
      <c r="L4600">
        <v>0</v>
      </c>
      <c r="M4600">
        <f>IF((DST_123_ÜRETİM_İHTİYAÇ_RAPORU_BURAK_YENI1309[[#This Row],[SATINALMA]]*DST_123_ÜRETİM_İHTİYAÇ_RAPORU_BURAK_YENI1309[[#This Row],[BIRIM_FIYATLAR]])&lt;1,VALUE("0"),DST_123_ÜRETİM_İHTİYAÇ_RAPORU_BURAK_YENI1309[[#This Row],[SATINALMA]]*DST_123_ÜRETİM_İHTİYAÇ_RAPORU_BURAK_YENI1309[[#This Row],[BIRIM_FIYATLAR]])</f>
        <v>565.83000000000004</v>
      </c>
      <c r="N4600">
        <v>565.83000000000004</v>
      </c>
      <c r="O4600" t="s">
        <v>667</v>
      </c>
      <c r="P4600">
        <v>565.83000000000004</v>
      </c>
      <c r="Q4600" t="s">
        <v>677</v>
      </c>
    </row>
    <row r="4601" spans="1:17" x14ac:dyDescent="0.25">
      <c r="A4601" t="s">
        <v>1196</v>
      </c>
      <c r="B4601" t="s">
        <v>1197</v>
      </c>
      <c r="C4601" t="s">
        <v>175</v>
      </c>
      <c r="D4601" t="s">
        <v>734</v>
      </c>
      <c r="E4601" t="s">
        <v>735</v>
      </c>
      <c r="F4601">
        <v>1</v>
      </c>
      <c r="G4601" t="s">
        <v>176</v>
      </c>
      <c r="H4601">
        <v>0</v>
      </c>
      <c r="I4601">
        <v>10</v>
      </c>
      <c r="J4601" s="10">
        <v>17</v>
      </c>
      <c r="K4601" s="10">
        <f>SUMIFS(F:F,D:D,DST_123_ÜRETİM_İHTİYAÇ_RAPORU_BURAK_YENI1309[[#This Row],[ALT_KOD]])-(SUMIFS(H:H,D:D,DST_123_ÜRETİM_İHTİYAÇ_RAPORU_BURAK_YENI1309[[#This Row],[ALT_KOD]])+AVERAGEIFS(I:I,D:D,DST_123_ÜRETİM_İHTİYAÇ_RAPORU_BURAK_YENI1309[[#This Row],[ALT_KOD]])+AVERAGEIFS(L:L,D:D,DST_123_ÜRETİM_İHTİYAÇ_RAPORU_BURAK_YENI1309[[#This Row],[ALT_KOD]]))</f>
        <v>1</v>
      </c>
      <c r="L4601">
        <v>0</v>
      </c>
      <c r="M4601">
        <f>IF((DST_123_ÜRETİM_İHTİYAÇ_RAPORU_BURAK_YENI1309[[#This Row],[SATINALMA]]*DST_123_ÜRETİM_İHTİYAÇ_RAPORU_BURAK_YENI1309[[#This Row],[BIRIM_FIYATLAR]])&lt;1,VALUE("0"),DST_123_ÜRETİM_İHTİYAÇ_RAPORU_BURAK_YENI1309[[#This Row],[SATINALMA]]*DST_123_ÜRETİM_İHTİYAÇ_RAPORU_BURAK_YENI1309[[#This Row],[BIRIM_FIYATLAR]])</f>
        <v>565.83000000000004</v>
      </c>
      <c r="N4601">
        <v>565.83000000000004</v>
      </c>
      <c r="O4601" t="s">
        <v>667</v>
      </c>
      <c r="P4601">
        <v>565.83000000000004</v>
      </c>
      <c r="Q4601" t="s">
        <v>677</v>
      </c>
    </row>
    <row r="4602" spans="1:17" x14ac:dyDescent="0.25">
      <c r="A4602" t="s">
        <v>1196</v>
      </c>
      <c r="B4602" t="s">
        <v>1197</v>
      </c>
      <c r="C4602" t="s">
        <v>175</v>
      </c>
      <c r="D4602" t="s">
        <v>763</v>
      </c>
      <c r="E4602" t="s">
        <v>764</v>
      </c>
      <c r="F4602">
        <v>1</v>
      </c>
      <c r="G4602" t="s">
        <v>176</v>
      </c>
      <c r="H4602">
        <v>0</v>
      </c>
      <c r="I4602">
        <v>12</v>
      </c>
      <c r="J4602" s="10">
        <v>8</v>
      </c>
      <c r="K4602" s="10">
        <f>SUMIFS(F:F,D:D,DST_123_ÜRETİM_İHTİYAÇ_RAPORU_BURAK_YENI1309[[#This Row],[ALT_KOD]])-(SUMIFS(H:H,D:D,DST_123_ÜRETİM_İHTİYAÇ_RAPORU_BURAK_YENI1309[[#This Row],[ALT_KOD]])+AVERAGEIFS(I:I,D:D,DST_123_ÜRETİM_İHTİYAÇ_RAPORU_BURAK_YENI1309[[#This Row],[ALT_KOD]])+AVERAGEIFS(L:L,D:D,DST_123_ÜRETİM_İHTİYAÇ_RAPORU_BURAK_YENI1309[[#This Row],[ALT_KOD]]))</f>
        <v>0</v>
      </c>
      <c r="L4602">
        <v>0</v>
      </c>
      <c r="M4602">
        <f>IF((DST_123_ÜRETİM_İHTİYAÇ_RAPORU_BURAK_YENI1309[[#This Row],[SATINALMA]]*DST_123_ÜRETİM_İHTİYAÇ_RAPORU_BURAK_YENI1309[[#This Row],[BIRIM_FIYATLAR]])&lt;1,VALUE("0"),DST_123_ÜRETİM_İHTİYAÇ_RAPORU_BURAK_YENI1309[[#This Row],[SATINALMA]]*DST_123_ÜRETİM_İHTİYAÇ_RAPORU_BURAK_YENI1309[[#This Row],[BIRIM_FIYATLAR]])</f>
        <v>0</v>
      </c>
      <c r="N4602">
        <v>401.17</v>
      </c>
      <c r="O4602" t="s">
        <v>765</v>
      </c>
      <c r="P4602">
        <v>401.17</v>
      </c>
      <c r="Q4602" t="s">
        <v>221</v>
      </c>
    </row>
    <row r="4603" spans="1:17" x14ac:dyDescent="0.25">
      <c r="A4603" t="s">
        <v>1150</v>
      </c>
      <c r="B4603" t="s">
        <v>1145</v>
      </c>
      <c r="C4603" t="s">
        <v>175</v>
      </c>
      <c r="D4603" t="s">
        <v>763</v>
      </c>
      <c r="E4603" t="s">
        <v>764</v>
      </c>
      <c r="F4603">
        <v>1</v>
      </c>
      <c r="G4603" t="s">
        <v>176</v>
      </c>
      <c r="H4603">
        <v>0</v>
      </c>
      <c r="I4603">
        <v>12</v>
      </c>
      <c r="J4603" s="10">
        <v>8</v>
      </c>
      <c r="K4603" s="10">
        <f>SUMIFS(F:F,D:D,DST_123_ÜRETİM_İHTİYAÇ_RAPORU_BURAK_YENI1309[[#This Row],[ALT_KOD]])-(SUMIFS(H:H,D:D,DST_123_ÜRETİM_İHTİYAÇ_RAPORU_BURAK_YENI1309[[#This Row],[ALT_KOD]])+AVERAGEIFS(I:I,D:D,DST_123_ÜRETİM_İHTİYAÇ_RAPORU_BURAK_YENI1309[[#This Row],[ALT_KOD]])+AVERAGEIFS(L:L,D:D,DST_123_ÜRETİM_İHTİYAÇ_RAPORU_BURAK_YENI1309[[#This Row],[ALT_KOD]]))</f>
        <v>0</v>
      </c>
      <c r="L4603">
        <v>0</v>
      </c>
      <c r="M4603">
        <f>IF((DST_123_ÜRETİM_İHTİYAÇ_RAPORU_BURAK_YENI1309[[#This Row],[SATINALMA]]*DST_123_ÜRETİM_İHTİYAÇ_RAPORU_BURAK_YENI1309[[#This Row],[BIRIM_FIYATLAR]])&lt;1,VALUE("0"),DST_123_ÜRETİM_İHTİYAÇ_RAPORU_BURAK_YENI1309[[#This Row],[SATINALMA]]*DST_123_ÜRETİM_İHTİYAÇ_RAPORU_BURAK_YENI1309[[#This Row],[BIRIM_FIYATLAR]])</f>
        <v>0</v>
      </c>
      <c r="N4603">
        <v>401.17</v>
      </c>
      <c r="O4603" t="s">
        <v>765</v>
      </c>
      <c r="P4603">
        <v>401.17</v>
      </c>
      <c r="Q4603" t="s">
        <v>221</v>
      </c>
    </row>
    <row r="4604" spans="1:17" x14ac:dyDescent="0.25">
      <c r="A4604" t="s">
        <v>1101</v>
      </c>
      <c r="B4604" t="s">
        <v>1102</v>
      </c>
      <c r="C4604" t="s">
        <v>175</v>
      </c>
      <c r="D4604" t="s">
        <v>477</v>
      </c>
      <c r="E4604" t="s">
        <v>564</v>
      </c>
      <c r="F4604">
        <v>0.5</v>
      </c>
      <c r="G4604" t="s">
        <v>176</v>
      </c>
      <c r="H4604">
        <v>0</v>
      </c>
      <c r="I4604">
        <v>100</v>
      </c>
      <c r="J4604" s="10">
        <v>0</v>
      </c>
      <c r="K4604" s="10">
        <f>SUMIFS(F:F,D:D,DST_123_ÜRETİM_İHTİYAÇ_RAPORU_BURAK_YENI1309[[#This Row],[ALT_KOD]])-(SUMIFS(H:H,D:D,DST_123_ÜRETİM_İHTİYAÇ_RAPORU_BURAK_YENI1309[[#This Row],[ALT_KOD]])+AVERAGEIFS(I:I,D:D,DST_123_ÜRETİM_İHTİYAÇ_RAPORU_BURAK_YENI1309[[#This Row],[ALT_KOD]])+AVERAGEIFS(L:L,D:D,DST_123_ÜRETİM_İHTİYAÇ_RAPORU_BURAK_YENI1309[[#This Row],[ALT_KOD]]))</f>
        <v>-90.5</v>
      </c>
      <c r="L4604">
        <v>0</v>
      </c>
      <c r="M4604">
        <f>IF((DST_123_ÜRETİM_İHTİYAÇ_RAPORU_BURAK_YENI1309[[#This Row],[SATINALMA]]*DST_123_ÜRETİM_İHTİYAÇ_RAPORU_BURAK_YENI1309[[#This Row],[BIRIM_FIYATLAR]])&lt;1,VALUE("0"),DST_123_ÜRETİM_İHTİYAÇ_RAPORU_BURAK_YENI1309[[#This Row],[SATINALMA]]*DST_123_ÜRETİM_İHTİYAÇ_RAPORU_BURAK_YENI1309[[#This Row],[BIRIM_FIYATLAR]])</f>
        <v>0</v>
      </c>
      <c r="N4604">
        <v>13.5</v>
      </c>
      <c r="O4604" t="s">
        <v>240</v>
      </c>
      <c r="P4604">
        <v>6.75</v>
      </c>
      <c r="Q4604" t="s">
        <v>180</v>
      </c>
    </row>
    <row r="4605" spans="1:17" x14ac:dyDescent="0.25">
      <c r="A4605" t="s">
        <v>1060</v>
      </c>
      <c r="B4605" t="s">
        <v>1061</v>
      </c>
      <c r="C4605" t="s">
        <v>175</v>
      </c>
      <c r="D4605" t="s">
        <v>386</v>
      </c>
      <c r="E4605" t="s">
        <v>613</v>
      </c>
      <c r="F4605">
        <v>1</v>
      </c>
      <c r="G4605" t="s">
        <v>182</v>
      </c>
      <c r="H4605">
        <v>0</v>
      </c>
      <c r="I4605">
        <v>0</v>
      </c>
      <c r="J4605" s="10">
        <v>67.08499999999998</v>
      </c>
      <c r="K4605" s="10">
        <f>SUMIFS(F:F,D:D,DST_123_ÜRETİM_İHTİYAÇ_RAPORU_BURAK_YENI1309[[#This Row],[ALT_KOD]])-(SUMIFS(H:H,D:D,DST_123_ÜRETİM_İHTİYAÇ_RAPORU_BURAK_YENI1309[[#This Row],[ALT_KOD]])+AVERAGEIFS(I:I,D:D,DST_123_ÜRETİM_İHTİYAÇ_RAPORU_BURAK_YENI1309[[#This Row],[ALT_KOD]])+AVERAGEIFS(L:L,D:D,DST_123_ÜRETİM_İHTİYAÇ_RAPORU_BURAK_YENI1309[[#This Row],[ALT_KOD]]))</f>
        <v>15</v>
      </c>
      <c r="L4605">
        <v>0</v>
      </c>
      <c r="M4605">
        <f>IF((DST_123_ÜRETİM_İHTİYAÇ_RAPORU_BURAK_YENI1309[[#This Row],[SATINALMA]]*DST_123_ÜRETİM_İHTİYAÇ_RAPORU_BURAK_YENI1309[[#This Row],[BIRIM_FIYATLAR]])&lt;1,VALUE("0"),DST_123_ÜRETİM_İHTİYAÇ_RAPORU_BURAK_YENI1309[[#This Row],[SATINALMA]]*DST_123_ÜRETİM_İHTİYAÇ_RAPORU_BURAK_YENI1309[[#This Row],[BIRIM_FIYATLAR]])</f>
        <v>9778.0499999999993</v>
      </c>
      <c r="N4605">
        <v>651.87</v>
      </c>
      <c r="O4605" t="s">
        <v>223</v>
      </c>
      <c r="P4605">
        <v>651.87</v>
      </c>
      <c r="Q4605" t="s">
        <v>181</v>
      </c>
    </row>
    <row r="4606" spans="1:17" x14ac:dyDescent="0.25">
      <c r="A4606" t="s">
        <v>1148</v>
      </c>
      <c r="B4606" t="s">
        <v>1056</v>
      </c>
      <c r="C4606" t="s">
        <v>175</v>
      </c>
      <c r="D4606" t="s">
        <v>386</v>
      </c>
      <c r="E4606" t="s">
        <v>613</v>
      </c>
      <c r="F4606">
        <v>1</v>
      </c>
      <c r="G4606" t="s">
        <v>182</v>
      </c>
      <c r="H4606">
        <v>0</v>
      </c>
      <c r="I4606">
        <v>0</v>
      </c>
      <c r="J4606" s="10">
        <v>67.08499999999998</v>
      </c>
      <c r="K4606" s="10">
        <f>SUMIFS(F:F,D:D,DST_123_ÜRETİM_İHTİYAÇ_RAPORU_BURAK_YENI1309[[#This Row],[ALT_KOD]])-(SUMIFS(H:H,D:D,DST_123_ÜRETİM_İHTİYAÇ_RAPORU_BURAK_YENI1309[[#This Row],[ALT_KOD]])+AVERAGEIFS(I:I,D:D,DST_123_ÜRETİM_İHTİYAÇ_RAPORU_BURAK_YENI1309[[#This Row],[ALT_KOD]])+AVERAGEIFS(L:L,D:D,DST_123_ÜRETİM_İHTİYAÇ_RAPORU_BURAK_YENI1309[[#This Row],[ALT_KOD]]))</f>
        <v>15</v>
      </c>
      <c r="L4606">
        <v>0</v>
      </c>
      <c r="M4606">
        <f>IF((DST_123_ÜRETİM_İHTİYAÇ_RAPORU_BURAK_YENI1309[[#This Row],[SATINALMA]]*DST_123_ÜRETİM_İHTİYAÇ_RAPORU_BURAK_YENI1309[[#This Row],[BIRIM_FIYATLAR]])&lt;1,VALUE("0"),DST_123_ÜRETİM_İHTİYAÇ_RAPORU_BURAK_YENI1309[[#This Row],[SATINALMA]]*DST_123_ÜRETİM_İHTİYAÇ_RAPORU_BURAK_YENI1309[[#This Row],[BIRIM_FIYATLAR]])</f>
        <v>9778.0499999999993</v>
      </c>
      <c r="N4606">
        <v>651.87</v>
      </c>
      <c r="O4606" t="s">
        <v>223</v>
      </c>
      <c r="P4606">
        <v>651.87</v>
      </c>
      <c r="Q4606" t="s">
        <v>181</v>
      </c>
    </row>
    <row r="4607" spans="1:17" x14ac:dyDescent="0.25">
      <c r="A4607" t="s">
        <v>1060</v>
      </c>
      <c r="B4607" t="s">
        <v>1061</v>
      </c>
      <c r="C4607" t="s">
        <v>175</v>
      </c>
      <c r="D4607" t="s">
        <v>516</v>
      </c>
      <c r="E4607" t="s">
        <v>517</v>
      </c>
      <c r="F4607">
        <v>0.9</v>
      </c>
      <c r="G4607" t="s">
        <v>176</v>
      </c>
      <c r="H4607">
        <v>0.9</v>
      </c>
      <c r="I4607">
        <v>91</v>
      </c>
      <c r="J4607" s="10">
        <v>17.799999999999997</v>
      </c>
      <c r="K4607" s="10">
        <f>SUMIFS(F:F,D:D,DST_123_ÜRETİM_İHTİYAÇ_RAPORU_BURAK_YENI1309[[#This Row],[ALT_KOD]])-(SUMIFS(H:H,D:D,DST_123_ÜRETİM_İHTİYAÇ_RAPORU_BURAK_YENI1309[[#This Row],[ALT_KOD]])+AVERAGEIFS(I:I,D:D,DST_123_ÜRETİM_İHTİYAÇ_RAPORU_BURAK_YENI1309[[#This Row],[ALT_KOD]])+AVERAGEIFS(L:L,D:D,DST_123_ÜRETİM_İHTİYAÇ_RAPORU_BURAK_YENI1309[[#This Row],[ALT_KOD]]))</f>
        <v>-74.5</v>
      </c>
      <c r="L4607">
        <v>0</v>
      </c>
      <c r="M4607">
        <f>IF((DST_123_ÜRETİM_İHTİYAÇ_RAPORU_BURAK_YENI1309[[#This Row],[SATINALMA]]*DST_123_ÜRETİM_İHTİYAÇ_RAPORU_BURAK_YENI1309[[#This Row],[BIRIM_FIYATLAR]])&lt;1,VALUE("0"),DST_123_ÜRETİM_İHTİYAÇ_RAPORU_BURAK_YENI1309[[#This Row],[SATINALMA]]*DST_123_ÜRETİM_İHTİYAÇ_RAPORU_BURAK_YENI1309[[#This Row],[BIRIM_FIYATLAR]])</f>
        <v>0</v>
      </c>
      <c r="N4607">
        <v>85</v>
      </c>
      <c r="O4607" t="s">
        <v>346</v>
      </c>
      <c r="P4607">
        <v>76.5</v>
      </c>
      <c r="Q4607" t="s">
        <v>180</v>
      </c>
    </row>
    <row r="4608" spans="1:17" x14ac:dyDescent="0.25">
      <c r="A4608" t="s">
        <v>1147</v>
      </c>
      <c r="B4608" t="s">
        <v>1145</v>
      </c>
      <c r="C4608" t="s">
        <v>175</v>
      </c>
      <c r="D4608" t="s">
        <v>1082</v>
      </c>
      <c r="E4608" t="s">
        <v>1083</v>
      </c>
      <c r="F4608">
        <v>2</v>
      </c>
      <c r="G4608" t="s">
        <v>176</v>
      </c>
      <c r="H4608">
        <v>0</v>
      </c>
      <c r="I4608">
        <v>14</v>
      </c>
      <c r="J4608" s="10">
        <v>19</v>
      </c>
      <c r="K4608" s="10">
        <f>SUMIFS(F:F,D:D,DST_123_ÜRETİM_İHTİYAÇ_RAPORU_BURAK_YENI1309[[#This Row],[ALT_KOD]])-(SUMIFS(H:H,D:D,DST_123_ÜRETİM_İHTİYAÇ_RAPORU_BURAK_YENI1309[[#This Row],[ALT_KOD]])+AVERAGEIFS(I:I,D:D,DST_123_ÜRETİM_İHTİYAÇ_RAPORU_BURAK_YENI1309[[#This Row],[ALT_KOD]])+AVERAGEIFS(L:L,D:D,DST_123_ÜRETİM_İHTİYAÇ_RAPORU_BURAK_YENI1309[[#This Row],[ALT_KOD]]))</f>
        <v>-23</v>
      </c>
      <c r="L4608">
        <v>30</v>
      </c>
      <c r="M4608">
        <f>IF((DST_123_ÜRETİM_İHTİYAÇ_RAPORU_BURAK_YENI1309[[#This Row],[SATINALMA]]*DST_123_ÜRETİM_İHTİYAÇ_RAPORU_BURAK_YENI1309[[#This Row],[BIRIM_FIYATLAR]])&lt;1,VALUE("0"),DST_123_ÜRETİM_İHTİYAÇ_RAPORU_BURAK_YENI1309[[#This Row],[SATINALMA]]*DST_123_ÜRETİM_İHTİYAÇ_RAPORU_BURAK_YENI1309[[#This Row],[BIRIM_FIYATLAR]])</f>
        <v>0</v>
      </c>
      <c r="N4608">
        <v>67.22</v>
      </c>
      <c r="O4608" t="s">
        <v>592</v>
      </c>
      <c r="P4608">
        <v>134.44</v>
      </c>
      <c r="Q4608" t="s">
        <v>178</v>
      </c>
    </row>
    <row r="4609" spans="1:17" x14ac:dyDescent="0.25">
      <c r="A4609" t="s">
        <v>1148</v>
      </c>
      <c r="B4609" t="s">
        <v>1056</v>
      </c>
      <c r="C4609" t="s">
        <v>175</v>
      </c>
      <c r="D4609" t="s">
        <v>1082</v>
      </c>
      <c r="E4609" t="s">
        <v>1083</v>
      </c>
      <c r="F4609">
        <v>2</v>
      </c>
      <c r="G4609" t="s">
        <v>176</v>
      </c>
      <c r="H4609">
        <v>0</v>
      </c>
      <c r="I4609">
        <v>14</v>
      </c>
      <c r="J4609" s="10">
        <v>19</v>
      </c>
      <c r="K4609" s="10">
        <f>SUMIFS(F:F,D:D,DST_123_ÜRETİM_İHTİYAÇ_RAPORU_BURAK_YENI1309[[#This Row],[ALT_KOD]])-(SUMIFS(H:H,D:D,DST_123_ÜRETİM_İHTİYAÇ_RAPORU_BURAK_YENI1309[[#This Row],[ALT_KOD]])+AVERAGEIFS(I:I,D:D,DST_123_ÜRETİM_İHTİYAÇ_RAPORU_BURAK_YENI1309[[#This Row],[ALT_KOD]])+AVERAGEIFS(L:L,D:D,DST_123_ÜRETİM_İHTİYAÇ_RAPORU_BURAK_YENI1309[[#This Row],[ALT_KOD]]))</f>
        <v>-23</v>
      </c>
      <c r="L4609">
        <v>30</v>
      </c>
      <c r="M4609">
        <f>IF((DST_123_ÜRETİM_İHTİYAÇ_RAPORU_BURAK_YENI1309[[#This Row],[SATINALMA]]*DST_123_ÜRETİM_İHTİYAÇ_RAPORU_BURAK_YENI1309[[#This Row],[BIRIM_FIYATLAR]])&lt;1,VALUE("0"),DST_123_ÜRETİM_İHTİYAÇ_RAPORU_BURAK_YENI1309[[#This Row],[SATINALMA]]*DST_123_ÜRETİM_İHTİYAÇ_RAPORU_BURAK_YENI1309[[#This Row],[BIRIM_FIYATLAR]])</f>
        <v>0</v>
      </c>
      <c r="N4609">
        <v>67.22</v>
      </c>
      <c r="O4609" t="s">
        <v>592</v>
      </c>
      <c r="P4609">
        <v>134.44</v>
      </c>
      <c r="Q4609" t="s">
        <v>178</v>
      </c>
    </row>
    <row r="4610" spans="1:17" x14ac:dyDescent="0.25">
      <c r="A4610" t="s">
        <v>1098</v>
      </c>
      <c r="B4610" t="s">
        <v>1096</v>
      </c>
      <c r="C4610" t="s">
        <v>175</v>
      </c>
      <c r="D4610" t="s">
        <v>734</v>
      </c>
      <c r="E4610" t="s">
        <v>735</v>
      </c>
      <c r="F4610">
        <v>1</v>
      </c>
      <c r="G4610" t="s">
        <v>176</v>
      </c>
      <c r="H4610">
        <v>0</v>
      </c>
      <c r="I4610">
        <v>10</v>
      </c>
      <c r="J4610" s="10">
        <v>17</v>
      </c>
      <c r="K4610" s="10">
        <f>SUMIFS(F:F,D:D,DST_123_ÜRETİM_İHTİYAÇ_RAPORU_BURAK_YENI1309[[#This Row],[ALT_KOD]])-(SUMIFS(H:H,D:D,DST_123_ÜRETİM_İHTİYAÇ_RAPORU_BURAK_YENI1309[[#This Row],[ALT_KOD]])+AVERAGEIFS(I:I,D:D,DST_123_ÜRETİM_İHTİYAÇ_RAPORU_BURAK_YENI1309[[#This Row],[ALT_KOD]])+AVERAGEIFS(L:L,D:D,DST_123_ÜRETİM_İHTİYAÇ_RAPORU_BURAK_YENI1309[[#This Row],[ALT_KOD]]))</f>
        <v>1</v>
      </c>
      <c r="L4610">
        <v>0</v>
      </c>
      <c r="M4610">
        <f>IF((DST_123_ÜRETİM_İHTİYAÇ_RAPORU_BURAK_YENI1309[[#This Row],[SATINALMA]]*DST_123_ÜRETİM_İHTİYAÇ_RAPORU_BURAK_YENI1309[[#This Row],[BIRIM_FIYATLAR]])&lt;1,VALUE("0"),DST_123_ÜRETİM_İHTİYAÇ_RAPORU_BURAK_YENI1309[[#This Row],[SATINALMA]]*DST_123_ÜRETİM_İHTİYAÇ_RAPORU_BURAK_YENI1309[[#This Row],[BIRIM_FIYATLAR]])</f>
        <v>565.83000000000004</v>
      </c>
      <c r="N4610">
        <v>565.83000000000004</v>
      </c>
      <c r="O4610" t="s">
        <v>667</v>
      </c>
      <c r="P4610">
        <v>565.83000000000004</v>
      </c>
      <c r="Q4610" t="s">
        <v>677</v>
      </c>
    </row>
    <row r="4611" spans="1:17" x14ac:dyDescent="0.25">
      <c r="A4611" t="s">
        <v>1098</v>
      </c>
      <c r="B4611" t="s">
        <v>1096</v>
      </c>
      <c r="C4611" t="s">
        <v>175</v>
      </c>
      <c r="D4611" t="s">
        <v>1082</v>
      </c>
      <c r="E4611" t="s">
        <v>1083</v>
      </c>
      <c r="F4611">
        <v>3</v>
      </c>
      <c r="G4611" t="s">
        <v>176</v>
      </c>
      <c r="H4611">
        <v>0</v>
      </c>
      <c r="I4611">
        <v>14</v>
      </c>
      <c r="J4611" s="10">
        <v>19</v>
      </c>
      <c r="K4611" s="10">
        <f>SUMIFS(F:F,D:D,DST_123_ÜRETİM_İHTİYAÇ_RAPORU_BURAK_YENI1309[[#This Row],[ALT_KOD]])-(SUMIFS(H:H,D:D,DST_123_ÜRETİM_İHTİYAÇ_RAPORU_BURAK_YENI1309[[#This Row],[ALT_KOD]])+AVERAGEIFS(I:I,D:D,DST_123_ÜRETİM_İHTİYAÇ_RAPORU_BURAK_YENI1309[[#This Row],[ALT_KOD]])+AVERAGEIFS(L:L,D:D,DST_123_ÜRETİM_İHTİYAÇ_RAPORU_BURAK_YENI1309[[#This Row],[ALT_KOD]]))</f>
        <v>-23</v>
      </c>
      <c r="L4611">
        <v>30</v>
      </c>
      <c r="M4611">
        <f>IF((DST_123_ÜRETİM_İHTİYAÇ_RAPORU_BURAK_YENI1309[[#This Row],[SATINALMA]]*DST_123_ÜRETİM_İHTİYAÇ_RAPORU_BURAK_YENI1309[[#This Row],[BIRIM_FIYATLAR]])&lt;1,VALUE("0"),DST_123_ÜRETİM_İHTİYAÇ_RAPORU_BURAK_YENI1309[[#This Row],[SATINALMA]]*DST_123_ÜRETİM_İHTİYAÇ_RAPORU_BURAK_YENI1309[[#This Row],[BIRIM_FIYATLAR]])</f>
        <v>0</v>
      </c>
      <c r="N4611">
        <v>67.22</v>
      </c>
      <c r="O4611" t="s">
        <v>592</v>
      </c>
      <c r="P4611">
        <v>201.66</v>
      </c>
      <c r="Q4611" t="s">
        <v>178</v>
      </c>
    </row>
    <row r="4612" spans="1:17" x14ac:dyDescent="0.25">
      <c r="A4612" t="s">
        <v>1196</v>
      </c>
      <c r="B4612" t="s">
        <v>1197</v>
      </c>
      <c r="C4612" t="s">
        <v>175</v>
      </c>
      <c r="D4612" t="s">
        <v>1082</v>
      </c>
      <c r="E4612" t="s">
        <v>1083</v>
      </c>
      <c r="F4612">
        <v>2</v>
      </c>
      <c r="G4612" t="s">
        <v>176</v>
      </c>
      <c r="H4612">
        <v>0</v>
      </c>
      <c r="I4612">
        <v>14</v>
      </c>
      <c r="J4612" s="10">
        <v>19</v>
      </c>
      <c r="K4612" s="10">
        <f>SUMIFS(F:F,D:D,DST_123_ÜRETİM_İHTİYAÇ_RAPORU_BURAK_YENI1309[[#This Row],[ALT_KOD]])-(SUMIFS(H:H,D:D,DST_123_ÜRETİM_İHTİYAÇ_RAPORU_BURAK_YENI1309[[#This Row],[ALT_KOD]])+AVERAGEIFS(I:I,D:D,DST_123_ÜRETİM_İHTİYAÇ_RAPORU_BURAK_YENI1309[[#This Row],[ALT_KOD]])+AVERAGEIFS(L:L,D:D,DST_123_ÜRETİM_İHTİYAÇ_RAPORU_BURAK_YENI1309[[#This Row],[ALT_KOD]]))</f>
        <v>-23</v>
      </c>
      <c r="L4612">
        <v>30</v>
      </c>
      <c r="M4612">
        <f>IF((DST_123_ÜRETİM_İHTİYAÇ_RAPORU_BURAK_YENI1309[[#This Row],[SATINALMA]]*DST_123_ÜRETİM_İHTİYAÇ_RAPORU_BURAK_YENI1309[[#This Row],[BIRIM_FIYATLAR]])&lt;1,VALUE("0"),DST_123_ÜRETİM_İHTİYAÇ_RAPORU_BURAK_YENI1309[[#This Row],[SATINALMA]]*DST_123_ÜRETİM_İHTİYAÇ_RAPORU_BURAK_YENI1309[[#This Row],[BIRIM_FIYATLAR]])</f>
        <v>0</v>
      </c>
      <c r="N4612">
        <v>67.22</v>
      </c>
      <c r="O4612" t="s">
        <v>592</v>
      </c>
      <c r="P4612">
        <v>134.44</v>
      </c>
      <c r="Q4612" t="s">
        <v>178</v>
      </c>
    </row>
    <row r="4613" spans="1:17" x14ac:dyDescent="0.25">
      <c r="A4613" t="s">
        <v>1098</v>
      </c>
      <c r="B4613" t="s">
        <v>1096</v>
      </c>
      <c r="C4613" t="s">
        <v>175</v>
      </c>
      <c r="D4613" t="s">
        <v>763</v>
      </c>
      <c r="E4613" t="s">
        <v>764</v>
      </c>
      <c r="F4613">
        <v>1</v>
      </c>
      <c r="G4613" t="s">
        <v>176</v>
      </c>
      <c r="H4613">
        <v>0</v>
      </c>
      <c r="I4613">
        <v>12</v>
      </c>
      <c r="J4613" s="10">
        <v>8</v>
      </c>
      <c r="K4613" s="10">
        <f>SUMIFS(F:F,D:D,DST_123_ÜRETİM_İHTİYAÇ_RAPORU_BURAK_YENI1309[[#This Row],[ALT_KOD]])-(SUMIFS(H:H,D:D,DST_123_ÜRETİM_İHTİYAÇ_RAPORU_BURAK_YENI1309[[#This Row],[ALT_KOD]])+AVERAGEIFS(I:I,D:D,DST_123_ÜRETİM_İHTİYAÇ_RAPORU_BURAK_YENI1309[[#This Row],[ALT_KOD]])+AVERAGEIFS(L:L,D:D,DST_123_ÜRETİM_İHTİYAÇ_RAPORU_BURAK_YENI1309[[#This Row],[ALT_KOD]]))</f>
        <v>0</v>
      </c>
      <c r="L4613">
        <v>0</v>
      </c>
      <c r="M4613">
        <f>IF((DST_123_ÜRETİM_İHTİYAÇ_RAPORU_BURAK_YENI1309[[#This Row],[SATINALMA]]*DST_123_ÜRETİM_İHTİYAÇ_RAPORU_BURAK_YENI1309[[#This Row],[BIRIM_FIYATLAR]])&lt;1,VALUE("0"),DST_123_ÜRETİM_İHTİYAÇ_RAPORU_BURAK_YENI1309[[#This Row],[SATINALMA]]*DST_123_ÜRETİM_İHTİYAÇ_RAPORU_BURAK_YENI1309[[#This Row],[BIRIM_FIYATLAR]])</f>
        <v>0</v>
      </c>
      <c r="N4613">
        <v>401.17</v>
      </c>
      <c r="O4613" t="s">
        <v>765</v>
      </c>
      <c r="P4613">
        <v>401.17</v>
      </c>
      <c r="Q4613" t="s">
        <v>221</v>
      </c>
    </row>
    <row r="4614" spans="1:17" x14ac:dyDescent="0.25">
      <c r="A4614" t="s">
        <v>1057</v>
      </c>
      <c r="B4614" t="s">
        <v>1058</v>
      </c>
      <c r="C4614" t="s">
        <v>175</v>
      </c>
      <c r="D4614" t="s">
        <v>1002</v>
      </c>
      <c r="E4614" t="s">
        <v>1003</v>
      </c>
      <c r="F4614">
        <v>1</v>
      </c>
      <c r="G4614" t="s">
        <v>176</v>
      </c>
      <c r="H4614">
        <v>1</v>
      </c>
      <c r="I4614">
        <v>5</v>
      </c>
      <c r="J4614" s="10">
        <v>4</v>
      </c>
      <c r="K4614" s="10">
        <f>SUMIFS(F:F,D:D,DST_123_ÜRETİM_İHTİYAÇ_RAPORU_BURAK_YENI1309[[#This Row],[ALT_KOD]])-(SUMIFS(H:H,D:D,DST_123_ÜRETİM_İHTİYAÇ_RAPORU_BURAK_YENI1309[[#This Row],[ALT_KOD]])+AVERAGEIFS(I:I,D:D,DST_123_ÜRETİM_İHTİYAÇ_RAPORU_BURAK_YENI1309[[#This Row],[ALT_KOD]])+AVERAGEIFS(L:L,D:D,DST_123_ÜRETİM_İHTİYAÇ_RAPORU_BURAK_YENI1309[[#This Row],[ALT_KOD]]))</f>
        <v>-5</v>
      </c>
      <c r="L4614">
        <v>0</v>
      </c>
      <c r="M4614">
        <f>IF((DST_123_ÜRETİM_İHTİYAÇ_RAPORU_BURAK_YENI1309[[#This Row],[SATINALMA]]*DST_123_ÜRETİM_İHTİYAÇ_RAPORU_BURAK_YENI1309[[#This Row],[BIRIM_FIYATLAR]])&lt;1,VALUE("0"),DST_123_ÜRETİM_İHTİYAÇ_RAPORU_BURAK_YENI1309[[#This Row],[SATINALMA]]*DST_123_ÜRETİM_İHTİYAÇ_RAPORU_BURAK_YENI1309[[#This Row],[BIRIM_FIYATLAR]])</f>
        <v>0</v>
      </c>
      <c r="N4614">
        <v>5112.92</v>
      </c>
      <c r="O4614" t="s">
        <v>1004</v>
      </c>
      <c r="P4614">
        <v>5112.92</v>
      </c>
      <c r="Q4614" t="s">
        <v>180</v>
      </c>
    </row>
    <row r="4615" spans="1:17" x14ac:dyDescent="0.25">
      <c r="A4615" t="s">
        <v>1097</v>
      </c>
      <c r="B4615" t="s">
        <v>1055</v>
      </c>
      <c r="C4615" t="s">
        <v>175</v>
      </c>
      <c r="D4615" t="s">
        <v>763</v>
      </c>
      <c r="E4615" t="s">
        <v>764</v>
      </c>
      <c r="F4615">
        <v>1</v>
      </c>
      <c r="G4615" t="s">
        <v>176</v>
      </c>
      <c r="H4615">
        <v>1</v>
      </c>
      <c r="I4615">
        <v>12</v>
      </c>
      <c r="J4615" s="10">
        <v>8</v>
      </c>
      <c r="K4615" s="10">
        <f>SUMIFS(F:F,D:D,DST_123_ÜRETİM_İHTİYAÇ_RAPORU_BURAK_YENI1309[[#This Row],[ALT_KOD]])-(SUMIFS(H:H,D:D,DST_123_ÜRETİM_İHTİYAÇ_RAPORU_BURAK_YENI1309[[#This Row],[ALT_KOD]])+AVERAGEIFS(I:I,D:D,DST_123_ÜRETİM_İHTİYAÇ_RAPORU_BURAK_YENI1309[[#This Row],[ALT_KOD]])+AVERAGEIFS(L:L,D:D,DST_123_ÜRETİM_İHTİYAÇ_RAPORU_BURAK_YENI1309[[#This Row],[ALT_KOD]]))</f>
        <v>0</v>
      </c>
      <c r="L4615">
        <v>0</v>
      </c>
      <c r="M4615">
        <f>IF((DST_123_ÜRETİM_İHTİYAÇ_RAPORU_BURAK_YENI1309[[#This Row],[SATINALMA]]*DST_123_ÜRETİM_İHTİYAÇ_RAPORU_BURAK_YENI1309[[#This Row],[BIRIM_FIYATLAR]])&lt;1,VALUE("0"),DST_123_ÜRETİM_İHTİYAÇ_RAPORU_BURAK_YENI1309[[#This Row],[SATINALMA]]*DST_123_ÜRETİM_İHTİYAÇ_RAPORU_BURAK_YENI1309[[#This Row],[BIRIM_FIYATLAR]])</f>
        <v>0</v>
      </c>
      <c r="N4615">
        <v>401.17</v>
      </c>
      <c r="O4615" t="s">
        <v>765</v>
      </c>
      <c r="P4615">
        <v>401.17</v>
      </c>
      <c r="Q4615" t="s">
        <v>221</v>
      </c>
    </row>
    <row r="4616" spans="1:17" x14ac:dyDescent="0.25">
      <c r="A4616" t="s">
        <v>1099</v>
      </c>
      <c r="B4616" t="s">
        <v>1055</v>
      </c>
      <c r="C4616" t="s">
        <v>175</v>
      </c>
      <c r="D4616" t="s">
        <v>1082</v>
      </c>
      <c r="E4616" t="s">
        <v>1083</v>
      </c>
      <c r="F4616">
        <v>3</v>
      </c>
      <c r="G4616" t="s">
        <v>176</v>
      </c>
      <c r="H4616">
        <v>3</v>
      </c>
      <c r="I4616">
        <v>14</v>
      </c>
      <c r="J4616" s="10">
        <v>19</v>
      </c>
      <c r="K4616" s="10">
        <f>SUMIFS(F:F,D:D,DST_123_ÜRETİM_İHTİYAÇ_RAPORU_BURAK_YENI1309[[#This Row],[ALT_KOD]])-(SUMIFS(H:H,D:D,DST_123_ÜRETİM_İHTİYAÇ_RAPORU_BURAK_YENI1309[[#This Row],[ALT_KOD]])+AVERAGEIFS(I:I,D:D,DST_123_ÜRETİM_İHTİYAÇ_RAPORU_BURAK_YENI1309[[#This Row],[ALT_KOD]])+AVERAGEIFS(L:L,D:D,DST_123_ÜRETİM_İHTİYAÇ_RAPORU_BURAK_YENI1309[[#This Row],[ALT_KOD]]))</f>
        <v>-23</v>
      </c>
      <c r="L4616">
        <v>30</v>
      </c>
      <c r="M4616">
        <f>IF((DST_123_ÜRETİM_İHTİYAÇ_RAPORU_BURAK_YENI1309[[#This Row],[SATINALMA]]*DST_123_ÜRETİM_İHTİYAÇ_RAPORU_BURAK_YENI1309[[#This Row],[BIRIM_FIYATLAR]])&lt;1,VALUE("0"),DST_123_ÜRETİM_İHTİYAÇ_RAPORU_BURAK_YENI1309[[#This Row],[SATINALMA]]*DST_123_ÜRETİM_İHTİYAÇ_RAPORU_BURAK_YENI1309[[#This Row],[BIRIM_FIYATLAR]])</f>
        <v>0</v>
      </c>
      <c r="N4616">
        <v>67.22</v>
      </c>
      <c r="O4616" t="s">
        <v>592</v>
      </c>
      <c r="P4616">
        <v>201.66</v>
      </c>
      <c r="Q4616" t="s">
        <v>178</v>
      </c>
    </row>
    <row r="4617" spans="1:17" x14ac:dyDescent="0.25">
      <c r="A4617" t="s">
        <v>1060</v>
      </c>
      <c r="B4617" t="s">
        <v>1061</v>
      </c>
      <c r="C4617" t="s">
        <v>175</v>
      </c>
      <c r="D4617" t="s">
        <v>1082</v>
      </c>
      <c r="E4617" t="s">
        <v>1083</v>
      </c>
      <c r="F4617">
        <v>3</v>
      </c>
      <c r="G4617" t="s">
        <v>176</v>
      </c>
      <c r="H4617">
        <v>3</v>
      </c>
      <c r="I4617">
        <v>14</v>
      </c>
      <c r="J4617" s="10">
        <v>19</v>
      </c>
      <c r="K4617" s="10">
        <f>SUMIFS(F:F,D:D,DST_123_ÜRETİM_İHTİYAÇ_RAPORU_BURAK_YENI1309[[#This Row],[ALT_KOD]])-(SUMIFS(H:H,D:D,DST_123_ÜRETİM_İHTİYAÇ_RAPORU_BURAK_YENI1309[[#This Row],[ALT_KOD]])+AVERAGEIFS(I:I,D:D,DST_123_ÜRETİM_İHTİYAÇ_RAPORU_BURAK_YENI1309[[#This Row],[ALT_KOD]])+AVERAGEIFS(L:L,D:D,DST_123_ÜRETİM_İHTİYAÇ_RAPORU_BURAK_YENI1309[[#This Row],[ALT_KOD]]))</f>
        <v>-23</v>
      </c>
      <c r="L4617">
        <v>30</v>
      </c>
      <c r="M4617">
        <f>IF((DST_123_ÜRETİM_İHTİYAÇ_RAPORU_BURAK_YENI1309[[#This Row],[SATINALMA]]*DST_123_ÜRETİM_İHTİYAÇ_RAPORU_BURAK_YENI1309[[#This Row],[BIRIM_FIYATLAR]])&lt;1,VALUE("0"),DST_123_ÜRETİM_İHTİYAÇ_RAPORU_BURAK_YENI1309[[#This Row],[SATINALMA]]*DST_123_ÜRETİM_İHTİYAÇ_RAPORU_BURAK_YENI1309[[#This Row],[BIRIM_FIYATLAR]])</f>
        <v>0</v>
      </c>
      <c r="N4617">
        <v>67.22</v>
      </c>
      <c r="O4617" t="s">
        <v>592</v>
      </c>
      <c r="P4617">
        <v>201.66</v>
      </c>
      <c r="Q4617" t="s">
        <v>178</v>
      </c>
    </row>
    <row r="4618" spans="1:17" x14ac:dyDescent="0.25">
      <c r="A4618" t="s">
        <v>1101</v>
      </c>
      <c r="B4618" t="s">
        <v>1102</v>
      </c>
      <c r="C4618" t="s">
        <v>175</v>
      </c>
      <c r="D4618" t="s">
        <v>145</v>
      </c>
      <c r="E4618" t="s">
        <v>146</v>
      </c>
      <c r="F4618">
        <v>3</v>
      </c>
      <c r="G4618" t="s">
        <v>176</v>
      </c>
      <c r="H4618">
        <v>3</v>
      </c>
      <c r="I4618">
        <v>0</v>
      </c>
      <c r="J4618" s="10">
        <v>4.0000000000000497</v>
      </c>
      <c r="K4618" s="10">
        <f>SUMIFS(F:F,D:D,DST_123_ÜRETİM_İHTİYAÇ_RAPORU_BURAK_YENI1309[[#This Row],[ALT_KOD]])-(SUMIFS(H:H,D:D,DST_123_ÜRETİM_İHTİYAÇ_RAPORU_BURAK_YENI1309[[#This Row],[ALT_KOD]])+AVERAGEIFS(I:I,D:D,DST_123_ÜRETİM_İHTİYAÇ_RAPORU_BURAK_YENI1309[[#This Row],[ALT_KOD]])+AVERAGEIFS(L:L,D:D,DST_123_ÜRETİM_İHTİYAÇ_RAPORU_BURAK_YENI1309[[#This Row],[ALT_KOD]]))</f>
        <v>28.999999999999993</v>
      </c>
      <c r="L4618">
        <v>22</v>
      </c>
      <c r="M4618">
        <f>IF((DST_123_ÜRETİM_İHTİYAÇ_RAPORU_BURAK_YENI1309[[#This Row],[SATINALMA]]*DST_123_ÜRETİM_İHTİYAÇ_RAPORU_BURAK_YENI1309[[#This Row],[BIRIM_FIYATLAR]])&lt;1,VALUE("0"),DST_123_ÜRETİM_İHTİYAÇ_RAPORU_BURAK_YENI1309[[#This Row],[SATINALMA]]*DST_123_ÜRETİM_İHTİYAÇ_RAPORU_BURAK_YENI1309[[#This Row],[BIRIM_FIYATLAR]])</f>
        <v>30208.429999999993</v>
      </c>
      <c r="N4618">
        <v>1041.67</v>
      </c>
      <c r="O4618" t="s">
        <v>223</v>
      </c>
      <c r="P4618">
        <v>3125.01</v>
      </c>
      <c r="Q4618" t="s">
        <v>181</v>
      </c>
    </row>
    <row r="4619" spans="1:17" x14ac:dyDescent="0.25">
      <c r="A4619" t="s">
        <v>1099</v>
      </c>
      <c r="B4619" t="s">
        <v>1055</v>
      </c>
      <c r="C4619" t="s">
        <v>175</v>
      </c>
      <c r="D4619" t="s">
        <v>694</v>
      </c>
      <c r="E4619" t="s">
        <v>695</v>
      </c>
      <c r="F4619">
        <v>2</v>
      </c>
      <c r="G4619" t="s">
        <v>176</v>
      </c>
      <c r="H4619">
        <v>2</v>
      </c>
      <c r="I4619">
        <v>4</v>
      </c>
      <c r="J4619" s="10">
        <v>6</v>
      </c>
      <c r="K4619" s="10">
        <f>SUMIFS(F:F,D:D,DST_123_ÜRETİM_İHTİYAÇ_RAPORU_BURAK_YENI1309[[#This Row],[ALT_KOD]])-(SUMIFS(H:H,D:D,DST_123_ÜRETİM_İHTİYAÇ_RAPORU_BURAK_YENI1309[[#This Row],[ALT_KOD]])+AVERAGEIFS(I:I,D:D,DST_123_ÜRETİM_İHTİYAÇ_RAPORU_BURAK_YENI1309[[#This Row],[ALT_KOD]])+AVERAGEIFS(L:L,D:D,DST_123_ÜRETİM_İHTİYAÇ_RAPORU_BURAK_YENI1309[[#This Row],[ALT_KOD]]))</f>
        <v>0</v>
      </c>
      <c r="L4619">
        <v>0</v>
      </c>
      <c r="M4619">
        <f>IF((DST_123_ÜRETİM_İHTİYAÇ_RAPORU_BURAK_YENI1309[[#This Row],[SATINALMA]]*DST_123_ÜRETİM_İHTİYAÇ_RAPORU_BURAK_YENI1309[[#This Row],[BIRIM_FIYATLAR]])&lt;1,VALUE("0"),DST_123_ÜRETİM_İHTİYAÇ_RAPORU_BURAK_YENI1309[[#This Row],[SATINALMA]]*DST_123_ÜRETİM_İHTİYAÇ_RAPORU_BURAK_YENI1309[[#This Row],[BIRIM_FIYATLAR]])</f>
        <v>0</v>
      </c>
      <c r="N4619">
        <v>260</v>
      </c>
      <c r="O4619" t="s">
        <v>226</v>
      </c>
      <c r="P4619">
        <v>520</v>
      </c>
      <c r="Q4619" t="s">
        <v>180</v>
      </c>
    </row>
    <row r="4620" spans="1:17" x14ac:dyDescent="0.25">
      <c r="A4620" t="s">
        <v>1100</v>
      </c>
      <c r="B4620" t="s">
        <v>1058</v>
      </c>
      <c r="C4620" t="s">
        <v>175</v>
      </c>
      <c r="D4620" t="s">
        <v>516</v>
      </c>
      <c r="E4620" t="s">
        <v>517</v>
      </c>
      <c r="F4620">
        <v>0.6</v>
      </c>
      <c r="G4620" t="s">
        <v>176</v>
      </c>
      <c r="H4620">
        <v>0.6</v>
      </c>
      <c r="I4620">
        <v>91</v>
      </c>
      <c r="J4620" s="10">
        <v>17.799999999999997</v>
      </c>
      <c r="K4620" s="10">
        <f>SUMIFS(F:F,D:D,DST_123_ÜRETİM_İHTİYAÇ_RAPORU_BURAK_YENI1309[[#This Row],[ALT_KOD]])-(SUMIFS(H:H,D:D,DST_123_ÜRETİM_İHTİYAÇ_RAPORU_BURAK_YENI1309[[#This Row],[ALT_KOD]])+AVERAGEIFS(I:I,D:D,DST_123_ÜRETİM_İHTİYAÇ_RAPORU_BURAK_YENI1309[[#This Row],[ALT_KOD]])+AVERAGEIFS(L:L,D:D,DST_123_ÜRETİM_İHTİYAÇ_RAPORU_BURAK_YENI1309[[#This Row],[ALT_KOD]]))</f>
        <v>-74.5</v>
      </c>
      <c r="L4620">
        <v>0</v>
      </c>
      <c r="M4620">
        <f>IF((DST_123_ÜRETİM_İHTİYAÇ_RAPORU_BURAK_YENI1309[[#This Row],[SATINALMA]]*DST_123_ÜRETİM_İHTİYAÇ_RAPORU_BURAK_YENI1309[[#This Row],[BIRIM_FIYATLAR]])&lt;1,VALUE("0"),DST_123_ÜRETİM_İHTİYAÇ_RAPORU_BURAK_YENI1309[[#This Row],[SATINALMA]]*DST_123_ÜRETİM_İHTİYAÇ_RAPORU_BURAK_YENI1309[[#This Row],[BIRIM_FIYATLAR]])</f>
        <v>0</v>
      </c>
      <c r="N4620">
        <v>85</v>
      </c>
      <c r="O4620" t="s">
        <v>346</v>
      </c>
      <c r="P4620">
        <v>51</v>
      </c>
      <c r="Q4620" t="s">
        <v>180</v>
      </c>
    </row>
    <row r="4621" spans="1:17" x14ac:dyDescent="0.25">
      <c r="A4621" t="s">
        <v>1060</v>
      </c>
      <c r="B4621" t="s">
        <v>1061</v>
      </c>
      <c r="C4621" t="s">
        <v>175</v>
      </c>
      <c r="D4621" t="s">
        <v>734</v>
      </c>
      <c r="E4621" t="s">
        <v>735</v>
      </c>
      <c r="F4621">
        <v>1</v>
      </c>
      <c r="G4621" t="s">
        <v>176</v>
      </c>
      <c r="H4621">
        <v>1</v>
      </c>
      <c r="I4621">
        <v>10</v>
      </c>
      <c r="J4621" s="10">
        <v>17</v>
      </c>
      <c r="K4621" s="10">
        <f>SUMIFS(F:F,D:D,DST_123_ÜRETİM_İHTİYAÇ_RAPORU_BURAK_YENI1309[[#This Row],[ALT_KOD]])-(SUMIFS(H:H,D:D,DST_123_ÜRETİM_İHTİYAÇ_RAPORU_BURAK_YENI1309[[#This Row],[ALT_KOD]])+AVERAGEIFS(I:I,D:D,DST_123_ÜRETİM_İHTİYAÇ_RAPORU_BURAK_YENI1309[[#This Row],[ALT_KOD]])+AVERAGEIFS(L:L,D:D,DST_123_ÜRETİM_İHTİYAÇ_RAPORU_BURAK_YENI1309[[#This Row],[ALT_KOD]]))</f>
        <v>1</v>
      </c>
      <c r="L4621">
        <v>0</v>
      </c>
      <c r="M4621">
        <f>IF((DST_123_ÜRETİM_İHTİYAÇ_RAPORU_BURAK_YENI1309[[#This Row],[SATINALMA]]*DST_123_ÜRETİM_İHTİYAÇ_RAPORU_BURAK_YENI1309[[#This Row],[BIRIM_FIYATLAR]])&lt;1,VALUE("0"),DST_123_ÜRETİM_İHTİYAÇ_RAPORU_BURAK_YENI1309[[#This Row],[SATINALMA]]*DST_123_ÜRETİM_İHTİYAÇ_RAPORU_BURAK_YENI1309[[#This Row],[BIRIM_FIYATLAR]])</f>
        <v>565.83000000000004</v>
      </c>
      <c r="N4621">
        <v>565.83000000000004</v>
      </c>
      <c r="O4621" t="s">
        <v>667</v>
      </c>
      <c r="P4621">
        <v>565.83000000000004</v>
      </c>
      <c r="Q4621" t="s">
        <v>677</v>
      </c>
    </row>
    <row r="4622" spans="1:17" x14ac:dyDescent="0.25">
      <c r="A4622" t="s">
        <v>1057</v>
      </c>
      <c r="B4622" t="s">
        <v>1058</v>
      </c>
      <c r="C4622" t="s">
        <v>175</v>
      </c>
      <c r="D4622" t="s">
        <v>137</v>
      </c>
      <c r="E4622" t="s">
        <v>138</v>
      </c>
      <c r="F4622">
        <v>2</v>
      </c>
      <c r="G4622" t="s">
        <v>176</v>
      </c>
      <c r="H4622">
        <v>2</v>
      </c>
      <c r="I4622">
        <v>23</v>
      </c>
      <c r="J4622" s="10">
        <v>22</v>
      </c>
      <c r="K4622" s="10">
        <f>SUMIFS(F:F,D:D,DST_123_ÜRETİM_İHTİYAÇ_RAPORU_BURAK_YENI1309[[#This Row],[ALT_KOD]])-(SUMIFS(H:H,D:D,DST_123_ÜRETİM_İHTİYAÇ_RAPORU_BURAK_YENI1309[[#This Row],[ALT_KOD]])+AVERAGEIFS(I:I,D:D,DST_123_ÜRETİM_İHTİYAÇ_RAPORU_BURAK_YENI1309[[#This Row],[ALT_KOD]])+AVERAGEIFS(L:L,D:D,DST_123_ÜRETİM_İHTİYAÇ_RAPORU_BURAK_YENI1309[[#This Row],[ALT_KOD]]))</f>
        <v>1</v>
      </c>
      <c r="L4622">
        <v>0</v>
      </c>
      <c r="M4622">
        <f>IF((DST_123_ÜRETİM_İHTİYAÇ_RAPORU_BURAK_YENI1309[[#This Row],[SATINALMA]]*DST_123_ÜRETİM_İHTİYAÇ_RAPORU_BURAK_YENI1309[[#This Row],[BIRIM_FIYATLAR]])&lt;1,VALUE("0"),DST_123_ÜRETİM_İHTİYAÇ_RAPORU_BURAK_YENI1309[[#This Row],[SATINALMA]]*DST_123_ÜRETİM_İHTİYAÇ_RAPORU_BURAK_YENI1309[[#This Row],[BIRIM_FIYATLAR]])</f>
        <v>73.349999999999994</v>
      </c>
      <c r="N4622">
        <v>73.349999999999994</v>
      </c>
      <c r="O4622" t="s">
        <v>227</v>
      </c>
      <c r="P4622">
        <v>146.69999999999999</v>
      </c>
      <c r="Q4622" t="s">
        <v>221</v>
      </c>
    </row>
    <row r="4623" spans="1:17" x14ac:dyDescent="0.25">
      <c r="A4623" t="s">
        <v>1100</v>
      </c>
      <c r="B4623" t="s">
        <v>1058</v>
      </c>
      <c r="C4623" t="s">
        <v>175</v>
      </c>
      <c r="D4623" t="s">
        <v>1082</v>
      </c>
      <c r="E4623" t="s">
        <v>1083</v>
      </c>
      <c r="F4623">
        <v>2</v>
      </c>
      <c r="G4623" t="s">
        <v>176</v>
      </c>
      <c r="H4623">
        <v>2</v>
      </c>
      <c r="I4623">
        <v>14</v>
      </c>
      <c r="J4623" s="10">
        <v>19</v>
      </c>
      <c r="K4623" s="10">
        <f>SUMIFS(F:F,D:D,DST_123_ÜRETİM_İHTİYAÇ_RAPORU_BURAK_YENI1309[[#This Row],[ALT_KOD]])-(SUMIFS(H:H,D:D,DST_123_ÜRETİM_İHTİYAÇ_RAPORU_BURAK_YENI1309[[#This Row],[ALT_KOD]])+AVERAGEIFS(I:I,D:D,DST_123_ÜRETİM_İHTİYAÇ_RAPORU_BURAK_YENI1309[[#This Row],[ALT_KOD]])+AVERAGEIFS(L:L,D:D,DST_123_ÜRETİM_İHTİYAÇ_RAPORU_BURAK_YENI1309[[#This Row],[ALT_KOD]]))</f>
        <v>-23</v>
      </c>
      <c r="L4623">
        <v>30</v>
      </c>
      <c r="M4623">
        <f>IF((DST_123_ÜRETİM_İHTİYAÇ_RAPORU_BURAK_YENI1309[[#This Row],[SATINALMA]]*DST_123_ÜRETİM_İHTİYAÇ_RAPORU_BURAK_YENI1309[[#This Row],[BIRIM_FIYATLAR]])&lt;1,VALUE("0"),DST_123_ÜRETİM_İHTİYAÇ_RAPORU_BURAK_YENI1309[[#This Row],[SATINALMA]]*DST_123_ÜRETİM_İHTİYAÇ_RAPORU_BURAK_YENI1309[[#This Row],[BIRIM_FIYATLAR]])</f>
        <v>0</v>
      </c>
      <c r="N4623">
        <v>67.22</v>
      </c>
      <c r="O4623" t="s">
        <v>592</v>
      </c>
      <c r="P4623">
        <v>134.44</v>
      </c>
      <c r="Q4623" t="s">
        <v>178</v>
      </c>
    </row>
    <row r="4624" spans="1:17" x14ac:dyDescent="0.25">
      <c r="A4624" t="s">
        <v>1144</v>
      </c>
      <c r="B4624" t="s">
        <v>1145</v>
      </c>
      <c r="C4624" t="s">
        <v>175</v>
      </c>
      <c r="D4624" t="s">
        <v>1082</v>
      </c>
      <c r="E4624" t="s">
        <v>1083</v>
      </c>
      <c r="F4624">
        <v>2</v>
      </c>
      <c r="G4624" t="s">
        <v>176</v>
      </c>
      <c r="H4624">
        <v>0</v>
      </c>
      <c r="I4624">
        <v>14</v>
      </c>
      <c r="J4624" s="10">
        <v>19</v>
      </c>
      <c r="K4624" s="10">
        <f>SUMIFS(F:F,D:D,DST_123_ÜRETİM_İHTİYAÇ_RAPORU_BURAK_YENI1309[[#This Row],[ALT_KOD]])-(SUMIFS(H:H,D:D,DST_123_ÜRETİM_İHTİYAÇ_RAPORU_BURAK_YENI1309[[#This Row],[ALT_KOD]])+AVERAGEIFS(I:I,D:D,DST_123_ÜRETİM_İHTİYAÇ_RAPORU_BURAK_YENI1309[[#This Row],[ALT_KOD]])+AVERAGEIFS(L:L,D:D,DST_123_ÜRETİM_İHTİYAÇ_RAPORU_BURAK_YENI1309[[#This Row],[ALT_KOD]]))</f>
        <v>-23</v>
      </c>
      <c r="L4624">
        <v>30</v>
      </c>
      <c r="M4624">
        <f>IF((DST_123_ÜRETİM_İHTİYAÇ_RAPORU_BURAK_YENI1309[[#This Row],[SATINALMA]]*DST_123_ÜRETİM_İHTİYAÇ_RAPORU_BURAK_YENI1309[[#This Row],[BIRIM_FIYATLAR]])&lt;1,VALUE("0"),DST_123_ÜRETİM_İHTİYAÇ_RAPORU_BURAK_YENI1309[[#This Row],[SATINALMA]]*DST_123_ÜRETİM_İHTİYAÇ_RAPORU_BURAK_YENI1309[[#This Row],[BIRIM_FIYATLAR]])</f>
        <v>0</v>
      </c>
      <c r="N4624">
        <v>67.22</v>
      </c>
      <c r="O4624" t="s">
        <v>592</v>
      </c>
      <c r="P4624">
        <v>134.44</v>
      </c>
      <c r="Q4624" t="s">
        <v>178</v>
      </c>
    </row>
    <row r="4625" spans="1:17" x14ac:dyDescent="0.25">
      <c r="A4625" t="s">
        <v>1057</v>
      </c>
      <c r="B4625" t="s">
        <v>1058</v>
      </c>
      <c r="C4625" t="s">
        <v>175</v>
      </c>
      <c r="D4625" t="s">
        <v>1082</v>
      </c>
      <c r="E4625" t="s">
        <v>1083</v>
      </c>
      <c r="F4625">
        <v>3</v>
      </c>
      <c r="G4625" t="s">
        <v>176</v>
      </c>
      <c r="H4625">
        <v>3</v>
      </c>
      <c r="I4625">
        <v>14</v>
      </c>
      <c r="J4625" s="10">
        <v>19</v>
      </c>
      <c r="K4625" s="10">
        <f>SUMIFS(F:F,D:D,DST_123_ÜRETİM_İHTİYAÇ_RAPORU_BURAK_YENI1309[[#This Row],[ALT_KOD]])-(SUMIFS(H:H,D:D,DST_123_ÜRETİM_İHTİYAÇ_RAPORU_BURAK_YENI1309[[#This Row],[ALT_KOD]])+AVERAGEIFS(I:I,D:D,DST_123_ÜRETİM_İHTİYAÇ_RAPORU_BURAK_YENI1309[[#This Row],[ALT_KOD]])+AVERAGEIFS(L:L,D:D,DST_123_ÜRETİM_İHTİYAÇ_RAPORU_BURAK_YENI1309[[#This Row],[ALT_KOD]]))</f>
        <v>-23</v>
      </c>
      <c r="L4625">
        <v>30</v>
      </c>
      <c r="M4625">
        <f>IF((DST_123_ÜRETİM_İHTİYAÇ_RAPORU_BURAK_YENI1309[[#This Row],[SATINALMA]]*DST_123_ÜRETİM_İHTİYAÇ_RAPORU_BURAK_YENI1309[[#This Row],[BIRIM_FIYATLAR]])&lt;1,VALUE("0"),DST_123_ÜRETİM_İHTİYAÇ_RAPORU_BURAK_YENI1309[[#This Row],[SATINALMA]]*DST_123_ÜRETİM_İHTİYAÇ_RAPORU_BURAK_YENI1309[[#This Row],[BIRIM_FIYATLAR]])</f>
        <v>0</v>
      </c>
      <c r="N4625">
        <v>67.22</v>
      </c>
      <c r="O4625" t="s">
        <v>592</v>
      </c>
      <c r="P4625">
        <v>201.66</v>
      </c>
      <c r="Q4625" t="s">
        <v>178</v>
      </c>
    </row>
    <row r="4626" spans="1:17" x14ac:dyDescent="0.25">
      <c r="A4626" t="s">
        <v>1101</v>
      </c>
      <c r="B4626" t="s">
        <v>1102</v>
      </c>
      <c r="C4626" t="s">
        <v>175</v>
      </c>
      <c r="D4626" t="s">
        <v>516</v>
      </c>
      <c r="E4626" t="s">
        <v>517</v>
      </c>
      <c r="F4626">
        <v>2</v>
      </c>
      <c r="G4626" t="s">
        <v>176</v>
      </c>
      <c r="H4626">
        <v>2</v>
      </c>
      <c r="I4626">
        <v>91</v>
      </c>
      <c r="J4626" s="10">
        <v>17.799999999999997</v>
      </c>
      <c r="K4626" s="10">
        <f>SUMIFS(F:F,D:D,DST_123_ÜRETİM_İHTİYAÇ_RAPORU_BURAK_YENI1309[[#This Row],[ALT_KOD]])-(SUMIFS(H:H,D:D,DST_123_ÜRETİM_İHTİYAÇ_RAPORU_BURAK_YENI1309[[#This Row],[ALT_KOD]])+AVERAGEIFS(I:I,D:D,DST_123_ÜRETİM_İHTİYAÇ_RAPORU_BURAK_YENI1309[[#This Row],[ALT_KOD]])+AVERAGEIFS(L:L,D:D,DST_123_ÜRETİM_İHTİYAÇ_RAPORU_BURAK_YENI1309[[#This Row],[ALT_KOD]]))</f>
        <v>-74.5</v>
      </c>
      <c r="L4626">
        <v>0</v>
      </c>
      <c r="M4626">
        <f>IF((DST_123_ÜRETİM_İHTİYAÇ_RAPORU_BURAK_YENI1309[[#This Row],[SATINALMA]]*DST_123_ÜRETİM_İHTİYAÇ_RAPORU_BURAK_YENI1309[[#This Row],[BIRIM_FIYATLAR]])&lt;1,VALUE("0"),DST_123_ÜRETİM_İHTİYAÇ_RAPORU_BURAK_YENI1309[[#This Row],[SATINALMA]]*DST_123_ÜRETİM_İHTİYAÇ_RAPORU_BURAK_YENI1309[[#This Row],[BIRIM_FIYATLAR]])</f>
        <v>0</v>
      </c>
      <c r="N4626">
        <v>85</v>
      </c>
      <c r="O4626" t="s">
        <v>346</v>
      </c>
      <c r="P4626">
        <v>170</v>
      </c>
      <c r="Q4626" t="s">
        <v>180</v>
      </c>
    </row>
    <row r="4627" spans="1:17" x14ac:dyDescent="0.25">
      <c r="A4627" t="s">
        <v>1060</v>
      </c>
      <c r="B4627" t="s">
        <v>1061</v>
      </c>
      <c r="C4627" t="s">
        <v>175</v>
      </c>
      <c r="D4627" t="s">
        <v>569</v>
      </c>
      <c r="E4627" t="s">
        <v>570</v>
      </c>
      <c r="F4627">
        <v>4</v>
      </c>
      <c r="G4627" t="s">
        <v>176</v>
      </c>
      <c r="H4627">
        <v>0</v>
      </c>
      <c r="I4627">
        <v>1000</v>
      </c>
      <c r="J4627" s="10">
        <v>1222</v>
      </c>
      <c r="K4627" s="10">
        <f>SUMIFS(F:F,D:D,DST_123_ÜRETİM_İHTİYAÇ_RAPORU_BURAK_YENI1309[[#This Row],[ALT_KOD]])-(SUMIFS(H:H,D:D,DST_123_ÜRETİM_İHTİYAÇ_RAPORU_BURAK_YENI1309[[#This Row],[ALT_KOD]])+AVERAGEIFS(I:I,D:D,DST_123_ÜRETİM_İHTİYAÇ_RAPORU_BURAK_YENI1309[[#This Row],[ALT_KOD]])+AVERAGEIFS(L:L,D:D,DST_123_ÜRETİM_İHTİYAÇ_RAPORU_BURAK_YENI1309[[#This Row],[ALT_KOD]]))</f>
        <v>-903</v>
      </c>
      <c r="L4627">
        <v>0</v>
      </c>
      <c r="M4627">
        <f>IF((DST_123_ÜRETİM_İHTİYAÇ_RAPORU_BURAK_YENI1309[[#This Row],[SATINALMA]]*DST_123_ÜRETİM_İHTİYAÇ_RAPORU_BURAK_YENI1309[[#This Row],[BIRIM_FIYATLAR]])&lt;1,VALUE("0"),DST_123_ÜRETİM_İHTİYAÇ_RAPORU_BURAK_YENI1309[[#This Row],[SATINALMA]]*DST_123_ÜRETİM_İHTİYAÇ_RAPORU_BURAK_YENI1309[[#This Row],[BIRIM_FIYATLAR]])</f>
        <v>0</v>
      </c>
      <c r="N4627">
        <v>1.1399999999999999</v>
      </c>
      <c r="O4627" t="s">
        <v>882</v>
      </c>
      <c r="P4627">
        <v>4.5599999999999996</v>
      </c>
      <c r="Q4627" t="s">
        <v>180</v>
      </c>
    </row>
    <row r="4628" spans="1:17" x14ac:dyDescent="0.25">
      <c r="A4628" t="s">
        <v>1057</v>
      </c>
      <c r="B4628" t="s">
        <v>1058</v>
      </c>
      <c r="C4628" t="s">
        <v>175</v>
      </c>
      <c r="D4628" t="s">
        <v>569</v>
      </c>
      <c r="E4628" t="s">
        <v>570</v>
      </c>
      <c r="F4628">
        <v>4</v>
      </c>
      <c r="G4628" t="s">
        <v>176</v>
      </c>
      <c r="H4628">
        <v>0</v>
      </c>
      <c r="I4628">
        <v>1000</v>
      </c>
      <c r="J4628" s="10">
        <v>1222</v>
      </c>
      <c r="K4628" s="10">
        <f>SUMIFS(F:F,D:D,DST_123_ÜRETİM_İHTİYAÇ_RAPORU_BURAK_YENI1309[[#This Row],[ALT_KOD]])-(SUMIFS(H:H,D:D,DST_123_ÜRETİM_İHTİYAÇ_RAPORU_BURAK_YENI1309[[#This Row],[ALT_KOD]])+AVERAGEIFS(I:I,D:D,DST_123_ÜRETİM_İHTİYAÇ_RAPORU_BURAK_YENI1309[[#This Row],[ALT_KOD]])+AVERAGEIFS(L:L,D:D,DST_123_ÜRETİM_İHTİYAÇ_RAPORU_BURAK_YENI1309[[#This Row],[ALT_KOD]]))</f>
        <v>-903</v>
      </c>
      <c r="L4628">
        <v>0</v>
      </c>
      <c r="M4628">
        <f>IF((DST_123_ÜRETİM_İHTİYAÇ_RAPORU_BURAK_YENI1309[[#This Row],[SATINALMA]]*DST_123_ÜRETİM_İHTİYAÇ_RAPORU_BURAK_YENI1309[[#This Row],[BIRIM_FIYATLAR]])&lt;1,VALUE("0"),DST_123_ÜRETİM_İHTİYAÇ_RAPORU_BURAK_YENI1309[[#This Row],[SATINALMA]]*DST_123_ÜRETİM_İHTİYAÇ_RAPORU_BURAK_YENI1309[[#This Row],[BIRIM_FIYATLAR]])</f>
        <v>0</v>
      </c>
      <c r="N4628">
        <v>1.1399999999999999</v>
      </c>
      <c r="O4628" t="s">
        <v>882</v>
      </c>
      <c r="P4628">
        <v>4.5599999999999996</v>
      </c>
      <c r="Q4628" t="s">
        <v>180</v>
      </c>
    </row>
    <row r="4629" spans="1:17" x14ac:dyDescent="0.25">
      <c r="A4629" t="s">
        <v>1100</v>
      </c>
      <c r="B4629" t="s">
        <v>1058</v>
      </c>
      <c r="C4629" t="s">
        <v>175</v>
      </c>
      <c r="D4629" t="s">
        <v>569</v>
      </c>
      <c r="E4629" t="s">
        <v>570</v>
      </c>
      <c r="F4629">
        <v>4</v>
      </c>
      <c r="G4629" t="s">
        <v>176</v>
      </c>
      <c r="H4629">
        <v>0</v>
      </c>
      <c r="I4629">
        <v>1000</v>
      </c>
      <c r="J4629" s="10">
        <v>1222</v>
      </c>
      <c r="K4629" s="10">
        <f>SUMIFS(F:F,D:D,DST_123_ÜRETİM_İHTİYAÇ_RAPORU_BURAK_YENI1309[[#This Row],[ALT_KOD]])-(SUMIFS(H:H,D:D,DST_123_ÜRETİM_İHTİYAÇ_RAPORU_BURAK_YENI1309[[#This Row],[ALT_KOD]])+AVERAGEIFS(I:I,D:D,DST_123_ÜRETİM_İHTİYAÇ_RAPORU_BURAK_YENI1309[[#This Row],[ALT_KOD]])+AVERAGEIFS(L:L,D:D,DST_123_ÜRETİM_İHTİYAÇ_RAPORU_BURAK_YENI1309[[#This Row],[ALT_KOD]]))</f>
        <v>-903</v>
      </c>
      <c r="L4629">
        <v>0</v>
      </c>
      <c r="M4629">
        <f>IF((DST_123_ÜRETİM_İHTİYAÇ_RAPORU_BURAK_YENI1309[[#This Row],[SATINALMA]]*DST_123_ÜRETİM_İHTİYAÇ_RAPORU_BURAK_YENI1309[[#This Row],[BIRIM_FIYATLAR]])&lt;1,VALUE("0"),DST_123_ÜRETİM_İHTİYAÇ_RAPORU_BURAK_YENI1309[[#This Row],[SATINALMA]]*DST_123_ÜRETİM_İHTİYAÇ_RAPORU_BURAK_YENI1309[[#This Row],[BIRIM_FIYATLAR]])</f>
        <v>0</v>
      </c>
      <c r="N4629">
        <v>1.1399999999999999</v>
      </c>
      <c r="O4629" t="s">
        <v>882</v>
      </c>
      <c r="P4629">
        <v>4.5599999999999996</v>
      </c>
      <c r="Q4629" t="s">
        <v>180</v>
      </c>
    </row>
    <row r="4630" spans="1:17" x14ac:dyDescent="0.25">
      <c r="A4630" t="s">
        <v>1060</v>
      </c>
      <c r="B4630" t="s">
        <v>1061</v>
      </c>
      <c r="C4630" t="s">
        <v>175</v>
      </c>
      <c r="D4630" t="s">
        <v>779</v>
      </c>
      <c r="E4630" t="s">
        <v>780</v>
      </c>
      <c r="F4630">
        <v>2</v>
      </c>
      <c r="G4630" t="s">
        <v>176</v>
      </c>
      <c r="H4630">
        <v>0</v>
      </c>
      <c r="I4630">
        <v>1</v>
      </c>
      <c r="J4630" s="10">
        <v>14</v>
      </c>
      <c r="K4630" s="10">
        <f>SUMIFS(F:F,D:D,DST_123_ÜRETİM_İHTİYAÇ_RAPORU_BURAK_YENI1309[[#This Row],[ALT_KOD]])-(SUMIFS(H:H,D:D,DST_123_ÜRETİM_İHTİYAÇ_RAPORU_BURAK_YENI1309[[#This Row],[ALT_KOD]])+AVERAGEIFS(I:I,D:D,DST_123_ÜRETİM_İHTİYAÇ_RAPORU_BURAK_YENI1309[[#This Row],[ALT_KOD]])+AVERAGEIFS(L:L,D:D,DST_123_ÜRETİM_İHTİYAÇ_RAPORU_BURAK_YENI1309[[#This Row],[ALT_KOD]]))</f>
        <v>25</v>
      </c>
      <c r="L4630">
        <v>0</v>
      </c>
      <c r="M4630">
        <f>IF((DST_123_ÜRETİM_İHTİYAÇ_RAPORU_BURAK_YENI1309[[#This Row],[SATINALMA]]*DST_123_ÜRETİM_İHTİYAÇ_RAPORU_BURAK_YENI1309[[#This Row],[BIRIM_FIYATLAR]])&lt;1,VALUE("0"),DST_123_ÜRETİM_İHTİYAÇ_RAPORU_BURAK_YENI1309[[#This Row],[SATINALMA]]*DST_123_ÜRETİM_İHTİYAÇ_RAPORU_BURAK_YENI1309[[#This Row],[BIRIM_FIYATLAR]])</f>
        <v>11103.25</v>
      </c>
      <c r="N4630">
        <v>444.13</v>
      </c>
      <c r="O4630" t="s">
        <v>589</v>
      </c>
      <c r="P4630">
        <v>888.26</v>
      </c>
      <c r="Q4630" t="s">
        <v>177</v>
      </c>
    </row>
    <row r="4631" spans="1:17" x14ac:dyDescent="0.25">
      <c r="A4631" t="s">
        <v>1148</v>
      </c>
      <c r="B4631" t="s">
        <v>1056</v>
      </c>
      <c r="C4631" t="s">
        <v>175</v>
      </c>
      <c r="D4631" t="s">
        <v>779</v>
      </c>
      <c r="E4631" t="s">
        <v>780</v>
      </c>
      <c r="F4631">
        <v>2</v>
      </c>
      <c r="G4631" t="s">
        <v>176</v>
      </c>
      <c r="H4631">
        <v>0</v>
      </c>
      <c r="I4631">
        <v>1</v>
      </c>
      <c r="J4631" s="10">
        <v>14</v>
      </c>
      <c r="K4631" s="10">
        <f>SUMIFS(F:F,D:D,DST_123_ÜRETİM_İHTİYAÇ_RAPORU_BURAK_YENI1309[[#This Row],[ALT_KOD]])-(SUMIFS(H:H,D:D,DST_123_ÜRETİM_İHTİYAÇ_RAPORU_BURAK_YENI1309[[#This Row],[ALT_KOD]])+AVERAGEIFS(I:I,D:D,DST_123_ÜRETİM_İHTİYAÇ_RAPORU_BURAK_YENI1309[[#This Row],[ALT_KOD]])+AVERAGEIFS(L:L,D:D,DST_123_ÜRETİM_İHTİYAÇ_RAPORU_BURAK_YENI1309[[#This Row],[ALT_KOD]]))</f>
        <v>25</v>
      </c>
      <c r="L4631">
        <v>0</v>
      </c>
      <c r="M4631">
        <f>IF((DST_123_ÜRETİM_İHTİYAÇ_RAPORU_BURAK_YENI1309[[#This Row],[SATINALMA]]*DST_123_ÜRETİM_İHTİYAÇ_RAPORU_BURAK_YENI1309[[#This Row],[BIRIM_FIYATLAR]])&lt;1,VALUE("0"),DST_123_ÜRETİM_İHTİYAÇ_RAPORU_BURAK_YENI1309[[#This Row],[SATINALMA]]*DST_123_ÜRETİM_İHTİYAÇ_RAPORU_BURAK_YENI1309[[#This Row],[BIRIM_FIYATLAR]])</f>
        <v>11103.25</v>
      </c>
      <c r="N4631">
        <v>444.13</v>
      </c>
      <c r="O4631" t="s">
        <v>589</v>
      </c>
      <c r="P4631">
        <v>888.26</v>
      </c>
      <c r="Q4631" t="s">
        <v>177</v>
      </c>
    </row>
    <row r="4632" spans="1:17" x14ac:dyDescent="0.25">
      <c r="A4632" t="s">
        <v>1100</v>
      </c>
      <c r="B4632" t="s">
        <v>1058</v>
      </c>
      <c r="C4632" t="s">
        <v>175</v>
      </c>
      <c r="D4632" t="s">
        <v>779</v>
      </c>
      <c r="E4632" t="s">
        <v>780</v>
      </c>
      <c r="F4632">
        <v>2</v>
      </c>
      <c r="G4632" t="s">
        <v>176</v>
      </c>
      <c r="H4632">
        <v>2</v>
      </c>
      <c r="I4632">
        <v>1</v>
      </c>
      <c r="J4632" s="10">
        <v>14</v>
      </c>
      <c r="K4632" s="10">
        <f>SUMIFS(F:F,D:D,DST_123_ÜRETİM_İHTİYAÇ_RAPORU_BURAK_YENI1309[[#This Row],[ALT_KOD]])-(SUMIFS(H:H,D:D,DST_123_ÜRETİM_İHTİYAÇ_RAPORU_BURAK_YENI1309[[#This Row],[ALT_KOD]])+AVERAGEIFS(I:I,D:D,DST_123_ÜRETİM_İHTİYAÇ_RAPORU_BURAK_YENI1309[[#This Row],[ALT_KOD]])+AVERAGEIFS(L:L,D:D,DST_123_ÜRETİM_İHTİYAÇ_RAPORU_BURAK_YENI1309[[#This Row],[ALT_KOD]]))</f>
        <v>25</v>
      </c>
      <c r="L4632">
        <v>0</v>
      </c>
      <c r="M4632">
        <f>IF((DST_123_ÜRETİM_İHTİYAÇ_RAPORU_BURAK_YENI1309[[#This Row],[SATINALMA]]*DST_123_ÜRETİM_İHTİYAÇ_RAPORU_BURAK_YENI1309[[#This Row],[BIRIM_FIYATLAR]])&lt;1,VALUE("0"),DST_123_ÜRETİM_İHTİYAÇ_RAPORU_BURAK_YENI1309[[#This Row],[SATINALMA]]*DST_123_ÜRETİM_İHTİYAÇ_RAPORU_BURAK_YENI1309[[#This Row],[BIRIM_FIYATLAR]])</f>
        <v>11103.25</v>
      </c>
      <c r="N4632">
        <v>444.13</v>
      </c>
      <c r="O4632" t="s">
        <v>589</v>
      </c>
      <c r="P4632">
        <v>888.26</v>
      </c>
      <c r="Q4632" t="s">
        <v>177</v>
      </c>
    </row>
    <row r="4633" spans="1:17" x14ac:dyDescent="0.25">
      <c r="A4633" t="s">
        <v>1060</v>
      </c>
      <c r="B4633" t="s">
        <v>1061</v>
      </c>
      <c r="C4633" t="s">
        <v>175</v>
      </c>
      <c r="D4633" t="s">
        <v>718</v>
      </c>
      <c r="E4633" t="s">
        <v>719</v>
      </c>
      <c r="F4633">
        <v>1</v>
      </c>
      <c r="G4633" t="s">
        <v>176</v>
      </c>
      <c r="H4633">
        <v>0</v>
      </c>
      <c r="I4633">
        <v>1</v>
      </c>
      <c r="J4633" s="10">
        <v>4</v>
      </c>
      <c r="K4633" s="10">
        <f>SUMIFS(F:F,D:D,DST_123_ÜRETİM_İHTİYAÇ_RAPORU_BURAK_YENI1309[[#This Row],[ALT_KOD]])-(SUMIFS(H:H,D:D,DST_123_ÜRETİM_İHTİYAÇ_RAPORU_BURAK_YENI1309[[#This Row],[ALT_KOD]])+AVERAGEIFS(I:I,D:D,DST_123_ÜRETİM_İHTİYAÇ_RAPORU_BURAK_YENI1309[[#This Row],[ALT_KOD]])+AVERAGEIFS(L:L,D:D,DST_123_ÜRETİM_İHTİYAÇ_RAPORU_BURAK_YENI1309[[#This Row],[ALT_KOD]]))</f>
        <v>13</v>
      </c>
      <c r="L4633">
        <v>0</v>
      </c>
      <c r="M4633">
        <f>IF((DST_123_ÜRETİM_İHTİYAÇ_RAPORU_BURAK_YENI1309[[#This Row],[SATINALMA]]*DST_123_ÜRETİM_İHTİYAÇ_RAPORU_BURAK_YENI1309[[#This Row],[BIRIM_FIYATLAR]])&lt;1,VALUE("0"),DST_123_ÜRETİM_İHTİYAÇ_RAPORU_BURAK_YENI1309[[#This Row],[SATINALMA]]*DST_123_ÜRETİM_İHTİYAÇ_RAPORU_BURAK_YENI1309[[#This Row],[BIRIM_FIYATLAR]])</f>
        <v>168880.14</v>
      </c>
      <c r="N4633">
        <v>12990.78</v>
      </c>
      <c r="O4633" t="s">
        <v>589</v>
      </c>
      <c r="P4633">
        <v>12990.78</v>
      </c>
      <c r="Q4633" t="s">
        <v>177</v>
      </c>
    </row>
    <row r="4634" spans="1:17" x14ac:dyDescent="0.25">
      <c r="A4634" t="s">
        <v>1147</v>
      </c>
      <c r="B4634" t="s">
        <v>1145</v>
      </c>
      <c r="C4634" t="s">
        <v>175</v>
      </c>
      <c r="D4634" t="s">
        <v>718</v>
      </c>
      <c r="E4634" t="s">
        <v>719</v>
      </c>
      <c r="F4634">
        <v>1</v>
      </c>
      <c r="G4634" t="s">
        <v>176</v>
      </c>
      <c r="H4634">
        <v>0</v>
      </c>
      <c r="I4634">
        <v>1</v>
      </c>
      <c r="J4634" s="10">
        <v>4</v>
      </c>
      <c r="K4634" s="10">
        <f>SUMIFS(F:F,D:D,DST_123_ÜRETİM_İHTİYAÇ_RAPORU_BURAK_YENI1309[[#This Row],[ALT_KOD]])-(SUMIFS(H:H,D:D,DST_123_ÜRETİM_İHTİYAÇ_RAPORU_BURAK_YENI1309[[#This Row],[ALT_KOD]])+AVERAGEIFS(I:I,D:D,DST_123_ÜRETİM_İHTİYAÇ_RAPORU_BURAK_YENI1309[[#This Row],[ALT_KOD]])+AVERAGEIFS(L:L,D:D,DST_123_ÜRETİM_İHTİYAÇ_RAPORU_BURAK_YENI1309[[#This Row],[ALT_KOD]]))</f>
        <v>13</v>
      </c>
      <c r="L4634">
        <v>0</v>
      </c>
      <c r="M4634">
        <f>IF((DST_123_ÜRETİM_İHTİYAÇ_RAPORU_BURAK_YENI1309[[#This Row],[SATINALMA]]*DST_123_ÜRETİM_İHTİYAÇ_RAPORU_BURAK_YENI1309[[#This Row],[BIRIM_FIYATLAR]])&lt;1,VALUE("0"),DST_123_ÜRETİM_İHTİYAÇ_RAPORU_BURAK_YENI1309[[#This Row],[SATINALMA]]*DST_123_ÜRETİM_İHTİYAÇ_RAPORU_BURAK_YENI1309[[#This Row],[BIRIM_FIYATLAR]])</f>
        <v>168880.14</v>
      </c>
      <c r="N4634">
        <v>12990.78</v>
      </c>
      <c r="O4634" t="s">
        <v>589</v>
      </c>
      <c r="P4634">
        <v>12990.78</v>
      </c>
      <c r="Q4634" t="s">
        <v>177</v>
      </c>
    </row>
    <row r="4635" spans="1:17" x14ac:dyDescent="0.25">
      <c r="A4635" t="s">
        <v>1060</v>
      </c>
      <c r="B4635" t="s">
        <v>1061</v>
      </c>
      <c r="C4635" t="s">
        <v>175</v>
      </c>
      <c r="D4635" t="s">
        <v>875</v>
      </c>
      <c r="E4635" t="s">
        <v>876</v>
      </c>
      <c r="F4635">
        <v>2</v>
      </c>
      <c r="G4635" t="s">
        <v>176</v>
      </c>
      <c r="H4635">
        <v>2</v>
      </c>
      <c r="I4635">
        <v>4</v>
      </c>
      <c r="J4635" s="10">
        <v>12</v>
      </c>
      <c r="K4635" s="10">
        <f>SUMIFS(F:F,D:D,DST_123_ÜRETİM_İHTİYAÇ_RAPORU_BURAK_YENI1309[[#This Row],[ALT_KOD]])-(SUMIFS(H:H,D:D,DST_123_ÜRETİM_İHTİYAÇ_RAPORU_BURAK_YENI1309[[#This Row],[ALT_KOD]])+AVERAGEIFS(I:I,D:D,DST_123_ÜRETİM_İHTİYAÇ_RAPORU_BURAK_YENI1309[[#This Row],[ALT_KOD]])+AVERAGEIFS(L:L,D:D,DST_123_ÜRETİM_İHTİYAÇ_RAPORU_BURAK_YENI1309[[#This Row],[ALT_KOD]]))</f>
        <v>-4</v>
      </c>
      <c r="L4635">
        <v>0</v>
      </c>
      <c r="M4635">
        <f>IF((DST_123_ÜRETİM_İHTİYAÇ_RAPORU_BURAK_YENI1309[[#This Row],[SATINALMA]]*DST_123_ÜRETİM_İHTİYAÇ_RAPORU_BURAK_YENI1309[[#This Row],[BIRIM_FIYATLAR]])&lt;1,VALUE("0"),DST_123_ÜRETİM_İHTİYAÇ_RAPORU_BURAK_YENI1309[[#This Row],[SATINALMA]]*DST_123_ÜRETİM_İHTİYAÇ_RAPORU_BURAK_YENI1309[[#This Row],[BIRIM_FIYATLAR]])</f>
        <v>0</v>
      </c>
      <c r="N4635">
        <v>1028.6099999999999</v>
      </c>
      <c r="O4635" t="s">
        <v>636</v>
      </c>
      <c r="P4635">
        <v>2057.2199999999998</v>
      </c>
      <c r="Q4635" t="s">
        <v>178</v>
      </c>
    </row>
    <row r="4636" spans="1:17" x14ac:dyDescent="0.25">
      <c r="A4636" t="s">
        <v>1100</v>
      </c>
      <c r="B4636" t="s">
        <v>1058</v>
      </c>
      <c r="C4636" t="s">
        <v>175</v>
      </c>
      <c r="D4636" t="s">
        <v>875</v>
      </c>
      <c r="E4636" t="s">
        <v>876</v>
      </c>
      <c r="F4636">
        <v>2</v>
      </c>
      <c r="G4636" t="s">
        <v>176</v>
      </c>
      <c r="H4636">
        <v>2</v>
      </c>
      <c r="I4636">
        <v>4</v>
      </c>
      <c r="J4636" s="10">
        <v>12</v>
      </c>
      <c r="K4636" s="10">
        <f>SUMIFS(F:F,D:D,DST_123_ÜRETİM_İHTİYAÇ_RAPORU_BURAK_YENI1309[[#This Row],[ALT_KOD]])-(SUMIFS(H:H,D:D,DST_123_ÜRETİM_İHTİYAÇ_RAPORU_BURAK_YENI1309[[#This Row],[ALT_KOD]])+AVERAGEIFS(I:I,D:D,DST_123_ÜRETİM_İHTİYAÇ_RAPORU_BURAK_YENI1309[[#This Row],[ALT_KOD]])+AVERAGEIFS(L:L,D:D,DST_123_ÜRETİM_İHTİYAÇ_RAPORU_BURAK_YENI1309[[#This Row],[ALT_KOD]]))</f>
        <v>-4</v>
      </c>
      <c r="L4636">
        <v>0</v>
      </c>
      <c r="M4636">
        <f>IF((DST_123_ÜRETİM_İHTİYAÇ_RAPORU_BURAK_YENI1309[[#This Row],[SATINALMA]]*DST_123_ÜRETİM_İHTİYAÇ_RAPORU_BURAK_YENI1309[[#This Row],[BIRIM_FIYATLAR]])&lt;1,VALUE("0"),DST_123_ÜRETİM_İHTİYAÇ_RAPORU_BURAK_YENI1309[[#This Row],[SATINALMA]]*DST_123_ÜRETİM_İHTİYAÇ_RAPORU_BURAK_YENI1309[[#This Row],[BIRIM_FIYATLAR]])</f>
        <v>0</v>
      </c>
      <c r="N4636">
        <v>1028.6099999999999</v>
      </c>
      <c r="O4636" t="s">
        <v>636</v>
      </c>
      <c r="P4636">
        <v>2057.2199999999998</v>
      </c>
      <c r="Q4636" t="s">
        <v>178</v>
      </c>
    </row>
    <row r="4637" spans="1:17" x14ac:dyDescent="0.25">
      <c r="A4637" t="s">
        <v>1148</v>
      </c>
      <c r="B4637" t="s">
        <v>1056</v>
      </c>
      <c r="C4637" t="s">
        <v>175</v>
      </c>
      <c r="D4637" t="s">
        <v>879</v>
      </c>
      <c r="E4637" t="s">
        <v>880</v>
      </c>
      <c r="F4637">
        <v>1</v>
      </c>
      <c r="G4637" t="s">
        <v>176</v>
      </c>
      <c r="H4637">
        <v>0</v>
      </c>
      <c r="I4637">
        <v>9</v>
      </c>
      <c r="J4637" s="10">
        <v>8</v>
      </c>
      <c r="K4637" s="10">
        <f>SUMIFS(F:F,D:D,DST_123_ÜRETİM_İHTİYAÇ_RAPORU_BURAK_YENI1309[[#This Row],[ALT_KOD]])-(SUMIFS(H:H,D:D,DST_123_ÜRETİM_İHTİYAÇ_RAPORU_BURAK_YENI1309[[#This Row],[ALT_KOD]])+AVERAGEIFS(I:I,D:D,DST_123_ÜRETİM_İHTİYAÇ_RAPORU_BURAK_YENI1309[[#This Row],[ALT_KOD]])+AVERAGEIFS(L:L,D:D,DST_123_ÜRETİM_İHTİYAÇ_RAPORU_BURAK_YENI1309[[#This Row],[ALT_KOD]]))</f>
        <v>-12</v>
      </c>
      <c r="L4637">
        <v>15</v>
      </c>
      <c r="M4637">
        <f>IF((DST_123_ÜRETİM_İHTİYAÇ_RAPORU_BURAK_YENI1309[[#This Row],[SATINALMA]]*DST_123_ÜRETİM_İHTİYAÇ_RAPORU_BURAK_YENI1309[[#This Row],[BIRIM_FIYATLAR]])&lt;1,VALUE("0"),DST_123_ÜRETİM_İHTİYAÇ_RAPORU_BURAK_YENI1309[[#This Row],[SATINALMA]]*DST_123_ÜRETİM_İHTİYAÇ_RAPORU_BURAK_YENI1309[[#This Row],[BIRIM_FIYATLAR]])</f>
        <v>0</v>
      </c>
      <c r="N4637">
        <v>776.15</v>
      </c>
      <c r="O4637" t="s">
        <v>881</v>
      </c>
      <c r="P4637">
        <v>776.15</v>
      </c>
      <c r="Q4637" t="s">
        <v>221</v>
      </c>
    </row>
    <row r="4638" spans="1:17" x14ac:dyDescent="0.25">
      <c r="A4638" t="s">
        <v>1147</v>
      </c>
      <c r="B4638" t="s">
        <v>1145</v>
      </c>
      <c r="C4638" t="s">
        <v>175</v>
      </c>
      <c r="D4638" t="s">
        <v>879</v>
      </c>
      <c r="E4638" t="s">
        <v>880</v>
      </c>
      <c r="F4638">
        <v>1</v>
      </c>
      <c r="G4638" t="s">
        <v>176</v>
      </c>
      <c r="H4638">
        <v>0</v>
      </c>
      <c r="I4638">
        <v>9</v>
      </c>
      <c r="J4638" s="10">
        <v>8</v>
      </c>
      <c r="K4638" s="10">
        <f>SUMIFS(F:F,D:D,DST_123_ÜRETİM_İHTİYAÇ_RAPORU_BURAK_YENI1309[[#This Row],[ALT_KOD]])-(SUMIFS(H:H,D:D,DST_123_ÜRETİM_İHTİYAÇ_RAPORU_BURAK_YENI1309[[#This Row],[ALT_KOD]])+AVERAGEIFS(I:I,D:D,DST_123_ÜRETİM_İHTİYAÇ_RAPORU_BURAK_YENI1309[[#This Row],[ALT_KOD]])+AVERAGEIFS(L:L,D:D,DST_123_ÜRETİM_İHTİYAÇ_RAPORU_BURAK_YENI1309[[#This Row],[ALT_KOD]]))</f>
        <v>-12</v>
      </c>
      <c r="L4638">
        <v>15</v>
      </c>
      <c r="M4638">
        <f>IF((DST_123_ÜRETİM_İHTİYAÇ_RAPORU_BURAK_YENI1309[[#This Row],[SATINALMA]]*DST_123_ÜRETİM_İHTİYAÇ_RAPORU_BURAK_YENI1309[[#This Row],[BIRIM_FIYATLAR]])&lt;1,VALUE("0"),DST_123_ÜRETİM_İHTİYAÇ_RAPORU_BURAK_YENI1309[[#This Row],[SATINALMA]]*DST_123_ÜRETİM_İHTİYAÇ_RAPORU_BURAK_YENI1309[[#This Row],[BIRIM_FIYATLAR]])</f>
        <v>0</v>
      </c>
      <c r="N4638">
        <v>776.15</v>
      </c>
      <c r="O4638" t="s">
        <v>881</v>
      </c>
      <c r="P4638">
        <v>776.15</v>
      </c>
      <c r="Q4638" t="s">
        <v>221</v>
      </c>
    </row>
    <row r="4639" spans="1:17" x14ac:dyDescent="0.25">
      <c r="A4639" t="s">
        <v>1099</v>
      </c>
      <c r="B4639" t="s">
        <v>1055</v>
      </c>
      <c r="C4639" t="s">
        <v>175</v>
      </c>
      <c r="D4639" t="s">
        <v>718</v>
      </c>
      <c r="E4639" t="s">
        <v>719</v>
      </c>
      <c r="F4639">
        <v>1</v>
      </c>
      <c r="G4639" t="s">
        <v>176</v>
      </c>
      <c r="H4639">
        <v>0</v>
      </c>
      <c r="I4639">
        <v>1</v>
      </c>
      <c r="J4639" s="10">
        <v>4</v>
      </c>
      <c r="K4639" s="10">
        <f>SUMIFS(F:F,D:D,DST_123_ÜRETİM_İHTİYAÇ_RAPORU_BURAK_YENI1309[[#This Row],[ALT_KOD]])-(SUMIFS(H:H,D:D,DST_123_ÜRETİM_İHTİYAÇ_RAPORU_BURAK_YENI1309[[#This Row],[ALT_KOD]])+AVERAGEIFS(I:I,D:D,DST_123_ÜRETİM_İHTİYAÇ_RAPORU_BURAK_YENI1309[[#This Row],[ALT_KOD]])+AVERAGEIFS(L:L,D:D,DST_123_ÜRETİM_İHTİYAÇ_RAPORU_BURAK_YENI1309[[#This Row],[ALT_KOD]]))</f>
        <v>13</v>
      </c>
      <c r="L4639">
        <v>0</v>
      </c>
      <c r="M4639">
        <f>IF((DST_123_ÜRETİM_İHTİYAÇ_RAPORU_BURAK_YENI1309[[#This Row],[SATINALMA]]*DST_123_ÜRETİM_İHTİYAÇ_RAPORU_BURAK_YENI1309[[#This Row],[BIRIM_FIYATLAR]])&lt;1,VALUE("0"),DST_123_ÜRETİM_İHTİYAÇ_RAPORU_BURAK_YENI1309[[#This Row],[SATINALMA]]*DST_123_ÜRETİM_İHTİYAÇ_RAPORU_BURAK_YENI1309[[#This Row],[BIRIM_FIYATLAR]])</f>
        <v>168880.14</v>
      </c>
      <c r="N4639">
        <v>12990.78</v>
      </c>
      <c r="O4639" t="s">
        <v>589</v>
      </c>
      <c r="P4639">
        <v>12990.78</v>
      </c>
      <c r="Q4639" t="s">
        <v>177</v>
      </c>
    </row>
    <row r="4640" spans="1:17" x14ac:dyDescent="0.25">
      <c r="A4640" t="s">
        <v>1196</v>
      </c>
      <c r="B4640" t="s">
        <v>1197</v>
      </c>
      <c r="C4640" t="s">
        <v>175</v>
      </c>
      <c r="D4640" t="s">
        <v>718</v>
      </c>
      <c r="E4640" t="s">
        <v>719</v>
      </c>
      <c r="F4640">
        <v>1</v>
      </c>
      <c r="G4640" t="s">
        <v>176</v>
      </c>
      <c r="H4640">
        <v>0</v>
      </c>
      <c r="I4640">
        <v>1</v>
      </c>
      <c r="J4640" s="10">
        <v>4</v>
      </c>
      <c r="K4640" s="10">
        <f>SUMIFS(F:F,D:D,DST_123_ÜRETİM_İHTİYAÇ_RAPORU_BURAK_YENI1309[[#This Row],[ALT_KOD]])-(SUMIFS(H:H,D:D,DST_123_ÜRETİM_İHTİYAÇ_RAPORU_BURAK_YENI1309[[#This Row],[ALT_KOD]])+AVERAGEIFS(I:I,D:D,DST_123_ÜRETİM_İHTİYAÇ_RAPORU_BURAK_YENI1309[[#This Row],[ALT_KOD]])+AVERAGEIFS(L:L,D:D,DST_123_ÜRETİM_İHTİYAÇ_RAPORU_BURAK_YENI1309[[#This Row],[ALT_KOD]]))</f>
        <v>13</v>
      </c>
      <c r="L4640">
        <v>0</v>
      </c>
      <c r="M4640">
        <f>IF((DST_123_ÜRETİM_İHTİYAÇ_RAPORU_BURAK_YENI1309[[#This Row],[SATINALMA]]*DST_123_ÜRETİM_İHTİYAÇ_RAPORU_BURAK_YENI1309[[#This Row],[BIRIM_FIYATLAR]])&lt;1,VALUE("0"),DST_123_ÜRETİM_İHTİYAÇ_RAPORU_BURAK_YENI1309[[#This Row],[SATINALMA]]*DST_123_ÜRETİM_İHTİYAÇ_RAPORU_BURAK_YENI1309[[#This Row],[BIRIM_FIYATLAR]])</f>
        <v>168880.14</v>
      </c>
      <c r="N4640">
        <v>12990.78</v>
      </c>
      <c r="O4640" t="s">
        <v>589</v>
      </c>
      <c r="P4640">
        <v>12990.78</v>
      </c>
      <c r="Q4640" t="s">
        <v>177</v>
      </c>
    </row>
    <row r="4641" spans="1:17" x14ac:dyDescent="0.25">
      <c r="A4641" t="s">
        <v>1098</v>
      </c>
      <c r="B4641" t="s">
        <v>1096</v>
      </c>
      <c r="C4641" t="s">
        <v>175</v>
      </c>
      <c r="D4641" t="s">
        <v>718</v>
      </c>
      <c r="E4641" t="s">
        <v>719</v>
      </c>
      <c r="F4641">
        <v>1</v>
      </c>
      <c r="G4641" t="s">
        <v>176</v>
      </c>
      <c r="H4641">
        <v>0</v>
      </c>
      <c r="I4641">
        <v>1</v>
      </c>
      <c r="J4641" s="10">
        <v>4</v>
      </c>
      <c r="K4641" s="10">
        <f>SUMIFS(F:F,D:D,DST_123_ÜRETİM_İHTİYAÇ_RAPORU_BURAK_YENI1309[[#This Row],[ALT_KOD]])-(SUMIFS(H:H,D:D,DST_123_ÜRETİM_İHTİYAÇ_RAPORU_BURAK_YENI1309[[#This Row],[ALT_KOD]])+AVERAGEIFS(I:I,D:D,DST_123_ÜRETİM_İHTİYAÇ_RAPORU_BURAK_YENI1309[[#This Row],[ALT_KOD]])+AVERAGEIFS(L:L,D:D,DST_123_ÜRETİM_İHTİYAÇ_RAPORU_BURAK_YENI1309[[#This Row],[ALT_KOD]]))</f>
        <v>13</v>
      </c>
      <c r="L4641">
        <v>0</v>
      </c>
      <c r="M4641">
        <f>IF((DST_123_ÜRETİM_İHTİYAÇ_RAPORU_BURAK_YENI1309[[#This Row],[SATINALMA]]*DST_123_ÜRETİM_İHTİYAÇ_RAPORU_BURAK_YENI1309[[#This Row],[BIRIM_FIYATLAR]])&lt;1,VALUE("0"),DST_123_ÜRETİM_İHTİYAÇ_RAPORU_BURAK_YENI1309[[#This Row],[SATINALMA]]*DST_123_ÜRETİM_İHTİYAÇ_RAPORU_BURAK_YENI1309[[#This Row],[BIRIM_FIYATLAR]])</f>
        <v>168880.14</v>
      </c>
      <c r="N4641">
        <v>12990.78</v>
      </c>
      <c r="O4641" t="s">
        <v>589</v>
      </c>
      <c r="P4641">
        <v>12990.78</v>
      </c>
      <c r="Q4641" t="s">
        <v>177</v>
      </c>
    </row>
    <row r="4642" spans="1:17" x14ac:dyDescent="0.25">
      <c r="A4642" t="s">
        <v>1101</v>
      </c>
      <c r="B4642" t="s">
        <v>1102</v>
      </c>
      <c r="C4642" t="s">
        <v>175</v>
      </c>
      <c r="D4642" t="s">
        <v>569</v>
      </c>
      <c r="E4642" t="s">
        <v>570</v>
      </c>
      <c r="F4642">
        <v>4</v>
      </c>
      <c r="G4642" t="s">
        <v>176</v>
      </c>
      <c r="H4642">
        <v>0</v>
      </c>
      <c r="I4642">
        <v>1000</v>
      </c>
      <c r="J4642" s="10">
        <v>1222</v>
      </c>
      <c r="K4642" s="10">
        <f>SUMIFS(F:F,D:D,DST_123_ÜRETİM_İHTİYAÇ_RAPORU_BURAK_YENI1309[[#This Row],[ALT_KOD]])-(SUMIFS(H:H,D:D,DST_123_ÜRETİM_İHTİYAÇ_RAPORU_BURAK_YENI1309[[#This Row],[ALT_KOD]])+AVERAGEIFS(I:I,D:D,DST_123_ÜRETİM_İHTİYAÇ_RAPORU_BURAK_YENI1309[[#This Row],[ALT_KOD]])+AVERAGEIFS(L:L,D:D,DST_123_ÜRETİM_İHTİYAÇ_RAPORU_BURAK_YENI1309[[#This Row],[ALT_KOD]]))</f>
        <v>-903</v>
      </c>
      <c r="L4642">
        <v>0</v>
      </c>
      <c r="M4642">
        <f>IF((DST_123_ÜRETİM_İHTİYAÇ_RAPORU_BURAK_YENI1309[[#This Row],[SATINALMA]]*DST_123_ÜRETİM_İHTİYAÇ_RAPORU_BURAK_YENI1309[[#This Row],[BIRIM_FIYATLAR]])&lt;1,VALUE("0"),DST_123_ÜRETİM_İHTİYAÇ_RAPORU_BURAK_YENI1309[[#This Row],[SATINALMA]]*DST_123_ÜRETİM_İHTİYAÇ_RAPORU_BURAK_YENI1309[[#This Row],[BIRIM_FIYATLAR]])</f>
        <v>0</v>
      </c>
      <c r="N4642">
        <v>1.1399999999999999</v>
      </c>
      <c r="O4642" t="s">
        <v>882</v>
      </c>
      <c r="P4642">
        <v>4.5599999999999996</v>
      </c>
      <c r="Q4642" t="s">
        <v>180</v>
      </c>
    </row>
    <row r="4643" spans="1:17" x14ac:dyDescent="0.25">
      <c r="A4643" t="s">
        <v>1101</v>
      </c>
      <c r="B4643" t="s">
        <v>1102</v>
      </c>
      <c r="C4643" t="s">
        <v>175</v>
      </c>
      <c r="D4643" t="s">
        <v>718</v>
      </c>
      <c r="E4643" t="s">
        <v>719</v>
      </c>
      <c r="F4643">
        <v>1</v>
      </c>
      <c r="G4643" t="s">
        <v>176</v>
      </c>
      <c r="H4643">
        <v>0</v>
      </c>
      <c r="I4643">
        <v>1</v>
      </c>
      <c r="J4643" s="10">
        <v>4</v>
      </c>
      <c r="K4643" s="10">
        <f>SUMIFS(F:F,D:D,DST_123_ÜRETİM_İHTİYAÇ_RAPORU_BURAK_YENI1309[[#This Row],[ALT_KOD]])-(SUMIFS(H:H,D:D,DST_123_ÜRETİM_İHTİYAÇ_RAPORU_BURAK_YENI1309[[#This Row],[ALT_KOD]])+AVERAGEIFS(I:I,D:D,DST_123_ÜRETİM_İHTİYAÇ_RAPORU_BURAK_YENI1309[[#This Row],[ALT_KOD]])+AVERAGEIFS(L:L,D:D,DST_123_ÜRETİM_İHTİYAÇ_RAPORU_BURAK_YENI1309[[#This Row],[ALT_KOD]]))</f>
        <v>13</v>
      </c>
      <c r="L4643">
        <v>0</v>
      </c>
      <c r="M4643">
        <f>IF((DST_123_ÜRETİM_İHTİYAÇ_RAPORU_BURAK_YENI1309[[#This Row],[SATINALMA]]*DST_123_ÜRETİM_İHTİYAÇ_RAPORU_BURAK_YENI1309[[#This Row],[BIRIM_FIYATLAR]])&lt;1,VALUE("0"),DST_123_ÜRETİM_İHTİYAÇ_RAPORU_BURAK_YENI1309[[#This Row],[SATINALMA]]*DST_123_ÜRETİM_İHTİYAÇ_RAPORU_BURAK_YENI1309[[#This Row],[BIRIM_FIYATLAR]])</f>
        <v>168880.14</v>
      </c>
      <c r="N4643">
        <v>12990.78</v>
      </c>
      <c r="O4643" t="s">
        <v>589</v>
      </c>
      <c r="P4643">
        <v>12990.78</v>
      </c>
      <c r="Q4643" t="s">
        <v>177</v>
      </c>
    </row>
    <row r="4644" spans="1:17" x14ac:dyDescent="0.25">
      <c r="A4644" t="s">
        <v>1148</v>
      </c>
      <c r="B4644" t="s">
        <v>1056</v>
      </c>
      <c r="C4644" t="s">
        <v>175</v>
      </c>
      <c r="D4644" t="s">
        <v>1171</v>
      </c>
      <c r="E4644" t="s">
        <v>1172</v>
      </c>
      <c r="F4644">
        <v>20</v>
      </c>
      <c r="G4644" t="s">
        <v>185</v>
      </c>
      <c r="H4644">
        <v>0</v>
      </c>
      <c r="I4644">
        <v>0</v>
      </c>
      <c r="J4644" s="10">
        <v>21</v>
      </c>
      <c r="K4644" s="10">
        <f>SUMIFS(F:F,D:D,DST_123_ÜRETİM_İHTİYAÇ_RAPORU_BURAK_YENI1309[[#This Row],[ALT_KOD]])-(SUMIFS(H:H,D:D,DST_123_ÜRETİM_İHTİYAÇ_RAPORU_BURAK_YENI1309[[#This Row],[ALT_KOD]])+AVERAGEIFS(I:I,D:D,DST_123_ÜRETİM_İHTİYAÇ_RAPORU_BURAK_YENI1309[[#This Row],[ALT_KOD]])+AVERAGEIFS(L:L,D:D,DST_123_ÜRETİM_İHTİYAÇ_RAPORU_BURAK_YENI1309[[#This Row],[ALT_KOD]]))</f>
        <v>20</v>
      </c>
      <c r="L4644">
        <v>0</v>
      </c>
      <c r="M4644">
        <f>IF((DST_123_ÜRETİM_İHTİYAÇ_RAPORU_BURAK_YENI1309[[#This Row],[SATINALMA]]*DST_123_ÜRETİM_İHTİYAÇ_RAPORU_BURAK_YENI1309[[#This Row],[BIRIM_FIYATLAR]])&lt;1,VALUE("0"),DST_123_ÜRETİM_İHTİYAÇ_RAPORU_BURAK_YENI1309[[#This Row],[SATINALMA]]*DST_123_ÜRETİM_İHTİYAÇ_RAPORU_BURAK_YENI1309[[#This Row],[BIRIM_FIYATLAR]])</f>
        <v>21958</v>
      </c>
      <c r="N4644">
        <v>1097.9000000000001</v>
      </c>
      <c r="O4644" t="s">
        <v>648</v>
      </c>
      <c r="P4644">
        <v>21958</v>
      </c>
      <c r="Q4644" t="s">
        <v>183</v>
      </c>
    </row>
    <row r="4645" spans="1:17" x14ac:dyDescent="0.25">
      <c r="A4645" t="s">
        <v>1179</v>
      </c>
      <c r="B4645" t="s">
        <v>1180</v>
      </c>
      <c r="C4645" t="s">
        <v>175</v>
      </c>
      <c r="D4645" t="s">
        <v>879</v>
      </c>
      <c r="E4645" t="s">
        <v>880</v>
      </c>
      <c r="F4645">
        <v>1</v>
      </c>
      <c r="G4645" t="s">
        <v>176</v>
      </c>
      <c r="H4645">
        <v>1</v>
      </c>
      <c r="I4645">
        <v>9</v>
      </c>
      <c r="J4645" s="10">
        <v>8</v>
      </c>
      <c r="K4645" s="10">
        <f>SUMIFS(F:F,D:D,DST_123_ÜRETİM_İHTİYAÇ_RAPORU_BURAK_YENI1309[[#This Row],[ALT_KOD]])-(SUMIFS(H:H,D:D,DST_123_ÜRETİM_İHTİYAÇ_RAPORU_BURAK_YENI1309[[#This Row],[ALT_KOD]])+AVERAGEIFS(I:I,D:D,DST_123_ÜRETİM_İHTİYAÇ_RAPORU_BURAK_YENI1309[[#This Row],[ALT_KOD]])+AVERAGEIFS(L:L,D:D,DST_123_ÜRETİM_İHTİYAÇ_RAPORU_BURAK_YENI1309[[#This Row],[ALT_KOD]]))</f>
        <v>-12</v>
      </c>
      <c r="L4645">
        <v>15</v>
      </c>
      <c r="M4645">
        <f>IF((DST_123_ÜRETİM_İHTİYAÇ_RAPORU_BURAK_YENI1309[[#This Row],[SATINALMA]]*DST_123_ÜRETİM_İHTİYAÇ_RAPORU_BURAK_YENI1309[[#This Row],[BIRIM_FIYATLAR]])&lt;1,VALUE("0"),DST_123_ÜRETİM_İHTİYAÇ_RAPORU_BURAK_YENI1309[[#This Row],[SATINALMA]]*DST_123_ÜRETİM_İHTİYAÇ_RAPORU_BURAK_YENI1309[[#This Row],[BIRIM_FIYATLAR]])</f>
        <v>0</v>
      </c>
      <c r="N4645">
        <v>776.15</v>
      </c>
      <c r="O4645" t="s">
        <v>881</v>
      </c>
      <c r="P4645">
        <v>776.15</v>
      </c>
      <c r="Q4645" t="s">
        <v>221</v>
      </c>
    </row>
    <row r="4646" spans="1:17" x14ac:dyDescent="0.25">
      <c r="A4646" t="s">
        <v>1100</v>
      </c>
      <c r="B4646" t="s">
        <v>1058</v>
      </c>
      <c r="C4646" t="s">
        <v>175</v>
      </c>
      <c r="D4646" t="s">
        <v>967</v>
      </c>
      <c r="E4646" t="s">
        <v>968</v>
      </c>
      <c r="F4646">
        <v>1</v>
      </c>
      <c r="G4646" t="s">
        <v>176</v>
      </c>
      <c r="H4646">
        <v>0</v>
      </c>
      <c r="I4646">
        <v>2</v>
      </c>
      <c r="J4646" s="10">
        <v>3.5527136788005009E-15</v>
      </c>
      <c r="K4646" s="10">
        <f>SUMIFS(F:F,D:D,DST_123_ÜRETİM_İHTİYAÇ_RAPORU_BURAK_YENI1309[[#This Row],[ALT_KOD]])-(SUMIFS(H:H,D:D,DST_123_ÜRETİM_İHTİYAÇ_RAPORU_BURAK_YENI1309[[#This Row],[ALT_KOD]])+AVERAGEIFS(I:I,D:D,DST_123_ÜRETİM_İHTİYAÇ_RAPORU_BURAK_YENI1309[[#This Row],[ALT_KOD]])+AVERAGEIFS(L:L,D:D,DST_123_ÜRETİM_İHTİYAÇ_RAPORU_BURAK_YENI1309[[#This Row],[ALT_KOD]]))</f>
        <v>1</v>
      </c>
      <c r="L4646">
        <v>0</v>
      </c>
      <c r="M4646">
        <f>IF((DST_123_ÜRETİM_İHTİYAÇ_RAPORU_BURAK_YENI1309[[#This Row],[SATINALMA]]*DST_123_ÜRETİM_İHTİYAÇ_RAPORU_BURAK_YENI1309[[#This Row],[BIRIM_FIYATLAR]])&lt;1,VALUE("0"),DST_123_ÜRETİM_İHTİYAÇ_RAPORU_BURAK_YENI1309[[#This Row],[SATINALMA]]*DST_123_ÜRETİM_İHTİYAÇ_RAPORU_BURAK_YENI1309[[#This Row],[BIRIM_FIYATLAR]])</f>
        <v>155</v>
      </c>
      <c r="N4646">
        <v>155</v>
      </c>
      <c r="O4646" t="s">
        <v>969</v>
      </c>
      <c r="P4646">
        <v>155</v>
      </c>
      <c r="Q4646" t="s">
        <v>180</v>
      </c>
    </row>
    <row r="4647" spans="1:17" x14ac:dyDescent="0.25">
      <c r="A4647" t="s">
        <v>1147</v>
      </c>
      <c r="B4647" t="s">
        <v>1145</v>
      </c>
      <c r="C4647" t="s">
        <v>175</v>
      </c>
      <c r="D4647" t="s">
        <v>569</v>
      </c>
      <c r="E4647" t="s">
        <v>570</v>
      </c>
      <c r="F4647">
        <v>7</v>
      </c>
      <c r="G4647" t="s">
        <v>176</v>
      </c>
      <c r="H4647">
        <v>0</v>
      </c>
      <c r="I4647">
        <v>1000</v>
      </c>
      <c r="J4647" s="10">
        <v>1222</v>
      </c>
      <c r="K4647" s="10">
        <f>SUMIFS(F:F,D:D,DST_123_ÜRETİM_İHTİYAÇ_RAPORU_BURAK_YENI1309[[#This Row],[ALT_KOD]])-(SUMIFS(H:H,D:D,DST_123_ÜRETİM_İHTİYAÇ_RAPORU_BURAK_YENI1309[[#This Row],[ALT_KOD]])+AVERAGEIFS(I:I,D:D,DST_123_ÜRETİM_İHTİYAÇ_RAPORU_BURAK_YENI1309[[#This Row],[ALT_KOD]])+AVERAGEIFS(L:L,D:D,DST_123_ÜRETİM_İHTİYAÇ_RAPORU_BURAK_YENI1309[[#This Row],[ALT_KOD]]))</f>
        <v>-903</v>
      </c>
      <c r="L4647">
        <v>0</v>
      </c>
      <c r="M4647">
        <f>IF((DST_123_ÜRETİM_İHTİYAÇ_RAPORU_BURAK_YENI1309[[#This Row],[SATINALMA]]*DST_123_ÜRETİM_İHTİYAÇ_RAPORU_BURAK_YENI1309[[#This Row],[BIRIM_FIYATLAR]])&lt;1,VALUE("0"),DST_123_ÜRETİM_İHTİYAÇ_RAPORU_BURAK_YENI1309[[#This Row],[SATINALMA]]*DST_123_ÜRETİM_İHTİYAÇ_RAPORU_BURAK_YENI1309[[#This Row],[BIRIM_FIYATLAR]])</f>
        <v>0</v>
      </c>
      <c r="N4647">
        <v>1.1399999999999999</v>
      </c>
      <c r="O4647" t="s">
        <v>882</v>
      </c>
      <c r="P4647">
        <v>7.9799999999999995</v>
      </c>
      <c r="Q4647" t="s">
        <v>180</v>
      </c>
    </row>
    <row r="4648" spans="1:17" x14ac:dyDescent="0.25">
      <c r="A4648" t="s">
        <v>1148</v>
      </c>
      <c r="B4648" t="s">
        <v>1056</v>
      </c>
      <c r="C4648" t="s">
        <v>175</v>
      </c>
      <c r="D4648" t="s">
        <v>569</v>
      </c>
      <c r="E4648" t="s">
        <v>570</v>
      </c>
      <c r="F4648">
        <v>4</v>
      </c>
      <c r="G4648" t="s">
        <v>176</v>
      </c>
      <c r="H4648">
        <v>0</v>
      </c>
      <c r="I4648">
        <v>1000</v>
      </c>
      <c r="J4648" s="10">
        <v>1222</v>
      </c>
      <c r="K4648" s="10">
        <f>SUMIFS(F:F,D:D,DST_123_ÜRETİM_İHTİYAÇ_RAPORU_BURAK_YENI1309[[#This Row],[ALT_KOD]])-(SUMIFS(H:H,D:D,DST_123_ÜRETİM_İHTİYAÇ_RAPORU_BURAK_YENI1309[[#This Row],[ALT_KOD]])+AVERAGEIFS(I:I,D:D,DST_123_ÜRETİM_İHTİYAÇ_RAPORU_BURAK_YENI1309[[#This Row],[ALT_KOD]])+AVERAGEIFS(L:L,D:D,DST_123_ÜRETİM_İHTİYAÇ_RAPORU_BURAK_YENI1309[[#This Row],[ALT_KOD]]))</f>
        <v>-903</v>
      </c>
      <c r="L4648">
        <v>0</v>
      </c>
      <c r="M4648">
        <f>IF((DST_123_ÜRETİM_İHTİYAÇ_RAPORU_BURAK_YENI1309[[#This Row],[SATINALMA]]*DST_123_ÜRETİM_İHTİYAÇ_RAPORU_BURAK_YENI1309[[#This Row],[BIRIM_FIYATLAR]])&lt;1,VALUE("0"),DST_123_ÜRETİM_İHTİYAÇ_RAPORU_BURAK_YENI1309[[#This Row],[SATINALMA]]*DST_123_ÜRETİM_İHTİYAÇ_RAPORU_BURAK_YENI1309[[#This Row],[BIRIM_FIYATLAR]])</f>
        <v>0</v>
      </c>
      <c r="N4648">
        <v>1.1399999999999999</v>
      </c>
      <c r="O4648" t="s">
        <v>882</v>
      </c>
      <c r="P4648">
        <v>4.5599999999999996</v>
      </c>
      <c r="Q4648" t="s">
        <v>180</v>
      </c>
    </row>
    <row r="4649" spans="1:17" x14ac:dyDescent="0.25">
      <c r="A4649" t="s">
        <v>1147</v>
      </c>
      <c r="B4649" t="s">
        <v>1145</v>
      </c>
      <c r="C4649" t="s">
        <v>175</v>
      </c>
      <c r="D4649" t="s">
        <v>779</v>
      </c>
      <c r="E4649" t="s">
        <v>780</v>
      </c>
      <c r="F4649">
        <v>2</v>
      </c>
      <c r="G4649" t="s">
        <v>176</v>
      </c>
      <c r="H4649">
        <v>0</v>
      </c>
      <c r="I4649">
        <v>1</v>
      </c>
      <c r="J4649" s="10">
        <v>14</v>
      </c>
      <c r="K4649" s="10">
        <f>SUMIFS(F:F,D:D,DST_123_ÜRETİM_İHTİYAÇ_RAPORU_BURAK_YENI1309[[#This Row],[ALT_KOD]])-(SUMIFS(H:H,D:D,DST_123_ÜRETİM_İHTİYAÇ_RAPORU_BURAK_YENI1309[[#This Row],[ALT_KOD]])+AVERAGEIFS(I:I,D:D,DST_123_ÜRETİM_İHTİYAÇ_RAPORU_BURAK_YENI1309[[#This Row],[ALT_KOD]])+AVERAGEIFS(L:L,D:D,DST_123_ÜRETİM_İHTİYAÇ_RAPORU_BURAK_YENI1309[[#This Row],[ALT_KOD]]))</f>
        <v>25</v>
      </c>
      <c r="L4649">
        <v>0</v>
      </c>
      <c r="M4649">
        <f>IF((DST_123_ÜRETİM_İHTİYAÇ_RAPORU_BURAK_YENI1309[[#This Row],[SATINALMA]]*DST_123_ÜRETİM_İHTİYAÇ_RAPORU_BURAK_YENI1309[[#This Row],[BIRIM_FIYATLAR]])&lt;1,VALUE("0"),DST_123_ÜRETİM_İHTİYAÇ_RAPORU_BURAK_YENI1309[[#This Row],[SATINALMA]]*DST_123_ÜRETİM_İHTİYAÇ_RAPORU_BURAK_YENI1309[[#This Row],[BIRIM_FIYATLAR]])</f>
        <v>11103.25</v>
      </c>
      <c r="N4649">
        <v>444.13</v>
      </c>
      <c r="O4649" t="s">
        <v>589</v>
      </c>
      <c r="P4649">
        <v>888.26</v>
      </c>
      <c r="Q4649" t="s">
        <v>177</v>
      </c>
    </row>
    <row r="4650" spans="1:17" x14ac:dyDescent="0.25">
      <c r="A4650" t="s">
        <v>1148</v>
      </c>
      <c r="B4650" t="s">
        <v>1056</v>
      </c>
      <c r="C4650" t="s">
        <v>175</v>
      </c>
      <c r="D4650" t="s">
        <v>718</v>
      </c>
      <c r="E4650" t="s">
        <v>719</v>
      </c>
      <c r="F4650">
        <v>1</v>
      </c>
      <c r="G4650" t="s">
        <v>176</v>
      </c>
      <c r="H4650">
        <v>0</v>
      </c>
      <c r="I4650">
        <v>1</v>
      </c>
      <c r="J4650" s="10">
        <v>4</v>
      </c>
      <c r="K4650" s="10">
        <f>SUMIFS(F:F,D:D,DST_123_ÜRETİM_İHTİYAÇ_RAPORU_BURAK_YENI1309[[#This Row],[ALT_KOD]])-(SUMIFS(H:H,D:D,DST_123_ÜRETİM_İHTİYAÇ_RAPORU_BURAK_YENI1309[[#This Row],[ALT_KOD]])+AVERAGEIFS(I:I,D:D,DST_123_ÜRETİM_İHTİYAÇ_RAPORU_BURAK_YENI1309[[#This Row],[ALT_KOD]])+AVERAGEIFS(L:L,D:D,DST_123_ÜRETİM_İHTİYAÇ_RAPORU_BURAK_YENI1309[[#This Row],[ALT_KOD]]))</f>
        <v>13</v>
      </c>
      <c r="L4650">
        <v>0</v>
      </c>
      <c r="M4650">
        <f>IF((DST_123_ÜRETİM_İHTİYAÇ_RAPORU_BURAK_YENI1309[[#This Row],[SATINALMA]]*DST_123_ÜRETİM_İHTİYAÇ_RAPORU_BURAK_YENI1309[[#This Row],[BIRIM_FIYATLAR]])&lt;1,VALUE("0"),DST_123_ÜRETİM_İHTİYAÇ_RAPORU_BURAK_YENI1309[[#This Row],[SATINALMA]]*DST_123_ÜRETİM_İHTİYAÇ_RAPORU_BURAK_YENI1309[[#This Row],[BIRIM_FIYATLAR]])</f>
        <v>168880.14</v>
      </c>
      <c r="N4650">
        <v>12990.78</v>
      </c>
      <c r="O4650" t="s">
        <v>589</v>
      </c>
      <c r="P4650">
        <v>12990.78</v>
      </c>
      <c r="Q4650" t="s">
        <v>177</v>
      </c>
    </row>
    <row r="4651" spans="1:17" x14ac:dyDescent="0.25">
      <c r="A4651" t="s">
        <v>1060</v>
      </c>
      <c r="B4651" t="s">
        <v>1061</v>
      </c>
      <c r="C4651" t="s">
        <v>175</v>
      </c>
      <c r="D4651" t="s">
        <v>879</v>
      </c>
      <c r="E4651" t="s">
        <v>880</v>
      </c>
      <c r="F4651">
        <v>1</v>
      </c>
      <c r="G4651" t="s">
        <v>176</v>
      </c>
      <c r="H4651">
        <v>1</v>
      </c>
      <c r="I4651">
        <v>9</v>
      </c>
      <c r="J4651" s="10">
        <v>8</v>
      </c>
      <c r="K4651" s="10">
        <f>SUMIFS(F:F,D:D,DST_123_ÜRETİM_İHTİYAÇ_RAPORU_BURAK_YENI1309[[#This Row],[ALT_KOD]])-(SUMIFS(H:H,D:D,DST_123_ÜRETİM_İHTİYAÇ_RAPORU_BURAK_YENI1309[[#This Row],[ALT_KOD]])+AVERAGEIFS(I:I,D:D,DST_123_ÜRETİM_İHTİYAÇ_RAPORU_BURAK_YENI1309[[#This Row],[ALT_KOD]])+AVERAGEIFS(L:L,D:D,DST_123_ÜRETİM_İHTİYAÇ_RAPORU_BURAK_YENI1309[[#This Row],[ALT_KOD]]))</f>
        <v>-12</v>
      </c>
      <c r="L4651">
        <v>15</v>
      </c>
      <c r="M4651">
        <f>IF((DST_123_ÜRETİM_İHTİYAÇ_RAPORU_BURAK_YENI1309[[#This Row],[SATINALMA]]*DST_123_ÜRETİM_İHTİYAÇ_RAPORU_BURAK_YENI1309[[#This Row],[BIRIM_FIYATLAR]])&lt;1,VALUE("0"),DST_123_ÜRETİM_İHTİYAÇ_RAPORU_BURAK_YENI1309[[#This Row],[SATINALMA]]*DST_123_ÜRETİM_İHTİYAÇ_RAPORU_BURAK_YENI1309[[#This Row],[BIRIM_FIYATLAR]])</f>
        <v>0</v>
      </c>
      <c r="N4651">
        <v>776.15</v>
      </c>
      <c r="O4651" t="s">
        <v>881</v>
      </c>
      <c r="P4651">
        <v>776.15</v>
      </c>
      <c r="Q4651" t="s">
        <v>221</v>
      </c>
    </row>
    <row r="4652" spans="1:17" x14ac:dyDescent="0.25">
      <c r="A4652" t="s">
        <v>1147</v>
      </c>
      <c r="B4652" t="s">
        <v>1145</v>
      </c>
      <c r="C4652" t="s">
        <v>175</v>
      </c>
      <c r="D4652" t="s">
        <v>1175</v>
      </c>
      <c r="E4652" t="s">
        <v>1176</v>
      </c>
      <c r="F4652">
        <v>2</v>
      </c>
      <c r="G4652" t="s">
        <v>176</v>
      </c>
      <c r="H4652">
        <v>0</v>
      </c>
      <c r="I4652">
        <v>500</v>
      </c>
      <c r="J4652" s="10">
        <v>500</v>
      </c>
      <c r="K4652" s="10">
        <f>SUMIFS(F:F,D:D,DST_123_ÜRETİM_İHTİYAÇ_RAPORU_BURAK_YENI1309[[#This Row],[ALT_KOD]])-(SUMIFS(H:H,D:D,DST_123_ÜRETİM_İHTİYAÇ_RAPORU_BURAK_YENI1309[[#This Row],[ALT_KOD]])+AVERAGEIFS(I:I,D:D,DST_123_ÜRETİM_İHTİYAÇ_RAPORU_BURAK_YENI1309[[#This Row],[ALT_KOD]])+AVERAGEIFS(L:L,D:D,DST_123_ÜRETİM_İHTİYAÇ_RAPORU_BURAK_YENI1309[[#This Row],[ALT_KOD]]))</f>
        <v>-486</v>
      </c>
      <c r="L4652">
        <v>0</v>
      </c>
      <c r="M4652">
        <f>IF((DST_123_ÜRETİM_İHTİYAÇ_RAPORU_BURAK_YENI1309[[#This Row],[SATINALMA]]*DST_123_ÜRETİM_İHTİYAÇ_RAPORU_BURAK_YENI1309[[#This Row],[BIRIM_FIYATLAR]])&lt;1,VALUE("0"),DST_123_ÜRETİM_İHTİYAÇ_RAPORU_BURAK_YENI1309[[#This Row],[SATINALMA]]*DST_123_ÜRETİM_İHTİYAÇ_RAPORU_BURAK_YENI1309[[#This Row],[BIRIM_FIYATLAR]])</f>
        <v>0</v>
      </c>
      <c r="N4652">
        <v>0.65</v>
      </c>
      <c r="O4652" t="s">
        <v>826</v>
      </c>
      <c r="P4652">
        <v>1.3</v>
      </c>
      <c r="Q4652" t="s">
        <v>221</v>
      </c>
    </row>
    <row r="4653" spans="1:17" x14ac:dyDescent="0.25">
      <c r="A4653" t="s">
        <v>1147</v>
      </c>
      <c r="B4653" t="s">
        <v>1145</v>
      </c>
      <c r="C4653" t="s">
        <v>175</v>
      </c>
      <c r="D4653" t="s">
        <v>1177</v>
      </c>
      <c r="E4653" t="s">
        <v>1178</v>
      </c>
      <c r="F4653">
        <v>2</v>
      </c>
      <c r="G4653" t="s">
        <v>176</v>
      </c>
      <c r="H4653">
        <v>0</v>
      </c>
      <c r="I4653">
        <v>500</v>
      </c>
      <c r="J4653" s="10">
        <v>500</v>
      </c>
      <c r="K4653" s="10">
        <f>SUMIFS(F:F,D:D,DST_123_ÜRETİM_İHTİYAÇ_RAPORU_BURAK_YENI1309[[#This Row],[ALT_KOD]])-(SUMIFS(H:H,D:D,DST_123_ÜRETİM_İHTİYAÇ_RAPORU_BURAK_YENI1309[[#This Row],[ALT_KOD]])+AVERAGEIFS(I:I,D:D,DST_123_ÜRETİM_İHTİYAÇ_RAPORU_BURAK_YENI1309[[#This Row],[ALT_KOD]])+AVERAGEIFS(L:L,D:D,DST_123_ÜRETİM_İHTİYAÇ_RAPORU_BURAK_YENI1309[[#This Row],[ALT_KOD]]))</f>
        <v>-486</v>
      </c>
      <c r="L4653">
        <v>0</v>
      </c>
      <c r="M4653">
        <f>IF((DST_123_ÜRETİM_İHTİYAÇ_RAPORU_BURAK_YENI1309[[#This Row],[SATINALMA]]*DST_123_ÜRETİM_İHTİYAÇ_RAPORU_BURAK_YENI1309[[#This Row],[BIRIM_FIYATLAR]])&lt;1,VALUE("0"),DST_123_ÜRETİM_İHTİYAÇ_RAPORU_BURAK_YENI1309[[#This Row],[SATINALMA]]*DST_123_ÜRETİM_İHTİYAÇ_RAPORU_BURAK_YENI1309[[#This Row],[BIRIM_FIYATLAR]])</f>
        <v>0</v>
      </c>
      <c r="N4653">
        <v>0.39</v>
      </c>
      <c r="O4653" t="s">
        <v>826</v>
      </c>
      <c r="P4653">
        <v>0.78</v>
      </c>
      <c r="Q4653" t="s">
        <v>221</v>
      </c>
    </row>
    <row r="4654" spans="1:17" x14ac:dyDescent="0.25">
      <c r="A4654" t="s">
        <v>1057</v>
      </c>
      <c r="B4654" t="s">
        <v>1058</v>
      </c>
      <c r="C4654" t="s">
        <v>175</v>
      </c>
      <c r="D4654" t="s">
        <v>271</v>
      </c>
      <c r="E4654" t="s">
        <v>620</v>
      </c>
      <c r="F4654">
        <v>1</v>
      </c>
      <c r="G4654" t="s">
        <v>176</v>
      </c>
      <c r="H4654">
        <v>0</v>
      </c>
      <c r="I4654">
        <v>8</v>
      </c>
      <c r="J4654" s="10">
        <v>4</v>
      </c>
      <c r="K4654" s="10">
        <f>SUMIFS(F:F,D:D,DST_123_ÜRETİM_İHTİYAÇ_RAPORU_BURAK_YENI1309[[#This Row],[ALT_KOD]])-(SUMIFS(H:H,D:D,DST_123_ÜRETİM_İHTİYAÇ_RAPORU_BURAK_YENI1309[[#This Row],[ALT_KOD]])+AVERAGEIFS(I:I,D:D,DST_123_ÜRETİM_İHTİYAÇ_RAPORU_BURAK_YENI1309[[#This Row],[ALT_KOD]])+AVERAGEIFS(L:L,D:D,DST_123_ÜRETİM_İHTİYAÇ_RAPORU_BURAK_YENI1309[[#This Row],[ALT_KOD]]))</f>
        <v>-1</v>
      </c>
      <c r="L4654">
        <v>0</v>
      </c>
      <c r="M4654">
        <f>IF((DST_123_ÜRETİM_İHTİYAÇ_RAPORU_BURAK_YENI1309[[#This Row],[SATINALMA]]*DST_123_ÜRETİM_İHTİYAÇ_RAPORU_BURAK_YENI1309[[#This Row],[BIRIM_FIYATLAR]])&lt;1,VALUE("0"),DST_123_ÜRETİM_İHTİYAÇ_RAPORU_BURAK_YENI1309[[#This Row],[SATINALMA]]*DST_123_ÜRETİM_İHTİYAÇ_RAPORU_BURAK_YENI1309[[#This Row],[BIRIM_FIYATLAR]])</f>
        <v>0</v>
      </c>
      <c r="N4654">
        <v>1723.79</v>
      </c>
      <c r="O4654" t="s">
        <v>636</v>
      </c>
      <c r="P4654">
        <v>1723.79</v>
      </c>
      <c r="Q4654" t="s">
        <v>178</v>
      </c>
    </row>
    <row r="4655" spans="1:17" x14ac:dyDescent="0.25">
      <c r="A4655" t="s">
        <v>1149</v>
      </c>
      <c r="B4655" t="s">
        <v>1145</v>
      </c>
      <c r="C4655" t="s">
        <v>175</v>
      </c>
      <c r="D4655" t="s">
        <v>236</v>
      </c>
      <c r="E4655" t="s">
        <v>305</v>
      </c>
      <c r="F4655">
        <v>2</v>
      </c>
      <c r="G4655" t="s">
        <v>176</v>
      </c>
      <c r="H4655">
        <v>0</v>
      </c>
      <c r="I4655">
        <v>452</v>
      </c>
      <c r="J4655" s="10">
        <v>25</v>
      </c>
      <c r="K4655" s="10">
        <f>SUMIFS(F:F,D:D,DST_123_ÜRETİM_İHTİYAÇ_RAPORU_BURAK_YENI1309[[#This Row],[ALT_KOD]])-(SUMIFS(H:H,D:D,DST_123_ÜRETİM_İHTİYAÇ_RAPORU_BURAK_YENI1309[[#This Row],[ALT_KOD]])+AVERAGEIFS(I:I,D:D,DST_123_ÜRETİM_İHTİYAÇ_RAPORU_BURAK_YENI1309[[#This Row],[ALT_KOD]])+AVERAGEIFS(L:L,D:D,DST_123_ÜRETİM_İHTİYAÇ_RAPORU_BURAK_YENI1309[[#This Row],[ALT_KOD]]))</f>
        <v>-428</v>
      </c>
      <c r="L4655">
        <v>0</v>
      </c>
      <c r="M4655">
        <f>IF((DST_123_ÜRETİM_İHTİYAÇ_RAPORU_BURAK_YENI1309[[#This Row],[SATINALMA]]*DST_123_ÜRETİM_İHTİYAÇ_RAPORU_BURAK_YENI1309[[#This Row],[BIRIM_FIYATLAR]])&lt;1,VALUE("0"),DST_123_ÜRETİM_İHTİYAÇ_RAPORU_BURAK_YENI1309[[#This Row],[SATINALMA]]*DST_123_ÜRETİM_İHTİYAÇ_RAPORU_BURAK_YENI1309[[#This Row],[BIRIM_FIYATLAR]])</f>
        <v>0</v>
      </c>
      <c r="N4655">
        <v>20</v>
      </c>
      <c r="P4655">
        <v>40</v>
      </c>
      <c r="Q4655" t="s">
        <v>221</v>
      </c>
    </row>
    <row r="4656" spans="1:17" x14ac:dyDescent="0.25">
      <c r="A4656" t="s">
        <v>1150</v>
      </c>
      <c r="B4656" t="s">
        <v>1145</v>
      </c>
      <c r="C4656" t="s">
        <v>175</v>
      </c>
      <c r="D4656" t="s">
        <v>347</v>
      </c>
      <c r="E4656" t="s">
        <v>348</v>
      </c>
      <c r="F4656">
        <v>0.1</v>
      </c>
      <c r="G4656" t="s">
        <v>176</v>
      </c>
      <c r="H4656">
        <v>0</v>
      </c>
      <c r="I4656">
        <v>2</v>
      </c>
      <c r="J4656" s="10">
        <v>-6.3837823915946501E-16</v>
      </c>
      <c r="K4656" s="10">
        <f>SUMIFS(F:F,D:D,DST_123_ÜRETİM_İHTİYAÇ_RAPORU_BURAK_YENI1309[[#This Row],[ALT_KOD]])-(SUMIFS(H:H,D:D,DST_123_ÜRETİM_İHTİYAÇ_RAPORU_BURAK_YENI1309[[#This Row],[ALT_KOD]])+AVERAGEIFS(I:I,D:D,DST_123_ÜRETİM_İHTİYAÇ_RAPORU_BURAK_YENI1309[[#This Row],[ALT_KOD]])+AVERAGEIFS(L:L,D:D,DST_123_ÜRETİM_İHTİYAÇ_RAPORU_BURAK_YENI1309[[#This Row],[ALT_KOD]]))</f>
        <v>1.4000000000000004</v>
      </c>
      <c r="L4656">
        <v>0</v>
      </c>
      <c r="M4656">
        <f>IF((DST_123_ÜRETİM_İHTİYAÇ_RAPORU_BURAK_YENI1309[[#This Row],[SATINALMA]]*DST_123_ÜRETİM_İHTİYAÇ_RAPORU_BURAK_YENI1309[[#This Row],[BIRIM_FIYATLAR]])&lt;1,VALUE("0"),DST_123_ÜRETİM_İHTİYAÇ_RAPORU_BURAK_YENI1309[[#This Row],[SATINALMA]]*DST_123_ÜRETİM_İHTİYAÇ_RAPORU_BURAK_YENI1309[[#This Row],[BIRIM_FIYATLAR]])</f>
        <v>3889.2000000000012</v>
      </c>
      <c r="N4656">
        <v>2778</v>
      </c>
      <c r="O4656" t="s">
        <v>217</v>
      </c>
      <c r="P4656">
        <v>277.8</v>
      </c>
      <c r="Q4656" t="s">
        <v>183</v>
      </c>
    </row>
    <row r="4657" spans="1:17" x14ac:dyDescent="0.25">
      <c r="A4657" t="s">
        <v>1060</v>
      </c>
      <c r="B4657" t="s">
        <v>1061</v>
      </c>
      <c r="C4657" t="s">
        <v>175</v>
      </c>
      <c r="D4657" t="s">
        <v>720</v>
      </c>
      <c r="E4657" t="s">
        <v>721</v>
      </c>
      <c r="F4657">
        <v>2</v>
      </c>
      <c r="G4657" t="s">
        <v>176</v>
      </c>
      <c r="H4657">
        <v>0</v>
      </c>
      <c r="I4657">
        <v>200</v>
      </c>
      <c r="J4657" s="10">
        <v>88</v>
      </c>
      <c r="K4657" s="10">
        <f>SUMIFS(F:F,D:D,DST_123_ÜRETİM_İHTİYAÇ_RAPORU_BURAK_YENI1309[[#This Row],[ALT_KOD]])-(SUMIFS(H:H,D:D,DST_123_ÜRETİM_İHTİYAÇ_RAPORU_BURAK_YENI1309[[#This Row],[ALT_KOD]])+AVERAGEIFS(I:I,D:D,DST_123_ÜRETİM_İHTİYAÇ_RAPORU_BURAK_YENI1309[[#This Row],[ALT_KOD]])+AVERAGEIFS(L:L,D:D,DST_123_ÜRETİM_İHTİYAÇ_RAPORU_BURAK_YENI1309[[#This Row],[ALT_KOD]]))</f>
        <v>-190</v>
      </c>
      <c r="L4657">
        <v>0</v>
      </c>
      <c r="M4657">
        <f>IF((DST_123_ÜRETİM_İHTİYAÇ_RAPORU_BURAK_YENI1309[[#This Row],[SATINALMA]]*DST_123_ÜRETİM_İHTİYAÇ_RAPORU_BURAK_YENI1309[[#This Row],[BIRIM_FIYATLAR]])&lt;1,VALUE("0"),DST_123_ÜRETİM_İHTİYAÇ_RAPORU_BURAK_YENI1309[[#This Row],[SATINALMA]]*DST_123_ÜRETİM_İHTİYAÇ_RAPORU_BURAK_YENI1309[[#This Row],[BIRIM_FIYATLAR]])</f>
        <v>0</v>
      </c>
      <c r="N4657">
        <v>10</v>
      </c>
      <c r="O4657" t="s">
        <v>226</v>
      </c>
      <c r="P4657">
        <v>20</v>
      </c>
      <c r="Q4657" t="s">
        <v>180</v>
      </c>
    </row>
    <row r="4658" spans="1:17" x14ac:dyDescent="0.25">
      <c r="A4658" t="s">
        <v>1057</v>
      </c>
      <c r="B4658" t="s">
        <v>1058</v>
      </c>
      <c r="C4658" t="s">
        <v>175</v>
      </c>
      <c r="D4658" t="s">
        <v>720</v>
      </c>
      <c r="E4658" t="s">
        <v>721</v>
      </c>
      <c r="F4658">
        <v>2</v>
      </c>
      <c r="G4658" t="s">
        <v>176</v>
      </c>
      <c r="H4658">
        <v>0</v>
      </c>
      <c r="I4658">
        <v>200</v>
      </c>
      <c r="J4658" s="10">
        <v>88</v>
      </c>
      <c r="K4658" s="10">
        <f>SUMIFS(F:F,D:D,DST_123_ÜRETİM_İHTİYAÇ_RAPORU_BURAK_YENI1309[[#This Row],[ALT_KOD]])-(SUMIFS(H:H,D:D,DST_123_ÜRETİM_İHTİYAÇ_RAPORU_BURAK_YENI1309[[#This Row],[ALT_KOD]])+AVERAGEIFS(I:I,D:D,DST_123_ÜRETİM_İHTİYAÇ_RAPORU_BURAK_YENI1309[[#This Row],[ALT_KOD]])+AVERAGEIFS(L:L,D:D,DST_123_ÜRETİM_İHTİYAÇ_RAPORU_BURAK_YENI1309[[#This Row],[ALT_KOD]]))</f>
        <v>-190</v>
      </c>
      <c r="L4658">
        <v>0</v>
      </c>
      <c r="M4658">
        <f>IF((DST_123_ÜRETİM_İHTİYAÇ_RAPORU_BURAK_YENI1309[[#This Row],[SATINALMA]]*DST_123_ÜRETİM_İHTİYAÇ_RAPORU_BURAK_YENI1309[[#This Row],[BIRIM_FIYATLAR]])&lt;1,VALUE("0"),DST_123_ÜRETİM_İHTİYAÇ_RAPORU_BURAK_YENI1309[[#This Row],[SATINALMA]]*DST_123_ÜRETİM_İHTİYAÇ_RAPORU_BURAK_YENI1309[[#This Row],[BIRIM_FIYATLAR]])</f>
        <v>0</v>
      </c>
      <c r="N4658">
        <v>10</v>
      </c>
      <c r="O4658" t="s">
        <v>226</v>
      </c>
      <c r="P4658">
        <v>20</v>
      </c>
      <c r="Q4658" t="s">
        <v>180</v>
      </c>
    </row>
    <row r="4659" spans="1:17" x14ac:dyDescent="0.25">
      <c r="A4659" t="s">
        <v>1100</v>
      </c>
      <c r="B4659" t="s">
        <v>1058</v>
      </c>
      <c r="C4659" t="s">
        <v>175</v>
      </c>
      <c r="D4659" t="s">
        <v>720</v>
      </c>
      <c r="E4659" t="s">
        <v>721</v>
      </c>
      <c r="F4659">
        <v>2</v>
      </c>
      <c r="G4659" t="s">
        <v>176</v>
      </c>
      <c r="H4659">
        <v>0</v>
      </c>
      <c r="I4659">
        <v>200</v>
      </c>
      <c r="J4659" s="10">
        <v>88</v>
      </c>
      <c r="K4659" s="10">
        <f>SUMIFS(F:F,D:D,DST_123_ÜRETİM_İHTİYAÇ_RAPORU_BURAK_YENI1309[[#This Row],[ALT_KOD]])-(SUMIFS(H:H,D:D,DST_123_ÜRETİM_İHTİYAÇ_RAPORU_BURAK_YENI1309[[#This Row],[ALT_KOD]])+AVERAGEIFS(I:I,D:D,DST_123_ÜRETİM_İHTİYAÇ_RAPORU_BURAK_YENI1309[[#This Row],[ALT_KOD]])+AVERAGEIFS(L:L,D:D,DST_123_ÜRETİM_İHTİYAÇ_RAPORU_BURAK_YENI1309[[#This Row],[ALT_KOD]]))</f>
        <v>-190</v>
      </c>
      <c r="L4659">
        <v>0</v>
      </c>
      <c r="M4659">
        <f>IF((DST_123_ÜRETİM_İHTİYAÇ_RAPORU_BURAK_YENI1309[[#This Row],[SATINALMA]]*DST_123_ÜRETİM_İHTİYAÇ_RAPORU_BURAK_YENI1309[[#This Row],[BIRIM_FIYATLAR]])&lt;1,VALUE("0"),DST_123_ÜRETİM_İHTİYAÇ_RAPORU_BURAK_YENI1309[[#This Row],[SATINALMA]]*DST_123_ÜRETİM_İHTİYAÇ_RAPORU_BURAK_YENI1309[[#This Row],[BIRIM_FIYATLAR]])</f>
        <v>0</v>
      </c>
      <c r="N4659">
        <v>10</v>
      </c>
      <c r="O4659" t="s">
        <v>226</v>
      </c>
      <c r="P4659">
        <v>20</v>
      </c>
      <c r="Q4659" t="s">
        <v>180</v>
      </c>
    </row>
    <row r="4660" spans="1:17" x14ac:dyDescent="0.25">
      <c r="A4660" t="s">
        <v>1060</v>
      </c>
      <c r="B4660" t="s">
        <v>1061</v>
      </c>
      <c r="C4660" t="s">
        <v>175</v>
      </c>
      <c r="D4660" t="s">
        <v>347</v>
      </c>
      <c r="E4660" t="s">
        <v>348</v>
      </c>
      <c r="F4660">
        <v>0.05</v>
      </c>
      <c r="G4660" t="s">
        <v>176</v>
      </c>
      <c r="H4660">
        <v>0</v>
      </c>
      <c r="I4660">
        <v>2</v>
      </c>
      <c r="J4660" s="10">
        <v>-6.3837823915946501E-16</v>
      </c>
      <c r="K4660" s="10">
        <f>SUMIFS(F:F,D:D,DST_123_ÜRETİM_İHTİYAÇ_RAPORU_BURAK_YENI1309[[#This Row],[ALT_KOD]])-(SUMIFS(H:H,D:D,DST_123_ÜRETİM_İHTİYAÇ_RAPORU_BURAK_YENI1309[[#This Row],[ALT_KOD]])+AVERAGEIFS(I:I,D:D,DST_123_ÜRETİM_İHTİYAÇ_RAPORU_BURAK_YENI1309[[#This Row],[ALT_KOD]])+AVERAGEIFS(L:L,D:D,DST_123_ÜRETİM_İHTİYAÇ_RAPORU_BURAK_YENI1309[[#This Row],[ALT_KOD]]))</f>
        <v>1.4000000000000004</v>
      </c>
      <c r="L4660">
        <v>0</v>
      </c>
      <c r="M4660">
        <f>IF((DST_123_ÜRETİM_İHTİYAÇ_RAPORU_BURAK_YENI1309[[#This Row],[SATINALMA]]*DST_123_ÜRETİM_İHTİYAÇ_RAPORU_BURAK_YENI1309[[#This Row],[BIRIM_FIYATLAR]])&lt;1,VALUE("0"),DST_123_ÜRETİM_İHTİYAÇ_RAPORU_BURAK_YENI1309[[#This Row],[SATINALMA]]*DST_123_ÜRETİM_İHTİYAÇ_RAPORU_BURAK_YENI1309[[#This Row],[BIRIM_FIYATLAR]])</f>
        <v>3889.2000000000012</v>
      </c>
      <c r="N4660">
        <v>2778</v>
      </c>
      <c r="O4660" t="s">
        <v>217</v>
      </c>
      <c r="P4660">
        <v>138.9</v>
      </c>
      <c r="Q4660" t="s">
        <v>183</v>
      </c>
    </row>
    <row r="4661" spans="1:17" x14ac:dyDescent="0.25">
      <c r="A4661" t="s">
        <v>1148</v>
      </c>
      <c r="B4661" t="s">
        <v>1056</v>
      </c>
      <c r="C4661" t="s">
        <v>175</v>
      </c>
      <c r="D4661" t="s">
        <v>347</v>
      </c>
      <c r="E4661" t="s">
        <v>348</v>
      </c>
      <c r="F4661">
        <v>0.1</v>
      </c>
      <c r="G4661" t="s">
        <v>176</v>
      </c>
      <c r="H4661">
        <v>0</v>
      </c>
      <c r="I4661">
        <v>2</v>
      </c>
      <c r="J4661" s="10">
        <v>-6.3837823915946501E-16</v>
      </c>
      <c r="K4661" s="10">
        <f>SUMIFS(F:F,D:D,DST_123_ÜRETİM_İHTİYAÇ_RAPORU_BURAK_YENI1309[[#This Row],[ALT_KOD]])-(SUMIFS(H:H,D:D,DST_123_ÜRETİM_İHTİYAÇ_RAPORU_BURAK_YENI1309[[#This Row],[ALT_KOD]])+AVERAGEIFS(I:I,D:D,DST_123_ÜRETİM_İHTİYAÇ_RAPORU_BURAK_YENI1309[[#This Row],[ALT_KOD]])+AVERAGEIFS(L:L,D:D,DST_123_ÜRETİM_İHTİYAÇ_RAPORU_BURAK_YENI1309[[#This Row],[ALT_KOD]]))</f>
        <v>1.4000000000000004</v>
      </c>
      <c r="L4661">
        <v>0</v>
      </c>
      <c r="M4661">
        <f>IF((DST_123_ÜRETİM_İHTİYAÇ_RAPORU_BURAK_YENI1309[[#This Row],[SATINALMA]]*DST_123_ÜRETİM_İHTİYAÇ_RAPORU_BURAK_YENI1309[[#This Row],[BIRIM_FIYATLAR]])&lt;1,VALUE("0"),DST_123_ÜRETİM_İHTİYAÇ_RAPORU_BURAK_YENI1309[[#This Row],[SATINALMA]]*DST_123_ÜRETİM_İHTİYAÇ_RAPORU_BURAK_YENI1309[[#This Row],[BIRIM_FIYATLAR]])</f>
        <v>3889.2000000000012</v>
      </c>
      <c r="N4661">
        <v>2778</v>
      </c>
      <c r="O4661" t="s">
        <v>217</v>
      </c>
      <c r="P4661">
        <v>277.8</v>
      </c>
      <c r="Q4661" t="s">
        <v>183</v>
      </c>
    </row>
    <row r="4662" spans="1:17" x14ac:dyDescent="0.25">
      <c r="A4662" t="s">
        <v>1147</v>
      </c>
      <c r="B4662" t="s">
        <v>1145</v>
      </c>
      <c r="C4662" t="s">
        <v>175</v>
      </c>
      <c r="D4662" t="s">
        <v>342</v>
      </c>
      <c r="E4662" t="s">
        <v>343</v>
      </c>
      <c r="F4662">
        <v>0.05</v>
      </c>
      <c r="G4662" t="s">
        <v>176</v>
      </c>
      <c r="H4662">
        <v>0</v>
      </c>
      <c r="I4662">
        <v>2</v>
      </c>
      <c r="J4662" s="10">
        <v>1.7763568394002505E-15</v>
      </c>
      <c r="K4662" s="10">
        <f>SUMIFS(F:F,D:D,DST_123_ÜRETİM_İHTİYAÇ_RAPORU_BURAK_YENI1309[[#This Row],[ALT_KOD]])-(SUMIFS(H:H,D:D,DST_123_ÜRETİM_İHTİYAÇ_RAPORU_BURAK_YENI1309[[#This Row],[ALT_KOD]])+AVERAGEIFS(I:I,D:D,DST_123_ÜRETİM_İHTİYAÇ_RAPORU_BURAK_YENI1309[[#This Row],[ALT_KOD]])+AVERAGEIFS(L:L,D:D,DST_123_ÜRETİM_İHTİYAÇ_RAPORU_BURAK_YENI1309[[#This Row],[ALT_KOD]]))</f>
        <v>-0.84999999999999964</v>
      </c>
      <c r="L4662">
        <v>0</v>
      </c>
      <c r="M4662">
        <f>IF((DST_123_ÜRETİM_İHTİYAÇ_RAPORU_BURAK_YENI1309[[#This Row],[SATINALMA]]*DST_123_ÜRETİM_İHTİYAÇ_RAPORU_BURAK_YENI1309[[#This Row],[BIRIM_FIYATLAR]])&lt;1,VALUE("0"),DST_123_ÜRETİM_İHTİYAÇ_RAPORU_BURAK_YENI1309[[#This Row],[SATINALMA]]*DST_123_ÜRETİM_İHTİYAÇ_RAPORU_BURAK_YENI1309[[#This Row],[BIRIM_FIYATLAR]])</f>
        <v>0</v>
      </c>
      <c r="N4662">
        <v>1400</v>
      </c>
      <c r="O4662" t="s">
        <v>217</v>
      </c>
      <c r="P4662">
        <v>70</v>
      </c>
      <c r="Q4662" t="s">
        <v>183</v>
      </c>
    </row>
    <row r="4663" spans="1:17" x14ac:dyDescent="0.25">
      <c r="A4663" t="s">
        <v>1148</v>
      </c>
      <c r="B4663" t="s">
        <v>1056</v>
      </c>
      <c r="C4663" t="s">
        <v>175</v>
      </c>
      <c r="D4663" t="s">
        <v>342</v>
      </c>
      <c r="E4663" t="s">
        <v>343</v>
      </c>
      <c r="F4663">
        <v>0.1</v>
      </c>
      <c r="G4663" t="s">
        <v>176</v>
      </c>
      <c r="H4663">
        <v>0</v>
      </c>
      <c r="I4663">
        <v>2</v>
      </c>
      <c r="J4663" s="10">
        <v>1.7763568394002505E-15</v>
      </c>
      <c r="K4663" s="10">
        <f>SUMIFS(F:F,D:D,DST_123_ÜRETİM_İHTİYAÇ_RAPORU_BURAK_YENI1309[[#This Row],[ALT_KOD]])-(SUMIFS(H:H,D:D,DST_123_ÜRETİM_İHTİYAÇ_RAPORU_BURAK_YENI1309[[#This Row],[ALT_KOD]])+AVERAGEIFS(I:I,D:D,DST_123_ÜRETİM_İHTİYAÇ_RAPORU_BURAK_YENI1309[[#This Row],[ALT_KOD]])+AVERAGEIFS(L:L,D:D,DST_123_ÜRETİM_İHTİYAÇ_RAPORU_BURAK_YENI1309[[#This Row],[ALT_KOD]]))</f>
        <v>-0.84999999999999964</v>
      </c>
      <c r="L4663">
        <v>0</v>
      </c>
      <c r="M4663">
        <f>IF((DST_123_ÜRETİM_İHTİYAÇ_RAPORU_BURAK_YENI1309[[#This Row],[SATINALMA]]*DST_123_ÜRETİM_İHTİYAÇ_RAPORU_BURAK_YENI1309[[#This Row],[BIRIM_FIYATLAR]])&lt;1,VALUE("0"),DST_123_ÜRETİM_İHTİYAÇ_RAPORU_BURAK_YENI1309[[#This Row],[SATINALMA]]*DST_123_ÜRETİM_İHTİYAÇ_RAPORU_BURAK_YENI1309[[#This Row],[BIRIM_FIYATLAR]])</f>
        <v>0</v>
      </c>
      <c r="N4663">
        <v>1400</v>
      </c>
      <c r="O4663" t="s">
        <v>217</v>
      </c>
      <c r="P4663">
        <v>140</v>
      </c>
      <c r="Q4663" t="s">
        <v>183</v>
      </c>
    </row>
    <row r="4664" spans="1:17" x14ac:dyDescent="0.25">
      <c r="A4664" t="s">
        <v>1150</v>
      </c>
      <c r="B4664" t="s">
        <v>1145</v>
      </c>
      <c r="C4664" t="s">
        <v>175</v>
      </c>
      <c r="D4664" t="s">
        <v>800</v>
      </c>
      <c r="E4664" t="s">
        <v>801</v>
      </c>
      <c r="F4664">
        <v>3</v>
      </c>
      <c r="G4664" t="s">
        <v>176</v>
      </c>
      <c r="H4664">
        <v>0</v>
      </c>
      <c r="I4664">
        <v>400</v>
      </c>
      <c r="J4664" s="10">
        <v>0</v>
      </c>
      <c r="K4664" s="10">
        <f>SUMIFS(F:F,D:D,DST_123_ÜRETİM_İHTİYAÇ_RAPORU_BURAK_YENI1309[[#This Row],[ALT_KOD]])-(SUMIFS(H:H,D:D,DST_123_ÜRETİM_İHTİYAÇ_RAPORU_BURAK_YENI1309[[#This Row],[ALT_KOD]])+AVERAGEIFS(I:I,D:D,DST_123_ÜRETİM_İHTİYAÇ_RAPORU_BURAK_YENI1309[[#This Row],[ALT_KOD]])+AVERAGEIFS(L:L,D:D,DST_123_ÜRETİM_İHTİYAÇ_RAPORU_BURAK_YENI1309[[#This Row],[ALT_KOD]]))</f>
        <v>-388</v>
      </c>
      <c r="L4664">
        <v>0</v>
      </c>
      <c r="M4664">
        <f>IF((DST_123_ÜRETİM_İHTİYAÇ_RAPORU_BURAK_YENI1309[[#This Row],[SATINALMA]]*DST_123_ÜRETİM_İHTİYAÇ_RAPORU_BURAK_YENI1309[[#This Row],[BIRIM_FIYATLAR]])&lt;1,VALUE("0"),DST_123_ÜRETİM_İHTİYAÇ_RAPORU_BURAK_YENI1309[[#This Row],[SATINALMA]]*DST_123_ÜRETİM_İHTİYAÇ_RAPORU_BURAK_YENI1309[[#This Row],[BIRIM_FIYATLAR]])</f>
        <v>0</v>
      </c>
      <c r="N4664">
        <v>10</v>
      </c>
      <c r="O4664" t="s">
        <v>226</v>
      </c>
      <c r="P4664">
        <v>30</v>
      </c>
      <c r="Q4664" t="s">
        <v>180</v>
      </c>
    </row>
    <row r="4665" spans="1:17" x14ac:dyDescent="0.25">
      <c r="A4665" t="s">
        <v>1149</v>
      </c>
      <c r="B4665" t="s">
        <v>1145</v>
      </c>
      <c r="C4665" t="s">
        <v>175</v>
      </c>
      <c r="D4665" t="s">
        <v>347</v>
      </c>
      <c r="E4665" t="s">
        <v>348</v>
      </c>
      <c r="F4665">
        <v>0.1</v>
      </c>
      <c r="G4665" t="s">
        <v>176</v>
      </c>
      <c r="H4665">
        <v>0</v>
      </c>
      <c r="I4665">
        <v>2</v>
      </c>
      <c r="J4665" s="10">
        <v>-6.3837823915946501E-16</v>
      </c>
      <c r="K4665" s="10">
        <f>SUMIFS(F:F,D:D,DST_123_ÜRETİM_İHTİYAÇ_RAPORU_BURAK_YENI1309[[#This Row],[ALT_KOD]])-(SUMIFS(H:H,D:D,DST_123_ÜRETİM_İHTİYAÇ_RAPORU_BURAK_YENI1309[[#This Row],[ALT_KOD]])+AVERAGEIFS(I:I,D:D,DST_123_ÜRETİM_İHTİYAÇ_RAPORU_BURAK_YENI1309[[#This Row],[ALT_KOD]])+AVERAGEIFS(L:L,D:D,DST_123_ÜRETİM_İHTİYAÇ_RAPORU_BURAK_YENI1309[[#This Row],[ALT_KOD]]))</f>
        <v>1.4000000000000004</v>
      </c>
      <c r="L4665">
        <v>0</v>
      </c>
      <c r="M4665">
        <f>IF((DST_123_ÜRETİM_İHTİYAÇ_RAPORU_BURAK_YENI1309[[#This Row],[SATINALMA]]*DST_123_ÜRETİM_İHTİYAÇ_RAPORU_BURAK_YENI1309[[#This Row],[BIRIM_FIYATLAR]])&lt;1,VALUE("0"),DST_123_ÜRETİM_İHTİYAÇ_RAPORU_BURAK_YENI1309[[#This Row],[SATINALMA]]*DST_123_ÜRETİM_İHTİYAÇ_RAPORU_BURAK_YENI1309[[#This Row],[BIRIM_FIYATLAR]])</f>
        <v>3889.2000000000012</v>
      </c>
      <c r="N4665">
        <v>2778</v>
      </c>
      <c r="O4665" t="s">
        <v>217</v>
      </c>
      <c r="P4665">
        <v>277.8</v>
      </c>
      <c r="Q4665" t="s">
        <v>183</v>
      </c>
    </row>
    <row r="4666" spans="1:17" x14ac:dyDescent="0.25">
      <c r="A4666" t="s">
        <v>1150</v>
      </c>
      <c r="B4666" t="s">
        <v>1145</v>
      </c>
      <c r="C4666" t="s">
        <v>175</v>
      </c>
      <c r="D4666" t="s">
        <v>342</v>
      </c>
      <c r="E4666" t="s">
        <v>343</v>
      </c>
      <c r="F4666">
        <v>0.05</v>
      </c>
      <c r="G4666" t="s">
        <v>176</v>
      </c>
      <c r="H4666">
        <v>0</v>
      </c>
      <c r="I4666">
        <v>2</v>
      </c>
      <c r="J4666" s="10">
        <v>1.7763568394002505E-15</v>
      </c>
      <c r="K4666" s="10">
        <f>SUMIFS(F:F,D:D,DST_123_ÜRETİM_İHTİYAÇ_RAPORU_BURAK_YENI1309[[#This Row],[ALT_KOD]])-(SUMIFS(H:H,D:D,DST_123_ÜRETİM_İHTİYAÇ_RAPORU_BURAK_YENI1309[[#This Row],[ALT_KOD]])+AVERAGEIFS(I:I,D:D,DST_123_ÜRETİM_İHTİYAÇ_RAPORU_BURAK_YENI1309[[#This Row],[ALT_KOD]])+AVERAGEIFS(L:L,D:D,DST_123_ÜRETİM_İHTİYAÇ_RAPORU_BURAK_YENI1309[[#This Row],[ALT_KOD]]))</f>
        <v>-0.84999999999999964</v>
      </c>
      <c r="L4666">
        <v>0</v>
      </c>
      <c r="M4666">
        <f>IF((DST_123_ÜRETİM_İHTİYAÇ_RAPORU_BURAK_YENI1309[[#This Row],[SATINALMA]]*DST_123_ÜRETİM_İHTİYAÇ_RAPORU_BURAK_YENI1309[[#This Row],[BIRIM_FIYATLAR]])&lt;1,VALUE("0"),DST_123_ÜRETİM_İHTİYAÇ_RAPORU_BURAK_YENI1309[[#This Row],[SATINALMA]]*DST_123_ÜRETİM_İHTİYAÇ_RAPORU_BURAK_YENI1309[[#This Row],[BIRIM_FIYATLAR]])</f>
        <v>0</v>
      </c>
      <c r="N4666">
        <v>1400</v>
      </c>
      <c r="O4666" t="s">
        <v>217</v>
      </c>
      <c r="P4666">
        <v>70</v>
      </c>
      <c r="Q4666" t="s">
        <v>183</v>
      </c>
    </row>
    <row r="4667" spans="1:17" x14ac:dyDescent="0.25">
      <c r="A4667" t="s">
        <v>1150</v>
      </c>
      <c r="B4667" t="s">
        <v>1145</v>
      </c>
      <c r="C4667" t="s">
        <v>175</v>
      </c>
      <c r="D4667" t="s">
        <v>502</v>
      </c>
      <c r="E4667" t="s">
        <v>503</v>
      </c>
      <c r="F4667">
        <v>2</v>
      </c>
      <c r="G4667" t="s">
        <v>176</v>
      </c>
      <c r="H4667">
        <v>0</v>
      </c>
      <c r="I4667">
        <v>115</v>
      </c>
      <c r="J4667" s="10">
        <v>2</v>
      </c>
      <c r="K4667" s="10">
        <f>SUMIFS(F:F,D:D,DST_123_ÜRETİM_İHTİYAÇ_RAPORU_BURAK_YENI1309[[#This Row],[ALT_KOD]])-(SUMIFS(H:H,D:D,DST_123_ÜRETİM_İHTİYAÇ_RAPORU_BURAK_YENI1309[[#This Row],[ALT_KOD]])+AVERAGEIFS(I:I,D:D,DST_123_ÜRETİM_İHTİYAÇ_RAPORU_BURAK_YENI1309[[#This Row],[ALT_KOD]])+AVERAGEIFS(L:L,D:D,DST_123_ÜRETİM_İHTİYAÇ_RAPORU_BURAK_YENI1309[[#This Row],[ALT_KOD]]))</f>
        <v>-77</v>
      </c>
      <c r="L4667">
        <v>0</v>
      </c>
      <c r="M4667">
        <f>IF((DST_123_ÜRETİM_İHTİYAÇ_RAPORU_BURAK_YENI1309[[#This Row],[SATINALMA]]*DST_123_ÜRETİM_İHTİYAÇ_RAPORU_BURAK_YENI1309[[#This Row],[BIRIM_FIYATLAR]])&lt;1,VALUE("0"),DST_123_ÜRETİM_İHTİYAÇ_RAPORU_BURAK_YENI1309[[#This Row],[SATINALMA]]*DST_123_ÜRETİM_İHTİYAÇ_RAPORU_BURAK_YENI1309[[#This Row],[BIRIM_FIYATLAR]])</f>
        <v>0</v>
      </c>
      <c r="N4667">
        <v>0.44</v>
      </c>
      <c r="O4667" t="s">
        <v>504</v>
      </c>
      <c r="P4667">
        <v>0.88</v>
      </c>
      <c r="Q4667" t="s">
        <v>221</v>
      </c>
    </row>
    <row r="4668" spans="1:17" x14ac:dyDescent="0.25">
      <c r="A4668" t="s">
        <v>1060</v>
      </c>
      <c r="B4668" t="s">
        <v>1061</v>
      </c>
      <c r="C4668" t="s">
        <v>175</v>
      </c>
      <c r="D4668" t="s">
        <v>800</v>
      </c>
      <c r="E4668" t="s">
        <v>801</v>
      </c>
      <c r="F4668">
        <v>3</v>
      </c>
      <c r="G4668" t="s">
        <v>176</v>
      </c>
      <c r="H4668">
        <v>0</v>
      </c>
      <c r="I4668">
        <v>400</v>
      </c>
      <c r="J4668" s="10">
        <v>0</v>
      </c>
      <c r="K4668" s="10">
        <f>SUMIFS(F:F,D:D,DST_123_ÜRETİM_İHTİYAÇ_RAPORU_BURAK_YENI1309[[#This Row],[ALT_KOD]])-(SUMIFS(H:H,D:D,DST_123_ÜRETİM_İHTİYAÇ_RAPORU_BURAK_YENI1309[[#This Row],[ALT_KOD]])+AVERAGEIFS(I:I,D:D,DST_123_ÜRETİM_İHTİYAÇ_RAPORU_BURAK_YENI1309[[#This Row],[ALT_KOD]])+AVERAGEIFS(L:L,D:D,DST_123_ÜRETİM_İHTİYAÇ_RAPORU_BURAK_YENI1309[[#This Row],[ALT_KOD]]))</f>
        <v>-388</v>
      </c>
      <c r="L4668">
        <v>0</v>
      </c>
      <c r="M4668">
        <f>IF((DST_123_ÜRETİM_İHTİYAÇ_RAPORU_BURAK_YENI1309[[#This Row],[SATINALMA]]*DST_123_ÜRETİM_İHTİYAÇ_RAPORU_BURAK_YENI1309[[#This Row],[BIRIM_FIYATLAR]])&lt;1,VALUE("0"),DST_123_ÜRETİM_İHTİYAÇ_RAPORU_BURAK_YENI1309[[#This Row],[SATINALMA]]*DST_123_ÜRETİM_İHTİYAÇ_RAPORU_BURAK_YENI1309[[#This Row],[BIRIM_FIYATLAR]])</f>
        <v>0</v>
      </c>
      <c r="N4668">
        <v>10</v>
      </c>
      <c r="O4668" t="s">
        <v>226</v>
      </c>
      <c r="P4668">
        <v>30</v>
      </c>
      <c r="Q4668" t="s">
        <v>180</v>
      </c>
    </row>
    <row r="4669" spans="1:17" x14ac:dyDescent="0.25">
      <c r="A4669" t="s">
        <v>1098</v>
      </c>
      <c r="B4669" t="s">
        <v>1096</v>
      </c>
      <c r="C4669" t="s">
        <v>175</v>
      </c>
      <c r="D4669" t="s">
        <v>493</v>
      </c>
      <c r="E4669" t="s">
        <v>494</v>
      </c>
      <c r="F4669">
        <v>22</v>
      </c>
      <c r="G4669" t="s">
        <v>495</v>
      </c>
      <c r="H4669">
        <v>0</v>
      </c>
      <c r="I4669">
        <v>200</v>
      </c>
      <c r="J4669" s="10">
        <v>86</v>
      </c>
      <c r="K4669" s="10">
        <f>SUMIFS(F:F,D:D,DST_123_ÜRETİM_İHTİYAÇ_RAPORU_BURAK_YENI1309[[#This Row],[ALT_KOD]])-(SUMIFS(H:H,D:D,DST_123_ÜRETİM_İHTİYAÇ_RAPORU_BURAK_YENI1309[[#This Row],[ALT_KOD]])+AVERAGEIFS(I:I,D:D,DST_123_ÜRETİM_İHTİYAÇ_RAPORU_BURAK_YENI1309[[#This Row],[ALT_KOD]])+AVERAGEIFS(L:L,D:D,DST_123_ÜRETİM_İHTİYAÇ_RAPORU_BURAK_YENI1309[[#This Row],[ALT_KOD]]))</f>
        <v>220</v>
      </c>
      <c r="L4669">
        <v>0</v>
      </c>
      <c r="M4669">
        <f>IF((DST_123_ÜRETİM_İHTİYAÇ_RAPORU_BURAK_YENI1309[[#This Row],[SATINALMA]]*DST_123_ÜRETİM_İHTİYAÇ_RAPORU_BURAK_YENI1309[[#This Row],[BIRIM_FIYATLAR]])&lt;1,VALUE("0"),DST_123_ÜRETİM_İHTİYAÇ_RAPORU_BURAK_YENI1309[[#This Row],[SATINALMA]]*DST_123_ÜRETİM_İHTİYAÇ_RAPORU_BURAK_YENI1309[[#This Row],[BIRIM_FIYATLAR]])</f>
        <v>23100</v>
      </c>
      <c r="N4669">
        <v>105</v>
      </c>
      <c r="O4669" t="s">
        <v>296</v>
      </c>
      <c r="P4669">
        <v>2310</v>
      </c>
      <c r="Q4669" t="s">
        <v>184</v>
      </c>
    </row>
    <row r="4670" spans="1:17" x14ac:dyDescent="0.25">
      <c r="A4670" t="s">
        <v>1144</v>
      </c>
      <c r="B4670" t="s">
        <v>1145</v>
      </c>
      <c r="C4670" t="s">
        <v>175</v>
      </c>
      <c r="D4670" t="s">
        <v>446</v>
      </c>
      <c r="E4670" t="s">
        <v>447</v>
      </c>
      <c r="F4670">
        <v>1</v>
      </c>
      <c r="G4670" t="s">
        <v>176</v>
      </c>
      <c r="H4670">
        <v>0</v>
      </c>
      <c r="I4670">
        <v>13</v>
      </c>
      <c r="J4670" s="10">
        <v>13</v>
      </c>
      <c r="K4670" s="10">
        <f>SUMIFS(F:F,D:D,DST_123_ÜRETİM_İHTİYAÇ_RAPORU_BURAK_YENI1309[[#This Row],[ALT_KOD]])-(SUMIFS(H:H,D:D,DST_123_ÜRETİM_İHTİYAÇ_RAPORU_BURAK_YENI1309[[#This Row],[ALT_KOD]])+AVERAGEIFS(I:I,D:D,DST_123_ÜRETİM_İHTİYAÇ_RAPORU_BURAK_YENI1309[[#This Row],[ALT_KOD]])+AVERAGEIFS(L:L,D:D,DST_123_ÜRETİM_İHTİYAÇ_RAPORU_BURAK_YENI1309[[#This Row],[ALT_KOD]]))</f>
        <v>-1</v>
      </c>
      <c r="L4670">
        <v>0</v>
      </c>
      <c r="M4670">
        <f>IF((DST_123_ÜRETİM_İHTİYAÇ_RAPORU_BURAK_YENI1309[[#This Row],[SATINALMA]]*DST_123_ÜRETİM_İHTİYAÇ_RAPORU_BURAK_YENI1309[[#This Row],[BIRIM_FIYATLAR]])&lt;1,VALUE("0"),DST_123_ÜRETİM_İHTİYAÇ_RAPORU_BURAK_YENI1309[[#This Row],[SATINALMA]]*DST_123_ÜRETİM_İHTİYAÇ_RAPORU_BURAK_YENI1309[[#This Row],[BIRIM_FIYATLAR]])</f>
        <v>0</v>
      </c>
      <c r="N4670">
        <v>237.5</v>
      </c>
      <c r="O4670" t="s">
        <v>628</v>
      </c>
      <c r="P4670">
        <v>237.5</v>
      </c>
      <c r="Q4670" t="s">
        <v>180</v>
      </c>
    </row>
    <row r="4671" spans="1:17" x14ac:dyDescent="0.25">
      <c r="A4671" t="s">
        <v>1146</v>
      </c>
      <c r="B4671" t="s">
        <v>1145</v>
      </c>
      <c r="C4671" t="s">
        <v>175</v>
      </c>
      <c r="D4671" t="s">
        <v>446</v>
      </c>
      <c r="E4671" t="s">
        <v>447</v>
      </c>
      <c r="F4671">
        <v>1</v>
      </c>
      <c r="G4671" t="s">
        <v>176</v>
      </c>
      <c r="H4671">
        <v>0</v>
      </c>
      <c r="I4671">
        <v>13</v>
      </c>
      <c r="J4671" s="10">
        <v>13</v>
      </c>
      <c r="K4671" s="10">
        <f>SUMIFS(F:F,D:D,DST_123_ÜRETİM_İHTİYAÇ_RAPORU_BURAK_YENI1309[[#This Row],[ALT_KOD]])-(SUMIFS(H:H,D:D,DST_123_ÜRETİM_İHTİYAÇ_RAPORU_BURAK_YENI1309[[#This Row],[ALT_KOD]])+AVERAGEIFS(I:I,D:D,DST_123_ÜRETİM_İHTİYAÇ_RAPORU_BURAK_YENI1309[[#This Row],[ALT_KOD]])+AVERAGEIFS(L:L,D:D,DST_123_ÜRETİM_İHTİYAÇ_RAPORU_BURAK_YENI1309[[#This Row],[ALT_KOD]]))</f>
        <v>-1</v>
      </c>
      <c r="L4671">
        <v>0</v>
      </c>
      <c r="M4671">
        <f>IF((DST_123_ÜRETİM_İHTİYAÇ_RAPORU_BURAK_YENI1309[[#This Row],[SATINALMA]]*DST_123_ÜRETİM_İHTİYAÇ_RAPORU_BURAK_YENI1309[[#This Row],[BIRIM_FIYATLAR]])&lt;1,VALUE("0"),DST_123_ÜRETİM_İHTİYAÇ_RAPORU_BURAK_YENI1309[[#This Row],[SATINALMA]]*DST_123_ÜRETİM_İHTİYAÇ_RAPORU_BURAK_YENI1309[[#This Row],[BIRIM_FIYATLAR]])</f>
        <v>0</v>
      </c>
      <c r="N4671">
        <v>237.5</v>
      </c>
      <c r="O4671" t="s">
        <v>628</v>
      </c>
      <c r="P4671">
        <v>237.5</v>
      </c>
      <c r="Q4671" t="s">
        <v>180</v>
      </c>
    </row>
    <row r="4672" spans="1:17" x14ac:dyDescent="0.25">
      <c r="A4672" t="s">
        <v>1146</v>
      </c>
      <c r="B4672" t="s">
        <v>1145</v>
      </c>
      <c r="C4672" t="s">
        <v>175</v>
      </c>
      <c r="D4672" t="s">
        <v>210</v>
      </c>
      <c r="E4672" t="s">
        <v>211</v>
      </c>
      <c r="F4672">
        <v>1</v>
      </c>
      <c r="G4672" t="s">
        <v>176</v>
      </c>
      <c r="H4672">
        <v>0</v>
      </c>
      <c r="I4672">
        <v>21</v>
      </c>
      <c r="J4672" s="10">
        <v>10</v>
      </c>
      <c r="K4672" s="10">
        <f>SUMIFS(F:F,D:D,DST_123_ÜRETİM_İHTİYAÇ_RAPORU_BURAK_YENI1309[[#This Row],[ALT_KOD]])-(SUMIFS(H:H,D:D,DST_123_ÜRETİM_İHTİYAÇ_RAPORU_BURAK_YENI1309[[#This Row],[ALT_KOD]])+AVERAGEIFS(I:I,D:D,DST_123_ÜRETİM_İHTİYAÇ_RAPORU_BURAK_YENI1309[[#This Row],[ALT_KOD]])+AVERAGEIFS(L:L,D:D,DST_123_ÜRETİM_İHTİYAÇ_RAPORU_BURAK_YENI1309[[#This Row],[ALT_KOD]]))</f>
        <v>-50</v>
      </c>
      <c r="L4672">
        <v>40</v>
      </c>
      <c r="M4672">
        <f>IF((DST_123_ÜRETİM_İHTİYAÇ_RAPORU_BURAK_YENI1309[[#This Row],[SATINALMA]]*DST_123_ÜRETİM_İHTİYAÇ_RAPORU_BURAK_YENI1309[[#This Row],[BIRIM_FIYATLAR]])&lt;1,VALUE("0"),DST_123_ÜRETİM_İHTİYAÇ_RAPORU_BURAK_YENI1309[[#This Row],[SATINALMA]]*DST_123_ÜRETİM_İHTİYAÇ_RAPORU_BURAK_YENI1309[[#This Row],[BIRIM_FIYATLAR]])</f>
        <v>0</v>
      </c>
      <c r="N4672">
        <v>312</v>
      </c>
      <c r="O4672" t="s">
        <v>217</v>
      </c>
      <c r="P4672">
        <v>312</v>
      </c>
      <c r="Q4672" t="s">
        <v>177</v>
      </c>
    </row>
    <row r="4673" spans="1:17" x14ac:dyDescent="0.25">
      <c r="A4673" t="s">
        <v>1144</v>
      </c>
      <c r="B4673" t="s">
        <v>1145</v>
      </c>
      <c r="C4673" t="s">
        <v>175</v>
      </c>
      <c r="D4673" t="s">
        <v>210</v>
      </c>
      <c r="E4673" t="s">
        <v>211</v>
      </c>
      <c r="F4673">
        <v>1</v>
      </c>
      <c r="G4673" t="s">
        <v>176</v>
      </c>
      <c r="H4673">
        <v>0</v>
      </c>
      <c r="I4673">
        <v>21</v>
      </c>
      <c r="J4673" s="10">
        <v>10</v>
      </c>
      <c r="K4673" s="10">
        <f>SUMIFS(F:F,D:D,DST_123_ÜRETİM_İHTİYAÇ_RAPORU_BURAK_YENI1309[[#This Row],[ALT_KOD]])-(SUMIFS(H:H,D:D,DST_123_ÜRETİM_İHTİYAÇ_RAPORU_BURAK_YENI1309[[#This Row],[ALT_KOD]])+AVERAGEIFS(I:I,D:D,DST_123_ÜRETİM_İHTİYAÇ_RAPORU_BURAK_YENI1309[[#This Row],[ALT_KOD]])+AVERAGEIFS(L:L,D:D,DST_123_ÜRETİM_İHTİYAÇ_RAPORU_BURAK_YENI1309[[#This Row],[ALT_KOD]]))</f>
        <v>-50</v>
      </c>
      <c r="L4673">
        <v>40</v>
      </c>
      <c r="M4673">
        <f>IF((DST_123_ÜRETİM_İHTİYAÇ_RAPORU_BURAK_YENI1309[[#This Row],[SATINALMA]]*DST_123_ÜRETİM_İHTİYAÇ_RAPORU_BURAK_YENI1309[[#This Row],[BIRIM_FIYATLAR]])&lt;1,VALUE("0"),DST_123_ÜRETİM_İHTİYAÇ_RAPORU_BURAK_YENI1309[[#This Row],[SATINALMA]]*DST_123_ÜRETİM_İHTİYAÇ_RAPORU_BURAK_YENI1309[[#This Row],[BIRIM_FIYATLAR]])</f>
        <v>0</v>
      </c>
      <c r="N4673">
        <v>312</v>
      </c>
      <c r="O4673" t="s">
        <v>217</v>
      </c>
      <c r="P4673">
        <v>312</v>
      </c>
      <c r="Q4673" t="s">
        <v>177</v>
      </c>
    </row>
    <row r="4674" spans="1:17" x14ac:dyDescent="0.25">
      <c r="A4674" t="s">
        <v>1149</v>
      </c>
      <c r="B4674" t="s">
        <v>1145</v>
      </c>
      <c r="C4674" t="s">
        <v>175</v>
      </c>
      <c r="D4674" t="s">
        <v>218</v>
      </c>
      <c r="E4674" t="s">
        <v>219</v>
      </c>
      <c r="F4674">
        <v>2</v>
      </c>
      <c r="G4674" t="s">
        <v>176</v>
      </c>
      <c r="H4674">
        <v>0</v>
      </c>
      <c r="I4674">
        <v>288</v>
      </c>
      <c r="J4674" s="10">
        <v>94</v>
      </c>
      <c r="K4674" s="10">
        <f>SUMIFS(F:F,D:D,DST_123_ÜRETİM_İHTİYAÇ_RAPORU_BURAK_YENI1309[[#This Row],[ALT_KOD]])-(SUMIFS(H:H,D:D,DST_123_ÜRETİM_İHTİYAÇ_RAPORU_BURAK_YENI1309[[#This Row],[ALT_KOD]])+AVERAGEIFS(I:I,D:D,DST_123_ÜRETİM_İHTİYAÇ_RAPORU_BURAK_YENI1309[[#This Row],[ALT_KOD]])+AVERAGEIFS(L:L,D:D,DST_123_ÜRETİM_İHTİYAÇ_RAPORU_BURAK_YENI1309[[#This Row],[ALT_KOD]]))</f>
        <v>-260</v>
      </c>
      <c r="L4674">
        <v>0</v>
      </c>
      <c r="M4674">
        <f>IF((DST_123_ÜRETİM_İHTİYAÇ_RAPORU_BURAK_YENI1309[[#This Row],[SATINALMA]]*DST_123_ÜRETİM_İHTİYAÇ_RAPORU_BURAK_YENI1309[[#This Row],[BIRIM_FIYATLAR]])&lt;1,VALUE("0"),DST_123_ÜRETİM_İHTİYAÇ_RAPORU_BURAK_YENI1309[[#This Row],[SATINALMA]]*DST_123_ÜRETİM_İHTİYAÇ_RAPORU_BURAK_YENI1309[[#This Row],[BIRIM_FIYATLAR]])</f>
        <v>0</v>
      </c>
      <c r="N4674">
        <v>4</v>
      </c>
      <c r="O4674" t="s">
        <v>220</v>
      </c>
      <c r="P4674">
        <v>8</v>
      </c>
      <c r="Q4674" t="s">
        <v>221</v>
      </c>
    </row>
    <row r="4675" spans="1:17" x14ac:dyDescent="0.25">
      <c r="A4675" t="s">
        <v>1060</v>
      </c>
      <c r="B4675" t="s">
        <v>1061</v>
      </c>
      <c r="C4675" t="s">
        <v>175</v>
      </c>
      <c r="D4675" t="s">
        <v>883</v>
      </c>
      <c r="E4675" t="s">
        <v>884</v>
      </c>
      <c r="F4675">
        <v>9</v>
      </c>
      <c r="G4675" t="s">
        <v>179</v>
      </c>
      <c r="H4675">
        <v>0</v>
      </c>
      <c r="I4675">
        <v>480</v>
      </c>
      <c r="J4675" s="10">
        <v>0</v>
      </c>
      <c r="K4675" s="10">
        <f>SUMIFS(F:F,D:D,DST_123_ÜRETİM_İHTİYAÇ_RAPORU_BURAK_YENI1309[[#This Row],[ALT_KOD]])-(SUMIFS(H:H,D:D,DST_123_ÜRETİM_İHTİYAÇ_RAPORU_BURAK_YENI1309[[#This Row],[ALT_KOD]])+AVERAGEIFS(I:I,D:D,DST_123_ÜRETİM_İHTİYAÇ_RAPORU_BURAK_YENI1309[[#This Row],[ALT_KOD]])+AVERAGEIFS(L:L,D:D,DST_123_ÜRETİM_İHTİYAÇ_RAPORU_BURAK_YENI1309[[#This Row],[ALT_KOD]]))</f>
        <v>-408</v>
      </c>
      <c r="L4675">
        <v>0</v>
      </c>
      <c r="M4675">
        <f>IF((DST_123_ÜRETİM_İHTİYAÇ_RAPORU_BURAK_YENI1309[[#This Row],[SATINALMA]]*DST_123_ÜRETİM_İHTİYAÇ_RAPORU_BURAK_YENI1309[[#This Row],[BIRIM_FIYATLAR]])&lt;1,VALUE("0"),DST_123_ÜRETİM_İHTİYAÇ_RAPORU_BURAK_YENI1309[[#This Row],[SATINALMA]]*DST_123_ÜRETİM_İHTİYAÇ_RAPORU_BURAK_YENI1309[[#This Row],[BIRIM_FIYATLAR]])</f>
        <v>0</v>
      </c>
      <c r="N4675">
        <v>4</v>
      </c>
      <c r="P4675">
        <v>36</v>
      </c>
      <c r="Q4675" t="s">
        <v>181</v>
      </c>
    </row>
    <row r="4676" spans="1:17" x14ac:dyDescent="0.25">
      <c r="A4676" t="s">
        <v>1060</v>
      </c>
      <c r="B4676" t="s">
        <v>1061</v>
      </c>
      <c r="C4676" t="s">
        <v>175</v>
      </c>
      <c r="D4676" t="s">
        <v>961</v>
      </c>
      <c r="E4676" t="s">
        <v>962</v>
      </c>
      <c r="F4676">
        <v>1</v>
      </c>
      <c r="G4676" t="s">
        <v>176</v>
      </c>
      <c r="H4676">
        <v>0</v>
      </c>
      <c r="I4676">
        <v>4</v>
      </c>
      <c r="J4676" s="10">
        <v>2</v>
      </c>
      <c r="K4676" s="10">
        <f>SUMIFS(F:F,D:D,DST_123_ÜRETİM_İHTİYAÇ_RAPORU_BURAK_YENI1309[[#This Row],[ALT_KOD]])-(SUMIFS(H:H,D:D,DST_123_ÜRETİM_İHTİYAÇ_RAPORU_BURAK_YENI1309[[#This Row],[ALT_KOD]])+AVERAGEIFS(I:I,D:D,DST_123_ÜRETİM_İHTİYAÇ_RAPORU_BURAK_YENI1309[[#This Row],[ALT_KOD]])+AVERAGEIFS(L:L,D:D,DST_123_ÜRETİM_İHTİYAÇ_RAPORU_BURAK_YENI1309[[#This Row],[ALT_KOD]]))</f>
        <v>0</v>
      </c>
      <c r="L4676">
        <v>0</v>
      </c>
      <c r="M4676">
        <f>IF((DST_123_ÜRETİM_İHTİYAÇ_RAPORU_BURAK_YENI1309[[#This Row],[SATINALMA]]*DST_123_ÜRETİM_İHTİYAÇ_RAPORU_BURAK_YENI1309[[#This Row],[BIRIM_FIYATLAR]])&lt;1,VALUE("0"),DST_123_ÜRETİM_İHTİYAÇ_RAPORU_BURAK_YENI1309[[#This Row],[SATINALMA]]*DST_123_ÜRETİM_İHTİYAÇ_RAPORU_BURAK_YENI1309[[#This Row],[BIRIM_FIYATLAR]])</f>
        <v>0</v>
      </c>
      <c r="N4676">
        <v>2249.17</v>
      </c>
      <c r="O4676" t="s">
        <v>1073</v>
      </c>
      <c r="P4676">
        <v>2249.17</v>
      </c>
      <c r="Q4676" t="s">
        <v>177</v>
      </c>
    </row>
    <row r="4677" spans="1:17" x14ac:dyDescent="0.25">
      <c r="A4677" t="s">
        <v>1060</v>
      </c>
      <c r="B4677" t="s">
        <v>1061</v>
      </c>
      <c r="C4677" t="s">
        <v>175</v>
      </c>
      <c r="D4677" t="s">
        <v>218</v>
      </c>
      <c r="E4677" t="s">
        <v>219</v>
      </c>
      <c r="F4677">
        <v>2</v>
      </c>
      <c r="G4677" t="s">
        <v>176</v>
      </c>
      <c r="H4677">
        <v>0</v>
      </c>
      <c r="I4677">
        <v>288</v>
      </c>
      <c r="J4677" s="10">
        <v>94</v>
      </c>
      <c r="K4677" s="10">
        <f>SUMIFS(F:F,D:D,DST_123_ÜRETİM_İHTİYAÇ_RAPORU_BURAK_YENI1309[[#This Row],[ALT_KOD]])-(SUMIFS(H:H,D:D,DST_123_ÜRETİM_İHTİYAÇ_RAPORU_BURAK_YENI1309[[#This Row],[ALT_KOD]])+AVERAGEIFS(I:I,D:D,DST_123_ÜRETİM_İHTİYAÇ_RAPORU_BURAK_YENI1309[[#This Row],[ALT_KOD]])+AVERAGEIFS(L:L,D:D,DST_123_ÜRETİM_İHTİYAÇ_RAPORU_BURAK_YENI1309[[#This Row],[ALT_KOD]]))</f>
        <v>-260</v>
      </c>
      <c r="L4677">
        <v>0</v>
      </c>
      <c r="M4677">
        <f>IF((DST_123_ÜRETİM_İHTİYAÇ_RAPORU_BURAK_YENI1309[[#This Row],[SATINALMA]]*DST_123_ÜRETİM_İHTİYAÇ_RAPORU_BURAK_YENI1309[[#This Row],[BIRIM_FIYATLAR]])&lt;1,VALUE("0"),DST_123_ÜRETİM_İHTİYAÇ_RAPORU_BURAK_YENI1309[[#This Row],[SATINALMA]]*DST_123_ÜRETİM_İHTİYAÇ_RAPORU_BURAK_YENI1309[[#This Row],[BIRIM_FIYATLAR]])</f>
        <v>0</v>
      </c>
      <c r="N4677">
        <v>4</v>
      </c>
      <c r="O4677" t="s">
        <v>220</v>
      </c>
      <c r="P4677">
        <v>8</v>
      </c>
      <c r="Q4677" t="s">
        <v>221</v>
      </c>
    </row>
    <row r="4678" spans="1:17" x14ac:dyDescent="0.25">
      <c r="A4678" t="s">
        <v>1142</v>
      </c>
      <c r="B4678" t="s">
        <v>1056</v>
      </c>
      <c r="C4678" t="s">
        <v>175</v>
      </c>
      <c r="D4678" t="s">
        <v>218</v>
      </c>
      <c r="E4678" t="s">
        <v>219</v>
      </c>
      <c r="F4678">
        <v>2</v>
      </c>
      <c r="G4678" t="s">
        <v>176</v>
      </c>
      <c r="H4678">
        <v>0</v>
      </c>
      <c r="I4678">
        <v>288</v>
      </c>
      <c r="J4678" s="10">
        <v>94</v>
      </c>
      <c r="K4678" s="10">
        <f>SUMIFS(F:F,D:D,DST_123_ÜRETİM_İHTİYAÇ_RAPORU_BURAK_YENI1309[[#This Row],[ALT_KOD]])-(SUMIFS(H:H,D:D,DST_123_ÜRETİM_İHTİYAÇ_RAPORU_BURAK_YENI1309[[#This Row],[ALT_KOD]])+AVERAGEIFS(I:I,D:D,DST_123_ÜRETİM_İHTİYAÇ_RAPORU_BURAK_YENI1309[[#This Row],[ALT_KOD]])+AVERAGEIFS(L:L,D:D,DST_123_ÜRETİM_İHTİYAÇ_RAPORU_BURAK_YENI1309[[#This Row],[ALT_KOD]]))</f>
        <v>-260</v>
      </c>
      <c r="L4678">
        <v>0</v>
      </c>
      <c r="M4678">
        <f>IF((DST_123_ÜRETİM_İHTİYAÇ_RAPORU_BURAK_YENI1309[[#This Row],[SATINALMA]]*DST_123_ÜRETİM_İHTİYAÇ_RAPORU_BURAK_YENI1309[[#This Row],[BIRIM_FIYATLAR]])&lt;1,VALUE("0"),DST_123_ÜRETİM_İHTİYAÇ_RAPORU_BURAK_YENI1309[[#This Row],[SATINALMA]]*DST_123_ÜRETİM_İHTİYAÇ_RAPORU_BURAK_YENI1309[[#This Row],[BIRIM_FIYATLAR]])</f>
        <v>0</v>
      </c>
      <c r="N4678">
        <v>4</v>
      </c>
      <c r="O4678" t="s">
        <v>220</v>
      </c>
      <c r="P4678">
        <v>8</v>
      </c>
      <c r="Q4678" t="s">
        <v>221</v>
      </c>
    </row>
    <row r="4679" spans="1:17" x14ac:dyDescent="0.25">
      <c r="A4679" t="s">
        <v>1142</v>
      </c>
      <c r="B4679" t="s">
        <v>1056</v>
      </c>
      <c r="C4679" t="s">
        <v>175</v>
      </c>
      <c r="D4679" t="s">
        <v>493</v>
      </c>
      <c r="E4679" t="s">
        <v>494</v>
      </c>
      <c r="F4679">
        <v>22</v>
      </c>
      <c r="G4679" t="s">
        <v>495</v>
      </c>
      <c r="H4679">
        <v>0</v>
      </c>
      <c r="I4679">
        <v>200</v>
      </c>
      <c r="J4679" s="10">
        <v>86</v>
      </c>
      <c r="K4679" s="10">
        <f>SUMIFS(F:F,D:D,DST_123_ÜRETİM_İHTİYAÇ_RAPORU_BURAK_YENI1309[[#This Row],[ALT_KOD]])-(SUMIFS(H:H,D:D,DST_123_ÜRETİM_İHTİYAÇ_RAPORU_BURAK_YENI1309[[#This Row],[ALT_KOD]])+AVERAGEIFS(I:I,D:D,DST_123_ÜRETİM_İHTİYAÇ_RAPORU_BURAK_YENI1309[[#This Row],[ALT_KOD]])+AVERAGEIFS(L:L,D:D,DST_123_ÜRETİM_İHTİYAÇ_RAPORU_BURAK_YENI1309[[#This Row],[ALT_KOD]]))</f>
        <v>220</v>
      </c>
      <c r="L4679">
        <v>0</v>
      </c>
      <c r="M4679">
        <f>IF((DST_123_ÜRETİM_İHTİYAÇ_RAPORU_BURAK_YENI1309[[#This Row],[SATINALMA]]*DST_123_ÜRETİM_İHTİYAÇ_RAPORU_BURAK_YENI1309[[#This Row],[BIRIM_FIYATLAR]])&lt;1,VALUE("0"),DST_123_ÜRETİM_İHTİYAÇ_RAPORU_BURAK_YENI1309[[#This Row],[SATINALMA]]*DST_123_ÜRETİM_İHTİYAÇ_RAPORU_BURAK_YENI1309[[#This Row],[BIRIM_FIYATLAR]])</f>
        <v>23100</v>
      </c>
      <c r="N4679">
        <v>105</v>
      </c>
      <c r="O4679" t="s">
        <v>296</v>
      </c>
      <c r="P4679">
        <v>2310</v>
      </c>
      <c r="Q4679" t="s">
        <v>184</v>
      </c>
    </row>
    <row r="4680" spans="1:17" x14ac:dyDescent="0.25">
      <c r="A4680" t="s">
        <v>1142</v>
      </c>
      <c r="B4680" t="s">
        <v>1056</v>
      </c>
      <c r="C4680" t="s">
        <v>175</v>
      </c>
      <c r="D4680" t="s">
        <v>441</v>
      </c>
      <c r="E4680" t="s">
        <v>442</v>
      </c>
      <c r="F4680">
        <v>1</v>
      </c>
      <c r="G4680" t="s">
        <v>176</v>
      </c>
      <c r="H4680">
        <v>0</v>
      </c>
      <c r="I4680">
        <v>23</v>
      </c>
      <c r="J4680" s="10">
        <v>5</v>
      </c>
      <c r="K4680" s="10">
        <f>SUMIFS(F:F,D:D,DST_123_ÜRETİM_İHTİYAÇ_RAPORU_BURAK_YENI1309[[#This Row],[ALT_KOD]])-(SUMIFS(H:H,D:D,DST_123_ÜRETİM_İHTİYAÇ_RAPORU_BURAK_YENI1309[[#This Row],[ALT_KOD]])+AVERAGEIFS(I:I,D:D,DST_123_ÜRETİM_İHTİYAÇ_RAPORU_BURAK_YENI1309[[#This Row],[ALT_KOD]])+AVERAGEIFS(L:L,D:D,DST_123_ÜRETİM_İHTİYAÇ_RAPORU_BURAK_YENI1309[[#This Row],[ALT_KOD]]))</f>
        <v>-11</v>
      </c>
      <c r="L4680">
        <v>0</v>
      </c>
      <c r="M4680">
        <f>IF((DST_123_ÜRETİM_İHTİYAÇ_RAPORU_BURAK_YENI1309[[#This Row],[SATINALMA]]*DST_123_ÜRETİM_İHTİYAÇ_RAPORU_BURAK_YENI1309[[#This Row],[BIRIM_FIYATLAR]])&lt;1,VALUE("0"),DST_123_ÜRETİM_İHTİYAÇ_RAPORU_BURAK_YENI1309[[#This Row],[SATINALMA]]*DST_123_ÜRETİM_İHTİYAÇ_RAPORU_BURAK_YENI1309[[#This Row],[BIRIM_FIYATLAR]])</f>
        <v>0</v>
      </c>
      <c r="N4680">
        <v>360.19</v>
      </c>
      <c r="O4680" t="s">
        <v>636</v>
      </c>
      <c r="P4680">
        <v>360.19</v>
      </c>
      <c r="Q4680" t="s">
        <v>178</v>
      </c>
    </row>
    <row r="4681" spans="1:17" x14ac:dyDescent="0.25">
      <c r="A4681" t="s">
        <v>1150</v>
      </c>
      <c r="B4681" t="s">
        <v>1145</v>
      </c>
      <c r="C4681" t="s">
        <v>175</v>
      </c>
      <c r="D4681" t="s">
        <v>446</v>
      </c>
      <c r="E4681" t="s">
        <v>447</v>
      </c>
      <c r="F4681">
        <v>1</v>
      </c>
      <c r="G4681" t="s">
        <v>176</v>
      </c>
      <c r="H4681">
        <v>0</v>
      </c>
      <c r="I4681">
        <v>13</v>
      </c>
      <c r="J4681" s="10">
        <v>13</v>
      </c>
      <c r="K4681" s="10">
        <f>SUMIFS(F:F,D:D,DST_123_ÜRETİM_İHTİYAÇ_RAPORU_BURAK_YENI1309[[#This Row],[ALT_KOD]])-(SUMIFS(H:H,D:D,DST_123_ÜRETİM_İHTİYAÇ_RAPORU_BURAK_YENI1309[[#This Row],[ALT_KOD]])+AVERAGEIFS(I:I,D:D,DST_123_ÜRETİM_İHTİYAÇ_RAPORU_BURAK_YENI1309[[#This Row],[ALT_KOD]])+AVERAGEIFS(L:L,D:D,DST_123_ÜRETİM_İHTİYAÇ_RAPORU_BURAK_YENI1309[[#This Row],[ALT_KOD]]))</f>
        <v>-1</v>
      </c>
      <c r="L4681">
        <v>0</v>
      </c>
      <c r="M4681">
        <f>IF((DST_123_ÜRETİM_İHTİYAÇ_RAPORU_BURAK_YENI1309[[#This Row],[SATINALMA]]*DST_123_ÜRETİM_İHTİYAÇ_RAPORU_BURAK_YENI1309[[#This Row],[BIRIM_FIYATLAR]])&lt;1,VALUE("0"),DST_123_ÜRETİM_İHTİYAÇ_RAPORU_BURAK_YENI1309[[#This Row],[SATINALMA]]*DST_123_ÜRETİM_İHTİYAÇ_RAPORU_BURAK_YENI1309[[#This Row],[BIRIM_FIYATLAR]])</f>
        <v>0</v>
      </c>
      <c r="N4681">
        <v>237.5</v>
      </c>
      <c r="O4681" t="s">
        <v>628</v>
      </c>
      <c r="P4681">
        <v>237.5</v>
      </c>
      <c r="Q4681" t="s">
        <v>180</v>
      </c>
    </row>
    <row r="4682" spans="1:17" x14ac:dyDescent="0.25">
      <c r="A4682" t="s">
        <v>1150</v>
      </c>
      <c r="B4682" t="s">
        <v>1145</v>
      </c>
      <c r="C4682" t="s">
        <v>175</v>
      </c>
      <c r="D4682" t="s">
        <v>210</v>
      </c>
      <c r="E4682" t="s">
        <v>211</v>
      </c>
      <c r="F4682">
        <v>1</v>
      </c>
      <c r="G4682" t="s">
        <v>176</v>
      </c>
      <c r="H4682">
        <v>0</v>
      </c>
      <c r="I4682">
        <v>21</v>
      </c>
      <c r="J4682" s="10">
        <v>10</v>
      </c>
      <c r="K4682" s="10">
        <f>SUMIFS(F:F,D:D,DST_123_ÜRETİM_İHTİYAÇ_RAPORU_BURAK_YENI1309[[#This Row],[ALT_KOD]])-(SUMIFS(H:H,D:D,DST_123_ÜRETİM_İHTİYAÇ_RAPORU_BURAK_YENI1309[[#This Row],[ALT_KOD]])+AVERAGEIFS(I:I,D:D,DST_123_ÜRETİM_İHTİYAÇ_RAPORU_BURAK_YENI1309[[#This Row],[ALT_KOD]])+AVERAGEIFS(L:L,D:D,DST_123_ÜRETİM_İHTİYAÇ_RAPORU_BURAK_YENI1309[[#This Row],[ALT_KOD]]))</f>
        <v>-50</v>
      </c>
      <c r="L4682">
        <v>40</v>
      </c>
      <c r="M4682">
        <f>IF((DST_123_ÜRETİM_İHTİYAÇ_RAPORU_BURAK_YENI1309[[#This Row],[SATINALMA]]*DST_123_ÜRETİM_İHTİYAÇ_RAPORU_BURAK_YENI1309[[#This Row],[BIRIM_FIYATLAR]])&lt;1,VALUE("0"),DST_123_ÜRETİM_İHTİYAÇ_RAPORU_BURAK_YENI1309[[#This Row],[SATINALMA]]*DST_123_ÜRETİM_İHTİYAÇ_RAPORU_BURAK_YENI1309[[#This Row],[BIRIM_FIYATLAR]])</f>
        <v>0</v>
      </c>
      <c r="N4682">
        <v>312</v>
      </c>
      <c r="O4682" t="s">
        <v>217</v>
      </c>
      <c r="P4682">
        <v>312</v>
      </c>
      <c r="Q4682" t="s">
        <v>177</v>
      </c>
    </row>
    <row r="4683" spans="1:17" x14ac:dyDescent="0.25">
      <c r="A4683" t="s">
        <v>1064</v>
      </c>
      <c r="B4683" t="s">
        <v>1055</v>
      </c>
      <c r="C4683" t="s">
        <v>175</v>
      </c>
      <c r="D4683" t="s">
        <v>256</v>
      </c>
      <c r="E4683" t="s">
        <v>257</v>
      </c>
      <c r="F4683">
        <v>1.6</v>
      </c>
      <c r="G4683" t="s">
        <v>176</v>
      </c>
      <c r="H4683">
        <v>1.6</v>
      </c>
      <c r="I4683">
        <v>14</v>
      </c>
      <c r="J4683" s="10">
        <v>6.8000000000000025</v>
      </c>
      <c r="K4683" s="10">
        <f>SUMIFS(F:F,D:D,DST_123_ÜRETİM_İHTİYAÇ_RAPORU_BURAK_YENI1309[[#This Row],[ALT_KOD]])-(SUMIFS(H:H,D:D,DST_123_ÜRETİM_İHTİYAÇ_RAPORU_BURAK_YENI1309[[#This Row],[ALT_KOD]])+AVERAGEIFS(I:I,D:D,DST_123_ÜRETİM_İHTİYAÇ_RAPORU_BURAK_YENI1309[[#This Row],[ALT_KOD]])+AVERAGEIFS(L:L,D:D,DST_123_ÜRETİM_İHTİYAÇ_RAPORU_BURAK_YENI1309[[#This Row],[ALT_KOD]]))</f>
        <v>7.7000000000000028</v>
      </c>
      <c r="L4683">
        <v>12</v>
      </c>
      <c r="M4683">
        <f>IF((DST_123_ÜRETİM_İHTİYAÇ_RAPORU_BURAK_YENI1309[[#This Row],[SATINALMA]]*DST_123_ÜRETİM_İHTİYAÇ_RAPORU_BURAK_YENI1309[[#This Row],[BIRIM_FIYATLAR]])&lt;1,VALUE("0"),DST_123_ÜRETİM_İHTİYAÇ_RAPORU_BURAK_YENI1309[[#This Row],[SATINALMA]]*DST_123_ÜRETİM_İHTİYAÇ_RAPORU_BURAK_YENI1309[[#This Row],[BIRIM_FIYATLAR]])</f>
        <v>2532.1450000000009</v>
      </c>
      <c r="N4683">
        <v>328.85</v>
      </c>
      <c r="O4683" t="s">
        <v>258</v>
      </c>
      <c r="P4683">
        <v>526.16000000000008</v>
      </c>
      <c r="Q4683" t="s">
        <v>183</v>
      </c>
    </row>
    <row r="4684" spans="1:17" x14ac:dyDescent="0.25">
      <c r="A4684" t="s">
        <v>1097</v>
      </c>
      <c r="B4684" t="s">
        <v>1055</v>
      </c>
      <c r="C4684" t="s">
        <v>175</v>
      </c>
      <c r="D4684" t="s">
        <v>387</v>
      </c>
      <c r="E4684" t="s">
        <v>388</v>
      </c>
      <c r="F4684">
        <v>26</v>
      </c>
      <c r="G4684" t="s">
        <v>176</v>
      </c>
      <c r="H4684">
        <v>0</v>
      </c>
      <c r="I4684">
        <v>1100</v>
      </c>
      <c r="J4684" s="10">
        <v>780</v>
      </c>
      <c r="K4684" s="10">
        <f>SUMIFS(F:F,D:D,DST_123_ÜRETİM_İHTİYAÇ_RAPORU_BURAK_YENI1309[[#This Row],[ALT_KOD]])-(SUMIFS(H:H,D:D,DST_123_ÜRETİM_İHTİYAÇ_RAPORU_BURAK_YENI1309[[#This Row],[ALT_KOD]])+AVERAGEIFS(I:I,D:D,DST_123_ÜRETİM_İHTİYAÇ_RAPORU_BURAK_YENI1309[[#This Row],[ALT_KOD]])+AVERAGEIFS(L:L,D:D,DST_123_ÜRETİM_İHTİYAÇ_RAPORU_BURAK_YENI1309[[#This Row],[ALT_KOD]]))</f>
        <v>-832</v>
      </c>
      <c r="L4684">
        <v>0</v>
      </c>
      <c r="M4684">
        <f>IF((DST_123_ÜRETİM_İHTİYAÇ_RAPORU_BURAK_YENI1309[[#This Row],[SATINALMA]]*DST_123_ÜRETİM_İHTİYAÇ_RAPORU_BURAK_YENI1309[[#This Row],[BIRIM_FIYATLAR]])&lt;1,VALUE("0"),DST_123_ÜRETİM_İHTİYAÇ_RAPORU_BURAK_YENI1309[[#This Row],[SATINALMA]]*DST_123_ÜRETİM_İHTİYAÇ_RAPORU_BURAK_YENI1309[[#This Row],[BIRIM_FIYATLAR]])</f>
        <v>0</v>
      </c>
      <c r="N4684">
        <v>0.32</v>
      </c>
      <c r="O4684" t="s">
        <v>240</v>
      </c>
      <c r="P4684">
        <v>8.32</v>
      </c>
      <c r="Q4684" t="s">
        <v>180</v>
      </c>
    </row>
    <row r="4685" spans="1:17" x14ac:dyDescent="0.25">
      <c r="A4685" t="s">
        <v>1100</v>
      </c>
      <c r="B4685" t="s">
        <v>1058</v>
      </c>
      <c r="C4685" t="s">
        <v>197</v>
      </c>
      <c r="D4685" t="s">
        <v>793</v>
      </c>
      <c r="E4685" t="s">
        <v>794</v>
      </c>
      <c r="F4685">
        <v>1</v>
      </c>
      <c r="G4685" t="s">
        <v>176</v>
      </c>
      <c r="H4685">
        <v>1</v>
      </c>
      <c r="I4685">
        <v>25</v>
      </c>
      <c r="J4685" s="10">
        <v>4</v>
      </c>
      <c r="K4685" s="10">
        <f>SUMIFS(F:F,D:D,DST_123_ÜRETİM_İHTİYAÇ_RAPORU_BURAK_YENI1309[[#This Row],[ALT_KOD]])-(SUMIFS(H:H,D:D,DST_123_ÜRETİM_İHTİYAÇ_RAPORU_BURAK_YENI1309[[#This Row],[ALT_KOD]])+AVERAGEIFS(I:I,D:D,DST_123_ÜRETİM_İHTİYAÇ_RAPORU_BURAK_YENI1309[[#This Row],[ALT_KOD]])+AVERAGEIFS(L:L,D:D,DST_123_ÜRETİM_İHTİYAÇ_RAPORU_BURAK_YENI1309[[#This Row],[ALT_KOD]]))</f>
        <v>-20</v>
      </c>
      <c r="L4685">
        <v>0</v>
      </c>
      <c r="M4685">
        <f>IF((DST_123_ÜRETİM_İHTİYAÇ_RAPORU_BURAK_YENI1309[[#This Row],[SATINALMA]]*DST_123_ÜRETİM_İHTİYAÇ_RAPORU_BURAK_YENI1309[[#This Row],[BIRIM_FIYATLAR]])&lt;1,VALUE("0"),DST_123_ÜRETİM_İHTİYAÇ_RAPORU_BURAK_YENI1309[[#This Row],[SATINALMA]]*DST_123_ÜRETİM_İHTİYAÇ_RAPORU_BURAK_YENI1309[[#This Row],[BIRIM_FIYATLAR]])</f>
        <v>0</v>
      </c>
      <c r="N4685">
        <v>2800</v>
      </c>
      <c r="O4685" t="s">
        <v>795</v>
      </c>
      <c r="P4685">
        <v>2800</v>
      </c>
      <c r="Q4685" t="s">
        <v>177</v>
      </c>
    </row>
    <row r="4686" spans="1:17" x14ac:dyDescent="0.25">
      <c r="A4686" t="s">
        <v>1057</v>
      </c>
      <c r="B4686" t="s">
        <v>1058</v>
      </c>
      <c r="C4686" t="s">
        <v>175</v>
      </c>
      <c r="D4686" t="s">
        <v>206</v>
      </c>
      <c r="E4686" t="s">
        <v>280</v>
      </c>
      <c r="F4686">
        <v>0.54999999999999993</v>
      </c>
      <c r="G4686" t="s">
        <v>176</v>
      </c>
      <c r="H4686">
        <v>0.54999999999999993</v>
      </c>
      <c r="I4686">
        <v>10</v>
      </c>
      <c r="J4686" s="10">
        <v>126.66400000000034</v>
      </c>
      <c r="K4686" s="10">
        <f>SUMIFS(F:F,D:D,DST_123_ÜRETİM_İHTİYAÇ_RAPORU_BURAK_YENI1309[[#This Row],[ALT_KOD]])-(SUMIFS(H:H,D:D,DST_123_ÜRETİM_İHTİYAÇ_RAPORU_BURAK_YENI1309[[#This Row],[ALT_KOD]])+AVERAGEIFS(I:I,D:D,DST_123_ÜRETİM_İHTİYAÇ_RAPORU_BURAK_YENI1309[[#This Row],[ALT_KOD]])+AVERAGEIFS(L:L,D:D,DST_123_ÜRETİM_İHTİYAÇ_RAPORU_BURAK_YENI1309[[#This Row],[ALT_KOD]]))</f>
        <v>-1.1600000000000001</v>
      </c>
      <c r="L4686">
        <v>0</v>
      </c>
      <c r="M4686">
        <f>IF((DST_123_ÜRETİM_İHTİYAÇ_RAPORU_BURAK_YENI1309[[#This Row],[SATINALMA]]*DST_123_ÜRETİM_İHTİYAÇ_RAPORU_BURAK_YENI1309[[#This Row],[BIRIM_FIYATLAR]])&lt;1,VALUE("0"),DST_123_ÜRETİM_İHTİYAÇ_RAPORU_BURAK_YENI1309[[#This Row],[SATINALMA]]*DST_123_ÜRETİM_İHTİYAÇ_RAPORU_BURAK_YENI1309[[#This Row],[BIRIM_FIYATLAR]])</f>
        <v>0</v>
      </c>
      <c r="N4686">
        <v>185</v>
      </c>
      <c r="O4686" t="s">
        <v>240</v>
      </c>
      <c r="P4686">
        <v>101.74999999999999</v>
      </c>
      <c r="Q4686" t="s">
        <v>180</v>
      </c>
    </row>
    <row r="4687" spans="1:17" x14ac:dyDescent="0.25">
      <c r="A4687" t="s">
        <v>1100</v>
      </c>
      <c r="B4687" t="s">
        <v>1058</v>
      </c>
      <c r="C4687" t="s">
        <v>175</v>
      </c>
      <c r="D4687" t="s">
        <v>256</v>
      </c>
      <c r="E4687" t="s">
        <v>257</v>
      </c>
      <c r="F4687">
        <v>0.3</v>
      </c>
      <c r="G4687" t="s">
        <v>176</v>
      </c>
      <c r="H4687">
        <v>0.3</v>
      </c>
      <c r="I4687">
        <v>14</v>
      </c>
      <c r="J4687" s="10">
        <v>6.8000000000000025</v>
      </c>
      <c r="K4687" s="10">
        <f>SUMIFS(F:F,D:D,DST_123_ÜRETİM_İHTİYAÇ_RAPORU_BURAK_YENI1309[[#This Row],[ALT_KOD]])-(SUMIFS(H:H,D:D,DST_123_ÜRETİM_İHTİYAÇ_RAPORU_BURAK_YENI1309[[#This Row],[ALT_KOD]])+AVERAGEIFS(I:I,D:D,DST_123_ÜRETİM_İHTİYAÇ_RAPORU_BURAK_YENI1309[[#This Row],[ALT_KOD]])+AVERAGEIFS(L:L,D:D,DST_123_ÜRETİM_İHTİYAÇ_RAPORU_BURAK_YENI1309[[#This Row],[ALT_KOD]]))</f>
        <v>7.7000000000000028</v>
      </c>
      <c r="L4687">
        <v>12</v>
      </c>
      <c r="M4687">
        <f>IF((DST_123_ÜRETİM_İHTİYAÇ_RAPORU_BURAK_YENI1309[[#This Row],[SATINALMA]]*DST_123_ÜRETİM_İHTİYAÇ_RAPORU_BURAK_YENI1309[[#This Row],[BIRIM_FIYATLAR]])&lt;1,VALUE("0"),DST_123_ÜRETİM_İHTİYAÇ_RAPORU_BURAK_YENI1309[[#This Row],[SATINALMA]]*DST_123_ÜRETİM_İHTİYAÇ_RAPORU_BURAK_YENI1309[[#This Row],[BIRIM_FIYATLAR]])</f>
        <v>2532.1450000000009</v>
      </c>
      <c r="N4687">
        <v>328.85</v>
      </c>
      <c r="O4687" t="s">
        <v>258</v>
      </c>
      <c r="P4687">
        <v>98.655000000000001</v>
      </c>
      <c r="Q4687" t="s">
        <v>183</v>
      </c>
    </row>
    <row r="4688" spans="1:17" x14ac:dyDescent="0.25">
      <c r="A4688" t="s">
        <v>1060</v>
      </c>
      <c r="B4688" t="s">
        <v>1061</v>
      </c>
      <c r="C4688" t="s">
        <v>175</v>
      </c>
      <c r="D4688" t="s">
        <v>98</v>
      </c>
      <c r="E4688" t="s">
        <v>248</v>
      </c>
      <c r="F4688">
        <v>7</v>
      </c>
      <c r="G4688" t="s">
        <v>176</v>
      </c>
      <c r="H4688">
        <v>7</v>
      </c>
      <c r="I4688">
        <v>230</v>
      </c>
      <c r="J4688" s="10">
        <v>72</v>
      </c>
      <c r="K4688" s="10">
        <f>SUMIFS(F:F,D:D,DST_123_ÜRETİM_İHTİYAÇ_RAPORU_BURAK_YENI1309[[#This Row],[ALT_KOD]])-(SUMIFS(H:H,D:D,DST_123_ÜRETİM_İHTİYAÇ_RAPORU_BURAK_YENI1309[[#This Row],[ALT_KOD]])+AVERAGEIFS(I:I,D:D,DST_123_ÜRETİM_İHTİYAÇ_RAPORU_BURAK_YENI1309[[#This Row],[ALT_KOD]])+AVERAGEIFS(L:L,D:D,DST_123_ÜRETİM_İHTİYAÇ_RAPORU_BURAK_YENI1309[[#This Row],[ALT_KOD]]))</f>
        <v>-172</v>
      </c>
      <c r="L4688">
        <v>0</v>
      </c>
      <c r="M4688">
        <f>IF((DST_123_ÜRETİM_İHTİYAÇ_RAPORU_BURAK_YENI1309[[#This Row],[SATINALMA]]*DST_123_ÜRETİM_İHTİYAÇ_RAPORU_BURAK_YENI1309[[#This Row],[BIRIM_FIYATLAR]])&lt;1,VALUE("0"),DST_123_ÜRETİM_İHTİYAÇ_RAPORU_BURAK_YENI1309[[#This Row],[SATINALMA]]*DST_123_ÜRETİM_İHTİYAÇ_RAPORU_BURAK_YENI1309[[#This Row],[BIRIM_FIYATLAR]])</f>
        <v>0</v>
      </c>
      <c r="N4688">
        <v>225</v>
      </c>
      <c r="O4688" t="s">
        <v>825</v>
      </c>
      <c r="P4688">
        <v>1575</v>
      </c>
      <c r="Q4688" t="s">
        <v>177</v>
      </c>
    </row>
    <row r="4689" spans="1:17" x14ac:dyDescent="0.25">
      <c r="A4689" t="s">
        <v>1060</v>
      </c>
      <c r="B4689" t="s">
        <v>1061</v>
      </c>
      <c r="C4689" t="s">
        <v>175</v>
      </c>
      <c r="D4689" t="s">
        <v>593</v>
      </c>
      <c r="E4689" t="s">
        <v>594</v>
      </c>
      <c r="F4689">
        <v>4</v>
      </c>
      <c r="G4689" t="s">
        <v>176</v>
      </c>
      <c r="H4689">
        <v>4</v>
      </c>
      <c r="I4689">
        <v>46</v>
      </c>
      <c r="J4689" s="10">
        <v>12</v>
      </c>
      <c r="K4689" s="10">
        <f>SUMIFS(F:F,D:D,DST_123_ÜRETİM_İHTİYAÇ_RAPORU_BURAK_YENI1309[[#This Row],[ALT_KOD]])-(SUMIFS(H:H,D:D,DST_123_ÜRETİM_İHTİYAÇ_RAPORU_BURAK_YENI1309[[#This Row],[ALT_KOD]])+AVERAGEIFS(I:I,D:D,DST_123_ÜRETİM_İHTİYAÇ_RAPORU_BURAK_YENI1309[[#This Row],[ALT_KOD]])+AVERAGEIFS(L:L,D:D,DST_123_ÜRETİM_İHTİYAÇ_RAPORU_BURAK_YENI1309[[#This Row],[ALT_KOD]]))</f>
        <v>-14</v>
      </c>
      <c r="L4689">
        <v>0</v>
      </c>
      <c r="M4689">
        <f>IF((DST_123_ÜRETİM_İHTİYAÇ_RAPORU_BURAK_YENI1309[[#This Row],[SATINALMA]]*DST_123_ÜRETİM_İHTİYAÇ_RAPORU_BURAK_YENI1309[[#This Row],[BIRIM_FIYATLAR]])&lt;1,VALUE("0"),DST_123_ÜRETİM_İHTİYAÇ_RAPORU_BURAK_YENI1309[[#This Row],[SATINALMA]]*DST_123_ÜRETİM_İHTİYAÇ_RAPORU_BURAK_YENI1309[[#This Row],[BIRIM_FIYATLAR]])</f>
        <v>0</v>
      </c>
      <c r="N4689">
        <v>100</v>
      </c>
      <c r="O4689" t="s">
        <v>1034</v>
      </c>
      <c r="P4689">
        <v>400</v>
      </c>
      <c r="Q4689" t="s">
        <v>177</v>
      </c>
    </row>
    <row r="4690" spans="1:17" x14ac:dyDescent="0.25">
      <c r="A4690" t="s">
        <v>1060</v>
      </c>
      <c r="B4690" t="s">
        <v>1061</v>
      </c>
      <c r="C4690" t="s">
        <v>175</v>
      </c>
      <c r="D4690" t="s">
        <v>7</v>
      </c>
      <c r="E4690" t="s">
        <v>8</v>
      </c>
      <c r="F4690">
        <v>1</v>
      </c>
      <c r="G4690" t="s">
        <v>176</v>
      </c>
      <c r="H4690">
        <v>1</v>
      </c>
      <c r="I4690">
        <v>6</v>
      </c>
      <c r="J4690" s="10">
        <v>7</v>
      </c>
      <c r="K4690" s="10">
        <f>SUMIFS(F:F,D:D,DST_123_ÜRETİM_İHTİYAÇ_RAPORU_BURAK_YENI1309[[#This Row],[ALT_KOD]])-(SUMIFS(H:H,D:D,DST_123_ÜRETİM_İHTİYAÇ_RAPORU_BURAK_YENI1309[[#This Row],[ALT_KOD]])+AVERAGEIFS(I:I,D:D,DST_123_ÜRETİM_İHTİYAÇ_RAPORU_BURAK_YENI1309[[#This Row],[ALT_KOD]])+AVERAGEIFS(L:L,D:D,DST_123_ÜRETİM_İHTİYAÇ_RAPORU_BURAK_YENI1309[[#This Row],[ALT_KOD]]))</f>
        <v>2</v>
      </c>
      <c r="L4690">
        <v>0</v>
      </c>
      <c r="M4690">
        <f>IF((DST_123_ÜRETİM_İHTİYAÇ_RAPORU_BURAK_YENI1309[[#This Row],[SATINALMA]]*DST_123_ÜRETİM_İHTİYAÇ_RAPORU_BURAK_YENI1309[[#This Row],[BIRIM_FIYATLAR]])&lt;1,VALUE("0"),DST_123_ÜRETİM_İHTİYAÇ_RAPORU_BURAK_YENI1309[[#This Row],[SATINALMA]]*DST_123_ÜRETİM_İHTİYAÇ_RAPORU_BURAK_YENI1309[[#This Row],[BIRIM_FIYATLAR]])</f>
        <v>4960.92</v>
      </c>
      <c r="N4690">
        <v>2480.46</v>
      </c>
      <c r="O4690" t="s">
        <v>227</v>
      </c>
      <c r="P4690">
        <v>2480.46</v>
      </c>
      <c r="Q4690" t="s">
        <v>221</v>
      </c>
    </row>
    <row r="4691" spans="1:17" x14ac:dyDescent="0.25">
      <c r="A4691" t="s">
        <v>1142</v>
      </c>
      <c r="B4691" t="s">
        <v>1056</v>
      </c>
      <c r="C4691" t="s">
        <v>175</v>
      </c>
      <c r="D4691" t="s">
        <v>206</v>
      </c>
      <c r="E4691" t="s">
        <v>280</v>
      </c>
      <c r="F4691">
        <v>0.5099999999999999</v>
      </c>
      <c r="G4691" t="s">
        <v>176</v>
      </c>
      <c r="H4691">
        <v>0</v>
      </c>
      <c r="I4691">
        <v>10</v>
      </c>
      <c r="J4691" s="10">
        <v>126.66400000000034</v>
      </c>
      <c r="K4691" s="10">
        <f>SUMIFS(F:F,D:D,DST_123_ÜRETİM_İHTİYAÇ_RAPORU_BURAK_YENI1309[[#This Row],[ALT_KOD]])-(SUMIFS(H:H,D:D,DST_123_ÜRETİM_İHTİYAÇ_RAPORU_BURAK_YENI1309[[#This Row],[ALT_KOD]])+AVERAGEIFS(I:I,D:D,DST_123_ÜRETİM_İHTİYAÇ_RAPORU_BURAK_YENI1309[[#This Row],[ALT_KOD]])+AVERAGEIFS(L:L,D:D,DST_123_ÜRETİM_İHTİYAÇ_RAPORU_BURAK_YENI1309[[#This Row],[ALT_KOD]]))</f>
        <v>-1.1600000000000001</v>
      </c>
      <c r="L4691">
        <v>0</v>
      </c>
      <c r="M4691">
        <f>IF((DST_123_ÜRETİM_İHTİYAÇ_RAPORU_BURAK_YENI1309[[#This Row],[SATINALMA]]*DST_123_ÜRETİM_İHTİYAÇ_RAPORU_BURAK_YENI1309[[#This Row],[BIRIM_FIYATLAR]])&lt;1,VALUE("0"),DST_123_ÜRETİM_İHTİYAÇ_RAPORU_BURAK_YENI1309[[#This Row],[SATINALMA]]*DST_123_ÜRETİM_İHTİYAÇ_RAPORU_BURAK_YENI1309[[#This Row],[BIRIM_FIYATLAR]])</f>
        <v>0</v>
      </c>
      <c r="N4691">
        <v>185</v>
      </c>
      <c r="O4691" t="s">
        <v>240</v>
      </c>
      <c r="P4691">
        <v>94.34999999999998</v>
      </c>
      <c r="Q4691" t="s">
        <v>180</v>
      </c>
    </row>
    <row r="4692" spans="1:17" x14ac:dyDescent="0.25">
      <c r="A4692" t="s">
        <v>1060</v>
      </c>
      <c r="B4692" t="s">
        <v>1061</v>
      </c>
      <c r="C4692" t="s">
        <v>175</v>
      </c>
      <c r="D4692" t="s">
        <v>840</v>
      </c>
      <c r="E4692" t="s">
        <v>841</v>
      </c>
      <c r="F4692">
        <v>9</v>
      </c>
      <c r="G4692" t="s">
        <v>179</v>
      </c>
      <c r="H4692">
        <v>0</v>
      </c>
      <c r="I4692">
        <v>0</v>
      </c>
      <c r="J4692" s="10">
        <v>165</v>
      </c>
      <c r="K4692" s="10">
        <f>SUMIFS(F:F,D:D,DST_123_ÜRETİM_İHTİYAÇ_RAPORU_BURAK_YENI1309[[#This Row],[ALT_KOD]])-(SUMIFS(H:H,D:D,DST_123_ÜRETİM_İHTİYAÇ_RAPORU_BURAK_YENI1309[[#This Row],[ALT_KOD]])+AVERAGEIFS(I:I,D:D,DST_123_ÜRETİM_İHTİYAÇ_RAPORU_BURAK_YENI1309[[#This Row],[ALT_KOD]])+AVERAGEIFS(L:L,D:D,DST_123_ÜRETİM_İHTİYAÇ_RAPORU_BURAK_YENI1309[[#This Row],[ALT_KOD]]))</f>
        <v>-289</v>
      </c>
      <c r="L4692">
        <v>400</v>
      </c>
      <c r="M4692">
        <f>IF((DST_123_ÜRETİM_İHTİYAÇ_RAPORU_BURAK_YENI1309[[#This Row],[SATINALMA]]*DST_123_ÜRETİM_İHTİYAÇ_RAPORU_BURAK_YENI1309[[#This Row],[BIRIM_FIYATLAR]])&lt;1,VALUE("0"),DST_123_ÜRETİM_İHTİYAÇ_RAPORU_BURAK_YENI1309[[#This Row],[SATINALMA]]*DST_123_ÜRETİM_İHTİYAÇ_RAPORU_BURAK_YENI1309[[#This Row],[BIRIM_FIYATLAR]])</f>
        <v>0</v>
      </c>
      <c r="N4692">
        <v>5</v>
      </c>
      <c r="O4692" t="s">
        <v>224</v>
      </c>
      <c r="P4692">
        <v>45</v>
      </c>
      <c r="Q4692" t="s">
        <v>180</v>
      </c>
    </row>
    <row r="4693" spans="1:17" x14ac:dyDescent="0.25">
      <c r="A4693" t="s">
        <v>1101</v>
      </c>
      <c r="B4693" t="s">
        <v>1102</v>
      </c>
      <c r="C4693" t="s">
        <v>175</v>
      </c>
      <c r="D4693" t="s">
        <v>11</v>
      </c>
      <c r="E4693" t="s">
        <v>12</v>
      </c>
      <c r="F4693">
        <v>1</v>
      </c>
      <c r="G4693" t="s">
        <v>176</v>
      </c>
      <c r="H4693">
        <v>1</v>
      </c>
      <c r="I4693">
        <v>24</v>
      </c>
      <c r="J4693" s="10">
        <v>9</v>
      </c>
      <c r="K4693" s="10">
        <f>SUMIFS(F:F,D:D,DST_123_ÜRETİM_İHTİYAÇ_RAPORU_BURAK_YENI1309[[#This Row],[ALT_KOD]])-(SUMIFS(H:H,D:D,DST_123_ÜRETİM_İHTİYAÇ_RAPORU_BURAK_YENI1309[[#This Row],[ALT_KOD]])+AVERAGEIFS(I:I,D:D,DST_123_ÜRETİM_İHTİYAÇ_RAPORU_BURAK_YENI1309[[#This Row],[ALT_KOD]])+AVERAGEIFS(L:L,D:D,DST_123_ÜRETİM_İHTİYAÇ_RAPORU_BURAK_YENI1309[[#This Row],[ALT_KOD]]))</f>
        <v>-21</v>
      </c>
      <c r="L4693">
        <v>0</v>
      </c>
      <c r="M4693">
        <f>IF((DST_123_ÜRETİM_İHTİYAÇ_RAPORU_BURAK_YENI1309[[#This Row],[SATINALMA]]*DST_123_ÜRETİM_İHTİYAÇ_RAPORU_BURAK_YENI1309[[#This Row],[BIRIM_FIYATLAR]])&lt;1,VALUE("0"),DST_123_ÜRETİM_İHTİYAÇ_RAPORU_BURAK_YENI1309[[#This Row],[SATINALMA]]*DST_123_ÜRETİM_İHTİYAÇ_RAPORU_BURAK_YENI1309[[#This Row],[BIRIM_FIYATLAR]])</f>
        <v>0</v>
      </c>
      <c r="N4693">
        <v>368.07</v>
      </c>
      <c r="O4693" t="s">
        <v>589</v>
      </c>
      <c r="P4693">
        <v>368.07</v>
      </c>
      <c r="Q4693" t="s">
        <v>221</v>
      </c>
    </row>
    <row r="4694" spans="1:17" x14ac:dyDescent="0.25">
      <c r="A4694" t="s">
        <v>1100</v>
      </c>
      <c r="B4694" t="s">
        <v>1058</v>
      </c>
      <c r="C4694" t="s">
        <v>175</v>
      </c>
      <c r="D4694" t="s">
        <v>665</v>
      </c>
      <c r="E4694" t="s">
        <v>666</v>
      </c>
      <c r="F4694">
        <v>2</v>
      </c>
      <c r="G4694" t="s">
        <v>176</v>
      </c>
      <c r="H4694">
        <v>2</v>
      </c>
      <c r="I4694">
        <v>0</v>
      </c>
      <c r="J4694" s="10">
        <v>4</v>
      </c>
      <c r="K4694" s="10">
        <f>SUMIFS(F:F,D:D,DST_123_ÜRETİM_İHTİYAÇ_RAPORU_BURAK_YENI1309[[#This Row],[ALT_KOD]])-(SUMIFS(H:H,D:D,DST_123_ÜRETİM_İHTİYAÇ_RAPORU_BURAK_YENI1309[[#This Row],[ALT_KOD]])+AVERAGEIFS(I:I,D:D,DST_123_ÜRETİM_İHTİYAÇ_RAPORU_BURAK_YENI1309[[#This Row],[ALT_KOD]])+AVERAGEIFS(L:L,D:D,DST_123_ÜRETİM_İHTİYAÇ_RAPORU_BURAK_YENI1309[[#This Row],[ALT_KOD]]))</f>
        <v>0</v>
      </c>
      <c r="L4694">
        <v>20</v>
      </c>
      <c r="M4694">
        <f>IF((DST_123_ÜRETİM_İHTİYAÇ_RAPORU_BURAK_YENI1309[[#This Row],[SATINALMA]]*DST_123_ÜRETİM_İHTİYAÇ_RAPORU_BURAK_YENI1309[[#This Row],[BIRIM_FIYATLAR]])&lt;1,VALUE("0"),DST_123_ÜRETİM_İHTİYAÇ_RAPORU_BURAK_YENI1309[[#This Row],[SATINALMA]]*DST_123_ÜRETİM_İHTİYAÇ_RAPORU_BURAK_YENI1309[[#This Row],[BIRIM_FIYATLAR]])</f>
        <v>0</v>
      </c>
      <c r="N4694">
        <v>28000</v>
      </c>
      <c r="O4694" t="s">
        <v>829</v>
      </c>
      <c r="P4694">
        <v>56000</v>
      </c>
      <c r="Q4694" t="s">
        <v>221</v>
      </c>
    </row>
    <row r="4695" spans="1:17" x14ac:dyDescent="0.25">
      <c r="A4695" t="s">
        <v>1100</v>
      </c>
      <c r="B4695" t="s">
        <v>1058</v>
      </c>
      <c r="C4695" t="s">
        <v>175</v>
      </c>
      <c r="D4695" t="s">
        <v>161</v>
      </c>
      <c r="E4695" t="s">
        <v>162</v>
      </c>
      <c r="F4695">
        <v>1</v>
      </c>
      <c r="G4695" t="s">
        <v>176</v>
      </c>
      <c r="H4695">
        <v>1</v>
      </c>
      <c r="I4695">
        <v>5</v>
      </c>
      <c r="J4695" s="10">
        <v>8</v>
      </c>
      <c r="K4695" s="10">
        <f>SUMIFS(F:F,D:D,DST_123_ÜRETİM_İHTİYAÇ_RAPORU_BURAK_YENI1309[[#This Row],[ALT_KOD]])-(SUMIFS(H:H,D:D,DST_123_ÜRETİM_İHTİYAÇ_RAPORU_BURAK_YENI1309[[#This Row],[ALT_KOD]])+AVERAGEIFS(I:I,D:D,DST_123_ÜRETİM_İHTİYAÇ_RAPORU_BURAK_YENI1309[[#This Row],[ALT_KOD]])+AVERAGEIFS(L:L,D:D,DST_123_ÜRETİM_İHTİYAÇ_RAPORU_BURAK_YENI1309[[#This Row],[ALT_KOD]]))</f>
        <v>5</v>
      </c>
      <c r="L4695">
        <v>0</v>
      </c>
      <c r="M4695">
        <f>IF((DST_123_ÜRETİM_İHTİYAÇ_RAPORU_BURAK_YENI1309[[#This Row],[SATINALMA]]*DST_123_ÜRETİM_İHTİYAÇ_RAPORU_BURAK_YENI1309[[#This Row],[BIRIM_FIYATLAR]])&lt;1,VALUE("0"),DST_123_ÜRETİM_İHTİYAÇ_RAPORU_BURAK_YENI1309[[#This Row],[SATINALMA]]*DST_123_ÜRETİM_İHTİYAÇ_RAPORU_BURAK_YENI1309[[#This Row],[BIRIM_FIYATLAR]])</f>
        <v>30523.449999999997</v>
      </c>
      <c r="N4695">
        <v>6104.69</v>
      </c>
      <c r="O4695" t="s">
        <v>227</v>
      </c>
      <c r="P4695">
        <v>6104.69</v>
      </c>
      <c r="Q4695" t="s">
        <v>221</v>
      </c>
    </row>
    <row r="4696" spans="1:17" x14ac:dyDescent="0.25">
      <c r="A4696" t="s">
        <v>1060</v>
      </c>
      <c r="B4696" t="s">
        <v>1061</v>
      </c>
      <c r="C4696" t="s">
        <v>175</v>
      </c>
      <c r="D4696" t="s">
        <v>161</v>
      </c>
      <c r="E4696" t="s">
        <v>162</v>
      </c>
      <c r="F4696">
        <v>1</v>
      </c>
      <c r="G4696" t="s">
        <v>176</v>
      </c>
      <c r="H4696">
        <v>1</v>
      </c>
      <c r="I4696">
        <v>5</v>
      </c>
      <c r="J4696" s="10">
        <v>8</v>
      </c>
      <c r="K4696" s="10">
        <f>SUMIFS(F:F,D:D,DST_123_ÜRETİM_İHTİYAÇ_RAPORU_BURAK_YENI1309[[#This Row],[ALT_KOD]])-(SUMIFS(H:H,D:D,DST_123_ÜRETİM_İHTİYAÇ_RAPORU_BURAK_YENI1309[[#This Row],[ALT_KOD]])+AVERAGEIFS(I:I,D:D,DST_123_ÜRETİM_İHTİYAÇ_RAPORU_BURAK_YENI1309[[#This Row],[ALT_KOD]])+AVERAGEIFS(L:L,D:D,DST_123_ÜRETİM_İHTİYAÇ_RAPORU_BURAK_YENI1309[[#This Row],[ALT_KOD]]))</f>
        <v>5</v>
      </c>
      <c r="L4696">
        <v>0</v>
      </c>
      <c r="M4696">
        <f>IF((DST_123_ÜRETİM_İHTİYAÇ_RAPORU_BURAK_YENI1309[[#This Row],[SATINALMA]]*DST_123_ÜRETİM_İHTİYAÇ_RAPORU_BURAK_YENI1309[[#This Row],[BIRIM_FIYATLAR]])&lt;1,VALUE("0"),DST_123_ÜRETİM_İHTİYAÇ_RAPORU_BURAK_YENI1309[[#This Row],[SATINALMA]]*DST_123_ÜRETİM_İHTİYAÇ_RAPORU_BURAK_YENI1309[[#This Row],[BIRIM_FIYATLAR]])</f>
        <v>30523.449999999997</v>
      </c>
      <c r="N4696">
        <v>6104.69</v>
      </c>
      <c r="O4696" t="s">
        <v>227</v>
      </c>
      <c r="P4696">
        <v>6104.69</v>
      </c>
      <c r="Q4696" t="s">
        <v>221</v>
      </c>
    </row>
    <row r="4697" spans="1:17" x14ac:dyDescent="0.25">
      <c r="A4697" t="s">
        <v>1059</v>
      </c>
      <c r="B4697" t="s">
        <v>1058</v>
      </c>
      <c r="C4697" t="s">
        <v>175</v>
      </c>
      <c r="D4697" t="s">
        <v>783</v>
      </c>
      <c r="E4697" t="s">
        <v>784</v>
      </c>
      <c r="F4697">
        <v>1</v>
      </c>
      <c r="G4697" t="s">
        <v>176</v>
      </c>
      <c r="H4697">
        <v>1</v>
      </c>
      <c r="I4697">
        <v>15</v>
      </c>
      <c r="J4697" s="10">
        <v>11</v>
      </c>
      <c r="K4697" s="10">
        <f>SUMIFS(F:F,D:D,DST_123_ÜRETİM_İHTİYAÇ_RAPORU_BURAK_YENI1309[[#This Row],[ALT_KOD]])-(SUMIFS(H:H,D:D,DST_123_ÜRETİM_İHTİYAÇ_RAPORU_BURAK_YENI1309[[#This Row],[ALT_KOD]])+AVERAGEIFS(I:I,D:D,DST_123_ÜRETİM_İHTİYAÇ_RAPORU_BURAK_YENI1309[[#This Row],[ALT_KOD]])+AVERAGEIFS(L:L,D:D,DST_123_ÜRETİM_İHTİYAÇ_RAPORU_BURAK_YENI1309[[#This Row],[ALT_KOD]]))</f>
        <v>-4</v>
      </c>
      <c r="L4697">
        <v>0</v>
      </c>
      <c r="M4697">
        <f>IF((DST_123_ÜRETİM_İHTİYAÇ_RAPORU_BURAK_YENI1309[[#This Row],[SATINALMA]]*DST_123_ÜRETİM_İHTİYAÇ_RAPORU_BURAK_YENI1309[[#This Row],[BIRIM_FIYATLAR]])&lt;1,VALUE("0"),DST_123_ÜRETİM_İHTİYAÇ_RAPORU_BURAK_YENI1309[[#This Row],[SATINALMA]]*DST_123_ÜRETİM_İHTİYAÇ_RAPORU_BURAK_YENI1309[[#This Row],[BIRIM_FIYATLAR]])</f>
        <v>0</v>
      </c>
      <c r="N4697">
        <v>510</v>
      </c>
      <c r="O4697" t="s">
        <v>289</v>
      </c>
      <c r="P4697">
        <v>510</v>
      </c>
      <c r="Q4697" t="s">
        <v>178</v>
      </c>
    </row>
    <row r="4698" spans="1:17" x14ac:dyDescent="0.25">
      <c r="A4698" t="s">
        <v>1196</v>
      </c>
      <c r="B4698" t="s">
        <v>1197</v>
      </c>
      <c r="C4698" t="s">
        <v>175</v>
      </c>
      <c r="D4698" t="s">
        <v>256</v>
      </c>
      <c r="E4698" t="s">
        <v>257</v>
      </c>
      <c r="F4698">
        <v>2.7</v>
      </c>
      <c r="G4698" t="s">
        <v>176</v>
      </c>
      <c r="H4698">
        <v>0</v>
      </c>
      <c r="I4698">
        <v>14</v>
      </c>
      <c r="J4698" s="10">
        <v>6.8000000000000025</v>
      </c>
      <c r="K4698" s="10">
        <f>SUMIFS(F:F,D:D,DST_123_ÜRETİM_İHTİYAÇ_RAPORU_BURAK_YENI1309[[#This Row],[ALT_KOD]])-(SUMIFS(H:H,D:D,DST_123_ÜRETİM_İHTİYAÇ_RAPORU_BURAK_YENI1309[[#This Row],[ALT_KOD]])+AVERAGEIFS(I:I,D:D,DST_123_ÜRETİM_İHTİYAÇ_RAPORU_BURAK_YENI1309[[#This Row],[ALT_KOD]])+AVERAGEIFS(L:L,D:D,DST_123_ÜRETİM_İHTİYAÇ_RAPORU_BURAK_YENI1309[[#This Row],[ALT_KOD]]))</f>
        <v>7.7000000000000028</v>
      </c>
      <c r="L4698">
        <v>12</v>
      </c>
      <c r="M4698">
        <f>IF((DST_123_ÜRETİM_İHTİYAÇ_RAPORU_BURAK_YENI1309[[#This Row],[SATINALMA]]*DST_123_ÜRETİM_İHTİYAÇ_RAPORU_BURAK_YENI1309[[#This Row],[BIRIM_FIYATLAR]])&lt;1,VALUE("0"),DST_123_ÜRETİM_İHTİYAÇ_RAPORU_BURAK_YENI1309[[#This Row],[SATINALMA]]*DST_123_ÜRETİM_İHTİYAÇ_RAPORU_BURAK_YENI1309[[#This Row],[BIRIM_FIYATLAR]])</f>
        <v>2532.1450000000009</v>
      </c>
      <c r="N4698">
        <v>328.85</v>
      </c>
      <c r="O4698" t="s">
        <v>258</v>
      </c>
      <c r="P4698">
        <v>887.8950000000001</v>
      </c>
      <c r="Q4698" t="s">
        <v>183</v>
      </c>
    </row>
    <row r="4699" spans="1:17" x14ac:dyDescent="0.25">
      <c r="A4699" t="s">
        <v>1097</v>
      </c>
      <c r="B4699" t="s">
        <v>1055</v>
      </c>
      <c r="C4699" t="s">
        <v>175</v>
      </c>
      <c r="D4699" t="s">
        <v>783</v>
      </c>
      <c r="E4699" t="s">
        <v>784</v>
      </c>
      <c r="F4699">
        <v>1</v>
      </c>
      <c r="G4699" t="s">
        <v>176</v>
      </c>
      <c r="H4699">
        <v>1</v>
      </c>
      <c r="I4699">
        <v>15</v>
      </c>
      <c r="J4699" s="10">
        <v>11</v>
      </c>
      <c r="K4699" s="10">
        <f>SUMIFS(F:F,D:D,DST_123_ÜRETİM_İHTİYAÇ_RAPORU_BURAK_YENI1309[[#This Row],[ALT_KOD]])-(SUMIFS(H:H,D:D,DST_123_ÜRETİM_İHTİYAÇ_RAPORU_BURAK_YENI1309[[#This Row],[ALT_KOD]])+AVERAGEIFS(I:I,D:D,DST_123_ÜRETİM_İHTİYAÇ_RAPORU_BURAK_YENI1309[[#This Row],[ALT_KOD]])+AVERAGEIFS(L:L,D:D,DST_123_ÜRETİM_İHTİYAÇ_RAPORU_BURAK_YENI1309[[#This Row],[ALT_KOD]]))</f>
        <v>-4</v>
      </c>
      <c r="L4699">
        <v>0</v>
      </c>
      <c r="M4699">
        <f>IF((DST_123_ÜRETİM_İHTİYAÇ_RAPORU_BURAK_YENI1309[[#This Row],[SATINALMA]]*DST_123_ÜRETİM_İHTİYAÇ_RAPORU_BURAK_YENI1309[[#This Row],[BIRIM_FIYATLAR]])&lt;1,VALUE("0"),DST_123_ÜRETİM_İHTİYAÇ_RAPORU_BURAK_YENI1309[[#This Row],[SATINALMA]]*DST_123_ÜRETİM_İHTİYAÇ_RAPORU_BURAK_YENI1309[[#This Row],[BIRIM_FIYATLAR]])</f>
        <v>0</v>
      </c>
      <c r="N4699">
        <v>510</v>
      </c>
      <c r="O4699" t="s">
        <v>289</v>
      </c>
      <c r="P4699">
        <v>510</v>
      </c>
      <c r="Q4699" t="s">
        <v>178</v>
      </c>
    </row>
    <row r="4700" spans="1:17" x14ac:dyDescent="0.25">
      <c r="A4700" t="s">
        <v>1097</v>
      </c>
      <c r="B4700" t="s">
        <v>1055</v>
      </c>
      <c r="C4700" t="s">
        <v>175</v>
      </c>
      <c r="D4700" t="s">
        <v>605</v>
      </c>
      <c r="E4700" t="s">
        <v>606</v>
      </c>
      <c r="F4700">
        <v>2</v>
      </c>
      <c r="G4700" t="s">
        <v>176</v>
      </c>
      <c r="H4700">
        <v>2</v>
      </c>
      <c r="I4700">
        <v>25</v>
      </c>
      <c r="J4700" s="10">
        <v>14</v>
      </c>
      <c r="K4700" s="10">
        <f>SUMIFS(F:F,D:D,DST_123_ÜRETİM_İHTİYAÇ_RAPORU_BURAK_YENI1309[[#This Row],[ALT_KOD]])-(SUMIFS(H:H,D:D,DST_123_ÜRETİM_İHTİYAÇ_RAPORU_BURAK_YENI1309[[#This Row],[ALT_KOD]])+AVERAGEIFS(I:I,D:D,DST_123_ÜRETİM_İHTİYAÇ_RAPORU_BURAK_YENI1309[[#This Row],[ALT_KOD]])+AVERAGEIFS(L:L,D:D,DST_123_ÜRETİM_İHTİYAÇ_RAPORU_BURAK_YENI1309[[#This Row],[ALT_KOD]]))</f>
        <v>7</v>
      </c>
      <c r="L4700">
        <v>0</v>
      </c>
      <c r="M4700">
        <f>IF((DST_123_ÜRETİM_İHTİYAÇ_RAPORU_BURAK_YENI1309[[#This Row],[SATINALMA]]*DST_123_ÜRETİM_İHTİYAÇ_RAPORU_BURAK_YENI1309[[#This Row],[BIRIM_FIYATLAR]])&lt;1,VALUE("0"),DST_123_ÜRETİM_İHTİYAÇ_RAPORU_BURAK_YENI1309[[#This Row],[SATINALMA]]*DST_123_ÜRETİM_İHTİYAÇ_RAPORU_BURAK_YENI1309[[#This Row],[BIRIM_FIYATLAR]])</f>
        <v>1206.6599999999999</v>
      </c>
      <c r="N4700">
        <v>172.38</v>
      </c>
      <c r="O4700" t="s">
        <v>636</v>
      </c>
      <c r="P4700">
        <v>344.76</v>
      </c>
      <c r="Q4700" t="s">
        <v>177</v>
      </c>
    </row>
    <row r="4701" spans="1:17" x14ac:dyDescent="0.25">
      <c r="A4701" t="s">
        <v>1059</v>
      </c>
      <c r="B4701" t="s">
        <v>1058</v>
      </c>
      <c r="C4701" t="s">
        <v>175</v>
      </c>
      <c r="D4701" t="s">
        <v>7</v>
      </c>
      <c r="E4701" t="s">
        <v>8</v>
      </c>
      <c r="F4701">
        <v>1</v>
      </c>
      <c r="G4701" t="s">
        <v>176</v>
      </c>
      <c r="H4701">
        <v>1</v>
      </c>
      <c r="I4701">
        <v>6</v>
      </c>
      <c r="J4701" s="10">
        <v>7</v>
      </c>
      <c r="K4701" s="10">
        <f>SUMIFS(F:F,D:D,DST_123_ÜRETİM_İHTİYAÇ_RAPORU_BURAK_YENI1309[[#This Row],[ALT_KOD]])-(SUMIFS(H:H,D:D,DST_123_ÜRETİM_İHTİYAÇ_RAPORU_BURAK_YENI1309[[#This Row],[ALT_KOD]])+AVERAGEIFS(I:I,D:D,DST_123_ÜRETİM_İHTİYAÇ_RAPORU_BURAK_YENI1309[[#This Row],[ALT_KOD]])+AVERAGEIFS(L:L,D:D,DST_123_ÜRETİM_İHTİYAÇ_RAPORU_BURAK_YENI1309[[#This Row],[ALT_KOD]]))</f>
        <v>2</v>
      </c>
      <c r="L4701">
        <v>0</v>
      </c>
      <c r="M4701">
        <f>IF((DST_123_ÜRETİM_İHTİYAÇ_RAPORU_BURAK_YENI1309[[#This Row],[SATINALMA]]*DST_123_ÜRETİM_İHTİYAÇ_RAPORU_BURAK_YENI1309[[#This Row],[BIRIM_FIYATLAR]])&lt;1,VALUE("0"),DST_123_ÜRETİM_İHTİYAÇ_RAPORU_BURAK_YENI1309[[#This Row],[SATINALMA]]*DST_123_ÜRETİM_İHTİYAÇ_RAPORU_BURAK_YENI1309[[#This Row],[BIRIM_FIYATLAR]])</f>
        <v>4960.92</v>
      </c>
      <c r="N4701">
        <v>2480.46</v>
      </c>
      <c r="O4701" t="s">
        <v>227</v>
      </c>
      <c r="P4701">
        <v>2480.46</v>
      </c>
      <c r="Q4701" t="s">
        <v>221</v>
      </c>
    </row>
    <row r="4702" spans="1:17" x14ac:dyDescent="0.25">
      <c r="A4702" t="s">
        <v>1097</v>
      </c>
      <c r="B4702" t="s">
        <v>1055</v>
      </c>
      <c r="C4702" t="s">
        <v>175</v>
      </c>
      <c r="D4702" t="s">
        <v>206</v>
      </c>
      <c r="E4702" t="s">
        <v>280</v>
      </c>
      <c r="F4702">
        <v>0.80800000000000016</v>
      </c>
      <c r="G4702" t="s">
        <v>176</v>
      </c>
      <c r="H4702">
        <v>0.80800000000000016</v>
      </c>
      <c r="I4702">
        <v>10</v>
      </c>
      <c r="J4702" s="10">
        <v>126.66400000000034</v>
      </c>
      <c r="K4702" s="10">
        <f>SUMIFS(F:F,D:D,DST_123_ÜRETİM_İHTİYAÇ_RAPORU_BURAK_YENI1309[[#This Row],[ALT_KOD]])-(SUMIFS(H:H,D:D,DST_123_ÜRETİM_İHTİYAÇ_RAPORU_BURAK_YENI1309[[#This Row],[ALT_KOD]])+AVERAGEIFS(I:I,D:D,DST_123_ÜRETİM_İHTİYAÇ_RAPORU_BURAK_YENI1309[[#This Row],[ALT_KOD]])+AVERAGEIFS(L:L,D:D,DST_123_ÜRETİM_İHTİYAÇ_RAPORU_BURAK_YENI1309[[#This Row],[ALT_KOD]]))</f>
        <v>-1.1600000000000001</v>
      </c>
      <c r="L4702">
        <v>0</v>
      </c>
      <c r="M4702">
        <f>IF((DST_123_ÜRETİM_İHTİYAÇ_RAPORU_BURAK_YENI1309[[#This Row],[SATINALMA]]*DST_123_ÜRETİM_İHTİYAÇ_RAPORU_BURAK_YENI1309[[#This Row],[BIRIM_FIYATLAR]])&lt;1,VALUE("0"),DST_123_ÜRETİM_İHTİYAÇ_RAPORU_BURAK_YENI1309[[#This Row],[SATINALMA]]*DST_123_ÜRETİM_İHTİYAÇ_RAPORU_BURAK_YENI1309[[#This Row],[BIRIM_FIYATLAR]])</f>
        <v>0</v>
      </c>
      <c r="N4702">
        <v>185</v>
      </c>
      <c r="O4702" t="s">
        <v>240</v>
      </c>
      <c r="P4702">
        <v>149.48000000000002</v>
      </c>
      <c r="Q4702" t="s">
        <v>180</v>
      </c>
    </row>
    <row r="4703" spans="1:17" x14ac:dyDescent="0.25">
      <c r="A4703" t="s">
        <v>1099</v>
      </c>
      <c r="B4703" t="s">
        <v>1055</v>
      </c>
      <c r="C4703" t="s">
        <v>175</v>
      </c>
      <c r="D4703" t="s">
        <v>703</v>
      </c>
      <c r="E4703" t="s">
        <v>704</v>
      </c>
      <c r="F4703">
        <v>4</v>
      </c>
      <c r="G4703" t="s">
        <v>176</v>
      </c>
      <c r="H4703">
        <v>0</v>
      </c>
      <c r="I4703">
        <v>250</v>
      </c>
      <c r="J4703" s="10">
        <v>302</v>
      </c>
      <c r="K4703" s="10">
        <f>SUMIFS(F:F,D:D,DST_123_ÜRETİM_İHTİYAÇ_RAPORU_BURAK_YENI1309[[#This Row],[ALT_KOD]])-(SUMIFS(H:H,D:D,DST_123_ÜRETİM_İHTİYAÇ_RAPORU_BURAK_YENI1309[[#This Row],[ALT_KOD]])+AVERAGEIFS(I:I,D:D,DST_123_ÜRETİM_İHTİYAÇ_RAPORU_BURAK_YENI1309[[#This Row],[ALT_KOD]])+AVERAGEIFS(L:L,D:D,DST_123_ÜRETİM_İHTİYAÇ_RAPORU_BURAK_YENI1309[[#This Row],[ALT_KOD]]))</f>
        <v>-202</v>
      </c>
      <c r="L4703">
        <v>0</v>
      </c>
      <c r="M4703">
        <f>IF((DST_123_ÜRETİM_İHTİYAÇ_RAPORU_BURAK_YENI1309[[#This Row],[SATINALMA]]*DST_123_ÜRETİM_İHTİYAÇ_RAPORU_BURAK_YENI1309[[#This Row],[BIRIM_FIYATLAR]])&lt;1,VALUE("0"),DST_123_ÜRETİM_İHTİYAÇ_RAPORU_BURAK_YENI1309[[#This Row],[SATINALMA]]*DST_123_ÜRETİM_İHTİYAÇ_RAPORU_BURAK_YENI1309[[#This Row],[BIRIM_FIYATLAR]])</f>
        <v>0</v>
      </c>
      <c r="N4703">
        <v>0.9</v>
      </c>
      <c r="O4703" t="s">
        <v>826</v>
      </c>
      <c r="P4703">
        <v>3.6</v>
      </c>
      <c r="Q4703" t="s">
        <v>221</v>
      </c>
    </row>
    <row r="4704" spans="1:17" x14ac:dyDescent="0.25">
      <c r="A4704" t="s">
        <v>1196</v>
      </c>
      <c r="B4704" t="s">
        <v>1197</v>
      </c>
      <c r="C4704" t="s">
        <v>175</v>
      </c>
      <c r="D4704" t="s">
        <v>605</v>
      </c>
      <c r="E4704" t="s">
        <v>606</v>
      </c>
      <c r="F4704">
        <v>4</v>
      </c>
      <c r="G4704" t="s">
        <v>176</v>
      </c>
      <c r="H4704">
        <v>0</v>
      </c>
      <c r="I4704">
        <v>25</v>
      </c>
      <c r="J4704" s="10">
        <v>14</v>
      </c>
      <c r="K4704" s="10">
        <f>SUMIFS(F:F,D:D,DST_123_ÜRETİM_İHTİYAÇ_RAPORU_BURAK_YENI1309[[#This Row],[ALT_KOD]])-(SUMIFS(H:H,D:D,DST_123_ÜRETİM_İHTİYAÇ_RAPORU_BURAK_YENI1309[[#This Row],[ALT_KOD]])+AVERAGEIFS(I:I,D:D,DST_123_ÜRETİM_İHTİYAÇ_RAPORU_BURAK_YENI1309[[#This Row],[ALT_KOD]])+AVERAGEIFS(L:L,D:D,DST_123_ÜRETİM_İHTİYAÇ_RAPORU_BURAK_YENI1309[[#This Row],[ALT_KOD]]))</f>
        <v>7</v>
      </c>
      <c r="L4704">
        <v>0</v>
      </c>
      <c r="M4704">
        <f>IF((DST_123_ÜRETİM_İHTİYAÇ_RAPORU_BURAK_YENI1309[[#This Row],[SATINALMA]]*DST_123_ÜRETİM_İHTİYAÇ_RAPORU_BURAK_YENI1309[[#This Row],[BIRIM_FIYATLAR]])&lt;1,VALUE("0"),DST_123_ÜRETİM_İHTİYAÇ_RAPORU_BURAK_YENI1309[[#This Row],[SATINALMA]]*DST_123_ÜRETİM_İHTİYAÇ_RAPORU_BURAK_YENI1309[[#This Row],[BIRIM_FIYATLAR]])</f>
        <v>1206.6599999999999</v>
      </c>
      <c r="N4704">
        <v>172.38</v>
      </c>
      <c r="O4704" t="s">
        <v>636</v>
      </c>
      <c r="P4704">
        <v>689.52</v>
      </c>
      <c r="Q4704" t="s">
        <v>177</v>
      </c>
    </row>
    <row r="4705" spans="1:17" x14ac:dyDescent="0.25">
      <c r="A4705" t="s">
        <v>1144</v>
      </c>
      <c r="B4705" t="s">
        <v>1145</v>
      </c>
      <c r="C4705" t="s">
        <v>175</v>
      </c>
      <c r="D4705" t="s">
        <v>505</v>
      </c>
      <c r="E4705" t="s">
        <v>506</v>
      </c>
      <c r="F4705">
        <v>1</v>
      </c>
      <c r="G4705" t="s">
        <v>176</v>
      </c>
      <c r="H4705">
        <v>0</v>
      </c>
      <c r="I4705">
        <v>42</v>
      </c>
      <c r="J4705" s="10">
        <v>10</v>
      </c>
      <c r="K4705" s="10">
        <f>SUMIFS(F:F,D:D,DST_123_ÜRETİM_İHTİYAÇ_RAPORU_BURAK_YENI1309[[#This Row],[ALT_KOD]])-(SUMIFS(H:H,D:D,DST_123_ÜRETİM_İHTİYAÇ_RAPORU_BURAK_YENI1309[[#This Row],[ALT_KOD]])+AVERAGEIFS(I:I,D:D,DST_123_ÜRETİM_İHTİYAÇ_RAPORU_BURAK_YENI1309[[#This Row],[ALT_KOD]])+AVERAGEIFS(L:L,D:D,DST_123_ÜRETİM_İHTİYAÇ_RAPORU_BURAK_YENI1309[[#This Row],[ALT_KOD]]))</f>
        <v>-30</v>
      </c>
      <c r="L4705">
        <v>0</v>
      </c>
      <c r="M4705">
        <f>IF((DST_123_ÜRETİM_İHTİYAÇ_RAPORU_BURAK_YENI1309[[#This Row],[SATINALMA]]*DST_123_ÜRETİM_İHTİYAÇ_RAPORU_BURAK_YENI1309[[#This Row],[BIRIM_FIYATLAR]])&lt;1,VALUE("0"),DST_123_ÜRETİM_İHTİYAÇ_RAPORU_BURAK_YENI1309[[#This Row],[SATINALMA]]*DST_123_ÜRETİM_İHTİYAÇ_RAPORU_BURAK_YENI1309[[#This Row],[BIRIM_FIYATLAR]])</f>
        <v>0</v>
      </c>
      <c r="N4705">
        <v>142.5</v>
      </c>
      <c r="O4705" t="s">
        <v>826</v>
      </c>
      <c r="P4705">
        <v>142.5</v>
      </c>
      <c r="Q4705" t="s">
        <v>221</v>
      </c>
    </row>
    <row r="4706" spans="1:17" x14ac:dyDescent="0.25">
      <c r="A4706" t="s">
        <v>1149</v>
      </c>
      <c r="B4706" t="s">
        <v>1145</v>
      </c>
      <c r="C4706" t="s">
        <v>175</v>
      </c>
      <c r="D4706" t="s">
        <v>1159</v>
      </c>
      <c r="E4706" t="s">
        <v>1160</v>
      </c>
      <c r="F4706">
        <v>6</v>
      </c>
      <c r="G4706" t="s">
        <v>176</v>
      </c>
      <c r="H4706">
        <v>0</v>
      </c>
      <c r="I4706">
        <v>0</v>
      </c>
      <c r="J4706" s="10">
        <v>0</v>
      </c>
      <c r="K4706" s="10">
        <f>SUMIFS(F:F,D:D,DST_123_ÜRETİM_İHTİYAÇ_RAPORU_BURAK_YENI1309[[#This Row],[ALT_KOD]])-(SUMIFS(H:H,D:D,DST_123_ÜRETİM_İHTİYAÇ_RAPORU_BURAK_YENI1309[[#This Row],[ALT_KOD]])+AVERAGEIFS(I:I,D:D,DST_123_ÜRETİM_İHTİYAÇ_RAPORU_BURAK_YENI1309[[#This Row],[ALT_KOD]])+AVERAGEIFS(L:L,D:D,DST_123_ÜRETİM_İHTİYAÇ_RAPORU_BURAK_YENI1309[[#This Row],[ALT_KOD]]))</f>
        <v>42</v>
      </c>
      <c r="L4706">
        <v>0</v>
      </c>
      <c r="M4706">
        <f>IF((DST_123_ÜRETİM_İHTİYAÇ_RAPORU_BURAK_YENI1309[[#This Row],[SATINALMA]]*DST_123_ÜRETİM_İHTİYAÇ_RAPORU_BURAK_YENI1309[[#This Row],[BIRIM_FIYATLAR]])&lt;1,VALUE("0"),DST_123_ÜRETİM_İHTİYAÇ_RAPORU_BURAK_YENI1309[[#This Row],[SATINALMA]]*DST_123_ÜRETİM_İHTİYAÇ_RAPORU_BURAK_YENI1309[[#This Row],[BIRIM_FIYATLAR]])</f>
        <v>15.12</v>
      </c>
      <c r="N4706">
        <v>0.36</v>
      </c>
      <c r="O4706" t="s">
        <v>882</v>
      </c>
      <c r="P4706">
        <v>2.16</v>
      </c>
      <c r="Q4706" t="s">
        <v>180</v>
      </c>
    </row>
    <row r="4707" spans="1:17" x14ac:dyDescent="0.25">
      <c r="A4707" t="s">
        <v>1147</v>
      </c>
      <c r="B4707" t="s">
        <v>1145</v>
      </c>
      <c r="C4707" t="s">
        <v>175</v>
      </c>
      <c r="D4707" t="s">
        <v>1161</v>
      </c>
      <c r="E4707" t="s">
        <v>1162</v>
      </c>
      <c r="F4707">
        <v>2</v>
      </c>
      <c r="G4707" t="s">
        <v>176</v>
      </c>
      <c r="H4707">
        <v>0</v>
      </c>
      <c r="I4707">
        <v>0</v>
      </c>
      <c r="J4707" s="10">
        <v>0</v>
      </c>
      <c r="K4707" s="10">
        <f>SUMIFS(F:F,D:D,DST_123_ÜRETİM_İHTİYAÇ_RAPORU_BURAK_YENI1309[[#This Row],[ALT_KOD]])-(SUMIFS(H:H,D:D,DST_123_ÜRETİM_İHTİYAÇ_RAPORU_BURAK_YENI1309[[#This Row],[ALT_KOD]])+AVERAGEIFS(I:I,D:D,DST_123_ÜRETİM_İHTİYAÇ_RAPORU_BURAK_YENI1309[[#This Row],[ALT_KOD]])+AVERAGEIFS(L:L,D:D,DST_123_ÜRETİM_İHTİYAÇ_RAPORU_BURAK_YENI1309[[#This Row],[ALT_KOD]]))</f>
        <v>14</v>
      </c>
      <c r="L4707">
        <v>0</v>
      </c>
      <c r="M4707">
        <f>IF((DST_123_ÜRETİM_İHTİYAÇ_RAPORU_BURAK_YENI1309[[#This Row],[SATINALMA]]*DST_123_ÜRETİM_İHTİYAÇ_RAPORU_BURAK_YENI1309[[#This Row],[BIRIM_FIYATLAR]])&lt;1,VALUE("0"),DST_123_ÜRETİM_İHTİYAÇ_RAPORU_BURAK_YENI1309[[#This Row],[SATINALMA]]*DST_123_ÜRETİM_İHTİYAÇ_RAPORU_BURAK_YENI1309[[#This Row],[BIRIM_FIYATLAR]])</f>
        <v>0</v>
      </c>
      <c r="N4707">
        <v>0</v>
      </c>
      <c r="P4707">
        <v>0</v>
      </c>
      <c r="Q4707" t="s">
        <v>221</v>
      </c>
    </row>
    <row r="4708" spans="1:17" x14ac:dyDescent="0.25">
      <c r="A4708" t="s">
        <v>1100</v>
      </c>
      <c r="B4708" t="s">
        <v>1058</v>
      </c>
      <c r="C4708" t="s">
        <v>175</v>
      </c>
      <c r="D4708" t="s">
        <v>802</v>
      </c>
      <c r="E4708" t="s">
        <v>822</v>
      </c>
      <c r="F4708">
        <v>2</v>
      </c>
      <c r="G4708" t="s">
        <v>176</v>
      </c>
      <c r="H4708">
        <v>2</v>
      </c>
      <c r="I4708">
        <v>20.5</v>
      </c>
      <c r="J4708" s="10">
        <v>5</v>
      </c>
      <c r="K4708" s="10">
        <f>SUMIFS(F:F,D:D,DST_123_ÜRETİM_İHTİYAÇ_RAPORU_BURAK_YENI1309[[#This Row],[ALT_KOD]])-(SUMIFS(H:H,D:D,DST_123_ÜRETİM_İHTİYAÇ_RAPORU_BURAK_YENI1309[[#This Row],[ALT_KOD]])+AVERAGEIFS(I:I,D:D,DST_123_ÜRETİM_İHTİYAÇ_RAPORU_BURAK_YENI1309[[#This Row],[ALT_KOD]])+AVERAGEIFS(L:L,D:D,DST_123_ÜRETİM_İHTİYAÇ_RAPORU_BURAK_YENI1309[[#This Row],[ALT_KOD]]))</f>
        <v>-9.5</v>
      </c>
      <c r="L4708">
        <v>0</v>
      </c>
      <c r="M4708">
        <f>IF((DST_123_ÜRETİM_İHTİYAÇ_RAPORU_BURAK_YENI1309[[#This Row],[SATINALMA]]*DST_123_ÜRETİM_İHTİYAÇ_RAPORU_BURAK_YENI1309[[#This Row],[BIRIM_FIYATLAR]])&lt;1,VALUE("0"),DST_123_ÜRETİM_İHTİYAÇ_RAPORU_BURAK_YENI1309[[#This Row],[SATINALMA]]*DST_123_ÜRETİM_İHTİYAÇ_RAPORU_BURAK_YENI1309[[#This Row],[BIRIM_FIYATLAR]])</f>
        <v>0</v>
      </c>
      <c r="N4708">
        <v>175</v>
      </c>
      <c r="O4708" t="s">
        <v>217</v>
      </c>
      <c r="P4708">
        <v>350</v>
      </c>
      <c r="Q4708" t="s">
        <v>180</v>
      </c>
    </row>
    <row r="4709" spans="1:17" x14ac:dyDescent="0.25">
      <c r="A4709" t="s">
        <v>1148</v>
      </c>
      <c r="B4709" t="s">
        <v>1056</v>
      </c>
      <c r="C4709" t="s">
        <v>175</v>
      </c>
      <c r="D4709" t="s">
        <v>736</v>
      </c>
      <c r="E4709" t="s">
        <v>737</v>
      </c>
      <c r="F4709">
        <v>1</v>
      </c>
      <c r="G4709" t="s">
        <v>176</v>
      </c>
      <c r="H4709">
        <v>0</v>
      </c>
      <c r="I4709">
        <v>12</v>
      </c>
      <c r="J4709" s="10">
        <v>17</v>
      </c>
      <c r="K4709" s="10">
        <f>SUMIFS(F:F,D:D,DST_123_ÜRETİM_İHTİYAÇ_RAPORU_BURAK_YENI1309[[#This Row],[ALT_KOD]])-(SUMIFS(H:H,D:D,DST_123_ÜRETİM_İHTİYAÇ_RAPORU_BURAK_YENI1309[[#This Row],[ALT_KOD]])+AVERAGEIFS(I:I,D:D,DST_123_ÜRETİM_İHTİYAÇ_RAPORU_BURAK_YENI1309[[#This Row],[ALT_KOD]])+AVERAGEIFS(L:L,D:D,DST_123_ÜRETİM_İHTİYAÇ_RAPORU_BURAK_YENI1309[[#This Row],[ALT_KOD]]))</f>
        <v>-1</v>
      </c>
      <c r="L4709">
        <v>0</v>
      </c>
      <c r="M4709">
        <f>IF((DST_123_ÜRETİM_İHTİYAÇ_RAPORU_BURAK_YENI1309[[#This Row],[SATINALMA]]*DST_123_ÜRETİM_İHTİYAÇ_RAPORU_BURAK_YENI1309[[#This Row],[BIRIM_FIYATLAR]])&lt;1,VALUE("0"),DST_123_ÜRETİM_İHTİYAÇ_RAPORU_BURAK_YENI1309[[#This Row],[SATINALMA]]*DST_123_ÜRETİM_İHTİYAÇ_RAPORU_BURAK_YENI1309[[#This Row],[BIRIM_FIYATLAR]])</f>
        <v>0</v>
      </c>
      <c r="N4709">
        <v>400</v>
      </c>
      <c r="O4709" t="s">
        <v>667</v>
      </c>
      <c r="P4709">
        <v>400</v>
      </c>
      <c r="Q4709" t="s">
        <v>177</v>
      </c>
    </row>
    <row r="4710" spans="1:17" x14ac:dyDescent="0.25">
      <c r="A4710" t="s">
        <v>1144</v>
      </c>
      <c r="B4710" t="s">
        <v>1145</v>
      </c>
      <c r="C4710" t="s">
        <v>175</v>
      </c>
      <c r="D4710" t="s">
        <v>437</v>
      </c>
      <c r="E4710" t="s">
        <v>438</v>
      </c>
      <c r="F4710">
        <v>1</v>
      </c>
      <c r="G4710" t="s">
        <v>176</v>
      </c>
      <c r="H4710">
        <v>0</v>
      </c>
      <c r="I4710">
        <v>24</v>
      </c>
      <c r="J4710" s="10">
        <v>5</v>
      </c>
      <c r="K4710" s="10">
        <f>SUMIFS(F:F,D:D,DST_123_ÜRETİM_İHTİYAÇ_RAPORU_BURAK_YENI1309[[#This Row],[ALT_KOD]])-(SUMIFS(H:H,D:D,DST_123_ÜRETİM_İHTİYAÇ_RAPORU_BURAK_YENI1309[[#This Row],[ALT_KOD]])+AVERAGEIFS(I:I,D:D,DST_123_ÜRETİM_İHTİYAÇ_RAPORU_BURAK_YENI1309[[#This Row],[ALT_KOD]])+AVERAGEIFS(L:L,D:D,DST_123_ÜRETİM_İHTİYAÇ_RAPORU_BURAK_YENI1309[[#This Row],[ALT_KOD]]))</f>
        <v>-12</v>
      </c>
      <c r="L4710">
        <v>0</v>
      </c>
      <c r="M4710">
        <f>IF((DST_123_ÜRETİM_İHTİYAÇ_RAPORU_BURAK_YENI1309[[#This Row],[SATINALMA]]*DST_123_ÜRETİM_İHTİYAÇ_RAPORU_BURAK_YENI1309[[#This Row],[BIRIM_FIYATLAR]])&lt;1,VALUE("0"),DST_123_ÜRETİM_İHTİYAÇ_RAPORU_BURAK_YENI1309[[#This Row],[SATINALMA]]*DST_123_ÜRETİM_İHTİYAÇ_RAPORU_BURAK_YENI1309[[#This Row],[BIRIM_FIYATLAR]])</f>
        <v>0</v>
      </c>
      <c r="N4710">
        <v>360.19</v>
      </c>
      <c r="O4710" t="s">
        <v>636</v>
      </c>
      <c r="P4710">
        <v>360.19</v>
      </c>
      <c r="Q4710" t="s">
        <v>178</v>
      </c>
    </row>
    <row r="4711" spans="1:17" x14ac:dyDescent="0.25">
      <c r="A4711" t="s">
        <v>1146</v>
      </c>
      <c r="B4711" t="s">
        <v>1145</v>
      </c>
      <c r="C4711" t="s">
        <v>175</v>
      </c>
      <c r="D4711" t="s">
        <v>437</v>
      </c>
      <c r="E4711" t="s">
        <v>438</v>
      </c>
      <c r="F4711">
        <v>1</v>
      </c>
      <c r="G4711" t="s">
        <v>176</v>
      </c>
      <c r="H4711">
        <v>0</v>
      </c>
      <c r="I4711">
        <v>24</v>
      </c>
      <c r="J4711" s="10">
        <v>5</v>
      </c>
      <c r="K4711" s="10">
        <f>SUMIFS(F:F,D:D,DST_123_ÜRETİM_İHTİYAÇ_RAPORU_BURAK_YENI1309[[#This Row],[ALT_KOD]])-(SUMIFS(H:H,D:D,DST_123_ÜRETİM_İHTİYAÇ_RAPORU_BURAK_YENI1309[[#This Row],[ALT_KOD]])+AVERAGEIFS(I:I,D:D,DST_123_ÜRETİM_İHTİYAÇ_RAPORU_BURAK_YENI1309[[#This Row],[ALT_KOD]])+AVERAGEIFS(L:L,D:D,DST_123_ÜRETİM_İHTİYAÇ_RAPORU_BURAK_YENI1309[[#This Row],[ALT_KOD]]))</f>
        <v>-12</v>
      </c>
      <c r="L4711">
        <v>0</v>
      </c>
      <c r="M4711">
        <f>IF((DST_123_ÜRETİM_İHTİYAÇ_RAPORU_BURAK_YENI1309[[#This Row],[SATINALMA]]*DST_123_ÜRETİM_İHTİYAÇ_RAPORU_BURAK_YENI1309[[#This Row],[BIRIM_FIYATLAR]])&lt;1,VALUE("0"),DST_123_ÜRETİM_İHTİYAÇ_RAPORU_BURAK_YENI1309[[#This Row],[SATINALMA]]*DST_123_ÜRETİM_İHTİYAÇ_RAPORU_BURAK_YENI1309[[#This Row],[BIRIM_FIYATLAR]])</f>
        <v>0</v>
      </c>
      <c r="N4711">
        <v>360.19</v>
      </c>
      <c r="O4711" t="s">
        <v>636</v>
      </c>
      <c r="P4711">
        <v>360.19</v>
      </c>
      <c r="Q4711" t="s">
        <v>178</v>
      </c>
    </row>
    <row r="4712" spans="1:17" x14ac:dyDescent="0.25">
      <c r="A4712" t="s">
        <v>1101</v>
      </c>
      <c r="B4712" t="s">
        <v>1102</v>
      </c>
      <c r="C4712" t="s">
        <v>175</v>
      </c>
      <c r="D4712" t="s">
        <v>645</v>
      </c>
      <c r="E4712" t="s">
        <v>646</v>
      </c>
      <c r="F4712">
        <v>1</v>
      </c>
      <c r="G4712" t="s">
        <v>176</v>
      </c>
      <c r="H4712">
        <v>1</v>
      </c>
      <c r="I4712">
        <v>1</v>
      </c>
      <c r="J4712" s="10">
        <v>10</v>
      </c>
      <c r="K4712" s="10">
        <f>SUMIFS(F:F,D:D,DST_123_ÜRETİM_İHTİYAÇ_RAPORU_BURAK_YENI1309[[#This Row],[ALT_KOD]])-(SUMIFS(H:H,D:D,DST_123_ÜRETİM_İHTİYAÇ_RAPORU_BURAK_YENI1309[[#This Row],[ALT_KOD]])+AVERAGEIFS(I:I,D:D,DST_123_ÜRETİM_İHTİYAÇ_RAPORU_BURAK_YENI1309[[#This Row],[ALT_KOD]])+AVERAGEIFS(L:L,D:D,DST_123_ÜRETİM_İHTİYAÇ_RAPORU_BURAK_YENI1309[[#This Row],[ALT_KOD]]))</f>
        <v>11</v>
      </c>
      <c r="L4712">
        <v>0</v>
      </c>
      <c r="M4712">
        <f>IF((DST_123_ÜRETİM_İHTİYAÇ_RAPORU_BURAK_YENI1309[[#This Row],[SATINALMA]]*DST_123_ÜRETİM_İHTİYAÇ_RAPORU_BURAK_YENI1309[[#This Row],[BIRIM_FIYATLAR]])&lt;1,VALUE("0"),DST_123_ÜRETİM_İHTİYAÇ_RAPORU_BURAK_YENI1309[[#This Row],[SATINALMA]]*DST_123_ÜRETİM_İHTİYAÇ_RAPORU_BURAK_YENI1309[[#This Row],[BIRIM_FIYATLAR]])</f>
        <v>20020</v>
      </c>
      <c r="N4712">
        <v>1820</v>
      </c>
      <c r="O4712" t="s">
        <v>262</v>
      </c>
      <c r="P4712">
        <v>1820</v>
      </c>
      <c r="Q4712" t="s">
        <v>641</v>
      </c>
    </row>
    <row r="4713" spans="1:17" x14ac:dyDescent="0.25">
      <c r="A4713" t="s">
        <v>1179</v>
      </c>
      <c r="B4713" t="s">
        <v>1180</v>
      </c>
      <c r="C4713" t="s">
        <v>175</v>
      </c>
      <c r="D4713" t="s">
        <v>645</v>
      </c>
      <c r="E4713" t="s">
        <v>646</v>
      </c>
      <c r="F4713">
        <v>1</v>
      </c>
      <c r="G4713" t="s">
        <v>176</v>
      </c>
      <c r="H4713">
        <v>0</v>
      </c>
      <c r="I4713">
        <v>1</v>
      </c>
      <c r="J4713" s="10">
        <v>10</v>
      </c>
      <c r="K4713" s="10">
        <f>SUMIFS(F:F,D:D,DST_123_ÜRETİM_İHTİYAÇ_RAPORU_BURAK_YENI1309[[#This Row],[ALT_KOD]])-(SUMIFS(H:H,D:D,DST_123_ÜRETİM_İHTİYAÇ_RAPORU_BURAK_YENI1309[[#This Row],[ALT_KOD]])+AVERAGEIFS(I:I,D:D,DST_123_ÜRETİM_İHTİYAÇ_RAPORU_BURAK_YENI1309[[#This Row],[ALT_KOD]])+AVERAGEIFS(L:L,D:D,DST_123_ÜRETİM_İHTİYAÇ_RAPORU_BURAK_YENI1309[[#This Row],[ALT_KOD]]))</f>
        <v>11</v>
      </c>
      <c r="L4713">
        <v>0</v>
      </c>
      <c r="M4713">
        <f>IF((DST_123_ÜRETİM_İHTİYAÇ_RAPORU_BURAK_YENI1309[[#This Row],[SATINALMA]]*DST_123_ÜRETİM_İHTİYAÇ_RAPORU_BURAK_YENI1309[[#This Row],[BIRIM_FIYATLAR]])&lt;1,VALUE("0"),DST_123_ÜRETİM_İHTİYAÇ_RAPORU_BURAK_YENI1309[[#This Row],[SATINALMA]]*DST_123_ÜRETİM_İHTİYAÇ_RAPORU_BURAK_YENI1309[[#This Row],[BIRIM_FIYATLAR]])</f>
        <v>20020</v>
      </c>
      <c r="N4713">
        <v>1820</v>
      </c>
      <c r="O4713" t="s">
        <v>262</v>
      </c>
      <c r="P4713">
        <v>1820</v>
      </c>
      <c r="Q4713" t="s">
        <v>641</v>
      </c>
    </row>
    <row r="4714" spans="1:17" x14ac:dyDescent="0.25">
      <c r="A4714" t="s">
        <v>1144</v>
      </c>
      <c r="B4714" t="s">
        <v>1145</v>
      </c>
      <c r="C4714" t="s">
        <v>175</v>
      </c>
      <c r="D4714" t="s">
        <v>575</v>
      </c>
      <c r="E4714" t="s">
        <v>576</v>
      </c>
      <c r="F4714">
        <v>4.4000000000000004</v>
      </c>
      <c r="G4714" t="s">
        <v>176</v>
      </c>
      <c r="H4714">
        <v>0</v>
      </c>
      <c r="I4714">
        <v>85</v>
      </c>
      <c r="J4714" s="10">
        <v>3.6500000000000128</v>
      </c>
      <c r="K4714" s="10">
        <f>SUMIFS(F:F,D:D,DST_123_ÜRETİM_İHTİYAÇ_RAPORU_BURAK_YENI1309[[#This Row],[ALT_KOD]])-(SUMIFS(H:H,D:D,DST_123_ÜRETİM_İHTİYAÇ_RAPORU_BURAK_YENI1309[[#This Row],[ALT_KOD]])+AVERAGEIFS(I:I,D:D,DST_123_ÜRETİM_İHTİYAÇ_RAPORU_BURAK_YENI1309[[#This Row],[ALT_KOD]])+AVERAGEIFS(L:L,D:D,DST_123_ÜRETİM_İHTİYAÇ_RAPORU_BURAK_YENI1309[[#This Row],[ALT_KOD]]))</f>
        <v>12.550000000000011</v>
      </c>
      <c r="L4714">
        <v>0</v>
      </c>
      <c r="M4714">
        <f>IF((DST_123_ÜRETİM_İHTİYAÇ_RAPORU_BURAK_YENI1309[[#This Row],[SATINALMA]]*DST_123_ÜRETİM_İHTİYAÇ_RAPORU_BURAK_YENI1309[[#This Row],[BIRIM_FIYATLAR]])&lt;1,VALUE("0"),DST_123_ÜRETİM_İHTİYAÇ_RAPORU_BURAK_YENI1309[[#This Row],[SATINALMA]]*DST_123_ÜRETİM_İHTİYAÇ_RAPORU_BURAK_YENI1309[[#This Row],[BIRIM_FIYATLAR]])</f>
        <v>4368.7805000000044</v>
      </c>
      <c r="N4714">
        <v>348.11</v>
      </c>
      <c r="O4714" t="s">
        <v>250</v>
      </c>
      <c r="P4714">
        <v>1531.6840000000002</v>
      </c>
      <c r="Q4714" t="s">
        <v>183</v>
      </c>
    </row>
    <row r="4715" spans="1:17" x14ac:dyDescent="0.25">
      <c r="A4715" t="s">
        <v>1144</v>
      </c>
      <c r="B4715" t="s">
        <v>1145</v>
      </c>
      <c r="C4715" t="s">
        <v>175</v>
      </c>
      <c r="D4715" t="s">
        <v>649</v>
      </c>
      <c r="E4715" t="s">
        <v>650</v>
      </c>
      <c r="F4715">
        <v>6</v>
      </c>
      <c r="G4715" t="s">
        <v>185</v>
      </c>
      <c r="H4715">
        <v>0</v>
      </c>
      <c r="I4715">
        <v>0</v>
      </c>
      <c r="J4715" s="10">
        <v>65</v>
      </c>
      <c r="K4715" s="10">
        <f>SUMIFS(F:F,D:D,DST_123_ÜRETİM_İHTİYAÇ_RAPORU_BURAK_YENI1309[[#This Row],[ALT_KOD]])-(SUMIFS(H:H,D:D,DST_123_ÜRETİM_İHTİYAÇ_RAPORU_BURAK_YENI1309[[#This Row],[ALT_KOD]])+AVERAGEIFS(I:I,D:D,DST_123_ÜRETİM_İHTİYAÇ_RAPORU_BURAK_YENI1309[[#This Row],[ALT_KOD]])+AVERAGEIFS(L:L,D:D,DST_123_ÜRETİM_İHTİYAÇ_RAPORU_BURAK_YENI1309[[#This Row],[ALT_KOD]]))</f>
        <v>119</v>
      </c>
      <c r="L4715">
        <v>0</v>
      </c>
      <c r="M4715">
        <f>IF((DST_123_ÜRETİM_İHTİYAÇ_RAPORU_BURAK_YENI1309[[#This Row],[SATINALMA]]*DST_123_ÜRETİM_İHTİYAÇ_RAPORU_BURAK_YENI1309[[#This Row],[BIRIM_FIYATLAR]])&lt;1,VALUE("0"),DST_123_ÜRETİM_İHTİYAÇ_RAPORU_BURAK_YENI1309[[#This Row],[SATINALMA]]*DST_123_ÜRETİM_İHTİYAÇ_RAPORU_BURAK_YENI1309[[#This Row],[BIRIM_FIYATLAR]])</f>
        <v>133274.05000000002</v>
      </c>
      <c r="N4715">
        <v>1119.95</v>
      </c>
      <c r="O4715" t="s">
        <v>648</v>
      </c>
      <c r="P4715">
        <v>6719.7000000000007</v>
      </c>
      <c r="Q4715" t="s">
        <v>183</v>
      </c>
    </row>
    <row r="4716" spans="1:17" x14ac:dyDescent="0.25">
      <c r="A4716" t="s">
        <v>1149</v>
      </c>
      <c r="B4716" t="s">
        <v>1145</v>
      </c>
      <c r="C4716" t="s">
        <v>175</v>
      </c>
      <c r="D4716" t="s">
        <v>410</v>
      </c>
      <c r="E4716" t="s">
        <v>411</v>
      </c>
      <c r="F4716">
        <v>0.01</v>
      </c>
      <c r="G4716" t="s">
        <v>412</v>
      </c>
      <c r="H4716">
        <v>0</v>
      </c>
      <c r="I4716">
        <v>150</v>
      </c>
      <c r="J4716" s="10">
        <v>0</v>
      </c>
      <c r="K4716" s="10">
        <f>SUMIFS(F:F,D:D,DST_123_ÜRETİM_İHTİYAÇ_RAPORU_BURAK_YENI1309[[#This Row],[ALT_KOD]])-(SUMIFS(H:H,D:D,DST_123_ÜRETİM_İHTİYAÇ_RAPORU_BURAK_YENI1309[[#This Row],[ALT_KOD]])+AVERAGEIFS(I:I,D:D,DST_123_ÜRETİM_İHTİYAÇ_RAPORU_BURAK_YENI1309[[#This Row],[ALT_KOD]])+AVERAGEIFS(L:L,D:D,DST_123_ÜRETİM_İHTİYAÇ_RAPORU_BURAK_YENI1309[[#This Row],[ALT_KOD]]))</f>
        <v>-149.76499999999999</v>
      </c>
      <c r="L4716">
        <v>0</v>
      </c>
      <c r="M4716">
        <f>IF((DST_123_ÜRETİM_İHTİYAÇ_RAPORU_BURAK_YENI1309[[#This Row],[SATINALMA]]*DST_123_ÜRETİM_İHTİYAÇ_RAPORU_BURAK_YENI1309[[#This Row],[BIRIM_FIYATLAR]])&lt;1,VALUE("0"),DST_123_ÜRETİM_İHTİYAÇ_RAPORU_BURAK_YENI1309[[#This Row],[SATINALMA]]*DST_123_ÜRETİM_İHTİYAÇ_RAPORU_BURAK_YENI1309[[#This Row],[BIRIM_FIYATLAR]])</f>
        <v>0</v>
      </c>
      <c r="N4716">
        <v>1.8</v>
      </c>
      <c r="O4716" t="s">
        <v>220</v>
      </c>
      <c r="P4716">
        <v>1.8000000000000002E-2</v>
      </c>
      <c r="Q4716" t="s">
        <v>180</v>
      </c>
    </row>
    <row r="4717" spans="1:17" x14ac:dyDescent="0.25">
      <c r="A4717" t="s">
        <v>1150</v>
      </c>
      <c r="B4717" t="s">
        <v>1145</v>
      </c>
      <c r="C4717" t="s">
        <v>175</v>
      </c>
      <c r="D4717" t="s">
        <v>437</v>
      </c>
      <c r="E4717" t="s">
        <v>438</v>
      </c>
      <c r="F4717">
        <v>1</v>
      </c>
      <c r="G4717" t="s">
        <v>176</v>
      </c>
      <c r="H4717">
        <v>0</v>
      </c>
      <c r="I4717">
        <v>24</v>
      </c>
      <c r="J4717" s="10">
        <v>5</v>
      </c>
      <c r="K4717" s="10">
        <f>SUMIFS(F:F,D:D,DST_123_ÜRETİM_İHTİYAÇ_RAPORU_BURAK_YENI1309[[#This Row],[ALT_KOD]])-(SUMIFS(H:H,D:D,DST_123_ÜRETİM_İHTİYAÇ_RAPORU_BURAK_YENI1309[[#This Row],[ALT_KOD]])+AVERAGEIFS(I:I,D:D,DST_123_ÜRETİM_İHTİYAÇ_RAPORU_BURAK_YENI1309[[#This Row],[ALT_KOD]])+AVERAGEIFS(L:L,D:D,DST_123_ÜRETİM_İHTİYAÇ_RAPORU_BURAK_YENI1309[[#This Row],[ALT_KOD]]))</f>
        <v>-12</v>
      </c>
      <c r="L4717">
        <v>0</v>
      </c>
      <c r="M4717">
        <f>IF((DST_123_ÜRETİM_İHTİYAÇ_RAPORU_BURAK_YENI1309[[#This Row],[SATINALMA]]*DST_123_ÜRETİM_İHTİYAÇ_RAPORU_BURAK_YENI1309[[#This Row],[BIRIM_FIYATLAR]])&lt;1,VALUE("0"),DST_123_ÜRETİM_İHTİYAÇ_RAPORU_BURAK_YENI1309[[#This Row],[SATINALMA]]*DST_123_ÜRETİM_İHTİYAÇ_RAPORU_BURAK_YENI1309[[#This Row],[BIRIM_FIYATLAR]])</f>
        <v>0</v>
      </c>
      <c r="N4717">
        <v>360.19</v>
      </c>
      <c r="O4717" t="s">
        <v>636</v>
      </c>
      <c r="P4717">
        <v>360.19</v>
      </c>
      <c r="Q4717" t="s">
        <v>178</v>
      </c>
    </row>
    <row r="4718" spans="1:17" x14ac:dyDescent="0.25">
      <c r="A4718" t="s">
        <v>1057</v>
      </c>
      <c r="B4718" t="s">
        <v>1058</v>
      </c>
      <c r="C4718" t="s">
        <v>175</v>
      </c>
      <c r="D4718" t="s">
        <v>772</v>
      </c>
      <c r="E4718" t="s">
        <v>773</v>
      </c>
      <c r="F4718">
        <v>4</v>
      </c>
      <c r="G4718" t="s">
        <v>176</v>
      </c>
      <c r="H4718">
        <v>4</v>
      </c>
      <c r="I4718">
        <v>56.5</v>
      </c>
      <c r="J4718" s="10">
        <v>26</v>
      </c>
      <c r="K4718" s="10">
        <f>SUMIFS(F:F,D:D,DST_123_ÜRETİM_İHTİYAÇ_RAPORU_BURAK_YENI1309[[#This Row],[ALT_KOD]])-(SUMIFS(H:H,D:D,DST_123_ÜRETİM_İHTİYAÇ_RAPORU_BURAK_YENI1309[[#This Row],[ALT_KOD]])+AVERAGEIFS(I:I,D:D,DST_123_ÜRETİM_İHTİYAÇ_RAPORU_BURAK_YENI1309[[#This Row],[ALT_KOD]])+AVERAGEIFS(L:L,D:D,DST_123_ÜRETİM_İHTİYAÇ_RAPORU_BURAK_YENI1309[[#This Row],[ALT_KOD]]))</f>
        <v>-12.5</v>
      </c>
      <c r="L4718">
        <v>0</v>
      </c>
      <c r="M4718">
        <f>IF((DST_123_ÜRETİM_İHTİYAÇ_RAPORU_BURAK_YENI1309[[#This Row],[SATINALMA]]*DST_123_ÜRETİM_İHTİYAÇ_RAPORU_BURAK_YENI1309[[#This Row],[BIRIM_FIYATLAR]])&lt;1,VALUE("0"),DST_123_ÜRETİM_İHTİYAÇ_RAPORU_BURAK_YENI1309[[#This Row],[SATINALMA]]*DST_123_ÜRETİM_İHTİYAÇ_RAPORU_BURAK_YENI1309[[#This Row],[BIRIM_FIYATLAR]])</f>
        <v>0</v>
      </c>
      <c r="N4718">
        <v>200</v>
      </c>
      <c r="O4718" t="s">
        <v>247</v>
      </c>
      <c r="P4718">
        <v>800</v>
      </c>
      <c r="Q4718" t="s">
        <v>177</v>
      </c>
    </row>
    <row r="4719" spans="1:17" x14ac:dyDescent="0.25">
      <c r="A4719" t="s">
        <v>1148</v>
      </c>
      <c r="B4719" t="s">
        <v>1056</v>
      </c>
      <c r="C4719" t="s">
        <v>175</v>
      </c>
      <c r="D4719" t="s">
        <v>772</v>
      </c>
      <c r="E4719" t="s">
        <v>773</v>
      </c>
      <c r="F4719">
        <v>4</v>
      </c>
      <c r="G4719" t="s">
        <v>176</v>
      </c>
      <c r="H4719">
        <v>0</v>
      </c>
      <c r="I4719">
        <v>56.5</v>
      </c>
      <c r="J4719" s="10">
        <v>26</v>
      </c>
      <c r="K4719" s="10">
        <f>SUMIFS(F:F,D:D,DST_123_ÜRETİM_İHTİYAÇ_RAPORU_BURAK_YENI1309[[#This Row],[ALT_KOD]])-(SUMIFS(H:H,D:D,DST_123_ÜRETİM_İHTİYAÇ_RAPORU_BURAK_YENI1309[[#This Row],[ALT_KOD]])+AVERAGEIFS(I:I,D:D,DST_123_ÜRETİM_İHTİYAÇ_RAPORU_BURAK_YENI1309[[#This Row],[ALT_KOD]])+AVERAGEIFS(L:L,D:D,DST_123_ÜRETİM_İHTİYAÇ_RAPORU_BURAK_YENI1309[[#This Row],[ALT_KOD]]))</f>
        <v>-12.5</v>
      </c>
      <c r="L4719">
        <v>0</v>
      </c>
      <c r="M4719">
        <f>IF((DST_123_ÜRETİM_İHTİYAÇ_RAPORU_BURAK_YENI1309[[#This Row],[SATINALMA]]*DST_123_ÜRETİM_İHTİYAÇ_RAPORU_BURAK_YENI1309[[#This Row],[BIRIM_FIYATLAR]])&lt;1,VALUE("0"),DST_123_ÜRETİM_İHTİYAÇ_RAPORU_BURAK_YENI1309[[#This Row],[SATINALMA]]*DST_123_ÜRETİM_İHTİYAÇ_RAPORU_BURAK_YENI1309[[#This Row],[BIRIM_FIYATLAR]])</f>
        <v>0</v>
      </c>
      <c r="N4719">
        <v>200</v>
      </c>
      <c r="O4719" t="s">
        <v>247</v>
      </c>
      <c r="P4719">
        <v>800</v>
      </c>
      <c r="Q4719" t="s">
        <v>177</v>
      </c>
    </row>
    <row r="4720" spans="1:17" x14ac:dyDescent="0.25">
      <c r="A4720" t="s">
        <v>1147</v>
      </c>
      <c r="B4720" t="s">
        <v>1145</v>
      </c>
      <c r="C4720" t="s">
        <v>175</v>
      </c>
      <c r="D4720" t="s">
        <v>599</v>
      </c>
      <c r="E4720" t="s">
        <v>600</v>
      </c>
      <c r="F4720">
        <v>4</v>
      </c>
      <c r="G4720" t="s">
        <v>176</v>
      </c>
      <c r="H4720">
        <v>0</v>
      </c>
      <c r="I4720">
        <v>37</v>
      </c>
      <c r="J4720" s="10">
        <v>14</v>
      </c>
      <c r="K4720" s="10">
        <f>SUMIFS(F:F,D:D,DST_123_ÜRETİM_İHTİYAÇ_RAPORU_BURAK_YENI1309[[#This Row],[ALT_KOD]])-(SUMIFS(H:H,D:D,DST_123_ÜRETİM_İHTİYAÇ_RAPORU_BURAK_YENI1309[[#This Row],[ALT_KOD]])+AVERAGEIFS(I:I,D:D,DST_123_ÜRETİM_İHTİYAÇ_RAPORU_BURAK_YENI1309[[#This Row],[ALT_KOD]])+AVERAGEIFS(L:L,D:D,DST_123_ÜRETİM_İHTİYAÇ_RAPORU_BURAK_YENI1309[[#This Row],[ALT_KOD]]))</f>
        <v>-5</v>
      </c>
      <c r="L4720">
        <v>0</v>
      </c>
      <c r="M4720">
        <f>IF((DST_123_ÜRETİM_İHTİYAÇ_RAPORU_BURAK_YENI1309[[#This Row],[SATINALMA]]*DST_123_ÜRETİM_İHTİYAÇ_RAPORU_BURAK_YENI1309[[#This Row],[BIRIM_FIYATLAR]])&lt;1,VALUE("0"),DST_123_ÜRETİM_İHTİYAÇ_RAPORU_BURAK_YENI1309[[#This Row],[SATINALMA]]*DST_123_ÜRETİM_İHTİYAÇ_RAPORU_BURAK_YENI1309[[#This Row],[BIRIM_FIYATLAR]])</f>
        <v>0</v>
      </c>
      <c r="N4720">
        <v>313.88</v>
      </c>
      <c r="O4720" t="s">
        <v>636</v>
      </c>
      <c r="P4720">
        <v>1255.52</v>
      </c>
      <c r="Q4720" t="s">
        <v>177</v>
      </c>
    </row>
    <row r="4721" spans="1:17" x14ac:dyDescent="0.25">
      <c r="A4721" t="s">
        <v>1147</v>
      </c>
      <c r="B4721" t="s">
        <v>1145</v>
      </c>
      <c r="C4721" t="s">
        <v>175</v>
      </c>
      <c r="D4721" t="s">
        <v>645</v>
      </c>
      <c r="E4721" t="s">
        <v>646</v>
      </c>
      <c r="F4721">
        <v>1</v>
      </c>
      <c r="G4721" t="s">
        <v>176</v>
      </c>
      <c r="H4721">
        <v>0</v>
      </c>
      <c r="I4721">
        <v>1</v>
      </c>
      <c r="J4721" s="10">
        <v>10</v>
      </c>
      <c r="K4721" s="10">
        <f>SUMIFS(F:F,D:D,DST_123_ÜRETİM_İHTİYAÇ_RAPORU_BURAK_YENI1309[[#This Row],[ALT_KOD]])-(SUMIFS(H:H,D:D,DST_123_ÜRETİM_İHTİYAÇ_RAPORU_BURAK_YENI1309[[#This Row],[ALT_KOD]])+AVERAGEIFS(I:I,D:D,DST_123_ÜRETİM_İHTİYAÇ_RAPORU_BURAK_YENI1309[[#This Row],[ALT_KOD]])+AVERAGEIFS(L:L,D:D,DST_123_ÜRETİM_İHTİYAÇ_RAPORU_BURAK_YENI1309[[#This Row],[ALT_KOD]]))</f>
        <v>11</v>
      </c>
      <c r="L4721">
        <v>0</v>
      </c>
      <c r="M4721">
        <f>IF((DST_123_ÜRETİM_İHTİYAÇ_RAPORU_BURAK_YENI1309[[#This Row],[SATINALMA]]*DST_123_ÜRETİM_İHTİYAÇ_RAPORU_BURAK_YENI1309[[#This Row],[BIRIM_FIYATLAR]])&lt;1,VALUE("0"),DST_123_ÜRETİM_İHTİYAÇ_RAPORU_BURAK_YENI1309[[#This Row],[SATINALMA]]*DST_123_ÜRETİM_İHTİYAÇ_RAPORU_BURAK_YENI1309[[#This Row],[BIRIM_FIYATLAR]])</f>
        <v>20020</v>
      </c>
      <c r="N4721">
        <v>1820</v>
      </c>
      <c r="O4721" t="s">
        <v>262</v>
      </c>
      <c r="P4721">
        <v>1820</v>
      </c>
      <c r="Q4721" t="s">
        <v>641</v>
      </c>
    </row>
    <row r="4722" spans="1:17" x14ac:dyDescent="0.25">
      <c r="A4722" t="s">
        <v>1144</v>
      </c>
      <c r="B4722" t="s">
        <v>1145</v>
      </c>
      <c r="C4722" t="s">
        <v>175</v>
      </c>
      <c r="D4722" t="s">
        <v>772</v>
      </c>
      <c r="E4722" t="s">
        <v>773</v>
      </c>
      <c r="F4722">
        <v>4</v>
      </c>
      <c r="G4722" t="s">
        <v>176</v>
      </c>
      <c r="H4722">
        <v>0</v>
      </c>
      <c r="I4722">
        <v>56.5</v>
      </c>
      <c r="J4722" s="10">
        <v>26</v>
      </c>
      <c r="K4722" s="10">
        <f>SUMIFS(F:F,D:D,DST_123_ÜRETİM_İHTİYAÇ_RAPORU_BURAK_YENI1309[[#This Row],[ALT_KOD]])-(SUMIFS(H:H,D:D,DST_123_ÜRETİM_İHTİYAÇ_RAPORU_BURAK_YENI1309[[#This Row],[ALT_KOD]])+AVERAGEIFS(I:I,D:D,DST_123_ÜRETİM_İHTİYAÇ_RAPORU_BURAK_YENI1309[[#This Row],[ALT_KOD]])+AVERAGEIFS(L:L,D:D,DST_123_ÜRETİM_İHTİYAÇ_RAPORU_BURAK_YENI1309[[#This Row],[ALT_KOD]]))</f>
        <v>-12.5</v>
      </c>
      <c r="L4722">
        <v>0</v>
      </c>
      <c r="M4722">
        <f>IF((DST_123_ÜRETİM_İHTİYAÇ_RAPORU_BURAK_YENI1309[[#This Row],[SATINALMA]]*DST_123_ÜRETİM_İHTİYAÇ_RAPORU_BURAK_YENI1309[[#This Row],[BIRIM_FIYATLAR]])&lt;1,VALUE("0"),DST_123_ÜRETİM_İHTİYAÇ_RAPORU_BURAK_YENI1309[[#This Row],[SATINALMA]]*DST_123_ÜRETİM_İHTİYAÇ_RAPORU_BURAK_YENI1309[[#This Row],[BIRIM_FIYATLAR]])</f>
        <v>0</v>
      </c>
      <c r="N4722">
        <v>200</v>
      </c>
      <c r="O4722" t="s">
        <v>247</v>
      </c>
      <c r="P4722">
        <v>800</v>
      </c>
      <c r="Q4722" t="s">
        <v>177</v>
      </c>
    </row>
    <row r="4723" spans="1:17" x14ac:dyDescent="0.25">
      <c r="A4723" t="s">
        <v>1146</v>
      </c>
      <c r="B4723" t="s">
        <v>1145</v>
      </c>
      <c r="C4723" t="s">
        <v>175</v>
      </c>
      <c r="D4723" t="s">
        <v>772</v>
      </c>
      <c r="E4723" t="s">
        <v>773</v>
      </c>
      <c r="F4723">
        <v>4</v>
      </c>
      <c r="G4723" t="s">
        <v>176</v>
      </c>
      <c r="H4723">
        <v>0</v>
      </c>
      <c r="I4723">
        <v>56.5</v>
      </c>
      <c r="J4723" s="10">
        <v>26</v>
      </c>
      <c r="K4723" s="10">
        <f>SUMIFS(F:F,D:D,DST_123_ÜRETİM_İHTİYAÇ_RAPORU_BURAK_YENI1309[[#This Row],[ALT_KOD]])-(SUMIFS(H:H,D:D,DST_123_ÜRETİM_İHTİYAÇ_RAPORU_BURAK_YENI1309[[#This Row],[ALT_KOD]])+AVERAGEIFS(I:I,D:D,DST_123_ÜRETİM_İHTİYAÇ_RAPORU_BURAK_YENI1309[[#This Row],[ALT_KOD]])+AVERAGEIFS(L:L,D:D,DST_123_ÜRETİM_İHTİYAÇ_RAPORU_BURAK_YENI1309[[#This Row],[ALT_KOD]]))</f>
        <v>-12.5</v>
      </c>
      <c r="L4723">
        <v>0</v>
      </c>
      <c r="M4723">
        <f>IF((DST_123_ÜRETİM_İHTİYAÇ_RAPORU_BURAK_YENI1309[[#This Row],[SATINALMA]]*DST_123_ÜRETİM_İHTİYAÇ_RAPORU_BURAK_YENI1309[[#This Row],[BIRIM_FIYATLAR]])&lt;1,VALUE("0"),DST_123_ÜRETİM_İHTİYAÇ_RAPORU_BURAK_YENI1309[[#This Row],[SATINALMA]]*DST_123_ÜRETİM_İHTİYAÇ_RAPORU_BURAK_YENI1309[[#This Row],[BIRIM_FIYATLAR]])</f>
        <v>0</v>
      </c>
      <c r="N4723">
        <v>200</v>
      </c>
      <c r="O4723" t="s">
        <v>247</v>
      </c>
      <c r="P4723">
        <v>800</v>
      </c>
      <c r="Q4723" t="s">
        <v>177</v>
      </c>
    </row>
    <row r="4724" spans="1:17" x14ac:dyDescent="0.25">
      <c r="A4724" t="s">
        <v>1060</v>
      </c>
      <c r="B4724" t="s">
        <v>1061</v>
      </c>
      <c r="C4724" t="s">
        <v>175</v>
      </c>
      <c r="D4724" t="s">
        <v>599</v>
      </c>
      <c r="E4724" t="s">
        <v>600</v>
      </c>
      <c r="F4724">
        <v>4</v>
      </c>
      <c r="G4724" t="s">
        <v>176</v>
      </c>
      <c r="H4724">
        <v>0</v>
      </c>
      <c r="I4724">
        <v>37</v>
      </c>
      <c r="J4724" s="10">
        <v>14</v>
      </c>
      <c r="K4724" s="10">
        <f>SUMIFS(F:F,D:D,DST_123_ÜRETİM_İHTİYAÇ_RAPORU_BURAK_YENI1309[[#This Row],[ALT_KOD]])-(SUMIFS(H:H,D:D,DST_123_ÜRETİM_İHTİYAÇ_RAPORU_BURAK_YENI1309[[#This Row],[ALT_KOD]])+AVERAGEIFS(I:I,D:D,DST_123_ÜRETİM_İHTİYAÇ_RAPORU_BURAK_YENI1309[[#This Row],[ALT_KOD]])+AVERAGEIFS(L:L,D:D,DST_123_ÜRETİM_İHTİYAÇ_RAPORU_BURAK_YENI1309[[#This Row],[ALT_KOD]]))</f>
        <v>-5</v>
      </c>
      <c r="L4724">
        <v>0</v>
      </c>
      <c r="M4724">
        <f>IF((DST_123_ÜRETİM_İHTİYAÇ_RAPORU_BURAK_YENI1309[[#This Row],[SATINALMA]]*DST_123_ÜRETİM_İHTİYAÇ_RAPORU_BURAK_YENI1309[[#This Row],[BIRIM_FIYATLAR]])&lt;1,VALUE("0"),DST_123_ÜRETİM_İHTİYAÇ_RAPORU_BURAK_YENI1309[[#This Row],[SATINALMA]]*DST_123_ÜRETİM_İHTİYAÇ_RAPORU_BURAK_YENI1309[[#This Row],[BIRIM_FIYATLAR]])</f>
        <v>0</v>
      </c>
      <c r="N4724">
        <v>313.88</v>
      </c>
      <c r="O4724" t="s">
        <v>636</v>
      </c>
      <c r="P4724">
        <v>1255.52</v>
      </c>
      <c r="Q4724" t="s">
        <v>177</v>
      </c>
    </row>
    <row r="4725" spans="1:17" x14ac:dyDescent="0.25">
      <c r="A4725" t="s">
        <v>1148</v>
      </c>
      <c r="B4725" t="s">
        <v>1056</v>
      </c>
      <c r="C4725" t="s">
        <v>175</v>
      </c>
      <c r="D4725" t="s">
        <v>645</v>
      </c>
      <c r="E4725" t="s">
        <v>646</v>
      </c>
      <c r="F4725">
        <v>1</v>
      </c>
      <c r="G4725" t="s">
        <v>176</v>
      </c>
      <c r="H4725">
        <v>0</v>
      </c>
      <c r="I4725">
        <v>1</v>
      </c>
      <c r="J4725" s="10">
        <v>10</v>
      </c>
      <c r="K4725" s="10">
        <f>SUMIFS(F:F,D:D,DST_123_ÜRETİM_İHTİYAÇ_RAPORU_BURAK_YENI1309[[#This Row],[ALT_KOD]])-(SUMIFS(H:H,D:D,DST_123_ÜRETİM_İHTİYAÇ_RAPORU_BURAK_YENI1309[[#This Row],[ALT_KOD]])+AVERAGEIFS(I:I,D:D,DST_123_ÜRETİM_İHTİYAÇ_RAPORU_BURAK_YENI1309[[#This Row],[ALT_KOD]])+AVERAGEIFS(L:L,D:D,DST_123_ÜRETİM_İHTİYAÇ_RAPORU_BURAK_YENI1309[[#This Row],[ALT_KOD]]))</f>
        <v>11</v>
      </c>
      <c r="L4725">
        <v>0</v>
      </c>
      <c r="M4725">
        <f>IF((DST_123_ÜRETİM_İHTİYAÇ_RAPORU_BURAK_YENI1309[[#This Row],[SATINALMA]]*DST_123_ÜRETİM_İHTİYAÇ_RAPORU_BURAK_YENI1309[[#This Row],[BIRIM_FIYATLAR]])&lt;1,VALUE("0"),DST_123_ÜRETİM_İHTİYAÇ_RAPORU_BURAK_YENI1309[[#This Row],[SATINALMA]]*DST_123_ÜRETİM_İHTİYAÇ_RAPORU_BURAK_YENI1309[[#This Row],[BIRIM_FIYATLAR]])</f>
        <v>20020</v>
      </c>
      <c r="N4725">
        <v>1820</v>
      </c>
      <c r="O4725" t="s">
        <v>262</v>
      </c>
      <c r="P4725">
        <v>1820</v>
      </c>
      <c r="Q4725" t="s">
        <v>641</v>
      </c>
    </row>
    <row r="4726" spans="1:17" x14ac:dyDescent="0.25">
      <c r="A4726" t="s">
        <v>1147</v>
      </c>
      <c r="B4726" t="s">
        <v>1145</v>
      </c>
      <c r="C4726" t="s">
        <v>175</v>
      </c>
      <c r="D4726" t="s">
        <v>1163</v>
      </c>
      <c r="E4726" t="s">
        <v>1164</v>
      </c>
      <c r="F4726">
        <v>2</v>
      </c>
      <c r="G4726" t="s">
        <v>176</v>
      </c>
      <c r="H4726">
        <v>0</v>
      </c>
      <c r="I4726">
        <v>500</v>
      </c>
      <c r="J4726" s="10">
        <v>500</v>
      </c>
      <c r="K4726" s="10">
        <f>SUMIFS(F:F,D:D,DST_123_ÜRETİM_İHTİYAÇ_RAPORU_BURAK_YENI1309[[#This Row],[ALT_KOD]])-(SUMIFS(H:H,D:D,DST_123_ÜRETİM_İHTİYAÇ_RAPORU_BURAK_YENI1309[[#This Row],[ALT_KOD]])+AVERAGEIFS(I:I,D:D,DST_123_ÜRETİM_İHTİYAÇ_RAPORU_BURAK_YENI1309[[#This Row],[ALT_KOD]])+AVERAGEIFS(L:L,D:D,DST_123_ÜRETİM_İHTİYAÇ_RAPORU_BURAK_YENI1309[[#This Row],[ALT_KOD]]))</f>
        <v>-486</v>
      </c>
      <c r="L4726">
        <v>0</v>
      </c>
      <c r="M4726">
        <f>IF((DST_123_ÜRETİM_İHTİYAÇ_RAPORU_BURAK_YENI1309[[#This Row],[SATINALMA]]*DST_123_ÜRETİM_İHTİYAÇ_RAPORU_BURAK_YENI1309[[#This Row],[BIRIM_FIYATLAR]])&lt;1,VALUE("0"),DST_123_ÜRETİM_İHTİYAÇ_RAPORU_BURAK_YENI1309[[#This Row],[SATINALMA]]*DST_123_ÜRETİM_İHTİYAÇ_RAPORU_BURAK_YENI1309[[#This Row],[BIRIM_FIYATLAR]])</f>
        <v>0</v>
      </c>
      <c r="N4726">
        <v>0.55000000000000004</v>
      </c>
      <c r="O4726" t="s">
        <v>826</v>
      </c>
      <c r="P4726">
        <v>1.1000000000000001</v>
      </c>
      <c r="Q4726" t="s">
        <v>221</v>
      </c>
    </row>
    <row r="4727" spans="1:17" x14ac:dyDescent="0.25">
      <c r="A4727" t="s">
        <v>1060</v>
      </c>
      <c r="B4727" t="s">
        <v>1061</v>
      </c>
      <c r="C4727" t="s">
        <v>175</v>
      </c>
      <c r="D4727" t="s">
        <v>858</v>
      </c>
      <c r="E4727" t="s">
        <v>859</v>
      </c>
      <c r="F4727">
        <v>12</v>
      </c>
      <c r="G4727" t="s">
        <v>176</v>
      </c>
      <c r="H4727">
        <v>0</v>
      </c>
      <c r="I4727">
        <v>100</v>
      </c>
      <c r="J4727" s="10">
        <v>0</v>
      </c>
      <c r="K4727" s="10">
        <f>SUMIFS(F:F,D:D,DST_123_ÜRETİM_İHTİYAÇ_RAPORU_BURAK_YENI1309[[#This Row],[ALT_KOD]])-(SUMIFS(H:H,D:D,DST_123_ÜRETİM_İHTİYAÇ_RAPORU_BURAK_YENI1309[[#This Row],[ALT_KOD]])+AVERAGEIFS(I:I,D:D,DST_123_ÜRETİM_İHTİYAÇ_RAPORU_BURAK_YENI1309[[#This Row],[ALT_KOD]])+AVERAGEIFS(L:L,D:D,DST_123_ÜRETİM_İHTİYAÇ_RAPORU_BURAK_YENI1309[[#This Row],[ALT_KOD]]))</f>
        <v>-64</v>
      </c>
      <c r="L4727">
        <v>0</v>
      </c>
      <c r="M4727">
        <f>IF((DST_123_ÜRETİM_İHTİYAÇ_RAPORU_BURAK_YENI1309[[#This Row],[SATINALMA]]*DST_123_ÜRETİM_İHTİYAÇ_RAPORU_BURAK_YENI1309[[#This Row],[BIRIM_FIYATLAR]])&lt;1,VALUE("0"),DST_123_ÜRETİM_İHTİYAÇ_RAPORU_BURAK_YENI1309[[#This Row],[SATINALMA]]*DST_123_ÜRETİM_İHTİYAÇ_RAPORU_BURAK_YENI1309[[#This Row],[BIRIM_FIYATLAR]])</f>
        <v>0</v>
      </c>
      <c r="N4727">
        <v>21.45</v>
      </c>
      <c r="O4727" t="s">
        <v>860</v>
      </c>
      <c r="P4727">
        <v>257.39999999999998</v>
      </c>
      <c r="Q4727" t="s">
        <v>180</v>
      </c>
    </row>
    <row r="4728" spans="1:17" x14ac:dyDescent="0.25">
      <c r="A4728" t="s">
        <v>1100</v>
      </c>
      <c r="B4728" t="s">
        <v>1058</v>
      </c>
      <c r="C4728" t="s">
        <v>175</v>
      </c>
      <c r="D4728" t="s">
        <v>858</v>
      </c>
      <c r="E4728" t="s">
        <v>859</v>
      </c>
      <c r="F4728">
        <v>12</v>
      </c>
      <c r="G4728" t="s">
        <v>176</v>
      </c>
      <c r="H4728">
        <v>0</v>
      </c>
      <c r="I4728">
        <v>100</v>
      </c>
      <c r="J4728" s="10">
        <v>0</v>
      </c>
      <c r="K4728" s="10">
        <f>SUMIFS(F:F,D:D,DST_123_ÜRETİM_İHTİYAÇ_RAPORU_BURAK_YENI1309[[#This Row],[ALT_KOD]])-(SUMIFS(H:H,D:D,DST_123_ÜRETİM_İHTİYAÇ_RAPORU_BURAK_YENI1309[[#This Row],[ALT_KOD]])+AVERAGEIFS(I:I,D:D,DST_123_ÜRETİM_İHTİYAÇ_RAPORU_BURAK_YENI1309[[#This Row],[ALT_KOD]])+AVERAGEIFS(L:L,D:D,DST_123_ÜRETİM_İHTİYAÇ_RAPORU_BURAK_YENI1309[[#This Row],[ALT_KOD]]))</f>
        <v>-64</v>
      </c>
      <c r="L4728">
        <v>0</v>
      </c>
      <c r="M4728">
        <f>IF((DST_123_ÜRETİM_İHTİYAÇ_RAPORU_BURAK_YENI1309[[#This Row],[SATINALMA]]*DST_123_ÜRETİM_İHTİYAÇ_RAPORU_BURAK_YENI1309[[#This Row],[BIRIM_FIYATLAR]])&lt;1,VALUE("0"),DST_123_ÜRETİM_İHTİYAÇ_RAPORU_BURAK_YENI1309[[#This Row],[SATINALMA]]*DST_123_ÜRETİM_İHTİYAÇ_RAPORU_BURAK_YENI1309[[#This Row],[BIRIM_FIYATLAR]])</f>
        <v>0</v>
      </c>
      <c r="N4728">
        <v>21.45</v>
      </c>
      <c r="O4728" t="s">
        <v>860</v>
      </c>
      <c r="P4728">
        <v>257.39999999999998</v>
      </c>
      <c r="Q4728" t="s">
        <v>180</v>
      </c>
    </row>
    <row r="4729" spans="1:17" x14ac:dyDescent="0.25">
      <c r="A4729" t="s">
        <v>1149</v>
      </c>
      <c r="B4729" t="s">
        <v>1145</v>
      </c>
      <c r="C4729" t="s">
        <v>175</v>
      </c>
      <c r="D4729" t="s">
        <v>772</v>
      </c>
      <c r="E4729" t="s">
        <v>773</v>
      </c>
      <c r="F4729">
        <v>4</v>
      </c>
      <c r="G4729" t="s">
        <v>176</v>
      </c>
      <c r="H4729">
        <v>0</v>
      </c>
      <c r="I4729">
        <v>56.5</v>
      </c>
      <c r="J4729" s="10">
        <v>26</v>
      </c>
      <c r="K4729" s="10">
        <f>SUMIFS(F:F,D:D,DST_123_ÜRETİM_İHTİYAÇ_RAPORU_BURAK_YENI1309[[#This Row],[ALT_KOD]])-(SUMIFS(H:H,D:D,DST_123_ÜRETİM_İHTİYAÇ_RAPORU_BURAK_YENI1309[[#This Row],[ALT_KOD]])+AVERAGEIFS(I:I,D:D,DST_123_ÜRETİM_İHTİYAÇ_RAPORU_BURAK_YENI1309[[#This Row],[ALT_KOD]])+AVERAGEIFS(L:L,D:D,DST_123_ÜRETİM_İHTİYAÇ_RAPORU_BURAK_YENI1309[[#This Row],[ALT_KOD]]))</f>
        <v>-12.5</v>
      </c>
      <c r="L4729">
        <v>0</v>
      </c>
      <c r="M4729">
        <f>IF((DST_123_ÜRETİM_İHTİYAÇ_RAPORU_BURAK_YENI1309[[#This Row],[SATINALMA]]*DST_123_ÜRETİM_İHTİYAÇ_RAPORU_BURAK_YENI1309[[#This Row],[BIRIM_FIYATLAR]])&lt;1,VALUE("0"),DST_123_ÜRETİM_İHTİYAÇ_RAPORU_BURAK_YENI1309[[#This Row],[SATINALMA]]*DST_123_ÜRETİM_İHTİYAÇ_RAPORU_BURAK_YENI1309[[#This Row],[BIRIM_FIYATLAR]])</f>
        <v>0</v>
      </c>
      <c r="N4729">
        <v>200</v>
      </c>
      <c r="O4729" t="s">
        <v>247</v>
      </c>
      <c r="P4729">
        <v>800</v>
      </c>
      <c r="Q4729" t="s">
        <v>177</v>
      </c>
    </row>
    <row r="4730" spans="1:17" x14ac:dyDescent="0.25">
      <c r="A4730" t="s">
        <v>1150</v>
      </c>
      <c r="B4730" t="s">
        <v>1145</v>
      </c>
      <c r="C4730" t="s">
        <v>175</v>
      </c>
      <c r="D4730" t="s">
        <v>599</v>
      </c>
      <c r="E4730" t="s">
        <v>600</v>
      </c>
      <c r="F4730">
        <v>4</v>
      </c>
      <c r="G4730" t="s">
        <v>176</v>
      </c>
      <c r="H4730">
        <v>0</v>
      </c>
      <c r="I4730">
        <v>37</v>
      </c>
      <c r="J4730" s="10">
        <v>14</v>
      </c>
      <c r="K4730" s="10">
        <f>SUMIFS(F:F,D:D,DST_123_ÜRETİM_İHTİYAÇ_RAPORU_BURAK_YENI1309[[#This Row],[ALT_KOD]])-(SUMIFS(H:H,D:D,DST_123_ÜRETİM_İHTİYAÇ_RAPORU_BURAK_YENI1309[[#This Row],[ALT_KOD]])+AVERAGEIFS(I:I,D:D,DST_123_ÜRETİM_İHTİYAÇ_RAPORU_BURAK_YENI1309[[#This Row],[ALT_KOD]])+AVERAGEIFS(L:L,D:D,DST_123_ÜRETİM_İHTİYAÇ_RAPORU_BURAK_YENI1309[[#This Row],[ALT_KOD]]))</f>
        <v>-5</v>
      </c>
      <c r="L4730">
        <v>0</v>
      </c>
      <c r="M4730">
        <f>IF((DST_123_ÜRETİM_İHTİYAÇ_RAPORU_BURAK_YENI1309[[#This Row],[SATINALMA]]*DST_123_ÜRETİM_İHTİYAÇ_RAPORU_BURAK_YENI1309[[#This Row],[BIRIM_FIYATLAR]])&lt;1,VALUE("0"),DST_123_ÜRETİM_İHTİYAÇ_RAPORU_BURAK_YENI1309[[#This Row],[SATINALMA]]*DST_123_ÜRETİM_İHTİYAÇ_RAPORU_BURAK_YENI1309[[#This Row],[BIRIM_FIYATLAR]])</f>
        <v>0</v>
      </c>
      <c r="N4730">
        <v>313.88</v>
      </c>
      <c r="O4730" t="s">
        <v>636</v>
      </c>
      <c r="P4730">
        <v>1255.52</v>
      </c>
      <c r="Q4730" t="s">
        <v>177</v>
      </c>
    </row>
    <row r="4731" spans="1:17" x14ac:dyDescent="0.25">
      <c r="A4731" t="s">
        <v>1150</v>
      </c>
      <c r="B4731" t="s">
        <v>1145</v>
      </c>
      <c r="C4731" t="s">
        <v>175</v>
      </c>
      <c r="D4731" t="s">
        <v>645</v>
      </c>
      <c r="E4731" t="s">
        <v>646</v>
      </c>
      <c r="F4731">
        <v>1</v>
      </c>
      <c r="G4731" t="s">
        <v>176</v>
      </c>
      <c r="H4731">
        <v>0</v>
      </c>
      <c r="I4731">
        <v>1</v>
      </c>
      <c r="J4731" s="10">
        <v>10</v>
      </c>
      <c r="K4731" s="10">
        <f>SUMIFS(F:F,D:D,DST_123_ÜRETİM_İHTİYAÇ_RAPORU_BURAK_YENI1309[[#This Row],[ALT_KOD]])-(SUMIFS(H:H,D:D,DST_123_ÜRETİM_İHTİYAÇ_RAPORU_BURAK_YENI1309[[#This Row],[ALT_KOD]])+AVERAGEIFS(I:I,D:D,DST_123_ÜRETİM_İHTİYAÇ_RAPORU_BURAK_YENI1309[[#This Row],[ALT_KOD]])+AVERAGEIFS(L:L,D:D,DST_123_ÜRETİM_İHTİYAÇ_RAPORU_BURAK_YENI1309[[#This Row],[ALT_KOD]]))</f>
        <v>11</v>
      </c>
      <c r="L4731">
        <v>0</v>
      </c>
      <c r="M4731">
        <f>IF((DST_123_ÜRETİM_İHTİYAÇ_RAPORU_BURAK_YENI1309[[#This Row],[SATINALMA]]*DST_123_ÜRETİM_İHTİYAÇ_RAPORU_BURAK_YENI1309[[#This Row],[BIRIM_FIYATLAR]])&lt;1,VALUE("0"),DST_123_ÜRETİM_İHTİYAÇ_RAPORU_BURAK_YENI1309[[#This Row],[SATINALMA]]*DST_123_ÜRETİM_İHTİYAÇ_RAPORU_BURAK_YENI1309[[#This Row],[BIRIM_FIYATLAR]])</f>
        <v>20020</v>
      </c>
      <c r="N4731">
        <v>1820</v>
      </c>
      <c r="O4731" t="s">
        <v>262</v>
      </c>
      <c r="P4731">
        <v>1820</v>
      </c>
      <c r="Q4731" t="s">
        <v>641</v>
      </c>
    </row>
    <row r="4732" spans="1:17" x14ac:dyDescent="0.25">
      <c r="A4732" t="s">
        <v>1150</v>
      </c>
      <c r="B4732" t="s">
        <v>1145</v>
      </c>
      <c r="C4732" t="s">
        <v>175</v>
      </c>
      <c r="D4732" t="s">
        <v>1163</v>
      </c>
      <c r="E4732" t="s">
        <v>1164</v>
      </c>
      <c r="F4732">
        <v>2</v>
      </c>
      <c r="G4732" t="s">
        <v>176</v>
      </c>
      <c r="H4732">
        <v>0</v>
      </c>
      <c r="I4732">
        <v>500</v>
      </c>
      <c r="J4732" s="10">
        <v>500</v>
      </c>
      <c r="K4732" s="10">
        <f>SUMIFS(F:F,D:D,DST_123_ÜRETİM_İHTİYAÇ_RAPORU_BURAK_YENI1309[[#This Row],[ALT_KOD]])-(SUMIFS(H:H,D:D,DST_123_ÜRETİM_İHTİYAÇ_RAPORU_BURAK_YENI1309[[#This Row],[ALT_KOD]])+AVERAGEIFS(I:I,D:D,DST_123_ÜRETİM_İHTİYAÇ_RAPORU_BURAK_YENI1309[[#This Row],[ALT_KOD]])+AVERAGEIFS(L:L,D:D,DST_123_ÜRETİM_İHTİYAÇ_RAPORU_BURAK_YENI1309[[#This Row],[ALT_KOD]]))</f>
        <v>-486</v>
      </c>
      <c r="L4732">
        <v>0</v>
      </c>
      <c r="M4732">
        <f>IF((DST_123_ÜRETİM_İHTİYAÇ_RAPORU_BURAK_YENI1309[[#This Row],[SATINALMA]]*DST_123_ÜRETİM_İHTİYAÇ_RAPORU_BURAK_YENI1309[[#This Row],[BIRIM_FIYATLAR]])&lt;1,VALUE("0"),DST_123_ÜRETİM_İHTİYAÇ_RAPORU_BURAK_YENI1309[[#This Row],[SATINALMA]]*DST_123_ÜRETİM_İHTİYAÇ_RAPORU_BURAK_YENI1309[[#This Row],[BIRIM_FIYATLAR]])</f>
        <v>0</v>
      </c>
      <c r="N4732">
        <v>0.55000000000000004</v>
      </c>
      <c r="O4732" t="s">
        <v>826</v>
      </c>
      <c r="P4732">
        <v>1.1000000000000001</v>
      </c>
      <c r="Q4732" t="s">
        <v>221</v>
      </c>
    </row>
    <row r="4733" spans="1:17" x14ac:dyDescent="0.25">
      <c r="A4733" t="s">
        <v>1149</v>
      </c>
      <c r="B4733" t="s">
        <v>1145</v>
      </c>
      <c r="C4733" t="s">
        <v>175</v>
      </c>
      <c r="D4733" t="s">
        <v>649</v>
      </c>
      <c r="E4733" t="s">
        <v>650</v>
      </c>
      <c r="F4733">
        <v>6</v>
      </c>
      <c r="G4733" t="s">
        <v>185</v>
      </c>
      <c r="H4733">
        <v>0</v>
      </c>
      <c r="I4733">
        <v>0</v>
      </c>
      <c r="J4733" s="10">
        <v>65</v>
      </c>
      <c r="K4733" s="10">
        <f>SUMIFS(F:F,D:D,DST_123_ÜRETİM_İHTİYAÇ_RAPORU_BURAK_YENI1309[[#This Row],[ALT_KOD]])-(SUMIFS(H:H,D:D,DST_123_ÜRETİM_İHTİYAÇ_RAPORU_BURAK_YENI1309[[#This Row],[ALT_KOD]])+AVERAGEIFS(I:I,D:D,DST_123_ÜRETİM_İHTİYAÇ_RAPORU_BURAK_YENI1309[[#This Row],[ALT_KOD]])+AVERAGEIFS(L:L,D:D,DST_123_ÜRETİM_İHTİYAÇ_RAPORU_BURAK_YENI1309[[#This Row],[ALT_KOD]]))</f>
        <v>119</v>
      </c>
      <c r="L4733">
        <v>0</v>
      </c>
      <c r="M4733">
        <f>IF((DST_123_ÜRETİM_İHTİYAÇ_RAPORU_BURAK_YENI1309[[#This Row],[SATINALMA]]*DST_123_ÜRETİM_İHTİYAÇ_RAPORU_BURAK_YENI1309[[#This Row],[BIRIM_FIYATLAR]])&lt;1,VALUE("0"),DST_123_ÜRETİM_İHTİYAÇ_RAPORU_BURAK_YENI1309[[#This Row],[SATINALMA]]*DST_123_ÜRETİM_İHTİYAÇ_RAPORU_BURAK_YENI1309[[#This Row],[BIRIM_FIYATLAR]])</f>
        <v>133274.05000000002</v>
      </c>
      <c r="N4733">
        <v>1119.95</v>
      </c>
      <c r="O4733" t="s">
        <v>648</v>
      </c>
      <c r="P4733">
        <v>6719.7000000000007</v>
      </c>
      <c r="Q4733" t="s">
        <v>183</v>
      </c>
    </row>
    <row r="4734" spans="1:17" x14ac:dyDescent="0.25">
      <c r="A4734" t="s">
        <v>1146</v>
      </c>
      <c r="B4734" t="s">
        <v>1145</v>
      </c>
      <c r="C4734" t="s">
        <v>175</v>
      </c>
      <c r="D4734" t="s">
        <v>649</v>
      </c>
      <c r="E4734" t="s">
        <v>650</v>
      </c>
      <c r="F4734">
        <v>6</v>
      </c>
      <c r="G4734" t="s">
        <v>185</v>
      </c>
      <c r="H4734">
        <v>0</v>
      </c>
      <c r="I4734">
        <v>0</v>
      </c>
      <c r="J4734" s="10">
        <v>65</v>
      </c>
      <c r="K4734" s="10">
        <f>SUMIFS(F:F,D:D,DST_123_ÜRETİM_İHTİYAÇ_RAPORU_BURAK_YENI1309[[#This Row],[ALT_KOD]])-(SUMIFS(H:H,D:D,DST_123_ÜRETİM_İHTİYAÇ_RAPORU_BURAK_YENI1309[[#This Row],[ALT_KOD]])+AVERAGEIFS(I:I,D:D,DST_123_ÜRETİM_İHTİYAÇ_RAPORU_BURAK_YENI1309[[#This Row],[ALT_KOD]])+AVERAGEIFS(L:L,D:D,DST_123_ÜRETİM_İHTİYAÇ_RAPORU_BURAK_YENI1309[[#This Row],[ALT_KOD]]))</f>
        <v>119</v>
      </c>
      <c r="L4734">
        <v>0</v>
      </c>
      <c r="M4734">
        <f>IF((DST_123_ÜRETİM_İHTİYAÇ_RAPORU_BURAK_YENI1309[[#This Row],[SATINALMA]]*DST_123_ÜRETİM_İHTİYAÇ_RAPORU_BURAK_YENI1309[[#This Row],[BIRIM_FIYATLAR]])&lt;1,VALUE("0"),DST_123_ÜRETİM_İHTİYAÇ_RAPORU_BURAK_YENI1309[[#This Row],[SATINALMA]]*DST_123_ÜRETİM_İHTİYAÇ_RAPORU_BURAK_YENI1309[[#This Row],[BIRIM_FIYATLAR]])</f>
        <v>133274.05000000002</v>
      </c>
      <c r="N4734">
        <v>1119.95</v>
      </c>
      <c r="O4734" t="s">
        <v>648</v>
      </c>
      <c r="P4734">
        <v>6719.7000000000007</v>
      </c>
      <c r="Q4734" t="s">
        <v>183</v>
      </c>
    </row>
    <row r="4735" spans="1:17" x14ac:dyDescent="0.25">
      <c r="A4735" t="s">
        <v>1144</v>
      </c>
      <c r="B4735" t="s">
        <v>1145</v>
      </c>
      <c r="C4735" t="s">
        <v>175</v>
      </c>
      <c r="D4735" t="s">
        <v>410</v>
      </c>
      <c r="E4735" t="s">
        <v>411</v>
      </c>
      <c r="F4735">
        <v>0.01</v>
      </c>
      <c r="G4735" t="s">
        <v>412</v>
      </c>
      <c r="H4735">
        <v>0</v>
      </c>
      <c r="I4735">
        <v>150</v>
      </c>
      <c r="J4735" s="10">
        <v>0</v>
      </c>
      <c r="K4735" s="10">
        <f>SUMIFS(F:F,D:D,DST_123_ÜRETİM_İHTİYAÇ_RAPORU_BURAK_YENI1309[[#This Row],[ALT_KOD]])-(SUMIFS(H:H,D:D,DST_123_ÜRETİM_İHTİYAÇ_RAPORU_BURAK_YENI1309[[#This Row],[ALT_KOD]])+AVERAGEIFS(I:I,D:D,DST_123_ÜRETİM_İHTİYAÇ_RAPORU_BURAK_YENI1309[[#This Row],[ALT_KOD]])+AVERAGEIFS(L:L,D:D,DST_123_ÜRETİM_İHTİYAÇ_RAPORU_BURAK_YENI1309[[#This Row],[ALT_KOD]]))</f>
        <v>-149.76499999999999</v>
      </c>
      <c r="L4735">
        <v>0</v>
      </c>
      <c r="M4735">
        <f>IF((DST_123_ÜRETİM_İHTİYAÇ_RAPORU_BURAK_YENI1309[[#This Row],[SATINALMA]]*DST_123_ÜRETİM_İHTİYAÇ_RAPORU_BURAK_YENI1309[[#This Row],[BIRIM_FIYATLAR]])&lt;1,VALUE("0"),DST_123_ÜRETİM_İHTİYAÇ_RAPORU_BURAK_YENI1309[[#This Row],[SATINALMA]]*DST_123_ÜRETİM_İHTİYAÇ_RAPORU_BURAK_YENI1309[[#This Row],[BIRIM_FIYATLAR]])</f>
        <v>0</v>
      </c>
      <c r="N4735">
        <v>1.8</v>
      </c>
      <c r="O4735" t="s">
        <v>220</v>
      </c>
      <c r="P4735">
        <v>1.8000000000000002E-2</v>
      </c>
      <c r="Q4735" t="s">
        <v>180</v>
      </c>
    </row>
    <row r="4736" spans="1:17" x14ac:dyDescent="0.25">
      <c r="A4736" t="s">
        <v>1149</v>
      </c>
      <c r="B4736" t="s">
        <v>1145</v>
      </c>
      <c r="C4736" t="s">
        <v>175</v>
      </c>
      <c r="D4736" t="s">
        <v>437</v>
      </c>
      <c r="E4736" t="s">
        <v>438</v>
      </c>
      <c r="F4736">
        <v>1</v>
      </c>
      <c r="G4736" t="s">
        <v>176</v>
      </c>
      <c r="H4736">
        <v>0</v>
      </c>
      <c r="I4736">
        <v>24</v>
      </c>
      <c r="J4736" s="10">
        <v>5</v>
      </c>
      <c r="K4736" s="10">
        <f>SUMIFS(F:F,D:D,DST_123_ÜRETİM_İHTİYAÇ_RAPORU_BURAK_YENI1309[[#This Row],[ALT_KOD]])-(SUMIFS(H:H,D:D,DST_123_ÜRETİM_İHTİYAÇ_RAPORU_BURAK_YENI1309[[#This Row],[ALT_KOD]])+AVERAGEIFS(I:I,D:D,DST_123_ÜRETİM_İHTİYAÇ_RAPORU_BURAK_YENI1309[[#This Row],[ALT_KOD]])+AVERAGEIFS(L:L,D:D,DST_123_ÜRETİM_İHTİYAÇ_RAPORU_BURAK_YENI1309[[#This Row],[ALT_KOD]]))</f>
        <v>-12</v>
      </c>
      <c r="L4736">
        <v>0</v>
      </c>
      <c r="M4736">
        <f>IF((DST_123_ÜRETİM_İHTİYAÇ_RAPORU_BURAK_YENI1309[[#This Row],[SATINALMA]]*DST_123_ÜRETİM_İHTİYAÇ_RAPORU_BURAK_YENI1309[[#This Row],[BIRIM_FIYATLAR]])&lt;1,VALUE("0"),DST_123_ÜRETİM_İHTİYAÇ_RAPORU_BURAK_YENI1309[[#This Row],[SATINALMA]]*DST_123_ÜRETİM_İHTİYAÇ_RAPORU_BURAK_YENI1309[[#This Row],[BIRIM_FIYATLAR]])</f>
        <v>0</v>
      </c>
      <c r="N4736">
        <v>360.19</v>
      </c>
      <c r="O4736" t="s">
        <v>636</v>
      </c>
      <c r="P4736">
        <v>360.19</v>
      </c>
      <c r="Q4736" t="s">
        <v>178</v>
      </c>
    </row>
    <row r="4737" spans="1:17" x14ac:dyDescent="0.25">
      <c r="A4737" t="s">
        <v>1150</v>
      </c>
      <c r="B4737" t="s">
        <v>1145</v>
      </c>
      <c r="C4737" t="s">
        <v>175</v>
      </c>
      <c r="D4737" t="s">
        <v>218</v>
      </c>
      <c r="E4737" t="s">
        <v>219</v>
      </c>
      <c r="F4737">
        <v>2</v>
      </c>
      <c r="G4737" t="s">
        <v>176</v>
      </c>
      <c r="H4737">
        <v>0</v>
      </c>
      <c r="I4737">
        <v>288</v>
      </c>
      <c r="J4737" s="10">
        <v>94</v>
      </c>
      <c r="K4737" s="10">
        <f>SUMIFS(F:F,D:D,DST_123_ÜRETİM_İHTİYAÇ_RAPORU_BURAK_YENI1309[[#This Row],[ALT_KOD]])-(SUMIFS(H:H,D:D,DST_123_ÜRETİM_İHTİYAÇ_RAPORU_BURAK_YENI1309[[#This Row],[ALT_KOD]])+AVERAGEIFS(I:I,D:D,DST_123_ÜRETİM_İHTİYAÇ_RAPORU_BURAK_YENI1309[[#This Row],[ALT_KOD]])+AVERAGEIFS(L:L,D:D,DST_123_ÜRETİM_İHTİYAÇ_RAPORU_BURAK_YENI1309[[#This Row],[ALT_KOD]]))</f>
        <v>-260</v>
      </c>
      <c r="L4737">
        <v>0</v>
      </c>
      <c r="M4737">
        <f>IF((DST_123_ÜRETİM_İHTİYAÇ_RAPORU_BURAK_YENI1309[[#This Row],[SATINALMA]]*DST_123_ÜRETİM_İHTİYAÇ_RAPORU_BURAK_YENI1309[[#This Row],[BIRIM_FIYATLAR]])&lt;1,VALUE("0"),DST_123_ÜRETİM_İHTİYAÇ_RAPORU_BURAK_YENI1309[[#This Row],[SATINALMA]]*DST_123_ÜRETİM_İHTİYAÇ_RAPORU_BURAK_YENI1309[[#This Row],[BIRIM_FIYATLAR]])</f>
        <v>0</v>
      </c>
      <c r="N4737">
        <v>4</v>
      </c>
      <c r="O4737" t="s">
        <v>220</v>
      </c>
      <c r="P4737">
        <v>8</v>
      </c>
      <c r="Q4737" t="s">
        <v>221</v>
      </c>
    </row>
    <row r="4738" spans="1:17" x14ac:dyDescent="0.25">
      <c r="A4738" t="s">
        <v>1150</v>
      </c>
      <c r="B4738" t="s">
        <v>1145</v>
      </c>
      <c r="C4738" t="s">
        <v>175</v>
      </c>
      <c r="D4738" t="s">
        <v>493</v>
      </c>
      <c r="E4738" t="s">
        <v>494</v>
      </c>
      <c r="F4738">
        <v>27</v>
      </c>
      <c r="G4738" t="s">
        <v>495</v>
      </c>
      <c r="H4738">
        <v>0</v>
      </c>
      <c r="I4738">
        <v>200</v>
      </c>
      <c r="J4738" s="10">
        <v>86</v>
      </c>
      <c r="K4738" s="10">
        <f>SUMIFS(F:F,D:D,DST_123_ÜRETİM_İHTİYAÇ_RAPORU_BURAK_YENI1309[[#This Row],[ALT_KOD]])-(SUMIFS(H:H,D:D,DST_123_ÜRETİM_İHTİYAÇ_RAPORU_BURAK_YENI1309[[#This Row],[ALT_KOD]])+AVERAGEIFS(I:I,D:D,DST_123_ÜRETİM_İHTİYAÇ_RAPORU_BURAK_YENI1309[[#This Row],[ALT_KOD]])+AVERAGEIFS(L:L,D:D,DST_123_ÜRETİM_İHTİYAÇ_RAPORU_BURAK_YENI1309[[#This Row],[ALT_KOD]]))</f>
        <v>220</v>
      </c>
      <c r="L4738">
        <v>0</v>
      </c>
      <c r="M4738">
        <f>IF((DST_123_ÜRETİM_İHTİYAÇ_RAPORU_BURAK_YENI1309[[#This Row],[SATINALMA]]*DST_123_ÜRETİM_İHTİYAÇ_RAPORU_BURAK_YENI1309[[#This Row],[BIRIM_FIYATLAR]])&lt;1,VALUE("0"),DST_123_ÜRETİM_İHTİYAÇ_RAPORU_BURAK_YENI1309[[#This Row],[SATINALMA]]*DST_123_ÜRETİM_İHTİYAÇ_RAPORU_BURAK_YENI1309[[#This Row],[BIRIM_FIYATLAR]])</f>
        <v>23100</v>
      </c>
      <c r="N4738">
        <v>105</v>
      </c>
      <c r="O4738" t="s">
        <v>296</v>
      </c>
      <c r="P4738">
        <v>2835</v>
      </c>
      <c r="Q4738" t="s">
        <v>184</v>
      </c>
    </row>
    <row r="4739" spans="1:17" x14ac:dyDescent="0.25">
      <c r="A4739" t="s">
        <v>1060</v>
      </c>
      <c r="B4739" t="s">
        <v>1061</v>
      </c>
      <c r="C4739" t="s">
        <v>175</v>
      </c>
      <c r="D4739" t="s">
        <v>441</v>
      </c>
      <c r="E4739" t="s">
        <v>442</v>
      </c>
      <c r="F4739">
        <v>1</v>
      </c>
      <c r="G4739" t="s">
        <v>176</v>
      </c>
      <c r="H4739">
        <v>0</v>
      </c>
      <c r="I4739">
        <v>23</v>
      </c>
      <c r="J4739" s="10">
        <v>5</v>
      </c>
      <c r="K4739" s="10">
        <f>SUMIFS(F:F,D:D,DST_123_ÜRETİM_İHTİYAÇ_RAPORU_BURAK_YENI1309[[#This Row],[ALT_KOD]])-(SUMIFS(H:H,D:D,DST_123_ÜRETİM_İHTİYAÇ_RAPORU_BURAK_YENI1309[[#This Row],[ALT_KOD]])+AVERAGEIFS(I:I,D:D,DST_123_ÜRETİM_İHTİYAÇ_RAPORU_BURAK_YENI1309[[#This Row],[ALT_KOD]])+AVERAGEIFS(L:L,D:D,DST_123_ÜRETİM_İHTİYAÇ_RAPORU_BURAK_YENI1309[[#This Row],[ALT_KOD]]))</f>
        <v>-11</v>
      </c>
      <c r="L4739">
        <v>0</v>
      </c>
      <c r="M4739">
        <f>IF((DST_123_ÜRETİM_İHTİYAÇ_RAPORU_BURAK_YENI1309[[#This Row],[SATINALMA]]*DST_123_ÜRETİM_İHTİYAÇ_RAPORU_BURAK_YENI1309[[#This Row],[BIRIM_FIYATLAR]])&lt;1,VALUE("0"),DST_123_ÜRETİM_İHTİYAÇ_RAPORU_BURAK_YENI1309[[#This Row],[SATINALMA]]*DST_123_ÜRETİM_İHTİYAÇ_RAPORU_BURAK_YENI1309[[#This Row],[BIRIM_FIYATLAR]])</f>
        <v>0</v>
      </c>
      <c r="N4739">
        <v>360.19</v>
      </c>
      <c r="O4739" t="s">
        <v>636</v>
      </c>
      <c r="P4739">
        <v>360.19</v>
      </c>
      <c r="Q4739" t="s">
        <v>178</v>
      </c>
    </row>
    <row r="4740" spans="1:17" x14ac:dyDescent="0.25">
      <c r="A4740" t="s">
        <v>1144</v>
      </c>
      <c r="B4740" t="s">
        <v>1145</v>
      </c>
      <c r="C4740" t="s">
        <v>175</v>
      </c>
      <c r="D4740" t="s">
        <v>493</v>
      </c>
      <c r="E4740" t="s">
        <v>494</v>
      </c>
      <c r="F4740">
        <v>27</v>
      </c>
      <c r="G4740" t="s">
        <v>495</v>
      </c>
      <c r="H4740">
        <v>0</v>
      </c>
      <c r="I4740">
        <v>200</v>
      </c>
      <c r="J4740" s="10">
        <v>86</v>
      </c>
      <c r="K4740" s="10">
        <f>SUMIFS(F:F,D:D,DST_123_ÜRETİM_İHTİYAÇ_RAPORU_BURAK_YENI1309[[#This Row],[ALT_KOD]])-(SUMIFS(H:H,D:D,DST_123_ÜRETİM_İHTİYAÇ_RAPORU_BURAK_YENI1309[[#This Row],[ALT_KOD]])+AVERAGEIFS(I:I,D:D,DST_123_ÜRETİM_İHTİYAÇ_RAPORU_BURAK_YENI1309[[#This Row],[ALT_KOD]])+AVERAGEIFS(L:L,D:D,DST_123_ÜRETİM_İHTİYAÇ_RAPORU_BURAK_YENI1309[[#This Row],[ALT_KOD]]))</f>
        <v>220</v>
      </c>
      <c r="L4740">
        <v>0</v>
      </c>
      <c r="M4740">
        <f>IF((DST_123_ÜRETİM_İHTİYAÇ_RAPORU_BURAK_YENI1309[[#This Row],[SATINALMA]]*DST_123_ÜRETİM_İHTİYAÇ_RAPORU_BURAK_YENI1309[[#This Row],[BIRIM_FIYATLAR]])&lt;1,VALUE("0"),DST_123_ÜRETİM_İHTİYAÇ_RAPORU_BURAK_YENI1309[[#This Row],[SATINALMA]]*DST_123_ÜRETİM_İHTİYAÇ_RAPORU_BURAK_YENI1309[[#This Row],[BIRIM_FIYATLAR]])</f>
        <v>23100</v>
      </c>
      <c r="N4740">
        <v>105</v>
      </c>
      <c r="O4740" t="s">
        <v>296</v>
      </c>
      <c r="P4740">
        <v>2835</v>
      </c>
      <c r="Q4740" t="s">
        <v>184</v>
      </c>
    </row>
    <row r="4741" spans="1:17" x14ac:dyDescent="0.25">
      <c r="A4741" t="s">
        <v>1146</v>
      </c>
      <c r="B4741" t="s">
        <v>1145</v>
      </c>
      <c r="C4741" t="s">
        <v>175</v>
      </c>
      <c r="D4741" t="s">
        <v>493</v>
      </c>
      <c r="E4741" t="s">
        <v>494</v>
      </c>
      <c r="F4741">
        <v>22</v>
      </c>
      <c r="G4741" t="s">
        <v>495</v>
      </c>
      <c r="H4741">
        <v>0</v>
      </c>
      <c r="I4741">
        <v>200</v>
      </c>
      <c r="J4741" s="10">
        <v>86</v>
      </c>
      <c r="K4741" s="10">
        <f>SUMIFS(F:F,D:D,DST_123_ÜRETİM_İHTİYAÇ_RAPORU_BURAK_YENI1309[[#This Row],[ALT_KOD]])-(SUMIFS(H:H,D:D,DST_123_ÜRETİM_İHTİYAÇ_RAPORU_BURAK_YENI1309[[#This Row],[ALT_KOD]])+AVERAGEIFS(I:I,D:D,DST_123_ÜRETİM_İHTİYAÇ_RAPORU_BURAK_YENI1309[[#This Row],[ALT_KOD]])+AVERAGEIFS(L:L,D:D,DST_123_ÜRETİM_İHTİYAÇ_RAPORU_BURAK_YENI1309[[#This Row],[ALT_KOD]]))</f>
        <v>220</v>
      </c>
      <c r="L4741">
        <v>0</v>
      </c>
      <c r="M4741">
        <f>IF((DST_123_ÜRETİM_İHTİYAÇ_RAPORU_BURAK_YENI1309[[#This Row],[SATINALMA]]*DST_123_ÜRETİM_İHTİYAÇ_RAPORU_BURAK_YENI1309[[#This Row],[BIRIM_FIYATLAR]])&lt;1,VALUE("0"),DST_123_ÜRETİM_İHTİYAÇ_RAPORU_BURAK_YENI1309[[#This Row],[SATINALMA]]*DST_123_ÜRETİM_İHTİYAÇ_RAPORU_BURAK_YENI1309[[#This Row],[BIRIM_FIYATLAR]])</f>
        <v>23100</v>
      </c>
      <c r="N4741">
        <v>105</v>
      </c>
      <c r="O4741" t="s">
        <v>296</v>
      </c>
      <c r="P4741">
        <v>2310</v>
      </c>
      <c r="Q4741" t="s">
        <v>184</v>
      </c>
    </row>
    <row r="4742" spans="1:17" x14ac:dyDescent="0.25">
      <c r="A4742" t="s">
        <v>1144</v>
      </c>
      <c r="B4742" t="s">
        <v>1145</v>
      </c>
      <c r="C4742" t="s">
        <v>175</v>
      </c>
      <c r="D4742" t="s">
        <v>441</v>
      </c>
      <c r="E4742" t="s">
        <v>442</v>
      </c>
      <c r="F4742">
        <v>1</v>
      </c>
      <c r="G4742" t="s">
        <v>176</v>
      </c>
      <c r="H4742">
        <v>0</v>
      </c>
      <c r="I4742">
        <v>23</v>
      </c>
      <c r="J4742" s="10">
        <v>5</v>
      </c>
      <c r="K4742" s="10">
        <f>SUMIFS(F:F,D:D,DST_123_ÜRETİM_İHTİYAÇ_RAPORU_BURAK_YENI1309[[#This Row],[ALT_KOD]])-(SUMIFS(H:H,D:D,DST_123_ÜRETİM_İHTİYAÇ_RAPORU_BURAK_YENI1309[[#This Row],[ALT_KOD]])+AVERAGEIFS(I:I,D:D,DST_123_ÜRETİM_İHTİYAÇ_RAPORU_BURAK_YENI1309[[#This Row],[ALT_KOD]])+AVERAGEIFS(L:L,D:D,DST_123_ÜRETİM_İHTİYAÇ_RAPORU_BURAK_YENI1309[[#This Row],[ALT_KOD]]))</f>
        <v>-11</v>
      </c>
      <c r="L4742">
        <v>0</v>
      </c>
      <c r="M4742">
        <f>IF((DST_123_ÜRETİM_İHTİYAÇ_RAPORU_BURAK_YENI1309[[#This Row],[SATINALMA]]*DST_123_ÜRETİM_İHTİYAÇ_RAPORU_BURAK_YENI1309[[#This Row],[BIRIM_FIYATLAR]])&lt;1,VALUE("0"),DST_123_ÜRETİM_İHTİYAÇ_RAPORU_BURAK_YENI1309[[#This Row],[SATINALMA]]*DST_123_ÜRETİM_İHTİYAÇ_RAPORU_BURAK_YENI1309[[#This Row],[BIRIM_FIYATLAR]])</f>
        <v>0</v>
      </c>
      <c r="N4742">
        <v>360.19</v>
      </c>
      <c r="O4742" t="s">
        <v>636</v>
      </c>
      <c r="P4742">
        <v>360.19</v>
      </c>
      <c r="Q4742" t="s">
        <v>178</v>
      </c>
    </row>
    <row r="4743" spans="1:17" x14ac:dyDescent="0.25">
      <c r="A4743" t="s">
        <v>1148</v>
      </c>
      <c r="B4743" t="s">
        <v>1056</v>
      </c>
      <c r="C4743" t="s">
        <v>175</v>
      </c>
      <c r="D4743" t="s">
        <v>441</v>
      </c>
      <c r="E4743" t="s">
        <v>442</v>
      </c>
      <c r="F4743">
        <v>1</v>
      </c>
      <c r="G4743" t="s">
        <v>176</v>
      </c>
      <c r="H4743">
        <v>0</v>
      </c>
      <c r="I4743">
        <v>23</v>
      </c>
      <c r="J4743" s="10">
        <v>5</v>
      </c>
      <c r="K4743" s="10">
        <f>SUMIFS(F:F,D:D,DST_123_ÜRETİM_İHTİYAÇ_RAPORU_BURAK_YENI1309[[#This Row],[ALT_KOD]])-(SUMIFS(H:H,D:D,DST_123_ÜRETİM_İHTİYAÇ_RAPORU_BURAK_YENI1309[[#This Row],[ALT_KOD]])+AVERAGEIFS(I:I,D:D,DST_123_ÜRETİM_İHTİYAÇ_RAPORU_BURAK_YENI1309[[#This Row],[ALT_KOD]])+AVERAGEIFS(L:L,D:D,DST_123_ÜRETİM_İHTİYAÇ_RAPORU_BURAK_YENI1309[[#This Row],[ALT_KOD]]))</f>
        <v>-11</v>
      </c>
      <c r="L4743">
        <v>0</v>
      </c>
      <c r="M4743">
        <f>IF((DST_123_ÜRETİM_İHTİYAÇ_RAPORU_BURAK_YENI1309[[#This Row],[SATINALMA]]*DST_123_ÜRETİM_İHTİYAÇ_RAPORU_BURAK_YENI1309[[#This Row],[BIRIM_FIYATLAR]])&lt;1,VALUE("0"),DST_123_ÜRETİM_İHTİYAÇ_RAPORU_BURAK_YENI1309[[#This Row],[SATINALMA]]*DST_123_ÜRETİM_İHTİYAÇ_RAPORU_BURAK_YENI1309[[#This Row],[BIRIM_FIYATLAR]])</f>
        <v>0</v>
      </c>
      <c r="N4743">
        <v>360.19</v>
      </c>
      <c r="O4743" t="s">
        <v>636</v>
      </c>
      <c r="P4743">
        <v>360.19</v>
      </c>
      <c r="Q4743" t="s">
        <v>178</v>
      </c>
    </row>
    <row r="4744" spans="1:17" x14ac:dyDescent="0.25">
      <c r="A4744" t="s">
        <v>1147</v>
      </c>
      <c r="B4744" t="s">
        <v>1145</v>
      </c>
      <c r="C4744" t="s">
        <v>175</v>
      </c>
      <c r="D4744" t="s">
        <v>701</v>
      </c>
      <c r="E4744" t="s">
        <v>702</v>
      </c>
      <c r="F4744">
        <v>4</v>
      </c>
      <c r="G4744" t="s">
        <v>176</v>
      </c>
      <c r="H4744">
        <v>0</v>
      </c>
      <c r="I4744">
        <v>100</v>
      </c>
      <c r="J4744" s="10">
        <v>52</v>
      </c>
      <c r="K4744" s="10">
        <f>SUMIFS(F:F,D:D,DST_123_ÜRETİM_İHTİYAÇ_RAPORU_BURAK_YENI1309[[#This Row],[ALT_KOD]])-(SUMIFS(H:H,D:D,DST_123_ÜRETİM_İHTİYAÇ_RAPORU_BURAK_YENI1309[[#This Row],[ALT_KOD]])+AVERAGEIFS(I:I,D:D,DST_123_ÜRETİM_İHTİYAÇ_RAPORU_BURAK_YENI1309[[#This Row],[ALT_KOD]])+AVERAGEIFS(L:L,D:D,DST_123_ÜRETİM_İHTİYAÇ_RAPORU_BURAK_YENI1309[[#This Row],[ALT_KOD]]))</f>
        <v>-52</v>
      </c>
      <c r="L4744">
        <v>0</v>
      </c>
      <c r="M4744">
        <f>IF((DST_123_ÜRETİM_İHTİYAÇ_RAPORU_BURAK_YENI1309[[#This Row],[SATINALMA]]*DST_123_ÜRETİM_İHTİYAÇ_RAPORU_BURAK_YENI1309[[#This Row],[BIRIM_FIYATLAR]])&lt;1,VALUE("0"),DST_123_ÜRETİM_İHTİYAÇ_RAPORU_BURAK_YENI1309[[#This Row],[SATINALMA]]*DST_123_ÜRETİM_İHTİYAÇ_RAPORU_BURAK_YENI1309[[#This Row],[BIRIM_FIYATLAR]])</f>
        <v>0</v>
      </c>
      <c r="N4744">
        <v>1.1299999999999999</v>
      </c>
      <c r="O4744" t="s">
        <v>826</v>
      </c>
      <c r="P4744">
        <v>4.5199999999999996</v>
      </c>
      <c r="Q4744" t="s">
        <v>221</v>
      </c>
    </row>
    <row r="4745" spans="1:17" x14ac:dyDescent="0.25">
      <c r="A4745" t="s">
        <v>1100</v>
      </c>
      <c r="B4745" t="s">
        <v>1058</v>
      </c>
      <c r="C4745" t="s">
        <v>175</v>
      </c>
      <c r="D4745" t="s">
        <v>701</v>
      </c>
      <c r="E4745" t="s">
        <v>702</v>
      </c>
      <c r="F4745">
        <v>4</v>
      </c>
      <c r="G4745" t="s">
        <v>176</v>
      </c>
      <c r="H4745">
        <v>0</v>
      </c>
      <c r="I4745">
        <v>100</v>
      </c>
      <c r="J4745" s="10">
        <v>52</v>
      </c>
      <c r="K4745" s="10">
        <f>SUMIFS(F:F,D:D,DST_123_ÜRETİM_İHTİYAÇ_RAPORU_BURAK_YENI1309[[#This Row],[ALT_KOD]])-(SUMIFS(H:H,D:D,DST_123_ÜRETİM_İHTİYAÇ_RAPORU_BURAK_YENI1309[[#This Row],[ALT_KOD]])+AVERAGEIFS(I:I,D:D,DST_123_ÜRETİM_İHTİYAÇ_RAPORU_BURAK_YENI1309[[#This Row],[ALT_KOD]])+AVERAGEIFS(L:L,D:D,DST_123_ÜRETİM_İHTİYAÇ_RAPORU_BURAK_YENI1309[[#This Row],[ALT_KOD]]))</f>
        <v>-52</v>
      </c>
      <c r="L4745">
        <v>0</v>
      </c>
      <c r="M4745">
        <f>IF((DST_123_ÜRETİM_İHTİYAÇ_RAPORU_BURAK_YENI1309[[#This Row],[SATINALMA]]*DST_123_ÜRETİM_İHTİYAÇ_RAPORU_BURAK_YENI1309[[#This Row],[BIRIM_FIYATLAR]])&lt;1,VALUE("0"),DST_123_ÜRETİM_İHTİYAÇ_RAPORU_BURAK_YENI1309[[#This Row],[SATINALMA]]*DST_123_ÜRETİM_İHTİYAÇ_RAPORU_BURAK_YENI1309[[#This Row],[BIRIM_FIYATLAR]])</f>
        <v>0</v>
      </c>
      <c r="N4745">
        <v>1.1299999999999999</v>
      </c>
      <c r="O4745" t="s">
        <v>826</v>
      </c>
      <c r="P4745">
        <v>4.5199999999999996</v>
      </c>
      <c r="Q4745" t="s">
        <v>221</v>
      </c>
    </row>
    <row r="4746" spans="1:17" x14ac:dyDescent="0.25">
      <c r="A4746" t="s">
        <v>1147</v>
      </c>
      <c r="B4746" t="s">
        <v>1145</v>
      </c>
      <c r="C4746" t="s">
        <v>175</v>
      </c>
      <c r="D4746" t="s">
        <v>601</v>
      </c>
      <c r="E4746" t="s">
        <v>602</v>
      </c>
      <c r="F4746">
        <v>2</v>
      </c>
      <c r="G4746" t="s">
        <v>176</v>
      </c>
      <c r="H4746">
        <v>0</v>
      </c>
      <c r="I4746">
        <v>24</v>
      </c>
      <c r="J4746" s="10">
        <v>10</v>
      </c>
      <c r="K4746" s="10">
        <f>SUMIFS(F:F,D:D,DST_123_ÜRETİM_İHTİYAÇ_RAPORU_BURAK_YENI1309[[#This Row],[ALT_KOD]])-(SUMIFS(H:H,D:D,DST_123_ÜRETİM_İHTİYAÇ_RAPORU_BURAK_YENI1309[[#This Row],[ALT_KOD]])+AVERAGEIFS(I:I,D:D,DST_123_ÜRETİM_İHTİYAÇ_RAPORU_BURAK_YENI1309[[#This Row],[ALT_KOD]])+AVERAGEIFS(L:L,D:D,DST_123_ÜRETİM_İHTİYAÇ_RAPORU_BURAK_YENI1309[[#This Row],[ALT_KOD]]))</f>
        <v>-8</v>
      </c>
      <c r="L4746">
        <v>0</v>
      </c>
      <c r="M4746">
        <f>IF((DST_123_ÜRETİM_İHTİYAÇ_RAPORU_BURAK_YENI1309[[#This Row],[SATINALMA]]*DST_123_ÜRETİM_İHTİYAÇ_RAPORU_BURAK_YENI1309[[#This Row],[BIRIM_FIYATLAR]])&lt;1,VALUE("0"),DST_123_ÜRETİM_İHTİYAÇ_RAPORU_BURAK_YENI1309[[#This Row],[SATINALMA]]*DST_123_ÜRETİM_İHTİYAÇ_RAPORU_BURAK_YENI1309[[#This Row],[BIRIM_FIYATLAR]])</f>
        <v>0</v>
      </c>
      <c r="N4746">
        <v>50.43</v>
      </c>
      <c r="O4746" t="s">
        <v>636</v>
      </c>
      <c r="P4746">
        <v>100.86</v>
      </c>
      <c r="Q4746" t="s">
        <v>177</v>
      </c>
    </row>
    <row r="4747" spans="1:17" x14ac:dyDescent="0.25">
      <c r="A4747" t="s">
        <v>1146</v>
      </c>
      <c r="B4747" t="s">
        <v>1145</v>
      </c>
      <c r="C4747" t="s">
        <v>175</v>
      </c>
      <c r="D4747" t="s">
        <v>441</v>
      </c>
      <c r="E4747" t="s">
        <v>442</v>
      </c>
      <c r="F4747">
        <v>1</v>
      </c>
      <c r="G4747" t="s">
        <v>176</v>
      </c>
      <c r="H4747">
        <v>0</v>
      </c>
      <c r="I4747">
        <v>23</v>
      </c>
      <c r="J4747" s="10">
        <v>5</v>
      </c>
      <c r="K4747" s="10">
        <f>SUMIFS(F:F,D:D,DST_123_ÜRETİM_İHTİYAÇ_RAPORU_BURAK_YENI1309[[#This Row],[ALT_KOD]])-(SUMIFS(H:H,D:D,DST_123_ÜRETİM_İHTİYAÇ_RAPORU_BURAK_YENI1309[[#This Row],[ALT_KOD]])+AVERAGEIFS(I:I,D:D,DST_123_ÜRETİM_İHTİYAÇ_RAPORU_BURAK_YENI1309[[#This Row],[ALT_KOD]])+AVERAGEIFS(L:L,D:D,DST_123_ÜRETİM_İHTİYAÇ_RAPORU_BURAK_YENI1309[[#This Row],[ALT_KOD]]))</f>
        <v>-11</v>
      </c>
      <c r="L4747">
        <v>0</v>
      </c>
      <c r="M4747">
        <f>IF((DST_123_ÜRETİM_İHTİYAÇ_RAPORU_BURAK_YENI1309[[#This Row],[SATINALMA]]*DST_123_ÜRETİM_İHTİYAÇ_RAPORU_BURAK_YENI1309[[#This Row],[BIRIM_FIYATLAR]])&lt;1,VALUE("0"),DST_123_ÜRETİM_İHTİYAÇ_RAPORU_BURAK_YENI1309[[#This Row],[SATINALMA]]*DST_123_ÜRETİM_İHTİYAÇ_RAPORU_BURAK_YENI1309[[#This Row],[BIRIM_FIYATLAR]])</f>
        <v>0</v>
      </c>
      <c r="N4747">
        <v>360.19</v>
      </c>
      <c r="O4747" t="s">
        <v>636</v>
      </c>
      <c r="P4747">
        <v>360.19</v>
      </c>
      <c r="Q4747" t="s">
        <v>178</v>
      </c>
    </row>
    <row r="4748" spans="1:17" x14ac:dyDescent="0.25">
      <c r="A4748" t="s">
        <v>1149</v>
      </c>
      <c r="B4748" t="s">
        <v>1145</v>
      </c>
      <c r="C4748" t="s">
        <v>175</v>
      </c>
      <c r="D4748" t="s">
        <v>701</v>
      </c>
      <c r="E4748" t="s">
        <v>702</v>
      </c>
      <c r="F4748">
        <v>4</v>
      </c>
      <c r="G4748" t="s">
        <v>176</v>
      </c>
      <c r="H4748">
        <v>0</v>
      </c>
      <c r="I4748">
        <v>100</v>
      </c>
      <c r="J4748" s="10">
        <v>52</v>
      </c>
      <c r="K4748" s="10">
        <f>SUMIFS(F:F,D:D,DST_123_ÜRETİM_İHTİYAÇ_RAPORU_BURAK_YENI1309[[#This Row],[ALT_KOD]])-(SUMIFS(H:H,D:D,DST_123_ÜRETİM_İHTİYAÇ_RAPORU_BURAK_YENI1309[[#This Row],[ALT_KOD]])+AVERAGEIFS(I:I,D:D,DST_123_ÜRETİM_İHTİYAÇ_RAPORU_BURAK_YENI1309[[#This Row],[ALT_KOD]])+AVERAGEIFS(L:L,D:D,DST_123_ÜRETİM_İHTİYAÇ_RAPORU_BURAK_YENI1309[[#This Row],[ALT_KOD]]))</f>
        <v>-52</v>
      </c>
      <c r="L4748">
        <v>0</v>
      </c>
      <c r="M4748">
        <f>IF((DST_123_ÜRETİM_İHTİYAÇ_RAPORU_BURAK_YENI1309[[#This Row],[SATINALMA]]*DST_123_ÜRETİM_İHTİYAÇ_RAPORU_BURAK_YENI1309[[#This Row],[BIRIM_FIYATLAR]])&lt;1,VALUE("0"),DST_123_ÜRETİM_İHTİYAÇ_RAPORU_BURAK_YENI1309[[#This Row],[SATINALMA]]*DST_123_ÜRETİM_İHTİYAÇ_RAPORU_BURAK_YENI1309[[#This Row],[BIRIM_FIYATLAR]])</f>
        <v>0</v>
      </c>
      <c r="N4748">
        <v>1.1299999999999999</v>
      </c>
      <c r="O4748" t="s">
        <v>826</v>
      </c>
      <c r="P4748">
        <v>4.5199999999999996</v>
      </c>
      <c r="Q4748" t="s">
        <v>221</v>
      </c>
    </row>
    <row r="4749" spans="1:17" x14ac:dyDescent="0.25">
      <c r="A4749" t="s">
        <v>1057</v>
      </c>
      <c r="B4749" t="s">
        <v>1058</v>
      </c>
      <c r="C4749" t="s">
        <v>175</v>
      </c>
      <c r="D4749" t="s">
        <v>701</v>
      </c>
      <c r="E4749" t="s">
        <v>702</v>
      </c>
      <c r="F4749">
        <v>4</v>
      </c>
      <c r="G4749" t="s">
        <v>176</v>
      </c>
      <c r="H4749">
        <v>0</v>
      </c>
      <c r="I4749">
        <v>100</v>
      </c>
      <c r="J4749" s="10">
        <v>52</v>
      </c>
      <c r="K4749" s="10">
        <f>SUMIFS(F:F,D:D,DST_123_ÜRETİM_İHTİYAÇ_RAPORU_BURAK_YENI1309[[#This Row],[ALT_KOD]])-(SUMIFS(H:H,D:D,DST_123_ÜRETİM_İHTİYAÇ_RAPORU_BURAK_YENI1309[[#This Row],[ALT_KOD]])+AVERAGEIFS(I:I,D:D,DST_123_ÜRETİM_İHTİYAÇ_RAPORU_BURAK_YENI1309[[#This Row],[ALT_KOD]])+AVERAGEIFS(L:L,D:D,DST_123_ÜRETİM_İHTİYAÇ_RAPORU_BURAK_YENI1309[[#This Row],[ALT_KOD]]))</f>
        <v>-52</v>
      </c>
      <c r="L4749">
        <v>0</v>
      </c>
      <c r="M4749">
        <f>IF((DST_123_ÜRETİM_İHTİYAÇ_RAPORU_BURAK_YENI1309[[#This Row],[SATINALMA]]*DST_123_ÜRETİM_İHTİYAÇ_RAPORU_BURAK_YENI1309[[#This Row],[BIRIM_FIYATLAR]])&lt;1,VALUE("0"),DST_123_ÜRETİM_İHTİYAÇ_RAPORU_BURAK_YENI1309[[#This Row],[SATINALMA]]*DST_123_ÜRETİM_İHTİYAÇ_RAPORU_BURAK_YENI1309[[#This Row],[BIRIM_FIYATLAR]])</f>
        <v>0</v>
      </c>
      <c r="N4749">
        <v>1.1299999999999999</v>
      </c>
      <c r="O4749" t="s">
        <v>826</v>
      </c>
      <c r="P4749">
        <v>4.5199999999999996</v>
      </c>
      <c r="Q4749" t="s">
        <v>221</v>
      </c>
    </row>
    <row r="4750" spans="1:17" x14ac:dyDescent="0.25">
      <c r="A4750" t="s">
        <v>1060</v>
      </c>
      <c r="B4750" t="s">
        <v>1061</v>
      </c>
      <c r="C4750" t="s">
        <v>175</v>
      </c>
      <c r="D4750" t="s">
        <v>601</v>
      </c>
      <c r="E4750" t="s">
        <v>602</v>
      </c>
      <c r="F4750">
        <v>2</v>
      </c>
      <c r="G4750" t="s">
        <v>176</v>
      </c>
      <c r="H4750">
        <v>0</v>
      </c>
      <c r="I4750">
        <v>24</v>
      </c>
      <c r="J4750" s="10">
        <v>10</v>
      </c>
      <c r="K4750" s="10">
        <f>SUMIFS(F:F,D:D,DST_123_ÜRETİM_İHTİYAÇ_RAPORU_BURAK_YENI1309[[#This Row],[ALT_KOD]])-(SUMIFS(H:H,D:D,DST_123_ÜRETİM_İHTİYAÇ_RAPORU_BURAK_YENI1309[[#This Row],[ALT_KOD]])+AVERAGEIFS(I:I,D:D,DST_123_ÜRETİM_İHTİYAÇ_RAPORU_BURAK_YENI1309[[#This Row],[ALT_KOD]])+AVERAGEIFS(L:L,D:D,DST_123_ÜRETİM_İHTİYAÇ_RAPORU_BURAK_YENI1309[[#This Row],[ALT_KOD]]))</f>
        <v>-8</v>
      </c>
      <c r="L4750">
        <v>0</v>
      </c>
      <c r="M4750">
        <f>IF((DST_123_ÜRETİM_İHTİYAÇ_RAPORU_BURAK_YENI1309[[#This Row],[SATINALMA]]*DST_123_ÜRETİM_İHTİYAÇ_RAPORU_BURAK_YENI1309[[#This Row],[BIRIM_FIYATLAR]])&lt;1,VALUE("0"),DST_123_ÜRETİM_İHTİYAÇ_RAPORU_BURAK_YENI1309[[#This Row],[SATINALMA]]*DST_123_ÜRETİM_İHTİYAÇ_RAPORU_BURAK_YENI1309[[#This Row],[BIRIM_FIYATLAR]])</f>
        <v>0</v>
      </c>
      <c r="N4750">
        <v>50.43</v>
      </c>
      <c r="O4750" t="s">
        <v>636</v>
      </c>
      <c r="P4750">
        <v>100.86</v>
      </c>
      <c r="Q4750" t="s">
        <v>177</v>
      </c>
    </row>
    <row r="4751" spans="1:17" x14ac:dyDescent="0.25">
      <c r="A4751" t="s">
        <v>1064</v>
      </c>
      <c r="B4751" t="s">
        <v>1055</v>
      </c>
      <c r="C4751" t="s">
        <v>175</v>
      </c>
      <c r="D4751" t="s">
        <v>478</v>
      </c>
      <c r="E4751" t="s">
        <v>479</v>
      </c>
      <c r="F4751">
        <v>50</v>
      </c>
      <c r="G4751" t="s">
        <v>176</v>
      </c>
      <c r="H4751">
        <v>0</v>
      </c>
      <c r="I4751">
        <v>0</v>
      </c>
      <c r="J4751" s="10">
        <v>1330</v>
      </c>
      <c r="K4751" s="10">
        <f>SUMIFS(F:F,D:D,DST_123_ÜRETİM_İHTİYAÇ_RAPORU_BURAK_YENI1309[[#This Row],[ALT_KOD]])-(SUMIFS(H:H,D:D,DST_123_ÜRETİM_İHTİYAÇ_RAPORU_BURAK_YENI1309[[#This Row],[ALT_KOD]])+AVERAGEIFS(I:I,D:D,DST_123_ÜRETİM_İHTİYAÇ_RAPORU_BURAK_YENI1309[[#This Row],[ALT_KOD]])+AVERAGEIFS(L:L,D:D,DST_123_ÜRETİM_İHTİYAÇ_RAPORU_BURAK_YENI1309[[#This Row],[ALT_KOD]]))</f>
        <v>860</v>
      </c>
      <c r="L4751">
        <v>0</v>
      </c>
      <c r="M4751">
        <f>IF((DST_123_ÜRETİM_İHTİYAÇ_RAPORU_BURAK_YENI1309[[#This Row],[SATINALMA]]*DST_123_ÜRETİM_İHTİYAÇ_RAPORU_BURAK_YENI1309[[#This Row],[BIRIM_FIYATLAR]])&lt;1,VALUE("0"),DST_123_ÜRETİM_İHTİYAÇ_RAPORU_BURAK_YENI1309[[#This Row],[SATINALMA]]*DST_123_ÜRETİM_İHTİYAÇ_RAPORU_BURAK_YENI1309[[#This Row],[BIRIM_FIYATLAR]])</f>
        <v>344</v>
      </c>
      <c r="N4751">
        <v>0.4</v>
      </c>
      <c r="O4751" t="s">
        <v>882</v>
      </c>
      <c r="P4751">
        <v>20</v>
      </c>
      <c r="Q4751" t="s">
        <v>180</v>
      </c>
    </row>
    <row r="4752" spans="1:17" x14ac:dyDescent="0.25">
      <c r="A4752" t="s">
        <v>1196</v>
      </c>
      <c r="B4752" t="s">
        <v>1197</v>
      </c>
      <c r="C4752" t="s">
        <v>175</v>
      </c>
      <c r="D4752" t="s">
        <v>478</v>
      </c>
      <c r="E4752" t="s">
        <v>479</v>
      </c>
      <c r="F4752">
        <v>40</v>
      </c>
      <c r="G4752" t="s">
        <v>176</v>
      </c>
      <c r="H4752">
        <v>0</v>
      </c>
      <c r="I4752">
        <v>0</v>
      </c>
      <c r="J4752" s="10">
        <v>1330</v>
      </c>
      <c r="K4752" s="10">
        <f>SUMIFS(F:F,D:D,DST_123_ÜRETİM_İHTİYAÇ_RAPORU_BURAK_YENI1309[[#This Row],[ALT_KOD]])-(SUMIFS(H:H,D:D,DST_123_ÜRETİM_İHTİYAÇ_RAPORU_BURAK_YENI1309[[#This Row],[ALT_KOD]])+AVERAGEIFS(I:I,D:D,DST_123_ÜRETİM_İHTİYAÇ_RAPORU_BURAK_YENI1309[[#This Row],[ALT_KOD]])+AVERAGEIFS(L:L,D:D,DST_123_ÜRETİM_İHTİYAÇ_RAPORU_BURAK_YENI1309[[#This Row],[ALT_KOD]]))</f>
        <v>860</v>
      </c>
      <c r="L4752">
        <v>0</v>
      </c>
      <c r="M4752">
        <f>IF((DST_123_ÜRETİM_İHTİYAÇ_RAPORU_BURAK_YENI1309[[#This Row],[SATINALMA]]*DST_123_ÜRETİM_İHTİYAÇ_RAPORU_BURAK_YENI1309[[#This Row],[BIRIM_FIYATLAR]])&lt;1,VALUE("0"),DST_123_ÜRETİM_İHTİYAÇ_RAPORU_BURAK_YENI1309[[#This Row],[SATINALMA]]*DST_123_ÜRETİM_İHTİYAÇ_RAPORU_BURAK_YENI1309[[#This Row],[BIRIM_FIYATLAR]])</f>
        <v>344</v>
      </c>
      <c r="N4752">
        <v>0.4</v>
      </c>
      <c r="O4752" t="s">
        <v>882</v>
      </c>
      <c r="P4752">
        <v>16</v>
      </c>
      <c r="Q4752" t="s">
        <v>180</v>
      </c>
    </row>
    <row r="4753" spans="1:17" x14ac:dyDescent="0.25">
      <c r="A4753" t="s">
        <v>1099</v>
      </c>
      <c r="B4753" t="s">
        <v>1055</v>
      </c>
      <c r="C4753" t="s">
        <v>175</v>
      </c>
      <c r="D4753" t="s">
        <v>478</v>
      </c>
      <c r="E4753" t="s">
        <v>479</v>
      </c>
      <c r="F4753">
        <v>40</v>
      </c>
      <c r="G4753" t="s">
        <v>176</v>
      </c>
      <c r="H4753">
        <v>0</v>
      </c>
      <c r="I4753">
        <v>0</v>
      </c>
      <c r="J4753" s="10">
        <v>1330</v>
      </c>
      <c r="K4753" s="10">
        <f>SUMIFS(F:F,D:D,DST_123_ÜRETİM_İHTİYAÇ_RAPORU_BURAK_YENI1309[[#This Row],[ALT_KOD]])-(SUMIFS(H:H,D:D,DST_123_ÜRETİM_İHTİYAÇ_RAPORU_BURAK_YENI1309[[#This Row],[ALT_KOD]])+AVERAGEIFS(I:I,D:D,DST_123_ÜRETİM_İHTİYAÇ_RAPORU_BURAK_YENI1309[[#This Row],[ALT_KOD]])+AVERAGEIFS(L:L,D:D,DST_123_ÜRETİM_İHTİYAÇ_RAPORU_BURAK_YENI1309[[#This Row],[ALT_KOD]]))</f>
        <v>860</v>
      </c>
      <c r="L4753">
        <v>0</v>
      </c>
      <c r="M4753">
        <f>IF((DST_123_ÜRETİM_İHTİYAÇ_RAPORU_BURAK_YENI1309[[#This Row],[SATINALMA]]*DST_123_ÜRETİM_İHTİYAÇ_RAPORU_BURAK_YENI1309[[#This Row],[BIRIM_FIYATLAR]])&lt;1,VALUE("0"),DST_123_ÜRETİM_İHTİYAÇ_RAPORU_BURAK_YENI1309[[#This Row],[SATINALMA]]*DST_123_ÜRETİM_İHTİYAÇ_RAPORU_BURAK_YENI1309[[#This Row],[BIRIM_FIYATLAR]])</f>
        <v>344</v>
      </c>
      <c r="N4753">
        <v>0.4</v>
      </c>
      <c r="O4753" t="s">
        <v>882</v>
      </c>
      <c r="P4753">
        <v>16</v>
      </c>
      <c r="Q4753" t="s">
        <v>180</v>
      </c>
    </row>
    <row r="4754" spans="1:17" x14ac:dyDescent="0.25">
      <c r="A4754" t="s">
        <v>1064</v>
      </c>
      <c r="B4754" t="s">
        <v>1055</v>
      </c>
      <c r="C4754" t="s">
        <v>175</v>
      </c>
      <c r="D4754" t="s">
        <v>614</v>
      </c>
      <c r="E4754" t="s">
        <v>615</v>
      </c>
      <c r="F4754">
        <v>0.5</v>
      </c>
      <c r="G4754" t="s">
        <v>185</v>
      </c>
      <c r="H4754">
        <v>0</v>
      </c>
      <c r="I4754">
        <v>39</v>
      </c>
      <c r="J4754" s="10">
        <v>40.000000000000014</v>
      </c>
      <c r="K4754" s="10">
        <f>SUMIFS(F:F,D:D,DST_123_ÜRETİM_İHTİYAÇ_RAPORU_BURAK_YENI1309[[#This Row],[ALT_KOD]])-(SUMIFS(H:H,D:D,DST_123_ÜRETİM_İHTİYAÇ_RAPORU_BURAK_YENI1309[[#This Row],[ALT_KOD]])+AVERAGEIFS(I:I,D:D,DST_123_ÜRETİM_İHTİYAÇ_RAPORU_BURAK_YENI1309[[#This Row],[ALT_KOD]])+AVERAGEIFS(L:L,D:D,DST_123_ÜRETİM_İHTİYAÇ_RAPORU_BURAK_YENI1309[[#This Row],[ALT_KOD]]))</f>
        <v>-18.5</v>
      </c>
      <c r="L4754">
        <v>0</v>
      </c>
      <c r="M4754">
        <f>IF((DST_123_ÜRETİM_İHTİYAÇ_RAPORU_BURAK_YENI1309[[#This Row],[SATINALMA]]*DST_123_ÜRETİM_İHTİYAÇ_RAPORU_BURAK_YENI1309[[#This Row],[BIRIM_FIYATLAR]])&lt;1,VALUE("0"),DST_123_ÜRETİM_İHTİYAÇ_RAPORU_BURAK_YENI1309[[#This Row],[SATINALMA]]*DST_123_ÜRETİM_İHTİYAÇ_RAPORU_BURAK_YENI1309[[#This Row],[BIRIM_FIYATLAR]])</f>
        <v>0</v>
      </c>
      <c r="N4754">
        <v>212.93</v>
      </c>
      <c r="O4754" t="s">
        <v>253</v>
      </c>
      <c r="P4754">
        <v>106.465</v>
      </c>
      <c r="Q4754" t="s">
        <v>181</v>
      </c>
    </row>
    <row r="4755" spans="1:17" x14ac:dyDescent="0.25">
      <c r="A4755" t="s">
        <v>1098</v>
      </c>
      <c r="B4755" t="s">
        <v>1096</v>
      </c>
      <c r="C4755" t="s">
        <v>175</v>
      </c>
      <c r="D4755" t="s">
        <v>614</v>
      </c>
      <c r="E4755" t="s">
        <v>615</v>
      </c>
      <c r="F4755">
        <v>0.5</v>
      </c>
      <c r="G4755" t="s">
        <v>185</v>
      </c>
      <c r="H4755">
        <v>0</v>
      </c>
      <c r="I4755">
        <v>39</v>
      </c>
      <c r="J4755" s="10">
        <v>40.000000000000014</v>
      </c>
      <c r="K4755" s="10">
        <f>SUMIFS(F:F,D:D,DST_123_ÜRETİM_İHTİYAÇ_RAPORU_BURAK_YENI1309[[#This Row],[ALT_KOD]])-(SUMIFS(H:H,D:D,DST_123_ÜRETİM_İHTİYAÇ_RAPORU_BURAK_YENI1309[[#This Row],[ALT_KOD]])+AVERAGEIFS(I:I,D:D,DST_123_ÜRETİM_İHTİYAÇ_RAPORU_BURAK_YENI1309[[#This Row],[ALT_KOD]])+AVERAGEIFS(L:L,D:D,DST_123_ÜRETİM_İHTİYAÇ_RAPORU_BURAK_YENI1309[[#This Row],[ALT_KOD]]))</f>
        <v>-18.5</v>
      </c>
      <c r="L4755">
        <v>0</v>
      </c>
      <c r="M4755">
        <f>IF((DST_123_ÜRETİM_İHTİYAÇ_RAPORU_BURAK_YENI1309[[#This Row],[SATINALMA]]*DST_123_ÜRETİM_İHTİYAÇ_RAPORU_BURAK_YENI1309[[#This Row],[BIRIM_FIYATLAR]])&lt;1,VALUE("0"),DST_123_ÜRETİM_İHTİYAÇ_RAPORU_BURAK_YENI1309[[#This Row],[SATINALMA]]*DST_123_ÜRETİM_İHTİYAÇ_RAPORU_BURAK_YENI1309[[#This Row],[BIRIM_FIYATLAR]])</f>
        <v>0</v>
      </c>
      <c r="N4755">
        <v>212.93</v>
      </c>
      <c r="O4755" t="s">
        <v>253</v>
      </c>
      <c r="P4755">
        <v>106.465</v>
      </c>
      <c r="Q4755" t="s">
        <v>181</v>
      </c>
    </row>
    <row r="4756" spans="1:17" x14ac:dyDescent="0.25">
      <c r="A4756" t="s">
        <v>1149</v>
      </c>
      <c r="B4756" t="s">
        <v>1145</v>
      </c>
      <c r="C4756" t="s">
        <v>175</v>
      </c>
      <c r="D4756" t="s">
        <v>567</v>
      </c>
      <c r="E4756" t="s">
        <v>568</v>
      </c>
      <c r="F4756">
        <v>60</v>
      </c>
      <c r="G4756" t="s">
        <v>176</v>
      </c>
      <c r="H4756">
        <v>0</v>
      </c>
      <c r="I4756">
        <v>5000</v>
      </c>
      <c r="J4756" s="10">
        <v>0</v>
      </c>
      <c r="K4756" s="10">
        <f>SUMIFS(F:F,D:D,DST_123_ÜRETİM_İHTİYAÇ_RAPORU_BURAK_YENI1309[[#This Row],[ALT_KOD]])-(SUMIFS(H:H,D:D,DST_123_ÜRETİM_İHTİYAÇ_RAPORU_BURAK_YENI1309[[#This Row],[ALT_KOD]])+AVERAGEIFS(I:I,D:D,DST_123_ÜRETİM_İHTİYAÇ_RAPORU_BURAK_YENI1309[[#This Row],[ALT_KOD]])+AVERAGEIFS(L:L,D:D,DST_123_ÜRETİM_İHTİYAÇ_RAPORU_BURAK_YENI1309[[#This Row],[ALT_KOD]]))</f>
        <v>-3820</v>
      </c>
      <c r="L4756">
        <v>0</v>
      </c>
      <c r="M4756">
        <f>IF((DST_123_ÜRETİM_İHTİYAÇ_RAPORU_BURAK_YENI1309[[#This Row],[SATINALMA]]*DST_123_ÜRETİM_İHTİYAÇ_RAPORU_BURAK_YENI1309[[#This Row],[BIRIM_FIYATLAR]])&lt;1,VALUE("0"),DST_123_ÜRETİM_İHTİYAÇ_RAPORU_BURAK_YENI1309[[#This Row],[SATINALMA]]*DST_123_ÜRETİM_İHTİYAÇ_RAPORU_BURAK_YENI1309[[#This Row],[BIRIM_FIYATLAR]])</f>
        <v>0</v>
      </c>
      <c r="N4756">
        <v>0.6</v>
      </c>
      <c r="O4756" t="s">
        <v>240</v>
      </c>
      <c r="P4756">
        <v>36</v>
      </c>
      <c r="Q4756" t="s">
        <v>180</v>
      </c>
    </row>
    <row r="4757" spans="1:17" x14ac:dyDescent="0.25">
      <c r="A4757" t="s">
        <v>1146</v>
      </c>
      <c r="B4757" t="s">
        <v>1145</v>
      </c>
      <c r="C4757" t="s">
        <v>175</v>
      </c>
      <c r="D4757" t="s">
        <v>567</v>
      </c>
      <c r="E4757" t="s">
        <v>568</v>
      </c>
      <c r="F4757">
        <v>60</v>
      </c>
      <c r="G4757" t="s">
        <v>176</v>
      </c>
      <c r="H4757">
        <v>0</v>
      </c>
      <c r="I4757">
        <v>5000</v>
      </c>
      <c r="J4757" s="10">
        <v>0</v>
      </c>
      <c r="K4757" s="10">
        <f>SUMIFS(F:F,D:D,DST_123_ÜRETİM_İHTİYAÇ_RAPORU_BURAK_YENI1309[[#This Row],[ALT_KOD]])-(SUMIFS(H:H,D:D,DST_123_ÜRETİM_İHTİYAÇ_RAPORU_BURAK_YENI1309[[#This Row],[ALT_KOD]])+AVERAGEIFS(I:I,D:D,DST_123_ÜRETİM_İHTİYAÇ_RAPORU_BURAK_YENI1309[[#This Row],[ALT_KOD]])+AVERAGEIFS(L:L,D:D,DST_123_ÜRETİM_İHTİYAÇ_RAPORU_BURAK_YENI1309[[#This Row],[ALT_KOD]]))</f>
        <v>-3820</v>
      </c>
      <c r="L4757">
        <v>0</v>
      </c>
      <c r="M4757">
        <f>IF((DST_123_ÜRETİM_İHTİYAÇ_RAPORU_BURAK_YENI1309[[#This Row],[SATINALMA]]*DST_123_ÜRETİM_İHTİYAÇ_RAPORU_BURAK_YENI1309[[#This Row],[BIRIM_FIYATLAR]])&lt;1,VALUE("0"),DST_123_ÜRETİM_İHTİYAÇ_RAPORU_BURAK_YENI1309[[#This Row],[SATINALMA]]*DST_123_ÜRETİM_İHTİYAÇ_RAPORU_BURAK_YENI1309[[#This Row],[BIRIM_FIYATLAR]])</f>
        <v>0</v>
      </c>
      <c r="N4757">
        <v>0.6</v>
      </c>
      <c r="O4757" t="s">
        <v>240</v>
      </c>
      <c r="P4757">
        <v>36</v>
      </c>
      <c r="Q4757" t="s">
        <v>180</v>
      </c>
    </row>
    <row r="4758" spans="1:17" x14ac:dyDescent="0.25">
      <c r="A4758" t="s">
        <v>1149</v>
      </c>
      <c r="B4758" t="s">
        <v>1145</v>
      </c>
      <c r="C4758" t="s">
        <v>175</v>
      </c>
      <c r="D4758" t="s">
        <v>478</v>
      </c>
      <c r="E4758" t="s">
        <v>479</v>
      </c>
      <c r="F4758">
        <v>40</v>
      </c>
      <c r="G4758" t="s">
        <v>176</v>
      </c>
      <c r="H4758">
        <v>0</v>
      </c>
      <c r="I4758">
        <v>0</v>
      </c>
      <c r="J4758" s="10">
        <v>1330</v>
      </c>
      <c r="K4758" s="10">
        <f>SUMIFS(F:F,D:D,DST_123_ÜRETİM_İHTİYAÇ_RAPORU_BURAK_YENI1309[[#This Row],[ALT_KOD]])-(SUMIFS(H:H,D:D,DST_123_ÜRETİM_İHTİYAÇ_RAPORU_BURAK_YENI1309[[#This Row],[ALT_KOD]])+AVERAGEIFS(I:I,D:D,DST_123_ÜRETİM_İHTİYAÇ_RAPORU_BURAK_YENI1309[[#This Row],[ALT_KOD]])+AVERAGEIFS(L:L,D:D,DST_123_ÜRETİM_İHTİYAÇ_RAPORU_BURAK_YENI1309[[#This Row],[ALT_KOD]]))</f>
        <v>860</v>
      </c>
      <c r="L4758">
        <v>0</v>
      </c>
      <c r="M4758">
        <f>IF((DST_123_ÜRETİM_İHTİYAÇ_RAPORU_BURAK_YENI1309[[#This Row],[SATINALMA]]*DST_123_ÜRETİM_İHTİYAÇ_RAPORU_BURAK_YENI1309[[#This Row],[BIRIM_FIYATLAR]])&lt;1,VALUE("0"),DST_123_ÜRETİM_İHTİYAÇ_RAPORU_BURAK_YENI1309[[#This Row],[SATINALMA]]*DST_123_ÜRETİM_İHTİYAÇ_RAPORU_BURAK_YENI1309[[#This Row],[BIRIM_FIYATLAR]])</f>
        <v>344</v>
      </c>
      <c r="N4758">
        <v>0.4</v>
      </c>
      <c r="O4758" t="s">
        <v>882</v>
      </c>
      <c r="P4758">
        <v>16</v>
      </c>
      <c r="Q4758" t="s">
        <v>180</v>
      </c>
    </row>
    <row r="4759" spans="1:17" x14ac:dyDescent="0.25">
      <c r="A4759" t="s">
        <v>1144</v>
      </c>
      <c r="B4759" t="s">
        <v>1145</v>
      </c>
      <c r="C4759" t="s">
        <v>175</v>
      </c>
      <c r="D4759" t="s">
        <v>614</v>
      </c>
      <c r="E4759" t="s">
        <v>615</v>
      </c>
      <c r="F4759">
        <v>1.5</v>
      </c>
      <c r="G4759" t="s">
        <v>185</v>
      </c>
      <c r="H4759">
        <v>0</v>
      </c>
      <c r="I4759">
        <v>39</v>
      </c>
      <c r="J4759" s="10">
        <v>40.000000000000014</v>
      </c>
      <c r="K4759" s="10">
        <f>SUMIFS(F:F,D:D,DST_123_ÜRETİM_İHTİYAÇ_RAPORU_BURAK_YENI1309[[#This Row],[ALT_KOD]])-(SUMIFS(H:H,D:D,DST_123_ÜRETİM_İHTİYAÇ_RAPORU_BURAK_YENI1309[[#This Row],[ALT_KOD]])+AVERAGEIFS(I:I,D:D,DST_123_ÜRETİM_İHTİYAÇ_RAPORU_BURAK_YENI1309[[#This Row],[ALT_KOD]])+AVERAGEIFS(L:L,D:D,DST_123_ÜRETİM_İHTİYAÇ_RAPORU_BURAK_YENI1309[[#This Row],[ALT_KOD]]))</f>
        <v>-18.5</v>
      </c>
      <c r="L4759">
        <v>0</v>
      </c>
      <c r="M4759">
        <f>IF((DST_123_ÜRETİM_İHTİYAÇ_RAPORU_BURAK_YENI1309[[#This Row],[SATINALMA]]*DST_123_ÜRETİM_İHTİYAÇ_RAPORU_BURAK_YENI1309[[#This Row],[BIRIM_FIYATLAR]])&lt;1,VALUE("0"),DST_123_ÜRETİM_İHTİYAÇ_RAPORU_BURAK_YENI1309[[#This Row],[SATINALMA]]*DST_123_ÜRETİM_İHTİYAÇ_RAPORU_BURAK_YENI1309[[#This Row],[BIRIM_FIYATLAR]])</f>
        <v>0</v>
      </c>
      <c r="N4759">
        <v>212.93</v>
      </c>
      <c r="O4759" t="s">
        <v>253</v>
      </c>
      <c r="P4759">
        <v>319.39499999999998</v>
      </c>
      <c r="Q4759" t="s">
        <v>181</v>
      </c>
    </row>
    <row r="4760" spans="1:17" x14ac:dyDescent="0.25">
      <c r="A4760" t="s">
        <v>1146</v>
      </c>
      <c r="B4760" t="s">
        <v>1145</v>
      </c>
      <c r="C4760" t="s">
        <v>175</v>
      </c>
      <c r="D4760" t="s">
        <v>614</v>
      </c>
      <c r="E4760" t="s">
        <v>615</v>
      </c>
      <c r="F4760">
        <v>1.5</v>
      </c>
      <c r="G4760" t="s">
        <v>185</v>
      </c>
      <c r="H4760">
        <v>0</v>
      </c>
      <c r="I4760">
        <v>39</v>
      </c>
      <c r="J4760" s="10">
        <v>40.000000000000014</v>
      </c>
      <c r="K4760" s="10">
        <f>SUMIFS(F:F,D:D,DST_123_ÜRETİM_İHTİYAÇ_RAPORU_BURAK_YENI1309[[#This Row],[ALT_KOD]])-(SUMIFS(H:H,D:D,DST_123_ÜRETİM_İHTİYAÇ_RAPORU_BURAK_YENI1309[[#This Row],[ALT_KOD]])+AVERAGEIFS(I:I,D:D,DST_123_ÜRETİM_İHTİYAÇ_RAPORU_BURAK_YENI1309[[#This Row],[ALT_KOD]])+AVERAGEIFS(L:L,D:D,DST_123_ÜRETİM_İHTİYAÇ_RAPORU_BURAK_YENI1309[[#This Row],[ALT_KOD]]))</f>
        <v>-18.5</v>
      </c>
      <c r="L4760">
        <v>0</v>
      </c>
      <c r="M4760">
        <f>IF((DST_123_ÜRETİM_İHTİYAÇ_RAPORU_BURAK_YENI1309[[#This Row],[SATINALMA]]*DST_123_ÜRETİM_İHTİYAÇ_RAPORU_BURAK_YENI1309[[#This Row],[BIRIM_FIYATLAR]])&lt;1,VALUE("0"),DST_123_ÜRETİM_İHTİYAÇ_RAPORU_BURAK_YENI1309[[#This Row],[SATINALMA]]*DST_123_ÜRETİM_İHTİYAÇ_RAPORU_BURAK_YENI1309[[#This Row],[BIRIM_FIYATLAR]])</f>
        <v>0</v>
      </c>
      <c r="N4760">
        <v>212.93</v>
      </c>
      <c r="O4760" t="s">
        <v>253</v>
      </c>
      <c r="P4760">
        <v>319.39499999999998</v>
      </c>
      <c r="Q4760" t="s">
        <v>181</v>
      </c>
    </row>
    <row r="4761" spans="1:17" x14ac:dyDescent="0.25">
      <c r="A4761" t="s">
        <v>1144</v>
      </c>
      <c r="B4761" t="s">
        <v>1145</v>
      </c>
      <c r="C4761" t="s">
        <v>175</v>
      </c>
      <c r="D4761" t="s">
        <v>865</v>
      </c>
      <c r="E4761" t="s">
        <v>644</v>
      </c>
      <c r="F4761">
        <v>1</v>
      </c>
      <c r="G4761" t="s">
        <v>176</v>
      </c>
      <c r="H4761">
        <v>0</v>
      </c>
      <c r="I4761">
        <v>3</v>
      </c>
      <c r="J4761" s="10">
        <v>13</v>
      </c>
      <c r="K4761" s="10">
        <f>SUMIFS(F:F,D:D,DST_123_ÜRETİM_İHTİYAÇ_RAPORU_BURAK_YENI1309[[#This Row],[ALT_KOD]])-(SUMIFS(H:H,D:D,DST_123_ÜRETİM_İHTİYAÇ_RAPORU_BURAK_YENI1309[[#This Row],[ALT_KOD]])+AVERAGEIFS(I:I,D:D,DST_123_ÜRETİM_İHTİYAÇ_RAPORU_BURAK_YENI1309[[#This Row],[ALT_KOD]])+AVERAGEIFS(L:L,D:D,DST_123_ÜRETİM_İHTİYAÇ_RAPORU_BURAK_YENI1309[[#This Row],[ALT_KOD]]))</f>
        <v>12</v>
      </c>
      <c r="L4761">
        <v>0</v>
      </c>
      <c r="M4761">
        <f>IF((DST_123_ÜRETİM_İHTİYAÇ_RAPORU_BURAK_YENI1309[[#This Row],[SATINALMA]]*DST_123_ÜRETİM_İHTİYAÇ_RAPORU_BURAK_YENI1309[[#This Row],[BIRIM_FIYATLAR]])&lt;1,VALUE("0"),DST_123_ÜRETİM_İHTİYAÇ_RAPORU_BURAK_YENI1309[[#This Row],[SATINALMA]]*DST_123_ÜRETİM_İHTİYAÇ_RAPORU_BURAK_YENI1309[[#This Row],[BIRIM_FIYATLAR]])</f>
        <v>43576.08</v>
      </c>
      <c r="N4761">
        <v>3631.34</v>
      </c>
      <c r="O4761" t="s">
        <v>647</v>
      </c>
      <c r="P4761">
        <v>3631.34</v>
      </c>
      <c r="Q4761" t="s">
        <v>177</v>
      </c>
    </row>
    <row r="4762" spans="1:17" x14ac:dyDescent="0.25">
      <c r="A4762" t="s">
        <v>1146</v>
      </c>
      <c r="B4762" t="s">
        <v>1145</v>
      </c>
      <c r="C4762" t="s">
        <v>175</v>
      </c>
      <c r="D4762" t="s">
        <v>865</v>
      </c>
      <c r="E4762" t="s">
        <v>644</v>
      </c>
      <c r="F4762">
        <v>1</v>
      </c>
      <c r="G4762" t="s">
        <v>176</v>
      </c>
      <c r="H4762">
        <v>0</v>
      </c>
      <c r="I4762">
        <v>3</v>
      </c>
      <c r="J4762" s="10">
        <v>13</v>
      </c>
      <c r="K4762" s="10">
        <f>SUMIFS(F:F,D:D,DST_123_ÜRETİM_İHTİYAÇ_RAPORU_BURAK_YENI1309[[#This Row],[ALT_KOD]])-(SUMIFS(H:H,D:D,DST_123_ÜRETİM_İHTİYAÇ_RAPORU_BURAK_YENI1309[[#This Row],[ALT_KOD]])+AVERAGEIFS(I:I,D:D,DST_123_ÜRETİM_İHTİYAÇ_RAPORU_BURAK_YENI1309[[#This Row],[ALT_KOD]])+AVERAGEIFS(L:L,D:D,DST_123_ÜRETİM_İHTİYAÇ_RAPORU_BURAK_YENI1309[[#This Row],[ALT_KOD]]))</f>
        <v>12</v>
      </c>
      <c r="L4762">
        <v>0</v>
      </c>
      <c r="M4762">
        <f>IF((DST_123_ÜRETİM_İHTİYAÇ_RAPORU_BURAK_YENI1309[[#This Row],[SATINALMA]]*DST_123_ÜRETİM_İHTİYAÇ_RAPORU_BURAK_YENI1309[[#This Row],[BIRIM_FIYATLAR]])&lt;1,VALUE("0"),DST_123_ÜRETİM_İHTİYAÇ_RAPORU_BURAK_YENI1309[[#This Row],[SATINALMA]]*DST_123_ÜRETİM_İHTİYAÇ_RAPORU_BURAK_YENI1309[[#This Row],[BIRIM_FIYATLAR]])</f>
        <v>43576.08</v>
      </c>
      <c r="N4762">
        <v>3631.34</v>
      </c>
      <c r="O4762" t="s">
        <v>647</v>
      </c>
      <c r="P4762">
        <v>3631.34</v>
      </c>
      <c r="Q4762" t="s">
        <v>177</v>
      </c>
    </row>
    <row r="4763" spans="1:17" x14ac:dyDescent="0.25">
      <c r="A4763" t="s">
        <v>1150</v>
      </c>
      <c r="B4763" t="s">
        <v>1145</v>
      </c>
      <c r="C4763" t="s">
        <v>175</v>
      </c>
      <c r="D4763" t="s">
        <v>567</v>
      </c>
      <c r="E4763" t="s">
        <v>568</v>
      </c>
      <c r="F4763">
        <v>60</v>
      </c>
      <c r="G4763" t="s">
        <v>176</v>
      </c>
      <c r="H4763">
        <v>0</v>
      </c>
      <c r="I4763">
        <v>5000</v>
      </c>
      <c r="J4763" s="10">
        <v>0</v>
      </c>
      <c r="K4763" s="10">
        <f>SUMIFS(F:F,D:D,DST_123_ÜRETİM_İHTİYAÇ_RAPORU_BURAK_YENI1309[[#This Row],[ALT_KOD]])-(SUMIFS(H:H,D:D,DST_123_ÜRETİM_İHTİYAÇ_RAPORU_BURAK_YENI1309[[#This Row],[ALT_KOD]])+AVERAGEIFS(I:I,D:D,DST_123_ÜRETİM_İHTİYAÇ_RAPORU_BURAK_YENI1309[[#This Row],[ALT_KOD]])+AVERAGEIFS(L:L,D:D,DST_123_ÜRETİM_İHTİYAÇ_RAPORU_BURAK_YENI1309[[#This Row],[ALT_KOD]]))</f>
        <v>-3820</v>
      </c>
      <c r="L4763">
        <v>0</v>
      </c>
      <c r="M4763">
        <f>IF((DST_123_ÜRETİM_İHTİYAÇ_RAPORU_BURAK_YENI1309[[#This Row],[SATINALMA]]*DST_123_ÜRETİM_İHTİYAÇ_RAPORU_BURAK_YENI1309[[#This Row],[BIRIM_FIYATLAR]])&lt;1,VALUE("0"),DST_123_ÜRETİM_İHTİYAÇ_RAPORU_BURAK_YENI1309[[#This Row],[SATINALMA]]*DST_123_ÜRETİM_İHTİYAÇ_RAPORU_BURAK_YENI1309[[#This Row],[BIRIM_FIYATLAR]])</f>
        <v>0</v>
      </c>
      <c r="N4763">
        <v>0.6</v>
      </c>
      <c r="O4763" t="s">
        <v>240</v>
      </c>
      <c r="P4763">
        <v>36</v>
      </c>
      <c r="Q4763" t="s">
        <v>180</v>
      </c>
    </row>
    <row r="4764" spans="1:17" x14ac:dyDescent="0.25">
      <c r="A4764" t="s">
        <v>1147</v>
      </c>
      <c r="B4764" t="s">
        <v>1145</v>
      </c>
      <c r="C4764" t="s">
        <v>175</v>
      </c>
      <c r="D4764" t="s">
        <v>736</v>
      </c>
      <c r="E4764" t="s">
        <v>737</v>
      </c>
      <c r="F4764">
        <v>1</v>
      </c>
      <c r="G4764" t="s">
        <v>176</v>
      </c>
      <c r="H4764">
        <v>0</v>
      </c>
      <c r="I4764">
        <v>12</v>
      </c>
      <c r="J4764" s="10">
        <v>17</v>
      </c>
      <c r="K4764" s="10">
        <f>SUMIFS(F:F,D:D,DST_123_ÜRETİM_İHTİYAÇ_RAPORU_BURAK_YENI1309[[#This Row],[ALT_KOD]])-(SUMIFS(H:H,D:D,DST_123_ÜRETİM_İHTİYAÇ_RAPORU_BURAK_YENI1309[[#This Row],[ALT_KOD]])+AVERAGEIFS(I:I,D:D,DST_123_ÜRETİM_İHTİYAÇ_RAPORU_BURAK_YENI1309[[#This Row],[ALT_KOD]])+AVERAGEIFS(L:L,D:D,DST_123_ÜRETİM_İHTİYAÇ_RAPORU_BURAK_YENI1309[[#This Row],[ALT_KOD]]))</f>
        <v>-1</v>
      </c>
      <c r="L4764">
        <v>0</v>
      </c>
      <c r="M4764">
        <f>IF((DST_123_ÜRETİM_İHTİYAÇ_RAPORU_BURAK_YENI1309[[#This Row],[SATINALMA]]*DST_123_ÜRETİM_İHTİYAÇ_RAPORU_BURAK_YENI1309[[#This Row],[BIRIM_FIYATLAR]])&lt;1,VALUE("0"),DST_123_ÜRETİM_İHTİYAÇ_RAPORU_BURAK_YENI1309[[#This Row],[SATINALMA]]*DST_123_ÜRETİM_İHTİYAÇ_RAPORU_BURAK_YENI1309[[#This Row],[BIRIM_FIYATLAR]])</f>
        <v>0</v>
      </c>
      <c r="N4764">
        <v>400</v>
      </c>
      <c r="O4764" t="s">
        <v>667</v>
      </c>
      <c r="P4764">
        <v>400</v>
      </c>
      <c r="Q4764" t="s">
        <v>177</v>
      </c>
    </row>
    <row r="4765" spans="1:17" x14ac:dyDescent="0.25">
      <c r="A4765" t="s">
        <v>1147</v>
      </c>
      <c r="B4765" t="s">
        <v>1145</v>
      </c>
      <c r="C4765" t="s">
        <v>175</v>
      </c>
      <c r="D4765" t="s">
        <v>272</v>
      </c>
      <c r="E4765" t="s">
        <v>621</v>
      </c>
      <c r="F4765">
        <v>1</v>
      </c>
      <c r="G4765" t="s">
        <v>176</v>
      </c>
      <c r="H4765">
        <v>0</v>
      </c>
      <c r="I4765">
        <v>11</v>
      </c>
      <c r="J4765" s="10">
        <v>4</v>
      </c>
      <c r="K4765" s="10">
        <f>SUMIFS(F:F,D:D,DST_123_ÜRETİM_İHTİYAÇ_RAPORU_BURAK_YENI1309[[#This Row],[ALT_KOD]])-(SUMIFS(H:H,D:D,DST_123_ÜRETİM_İHTİYAÇ_RAPORU_BURAK_YENI1309[[#This Row],[ALT_KOD]])+AVERAGEIFS(I:I,D:D,DST_123_ÜRETİM_İHTİYAÇ_RAPORU_BURAK_YENI1309[[#This Row],[ALT_KOD]])+AVERAGEIFS(L:L,D:D,DST_123_ÜRETİM_İHTİYAÇ_RAPORU_BURAK_YENI1309[[#This Row],[ALT_KOD]]))</f>
        <v>-4</v>
      </c>
      <c r="L4765">
        <v>0</v>
      </c>
      <c r="M4765">
        <f>IF((DST_123_ÜRETİM_İHTİYAÇ_RAPORU_BURAK_YENI1309[[#This Row],[SATINALMA]]*DST_123_ÜRETİM_İHTİYAÇ_RAPORU_BURAK_YENI1309[[#This Row],[BIRIM_FIYATLAR]])&lt;1,VALUE("0"),DST_123_ÜRETİM_İHTİYAÇ_RAPORU_BURAK_YENI1309[[#This Row],[SATINALMA]]*DST_123_ÜRETİM_İHTİYAÇ_RAPORU_BURAK_YENI1309[[#This Row],[BIRIM_FIYATLAR]])</f>
        <v>0</v>
      </c>
      <c r="N4765">
        <v>1679.53</v>
      </c>
      <c r="O4765" t="s">
        <v>636</v>
      </c>
      <c r="P4765">
        <v>1679.53</v>
      </c>
      <c r="Q4765" t="s">
        <v>178</v>
      </c>
    </row>
    <row r="4766" spans="1:17" x14ac:dyDescent="0.25">
      <c r="A4766" t="s">
        <v>1149</v>
      </c>
      <c r="B4766" t="s">
        <v>1145</v>
      </c>
      <c r="C4766" t="s">
        <v>175</v>
      </c>
      <c r="D4766" t="s">
        <v>1161</v>
      </c>
      <c r="E4766" t="s">
        <v>1162</v>
      </c>
      <c r="F4766">
        <v>2</v>
      </c>
      <c r="G4766" t="s">
        <v>176</v>
      </c>
      <c r="H4766">
        <v>0</v>
      </c>
      <c r="I4766">
        <v>0</v>
      </c>
      <c r="J4766" s="10">
        <v>0</v>
      </c>
      <c r="K4766" s="10">
        <f>SUMIFS(F:F,D:D,DST_123_ÜRETİM_İHTİYAÇ_RAPORU_BURAK_YENI1309[[#This Row],[ALT_KOD]])-(SUMIFS(H:H,D:D,DST_123_ÜRETİM_İHTİYAÇ_RAPORU_BURAK_YENI1309[[#This Row],[ALT_KOD]])+AVERAGEIFS(I:I,D:D,DST_123_ÜRETİM_İHTİYAÇ_RAPORU_BURAK_YENI1309[[#This Row],[ALT_KOD]])+AVERAGEIFS(L:L,D:D,DST_123_ÜRETİM_İHTİYAÇ_RAPORU_BURAK_YENI1309[[#This Row],[ALT_KOD]]))</f>
        <v>14</v>
      </c>
      <c r="L4766">
        <v>0</v>
      </c>
      <c r="M4766">
        <f>IF((DST_123_ÜRETİM_İHTİYAÇ_RAPORU_BURAK_YENI1309[[#This Row],[SATINALMA]]*DST_123_ÜRETİM_İHTİYAÇ_RAPORU_BURAK_YENI1309[[#This Row],[BIRIM_FIYATLAR]])&lt;1,VALUE("0"),DST_123_ÜRETİM_İHTİYAÇ_RAPORU_BURAK_YENI1309[[#This Row],[SATINALMA]]*DST_123_ÜRETİM_İHTİYAÇ_RAPORU_BURAK_YENI1309[[#This Row],[BIRIM_FIYATLAR]])</f>
        <v>0</v>
      </c>
      <c r="N4766">
        <v>0</v>
      </c>
      <c r="P4766">
        <v>0</v>
      </c>
      <c r="Q4766" t="s">
        <v>221</v>
      </c>
    </row>
    <row r="4767" spans="1:17" x14ac:dyDescent="0.25">
      <c r="A4767" t="s">
        <v>1196</v>
      </c>
      <c r="B4767" t="s">
        <v>1197</v>
      </c>
      <c r="C4767" t="s">
        <v>175</v>
      </c>
      <c r="D4767" t="s">
        <v>590</v>
      </c>
      <c r="E4767" t="s">
        <v>591</v>
      </c>
      <c r="F4767">
        <v>1</v>
      </c>
      <c r="G4767" t="s">
        <v>176</v>
      </c>
      <c r="H4767">
        <v>0</v>
      </c>
      <c r="I4767">
        <v>4</v>
      </c>
      <c r="J4767" s="10">
        <v>10</v>
      </c>
      <c r="K4767" s="10">
        <f>SUMIFS(F:F,D:D,DST_123_ÜRETİM_İHTİYAÇ_RAPORU_BURAK_YENI1309[[#This Row],[ALT_KOD]])-(SUMIFS(H:H,D:D,DST_123_ÜRETİM_İHTİYAÇ_RAPORU_BURAK_YENI1309[[#This Row],[ALT_KOD]])+AVERAGEIFS(I:I,D:D,DST_123_ÜRETİM_İHTİYAÇ_RAPORU_BURAK_YENI1309[[#This Row],[ALT_KOD]])+AVERAGEIFS(L:L,D:D,DST_123_ÜRETİM_İHTİYAÇ_RAPORU_BURAK_YENI1309[[#This Row],[ALT_KOD]]))</f>
        <v>-3</v>
      </c>
      <c r="L4767">
        <v>10</v>
      </c>
      <c r="M4767">
        <f>IF((DST_123_ÜRETİM_İHTİYAÇ_RAPORU_BURAK_YENI1309[[#This Row],[SATINALMA]]*DST_123_ÜRETİM_İHTİYAÇ_RAPORU_BURAK_YENI1309[[#This Row],[BIRIM_FIYATLAR]])&lt;1,VALUE("0"),DST_123_ÜRETİM_İHTİYAÇ_RAPORU_BURAK_YENI1309[[#This Row],[SATINALMA]]*DST_123_ÜRETİM_İHTİYAÇ_RAPORU_BURAK_YENI1309[[#This Row],[BIRIM_FIYATLAR]])</f>
        <v>0</v>
      </c>
      <c r="N4767">
        <v>583.77</v>
      </c>
      <c r="O4767" t="s">
        <v>592</v>
      </c>
      <c r="P4767">
        <v>583.77</v>
      </c>
      <c r="Q4767" t="s">
        <v>180</v>
      </c>
    </row>
    <row r="4768" spans="1:17" x14ac:dyDescent="0.25">
      <c r="A4768" t="s">
        <v>1196</v>
      </c>
      <c r="B4768" t="s">
        <v>1197</v>
      </c>
      <c r="C4768" t="s">
        <v>175</v>
      </c>
      <c r="D4768" t="s">
        <v>505</v>
      </c>
      <c r="E4768" t="s">
        <v>506</v>
      </c>
      <c r="F4768">
        <v>1</v>
      </c>
      <c r="G4768" t="s">
        <v>176</v>
      </c>
      <c r="H4768">
        <v>0</v>
      </c>
      <c r="I4768">
        <v>42</v>
      </c>
      <c r="J4768" s="10">
        <v>10</v>
      </c>
      <c r="K4768" s="10">
        <f>SUMIFS(F:F,D:D,DST_123_ÜRETİM_İHTİYAÇ_RAPORU_BURAK_YENI1309[[#This Row],[ALT_KOD]])-(SUMIFS(H:H,D:D,DST_123_ÜRETİM_İHTİYAÇ_RAPORU_BURAK_YENI1309[[#This Row],[ALT_KOD]])+AVERAGEIFS(I:I,D:D,DST_123_ÜRETİM_İHTİYAÇ_RAPORU_BURAK_YENI1309[[#This Row],[ALT_KOD]])+AVERAGEIFS(L:L,D:D,DST_123_ÜRETİM_İHTİYAÇ_RAPORU_BURAK_YENI1309[[#This Row],[ALT_KOD]]))</f>
        <v>-30</v>
      </c>
      <c r="L4768">
        <v>0</v>
      </c>
      <c r="M4768">
        <f>IF((DST_123_ÜRETİM_İHTİYAÇ_RAPORU_BURAK_YENI1309[[#This Row],[SATINALMA]]*DST_123_ÜRETİM_İHTİYAÇ_RAPORU_BURAK_YENI1309[[#This Row],[BIRIM_FIYATLAR]])&lt;1,VALUE("0"),DST_123_ÜRETİM_İHTİYAÇ_RAPORU_BURAK_YENI1309[[#This Row],[SATINALMA]]*DST_123_ÜRETİM_İHTİYAÇ_RAPORU_BURAK_YENI1309[[#This Row],[BIRIM_FIYATLAR]])</f>
        <v>0</v>
      </c>
      <c r="N4768">
        <v>142.5</v>
      </c>
      <c r="O4768" t="s">
        <v>826</v>
      </c>
      <c r="P4768">
        <v>142.5</v>
      </c>
      <c r="Q4768" t="s">
        <v>221</v>
      </c>
    </row>
    <row r="4769" spans="1:17" x14ac:dyDescent="0.25">
      <c r="A4769" t="s">
        <v>1144</v>
      </c>
      <c r="B4769" t="s">
        <v>1145</v>
      </c>
      <c r="C4769" t="s">
        <v>175</v>
      </c>
      <c r="D4769" t="s">
        <v>451</v>
      </c>
      <c r="E4769" t="s">
        <v>452</v>
      </c>
      <c r="F4769">
        <v>1</v>
      </c>
      <c r="G4769" t="s">
        <v>176</v>
      </c>
      <c r="H4769">
        <v>0</v>
      </c>
      <c r="I4769">
        <v>4</v>
      </c>
      <c r="J4769" s="10">
        <v>9</v>
      </c>
      <c r="K4769" s="10">
        <f>SUMIFS(F:F,D:D,DST_123_ÜRETİM_İHTİYAÇ_RAPORU_BURAK_YENI1309[[#This Row],[ALT_KOD]])-(SUMIFS(H:H,D:D,DST_123_ÜRETİM_İHTİYAÇ_RAPORU_BURAK_YENI1309[[#This Row],[ALT_KOD]])+AVERAGEIFS(I:I,D:D,DST_123_ÜRETİM_İHTİYAÇ_RAPORU_BURAK_YENI1309[[#This Row],[ALT_KOD]])+AVERAGEIFS(L:L,D:D,DST_123_ÜRETİM_İHTİYAÇ_RAPORU_BURAK_YENI1309[[#This Row],[ALT_KOD]]))</f>
        <v>1</v>
      </c>
      <c r="L4769">
        <v>6</v>
      </c>
      <c r="M4769">
        <f>IF((DST_123_ÜRETİM_İHTİYAÇ_RAPORU_BURAK_YENI1309[[#This Row],[SATINALMA]]*DST_123_ÜRETİM_İHTİYAÇ_RAPORU_BURAK_YENI1309[[#This Row],[BIRIM_FIYATLAR]])&lt;1,VALUE("0"),DST_123_ÜRETİM_İHTİYAÇ_RAPORU_BURAK_YENI1309[[#This Row],[SATINALMA]]*DST_123_ÜRETİM_İHTİYAÇ_RAPORU_BURAK_YENI1309[[#This Row],[BIRIM_FIYATLAR]])</f>
        <v>1600</v>
      </c>
      <c r="N4769">
        <v>1600</v>
      </c>
      <c r="O4769" t="s">
        <v>240</v>
      </c>
      <c r="P4769">
        <v>1600</v>
      </c>
      <c r="Q4769" t="s">
        <v>178</v>
      </c>
    </row>
    <row r="4770" spans="1:17" x14ac:dyDescent="0.25">
      <c r="A4770" t="s">
        <v>1150</v>
      </c>
      <c r="B4770" t="s">
        <v>1145</v>
      </c>
      <c r="C4770" t="s">
        <v>175</v>
      </c>
      <c r="D4770" t="s">
        <v>655</v>
      </c>
      <c r="E4770" t="s">
        <v>656</v>
      </c>
      <c r="F4770">
        <v>2</v>
      </c>
      <c r="G4770" t="s">
        <v>176</v>
      </c>
      <c r="H4770">
        <v>0</v>
      </c>
      <c r="I4770">
        <v>216</v>
      </c>
      <c r="J4770" s="10">
        <v>118</v>
      </c>
      <c r="K4770" s="10">
        <f>SUMIFS(F:F,D:D,DST_123_ÜRETİM_İHTİYAÇ_RAPORU_BURAK_YENI1309[[#This Row],[ALT_KOD]])-(SUMIFS(H:H,D:D,DST_123_ÜRETİM_İHTİYAÇ_RAPORU_BURAK_YENI1309[[#This Row],[ALT_KOD]])+AVERAGEIFS(I:I,D:D,DST_123_ÜRETİM_İHTİYAÇ_RAPORU_BURAK_YENI1309[[#This Row],[ALT_KOD]])+AVERAGEIFS(L:L,D:D,DST_123_ÜRETİM_İHTİYAÇ_RAPORU_BURAK_YENI1309[[#This Row],[ALT_KOD]]))</f>
        <v>-190</v>
      </c>
      <c r="L4770">
        <v>0</v>
      </c>
      <c r="M4770">
        <f>IF((DST_123_ÜRETİM_İHTİYAÇ_RAPORU_BURAK_YENI1309[[#This Row],[SATINALMA]]*DST_123_ÜRETİM_İHTİYAÇ_RAPORU_BURAK_YENI1309[[#This Row],[BIRIM_FIYATLAR]])&lt;1,VALUE("0"),DST_123_ÜRETİM_İHTİYAÇ_RAPORU_BURAK_YENI1309[[#This Row],[SATINALMA]]*DST_123_ÜRETİM_İHTİYAÇ_RAPORU_BURAK_YENI1309[[#This Row],[BIRIM_FIYATLAR]])</f>
        <v>0</v>
      </c>
      <c r="N4770">
        <v>3.95</v>
      </c>
      <c r="O4770" t="s">
        <v>220</v>
      </c>
      <c r="P4770">
        <v>7.9</v>
      </c>
      <c r="Q4770" t="s">
        <v>221</v>
      </c>
    </row>
    <row r="4771" spans="1:17" x14ac:dyDescent="0.25">
      <c r="A4771" t="s">
        <v>1146</v>
      </c>
      <c r="B4771" t="s">
        <v>1145</v>
      </c>
      <c r="C4771" t="s">
        <v>175</v>
      </c>
      <c r="D4771" t="s">
        <v>1159</v>
      </c>
      <c r="E4771" t="s">
        <v>1160</v>
      </c>
      <c r="F4771">
        <v>6</v>
      </c>
      <c r="G4771" t="s">
        <v>176</v>
      </c>
      <c r="H4771">
        <v>0</v>
      </c>
      <c r="I4771">
        <v>0</v>
      </c>
      <c r="J4771" s="10">
        <v>0</v>
      </c>
      <c r="K4771" s="10">
        <f>SUMIFS(F:F,D:D,DST_123_ÜRETİM_İHTİYAÇ_RAPORU_BURAK_YENI1309[[#This Row],[ALT_KOD]])-(SUMIFS(H:H,D:D,DST_123_ÜRETİM_İHTİYAÇ_RAPORU_BURAK_YENI1309[[#This Row],[ALT_KOD]])+AVERAGEIFS(I:I,D:D,DST_123_ÜRETİM_İHTİYAÇ_RAPORU_BURAK_YENI1309[[#This Row],[ALT_KOD]])+AVERAGEIFS(L:L,D:D,DST_123_ÜRETİM_İHTİYAÇ_RAPORU_BURAK_YENI1309[[#This Row],[ALT_KOD]]))</f>
        <v>42</v>
      </c>
      <c r="L4771">
        <v>0</v>
      </c>
      <c r="M4771">
        <f>IF((DST_123_ÜRETİM_İHTİYAÇ_RAPORU_BURAK_YENI1309[[#This Row],[SATINALMA]]*DST_123_ÜRETİM_İHTİYAÇ_RAPORU_BURAK_YENI1309[[#This Row],[BIRIM_FIYATLAR]])&lt;1,VALUE("0"),DST_123_ÜRETİM_İHTİYAÇ_RAPORU_BURAK_YENI1309[[#This Row],[SATINALMA]]*DST_123_ÜRETİM_İHTİYAÇ_RAPORU_BURAK_YENI1309[[#This Row],[BIRIM_FIYATLAR]])</f>
        <v>15.12</v>
      </c>
      <c r="N4771">
        <v>0.36</v>
      </c>
      <c r="O4771" t="s">
        <v>882</v>
      </c>
      <c r="P4771">
        <v>2.16</v>
      </c>
      <c r="Q4771" t="s">
        <v>180</v>
      </c>
    </row>
    <row r="4772" spans="1:17" x14ac:dyDescent="0.25">
      <c r="A4772" t="s">
        <v>1147</v>
      </c>
      <c r="B4772" t="s">
        <v>1145</v>
      </c>
      <c r="C4772" t="s">
        <v>175</v>
      </c>
      <c r="D4772" t="s">
        <v>802</v>
      </c>
      <c r="E4772" t="s">
        <v>822</v>
      </c>
      <c r="F4772">
        <v>1</v>
      </c>
      <c r="G4772" t="s">
        <v>176</v>
      </c>
      <c r="H4772">
        <v>0</v>
      </c>
      <c r="I4772">
        <v>20.5</v>
      </c>
      <c r="J4772" s="10">
        <v>5</v>
      </c>
      <c r="K4772" s="10">
        <f>SUMIFS(F:F,D:D,DST_123_ÜRETİM_İHTİYAÇ_RAPORU_BURAK_YENI1309[[#This Row],[ALT_KOD]])-(SUMIFS(H:H,D:D,DST_123_ÜRETİM_İHTİYAÇ_RAPORU_BURAK_YENI1309[[#This Row],[ALT_KOD]])+AVERAGEIFS(I:I,D:D,DST_123_ÜRETİM_İHTİYAÇ_RAPORU_BURAK_YENI1309[[#This Row],[ALT_KOD]])+AVERAGEIFS(L:L,D:D,DST_123_ÜRETİM_İHTİYAÇ_RAPORU_BURAK_YENI1309[[#This Row],[ALT_KOD]]))</f>
        <v>-9.5</v>
      </c>
      <c r="L4772">
        <v>0</v>
      </c>
      <c r="M4772">
        <f>IF((DST_123_ÜRETİM_İHTİYAÇ_RAPORU_BURAK_YENI1309[[#This Row],[SATINALMA]]*DST_123_ÜRETİM_İHTİYAÇ_RAPORU_BURAK_YENI1309[[#This Row],[BIRIM_FIYATLAR]])&lt;1,VALUE("0"),DST_123_ÜRETİM_İHTİYAÇ_RAPORU_BURAK_YENI1309[[#This Row],[SATINALMA]]*DST_123_ÜRETİM_İHTİYAÇ_RAPORU_BURAK_YENI1309[[#This Row],[BIRIM_FIYATLAR]])</f>
        <v>0</v>
      </c>
      <c r="N4772">
        <v>175</v>
      </c>
      <c r="O4772" t="s">
        <v>217</v>
      </c>
      <c r="P4772">
        <v>175</v>
      </c>
      <c r="Q4772" t="s">
        <v>180</v>
      </c>
    </row>
    <row r="4773" spans="1:17" x14ac:dyDescent="0.25">
      <c r="A4773" t="s">
        <v>1148</v>
      </c>
      <c r="B4773" t="s">
        <v>1056</v>
      </c>
      <c r="C4773" t="s">
        <v>175</v>
      </c>
      <c r="D4773" t="s">
        <v>802</v>
      </c>
      <c r="E4773" t="s">
        <v>822</v>
      </c>
      <c r="F4773">
        <v>1</v>
      </c>
      <c r="G4773" t="s">
        <v>176</v>
      </c>
      <c r="H4773">
        <v>0</v>
      </c>
      <c r="I4773">
        <v>20.5</v>
      </c>
      <c r="J4773" s="10">
        <v>5</v>
      </c>
      <c r="K4773" s="10">
        <f>SUMIFS(F:F,D:D,DST_123_ÜRETİM_İHTİYAÇ_RAPORU_BURAK_YENI1309[[#This Row],[ALT_KOD]])-(SUMIFS(H:H,D:D,DST_123_ÜRETİM_İHTİYAÇ_RAPORU_BURAK_YENI1309[[#This Row],[ALT_KOD]])+AVERAGEIFS(I:I,D:D,DST_123_ÜRETİM_İHTİYAÇ_RAPORU_BURAK_YENI1309[[#This Row],[ALT_KOD]])+AVERAGEIFS(L:L,D:D,DST_123_ÜRETİM_İHTİYAÇ_RAPORU_BURAK_YENI1309[[#This Row],[ALT_KOD]]))</f>
        <v>-9.5</v>
      </c>
      <c r="L4773">
        <v>0</v>
      </c>
      <c r="M4773">
        <f>IF((DST_123_ÜRETİM_İHTİYAÇ_RAPORU_BURAK_YENI1309[[#This Row],[SATINALMA]]*DST_123_ÜRETİM_İHTİYAÇ_RAPORU_BURAK_YENI1309[[#This Row],[BIRIM_FIYATLAR]])&lt;1,VALUE("0"),DST_123_ÜRETİM_İHTİYAÇ_RAPORU_BURAK_YENI1309[[#This Row],[SATINALMA]]*DST_123_ÜRETİM_İHTİYAÇ_RAPORU_BURAK_YENI1309[[#This Row],[BIRIM_FIYATLAR]])</f>
        <v>0</v>
      </c>
      <c r="N4773">
        <v>175</v>
      </c>
      <c r="O4773" t="s">
        <v>217</v>
      </c>
      <c r="P4773">
        <v>175</v>
      </c>
      <c r="Q4773" t="s">
        <v>180</v>
      </c>
    </row>
    <row r="4774" spans="1:17" x14ac:dyDescent="0.25">
      <c r="A4774" t="s">
        <v>1144</v>
      </c>
      <c r="B4774" t="s">
        <v>1145</v>
      </c>
      <c r="C4774" t="s">
        <v>175</v>
      </c>
      <c r="D4774" t="s">
        <v>1159</v>
      </c>
      <c r="E4774" t="s">
        <v>1160</v>
      </c>
      <c r="F4774">
        <v>6</v>
      </c>
      <c r="G4774" t="s">
        <v>176</v>
      </c>
      <c r="H4774">
        <v>0</v>
      </c>
      <c r="I4774">
        <v>0</v>
      </c>
      <c r="J4774" s="10">
        <v>0</v>
      </c>
      <c r="K4774" s="10">
        <f>SUMIFS(F:F,D:D,DST_123_ÜRETİM_İHTİYAÇ_RAPORU_BURAK_YENI1309[[#This Row],[ALT_KOD]])-(SUMIFS(H:H,D:D,DST_123_ÜRETİM_İHTİYAÇ_RAPORU_BURAK_YENI1309[[#This Row],[ALT_KOD]])+AVERAGEIFS(I:I,D:D,DST_123_ÜRETİM_İHTİYAÇ_RAPORU_BURAK_YENI1309[[#This Row],[ALT_KOD]])+AVERAGEIFS(L:L,D:D,DST_123_ÜRETİM_İHTİYAÇ_RAPORU_BURAK_YENI1309[[#This Row],[ALT_KOD]]))</f>
        <v>42</v>
      </c>
      <c r="L4774">
        <v>0</v>
      </c>
      <c r="M4774">
        <f>IF((DST_123_ÜRETİM_İHTİYAÇ_RAPORU_BURAK_YENI1309[[#This Row],[SATINALMA]]*DST_123_ÜRETİM_İHTİYAÇ_RAPORU_BURAK_YENI1309[[#This Row],[BIRIM_FIYATLAR]])&lt;1,VALUE("0"),DST_123_ÜRETİM_İHTİYAÇ_RAPORU_BURAK_YENI1309[[#This Row],[SATINALMA]]*DST_123_ÜRETİM_İHTİYAÇ_RAPORU_BURAK_YENI1309[[#This Row],[BIRIM_FIYATLAR]])</f>
        <v>15.12</v>
      </c>
      <c r="N4774">
        <v>0.36</v>
      </c>
      <c r="O4774" t="s">
        <v>882</v>
      </c>
      <c r="P4774">
        <v>2.16</v>
      </c>
      <c r="Q4774" t="s">
        <v>180</v>
      </c>
    </row>
    <row r="4775" spans="1:17" x14ac:dyDescent="0.25">
      <c r="A4775" t="s">
        <v>1146</v>
      </c>
      <c r="B4775" t="s">
        <v>1145</v>
      </c>
      <c r="C4775" t="s">
        <v>175</v>
      </c>
      <c r="D4775" t="s">
        <v>1161</v>
      </c>
      <c r="E4775" t="s">
        <v>1162</v>
      </c>
      <c r="F4775">
        <v>2</v>
      </c>
      <c r="G4775" t="s">
        <v>176</v>
      </c>
      <c r="H4775">
        <v>0</v>
      </c>
      <c r="I4775">
        <v>0</v>
      </c>
      <c r="J4775" s="10">
        <v>0</v>
      </c>
      <c r="K4775" s="10">
        <f>SUMIFS(F:F,D:D,DST_123_ÜRETİM_İHTİYAÇ_RAPORU_BURAK_YENI1309[[#This Row],[ALT_KOD]])-(SUMIFS(H:H,D:D,DST_123_ÜRETİM_İHTİYAÇ_RAPORU_BURAK_YENI1309[[#This Row],[ALT_KOD]])+AVERAGEIFS(I:I,D:D,DST_123_ÜRETİM_İHTİYAÇ_RAPORU_BURAK_YENI1309[[#This Row],[ALT_KOD]])+AVERAGEIFS(L:L,D:D,DST_123_ÜRETİM_İHTİYAÇ_RAPORU_BURAK_YENI1309[[#This Row],[ALT_KOD]]))</f>
        <v>14</v>
      </c>
      <c r="L4775">
        <v>0</v>
      </c>
      <c r="M4775">
        <f>IF((DST_123_ÜRETİM_İHTİYAÇ_RAPORU_BURAK_YENI1309[[#This Row],[SATINALMA]]*DST_123_ÜRETİM_İHTİYAÇ_RAPORU_BURAK_YENI1309[[#This Row],[BIRIM_FIYATLAR]])&lt;1,VALUE("0"),DST_123_ÜRETİM_İHTİYAÇ_RAPORU_BURAK_YENI1309[[#This Row],[SATINALMA]]*DST_123_ÜRETİM_İHTİYAÇ_RAPORU_BURAK_YENI1309[[#This Row],[BIRIM_FIYATLAR]])</f>
        <v>0</v>
      </c>
      <c r="N4775">
        <v>0</v>
      </c>
      <c r="P4775">
        <v>0</v>
      </c>
      <c r="Q4775" t="s">
        <v>221</v>
      </c>
    </row>
    <row r="4776" spans="1:17" x14ac:dyDescent="0.25">
      <c r="A4776" t="s">
        <v>1144</v>
      </c>
      <c r="B4776" t="s">
        <v>1145</v>
      </c>
      <c r="C4776" t="s">
        <v>175</v>
      </c>
      <c r="D4776" t="s">
        <v>1161</v>
      </c>
      <c r="E4776" t="s">
        <v>1162</v>
      </c>
      <c r="F4776">
        <v>2</v>
      </c>
      <c r="G4776" t="s">
        <v>176</v>
      </c>
      <c r="H4776">
        <v>0</v>
      </c>
      <c r="I4776">
        <v>0</v>
      </c>
      <c r="J4776" s="10">
        <v>0</v>
      </c>
      <c r="K4776" s="10">
        <f>SUMIFS(F:F,D:D,DST_123_ÜRETİM_İHTİYAÇ_RAPORU_BURAK_YENI1309[[#This Row],[ALT_KOD]])-(SUMIFS(H:H,D:D,DST_123_ÜRETİM_İHTİYAÇ_RAPORU_BURAK_YENI1309[[#This Row],[ALT_KOD]])+AVERAGEIFS(I:I,D:D,DST_123_ÜRETİM_İHTİYAÇ_RAPORU_BURAK_YENI1309[[#This Row],[ALT_KOD]])+AVERAGEIFS(L:L,D:D,DST_123_ÜRETİM_İHTİYAÇ_RAPORU_BURAK_YENI1309[[#This Row],[ALT_KOD]]))</f>
        <v>14</v>
      </c>
      <c r="L4776">
        <v>0</v>
      </c>
      <c r="M4776">
        <f>IF((DST_123_ÜRETİM_İHTİYAÇ_RAPORU_BURAK_YENI1309[[#This Row],[SATINALMA]]*DST_123_ÜRETİM_İHTİYAÇ_RAPORU_BURAK_YENI1309[[#This Row],[BIRIM_FIYATLAR]])&lt;1,VALUE("0"),DST_123_ÜRETİM_İHTİYAÇ_RAPORU_BURAK_YENI1309[[#This Row],[SATINALMA]]*DST_123_ÜRETİM_İHTİYAÇ_RAPORU_BURAK_YENI1309[[#This Row],[BIRIM_FIYATLAR]])</f>
        <v>0</v>
      </c>
      <c r="N4776">
        <v>0</v>
      </c>
      <c r="P4776">
        <v>0</v>
      </c>
      <c r="Q4776" t="s">
        <v>221</v>
      </c>
    </row>
    <row r="4777" spans="1:17" x14ac:dyDescent="0.25">
      <c r="A4777" t="s">
        <v>1146</v>
      </c>
      <c r="B4777" t="s">
        <v>1145</v>
      </c>
      <c r="C4777" t="s">
        <v>175</v>
      </c>
      <c r="D4777" t="s">
        <v>736</v>
      </c>
      <c r="E4777" t="s">
        <v>737</v>
      </c>
      <c r="F4777">
        <v>1</v>
      </c>
      <c r="G4777" t="s">
        <v>176</v>
      </c>
      <c r="H4777">
        <v>0</v>
      </c>
      <c r="I4777">
        <v>12</v>
      </c>
      <c r="J4777" s="10">
        <v>17</v>
      </c>
      <c r="K4777" s="10">
        <f>SUMIFS(F:F,D:D,DST_123_ÜRETİM_İHTİYAÇ_RAPORU_BURAK_YENI1309[[#This Row],[ALT_KOD]])-(SUMIFS(H:H,D:D,DST_123_ÜRETİM_İHTİYAÇ_RAPORU_BURAK_YENI1309[[#This Row],[ALT_KOD]])+AVERAGEIFS(I:I,D:D,DST_123_ÜRETİM_İHTİYAÇ_RAPORU_BURAK_YENI1309[[#This Row],[ALT_KOD]])+AVERAGEIFS(L:L,D:D,DST_123_ÜRETİM_İHTİYAÇ_RAPORU_BURAK_YENI1309[[#This Row],[ALT_KOD]]))</f>
        <v>-1</v>
      </c>
      <c r="L4777">
        <v>0</v>
      </c>
      <c r="M4777">
        <f>IF((DST_123_ÜRETİM_İHTİYAÇ_RAPORU_BURAK_YENI1309[[#This Row],[SATINALMA]]*DST_123_ÜRETİM_İHTİYAÇ_RAPORU_BURAK_YENI1309[[#This Row],[BIRIM_FIYATLAR]])&lt;1,VALUE("0"),DST_123_ÜRETİM_İHTİYAÇ_RAPORU_BURAK_YENI1309[[#This Row],[SATINALMA]]*DST_123_ÜRETİM_İHTİYAÇ_RAPORU_BURAK_YENI1309[[#This Row],[BIRIM_FIYATLAR]])</f>
        <v>0</v>
      </c>
      <c r="N4777">
        <v>400</v>
      </c>
      <c r="O4777" t="s">
        <v>667</v>
      </c>
      <c r="P4777">
        <v>400</v>
      </c>
      <c r="Q4777" t="s">
        <v>177</v>
      </c>
    </row>
    <row r="4778" spans="1:17" x14ac:dyDescent="0.25">
      <c r="A4778" t="s">
        <v>1150</v>
      </c>
      <c r="B4778" t="s">
        <v>1145</v>
      </c>
      <c r="C4778" t="s">
        <v>175</v>
      </c>
      <c r="D4778" t="s">
        <v>1161</v>
      </c>
      <c r="E4778" t="s">
        <v>1162</v>
      </c>
      <c r="F4778">
        <v>2</v>
      </c>
      <c r="G4778" t="s">
        <v>176</v>
      </c>
      <c r="H4778">
        <v>0</v>
      </c>
      <c r="I4778">
        <v>0</v>
      </c>
      <c r="J4778" s="10">
        <v>0</v>
      </c>
      <c r="K4778" s="10">
        <f>SUMIFS(F:F,D:D,DST_123_ÜRETİM_İHTİYAÇ_RAPORU_BURAK_YENI1309[[#This Row],[ALT_KOD]])-(SUMIFS(H:H,D:D,DST_123_ÜRETİM_İHTİYAÇ_RAPORU_BURAK_YENI1309[[#This Row],[ALT_KOD]])+AVERAGEIFS(I:I,D:D,DST_123_ÜRETİM_İHTİYAÇ_RAPORU_BURAK_YENI1309[[#This Row],[ALT_KOD]])+AVERAGEIFS(L:L,D:D,DST_123_ÜRETİM_İHTİYAÇ_RAPORU_BURAK_YENI1309[[#This Row],[ALT_KOD]]))</f>
        <v>14</v>
      </c>
      <c r="L4778">
        <v>0</v>
      </c>
      <c r="M4778">
        <f>IF((DST_123_ÜRETİM_İHTİYAÇ_RAPORU_BURAK_YENI1309[[#This Row],[SATINALMA]]*DST_123_ÜRETİM_İHTİYAÇ_RAPORU_BURAK_YENI1309[[#This Row],[BIRIM_FIYATLAR]])&lt;1,VALUE("0"),DST_123_ÜRETİM_İHTİYAÇ_RAPORU_BURAK_YENI1309[[#This Row],[SATINALMA]]*DST_123_ÜRETİM_İHTİYAÇ_RAPORU_BURAK_YENI1309[[#This Row],[BIRIM_FIYATLAR]])</f>
        <v>0</v>
      </c>
      <c r="N4778">
        <v>0</v>
      </c>
      <c r="P4778">
        <v>0</v>
      </c>
      <c r="Q4778" t="s">
        <v>221</v>
      </c>
    </row>
    <row r="4779" spans="1:17" x14ac:dyDescent="0.25">
      <c r="A4779" t="s">
        <v>1150</v>
      </c>
      <c r="B4779" t="s">
        <v>1145</v>
      </c>
      <c r="C4779" t="s">
        <v>175</v>
      </c>
      <c r="D4779" t="s">
        <v>802</v>
      </c>
      <c r="E4779" t="s">
        <v>822</v>
      </c>
      <c r="F4779">
        <v>1</v>
      </c>
      <c r="G4779" t="s">
        <v>176</v>
      </c>
      <c r="H4779">
        <v>0</v>
      </c>
      <c r="I4779">
        <v>20.5</v>
      </c>
      <c r="J4779" s="10">
        <v>5</v>
      </c>
      <c r="K4779" s="10">
        <f>SUMIFS(F:F,D:D,DST_123_ÜRETİM_İHTİYAÇ_RAPORU_BURAK_YENI1309[[#This Row],[ALT_KOD]])-(SUMIFS(H:H,D:D,DST_123_ÜRETİM_İHTİYAÇ_RAPORU_BURAK_YENI1309[[#This Row],[ALT_KOD]])+AVERAGEIFS(I:I,D:D,DST_123_ÜRETİM_İHTİYAÇ_RAPORU_BURAK_YENI1309[[#This Row],[ALT_KOD]])+AVERAGEIFS(L:L,D:D,DST_123_ÜRETİM_İHTİYAÇ_RAPORU_BURAK_YENI1309[[#This Row],[ALT_KOD]]))</f>
        <v>-9.5</v>
      </c>
      <c r="L4779">
        <v>0</v>
      </c>
      <c r="M4779">
        <f>IF((DST_123_ÜRETİM_İHTİYAÇ_RAPORU_BURAK_YENI1309[[#This Row],[SATINALMA]]*DST_123_ÜRETİM_İHTİYAÇ_RAPORU_BURAK_YENI1309[[#This Row],[BIRIM_FIYATLAR]])&lt;1,VALUE("0"),DST_123_ÜRETİM_İHTİYAÇ_RAPORU_BURAK_YENI1309[[#This Row],[SATINALMA]]*DST_123_ÜRETİM_İHTİYAÇ_RAPORU_BURAK_YENI1309[[#This Row],[BIRIM_FIYATLAR]])</f>
        <v>0</v>
      </c>
      <c r="N4779">
        <v>175</v>
      </c>
      <c r="O4779" t="s">
        <v>217</v>
      </c>
      <c r="P4779">
        <v>175</v>
      </c>
      <c r="Q4779" t="s">
        <v>180</v>
      </c>
    </row>
    <row r="4780" spans="1:17" x14ac:dyDescent="0.25">
      <c r="A4780" t="s">
        <v>1150</v>
      </c>
      <c r="B4780" t="s">
        <v>1145</v>
      </c>
      <c r="C4780" t="s">
        <v>175</v>
      </c>
      <c r="D4780" t="s">
        <v>736</v>
      </c>
      <c r="E4780" t="s">
        <v>737</v>
      </c>
      <c r="F4780">
        <v>1</v>
      </c>
      <c r="G4780" t="s">
        <v>176</v>
      </c>
      <c r="H4780">
        <v>0</v>
      </c>
      <c r="I4780">
        <v>12</v>
      </c>
      <c r="J4780" s="10">
        <v>17</v>
      </c>
      <c r="K4780" s="10">
        <f>SUMIFS(F:F,D:D,DST_123_ÜRETİM_İHTİYAÇ_RAPORU_BURAK_YENI1309[[#This Row],[ALT_KOD]])-(SUMIFS(H:H,D:D,DST_123_ÜRETİM_İHTİYAÇ_RAPORU_BURAK_YENI1309[[#This Row],[ALT_KOD]])+AVERAGEIFS(I:I,D:D,DST_123_ÜRETİM_İHTİYAÇ_RAPORU_BURAK_YENI1309[[#This Row],[ALT_KOD]])+AVERAGEIFS(L:L,D:D,DST_123_ÜRETİM_İHTİYAÇ_RAPORU_BURAK_YENI1309[[#This Row],[ALT_KOD]]))</f>
        <v>-1</v>
      </c>
      <c r="L4780">
        <v>0</v>
      </c>
      <c r="M4780">
        <f>IF((DST_123_ÜRETİM_İHTİYAÇ_RAPORU_BURAK_YENI1309[[#This Row],[SATINALMA]]*DST_123_ÜRETİM_İHTİYAÇ_RAPORU_BURAK_YENI1309[[#This Row],[BIRIM_FIYATLAR]])&lt;1,VALUE("0"),DST_123_ÜRETİM_İHTİYAÇ_RAPORU_BURAK_YENI1309[[#This Row],[SATINALMA]]*DST_123_ÜRETİM_İHTİYAÇ_RAPORU_BURAK_YENI1309[[#This Row],[BIRIM_FIYATLAR]])</f>
        <v>0</v>
      </c>
      <c r="N4780">
        <v>400</v>
      </c>
      <c r="O4780" t="s">
        <v>667</v>
      </c>
      <c r="P4780">
        <v>400</v>
      </c>
      <c r="Q4780" t="s">
        <v>177</v>
      </c>
    </row>
    <row r="4781" spans="1:17" x14ac:dyDescent="0.25">
      <c r="A4781" t="s">
        <v>1060</v>
      </c>
      <c r="B4781" t="s">
        <v>1061</v>
      </c>
      <c r="C4781" t="s">
        <v>175</v>
      </c>
      <c r="D4781" t="s">
        <v>802</v>
      </c>
      <c r="E4781" t="s">
        <v>822</v>
      </c>
      <c r="F4781">
        <v>2</v>
      </c>
      <c r="G4781" t="s">
        <v>176</v>
      </c>
      <c r="H4781">
        <v>2</v>
      </c>
      <c r="I4781">
        <v>20.5</v>
      </c>
      <c r="J4781" s="10">
        <v>5</v>
      </c>
      <c r="K4781" s="10">
        <f>SUMIFS(F:F,D:D,DST_123_ÜRETİM_İHTİYAÇ_RAPORU_BURAK_YENI1309[[#This Row],[ALT_KOD]])-(SUMIFS(H:H,D:D,DST_123_ÜRETİM_İHTİYAÇ_RAPORU_BURAK_YENI1309[[#This Row],[ALT_KOD]])+AVERAGEIFS(I:I,D:D,DST_123_ÜRETİM_İHTİYAÇ_RAPORU_BURAK_YENI1309[[#This Row],[ALT_KOD]])+AVERAGEIFS(L:L,D:D,DST_123_ÜRETİM_İHTİYAÇ_RAPORU_BURAK_YENI1309[[#This Row],[ALT_KOD]]))</f>
        <v>-9.5</v>
      </c>
      <c r="L4781">
        <v>0</v>
      </c>
      <c r="M4781">
        <f>IF((DST_123_ÜRETİM_İHTİYAÇ_RAPORU_BURAK_YENI1309[[#This Row],[SATINALMA]]*DST_123_ÜRETİM_İHTİYAÇ_RAPORU_BURAK_YENI1309[[#This Row],[BIRIM_FIYATLAR]])&lt;1,VALUE("0"),DST_123_ÜRETİM_İHTİYAÇ_RAPORU_BURAK_YENI1309[[#This Row],[SATINALMA]]*DST_123_ÜRETİM_İHTİYAÇ_RAPORU_BURAK_YENI1309[[#This Row],[BIRIM_FIYATLAR]])</f>
        <v>0</v>
      </c>
      <c r="N4781">
        <v>175</v>
      </c>
      <c r="O4781" t="s">
        <v>217</v>
      </c>
      <c r="P4781">
        <v>350</v>
      </c>
      <c r="Q4781" t="s">
        <v>180</v>
      </c>
    </row>
    <row r="4782" spans="1:17" x14ac:dyDescent="0.25">
      <c r="A4782" t="s">
        <v>1098</v>
      </c>
      <c r="B4782" t="s">
        <v>1096</v>
      </c>
      <c r="C4782" t="s">
        <v>175</v>
      </c>
      <c r="D4782" t="s">
        <v>736</v>
      </c>
      <c r="E4782" t="s">
        <v>737</v>
      </c>
      <c r="F4782">
        <v>1</v>
      </c>
      <c r="G4782" t="s">
        <v>176</v>
      </c>
      <c r="H4782">
        <v>0</v>
      </c>
      <c r="I4782">
        <v>12</v>
      </c>
      <c r="J4782" s="10">
        <v>17</v>
      </c>
      <c r="K4782" s="10">
        <f>SUMIFS(F:F,D:D,DST_123_ÜRETİM_İHTİYAÇ_RAPORU_BURAK_YENI1309[[#This Row],[ALT_KOD]])-(SUMIFS(H:H,D:D,DST_123_ÜRETİM_İHTİYAÇ_RAPORU_BURAK_YENI1309[[#This Row],[ALT_KOD]])+AVERAGEIFS(I:I,D:D,DST_123_ÜRETİM_İHTİYAÇ_RAPORU_BURAK_YENI1309[[#This Row],[ALT_KOD]])+AVERAGEIFS(L:L,D:D,DST_123_ÜRETİM_İHTİYAÇ_RAPORU_BURAK_YENI1309[[#This Row],[ALT_KOD]]))</f>
        <v>-1</v>
      </c>
      <c r="L4782">
        <v>0</v>
      </c>
      <c r="M4782">
        <f>IF((DST_123_ÜRETİM_İHTİYAÇ_RAPORU_BURAK_YENI1309[[#This Row],[SATINALMA]]*DST_123_ÜRETİM_İHTİYAÇ_RAPORU_BURAK_YENI1309[[#This Row],[BIRIM_FIYATLAR]])&lt;1,VALUE("0"),DST_123_ÜRETİM_İHTİYAÇ_RAPORU_BURAK_YENI1309[[#This Row],[SATINALMA]]*DST_123_ÜRETİM_İHTİYAÇ_RAPORU_BURAK_YENI1309[[#This Row],[BIRIM_FIYATLAR]])</f>
        <v>0</v>
      </c>
      <c r="N4782">
        <v>400</v>
      </c>
      <c r="O4782" t="s">
        <v>667</v>
      </c>
      <c r="P4782">
        <v>400</v>
      </c>
      <c r="Q4782" t="s">
        <v>177</v>
      </c>
    </row>
    <row r="4783" spans="1:17" x14ac:dyDescent="0.25">
      <c r="A4783" t="s">
        <v>1059</v>
      </c>
      <c r="B4783" t="s">
        <v>1058</v>
      </c>
      <c r="C4783" t="s">
        <v>175</v>
      </c>
      <c r="D4783" t="s">
        <v>26</v>
      </c>
      <c r="E4783" t="s">
        <v>27</v>
      </c>
      <c r="F4783">
        <v>1</v>
      </c>
      <c r="G4783" t="s">
        <v>176</v>
      </c>
      <c r="H4783">
        <v>1</v>
      </c>
      <c r="I4783">
        <v>24</v>
      </c>
      <c r="J4783" s="10">
        <v>4</v>
      </c>
      <c r="K4783" s="10">
        <f>SUMIFS(F:F,D:D,DST_123_ÜRETİM_İHTİYAÇ_RAPORU_BURAK_YENI1309[[#This Row],[ALT_KOD]])-(SUMIFS(H:H,D:D,DST_123_ÜRETİM_İHTİYAÇ_RAPORU_BURAK_YENI1309[[#This Row],[ALT_KOD]])+AVERAGEIFS(I:I,D:D,DST_123_ÜRETİM_İHTİYAÇ_RAPORU_BURAK_YENI1309[[#This Row],[ALT_KOD]])+AVERAGEIFS(L:L,D:D,DST_123_ÜRETİM_İHTİYAÇ_RAPORU_BURAK_YENI1309[[#This Row],[ALT_KOD]]))</f>
        <v>-17</v>
      </c>
      <c r="L4783">
        <v>0</v>
      </c>
      <c r="M4783">
        <f>IF((DST_123_ÜRETİM_İHTİYAÇ_RAPORU_BURAK_YENI1309[[#This Row],[SATINALMA]]*DST_123_ÜRETİM_İHTİYAÇ_RAPORU_BURAK_YENI1309[[#This Row],[BIRIM_FIYATLAR]])&lt;1,VALUE("0"),DST_123_ÜRETİM_İHTİYAÇ_RAPORU_BURAK_YENI1309[[#This Row],[SATINALMA]]*DST_123_ÜRETİM_İHTİYAÇ_RAPORU_BURAK_YENI1309[[#This Row],[BIRIM_FIYATLAR]])</f>
        <v>0</v>
      </c>
      <c r="N4783">
        <v>625</v>
      </c>
      <c r="O4783" t="s">
        <v>226</v>
      </c>
      <c r="P4783">
        <v>625</v>
      </c>
      <c r="Q4783" t="s">
        <v>180</v>
      </c>
    </row>
    <row r="4784" spans="1:17" x14ac:dyDescent="0.25">
      <c r="A4784" t="s">
        <v>1101</v>
      </c>
      <c r="B4784" t="s">
        <v>1102</v>
      </c>
      <c r="C4784" t="s">
        <v>175</v>
      </c>
      <c r="D4784" t="s">
        <v>505</v>
      </c>
      <c r="E4784" t="s">
        <v>506</v>
      </c>
      <c r="F4784">
        <v>1</v>
      </c>
      <c r="G4784" t="s">
        <v>176</v>
      </c>
      <c r="H4784">
        <v>1</v>
      </c>
      <c r="I4784">
        <v>42</v>
      </c>
      <c r="J4784" s="10">
        <v>10</v>
      </c>
      <c r="K4784" s="10">
        <f>SUMIFS(F:F,D:D,DST_123_ÜRETİM_İHTİYAÇ_RAPORU_BURAK_YENI1309[[#This Row],[ALT_KOD]])-(SUMIFS(H:H,D:D,DST_123_ÜRETİM_İHTİYAÇ_RAPORU_BURAK_YENI1309[[#This Row],[ALT_KOD]])+AVERAGEIFS(I:I,D:D,DST_123_ÜRETİM_İHTİYAÇ_RAPORU_BURAK_YENI1309[[#This Row],[ALT_KOD]])+AVERAGEIFS(L:L,D:D,DST_123_ÜRETİM_İHTİYAÇ_RAPORU_BURAK_YENI1309[[#This Row],[ALT_KOD]]))</f>
        <v>-30</v>
      </c>
      <c r="L4784">
        <v>0</v>
      </c>
      <c r="M4784">
        <f>IF((DST_123_ÜRETİM_İHTİYAÇ_RAPORU_BURAK_YENI1309[[#This Row],[SATINALMA]]*DST_123_ÜRETİM_İHTİYAÇ_RAPORU_BURAK_YENI1309[[#This Row],[BIRIM_FIYATLAR]])&lt;1,VALUE("0"),DST_123_ÜRETİM_İHTİYAÇ_RAPORU_BURAK_YENI1309[[#This Row],[SATINALMA]]*DST_123_ÜRETİM_İHTİYAÇ_RAPORU_BURAK_YENI1309[[#This Row],[BIRIM_FIYATLAR]])</f>
        <v>0</v>
      </c>
      <c r="N4784">
        <v>142.5</v>
      </c>
      <c r="O4784" t="s">
        <v>826</v>
      </c>
      <c r="P4784">
        <v>142.5</v>
      </c>
      <c r="Q4784" t="s">
        <v>221</v>
      </c>
    </row>
    <row r="4785" spans="1:17" x14ac:dyDescent="0.25">
      <c r="A4785" t="s">
        <v>1144</v>
      </c>
      <c r="B4785" t="s">
        <v>1145</v>
      </c>
      <c r="C4785" t="s">
        <v>175</v>
      </c>
      <c r="D4785" t="s">
        <v>802</v>
      </c>
      <c r="E4785" t="s">
        <v>822</v>
      </c>
      <c r="F4785">
        <v>1</v>
      </c>
      <c r="G4785" t="s">
        <v>176</v>
      </c>
      <c r="H4785">
        <v>0</v>
      </c>
      <c r="I4785">
        <v>20.5</v>
      </c>
      <c r="J4785" s="10">
        <v>5</v>
      </c>
      <c r="K4785" s="10">
        <f>SUMIFS(F:F,D:D,DST_123_ÜRETİM_İHTİYAÇ_RAPORU_BURAK_YENI1309[[#This Row],[ALT_KOD]])-(SUMIFS(H:H,D:D,DST_123_ÜRETİM_İHTİYAÇ_RAPORU_BURAK_YENI1309[[#This Row],[ALT_KOD]])+AVERAGEIFS(I:I,D:D,DST_123_ÜRETİM_İHTİYAÇ_RAPORU_BURAK_YENI1309[[#This Row],[ALT_KOD]])+AVERAGEIFS(L:L,D:D,DST_123_ÜRETİM_İHTİYAÇ_RAPORU_BURAK_YENI1309[[#This Row],[ALT_KOD]]))</f>
        <v>-9.5</v>
      </c>
      <c r="L4785">
        <v>0</v>
      </c>
      <c r="M4785">
        <f>IF((DST_123_ÜRETİM_İHTİYAÇ_RAPORU_BURAK_YENI1309[[#This Row],[SATINALMA]]*DST_123_ÜRETİM_İHTİYAÇ_RAPORU_BURAK_YENI1309[[#This Row],[BIRIM_FIYATLAR]])&lt;1,VALUE("0"),DST_123_ÜRETİM_İHTİYAÇ_RAPORU_BURAK_YENI1309[[#This Row],[SATINALMA]]*DST_123_ÜRETİM_İHTİYAÇ_RAPORU_BURAK_YENI1309[[#This Row],[BIRIM_FIYATLAR]])</f>
        <v>0</v>
      </c>
      <c r="N4785">
        <v>175</v>
      </c>
      <c r="O4785" t="s">
        <v>217</v>
      </c>
      <c r="P4785">
        <v>175</v>
      </c>
      <c r="Q4785" t="s">
        <v>180</v>
      </c>
    </row>
    <row r="4786" spans="1:17" x14ac:dyDescent="0.25">
      <c r="A4786" t="s">
        <v>1149</v>
      </c>
      <c r="B4786" t="s">
        <v>1145</v>
      </c>
      <c r="C4786" t="s">
        <v>175</v>
      </c>
      <c r="D4786" t="s">
        <v>736</v>
      </c>
      <c r="E4786" t="s">
        <v>737</v>
      </c>
      <c r="F4786">
        <v>1</v>
      </c>
      <c r="G4786" t="s">
        <v>176</v>
      </c>
      <c r="H4786">
        <v>0</v>
      </c>
      <c r="I4786">
        <v>12</v>
      </c>
      <c r="J4786" s="10">
        <v>17</v>
      </c>
      <c r="K4786" s="10">
        <f>SUMIFS(F:F,D:D,DST_123_ÜRETİM_İHTİYAÇ_RAPORU_BURAK_YENI1309[[#This Row],[ALT_KOD]])-(SUMIFS(H:H,D:D,DST_123_ÜRETİM_İHTİYAÇ_RAPORU_BURAK_YENI1309[[#This Row],[ALT_KOD]])+AVERAGEIFS(I:I,D:D,DST_123_ÜRETİM_İHTİYAÇ_RAPORU_BURAK_YENI1309[[#This Row],[ALT_KOD]])+AVERAGEIFS(L:L,D:D,DST_123_ÜRETİM_İHTİYAÇ_RAPORU_BURAK_YENI1309[[#This Row],[ALT_KOD]]))</f>
        <v>-1</v>
      </c>
      <c r="L4786">
        <v>0</v>
      </c>
      <c r="M4786">
        <f>IF((DST_123_ÜRETİM_İHTİYAÇ_RAPORU_BURAK_YENI1309[[#This Row],[SATINALMA]]*DST_123_ÜRETİM_İHTİYAÇ_RAPORU_BURAK_YENI1309[[#This Row],[BIRIM_FIYATLAR]])&lt;1,VALUE("0"),DST_123_ÜRETİM_İHTİYAÇ_RAPORU_BURAK_YENI1309[[#This Row],[SATINALMA]]*DST_123_ÜRETİM_İHTİYAÇ_RAPORU_BURAK_YENI1309[[#This Row],[BIRIM_FIYATLAR]])</f>
        <v>0</v>
      </c>
      <c r="N4786">
        <v>400</v>
      </c>
      <c r="O4786" t="s">
        <v>667</v>
      </c>
      <c r="P4786">
        <v>400</v>
      </c>
      <c r="Q4786" t="s">
        <v>177</v>
      </c>
    </row>
    <row r="4787" spans="1:17" x14ac:dyDescent="0.25">
      <c r="A4787" t="s">
        <v>1149</v>
      </c>
      <c r="B4787" t="s">
        <v>1145</v>
      </c>
      <c r="C4787" t="s">
        <v>175</v>
      </c>
      <c r="D4787" t="s">
        <v>272</v>
      </c>
      <c r="E4787" t="s">
        <v>621</v>
      </c>
      <c r="F4787">
        <v>1</v>
      </c>
      <c r="G4787" t="s">
        <v>176</v>
      </c>
      <c r="H4787">
        <v>0</v>
      </c>
      <c r="I4787">
        <v>11</v>
      </c>
      <c r="J4787" s="10">
        <v>4</v>
      </c>
      <c r="K4787" s="10">
        <f>SUMIFS(F:F,D:D,DST_123_ÜRETİM_İHTİYAÇ_RAPORU_BURAK_YENI1309[[#This Row],[ALT_KOD]])-(SUMIFS(H:H,D:D,DST_123_ÜRETİM_İHTİYAÇ_RAPORU_BURAK_YENI1309[[#This Row],[ALT_KOD]])+AVERAGEIFS(I:I,D:D,DST_123_ÜRETİM_İHTİYAÇ_RAPORU_BURAK_YENI1309[[#This Row],[ALT_KOD]])+AVERAGEIFS(L:L,D:D,DST_123_ÜRETİM_İHTİYAÇ_RAPORU_BURAK_YENI1309[[#This Row],[ALT_KOD]]))</f>
        <v>-4</v>
      </c>
      <c r="L4787">
        <v>0</v>
      </c>
      <c r="M4787">
        <f>IF((DST_123_ÜRETİM_İHTİYAÇ_RAPORU_BURAK_YENI1309[[#This Row],[SATINALMA]]*DST_123_ÜRETİM_İHTİYAÇ_RAPORU_BURAK_YENI1309[[#This Row],[BIRIM_FIYATLAR]])&lt;1,VALUE("0"),DST_123_ÜRETİM_İHTİYAÇ_RAPORU_BURAK_YENI1309[[#This Row],[SATINALMA]]*DST_123_ÜRETİM_İHTİYAÇ_RAPORU_BURAK_YENI1309[[#This Row],[BIRIM_FIYATLAR]])</f>
        <v>0</v>
      </c>
      <c r="N4787">
        <v>1679.53</v>
      </c>
      <c r="O4787" t="s">
        <v>636</v>
      </c>
      <c r="P4787">
        <v>1679.53</v>
      </c>
      <c r="Q4787" t="s">
        <v>178</v>
      </c>
    </row>
    <row r="4788" spans="1:17" x14ac:dyDescent="0.25">
      <c r="A4788" t="s">
        <v>1149</v>
      </c>
      <c r="B4788" t="s">
        <v>1145</v>
      </c>
      <c r="C4788" t="s">
        <v>175</v>
      </c>
      <c r="D4788" t="s">
        <v>1165</v>
      </c>
      <c r="E4788" t="s">
        <v>1166</v>
      </c>
      <c r="F4788">
        <v>2</v>
      </c>
      <c r="G4788" t="s">
        <v>176</v>
      </c>
      <c r="H4788">
        <v>0</v>
      </c>
      <c r="I4788">
        <v>1000</v>
      </c>
      <c r="J4788" s="10">
        <v>1000</v>
      </c>
      <c r="K4788" s="10">
        <f>SUMIFS(F:F,D:D,DST_123_ÜRETİM_İHTİYAÇ_RAPORU_BURAK_YENI1309[[#This Row],[ALT_KOD]])-(SUMIFS(H:H,D:D,DST_123_ÜRETİM_İHTİYAÇ_RAPORU_BURAK_YENI1309[[#This Row],[ALT_KOD]])+AVERAGEIFS(I:I,D:D,DST_123_ÜRETİM_İHTİYAÇ_RAPORU_BURAK_YENI1309[[#This Row],[ALT_KOD]])+AVERAGEIFS(L:L,D:D,DST_123_ÜRETİM_İHTİYAÇ_RAPORU_BURAK_YENI1309[[#This Row],[ALT_KOD]]))</f>
        <v>-986</v>
      </c>
      <c r="L4788">
        <v>0</v>
      </c>
      <c r="M4788">
        <f>IF((DST_123_ÜRETİM_İHTİYAÇ_RAPORU_BURAK_YENI1309[[#This Row],[SATINALMA]]*DST_123_ÜRETİM_İHTİYAÇ_RAPORU_BURAK_YENI1309[[#This Row],[BIRIM_FIYATLAR]])&lt;1,VALUE("0"),DST_123_ÜRETİM_İHTİYAÇ_RAPORU_BURAK_YENI1309[[#This Row],[SATINALMA]]*DST_123_ÜRETİM_İHTİYAÇ_RAPORU_BURAK_YENI1309[[#This Row],[BIRIM_FIYATLAR]])</f>
        <v>0</v>
      </c>
      <c r="N4788">
        <v>0.28000000000000003</v>
      </c>
      <c r="O4788" t="s">
        <v>826</v>
      </c>
      <c r="P4788">
        <v>0.56000000000000005</v>
      </c>
      <c r="Q4788" t="s">
        <v>221</v>
      </c>
    </row>
    <row r="4789" spans="1:17" x14ac:dyDescent="0.25">
      <c r="A4789" t="s">
        <v>1150</v>
      </c>
      <c r="B4789" t="s">
        <v>1145</v>
      </c>
      <c r="C4789" t="s">
        <v>175</v>
      </c>
      <c r="D4789" t="s">
        <v>740</v>
      </c>
      <c r="E4789" t="s">
        <v>741</v>
      </c>
      <c r="F4789">
        <v>1</v>
      </c>
      <c r="G4789" t="s">
        <v>176</v>
      </c>
      <c r="H4789">
        <v>0</v>
      </c>
      <c r="I4789">
        <v>17</v>
      </c>
      <c r="J4789" s="10">
        <v>17</v>
      </c>
      <c r="K4789" s="10">
        <f>SUMIFS(F:F,D:D,DST_123_ÜRETİM_İHTİYAÇ_RAPORU_BURAK_YENI1309[[#This Row],[ALT_KOD]])-(SUMIFS(H:H,D:D,DST_123_ÜRETİM_İHTİYAÇ_RAPORU_BURAK_YENI1309[[#This Row],[ALT_KOD]])+AVERAGEIFS(I:I,D:D,DST_123_ÜRETİM_İHTİYAÇ_RAPORU_BURAK_YENI1309[[#This Row],[ALT_KOD]])+AVERAGEIFS(L:L,D:D,DST_123_ÜRETİM_İHTİYAÇ_RAPORU_BURAK_YENI1309[[#This Row],[ALT_KOD]]))</f>
        <v>-6</v>
      </c>
      <c r="L4789">
        <v>0</v>
      </c>
      <c r="M4789">
        <f>IF((DST_123_ÜRETİM_İHTİYAÇ_RAPORU_BURAK_YENI1309[[#This Row],[SATINALMA]]*DST_123_ÜRETİM_İHTİYAÇ_RAPORU_BURAK_YENI1309[[#This Row],[BIRIM_FIYATLAR]])&lt;1,VALUE("0"),DST_123_ÜRETİM_İHTİYAÇ_RAPORU_BURAK_YENI1309[[#This Row],[SATINALMA]]*DST_123_ÜRETİM_İHTİYAÇ_RAPORU_BURAK_YENI1309[[#This Row],[BIRIM_FIYATLAR]])</f>
        <v>0</v>
      </c>
      <c r="N4789">
        <v>41.67</v>
      </c>
      <c r="O4789" t="s">
        <v>667</v>
      </c>
      <c r="P4789">
        <v>41.67</v>
      </c>
      <c r="Q4789" t="s">
        <v>177</v>
      </c>
    </row>
    <row r="4790" spans="1:17" x14ac:dyDescent="0.25">
      <c r="A4790" t="s">
        <v>1196</v>
      </c>
      <c r="B4790" t="s">
        <v>1197</v>
      </c>
      <c r="C4790" t="s">
        <v>175</v>
      </c>
      <c r="D4790" t="s">
        <v>1165</v>
      </c>
      <c r="E4790" t="s">
        <v>1166</v>
      </c>
      <c r="F4790">
        <v>2</v>
      </c>
      <c r="G4790" t="s">
        <v>176</v>
      </c>
      <c r="H4790">
        <v>0</v>
      </c>
      <c r="I4790">
        <v>1000</v>
      </c>
      <c r="J4790" s="10">
        <v>1000</v>
      </c>
      <c r="K4790" s="10">
        <f>SUMIFS(F:F,D:D,DST_123_ÜRETİM_İHTİYAÇ_RAPORU_BURAK_YENI1309[[#This Row],[ALT_KOD]])-(SUMIFS(H:H,D:D,DST_123_ÜRETİM_İHTİYAÇ_RAPORU_BURAK_YENI1309[[#This Row],[ALT_KOD]])+AVERAGEIFS(I:I,D:D,DST_123_ÜRETİM_İHTİYAÇ_RAPORU_BURAK_YENI1309[[#This Row],[ALT_KOD]])+AVERAGEIFS(L:L,D:D,DST_123_ÜRETİM_İHTİYAÇ_RAPORU_BURAK_YENI1309[[#This Row],[ALT_KOD]]))</f>
        <v>-986</v>
      </c>
      <c r="L4790">
        <v>0</v>
      </c>
      <c r="M4790">
        <f>IF((DST_123_ÜRETİM_İHTİYAÇ_RAPORU_BURAK_YENI1309[[#This Row],[SATINALMA]]*DST_123_ÜRETİM_İHTİYAÇ_RAPORU_BURAK_YENI1309[[#This Row],[BIRIM_FIYATLAR]])&lt;1,VALUE("0"),DST_123_ÜRETİM_İHTİYAÇ_RAPORU_BURAK_YENI1309[[#This Row],[SATINALMA]]*DST_123_ÜRETİM_İHTİYAÇ_RAPORU_BURAK_YENI1309[[#This Row],[BIRIM_FIYATLAR]])</f>
        <v>0</v>
      </c>
      <c r="N4790">
        <v>0.28000000000000003</v>
      </c>
      <c r="O4790" t="s">
        <v>826</v>
      </c>
      <c r="P4790">
        <v>0.56000000000000005</v>
      </c>
      <c r="Q4790" t="s">
        <v>221</v>
      </c>
    </row>
    <row r="4791" spans="1:17" x14ac:dyDescent="0.25">
      <c r="A4791" t="s">
        <v>1099</v>
      </c>
      <c r="B4791" t="s">
        <v>1055</v>
      </c>
      <c r="C4791" t="s">
        <v>175</v>
      </c>
      <c r="D4791" t="s">
        <v>46</v>
      </c>
      <c r="E4791" t="s">
        <v>47</v>
      </c>
      <c r="F4791">
        <v>4</v>
      </c>
      <c r="G4791" t="s">
        <v>176</v>
      </c>
      <c r="H4791">
        <v>4</v>
      </c>
      <c r="I4791">
        <v>75</v>
      </c>
      <c r="J4791" s="10">
        <v>60</v>
      </c>
      <c r="K4791" s="10">
        <f>SUMIFS(F:F,D:D,DST_123_ÜRETİM_İHTİYAÇ_RAPORU_BURAK_YENI1309[[#This Row],[ALT_KOD]])-(SUMIFS(H:H,D:D,DST_123_ÜRETİM_İHTİYAÇ_RAPORU_BURAK_YENI1309[[#This Row],[ALT_KOD]])+AVERAGEIFS(I:I,D:D,DST_123_ÜRETİM_İHTİYAÇ_RAPORU_BURAK_YENI1309[[#This Row],[ALT_KOD]])+AVERAGEIFS(L:L,D:D,DST_123_ÜRETİM_İHTİYAÇ_RAPORU_BURAK_YENI1309[[#This Row],[ALT_KOD]]))</f>
        <v>-31</v>
      </c>
      <c r="L4791">
        <v>0</v>
      </c>
      <c r="M4791">
        <f>IF((DST_123_ÜRETİM_İHTİYAÇ_RAPORU_BURAK_YENI1309[[#This Row],[SATINALMA]]*DST_123_ÜRETİM_İHTİYAÇ_RAPORU_BURAK_YENI1309[[#This Row],[BIRIM_FIYATLAR]])&lt;1,VALUE("0"),DST_123_ÜRETİM_İHTİYAÇ_RAPORU_BURAK_YENI1309[[#This Row],[SATINALMA]]*DST_123_ÜRETİM_İHTİYAÇ_RAPORU_BURAK_YENI1309[[#This Row],[BIRIM_FIYATLAR]])</f>
        <v>0</v>
      </c>
      <c r="N4791">
        <v>170</v>
      </c>
      <c r="O4791" t="s">
        <v>245</v>
      </c>
      <c r="P4791">
        <v>680</v>
      </c>
      <c r="Q4791" t="s">
        <v>180</v>
      </c>
    </row>
    <row r="4792" spans="1:17" x14ac:dyDescent="0.25">
      <c r="A4792" t="s">
        <v>1147</v>
      </c>
      <c r="B4792" t="s">
        <v>1145</v>
      </c>
      <c r="C4792" t="s">
        <v>175</v>
      </c>
      <c r="D4792" t="s">
        <v>772</v>
      </c>
      <c r="E4792" t="s">
        <v>773</v>
      </c>
      <c r="F4792">
        <v>4</v>
      </c>
      <c r="G4792" t="s">
        <v>176</v>
      </c>
      <c r="H4792">
        <v>0</v>
      </c>
      <c r="I4792">
        <v>56.5</v>
      </c>
      <c r="J4792" s="10">
        <v>26</v>
      </c>
      <c r="K4792" s="10">
        <f>SUMIFS(F:F,D:D,DST_123_ÜRETİM_İHTİYAÇ_RAPORU_BURAK_YENI1309[[#This Row],[ALT_KOD]])-(SUMIFS(H:H,D:D,DST_123_ÜRETİM_İHTİYAÇ_RAPORU_BURAK_YENI1309[[#This Row],[ALT_KOD]])+AVERAGEIFS(I:I,D:D,DST_123_ÜRETİM_İHTİYAÇ_RAPORU_BURAK_YENI1309[[#This Row],[ALT_KOD]])+AVERAGEIFS(L:L,D:D,DST_123_ÜRETİM_İHTİYAÇ_RAPORU_BURAK_YENI1309[[#This Row],[ALT_KOD]]))</f>
        <v>-12.5</v>
      </c>
      <c r="L4792">
        <v>0</v>
      </c>
      <c r="M4792">
        <f>IF((DST_123_ÜRETİM_İHTİYAÇ_RAPORU_BURAK_YENI1309[[#This Row],[SATINALMA]]*DST_123_ÜRETİM_İHTİYAÇ_RAPORU_BURAK_YENI1309[[#This Row],[BIRIM_FIYATLAR]])&lt;1,VALUE("0"),DST_123_ÜRETİM_İHTİYAÇ_RAPORU_BURAK_YENI1309[[#This Row],[SATINALMA]]*DST_123_ÜRETİM_İHTİYAÇ_RAPORU_BURAK_YENI1309[[#This Row],[BIRIM_FIYATLAR]])</f>
        <v>0</v>
      </c>
      <c r="N4792">
        <v>200</v>
      </c>
      <c r="O4792" t="s">
        <v>247</v>
      </c>
      <c r="P4792">
        <v>800</v>
      </c>
      <c r="Q4792" t="s">
        <v>177</v>
      </c>
    </row>
    <row r="4793" spans="1:17" x14ac:dyDescent="0.25">
      <c r="A4793" t="s">
        <v>1060</v>
      </c>
      <c r="B4793" t="s">
        <v>1061</v>
      </c>
      <c r="C4793" t="s">
        <v>175</v>
      </c>
      <c r="D4793" t="s">
        <v>277</v>
      </c>
      <c r="E4793" t="s">
        <v>316</v>
      </c>
      <c r="F4793">
        <v>1</v>
      </c>
      <c r="G4793" t="s">
        <v>176</v>
      </c>
      <c r="H4793">
        <v>1</v>
      </c>
      <c r="I4793">
        <v>27</v>
      </c>
      <c r="J4793" s="10">
        <v>4</v>
      </c>
      <c r="K4793" s="10">
        <f>SUMIFS(F:F,D:D,DST_123_ÜRETİM_İHTİYAÇ_RAPORU_BURAK_YENI1309[[#This Row],[ALT_KOD]])-(SUMIFS(H:H,D:D,DST_123_ÜRETİM_İHTİYAÇ_RAPORU_BURAK_YENI1309[[#This Row],[ALT_KOD]])+AVERAGEIFS(I:I,D:D,DST_123_ÜRETİM_İHTİYAÇ_RAPORU_BURAK_YENI1309[[#This Row],[ALT_KOD]])+AVERAGEIFS(L:L,D:D,DST_123_ÜRETİM_İHTİYAÇ_RAPORU_BURAK_YENI1309[[#This Row],[ALT_KOD]]))</f>
        <v>-20</v>
      </c>
      <c r="L4793">
        <v>0</v>
      </c>
      <c r="M4793">
        <f>IF((DST_123_ÜRETİM_İHTİYAÇ_RAPORU_BURAK_YENI1309[[#This Row],[SATINALMA]]*DST_123_ÜRETİM_İHTİYAÇ_RAPORU_BURAK_YENI1309[[#This Row],[BIRIM_FIYATLAR]])&lt;1,VALUE("0"),DST_123_ÜRETİM_İHTİYAÇ_RAPORU_BURAK_YENI1309[[#This Row],[SATINALMA]]*DST_123_ÜRETİM_İHTİYAÇ_RAPORU_BURAK_YENI1309[[#This Row],[BIRIM_FIYATLAR]])</f>
        <v>0</v>
      </c>
      <c r="N4793">
        <v>287.13</v>
      </c>
      <c r="O4793" t="s">
        <v>636</v>
      </c>
      <c r="P4793">
        <v>287.13</v>
      </c>
      <c r="Q4793" t="s">
        <v>178</v>
      </c>
    </row>
    <row r="4794" spans="1:17" x14ac:dyDescent="0.25">
      <c r="A4794" t="s">
        <v>1057</v>
      </c>
      <c r="B4794" t="s">
        <v>1058</v>
      </c>
      <c r="C4794" t="s">
        <v>175</v>
      </c>
      <c r="D4794" t="s">
        <v>277</v>
      </c>
      <c r="E4794" t="s">
        <v>316</v>
      </c>
      <c r="F4794">
        <v>1</v>
      </c>
      <c r="G4794" t="s">
        <v>176</v>
      </c>
      <c r="H4794">
        <v>0</v>
      </c>
      <c r="I4794">
        <v>27</v>
      </c>
      <c r="J4794" s="10">
        <v>4</v>
      </c>
      <c r="K4794" s="10">
        <f>SUMIFS(F:F,D:D,DST_123_ÜRETİM_İHTİYAÇ_RAPORU_BURAK_YENI1309[[#This Row],[ALT_KOD]])-(SUMIFS(H:H,D:D,DST_123_ÜRETİM_İHTİYAÇ_RAPORU_BURAK_YENI1309[[#This Row],[ALT_KOD]])+AVERAGEIFS(I:I,D:D,DST_123_ÜRETİM_İHTİYAÇ_RAPORU_BURAK_YENI1309[[#This Row],[ALT_KOD]])+AVERAGEIFS(L:L,D:D,DST_123_ÜRETİM_İHTİYAÇ_RAPORU_BURAK_YENI1309[[#This Row],[ALT_KOD]]))</f>
        <v>-20</v>
      </c>
      <c r="L4794">
        <v>0</v>
      </c>
      <c r="M4794">
        <f>IF((DST_123_ÜRETİM_İHTİYAÇ_RAPORU_BURAK_YENI1309[[#This Row],[SATINALMA]]*DST_123_ÜRETİM_İHTİYAÇ_RAPORU_BURAK_YENI1309[[#This Row],[BIRIM_FIYATLAR]])&lt;1,VALUE("0"),DST_123_ÜRETİM_İHTİYAÇ_RAPORU_BURAK_YENI1309[[#This Row],[SATINALMA]]*DST_123_ÜRETİM_İHTİYAÇ_RAPORU_BURAK_YENI1309[[#This Row],[BIRIM_FIYATLAR]])</f>
        <v>0</v>
      </c>
      <c r="N4794">
        <v>287.13</v>
      </c>
      <c r="O4794" t="s">
        <v>636</v>
      </c>
      <c r="P4794">
        <v>287.13</v>
      </c>
      <c r="Q4794" t="s">
        <v>178</v>
      </c>
    </row>
    <row r="4795" spans="1:17" x14ac:dyDescent="0.25">
      <c r="A4795" t="s">
        <v>1100</v>
      </c>
      <c r="B4795" t="s">
        <v>1058</v>
      </c>
      <c r="C4795" t="s">
        <v>175</v>
      </c>
      <c r="D4795" t="s">
        <v>277</v>
      </c>
      <c r="E4795" t="s">
        <v>316</v>
      </c>
      <c r="F4795">
        <v>1</v>
      </c>
      <c r="G4795" t="s">
        <v>176</v>
      </c>
      <c r="H4795">
        <v>1</v>
      </c>
      <c r="I4795">
        <v>27</v>
      </c>
      <c r="J4795" s="10">
        <v>4</v>
      </c>
      <c r="K4795" s="10">
        <f>SUMIFS(F:F,D:D,DST_123_ÜRETİM_İHTİYAÇ_RAPORU_BURAK_YENI1309[[#This Row],[ALT_KOD]])-(SUMIFS(H:H,D:D,DST_123_ÜRETİM_İHTİYAÇ_RAPORU_BURAK_YENI1309[[#This Row],[ALT_KOD]])+AVERAGEIFS(I:I,D:D,DST_123_ÜRETİM_İHTİYAÇ_RAPORU_BURAK_YENI1309[[#This Row],[ALT_KOD]])+AVERAGEIFS(L:L,D:D,DST_123_ÜRETİM_İHTİYAÇ_RAPORU_BURAK_YENI1309[[#This Row],[ALT_KOD]]))</f>
        <v>-20</v>
      </c>
      <c r="L4795">
        <v>0</v>
      </c>
      <c r="M4795">
        <f>IF((DST_123_ÜRETİM_İHTİYAÇ_RAPORU_BURAK_YENI1309[[#This Row],[SATINALMA]]*DST_123_ÜRETİM_İHTİYAÇ_RAPORU_BURAK_YENI1309[[#This Row],[BIRIM_FIYATLAR]])&lt;1,VALUE("0"),DST_123_ÜRETİM_İHTİYAÇ_RAPORU_BURAK_YENI1309[[#This Row],[SATINALMA]]*DST_123_ÜRETİM_İHTİYAÇ_RAPORU_BURAK_YENI1309[[#This Row],[BIRIM_FIYATLAR]])</f>
        <v>0</v>
      </c>
      <c r="N4795">
        <v>287.13</v>
      </c>
      <c r="O4795" t="s">
        <v>636</v>
      </c>
      <c r="P4795">
        <v>287.13</v>
      </c>
      <c r="Q4795" t="s">
        <v>178</v>
      </c>
    </row>
    <row r="4796" spans="1:17" x14ac:dyDescent="0.25">
      <c r="A4796" t="s">
        <v>1057</v>
      </c>
      <c r="B4796" t="s">
        <v>1058</v>
      </c>
      <c r="C4796" t="s">
        <v>175</v>
      </c>
      <c r="D4796" t="s">
        <v>278</v>
      </c>
      <c r="E4796" t="s">
        <v>317</v>
      </c>
      <c r="F4796">
        <v>1</v>
      </c>
      <c r="G4796" t="s">
        <v>176</v>
      </c>
      <c r="H4796">
        <v>0</v>
      </c>
      <c r="I4796">
        <v>27</v>
      </c>
      <c r="J4796" s="10">
        <v>4</v>
      </c>
      <c r="K4796" s="10">
        <f>SUMIFS(F:F,D:D,DST_123_ÜRETİM_İHTİYAÇ_RAPORU_BURAK_YENI1309[[#This Row],[ALT_KOD]])-(SUMIFS(H:H,D:D,DST_123_ÜRETİM_İHTİYAÇ_RAPORU_BURAK_YENI1309[[#This Row],[ALT_KOD]])+AVERAGEIFS(I:I,D:D,DST_123_ÜRETİM_İHTİYAÇ_RAPORU_BURAK_YENI1309[[#This Row],[ALT_KOD]])+AVERAGEIFS(L:L,D:D,DST_123_ÜRETİM_İHTİYAÇ_RAPORU_BURAK_YENI1309[[#This Row],[ALT_KOD]]))</f>
        <v>-20</v>
      </c>
      <c r="L4796">
        <v>0</v>
      </c>
      <c r="M4796">
        <f>IF((DST_123_ÜRETİM_İHTİYAÇ_RAPORU_BURAK_YENI1309[[#This Row],[SATINALMA]]*DST_123_ÜRETİM_İHTİYAÇ_RAPORU_BURAK_YENI1309[[#This Row],[BIRIM_FIYATLAR]])&lt;1,VALUE("0"),DST_123_ÜRETİM_İHTİYAÇ_RAPORU_BURAK_YENI1309[[#This Row],[SATINALMA]]*DST_123_ÜRETİM_İHTİYAÇ_RAPORU_BURAK_YENI1309[[#This Row],[BIRIM_FIYATLAR]])</f>
        <v>0</v>
      </c>
      <c r="N4796">
        <v>287.13</v>
      </c>
      <c r="O4796" t="s">
        <v>636</v>
      </c>
      <c r="P4796">
        <v>287.13</v>
      </c>
      <c r="Q4796" t="s">
        <v>178</v>
      </c>
    </row>
    <row r="4797" spans="1:17" x14ac:dyDescent="0.25">
      <c r="A4797" t="s">
        <v>1144</v>
      </c>
      <c r="B4797" t="s">
        <v>1145</v>
      </c>
      <c r="C4797" t="s">
        <v>175</v>
      </c>
      <c r="D4797" t="s">
        <v>157</v>
      </c>
      <c r="E4797" t="s">
        <v>158</v>
      </c>
      <c r="F4797">
        <v>1</v>
      </c>
      <c r="G4797" t="s">
        <v>176</v>
      </c>
      <c r="H4797">
        <v>0</v>
      </c>
      <c r="I4797">
        <v>4</v>
      </c>
      <c r="J4797" s="10">
        <v>22</v>
      </c>
      <c r="K4797" s="10">
        <f>SUMIFS(F:F,D:D,DST_123_ÜRETİM_İHTİYAÇ_RAPORU_BURAK_YENI1309[[#This Row],[ALT_KOD]])-(SUMIFS(H:H,D:D,DST_123_ÜRETİM_İHTİYAÇ_RAPORU_BURAK_YENI1309[[#This Row],[ALT_KOD]])+AVERAGEIFS(I:I,D:D,DST_123_ÜRETİM_İHTİYAÇ_RAPORU_BURAK_YENI1309[[#This Row],[ALT_KOD]])+AVERAGEIFS(L:L,D:D,DST_123_ÜRETİM_İHTİYAÇ_RAPORU_BURAK_YENI1309[[#This Row],[ALT_KOD]]))</f>
        <v>-5</v>
      </c>
      <c r="L4797">
        <v>20</v>
      </c>
      <c r="M4797">
        <f>IF((DST_123_ÜRETİM_İHTİYAÇ_RAPORU_BURAK_YENI1309[[#This Row],[SATINALMA]]*DST_123_ÜRETİM_İHTİYAÇ_RAPORU_BURAK_YENI1309[[#This Row],[BIRIM_FIYATLAR]])&lt;1,VALUE("0"),DST_123_ÜRETİM_İHTİYAÇ_RAPORU_BURAK_YENI1309[[#This Row],[SATINALMA]]*DST_123_ÜRETİM_İHTİYAÇ_RAPORU_BURAK_YENI1309[[#This Row],[BIRIM_FIYATLAR]])</f>
        <v>0</v>
      </c>
      <c r="N4797">
        <v>65</v>
      </c>
      <c r="O4797" t="s">
        <v>761</v>
      </c>
      <c r="P4797">
        <v>65</v>
      </c>
      <c r="Q4797" t="s">
        <v>178</v>
      </c>
    </row>
    <row r="4798" spans="1:17" x14ac:dyDescent="0.25">
      <c r="A4798" t="s">
        <v>1146</v>
      </c>
      <c r="B4798" t="s">
        <v>1145</v>
      </c>
      <c r="C4798" t="s">
        <v>175</v>
      </c>
      <c r="D4798" t="s">
        <v>157</v>
      </c>
      <c r="E4798" t="s">
        <v>158</v>
      </c>
      <c r="F4798">
        <v>1</v>
      </c>
      <c r="G4798" t="s">
        <v>176</v>
      </c>
      <c r="H4798">
        <v>0</v>
      </c>
      <c r="I4798">
        <v>4</v>
      </c>
      <c r="J4798" s="10">
        <v>22</v>
      </c>
      <c r="K4798" s="10">
        <f>SUMIFS(F:F,D:D,DST_123_ÜRETİM_İHTİYAÇ_RAPORU_BURAK_YENI1309[[#This Row],[ALT_KOD]])-(SUMIFS(H:H,D:D,DST_123_ÜRETİM_İHTİYAÇ_RAPORU_BURAK_YENI1309[[#This Row],[ALT_KOD]])+AVERAGEIFS(I:I,D:D,DST_123_ÜRETİM_İHTİYAÇ_RAPORU_BURAK_YENI1309[[#This Row],[ALT_KOD]])+AVERAGEIFS(L:L,D:D,DST_123_ÜRETİM_İHTİYAÇ_RAPORU_BURAK_YENI1309[[#This Row],[ALT_KOD]]))</f>
        <v>-5</v>
      </c>
      <c r="L4798">
        <v>20</v>
      </c>
      <c r="M4798">
        <f>IF((DST_123_ÜRETİM_İHTİYAÇ_RAPORU_BURAK_YENI1309[[#This Row],[SATINALMA]]*DST_123_ÜRETİM_İHTİYAÇ_RAPORU_BURAK_YENI1309[[#This Row],[BIRIM_FIYATLAR]])&lt;1,VALUE("0"),DST_123_ÜRETİM_İHTİYAÇ_RAPORU_BURAK_YENI1309[[#This Row],[SATINALMA]]*DST_123_ÜRETİM_İHTİYAÇ_RAPORU_BURAK_YENI1309[[#This Row],[BIRIM_FIYATLAR]])</f>
        <v>0</v>
      </c>
      <c r="N4798">
        <v>65</v>
      </c>
      <c r="O4798" t="s">
        <v>761</v>
      </c>
      <c r="P4798">
        <v>65</v>
      </c>
      <c r="Q4798" t="s">
        <v>178</v>
      </c>
    </row>
    <row r="4799" spans="1:17" x14ac:dyDescent="0.25">
      <c r="A4799" t="s">
        <v>1150</v>
      </c>
      <c r="B4799" t="s">
        <v>1145</v>
      </c>
      <c r="C4799" t="s">
        <v>175</v>
      </c>
      <c r="D4799" t="s">
        <v>445</v>
      </c>
      <c r="E4799" t="s">
        <v>629</v>
      </c>
      <c r="F4799">
        <v>4</v>
      </c>
      <c r="G4799" t="s">
        <v>176</v>
      </c>
      <c r="H4799">
        <v>0</v>
      </c>
      <c r="I4799">
        <v>109</v>
      </c>
      <c r="J4799" s="10">
        <v>34</v>
      </c>
      <c r="K4799" s="10">
        <f>SUMIFS(F:F,D:D,DST_123_ÜRETİM_İHTİYAÇ_RAPORU_BURAK_YENI1309[[#This Row],[ALT_KOD]])-(SUMIFS(H:H,D:D,DST_123_ÜRETİM_İHTİYAÇ_RAPORU_BURAK_YENI1309[[#This Row],[ALT_KOD]])+AVERAGEIFS(I:I,D:D,DST_123_ÜRETİM_İHTİYAÇ_RAPORU_BURAK_YENI1309[[#This Row],[ALT_KOD]])+AVERAGEIFS(L:L,D:D,DST_123_ÜRETİM_İHTİYAÇ_RAPORU_BURAK_YENI1309[[#This Row],[ALT_KOD]]))</f>
        <v>-71</v>
      </c>
      <c r="L4799">
        <v>0</v>
      </c>
      <c r="M4799">
        <f>IF((DST_123_ÜRETİM_İHTİYAÇ_RAPORU_BURAK_YENI1309[[#This Row],[SATINALMA]]*DST_123_ÜRETİM_İHTİYAÇ_RAPORU_BURAK_YENI1309[[#This Row],[BIRIM_FIYATLAR]])&lt;1,VALUE("0"),DST_123_ÜRETİM_İHTİYAÇ_RAPORU_BURAK_YENI1309[[#This Row],[SATINALMA]]*DST_123_ÜRETİM_İHTİYAÇ_RAPORU_BURAK_YENI1309[[#This Row],[BIRIM_FIYATLAR]])</f>
        <v>0</v>
      </c>
      <c r="N4799">
        <v>250</v>
      </c>
      <c r="O4799" t="s">
        <v>628</v>
      </c>
      <c r="P4799">
        <v>1000</v>
      </c>
      <c r="Q4799" t="s">
        <v>180</v>
      </c>
    </row>
    <row r="4800" spans="1:17" x14ac:dyDescent="0.25">
      <c r="A4800" t="s">
        <v>1057</v>
      </c>
      <c r="B4800" t="s">
        <v>1058</v>
      </c>
      <c r="C4800" t="s">
        <v>175</v>
      </c>
      <c r="D4800" t="s">
        <v>134</v>
      </c>
      <c r="E4800" t="s">
        <v>135</v>
      </c>
      <c r="F4800">
        <v>6</v>
      </c>
      <c r="G4800" t="s">
        <v>179</v>
      </c>
      <c r="H4800">
        <v>0</v>
      </c>
      <c r="I4800">
        <v>60</v>
      </c>
      <c r="J4800" s="10">
        <v>52</v>
      </c>
      <c r="K4800" s="10">
        <f>SUMIFS(F:F,D:D,DST_123_ÜRETİM_İHTİYAÇ_RAPORU_BURAK_YENI1309[[#This Row],[ALT_KOD]])-(SUMIFS(H:H,D:D,DST_123_ÜRETİM_İHTİYAÇ_RAPORU_BURAK_YENI1309[[#This Row],[ALT_KOD]])+AVERAGEIFS(I:I,D:D,DST_123_ÜRETİM_İHTİYAÇ_RAPORU_BURAK_YENI1309[[#This Row],[ALT_KOD]])+AVERAGEIFS(L:L,D:D,DST_123_ÜRETİM_İHTİYAÇ_RAPORU_BURAK_YENI1309[[#This Row],[ALT_KOD]]))</f>
        <v>14.5</v>
      </c>
      <c r="L4800">
        <v>80</v>
      </c>
      <c r="M4800">
        <f>IF((DST_123_ÜRETİM_İHTİYAÇ_RAPORU_BURAK_YENI1309[[#This Row],[SATINALMA]]*DST_123_ÜRETİM_İHTİYAÇ_RAPORU_BURAK_YENI1309[[#This Row],[BIRIM_FIYATLAR]])&lt;1,VALUE("0"),DST_123_ÜRETİM_İHTİYAÇ_RAPORU_BURAK_YENI1309[[#This Row],[SATINALMA]]*DST_123_ÜRETİM_İHTİYAÇ_RAPORU_BURAK_YENI1309[[#This Row],[BIRIM_FIYATLAR]])</f>
        <v>710.5</v>
      </c>
      <c r="N4800">
        <v>49</v>
      </c>
      <c r="O4800" t="s">
        <v>672</v>
      </c>
      <c r="P4800">
        <v>294</v>
      </c>
      <c r="Q4800" t="s">
        <v>184</v>
      </c>
    </row>
    <row r="4801" spans="1:17" x14ac:dyDescent="0.25">
      <c r="A4801" t="s">
        <v>1100</v>
      </c>
      <c r="B4801" t="s">
        <v>1058</v>
      </c>
      <c r="C4801" t="s">
        <v>175</v>
      </c>
      <c r="D4801" t="s">
        <v>134</v>
      </c>
      <c r="E4801" t="s">
        <v>135</v>
      </c>
      <c r="F4801">
        <v>7</v>
      </c>
      <c r="G4801" t="s">
        <v>179</v>
      </c>
      <c r="H4801">
        <v>0</v>
      </c>
      <c r="I4801">
        <v>60</v>
      </c>
      <c r="J4801" s="10">
        <v>52</v>
      </c>
      <c r="K4801" s="10">
        <f>SUMIFS(F:F,D:D,DST_123_ÜRETİM_İHTİYAÇ_RAPORU_BURAK_YENI1309[[#This Row],[ALT_KOD]])-(SUMIFS(H:H,D:D,DST_123_ÜRETİM_İHTİYAÇ_RAPORU_BURAK_YENI1309[[#This Row],[ALT_KOD]])+AVERAGEIFS(I:I,D:D,DST_123_ÜRETİM_İHTİYAÇ_RAPORU_BURAK_YENI1309[[#This Row],[ALT_KOD]])+AVERAGEIFS(L:L,D:D,DST_123_ÜRETİM_İHTİYAÇ_RAPORU_BURAK_YENI1309[[#This Row],[ALT_KOD]]))</f>
        <v>14.5</v>
      </c>
      <c r="L4801">
        <v>80</v>
      </c>
      <c r="M4801">
        <f>IF((DST_123_ÜRETİM_İHTİYAÇ_RAPORU_BURAK_YENI1309[[#This Row],[SATINALMA]]*DST_123_ÜRETİM_İHTİYAÇ_RAPORU_BURAK_YENI1309[[#This Row],[BIRIM_FIYATLAR]])&lt;1,VALUE("0"),DST_123_ÜRETİM_İHTİYAÇ_RAPORU_BURAK_YENI1309[[#This Row],[SATINALMA]]*DST_123_ÜRETİM_İHTİYAÇ_RAPORU_BURAK_YENI1309[[#This Row],[BIRIM_FIYATLAR]])</f>
        <v>710.5</v>
      </c>
      <c r="N4801">
        <v>49</v>
      </c>
      <c r="O4801" t="s">
        <v>672</v>
      </c>
      <c r="P4801">
        <v>343</v>
      </c>
      <c r="Q4801" t="s">
        <v>184</v>
      </c>
    </row>
    <row r="4802" spans="1:17" x14ac:dyDescent="0.25">
      <c r="A4802" t="s">
        <v>1148</v>
      </c>
      <c r="B4802" t="s">
        <v>1056</v>
      </c>
      <c r="C4802" t="s">
        <v>175</v>
      </c>
      <c r="D4802" t="s">
        <v>134</v>
      </c>
      <c r="E4802" t="s">
        <v>135</v>
      </c>
      <c r="F4802">
        <v>7.5</v>
      </c>
      <c r="G4802" t="s">
        <v>179</v>
      </c>
      <c r="H4802">
        <v>0</v>
      </c>
      <c r="I4802">
        <v>60</v>
      </c>
      <c r="J4802" s="10">
        <v>52</v>
      </c>
      <c r="K4802" s="10">
        <f>SUMIFS(F:F,D:D,DST_123_ÜRETİM_İHTİYAÇ_RAPORU_BURAK_YENI1309[[#This Row],[ALT_KOD]])-(SUMIFS(H:H,D:D,DST_123_ÜRETİM_İHTİYAÇ_RAPORU_BURAK_YENI1309[[#This Row],[ALT_KOD]])+AVERAGEIFS(I:I,D:D,DST_123_ÜRETİM_İHTİYAÇ_RAPORU_BURAK_YENI1309[[#This Row],[ALT_KOD]])+AVERAGEIFS(L:L,D:D,DST_123_ÜRETİM_İHTİYAÇ_RAPORU_BURAK_YENI1309[[#This Row],[ALT_KOD]]))</f>
        <v>14.5</v>
      </c>
      <c r="L4802">
        <v>80</v>
      </c>
      <c r="M4802">
        <f>IF((DST_123_ÜRETİM_İHTİYAÇ_RAPORU_BURAK_YENI1309[[#This Row],[SATINALMA]]*DST_123_ÜRETİM_İHTİYAÇ_RAPORU_BURAK_YENI1309[[#This Row],[BIRIM_FIYATLAR]])&lt;1,VALUE("0"),DST_123_ÜRETİM_İHTİYAÇ_RAPORU_BURAK_YENI1309[[#This Row],[SATINALMA]]*DST_123_ÜRETİM_İHTİYAÇ_RAPORU_BURAK_YENI1309[[#This Row],[BIRIM_FIYATLAR]])</f>
        <v>710.5</v>
      </c>
      <c r="N4802">
        <v>49</v>
      </c>
      <c r="O4802" t="s">
        <v>672</v>
      </c>
      <c r="P4802">
        <v>367.5</v>
      </c>
      <c r="Q4802" t="s">
        <v>184</v>
      </c>
    </row>
    <row r="4803" spans="1:17" x14ac:dyDescent="0.25">
      <c r="A4803" t="s">
        <v>1060</v>
      </c>
      <c r="B4803" t="s">
        <v>1061</v>
      </c>
      <c r="C4803" t="s">
        <v>175</v>
      </c>
      <c r="D4803" t="s">
        <v>241</v>
      </c>
      <c r="E4803" t="s">
        <v>242</v>
      </c>
      <c r="F4803">
        <v>1</v>
      </c>
      <c r="G4803" t="s">
        <v>176</v>
      </c>
      <c r="H4803">
        <v>1</v>
      </c>
      <c r="I4803">
        <v>49</v>
      </c>
      <c r="J4803" s="10">
        <v>1.6000000000000005</v>
      </c>
      <c r="K4803" s="10">
        <f>SUMIFS(F:F,D:D,DST_123_ÜRETİM_İHTİYAÇ_RAPORU_BURAK_YENI1309[[#This Row],[ALT_KOD]])-(SUMIFS(H:H,D:D,DST_123_ÜRETİM_İHTİYAÇ_RAPORU_BURAK_YENI1309[[#This Row],[ALT_KOD]])+AVERAGEIFS(I:I,D:D,DST_123_ÜRETİM_İHTİYAÇ_RAPORU_BURAK_YENI1309[[#This Row],[ALT_KOD]])+AVERAGEIFS(L:L,D:D,DST_123_ÜRETİM_İHTİYAÇ_RAPORU_BURAK_YENI1309[[#This Row],[ALT_KOD]]))</f>
        <v>-37.599999999999994</v>
      </c>
      <c r="L4803">
        <v>0</v>
      </c>
      <c r="M4803">
        <f>IF((DST_123_ÜRETİM_İHTİYAÇ_RAPORU_BURAK_YENI1309[[#This Row],[SATINALMA]]*DST_123_ÜRETİM_İHTİYAÇ_RAPORU_BURAK_YENI1309[[#This Row],[BIRIM_FIYATLAR]])&lt;1,VALUE("0"),DST_123_ÜRETİM_İHTİYAÇ_RAPORU_BURAK_YENI1309[[#This Row],[SATINALMA]]*DST_123_ÜRETİM_İHTİYAÇ_RAPORU_BURAK_YENI1309[[#This Row],[BIRIM_FIYATLAR]])</f>
        <v>0</v>
      </c>
      <c r="N4803">
        <v>60</v>
      </c>
      <c r="O4803" t="s">
        <v>490</v>
      </c>
      <c r="P4803">
        <v>60</v>
      </c>
      <c r="Q4803" t="s">
        <v>180</v>
      </c>
    </row>
    <row r="4804" spans="1:17" x14ac:dyDescent="0.25">
      <c r="A4804" t="s">
        <v>1057</v>
      </c>
      <c r="B4804" t="s">
        <v>1058</v>
      </c>
      <c r="C4804" t="s">
        <v>175</v>
      </c>
      <c r="D4804" t="s">
        <v>157</v>
      </c>
      <c r="E4804" t="s">
        <v>158</v>
      </c>
      <c r="F4804">
        <v>1</v>
      </c>
      <c r="G4804" t="s">
        <v>176</v>
      </c>
      <c r="H4804">
        <v>0</v>
      </c>
      <c r="I4804">
        <v>4</v>
      </c>
      <c r="J4804" s="10">
        <v>22</v>
      </c>
      <c r="K4804" s="10">
        <f>SUMIFS(F:F,D:D,DST_123_ÜRETİM_İHTİYAÇ_RAPORU_BURAK_YENI1309[[#This Row],[ALT_KOD]])-(SUMIFS(H:H,D:D,DST_123_ÜRETİM_İHTİYAÇ_RAPORU_BURAK_YENI1309[[#This Row],[ALT_KOD]])+AVERAGEIFS(I:I,D:D,DST_123_ÜRETİM_İHTİYAÇ_RAPORU_BURAK_YENI1309[[#This Row],[ALT_KOD]])+AVERAGEIFS(L:L,D:D,DST_123_ÜRETİM_İHTİYAÇ_RAPORU_BURAK_YENI1309[[#This Row],[ALT_KOD]]))</f>
        <v>-5</v>
      </c>
      <c r="L4804">
        <v>20</v>
      </c>
      <c r="M4804">
        <f>IF((DST_123_ÜRETİM_İHTİYAÇ_RAPORU_BURAK_YENI1309[[#This Row],[SATINALMA]]*DST_123_ÜRETİM_İHTİYAÇ_RAPORU_BURAK_YENI1309[[#This Row],[BIRIM_FIYATLAR]])&lt;1,VALUE("0"),DST_123_ÜRETİM_İHTİYAÇ_RAPORU_BURAK_YENI1309[[#This Row],[SATINALMA]]*DST_123_ÜRETİM_İHTİYAÇ_RAPORU_BURAK_YENI1309[[#This Row],[BIRIM_FIYATLAR]])</f>
        <v>0</v>
      </c>
      <c r="N4804">
        <v>65</v>
      </c>
      <c r="O4804" t="s">
        <v>761</v>
      </c>
      <c r="P4804">
        <v>65</v>
      </c>
      <c r="Q4804" t="s">
        <v>178</v>
      </c>
    </row>
    <row r="4805" spans="1:17" x14ac:dyDescent="0.25">
      <c r="A4805" t="s">
        <v>1100</v>
      </c>
      <c r="B4805" t="s">
        <v>1058</v>
      </c>
      <c r="C4805" t="s">
        <v>175</v>
      </c>
      <c r="D4805" t="s">
        <v>157</v>
      </c>
      <c r="E4805" t="s">
        <v>158</v>
      </c>
      <c r="F4805">
        <v>1</v>
      </c>
      <c r="G4805" t="s">
        <v>176</v>
      </c>
      <c r="H4805">
        <v>0</v>
      </c>
      <c r="I4805">
        <v>4</v>
      </c>
      <c r="J4805" s="10">
        <v>22</v>
      </c>
      <c r="K4805" s="10">
        <f>SUMIFS(F:F,D:D,DST_123_ÜRETİM_İHTİYAÇ_RAPORU_BURAK_YENI1309[[#This Row],[ALT_KOD]])-(SUMIFS(H:H,D:D,DST_123_ÜRETİM_İHTİYAÇ_RAPORU_BURAK_YENI1309[[#This Row],[ALT_KOD]])+AVERAGEIFS(I:I,D:D,DST_123_ÜRETİM_İHTİYAÇ_RAPORU_BURAK_YENI1309[[#This Row],[ALT_KOD]])+AVERAGEIFS(L:L,D:D,DST_123_ÜRETİM_İHTİYAÇ_RAPORU_BURAK_YENI1309[[#This Row],[ALT_KOD]]))</f>
        <v>-5</v>
      </c>
      <c r="L4805">
        <v>20</v>
      </c>
      <c r="M4805">
        <f>IF((DST_123_ÜRETİM_İHTİYAÇ_RAPORU_BURAK_YENI1309[[#This Row],[SATINALMA]]*DST_123_ÜRETİM_İHTİYAÇ_RAPORU_BURAK_YENI1309[[#This Row],[BIRIM_FIYATLAR]])&lt;1,VALUE("0"),DST_123_ÜRETİM_İHTİYAÇ_RAPORU_BURAK_YENI1309[[#This Row],[SATINALMA]]*DST_123_ÜRETİM_İHTİYAÇ_RAPORU_BURAK_YENI1309[[#This Row],[BIRIM_FIYATLAR]])</f>
        <v>0</v>
      </c>
      <c r="N4805">
        <v>65</v>
      </c>
      <c r="O4805" t="s">
        <v>761</v>
      </c>
      <c r="P4805">
        <v>65</v>
      </c>
      <c r="Q4805" t="s">
        <v>178</v>
      </c>
    </row>
    <row r="4806" spans="1:17" x14ac:dyDescent="0.25">
      <c r="A4806" t="s">
        <v>1060</v>
      </c>
      <c r="B4806" t="s">
        <v>1061</v>
      </c>
      <c r="C4806" t="s">
        <v>175</v>
      </c>
      <c r="D4806" t="s">
        <v>877</v>
      </c>
      <c r="E4806" t="s">
        <v>878</v>
      </c>
      <c r="F4806">
        <v>2</v>
      </c>
      <c r="G4806" t="s">
        <v>176</v>
      </c>
      <c r="H4806">
        <v>2</v>
      </c>
      <c r="I4806">
        <v>4</v>
      </c>
      <c r="J4806" s="10">
        <v>12</v>
      </c>
      <c r="K4806" s="10">
        <f>SUMIFS(F:F,D:D,DST_123_ÜRETİM_İHTİYAÇ_RAPORU_BURAK_YENI1309[[#This Row],[ALT_KOD]])-(SUMIFS(H:H,D:D,DST_123_ÜRETİM_İHTİYAÇ_RAPORU_BURAK_YENI1309[[#This Row],[ALT_KOD]])+AVERAGEIFS(I:I,D:D,DST_123_ÜRETİM_İHTİYAÇ_RAPORU_BURAK_YENI1309[[#This Row],[ALT_KOD]])+AVERAGEIFS(L:L,D:D,DST_123_ÜRETİM_İHTİYAÇ_RAPORU_BURAK_YENI1309[[#This Row],[ALT_KOD]]))</f>
        <v>-4</v>
      </c>
      <c r="L4806">
        <v>0</v>
      </c>
      <c r="M4806">
        <f>IF((DST_123_ÜRETİM_İHTİYAÇ_RAPORU_BURAK_YENI1309[[#This Row],[SATINALMA]]*DST_123_ÜRETİM_İHTİYAÇ_RAPORU_BURAK_YENI1309[[#This Row],[BIRIM_FIYATLAR]])&lt;1,VALUE("0"),DST_123_ÜRETİM_İHTİYAÇ_RAPORU_BURAK_YENI1309[[#This Row],[SATINALMA]]*DST_123_ÜRETİM_İHTİYAÇ_RAPORU_BURAK_YENI1309[[#This Row],[BIRIM_FIYATLAR]])</f>
        <v>0</v>
      </c>
      <c r="N4806">
        <v>1029.1300000000001</v>
      </c>
      <c r="O4806" t="s">
        <v>636</v>
      </c>
      <c r="P4806">
        <v>2058.2600000000002</v>
      </c>
      <c r="Q4806" t="s">
        <v>178</v>
      </c>
    </row>
    <row r="4807" spans="1:17" x14ac:dyDescent="0.25">
      <c r="A4807" t="s">
        <v>1060</v>
      </c>
      <c r="B4807" t="s">
        <v>1061</v>
      </c>
      <c r="C4807" t="s">
        <v>175</v>
      </c>
      <c r="D4807" t="s">
        <v>157</v>
      </c>
      <c r="E4807" t="s">
        <v>158</v>
      </c>
      <c r="F4807">
        <v>1</v>
      </c>
      <c r="G4807" t="s">
        <v>176</v>
      </c>
      <c r="H4807">
        <v>0</v>
      </c>
      <c r="I4807">
        <v>4</v>
      </c>
      <c r="J4807" s="10">
        <v>22</v>
      </c>
      <c r="K4807" s="10">
        <f>SUMIFS(F:F,D:D,DST_123_ÜRETİM_İHTİYAÇ_RAPORU_BURAK_YENI1309[[#This Row],[ALT_KOD]])-(SUMIFS(H:H,D:D,DST_123_ÜRETİM_İHTİYAÇ_RAPORU_BURAK_YENI1309[[#This Row],[ALT_KOD]])+AVERAGEIFS(I:I,D:D,DST_123_ÜRETİM_İHTİYAÇ_RAPORU_BURAK_YENI1309[[#This Row],[ALT_KOD]])+AVERAGEIFS(L:L,D:D,DST_123_ÜRETİM_İHTİYAÇ_RAPORU_BURAK_YENI1309[[#This Row],[ALT_KOD]]))</f>
        <v>-5</v>
      </c>
      <c r="L4807">
        <v>20</v>
      </c>
      <c r="M4807">
        <f>IF((DST_123_ÜRETİM_İHTİYAÇ_RAPORU_BURAK_YENI1309[[#This Row],[SATINALMA]]*DST_123_ÜRETİM_İHTİYAÇ_RAPORU_BURAK_YENI1309[[#This Row],[BIRIM_FIYATLAR]])&lt;1,VALUE("0"),DST_123_ÜRETİM_İHTİYAÇ_RAPORU_BURAK_YENI1309[[#This Row],[SATINALMA]]*DST_123_ÜRETİM_İHTİYAÇ_RAPORU_BURAK_YENI1309[[#This Row],[BIRIM_FIYATLAR]])</f>
        <v>0</v>
      </c>
      <c r="N4807">
        <v>65</v>
      </c>
      <c r="O4807" t="s">
        <v>761</v>
      </c>
      <c r="P4807">
        <v>65</v>
      </c>
      <c r="Q4807" t="s">
        <v>178</v>
      </c>
    </row>
    <row r="4808" spans="1:17" x14ac:dyDescent="0.25">
      <c r="A4808" t="s">
        <v>1147</v>
      </c>
      <c r="B4808" t="s">
        <v>1145</v>
      </c>
      <c r="C4808" t="s">
        <v>175</v>
      </c>
      <c r="D4808" t="s">
        <v>277</v>
      </c>
      <c r="E4808" t="s">
        <v>316</v>
      </c>
      <c r="F4808">
        <v>1</v>
      </c>
      <c r="G4808" t="s">
        <v>176</v>
      </c>
      <c r="H4808">
        <v>0</v>
      </c>
      <c r="I4808">
        <v>27</v>
      </c>
      <c r="J4808" s="10">
        <v>4</v>
      </c>
      <c r="K4808" s="10">
        <f>SUMIFS(F:F,D:D,DST_123_ÜRETİM_İHTİYAÇ_RAPORU_BURAK_YENI1309[[#This Row],[ALT_KOD]])-(SUMIFS(H:H,D:D,DST_123_ÜRETİM_İHTİYAÇ_RAPORU_BURAK_YENI1309[[#This Row],[ALT_KOD]])+AVERAGEIFS(I:I,D:D,DST_123_ÜRETİM_İHTİYAÇ_RAPORU_BURAK_YENI1309[[#This Row],[ALT_KOD]])+AVERAGEIFS(L:L,D:D,DST_123_ÜRETİM_İHTİYAÇ_RAPORU_BURAK_YENI1309[[#This Row],[ALT_KOD]]))</f>
        <v>-20</v>
      </c>
      <c r="L4808">
        <v>0</v>
      </c>
      <c r="M4808">
        <f>IF((DST_123_ÜRETİM_İHTİYAÇ_RAPORU_BURAK_YENI1309[[#This Row],[SATINALMA]]*DST_123_ÜRETİM_İHTİYAÇ_RAPORU_BURAK_YENI1309[[#This Row],[BIRIM_FIYATLAR]])&lt;1,VALUE("0"),DST_123_ÜRETİM_İHTİYAÇ_RAPORU_BURAK_YENI1309[[#This Row],[SATINALMA]]*DST_123_ÜRETİM_İHTİYAÇ_RAPORU_BURAK_YENI1309[[#This Row],[BIRIM_FIYATLAR]])</f>
        <v>0</v>
      </c>
      <c r="N4808">
        <v>287.13</v>
      </c>
      <c r="O4808" t="s">
        <v>636</v>
      </c>
      <c r="P4808">
        <v>287.13</v>
      </c>
      <c r="Q4808" t="s">
        <v>178</v>
      </c>
    </row>
    <row r="4809" spans="1:17" x14ac:dyDescent="0.25">
      <c r="A4809" t="s">
        <v>1147</v>
      </c>
      <c r="B4809" t="s">
        <v>1145</v>
      </c>
      <c r="C4809" t="s">
        <v>175</v>
      </c>
      <c r="D4809" t="s">
        <v>278</v>
      </c>
      <c r="E4809" t="s">
        <v>317</v>
      </c>
      <c r="F4809">
        <v>1</v>
      </c>
      <c r="G4809" t="s">
        <v>176</v>
      </c>
      <c r="H4809">
        <v>0</v>
      </c>
      <c r="I4809">
        <v>27</v>
      </c>
      <c r="J4809" s="10">
        <v>4</v>
      </c>
      <c r="K4809" s="10">
        <f>SUMIFS(F:F,D:D,DST_123_ÜRETİM_İHTİYAÇ_RAPORU_BURAK_YENI1309[[#This Row],[ALT_KOD]])-(SUMIFS(H:H,D:D,DST_123_ÜRETİM_İHTİYAÇ_RAPORU_BURAK_YENI1309[[#This Row],[ALT_KOD]])+AVERAGEIFS(I:I,D:D,DST_123_ÜRETİM_İHTİYAÇ_RAPORU_BURAK_YENI1309[[#This Row],[ALT_KOD]])+AVERAGEIFS(L:L,D:D,DST_123_ÜRETİM_İHTİYAÇ_RAPORU_BURAK_YENI1309[[#This Row],[ALT_KOD]]))</f>
        <v>-20</v>
      </c>
      <c r="L4809">
        <v>0</v>
      </c>
      <c r="M4809">
        <f>IF((DST_123_ÜRETİM_İHTİYAÇ_RAPORU_BURAK_YENI1309[[#This Row],[SATINALMA]]*DST_123_ÜRETİM_İHTİYAÇ_RAPORU_BURAK_YENI1309[[#This Row],[BIRIM_FIYATLAR]])&lt;1,VALUE("0"),DST_123_ÜRETİM_İHTİYAÇ_RAPORU_BURAK_YENI1309[[#This Row],[SATINALMA]]*DST_123_ÜRETİM_İHTİYAÇ_RAPORU_BURAK_YENI1309[[#This Row],[BIRIM_FIYATLAR]])</f>
        <v>0</v>
      </c>
      <c r="N4809">
        <v>287.13</v>
      </c>
      <c r="O4809" t="s">
        <v>636</v>
      </c>
      <c r="P4809">
        <v>287.13</v>
      </c>
      <c r="Q4809" t="s">
        <v>178</v>
      </c>
    </row>
    <row r="4810" spans="1:17" x14ac:dyDescent="0.25">
      <c r="A4810" t="s">
        <v>1148</v>
      </c>
      <c r="B4810" t="s">
        <v>1056</v>
      </c>
      <c r="C4810" t="s">
        <v>175</v>
      </c>
      <c r="D4810" t="s">
        <v>445</v>
      </c>
      <c r="E4810" t="s">
        <v>629</v>
      </c>
      <c r="F4810">
        <v>2</v>
      </c>
      <c r="G4810" t="s">
        <v>176</v>
      </c>
      <c r="H4810">
        <v>0</v>
      </c>
      <c r="I4810">
        <v>109</v>
      </c>
      <c r="J4810" s="10">
        <v>34</v>
      </c>
      <c r="K4810" s="10">
        <f>SUMIFS(F:F,D:D,DST_123_ÜRETİM_İHTİYAÇ_RAPORU_BURAK_YENI1309[[#This Row],[ALT_KOD]])-(SUMIFS(H:H,D:D,DST_123_ÜRETİM_İHTİYAÇ_RAPORU_BURAK_YENI1309[[#This Row],[ALT_KOD]])+AVERAGEIFS(I:I,D:D,DST_123_ÜRETİM_İHTİYAÇ_RAPORU_BURAK_YENI1309[[#This Row],[ALT_KOD]])+AVERAGEIFS(L:L,D:D,DST_123_ÜRETİM_İHTİYAÇ_RAPORU_BURAK_YENI1309[[#This Row],[ALT_KOD]]))</f>
        <v>-71</v>
      </c>
      <c r="L4810">
        <v>0</v>
      </c>
      <c r="M4810">
        <f>IF((DST_123_ÜRETİM_İHTİYAÇ_RAPORU_BURAK_YENI1309[[#This Row],[SATINALMA]]*DST_123_ÜRETİM_İHTİYAÇ_RAPORU_BURAK_YENI1309[[#This Row],[BIRIM_FIYATLAR]])&lt;1,VALUE("0"),DST_123_ÜRETİM_İHTİYAÇ_RAPORU_BURAK_YENI1309[[#This Row],[SATINALMA]]*DST_123_ÜRETİM_İHTİYAÇ_RAPORU_BURAK_YENI1309[[#This Row],[BIRIM_FIYATLAR]])</f>
        <v>0</v>
      </c>
      <c r="N4810">
        <v>250</v>
      </c>
      <c r="O4810" t="s">
        <v>628</v>
      </c>
      <c r="P4810">
        <v>500</v>
      </c>
      <c r="Q4810" t="s">
        <v>180</v>
      </c>
    </row>
    <row r="4811" spans="1:17" x14ac:dyDescent="0.25">
      <c r="A4811" t="s">
        <v>1101</v>
      </c>
      <c r="B4811" t="s">
        <v>1102</v>
      </c>
      <c r="C4811" t="s">
        <v>175</v>
      </c>
      <c r="D4811" t="s">
        <v>637</v>
      </c>
      <c r="E4811" t="s">
        <v>638</v>
      </c>
      <c r="F4811">
        <v>1</v>
      </c>
      <c r="G4811" t="s">
        <v>176</v>
      </c>
      <c r="H4811">
        <v>0</v>
      </c>
      <c r="I4811">
        <v>19</v>
      </c>
      <c r="J4811" s="10">
        <v>17</v>
      </c>
      <c r="K4811" s="10">
        <f>SUMIFS(F:F,D:D,DST_123_ÜRETİM_İHTİYAÇ_RAPORU_BURAK_YENI1309[[#This Row],[ALT_KOD]])-(SUMIFS(H:H,D:D,DST_123_ÜRETİM_İHTİYAÇ_RAPORU_BURAK_YENI1309[[#This Row],[ALT_KOD]])+AVERAGEIFS(I:I,D:D,DST_123_ÜRETİM_İHTİYAÇ_RAPORU_BURAK_YENI1309[[#This Row],[ALT_KOD]])+AVERAGEIFS(L:L,D:D,DST_123_ÜRETİM_İHTİYAÇ_RAPORU_BURAK_YENI1309[[#This Row],[ALT_KOD]]))</f>
        <v>0</v>
      </c>
      <c r="L4811">
        <v>0</v>
      </c>
      <c r="M4811">
        <f>IF((DST_123_ÜRETİM_İHTİYAÇ_RAPORU_BURAK_YENI1309[[#This Row],[SATINALMA]]*DST_123_ÜRETİM_İHTİYAÇ_RAPORU_BURAK_YENI1309[[#This Row],[BIRIM_FIYATLAR]])&lt;1,VALUE("0"),DST_123_ÜRETİM_İHTİYAÇ_RAPORU_BURAK_YENI1309[[#This Row],[SATINALMA]]*DST_123_ÜRETİM_İHTİYAÇ_RAPORU_BURAK_YENI1309[[#This Row],[BIRIM_FIYATLAR]])</f>
        <v>0</v>
      </c>
      <c r="N4811">
        <v>113.64</v>
      </c>
      <c r="O4811" t="s">
        <v>639</v>
      </c>
      <c r="P4811">
        <v>113.64</v>
      </c>
      <c r="Q4811" t="s">
        <v>640</v>
      </c>
    </row>
    <row r="4812" spans="1:17" x14ac:dyDescent="0.25">
      <c r="A4812" t="s">
        <v>1060</v>
      </c>
      <c r="B4812" t="s">
        <v>1061</v>
      </c>
      <c r="C4812" t="s">
        <v>175</v>
      </c>
      <c r="D4812" t="s">
        <v>830</v>
      </c>
      <c r="E4812" t="s">
        <v>831</v>
      </c>
      <c r="F4812">
        <v>4</v>
      </c>
      <c r="G4812" t="s">
        <v>179</v>
      </c>
      <c r="H4812">
        <v>0</v>
      </c>
      <c r="I4812">
        <v>100</v>
      </c>
      <c r="J4812" s="10">
        <v>0</v>
      </c>
      <c r="K4812" s="10">
        <f>SUMIFS(F:F,D:D,DST_123_ÜRETİM_İHTİYAÇ_RAPORU_BURAK_YENI1309[[#This Row],[ALT_KOD]])-(SUMIFS(H:H,D:D,DST_123_ÜRETİM_İHTİYAÇ_RAPORU_BURAK_YENI1309[[#This Row],[ALT_KOD]])+AVERAGEIFS(I:I,D:D,DST_123_ÜRETİM_İHTİYAÇ_RAPORU_BURAK_YENI1309[[#This Row],[ALT_KOD]])+AVERAGEIFS(L:L,D:D,DST_123_ÜRETİM_İHTİYAÇ_RAPORU_BURAK_YENI1309[[#This Row],[ALT_KOD]]))</f>
        <v>-227.63999999999987</v>
      </c>
      <c r="L4812">
        <v>214.64</v>
      </c>
      <c r="M4812">
        <f>IF((DST_123_ÜRETİM_İHTİYAÇ_RAPORU_BURAK_YENI1309[[#This Row],[SATINALMA]]*DST_123_ÜRETİM_İHTİYAÇ_RAPORU_BURAK_YENI1309[[#This Row],[BIRIM_FIYATLAR]])&lt;1,VALUE("0"),DST_123_ÜRETİM_İHTİYAÇ_RAPORU_BURAK_YENI1309[[#This Row],[SATINALMA]]*DST_123_ÜRETİM_İHTİYAÇ_RAPORU_BURAK_YENI1309[[#This Row],[BIRIM_FIYATLAR]])</f>
        <v>0</v>
      </c>
      <c r="N4812">
        <v>50.81</v>
      </c>
      <c r="O4812" t="s">
        <v>832</v>
      </c>
      <c r="P4812">
        <v>203.24</v>
      </c>
      <c r="Q4812" t="s">
        <v>184</v>
      </c>
    </row>
    <row r="4813" spans="1:17" x14ac:dyDescent="0.25">
      <c r="A4813" t="s">
        <v>1101</v>
      </c>
      <c r="B4813" t="s">
        <v>1102</v>
      </c>
      <c r="C4813" t="s">
        <v>175</v>
      </c>
      <c r="D4813" t="s">
        <v>830</v>
      </c>
      <c r="E4813" t="s">
        <v>831</v>
      </c>
      <c r="F4813">
        <v>5</v>
      </c>
      <c r="G4813" t="s">
        <v>179</v>
      </c>
      <c r="H4813">
        <v>0</v>
      </c>
      <c r="I4813">
        <v>100</v>
      </c>
      <c r="J4813" s="10">
        <v>0</v>
      </c>
      <c r="K4813" s="10">
        <f>SUMIFS(F:F,D:D,DST_123_ÜRETİM_İHTİYAÇ_RAPORU_BURAK_YENI1309[[#This Row],[ALT_KOD]])-(SUMIFS(H:H,D:D,DST_123_ÜRETİM_İHTİYAÇ_RAPORU_BURAK_YENI1309[[#This Row],[ALT_KOD]])+AVERAGEIFS(I:I,D:D,DST_123_ÜRETİM_İHTİYAÇ_RAPORU_BURAK_YENI1309[[#This Row],[ALT_KOD]])+AVERAGEIFS(L:L,D:D,DST_123_ÜRETİM_İHTİYAÇ_RAPORU_BURAK_YENI1309[[#This Row],[ALT_KOD]]))</f>
        <v>-227.63999999999987</v>
      </c>
      <c r="L4813">
        <v>214.64</v>
      </c>
      <c r="M4813">
        <f>IF((DST_123_ÜRETİM_İHTİYAÇ_RAPORU_BURAK_YENI1309[[#This Row],[SATINALMA]]*DST_123_ÜRETİM_İHTİYAÇ_RAPORU_BURAK_YENI1309[[#This Row],[BIRIM_FIYATLAR]])&lt;1,VALUE("0"),DST_123_ÜRETİM_İHTİYAÇ_RAPORU_BURAK_YENI1309[[#This Row],[SATINALMA]]*DST_123_ÜRETİM_İHTİYAÇ_RAPORU_BURAK_YENI1309[[#This Row],[BIRIM_FIYATLAR]])</f>
        <v>0</v>
      </c>
      <c r="N4813">
        <v>50.81</v>
      </c>
      <c r="O4813" t="s">
        <v>832</v>
      </c>
      <c r="P4813">
        <v>254.05</v>
      </c>
      <c r="Q4813" t="s">
        <v>184</v>
      </c>
    </row>
    <row r="4814" spans="1:17" x14ac:dyDescent="0.25">
      <c r="A4814" t="s">
        <v>1147</v>
      </c>
      <c r="B4814" t="s">
        <v>1145</v>
      </c>
      <c r="C4814" t="s">
        <v>175</v>
      </c>
      <c r="D4814" t="s">
        <v>844</v>
      </c>
      <c r="E4814" t="s">
        <v>845</v>
      </c>
      <c r="F4814">
        <v>3</v>
      </c>
      <c r="G4814" t="s">
        <v>176</v>
      </c>
      <c r="H4814">
        <v>0</v>
      </c>
      <c r="I4814">
        <v>36</v>
      </c>
      <c r="J4814" s="10">
        <v>26</v>
      </c>
      <c r="K4814" s="10">
        <f>SUMIFS(F:F,D:D,DST_123_ÜRETİM_İHTİYAÇ_RAPORU_BURAK_YENI1309[[#This Row],[ALT_KOD]])-(SUMIFS(H:H,D:D,DST_123_ÜRETİM_İHTİYAÇ_RAPORU_BURAK_YENI1309[[#This Row],[ALT_KOD]])+AVERAGEIFS(I:I,D:D,DST_123_ÜRETİM_İHTİYAÇ_RAPORU_BURAK_YENI1309[[#This Row],[ALT_KOD]])+AVERAGEIFS(L:L,D:D,DST_123_ÜRETİM_İHTİYAÇ_RAPORU_BURAK_YENI1309[[#This Row],[ALT_KOD]]))</f>
        <v>1</v>
      </c>
      <c r="L4814">
        <v>0</v>
      </c>
      <c r="M4814">
        <f>IF((DST_123_ÜRETİM_İHTİYAÇ_RAPORU_BURAK_YENI1309[[#This Row],[SATINALMA]]*DST_123_ÜRETİM_İHTİYAÇ_RAPORU_BURAK_YENI1309[[#This Row],[BIRIM_FIYATLAR]])&lt;1,VALUE("0"),DST_123_ÜRETİM_İHTİYAÇ_RAPORU_BURAK_YENI1309[[#This Row],[SATINALMA]]*DST_123_ÜRETİM_İHTİYAÇ_RAPORU_BURAK_YENI1309[[#This Row],[BIRIM_FIYATLAR]])</f>
        <v>348.7</v>
      </c>
      <c r="N4814">
        <v>348.7</v>
      </c>
      <c r="O4814" t="s">
        <v>636</v>
      </c>
      <c r="P4814">
        <v>1046.0999999999999</v>
      </c>
      <c r="Q4814" t="s">
        <v>177</v>
      </c>
    </row>
    <row r="4815" spans="1:17" x14ac:dyDescent="0.25">
      <c r="A4815" t="s">
        <v>1148</v>
      </c>
      <c r="B4815" t="s">
        <v>1056</v>
      </c>
      <c r="C4815" t="s">
        <v>175</v>
      </c>
      <c r="D4815" t="s">
        <v>844</v>
      </c>
      <c r="E4815" t="s">
        <v>845</v>
      </c>
      <c r="F4815">
        <v>4</v>
      </c>
      <c r="G4815" t="s">
        <v>176</v>
      </c>
      <c r="H4815">
        <v>0</v>
      </c>
      <c r="I4815">
        <v>36</v>
      </c>
      <c r="J4815" s="10">
        <v>26</v>
      </c>
      <c r="K4815" s="10">
        <f>SUMIFS(F:F,D:D,DST_123_ÜRETİM_İHTİYAÇ_RAPORU_BURAK_YENI1309[[#This Row],[ALT_KOD]])-(SUMIFS(H:H,D:D,DST_123_ÜRETİM_İHTİYAÇ_RAPORU_BURAK_YENI1309[[#This Row],[ALT_KOD]])+AVERAGEIFS(I:I,D:D,DST_123_ÜRETİM_İHTİYAÇ_RAPORU_BURAK_YENI1309[[#This Row],[ALT_KOD]])+AVERAGEIFS(L:L,D:D,DST_123_ÜRETİM_İHTİYAÇ_RAPORU_BURAK_YENI1309[[#This Row],[ALT_KOD]]))</f>
        <v>1</v>
      </c>
      <c r="L4815">
        <v>0</v>
      </c>
      <c r="M4815">
        <f>IF((DST_123_ÜRETİM_İHTİYAÇ_RAPORU_BURAK_YENI1309[[#This Row],[SATINALMA]]*DST_123_ÜRETİM_İHTİYAÇ_RAPORU_BURAK_YENI1309[[#This Row],[BIRIM_FIYATLAR]])&lt;1,VALUE("0"),DST_123_ÜRETİM_İHTİYAÇ_RAPORU_BURAK_YENI1309[[#This Row],[SATINALMA]]*DST_123_ÜRETİM_İHTİYAÇ_RAPORU_BURAK_YENI1309[[#This Row],[BIRIM_FIYATLAR]])</f>
        <v>348.7</v>
      </c>
      <c r="N4815">
        <v>348.7</v>
      </c>
      <c r="O4815" t="s">
        <v>636</v>
      </c>
      <c r="P4815">
        <v>1394.8</v>
      </c>
      <c r="Q4815" t="s">
        <v>177</v>
      </c>
    </row>
    <row r="4816" spans="1:17" x14ac:dyDescent="0.25">
      <c r="A4816" t="s">
        <v>1147</v>
      </c>
      <c r="B4816" t="s">
        <v>1145</v>
      </c>
      <c r="C4816" t="s">
        <v>175</v>
      </c>
      <c r="D4816" t="s">
        <v>445</v>
      </c>
      <c r="E4816" t="s">
        <v>629</v>
      </c>
      <c r="F4816">
        <v>4</v>
      </c>
      <c r="G4816" t="s">
        <v>176</v>
      </c>
      <c r="H4816">
        <v>0</v>
      </c>
      <c r="I4816">
        <v>109</v>
      </c>
      <c r="J4816" s="10">
        <v>34</v>
      </c>
      <c r="K4816" s="10">
        <f>SUMIFS(F:F,D:D,DST_123_ÜRETİM_İHTİYAÇ_RAPORU_BURAK_YENI1309[[#This Row],[ALT_KOD]])-(SUMIFS(H:H,D:D,DST_123_ÜRETİM_İHTİYAÇ_RAPORU_BURAK_YENI1309[[#This Row],[ALT_KOD]])+AVERAGEIFS(I:I,D:D,DST_123_ÜRETİM_İHTİYAÇ_RAPORU_BURAK_YENI1309[[#This Row],[ALT_KOD]])+AVERAGEIFS(L:L,D:D,DST_123_ÜRETİM_İHTİYAÇ_RAPORU_BURAK_YENI1309[[#This Row],[ALT_KOD]]))</f>
        <v>-71</v>
      </c>
      <c r="L4816">
        <v>0</v>
      </c>
      <c r="M4816">
        <f>IF((DST_123_ÜRETİM_İHTİYAÇ_RAPORU_BURAK_YENI1309[[#This Row],[SATINALMA]]*DST_123_ÜRETİM_İHTİYAÇ_RAPORU_BURAK_YENI1309[[#This Row],[BIRIM_FIYATLAR]])&lt;1,VALUE("0"),DST_123_ÜRETİM_İHTİYAÇ_RAPORU_BURAK_YENI1309[[#This Row],[SATINALMA]]*DST_123_ÜRETİM_İHTİYAÇ_RAPORU_BURAK_YENI1309[[#This Row],[BIRIM_FIYATLAR]])</f>
        <v>0</v>
      </c>
      <c r="N4816">
        <v>250</v>
      </c>
      <c r="O4816" t="s">
        <v>628</v>
      </c>
      <c r="P4816">
        <v>1000</v>
      </c>
      <c r="Q4816" t="s">
        <v>180</v>
      </c>
    </row>
    <row r="4817" spans="1:17" x14ac:dyDescent="0.25">
      <c r="A4817" t="s">
        <v>1147</v>
      </c>
      <c r="B4817" t="s">
        <v>1145</v>
      </c>
      <c r="C4817" t="s">
        <v>175</v>
      </c>
      <c r="D4817" t="s">
        <v>830</v>
      </c>
      <c r="E4817" t="s">
        <v>831</v>
      </c>
      <c r="F4817">
        <v>4</v>
      </c>
      <c r="G4817" t="s">
        <v>179</v>
      </c>
      <c r="H4817">
        <v>0</v>
      </c>
      <c r="I4817">
        <v>100</v>
      </c>
      <c r="J4817" s="10">
        <v>0</v>
      </c>
      <c r="K4817" s="10">
        <f>SUMIFS(F:F,D:D,DST_123_ÜRETİM_İHTİYAÇ_RAPORU_BURAK_YENI1309[[#This Row],[ALT_KOD]])-(SUMIFS(H:H,D:D,DST_123_ÜRETİM_İHTİYAÇ_RAPORU_BURAK_YENI1309[[#This Row],[ALT_KOD]])+AVERAGEIFS(I:I,D:D,DST_123_ÜRETİM_İHTİYAÇ_RAPORU_BURAK_YENI1309[[#This Row],[ALT_KOD]])+AVERAGEIFS(L:L,D:D,DST_123_ÜRETİM_İHTİYAÇ_RAPORU_BURAK_YENI1309[[#This Row],[ALT_KOD]]))</f>
        <v>-227.63999999999987</v>
      </c>
      <c r="L4817">
        <v>214.64</v>
      </c>
      <c r="M4817">
        <f>IF((DST_123_ÜRETİM_İHTİYAÇ_RAPORU_BURAK_YENI1309[[#This Row],[SATINALMA]]*DST_123_ÜRETİM_İHTİYAÇ_RAPORU_BURAK_YENI1309[[#This Row],[BIRIM_FIYATLAR]])&lt;1,VALUE("0"),DST_123_ÜRETİM_İHTİYAÇ_RAPORU_BURAK_YENI1309[[#This Row],[SATINALMA]]*DST_123_ÜRETİM_İHTİYAÇ_RAPORU_BURAK_YENI1309[[#This Row],[BIRIM_FIYATLAR]])</f>
        <v>0</v>
      </c>
      <c r="N4817">
        <v>50.81</v>
      </c>
      <c r="O4817" t="s">
        <v>832</v>
      </c>
      <c r="P4817">
        <v>203.24</v>
      </c>
      <c r="Q4817" t="s">
        <v>184</v>
      </c>
    </row>
    <row r="4818" spans="1:17" x14ac:dyDescent="0.25">
      <c r="A4818" t="s">
        <v>1147</v>
      </c>
      <c r="B4818" t="s">
        <v>1145</v>
      </c>
      <c r="C4818" t="s">
        <v>175</v>
      </c>
      <c r="D4818" t="s">
        <v>1035</v>
      </c>
      <c r="E4818" t="s">
        <v>1036</v>
      </c>
      <c r="F4818">
        <v>1</v>
      </c>
      <c r="G4818" t="s">
        <v>176</v>
      </c>
      <c r="H4818">
        <v>0</v>
      </c>
      <c r="I4818">
        <v>19</v>
      </c>
      <c r="J4818" s="10">
        <v>4</v>
      </c>
      <c r="K4818" s="10">
        <f>SUMIFS(F:F,D:D,DST_123_ÜRETİM_İHTİYAÇ_RAPORU_BURAK_YENI1309[[#This Row],[ALT_KOD]])-(SUMIFS(H:H,D:D,DST_123_ÜRETİM_İHTİYAÇ_RAPORU_BURAK_YENI1309[[#This Row],[ALT_KOD]])+AVERAGEIFS(I:I,D:D,DST_123_ÜRETİM_İHTİYAÇ_RAPORU_BURAK_YENI1309[[#This Row],[ALT_KOD]])+AVERAGEIFS(L:L,D:D,DST_123_ÜRETİM_İHTİYAÇ_RAPORU_BURAK_YENI1309[[#This Row],[ALT_KOD]]))</f>
        <v>-12</v>
      </c>
      <c r="L4818">
        <v>0</v>
      </c>
      <c r="M4818">
        <f>IF((DST_123_ÜRETİM_İHTİYAÇ_RAPORU_BURAK_YENI1309[[#This Row],[SATINALMA]]*DST_123_ÜRETİM_İHTİYAÇ_RAPORU_BURAK_YENI1309[[#This Row],[BIRIM_FIYATLAR]])&lt;1,VALUE("0"),DST_123_ÜRETİM_İHTİYAÇ_RAPORU_BURAK_YENI1309[[#This Row],[SATINALMA]]*DST_123_ÜRETİM_İHTİYAÇ_RAPORU_BURAK_YENI1309[[#This Row],[BIRIM_FIYATLAR]])</f>
        <v>0</v>
      </c>
      <c r="N4818">
        <v>85</v>
      </c>
      <c r="O4818" t="s">
        <v>821</v>
      </c>
      <c r="P4818">
        <v>85</v>
      </c>
      <c r="Q4818" t="s">
        <v>178</v>
      </c>
    </row>
    <row r="4819" spans="1:17" x14ac:dyDescent="0.25">
      <c r="A4819" t="s">
        <v>1150</v>
      </c>
      <c r="B4819" t="s">
        <v>1145</v>
      </c>
      <c r="C4819" t="s">
        <v>175</v>
      </c>
      <c r="D4819" t="s">
        <v>614</v>
      </c>
      <c r="E4819" t="s">
        <v>615</v>
      </c>
      <c r="F4819">
        <v>1.5</v>
      </c>
      <c r="G4819" t="s">
        <v>185</v>
      </c>
      <c r="H4819">
        <v>0</v>
      </c>
      <c r="I4819">
        <v>39</v>
      </c>
      <c r="J4819" s="10">
        <v>40.000000000000014</v>
      </c>
      <c r="K4819" s="10">
        <f>SUMIFS(F:F,D:D,DST_123_ÜRETİM_İHTİYAÇ_RAPORU_BURAK_YENI1309[[#This Row],[ALT_KOD]])-(SUMIFS(H:H,D:D,DST_123_ÜRETİM_İHTİYAÇ_RAPORU_BURAK_YENI1309[[#This Row],[ALT_KOD]])+AVERAGEIFS(I:I,D:D,DST_123_ÜRETİM_İHTİYAÇ_RAPORU_BURAK_YENI1309[[#This Row],[ALT_KOD]])+AVERAGEIFS(L:L,D:D,DST_123_ÜRETİM_İHTİYAÇ_RAPORU_BURAK_YENI1309[[#This Row],[ALT_KOD]]))</f>
        <v>-18.5</v>
      </c>
      <c r="L4819">
        <v>0</v>
      </c>
      <c r="M4819">
        <f>IF((DST_123_ÜRETİM_İHTİYAÇ_RAPORU_BURAK_YENI1309[[#This Row],[SATINALMA]]*DST_123_ÜRETİM_İHTİYAÇ_RAPORU_BURAK_YENI1309[[#This Row],[BIRIM_FIYATLAR]])&lt;1,VALUE("0"),DST_123_ÜRETİM_İHTİYAÇ_RAPORU_BURAK_YENI1309[[#This Row],[SATINALMA]]*DST_123_ÜRETİM_İHTİYAÇ_RAPORU_BURAK_YENI1309[[#This Row],[BIRIM_FIYATLAR]])</f>
        <v>0</v>
      </c>
      <c r="N4819">
        <v>212.93</v>
      </c>
      <c r="O4819" t="s">
        <v>253</v>
      </c>
      <c r="P4819">
        <v>319.39499999999998</v>
      </c>
      <c r="Q4819" t="s">
        <v>181</v>
      </c>
    </row>
    <row r="4820" spans="1:17" x14ac:dyDescent="0.25">
      <c r="A4820" t="s">
        <v>1149</v>
      </c>
      <c r="B4820" t="s">
        <v>1145</v>
      </c>
      <c r="C4820" t="s">
        <v>175</v>
      </c>
      <c r="D4820" t="s">
        <v>582</v>
      </c>
      <c r="E4820" t="s">
        <v>583</v>
      </c>
      <c r="F4820">
        <v>5.9</v>
      </c>
      <c r="G4820" t="s">
        <v>185</v>
      </c>
      <c r="H4820">
        <v>0</v>
      </c>
      <c r="I4820">
        <v>0</v>
      </c>
      <c r="J4820" s="10">
        <v>297.39999999999998</v>
      </c>
      <c r="K4820" s="10">
        <f>SUMIFS(F:F,D:D,DST_123_ÜRETİM_İHTİYAÇ_RAPORU_BURAK_YENI1309[[#This Row],[ALT_KOD]])-(SUMIFS(H:H,D:D,DST_123_ÜRETİM_İHTİYAÇ_RAPORU_BURAK_YENI1309[[#This Row],[ALT_KOD]])+AVERAGEIFS(I:I,D:D,DST_123_ÜRETİM_İHTİYAÇ_RAPORU_BURAK_YENI1309[[#This Row],[ALT_KOD]])+AVERAGEIFS(L:L,D:D,DST_123_ÜRETİM_İHTİYAÇ_RAPORU_BURAK_YENI1309[[#This Row],[ALT_KOD]]))</f>
        <v>94.40000000000002</v>
      </c>
      <c r="L4820">
        <v>0</v>
      </c>
      <c r="M4820">
        <f>IF((DST_123_ÜRETİM_İHTİYAÇ_RAPORU_BURAK_YENI1309[[#This Row],[SATINALMA]]*DST_123_ÜRETİM_İHTİYAÇ_RAPORU_BURAK_YENI1309[[#This Row],[BIRIM_FIYATLAR]])&lt;1,VALUE("0"),DST_123_ÜRETİM_İHTİYAÇ_RAPORU_BURAK_YENI1309[[#This Row],[SATINALMA]]*DST_123_ÜRETİM_İHTİYAÇ_RAPORU_BURAK_YENI1309[[#This Row],[BIRIM_FIYATLAR]])</f>
        <v>21972.544000000005</v>
      </c>
      <c r="N4820">
        <v>232.76</v>
      </c>
      <c r="O4820" t="s">
        <v>490</v>
      </c>
      <c r="P4820">
        <v>1373.2840000000001</v>
      </c>
      <c r="Q4820" t="s">
        <v>183</v>
      </c>
    </row>
    <row r="4821" spans="1:17" x14ac:dyDescent="0.25">
      <c r="A4821" t="s">
        <v>1150</v>
      </c>
      <c r="B4821" t="s">
        <v>1145</v>
      </c>
      <c r="C4821" t="s">
        <v>175</v>
      </c>
      <c r="D4821" t="s">
        <v>865</v>
      </c>
      <c r="E4821" t="s">
        <v>644</v>
      </c>
      <c r="F4821">
        <v>1</v>
      </c>
      <c r="G4821" t="s">
        <v>176</v>
      </c>
      <c r="H4821">
        <v>0</v>
      </c>
      <c r="I4821">
        <v>3</v>
      </c>
      <c r="J4821" s="10">
        <v>13</v>
      </c>
      <c r="K4821" s="10">
        <f>SUMIFS(F:F,D:D,DST_123_ÜRETİM_İHTİYAÇ_RAPORU_BURAK_YENI1309[[#This Row],[ALT_KOD]])-(SUMIFS(H:H,D:D,DST_123_ÜRETİM_İHTİYAÇ_RAPORU_BURAK_YENI1309[[#This Row],[ALT_KOD]])+AVERAGEIFS(I:I,D:D,DST_123_ÜRETİM_İHTİYAÇ_RAPORU_BURAK_YENI1309[[#This Row],[ALT_KOD]])+AVERAGEIFS(L:L,D:D,DST_123_ÜRETİM_İHTİYAÇ_RAPORU_BURAK_YENI1309[[#This Row],[ALT_KOD]]))</f>
        <v>12</v>
      </c>
      <c r="L4821">
        <v>0</v>
      </c>
      <c r="M4821">
        <f>IF((DST_123_ÜRETİM_İHTİYAÇ_RAPORU_BURAK_YENI1309[[#This Row],[SATINALMA]]*DST_123_ÜRETİM_İHTİYAÇ_RAPORU_BURAK_YENI1309[[#This Row],[BIRIM_FIYATLAR]])&lt;1,VALUE("0"),DST_123_ÜRETİM_İHTİYAÇ_RAPORU_BURAK_YENI1309[[#This Row],[SATINALMA]]*DST_123_ÜRETİM_İHTİYAÇ_RAPORU_BURAK_YENI1309[[#This Row],[BIRIM_FIYATLAR]])</f>
        <v>43576.08</v>
      </c>
      <c r="N4821">
        <v>3631.34</v>
      </c>
      <c r="O4821" t="s">
        <v>647</v>
      </c>
      <c r="P4821">
        <v>3631.34</v>
      </c>
      <c r="Q4821" t="s">
        <v>177</v>
      </c>
    </row>
    <row r="4822" spans="1:17" x14ac:dyDescent="0.25">
      <c r="A4822" t="s">
        <v>1101</v>
      </c>
      <c r="B4822" t="s">
        <v>1102</v>
      </c>
      <c r="C4822" t="s">
        <v>175</v>
      </c>
      <c r="D4822" t="s">
        <v>614</v>
      </c>
      <c r="E4822" t="s">
        <v>615</v>
      </c>
      <c r="F4822">
        <v>0.5</v>
      </c>
      <c r="G4822" t="s">
        <v>185</v>
      </c>
      <c r="H4822">
        <v>0</v>
      </c>
      <c r="I4822">
        <v>39</v>
      </c>
      <c r="J4822" s="10">
        <v>40.000000000000014</v>
      </c>
      <c r="K4822" s="10">
        <f>SUMIFS(F:F,D:D,DST_123_ÜRETİM_İHTİYAÇ_RAPORU_BURAK_YENI1309[[#This Row],[ALT_KOD]])-(SUMIFS(H:H,D:D,DST_123_ÜRETİM_İHTİYAÇ_RAPORU_BURAK_YENI1309[[#This Row],[ALT_KOD]])+AVERAGEIFS(I:I,D:D,DST_123_ÜRETİM_İHTİYAÇ_RAPORU_BURAK_YENI1309[[#This Row],[ALT_KOD]])+AVERAGEIFS(L:L,D:D,DST_123_ÜRETİM_İHTİYAÇ_RAPORU_BURAK_YENI1309[[#This Row],[ALT_KOD]]))</f>
        <v>-18.5</v>
      </c>
      <c r="L4822">
        <v>0</v>
      </c>
      <c r="M4822">
        <f>IF((DST_123_ÜRETİM_İHTİYAÇ_RAPORU_BURAK_YENI1309[[#This Row],[SATINALMA]]*DST_123_ÜRETİM_İHTİYAÇ_RAPORU_BURAK_YENI1309[[#This Row],[BIRIM_FIYATLAR]])&lt;1,VALUE("0"),DST_123_ÜRETİM_İHTİYAÇ_RAPORU_BURAK_YENI1309[[#This Row],[SATINALMA]]*DST_123_ÜRETİM_İHTİYAÇ_RAPORU_BURAK_YENI1309[[#This Row],[BIRIM_FIYATLAR]])</f>
        <v>0</v>
      </c>
      <c r="N4822">
        <v>212.93</v>
      </c>
      <c r="O4822" t="s">
        <v>253</v>
      </c>
      <c r="P4822">
        <v>106.465</v>
      </c>
      <c r="Q4822" t="s">
        <v>181</v>
      </c>
    </row>
    <row r="4823" spans="1:17" x14ac:dyDescent="0.25">
      <c r="A4823" t="s">
        <v>1060</v>
      </c>
      <c r="B4823" t="s">
        <v>1061</v>
      </c>
      <c r="C4823" t="s">
        <v>175</v>
      </c>
      <c r="D4823" t="s">
        <v>803</v>
      </c>
      <c r="E4823" t="s">
        <v>804</v>
      </c>
      <c r="F4823">
        <v>1</v>
      </c>
      <c r="G4823" t="s">
        <v>176</v>
      </c>
      <c r="H4823">
        <v>1</v>
      </c>
      <c r="I4823">
        <v>7</v>
      </c>
      <c r="J4823" s="10">
        <v>2</v>
      </c>
      <c r="K4823" s="10">
        <f>SUMIFS(F:F,D:D,DST_123_ÜRETİM_İHTİYAÇ_RAPORU_BURAK_YENI1309[[#This Row],[ALT_KOD]])-(SUMIFS(H:H,D:D,DST_123_ÜRETİM_İHTİYAÇ_RAPORU_BURAK_YENI1309[[#This Row],[ALT_KOD]])+AVERAGEIFS(I:I,D:D,DST_123_ÜRETİM_İHTİYAÇ_RAPORU_BURAK_YENI1309[[#This Row],[ALT_KOD]])+AVERAGEIFS(L:L,D:D,DST_123_ÜRETİM_İHTİYAÇ_RAPORU_BURAK_YENI1309[[#This Row],[ALT_KOD]]))</f>
        <v>0</v>
      </c>
      <c r="L4823">
        <v>0</v>
      </c>
      <c r="M4823">
        <f>IF((DST_123_ÜRETİM_İHTİYAÇ_RAPORU_BURAK_YENI1309[[#This Row],[SATINALMA]]*DST_123_ÜRETİM_İHTİYAÇ_RAPORU_BURAK_YENI1309[[#This Row],[BIRIM_FIYATLAR]])&lt;1,VALUE("0"),DST_123_ÜRETİM_İHTİYAÇ_RAPORU_BURAK_YENI1309[[#This Row],[SATINALMA]]*DST_123_ÜRETİM_İHTİYAÇ_RAPORU_BURAK_YENI1309[[#This Row],[BIRIM_FIYATLAR]])</f>
        <v>0</v>
      </c>
      <c r="N4823">
        <v>337.5</v>
      </c>
      <c r="O4823" t="s">
        <v>246</v>
      </c>
      <c r="P4823">
        <v>337.5</v>
      </c>
      <c r="Q4823" t="s">
        <v>177</v>
      </c>
    </row>
    <row r="4824" spans="1:17" x14ac:dyDescent="0.25">
      <c r="A4824" t="s">
        <v>1060</v>
      </c>
      <c r="B4824" t="s">
        <v>1061</v>
      </c>
      <c r="C4824" t="s">
        <v>175</v>
      </c>
      <c r="D4824" t="s">
        <v>614</v>
      </c>
      <c r="E4824" t="s">
        <v>615</v>
      </c>
      <c r="F4824">
        <v>1.5</v>
      </c>
      <c r="G4824" t="s">
        <v>185</v>
      </c>
      <c r="H4824">
        <v>0</v>
      </c>
      <c r="I4824">
        <v>39</v>
      </c>
      <c r="J4824" s="10">
        <v>40.000000000000014</v>
      </c>
      <c r="K4824" s="10">
        <f>SUMIFS(F:F,D:D,DST_123_ÜRETİM_İHTİYAÇ_RAPORU_BURAK_YENI1309[[#This Row],[ALT_KOD]])-(SUMIFS(H:H,D:D,DST_123_ÜRETİM_İHTİYAÇ_RAPORU_BURAK_YENI1309[[#This Row],[ALT_KOD]])+AVERAGEIFS(I:I,D:D,DST_123_ÜRETİM_İHTİYAÇ_RAPORU_BURAK_YENI1309[[#This Row],[ALT_KOD]])+AVERAGEIFS(L:L,D:D,DST_123_ÜRETİM_İHTİYAÇ_RAPORU_BURAK_YENI1309[[#This Row],[ALT_KOD]]))</f>
        <v>-18.5</v>
      </c>
      <c r="L4824">
        <v>0</v>
      </c>
      <c r="M4824">
        <f>IF((DST_123_ÜRETİM_İHTİYAÇ_RAPORU_BURAK_YENI1309[[#This Row],[SATINALMA]]*DST_123_ÜRETİM_İHTİYAÇ_RAPORU_BURAK_YENI1309[[#This Row],[BIRIM_FIYATLAR]])&lt;1,VALUE("0"),DST_123_ÜRETİM_İHTİYAÇ_RAPORU_BURAK_YENI1309[[#This Row],[SATINALMA]]*DST_123_ÜRETİM_İHTİYAÇ_RAPORU_BURAK_YENI1309[[#This Row],[BIRIM_FIYATLAR]])</f>
        <v>0</v>
      </c>
      <c r="N4824">
        <v>212.93</v>
      </c>
      <c r="O4824" t="s">
        <v>253</v>
      </c>
      <c r="P4824">
        <v>319.39499999999998</v>
      </c>
      <c r="Q4824" t="s">
        <v>181</v>
      </c>
    </row>
    <row r="4825" spans="1:17" x14ac:dyDescent="0.25">
      <c r="A4825" t="s">
        <v>1147</v>
      </c>
      <c r="B4825" t="s">
        <v>1145</v>
      </c>
      <c r="C4825" t="s">
        <v>175</v>
      </c>
      <c r="D4825" t="s">
        <v>582</v>
      </c>
      <c r="E4825" t="s">
        <v>583</v>
      </c>
      <c r="F4825">
        <v>5.9</v>
      </c>
      <c r="G4825" t="s">
        <v>185</v>
      </c>
      <c r="H4825">
        <v>0</v>
      </c>
      <c r="I4825">
        <v>0</v>
      </c>
      <c r="J4825" s="10">
        <v>297.39999999999998</v>
      </c>
      <c r="K4825" s="10">
        <f>SUMIFS(F:F,D:D,DST_123_ÜRETİM_İHTİYAÇ_RAPORU_BURAK_YENI1309[[#This Row],[ALT_KOD]])-(SUMIFS(H:H,D:D,DST_123_ÜRETİM_İHTİYAÇ_RAPORU_BURAK_YENI1309[[#This Row],[ALT_KOD]])+AVERAGEIFS(I:I,D:D,DST_123_ÜRETİM_İHTİYAÇ_RAPORU_BURAK_YENI1309[[#This Row],[ALT_KOD]])+AVERAGEIFS(L:L,D:D,DST_123_ÜRETİM_İHTİYAÇ_RAPORU_BURAK_YENI1309[[#This Row],[ALT_KOD]]))</f>
        <v>94.40000000000002</v>
      </c>
      <c r="L4825">
        <v>0</v>
      </c>
      <c r="M4825">
        <f>IF((DST_123_ÜRETİM_İHTİYAÇ_RAPORU_BURAK_YENI1309[[#This Row],[SATINALMA]]*DST_123_ÜRETİM_İHTİYAÇ_RAPORU_BURAK_YENI1309[[#This Row],[BIRIM_FIYATLAR]])&lt;1,VALUE("0"),DST_123_ÜRETİM_İHTİYAÇ_RAPORU_BURAK_YENI1309[[#This Row],[SATINALMA]]*DST_123_ÜRETİM_İHTİYAÇ_RAPORU_BURAK_YENI1309[[#This Row],[BIRIM_FIYATLAR]])</f>
        <v>21972.544000000005</v>
      </c>
      <c r="N4825">
        <v>232.76</v>
      </c>
      <c r="O4825" t="s">
        <v>490</v>
      </c>
      <c r="P4825">
        <v>1373.2840000000001</v>
      </c>
      <c r="Q4825" t="s">
        <v>183</v>
      </c>
    </row>
    <row r="4826" spans="1:17" x14ac:dyDescent="0.25">
      <c r="A4826" t="s">
        <v>1196</v>
      </c>
      <c r="B4826" t="s">
        <v>1197</v>
      </c>
      <c r="C4826" t="s">
        <v>175</v>
      </c>
      <c r="D4826" t="s">
        <v>582</v>
      </c>
      <c r="E4826" t="s">
        <v>583</v>
      </c>
      <c r="F4826">
        <v>5.9</v>
      </c>
      <c r="G4826" t="s">
        <v>185</v>
      </c>
      <c r="H4826">
        <v>0</v>
      </c>
      <c r="I4826">
        <v>0</v>
      </c>
      <c r="J4826" s="10">
        <v>297.39999999999998</v>
      </c>
      <c r="K4826" s="10">
        <f>SUMIFS(F:F,D:D,DST_123_ÜRETİM_İHTİYAÇ_RAPORU_BURAK_YENI1309[[#This Row],[ALT_KOD]])-(SUMIFS(H:H,D:D,DST_123_ÜRETİM_İHTİYAÇ_RAPORU_BURAK_YENI1309[[#This Row],[ALT_KOD]])+AVERAGEIFS(I:I,D:D,DST_123_ÜRETİM_İHTİYAÇ_RAPORU_BURAK_YENI1309[[#This Row],[ALT_KOD]])+AVERAGEIFS(L:L,D:D,DST_123_ÜRETİM_İHTİYAÇ_RAPORU_BURAK_YENI1309[[#This Row],[ALT_KOD]]))</f>
        <v>94.40000000000002</v>
      </c>
      <c r="L4826">
        <v>0</v>
      </c>
      <c r="M4826">
        <f>IF((DST_123_ÜRETİM_İHTİYAÇ_RAPORU_BURAK_YENI1309[[#This Row],[SATINALMA]]*DST_123_ÜRETİM_İHTİYAÇ_RAPORU_BURAK_YENI1309[[#This Row],[BIRIM_FIYATLAR]])&lt;1,VALUE("0"),DST_123_ÜRETİM_İHTİYAÇ_RAPORU_BURAK_YENI1309[[#This Row],[SATINALMA]]*DST_123_ÜRETİM_İHTİYAÇ_RAPORU_BURAK_YENI1309[[#This Row],[BIRIM_FIYATLAR]])</f>
        <v>21972.544000000005</v>
      </c>
      <c r="N4826">
        <v>232.76</v>
      </c>
      <c r="O4826" t="s">
        <v>490</v>
      </c>
      <c r="P4826">
        <v>1373.2840000000001</v>
      </c>
      <c r="Q4826" t="s">
        <v>183</v>
      </c>
    </row>
    <row r="4827" spans="1:17" x14ac:dyDescent="0.25">
      <c r="A4827" t="s">
        <v>1099</v>
      </c>
      <c r="B4827" t="s">
        <v>1055</v>
      </c>
      <c r="C4827" t="s">
        <v>175</v>
      </c>
      <c r="D4827" t="s">
        <v>582</v>
      </c>
      <c r="E4827" t="s">
        <v>583</v>
      </c>
      <c r="F4827">
        <v>5.9</v>
      </c>
      <c r="G4827" t="s">
        <v>185</v>
      </c>
      <c r="H4827">
        <v>0</v>
      </c>
      <c r="I4827">
        <v>0</v>
      </c>
      <c r="J4827" s="10">
        <v>297.39999999999998</v>
      </c>
      <c r="K4827" s="10">
        <f>SUMIFS(F:F,D:D,DST_123_ÜRETİM_İHTİYAÇ_RAPORU_BURAK_YENI1309[[#This Row],[ALT_KOD]])-(SUMIFS(H:H,D:D,DST_123_ÜRETİM_İHTİYAÇ_RAPORU_BURAK_YENI1309[[#This Row],[ALT_KOD]])+AVERAGEIFS(I:I,D:D,DST_123_ÜRETİM_İHTİYAÇ_RAPORU_BURAK_YENI1309[[#This Row],[ALT_KOD]])+AVERAGEIFS(L:L,D:D,DST_123_ÜRETİM_İHTİYAÇ_RAPORU_BURAK_YENI1309[[#This Row],[ALT_KOD]]))</f>
        <v>94.40000000000002</v>
      </c>
      <c r="L4827">
        <v>0</v>
      </c>
      <c r="M4827">
        <f>IF((DST_123_ÜRETİM_İHTİYAÇ_RAPORU_BURAK_YENI1309[[#This Row],[SATINALMA]]*DST_123_ÜRETİM_İHTİYAÇ_RAPORU_BURAK_YENI1309[[#This Row],[BIRIM_FIYATLAR]])&lt;1,VALUE("0"),DST_123_ÜRETİM_İHTİYAÇ_RAPORU_BURAK_YENI1309[[#This Row],[SATINALMA]]*DST_123_ÜRETİM_İHTİYAÇ_RAPORU_BURAK_YENI1309[[#This Row],[BIRIM_FIYATLAR]])</f>
        <v>21972.544000000005</v>
      </c>
      <c r="N4827">
        <v>232.76</v>
      </c>
      <c r="O4827" t="s">
        <v>490</v>
      </c>
      <c r="P4827">
        <v>1373.2840000000001</v>
      </c>
      <c r="Q4827" t="s">
        <v>183</v>
      </c>
    </row>
    <row r="4828" spans="1:17" x14ac:dyDescent="0.25">
      <c r="A4828" t="s">
        <v>1099</v>
      </c>
      <c r="B4828" t="s">
        <v>1055</v>
      </c>
      <c r="C4828" t="s">
        <v>175</v>
      </c>
      <c r="D4828" t="s">
        <v>863</v>
      </c>
      <c r="E4828" t="s">
        <v>864</v>
      </c>
      <c r="F4828">
        <v>2</v>
      </c>
      <c r="G4828" t="s">
        <v>176</v>
      </c>
      <c r="H4828">
        <v>2</v>
      </c>
      <c r="I4828">
        <v>2</v>
      </c>
      <c r="J4828" s="10">
        <v>4</v>
      </c>
      <c r="K4828" s="10">
        <f>SUMIFS(F:F,D:D,DST_123_ÜRETİM_İHTİYAÇ_RAPORU_BURAK_YENI1309[[#This Row],[ALT_KOD]])-(SUMIFS(H:H,D:D,DST_123_ÜRETİM_İHTİYAÇ_RAPORU_BURAK_YENI1309[[#This Row],[ALT_KOD]])+AVERAGEIFS(I:I,D:D,DST_123_ÜRETİM_İHTİYAÇ_RAPORU_BURAK_YENI1309[[#This Row],[ALT_KOD]])+AVERAGEIFS(L:L,D:D,DST_123_ÜRETİM_İHTİYAÇ_RAPORU_BURAK_YENI1309[[#This Row],[ALT_KOD]]))</f>
        <v>0</v>
      </c>
      <c r="L4828">
        <v>0</v>
      </c>
      <c r="M4828">
        <f>IF((DST_123_ÜRETİM_İHTİYAÇ_RAPORU_BURAK_YENI1309[[#This Row],[SATINALMA]]*DST_123_ÜRETİM_İHTİYAÇ_RAPORU_BURAK_YENI1309[[#This Row],[BIRIM_FIYATLAR]])&lt;1,VALUE("0"),DST_123_ÜRETİM_İHTİYAÇ_RAPORU_BURAK_YENI1309[[#This Row],[SATINALMA]]*DST_123_ÜRETİM_İHTİYAÇ_RAPORU_BURAK_YENI1309[[#This Row],[BIRIM_FIYATLAR]])</f>
        <v>0</v>
      </c>
      <c r="N4828">
        <v>4864</v>
      </c>
      <c r="O4828" t="s">
        <v>647</v>
      </c>
      <c r="P4828">
        <v>9728</v>
      </c>
      <c r="Q4828" t="s">
        <v>177</v>
      </c>
    </row>
    <row r="4829" spans="1:17" x14ac:dyDescent="0.25">
      <c r="A4829" t="s">
        <v>1149</v>
      </c>
      <c r="B4829" t="s">
        <v>1145</v>
      </c>
      <c r="C4829" t="s">
        <v>175</v>
      </c>
      <c r="D4829" t="s">
        <v>803</v>
      </c>
      <c r="E4829" t="s">
        <v>804</v>
      </c>
      <c r="F4829">
        <v>1</v>
      </c>
      <c r="G4829" t="s">
        <v>176</v>
      </c>
      <c r="H4829">
        <v>0</v>
      </c>
      <c r="I4829">
        <v>7</v>
      </c>
      <c r="J4829" s="10">
        <v>2</v>
      </c>
      <c r="K4829" s="10">
        <f>SUMIFS(F:F,D:D,DST_123_ÜRETİM_İHTİYAÇ_RAPORU_BURAK_YENI1309[[#This Row],[ALT_KOD]])-(SUMIFS(H:H,D:D,DST_123_ÜRETİM_İHTİYAÇ_RAPORU_BURAK_YENI1309[[#This Row],[ALT_KOD]])+AVERAGEIFS(I:I,D:D,DST_123_ÜRETİM_İHTİYAÇ_RAPORU_BURAK_YENI1309[[#This Row],[ALT_KOD]])+AVERAGEIFS(L:L,D:D,DST_123_ÜRETİM_İHTİYAÇ_RAPORU_BURAK_YENI1309[[#This Row],[ALT_KOD]]))</f>
        <v>0</v>
      </c>
      <c r="L4829">
        <v>0</v>
      </c>
      <c r="M4829">
        <f>IF((DST_123_ÜRETİM_İHTİYAÇ_RAPORU_BURAK_YENI1309[[#This Row],[SATINALMA]]*DST_123_ÜRETİM_İHTİYAÇ_RAPORU_BURAK_YENI1309[[#This Row],[BIRIM_FIYATLAR]])&lt;1,VALUE("0"),DST_123_ÜRETİM_İHTİYAÇ_RAPORU_BURAK_YENI1309[[#This Row],[SATINALMA]]*DST_123_ÜRETİM_İHTİYAÇ_RAPORU_BURAK_YENI1309[[#This Row],[BIRIM_FIYATLAR]])</f>
        <v>0</v>
      </c>
      <c r="N4829">
        <v>337.5</v>
      </c>
      <c r="O4829" t="s">
        <v>246</v>
      </c>
      <c r="P4829">
        <v>337.5</v>
      </c>
      <c r="Q4829" t="s">
        <v>177</v>
      </c>
    </row>
    <row r="4830" spans="1:17" x14ac:dyDescent="0.25">
      <c r="A4830" t="s">
        <v>1179</v>
      </c>
      <c r="B4830" t="s">
        <v>1180</v>
      </c>
      <c r="C4830" t="s">
        <v>175</v>
      </c>
      <c r="D4830" t="s">
        <v>1204</v>
      </c>
      <c r="E4830" t="s">
        <v>1205</v>
      </c>
      <c r="F4830">
        <v>2</v>
      </c>
      <c r="G4830" t="s">
        <v>176</v>
      </c>
      <c r="H4830">
        <v>0</v>
      </c>
      <c r="I4830">
        <v>6</v>
      </c>
      <c r="J4830" s="10">
        <v>0</v>
      </c>
      <c r="K4830" s="10">
        <f>SUMIFS(F:F,D:D,DST_123_ÜRETİM_İHTİYAÇ_RAPORU_BURAK_YENI1309[[#This Row],[ALT_KOD]])-(SUMIFS(H:H,D:D,DST_123_ÜRETİM_İHTİYAÇ_RAPORU_BURAK_YENI1309[[#This Row],[ALT_KOD]])+AVERAGEIFS(I:I,D:D,DST_123_ÜRETİM_İHTİYAÇ_RAPORU_BURAK_YENI1309[[#This Row],[ALT_KOD]])+AVERAGEIFS(L:L,D:D,DST_123_ÜRETİM_İHTİYAÇ_RAPORU_BURAK_YENI1309[[#This Row],[ALT_KOD]]))</f>
        <v>-4</v>
      </c>
      <c r="L4830">
        <v>0</v>
      </c>
      <c r="M4830">
        <f>IF((DST_123_ÜRETİM_İHTİYAÇ_RAPORU_BURAK_YENI1309[[#This Row],[SATINALMA]]*DST_123_ÜRETİM_İHTİYAÇ_RAPORU_BURAK_YENI1309[[#This Row],[BIRIM_FIYATLAR]])&lt;1,VALUE("0"),DST_123_ÜRETİM_İHTİYAÇ_RAPORU_BURAK_YENI1309[[#This Row],[SATINALMA]]*DST_123_ÜRETİM_İHTİYAÇ_RAPORU_BURAK_YENI1309[[#This Row],[BIRIM_FIYATLAR]])</f>
        <v>0</v>
      </c>
      <c r="N4830">
        <v>129.16999999999999</v>
      </c>
      <c r="O4830" t="s">
        <v>1206</v>
      </c>
      <c r="P4830">
        <v>258.33999999999997</v>
      </c>
      <c r="Q4830" t="s">
        <v>221</v>
      </c>
    </row>
    <row r="4831" spans="1:17" x14ac:dyDescent="0.25">
      <c r="A4831" t="s">
        <v>1057</v>
      </c>
      <c r="B4831" t="s">
        <v>1058</v>
      </c>
      <c r="C4831" t="s">
        <v>175</v>
      </c>
      <c r="D4831" t="s">
        <v>614</v>
      </c>
      <c r="E4831" t="s">
        <v>615</v>
      </c>
      <c r="F4831">
        <v>1.5</v>
      </c>
      <c r="G4831" t="s">
        <v>185</v>
      </c>
      <c r="H4831">
        <v>0</v>
      </c>
      <c r="I4831">
        <v>39</v>
      </c>
      <c r="J4831" s="10">
        <v>40.000000000000014</v>
      </c>
      <c r="K4831" s="10">
        <f>SUMIFS(F:F,D:D,DST_123_ÜRETİM_İHTİYAÇ_RAPORU_BURAK_YENI1309[[#This Row],[ALT_KOD]])-(SUMIFS(H:H,D:D,DST_123_ÜRETİM_İHTİYAÇ_RAPORU_BURAK_YENI1309[[#This Row],[ALT_KOD]])+AVERAGEIFS(I:I,D:D,DST_123_ÜRETİM_İHTİYAÇ_RAPORU_BURAK_YENI1309[[#This Row],[ALT_KOD]])+AVERAGEIFS(L:L,D:D,DST_123_ÜRETİM_İHTİYAÇ_RAPORU_BURAK_YENI1309[[#This Row],[ALT_KOD]]))</f>
        <v>-18.5</v>
      </c>
      <c r="L4831">
        <v>0</v>
      </c>
      <c r="M4831">
        <f>IF((DST_123_ÜRETİM_İHTİYAÇ_RAPORU_BURAK_YENI1309[[#This Row],[SATINALMA]]*DST_123_ÜRETİM_İHTİYAÇ_RAPORU_BURAK_YENI1309[[#This Row],[BIRIM_FIYATLAR]])&lt;1,VALUE("0"),DST_123_ÜRETİM_İHTİYAÇ_RAPORU_BURAK_YENI1309[[#This Row],[SATINALMA]]*DST_123_ÜRETİM_İHTİYAÇ_RAPORU_BURAK_YENI1309[[#This Row],[BIRIM_FIYATLAR]])</f>
        <v>0</v>
      </c>
      <c r="N4831">
        <v>212.93</v>
      </c>
      <c r="O4831" t="s">
        <v>253</v>
      </c>
      <c r="P4831">
        <v>319.39499999999998</v>
      </c>
      <c r="Q4831" t="s">
        <v>181</v>
      </c>
    </row>
    <row r="4832" spans="1:17" x14ac:dyDescent="0.25">
      <c r="A4832" t="s">
        <v>1147</v>
      </c>
      <c r="B4832" t="s">
        <v>1145</v>
      </c>
      <c r="C4832" t="s">
        <v>175</v>
      </c>
      <c r="D4832" t="s">
        <v>803</v>
      </c>
      <c r="E4832" t="s">
        <v>804</v>
      </c>
      <c r="F4832">
        <v>1</v>
      </c>
      <c r="G4832" t="s">
        <v>176</v>
      </c>
      <c r="H4832">
        <v>0</v>
      </c>
      <c r="I4832">
        <v>7</v>
      </c>
      <c r="J4832" s="10">
        <v>2</v>
      </c>
      <c r="K4832" s="10">
        <f>SUMIFS(F:F,D:D,DST_123_ÜRETİM_İHTİYAÇ_RAPORU_BURAK_YENI1309[[#This Row],[ALT_KOD]])-(SUMIFS(H:H,D:D,DST_123_ÜRETİM_İHTİYAÇ_RAPORU_BURAK_YENI1309[[#This Row],[ALT_KOD]])+AVERAGEIFS(I:I,D:D,DST_123_ÜRETİM_İHTİYAÇ_RAPORU_BURAK_YENI1309[[#This Row],[ALT_KOD]])+AVERAGEIFS(L:L,D:D,DST_123_ÜRETİM_İHTİYAÇ_RAPORU_BURAK_YENI1309[[#This Row],[ALT_KOD]]))</f>
        <v>0</v>
      </c>
      <c r="L4832">
        <v>0</v>
      </c>
      <c r="M4832">
        <f>IF((DST_123_ÜRETİM_İHTİYAÇ_RAPORU_BURAK_YENI1309[[#This Row],[SATINALMA]]*DST_123_ÜRETİM_İHTİYAÇ_RAPORU_BURAK_YENI1309[[#This Row],[BIRIM_FIYATLAR]])&lt;1,VALUE("0"),DST_123_ÜRETİM_İHTİYAÇ_RAPORU_BURAK_YENI1309[[#This Row],[SATINALMA]]*DST_123_ÜRETİM_İHTİYAÇ_RAPORU_BURAK_YENI1309[[#This Row],[BIRIM_FIYATLAR]])</f>
        <v>0</v>
      </c>
      <c r="N4832">
        <v>337.5</v>
      </c>
      <c r="O4832" t="s">
        <v>246</v>
      </c>
      <c r="P4832">
        <v>337.5</v>
      </c>
      <c r="Q4832" t="s">
        <v>177</v>
      </c>
    </row>
    <row r="4833" spans="1:17" x14ac:dyDescent="0.25">
      <c r="A4833" t="s">
        <v>1147</v>
      </c>
      <c r="B4833" t="s">
        <v>1145</v>
      </c>
      <c r="C4833" t="s">
        <v>175</v>
      </c>
      <c r="D4833" t="s">
        <v>781</v>
      </c>
      <c r="E4833" t="s">
        <v>782</v>
      </c>
      <c r="F4833">
        <v>1</v>
      </c>
      <c r="G4833" t="s">
        <v>176</v>
      </c>
      <c r="H4833">
        <v>0</v>
      </c>
      <c r="I4833">
        <v>14</v>
      </c>
      <c r="J4833" s="10">
        <v>9</v>
      </c>
      <c r="K4833" s="10">
        <f>SUMIFS(F:F,D:D,DST_123_ÜRETİM_İHTİYAÇ_RAPORU_BURAK_YENI1309[[#This Row],[ALT_KOD]])-(SUMIFS(H:H,D:D,DST_123_ÜRETİM_İHTİYAÇ_RAPORU_BURAK_YENI1309[[#This Row],[ALT_KOD]])+AVERAGEIFS(I:I,D:D,DST_123_ÜRETİM_İHTİYAÇ_RAPORU_BURAK_YENI1309[[#This Row],[ALT_KOD]])+AVERAGEIFS(L:L,D:D,DST_123_ÜRETİM_İHTİYAÇ_RAPORU_BURAK_YENI1309[[#This Row],[ALT_KOD]]))</f>
        <v>-3</v>
      </c>
      <c r="L4833">
        <v>0</v>
      </c>
      <c r="M4833">
        <f>IF((DST_123_ÜRETİM_İHTİYAÇ_RAPORU_BURAK_YENI1309[[#This Row],[SATINALMA]]*DST_123_ÜRETİM_İHTİYAÇ_RAPORU_BURAK_YENI1309[[#This Row],[BIRIM_FIYATLAR]])&lt;1,VALUE("0"),DST_123_ÜRETİM_İHTİYAÇ_RAPORU_BURAK_YENI1309[[#This Row],[SATINALMA]]*DST_123_ÜRETİM_İHTİYAÇ_RAPORU_BURAK_YENI1309[[#This Row],[BIRIM_FIYATLAR]])</f>
        <v>0</v>
      </c>
      <c r="N4833">
        <v>1020</v>
      </c>
      <c r="O4833" t="s">
        <v>289</v>
      </c>
      <c r="P4833">
        <v>1020</v>
      </c>
      <c r="Q4833" t="s">
        <v>178</v>
      </c>
    </row>
    <row r="4834" spans="1:17" x14ac:dyDescent="0.25">
      <c r="A4834" t="s">
        <v>1147</v>
      </c>
      <c r="B4834" t="s">
        <v>1145</v>
      </c>
      <c r="C4834" t="s">
        <v>175</v>
      </c>
      <c r="D4834" t="s">
        <v>778</v>
      </c>
      <c r="E4834" t="s">
        <v>132</v>
      </c>
      <c r="F4834">
        <v>14</v>
      </c>
      <c r="G4834" t="s">
        <v>176</v>
      </c>
      <c r="H4834">
        <v>0</v>
      </c>
      <c r="I4834">
        <v>564</v>
      </c>
      <c r="J4834" s="10">
        <v>98</v>
      </c>
      <c r="K4834" s="10">
        <f>SUMIFS(F:F,D:D,DST_123_ÜRETİM_İHTİYAÇ_RAPORU_BURAK_YENI1309[[#This Row],[ALT_KOD]])-(SUMIFS(H:H,D:D,DST_123_ÜRETİM_İHTİYAÇ_RAPORU_BURAK_YENI1309[[#This Row],[ALT_KOD]])+AVERAGEIFS(I:I,D:D,DST_123_ÜRETİM_İHTİYAÇ_RAPORU_BURAK_YENI1309[[#This Row],[ALT_KOD]])+AVERAGEIFS(L:L,D:D,DST_123_ÜRETİM_İHTİYAÇ_RAPORU_BURAK_YENI1309[[#This Row],[ALT_KOD]]))</f>
        <v>-250</v>
      </c>
      <c r="L4834">
        <v>0</v>
      </c>
      <c r="M4834">
        <f>IF((DST_123_ÜRETİM_İHTİYAÇ_RAPORU_BURAK_YENI1309[[#This Row],[SATINALMA]]*DST_123_ÜRETİM_İHTİYAÇ_RAPORU_BURAK_YENI1309[[#This Row],[BIRIM_FIYATLAR]])&lt;1,VALUE("0"),DST_123_ÜRETİM_İHTİYAÇ_RAPORU_BURAK_YENI1309[[#This Row],[SATINALMA]]*DST_123_ÜRETİM_İHTİYAÇ_RAPORU_BURAK_YENI1309[[#This Row],[BIRIM_FIYATLAR]])</f>
        <v>0</v>
      </c>
      <c r="N4834">
        <v>6.67</v>
      </c>
      <c r="O4834" t="s">
        <v>1194</v>
      </c>
      <c r="P4834">
        <v>93.38</v>
      </c>
      <c r="Q4834" t="s">
        <v>221</v>
      </c>
    </row>
    <row r="4835" spans="1:17" x14ac:dyDescent="0.25">
      <c r="A4835" t="s">
        <v>1100</v>
      </c>
      <c r="B4835" t="s">
        <v>1058</v>
      </c>
      <c r="C4835" t="s">
        <v>175</v>
      </c>
      <c r="D4835" t="s">
        <v>778</v>
      </c>
      <c r="E4835" t="s">
        <v>132</v>
      </c>
      <c r="F4835">
        <v>22</v>
      </c>
      <c r="G4835" t="s">
        <v>176</v>
      </c>
      <c r="H4835">
        <v>0</v>
      </c>
      <c r="I4835">
        <v>564</v>
      </c>
      <c r="J4835" s="10">
        <v>98</v>
      </c>
      <c r="K4835" s="10">
        <f>SUMIFS(F:F,D:D,DST_123_ÜRETİM_İHTİYAÇ_RAPORU_BURAK_YENI1309[[#This Row],[ALT_KOD]])-(SUMIFS(H:H,D:D,DST_123_ÜRETİM_İHTİYAÇ_RAPORU_BURAK_YENI1309[[#This Row],[ALT_KOD]])+AVERAGEIFS(I:I,D:D,DST_123_ÜRETİM_İHTİYAÇ_RAPORU_BURAK_YENI1309[[#This Row],[ALT_KOD]])+AVERAGEIFS(L:L,D:D,DST_123_ÜRETİM_İHTİYAÇ_RAPORU_BURAK_YENI1309[[#This Row],[ALT_KOD]]))</f>
        <v>-250</v>
      </c>
      <c r="L4835">
        <v>0</v>
      </c>
      <c r="M4835">
        <f>IF((DST_123_ÜRETİM_İHTİYAÇ_RAPORU_BURAK_YENI1309[[#This Row],[SATINALMA]]*DST_123_ÜRETİM_İHTİYAÇ_RAPORU_BURAK_YENI1309[[#This Row],[BIRIM_FIYATLAR]])&lt;1,VALUE("0"),DST_123_ÜRETİM_İHTİYAÇ_RAPORU_BURAK_YENI1309[[#This Row],[SATINALMA]]*DST_123_ÜRETİM_İHTİYAÇ_RAPORU_BURAK_YENI1309[[#This Row],[BIRIM_FIYATLAR]])</f>
        <v>0</v>
      </c>
      <c r="N4835">
        <v>6.67</v>
      </c>
      <c r="O4835" t="s">
        <v>1194</v>
      </c>
      <c r="P4835">
        <v>146.74</v>
      </c>
      <c r="Q4835" t="s">
        <v>221</v>
      </c>
    </row>
    <row r="4836" spans="1:17" x14ac:dyDescent="0.25">
      <c r="A4836" t="s">
        <v>1144</v>
      </c>
      <c r="B4836" t="s">
        <v>1145</v>
      </c>
      <c r="C4836" t="s">
        <v>175</v>
      </c>
      <c r="D4836" t="s">
        <v>988</v>
      </c>
      <c r="E4836" t="s">
        <v>989</v>
      </c>
      <c r="F4836">
        <v>1</v>
      </c>
      <c r="G4836" t="s">
        <v>176</v>
      </c>
      <c r="H4836">
        <v>0</v>
      </c>
      <c r="I4836">
        <v>2</v>
      </c>
      <c r="J4836" s="10">
        <v>1</v>
      </c>
      <c r="K4836" s="10">
        <f>SUMIFS(F:F,D:D,DST_123_ÜRETİM_İHTİYAÇ_RAPORU_BURAK_YENI1309[[#This Row],[ALT_KOD]])-(SUMIFS(H:H,D:D,DST_123_ÜRETİM_İHTİYAÇ_RAPORU_BURAK_YENI1309[[#This Row],[ALT_KOD]])+AVERAGEIFS(I:I,D:D,DST_123_ÜRETİM_İHTİYAÇ_RAPORU_BURAK_YENI1309[[#This Row],[ALT_KOD]])+AVERAGEIFS(L:L,D:D,DST_123_ÜRETİM_İHTİYAÇ_RAPORU_BURAK_YENI1309[[#This Row],[ALT_KOD]]))</f>
        <v>-1</v>
      </c>
      <c r="L4836">
        <v>2</v>
      </c>
      <c r="M4836">
        <f>IF((DST_123_ÜRETİM_İHTİYAÇ_RAPORU_BURAK_YENI1309[[#This Row],[SATINALMA]]*DST_123_ÜRETİM_İHTİYAÇ_RAPORU_BURAK_YENI1309[[#This Row],[BIRIM_FIYATLAR]])&lt;1,VALUE("0"),DST_123_ÜRETİM_İHTİYAÇ_RAPORU_BURAK_YENI1309[[#This Row],[SATINALMA]]*DST_123_ÜRETİM_İHTİYAÇ_RAPORU_BURAK_YENI1309[[#This Row],[BIRIM_FIYATLAR]])</f>
        <v>0</v>
      </c>
      <c r="N4836">
        <v>41000</v>
      </c>
      <c r="O4836" t="s">
        <v>785</v>
      </c>
      <c r="P4836">
        <v>41000</v>
      </c>
      <c r="Q4836" t="s">
        <v>222</v>
      </c>
    </row>
    <row r="4837" spans="1:17" x14ac:dyDescent="0.25">
      <c r="A4837" t="s">
        <v>1144</v>
      </c>
      <c r="B4837" t="s">
        <v>1145</v>
      </c>
      <c r="C4837" t="s">
        <v>175</v>
      </c>
      <c r="D4837" t="s">
        <v>732</v>
      </c>
      <c r="E4837" t="s">
        <v>733</v>
      </c>
      <c r="F4837">
        <v>16</v>
      </c>
      <c r="G4837" t="s">
        <v>185</v>
      </c>
      <c r="H4837">
        <v>0</v>
      </c>
      <c r="I4837">
        <v>0</v>
      </c>
      <c r="J4837" s="10">
        <v>62.999999999999986</v>
      </c>
      <c r="K4837" s="10">
        <f>SUMIFS(F:F,D:D,DST_123_ÜRETİM_İHTİYAÇ_RAPORU_BURAK_YENI1309[[#This Row],[ALT_KOD]])-(SUMIFS(H:H,D:D,DST_123_ÜRETİM_İHTİYAÇ_RAPORU_BURAK_YENI1309[[#This Row],[ALT_KOD]])+AVERAGEIFS(I:I,D:D,DST_123_ÜRETİM_İHTİYAÇ_RAPORU_BURAK_YENI1309[[#This Row],[ALT_KOD]])+AVERAGEIFS(L:L,D:D,DST_123_ÜRETİM_İHTİYAÇ_RAPORU_BURAK_YENI1309[[#This Row],[ALT_KOD]]))</f>
        <v>196</v>
      </c>
      <c r="L4837">
        <v>0</v>
      </c>
      <c r="M4837">
        <f>IF((DST_123_ÜRETİM_İHTİYAÇ_RAPORU_BURAK_YENI1309[[#This Row],[SATINALMA]]*DST_123_ÜRETİM_İHTİYAÇ_RAPORU_BURAK_YENI1309[[#This Row],[BIRIM_FIYATLAR]])&lt;1,VALUE("0"),DST_123_ÜRETİM_İHTİYAÇ_RAPORU_BURAK_YENI1309[[#This Row],[SATINALMA]]*DST_123_ÜRETİM_İHTİYAÇ_RAPORU_BURAK_YENI1309[[#This Row],[BIRIM_FIYATLAR]])</f>
        <v>215186.44000000003</v>
      </c>
      <c r="N4837">
        <v>1097.8900000000001</v>
      </c>
      <c r="O4837" t="s">
        <v>648</v>
      </c>
      <c r="P4837">
        <v>17566.240000000002</v>
      </c>
      <c r="Q4837" t="s">
        <v>183</v>
      </c>
    </row>
    <row r="4838" spans="1:17" x14ac:dyDescent="0.25">
      <c r="A4838" t="s">
        <v>1142</v>
      </c>
      <c r="B4838" t="s">
        <v>1056</v>
      </c>
      <c r="C4838" t="s">
        <v>175</v>
      </c>
      <c r="D4838" t="s">
        <v>778</v>
      </c>
      <c r="E4838" t="s">
        <v>132</v>
      </c>
      <c r="F4838">
        <v>14</v>
      </c>
      <c r="G4838" t="s">
        <v>176</v>
      </c>
      <c r="H4838">
        <v>0</v>
      </c>
      <c r="I4838">
        <v>564</v>
      </c>
      <c r="J4838" s="10">
        <v>98</v>
      </c>
      <c r="K4838" s="10">
        <f>SUMIFS(F:F,D:D,DST_123_ÜRETİM_İHTİYAÇ_RAPORU_BURAK_YENI1309[[#This Row],[ALT_KOD]])-(SUMIFS(H:H,D:D,DST_123_ÜRETİM_İHTİYAÇ_RAPORU_BURAK_YENI1309[[#This Row],[ALT_KOD]])+AVERAGEIFS(I:I,D:D,DST_123_ÜRETİM_İHTİYAÇ_RAPORU_BURAK_YENI1309[[#This Row],[ALT_KOD]])+AVERAGEIFS(L:L,D:D,DST_123_ÜRETİM_İHTİYAÇ_RAPORU_BURAK_YENI1309[[#This Row],[ALT_KOD]]))</f>
        <v>-250</v>
      </c>
      <c r="L4838">
        <v>0</v>
      </c>
      <c r="M4838">
        <f>IF((DST_123_ÜRETİM_İHTİYAÇ_RAPORU_BURAK_YENI1309[[#This Row],[SATINALMA]]*DST_123_ÜRETİM_İHTİYAÇ_RAPORU_BURAK_YENI1309[[#This Row],[BIRIM_FIYATLAR]])&lt;1,VALUE("0"),DST_123_ÜRETİM_İHTİYAÇ_RAPORU_BURAK_YENI1309[[#This Row],[SATINALMA]]*DST_123_ÜRETİM_İHTİYAÇ_RAPORU_BURAK_YENI1309[[#This Row],[BIRIM_FIYATLAR]])</f>
        <v>0</v>
      </c>
      <c r="N4838">
        <v>6.67</v>
      </c>
      <c r="O4838" t="s">
        <v>1194</v>
      </c>
      <c r="P4838">
        <v>93.38</v>
      </c>
      <c r="Q4838" t="s">
        <v>221</v>
      </c>
    </row>
    <row r="4839" spans="1:17" x14ac:dyDescent="0.25">
      <c r="A4839" t="s">
        <v>1150</v>
      </c>
      <c r="B4839" t="s">
        <v>1145</v>
      </c>
      <c r="C4839" t="s">
        <v>175</v>
      </c>
      <c r="D4839" t="s">
        <v>607</v>
      </c>
      <c r="E4839" t="s">
        <v>608</v>
      </c>
      <c r="F4839">
        <v>2</v>
      </c>
      <c r="G4839" t="s">
        <v>176</v>
      </c>
      <c r="H4839">
        <v>0</v>
      </c>
      <c r="I4839">
        <v>0</v>
      </c>
      <c r="J4839" s="10">
        <v>10</v>
      </c>
      <c r="K4839" s="10">
        <f>SUMIFS(F:F,D:D,DST_123_ÜRETİM_İHTİYAÇ_RAPORU_BURAK_YENI1309[[#This Row],[ALT_KOD]])-(SUMIFS(H:H,D:D,DST_123_ÜRETİM_İHTİYAÇ_RAPORU_BURAK_YENI1309[[#This Row],[ALT_KOD]])+AVERAGEIFS(I:I,D:D,DST_123_ÜRETİM_İHTİYAÇ_RAPORU_BURAK_YENI1309[[#This Row],[ALT_KOD]])+AVERAGEIFS(L:L,D:D,DST_123_ÜRETİM_İHTİYAÇ_RAPORU_BURAK_YENI1309[[#This Row],[ALT_KOD]]))</f>
        <v>24</v>
      </c>
      <c r="L4839">
        <v>0</v>
      </c>
      <c r="M4839">
        <f>IF((DST_123_ÜRETİM_İHTİYAÇ_RAPORU_BURAK_YENI1309[[#This Row],[SATINALMA]]*DST_123_ÜRETİM_İHTİYAÇ_RAPORU_BURAK_YENI1309[[#This Row],[BIRIM_FIYATLAR]])&lt;1,VALUE("0"),DST_123_ÜRETİM_İHTİYAÇ_RAPORU_BURAK_YENI1309[[#This Row],[SATINALMA]]*DST_123_ÜRETİM_İHTİYAÇ_RAPORU_BURAK_YENI1309[[#This Row],[BIRIM_FIYATLAR]])</f>
        <v>1358.4</v>
      </c>
      <c r="N4839">
        <v>56.6</v>
      </c>
      <c r="O4839" t="s">
        <v>636</v>
      </c>
      <c r="P4839">
        <v>113.2</v>
      </c>
      <c r="Q4839" t="s">
        <v>177</v>
      </c>
    </row>
    <row r="4840" spans="1:17" x14ac:dyDescent="0.25">
      <c r="A4840" t="s">
        <v>1150</v>
      </c>
      <c r="B4840" t="s">
        <v>1145</v>
      </c>
      <c r="C4840" t="s">
        <v>175</v>
      </c>
      <c r="D4840" t="s">
        <v>480</v>
      </c>
      <c r="E4840" t="s">
        <v>481</v>
      </c>
      <c r="F4840">
        <v>16</v>
      </c>
      <c r="G4840" t="s">
        <v>176</v>
      </c>
      <c r="H4840">
        <v>0</v>
      </c>
      <c r="I4840">
        <v>442</v>
      </c>
      <c r="J4840" s="10">
        <v>0</v>
      </c>
      <c r="K4840" s="10">
        <f>SUMIFS(F:F,D:D,DST_123_ÜRETİM_İHTİYAÇ_RAPORU_BURAK_YENI1309[[#This Row],[ALT_KOD]])-(SUMIFS(H:H,D:D,DST_123_ÜRETİM_İHTİYAÇ_RAPORU_BURAK_YENI1309[[#This Row],[ALT_KOD]])+AVERAGEIFS(I:I,D:D,DST_123_ÜRETİM_İHTİYAÇ_RAPORU_BURAK_YENI1309[[#This Row],[ALT_KOD]])+AVERAGEIFS(L:L,D:D,DST_123_ÜRETİM_İHTİYAÇ_RAPORU_BURAK_YENI1309[[#This Row],[ALT_KOD]]))</f>
        <v>-64</v>
      </c>
      <c r="L4840">
        <v>0</v>
      </c>
      <c r="M4840">
        <f>IF((DST_123_ÜRETİM_İHTİYAÇ_RAPORU_BURAK_YENI1309[[#This Row],[SATINALMA]]*DST_123_ÜRETİM_İHTİYAÇ_RAPORU_BURAK_YENI1309[[#This Row],[BIRIM_FIYATLAR]])&lt;1,VALUE("0"),DST_123_ÜRETİM_İHTİYAÇ_RAPORU_BURAK_YENI1309[[#This Row],[SATINALMA]]*DST_123_ÜRETİM_İHTİYAÇ_RAPORU_BURAK_YENI1309[[#This Row],[BIRIM_FIYATLAR]])</f>
        <v>0</v>
      </c>
      <c r="N4840">
        <v>9.35</v>
      </c>
      <c r="O4840" t="s">
        <v>882</v>
      </c>
      <c r="P4840">
        <v>149.6</v>
      </c>
      <c r="Q4840" t="s">
        <v>180</v>
      </c>
    </row>
    <row r="4841" spans="1:17" x14ac:dyDescent="0.25">
      <c r="A4841" t="s">
        <v>1150</v>
      </c>
      <c r="B4841" t="s">
        <v>1145</v>
      </c>
      <c r="C4841" t="s">
        <v>175</v>
      </c>
      <c r="D4841" t="s">
        <v>448</v>
      </c>
      <c r="E4841" t="s">
        <v>449</v>
      </c>
      <c r="F4841">
        <v>2</v>
      </c>
      <c r="G4841" t="s">
        <v>176</v>
      </c>
      <c r="H4841">
        <v>0</v>
      </c>
      <c r="I4841">
        <v>27</v>
      </c>
      <c r="J4841" s="10">
        <v>16</v>
      </c>
      <c r="K4841" s="10">
        <f>SUMIFS(F:F,D:D,DST_123_ÜRETİM_İHTİYAÇ_RAPORU_BURAK_YENI1309[[#This Row],[ALT_KOD]])-(SUMIFS(H:H,D:D,DST_123_ÜRETİM_İHTİYAÇ_RAPORU_BURAK_YENI1309[[#This Row],[ALT_KOD]])+AVERAGEIFS(I:I,D:D,DST_123_ÜRETİM_İHTİYAÇ_RAPORU_BURAK_YENI1309[[#This Row],[ALT_KOD]])+AVERAGEIFS(L:L,D:D,DST_123_ÜRETİM_İHTİYAÇ_RAPORU_BURAK_YENI1309[[#This Row],[ALT_KOD]]))</f>
        <v>-3</v>
      </c>
      <c r="L4841">
        <v>0</v>
      </c>
      <c r="M4841">
        <f>IF((DST_123_ÜRETİM_İHTİYAÇ_RAPORU_BURAK_YENI1309[[#This Row],[SATINALMA]]*DST_123_ÜRETİM_İHTİYAÇ_RAPORU_BURAK_YENI1309[[#This Row],[BIRIM_FIYATLAR]])&lt;1,VALUE("0"),DST_123_ÜRETİM_İHTİYAÇ_RAPORU_BURAK_YENI1309[[#This Row],[SATINALMA]]*DST_123_ÜRETİM_İHTİYAÇ_RAPORU_BURAK_YENI1309[[#This Row],[BIRIM_FIYATLAR]])</f>
        <v>0</v>
      </c>
      <c r="N4841">
        <v>66.23</v>
      </c>
      <c r="O4841" t="s">
        <v>227</v>
      </c>
      <c r="P4841">
        <v>132.46</v>
      </c>
      <c r="Q4841" t="s">
        <v>221</v>
      </c>
    </row>
    <row r="4842" spans="1:17" x14ac:dyDescent="0.25">
      <c r="A4842" t="s">
        <v>1060</v>
      </c>
      <c r="B4842" t="s">
        <v>1061</v>
      </c>
      <c r="C4842" t="s">
        <v>175</v>
      </c>
      <c r="D4842" t="s">
        <v>778</v>
      </c>
      <c r="E4842" t="s">
        <v>132</v>
      </c>
      <c r="F4842">
        <v>20</v>
      </c>
      <c r="G4842" t="s">
        <v>176</v>
      </c>
      <c r="H4842">
        <v>0</v>
      </c>
      <c r="I4842">
        <v>564</v>
      </c>
      <c r="J4842" s="10">
        <v>98</v>
      </c>
      <c r="K4842" s="10">
        <f>SUMIFS(F:F,D:D,DST_123_ÜRETİM_İHTİYAÇ_RAPORU_BURAK_YENI1309[[#This Row],[ALT_KOD]])-(SUMIFS(H:H,D:D,DST_123_ÜRETİM_İHTİYAÇ_RAPORU_BURAK_YENI1309[[#This Row],[ALT_KOD]])+AVERAGEIFS(I:I,D:D,DST_123_ÜRETİM_İHTİYAÇ_RAPORU_BURAK_YENI1309[[#This Row],[ALT_KOD]])+AVERAGEIFS(L:L,D:D,DST_123_ÜRETİM_İHTİYAÇ_RAPORU_BURAK_YENI1309[[#This Row],[ALT_KOD]]))</f>
        <v>-250</v>
      </c>
      <c r="L4842">
        <v>0</v>
      </c>
      <c r="M4842">
        <f>IF((DST_123_ÜRETİM_İHTİYAÇ_RAPORU_BURAK_YENI1309[[#This Row],[SATINALMA]]*DST_123_ÜRETİM_İHTİYAÇ_RAPORU_BURAK_YENI1309[[#This Row],[BIRIM_FIYATLAR]])&lt;1,VALUE("0"),DST_123_ÜRETİM_İHTİYAÇ_RAPORU_BURAK_YENI1309[[#This Row],[SATINALMA]]*DST_123_ÜRETİM_İHTİYAÇ_RAPORU_BURAK_YENI1309[[#This Row],[BIRIM_FIYATLAR]])</f>
        <v>0</v>
      </c>
      <c r="N4842">
        <v>6.67</v>
      </c>
      <c r="O4842" t="s">
        <v>1194</v>
      </c>
      <c r="P4842">
        <v>133.4</v>
      </c>
      <c r="Q4842" t="s">
        <v>221</v>
      </c>
    </row>
    <row r="4843" spans="1:17" x14ac:dyDescent="0.25">
      <c r="A4843" t="s">
        <v>1150</v>
      </c>
      <c r="B4843" t="s">
        <v>1145</v>
      </c>
      <c r="C4843" t="s">
        <v>175</v>
      </c>
      <c r="D4843" t="s">
        <v>988</v>
      </c>
      <c r="E4843" t="s">
        <v>989</v>
      </c>
      <c r="F4843">
        <v>1</v>
      </c>
      <c r="G4843" t="s">
        <v>176</v>
      </c>
      <c r="H4843">
        <v>0</v>
      </c>
      <c r="I4843">
        <v>2</v>
      </c>
      <c r="J4843" s="10">
        <v>1</v>
      </c>
      <c r="K4843" s="10">
        <f>SUMIFS(F:F,D:D,DST_123_ÜRETİM_İHTİYAÇ_RAPORU_BURAK_YENI1309[[#This Row],[ALT_KOD]])-(SUMIFS(H:H,D:D,DST_123_ÜRETİM_İHTİYAÇ_RAPORU_BURAK_YENI1309[[#This Row],[ALT_KOD]])+AVERAGEIFS(I:I,D:D,DST_123_ÜRETİM_İHTİYAÇ_RAPORU_BURAK_YENI1309[[#This Row],[ALT_KOD]])+AVERAGEIFS(L:L,D:D,DST_123_ÜRETİM_İHTİYAÇ_RAPORU_BURAK_YENI1309[[#This Row],[ALT_KOD]]))</f>
        <v>-1</v>
      </c>
      <c r="L4843">
        <v>2</v>
      </c>
      <c r="M4843">
        <f>IF((DST_123_ÜRETİM_İHTİYAÇ_RAPORU_BURAK_YENI1309[[#This Row],[SATINALMA]]*DST_123_ÜRETİM_İHTİYAÇ_RAPORU_BURAK_YENI1309[[#This Row],[BIRIM_FIYATLAR]])&lt;1,VALUE("0"),DST_123_ÜRETİM_İHTİYAÇ_RAPORU_BURAK_YENI1309[[#This Row],[SATINALMA]]*DST_123_ÜRETİM_İHTİYAÇ_RAPORU_BURAK_YENI1309[[#This Row],[BIRIM_FIYATLAR]])</f>
        <v>0</v>
      </c>
      <c r="N4843">
        <v>41000</v>
      </c>
      <c r="O4843" t="s">
        <v>785</v>
      </c>
      <c r="P4843">
        <v>41000</v>
      </c>
      <c r="Q4843" t="s">
        <v>222</v>
      </c>
    </row>
    <row r="4844" spans="1:17" x14ac:dyDescent="0.25">
      <c r="A4844" t="s">
        <v>1149</v>
      </c>
      <c r="B4844" t="s">
        <v>1145</v>
      </c>
      <c r="C4844" t="s">
        <v>175</v>
      </c>
      <c r="D4844" t="s">
        <v>603</v>
      </c>
      <c r="E4844" t="s">
        <v>604</v>
      </c>
      <c r="F4844">
        <v>2</v>
      </c>
      <c r="G4844" t="s">
        <v>176</v>
      </c>
      <c r="H4844">
        <v>0</v>
      </c>
      <c r="I4844">
        <v>5</v>
      </c>
      <c r="J4844" s="10">
        <v>10</v>
      </c>
      <c r="K4844" s="10">
        <f>SUMIFS(F:F,D:D,DST_123_ÜRETİM_İHTİYAÇ_RAPORU_BURAK_YENI1309[[#This Row],[ALT_KOD]])-(SUMIFS(H:H,D:D,DST_123_ÜRETİM_İHTİYAÇ_RAPORU_BURAK_YENI1309[[#This Row],[ALT_KOD]])+AVERAGEIFS(I:I,D:D,DST_123_ÜRETİM_İHTİYAÇ_RAPORU_BURAK_YENI1309[[#This Row],[ALT_KOD]])+AVERAGEIFS(L:L,D:D,DST_123_ÜRETİM_İHTİYAÇ_RAPORU_BURAK_YENI1309[[#This Row],[ALT_KOD]]))</f>
        <v>11</v>
      </c>
      <c r="L4844">
        <v>0</v>
      </c>
      <c r="M4844">
        <f>IF((DST_123_ÜRETİM_İHTİYAÇ_RAPORU_BURAK_YENI1309[[#This Row],[SATINALMA]]*DST_123_ÜRETİM_İHTİYAÇ_RAPORU_BURAK_YENI1309[[#This Row],[BIRIM_FIYATLAR]])&lt;1,VALUE("0"),DST_123_ÜRETİM_İHTİYAÇ_RAPORU_BURAK_YENI1309[[#This Row],[SATINALMA]]*DST_123_ÜRETİM_İHTİYAÇ_RAPORU_BURAK_YENI1309[[#This Row],[BIRIM_FIYATLAR]])</f>
        <v>832.04</v>
      </c>
      <c r="N4844">
        <v>75.64</v>
      </c>
      <c r="O4844" t="s">
        <v>636</v>
      </c>
      <c r="P4844">
        <v>151.28</v>
      </c>
      <c r="Q4844" t="s">
        <v>177</v>
      </c>
    </row>
    <row r="4845" spans="1:17" x14ac:dyDescent="0.25">
      <c r="A4845" t="s">
        <v>1196</v>
      </c>
      <c r="B4845" t="s">
        <v>1197</v>
      </c>
      <c r="C4845" t="s">
        <v>175</v>
      </c>
      <c r="D4845" t="s">
        <v>970</v>
      </c>
      <c r="E4845" t="s">
        <v>971</v>
      </c>
      <c r="F4845">
        <v>0.36</v>
      </c>
      <c r="G4845" t="s">
        <v>182</v>
      </c>
      <c r="H4845">
        <v>0</v>
      </c>
      <c r="I4845">
        <v>0</v>
      </c>
      <c r="J4845" s="10">
        <v>30.76</v>
      </c>
      <c r="K4845" s="10">
        <f>SUMIFS(F:F,D:D,DST_123_ÜRETİM_İHTİYAÇ_RAPORU_BURAK_YENI1309[[#This Row],[ALT_KOD]])-(SUMIFS(H:H,D:D,DST_123_ÜRETİM_İHTİYAÇ_RAPORU_BURAK_YENI1309[[#This Row],[ALT_KOD]])+AVERAGEIFS(I:I,D:D,DST_123_ÜRETİM_İHTİYAÇ_RAPORU_BURAK_YENI1309[[#This Row],[ALT_KOD]])+AVERAGEIFS(L:L,D:D,DST_123_ÜRETİM_İHTİYAÇ_RAPORU_BURAK_YENI1309[[#This Row],[ALT_KOD]]))</f>
        <v>4.4400000000000004</v>
      </c>
      <c r="L4845">
        <v>0</v>
      </c>
      <c r="M4845">
        <f>IF((DST_123_ÜRETİM_İHTİYAÇ_RAPORU_BURAK_YENI1309[[#This Row],[SATINALMA]]*DST_123_ÜRETİM_İHTİYAÇ_RAPORU_BURAK_YENI1309[[#This Row],[BIRIM_FIYATLAR]])&lt;1,VALUE("0"),DST_123_ÜRETİM_İHTİYAÇ_RAPORU_BURAK_YENI1309[[#This Row],[SATINALMA]]*DST_123_ÜRETİM_İHTİYAÇ_RAPORU_BURAK_YENI1309[[#This Row],[BIRIM_FIYATLAR]])</f>
        <v>7762.0524000000005</v>
      </c>
      <c r="N4845">
        <v>1748.21</v>
      </c>
      <c r="O4845" t="s">
        <v>223</v>
      </c>
      <c r="P4845">
        <v>629.35559999999998</v>
      </c>
      <c r="Q4845" t="s">
        <v>181</v>
      </c>
    </row>
    <row r="4846" spans="1:17" x14ac:dyDescent="0.25">
      <c r="A4846" t="s">
        <v>1098</v>
      </c>
      <c r="B4846" t="s">
        <v>1096</v>
      </c>
      <c r="C4846" t="s">
        <v>175</v>
      </c>
      <c r="D4846" t="s">
        <v>1051</v>
      </c>
      <c r="E4846" t="s">
        <v>1052</v>
      </c>
      <c r="F4846">
        <v>1</v>
      </c>
      <c r="G4846" t="s">
        <v>176</v>
      </c>
      <c r="H4846">
        <v>0</v>
      </c>
      <c r="I4846">
        <v>2</v>
      </c>
      <c r="J4846" s="10">
        <v>7</v>
      </c>
      <c r="K4846" s="10">
        <f>SUMIFS(F:F,D:D,DST_123_ÜRETİM_İHTİYAÇ_RAPORU_BURAK_YENI1309[[#This Row],[ALT_KOD]])-(SUMIFS(H:H,D:D,DST_123_ÜRETİM_İHTİYAÇ_RAPORU_BURAK_YENI1309[[#This Row],[ALT_KOD]])+AVERAGEIFS(I:I,D:D,DST_123_ÜRETİM_İHTİYAÇ_RAPORU_BURAK_YENI1309[[#This Row],[ALT_KOD]])+AVERAGEIFS(L:L,D:D,DST_123_ÜRETİM_İHTİYAÇ_RAPORU_BURAK_YENI1309[[#This Row],[ALT_KOD]]))</f>
        <v>10</v>
      </c>
      <c r="L4846">
        <v>0</v>
      </c>
      <c r="M4846">
        <f>IF((DST_123_ÜRETİM_İHTİYAÇ_RAPORU_BURAK_YENI1309[[#This Row],[SATINALMA]]*DST_123_ÜRETİM_İHTİYAÇ_RAPORU_BURAK_YENI1309[[#This Row],[BIRIM_FIYATLAR]])&lt;1,VALUE("0"),DST_123_ÜRETİM_İHTİYAÇ_RAPORU_BURAK_YENI1309[[#This Row],[SATINALMA]]*DST_123_ÜRETİM_İHTİYAÇ_RAPORU_BURAK_YENI1309[[#This Row],[BIRIM_FIYATLAR]])</f>
        <v>121389.3</v>
      </c>
      <c r="N4846">
        <v>12138.93</v>
      </c>
      <c r="O4846" t="s">
        <v>634</v>
      </c>
      <c r="P4846">
        <v>12138.93</v>
      </c>
      <c r="Q4846" t="s">
        <v>177</v>
      </c>
    </row>
    <row r="4847" spans="1:17" x14ac:dyDescent="0.25">
      <c r="A4847" t="s">
        <v>1149</v>
      </c>
      <c r="B4847" t="s">
        <v>1145</v>
      </c>
      <c r="C4847" t="s">
        <v>175</v>
      </c>
      <c r="D4847" t="s">
        <v>480</v>
      </c>
      <c r="E4847" t="s">
        <v>481</v>
      </c>
      <c r="F4847">
        <v>16</v>
      </c>
      <c r="G4847" t="s">
        <v>176</v>
      </c>
      <c r="H4847">
        <v>0</v>
      </c>
      <c r="I4847">
        <v>442</v>
      </c>
      <c r="J4847" s="10">
        <v>0</v>
      </c>
      <c r="K4847" s="10">
        <f>SUMIFS(F:F,D:D,DST_123_ÜRETİM_İHTİYAÇ_RAPORU_BURAK_YENI1309[[#This Row],[ALT_KOD]])-(SUMIFS(H:H,D:D,DST_123_ÜRETİM_İHTİYAÇ_RAPORU_BURAK_YENI1309[[#This Row],[ALT_KOD]])+AVERAGEIFS(I:I,D:D,DST_123_ÜRETİM_İHTİYAÇ_RAPORU_BURAK_YENI1309[[#This Row],[ALT_KOD]])+AVERAGEIFS(L:L,D:D,DST_123_ÜRETİM_İHTİYAÇ_RAPORU_BURAK_YENI1309[[#This Row],[ALT_KOD]]))</f>
        <v>-64</v>
      </c>
      <c r="L4847">
        <v>0</v>
      </c>
      <c r="M4847">
        <f>IF((DST_123_ÜRETİM_İHTİYAÇ_RAPORU_BURAK_YENI1309[[#This Row],[SATINALMA]]*DST_123_ÜRETİM_İHTİYAÇ_RAPORU_BURAK_YENI1309[[#This Row],[BIRIM_FIYATLAR]])&lt;1,VALUE("0"),DST_123_ÜRETİM_İHTİYAÇ_RAPORU_BURAK_YENI1309[[#This Row],[SATINALMA]]*DST_123_ÜRETİM_İHTİYAÇ_RAPORU_BURAK_YENI1309[[#This Row],[BIRIM_FIYATLAR]])</f>
        <v>0</v>
      </c>
      <c r="N4847">
        <v>9.35</v>
      </c>
      <c r="O4847" t="s">
        <v>882</v>
      </c>
      <c r="P4847">
        <v>149.6</v>
      </c>
      <c r="Q4847" t="s">
        <v>180</v>
      </c>
    </row>
    <row r="4848" spans="1:17" x14ac:dyDescent="0.25">
      <c r="A4848" t="s">
        <v>1150</v>
      </c>
      <c r="B4848" t="s">
        <v>1145</v>
      </c>
      <c r="C4848" t="s">
        <v>175</v>
      </c>
      <c r="D4848" t="s">
        <v>970</v>
      </c>
      <c r="E4848" t="s">
        <v>971</v>
      </c>
      <c r="F4848">
        <v>0.36</v>
      </c>
      <c r="G4848" t="s">
        <v>182</v>
      </c>
      <c r="H4848">
        <v>0</v>
      </c>
      <c r="I4848">
        <v>0</v>
      </c>
      <c r="J4848" s="10">
        <v>30.76</v>
      </c>
      <c r="K4848" s="10">
        <f>SUMIFS(F:F,D:D,DST_123_ÜRETİM_İHTİYAÇ_RAPORU_BURAK_YENI1309[[#This Row],[ALT_KOD]])-(SUMIFS(H:H,D:D,DST_123_ÜRETİM_İHTİYAÇ_RAPORU_BURAK_YENI1309[[#This Row],[ALT_KOD]])+AVERAGEIFS(I:I,D:D,DST_123_ÜRETİM_İHTİYAÇ_RAPORU_BURAK_YENI1309[[#This Row],[ALT_KOD]])+AVERAGEIFS(L:L,D:D,DST_123_ÜRETİM_İHTİYAÇ_RAPORU_BURAK_YENI1309[[#This Row],[ALT_KOD]]))</f>
        <v>4.4400000000000004</v>
      </c>
      <c r="L4848">
        <v>0</v>
      </c>
      <c r="M4848">
        <f>IF((DST_123_ÜRETİM_İHTİYAÇ_RAPORU_BURAK_YENI1309[[#This Row],[SATINALMA]]*DST_123_ÜRETİM_İHTİYAÇ_RAPORU_BURAK_YENI1309[[#This Row],[BIRIM_FIYATLAR]])&lt;1,VALUE("0"),DST_123_ÜRETİM_İHTİYAÇ_RAPORU_BURAK_YENI1309[[#This Row],[SATINALMA]]*DST_123_ÜRETİM_İHTİYAÇ_RAPORU_BURAK_YENI1309[[#This Row],[BIRIM_FIYATLAR]])</f>
        <v>7762.0524000000005</v>
      </c>
      <c r="N4848">
        <v>1748.21</v>
      </c>
      <c r="O4848" t="s">
        <v>223</v>
      </c>
      <c r="P4848">
        <v>629.35559999999998</v>
      </c>
      <c r="Q4848" t="s">
        <v>181</v>
      </c>
    </row>
    <row r="4849" spans="1:17" x14ac:dyDescent="0.25">
      <c r="A4849" t="s">
        <v>1150</v>
      </c>
      <c r="B4849" t="s">
        <v>1145</v>
      </c>
      <c r="C4849" t="s">
        <v>175</v>
      </c>
      <c r="D4849" t="s">
        <v>1155</v>
      </c>
      <c r="E4849" t="s">
        <v>1156</v>
      </c>
      <c r="F4849">
        <v>2</v>
      </c>
      <c r="G4849" t="s">
        <v>176</v>
      </c>
      <c r="H4849">
        <v>0</v>
      </c>
      <c r="I4849">
        <v>0</v>
      </c>
      <c r="J4849" s="10">
        <v>0</v>
      </c>
      <c r="K4849" s="10">
        <f>SUMIFS(F:F,D:D,DST_123_ÜRETİM_İHTİYAÇ_RAPORU_BURAK_YENI1309[[#This Row],[ALT_KOD]])-(SUMIFS(H:H,D:D,DST_123_ÜRETİM_İHTİYAÇ_RAPORU_BURAK_YENI1309[[#This Row],[ALT_KOD]])+AVERAGEIFS(I:I,D:D,DST_123_ÜRETİM_İHTİYAÇ_RAPORU_BURAK_YENI1309[[#This Row],[ALT_KOD]])+AVERAGEIFS(L:L,D:D,DST_123_ÜRETİM_İHTİYAÇ_RAPORU_BURAK_YENI1309[[#This Row],[ALT_KOD]]))</f>
        <v>24</v>
      </c>
      <c r="L4849">
        <v>0</v>
      </c>
      <c r="M4849">
        <f>IF((DST_123_ÜRETİM_İHTİYAÇ_RAPORU_BURAK_YENI1309[[#This Row],[SATINALMA]]*DST_123_ÜRETİM_İHTİYAÇ_RAPORU_BURAK_YENI1309[[#This Row],[BIRIM_FIYATLAR]])&lt;1,VALUE("0"),DST_123_ÜRETİM_İHTİYAÇ_RAPORU_BURAK_YENI1309[[#This Row],[SATINALMA]]*DST_123_ÜRETİM_İHTİYAÇ_RAPORU_BURAK_YENI1309[[#This Row],[BIRIM_FIYATLAR]])</f>
        <v>21.12</v>
      </c>
      <c r="N4849">
        <v>0.88</v>
      </c>
      <c r="O4849" t="s">
        <v>635</v>
      </c>
      <c r="P4849">
        <v>1.76</v>
      </c>
      <c r="Q4849" t="s">
        <v>221</v>
      </c>
    </row>
    <row r="4850" spans="1:17" x14ac:dyDescent="0.25">
      <c r="A4850" t="s">
        <v>1150</v>
      </c>
      <c r="B4850" t="s">
        <v>1145</v>
      </c>
      <c r="C4850" t="s">
        <v>175</v>
      </c>
      <c r="D4850" t="s">
        <v>1051</v>
      </c>
      <c r="E4850" t="s">
        <v>1052</v>
      </c>
      <c r="F4850">
        <v>1</v>
      </c>
      <c r="G4850" t="s">
        <v>176</v>
      </c>
      <c r="H4850">
        <v>0</v>
      </c>
      <c r="I4850">
        <v>2</v>
      </c>
      <c r="J4850" s="10">
        <v>7</v>
      </c>
      <c r="K4850" s="10">
        <f>SUMIFS(F:F,D:D,DST_123_ÜRETİM_İHTİYAÇ_RAPORU_BURAK_YENI1309[[#This Row],[ALT_KOD]])-(SUMIFS(H:H,D:D,DST_123_ÜRETİM_İHTİYAÇ_RAPORU_BURAK_YENI1309[[#This Row],[ALT_KOD]])+AVERAGEIFS(I:I,D:D,DST_123_ÜRETİM_İHTİYAÇ_RAPORU_BURAK_YENI1309[[#This Row],[ALT_KOD]])+AVERAGEIFS(L:L,D:D,DST_123_ÜRETİM_İHTİYAÇ_RAPORU_BURAK_YENI1309[[#This Row],[ALT_KOD]]))</f>
        <v>10</v>
      </c>
      <c r="L4850">
        <v>0</v>
      </c>
      <c r="M4850">
        <f>IF((DST_123_ÜRETİM_İHTİYAÇ_RAPORU_BURAK_YENI1309[[#This Row],[SATINALMA]]*DST_123_ÜRETİM_İHTİYAÇ_RAPORU_BURAK_YENI1309[[#This Row],[BIRIM_FIYATLAR]])&lt;1,VALUE("0"),DST_123_ÜRETİM_İHTİYAÇ_RAPORU_BURAK_YENI1309[[#This Row],[SATINALMA]]*DST_123_ÜRETİM_İHTİYAÇ_RAPORU_BURAK_YENI1309[[#This Row],[BIRIM_FIYATLAR]])</f>
        <v>121389.3</v>
      </c>
      <c r="N4850">
        <v>12138.93</v>
      </c>
      <c r="O4850" t="s">
        <v>634</v>
      </c>
      <c r="P4850">
        <v>12138.93</v>
      </c>
      <c r="Q4850" t="s">
        <v>177</v>
      </c>
    </row>
    <row r="4851" spans="1:17" x14ac:dyDescent="0.25">
      <c r="A4851" t="s">
        <v>1101</v>
      </c>
      <c r="B4851" t="s">
        <v>1102</v>
      </c>
      <c r="C4851" t="s">
        <v>175</v>
      </c>
      <c r="D4851" t="s">
        <v>1218</v>
      </c>
      <c r="E4851" t="s">
        <v>1219</v>
      </c>
      <c r="F4851">
        <v>1</v>
      </c>
      <c r="G4851" t="s">
        <v>176</v>
      </c>
      <c r="H4851">
        <v>0</v>
      </c>
      <c r="I4851">
        <v>0</v>
      </c>
      <c r="J4851" s="10">
        <v>1</v>
      </c>
      <c r="K4851" s="10">
        <f>SUMIFS(F:F,D:D,DST_123_ÜRETİM_İHTİYAÇ_RAPORU_BURAK_YENI1309[[#This Row],[ALT_KOD]])-(SUMIFS(H:H,D:D,DST_123_ÜRETİM_İHTİYAÇ_RAPORU_BURAK_YENI1309[[#This Row],[ALT_KOD]])+AVERAGEIFS(I:I,D:D,DST_123_ÜRETİM_İHTİYAÇ_RAPORU_BURAK_YENI1309[[#This Row],[ALT_KOD]])+AVERAGEIFS(L:L,D:D,DST_123_ÜRETİM_İHTİYAÇ_RAPORU_BURAK_YENI1309[[#This Row],[ALT_KOD]]))</f>
        <v>0</v>
      </c>
      <c r="L4851">
        <v>1</v>
      </c>
      <c r="M4851">
        <f>IF((DST_123_ÜRETİM_İHTİYAÇ_RAPORU_BURAK_YENI1309[[#This Row],[SATINALMA]]*DST_123_ÜRETİM_İHTİYAÇ_RAPORU_BURAK_YENI1309[[#This Row],[BIRIM_FIYATLAR]])&lt;1,VALUE("0"),DST_123_ÜRETİM_İHTİYAÇ_RAPORU_BURAK_YENI1309[[#This Row],[SATINALMA]]*DST_123_ÜRETİM_İHTİYAÇ_RAPORU_BURAK_YENI1309[[#This Row],[BIRIM_FIYATLAR]])</f>
        <v>0</v>
      </c>
      <c r="N4851">
        <v>3321</v>
      </c>
      <c r="O4851" t="s">
        <v>227</v>
      </c>
      <c r="P4851">
        <v>3321</v>
      </c>
      <c r="Q4851" t="s">
        <v>221</v>
      </c>
    </row>
    <row r="4852" spans="1:17" x14ac:dyDescent="0.25">
      <c r="A4852" t="s">
        <v>1057</v>
      </c>
      <c r="B4852" t="s">
        <v>1058</v>
      </c>
      <c r="C4852" t="s">
        <v>175</v>
      </c>
      <c r="D4852" t="s">
        <v>778</v>
      </c>
      <c r="E4852" t="s">
        <v>132</v>
      </c>
      <c r="F4852">
        <v>22</v>
      </c>
      <c r="G4852" t="s">
        <v>176</v>
      </c>
      <c r="H4852">
        <v>0</v>
      </c>
      <c r="I4852">
        <v>564</v>
      </c>
      <c r="J4852" s="10">
        <v>98</v>
      </c>
      <c r="K4852" s="10">
        <f>SUMIFS(F:F,D:D,DST_123_ÜRETİM_İHTİYAÇ_RAPORU_BURAK_YENI1309[[#This Row],[ALT_KOD]])-(SUMIFS(H:H,D:D,DST_123_ÜRETİM_İHTİYAÇ_RAPORU_BURAK_YENI1309[[#This Row],[ALT_KOD]])+AVERAGEIFS(I:I,D:D,DST_123_ÜRETİM_İHTİYAÇ_RAPORU_BURAK_YENI1309[[#This Row],[ALT_KOD]])+AVERAGEIFS(L:L,D:D,DST_123_ÜRETİM_İHTİYAÇ_RAPORU_BURAK_YENI1309[[#This Row],[ALT_KOD]]))</f>
        <v>-250</v>
      </c>
      <c r="L4852">
        <v>0</v>
      </c>
      <c r="M4852">
        <f>IF((DST_123_ÜRETİM_İHTİYAÇ_RAPORU_BURAK_YENI1309[[#This Row],[SATINALMA]]*DST_123_ÜRETİM_İHTİYAÇ_RAPORU_BURAK_YENI1309[[#This Row],[BIRIM_FIYATLAR]])&lt;1,VALUE("0"),DST_123_ÜRETİM_İHTİYAÇ_RAPORU_BURAK_YENI1309[[#This Row],[SATINALMA]]*DST_123_ÜRETİM_İHTİYAÇ_RAPORU_BURAK_YENI1309[[#This Row],[BIRIM_FIYATLAR]])</f>
        <v>0</v>
      </c>
      <c r="N4852">
        <v>6.67</v>
      </c>
      <c r="O4852" t="s">
        <v>1194</v>
      </c>
      <c r="P4852">
        <v>146.74</v>
      </c>
      <c r="Q4852" t="s">
        <v>221</v>
      </c>
    </row>
    <row r="4853" spans="1:17" x14ac:dyDescent="0.25">
      <c r="A4853" t="s">
        <v>1101</v>
      </c>
      <c r="B4853" t="s">
        <v>1102</v>
      </c>
      <c r="C4853" t="s">
        <v>175</v>
      </c>
      <c r="D4853" t="s">
        <v>778</v>
      </c>
      <c r="E4853" t="s">
        <v>132</v>
      </c>
      <c r="F4853">
        <v>16</v>
      </c>
      <c r="G4853" t="s">
        <v>176</v>
      </c>
      <c r="H4853">
        <v>0</v>
      </c>
      <c r="I4853">
        <v>564</v>
      </c>
      <c r="J4853" s="10">
        <v>98</v>
      </c>
      <c r="K4853" s="10">
        <f>SUMIFS(F:F,D:D,DST_123_ÜRETİM_İHTİYAÇ_RAPORU_BURAK_YENI1309[[#This Row],[ALT_KOD]])-(SUMIFS(H:H,D:D,DST_123_ÜRETİM_İHTİYAÇ_RAPORU_BURAK_YENI1309[[#This Row],[ALT_KOD]])+AVERAGEIFS(I:I,D:D,DST_123_ÜRETİM_İHTİYAÇ_RAPORU_BURAK_YENI1309[[#This Row],[ALT_KOD]])+AVERAGEIFS(L:L,D:D,DST_123_ÜRETİM_İHTİYAÇ_RAPORU_BURAK_YENI1309[[#This Row],[ALT_KOD]]))</f>
        <v>-250</v>
      </c>
      <c r="L4853">
        <v>0</v>
      </c>
      <c r="M4853">
        <f>IF((DST_123_ÜRETİM_İHTİYAÇ_RAPORU_BURAK_YENI1309[[#This Row],[SATINALMA]]*DST_123_ÜRETİM_İHTİYAÇ_RAPORU_BURAK_YENI1309[[#This Row],[BIRIM_FIYATLAR]])&lt;1,VALUE("0"),DST_123_ÜRETİM_İHTİYAÇ_RAPORU_BURAK_YENI1309[[#This Row],[SATINALMA]]*DST_123_ÜRETİM_İHTİYAÇ_RAPORU_BURAK_YENI1309[[#This Row],[BIRIM_FIYATLAR]])</f>
        <v>0</v>
      </c>
      <c r="N4853">
        <v>6.67</v>
      </c>
      <c r="O4853" t="s">
        <v>1194</v>
      </c>
      <c r="P4853">
        <v>106.72</v>
      </c>
      <c r="Q4853" t="s">
        <v>221</v>
      </c>
    </row>
    <row r="4854" spans="1:17" x14ac:dyDescent="0.25">
      <c r="A4854" t="s">
        <v>1146</v>
      </c>
      <c r="B4854" t="s">
        <v>1145</v>
      </c>
      <c r="C4854" t="s">
        <v>175</v>
      </c>
      <c r="D4854" t="s">
        <v>603</v>
      </c>
      <c r="E4854" t="s">
        <v>604</v>
      </c>
      <c r="F4854">
        <v>2</v>
      </c>
      <c r="G4854" t="s">
        <v>176</v>
      </c>
      <c r="H4854">
        <v>0</v>
      </c>
      <c r="I4854">
        <v>5</v>
      </c>
      <c r="J4854" s="10">
        <v>10</v>
      </c>
      <c r="K4854" s="10">
        <f>SUMIFS(F:F,D:D,DST_123_ÜRETİM_İHTİYAÇ_RAPORU_BURAK_YENI1309[[#This Row],[ALT_KOD]])-(SUMIFS(H:H,D:D,DST_123_ÜRETİM_İHTİYAÇ_RAPORU_BURAK_YENI1309[[#This Row],[ALT_KOD]])+AVERAGEIFS(I:I,D:D,DST_123_ÜRETİM_İHTİYAÇ_RAPORU_BURAK_YENI1309[[#This Row],[ALT_KOD]])+AVERAGEIFS(L:L,D:D,DST_123_ÜRETİM_İHTİYAÇ_RAPORU_BURAK_YENI1309[[#This Row],[ALT_KOD]]))</f>
        <v>11</v>
      </c>
      <c r="L4854">
        <v>0</v>
      </c>
      <c r="M4854">
        <f>IF((DST_123_ÜRETİM_İHTİYAÇ_RAPORU_BURAK_YENI1309[[#This Row],[SATINALMA]]*DST_123_ÜRETİM_İHTİYAÇ_RAPORU_BURAK_YENI1309[[#This Row],[BIRIM_FIYATLAR]])&lt;1,VALUE("0"),DST_123_ÜRETİM_İHTİYAÇ_RAPORU_BURAK_YENI1309[[#This Row],[SATINALMA]]*DST_123_ÜRETİM_İHTİYAÇ_RAPORU_BURAK_YENI1309[[#This Row],[BIRIM_FIYATLAR]])</f>
        <v>832.04</v>
      </c>
      <c r="N4854">
        <v>75.64</v>
      </c>
      <c r="O4854" t="s">
        <v>636</v>
      </c>
      <c r="P4854">
        <v>151.28</v>
      </c>
      <c r="Q4854" t="s">
        <v>177</v>
      </c>
    </row>
    <row r="4855" spans="1:17" x14ac:dyDescent="0.25">
      <c r="A4855" t="s">
        <v>1144</v>
      </c>
      <c r="B4855" t="s">
        <v>1145</v>
      </c>
      <c r="C4855" t="s">
        <v>175</v>
      </c>
      <c r="D4855" t="s">
        <v>603</v>
      </c>
      <c r="E4855" t="s">
        <v>604</v>
      </c>
      <c r="F4855">
        <v>2</v>
      </c>
      <c r="G4855" t="s">
        <v>176</v>
      </c>
      <c r="H4855">
        <v>0</v>
      </c>
      <c r="I4855">
        <v>5</v>
      </c>
      <c r="J4855" s="10">
        <v>10</v>
      </c>
      <c r="K4855" s="10">
        <f>SUMIFS(F:F,D:D,DST_123_ÜRETİM_İHTİYAÇ_RAPORU_BURAK_YENI1309[[#This Row],[ALT_KOD]])-(SUMIFS(H:H,D:D,DST_123_ÜRETİM_İHTİYAÇ_RAPORU_BURAK_YENI1309[[#This Row],[ALT_KOD]])+AVERAGEIFS(I:I,D:D,DST_123_ÜRETİM_İHTİYAÇ_RAPORU_BURAK_YENI1309[[#This Row],[ALT_KOD]])+AVERAGEIFS(L:L,D:D,DST_123_ÜRETİM_İHTİYAÇ_RAPORU_BURAK_YENI1309[[#This Row],[ALT_KOD]]))</f>
        <v>11</v>
      </c>
      <c r="L4855">
        <v>0</v>
      </c>
      <c r="M4855">
        <f>IF((DST_123_ÜRETİM_İHTİYAÇ_RAPORU_BURAK_YENI1309[[#This Row],[SATINALMA]]*DST_123_ÜRETİM_İHTİYAÇ_RAPORU_BURAK_YENI1309[[#This Row],[BIRIM_FIYATLAR]])&lt;1,VALUE("0"),DST_123_ÜRETİM_İHTİYAÇ_RAPORU_BURAK_YENI1309[[#This Row],[SATINALMA]]*DST_123_ÜRETİM_İHTİYAÇ_RAPORU_BURAK_YENI1309[[#This Row],[BIRIM_FIYATLAR]])</f>
        <v>832.04</v>
      </c>
      <c r="N4855">
        <v>75.64</v>
      </c>
      <c r="O4855" t="s">
        <v>636</v>
      </c>
      <c r="P4855">
        <v>151.28</v>
      </c>
      <c r="Q4855" t="s">
        <v>177</v>
      </c>
    </row>
    <row r="4856" spans="1:17" x14ac:dyDescent="0.25">
      <c r="A4856" t="s">
        <v>1149</v>
      </c>
      <c r="B4856" t="s">
        <v>1145</v>
      </c>
      <c r="C4856" t="s">
        <v>175</v>
      </c>
      <c r="D4856" t="s">
        <v>716</v>
      </c>
      <c r="E4856" t="s">
        <v>717</v>
      </c>
      <c r="F4856">
        <v>0.2</v>
      </c>
      <c r="G4856" t="s">
        <v>179</v>
      </c>
      <c r="H4856">
        <v>0</v>
      </c>
      <c r="I4856">
        <v>200</v>
      </c>
      <c r="J4856" s="10">
        <v>85.649999999999977</v>
      </c>
      <c r="K4856" s="10">
        <f>SUMIFS(F:F,D:D,DST_123_ÜRETİM_İHTİYAÇ_RAPORU_BURAK_YENI1309[[#This Row],[ALT_KOD]])-(SUMIFS(H:H,D:D,DST_123_ÜRETİM_İHTİYAÇ_RAPORU_BURAK_YENI1309[[#This Row],[ALT_KOD]])+AVERAGEIFS(I:I,D:D,DST_123_ÜRETİM_İHTİYAÇ_RAPORU_BURAK_YENI1309[[#This Row],[ALT_KOD]])+AVERAGEIFS(L:L,D:D,DST_123_ÜRETİM_İHTİYAÇ_RAPORU_BURAK_YENI1309[[#This Row],[ALT_KOD]]))</f>
        <v>-196.4</v>
      </c>
      <c r="L4856">
        <v>0</v>
      </c>
      <c r="M4856">
        <f>IF((DST_123_ÜRETİM_İHTİYAÇ_RAPORU_BURAK_YENI1309[[#This Row],[SATINALMA]]*DST_123_ÜRETİM_İHTİYAÇ_RAPORU_BURAK_YENI1309[[#This Row],[BIRIM_FIYATLAR]])&lt;1,VALUE("0"),DST_123_ÜRETİM_İHTİYAÇ_RAPORU_BURAK_YENI1309[[#This Row],[SATINALMA]]*DST_123_ÜRETİM_İHTİYAÇ_RAPORU_BURAK_YENI1309[[#This Row],[BIRIM_FIYATLAR]])</f>
        <v>0</v>
      </c>
      <c r="N4856">
        <v>3.62</v>
      </c>
      <c r="O4856" t="s">
        <v>826</v>
      </c>
      <c r="P4856">
        <v>0.72400000000000009</v>
      </c>
      <c r="Q4856" t="s">
        <v>221</v>
      </c>
    </row>
    <row r="4857" spans="1:17" x14ac:dyDescent="0.25">
      <c r="A4857" t="s">
        <v>1146</v>
      </c>
      <c r="B4857" t="s">
        <v>1145</v>
      </c>
      <c r="C4857" t="s">
        <v>175</v>
      </c>
      <c r="D4857" t="s">
        <v>716</v>
      </c>
      <c r="E4857" t="s">
        <v>717</v>
      </c>
      <c r="F4857">
        <v>0.2</v>
      </c>
      <c r="G4857" t="s">
        <v>179</v>
      </c>
      <c r="H4857">
        <v>0</v>
      </c>
      <c r="I4857">
        <v>200</v>
      </c>
      <c r="J4857" s="10">
        <v>85.649999999999977</v>
      </c>
      <c r="K4857" s="10">
        <f>SUMIFS(F:F,D:D,DST_123_ÜRETİM_İHTİYAÇ_RAPORU_BURAK_YENI1309[[#This Row],[ALT_KOD]])-(SUMIFS(H:H,D:D,DST_123_ÜRETİM_İHTİYAÇ_RAPORU_BURAK_YENI1309[[#This Row],[ALT_KOD]])+AVERAGEIFS(I:I,D:D,DST_123_ÜRETİM_İHTİYAÇ_RAPORU_BURAK_YENI1309[[#This Row],[ALT_KOD]])+AVERAGEIFS(L:L,D:D,DST_123_ÜRETİM_İHTİYAÇ_RAPORU_BURAK_YENI1309[[#This Row],[ALT_KOD]]))</f>
        <v>-196.4</v>
      </c>
      <c r="L4857">
        <v>0</v>
      </c>
      <c r="M4857">
        <f>IF((DST_123_ÜRETİM_İHTİYAÇ_RAPORU_BURAK_YENI1309[[#This Row],[SATINALMA]]*DST_123_ÜRETİM_İHTİYAÇ_RAPORU_BURAK_YENI1309[[#This Row],[BIRIM_FIYATLAR]])&lt;1,VALUE("0"),DST_123_ÜRETİM_İHTİYAÇ_RAPORU_BURAK_YENI1309[[#This Row],[SATINALMA]]*DST_123_ÜRETİM_İHTİYAÇ_RAPORU_BURAK_YENI1309[[#This Row],[BIRIM_FIYATLAR]])</f>
        <v>0</v>
      </c>
      <c r="N4857">
        <v>3.62</v>
      </c>
      <c r="O4857" t="s">
        <v>826</v>
      </c>
      <c r="P4857">
        <v>0.72400000000000009</v>
      </c>
      <c r="Q4857" t="s">
        <v>221</v>
      </c>
    </row>
    <row r="4858" spans="1:17" x14ac:dyDescent="0.25">
      <c r="A4858" t="s">
        <v>1144</v>
      </c>
      <c r="B4858" t="s">
        <v>1145</v>
      </c>
      <c r="C4858" t="s">
        <v>175</v>
      </c>
      <c r="D4858" t="s">
        <v>716</v>
      </c>
      <c r="E4858" t="s">
        <v>717</v>
      </c>
      <c r="F4858">
        <v>0.2</v>
      </c>
      <c r="G4858" t="s">
        <v>179</v>
      </c>
      <c r="H4858">
        <v>0</v>
      </c>
      <c r="I4858">
        <v>200</v>
      </c>
      <c r="J4858" s="10">
        <v>85.649999999999977</v>
      </c>
      <c r="K4858" s="10">
        <f>SUMIFS(F:F,D:D,DST_123_ÜRETİM_İHTİYAÇ_RAPORU_BURAK_YENI1309[[#This Row],[ALT_KOD]])-(SUMIFS(H:H,D:D,DST_123_ÜRETİM_İHTİYAÇ_RAPORU_BURAK_YENI1309[[#This Row],[ALT_KOD]])+AVERAGEIFS(I:I,D:D,DST_123_ÜRETİM_İHTİYAÇ_RAPORU_BURAK_YENI1309[[#This Row],[ALT_KOD]])+AVERAGEIFS(L:L,D:D,DST_123_ÜRETİM_İHTİYAÇ_RAPORU_BURAK_YENI1309[[#This Row],[ALT_KOD]]))</f>
        <v>-196.4</v>
      </c>
      <c r="L4858">
        <v>0</v>
      </c>
      <c r="M4858">
        <f>IF((DST_123_ÜRETİM_İHTİYAÇ_RAPORU_BURAK_YENI1309[[#This Row],[SATINALMA]]*DST_123_ÜRETİM_İHTİYAÇ_RAPORU_BURAK_YENI1309[[#This Row],[BIRIM_FIYATLAR]])&lt;1,VALUE("0"),DST_123_ÜRETİM_İHTİYAÇ_RAPORU_BURAK_YENI1309[[#This Row],[SATINALMA]]*DST_123_ÜRETİM_İHTİYAÇ_RAPORU_BURAK_YENI1309[[#This Row],[BIRIM_FIYATLAR]])</f>
        <v>0</v>
      </c>
      <c r="N4858">
        <v>3.62</v>
      </c>
      <c r="O4858" t="s">
        <v>826</v>
      </c>
      <c r="P4858">
        <v>0.72400000000000009</v>
      </c>
      <c r="Q4858" t="s">
        <v>221</v>
      </c>
    </row>
    <row r="4859" spans="1:17" x14ac:dyDescent="0.25">
      <c r="A4859" t="s">
        <v>1146</v>
      </c>
      <c r="B4859" t="s">
        <v>1145</v>
      </c>
      <c r="C4859" t="s">
        <v>175</v>
      </c>
      <c r="D4859" t="s">
        <v>738</v>
      </c>
      <c r="E4859" t="s">
        <v>739</v>
      </c>
      <c r="F4859">
        <v>1</v>
      </c>
      <c r="G4859" t="s">
        <v>176</v>
      </c>
      <c r="H4859">
        <v>0</v>
      </c>
      <c r="I4859">
        <v>10</v>
      </c>
      <c r="J4859" s="10">
        <v>16</v>
      </c>
      <c r="K4859" s="10">
        <f>SUMIFS(F:F,D:D,DST_123_ÜRETİM_İHTİYAÇ_RAPORU_BURAK_YENI1309[[#This Row],[ALT_KOD]])-(SUMIFS(H:H,D:D,DST_123_ÜRETİM_İHTİYAÇ_RAPORU_BURAK_YENI1309[[#This Row],[ALT_KOD]])+AVERAGEIFS(I:I,D:D,DST_123_ÜRETİM_İHTİYAÇ_RAPORU_BURAK_YENI1309[[#This Row],[ALT_KOD]])+AVERAGEIFS(L:L,D:D,DST_123_ÜRETİM_İHTİYAÇ_RAPORU_BURAK_YENI1309[[#This Row],[ALT_KOD]]))</f>
        <v>2</v>
      </c>
      <c r="L4859">
        <v>0</v>
      </c>
      <c r="M4859">
        <f>IF((DST_123_ÜRETİM_İHTİYAÇ_RAPORU_BURAK_YENI1309[[#This Row],[SATINALMA]]*DST_123_ÜRETİM_İHTİYAÇ_RAPORU_BURAK_YENI1309[[#This Row],[BIRIM_FIYATLAR]])&lt;1,VALUE("0"),DST_123_ÜRETİM_İHTİYAÇ_RAPORU_BURAK_YENI1309[[#This Row],[SATINALMA]]*DST_123_ÜRETİM_İHTİYAÇ_RAPORU_BURAK_YENI1309[[#This Row],[BIRIM_FIYATLAR]])</f>
        <v>233.34</v>
      </c>
      <c r="N4859">
        <v>116.67</v>
      </c>
      <c r="O4859" t="s">
        <v>667</v>
      </c>
      <c r="P4859">
        <v>116.67</v>
      </c>
      <c r="Q4859" t="s">
        <v>177</v>
      </c>
    </row>
    <row r="4860" spans="1:17" x14ac:dyDescent="0.25">
      <c r="A4860" t="s">
        <v>1144</v>
      </c>
      <c r="B4860" t="s">
        <v>1145</v>
      </c>
      <c r="C4860" t="s">
        <v>175</v>
      </c>
      <c r="D4860" t="s">
        <v>738</v>
      </c>
      <c r="E4860" t="s">
        <v>739</v>
      </c>
      <c r="F4860">
        <v>1</v>
      </c>
      <c r="G4860" t="s">
        <v>176</v>
      </c>
      <c r="H4860">
        <v>0</v>
      </c>
      <c r="I4860">
        <v>10</v>
      </c>
      <c r="J4860" s="10">
        <v>16</v>
      </c>
      <c r="K4860" s="10">
        <f>SUMIFS(F:F,D:D,DST_123_ÜRETİM_İHTİYAÇ_RAPORU_BURAK_YENI1309[[#This Row],[ALT_KOD]])-(SUMIFS(H:H,D:D,DST_123_ÜRETİM_İHTİYAÇ_RAPORU_BURAK_YENI1309[[#This Row],[ALT_KOD]])+AVERAGEIFS(I:I,D:D,DST_123_ÜRETİM_İHTİYAÇ_RAPORU_BURAK_YENI1309[[#This Row],[ALT_KOD]])+AVERAGEIFS(L:L,D:D,DST_123_ÜRETİM_İHTİYAÇ_RAPORU_BURAK_YENI1309[[#This Row],[ALT_KOD]]))</f>
        <v>2</v>
      </c>
      <c r="L4860">
        <v>0</v>
      </c>
      <c r="M4860">
        <f>IF((DST_123_ÜRETİM_İHTİYAÇ_RAPORU_BURAK_YENI1309[[#This Row],[SATINALMA]]*DST_123_ÜRETİM_İHTİYAÇ_RAPORU_BURAK_YENI1309[[#This Row],[BIRIM_FIYATLAR]])&lt;1,VALUE("0"),DST_123_ÜRETİM_İHTİYAÇ_RAPORU_BURAK_YENI1309[[#This Row],[SATINALMA]]*DST_123_ÜRETİM_İHTİYAÇ_RAPORU_BURAK_YENI1309[[#This Row],[BIRIM_FIYATLAR]])</f>
        <v>233.34</v>
      </c>
      <c r="N4860">
        <v>116.67</v>
      </c>
      <c r="O4860" t="s">
        <v>667</v>
      </c>
      <c r="P4860">
        <v>116.67</v>
      </c>
      <c r="Q4860" t="s">
        <v>177</v>
      </c>
    </row>
    <row r="4861" spans="1:17" x14ac:dyDescent="0.25">
      <c r="A4861" t="s">
        <v>1149</v>
      </c>
      <c r="B4861" t="s">
        <v>1145</v>
      </c>
      <c r="C4861" t="s">
        <v>175</v>
      </c>
      <c r="D4861" t="s">
        <v>781</v>
      </c>
      <c r="E4861" t="s">
        <v>782</v>
      </c>
      <c r="F4861">
        <v>1</v>
      </c>
      <c r="G4861" t="s">
        <v>176</v>
      </c>
      <c r="H4861">
        <v>0</v>
      </c>
      <c r="I4861">
        <v>14</v>
      </c>
      <c r="J4861" s="10">
        <v>9</v>
      </c>
      <c r="K4861" s="10">
        <f>SUMIFS(F:F,D:D,DST_123_ÜRETİM_İHTİYAÇ_RAPORU_BURAK_YENI1309[[#This Row],[ALT_KOD]])-(SUMIFS(H:H,D:D,DST_123_ÜRETİM_İHTİYAÇ_RAPORU_BURAK_YENI1309[[#This Row],[ALT_KOD]])+AVERAGEIFS(I:I,D:D,DST_123_ÜRETİM_İHTİYAÇ_RAPORU_BURAK_YENI1309[[#This Row],[ALT_KOD]])+AVERAGEIFS(L:L,D:D,DST_123_ÜRETİM_İHTİYAÇ_RAPORU_BURAK_YENI1309[[#This Row],[ALT_KOD]]))</f>
        <v>-3</v>
      </c>
      <c r="L4861">
        <v>0</v>
      </c>
      <c r="M4861">
        <f>IF((DST_123_ÜRETİM_İHTİYAÇ_RAPORU_BURAK_YENI1309[[#This Row],[SATINALMA]]*DST_123_ÜRETİM_İHTİYAÇ_RAPORU_BURAK_YENI1309[[#This Row],[BIRIM_FIYATLAR]])&lt;1,VALUE("0"),DST_123_ÜRETİM_İHTİYAÇ_RAPORU_BURAK_YENI1309[[#This Row],[SATINALMA]]*DST_123_ÜRETİM_İHTİYAÇ_RAPORU_BURAK_YENI1309[[#This Row],[BIRIM_FIYATLAR]])</f>
        <v>0</v>
      </c>
      <c r="N4861">
        <v>1020</v>
      </c>
      <c r="O4861" t="s">
        <v>289</v>
      </c>
      <c r="P4861">
        <v>1020</v>
      </c>
      <c r="Q4861" t="s">
        <v>178</v>
      </c>
    </row>
    <row r="4862" spans="1:17" x14ac:dyDescent="0.25">
      <c r="A4862" t="s">
        <v>1147</v>
      </c>
      <c r="B4862" t="s">
        <v>1145</v>
      </c>
      <c r="C4862" t="s">
        <v>175</v>
      </c>
      <c r="D4862" t="s">
        <v>347</v>
      </c>
      <c r="E4862" t="s">
        <v>348</v>
      </c>
      <c r="F4862">
        <v>0.1</v>
      </c>
      <c r="G4862" t="s">
        <v>176</v>
      </c>
      <c r="H4862">
        <v>0</v>
      </c>
      <c r="I4862">
        <v>2</v>
      </c>
      <c r="J4862" s="10">
        <v>-6.3837823915946501E-16</v>
      </c>
      <c r="K4862" s="10">
        <f>SUMIFS(F:F,D:D,DST_123_ÜRETİM_İHTİYAÇ_RAPORU_BURAK_YENI1309[[#This Row],[ALT_KOD]])-(SUMIFS(H:H,D:D,DST_123_ÜRETİM_İHTİYAÇ_RAPORU_BURAK_YENI1309[[#This Row],[ALT_KOD]])+AVERAGEIFS(I:I,D:D,DST_123_ÜRETİM_İHTİYAÇ_RAPORU_BURAK_YENI1309[[#This Row],[ALT_KOD]])+AVERAGEIFS(L:L,D:D,DST_123_ÜRETİM_İHTİYAÇ_RAPORU_BURAK_YENI1309[[#This Row],[ALT_KOD]]))</f>
        <v>1.4000000000000004</v>
      </c>
      <c r="L4862">
        <v>0</v>
      </c>
      <c r="M4862">
        <f>IF((DST_123_ÜRETİM_İHTİYAÇ_RAPORU_BURAK_YENI1309[[#This Row],[SATINALMA]]*DST_123_ÜRETİM_İHTİYAÇ_RAPORU_BURAK_YENI1309[[#This Row],[BIRIM_FIYATLAR]])&lt;1,VALUE("0"),DST_123_ÜRETİM_İHTİYAÇ_RAPORU_BURAK_YENI1309[[#This Row],[SATINALMA]]*DST_123_ÜRETİM_İHTİYAÇ_RAPORU_BURAK_YENI1309[[#This Row],[BIRIM_FIYATLAR]])</f>
        <v>3889.2000000000012</v>
      </c>
      <c r="N4862">
        <v>2778</v>
      </c>
      <c r="O4862" t="s">
        <v>217</v>
      </c>
      <c r="P4862">
        <v>277.8</v>
      </c>
      <c r="Q4862" t="s">
        <v>183</v>
      </c>
    </row>
    <row r="4863" spans="1:17" x14ac:dyDescent="0.25">
      <c r="A4863" t="s">
        <v>1060</v>
      </c>
      <c r="B4863" t="s">
        <v>1061</v>
      </c>
      <c r="C4863" t="s">
        <v>175</v>
      </c>
      <c r="D4863" t="s">
        <v>342</v>
      </c>
      <c r="E4863" t="s">
        <v>343</v>
      </c>
      <c r="F4863">
        <v>0.05</v>
      </c>
      <c r="G4863" t="s">
        <v>176</v>
      </c>
      <c r="H4863">
        <v>0</v>
      </c>
      <c r="I4863">
        <v>2</v>
      </c>
      <c r="J4863" s="10">
        <v>1.7763568394002505E-15</v>
      </c>
      <c r="K4863" s="10">
        <f>SUMIFS(F:F,D:D,DST_123_ÜRETİM_İHTİYAÇ_RAPORU_BURAK_YENI1309[[#This Row],[ALT_KOD]])-(SUMIFS(H:H,D:D,DST_123_ÜRETİM_İHTİYAÇ_RAPORU_BURAK_YENI1309[[#This Row],[ALT_KOD]])+AVERAGEIFS(I:I,D:D,DST_123_ÜRETİM_İHTİYAÇ_RAPORU_BURAK_YENI1309[[#This Row],[ALT_KOD]])+AVERAGEIFS(L:L,D:D,DST_123_ÜRETİM_İHTİYAÇ_RAPORU_BURAK_YENI1309[[#This Row],[ALT_KOD]]))</f>
        <v>-0.84999999999999964</v>
      </c>
      <c r="L4863">
        <v>0</v>
      </c>
      <c r="M4863">
        <f>IF((DST_123_ÜRETİM_İHTİYAÇ_RAPORU_BURAK_YENI1309[[#This Row],[SATINALMA]]*DST_123_ÜRETİM_İHTİYAÇ_RAPORU_BURAK_YENI1309[[#This Row],[BIRIM_FIYATLAR]])&lt;1,VALUE("0"),DST_123_ÜRETİM_İHTİYAÇ_RAPORU_BURAK_YENI1309[[#This Row],[SATINALMA]]*DST_123_ÜRETİM_İHTİYAÇ_RAPORU_BURAK_YENI1309[[#This Row],[BIRIM_FIYATLAR]])</f>
        <v>0</v>
      </c>
      <c r="N4863">
        <v>1400</v>
      </c>
      <c r="O4863" t="s">
        <v>217</v>
      </c>
      <c r="P4863">
        <v>70</v>
      </c>
      <c r="Q4863" t="s">
        <v>183</v>
      </c>
    </row>
    <row r="4864" spans="1:17" x14ac:dyDescent="0.25">
      <c r="A4864" t="s">
        <v>1060</v>
      </c>
      <c r="B4864" t="s">
        <v>1061</v>
      </c>
      <c r="C4864" t="s">
        <v>175</v>
      </c>
      <c r="D4864" t="s">
        <v>502</v>
      </c>
      <c r="E4864" t="s">
        <v>503</v>
      </c>
      <c r="F4864">
        <v>2</v>
      </c>
      <c r="G4864" t="s">
        <v>176</v>
      </c>
      <c r="H4864">
        <v>0</v>
      </c>
      <c r="I4864">
        <v>115</v>
      </c>
      <c r="J4864" s="10">
        <v>2</v>
      </c>
      <c r="K4864" s="10">
        <f>SUMIFS(F:F,D:D,DST_123_ÜRETİM_İHTİYAÇ_RAPORU_BURAK_YENI1309[[#This Row],[ALT_KOD]])-(SUMIFS(H:H,D:D,DST_123_ÜRETİM_İHTİYAÇ_RAPORU_BURAK_YENI1309[[#This Row],[ALT_KOD]])+AVERAGEIFS(I:I,D:D,DST_123_ÜRETİM_İHTİYAÇ_RAPORU_BURAK_YENI1309[[#This Row],[ALT_KOD]])+AVERAGEIFS(L:L,D:D,DST_123_ÜRETİM_İHTİYAÇ_RAPORU_BURAK_YENI1309[[#This Row],[ALT_KOD]]))</f>
        <v>-77</v>
      </c>
      <c r="L4864">
        <v>0</v>
      </c>
      <c r="M4864">
        <f>IF((DST_123_ÜRETİM_İHTİYAÇ_RAPORU_BURAK_YENI1309[[#This Row],[SATINALMA]]*DST_123_ÜRETİM_İHTİYAÇ_RAPORU_BURAK_YENI1309[[#This Row],[BIRIM_FIYATLAR]])&lt;1,VALUE("0"),DST_123_ÜRETİM_İHTİYAÇ_RAPORU_BURAK_YENI1309[[#This Row],[SATINALMA]]*DST_123_ÜRETİM_İHTİYAÇ_RAPORU_BURAK_YENI1309[[#This Row],[BIRIM_FIYATLAR]])</f>
        <v>0</v>
      </c>
      <c r="N4864">
        <v>0.44</v>
      </c>
      <c r="O4864" t="s">
        <v>504</v>
      </c>
      <c r="P4864">
        <v>0.88</v>
      </c>
      <c r="Q4864" t="s">
        <v>221</v>
      </c>
    </row>
    <row r="4865" spans="1:17" x14ac:dyDescent="0.25">
      <c r="A4865" t="s">
        <v>1060</v>
      </c>
      <c r="B4865" t="s">
        <v>1061</v>
      </c>
      <c r="C4865" t="s">
        <v>175</v>
      </c>
      <c r="D4865" t="s">
        <v>510</v>
      </c>
      <c r="E4865" t="s">
        <v>511</v>
      </c>
      <c r="F4865">
        <v>2</v>
      </c>
      <c r="G4865" t="s">
        <v>176</v>
      </c>
      <c r="H4865">
        <v>0</v>
      </c>
      <c r="I4865">
        <v>0</v>
      </c>
      <c r="J4865" s="10">
        <v>14</v>
      </c>
      <c r="K4865" s="10">
        <f>SUMIFS(F:F,D:D,DST_123_ÜRETİM_İHTİYAÇ_RAPORU_BURAK_YENI1309[[#This Row],[ALT_KOD]])-(SUMIFS(H:H,D:D,DST_123_ÜRETİM_İHTİYAÇ_RAPORU_BURAK_YENI1309[[#This Row],[ALT_KOD]])+AVERAGEIFS(I:I,D:D,DST_123_ÜRETİM_İHTİYAÇ_RAPORU_BURAK_YENI1309[[#This Row],[ALT_KOD]])+AVERAGEIFS(L:L,D:D,DST_123_ÜRETİM_İHTİYAÇ_RAPORU_BURAK_YENI1309[[#This Row],[ALT_KOD]]))</f>
        <v>38</v>
      </c>
      <c r="L4865">
        <v>0</v>
      </c>
      <c r="M4865">
        <f>IF((DST_123_ÜRETİM_İHTİYAÇ_RAPORU_BURAK_YENI1309[[#This Row],[SATINALMA]]*DST_123_ÜRETİM_İHTİYAÇ_RAPORU_BURAK_YENI1309[[#This Row],[BIRIM_FIYATLAR]])&lt;1,VALUE("0"),DST_123_ÜRETİM_İHTİYAÇ_RAPORU_BURAK_YENI1309[[#This Row],[SATINALMA]]*DST_123_ÜRETİM_İHTİYAÇ_RAPORU_BURAK_YENI1309[[#This Row],[BIRIM_FIYATLAR]])</f>
        <v>261.06</v>
      </c>
      <c r="N4865">
        <v>6.87</v>
      </c>
      <c r="O4865" t="s">
        <v>826</v>
      </c>
      <c r="P4865">
        <v>13.74</v>
      </c>
      <c r="Q4865" t="s">
        <v>221</v>
      </c>
    </row>
    <row r="4866" spans="1:17" x14ac:dyDescent="0.25">
      <c r="A4866" t="s">
        <v>1179</v>
      </c>
      <c r="B4866" t="s">
        <v>1180</v>
      </c>
      <c r="C4866" t="s">
        <v>175</v>
      </c>
      <c r="D4866" t="s">
        <v>710</v>
      </c>
      <c r="E4866" t="s">
        <v>711</v>
      </c>
      <c r="F4866">
        <v>1</v>
      </c>
      <c r="G4866" t="s">
        <v>176</v>
      </c>
      <c r="H4866">
        <v>0</v>
      </c>
      <c r="I4866">
        <v>0</v>
      </c>
      <c r="J4866" s="10">
        <v>2</v>
      </c>
      <c r="K4866" s="10">
        <f>SUMIFS(F:F,D:D,DST_123_ÜRETİM_İHTİYAÇ_RAPORU_BURAK_YENI1309[[#This Row],[ALT_KOD]])-(SUMIFS(H:H,D:D,DST_123_ÜRETİM_İHTİYAÇ_RAPORU_BURAK_YENI1309[[#This Row],[ALT_KOD]])+AVERAGEIFS(I:I,D:D,DST_123_ÜRETİM_İHTİYAÇ_RAPORU_BURAK_YENI1309[[#This Row],[ALT_KOD]])+AVERAGEIFS(L:L,D:D,DST_123_ÜRETİM_İHTİYAÇ_RAPORU_BURAK_YENI1309[[#This Row],[ALT_KOD]]))</f>
        <v>8</v>
      </c>
      <c r="L4866">
        <v>0</v>
      </c>
      <c r="M4866">
        <f>IF((DST_123_ÜRETİM_İHTİYAÇ_RAPORU_BURAK_YENI1309[[#This Row],[SATINALMA]]*DST_123_ÜRETİM_İHTİYAÇ_RAPORU_BURAK_YENI1309[[#This Row],[BIRIM_FIYATLAR]])&lt;1,VALUE("0"),DST_123_ÜRETİM_İHTİYAÇ_RAPORU_BURAK_YENI1309[[#This Row],[SATINALMA]]*DST_123_ÜRETİM_İHTİYAÇ_RAPORU_BURAK_YENI1309[[#This Row],[BIRIM_FIYATLAR]])</f>
        <v>191760</v>
      </c>
      <c r="N4866">
        <v>23970</v>
      </c>
      <c r="O4866" t="s">
        <v>1195</v>
      </c>
      <c r="P4866">
        <v>23970</v>
      </c>
      <c r="Q4866" t="s">
        <v>177</v>
      </c>
    </row>
    <row r="4867" spans="1:17" x14ac:dyDescent="0.25">
      <c r="A4867" t="s">
        <v>1148</v>
      </c>
      <c r="B4867" t="s">
        <v>1056</v>
      </c>
      <c r="C4867" t="s">
        <v>175</v>
      </c>
      <c r="D4867" t="s">
        <v>429</v>
      </c>
      <c r="E4867" t="s">
        <v>430</v>
      </c>
      <c r="F4867">
        <v>1</v>
      </c>
      <c r="G4867" t="s">
        <v>176</v>
      </c>
      <c r="H4867">
        <v>0</v>
      </c>
      <c r="I4867">
        <v>10</v>
      </c>
      <c r="J4867" s="10">
        <v>5</v>
      </c>
      <c r="K4867" s="10">
        <f>SUMIFS(F:F,D:D,DST_123_ÜRETİM_İHTİYAÇ_RAPORU_BURAK_YENI1309[[#This Row],[ALT_KOD]])-(SUMIFS(H:H,D:D,DST_123_ÜRETİM_İHTİYAÇ_RAPORU_BURAK_YENI1309[[#This Row],[ALT_KOD]])+AVERAGEIFS(I:I,D:D,DST_123_ÜRETİM_İHTİYAÇ_RAPORU_BURAK_YENI1309[[#This Row],[ALT_KOD]])+AVERAGEIFS(L:L,D:D,DST_123_ÜRETİM_İHTİYAÇ_RAPORU_BURAK_YENI1309[[#This Row],[ALT_KOD]]))</f>
        <v>-6</v>
      </c>
      <c r="L4867">
        <v>0</v>
      </c>
      <c r="M4867">
        <f>IF((DST_123_ÜRETİM_İHTİYAÇ_RAPORU_BURAK_YENI1309[[#This Row],[SATINALMA]]*DST_123_ÜRETİM_İHTİYAÇ_RAPORU_BURAK_YENI1309[[#This Row],[BIRIM_FIYATLAR]])&lt;1,VALUE("0"),DST_123_ÜRETİM_İHTİYAÇ_RAPORU_BURAK_YENI1309[[#This Row],[SATINALMA]]*DST_123_ÜRETİM_İHTİYAÇ_RAPORU_BURAK_YENI1309[[#This Row],[BIRIM_FIYATLAR]])</f>
        <v>0</v>
      </c>
      <c r="N4867">
        <v>1679.53</v>
      </c>
      <c r="O4867" t="s">
        <v>636</v>
      </c>
      <c r="P4867">
        <v>1679.53</v>
      </c>
      <c r="Q4867" t="s">
        <v>178</v>
      </c>
    </row>
    <row r="4868" spans="1:17" x14ac:dyDescent="0.25">
      <c r="A4868" t="s">
        <v>1057</v>
      </c>
      <c r="B4868" t="s">
        <v>1058</v>
      </c>
      <c r="C4868" t="s">
        <v>175</v>
      </c>
      <c r="D4868" t="s">
        <v>347</v>
      </c>
      <c r="E4868" t="s">
        <v>348</v>
      </c>
      <c r="F4868">
        <v>0.5</v>
      </c>
      <c r="G4868" t="s">
        <v>176</v>
      </c>
      <c r="H4868">
        <v>0</v>
      </c>
      <c r="I4868">
        <v>2</v>
      </c>
      <c r="J4868" s="10">
        <v>-6.3837823915946501E-16</v>
      </c>
      <c r="K4868" s="10">
        <f>SUMIFS(F:F,D:D,DST_123_ÜRETİM_İHTİYAÇ_RAPORU_BURAK_YENI1309[[#This Row],[ALT_KOD]])-(SUMIFS(H:H,D:D,DST_123_ÜRETİM_İHTİYAÇ_RAPORU_BURAK_YENI1309[[#This Row],[ALT_KOD]])+AVERAGEIFS(I:I,D:D,DST_123_ÜRETİM_İHTİYAÇ_RAPORU_BURAK_YENI1309[[#This Row],[ALT_KOD]])+AVERAGEIFS(L:L,D:D,DST_123_ÜRETİM_İHTİYAÇ_RAPORU_BURAK_YENI1309[[#This Row],[ALT_KOD]]))</f>
        <v>1.4000000000000004</v>
      </c>
      <c r="L4868">
        <v>0</v>
      </c>
      <c r="M4868">
        <f>IF((DST_123_ÜRETİM_İHTİYAÇ_RAPORU_BURAK_YENI1309[[#This Row],[SATINALMA]]*DST_123_ÜRETİM_İHTİYAÇ_RAPORU_BURAK_YENI1309[[#This Row],[BIRIM_FIYATLAR]])&lt;1,VALUE("0"),DST_123_ÜRETİM_İHTİYAÇ_RAPORU_BURAK_YENI1309[[#This Row],[SATINALMA]]*DST_123_ÜRETİM_İHTİYAÇ_RAPORU_BURAK_YENI1309[[#This Row],[BIRIM_FIYATLAR]])</f>
        <v>3889.2000000000012</v>
      </c>
      <c r="N4868">
        <v>2778</v>
      </c>
      <c r="O4868" t="s">
        <v>217</v>
      </c>
      <c r="P4868">
        <v>1389</v>
      </c>
      <c r="Q4868" t="s">
        <v>183</v>
      </c>
    </row>
    <row r="4869" spans="1:17" x14ac:dyDescent="0.25">
      <c r="A4869" t="s">
        <v>1100</v>
      </c>
      <c r="B4869" t="s">
        <v>1058</v>
      </c>
      <c r="C4869" t="s">
        <v>175</v>
      </c>
      <c r="D4869" t="s">
        <v>502</v>
      </c>
      <c r="E4869" t="s">
        <v>503</v>
      </c>
      <c r="F4869">
        <v>2</v>
      </c>
      <c r="G4869" t="s">
        <v>176</v>
      </c>
      <c r="H4869">
        <v>0</v>
      </c>
      <c r="I4869">
        <v>115</v>
      </c>
      <c r="J4869" s="10">
        <v>2</v>
      </c>
      <c r="K4869" s="10">
        <f>SUMIFS(F:F,D:D,DST_123_ÜRETİM_İHTİYAÇ_RAPORU_BURAK_YENI1309[[#This Row],[ALT_KOD]])-(SUMIFS(H:H,D:D,DST_123_ÜRETİM_İHTİYAÇ_RAPORU_BURAK_YENI1309[[#This Row],[ALT_KOD]])+AVERAGEIFS(I:I,D:D,DST_123_ÜRETİM_İHTİYAÇ_RAPORU_BURAK_YENI1309[[#This Row],[ALT_KOD]])+AVERAGEIFS(L:L,D:D,DST_123_ÜRETİM_İHTİYAÇ_RAPORU_BURAK_YENI1309[[#This Row],[ALT_KOD]]))</f>
        <v>-77</v>
      </c>
      <c r="L4869">
        <v>0</v>
      </c>
      <c r="M4869">
        <f>IF((DST_123_ÜRETİM_İHTİYAÇ_RAPORU_BURAK_YENI1309[[#This Row],[SATINALMA]]*DST_123_ÜRETİM_İHTİYAÇ_RAPORU_BURAK_YENI1309[[#This Row],[BIRIM_FIYATLAR]])&lt;1,VALUE("0"),DST_123_ÜRETİM_İHTİYAÇ_RAPORU_BURAK_YENI1309[[#This Row],[SATINALMA]]*DST_123_ÜRETİM_İHTİYAÇ_RAPORU_BURAK_YENI1309[[#This Row],[BIRIM_FIYATLAR]])</f>
        <v>0</v>
      </c>
      <c r="N4869">
        <v>0.44</v>
      </c>
      <c r="O4869" t="s">
        <v>504</v>
      </c>
      <c r="P4869">
        <v>0.88</v>
      </c>
      <c r="Q4869" t="s">
        <v>221</v>
      </c>
    </row>
    <row r="4870" spans="1:17" x14ac:dyDescent="0.25">
      <c r="A4870" t="s">
        <v>1147</v>
      </c>
      <c r="B4870" t="s">
        <v>1145</v>
      </c>
      <c r="C4870" t="s">
        <v>175</v>
      </c>
      <c r="D4870" t="s">
        <v>502</v>
      </c>
      <c r="E4870" t="s">
        <v>503</v>
      </c>
      <c r="F4870">
        <v>2</v>
      </c>
      <c r="G4870" t="s">
        <v>176</v>
      </c>
      <c r="H4870">
        <v>0</v>
      </c>
      <c r="I4870">
        <v>115</v>
      </c>
      <c r="J4870" s="10">
        <v>2</v>
      </c>
      <c r="K4870" s="10">
        <f>SUMIFS(F:F,D:D,DST_123_ÜRETİM_İHTİYAÇ_RAPORU_BURAK_YENI1309[[#This Row],[ALT_KOD]])-(SUMIFS(H:H,D:D,DST_123_ÜRETİM_İHTİYAÇ_RAPORU_BURAK_YENI1309[[#This Row],[ALT_KOD]])+AVERAGEIFS(I:I,D:D,DST_123_ÜRETİM_İHTİYAÇ_RAPORU_BURAK_YENI1309[[#This Row],[ALT_KOD]])+AVERAGEIFS(L:L,D:D,DST_123_ÜRETİM_İHTİYAÇ_RAPORU_BURAK_YENI1309[[#This Row],[ALT_KOD]]))</f>
        <v>-77</v>
      </c>
      <c r="L4870">
        <v>0</v>
      </c>
      <c r="M4870">
        <f>IF((DST_123_ÜRETİM_İHTİYAÇ_RAPORU_BURAK_YENI1309[[#This Row],[SATINALMA]]*DST_123_ÜRETİM_İHTİYAÇ_RAPORU_BURAK_YENI1309[[#This Row],[BIRIM_FIYATLAR]])&lt;1,VALUE("0"),DST_123_ÜRETİM_İHTİYAÇ_RAPORU_BURAK_YENI1309[[#This Row],[SATINALMA]]*DST_123_ÜRETİM_İHTİYAÇ_RAPORU_BURAK_YENI1309[[#This Row],[BIRIM_FIYATLAR]])</f>
        <v>0</v>
      </c>
      <c r="N4870">
        <v>0.44</v>
      </c>
      <c r="O4870" t="s">
        <v>504</v>
      </c>
      <c r="P4870">
        <v>0.88</v>
      </c>
      <c r="Q4870" t="s">
        <v>221</v>
      </c>
    </row>
    <row r="4871" spans="1:17" x14ac:dyDescent="0.25">
      <c r="A4871" t="s">
        <v>1147</v>
      </c>
      <c r="B4871" t="s">
        <v>1145</v>
      </c>
      <c r="C4871" t="s">
        <v>175</v>
      </c>
      <c r="D4871" t="s">
        <v>986</v>
      </c>
      <c r="E4871" t="s">
        <v>987</v>
      </c>
      <c r="F4871">
        <v>2.5</v>
      </c>
      <c r="G4871" t="s">
        <v>185</v>
      </c>
      <c r="H4871">
        <v>0</v>
      </c>
      <c r="I4871">
        <v>139</v>
      </c>
      <c r="J4871" s="10">
        <v>45.499999999999943</v>
      </c>
      <c r="K4871" s="10">
        <f>SUMIFS(F:F,D:D,DST_123_ÜRETİM_İHTİYAÇ_RAPORU_BURAK_YENI1309[[#This Row],[ALT_KOD]])-(SUMIFS(H:H,D:D,DST_123_ÜRETİM_İHTİYAÇ_RAPORU_BURAK_YENI1309[[#This Row],[ALT_KOD]])+AVERAGEIFS(I:I,D:D,DST_123_ÜRETİM_İHTİYAÇ_RAPORU_BURAK_YENI1309[[#This Row],[ALT_KOD]])+AVERAGEIFS(L:L,D:D,DST_123_ÜRETİM_İHTİYAÇ_RAPORU_BURAK_YENI1309[[#This Row],[ALT_KOD]]))</f>
        <v>-124</v>
      </c>
      <c r="L4871">
        <v>0</v>
      </c>
      <c r="M4871">
        <f>IF((DST_123_ÜRETİM_İHTİYAÇ_RAPORU_BURAK_YENI1309[[#This Row],[SATINALMA]]*DST_123_ÜRETİM_İHTİYAÇ_RAPORU_BURAK_YENI1309[[#This Row],[BIRIM_FIYATLAR]])&lt;1,VALUE("0"),DST_123_ÜRETİM_İHTİYAÇ_RAPORU_BURAK_YENI1309[[#This Row],[SATINALMA]]*DST_123_ÜRETİM_İHTİYAÇ_RAPORU_BURAK_YENI1309[[#This Row],[BIRIM_FIYATLAR]])</f>
        <v>0</v>
      </c>
      <c r="N4871">
        <v>233.95</v>
      </c>
      <c r="O4871" t="s">
        <v>490</v>
      </c>
      <c r="P4871">
        <v>584.875</v>
      </c>
      <c r="Q4871" t="s">
        <v>183</v>
      </c>
    </row>
    <row r="4872" spans="1:17" x14ac:dyDescent="0.25">
      <c r="A4872" t="s">
        <v>1057</v>
      </c>
      <c r="B4872" t="s">
        <v>1058</v>
      </c>
      <c r="C4872" t="s">
        <v>175</v>
      </c>
      <c r="D4872" t="s">
        <v>510</v>
      </c>
      <c r="E4872" t="s">
        <v>511</v>
      </c>
      <c r="F4872">
        <v>2</v>
      </c>
      <c r="G4872" t="s">
        <v>176</v>
      </c>
      <c r="H4872">
        <v>0</v>
      </c>
      <c r="I4872">
        <v>0</v>
      </c>
      <c r="J4872" s="10">
        <v>14</v>
      </c>
      <c r="K4872" s="10">
        <f>SUMIFS(F:F,D:D,DST_123_ÜRETİM_İHTİYAÇ_RAPORU_BURAK_YENI1309[[#This Row],[ALT_KOD]])-(SUMIFS(H:H,D:D,DST_123_ÜRETİM_İHTİYAÇ_RAPORU_BURAK_YENI1309[[#This Row],[ALT_KOD]])+AVERAGEIFS(I:I,D:D,DST_123_ÜRETİM_İHTİYAÇ_RAPORU_BURAK_YENI1309[[#This Row],[ALT_KOD]])+AVERAGEIFS(L:L,D:D,DST_123_ÜRETİM_İHTİYAÇ_RAPORU_BURAK_YENI1309[[#This Row],[ALT_KOD]]))</f>
        <v>38</v>
      </c>
      <c r="L4872">
        <v>0</v>
      </c>
      <c r="M4872">
        <f>IF((DST_123_ÜRETİM_İHTİYAÇ_RAPORU_BURAK_YENI1309[[#This Row],[SATINALMA]]*DST_123_ÜRETİM_İHTİYAÇ_RAPORU_BURAK_YENI1309[[#This Row],[BIRIM_FIYATLAR]])&lt;1,VALUE("0"),DST_123_ÜRETİM_İHTİYAÇ_RAPORU_BURAK_YENI1309[[#This Row],[SATINALMA]]*DST_123_ÜRETİM_İHTİYAÇ_RAPORU_BURAK_YENI1309[[#This Row],[BIRIM_FIYATLAR]])</f>
        <v>261.06</v>
      </c>
      <c r="N4872">
        <v>6.87</v>
      </c>
      <c r="O4872" t="s">
        <v>826</v>
      </c>
      <c r="P4872">
        <v>13.74</v>
      </c>
      <c r="Q4872" t="s">
        <v>221</v>
      </c>
    </row>
    <row r="4873" spans="1:17" x14ac:dyDescent="0.25">
      <c r="A4873" t="s">
        <v>1100</v>
      </c>
      <c r="B4873" t="s">
        <v>1058</v>
      </c>
      <c r="C4873" t="s">
        <v>175</v>
      </c>
      <c r="D4873" t="s">
        <v>510</v>
      </c>
      <c r="E4873" t="s">
        <v>511</v>
      </c>
      <c r="F4873">
        <v>2</v>
      </c>
      <c r="G4873" t="s">
        <v>176</v>
      </c>
      <c r="H4873">
        <v>0</v>
      </c>
      <c r="I4873">
        <v>0</v>
      </c>
      <c r="J4873" s="10">
        <v>14</v>
      </c>
      <c r="K4873" s="10">
        <f>SUMIFS(F:F,D:D,DST_123_ÜRETİM_İHTİYAÇ_RAPORU_BURAK_YENI1309[[#This Row],[ALT_KOD]])-(SUMIFS(H:H,D:D,DST_123_ÜRETİM_İHTİYAÇ_RAPORU_BURAK_YENI1309[[#This Row],[ALT_KOD]])+AVERAGEIFS(I:I,D:D,DST_123_ÜRETİM_İHTİYAÇ_RAPORU_BURAK_YENI1309[[#This Row],[ALT_KOD]])+AVERAGEIFS(L:L,D:D,DST_123_ÜRETİM_İHTİYAÇ_RAPORU_BURAK_YENI1309[[#This Row],[ALT_KOD]]))</f>
        <v>38</v>
      </c>
      <c r="L4873">
        <v>0</v>
      </c>
      <c r="M4873">
        <f>IF((DST_123_ÜRETİM_İHTİYAÇ_RAPORU_BURAK_YENI1309[[#This Row],[SATINALMA]]*DST_123_ÜRETİM_İHTİYAÇ_RAPORU_BURAK_YENI1309[[#This Row],[BIRIM_FIYATLAR]])&lt;1,VALUE("0"),DST_123_ÜRETİM_İHTİYAÇ_RAPORU_BURAK_YENI1309[[#This Row],[SATINALMA]]*DST_123_ÜRETİM_İHTİYAÇ_RAPORU_BURAK_YENI1309[[#This Row],[BIRIM_FIYATLAR]])</f>
        <v>261.06</v>
      </c>
      <c r="N4873">
        <v>6.87</v>
      </c>
      <c r="O4873" t="s">
        <v>826</v>
      </c>
      <c r="P4873">
        <v>13.74</v>
      </c>
      <c r="Q4873" t="s">
        <v>221</v>
      </c>
    </row>
    <row r="4874" spans="1:17" x14ac:dyDescent="0.25">
      <c r="A4874" t="s">
        <v>1148</v>
      </c>
      <c r="B4874" t="s">
        <v>1056</v>
      </c>
      <c r="C4874" t="s">
        <v>175</v>
      </c>
      <c r="D4874" t="s">
        <v>502</v>
      </c>
      <c r="E4874" t="s">
        <v>503</v>
      </c>
      <c r="F4874">
        <v>2</v>
      </c>
      <c r="G4874" t="s">
        <v>176</v>
      </c>
      <c r="H4874">
        <v>0</v>
      </c>
      <c r="I4874">
        <v>115</v>
      </c>
      <c r="J4874" s="10">
        <v>2</v>
      </c>
      <c r="K4874" s="10">
        <f>SUMIFS(F:F,D:D,DST_123_ÜRETİM_İHTİYAÇ_RAPORU_BURAK_YENI1309[[#This Row],[ALT_KOD]])-(SUMIFS(H:H,D:D,DST_123_ÜRETİM_İHTİYAÇ_RAPORU_BURAK_YENI1309[[#This Row],[ALT_KOD]])+AVERAGEIFS(I:I,D:D,DST_123_ÜRETİM_İHTİYAÇ_RAPORU_BURAK_YENI1309[[#This Row],[ALT_KOD]])+AVERAGEIFS(L:L,D:D,DST_123_ÜRETİM_İHTİYAÇ_RAPORU_BURAK_YENI1309[[#This Row],[ALT_KOD]]))</f>
        <v>-77</v>
      </c>
      <c r="L4874">
        <v>0</v>
      </c>
      <c r="M4874">
        <f>IF((DST_123_ÜRETİM_İHTİYAÇ_RAPORU_BURAK_YENI1309[[#This Row],[SATINALMA]]*DST_123_ÜRETİM_İHTİYAÇ_RAPORU_BURAK_YENI1309[[#This Row],[BIRIM_FIYATLAR]])&lt;1,VALUE("0"),DST_123_ÜRETİM_İHTİYAÇ_RAPORU_BURAK_YENI1309[[#This Row],[SATINALMA]]*DST_123_ÜRETİM_İHTİYAÇ_RAPORU_BURAK_YENI1309[[#This Row],[BIRIM_FIYATLAR]])</f>
        <v>0</v>
      </c>
      <c r="N4874">
        <v>0.44</v>
      </c>
      <c r="O4874" t="s">
        <v>504</v>
      </c>
      <c r="P4874">
        <v>0.88</v>
      </c>
      <c r="Q4874" t="s">
        <v>221</v>
      </c>
    </row>
    <row r="4875" spans="1:17" x14ac:dyDescent="0.25">
      <c r="A4875" t="s">
        <v>1057</v>
      </c>
      <c r="B4875" t="s">
        <v>1058</v>
      </c>
      <c r="C4875" t="s">
        <v>175</v>
      </c>
      <c r="D4875" t="s">
        <v>986</v>
      </c>
      <c r="E4875" t="s">
        <v>987</v>
      </c>
      <c r="F4875">
        <v>2</v>
      </c>
      <c r="G4875" t="s">
        <v>185</v>
      </c>
      <c r="H4875">
        <v>2</v>
      </c>
      <c r="I4875">
        <v>139</v>
      </c>
      <c r="J4875" s="10">
        <v>45.499999999999943</v>
      </c>
      <c r="K4875" s="10">
        <f>SUMIFS(F:F,D:D,DST_123_ÜRETİM_İHTİYAÇ_RAPORU_BURAK_YENI1309[[#This Row],[ALT_KOD]])-(SUMIFS(H:H,D:D,DST_123_ÜRETİM_İHTİYAÇ_RAPORU_BURAK_YENI1309[[#This Row],[ALT_KOD]])+AVERAGEIFS(I:I,D:D,DST_123_ÜRETİM_İHTİYAÇ_RAPORU_BURAK_YENI1309[[#This Row],[ALT_KOD]])+AVERAGEIFS(L:L,D:D,DST_123_ÜRETİM_İHTİYAÇ_RAPORU_BURAK_YENI1309[[#This Row],[ALT_KOD]]))</f>
        <v>-124</v>
      </c>
      <c r="L4875">
        <v>0</v>
      </c>
      <c r="M4875">
        <f>IF((DST_123_ÜRETİM_İHTİYAÇ_RAPORU_BURAK_YENI1309[[#This Row],[SATINALMA]]*DST_123_ÜRETİM_İHTİYAÇ_RAPORU_BURAK_YENI1309[[#This Row],[BIRIM_FIYATLAR]])&lt;1,VALUE("0"),DST_123_ÜRETİM_İHTİYAÇ_RAPORU_BURAK_YENI1309[[#This Row],[SATINALMA]]*DST_123_ÜRETİM_İHTİYAÇ_RAPORU_BURAK_YENI1309[[#This Row],[BIRIM_FIYATLAR]])</f>
        <v>0</v>
      </c>
      <c r="N4875">
        <v>233.95</v>
      </c>
      <c r="O4875" t="s">
        <v>490</v>
      </c>
      <c r="P4875">
        <v>467.9</v>
      </c>
      <c r="Q4875" t="s">
        <v>183</v>
      </c>
    </row>
    <row r="4876" spans="1:17" x14ac:dyDescent="0.25">
      <c r="A4876" t="s">
        <v>1147</v>
      </c>
      <c r="B4876" t="s">
        <v>1145</v>
      </c>
      <c r="C4876" t="s">
        <v>175</v>
      </c>
      <c r="D4876" t="s">
        <v>510</v>
      </c>
      <c r="E4876" t="s">
        <v>511</v>
      </c>
      <c r="F4876">
        <v>2</v>
      </c>
      <c r="G4876" t="s">
        <v>176</v>
      </c>
      <c r="H4876">
        <v>0</v>
      </c>
      <c r="I4876">
        <v>0</v>
      </c>
      <c r="J4876" s="10">
        <v>14</v>
      </c>
      <c r="K4876" s="10">
        <f>SUMIFS(F:F,D:D,DST_123_ÜRETİM_İHTİYAÇ_RAPORU_BURAK_YENI1309[[#This Row],[ALT_KOD]])-(SUMIFS(H:H,D:D,DST_123_ÜRETİM_İHTİYAÇ_RAPORU_BURAK_YENI1309[[#This Row],[ALT_KOD]])+AVERAGEIFS(I:I,D:D,DST_123_ÜRETİM_İHTİYAÇ_RAPORU_BURAK_YENI1309[[#This Row],[ALT_KOD]])+AVERAGEIFS(L:L,D:D,DST_123_ÜRETİM_İHTİYAÇ_RAPORU_BURAK_YENI1309[[#This Row],[ALT_KOD]]))</f>
        <v>38</v>
      </c>
      <c r="L4876">
        <v>0</v>
      </c>
      <c r="M4876">
        <f>IF((DST_123_ÜRETİM_İHTİYAÇ_RAPORU_BURAK_YENI1309[[#This Row],[SATINALMA]]*DST_123_ÜRETİM_İHTİYAÇ_RAPORU_BURAK_YENI1309[[#This Row],[BIRIM_FIYATLAR]])&lt;1,VALUE("0"),DST_123_ÜRETİM_İHTİYAÇ_RAPORU_BURAK_YENI1309[[#This Row],[SATINALMA]]*DST_123_ÜRETİM_İHTİYAÇ_RAPORU_BURAK_YENI1309[[#This Row],[BIRIM_FIYATLAR]])</f>
        <v>261.06</v>
      </c>
      <c r="N4876">
        <v>6.87</v>
      </c>
      <c r="O4876" t="s">
        <v>826</v>
      </c>
      <c r="P4876">
        <v>13.74</v>
      </c>
      <c r="Q4876" t="s">
        <v>221</v>
      </c>
    </row>
    <row r="4877" spans="1:17" x14ac:dyDescent="0.25">
      <c r="A4877" t="s">
        <v>1148</v>
      </c>
      <c r="B4877" t="s">
        <v>1056</v>
      </c>
      <c r="C4877" t="s">
        <v>175</v>
      </c>
      <c r="D4877" t="s">
        <v>510</v>
      </c>
      <c r="E4877" t="s">
        <v>511</v>
      </c>
      <c r="F4877">
        <v>2</v>
      </c>
      <c r="G4877" t="s">
        <v>176</v>
      </c>
      <c r="H4877">
        <v>0</v>
      </c>
      <c r="I4877">
        <v>0</v>
      </c>
      <c r="J4877" s="10">
        <v>14</v>
      </c>
      <c r="K4877" s="10">
        <f>SUMIFS(F:F,D:D,DST_123_ÜRETİM_İHTİYAÇ_RAPORU_BURAK_YENI1309[[#This Row],[ALT_KOD]])-(SUMIFS(H:H,D:D,DST_123_ÜRETİM_İHTİYAÇ_RAPORU_BURAK_YENI1309[[#This Row],[ALT_KOD]])+AVERAGEIFS(I:I,D:D,DST_123_ÜRETİM_İHTİYAÇ_RAPORU_BURAK_YENI1309[[#This Row],[ALT_KOD]])+AVERAGEIFS(L:L,D:D,DST_123_ÜRETİM_İHTİYAÇ_RAPORU_BURAK_YENI1309[[#This Row],[ALT_KOD]]))</f>
        <v>38</v>
      </c>
      <c r="L4877">
        <v>0</v>
      </c>
      <c r="M4877">
        <f>IF((DST_123_ÜRETİM_İHTİYAÇ_RAPORU_BURAK_YENI1309[[#This Row],[SATINALMA]]*DST_123_ÜRETİM_İHTİYAÇ_RAPORU_BURAK_YENI1309[[#This Row],[BIRIM_FIYATLAR]])&lt;1,VALUE("0"),DST_123_ÜRETİM_İHTİYAÇ_RAPORU_BURAK_YENI1309[[#This Row],[SATINALMA]]*DST_123_ÜRETİM_İHTİYAÇ_RAPORU_BURAK_YENI1309[[#This Row],[BIRIM_FIYATLAR]])</f>
        <v>261.06</v>
      </c>
      <c r="N4877">
        <v>6.87</v>
      </c>
      <c r="O4877" t="s">
        <v>826</v>
      </c>
      <c r="P4877">
        <v>13.74</v>
      </c>
      <c r="Q4877" t="s">
        <v>221</v>
      </c>
    </row>
    <row r="4878" spans="1:17" x14ac:dyDescent="0.25">
      <c r="A4878" t="s">
        <v>1150</v>
      </c>
      <c r="B4878" t="s">
        <v>1145</v>
      </c>
      <c r="C4878" t="s">
        <v>175</v>
      </c>
      <c r="D4878" t="s">
        <v>986</v>
      </c>
      <c r="E4878" t="s">
        <v>987</v>
      </c>
      <c r="F4878">
        <v>2.5</v>
      </c>
      <c r="G4878" t="s">
        <v>185</v>
      </c>
      <c r="H4878">
        <v>0</v>
      </c>
      <c r="I4878">
        <v>139</v>
      </c>
      <c r="J4878" s="10">
        <v>45.499999999999943</v>
      </c>
      <c r="K4878" s="10">
        <f>SUMIFS(F:F,D:D,DST_123_ÜRETİM_İHTİYAÇ_RAPORU_BURAK_YENI1309[[#This Row],[ALT_KOD]])-(SUMIFS(H:H,D:D,DST_123_ÜRETİM_İHTİYAÇ_RAPORU_BURAK_YENI1309[[#This Row],[ALT_KOD]])+AVERAGEIFS(I:I,D:D,DST_123_ÜRETİM_İHTİYAÇ_RAPORU_BURAK_YENI1309[[#This Row],[ALT_KOD]])+AVERAGEIFS(L:L,D:D,DST_123_ÜRETİM_İHTİYAÇ_RAPORU_BURAK_YENI1309[[#This Row],[ALT_KOD]]))</f>
        <v>-124</v>
      </c>
      <c r="L4878">
        <v>0</v>
      </c>
      <c r="M4878">
        <f>IF((DST_123_ÜRETİM_İHTİYAÇ_RAPORU_BURAK_YENI1309[[#This Row],[SATINALMA]]*DST_123_ÜRETİM_İHTİYAÇ_RAPORU_BURAK_YENI1309[[#This Row],[BIRIM_FIYATLAR]])&lt;1,VALUE("0"),DST_123_ÜRETİM_İHTİYAÇ_RAPORU_BURAK_YENI1309[[#This Row],[SATINALMA]]*DST_123_ÜRETİM_İHTİYAÇ_RAPORU_BURAK_YENI1309[[#This Row],[BIRIM_FIYATLAR]])</f>
        <v>0</v>
      </c>
      <c r="N4878">
        <v>233.95</v>
      </c>
      <c r="O4878" t="s">
        <v>490</v>
      </c>
      <c r="P4878">
        <v>584.875</v>
      </c>
      <c r="Q4878" t="s">
        <v>183</v>
      </c>
    </row>
    <row r="4879" spans="1:17" x14ac:dyDescent="0.25">
      <c r="A4879" t="s">
        <v>1149</v>
      </c>
      <c r="B4879" t="s">
        <v>1145</v>
      </c>
      <c r="C4879" t="s">
        <v>175</v>
      </c>
      <c r="D4879" t="s">
        <v>976</v>
      </c>
      <c r="E4879" t="s">
        <v>977</v>
      </c>
      <c r="F4879">
        <v>4</v>
      </c>
      <c r="G4879" t="s">
        <v>176</v>
      </c>
      <c r="H4879">
        <v>0</v>
      </c>
      <c r="I4879">
        <v>0</v>
      </c>
      <c r="J4879" s="10">
        <v>0</v>
      </c>
      <c r="K4879" s="10">
        <f>SUMIFS(F:F,D:D,DST_123_ÜRETİM_İHTİYAÇ_RAPORU_BURAK_YENI1309[[#This Row],[ALT_KOD]])-(SUMIFS(H:H,D:D,DST_123_ÜRETİM_İHTİYAÇ_RAPORU_BURAK_YENI1309[[#This Row],[ALT_KOD]])+AVERAGEIFS(I:I,D:D,DST_123_ÜRETİM_İHTİYAÇ_RAPORU_BURAK_YENI1309[[#This Row],[ALT_KOD]])+AVERAGEIFS(L:L,D:D,DST_123_ÜRETİM_İHTİYAÇ_RAPORU_BURAK_YENI1309[[#This Row],[ALT_KOD]]))</f>
        <v>6</v>
      </c>
      <c r="L4879">
        <v>6</v>
      </c>
      <c r="M4879">
        <f>IF((DST_123_ÜRETİM_İHTİYAÇ_RAPORU_BURAK_YENI1309[[#This Row],[SATINALMA]]*DST_123_ÜRETİM_İHTİYAÇ_RAPORU_BURAK_YENI1309[[#This Row],[BIRIM_FIYATLAR]])&lt;1,VALUE("0"),DST_123_ÜRETİM_İHTİYAÇ_RAPORU_BURAK_YENI1309[[#This Row],[SATINALMA]]*DST_123_ÜRETİM_İHTİYAÇ_RAPORU_BURAK_YENI1309[[#This Row],[BIRIM_FIYATLAR]])</f>
        <v>16021.439999999999</v>
      </c>
      <c r="N4879">
        <v>2670.24</v>
      </c>
      <c r="O4879" t="s">
        <v>978</v>
      </c>
      <c r="P4879">
        <v>10680.96</v>
      </c>
      <c r="Q4879" t="s">
        <v>181</v>
      </c>
    </row>
    <row r="4880" spans="1:17" x14ac:dyDescent="0.25">
      <c r="A4880" t="s">
        <v>1146</v>
      </c>
      <c r="B4880" t="s">
        <v>1145</v>
      </c>
      <c r="C4880" t="s">
        <v>175</v>
      </c>
      <c r="D4880" t="s">
        <v>976</v>
      </c>
      <c r="E4880" t="s">
        <v>977</v>
      </c>
      <c r="F4880">
        <v>4</v>
      </c>
      <c r="G4880" t="s">
        <v>176</v>
      </c>
      <c r="H4880">
        <v>0</v>
      </c>
      <c r="I4880">
        <v>0</v>
      </c>
      <c r="J4880" s="10">
        <v>0</v>
      </c>
      <c r="K4880" s="10">
        <f>SUMIFS(F:F,D:D,DST_123_ÜRETİM_İHTİYAÇ_RAPORU_BURAK_YENI1309[[#This Row],[ALT_KOD]])-(SUMIFS(H:H,D:D,DST_123_ÜRETİM_İHTİYAÇ_RAPORU_BURAK_YENI1309[[#This Row],[ALT_KOD]])+AVERAGEIFS(I:I,D:D,DST_123_ÜRETİM_İHTİYAÇ_RAPORU_BURAK_YENI1309[[#This Row],[ALT_KOD]])+AVERAGEIFS(L:L,D:D,DST_123_ÜRETİM_İHTİYAÇ_RAPORU_BURAK_YENI1309[[#This Row],[ALT_KOD]]))</f>
        <v>6</v>
      </c>
      <c r="L4880">
        <v>6</v>
      </c>
      <c r="M4880">
        <f>IF((DST_123_ÜRETİM_İHTİYAÇ_RAPORU_BURAK_YENI1309[[#This Row],[SATINALMA]]*DST_123_ÜRETİM_İHTİYAÇ_RAPORU_BURAK_YENI1309[[#This Row],[BIRIM_FIYATLAR]])&lt;1,VALUE("0"),DST_123_ÜRETİM_İHTİYAÇ_RAPORU_BURAK_YENI1309[[#This Row],[SATINALMA]]*DST_123_ÜRETİM_İHTİYAÇ_RAPORU_BURAK_YENI1309[[#This Row],[BIRIM_FIYATLAR]])</f>
        <v>16021.439999999999</v>
      </c>
      <c r="N4880">
        <v>2670.24</v>
      </c>
      <c r="O4880" t="s">
        <v>978</v>
      </c>
      <c r="P4880">
        <v>10680.96</v>
      </c>
      <c r="Q4880" t="s">
        <v>181</v>
      </c>
    </row>
    <row r="4881" spans="1:17" x14ac:dyDescent="0.25">
      <c r="A4881" t="s">
        <v>1196</v>
      </c>
      <c r="B4881" t="s">
        <v>1197</v>
      </c>
      <c r="C4881" t="s">
        <v>175</v>
      </c>
      <c r="D4881" t="s">
        <v>510</v>
      </c>
      <c r="E4881" t="s">
        <v>511</v>
      </c>
      <c r="F4881">
        <v>2</v>
      </c>
      <c r="G4881" t="s">
        <v>176</v>
      </c>
      <c r="H4881">
        <v>0</v>
      </c>
      <c r="I4881">
        <v>0</v>
      </c>
      <c r="J4881" s="10">
        <v>14</v>
      </c>
      <c r="K4881" s="10">
        <f>SUMIFS(F:F,D:D,DST_123_ÜRETİM_İHTİYAÇ_RAPORU_BURAK_YENI1309[[#This Row],[ALT_KOD]])-(SUMIFS(H:H,D:D,DST_123_ÜRETİM_İHTİYAÇ_RAPORU_BURAK_YENI1309[[#This Row],[ALT_KOD]])+AVERAGEIFS(I:I,D:D,DST_123_ÜRETİM_İHTİYAÇ_RAPORU_BURAK_YENI1309[[#This Row],[ALT_KOD]])+AVERAGEIFS(L:L,D:D,DST_123_ÜRETİM_İHTİYAÇ_RAPORU_BURAK_YENI1309[[#This Row],[ALT_KOD]]))</f>
        <v>38</v>
      </c>
      <c r="L4881">
        <v>0</v>
      </c>
      <c r="M4881">
        <f>IF((DST_123_ÜRETİM_İHTİYAÇ_RAPORU_BURAK_YENI1309[[#This Row],[SATINALMA]]*DST_123_ÜRETİM_İHTİYAÇ_RAPORU_BURAK_YENI1309[[#This Row],[BIRIM_FIYATLAR]])&lt;1,VALUE("0"),DST_123_ÜRETİM_İHTİYAÇ_RAPORU_BURAK_YENI1309[[#This Row],[SATINALMA]]*DST_123_ÜRETİM_İHTİYAÇ_RAPORU_BURAK_YENI1309[[#This Row],[BIRIM_FIYATLAR]])</f>
        <v>261.06</v>
      </c>
      <c r="N4881">
        <v>6.87</v>
      </c>
      <c r="O4881" t="s">
        <v>826</v>
      </c>
      <c r="P4881">
        <v>13.74</v>
      </c>
      <c r="Q4881" t="s">
        <v>221</v>
      </c>
    </row>
    <row r="4882" spans="1:17" x14ac:dyDescent="0.25">
      <c r="A4882" t="s">
        <v>1147</v>
      </c>
      <c r="B4882" t="s">
        <v>1145</v>
      </c>
      <c r="C4882" t="s">
        <v>175</v>
      </c>
      <c r="D4882" t="s">
        <v>976</v>
      </c>
      <c r="E4882" t="s">
        <v>977</v>
      </c>
      <c r="F4882">
        <v>4</v>
      </c>
      <c r="G4882" t="s">
        <v>176</v>
      </c>
      <c r="H4882">
        <v>0</v>
      </c>
      <c r="I4882">
        <v>0</v>
      </c>
      <c r="J4882" s="10">
        <v>0</v>
      </c>
      <c r="K4882" s="10">
        <f>SUMIFS(F:F,D:D,DST_123_ÜRETİM_İHTİYAÇ_RAPORU_BURAK_YENI1309[[#This Row],[ALT_KOD]])-(SUMIFS(H:H,D:D,DST_123_ÜRETİM_İHTİYAÇ_RAPORU_BURAK_YENI1309[[#This Row],[ALT_KOD]])+AVERAGEIFS(I:I,D:D,DST_123_ÜRETİM_İHTİYAÇ_RAPORU_BURAK_YENI1309[[#This Row],[ALT_KOD]])+AVERAGEIFS(L:L,D:D,DST_123_ÜRETİM_İHTİYAÇ_RAPORU_BURAK_YENI1309[[#This Row],[ALT_KOD]]))</f>
        <v>6</v>
      </c>
      <c r="L4882">
        <v>6</v>
      </c>
      <c r="M4882">
        <f>IF((DST_123_ÜRETİM_İHTİYAÇ_RAPORU_BURAK_YENI1309[[#This Row],[SATINALMA]]*DST_123_ÜRETİM_İHTİYAÇ_RAPORU_BURAK_YENI1309[[#This Row],[BIRIM_FIYATLAR]])&lt;1,VALUE("0"),DST_123_ÜRETİM_İHTİYAÇ_RAPORU_BURAK_YENI1309[[#This Row],[SATINALMA]]*DST_123_ÜRETİM_İHTİYAÇ_RAPORU_BURAK_YENI1309[[#This Row],[BIRIM_FIYATLAR]])</f>
        <v>16021.439999999999</v>
      </c>
      <c r="N4882">
        <v>2670.24</v>
      </c>
      <c r="O4882" t="s">
        <v>978</v>
      </c>
      <c r="P4882">
        <v>10680.96</v>
      </c>
      <c r="Q4882" t="s">
        <v>181</v>
      </c>
    </row>
    <row r="4883" spans="1:17" x14ac:dyDescent="0.25">
      <c r="A4883" t="s">
        <v>1150</v>
      </c>
      <c r="B4883" t="s">
        <v>1145</v>
      </c>
      <c r="C4883" t="s">
        <v>175</v>
      </c>
      <c r="D4883" t="s">
        <v>510</v>
      </c>
      <c r="E4883" t="s">
        <v>511</v>
      </c>
      <c r="F4883">
        <v>2</v>
      </c>
      <c r="G4883" t="s">
        <v>176</v>
      </c>
      <c r="H4883">
        <v>0</v>
      </c>
      <c r="I4883">
        <v>0</v>
      </c>
      <c r="J4883" s="10">
        <v>14</v>
      </c>
      <c r="K4883" s="10">
        <f>SUMIFS(F:F,D:D,DST_123_ÜRETİM_İHTİYAÇ_RAPORU_BURAK_YENI1309[[#This Row],[ALT_KOD]])-(SUMIFS(H:H,D:D,DST_123_ÜRETİM_İHTİYAÇ_RAPORU_BURAK_YENI1309[[#This Row],[ALT_KOD]])+AVERAGEIFS(I:I,D:D,DST_123_ÜRETİM_İHTİYAÇ_RAPORU_BURAK_YENI1309[[#This Row],[ALT_KOD]])+AVERAGEIFS(L:L,D:D,DST_123_ÜRETİM_İHTİYAÇ_RAPORU_BURAK_YENI1309[[#This Row],[ALT_KOD]]))</f>
        <v>38</v>
      </c>
      <c r="L4883">
        <v>0</v>
      </c>
      <c r="M4883">
        <f>IF((DST_123_ÜRETİM_İHTİYAÇ_RAPORU_BURAK_YENI1309[[#This Row],[SATINALMA]]*DST_123_ÜRETİM_İHTİYAÇ_RAPORU_BURAK_YENI1309[[#This Row],[BIRIM_FIYATLAR]])&lt;1,VALUE("0"),DST_123_ÜRETİM_İHTİYAÇ_RAPORU_BURAK_YENI1309[[#This Row],[SATINALMA]]*DST_123_ÜRETİM_İHTİYAÇ_RAPORU_BURAK_YENI1309[[#This Row],[BIRIM_FIYATLAR]])</f>
        <v>261.06</v>
      </c>
      <c r="N4883">
        <v>6.87</v>
      </c>
      <c r="O4883" t="s">
        <v>826</v>
      </c>
      <c r="P4883">
        <v>13.74</v>
      </c>
      <c r="Q4883" t="s">
        <v>221</v>
      </c>
    </row>
    <row r="4884" spans="1:17" x14ac:dyDescent="0.25">
      <c r="A4884" t="s">
        <v>1099</v>
      </c>
      <c r="B4884" t="s">
        <v>1055</v>
      </c>
      <c r="C4884" t="s">
        <v>175</v>
      </c>
      <c r="D4884" t="s">
        <v>510</v>
      </c>
      <c r="E4884" t="s">
        <v>511</v>
      </c>
      <c r="F4884">
        <v>2</v>
      </c>
      <c r="G4884" t="s">
        <v>176</v>
      </c>
      <c r="H4884">
        <v>0</v>
      </c>
      <c r="I4884">
        <v>0</v>
      </c>
      <c r="J4884" s="10">
        <v>14</v>
      </c>
      <c r="K4884" s="10">
        <f>SUMIFS(F:F,D:D,DST_123_ÜRETİM_İHTİYAÇ_RAPORU_BURAK_YENI1309[[#This Row],[ALT_KOD]])-(SUMIFS(H:H,D:D,DST_123_ÜRETİM_İHTİYAÇ_RAPORU_BURAK_YENI1309[[#This Row],[ALT_KOD]])+AVERAGEIFS(I:I,D:D,DST_123_ÜRETİM_İHTİYAÇ_RAPORU_BURAK_YENI1309[[#This Row],[ALT_KOD]])+AVERAGEIFS(L:L,D:D,DST_123_ÜRETİM_İHTİYAÇ_RAPORU_BURAK_YENI1309[[#This Row],[ALT_KOD]]))</f>
        <v>38</v>
      </c>
      <c r="L4884">
        <v>0</v>
      </c>
      <c r="M4884">
        <f>IF((DST_123_ÜRETİM_İHTİYAÇ_RAPORU_BURAK_YENI1309[[#This Row],[SATINALMA]]*DST_123_ÜRETİM_İHTİYAÇ_RAPORU_BURAK_YENI1309[[#This Row],[BIRIM_FIYATLAR]])&lt;1,VALUE("0"),DST_123_ÜRETİM_İHTİYAÇ_RAPORU_BURAK_YENI1309[[#This Row],[SATINALMA]]*DST_123_ÜRETİM_İHTİYAÇ_RAPORU_BURAK_YENI1309[[#This Row],[BIRIM_FIYATLAR]])</f>
        <v>261.06</v>
      </c>
      <c r="N4884">
        <v>6.87</v>
      </c>
      <c r="O4884" t="s">
        <v>826</v>
      </c>
      <c r="P4884">
        <v>13.74</v>
      </c>
      <c r="Q4884" t="s">
        <v>221</v>
      </c>
    </row>
    <row r="4885" spans="1:17" x14ac:dyDescent="0.25">
      <c r="A4885" t="s">
        <v>1057</v>
      </c>
      <c r="B4885" t="s">
        <v>1058</v>
      </c>
      <c r="C4885" t="s">
        <v>175</v>
      </c>
      <c r="D4885" t="s">
        <v>502</v>
      </c>
      <c r="E4885" t="s">
        <v>503</v>
      </c>
      <c r="F4885">
        <v>2</v>
      </c>
      <c r="G4885" t="s">
        <v>176</v>
      </c>
      <c r="H4885">
        <v>0</v>
      </c>
      <c r="I4885">
        <v>115</v>
      </c>
      <c r="J4885" s="10">
        <v>2</v>
      </c>
      <c r="K4885" s="10">
        <f>SUMIFS(F:F,D:D,DST_123_ÜRETİM_İHTİYAÇ_RAPORU_BURAK_YENI1309[[#This Row],[ALT_KOD]])-(SUMIFS(H:H,D:D,DST_123_ÜRETİM_İHTİYAÇ_RAPORU_BURAK_YENI1309[[#This Row],[ALT_KOD]])+AVERAGEIFS(I:I,D:D,DST_123_ÜRETİM_İHTİYAÇ_RAPORU_BURAK_YENI1309[[#This Row],[ALT_KOD]])+AVERAGEIFS(L:L,D:D,DST_123_ÜRETİM_İHTİYAÇ_RAPORU_BURAK_YENI1309[[#This Row],[ALT_KOD]]))</f>
        <v>-77</v>
      </c>
      <c r="L4885">
        <v>0</v>
      </c>
      <c r="M4885">
        <f>IF((DST_123_ÜRETİM_İHTİYAÇ_RAPORU_BURAK_YENI1309[[#This Row],[SATINALMA]]*DST_123_ÜRETİM_İHTİYAÇ_RAPORU_BURAK_YENI1309[[#This Row],[BIRIM_FIYATLAR]])&lt;1,VALUE("0"),DST_123_ÜRETİM_İHTİYAÇ_RAPORU_BURAK_YENI1309[[#This Row],[SATINALMA]]*DST_123_ÜRETİM_İHTİYAÇ_RAPORU_BURAK_YENI1309[[#This Row],[BIRIM_FIYATLAR]])</f>
        <v>0</v>
      </c>
      <c r="N4885">
        <v>0.44</v>
      </c>
      <c r="O4885" t="s">
        <v>504</v>
      </c>
      <c r="P4885">
        <v>0.88</v>
      </c>
      <c r="Q4885" t="s">
        <v>221</v>
      </c>
    </row>
    <row r="4886" spans="1:17" x14ac:dyDescent="0.25">
      <c r="A4886" t="s">
        <v>1101</v>
      </c>
      <c r="B4886" t="s">
        <v>1102</v>
      </c>
      <c r="C4886" t="s">
        <v>175</v>
      </c>
      <c r="D4886" t="s">
        <v>502</v>
      </c>
      <c r="E4886" t="s">
        <v>503</v>
      </c>
      <c r="F4886">
        <v>2</v>
      </c>
      <c r="G4886" t="s">
        <v>176</v>
      </c>
      <c r="H4886">
        <v>0</v>
      </c>
      <c r="I4886">
        <v>115</v>
      </c>
      <c r="J4886" s="10">
        <v>2</v>
      </c>
      <c r="K4886" s="10">
        <f>SUMIFS(F:F,D:D,DST_123_ÜRETİM_İHTİYAÇ_RAPORU_BURAK_YENI1309[[#This Row],[ALT_KOD]])-(SUMIFS(H:H,D:D,DST_123_ÜRETİM_İHTİYAÇ_RAPORU_BURAK_YENI1309[[#This Row],[ALT_KOD]])+AVERAGEIFS(I:I,D:D,DST_123_ÜRETİM_İHTİYAÇ_RAPORU_BURAK_YENI1309[[#This Row],[ALT_KOD]])+AVERAGEIFS(L:L,D:D,DST_123_ÜRETİM_İHTİYAÇ_RAPORU_BURAK_YENI1309[[#This Row],[ALT_KOD]]))</f>
        <v>-77</v>
      </c>
      <c r="L4886">
        <v>0</v>
      </c>
      <c r="M4886">
        <f>IF((DST_123_ÜRETİM_İHTİYAÇ_RAPORU_BURAK_YENI1309[[#This Row],[SATINALMA]]*DST_123_ÜRETİM_İHTİYAÇ_RAPORU_BURAK_YENI1309[[#This Row],[BIRIM_FIYATLAR]])&lt;1,VALUE("0"),DST_123_ÜRETİM_İHTİYAÇ_RAPORU_BURAK_YENI1309[[#This Row],[SATINALMA]]*DST_123_ÜRETİM_İHTİYAÇ_RAPORU_BURAK_YENI1309[[#This Row],[BIRIM_FIYATLAR]])</f>
        <v>0</v>
      </c>
      <c r="N4886">
        <v>0.44</v>
      </c>
      <c r="O4886" t="s">
        <v>504</v>
      </c>
      <c r="P4886">
        <v>0.88</v>
      </c>
      <c r="Q4886" t="s">
        <v>221</v>
      </c>
    </row>
    <row r="4887" spans="1:17" x14ac:dyDescent="0.25">
      <c r="A4887" t="s">
        <v>1101</v>
      </c>
      <c r="B4887" t="s">
        <v>1102</v>
      </c>
      <c r="C4887" t="s">
        <v>175</v>
      </c>
      <c r="D4887" t="s">
        <v>510</v>
      </c>
      <c r="E4887" t="s">
        <v>511</v>
      </c>
      <c r="F4887">
        <v>2</v>
      </c>
      <c r="G4887" t="s">
        <v>176</v>
      </c>
      <c r="H4887">
        <v>0</v>
      </c>
      <c r="I4887">
        <v>0</v>
      </c>
      <c r="J4887" s="10">
        <v>14</v>
      </c>
      <c r="K4887" s="10">
        <f>SUMIFS(F:F,D:D,DST_123_ÜRETİM_İHTİYAÇ_RAPORU_BURAK_YENI1309[[#This Row],[ALT_KOD]])-(SUMIFS(H:H,D:D,DST_123_ÜRETİM_İHTİYAÇ_RAPORU_BURAK_YENI1309[[#This Row],[ALT_KOD]])+AVERAGEIFS(I:I,D:D,DST_123_ÜRETİM_İHTİYAÇ_RAPORU_BURAK_YENI1309[[#This Row],[ALT_KOD]])+AVERAGEIFS(L:L,D:D,DST_123_ÜRETİM_İHTİYAÇ_RAPORU_BURAK_YENI1309[[#This Row],[ALT_KOD]]))</f>
        <v>38</v>
      </c>
      <c r="L4887">
        <v>0</v>
      </c>
      <c r="M4887">
        <f>IF((DST_123_ÜRETİM_İHTİYAÇ_RAPORU_BURAK_YENI1309[[#This Row],[SATINALMA]]*DST_123_ÜRETİM_İHTİYAÇ_RAPORU_BURAK_YENI1309[[#This Row],[BIRIM_FIYATLAR]])&lt;1,VALUE("0"),DST_123_ÜRETİM_İHTİYAÇ_RAPORU_BURAK_YENI1309[[#This Row],[SATINALMA]]*DST_123_ÜRETİM_İHTİYAÇ_RAPORU_BURAK_YENI1309[[#This Row],[BIRIM_FIYATLAR]])</f>
        <v>261.06</v>
      </c>
      <c r="N4887">
        <v>6.87</v>
      </c>
      <c r="O4887" t="s">
        <v>826</v>
      </c>
      <c r="P4887">
        <v>13.74</v>
      </c>
      <c r="Q4887" t="s">
        <v>221</v>
      </c>
    </row>
    <row r="4888" spans="1:17" x14ac:dyDescent="0.25">
      <c r="A4888" t="s">
        <v>1101</v>
      </c>
      <c r="B4888" t="s">
        <v>1102</v>
      </c>
      <c r="C4888" t="s">
        <v>175</v>
      </c>
      <c r="D4888" t="s">
        <v>972</v>
      </c>
      <c r="E4888" t="s">
        <v>973</v>
      </c>
      <c r="F4888">
        <v>1</v>
      </c>
      <c r="G4888" t="s">
        <v>179</v>
      </c>
      <c r="H4888">
        <v>0</v>
      </c>
      <c r="I4888">
        <v>50</v>
      </c>
      <c r="J4888" s="10">
        <v>0</v>
      </c>
      <c r="K4888" s="10">
        <f>SUMIFS(F:F,D:D,DST_123_ÜRETİM_İHTİYAÇ_RAPORU_BURAK_YENI1309[[#This Row],[ALT_KOD]])-(SUMIFS(H:H,D:D,DST_123_ÜRETİM_İHTİYAÇ_RAPORU_BURAK_YENI1309[[#This Row],[ALT_KOD]])+AVERAGEIFS(I:I,D:D,DST_123_ÜRETİM_İHTİYAÇ_RAPORU_BURAK_YENI1309[[#This Row],[ALT_KOD]])+AVERAGEIFS(L:L,D:D,DST_123_ÜRETİM_İHTİYAÇ_RAPORU_BURAK_YENI1309[[#This Row],[ALT_KOD]]))</f>
        <v>-48</v>
      </c>
      <c r="L4888">
        <v>0</v>
      </c>
      <c r="M4888">
        <f>IF((DST_123_ÜRETİM_İHTİYAÇ_RAPORU_BURAK_YENI1309[[#This Row],[SATINALMA]]*DST_123_ÜRETİM_İHTİYAÇ_RAPORU_BURAK_YENI1309[[#This Row],[BIRIM_FIYATLAR]])&lt;1,VALUE("0"),DST_123_ÜRETİM_İHTİYAÇ_RAPORU_BURAK_YENI1309[[#This Row],[SATINALMA]]*DST_123_ÜRETİM_İHTİYAÇ_RAPORU_BURAK_YENI1309[[#This Row],[BIRIM_FIYATLAR]])</f>
        <v>0</v>
      </c>
      <c r="N4888">
        <v>180</v>
      </c>
      <c r="O4888" t="s">
        <v>314</v>
      </c>
      <c r="P4888">
        <v>180</v>
      </c>
      <c r="Q4888" t="s">
        <v>178</v>
      </c>
    </row>
    <row r="4889" spans="1:17" x14ac:dyDescent="0.25">
      <c r="A4889" t="s">
        <v>1144</v>
      </c>
      <c r="B4889" t="s">
        <v>1145</v>
      </c>
      <c r="C4889" t="s">
        <v>175</v>
      </c>
      <c r="D4889" t="s">
        <v>986</v>
      </c>
      <c r="E4889" t="s">
        <v>987</v>
      </c>
      <c r="F4889">
        <v>2.5</v>
      </c>
      <c r="G4889" t="s">
        <v>185</v>
      </c>
      <c r="H4889">
        <v>0</v>
      </c>
      <c r="I4889">
        <v>139</v>
      </c>
      <c r="J4889" s="10">
        <v>45.499999999999943</v>
      </c>
      <c r="K4889" s="10">
        <f>SUMIFS(F:F,D:D,DST_123_ÜRETİM_İHTİYAÇ_RAPORU_BURAK_YENI1309[[#This Row],[ALT_KOD]])-(SUMIFS(H:H,D:D,DST_123_ÜRETİM_İHTİYAÇ_RAPORU_BURAK_YENI1309[[#This Row],[ALT_KOD]])+AVERAGEIFS(I:I,D:D,DST_123_ÜRETİM_İHTİYAÇ_RAPORU_BURAK_YENI1309[[#This Row],[ALT_KOD]])+AVERAGEIFS(L:L,D:D,DST_123_ÜRETİM_İHTİYAÇ_RAPORU_BURAK_YENI1309[[#This Row],[ALT_KOD]]))</f>
        <v>-124</v>
      </c>
      <c r="L4889">
        <v>0</v>
      </c>
      <c r="M4889">
        <f>IF((DST_123_ÜRETİM_İHTİYAÇ_RAPORU_BURAK_YENI1309[[#This Row],[SATINALMA]]*DST_123_ÜRETİM_İHTİYAÇ_RAPORU_BURAK_YENI1309[[#This Row],[BIRIM_FIYATLAR]])&lt;1,VALUE("0"),DST_123_ÜRETİM_İHTİYAÇ_RAPORU_BURAK_YENI1309[[#This Row],[SATINALMA]]*DST_123_ÜRETİM_İHTİYAÇ_RAPORU_BURAK_YENI1309[[#This Row],[BIRIM_FIYATLAR]])</f>
        <v>0</v>
      </c>
      <c r="N4889">
        <v>233.95</v>
      </c>
      <c r="O4889" t="s">
        <v>490</v>
      </c>
      <c r="P4889">
        <v>584.875</v>
      </c>
      <c r="Q4889" t="s">
        <v>183</v>
      </c>
    </row>
    <row r="4890" spans="1:17" x14ac:dyDescent="0.25">
      <c r="A4890" t="s">
        <v>1149</v>
      </c>
      <c r="B4890" t="s">
        <v>1145</v>
      </c>
      <c r="C4890" t="s">
        <v>175</v>
      </c>
      <c r="D4890" t="s">
        <v>778</v>
      </c>
      <c r="E4890" t="s">
        <v>132</v>
      </c>
      <c r="F4890">
        <v>14</v>
      </c>
      <c r="G4890" t="s">
        <v>176</v>
      </c>
      <c r="H4890">
        <v>0</v>
      </c>
      <c r="I4890">
        <v>564</v>
      </c>
      <c r="J4890" s="10">
        <v>98</v>
      </c>
      <c r="K4890" s="10">
        <f>SUMIFS(F:F,D:D,DST_123_ÜRETİM_İHTİYAÇ_RAPORU_BURAK_YENI1309[[#This Row],[ALT_KOD]])-(SUMIFS(H:H,D:D,DST_123_ÜRETİM_İHTİYAÇ_RAPORU_BURAK_YENI1309[[#This Row],[ALT_KOD]])+AVERAGEIFS(I:I,D:D,DST_123_ÜRETİM_İHTİYAÇ_RAPORU_BURAK_YENI1309[[#This Row],[ALT_KOD]])+AVERAGEIFS(L:L,D:D,DST_123_ÜRETİM_İHTİYAÇ_RAPORU_BURAK_YENI1309[[#This Row],[ALT_KOD]]))</f>
        <v>-250</v>
      </c>
      <c r="L4890">
        <v>0</v>
      </c>
      <c r="M4890">
        <f>IF((DST_123_ÜRETİM_İHTİYAÇ_RAPORU_BURAK_YENI1309[[#This Row],[SATINALMA]]*DST_123_ÜRETİM_İHTİYAÇ_RAPORU_BURAK_YENI1309[[#This Row],[BIRIM_FIYATLAR]])&lt;1,VALUE("0"),DST_123_ÜRETİM_İHTİYAÇ_RAPORU_BURAK_YENI1309[[#This Row],[SATINALMA]]*DST_123_ÜRETİM_İHTİYAÇ_RAPORU_BURAK_YENI1309[[#This Row],[BIRIM_FIYATLAR]])</f>
        <v>0</v>
      </c>
      <c r="N4890">
        <v>6.67</v>
      </c>
      <c r="O4890" t="s">
        <v>1194</v>
      </c>
      <c r="P4890">
        <v>93.38</v>
      </c>
      <c r="Q4890" t="s">
        <v>221</v>
      </c>
    </row>
    <row r="4891" spans="1:17" x14ac:dyDescent="0.25">
      <c r="A4891" t="s">
        <v>1064</v>
      </c>
      <c r="B4891" t="s">
        <v>1055</v>
      </c>
      <c r="C4891" t="s">
        <v>175</v>
      </c>
      <c r="D4891" t="s">
        <v>1067</v>
      </c>
      <c r="E4891" t="s">
        <v>1068</v>
      </c>
      <c r="F4891">
        <v>16</v>
      </c>
      <c r="G4891" t="s">
        <v>179</v>
      </c>
      <c r="H4891">
        <v>0</v>
      </c>
      <c r="I4891">
        <v>100</v>
      </c>
      <c r="J4891" s="10">
        <v>84</v>
      </c>
      <c r="K4891" s="10">
        <f>SUMIFS(F:F,D:D,DST_123_ÜRETİM_İHTİYAÇ_RAPORU_BURAK_YENI1309[[#This Row],[ALT_KOD]])-(SUMIFS(H:H,D:D,DST_123_ÜRETİM_İHTİYAÇ_RAPORU_BURAK_YENI1309[[#This Row],[ALT_KOD]])+AVERAGEIFS(I:I,D:D,DST_123_ÜRETİM_İHTİYAÇ_RAPORU_BURAK_YENI1309[[#This Row],[ALT_KOD]])+AVERAGEIFS(L:L,D:D,DST_123_ÜRETİM_İHTİYAÇ_RAPORU_BURAK_YENI1309[[#This Row],[ALT_KOD]]))</f>
        <v>-32</v>
      </c>
      <c r="L4891">
        <v>0</v>
      </c>
      <c r="M4891">
        <f>IF((DST_123_ÜRETİM_İHTİYAÇ_RAPORU_BURAK_YENI1309[[#This Row],[SATINALMA]]*DST_123_ÜRETİM_İHTİYAÇ_RAPORU_BURAK_YENI1309[[#This Row],[BIRIM_FIYATLAR]])&lt;1,VALUE("0"),DST_123_ÜRETİM_İHTİYAÇ_RAPORU_BURAK_YENI1309[[#This Row],[SATINALMA]]*DST_123_ÜRETİM_İHTİYAÇ_RAPORU_BURAK_YENI1309[[#This Row],[BIRIM_FIYATLAR]])</f>
        <v>0</v>
      </c>
      <c r="N4891">
        <v>14.85</v>
      </c>
      <c r="O4891" t="s">
        <v>826</v>
      </c>
      <c r="P4891">
        <v>237.6</v>
      </c>
      <c r="Q4891" t="s">
        <v>221</v>
      </c>
    </row>
    <row r="4892" spans="1:17" x14ac:dyDescent="0.25">
      <c r="A4892" t="s">
        <v>1098</v>
      </c>
      <c r="B4892" t="s">
        <v>1096</v>
      </c>
      <c r="C4892" t="s">
        <v>175</v>
      </c>
      <c r="D4892" t="s">
        <v>1067</v>
      </c>
      <c r="E4892" t="s">
        <v>1068</v>
      </c>
      <c r="F4892">
        <v>12</v>
      </c>
      <c r="G4892" t="s">
        <v>179</v>
      </c>
      <c r="H4892">
        <v>0</v>
      </c>
      <c r="I4892">
        <v>100</v>
      </c>
      <c r="J4892" s="10">
        <v>84</v>
      </c>
      <c r="K4892" s="10">
        <f>SUMIFS(F:F,D:D,DST_123_ÜRETİM_İHTİYAÇ_RAPORU_BURAK_YENI1309[[#This Row],[ALT_KOD]])-(SUMIFS(H:H,D:D,DST_123_ÜRETİM_İHTİYAÇ_RAPORU_BURAK_YENI1309[[#This Row],[ALT_KOD]])+AVERAGEIFS(I:I,D:D,DST_123_ÜRETİM_İHTİYAÇ_RAPORU_BURAK_YENI1309[[#This Row],[ALT_KOD]])+AVERAGEIFS(L:L,D:D,DST_123_ÜRETİM_İHTİYAÇ_RAPORU_BURAK_YENI1309[[#This Row],[ALT_KOD]]))</f>
        <v>-32</v>
      </c>
      <c r="L4892">
        <v>0</v>
      </c>
      <c r="M4892">
        <f>IF((DST_123_ÜRETİM_İHTİYAÇ_RAPORU_BURAK_YENI1309[[#This Row],[SATINALMA]]*DST_123_ÜRETİM_İHTİYAÇ_RAPORU_BURAK_YENI1309[[#This Row],[BIRIM_FIYATLAR]])&lt;1,VALUE("0"),DST_123_ÜRETİM_İHTİYAÇ_RAPORU_BURAK_YENI1309[[#This Row],[SATINALMA]]*DST_123_ÜRETİM_İHTİYAÇ_RAPORU_BURAK_YENI1309[[#This Row],[BIRIM_FIYATLAR]])</f>
        <v>0</v>
      </c>
      <c r="N4892">
        <v>14.85</v>
      </c>
      <c r="O4892" t="s">
        <v>826</v>
      </c>
      <c r="P4892">
        <v>178.2</v>
      </c>
      <c r="Q4892" t="s">
        <v>221</v>
      </c>
    </row>
    <row r="4893" spans="1:17" x14ac:dyDescent="0.25">
      <c r="A4893" t="s">
        <v>1064</v>
      </c>
      <c r="B4893" t="s">
        <v>1055</v>
      </c>
      <c r="C4893" t="s">
        <v>175</v>
      </c>
      <c r="D4893" t="s">
        <v>716</v>
      </c>
      <c r="E4893" t="s">
        <v>717</v>
      </c>
      <c r="F4893">
        <v>0.2</v>
      </c>
      <c r="G4893" t="s">
        <v>179</v>
      </c>
      <c r="H4893">
        <v>0</v>
      </c>
      <c r="I4893">
        <v>200</v>
      </c>
      <c r="J4893" s="10">
        <v>85.649999999999977</v>
      </c>
      <c r="K4893" s="10">
        <f>SUMIFS(F:F,D:D,DST_123_ÜRETİM_İHTİYAÇ_RAPORU_BURAK_YENI1309[[#This Row],[ALT_KOD]])-(SUMIFS(H:H,D:D,DST_123_ÜRETİM_İHTİYAÇ_RAPORU_BURAK_YENI1309[[#This Row],[ALT_KOD]])+AVERAGEIFS(I:I,D:D,DST_123_ÜRETİM_İHTİYAÇ_RAPORU_BURAK_YENI1309[[#This Row],[ALT_KOD]])+AVERAGEIFS(L:L,D:D,DST_123_ÜRETİM_İHTİYAÇ_RAPORU_BURAK_YENI1309[[#This Row],[ALT_KOD]]))</f>
        <v>-196.4</v>
      </c>
      <c r="L4893">
        <v>0</v>
      </c>
      <c r="M4893">
        <f>IF((DST_123_ÜRETİM_İHTİYAÇ_RAPORU_BURAK_YENI1309[[#This Row],[SATINALMA]]*DST_123_ÜRETİM_İHTİYAÇ_RAPORU_BURAK_YENI1309[[#This Row],[BIRIM_FIYATLAR]])&lt;1,VALUE("0"),DST_123_ÜRETİM_İHTİYAÇ_RAPORU_BURAK_YENI1309[[#This Row],[SATINALMA]]*DST_123_ÜRETİM_İHTİYAÇ_RAPORU_BURAK_YENI1309[[#This Row],[BIRIM_FIYATLAR]])</f>
        <v>0</v>
      </c>
      <c r="N4893">
        <v>3.62</v>
      </c>
      <c r="O4893" t="s">
        <v>826</v>
      </c>
      <c r="P4893">
        <v>0.72400000000000009</v>
      </c>
      <c r="Q4893" t="s">
        <v>221</v>
      </c>
    </row>
    <row r="4894" spans="1:17" x14ac:dyDescent="0.25">
      <c r="A4894" t="s">
        <v>1098</v>
      </c>
      <c r="B4894" t="s">
        <v>1096</v>
      </c>
      <c r="C4894" t="s">
        <v>175</v>
      </c>
      <c r="D4894" t="s">
        <v>716</v>
      </c>
      <c r="E4894" t="s">
        <v>717</v>
      </c>
      <c r="F4894">
        <v>0.2</v>
      </c>
      <c r="G4894" t="s">
        <v>179</v>
      </c>
      <c r="H4894">
        <v>0</v>
      </c>
      <c r="I4894">
        <v>200</v>
      </c>
      <c r="J4894" s="10">
        <v>85.649999999999977</v>
      </c>
      <c r="K4894" s="10">
        <f>SUMIFS(F:F,D:D,DST_123_ÜRETİM_İHTİYAÇ_RAPORU_BURAK_YENI1309[[#This Row],[ALT_KOD]])-(SUMIFS(H:H,D:D,DST_123_ÜRETİM_İHTİYAÇ_RAPORU_BURAK_YENI1309[[#This Row],[ALT_KOD]])+AVERAGEIFS(I:I,D:D,DST_123_ÜRETİM_İHTİYAÇ_RAPORU_BURAK_YENI1309[[#This Row],[ALT_KOD]])+AVERAGEIFS(L:L,D:D,DST_123_ÜRETİM_İHTİYAÇ_RAPORU_BURAK_YENI1309[[#This Row],[ALT_KOD]]))</f>
        <v>-196.4</v>
      </c>
      <c r="L4894">
        <v>0</v>
      </c>
      <c r="M4894">
        <f>IF((DST_123_ÜRETİM_İHTİYAÇ_RAPORU_BURAK_YENI1309[[#This Row],[SATINALMA]]*DST_123_ÜRETİM_İHTİYAÇ_RAPORU_BURAK_YENI1309[[#This Row],[BIRIM_FIYATLAR]])&lt;1,VALUE("0"),DST_123_ÜRETİM_İHTİYAÇ_RAPORU_BURAK_YENI1309[[#This Row],[SATINALMA]]*DST_123_ÜRETİM_İHTİYAÇ_RAPORU_BURAK_YENI1309[[#This Row],[BIRIM_FIYATLAR]])</f>
        <v>0</v>
      </c>
      <c r="N4894">
        <v>3.62</v>
      </c>
      <c r="O4894" t="s">
        <v>826</v>
      </c>
      <c r="P4894">
        <v>0.72400000000000009</v>
      </c>
      <c r="Q4894" t="s">
        <v>221</v>
      </c>
    </row>
    <row r="4895" spans="1:17" x14ac:dyDescent="0.25">
      <c r="A4895" t="s">
        <v>1064</v>
      </c>
      <c r="B4895" t="s">
        <v>1055</v>
      </c>
      <c r="C4895" t="s">
        <v>175</v>
      </c>
      <c r="D4895" t="s">
        <v>738</v>
      </c>
      <c r="E4895" t="s">
        <v>739</v>
      </c>
      <c r="F4895">
        <v>1</v>
      </c>
      <c r="G4895" t="s">
        <v>176</v>
      </c>
      <c r="H4895">
        <v>0</v>
      </c>
      <c r="I4895">
        <v>10</v>
      </c>
      <c r="J4895" s="10">
        <v>16</v>
      </c>
      <c r="K4895" s="10">
        <f>SUMIFS(F:F,D:D,DST_123_ÜRETİM_İHTİYAÇ_RAPORU_BURAK_YENI1309[[#This Row],[ALT_KOD]])-(SUMIFS(H:H,D:D,DST_123_ÜRETİM_İHTİYAÇ_RAPORU_BURAK_YENI1309[[#This Row],[ALT_KOD]])+AVERAGEIFS(I:I,D:D,DST_123_ÜRETİM_İHTİYAÇ_RAPORU_BURAK_YENI1309[[#This Row],[ALT_KOD]])+AVERAGEIFS(L:L,D:D,DST_123_ÜRETİM_İHTİYAÇ_RAPORU_BURAK_YENI1309[[#This Row],[ALT_KOD]]))</f>
        <v>2</v>
      </c>
      <c r="L4895">
        <v>0</v>
      </c>
      <c r="M4895">
        <f>IF((DST_123_ÜRETİM_İHTİYAÇ_RAPORU_BURAK_YENI1309[[#This Row],[SATINALMA]]*DST_123_ÜRETİM_İHTİYAÇ_RAPORU_BURAK_YENI1309[[#This Row],[BIRIM_FIYATLAR]])&lt;1,VALUE("0"),DST_123_ÜRETİM_İHTİYAÇ_RAPORU_BURAK_YENI1309[[#This Row],[SATINALMA]]*DST_123_ÜRETİM_İHTİYAÇ_RAPORU_BURAK_YENI1309[[#This Row],[BIRIM_FIYATLAR]])</f>
        <v>233.34</v>
      </c>
      <c r="N4895">
        <v>116.67</v>
      </c>
      <c r="O4895" t="s">
        <v>667</v>
      </c>
      <c r="P4895">
        <v>116.67</v>
      </c>
      <c r="Q4895" t="s">
        <v>177</v>
      </c>
    </row>
    <row r="4896" spans="1:17" x14ac:dyDescent="0.25">
      <c r="A4896" t="s">
        <v>1098</v>
      </c>
      <c r="B4896" t="s">
        <v>1096</v>
      </c>
      <c r="C4896" t="s">
        <v>175</v>
      </c>
      <c r="D4896" t="s">
        <v>738</v>
      </c>
      <c r="E4896" t="s">
        <v>739</v>
      </c>
      <c r="F4896">
        <v>1</v>
      </c>
      <c r="G4896" t="s">
        <v>176</v>
      </c>
      <c r="H4896">
        <v>0</v>
      </c>
      <c r="I4896">
        <v>10</v>
      </c>
      <c r="J4896" s="10">
        <v>16</v>
      </c>
      <c r="K4896" s="10">
        <f>SUMIFS(F:F,D:D,DST_123_ÜRETİM_İHTİYAÇ_RAPORU_BURAK_YENI1309[[#This Row],[ALT_KOD]])-(SUMIFS(H:H,D:D,DST_123_ÜRETİM_İHTİYAÇ_RAPORU_BURAK_YENI1309[[#This Row],[ALT_KOD]])+AVERAGEIFS(I:I,D:D,DST_123_ÜRETİM_İHTİYAÇ_RAPORU_BURAK_YENI1309[[#This Row],[ALT_KOD]])+AVERAGEIFS(L:L,D:D,DST_123_ÜRETİM_İHTİYAÇ_RAPORU_BURAK_YENI1309[[#This Row],[ALT_KOD]]))</f>
        <v>2</v>
      </c>
      <c r="L4896">
        <v>0</v>
      </c>
      <c r="M4896">
        <f>IF((DST_123_ÜRETİM_İHTİYAÇ_RAPORU_BURAK_YENI1309[[#This Row],[SATINALMA]]*DST_123_ÜRETİM_İHTİYAÇ_RAPORU_BURAK_YENI1309[[#This Row],[BIRIM_FIYATLAR]])&lt;1,VALUE("0"),DST_123_ÜRETİM_İHTİYAÇ_RAPORU_BURAK_YENI1309[[#This Row],[SATINALMA]]*DST_123_ÜRETİM_İHTİYAÇ_RAPORU_BURAK_YENI1309[[#This Row],[BIRIM_FIYATLAR]])</f>
        <v>233.34</v>
      </c>
      <c r="N4896">
        <v>116.67</v>
      </c>
      <c r="O4896" t="s">
        <v>667</v>
      </c>
      <c r="P4896">
        <v>116.67</v>
      </c>
      <c r="Q4896" t="s">
        <v>177</v>
      </c>
    </row>
    <row r="4897" spans="1:17" x14ac:dyDescent="0.25">
      <c r="A4897" t="s">
        <v>1196</v>
      </c>
      <c r="B4897" t="s">
        <v>1197</v>
      </c>
      <c r="C4897" t="s">
        <v>175</v>
      </c>
      <c r="D4897" t="s">
        <v>781</v>
      </c>
      <c r="E4897" t="s">
        <v>782</v>
      </c>
      <c r="F4897">
        <v>1</v>
      </c>
      <c r="G4897" t="s">
        <v>176</v>
      </c>
      <c r="H4897">
        <v>0</v>
      </c>
      <c r="I4897">
        <v>14</v>
      </c>
      <c r="J4897" s="10">
        <v>9</v>
      </c>
      <c r="K4897" s="10">
        <f>SUMIFS(F:F,D:D,DST_123_ÜRETİM_İHTİYAÇ_RAPORU_BURAK_YENI1309[[#This Row],[ALT_KOD]])-(SUMIFS(H:H,D:D,DST_123_ÜRETİM_İHTİYAÇ_RAPORU_BURAK_YENI1309[[#This Row],[ALT_KOD]])+AVERAGEIFS(I:I,D:D,DST_123_ÜRETİM_İHTİYAÇ_RAPORU_BURAK_YENI1309[[#This Row],[ALT_KOD]])+AVERAGEIFS(L:L,D:D,DST_123_ÜRETİM_İHTİYAÇ_RAPORU_BURAK_YENI1309[[#This Row],[ALT_KOD]]))</f>
        <v>-3</v>
      </c>
      <c r="L4897">
        <v>0</v>
      </c>
      <c r="M4897">
        <f>IF((DST_123_ÜRETİM_İHTİYAÇ_RAPORU_BURAK_YENI1309[[#This Row],[SATINALMA]]*DST_123_ÜRETİM_İHTİYAÇ_RAPORU_BURAK_YENI1309[[#This Row],[BIRIM_FIYATLAR]])&lt;1,VALUE("0"),DST_123_ÜRETİM_İHTİYAÇ_RAPORU_BURAK_YENI1309[[#This Row],[SATINALMA]]*DST_123_ÜRETİM_İHTİYAÇ_RAPORU_BURAK_YENI1309[[#This Row],[BIRIM_FIYATLAR]])</f>
        <v>0</v>
      </c>
      <c r="N4897">
        <v>1020</v>
      </c>
      <c r="O4897" t="s">
        <v>289</v>
      </c>
      <c r="P4897">
        <v>1020</v>
      </c>
      <c r="Q4897" t="s">
        <v>178</v>
      </c>
    </row>
    <row r="4898" spans="1:17" x14ac:dyDescent="0.25">
      <c r="A4898" t="s">
        <v>1098</v>
      </c>
      <c r="B4898" t="s">
        <v>1096</v>
      </c>
      <c r="C4898" t="s">
        <v>175</v>
      </c>
      <c r="D4898" t="s">
        <v>781</v>
      </c>
      <c r="E4898" t="s">
        <v>782</v>
      </c>
      <c r="F4898">
        <v>1</v>
      </c>
      <c r="G4898" t="s">
        <v>176</v>
      </c>
      <c r="H4898">
        <v>0</v>
      </c>
      <c r="I4898">
        <v>14</v>
      </c>
      <c r="J4898" s="10">
        <v>9</v>
      </c>
      <c r="K4898" s="10">
        <f>SUMIFS(F:F,D:D,DST_123_ÜRETİM_İHTİYAÇ_RAPORU_BURAK_YENI1309[[#This Row],[ALT_KOD]])-(SUMIFS(H:H,D:D,DST_123_ÜRETİM_İHTİYAÇ_RAPORU_BURAK_YENI1309[[#This Row],[ALT_KOD]])+AVERAGEIFS(I:I,D:D,DST_123_ÜRETİM_İHTİYAÇ_RAPORU_BURAK_YENI1309[[#This Row],[ALT_KOD]])+AVERAGEIFS(L:L,D:D,DST_123_ÜRETİM_İHTİYAÇ_RAPORU_BURAK_YENI1309[[#This Row],[ALT_KOD]]))</f>
        <v>-3</v>
      </c>
      <c r="L4898">
        <v>0</v>
      </c>
      <c r="M4898">
        <f>IF((DST_123_ÜRETİM_İHTİYAÇ_RAPORU_BURAK_YENI1309[[#This Row],[SATINALMA]]*DST_123_ÜRETİM_İHTİYAÇ_RAPORU_BURAK_YENI1309[[#This Row],[BIRIM_FIYATLAR]])&lt;1,VALUE("0"),DST_123_ÜRETİM_İHTİYAÇ_RAPORU_BURAK_YENI1309[[#This Row],[SATINALMA]]*DST_123_ÜRETİM_İHTİYAÇ_RAPORU_BURAK_YENI1309[[#This Row],[BIRIM_FIYATLAR]])</f>
        <v>0</v>
      </c>
      <c r="N4898">
        <v>1020</v>
      </c>
      <c r="O4898" t="s">
        <v>289</v>
      </c>
      <c r="P4898">
        <v>1020</v>
      </c>
      <c r="Q4898" t="s">
        <v>178</v>
      </c>
    </row>
    <row r="4899" spans="1:17" x14ac:dyDescent="0.25">
      <c r="A4899" t="s">
        <v>1099</v>
      </c>
      <c r="B4899" t="s">
        <v>1055</v>
      </c>
      <c r="C4899" t="s">
        <v>175</v>
      </c>
      <c r="D4899" t="s">
        <v>781</v>
      </c>
      <c r="E4899" t="s">
        <v>782</v>
      </c>
      <c r="F4899">
        <v>1</v>
      </c>
      <c r="G4899" t="s">
        <v>176</v>
      </c>
      <c r="H4899">
        <v>1</v>
      </c>
      <c r="I4899">
        <v>14</v>
      </c>
      <c r="J4899" s="10">
        <v>9</v>
      </c>
      <c r="K4899" s="10">
        <f>SUMIFS(F:F,D:D,DST_123_ÜRETİM_İHTİYAÇ_RAPORU_BURAK_YENI1309[[#This Row],[ALT_KOD]])-(SUMIFS(H:H,D:D,DST_123_ÜRETİM_İHTİYAÇ_RAPORU_BURAK_YENI1309[[#This Row],[ALT_KOD]])+AVERAGEIFS(I:I,D:D,DST_123_ÜRETİM_İHTİYAÇ_RAPORU_BURAK_YENI1309[[#This Row],[ALT_KOD]])+AVERAGEIFS(L:L,D:D,DST_123_ÜRETİM_İHTİYAÇ_RAPORU_BURAK_YENI1309[[#This Row],[ALT_KOD]]))</f>
        <v>-3</v>
      </c>
      <c r="L4899">
        <v>0</v>
      </c>
      <c r="M4899">
        <f>IF((DST_123_ÜRETİM_İHTİYAÇ_RAPORU_BURAK_YENI1309[[#This Row],[SATINALMA]]*DST_123_ÜRETİM_İHTİYAÇ_RAPORU_BURAK_YENI1309[[#This Row],[BIRIM_FIYATLAR]])&lt;1,VALUE("0"),DST_123_ÜRETİM_İHTİYAÇ_RAPORU_BURAK_YENI1309[[#This Row],[SATINALMA]]*DST_123_ÜRETİM_İHTİYAÇ_RAPORU_BURAK_YENI1309[[#This Row],[BIRIM_FIYATLAR]])</f>
        <v>0</v>
      </c>
      <c r="N4899">
        <v>1020</v>
      </c>
      <c r="O4899" t="s">
        <v>289</v>
      </c>
      <c r="P4899">
        <v>1020</v>
      </c>
      <c r="Q4899" t="s">
        <v>178</v>
      </c>
    </row>
    <row r="4900" spans="1:17" x14ac:dyDescent="0.25">
      <c r="A4900" t="s">
        <v>1064</v>
      </c>
      <c r="B4900" t="s">
        <v>1055</v>
      </c>
      <c r="C4900" t="s">
        <v>175</v>
      </c>
      <c r="D4900" t="s">
        <v>778</v>
      </c>
      <c r="E4900" t="s">
        <v>132</v>
      </c>
      <c r="F4900">
        <v>20</v>
      </c>
      <c r="G4900" t="s">
        <v>176</v>
      </c>
      <c r="H4900">
        <v>0</v>
      </c>
      <c r="I4900">
        <v>564</v>
      </c>
      <c r="J4900" s="10">
        <v>98</v>
      </c>
      <c r="K4900" s="10">
        <f>SUMIFS(F:F,D:D,DST_123_ÜRETİM_İHTİYAÇ_RAPORU_BURAK_YENI1309[[#This Row],[ALT_KOD]])-(SUMIFS(H:H,D:D,DST_123_ÜRETİM_İHTİYAÇ_RAPORU_BURAK_YENI1309[[#This Row],[ALT_KOD]])+AVERAGEIFS(I:I,D:D,DST_123_ÜRETİM_İHTİYAÇ_RAPORU_BURAK_YENI1309[[#This Row],[ALT_KOD]])+AVERAGEIFS(L:L,D:D,DST_123_ÜRETİM_İHTİYAÇ_RAPORU_BURAK_YENI1309[[#This Row],[ALT_KOD]]))</f>
        <v>-250</v>
      </c>
      <c r="L4900">
        <v>0</v>
      </c>
      <c r="M4900">
        <f>IF((DST_123_ÜRETİM_İHTİYAÇ_RAPORU_BURAK_YENI1309[[#This Row],[SATINALMA]]*DST_123_ÜRETİM_İHTİYAÇ_RAPORU_BURAK_YENI1309[[#This Row],[BIRIM_FIYATLAR]])&lt;1,VALUE("0"),DST_123_ÜRETİM_İHTİYAÇ_RAPORU_BURAK_YENI1309[[#This Row],[SATINALMA]]*DST_123_ÜRETİM_İHTİYAÇ_RAPORU_BURAK_YENI1309[[#This Row],[BIRIM_FIYATLAR]])</f>
        <v>0</v>
      </c>
      <c r="N4900">
        <v>6.67</v>
      </c>
      <c r="O4900" t="s">
        <v>1194</v>
      </c>
      <c r="P4900">
        <v>133.4</v>
      </c>
      <c r="Q4900" t="s">
        <v>221</v>
      </c>
    </row>
    <row r="4901" spans="1:17" x14ac:dyDescent="0.25">
      <c r="A4901" t="s">
        <v>1196</v>
      </c>
      <c r="B4901" t="s">
        <v>1197</v>
      </c>
      <c r="C4901" t="s">
        <v>175</v>
      </c>
      <c r="D4901" t="s">
        <v>778</v>
      </c>
      <c r="E4901" t="s">
        <v>132</v>
      </c>
      <c r="F4901">
        <v>20</v>
      </c>
      <c r="G4901" t="s">
        <v>176</v>
      </c>
      <c r="H4901">
        <v>0</v>
      </c>
      <c r="I4901">
        <v>564</v>
      </c>
      <c r="J4901" s="10">
        <v>98</v>
      </c>
      <c r="K4901" s="10">
        <f>SUMIFS(F:F,D:D,DST_123_ÜRETİM_İHTİYAÇ_RAPORU_BURAK_YENI1309[[#This Row],[ALT_KOD]])-(SUMIFS(H:H,D:D,DST_123_ÜRETİM_İHTİYAÇ_RAPORU_BURAK_YENI1309[[#This Row],[ALT_KOD]])+AVERAGEIFS(I:I,D:D,DST_123_ÜRETİM_İHTİYAÇ_RAPORU_BURAK_YENI1309[[#This Row],[ALT_KOD]])+AVERAGEIFS(L:L,D:D,DST_123_ÜRETİM_İHTİYAÇ_RAPORU_BURAK_YENI1309[[#This Row],[ALT_KOD]]))</f>
        <v>-250</v>
      </c>
      <c r="L4901">
        <v>0</v>
      </c>
      <c r="M4901">
        <f>IF((DST_123_ÜRETİM_İHTİYAÇ_RAPORU_BURAK_YENI1309[[#This Row],[SATINALMA]]*DST_123_ÜRETİM_İHTİYAÇ_RAPORU_BURAK_YENI1309[[#This Row],[BIRIM_FIYATLAR]])&lt;1,VALUE("0"),DST_123_ÜRETİM_İHTİYAÇ_RAPORU_BURAK_YENI1309[[#This Row],[SATINALMA]]*DST_123_ÜRETİM_İHTİYAÇ_RAPORU_BURAK_YENI1309[[#This Row],[BIRIM_FIYATLAR]])</f>
        <v>0</v>
      </c>
      <c r="N4901">
        <v>6.67</v>
      </c>
      <c r="O4901" t="s">
        <v>1194</v>
      </c>
      <c r="P4901">
        <v>133.4</v>
      </c>
      <c r="Q4901" t="s">
        <v>221</v>
      </c>
    </row>
    <row r="4902" spans="1:17" x14ac:dyDescent="0.25">
      <c r="A4902" t="s">
        <v>1147</v>
      </c>
      <c r="B4902" t="s">
        <v>1145</v>
      </c>
      <c r="C4902" t="s">
        <v>175</v>
      </c>
      <c r="D4902" t="s">
        <v>740</v>
      </c>
      <c r="E4902" t="s">
        <v>741</v>
      </c>
      <c r="F4902">
        <v>1</v>
      </c>
      <c r="G4902" t="s">
        <v>176</v>
      </c>
      <c r="H4902">
        <v>0</v>
      </c>
      <c r="I4902">
        <v>17</v>
      </c>
      <c r="J4902" s="10">
        <v>17</v>
      </c>
      <c r="K4902" s="10">
        <f>SUMIFS(F:F,D:D,DST_123_ÜRETİM_İHTİYAÇ_RAPORU_BURAK_YENI1309[[#This Row],[ALT_KOD]])-(SUMIFS(H:H,D:D,DST_123_ÜRETİM_İHTİYAÇ_RAPORU_BURAK_YENI1309[[#This Row],[ALT_KOD]])+AVERAGEIFS(I:I,D:D,DST_123_ÜRETİM_İHTİYAÇ_RAPORU_BURAK_YENI1309[[#This Row],[ALT_KOD]])+AVERAGEIFS(L:L,D:D,DST_123_ÜRETİM_İHTİYAÇ_RAPORU_BURAK_YENI1309[[#This Row],[ALT_KOD]]))</f>
        <v>-6</v>
      </c>
      <c r="L4902">
        <v>0</v>
      </c>
      <c r="M4902">
        <f>IF((DST_123_ÜRETİM_İHTİYAÇ_RAPORU_BURAK_YENI1309[[#This Row],[SATINALMA]]*DST_123_ÜRETİM_İHTİYAÇ_RAPORU_BURAK_YENI1309[[#This Row],[BIRIM_FIYATLAR]])&lt;1,VALUE("0"),DST_123_ÜRETİM_İHTİYAÇ_RAPORU_BURAK_YENI1309[[#This Row],[SATINALMA]]*DST_123_ÜRETİM_İHTİYAÇ_RAPORU_BURAK_YENI1309[[#This Row],[BIRIM_FIYATLAR]])</f>
        <v>0</v>
      </c>
      <c r="N4902">
        <v>41.67</v>
      </c>
      <c r="O4902" t="s">
        <v>667</v>
      </c>
      <c r="P4902">
        <v>41.67</v>
      </c>
      <c r="Q4902" t="s">
        <v>177</v>
      </c>
    </row>
    <row r="4903" spans="1:17" x14ac:dyDescent="0.25">
      <c r="A4903" t="s">
        <v>1149</v>
      </c>
      <c r="B4903" t="s">
        <v>1145</v>
      </c>
      <c r="C4903" t="s">
        <v>175</v>
      </c>
      <c r="D4903" t="s">
        <v>443</v>
      </c>
      <c r="E4903" t="s">
        <v>444</v>
      </c>
      <c r="F4903">
        <v>1</v>
      </c>
      <c r="G4903" t="s">
        <v>176</v>
      </c>
      <c r="H4903">
        <v>0</v>
      </c>
      <c r="I4903">
        <v>25</v>
      </c>
      <c r="J4903" s="10">
        <v>5</v>
      </c>
      <c r="K4903" s="10">
        <f>SUMIFS(F:F,D:D,DST_123_ÜRETİM_İHTİYAÇ_RAPORU_BURAK_YENI1309[[#This Row],[ALT_KOD]])-(SUMIFS(H:H,D:D,DST_123_ÜRETİM_İHTİYAÇ_RAPORU_BURAK_YENI1309[[#This Row],[ALT_KOD]])+AVERAGEIFS(I:I,D:D,DST_123_ÜRETİM_İHTİYAÇ_RAPORU_BURAK_YENI1309[[#This Row],[ALT_KOD]])+AVERAGEIFS(L:L,D:D,DST_123_ÜRETİM_İHTİYAÇ_RAPORU_BURAK_YENI1309[[#This Row],[ALT_KOD]]))</f>
        <v>-13</v>
      </c>
      <c r="L4903">
        <v>0</v>
      </c>
      <c r="M4903">
        <f>IF((DST_123_ÜRETİM_İHTİYAÇ_RAPORU_BURAK_YENI1309[[#This Row],[SATINALMA]]*DST_123_ÜRETİM_İHTİYAÇ_RAPORU_BURAK_YENI1309[[#This Row],[BIRIM_FIYATLAR]])&lt;1,VALUE("0"),DST_123_ÜRETİM_İHTİYAÇ_RAPORU_BURAK_YENI1309[[#This Row],[SATINALMA]]*DST_123_ÜRETİM_İHTİYAÇ_RAPORU_BURAK_YENI1309[[#This Row],[BIRIM_FIYATLAR]])</f>
        <v>0</v>
      </c>
      <c r="N4903">
        <v>373.06</v>
      </c>
      <c r="O4903" t="s">
        <v>636</v>
      </c>
      <c r="P4903">
        <v>373.06</v>
      </c>
      <c r="Q4903" t="s">
        <v>178</v>
      </c>
    </row>
    <row r="4904" spans="1:17" x14ac:dyDescent="0.25">
      <c r="A4904" t="s">
        <v>1149</v>
      </c>
      <c r="B4904" t="s">
        <v>1145</v>
      </c>
      <c r="C4904" t="s">
        <v>175</v>
      </c>
      <c r="D4904" t="s">
        <v>597</v>
      </c>
      <c r="E4904" t="s">
        <v>598</v>
      </c>
      <c r="F4904">
        <v>2</v>
      </c>
      <c r="G4904" t="s">
        <v>176</v>
      </c>
      <c r="H4904">
        <v>0</v>
      </c>
      <c r="I4904">
        <v>29</v>
      </c>
      <c r="J4904" s="10">
        <v>9</v>
      </c>
      <c r="K4904" s="10">
        <f>SUMIFS(F:F,D:D,DST_123_ÜRETİM_İHTİYAÇ_RAPORU_BURAK_YENI1309[[#This Row],[ALT_KOD]])-(SUMIFS(H:H,D:D,DST_123_ÜRETİM_İHTİYAÇ_RAPORU_BURAK_YENI1309[[#This Row],[ALT_KOD]])+AVERAGEIFS(I:I,D:D,DST_123_ÜRETİM_İHTİYAÇ_RAPORU_BURAK_YENI1309[[#This Row],[ALT_KOD]])+AVERAGEIFS(L:L,D:D,DST_123_ÜRETİM_İHTİYAÇ_RAPORU_BURAK_YENI1309[[#This Row],[ALT_KOD]]))</f>
        <v>-13</v>
      </c>
      <c r="L4904">
        <v>0</v>
      </c>
      <c r="M4904">
        <f>IF((DST_123_ÜRETİM_İHTİYAÇ_RAPORU_BURAK_YENI1309[[#This Row],[SATINALMA]]*DST_123_ÜRETİM_İHTİYAÇ_RAPORU_BURAK_YENI1309[[#This Row],[BIRIM_FIYATLAR]])&lt;1,VALUE("0"),DST_123_ÜRETİM_İHTİYAÇ_RAPORU_BURAK_YENI1309[[#This Row],[SATINALMA]]*DST_123_ÜRETİM_İHTİYAÇ_RAPORU_BURAK_YENI1309[[#This Row],[BIRIM_FIYATLAR]])</f>
        <v>0</v>
      </c>
      <c r="N4904">
        <v>355.05</v>
      </c>
      <c r="O4904" t="s">
        <v>636</v>
      </c>
      <c r="P4904">
        <v>710.1</v>
      </c>
      <c r="Q4904" t="s">
        <v>177</v>
      </c>
    </row>
    <row r="4905" spans="1:17" x14ac:dyDescent="0.25">
      <c r="A4905" t="s">
        <v>1146</v>
      </c>
      <c r="B4905" t="s">
        <v>1145</v>
      </c>
      <c r="C4905" t="s">
        <v>175</v>
      </c>
      <c r="D4905" t="s">
        <v>597</v>
      </c>
      <c r="E4905" t="s">
        <v>598</v>
      </c>
      <c r="F4905">
        <v>2</v>
      </c>
      <c r="G4905" t="s">
        <v>176</v>
      </c>
      <c r="H4905">
        <v>0</v>
      </c>
      <c r="I4905">
        <v>29</v>
      </c>
      <c r="J4905" s="10">
        <v>9</v>
      </c>
      <c r="K4905" s="10">
        <f>SUMIFS(F:F,D:D,DST_123_ÜRETİM_İHTİYAÇ_RAPORU_BURAK_YENI1309[[#This Row],[ALT_KOD]])-(SUMIFS(H:H,D:D,DST_123_ÜRETİM_İHTİYAÇ_RAPORU_BURAK_YENI1309[[#This Row],[ALT_KOD]])+AVERAGEIFS(I:I,D:D,DST_123_ÜRETİM_İHTİYAÇ_RAPORU_BURAK_YENI1309[[#This Row],[ALT_KOD]])+AVERAGEIFS(L:L,D:D,DST_123_ÜRETİM_İHTİYAÇ_RAPORU_BURAK_YENI1309[[#This Row],[ALT_KOD]]))</f>
        <v>-13</v>
      </c>
      <c r="L4905">
        <v>0</v>
      </c>
      <c r="M4905">
        <f>IF((DST_123_ÜRETİM_İHTİYAÇ_RAPORU_BURAK_YENI1309[[#This Row],[SATINALMA]]*DST_123_ÜRETİM_İHTİYAÇ_RAPORU_BURAK_YENI1309[[#This Row],[BIRIM_FIYATLAR]])&lt;1,VALUE("0"),DST_123_ÜRETİM_İHTİYAÇ_RAPORU_BURAK_YENI1309[[#This Row],[SATINALMA]]*DST_123_ÜRETİM_İHTİYAÇ_RAPORU_BURAK_YENI1309[[#This Row],[BIRIM_FIYATLAR]])</f>
        <v>0</v>
      </c>
      <c r="N4905">
        <v>355.05</v>
      </c>
      <c r="O4905" t="s">
        <v>636</v>
      </c>
      <c r="P4905">
        <v>710.1</v>
      </c>
      <c r="Q4905" t="s">
        <v>177</v>
      </c>
    </row>
    <row r="4906" spans="1:17" x14ac:dyDescent="0.25">
      <c r="A4906" t="s">
        <v>1149</v>
      </c>
      <c r="B4906" t="s">
        <v>1145</v>
      </c>
      <c r="C4906" t="s">
        <v>175</v>
      </c>
      <c r="D4906" t="s">
        <v>740</v>
      </c>
      <c r="E4906" t="s">
        <v>741</v>
      </c>
      <c r="F4906">
        <v>1</v>
      </c>
      <c r="G4906" t="s">
        <v>176</v>
      </c>
      <c r="H4906">
        <v>0</v>
      </c>
      <c r="I4906">
        <v>17</v>
      </c>
      <c r="J4906" s="10">
        <v>17</v>
      </c>
      <c r="K4906" s="10">
        <f>SUMIFS(F:F,D:D,DST_123_ÜRETİM_İHTİYAÇ_RAPORU_BURAK_YENI1309[[#This Row],[ALT_KOD]])-(SUMIFS(H:H,D:D,DST_123_ÜRETİM_İHTİYAÇ_RAPORU_BURAK_YENI1309[[#This Row],[ALT_KOD]])+AVERAGEIFS(I:I,D:D,DST_123_ÜRETİM_İHTİYAÇ_RAPORU_BURAK_YENI1309[[#This Row],[ALT_KOD]])+AVERAGEIFS(L:L,D:D,DST_123_ÜRETİM_İHTİYAÇ_RAPORU_BURAK_YENI1309[[#This Row],[ALT_KOD]]))</f>
        <v>-6</v>
      </c>
      <c r="L4906">
        <v>0</v>
      </c>
      <c r="M4906">
        <f>IF((DST_123_ÜRETİM_İHTİYAÇ_RAPORU_BURAK_YENI1309[[#This Row],[SATINALMA]]*DST_123_ÜRETİM_İHTİYAÇ_RAPORU_BURAK_YENI1309[[#This Row],[BIRIM_FIYATLAR]])&lt;1,VALUE("0"),DST_123_ÜRETİM_İHTİYAÇ_RAPORU_BURAK_YENI1309[[#This Row],[SATINALMA]]*DST_123_ÜRETİM_İHTİYAÇ_RAPORU_BURAK_YENI1309[[#This Row],[BIRIM_FIYATLAR]])</f>
        <v>0</v>
      </c>
      <c r="N4906">
        <v>41.67</v>
      </c>
      <c r="O4906" t="s">
        <v>667</v>
      </c>
      <c r="P4906">
        <v>41.67</v>
      </c>
      <c r="Q4906" t="s">
        <v>177</v>
      </c>
    </row>
    <row r="4907" spans="1:17" x14ac:dyDescent="0.25">
      <c r="A4907" t="s">
        <v>1146</v>
      </c>
      <c r="B4907" t="s">
        <v>1145</v>
      </c>
      <c r="C4907" t="s">
        <v>175</v>
      </c>
      <c r="D4907" t="s">
        <v>740</v>
      </c>
      <c r="E4907" t="s">
        <v>741</v>
      </c>
      <c r="F4907">
        <v>1</v>
      </c>
      <c r="G4907" t="s">
        <v>176</v>
      </c>
      <c r="H4907">
        <v>0</v>
      </c>
      <c r="I4907">
        <v>17</v>
      </c>
      <c r="J4907" s="10">
        <v>17</v>
      </c>
      <c r="K4907" s="10">
        <f>SUMIFS(F:F,D:D,DST_123_ÜRETİM_İHTİYAÇ_RAPORU_BURAK_YENI1309[[#This Row],[ALT_KOD]])-(SUMIFS(H:H,D:D,DST_123_ÜRETİM_İHTİYAÇ_RAPORU_BURAK_YENI1309[[#This Row],[ALT_KOD]])+AVERAGEIFS(I:I,D:D,DST_123_ÜRETİM_İHTİYAÇ_RAPORU_BURAK_YENI1309[[#This Row],[ALT_KOD]])+AVERAGEIFS(L:L,D:D,DST_123_ÜRETİM_İHTİYAÇ_RAPORU_BURAK_YENI1309[[#This Row],[ALT_KOD]]))</f>
        <v>-6</v>
      </c>
      <c r="L4907">
        <v>0</v>
      </c>
      <c r="M4907">
        <f>IF((DST_123_ÜRETİM_İHTİYAÇ_RAPORU_BURAK_YENI1309[[#This Row],[SATINALMA]]*DST_123_ÜRETİM_İHTİYAÇ_RAPORU_BURAK_YENI1309[[#This Row],[BIRIM_FIYATLAR]])&lt;1,VALUE("0"),DST_123_ÜRETİM_İHTİYAÇ_RAPORU_BURAK_YENI1309[[#This Row],[SATINALMA]]*DST_123_ÜRETİM_İHTİYAÇ_RAPORU_BURAK_YENI1309[[#This Row],[BIRIM_FIYATLAR]])</f>
        <v>0</v>
      </c>
      <c r="N4907">
        <v>41.67</v>
      </c>
      <c r="O4907" t="s">
        <v>667</v>
      </c>
      <c r="P4907">
        <v>41.67</v>
      </c>
      <c r="Q4907" t="s">
        <v>177</v>
      </c>
    </row>
    <row r="4908" spans="1:17" x14ac:dyDescent="0.25">
      <c r="A4908" t="s">
        <v>1196</v>
      </c>
      <c r="B4908" t="s">
        <v>1197</v>
      </c>
      <c r="C4908" t="s">
        <v>175</v>
      </c>
      <c r="D4908" t="s">
        <v>439</v>
      </c>
      <c r="E4908" t="s">
        <v>440</v>
      </c>
      <c r="F4908">
        <v>1</v>
      </c>
      <c r="G4908" t="s">
        <v>176</v>
      </c>
      <c r="H4908">
        <v>0</v>
      </c>
      <c r="I4908">
        <v>28</v>
      </c>
      <c r="J4908" s="10">
        <v>5</v>
      </c>
      <c r="K4908" s="10">
        <f>SUMIFS(F:F,D:D,DST_123_ÜRETİM_İHTİYAÇ_RAPORU_BURAK_YENI1309[[#This Row],[ALT_KOD]])-(SUMIFS(H:H,D:D,DST_123_ÜRETİM_İHTİYAÇ_RAPORU_BURAK_YENI1309[[#This Row],[ALT_KOD]])+AVERAGEIFS(I:I,D:D,DST_123_ÜRETİM_İHTİYAÇ_RAPORU_BURAK_YENI1309[[#This Row],[ALT_KOD]])+AVERAGEIFS(L:L,D:D,DST_123_ÜRETİM_İHTİYAÇ_RAPORU_BURAK_YENI1309[[#This Row],[ALT_KOD]]))</f>
        <v>-16</v>
      </c>
      <c r="L4908">
        <v>0</v>
      </c>
      <c r="M4908">
        <f>IF((DST_123_ÜRETİM_İHTİYAÇ_RAPORU_BURAK_YENI1309[[#This Row],[SATINALMA]]*DST_123_ÜRETİM_İHTİYAÇ_RAPORU_BURAK_YENI1309[[#This Row],[BIRIM_FIYATLAR]])&lt;1,VALUE("0"),DST_123_ÜRETİM_İHTİYAÇ_RAPORU_BURAK_YENI1309[[#This Row],[SATINALMA]]*DST_123_ÜRETİM_İHTİYAÇ_RAPORU_BURAK_YENI1309[[#This Row],[BIRIM_FIYATLAR]])</f>
        <v>0</v>
      </c>
      <c r="N4908">
        <v>373.06</v>
      </c>
      <c r="O4908" t="s">
        <v>636</v>
      </c>
      <c r="P4908">
        <v>373.06</v>
      </c>
      <c r="Q4908" t="s">
        <v>178</v>
      </c>
    </row>
    <row r="4909" spans="1:17" x14ac:dyDescent="0.25">
      <c r="A4909" t="s">
        <v>1099</v>
      </c>
      <c r="B4909" t="s">
        <v>1055</v>
      </c>
      <c r="C4909" t="s">
        <v>175</v>
      </c>
      <c r="D4909" t="s">
        <v>443</v>
      </c>
      <c r="E4909" t="s">
        <v>444</v>
      </c>
      <c r="F4909">
        <v>1</v>
      </c>
      <c r="G4909" t="s">
        <v>176</v>
      </c>
      <c r="H4909">
        <v>1</v>
      </c>
      <c r="I4909">
        <v>25</v>
      </c>
      <c r="J4909" s="10">
        <v>5</v>
      </c>
      <c r="K4909" s="10">
        <f>SUMIFS(F:F,D:D,DST_123_ÜRETİM_İHTİYAÇ_RAPORU_BURAK_YENI1309[[#This Row],[ALT_KOD]])-(SUMIFS(H:H,D:D,DST_123_ÜRETİM_İHTİYAÇ_RAPORU_BURAK_YENI1309[[#This Row],[ALT_KOD]])+AVERAGEIFS(I:I,D:D,DST_123_ÜRETİM_İHTİYAÇ_RAPORU_BURAK_YENI1309[[#This Row],[ALT_KOD]])+AVERAGEIFS(L:L,D:D,DST_123_ÜRETİM_İHTİYAÇ_RAPORU_BURAK_YENI1309[[#This Row],[ALT_KOD]]))</f>
        <v>-13</v>
      </c>
      <c r="L4909">
        <v>0</v>
      </c>
      <c r="M4909">
        <f>IF((DST_123_ÜRETİM_İHTİYAÇ_RAPORU_BURAK_YENI1309[[#This Row],[SATINALMA]]*DST_123_ÜRETİM_İHTİYAÇ_RAPORU_BURAK_YENI1309[[#This Row],[BIRIM_FIYATLAR]])&lt;1,VALUE("0"),DST_123_ÜRETİM_İHTİYAÇ_RAPORU_BURAK_YENI1309[[#This Row],[SATINALMA]]*DST_123_ÜRETİM_İHTİYAÇ_RAPORU_BURAK_YENI1309[[#This Row],[BIRIM_FIYATLAR]])</f>
        <v>0</v>
      </c>
      <c r="N4909">
        <v>373.06</v>
      </c>
      <c r="O4909" t="s">
        <v>636</v>
      </c>
      <c r="P4909">
        <v>373.06</v>
      </c>
      <c r="Q4909" t="s">
        <v>178</v>
      </c>
    </row>
    <row r="4910" spans="1:17" x14ac:dyDescent="0.25">
      <c r="A4910" t="s">
        <v>1099</v>
      </c>
      <c r="B4910" t="s">
        <v>1055</v>
      </c>
      <c r="C4910" t="s">
        <v>175</v>
      </c>
      <c r="D4910" t="s">
        <v>714</v>
      </c>
      <c r="E4910" t="s">
        <v>715</v>
      </c>
      <c r="F4910">
        <v>2</v>
      </c>
      <c r="G4910" t="s">
        <v>176</v>
      </c>
      <c r="H4910">
        <v>0</v>
      </c>
      <c r="I4910">
        <v>5</v>
      </c>
      <c r="J4910" s="10">
        <v>4</v>
      </c>
      <c r="K4910" s="10">
        <f>SUMIFS(F:F,D:D,DST_123_ÜRETİM_İHTİYAÇ_RAPORU_BURAK_YENI1309[[#This Row],[ALT_KOD]])-(SUMIFS(H:H,D:D,DST_123_ÜRETİM_İHTİYAÇ_RAPORU_BURAK_YENI1309[[#This Row],[ALT_KOD]])+AVERAGEIFS(I:I,D:D,DST_123_ÜRETİM_İHTİYAÇ_RAPORU_BURAK_YENI1309[[#This Row],[ALT_KOD]])+AVERAGEIFS(L:L,D:D,DST_123_ÜRETİM_İHTİYAÇ_RAPORU_BURAK_YENI1309[[#This Row],[ALT_KOD]]))</f>
        <v>1</v>
      </c>
      <c r="L4910">
        <v>0</v>
      </c>
      <c r="M4910">
        <f>IF((DST_123_ÜRETİM_İHTİYAÇ_RAPORU_BURAK_YENI1309[[#This Row],[SATINALMA]]*DST_123_ÜRETİM_İHTİYAÇ_RAPORU_BURAK_YENI1309[[#This Row],[BIRIM_FIYATLAR]])&lt;1,VALUE("0"),DST_123_ÜRETİM_İHTİYAÇ_RAPORU_BURAK_YENI1309[[#This Row],[SATINALMA]]*DST_123_ÜRETİM_İHTİYAÇ_RAPORU_BURAK_YENI1309[[#This Row],[BIRIM_FIYATLAR]])</f>
        <v>400</v>
      </c>
      <c r="N4910">
        <v>400</v>
      </c>
      <c r="O4910" t="s">
        <v>215</v>
      </c>
      <c r="P4910">
        <v>800</v>
      </c>
      <c r="Q4910" t="s">
        <v>221</v>
      </c>
    </row>
    <row r="4911" spans="1:17" x14ac:dyDescent="0.25">
      <c r="A4911" t="s">
        <v>1196</v>
      </c>
      <c r="B4911" t="s">
        <v>1197</v>
      </c>
      <c r="C4911" t="s">
        <v>175</v>
      </c>
      <c r="D4911" t="s">
        <v>597</v>
      </c>
      <c r="E4911" t="s">
        <v>598</v>
      </c>
      <c r="F4911">
        <v>2</v>
      </c>
      <c r="G4911" t="s">
        <v>176</v>
      </c>
      <c r="H4911">
        <v>0</v>
      </c>
      <c r="I4911">
        <v>29</v>
      </c>
      <c r="J4911" s="10">
        <v>9</v>
      </c>
      <c r="K4911" s="10">
        <f>SUMIFS(F:F,D:D,DST_123_ÜRETİM_İHTİYAÇ_RAPORU_BURAK_YENI1309[[#This Row],[ALT_KOD]])-(SUMIFS(H:H,D:D,DST_123_ÜRETİM_İHTİYAÇ_RAPORU_BURAK_YENI1309[[#This Row],[ALT_KOD]])+AVERAGEIFS(I:I,D:D,DST_123_ÜRETİM_İHTİYAÇ_RAPORU_BURAK_YENI1309[[#This Row],[ALT_KOD]])+AVERAGEIFS(L:L,D:D,DST_123_ÜRETİM_İHTİYAÇ_RAPORU_BURAK_YENI1309[[#This Row],[ALT_KOD]]))</f>
        <v>-13</v>
      </c>
      <c r="L4911">
        <v>0</v>
      </c>
      <c r="M4911">
        <f>IF((DST_123_ÜRETİM_İHTİYAÇ_RAPORU_BURAK_YENI1309[[#This Row],[SATINALMA]]*DST_123_ÜRETİM_İHTİYAÇ_RAPORU_BURAK_YENI1309[[#This Row],[BIRIM_FIYATLAR]])&lt;1,VALUE("0"),DST_123_ÜRETİM_İHTİYAÇ_RAPORU_BURAK_YENI1309[[#This Row],[SATINALMA]]*DST_123_ÜRETİM_İHTİYAÇ_RAPORU_BURAK_YENI1309[[#This Row],[BIRIM_FIYATLAR]])</f>
        <v>0</v>
      </c>
      <c r="N4911">
        <v>355.05</v>
      </c>
      <c r="O4911" t="s">
        <v>636</v>
      </c>
      <c r="P4911">
        <v>710.1</v>
      </c>
      <c r="Q4911" t="s">
        <v>177</v>
      </c>
    </row>
    <row r="4912" spans="1:17" x14ac:dyDescent="0.25">
      <c r="A4912" t="s">
        <v>1098</v>
      </c>
      <c r="B4912" t="s">
        <v>1096</v>
      </c>
      <c r="C4912" t="s">
        <v>175</v>
      </c>
      <c r="D4912" t="s">
        <v>642</v>
      </c>
      <c r="E4912" t="s">
        <v>643</v>
      </c>
      <c r="F4912">
        <v>3</v>
      </c>
      <c r="G4912" t="s">
        <v>176</v>
      </c>
      <c r="H4912">
        <v>0</v>
      </c>
      <c r="I4912">
        <v>19</v>
      </c>
      <c r="J4912" s="10">
        <v>19</v>
      </c>
      <c r="K4912" s="10">
        <f>SUMIFS(F:F,D:D,DST_123_ÜRETİM_İHTİYAÇ_RAPORU_BURAK_YENI1309[[#This Row],[ALT_KOD]])-(SUMIFS(H:H,D:D,DST_123_ÜRETİM_İHTİYAÇ_RAPORU_BURAK_YENI1309[[#This Row],[ALT_KOD]])+AVERAGEIFS(I:I,D:D,DST_123_ÜRETİM_İHTİYAÇ_RAPORU_BURAK_YENI1309[[#This Row],[ALT_KOD]])+AVERAGEIFS(L:L,D:D,DST_123_ÜRETİM_İHTİYAÇ_RAPORU_BURAK_YENI1309[[#This Row],[ALT_KOD]]))</f>
        <v>14</v>
      </c>
      <c r="L4912">
        <v>0</v>
      </c>
      <c r="M4912">
        <f>IF((DST_123_ÜRETİM_İHTİYAÇ_RAPORU_BURAK_YENI1309[[#This Row],[SATINALMA]]*DST_123_ÜRETİM_İHTİYAÇ_RAPORU_BURAK_YENI1309[[#This Row],[BIRIM_FIYATLAR]])&lt;1,VALUE("0"),DST_123_ÜRETİM_İHTİYAÇ_RAPORU_BURAK_YENI1309[[#This Row],[SATINALMA]]*DST_123_ÜRETİM_İHTİYAÇ_RAPORU_BURAK_YENI1309[[#This Row],[BIRIM_FIYATLAR]])</f>
        <v>44207.66</v>
      </c>
      <c r="N4912">
        <v>3157.69</v>
      </c>
      <c r="O4912" t="s">
        <v>647</v>
      </c>
      <c r="P4912">
        <v>9473.07</v>
      </c>
      <c r="Q4912" t="s">
        <v>177</v>
      </c>
    </row>
    <row r="4913" spans="1:17" x14ac:dyDescent="0.25">
      <c r="A4913" t="s">
        <v>1098</v>
      </c>
      <c r="B4913" t="s">
        <v>1096</v>
      </c>
      <c r="C4913" t="s">
        <v>175</v>
      </c>
      <c r="D4913" t="s">
        <v>740</v>
      </c>
      <c r="E4913" t="s">
        <v>741</v>
      </c>
      <c r="F4913">
        <v>1</v>
      </c>
      <c r="G4913" t="s">
        <v>176</v>
      </c>
      <c r="H4913">
        <v>0</v>
      </c>
      <c r="I4913">
        <v>17</v>
      </c>
      <c r="J4913" s="10">
        <v>17</v>
      </c>
      <c r="K4913" s="10">
        <f>SUMIFS(F:F,D:D,DST_123_ÜRETİM_İHTİYAÇ_RAPORU_BURAK_YENI1309[[#This Row],[ALT_KOD]])-(SUMIFS(H:H,D:D,DST_123_ÜRETİM_İHTİYAÇ_RAPORU_BURAK_YENI1309[[#This Row],[ALT_KOD]])+AVERAGEIFS(I:I,D:D,DST_123_ÜRETİM_İHTİYAÇ_RAPORU_BURAK_YENI1309[[#This Row],[ALT_KOD]])+AVERAGEIFS(L:L,D:D,DST_123_ÜRETİM_İHTİYAÇ_RAPORU_BURAK_YENI1309[[#This Row],[ALT_KOD]]))</f>
        <v>-6</v>
      </c>
      <c r="L4913">
        <v>0</v>
      </c>
      <c r="M4913">
        <f>IF((DST_123_ÜRETİM_İHTİYAÇ_RAPORU_BURAK_YENI1309[[#This Row],[SATINALMA]]*DST_123_ÜRETİM_İHTİYAÇ_RAPORU_BURAK_YENI1309[[#This Row],[BIRIM_FIYATLAR]])&lt;1,VALUE("0"),DST_123_ÜRETİM_İHTİYAÇ_RAPORU_BURAK_YENI1309[[#This Row],[SATINALMA]]*DST_123_ÜRETİM_İHTİYAÇ_RAPORU_BURAK_YENI1309[[#This Row],[BIRIM_FIYATLAR]])</f>
        <v>0</v>
      </c>
      <c r="N4913">
        <v>41.67</v>
      </c>
      <c r="O4913" t="s">
        <v>667</v>
      </c>
      <c r="P4913">
        <v>41.67</v>
      </c>
      <c r="Q4913" t="s">
        <v>177</v>
      </c>
    </row>
    <row r="4914" spans="1:17" x14ac:dyDescent="0.25">
      <c r="A4914" t="s">
        <v>1196</v>
      </c>
      <c r="B4914" t="s">
        <v>1197</v>
      </c>
      <c r="C4914" t="s">
        <v>175</v>
      </c>
      <c r="D4914" t="s">
        <v>740</v>
      </c>
      <c r="E4914" t="s">
        <v>741</v>
      </c>
      <c r="F4914">
        <v>1</v>
      </c>
      <c r="G4914" t="s">
        <v>176</v>
      </c>
      <c r="H4914">
        <v>0</v>
      </c>
      <c r="I4914">
        <v>17</v>
      </c>
      <c r="J4914" s="10">
        <v>17</v>
      </c>
      <c r="K4914" s="10">
        <f>SUMIFS(F:F,D:D,DST_123_ÜRETİM_İHTİYAÇ_RAPORU_BURAK_YENI1309[[#This Row],[ALT_KOD]])-(SUMIFS(H:H,D:D,DST_123_ÜRETİM_İHTİYAÇ_RAPORU_BURAK_YENI1309[[#This Row],[ALT_KOD]])+AVERAGEIFS(I:I,D:D,DST_123_ÜRETİM_İHTİYAÇ_RAPORU_BURAK_YENI1309[[#This Row],[ALT_KOD]])+AVERAGEIFS(L:L,D:D,DST_123_ÜRETİM_İHTİYAÇ_RAPORU_BURAK_YENI1309[[#This Row],[ALT_KOD]]))</f>
        <v>-6</v>
      </c>
      <c r="L4914">
        <v>0</v>
      </c>
      <c r="M4914">
        <f>IF((DST_123_ÜRETİM_İHTİYAÇ_RAPORU_BURAK_YENI1309[[#This Row],[SATINALMA]]*DST_123_ÜRETİM_İHTİYAÇ_RAPORU_BURAK_YENI1309[[#This Row],[BIRIM_FIYATLAR]])&lt;1,VALUE("0"),DST_123_ÜRETİM_İHTİYAÇ_RAPORU_BURAK_YENI1309[[#This Row],[SATINALMA]]*DST_123_ÜRETİM_İHTİYAÇ_RAPORU_BURAK_YENI1309[[#This Row],[BIRIM_FIYATLAR]])</f>
        <v>0</v>
      </c>
      <c r="N4914">
        <v>41.67</v>
      </c>
      <c r="O4914" t="s">
        <v>667</v>
      </c>
      <c r="P4914">
        <v>41.67</v>
      </c>
      <c r="Q4914" t="s">
        <v>177</v>
      </c>
    </row>
    <row r="4915" spans="1:17" x14ac:dyDescent="0.25">
      <c r="A4915" t="s">
        <v>1064</v>
      </c>
      <c r="B4915" t="s">
        <v>1055</v>
      </c>
      <c r="C4915" t="s">
        <v>175</v>
      </c>
      <c r="D4915" t="s">
        <v>424</v>
      </c>
      <c r="E4915" t="s">
        <v>425</v>
      </c>
      <c r="F4915">
        <v>1</v>
      </c>
      <c r="G4915" t="s">
        <v>176</v>
      </c>
      <c r="H4915">
        <v>1</v>
      </c>
      <c r="I4915">
        <v>181</v>
      </c>
      <c r="J4915" s="10">
        <v>3</v>
      </c>
      <c r="K4915" s="10">
        <f>SUMIFS(F:F,D:D,DST_123_ÜRETİM_İHTİYAÇ_RAPORU_BURAK_YENI1309[[#This Row],[ALT_KOD]])-(SUMIFS(H:H,D:D,DST_123_ÜRETİM_İHTİYAÇ_RAPORU_BURAK_YENI1309[[#This Row],[ALT_KOD]])+AVERAGEIFS(I:I,D:D,DST_123_ÜRETİM_İHTİYAÇ_RAPORU_BURAK_YENI1309[[#This Row],[ALT_KOD]])+AVERAGEIFS(L:L,D:D,DST_123_ÜRETİM_İHTİYAÇ_RAPORU_BURAK_YENI1309[[#This Row],[ALT_KOD]]))</f>
        <v>-181</v>
      </c>
      <c r="L4915">
        <v>0</v>
      </c>
      <c r="M4915">
        <f>IF((DST_123_ÜRETİM_İHTİYAÇ_RAPORU_BURAK_YENI1309[[#This Row],[SATINALMA]]*DST_123_ÜRETİM_İHTİYAÇ_RAPORU_BURAK_YENI1309[[#This Row],[BIRIM_FIYATLAR]])&lt;1,VALUE("0"),DST_123_ÜRETİM_İHTİYAÇ_RAPORU_BURAK_YENI1309[[#This Row],[SATINALMA]]*DST_123_ÜRETİM_İHTİYAÇ_RAPORU_BURAK_YENI1309[[#This Row],[BIRIM_FIYATLAR]])</f>
        <v>0</v>
      </c>
      <c r="N4915">
        <v>39.6</v>
      </c>
      <c r="O4915" t="s">
        <v>220</v>
      </c>
      <c r="P4915">
        <v>39.6</v>
      </c>
      <c r="Q4915" t="s">
        <v>221</v>
      </c>
    </row>
    <row r="4916" spans="1:17" x14ac:dyDescent="0.25">
      <c r="A4916" t="s">
        <v>1100</v>
      </c>
      <c r="B4916" t="s">
        <v>1058</v>
      </c>
      <c r="C4916" t="s">
        <v>175</v>
      </c>
      <c r="D4916" t="s">
        <v>714</v>
      </c>
      <c r="E4916" t="s">
        <v>715</v>
      </c>
      <c r="F4916">
        <v>2</v>
      </c>
      <c r="G4916" t="s">
        <v>176</v>
      </c>
      <c r="H4916">
        <v>2</v>
      </c>
      <c r="I4916">
        <v>5</v>
      </c>
      <c r="J4916" s="10">
        <v>4</v>
      </c>
      <c r="K4916" s="10">
        <f>SUMIFS(F:F,D:D,DST_123_ÜRETİM_İHTİYAÇ_RAPORU_BURAK_YENI1309[[#This Row],[ALT_KOD]])-(SUMIFS(H:H,D:D,DST_123_ÜRETİM_İHTİYAÇ_RAPORU_BURAK_YENI1309[[#This Row],[ALT_KOD]])+AVERAGEIFS(I:I,D:D,DST_123_ÜRETİM_İHTİYAÇ_RAPORU_BURAK_YENI1309[[#This Row],[ALT_KOD]])+AVERAGEIFS(L:L,D:D,DST_123_ÜRETİM_İHTİYAÇ_RAPORU_BURAK_YENI1309[[#This Row],[ALT_KOD]]))</f>
        <v>1</v>
      </c>
      <c r="L4916">
        <v>0</v>
      </c>
      <c r="M4916">
        <f>IF((DST_123_ÜRETİM_İHTİYAÇ_RAPORU_BURAK_YENI1309[[#This Row],[SATINALMA]]*DST_123_ÜRETİM_İHTİYAÇ_RAPORU_BURAK_YENI1309[[#This Row],[BIRIM_FIYATLAR]])&lt;1,VALUE("0"),DST_123_ÜRETİM_İHTİYAÇ_RAPORU_BURAK_YENI1309[[#This Row],[SATINALMA]]*DST_123_ÜRETİM_İHTİYAÇ_RAPORU_BURAK_YENI1309[[#This Row],[BIRIM_FIYATLAR]])</f>
        <v>400</v>
      </c>
      <c r="N4916">
        <v>400</v>
      </c>
      <c r="O4916" t="s">
        <v>215</v>
      </c>
      <c r="P4916">
        <v>800</v>
      </c>
      <c r="Q4916" t="s">
        <v>221</v>
      </c>
    </row>
    <row r="4917" spans="1:17" x14ac:dyDescent="0.25">
      <c r="A4917" t="s">
        <v>1146</v>
      </c>
      <c r="B4917" t="s">
        <v>1145</v>
      </c>
      <c r="C4917" t="s">
        <v>175</v>
      </c>
      <c r="D4917" t="s">
        <v>642</v>
      </c>
      <c r="E4917" t="s">
        <v>643</v>
      </c>
      <c r="F4917">
        <v>4</v>
      </c>
      <c r="G4917" t="s">
        <v>176</v>
      </c>
      <c r="H4917">
        <v>0</v>
      </c>
      <c r="I4917">
        <v>19</v>
      </c>
      <c r="J4917" s="10">
        <v>19</v>
      </c>
      <c r="K4917" s="10">
        <f>SUMIFS(F:F,D:D,DST_123_ÜRETİM_İHTİYAÇ_RAPORU_BURAK_YENI1309[[#This Row],[ALT_KOD]])-(SUMIFS(H:H,D:D,DST_123_ÜRETİM_İHTİYAÇ_RAPORU_BURAK_YENI1309[[#This Row],[ALT_KOD]])+AVERAGEIFS(I:I,D:D,DST_123_ÜRETİM_İHTİYAÇ_RAPORU_BURAK_YENI1309[[#This Row],[ALT_KOD]])+AVERAGEIFS(L:L,D:D,DST_123_ÜRETİM_İHTİYAÇ_RAPORU_BURAK_YENI1309[[#This Row],[ALT_KOD]]))</f>
        <v>14</v>
      </c>
      <c r="L4917">
        <v>0</v>
      </c>
      <c r="M4917">
        <f>IF((DST_123_ÜRETİM_İHTİYAÇ_RAPORU_BURAK_YENI1309[[#This Row],[SATINALMA]]*DST_123_ÜRETİM_İHTİYAÇ_RAPORU_BURAK_YENI1309[[#This Row],[BIRIM_FIYATLAR]])&lt;1,VALUE("0"),DST_123_ÜRETİM_İHTİYAÇ_RAPORU_BURAK_YENI1309[[#This Row],[SATINALMA]]*DST_123_ÜRETİM_İHTİYAÇ_RAPORU_BURAK_YENI1309[[#This Row],[BIRIM_FIYATLAR]])</f>
        <v>44207.66</v>
      </c>
      <c r="N4917">
        <v>3157.69</v>
      </c>
      <c r="O4917" t="s">
        <v>647</v>
      </c>
      <c r="P4917">
        <v>12630.76</v>
      </c>
      <c r="Q4917" t="s">
        <v>177</v>
      </c>
    </row>
    <row r="4918" spans="1:17" x14ac:dyDescent="0.25">
      <c r="A4918" t="s">
        <v>1144</v>
      </c>
      <c r="B4918" t="s">
        <v>1145</v>
      </c>
      <c r="C4918" t="s">
        <v>175</v>
      </c>
      <c r="D4918" t="s">
        <v>642</v>
      </c>
      <c r="E4918" t="s">
        <v>643</v>
      </c>
      <c r="F4918">
        <v>4</v>
      </c>
      <c r="G4918" t="s">
        <v>176</v>
      </c>
      <c r="H4918">
        <v>0</v>
      </c>
      <c r="I4918">
        <v>19</v>
      </c>
      <c r="J4918" s="10">
        <v>19</v>
      </c>
      <c r="K4918" s="10">
        <f>SUMIFS(F:F,D:D,DST_123_ÜRETİM_İHTİYAÇ_RAPORU_BURAK_YENI1309[[#This Row],[ALT_KOD]])-(SUMIFS(H:H,D:D,DST_123_ÜRETİM_İHTİYAÇ_RAPORU_BURAK_YENI1309[[#This Row],[ALT_KOD]])+AVERAGEIFS(I:I,D:D,DST_123_ÜRETİM_İHTİYAÇ_RAPORU_BURAK_YENI1309[[#This Row],[ALT_KOD]])+AVERAGEIFS(L:L,D:D,DST_123_ÜRETİM_İHTİYAÇ_RAPORU_BURAK_YENI1309[[#This Row],[ALT_KOD]]))</f>
        <v>14</v>
      </c>
      <c r="L4918">
        <v>0</v>
      </c>
      <c r="M4918">
        <f>IF((DST_123_ÜRETİM_İHTİYAÇ_RAPORU_BURAK_YENI1309[[#This Row],[SATINALMA]]*DST_123_ÜRETİM_İHTİYAÇ_RAPORU_BURAK_YENI1309[[#This Row],[BIRIM_FIYATLAR]])&lt;1,VALUE("0"),DST_123_ÜRETİM_İHTİYAÇ_RAPORU_BURAK_YENI1309[[#This Row],[SATINALMA]]*DST_123_ÜRETİM_İHTİYAÇ_RAPORU_BURAK_YENI1309[[#This Row],[BIRIM_FIYATLAR]])</f>
        <v>44207.66</v>
      </c>
      <c r="N4918">
        <v>3157.69</v>
      </c>
      <c r="O4918" t="s">
        <v>647</v>
      </c>
      <c r="P4918">
        <v>12630.76</v>
      </c>
      <c r="Q4918" t="s">
        <v>177</v>
      </c>
    </row>
    <row r="4919" spans="1:17" x14ac:dyDescent="0.25">
      <c r="A4919" t="s">
        <v>1146</v>
      </c>
      <c r="B4919" t="s">
        <v>1145</v>
      </c>
      <c r="C4919" t="s">
        <v>175</v>
      </c>
      <c r="D4919" t="s">
        <v>1165</v>
      </c>
      <c r="E4919" t="s">
        <v>1166</v>
      </c>
      <c r="F4919">
        <v>2</v>
      </c>
      <c r="G4919" t="s">
        <v>176</v>
      </c>
      <c r="H4919">
        <v>0</v>
      </c>
      <c r="I4919">
        <v>1000</v>
      </c>
      <c r="J4919" s="10">
        <v>1000</v>
      </c>
      <c r="K4919" s="10">
        <f>SUMIFS(F:F,D:D,DST_123_ÜRETİM_İHTİYAÇ_RAPORU_BURAK_YENI1309[[#This Row],[ALT_KOD]])-(SUMIFS(H:H,D:D,DST_123_ÜRETİM_İHTİYAÇ_RAPORU_BURAK_YENI1309[[#This Row],[ALT_KOD]])+AVERAGEIFS(I:I,D:D,DST_123_ÜRETİM_İHTİYAÇ_RAPORU_BURAK_YENI1309[[#This Row],[ALT_KOD]])+AVERAGEIFS(L:L,D:D,DST_123_ÜRETİM_İHTİYAÇ_RAPORU_BURAK_YENI1309[[#This Row],[ALT_KOD]]))</f>
        <v>-986</v>
      </c>
      <c r="L4919">
        <v>0</v>
      </c>
      <c r="M4919">
        <f>IF((DST_123_ÜRETİM_İHTİYAÇ_RAPORU_BURAK_YENI1309[[#This Row],[SATINALMA]]*DST_123_ÜRETİM_İHTİYAÇ_RAPORU_BURAK_YENI1309[[#This Row],[BIRIM_FIYATLAR]])&lt;1,VALUE("0"),DST_123_ÜRETİM_İHTİYAÇ_RAPORU_BURAK_YENI1309[[#This Row],[SATINALMA]]*DST_123_ÜRETİM_İHTİYAÇ_RAPORU_BURAK_YENI1309[[#This Row],[BIRIM_FIYATLAR]])</f>
        <v>0</v>
      </c>
      <c r="N4919">
        <v>0.28000000000000003</v>
      </c>
      <c r="O4919" t="s">
        <v>826</v>
      </c>
      <c r="P4919">
        <v>0.56000000000000005</v>
      </c>
      <c r="Q4919" t="s">
        <v>221</v>
      </c>
    </row>
    <row r="4920" spans="1:17" x14ac:dyDescent="0.25">
      <c r="A4920" t="s">
        <v>1144</v>
      </c>
      <c r="B4920" t="s">
        <v>1145</v>
      </c>
      <c r="C4920" t="s">
        <v>175</v>
      </c>
      <c r="D4920" t="s">
        <v>1165</v>
      </c>
      <c r="E4920" t="s">
        <v>1166</v>
      </c>
      <c r="F4920">
        <v>2</v>
      </c>
      <c r="G4920" t="s">
        <v>176</v>
      </c>
      <c r="H4920">
        <v>0</v>
      </c>
      <c r="I4920">
        <v>1000</v>
      </c>
      <c r="J4920" s="10">
        <v>1000</v>
      </c>
      <c r="K4920" s="10">
        <f>SUMIFS(F:F,D:D,DST_123_ÜRETİM_İHTİYAÇ_RAPORU_BURAK_YENI1309[[#This Row],[ALT_KOD]])-(SUMIFS(H:H,D:D,DST_123_ÜRETİM_İHTİYAÇ_RAPORU_BURAK_YENI1309[[#This Row],[ALT_KOD]])+AVERAGEIFS(I:I,D:D,DST_123_ÜRETİM_İHTİYAÇ_RAPORU_BURAK_YENI1309[[#This Row],[ALT_KOD]])+AVERAGEIFS(L:L,D:D,DST_123_ÜRETİM_İHTİYAÇ_RAPORU_BURAK_YENI1309[[#This Row],[ALT_KOD]]))</f>
        <v>-986</v>
      </c>
      <c r="L4920">
        <v>0</v>
      </c>
      <c r="M4920">
        <f>IF((DST_123_ÜRETİM_İHTİYAÇ_RAPORU_BURAK_YENI1309[[#This Row],[SATINALMA]]*DST_123_ÜRETİM_İHTİYAÇ_RAPORU_BURAK_YENI1309[[#This Row],[BIRIM_FIYATLAR]])&lt;1,VALUE("0"),DST_123_ÜRETİM_İHTİYAÇ_RAPORU_BURAK_YENI1309[[#This Row],[SATINALMA]]*DST_123_ÜRETİM_İHTİYAÇ_RAPORU_BURAK_YENI1309[[#This Row],[BIRIM_FIYATLAR]])</f>
        <v>0</v>
      </c>
      <c r="N4920">
        <v>0.28000000000000003</v>
      </c>
      <c r="O4920" t="s">
        <v>826</v>
      </c>
      <c r="P4920">
        <v>0.56000000000000005</v>
      </c>
      <c r="Q4920" t="s">
        <v>221</v>
      </c>
    </row>
    <row r="4921" spans="1:17" x14ac:dyDescent="0.25">
      <c r="A4921" t="s">
        <v>1098</v>
      </c>
      <c r="B4921" t="s">
        <v>1096</v>
      </c>
      <c r="C4921" t="s">
        <v>175</v>
      </c>
      <c r="D4921" t="s">
        <v>443</v>
      </c>
      <c r="E4921" t="s">
        <v>444</v>
      </c>
      <c r="F4921">
        <v>1</v>
      </c>
      <c r="G4921" t="s">
        <v>176</v>
      </c>
      <c r="H4921">
        <v>0</v>
      </c>
      <c r="I4921">
        <v>25</v>
      </c>
      <c r="J4921" s="10">
        <v>5</v>
      </c>
      <c r="K4921" s="10">
        <f>SUMIFS(F:F,D:D,DST_123_ÜRETİM_İHTİYAÇ_RAPORU_BURAK_YENI1309[[#This Row],[ALT_KOD]])-(SUMIFS(H:H,D:D,DST_123_ÜRETİM_İHTİYAÇ_RAPORU_BURAK_YENI1309[[#This Row],[ALT_KOD]])+AVERAGEIFS(I:I,D:D,DST_123_ÜRETİM_İHTİYAÇ_RAPORU_BURAK_YENI1309[[#This Row],[ALT_KOD]])+AVERAGEIFS(L:L,D:D,DST_123_ÜRETİM_İHTİYAÇ_RAPORU_BURAK_YENI1309[[#This Row],[ALT_KOD]]))</f>
        <v>-13</v>
      </c>
      <c r="L4921">
        <v>0</v>
      </c>
      <c r="M4921">
        <f>IF((DST_123_ÜRETİM_İHTİYAÇ_RAPORU_BURAK_YENI1309[[#This Row],[SATINALMA]]*DST_123_ÜRETİM_İHTİYAÇ_RAPORU_BURAK_YENI1309[[#This Row],[BIRIM_FIYATLAR]])&lt;1,VALUE("0"),DST_123_ÜRETİM_İHTİYAÇ_RAPORU_BURAK_YENI1309[[#This Row],[SATINALMA]]*DST_123_ÜRETİM_İHTİYAÇ_RAPORU_BURAK_YENI1309[[#This Row],[BIRIM_FIYATLAR]])</f>
        <v>0</v>
      </c>
      <c r="N4921">
        <v>373.06</v>
      </c>
      <c r="O4921" t="s">
        <v>636</v>
      </c>
      <c r="P4921">
        <v>373.06</v>
      </c>
      <c r="Q4921" t="s">
        <v>178</v>
      </c>
    </row>
    <row r="4922" spans="1:17" x14ac:dyDescent="0.25">
      <c r="A4922" t="s">
        <v>1059</v>
      </c>
      <c r="B4922" t="s">
        <v>1058</v>
      </c>
      <c r="C4922" t="s">
        <v>175</v>
      </c>
      <c r="D4922" t="s">
        <v>722</v>
      </c>
      <c r="E4922" t="s">
        <v>723</v>
      </c>
      <c r="F4922">
        <v>8</v>
      </c>
      <c r="G4922" t="s">
        <v>176</v>
      </c>
      <c r="H4922">
        <v>8</v>
      </c>
      <c r="I4922">
        <v>1270</v>
      </c>
      <c r="J4922" s="10">
        <v>698</v>
      </c>
      <c r="K4922" s="10">
        <f>SUMIFS(F:F,D:D,DST_123_ÜRETİM_İHTİYAÇ_RAPORU_BURAK_YENI1309[[#This Row],[ALT_KOD]])-(SUMIFS(H:H,D:D,DST_123_ÜRETİM_İHTİYAÇ_RAPORU_BURAK_YENI1309[[#This Row],[ALT_KOD]])+AVERAGEIFS(I:I,D:D,DST_123_ÜRETİM_İHTİYAÇ_RAPORU_BURAK_YENI1309[[#This Row],[ALT_KOD]])+AVERAGEIFS(L:L,D:D,DST_123_ÜRETİM_İHTİYAÇ_RAPORU_BURAK_YENI1309[[#This Row],[ALT_KOD]]))</f>
        <v>-1174</v>
      </c>
      <c r="L4922">
        <v>0</v>
      </c>
      <c r="M4922">
        <f>IF((DST_123_ÜRETİM_İHTİYAÇ_RAPORU_BURAK_YENI1309[[#This Row],[SATINALMA]]*DST_123_ÜRETİM_İHTİYAÇ_RAPORU_BURAK_YENI1309[[#This Row],[BIRIM_FIYATLAR]])&lt;1,VALUE("0"),DST_123_ÜRETİM_İHTİYAÇ_RAPORU_BURAK_YENI1309[[#This Row],[SATINALMA]]*DST_123_ÜRETİM_İHTİYAÇ_RAPORU_BURAK_YENI1309[[#This Row],[BIRIM_FIYATLAR]])</f>
        <v>0</v>
      </c>
      <c r="N4922">
        <v>0.55000000000000004</v>
      </c>
      <c r="O4922" t="s">
        <v>240</v>
      </c>
      <c r="P4922">
        <v>4.4000000000000004</v>
      </c>
      <c r="Q4922" t="s">
        <v>180</v>
      </c>
    </row>
    <row r="4923" spans="1:17" x14ac:dyDescent="0.25">
      <c r="A4923" t="s">
        <v>1059</v>
      </c>
      <c r="B4923" t="s">
        <v>1058</v>
      </c>
      <c r="C4923" t="s">
        <v>175</v>
      </c>
      <c r="D4923" t="s">
        <v>426</v>
      </c>
      <c r="E4923" t="s">
        <v>427</v>
      </c>
      <c r="F4923">
        <v>1</v>
      </c>
      <c r="G4923" t="s">
        <v>176</v>
      </c>
      <c r="H4923">
        <v>1</v>
      </c>
      <c r="I4923">
        <v>12</v>
      </c>
      <c r="J4923" s="10">
        <v>9</v>
      </c>
      <c r="K4923" s="10">
        <f>SUMIFS(F:F,D:D,DST_123_ÜRETİM_İHTİYAÇ_RAPORU_BURAK_YENI1309[[#This Row],[ALT_KOD]])-(SUMIFS(H:H,D:D,DST_123_ÜRETİM_İHTİYAÇ_RAPORU_BURAK_YENI1309[[#This Row],[ALT_KOD]])+AVERAGEIFS(I:I,D:D,DST_123_ÜRETİM_İHTİYAÇ_RAPORU_BURAK_YENI1309[[#This Row],[ALT_KOD]])+AVERAGEIFS(L:L,D:D,DST_123_ÜRETİM_İHTİYAÇ_RAPORU_BURAK_YENI1309[[#This Row],[ALT_KOD]]))</f>
        <v>0</v>
      </c>
      <c r="L4923">
        <v>0</v>
      </c>
      <c r="M4923">
        <f>IF((DST_123_ÜRETİM_İHTİYAÇ_RAPORU_BURAK_YENI1309[[#This Row],[SATINALMA]]*DST_123_ÜRETİM_İHTİYAÇ_RAPORU_BURAK_YENI1309[[#This Row],[BIRIM_FIYATLAR]])&lt;1,VALUE("0"),DST_123_ÜRETİM_İHTİYAÇ_RAPORU_BURAK_YENI1309[[#This Row],[SATINALMA]]*DST_123_ÜRETİM_İHTİYAÇ_RAPORU_BURAK_YENI1309[[#This Row],[BIRIM_FIYATLAR]])</f>
        <v>0</v>
      </c>
      <c r="N4923">
        <v>266.72000000000003</v>
      </c>
      <c r="O4923" t="s">
        <v>227</v>
      </c>
      <c r="P4923">
        <v>266.72000000000003</v>
      </c>
      <c r="Q4923" t="s">
        <v>221</v>
      </c>
    </row>
    <row r="4924" spans="1:17" x14ac:dyDescent="0.25">
      <c r="A4924" t="s">
        <v>1060</v>
      </c>
      <c r="B4924" t="s">
        <v>1061</v>
      </c>
      <c r="C4924" t="s">
        <v>175</v>
      </c>
      <c r="D4924" t="s">
        <v>740</v>
      </c>
      <c r="E4924" t="s">
        <v>741</v>
      </c>
      <c r="F4924">
        <v>1</v>
      </c>
      <c r="G4924" t="s">
        <v>176</v>
      </c>
      <c r="H4924">
        <v>1</v>
      </c>
      <c r="I4924">
        <v>17</v>
      </c>
      <c r="J4924" s="10">
        <v>17</v>
      </c>
      <c r="K4924" s="10">
        <f>SUMIFS(F:F,D:D,DST_123_ÜRETİM_İHTİYAÇ_RAPORU_BURAK_YENI1309[[#This Row],[ALT_KOD]])-(SUMIFS(H:H,D:D,DST_123_ÜRETİM_İHTİYAÇ_RAPORU_BURAK_YENI1309[[#This Row],[ALT_KOD]])+AVERAGEIFS(I:I,D:D,DST_123_ÜRETİM_İHTİYAÇ_RAPORU_BURAK_YENI1309[[#This Row],[ALT_KOD]])+AVERAGEIFS(L:L,D:D,DST_123_ÜRETİM_İHTİYAÇ_RAPORU_BURAK_YENI1309[[#This Row],[ALT_KOD]]))</f>
        <v>-6</v>
      </c>
      <c r="L4924">
        <v>0</v>
      </c>
      <c r="M4924">
        <f>IF((DST_123_ÜRETİM_İHTİYAÇ_RAPORU_BURAK_YENI1309[[#This Row],[SATINALMA]]*DST_123_ÜRETİM_İHTİYAÇ_RAPORU_BURAK_YENI1309[[#This Row],[BIRIM_FIYATLAR]])&lt;1,VALUE("0"),DST_123_ÜRETİM_İHTİYAÇ_RAPORU_BURAK_YENI1309[[#This Row],[SATINALMA]]*DST_123_ÜRETİM_İHTİYAÇ_RAPORU_BURAK_YENI1309[[#This Row],[BIRIM_FIYATLAR]])</f>
        <v>0</v>
      </c>
      <c r="N4924">
        <v>41.67</v>
      </c>
      <c r="O4924" t="s">
        <v>667</v>
      </c>
      <c r="P4924">
        <v>41.67</v>
      </c>
      <c r="Q4924" t="s">
        <v>177</v>
      </c>
    </row>
    <row r="4925" spans="1:17" x14ac:dyDescent="0.25">
      <c r="A4925" t="s">
        <v>1144</v>
      </c>
      <c r="B4925" t="s">
        <v>1145</v>
      </c>
      <c r="C4925" t="s">
        <v>175</v>
      </c>
      <c r="D4925" t="s">
        <v>580</v>
      </c>
      <c r="E4925" t="s">
        <v>581</v>
      </c>
      <c r="F4925">
        <v>18.8</v>
      </c>
      <c r="G4925" t="s">
        <v>185</v>
      </c>
      <c r="H4925">
        <v>0</v>
      </c>
      <c r="I4925">
        <v>60</v>
      </c>
      <c r="J4925" s="10">
        <v>219.95999999999984</v>
      </c>
      <c r="K4925" s="10">
        <f>SUMIFS(F:F,D:D,DST_123_ÜRETİM_İHTİYAÇ_RAPORU_BURAK_YENI1309[[#This Row],[ALT_KOD]])-(SUMIFS(H:H,D:D,DST_123_ÜRETİM_İHTİYAÇ_RAPORU_BURAK_YENI1309[[#This Row],[ALT_KOD]])+AVERAGEIFS(I:I,D:D,DST_123_ÜRETİM_İHTİYAÇ_RAPORU_BURAK_YENI1309[[#This Row],[ALT_KOD]])+AVERAGEIFS(L:L,D:D,DST_123_ÜRETİM_İHTİYAÇ_RAPORU_BURAK_YENI1309[[#This Row],[ALT_KOD]]))</f>
        <v>143.41000000000003</v>
      </c>
      <c r="L4925">
        <v>0</v>
      </c>
      <c r="M4925">
        <f>IF((DST_123_ÜRETİM_İHTİYAÇ_RAPORU_BURAK_YENI1309[[#This Row],[SATINALMA]]*DST_123_ÜRETİM_İHTİYAÇ_RAPORU_BURAK_YENI1309[[#This Row],[BIRIM_FIYATLAR]])&lt;1,VALUE("0"),DST_123_ÜRETİM_İHTİYAÇ_RAPORU_BURAK_YENI1309[[#This Row],[SATINALMA]]*DST_123_ÜRETİM_İHTİYAÇ_RAPORU_BURAK_YENI1309[[#This Row],[BIRIM_FIYATLAR]])</f>
        <v>23533.581000000002</v>
      </c>
      <c r="N4925">
        <v>164.1</v>
      </c>
      <c r="O4925" t="s">
        <v>490</v>
      </c>
      <c r="P4925">
        <v>3085.08</v>
      </c>
      <c r="Q4925" t="s">
        <v>183</v>
      </c>
    </row>
    <row r="4926" spans="1:17" x14ac:dyDescent="0.25">
      <c r="A4926" t="s">
        <v>1144</v>
      </c>
      <c r="B4926" t="s">
        <v>1145</v>
      </c>
      <c r="C4926" t="s">
        <v>175</v>
      </c>
      <c r="D4926" t="s">
        <v>1078</v>
      </c>
      <c r="E4926" t="s">
        <v>1079</v>
      </c>
      <c r="F4926">
        <v>1</v>
      </c>
      <c r="G4926" t="s">
        <v>176</v>
      </c>
      <c r="H4926">
        <v>0</v>
      </c>
      <c r="I4926">
        <v>3</v>
      </c>
      <c r="J4926" s="10">
        <v>8</v>
      </c>
      <c r="K4926" s="10">
        <f>SUMIFS(F:F,D:D,DST_123_ÜRETİM_İHTİYAÇ_RAPORU_BURAK_YENI1309[[#This Row],[ALT_KOD]])-(SUMIFS(H:H,D:D,DST_123_ÜRETİM_İHTİYAÇ_RAPORU_BURAK_YENI1309[[#This Row],[ALT_KOD]])+AVERAGEIFS(I:I,D:D,DST_123_ÜRETİM_İHTİYAÇ_RAPORU_BURAK_YENI1309[[#This Row],[ALT_KOD]])+AVERAGEIFS(L:L,D:D,DST_123_ÜRETİM_İHTİYAÇ_RAPORU_BURAK_YENI1309[[#This Row],[ALT_KOD]]))</f>
        <v>-2</v>
      </c>
      <c r="L4926">
        <v>10</v>
      </c>
      <c r="M4926">
        <f>IF((DST_123_ÜRETİM_İHTİYAÇ_RAPORU_BURAK_YENI1309[[#This Row],[SATINALMA]]*DST_123_ÜRETİM_İHTİYAÇ_RAPORU_BURAK_YENI1309[[#This Row],[BIRIM_FIYATLAR]])&lt;1,VALUE("0"),DST_123_ÜRETİM_İHTİYAÇ_RAPORU_BURAK_YENI1309[[#This Row],[SATINALMA]]*DST_123_ÜRETİM_İHTİYAÇ_RAPORU_BURAK_YENI1309[[#This Row],[BIRIM_FIYATLAR]])</f>
        <v>0</v>
      </c>
      <c r="N4926">
        <v>3097.63</v>
      </c>
      <c r="O4926" t="s">
        <v>592</v>
      </c>
      <c r="P4926">
        <v>3097.63</v>
      </c>
      <c r="Q4926" t="s">
        <v>178</v>
      </c>
    </row>
    <row r="4927" spans="1:17" x14ac:dyDescent="0.25">
      <c r="A4927" t="s">
        <v>1196</v>
      </c>
      <c r="B4927" t="s">
        <v>1197</v>
      </c>
      <c r="C4927" t="s">
        <v>175</v>
      </c>
      <c r="D4927" t="s">
        <v>1084</v>
      </c>
      <c r="E4927" t="s">
        <v>1085</v>
      </c>
      <c r="F4927">
        <v>2</v>
      </c>
      <c r="G4927" t="s">
        <v>176</v>
      </c>
      <c r="H4927">
        <v>0</v>
      </c>
      <c r="I4927">
        <v>12</v>
      </c>
      <c r="J4927" s="10">
        <v>18</v>
      </c>
      <c r="K4927" s="10">
        <f>SUMIFS(F:F,D:D,DST_123_ÜRETİM_İHTİYAÇ_RAPORU_BURAK_YENI1309[[#This Row],[ALT_KOD]])-(SUMIFS(H:H,D:D,DST_123_ÜRETİM_İHTİYAÇ_RAPORU_BURAK_YENI1309[[#This Row],[ALT_KOD]])+AVERAGEIFS(I:I,D:D,DST_123_ÜRETİM_İHTİYAÇ_RAPORU_BURAK_YENI1309[[#This Row],[ALT_KOD]])+AVERAGEIFS(L:L,D:D,DST_123_ÜRETİM_İHTİYAÇ_RAPORU_BURAK_YENI1309[[#This Row],[ALT_KOD]]))</f>
        <v>-14</v>
      </c>
      <c r="L4927">
        <v>20</v>
      </c>
      <c r="M4927">
        <f>IF((DST_123_ÜRETİM_İHTİYAÇ_RAPORU_BURAK_YENI1309[[#This Row],[SATINALMA]]*DST_123_ÜRETİM_İHTİYAÇ_RAPORU_BURAK_YENI1309[[#This Row],[BIRIM_FIYATLAR]])&lt;1,VALUE("0"),DST_123_ÜRETİM_İHTİYAÇ_RAPORU_BURAK_YENI1309[[#This Row],[SATINALMA]]*DST_123_ÜRETİM_İHTİYAÇ_RAPORU_BURAK_YENI1309[[#This Row],[BIRIM_FIYATLAR]])</f>
        <v>0</v>
      </c>
      <c r="N4927">
        <v>194</v>
      </c>
      <c r="O4927" t="s">
        <v>217</v>
      </c>
      <c r="P4927">
        <v>388</v>
      </c>
      <c r="Q4927" t="s">
        <v>177</v>
      </c>
    </row>
    <row r="4928" spans="1:17" x14ac:dyDescent="0.25">
      <c r="A4928" t="s">
        <v>1150</v>
      </c>
      <c r="B4928" t="s">
        <v>1145</v>
      </c>
      <c r="C4928" t="s">
        <v>175</v>
      </c>
      <c r="D4928" t="s">
        <v>1084</v>
      </c>
      <c r="E4928" t="s">
        <v>1085</v>
      </c>
      <c r="F4928">
        <v>2</v>
      </c>
      <c r="G4928" t="s">
        <v>176</v>
      </c>
      <c r="H4928">
        <v>0</v>
      </c>
      <c r="I4928">
        <v>12</v>
      </c>
      <c r="J4928" s="10">
        <v>18</v>
      </c>
      <c r="K4928" s="10">
        <f>SUMIFS(F:F,D:D,DST_123_ÜRETİM_İHTİYAÇ_RAPORU_BURAK_YENI1309[[#This Row],[ALT_KOD]])-(SUMIFS(H:H,D:D,DST_123_ÜRETİM_İHTİYAÇ_RAPORU_BURAK_YENI1309[[#This Row],[ALT_KOD]])+AVERAGEIFS(I:I,D:D,DST_123_ÜRETİM_İHTİYAÇ_RAPORU_BURAK_YENI1309[[#This Row],[ALT_KOD]])+AVERAGEIFS(L:L,D:D,DST_123_ÜRETİM_İHTİYAÇ_RAPORU_BURAK_YENI1309[[#This Row],[ALT_KOD]]))</f>
        <v>-14</v>
      </c>
      <c r="L4928">
        <v>20</v>
      </c>
      <c r="M4928">
        <f>IF((DST_123_ÜRETİM_İHTİYAÇ_RAPORU_BURAK_YENI1309[[#This Row],[SATINALMA]]*DST_123_ÜRETİM_İHTİYAÇ_RAPORU_BURAK_YENI1309[[#This Row],[BIRIM_FIYATLAR]])&lt;1,VALUE("0"),DST_123_ÜRETİM_İHTİYAÇ_RAPORU_BURAK_YENI1309[[#This Row],[SATINALMA]]*DST_123_ÜRETİM_İHTİYAÇ_RAPORU_BURAK_YENI1309[[#This Row],[BIRIM_FIYATLAR]])</f>
        <v>0</v>
      </c>
      <c r="N4928">
        <v>194</v>
      </c>
      <c r="O4928" t="s">
        <v>217</v>
      </c>
      <c r="P4928">
        <v>388</v>
      </c>
      <c r="Q4928" t="s">
        <v>177</v>
      </c>
    </row>
    <row r="4929" spans="1:17" x14ac:dyDescent="0.25">
      <c r="A4929" t="s">
        <v>1150</v>
      </c>
      <c r="B4929" t="s">
        <v>1145</v>
      </c>
      <c r="C4929" t="s">
        <v>175</v>
      </c>
      <c r="D4929" t="s">
        <v>1078</v>
      </c>
      <c r="E4929" t="s">
        <v>1079</v>
      </c>
      <c r="F4929">
        <v>1</v>
      </c>
      <c r="G4929" t="s">
        <v>176</v>
      </c>
      <c r="H4929">
        <v>0</v>
      </c>
      <c r="I4929">
        <v>3</v>
      </c>
      <c r="J4929" s="10">
        <v>8</v>
      </c>
      <c r="K4929" s="10">
        <f>SUMIFS(F:F,D:D,DST_123_ÜRETİM_İHTİYAÇ_RAPORU_BURAK_YENI1309[[#This Row],[ALT_KOD]])-(SUMIFS(H:H,D:D,DST_123_ÜRETİM_İHTİYAÇ_RAPORU_BURAK_YENI1309[[#This Row],[ALT_KOD]])+AVERAGEIFS(I:I,D:D,DST_123_ÜRETİM_İHTİYAÇ_RAPORU_BURAK_YENI1309[[#This Row],[ALT_KOD]])+AVERAGEIFS(L:L,D:D,DST_123_ÜRETİM_İHTİYAÇ_RAPORU_BURAK_YENI1309[[#This Row],[ALT_KOD]]))</f>
        <v>-2</v>
      </c>
      <c r="L4929">
        <v>10</v>
      </c>
      <c r="M4929">
        <f>IF((DST_123_ÜRETİM_İHTİYAÇ_RAPORU_BURAK_YENI1309[[#This Row],[SATINALMA]]*DST_123_ÜRETİM_İHTİYAÇ_RAPORU_BURAK_YENI1309[[#This Row],[BIRIM_FIYATLAR]])&lt;1,VALUE("0"),DST_123_ÜRETİM_İHTİYAÇ_RAPORU_BURAK_YENI1309[[#This Row],[SATINALMA]]*DST_123_ÜRETİM_İHTİYAÇ_RAPORU_BURAK_YENI1309[[#This Row],[BIRIM_FIYATLAR]])</f>
        <v>0</v>
      </c>
      <c r="N4929">
        <v>3097.63</v>
      </c>
      <c r="O4929" t="s">
        <v>592</v>
      </c>
      <c r="P4929">
        <v>3097.63</v>
      </c>
      <c r="Q4929" t="s">
        <v>178</v>
      </c>
    </row>
    <row r="4930" spans="1:17" x14ac:dyDescent="0.25">
      <c r="A4930" t="s">
        <v>1060</v>
      </c>
      <c r="B4930" t="s">
        <v>1061</v>
      </c>
      <c r="C4930" t="s">
        <v>175</v>
      </c>
      <c r="D4930" t="s">
        <v>264</v>
      </c>
      <c r="E4930" t="s">
        <v>265</v>
      </c>
      <c r="F4930">
        <v>1</v>
      </c>
      <c r="G4930" t="s">
        <v>176</v>
      </c>
      <c r="H4930">
        <v>1</v>
      </c>
      <c r="I4930">
        <v>0</v>
      </c>
      <c r="J4930" s="10">
        <v>8</v>
      </c>
      <c r="K4930" s="10">
        <f>SUMIFS(F:F,D:D,DST_123_ÜRETİM_İHTİYAÇ_RAPORU_BURAK_YENI1309[[#This Row],[ALT_KOD]])-(SUMIFS(H:H,D:D,DST_123_ÜRETİM_İHTİYAÇ_RAPORU_BURAK_YENI1309[[#This Row],[ALT_KOD]])+AVERAGEIFS(I:I,D:D,DST_123_ÜRETİM_İHTİYAÇ_RAPORU_BURAK_YENI1309[[#This Row],[ALT_KOD]])+AVERAGEIFS(L:L,D:D,DST_123_ÜRETİM_İHTİYAÇ_RAPORU_BURAK_YENI1309[[#This Row],[ALT_KOD]]))</f>
        <v>12</v>
      </c>
      <c r="L4930">
        <v>0</v>
      </c>
      <c r="M4930">
        <f>IF((DST_123_ÜRETİM_İHTİYAÇ_RAPORU_BURAK_YENI1309[[#This Row],[SATINALMA]]*DST_123_ÜRETİM_İHTİYAÇ_RAPORU_BURAK_YENI1309[[#This Row],[BIRIM_FIYATLAR]])&lt;1,VALUE("0"),DST_123_ÜRETİM_İHTİYAÇ_RAPORU_BURAK_YENI1309[[#This Row],[SATINALMA]]*DST_123_ÜRETİM_İHTİYAÇ_RAPORU_BURAK_YENI1309[[#This Row],[BIRIM_FIYATLAR]])</f>
        <v>55600.08</v>
      </c>
      <c r="N4930">
        <v>4633.34</v>
      </c>
      <c r="O4930" t="s">
        <v>214</v>
      </c>
      <c r="P4930">
        <v>4633.34</v>
      </c>
      <c r="Q4930" t="s">
        <v>177</v>
      </c>
    </row>
    <row r="4931" spans="1:17" x14ac:dyDescent="0.25">
      <c r="A4931" t="s">
        <v>1060</v>
      </c>
      <c r="B4931" t="s">
        <v>1061</v>
      </c>
      <c r="C4931" t="s">
        <v>175</v>
      </c>
      <c r="D4931" t="s">
        <v>699</v>
      </c>
      <c r="E4931" t="s">
        <v>700</v>
      </c>
      <c r="F4931">
        <v>1</v>
      </c>
      <c r="G4931" t="s">
        <v>176</v>
      </c>
      <c r="H4931">
        <v>1</v>
      </c>
      <c r="I4931">
        <v>135</v>
      </c>
      <c r="J4931" s="10">
        <v>7</v>
      </c>
      <c r="K4931" s="10">
        <f>SUMIFS(F:F,D:D,DST_123_ÜRETİM_İHTİYAÇ_RAPORU_BURAK_YENI1309[[#This Row],[ALT_KOD]])-(SUMIFS(H:H,D:D,DST_123_ÜRETİM_İHTİYAÇ_RAPORU_BURAK_YENI1309[[#This Row],[ALT_KOD]])+AVERAGEIFS(I:I,D:D,DST_123_ÜRETİM_İHTİYAÇ_RAPORU_BURAK_YENI1309[[#This Row],[ALT_KOD]])+AVERAGEIFS(L:L,D:D,DST_123_ÜRETİM_İHTİYAÇ_RAPORU_BURAK_YENI1309[[#This Row],[ALT_KOD]]))</f>
        <v>-119</v>
      </c>
      <c r="L4931">
        <v>0</v>
      </c>
      <c r="M4931">
        <f>IF((DST_123_ÜRETİM_İHTİYAÇ_RAPORU_BURAK_YENI1309[[#This Row],[SATINALMA]]*DST_123_ÜRETİM_İHTİYAÇ_RAPORU_BURAK_YENI1309[[#This Row],[BIRIM_FIYATLAR]])&lt;1,VALUE("0"),DST_123_ÜRETİM_İHTİYAÇ_RAPORU_BURAK_YENI1309[[#This Row],[SATINALMA]]*DST_123_ÜRETİM_İHTİYAÇ_RAPORU_BURAK_YENI1309[[#This Row],[BIRIM_FIYATLAR]])</f>
        <v>0</v>
      </c>
      <c r="N4931">
        <v>39.6</v>
      </c>
      <c r="O4931" t="s">
        <v>220</v>
      </c>
      <c r="P4931">
        <v>39.6</v>
      </c>
      <c r="Q4931" t="s">
        <v>221</v>
      </c>
    </row>
    <row r="4932" spans="1:17" x14ac:dyDescent="0.25">
      <c r="A4932" t="s">
        <v>1099</v>
      </c>
      <c r="B4932" t="s">
        <v>1055</v>
      </c>
      <c r="C4932" t="s">
        <v>175</v>
      </c>
      <c r="D4932" t="s">
        <v>1078</v>
      </c>
      <c r="E4932" t="s">
        <v>1079</v>
      </c>
      <c r="F4932">
        <v>1</v>
      </c>
      <c r="G4932" t="s">
        <v>176</v>
      </c>
      <c r="H4932">
        <v>1</v>
      </c>
      <c r="I4932">
        <v>3</v>
      </c>
      <c r="J4932" s="10">
        <v>8</v>
      </c>
      <c r="K4932" s="10">
        <f>SUMIFS(F:F,D:D,DST_123_ÜRETİM_İHTİYAÇ_RAPORU_BURAK_YENI1309[[#This Row],[ALT_KOD]])-(SUMIFS(H:H,D:D,DST_123_ÜRETİM_İHTİYAÇ_RAPORU_BURAK_YENI1309[[#This Row],[ALT_KOD]])+AVERAGEIFS(I:I,D:D,DST_123_ÜRETİM_İHTİYAÇ_RAPORU_BURAK_YENI1309[[#This Row],[ALT_KOD]])+AVERAGEIFS(L:L,D:D,DST_123_ÜRETİM_İHTİYAÇ_RAPORU_BURAK_YENI1309[[#This Row],[ALT_KOD]]))</f>
        <v>-2</v>
      </c>
      <c r="L4932">
        <v>10</v>
      </c>
      <c r="M4932">
        <f>IF((DST_123_ÜRETİM_İHTİYAÇ_RAPORU_BURAK_YENI1309[[#This Row],[SATINALMA]]*DST_123_ÜRETİM_İHTİYAÇ_RAPORU_BURAK_YENI1309[[#This Row],[BIRIM_FIYATLAR]])&lt;1,VALUE("0"),DST_123_ÜRETİM_İHTİYAÇ_RAPORU_BURAK_YENI1309[[#This Row],[SATINALMA]]*DST_123_ÜRETİM_İHTİYAÇ_RAPORU_BURAK_YENI1309[[#This Row],[BIRIM_FIYATLAR]])</f>
        <v>0</v>
      </c>
      <c r="N4932">
        <v>3097.63</v>
      </c>
      <c r="O4932" t="s">
        <v>592</v>
      </c>
      <c r="P4932">
        <v>3097.63</v>
      </c>
      <c r="Q4932" t="s">
        <v>178</v>
      </c>
    </row>
    <row r="4933" spans="1:17" x14ac:dyDescent="0.25">
      <c r="A4933" t="s">
        <v>1196</v>
      </c>
      <c r="B4933" t="s">
        <v>1197</v>
      </c>
      <c r="C4933" t="s">
        <v>175</v>
      </c>
      <c r="D4933" t="s">
        <v>1127</v>
      </c>
      <c r="E4933" t="s">
        <v>1128</v>
      </c>
      <c r="F4933">
        <v>0.5</v>
      </c>
      <c r="G4933" t="s">
        <v>179</v>
      </c>
      <c r="H4933">
        <v>0</v>
      </c>
      <c r="I4933">
        <v>60</v>
      </c>
      <c r="J4933" s="10">
        <v>50</v>
      </c>
      <c r="K4933" s="10">
        <f>SUMIFS(F:F,D:D,DST_123_ÜRETİM_İHTİYAÇ_RAPORU_BURAK_YENI1309[[#This Row],[ALT_KOD]])-(SUMIFS(H:H,D:D,DST_123_ÜRETİM_İHTİYAÇ_RAPORU_BURAK_YENI1309[[#This Row],[ALT_KOD]])+AVERAGEIFS(I:I,D:D,DST_123_ÜRETİM_İHTİYAÇ_RAPORU_BURAK_YENI1309[[#This Row],[ALT_KOD]])+AVERAGEIFS(L:L,D:D,DST_123_ÜRETİM_İHTİYAÇ_RAPORU_BURAK_YENI1309[[#This Row],[ALT_KOD]]))</f>
        <v>-50.5</v>
      </c>
      <c r="L4933">
        <v>0</v>
      </c>
      <c r="M4933">
        <f>IF((DST_123_ÜRETİM_İHTİYAÇ_RAPORU_BURAK_YENI1309[[#This Row],[SATINALMA]]*DST_123_ÜRETİM_İHTİYAÇ_RAPORU_BURAK_YENI1309[[#This Row],[BIRIM_FIYATLAR]])&lt;1,VALUE("0"),DST_123_ÜRETİM_İHTİYAÇ_RAPORU_BURAK_YENI1309[[#This Row],[SATINALMA]]*DST_123_ÜRETİM_İHTİYAÇ_RAPORU_BURAK_YENI1309[[#This Row],[BIRIM_FIYATLAR]])</f>
        <v>0</v>
      </c>
      <c r="N4933">
        <v>265</v>
      </c>
      <c r="O4933" t="s">
        <v>745</v>
      </c>
      <c r="P4933">
        <v>132.5</v>
      </c>
      <c r="Q4933" t="s">
        <v>184</v>
      </c>
    </row>
    <row r="4934" spans="1:17" x14ac:dyDescent="0.25">
      <c r="A4934" t="s">
        <v>1057</v>
      </c>
      <c r="B4934" t="s">
        <v>1058</v>
      </c>
      <c r="C4934" t="s">
        <v>175</v>
      </c>
      <c r="D4934" t="s">
        <v>64</v>
      </c>
      <c r="E4934" t="s">
        <v>65</v>
      </c>
      <c r="F4934">
        <v>1</v>
      </c>
      <c r="G4934" t="s">
        <v>176</v>
      </c>
      <c r="H4934">
        <v>1</v>
      </c>
      <c r="I4934">
        <v>36</v>
      </c>
      <c r="J4934" s="10">
        <v>12</v>
      </c>
      <c r="K4934" s="10">
        <f>SUMIFS(F:F,D:D,DST_123_ÜRETİM_İHTİYAÇ_RAPORU_BURAK_YENI1309[[#This Row],[ALT_KOD]])-(SUMIFS(H:H,D:D,DST_123_ÜRETİM_İHTİYAÇ_RAPORU_BURAK_YENI1309[[#This Row],[ALT_KOD]])+AVERAGEIFS(I:I,D:D,DST_123_ÜRETİM_İHTİYAÇ_RAPORU_BURAK_YENI1309[[#This Row],[ALT_KOD]])+AVERAGEIFS(L:L,D:D,DST_123_ÜRETİM_İHTİYAÇ_RAPORU_BURAK_YENI1309[[#This Row],[ALT_KOD]]))</f>
        <v>-22</v>
      </c>
      <c r="L4934">
        <v>0</v>
      </c>
      <c r="M4934">
        <f>IF((DST_123_ÜRETİM_İHTİYAÇ_RAPORU_BURAK_YENI1309[[#This Row],[SATINALMA]]*DST_123_ÜRETİM_İHTİYAÇ_RAPORU_BURAK_YENI1309[[#This Row],[BIRIM_FIYATLAR]])&lt;1,VALUE("0"),DST_123_ÜRETİM_İHTİYAÇ_RAPORU_BURAK_YENI1309[[#This Row],[SATINALMA]]*DST_123_ÜRETİM_İHTİYAÇ_RAPORU_BURAK_YENI1309[[#This Row],[BIRIM_FIYATLAR]])</f>
        <v>0</v>
      </c>
      <c r="N4934">
        <v>95</v>
      </c>
      <c r="O4934" t="s">
        <v>217</v>
      </c>
      <c r="P4934">
        <v>95</v>
      </c>
      <c r="Q4934" t="s">
        <v>180</v>
      </c>
    </row>
    <row r="4935" spans="1:17" x14ac:dyDescent="0.25">
      <c r="A4935" t="s">
        <v>1060</v>
      </c>
      <c r="B4935" t="s">
        <v>1061</v>
      </c>
      <c r="C4935" t="s">
        <v>175</v>
      </c>
      <c r="D4935" t="s">
        <v>64</v>
      </c>
      <c r="E4935" t="s">
        <v>65</v>
      </c>
      <c r="F4935">
        <v>1</v>
      </c>
      <c r="G4935" t="s">
        <v>176</v>
      </c>
      <c r="H4935">
        <v>1</v>
      </c>
      <c r="I4935">
        <v>36</v>
      </c>
      <c r="J4935" s="10">
        <v>12</v>
      </c>
      <c r="K4935" s="10">
        <f>SUMIFS(F:F,D:D,DST_123_ÜRETİM_İHTİYAÇ_RAPORU_BURAK_YENI1309[[#This Row],[ALT_KOD]])-(SUMIFS(H:H,D:D,DST_123_ÜRETİM_İHTİYAÇ_RAPORU_BURAK_YENI1309[[#This Row],[ALT_KOD]])+AVERAGEIFS(I:I,D:D,DST_123_ÜRETİM_İHTİYAÇ_RAPORU_BURAK_YENI1309[[#This Row],[ALT_KOD]])+AVERAGEIFS(L:L,D:D,DST_123_ÜRETİM_İHTİYAÇ_RAPORU_BURAK_YENI1309[[#This Row],[ALT_KOD]]))</f>
        <v>-22</v>
      </c>
      <c r="L4935">
        <v>0</v>
      </c>
      <c r="M4935">
        <f>IF((DST_123_ÜRETİM_İHTİYAÇ_RAPORU_BURAK_YENI1309[[#This Row],[SATINALMA]]*DST_123_ÜRETİM_İHTİYAÇ_RAPORU_BURAK_YENI1309[[#This Row],[BIRIM_FIYATLAR]])&lt;1,VALUE("0"),DST_123_ÜRETİM_İHTİYAÇ_RAPORU_BURAK_YENI1309[[#This Row],[SATINALMA]]*DST_123_ÜRETİM_İHTİYAÇ_RAPORU_BURAK_YENI1309[[#This Row],[BIRIM_FIYATLAR]])</f>
        <v>0</v>
      </c>
      <c r="N4935">
        <v>95</v>
      </c>
      <c r="O4935" t="s">
        <v>217</v>
      </c>
      <c r="P4935">
        <v>95</v>
      </c>
      <c r="Q4935" t="s">
        <v>180</v>
      </c>
    </row>
    <row r="4936" spans="1:17" x14ac:dyDescent="0.25">
      <c r="A4936" t="s">
        <v>1101</v>
      </c>
      <c r="B4936" t="s">
        <v>1102</v>
      </c>
      <c r="C4936" t="s">
        <v>175</v>
      </c>
      <c r="D4936" t="s">
        <v>546</v>
      </c>
      <c r="E4936" t="s">
        <v>547</v>
      </c>
      <c r="F4936">
        <v>3</v>
      </c>
      <c r="G4936" t="s">
        <v>176</v>
      </c>
      <c r="H4936">
        <v>3</v>
      </c>
      <c r="I4936">
        <v>106</v>
      </c>
      <c r="J4936" s="10">
        <v>9</v>
      </c>
      <c r="K4936" s="10">
        <f>SUMIFS(F:F,D:D,DST_123_ÜRETİM_İHTİYAÇ_RAPORU_BURAK_YENI1309[[#This Row],[ALT_KOD]])-(SUMIFS(H:H,D:D,DST_123_ÜRETİM_İHTİYAÇ_RAPORU_BURAK_YENI1309[[#This Row],[ALT_KOD]])+AVERAGEIFS(I:I,D:D,DST_123_ÜRETİM_İHTİYAÇ_RAPORU_BURAK_YENI1309[[#This Row],[ALT_KOD]])+AVERAGEIFS(L:L,D:D,DST_123_ÜRETİM_İHTİYAÇ_RAPORU_BURAK_YENI1309[[#This Row],[ALT_KOD]]))</f>
        <v>-106</v>
      </c>
      <c r="L4936">
        <v>0</v>
      </c>
      <c r="M4936">
        <f>IF((DST_123_ÜRETİM_İHTİYAÇ_RAPORU_BURAK_YENI1309[[#This Row],[SATINALMA]]*DST_123_ÜRETİM_İHTİYAÇ_RAPORU_BURAK_YENI1309[[#This Row],[BIRIM_FIYATLAR]])&lt;1,VALUE("0"),DST_123_ÜRETİM_İHTİYAÇ_RAPORU_BURAK_YENI1309[[#This Row],[SATINALMA]]*DST_123_ÜRETİM_İHTİYAÇ_RAPORU_BURAK_YENI1309[[#This Row],[BIRIM_FIYATLAR]])</f>
        <v>0</v>
      </c>
      <c r="N4936">
        <v>90</v>
      </c>
      <c r="P4936">
        <v>270</v>
      </c>
      <c r="Q4936" t="s">
        <v>180</v>
      </c>
    </row>
    <row r="4937" spans="1:17" x14ac:dyDescent="0.25">
      <c r="A4937" t="s">
        <v>1100</v>
      </c>
      <c r="B4937" t="s">
        <v>1058</v>
      </c>
      <c r="C4937" t="s">
        <v>175</v>
      </c>
      <c r="D4937" t="s">
        <v>124</v>
      </c>
      <c r="E4937" t="s">
        <v>125</v>
      </c>
      <c r="F4937">
        <v>6</v>
      </c>
      <c r="G4937" t="s">
        <v>185</v>
      </c>
      <c r="H4937">
        <v>6</v>
      </c>
      <c r="I4937">
        <v>0</v>
      </c>
      <c r="J4937" s="10">
        <v>297.61</v>
      </c>
      <c r="K4937" s="10">
        <f>SUMIFS(F:F,D:D,DST_123_ÜRETİM_İHTİYAÇ_RAPORU_BURAK_YENI1309[[#This Row],[ALT_KOD]])-(SUMIFS(H:H,D:D,DST_123_ÜRETİM_İHTİYAÇ_RAPORU_BURAK_YENI1309[[#This Row],[ALT_KOD]])+AVERAGEIFS(I:I,D:D,DST_123_ÜRETİM_İHTİYAÇ_RAPORU_BURAK_YENI1309[[#This Row],[ALT_KOD]])+AVERAGEIFS(L:L,D:D,DST_123_ÜRETİM_İHTİYAÇ_RAPORU_BURAK_YENI1309[[#This Row],[ALT_KOD]]))</f>
        <v>97.560000000000016</v>
      </c>
      <c r="L4937">
        <v>0</v>
      </c>
      <c r="M4937">
        <f>IF((DST_123_ÜRETİM_İHTİYAÇ_RAPORU_BURAK_YENI1309[[#This Row],[SATINALMA]]*DST_123_ÜRETİM_İHTİYAÇ_RAPORU_BURAK_YENI1309[[#This Row],[BIRIM_FIYATLAR]])&lt;1,VALUE("0"),DST_123_ÜRETİM_İHTİYAÇ_RAPORU_BURAK_YENI1309[[#This Row],[SATINALMA]]*DST_123_ÜRETİM_İHTİYAÇ_RAPORU_BURAK_YENI1309[[#This Row],[BIRIM_FIYATLAR]])</f>
        <v>13285.720800000003</v>
      </c>
      <c r="N4937">
        <v>136.18</v>
      </c>
      <c r="O4937" t="s">
        <v>252</v>
      </c>
      <c r="P4937">
        <v>817.08</v>
      </c>
      <c r="Q4937" t="s">
        <v>183</v>
      </c>
    </row>
    <row r="4938" spans="1:17" x14ac:dyDescent="0.25">
      <c r="A4938" t="s">
        <v>1059</v>
      </c>
      <c r="B4938" t="s">
        <v>1058</v>
      </c>
      <c r="C4938" t="s">
        <v>175</v>
      </c>
      <c r="D4938" t="s">
        <v>400</v>
      </c>
      <c r="E4938" t="s">
        <v>401</v>
      </c>
      <c r="F4938">
        <v>2</v>
      </c>
      <c r="G4938" t="s">
        <v>176</v>
      </c>
      <c r="H4938">
        <v>2</v>
      </c>
      <c r="I4938">
        <v>27</v>
      </c>
      <c r="J4938" s="10">
        <v>14</v>
      </c>
      <c r="K4938" s="10">
        <f>SUMIFS(F:F,D:D,DST_123_ÜRETİM_İHTİYAÇ_RAPORU_BURAK_YENI1309[[#This Row],[ALT_KOD]])-(SUMIFS(H:H,D:D,DST_123_ÜRETİM_İHTİYAÇ_RAPORU_BURAK_YENI1309[[#This Row],[ALT_KOD]])+AVERAGEIFS(I:I,D:D,DST_123_ÜRETİM_İHTİYAÇ_RAPORU_BURAK_YENI1309[[#This Row],[ALT_KOD]])+AVERAGEIFS(L:L,D:D,DST_123_ÜRETİM_İHTİYAÇ_RAPORU_BURAK_YENI1309[[#This Row],[ALT_KOD]]))</f>
        <v>-18</v>
      </c>
      <c r="L4938">
        <v>0</v>
      </c>
      <c r="M4938">
        <f>IF((DST_123_ÜRETİM_İHTİYAÇ_RAPORU_BURAK_YENI1309[[#This Row],[SATINALMA]]*DST_123_ÜRETİM_İHTİYAÇ_RAPORU_BURAK_YENI1309[[#This Row],[BIRIM_FIYATLAR]])&lt;1,VALUE("0"),DST_123_ÜRETİM_İHTİYAÇ_RAPORU_BURAK_YENI1309[[#This Row],[SATINALMA]]*DST_123_ÜRETİM_İHTİYAÇ_RAPORU_BURAK_YENI1309[[#This Row],[BIRIM_FIYATLAR]])</f>
        <v>0</v>
      </c>
      <c r="N4938">
        <v>15</v>
      </c>
      <c r="O4938" t="s">
        <v>220</v>
      </c>
      <c r="P4938">
        <v>30</v>
      </c>
      <c r="Q4938" t="s">
        <v>221</v>
      </c>
    </row>
    <row r="4939" spans="1:17" x14ac:dyDescent="0.25">
      <c r="A4939" t="s">
        <v>1101</v>
      </c>
      <c r="B4939" t="s">
        <v>1102</v>
      </c>
      <c r="C4939" t="s">
        <v>175</v>
      </c>
      <c r="D4939" t="s">
        <v>400</v>
      </c>
      <c r="E4939" t="s">
        <v>401</v>
      </c>
      <c r="F4939">
        <v>2</v>
      </c>
      <c r="G4939" t="s">
        <v>176</v>
      </c>
      <c r="H4939">
        <v>2</v>
      </c>
      <c r="I4939">
        <v>27</v>
      </c>
      <c r="J4939" s="10">
        <v>14</v>
      </c>
      <c r="K4939" s="10">
        <f>SUMIFS(F:F,D:D,DST_123_ÜRETİM_İHTİYAÇ_RAPORU_BURAK_YENI1309[[#This Row],[ALT_KOD]])-(SUMIFS(H:H,D:D,DST_123_ÜRETİM_İHTİYAÇ_RAPORU_BURAK_YENI1309[[#This Row],[ALT_KOD]])+AVERAGEIFS(I:I,D:D,DST_123_ÜRETİM_İHTİYAÇ_RAPORU_BURAK_YENI1309[[#This Row],[ALT_KOD]])+AVERAGEIFS(L:L,D:D,DST_123_ÜRETİM_İHTİYAÇ_RAPORU_BURAK_YENI1309[[#This Row],[ALT_KOD]]))</f>
        <v>-18</v>
      </c>
      <c r="L4939">
        <v>0</v>
      </c>
      <c r="M4939">
        <f>IF((DST_123_ÜRETİM_İHTİYAÇ_RAPORU_BURAK_YENI1309[[#This Row],[SATINALMA]]*DST_123_ÜRETİM_İHTİYAÇ_RAPORU_BURAK_YENI1309[[#This Row],[BIRIM_FIYATLAR]])&lt;1,VALUE("0"),DST_123_ÜRETİM_İHTİYAÇ_RAPORU_BURAK_YENI1309[[#This Row],[SATINALMA]]*DST_123_ÜRETİM_İHTİYAÇ_RAPORU_BURAK_YENI1309[[#This Row],[BIRIM_FIYATLAR]])</f>
        <v>0</v>
      </c>
      <c r="N4939">
        <v>15</v>
      </c>
      <c r="O4939" t="s">
        <v>220</v>
      </c>
      <c r="P4939">
        <v>30</v>
      </c>
      <c r="Q4939" t="s">
        <v>221</v>
      </c>
    </row>
    <row r="4940" spans="1:17" x14ac:dyDescent="0.25">
      <c r="A4940" t="s">
        <v>1101</v>
      </c>
      <c r="B4940" t="s">
        <v>1102</v>
      </c>
      <c r="C4940" t="s">
        <v>175</v>
      </c>
      <c r="D4940" t="s">
        <v>699</v>
      </c>
      <c r="E4940" t="s">
        <v>700</v>
      </c>
      <c r="F4940">
        <v>1</v>
      </c>
      <c r="G4940" t="s">
        <v>176</v>
      </c>
      <c r="H4940">
        <v>1</v>
      </c>
      <c r="I4940">
        <v>135</v>
      </c>
      <c r="J4940" s="10">
        <v>7</v>
      </c>
      <c r="K4940" s="10">
        <f>SUMIFS(F:F,D:D,DST_123_ÜRETİM_İHTİYAÇ_RAPORU_BURAK_YENI1309[[#This Row],[ALT_KOD]])-(SUMIFS(H:H,D:D,DST_123_ÜRETİM_İHTİYAÇ_RAPORU_BURAK_YENI1309[[#This Row],[ALT_KOD]])+AVERAGEIFS(I:I,D:D,DST_123_ÜRETİM_İHTİYAÇ_RAPORU_BURAK_YENI1309[[#This Row],[ALT_KOD]])+AVERAGEIFS(L:L,D:D,DST_123_ÜRETİM_İHTİYAÇ_RAPORU_BURAK_YENI1309[[#This Row],[ALT_KOD]]))</f>
        <v>-119</v>
      </c>
      <c r="L4940">
        <v>0</v>
      </c>
      <c r="M4940">
        <f>IF((DST_123_ÜRETİM_İHTİYAÇ_RAPORU_BURAK_YENI1309[[#This Row],[SATINALMA]]*DST_123_ÜRETİM_İHTİYAÇ_RAPORU_BURAK_YENI1309[[#This Row],[BIRIM_FIYATLAR]])&lt;1,VALUE("0"),DST_123_ÜRETİM_İHTİYAÇ_RAPORU_BURAK_YENI1309[[#This Row],[SATINALMA]]*DST_123_ÜRETİM_İHTİYAÇ_RAPORU_BURAK_YENI1309[[#This Row],[BIRIM_FIYATLAR]])</f>
        <v>0</v>
      </c>
      <c r="N4940">
        <v>39.6</v>
      </c>
      <c r="O4940" t="s">
        <v>220</v>
      </c>
      <c r="P4940">
        <v>39.6</v>
      </c>
      <c r="Q4940" t="s">
        <v>221</v>
      </c>
    </row>
    <row r="4941" spans="1:17" x14ac:dyDescent="0.25">
      <c r="A4941" t="s">
        <v>1097</v>
      </c>
      <c r="B4941" t="s">
        <v>1055</v>
      </c>
      <c r="C4941" t="s">
        <v>175</v>
      </c>
      <c r="D4941" t="s">
        <v>50</v>
      </c>
      <c r="E4941" t="s">
        <v>51</v>
      </c>
      <c r="F4941">
        <v>1</v>
      </c>
      <c r="G4941" t="s">
        <v>176</v>
      </c>
      <c r="H4941">
        <v>1</v>
      </c>
      <c r="I4941">
        <v>4</v>
      </c>
      <c r="J4941" s="10">
        <v>10</v>
      </c>
      <c r="K4941" s="10">
        <f>SUMIFS(F:F,D:D,DST_123_ÜRETİM_İHTİYAÇ_RAPORU_BURAK_YENI1309[[#This Row],[ALT_KOD]])-(SUMIFS(H:H,D:D,DST_123_ÜRETİM_İHTİYAÇ_RAPORU_BURAK_YENI1309[[#This Row],[ALT_KOD]])+AVERAGEIFS(I:I,D:D,DST_123_ÜRETİM_İHTİYAÇ_RAPORU_BURAK_YENI1309[[#This Row],[ALT_KOD]])+AVERAGEIFS(L:L,D:D,DST_123_ÜRETİM_İHTİYAÇ_RAPORU_BURAK_YENI1309[[#This Row],[ALT_KOD]]))</f>
        <v>8</v>
      </c>
      <c r="L4941">
        <v>0</v>
      </c>
      <c r="M4941">
        <f>IF((DST_123_ÜRETİM_İHTİYAÇ_RAPORU_BURAK_YENI1309[[#This Row],[SATINALMA]]*DST_123_ÜRETİM_İHTİYAÇ_RAPORU_BURAK_YENI1309[[#This Row],[BIRIM_FIYATLAR]])&lt;1,VALUE("0"),DST_123_ÜRETİM_İHTİYAÇ_RAPORU_BURAK_YENI1309[[#This Row],[SATINALMA]]*DST_123_ÜRETİM_İHTİYAÇ_RAPORU_BURAK_YENI1309[[#This Row],[BIRIM_FIYATLAR]])</f>
        <v>41649.120000000003</v>
      </c>
      <c r="N4941">
        <v>5206.1400000000003</v>
      </c>
      <c r="O4941" t="s">
        <v>215</v>
      </c>
      <c r="P4941">
        <v>5206.1400000000003</v>
      </c>
      <c r="Q4941" t="s">
        <v>221</v>
      </c>
    </row>
    <row r="4942" spans="1:17" x14ac:dyDescent="0.25">
      <c r="A4942" t="s">
        <v>1097</v>
      </c>
      <c r="B4942" t="s">
        <v>1055</v>
      </c>
      <c r="C4942" t="s">
        <v>175</v>
      </c>
      <c r="D4942" t="s">
        <v>1078</v>
      </c>
      <c r="E4942" t="s">
        <v>1079</v>
      </c>
      <c r="F4942">
        <v>1</v>
      </c>
      <c r="G4942" t="s">
        <v>176</v>
      </c>
      <c r="H4942">
        <v>1</v>
      </c>
      <c r="I4942">
        <v>3</v>
      </c>
      <c r="J4942" s="10">
        <v>8</v>
      </c>
      <c r="K4942" s="10">
        <f>SUMIFS(F:F,D:D,DST_123_ÜRETİM_İHTİYAÇ_RAPORU_BURAK_YENI1309[[#This Row],[ALT_KOD]])-(SUMIFS(H:H,D:D,DST_123_ÜRETİM_İHTİYAÇ_RAPORU_BURAK_YENI1309[[#This Row],[ALT_KOD]])+AVERAGEIFS(I:I,D:D,DST_123_ÜRETİM_İHTİYAÇ_RAPORU_BURAK_YENI1309[[#This Row],[ALT_KOD]])+AVERAGEIFS(L:L,D:D,DST_123_ÜRETİM_İHTİYAÇ_RAPORU_BURAK_YENI1309[[#This Row],[ALT_KOD]]))</f>
        <v>-2</v>
      </c>
      <c r="L4942">
        <v>10</v>
      </c>
      <c r="M4942">
        <f>IF((DST_123_ÜRETİM_İHTİYAÇ_RAPORU_BURAK_YENI1309[[#This Row],[SATINALMA]]*DST_123_ÜRETİM_İHTİYAÇ_RAPORU_BURAK_YENI1309[[#This Row],[BIRIM_FIYATLAR]])&lt;1,VALUE("0"),DST_123_ÜRETİM_İHTİYAÇ_RAPORU_BURAK_YENI1309[[#This Row],[SATINALMA]]*DST_123_ÜRETİM_İHTİYAÇ_RAPORU_BURAK_YENI1309[[#This Row],[BIRIM_FIYATLAR]])</f>
        <v>0</v>
      </c>
      <c r="N4942">
        <v>3097.63</v>
      </c>
      <c r="O4942" t="s">
        <v>592</v>
      </c>
      <c r="P4942">
        <v>3097.63</v>
      </c>
      <c r="Q4942" t="s">
        <v>178</v>
      </c>
    </row>
    <row r="4943" spans="1:17" x14ac:dyDescent="0.25">
      <c r="A4943" t="s">
        <v>1101</v>
      </c>
      <c r="B4943" t="s">
        <v>1102</v>
      </c>
      <c r="C4943" t="s">
        <v>175</v>
      </c>
      <c r="D4943" t="s">
        <v>1084</v>
      </c>
      <c r="E4943" t="s">
        <v>1085</v>
      </c>
      <c r="F4943">
        <v>2</v>
      </c>
      <c r="G4943" t="s">
        <v>176</v>
      </c>
      <c r="H4943">
        <v>2</v>
      </c>
      <c r="I4943">
        <v>12</v>
      </c>
      <c r="J4943" s="10">
        <v>18</v>
      </c>
      <c r="K4943" s="10">
        <f>SUMIFS(F:F,D:D,DST_123_ÜRETİM_İHTİYAÇ_RAPORU_BURAK_YENI1309[[#This Row],[ALT_KOD]])-(SUMIFS(H:H,D:D,DST_123_ÜRETİM_İHTİYAÇ_RAPORU_BURAK_YENI1309[[#This Row],[ALT_KOD]])+AVERAGEIFS(I:I,D:D,DST_123_ÜRETİM_İHTİYAÇ_RAPORU_BURAK_YENI1309[[#This Row],[ALT_KOD]])+AVERAGEIFS(L:L,D:D,DST_123_ÜRETİM_İHTİYAÇ_RAPORU_BURAK_YENI1309[[#This Row],[ALT_KOD]]))</f>
        <v>-14</v>
      </c>
      <c r="L4943">
        <v>20</v>
      </c>
      <c r="M4943">
        <f>IF((DST_123_ÜRETİM_İHTİYAÇ_RAPORU_BURAK_YENI1309[[#This Row],[SATINALMA]]*DST_123_ÜRETİM_İHTİYAÇ_RAPORU_BURAK_YENI1309[[#This Row],[BIRIM_FIYATLAR]])&lt;1,VALUE("0"),DST_123_ÜRETİM_İHTİYAÇ_RAPORU_BURAK_YENI1309[[#This Row],[SATINALMA]]*DST_123_ÜRETİM_İHTİYAÇ_RAPORU_BURAK_YENI1309[[#This Row],[BIRIM_FIYATLAR]])</f>
        <v>0</v>
      </c>
      <c r="N4943">
        <v>194</v>
      </c>
      <c r="O4943" t="s">
        <v>217</v>
      </c>
      <c r="P4943">
        <v>388</v>
      </c>
      <c r="Q4943" t="s">
        <v>177</v>
      </c>
    </row>
    <row r="4944" spans="1:17" x14ac:dyDescent="0.25">
      <c r="A4944" t="s">
        <v>1097</v>
      </c>
      <c r="B4944" t="s">
        <v>1055</v>
      </c>
      <c r="C4944" t="s">
        <v>175</v>
      </c>
      <c r="D4944" t="s">
        <v>431</v>
      </c>
      <c r="E4944" t="s">
        <v>432</v>
      </c>
      <c r="F4944">
        <v>1</v>
      </c>
      <c r="G4944" t="s">
        <v>176</v>
      </c>
      <c r="H4944">
        <v>1</v>
      </c>
      <c r="I4944">
        <v>8</v>
      </c>
      <c r="J4944" s="10">
        <v>5</v>
      </c>
      <c r="K4944" s="10">
        <f>SUMIFS(F:F,D:D,DST_123_ÜRETİM_İHTİYAÇ_RAPORU_BURAK_YENI1309[[#This Row],[ALT_KOD]])-(SUMIFS(H:H,D:D,DST_123_ÜRETİM_İHTİYAÇ_RAPORU_BURAK_YENI1309[[#This Row],[ALT_KOD]])+AVERAGEIFS(I:I,D:D,DST_123_ÜRETİM_İHTİYAÇ_RAPORU_BURAK_YENI1309[[#This Row],[ALT_KOD]])+AVERAGEIFS(L:L,D:D,DST_123_ÜRETİM_İHTİYAÇ_RAPORU_BURAK_YENI1309[[#This Row],[ALT_KOD]]))</f>
        <v>-4</v>
      </c>
      <c r="L4944">
        <v>0</v>
      </c>
      <c r="M4944">
        <f>IF((DST_123_ÜRETİM_İHTİYAÇ_RAPORU_BURAK_YENI1309[[#This Row],[SATINALMA]]*DST_123_ÜRETİM_İHTİYAÇ_RAPORU_BURAK_YENI1309[[#This Row],[BIRIM_FIYATLAR]])&lt;1,VALUE("0"),DST_123_ÜRETİM_İHTİYAÇ_RAPORU_BURAK_YENI1309[[#This Row],[SATINALMA]]*DST_123_ÜRETİM_İHTİYAÇ_RAPORU_BURAK_YENI1309[[#This Row],[BIRIM_FIYATLAR]])</f>
        <v>0</v>
      </c>
      <c r="N4944">
        <v>1723.79</v>
      </c>
      <c r="O4944" t="s">
        <v>636</v>
      </c>
      <c r="P4944">
        <v>1723.79</v>
      </c>
      <c r="Q4944" t="s">
        <v>178</v>
      </c>
    </row>
    <row r="4945" spans="1:17" x14ac:dyDescent="0.25">
      <c r="A4945" t="s">
        <v>1057</v>
      </c>
      <c r="B4945" t="s">
        <v>1058</v>
      </c>
      <c r="C4945" t="s">
        <v>175</v>
      </c>
      <c r="D4945" t="s">
        <v>264</v>
      </c>
      <c r="E4945" t="s">
        <v>265</v>
      </c>
      <c r="F4945">
        <v>1</v>
      </c>
      <c r="G4945" t="s">
        <v>176</v>
      </c>
      <c r="H4945">
        <v>1</v>
      </c>
      <c r="I4945">
        <v>0</v>
      </c>
      <c r="J4945" s="10">
        <v>8</v>
      </c>
      <c r="K4945" s="10">
        <f>SUMIFS(F:F,D:D,DST_123_ÜRETİM_İHTİYAÇ_RAPORU_BURAK_YENI1309[[#This Row],[ALT_KOD]])-(SUMIFS(H:H,D:D,DST_123_ÜRETİM_İHTİYAÇ_RAPORU_BURAK_YENI1309[[#This Row],[ALT_KOD]])+AVERAGEIFS(I:I,D:D,DST_123_ÜRETİM_İHTİYAÇ_RAPORU_BURAK_YENI1309[[#This Row],[ALT_KOD]])+AVERAGEIFS(L:L,D:D,DST_123_ÜRETİM_İHTİYAÇ_RAPORU_BURAK_YENI1309[[#This Row],[ALT_KOD]]))</f>
        <v>12</v>
      </c>
      <c r="L4945">
        <v>0</v>
      </c>
      <c r="M4945">
        <f>IF((DST_123_ÜRETİM_İHTİYAÇ_RAPORU_BURAK_YENI1309[[#This Row],[SATINALMA]]*DST_123_ÜRETİM_İHTİYAÇ_RAPORU_BURAK_YENI1309[[#This Row],[BIRIM_FIYATLAR]])&lt;1,VALUE("0"),DST_123_ÜRETİM_İHTİYAÇ_RAPORU_BURAK_YENI1309[[#This Row],[SATINALMA]]*DST_123_ÜRETİM_İHTİYAÇ_RAPORU_BURAK_YENI1309[[#This Row],[BIRIM_FIYATLAR]])</f>
        <v>55600.08</v>
      </c>
      <c r="N4945">
        <v>4633.34</v>
      </c>
      <c r="O4945" t="s">
        <v>214</v>
      </c>
      <c r="P4945">
        <v>4633.34</v>
      </c>
      <c r="Q4945" t="s">
        <v>177</v>
      </c>
    </row>
    <row r="4946" spans="1:17" x14ac:dyDescent="0.25">
      <c r="A4946" t="s">
        <v>1059</v>
      </c>
      <c r="B4946" t="s">
        <v>1058</v>
      </c>
      <c r="C4946" t="s">
        <v>175</v>
      </c>
      <c r="D4946" t="s">
        <v>264</v>
      </c>
      <c r="E4946" t="s">
        <v>265</v>
      </c>
      <c r="F4946">
        <v>1</v>
      </c>
      <c r="G4946" t="s">
        <v>176</v>
      </c>
      <c r="H4946">
        <v>1</v>
      </c>
      <c r="I4946">
        <v>0</v>
      </c>
      <c r="J4946" s="10">
        <v>8</v>
      </c>
      <c r="K4946" s="10">
        <f>SUMIFS(F:F,D:D,DST_123_ÜRETİM_İHTİYAÇ_RAPORU_BURAK_YENI1309[[#This Row],[ALT_KOD]])-(SUMIFS(H:H,D:D,DST_123_ÜRETİM_İHTİYAÇ_RAPORU_BURAK_YENI1309[[#This Row],[ALT_KOD]])+AVERAGEIFS(I:I,D:D,DST_123_ÜRETİM_İHTİYAÇ_RAPORU_BURAK_YENI1309[[#This Row],[ALT_KOD]])+AVERAGEIFS(L:L,D:D,DST_123_ÜRETİM_İHTİYAÇ_RAPORU_BURAK_YENI1309[[#This Row],[ALT_KOD]]))</f>
        <v>12</v>
      </c>
      <c r="L4946">
        <v>0</v>
      </c>
      <c r="M4946">
        <f>IF((DST_123_ÜRETİM_İHTİYAÇ_RAPORU_BURAK_YENI1309[[#This Row],[SATINALMA]]*DST_123_ÜRETİM_İHTİYAÇ_RAPORU_BURAK_YENI1309[[#This Row],[BIRIM_FIYATLAR]])&lt;1,VALUE("0"),DST_123_ÜRETİM_İHTİYAÇ_RAPORU_BURAK_YENI1309[[#This Row],[SATINALMA]]*DST_123_ÜRETİM_İHTİYAÇ_RAPORU_BURAK_YENI1309[[#This Row],[BIRIM_FIYATLAR]])</f>
        <v>55600.08</v>
      </c>
      <c r="N4946">
        <v>4633.34</v>
      </c>
      <c r="O4946" t="s">
        <v>214</v>
      </c>
      <c r="P4946">
        <v>4633.34</v>
      </c>
      <c r="Q4946" t="s">
        <v>177</v>
      </c>
    </row>
    <row r="4947" spans="1:17" x14ac:dyDescent="0.25">
      <c r="A4947" t="s">
        <v>1196</v>
      </c>
      <c r="B4947" t="s">
        <v>1197</v>
      </c>
      <c r="C4947" t="s">
        <v>175</v>
      </c>
      <c r="D4947" t="s">
        <v>1078</v>
      </c>
      <c r="E4947" t="s">
        <v>1079</v>
      </c>
      <c r="F4947">
        <v>1</v>
      </c>
      <c r="G4947" t="s">
        <v>176</v>
      </c>
      <c r="H4947">
        <v>0</v>
      </c>
      <c r="I4947">
        <v>3</v>
      </c>
      <c r="J4947" s="10">
        <v>8</v>
      </c>
      <c r="K4947" s="10">
        <f>SUMIFS(F:F,D:D,DST_123_ÜRETİM_İHTİYAÇ_RAPORU_BURAK_YENI1309[[#This Row],[ALT_KOD]])-(SUMIFS(H:H,D:D,DST_123_ÜRETİM_İHTİYAÇ_RAPORU_BURAK_YENI1309[[#This Row],[ALT_KOD]])+AVERAGEIFS(I:I,D:D,DST_123_ÜRETİM_İHTİYAÇ_RAPORU_BURAK_YENI1309[[#This Row],[ALT_KOD]])+AVERAGEIFS(L:L,D:D,DST_123_ÜRETİM_İHTİYAÇ_RAPORU_BURAK_YENI1309[[#This Row],[ALT_KOD]]))</f>
        <v>-2</v>
      </c>
      <c r="L4947">
        <v>10</v>
      </c>
      <c r="M4947">
        <f>IF((DST_123_ÜRETİM_İHTİYAÇ_RAPORU_BURAK_YENI1309[[#This Row],[SATINALMA]]*DST_123_ÜRETİM_İHTİYAÇ_RAPORU_BURAK_YENI1309[[#This Row],[BIRIM_FIYATLAR]])&lt;1,VALUE("0"),DST_123_ÜRETİM_İHTİYAÇ_RAPORU_BURAK_YENI1309[[#This Row],[SATINALMA]]*DST_123_ÜRETİM_İHTİYAÇ_RAPORU_BURAK_YENI1309[[#This Row],[BIRIM_FIYATLAR]])</f>
        <v>0</v>
      </c>
      <c r="N4947">
        <v>3097.63</v>
      </c>
      <c r="O4947" t="s">
        <v>592</v>
      </c>
      <c r="P4947">
        <v>3097.63</v>
      </c>
      <c r="Q4947" t="s">
        <v>178</v>
      </c>
    </row>
    <row r="4948" spans="1:17" x14ac:dyDescent="0.25">
      <c r="A4948" t="s">
        <v>1098</v>
      </c>
      <c r="B4948" t="s">
        <v>1096</v>
      </c>
      <c r="C4948" t="s">
        <v>175</v>
      </c>
      <c r="D4948" t="s">
        <v>1078</v>
      </c>
      <c r="E4948" t="s">
        <v>1079</v>
      </c>
      <c r="F4948">
        <v>1</v>
      </c>
      <c r="G4948" t="s">
        <v>176</v>
      </c>
      <c r="H4948">
        <v>0</v>
      </c>
      <c r="I4948">
        <v>3</v>
      </c>
      <c r="J4948" s="10">
        <v>8</v>
      </c>
      <c r="K4948" s="10">
        <f>SUMIFS(F:F,D:D,DST_123_ÜRETİM_İHTİYAÇ_RAPORU_BURAK_YENI1309[[#This Row],[ALT_KOD]])-(SUMIFS(H:H,D:D,DST_123_ÜRETİM_İHTİYAÇ_RAPORU_BURAK_YENI1309[[#This Row],[ALT_KOD]])+AVERAGEIFS(I:I,D:D,DST_123_ÜRETİM_İHTİYAÇ_RAPORU_BURAK_YENI1309[[#This Row],[ALT_KOD]])+AVERAGEIFS(L:L,D:D,DST_123_ÜRETİM_İHTİYAÇ_RAPORU_BURAK_YENI1309[[#This Row],[ALT_KOD]]))</f>
        <v>-2</v>
      </c>
      <c r="L4948">
        <v>10</v>
      </c>
      <c r="M4948">
        <f>IF((DST_123_ÜRETİM_İHTİYAÇ_RAPORU_BURAK_YENI1309[[#This Row],[SATINALMA]]*DST_123_ÜRETİM_İHTİYAÇ_RAPORU_BURAK_YENI1309[[#This Row],[BIRIM_FIYATLAR]])&lt;1,VALUE("0"),DST_123_ÜRETİM_İHTİYAÇ_RAPORU_BURAK_YENI1309[[#This Row],[SATINALMA]]*DST_123_ÜRETİM_İHTİYAÇ_RAPORU_BURAK_YENI1309[[#This Row],[BIRIM_FIYATLAR]])</f>
        <v>0</v>
      </c>
      <c r="N4948">
        <v>3097.63</v>
      </c>
      <c r="O4948" t="s">
        <v>592</v>
      </c>
      <c r="P4948">
        <v>3097.63</v>
      </c>
      <c r="Q4948" t="s">
        <v>178</v>
      </c>
    </row>
    <row r="4949" spans="1:17" x14ac:dyDescent="0.25">
      <c r="A4949" t="s">
        <v>1098</v>
      </c>
      <c r="B4949" t="s">
        <v>1096</v>
      </c>
      <c r="C4949" t="s">
        <v>175</v>
      </c>
      <c r="D4949" t="s">
        <v>1127</v>
      </c>
      <c r="E4949" t="s">
        <v>1128</v>
      </c>
      <c r="F4949">
        <v>2</v>
      </c>
      <c r="G4949" t="s">
        <v>179</v>
      </c>
      <c r="H4949">
        <v>0</v>
      </c>
      <c r="I4949">
        <v>60</v>
      </c>
      <c r="J4949" s="10">
        <v>50</v>
      </c>
      <c r="K4949" s="10">
        <f>SUMIFS(F:F,D:D,DST_123_ÜRETİM_İHTİYAÇ_RAPORU_BURAK_YENI1309[[#This Row],[ALT_KOD]])-(SUMIFS(H:H,D:D,DST_123_ÜRETİM_İHTİYAÇ_RAPORU_BURAK_YENI1309[[#This Row],[ALT_KOD]])+AVERAGEIFS(I:I,D:D,DST_123_ÜRETİM_İHTİYAÇ_RAPORU_BURAK_YENI1309[[#This Row],[ALT_KOD]])+AVERAGEIFS(L:L,D:D,DST_123_ÜRETİM_İHTİYAÇ_RAPORU_BURAK_YENI1309[[#This Row],[ALT_KOD]]))</f>
        <v>-50.5</v>
      </c>
      <c r="L4949">
        <v>0</v>
      </c>
      <c r="M4949">
        <f>IF((DST_123_ÜRETİM_İHTİYAÇ_RAPORU_BURAK_YENI1309[[#This Row],[SATINALMA]]*DST_123_ÜRETİM_İHTİYAÇ_RAPORU_BURAK_YENI1309[[#This Row],[BIRIM_FIYATLAR]])&lt;1,VALUE("0"),DST_123_ÜRETİM_İHTİYAÇ_RAPORU_BURAK_YENI1309[[#This Row],[SATINALMA]]*DST_123_ÜRETİM_İHTİYAÇ_RAPORU_BURAK_YENI1309[[#This Row],[BIRIM_FIYATLAR]])</f>
        <v>0</v>
      </c>
      <c r="N4949">
        <v>265</v>
      </c>
      <c r="O4949" t="s">
        <v>745</v>
      </c>
      <c r="P4949">
        <v>530</v>
      </c>
      <c r="Q4949" t="s">
        <v>184</v>
      </c>
    </row>
    <row r="4950" spans="1:17" x14ac:dyDescent="0.25">
      <c r="A4950" t="s">
        <v>1057</v>
      </c>
      <c r="B4950" t="s">
        <v>1058</v>
      </c>
      <c r="C4950" t="s">
        <v>175</v>
      </c>
      <c r="D4950" t="s">
        <v>400</v>
      </c>
      <c r="E4950" t="s">
        <v>401</v>
      </c>
      <c r="F4950">
        <v>2</v>
      </c>
      <c r="G4950" t="s">
        <v>176</v>
      </c>
      <c r="H4950">
        <v>2</v>
      </c>
      <c r="I4950">
        <v>27</v>
      </c>
      <c r="J4950" s="10">
        <v>14</v>
      </c>
      <c r="K4950" s="10">
        <f>SUMIFS(F:F,D:D,DST_123_ÜRETİM_İHTİYAÇ_RAPORU_BURAK_YENI1309[[#This Row],[ALT_KOD]])-(SUMIFS(H:H,D:D,DST_123_ÜRETİM_İHTİYAÇ_RAPORU_BURAK_YENI1309[[#This Row],[ALT_KOD]])+AVERAGEIFS(I:I,D:D,DST_123_ÜRETİM_İHTİYAÇ_RAPORU_BURAK_YENI1309[[#This Row],[ALT_KOD]])+AVERAGEIFS(L:L,D:D,DST_123_ÜRETİM_İHTİYAÇ_RAPORU_BURAK_YENI1309[[#This Row],[ALT_KOD]]))</f>
        <v>-18</v>
      </c>
      <c r="L4950">
        <v>0</v>
      </c>
      <c r="M4950">
        <f>IF((DST_123_ÜRETİM_İHTİYAÇ_RAPORU_BURAK_YENI1309[[#This Row],[SATINALMA]]*DST_123_ÜRETİM_İHTİYAÇ_RAPORU_BURAK_YENI1309[[#This Row],[BIRIM_FIYATLAR]])&lt;1,VALUE("0"),DST_123_ÜRETİM_İHTİYAÇ_RAPORU_BURAK_YENI1309[[#This Row],[SATINALMA]]*DST_123_ÜRETİM_İHTİYAÇ_RAPORU_BURAK_YENI1309[[#This Row],[BIRIM_FIYATLAR]])</f>
        <v>0</v>
      </c>
      <c r="N4950">
        <v>15</v>
      </c>
      <c r="O4950" t="s">
        <v>220</v>
      </c>
      <c r="P4950">
        <v>30</v>
      </c>
      <c r="Q4950" t="s">
        <v>221</v>
      </c>
    </row>
    <row r="4951" spans="1:17" x14ac:dyDescent="0.25">
      <c r="A4951" t="s">
        <v>1064</v>
      </c>
      <c r="B4951" t="s">
        <v>1055</v>
      </c>
      <c r="C4951" t="s">
        <v>175</v>
      </c>
      <c r="D4951" t="s">
        <v>1078</v>
      </c>
      <c r="E4951" t="s">
        <v>1079</v>
      </c>
      <c r="F4951">
        <v>1</v>
      </c>
      <c r="G4951" t="s">
        <v>176</v>
      </c>
      <c r="H4951">
        <v>1</v>
      </c>
      <c r="I4951">
        <v>3</v>
      </c>
      <c r="J4951" s="10">
        <v>8</v>
      </c>
      <c r="K4951" s="10">
        <f>SUMIFS(F:F,D:D,DST_123_ÜRETİM_İHTİYAÇ_RAPORU_BURAK_YENI1309[[#This Row],[ALT_KOD]])-(SUMIFS(H:H,D:D,DST_123_ÜRETİM_İHTİYAÇ_RAPORU_BURAK_YENI1309[[#This Row],[ALT_KOD]])+AVERAGEIFS(I:I,D:D,DST_123_ÜRETİM_İHTİYAÇ_RAPORU_BURAK_YENI1309[[#This Row],[ALT_KOD]])+AVERAGEIFS(L:L,D:D,DST_123_ÜRETİM_İHTİYAÇ_RAPORU_BURAK_YENI1309[[#This Row],[ALT_KOD]]))</f>
        <v>-2</v>
      </c>
      <c r="L4951">
        <v>10</v>
      </c>
      <c r="M4951">
        <f>IF((DST_123_ÜRETİM_İHTİYAÇ_RAPORU_BURAK_YENI1309[[#This Row],[SATINALMA]]*DST_123_ÜRETİM_İHTİYAÇ_RAPORU_BURAK_YENI1309[[#This Row],[BIRIM_FIYATLAR]])&lt;1,VALUE("0"),DST_123_ÜRETİM_İHTİYAÇ_RAPORU_BURAK_YENI1309[[#This Row],[SATINALMA]]*DST_123_ÜRETİM_İHTİYAÇ_RAPORU_BURAK_YENI1309[[#This Row],[BIRIM_FIYATLAR]])</f>
        <v>0</v>
      </c>
      <c r="N4951">
        <v>3097.63</v>
      </c>
      <c r="O4951" t="s">
        <v>592</v>
      </c>
      <c r="P4951">
        <v>3097.63</v>
      </c>
      <c r="Q4951" t="s">
        <v>178</v>
      </c>
    </row>
    <row r="4952" spans="1:17" x14ac:dyDescent="0.25">
      <c r="A4952" t="s">
        <v>1100</v>
      </c>
      <c r="B4952" t="s">
        <v>1058</v>
      </c>
      <c r="C4952" t="s">
        <v>175</v>
      </c>
      <c r="D4952" t="s">
        <v>264</v>
      </c>
      <c r="E4952" t="s">
        <v>265</v>
      </c>
      <c r="F4952">
        <v>1</v>
      </c>
      <c r="G4952" t="s">
        <v>176</v>
      </c>
      <c r="H4952">
        <v>1</v>
      </c>
      <c r="I4952">
        <v>0</v>
      </c>
      <c r="J4952" s="10">
        <v>8</v>
      </c>
      <c r="K4952" s="10">
        <f>SUMIFS(F:F,D:D,DST_123_ÜRETİM_İHTİYAÇ_RAPORU_BURAK_YENI1309[[#This Row],[ALT_KOD]])-(SUMIFS(H:H,D:D,DST_123_ÜRETİM_İHTİYAÇ_RAPORU_BURAK_YENI1309[[#This Row],[ALT_KOD]])+AVERAGEIFS(I:I,D:D,DST_123_ÜRETİM_İHTİYAÇ_RAPORU_BURAK_YENI1309[[#This Row],[ALT_KOD]])+AVERAGEIFS(L:L,D:D,DST_123_ÜRETİM_İHTİYAÇ_RAPORU_BURAK_YENI1309[[#This Row],[ALT_KOD]]))</f>
        <v>12</v>
      </c>
      <c r="L4952">
        <v>0</v>
      </c>
      <c r="M4952">
        <f>IF((DST_123_ÜRETİM_İHTİYAÇ_RAPORU_BURAK_YENI1309[[#This Row],[SATINALMA]]*DST_123_ÜRETİM_İHTİYAÇ_RAPORU_BURAK_YENI1309[[#This Row],[BIRIM_FIYATLAR]])&lt;1,VALUE("0"),DST_123_ÜRETİM_İHTİYAÇ_RAPORU_BURAK_YENI1309[[#This Row],[SATINALMA]]*DST_123_ÜRETİM_İHTİYAÇ_RAPORU_BURAK_YENI1309[[#This Row],[BIRIM_FIYATLAR]])</f>
        <v>55600.08</v>
      </c>
      <c r="N4952">
        <v>4633.34</v>
      </c>
      <c r="O4952" t="s">
        <v>214</v>
      </c>
      <c r="P4952">
        <v>4633.34</v>
      </c>
      <c r="Q4952" t="s">
        <v>177</v>
      </c>
    </row>
    <row r="4953" spans="1:17" x14ac:dyDescent="0.25">
      <c r="A4953" t="s">
        <v>1059</v>
      </c>
      <c r="B4953" t="s">
        <v>1058</v>
      </c>
      <c r="C4953" t="s">
        <v>175</v>
      </c>
      <c r="D4953" t="s">
        <v>1013</v>
      </c>
      <c r="E4953" t="s">
        <v>1014</v>
      </c>
      <c r="F4953">
        <v>2</v>
      </c>
      <c r="G4953" t="s">
        <v>176</v>
      </c>
      <c r="H4953">
        <v>2</v>
      </c>
      <c r="I4953">
        <v>21</v>
      </c>
      <c r="J4953" s="10">
        <v>8</v>
      </c>
      <c r="K4953" s="10">
        <f>SUMIFS(F:F,D:D,DST_123_ÜRETİM_İHTİYAÇ_RAPORU_BURAK_YENI1309[[#This Row],[ALT_KOD]])-(SUMIFS(H:H,D:D,DST_123_ÜRETİM_İHTİYAÇ_RAPORU_BURAK_YENI1309[[#This Row],[ALT_KOD]])+AVERAGEIFS(I:I,D:D,DST_123_ÜRETİM_İHTİYAÇ_RAPORU_BURAK_YENI1309[[#This Row],[ALT_KOD]])+AVERAGEIFS(L:L,D:D,DST_123_ÜRETİM_İHTİYAÇ_RAPORU_BURAK_YENI1309[[#This Row],[ALT_KOD]]))</f>
        <v>-21</v>
      </c>
      <c r="L4953">
        <v>0</v>
      </c>
      <c r="M4953">
        <f>IF((DST_123_ÜRETİM_İHTİYAÇ_RAPORU_BURAK_YENI1309[[#This Row],[SATINALMA]]*DST_123_ÜRETİM_İHTİYAÇ_RAPORU_BURAK_YENI1309[[#This Row],[BIRIM_FIYATLAR]])&lt;1,VALUE("0"),DST_123_ÜRETİM_İHTİYAÇ_RAPORU_BURAK_YENI1309[[#This Row],[SATINALMA]]*DST_123_ÜRETİM_İHTİYAÇ_RAPORU_BURAK_YENI1309[[#This Row],[BIRIM_FIYATLAR]])</f>
        <v>0</v>
      </c>
      <c r="N4953">
        <v>451</v>
      </c>
      <c r="O4953" t="s">
        <v>246</v>
      </c>
      <c r="P4953">
        <v>902</v>
      </c>
      <c r="Q4953" t="s">
        <v>177</v>
      </c>
    </row>
    <row r="4954" spans="1:17" x14ac:dyDescent="0.25">
      <c r="A4954" t="s">
        <v>1057</v>
      </c>
      <c r="B4954" t="s">
        <v>1058</v>
      </c>
      <c r="C4954" t="s">
        <v>175</v>
      </c>
      <c r="D4954" t="s">
        <v>994</v>
      </c>
      <c r="E4954" t="s">
        <v>995</v>
      </c>
      <c r="F4954">
        <v>1</v>
      </c>
      <c r="G4954" t="s">
        <v>176</v>
      </c>
      <c r="H4954">
        <v>1</v>
      </c>
      <c r="I4954">
        <v>17</v>
      </c>
      <c r="J4954" s="10">
        <v>4</v>
      </c>
      <c r="K4954" s="10">
        <f>SUMIFS(F:F,D:D,DST_123_ÜRETİM_İHTİYAÇ_RAPORU_BURAK_YENI1309[[#This Row],[ALT_KOD]])-(SUMIFS(H:H,D:D,DST_123_ÜRETİM_İHTİYAÇ_RAPORU_BURAK_YENI1309[[#This Row],[ALT_KOD]])+AVERAGEIFS(I:I,D:D,DST_123_ÜRETİM_İHTİYAÇ_RAPORU_BURAK_YENI1309[[#This Row],[ALT_KOD]])+AVERAGEIFS(L:L,D:D,DST_123_ÜRETİM_İHTİYAÇ_RAPORU_BURAK_YENI1309[[#This Row],[ALT_KOD]]))</f>
        <v>-17</v>
      </c>
      <c r="L4954">
        <v>0</v>
      </c>
      <c r="M4954">
        <f>IF((DST_123_ÜRETİM_İHTİYAÇ_RAPORU_BURAK_YENI1309[[#This Row],[SATINALMA]]*DST_123_ÜRETİM_İHTİYAÇ_RAPORU_BURAK_YENI1309[[#This Row],[BIRIM_FIYATLAR]])&lt;1,VALUE("0"),DST_123_ÜRETİM_İHTİYAÇ_RAPORU_BURAK_YENI1309[[#This Row],[SATINALMA]]*DST_123_ÜRETİM_İHTİYAÇ_RAPORU_BURAK_YENI1309[[#This Row],[BIRIM_FIYATLAR]])</f>
        <v>0</v>
      </c>
      <c r="N4954">
        <v>117.85</v>
      </c>
      <c r="O4954" t="s">
        <v>667</v>
      </c>
      <c r="P4954">
        <v>117.85</v>
      </c>
      <c r="Q4954" t="s">
        <v>177</v>
      </c>
    </row>
    <row r="4955" spans="1:17" x14ac:dyDescent="0.25">
      <c r="A4955" t="s">
        <v>1064</v>
      </c>
      <c r="B4955" t="s">
        <v>1055</v>
      </c>
      <c r="C4955" t="s">
        <v>175</v>
      </c>
      <c r="D4955" t="s">
        <v>137</v>
      </c>
      <c r="E4955" t="s">
        <v>138</v>
      </c>
      <c r="F4955">
        <v>2</v>
      </c>
      <c r="G4955" t="s">
        <v>176</v>
      </c>
      <c r="H4955">
        <v>2</v>
      </c>
      <c r="I4955">
        <v>23</v>
      </c>
      <c r="J4955" s="10">
        <v>22</v>
      </c>
      <c r="K4955" s="10">
        <f>SUMIFS(F:F,D:D,DST_123_ÜRETİM_İHTİYAÇ_RAPORU_BURAK_YENI1309[[#This Row],[ALT_KOD]])-(SUMIFS(H:H,D:D,DST_123_ÜRETİM_İHTİYAÇ_RAPORU_BURAK_YENI1309[[#This Row],[ALT_KOD]])+AVERAGEIFS(I:I,D:D,DST_123_ÜRETİM_İHTİYAÇ_RAPORU_BURAK_YENI1309[[#This Row],[ALT_KOD]])+AVERAGEIFS(L:L,D:D,DST_123_ÜRETİM_İHTİYAÇ_RAPORU_BURAK_YENI1309[[#This Row],[ALT_KOD]]))</f>
        <v>1</v>
      </c>
      <c r="L4955">
        <v>0</v>
      </c>
      <c r="M4955">
        <f>IF((DST_123_ÜRETİM_İHTİYAÇ_RAPORU_BURAK_YENI1309[[#This Row],[SATINALMA]]*DST_123_ÜRETİM_İHTİYAÇ_RAPORU_BURAK_YENI1309[[#This Row],[BIRIM_FIYATLAR]])&lt;1,VALUE("0"),DST_123_ÜRETİM_İHTİYAÇ_RAPORU_BURAK_YENI1309[[#This Row],[SATINALMA]]*DST_123_ÜRETİM_İHTİYAÇ_RAPORU_BURAK_YENI1309[[#This Row],[BIRIM_FIYATLAR]])</f>
        <v>73.349999999999994</v>
      </c>
      <c r="N4955">
        <v>73.349999999999994</v>
      </c>
      <c r="O4955" t="s">
        <v>227</v>
      </c>
      <c r="P4955">
        <v>146.69999999999999</v>
      </c>
      <c r="Q4955" t="s">
        <v>221</v>
      </c>
    </row>
    <row r="4956" spans="1:17" x14ac:dyDescent="0.25">
      <c r="A4956" t="s">
        <v>1060</v>
      </c>
      <c r="B4956" t="s">
        <v>1061</v>
      </c>
      <c r="C4956" t="s">
        <v>175</v>
      </c>
      <c r="D4956" t="s">
        <v>763</v>
      </c>
      <c r="E4956" t="s">
        <v>764</v>
      </c>
      <c r="F4956">
        <v>1</v>
      </c>
      <c r="G4956" t="s">
        <v>176</v>
      </c>
      <c r="H4956">
        <v>1</v>
      </c>
      <c r="I4956">
        <v>12</v>
      </c>
      <c r="J4956" s="10">
        <v>8</v>
      </c>
      <c r="K4956" s="10">
        <f>SUMIFS(F:F,D:D,DST_123_ÜRETİM_İHTİYAÇ_RAPORU_BURAK_YENI1309[[#This Row],[ALT_KOD]])-(SUMIFS(H:H,D:D,DST_123_ÜRETİM_İHTİYAÇ_RAPORU_BURAK_YENI1309[[#This Row],[ALT_KOD]])+AVERAGEIFS(I:I,D:D,DST_123_ÜRETİM_İHTİYAÇ_RAPORU_BURAK_YENI1309[[#This Row],[ALT_KOD]])+AVERAGEIFS(L:L,D:D,DST_123_ÜRETİM_İHTİYAÇ_RAPORU_BURAK_YENI1309[[#This Row],[ALT_KOD]]))</f>
        <v>0</v>
      </c>
      <c r="L4956">
        <v>0</v>
      </c>
      <c r="M4956">
        <f>IF((DST_123_ÜRETİM_İHTİYAÇ_RAPORU_BURAK_YENI1309[[#This Row],[SATINALMA]]*DST_123_ÜRETİM_İHTİYAÇ_RAPORU_BURAK_YENI1309[[#This Row],[BIRIM_FIYATLAR]])&lt;1,VALUE("0"),DST_123_ÜRETİM_İHTİYAÇ_RAPORU_BURAK_YENI1309[[#This Row],[SATINALMA]]*DST_123_ÜRETİM_İHTİYAÇ_RAPORU_BURAK_YENI1309[[#This Row],[BIRIM_FIYATLAR]])</f>
        <v>0</v>
      </c>
      <c r="N4956">
        <v>401.17</v>
      </c>
      <c r="O4956" t="s">
        <v>765</v>
      </c>
      <c r="P4956">
        <v>401.17</v>
      </c>
      <c r="Q4956" t="s">
        <v>221</v>
      </c>
    </row>
    <row r="4957" spans="1:17" x14ac:dyDescent="0.25">
      <c r="A4957" t="s">
        <v>1057</v>
      </c>
      <c r="B4957" t="s">
        <v>1058</v>
      </c>
      <c r="C4957" t="s">
        <v>175</v>
      </c>
      <c r="D4957" t="s">
        <v>477</v>
      </c>
      <c r="E4957" t="s">
        <v>564</v>
      </c>
      <c r="F4957">
        <v>0.5</v>
      </c>
      <c r="G4957" t="s">
        <v>176</v>
      </c>
      <c r="H4957">
        <v>0</v>
      </c>
      <c r="I4957">
        <v>100</v>
      </c>
      <c r="J4957" s="10">
        <v>0</v>
      </c>
      <c r="K4957" s="10">
        <f>SUMIFS(F:F,D:D,DST_123_ÜRETİM_İHTİYAÇ_RAPORU_BURAK_YENI1309[[#This Row],[ALT_KOD]])-(SUMIFS(H:H,D:D,DST_123_ÜRETİM_İHTİYAÇ_RAPORU_BURAK_YENI1309[[#This Row],[ALT_KOD]])+AVERAGEIFS(I:I,D:D,DST_123_ÜRETİM_İHTİYAÇ_RAPORU_BURAK_YENI1309[[#This Row],[ALT_KOD]])+AVERAGEIFS(L:L,D:D,DST_123_ÜRETİM_İHTİYAÇ_RAPORU_BURAK_YENI1309[[#This Row],[ALT_KOD]]))</f>
        <v>-90.5</v>
      </c>
      <c r="L4957">
        <v>0</v>
      </c>
      <c r="M4957">
        <f>IF((DST_123_ÜRETİM_İHTİYAÇ_RAPORU_BURAK_YENI1309[[#This Row],[SATINALMA]]*DST_123_ÜRETİM_İHTİYAÇ_RAPORU_BURAK_YENI1309[[#This Row],[BIRIM_FIYATLAR]])&lt;1,VALUE("0"),DST_123_ÜRETİM_İHTİYAÇ_RAPORU_BURAK_YENI1309[[#This Row],[SATINALMA]]*DST_123_ÜRETİM_İHTİYAÇ_RAPORU_BURAK_YENI1309[[#This Row],[BIRIM_FIYATLAR]])</f>
        <v>0</v>
      </c>
      <c r="N4957">
        <v>13.5</v>
      </c>
      <c r="O4957" t="s">
        <v>240</v>
      </c>
      <c r="P4957">
        <v>6.75</v>
      </c>
      <c r="Q4957" t="s">
        <v>180</v>
      </c>
    </row>
    <row r="4958" spans="1:17" x14ac:dyDescent="0.25">
      <c r="A4958" t="s">
        <v>1059</v>
      </c>
      <c r="B4958" t="s">
        <v>1058</v>
      </c>
      <c r="C4958" t="s">
        <v>175</v>
      </c>
      <c r="D4958" t="s">
        <v>763</v>
      </c>
      <c r="E4958" t="s">
        <v>764</v>
      </c>
      <c r="F4958">
        <v>1</v>
      </c>
      <c r="G4958" t="s">
        <v>176</v>
      </c>
      <c r="H4958">
        <v>1</v>
      </c>
      <c r="I4958">
        <v>12</v>
      </c>
      <c r="J4958" s="10">
        <v>8</v>
      </c>
      <c r="K4958" s="10">
        <f>SUMIFS(F:F,D:D,DST_123_ÜRETİM_İHTİYAÇ_RAPORU_BURAK_YENI1309[[#This Row],[ALT_KOD]])-(SUMIFS(H:H,D:D,DST_123_ÜRETİM_İHTİYAÇ_RAPORU_BURAK_YENI1309[[#This Row],[ALT_KOD]])+AVERAGEIFS(I:I,D:D,DST_123_ÜRETİM_İHTİYAÇ_RAPORU_BURAK_YENI1309[[#This Row],[ALT_KOD]])+AVERAGEIFS(L:L,D:D,DST_123_ÜRETİM_İHTİYAÇ_RAPORU_BURAK_YENI1309[[#This Row],[ALT_KOD]]))</f>
        <v>0</v>
      </c>
      <c r="L4958">
        <v>0</v>
      </c>
      <c r="M4958">
        <f>IF((DST_123_ÜRETİM_İHTİYAÇ_RAPORU_BURAK_YENI1309[[#This Row],[SATINALMA]]*DST_123_ÜRETİM_İHTİYAÇ_RAPORU_BURAK_YENI1309[[#This Row],[BIRIM_FIYATLAR]])&lt;1,VALUE("0"),DST_123_ÜRETİM_İHTİYAÇ_RAPORU_BURAK_YENI1309[[#This Row],[SATINALMA]]*DST_123_ÜRETİM_İHTİYAÇ_RAPORU_BURAK_YENI1309[[#This Row],[BIRIM_FIYATLAR]])</f>
        <v>0</v>
      </c>
      <c r="N4958">
        <v>401.17</v>
      </c>
      <c r="O4958" t="s">
        <v>765</v>
      </c>
      <c r="P4958">
        <v>401.17</v>
      </c>
      <c r="Q4958" t="s">
        <v>221</v>
      </c>
    </row>
    <row r="4959" spans="1:17" x14ac:dyDescent="0.25">
      <c r="A4959" t="s">
        <v>1101</v>
      </c>
      <c r="B4959" t="s">
        <v>1102</v>
      </c>
      <c r="C4959" t="s">
        <v>175</v>
      </c>
      <c r="D4959" t="s">
        <v>763</v>
      </c>
      <c r="E4959" t="s">
        <v>764</v>
      </c>
      <c r="F4959">
        <v>1</v>
      </c>
      <c r="G4959" t="s">
        <v>176</v>
      </c>
      <c r="H4959">
        <v>1</v>
      </c>
      <c r="I4959">
        <v>12</v>
      </c>
      <c r="J4959" s="10">
        <v>8</v>
      </c>
      <c r="K4959" s="10">
        <f>SUMIFS(F:F,D:D,DST_123_ÜRETİM_İHTİYAÇ_RAPORU_BURAK_YENI1309[[#This Row],[ALT_KOD]])-(SUMIFS(H:H,D:D,DST_123_ÜRETİM_İHTİYAÇ_RAPORU_BURAK_YENI1309[[#This Row],[ALT_KOD]])+AVERAGEIFS(I:I,D:D,DST_123_ÜRETİM_İHTİYAÇ_RAPORU_BURAK_YENI1309[[#This Row],[ALT_KOD]])+AVERAGEIFS(L:L,D:D,DST_123_ÜRETİM_İHTİYAÇ_RAPORU_BURAK_YENI1309[[#This Row],[ALT_KOD]]))</f>
        <v>0</v>
      </c>
      <c r="L4959">
        <v>0</v>
      </c>
      <c r="M4959">
        <f>IF((DST_123_ÜRETİM_İHTİYAÇ_RAPORU_BURAK_YENI1309[[#This Row],[SATINALMA]]*DST_123_ÜRETİM_İHTİYAÇ_RAPORU_BURAK_YENI1309[[#This Row],[BIRIM_FIYATLAR]])&lt;1,VALUE("0"),DST_123_ÜRETİM_İHTİYAÇ_RAPORU_BURAK_YENI1309[[#This Row],[SATINALMA]]*DST_123_ÜRETİM_İHTİYAÇ_RAPORU_BURAK_YENI1309[[#This Row],[BIRIM_FIYATLAR]])</f>
        <v>0</v>
      </c>
      <c r="N4959">
        <v>401.17</v>
      </c>
      <c r="O4959" t="s">
        <v>765</v>
      </c>
      <c r="P4959">
        <v>401.17</v>
      </c>
      <c r="Q4959" t="s">
        <v>221</v>
      </c>
    </row>
    <row r="4960" spans="1:17" x14ac:dyDescent="0.25">
      <c r="A4960" t="s">
        <v>1057</v>
      </c>
      <c r="B4960" t="s">
        <v>1058</v>
      </c>
      <c r="C4960" t="s">
        <v>175</v>
      </c>
      <c r="D4960" t="s">
        <v>319</v>
      </c>
      <c r="E4960" t="s">
        <v>320</v>
      </c>
      <c r="F4960">
        <v>0.105</v>
      </c>
      <c r="G4960" t="s">
        <v>186</v>
      </c>
      <c r="H4960">
        <v>0.105</v>
      </c>
      <c r="I4960">
        <v>0</v>
      </c>
      <c r="J4960" s="10">
        <v>4.5430000000000446</v>
      </c>
      <c r="K4960" s="10">
        <f>SUMIFS(F:F,D:D,DST_123_ÜRETİM_İHTİYAÇ_RAPORU_BURAK_YENI1309[[#This Row],[ALT_KOD]])-(SUMIFS(H:H,D:D,DST_123_ÜRETİM_İHTİYAÇ_RAPORU_BURAK_YENI1309[[#This Row],[ALT_KOD]])+AVERAGEIFS(I:I,D:D,DST_123_ÜRETİM_İHTİYAÇ_RAPORU_BURAK_YENI1309[[#This Row],[ALT_KOD]])+AVERAGEIFS(L:L,D:D,DST_123_ÜRETİM_İHTİYAÇ_RAPORU_BURAK_YENI1309[[#This Row],[ALT_KOD]]))</f>
        <v>1.4260000000000002</v>
      </c>
      <c r="L4960">
        <v>0</v>
      </c>
      <c r="M4960">
        <f>IF((DST_123_ÜRETİM_İHTİYAÇ_RAPORU_BURAK_YENI1309[[#This Row],[SATINALMA]]*DST_123_ÜRETİM_İHTİYAÇ_RAPORU_BURAK_YENI1309[[#This Row],[BIRIM_FIYATLAR]])&lt;1,VALUE("0"),DST_123_ÜRETİM_İHTİYAÇ_RAPORU_BURAK_YENI1309[[#This Row],[SATINALMA]]*DST_123_ÜRETİM_İHTİYAÇ_RAPORU_BURAK_YENI1309[[#This Row],[BIRIM_FIYATLAR]])</f>
        <v>27807.000000000004</v>
      </c>
      <c r="N4960">
        <v>19500</v>
      </c>
      <c r="O4960" t="s">
        <v>762</v>
      </c>
      <c r="P4960">
        <v>2047.5</v>
      </c>
      <c r="Q4960" t="s">
        <v>181</v>
      </c>
    </row>
    <row r="4961" spans="1:17" x14ac:dyDescent="0.25">
      <c r="A4961" t="s">
        <v>1059</v>
      </c>
      <c r="B4961" t="s">
        <v>1058</v>
      </c>
      <c r="C4961" t="s">
        <v>175</v>
      </c>
      <c r="D4961" t="s">
        <v>319</v>
      </c>
      <c r="E4961" t="s">
        <v>320</v>
      </c>
      <c r="F4961">
        <v>0.105</v>
      </c>
      <c r="G4961" t="s">
        <v>186</v>
      </c>
      <c r="H4961">
        <v>0.105</v>
      </c>
      <c r="I4961">
        <v>0</v>
      </c>
      <c r="J4961" s="10">
        <v>4.5430000000000446</v>
      </c>
      <c r="K4961" s="10">
        <f>SUMIFS(F:F,D:D,DST_123_ÜRETİM_İHTİYAÇ_RAPORU_BURAK_YENI1309[[#This Row],[ALT_KOD]])-(SUMIFS(H:H,D:D,DST_123_ÜRETİM_İHTİYAÇ_RAPORU_BURAK_YENI1309[[#This Row],[ALT_KOD]])+AVERAGEIFS(I:I,D:D,DST_123_ÜRETİM_İHTİYAÇ_RAPORU_BURAK_YENI1309[[#This Row],[ALT_KOD]])+AVERAGEIFS(L:L,D:D,DST_123_ÜRETİM_İHTİYAÇ_RAPORU_BURAK_YENI1309[[#This Row],[ALT_KOD]]))</f>
        <v>1.4260000000000002</v>
      </c>
      <c r="L4961">
        <v>0</v>
      </c>
      <c r="M4961">
        <f>IF((DST_123_ÜRETİM_İHTİYAÇ_RAPORU_BURAK_YENI1309[[#This Row],[SATINALMA]]*DST_123_ÜRETİM_İHTİYAÇ_RAPORU_BURAK_YENI1309[[#This Row],[BIRIM_FIYATLAR]])&lt;1,VALUE("0"),DST_123_ÜRETİM_İHTİYAÇ_RAPORU_BURAK_YENI1309[[#This Row],[SATINALMA]]*DST_123_ÜRETİM_İHTİYAÇ_RAPORU_BURAK_YENI1309[[#This Row],[BIRIM_FIYATLAR]])</f>
        <v>27807.000000000004</v>
      </c>
      <c r="N4961">
        <v>19500</v>
      </c>
      <c r="O4961" t="s">
        <v>762</v>
      </c>
      <c r="P4961">
        <v>2047.5</v>
      </c>
      <c r="Q4961" t="s">
        <v>181</v>
      </c>
    </row>
    <row r="4962" spans="1:17" x14ac:dyDescent="0.25">
      <c r="A4962" t="s">
        <v>1100</v>
      </c>
      <c r="B4962" t="s">
        <v>1058</v>
      </c>
      <c r="C4962" t="s">
        <v>175</v>
      </c>
      <c r="D4962" t="s">
        <v>1032</v>
      </c>
      <c r="E4962" t="s">
        <v>1033</v>
      </c>
      <c r="F4962">
        <v>1</v>
      </c>
      <c r="G4962" t="s">
        <v>176</v>
      </c>
      <c r="H4962">
        <v>1</v>
      </c>
      <c r="I4962">
        <v>2</v>
      </c>
      <c r="J4962" s="10">
        <v>2</v>
      </c>
      <c r="K4962" s="10">
        <f>SUMIFS(F:F,D:D,DST_123_ÜRETİM_İHTİYAÇ_RAPORU_BURAK_YENI1309[[#This Row],[ALT_KOD]])-(SUMIFS(H:H,D:D,DST_123_ÜRETİM_İHTİYAÇ_RAPORU_BURAK_YENI1309[[#This Row],[ALT_KOD]])+AVERAGEIFS(I:I,D:D,DST_123_ÜRETİM_İHTİYAÇ_RAPORU_BURAK_YENI1309[[#This Row],[ALT_KOD]])+AVERAGEIFS(L:L,D:D,DST_123_ÜRETİM_İHTİYAÇ_RAPORU_BURAK_YENI1309[[#This Row],[ALT_KOD]]))</f>
        <v>-2</v>
      </c>
      <c r="L4962">
        <v>0</v>
      </c>
      <c r="M4962">
        <f>IF((DST_123_ÜRETİM_İHTİYAÇ_RAPORU_BURAK_YENI1309[[#This Row],[SATINALMA]]*DST_123_ÜRETİM_İHTİYAÇ_RAPORU_BURAK_YENI1309[[#This Row],[BIRIM_FIYATLAR]])&lt;1,VALUE("0"),DST_123_ÜRETİM_İHTİYAÇ_RAPORU_BURAK_YENI1309[[#This Row],[SATINALMA]]*DST_123_ÜRETİM_İHTİYAÇ_RAPORU_BURAK_YENI1309[[#This Row],[BIRIM_FIYATLAR]])</f>
        <v>0</v>
      </c>
      <c r="N4962">
        <v>400</v>
      </c>
      <c r="O4962" t="s">
        <v>1034</v>
      </c>
      <c r="P4962">
        <v>400</v>
      </c>
      <c r="Q4962" t="s">
        <v>178</v>
      </c>
    </row>
    <row r="4963" spans="1:17" x14ac:dyDescent="0.25">
      <c r="A4963" t="s">
        <v>1196</v>
      </c>
      <c r="B4963" t="s">
        <v>1197</v>
      </c>
      <c r="C4963" t="s">
        <v>175</v>
      </c>
      <c r="D4963" t="s">
        <v>386</v>
      </c>
      <c r="E4963" t="s">
        <v>613</v>
      </c>
      <c r="F4963">
        <v>1</v>
      </c>
      <c r="G4963" t="s">
        <v>182</v>
      </c>
      <c r="H4963">
        <v>0</v>
      </c>
      <c r="I4963">
        <v>0</v>
      </c>
      <c r="J4963" s="10">
        <v>67.08499999999998</v>
      </c>
      <c r="K4963" s="10">
        <f>SUMIFS(F:F,D:D,DST_123_ÜRETİM_İHTİYAÇ_RAPORU_BURAK_YENI1309[[#This Row],[ALT_KOD]])-(SUMIFS(H:H,D:D,DST_123_ÜRETİM_İHTİYAÇ_RAPORU_BURAK_YENI1309[[#This Row],[ALT_KOD]])+AVERAGEIFS(I:I,D:D,DST_123_ÜRETİM_İHTİYAÇ_RAPORU_BURAK_YENI1309[[#This Row],[ALT_KOD]])+AVERAGEIFS(L:L,D:D,DST_123_ÜRETİM_İHTİYAÇ_RAPORU_BURAK_YENI1309[[#This Row],[ALT_KOD]]))</f>
        <v>15</v>
      </c>
      <c r="L4963">
        <v>0</v>
      </c>
      <c r="M4963">
        <f>IF((DST_123_ÜRETİM_İHTİYAÇ_RAPORU_BURAK_YENI1309[[#This Row],[SATINALMA]]*DST_123_ÜRETİM_İHTİYAÇ_RAPORU_BURAK_YENI1309[[#This Row],[BIRIM_FIYATLAR]])&lt;1,VALUE("0"),DST_123_ÜRETİM_İHTİYAÇ_RAPORU_BURAK_YENI1309[[#This Row],[SATINALMA]]*DST_123_ÜRETİM_İHTİYAÇ_RAPORU_BURAK_YENI1309[[#This Row],[BIRIM_FIYATLAR]])</f>
        <v>9778.0499999999993</v>
      </c>
      <c r="N4963">
        <v>651.87</v>
      </c>
      <c r="O4963" t="s">
        <v>223</v>
      </c>
      <c r="P4963">
        <v>651.87</v>
      </c>
      <c r="Q4963" t="s">
        <v>181</v>
      </c>
    </row>
    <row r="4964" spans="1:17" x14ac:dyDescent="0.25">
      <c r="A4964" t="s">
        <v>1101</v>
      </c>
      <c r="B4964" t="s">
        <v>1102</v>
      </c>
      <c r="C4964" t="s">
        <v>175</v>
      </c>
      <c r="D4964" t="s">
        <v>734</v>
      </c>
      <c r="E4964" t="s">
        <v>735</v>
      </c>
      <c r="F4964">
        <v>1</v>
      </c>
      <c r="G4964" t="s">
        <v>176</v>
      </c>
      <c r="H4964">
        <v>1</v>
      </c>
      <c r="I4964">
        <v>10</v>
      </c>
      <c r="J4964" s="10">
        <v>17</v>
      </c>
      <c r="K4964" s="10">
        <f>SUMIFS(F:F,D:D,DST_123_ÜRETİM_İHTİYAÇ_RAPORU_BURAK_YENI1309[[#This Row],[ALT_KOD]])-(SUMIFS(H:H,D:D,DST_123_ÜRETİM_İHTİYAÇ_RAPORU_BURAK_YENI1309[[#This Row],[ALT_KOD]])+AVERAGEIFS(I:I,D:D,DST_123_ÜRETİM_İHTİYAÇ_RAPORU_BURAK_YENI1309[[#This Row],[ALT_KOD]])+AVERAGEIFS(L:L,D:D,DST_123_ÜRETİM_İHTİYAÇ_RAPORU_BURAK_YENI1309[[#This Row],[ALT_KOD]]))</f>
        <v>1</v>
      </c>
      <c r="L4964">
        <v>0</v>
      </c>
      <c r="M4964">
        <f>IF((DST_123_ÜRETİM_İHTİYAÇ_RAPORU_BURAK_YENI1309[[#This Row],[SATINALMA]]*DST_123_ÜRETİM_İHTİYAÇ_RAPORU_BURAK_YENI1309[[#This Row],[BIRIM_FIYATLAR]])&lt;1,VALUE("0"),DST_123_ÜRETİM_İHTİYAÇ_RAPORU_BURAK_YENI1309[[#This Row],[SATINALMA]]*DST_123_ÜRETİM_İHTİYAÇ_RAPORU_BURAK_YENI1309[[#This Row],[BIRIM_FIYATLAR]])</f>
        <v>565.83000000000004</v>
      </c>
      <c r="N4964">
        <v>565.83000000000004</v>
      </c>
      <c r="O4964" t="s">
        <v>667</v>
      </c>
      <c r="P4964">
        <v>565.83000000000004</v>
      </c>
      <c r="Q4964" t="s">
        <v>677</v>
      </c>
    </row>
    <row r="4965" spans="1:17" x14ac:dyDescent="0.25">
      <c r="A4965" t="s">
        <v>1057</v>
      </c>
      <c r="B4965" t="s">
        <v>1058</v>
      </c>
      <c r="C4965" t="s">
        <v>175</v>
      </c>
      <c r="D4965" t="s">
        <v>145</v>
      </c>
      <c r="E4965" t="s">
        <v>146</v>
      </c>
      <c r="F4965">
        <v>2.2999999999999998</v>
      </c>
      <c r="G4965" t="s">
        <v>176</v>
      </c>
      <c r="H4965">
        <v>2.2999999999999998</v>
      </c>
      <c r="I4965">
        <v>0</v>
      </c>
      <c r="J4965" s="10">
        <v>4.0000000000000497</v>
      </c>
      <c r="K4965" s="10">
        <f>SUMIFS(F:F,D:D,DST_123_ÜRETİM_İHTİYAÇ_RAPORU_BURAK_YENI1309[[#This Row],[ALT_KOD]])-(SUMIFS(H:H,D:D,DST_123_ÜRETİM_İHTİYAÇ_RAPORU_BURAK_YENI1309[[#This Row],[ALT_KOD]])+AVERAGEIFS(I:I,D:D,DST_123_ÜRETİM_İHTİYAÇ_RAPORU_BURAK_YENI1309[[#This Row],[ALT_KOD]])+AVERAGEIFS(L:L,D:D,DST_123_ÜRETİM_İHTİYAÇ_RAPORU_BURAK_YENI1309[[#This Row],[ALT_KOD]]))</f>
        <v>28.999999999999993</v>
      </c>
      <c r="L4965">
        <v>22</v>
      </c>
      <c r="M4965">
        <f>IF((DST_123_ÜRETİM_İHTİYAÇ_RAPORU_BURAK_YENI1309[[#This Row],[SATINALMA]]*DST_123_ÜRETİM_İHTİYAÇ_RAPORU_BURAK_YENI1309[[#This Row],[BIRIM_FIYATLAR]])&lt;1,VALUE("0"),DST_123_ÜRETİM_İHTİYAÇ_RAPORU_BURAK_YENI1309[[#This Row],[SATINALMA]]*DST_123_ÜRETİM_İHTİYAÇ_RAPORU_BURAK_YENI1309[[#This Row],[BIRIM_FIYATLAR]])</f>
        <v>30208.429999999993</v>
      </c>
      <c r="N4965">
        <v>1041.67</v>
      </c>
      <c r="O4965" t="s">
        <v>223</v>
      </c>
      <c r="P4965">
        <v>2395.8409999999999</v>
      </c>
      <c r="Q4965" t="s">
        <v>181</v>
      </c>
    </row>
    <row r="4966" spans="1:17" x14ac:dyDescent="0.25">
      <c r="A4966" t="s">
        <v>1100</v>
      </c>
      <c r="B4966" t="s">
        <v>1058</v>
      </c>
      <c r="C4966" t="s">
        <v>175</v>
      </c>
      <c r="D4966" t="s">
        <v>145</v>
      </c>
      <c r="E4966" t="s">
        <v>146</v>
      </c>
      <c r="F4966">
        <v>2.2999999999999998</v>
      </c>
      <c r="G4966" t="s">
        <v>176</v>
      </c>
      <c r="H4966">
        <v>2.2999999999999998</v>
      </c>
      <c r="I4966">
        <v>0</v>
      </c>
      <c r="J4966" s="10">
        <v>4.0000000000000497</v>
      </c>
      <c r="K4966" s="10">
        <f>SUMIFS(F:F,D:D,DST_123_ÜRETİM_İHTİYAÇ_RAPORU_BURAK_YENI1309[[#This Row],[ALT_KOD]])-(SUMIFS(H:H,D:D,DST_123_ÜRETİM_İHTİYAÇ_RAPORU_BURAK_YENI1309[[#This Row],[ALT_KOD]])+AVERAGEIFS(I:I,D:D,DST_123_ÜRETİM_İHTİYAÇ_RAPORU_BURAK_YENI1309[[#This Row],[ALT_KOD]])+AVERAGEIFS(L:L,D:D,DST_123_ÜRETİM_İHTİYAÇ_RAPORU_BURAK_YENI1309[[#This Row],[ALT_KOD]]))</f>
        <v>28.999999999999993</v>
      </c>
      <c r="L4966">
        <v>22</v>
      </c>
      <c r="M4966">
        <f>IF((DST_123_ÜRETİM_İHTİYAÇ_RAPORU_BURAK_YENI1309[[#This Row],[SATINALMA]]*DST_123_ÜRETİM_İHTİYAÇ_RAPORU_BURAK_YENI1309[[#This Row],[BIRIM_FIYATLAR]])&lt;1,VALUE("0"),DST_123_ÜRETİM_İHTİYAÇ_RAPORU_BURAK_YENI1309[[#This Row],[SATINALMA]]*DST_123_ÜRETİM_İHTİYAÇ_RAPORU_BURAK_YENI1309[[#This Row],[BIRIM_FIYATLAR]])</f>
        <v>30208.429999999993</v>
      </c>
      <c r="N4966">
        <v>1041.67</v>
      </c>
      <c r="O4966" t="s">
        <v>223</v>
      </c>
      <c r="P4966">
        <v>2395.8409999999999</v>
      </c>
      <c r="Q4966" t="s">
        <v>181</v>
      </c>
    </row>
    <row r="4967" spans="1:17" x14ac:dyDescent="0.25">
      <c r="A4967" t="s">
        <v>1059</v>
      </c>
      <c r="B4967" t="s">
        <v>1058</v>
      </c>
      <c r="C4967" t="s">
        <v>175</v>
      </c>
      <c r="D4967" t="s">
        <v>1032</v>
      </c>
      <c r="E4967" t="s">
        <v>1033</v>
      </c>
      <c r="F4967">
        <v>1</v>
      </c>
      <c r="G4967" t="s">
        <v>176</v>
      </c>
      <c r="H4967">
        <v>1</v>
      </c>
      <c r="I4967">
        <v>2</v>
      </c>
      <c r="J4967" s="10">
        <v>2</v>
      </c>
      <c r="K4967" s="10">
        <f>SUMIFS(F:F,D:D,DST_123_ÜRETİM_İHTİYAÇ_RAPORU_BURAK_YENI1309[[#This Row],[ALT_KOD]])-(SUMIFS(H:H,D:D,DST_123_ÜRETİM_İHTİYAÇ_RAPORU_BURAK_YENI1309[[#This Row],[ALT_KOD]])+AVERAGEIFS(I:I,D:D,DST_123_ÜRETİM_İHTİYAÇ_RAPORU_BURAK_YENI1309[[#This Row],[ALT_KOD]])+AVERAGEIFS(L:L,D:D,DST_123_ÜRETİM_İHTİYAÇ_RAPORU_BURAK_YENI1309[[#This Row],[ALT_KOD]]))</f>
        <v>-2</v>
      </c>
      <c r="L4967">
        <v>0</v>
      </c>
      <c r="M4967">
        <f>IF((DST_123_ÜRETİM_İHTİYAÇ_RAPORU_BURAK_YENI1309[[#This Row],[SATINALMA]]*DST_123_ÜRETİM_İHTİYAÇ_RAPORU_BURAK_YENI1309[[#This Row],[BIRIM_FIYATLAR]])&lt;1,VALUE("0"),DST_123_ÜRETİM_İHTİYAÇ_RAPORU_BURAK_YENI1309[[#This Row],[SATINALMA]]*DST_123_ÜRETİM_İHTİYAÇ_RAPORU_BURAK_YENI1309[[#This Row],[BIRIM_FIYATLAR]])</f>
        <v>0</v>
      </c>
      <c r="N4967">
        <v>400</v>
      </c>
      <c r="O4967" t="s">
        <v>1034</v>
      </c>
      <c r="P4967">
        <v>400</v>
      </c>
      <c r="Q4967" t="s">
        <v>178</v>
      </c>
    </row>
    <row r="4968" spans="1:17" x14ac:dyDescent="0.25">
      <c r="A4968" t="s">
        <v>1064</v>
      </c>
      <c r="B4968" t="s">
        <v>1055</v>
      </c>
      <c r="C4968" t="s">
        <v>175</v>
      </c>
      <c r="D4968" t="s">
        <v>734</v>
      </c>
      <c r="E4968" t="s">
        <v>735</v>
      </c>
      <c r="F4968">
        <v>1</v>
      </c>
      <c r="G4968" t="s">
        <v>176</v>
      </c>
      <c r="H4968">
        <v>1</v>
      </c>
      <c r="I4968">
        <v>10</v>
      </c>
      <c r="J4968" s="10">
        <v>17</v>
      </c>
      <c r="K4968" s="10">
        <f>SUMIFS(F:F,D:D,DST_123_ÜRETİM_İHTİYAÇ_RAPORU_BURAK_YENI1309[[#This Row],[ALT_KOD]])-(SUMIFS(H:H,D:D,DST_123_ÜRETİM_İHTİYAÇ_RAPORU_BURAK_YENI1309[[#This Row],[ALT_KOD]])+AVERAGEIFS(I:I,D:D,DST_123_ÜRETİM_İHTİYAÇ_RAPORU_BURAK_YENI1309[[#This Row],[ALT_KOD]])+AVERAGEIFS(L:L,D:D,DST_123_ÜRETİM_İHTİYAÇ_RAPORU_BURAK_YENI1309[[#This Row],[ALT_KOD]]))</f>
        <v>1</v>
      </c>
      <c r="L4968">
        <v>0</v>
      </c>
      <c r="M4968">
        <f>IF((DST_123_ÜRETİM_İHTİYAÇ_RAPORU_BURAK_YENI1309[[#This Row],[SATINALMA]]*DST_123_ÜRETİM_İHTİYAÇ_RAPORU_BURAK_YENI1309[[#This Row],[BIRIM_FIYATLAR]])&lt;1,VALUE("0"),DST_123_ÜRETİM_İHTİYAÇ_RAPORU_BURAK_YENI1309[[#This Row],[SATINALMA]]*DST_123_ÜRETİM_İHTİYAÇ_RAPORU_BURAK_YENI1309[[#This Row],[BIRIM_FIYATLAR]])</f>
        <v>565.83000000000004</v>
      </c>
      <c r="N4968">
        <v>565.83000000000004</v>
      </c>
      <c r="O4968" t="s">
        <v>667</v>
      </c>
      <c r="P4968">
        <v>565.83000000000004</v>
      </c>
      <c r="Q4968" t="s">
        <v>677</v>
      </c>
    </row>
    <row r="4969" spans="1:17" x14ac:dyDescent="0.25">
      <c r="A4969" t="s">
        <v>1099</v>
      </c>
      <c r="B4969" t="s">
        <v>1055</v>
      </c>
      <c r="C4969" t="s">
        <v>175</v>
      </c>
      <c r="D4969" t="s">
        <v>763</v>
      </c>
      <c r="E4969" t="s">
        <v>764</v>
      </c>
      <c r="F4969">
        <v>1</v>
      </c>
      <c r="G4969" t="s">
        <v>176</v>
      </c>
      <c r="H4969">
        <v>0</v>
      </c>
      <c r="I4969">
        <v>12</v>
      </c>
      <c r="J4969" s="10">
        <v>8</v>
      </c>
      <c r="K4969" s="10">
        <f>SUMIFS(F:F,D:D,DST_123_ÜRETİM_İHTİYAÇ_RAPORU_BURAK_YENI1309[[#This Row],[ALT_KOD]])-(SUMIFS(H:H,D:D,DST_123_ÜRETİM_İHTİYAÇ_RAPORU_BURAK_YENI1309[[#This Row],[ALT_KOD]])+AVERAGEIFS(I:I,D:D,DST_123_ÜRETİM_İHTİYAÇ_RAPORU_BURAK_YENI1309[[#This Row],[ALT_KOD]])+AVERAGEIFS(L:L,D:D,DST_123_ÜRETİM_İHTİYAÇ_RAPORU_BURAK_YENI1309[[#This Row],[ALT_KOD]]))</f>
        <v>0</v>
      </c>
      <c r="L4969">
        <v>0</v>
      </c>
      <c r="M4969">
        <f>IF((DST_123_ÜRETİM_İHTİYAÇ_RAPORU_BURAK_YENI1309[[#This Row],[SATINALMA]]*DST_123_ÜRETİM_İHTİYAÇ_RAPORU_BURAK_YENI1309[[#This Row],[BIRIM_FIYATLAR]])&lt;1,VALUE("0"),DST_123_ÜRETİM_İHTİYAÇ_RAPORU_BURAK_YENI1309[[#This Row],[SATINALMA]]*DST_123_ÜRETİM_İHTİYAÇ_RAPORU_BURAK_YENI1309[[#This Row],[BIRIM_FIYATLAR]])</f>
        <v>0</v>
      </c>
      <c r="N4969">
        <v>401.17</v>
      </c>
      <c r="O4969" t="s">
        <v>765</v>
      </c>
      <c r="P4969">
        <v>401.17</v>
      </c>
      <c r="Q4969" t="s">
        <v>221</v>
      </c>
    </row>
    <row r="4970" spans="1:17" x14ac:dyDescent="0.25">
      <c r="A4970" t="s">
        <v>1064</v>
      </c>
      <c r="B4970" t="s">
        <v>1055</v>
      </c>
      <c r="C4970" t="s">
        <v>175</v>
      </c>
      <c r="D4970" t="s">
        <v>1082</v>
      </c>
      <c r="E4970" t="s">
        <v>1083</v>
      </c>
      <c r="F4970">
        <v>3</v>
      </c>
      <c r="G4970" t="s">
        <v>176</v>
      </c>
      <c r="H4970">
        <v>3</v>
      </c>
      <c r="I4970">
        <v>14</v>
      </c>
      <c r="J4970" s="10">
        <v>19</v>
      </c>
      <c r="K4970" s="10">
        <f>SUMIFS(F:F,D:D,DST_123_ÜRETİM_İHTİYAÇ_RAPORU_BURAK_YENI1309[[#This Row],[ALT_KOD]])-(SUMIFS(H:H,D:D,DST_123_ÜRETİM_İHTİYAÇ_RAPORU_BURAK_YENI1309[[#This Row],[ALT_KOD]])+AVERAGEIFS(I:I,D:D,DST_123_ÜRETİM_İHTİYAÇ_RAPORU_BURAK_YENI1309[[#This Row],[ALT_KOD]])+AVERAGEIFS(L:L,D:D,DST_123_ÜRETİM_İHTİYAÇ_RAPORU_BURAK_YENI1309[[#This Row],[ALT_KOD]]))</f>
        <v>-23</v>
      </c>
      <c r="L4970">
        <v>30</v>
      </c>
      <c r="M4970">
        <f>IF((DST_123_ÜRETİM_İHTİYAÇ_RAPORU_BURAK_YENI1309[[#This Row],[SATINALMA]]*DST_123_ÜRETİM_İHTİYAÇ_RAPORU_BURAK_YENI1309[[#This Row],[BIRIM_FIYATLAR]])&lt;1,VALUE("0"),DST_123_ÜRETİM_İHTİYAÇ_RAPORU_BURAK_YENI1309[[#This Row],[SATINALMA]]*DST_123_ÜRETİM_İHTİYAÇ_RAPORU_BURAK_YENI1309[[#This Row],[BIRIM_FIYATLAR]])</f>
        <v>0</v>
      </c>
      <c r="N4970">
        <v>67.22</v>
      </c>
      <c r="O4970" t="s">
        <v>592</v>
      </c>
      <c r="P4970">
        <v>201.66</v>
      </c>
      <c r="Q4970" t="s">
        <v>178</v>
      </c>
    </row>
    <row r="4971" spans="1:17" x14ac:dyDescent="0.25">
      <c r="A4971" t="s">
        <v>1147</v>
      </c>
      <c r="B4971" t="s">
        <v>1145</v>
      </c>
      <c r="C4971" t="s">
        <v>175</v>
      </c>
      <c r="D4971" t="s">
        <v>391</v>
      </c>
      <c r="E4971" t="s">
        <v>392</v>
      </c>
      <c r="F4971">
        <v>10</v>
      </c>
      <c r="G4971" t="s">
        <v>176</v>
      </c>
      <c r="H4971">
        <v>0</v>
      </c>
      <c r="I4971">
        <v>0</v>
      </c>
      <c r="J4971" s="10">
        <v>58.050000000000026</v>
      </c>
      <c r="K4971" s="10">
        <f>SUMIFS(F:F,D:D,DST_123_ÜRETİM_İHTİYAÇ_RAPORU_BURAK_YENI1309[[#This Row],[ALT_KOD]])-(SUMIFS(H:H,D:D,DST_123_ÜRETİM_İHTİYAÇ_RAPORU_BURAK_YENI1309[[#This Row],[ALT_KOD]])+AVERAGEIFS(I:I,D:D,DST_123_ÜRETİM_İHTİYAÇ_RAPORU_BURAK_YENI1309[[#This Row],[ALT_KOD]])+AVERAGEIFS(L:L,D:D,DST_123_ÜRETİM_İHTİYAÇ_RAPORU_BURAK_YENI1309[[#This Row],[ALT_KOD]]))</f>
        <v>144.72000000000003</v>
      </c>
      <c r="L4971">
        <v>37</v>
      </c>
      <c r="M4971">
        <f>IF((DST_123_ÜRETİM_İHTİYAÇ_RAPORU_BURAK_YENI1309[[#This Row],[SATINALMA]]*DST_123_ÜRETİM_İHTİYAÇ_RAPORU_BURAK_YENI1309[[#This Row],[BIRIM_FIYATLAR]])&lt;1,VALUE("0"),DST_123_ÜRETİM_İHTİYAÇ_RAPORU_BURAK_YENI1309[[#This Row],[SATINALMA]]*DST_123_ÜRETİM_İHTİYAÇ_RAPORU_BURAK_YENI1309[[#This Row],[BIRIM_FIYATLAR]])</f>
        <v>261099.48240000007</v>
      </c>
      <c r="N4971">
        <v>1804.17</v>
      </c>
      <c r="O4971" t="s">
        <v>223</v>
      </c>
      <c r="P4971">
        <v>18041.7</v>
      </c>
      <c r="Q4971" t="s">
        <v>181</v>
      </c>
    </row>
    <row r="4972" spans="1:17" x14ac:dyDescent="0.25">
      <c r="A4972" t="s">
        <v>1148</v>
      </c>
      <c r="B4972" t="s">
        <v>1056</v>
      </c>
      <c r="C4972" t="s">
        <v>175</v>
      </c>
      <c r="D4972" t="s">
        <v>391</v>
      </c>
      <c r="E4972" t="s">
        <v>392</v>
      </c>
      <c r="F4972">
        <v>16.240000000000002</v>
      </c>
      <c r="G4972" t="s">
        <v>176</v>
      </c>
      <c r="H4972">
        <v>0</v>
      </c>
      <c r="I4972">
        <v>0</v>
      </c>
      <c r="J4972" s="10">
        <v>58.050000000000026</v>
      </c>
      <c r="K4972" s="10">
        <f>SUMIFS(F:F,D:D,DST_123_ÜRETİM_İHTİYAÇ_RAPORU_BURAK_YENI1309[[#This Row],[ALT_KOD]])-(SUMIFS(H:H,D:D,DST_123_ÜRETİM_İHTİYAÇ_RAPORU_BURAK_YENI1309[[#This Row],[ALT_KOD]])+AVERAGEIFS(I:I,D:D,DST_123_ÜRETİM_İHTİYAÇ_RAPORU_BURAK_YENI1309[[#This Row],[ALT_KOD]])+AVERAGEIFS(L:L,D:D,DST_123_ÜRETİM_İHTİYAÇ_RAPORU_BURAK_YENI1309[[#This Row],[ALT_KOD]]))</f>
        <v>144.72000000000003</v>
      </c>
      <c r="L4972">
        <v>37</v>
      </c>
      <c r="M4972">
        <f>IF((DST_123_ÜRETİM_İHTİYAÇ_RAPORU_BURAK_YENI1309[[#This Row],[SATINALMA]]*DST_123_ÜRETİM_İHTİYAÇ_RAPORU_BURAK_YENI1309[[#This Row],[BIRIM_FIYATLAR]])&lt;1,VALUE("0"),DST_123_ÜRETİM_İHTİYAÇ_RAPORU_BURAK_YENI1309[[#This Row],[SATINALMA]]*DST_123_ÜRETİM_İHTİYAÇ_RAPORU_BURAK_YENI1309[[#This Row],[BIRIM_FIYATLAR]])</f>
        <v>261099.48240000007</v>
      </c>
      <c r="N4972">
        <v>1804.17</v>
      </c>
      <c r="O4972" t="s">
        <v>223</v>
      </c>
      <c r="P4972">
        <v>29299.720800000006</v>
      </c>
      <c r="Q4972" t="s">
        <v>181</v>
      </c>
    </row>
    <row r="4973" spans="1:17" x14ac:dyDescent="0.25">
      <c r="A4973" t="s">
        <v>1100</v>
      </c>
      <c r="B4973" t="s">
        <v>1058</v>
      </c>
      <c r="C4973" t="s">
        <v>175</v>
      </c>
      <c r="D4973" t="s">
        <v>792</v>
      </c>
      <c r="E4973" t="s">
        <v>136</v>
      </c>
      <c r="F4973">
        <v>8</v>
      </c>
      <c r="G4973" t="s">
        <v>176</v>
      </c>
      <c r="H4973">
        <v>0</v>
      </c>
      <c r="I4973">
        <v>524</v>
      </c>
      <c r="J4973" s="10">
        <v>352</v>
      </c>
      <c r="K4973" s="10">
        <f>SUMIFS(F:F,D:D,DST_123_ÜRETİM_İHTİYAÇ_RAPORU_BURAK_YENI1309[[#This Row],[ALT_KOD]])-(SUMIFS(H:H,D:D,DST_123_ÜRETİM_İHTİYAÇ_RAPORU_BURAK_YENI1309[[#This Row],[ALT_KOD]])+AVERAGEIFS(I:I,D:D,DST_123_ÜRETİM_İHTİYAÇ_RAPORU_BURAK_YENI1309[[#This Row],[ALT_KOD]])+AVERAGEIFS(L:L,D:D,DST_123_ÜRETİM_İHTİYAÇ_RAPORU_BURAK_YENI1309[[#This Row],[ALT_KOD]]))</f>
        <v>-374</v>
      </c>
      <c r="L4973">
        <v>0</v>
      </c>
      <c r="M4973">
        <f>IF((DST_123_ÜRETİM_İHTİYAÇ_RAPORU_BURAK_YENI1309[[#This Row],[SATINALMA]]*DST_123_ÜRETİM_İHTİYAÇ_RAPORU_BURAK_YENI1309[[#This Row],[BIRIM_FIYATLAR]])&lt;1,VALUE("0"),DST_123_ÜRETİM_İHTİYAÇ_RAPORU_BURAK_YENI1309[[#This Row],[SATINALMA]]*DST_123_ÜRETİM_İHTİYAÇ_RAPORU_BURAK_YENI1309[[#This Row],[BIRIM_FIYATLAR]])</f>
        <v>0</v>
      </c>
      <c r="N4973">
        <v>8.1</v>
      </c>
      <c r="O4973" t="s">
        <v>504</v>
      </c>
      <c r="P4973">
        <v>64.8</v>
      </c>
      <c r="Q4973" t="s">
        <v>221</v>
      </c>
    </row>
    <row r="4974" spans="1:17" x14ac:dyDescent="0.25">
      <c r="A4974" t="s">
        <v>1148</v>
      </c>
      <c r="B4974" t="s">
        <v>1056</v>
      </c>
      <c r="C4974" t="s">
        <v>175</v>
      </c>
      <c r="D4974" t="s">
        <v>792</v>
      </c>
      <c r="E4974" t="s">
        <v>136</v>
      </c>
      <c r="F4974">
        <v>8</v>
      </c>
      <c r="G4974" t="s">
        <v>176</v>
      </c>
      <c r="H4974">
        <v>0</v>
      </c>
      <c r="I4974">
        <v>524</v>
      </c>
      <c r="J4974" s="10">
        <v>352</v>
      </c>
      <c r="K4974" s="10">
        <f>SUMIFS(F:F,D:D,DST_123_ÜRETİM_İHTİYAÇ_RAPORU_BURAK_YENI1309[[#This Row],[ALT_KOD]])-(SUMIFS(H:H,D:D,DST_123_ÜRETİM_İHTİYAÇ_RAPORU_BURAK_YENI1309[[#This Row],[ALT_KOD]])+AVERAGEIFS(I:I,D:D,DST_123_ÜRETİM_İHTİYAÇ_RAPORU_BURAK_YENI1309[[#This Row],[ALT_KOD]])+AVERAGEIFS(L:L,D:D,DST_123_ÜRETİM_İHTİYAÇ_RAPORU_BURAK_YENI1309[[#This Row],[ALT_KOD]]))</f>
        <v>-374</v>
      </c>
      <c r="L4974">
        <v>0</v>
      </c>
      <c r="M4974">
        <f>IF((DST_123_ÜRETİM_İHTİYAÇ_RAPORU_BURAK_YENI1309[[#This Row],[SATINALMA]]*DST_123_ÜRETİM_İHTİYAÇ_RAPORU_BURAK_YENI1309[[#This Row],[BIRIM_FIYATLAR]])&lt;1,VALUE("0"),DST_123_ÜRETİM_İHTİYAÇ_RAPORU_BURAK_YENI1309[[#This Row],[SATINALMA]]*DST_123_ÜRETİM_İHTİYAÇ_RAPORU_BURAK_YENI1309[[#This Row],[BIRIM_FIYATLAR]])</f>
        <v>0</v>
      </c>
      <c r="N4974">
        <v>8.1</v>
      </c>
      <c r="O4974" t="s">
        <v>504</v>
      </c>
      <c r="P4974">
        <v>64.8</v>
      </c>
      <c r="Q4974" t="s">
        <v>221</v>
      </c>
    </row>
    <row r="4975" spans="1:17" x14ac:dyDescent="0.25">
      <c r="A4975" t="s">
        <v>1150</v>
      </c>
      <c r="B4975" t="s">
        <v>1145</v>
      </c>
      <c r="C4975" t="s">
        <v>175</v>
      </c>
      <c r="D4975" t="s">
        <v>512</v>
      </c>
      <c r="E4975" t="s">
        <v>513</v>
      </c>
      <c r="F4975">
        <v>4</v>
      </c>
      <c r="G4975" t="s">
        <v>176</v>
      </c>
      <c r="H4975">
        <v>0</v>
      </c>
      <c r="I4975">
        <v>4</v>
      </c>
      <c r="J4975" s="10">
        <v>10</v>
      </c>
      <c r="K4975" s="10">
        <f>SUMIFS(F:F,D:D,DST_123_ÜRETİM_İHTİYAÇ_RAPORU_BURAK_YENI1309[[#This Row],[ALT_KOD]])-(SUMIFS(H:H,D:D,DST_123_ÜRETİM_İHTİYAÇ_RAPORU_BURAK_YENI1309[[#This Row],[ALT_KOD]])+AVERAGEIFS(I:I,D:D,DST_123_ÜRETİM_İHTİYAÇ_RAPORU_BURAK_YENI1309[[#This Row],[ALT_KOD]])+AVERAGEIFS(L:L,D:D,DST_123_ÜRETİM_İHTİYAÇ_RAPORU_BURAK_YENI1309[[#This Row],[ALT_KOD]]))</f>
        <v>26</v>
      </c>
      <c r="L4975">
        <v>0</v>
      </c>
      <c r="M4975">
        <f>IF((DST_123_ÜRETİM_İHTİYAÇ_RAPORU_BURAK_YENI1309[[#This Row],[SATINALMA]]*DST_123_ÜRETİM_İHTİYAÇ_RAPORU_BURAK_YENI1309[[#This Row],[BIRIM_FIYATLAR]])&lt;1,VALUE("0"),DST_123_ÜRETİM_İHTİYAÇ_RAPORU_BURAK_YENI1309[[#This Row],[SATINALMA]]*DST_123_ÜRETİM_İHTİYAÇ_RAPORU_BURAK_YENI1309[[#This Row],[BIRIM_FIYATLAR]])</f>
        <v>41686.58</v>
      </c>
      <c r="N4975">
        <v>1603.33</v>
      </c>
      <c r="O4975" t="s">
        <v>262</v>
      </c>
      <c r="P4975">
        <v>6413.32</v>
      </c>
      <c r="Q4975" t="s">
        <v>221</v>
      </c>
    </row>
    <row r="4976" spans="1:17" x14ac:dyDescent="0.25">
      <c r="A4976" t="s">
        <v>1098</v>
      </c>
      <c r="B4976" t="s">
        <v>1096</v>
      </c>
      <c r="C4976" t="s">
        <v>175</v>
      </c>
      <c r="D4976" t="s">
        <v>512</v>
      </c>
      <c r="E4976" t="s">
        <v>513</v>
      </c>
      <c r="F4976">
        <v>2</v>
      </c>
      <c r="G4976" t="s">
        <v>176</v>
      </c>
      <c r="H4976">
        <v>0</v>
      </c>
      <c r="I4976">
        <v>4</v>
      </c>
      <c r="J4976" s="10">
        <v>10</v>
      </c>
      <c r="K4976" s="10">
        <f>SUMIFS(F:F,D:D,DST_123_ÜRETİM_İHTİYAÇ_RAPORU_BURAK_YENI1309[[#This Row],[ALT_KOD]])-(SUMIFS(H:H,D:D,DST_123_ÜRETİM_İHTİYAÇ_RAPORU_BURAK_YENI1309[[#This Row],[ALT_KOD]])+AVERAGEIFS(I:I,D:D,DST_123_ÜRETİM_İHTİYAÇ_RAPORU_BURAK_YENI1309[[#This Row],[ALT_KOD]])+AVERAGEIFS(L:L,D:D,DST_123_ÜRETİM_İHTİYAÇ_RAPORU_BURAK_YENI1309[[#This Row],[ALT_KOD]]))</f>
        <v>26</v>
      </c>
      <c r="L4976">
        <v>0</v>
      </c>
      <c r="M4976">
        <f>IF((DST_123_ÜRETİM_İHTİYAÇ_RAPORU_BURAK_YENI1309[[#This Row],[SATINALMA]]*DST_123_ÜRETİM_İHTİYAÇ_RAPORU_BURAK_YENI1309[[#This Row],[BIRIM_FIYATLAR]])&lt;1,VALUE("0"),DST_123_ÜRETİM_İHTİYAÇ_RAPORU_BURAK_YENI1309[[#This Row],[SATINALMA]]*DST_123_ÜRETİM_İHTİYAÇ_RAPORU_BURAK_YENI1309[[#This Row],[BIRIM_FIYATLAR]])</f>
        <v>41686.58</v>
      </c>
      <c r="N4976">
        <v>1603.33</v>
      </c>
      <c r="O4976" t="s">
        <v>262</v>
      </c>
      <c r="P4976">
        <v>3206.66</v>
      </c>
      <c r="Q4976" t="s">
        <v>221</v>
      </c>
    </row>
    <row r="4977" spans="1:17" x14ac:dyDescent="0.25">
      <c r="A4977" t="s">
        <v>1196</v>
      </c>
      <c r="B4977" t="s">
        <v>1197</v>
      </c>
      <c r="C4977" t="s">
        <v>175</v>
      </c>
      <c r="D4977" t="s">
        <v>792</v>
      </c>
      <c r="E4977" t="s">
        <v>136</v>
      </c>
      <c r="F4977">
        <v>8</v>
      </c>
      <c r="G4977" t="s">
        <v>176</v>
      </c>
      <c r="H4977">
        <v>0</v>
      </c>
      <c r="I4977">
        <v>524</v>
      </c>
      <c r="J4977" s="10">
        <v>352</v>
      </c>
      <c r="K4977" s="10">
        <f>SUMIFS(F:F,D:D,DST_123_ÜRETİM_İHTİYAÇ_RAPORU_BURAK_YENI1309[[#This Row],[ALT_KOD]])-(SUMIFS(H:H,D:D,DST_123_ÜRETİM_İHTİYAÇ_RAPORU_BURAK_YENI1309[[#This Row],[ALT_KOD]])+AVERAGEIFS(I:I,D:D,DST_123_ÜRETİM_İHTİYAÇ_RAPORU_BURAK_YENI1309[[#This Row],[ALT_KOD]])+AVERAGEIFS(L:L,D:D,DST_123_ÜRETİM_İHTİYAÇ_RAPORU_BURAK_YENI1309[[#This Row],[ALT_KOD]]))</f>
        <v>-374</v>
      </c>
      <c r="L4977">
        <v>0</v>
      </c>
      <c r="M4977">
        <f>IF((DST_123_ÜRETİM_İHTİYAÇ_RAPORU_BURAK_YENI1309[[#This Row],[SATINALMA]]*DST_123_ÜRETİM_İHTİYAÇ_RAPORU_BURAK_YENI1309[[#This Row],[BIRIM_FIYATLAR]])&lt;1,VALUE("0"),DST_123_ÜRETİM_İHTİYAÇ_RAPORU_BURAK_YENI1309[[#This Row],[SATINALMA]]*DST_123_ÜRETİM_İHTİYAÇ_RAPORU_BURAK_YENI1309[[#This Row],[BIRIM_FIYATLAR]])</f>
        <v>0</v>
      </c>
      <c r="N4977">
        <v>8.1</v>
      </c>
      <c r="O4977" t="s">
        <v>504</v>
      </c>
      <c r="P4977">
        <v>64.8</v>
      </c>
      <c r="Q4977" t="s">
        <v>221</v>
      </c>
    </row>
    <row r="4978" spans="1:17" x14ac:dyDescent="0.25">
      <c r="A4978" t="s">
        <v>1099</v>
      </c>
      <c r="B4978" t="s">
        <v>1055</v>
      </c>
      <c r="C4978" t="s">
        <v>175</v>
      </c>
      <c r="D4978" t="s">
        <v>792</v>
      </c>
      <c r="E4978" t="s">
        <v>136</v>
      </c>
      <c r="F4978">
        <v>6</v>
      </c>
      <c r="G4978" t="s">
        <v>176</v>
      </c>
      <c r="H4978">
        <v>0</v>
      </c>
      <c r="I4978">
        <v>524</v>
      </c>
      <c r="J4978" s="10">
        <v>352</v>
      </c>
      <c r="K4978" s="10">
        <f>SUMIFS(F:F,D:D,DST_123_ÜRETİM_İHTİYAÇ_RAPORU_BURAK_YENI1309[[#This Row],[ALT_KOD]])-(SUMIFS(H:H,D:D,DST_123_ÜRETİM_İHTİYAÇ_RAPORU_BURAK_YENI1309[[#This Row],[ALT_KOD]])+AVERAGEIFS(I:I,D:D,DST_123_ÜRETİM_İHTİYAÇ_RAPORU_BURAK_YENI1309[[#This Row],[ALT_KOD]])+AVERAGEIFS(L:L,D:D,DST_123_ÜRETİM_İHTİYAÇ_RAPORU_BURAK_YENI1309[[#This Row],[ALT_KOD]]))</f>
        <v>-374</v>
      </c>
      <c r="L4978">
        <v>0</v>
      </c>
      <c r="M4978">
        <f>IF((DST_123_ÜRETİM_İHTİYAÇ_RAPORU_BURAK_YENI1309[[#This Row],[SATINALMA]]*DST_123_ÜRETİM_İHTİYAÇ_RAPORU_BURAK_YENI1309[[#This Row],[BIRIM_FIYATLAR]])&lt;1,VALUE("0"),DST_123_ÜRETİM_İHTİYAÇ_RAPORU_BURAK_YENI1309[[#This Row],[SATINALMA]]*DST_123_ÜRETİM_İHTİYAÇ_RAPORU_BURAK_YENI1309[[#This Row],[BIRIM_FIYATLAR]])</f>
        <v>0</v>
      </c>
      <c r="N4978">
        <v>8.1</v>
      </c>
      <c r="O4978" t="s">
        <v>504</v>
      </c>
      <c r="P4978">
        <v>48.599999999999994</v>
      </c>
      <c r="Q4978" t="s">
        <v>221</v>
      </c>
    </row>
    <row r="4979" spans="1:17" x14ac:dyDescent="0.25">
      <c r="A4979" t="s">
        <v>1060</v>
      </c>
      <c r="B4979" t="s">
        <v>1061</v>
      </c>
      <c r="C4979" t="s">
        <v>175</v>
      </c>
      <c r="D4979" t="s">
        <v>792</v>
      </c>
      <c r="E4979" t="s">
        <v>136</v>
      </c>
      <c r="F4979">
        <v>8</v>
      </c>
      <c r="G4979" t="s">
        <v>176</v>
      </c>
      <c r="H4979">
        <v>0</v>
      </c>
      <c r="I4979">
        <v>524</v>
      </c>
      <c r="J4979" s="10">
        <v>352</v>
      </c>
      <c r="K4979" s="10">
        <f>SUMIFS(F:F,D:D,DST_123_ÜRETİM_İHTİYAÇ_RAPORU_BURAK_YENI1309[[#This Row],[ALT_KOD]])-(SUMIFS(H:H,D:D,DST_123_ÜRETİM_İHTİYAÇ_RAPORU_BURAK_YENI1309[[#This Row],[ALT_KOD]])+AVERAGEIFS(I:I,D:D,DST_123_ÜRETİM_İHTİYAÇ_RAPORU_BURAK_YENI1309[[#This Row],[ALT_KOD]])+AVERAGEIFS(L:L,D:D,DST_123_ÜRETİM_İHTİYAÇ_RAPORU_BURAK_YENI1309[[#This Row],[ALT_KOD]]))</f>
        <v>-374</v>
      </c>
      <c r="L4979">
        <v>0</v>
      </c>
      <c r="M4979">
        <f>IF((DST_123_ÜRETİM_İHTİYAÇ_RAPORU_BURAK_YENI1309[[#This Row],[SATINALMA]]*DST_123_ÜRETİM_İHTİYAÇ_RAPORU_BURAK_YENI1309[[#This Row],[BIRIM_FIYATLAR]])&lt;1,VALUE("0"),DST_123_ÜRETİM_İHTİYAÇ_RAPORU_BURAK_YENI1309[[#This Row],[SATINALMA]]*DST_123_ÜRETİM_İHTİYAÇ_RAPORU_BURAK_YENI1309[[#This Row],[BIRIM_FIYATLAR]])</f>
        <v>0</v>
      </c>
      <c r="N4979">
        <v>8.1</v>
      </c>
      <c r="O4979" t="s">
        <v>504</v>
      </c>
      <c r="P4979">
        <v>64.8</v>
      </c>
      <c r="Q4979" t="s">
        <v>221</v>
      </c>
    </row>
    <row r="4980" spans="1:17" x14ac:dyDescent="0.25">
      <c r="A4980" t="s">
        <v>1149</v>
      </c>
      <c r="B4980" t="s">
        <v>1145</v>
      </c>
      <c r="C4980" t="s">
        <v>175</v>
      </c>
      <c r="D4980" t="s">
        <v>512</v>
      </c>
      <c r="E4980" t="s">
        <v>513</v>
      </c>
      <c r="F4980">
        <v>2</v>
      </c>
      <c r="G4980" t="s">
        <v>176</v>
      </c>
      <c r="H4980">
        <v>0</v>
      </c>
      <c r="I4980">
        <v>4</v>
      </c>
      <c r="J4980" s="10">
        <v>10</v>
      </c>
      <c r="K4980" s="10">
        <f>SUMIFS(F:F,D:D,DST_123_ÜRETİM_İHTİYAÇ_RAPORU_BURAK_YENI1309[[#This Row],[ALT_KOD]])-(SUMIFS(H:H,D:D,DST_123_ÜRETİM_İHTİYAÇ_RAPORU_BURAK_YENI1309[[#This Row],[ALT_KOD]])+AVERAGEIFS(I:I,D:D,DST_123_ÜRETİM_İHTİYAÇ_RAPORU_BURAK_YENI1309[[#This Row],[ALT_KOD]])+AVERAGEIFS(L:L,D:D,DST_123_ÜRETİM_İHTİYAÇ_RAPORU_BURAK_YENI1309[[#This Row],[ALT_KOD]]))</f>
        <v>26</v>
      </c>
      <c r="L4980">
        <v>0</v>
      </c>
      <c r="M4980">
        <f>IF((DST_123_ÜRETİM_İHTİYAÇ_RAPORU_BURAK_YENI1309[[#This Row],[SATINALMA]]*DST_123_ÜRETİM_İHTİYAÇ_RAPORU_BURAK_YENI1309[[#This Row],[BIRIM_FIYATLAR]])&lt;1,VALUE("0"),DST_123_ÜRETİM_İHTİYAÇ_RAPORU_BURAK_YENI1309[[#This Row],[SATINALMA]]*DST_123_ÜRETİM_İHTİYAÇ_RAPORU_BURAK_YENI1309[[#This Row],[BIRIM_FIYATLAR]])</f>
        <v>41686.58</v>
      </c>
      <c r="N4980">
        <v>1603.33</v>
      </c>
      <c r="O4980" t="s">
        <v>262</v>
      </c>
      <c r="P4980">
        <v>3206.66</v>
      </c>
      <c r="Q4980" t="s">
        <v>221</v>
      </c>
    </row>
    <row r="4981" spans="1:17" x14ac:dyDescent="0.25">
      <c r="A4981" t="s">
        <v>1150</v>
      </c>
      <c r="B4981" t="s">
        <v>1145</v>
      </c>
      <c r="C4981" t="s">
        <v>175</v>
      </c>
      <c r="D4981" t="s">
        <v>792</v>
      </c>
      <c r="E4981" t="s">
        <v>136</v>
      </c>
      <c r="F4981">
        <v>8</v>
      </c>
      <c r="G4981" t="s">
        <v>176</v>
      </c>
      <c r="H4981">
        <v>0</v>
      </c>
      <c r="I4981">
        <v>524</v>
      </c>
      <c r="J4981" s="10">
        <v>352</v>
      </c>
      <c r="K4981" s="10">
        <f>SUMIFS(F:F,D:D,DST_123_ÜRETİM_İHTİYAÇ_RAPORU_BURAK_YENI1309[[#This Row],[ALT_KOD]])-(SUMIFS(H:H,D:D,DST_123_ÜRETİM_İHTİYAÇ_RAPORU_BURAK_YENI1309[[#This Row],[ALT_KOD]])+AVERAGEIFS(I:I,D:D,DST_123_ÜRETİM_İHTİYAÇ_RAPORU_BURAK_YENI1309[[#This Row],[ALT_KOD]])+AVERAGEIFS(L:L,D:D,DST_123_ÜRETİM_İHTİYAÇ_RAPORU_BURAK_YENI1309[[#This Row],[ALT_KOD]]))</f>
        <v>-374</v>
      </c>
      <c r="L4981">
        <v>0</v>
      </c>
      <c r="M4981">
        <f>IF((DST_123_ÜRETİM_İHTİYAÇ_RAPORU_BURAK_YENI1309[[#This Row],[SATINALMA]]*DST_123_ÜRETİM_İHTİYAÇ_RAPORU_BURAK_YENI1309[[#This Row],[BIRIM_FIYATLAR]])&lt;1,VALUE("0"),DST_123_ÜRETİM_İHTİYAÇ_RAPORU_BURAK_YENI1309[[#This Row],[SATINALMA]]*DST_123_ÜRETİM_İHTİYAÇ_RAPORU_BURAK_YENI1309[[#This Row],[BIRIM_FIYATLAR]])</f>
        <v>0</v>
      </c>
      <c r="N4981">
        <v>8.1</v>
      </c>
      <c r="O4981" t="s">
        <v>504</v>
      </c>
      <c r="P4981">
        <v>64.8</v>
      </c>
      <c r="Q4981" t="s">
        <v>221</v>
      </c>
    </row>
    <row r="4982" spans="1:17" x14ac:dyDescent="0.25">
      <c r="A4982" t="s">
        <v>1099</v>
      </c>
      <c r="B4982" t="s">
        <v>1055</v>
      </c>
      <c r="C4982" t="s">
        <v>175</v>
      </c>
      <c r="D4982" t="s">
        <v>512</v>
      </c>
      <c r="E4982" t="s">
        <v>513</v>
      </c>
      <c r="F4982">
        <v>2</v>
      </c>
      <c r="G4982" t="s">
        <v>176</v>
      </c>
      <c r="H4982">
        <v>0</v>
      </c>
      <c r="I4982">
        <v>4</v>
      </c>
      <c r="J4982" s="10">
        <v>10</v>
      </c>
      <c r="K4982" s="10">
        <f>SUMIFS(F:F,D:D,DST_123_ÜRETİM_İHTİYAÇ_RAPORU_BURAK_YENI1309[[#This Row],[ALT_KOD]])-(SUMIFS(H:H,D:D,DST_123_ÜRETİM_İHTİYAÇ_RAPORU_BURAK_YENI1309[[#This Row],[ALT_KOD]])+AVERAGEIFS(I:I,D:D,DST_123_ÜRETİM_İHTİYAÇ_RAPORU_BURAK_YENI1309[[#This Row],[ALT_KOD]])+AVERAGEIFS(L:L,D:D,DST_123_ÜRETİM_İHTİYAÇ_RAPORU_BURAK_YENI1309[[#This Row],[ALT_KOD]]))</f>
        <v>26</v>
      </c>
      <c r="L4982">
        <v>0</v>
      </c>
      <c r="M4982">
        <f>IF((DST_123_ÜRETİM_İHTİYAÇ_RAPORU_BURAK_YENI1309[[#This Row],[SATINALMA]]*DST_123_ÜRETİM_İHTİYAÇ_RAPORU_BURAK_YENI1309[[#This Row],[BIRIM_FIYATLAR]])&lt;1,VALUE("0"),DST_123_ÜRETİM_İHTİYAÇ_RAPORU_BURAK_YENI1309[[#This Row],[SATINALMA]]*DST_123_ÜRETİM_İHTİYAÇ_RAPORU_BURAK_YENI1309[[#This Row],[BIRIM_FIYATLAR]])</f>
        <v>41686.58</v>
      </c>
      <c r="N4982">
        <v>1603.33</v>
      </c>
      <c r="O4982" t="s">
        <v>262</v>
      </c>
      <c r="P4982">
        <v>3206.66</v>
      </c>
      <c r="Q4982" t="s">
        <v>221</v>
      </c>
    </row>
    <row r="4983" spans="1:17" x14ac:dyDescent="0.25">
      <c r="A4983" t="s">
        <v>1196</v>
      </c>
      <c r="B4983" t="s">
        <v>1197</v>
      </c>
      <c r="C4983" t="s">
        <v>175</v>
      </c>
      <c r="D4983" t="s">
        <v>512</v>
      </c>
      <c r="E4983" t="s">
        <v>513</v>
      </c>
      <c r="F4983">
        <v>4</v>
      </c>
      <c r="G4983" t="s">
        <v>176</v>
      </c>
      <c r="H4983">
        <v>0</v>
      </c>
      <c r="I4983">
        <v>4</v>
      </c>
      <c r="J4983" s="10">
        <v>10</v>
      </c>
      <c r="K4983" s="10">
        <f>SUMIFS(F:F,D:D,DST_123_ÜRETİM_İHTİYAÇ_RAPORU_BURAK_YENI1309[[#This Row],[ALT_KOD]])-(SUMIFS(H:H,D:D,DST_123_ÜRETİM_İHTİYAÇ_RAPORU_BURAK_YENI1309[[#This Row],[ALT_KOD]])+AVERAGEIFS(I:I,D:D,DST_123_ÜRETİM_İHTİYAÇ_RAPORU_BURAK_YENI1309[[#This Row],[ALT_KOD]])+AVERAGEIFS(L:L,D:D,DST_123_ÜRETİM_İHTİYAÇ_RAPORU_BURAK_YENI1309[[#This Row],[ALT_KOD]]))</f>
        <v>26</v>
      </c>
      <c r="L4983">
        <v>0</v>
      </c>
      <c r="M4983">
        <f>IF((DST_123_ÜRETİM_İHTİYAÇ_RAPORU_BURAK_YENI1309[[#This Row],[SATINALMA]]*DST_123_ÜRETİM_İHTİYAÇ_RAPORU_BURAK_YENI1309[[#This Row],[BIRIM_FIYATLAR]])&lt;1,VALUE("0"),DST_123_ÜRETİM_İHTİYAÇ_RAPORU_BURAK_YENI1309[[#This Row],[SATINALMA]]*DST_123_ÜRETİM_İHTİYAÇ_RAPORU_BURAK_YENI1309[[#This Row],[BIRIM_FIYATLAR]])</f>
        <v>41686.58</v>
      </c>
      <c r="N4983">
        <v>1603.33</v>
      </c>
      <c r="O4983" t="s">
        <v>262</v>
      </c>
      <c r="P4983">
        <v>6413.32</v>
      </c>
      <c r="Q4983" t="s">
        <v>221</v>
      </c>
    </row>
    <row r="4984" spans="1:17" x14ac:dyDescent="0.25">
      <c r="A4984" t="s">
        <v>1147</v>
      </c>
      <c r="B4984" t="s">
        <v>1145</v>
      </c>
      <c r="C4984" t="s">
        <v>175</v>
      </c>
      <c r="D4984" t="s">
        <v>508</v>
      </c>
      <c r="E4984" t="s">
        <v>509</v>
      </c>
      <c r="F4984">
        <v>1</v>
      </c>
      <c r="G4984" t="s">
        <v>176</v>
      </c>
      <c r="H4984">
        <v>0</v>
      </c>
      <c r="I4984">
        <v>4</v>
      </c>
      <c r="J4984" s="10">
        <v>10</v>
      </c>
      <c r="K4984" s="10">
        <f>SUMIFS(F:F,D:D,DST_123_ÜRETİM_İHTİYAÇ_RAPORU_BURAK_YENI1309[[#This Row],[ALT_KOD]])-(SUMIFS(H:H,D:D,DST_123_ÜRETİM_İHTİYAÇ_RAPORU_BURAK_YENI1309[[#This Row],[ALT_KOD]])+AVERAGEIFS(I:I,D:D,DST_123_ÜRETİM_İHTİYAÇ_RAPORU_BURAK_YENI1309[[#This Row],[ALT_KOD]])+AVERAGEIFS(L:L,D:D,DST_123_ÜRETİM_İHTİYAÇ_RAPORU_BURAK_YENI1309[[#This Row],[ALT_KOD]]))</f>
        <v>1</v>
      </c>
      <c r="L4984">
        <v>7</v>
      </c>
      <c r="M4984">
        <f>IF((DST_123_ÜRETİM_İHTİYAÇ_RAPORU_BURAK_YENI1309[[#This Row],[SATINALMA]]*DST_123_ÜRETİM_İHTİYAÇ_RAPORU_BURAK_YENI1309[[#This Row],[BIRIM_FIYATLAR]])&lt;1,VALUE("0"),DST_123_ÜRETİM_İHTİYAÇ_RAPORU_BURAK_YENI1309[[#This Row],[SATINALMA]]*DST_123_ÜRETİM_İHTİYAÇ_RAPORU_BURAK_YENI1309[[#This Row],[BIRIM_FIYATLAR]])</f>
        <v>1535.25</v>
      </c>
      <c r="N4984">
        <v>1535.25</v>
      </c>
      <c r="O4984" t="s">
        <v>507</v>
      </c>
      <c r="P4984">
        <v>1535.25</v>
      </c>
      <c r="Q4984" t="s">
        <v>221</v>
      </c>
    </row>
    <row r="4985" spans="1:17" x14ac:dyDescent="0.25">
      <c r="A4985" t="s">
        <v>1101</v>
      </c>
      <c r="B4985" t="s">
        <v>1102</v>
      </c>
      <c r="C4985" t="s">
        <v>175</v>
      </c>
      <c r="D4985" t="s">
        <v>792</v>
      </c>
      <c r="E4985" t="s">
        <v>136</v>
      </c>
      <c r="F4985">
        <v>8</v>
      </c>
      <c r="G4985" t="s">
        <v>176</v>
      </c>
      <c r="H4985">
        <v>0</v>
      </c>
      <c r="I4985">
        <v>524</v>
      </c>
      <c r="J4985" s="10">
        <v>352</v>
      </c>
      <c r="K4985" s="10">
        <f>SUMIFS(F:F,D:D,DST_123_ÜRETİM_İHTİYAÇ_RAPORU_BURAK_YENI1309[[#This Row],[ALT_KOD]])-(SUMIFS(H:H,D:D,DST_123_ÜRETİM_İHTİYAÇ_RAPORU_BURAK_YENI1309[[#This Row],[ALT_KOD]])+AVERAGEIFS(I:I,D:D,DST_123_ÜRETİM_İHTİYAÇ_RAPORU_BURAK_YENI1309[[#This Row],[ALT_KOD]])+AVERAGEIFS(L:L,D:D,DST_123_ÜRETİM_İHTİYAÇ_RAPORU_BURAK_YENI1309[[#This Row],[ALT_KOD]]))</f>
        <v>-374</v>
      </c>
      <c r="L4985">
        <v>0</v>
      </c>
      <c r="M4985">
        <f>IF((DST_123_ÜRETİM_İHTİYAÇ_RAPORU_BURAK_YENI1309[[#This Row],[SATINALMA]]*DST_123_ÜRETİM_İHTİYAÇ_RAPORU_BURAK_YENI1309[[#This Row],[BIRIM_FIYATLAR]])&lt;1,VALUE("0"),DST_123_ÜRETİM_İHTİYAÇ_RAPORU_BURAK_YENI1309[[#This Row],[SATINALMA]]*DST_123_ÜRETİM_İHTİYAÇ_RAPORU_BURAK_YENI1309[[#This Row],[BIRIM_FIYATLAR]])</f>
        <v>0</v>
      </c>
      <c r="N4985">
        <v>8.1</v>
      </c>
      <c r="O4985" t="s">
        <v>504</v>
      </c>
      <c r="P4985">
        <v>64.8</v>
      </c>
      <c r="Q4985" t="s">
        <v>221</v>
      </c>
    </row>
    <row r="4986" spans="1:17" x14ac:dyDescent="0.25">
      <c r="A4986" t="s">
        <v>1144</v>
      </c>
      <c r="B4986" t="s">
        <v>1145</v>
      </c>
      <c r="C4986" t="s">
        <v>175</v>
      </c>
      <c r="D4986" t="s">
        <v>512</v>
      </c>
      <c r="E4986" t="s">
        <v>513</v>
      </c>
      <c r="F4986">
        <v>4</v>
      </c>
      <c r="G4986" t="s">
        <v>176</v>
      </c>
      <c r="H4986">
        <v>0</v>
      </c>
      <c r="I4986">
        <v>4</v>
      </c>
      <c r="J4986" s="10">
        <v>10</v>
      </c>
      <c r="K4986" s="10">
        <f>SUMIFS(F:F,D:D,DST_123_ÜRETİM_İHTİYAÇ_RAPORU_BURAK_YENI1309[[#This Row],[ALT_KOD]])-(SUMIFS(H:H,D:D,DST_123_ÜRETİM_İHTİYAÇ_RAPORU_BURAK_YENI1309[[#This Row],[ALT_KOD]])+AVERAGEIFS(I:I,D:D,DST_123_ÜRETİM_İHTİYAÇ_RAPORU_BURAK_YENI1309[[#This Row],[ALT_KOD]])+AVERAGEIFS(L:L,D:D,DST_123_ÜRETİM_İHTİYAÇ_RAPORU_BURAK_YENI1309[[#This Row],[ALT_KOD]]))</f>
        <v>26</v>
      </c>
      <c r="L4986">
        <v>0</v>
      </c>
      <c r="M4986">
        <f>IF((DST_123_ÜRETİM_İHTİYAÇ_RAPORU_BURAK_YENI1309[[#This Row],[SATINALMA]]*DST_123_ÜRETİM_İHTİYAÇ_RAPORU_BURAK_YENI1309[[#This Row],[BIRIM_FIYATLAR]])&lt;1,VALUE("0"),DST_123_ÜRETİM_İHTİYAÇ_RAPORU_BURAK_YENI1309[[#This Row],[SATINALMA]]*DST_123_ÜRETİM_İHTİYAÇ_RAPORU_BURAK_YENI1309[[#This Row],[BIRIM_FIYATLAR]])</f>
        <v>41686.58</v>
      </c>
      <c r="N4986">
        <v>1603.33</v>
      </c>
      <c r="O4986" t="s">
        <v>262</v>
      </c>
      <c r="P4986">
        <v>6413.32</v>
      </c>
      <c r="Q4986" t="s">
        <v>221</v>
      </c>
    </row>
    <row r="4987" spans="1:17" x14ac:dyDescent="0.25">
      <c r="A4987" t="s">
        <v>1146</v>
      </c>
      <c r="B4987" t="s">
        <v>1145</v>
      </c>
      <c r="C4987" t="s">
        <v>175</v>
      </c>
      <c r="D4987" t="s">
        <v>512</v>
      </c>
      <c r="E4987" t="s">
        <v>513</v>
      </c>
      <c r="F4987">
        <v>2</v>
      </c>
      <c r="G4987" t="s">
        <v>176</v>
      </c>
      <c r="H4987">
        <v>0</v>
      </c>
      <c r="I4987">
        <v>4</v>
      </c>
      <c r="J4987" s="10">
        <v>10</v>
      </c>
      <c r="K4987" s="10">
        <f>SUMIFS(F:F,D:D,DST_123_ÜRETİM_İHTİYAÇ_RAPORU_BURAK_YENI1309[[#This Row],[ALT_KOD]])-(SUMIFS(H:H,D:D,DST_123_ÜRETİM_İHTİYAÇ_RAPORU_BURAK_YENI1309[[#This Row],[ALT_KOD]])+AVERAGEIFS(I:I,D:D,DST_123_ÜRETİM_İHTİYAÇ_RAPORU_BURAK_YENI1309[[#This Row],[ALT_KOD]])+AVERAGEIFS(L:L,D:D,DST_123_ÜRETİM_İHTİYAÇ_RAPORU_BURAK_YENI1309[[#This Row],[ALT_KOD]]))</f>
        <v>26</v>
      </c>
      <c r="L4987">
        <v>0</v>
      </c>
      <c r="M4987">
        <f>IF((DST_123_ÜRETİM_İHTİYAÇ_RAPORU_BURAK_YENI1309[[#This Row],[SATINALMA]]*DST_123_ÜRETİM_İHTİYAÇ_RAPORU_BURAK_YENI1309[[#This Row],[BIRIM_FIYATLAR]])&lt;1,VALUE("0"),DST_123_ÜRETİM_İHTİYAÇ_RAPORU_BURAK_YENI1309[[#This Row],[SATINALMA]]*DST_123_ÜRETİM_İHTİYAÇ_RAPORU_BURAK_YENI1309[[#This Row],[BIRIM_FIYATLAR]])</f>
        <v>41686.58</v>
      </c>
      <c r="N4987">
        <v>1603.33</v>
      </c>
      <c r="O4987" t="s">
        <v>262</v>
      </c>
      <c r="P4987">
        <v>3206.66</v>
      </c>
      <c r="Q4987" t="s">
        <v>221</v>
      </c>
    </row>
    <row r="4988" spans="1:17" x14ac:dyDescent="0.25">
      <c r="A4988" t="s">
        <v>1149</v>
      </c>
      <c r="B4988" t="s">
        <v>1145</v>
      </c>
      <c r="C4988" t="s">
        <v>175</v>
      </c>
      <c r="D4988" t="s">
        <v>792</v>
      </c>
      <c r="E4988" t="s">
        <v>136</v>
      </c>
      <c r="F4988">
        <v>8</v>
      </c>
      <c r="G4988" t="s">
        <v>176</v>
      </c>
      <c r="H4988">
        <v>0</v>
      </c>
      <c r="I4988">
        <v>524</v>
      </c>
      <c r="J4988" s="10">
        <v>352</v>
      </c>
      <c r="K4988" s="10">
        <f>SUMIFS(F:F,D:D,DST_123_ÜRETİM_İHTİYAÇ_RAPORU_BURAK_YENI1309[[#This Row],[ALT_KOD]])-(SUMIFS(H:H,D:D,DST_123_ÜRETİM_İHTİYAÇ_RAPORU_BURAK_YENI1309[[#This Row],[ALT_KOD]])+AVERAGEIFS(I:I,D:D,DST_123_ÜRETİM_İHTİYAÇ_RAPORU_BURAK_YENI1309[[#This Row],[ALT_KOD]])+AVERAGEIFS(L:L,D:D,DST_123_ÜRETİM_İHTİYAÇ_RAPORU_BURAK_YENI1309[[#This Row],[ALT_KOD]]))</f>
        <v>-374</v>
      </c>
      <c r="L4988">
        <v>0</v>
      </c>
      <c r="M4988">
        <f>IF((DST_123_ÜRETİM_İHTİYAÇ_RAPORU_BURAK_YENI1309[[#This Row],[SATINALMA]]*DST_123_ÜRETİM_İHTİYAÇ_RAPORU_BURAK_YENI1309[[#This Row],[BIRIM_FIYATLAR]])&lt;1,VALUE("0"),DST_123_ÜRETİM_İHTİYAÇ_RAPORU_BURAK_YENI1309[[#This Row],[SATINALMA]]*DST_123_ÜRETİM_İHTİYAÇ_RAPORU_BURAK_YENI1309[[#This Row],[BIRIM_FIYATLAR]])</f>
        <v>0</v>
      </c>
      <c r="N4988">
        <v>8.1</v>
      </c>
      <c r="O4988" t="s">
        <v>504</v>
      </c>
      <c r="P4988">
        <v>64.8</v>
      </c>
      <c r="Q4988" t="s">
        <v>221</v>
      </c>
    </row>
    <row r="4989" spans="1:17" x14ac:dyDescent="0.25">
      <c r="A4989" t="s">
        <v>1064</v>
      </c>
      <c r="B4989" t="s">
        <v>1055</v>
      </c>
      <c r="C4989" t="s">
        <v>175</v>
      </c>
      <c r="D4989" t="s">
        <v>512</v>
      </c>
      <c r="E4989" t="s">
        <v>513</v>
      </c>
      <c r="F4989">
        <v>2</v>
      </c>
      <c r="G4989" t="s">
        <v>176</v>
      </c>
      <c r="H4989">
        <v>2</v>
      </c>
      <c r="I4989">
        <v>4</v>
      </c>
      <c r="J4989" s="10">
        <v>10</v>
      </c>
      <c r="K4989" s="10">
        <f>SUMIFS(F:F,D:D,DST_123_ÜRETİM_İHTİYAÇ_RAPORU_BURAK_YENI1309[[#This Row],[ALT_KOD]])-(SUMIFS(H:H,D:D,DST_123_ÜRETİM_İHTİYAÇ_RAPORU_BURAK_YENI1309[[#This Row],[ALT_KOD]])+AVERAGEIFS(I:I,D:D,DST_123_ÜRETİM_İHTİYAÇ_RAPORU_BURAK_YENI1309[[#This Row],[ALT_KOD]])+AVERAGEIFS(L:L,D:D,DST_123_ÜRETİM_İHTİYAÇ_RAPORU_BURAK_YENI1309[[#This Row],[ALT_KOD]]))</f>
        <v>26</v>
      </c>
      <c r="L4989">
        <v>0</v>
      </c>
      <c r="M4989">
        <f>IF((DST_123_ÜRETİM_İHTİYAÇ_RAPORU_BURAK_YENI1309[[#This Row],[SATINALMA]]*DST_123_ÜRETİM_İHTİYAÇ_RAPORU_BURAK_YENI1309[[#This Row],[BIRIM_FIYATLAR]])&lt;1,VALUE("0"),DST_123_ÜRETİM_İHTİYAÇ_RAPORU_BURAK_YENI1309[[#This Row],[SATINALMA]]*DST_123_ÜRETİM_İHTİYAÇ_RAPORU_BURAK_YENI1309[[#This Row],[BIRIM_FIYATLAR]])</f>
        <v>41686.58</v>
      </c>
      <c r="N4989">
        <v>1603.33</v>
      </c>
      <c r="O4989" t="s">
        <v>262</v>
      </c>
      <c r="P4989">
        <v>3206.66</v>
      </c>
      <c r="Q4989" t="s">
        <v>221</v>
      </c>
    </row>
    <row r="4990" spans="1:17" x14ac:dyDescent="0.25">
      <c r="A4990" t="s">
        <v>1144</v>
      </c>
      <c r="B4990" t="s">
        <v>1145</v>
      </c>
      <c r="C4990" t="s">
        <v>175</v>
      </c>
      <c r="D4990" t="s">
        <v>792</v>
      </c>
      <c r="E4990" t="s">
        <v>136</v>
      </c>
      <c r="F4990">
        <v>8</v>
      </c>
      <c r="G4990" t="s">
        <v>176</v>
      </c>
      <c r="H4990">
        <v>0</v>
      </c>
      <c r="I4990">
        <v>524</v>
      </c>
      <c r="J4990" s="10">
        <v>352</v>
      </c>
      <c r="K4990" s="10">
        <f>SUMIFS(F:F,D:D,DST_123_ÜRETİM_İHTİYAÇ_RAPORU_BURAK_YENI1309[[#This Row],[ALT_KOD]])-(SUMIFS(H:H,D:D,DST_123_ÜRETİM_İHTİYAÇ_RAPORU_BURAK_YENI1309[[#This Row],[ALT_KOD]])+AVERAGEIFS(I:I,D:D,DST_123_ÜRETİM_İHTİYAÇ_RAPORU_BURAK_YENI1309[[#This Row],[ALT_KOD]])+AVERAGEIFS(L:L,D:D,DST_123_ÜRETİM_İHTİYAÇ_RAPORU_BURAK_YENI1309[[#This Row],[ALT_KOD]]))</f>
        <v>-374</v>
      </c>
      <c r="L4990">
        <v>0</v>
      </c>
      <c r="M4990">
        <f>IF((DST_123_ÜRETİM_İHTİYAÇ_RAPORU_BURAK_YENI1309[[#This Row],[SATINALMA]]*DST_123_ÜRETİM_İHTİYAÇ_RAPORU_BURAK_YENI1309[[#This Row],[BIRIM_FIYATLAR]])&lt;1,VALUE("0"),DST_123_ÜRETİM_İHTİYAÇ_RAPORU_BURAK_YENI1309[[#This Row],[SATINALMA]]*DST_123_ÜRETİM_İHTİYAÇ_RAPORU_BURAK_YENI1309[[#This Row],[BIRIM_FIYATLAR]])</f>
        <v>0</v>
      </c>
      <c r="N4990">
        <v>8.1</v>
      </c>
      <c r="O4990" t="s">
        <v>504</v>
      </c>
      <c r="P4990">
        <v>64.8</v>
      </c>
      <c r="Q4990" t="s">
        <v>221</v>
      </c>
    </row>
    <row r="4991" spans="1:17" x14ac:dyDescent="0.25">
      <c r="A4991" t="s">
        <v>1146</v>
      </c>
      <c r="B4991" t="s">
        <v>1145</v>
      </c>
      <c r="C4991" t="s">
        <v>175</v>
      </c>
      <c r="D4991" t="s">
        <v>792</v>
      </c>
      <c r="E4991" t="s">
        <v>136</v>
      </c>
      <c r="F4991">
        <v>8</v>
      </c>
      <c r="G4991" t="s">
        <v>176</v>
      </c>
      <c r="H4991">
        <v>0</v>
      </c>
      <c r="I4991">
        <v>524</v>
      </c>
      <c r="J4991" s="10">
        <v>352</v>
      </c>
      <c r="K4991" s="10">
        <f>SUMIFS(F:F,D:D,DST_123_ÜRETİM_İHTİYAÇ_RAPORU_BURAK_YENI1309[[#This Row],[ALT_KOD]])-(SUMIFS(H:H,D:D,DST_123_ÜRETİM_İHTİYAÇ_RAPORU_BURAK_YENI1309[[#This Row],[ALT_KOD]])+AVERAGEIFS(I:I,D:D,DST_123_ÜRETİM_İHTİYAÇ_RAPORU_BURAK_YENI1309[[#This Row],[ALT_KOD]])+AVERAGEIFS(L:L,D:D,DST_123_ÜRETİM_İHTİYAÇ_RAPORU_BURAK_YENI1309[[#This Row],[ALT_KOD]]))</f>
        <v>-374</v>
      </c>
      <c r="L4991">
        <v>0</v>
      </c>
      <c r="M4991">
        <f>IF((DST_123_ÜRETİM_İHTİYAÇ_RAPORU_BURAK_YENI1309[[#This Row],[SATINALMA]]*DST_123_ÜRETİM_İHTİYAÇ_RAPORU_BURAK_YENI1309[[#This Row],[BIRIM_FIYATLAR]])&lt;1,VALUE("0"),DST_123_ÜRETİM_İHTİYAÇ_RAPORU_BURAK_YENI1309[[#This Row],[SATINALMA]]*DST_123_ÜRETİM_İHTİYAÇ_RAPORU_BURAK_YENI1309[[#This Row],[BIRIM_FIYATLAR]])</f>
        <v>0</v>
      </c>
      <c r="N4991">
        <v>8.1</v>
      </c>
      <c r="O4991" t="s">
        <v>504</v>
      </c>
      <c r="P4991">
        <v>64.8</v>
      </c>
      <c r="Q4991" t="s">
        <v>221</v>
      </c>
    </row>
    <row r="4992" spans="1:17" x14ac:dyDescent="0.25">
      <c r="A4992" t="s">
        <v>1064</v>
      </c>
      <c r="B4992" t="s">
        <v>1055</v>
      </c>
      <c r="C4992" t="s">
        <v>175</v>
      </c>
      <c r="D4992" t="s">
        <v>792</v>
      </c>
      <c r="E4992" t="s">
        <v>136</v>
      </c>
      <c r="F4992">
        <v>8</v>
      </c>
      <c r="G4992" t="s">
        <v>176</v>
      </c>
      <c r="H4992">
        <v>0</v>
      </c>
      <c r="I4992">
        <v>524</v>
      </c>
      <c r="J4992" s="10">
        <v>352</v>
      </c>
      <c r="K4992" s="10">
        <f>SUMIFS(F:F,D:D,DST_123_ÜRETİM_İHTİYAÇ_RAPORU_BURAK_YENI1309[[#This Row],[ALT_KOD]])-(SUMIFS(H:H,D:D,DST_123_ÜRETİM_İHTİYAÇ_RAPORU_BURAK_YENI1309[[#This Row],[ALT_KOD]])+AVERAGEIFS(I:I,D:D,DST_123_ÜRETİM_İHTİYAÇ_RAPORU_BURAK_YENI1309[[#This Row],[ALT_KOD]])+AVERAGEIFS(L:L,D:D,DST_123_ÜRETİM_İHTİYAÇ_RAPORU_BURAK_YENI1309[[#This Row],[ALT_KOD]]))</f>
        <v>-374</v>
      </c>
      <c r="L4992">
        <v>0</v>
      </c>
      <c r="M4992">
        <f>IF((DST_123_ÜRETİM_İHTİYAÇ_RAPORU_BURAK_YENI1309[[#This Row],[SATINALMA]]*DST_123_ÜRETİM_İHTİYAÇ_RAPORU_BURAK_YENI1309[[#This Row],[BIRIM_FIYATLAR]])&lt;1,VALUE("0"),DST_123_ÜRETİM_İHTİYAÇ_RAPORU_BURAK_YENI1309[[#This Row],[SATINALMA]]*DST_123_ÜRETİM_İHTİYAÇ_RAPORU_BURAK_YENI1309[[#This Row],[BIRIM_FIYATLAR]])</f>
        <v>0</v>
      </c>
      <c r="N4992">
        <v>8.1</v>
      </c>
      <c r="O4992" t="s">
        <v>504</v>
      </c>
      <c r="P4992">
        <v>64.8</v>
      </c>
      <c r="Q4992" t="s">
        <v>221</v>
      </c>
    </row>
    <row r="4993" spans="1:17" x14ac:dyDescent="0.25">
      <c r="A4993" t="s">
        <v>1098</v>
      </c>
      <c r="B4993" t="s">
        <v>1096</v>
      </c>
      <c r="C4993" t="s">
        <v>175</v>
      </c>
      <c r="D4993" t="s">
        <v>792</v>
      </c>
      <c r="E4993" t="s">
        <v>136</v>
      </c>
      <c r="F4993">
        <v>8</v>
      </c>
      <c r="G4993" t="s">
        <v>176</v>
      </c>
      <c r="H4993">
        <v>0</v>
      </c>
      <c r="I4993">
        <v>524</v>
      </c>
      <c r="J4993" s="10">
        <v>352</v>
      </c>
      <c r="K4993" s="10">
        <f>SUMIFS(F:F,D:D,DST_123_ÜRETİM_İHTİYAÇ_RAPORU_BURAK_YENI1309[[#This Row],[ALT_KOD]])-(SUMIFS(H:H,D:D,DST_123_ÜRETİM_İHTİYAÇ_RAPORU_BURAK_YENI1309[[#This Row],[ALT_KOD]])+AVERAGEIFS(I:I,D:D,DST_123_ÜRETİM_İHTİYAÇ_RAPORU_BURAK_YENI1309[[#This Row],[ALT_KOD]])+AVERAGEIFS(L:L,D:D,DST_123_ÜRETİM_İHTİYAÇ_RAPORU_BURAK_YENI1309[[#This Row],[ALT_KOD]]))</f>
        <v>-374</v>
      </c>
      <c r="L4993">
        <v>0</v>
      </c>
      <c r="M4993">
        <f>IF((DST_123_ÜRETİM_İHTİYAÇ_RAPORU_BURAK_YENI1309[[#This Row],[SATINALMA]]*DST_123_ÜRETİM_İHTİYAÇ_RAPORU_BURAK_YENI1309[[#This Row],[BIRIM_FIYATLAR]])&lt;1,VALUE("0"),DST_123_ÜRETİM_İHTİYAÇ_RAPORU_BURAK_YENI1309[[#This Row],[SATINALMA]]*DST_123_ÜRETİM_İHTİYAÇ_RAPORU_BURAK_YENI1309[[#This Row],[BIRIM_FIYATLAR]])</f>
        <v>0</v>
      </c>
      <c r="N4993">
        <v>8.1</v>
      </c>
      <c r="O4993" t="s">
        <v>504</v>
      </c>
      <c r="P4993">
        <v>64.8</v>
      </c>
      <c r="Q4993" t="s">
        <v>221</v>
      </c>
    </row>
    <row r="4994" spans="1:17" x14ac:dyDescent="0.25">
      <c r="A4994" t="s">
        <v>1099</v>
      </c>
      <c r="B4994" t="s">
        <v>1055</v>
      </c>
      <c r="C4994" t="s">
        <v>175</v>
      </c>
      <c r="D4994" t="s">
        <v>458</v>
      </c>
      <c r="E4994" t="s">
        <v>459</v>
      </c>
      <c r="F4994">
        <v>6.0000000000000005E-2</v>
      </c>
      <c r="G4994" t="s">
        <v>176</v>
      </c>
      <c r="H4994">
        <v>6.0000000000000005E-2</v>
      </c>
      <c r="I4994">
        <v>6</v>
      </c>
      <c r="J4994" s="10">
        <v>22.530000000000012</v>
      </c>
      <c r="K4994" s="10">
        <f>SUMIFS(F:F,D:D,DST_123_ÜRETİM_İHTİYAÇ_RAPORU_BURAK_YENI1309[[#This Row],[ALT_KOD]])-(SUMIFS(H:H,D:D,DST_123_ÜRETİM_İHTİYAÇ_RAPORU_BURAK_YENI1309[[#This Row],[ALT_KOD]])+AVERAGEIFS(I:I,D:D,DST_123_ÜRETİM_İHTİYAÇ_RAPORU_BURAK_YENI1309[[#This Row],[ALT_KOD]])+AVERAGEIFS(L:L,D:D,DST_123_ÜRETİM_İHTİYAÇ_RAPORU_BURAK_YENI1309[[#This Row],[ALT_KOD]]))</f>
        <v>-5.5</v>
      </c>
      <c r="L4994">
        <v>0</v>
      </c>
      <c r="M4994">
        <f>IF((DST_123_ÜRETİM_İHTİYAÇ_RAPORU_BURAK_YENI1309[[#This Row],[SATINALMA]]*DST_123_ÜRETİM_İHTİYAÇ_RAPORU_BURAK_YENI1309[[#This Row],[BIRIM_FIYATLAR]])&lt;1,VALUE("0"),DST_123_ÜRETİM_İHTİYAÇ_RAPORU_BURAK_YENI1309[[#This Row],[SATINALMA]]*DST_123_ÜRETİM_İHTİYAÇ_RAPORU_BURAK_YENI1309[[#This Row],[BIRIM_FIYATLAR]])</f>
        <v>0</v>
      </c>
      <c r="N4994">
        <v>133</v>
      </c>
      <c r="O4994" t="s">
        <v>216</v>
      </c>
      <c r="P4994">
        <v>7.98</v>
      </c>
      <c r="Q4994" t="s">
        <v>183</v>
      </c>
    </row>
    <row r="4995" spans="1:17" x14ac:dyDescent="0.25">
      <c r="A4995" t="s">
        <v>1097</v>
      </c>
      <c r="B4995" t="s">
        <v>1055</v>
      </c>
      <c r="C4995" t="s">
        <v>175</v>
      </c>
      <c r="D4995" t="s">
        <v>338</v>
      </c>
      <c r="E4995" t="s">
        <v>339</v>
      </c>
      <c r="F4995">
        <v>8.4700000000000006</v>
      </c>
      <c r="G4995" t="s">
        <v>185</v>
      </c>
      <c r="H4995">
        <v>8.4700000000000006</v>
      </c>
      <c r="I4995">
        <v>0</v>
      </c>
      <c r="J4995" s="10">
        <v>154.94999999999996</v>
      </c>
      <c r="K4995" s="10">
        <f>SUMIFS(F:F,D:D,DST_123_ÜRETİM_İHTİYAÇ_RAPORU_BURAK_YENI1309[[#This Row],[ALT_KOD]])-(SUMIFS(H:H,D:D,DST_123_ÜRETİM_İHTİYAÇ_RAPORU_BURAK_YENI1309[[#This Row],[ALT_KOD]])+AVERAGEIFS(I:I,D:D,DST_123_ÜRETİM_İHTİYAÇ_RAPORU_BURAK_YENI1309[[#This Row],[ALT_KOD]])+AVERAGEIFS(L:L,D:D,DST_123_ÜRETİM_İHTİYAÇ_RAPORU_BURAK_YENI1309[[#This Row],[ALT_KOD]]))</f>
        <v>21.899999999999991</v>
      </c>
      <c r="L4995">
        <v>60</v>
      </c>
      <c r="M4995">
        <f>IF((DST_123_ÜRETİM_İHTİYAÇ_RAPORU_BURAK_YENI1309[[#This Row],[SATINALMA]]*DST_123_ÜRETİM_İHTİYAÇ_RAPORU_BURAK_YENI1309[[#This Row],[BIRIM_FIYATLAR]])&lt;1,VALUE("0"),DST_123_ÜRETİM_İHTİYAÇ_RAPORU_BURAK_YENI1309[[#This Row],[SATINALMA]]*DST_123_ÜRETİM_İHTİYAÇ_RAPORU_BURAK_YENI1309[[#This Row],[BIRIM_FIYATLAR]])</f>
        <v>4265.0249999999987</v>
      </c>
      <c r="N4995">
        <v>194.75</v>
      </c>
      <c r="O4995" t="s">
        <v>490</v>
      </c>
      <c r="P4995">
        <v>1649.5325</v>
      </c>
      <c r="Q4995" t="s">
        <v>183</v>
      </c>
    </row>
    <row r="4996" spans="1:17" x14ac:dyDescent="0.25">
      <c r="A4996" t="s">
        <v>1059</v>
      </c>
      <c r="B4996" t="s">
        <v>1058</v>
      </c>
      <c r="C4996" t="s">
        <v>175</v>
      </c>
      <c r="D4996" t="s">
        <v>116</v>
      </c>
      <c r="E4996" t="s">
        <v>117</v>
      </c>
      <c r="F4996">
        <v>78.63</v>
      </c>
      <c r="G4996" t="s">
        <v>185</v>
      </c>
      <c r="H4996">
        <v>78.63</v>
      </c>
      <c r="I4996">
        <v>-690</v>
      </c>
      <c r="J4996" s="10">
        <v>2123.619999999999</v>
      </c>
      <c r="K4996" s="10">
        <f>SUMIFS(F:F,D:D,DST_123_ÜRETİM_İHTİYAÇ_RAPORU_BURAK_YENI1309[[#This Row],[ALT_KOD]])-(SUMIFS(H:H,D:D,DST_123_ÜRETİM_İHTİYAÇ_RAPORU_BURAK_YENI1309[[#This Row],[ALT_KOD]])+AVERAGEIFS(I:I,D:D,DST_123_ÜRETİM_İHTİYAÇ_RAPORU_BURAK_YENI1309[[#This Row],[ALT_KOD]])+AVERAGEIFS(L:L,D:D,DST_123_ÜRETİM_İHTİYAÇ_RAPORU_BURAK_YENI1309[[#This Row],[ALT_KOD]]))</f>
        <v>1819.8699999999994</v>
      </c>
      <c r="L4996">
        <v>0</v>
      </c>
      <c r="M4996">
        <f>IF((DST_123_ÜRETİM_İHTİYAÇ_RAPORU_BURAK_YENI1309[[#This Row],[SATINALMA]]*DST_123_ÜRETİM_İHTİYAÇ_RAPORU_BURAK_YENI1309[[#This Row],[BIRIM_FIYATLAR]])&lt;1,VALUE("0"),DST_123_ÜRETİM_İHTİYAÇ_RAPORU_BURAK_YENI1309[[#This Row],[SATINALMA]]*DST_123_ÜRETİM_İHTİYAÇ_RAPORU_BURAK_YENI1309[[#This Row],[BIRIM_FIYATLAR]])</f>
        <v>172651.06689999995</v>
      </c>
      <c r="N4996">
        <v>94.87</v>
      </c>
      <c r="O4996" t="s">
        <v>490</v>
      </c>
      <c r="P4996">
        <v>7459.6280999999999</v>
      </c>
      <c r="Q4996" t="s">
        <v>183</v>
      </c>
    </row>
    <row r="4997" spans="1:17" x14ac:dyDescent="0.25">
      <c r="A4997" t="s">
        <v>1146</v>
      </c>
      <c r="B4997" t="s">
        <v>1145</v>
      </c>
      <c r="C4997" t="s">
        <v>175</v>
      </c>
      <c r="D4997" t="s">
        <v>116</v>
      </c>
      <c r="E4997" t="s">
        <v>117</v>
      </c>
      <c r="F4997">
        <v>108.01</v>
      </c>
      <c r="G4997" t="s">
        <v>185</v>
      </c>
      <c r="H4997">
        <v>108.01</v>
      </c>
      <c r="I4997">
        <v>-690</v>
      </c>
      <c r="J4997" s="10">
        <v>2123.619999999999</v>
      </c>
      <c r="K4997" s="10">
        <f>SUMIFS(F:F,D:D,DST_123_ÜRETİM_İHTİYAÇ_RAPORU_BURAK_YENI1309[[#This Row],[ALT_KOD]])-(SUMIFS(H:H,D:D,DST_123_ÜRETİM_İHTİYAÇ_RAPORU_BURAK_YENI1309[[#This Row],[ALT_KOD]])+AVERAGEIFS(I:I,D:D,DST_123_ÜRETİM_İHTİYAÇ_RAPORU_BURAK_YENI1309[[#This Row],[ALT_KOD]])+AVERAGEIFS(L:L,D:D,DST_123_ÜRETİM_İHTİYAÇ_RAPORU_BURAK_YENI1309[[#This Row],[ALT_KOD]]))</f>
        <v>1819.8699999999994</v>
      </c>
      <c r="L4997">
        <v>0</v>
      </c>
      <c r="M4997">
        <f>IF((DST_123_ÜRETİM_İHTİYAÇ_RAPORU_BURAK_YENI1309[[#This Row],[SATINALMA]]*DST_123_ÜRETİM_İHTİYAÇ_RAPORU_BURAK_YENI1309[[#This Row],[BIRIM_FIYATLAR]])&lt;1,VALUE("0"),DST_123_ÜRETİM_İHTİYAÇ_RAPORU_BURAK_YENI1309[[#This Row],[SATINALMA]]*DST_123_ÜRETİM_İHTİYAÇ_RAPORU_BURAK_YENI1309[[#This Row],[BIRIM_FIYATLAR]])</f>
        <v>172651.06689999995</v>
      </c>
      <c r="N4997">
        <v>94.87</v>
      </c>
      <c r="O4997" t="s">
        <v>490</v>
      </c>
      <c r="P4997">
        <v>10246.908700000002</v>
      </c>
      <c r="Q4997" t="s">
        <v>183</v>
      </c>
    </row>
    <row r="4998" spans="1:17" x14ac:dyDescent="0.25">
      <c r="A4998" t="s">
        <v>1060</v>
      </c>
      <c r="B4998" t="s">
        <v>1061</v>
      </c>
      <c r="C4998" t="s">
        <v>175</v>
      </c>
      <c r="D4998" t="s">
        <v>52</v>
      </c>
      <c r="E4998" t="s">
        <v>53</v>
      </c>
      <c r="F4998">
        <v>1</v>
      </c>
      <c r="G4998" t="s">
        <v>176</v>
      </c>
      <c r="H4998">
        <v>1</v>
      </c>
      <c r="I4998">
        <v>5</v>
      </c>
      <c r="J4998" s="10">
        <v>10</v>
      </c>
      <c r="K4998" s="10">
        <f>SUMIFS(F:F,D:D,DST_123_ÜRETİM_İHTİYAÇ_RAPORU_BURAK_YENI1309[[#This Row],[ALT_KOD]])-(SUMIFS(H:H,D:D,DST_123_ÜRETİM_İHTİYAÇ_RAPORU_BURAK_YENI1309[[#This Row],[ALT_KOD]])+AVERAGEIFS(I:I,D:D,DST_123_ÜRETİM_İHTİYAÇ_RAPORU_BURAK_YENI1309[[#This Row],[ALT_KOD]])+AVERAGEIFS(L:L,D:D,DST_123_ÜRETİM_İHTİYAÇ_RAPORU_BURAK_YENI1309[[#This Row],[ALT_KOD]]))</f>
        <v>7</v>
      </c>
      <c r="L4998">
        <v>0</v>
      </c>
      <c r="M4998">
        <f>IF((DST_123_ÜRETİM_İHTİYAÇ_RAPORU_BURAK_YENI1309[[#This Row],[SATINALMA]]*DST_123_ÜRETİM_İHTİYAÇ_RAPORU_BURAK_YENI1309[[#This Row],[BIRIM_FIYATLAR]])&lt;1,VALUE("0"),DST_123_ÜRETİM_İHTİYAÇ_RAPORU_BURAK_YENI1309[[#This Row],[SATINALMA]]*DST_123_ÜRETİM_İHTİYAÇ_RAPORU_BURAK_YENI1309[[#This Row],[BIRIM_FIYATLAR]])</f>
        <v>85641.010000000009</v>
      </c>
      <c r="N4998">
        <v>12234.43</v>
      </c>
      <c r="O4998" t="s">
        <v>215</v>
      </c>
      <c r="P4998">
        <v>12234.43</v>
      </c>
      <c r="Q4998" t="s">
        <v>221</v>
      </c>
    </row>
    <row r="4999" spans="1:17" x14ac:dyDescent="0.25">
      <c r="A4999" t="s">
        <v>1146</v>
      </c>
      <c r="B4999" t="s">
        <v>1145</v>
      </c>
      <c r="C4999" t="s">
        <v>175</v>
      </c>
      <c r="D4999" t="s">
        <v>299</v>
      </c>
      <c r="E4999" t="s">
        <v>300</v>
      </c>
      <c r="F4999">
        <v>18</v>
      </c>
      <c r="G4999" t="s">
        <v>176</v>
      </c>
      <c r="H4999">
        <v>18</v>
      </c>
      <c r="I4999">
        <v>180</v>
      </c>
      <c r="J4999" s="10">
        <v>80</v>
      </c>
      <c r="K4999" s="10">
        <f>SUMIFS(F:F,D:D,DST_123_ÜRETİM_İHTİYAÇ_RAPORU_BURAK_YENI1309[[#This Row],[ALT_KOD]])-(SUMIFS(H:H,D:D,DST_123_ÜRETİM_İHTİYAÇ_RAPORU_BURAK_YENI1309[[#This Row],[ALT_KOD]])+AVERAGEIFS(I:I,D:D,DST_123_ÜRETİM_İHTİYAÇ_RAPORU_BURAK_YENI1309[[#This Row],[ALT_KOD]])+AVERAGEIFS(L:L,D:D,DST_123_ÜRETİM_İHTİYAÇ_RAPORU_BURAK_YENI1309[[#This Row],[ALT_KOD]]))</f>
        <v>32</v>
      </c>
      <c r="L4999">
        <v>0</v>
      </c>
      <c r="M4999">
        <f>IF((DST_123_ÜRETİM_İHTİYAÇ_RAPORU_BURAK_YENI1309[[#This Row],[SATINALMA]]*DST_123_ÜRETİM_İHTİYAÇ_RAPORU_BURAK_YENI1309[[#This Row],[BIRIM_FIYATLAR]])&lt;1,VALUE("0"),DST_123_ÜRETİM_İHTİYAÇ_RAPORU_BURAK_YENI1309[[#This Row],[SATINALMA]]*DST_123_ÜRETİM_İHTİYAÇ_RAPORU_BURAK_YENI1309[[#This Row],[BIRIM_FIYATLAR]])</f>
        <v>7680</v>
      </c>
      <c r="N4999">
        <v>240</v>
      </c>
      <c r="O4999" t="s">
        <v>240</v>
      </c>
      <c r="P4999">
        <v>4320</v>
      </c>
      <c r="Q4999" t="s">
        <v>180</v>
      </c>
    </row>
    <row r="5000" spans="1:17" x14ac:dyDescent="0.25">
      <c r="A5000" t="s">
        <v>1099</v>
      </c>
      <c r="B5000" t="s">
        <v>1055</v>
      </c>
      <c r="C5000" t="s">
        <v>175</v>
      </c>
      <c r="D5000" t="s">
        <v>338</v>
      </c>
      <c r="E5000" t="s">
        <v>339</v>
      </c>
      <c r="F5000">
        <v>17.100000000000001</v>
      </c>
      <c r="G5000" t="s">
        <v>185</v>
      </c>
      <c r="H5000">
        <v>17.100000000000001</v>
      </c>
      <c r="I5000">
        <v>0</v>
      </c>
      <c r="J5000" s="10">
        <v>154.94999999999996</v>
      </c>
      <c r="K5000" s="10">
        <f>SUMIFS(F:F,D:D,DST_123_ÜRETİM_İHTİYAÇ_RAPORU_BURAK_YENI1309[[#This Row],[ALT_KOD]])-(SUMIFS(H:H,D:D,DST_123_ÜRETİM_İHTİYAÇ_RAPORU_BURAK_YENI1309[[#This Row],[ALT_KOD]])+AVERAGEIFS(I:I,D:D,DST_123_ÜRETİM_İHTİYAÇ_RAPORU_BURAK_YENI1309[[#This Row],[ALT_KOD]])+AVERAGEIFS(L:L,D:D,DST_123_ÜRETİM_İHTİYAÇ_RAPORU_BURAK_YENI1309[[#This Row],[ALT_KOD]]))</f>
        <v>21.899999999999991</v>
      </c>
      <c r="L5000">
        <v>60</v>
      </c>
      <c r="M5000">
        <f>IF((DST_123_ÜRETİM_İHTİYAÇ_RAPORU_BURAK_YENI1309[[#This Row],[SATINALMA]]*DST_123_ÜRETİM_İHTİYAÇ_RAPORU_BURAK_YENI1309[[#This Row],[BIRIM_FIYATLAR]])&lt;1,VALUE("0"),DST_123_ÜRETİM_İHTİYAÇ_RAPORU_BURAK_YENI1309[[#This Row],[SATINALMA]]*DST_123_ÜRETİM_İHTİYAÇ_RAPORU_BURAK_YENI1309[[#This Row],[BIRIM_FIYATLAR]])</f>
        <v>4265.0249999999987</v>
      </c>
      <c r="N5000">
        <v>194.75</v>
      </c>
      <c r="O5000" t="s">
        <v>490</v>
      </c>
      <c r="P5000">
        <v>3330.2250000000004</v>
      </c>
      <c r="Q5000" t="s">
        <v>183</v>
      </c>
    </row>
    <row r="5001" spans="1:17" x14ac:dyDescent="0.25">
      <c r="A5001" t="s">
        <v>1057</v>
      </c>
      <c r="B5001" t="s">
        <v>1058</v>
      </c>
      <c r="C5001" t="s">
        <v>175</v>
      </c>
      <c r="D5001" t="s">
        <v>116</v>
      </c>
      <c r="E5001" t="s">
        <v>117</v>
      </c>
      <c r="F5001">
        <v>78.63</v>
      </c>
      <c r="G5001" t="s">
        <v>185</v>
      </c>
      <c r="H5001">
        <v>78.63</v>
      </c>
      <c r="I5001">
        <v>-690</v>
      </c>
      <c r="J5001" s="10">
        <v>2123.619999999999</v>
      </c>
      <c r="K5001" s="10">
        <f>SUMIFS(F:F,D:D,DST_123_ÜRETİM_İHTİYAÇ_RAPORU_BURAK_YENI1309[[#This Row],[ALT_KOD]])-(SUMIFS(H:H,D:D,DST_123_ÜRETİM_İHTİYAÇ_RAPORU_BURAK_YENI1309[[#This Row],[ALT_KOD]])+AVERAGEIFS(I:I,D:D,DST_123_ÜRETİM_İHTİYAÇ_RAPORU_BURAK_YENI1309[[#This Row],[ALT_KOD]])+AVERAGEIFS(L:L,D:D,DST_123_ÜRETİM_İHTİYAÇ_RAPORU_BURAK_YENI1309[[#This Row],[ALT_KOD]]))</f>
        <v>1819.8699999999994</v>
      </c>
      <c r="L5001">
        <v>0</v>
      </c>
      <c r="M5001">
        <f>IF((DST_123_ÜRETİM_İHTİYAÇ_RAPORU_BURAK_YENI1309[[#This Row],[SATINALMA]]*DST_123_ÜRETİM_İHTİYAÇ_RAPORU_BURAK_YENI1309[[#This Row],[BIRIM_FIYATLAR]])&lt;1,VALUE("0"),DST_123_ÜRETİM_İHTİYAÇ_RAPORU_BURAK_YENI1309[[#This Row],[SATINALMA]]*DST_123_ÜRETİM_İHTİYAÇ_RAPORU_BURAK_YENI1309[[#This Row],[BIRIM_FIYATLAR]])</f>
        <v>172651.06689999995</v>
      </c>
      <c r="N5001">
        <v>94.87</v>
      </c>
      <c r="O5001" t="s">
        <v>490</v>
      </c>
      <c r="P5001">
        <v>7459.6280999999999</v>
      </c>
      <c r="Q5001" t="s">
        <v>183</v>
      </c>
    </row>
    <row r="5002" spans="1:17" x14ac:dyDescent="0.25">
      <c r="A5002" t="s">
        <v>1100</v>
      </c>
      <c r="B5002" t="s">
        <v>1058</v>
      </c>
      <c r="C5002" t="s">
        <v>175</v>
      </c>
      <c r="D5002" t="s">
        <v>116</v>
      </c>
      <c r="E5002" t="s">
        <v>117</v>
      </c>
      <c r="F5002">
        <v>68.959999999999994</v>
      </c>
      <c r="G5002" t="s">
        <v>185</v>
      </c>
      <c r="H5002">
        <v>68.959999999999994</v>
      </c>
      <c r="I5002">
        <v>-690</v>
      </c>
      <c r="J5002" s="10">
        <v>2123.619999999999</v>
      </c>
      <c r="K5002" s="10">
        <f>SUMIFS(F:F,D:D,DST_123_ÜRETİM_İHTİYAÇ_RAPORU_BURAK_YENI1309[[#This Row],[ALT_KOD]])-(SUMIFS(H:H,D:D,DST_123_ÜRETİM_İHTİYAÇ_RAPORU_BURAK_YENI1309[[#This Row],[ALT_KOD]])+AVERAGEIFS(I:I,D:D,DST_123_ÜRETİM_İHTİYAÇ_RAPORU_BURAK_YENI1309[[#This Row],[ALT_KOD]])+AVERAGEIFS(L:L,D:D,DST_123_ÜRETİM_İHTİYAÇ_RAPORU_BURAK_YENI1309[[#This Row],[ALT_KOD]]))</f>
        <v>1819.8699999999994</v>
      </c>
      <c r="L5002">
        <v>0</v>
      </c>
      <c r="M5002">
        <f>IF((DST_123_ÜRETİM_İHTİYAÇ_RAPORU_BURAK_YENI1309[[#This Row],[SATINALMA]]*DST_123_ÜRETİM_İHTİYAÇ_RAPORU_BURAK_YENI1309[[#This Row],[BIRIM_FIYATLAR]])&lt;1,VALUE("0"),DST_123_ÜRETİM_İHTİYAÇ_RAPORU_BURAK_YENI1309[[#This Row],[SATINALMA]]*DST_123_ÜRETİM_İHTİYAÇ_RAPORU_BURAK_YENI1309[[#This Row],[BIRIM_FIYATLAR]])</f>
        <v>172651.06689999995</v>
      </c>
      <c r="N5002">
        <v>94.87</v>
      </c>
      <c r="O5002" t="s">
        <v>490</v>
      </c>
      <c r="P5002">
        <v>6542.2352000000001</v>
      </c>
      <c r="Q5002" t="s">
        <v>183</v>
      </c>
    </row>
    <row r="5003" spans="1:17" x14ac:dyDescent="0.25">
      <c r="A5003" t="s">
        <v>1100</v>
      </c>
      <c r="B5003" t="s">
        <v>1058</v>
      </c>
      <c r="C5003" t="s">
        <v>175</v>
      </c>
      <c r="D5003" t="s">
        <v>60</v>
      </c>
      <c r="E5003" t="s">
        <v>61</v>
      </c>
      <c r="F5003">
        <v>1</v>
      </c>
      <c r="G5003" t="s">
        <v>176</v>
      </c>
      <c r="H5003">
        <v>1</v>
      </c>
      <c r="I5003">
        <v>17</v>
      </c>
      <c r="J5003" s="10">
        <v>11</v>
      </c>
      <c r="K5003" s="10">
        <f>SUMIFS(F:F,D:D,DST_123_ÜRETİM_İHTİYAÇ_RAPORU_BURAK_YENI1309[[#This Row],[ALT_KOD]])-(SUMIFS(H:H,D:D,DST_123_ÜRETİM_İHTİYAÇ_RAPORU_BURAK_YENI1309[[#This Row],[ALT_KOD]])+AVERAGEIFS(I:I,D:D,DST_123_ÜRETİM_İHTİYAÇ_RAPORU_BURAK_YENI1309[[#This Row],[ALT_KOD]])+AVERAGEIFS(L:L,D:D,DST_123_ÜRETİM_İHTİYAÇ_RAPORU_BURAK_YENI1309[[#This Row],[ALT_KOD]]))</f>
        <v>-5</v>
      </c>
      <c r="L5003">
        <v>0</v>
      </c>
      <c r="M5003">
        <f>IF((DST_123_ÜRETİM_İHTİYAÇ_RAPORU_BURAK_YENI1309[[#This Row],[SATINALMA]]*DST_123_ÜRETİM_İHTİYAÇ_RAPORU_BURAK_YENI1309[[#This Row],[BIRIM_FIYATLAR]])&lt;1,VALUE("0"),DST_123_ÜRETİM_İHTİYAÇ_RAPORU_BURAK_YENI1309[[#This Row],[SATINALMA]]*DST_123_ÜRETİM_İHTİYAÇ_RAPORU_BURAK_YENI1309[[#This Row],[BIRIM_FIYATLAR]])</f>
        <v>0</v>
      </c>
      <c r="N5003">
        <v>115.6</v>
      </c>
      <c r="O5003" t="s">
        <v>826</v>
      </c>
      <c r="P5003">
        <v>115.6</v>
      </c>
      <c r="Q5003" t="s">
        <v>221</v>
      </c>
    </row>
    <row r="5004" spans="1:17" x14ac:dyDescent="0.25">
      <c r="A5004" t="s">
        <v>1060</v>
      </c>
      <c r="B5004" t="s">
        <v>1061</v>
      </c>
      <c r="C5004" t="s">
        <v>175</v>
      </c>
      <c r="D5004" t="s">
        <v>60</v>
      </c>
      <c r="E5004" t="s">
        <v>61</v>
      </c>
      <c r="F5004">
        <v>1</v>
      </c>
      <c r="G5004" t="s">
        <v>176</v>
      </c>
      <c r="H5004">
        <v>1</v>
      </c>
      <c r="I5004">
        <v>17</v>
      </c>
      <c r="J5004" s="10">
        <v>11</v>
      </c>
      <c r="K5004" s="10">
        <f>SUMIFS(F:F,D:D,DST_123_ÜRETİM_İHTİYAÇ_RAPORU_BURAK_YENI1309[[#This Row],[ALT_KOD]])-(SUMIFS(H:H,D:D,DST_123_ÜRETİM_İHTİYAÇ_RAPORU_BURAK_YENI1309[[#This Row],[ALT_KOD]])+AVERAGEIFS(I:I,D:D,DST_123_ÜRETİM_İHTİYAÇ_RAPORU_BURAK_YENI1309[[#This Row],[ALT_KOD]])+AVERAGEIFS(L:L,D:D,DST_123_ÜRETİM_İHTİYAÇ_RAPORU_BURAK_YENI1309[[#This Row],[ALT_KOD]]))</f>
        <v>-5</v>
      </c>
      <c r="L5004">
        <v>0</v>
      </c>
      <c r="M5004">
        <f>IF((DST_123_ÜRETİM_İHTİYAÇ_RAPORU_BURAK_YENI1309[[#This Row],[SATINALMA]]*DST_123_ÜRETİM_İHTİYAÇ_RAPORU_BURAK_YENI1309[[#This Row],[BIRIM_FIYATLAR]])&lt;1,VALUE("0"),DST_123_ÜRETİM_İHTİYAÇ_RAPORU_BURAK_YENI1309[[#This Row],[SATINALMA]]*DST_123_ÜRETİM_İHTİYAÇ_RAPORU_BURAK_YENI1309[[#This Row],[BIRIM_FIYATLAR]])</f>
        <v>0</v>
      </c>
      <c r="N5004">
        <v>115.6</v>
      </c>
      <c r="O5004" t="s">
        <v>826</v>
      </c>
      <c r="P5004">
        <v>115.6</v>
      </c>
      <c r="Q5004" t="s">
        <v>221</v>
      </c>
    </row>
    <row r="5005" spans="1:17" x14ac:dyDescent="0.25">
      <c r="A5005" t="s">
        <v>1100</v>
      </c>
      <c r="B5005" t="s">
        <v>1058</v>
      </c>
      <c r="C5005" t="s">
        <v>175</v>
      </c>
      <c r="D5005" t="s">
        <v>52</v>
      </c>
      <c r="E5005" t="s">
        <v>53</v>
      </c>
      <c r="F5005">
        <v>1</v>
      </c>
      <c r="G5005" t="s">
        <v>176</v>
      </c>
      <c r="H5005">
        <v>1</v>
      </c>
      <c r="I5005">
        <v>5</v>
      </c>
      <c r="J5005" s="10">
        <v>10</v>
      </c>
      <c r="K5005" s="10">
        <f>SUMIFS(F:F,D:D,DST_123_ÜRETİM_İHTİYAÇ_RAPORU_BURAK_YENI1309[[#This Row],[ALT_KOD]])-(SUMIFS(H:H,D:D,DST_123_ÜRETİM_İHTİYAÇ_RAPORU_BURAK_YENI1309[[#This Row],[ALT_KOD]])+AVERAGEIFS(I:I,D:D,DST_123_ÜRETİM_İHTİYAÇ_RAPORU_BURAK_YENI1309[[#This Row],[ALT_KOD]])+AVERAGEIFS(L:L,D:D,DST_123_ÜRETİM_İHTİYAÇ_RAPORU_BURAK_YENI1309[[#This Row],[ALT_KOD]]))</f>
        <v>7</v>
      </c>
      <c r="L5005">
        <v>0</v>
      </c>
      <c r="M5005">
        <f>IF((DST_123_ÜRETİM_İHTİYAÇ_RAPORU_BURAK_YENI1309[[#This Row],[SATINALMA]]*DST_123_ÜRETİM_İHTİYAÇ_RAPORU_BURAK_YENI1309[[#This Row],[BIRIM_FIYATLAR]])&lt;1,VALUE("0"),DST_123_ÜRETİM_İHTİYAÇ_RAPORU_BURAK_YENI1309[[#This Row],[SATINALMA]]*DST_123_ÜRETİM_İHTİYAÇ_RAPORU_BURAK_YENI1309[[#This Row],[BIRIM_FIYATLAR]])</f>
        <v>85641.010000000009</v>
      </c>
      <c r="N5005">
        <v>12234.43</v>
      </c>
      <c r="O5005" t="s">
        <v>215</v>
      </c>
      <c r="P5005">
        <v>12234.43</v>
      </c>
      <c r="Q5005" t="s">
        <v>221</v>
      </c>
    </row>
    <row r="5006" spans="1:17" x14ac:dyDescent="0.25">
      <c r="A5006" t="s">
        <v>1101</v>
      </c>
      <c r="B5006" t="s">
        <v>1102</v>
      </c>
      <c r="C5006" t="s">
        <v>175</v>
      </c>
      <c r="D5006" t="s">
        <v>508</v>
      </c>
      <c r="E5006" t="s">
        <v>509</v>
      </c>
      <c r="F5006">
        <v>1</v>
      </c>
      <c r="G5006" t="s">
        <v>176</v>
      </c>
      <c r="H5006">
        <v>1</v>
      </c>
      <c r="I5006">
        <v>4</v>
      </c>
      <c r="J5006" s="10">
        <v>10</v>
      </c>
      <c r="K5006" s="10">
        <f>SUMIFS(F:F,D:D,DST_123_ÜRETİM_İHTİYAÇ_RAPORU_BURAK_YENI1309[[#This Row],[ALT_KOD]])-(SUMIFS(H:H,D:D,DST_123_ÜRETİM_İHTİYAÇ_RAPORU_BURAK_YENI1309[[#This Row],[ALT_KOD]])+AVERAGEIFS(I:I,D:D,DST_123_ÜRETİM_İHTİYAÇ_RAPORU_BURAK_YENI1309[[#This Row],[ALT_KOD]])+AVERAGEIFS(L:L,D:D,DST_123_ÜRETİM_İHTİYAÇ_RAPORU_BURAK_YENI1309[[#This Row],[ALT_KOD]]))</f>
        <v>1</v>
      </c>
      <c r="L5006">
        <v>7</v>
      </c>
      <c r="M5006">
        <f>IF((DST_123_ÜRETİM_İHTİYAÇ_RAPORU_BURAK_YENI1309[[#This Row],[SATINALMA]]*DST_123_ÜRETİM_İHTİYAÇ_RAPORU_BURAK_YENI1309[[#This Row],[BIRIM_FIYATLAR]])&lt;1,VALUE("0"),DST_123_ÜRETİM_İHTİYAÇ_RAPORU_BURAK_YENI1309[[#This Row],[SATINALMA]]*DST_123_ÜRETİM_İHTİYAÇ_RAPORU_BURAK_YENI1309[[#This Row],[BIRIM_FIYATLAR]])</f>
        <v>1535.25</v>
      </c>
      <c r="N5006">
        <v>1535.25</v>
      </c>
      <c r="O5006" t="s">
        <v>507</v>
      </c>
      <c r="P5006">
        <v>1535.25</v>
      </c>
      <c r="Q5006" t="s">
        <v>221</v>
      </c>
    </row>
    <row r="5007" spans="1:17" x14ac:dyDescent="0.25">
      <c r="A5007" t="s">
        <v>1057</v>
      </c>
      <c r="B5007" t="s">
        <v>1058</v>
      </c>
      <c r="C5007" t="s">
        <v>175</v>
      </c>
      <c r="D5007" t="s">
        <v>1084</v>
      </c>
      <c r="E5007" t="s">
        <v>1085</v>
      </c>
      <c r="F5007">
        <v>2</v>
      </c>
      <c r="G5007" t="s">
        <v>176</v>
      </c>
      <c r="H5007">
        <v>2</v>
      </c>
      <c r="I5007">
        <v>12</v>
      </c>
      <c r="J5007" s="10">
        <v>18</v>
      </c>
      <c r="K5007" s="10">
        <f>SUMIFS(F:F,D:D,DST_123_ÜRETİM_İHTİYAÇ_RAPORU_BURAK_YENI1309[[#This Row],[ALT_KOD]])-(SUMIFS(H:H,D:D,DST_123_ÜRETİM_İHTİYAÇ_RAPORU_BURAK_YENI1309[[#This Row],[ALT_KOD]])+AVERAGEIFS(I:I,D:D,DST_123_ÜRETİM_İHTİYAÇ_RAPORU_BURAK_YENI1309[[#This Row],[ALT_KOD]])+AVERAGEIFS(L:L,D:D,DST_123_ÜRETİM_İHTİYAÇ_RAPORU_BURAK_YENI1309[[#This Row],[ALT_KOD]]))</f>
        <v>-14</v>
      </c>
      <c r="L5007">
        <v>20</v>
      </c>
      <c r="M5007">
        <f>IF((DST_123_ÜRETİM_İHTİYAÇ_RAPORU_BURAK_YENI1309[[#This Row],[SATINALMA]]*DST_123_ÜRETİM_İHTİYAÇ_RAPORU_BURAK_YENI1309[[#This Row],[BIRIM_FIYATLAR]])&lt;1,VALUE("0"),DST_123_ÜRETİM_İHTİYAÇ_RAPORU_BURAK_YENI1309[[#This Row],[SATINALMA]]*DST_123_ÜRETİM_İHTİYAÇ_RAPORU_BURAK_YENI1309[[#This Row],[BIRIM_FIYATLAR]])</f>
        <v>0</v>
      </c>
      <c r="N5007">
        <v>194</v>
      </c>
      <c r="O5007" t="s">
        <v>217</v>
      </c>
      <c r="P5007">
        <v>388</v>
      </c>
      <c r="Q5007" t="s">
        <v>177</v>
      </c>
    </row>
    <row r="5008" spans="1:17" x14ac:dyDescent="0.25">
      <c r="A5008" t="s">
        <v>1097</v>
      </c>
      <c r="B5008" t="s">
        <v>1055</v>
      </c>
      <c r="C5008" t="s">
        <v>175</v>
      </c>
      <c r="D5008" t="s">
        <v>1084</v>
      </c>
      <c r="E5008" t="s">
        <v>1085</v>
      </c>
      <c r="F5008">
        <v>2</v>
      </c>
      <c r="G5008" t="s">
        <v>176</v>
      </c>
      <c r="H5008">
        <v>2</v>
      </c>
      <c r="I5008">
        <v>12</v>
      </c>
      <c r="J5008" s="10">
        <v>18</v>
      </c>
      <c r="K5008" s="10">
        <f>SUMIFS(F:F,D:D,DST_123_ÜRETİM_İHTİYAÇ_RAPORU_BURAK_YENI1309[[#This Row],[ALT_KOD]])-(SUMIFS(H:H,D:D,DST_123_ÜRETİM_İHTİYAÇ_RAPORU_BURAK_YENI1309[[#This Row],[ALT_KOD]])+AVERAGEIFS(I:I,D:D,DST_123_ÜRETİM_İHTİYAÇ_RAPORU_BURAK_YENI1309[[#This Row],[ALT_KOD]])+AVERAGEIFS(L:L,D:D,DST_123_ÜRETİM_İHTİYAÇ_RAPORU_BURAK_YENI1309[[#This Row],[ALT_KOD]]))</f>
        <v>-14</v>
      </c>
      <c r="L5008">
        <v>20</v>
      </c>
      <c r="M5008">
        <f>IF((DST_123_ÜRETİM_İHTİYAÇ_RAPORU_BURAK_YENI1309[[#This Row],[SATINALMA]]*DST_123_ÜRETİM_İHTİYAÇ_RAPORU_BURAK_YENI1309[[#This Row],[BIRIM_FIYATLAR]])&lt;1,VALUE("0"),DST_123_ÜRETİM_İHTİYAÇ_RAPORU_BURAK_YENI1309[[#This Row],[SATINALMA]]*DST_123_ÜRETİM_İHTİYAÇ_RAPORU_BURAK_YENI1309[[#This Row],[BIRIM_FIYATLAR]])</f>
        <v>0</v>
      </c>
      <c r="N5008">
        <v>194</v>
      </c>
      <c r="O5008" t="s">
        <v>217</v>
      </c>
      <c r="P5008">
        <v>388</v>
      </c>
      <c r="Q5008" t="s">
        <v>177</v>
      </c>
    </row>
    <row r="5009" spans="1:17" x14ac:dyDescent="0.25">
      <c r="A5009" t="s">
        <v>1059</v>
      </c>
      <c r="B5009" t="s">
        <v>1058</v>
      </c>
      <c r="C5009" t="s">
        <v>175</v>
      </c>
      <c r="D5009" t="s">
        <v>546</v>
      </c>
      <c r="E5009" t="s">
        <v>547</v>
      </c>
      <c r="F5009">
        <v>2</v>
      </c>
      <c r="G5009" t="s">
        <v>176</v>
      </c>
      <c r="H5009">
        <v>2</v>
      </c>
      <c r="I5009">
        <v>106</v>
      </c>
      <c r="J5009" s="10">
        <v>9</v>
      </c>
      <c r="K5009" s="10">
        <f>SUMIFS(F:F,D:D,DST_123_ÜRETİM_İHTİYAÇ_RAPORU_BURAK_YENI1309[[#This Row],[ALT_KOD]])-(SUMIFS(H:H,D:D,DST_123_ÜRETİM_İHTİYAÇ_RAPORU_BURAK_YENI1309[[#This Row],[ALT_KOD]])+AVERAGEIFS(I:I,D:D,DST_123_ÜRETİM_İHTİYAÇ_RAPORU_BURAK_YENI1309[[#This Row],[ALT_KOD]])+AVERAGEIFS(L:L,D:D,DST_123_ÜRETİM_İHTİYAÇ_RAPORU_BURAK_YENI1309[[#This Row],[ALT_KOD]]))</f>
        <v>-106</v>
      </c>
      <c r="L5009">
        <v>0</v>
      </c>
      <c r="M5009">
        <f>IF((DST_123_ÜRETİM_İHTİYAÇ_RAPORU_BURAK_YENI1309[[#This Row],[SATINALMA]]*DST_123_ÜRETİM_İHTİYAÇ_RAPORU_BURAK_YENI1309[[#This Row],[BIRIM_FIYATLAR]])&lt;1,VALUE("0"),DST_123_ÜRETİM_İHTİYAÇ_RAPORU_BURAK_YENI1309[[#This Row],[SATINALMA]]*DST_123_ÜRETİM_İHTİYAÇ_RAPORU_BURAK_YENI1309[[#This Row],[BIRIM_FIYATLAR]])</f>
        <v>0</v>
      </c>
      <c r="N5009">
        <v>90</v>
      </c>
      <c r="P5009">
        <v>180</v>
      </c>
      <c r="Q5009" t="s">
        <v>180</v>
      </c>
    </row>
    <row r="5010" spans="1:17" x14ac:dyDescent="0.25">
      <c r="A5010" t="s">
        <v>1059</v>
      </c>
      <c r="B5010" t="s">
        <v>1058</v>
      </c>
      <c r="C5010" t="s">
        <v>175</v>
      </c>
      <c r="D5010" t="s">
        <v>548</v>
      </c>
      <c r="E5010" t="s">
        <v>549</v>
      </c>
      <c r="F5010">
        <v>23</v>
      </c>
      <c r="G5010" t="s">
        <v>176</v>
      </c>
      <c r="H5010">
        <v>23</v>
      </c>
      <c r="I5010">
        <v>800</v>
      </c>
      <c r="J5010" s="10">
        <v>0</v>
      </c>
      <c r="K5010" s="10">
        <f>SUMIFS(F:F,D:D,DST_123_ÜRETİM_İHTİYAÇ_RAPORU_BURAK_YENI1309[[#This Row],[ALT_KOD]])-(SUMIFS(H:H,D:D,DST_123_ÜRETİM_İHTİYAÇ_RAPORU_BURAK_YENI1309[[#This Row],[ALT_KOD]])+AVERAGEIFS(I:I,D:D,DST_123_ÜRETİM_İHTİYAÇ_RAPORU_BURAK_YENI1309[[#This Row],[ALT_KOD]])+AVERAGEIFS(L:L,D:D,DST_123_ÜRETİM_İHTİYAÇ_RAPORU_BURAK_YENI1309[[#This Row],[ALT_KOD]]))</f>
        <v>-414</v>
      </c>
      <c r="L5010">
        <v>0</v>
      </c>
      <c r="M5010">
        <f>IF((DST_123_ÜRETİM_İHTİYAÇ_RAPORU_BURAK_YENI1309[[#This Row],[SATINALMA]]*DST_123_ÜRETİM_İHTİYAÇ_RAPORU_BURAK_YENI1309[[#This Row],[BIRIM_FIYATLAR]])&lt;1,VALUE("0"),DST_123_ÜRETİM_İHTİYAÇ_RAPORU_BURAK_YENI1309[[#This Row],[SATINALMA]]*DST_123_ÜRETİM_İHTİYAÇ_RAPORU_BURAK_YENI1309[[#This Row],[BIRIM_FIYATLAR]])</f>
        <v>0</v>
      </c>
      <c r="N5010">
        <v>13.75</v>
      </c>
      <c r="O5010" t="s">
        <v>628</v>
      </c>
      <c r="P5010">
        <v>316.25</v>
      </c>
      <c r="Q5010" t="s">
        <v>180</v>
      </c>
    </row>
    <row r="5011" spans="1:17" x14ac:dyDescent="0.25">
      <c r="A5011" t="s">
        <v>1097</v>
      </c>
      <c r="B5011" t="s">
        <v>1055</v>
      </c>
      <c r="C5011" t="s">
        <v>175</v>
      </c>
      <c r="D5011" t="s">
        <v>580</v>
      </c>
      <c r="E5011" t="s">
        <v>581</v>
      </c>
      <c r="F5011">
        <v>35.25</v>
      </c>
      <c r="G5011" t="s">
        <v>185</v>
      </c>
      <c r="H5011">
        <v>35.25</v>
      </c>
      <c r="I5011">
        <v>60</v>
      </c>
      <c r="J5011" s="10">
        <v>219.95999999999984</v>
      </c>
      <c r="K5011" s="10">
        <f>SUMIFS(F:F,D:D,DST_123_ÜRETİM_İHTİYAÇ_RAPORU_BURAK_YENI1309[[#This Row],[ALT_KOD]])-(SUMIFS(H:H,D:D,DST_123_ÜRETİM_İHTİYAÇ_RAPORU_BURAK_YENI1309[[#This Row],[ALT_KOD]])+AVERAGEIFS(I:I,D:D,DST_123_ÜRETİM_İHTİYAÇ_RAPORU_BURAK_YENI1309[[#This Row],[ALT_KOD]])+AVERAGEIFS(L:L,D:D,DST_123_ÜRETİM_İHTİYAÇ_RAPORU_BURAK_YENI1309[[#This Row],[ALT_KOD]]))</f>
        <v>143.41000000000003</v>
      </c>
      <c r="L5011">
        <v>0</v>
      </c>
      <c r="M5011">
        <f>IF((DST_123_ÜRETİM_İHTİYAÇ_RAPORU_BURAK_YENI1309[[#This Row],[SATINALMA]]*DST_123_ÜRETİM_İHTİYAÇ_RAPORU_BURAK_YENI1309[[#This Row],[BIRIM_FIYATLAR]])&lt;1,VALUE("0"),DST_123_ÜRETİM_İHTİYAÇ_RAPORU_BURAK_YENI1309[[#This Row],[SATINALMA]]*DST_123_ÜRETİM_İHTİYAÇ_RAPORU_BURAK_YENI1309[[#This Row],[BIRIM_FIYATLAR]])</f>
        <v>23533.581000000002</v>
      </c>
      <c r="N5011">
        <v>164.1</v>
      </c>
      <c r="O5011" t="s">
        <v>490</v>
      </c>
      <c r="P5011">
        <v>5784.5249999999996</v>
      </c>
      <c r="Q5011" t="s">
        <v>183</v>
      </c>
    </row>
    <row r="5012" spans="1:17" x14ac:dyDescent="0.25">
      <c r="A5012" t="s">
        <v>1146</v>
      </c>
      <c r="B5012" t="s">
        <v>1145</v>
      </c>
      <c r="C5012" t="s">
        <v>175</v>
      </c>
      <c r="D5012" t="s">
        <v>400</v>
      </c>
      <c r="E5012" t="s">
        <v>401</v>
      </c>
      <c r="F5012">
        <v>1</v>
      </c>
      <c r="G5012" t="s">
        <v>176</v>
      </c>
      <c r="H5012">
        <v>0</v>
      </c>
      <c r="I5012">
        <v>27</v>
      </c>
      <c r="J5012" s="10">
        <v>14</v>
      </c>
      <c r="K5012" s="10">
        <f>SUMIFS(F:F,D:D,DST_123_ÜRETİM_İHTİYAÇ_RAPORU_BURAK_YENI1309[[#This Row],[ALT_KOD]])-(SUMIFS(H:H,D:D,DST_123_ÜRETİM_İHTİYAÇ_RAPORU_BURAK_YENI1309[[#This Row],[ALT_KOD]])+AVERAGEIFS(I:I,D:D,DST_123_ÜRETİM_İHTİYAÇ_RAPORU_BURAK_YENI1309[[#This Row],[ALT_KOD]])+AVERAGEIFS(L:L,D:D,DST_123_ÜRETİM_İHTİYAÇ_RAPORU_BURAK_YENI1309[[#This Row],[ALT_KOD]]))</f>
        <v>-18</v>
      </c>
      <c r="L5012">
        <v>0</v>
      </c>
      <c r="M5012">
        <f>IF((DST_123_ÜRETİM_İHTİYAÇ_RAPORU_BURAK_YENI1309[[#This Row],[SATINALMA]]*DST_123_ÜRETİM_İHTİYAÇ_RAPORU_BURAK_YENI1309[[#This Row],[BIRIM_FIYATLAR]])&lt;1,VALUE("0"),DST_123_ÜRETİM_İHTİYAÇ_RAPORU_BURAK_YENI1309[[#This Row],[SATINALMA]]*DST_123_ÜRETİM_İHTİYAÇ_RAPORU_BURAK_YENI1309[[#This Row],[BIRIM_FIYATLAR]])</f>
        <v>0</v>
      </c>
      <c r="N5012">
        <v>15</v>
      </c>
      <c r="O5012" t="s">
        <v>220</v>
      </c>
      <c r="P5012">
        <v>15</v>
      </c>
      <c r="Q5012" t="s">
        <v>221</v>
      </c>
    </row>
    <row r="5013" spans="1:17" x14ac:dyDescent="0.25">
      <c r="A5013" t="s">
        <v>1057</v>
      </c>
      <c r="B5013" t="s">
        <v>1058</v>
      </c>
      <c r="C5013" t="s">
        <v>175</v>
      </c>
      <c r="D5013" t="s">
        <v>546</v>
      </c>
      <c r="E5013" t="s">
        <v>547</v>
      </c>
      <c r="F5013">
        <v>2</v>
      </c>
      <c r="G5013" t="s">
        <v>176</v>
      </c>
      <c r="H5013">
        <v>2</v>
      </c>
      <c r="I5013">
        <v>106</v>
      </c>
      <c r="J5013" s="10">
        <v>9</v>
      </c>
      <c r="K5013" s="10">
        <f>SUMIFS(F:F,D:D,DST_123_ÜRETİM_İHTİYAÇ_RAPORU_BURAK_YENI1309[[#This Row],[ALT_KOD]])-(SUMIFS(H:H,D:D,DST_123_ÜRETİM_İHTİYAÇ_RAPORU_BURAK_YENI1309[[#This Row],[ALT_KOD]])+AVERAGEIFS(I:I,D:D,DST_123_ÜRETİM_İHTİYAÇ_RAPORU_BURAK_YENI1309[[#This Row],[ALT_KOD]])+AVERAGEIFS(L:L,D:D,DST_123_ÜRETİM_İHTİYAÇ_RAPORU_BURAK_YENI1309[[#This Row],[ALT_KOD]]))</f>
        <v>-106</v>
      </c>
      <c r="L5013">
        <v>0</v>
      </c>
      <c r="M5013">
        <f>IF((DST_123_ÜRETİM_İHTİYAÇ_RAPORU_BURAK_YENI1309[[#This Row],[SATINALMA]]*DST_123_ÜRETİM_İHTİYAÇ_RAPORU_BURAK_YENI1309[[#This Row],[BIRIM_FIYATLAR]])&lt;1,VALUE("0"),DST_123_ÜRETİM_İHTİYAÇ_RAPORU_BURAK_YENI1309[[#This Row],[SATINALMA]]*DST_123_ÜRETİM_İHTİYAÇ_RAPORU_BURAK_YENI1309[[#This Row],[BIRIM_FIYATLAR]])</f>
        <v>0</v>
      </c>
      <c r="N5013">
        <v>90</v>
      </c>
      <c r="P5013">
        <v>180</v>
      </c>
      <c r="Q5013" t="s">
        <v>180</v>
      </c>
    </row>
    <row r="5014" spans="1:17" x14ac:dyDescent="0.25">
      <c r="A5014" t="s">
        <v>1064</v>
      </c>
      <c r="B5014" t="s">
        <v>1055</v>
      </c>
      <c r="C5014" t="s">
        <v>175</v>
      </c>
      <c r="D5014" t="s">
        <v>548</v>
      </c>
      <c r="E5014" t="s">
        <v>549</v>
      </c>
      <c r="F5014">
        <v>37</v>
      </c>
      <c r="G5014" t="s">
        <v>176</v>
      </c>
      <c r="H5014">
        <v>37</v>
      </c>
      <c r="I5014">
        <v>800</v>
      </c>
      <c r="J5014" s="10">
        <v>0</v>
      </c>
      <c r="K5014" s="10">
        <f>SUMIFS(F:F,D:D,DST_123_ÜRETİM_İHTİYAÇ_RAPORU_BURAK_YENI1309[[#This Row],[ALT_KOD]])-(SUMIFS(H:H,D:D,DST_123_ÜRETİM_İHTİYAÇ_RAPORU_BURAK_YENI1309[[#This Row],[ALT_KOD]])+AVERAGEIFS(I:I,D:D,DST_123_ÜRETİM_İHTİYAÇ_RAPORU_BURAK_YENI1309[[#This Row],[ALT_KOD]])+AVERAGEIFS(L:L,D:D,DST_123_ÜRETİM_İHTİYAÇ_RAPORU_BURAK_YENI1309[[#This Row],[ALT_KOD]]))</f>
        <v>-414</v>
      </c>
      <c r="L5014">
        <v>0</v>
      </c>
      <c r="M5014">
        <f>IF((DST_123_ÜRETİM_İHTİYAÇ_RAPORU_BURAK_YENI1309[[#This Row],[SATINALMA]]*DST_123_ÜRETİM_İHTİYAÇ_RAPORU_BURAK_YENI1309[[#This Row],[BIRIM_FIYATLAR]])&lt;1,VALUE("0"),DST_123_ÜRETİM_İHTİYAÇ_RAPORU_BURAK_YENI1309[[#This Row],[SATINALMA]]*DST_123_ÜRETİM_İHTİYAÇ_RAPORU_BURAK_YENI1309[[#This Row],[BIRIM_FIYATLAR]])</f>
        <v>0</v>
      </c>
      <c r="N5014">
        <v>13.75</v>
      </c>
      <c r="O5014" t="s">
        <v>628</v>
      </c>
      <c r="P5014">
        <v>508.75</v>
      </c>
      <c r="Q5014" t="s">
        <v>180</v>
      </c>
    </row>
    <row r="5015" spans="1:17" x14ac:dyDescent="0.25">
      <c r="A5015" t="s">
        <v>1146</v>
      </c>
      <c r="B5015" t="s">
        <v>1145</v>
      </c>
      <c r="C5015" t="s">
        <v>175</v>
      </c>
      <c r="D5015" t="s">
        <v>580</v>
      </c>
      <c r="E5015" t="s">
        <v>581</v>
      </c>
      <c r="F5015">
        <v>18.8</v>
      </c>
      <c r="G5015" t="s">
        <v>185</v>
      </c>
      <c r="H5015">
        <v>18.8</v>
      </c>
      <c r="I5015">
        <v>60</v>
      </c>
      <c r="J5015" s="10">
        <v>219.95999999999984</v>
      </c>
      <c r="K5015" s="10">
        <f>SUMIFS(F:F,D:D,DST_123_ÜRETİM_İHTİYAÇ_RAPORU_BURAK_YENI1309[[#This Row],[ALT_KOD]])-(SUMIFS(H:H,D:D,DST_123_ÜRETİM_İHTİYAÇ_RAPORU_BURAK_YENI1309[[#This Row],[ALT_KOD]])+AVERAGEIFS(I:I,D:D,DST_123_ÜRETİM_İHTİYAÇ_RAPORU_BURAK_YENI1309[[#This Row],[ALT_KOD]])+AVERAGEIFS(L:L,D:D,DST_123_ÜRETİM_İHTİYAÇ_RAPORU_BURAK_YENI1309[[#This Row],[ALT_KOD]]))</f>
        <v>143.41000000000003</v>
      </c>
      <c r="L5015">
        <v>0</v>
      </c>
      <c r="M5015">
        <f>IF((DST_123_ÜRETİM_İHTİYAÇ_RAPORU_BURAK_YENI1309[[#This Row],[SATINALMA]]*DST_123_ÜRETİM_İHTİYAÇ_RAPORU_BURAK_YENI1309[[#This Row],[BIRIM_FIYATLAR]])&lt;1,VALUE("0"),DST_123_ÜRETİM_İHTİYAÇ_RAPORU_BURAK_YENI1309[[#This Row],[SATINALMA]]*DST_123_ÜRETİM_İHTİYAÇ_RAPORU_BURAK_YENI1309[[#This Row],[BIRIM_FIYATLAR]])</f>
        <v>23533.581000000002</v>
      </c>
      <c r="N5015">
        <v>164.1</v>
      </c>
      <c r="O5015" t="s">
        <v>490</v>
      </c>
      <c r="P5015">
        <v>3085.08</v>
      </c>
      <c r="Q5015" t="s">
        <v>183</v>
      </c>
    </row>
    <row r="5016" spans="1:17" x14ac:dyDescent="0.25">
      <c r="A5016" t="s">
        <v>1064</v>
      </c>
      <c r="B5016" t="s">
        <v>1055</v>
      </c>
      <c r="C5016" t="s">
        <v>175</v>
      </c>
      <c r="D5016" t="s">
        <v>400</v>
      </c>
      <c r="E5016" t="s">
        <v>401</v>
      </c>
      <c r="F5016">
        <v>2</v>
      </c>
      <c r="G5016" t="s">
        <v>176</v>
      </c>
      <c r="H5016">
        <v>2</v>
      </c>
      <c r="I5016">
        <v>27</v>
      </c>
      <c r="J5016" s="10">
        <v>14</v>
      </c>
      <c r="K5016" s="10">
        <f>SUMIFS(F:F,D:D,DST_123_ÜRETİM_İHTİYAÇ_RAPORU_BURAK_YENI1309[[#This Row],[ALT_KOD]])-(SUMIFS(H:H,D:D,DST_123_ÜRETİM_İHTİYAÇ_RAPORU_BURAK_YENI1309[[#This Row],[ALT_KOD]])+AVERAGEIFS(I:I,D:D,DST_123_ÜRETİM_İHTİYAÇ_RAPORU_BURAK_YENI1309[[#This Row],[ALT_KOD]])+AVERAGEIFS(L:L,D:D,DST_123_ÜRETİM_İHTİYAÇ_RAPORU_BURAK_YENI1309[[#This Row],[ALT_KOD]]))</f>
        <v>-18</v>
      </c>
      <c r="L5016">
        <v>0</v>
      </c>
      <c r="M5016">
        <f>IF((DST_123_ÜRETİM_İHTİYAÇ_RAPORU_BURAK_YENI1309[[#This Row],[SATINALMA]]*DST_123_ÜRETİM_İHTİYAÇ_RAPORU_BURAK_YENI1309[[#This Row],[BIRIM_FIYATLAR]])&lt;1,VALUE("0"),DST_123_ÜRETİM_İHTİYAÇ_RAPORU_BURAK_YENI1309[[#This Row],[SATINALMA]]*DST_123_ÜRETİM_İHTİYAÇ_RAPORU_BURAK_YENI1309[[#This Row],[BIRIM_FIYATLAR]])</f>
        <v>0</v>
      </c>
      <c r="N5016">
        <v>15</v>
      </c>
      <c r="O5016" t="s">
        <v>220</v>
      </c>
      <c r="P5016">
        <v>30</v>
      </c>
      <c r="Q5016" t="s">
        <v>221</v>
      </c>
    </row>
    <row r="5017" spans="1:17" x14ac:dyDescent="0.25">
      <c r="A5017" t="s">
        <v>1100</v>
      </c>
      <c r="B5017" t="s">
        <v>1058</v>
      </c>
      <c r="C5017" t="s">
        <v>175</v>
      </c>
      <c r="D5017" t="s">
        <v>699</v>
      </c>
      <c r="E5017" t="s">
        <v>700</v>
      </c>
      <c r="F5017">
        <v>2</v>
      </c>
      <c r="G5017" t="s">
        <v>176</v>
      </c>
      <c r="H5017">
        <v>2</v>
      </c>
      <c r="I5017">
        <v>135</v>
      </c>
      <c r="J5017" s="10">
        <v>7</v>
      </c>
      <c r="K5017" s="10">
        <f>SUMIFS(F:F,D:D,DST_123_ÜRETİM_İHTİYAÇ_RAPORU_BURAK_YENI1309[[#This Row],[ALT_KOD]])-(SUMIFS(H:H,D:D,DST_123_ÜRETİM_İHTİYAÇ_RAPORU_BURAK_YENI1309[[#This Row],[ALT_KOD]])+AVERAGEIFS(I:I,D:D,DST_123_ÜRETİM_İHTİYAÇ_RAPORU_BURAK_YENI1309[[#This Row],[ALT_KOD]])+AVERAGEIFS(L:L,D:D,DST_123_ÜRETİM_İHTİYAÇ_RAPORU_BURAK_YENI1309[[#This Row],[ALT_KOD]]))</f>
        <v>-119</v>
      </c>
      <c r="L5017">
        <v>0</v>
      </c>
      <c r="M5017">
        <f>IF((DST_123_ÜRETİM_İHTİYAÇ_RAPORU_BURAK_YENI1309[[#This Row],[SATINALMA]]*DST_123_ÜRETİM_İHTİYAÇ_RAPORU_BURAK_YENI1309[[#This Row],[BIRIM_FIYATLAR]])&lt;1,VALUE("0"),DST_123_ÜRETİM_İHTİYAÇ_RAPORU_BURAK_YENI1309[[#This Row],[SATINALMA]]*DST_123_ÜRETİM_İHTİYAÇ_RAPORU_BURAK_YENI1309[[#This Row],[BIRIM_FIYATLAR]])</f>
        <v>0</v>
      </c>
      <c r="N5017">
        <v>39.6</v>
      </c>
      <c r="O5017" t="s">
        <v>220</v>
      </c>
      <c r="P5017">
        <v>79.2</v>
      </c>
      <c r="Q5017" t="s">
        <v>221</v>
      </c>
    </row>
    <row r="5018" spans="1:17" x14ac:dyDescent="0.25">
      <c r="A5018" t="s">
        <v>1064</v>
      </c>
      <c r="B5018" t="s">
        <v>1055</v>
      </c>
      <c r="C5018" t="s">
        <v>175</v>
      </c>
      <c r="D5018" t="s">
        <v>699</v>
      </c>
      <c r="E5018" t="s">
        <v>700</v>
      </c>
      <c r="F5018">
        <v>1</v>
      </c>
      <c r="G5018" t="s">
        <v>176</v>
      </c>
      <c r="H5018">
        <v>1</v>
      </c>
      <c r="I5018">
        <v>135</v>
      </c>
      <c r="J5018" s="10">
        <v>7</v>
      </c>
      <c r="K5018" s="10">
        <f>SUMIFS(F:F,D:D,DST_123_ÜRETİM_İHTİYAÇ_RAPORU_BURAK_YENI1309[[#This Row],[ALT_KOD]])-(SUMIFS(H:H,D:D,DST_123_ÜRETİM_İHTİYAÇ_RAPORU_BURAK_YENI1309[[#This Row],[ALT_KOD]])+AVERAGEIFS(I:I,D:D,DST_123_ÜRETİM_İHTİYAÇ_RAPORU_BURAK_YENI1309[[#This Row],[ALT_KOD]])+AVERAGEIFS(L:L,D:D,DST_123_ÜRETİM_İHTİYAÇ_RAPORU_BURAK_YENI1309[[#This Row],[ALT_KOD]]))</f>
        <v>-119</v>
      </c>
      <c r="L5018">
        <v>0</v>
      </c>
      <c r="M5018">
        <f>IF((DST_123_ÜRETİM_İHTİYAÇ_RAPORU_BURAK_YENI1309[[#This Row],[SATINALMA]]*DST_123_ÜRETİM_İHTİYAÇ_RAPORU_BURAK_YENI1309[[#This Row],[BIRIM_FIYATLAR]])&lt;1,VALUE("0"),DST_123_ÜRETİM_İHTİYAÇ_RAPORU_BURAK_YENI1309[[#This Row],[SATINALMA]]*DST_123_ÜRETİM_İHTİYAÇ_RAPORU_BURAK_YENI1309[[#This Row],[BIRIM_FIYATLAR]])</f>
        <v>0</v>
      </c>
      <c r="N5018">
        <v>39.6</v>
      </c>
      <c r="O5018" t="s">
        <v>220</v>
      </c>
      <c r="P5018">
        <v>39.6</v>
      </c>
      <c r="Q5018" t="s">
        <v>221</v>
      </c>
    </row>
    <row r="5019" spans="1:17" x14ac:dyDescent="0.25">
      <c r="A5019" t="s">
        <v>1059</v>
      </c>
      <c r="B5019" t="s">
        <v>1058</v>
      </c>
      <c r="C5019" t="s">
        <v>175</v>
      </c>
      <c r="D5019" t="s">
        <v>929</v>
      </c>
      <c r="E5019" t="s">
        <v>930</v>
      </c>
      <c r="F5019">
        <v>3</v>
      </c>
      <c r="G5019" t="s">
        <v>176</v>
      </c>
      <c r="H5019">
        <v>3</v>
      </c>
      <c r="I5019">
        <v>16</v>
      </c>
      <c r="J5019" s="10">
        <v>9</v>
      </c>
      <c r="K5019" s="10">
        <f>SUMIFS(F:F,D:D,DST_123_ÜRETİM_İHTİYAÇ_RAPORU_BURAK_YENI1309[[#This Row],[ALT_KOD]])-(SUMIFS(H:H,D:D,DST_123_ÜRETİM_İHTİYAÇ_RAPORU_BURAK_YENI1309[[#This Row],[ALT_KOD]])+AVERAGEIFS(I:I,D:D,DST_123_ÜRETİM_İHTİYAÇ_RAPORU_BURAK_YENI1309[[#This Row],[ALT_KOD]])+AVERAGEIFS(L:L,D:D,DST_123_ÜRETİM_İHTİYAÇ_RAPORU_BURAK_YENI1309[[#This Row],[ALT_KOD]]))</f>
        <v>-16</v>
      </c>
      <c r="L5019">
        <v>0</v>
      </c>
      <c r="M5019">
        <f>IF((DST_123_ÜRETİM_İHTİYAÇ_RAPORU_BURAK_YENI1309[[#This Row],[SATINALMA]]*DST_123_ÜRETİM_İHTİYAÇ_RAPORU_BURAK_YENI1309[[#This Row],[BIRIM_FIYATLAR]])&lt;1,VALUE("0"),DST_123_ÜRETİM_İHTİYAÇ_RAPORU_BURAK_YENI1309[[#This Row],[SATINALMA]]*DST_123_ÜRETİM_İHTİYAÇ_RAPORU_BURAK_YENI1309[[#This Row],[BIRIM_FIYATLAR]])</f>
        <v>0</v>
      </c>
      <c r="N5019">
        <v>110</v>
      </c>
      <c r="O5019" t="s">
        <v>931</v>
      </c>
      <c r="P5019">
        <v>330</v>
      </c>
      <c r="Q5019" t="s">
        <v>177</v>
      </c>
    </row>
    <row r="5020" spans="1:17" x14ac:dyDescent="0.25">
      <c r="A5020" t="s">
        <v>1064</v>
      </c>
      <c r="B5020" t="s">
        <v>1055</v>
      </c>
      <c r="C5020" t="s">
        <v>175</v>
      </c>
      <c r="D5020" t="s">
        <v>689</v>
      </c>
      <c r="E5020" t="s">
        <v>690</v>
      </c>
      <c r="F5020">
        <v>1</v>
      </c>
      <c r="G5020" t="s">
        <v>176</v>
      </c>
      <c r="H5020">
        <v>1</v>
      </c>
      <c r="I5020">
        <v>23</v>
      </c>
      <c r="J5020" s="10">
        <v>5</v>
      </c>
      <c r="K5020" s="10">
        <f>SUMIFS(F:F,D:D,DST_123_ÜRETİM_İHTİYAÇ_RAPORU_BURAK_YENI1309[[#This Row],[ALT_KOD]])-(SUMIFS(H:H,D:D,DST_123_ÜRETİM_İHTİYAÇ_RAPORU_BURAK_YENI1309[[#This Row],[ALT_KOD]])+AVERAGEIFS(I:I,D:D,DST_123_ÜRETİM_İHTİYAÇ_RAPORU_BURAK_YENI1309[[#This Row],[ALT_KOD]])+AVERAGEIFS(L:L,D:D,DST_123_ÜRETİM_İHTİYAÇ_RAPORU_BURAK_YENI1309[[#This Row],[ALT_KOD]]))</f>
        <v>-12</v>
      </c>
      <c r="L5020">
        <v>0</v>
      </c>
      <c r="M5020">
        <f>IF((DST_123_ÜRETİM_İHTİYAÇ_RAPORU_BURAK_YENI1309[[#This Row],[SATINALMA]]*DST_123_ÜRETİM_İHTİYAÇ_RAPORU_BURAK_YENI1309[[#This Row],[BIRIM_FIYATLAR]])&lt;1,VALUE("0"),DST_123_ÜRETİM_İHTİYAÇ_RAPORU_BURAK_YENI1309[[#This Row],[SATINALMA]]*DST_123_ÜRETİM_İHTİYAÇ_RAPORU_BURAK_YENI1309[[#This Row],[BIRIM_FIYATLAR]])</f>
        <v>0</v>
      </c>
      <c r="N5020">
        <v>871.93</v>
      </c>
      <c r="O5020" t="s">
        <v>691</v>
      </c>
      <c r="P5020">
        <v>871.93</v>
      </c>
      <c r="Q5020" t="s">
        <v>177</v>
      </c>
    </row>
    <row r="5021" spans="1:17" x14ac:dyDescent="0.25">
      <c r="A5021" t="s">
        <v>1064</v>
      </c>
      <c r="B5021" t="s">
        <v>1055</v>
      </c>
      <c r="C5021" t="s">
        <v>175</v>
      </c>
      <c r="D5021" t="s">
        <v>1084</v>
      </c>
      <c r="E5021" t="s">
        <v>1085</v>
      </c>
      <c r="F5021">
        <v>2</v>
      </c>
      <c r="G5021" t="s">
        <v>176</v>
      </c>
      <c r="H5021">
        <v>2</v>
      </c>
      <c r="I5021">
        <v>12</v>
      </c>
      <c r="J5021" s="10">
        <v>18</v>
      </c>
      <c r="K5021" s="10">
        <f>SUMIFS(F:F,D:D,DST_123_ÜRETİM_İHTİYAÇ_RAPORU_BURAK_YENI1309[[#This Row],[ALT_KOD]])-(SUMIFS(H:H,D:D,DST_123_ÜRETİM_İHTİYAÇ_RAPORU_BURAK_YENI1309[[#This Row],[ALT_KOD]])+AVERAGEIFS(I:I,D:D,DST_123_ÜRETİM_İHTİYAÇ_RAPORU_BURAK_YENI1309[[#This Row],[ALT_KOD]])+AVERAGEIFS(L:L,D:D,DST_123_ÜRETİM_İHTİYAÇ_RAPORU_BURAK_YENI1309[[#This Row],[ALT_KOD]]))</f>
        <v>-14</v>
      </c>
      <c r="L5021">
        <v>20</v>
      </c>
      <c r="M5021">
        <f>IF((DST_123_ÜRETİM_İHTİYAÇ_RAPORU_BURAK_YENI1309[[#This Row],[SATINALMA]]*DST_123_ÜRETİM_İHTİYAÇ_RAPORU_BURAK_YENI1309[[#This Row],[BIRIM_FIYATLAR]])&lt;1,VALUE("0"),DST_123_ÜRETİM_İHTİYAÇ_RAPORU_BURAK_YENI1309[[#This Row],[SATINALMA]]*DST_123_ÜRETİM_İHTİYAÇ_RAPORU_BURAK_YENI1309[[#This Row],[BIRIM_FIYATLAR]])</f>
        <v>0</v>
      </c>
      <c r="N5021">
        <v>194</v>
      </c>
      <c r="O5021" t="s">
        <v>217</v>
      </c>
      <c r="P5021">
        <v>388</v>
      </c>
      <c r="Q5021" t="s">
        <v>177</v>
      </c>
    </row>
    <row r="5022" spans="1:17" x14ac:dyDescent="0.25">
      <c r="A5022" t="s">
        <v>1100</v>
      </c>
      <c r="B5022" t="s">
        <v>1058</v>
      </c>
      <c r="C5022" t="s">
        <v>175</v>
      </c>
      <c r="D5022" t="s">
        <v>276</v>
      </c>
      <c r="E5022" t="s">
        <v>315</v>
      </c>
      <c r="F5022">
        <v>1</v>
      </c>
      <c r="G5022" t="s">
        <v>176</v>
      </c>
      <c r="H5022">
        <v>1</v>
      </c>
      <c r="I5022">
        <v>28</v>
      </c>
      <c r="J5022" s="10">
        <v>4</v>
      </c>
      <c r="K5022" s="10">
        <f>SUMIFS(F:F,D:D,DST_123_ÜRETİM_İHTİYAÇ_RAPORU_BURAK_YENI1309[[#This Row],[ALT_KOD]])-(SUMIFS(H:H,D:D,DST_123_ÜRETİM_İHTİYAÇ_RAPORU_BURAK_YENI1309[[#This Row],[ALT_KOD]])+AVERAGEIFS(I:I,D:D,DST_123_ÜRETİM_İHTİYAÇ_RAPORU_BURAK_YENI1309[[#This Row],[ALT_KOD]])+AVERAGEIFS(L:L,D:D,DST_123_ÜRETİM_İHTİYAÇ_RAPORU_BURAK_YENI1309[[#This Row],[ALT_KOD]]))</f>
        <v>-21</v>
      </c>
      <c r="L5022">
        <v>0</v>
      </c>
      <c r="M5022">
        <f>IF((DST_123_ÜRETİM_İHTİYAÇ_RAPORU_BURAK_YENI1309[[#This Row],[SATINALMA]]*DST_123_ÜRETİM_İHTİYAÇ_RAPORU_BURAK_YENI1309[[#This Row],[BIRIM_FIYATLAR]])&lt;1,VALUE("0"),DST_123_ÜRETİM_İHTİYAÇ_RAPORU_BURAK_YENI1309[[#This Row],[SATINALMA]]*DST_123_ÜRETİM_İHTİYAÇ_RAPORU_BURAK_YENI1309[[#This Row],[BIRIM_FIYATLAR]])</f>
        <v>0</v>
      </c>
      <c r="N5022">
        <v>290.73</v>
      </c>
      <c r="O5022" t="s">
        <v>636</v>
      </c>
      <c r="P5022">
        <v>290.73</v>
      </c>
      <c r="Q5022" t="s">
        <v>178</v>
      </c>
    </row>
    <row r="5023" spans="1:17" x14ac:dyDescent="0.25">
      <c r="A5023" t="s">
        <v>1144</v>
      </c>
      <c r="B5023" t="s">
        <v>1145</v>
      </c>
      <c r="C5023" t="s">
        <v>175</v>
      </c>
      <c r="D5023" t="s">
        <v>276</v>
      </c>
      <c r="E5023" t="s">
        <v>315</v>
      </c>
      <c r="F5023">
        <v>1</v>
      </c>
      <c r="G5023" t="s">
        <v>176</v>
      </c>
      <c r="H5023">
        <v>1</v>
      </c>
      <c r="I5023">
        <v>28</v>
      </c>
      <c r="J5023" s="10">
        <v>4</v>
      </c>
      <c r="K5023" s="10">
        <f>SUMIFS(F:F,D:D,DST_123_ÜRETİM_İHTİYAÇ_RAPORU_BURAK_YENI1309[[#This Row],[ALT_KOD]])-(SUMIFS(H:H,D:D,DST_123_ÜRETİM_İHTİYAÇ_RAPORU_BURAK_YENI1309[[#This Row],[ALT_KOD]])+AVERAGEIFS(I:I,D:D,DST_123_ÜRETİM_İHTİYAÇ_RAPORU_BURAK_YENI1309[[#This Row],[ALT_KOD]])+AVERAGEIFS(L:L,D:D,DST_123_ÜRETİM_İHTİYAÇ_RAPORU_BURAK_YENI1309[[#This Row],[ALT_KOD]]))</f>
        <v>-21</v>
      </c>
      <c r="L5023">
        <v>0</v>
      </c>
      <c r="M5023">
        <f>IF((DST_123_ÜRETİM_İHTİYAÇ_RAPORU_BURAK_YENI1309[[#This Row],[SATINALMA]]*DST_123_ÜRETİM_İHTİYAÇ_RAPORU_BURAK_YENI1309[[#This Row],[BIRIM_FIYATLAR]])&lt;1,VALUE("0"),DST_123_ÜRETİM_İHTİYAÇ_RAPORU_BURAK_YENI1309[[#This Row],[SATINALMA]]*DST_123_ÜRETİM_İHTİYAÇ_RAPORU_BURAK_YENI1309[[#This Row],[BIRIM_FIYATLAR]])</f>
        <v>0</v>
      </c>
      <c r="N5023">
        <v>290.73</v>
      </c>
      <c r="O5023" t="s">
        <v>636</v>
      </c>
      <c r="P5023">
        <v>290.73</v>
      </c>
      <c r="Q5023" t="s">
        <v>178</v>
      </c>
    </row>
    <row r="5024" spans="1:17" x14ac:dyDescent="0.25">
      <c r="A5024" t="s">
        <v>1100</v>
      </c>
      <c r="B5024" t="s">
        <v>1058</v>
      </c>
      <c r="C5024" t="s">
        <v>175</v>
      </c>
      <c r="D5024" t="s">
        <v>1078</v>
      </c>
      <c r="E5024" t="s">
        <v>1079</v>
      </c>
      <c r="F5024">
        <v>1</v>
      </c>
      <c r="G5024" t="s">
        <v>176</v>
      </c>
      <c r="H5024">
        <v>1</v>
      </c>
      <c r="I5024">
        <v>3</v>
      </c>
      <c r="J5024" s="10">
        <v>8</v>
      </c>
      <c r="K5024" s="10">
        <f>SUMIFS(F:F,D:D,DST_123_ÜRETİM_İHTİYAÇ_RAPORU_BURAK_YENI1309[[#This Row],[ALT_KOD]])-(SUMIFS(H:H,D:D,DST_123_ÜRETİM_İHTİYAÇ_RAPORU_BURAK_YENI1309[[#This Row],[ALT_KOD]])+AVERAGEIFS(I:I,D:D,DST_123_ÜRETİM_İHTİYAÇ_RAPORU_BURAK_YENI1309[[#This Row],[ALT_KOD]])+AVERAGEIFS(L:L,D:D,DST_123_ÜRETİM_İHTİYAÇ_RAPORU_BURAK_YENI1309[[#This Row],[ALT_KOD]]))</f>
        <v>-2</v>
      </c>
      <c r="L5024">
        <v>10</v>
      </c>
      <c r="M5024">
        <f>IF((DST_123_ÜRETİM_İHTİYAÇ_RAPORU_BURAK_YENI1309[[#This Row],[SATINALMA]]*DST_123_ÜRETİM_İHTİYAÇ_RAPORU_BURAK_YENI1309[[#This Row],[BIRIM_FIYATLAR]])&lt;1,VALUE("0"),DST_123_ÜRETİM_İHTİYAÇ_RAPORU_BURAK_YENI1309[[#This Row],[SATINALMA]]*DST_123_ÜRETİM_İHTİYAÇ_RAPORU_BURAK_YENI1309[[#This Row],[BIRIM_FIYATLAR]])</f>
        <v>0</v>
      </c>
      <c r="N5024">
        <v>3097.63</v>
      </c>
      <c r="O5024" t="s">
        <v>592</v>
      </c>
      <c r="P5024">
        <v>3097.63</v>
      </c>
      <c r="Q5024" t="s">
        <v>178</v>
      </c>
    </row>
    <row r="5025" spans="1:17" x14ac:dyDescent="0.25">
      <c r="A5025" t="s">
        <v>1097</v>
      </c>
      <c r="B5025" t="s">
        <v>1055</v>
      </c>
      <c r="C5025" t="s">
        <v>175</v>
      </c>
      <c r="D5025" t="s">
        <v>689</v>
      </c>
      <c r="E5025" t="s">
        <v>690</v>
      </c>
      <c r="F5025">
        <v>1</v>
      </c>
      <c r="G5025" t="s">
        <v>176</v>
      </c>
      <c r="H5025">
        <v>1</v>
      </c>
      <c r="I5025">
        <v>23</v>
      </c>
      <c r="J5025" s="10">
        <v>5</v>
      </c>
      <c r="K5025" s="10">
        <f>SUMIFS(F:F,D:D,DST_123_ÜRETİM_İHTİYAÇ_RAPORU_BURAK_YENI1309[[#This Row],[ALT_KOD]])-(SUMIFS(H:H,D:D,DST_123_ÜRETİM_İHTİYAÇ_RAPORU_BURAK_YENI1309[[#This Row],[ALT_KOD]])+AVERAGEIFS(I:I,D:D,DST_123_ÜRETİM_İHTİYAÇ_RAPORU_BURAK_YENI1309[[#This Row],[ALT_KOD]])+AVERAGEIFS(L:L,D:D,DST_123_ÜRETİM_İHTİYAÇ_RAPORU_BURAK_YENI1309[[#This Row],[ALT_KOD]]))</f>
        <v>-12</v>
      </c>
      <c r="L5025">
        <v>0</v>
      </c>
      <c r="M5025">
        <f>IF((DST_123_ÜRETİM_İHTİYAÇ_RAPORU_BURAK_YENI1309[[#This Row],[SATINALMA]]*DST_123_ÜRETİM_İHTİYAÇ_RAPORU_BURAK_YENI1309[[#This Row],[BIRIM_FIYATLAR]])&lt;1,VALUE("0"),DST_123_ÜRETİM_İHTİYAÇ_RAPORU_BURAK_YENI1309[[#This Row],[SATINALMA]]*DST_123_ÜRETİM_İHTİYAÇ_RAPORU_BURAK_YENI1309[[#This Row],[BIRIM_FIYATLAR]])</f>
        <v>0</v>
      </c>
      <c r="N5025">
        <v>871.93</v>
      </c>
      <c r="O5025" t="s">
        <v>691</v>
      </c>
      <c r="P5025">
        <v>871.93</v>
      </c>
      <c r="Q5025" t="s">
        <v>177</v>
      </c>
    </row>
    <row r="5026" spans="1:17" x14ac:dyDescent="0.25">
      <c r="A5026" t="s">
        <v>1059</v>
      </c>
      <c r="B5026" t="s">
        <v>1058</v>
      </c>
      <c r="C5026" t="s">
        <v>175</v>
      </c>
      <c r="D5026" t="s">
        <v>580</v>
      </c>
      <c r="E5026" t="s">
        <v>581</v>
      </c>
      <c r="F5026">
        <v>17.8</v>
      </c>
      <c r="G5026" t="s">
        <v>185</v>
      </c>
      <c r="H5026">
        <v>17.8</v>
      </c>
      <c r="I5026">
        <v>60</v>
      </c>
      <c r="J5026" s="10">
        <v>219.95999999999984</v>
      </c>
      <c r="K5026" s="10">
        <f>SUMIFS(F:F,D:D,DST_123_ÜRETİM_İHTİYAÇ_RAPORU_BURAK_YENI1309[[#This Row],[ALT_KOD]])-(SUMIFS(H:H,D:D,DST_123_ÜRETİM_İHTİYAÇ_RAPORU_BURAK_YENI1309[[#This Row],[ALT_KOD]])+AVERAGEIFS(I:I,D:D,DST_123_ÜRETİM_İHTİYAÇ_RAPORU_BURAK_YENI1309[[#This Row],[ALT_KOD]])+AVERAGEIFS(L:L,D:D,DST_123_ÜRETİM_İHTİYAÇ_RAPORU_BURAK_YENI1309[[#This Row],[ALT_KOD]]))</f>
        <v>143.41000000000003</v>
      </c>
      <c r="L5026">
        <v>0</v>
      </c>
      <c r="M5026">
        <f>IF((DST_123_ÜRETİM_İHTİYAÇ_RAPORU_BURAK_YENI1309[[#This Row],[SATINALMA]]*DST_123_ÜRETİM_İHTİYAÇ_RAPORU_BURAK_YENI1309[[#This Row],[BIRIM_FIYATLAR]])&lt;1,VALUE("0"),DST_123_ÜRETİM_İHTİYAÇ_RAPORU_BURAK_YENI1309[[#This Row],[SATINALMA]]*DST_123_ÜRETİM_İHTİYAÇ_RAPORU_BURAK_YENI1309[[#This Row],[BIRIM_FIYATLAR]])</f>
        <v>23533.581000000002</v>
      </c>
      <c r="N5026">
        <v>164.1</v>
      </c>
      <c r="O5026" t="s">
        <v>490</v>
      </c>
      <c r="P5026">
        <v>2920.98</v>
      </c>
      <c r="Q5026" t="s">
        <v>183</v>
      </c>
    </row>
    <row r="5027" spans="1:17" x14ac:dyDescent="0.25">
      <c r="A5027" t="s">
        <v>1149</v>
      </c>
      <c r="B5027" t="s">
        <v>1145</v>
      </c>
      <c r="C5027" t="s">
        <v>175</v>
      </c>
      <c r="D5027" t="s">
        <v>552</v>
      </c>
      <c r="E5027" t="s">
        <v>553</v>
      </c>
      <c r="F5027">
        <v>1</v>
      </c>
      <c r="G5027" t="s">
        <v>176</v>
      </c>
      <c r="H5027">
        <v>0</v>
      </c>
      <c r="I5027">
        <v>14</v>
      </c>
      <c r="J5027" s="10">
        <v>9.9999999999999929</v>
      </c>
      <c r="K5027" s="10">
        <f>SUMIFS(F:F,D:D,DST_123_ÜRETİM_İHTİYAÇ_RAPORU_BURAK_YENI1309[[#This Row],[ALT_KOD]])-(SUMIFS(H:H,D:D,DST_123_ÜRETİM_İHTİYAÇ_RAPORU_BURAK_YENI1309[[#This Row],[ALT_KOD]])+AVERAGEIFS(I:I,D:D,DST_123_ÜRETİM_İHTİYAÇ_RAPORU_BURAK_YENI1309[[#This Row],[ALT_KOD]])+AVERAGEIFS(L:L,D:D,DST_123_ÜRETİM_İHTİYAÇ_RAPORU_BURAK_YENI1309[[#This Row],[ALT_KOD]]))</f>
        <v>2.5700000000000003</v>
      </c>
      <c r="L5027">
        <v>0</v>
      </c>
      <c r="M5027">
        <f>IF((DST_123_ÜRETİM_İHTİYAÇ_RAPORU_BURAK_YENI1309[[#This Row],[SATINALMA]]*DST_123_ÜRETİM_İHTİYAÇ_RAPORU_BURAK_YENI1309[[#This Row],[BIRIM_FIYATLAR]])&lt;1,VALUE("0"),DST_123_ÜRETİM_İHTİYAÇ_RAPORU_BURAK_YENI1309[[#This Row],[SATINALMA]]*DST_123_ÜRETİM_İHTİYAÇ_RAPORU_BURAK_YENI1309[[#This Row],[BIRIM_FIYATLAR]])</f>
        <v>552.55000000000007</v>
      </c>
      <c r="N5027">
        <v>215</v>
      </c>
      <c r="O5027" t="s">
        <v>240</v>
      </c>
      <c r="P5027">
        <v>215</v>
      </c>
      <c r="Q5027" t="s">
        <v>180</v>
      </c>
    </row>
    <row r="5028" spans="1:17" x14ac:dyDescent="0.25">
      <c r="A5028" t="s">
        <v>1100</v>
      </c>
      <c r="B5028" t="s">
        <v>1058</v>
      </c>
      <c r="C5028" t="s">
        <v>175</v>
      </c>
      <c r="D5028" t="s">
        <v>279</v>
      </c>
      <c r="E5028" t="s">
        <v>318</v>
      </c>
      <c r="F5028">
        <v>1</v>
      </c>
      <c r="G5028" t="s">
        <v>176</v>
      </c>
      <c r="H5028">
        <v>1</v>
      </c>
      <c r="I5028">
        <v>27</v>
      </c>
      <c r="J5028" s="10">
        <v>4</v>
      </c>
      <c r="K5028" s="10">
        <f>SUMIFS(F:F,D:D,DST_123_ÜRETİM_İHTİYAÇ_RAPORU_BURAK_YENI1309[[#This Row],[ALT_KOD]])-(SUMIFS(H:H,D:D,DST_123_ÜRETİM_İHTİYAÇ_RAPORU_BURAK_YENI1309[[#This Row],[ALT_KOD]])+AVERAGEIFS(I:I,D:D,DST_123_ÜRETİM_İHTİYAÇ_RAPORU_BURAK_YENI1309[[#This Row],[ALT_KOD]])+AVERAGEIFS(L:L,D:D,DST_123_ÜRETİM_İHTİYAÇ_RAPORU_BURAK_YENI1309[[#This Row],[ALT_KOD]]))</f>
        <v>-20</v>
      </c>
      <c r="L5028">
        <v>0</v>
      </c>
      <c r="M5028">
        <f>IF((DST_123_ÜRETİM_İHTİYAÇ_RAPORU_BURAK_YENI1309[[#This Row],[SATINALMA]]*DST_123_ÜRETİM_İHTİYAÇ_RAPORU_BURAK_YENI1309[[#This Row],[BIRIM_FIYATLAR]])&lt;1,VALUE("0"),DST_123_ÜRETİM_İHTİYAÇ_RAPORU_BURAK_YENI1309[[#This Row],[SATINALMA]]*DST_123_ÜRETİM_İHTİYAÇ_RAPORU_BURAK_YENI1309[[#This Row],[BIRIM_FIYATLAR]])</f>
        <v>0</v>
      </c>
      <c r="N5028">
        <v>290.73</v>
      </c>
      <c r="O5028" t="s">
        <v>636</v>
      </c>
      <c r="P5028">
        <v>290.73</v>
      </c>
      <c r="Q5028" t="s">
        <v>178</v>
      </c>
    </row>
    <row r="5029" spans="1:17" x14ac:dyDescent="0.25">
      <c r="A5029" t="s">
        <v>1060</v>
      </c>
      <c r="B5029" t="s">
        <v>1061</v>
      </c>
      <c r="C5029" t="s">
        <v>175</v>
      </c>
      <c r="D5029" t="s">
        <v>279</v>
      </c>
      <c r="E5029" t="s">
        <v>318</v>
      </c>
      <c r="F5029">
        <v>1</v>
      </c>
      <c r="G5029" t="s">
        <v>176</v>
      </c>
      <c r="H5029">
        <v>1</v>
      </c>
      <c r="I5029">
        <v>27</v>
      </c>
      <c r="J5029" s="10">
        <v>4</v>
      </c>
      <c r="K5029" s="10">
        <f>SUMIFS(F:F,D:D,DST_123_ÜRETİM_İHTİYAÇ_RAPORU_BURAK_YENI1309[[#This Row],[ALT_KOD]])-(SUMIFS(H:H,D:D,DST_123_ÜRETİM_İHTİYAÇ_RAPORU_BURAK_YENI1309[[#This Row],[ALT_KOD]])+AVERAGEIFS(I:I,D:D,DST_123_ÜRETİM_İHTİYAÇ_RAPORU_BURAK_YENI1309[[#This Row],[ALT_KOD]])+AVERAGEIFS(L:L,D:D,DST_123_ÜRETİM_İHTİYAÇ_RAPORU_BURAK_YENI1309[[#This Row],[ALT_KOD]]))</f>
        <v>-20</v>
      </c>
      <c r="L5029">
        <v>0</v>
      </c>
      <c r="M5029">
        <f>IF((DST_123_ÜRETİM_İHTİYAÇ_RAPORU_BURAK_YENI1309[[#This Row],[SATINALMA]]*DST_123_ÜRETİM_İHTİYAÇ_RAPORU_BURAK_YENI1309[[#This Row],[BIRIM_FIYATLAR]])&lt;1,VALUE("0"),DST_123_ÜRETİM_İHTİYAÇ_RAPORU_BURAK_YENI1309[[#This Row],[SATINALMA]]*DST_123_ÜRETİM_İHTİYAÇ_RAPORU_BURAK_YENI1309[[#This Row],[BIRIM_FIYATLAR]])</f>
        <v>0</v>
      </c>
      <c r="N5029">
        <v>290.73</v>
      </c>
      <c r="O5029" t="s">
        <v>636</v>
      </c>
      <c r="P5029">
        <v>290.73</v>
      </c>
      <c r="Q5029" t="s">
        <v>178</v>
      </c>
    </row>
    <row r="5030" spans="1:17" x14ac:dyDescent="0.25">
      <c r="A5030" t="s">
        <v>1150</v>
      </c>
      <c r="B5030" t="s">
        <v>1145</v>
      </c>
      <c r="C5030" t="s">
        <v>175</v>
      </c>
      <c r="D5030" t="s">
        <v>279</v>
      </c>
      <c r="E5030" t="s">
        <v>318</v>
      </c>
      <c r="F5030">
        <v>1</v>
      </c>
      <c r="G5030" t="s">
        <v>176</v>
      </c>
      <c r="H5030">
        <v>1</v>
      </c>
      <c r="I5030">
        <v>27</v>
      </c>
      <c r="J5030" s="10">
        <v>4</v>
      </c>
      <c r="K5030" s="10">
        <f>SUMIFS(F:F,D:D,DST_123_ÜRETİM_İHTİYAÇ_RAPORU_BURAK_YENI1309[[#This Row],[ALT_KOD]])-(SUMIFS(H:H,D:D,DST_123_ÜRETİM_İHTİYAÇ_RAPORU_BURAK_YENI1309[[#This Row],[ALT_KOD]])+AVERAGEIFS(I:I,D:D,DST_123_ÜRETİM_İHTİYAÇ_RAPORU_BURAK_YENI1309[[#This Row],[ALT_KOD]])+AVERAGEIFS(L:L,D:D,DST_123_ÜRETİM_İHTİYAÇ_RAPORU_BURAK_YENI1309[[#This Row],[ALT_KOD]]))</f>
        <v>-20</v>
      </c>
      <c r="L5030">
        <v>0</v>
      </c>
      <c r="M5030">
        <f>IF((DST_123_ÜRETİM_İHTİYAÇ_RAPORU_BURAK_YENI1309[[#This Row],[SATINALMA]]*DST_123_ÜRETİM_İHTİYAÇ_RAPORU_BURAK_YENI1309[[#This Row],[BIRIM_FIYATLAR]])&lt;1,VALUE("0"),DST_123_ÜRETİM_İHTİYAÇ_RAPORU_BURAK_YENI1309[[#This Row],[SATINALMA]]*DST_123_ÜRETİM_İHTİYAÇ_RAPORU_BURAK_YENI1309[[#This Row],[BIRIM_FIYATLAR]])</f>
        <v>0</v>
      </c>
      <c r="N5030">
        <v>290.73</v>
      </c>
      <c r="O5030" t="s">
        <v>636</v>
      </c>
      <c r="P5030">
        <v>290.73</v>
      </c>
      <c r="Q5030" t="s">
        <v>178</v>
      </c>
    </row>
    <row r="5031" spans="1:17" x14ac:dyDescent="0.25">
      <c r="A5031" t="s">
        <v>1101</v>
      </c>
      <c r="B5031" t="s">
        <v>1102</v>
      </c>
      <c r="C5031" t="s">
        <v>175</v>
      </c>
      <c r="D5031" t="s">
        <v>426</v>
      </c>
      <c r="E5031" t="s">
        <v>427</v>
      </c>
      <c r="F5031">
        <v>1</v>
      </c>
      <c r="G5031" t="s">
        <v>176</v>
      </c>
      <c r="H5031">
        <v>1</v>
      </c>
      <c r="I5031">
        <v>12</v>
      </c>
      <c r="J5031" s="10">
        <v>9</v>
      </c>
      <c r="K5031" s="10">
        <f>SUMIFS(F:F,D:D,DST_123_ÜRETİM_İHTİYAÇ_RAPORU_BURAK_YENI1309[[#This Row],[ALT_KOD]])-(SUMIFS(H:H,D:D,DST_123_ÜRETİM_İHTİYAÇ_RAPORU_BURAK_YENI1309[[#This Row],[ALT_KOD]])+AVERAGEIFS(I:I,D:D,DST_123_ÜRETİM_İHTİYAÇ_RAPORU_BURAK_YENI1309[[#This Row],[ALT_KOD]])+AVERAGEIFS(L:L,D:D,DST_123_ÜRETİM_İHTİYAÇ_RAPORU_BURAK_YENI1309[[#This Row],[ALT_KOD]]))</f>
        <v>0</v>
      </c>
      <c r="L5031">
        <v>0</v>
      </c>
      <c r="M5031">
        <f>IF((DST_123_ÜRETİM_İHTİYAÇ_RAPORU_BURAK_YENI1309[[#This Row],[SATINALMA]]*DST_123_ÜRETİM_İHTİYAÇ_RAPORU_BURAK_YENI1309[[#This Row],[BIRIM_FIYATLAR]])&lt;1,VALUE("0"),DST_123_ÜRETİM_İHTİYAÇ_RAPORU_BURAK_YENI1309[[#This Row],[SATINALMA]]*DST_123_ÜRETİM_İHTİYAÇ_RAPORU_BURAK_YENI1309[[#This Row],[BIRIM_FIYATLAR]])</f>
        <v>0</v>
      </c>
      <c r="N5031">
        <v>266.72000000000003</v>
      </c>
      <c r="O5031" t="s">
        <v>227</v>
      </c>
      <c r="P5031">
        <v>266.72000000000003</v>
      </c>
      <c r="Q5031" t="s">
        <v>221</v>
      </c>
    </row>
    <row r="5032" spans="1:17" x14ac:dyDescent="0.25">
      <c r="A5032" t="s">
        <v>1101</v>
      </c>
      <c r="B5032" t="s">
        <v>1102</v>
      </c>
      <c r="C5032" t="s">
        <v>175</v>
      </c>
      <c r="D5032" t="s">
        <v>443</v>
      </c>
      <c r="E5032" t="s">
        <v>444</v>
      </c>
      <c r="F5032">
        <v>1</v>
      </c>
      <c r="G5032" t="s">
        <v>176</v>
      </c>
      <c r="H5032">
        <v>1</v>
      </c>
      <c r="I5032">
        <v>25</v>
      </c>
      <c r="J5032" s="10">
        <v>5</v>
      </c>
      <c r="K5032" s="10">
        <f>SUMIFS(F:F,D:D,DST_123_ÜRETİM_İHTİYAÇ_RAPORU_BURAK_YENI1309[[#This Row],[ALT_KOD]])-(SUMIFS(H:H,D:D,DST_123_ÜRETİM_İHTİYAÇ_RAPORU_BURAK_YENI1309[[#This Row],[ALT_KOD]])+AVERAGEIFS(I:I,D:D,DST_123_ÜRETİM_İHTİYAÇ_RAPORU_BURAK_YENI1309[[#This Row],[ALT_KOD]])+AVERAGEIFS(L:L,D:D,DST_123_ÜRETİM_İHTİYAÇ_RAPORU_BURAK_YENI1309[[#This Row],[ALT_KOD]]))</f>
        <v>-13</v>
      </c>
      <c r="L5032">
        <v>0</v>
      </c>
      <c r="M5032">
        <f>IF((DST_123_ÜRETİM_İHTİYAÇ_RAPORU_BURAK_YENI1309[[#This Row],[SATINALMA]]*DST_123_ÜRETİM_İHTİYAÇ_RAPORU_BURAK_YENI1309[[#This Row],[BIRIM_FIYATLAR]])&lt;1,VALUE("0"),DST_123_ÜRETİM_İHTİYAÇ_RAPORU_BURAK_YENI1309[[#This Row],[SATINALMA]]*DST_123_ÜRETİM_İHTİYAÇ_RAPORU_BURAK_YENI1309[[#This Row],[BIRIM_FIYATLAR]])</f>
        <v>0</v>
      </c>
      <c r="N5032">
        <v>373.06</v>
      </c>
      <c r="O5032" t="s">
        <v>636</v>
      </c>
      <c r="P5032">
        <v>373.06</v>
      </c>
      <c r="Q5032" t="s">
        <v>178</v>
      </c>
    </row>
    <row r="5033" spans="1:17" x14ac:dyDescent="0.25">
      <c r="A5033" t="s">
        <v>1144</v>
      </c>
      <c r="B5033" t="s">
        <v>1145</v>
      </c>
      <c r="C5033" t="s">
        <v>175</v>
      </c>
      <c r="D5033" t="s">
        <v>637</v>
      </c>
      <c r="E5033" t="s">
        <v>638</v>
      </c>
      <c r="F5033">
        <v>1</v>
      </c>
      <c r="G5033" t="s">
        <v>176</v>
      </c>
      <c r="H5033">
        <v>0</v>
      </c>
      <c r="I5033">
        <v>19</v>
      </c>
      <c r="J5033" s="10">
        <v>17</v>
      </c>
      <c r="K5033" s="10">
        <f>SUMIFS(F:F,D:D,DST_123_ÜRETİM_İHTİYAÇ_RAPORU_BURAK_YENI1309[[#This Row],[ALT_KOD]])-(SUMIFS(H:H,D:D,DST_123_ÜRETİM_İHTİYAÇ_RAPORU_BURAK_YENI1309[[#This Row],[ALT_KOD]])+AVERAGEIFS(I:I,D:D,DST_123_ÜRETİM_İHTİYAÇ_RAPORU_BURAK_YENI1309[[#This Row],[ALT_KOD]])+AVERAGEIFS(L:L,D:D,DST_123_ÜRETİM_İHTİYAÇ_RAPORU_BURAK_YENI1309[[#This Row],[ALT_KOD]]))</f>
        <v>0</v>
      </c>
      <c r="L5033">
        <v>0</v>
      </c>
      <c r="M5033">
        <f>IF((DST_123_ÜRETİM_İHTİYAÇ_RAPORU_BURAK_YENI1309[[#This Row],[SATINALMA]]*DST_123_ÜRETİM_İHTİYAÇ_RAPORU_BURAK_YENI1309[[#This Row],[BIRIM_FIYATLAR]])&lt;1,VALUE("0"),DST_123_ÜRETİM_İHTİYAÇ_RAPORU_BURAK_YENI1309[[#This Row],[SATINALMA]]*DST_123_ÜRETİM_İHTİYAÇ_RAPORU_BURAK_YENI1309[[#This Row],[BIRIM_FIYATLAR]])</f>
        <v>0</v>
      </c>
      <c r="N5033">
        <v>113.64</v>
      </c>
      <c r="O5033" t="s">
        <v>639</v>
      </c>
      <c r="P5033">
        <v>113.64</v>
      </c>
      <c r="Q5033" t="s">
        <v>640</v>
      </c>
    </row>
    <row r="5034" spans="1:17" x14ac:dyDescent="0.25">
      <c r="A5034" t="s">
        <v>1146</v>
      </c>
      <c r="B5034" t="s">
        <v>1145</v>
      </c>
      <c r="C5034" t="s">
        <v>175</v>
      </c>
      <c r="D5034" t="s">
        <v>271</v>
      </c>
      <c r="E5034" t="s">
        <v>620</v>
      </c>
      <c r="F5034">
        <v>1</v>
      </c>
      <c r="G5034" t="s">
        <v>176</v>
      </c>
      <c r="H5034">
        <v>0</v>
      </c>
      <c r="I5034">
        <v>8</v>
      </c>
      <c r="J5034" s="10">
        <v>4</v>
      </c>
      <c r="K5034" s="10">
        <f>SUMIFS(F:F,D:D,DST_123_ÜRETİM_İHTİYAÇ_RAPORU_BURAK_YENI1309[[#This Row],[ALT_KOD]])-(SUMIFS(H:H,D:D,DST_123_ÜRETİM_İHTİYAÇ_RAPORU_BURAK_YENI1309[[#This Row],[ALT_KOD]])+AVERAGEIFS(I:I,D:D,DST_123_ÜRETİM_İHTİYAÇ_RAPORU_BURAK_YENI1309[[#This Row],[ALT_KOD]])+AVERAGEIFS(L:L,D:D,DST_123_ÜRETİM_İHTİYAÇ_RAPORU_BURAK_YENI1309[[#This Row],[ALT_KOD]]))</f>
        <v>-1</v>
      </c>
      <c r="L5034">
        <v>0</v>
      </c>
      <c r="M5034">
        <f>IF((DST_123_ÜRETİM_İHTİYAÇ_RAPORU_BURAK_YENI1309[[#This Row],[SATINALMA]]*DST_123_ÜRETİM_İHTİYAÇ_RAPORU_BURAK_YENI1309[[#This Row],[BIRIM_FIYATLAR]])&lt;1,VALUE("0"),DST_123_ÜRETİM_İHTİYAÇ_RAPORU_BURAK_YENI1309[[#This Row],[SATINALMA]]*DST_123_ÜRETİM_İHTİYAÇ_RAPORU_BURAK_YENI1309[[#This Row],[BIRIM_FIYATLAR]])</f>
        <v>0</v>
      </c>
      <c r="N5034">
        <v>1723.79</v>
      </c>
      <c r="O5034" t="s">
        <v>636</v>
      </c>
      <c r="P5034">
        <v>1723.79</v>
      </c>
      <c r="Q5034" t="s">
        <v>178</v>
      </c>
    </row>
    <row r="5035" spans="1:17" x14ac:dyDescent="0.25">
      <c r="A5035" t="s">
        <v>1196</v>
      </c>
      <c r="B5035" t="s">
        <v>1197</v>
      </c>
      <c r="C5035" t="s">
        <v>175</v>
      </c>
      <c r="D5035" t="s">
        <v>1175</v>
      </c>
      <c r="E5035" t="s">
        <v>1176</v>
      </c>
      <c r="F5035">
        <v>2</v>
      </c>
      <c r="G5035" t="s">
        <v>176</v>
      </c>
      <c r="H5035">
        <v>0</v>
      </c>
      <c r="I5035">
        <v>500</v>
      </c>
      <c r="J5035" s="10">
        <v>500</v>
      </c>
      <c r="K5035" s="10">
        <f>SUMIFS(F:F,D:D,DST_123_ÜRETİM_İHTİYAÇ_RAPORU_BURAK_YENI1309[[#This Row],[ALT_KOD]])-(SUMIFS(H:H,D:D,DST_123_ÜRETİM_İHTİYAÇ_RAPORU_BURAK_YENI1309[[#This Row],[ALT_KOD]])+AVERAGEIFS(I:I,D:D,DST_123_ÜRETİM_İHTİYAÇ_RAPORU_BURAK_YENI1309[[#This Row],[ALT_KOD]])+AVERAGEIFS(L:L,D:D,DST_123_ÜRETİM_İHTİYAÇ_RAPORU_BURAK_YENI1309[[#This Row],[ALT_KOD]]))</f>
        <v>-486</v>
      </c>
      <c r="L5035">
        <v>0</v>
      </c>
      <c r="M5035">
        <f>IF((DST_123_ÜRETİM_İHTİYAÇ_RAPORU_BURAK_YENI1309[[#This Row],[SATINALMA]]*DST_123_ÜRETİM_İHTİYAÇ_RAPORU_BURAK_YENI1309[[#This Row],[BIRIM_FIYATLAR]])&lt;1,VALUE("0"),DST_123_ÜRETİM_İHTİYAÇ_RAPORU_BURAK_YENI1309[[#This Row],[SATINALMA]]*DST_123_ÜRETİM_İHTİYAÇ_RAPORU_BURAK_YENI1309[[#This Row],[BIRIM_FIYATLAR]])</f>
        <v>0</v>
      </c>
      <c r="N5035">
        <v>0.65</v>
      </c>
      <c r="O5035" t="s">
        <v>826</v>
      </c>
      <c r="P5035">
        <v>1.3</v>
      </c>
      <c r="Q5035" t="s">
        <v>221</v>
      </c>
    </row>
    <row r="5036" spans="1:17" x14ac:dyDescent="0.25">
      <c r="A5036" t="s">
        <v>1147</v>
      </c>
      <c r="B5036" t="s">
        <v>1145</v>
      </c>
      <c r="C5036" t="s">
        <v>175</v>
      </c>
      <c r="D5036" t="s">
        <v>271</v>
      </c>
      <c r="E5036" t="s">
        <v>620</v>
      </c>
      <c r="F5036">
        <v>1</v>
      </c>
      <c r="G5036" t="s">
        <v>176</v>
      </c>
      <c r="H5036">
        <v>0</v>
      </c>
      <c r="I5036">
        <v>8</v>
      </c>
      <c r="J5036" s="10">
        <v>4</v>
      </c>
      <c r="K5036" s="10">
        <f>SUMIFS(F:F,D:D,DST_123_ÜRETİM_İHTİYAÇ_RAPORU_BURAK_YENI1309[[#This Row],[ALT_KOD]])-(SUMIFS(H:H,D:D,DST_123_ÜRETİM_İHTİYAÇ_RAPORU_BURAK_YENI1309[[#This Row],[ALT_KOD]])+AVERAGEIFS(I:I,D:D,DST_123_ÜRETİM_İHTİYAÇ_RAPORU_BURAK_YENI1309[[#This Row],[ALT_KOD]])+AVERAGEIFS(L:L,D:D,DST_123_ÜRETİM_İHTİYAÇ_RAPORU_BURAK_YENI1309[[#This Row],[ALT_KOD]]))</f>
        <v>-1</v>
      </c>
      <c r="L5036">
        <v>0</v>
      </c>
      <c r="M5036">
        <f>IF((DST_123_ÜRETİM_İHTİYAÇ_RAPORU_BURAK_YENI1309[[#This Row],[SATINALMA]]*DST_123_ÜRETİM_İHTİYAÇ_RAPORU_BURAK_YENI1309[[#This Row],[BIRIM_FIYATLAR]])&lt;1,VALUE("0"),DST_123_ÜRETİM_İHTİYAÇ_RAPORU_BURAK_YENI1309[[#This Row],[SATINALMA]]*DST_123_ÜRETİM_İHTİYAÇ_RAPORU_BURAK_YENI1309[[#This Row],[BIRIM_FIYATLAR]])</f>
        <v>0</v>
      </c>
      <c r="N5036">
        <v>1723.79</v>
      </c>
      <c r="O5036" t="s">
        <v>636</v>
      </c>
      <c r="P5036">
        <v>1723.79</v>
      </c>
      <c r="Q5036" t="s">
        <v>178</v>
      </c>
    </row>
    <row r="5037" spans="1:17" x14ac:dyDescent="0.25">
      <c r="A5037" t="s">
        <v>1196</v>
      </c>
      <c r="B5037" t="s">
        <v>1197</v>
      </c>
      <c r="C5037" t="s">
        <v>175</v>
      </c>
      <c r="D5037" t="s">
        <v>271</v>
      </c>
      <c r="E5037" t="s">
        <v>620</v>
      </c>
      <c r="F5037">
        <v>1</v>
      </c>
      <c r="G5037" t="s">
        <v>176</v>
      </c>
      <c r="H5037">
        <v>0</v>
      </c>
      <c r="I5037">
        <v>8</v>
      </c>
      <c r="J5037" s="10">
        <v>4</v>
      </c>
      <c r="K5037" s="10">
        <f>SUMIFS(F:F,D:D,DST_123_ÜRETİM_İHTİYAÇ_RAPORU_BURAK_YENI1309[[#This Row],[ALT_KOD]])-(SUMIFS(H:H,D:D,DST_123_ÜRETİM_İHTİYAÇ_RAPORU_BURAK_YENI1309[[#This Row],[ALT_KOD]])+AVERAGEIFS(I:I,D:D,DST_123_ÜRETİM_İHTİYAÇ_RAPORU_BURAK_YENI1309[[#This Row],[ALT_KOD]])+AVERAGEIFS(L:L,D:D,DST_123_ÜRETİM_İHTİYAÇ_RAPORU_BURAK_YENI1309[[#This Row],[ALT_KOD]]))</f>
        <v>-1</v>
      </c>
      <c r="L5037">
        <v>0</v>
      </c>
      <c r="M5037">
        <f>IF((DST_123_ÜRETİM_İHTİYAÇ_RAPORU_BURAK_YENI1309[[#This Row],[SATINALMA]]*DST_123_ÜRETİM_İHTİYAÇ_RAPORU_BURAK_YENI1309[[#This Row],[BIRIM_FIYATLAR]])&lt;1,VALUE("0"),DST_123_ÜRETİM_İHTİYAÇ_RAPORU_BURAK_YENI1309[[#This Row],[SATINALMA]]*DST_123_ÜRETİM_İHTİYAÇ_RAPORU_BURAK_YENI1309[[#This Row],[BIRIM_FIYATLAR]])</f>
        <v>0</v>
      </c>
      <c r="N5037">
        <v>1723.79</v>
      </c>
      <c r="O5037" t="s">
        <v>636</v>
      </c>
      <c r="P5037">
        <v>1723.79</v>
      </c>
      <c r="Q5037" t="s">
        <v>178</v>
      </c>
    </row>
    <row r="5038" spans="1:17" x14ac:dyDescent="0.25">
      <c r="A5038" t="s">
        <v>1097</v>
      </c>
      <c r="B5038" t="s">
        <v>1055</v>
      </c>
      <c r="C5038" t="s">
        <v>175</v>
      </c>
      <c r="D5038" t="s">
        <v>550</v>
      </c>
      <c r="E5038" t="s">
        <v>551</v>
      </c>
      <c r="F5038">
        <v>2</v>
      </c>
      <c r="G5038" t="s">
        <v>176</v>
      </c>
      <c r="H5038">
        <v>2</v>
      </c>
      <c r="I5038">
        <v>35</v>
      </c>
      <c r="J5038" s="10">
        <v>14</v>
      </c>
      <c r="K5038" s="10">
        <f>SUMIFS(F:F,D:D,DST_123_ÜRETİM_İHTİYAÇ_RAPORU_BURAK_YENI1309[[#This Row],[ALT_KOD]])-(SUMIFS(H:H,D:D,DST_123_ÜRETİM_İHTİYAÇ_RAPORU_BURAK_YENI1309[[#This Row],[ALT_KOD]])+AVERAGEIFS(I:I,D:D,DST_123_ÜRETİM_İHTİYAÇ_RAPORU_BURAK_YENI1309[[#This Row],[ALT_KOD]])+AVERAGEIFS(L:L,D:D,DST_123_ÜRETİM_İHTİYAÇ_RAPORU_BURAK_YENI1309[[#This Row],[ALT_KOD]]))</f>
        <v>-11</v>
      </c>
      <c r="L5038">
        <v>0</v>
      </c>
      <c r="M5038">
        <f>IF((DST_123_ÜRETİM_İHTİYAÇ_RAPORU_BURAK_YENI1309[[#This Row],[SATINALMA]]*DST_123_ÜRETİM_İHTİYAÇ_RAPORU_BURAK_YENI1309[[#This Row],[BIRIM_FIYATLAR]])&lt;1,VALUE("0"),DST_123_ÜRETİM_İHTİYAÇ_RAPORU_BURAK_YENI1309[[#This Row],[SATINALMA]]*DST_123_ÜRETİM_İHTİYAÇ_RAPORU_BURAK_YENI1309[[#This Row],[BIRIM_FIYATLAR]])</f>
        <v>0</v>
      </c>
      <c r="N5038">
        <v>43.75</v>
      </c>
      <c r="O5038" t="s">
        <v>490</v>
      </c>
      <c r="P5038">
        <v>87.5</v>
      </c>
      <c r="Q5038" t="s">
        <v>180</v>
      </c>
    </row>
    <row r="5039" spans="1:17" x14ac:dyDescent="0.25">
      <c r="A5039" t="s">
        <v>1064</v>
      </c>
      <c r="B5039" t="s">
        <v>1055</v>
      </c>
      <c r="C5039" t="s">
        <v>197</v>
      </c>
      <c r="D5039" t="s">
        <v>498</v>
      </c>
      <c r="E5039" t="s">
        <v>499</v>
      </c>
      <c r="F5039">
        <v>1</v>
      </c>
      <c r="G5039" t="s">
        <v>176</v>
      </c>
      <c r="H5039">
        <v>1</v>
      </c>
      <c r="I5039">
        <v>10</v>
      </c>
      <c r="J5039" s="10">
        <v>9</v>
      </c>
      <c r="K5039" s="10">
        <f>SUMIFS(F:F,D:D,DST_123_ÜRETİM_İHTİYAÇ_RAPORU_BURAK_YENI1309[[#This Row],[ALT_KOD]])-(SUMIFS(H:H,D:D,DST_123_ÜRETİM_İHTİYAÇ_RAPORU_BURAK_YENI1309[[#This Row],[ALT_KOD]])+AVERAGEIFS(I:I,D:D,DST_123_ÜRETİM_İHTİYAÇ_RAPORU_BURAK_YENI1309[[#This Row],[ALT_KOD]])+AVERAGEIFS(L:L,D:D,DST_123_ÜRETİM_İHTİYAÇ_RAPORU_BURAK_YENI1309[[#This Row],[ALT_KOD]]))</f>
        <v>2</v>
      </c>
      <c r="L5039">
        <v>0</v>
      </c>
      <c r="M5039">
        <f>IF((DST_123_ÜRETİM_İHTİYAÇ_RAPORU_BURAK_YENI1309[[#This Row],[SATINALMA]]*DST_123_ÜRETİM_İHTİYAÇ_RAPORU_BURAK_YENI1309[[#This Row],[BIRIM_FIYATLAR]])&lt;1,VALUE("0"),DST_123_ÜRETİM_İHTİYAÇ_RAPORU_BURAK_YENI1309[[#This Row],[SATINALMA]]*DST_123_ÜRETİM_İHTİYAÇ_RAPORU_BURAK_YENI1309[[#This Row],[BIRIM_FIYATLAR]])</f>
        <v>0</v>
      </c>
      <c r="O5039" t="s">
        <v>713</v>
      </c>
      <c r="Q5039" t="s">
        <v>760</v>
      </c>
    </row>
    <row r="5040" spans="1:17" x14ac:dyDescent="0.25">
      <c r="A5040" t="s">
        <v>1057</v>
      </c>
      <c r="B5040" t="s">
        <v>1058</v>
      </c>
      <c r="C5040" t="s">
        <v>175</v>
      </c>
      <c r="D5040" t="s">
        <v>879</v>
      </c>
      <c r="E5040" t="s">
        <v>880</v>
      </c>
      <c r="F5040">
        <v>1</v>
      </c>
      <c r="G5040" t="s">
        <v>176</v>
      </c>
      <c r="H5040">
        <v>1</v>
      </c>
      <c r="I5040">
        <v>9</v>
      </c>
      <c r="J5040" s="10">
        <v>8</v>
      </c>
      <c r="K5040" s="10">
        <f>SUMIFS(F:F,D:D,DST_123_ÜRETİM_İHTİYAÇ_RAPORU_BURAK_YENI1309[[#This Row],[ALT_KOD]])-(SUMIFS(H:H,D:D,DST_123_ÜRETİM_İHTİYAÇ_RAPORU_BURAK_YENI1309[[#This Row],[ALT_KOD]])+AVERAGEIFS(I:I,D:D,DST_123_ÜRETİM_İHTİYAÇ_RAPORU_BURAK_YENI1309[[#This Row],[ALT_KOD]])+AVERAGEIFS(L:L,D:D,DST_123_ÜRETİM_İHTİYAÇ_RAPORU_BURAK_YENI1309[[#This Row],[ALT_KOD]]))</f>
        <v>-12</v>
      </c>
      <c r="L5040">
        <v>15</v>
      </c>
      <c r="M5040">
        <f>IF((DST_123_ÜRETİM_İHTİYAÇ_RAPORU_BURAK_YENI1309[[#This Row],[SATINALMA]]*DST_123_ÜRETİM_İHTİYAÇ_RAPORU_BURAK_YENI1309[[#This Row],[BIRIM_FIYATLAR]])&lt;1,VALUE("0"),DST_123_ÜRETİM_İHTİYAÇ_RAPORU_BURAK_YENI1309[[#This Row],[SATINALMA]]*DST_123_ÜRETİM_İHTİYAÇ_RAPORU_BURAK_YENI1309[[#This Row],[BIRIM_FIYATLAR]])</f>
        <v>0</v>
      </c>
      <c r="N5040">
        <v>776.15</v>
      </c>
      <c r="O5040" t="s">
        <v>881</v>
      </c>
      <c r="P5040">
        <v>776.15</v>
      </c>
      <c r="Q5040" t="s">
        <v>221</v>
      </c>
    </row>
    <row r="5041" spans="1:17" x14ac:dyDescent="0.25">
      <c r="A5041" t="s">
        <v>1059</v>
      </c>
      <c r="B5041" t="s">
        <v>1058</v>
      </c>
      <c r="C5041" t="s">
        <v>175</v>
      </c>
      <c r="D5041" t="s">
        <v>879</v>
      </c>
      <c r="E5041" t="s">
        <v>880</v>
      </c>
      <c r="F5041">
        <v>1</v>
      </c>
      <c r="G5041" t="s">
        <v>176</v>
      </c>
      <c r="H5041">
        <v>1</v>
      </c>
      <c r="I5041">
        <v>9</v>
      </c>
      <c r="J5041" s="10">
        <v>8</v>
      </c>
      <c r="K5041" s="10">
        <f>SUMIFS(F:F,D:D,DST_123_ÜRETİM_İHTİYAÇ_RAPORU_BURAK_YENI1309[[#This Row],[ALT_KOD]])-(SUMIFS(H:H,D:D,DST_123_ÜRETİM_İHTİYAÇ_RAPORU_BURAK_YENI1309[[#This Row],[ALT_KOD]])+AVERAGEIFS(I:I,D:D,DST_123_ÜRETİM_İHTİYAÇ_RAPORU_BURAK_YENI1309[[#This Row],[ALT_KOD]])+AVERAGEIFS(L:L,D:D,DST_123_ÜRETİM_İHTİYAÇ_RAPORU_BURAK_YENI1309[[#This Row],[ALT_KOD]]))</f>
        <v>-12</v>
      </c>
      <c r="L5041">
        <v>15</v>
      </c>
      <c r="M5041">
        <f>IF((DST_123_ÜRETİM_İHTİYAÇ_RAPORU_BURAK_YENI1309[[#This Row],[SATINALMA]]*DST_123_ÜRETİM_İHTİYAÇ_RAPORU_BURAK_YENI1309[[#This Row],[BIRIM_FIYATLAR]])&lt;1,VALUE("0"),DST_123_ÜRETİM_İHTİYAÇ_RAPORU_BURAK_YENI1309[[#This Row],[SATINALMA]]*DST_123_ÜRETİM_İHTİYAÇ_RAPORU_BURAK_YENI1309[[#This Row],[BIRIM_FIYATLAR]])</f>
        <v>0</v>
      </c>
      <c r="N5041">
        <v>776.15</v>
      </c>
      <c r="O5041" t="s">
        <v>881</v>
      </c>
      <c r="P5041">
        <v>776.15</v>
      </c>
      <c r="Q5041" t="s">
        <v>221</v>
      </c>
    </row>
    <row r="5042" spans="1:17" x14ac:dyDescent="0.25">
      <c r="A5042" t="s">
        <v>1100</v>
      </c>
      <c r="B5042" t="s">
        <v>1058</v>
      </c>
      <c r="C5042" t="s">
        <v>175</v>
      </c>
      <c r="D5042" t="s">
        <v>879</v>
      </c>
      <c r="E5042" t="s">
        <v>880</v>
      </c>
      <c r="F5042">
        <v>1</v>
      </c>
      <c r="G5042" t="s">
        <v>176</v>
      </c>
      <c r="H5042">
        <v>1</v>
      </c>
      <c r="I5042">
        <v>9</v>
      </c>
      <c r="J5042" s="10">
        <v>8</v>
      </c>
      <c r="K5042" s="10">
        <f>SUMIFS(F:F,D:D,DST_123_ÜRETİM_İHTİYAÇ_RAPORU_BURAK_YENI1309[[#This Row],[ALT_KOD]])-(SUMIFS(H:H,D:D,DST_123_ÜRETİM_İHTİYAÇ_RAPORU_BURAK_YENI1309[[#This Row],[ALT_KOD]])+AVERAGEIFS(I:I,D:D,DST_123_ÜRETİM_İHTİYAÇ_RAPORU_BURAK_YENI1309[[#This Row],[ALT_KOD]])+AVERAGEIFS(L:L,D:D,DST_123_ÜRETİM_İHTİYAÇ_RAPORU_BURAK_YENI1309[[#This Row],[ALT_KOD]]))</f>
        <v>-12</v>
      </c>
      <c r="L5042">
        <v>15</v>
      </c>
      <c r="M5042">
        <f>IF((DST_123_ÜRETİM_İHTİYAÇ_RAPORU_BURAK_YENI1309[[#This Row],[SATINALMA]]*DST_123_ÜRETİM_İHTİYAÇ_RAPORU_BURAK_YENI1309[[#This Row],[BIRIM_FIYATLAR]])&lt;1,VALUE("0"),DST_123_ÜRETİM_İHTİYAÇ_RAPORU_BURAK_YENI1309[[#This Row],[SATINALMA]]*DST_123_ÜRETİM_İHTİYAÇ_RAPORU_BURAK_YENI1309[[#This Row],[BIRIM_FIYATLAR]])</f>
        <v>0</v>
      </c>
      <c r="N5042">
        <v>776.15</v>
      </c>
      <c r="O5042" t="s">
        <v>881</v>
      </c>
      <c r="P5042">
        <v>776.15</v>
      </c>
      <c r="Q5042" t="s">
        <v>221</v>
      </c>
    </row>
    <row r="5043" spans="1:17" x14ac:dyDescent="0.25">
      <c r="A5043" t="s">
        <v>1059</v>
      </c>
      <c r="B5043" t="s">
        <v>1058</v>
      </c>
      <c r="C5043" t="s">
        <v>175</v>
      </c>
      <c r="D5043" t="s">
        <v>875</v>
      </c>
      <c r="E5043" t="s">
        <v>876</v>
      </c>
      <c r="F5043">
        <v>2</v>
      </c>
      <c r="G5043" t="s">
        <v>176</v>
      </c>
      <c r="H5043">
        <v>2</v>
      </c>
      <c r="I5043">
        <v>4</v>
      </c>
      <c r="J5043" s="10">
        <v>12</v>
      </c>
      <c r="K5043" s="10">
        <f>SUMIFS(F:F,D:D,DST_123_ÜRETİM_İHTİYAÇ_RAPORU_BURAK_YENI1309[[#This Row],[ALT_KOD]])-(SUMIFS(H:H,D:D,DST_123_ÜRETİM_İHTİYAÇ_RAPORU_BURAK_YENI1309[[#This Row],[ALT_KOD]])+AVERAGEIFS(I:I,D:D,DST_123_ÜRETİM_İHTİYAÇ_RAPORU_BURAK_YENI1309[[#This Row],[ALT_KOD]])+AVERAGEIFS(L:L,D:D,DST_123_ÜRETİM_İHTİYAÇ_RAPORU_BURAK_YENI1309[[#This Row],[ALT_KOD]]))</f>
        <v>-4</v>
      </c>
      <c r="L5043">
        <v>0</v>
      </c>
      <c r="M5043">
        <f>IF((DST_123_ÜRETİM_İHTİYAÇ_RAPORU_BURAK_YENI1309[[#This Row],[SATINALMA]]*DST_123_ÜRETİM_İHTİYAÇ_RAPORU_BURAK_YENI1309[[#This Row],[BIRIM_FIYATLAR]])&lt;1,VALUE("0"),DST_123_ÜRETİM_İHTİYAÇ_RAPORU_BURAK_YENI1309[[#This Row],[SATINALMA]]*DST_123_ÜRETİM_İHTİYAÇ_RAPORU_BURAK_YENI1309[[#This Row],[BIRIM_FIYATLAR]])</f>
        <v>0</v>
      </c>
      <c r="N5043">
        <v>1028.6099999999999</v>
      </c>
      <c r="O5043" t="s">
        <v>636</v>
      </c>
      <c r="P5043">
        <v>2057.2199999999998</v>
      </c>
      <c r="Q5043" t="s">
        <v>178</v>
      </c>
    </row>
    <row r="5044" spans="1:17" x14ac:dyDescent="0.25">
      <c r="A5044" t="s">
        <v>1059</v>
      </c>
      <c r="B5044" t="s">
        <v>1058</v>
      </c>
      <c r="C5044" t="s">
        <v>175</v>
      </c>
      <c r="D5044" t="s">
        <v>96</v>
      </c>
      <c r="E5044" t="s">
        <v>97</v>
      </c>
      <c r="F5044">
        <v>1</v>
      </c>
      <c r="G5044" t="s">
        <v>176</v>
      </c>
      <c r="H5044">
        <v>1</v>
      </c>
      <c r="I5044">
        <v>0</v>
      </c>
      <c r="J5044" s="10">
        <v>5</v>
      </c>
      <c r="K5044" s="10">
        <f>SUMIFS(F:F,D:D,DST_123_ÜRETİM_İHTİYAÇ_RAPORU_BURAK_YENI1309[[#This Row],[ALT_KOD]])-(SUMIFS(H:H,D:D,DST_123_ÜRETİM_İHTİYAÇ_RAPORU_BURAK_YENI1309[[#This Row],[ALT_KOD]])+AVERAGEIFS(I:I,D:D,DST_123_ÜRETİM_İHTİYAÇ_RAPORU_BURAK_YENI1309[[#This Row],[ALT_KOD]])+AVERAGEIFS(L:L,D:D,DST_123_ÜRETİM_İHTİYAÇ_RAPORU_BURAK_YENI1309[[#This Row],[ALT_KOD]]))</f>
        <v>0</v>
      </c>
      <c r="L5044">
        <v>7</v>
      </c>
      <c r="M5044">
        <f>IF((DST_123_ÜRETİM_İHTİYAÇ_RAPORU_BURAK_YENI1309[[#This Row],[SATINALMA]]*DST_123_ÜRETİM_İHTİYAÇ_RAPORU_BURAK_YENI1309[[#This Row],[BIRIM_FIYATLAR]])&lt;1,VALUE("0"),DST_123_ÜRETİM_İHTİYAÇ_RAPORU_BURAK_YENI1309[[#This Row],[SATINALMA]]*DST_123_ÜRETİM_İHTİYAÇ_RAPORU_BURAK_YENI1309[[#This Row],[BIRIM_FIYATLAR]])</f>
        <v>0</v>
      </c>
      <c r="N5044">
        <v>1491.67</v>
      </c>
      <c r="O5044" t="s">
        <v>632</v>
      </c>
      <c r="P5044">
        <v>1491.67</v>
      </c>
      <c r="Q5044" t="s">
        <v>177</v>
      </c>
    </row>
    <row r="5045" spans="1:17" x14ac:dyDescent="0.25">
      <c r="A5045" t="s">
        <v>1057</v>
      </c>
      <c r="B5045" t="s">
        <v>1058</v>
      </c>
      <c r="C5045" t="s">
        <v>175</v>
      </c>
      <c r="D5045" t="s">
        <v>718</v>
      </c>
      <c r="E5045" t="s">
        <v>719</v>
      </c>
      <c r="F5045">
        <v>1</v>
      </c>
      <c r="G5045" t="s">
        <v>176</v>
      </c>
      <c r="H5045">
        <v>1</v>
      </c>
      <c r="I5045">
        <v>1</v>
      </c>
      <c r="J5045" s="10">
        <v>4</v>
      </c>
      <c r="K5045" s="10">
        <f>SUMIFS(F:F,D:D,DST_123_ÜRETİM_İHTİYAÇ_RAPORU_BURAK_YENI1309[[#This Row],[ALT_KOD]])-(SUMIFS(H:H,D:D,DST_123_ÜRETİM_İHTİYAÇ_RAPORU_BURAK_YENI1309[[#This Row],[ALT_KOD]])+AVERAGEIFS(I:I,D:D,DST_123_ÜRETİM_İHTİYAÇ_RAPORU_BURAK_YENI1309[[#This Row],[ALT_KOD]])+AVERAGEIFS(L:L,D:D,DST_123_ÜRETİM_İHTİYAÇ_RAPORU_BURAK_YENI1309[[#This Row],[ALT_KOD]]))</f>
        <v>13</v>
      </c>
      <c r="L5045">
        <v>0</v>
      </c>
      <c r="M5045">
        <f>IF((DST_123_ÜRETİM_İHTİYAÇ_RAPORU_BURAK_YENI1309[[#This Row],[SATINALMA]]*DST_123_ÜRETİM_İHTİYAÇ_RAPORU_BURAK_YENI1309[[#This Row],[BIRIM_FIYATLAR]])&lt;1,VALUE("0"),DST_123_ÜRETİM_İHTİYAÇ_RAPORU_BURAK_YENI1309[[#This Row],[SATINALMA]]*DST_123_ÜRETİM_İHTİYAÇ_RAPORU_BURAK_YENI1309[[#This Row],[BIRIM_FIYATLAR]])</f>
        <v>168880.14</v>
      </c>
      <c r="N5045">
        <v>12990.78</v>
      </c>
      <c r="O5045" t="s">
        <v>589</v>
      </c>
      <c r="P5045">
        <v>12990.78</v>
      </c>
      <c r="Q5045" t="s">
        <v>177</v>
      </c>
    </row>
    <row r="5046" spans="1:17" x14ac:dyDescent="0.25">
      <c r="A5046" t="s">
        <v>1144</v>
      </c>
      <c r="B5046" t="s">
        <v>1145</v>
      </c>
      <c r="C5046" t="s">
        <v>175</v>
      </c>
      <c r="D5046" t="s">
        <v>335</v>
      </c>
      <c r="E5046" t="s">
        <v>622</v>
      </c>
      <c r="F5046">
        <v>1</v>
      </c>
      <c r="G5046" t="s">
        <v>176</v>
      </c>
      <c r="H5046">
        <v>1</v>
      </c>
      <c r="I5046">
        <v>5</v>
      </c>
      <c r="J5046" s="10">
        <v>4</v>
      </c>
      <c r="K5046" s="10">
        <f>SUMIFS(F:F,D:D,DST_123_ÜRETİM_İHTİYAÇ_RAPORU_BURAK_YENI1309[[#This Row],[ALT_KOD]])-(SUMIFS(H:H,D:D,DST_123_ÜRETİM_İHTİYAÇ_RAPORU_BURAK_YENI1309[[#This Row],[ALT_KOD]])+AVERAGEIFS(I:I,D:D,DST_123_ÜRETİM_İHTİYAÇ_RAPORU_BURAK_YENI1309[[#This Row],[ALT_KOD]])+AVERAGEIFS(L:L,D:D,DST_123_ÜRETİM_İHTİYAÇ_RAPORU_BURAK_YENI1309[[#This Row],[ALT_KOD]]))</f>
        <v>2</v>
      </c>
      <c r="L5046">
        <v>0</v>
      </c>
      <c r="M5046">
        <f>IF((DST_123_ÜRETİM_İHTİYAÇ_RAPORU_BURAK_YENI1309[[#This Row],[SATINALMA]]*DST_123_ÜRETİM_İHTİYAÇ_RAPORU_BURAK_YENI1309[[#This Row],[BIRIM_FIYATLAR]])&lt;1,VALUE("0"),DST_123_ÜRETİM_İHTİYAÇ_RAPORU_BURAK_YENI1309[[#This Row],[SATINALMA]]*DST_123_ÜRETİM_İHTİYAÇ_RAPORU_BURAK_YENI1309[[#This Row],[BIRIM_FIYATLAR]])</f>
        <v>3447.58</v>
      </c>
      <c r="N5046">
        <v>1723.79</v>
      </c>
      <c r="O5046" t="s">
        <v>636</v>
      </c>
      <c r="P5046">
        <v>1723.79</v>
      </c>
      <c r="Q5046" t="s">
        <v>178</v>
      </c>
    </row>
    <row r="5047" spans="1:17" x14ac:dyDescent="0.25">
      <c r="A5047" t="s">
        <v>1101</v>
      </c>
      <c r="B5047" t="s">
        <v>1102</v>
      </c>
      <c r="C5047" t="s">
        <v>175</v>
      </c>
      <c r="D5047" t="s">
        <v>433</v>
      </c>
      <c r="E5047" t="s">
        <v>434</v>
      </c>
      <c r="F5047">
        <v>1</v>
      </c>
      <c r="G5047" t="s">
        <v>176</v>
      </c>
      <c r="H5047">
        <v>1</v>
      </c>
      <c r="I5047">
        <v>12</v>
      </c>
      <c r="J5047" s="10">
        <v>5</v>
      </c>
      <c r="K5047" s="10">
        <f>SUMIFS(F:F,D:D,DST_123_ÜRETİM_İHTİYAÇ_RAPORU_BURAK_YENI1309[[#This Row],[ALT_KOD]])-(SUMIFS(H:H,D:D,DST_123_ÜRETİM_İHTİYAÇ_RAPORU_BURAK_YENI1309[[#This Row],[ALT_KOD]])+AVERAGEIFS(I:I,D:D,DST_123_ÜRETİM_İHTİYAÇ_RAPORU_BURAK_YENI1309[[#This Row],[ALT_KOD]])+AVERAGEIFS(L:L,D:D,DST_123_ÜRETİM_İHTİYAÇ_RAPORU_BURAK_YENI1309[[#This Row],[ALT_KOD]]))</f>
        <v>-8</v>
      </c>
      <c r="L5047">
        <v>0</v>
      </c>
      <c r="M5047">
        <f>IF((DST_123_ÜRETİM_İHTİYAÇ_RAPORU_BURAK_YENI1309[[#This Row],[SATINALMA]]*DST_123_ÜRETİM_İHTİYAÇ_RAPORU_BURAK_YENI1309[[#This Row],[BIRIM_FIYATLAR]])&lt;1,VALUE("0"),DST_123_ÜRETİM_İHTİYAÇ_RAPORU_BURAK_YENI1309[[#This Row],[SATINALMA]]*DST_123_ÜRETİM_İHTİYAÇ_RAPORU_BURAK_YENI1309[[#This Row],[BIRIM_FIYATLAR]])</f>
        <v>0</v>
      </c>
      <c r="N5047">
        <v>1679.53</v>
      </c>
      <c r="O5047" t="s">
        <v>636</v>
      </c>
      <c r="P5047">
        <v>1679.53</v>
      </c>
      <c r="Q5047" t="s">
        <v>178</v>
      </c>
    </row>
    <row r="5048" spans="1:17" x14ac:dyDescent="0.25">
      <c r="A5048" t="s">
        <v>1059</v>
      </c>
      <c r="B5048" t="s">
        <v>1058</v>
      </c>
      <c r="C5048" t="s">
        <v>175</v>
      </c>
      <c r="D5048" t="s">
        <v>340</v>
      </c>
      <c r="E5048" t="s">
        <v>341</v>
      </c>
      <c r="F5048">
        <v>1.5</v>
      </c>
      <c r="G5048" t="s">
        <v>176</v>
      </c>
      <c r="H5048">
        <v>1.5</v>
      </c>
      <c r="I5048">
        <v>75</v>
      </c>
      <c r="J5048" s="10">
        <v>42.70000000000006</v>
      </c>
      <c r="K5048" s="10">
        <f>SUMIFS(F:F,D:D,DST_123_ÜRETİM_İHTİYAÇ_RAPORU_BURAK_YENI1309[[#This Row],[ALT_KOD]])-(SUMIFS(H:H,D:D,DST_123_ÜRETİM_İHTİYAÇ_RAPORU_BURAK_YENI1309[[#This Row],[ALT_KOD]])+AVERAGEIFS(I:I,D:D,DST_123_ÜRETİM_İHTİYAÇ_RAPORU_BURAK_YENI1309[[#This Row],[ALT_KOD]])+AVERAGEIFS(L:L,D:D,DST_123_ÜRETİM_İHTİYAÇ_RAPORU_BURAK_YENI1309[[#This Row],[ALT_KOD]]))</f>
        <v>-48.040000000000006</v>
      </c>
      <c r="L5048">
        <v>0</v>
      </c>
      <c r="M5048">
        <f>IF((DST_123_ÜRETİM_İHTİYAÇ_RAPORU_BURAK_YENI1309[[#This Row],[SATINALMA]]*DST_123_ÜRETİM_İHTİYAÇ_RAPORU_BURAK_YENI1309[[#This Row],[BIRIM_FIYATLAR]])&lt;1,VALUE("0"),DST_123_ÜRETİM_İHTİYAÇ_RAPORU_BURAK_YENI1309[[#This Row],[SATINALMA]]*DST_123_ÜRETİM_İHTİYAÇ_RAPORU_BURAK_YENI1309[[#This Row],[BIRIM_FIYATLAR]])</f>
        <v>0</v>
      </c>
      <c r="N5048">
        <v>15</v>
      </c>
      <c r="O5048" t="s">
        <v>240</v>
      </c>
      <c r="P5048">
        <v>22.5</v>
      </c>
      <c r="Q5048" t="s">
        <v>180</v>
      </c>
    </row>
    <row r="5049" spans="1:17" x14ac:dyDescent="0.25">
      <c r="A5049" t="s">
        <v>1059</v>
      </c>
      <c r="B5049" t="s">
        <v>1058</v>
      </c>
      <c r="C5049" t="s">
        <v>175</v>
      </c>
      <c r="D5049" t="s">
        <v>1005</v>
      </c>
      <c r="E5049" t="s">
        <v>1006</v>
      </c>
      <c r="F5049">
        <v>1</v>
      </c>
      <c r="G5049" t="s">
        <v>176</v>
      </c>
      <c r="H5049">
        <v>1</v>
      </c>
      <c r="I5049">
        <v>12</v>
      </c>
      <c r="J5049" s="10">
        <v>4</v>
      </c>
      <c r="K5049" s="10">
        <f>SUMIFS(F:F,D:D,DST_123_ÜRETİM_İHTİYAÇ_RAPORU_BURAK_YENI1309[[#This Row],[ALT_KOD]])-(SUMIFS(H:H,D:D,DST_123_ÜRETİM_İHTİYAÇ_RAPORU_BURAK_YENI1309[[#This Row],[ALT_KOD]])+AVERAGEIFS(I:I,D:D,DST_123_ÜRETİM_İHTİYAÇ_RAPORU_BURAK_YENI1309[[#This Row],[ALT_KOD]])+AVERAGEIFS(L:L,D:D,DST_123_ÜRETİM_İHTİYAÇ_RAPORU_BURAK_YENI1309[[#This Row],[ALT_KOD]]))</f>
        <v>-12</v>
      </c>
      <c r="L5049">
        <v>0</v>
      </c>
      <c r="M5049">
        <f>IF((DST_123_ÜRETİM_İHTİYAÇ_RAPORU_BURAK_YENI1309[[#This Row],[SATINALMA]]*DST_123_ÜRETİM_İHTİYAÇ_RAPORU_BURAK_YENI1309[[#This Row],[BIRIM_FIYATLAR]])&lt;1,VALUE("0"),DST_123_ÜRETİM_İHTİYAÇ_RAPORU_BURAK_YENI1309[[#This Row],[SATINALMA]]*DST_123_ÜRETİM_İHTİYAÇ_RAPORU_BURAK_YENI1309[[#This Row],[BIRIM_FIYATLAR]])</f>
        <v>0</v>
      </c>
      <c r="N5049">
        <v>57.06</v>
      </c>
      <c r="O5049" t="s">
        <v>1007</v>
      </c>
      <c r="P5049">
        <v>57.06</v>
      </c>
      <c r="Q5049" t="s">
        <v>180</v>
      </c>
    </row>
    <row r="5050" spans="1:17" x14ac:dyDescent="0.25">
      <c r="A5050" t="s">
        <v>1100</v>
      </c>
      <c r="B5050" t="s">
        <v>1058</v>
      </c>
      <c r="C5050" t="s">
        <v>175</v>
      </c>
      <c r="D5050" t="s">
        <v>99</v>
      </c>
      <c r="E5050" t="s">
        <v>100</v>
      </c>
      <c r="F5050">
        <v>19.98</v>
      </c>
      <c r="G5050" t="s">
        <v>185</v>
      </c>
      <c r="H5050">
        <v>19.98</v>
      </c>
      <c r="I5050">
        <v>0</v>
      </c>
      <c r="J5050" s="10">
        <v>437.82000000000016</v>
      </c>
      <c r="K5050" s="10">
        <f>SUMIFS(F:F,D:D,DST_123_ÜRETİM_İHTİYAÇ_RAPORU_BURAK_YENI1309[[#This Row],[ALT_KOD]])-(SUMIFS(H:H,D:D,DST_123_ÜRETİM_İHTİYAÇ_RAPORU_BURAK_YENI1309[[#This Row],[ALT_KOD]])+AVERAGEIFS(I:I,D:D,DST_123_ÜRETİM_İHTİYAÇ_RAPORU_BURAK_YENI1309[[#This Row],[ALT_KOD]])+AVERAGEIFS(L:L,D:D,DST_123_ÜRETİM_İHTİYAÇ_RAPORU_BURAK_YENI1309[[#This Row],[ALT_KOD]]))</f>
        <v>348.62999999999988</v>
      </c>
      <c r="L5050">
        <v>0</v>
      </c>
      <c r="M5050">
        <f>IF((DST_123_ÜRETİM_İHTİYAÇ_RAPORU_BURAK_YENI1309[[#This Row],[SATINALMA]]*DST_123_ÜRETİM_İHTİYAÇ_RAPORU_BURAK_YENI1309[[#This Row],[BIRIM_FIYATLAR]])&lt;1,VALUE("0"),DST_123_ÜRETİM_İHTİYAÇ_RAPORU_BURAK_YENI1309[[#This Row],[SATINALMA]]*DST_123_ÜRETİM_İHTİYAÇ_RAPORU_BURAK_YENI1309[[#This Row],[BIRIM_FIYATLAR]])</f>
        <v>33597.473099999988</v>
      </c>
      <c r="N5050">
        <v>96.37</v>
      </c>
      <c r="O5050" t="s">
        <v>490</v>
      </c>
      <c r="P5050">
        <v>1925.4726000000001</v>
      </c>
      <c r="Q5050" t="s">
        <v>183</v>
      </c>
    </row>
    <row r="5051" spans="1:17" x14ac:dyDescent="0.25">
      <c r="A5051" t="s">
        <v>1097</v>
      </c>
      <c r="B5051" t="s">
        <v>1055</v>
      </c>
      <c r="C5051" t="s">
        <v>175</v>
      </c>
      <c r="D5051" t="s">
        <v>273</v>
      </c>
      <c r="E5051" t="s">
        <v>274</v>
      </c>
      <c r="F5051">
        <v>1</v>
      </c>
      <c r="G5051" t="s">
        <v>176</v>
      </c>
      <c r="H5051">
        <v>1</v>
      </c>
      <c r="I5051">
        <v>7</v>
      </c>
      <c r="J5051" s="10">
        <v>10</v>
      </c>
      <c r="K5051" s="10">
        <f>SUMIFS(F:F,D:D,DST_123_ÜRETİM_İHTİYAÇ_RAPORU_BURAK_YENI1309[[#This Row],[ALT_KOD]])-(SUMIFS(H:H,D:D,DST_123_ÜRETİM_İHTİYAÇ_RAPORU_BURAK_YENI1309[[#This Row],[ALT_KOD]])+AVERAGEIFS(I:I,D:D,DST_123_ÜRETİM_İHTİYAÇ_RAPORU_BURAK_YENI1309[[#This Row],[ALT_KOD]])+AVERAGEIFS(L:L,D:D,DST_123_ÜRETİM_İHTİYAÇ_RAPORU_BURAK_YENI1309[[#This Row],[ALT_KOD]]))</f>
        <v>4</v>
      </c>
      <c r="L5051">
        <v>0</v>
      </c>
      <c r="M5051">
        <f>IF((DST_123_ÜRETİM_İHTİYAÇ_RAPORU_BURAK_YENI1309[[#This Row],[SATINALMA]]*DST_123_ÜRETİM_İHTİYAÇ_RAPORU_BURAK_YENI1309[[#This Row],[BIRIM_FIYATLAR]])&lt;1,VALUE("0"),DST_123_ÜRETİM_İHTİYAÇ_RAPORU_BURAK_YENI1309[[#This Row],[SATINALMA]]*DST_123_ÜRETİM_İHTİYAÇ_RAPORU_BURAK_YENI1309[[#This Row],[BIRIM_FIYATLAR]])</f>
        <v>1950.24</v>
      </c>
      <c r="N5051">
        <v>487.56</v>
      </c>
      <c r="O5051" t="s">
        <v>275</v>
      </c>
      <c r="P5051">
        <v>487.56</v>
      </c>
      <c r="Q5051" t="s">
        <v>177</v>
      </c>
    </row>
    <row r="5052" spans="1:17" x14ac:dyDescent="0.25">
      <c r="A5052" t="s">
        <v>1097</v>
      </c>
      <c r="B5052" t="s">
        <v>1055</v>
      </c>
      <c r="C5052" t="s">
        <v>175</v>
      </c>
      <c r="D5052" t="s">
        <v>433</v>
      </c>
      <c r="E5052" t="s">
        <v>434</v>
      </c>
      <c r="F5052">
        <v>1</v>
      </c>
      <c r="G5052" t="s">
        <v>176</v>
      </c>
      <c r="H5052">
        <v>1</v>
      </c>
      <c r="I5052">
        <v>12</v>
      </c>
      <c r="J5052" s="10">
        <v>5</v>
      </c>
      <c r="K5052" s="10">
        <f>SUMIFS(F:F,D:D,DST_123_ÜRETİM_İHTİYAÇ_RAPORU_BURAK_YENI1309[[#This Row],[ALT_KOD]])-(SUMIFS(H:H,D:D,DST_123_ÜRETİM_İHTİYAÇ_RAPORU_BURAK_YENI1309[[#This Row],[ALT_KOD]])+AVERAGEIFS(I:I,D:D,DST_123_ÜRETİM_İHTİYAÇ_RAPORU_BURAK_YENI1309[[#This Row],[ALT_KOD]])+AVERAGEIFS(L:L,D:D,DST_123_ÜRETİM_İHTİYAÇ_RAPORU_BURAK_YENI1309[[#This Row],[ALT_KOD]]))</f>
        <v>-8</v>
      </c>
      <c r="L5052">
        <v>0</v>
      </c>
      <c r="M5052">
        <f>IF((DST_123_ÜRETİM_İHTİYAÇ_RAPORU_BURAK_YENI1309[[#This Row],[SATINALMA]]*DST_123_ÜRETİM_İHTİYAÇ_RAPORU_BURAK_YENI1309[[#This Row],[BIRIM_FIYATLAR]])&lt;1,VALUE("0"),DST_123_ÜRETİM_İHTİYAÇ_RAPORU_BURAK_YENI1309[[#This Row],[SATINALMA]]*DST_123_ÜRETİM_İHTİYAÇ_RAPORU_BURAK_YENI1309[[#This Row],[BIRIM_FIYATLAR]])</f>
        <v>0</v>
      </c>
      <c r="N5052">
        <v>1679.53</v>
      </c>
      <c r="O5052" t="s">
        <v>636</v>
      </c>
      <c r="P5052">
        <v>1679.53</v>
      </c>
      <c r="Q5052" t="s">
        <v>178</v>
      </c>
    </row>
    <row r="5053" spans="1:17" x14ac:dyDescent="0.25">
      <c r="A5053" t="s">
        <v>1099</v>
      </c>
      <c r="B5053" t="s">
        <v>1055</v>
      </c>
      <c r="C5053" t="s">
        <v>175</v>
      </c>
      <c r="D5053" t="s">
        <v>101</v>
      </c>
      <c r="E5053" t="s">
        <v>102</v>
      </c>
      <c r="F5053">
        <v>8.9700000000000006</v>
      </c>
      <c r="G5053" t="s">
        <v>185</v>
      </c>
      <c r="H5053">
        <v>8.9700000000000006</v>
      </c>
      <c r="I5053">
        <v>66</v>
      </c>
      <c r="J5053" s="10">
        <v>36.349999999999987</v>
      </c>
      <c r="K5053" s="10">
        <f>SUMIFS(F:F,D:D,DST_123_ÜRETİM_İHTİYAÇ_RAPORU_BURAK_YENI1309[[#This Row],[ALT_KOD]])-(SUMIFS(H:H,D:D,DST_123_ÜRETİM_İHTİYAÇ_RAPORU_BURAK_YENI1309[[#This Row],[ALT_KOD]])+AVERAGEIFS(I:I,D:D,DST_123_ÜRETİM_İHTİYAÇ_RAPORU_BURAK_YENI1309[[#This Row],[ALT_KOD]])+AVERAGEIFS(L:L,D:D,DST_123_ÜRETİM_İHTİYAÇ_RAPORU_BURAK_YENI1309[[#This Row],[ALT_KOD]]))</f>
        <v>-17.090000000000018</v>
      </c>
      <c r="L5053">
        <v>0</v>
      </c>
      <c r="M5053">
        <f>IF((DST_123_ÜRETİM_İHTİYAÇ_RAPORU_BURAK_YENI1309[[#This Row],[SATINALMA]]*DST_123_ÜRETİM_İHTİYAÇ_RAPORU_BURAK_YENI1309[[#This Row],[BIRIM_FIYATLAR]])&lt;1,VALUE("0"),DST_123_ÜRETİM_İHTİYAÇ_RAPORU_BURAK_YENI1309[[#This Row],[SATINALMA]]*DST_123_ÜRETİM_İHTİYAÇ_RAPORU_BURAK_YENI1309[[#This Row],[BIRIM_FIYATLAR]])</f>
        <v>0</v>
      </c>
      <c r="N5053">
        <v>129.63</v>
      </c>
      <c r="O5053" t="s">
        <v>240</v>
      </c>
      <c r="P5053">
        <v>1162.7811000000002</v>
      </c>
      <c r="Q5053" t="s">
        <v>183</v>
      </c>
    </row>
    <row r="5054" spans="1:17" x14ac:dyDescent="0.25">
      <c r="A5054" t="s">
        <v>1100</v>
      </c>
      <c r="B5054" t="s">
        <v>1058</v>
      </c>
      <c r="C5054" t="s">
        <v>175</v>
      </c>
      <c r="D5054" t="s">
        <v>273</v>
      </c>
      <c r="E5054" t="s">
        <v>274</v>
      </c>
      <c r="F5054">
        <v>1</v>
      </c>
      <c r="G5054" t="s">
        <v>176</v>
      </c>
      <c r="H5054">
        <v>1</v>
      </c>
      <c r="I5054">
        <v>7</v>
      </c>
      <c r="J5054" s="10">
        <v>10</v>
      </c>
      <c r="K5054" s="10">
        <f>SUMIFS(F:F,D:D,DST_123_ÜRETİM_İHTİYAÇ_RAPORU_BURAK_YENI1309[[#This Row],[ALT_KOD]])-(SUMIFS(H:H,D:D,DST_123_ÜRETİM_İHTİYAÇ_RAPORU_BURAK_YENI1309[[#This Row],[ALT_KOD]])+AVERAGEIFS(I:I,D:D,DST_123_ÜRETİM_İHTİYAÇ_RAPORU_BURAK_YENI1309[[#This Row],[ALT_KOD]])+AVERAGEIFS(L:L,D:D,DST_123_ÜRETİM_İHTİYAÇ_RAPORU_BURAK_YENI1309[[#This Row],[ALT_KOD]]))</f>
        <v>4</v>
      </c>
      <c r="L5054">
        <v>0</v>
      </c>
      <c r="M5054">
        <f>IF((DST_123_ÜRETİM_İHTİYAÇ_RAPORU_BURAK_YENI1309[[#This Row],[SATINALMA]]*DST_123_ÜRETİM_İHTİYAÇ_RAPORU_BURAK_YENI1309[[#This Row],[BIRIM_FIYATLAR]])&lt;1,VALUE("0"),DST_123_ÜRETİM_İHTİYAÇ_RAPORU_BURAK_YENI1309[[#This Row],[SATINALMA]]*DST_123_ÜRETİM_İHTİYAÇ_RAPORU_BURAK_YENI1309[[#This Row],[BIRIM_FIYATLAR]])</f>
        <v>1950.24</v>
      </c>
      <c r="N5054">
        <v>487.56</v>
      </c>
      <c r="O5054" t="s">
        <v>275</v>
      </c>
      <c r="P5054">
        <v>487.56</v>
      </c>
      <c r="Q5054" t="s">
        <v>177</v>
      </c>
    </row>
    <row r="5055" spans="1:17" x14ac:dyDescent="0.25">
      <c r="A5055" t="s">
        <v>1095</v>
      </c>
      <c r="B5055" t="s">
        <v>1096</v>
      </c>
      <c r="C5055" t="s">
        <v>175</v>
      </c>
      <c r="D5055" t="s">
        <v>340</v>
      </c>
      <c r="E5055" t="s">
        <v>341</v>
      </c>
      <c r="F5055">
        <v>2.04</v>
      </c>
      <c r="G5055" t="s">
        <v>176</v>
      </c>
      <c r="H5055">
        <v>0</v>
      </c>
      <c r="I5055">
        <v>75</v>
      </c>
      <c r="J5055" s="10">
        <v>42.70000000000006</v>
      </c>
      <c r="K5055" s="10">
        <f>SUMIFS(F:F,D:D,DST_123_ÜRETİM_İHTİYAÇ_RAPORU_BURAK_YENI1309[[#This Row],[ALT_KOD]])-(SUMIFS(H:H,D:D,DST_123_ÜRETİM_İHTİYAÇ_RAPORU_BURAK_YENI1309[[#This Row],[ALT_KOD]])+AVERAGEIFS(I:I,D:D,DST_123_ÜRETİM_İHTİYAÇ_RAPORU_BURAK_YENI1309[[#This Row],[ALT_KOD]])+AVERAGEIFS(L:L,D:D,DST_123_ÜRETİM_İHTİYAÇ_RAPORU_BURAK_YENI1309[[#This Row],[ALT_KOD]]))</f>
        <v>-48.040000000000006</v>
      </c>
      <c r="L5055">
        <v>0</v>
      </c>
      <c r="M5055">
        <f>IF((DST_123_ÜRETİM_İHTİYAÇ_RAPORU_BURAK_YENI1309[[#This Row],[SATINALMA]]*DST_123_ÜRETİM_İHTİYAÇ_RAPORU_BURAK_YENI1309[[#This Row],[BIRIM_FIYATLAR]])&lt;1,VALUE("0"),DST_123_ÜRETİM_İHTİYAÇ_RAPORU_BURAK_YENI1309[[#This Row],[SATINALMA]]*DST_123_ÜRETİM_İHTİYAÇ_RAPORU_BURAK_YENI1309[[#This Row],[BIRIM_FIYATLAR]])</f>
        <v>0</v>
      </c>
      <c r="N5055">
        <v>15</v>
      </c>
      <c r="O5055" t="s">
        <v>240</v>
      </c>
      <c r="P5055">
        <v>30.6</v>
      </c>
      <c r="Q5055" t="s">
        <v>180</v>
      </c>
    </row>
    <row r="5056" spans="1:17" x14ac:dyDescent="0.25">
      <c r="A5056" t="s">
        <v>1064</v>
      </c>
      <c r="B5056" t="s">
        <v>1055</v>
      </c>
      <c r="C5056" t="s">
        <v>175</v>
      </c>
      <c r="D5056" t="s">
        <v>718</v>
      </c>
      <c r="E5056" t="s">
        <v>719</v>
      </c>
      <c r="F5056">
        <v>1</v>
      </c>
      <c r="G5056" t="s">
        <v>176</v>
      </c>
      <c r="H5056">
        <v>1</v>
      </c>
      <c r="I5056">
        <v>1</v>
      </c>
      <c r="J5056" s="10">
        <v>4</v>
      </c>
      <c r="K5056" s="10">
        <f>SUMIFS(F:F,D:D,DST_123_ÜRETİM_İHTİYAÇ_RAPORU_BURAK_YENI1309[[#This Row],[ALT_KOD]])-(SUMIFS(H:H,D:D,DST_123_ÜRETİM_İHTİYAÇ_RAPORU_BURAK_YENI1309[[#This Row],[ALT_KOD]])+AVERAGEIFS(I:I,D:D,DST_123_ÜRETİM_İHTİYAÇ_RAPORU_BURAK_YENI1309[[#This Row],[ALT_KOD]])+AVERAGEIFS(L:L,D:D,DST_123_ÜRETİM_İHTİYAÇ_RAPORU_BURAK_YENI1309[[#This Row],[ALT_KOD]]))</f>
        <v>13</v>
      </c>
      <c r="L5056">
        <v>0</v>
      </c>
      <c r="M5056">
        <f>IF((DST_123_ÜRETİM_İHTİYAÇ_RAPORU_BURAK_YENI1309[[#This Row],[SATINALMA]]*DST_123_ÜRETİM_İHTİYAÇ_RAPORU_BURAK_YENI1309[[#This Row],[BIRIM_FIYATLAR]])&lt;1,VALUE("0"),DST_123_ÜRETİM_İHTİYAÇ_RAPORU_BURAK_YENI1309[[#This Row],[SATINALMA]]*DST_123_ÜRETİM_İHTİYAÇ_RAPORU_BURAK_YENI1309[[#This Row],[BIRIM_FIYATLAR]])</f>
        <v>168880.14</v>
      </c>
      <c r="N5056">
        <v>12990.78</v>
      </c>
      <c r="O5056" t="s">
        <v>589</v>
      </c>
      <c r="P5056">
        <v>12990.78</v>
      </c>
      <c r="Q5056" t="s">
        <v>177</v>
      </c>
    </row>
    <row r="5057" spans="1:17" x14ac:dyDescent="0.25">
      <c r="A5057" t="s">
        <v>1196</v>
      </c>
      <c r="B5057" t="s">
        <v>1197</v>
      </c>
      <c r="C5057" t="s">
        <v>175</v>
      </c>
      <c r="D5057" t="s">
        <v>96</v>
      </c>
      <c r="E5057" t="s">
        <v>97</v>
      </c>
      <c r="F5057">
        <v>1</v>
      </c>
      <c r="G5057" t="s">
        <v>176</v>
      </c>
      <c r="H5057">
        <v>0</v>
      </c>
      <c r="I5057">
        <v>0</v>
      </c>
      <c r="J5057" s="10">
        <v>5</v>
      </c>
      <c r="K5057" s="10">
        <f>SUMIFS(F:F,D:D,DST_123_ÜRETİM_İHTİYAÇ_RAPORU_BURAK_YENI1309[[#This Row],[ALT_KOD]])-(SUMIFS(H:H,D:D,DST_123_ÜRETİM_İHTİYAÇ_RAPORU_BURAK_YENI1309[[#This Row],[ALT_KOD]])+AVERAGEIFS(I:I,D:D,DST_123_ÜRETİM_İHTİYAÇ_RAPORU_BURAK_YENI1309[[#This Row],[ALT_KOD]])+AVERAGEIFS(L:L,D:D,DST_123_ÜRETİM_İHTİYAÇ_RAPORU_BURAK_YENI1309[[#This Row],[ALT_KOD]]))</f>
        <v>0</v>
      </c>
      <c r="L5057">
        <v>7</v>
      </c>
      <c r="M5057">
        <f>IF((DST_123_ÜRETİM_İHTİYAÇ_RAPORU_BURAK_YENI1309[[#This Row],[SATINALMA]]*DST_123_ÜRETİM_İHTİYAÇ_RAPORU_BURAK_YENI1309[[#This Row],[BIRIM_FIYATLAR]])&lt;1,VALUE("0"),DST_123_ÜRETİM_İHTİYAÇ_RAPORU_BURAK_YENI1309[[#This Row],[SATINALMA]]*DST_123_ÜRETİM_İHTİYAÇ_RAPORU_BURAK_YENI1309[[#This Row],[BIRIM_FIYATLAR]])</f>
        <v>0</v>
      </c>
      <c r="N5057">
        <v>1491.67</v>
      </c>
      <c r="O5057" t="s">
        <v>632</v>
      </c>
      <c r="P5057">
        <v>1491.67</v>
      </c>
      <c r="Q5057" t="s">
        <v>177</v>
      </c>
    </row>
    <row r="5058" spans="1:17" x14ac:dyDescent="0.25">
      <c r="A5058" t="s">
        <v>1097</v>
      </c>
      <c r="B5058" t="s">
        <v>1055</v>
      </c>
      <c r="C5058" t="s">
        <v>175</v>
      </c>
      <c r="D5058" t="s">
        <v>779</v>
      </c>
      <c r="E5058" t="s">
        <v>780</v>
      </c>
      <c r="F5058">
        <v>2</v>
      </c>
      <c r="G5058" t="s">
        <v>176</v>
      </c>
      <c r="H5058">
        <v>2</v>
      </c>
      <c r="I5058">
        <v>1</v>
      </c>
      <c r="J5058" s="10">
        <v>14</v>
      </c>
      <c r="K5058" s="10">
        <f>SUMIFS(F:F,D:D,DST_123_ÜRETİM_İHTİYAÇ_RAPORU_BURAK_YENI1309[[#This Row],[ALT_KOD]])-(SUMIFS(H:H,D:D,DST_123_ÜRETİM_İHTİYAÇ_RAPORU_BURAK_YENI1309[[#This Row],[ALT_KOD]])+AVERAGEIFS(I:I,D:D,DST_123_ÜRETİM_İHTİYAÇ_RAPORU_BURAK_YENI1309[[#This Row],[ALT_KOD]])+AVERAGEIFS(L:L,D:D,DST_123_ÜRETİM_İHTİYAÇ_RAPORU_BURAK_YENI1309[[#This Row],[ALT_KOD]]))</f>
        <v>25</v>
      </c>
      <c r="L5058">
        <v>0</v>
      </c>
      <c r="M5058">
        <f>IF((DST_123_ÜRETİM_İHTİYAÇ_RAPORU_BURAK_YENI1309[[#This Row],[SATINALMA]]*DST_123_ÜRETİM_İHTİYAÇ_RAPORU_BURAK_YENI1309[[#This Row],[BIRIM_FIYATLAR]])&lt;1,VALUE("0"),DST_123_ÜRETİM_İHTİYAÇ_RAPORU_BURAK_YENI1309[[#This Row],[SATINALMA]]*DST_123_ÜRETİM_İHTİYAÇ_RAPORU_BURAK_YENI1309[[#This Row],[BIRIM_FIYATLAR]])</f>
        <v>11103.25</v>
      </c>
      <c r="N5058">
        <v>444.13</v>
      </c>
      <c r="O5058" t="s">
        <v>589</v>
      </c>
      <c r="P5058">
        <v>888.26</v>
      </c>
      <c r="Q5058" t="s">
        <v>177</v>
      </c>
    </row>
    <row r="5059" spans="1:17" x14ac:dyDescent="0.25">
      <c r="A5059" t="s">
        <v>1099</v>
      </c>
      <c r="B5059" t="s">
        <v>1055</v>
      </c>
      <c r="C5059" t="s">
        <v>175</v>
      </c>
      <c r="D5059" t="s">
        <v>433</v>
      </c>
      <c r="E5059" t="s">
        <v>434</v>
      </c>
      <c r="F5059">
        <v>1</v>
      </c>
      <c r="G5059" t="s">
        <v>176</v>
      </c>
      <c r="H5059">
        <v>1</v>
      </c>
      <c r="I5059">
        <v>12</v>
      </c>
      <c r="J5059" s="10">
        <v>5</v>
      </c>
      <c r="K5059" s="10">
        <f>SUMIFS(F:F,D:D,DST_123_ÜRETİM_İHTİYAÇ_RAPORU_BURAK_YENI1309[[#This Row],[ALT_KOD]])-(SUMIFS(H:H,D:D,DST_123_ÜRETİM_İHTİYAÇ_RAPORU_BURAK_YENI1309[[#This Row],[ALT_KOD]])+AVERAGEIFS(I:I,D:D,DST_123_ÜRETİM_İHTİYAÇ_RAPORU_BURAK_YENI1309[[#This Row],[ALT_KOD]])+AVERAGEIFS(L:L,D:D,DST_123_ÜRETİM_İHTİYAÇ_RAPORU_BURAK_YENI1309[[#This Row],[ALT_KOD]]))</f>
        <v>-8</v>
      </c>
      <c r="L5059">
        <v>0</v>
      </c>
      <c r="M5059">
        <f>IF((DST_123_ÜRETİM_İHTİYAÇ_RAPORU_BURAK_YENI1309[[#This Row],[SATINALMA]]*DST_123_ÜRETİM_İHTİYAÇ_RAPORU_BURAK_YENI1309[[#This Row],[BIRIM_FIYATLAR]])&lt;1,VALUE("0"),DST_123_ÜRETİM_İHTİYAÇ_RAPORU_BURAK_YENI1309[[#This Row],[SATINALMA]]*DST_123_ÜRETİM_İHTİYAÇ_RAPORU_BURAK_YENI1309[[#This Row],[BIRIM_FIYATLAR]])</f>
        <v>0</v>
      </c>
      <c r="N5059">
        <v>1679.53</v>
      </c>
      <c r="O5059" t="s">
        <v>636</v>
      </c>
      <c r="P5059">
        <v>1679.53</v>
      </c>
      <c r="Q5059" t="s">
        <v>178</v>
      </c>
    </row>
    <row r="5060" spans="1:17" x14ac:dyDescent="0.25">
      <c r="A5060" t="s">
        <v>1064</v>
      </c>
      <c r="B5060" t="s">
        <v>1055</v>
      </c>
      <c r="C5060" t="s">
        <v>175</v>
      </c>
      <c r="D5060" t="s">
        <v>433</v>
      </c>
      <c r="E5060" t="s">
        <v>434</v>
      </c>
      <c r="F5060">
        <v>1</v>
      </c>
      <c r="G5060" t="s">
        <v>176</v>
      </c>
      <c r="H5060">
        <v>1</v>
      </c>
      <c r="I5060">
        <v>12</v>
      </c>
      <c r="J5060" s="10">
        <v>5</v>
      </c>
      <c r="K5060" s="10">
        <f>SUMIFS(F:F,D:D,DST_123_ÜRETİM_İHTİYAÇ_RAPORU_BURAK_YENI1309[[#This Row],[ALT_KOD]])-(SUMIFS(H:H,D:D,DST_123_ÜRETİM_İHTİYAÇ_RAPORU_BURAK_YENI1309[[#This Row],[ALT_KOD]])+AVERAGEIFS(I:I,D:D,DST_123_ÜRETİM_İHTİYAÇ_RAPORU_BURAK_YENI1309[[#This Row],[ALT_KOD]])+AVERAGEIFS(L:L,D:D,DST_123_ÜRETİM_İHTİYAÇ_RAPORU_BURAK_YENI1309[[#This Row],[ALT_KOD]]))</f>
        <v>-8</v>
      </c>
      <c r="L5060">
        <v>0</v>
      </c>
      <c r="M5060">
        <f>IF((DST_123_ÜRETİM_İHTİYAÇ_RAPORU_BURAK_YENI1309[[#This Row],[SATINALMA]]*DST_123_ÜRETİM_İHTİYAÇ_RAPORU_BURAK_YENI1309[[#This Row],[BIRIM_FIYATLAR]])&lt;1,VALUE("0"),DST_123_ÜRETİM_İHTİYAÇ_RAPORU_BURAK_YENI1309[[#This Row],[SATINALMA]]*DST_123_ÜRETİM_İHTİYAÇ_RAPORU_BURAK_YENI1309[[#This Row],[BIRIM_FIYATLAR]])</f>
        <v>0</v>
      </c>
      <c r="N5060">
        <v>1679.53</v>
      </c>
      <c r="O5060" t="s">
        <v>636</v>
      </c>
      <c r="P5060">
        <v>1679.53</v>
      </c>
      <c r="Q5060" t="s">
        <v>178</v>
      </c>
    </row>
    <row r="5061" spans="1:17" x14ac:dyDescent="0.25">
      <c r="A5061" t="s">
        <v>1144</v>
      </c>
      <c r="B5061" t="s">
        <v>1145</v>
      </c>
      <c r="C5061" t="s">
        <v>175</v>
      </c>
      <c r="D5061" t="s">
        <v>599</v>
      </c>
      <c r="E5061" t="s">
        <v>600</v>
      </c>
      <c r="F5061">
        <v>4</v>
      </c>
      <c r="G5061" t="s">
        <v>176</v>
      </c>
      <c r="H5061">
        <v>0</v>
      </c>
      <c r="I5061">
        <v>37</v>
      </c>
      <c r="J5061" s="10">
        <v>14</v>
      </c>
      <c r="K5061" s="10">
        <f>SUMIFS(F:F,D:D,DST_123_ÜRETİM_İHTİYAÇ_RAPORU_BURAK_YENI1309[[#This Row],[ALT_KOD]])-(SUMIFS(H:H,D:D,DST_123_ÜRETİM_İHTİYAÇ_RAPORU_BURAK_YENI1309[[#This Row],[ALT_KOD]])+AVERAGEIFS(I:I,D:D,DST_123_ÜRETİM_İHTİYAÇ_RAPORU_BURAK_YENI1309[[#This Row],[ALT_KOD]])+AVERAGEIFS(L:L,D:D,DST_123_ÜRETİM_İHTİYAÇ_RAPORU_BURAK_YENI1309[[#This Row],[ALT_KOD]]))</f>
        <v>-5</v>
      </c>
      <c r="L5061">
        <v>0</v>
      </c>
      <c r="M5061">
        <f>IF((DST_123_ÜRETİM_İHTİYAÇ_RAPORU_BURAK_YENI1309[[#This Row],[SATINALMA]]*DST_123_ÜRETİM_İHTİYAÇ_RAPORU_BURAK_YENI1309[[#This Row],[BIRIM_FIYATLAR]])&lt;1,VALUE("0"),DST_123_ÜRETİM_İHTİYAÇ_RAPORU_BURAK_YENI1309[[#This Row],[SATINALMA]]*DST_123_ÜRETİM_İHTİYAÇ_RAPORU_BURAK_YENI1309[[#This Row],[BIRIM_FIYATLAR]])</f>
        <v>0</v>
      </c>
      <c r="N5061">
        <v>313.88</v>
      </c>
      <c r="O5061" t="s">
        <v>636</v>
      </c>
      <c r="P5061">
        <v>1255.52</v>
      </c>
      <c r="Q5061" t="s">
        <v>177</v>
      </c>
    </row>
    <row r="5062" spans="1:17" x14ac:dyDescent="0.25">
      <c r="A5062" t="s">
        <v>1146</v>
      </c>
      <c r="B5062" t="s">
        <v>1145</v>
      </c>
      <c r="C5062" t="s">
        <v>175</v>
      </c>
      <c r="D5062" t="s">
        <v>599</v>
      </c>
      <c r="E5062" t="s">
        <v>600</v>
      </c>
      <c r="F5062">
        <v>4</v>
      </c>
      <c r="G5062" t="s">
        <v>176</v>
      </c>
      <c r="H5062">
        <v>0</v>
      </c>
      <c r="I5062">
        <v>37</v>
      </c>
      <c r="J5062" s="10">
        <v>14</v>
      </c>
      <c r="K5062" s="10">
        <f>SUMIFS(F:F,D:D,DST_123_ÜRETİM_İHTİYAÇ_RAPORU_BURAK_YENI1309[[#This Row],[ALT_KOD]])-(SUMIFS(H:H,D:D,DST_123_ÜRETİM_İHTİYAÇ_RAPORU_BURAK_YENI1309[[#This Row],[ALT_KOD]])+AVERAGEIFS(I:I,D:D,DST_123_ÜRETİM_İHTİYAÇ_RAPORU_BURAK_YENI1309[[#This Row],[ALT_KOD]])+AVERAGEIFS(L:L,D:D,DST_123_ÜRETİM_İHTİYAÇ_RAPORU_BURAK_YENI1309[[#This Row],[ALT_KOD]]))</f>
        <v>-5</v>
      </c>
      <c r="L5062">
        <v>0</v>
      </c>
      <c r="M5062">
        <f>IF((DST_123_ÜRETİM_İHTİYAÇ_RAPORU_BURAK_YENI1309[[#This Row],[SATINALMA]]*DST_123_ÜRETİM_İHTİYAÇ_RAPORU_BURAK_YENI1309[[#This Row],[BIRIM_FIYATLAR]])&lt;1,VALUE("0"),DST_123_ÜRETİM_İHTİYAÇ_RAPORU_BURAK_YENI1309[[#This Row],[SATINALMA]]*DST_123_ÜRETİM_İHTİYAÇ_RAPORU_BURAK_YENI1309[[#This Row],[BIRIM_FIYATLAR]])</f>
        <v>0</v>
      </c>
      <c r="N5062">
        <v>313.88</v>
      </c>
      <c r="O5062" t="s">
        <v>636</v>
      </c>
      <c r="P5062">
        <v>1255.52</v>
      </c>
      <c r="Q5062" t="s">
        <v>177</v>
      </c>
    </row>
    <row r="5063" spans="1:17" x14ac:dyDescent="0.25">
      <c r="A5063" t="s">
        <v>1146</v>
      </c>
      <c r="B5063" t="s">
        <v>1145</v>
      </c>
      <c r="C5063" t="s">
        <v>175</v>
      </c>
      <c r="D5063" t="s">
        <v>645</v>
      </c>
      <c r="E5063" t="s">
        <v>646</v>
      </c>
      <c r="F5063">
        <v>1</v>
      </c>
      <c r="G5063" t="s">
        <v>176</v>
      </c>
      <c r="H5063">
        <v>0</v>
      </c>
      <c r="I5063">
        <v>1</v>
      </c>
      <c r="J5063" s="10">
        <v>10</v>
      </c>
      <c r="K5063" s="10">
        <f>SUMIFS(F:F,D:D,DST_123_ÜRETİM_İHTİYAÇ_RAPORU_BURAK_YENI1309[[#This Row],[ALT_KOD]])-(SUMIFS(H:H,D:D,DST_123_ÜRETİM_İHTİYAÇ_RAPORU_BURAK_YENI1309[[#This Row],[ALT_KOD]])+AVERAGEIFS(I:I,D:D,DST_123_ÜRETİM_İHTİYAÇ_RAPORU_BURAK_YENI1309[[#This Row],[ALT_KOD]])+AVERAGEIFS(L:L,D:D,DST_123_ÜRETİM_İHTİYAÇ_RAPORU_BURAK_YENI1309[[#This Row],[ALT_KOD]]))</f>
        <v>11</v>
      </c>
      <c r="L5063">
        <v>0</v>
      </c>
      <c r="M5063">
        <f>IF((DST_123_ÜRETİM_İHTİYAÇ_RAPORU_BURAK_YENI1309[[#This Row],[SATINALMA]]*DST_123_ÜRETİM_İHTİYAÇ_RAPORU_BURAK_YENI1309[[#This Row],[BIRIM_FIYATLAR]])&lt;1,VALUE("0"),DST_123_ÜRETİM_İHTİYAÇ_RAPORU_BURAK_YENI1309[[#This Row],[SATINALMA]]*DST_123_ÜRETİM_İHTİYAÇ_RAPORU_BURAK_YENI1309[[#This Row],[BIRIM_FIYATLAR]])</f>
        <v>20020</v>
      </c>
      <c r="N5063">
        <v>1820</v>
      </c>
      <c r="O5063" t="s">
        <v>262</v>
      </c>
      <c r="P5063">
        <v>1820</v>
      </c>
      <c r="Q5063" t="s">
        <v>641</v>
      </c>
    </row>
    <row r="5064" spans="1:17" x14ac:dyDescent="0.25">
      <c r="A5064" t="s">
        <v>1149</v>
      </c>
      <c r="B5064" t="s">
        <v>1145</v>
      </c>
      <c r="C5064" t="s">
        <v>175</v>
      </c>
      <c r="D5064" t="s">
        <v>599</v>
      </c>
      <c r="E5064" t="s">
        <v>600</v>
      </c>
      <c r="F5064">
        <v>4</v>
      </c>
      <c r="G5064" t="s">
        <v>176</v>
      </c>
      <c r="H5064">
        <v>0</v>
      </c>
      <c r="I5064">
        <v>37</v>
      </c>
      <c r="J5064" s="10">
        <v>14</v>
      </c>
      <c r="K5064" s="10">
        <f>SUMIFS(F:F,D:D,DST_123_ÜRETİM_İHTİYAÇ_RAPORU_BURAK_YENI1309[[#This Row],[ALT_KOD]])-(SUMIFS(H:H,D:D,DST_123_ÜRETİM_İHTİYAÇ_RAPORU_BURAK_YENI1309[[#This Row],[ALT_KOD]])+AVERAGEIFS(I:I,D:D,DST_123_ÜRETİM_İHTİYAÇ_RAPORU_BURAK_YENI1309[[#This Row],[ALT_KOD]])+AVERAGEIFS(L:L,D:D,DST_123_ÜRETİM_İHTİYAÇ_RAPORU_BURAK_YENI1309[[#This Row],[ALT_KOD]]))</f>
        <v>-5</v>
      </c>
      <c r="L5064">
        <v>0</v>
      </c>
      <c r="M5064">
        <f>IF((DST_123_ÜRETİM_İHTİYAÇ_RAPORU_BURAK_YENI1309[[#This Row],[SATINALMA]]*DST_123_ÜRETİM_İHTİYAÇ_RAPORU_BURAK_YENI1309[[#This Row],[BIRIM_FIYATLAR]])&lt;1,VALUE("0"),DST_123_ÜRETİM_İHTİYAÇ_RAPORU_BURAK_YENI1309[[#This Row],[SATINALMA]]*DST_123_ÜRETİM_İHTİYAÇ_RAPORU_BURAK_YENI1309[[#This Row],[BIRIM_FIYATLAR]])</f>
        <v>0</v>
      </c>
      <c r="N5064">
        <v>313.88</v>
      </c>
      <c r="O5064" t="s">
        <v>636</v>
      </c>
      <c r="P5064">
        <v>1255.52</v>
      </c>
      <c r="Q5064" t="s">
        <v>177</v>
      </c>
    </row>
    <row r="5065" spans="1:17" x14ac:dyDescent="0.25">
      <c r="A5065" t="s">
        <v>1149</v>
      </c>
      <c r="B5065" t="s">
        <v>1145</v>
      </c>
      <c r="C5065" t="s">
        <v>175</v>
      </c>
      <c r="D5065" t="s">
        <v>645</v>
      </c>
      <c r="E5065" t="s">
        <v>646</v>
      </c>
      <c r="F5065">
        <v>1</v>
      </c>
      <c r="G5065" t="s">
        <v>176</v>
      </c>
      <c r="H5065">
        <v>0</v>
      </c>
      <c r="I5065">
        <v>1</v>
      </c>
      <c r="J5065" s="10">
        <v>10</v>
      </c>
      <c r="K5065" s="10">
        <f>SUMIFS(F:F,D:D,DST_123_ÜRETİM_İHTİYAÇ_RAPORU_BURAK_YENI1309[[#This Row],[ALT_KOD]])-(SUMIFS(H:H,D:D,DST_123_ÜRETİM_İHTİYAÇ_RAPORU_BURAK_YENI1309[[#This Row],[ALT_KOD]])+AVERAGEIFS(I:I,D:D,DST_123_ÜRETİM_İHTİYAÇ_RAPORU_BURAK_YENI1309[[#This Row],[ALT_KOD]])+AVERAGEIFS(L:L,D:D,DST_123_ÜRETİM_İHTİYAÇ_RAPORU_BURAK_YENI1309[[#This Row],[ALT_KOD]]))</f>
        <v>11</v>
      </c>
      <c r="L5065">
        <v>0</v>
      </c>
      <c r="M5065">
        <f>IF((DST_123_ÜRETİM_İHTİYAÇ_RAPORU_BURAK_YENI1309[[#This Row],[SATINALMA]]*DST_123_ÜRETİM_İHTİYAÇ_RAPORU_BURAK_YENI1309[[#This Row],[BIRIM_FIYATLAR]])&lt;1,VALUE("0"),DST_123_ÜRETİM_İHTİYAÇ_RAPORU_BURAK_YENI1309[[#This Row],[SATINALMA]]*DST_123_ÜRETİM_İHTİYAÇ_RAPORU_BURAK_YENI1309[[#This Row],[BIRIM_FIYATLAR]])</f>
        <v>20020</v>
      </c>
      <c r="N5065">
        <v>1820</v>
      </c>
      <c r="O5065" t="s">
        <v>262</v>
      </c>
      <c r="P5065">
        <v>1820</v>
      </c>
      <c r="Q5065" t="s">
        <v>641</v>
      </c>
    </row>
    <row r="5066" spans="1:17" x14ac:dyDescent="0.25">
      <c r="A5066" t="s">
        <v>1196</v>
      </c>
      <c r="B5066" t="s">
        <v>1197</v>
      </c>
      <c r="C5066" t="s">
        <v>175</v>
      </c>
      <c r="D5066" t="s">
        <v>599</v>
      </c>
      <c r="E5066" t="s">
        <v>600</v>
      </c>
      <c r="F5066">
        <v>4</v>
      </c>
      <c r="G5066" t="s">
        <v>176</v>
      </c>
      <c r="H5066">
        <v>0</v>
      </c>
      <c r="I5066">
        <v>37</v>
      </c>
      <c r="J5066" s="10">
        <v>14</v>
      </c>
      <c r="K5066" s="10">
        <f>SUMIFS(F:F,D:D,DST_123_ÜRETİM_İHTİYAÇ_RAPORU_BURAK_YENI1309[[#This Row],[ALT_KOD]])-(SUMIFS(H:H,D:D,DST_123_ÜRETİM_İHTİYAÇ_RAPORU_BURAK_YENI1309[[#This Row],[ALT_KOD]])+AVERAGEIFS(I:I,D:D,DST_123_ÜRETİM_İHTİYAÇ_RAPORU_BURAK_YENI1309[[#This Row],[ALT_KOD]])+AVERAGEIFS(L:L,D:D,DST_123_ÜRETİM_İHTİYAÇ_RAPORU_BURAK_YENI1309[[#This Row],[ALT_KOD]]))</f>
        <v>-5</v>
      </c>
      <c r="L5066">
        <v>0</v>
      </c>
      <c r="M5066">
        <f>IF((DST_123_ÜRETİM_İHTİYAÇ_RAPORU_BURAK_YENI1309[[#This Row],[SATINALMA]]*DST_123_ÜRETİM_İHTİYAÇ_RAPORU_BURAK_YENI1309[[#This Row],[BIRIM_FIYATLAR]])&lt;1,VALUE("0"),DST_123_ÜRETİM_İHTİYAÇ_RAPORU_BURAK_YENI1309[[#This Row],[SATINALMA]]*DST_123_ÜRETİM_İHTİYAÇ_RAPORU_BURAK_YENI1309[[#This Row],[BIRIM_FIYATLAR]])</f>
        <v>0</v>
      </c>
      <c r="N5066">
        <v>313.88</v>
      </c>
      <c r="O5066" t="s">
        <v>636</v>
      </c>
      <c r="P5066">
        <v>1255.52</v>
      </c>
      <c r="Q5066" t="s">
        <v>177</v>
      </c>
    </row>
    <row r="5067" spans="1:17" x14ac:dyDescent="0.25">
      <c r="A5067" t="s">
        <v>1196</v>
      </c>
      <c r="B5067" t="s">
        <v>1197</v>
      </c>
      <c r="C5067" t="s">
        <v>175</v>
      </c>
      <c r="D5067" t="s">
        <v>645</v>
      </c>
      <c r="E5067" t="s">
        <v>646</v>
      </c>
      <c r="F5067">
        <v>1</v>
      </c>
      <c r="G5067" t="s">
        <v>176</v>
      </c>
      <c r="H5067">
        <v>0</v>
      </c>
      <c r="I5067">
        <v>1</v>
      </c>
      <c r="J5067" s="10">
        <v>10</v>
      </c>
      <c r="K5067" s="10">
        <f>SUMIFS(F:F,D:D,DST_123_ÜRETİM_İHTİYAÇ_RAPORU_BURAK_YENI1309[[#This Row],[ALT_KOD]])-(SUMIFS(H:H,D:D,DST_123_ÜRETİM_İHTİYAÇ_RAPORU_BURAK_YENI1309[[#This Row],[ALT_KOD]])+AVERAGEIFS(I:I,D:D,DST_123_ÜRETİM_İHTİYAÇ_RAPORU_BURAK_YENI1309[[#This Row],[ALT_KOD]])+AVERAGEIFS(L:L,D:D,DST_123_ÜRETİM_İHTİYAÇ_RAPORU_BURAK_YENI1309[[#This Row],[ALT_KOD]]))</f>
        <v>11</v>
      </c>
      <c r="L5067">
        <v>0</v>
      </c>
      <c r="M5067">
        <f>IF((DST_123_ÜRETİM_İHTİYAÇ_RAPORU_BURAK_YENI1309[[#This Row],[SATINALMA]]*DST_123_ÜRETİM_İHTİYAÇ_RAPORU_BURAK_YENI1309[[#This Row],[BIRIM_FIYATLAR]])&lt;1,VALUE("0"),DST_123_ÜRETİM_İHTİYAÇ_RAPORU_BURAK_YENI1309[[#This Row],[SATINALMA]]*DST_123_ÜRETİM_İHTİYAÇ_RAPORU_BURAK_YENI1309[[#This Row],[BIRIM_FIYATLAR]])</f>
        <v>20020</v>
      </c>
      <c r="N5067">
        <v>1820</v>
      </c>
      <c r="O5067" t="s">
        <v>262</v>
      </c>
      <c r="P5067">
        <v>1820</v>
      </c>
      <c r="Q5067" t="s">
        <v>641</v>
      </c>
    </row>
    <row r="5068" spans="1:17" x14ac:dyDescent="0.25">
      <c r="A5068" t="s">
        <v>1099</v>
      </c>
      <c r="B5068" t="s">
        <v>1055</v>
      </c>
      <c r="C5068" t="s">
        <v>175</v>
      </c>
      <c r="D5068" t="s">
        <v>243</v>
      </c>
      <c r="E5068" t="s">
        <v>244</v>
      </c>
      <c r="F5068">
        <v>2</v>
      </c>
      <c r="G5068" t="s">
        <v>176</v>
      </c>
      <c r="H5068">
        <v>2</v>
      </c>
      <c r="I5068">
        <v>18</v>
      </c>
      <c r="J5068" s="10">
        <v>9</v>
      </c>
      <c r="K5068" s="10">
        <f>SUMIFS(F:F,D:D,DST_123_ÜRETİM_İHTİYAÇ_RAPORU_BURAK_YENI1309[[#This Row],[ALT_KOD]])-(SUMIFS(H:H,D:D,DST_123_ÜRETİM_İHTİYAÇ_RAPORU_BURAK_YENI1309[[#This Row],[ALT_KOD]])+AVERAGEIFS(I:I,D:D,DST_123_ÜRETİM_İHTİYAÇ_RAPORU_BURAK_YENI1309[[#This Row],[ALT_KOD]])+AVERAGEIFS(L:L,D:D,DST_123_ÜRETİM_İHTİYAÇ_RAPORU_BURAK_YENI1309[[#This Row],[ALT_KOD]]))</f>
        <v>-10</v>
      </c>
      <c r="L5068">
        <v>0</v>
      </c>
      <c r="M5068">
        <f>IF((DST_123_ÜRETİM_İHTİYAÇ_RAPORU_BURAK_YENI1309[[#This Row],[SATINALMA]]*DST_123_ÜRETİM_İHTİYAÇ_RAPORU_BURAK_YENI1309[[#This Row],[BIRIM_FIYATLAR]])&lt;1,VALUE("0"),DST_123_ÜRETİM_İHTİYAÇ_RAPORU_BURAK_YENI1309[[#This Row],[SATINALMA]]*DST_123_ÜRETİM_İHTİYAÇ_RAPORU_BURAK_YENI1309[[#This Row],[BIRIM_FIYATLAR]])</f>
        <v>0</v>
      </c>
      <c r="N5068">
        <v>60</v>
      </c>
      <c r="O5068" t="s">
        <v>628</v>
      </c>
      <c r="P5068">
        <v>120</v>
      </c>
      <c r="Q5068" t="s">
        <v>180</v>
      </c>
    </row>
    <row r="5069" spans="1:17" x14ac:dyDescent="0.25">
      <c r="A5069" t="s">
        <v>1060</v>
      </c>
      <c r="B5069" t="s">
        <v>1061</v>
      </c>
      <c r="C5069" t="s">
        <v>175</v>
      </c>
      <c r="D5069" t="s">
        <v>48</v>
      </c>
      <c r="E5069" t="s">
        <v>49</v>
      </c>
      <c r="F5069">
        <v>2</v>
      </c>
      <c r="G5069" t="s">
        <v>176</v>
      </c>
      <c r="H5069">
        <v>2</v>
      </c>
      <c r="I5069">
        <v>21</v>
      </c>
      <c r="J5069" s="10">
        <v>30</v>
      </c>
      <c r="K5069" s="10">
        <f>SUMIFS(F:F,D:D,DST_123_ÜRETİM_İHTİYAÇ_RAPORU_BURAK_YENI1309[[#This Row],[ALT_KOD]])-(SUMIFS(H:H,D:D,DST_123_ÜRETİM_İHTİYAÇ_RAPORU_BURAK_YENI1309[[#This Row],[ALT_KOD]])+AVERAGEIFS(I:I,D:D,DST_123_ÜRETİM_İHTİYAÇ_RAPORU_BURAK_YENI1309[[#This Row],[ALT_KOD]])+AVERAGEIFS(L:L,D:D,DST_123_ÜRETİM_İHTİYAÇ_RAPORU_BURAK_YENI1309[[#This Row],[ALT_KOD]]))</f>
        <v>1</v>
      </c>
      <c r="L5069">
        <v>0</v>
      </c>
      <c r="M5069">
        <f>IF((DST_123_ÜRETİM_İHTİYAÇ_RAPORU_BURAK_YENI1309[[#This Row],[SATINALMA]]*DST_123_ÜRETİM_İHTİYAÇ_RAPORU_BURAK_YENI1309[[#This Row],[BIRIM_FIYATLAR]])&lt;1,VALUE("0"),DST_123_ÜRETİM_İHTİYAÇ_RAPORU_BURAK_YENI1309[[#This Row],[SATINALMA]]*DST_123_ÜRETİM_İHTİYAÇ_RAPORU_BURAK_YENI1309[[#This Row],[BIRIM_FIYATLAR]])</f>
        <v>42</v>
      </c>
      <c r="N5069">
        <v>42</v>
      </c>
      <c r="O5069" t="s">
        <v>245</v>
      </c>
      <c r="P5069">
        <v>84</v>
      </c>
      <c r="Q5069" t="s">
        <v>180</v>
      </c>
    </row>
    <row r="5070" spans="1:17" x14ac:dyDescent="0.25">
      <c r="A5070" t="s">
        <v>1100</v>
      </c>
      <c r="B5070" t="s">
        <v>1058</v>
      </c>
      <c r="C5070" t="s">
        <v>175</v>
      </c>
      <c r="D5070" t="s">
        <v>772</v>
      </c>
      <c r="E5070" t="s">
        <v>773</v>
      </c>
      <c r="F5070">
        <v>4</v>
      </c>
      <c r="G5070" t="s">
        <v>176</v>
      </c>
      <c r="H5070">
        <v>4</v>
      </c>
      <c r="I5070">
        <v>56.5</v>
      </c>
      <c r="J5070" s="10">
        <v>26</v>
      </c>
      <c r="K5070" s="10">
        <f>SUMIFS(F:F,D:D,DST_123_ÜRETİM_İHTİYAÇ_RAPORU_BURAK_YENI1309[[#This Row],[ALT_KOD]])-(SUMIFS(H:H,D:D,DST_123_ÜRETİM_İHTİYAÇ_RAPORU_BURAK_YENI1309[[#This Row],[ALT_KOD]])+AVERAGEIFS(I:I,D:D,DST_123_ÜRETİM_İHTİYAÇ_RAPORU_BURAK_YENI1309[[#This Row],[ALT_KOD]])+AVERAGEIFS(L:L,D:D,DST_123_ÜRETİM_İHTİYAÇ_RAPORU_BURAK_YENI1309[[#This Row],[ALT_KOD]]))</f>
        <v>-12.5</v>
      </c>
      <c r="L5070">
        <v>0</v>
      </c>
      <c r="M5070">
        <f>IF((DST_123_ÜRETİM_İHTİYAÇ_RAPORU_BURAK_YENI1309[[#This Row],[SATINALMA]]*DST_123_ÜRETİM_İHTİYAÇ_RAPORU_BURAK_YENI1309[[#This Row],[BIRIM_FIYATLAR]])&lt;1,VALUE("0"),DST_123_ÜRETİM_İHTİYAÇ_RAPORU_BURAK_YENI1309[[#This Row],[SATINALMA]]*DST_123_ÜRETİM_İHTİYAÇ_RAPORU_BURAK_YENI1309[[#This Row],[BIRIM_FIYATLAR]])</f>
        <v>0</v>
      </c>
      <c r="N5070">
        <v>200</v>
      </c>
      <c r="O5070" t="s">
        <v>247</v>
      </c>
      <c r="P5070">
        <v>800</v>
      </c>
      <c r="Q5070" t="s">
        <v>177</v>
      </c>
    </row>
    <row r="5071" spans="1:17" x14ac:dyDescent="0.25">
      <c r="A5071" t="s">
        <v>1150</v>
      </c>
      <c r="B5071" t="s">
        <v>1145</v>
      </c>
      <c r="C5071" t="s">
        <v>175</v>
      </c>
      <c r="D5071" t="s">
        <v>772</v>
      </c>
      <c r="E5071" t="s">
        <v>773</v>
      </c>
      <c r="F5071">
        <v>4</v>
      </c>
      <c r="G5071" t="s">
        <v>176</v>
      </c>
      <c r="H5071">
        <v>0</v>
      </c>
      <c r="I5071">
        <v>56.5</v>
      </c>
      <c r="J5071" s="10">
        <v>26</v>
      </c>
      <c r="K5071" s="10">
        <f>SUMIFS(F:F,D:D,DST_123_ÜRETİM_İHTİYAÇ_RAPORU_BURAK_YENI1309[[#This Row],[ALT_KOD]])-(SUMIFS(H:H,D:D,DST_123_ÜRETİM_İHTİYAÇ_RAPORU_BURAK_YENI1309[[#This Row],[ALT_KOD]])+AVERAGEIFS(I:I,D:D,DST_123_ÜRETİM_İHTİYAÇ_RAPORU_BURAK_YENI1309[[#This Row],[ALT_KOD]])+AVERAGEIFS(L:L,D:D,DST_123_ÜRETİM_İHTİYAÇ_RAPORU_BURAK_YENI1309[[#This Row],[ALT_KOD]]))</f>
        <v>-12.5</v>
      </c>
      <c r="L5071">
        <v>0</v>
      </c>
      <c r="M5071">
        <f>IF((DST_123_ÜRETİM_İHTİYAÇ_RAPORU_BURAK_YENI1309[[#This Row],[SATINALMA]]*DST_123_ÜRETİM_İHTİYAÇ_RAPORU_BURAK_YENI1309[[#This Row],[BIRIM_FIYATLAR]])&lt;1,VALUE("0"),DST_123_ÜRETİM_İHTİYAÇ_RAPORU_BURAK_YENI1309[[#This Row],[SATINALMA]]*DST_123_ÜRETİM_İHTİYAÇ_RAPORU_BURAK_YENI1309[[#This Row],[BIRIM_FIYATLAR]])</f>
        <v>0</v>
      </c>
      <c r="N5071">
        <v>200</v>
      </c>
      <c r="O5071" t="s">
        <v>247</v>
      </c>
      <c r="P5071">
        <v>800</v>
      </c>
      <c r="Q5071" t="s">
        <v>177</v>
      </c>
    </row>
    <row r="5072" spans="1:17" x14ac:dyDescent="0.25">
      <c r="A5072" t="s">
        <v>1144</v>
      </c>
      <c r="B5072" t="s">
        <v>1145</v>
      </c>
      <c r="C5072" t="s">
        <v>175</v>
      </c>
      <c r="D5072" t="s">
        <v>1163</v>
      </c>
      <c r="E5072" t="s">
        <v>1164</v>
      </c>
      <c r="F5072">
        <v>2</v>
      </c>
      <c r="G5072" t="s">
        <v>176</v>
      </c>
      <c r="H5072">
        <v>0</v>
      </c>
      <c r="I5072">
        <v>500</v>
      </c>
      <c r="J5072" s="10">
        <v>500</v>
      </c>
      <c r="K5072" s="10">
        <f>SUMIFS(F:F,D:D,DST_123_ÜRETİM_İHTİYAÇ_RAPORU_BURAK_YENI1309[[#This Row],[ALT_KOD]])-(SUMIFS(H:H,D:D,DST_123_ÜRETİM_İHTİYAÇ_RAPORU_BURAK_YENI1309[[#This Row],[ALT_KOD]])+AVERAGEIFS(I:I,D:D,DST_123_ÜRETİM_İHTİYAÇ_RAPORU_BURAK_YENI1309[[#This Row],[ALT_KOD]])+AVERAGEIFS(L:L,D:D,DST_123_ÜRETİM_İHTİYAÇ_RAPORU_BURAK_YENI1309[[#This Row],[ALT_KOD]]))</f>
        <v>-486</v>
      </c>
      <c r="L5072">
        <v>0</v>
      </c>
      <c r="M5072">
        <f>IF((DST_123_ÜRETİM_İHTİYAÇ_RAPORU_BURAK_YENI1309[[#This Row],[SATINALMA]]*DST_123_ÜRETİM_İHTİYAÇ_RAPORU_BURAK_YENI1309[[#This Row],[BIRIM_FIYATLAR]])&lt;1,VALUE("0"),DST_123_ÜRETİM_İHTİYAÇ_RAPORU_BURAK_YENI1309[[#This Row],[SATINALMA]]*DST_123_ÜRETİM_İHTİYAÇ_RAPORU_BURAK_YENI1309[[#This Row],[BIRIM_FIYATLAR]])</f>
        <v>0</v>
      </c>
      <c r="N5072">
        <v>0.55000000000000004</v>
      </c>
      <c r="O5072" t="s">
        <v>826</v>
      </c>
      <c r="P5072">
        <v>1.1000000000000001</v>
      </c>
      <c r="Q5072" t="s">
        <v>221</v>
      </c>
    </row>
    <row r="5073" spans="1:17" x14ac:dyDescent="0.25">
      <c r="A5073" t="s">
        <v>1098</v>
      </c>
      <c r="B5073" t="s">
        <v>1096</v>
      </c>
      <c r="C5073" t="s">
        <v>175</v>
      </c>
      <c r="D5073" t="s">
        <v>645</v>
      </c>
      <c r="E5073" t="s">
        <v>646</v>
      </c>
      <c r="F5073">
        <v>1</v>
      </c>
      <c r="G5073" t="s">
        <v>176</v>
      </c>
      <c r="H5073">
        <v>0</v>
      </c>
      <c r="I5073">
        <v>1</v>
      </c>
      <c r="J5073" s="10">
        <v>10</v>
      </c>
      <c r="K5073" s="10">
        <f>SUMIFS(F:F,D:D,DST_123_ÜRETİM_İHTİYAÇ_RAPORU_BURAK_YENI1309[[#This Row],[ALT_KOD]])-(SUMIFS(H:H,D:D,DST_123_ÜRETİM_İHTİYAÇ_RAPORU_BURAK_YENI1309[[#This Row],[ALT_KOD]])+AVERAGEIFS(I:I,D:D,DST_123_ÜRETİM_İHTİYAÇ_RAPORU_BURAK_YENI1309[[#This Row],[ALT_KOD]])+AVERAGEIFS(L:L,D:D,DST_123_ÜRETİM_İHTİYAÇ_RAPORU_BURAK_YENI1309[[#This Row],[ALT_KOD]]))</f>
        <v>11</v>
      </c>
      <c r="L5073">
        <v>0</v>
      </c>
      <c r="M5073">
        <f>IF((DST_123_ÜRETİM_İHTİYAÇ_RAPORU_BURAK_YENI1309[[#This Row],[SATINALMA]]*DST_123_ÜRETİM_İHTİYAÇ_RAPORU_BURAK_YENI1309[[#This Row],[BIRIM_FIYATLAR]])&lt;1,VALUE("0"),DST_123_ÜRETİM_İHTİYAÇ_RAPORU_BURAK_YENI1309[[#This Row],[SATINALMA]]*DST_123_ÜRETİM_İHTİYAÇ_RAPORU_BURAK_YENI1309[[#This Row],[BIRIM_FIYATLAR]])</f>
        <v>20020</v>
      </c>
      <c r="N5073">
        <v>1820</v>
      </c>
      <c r="O5073" t="s">
        <v>262</v>
      </c>
      <c r="P5073">
        <v>1820</v>
      </c>
      <c r="Q5073" t="s">
        <v>641</v>
      </c>
    </row>
    <row r="5074" spans="1:17" x14ac:dyDescent="0.25">
      <c r="A5074" t="s">
        <v>1144</v>
      </c>
      <c r="B5074" t="s">
        <v>1145</v>
      </c>
      <c r="C5074" t="s">
        <v>175</v>
      </c>
      <c r="D5074" t="s">
        <v>645</v>
      </c>
      <c r="E5074" t="s">
        <v>646</v>
      </c>
      <c r="F5074">
        <v>1</v>
      </c>
      <c r="G5074" t="s">
        <v>176</v>
      </c>
      <c r="H5074">
        <v>0</v>
      </c>
      <c r="I5074">
        <v>1</v>
      </c>
      <c r="J5074" s="10">
        <v>10</v>
      </c>
      <c r="K5074" s="10">
        <f>SUMIFS(F:F,D:D,DST_123_ÜRETİM_İHTİYAÇ_RAPORU_BURAK_YENI1309[[#This Row],[ALT_KOD]])-(SUMIFS(H:H,D:D,DST_123_ÜRETİM_İHTİYAÇ_RAPORU_BURAK_YENI1309[[#This Row],[ALT_KOD]])+AVERAGEIFS(I:I,D:D,DST_123_ÜRETİM_İHTİYAÇ_RAPORU_BURAK_YENI1309[[#This Row],[ALT_KOD]])+AVERAGEIFS(L:L,D:D,DST_123_ÜRETİM_İHTİYAÇ_RAPORU_BURAK_YENI1309[[#This Row],[ALT_KOD]]))</f>
        <v>11</v>
      </c>
      <c r="L5074">
        <v>0</v>
      </c>
      <c r="M5074">
        <f>IF((DST_123_ÜRETİM_İHTİYAÇ_RAPORU_BURAK_YENI1309[[#This Row],[SATINALMA]]*DST_123_ÜRETİM_İHTİYAÇ_RAPORU_BURAK_YENI1309[[#This Row],[BIRIM_FIYATLAR]])&lt;1,VALUE("0"),DST_123_ÜRETİM_İHTİYAÇ_RAPORU_BURAK_YENI1309[[#This Row],[SATINALMA]]*DST_123_ÜRETİM_İHTİYAÇ_RAPORU_BURAK_YENI1309[[#This Row],[BIRIM_FIYATLAR]])</f>
        <v>20020</v>
      </c>
      <c r="N5074">
        <v>1820</v>
      </c>
      <c r="O5074" t="s">
        <v>262</v>
      </c>
      <c r="P5074">
        <v>1820</v>
      </c>
      <c r="Q5074" t="s">
        <v>641</v>
      </c>
    </row>
    <row r="5075" spans="1:17" x14ac:dyDescent="0.25">
      <c r="A5075" t="s">
        <v>1149</v>
      </c>
      <c r="B5075" t="s">
        <v>1145</v>
      </c>
      <c r="C5075" t="s">
        <v>175</v>
      </c>
      <c r="D5075" t="s">
        <v>1163</v>
      </c>
      <c r="E5075" t="s">
        <v>1164</v>
      </c>
      <c r="F5075">
        <v>2</v>
      </c>
      <c r="G5075" t="s">
        <v>176</v>
      </c>
      <c r="H5075">
        <v>0</v>
      </c>
      <c r="I5075">
        <v>500</v>
      </c>
      <c r="J5075" s="10">
        <v>500</v>
      </c>
      <c r="K5075" s="10">
        <f>SUMIFS(F:F,D:D,DST_123_ÜRETİM_İHTİYAÇ_RAPORU_BURAK_YENI1309[[#This Row],[ALT_KOD]])-(SUMIFS(H:H,D:D,DST_123_ÜRETİM_İHTİYAÇ_RAPORU_BURAK_YENI1309[[#This Row],[ALT_KOD]])+AVERAGEIFS(I:I,D:D,DST_123_ÜRETİM_İHTİYAÇ_RAPORU_BURAK_YENI1309[[#This Row],[ALT_KOD]])+AVERAGEIFS(L:L,D:D,DST_123_ÜRETİM_İHTİYAÇ_RAPORU_BURAK_YENI1309[[#This Row],[ALT_KOD]]))</f>
        <v>-486</v>
      </c>
      <c r="L5075">
        <v>0</v>
      </c>
      <c r="M5075">
        <f>IF((DST_123_ÜRETİM_İHTİYAÇ_RAPORU_BURAK_YENI1309[[#This Row],[SATINALMA]]*DST_123_ÜRETİM_İHTİYAÇ_RAPORU_BURAK_YENI1309[[#This Row],[BIRIM_FIYATLAR]])&lt;1,VALUE("0"),DST_123_ÜRETİM_İHTİYAÇ_RAPORU_BURAK_YENI1309[[#This Row],[SATINALMA]]*DST_123_ÜRETİM_İHTİYAÇ_RAPORU_BURAK_YENI1309[[#This Row],[BIRIM_FIYATLAR]])</f>
        <v>0</v>
      </c>
      <c r="N5075">
        <v>0.55000000000000004</v>
      </c>
      <c r="O5075" t="s">
        <v>826</v>
      </c>
      <c r="P5075">
        <v>1.1000000000000001</v>
      </c>
      <c r="Q5075" t="s">
        <v>221</v>
      </c>
    </row>
    <row r="5076" spans="1:17" x14ac:dyDescent="0.25">
      <c r="A5076" t="s">
        <v>1146</v>
      </c>
      <c r="B5076" t="s">
        <v>1145</v>
      </c>
      <c r="C5076" t="s">
        <v>175</v>
      </c>
      <c r="D5076" t="s">
        <v>1163</v>
      </c>
      <c r="E5076" t="s">
        <v>1164</v>
      </c>
      <c r="F5076">
        <v>2</v>
      </c>
      <c r="G5076" t="s">
        <v>176</v>
      </c>
      <c r="H5076">
        <v>0</v>
      </c>
      <c r="I5076">
        <v>500</v>
      </c>
      <c r="J5076" s="10">
        <v>500</v>
      </c>
      <c r="K5076" s="10">
        <f>SUMIFS(F:F,D:D,DST_123_ÜRETİM_İHTİYAÇ_RAPORU_BURAK_YENI1309[[#This Row],[ALT_KOD]])-(SUMIFS(H:H,D:D,DST_123_ÜRETİM_İHTİYAÇ_RAPORU_BURAK_YENI1309[[#This Row],[ALT_KOD]])+AVERAGEIFS(I:I,D:D,DST_123_ÜRETİM_İHTİYAÇ_RAPORU_BURAK_YENI1309[[#This Row],[ALT_KOD]])+AVERAGEIFS(L:L,D:D,DST_123_ÜRETİM_İHTİYAÇ_RAPORU_BURAK_YENI1309[[#This Row],[ALT_KOD]]))</f>
        <v>-486</v>
      </c>
      <c r="L5076">
        <v>0</v>
      </c>
      <c r="M5076">
        <f>IF((DST_123_ÜRETİM_İHTİYAÇ_RAPORU_BURAK_YENI1309[[#This Row],[SATINALMA]]*DST_123_ÜRETİM_İHTİYAÇ_RAPORU_BURAK_YENI1309[[#This Row],[BIRIM_FIYATLAR]])&lt;1,VALUE("0"),DST_123_ÜRETİM_İHTİYAÇ_RAPORU_BURAK_YENI1309[[#This Row],[SATINALMA]]*DST_123_ÜRETİM_İHTİYAÇ_RAPORU_BURAK_YENI1309[[#This Row],[BIRIM_FIYATLAR]])</f>
        <v>0</v>
      </c>
      <c r="N5076">
        <v>0.55000000000000004</v>
      </c>
      <c r="O5076" t="s">
        <v>826</v>
      </c>
      <c r="P5076">
        <v>1.1000000000000001</v>
      </c>
      <c r="Q5076" t="s">
        <v>221</v>
      </c>
    </row>
    <row r="5077" spans="1:17" x14ac:dyDescent="0.25">
      <c r="A5077" t="s">
        <v>1196</v>
      </c>
      <c r="B5077" t="s">
        <v>1197</v>
      </c>
      <c r="C5077" t="s">
        <v>175</v>
      </c>
      <c r="D5077" t="s">
        <v>772</v>
      </c>
      <c r="E5077" t="s">
        <v>773</v>
      </c>
      <c r="F5077">
        <v>4</v>
      </c>
      <c r="G5077" t="s">
        <v>176</v>
      </c>
      <c r="H5077">
        <v>0</v>
      </c>
      <c r="I5077">
        <v>56.5</v>
      </c>
      <c r="J5077" s="10">
        <v>26</v>
      </c>
      <c r="K5077" s="10">
        <f>SUMIFS(F:F,D:D,DST_123_ÜRETİM_İHTİYAÇ_RAPORU_BURAK_YENI1309[[#This Row],[ALT_KOD]])-(SUMIFS(H:H,D:D,DST_123_ÜRETİM_İHTİYAÇ_RAPORU_BURAK_YENI1309[[#This Row],[ALT_KOD]])+AVERAGEIFS(I:I,D:D,DST_123_ÜRETİM_İHTİYAÇ_RAPORU_BURAK_YENI1309[[#This Row],[ALT_KOD]])+AVERAGEIFS(L:L,D:D,DST_123_ÜRETİM_İHTİYAÇ_RAPORU_BURAK_YENI1309[[#This Row],[ALT_KOD]]))</f>
        <v>-12.5</v>
      </c>
      <c r="L5077">
        <v>0</v>
      </c>
      <c r="M5077">
        <f>IF((DST_123_ÜRETİM_İHTİYAÇ_RAPORU_BURAK_YENI1309[[#This Row],[SATINALMA]]*DST_123_ÜRETİM_İHTİYAÇ_RAPORU_BURAK_YENI1309[[#This Row],[BIRIM_FIYATLAR]])&lt;1,VALUE("0"),DST_123_ÜRETİM_İHTİYAÇ_RAPORU_BURAK_YENI1309[[#This Row],[SATINALMA]]*DST_123_ÜRETİM_İHTİYAÇ_RAPORU_BURAK_YENI1309[[#This Row],[BIRIM_FIYATLAR]])</f>
        <v>0</v>
      </c>
      <c r="N5077">
        <v>200</v>
      </c>
      <c r="O5077" t="s">
        <v>247</v>
      </c>
      <c r="P5077">
        <v>800</v>
      </c>
      <c r="Q5077" t="s">
        <v>177</v>
      </c>
    </row>
    <row r="5078" spans="1:17" x14ac:dyDescent="0.25">
      <c r="A5078" t="s">
        <v>1064</v>
      </c>
      <c r="B5078" t="s">
        <v>1055</v>
      </c>
      <c r="C5078" t="s">
        <v>175</v>
      </c>
      <c r="D5078" t="s">
        <v>645</v>
      </c>
      <c r="E5078" t="s">
        <v>646</v>
      </c>
      <c r="F5078">
        <v>1</v>
      </c>
      <c r="G5078" t="s">
        <v>176</v>
      </c>
      <c r="H5078">
        <v>1</v>
      </c>
      <c r="I5078">
        <v>1</v>
      </c>
      <c r="J5078" s="10">
        <v>10</v>
      </c>
      <c r="K5078" s="10">
        <f>SUMIFS(F:F,D:D,DST_123_ÜRETİM_İHTİYAÇ_RAPORU_BURAK_YENI1309[[#This Row],[ALT_KOD]])-(SUMIFS(H:H,D:D,DST_123_ÜRETİM_İHTİYAÇ_RAPORU_BURAK_YENI1309[[#This Row],[ALT_KOD]])+AVERAGEIFS(I:I,D:D,DST_123_ÜRETİM_İHTİYAÇ_RAPORU_BURAK_YENI1309[[#This Row],[ALT_KOD]])+AVERAGEIFS(L:L,D:D,DST_123_ÜRETİM_İHTİYAÇ_RAPORU_BURAK_YENI1309[[#This Row],[ALT_KOD]]))</f>
        <v>11</v>
      </c>
      <c r="L5078">
        <v>0</v>
      </c>
      <c r="M5078">
        <f>IF((DST_123_ÜRETİM_İHTİYAÇ_RAPORU_BURAK_YENI1309[[#This Row],[SATINALMA]]*DST_123_ÜRETİM_İHTİYAÇ_RAPORU_BURAK_YENI1309[[#This Row],[BIRIM_FIYATLAR]])&lt;1,VALUE("0"),DST_123_ÜRETİM_İHTİYAÇ_RAPORU_BURAK_YENI1309[[#This Row],[SATINALMA]]*DST_123_ÜRETİM_İHTİYAÇ_RAPORU_BURAK_YENI1309[[#This Row],[BIRIM_FIYATLAR]])</f>
        <v>20020</v>
      </c>
      <c r="N5078">
        <v>1820</v>
      </c>
      <c r="O5078" t="s">
        <v>262</v>
      </c>
      <c r="P5078">
        <v>1820</v>
      </c>
      <c r="Q5078" t="s">
        <v>641</v>
      </c>
    </row>
    <row r="5079" spans="1:17" x14ac:dyDescent="0.25">
      <c r="A5079" t="s">
        <v>1146</v>
      </c>
      <c r="B5079" t="s">
        <v>1145</v>
      </c>
      <c r="C5079" t="s">
        <v>175</v>
      </c>
      <c r="D5079" t="s">
        <v>321</v>
      </c>
      <c r="E5079" t="s">
        <v>322</v>
      </c>
      <c r="F5079">
        <v>6</v>
      </c>
      <c r="G5079" t="s">
        <v>176</v>
      </c>
      <c r="H5079">
        <v>6</v>
      </c>
      <c r="I5079">
        <v>84</v>
      </c>
      <c r="J5079" s="10">
        <v>195.90000000000009</v>
      </c>
      <c r="K5079" s="10">
        <f>SUMIFS(F:F,D:D,DST_123_ÜRETİM_İHTİYAÇ_RAPORU_BURAK_YENI1309[[#This Row],[ALT_KOD]])-(SUMIFS(H:H,D:D,DST_123_ÜRETİM_İHTİYAÇ_RAPORU_BURAK_YENI1309[[#This Row],[ALT_KOD]])+AVERAGEIFS(I:I,D:D,DST_123_ÜRETİM_İHTİYAÇ_RAPORU_BURAK_YENI1309[[#This Row],[ALT_KOD]])+AVERAGEIFS(L:L,D:D,DST_123_ÜRETİM_İHTİYAÇ_RAPORU_BURAK_YENI1309[[#This Row],[ALT_KOD]]))</f>
        <v>-24.600000000000023</v>
      </c>
      <c r="L5079">
        <v>0</v>
      </c>
      <c r="M5079">
        <f>IF((DST_123_ÜRETİM_İHTİYAÇ_RAPORU_BURAK_YENI1309[[#This Row],[SATINALMA]]*DST_123_ÜRETİM_İHTİYAÇ_RAPORU_BURAK_YENI1309[[#This Row],[BIRIM_FIYATLAR]])&lt;1,VALUE("0"),DST_123_ÜRETİM_İHTİYAÇ_RAPORU_BURAK_YENI1309[[#This Row],[SATINALMA]]*DST_123_ÜRETİM_İHTİYAÇ_RAPORU_BURAK_YENI1309[[#This Row],[BIRIM_FIYATLAR]])</f>
        <v>0</v>
      </c>
      <c r="N5079">
        <v>29</v>
      </c>
      <c r="O5079" t="s">
        <v>240</v>
      </c>
      <c r="P5079">
        <v>174</v>
      </c>
      <c r="Q5079" t="s">
        <v>180</v>
      </c>
    </row>
    <row r="5080" spans="1:17" x14ac:dyDescent="0.25">
      <c r="A5080" t="s">
        <v>1064</v>
      </c>
      <c r="B5080" t="s">
        <v>1055</v>
      </c>
      <c r="C5080" t="s">
        <v>175</v>
      </c>
      <c r="D5080" t="s">
        <v>243</v>
      </c>
      <c r="E5080" t="s">
        <v>244</v>
      </c>
      <c r="F5080">
        <v>2</v>
      </c>
      <c r="G5080" t="s">
        <v>176</v>
      </c>
      <c r="H5080">
        <v>2</v>
      </c>
      <c r="I5080">
        <v>18</v>
      </c>
      <c r="J5080" s="10">
        <v>9</v>
      </c>
      <c r="K5080" s="10">
        <f>SUMIFS(F:F,D:D,DST_123_ÜRETİM_İHTİYAÇ_RAPORU_BURAK_YENI1309[[#This Row],[ALT_KOD]])-(SUMIFS(H:H,D:D,DST_123_ÜRETİM_İHTİYAÇ_RAPORU_BURAK_YENI1309[[#This Row],[ALT_KOD]])+AVERAGEIFS(I:I,D:D,DST_123_ÜRETİM_İHTİYAÇ_RAPORU_BURAK_YENI1309[[#This Row],[ALT_KOD]])+AVERAGEIFS(L:L,D:D,DST_123_ÜRETİM_İHTİYAÇ_RAPORU_BURAK_YENI1309[[#This Row],[ALT_KOD]]))</f>
        <v>-10</v>
      </c>
      <c r="L5080">
        <v>0</v>
      </c>
      <c r="M5080">
        <f>IF((DST_123_ÜRETİM_İHTİYAÇ_RAPORU_BURAK_YENI1309[[#This Row],[SATINALMA]]*DST_123_ÜRETİM_İHTİYAÇ_RAPORU_BURAK_YENI1309[[#This Row],[BIRIM_FIYATLAR]])&lt;1,VALUE("0"),DST_123_ÜRETİM_İHTİYAÇ_RAPORU_BURAK_YENI1309[[#This Row],[SATINALMA]]*DST_123_ÜRETİM_İHTİYAÇ_RAPORU_BURAK_YENI1309[[#This Row],[BIRIM_FIYATLAR]])</f>
        <v>0</v>
      </c>
      <c r="N5080">
        <v>60</v>
      </c>
      <c r="O5080" t="s">
        <v>628</v>
      </c>
      <c r="P5080">
        <v>120</v>
      </c>
      <c r="Q5080" t="s">
        <v>180</v>
      </c>
    </row>
    <row r="5081" spans="1:17" x14ac:dyDescent="0.25">
      <c r="A5081" t="s">
        <v>1097</v>
      </c>
      <c r="B5081" t="s">
        <v>1055</v>
      </c>
      <c r="C5081" t="s">
        <v>175</v>
      </c>
      <c r="D5081" t="s">
        <v>645</v>
      </c>
      <c r="E5081" t="s">
        <v>646</v>
      </c>
      <c r="F5081">
        <v>1</v>
      </c>
      <c r="G5081" t="s">
        <v>176</v>
      </c>
      <c r="H5081">
        <v>1</v>
      </c>
      <c r="I5081">
        <v>1</v>
      </c>
      <c r="J5081" s="10">
        <v>10</v>
      </c>
      <c r="K5081" s="10">
        <f>SUMIFS(F:F,D:D,DST_123_ÜRETİM_İHTİYAÇ_RAPORU_BURAK_YENI1309[[#This Row],[ALT_KOD]])-(SUMIFS(H:H,D:D,DST_123_ÜRETİM_İHTİYAÇ_RAPORU_BURAK_YENI1309[[#This Row],[ALT_KOD]])+AVERAGEIFS(I:I,D:D,DST_123_ÜRETİM_İHTİYAÇ_RAPORU_BURAK_YENI1309[[#This Row],[ALT_KOD]])+AVERAGEIFS(L:L,D:D,DST_123_ÜRETİM_İHTİYAÇ_RAPORU_BURAK_YENI1309[[#This Row],[ALT_KOD]]))</f>
        <v>11</v>
      </c>
      <c r="L5081">
        <v>0</v>
      </c>
      <c r="M5081">
        <f>IF((DST_123_ÜRETİM_İHTİYAÇ_RAPORU_BURAK_YENI1309[[#This Row],[SATINALMA]]*DST_123_ÜRETİM_İHTİYAÇ_RAPORU_BURAK_YENI1309[[#This Row],[BIRIM_FIYATLAR]])&lt;1,VALUE("0"),DST_123_ÜRETİM_İHTİYAÇ_RAPORU_BURAK_YENI1309[[#This Row],[SATINALMA]]*DST_123_ÜRETİM_İHTİYAÇ_RAPORU_BURAK_YENI1309[[#This Row],[BIRIM_FIYATLAR]])</f>
        <v>20020</v>
      </c>
      <c r="N5081">
        <v>1820</v>
      </c>
      <c r="O5081" t="s">
        <v>262</v>
      </c>
      <c r="P5081">
        <v>1820</v>
      </c>
      <c r="Q5081" t="s">
        <v>641</v>
      </c>
    </row>
    <row r="5082" spans="1:17" x14ac:dyDescent="0.25">
      <c r="A5082" t="s">
        <v>1097</v>
      </c>
      <c r="B5082" t="s">
        <v>1055</v>
      </c>
      <c r="C5082" t="s">
        <v>175</v>
      </c>
      <c r="D5082" t="s">
        <v>599</v>
      </c>
      <c r="E5082" t="s">
        <v>600</v>
      </c>
      <c r="F5082">
        <v>2</v>
      </c>
      <c r="G5082" t="s">
        <v>176</v>
      </c>
      <c r="H5082">
        <v>2</v>
      </c>
      <c r="I5082">
        <v>37</v>
      </c>
      <c r="J5082" s="10">
        <v>14</v>
      </c>
      <c r="K5082" s="10">
        <f>SUMIFS(F:F,D:D,DST_123_ÜRETİM_İHTİYAÇ_RAPORU_BURAK_YENI1309[[#This Row],[ALT_KOD]])-(SUMIFS(H:H,D:D,DST_123_ÜRETİM_İHTİYAÇ_RAPORU_BURAK_YENI1309[[#This Row],[ALT_KOD]])+AVERAGEIFS(I:I,D:D,DST_123_ÜRETİM_İHTİYAÇ_RAPORU_BURAK_YENI1309[[#This Row],[ALT_KOD]])+AVERAGEIFS(L:L,D:D,DST_123_ÜRETİM_İHTİYAÇ_RAPORU_BURAK_YENI1309[[#This Row],[ALT_KOD]]))</f>
        <v>-5</v>
      </c>
      <c r="L5082">
        <v>0</v>
      </c>
      <c r="M5082">
        <f>IF((DST_123_ÜRETİM_İHTİYAÇ_RAPORU_BURAK_YENI1309[[#This Row],[SATINALMA]]*DST_123_ÜRETİM_İHTİYAÇ_RAPORU_BURAK_YENI1309[[#This Row],[BIRIM_FIYATLAR]])&lt;1,VALUE("0"),DST_123_ÜRETİM_İHTİYAÇ_RAPORU_BURAK_YENI1309[[#This Row],[SATINALMA]]*DST_123_ÜRETİM_İHTİYAÇ_RAPORU_BURAK_YENI1309[[#This Row],[BIRIM_FIYATLAR]])</f>
        <v>0</v>
      </c>
      <c r="N5082">
        <v>313.88</v>
      </c>
      <c r="O5082" t="s">
        <v>636</v>
      </c>
      <c r="P5082">
        <v>627.76</v>
      </c>
      <c r="Q5082" t="s">
        <v>177</v>
      </c>
    </row>
    <row r="5083" spans="1:17" x14ac:dyDescent="0.25">
      <c r="A5083" t="s">
        <v>1060</v>
      </c>
      <c r="B5083" t="s">
        <v>1061</v>
      </c>
      <c r="C5083" t="s">
        <v>175</v>
      </c>
      <c r="D5083" t="s">
        <v>941</v>
      </c>
      <c r="E5083" t="s">
        <v>942</v>
      </c>
      <c r="F5083">
        <v>1</v>
      </c>
      <c r="G5083" t="s">
        <v>176</v>
      </c>
      <c r="H5083">
        <v>1</v>
      </c>
      <c r="I5083">
        <v>2</v>
      </c>
      <c r="J5083" s="10">
        <v>1</v>
      </c>
      <c r="K5083" s="10">
        <f>SUMIFS(F:F,D:D,DST_123_ÜRETİM_İHTİYAÇ_RAPORU_BURAK_YENI1309[[#This Row],[ALT_KOD]])-(SUMIFS(H:H,D:D,DST_123_ÜRETİM_İHTİYAÇ_RAPORU_BURAK_YENI1309[[#This Row],[ALT_KOD]])+AVERAGEIFS(I:I,D:D,DST_123_ÜRETİM_İHTİYAÇ_RAPORU_BURAK_YENI1309[[#This Row],[ALT_KOD]])+AVERAGEIFS(L:L,D:D,DST_123_ÜRETİM_İHTİYAÇ_RAPORU_BURAK_YENI1309[[#This Row],[ALT_KOD]]))</f>
        <v>2</v>
      </c>
      <c r="L5083">
        <v>0</v>
      </c>
      <c r="M5083">
        <f>IF((DST_123_ÜRETİM_İHTİYAÇ_RAPORU_BURAK_YENI1309[[#This Row],[SATINALMA]]*DST_123_ÜRETİM_İHTİYAÇ_RAPORU_BURAK_YENI1309[[#This Row],[BIRIM_FIYATLAR]])&lt;1,VALUE("0"),DST_123_ÜRETİM_İHTİYAÇ_RAPORU_BURAK_YENI1309[[#This Row],[SATINALMA]]*DST_123_ÜRETİM_İHTİYAÇ_RAPORU_BURAK_YENI1309[[#This Row],[BIRIM_FIYATLAR]])</f>
        <v>19880.7</v>
      </c>
      <c r="N5083">
        <v>9940.35</v>
      </c>
      <c r="O5083" t="s">
        <v>1054</v>
      </c>
      <c r="P5083">
        <v>9940.35</v>
      </c>
      <c r="Q5083" t="s">
        <v>221</v>
      </c>
    </row>
    <row r="5084" spans="1:17" x14ac:dyDescent="0.25">
      <c r="A5084" t="s">
        <v>1097</v>
      </c>
      <c r="B5084" t="s">
        <v>1055</v>
      </c>
      <c r="C5084" t="s">
        <v>175</v>
      </c>
      <c r="D5084" t="s">
        <v>321</v>
      </c>
      <c r="E5084" t="s">
        <v>322</v>
      </c>
      <c r="F5084">
        <v>4.3499999999999996</v>
      </c>
      <c r="G5084" t="s">
        <v>176</v>
      </c>
      <c r="H5084">
        <v>4.3499999999999996</v>
      </c>
      <c r="I5084">
        <v>84</v>
      </c>
      <c r="J5084" s="10">
        <v>195.90000000000009</v>
      </c>
      <c r="K5084" s="10">
        <f>SUMIFS(F:F,D:D,DST_123_ÜRETİM_İHTİYAÇ_RAPORU_BURAK_YENI1309[[#This Row],[ALT_KOD]])-(SUMIFS(H:H,D:D,DST_123_ÜRETİM_İHTİYAÇ_RAPORU_BURAK_YENI1309[[#This Row],[ALT_KOD]])+AVERAGEIFS(I:I,D:D,DST_123_ÜRETİM_İHTİYAÇ_RAPORU_BURAK_YENI1309[[#This Row],[ALT_KOD]])+AVERAGEIFS(L:L,D:D,DST_123_ÜRETİM_İHTİYAÇ_RAPORU_BURAK_YENI1309[[#This Row],[ALT_KOD]]))</f>
        <v>-24.600000000000023</v>
      </c>
      <c r="L5084">
        <v>0</v>
      </c>
      <c r="M5084">
        <f>IF((DST_123_ÜRETİM_İHTİYAÇ_RAPORU_BURAK_YENI1309[[#This Row],[SATINALMA]]*DST_123_ÜRETİM_İHTİYAÇ_RAPORU_BURAK_YENI1309[[#This Row],[BIRIM_FIYATLAR]])&lt;1,VALUE("0"),DST_123_ÜRETİM_İHTİYAÇ_RAPORU_BURAK_YENI1309[[#This Row],[SATINALMA]]*DST_123_ÜRETİM_İHTİYAÇ_RAPORU_BURAK_YENI1309[[#This Row],[BIRIM_FIYATLAR]])</f>
        <v>0</v>
      </c>
      <c r="N5084">
        <v>29</v>
      </c>
      <c r="O5084" t="s">
        <v>240</v>
      </c>
      <c r="P5084">
        <v>126.14999999999999</v>
      </c>
      <c r="Q5084" t="s">
        <v>180</v>
      </c>
    </row>
    <row r="5085" spans="1:17" x14ac:dyDescent="0.25">
      <c r="A5085" t="s">
        <v>1099</v>
      </c>
      <c r="B5085" t="s">
        <v>1055</v>
      </c>
      <c r="C5085" t="s">
        <v>175</v>
      </c>
      <c r="D5085" t="s">
        <v>599</v>
      </c>
      <c r="E5085" t="s">
        <v>600</v>
      </c>
      <c r="F5085">
        <v>4</v>
      </c>
      <c r="G5085" t="s">
        <v>176</v>
      </c>
      <c r="H5085">
        <v>4</v>
      </c>
      <c r="I5085">
        <v>37</v>
      </c>
      <c r="J5085" s="10">
        <v>14</v>
      </c>
      <c r="K5085" s="10">
        <f>SUMIFS(F:F,D:D,DST_123_ÜRETİM_İHTİYAÇ_RAPORU_BURAK_YENI1309[[#This Row],[ALT_KOD]])-(SUMIFS(H:H,D:D,DST_123_ÜRETİM_İHTİYAÇ_RAPORU_BURAK_YENI1309[[#This Row],[ALT_KOD]])+AVERAGEIFS(I:I,D:D,DST_123_ÜRETİM_İHTİYAÇ_RAPORU_BURAK_YENI1309[[#This Row],[ALT_KOD]])+AVERAGEIFS(L:L,D:D,DST_123_ÜRETİM_İHTİYAÇ_RAPORU_BURAK_YENI1309[[#This Row],[ALT_KOD]]))</f>
        <v>-5</v>
      </c>
      <c r="L5085">
        <v>0</v>
      </c>
      <c r="M5085">
        <f>IF((DST_123_ÜRETİM_İHTİYAÇ_RAPORU_BURAK_YENI1309[[#This Row],[SATINALMA]]*DST_123_ÜRETİM_İHTİYAÇ_RAPORU_BURAK_YENI1309[[#This Row],[BIRIM_FIYATLAR]])&lt;1,VALUE("0"),DST_123_ÜRETİM_İHTİYAÇ_RAPORU_BURAK_YENI1309[[#This Row],[SATINALMA]]*DST_123_ÜRETİM_İHTİYAÇ_RAPORU_BURAK_YENI1309[[#This Row],[BIRIM_FIYATLAR]])</f>
        <v>0</v>
      </c>
      <c r="N5085">
        <v>313.88</v>
      </c>
      <c r="O5085" t="s">
        <v>636</v>
      </c>
      <c r="P5085">
        <v>1255.52</v>
      </c>
      <c r="Q5085" t="s">
        <v>177</v>
      </c>
    </row>
    <row r="5086" spans="1:17" x14ac:dyDescent="0.25">
      <c r="A5086" t="s">
        <v>1060</v>
      </c>
      <c r="B5086" t="s">
        <v>1061</v>
      </c>
      <c r="C5086" t="s">
        <v>175</v>
      </c>
      <c r="D5086" t="s">
        <v>410</v>
      </c>
      <c r="E5086" t="s">
        <v>411</v>
      </c>
      <c r="F5086">
        <v>0.01</v>
      </c>
      <c r="G5086" t="s">
        <v>412</v>
      </c>
      <c r="H5086">
        <v>0</v>
      </c>
      <c r="I5086">
        <v>150</v>
      </c>
      <c r="J5086" s="10">
        <v>0</v>
      </c>
      <c r="K5086" s="10">
        <f>SUMIFS(F:F,D:D,DST_123_ÜRETİM_İHTİYAÇ_RAPORU_BURAK_YENI1309[[#This Row],[ALT_KOD]])-(SUMIFS(H:H,D:D,DST_123_ÜRETİM_İHTİYAÇ_RAPORU_BURAK_YENI1309[[#This Row],[ALT_KOD]])+AVERAGEIFS(I:I,D:D,DST_123_ÜRETİM_İHTİYAÇ_RAPORU_BURAK_YENI1309[[#This Row],[ALT_KOD]])+AVERAGEIFS(L:L,D:D,DST_123_ÜRETİM_İHTİYAÇ_RAPORU_BURAK_YENI1309[[#This Row],[ALT_KOD]]))</f>
        <v>-149.76499999999999</v>
      </c>
      <c r="L5086">
        <v>0</v>
      </c>
      <c r="M5086">
        <f>IF((DST_123_ÜRETİM_İHTİYAÇ_RAPORU_BURAK_YENI1309[[#This Row],[SATINALMA]]*DST_123_ÜRETİM_İHTİYAÇ_RAPORU_BURAK_YENI1309[[#This Row],[BIRIM_FIYATLAR]])&lt;1,VALUE("0"),DST_123_ÜRETİM_İHTİYAÇ_RAPORU_BURAK_YENI1309[[#This Row],[SATINALMA]]*DST_123_ÜRETİM_İHTİYAÇ_RAPORU_BURAK_YENI1309[[#This Row],[BIRIM_FIYATLAR]])</f>
        <v>0</v>
      </c>
      <c r="N5086">
        <v>1.8</v>
      </c>
      <c r="O5086" t="s">
        <v>220</v>
      </c>
      <c r="P5086">
        <v>1.8000000000000002E-2</v>
      </c>
      <c r="Q5086" t="s">
        <v>180</v>
      </c>
    </row>
    <row r="5087" spans="1:17" x14ac:dyDescent="0.25">
      <c r="A5087" t="s">
        <v>1060</v>
      </c>
      <c r="B5087" t="s">
        <v>1061</v>
      </c>
      <c r="C5087" t="s">
        <v>175</v>
      </c>
      <c r="D5087" t="s">
        <v>915</v>
      </c>
      <c r="E5087" t="s">
        <v>916</v>
      </c>
      <c r="F5087">
        <v>3</v>
      </c>
      <c r="G5087" t="s">
        <v>179</v>
      </c>
      <c r="H5087">
        <v>0</v>
      </c>
      <c r="I5087">
        <v>100</v>
      </c>
      <c r="J5087" s="10">
        <v>26</v>
      </c>
      <c r="K5087" s="10">
        <f>SUMIFS(F:F,D:D,DST_123_ÜRETİM_İHTİYAÇ_RAPORU_BURAK_YENI1309[[#This Row],[ALT_KOD]])-(SUMIFS(H:H,D:D,DST_123_ÜRETİM_İHTİYAÇ_RAPORU_BURAK_YENI1309[[#This Row],[ALT_KOD]])+AVERAGEIFS(I:I,D:D,DST_123_ÜRETİM_İHTİYAÇ_RAPORU_BURAK_YENI1309[[#This Row],[ALT_KOD]])+AVERAGEIFS(L:L,D:D,DST_123_ÜRETİM_İHTİYAÇ_RAPORU_BURAK_YENI1309[[#This Row],[ALT_KOD]]))</f>
        <v>-85</v>
      </c>
      <c r="L5087">
        <v>0</v>
      </c>
      <c r="M5087">
        <f>IF((DST_123_ÜRETİM_İHTİYAÇ_RAPORU_BURAK_YENI1309[[#This Row],[SATINALMA]]*DST_123_ÜRETİM_İHTİYAÇ_RAPORU_BURAK_YENI1309[[#This Row],[BIRIM_FIYATLAR]])&lt;1,VALUE("0"),DST_123_ÜRETİM_İHTİYAÇ_RAPORU_BURAK_YENI1309[[#This Row],[SATINALMA]]*DST_123_ÜRETİM_İHTİYAÇ_RAPORU_BURAK_YENI1309[[#This Row],[BIRIM_FIYATLAR]])</f>
        <v>0</v>
      </c>
      <c r="N5087">
        <v>49.1</v>
      </c>
      <c r="O5087" t="s">
        <v>826</v>
      </c>
      <c r="P5087">
        <v>147.30000000000001</v>
      </c>
      <c r="Q5087" t="s">
        <v>221</v>
      </c>
    </row>
    <row r="5088" spans="1:17" x14ac:dyDescent="0.25">
      <c r="A5088" t="s">
        <v>1146</v>
      </c>
      <c r="B5088" t="s">
        <v>1145</v>
      </c>
      <c r="C5088" t="s">
        <v>175</v>
      </c>
      <c r="D5088" t="s">
        <v>637</v>
      </c>
      <c r="E5088" t="s">
        <v>638</v>
      </c>
      <c r="F5088">
        <v>1</v>
      </c>
      <c r="G5088" t="s">
        <v>176</v>
      </c>
      <c r="H5088">
        <v>0</v>
      </c>
      <c r="I5088">
        <v>19</v>
      </c>
      <c r="J5088" s="10">
        <v>17</v>
      </c>
      <c r="K5088" s="10">
        <f>SUMIFS(F:F,D:D,DST_123_ÜRETİM_İHTİYAÇ_RAPORU_BURAK_YENI1309[[#This Row],[ALT_KOD]])-(SUMIFS(H:H,D:D,DST_123_ÜRETİM_İHTİYAÇ_RAPORU_BURAK_YENI1309[[#This Row],[ALT_KOD]])+AVERAGEIFS(I:I,D:D,DST_123_ÜRETİM_İHTİYAÇ_RAPORU_BURAK_YENI1309[[#This Row],[ALT_KOD]])+AVERAGEIFS(L:L,D:D,DST_123_ÜRETİM_İHTİYAÇ_RAPORU_BURAK_YENI1309[[#This Row],[ALT_KOD]]))</f>
        <v>0</v>
      </c>
      <c r="L5088">
        <v>0</v>
      </c>
      <c r="M5088">
        <f>IF((DST_123_ÜRETİM_İHTİYAÇ_RAPORU_BURAK_YENI1309[[#This Row],[SATINALMA]]*DST_123_ÜRETİM_İHTİYAÇ_RAPORU_BURAK_YENI1309[[#This Row],[BIRIM_FIYATLAR]])&lt;1,VALUE("0"),DST_123_ÜRETİM_İHTİYAÇ_RAPORU_BURAK_YENI1309[[#This Row],[SATINALMA]]*DST_123_ÜRETİM_İHTİYAÇ_RAPORU_BURAK_YENI1309[[#This Row],[BIRIM_FIYATLAR]])</f>
        <v>0</v>
      </c>
      <c r="N5088">
        <v>113.64</v>
      </c>
      <c r="O5088" t="s">
        <v>639</v>
      </c>
      <c r="P5088">
        <v>113.64</v>
      </c>
      <c r="Q5088" t="s">
        <v>640</v>
      </c>
    </row>
    <row r="5089" spans="1:17" x14ac:dyDescent="0.25">
      <c r="A5089" t="s">
        <v>1144</v>
      </c>
      <c r="B5089" t="s">
        <v>1145</v>
      </c>
      <c r="C5089" t="s">
        <v>175</v>
      </c>
      <c r="D5089" t="s">
        <v>844</v>
      </c>
      <c r="E5089" t="s">
        <v>845</v>
      </c>
      <c r="F5089">
        <v>3</v>
      </c>
      <c r="G5089" t="s">
        <v>176</v>
      </c>
      <c r="H5089">
        <v>0</v>
      </c>
      <c r="I5089">
        <v>36</v>
      </c>
      <c r="J5089" s="10">
        <v>26</v>
      </c>
      <c r="K5089" s="10">
        <f>SUMIFS(F:F,D:D,DST_123_ÜRETİM_İHTİYAÇ_RAPORU_BURAK_YENI1309[[#This Row],[ALT_KOD]])-(SUMIFS(H:H,D:D,DST_123_ÜRETİM_İHTİYAÇ_RAPORU_BURAK_YENI1309[[#This Row],[ALT_KOD]])+AVERAGEIFS(I:I,D:D,DST_123_ÜRETİM_İHTİYAÇ_RAPORU_BURAK_YENI1309[[#This Row],[ALT_KOD]])+AVERAGEIFS(L:L,D:D,DST_123_ÜRETİM_İHTİYAÇ_RAPORU_BURAK_YENI1309[[#This Row],[ALT_KOD]]))</f>
        <v>1</v>
      </c>
      <c r="L5089">
        <v>0</v>
      </c>
      <c r="M5089">
        <f>IF((DST_123_ÜRETİM_İHTİYAÇ_RAPORU_BURAK_YENI1309[[#This Row],[SATINALMA]]*DST_123_ÜRETİM_İHTİYAÇ_RAPORU_BURAK_YENI1309[[#This Row],[BIRIM_FIYATLAR]])&lt;1,VALUE("0"),DST_123_ÜRETİM_İHTİYAÇ_RAPORU_BURAK_YENI1309[[#This Row],[SATINALMA]]*DST_123_ÜRETİM_İHTİYAÇ_RAPORU_BURAK_YENI1309[[#This Row],[BIRIM_FIYATLAR]])</f>
        <v>348.7</v>
      </c>
      <c r="N5089">
        <v>348.7</v>
      </c>
      <c r="O5089" t="s">
        <v>636</v>
      </c>
      <c r="P5089">
        <v>1046.0999999999999</v>
      </c>
      <c r="Q5089" t="s">
        <v>177</v>
      </c>
    </row>
    <row r="5090" spans="1:17" x14ac:dyDescent="0.25">
      <c r="A5090" t="s">
        <v>1146</v>
      </c>
      <c r="B5090" t="s">
        <v>1145</v>
      </c>
      <c r="C5090" t="s">
        <v>175</v>
      </c>
      <c r="D5090" t="s">
        <v>844</v>
      </c>
      <c r="E5090" t="s">
        <v>845</v>
      </c>
      <c r="F5090">
        <v>3</v>
      </c>
      <c r="G5090" t="s">
        <v>176</v>
      </c>
      <c r="H5090">
        <v>0</v>
      </c>
      <c r="I5090">
        <v>36</v>
      </c>
      <c r="J5090" s="10">
        <v>26</v>
      </c>
      <c r="K5090" s="10">
        <f>SUMIFS(F:F,D:D,DST_123_ÜRETİM_İHTİYAÇ_RAPORU_BURAK_YENI1309[[#This Row],[ALT_KOD]])-(SUMIFS(H:H,D:D,DST_123_ÜRETİM_İHTİYAÇ_RAPORU_BURAK_YENI1309[[#This Row],[ALT_KOD]])+AVERAGEIFS(I:I,D:D,DST_123_ÜRETİM_İHTİYAÇ_RAPORU_BURAK_YENI1309[[#This Row],[ALT_KOD]])+AVERAGEIFS(L:L,D:D,DST_123_ÜRETİM_İHTİYAÇ_RAPORU_BURAK_YENI1309[[#This Row],[ALT_KOD]]))</f>
        <v>1</v>
      </c>
      <c r="L5090">
        <v>0</v>
      </c>
      <c r="M5090">
        <f>IF((DST_123_ÜRETİM_İHTİYAÇ_RAPORU_BURAK_YENI1309[[#This Row],[SATINALMA]]*DST_123_ÜRETİM_İHTİYAÇ_RAPORU_BURAK_YENI1309[[#This Row],[BIRIM_FIYATLAR]])&lt;1,VALUE("0"),DST_123_ÜRETİM_İHTİYAÇ_RAPORU_BURAK_YENI1309[[#This Row],[SATINALMA]]*DST_123_ÜRETİM_İHTİYAÇ_RAPORU_BURAK_YENI1309[[#This Row],[BIRIM_FIYATLAR]])</f>
        <v>348.7</v>
      </c>
      <c r="N5090">
        <v>348.7</v>
      </c>
      <c r="O5090" t="s">
        <v>636</v>
      </c>
      <c r="P5090">
        <v>1046.0999999999999</v>
      </c>
      <c r="Q5090" t="s">
        <v>177</v>
      </c>
    </row>
    <row r="5091" spans="1:17" x14ac:dyDescent="0.25">
      <c r="A5091" t="s">
        <v>1064</v>
      </c>
      <c r="B5091" t="s">
        <v>1055</v>
      </c>
      <c r="C5091" t="s">
        <v>175</v>
      </c>
      <c r="D5091" t="s">
        <v>637</v>
      </c>
      <c r="E5091" t="s">
        <v>638</v>
      </c>
      <c r="F5091">
        <v>1</v>
      </c>
      <c r="G5091" t="s">
        <v>176</v>
      </c>
      <c r="H5091">
        <v>0</v>
      </c>
      <c r="I5091">
        <v>19</v>
      </c>
      <c r="J5091" s="10">
        <v>17</v>
      </c>
      <c r="K5091" s="10">
        <f>SUMIFS(F:F,D:D,DST_123_ÜRETİM_İHTİYAÇ_RAPORU_BURAK_YENI1309[[#This Row],[ALT_KOD]])-(SUMIFS(H:H,D:D,DST_123_ÜRETİM_İHTİYAÇ_RAPORU_BURAK_YENI1309[[#This Row],[ALT_KOD]])+AVERAGEIFS(I:I,D:D,DST_123_ÜRETİM_İHTİYAÇ_RAPORU_BURAK_YENI1309[[#This Row],[ALT_KOD]])+AVERAGEIFS(L:L,D:D,DST_123_ÜRETİM_İHTİYAÇ_RAPORU_BURAK_YENI1309[[#This Row],[ALT_KOD]]))</f>
        <v>0</v>
      </c>
      <c r="L5091">
        <v>0</v>
      </c>
      <c r="M5091">
        <f>IF((DST_123_ÜRETİM_İHTİYAÇ_RAPORU_BURAK_YENI1309[[#This Row],[SATINALMA]]*DST_123_ÜRETİM_İHTİYAÇ_RAPORU_BURAK_YENI1309[[#This Row],[BIRIM_FIYATLAR]])&lt;1,VALUE("0"),DST_123_ÜRETİM_İHTİYAÇ_RAPORU_BURAK_YENI1309[[#This Row],[SATINALMA]]*DST_123_ÜRETİM_İHTİYAÇ_RAPORU_BURAK_YENI1309[[#This Row],[BIRIM_FIYATLAR]])</f>
        <v>0</v>
      </c>
      <c r="N5091">
        <v>113.64</v>
      </c>
      <c r="O5091" t="s">
        <v>639</v>
      </c>
      <c r="P5091">
        <v>113.64</v>
      </c>
      <c r="Q5091" t="s">
        <v>640</v>
      </c>
    </row>
    <row r="5092" spans="1:17" x14ac:dyDescent="0.25">
      <c r="A5092" t="s">
        <v>1064</v>
      </c>
      <c r="B5092" t="s">
        <v>1055</v>
      </c>
      <c r="C5092" t="s">
        <v>175</v>
      </c>
      <c r="D5092" t="s">
        <v>830</v>
      </c>
      <c r="E5092" t="s">
        <v>831</v>
      </c>
      <c r="F5092">
        <v>5.5</v>
      </c>
      <c r="G5092" t="s">
        <v>179</v>
      </c>
      <c r="H5092">
        <v>0</v>
      </c>
      <c r="I5092">
        <v>100</v>
      </c>
      <c r="J5092" s="10">
        <v>0</v>
      </c>
      <c r="K5092" s="10">
        <f>SUMIFS(F:F,D:D,DST_123_ÜRETİM_İHTİYAÇ_RAPORU_BURAK_YENI1309[[#This Row],[ALT_KOD]])-(SUMIFS(H:H,D:D,DST_123_ÜRETİM_İHTİYAÇ_RAPORU_BURAK_YENI1309[[#This Row],[ALT_KOD]])+AVERAGEIFS(I:I,D:D,DST_123_ÜRETİM_İHTİYAÇ_RAPORU_BURAK_YENI1309[[#This Row],[ALT_KOD]])+AVERAGEIFS(L:L,D:D,DST_123_ÜRETİM_İHTİYAÇ_RAPORU_BURAK_YENI1309[[#This Row],[ALT_KOD]]))</f>
        <v>-227.63999999999987</v>
      </c>
      <c r="L5092">
        <v>214.64</v>
      </c>
      <c r="M5092">
        <f>IF((DST_123_ÜRETİM_İHTİYAÇ_RAPORU_BURAK_YENI1309[[#This Row],[SATINALMA]]*DST_123_ÜRETİM_İHTİYAÇ_RAPORU_BURAK_YENI1309[[#This Row],[BIRIM_FIYATLAR]])&lt;1,VALUE("0"),DST_123_ÜRETİM_İHTİYAÇ_RAPORU_BURAK_YENI1309[[#This Row],[SATINALMA]]*DST_123_ÜRETİM_İHTİYAÇ_RAPORU_BURAK_YENI1309[[#This Row],[BIRIM_FIYATLAR]])</f>
        <v>0</v>
      </c>
      <c r="N5092">
        <v>50.81</v>
      </c>
      <c r="O5092" t="s">
        <v>832</v>
      </c>
      <c r="P5092">
        <v>279.45500000000004</v>
      </c>
      <c r="Q5092" t="s">
        <v>184</v>
      </c>
    </row>
    <row r="5093" spans="1:17" x14ac:dyDescent="0.25">
      <c r="A5093" t="s">
        <v>1099</v>
      </c>
      <c r="B5093" t="s">
        <v>1055</v>
      </c>
      <c r="C5093" t="s">
        <v>175</v>
      </c>
      <c r="D5093" t="s">
        <v>830</v>
      </c>
      <c r="E5093" t="s">
        <v>831</v>
      </c>
      <c r="F5093">
        <v>4</v>
      </c>
      <c r="G5093" t="s">
        <v>179</v>
      </c>
      <c r="H5093">
        <v>0</v>
      </c>
      <c r="I5093">
        <v>100</v>
      </c>
      <c r="J5093" s="10">
        <v>0</v>
      </c>
      <c r="K5093" s="10">
        <f>SUMIFS(F:F,D:D,DST_123_ÜRETİM_İHTİYAÇ_RAPORU_BURAK_YENI1309[[#This Row],[ALT_KOD]])-(SUMIFS(H:H,D:D,DST_123_ÜRETİM_İHTİYAÇ_RAPORU_BURAK_YENI1309[[#This Row],[ALT_KOD]])+AVERAGEIFS(I:I,D:D,DST_123_ÜRETİM_İHTİYAÇ_RAPORU_BURAK_YENI1309[[#This Row],[ALT_KOD]])+AVERAGEIFS(L:L,D:D,DST_123_ÜRETİM_İHTİYAÇ_RAPORU_BURAK_YENI1309[[#This Row],[ALT_KOD]]))</f>
        <v>-227.63999999999987</v>
      </c>
      <c r="L5093">
        <v>214.64</v>
      </c>
      <c r="M5093">
        <f>IF((DST_123_ÜRETİM_İHTİYAÇ_RAPORU_BURAK_YENI1309[[#This Row],[SATINALMA]]*DST_123_ÜRETİM_İHTİYAÇ_RAPORU_BURAK_YENI1309[[#This Row],[BIRIM_FIYATLAR]])&lt;1,VALUE("0"),DST_123_ÜRETİM_İHTİYAÇ_RAPORU_BURAK_YENI1309[[#This Row],[SATINALMA]]*DST_123_ÜRETİM_İHTİYAÇ_RAPORU_BURAK_YENI1309[[#This Row],[BIRIM_FIYATLAR]])</f>
        <v>0</v>
      </c>
      <c r="N5093">
        <v>50.81</v>
      </c>
      <c r="O5093" t="s">
        <v>832</v>
      </c>
      <c r="P5093">
        <v>203.24</v>
      </c>
      <c r="Q5093" t="s">
        <v>184</v>
      </c>
    </row>
    <row r="5094" spans="1:17" x14ac:dyDescent="0.25">
      <c r="A5094" t="s">
        <v>1147</v>
      </c>
      <c r="B5094" t="s">
        <v>1145</v>
      </c>
      <c r="C5094" t="s">
        <v>175</v>
      </c>
      <c r="D5094" t="s">
        <v>637</v>
      </c>
      <c r="E5094" t="s">
        <v>638</v>
      </c>
      <c r="F5094">
        <v>1</v>
      </c>
      <c r="G5094" t="s">
        <v>176</v>
      </c>
      <c r="H5094">
        <v>0</v>
      </c>
      <c r="I5094">
        <v>19</v>
      </c>
      <c r="J5094" s="10">
        <v>17</v>
      </c>
      <c r="K5094" s="10">
        <f>SUMIFS(F:F,D:D,DST_123_ÜRETİM_İHTİYAÇ_RAPORU_BURAK_YENI1309[[#This Row],[ALT_KOD]])-(SUMIFS(H:H,D:D,DST_123_ÜRETİM_İHTİYAÇ_RAPORU_BURAK_YENI1309[[#This Row],[ALT_KOD]])+AVERAGEIFS(I:I,D:D,DST_123_ÜRETİM_İHTİYAÇ_RAPORU_BURAK_YENI1309[[#This Row],[ALT_KOD]])+AVERAGEIFS(L:L,D:D,DST_123_ÜRETİM_İHTİYAÇ_RAPORU_BURAK_YENI1309[[#This Row],[ALT_KOD]]))</f>
        <v>0</v>
      </c>
      <c r="L5094">
        <v>0</v>
      </c>
      <c r="M5094">
        <f>IF((DST_123_ÜRETİM_İHTİYAÇ_RAPORU_BURAK_YENI1309[[#This Row],[SATINALMA]]*DST_123_ÜRETİM_İHTİYAÇ_RAPORU_BURAK_YENI1309[[#This Row],[BIRIM_FIYATLAR]])&lt;1,VALUE("0"),DST_123_ÜRETİM_İHTİYAÇ_RAPORU_BURAK_YENI1309[[#This Row],[SATINALMA]]*DST_123_ÜRETİM_İHTİYAÇ_RAPORU_BURAK_YENI1309[[#This Row],[BIRIM_FIYATLAR]])</f>
        <v>0</v>
      </c>
      <c r="N5094">
        <v>113.64</v>
      </c>
      <c r="O5094" t="s">
        <v>639</v>
      </c>
      <c r="P5094">
        <v>113.64</v>
      </c>
      <c r="Q5094" t="s">
        <v>640</v>
      </c>
    </row>
    <row r="5095" spans="1:17" x14ac:dyDescent="0.25">
      <c r="A5095" t="s">
        <v>1148</v>
      </c>
      <c r="B5095" t="s">
        <v>1056</v>
      </c>
      <c r="C5095" t="s">
        <v>175</v>
      </c>
      <c r="D5095" t="s">
        <v>637</v>
      </c>
      <c r="E5095" t="s">
        <v>638</v>
      </c>
      <c r="F5095">
        <v>1</v>
      </c>
      <c r="G5095" t="s">
        <v>176</v>
      </c>
      <c r="H5095">
        <v>0</v>
      </c>
      <c r="I5095">
        <v>19</v>
      </c>
      <c r="J5095" s="10">
        <v>17</v>
      </c>
      <c r="K5095" s="10">
        <f>SUMIFS(F:F,D:D,DST_123_ÜRETİM_İHTİYAÇ_RAPORU_BURAK_YENI1309[[#This Row],[ALT_KOD]])-(SUMIFS(H:H,D:D,DST_123_ÜRETİM_İHTİYAÇ_RAPORU_BURAK_YENI1309[[#This Row],[ALT_KOD]])+AVERAGEIFS(I:I,D:D,DST_123_ÜRETİM_İHTİYAÇ_RAPORU_BURAK_YENI1309[[#This Row],[ALT_KOD]])+AVERAGEIFS(L:L,D:D,DST_123_ÜRETİM_İHTİYAÇ_RAPORU_BURAK_YENI1309[[#This Row],[ALT_KOD]]))</f>
        <v>0</v>
      </c>
      <c r="L5095">
        <v>0</v>
      </c>
      <c r="M5095">
        <f>IF((DST_123_ÜRETİM_İHTİYAÇ_RAPORU_BURAK_YENI1309[[#This Row],[SATINALMA]]*DST_123_ÜRETİM_İHTİYAÇ_RAPORU_BURAK_YENI1309[[#This Row],[BIRIM_FIYATLAR]])&lt;1,VALUE("0"),DST_123_ÜRETİM_İHTİYAÇ_RAPORU_BURAK_YENI1309[[#This Row],[SATINALMA]]*DST_123_ÜRETİM_İHTİYAÇ_RAPORU_BURAK_YENI1309[[#This Row],[BIRIM_FIYATLAR]])</f>
        <v>0</v>
      </c>
      <c r="N5095">
        <v>113.64</v>
      </c>
      <c r="O5095" t="s">
        <v>639</v>
      </c>
      <c r="P5095">
        <v>113.64</v>
      </c>
      <c r="Q5095" t="s">
        <v>640</v>
      </c>
    </row>
    <row r="5096" spans="1:17" x14ac:dyDescent="0.25">
      <c r="A5096" t="s">
        <v>1057</v>
      </c>
      <c r="B5096" t="s">
        <v>1058</v>
      </c>
      <c r="C5096" t="s">
        <v>175</v>
      </c>
      <c r="D5096" t="s">
        <v>830</v>
      </c>
      <c r="E5096" t="s">
        <v>831</v>
      </c>
      <c r="F5096">
        <v>5</v>
      </c>
      <c r="G5096" t="s">
        <v>179</v>
      </c>
      <c r="H5096">
        <v>0</v>
      </c>
      <c r="I5096">
        <v>100</v>
      </c>
      <c r="J5096" s="10">
        <v>0</v>
      </c>
      <c r="K5096" s="10">
        <f>SUMIFS(F:F,D:D,DST_123_ÜRETİM_İHTİYAÇ_RAPORU_BURAK_YENI1309[[#This Row],[ALT_KOD]])-(SUMIFS(H:H,D:D,DST_123_ÜRETİM_İHTİYAÇ_RAPORU_BURAK_YENI1309[[#This Row],[ALT_KOD]])+AVERAGEIFS(I:I,D:D,DST_123_ÜRETİM_İHTİYAÇ_RAPORU_BURAK_YENI1309[[#This Row],[ALT_KOD]])+AVERAGEIFS(L:L,D:D,DST_123_ÜRETİM_İHTİYAÇ_RAPORU_BURAK_YENI1309[[#This Row],[ALT_KOD]]))</f>
        <v>-227.63999999999987</v>
      </c>
      <c r="L5096">
        <v>214.64</v>
      </c>
      <c r="M5096">
        <f>IF((DST_123_ÜRETİM_İHTİYAÇ_RAPORU_BURAK_YENI1309[[#This Row],[SATINALMA]]*DST_123_ÜRETİM_İHTİYAÇ_RAPORU_BURAK_YENI1309[[#This Row],[BIRIM_FIYATLAR]])&lt;1,VALUE("0"),DST_123_ÜRETİM_İHTİYAÇ_RAPORU_BURAK_YENI1309[[#This Row],[SATINALMA]]*DST_123_ÜRETİM_İHTİYAÇ_RAPORU_BURAK_YENI1309[[#This Row],[BIRIM_FIYATLAR]])</f>
        <v>0</v>
      </c>
      <c r="N5096">
        <v>50.81</v>
      </c>
      <c r="O5096" t="s">
        <v>832</v>
      </c>
      <c r="P5096">
        <v>254.05</v>
      </c>
      <c r="Q5096" t="s">
        <v>184</v>
      </c>
    </row>
    <row r="5097" spans="1:17" x14ac:dyDescent="0.25">
      <c r="A5097" t="s">
        <v>1100</v>
      </c>
      <c r="B5097" t="s">
        <v>1058</v>
      </c>
      <c r="C5097" t="s">
        <v>175</v>
      </c>
      <c r="D5097" t="s">
        <v>830</v>
      </c>
      <c r="E5097" t="s">
        <v>831</v>
      </c>
      <c r="F5097">
        <v>5</v>
      </c>
      <c r="G5097" t="s">
        <v>179</v>
      </c>
      <c r="H5097">
        <v>0</v>
      </c>
      <c r="I5097">
        <v>100</v>
      </c>
      <c r="J5097" s="10">
        <v>0</v>
      </c>
      <c r="K5097" s="10">
        <f>SUMIFS(F:F,D:D,DST_123_ÜRETİM_İHTİYAÇ_RAPORU_BURAK_YENI1309[[#This Row],[ALT_KOD]])-(SUMIFS(H:H,D:D,DST_123_ÜRETİM_İHTİYAÇ_RAPORU_BURAK_YENI1309[[#This Row],[ALT_KOD]])+AVERAGEIFS(I:I,D:D,DST_123_ÜRETİM_İHTİYAÇ_RAPORU_BURAK_YENI1309[[#This Row],[ALT_KOD]])+AVERAGEIFS(L:L,D:D,DST_123_ÜRETİM_İHTİYAÇ_RAPORU_BURAK_YENI1309[[#This Row],[ALT_KOD]]))</f>
        <v>-227.63999999999987</v>
      </c>
      <c r="L5097">
        <v>214.64</v>
      </c>
      <c r="M5097">
        <f>IF((DST_123_ÜRETİM_İHTİYAÇ_RAPORU_BURAK_YENI1309[[#This Row],[SATINALMA]]*DST_123_ÜRETİM_İHTİYAÇ_RAPORU_BURAK_YENI1309[[#This Row],[BIRIM_FIYATLAR]])&lt;1,VALUE("0"),DST_123_ÜRETİM_İHTİYAÇ_RAPORU_BURAK_YENI1309[[#This Row],[SATINALMA]]*DST_123_ÜRETİM_İHTİYAÇ_RAPORU_BURAK_YENI1309[[#This Row],[BIRIM_FIYATLAR]])</f>
        <v>0</v>
      </c>
      <c r="N5097">
        <v>50.81</v>
      </c>
      <c r="O5097" t="s">
        <v>832</v>
      </c>
      <c r="P5097">
        <v>254.05</v>
      </c>
      <c r="Q5097" t="s">
        <v>184</v>
      </c>
    </row>
    <row r="5098" spans="1:17" x14ac:dyDescent="0.25">
      <c r="A5098" t="s">
        <v>1148</v>
      </c>
      <c r="B5098" t="s">
        <v>1056</v>
      </c>
      <c r="C5098" t="s">
        <v>175</v>
      </c>
      <c r="D5098" t="s">
        <v>830</v>
      </c>
      <c r="E5098" t="s">
        <v>831</v>
      </c>
      <c r="F5098">
        <v>5</v>
      </c>
      <c r="G5098" t="s">
        <v>179</v>
      </c>
      <c r="H5098">
        <v>0</v>
      </c>
      <c r="I5098">
        <v>100</v>
      </c>
      <c r="J5098" s="10">
        <v>0</v>
      </c>
      <c r="K5098" s="10">
        <f>SUMIFS(F:F,D:D,DST_123_ÜRETİM_İHTİYAÇ_RAPORU_BURAK_YENI1309[[#This Row],[ALT_KOD]])-(SUMIFS(H:H,D:D,DST_123_ÜRETİM_İHTİYAÇ_RAPORU_BURAK_YENI1309[[#This Row],[ALT_KOD]])+AVERAGEIFS(I:I,D:D,DST_123_ÜRETİM_İHTİYAÇ_RAPORU_BURAK_YENI1309[[#This Row],[ALT_KOD]])+AVERAGEIFS(L:L,D:D,DST_123_ÜRETİM_İHTİYAÇ_RAPORU_BURAK_YENI1309[[#This Row],[ALT_KOD]]))</f>
        <v>-227.63999999999987</v>
      </c>
      <c r="L5098">
        <v>214.64</v>
      </c>
      <c r="M5098">
        <f>IF((DST_123_ÜRETİM_İHTİYAÇ_RAPORU_BURAK_YENI1309[[#This Row],[SATINALMA]]*DST_123_ÜRETİM_İHTİYAÇ_RAPORU_BURAK_YENI1309[[#This Row],[BIRIM_FIYATLAR]])&lt;1,VALUE("0"),DST_123_ÜRETİM_İHTİYAÇ_RAPORU_BURAK_YENI1309[[#This Row],[SATINALMA]]*DST_123_ÜRETİM_İHTİYAÇ_RAPORU_BURAK_YENI1309[[#This Row],[BIRIM_FIYATLAR]])</f>
        <v>0</v>
      </c>
      <c r="N5098">
        <v>50.81</v>
      </c>
      <c r="O5098" t="s">
        <v>832</v>
      </c>
      <c r="P5098">
        <v>254.05</v>
      </c>
      <c r="Q5098" t="s">
        <v>184</v>
      </c>
    </row>
    <row r="5099" spans="1:17" x14ac:dyDescent="0.25">
      <c r="A5099" t="s">
        <v>1060</v>
      </c>
      <c r="B5099" t="s">
        <v>1061</v>
      </c>
      <c r="C5099" t="s">
        <v>175</v>
      </c>
      <c r="D5099" t="s">
        <v>844</v>
      </c>
      <c r="E5099" t="s">
        <v>845</v>
      </c>
      <c r="F5099">
        <v>3</v>
      </c>
      <c r="G5099" t="s">
        <v>176</v>
      </c>
      <c r="H5099">
        <v>3</v>
      </c>
      <c r="I5099">
        <v>36</v>
      </c>
      <c r="J5099" s="10">
        <v>26</v>
      </c>
      <c r="K5099" s="10">
        <f>SUMIFS(F:F,D:D,DST_123_ÜRETİM_İHTİYAÇ_RAPORU_BURAK_YENI1309[[#This Row],[ALT_KOD]])-(SUMIFS(H:H,D:D,DST_123_ÜRETİM_İHTİYAÇ_RAPORU_BURAK_YENI1309[[#This Row],[ALT_KOD]])+AVERAGEIFS(I:I,D:D,DST_123_ÜRETİM_İHTİYAÇ_RAPORU_BURAK_YENI1309[[#This Row],[ALT_KOD]])+AVERAGEIFS(L:L,D:D,DST_123_ÜRETİM_İHTİYAÇ_RAPORU_BURAK_YENI1309[[#This Row],[ALT_KOD]]))</f>
        <v>1</v>
      </c>
      <c r="L5099">
        <v>0</v>
      </c>
      <c r="M5099">
        <f>IF((DST_123_ÜRETİM_İHTİYAÇ_RAPORU_BURAK_YENI1309[[#This Row],[SATINALMA]]*DST_123_ÜRETİM_İHTİYAÇ_RAPORU_BURAK_YENI1309[[#This Row],[BIRIM_FIYATLAR]])&lt;1,VALUE("0"),DST_123_ÜRETİM_İHTİYAÇ_RAPORU_BURAK_YENI1309[[#This Row],[SATINALMA]]*DST_123_ÜRETİM_İHTİYAÇ_RAPORU_BURAK_YENI1309[[#This Row],[BIRIM_FIYATLAR]])</f>
        <v>348.7</v>
      </c>
      <c r="N5099">
        <v>348.7</v>
      </c>
      <c r="O5099" t="s">
        <v>636</v>
      </c>
      <c r="P5099">
        <v>1046.0999999999999</v>
      </c>
      <c r="Q5099" t="s">
        <v>177</v>
      </c>
    </row>
    <row r="5100" spans="1:17" x14ac:dyDescent="0.25">
      <c r="A5100" t="s">
        <v>1149</v>
      </c>
      <c r="B5100" t="s">
        <v>1145</v>
      </c>
      <c r="C5100" t="s">
        <v>175</v>
      </c>
      <c r="D5100" t="s">
        <v>637</v>
      </c>
      <c r="E5100" t="s">
        <v>638</v>
      </c>
      <c r="F5100">
        <v>1</v>
      </c>
      <c r="G5100" t="s">
        <v>176</v>
      </c>
      <c r="H5100">
        <v>0</v>
      </c>
      <c r="I5100">
        <v>19</v>
      </c>
      <c r="J5100" s="10">
        <v>17</v>
      </c>
      <c r="K5100" s="10">
        <f>SUMIFS(F:F,D:D,DST_123_ÜRETİM_İHTİYAÇ_RAPORU_BURAK_YENI1309[[#This Row],[ALT_KOD]])-(SUMIFS(H:H,D:D,DST_123_ÜRETİM_İHTİYAÇ_RAPORU_BURAK_YENI1309[[#This Row],[ALT_KOD]])+AVERAGEIFS(I:I,D:D,DST_123_ÜRETİM_İHTİYAÇ_RAPORU_BURAK_YENI1309[[#This Row],[ALT_KOD]])+AVERAGEIFS(L:L,D:D,DST_123_ÜRETİM_İHTİYAÇ_RAPORU_BURAK_YENI1309[[#This Row],[ALT_KOD]]))</f>
        <v>0</v>
      </c>
      <c r="L5100">
        <v>0</v>
      </c>
      <c r="M5100">
        <f>IF((DST_123_ÜRETİM_İHTİYAÇ_RAPORU_BURAK_YENI1309[[#This Row],[SATINALMA]]*DST_123_ÜRETİM_İHTİYAÇ_RAPORU_BURAK_YENI1309[[#This Row],[BIRIM_FIYATLAR]])&lt;1,VALUE("0"),DST_123_ÜRETİM_İHTİYAÇ_RAPORU_BURAK_YENI1309[[#This Row],[SATINALMA]]*DST_123_ÜRETİM_İHTİYAÇ_RAPORU_BURAK_YENI1309[[#This Row],[BIRIM_FIYATLAR]])</f>
        <v>0</v>
      </c>
      <c r="N5100">
        <v>113.64</v>
      </c>
      <c r="O5100" t="s">
        <v>639</v>
      </c>
      <c r="P5100">
        <v>113.64</v>
      </c>
      <c r="Q5100" t="s">
        <v>640</v>
      </c>
    </row>
    <row r="5101" spans="1:17" x14ac:dyDescent="0.25">
      <c r="A5101" t="s">
        <v>1149</v>
      </c>
      <c r="B5101" t="s">
        <v>1145</v>
      </c>
      <c r="C5101" t="s">
        <v>175</v>
      </c>
      <c r="D5101" t="s">
        <v>830</v>
      </c>
      <c r="E5101" t="s">
        <v>831</v>
      </c>
      <c r="F5101">
        <v>4</v>
      </c>
      <c r="G5101" t="s">
        <v>179</v>
      </c>
      <c r="H5101">
        <v>0</v>
      </c>
      <c r="I5101">
        <v>100</v>
      </c>
      <c r="J5101" s="10">
        <v>0</v>
      </c>
      <c r="K5101" s="10">
        <f>SUMIFS(F:F,D:D,DST_123_ÜRETİM_İHTİYAÇ_RAPORU_BURAK_YENI1309[[#This Row],[ALT_KOD]])-(SUMIFS(H:H,D:D,DST_123_ÜRETİM_İHTİYAÇ_RAPORU_BURAK_YENI1309[[#This Row],[ALT_KOD]])+AVERAGEIFS(I:I,D:D,DST_123_ÜRETİM_İHTİYAÇ_RAPORU_BURAK_YENI1309[[#This Row],[ALT_KOD]])+AVERAGEIFS(L:L,D:D,DST_123_ÜRETİM_İHTİYAÇ_RAPORU_BURAK_YENI1309[[#This Row],[ALT_KOD]]))</f>
        <v>-227.63999999999987</v>
      </c>
      <c r="L5101">
        <v>214.64</v>
      </c>
      <c r="M5101">
        <f>IF((DST_123_ÜRETİM_İHTİYAÇ_RAPORU_BURAK_YENI1309[[#This Row],[SATINALMA]]*DST_123_ÜRETİM_İHTİYAÇ_RAPORU_BURAK_YENI1309[[#This Row],[BIRIM_FIYATLAR]])&lt;1,VALUE("0"),DST_123_ÜRETİM_İHTİYAÇ_RAPORU_BURAK_YENI1309[[#This Row],[SATINALMA]]*DST_123_ÜRETİM_İHTİYAÇ_RAPORU_BURAK_YENI1309[[#This Row],[BIRIM_FIYATLAR]])</f>
        <v>0</v>
      </c>
      <c r="N5101">
        <v>50.81</v>
      </c>
      <c r="O5101" t="s">
        <v>832</v>
      </c>
      <c r="P5101">
        <v>203.24</v>
      </c>
      <c r="Q5101" t="s">
        <v>184</v>
      </c>
    </row>
    <row r="5102" spans="1:17" x14ac:dyDescent="0.25">
      <c r="A5102" t="s">
        <v>1144</v>
      </c>
      <c r="B5102" t="s">
        <v>1145</v>
      </c>
      <c r="C5102" t="s">
        <v>175</v>
      </c>
      <c r="D5102" t="s">
        <v>830</v>
      </c>
      <c r="E5102" t="s">
        <v>831</v>
      </c>
      <c r="F5102">
        <v>4</v>
      </c>
      <c r="G5102" t="s">
        <v>179</v>
      </c>
      <c r="H5102">
        <v>0</v>
      </c>
      <c r="I5102">
        <v>100</v>
      </c>
      <c r="J5102" s="10">
        <v>0</v>
      </c>
      <c r="K5102" s="10">
        <f>SUMIFS(F:F,D:D,DST_123_ÜRETİM_İHTİYAÇ_RAPORU_BURAK_YENI1309[[#This Row],[ALT_KOD]])-(SUMIFS(H:H,D:D,DST_123_ÜRETİM_İHTİYAÇ_RAPORU_BURAK_YENI1309[[#This Row],[ALT_KOD]])+AVERAGEIFS(I:I,D:D,DST_123_ÜRETİM_İHTİYAÇ_RAPORU_BURAK_YENI1309[[#This Row],[ALT_KOD]])+AVERAGEIFS(L:L,D:D,DST_123_ÜRETİM_İHTİYAÇ_RAPORU_BURAK_YENI1309[[#This Row],[ALT_KOD]]))</f>
        <v>-227.63999999999987</v>
      </c>
      <c r="L5102">
        <v>214.64</v>
      </c>
      <c r="M5102">
        <f>IF((DST_123_ÜRETİM_İHTİYAÇ_RAPORU_BURAK_YENI1309[[#This Row],[SATINALMA]]*DST_123_ÜRETİM_İHTİYAÇ_RAPORU_BURAK_YENI1309[[#This Row],[BIRIM_FIYATLAR]])&lt;1,VALUE("0"),DST_123_ÜRETİM_İHTİYAÇ_RAPORU_BURAK_YENI1309[[#This Row],[SATINALMA]]*DST_123_ÜRETİM_İHTİYAÇ_RAPORU_BURAK_YENI1309[[#This Row],[BIRIM_FIYATLAR]])</f>
        <v>0</v>
      </c>
      <c r="N5102">
        <v>50.81</v>
      </c>
      <c r="O5102" t="s">
        <v>832</v>
      </c>
      <c r="P5102">
        <v>203.24</v>
      </c>
      <c r="Q5102" t="s">
        <v>184</v>
      </c>
    </row>
    <row r="5103" spans="1:17" x14ac:dyDescent="0.25">
      <c r="A5103" t="s">
        <v>1146</v>
      </c>
      <c r="B5103" t="s">
        <v>1145</v>
      </c>
      <c r="C5103" t="s">
        <v>175</v>
      </c>
      <c r="D5103" t="s">
        <v>830</v>
      </c>
      <c r="E5103" t="s">
        <v>831</v>
      </c>
      <c r="F5103">
        <v>4</v>
      </c>
      <c r="G5103" t="s">
        <v>179</v>
      </c>
      <c r="H5103">
        <v>0</v>
      </c>
      <c r="I5103">
        <v>100</v>
      </c>
      <c r="J5103" s="10">
        <v>0</v>
      </c>
      <c r="K5103" s="10">
        <f>SUMIFS(F:F,D:D,DST_123_ÜRETİM_İHTİYAÇ_RAPORU_BURAK_YENI1309[[#This Row],[ALT_KOD]])-(SUMIFS(H:H,D:D,DST_123_ÜRETİM_İHTİYAÇ_RAPORU_BURAK_YENI1309[[#This Row],[ALT_KOD]])+AVERAGEIFS(I:I,D:D,DST_123_ÜRETİM_İHTİYAÇ_RAPORU_BURAK_YENI1309[[#This Row],[ALT_KOD]])+AVERAGEIFS(L:L,D:D,DST_123_ÜRETİM_İHTİYAÇ_RAPORU_BURAK_YENI1309[[#This Row],[ALT_KOD]]))</f>
        <v>-227.63999999999987</v>
      </c>
      <c r="L5103">
        <v>214.64</v>
      </c>
      <c r="M5103">
        <f>IF((DST_123_ÜRETİM_İHTİYAÇ_RAPORU_BURAK_YENI1309[[#This Row],[SATINALMA]]*DST_123_ÜRETİM_İHTİYAÇ_RAPORU_BURAK_YENI1309[[#This Row],[BIRIM_FIYATLAR]])&lt;1,VALUE("0"),DST_123_ÜRETİM_İHTİYAÇ_RAPORU_BURAK_YENI1309[[#This Row],[SATINALMA]]*DST_123_ÜRETİM_İHTİYAÇ_RAPORU_BURAK_YENI1309[[#This Row],[BIRIM_FIYATLAR]])</f>
        <v>0</v>
      </c>
      <c r="N5103">
        <v>50.81</v>
      </c>
      <c r="O5103" t="s">
        <v>832</v>
      </c>
      <c r="P5103">
        <v>203.24</v>
      </c>
      <c r="Q5103" t="s">
        <v>184</v>
      </c>
    </row>
    <row r="5104" spans="1:17" x14ac:dyDescent="0.25">
      <c r="A5104" t="s">
        <v>1150</v>
      </c>
      <c r="B5104" t="s">
        <v>1145</v>
      </c>
      <c r="C5104" t="s">
        <v>175</v>
      </c>
      <c r="D5104" t="s">
        <v>1035</v>
      </c>
      <c r="E5104" t="s">
        <v>1036</v>
      </c>
      <c r="F5104">
        <v>1</v>
      </c>
      <c r="G5104" t="s">
        <v>176</v>
      </c>
      <c r="H5104">
        <v>0</v>
      </c>
      <c r="I5104">
        <v>19</v>
      </c>
      <c r="J5104" s="10">
        <v>4</v>
      </c>
      <c r="K5104" s="10">
        <f>SUMIFS(F:F,D:D,DST_123_ÜRETİM_İHTİYAÇ_RAPORU_BURAK_YENI1309[[#This Row],[ALT_KOD]])-(SUMIFS(H:H,D:D,DST_123_ÜRETİM_İHTİYAÇ_RAPORU_BURAK_YENI1309[[#This Row],[ALT_KOD]])+AVERAGEIFS(I:I,D:D,DST_123_ÜRETİM_İHTİYAÇ_RAPORU_BURAK_YENI1309[[#This Row],[ALT_KOD]])+AVERAGEIFS(L:L,D:D,DST_123_ÜRETİM_İHTİYAÇ_RAPORU_BURAK_YENI1309[[#This Row],[ALT_KOD]]))</f>
        <v>-12</v>
      </c>
      <c r="L5104">
        <v>0</v>
      </c>
      <c r="M5104">
        <f>IF((DST_123_ÜRETİM_İHTİYAÇ_RAPORU_BURAK_YENI1309[[#This Row],[SATINALMA]]*DST_123_ÜRETİM_İHTİYAÇ_RAPORU_BURAK_YENI1309[[#This Row],[BIRIM_FIYATLAR]])&lt;1,VALUE("0"),DST_123_ÜRETİM_İHTİYAÇ_RAPORU_BURAK_YENI1309[[#This Row],[SATINALMA]]*DST_123_ÜRETİM_İHTİYAÇ_RAPORU_BURAK_YENI1309[[#This Row],[BIRIM_FIYATLAR]])</f>
        <v>0</v>
      </c>
      <c r="N5104">
        <v>85</v>
      </c>
      <c r="O5104" t="s">
        <v>821</v>
      </c>
      <c r="P5104">
        <v>85</v>
      </c>
      <c r="Q5104" t="s">
        <v>178</v>
      </c>
    </row>
    <row r="5105" spans="1:17" x14ac:dyDescent="0.25">
      <c r="A5105" t="s">
        <v>1196</v>
      </c>
      <c r="B5105" t="s">
        <v>1197</v>
      </c>
      <c r="C5105" t="s">
        <v>175</v>
      </c>
      <c r="D5105" t="s">
        <v>637</v>
      </c>
      <c r="E5105" t="s">
        <v>638</v>
      </c>
      <c r="F5105">
        <v>1</v>
      </c>
      <c r="G5105" t="s">
        <v>176</v>
      </c>
      <c r="H5105">
        <v>0</v>
      </c>
      <c r="I5105">
        <v>19</v>
      </c>
      <c r="J5105" s="10">
        <v>17</v>
      </c>
      <c r="K5105" s="10">
        <f>SUMIFS(F:F,D:D,DST_123_ÜRETİM_İHTİYAÇ_RAPORU_BURAK_YENI1309[[#This Row],[ALT_KOD]])-(SUMIFS(H:H,D:D,DST_123_ÜRETİM_İHTİYAÇ_RAPORU_BURAK_YENI1309[[#This Row],[ALT_KOD]])+AVERAGEIFS(I:I,D:D,DST_123_ÜRETİM_İHTİYAÇ_RAPORU_BURAK_YENI1309[[#This Row],[ALT_KOD]])+AVERAGEIFS(L:L,D:D,DST_123_ÜRETİM_İHTİYAÇ_RAPORU_BURAK_YENI1309[[#This Row],[ALT_KOD]]))</f>
        <v>0</v>
      </c>
      <c r="L5105">
        <v>0</v>
      </c>
      <c r="M5105">
        <f>IF((DST_123_ÜRETİM_İHTİYAÇ_RAPORU_BURAK_YENI1309[[#This Row],[SATINALMA]]*DST_123_ÜRETİM_İHTİYAÇ_RAPORU_BURAK_YENI1309[[#This Row],[BIRIM_FIYATLAR]])&lt;1,VALUE("0"),DST_123_ÜRETİM_İHTİYAÇ_RAPORU_BURAK_YENI1309[[#This Row],[SATINALMA]]*DST_123_ÜRETİM_İHTİYAÇ_RAPORU_BURAK_YENI1309[[#This Row],[BIRIM_FIYATLAR]])</f>
        <v>0</v>
      </c>
      <c r="N5105">
        <v>113.64</v>
      </c>
      <c r="O5105" t="s">
        <v>639</v>
      </c>
      <c r="P5105">
        <v>113.64</v>
      </c>
      <c r="Q5105" t="s">
        <v>640</v>
      </c>
    </row>
    <row r="5106" spans="1:17" x14ac:dyDescent="0.25">
      <c r="A5106" t="s">
        <v>1099</v>
      </c>
      <c r="B5106" t="s">
        <v>1055</v>
      </c>
      <c r="C5106" t="s">
        <v>175</v>
      </c>
      <c r="D5106" t="s">
        <v>637</v>
      </c>
      <c r="E5106" t="s">
        <v>638</v>
      </c>
      <c r="F5106">
        <v>1</v>
      </c>
      <c r="G5106" t="s">
        <v>176</v>
      </c>
      <c r="H5106">
        <v>0</v>
      </c>
      <c r="I5106">
        <v>19</v>
      </c>
      <c r="J5106" s="10">
        <v>17</v>
      </c>
      <c r="K5106" s="10">
        <f>SUMIFS(F:F,D:D,DST_123_ÜRETİM_İHTİYAÇ_RAPORU_BURAK_YENI1309[[#This Row],[ALT_KOD]])-(SUMIFS(H:H,D:D,DST_123_ÜRETİM_İHTİYAÇ_RAPORU_BURAK_YENI1309[[#This Row],[ALT_KOD]])+AVERAGEIFS(I:I,D:D,DST_123_ÜRETİM_İHTİYAÇ_RAPORU_BURAK_YENI1309[[#This Row],[ALT_KOD]])+AVERAGEIFS(L:L,D:D,DST_123_ÜRETİM_İHTİYAÇ_RAPORU_BURAK_YENI1309[[#This Row],[ALT_KOD]]))</f>
        <v>0</v>
      </c>
      <c r="L5106">
        <v>0</v>
      </c>
      <c r="M5106">
        <f>IF((DST_123_ÜRETİM_İHTİYAÇ_RAPORU_BURAK_YENI1309[[#This Row],[SATINALMA]]*DST_123_ÜRETİM_İHTİYAÇ_RAPORU_BURAK_YENI1309[[#This Row],[BIRIM_FIYATLAR]])&lt;1,VALUE("0"),DST_123_ÜRETİM_İHTİYAÇ_RAPORU_BURAK_YENI1309[[#This Row],[SATINALMA]]*DST_123_ÜRETİM_İHTİYAÇ_RAPORU_BURAK_YENI1309[[#This Row],[BIRIM_FIYATLAR]])</f>
        <v>0</v>
      </c>
      <c r="N5106">
        <v>113.64</v>
      </c>
      <c r="O5106" t="s">
        <v>639</v>
      </c>
      <c r="P5106">
        <v>113.64</v>
      </c>
      <c r="Q5106" t="s">
        <v>640</v>
      </c>
    </row>
    <row r="5107" spans="1:17" x14ac:dyDescent="0.25">
      <c r="A5107" t="s">
        <v>1196</v>
      </c>
      <c r="B5107" t="s">
        <v>1197</v>
      </c>
      <c r="C5107" t="s">
        <v>175</v>
      </c>
      <c r="D5107" t="s">
        <v>830</v>
      </c>
      <c r="E5107" t="s">
        <v>831</v>
      </c>
      <c r="F5107">
        <v>4</v>
      </c>
      <c r="G5107" t="s">
        <v>179</v>
      </c>
      <c r="H5107">
        <v>0</v>
      </c>
      <c r="I5107">
        <v>100</v>
      </c>
      <c r="J5107" s="10">
        <v>0</v>
      </c>
      <c r="K5107" s="10">
        <f>SUMIFS(F:F,D:D,DST_123_ÜRETİM_İHTİYAÇ_RAPORU_BURAK_YENI1309[[#This Row],[ALT_KOD]])-(SUMIFS(H:H,D:D,DST_123_ÜRETİM_İHTİYAÇ_RAPORU_BURAK_YENI1309[[#This Row],[ALT_KOD]])+AVERAGEIFS(I:I,D:D,DST_123_ÜRETİM_İHTİYAÇ_RAPORU_BURAK_YENI1309[[#This Row],[ALT_KOD]])+AVERAGEIFS(L:L,D:D,DST_123_ÜRETİM_İHTİYAÇ_RAPORU_BURAK_YENI1309[[#This Row],[ALT_KOD]]))</f>
        <v>-227.63999999999987</v>
      </c>
      <c r="L5107">
        <v>214.64</v>
      </c>
      <c r="M5107">
        <f>IF((DST_123_ÜRETİM_İHTİYAÇ_RAPORU_BURAK_YENI1309[[#This Row],[SATINALMA]]*DST_123_ÜRETİM_İHTİYAÇ_RAPORU_BURAK_YENI1309[[#This Row],[BIRIM_FIYATLAR]])&lt;1,VALUE("0"),DST_123_ÜRETİM_İHTİYAÇ_RAPORU_BURAK_YENI1309[[#This Row],[SATINALMA]]*DST_123_ÜRETİM_İHTİYAÇ_RAPORU_BURAK_YENI1309[[#This Row],[BIRIM_FIYATLAR]])</f>
        <v>0</v>
      </c>
      <c r="N5107">
        <v>50.81</v>
      </c>
      <c r="O5107" t="s">
        <v>832</v>
      </c>
      <c r="P5107">
        <v>203.24</v>
      </c>
      <c r="Q5107" t="s">
        <v>184</v>
      </c>
    </row>
    <row r="5108" spans="1:17" x14ac:dyDescent="0.25">
      <c r="A5108" t="s">
        <v>1060</v>
      </c>
      <c r="B5108" t="s">
        <v>1061</v>
      </c>
      <c r="C5108" t="s">
        <v>175</v>
      </c>
      <c r="D5108" t="s">
        <v>637</v>
      </c>
      <c r="E5108" t="s">
        <v>638</v>
      </c>
      <c r="F5108">
        <v>1</v>
      </c>
      <c r="G5108" t="s">
        <v>176</v>
      </c>
      <c r="H5108">
        <v>0</v>
      </c>
      <c r="I5108">
        <v>19</v>
      </c>
      <c r="J5108" s="10">
        <v>17</v>
      </c>
      <c r="K5108" s="10">
        <f>SUMIFS(F:F,D:D,DST_123_ÜRETİM_İHTİYAÇ_RAPORU_BURAK_YENI1309[[#This Row],[ALT_KOD]])-(SUMIFS(H:H,D:D,DST_123_ÜRETİM_İHTİYAÇ_RAPORU_BURAK_YENI1309[[#This Row],[ALT_KOD]])+AVERAGEIFS(I:I,D:D,DST_123_ÜRETİM_İHTİYAÇ_RAPORU_BURAK_YENI1309[[#This Row],[ALT_KOD]])+AVERAGEIFS(L:L,D:D,DST_123_ÜRETİM_İHTİYAÇ_RAPORU_BURAK_YENI1309[[#This Row],[ALT_KOD]]))</f>
        <v>0</v>
      </c>
      <c r="L5108">
        <v>0</v>
      </c>
      <c r="M5108">
        <f>IF((DST_123_ÜRETİM_İHTİYAÇ_RAPORU_BURAK_YENI1309[[#This Row],[SATINALMA]]*DST_123_ÜRETİM_İHTİYAÇ_RAPORU_BURAK_YENI1309[[#This Row],[BIRIM_FIYATLAR]])&lt;1,VALUE("0"),DST_123_ÜRETİM_İHTİYAÇ_RAPORU_BURAK_YENI1309[[#This Row],[SATINALMA]]*DST_123_ÜRETİM_İHTİYAÇ_RAPORU_BURAK_YENI1309[[#This Row],[BIRIM_FIYATLAR]])</f>
        <v>0</v>
      </c>
      <c r="N5108">
        <v>113.64</v>
      </c>
      <c r="O5108" t="s">
        <v>639</v>
      </c>
      <c r="P5108">
        <v>113.64</v>
      </c>
      <c r="Q5108" t="s">
        <v>640</v>
      </c>
    </row>
    <row r="5109" spans="1:17" x14ac:dyDescent="0.25">
      <c r="A5109" t="s">
        <v>1057</v>
      </c>
      <c r="B5109" t="s">
        <v>1058</v>
      </c>
      <c r="C5109" t="s">
        <v>175</v>
      </c>
      <c r="D5109" t="s">
        <v>637</v>
      </c>
      <c r="E5109" t="s">
        <v>638</v>
      </c>
      <c r="F5109">
        <v>1</v>
      </c>
      <c r="G5109" t="s">
        <v>176</v>
      </c>
      <c r="H5109">
        <v>0</v>
      </c>
      <c r="I5109">
        <v>19</v>
      </c>
      <c r="J5109" s="10">
        <v>17</v>
      </c>
      <c r="K5109" s="10">
        <f>SUMIFS(F:F,D:D,DST_123_ÜRETİM_İHTİYAÇ_RAPORU_BURAK_YENI1309[[#This Row],[ALT_KOD]])-(SUMIFS(H:H,D:D,DST_123_ÜRETİM_İHTİYAÇ_RAPORU_BURAK_YENI1309[[#This Row],[ALT_KOD]])+AVERAGEIFS(I:I,D:D,DST_123_ÜRETİM_İHTİYAÇ_RAPORU_BURAK_YENI1309[[#This Row],[ALT_KOD]])+AVERAGEIFS(L:L,D:D,DST_123_ÜRETİM_İHTİYAÇ_RAPORU_BURAK_YENI1309[[#This Row],[ALT_KOD]]))</f>
        <v>0</v>
      </c>
      <c r="L5109">
        <v>0</v>
      </c>
      <c r="M5109">
        <f>IF((DST_123_ÜRETİM_İHTİYAÇ_RAPORU_BURAK_YENI1309[[#This Row],[SATINALMA]]*DST_123_ÜRETİM_İHTİYAÇ_RAPORU_BURAK_YENI1309[[#This Row],[BIRIM_FIYATLAR]])&lt;1,VALUE("0"),DST_123_ÜRETİM_İHTİYAÇ_RAPORU_BURAK_YENI1309[[#This Row],[SATINALMA]]*DST_123_ÜRETİM_İHTİYAÇ_RAPORU_BURAK_YENI1309[[#This Row],[BIRIM_FIYATLAR]])</f>
        <v>0</v>
      </c>
      <c r="N5109">
        <v>113.64</v>
      </c>
      <c r="O5109" t="s">
        <v>639</v>
      </c>
      <c r="P5109">
        <v>113.64</v>
      </c>
      <c r="Q5109" t="s">
        <v>640</v>
      </c>
    </row>
    <row r="5110" spans="1:17" x14ac:dyDescent="0.25">
      <c r="A5110" t="s">
        <v>1100</v>
      </c>
      <c r="B5110" t="s">
        <v>1058</v>
      </c>
      <c r="C5110" t="s">
        <v>175</v>
      </c>
      <c r="D5110" t="s">
        <v>637</v>
      </c>
      <c r="E5110" t="s">
        <v>638</v>
      </c>
      <c r="F5110">
        <v>1</v>
      </c>
      <c r="G5110" t="s">
        <v>176</v>
      </c>
      <c r="H5110">
        <v>0</v>
      </c>
      <c r="I5110">
        <v>19</v>
      </c>
      <c r="J5110" s="10">
        <v>17</v>
      </c>
      <c r="K5110" s="10">
        <f>SUMIFS(F:F,D:D,DST_123_ÜRETİM_İHTİYAÇ_RAPORU_BURAK_YENI1309[[#This Row],[ALT_KOD]])-(SUMIFS(H:H,D:D,DST_123_ÜRETİM_İHTİYAÇ_RAPORU_BURAK_YENI1309[[#This Row],[ALT_KOD]])+AVERAGEIFS(I:I,D:D,DST_123_ÜRETİM_İHTİYAÇ_RAPORU_BURAK_YENI1309[[#This Row],[ALT_KOD]])+AVERAGEIFS(L:L,D:D,DST_123_ÜRETİM_İHTİYAÇ_RAPORU_BURAK_YENI1309[[#This Row],[ALT_KOD]]))</f>
        <v>0</v>
      </c>
      <c r="L5110">
        <v>0</v>
      </c>
      <c r="M5110">
        <f>IF((DST_123_ÜRETİM_İHTİYAÇ_RAPORU_BURAK_YENI1309[[#This Row],[SATINALMA]]*DST_123_ÜRETİM_İHTİYAÇ_RAPORU_BURAK_YENI1309[[#This Row],[BIRIM_FIYATLAR]])&lt;1,VALUE("0"),DST_123_ÜRETİM_İHTİYAÇ_RAPORU_BURAK_YENI1309[[#This Row],[SATINALMA]]*DST_123_ÜRETİM_İHTİYAÇ_RAPORU_BURAK_YENI1309[[#This Row],[BIRIM_FIYATLAR]])</f>
        <v>0</v>
      </c>
      <c r="N5110">
        <v>113.64</v>
      </c>
      <c r="O5110" t="s">
        <v>639</v>
      </c>
      <c r="P5110">
        <v>113.64</v>
      </c>
      <c r="Q5110" t="s">
        <v>640</v>
      </c>
    </row>
    <row r="5111" spans="1:17" x14ac:dyDescent="0.25">
      <c r="A5111" t="s">
        <v>1060</v>
      </c>
      <c r="B5111" t="s">
        <v>1061</v>
      </c>
      <c r="C5111" t="s">
        <v>175</v>
      </c>
      <c r="D5111" t="s">
        <v>842</v>
      </c>
      <c r="E5111" t="s">
        <v>843</v>
      </c>
      <c r="F5111">
        <v>1</v>
      </c>
      <c r="G5111" t="s">
        <v>176</v>
      </c>
      <c r="H5111">
        <v>0</v>
      </c>
      <c r="I5111">
        <v>6</v>
      </c>
      <c r="J5111" s="10">
        <v>0</v>
      </c>
      <c r="K5111" s="10">
        <f>SUMIFS(F:F,D:D,DST_123_ÜRETİM_İHTİYAÇ_RAPORU_BURAK_YENI1309[[#This Row],[ALT_KOD]])-(SUMIFS(H:H,D:D,DST_123_ÜRETİM_İHTİYAÇ_RAPORU_BURAK_YENI1309[[#This Row],[ALT_KOD]])+AVERAGEIFS(I:I,D:D,DST_123_ÜRETİM_İHTİYAÇ_RAPORU_BURAK_YENI1309[[#This Row],[ALT_KOD]])+AVERAGEIFS(L:L,D:D,DST_123_ÜRETİM_İHTİYAÇ_RAPORU_BURAK_YENI1309[[#This Row],[ALT_KOD]]))</f>
        <v>-5</v>
      </c>
      <c r="L5111">
        <v>0</v>
      </c>
      <c r="M5111">
        <f>IF((DST_123_ÜRETİM_İHTİYAÇ_RAPORU_BURAK_YENI1309[[#This Row],[SATINALMA]]*DST_123_ÜRETİM_İHTİYAÇ_RAPORU_BURAK_YENI1309[[#This Row],[BIRIM_FIYATLAR]])&lt;1,VALUE("0"),DST_123_ÜRETİM_İHTİYAÇ_RAPORU_BURAK_YENI1309[[#This Row],[SATINALMA]]*DST_123_ÜRETİM_İHTİYAÇ_RAPORU_BURAK_YENI1309[[#This Row],[BIRIM_FIYATLAR]])</f>
        <v>0</v>
      </c>
      <c r="N5111">
        <v>749.17</v>
      </c>
      <c r="O5111" t="s">
        <v>667</v>
      </c>
      <c r="P5111">
        <v>749.17</v>
      </c>
      <c r="Q5111" t="s">
        <v>677</v>
      </c>
    </row>
    <row r="5112" spans="1:17" x14ac:dyDescent="0.25">
      <c r="A5112" t="s">
        <v>1057</v>
      </c>
      <c r="B5112" t="s">
        <v>1058</v>
      </c>
      <c r="C5112" t="s">
        <v>175</v>
      </c>
      <c r="D5112" t="s">
        <v>844</v>
      </c>
      <c r="E5112" t="s">
        <v>845</v>
      </c>
      <c r="F5112">
        <v>3</v>
      </c>
      <c r="G5112" t="s">
        <v>176</v>
      </c>
      <c r="H5112">
        <v>3</v>
      </c>
      <c r="I5112">
        <v>36</v>
      </c>
      <c r="J5112" s="10">
        <v>26</v>
      </c>
      <c r="K5112" s="10">
        <f>SUMIFS(F:F,D:D,DST_123_ÜRETİM_İHTİYAÇ_RAPORU_BURAK_YENI1309[[#This Row],[ALT_KOD]])-(SUMIFS(H:H,D:D,DST_123_ÜRETİM_İHTİYAÇ_RAPORU_BURAK_YENI1309[[#This Row],[ALT_KOD]])+AVERAGEIFS(I:I,D:D,DST_123_ÜRETİM_İHTİYAÇ_RAPORU_BURAK_YENI1309[[#This Row],[ALT_KOD]])+AVERAGEIFS(L:L,D:D,DST_123_ÜRETİM_İHTİYAÇ_RAPORU_BURAK_YENI1309[[#This Row],[ALT_KOD]]))</f>
        <v>1</v>
      </c>
      <c r="L5112">
        <v>0</v>
      </c>
      <c r="M5112">
        <f>IF((DST_123_ÜRETİM_İHTİYAÇ_RAPORU_BURAK_YENI1309[[#This Row],[SATINALMA]]*DST_123_ÜRETİM_İHTİYAÇ_RAPORU_BURAK_YENI1309[[#This Row],[BIRIM_FIYATLAR]])&lt;1,VALUE("0"),DST_123_ÜRETİM_İHTİYAÇ_RAPORU_BURAK_YENI1309[[#This Row],[SATINALMA]]*DST_123_ÜRETİM_İHTİYAÇ_RAPORU_BURAK_YENI1309[[#This Row],[BIRIM_FIYATLAR]])</f>
        <v>348.7</v>
      </c>
      <c r="N5112">
        <v>348.7</v>
      </c>
      <c r="O5112" t="s">
        <v>636</v>
      </c>
      <c r="P5112">
        <v>1046.0999999999999</v>
      </c>
      <c r="Q5112" t="s">
        <v>177</v>
      </c>
    </row>
    <row r="5113" spans="1:17" x14ac:dyDescent="0.25">
      <c r="A5113" t="s">
        <v>1150</v>
      </c>
      <c r="B5113" t="s">
        <v>1145</v>
      </c>
      <c r="C5113" t="s">
        <v>175</v>
      </c>
      <c r="D5113" t="s">
        <v>637</v>
      </c>
      <c r="E5113" t="s">
        <v>638</v>
      </c>
      <c r="F5113">
        <v>1</v>
      </c>
      <c r="G5113" t="s">
        <v>176</v>
      </c>
      <c r="H5113">
        <v>0</v>
      </c>
      <c r="I5113">
        <v>19</v>
      </c>
      <c r="J5113" s="10">
        <v>17</v>
      </c>
      <c r="K5113" s="10">
        <f>SUMIFS(F:F,D:D,DST_123_ÜRETİM_İHTİYAÇ_RAPORU_BURAK_YENI1309[[#This Row],[ALT_KOD]])-(SUMIFS(H:H,D:D,DST_123_ÜRETİM_İHTİYAÇ_RAPORU_BURAK_YENI1309[[#This Row],[ALT_KOD]])+AVERAGEIFS(I:I,D:D,DST_123_ÜRETİM_İHTİYAÇ_RAPORU_BURAK_YENI1309[[#This Row],[ALT_KOD]])+AVERAGEIFS(L:L,D:D,DST_123_ÜRETİM_İHTİYAÇ_RAPORU_BURAK_YENI1309[[#This Row],[ALT_KOD]]))</f>
        <v>0</v>
      </c>
      <c r="L5113">
        <v>0</v>
      </c>
      <c r="M5113">
        <f>IF((DST_123_ÜRETİM_İHTİYAÇ_RAPORU_BURAK_YENI1309[[#This Row],[SATINALMA]]*DST_123_ÜRETİM_İHTİYAÇ_RAPORU_BURAK_YENI1309[[#This Row],[BIRIM_FIYATLAR]])&lt;1,VALUE("0"),DST_123_ÜRETİM_İHTİYAÇ_RAPORU_BURAK_YENI1309[[#This Row],[SATINALMA]]*DST_123_ÜRETİM_İHTİYAÇ_RAPORU_BURAK_YENI1309[[#This Row],[BIRIM_FIYATLAR]])</f>
        <v>0</v>
      </c>
      <c r="N5113">
        <v>113.64</v>
      </c>
      <c r="O5113" t="s">
        <v>639</v>
      </c>
      <c r="P5113">
        <v>113.64</v>
      </c>
      <c r="Q5113" t="s">
        <v>640</v>
      </c>
    </row>
    <row r="5114" spans="1:17" x14ac:dyDescent="0.25">
      <c r="A5114" t="s">
        <v>1150</v>
      </c>
      <c r="B5114" t="s">
        <v>1145</v>
      </c>
      <c r="C5114" t="s">
        <v>175</v>
      </c>
      <c r="D5114" t="s">
        <v>844</v>
      </c>
      <c r="E5114" t="s">
        <v>845</v>
      </c>
      <c r="F5114">
        <v>3</v>
      </c>
      <c r="G5114" t="s">
        <v>176</v>
      </c>
      <c r="H5114">
        <v>0</v>
      </c>
      <c r="I5114">
        <v>36</v>
      </c>
      <c r="J5114" s="10">
        <v>26</v>
      </c>
      <c r="K5114" s="10">
        <f>SUMIFS(F:F,D:D,DST_123_ÜRETİM_İHTİYAÇ_RAPORU_BURAK_YENI1309[[#This Row],[ALT_KOD]])-(SUMIFS(H:H,D:D,DST_123_ÜRETİM_İHTİYAÇ_RAPORU_BURAK_YENI1309[[#This Row],[ALT_KOD]])+AVERAGEIFS(I:I,D:D,DST_123_ÜRETİM_İHTİYAÇ_RAPORU_BURAK_YENI1309[[#This Row],[ALT_KOD]])+AVERAGEIFS(L:L,D:D,DST_123_ÜRETİM_İHTİYAÇ_RAPORU_BURAK_YENI1309[[#This Row],[ALT_KOD]]))</f>
        <v>1</v>
      </c>
      <c r="L5114">
        <v>0</v>
      </c>
      <c r="M5114">
        <f>IF((DST_123_ÜRETİM_İHTİYAÇ_RAPORU_BURAK_YENI1309[[#This Row],[SATINALMA]]*DST_123_ÜRETİM_İHTİYAÇ_RAPORU_BURAK_YENI1309[[#This Row],[BIRIM_FIYATLAR]])&lt;1,VALUE("0"),DST_123_ÜRETİM_İHTİYAÇ_RAPORU_BURAK_YENI1309[[#This Row],[SATINALMA]]*DST_123_ÜRETİM_İHTİYAÇ_RAPORU_BURAK_YENI1309[[#This Row],[BIRIM_FIYATLAR]])</f>
        <v>348.7</v>
      </c>
      <c r="N5114">
        <v>348.7</v>
      </c>
      <c r="O5114" t="s">
        <v>636</v>
      </c>
      <c r="P5114">
        <v>1046.0999999999999</v>
      </c>
      <c r="Q5114" t="s">
        <v>177</v>
      </c>
    </row>
    <row r="5115" spans="1:17" x14ac:dyDescent="0.25">
      <c r="A5115" t="s">
        <v>1101</v>
      </c>
      <c r="B5115" t="s">
        <v>1102</v>
      </c>
      <c r="C5115" t="s">
        <v>175</v>
      </c>
      <c r="D5115" t="s">
        <v>450</v>
      </c>
      <c r="E5115" t="s">
        <v>624</v>
      </c>
      <c r="F5115">
        <v>2</v>
      </c>
      <c r="G5115" t="s">
        <v>176</v>
      </c>
      <c r="H5115">
        <v>2</v>
      </c>
      <c r="I5115">
        <v>6</v>
      </c>
      <c r="J5115" s="10">
        <v>24</v>
      </c>
      <c r="K5115" s="10">
        <f>SUMIFS(F:F,D:D,DST_123_ÜRETİM_İHTİYAÇ_RAPORU_BURAK_YENI1309[[#This Row],[ALT_KOD]])-(SUMIFS(H:H,D:D,DST_123_ÜRETİM_İHTİYAÇ_RAPORU_BURAK_YENI1309[[#This Row],[ALT_KOD]])+AVERAGEIFS(I:I,D:D,DST_123_ÜRETİM_İHTİYAÇ_RAPORU_BURAK_YENI1309[[#This Row],[ALT_KOD]])+AVERAGEIFS(L:L,D:D,DST_123_ÜRETİM_İHTİYAÇ_RAPORU_BURAK_YENI1309[[#This Row],[ALT_KOD]]))</f>
        <v>10</v>
      </c>
      <c r="L5115">
        <v>0</v>
      </c>
      <c r="M5115">
        <f>IF((DST_123_ÜRETİM_İHTİYAÇ_RAPORU_BURAK_YENI1309[[#This Row],[SATINALMA]]*DST_123_ÜRETİM_İHTİYAÇ_RAPORU_BURAK_YENI1309[[#This Row],[BIRIM_FIYATLAR]])&lt;1,VALUE("0"),DST_123_ÜRETİM_İHTİYAÇ_RAPORU_BURAK_YENI1309[[#This Row],[SATINALMA]]*DST_123_ÜRETİM_İHTİYAÇ_RAPORU_BURAK_YENI1309[[#This Row],[BIRIM_FIYATLAR]])</f>
        <v>149462.5</v>
      </c>
      <c r="N5115">
        <v>14946.25</v>
      </c>
      <c r="O5115" t="s">
        <v>625</v>
      </c>
      <c r="P5115">
        <v>29892.5</v>
      </c>
      <c r="Q5115" t="s">
        <v>178</v>
      </c>
    </row>
    <row r="5116" spans="1:17" x14ac:dyDescent="0.25">
      <c r="A5116" t="s">
        <v>1060</v>
      </c>
      <c r="B5116" t="s">
        <v>1061</v>
      </c>
      <c r="C5116" t="s">
        <v>175</v>
      </c>
      <c r="D5116" t="s">
        <v>530</v>
      </c>
      <c r="E5116" t="s">
        <v>531</v>
      </c>
      <c r="F5116">
        <v>0.35</v>
      </c>
      <c r="G5116" t="s">
        <v>176</v>
      </c>
      <c r="H5116">
        <v>0.35</v>
      </c>
      <c r="I5116">
        <v>5</v>
      </c>
      <c r="J5116" s="10">
        <v>9.7999999999999954</v>
      </c>
      <c r="K5116" s="10">
        <f>SUMIFS(F:F,D:D,DST_123_ÜRETİM_İHTİYAÇ_RAPORU_BURAK_YENI1309[[#This Row],[ALT_KOD]])-(SUMIFS(H:H,D:D,DST_123_ÜRETİM_İHTİYAÇ_RAPORU_BURAK_YENI1309[[#This Row],[ALT_KOD]])+AVERAGEIFS(I:I,D:D,DST_123_ÜRETİM_İHTİYAÇ_RAPORU_BURAK_YENI1309[[#This Row],[ALT_KOD]])+AVERAGEIFS(L:L,D:D,DST_123_ÜRETİM_İHTİYAÇ_RAPORU_BURAK_YENI1309[[#This Row],[ALT_KOD]]))</f>
        <v>0.19999999999999929</v>
      </c>
      <c r="L5116">
        <v>0</v>
      </c>
      <c r="M5116">
        <f>IF((DST_123_ÜRETİM_İHTİYAÇ_RAPORU_BURAK_YENI1309[[#This Row],[SATINALMA]]*DST_123_ÜRETİM_İHTİYAÇ_RAPORU_BURAK_YENI1309[[#This Row],[BIRIM_FIYATLAR]])&lt;1,VALUE("0"),DST_123_ÜRETİM_İHTİYAÇ_RAPORU_BURAK_YENI1309[[#This Row],[SATINALMA]]*DST_123_ÜRETİM_İHTİYAÇ_RAPORU_BURAK_YENI1309[[#This Row],[BIRIM_FIYATLAR]])</f>
        <v>7.599999999999973</v>
      </c>
      <c r="N5116">
        <v>38</v>
      </c>
      <c r="O5116" t="s">
        <v>240</v>
      </c>
      <c r="P5116">
        <v>13.299999999999999</v>
      </c>
      <c r="Q5116" t="s">
        <v>180</v>
      </c>
    </row>
    <row r="5117" spans="1:17" x14ac:dyDescent="0.25">
      <c r="A5117" t="s">
        <v>1064</v>
      </c>
      <c r="B5117" t="s">
        <v>1055</v>
      </c>
      <c r="C5117" t="s">
        <v>175</v>
      </c>
      <c r="D5117" t="s">
        <v>426</v>
      </c>
      <c r="E5117" t="s">
        <v>427</v>
      </c>
      <c r="F5117">
        <v>1</v>
      </c>
      <c r="G5117" t="s">
        <v>176</v>
      </c>
      <c r="H5117">
        <v>1</v>
      </c>
      <c r="I5117">
        <v>12</v>
      </c>
      <c r="J5117" s="10">
        <v>9</v>
      </c>
      <c r="K5117" s="10">
        <f>SUMIFS(F:F,D:D,DST_123_ÜRETİM_İHTİYAÇ_RAPORU_BURAK_YENI1309[[#This Row],[ALT_KOD]])-(SUMIFS(H:H,D:D,DST_123_ÜRETİM_İHTİYAÇ_RAPORU_BURAK_YENI1309[[#This Row],[ALT_KOD]])+AVERAGEIFS(I:I,D:D,DST_123_ÜRETİM_İHTİYAÇ_RAPORU_BURAK_YENI1309[[#This Row],[ALT_KOD]])+AVERAGEIFS(L:L,D:D,DST_123_ÜRETİM_İHTİYAÇ_RAPORU_BURAK_YENI1309[[#This Row],[ALT_KOD]]))</f>
        <v>0</v>
      </c>
      <c r="L5117">
        <v>0</v>
      </c>
      <c r="M5117">
        <f>IF((DST_123_ÜRETİM_İHTİYAÇ_RAPORU_BURAK_YENI1309[[#This Row],[SATINALMA]]*DST_123_ÜRETİM_İHTİYAÇ_RAPORU_BURAK_YENI1309[[#This Row],[BIRIM_FIYATLAR]])&lt;1,VALUE("0"),DST_123_ÜRETİM_İHTİYAÇ_RAPORU_BURAK_YENI1309[[#This Row],[SATINALMA]]*DST_123_ÜRETİM_İHTİYAÇ_RAPORU_BURAK_YENI1309[[#This Row],[BIRIM_FIYATLAR]])</f>
        <v>0</v>
      </c>
      <c r="N5117">
        <v>266.72000000000003</v>
      </c>
      <c r="O5117" t="s">
        <v>227</v>
      </c>
      <c r="P5117">
        <v>266.72000000000003</v>
      </c>
      <c r="Q5117" t="s">
        <v>221</v>
      </c>
    </row>
    <row r="5118" spans="1:17" x14ac:dyDescent="0.25">
      <c r="A5118" t="s">
        <v>1099</v>
      </c>
      <c r="B5118" t="s">
        <v>1055</v>
      </c>
      <c r="C5118" t="s">
        <v>175</v>
      </c>
      <c r="D5118" t="s">
        <v>597</v>
      </c>
      <c r="E5118" t="s">
        <v>598</v>
      </c>
      <c r="F5118">
        <v>2</v>
      </c>
      <c r="G5118" t="s">
        <v>176</v>
      </c>
      <c r="H5118">
        <v>2</v>
      </c>
      <c r="I5118">
        <v>29</v>
      </c>
      <c r="J5118" s="10">
        <v>9</v>
      </c>
      <c r="K5118" s="10">
        <f>SUMIFS(F:F,D:D,DST_123_ÜRETİM_İHTİYAÇ_RAPORU_BURAK_YENI1309[[#This Row],[ALT_KOD]])-(SUMIFS(H:H,D:D,DST_123_ÜRETİM_İHTİYAÇ_RAPORU_BURAK_YENI1309[[#This Row],[ALT_KOD]])+AVERAGEIFS(I:I,D:D,DST_123_ÜRETİM_İHTİYAÇ_RAPORU_BURAK_YENI1309[[#This Row],[ALT_KOD]])+AVERAGEIFS(L:L,D:D,DST_123_ÜRETİM_İHTİYAÇ_RAPORU_BURAK_YENI1309[[#This Row],[ALT_KOD]]))</f>
        <v>-13</v>
      </c>
      <c r="L5118">
        <v>0</v>
      </c>
      <c r="M5118">
        <f>IF((DST_123_ÜRETİM_İHTİYAÇ_RAPORU_BURAK_YENI1309[[#This Row],[SATINALMA]]*DST_123_ÜRETİM_İHTİYAÇ_RAPORU_BURAK_YENI1309[[#This Row],[BIRIM_FIYATLAR]])&lt;1,VALUE("0"),DST_123_ÜRETİM_İHTİYAÇ_RAPORU_BURAK_YENI1309[[#This Row],[SATINALMA]]*DST_123_ÜRETİM_İHTİYAÇ_RAPORU_BURAK_YENI1309[[#This Row],[BIRIM_FIYATLAR]])</f>
        <v>0</v>
      </c>
      <c r="N5118">
        <v>355.05</v>
      </c>
      <c r="O5118" t="s">
        <v>636</v>
      </c>
      <c r="P5118">
        <v>710.1</v>
      </c>
      <c r="Q5118" t="s">
        <v>177</v>
      </c>
    </row>
    <row r="5119" spans="1:17" x14ac:dyDescent="0.25">
      <c r="A5119" t="s">
        <v>1064</v>
      </c>
      <c r="B5119" t="s">
        <v>1055</v>
      </c>
      <c r="C5119" t="s">
        <v>175</v>
      </c>
      <c r="D5119" t="s">
        <v>597</v>
      </c>
      <c r="E5119" t="s">
        <v>598</v>
      </c>
      <c r="F5119">
        <v>2</v>
      </c>
      <c r="G5119" t="s">
        <v>176</v>
      </c>
      <c r="H5119">
        <v>2</v>
      </c>
      <c r="I5119">
        <v>29</v>
      </c>
      <c r="J5119" s="10">
        <v>9</v>
      </c>
      <c r="K5119" s="10">
        <f>SUMIFS(F:F,D:D,DST_123_ÜRETİM_İHTİYAÇ_RAPORU_BURAK_YENI1309[[#This Row],[ALT_KOD]])-(SUMIFS(H:H,D:D,DST_123_ÜRETİM_İHTİYAÇ_RAPORU_BURAK_YENI1309[[#This Row],[ALT_KOD]])+AVERAGEIFS(I:I,D:D,DST_123_ÜRETİM_İHTİYAÇ_RAPORU_BURAK_YENI1309[[#This Row],[ALT_KOD]])+AVERAGEIFS(L:L,D:D,DST_123_ÜRETİM_İHTİYAÇ_RAPORU_BURAK_YENI1309[[#This Row],[ALT_KOD]]))</f>
        <v>-13</v>
      </c>
      <c r="L5119">
        <v>0</v>
      </c>
      <c r="M5119">
        <f>IF((DST_123_ÜRETİM_İHTİYAÇ_RAPORU_BURAK_YENI1309[[#This Row],[SATINALMA]]*DST_123_ÜRETİM_İHTİYAÇ_RAPORU_BURAK_YENI1309[[#This Row],[BIRIM_FIYATLAR]])&lt;1,VALUE("0"),DST_123_ÜRETİM_İHTİYAÇ_RAPORU_BURAK_YENI1309[[#This Row],[SATINALMA]]*DST_123_ÜRETİM_İHTİYAÇ_RAPORU_BURAK_YENI1309[[#This Row],[BIRIM_FIYATLAR]])</f>
        <v>0</v>
      </c>
      <c r="N5119">
        <v>355.05</v>
      </c>
      <c r="O5119" t="s">
        <v>636</v>
      </c>
      <c r="P5119">
        <v>710.1</v>
      </c>
      <c r="Q5119" t="s">
        <v>177</v>
      </c>
    </row>
    <row r="5120" spans="1:17" x14ac:dyDescent="0.25">
      <c r="A5120" t="s">
        <v>1064</v>
      </c>
      <c r="B5120" t="s">
        <v>1055</v>
      </c>
      <c r="C5120" t="s">
        <v>175</v>
      </c>
      <c r="D5120" t="s">
        <v>740</v>
      </c>
      <c r="E5120" t="s">
        <v>741</v>
      </c>
      <c r="F5120">
        <v>1</v>
      </c>
      <c r="G5120" t="s">
        <v>176</v>
      </c>
      <c r="H5120">
        <v>1</v>
      </c>
      <c r="I5120">
        <v>17</v>
      </c>
      <c r="J5120" s="10">
        <v>17</v>
      </c>
      <c r="K5120" s="10">
        <f>SUMIFS(F:F,D:D,DST_123_ÜRETİM_İHTİYAÇ_RAPORU_BURAK_YENI1309[[#This Row],[ALT_KOD]])-(SUMIFS(H:H,D:D,DST_123_ÜRETİM_İHTİYAÇ_RAPORU_BURAK_YENI1309[[#This Row],[ALT_KOD]])+AVERAGEIFS(I:I,D:D,DST_123_ÜRETİM_İHTİYAÇ_RAPORU_BURAK_YENI1309[[#This Row],[ALT_KOD]])+AVERAGEIFS(L:L,D:D,DST_123_ÜRETİM_İHTİYAÇ_RAPORU_BURAK_YENI1309[[#This Row],[ALT_KOD]]))</f>
        <v>-6</v>
      </c>
      <c r="L5120">
        <v>0</v>
      </c>
      <c r="M5120">
        <f>IF((DST_123_ÜRETİM_İHTİYAÇ_RAPORU_BURAK_YENI1309[[#This Row],[SATINALMA]]*DST_123_ÜRETİM_İHTİYAÇ_RAPORU_BURAK_YENI1309[[#This Row],[BIRIM_FIYATLAR]])&lt;1,VALUE("0"),DST_123_ÜRETİM_İHTİYAÇ_RAPORU_BURAK_YENI1309[[#This Row],[SATINALMA]]*DST_123_ÜRETİM_İHTİYAÇ_RAPORU_BURAK_YENI1309[[#This Row],[BIRIM_FIYATLAR]])</f>
        <v>0</v>
      </c>
      <c r="N5120">
        <v>41.67</v>
      </c>
      <c r="O5120" t="s">
        <v>667</v>
      </c>
      <c r="P5120">
        <v>41.67</v>
      </c>
      <c r="Q5120" t="s">
        <v>177</v>
      </c>
    </row>
    <row r="5121" spans="1:17" x14ac:dyDescent="0.25">
      <c r="A5121" t="s">
        <v>1064</v>
      </c>
      <c r="B5121" t="s">
        <v>1055</v>
      </c>
      <c r="C5121" t="s">
        <v>175</v>
      </c>
      <c r="D5121" t="s">
        <v>439</v>
      </c>
      <c r="E5121" t="s">
        <v>440</v>
      </c>
      <c r="F5121">
        <v>1</v>
      </c>
      <c r="G5121" t="s">
        <v>176</v>
      </c>
      <c r="H5121">
        <v>1</v>
      </c>
      <c r="I5121">
        <v>28</v>
      </c>
      <c r="J5121" s="10">
        <v>5</v>
      </c>
      <c r="K5121" s="10">
        <f>SUMIFS(F:F,D:D,DST_123_ÜRETİM_İHTİYAÇ_RAPORU_BURAK_YENI1309[[#This Row],[ALT_KOD]])-(SUMIFS(H:H,D:D,DST_123_ÜRETİM_İHTİYAÇ_RAPORU_BURAK_YENI1309[[#This Row],[ALT_KOD]])+AVERAGEIFS(I:I,D:D,DST_123_ÜRETİM_İHTİYAÇ_RAPORU_BURAK_YENI1309[[#This Row],[ALT_KOD]])+AVERAGEIFS(L:L,D:D,DST_123_ÜRETİM_İHTİYAÇ_RAPORU_BURAK_YENI1309[[#This Row],[ALT_KOD]]))</f>
        <v>-16</v>
      </c>
      <c r="L5121">
        <v>0</v>
      </c>
      <c r="M5121">
        <f>IF((DST_123_ÜRETİM_İHTİYAÇ_RAPORU_BURAK_YENI1309[[#This Row],[SATINALMA]]*DST_123_ÜRETİM_İHTİYAÇ_RAPORU_BURAK_YENI1309[[#This Row],[BIRIM_FIYATLAR]])&lt;1,VALUE("0"),DST_123_ÜRETİM_İHTİYAÇ_RAPORU_BURAK_YENI1309[[#This Row],[SATINALMA]]*DST_123_ÜRETİM_İHTİYAÇ_RAPORU_BURAK_YENI1309[[#This Row],[BIRIM_FIYATLAR]])</f>
        <v>0</v>
      </c>
      <c r="N5121">
        <v>373.06</v>
      </c>
      <c r="O5121" t="s">
        <v>636</v>
      </c>
      <c r="P5121">
        <v>373.06</v>
      </c>
      <c r="Q5121" t="s">
        <v>178</v>
      </c>
    </row>
    <row r="5122" spans="1:17" x14ac:dyDescent="0.25">
      <c r="A5122" t="s">
        <v>1097</v>
      </c>
      <c r="B5122" t="s">
        <v>1055</v>
      </c>
      <c r="C5122" t="s">
        <v>175</v>
      </c>
      <c r="D5122" t="s">
        <v>439</v>
      </c>
      <c r="E5122" t="s">
        <v>440</v>
      </c>
      <c r="F5122">
        <v>1</v>
      </c>
      <c r="G5122" t="s">
        <v>176</v>
      </c>
      <c r="H5122">
        <v>1</v>
      </c>
      <c r="I5122">
        <v>28</v>
      </c>
      <c r="J5122" s="10">
        <v>5</v>
      </c>
      <c r="K5122" s="10">
        <f>SUMIFS(F:F,D:D,DST_123_ÜRETİM_İHTİYAÇ_RAPORU_BURAK_YENI1309[[#This Row],[ALT_KOD]])-(SUMIFS(H:H,D:D,DST_123_ÜRETİM_İHTİYAÇ_RAPORU_BURAK_YENI1309[[#This Row],[ALT_KOD]])+AVERAGEIFS(I:I,D:D,DST_123_ÜRETİM_İHTİYAÇ_RAPORU_BURAK_YENI1309[[#This Row],[ALT_KOD]])+AVERAGEIFS(L:L,D:D,DST_123_ÜRETİM_İHTİYAÇ_RAPORU_BURAK_YENI1309[[#This Row],[ALT_KOD]]))</f>
        <v>-16</v>
      </c>
      <c r="L5122">
        <v>0</v>
      </c>
      <c r="M5122">
        <f>IF((DST_123_ÜRETİM_İHTİYAÇ_RAPORU_BURAK_YENI1309[[#This Row],[SATINALMA]]*DST_123_ÜRETİM_İHTİYAÇ_RAPORU_BURAK_YENI1309[[#This Row],[BIRIM_FIYATLAR]])&lt;1,VALUE("0"),DST_123_ÜRETİM_İHTİYAÇ_RAPORU_BURAK_YENI1309[[#This Row],[SATINALMA]]*DST_123_ÜRETİM_İHTİYAÇ_RAPORU_BURAK_YENI1309[[#This Row],[BIRIM_FIYATLAR]])</f>
        <v>0</v>
      </c>
      <c r="N5122">
        <v>373.06</v>
      </c>
      <c r="O5122" t="s">
        <v>636</v>
      </c>
      <c r="P5122">
        <v>373.06</v>
      </c>
      <c r="Q5122" t="s">
        <v>178</v>
      </c>
    </row>
    <row r="5123" spans="1:17" x14ac:dyDescent="0.25">
      <c r="A5123" t="s">
        <v>1100</v>
      </c>
      <c r="B5123" t="s">
        <v>1058</v>
      </c>
      <c r="C5123" t="s">
        <v>175</v>
      </c>
      <c r="D5123" t="s">
        <v>40</v>
      </c>
      <c r="E5123" t="s">
        <v>41</v>
      </c>
      <c r="F5123">
        <v>1</v>
      </c>
      <c r="G5123" t="s">
        <v>176</v>
      </c>
      <c r="H5123">
        <v>1</v>
      </c>
      <c r="I5123">
        <v>28</v>
      </c>
      <c r="J5123" s="10">
        <v>5</v>
      </c>
      <c r="K5123" s="10">
        <f>SUMIFS(F:F,D:D,DST_123_ÜRETİM_İHTİYAÇ_RAPORU_BURAK_YENI1309[[#This Row],[ALT_KOD]])-(SUMIFS(H:H,D:D,DST_123_ÜRETİM_İHTİYAÇ_RAPORU_BURAK_YENI1309[[#This Row],[ALT_KOD]])+AVERAGEIFS(I:I,D:D,DST_123_ÜRETİM_İHTİYAÇ_RAPORU_BURAK_YENI1309[[#This Row],[ALT_KOD]])+AVERAGEIFS(L:L,D:D,DST_123_ÜRETİM_İHTİYAÇ_RAPORU_BURAK_YENI1309[[#This Row],[ALT_KOD]]))</f>
        <v>-28</v>
      </c>
      <c r="L5123">
        <v>0</v>
      </c>
      <c r="M5123">
        <f>IF((DST_123_ÜRETİM_İHTİYAÇ_RAPORU_BURAK_YENI1309[[#This Row],[SATINALMA]]*DST_123_ÜRETİM_İHTİYAÇ_RAPORU_BURAK_YENI1309[[#This Row],[BIRIM_FIYATLAR]])&lt;1,VALUE("0"),DST_123_ÜRETİM_İHTİYAÇ_RAPORU_BURAK_YENI1309[[#This Row],[SATINALMA]]*DST_123_ÜRETİM_İHTİYAÇ_RAPORU_BURAK_YENI1309[[#This Row],[BIRIM_FIYATLAR]])</f>
        <v>0</v>
      </c>
      <c r="N5123">
        <v>90</v>
      </c>
      <c r="O5123" t="s">
        <v>226</v>
      </c>
      <c r="P5123">
        <v>90</v>
      </c>
      <c r="Q5123" t="s">
        <v>180</v>
      </c>
    </row>
    <row r="5124" spans="1:17" x14ac:dyDescent="0.25">
      <c r="A5124" t="s">
        <v>1100</v>
      </c>
      <c r="B5124" t="s">
        <v>1058</v>
      </c>
      <c r="C5124" t="s">
        <v>175</v>
      </c>
      <c r="D5124" t="s">
        <v>530</v>
      </c>
      <c r="E5124" t="s">
        <v>531</v>
      </c>
      <c r="F5124">
        <v>0.5</v>
      </c>
      <c r="G5124" t="s">
        <v>176</v>
      </c>
      <c r="H5124">
        <v>0.5</v>
      </c>
      <c r="I5124">
        <v>5</v>
      </c>
      <c r="J5124" s="10">
        <v>9.7999999999999954</v>
      </c>
      <c r="K5124" s="10">
        <f>SUMIFS(F:F,D:D,DST_123_ÜRETİM_İHTİYAÇ_RAPORU_BURAK_YENI1309[[#This Row],[ALT_KOD]])-(SUMIFS(H:H,D:D,DST_123_ÜRETİM_İHTİYAÇ_RAPORU_BURAK_YENI1309[[#This Row],[ALT_KOD]])+AVERAGEIFS(I:I,D:D,DST_123_ÜRETİM_İHTİYAÇ_RAPORU_BURAK_YENI1309[[#This Row],[ALT_KOD]])+AVERAGEIFS(L:L,D:D,DST_123_ÜRETİM_İHTİYAÇ_RAPORU_BURAK_YENI1309[[#This Row],[ALT_KOD]]))</f>
        <v>0.19999999999999929</v>
      </c>
      <c r="L5124">
        <v>0</v>
      </c>
      <c r="M5124">
        <f>IF((DST_123_ÜRETİM_İHTİYAÇ_RAPORU_BURAK_YENI1309[[#This Row],[SATINALMA]]*DST_123_ÜRETİM_İHTİYAÇ_RAPORU_BURAK_YENI1309[[#This Row],[BIRIM_FIYATLAR]])&lt;1,VALUE("0"),DST_123_ÜRETİM_İHTİYAÇ_RAPORU_BURAK_YENI1309[[#This Row],[SATINALMA]]*DST_123_ÜRETİM_İHTİYAÇ_RAPORU_BURAK_YENI1309[[#This Row],[BIRIM_FIYATLAR]])</f>
        <v>7.599999999999973</v>
      </c>
      <c r="N5124">
        <v>38</v>
      </c>
      <c r="O5124" t="s">
        <v>240</v>
      </c>
      <c r="P5124">
        <v>19</v>
      </c>
      <c r="Q5124" t="s">
        <v>180</v>
      </c>
    </row>
    <row r="5125" spans="1:17" x14ac:dyDescent="0.25">
      <c r="A5125" t="s">
        <v>1059</v>
      </c>
      <c r="B5125" t="s">
        <v>1058</v>
      </c>
      <c r="C5125" t="s">
        <v>175</v>
      </c>
      <c r="D5125" t="s">
        <v>46</v>
      </c>
      <c r="E5125" t="s">
        <v>47</v>
      </c>
      <c r="F5125">
        <v>4</v>
      </c>
      <c r="G5125" t="s">
        <v>176</v>
      </c>
      <c r="H5125">
        <v>4</v>
      </c>
      <c r="I5125">
        <v>75</v>
      </c>
      <c r="J5125" s="10">
        <v>60</v>
      </c>
      <c r="K5125" s="10">
        <f>SUMIFS(F:F,D:D,DST_123_ÜRETİM_İHTİYAÇ_RAPORU_BURAK_YENI1309[[#This Row],[ALT_KOD]])-(SUMIFS(H:H,D:D,DST_123_ÜRETİM_İHTİYAÇ_RAPORU_BURAK_YENI1309[[#This Row],[ALT_KOD]])+AVERAGEIFS(I:I,D:D,DST_123_ÜRETİM_İHTİYAÇ_RAPORU_BURAK_YENI1309[[#This Row],[ALT_KOD]])+AVERAGEIFS(L:L,D:D,DST_123_ÜRETİM_İHTİYAÇ_RAPORU_BURAK_YENI1309[[#This Row],[ALT_KOD]]))</f>
        <v>-31</v>
      </c>
      <c r="L5125">
        <v>0</v>
      </c>
      <c r="M5125">
        <f>IF((DST_123_ÜRETİM_İHTİYAÇ_RAPORU_BURAK_YENI1309[[#This Row],[SATINALMA]]*DST_123_ÜRETİM_İHTİYAÇ_RAPORU_BURAK_YENI1309[[#This Row],[BIRIM_FIYATLAR]])&lt;1,VALUE("0"),DST_123_ÜRETİM_İHTİYAÇ_RAPORU_BURAK_YENI1309[[#This Row],[SATINALMA]]*DST_123_ÜRETİM_İHTİYAÇ_RAPORU_BURAK_YENI1309[[#This Row],[BIRIM_FIYATLAR]])</f>
        <v>0</v>
      </c>
      <c r="N5125">
        <v>170</v>
      </c>
      <c r="O5125" t="s">
        <v>245</v>
      </c>
      <c r="P5125">
        <v>680</v>
      </c>
      <c r="Q5125" t="s">
        <v>180</v>
      </c>
    </row>
    <row r="5126" spans="1:17" x14ac:dyDescent="0.25">
      <c r="A5126" t="s">
        <v>1097</v>
      </c>
      <c r="B5126" t="s">
        <v>1055</v>
      </c>
      <c r="C5126" t="s">
        <v>175</v>
      </c>
      <c r="D5126" t="s">
        <v>38</v>
      </c>
      <c r="E5126" t="s">
        <v>39</v>
      </c>
      <c r="F5126">
        <v>2</v>
      </c>
      <c r="G5126" t="s">
        <v>176</v>
      </c>
      <c r="H5126">
        <v>2</v>
      </c>
      <c r="I5126">
        <v>304</v>
      </c>
      <c r="J5126" s="10">
        <v>13</v>
      </c>
      <c r="K5126" s="10">
        <f>SUMIFS(F:F,D:D,DST_123_ÜRETİM_İHTİYAÇ_RAPORU_BURAK_YENI1309[[#This Row],[ALT_KOD]])-(SUMIFS(H:H,D:D,DST_123_ÜRETİM_İHTİYAÇ_RAPORU_BURAK_YENI1309[[#This Row],[ALT_KOD]])+AVERAGEIFS(I:I,D:D,DST_123_ÜRETİM_İHTİYAÇ_RAPORU_BURAK_YENI1309[[#This Row],[ALT_KOD]])+AVERAGEIFS(L:L,D:D,DST_123_ÜRETİM_İHTİYAÇ_RAPORU_BURAK_YENI1309[[#This Row],[ALT_KOD]]))</f>
        <v>-281</v>
      </c>
      <c r="L5126">
        <v>0</v>
      </c>
      <c r="M5126">
        <f>IF((DST_123_ÜRETİM_İHTİYAÇ_RAPORU_BURAK_YENI1309[[#This Row],[SATINALMA]]*DST_123_ÜRETİM_İHTİYAÇ_RAPORU_BURAK_YENI1309[[#This Row],[BIRIM_FIYATLAR]])&lt;1,VALUE("0"),DST_123_ÜRETİM_İHTİYAÇ_RAPORU_BURAK_YENI1309[[#This Row],[SATINALMA]]*DST_123_ÜRETİM_İHTİYAÇ_RAPORU_BURAK_YENI1309[[#This Row],[BIRIM_FIYATLAR]])</f>
        <v>0</v>
      </c>
      <c r="N5126">
        <v>210</v>
      </c>
      <c r="O5126" t="s">
        <v>220</v>
      </c>
      <c r="P5126">
        <v>420</v>
      </c>
      <c r="Q5126" t="s">
        <v>221</v>
      </c>
    </row>
    <row r="5127" spans="1:17" x14ac:dyDescent="0.25">
      <c r="A5127" t="s">
        <v>1099</v>
      </c>
      <c r="B5127" t="s">
        <v>1055</v>
      </c>
      <c r="C5127" t="s">
        <v>175</v>
      </c>
      <c r="D5127" t="s">
        <v>439</v>
      </c>
      <c r="E5127" t="s">
        <v>440</v>
      </c>
      <c r="F5127">
        <v>1</v>
      </c>
      <c r="G5127" t="s">
        <v>176</v>
      </c>
      <c r="H5127">
        <v>1</v>
      </c>
      <c r="I5127">
        <v>28</v>
      </c>
      <c r="J5127" s="10">
        <v>5</v>
      </c>
      <c r="K5127" s="10">
        <f>SUMIFS(F:F,D:D,DST_123_ÜRETİM_İHTİYAÇ_RAPORU_BURAK_YENI1309[[#This Row],[ALT_KOD]])-(SUMIFS(H:H,D:D,DST_123_ÜRETİM_İHTİYAÇ_RAPORU_BURAK_YENI1309[[#This Row],[ALT_KOD]])+AVERAGEIFS(I:I,D:D,DST_123_ÜRETİM_İHTİYAÇ_RAPORU_BURAK_YENI1309[[#This Row],[ALT_KOD]])+AVERAGEIFS(L:L,D:D,DST_123_ÜRETİM_İHTİYAÇ_RAPORU_BURAK_YENI1309[[#This Row],[ALT_KOD]]))</f>
        <v>-16</v>
      </c>
      <c r="L5127">
        <v>0</v>
      </c>
      <c r="M5127">
        <f>IF((DST_123_ÜRETİM_İHTİYAÇ_RAPORU_BURAK_YENI1309[[#This Row],[SATINALMA]]*DST_123_ÜRETİM_İHTİYAÇ_RAPORU_BURAK_YENI1309[[#This Row],[BIRIM_FIYATLAR]])&lt;1,VALUE("0"),DST_123_ÜRETİM_İHTİYAÇ_RAPORU_BURAK_YENI1309[[#This Row],[SATINALMA]]*DST_123_ÜRETİM_İHTİYAÇ_RAPORU_BURAK_YENI1309[[#This Row],[BIRIM_FIYATLAR]])</f>
        <v>0</v>
      </c>
      <c r="N5127">
        <v>373.06</v>
      </c>
      <c r="O5127" t="s">
        <v>636</v>
      </c>
      <c r="P5127">
        <v>373.06</v>
      </c>
      <c r="Q5127" t="s">
        <v>178</v>
      </c>
    </row>
    <row r="5128" spans="1:17" x14ac:dyDescent="0.25">
      <c r="A5128" t="s">
        <v>1097</v>
      </c>
      <c r="B5128" t="s">
        <v>1055</v>
      </c>
      <c r="C5128" t="s">
        <v>175</v>
      </c>
      <c r="D5128" t="s">
        <v>450</v>
      </c>
      <c r="E5128" t="s">
        <v>624</v>
      </c>
      <c r="F5128">
        <v>2</v>
      </c>
      <c r="G5128" t="s">
        <v>176</v>
      </c>
      <c r="H5128">
        <v>2</v>
      </c>
      <c r="I5128">
        <v>6</v>
      </c>
      <c r="J5128" s="10">
        <v>24</v>
      </c>
      <c r="K5128" s="10">
        <f>SUMIFS(F:F,D:D,DST_123_ÜRETİM_İHTİYAÇ_RAPORU_BURAK_YENI1309[[#This Row],[ALT_KOD]])-(SUMIFS(H:H,D:D,DST_123_ÜRETİM_İHTİYAÇ_RAPORU_BURAK_YENI1309[[#This Row],[ALT_KOD]])+AVERAGEIFS(I:I,D:D,DST_123_ÜRETİM_İHTİYAÇ_RAPORU_BURAK_YENI1309[[#This Row],[ALT_KOD]])+AVERAGEIFS(L:L,D:D,DST_123_ÜRETİM_İHTİYAÇ_RAPORU_BURAK_YENI1309[[#This Row],[ALT_KOD]]))</f>
        <v>10</v>
      </c>
      <c r="L5128">
        <v>0</v>
      </c>
      <c r="M5128">
        <f>IF((DST_123_ÜRETİM_İHTİYAÇ_RAPORU_BURAK_YENI1309[[#This Row],[SATINALMA]]*DST_123_ÜRETİM_İHTİYAÇ_RAPORU_BURAK_YENI1309[[#This Row],[BIRIM_FIYATLAR]])&lt;1,VALUE("0"),DST_123_ÜRETİM_İHTİYAÇ_RAPORU_BURAK_YENI1309[[#This Row],[SATINALMA]]*DST_123_ÜRETİM_İHTİYAÇ_RAPORU_BURAK_YENI1309[[#This Row],[BIRIM_FIYATLAR]])</f>
        <v>149462.5</v>
      </c>
      <c r="N5128">
        <v>14946.25</v>
      </c>
      <c r="O5128" t="s">
        <v>625</v>
      </c>
      <c r="P5128">
        <v>29892.5</v>
      </c>
      <c r="Q5128" t="s">
        <v>178</v>
      </c>
    </row>
    <row r="5129" spans="1:17" x14ac:dyDescent="0.25">
      <c r="A5129" t="s">
        <v>1196</v>
      </c>
      <c r="B5129" t="s">
        <v>1197</v>
      </c>
      <c r="C5129" t="s">
        <v>175</v>
      </c>
      <c r="D5129" t="s">
        <v>443</v>
      </c>
      <c r="E5129" t="s">
        <v>444</v>
      </c>
      <c r="F5129">
        <v>1</v>
      </c>
      <c r="G5129" t="s">
        <v>176</v>
      </c>
      <c r="H5129">
        <v>0</v>
      </c>
      <c r="I5129">
        <v>25</v>
      </c>
      <c r="J5129" s="10">
        <v>5</v>
      </c>
      <c r="K5129" s="10">
        <f>SUMIFS(F:F,D:D,DST_123_ÜRETİM_İHTİYAÇ_RAPORU_BURAK_YENI1309[[#This Row],[ALT_KOD]])-(SUMIFS(H:H,D:D,DST_123_ÜRETİM_İHTİYAÇ_RAPORU_BURAK_YENI1309[[#This Row],[ALT_KOD]])+AVERAGEIFS(I:I,D:D,DST_123_ÜRETİM_İHTİYAÇ_RAPORU_BURAK_YENI1309[[#This Row],[ALT_KOD]])+AVERAGEIFS(L:L,D:D,DST_123_ÜRETİM_İHTİYAÇ_RAPORU_BURAK_YENI1309[[#This Row],[ALT_KOD]]))</f>
        <v>-13</v>
      </c>
      <c r="L5129">
        <v>0</v>
      </c>
      <c r="M5129">
        <f>IF((DST_123_ÜRETİM_İHTİYAÇ_RAPORU_BURAK_YENI1309[[#This Row],[SATINALMA]]*DST_123_ÜRETİM_İHTİYAÇ_RAPORU_BURAK_YENI1309[[#This Row],[BIRIM_FIYATLAR]])&lt;1,VALUE("0"),DST_123_ÜRETİM_İHTİYAÇ_RAPORU_BURAK_YENI1309[[#This Row],[SATINALMA]]*DST_123_ÜRETİM_İHTİYAÇ_RAPORU_BURAK_YENI1309[[#This Row],[BIRIM_FIYATLAR]])</f>
        <v>0</v>
      </c>
      <c r="N5129">
        <v>373.06</v>
      </c>
      <c r="O5129" t="s">
        <v>636</v>
      </c>
      <c r="P5129">
        <v>373.06</v>
      </c>
      <c r="Q5129" t="s">
        <v>178</v>
      </c>
    </row>
    <row r="5130" spans="1:17" x14ac:dyDescent="0.25">
      <c r="A5130" t="s">
        <v>1057</v>
      </c>
      <c r="B5130" t="s">
        <v>1058</v>
      </c>
      <c r="C5130" t="s">
        <v>175</v>
      </c>
      <c r="D5130" t="s">
        <v>642</v>
      </c>
      <c r="E5130" t="s">
        <v>643</v>
      </c>
      <c r="F5130">
        <v>5</v>
      </c>
      <c r="G5130" t="s">
        <v>176</v>
      </c>
      <c r="H5130">
        <v>5</v>
      </c>
      <c r="I5130">
        <v>19</v>
      </c>
      <c r="J5130" s="10">
        <v>19</v>
      </c>
      <c r="K5130" s="10">
        <f>SUMIFS(F:F,D:D,DST_123_ÜRETİM_İHTİYAÇ_RAPORU_BURAK_YENI1309[[#This Row],[ALT_KOD]])-(SUMIFS(H:H,D:D,DST_123_ÜRETİM_İHTİYAÇ_RAPORU_BURAK_YENI1309[[#This Row],[ALT_KOD]])+AVERAGEIFS(I:I,D:D,DST_123_ÜRETİM_İHTİYAÇ_RAPORU_BURAK_YENI1309[[#This Row],[ALT_KOD]])+AVERAGEIFS(L:L,D:D,DST_123_ÜRETİM_İHTİYAÇ_RAPORU_BURAK_YENI1309[[#This Row],[ALT_KOD]]))</f>
        <v>14</v>
      </c>
      <c r="L5130">
        <v>0</v>
      </c>
      <c r="M5130">
        <f>IF((DST_123_ÜRETİM_İHTİYAÇ_RAPORU_BURAK_YENI1309[[#This Row],[SATINALMA]]*DST_123_ÜRETİM_İHTİYAÇ_RAPORU_BURAK_YENI1309[[#This Row],[BIRIM_FIYATLAR]])&lt;1,VALUE("0"),DST_123_ÜRETİM_İHTİYAÇ_RAPORU_BURAK_YENI1309[[#This Row],[SATINALMA]]*DST_123_ÜRETİM_İHTİYAÇ_RAPORU_BURAK_YENI1309[[#This Row],[BIRIM_FIYATLAR]])</f>
        <v>44207.66</v>
      </c>
      <c r="N5130">
        <v>3157.69</v>
      </c>
      <c r="O5130" t="s">
        <v>647</v>
      </c>
      <c r="P5130">
        <v>15788.45</v>
      </c>
      <c r="Q5130" t="s">
        <v>177</v>
      </c>
    </row>
    <row r="5131" spans="1:17" x14ac:dyDescent="0.25">
      <c r="A5131" t="s">
        <v>1100</v>
      </c>
      <c r="B5131" t="s">
        <v>1058</v>
      </c>
      <c r="C5131" t="s">
        <v>175</v>
      </c>
      <c r="D5131" t="s">
        <v>642</v>
      </c>
      <c r="E5131" t="s">
        <v>643</v>
      </c>
      <c r="F5131">
        <v>5</v>
      </c>
      <c r="G5131" t="s">
        <v>176</v>
      </c>
      <c r="H5131">
        <v>5</v>
      </c>
      <c r="I5131">
        <v>19</v>
      </c>
      <c r="J5131" s="10">
        <v>19</v>
      </c>
      <c r="K5131" s="10">
        <f>SUMIFS(F:F,D:D,DST_123_ÜRETİM_İHTİYAÇ_RAPORU_BURAK_YENI1309[[#This Row],[ALT_KOD]])-(SUMIFS(H:H,D:D,DST_123_ÜRETİM_İHTİYAÇ_RAPORU_BURAK_YENI1309[[#This Row],[ALT_KOD]])+AVERAGEIFS(I:I,D:D,DST_123_ÜRETİM_İHTİYAÇ_RAPORU_BURAK_YENI1309[[#This Row],[ALT_KOD]])+AVERAGEIFS(L:L,D:D,DST_123_ÜRETİM_İHTİYAÇ_RAPORU_BURAK_YENI1309[[#This Row],[ALT_KOD]]))</f>
        <v>14</v>
      </c>
      <c r="L5131">
        <v>0</v>
      </c>
      <c r="M5131">
        <f>IF((DST_123_ÜRETİM_İHTİYAÇ_RAPORU_BURAK_YENI1309[[#This Row],[SATINALMA]]*DST_123_ÜRETİM_İHTİYAÇ_RAPORU_BURAK_YENI1309[[#This Row],[BIRIM_FIYATLAR]])&lt;1,VALUE("0"),DST_123_ÜRETİM_İHTİYAÇ_RAPORU_BURAK_YENI1309[[#This Row],[SATINALMA]]*DST_123_ÜRETİM_İHTİYAÇ_RAPORU_BURAK_YENI1309[[#This Row],[BIRIM_FIYATLAR]])</f>
        <v>44207.66</v>
      </c>
      <c r="N5131">
        <v>3157.69</v>
      </c>
      <c r="O5131" t="s">
        <v>647</v>
      </c>
      <c r="P5131">
        <v>15788.45</v>
      </c>
      <c r="Q5131" t="s">
        <v>177</v>
      </c>
    </row>
    <row r="5132" spans="1:17" x14ac:dyDescent="0.25">
      <c r="A5132" t="s">
        <v>1060</v>
      </c>
      <c r="B5132" t="s">
        <v>1061</v>
      </c>
      <c r="C5132" t="s">
        <v>175</v>
      </c>
      <c r="D5132" t="s">
        <v>642</v>
      </c>
      <c r="E5132" t="s">
        <v>643</v>
      </c>
      <c r="F5132">
        <v>4</v>
      </c>
      <c r="G5132" t="s">
        <v>176</v>
      </c>
      <c r="H5132">
        <v>4</v>
      </c>
      <c r="I5132">
        <v>19</v>
      </c>
      <c r="J5132" s="10">
        <v>19</v>
      </c>
      <c r="K5132" s="10">
        <f>SUMIFS(F:F,D:D,DST_123_ÜRETİM_İHTİYAÇ_RAPORU_BURAK_YENI1309[[#This Row],[ALT_KOD]])-(SUMIFS(H:H,D:D,DST_123_ÜRETİM_İHTİYAÇ_RAPORU_BURAK_YENI1309[[#This Row],[ALT_KOD]])+AVERAGEIFS(I:I,D:D,DST_123_ÜRETİM_İHTİYAÇ_RAPORU_BURAK_YENI1309[[#This Row],[ALT_KOD]])+AVERAGEIFS(L:L,D:D,DST_123_ÜRETİM_İHTİYAÇ_RAPORU_BURAK_YENI1309[[#This Row],[ALT_KOD]]))</f>
        <v>14</v>
      </c>
      <c r="L5132">
        <v>0</v>
      </c>
      <c r="M5132">
        <f>IF((DST_123_ÜRETİM_İHTİYAÇ_RAPORU_BURAK_YENI1309[[#This Row],[SATINALMA]]*DST_123_ÜRETİM_İHTİYAÇ_RAPORU_BURAK_YENI1309[[#This Row],[BIRIM_FIYATLAR]])&lt;1,VALUE("0"),DST_123_ÜRETİM_İHTİYAÇ_RAPORU_BURAK_YENI1309[[#This Row],[SATINALMA]]*DST_123_ÜRETİM_İHTİYAÇ_RAPORU_BURAK_YENI1309[[#This Row],[BIRIM_FIYATLAR]])</f>
        <v>44207.66</v>
      </c>
      <c r="N5132">
        <v>3157.69</v>
      </c>
      <c r="O5132" t="s">
        <v>647</v>
      </c>
      <c r="P5132">
        <v>12630.76</v>
      </c>
      <c r="Q5132" t="s">
        <v>177</v>
      </c>
    </row>
    <row r="5133" spans="1:17" x14ac:dyDescent="0.25">
      <c r="A5133" t="s">
        <v>1099</v>
      </c>
      <c r="B5133" t="s">
        <v>1055</v>
      </c>
      <c r="C5133" t="s">
        <v>175</v>
      </c>
      <c r="D5133" t="s">
        <v>740</v>
      </c>
      <c r="E5133" t="s">
        <v>741</v>
      </c>
      <c r="F5133">
        <v>1</v>
      </c>
      <c r="G5133" t="s">
        <v>176</v>
      </c>
      <c r="H5133">
        <v>1</v>
      </c>
      <c r="I5133">
        <v>17</v>
      </c>
      <c r="J5133" s="10">
        <v>17</v>
      </c>
      <c r="K5133" s="10">
        <f>SUMIFS(F:F,D:D,DST_123_ÜRETİM_İHTİYAÇ_RAPORU_BURAK_YENI1309[[#This Row],[ALT_KOD]])-(SUMIFS(H:H,D:D,DST_123_ÜRETİM_İHTİYAÇ_RAPORU_BURAK_YENI1309[[#This Row],[ALT_KOD]])+AVERAGEIFS(I:I,D:D,DST_123_ÜRETİM_İHTİYAÇ_RAPORU_BURAK_YENI1309[[#This Row],[ALT_KOD]])+AVERAGEIFS(L:L,D:D,DST_123_ÜRETİM_İHTİYAÇ_RAPORU_BURAK_YENI1309[[#This Row],[ALT_KOD]]))</f>
        <v>-6</v>
      </c>
      <c r="L5133">
        <v>0</v>
      </c>
      <c r="M5133">
        <f>IF((DST_123_ÜRETİM_İHTİYAÇ_RAPORU_BURAK_YENI1309[[#This Row],[SATINALMA]]*DST_123_ÜRETİM_İHTİYAÇ_RAPORU_BURAK_YENI1309[[#This Row],[BIRIM_FIYATLAR]])&lt;1,VALUE("0"),DST_123_ÜRETİM_İHTİYAÇ_RAPORU_BURAK_YENI1309[[#This Row],[SATINALMA]]*DST_123_ÜRETİM_İHTİYAÇ_RAPORU_BURAK_YENI1309[[#This Row],[BIRIM_FIYATLAR]])</f>
        <v>0</v>
      </c>
      <c r="N5133">
        <v>41.67</v>
      </c>
      <c r="O5133" t="s">
        <v>667</v>
      </c>
      <c r="P5133">
        <v>41.67</v>
      </c>
      <c r="Q5133" t="s">
        <v>177</v>
      </c>
    </row>
    <row r="5134" spans="1:17" x14ac:dyDescent="0.25">
      <c r="A5134" t="s">
        <v>1144</v>
      </c>
      <c r="B5134" t="s">
        <v>1145</v>
      </c>
      <c r="C5134" t="s">
        <v>175</v>
      </c>
      <c r="D5134" t="s">
        <v>450</v>
      </c>
      <c r="E5134" t="s">
        <v>624</v>
      </c>
      <c r="F5134">
        <v>2</v>
      </c>
      <c r="G5134" t="s">
        <v>176</v>
      </c>
      <c r="H5134">
        <v>0</v>
      </c>
      <c r="I5134">
        <v>6</v>
      </c>
      <c r="J5134" s="10">
        <v>24</v>
      </c>
      <c r="K5134" s="10">
        <f>SUMIFS(F:F,D:D,DST_123_ÜRETİM_İHTİYAÇ_RAPORU_BURAK_YENI1309[[#This Row],[ALT_KOD]])-(SUMIFS(H:H,D:D,DST_123_ÜRETİM_İHTİYAÇ_RAPORU_BURAK_YENI1309[[#This Row],[ALT_KOD]])+AVERAGEIFS(I:I,D:D,DST_123_ÜRETİM_İHTİYAÇ_RAPORU_BURAK_YENI1309[[#This Row],[ALT_KOD]])+AVERAGEIFS(L:L,D:D,DST_123_ÜRETİM_İHTİYAÇ_RAPORU_BURAK_YENI1309[[#This Row],[ALT_KOD]]))</f>
        <v>10</v>
      </c>
      <c r="L5134">
        <v>0</v>
      </c>
      <c r="M5134">
        <f>IF((DST_123_ÜRETİM_İHTİYAÇ_RAPORU_BURAK_YENI1309[[#This Row],[SATINALMA]]*DST_123_ÜRETİM_İHTİYAÇ_RAPORU_BURAK_YENI1309[[#This Row],[BIRIM_FIYATLAR]])&lt;1,VALUE("0"),DST_123_ÜRETİM_İHTİYAÇ_RAPORU_BURAK_YENI1309[[#This Row],[SATINALMA]]*DST_123_ÜRETİM_İHTİYAÇ_RAPORU_BURAK_YENI1309[[#This Row],[BIRIM_FIYATLAR]])</f>
        <v>149462.5</v>
      </c>
      <c r="N5134">
        <v>14946.25</v>
      </c>
      <c r="O5134" t="s">
        <v>625</v>
      </c>
      <c r="P5134">
        <v>29892.5</v>
      </c>
      <c r="Q5134" t="s">
        <v>178</v>
      </c>
    </row>
    <row r="5135" spans="1:17" x14ac:dyDescent="0.25">
      <c r="A5135" t="s">
        <v>1101</v>
      </c>
      <c r="B5135" t="s">
        <v>1102</v>
      </c>
      <c r="C5135" t="s">
        <v>175</v>
      </c>
      <c r="D5135" t="s">
        <v>38</v>
      </c>
      <c r="E5135" t="s">
        <v>39</v>
      </c>
      <c r="F5135">
        <v>2</v>
      </c>
      <c r="G5135" t="s">
        <v>176</v>
      </c>
      <c r="H5135">
        <v>2</v>
      </c>
      <c r="I5135">
        <v>304</v>
      </c>
      <c r="J5135" s="10">
        <v>13</v>
      </c>
      <c r="K5135" s="10">
        <f>SUMIFS(F:F,D:D,DST_123_ÜRETİM_İHTİYAÇ_RAPORU_BURAK_YENI1309[[#This Row],[ALT_KOD]])-(SUMIFS(H:H,D:D,DST_123_ÜRETİM_İHTİYAÇ_RAPORU_BURAK_YENI1309[[#This Row],[ALT_KOD]])+AVERAGEIFS(I:I,D:D,DST_123_ÜRETİM_İHTİYAÇ_RAPORU_BURAK_YENI1309[[#This Row],[ALT_KOD]])+AVERAGEIFS(L:L,D:D,DST_123_ÜRETİM_İHTİYAÇ_RAPORU_BURAK_YENI1309[[#This Row],[ALT_KOD]]))</f>
        <v>-281</v>
      </c>
      <c r="L5135">
        <v>0</v>
      </c>
      <c r="M5135">
        <f>IF((DST_123_ÜRETİM_İHTİYAÇ_RAPORU_BURAK_YENI1309[[#This Row],[SATINALMA]]*DST_123_ÜRETİM_İHTİYAÇ_RAPORU_BURAK_YENI1309[[#This Row],[BIRIM_FIYATLAR]])&lt;1,VALUE("0"),DST_123_ÜRETİM_İHTİYAÇ_RAPORU_BURAK_YENI1309[[#This Row],[SATINALMA]]*DST_123_ÜRETİM_İHTİYAÇ_RAPORU_BURAK_YENI1309[[#This Row],[BIRIM_FIYATLAR]])</f>
        <v>0</v>
      </c>
      <c r="N5135">
        <v>210</v>
      </c>
      <c r="O5135" t="s">
        <v>220</v>
      </c>
      <c r="P5135">
        <v>420</v>
      </c>
      <c r="Q5135" t="s">
        <v>221</v>
      </c>
    </row>
    <row r="5136" spans="1:17" x14ac:dyDescent="0.25">
      <c r="A5136" t="s">
        <v>1059</v>
      </c>
      <c r="B5136" t="s">
        <v>1058</v>
      </c>
      <c r="C5136" t="s">
        <v>175</v>
      </c>
      <c r="D5136" t="s">
        <v>1227</v>
      </c>
      <c r="E5136" t="s">
        <v>1228</v>
      </c>
      <c r="F5136">
        <v>1</v>
      </c>
      <c r="G5136" t="s">
        <v>176</v>
      </c>
      <c r="H5136">
        <v>1</v>
      </c>
      <c r="I5136">
        <v>2</v>
      </c>
      <c r="J5136" s="10">
        <v>2</v>
      </c>
      <c r="K5136" s="10">
        <f>SUMIFS(F:F,D:D,DST_123_ÜRETİM_İHTİYAÇ_RAPORU_BURAK_YENI1309[[#This Row],[ALT_KOD]])-(SUMIFS(H:H,D:D,DST_123_ÜRETİM_İHTİYAÇ_RAPORU_BURAK_YENI1309[[#This Row],[ALT_KOD]])+AVERAGEIFS(I:I,D:D,DST_123_ÜRETİM_İHTİYAÇ_RAPORU_BURAK_YENI1309[[#This Row],[ALT_KOD]])+AVERAGEIFS(L:L,D:D,DST_123_ÜRETİM_İHTİYAÇ_RAPORU_BURAK_YENI1309[[#This Row],[ALT_KOD]]))</f>
        <v>-2</v>
      </c>
      <c r="L5136">
        <v>0</v>
      </c>
      <c r="M5136">
        <f>IF((DST_123_ÜRETİM_İHTİYAÇ_RAPORU_BURAK_YENI1309[[#This Row],[SATINALMA]]*DST_123_ÜRETİM_İHTİYAÇ_RAPORU_BURAK_YENI1309[[#This Row],[BIRIM_FIYATLAR]])&lt;1,VALUE("0"),DST_123_ÜRETİM_İHTİYAÇ_RAPORU_BURAK_YENI1309[[#This Row],[SATINALMA]]*DST_123_ÜRETİM_İHTİYAÇ_RAPORU_BURAK_YENI1309[[#This Row],[BIRIM_FIYATLAR]])</f>
        <v>0</v>
      </c>
      <c r="N5136">
        <v>1802.17</v>
      </c>
      <c r="O5136" t="s">
        <v>634</v>
      </c>
      <c r="P5136">
        <v>1802.17</v>
      </c>
      <c r="Q5136" t="s">
        <v>178</v>
      </c>
    </row>
    <row r="5137" spans="1:17" x14ac:dyDescent="0.25">
      <c r="A5137" t="s">
        <v>1101</v>
      </c>
      <c r="B5137" t="s">
        <v>1102</v>
      </c>
      <c r="C5137" t="s">
        <v>175</v>
      </c>
      <c r="D5137" t="s">
        <v>740</v>
      </c>
      <c r="E5137" t="s">
        <v>741</v>
      </c>
      <c r="F5137">
        <v>1</v>
      </c>
      <c r="G5137" t="s">
        <v>176</v>
      </c>
      <c r="H5137">
        <v>1</v>
      </c>
      <c r="I5137">
        <v>17</v>
      </c>
      <c r="J5137" s="10">
        <v>17</v>
      </c>
      <c r="K5137" s="10">
        <f>SUMIFS(F:F,D:D,DST_123_ÜRETİM_İHTİYAÇ_RAPORU_BURAK_YENI1309[[#This Row],[ALT_KOD]])-(SUMIFS(H:H,D:D,DST_123_ÜRETİM_İHTİYAÇ_RAPORU_BURAK_YENI1309[[#This Row],[ALT_KOD]])+AVERAGEIFS(I:I,D:D,DST_123_ÜRETİM_İHTİYAÇ_RAPORU_BURAK_YENI1309[[#This Row],[ALT_KOD]])+AVERAGEIFS(L:L,D:D,DST_123_ÜRETİM_İHTİYAÇ_RAPORU_BURAK_YENI1309[[#This Row],[ALT_KOD]]))</f>
        <v>-6</v>
      </c>
      <c r="L5137">
        <v>0</v>
      </c>
      <c r="M5137">
        <f>IF((DST_123_ÜRETİM_İHTİYAÇ_RAPORU_BURAK_YENI1309[[#This Row],[SATINALMA]]*DST_123_ÜRETİM_İHTİYAÇ_RAPORU_BURAK_YENI1309[[#This Row],[BIRIM_FIYATLAR]])&lt;1,VALUE("0"),DST_123_ÜRETİM_İHTİYAÇ_RAPORU_BURAK_YENI1309[[#This Row],[SATINALMA]]*DST_123_ÜRETİM_İHTİYAÇ_RAPORU_BURAK_YENI1309[[#This Row],[BIRIM_FIYATLAR]])</f>
        <v>0</v>
      </c>
      <c r="N5137">
        <v>41.67</v>
      </c>
      <c r="O5137" t="s">
        <v>667</v>
      </c>
      <c r="P5137">
        <v>41.67</v>
      </c>
      <c r="Q5137" t="s">
        <v>177</v>
      </c>
    </row>
    <row r="5138" spans="1:17" x14ac:dyDescent="0.25">
      <c r="A5138" t="s">
        <v>1100</v>
      </c>
      <c r="B5138" t="s">
        <v>1058</v>
      </c>
      <c r="C5138" t="s">
        <v>175</v>
      </c>
      <c r="D5138" t="s">
        <v>426</v>
      </c>
      <c r="E5138" t="s">
        <v>427</v>
      </c>
      <c r="F5138">
        <v>1</v>
      </c>
      <c r="G5138" t="s">
        <v>176</v>
      </c>
      <c r="H5138">
        <v>1</v>
      </c>
      <c r="I5138">
        <v>12</v>
      </c>
      <c r="J5138" s="10">
        <v>9</v>
      </c>
      <c r="K5138" s="10">
        <f>SUMIFS(F:F,D:D,DST_123_ÜRETİM_İHTİYAÇ_RAPORU_BURAK_YENI1309[[#This Row],[ALT_KOD]])-(SUMIFS(H:H,D:D,DST_123_ÜRETİM_İHTİYAÇ_RAPORU_BURAK_YENI1309[[#This Row],[ALT_KOD]])+AVERAGEIFS(I:I,D:D,DST_123_ÜRETİM_İHTİYAÇ_RAPORU_BURAK_YENI1309[[#This Row],[ALT_KOD]])+AVERAGEIFS(L:L,D:D,DST_123_ÜRETİM_İHTİYAÇ_RAPORU_BURAK_YENI1309[[#This Row],[ALT_KOD]]))</f>
        <v>0</v>
      </c>
      <c r="L5138">
        <v>0</v>
      </c>
      <c r="M5138">
        <f>IF((DST_123_ÜRETİM_İHTİYAÇ_RAPORU_BURAK_YENI1309[[#This Row],[SATINALMA]]*DST_123_ÜRETİM_İHTİYAÇ_RAPORU_BURAK_YENI1309[[#This Row],[BIRIM_FIYATLAR]])&lt;1,VALUE("0"),DST_123_ÜRETİM_İHTİYAÇ_RAPORU_BURAK_YENI1309[[#This Row],[SATINALMA]]*DST_123_ÜRETİM_İHTİYAÇ_RAPORU_BURAK_YENI1309[[#This Row],[BIRIM_FIYATLAR]])</f>
        <v>0</v>
      </c>
      <c r="N5138">
        <v>266.72000000000003</v>
      </c>
      <c r="O5138" t="s">
        <v>227</v>
      </c>
      <c r="P5138">
        <v>266.72000000000003</v>
      </c>
      <c r="Q5138" t="s">
        <v>221</v>
      </c>
    </row>
    <row r="5139" spans="1:17" x14ac:dyDescent="0.25">
      <c r="A5139" t="s">
        <v>1057</v>
      </c>
      <c r="B5139" t="s">
        <v>1058</v>
      </c>
      <c r="C5139" t="s">
        <v>175</v>
      </c>
      <c r="D5139" t="s">
        <v>548</v>
      </c>
      <c r="E5139" t="s">
        <v>549</v>
      </c>
      <c r="F5139">
        <v>23</v>
      </c>
      <c r="G5139" t="s">
        <v>176</v>
      </c>
      <c r="H5139">
        <v>23</v>
      </c>
      <c r="I5139">
        <v>800</v>
      </c>
      <c r="J5139" s="10">
        <v>0</v>
      </c>
      <c r="K5139" s="10">
        <f>SUMIFS(F:F,D:D,DST_123_ÜRETİM_İHTİYAÇ_RAPORU_BURAK_YENI1309[[#This Row],[ALT_KOD]])-(SUMIFS(H:H,D:D,DST_123_ÜRETİM_İHTİYAÇ_RAPORU_BURAK_YENI1309[[#This Row],[ALT_KOD]])+AVERAGEIFS(I:I,D:D,DST_123_ÜRETİM_İHTİYAÇ_RAPORU_BURAK_YENI1309[[#This Row],[ALT_KOD]])+AVERAGEIFS(L:L,D:D,DST_123_ÜRETİM_İHTİYAÇ_RAPORU_BURAK_YENI1309[[#This Row],[ALT_KOD]]))</f>
        <v>-414</v>
      </c>
      <c r="L5139">
        <v>0</v>
      </c>
      <c r="M5139">
        <f>IF((DST_123_ÜRETİM_İHTİYAÇ_RAPORU_BURAK_YENI1309[[#This Row],[SATINALMA]]*DST_123_ÜRETİM_İHTİYAÇ_RAPORU_BURAK_YENI1309[[#This Row],[BIRIM_FIYATLAR]])&lt;1,VALUE("0"),DST_123_ÜRETİM_İHTİYAÇ_RAPORU_BURAK_YENI1309[[#This Row],[SATINALMA]]*DST_123_ÜRETİM_İHTİYAÇ_RAPORU_BURAK_YENI1309[[#This Row],[BIRIM_FIYATLAR]])</f>
        <v>0</v>
      </c>
      <c r="N5139">
        <v>13.75</v>
      </c>
      <c r="O5139" t="s">
        <v>628</v>
      </c>
      <c r="P5139">
        <v>316.25</v>
      </c>
      <c r="Q5139" t="s">
        <v>180</v>
      </c>
    </row>
    <row r="5140" spans="1:17" x14ac:dyDescent="0.25">
      <c r="A5140" t="s">
        <v>1060</v>
      </c>
      <c r="B5140" t="s">
        <v>1061</v>
      </c>
      <c r="C5140" t="s">
        <v>175</v>
      </c>
      <c r="D5140" t="s">
        <v>560</v>
      </c>
      <c r="E5140" t="s">
        <v>561</v>
      </c>
      <c r="F5140">
        <v>2.7</v>
      </c>
      <c r="G5140" t="s">
        <v>176</v>
      </c>
      <c r="H5140">
        <v>2.7</v>
      </c>
      <c r="I5140">
        <v>272</v>
      </c>
      <c r="J5140" s="10">
        <v>4.2999999999999652</v>
      </c>
      <c r="K5140" s="10">
        <f>SUMIFS(F:F,D:D,DST_123_ÜRETİM_İHTİYAÇ_RAPORU_BURAK_YENI1309[[#This Row],[ALT_KOD]])-(SUMIFS(H:H,D:D,DST_123_ÜRETİM_İHTİYAÇ_RAPORU_BURAK_YENI1309[[#This Row],[ALT_KOD]])+AVERAGEIFS(I:I,D:D,DST_123_ÜRETİM_İHTİYAÇ_RAPORU_BURAK_YENI1309[[#This Row],[ALT_KOD]])+AVERAGEIFS(L:L,D:D,DST_123_ÜRETİM_İHTİYAÇ_RAPORU_BURAK_YENI1309[[#This Row],[ALT_KOD]]))</f>
        <v>-233.2</v>
      </c>
      <c r="L5140">
        <v>0</v>
      </c>
      <c r="M5140">
        <f>IF((DST_123_ÜRETİM_İHTİYAÇ_RAPORU_BURAK_YENI1309[[#This Row],[SATINALMA]]*DST_123_ÜRETİM_İHTİYAÇ_RAPORU_BURAK_YENI1309[[#This Row],[BIRIM_FIYATLAR]])&lt;1,VALUE("0"),DST_123_ÜRETİM_İHTİYAÇ_RAPORU_BURAK_YENI1309[[#This Row],[SATINALMA]]*DST_123_ÜRETİM_İHTİYAÇ_RAPORU_BURAK_YENI1309[[#This Row],[BIRIM_FIYATLAR]])</f>
        <v>0</v>
      </c>
      <c r="N5140">
        <v>30</v>
      </c>
      <c r="O5140" t="s">
        <v>240</v>
      </c>
      <c r="P5140">
        <v>81</v>
      </c>
      <c r="Q5140" t="s">
        <v>180</v>
      </c>
    </row>
    <row r="5141" spans="1:17" x14ac:dyDescent="0.25">
      <c r="A5141" t="s">
        <v>1147</v>
      </c>
      <c r="B5141" t="s">
        <v>1145</v>
      </c>
      <c r="C5141" t="s">
        <v>175</v>
      </c>
      <c r="D5141" t="s">
        <v>792</v>
      </c>
      <c r="E5141" t="s">
        <v>136</v>
      </c>
      <c r="F5141">
        <v>8</v>
      </c>
      <c r="G5141" t="s">
        <v>176</v>
      </c>
      <c r="H5141">
        <v>0</v>
      </c>
      <c r="I5141">
        <v>524</v>
      </c>
      <c r="J5141" s="10">
        <v>352</v>
      </c>
      <c r="K5141" s="10">
        <f>SUMIFS(F:F,D:D,DST_123_ÜRETİM_İHTİYAÇ_RAPORU_BURAK_YENI1309[[#This Row],[ALT_KOD]])-(SUMIFS(H:H,D:D,DST_123_ÜRETİM_İHTİYAÇ_RAPORU_BURAK_YENI1309[[#This Row],[ALT_KOD]])+AVERAGEIFS(I:I,D:D,DST_123_ÜRETİM_İHTİYAÇ_RAPORU_BURAK_YENI1309[[#This Row],[ALT_KOD]])+AVERAGEIFS(L:L,D:D,DST_123_ÜRETİM_İHTİYAÇ_RAPORU_BURAK_YENI1309[[#This Row],[ALT_KOD]]))</f>
        <v>-374</v>
      </c>
      <c r="L5141">
        <v>0</v>
      </c>
      <c r="M5141">
        <f>IF((DST_123_ÜRETİM_İHTİYAÇ_RAPORU_BURAK_YENI1309[[#This Row],[SATINALMA]]*DST_123_ÜRETİM_İHTİYAÇ_RAPORU_BURAK_YENI1309[[#This Row],[BIRIM_FIYATLAR]])&lt;1,VALUE("0"),DST_123_ÜRETİM_İHTİYAÇ_RAPORU_BURAK_YENI1309[[#This Row],[SATINALMA]]*DST_123_ÜRETİM_İHTİYAÇ_RAPORU_BURAK_YENI1309[[#This Row],[BIRIM_FIYATLAR]])</f>
        <v>0</v>
      </c>
      <c r="N5141">
        <v>8.1</v>
      </c>
      <c r="O5141" t="s">
        <v>504</v>
      </c>
      <c r="P5141">
        <v>64.8</v>
      </c>
      <c r="Q5141" t="s">
        <v>221</v>
      </c>
    </row>
    <row r="5142" spans="1:17" x14ac:dyDescent="0.25">
      <c r="A5142" t="s">
        <v>1100</v>
      </c>
      <c r="B5142" t="s">
        <v>1058</v>
      </c>
      <c r="C5142" t="s">
        <v>175</v>
      </c>
      <c r="D5142" t="s">
        <v>805</v>
      </c>
      <c r="E5142" t="s">
        <v>806</v>
      </c>
      <c r="F5142">
        <v>1</v>
      </c>
      <c r="G5142" t="s">
        <v>176</v>
      </c>
      <c r="H5142">
        <v>1</v>
      </c>
      <c r="I5142">
        <v>14</v>
      </c>
      <c r="J5142" s="10">
        <v>1</v>
      </c>
      <c r="K5142" s="10">
        <f>SUMIFS(F:F,D:D,DST_123_ÜRETİM_İHTİYAÇ_RAPORU_BURAK_YENI1309[[#This Row],[ALT_KOD]])-(SUMIFS(H:H,D:D,DST_123_ÜRETİM_İHTİYAÇ_RAPORU_BURAK_YENI1309[[#This Row],[ALT_KOD]])+AVERAGEIFS(I:I,D:D,DST_123_ÜRETİM_İHTİYAÇ_RAPORU_BURAK_YENI1309[[#This Row],[ALT_KOD]])+AVERAGEIFS(L:L,D:D,DST_123_ÜRETİM_İHTİYAÇ_RAPORU_BURAK_YENI1309[[#This Row],[ALT_KOD]]))</f>
        <v>-7</v>
      </c>
      <c r="L5142">
        <v>0</v>
      </c>
      <c r="M5142">
        <f>IF((DST_123_ÜRETİM_İHTİYAÇ_RAPORU_BURAK_YENI1309[[#This Row],[SATINALMA]]*DST_123_ÜRETİM_İHTİYAÇ_RAPORU_BURAK_YENI1309[[#This Row],[BIRIM_FIYATLAR]])&lt;1,VALUE("0"),DST_123_ÜRETİM_İHTİYAÇ_RAPORU_BURAK_YENI1309[[#This Row],[SATINALMA]]*DST_123_ÜRETİM_İHTİYAÇ_RAPORU_BURAK_YENI1309[[#This Row],[BIRIM_FIYATLAR]])</f>
        <v>0</v>
      </c>
      <c r="N5142">
        <v>458.33</v>
      </c>
      <c r="O5142" t="s">
        <v>628</v>
      </c>
      <c r="P5142">
        <v>458.33</v>
      </c>
      <c r="Q5142" t="s">
        <v>177</v>
      </c>
    </row>
    <row r="5143" spans="1:17" x14ac:dyDescent="0.25">
      <c r="A5143" t="s">
        <v>1196</v>
      </c>
      <c r="B5143" t="s">
        <v>1197</v>
      </c>
      <c r="C5143" t="s">
        <v>175</v>
      </c>
      <c r="D5143" t="s">
        <v>1140</v>
      </c>
      <c r="E5143" t="s">
        <v>1141</v>
      </c>
      <c r="F5143">
        <v>1</v>
      </c>
      <c r="G5143" t="s">
        <v>176</v>
      </c>
      <c r="H5143">
        <v>0</v>
      </c>
      <c r="I5143">
        <v>0</v>
      </c>
      <c r="J5143" s="10">
        <v>0</v>
      </c>
      <c r="K5143" s="10">
        <f>SUMIFS(F:F,D:D,DST_123_ÜRETİM_İHTİYAÇ_RAPORU_BURAK_YENI1309[[#This Row],[ALT_KOD]])-(SUMIFS(H:H,D:D,DST_123_ÜRETİM_İHTİYAÇ_RAPORU_BURAK_YENI1309[[#This Row],[ALT_KOD]])+AVERAGEIFS(I:I,D:D,DST_123_ÜRETİM_İHTİYAÇ_RAPORU_BURAK_YENI1309[[#This Row],[ALT_KOD]])+AVERAGEIFS(L:L,D:D,DST_123_ÜRETİM_İHTİYAÇ_RAPORU_BURAK_YENI1309[[#This Row],[ALT_KOD]]))</f>
        <v>2</v>
      </c>
      <c r="L5143">
        <v>0</v>
      </c>
      <c r="M5143">
        <f>IF((DST_123_ÜRETİM_İHTİYAÇ_RAPORU_BURAK_YENI1309[[#This Row],[SATINALMA]]*DST_123_ÜRETİM_İHTİYAÇ_RAPORU_BURAK_YENI1309[[#This Row],[BIRIM_FIYATLAR]])&lt;1,VALUE("0"),DST_123_ÜRETİM_İHTİYAÇ_RAPORU_BURAK_YENI1309[[#This Row],[SATINALMA]]*DST_123_ÜRETİM_İHTİYAÇ_RAPORU_BURAK_YENI1309[[#This Row],[BIRIM_FIYATLAR]])</f>
        <v>0</v>
      </c>
      <c r="N5143">
        <v>0</v>
      </c>
      <c r="P5143">
        <v>0</v>
      </c>
      <c r="Q5143" t="s">
        <v>177</v>
      </c>
    </row>
    <row r="5144" spans="1:17" x14ac:dyDescent="0.25">
      <c r="A5144" t="s">
        <v>1100</v>
      </c>
      <c r="B5144" t="s">
        <v>1058</v>
      </c>
      <c r="C5144" t="s">
        <v>175</v>
      </c>
      <c r="D5144" t="s">
        <v>906</v>
      </c>
      <c r="E5144" t="s">
        <v>907</v>
      </c>
      <c r="F5144">
        <v>1</v>
      </c>
      <c r="G5144" t="s">
        <v>176</v>
      </c>
      <c r="H5144">
        <v>1</v>
      </c>
      <c r="I5144">
        <v>13</v>
      </c>
      <c r="J5144" s="10">
        <v>6</v>
      </c>
      <c r="K5144" s="10">
        <f>SUMIFS(F:F,D:D,DST_123_ÜRETİM_İHTİYAÇ_RAPORU_BURAK_YENI1309[[#This Row],[ALT_KOD]])-(SUMIFS(H:H,D:D,DST_123_ÜRETİM_İHTİYAÇ_RAPORU_BURAK_YENI1309[[#This Row],[ALT_KOD]])+AVERAGEIFS(I:I,D:D,DST_123_ÜRETİM_İHTİYAÇ_RAPORU_BURAK_YENI1309[[#This Row],[ALT_KOD]])+AVERAGEIFS(L:L,D:D,DST_123_ÜRETİM_İHTİYAÇ_RAPORU_BURAK_YENI1309[[#This Row],[ALT_KOD]]))</f>
        <v>-10</v>
      </c>
      <c r="L5144">
        <v>0</v>
      </c>
      <c r="M5144">
        <f>IF((DST_123_ÜRETİM_İHTİYAÇ_RAPORU_BURAK_YENI1309[[#This Row],[SATINALMA]]*DST_123_ÜRETİM_İHTİYAÇ_RAPORU_BURAK_YENI1309[[#This Row],[BIRIM_FIYATLAR]])&lt;1,VALUE("0"),DST_123_ÜRETİM_İHTİYAÇ_RAPORU_BURAK_YENI1309[[#This Row],[SATINALMA]]*DST_123_ÜRETİM_İHTİYAÇ_RAPORU_BURAK_YENI1309[[#This Row],[BIRIM_FIYATLAR]])</f>
        <v>0</v>
      </c>
      <c r="N5144">
        <v>344.14</v>
      </c>
      <c r="O5144" t="s">
        <v>908</v>
      </c>
      <c r="P5144">
        <v>344.14</v>
      </c>
      <c r="Q5144" t="s">
        <v>180</v>
      </c>
    </row>
    <row r="5145" spans="1:17" x14ac:dyDescent="0.25">
      <c r="A5145" t="s">
        <v>1059</v>
      </c>
      <c r="B5145" t="s">
        <v>1058</v>
      </c>
      <c r="C5145" t="s">
        <v>175</v>
      </c>
      <c r="D5145" t="s">
        <v>290</v>
      </c>
      <c r="E5145" t="s">
        <v>291</v>
      </c>
      <c r="F5145">
        <v>12</v>
      </c>
      <c r="G5145" t="s">
        <v>176</v>
      </c>
      <c r="H5145">
        <v>12</v>
      </c>
      <c r="I5145">
        <v>125</v>
      </c>
      <c r="J5145" s="10">
        <v>54</v>
      </c>
      <c r="K5145" s="10">
        <f>SUMIFS(F:F,D:D,DST_123_ÜRETİM_İHTİYAÇ_RAPORU_BURAK_YENI1309[[#This Row],[ALT_KOD]])-(SUMIFS(H:H,D:D,DST_123_ÜRETİM_İHTİYAÇ_RAPORU_BURAK_YENI1309[[#This Row],[ALT_KOD]])+AVERAGEIFS(I:I,D:D,DST_123_ÜRETİM_İHTİYAÇ_RAPORU_BURAK_YENI1309[[#This Row],[ALT_KOD]])+AVERAGEIFS(L:L,D:D,DST_123_ÜRETİM_İHTİYAÇ_RAPORU_BURAK_YENI1309[[#This Row],[ALT_KOD]]))</f>
        <v>-49</v>
      </c>
      <c r="L5145">
        <v>0</v>
      </c>
      <c r="M5145">
        <f>IF((DST_123_ÜRETİM_İHTİYAÇ_RAPORU_BURAK_YENI1309[[#This Row],[SATINALMA]]*DST_123_ÜRETİM_İHTİYAÇ_RAPORU_BURAK_YENI1309[[#This Row],[BIRIM_FIYATLAR]])&lt;1,VALUE("0"),DST_123_ÜRETİM_İHTİYAÇ_RAPORU_BURAK_YENI1309[[#This Row],[SATINALMA]]*DST_123_ÜRETİM_İHTİYAÇ_RAPORU_BURAK_YENI1309[[#This Row],[BIRIM_FIYATLAR]])</f>
        <v>0</v>
      </c>
      <c r="N5145">
        <v>3.75</v>
      </c>
      <c r="O5145" t="s">
        <v>628</v>
      </c>
      <c r="P5145">
        <v>45</v>
      </c>
      <c r="Q5145" t="s">
        <v>180</v>
      </c>
    </row>
    <row r="5146" spans="1:17" x14ac:dyDescent="0.25">
      <c r="A5146" t="s">
        <v>1060</v>
      </c>
      <c r="B5146" t="s">
        <v>1061</v>
      </c>
      <c r="C5146" t="s">
        <v>175</v>
      </c>
      <c r="D5146" t="s">
        <v>299</v>
      </c>
      <c r="E5146" t="s">
        <v>300</v>
      </c>
      <c r="F5146">
        <v>26</v>
      </c>
      <c r="G5146" t="s">
        <v>176</v>
      </c>
      <c r="H5146">
        <v>26</v>
      </c>
      <c r="I5146">
        <v>180</v>
      </c>
      <c r="J5146" s="10">
        <v>80</v>
      </c>
      <c r="K5146" s="10">
        <f>SUMIFS(F:F,D:D,DST_123_ÜRETİM_İHTİYAÇ_RAPORU_BURAK_YENI1309[[#This Row],[ALT_KOD]])-(SUMIFS(H:H,D:D,DST_123_ÜRETİM_İHTİYAÇ_RAPORU_BURAK_YENI1309[[#This Row],[ALT_KOD]])+AVERAGEIFS(I:I,D:D,DST_123_ÜRETİM_İHTİYAÇ_RAPORU_BURAK_YENI1309[[#This Row],[ALT_KOD]])+AVERAGEIFS(L:L,D:D,DST_123_ÜRETİM_İHTİYAÇ_RAPORU_BURAK_YENI1309[[#This Row],[ALT_KOD]]))</f>
        <v>32</v>
      </c>
      <c r="L5146">
        <v>0</v>
      </c>
      <c r="M5146">
        <f>IF((DST_123_ÜRETİM_İHTİYAÇ_RAPORU_BURAK_YENI1309[[#This Row],[SATINALMA]]*DST_123_ÜRETİM_İHTİYAÇ_RAPORU_BURAK_YENI1309[[#This Row],[BIRIM_FIYATLAR]])&lt;1,VALUE("0"),DST_123_ÜRETİM_İHTİYAÇ_RAPORU_BURAK_YENI1309[[#This Row],[SATINALMA]]*DST_123_ÜRETİM_İHTİYAÇ_RAPORU_BURAK_YENI1309[[#This Row],[BIRIM_FIYATLAR]])</f>
        <v>7680</v>
      </c>
      <c r="N5146">
        <v>240</v>
      </c>
      <c r="O5146" t="s">
        <v>240</v>
      </c>
      <c r="P5146">
        <v>6240</v>
      </c>
      <c r="Q5146" t="s">
        <v>180</v>
      </c>
    </row>
    <row r="5147" spans="1:17" x14ac:dyDescent="0.25">
      <c r="A5147" t="s">
        <v>1057</v>
      </c>
      <c r="B5147" t="s">
        <v>1058</v>
      </c>
      <c r="C5147" t="s">
        <v>175</v>
      </c>
      <c r="D5147" t="s">
        <v>338</v>
      </c>
      <c r="E5147" t="s">
        <v>339</v>
      </c>
      <c r="F5147">
        <v>2.4700000000000002</v>
      </c>
      <c r="G5147" t="s">
        <v>185</v>
      </c>
      <c r="H5147">
        <v>2.4700000000000002</v>
      </c>
      <c r="I5147">
        <v>0</v>
      </c>
      <c r="J5147" s="10">
        <v>154.94999999999996</v>
      </c>
      <c r="K5147" s="10">
        <f>SUMIFS(F:F,D:D,DST_123_ÜRETİM_İHTİYAÇ_RAPORU_BURAK_YENI1309[[#This Row],[ALT_KOD]])-(SUMIFS(H:H,D:D,DST_123_ÜRETİM_İHTİYAÇ_RAPORU_BURAK_YENI1309[[#This Row],[ALT_KOD]])+AVERAGEIFS(I:I,D:D,DST_123_ÜRETİM_İHTİYAÇ_RAPORU_BURAK_YENI1309[[#This Row],[ALT_KOD]])+AVERAGEIFS(L:L,D:D,DST_123_ÜRETİM_İHTİYAÇ_RAPORU_BURAK_YENI1309[[#This Row],[ALT_KOD]]))</f>
        <v>21.899999999999991</v>
      </c>
      <c r="L5147">
        <v>60</v>
      </c>
      <c r="M5147">
        <f>IF((DST_123_ÜRETİM_İHTİYAÇ_RAPORU_BURAK_YENI1309[[#This Row],[SATINALMA]]*DST_123_ÜRETİM_İHTİYAÇ_RAPORU_BURAK_YENI1309[[#This Row],[BIRIM_FIYATLAR]])&lt;1,VALUE("0"),DST_123_ÜRETİM_İHTİYAÇ_RAPORU_BURAK_YENI1309[[#This Row],[SATINALMA]]*DST_123_ÜRETİM_İHTİYAÇ_RAPORU_BURAK_YENI1309[[#This Row],[BIRIM_FIYATLAR]])</f>
        <v>4265.0249999999987</v>
      </c>
      <c r="N5147">
        <v>194.75</v>
      </c>
      <c r="O5147" t="s">
        <v>490</v>
      </c>
      <c r="P5147">
        <v>481.03250000000003</v>
      </c>
      <c r="Q5147" t="s">
        <v>183</v>
      </c>
    </row>
    <row r="5148" spans="1:17" x14ac:dyDescent="0.25">
      <c r="A5148" t="s">
        <v>1059</v>
      </c>
      <c r="B5148" t="s">
        <v>1058</v>
      </c>
      <c r="C5148" t="s">
        <v>175</v>
      </c>
      <c r="D5148" t="s">
        <v>338</v>
      </c>
      <c r="E5148" t="s">
        <v>339</v>
      </c>
      <c r="F5148">
        <v>2.4700000000000002</v>
      </c>
      <c r="G5148" t="s">
        <v>185</v>
      </c>
      <c r="H5148">
        <v>2.4700000000000002</v>
      </c>
      <c r="I5148">
        <v>0</v>
      </c>
      <c r="J5148" s="10">
        <v>154.94999999999996</v>
      </c>
      <c r="K5148" s="10">
        <f>SUMIFS(F:F,D:D,DST_123_ÜRETİM_İHTİYAÇ_RAPORU_BURAK_YENI1309[[#This Row],[ALT_KOD]])-(SUMIFS(H:H,D:D,DST_123_ÜRETİM_İHTİYAÇ_RAPORU_BURAK_YENI1309[[#This Row],[ALT_KOD]])+AVERAGEIFS(I:I,D:D,DST_123_ÜRETİM_İHTİYAÇ_RAPORU_BURAK_YENI1309[[#This Row],[ALT_KOD]])+AVERAGEIFS(L:L,D:D,DST_123_ÜRETİM_İHTİYAÇ_RAPORU_BURAK_YENI1309[[#This Row],[ALT_KOD]]))</f>
        <v>21.899999999999991</v>
      </c>
      <c r="L5148">
        <v>60</v>
      </c>
      <c r="M5148">
        <f>IF((DST_123_ÜRETİM_İHTİYAÇ_RAPORU_BURAK_YENI1309[[#This Row],[SATINALMA]]*DST_123_ÜRETİM_İHTİYAÇ_RAPORU_BURAK_YENI1309[[#This Row],[BIRIM_FIYATLAR]])&lt;1,VALUE("0"),DST_123_ÜRETİM_İHTİYAÇ_RAPORU_BURAK_YENI1309[[#This Row],[SATINALMA]]*DST_123_ÜRETİM_İHTİYAÇ_RAPORU_BURAK_YENI1309[[#This Row],[BIRIM_FIYATLAR]])</f>
        <v>4265.0249999999987</v>
      </c>
      <c r="N5148">
        <v>194.75</v>
      </c>
      <c r="O5148" t="s">
        <v>490</v>
      </c>
      <c r="P5148">
        <v>481.03250000000003</v>
      </c>
      <c r="Q5148" t="s">
        <v>183</v>
      </c>
    </row>
    <row r="5149" spans="1:17" x14ac:dyDescent="0.25">
      <c r="A5149" t="s">
        <v>1097</v>
      </c>
      <c r="B5149" t="s">
        <v>1055</v>
      </c>
      <c r="C5149" t="s">
        <v>175</v>
      </c>
      <c r="D5149" t="s">
        <v>116</v>
      </c>
      <c r="E5149" t="s">
        <v>117</v>
      </c>
      <c r="F5149">
        <v>124.53999999999999</v>
      </c>
      <c r="G5149" t="s">
        <v>185</v>
      </c>
      <c r="H5149">
        <v>124.53999999999999</v>
      </c>
      <c r="I5149">
        <v>-690</v>
      </c>
      <c r="J5149" s="10">
        <v>2123.619999999999</v>
      </c>
      <c r="K5149" s="10">
        <f>SUMIFS(F:F,D:D,DST_123_ÜRETİM_İHTİYAÇ_RAPORU_BURAK_YENI1309[[#This Row],[ALT_KOD]])-(SUMIFS(H:H,D:D,DST_123_ÜRETİM_İHTİYAÇ_RAPORU_BURAK_YENI1309[[#This Row],[ALT_KOD]])+AVERAGEIFS(I:I,D:D,DST_123_ÜRETİM_İHTİYAÇ_RAPORU_BURAK_YENI1309[[#This Row],[ALT_KOD]])+AVERAGEIFS(L:L,D:D,DST_123_ÜRETİM_İHTİYAÇ_RAPORU_BURAK_YENI1309[[#This Row],[ALT_KOD]]))</f>
        <v>1819.8699999999994</v>
      </c>
      <c r="L5149">
        <v>0</v>
      </c>
      <c r="M5149">
        <f>IF((DST_123_ÜRETİM_İHTİYAÇ_RAPORU_BURAK_YENI1309[[#This Row],[SATINALMA]]*DST_123_ÜRETİM_İHTİYAÇ_RAPORU_BURAK_YENI1309[[#This Row],[BIRIM_FIYATLAR]])&lt;1,VALUE("0"),DST_123_ÜRETİM_İHTİYAÇ_RAPORU_BURAK_YENI1309[[#This Row],[SATINALMA]]*DST_123_ÜRETİM_İHTİYAÇ_RAPORU_BURAK_YENI1309[[#This Row],[BIRIM_FIYATLAR]])</f>
        <v>172651.06689999995</v>
      </c>
      <c r="N5149">
        <v>94.87</v>
      </c>
      <c r="O5149" t="s">
        <v>490</v>
      </c>
      <c r="P5149">
        <v>11815.1098</v>
      </c>
      <c r="Q5149" t="s">
        <v>183</v>
      </c>
    </row>
    <row r="5150" spans="1:17" x14ac:dyDescent="0.25">
      <c r="A5150" t="s">
        <v>1095</v>
      </c>
      <c r="B5150" t="s">
        <v>1096</v>
      </c>
      <c r="C5150" t="s">
        <v>175</v>
      </c>
      <c r="D5150" t="s">
        <v>327</v>
      </c>
      <c r="E5150" t="s">
        <v>328</v>
      </c>
      <c r="F5150">
        <v>0.1</v>
      </c>
      <c r="G5150" t="s">
        <v>176</v>
      </c>
      <c r="H5150">
        <v>0</v>
      </c>
      <c r="I5150">
        <v>0</v>
      </c>
      <c r="J5150" s="10">
        <v>1.929999999999999</v>
      </c>
      <c r="K5150" s="10">
        <f>SUMIFS(F:F,D:D,DST_123_ÜRETİM_İHTİYAÇ_RAPORU_BURAK_YENI1309[[#This Row],[ALT_KOD]])-(SUMIFS(H:H,D:D,DST_123_ÜRETİM_İHTİYAÇ_RAPORU_BURAK_YENI1309[[#This Row],[ALT_KOD]])+AVERAGEIFS(I:I,D:D,DST_123_ÜRETİM_İHTİYAÇ_RAPORU_BURAK_YENI1309[[#This Row],[ALT_KOD]])+AVERAGEIFS(L:L,D:D,DST_123_ÜRETİM_İHTİYAÇ_RAPORU_BURAK_YENI1309[[#This Row],[ALT_KOD]]))</f>
        <v>1.2600000000000005</v>
      </c>
      <c r="L5150">
        <v>0</v>
      </c>
      <c r="M5150">
        <f>IF((DST_123_ÜRETİM_İHTİYAÇ_RAPORU_BURAK_YENI1309[[#This Row],[SATINALMA]]*DST_123_ÜRETİM_İHTİYAÇ_RAPORU_BURAK_YENI1309[[#This Row],[BIRIM_FIYATLAR]])&lt;1,VALUE("0"),DST_123_ÜRETİM_İHTİYAÇ_RAPORU_BURAK_YENI1309[[#This Row],[SATINALMA]]*DST_123_ÜRETİM_İHTİYAÇ_RAPORU_BURAK_YENI1309[[#This Row],[BIRIM_FIYATLAR]])</f>
        <v>1921.5000000000007</v>
      </c>
      <c r="N5150">
        <v>1525</v>
      </c>
      <c r="O5150" t="s">
        <v>240</v>
      </c>
      <c r="P5150">
        <v>152.5</v>
      </c>
      <c r="Q5150" t="s">
        <v>180</v>
      </c>
    </row>
    <row r="5151" spans="1:17" x14ac:dyDescent="0.25">
      <c r="A5151" t="s">
        <v>1097</v>
      </c>
      <c r="B5151" t="s">
        <v>1055</v>
      </c>
      <c r="C5151" t="s">
        <v>175</v>
      </c>
      <c r="D5151" t="s">
        <v>290</v>
      </c>
      <c r="E5151" t="s">
        <v>291</v>
      </c>
      <c r="F5151">
        <v>4</v>
      </c>
      <c r="G5151" t="s">
        <v>176</v>
      </c>
      <c r="H5151">
        <v>4</v>
      </c>
      <c r="I5151">
        <v>125</v>
      </c>
      <c r="J5151" s="10">
        <v>54</v>
      </c>
      <c r="K5151" s="10">
        <f>SUMIFS(F:F,D:D,DST_123_ÜRETİM_İHTİYAÇ_RAPORU_BURAK_YENI1309[[#This Row],[ALT_KOD]])-(SUMIFS(H:H,D:D,DST_123_ÜRETİM_İHTİYAÇ_RAPORU_BURAK_YENI1309[[#This Row],[ALT_KOD]])+AVERAGEIFS(I:I,D:D,DST_123_ÜRETİM_İHTİYAÇ_RAPORU_BURAK_YENI1309[[#This Row],[ALT_KOD]])+AVERAGEIFS(L:L,D:D,DST_123_ÜRETİM_İHTİYAÇ_RAPORU_BURAK_YENI1309[[#This Row],[ALT_KOD]]))</f>
        <v>-49</v>
      </c>
      <c r="L5151">
        <v>0</v>
      </c>
      <c r="M5151">
        <f>IF((DST_123_ÜRETİM_İHTİYAÇ_RAPORU_BURAK_YENI1309[[#This Row],[SATINALMA]]*DST_123_ÜRETİM_İHTİYAÇ_RAPORU_BURAK_YENI1309[[#This Row],[BIRIM_FIYATLAR]])&lt;1,VALUE("0"),DST_123_ÜRETİM_İHTİYAÇ_RAPORU_BURAK_YENI1309[[#This Row],[SATINALMA]]*DST_123_ÜRETİM_İHTİYAÇ_RAPORU_BURAK_YENI1309[[#This Row],[BIRIM_FIYATLAR]])</f>
        <v>0</v>
      </c>
      <c r="N5151">
        <v>3.75</v>
      </c>
      <c r="O5151" t="s">
        <v>628</v>
      </c>
      <c r="P5151">
        <v>15</v>
      </c>
      <c r="Q5151" t="s">
        <v>180</v>
      </c>
    </row>
    <row r="5152" spans="1:17" x14ac:dyDescent="0.25">
      <c r="A5152" t="s">
        <v>1064</v>
      </c>
      <c r="B5152" t="s">
        <v>1055</v>
      </c>
      <c r="C5152" t="s">
        <v>175</v>
      </c>
      <c r="D5152" t="s">
        <v>338</v>
      </c>
      <c r="E5152" t="s">
        <v>339</v>
      </c>
      <c r="F5152">
        <v>8.4700000000000006</v>
      </c>
      <c r="G5152" t="s">
        <v>185</v>
      </c>
      <c r="H5152">
        <v>8.4700000000000006</v>
      </c>
      <c r="I5152">
        <v>0</v>
      </c>
      <c r="J5152" s="10">
        <v>154.94999999999996</v>
      </c>
      <c r="K5152" s="10">
        <f>SUMIFS(F:F,D:D,DST_123_ÜRETİM_İHTİYAÇ_RAPORU_BURAK_YENI1309[[#This Row],[ALT_KOD]])-(SUMIFS(H:H,D:D,DST_123_ÜRETİM_İHTİYAÇ_RAPORU_BURAK_YENI1309[[#This Row],[ALT_KOD]])+AVERAGEIFS(I:I,D:D,DST_123_ÜRETİM_İHTİYAÇ_RAPORU_BURAK_YENI1309[[#This Row],[ALT_KOD]])+AVERAGEIFS(L:L,D:D,DST_123_ÜRETİM_İHTİYAÇ_RAPORU_BURAK_YENI1309[[#This Row],[ALT_KOD]]))</f>
        <v>21.899999999999991</v>
      </c>
      <c r="L5152">
        <v>60</v>
      </c>
      <c r="M5152">
        <f>IF((DST_123_ÜRETİM_İHTİYAÇ_RAPORU_BURAK_YENI1309[[#This Row],[SATINALMA]]*DST_123_ÜRETİM_İHTİYAÇ_RAPORU_BURAK_YENI1309[[#This Row],[BIRIM_FIYATLAR]])&lt;1,VALUE("0"),DST_123_ÜRETİM_İHTİYAÇ_RAPORU_BURAK_YENI1309[[#This Row],[SATINALMA]]*DST_123_ÜRETİM_İHTİYAÇ_RAPORU_BURAK_YENI1309[[#This Row],[BIRIM_FIYATLAR]])</f>
        <v>4265.0249999999987</v>
      </c>
      <c r="N5152">
        <v>194.75</v>
      </c>
      <c r="O5152" t="s">
        <v>490</v>
      </c>
      <c r="P5152">
        <v>1649.5325</v>
      </c>
      <c r="Q5152" t="s">
        <v>183</v>
      </c>
    </row>
    <row r="5153" spans="1:17" x14ac:dyDescent="0.25">
      <c r="A5153" t="s">
        <v>1099</v>
      </c>
      <c r="B5153" t="s">
        <v>1055</v>
      </c>
      <c r="C5153" t="s">
        <v>175</v>
      </c>
      <c r="D5153" t="s">
        <v>116</v>
      </c>
      <c r="E5153" t="s">
        <v>117</v>
      </c>
      <c r="F5153">
        <v>114.32999999999998</v>
      </c>
      <c r="G5153" t="s">
        <v>185</v>
      </c>
      <c r="H5153">
        <v>114.32999999999998</v>
      </c>
      <c r="I5153">
        <v>-690</v>
      </c>
      <c r="J5153" s="10">
        <v>2123.619999999999</v>
      </c>
      <c r="K5153" s="10">
        <f>SUMIFS(F:F,D:D,DST_123_ÜRETİM_İHTİYAÇ_RAPORU_BURAK_YENI1309[[#This Row],[ALT_KOD]])-(SUMIFS(H:H,D:D,DST_123_ÜRETİM_İHTİYAÇ_RAPORU_BURAK_YENI1309[[#This Row],[ALT_KOD]])+AVERAGEIFS(I:I,D:D,DST_123_ÜRETİM_İHTİYAÇ_RAPORU_BURAK_YENI1309[[#This Row],[ALT_KOD]])+AVERAGEIFS(L:L,D:D,DST_123_ÜRETİM_İHTİYAÇ_RAPORU_BURAK_YENI1309[[#This Row],[ALT_KOD]]))</f>
        <v>1819.8699999999994</v>
      </c>
      <c r="L5153">
        <v>0</v>
      </c>
      <c r="M5153">
        <f>IF((DST_123_ÜRETİM_İHTİYAÇ_RAPORU_BURAK_YENI1309[[#This Row],[SATINALMA]]*DST_123_ÜRETİM_İHTİYAÇ_RAPORU_BURAK_YENI1309[[#This Row],[BIRIM_FIYATLAR]])&lt;1,VALUE("0"),DST_123_ÜRETİM_İHTİYAÇ_RAPORU_BURAK_YENI1309[[#This Row],[SATINALMA]]*DST_123_ÜRETİM_İHTİYAÇ_RAPORU_BURAK_YENI1309[[#This Row],[BIRIM_FIYATLAR]])</f>
        <v>172651.06689999995</v>
      </c>
      <c r="N5153">
        <v>94.87</v>
      </c>
      <c r="O5153" t="s">
        <v>490</v>
      </c>
      <c r="P5153">
        <v>10846.487099999998</v>
      </c>
      <c r="Q5153" t="s">
        <v>183</v>
      </c>
    </row>
    <row r="5154" spans="1:17" x14ac:dyDescent="0.25">
      <c r="A5154" t="s">
        <v>1060</v>
      </c>
      <c r="B5154" t="s">
        <v>1061</v>
      </c>
      <c r="C5154" t="s">
        <v>175</v>
      </c>
      <c r="D5154" t="s">
        <v>116</v>
      </c>
      <c r="E5154" t="s">
        <v>117</v>
      </c>
      <c r="F5154">
        <v>91.87</v>
      </c>
      <c r="G5154" t="s">
        <v>185</v>
      </c>
      <c r="H5154">
        <v>91.87</v>
      </c>
      <c r="I5154">
        <v>-690</v>
      </c>
      <c r="J5154" s="10">
        <v>2123.619999999999</v>
      </c>
      <c r="K5154" s="10">
        <f>SUMIFS(F:F,D:D,DST_123_ÜRETİM_İHTİYAÇ_RAPORU_BURAK_YENI1309[[#This Row],[ALT_KOD]])-(SUMIFS(H:H,D:D,DST_123_ÜRETİM_İHTİYAÇ_RAPORU_BURAK_YENI1309[[#This Row],[ALT_KOD]])+AVERAGEIFS(I:I,D:D,DST_123_ÜRETİM_İHTİYAÇ_RAPORU_BURAK_YENI1309[[#This Row],[ALT_KOD]])+AVERAGEIFS(L:L,D:D,DST_123_ÜRETİM_İHTİYAÇ_RAPORU_BURAK_YENI1309[[#This Row],[ALT_KOD]]))</f>
        <v>1819.8699999999994</v>
      </c>
      <c r="L5154">
        <v>0</v>
      </c>
      <c r="M5154">
        <f>IF((DST_123_ÜRETİM_İHTİYAÇ_RAPORU_BURAK_YENI1309[[#This Row],[SATINALMA]]*DST_123_ÜRETİM_İHTİYAÇ_RAPORU_BURAK_YENI1309[[#This Row],[BIRIM_FIYATLAR]])&lt;1,VALUE("0"),DST_123_ÜRETİM_İHTİYAÇ_RAPORU_BURAK_YENI1309[[#This Row],[SATINALMA]]*DST_123_ÜRETİM_İHTİYAÇ_RAPORU_BURAK_YENI1309[[#This Row],[BIRIM_FIYATLAR]])</f>
        <v>172651.06689999995</v>
      </c>
      <c r="N5154">
        <v>94.87</v>
      </c>
      <c r="O5154" t="s">
        <v>490</v>
      </c>
      <c r="P5154">
        <v>8715.706900000001</v>
      </c>
      <c r="Q5154" t="s">
        <v>183</v>
      </c>
    </row>
    <row r="5155" spans="1:17" x14ac:dyDescent="0.25">
      <c r="A5155" t="s">
        <v>1100</v>
      </c>
      <c r="B5155" t="s">
        <v>1058</v>
      </c>
      <c r="C5155" t="s">
        <v>175</v>
      </c>
      <c r="D5155" t="s">
        <v>508</v>
      </c>
      <c r="E5155" t="s">
        <v>509</v>
      </c>
      <c r="F5155">
        <v>1</v>
      </c>
      <c r="G5155" t="s">
        <v>176</v>
      </c>
      <c r="H5155">
        <v>1</v>
      </c>
      <c r="I5155">
        <v>4</v>
      </c>
      <c r="J5155" s="10">
        <v>10</v>
      </c>
      <c r="K5155" s="10">
        <f>SUMIFS(F:F,D:D,DST_123_ÜRETİM_İHTİYAÇ_RAPORU_BURAK_YENI1309[[#This Row],[ALT_KOD]])-(SUMIFS(H:H,D:D,DST_123_ÜRETİM_İHTİYAÇ_RAPORU_BURAK_YENI1309[[#This Row],[ALT_KOD]])+AVERAGEIFS(I:I,D:D,DST_123_ÜRETİM_İHTİYAÇ_RAPORU_BURAK_YENI1309[[#This Row],[ALT_KOD]])+AVERAGEIFS(L:L,D:D,DST_123_ÜRETİM_İHTİYAÇ_RAPORU_BURAK_YENI1309[[#This Row],[ALT_KOD]]))</f>
        <v>1</v>
      </c>
      <c r="L5155">
        <v>7</v>
      </c>
      <c r="M5155">
        <f>IF((DST_123_ÜRETİM_İHTİYAÇ_RAPORU_BURAK_YENI1309[[#This Row],[SATINALMA]]*DST_123_ÜRETİM_İHTİYAÇ_RAPORU_BURAK_YENI1309[[#This Row],[BIRIM_FIYATLAR]])&lt;1,VALUE("0"),DST_123_ÜRETİM_İHTİYAÇ_RAPORU_BURAK_YENI1309[[#This Row],[SATINALMA]]*DST_123_ÜRETİM_İHTİYAÇ_RAPORU_BURAK_YENI1309[[#This Row],[BIRIM_FIYATLAR]])</f>
        <v>1535.25</v>
      </c>
      <c r="N5155">
        <v>1535.25</v>
      </c>
      <c r="O5155" t="s">
        <v>507</v>
      </c>
      <c r="P5155">
        <v>1535.25</v>
      </c>
      <c r="Q5155" t="s">
        <v>221</v>
      </c>
    </row>
    <row r="5156" spans="1:17" x14ac:dyDescent="0.25">
      <c r="A5156" t="s">
        <v>1100</v>
      </c>
      <c r="B5156" t="s">
        <v>1058</v>
      </c>
      <c r="C5156" t="s">
        <v>175</v>
      </c>
      <c r="D5156" t="s">
        <v>391</v>
      </c>
      <c r="E5156" t="s">
        <v>392</v>
      </c>
      <c r="F5156">
        <v>5.5</v>
      </c>
      <c r="G5156" t="s">
        <v>176</v>
      </c>
      <c r="H5156">
        <v>5.5</v>
      </c>
      <c r="I5156">
        <v>0</v>
      </c>
      <c r="J5156" s="10">
        <v>58.050000000000026</v>
      </c>
      <c r="K5156" s="10">
        <f>SUMIFS(F:F,D:D,DST_123_ÜRETİM_İHTİYAÇ_RAPORU_BURAK_YENI1309[[#This Row],[ALT_KOD]])-(SUMIFS(H:H,D:D,DST_123_ÜRETİM_İHTİYAÇ_RAPORU_BURAK_YENI1309[[#This Row],[ALT_KOD]])+AVERAGEIFS(I:I,D:D,DST_123_ÜRETİM_İHTİYAÇ_RAPORU_BURAK_YENI1309[[#This Row],[ALT_KOD]])+AVERAGEIFS(L:L,D:D,DST_123_ÜRETİM_İHTİYAÇ_RAPORU_BURAK_YENI1309[[#This Row],[ALT_KOD]]))</f>
        <v>144.72000000000003</v>
      </c>
      <c r="L5156">
        <v>37</v>
      </c>
      <c r="M5156">
        <f>IF((DST_123_ÜRETİM_İHTİYAÇ_RAPORU_BURAK_YENI1309[[#This Row],[SATINALMA]]*DST_123_ÜRETİM_İHTİYAÇ_RAPORU_BURAK_YENI1309[[#This Row],[BIRIM_FIYATLAR]])&lt;1,VALUE("0"),DST_123_ÜRETİM_İHTİYAÇ_RAPORU_BURAK_YENI1309[[#This Row],[SATINALMA]]*DST_123_ÜRETİM_İHTİYAÇ_RAPORU_BURAK_YENI1309[[#This Row],[BIRIM_FIYATLAR]])</f>
        <v>261099.48240000007</v>
      </c>
      <c r="N5156">
        <v>1804.17</v>
      </c>
      <c r="O5156" t="s">
        <v>223</v>
      </c>
      <c r="P5156">
        <v>9922.9350000000013</v>
      </c>
      <c r="Q5156" t="s">
        <v>181</v>
      </c>
    </row>
    <row r="5157" spans="1:17" x14ac:dyDescent="0.25">
      <c r="A5157" t="s">
        <v>1143</v>
      </c>
      <c r="B5157" t="s">
        <v>1056</v>
      </c>
      <c r="C5157" t="s">
        <v>175</v>
      </c>
      <c r="D5157" t="s">
        <v>458</v>
      </c>
      <c r="E5157" t="s">
        <v>459</v>
      </c>
      <c r="F5157">
        <v>0.01</v>
      </c>
      <c r="G5157" t="s">
        <v>176</v>
      </c>
      <c r="H5157">
        <v>0</v>
      </c>
      <c r="I5157">
        <v>6</v>
      </c>
      <c r="J5157" s="10">
        <v>22.530000000000012</v>
      </c>
      <c r="K5157" s="10">
        <f>SUMIFS(F:F,D:D,DST_123_ÜRETİM_İHTİYAÇ_RAPORU_BURAK_YENI1309[[#This Row],[ALT_KOD]])-(SUMIFS(H:H,D:D,DST_123_ÜRETİM_İHTİYAÇ_RAPORU_BURAK_YENI1309[[#This Row],[ALT_KOD]])+AVERAGEIFS(I:I,D:D,DST_123_ÜRETİM_İHTİYAÇ_RAPORU_BURAK_YENI1309[[#This Row],[ALT_KOD]])+AVERAGEIFS(L:L,D:D,DST_123_ÜRETİM_İHTİYAÇ_RAPORU_BURAK_YENI1309[[#This Row],[ALT_KOD]]))</f>
        <v>-5.5</v>
      </c>
      <c r="L5157">
        <v>0</v>
      </c>
      <c r="M5157">
        <f>IF((DST_123_ÜRETİM_İHTİYAÇ_RAPORU_BURAK_YENI1309[[#This Row],[SATINALMA]]*DST_123_ÜRETİM_İHTİYAÇ_RAPORU_BURAK_YENI1309[[#This Row],[BIRIM_FIYATLAR]])&lt;1,VALUE("0"),DST_123_ÜRETİM_İHTİYAÇ_RAPORU_BURAK_YENI1309[[#This Row],[SATINALMA]]*DST_123_ÜRETİM_İHTİYAÇ_RAPORU_BURAK_YENI1309[[#This Row],[BIRIM_FIYATLAR]])</f>
        <v>0</v>
      </c>
      <c r="N5157">
        <v>133</v>
      </c>
      <c r="O5157" t="s">
        <v>216</v>
      </c>
      <c r="P5157">
        <v>1.33</v>
      </c>
      <c r="Q5157" t="s">
        <v>183</v>
      </c>
    </row>
    <row r="5158" spans="1:17" x14ac:dyDescent="0.25">
      <c r="A5158" t="s">
        <v>1057</v>
      </c>
      <c r="B5158" t="s">
        <v>1058</v>
      </c>
      <c r="C5158" t="s">
        <v>175</v>
      </c>
      <c r="D5158" t="s">
        <v>56</v>
      </c>
      <c r="E5158" t="s">
        <v>57</v>
      </c>
      <c r="F5158">
        <v>6</v>
      </c>
      <c r="G5158" t="s">
        <v>179</v>
      </c>
      <c r="H5158">
        <v>6</v>
      </c>
      <c r="I5158">
        <v>140</v>
      </c>
      <c r="J5158" s="10">
        <v>0</v>
      </c>
      <c r="K5158" s="10">
        <f>SUMIFS(F:F,D:D,DST_123_ÜRETİM_İHTİYAÇ_RAPORU_BURAK_YENI1309[[#This Row],[ALT_KOD]])-(SUMIFS(H:H,D:D,DST_123_ÜRETİM_İHTİYAÇ_RAPORU_BURAK_YENI1309[[#This Row],[ALT_KOD]])+AVERAGEIFS(I:I,D:D,DST_123_ÜRETİM_İHTİYAÇ_RAPORU_BURAK_YENI1309[[#This Row],[ALT_KOD]])+AVERAGEIFS(L:L,D:D,DST_123_ÜRETİM_İHTİYAÇ_RAPORU_BURAK_YENI1309[[#This Row],[ALT_KOD]]))</f>
        <v>-122</v>
      </c>
      <c r="L5158">
        <v>0</v>
      </c>
      <c r="M5158">
        <f>IF((DST_123_ÜRETİM_İHTİYAÇ_RAPORU_BURAK_YENI1309[[#This Row],[SATINALMA]]*DST_123_ÜRETİM_İHTİYAÇ_RAPORU_BURAK_YENI1309[[#This Row],[BIRIM_FIYATLAR]])&lt;1,VALUE("0"),DST_123_ÜRETİM_İHTİYAÇ_RAPORU_BURAK_YENI1309[[#This Row],[SATINALMA]]*DST_123_ÜRETİM_İHTİYAÇ_RAPORU_BURAK_YENI1309[[#This Row],[BIRIM_FIYATLAR]])</f>
        <v>0</v>
      </c>
      <c r="N5158">
        <v>25.42</v>
      </c>
      <c r="O5158" t="s">
        <v>826</v>
      </c>
      <c r="P5158">
        <v>152.52000000000001</v>
      </c>
      <c r="Q5158" t="s">
        <v>221</v>
      </c>
    </row>
    <row r="5159" spans="1:17" x14ac:dyDescent="0.25">
      <c r="A5159" t="s">
        <v>1057</v>
      </c>
      <c r="B5159" t="s">
        <v>1058</v>
      </c>
      <c r="C5159" t="s">
        <v>175</v>
      </c>
      <c r="D5159" t="s">
        <v>52</v>
      </c>
      <c r="E5159" t="s">
        <v>53</v>
      </c>
      <c r="F5159">
        <v>1</v>
      </c>
      <c r="G5159" t="s">
        <v>176</v>
      </c>
      <c r="H5159">
        <v>1</v>
      </c>
      <c r="I5159">
        <v>5</v>
      </c>
      <c r="J5159" s="10">
        <v>10</v>
      </c>
      <c r="K5159" s="10">
        <f>SUMIFS(F:F,D:D,DST_123_ÜRETİM_İHTİYAÇ_RAPORU_BURAK_YENI1309[[#This Row],[ALT_KOD]])-(SUMIFS(H:H,D:D,DST_123_ÜRETİM_İHTİYAÇ_RAPORU_BURAK_YENI1309[[#This Row],[ALT_KOD]])+AVERAGEIFS(I:I,D:D,DST_123_ÜRETİM_İHTİYAÇ_RAPORU_BURAK_YENI1309[[#This Row],[ALT_KOD]])+AVERAGEIFS(L:L,D:D,DST_123_ÜRETİM_İHTİYAÇ_RAPORU_BURAK_YENI1309[[#This Row],[ALT_KOD]]))</f>
        <v>7</v>
      </c>
      <c r="L5159">
        <v>0</v>
      </c>
      <c r="M5159">
        <f>IF((DST_123_ÜRETİM_İHTİYAÇ_RAPORU_BURAK_YENI1309[[#This Row],[SATINALMA]]*DST_123_ÜRETİM_İHTİYAÇ_RAPORU_BURAK_YENI1309[[#This Row],[BIRIM_FIYATLAR]])&lt;1,VALUE("0"),DST_123_ÜRETİM_İHTİYAÇ_RAPORU_BURAK_YENI1309[[#This Row],[SATINALMA]]*DST_123_ÜRETİM_İHTİYAÇ_RAPORU_BURAK_YENI1309[[#This Row],[BIRIM_FIYATLAR]])</f>
        <v>85641.010000000009</v>
      </c>
      <c r="N5159">
        <v>12234.43</v>
      </c>
      <c r="O5159" t="s">
        <v>215</v>
      </c>
      <c r="P5159">
        <v>12234.43</v>
      </c>
      <c r="Q5159" t="s">
        <v>221</v>
      </c>
    </row>
    <row r="5160" spans="1:17" x14ac:dyDescent="0.25">
      <c r="A5160" t="s">
        <v>1059</v>
      </c>
      <c r="B5160" t="s">
        <v>1058</v>
      </c>
      <c r="C5160" t="s">
        <v>175</v>
      </c>
      <c r="D5160" t="s">
        <v>52</v>
      </c>
      <c r="E5160" t="s">
        <v>53</v>
      </c>
      <c r="F5160">
        <v>1</v>
      </c>
      <c r="G5160" t="s">
        <v>176</v>
      </c>
      <c r="H5160">
        <v>1</v>
      </c>
      <c r="I5160">
        <v>5</v>
      </c>
      <c r="J5160" s="10">
        <v>10</v>
      </c>
      <c r="K5160" s="10">
        <f>SUMIFS(F:F,D:D,DST_123_ÜRETİM_İHTİYAÇ_RAPORU_BURAK_YENI1309[[#This Row],[ALT_KOD]])-(SUMIFS(H:H,D:D,DST_123_ÜRETİM_İHTİYAÇ_RAPORU_BURAK_YENI1309[[#This Row],[ALT_KOD]])+AVERAGEIFS(I:I,D:D,DST_123_ÜRETİM_İHTİYAÇ_RAPORU_BURAK_YENI1309[[#This Row],[ALT_KOD]])+AVERAGEIFS(L:L,D:D,DST_123_ÜRETİM_İHTİYAÇ_RAPORU_BURAK_YENI1309[[#This Row],[ALT_KOD]]))</f>
        <v>7</v>
      </c>
      <c r="L5160">
        <v>0</v>
      </c>
      <c r="M5160">
        <f>IF((DST_123_ÜRETİM_İHTİYAÇ_RAPORU_BURAK_YENI1309[[#This Row],[SATINALMA]]*DST_123_ÜRETİM_İHTİYAÇ_RAPORU_BURAK_YENI1309[[#This Row],[BIRIM_FIYATLAR]])&lt;1,VALUE("0"),DST_123_ÜRETİM_İHTİYAÇ_RAPORU_BURAK_YENI1309[[#This Row],[SATINALMA]]*DST_123_ÜRETİM_İHTİYAÇ_RAPORU_BURAK_YENI1309[[#This Row],[BIRIM_FIYATLAR]])</f>
        <v>85641.010000000009</v>
      </c>
      <c r="N5160">
        <v>12234.43</v>
      </c>
      <c r="O5160" t="s">
        <v>215</v>
      </c>
      <c r="P5160">
        <v>12234.43</v>
      </c>
      <c r="Q5160" t="s">
        <v>221</v>
      </c>
    </row>
    <row r="5161" spans="1:17" x14ac:dyDescent="0.25">
      <c r="A5161" t="s">
        <v>1060</v>
      </c>
      <c r="B5161" t="s">
        <v>1061</v>
      </c>
      <c r="C5161" t="s">
        <v>175</v>
      </c>
      <c r="D5161" t="s">
        <v>512</v>
      </c>
      <c r="E5161" t="s">
        <v>513</v>
      </c>
      <c r="F5161">
        <v>4</v>
      </c>
      <c r="G5161" t="s">
        <v>176</v>
      </c>
      <c r="H5161">
        <v>4</v>
      </c>
      <c r="I5161">
        <v>4</v>
      </c>
      <c r="J5161" s="10">
        <v>10</v>
      </c>
      <c r="K5161" s="10">
        <f>SUMIFS(F:F,D:D,DST_123_ÜRETİM_İHTİYAÇ_RAPORU_BURAK_YENI1309[[#This Row],[ALT_KOD]])-(SUMIFS(H:H,D:D,DST_123_ÜRETİM_İHTİYAÇ_RAPORU_BURAK_YENI1309[[#This Row],[ALT_KOD]])+AVERAGEIFS(I:I,D:D,DST_123_ÜRETİM_İHTİYAÇ_RAPORU_BURAK_YENI1309[[#This Row],[ALT_KOD]])+AVERAGEIFS(L:L,D:D,DST_123_ÜRETİM_İHTİYAÇ_RAPORU_BURAK_YENI1309[[#This Row],[ALT_KOD]]))</f>
        <v>26</v>
      </c>
      <c r="L5161">
        <v>0</v>
      </c>
      <c r="M5161">
        <f>IF((DST_123_ÜRETİM_İHTİYAÇ_RAPORU_BURAK_YENI1309[[#This Row],[SATINALMA]]*DST_123_ÜRETİM_İHTİYAÇ_RAPORU_BURAK_YENI1309[[#This Row],[BIRIM_FIYATLAR]])&lt;1,VALUE("0"),DST_123_ÜRETİM_İHTİYAÇ_RAPORU_BURAK_YENI1309[[#This Row],[SATINALMA]]*DST_123_ÜRETİM_İHTİYAÇ_RAPORU_BURAK_YENI1309[[#This Row],[BIRIM_FIYATLAR]])</f>
        <v>41686.58</v>
      </c>
      <c r="N5161">
        <v>1603.33</v>
      </c>
      <c r="O5161" t="s">
        <v>262</v>
      </c>
      <c r="P5161">
        <v>6413.32</v>
      </c>
      <c r="Q5161" t="s">
        <v>221</v>
      </c>
    </row>
    <row r="5162" spans="1:17" x14ac:dyDescent="0.25">
      <c r="A5162" t="s">
        <v>1098</v>
      </c>
      <c r="B5162" t="s">
        <v>1096</v>
      </c>
      <c r="C5162" t="s">
        <v>175</v>
      </c>
      <c r="D5162" t="s">
        <v>595</v>
      </c>
      <c r="E5162" t="s">
        <v>596</v>
      </c>
      <c r="F5162">
        <v>1</v>
      </c>
      <c r="G5162" t="s">
        <v>176</v>
      </c>
      <c r="H5162">
        <v>0</v>
      </c>
      <c r="I5162">
        <v>18</v>
      </c>
      <c r="J5162" s="10">
        <v>3</v>
      </c>
      <c r="K5162" s="10">
        <f>SUMIFS(F:F,D:D,DST_123_ÜRETİM_İHTİYAÇ_RAPORU_BURAK_YENI1309[[#This Row],[ALT_KOD]])-(SUMIFS(H:H,D:D,DST_123_ÜRETİM_İHTİYAÇ_RAPORU_BURAK_YENI1309[[#This Row],[ALT_KOD]])+AVERAGEIFS(I:I,D:D,DST_123_ÜRETİM_İHTİYAÇ_RAPORU_BURAK_YENI1309[[#This Row],[ALT_KOD]])+AVERAGEIFS(L:L,D:D,DST_123_ÜRETİM_İHTİYAÇ_RAPORU_BURAK_YENI1309[[#This Row],[ALT_KOD]]))</f>
        <v>-1</v>
      </c>
      <c r="L5162">
        <v>0</v>
      </c>
      <c r="M5162">
        <f>IF((DST_123_ÜRETİM_İHTİYAÇ_RAPORU_BURAK_YENI1309[[#This Row],[SATINALMA]]*DST_123_ÜRETİM_İHTİYAÇ_RAPORU_BURAK_YENI1309[[#This Row],[BIRIM_FIYATLAR]])&lt;1,VALUE("0"),DST_123_ÜRETİM_İHTİYAÇ_RAPORU_BURAK_YENI1309[[#This Row],[SATINALMA]]*DST_123_ÜRETİM_İHTİYAÇ_RAPORU_BURAK_YENI1309[[#This Row],[BIRIM_FIYATLAR]])</f>
        <v>0</v>
      </c>
      <c r="N5162">
        <v>4852.33</v>
      </c>
      <c r="O5162" t="s">
        <v>636</v>
      </c>
      <c r="P5162">
        <v>4852.33</v>
      </c>
      <c r="Q5162" t="s">
        <v>177</v>
      </c>
    </row>
    <row r="5163" spans="1:17" x14ac:dyDescent="0.25">
      <c r="A5163" t="s">
        <v>1196</v>
      </c>
      <c r="B5163" t="s">
        <v>1197</v>
      </c>
      <c r="C5163" t="s">
        <v>175</v>
      </c>
      <c r="D5163" t="s">
        <v>1169</v>
      </c>
      <c r="E5163" t="s">
        <v>1170</v>
      </c>
      <c r="F5163">
        <v>2</v>
      </c>
      <c r="G5163" t="s">
        <v>176</v>
      </c>
      <c r="H5163">
        <v>0</v>
      </c>
      <c r="I5163">
        <v>250</v>
      </c>
      <c r="J5163" s="10">
        <v>250</v>
      </c>
      <c r="K5163" s="10">
        <f>SUMIFS(F:F,D:D,DST_123_ÜRETİM_İHTİYAÇ_RAPORU_BURAK_YENI1309[[#This Row],[ALT_KOD]])-(SUMIFS(H:H,D:D,DST_123_ÜRETİM_İHTİYAÇ_RAPORU_BURAK_YENI1309[[#This Row],[ALT_KOD]])+AVERAGEIFS(I:I,D:D,DST_123_ÜRETİM_İHTİYAÇ_RAPORU_BURAK_YENI1309[[#This Row],[ALT_KOD]])+AVERAGEIFS(L:L,D:D,DST_123_ÜRETİM_İHTİYAÇ_RAPORU_BURAK_YENI1309[[#This Row],[ALT_KOD]]))</f>
        <v>-236</v>
      </c>
      <c r="L5163">
        <v>0</v>
      </c>
      <c r="M5163">
        <f>IF((DST_123_ÜRETİM_İHTİYAÇ_RAPORU_BURAK_YENI1309[[#This Row],[SATINALMA]]*DST_123_ÜRETİM_İHTİYAÇ_RAPORU_BURAK_YENI1309[[#This Row],[BIRIM_FIYATLAR]])&lt;1,VALUE("0"),DST_123_ÜRETİM_İHTİYAÇ_RAPORU_BURAK_YENI1309[[#This Row],[SATINALMA]]*DST_123_ÜRETİM_İHTİYAÇ_RAPORU_BURAK_YENI1309[[#This Row],[BIRIM_FIYATLAR]])</f>
        <v>0</v>
      </c>
      <c r="N5163">
        <v>1.07</v>
      </c>
      <c r="O5163" t="s">
        <v>826</v>
      </c>
      <c r="P5163">
        <v>2.14</v>
      </c>
      <c r="Q5163" t="s">
        <v>221</v>
      </c>
    </row>
    <row r="5164" spans="1:17" x14ac:dyDescent="0.25">
      <c r="A5164" t="s">
        <v>1059</v>
      </c>
      <c r="B5164" t="s">
        <v>1058</v>
      </c>
      <c r="C5164" t="s">
        <v>175</v>
      </c>
      <c r="D5164" t="s">
        <v>998</v>
      </c>
      <c r="E5164" t="s">
        <v>999</v>
      </c>
      <c r="F5164">
        <v>2</v>
      </c>
      <c r="G5164" t="s">
        <v>176</v>
      </c>
      <c r="H5164">
        <v>2</v>
      </c>
      <c r="I5164">
        <v>6</v>
      </c>
      <c r="J5164" s="10">
        <v>8</v>
      </c>
      <c r="K5164" s="10">
        <f>SUMIFS(F:F,D:D,DST_123_ÜRETİM_İHTİYAÇ_RAPORU_BURAK_YENI1309[[#This Row],[ALT_KOD]])-(SUMIFS(H:H,D:D,DST_123_ÜRETİM_İHTİYAÇ_RAPORU_BURAK_YENI1309[[#This Row],[ALT_KOD]])+AVERAGEIFS(I:I,D:D,DST_123_ÜRETİM_İHTİYAÇ_RAPORU_BURAK_YENI1309[[#This Row],[ALT_KOD]])+AVERAGEIFS(L:L,D:D,DST_123_ÜRETİM_İHTİYAÇ_RAPORU_BURAK_YENI1309[[#This Row],[ALT_KOD]]))</f>
        <v>-6</v>
      </c>
      <c r="L5164">
        <v>0</v>
      </c>
      <c r="M5164">
        <f>IF((DST_123_ÜRETİM_İHTİYAÇ_RAPORU_BURAK_YENI1309[[#This Row],[SATINALMA]]*DST_123_ÜRETİM_İHTİYAÇ_RAPORU_BURAK_YENI1309[[#This Row],[BIRIM_FIYATLAR]])&lt;1,VALUE("0"),DST_123_ÜRETİM_İHTİYAÇ_RAPORU_BURAK_YENI1309[[#This Row],[SATINALMA]]*DST_123_ÜRETİM_İHTİYAÇ_RAPORU_BURAK_YENI1309[[#This Row],[BIRIM_FIYATLAR]])</f>
        <v>0</v>
      </c>
      <c r="N5164">
        <v>225</v>
      </c>
      <c r="O5164" t="s">
        <v>226</v>
      </c>
      <c r="P5164">
        <v>450</v>
      </c>
      <c r="Q5164" t="s">
        <v>180</v>
      </c>
    </row>
    <row r="5165" spans="1:17" x14ac:dyDescent="0.25">
      <c r="A5165" t="s">
        <v>1057</v>
      </c>
      <c r="B5165" t="s">
        <v>1058</v>
      </c>
      <c r="C5165" t="s">
        <v>175</v>
      </c>
      <c r="D5165" t="s">
        <v>947</v>
      </c>
      <c r="E5165" t="s">
        <v>948</v>
      </c>
      <c r="F5165">
        <v>1</v>
      </c>
      <c r="G5165" t="s">
        <v>176</v>
      </c>
      <c r="H5165">
        <v>1</v>
      </c>
      <c r="I5165">
        <v>0</v>
      </c>
      <c r="J5165" s="10">
        <v>7</v>
      </c>
      <c r="K5165" s="10">
        <f>SUMIFS(F:F,D:D,DST_123_ÜRETİM_İHTİYAÇ_RAPORU_BURAK_YENI1309[[#This Row],[ALT_KOD]])-(SUMIFS(H:H,D:D,DST_123_ÜRETİM_İHTİYAÇ_RAPORU_BURAK_YENI1309[[#This Row],[ALT_KOD]])+AVERAGEIFS(I:I,D:D,DST_123_ÜRETİM_İHTİYAÇ_RAPORU_BURAK_YENI1309[[#This Row],[ALT_KOD]])+AVERAGEIFS(L:L,D:D,DST_123_ÜRETİM_İHTİYAÇ_RAPORU_BURAK_YENI1309[[#This Row],[ALT_KOD]]))</f>
        <v>2</v>
      </c>
      <c r="L5165">
        <v>0</v>
      </c>
      <c r="M5165">
        <f>IF((DST_123_ÜRETİM_İHTİYAÇ_RAPORU_BURAK_YENI1309[[#This Row],[SATINALMA]]*DST_123_ÜRETİM_İHTİYAÇ_RAPORU_BURAK_YENI1309[[#This Row],[BIRIM_FIYATLAR]])&lt;1,VALUE("0"),DST_123_ÜRETİM_İHTİYAÇ_RAPORU_BURAK_YENI1309[[#This Row],[SATINALMA]]*DST_123_ÜRETİM_İHTİYAÇ_RAPORU_BURAK_YENI1309[[#This Row],[BIRIM_FIYATLAR]])</f>
        <v>8001.48</v>
      </c>
      <c r="N5165">
        <v>4000.74</v>
      </c>
      <c r="O5165" t="s">
        <v>227</v>
      </c>
      <c r="P5165">
        <v>4000.74</v>
      </c>
      <c r="Q5165" t="s">
        <v>221</v>
      </c>
    </row>
    <row r="5166" spans="1:17" x14ac:dyDescent="0.25">
      <c r="A5166" t="s">
        <v>1059</v>
      </c>
      <c r="B5166" t="s">
        <v>1058</v>
      </c>
      <c r="C5166" t="s">
        <v>175</v>
      </c>
      <c r="D5166" t="s">
        <v>947</v>
      </c>
      <c r="E5166" t="s">
        <v>948</v>
      </c>
      <c r="F5166">
        <v>1</v>
      </c>
      <c r="G5166" t="s">
        <v>176</v>
      </c>
      <c r="H5166">
        <v>1</v>
      </c>
      <c r="I5166">
        <v>0</v>
      </c>
      <c r="J5166" s="10">
        <v>7</v>
      </c>
      <c r="K5166" s="10">
        <f>SUMIFS(F:F,D:D,DST_123_ÜRETİM_İHTİYAÇ_RAPORU_BURAK_YENI1309[[#This Row],[ALT_KOD]])-(SUMIFS(H:H,D:D,DST_123_ÜRETİM_İHTİYAÇ_RAPORU_BURAK_YENI1309[[#This Row],[ALT_KOD]])+AVERAGEIFS(I:I,D:D,DST_123_ÜRETİM_İHTİYAÇ_RAPORU_BURAK_YENI1309[[#This Row],[ALT_KOD]])+AVERAGEIFS(L:L,D:D,DST_123_ÜRETİM_İHTİYAÇ_RAPORU_BURAK_YENI1309[[#This Row],[ALT_KOD]]))</f>
        <v>2</v>
      </c>
      <c r="L5166">
        <v>0</v>
      </c>
      <c r="M5166">
        <f>IF((DST_123_ÜRETİM_İHTİYAÇ_RAPORU_BURAK_YENI1309[[#This Row],[SATINALMA]]*DST_123_ÜRETİM_İHTİYAÇ_RAPORU_BURAK_YENI1309[[#This Row],[BIRIM_FIYATLAR]])&lt;1,VALUE("0"),DST_123_ÜRETİM_İHTİYAÇ_RAPORU_BURAK_YENI1309[[#This Row],[SATINALMA]]*DST_123_ÜRETİM_İHTİYAÇ_RAPORU_BURAK_YENI1309[[#This Row],[BIRIM_FIYATLAR]])</f>
        <v>8001.48</v>
      </c>
      <c r="N5166">
        <v>4000.74</v>
      </c>
      <c r="O5166" t="s">
        <v>227</v>
      </c>
      <c r="P5166">
        <v>4000.74</v>
      </c>
      <c r="Q5166" t="s">
        <v>221</v>
      </c>
    </row>
    <row r="5167" spans="1:17" x14ac:dyDescent="0.25">
      <c r="A5167" t="s">
        <v>1060</v>
      </c>
      <c r="B5167" t="s">
        <v>1061</v>
      </c>
      <c r="C5167" t="s">
        <v>175</v>
      </c>
      <c r="D5167" t="s">
        <v>885</v>
      </c>
      <c r="E5167" t="s">
        <v>886</v>
      </c>
      <c r="F5167">
        <v>50</v>
      </c>
      <c r="G5167" t="s">
        <v>179</v>
      </c>
      <c r="H5167">
        <v>50</v>
      </c>
      <c r="I5167">
        <v>0</v>
      </c>
      <c r="J5167" s="10">
        <v>57</v>
      </c>
      <c r="K5167" s="10">
        <f>SUMIFS(F:F,D:D,DST_123_ÜRETİM_İHTİYAÇ_RAPORU_BURAK_YENI1309[[#This Row],[ALT_KOD]])-(SUMIFS(H:H,D:D,DST_123_ÜRETİM_İHTİYAÇ_RAPORU_BURAK_YENI1309[[#This Row],[ALT_KOD]])+AVERAGEIFS(I:I,D:D,DST_123_ÜRETİM_İHTİYAÇ_RAPORU_BURAK_YENI1309[[#This Row],[ALT_KOD]])+AVERAGEIFS(L:L,D:D,DST_123_ÜRETİM_İHTİYAÇ_RAPORU_BURAK_YENI1309[[#This Row],[ALT_KOD]]))</f>
        <v>350</v>
      </c>
      <c r="L5167">
        <v>0</v>
      </c>
      <c r="M5167">
        <f>IF((DST_123_ÜRETİM_İHTİYAÇ_RAPORU_BURAK_YENI1309[[#This Row],[SATINALMA]]*DST_123_ÜRETİM_İHTİYAÇ_RAPORU_BURAK_YENI1309[[#This Row],[BIRIM_FIYATLAR]])&lt;1,VALUE("0"),DST_123_ÜRETİM_İHTİYAÇ_RAPORU_BURAK_YENI1309[[#This Row],[SATINALMA]]*DST_123_ÜRETİM_İHTİYAÇ_RAPORU_BURAK_YENI1309[[#This Row],[BIRIM_FIYATLAR]])</f>
        <v>3132.4999999999995</v>
      </c>
      <c r="N5167">
        <v>8.9499999999999993</v>
      </c>
      <c r="O5167" t="s">
        <v>223</v>
      </c>
      <c r="P5167">
        <v>447.49999999999994</v>
      </c>
      <c r="Q5167" t="s">
        <v>181</v>
      </c>
    </row>
    <row r="5168" spans="1:17" x14ac:dyDescent="0.25">
      <c r="A5168" t="s">
        <v>1099</v>
      </c>
      <c r="B5168" t="s">
        <v>1055</v>
      </c>
      <c r="C5168" t="s">
        <v>175</v>
      </c>
      <c r="D5168" t="s">
        <v>580</v>
      </c>
      <c r="E5168" t="s">
        <v>581</v>
      </c>
      <c r="F5168">
        <v>23.71</v>
      </c>
      <c r="G5168" t="s">
        <v>185</v>
      </c>
      <c r="H5168">
        <v>23.71</v>
      </c>
      <c r="I5168">
        <v>60</v>
      </c>
      <c r="J5168" s="10">
        <v>219.95999999999984</v>
      </c>
      <c r="K5168" s="10">
        <f>SUMIFS(F:F,D:D,DST_123_ÜRETİM_İHTİYAÇ_RAPORU_BURAK_YENI1309[[#This Row],[ALT_KOD]])-(SUMIFS(H:H,D:D,DST_123_ÜRETİM_İHTİYAÇ_RAPORU_BURAK_YENI1309[[#This Row],[ALT_KOD]])+AVERAGEIFS(I:I,D:D,DST_123_ÜRETİM_İHTİYAÇ_RAPORU_BURAK_YENI1309[[#This Row],[ALT_KOD]])+AVERAGEIFS(L:L,D:D,DST_123_ÜRETİM_İHTİYAÇ_RAPORU_BURAK_YENI1309[[#This Row],[ALT_KOD]]))</f>
        <v>143.41000000000003</v>
      </c>
      <c r="L5168">
        <v>0</v>
      </c>
      <c r="M5168">
        <f>IF((DST_123_ÜRETİM_İHTİYAÇ_RAPORU_BURAK_YENI1309[[#This Row],[SATINALMA]]*DST_123_ÜRETİM_İHTİYAÇ_RAPORU_BURAK_YENI1309[[#This Row],[BIRIM_FIYATLAR]])&lt;1,VALUE("0"),DST_123_ÜRETİM_İHTİYAÇ_RAPORU_BURAK_YENI1309[[#This Row],[SATINALMA]]*DST_123_ÜRETİM_İHTİYAÇ_RAPORU_BURAK_YENI1309[[#This Row],[BIRIM_FIYATLAR]])</f>
        <v>23533.581000000002</v>
      </c>
      <c r="N5168">
        <v>164.1</v>
      </c>
      <c r="O5168" t="s">
        <v>490</v>
      </c>
      <c r="P5168">
        <v>3890.8110000000001</v>
      </c>
      <c r="Q5168" t="s">
        <v>183</v>
      </c>
    </row>
    <row r="5169" spans="1:17" x14ac:dyDescent="0.25">
      <c r="A5169" t="s">
        <v>1057</v>
      </c>
      <c r="B5169" t="s">
        <v>1058</v>
      </c>
      <c r="C5169" t="s">
        <v>175</v>
      </c>
      <c r="D5169" t="s">
        <v>929</v>
      </c>
      <c r="E5169" t="s">
        <v>930</v>
      </c>
      <c r="F5169">
        <v>3</v>
      </c>
      <c r="G5169" t="s">
        <v>176</v>
      </c>
      <c r="H5169">
        <v>3</v>
      </c>
      <c r="I5169">
        <v>16</v>
      </c>
      <c r="J5169" s="10">
        <v>9</v>
      </c>
      <c r="K5169" s="10">
        <f>SUMIFS(F:F,D:D,DST_123_ÜRETİM_İHTİYAÇ_RAPORU_BURAK_YENI1309[[#This Row],[ALT_KOD]])-(SUMIFS(H:H,D:D,DST_123_ÜRETİM_İHTİYAÇ_RAPORU_BURAK_YENI1309[[#This Row],[ALT_KOD]])+AVERAGEIFS(I:I,D:D,DST_123_ÜRETİM_İHTİYAÇ_RAPORU_BURAK_YENI1309[[#This Row],[ALT_KOD]])+AVERAGEIFS(L:L,D:D,DST_123_ÜRETİM_İHTİYAÇ_RAPORU_BURAK_YENI1309[[#This Row],[ALT_KOD]]))</f>
        <v>-16</v>
      </c>
      <c r="L5169">
        <v>0</v>
      </c>
      <c r="M5169">
        <f>IF((DST_123_ÜRETİM_İHTİYAÇ_RAPORU_BURAK_YENI1309[[#This Row],[SATINALMA]]*DST_123_ÜRETİM_İHTİYAÇ_RAPORU_BURAK_YENI1309[[#This Row],[BIRIM_FIYATLAR]])&lt;1,VALUE("0"),DST_123_ÜRETİM_İHTİYAÇ_RAPORU_BURAK_YENI1309[[#This Row],[SATINALMA]]*DST_123_ÜRETİM_İHTİYAÇ_RAPORU_BURAK_YENI1309[[#This Row],[BIRIM_FIYATLAR]])</f>
        <v>0</v>
      </c>
      <c r="N5169">
        <v>110</v>
      </c>
      <c r="O5169" t="s">
        <v>931</v>
      </c>
      <c r="P5169">
        <v>330</v>
      </c>
      <c r="Q5169" t="s">
        <v>177</v>
      </c>
    </row>
    <row r="5170" spans="1:17" x14ac:dyDescent="0.25">
      <c r="A5170" t="s">
        <v>1100</v>
      </c>
      <c r="B5170" t="s">
        <v>1058</v>
      </c>
      <c r="C5170" t="s">
        <v>175</v>
      </c>
      <c r="D5170" t="s">
        <v>1037</v>
      </c>
      <c r="E5170" t="s">
        <v>1038</v>
      </c>
      <c r="F5170">
        <v>1</v>
      </c>
      <c r="G5170" t="s">
        <v>176</v>
      </c>
      <c r="H5170">
        <v>1</v>
      </c>
      <c r="I5170">
        <v>2</v>
      </c>
      <c r="J5170" s="10">
        <v>2</v>
      </c>
      <c r="K5170" s="10">
        <f>SUMIFS(F:F,D:D,DST_123_ÜRETİM_İHTİYAÇ_RAPORU_BURAK_YENI1309[[#This Row],[ALT_KOD]])-(SUMIFS(H:H,D:D,DST_123_ÜRETİM_İHTİYAÇ_RAPORU_BURAK_YENI1309[[#This Row],[ALT_KOD]])+AVERAGEIFS(I:I,D:D,DST_123_ÜRETİM_İHTİYAÇ_RAPORU_BURAK_YENI1309[[#This Row],[ALT_KOD]])+AVERAGEIFS(L:L,D:D,DST_123_ÜRETİM_İHTİYAÇ_RAPORU_BURAK_YENI1309[[#This Row],[ALT_KOD]]))</f>
        <v>-2</v>
      </c>
      <c r="L5170">
        <v>0</v>
      </c>
      <c r="M5170">
        <f>IF((DST_123_ÜRETİM_İHTİYAÇ_RAPORU_BURAK_YENI1309[[#This Row],[SATINALMA]]*DST_123_ÜRETİM_İHTİYAÇ_RAPORU_BURAK_YENI1309[[#This Row],[BIRIM_FIYATLAR]])&lt;1,VALUE("0"),DST_123_ÜRETİM_İHTİYAÇ_RAPORU_BURAK_YENI1309[[#This Row],[SATINALMA]]*DST_123_ÜRETİM_İHTİYAÇ_RAPORU_BURAK_YENI1309[[#This Row],[BIRIM_FIYATLAR]])</f>
        <v>0</v>
      </c>
      <c r="N5170">
        <v>400</v>
      </c>
      <c r="O5170" t="s">
        <v>1034</v>
      </c>
      <c r="P5170">
        <v>400</v>
      </c>
      <c r="Q5170" t="s">
        <v>178</v>
      </c>
    </row>
    <row r="5171" spans="1:17" x14ac:dyDescent="0.25">
      <c r="A5171" t="s">
        <v>1100</v>
      </c>
      <c r="B5171" t="s">
        <v>1058</v>
      </c>
      <c r="C5171" t="s">
        <v>175</v>
      </c>
      <c r="D5171" t="s">
        <v>130</v>
      </c>
      <c r="E5171" t="s">
        <v>131</v>
      </c>
      <c r="F5171">
        <v>106</v>
      </c>
      <c r="G5171" t="s">
        <v>176</v>
      </c>
      <c r="H5171">
        <v>0</v>
      </c>
      <c r="I5171">
        <v>2750</v>
      </c>
      <c r="J5171" s="10">
        <v>0</v>
      </c>
      <c r="K5171" s="10">
        <f>SUMIFS(F:F,D:D,DST_123_ÜRETİM_İHTİYAÇ_RAPORU_BURAK_YENI1309[[#This Row],[ALT_KOD]])-(SUMIFS(H:H,D:D,DST_123_ÜRETİM_İHTİYAÇ_RAPORU_BURAK_YENI1309[[#This Row],[ALT_KOD]])+AVERAGEIFS(I:I,D:D,DST_123_ÜRETİM_İHTİYAÇ_RAPORU_BURAK_YENI1309[[#This Row],[ALT_KOD]])+AVERAGEIFS(L:L,D:D,DST_123_ÜRETİM_İHTİYAÇ_RAPORU_BURAK_YENI1309[[#This Row],[ALT_KOD]]))</f>
        <v>-747</v>
      </c>
      <c r="L5171">
        <v>0</v>
      </c>
      <c r="M5171">
        <f>IF((DST_123_ÜRETİM_İHTİYAÇ_RAPORU_BURAK_YENI1309[[#This Row],[SATINALMA]]*DST_123_ÜRETİM_İHTİYAÇ_RAPORU_BURAK_YENI1309[[#This Row],[BIRIM_FIYATLAR]])&lt;1,VALUE("0"),DST_123_ÜRETİM_İHTİYAÇ_RAPORU_BURAK_YENI1309[[#This Row],[SATINALMA]]*DST_123_ÜRETİM_İHTİYAÇ_RAPORU_BURAK_YENI1309[[#This Row],[BIRIM_FIYATLAR]])</f>
        <v>0</v>
      </c>
      <c r="N5171">
        <v>0.7</v>
      </c>
      <c r="O5171" t="s">
        <v>240</v>
      </c>
      <c r="P5171">
        <v>74.199999999999989</v>
      </c>
      <c r="Q5171" t="s">
        <v>180</v>
      </c>
    </row>
    <row r="5172" spans="1:17" x14ac:dyDescent="0.25">
      <c r="A5172" t="s">
        <v>1099</v>
      </c>
      <c r="B5172" t="s">
        <v>1055</v>
      </c>
      <c r="C5172" t="s">
        <v>175</v>
      </c>
      <c r="D5172" t="s">
        <v>689</v>
      </c>
      <c r="E5172" t="s">
        <v>690</v>
      </c>
      <c r="F5172">
        <v>1</v>
      </c>
      <c r="G5172" t="s">
        <v>176</v>
      </c>
      <c r="H5172">
        <v>1</v>
      </c>
      <c r="I5172">
        <v>23</v>
      </c>
      <c r="J5172" s="10">
        <v>5</v>
      </c>
      <c r="K5172" s="10">
        <f>SUMIFS(F:F,D:D,DST_123_ÜRETİM_İHTİYAÇ_RAPORU_BURAK_YENI1309[[#This Row],[ALT_KOD]])-(SUMIFS(H:H,D:D,DST_123_ÜRETİM_İHTİYAÇ_RAPORU_BURAK_YENI1309[[#This Row],[ALT_KOD]])+AVERAGEIFS(I:I,D:D,DST_123_ÜRETİM_İHTİYAÇ_RAPORU_BURAK_YENI1309[[#This Row],[ALT_KOD]])+AVERAGEIFS(L:L,D:D,DST_123_ÜRETİM_İHTİYAÇ_RAPORU_BURAK_YENI1309[[#This Row],[ALT_KOD]]))</f>
        <v>-12</v>
      </c>
      <c r="L5172">
        <v>0</v>
      </c>
      <c r="M5172">
        <f>IF((DST_123_ÜRETİM_İHTİYAÇ_RAPORU_BURAK_YENI1309[[#This Row],[SATINALMA]]*DST_123_ÜRETİM_İHTİYAÇ_RAPORU_BURAK_YENI1309[[#This Row],[BIRIM_FIYATLAR]])&lt;1,VALUE("0"),DST_123_ÜRETİM_İHTİYAÇ_RAPORU_BURAK_YENI1309[[#This Row],[SATINALMA]]*DST_123_ÜRETİM_İHTİYAÇ_RAPORU_BURAK_YENI1309[[#This Row],[BIRIM_FIYATLAR]])</f>
        <v>0</v>
      </c>
      <c r="N5172">
        <v>871.93</v>
      </c>
      <c r="O5172" t="s">
        <v>691</v>
      </c>
      <c r="P5172">
        <v>871.93</v>
      </c>
      <c r="Q5172" t="s">
        <v>177</v>
      </c>
    </row>
    <row r="5173" spans="1:17" x14ac:dyDescent="0.25">
      <c r="A5173" t="s">
        <v>1060</v>
      </c>
      <c r="B5173" t="s">
        <v>1061</v>
      </c>
      <c r="C5173" t="s">
        <v>175</v>
      </c>
      <c r="D5173" t="s">
        <v>276</v>
      </c>
      <c r="E5173" t="s">
        <v>315</v>
      </c>
      <c r="F5173">
        <v>1</v>
      </c>
      <c r="G5173" t="s">
        <v>176</v>
      </c>
      <c r="H5173">
        <v>1</v>
      </c>
      <c r="I5173">
        <v>28</v>
      </c>
      <c r="J5173" s="10">
        <v>4</v>
      </c>
      <c r="K5173" s="10">
        <f>SUMIFS(F:F,D:D,DST_123_ÜRETİM_İHTİYAÇ_RAPORU_BURAK_YENI1309[[#This Row],[ALT_KOD]])-(SUMIFS(H:H,D:D,DST_123_ÜRETİM_İHTİYAÇ_RAPORU_BURAK_YENI1309[[#This Row],[ALT_KOD]])+AVERAGEIFS(I:I,D:D,DST_123_ÜRETİM_İHTİYAÇ_RAPORU_BURAK_YENI1309[[#This Row],[ALT_KOD]])+AVERAGEIFS(L:L,D:D,DST_123_ÜRETİM_İHTİYAÇ_RAPORU_BURAK_YENI1309[[#This Row],[ALT_KOD]]))</f>
        <v>-21</v>
      </c>
      <c r="L5173">
        <v>0</v>
      </c>
      <c r="M5173">
        <f>IF((DST_123_ÜRETİM_İHTİYAÇ_RAPORU_BURAK_YENI1309[[#This Row],[SATINALMA]]*DST_123_ÜRETİM_İHTİYAÇ_RAPORU_BURAK_YENI1309[[#This Row],[BIRIM_FIYATLAR]])&lt;1,VALUE("0"),DST_123_ÜRETİM_İHTİYAÇ_RAPORU_BURAK_YENI1309[[#This Row],[SATINALMA]]*DST_123_ÜRETİM_İHTİYAÇ_RAPORU_BURAK_YENI1309[[#This Row],[BIRIM_FIYATLAR]])</f>
        <v>0</v>
      </c>
      <c r="N5173">
        <v>290.73</v>
      </c>
      <c r="O5173" t="s">
        <v>636</v>
      </c>
      <c r="P5173">
        <v>290.73</v>
      </c>
      <c r="Q5173" t="s">
        <v>178</v>
      </c>
    </row>
    <row r="5174" spans="1:17" x14ac:dyDescent="0.25">
      <c r="A5174" t="s">
        <v>1150</v>
      </c>
      <c r="B5174" t="s">
        <v>1145</v>
      </c>
      <c r="C5174" t="s">
        <v>175</v>
      </c>
      <c r="D5174" t="s">
        <v>276</v>
      </c>
      <c r="E5174" t="s">
        <v>315</v>
      </c>
      <c r="F5174">
        <v>1</v>
      </c>
      <c r="G5174" t="s">
        <v>176</v>
      </c>
      <c r="H5174">
        <v>1</v>
      </c>
      <c r="I5174">
        <v>28</v>
      </c>
      <c r="J5174" s="10">
        <v>4</v>
      </c>
      <c r="K5174" s="10">
        <f>SUMIFS(F:F,D:D,DST_123_ÜRETİM_İHTİYAÇ_RAPORU_BURAK_YENI1309[[#This Row],[ALT_KOD]])-(SUMIFS(H:H,D:D,DST_123_ÜRETİM_İHTİYAÇ_RAPORU_BURAK_YENI1309[[#This Row],[ALT_KOD]])+AVERAGEIFS(I:I,D:D,DST_123_ÜRETİM_İHTİYAÇ_RAPORU_BURAK_YENI1309[[#This Row],[ALT_KOD]])+AVERAGEIFS(L:L,D:D,DST_123_ÜRETİM_İHTİYAÇ_RAPORU_BURAK_YENI1309[[#This Row],[ALT_KOD]]))</f>
        <v>-21</v>
      </c>
      <c r="L5174">
        <v>0</v>
      </c>
      <c r="M5174">
        <f>IF((DST_123_ÜRETİM_İHTİYAÇ_RAPORU_BURAK_YENI1309[[#This Row],[SATINALMA]]*DST_123_ÜRETİM_İHTİYAÇ_RAPORU_BURAK_YENI1309[[#This Row],[BIRIM_FIYATLAR]])&lt;1,VALUE("0"),DST_123_ÜRETİM_İHTİYAÇ_RAPORU_BURAK_YENI1309[[#This Row],[SATINALMA]]*DST_123_ÜRETİM_İHTİYAÇ_RAPORU_BURAK_YENI1309[[#This Row],[BIRIM_FIYATLAR]])</f>
        <v>0</v>
      </c>
      <c r="N5174">
        <v>290.73</v>
      </c>
      <c r="O5174" t="s">
        <v>636</v>
      </c>
      <c r="P5174">
        <v>290.73</v>
      </c>
      <c r="Q5174" t="s">
        <v>178</v>
      </c>
    </row>
    <row r="5175" spans="1:17" x14ac:dyDescent="0.25">
      <c r="A5175" t="s">
        <v>1060</v>
      </c>
      <c r="B5175" t="s">
        <v>1061</v>
      </c>
      <c r="C5175" t="s">
        <v>175</v>
      </c>
      <c r="D5175" t="s">
        <v>1084</v>
      </c>
      <c r="E5175" t="s">
        <v>1085</v>
      </c>
      <c r="F5175">
        <v>2</v>
      </c>
      <c r="G5175" t="s">
        <v>176</v>
      </c>
      <c r="H5175">
        <v>2</v>
      </c>
      <c r="I5175">
        <v>12</v>
      </c>
      <c r="J5175" s="10">
        <v>18</v>
      </c>
      <c r="K5175" s="10">
        <f>SUMIFS(F:F,D:D,DST_123_ÜRETİM_İHTİYAÇ_RAPORU_BURAK_YENI1309[[#This Row],[ALT_KOD]])-(SUMIFS(H:H,D:D,DST_123_ÜRETİM_İHTİYAÇ_RAPORU_BURAK_YENI1309[[#This Row],[ALT_KOD]])+AVERAGEIFS(I:I,D:D,DST_123_ÜRETİM_İHTİYAÇ_RAPORU_BURAK_YENI1309[[#This Row],[ALT_KOD]])+AVERAGEIFS(L:L,D:D,DST_123_ÜRETİM_İHTİYAÇ_RAPORU_BURAK_YENI1309[[#This Row],[ALT_KOD]]))</f>
        <v>-14</v>
      </c>
      <c r="L5175">
        <v>20</v>
      </c>
      <c r="M5175">
        <f>IF((DST_123_ÜRETİM_İHTİYAÇ_RAPORU_BURAK_YENI1309[[#This Row],[SATINALMA]]*DST_123_ÜRETİM_İHTİYAÇ_RAPORU_BURAK_YENI1309[[#This Row],[BIRIM_FIYATLAR]])&lt;1,VALUE("0"),DST_123_ÜRETİM_İHTİYAÇ_RAPORU_BURAK_YENI1309[[#This Row],[SATINALMA]]*DST_123_ÜRETİM_İHTİYAÇ_RAPORU_BURAK_YENI1309[[#This Row],[BIRIM_FIYATLAR]])</f>
        <v>0</v>
      </c>
      <c r="N5175">
        <v>194</v>
      </c>
      <c r="O5175" t="s">
        <v>217</v>
      </c>
      <c r="P5175">
        <v>388</v>
      </c>
      <c r="Q5175" t="s">
        <v>177</v>
      </c>
    </row>
    <row r="5176" spans="1:17" x14ac:dyDescent="0.25">
      <c r="A5176" t="s">
        <v>1099</v>
      </c>
      <c r="B5176" t="s">
        <v>1055</v>
      </c>
      <c r="C5176" t="s">
        <v>175</v>
      </c>
      <c r="D5176" t="s">
        <v>431</v>
      </c>
      <c r="E5176" t="s">
        <v>432</v>
      </c>
      <c r="F5176">
        <v>1</v>
      </c>
      <c r="G5176" t="s">
        <v>176</v>
      </c>
      <c r="H5176">
        <v>1</v>
      </c>
      <c r="I5176">
        <v>8</v>
      </c>
      <c r="J5176" s="10">
        <v>5</v>
      </c>
      <c r="K5176" s="10">
        <f>SUMIFS(F:F,D:D,DST_123_ÜRETİM_İHTİYAÇ_RAPORU_BURAK_YENI1309[[#This Row],[ALT_KOD]])-(SUMIFS(H:H,D:D,DST_123_ÜRETİM_İHTİYAÇ_RAPORU_BURAK_YENI1309[[#This Row],[ALT_KOD]])+AVERAGEIFS(I:I,D:D,DST_123_ÜRETİM_İHTİYAÇ_RAPORU_BURAK_YENI1309[[#This Row],[ALT_KOD]])+AVERAGEIFS(L:L,D:D,DST_123_ÜRETİM_İHTİYAÇ_RAPORU_BURAK_YENI1309[[#This Row],[ALT_KOD]]))</f>
        <v>-4</v>
      </c>
      <c r="L5176">
        <v>0</v>
      </c>
      <c r="M5176">
        <f>IF((DST_123_ÜRETİM_İHTİYAÇ_RAPORU_BURAK_YENI1309[[#This Row],[SATINALMA]]*DST_123_ÜRETİM_İHTİYAÇ_RAPORU_BURAK_YENI1309[[#This Row],[BIRIM_FIYATLAR]])&lt;1,VALUE("0"),DST_123_ÜRETİM_İHTİYAÇ_RAPORU_BURAK_YENI1309[[#This Row],[SATINALMA]]*DST_123_ÜRETİM_İHTİYAÇ_RAPORU_BURAK_YENI1309[[#This Row],[BIRIM_FIYATLAR]])</f>
        <v>0</v>
      </c>
      <c r="N5176">
        <v>1723.79</v>
      </c>
      <c r="O5176" t="s">
        <v>636</v>
      </c>
      <c r="P5176">
        <v>1723.79</v>
      </c>
      <c r="Q5176" t="s">
        <v>178</v>
      </c>
    </row>
    <row r="5177" spans="1:17" x14ac:dyDescent="0.25">
      <c r="A5177" t="s">
        <v>1060</v>
      </c>
      <c r="B5177" t="s">
        <v>1061</v>
      </c>
      <c r="C5177" t="s">
        <v>175</v>
      </c>
      <c r="D5177" t="s">
        <v>1078</v>
      </c>
      <c r="E5177" t="s">
        <v>1079</v>
      </c>
      <c r="F5177">
        <v>1</v>
      </c>
      <c r="G5177" t="s">
        <v>176</v>
      </c>
      <c r="H5177">
        <v>1</v>
      </c>
      <c r="I5177">
        <v>3</v>
      </c>
      <c r="J5177" s="10">
        <v>8</v>
      </c>
      <c r="K5177" s="10">
        <f>SUMIFS(F:F,D:D,DST_123_ÜRETİM_İHTİYAÇ_RAPORU_BURAK_YENI1309[[#This Row],[ALT_KOD]])-(SUMIFS(H:H,D:D,DST_123_ÜRETİM_İHTİYAÇ_RAPORU_BURAK_YENI1309[[#This Row],[ALT_KOD]])+AVERAGEIFS(I:I,D:D,DST_123_ÜRETİM_İHTİYAÇ_RAPORU_BURAK_YENI1309[[#This Row],[ALT_KOD]])+AVERAGEIFS(L:L,D:D,DST_123_ÜRETİM_İHTİYAÇ_RAPORU_BURAK_YENI1309[[#This Row],[ALT_KOD]]))</f>
        <v>-2</v>
      </c>
      <c r="L5177">
        <v>10</v>
      </c>
      <c r="M5177">
        <f>IF((DST_123_ÜRETİM_İHTİYAÇ_RAPORU_BURAK_YENI1309[[#This Row],[SATINALMA]]*DST_123_ÜRETİM_İHTİYAÇ_RAPORU_BURAK_YENI1309[[#This Row],[BIRIM_FIYATLAR]])&lt;1,VALUE("0"),DST_123_ÜRETİM_İHTİYAÇ_RAPORU_BURAK_YENI1309[[#This Row],[SATINALMA]]*DST_123_ÜRETİM_İHTİYAÇ_RAPORU_BURAK_YENI1309[[#This Row],[BIRIM_FIYATLAR]])</f>
        <v>0</v>
      </c>
      <c r="N5177">
        <v>3097.63</v>
      </c>
      <c r="O5177" t="s">
        <v>592</v>
      </c>
      <c r="P5177">
        <v>3097.63</v>
      </c>
      <c r="Q5177" t="s">
        <v>178</v>
      </c>
    </row>
    <row r="5178" spans="1:17" x14ac:dyDescent="0.25">
      <c r="A5178" t="s">
        <v>1060</v>
      </c>
      <c r="B5178" t="s">
        <v>1061</v>
      </c>
      <c r="C5178" t="s">
        <v>175</v>
      </c>
      <c r="D5178" t="s">
        <v>580</v>
      </c>
      <c r="E5178" t="s">
        <v>581</v>
      </c>
      <c r="F5178">
        <v>18.8</v>
      </c>
      <c r="G5178" t="s">
        <v>185</v>
      </c>
      <c r="H5178">
        <v>18.8</v>
      </c>
      <c r="I5178">
        <v>60</v>
      </c>
      <c r="J5178" s="10">
        <v>219.95999999999984</v>
      </c>
      <c r="K5178" s="10">
        <f>SUMIFS(F:F,D:D,DST_123_ÜRETİM_İHTİYAÇ_RAPORU_BURAK_YENI1309[[#This Row],[ALT_KOD]])-(SUMIFS(H:H,D:D,DST_123_ÜRETİM_İHTİYAÇ_RAPORU_BURAK_YENI1309[[#This Row],[ALT_KOD]])+AVERAGEIFS(I:I,D:D,DST_123_ÜRETİM_İHTİYAÇ_RAPORU_BURAK_YENI1309[[#This Row],[ALT_KOD]])+AVERAGEIFS(L:L,D:D,DST_123_ÜRETİM_İHTİYAÇ_RAPORU_BURAK_YENI1309[[#This Row],[ALT_KOD]]))</f>
        <v>143.41000000000003</v>
      </c>
      <c r="L5178">
        <v>0</v>
      </c>
      <c r="M5178">
        <f>IF((DST_123_ÜRETİM_İHTİYAÇ_RAPORU_BURAK_YENI1309[[#This Row],[SATINALMA]]*DST_123_ÜRETİM_İHTİYAÇ_RAPORU_BURAK_YENI1309[[#This Row],[BIRIM_FIYATLAR]])&lt;1,VALUE("0"),DST_123_ÜRETİM_İHTİYAÇ_RAPORU_BURAK_YENI1309[[#This Row],[SATINALMA]]*DST_123_ÜRETİM_İHTİYAÇ_RAPORU_BURAK_YENI1309[[#This Row],[BIRIM_FIYATLAR]])</f>
        <v>23533.581000000002</v>
      </c>
      <c r="N5178">
        <v>164.1</v>
      </c>
      <c r="O5178" t="s">
        <v>490</v>
      </c>
      <c r="P5178">
        <v>3085.08</v>
      </c>
      <c r="Q5178" t="s">
        <v>183</v>
      </c>
    </row>
    <row r="5179" spans="1:17" x14ac:dyDescent="0.25">
      <c r="A5179" t="s">
        <v>1060</v>
      </c>
      <c r="B5179" t="s">
        <v>1061</v>
      </c>
      <c r="C5179" t="s">
        <v>175</v>
      </c>
      <c r="D5179" t="s">
        <v>50</v>
      </c>
      <c r="E5179" t="s">
        <v>51</v>
      </c>
      <c r="F5179">
        <v>1</v>
      </c>
      <c r="G5179" t="s">
        <v>176</v>
      </c>
      <c r="H5179">
        <v>1</v>
      </c>
      <c r="I5179">
        <v>4</v>
      </c>
      <c r="J5179" s="10">
        <v>10</v>
      </c>
      <c r="K5179" s="10">
        <f>SUMIFS(F:F,D:D,DST_123_ÜRETİM_İHTİYAÇ_RAPORU_BURAK_YENI1309[[#This Row],[ALT_KOD]])-(SUMIFS(H:H,D:D,DST_123_ÜRETİM_İHTİYAÇ_RAPORU_BURAK_YENI1309[[#This Row],[ALT_KOD]])+AVERAGEIFS(I:I,D:D,DST_123_ÜRETİM_İHTİYAÇ_RAPORU_BURAK_YENI1309[[#This Row],[ALT_KOD]])+AVERAGEIFS(L:L,D:D,DST_123_ÜRETİM_İHTİYAÇ_RAPORU_BURAK_YENI1309[[#This Row],[ALT_KOD]]))</f>
        <v>8</v>
      </c>
      <c r="L5179">
        <v>0</v>
      </c>
      <c r="M5179">
        <f>IF((DST_123_ÜRETİM_İHTİYAÇ_RAPORU_BURAK_YENI1309[[#This Row],[SATINALMA]]*DST_123_ÜRETİM_İHTİYAÇ_RAPORU_BURAK_YENI1309[[#This Row],[BIRIM_FIYATLAR]])&lt;1,VALUE("0"),DST_123_ÜRETİM_İHTİYAÇ_RAPORU_BURAK_YENI1309[[#This Row],[SATINALMA]]*DST_123_ÜRETİM_İHTİYAÇ_RAPORU_BURAK_YENI1309[[#This Row],[BIRIM_FIYATLAR]])</f>
        <v>41649.120000000003</v>
      </c>
      <c r="N5179">
        <v>5206.1400000000003</v>
      </c>
      <c r="O5179" t="s">
        <v>215</v>
      </c>
      <c r="P5179">
        <v>5206.1400000000003</v>
      </c>
      <c r="Q5179" t="s">
        <v>221</v>
      </c>
    </row>
    <row r="5180" spans="1:17" x14ac:dyDescent="0.25">
      <c r="A5180" t="s">
        <v>1142</v>
      </c>
      <c r="B5180" t="s">
        <v>1056</v>
      </c>
      <c r="C5180" t="s">
        <v>175</v>
      </c>
      <c r="D5180" t="s">
        <v>528</v>
      </c>
      <c r="E5180" t="s">
        <v>529</v>
      </c>
      <c r="F5180">
        <v>10</v>
      </c>
      <c r="G5180" t="s">
        <v>176</v>
      </c>
      <c r="H5180">
        <v>0</v>
      </c>
      <c r="I5180">
        <v>1800</v>
      </c>
      <c r="J5180" s="10">
        <v>773</v>
      </c>
      <c r="K5180" s="10">
        <f>SUMIFS(F:F,D:D,DST_123_ÜRETİM_İHTİYAÇ_RAPORU_BURAK_YENI1309[[#This Row],[ALT_KOD]])-(SUMIFS(H:H,D:D,DST_123_ÜRETİM_İHTİYAÇ_RAPORU_BURAK_YENI1309[[#This Row],[ALT_KOD]])+AVERAGEIFS(I:I,D:D,DST_123_ÜRETİM_İHTİYAÇ_RAPORU_BURAK_YENI1309[[#This Row],[ALT_KOD]])+AVERAGEIFS(L:L,D:D,DST_123_ÜRETİM_İHTİYAÇ_RAPORU_BURAK_YENI1309[[#This Row],[ALT_KOD]]))</f>
        <v>-1570</v>
      </c>
      <c r="L5180">
        <v>0</v>
      </c>
      <c r="M5180">
        <f>IF((DST_123_ÜRETİM_İHTİYAÇ_RAPORU_BURAK_YENI1309[[#This Row],[SATINALMA]]*DST_123_ÜRETİM_İHTİYAÇ_RAPORU_BURAK_YENI1309[[#This Row],[BIRIM_FIYATLAR]])&lt;1,VALUE("0"),DST_123_ÜRETİM_İHTİYAÇ_RAPORU_BURAK_YENI1309[[#This Row],[SATINALMA]]*DST_123_ÜRETİM_İHTİYAÇ_RAPORU_BURAK_YENI1309[[#This Row],[BIRIM_FIYATLAR]])</f>
        <v>0</v>
      </c>
      <c r="N5180">
        <v>0.8</v>
      </c>
      <c r="O5180" t="s">
        <v>240</v>
      </c>
      <c r="P5180">
        <v>8</v>
      </c>
      <c r="Q5180" t="s">
        <v>180</v>
      </c>
    </row>
    <row r="5181" spans="1:17" x14ac:dyDescent="0.25">
      <c r="A5181" t="s">
        <v>1101</v>
      </c>
      <c r="B5181" t="s">
        <v>1102</v>
      </c>
      <c r="C5181" t="s">
        <v>175</v>
      </c>
      <c r="D5181" t="s">
        <v>580</v>
      </c>
      <c r="E5181" t="s">
        <v>581</v>
      </c>
      <c r="F5181">
        <v>23.71</v>
      </c>
      <c r="G5181" t="s">
        <v>185</v>
      </c>
      <c r="H5181">
        <v>23.71</v>
      </c>
      <c r="I5181">
        <v>60</v>
      </c>
      <c r="J5181" s="10">
        <v>219.95999999999984</v>
      </c>
      <c r="K5181" s="10">
        <f>SUMIFS(F:F,D:D,DST_123_ÜRETİM_İHTİYAÇ_RAPORU_BURAK_YENI1309[[#This Row],[ALT_KOD]])-(SUMIFS(H:H,D:D,DST_123_ÜRETİM_İHTİYAÇ_RAPORU_BURAK_YENI1309[[#This Row],[ALT_KOD]])+AVERAGEIFS(I:I,D:D,DST_123_ÜRETİM_İHTİYAÇ_RAPORU_BURAK_YENI1309[[#This Row],[ALT_KOD]])+AVERAGEIFS(L:L,D:D,DST_123_ÜRETİM_İHTİYAÇ_RAPORU_BURAK_YENI1309[[#This Row],[ALT_KOD]]))</f>
        <v>143.41000000000003</v>
      </c>
      <c r="L5181">
        <v>0</v>
      </c>
      <c r="M5181">
        <f>IF((DST_123_ÜRETİM_İHTİYAÇ_RAPORU_BURAK_YENI1309[[#This Row],[SATINALMA]]*DST_123_ÜRETİM_İHTİYAÇ_RAPORU_BURAK_YENI1309[[#This Row],[BIRIM_FIYATLAR]])&lt;1,VALUE("0"),DST_123_ÜRETİM_İHTİYAÇ_RAPORU_BURAK_YENI1309[[#This Row],[SATINALMA]]*DST_123_ÜRETİM_İHTİYAÇ_RAPORU_BURAK_YENI1309[[#This Row],[BIRIM_FIYATLAR]])</f>
        <v>23533.581000000002</v>
      </c>
      <c r="N5181">
        <v>164.1</v>
      </c>
      <c r="O5181" t="s">
        <v>490</v>
      </c>
      <c r="P5181">
        <v>3890.8110000000001</v>
      </c>
      <c r="Q5181" t="s">
        <v>183</v>
      </c>
    </row>
    <row r="5182" spans="1:17" x14ac:dyDescent="0.25">
      <c r="A5182" t="s">
        <v>1059</v>
      </c>
      <c r="B5182" t="s">
        <v>1058</v>
      </c>
      <c r="C5182" t="s">
        <v>175</v>
      </c>
      <c r="D5182" t="s">
        <v>708</v>
      </c>
      <c r="E5182" t="s">
        <v>709</v>
      </c>
      <c r="F5182">
        <v>3</v>
      </c>
      <c r="G5182" t="s">
        <v>179</v>
      </c>
      <c r="H5182">
        <v>3</v>
      </c>
      <c r="I5182">
        <v>400</v>
      </c>
      <c r="J5182" s="10">
        <v>32</v>
      </c>
      <c r="K5182" s="10">
        <f>SUMIFS(F:F,D:D,DST_123_ÜRETİM_İHTİYAÇ_RAPORU_BURAK_YENI1309[[#This Row],[ALT_KOD]])-(SUMIFS(H:H,D:D,DST_123_ÜRETİM_İHTİYAÇ_RAPORU_BURAK_YENI1309[[#This Row],[ALT_KOD]])+AVERAGEIFS(I:I,D:D,DST_123_ÜRETİM_İHTİYAÇ_RAPORU_BURAK_YENI1309[[#This Row],[ALT_KOD]])+AVERAGEIFS(L:L,D:D,DST_123_ÜRETİM_İHTİYAÇ_RAPORU_BURAK_YENI1309[[#This Row],[ALT_KOD]]))</f>
        <v>-397</v>
      </c>
      <c r="L5182">
        <v>0</v>
      </c>
      <c r="M5182">
        <f>IF((DST_123_ÜRETİM_İHTİYAÇ_RAPORU_BURAK_YENI1309[[#This Row],[SATINALMA]]*DST_123_ÜRETİM_İHTİYAÇ_RAPORU_BURAK_YENI1309[[#This Row],[BIRIM_FIYATLAR]])&lt;1,VALUE("0"),DST_123_ÜRETİM_İHTİYAÇ_RAPORU_BURAK_YENI1309[[#This Row],[SATINALMA]]*DST_123_ÜRETİM_İHTİYAÇ_RAPORU_BURAK_YENI1309[[#This Row],[BIRIM_FIYATLAR]])</f>
        <v>0</v>
      </c>
      <c r="N5182">
        <v>11.5</v>
      </c>
      <c r="O5182" t="s">
        <v>635</v>
      </c>
      <c r="P5182">
        <v>34.5</v>
      </c>
      <c r="Q5182" t="s">
        <v>221</v>
      </c>
    </row>
    <row r="5183" spans="1:17" x14ac:dyDescent="0.25">
      <c r="A5183" t="s">
        <v>1097</v>
      </c>
      <c r="B5183" t="s">
        <v>1055</v>
      </c>
      <c r="C5183" t="s">
        <v>175</v>
      </c>
      <c r="D5183" t="s">
        <v>264</v>
      </c>
      <c r="E5183" t="s">
        <v>265</v>
      </c>
      <c r="F5183">
        <v>1</v>
      </c>
      <c r="G5183" t="s">
        <v>176</v>
      </c>
      <c r="H5183">
        <v>1</v>
      </c>
      <c r="I5183">
        <v>0</v>
      </c>
      <c r="J5183" s="10">
        <v>8</v>
      </c>
      <c r="K5183" s="10">
        <f>SUMIFS(F:F,D:D,DST_123_ÜRETİM_İHTİYAÇ_RAPORU_BURAK_YENI1309[[#This Row],[ALT_KOD]])-(SUMIFS(H:H,D:D,DST_123_ÜRETİM_İHTİYAÇ_RAPORU_BURAK_YENI1309[[#This Row],[ALT_KOD]])+AVERAGEIFS(I:I,D:D,DST_123_ÜRETİM_İHTİYAÇ_RAPORU_BURAK_YENI1309[[#This Row],[ALT_KOD]])+AVERAGEIFS(L:L,D:D,DST_123_ÜRETİM_İHTİYAÇ_RAPORU_BURAK_YENI1309[[#This Row],[ALT_KOD]]))</f>
        <v>12</v>
      </c>
      <c r="L5183">
        <v>0</v>
      </c>
      <c r="M5183">
        <f>IF((DST_123_ÜRETİM_İHTİYAÇ_RAPORU_BURAK_YENI1309[[#This Row],[SATINALMA]]*DST_123_ÜRETİM_İHTİYAÇ_RAPORU_BURAK_YENI1309[[#This Row],[BIRIM_FIYATLAR]])&lt;1,VALUE("0"),DST_123_ÜRETİM_İHTİYAÇ_RAPORU_BURAK_YENI1309[[#This Row],[SATINALMA]]*DST_123_ÜRETİM_İHTİYAÇ_RAPORU_BURAK_YENI1309[[#This Row],[BIRIM_FIYATLAR]])</f>
        <v>55600.08</v>
      </c>
      <c r="N5183">
        <v>4633.34</v>
      </c>
      <c r="O5183" t="s">
        <v>214</v>
      </c>
      <c r="P5183">
        <v>4633.34</v>
      </c>
      <c r="Q5183" t="s">
        <v>177</v>
      </c>
    </row>
    <row r="5184" spans="1:17" x14ac:dyDescent="0.25">
      <c r="A5184" t="s">
        <v>1101</v>
      </c>
      <c r="B5184" t="s">
        <v>1102</v>
      </c>
      <c r="C5184" t="s">
        <v>175</v>
      </c>
      <c r="D5184" t="s">
        <v>689</v>
      </c>
      <c r="E5184" t="s">
        <v>690</v>
      </c>
      <c r="F5184">
        <v>1</v>
      </c>
      <c r="G5184" t="s">
        <v>176</v>
      </c>
      <c r="H5184">
        <v>1</v>
      </c>
      <c r="I5184">
        <v>23</v>
      </c>
      <c r="J5184" s="10">
        <v>5</v>
      </c>
      <c r="K5184" s="10">
        <f>SUMIFS(F:F,D:D,DST_123_ÜRETİM_İHTİYAÇ_RAPORU_BURAK_YENI1309[[#This Row],[ALT_KOD]])-(SUMIFS(H:H,D:D,DST_123_ÜRETİM_İHTİYAÇ_RAPORU_BURAK_YENI1309[[#This Row],[ALT_KOD]])+AVERAGEIFS(I:I,D:D,DST_123_ÜRETİM_İHTİYAÇ_RAPORU_BURAK_YENI1309[[#This Row],[ALT_KOD]])+AVERAGEIFS(L:L,D:D,DST_123_ÜRETİM_İHTİYAÇ_RAPORU_BURAK_YENI1309[[#This Row],[ALT_KOD]]))</f>
        <v>-12</v>
      </c>
      <c r="L5184">
        <v>0</v>
      </c>
      <c r="M5184">
        <f>IF((DST_123_ÜRETİM_İHTİYAÇ_RAPORU_BURAK_YENI1309[[#This Row],[SATINALMA]]*DST_123_ÜRETİM_İHTİYAÇ_RAPORU_BURAK_YENI1309[[#This Row],[BIRIM_FIYATLAR]])&lt;1,VALUE("0"),DST_123_ÜRETİM_İHTİYAÇ_RAPORU_BURAK_YENI1309[[#This Row],[SATINALMA]]*DST_123_ÜRETİM_İHTİYAÇ_RAPORU_BURAK_YENI1309[[#This Row],[BIRIM_FIYATLAR]])</f>
        <v>0</v>
      </c>
      <c r="N5184">
        <v>871.93</v>
      </c>
      <c r="O5184" t="s">
        <v>691</v>
      </c>
      <c r="P5184">
        <v>871.93</v>
      </c>
      <c r="Q5184" t="s">
        <v>177</v>
      </c>
    </row>
    <row r="5185" spans="1:17" x14ac:dyDescent="0.25">
      <c r="A5185" t="s">
        <v>1100</v>
      </c>
      <c r="B5185" t="s">
        <v>1058</v>
      </c>
      <c r="C5185" t="s">
        <v>175</v>
      </c>
      <c r="D5185" t="s">
        <v>1084</v>
      </c>
      <c r="E5185" t="s">
        <v>1085</v>
      </c>
      <c r="F5185">
        <v>2</v>
      </c>
      <c r="G5185" t="s">
        <v>176</v>
      </c>
      <c r="H5185">
        <v>2</v>
      </c>
      <c r="I5185">
        <v>12</v>
      </c>
      <c r="J5185" s="10">
        <v>18</v>
      </c>
      <c r="K5185" s="10">
        <f>SUMIFS(F:F,D:D,DST_123_ÜRETİM_İHTİYAÇ_RAPORU_BURAK_YENI1309[[#This Row],[ALT_KOD]])-(SUMIFS(H:H,D:D,DST_123_ÜRETİM_İHTİYAÇ_RAPORU_BURAK_YENI1309[[#This Row],[ALT_KOD]])+AVERAGEIFS(I:I,D:D,DST_123_ÜRETİM_İHTİYAÇ_RAPORU_BURAK_YENI1309[[#This Row],[ALT_KOD]])+AVERAGEIFS(L:L,D:D,DST_123_ÜRETİM_İHTİYAÇ_RAPORU_BURAK_YENI1309[[#This Row],[ALT_KOD]]))</f>
        <v>-14</v>
      </c>
      <c r="L5185">
        <v>20</v>
      </c>
      <c r="M5185">
        <f>IF((DST_123_ÜRETİM_İHTİYAÇ_RAPORU_BURAK_YENI1309[[#This Row],[SATINALMA]]*DST_123_ÜRETİM_İHTİYAÇ_RAPORU_BURAK_YENI1309[[#This Row],[BIRIM_FIYATLAR]])&lt;1,VALUE("0"),DST_123_ÜRETİM_İHTİYAÇ_RAPORU_BURAK_YENI1309[[#This Row],[SATINALMA]]*DST_123_ÜRETİM_İHTİYAÇ_RAPORU_BURAK_YENI1309[[#This Row],[BIRIM_FIYATLAR]])</f>
        <v>0</v>
      </c>
      <c r="N5185">
        <v>194</v>
      </c>
      <c r="O5185" t="s">
        <v>217</v>
      </c>
      <c r="P5185">
        <v>388</v>
      </c>
      <c r="Q5185" t="s">
        <v>177</v>
      </c>
    </row>
    <row r="5186" spans="1:17" x14ac:dyDescent="0.25">
      <c r="A5186" t="s">
        <v>1059</v>
      </c>
      <c r="B5186" t="s">
        <v>1058</v>
      </c>
      <c r="C5186" t="s">
        <v>175</v>
      </c>
      <c r="D5186" t="s">
        <v>1037</v>
      </c>
      <c r="E5186" t="s">
        <v>1038</v>
      </c>
      <c r="F5186">
        <v>1</v>
      </c>
      <c r="G5186" t="s">
        <v>176</v>
      </c>
      <c r="H5186">
        <v>1</v>
      </c>
      <c r="I5186">
        <v>2</v>
      </c>
      <c r="J5186" s="10">
        <v>2</v>
      </c>
      <c r="K5186" s="10">
        <f>SUMIFS(F:F,D:D,DST_123_ÜRETİM_İHTİYAÇ_RAPORU_BURAK_YENI1309[[#This Row],[ALT_KOD]])-(SUMIFS(H:H,D:D,DST_123_ÜRETİM_İHTİYAÇ_RAPORU_BURAK_YENI1309[[#This Row],[ALT_KOD]])+AVERAGEIFS(I:I,D:D,DST_123_ÜRETİM_İHTİYAÇ_RAPORU_BURAK_YENI1309[[#This Row],[ALT_KOD]])+AVERAGEIFS(L:L,D:D,DST_123_ÜRETİM_İHTİYAÇ_RAPORU_BURAK_YENI1309[[#This Row],[ALT_KOD]]))</f>
        <v>-2</v>
      </c>
      <c r="L5186">
        <v>0</v>
      </c>
      <c r="M5186">
        <f>IF((DST_123_ÜRETİM_İHTİYAÇ_RAPORU_BURAK_YENI1309[[#This Row],[SATINALMA]]*DST_123_ÜRETİM_İHTİYAÇ_RAPORU_BURAK_YENI1309[[#This Row],[BIRIM_FIYATLAR]])&lt;1,VALUE("0"),DST_123_ÜRETİM_İHTİYAÇ_RAPORU_BURAK_YENI1309[[#This Row],[SATINALMA]]*DST_123_ÜRETİM_İHTİYAÇ_RAPORU_BURAK_YENI1309[[#This Row],[BIRIM_FIYATLAR]])</f>
        <v>0</v>
      </c>
      <c r="N5186">
        <v>400</v>
      </c>
      <c r="O5186" t="s">
        <v>1034</v>
      </c>
      <c r="P5186">
        <v>400</v>
      </c>
      <c r="Q5186" t="s">
        <v>178</v>
      </c>
    </row>
    <row r="5187" spans="1:17" x14ac:dyDescent="0.25">
      <c r="A5187" t="s">
        <v>1057</v>
      </c>
      <c r="B5187" t="s">
        <v>1058</v>
      </c>
      <c r="C5187" t="s">
        <v>175</v>
      </c>
      <c r="D5187" t="s">
        <v>1078</v>
      </c>
      <c r="E5187" t="s">
        <v>1079</v>
      </c>
      <c r="F5187">
        <v>1</v>
      </c>
      <c r="G5187" t="s">
        <v>176</v>
      </c>
      <c r="H5187">
        <v>1</v>
      </c>
      <c r="I5187">
        <v>3</v>
      </c>
      <c r="J5187" s="10">
        <v>8</v>
      </c>
      <c r="K5187" s="10">
        <f>SUMIFS(F:F,D:D,DST_123_ÜRETİM_İHTİYAÇ_RAPORU_BURAK_YENI1309[[#This Row],[ALT_KOD]])-(SUMIFS(H:H,D:D,DST_123_ÜRETİM_İHTİYAÇ_RAPORU_BURAK_YENI1309[[#This Row],[ALT_KOD]])+AVERAGEIFS(I:I,D:D,DST_123_ÜRETİM_İHTİYAÇ_RAPORU_BURAK_YENI1309[[#This Row],[ALT_KOD]])+AVERAGEIFS(L:L,D:D,DST_123_ÜRETİM_İHTİYAÇ_RAPORU_BURAK_YENI1309[[#This Row],[ALT_KOD]]))</f>
        <v>-2</v>
      </c>
      <c r="L5187">
        <v>10</v>
      </c>
      <c r="M5187">
        <f>IF((DST_123_ÜRETİM_İHTİYAÇ_RAPORU_BURAK_YENI1309[[#This Row],[SATINALMA]]*DST_123_ÜRETİM_İHTİYAÇ_RAPORU_BURAK_YENI1309[[#This Row],[BIRIM_FIYATLAR]])&lt;1,VALUE("0"),DST_123_ÜRETİM_İHTİYAÇ_RAPORU_BURAK_YENI1309[[#This Row],[SATINALMA]]*DST_123_ÜRETİM_İHTİYAÇ_RAPORU_BURAK_YENI1309[[#This Row],[BIRIM_FIYATLAR]])</f>
        <v>0</v>
      </c>
      <c r="N5187">
        <v>3097.63</v>
      </c>
      <c r="O5187" t="s">
        <v>592</v>
      </c>
      <c r="P5187">
        <v>3097.63</v>
      </c>
      <c r="Q5187" t="s">
        <v>178</v>
      </c>
    </row>
    <row r="5188" spans="1:17" x14ac:dyDescent="0.25">
      <c r="A5188" t="s">
        <v>1100</v>
      </c>
      <c r="B5188" t="s">
        <v>1058</v>
      </c>
      <c r="C5188" t="s">
        <v>175</v>
      </c>
      <c r="D5188" t="s">
        <v>400</v>
      </c>
      <c r="E5188" t="s">
        <v>401</v>
      </c>
      <c r="F5188">
        <v>2</v>
      </c>
      <c r="G5188" t="s">
        <v>176</v>
      </c>
      <c r="H5188">
        <v>2</v>
      </c>
      <c r="I5188">
        <v>27</v>
      </c>
      <c r="J5188" s="10">
        <v>14</v>
      </c>
      <c r="K5188" s="10">
        <f>SUMIFS(F:F,D:D,DST_123_ÜRETİM_İHTİYAÇ_RAPORU_BURAK_YENI1309[[#This Row],[ALT_KOD]])-(SUMIFS(H:H,D:D,DST_123_ÜRETİM_İHTİYAÇ_RAPORU_BURAK_YENI1309[[#This Row],[ALT_KOD]])+AVERAGEIFS(I:I,D:D,DST_123_ÜRETİM_İHTİYAÇ_RAPORU_BURAK_YENI1309[[#This Row],[ALT_KOD]])+AVERAGEIFS(L:L,D:D,DST_123_ÜRETİM_İHTİYAÇ_RAPORU_BURAK_YENI1309[[#This Row],[ALT_KOD]]))</f>
        <v>-18</v>
      </c>
      <c r="L5188">
        <v>0</v>
      </c>
      <c r="M5188">
        <f>IF((DST_123_ÜRETİM_İHTİYAÇ_RAPORU_BURAK_YENI1309[[#This Row],[SATINALMA]]*DST_123_ÜRETİM_İHTİYAÇ_RAPORU_BURAK_YENI1309[[#This Row],[BIRIM_FIYATLAR]])&lt;1,VALUE("0"),DST_123_ÜRETİM_İHTİYAÇ_RAPORU_BURAK_YENI1309[[#This Row],[SATINALMA]]*DST_123_ÜRETİM_İHTİYAÇ_RAPORU_BURAK_YENI1309[[#This Row],[BIRIM_FIYATLAR]])</f>
        <v>0</v>
      </c>
      <c r="N5188">
        <v>15</v>
      </c>
      <c r="O5188" t="s">
        <v>220</v>
      </c>
      <c r="P5188">
        <v>30</v>
      </c>
      <c r="Q5188" t="s">
        <v>221</v>
      </c>
    </row>
    <row r="5189" spans="1:17" x14ac:dyDescent="0.25">
      <c r="A5189" t="s">
        <v>1057</v>
      </c>
      <c r="B5189" t="s">
        <v>1058</v>
      </c>
      <c r="C5189" t="s">
        <v>175</v>
      </c>
      <c r="D5189" t="s">
        <v>50</v>
      </c>
      <c r="E5189" t="s">
        <v>51</v>
      </c>
      <c r="F5189">
        <v>1</v>
      </c>
      <c r="G5189" t="s">
        <v>176</v>
      </c>
      <c r="H5189">
        <v>1</v>
      </c>
      <c r="I5189">
        <v>4</v>
      </c>
      <c r="J5189" s="10">
        <v>10</v>
      </c>
      <c r="K5189" s="10">
        <f>SUMIFS(F:F,D:D,DST_123_ÜRETİM_İHTİYAÇ_RAPORU_BURAK_YENI1309[[#This Row],[ALT_KOD]])-(SUMIFS(H:H,D:D,DST_123_ÜRETİM_İHTİYAÇ_RAPORU_BURAK_YENI1309[[#This Row],[ALT_KOD]])+AVERAGEIFS(I:I,D:D,DST_123_ÜRETİM_İHTİYAÇ_RAPORU_BURAK_YENI1309[[#This Row],[ALT_KOD]])+AVERAGEIFS(L:L,D:D,DST_123_ÜRETİM_İHTİYAÇ_RAPORU_BURAK_YENI1309[[#This Row],[ALT_KOD]]))</f>
        <v>8</v>
      </c>
      <c r="L5189">
        <v>0</v>
      </c>
      <c r="M5189">
        <f>IF((DST_123_ÜRETİM_İHTİYAÇ_RAPORU_BURAK_YENI1309[[#This Row],[SATINALMA]]*DST_123_ÜRETİM_İHTİYAÇ_RAPORU_BURAK_YENI1309[[#This Row],[BIRIM_FIYATLAR]])&lt;1,VALUE("0"),DST_123_ÜRETİM_İHTİYAÇ_RAPORU_BURAK_YENI1309[[#This Row],[SATINALMA]]*DST_123_ÜRETİM_İHTİYAÇ_RAPORU_BURAK_YENI1309[[#This Row],[BIRIM_FIYATLAR]])</f>
        <v>41649.120000000003</v>
      </c>
      <c r="N5189">
        <v>5206.1400000000003</v>
      </c>
      <c r="O5189" t="s">
        <v>215</v>
      </c>
      <c r="P5189">
        <v>5206.1400000000003</v>
      </c>
      <c r="Q5189" t="s">
        <v>221</v>
      </c>
    </row>
    <row r="5190" spans="1:17" x14ac:dyDescent="0.25">
      <c r="A5190" t="s">
        <v>1100</v>
      </c>
      <c r="B5190" t="s">
        <v>1058</v>
      </c>
      <c r="C5190" t="s">
        <v>175</v>
      </c>
      <c r="D5190" t="s">
        <v>50</v>
      </c>
      <c r="E5190" t="s">
        <v>51</v>
      </c>
      <c r="F5190">
        <v>1</v>
      </c>
      <c r="G5190" t="s">
        <v>176</v>
      </c>
      <c r="H5190">
        <v>1</v>
      </c>
      <c r="I5190">
        <v>4</v>
      </c>
      <c r="J5190" s="10">
        <v>10</v>
      </c>
      <c r="K5190" s="10">
        <f>SUMIFS(F:F,D:D,DST_123_ÜRETİM_İHTİYAÇ_RAPORU_BURAK_YENI1309[[#This Row],[ALT_KOD]])-(SUMIFS(H:H,D:D,DST_123_ÜRETİM_İHTİYAÇ_RAPORU_BURAK_YENI1309[[#This Row],[ALT_KOD]])+AVERAGEIFS(I:I,D:D,DST_123_ÜRETİM_İHTİYAÇ_RAPORU_BURAK_YENI1309[[#This Row],[ALT_KOD]])+AVERAGEIFS(L:L,D:D,DST_123_ÜRETİM_İHTİYAÇ_RAPORU_BURAK_YENI1309[[#This Row],[ALT_KOD]]))</f>
        <v>8</v>
      </c>
      <c r="L5190">
        <v>0</v>
      </c>
      <c r="M5190">
        <f>IF((DST_123_ÜRETİM_İHTİYAÇ_RAPORU_BURAK_YENI1309[[#This Row],[SATINALMA]]*DST_123_ÜRETİM_İHTİYAÇ_RAPORU_BURAK_YENI1309[[#This Row],[BIRIM_FIYATLAR]])&lt;1,VALUE("0"),DST_123_ÜRETİM_İHTİYAÇ_RAPORU_BURAK_YENI1309[[#This Row],[SATINALMA]]*DST_123_ÜRETİM_İHTİYAÇ_RAPORU_BURAK_YENI1309[[#This Row],[BIRIM_FIYATLAR]])</f>
        <v>41649.120000000003</v>
      </c>
      <c r="N5190">
        <v>5206.1400000000003</v>
      </c>
      <c r="O5190" t="s">
        <v>215</v>
      </c>
      <c r="P5190">
        <v>5206.1400000000003</v>
      </c>
      <c r="Q5190" t="s">
        <v>221</v>
      </c>
    </row>
    <row r="5191" spans="1:17" x14ac:dyDescent="0.25">
      <c r="A5191" t="s">
        <v>1099</v>
      </c>
      <c r="B5191" t="s">
        <v>1055</v>
      </c>
      <c r="C5191" t="s">
        <v>175</v>
      </c>
      <c r="D5191" t="s">
        <v>64</v>
      </c>
      <c r="E5191" t="s">
        <v>65</v>
      </c>
      <c r="F5191">
        <v>2</v>
      </c>
      <c r="G5191" t="s">
        <v>176</v>
      </c>
      <c r="H5191">
        <v>2</v>
      </c>
      <c r="I5191">
        <v>36</v>
      </c>
      <c r="J5191" s="10">
        <v>12</v>
      </c>
      <c r="K5191" s="10">
        <f>SUMIFS(F:F,D:D,DST_123_ÜRETİM_İHTİYAÇ_RAPORU_BURAK_YENI1309[[#This Row],[ALT_KOD]])-(SUMIFS(H:H,D:D,DST_123_ÜRETİM_İHTİYAÇ_RAPORU_BURAK_YENI1309[[#This Row],[ALT_KOD]])+AVERAGEIFS(I:I,D:D,DST_123_ÜRETİM_İHTİYAÇ_RAPORU_BURAK_YENI1309[[#This Row],[ALT_KOD]])+AVERAGEIFS(L:L,D:D,DST_123_ÜRETİM_İHTİYAÇ_RAPORU_BURAK_YENI1309[[#This Row],[ALT_KOD]]))</f>
        <v>-22</v>
      </c>
      <c r="L5191">
        <v>0</v>
      </c>
      <c r="M5191">
        <f>IF((DST_123_ÜRETİM_İHTİYAÇ_RAPORU_BURAK_YENI1309[[#This Row],[SATINALMA]]*DST_123_ÜRETİM_İHTİYAÇ_RAPORU_BURAK_YENI1309[[#This Row],[BIRIM_FIYATLAR]])&lt;1,VALUE("0"),DST_123_ÜRETİM_İHTİYAÇ_RAPORU_BURAK_YENI1309[[#This Row],[SATINALMA]]*DST_123_ÜRETİM_İHTİYAÇ_RAPORU_BURAK_YENI1309[[#This Row],[BIRIM_FIYATLAR]])</f>
        <v>0</v>
      </c>
      <c r="N5191">
        <v>95</v>
      </c>
      <c r="O5191" t="s">
        <v>217</v>
      </c>
      <c r="P5191">
        <v>190</v>
      </c>
      <c r="Q5191" t="s">
        <v>180</v>
      </c>
    </row>
    <row r="5192" spans="1:17" x14ac:dyDescent="0.25">
      <c r="A5192" t="s">
        <v>1142</v>
      </c>
      <c r="B5192" t="s">
        <v>1056</v>
      </c>
      <c r="C5192" t="s">
        <v>175</v>
      </c>
      <c r="D5192" t="s">
        <v>665</v>
      </c>
      <c r="E5192" t="s">
        <v>666</v>
      </c>
      <c r="F5192">
        <v>1</v>
      </c>
      <c r="G5192" t="s">
        <v>176</v>
      </c>
      <c r="H5192">
        <v>0</v>
      </c>
      <c r="I5192">
        <v>0</v>
      </c>
      <c r="J5192" s="10">
        <v>4</v>
      </c>
      <c r="K5192" s="10">
        <f>SUMIFS(F:F,D:D,DST_123_ÜRETİM_İHTİYAÇ_RAPORU_BURAK_YENI1309[[#This Row],[ALT_KOD]])-(SUMIFS(H:H,D:D,DST_123_ÜRETİM_İHTİYAÇ_RAPORU_BURAK_YENI1309[[#This Row],[ALT_KOD]])+AVERAGEIFS(I:I,D:D,DST_123_ÜRETİM_İHTİYAÇ_RAPORU_BURAK_YENI1309[[#This Row],[ALT_KOD]])+AVERAGEIFS(L:L,D:D,DST_123_ÜRETİM_İHTİYAÇ_RAPORU_BURAK_YENI1309[[#This Row],[ALT_KOD]]))</f>
        <v>0</v>
      </c>
      <c r="L5192">
        <v>20</v>
      </c>
      <c r="M5192">
        <f>IF((DST_123_ÜRETİM_İHTİYAÇ_RAPORU_BURAK_YENI1309[[#This Row],[SATINALMA]]*DST_123_ÜRETİM_İHTİYAÇ_RAPORU_BURAK_YENI1309[[#This Row],[BIRIM_FIYATLAR]])&lt;1,VALUE("0"),DST_123_ÜRETİM_İHTİYAÇ_RAPORU_BURAK_YENI1309[[#This Row],[SATINALMA]]*DST_123_ÜRETİM_İHTİYAÇ_RAPORU_BURAK_YENI1309[[#This Row],[BIRIM_FIYATLAR]])</f>
        <v>0</v>
      </c>
      <c r="N5192">
        <v>28000</v>
      </c>
      <c r="O5192" t="s">
        <v>829</v>
      </c>
      <c r="P5192">
        <v>28000</v>
      </c>
      <c r="Q5192" t="s">
        <v>221</v>
      </c>
    </row>
    <row r="5193" spans="1:17" x14ac:dyDescent="0.25">
      <c r="A5193" t="s">
        <v>1099</v>
      </c>
      <c r="B5193" t="s">
        <v>1055</v>
      </c>
      <c r="C5193" t="s">
        <v>175</v>
      </c>
      <c r="D5193" t="s">
        <v>605</v>
      </c>
      <c r="E5193" t="s">
        <v>606</v>
      </c>
      <c r="F5193">
        <v>4</v>
      </c>
      <c r="G5193" t="s">
        <v>176</v>
      </c>
      <c r="H5193">
        <v>4</v>
      </c>
      <c r="I5193">
        <v>25</v>
      </c>
      <c r="J5193" s="10">
        <v>14</v>
      </c>
      <c r="K5193" s="10">
        <f>SUMIFS(F:F,D:D,DST_123_ÜRETİM_İHTİYAÇ_RAPORU_BURAK_YENI1309[[#This Row],[ALT_KOD]])-(SUMIFS(H:H,D:D,DST_123_ÜRETİM_İHTİYAÇ_RAPORU_BURAK_YENI1309[[#This Row],[ALT_KOD]])+AVERAGEIFS(I:I,D:D,DST_123_ÜRETİM_İHTİYAÇ_RAPORU_BURAK_YENI1309[[#This Row],[ALT_KOD]])+AVERAGEIFS(L:L,D:D,DST_123_ÜRETİM_İHTİYAÇ_RAPORU_BURAK_YENI1309[[#This Row],[ALT_KOD]]))</f>
        <v>7</v>
      </c>
      <c r="L5193">
        <v>0</v>
      </c>
      <c r="M5193">
        <f>IF((DST_123_ÜRETİM_İHTİYAÇ_RAPORU_BURAK_YENI1309[[#This Row],[SATINALMA]]*DST_123_ÜRETİM_İHTİYAÇ_RAPORU_BURAK_YENI1309[[#This Row],[BIRIM_FIYATLAR]])&lt;1,VALUE("0"),DST_123_ÜRETİM_İHTİYAÇ_RAPORU_BURAK_YENI1309[[#This Row],[SATINALMA]]*DST_123_ÜRETİM_İHTİYAÇ_RAPORU_BURAK_YENI1309[[#This Row],[BIRIM_FIYATLAR]])</f>
        <v>1206.6599999999999</v>
      </c>
      <c r="N5193">
        <v>172.38</v>
      </c>
      <c r="O5193" t="s">
        <v>636</v>
      </c>
      <c r="P5193">
        <v>689.52</v>
      </c>
      <c r="Q5193" t="s">
        <v>177</v>
      </c>
    </row>
    <row r="5194" spans="1:17" x14ac:dyDescent="0.25">
      <c r="A5194" t="s">
        <v>1101</v>
      </c>
      <c r="B5194" t="s">
        <v>1102</v>
      </c>
      <c r="C5194" t="s">
        <v>175</v>
      </c>
      <c r="D5194" t="s">
        <v>595</v>
      </c>
      <c r="E5194" t="s">
        <v>596</v>
      </c>
      <c r="F5194">
        <v>1</v>
      </c>
      <c r="G5194" t="s">
        <v>176</v>
      </c>
      <c r="H5194">
        <v>1</v>
      </c>
      <c r="I5194">
        <v>18</v>
      </c>
      <c r="J5194" s="10">
        <v>3</v>
      </c>
      <c r="K5194" s="10">
        <f>SUMIFS(F:F,D:D,DST_123_ÜRETİM_İHTİYAÇ_RAPORU_BURAK_YENI1309[[#This Row],[ALT_KOD]])-(SUMIFS(H:H,D:D,DST_123_ÜRETİM_İHTİYAÇ_RAPORU_BURAK_YENI1309[[#This Row],[ALT_KOD]])+AVERAGEIFS(I:I,D:D,DST_123_ÜRETİM_İHTİYAÇ_RAPORU_BURAK_YENI1309[[#This Row],[ALT_KOD]])+AVERAGEIFS(L:L,D:D,DST_123_ÜRETİM_İHTİYAÇ_RAPORU_BURAK_YENI1309[[#This Row],[ALT_KOD]]))</f>
        <v>-1</v>
      </c>
      <c r="L5194">
        <v>0</v>
      </c>
      <c r="M5194">
        <f>IF((DST_123_ÜRETİM_İHTİYAÇ_RAPORU_BURAK_YENI1309[[#This Row],[SATINALMA]]*DST_123_ÜRETİM_İHTİYAÇ_RAPORU_BURAK_YENI1309[[#This Row],[BIRIM_FIYATLAR]])&lt;1,VALUE("0"),DST_123_ÜRETİM_İHTİYAÇ_RAPORU_BURAK_YENI1309[[#This Row],[SATINALMA]]*DST_123_ÜRETİM_İHTİYAÇ_RAPORU_BURAK_YENI1309[[#This Row],[BIRIM_FIYATLAR]])</f>
        <v>0</v>
      </c>
      <c r="N5194">
        <v>4852.33</v>
      </c>
      <c r="O5194" t="s">
        <v>636</v>
      </c>
      <c r="P5194">
        <v>4852.33</v>
      </c>
      <c r="Q5194" t="s">
        <v>177</v>
      </c>
    </row>
    <row r="5195" spans="1:17" x14ac:dyDescent="0.25">
      <c r="A5195" t="s">
        <v>1064</v>
      </c>
      <c r="B5195" t="s">
        <v>1055</v>
      </c>
      <c r="C5195" t="s">
        <v>175</v>
      </c>
      <c r="D5195" t="s">
        <v>724</v>
      </c>
      <c r="E5195" t="s">
        <v>725</v>
      </c>
      <c r="F5195">
        <v>1</v>
      </c>
      <c r="G5195" t="s">
        <v>176</v>
      </c>
      <c r="H5195">
        <v>1</v>
      </c>
      <c r="I5195">
        <v>54</v>
      </c>
      <c r="J5195" s="10">
        <v>6</v>
      </c>
      <c r="K5195" s="10">
        <f>SUMIFS(F:F,D:D,DST_123_ÜRETİM_İHTİYAÇ_RAPORU_BURAK_YENI1309[[#This Row],[ALT_KOD]])-(SUMIFS(H:H,D:D,DST_123_ÜRETİM_İHTİYAÇ_RAPORU_BURAK_YENI1309[[#This Row],[ALT_KOD]])+AVERAGEIFS(I:I,D:D,DST_123_ÜRETİM_İHTİYAÇ_RAPORU_BURAK_YENI1309[[#This Row],[ALT_KOD]])+AVERAGEIFS(L:L,D:D,DST_123_ÜRETİM_İHTİYAÇ_RAPORU_BURAK_YENI1309[[#This Row],[ALT_KOD]]))</f>
        <v>-53</v>
      </c>
      <c r="L5195">
        <v>0</v>
      </c>
      <c r="M5195">
        <f>IF((DST_123_ÜRETİM_İHTİYAÇ_RAPORU_BURAK_YENI1309[[#This Row],[SATINALMA]]*DST_123_ÜRETİM_İHTİYAÇ_RAPORU_BURAK_YENI1309[[#This Row],[BIRIM_FIYATLAR]])&lt;1,VALUE("0"),DST_123_ÜRETİM_İHTİYAÇ_RAPORU_BURAK_YENI1309[[#This Row],[SATINALMA]]*DST_123_ÜRETİM_İHTİYAÇ_RAPORU_BURAK_YENI1309[[#This Row],[BIRIM_FIYATLAR]])</f>
        <v>0</v>
      </c>
      <c r="N5195">
        <v>16.5</v>
      </c>
      <c r="O5195" t="s">
        <v>240</v>
      </c>
      <c r="P5195">
        <v>16.5</v>
      </c>
      <c r="Q5195" t="s">
        <v>178</v>
      </c>
    </row>
    <row r="5196" spans="1:17" x14ac:dyDescent="0.25">
      <c r="A5196" t="s">
        <v>1101</v>
      </c>
      <c r="B5196" t="s">
        <v>1102</v>
      </c>
      <c r="C5196" t="s">
        <v>175</v>
      </c>
      <c r="D5196" t="s">
        <v>947</v>
      </c>
      <c r="E5196" t="s">
        <v>948</v>
      </c>
      <c r="F5196">
        <v>1</v>
      </c>
      <c r="G5196" t="s">
        <v>176</v>
      </c>
      <c r="H5196">
        <v>1</v>
      </c>
      <c r="I5196">
        <v>0</v>
      </c>
      <c r="J5196" s="10">
        <v>7</v>
      </c>
      <c r="K5196" s="10">
        <f>SUMIFS(F:F,D:D,DST_123_ÜRETİM_İHTİYAÇ_RAPORU_BURAK_YENI1309[[#This Row],[ALT_KOD]])-(SUMIFS(H:H,D:D,DST_123_ÜRETİM_İHTİYAÇ_RAPORU_BURAK_YENI1309[[#This Row],[ALT_KOD]])+AVERAGEIFS(I:I,D:D,DST_123_ÜRETİM_İHTİYAÇ_RAPORU_BURAK_YENI1309[[#This Row],[ALT_KOD]])+AVERAGEIFS(L:L,D:D,DST_123_ÜRETİM_İHTİYAÇ_RAPORU_BURAK_YENI1309[[#This Row],[ALT_KOD]]))</f>
        <v>2</v>
      </c>
      <c r="L5196">
        <v>0</v>
      </c>
      <c r="M5196">
        <f>IF((DST_123_ÜRETİM_İHTİYAÇ_RAPORU_BURAK_YENI1309[[#This Row],[SATINALMA]]*DST_123_ÜRETİM_İHTİYAÇ_RAPORU_BURAK_YENI1309[[#This Row],[BIRIM_FIYATLAR]])&lt;1,VALUE("0"),DST_123_ÜRETİM_İHTİYAÇ_RAPORU_BURAK_YENI1309[[#This Row],[SATINALMA]]*DST_123_ÜRETİM_İHTİYAÇ_RAPORU_BURAK_YENI1309[[#This Row],[BIRIM_FIYATLAR]])</f>
        <v>8001.48</v>
      </c>
      <c r="N5196">
        <v>4000.74</v>
      </c>
      <c r="O5196" t="s">
        <v>227</v>
      </c>
      <c r="P5196">
        <v>4000.74</v>
      </c>
      <c r="Q5196" t="s">
        <v>221</v>
      </c>
    </row>
    <row r="5197" spans="1:17" x14ac:dyDescent="0.25">
      <c r="A5197" t="s">
        <v>1057</v>
      </c>
      <c r="B5197" t="s">
        <v>1058</v>
      </c>
      <c r="C5197" t="s">
        <v>175</v>
      </c>
      <c r="D5197" t="s">
        <v>269</v>
      </c>
      <c r="E5197" t="s">
        <v>270</v>
      </c>
      <c r="F5197">
        <v>1</v>
      </c>
      <c r="G5197" t="s">
        <v>176</v>
      </c>
      <c r="H5197">
        <v>1</v>
      </c>
      <c r="I5197">
        <v>13</v>
      </c>
      <c r="J5197" s="10">
        <v>9</v>
      </c>
      <c r="K5197" s="10">
        <f>SUMIFS(F:F,D:D,DST_123_ÜRETİM_İHTİYAÇ_RAPORU_BURAK_YENI1309[[#This Row],[ALT_KOD]])-(SUMIFS(H:H,D:D,DST_123_ÜRETİM_İHTİYAÇ_RAPORU_BURAK_YENI1309[[#This Row],[ALT_KOD]])+AVERAGEIFS(I:I,D:D,DST_123_ÜRETİM_İHTİYAÇ_RAPORU_BURAK_YENI1309[[#This Row],[ALT_KOD]])+AVERAGEIFS(L:L,D:D,DST_123_ÜRETİM_İHTİYAÇ_RAPORU_BURAK_YENI1309[[#This Row],[ALT_KOD]]))</f>
        <v>-1</v>
      </c>
      <c r="L5197">
        <v>0</v>
      </c>
      <c r="M5197">
        <f>IF((DST_123_ÜRETİM_İHTİYAÇ_RAPORU_BURAK_YENI1309[[#This Row],[SATINALMA]]*DST_123_ÜRETİM_İHTİYAÇ_RAPORU_BURAK_YENI1309[[#This Row],[BIRIM_FIYATLAR]])&lt;1,VALUE("0"),DST_123_ÜRETİM_İHTİYAÇ_RAPORU_BURAK_YENI1309[[#This Row],[SATINALMA]]*DST_123_ÜRETİM_İHTİYAÇ_RAPORU_BURAK_YENI1309[[#This Row],[BIRIM_FIYATLAR]])</f>
        <v>0</v>
      </c>
      <c r="N5197">
        <v>270</v>
      </c>
      <c r="O5197" t="s">
        <v>220</v>
      </c>
      <c r="P5197">
        <v>270</v>
      </c>
      <c r="Q5197" t="s">
        <v>221</v>
      </c>
    </row>
    <row r="5198" spans="1:17" x14ac:dyDescent="0.25">
      <c r="A5198" t="s">
        <v>1095</v>
      </c>
      <c r="B5198" t="s">
        <v>1096</v>
      </c>
      <c r="C5198" t="s">
        <v>175</v>
      </c>
      <c r="D5198" t="s">
        <v>595</v>
      </c>
      <c r="E5198" t="s">
        <v>596</v>
      </c>
      <c r="F5198">
        <v>1</v>
      </c>
      <c r="G5198" t="s">
        <v>176</v>
      </c>
      <c r="H5198">
        <v>0</v>
      </c>
      <c r="I5198">
        <v>18</v>
      </c>
      <c r="J5198" s="10">
        <v>3</v>
      </c>
      <c r="K5198" s="10">
        <f>SUMIFS(F:F,D:D,DST_123_ÜRETİM_İHTİYAÇ_RAPORU_BURAK_YENI1309[[#This Row],[ALT_KOD]])-(SUMIFS(H:H,D:D,DST_123_ÜRETİM_İHTİYAÇ_RAPORU_BURAK_YENI1309[[#This Row],[ALT_KOD]])+AVERAGEIFS(I:I,D:D,DST_123_ÜRETİM_İHTİYAÇ_RAPORU_BURAK_YENI1309[[#This Row],[ALT_KOD]])+AVERAGEIFS(L:L,D:D,DST_123_ÜRETİM_İHTİYAÇ_RAPORU_BURAK_YENI1309[[#This Row],[ALT_KOD]]))</f>
        <v>-1</v>
      </c>
      <c r="L5198">
        <v>0</v>
      </c>
      <c r="M5198">
        <f>IF((DST_123_ÜRETİM_İHTİYAÇ_RAPORU_BURAK_YENI1309[[#This Row],[SATINALMA]]*DST_123_ÜRETİM_İHTİYAÇ_RAPORU_BURAK_YENI1309[[#This Row],[BIRIM_FIYATLAR]])&lt;1,VALUE("0"),DST_123_ÜRETİM_İHTİYAÇ_RAPORU_BURAK_YENI1309[[#This Row],[SATINALMA]]*DST_123_ÜRETİM_İHTİYAÇ_RAPORU_BURAK_YENI1309[[#This Row],[BIRIM_FIYATLAR]])</f>
        <v>0</v>
      </c>
      <c r="N5198">
        <v>4852.33</v>
      </c>
      <c r="O5198" t="s">
        <v>636</v>
      </c>
      <c r="P5198">
        <v>4852.33</v>
      </c>
      <c r="Q5198" t="s">
        <v>177</v>
      </c>
    </row>
    <row r="5199" spans="1:17" x14ac:dyDescent="0.25">
      <c r="A5199" t="s">
        <v>1196</v>
      </c>
      <c r="B5199" t="s">
        <v>1197</v>
      </c>
      <c r="C5199" t="s">
        <v>175</v>
      </c>
      <c r="D5199" t="s">
        <v>790</v>
      </c>
      <c r="E5199" t="s">
        <v>828</v>
      </c>
      <c r="F5199">
        <v>6</v>
      </c>
      <c r="G5199" t="s">
        <v>179</v>
      </c>
      <c r="H5199">
        <v>0</v>
      </c>
      <c r="I5199">
        <v>100</v>
      </c>
      <c r="J5199" s="10">
        <v>50</v>
      </c>
      <c r="K5199" s="10">
        <f>SUMIFS(F:F,D:D,DST_123_ÜRETİM_İHTİYAÇ_RAPORU_BURAK_YENI1309[[#This Row],[ALT_KOD]])-(SUMIFS(H:H,D:D,DST_123_ÜRETİM_İHTİYAÇ_RAPORU_BURAK_YENI1309[[#This Row],[ALT_KOD]])+AVERAGEIFS(I:I,D:D,DST_123_ÜRETİM_İHTİYAÇ_RAPORU_BURAK_YENI1309[[#This Row],[ALT_KOD]])+AVERAGEIFS(L:L,D:D,DST_123_ÜRETİM_İHTİYAÇ_RAPORU_BURAK_YENI1309[[#This Row],[ALT_KOD]]))</f>
        <v>-16</v>
      </c>
      <c r="L5199">
        <v>0</v>
      </c>
      <c r="M5199">
        <f>IF((DST_123_ÜRETİM_İHTİYAÇ_RAPORU_BURAK_YENI1309[[#This Row],[SATINALMA]]*DST_123_ÜRETİM_İHTİYAÇ_RAPORU_BURAK_YENI1309[[#This Row],[BIRIM_FIYATLAR]])&lt;1,VALUE("0"),DST_123_ÜRETİM_İHTİYAÇ_RAPORU_BURAK_YENI1309[[#This Row],[SATINALMA]]*DST_123_ÜRETİM_İHTİYAÇ_RAPORU_BURAK_YENI1309[[#This Row],[BIRIM_FIYATLAR]])</f>
        <v>0</v>
      </c>
      <c r="N5199">
        <v>46</v>
      </c>
      <c r="O5199" t="s">
        <v>791</v>
      </c>
      <c r="P5199">
        <v>276</v>
      </c>
      <c r="Q5199" t="s">
        <v>221</v>
      </c>
    </row>
    <row r="5200" spans="1:17" x14ac:dyDescent="0.25">
      <c r="A5200" t="s">
        <v>1060</v>
      </c>
      <c r="B5200" t="s">
        <v>1061</v>
      </c>
      <c r="C5200" t="s">
        <v>175</v>
      </c>
      <c r="D5200" t="s">
        <v>269</v>
      </c>
      <c r="E5200" t="s">
        <v>270</v>
      </c>
      <c r="F5200">
        <v>1</v>
      </c>
      <c r="G5200" t="s">
        <v>176</v>
      </c>
      <c r="H5200">
        <v>1</v>
      </c>
      <c r="I5200">
        <v>13</v>
      </c>
      <c r="J5200" s="10">
        <v>9</v>
      </c>
      <c r="K5200" s="10">
        <f>SUMIFS(F:F,D:D,DST_123_ÜRETİM_İHTİYAÇ_RAPORU_BURAK_YENI1309[[#This Row],[ALT_KOD]])-(SUMIFS(H:H,D:D,DST_123_ÜRETİM_İHTİYAÇ_RAPORU_BURAK_YENI1309[[#This Row],[ALT_KOD]])+AVERAGEIFS(I:I,D:D,DST_123_ÜRETİM_İHTİYAÇ_RAPORU_BURAK_YENI1309[[#This Row],[ALT_KOD]])+AVERAGEIFS(L:L,D:D,DST_123_ÜRETİM_İHTİYAÇ_RAPORU_BURAK_YENI1309[[#This Row],[ALT_KOD]]))</f>
        <v>-1</v>
      </c>
      <c r="L5200">
        <v>0</v>
      </c>
      <c r="M5200">
        <f>IF((DST_123_ÜRETİM_İHTİYAÇ_RAPORU_BURAK_YENI1309[[#This Row],[SATINALMA]]*DST_123_ÜRETİM_İHTİYAÇ_RAPORU_BURAK_YENI1309[[#This Row],[BIRIM_FIYATLAR]])&lt;1,VALUE("0"),DST_123_ÜRETİM_İHTİYAÇ_RAPORU_BURAK_YENI1309[[#This Row],[SATINALMA]]*DST_123_ÜRETİM_İHTİYAÇ_RAPORU_BURAK_YENI1309[[#This Row],[BIRIM_FIYATLAR]])</f>
        <v>0</v>
      </c>
      <c r="N5200">
        <v>270</v>
      </c>
      <c r="O5200" t="s">
        <v>220</v>
      </c>
      <c r="P5200">
        <v>270</v>
      </c>
      <c r="Q5200" t="s">
        <v>221</v>
      </c>
    </row>
    <row r="5201" spans="1:17" x14ac:dyDescent="0.25">
      <c r="A5201" t="s">
        <v>1064</v>
      </c>
      <c r="B5201" t="s">
        <v>1055</v>
      </c>
      <c r="C5201" t="s">
        <v>175</v>
      </c>
      <c r="D5201" t="s">
        <v>595</v>
      </c>
      <c r="E5201" t="s">
        <v>596</v>
      </c>
      <c r="F5201">
        <v>1</v>
      </c>
      <c r="G5201" t="s">
        <v>176</v>
      </c>
      <c r="H5201">
        <v>0</v>
      </c>
      <c r="I5201">
        <v>18</v>
      </c>
      <c r="J5201" s="10">
        <v>3</v>
      </c>
      <c r="K5201" s="10">
        <f>SUMIFS(F:F,D:D,DST_123_ÜRETİM_İHTİYAÇ_RAPORU_BURAK_YENI1309[[#This Row],[ALT_KOD]])-(SUMIFS(H:H,D:D,DST_123_ÜRETİM_İHTİYAÇ_RAPORU_BURAK_YENI1309[[#This Row],[ALT_KOD]])+AVERAGEIFS(I:I,D:D,DST_123_ÜRETİM_İHTİYAÇ_RAPORU_BURAK_YENI1309[[#This Row],[ALT_KOD]])+AVERAGEIFS(L:L,D:D,DST_123_ÜRETİM_İHTİYAÇ_RAPORU_BURAK_YENI1309[[#This Row],[ALT_KOD]]))</f>
        <v>-1</v>
      </c>
      <c r="L5201">
        <v>0</v>
      </c>
      <c r="M5201">
        <f>IF((DST_123_ÜRETİM_İHTİYAÇ_RAPORU_BURAK_YENI1309[[#This Row],[SATINALMA]]*DST_123_ÜRETİM_İHTİYAÇ_RAPORU_BURAK_YENI1309[[#This Row],[BIRIM_FIYATLAR]])&lt;1,VALUE("0"),DST_123_ÜRETİM_İHTİYAÇ_RAPORU_BURAK_YENI1309[[#This Row],[SATINALMA]]*DST_123_ÜRETİM_İHTİYAÇ_RAPORU_BURAK_YENI1309[[#This Row],[BIRIM_FIYATLAR]])</f>
        <v>0</v>
      </c>
      <c r="N5201">
        <v>4852.33</v>
      </c>
      <c r="O5201" t="s">
        <v>636</v>
      </c>
      <c r="P5201">
        <v>4852.33</v>
      </c>
      <c r="Q5201" t="s">
        <v>177</v>
      </c>
    </row>
    <row r="5202" spans="1:17" x14ac:dyDescent="0.25">
      <c r="A5202" t="s">
        <v>1196</v>
      </c>
      <c r="B5202" t="s">
        <v>1197</v>
      </c>
      <c r="C5202" t="s">
        <v>175</v>
      </c>
      <c r="D5202" t="s">
        <v>595</v>
      </c>
      <c r="E5202" t="s">
        <v>596</v>
      </c>
      <c r="F5202">
        <v>1</v>
      </c>
      <c r="G5202" t="s">
        <v>176</v>
      </c>
      <c r="H5202">
        <v>0</v>
      </c>
      <c r="I5202">
        <v>18</v>
      </c>
      <c r="J5202" s="10">
        <v>3</v>
      </c>
      <c r="K5202" s="10">
        <f>SUMIFS(F:F,D:D,DST_123_ÜRETİM_İHTİYAÇ_RAPORU_BURAK_YENI1309[[#This Row],[ALT_KOD]])-(SUMIFS(H:H,D:D,DST_123_ÜRETİM_İHTİYAÇ_RAPORU_BURAK_YENI1309[[#This Row],[ALT_KOD]])+AVERAGEIFS(I:I,D:D,DST_123_ÜRETİM_İHTİYAÇ_RAPORU_BURAK_YENI1309[[#This Row],[ALT_KOD]])+AVERAGEIFS(L:L,D:D,DST_123_ÜRETİM_İHTİYAÇ_RAPORU_BURAK_YENI1309[[#This Row],[ALT_KOD]]))</f>
        <v>-1</v>
      </c>
      <c r="L5202">
        <v>0</v>
      </c>
      <c r="M5202">
        <f>IF((DST_123_ÜRETİM_İHTİYAÇ_RAPORU_BURAK_YENI1309[[#This Row],[SATINALMA]]*DST_123_ÜRETİM_İHTİYAÇ_RAPORU_BURAK_YENI1309[[#This Row],[BIRIM_FIYATLAR]])&lt;1,VALUE("0"),DST_123_ÜRETİM_İHTİYAÇ_RAPORU_BURAK_YENI1309[[#This Row],[SATINALMA]]*DST_123_ÜRETİM_İHTİYAÇ_RAPORU_BURAK_YENI1309[[#This Row],[BIRIM_FIYATLAR]])</f>
        <v>0</v>
      </c>
      <c r="N5202">
        <v>4852.33</v>
      </c>
      <c r="O5202" t="s">
        <v>636</v>
      </c>
      <c r="P5202">
        <v>4852.33</v>
      </c>
      <c r="Q5202" t="s">
        <v>177</v>
      </c>
    </row>
    <row r="5203" spans="1:17" x14ac:dyDescent="0.25">
      <c r="A5203" t="s">
        <v>1196</v>
      </c>
      <c r="B5203" t="s">
        <v>1197</v>
      </c>
      <c r="C5203" t="s">
        <v>175</v>
      </c>
      <c r="D5203" t="s">
        <v>774</v>
      </c>
      <c r="E5203" t="s">
        <v>775</v>
      </c>
      <c r="F5203">
        <v>3</v>
      </c>
      <c r="G5203" t="s">
        <v>182</v>
      </c>
      <c r="H5203">
        <v>0</v>
      </c>
      <c r="I5203">
        <v>0</v>
      </c>
      <c r="J5203" s="10">
        <v>0</v>
      </c>
      <c r="K5203" s="10">
        <f>SUMIFS(F:F,D:D,DST_123_ÜRETİM_İHTİYAÇ_RAPORU_BURAK_YENI1309[[#This Row],[ALT_KOD]])-(SUMIFS(H:H,D:D,DST_123_ÜRETİM_İHTİYAÇ_RAPORU_BURAK_YENI1309[[#This Row],[ALT_KOD]])+AVERAGEIFS(I:I,D:D,DST_123_ÜRETİM_İHTİYAÇ_RAPORU_BURAK_YENI1309[[#This Row],[ALT_KOD]])+AVERAGEIFS(L:L,D:D,DST_123_ÜRETİM_İHTİYAÇ_RAPORU_BURAK_YENI1309[[#This Row],[ALT_KOD]]))</f>
        <v>24</v>
      </c>
      <c r="L5203">
        <v>0</v>
      </c>
      <c r="M5203">
        <f>IF((DST_123_ÜRETİM_İHTİYAÇ_RAPORU_BURAK_YENI1309[[#This Row],[SATINALMA]]*DST_123_ÜRETİM_İHTİYAÇ_RAPORU_BURAK_YENI1309[[#This Row],[BIRIM_FIYATLAR]])&lt;1,VALUE("0"),DST_123_ÜRETİM_İHTİYAÇ_RAPORU_BURAK_YENI1309[[#This Row],[SATINALMA]]*DST_123_ÜRETİM_İHTİYAÇ_RAPORU_BURAK_YENI1309[[#This Row],[BIRIM_FIYATLAR]])</f>
        <v>14751.119999999999</v>
      </c>
      <c r="N5203">
        <v>614.63</v>
      </c>
      <c r="O5203" t="s">
        <v>253</v>
      </c>
      <c r="P5203">
        <v>1843.8899999999999</v>
      </c>
      <c r="Q5203" t="s">
        <v>657</v>
      </c>
    </row>
    <row r="5204" spans="1:17" x14ac:dyDescent="0.25">
      <c r="A5204" t="s">
        <v>1064</v>
      </c>
      <c r="B5204" t="s">
        <v>1055</v>
      </c>
      <c r="C5204" t="s">
        <v>175</v>
      </c>
      <c r="D5204" t="s">
        <v>728</v>
      </c>
      <c r="E5204" t="s">
        <v>729</v>
      </c>
      <c r="F5204">
        <v>9</v>
      </c>
      <c r="G5204" t="s">
        <v>179</v>
      </c>
      <c r="H5204">
        <v>9</v>
      </c>
      <c r="I5204">
        <v>0</v>
      </c>
      <c r="J5204" s="10">
        <v>344</v>
      </c>
      <c r="K5204" s="10">
        <f>SUMIFS(F:F,D:D,DST_123_ÜRETİM_İHTİYAÇ_RAPORU_BURAK_YENI1309[[#This Row],[ALT_KOD]])-(SUMIFS(H:H,D:D,DST_123_ÜRETİM_İHTİYAÇ_RAPORU_BURAK_YENI1309[[#This Row],[ALT_KOD]])+AVERAGEIFS(I:I,D:D,DST_123_ÜRETİM_İHTİYAÇ_RAPORU_BURAK_YENI1309[[#This Row],[ALT_KOD]])+AVERAGEIFS(L:L,D:D,DST_123_ÜRETİM_İHTİYAÇ_RAPORU_BURAK_YENI1309[[#This Row],[ALT_KOD]]))</f>
        <v>54</v>
      </c>
      <c r="L5204">
        <v>0</v>
      </c>
      <c r="M5204">
        <f>IF((DST_123_ÜRETİM_İHTİYAÇ_RAPORU_BURAK_YENI1309[[#This Row],[SATINALMA]]*DST_123_ÜRETİM_İHTİYAÇ_RAPORU_BURAK_YENI1309[[#This Row],[BIRIM_FIYATLAR]])&lt;1,VALUE("0"),DST_123_ÜRETİM_İHTİYAÇ_RAPORU_BURAK_YENI1309[[#This Row],[SATINALMA]]*DST_123_ÜRETİM_İHTİYAÇ_RAPORU_BURAK_YENI1309[[#This Row],[BIRIM_FIYATLAR]])</f>
        <v>1102.68</v>
      </c>
      <c r="N5204">
        <v>20.420000000000002</v>
      </c>
      <c r="O5204" t="s">
        <v>223</v>
      </c>
      <c r="P5204">
        <v>183.78000000000003</v>
      </c>
      <c r="Q5204" t="s">
        <v>181</v>
      </c>
    </row>
    <row r="5205" spans="1:17" x14ac:dyDescent="0.25">
      <c r="A5205" t="s">
        <v>1097</v>
      </c>
      <c r="B5205" t="s">
        <v>1055</v>
      </c>
      <c r="C5205" t="s">
        <v>175</v>
      </c>
      <c r="D5205" t="s">
        <v>724</v>
      </c>
      <c r="E5205" t="s">
        <v>725</v>
      </c>
      <c r="F5205">
        <v>1</v>
      </c>
      <c r="G5205" t="s">
        <v>176</v>
      </c>
      <c r="H5205">
        <v>1</v>
      </c>
      <c r="I5205">
        <v>54</v>
      </c>
      <c r="J5205" s="10">
        <v>6</v>
      </c>
      <c r="K5205" s="10">
        <f>SUMIFS(F:F,D:D,DST_123_ÜRETİM_İHTİYAÇ_RAPORU_BURAK_YENI1309[[#This Row],[ALT_KOD]])-(SUMIFS(H:H,D:D,DST_123_ÜRETİM_İHTİYAÇ_RAPORU_BURAK_YENI1309[[#This Row],[ALT_KOD]])+AVERAGEIFS(I:I,D:D,DST_123_ÜRETİM_İHTİYAÇ_RAPORU_BURAK_YENI1309[[#This Row],[ALT_KOD]])+AVERAGEIFS(L:L,D:D,DST_123_ÜRETİM_İHTİYAÇ_RAPORU_BURAK_YENI1309[[#This Row],[ALT_KOD]]))</f>
        <v>-53</v>
      </c>
      <c r="L5205">
        <v>0</v>
      </c>
      <c r="M5205">
        <f>IF((DST_123_ÜRETİM_İHTİYAÇ_RAPORU_BURAK_YENI1309[[#This Row],[SATINALMA]]*DST_123_ÜRETİM_İHTİYAÇ_RAPORU_BURAK_YENI1309[[#This Row],[BIRIM_FIYATLAR]])&lt;1,VALUE("0"),DST_123_ÜRETİM_İHTİYAÇ_RAPORU_BURAK_YENI1309[[#This Row],[SATINALMA]]*DST_123_ÜRETİM_İHTİYAÇ_RAPORU_BURAK_YENI1309[[#This Row],[BIRIM_FIYATLAR]])</f>
        <v>0</v>
      </c>
      <c r="N5205">
        <v>16.5</v>
      </c>
      <c r="O5205" t="s">
        <v>240</v>
      </c>
      <c r="P5205">
        <v>16.5</v>
      </c>
      <c r="Q5205" t="s">
        <v>178</v>
      </c>
    </row>
    <row r="5206" spans="1:17" x14ac:dyDescent="0.25">
      <c r="A5206" t="s">
        <v>1064</v>
      </c>
      <c r="B5206" t="s">
        <v>1055</v>
      </c>
      <c r="C5206" t="s">
        <v>175</v>
      </c>
      <c r="D5206" t="s">
        <v>269</v>
      </c>
      <c r="E5206" t="s">
        <v>270</v>
      </c>
      <c r="F5206">
        <v>1</v>
      </c>
      <c r="G5206" t="s">
        <v>176</v>
      </c>
      <c r="H5206">
        <v>1</v>
      </c>
      <c r="I5206">
        <v>13</v>
      </c>
      <c r="J5206" s="10">
        <v>9</v>
      </c>
      <c r="K5206" s="10">
        <f>SUMIFS(F:F,D:D,DST_123_ÜRETİM_İHTİYAÇ_RAPORU_BURAK_YENI1309[[#This Row],[ALT_KOD]])-(SUMIFS(H:H,D:D,DST_123_ÜRETİM_İHTİYAÇ_RAPORU_BURAK_YENI1309[[#This Row],[ALT_KOD]])+AVERAGEIFS(I:I,D:D,DST_123_ÜRETİM_İHTİYAÇ_RAPORU_BURAK_YENI1309[[#This Row],[ALT_KOD]])+AVERAGEIFS(L:L,D:D,DST_123_ÜRETİM_İHTİYAÇ_RAPORU_BURAK_YENI1309[[#This Row],[ALT_KOD]]))</f>
        <v>-1</v>
      </c>
      <c r="L5206">
        <v>0</v>
      </c>
      <c r="M5206">
        <f>IF((DST_123_ÜRETİM_İHTİYAÇ_RAPORU_BURAK_YENI1309[[#This Row],[SATINALMA]]*DST_123_ÜRETİM_İHTİYAÇ_RAPORU_BURAK_YENI1309[[#This Row],[BIRIM_FIYATLAR]])&lt;1,VALUE("0"),DST_123_ÜRETİM_İHTİYAÇ_RAPORU_BURAK_YENI1309[[#This Row],[SATINALMA]]*DST_123_ÜRETİM_İHTİYAÇ_RAPORU_BURAK_YENI1309[[#This Row],[BIRIM_FIYATLAR]])</f>
        <v>0</v>
      </c>
      <c r="N5206">
        <v>270</v>
      </c>
      <c r="O5206" t="s">
        <v>220</v>
      </c>
      <c r="P5206">
        <v>270</v>
      </c>
      <c r="Q5206" t="s">
        <v>221</v>
      </c>
    </row>
    <row r="5207" spans="1:17" x14ac:dyDescent="0.25">
      <c r="A5207" t="s">
        <v>1101</v>
      </c>
      <c r="B5207" t="s">
        <v>1102</v>
      </c>
      <c r="C5207" t="s">
        <v>175</v>
      </c>
      <c r="D5207" t="s">
        <v>955</v>
      </c>
      <c r="E5207" t="s">
        <v>956</v>
      </c>
      <c r="F5207">
        <v>1</v>
      </c>
      <c r="G5207" t="s">
        <v>176</v>
      </c>
      <c r="H5207">
        <v>1</v>
      </c>
      <c r="I5207">
        <v>0</v>
      </c>
      <c r="J5207" s="10">
        <v>1</v>
      </c>
      <c r="K5207" s="10">
        <f>SUMIFS(F:F,D:D,DST_123_ÜRETİM_İHTİYAÇ_RAPORU_BURAK_YENI1309[[#This Row],[ALT_KOD]])-(SUMIFS(H:H,D:D,DST_123_ÜRETİM_İHTİYAÇ_RAPORU_BURAK_YENI1309[[#This Row],[ALT_KOD]])+AVERAGEIFS(I:I,D:D,DST_123_ÜRETİM_İHTİYAÇ_RAPORU_BURAK_YENI1309[[#This Row],[ALT_KOD]])+AVERAGEIFS(L:L,D:D,DST_123_ÜRETİM_İHTİYAÇ_RAPORU_BURAK_YENI1309[[#This Row],[ALT_KOD]]))</f>
        <v>1</v>
      </c>
      <c r="L5207">
        <v>0</v>
      </c>
      <c r="M5207">
        <f>IF((DST_123_ÜRETİM_İHTİYAÇ_RAPORU_BURAK_YENI1309[[#This Row],[SATINALMA]]*DST_123_ÜRETİM_İHTİYAÇ_RAPORU_BURAK_YENI1309[[#This Row],[BIRIM_FIYATLAR]])&lt;1,VALUE("0"),DST_123_ÜRETİM_İHTİYAÇ_RAPORU_BURAK_YENI1309[[#This Row],[SATINALMA]]*DST_123_ÜRETİM_İHTİYAÇ_RAPORU_BURAK_YENI1309[[#This Row],[BIRIM_FIYATLAR]])</f>
        <v>65075.75</v>
      </c>
      <c r="N5207">
        <v>65075.75</v>
      </c>
      <c r="O5207" t="s">
        <v>215</v>
      </c>
      <c r="P5207">
        <v>65075.75</v>
      </c>
      <c r="Q5207" t="s">
        <v>177</v>
      </c>
    </row>
    <row r="5208" spans="1:17" x14ac:dyDescent="0.25">
      <c r="A5208" t="s">
        <v>1059</v>
      </c>
      <c r="B5208" t="s">
        <v>1058</v>
      </c>
      <c r="C5208" t="s">
        <v>175</v>
      </c>
      <c r="D5208" t="s">
        <v>269</v>
      </c>
      <c r="E5208" t="s">
        <v>270</v>
      </c>
      <c r="F5208">
        <v>1</v>
      </c>
      <c r="G5208" t="s">
        <v>176</v>
      </c>
      <c r="H5208">
        <v>1</v>
      </c>
      <c r="I5208">
        <v>13</v>
      </c>
      <c r="J5208" s="10">
        <v>9</v>
      </c>
      <c r="K5208" s="10">
        <f>SUMIFS(F:F,D:D,DST_123_ÜRETİM_İHTİYAÇ_RAPORU_BURAK_YENI1309[[#This Row],[ALT_KOD]])-(SUMIFS(H:H,D:D,DST_123_ÜRETİM_İHTİYAÇ_RAPORU_BURAK_YENI1309[[#This Row],[ALT_KOD]])+AVERAGEIFS(I:I,D:D,DST_123_ÜRETİM_İHTİYAÇ_RAPORU_BURAK_YENI1309[[#This Row],[ALT_KOD]])+AVERAGEIFS(L:L,D:D,DST_123_ÜRETİM_İHTİYAÇ_RAPORU_BURAK_YENI1309[[#This Row],[ALT_KOD]]))</f>
        <v>-1</v>
      </c>
      <c r="L5208">
        <v>0</v>
      </c>
      <c r="M5208">
        <f>IF((DST_123_ÜRETİM_İHTİYAÇ_RAPORU_BURAK_YENI1309[[#This Row],[SATINALMA]]*DST_123_ÜRETİM_İHTİYAÇ_RAPORU_BURAK_YENI1309[[#This Row],[BIRIM_FIYATLAR]])&lt;1,VALUE("0"),DST_123_ÜRETİM_İHTİYAÇ_RAPORU_BURAK_YENI1309[[#This Row],[SATINALMA]]*DST_123_ÜRETİM_İHTİYAÇ_RAPORU_BURAK_YENI1309[[#This Row],[BIRIM_FIYATLAR]])</f>
        <v>0</v>
      </c>
      <c r="N5208">
        <v>270</v>
      </c>
      <c r="O5208" t="s">
        <v>220</v>
      </c>
      <c r="P5208">
        <v>270</v>
      </c>
      <c r="Q5208" t="s">
        <v>221</v>
      </c>
    </row>
    <row r="5209" spans="1:17" x14ac:dyDescent="0.25">
      <c r="A5209" t="s">
        <v>1099</v>
      </c>
      <c r="B5209" t="s">
        <v>1055</v>
      </c>
      <c r="C5209" t="s">
        <v>175</v>
      </c>
      <c r="D5209" t="s">
        <v>724</v>
      </c>
      <c r="E5209" t="s">
        <v>725</v>
      </c>
      <c r="F5209">
        <v>1</v>
      </c>
      <c r="G5209" t="s">
        <v>176</v>
      </c>
      <c r="H5209">
        <v>1</v>
      </c>
      <c r="I5209">
        <v>54</v>
      </c>
      <c r="J5209" s="10">
        <v>6</v>
      </c>
      <c r="K5209" s="10">
        <f>SUMIFS(F:F,D:D,DST_123_ÜRETİM_İHTİYAÇ_RAPORU_BURAK_YENI1309[[#This Row],[ALT_KOD]])-(SUMIFS(H:H,D:D,DST_123_ÜRETİM_İHTİYAÇ_RAPORU_BURAK_YENI1309[[#This Row],[ALT_KOD]])+AVERAGEIFS(I:I,D:D,DST_123_ÜRETİM_İHTİYAÇ_RAPORU_BURAK_YENI1309[[#This Row],[ALT_KOD]])+AVERAGEIFS(L:L,D:D,DST_123_ÜRETİM_İHTİYAÇ_RAPORU_BURAK_YENI1309[[#This Row],[ALT_KOD]]))</f>
        <v>-53</v>
      </c>
      <c r="L5209">
        <v>0</v>
      </c>
      <c r="M5209">
        <f>IF((DST_123_ÜRETİM_İHTİYAÇ_RAPORU_BURAK_YENI1309[[#This Row],[SATINALMA]]*DST_123_ÜRETİM_İHTİYAÇ_RAPORU_BURAK_YENI1309[[#This Row],[BIRIM_FIYATLAR]])&lt;1,VALUE("0"),DST_123_ÜRETİM_İHTİYAÇ_RAPORU_BURAK_YENI1309[[#This Row],[SATINALMA]]*DST_123_ÜRETİM_İHTİYAÇ_RAPORU_BURAK_YENI1309[[#This Row],[BIRIM_FIYATLAR]])</f>
        <v>0</v>
      </c>
      <c r="N5209">
        <v>16.5</v>
      </c>
      <c r="O5209" t="s">
        <v>240</v>
      </c>
      <c r="P5209">
        <v>16.5</v>
      </c>
      <c r="Q5209" t="s">
        <v>178</v>
      </c>
    </row>
    <row r="5210" spans="1:17" x14ac:dyDescent="0.25">
      <c r="A5210" t="s">
        <v>1060</v>
      </c>
      <c r="B5210" t="s">
        <v>1061</v>
      </c>
      <c r="C5210" t="s">
        <v>175</v>
      </c>
      <c r="D5210" t="s">
        <v>947</v>
      </c>
      <c r="E5210" t="s">
        <v>948</v>
      </c>
      <c r="F5210">
        <v>1</v>
      </c>
      <c r="G5210" t="s">
        <v>176</v>
      </c>
      <c r="H5210">
        <v>1</v>
      </c>
      <c r="I5210">
        <v>0</v>
      </c>
      <c r="J5210" s="10">
        <v>7</v>
      </c>
      <c r="K5210" s="10">
        <f>SUMIFS(F:F,D:D,DST_123_ÜRETİM_İHTİYAÇ_RAPORU_BURAK_YENI1309[[#This Row],[ALT_KOD]])-(SUMIFS(H:H,D:D,DST_123_ÜRETİM_İHTİYAÇ_RAPORU_BURAK_YENI1309[[#This Row],[ALT_KOD]])+AVERAGEIFS(I:I,D:D,DST_123_ÜRETİM_İHTİYAÇ_RAPORU_BURAK_YENI1309[[#This Row],[ALT_KOD]])+AVERAGEIFS(L:L,D:D,DST_123_ÜRETİM_İHTİYAÇ_RAPORU_BURAK_YENI1309[[#This Row],[ALT_KOD]]))</f>
        <v>2</v>
      </c>
      <c r="L5210">
        <v>0</v>
      </c>
      <c r="M5210">
        <f>IF((DST_123_ÜRETİM_İHTİYAÇ_RAPORU_BURAK_YENI1309[[#This Row],[SATINALMA]]*DST_123_ÜRETİM_İHTİYAÇ_RAPORU_BURAK_YENI1309[[#This Row],[BIRIM_FIYATLAR]])&lt;1,VALUE("0"),DST_123_ÜRETİM_İHTİYAÇ_RAPORU_BURAK_YENI1309[[#This Row],[SATINALMA]]*DST_123_ÜRETİM_İHTİYAÇ_RAPORU_BURAK_YENI1309[[#This Row],[BIRIM_FIYATLAR]])</f>
        <v>8001.48</v>
      </c>
      <c r="N5210">
        <v>4000.74</v>
      </c>
      <c r="O5210" t="s">
        <v>227</v>
      </c>
      <c r="P5210">
        <v>4000.74</v>
      </c>
      <c r="Q5210" t="s">
        <v>221</v>
      </c>
    </row>
    <row r="5211" spans="1:17" x14ac:dyDescent="0.25">
      <c r="A5211" t="s">
        <v>1057</v>
      </c>
      <c r="B5211" t="s">
        <v>1058</v>
      </c>
      <c r="C5211" t="s">
        <v>175</v>
      </c>
      <c r="D5211" t="s">
        <v>998</v>
      </c>
      <c r="E5211" t="s">
        <v>999</v>
      </c>
      <c r="F5211">
        <v>2</v>
      </c>
      <c r="G5211" t="s">
        <v>176</v>
      </c>
      <c r="H5211">
        <v>2</v>
      </c>
      <c r="I5211">
        <v>6</v>
      </c>
      <c r="J5211" s="10">
        <v>8</v>
      </c>
      <c r="K5211" s="10">
        <f>SUMIFS(F:F,D:D,DST_123_ÜRETİM_İHTİYAÇ_RAPORU_BURAK_YENI1309[[#This Row],[ALT_KOD]])-(SUMIFS(H:H,D:D,DST_123_ÜRETİM_İHTİYAÇ_RAPORU_BURAK_YENI1309[[#This Row],[ALT_KOD]])+AVERAGEIFS(I:I,D:D,DST_123_ÜRETİM_İHTİYAÇ_RAPORU_BURAK_YENI1309[[#This Row],[ALT_KOD]])+AVERAGEIFS(L:L,D:D,DST_123_ÜRETİM_İHTİYAÇ_RAPORU_BURAK_YENI1309[[#This Row],[ALT_KOD]]))</f>
        <v>-6</v>
      </c>
      <c r="L5211">
        <v>0</v>
      </c>
      <c r="M5211">
        <f>IF((DST_123_ÜRETİM_İHTİYAÇ_RAPORU_BURAK_YENI1309[[#This Row],[SATINALMA]]*DST_123_ÜRETİM_İHTİYAÇ_RAPORU_BURAK_YENI1309[[#This Row],[BIRIM_FIYATLAR]])&lt;1,VALUE("0"),DST_123_ÜRETİM_İHTİYAÇ_RAPORU_BURAK_YENI1309[[#This Row],[SATINALMA]]*DST_123_ÜRETİM_İHTİYAÇ_RAPORU_BURAK_YENI1309[[#This Row],[BIRIM_FIYATLAR]])</f>
        <v>0</v>
      </c>
      <c r="N5211">
        <v>225</v>
      </c>
      <c r="O5211" t="s">
        <v>226</v>
      </c>
      <c r="P5211">
        <v>450</v>
      </c>
      <c r="Q5211" t="s">
        <v>180</v>
      </c>
    </row>
    <row r="5212" spans="1:17" x14ac:dyDescent="0.25">
      <c r="A5212" t="s">
        <v>1100</v>
      </c>
      <c r="B5212" t="s">
        <v>1058</v>
      </c>
      <c r="C5212" t="s">
        <v>175</v>
      </c>
      <c r="D5212" t="s">
        <v>259</v>
      </c>
      <c r="E5212" t="s">
        <v>260</v>
      </c>
      <c r="F5212">
        <v>0.7</v>
      </c>
      <c r="G5212" t="s">
        <v>176</v>
      </c>
      <c r="H5212">
        <v>0.7</v>
      </c>
      <c r="I5212">
        <v>2</v>
      </c>
      <c r="J5212" s="10">
        <v>3.3000000000000052</v>
      </c>
      <c r="K5212" s="10">
        <f>SUMIFS(F:F,D:D,DST_123_ÜRETİM_İHTİYAÇ_RAPORU_BURAK_YENI1309[[#This Row],[ALT_KOD]])-(SUMIFS(H:H,D:D,DST_123_ÜRETİM_İHTİYAÇ_RAPORU_BURAK_YENI1309[[#This Row],[ALT_KOD]])+AVERAGEIFS(I:I,D:D,DST_123_ÜRETİM_İHTİYAÇ_RAPORU_BURAK_YENI1309[[#This Row],[ALT_KOD]])+AVERAGEIFS(L:L,D:D,DST_123_ÜRETİM_İHTİYAÇ_RAPORU_BURAK_YENI1309[[#This Row],[ALT_KOD]]))</f>
        <v>12.649999999999999</v>
      </c>
      <c r="L5212">
        <v>0</v>
      </c>
      <c r="M5212">
        <f>IF((DST_123_ÜRETİM_İHTİYAÇ_RAPORU_BURAK_YENI1309[[#This Row],[SATINALMA]]*DST_123_ÜRETİM_İHTİYAÇ_RAPORU_BURAK_YENI1309[[#This Row],[BIRIM_FIYATLAR]])&lt;1,VALUE("0"),DST_123_ÜRETİM_İHTİYAÇ_RAPORU_BURAK_YENI1309[[#This Row],[SATINALMA]]*DST_123_ÜRETİM_İHTİYAÇ_RAPORU_BURAK_YENI1309[[#This Row],[BIRIM_FIYATLAR]])</f>
        <v>20523.36</v>
      </c>
      <c r="N5212">
        <v>1622.4</v>
      </c>
      <c r="O5212" t="s">
        <v>261</v>
      </c>
      <c r="P5212">
        <v>1135.68</v>
      </c>
      <c r="Q5212" t="s">
        <v>183</v>
      </c>
    </row>
    <row r="5213" spans="1:17" x14ac:dyDescent="0.25">
      <c r="A5213" t="s">
        <v>1100</v>
      </c>
      <c r="B5213" t="s">
        <v>1058</v>
      </c>
      <c r="C5213" t="s">
        <v>175</v>
      </c>
      <c r="D5213" t="s">
        <v>947</v>
      </c>
      <c r="E5213" t="s">
        <v>948</v>
      </c>
      <c r="F5213">
        <v>1</v>
      </c>
      <c r="G5213" t="s">
        <v>176</v>
      </c>
      <c r="H5213">
        <v>1</v>
      </c>
      <c r="I5213">
        <v>0</v>
      </c>
      <c r="J5213" s="10">
        <v>7</v>
      </c>
      <c r="K5213" s="10">
        <f>SUMIFS(F:F,D:D,DST_123_ÜRETİM_İHTİYAÇ_RAPORU_BURAK_YENI1309[[#This Row],[ALT_KOD]])-(SUMIFS(H:H,D:D,DST_123_ÜRETİM_İHTİYAÇ_RAPORU_BURAK_YENI1309[[#This Row],[ALT_KOD]])+AVERAGEIFS(I:I,D:D,DST_123_ÜRETİM_İHTİYAÇ_RAPORU_BURAK_YENI1309[[#This Row],[ALT_KOD]])+AVERAGEIFS(L:L,D:D,DST_123_ÜRETİM_İHTİYAÇ_RAPORU_BURAK_YENI1309[[#This Row],[ALT_KOD]]))</f>
        <v>2</v>
      </c>
      <c r="L5213">
        <v>0</v>
      </c>
      <c r="M5213">
        <f>IF((DST_123_ÜRETİM_İHTİYAÇ_RAPORU_BURAK_YENI1309[[#This Row],[SATINALMA]]*DST_123_ÜRETİM_İHTİYAÇ_RAPORU_BURAK_YENI1309[[#This Row],[BIRIM_FIYATLAR]])&lt;1,VALUE("0"),DST_123_ÜRETİM_İHTİYAÇ_RAPORU_BURAK_YENI1309[[#This Row],[SATINALMA]]*DST_123_ÜRETİM_İHTİYAÇ_RAPORU_BURAK_YENI1309[[#This Row],[BIRIM_FIYATLAR]])</f>
        <v>8001.48</v>
      </c>
      <c r="N5213">
        <v>4000.74</v>
      </c>
      <c r="O5213" t="s">
        <v>227</v>
      </c>
      <c r="P5213">
        <v>4000.74</v>
      </c>
      <c r="Q5213" t="s">
        <v>221</v>
      </c>
    </row>
    <row r="5214" spans="1:17" x14ac:dyDescent="0.25">
      <c r="A5214" t="s">
        <v>1101</v>
      </c>
      <c r="B5214" t="s">
        <v>1102</v>
      </c>
      <c r="C5214" t="s">
        <v>175</v>
      </c>
      <c r="D5214" t="s">
        <v>137</v>
      </c>
      <c r="E5214" t="s">
        <v>138</v>
      </c>
      <c r="F5214">
        <v>5</v>
      </c>
      <c r="G5214" t="s">
        <v>176</v>
      </c>
      <c r="H5214">
        <v>5</v>
      </c>
      <c r="I5214">
        <v>23</v>
      </c>
      <c r="J5214" s="10">
        <v>22</v>
      </c>
      <c r="K5214" s="10">
        <f>SUMIFS(F:F,D:D,DST_123_ÜRETİM_İHTİYAÇ_RAPORU_BURAK_YENI1309[[#This Row],[ALT_KOD]])-(SUMIFS(H:H,D:D,DST_123_ÜRETİM_İHTİYAÇ_RAPORU_BURAK_YENI1309[[#This Row],[ALT_KOD]])+AVERAGEIFS(I:I,D:D,DST_123_ÜRETİM_İHTİYAÇ_RAPORU_BURAK_YENI1309[[#This Row],[ALT_KOD]])+AVERAGEIFS(L:L,D:D,DST_123_ÜRETİM_İHTİYAÇ_RAPORU_BURAK_YENI1309[[#This Row],[ALT_KOD]]))</f>
        <v>1</v>
      </c>
      <c r="L5214">
        <v>0</v>
      </c>
      <c r="M5214">
        <f>IF((DST_123_ÜRETİM_İHTİYAÇ_RAPORU_BURAK_YENI1309[[#This Row],[SATINALMA]]*DST_123_ÜRETİM_İHTİYAÇ_RAPORU_BURAK_YENI1309[[#This Row],[BIRIM_FIYATLAR]])&lt;1,VALUE("0"),DST_123_ÜRETİM_İHTİYAÇ_RAPORU_BURAK_YENI1309[[#This Row],[SATINALMA]]*DST_123_ÜRETİM_İHTİYAÇ_RAPORU_BURAK_YENI1309[[#This Row],[BIRIM_FIYATLAR]])</f>
        <v>73.349999999999994</v>
      </c>
      <c r="N5214">
        <v>73.349999999999994</v>
      </c>
      <c r="O5214" t="s">
        <v>227</v>
      </c>
      <c r="P5214">
        <v>366.75</v>
      </c>
      <c r="Q5214" t="s">
        <v>221</v>
      </c>
    </row>
    <row r="5215" spans="1:17" x14ac:dyDescent="0.25">
      <c r="A5215" t="s">
        <v>1097</v>
      </c>
      <c r="B5215" t="s">
        <v>1055</v>
      </c>
      <c r="C5215" t="s">
        <v>175</v>
      </c>
      <c r="D5215" t="s">
        <v>532</v>
      </c>
      <c r="E5215" t="s">
        <v>533</v>
      </c>
      <c r="F5215">
        <v>10</v>
      </c>
      <c r="G5215" t="s">
        <v>179</v>
      </c>
      <c r="H5215">
        <v>0</v>
      </c>
      <c r="I5215">
        <v>0</v>
      </c>
      <c r="J5215" s="10">
        <v>0</v>
      </c>
      <c r="K5215" s="10">
        <f>SUMIFS(F:F,D:D,DST_123_ÜRETİM_İHTİYAÇ_RAPORU_BURAK_YENI1309[[#This Row],[ALT_KOD]])-(SUMIFS(H:H,D:D,DST_123_ÜRETİM_İHTİYAÇ_RAPORU_BURAK_YENI1309[[#This Row],[ALT_KOD]])+AVERAGEIFS(I:I,D:D,DST_123_ÜRETİM_İHTİYAÇ_RAPORU_BURAK_YENI1309[[#This Row],[ALT_KOD]])+AVERAGEIFS(L:L,D:D,DST_123_ÜRETİM_İHTİYAÇ_RAPORU_BURAK_YENI1309[[#This Row],[ALT_KOD]]))</f>
        <v>-220</v>
      </c>
      <c r="L5215">
        <v>400</v>
      </c>
      <c r="M5215">
        <f>IF((DST_123_ÜRETİM_İHTİYAÇ_RAPORU_BURAK_YENI1309[[#This Row],[SATINALMA]]*DST_123_ÜRETİM_İHTİYAÇ_RAPORU_BURAK_YENI1309[[#This Row],[BIRIM_FIYATLAR]])&lt;1,VALUE("0"),DST_123_ÜRETİM_İHTİYAÇ_RAPORU_BURAK_YENI1309[[#This Row],[SATINALMA]]*DST_123_ÜRETİM_İHTİYAÇ_RAPORU_BURAK_YENI1309[[#This Row],[BIRIM_FIYATLAR]])</f>
        <v>0</v>
      </c>
      <c r="N5215">
        <v>5</v>
      </c>
      <c r="O5215" t="s">
        <v>224</v>
      </c>
      <c r="P5215">
        <v>50</v>
      </c>
      <c r="Q5215" t="s">
        <v>180</v>
      </c>
    </row>
    <row r="5216" spans="1:17" x14ac:dyDescent="0.25">
      <c r="A5216" t="s">
        <v>1099</v>
      </c>
      <c r="B5216" t="s">
        <v>1055</v>
      </c>
      <c r="C5216" t="s">
        <v>175</v>
      </c>
      <c r="D5216" t="s">
        <v>319</v>
      </c>
      <c r="E5216" t="s">
        <v>320</v>
      </c>
      <c r="F5216">
        <v>0.14400000000000002</v>
      </c>
      <c r="G5216" t="s">
        <v>186</v>
      </c>
      <c r="H5216">
        <v>0.14400000000000002</v>
      </c>
      <c r="I5216">
        <v>0</v>
      </c>
      <c r="J5216" s="10">
        <v>4.5430000000000446</v>
      </c>
      <c r="K5216" s="10">
        <f>SUMIFS(F:F,D:D,DST_123_ÜRETİM_İHTİYAÇ_RAPORU_BURAK_YENI1309[[#This Row],[ALT_KOD]])-(SUMIFS(H:H,D:D,DST_123_ÜRETİM_İHTİYAÇ_RAPORU_BURAK_YENI1309[[#This Row],[ALT_KOD]])+AVERAGEIFS(I:I,D:D,DST_123_ÜRETİM_İHTİYAÇ_RAPORU_BURAK_YENI1309[[#This Row],[ALT_KOD]])+AVERAGEIFS(L:L,D:D,DST_123_ÜRETİM_İHTİYAÇ_RAPORU_BURAK_YENI1309[[#This Row],[ALT_KOD]]))</f>
        <v>1.4260000000000002</v>
      </c>
      <c r="L5216">
        <v>0</v>
      </c>
      <c r="M5216">
        <f>IF((DST_123_ÜRETİM_İHTİYAÇ_RAPORU_BURAK_YENI1309[[#This Row],[SATINALMA]]*DST_123_ÜRETİM_İHTİYAÇ_RAPORU_BURAK_YENI1309[[#This Row],[BIRIM_FIYATLAR]])&lt;1,VALUE("0"),DST_123_ÜRETİM_İHTİYAÇ_RAPORU_BURAK_YENI1309[[#This Row],[SATINALMA]]*DST_123_ÜRETİM_İHTİYAÇ_RAPORU_BURAK_YENI1309[[#This Row],[BIRIM_FIYATLAR]])</f>
        <v>27807.000000000004</v>
      </c>
      <c r="N5216">
        <v>19500</v>
      </c>
      <c r="O5216" t="s">
        <v>762</v>
      </c>
      <c r="P5216">
        <v>2808.0000000000005</v>
      </c>
      <c r="Q5216" t="s">
        <v>181</v>
      </c>
    </row>
    <row r="5217" spans="1:17" x14ac:dyDescent="0.25">
      <c r="A5217" t="s">
        <v>1100</v>
      </c>
      <c r="B5217" t="s">
        <v>1058</v>
      </c>
      <c r="C5217" t="s">
        <v>175</v>
      </c>
      <c r="D5217" t="s">
        <v>953</v>
      </c>
      <c r="E5217" t="s">
        <v>954</v>
      </c>
      <c r="F5217">
        <v>2</v>
      </c>
      <c r="G5217" t="s">
        <v>176</v>
      </c>
      <c r="H5217">
        <v>2</v>
      </c>
      <c r="I5217">
        <v>48</v>
      </c>
      <c r="J5217" s="10">
        <v>2</v>
      </c>
      <c r="K5217" s="10">
        <f>SUMIFS(F:F,D:D,DST_123_ÜRETİM_İHTİYAÇ_RAPORU_BURAK_YENI1309[[#This Row],[ALT_KOD]])-(SUMIFS(H:H,D:D,DST_123_ÜRETİM_İHTİYAÇ_RAPORU_BURAK_YENI1309[[#This Row],[ALT_KOD]])+AVERAGEIFS(I:I,D:D,DST_123_ÜRETİM_İHTİYAÇ_RAPORU_BURAK_YENI1309[[#This Row],[ALT_KOD]])+AVERAGEIFS(L:L,D:D,DST_123_ÜRETİM_İHTİYAÇ_RAPORU_BURAK_YENI1309[[#This Row],[ALT_KOD]]))</f>
        <v>-44</v>
      </c>
      <c r="L5217">
        <v>0</v>
      </c>
      <c r="M5217">
        <f>IF((DST_123_ÜRETİM_İHTİYAÇ_RAPORU_BURAK_YENI1309[[#This Row],[SATINALMA]]*DST_123_ÜRETİM_İHTİYAÇ_RAPORU_BURAK_YENI1309[[#This Row],[BIRIM_FIYATLAR]])&lt;1,VALUE("0"),DST_123_ÜRETİM_İHTİYAÇ_RAPORU_BURAK_YENI1309[[#This Row],[SATINALMA]]*DST_123_ÜRETİM_İHTİYAÇ_RAPORU_BURAK_YENI1309[[#This Row],[BIRIM_FIYATLAR]])</f>
        <v>0</v>
      </c>
      <c r="N5217">
        <v>428.63</v>
      </c>
      <c r="O5217" t="s">
        <v>636</v>
      </c>
      <c r="P5217">
        <v>857.26</v>
      </c>
      <c r="Q5217" t="s">
        <v>178</v>
      </c>
    </row>
    <row r="5218" spans="1:17" x14ac:dyDescent="0.25">
      <c r="A5218" t="s">
        <v>1059</v>
      </c>
      <c r="B5218" t="s">
        <v>1058</v>
      </c>
      <c r="C5218" t="s">
        <v>175</v>
      </c>
      <c r="D5218" t="s">
        <v>1082</v>
      </c>
      <c r="E5218" t="s">
        <v>1083</v>
      </c>
      <c r="F5218">
        <v>3</v>
      </c>
      <c r="G5218" t="s">
        <v>176</v>
      </c>
      <c r="H5218">
        <v>3</v>
      </c>
      <c r="I5218">
        <v>14</v>
      </c>
      <c r="J5218" s="10">
        <v>19</v>
      </c>
      <c r="K5218" s="10">
        <f>SUMIFS(F:F,D:D,DST_123_ÜRETİM_İHTİYAÇ_RAPORU_BURAK_YENI1309[[#This Row],[ALT_KOD]])-(SUMIFS(H:H,D:D,DST_123_ÜRETİM_İHTİYAÇ_RAPORU_BURAK_YENI1309[[#This Row],[ALT_KOD]])+AVERAGEIFS(I:I,D:D,DST_123_ÜRETİM_İHTİYAÇ_RAPORU_BURAK_YENI1309[[#This Row],[ALT_KOD]])+AVERAGEIFS(L:L,D:D,DST_123_ÜRETİM_İHTİYAÇ_RAPORU_BURAK_YENI1309[[#This Row],[ALT_KOD]]))</f>
        <v>-23</v>
      </c>
      <c r="L5218">
        <v>30</v>
      </c>
      <c r="M5218">
        <f>IF((DST_123_ÜRETİM_İHTİYAÇ_RAPORU_BURAK_YENI1309[[#This Row],[SATINALMA]]*DST_123_ÜRETİM_İHTİYAÇ_RAPORU_BURAK_YENI1309[[#This Row],[BIRIM_FIYATLAR]])&lt;1,VALUE("0"),DST_123_ÜRETİM_İHTİYAÇ_RAPORU_BURAK_YENI1309[[#This Row],[SATINALMA]]*DST_123_ÜRETİM_İHTİYAÇ_RAPORU_BURAK_YENI1309[[#This Row],[BIRIM_FIYATLAR]])</f>
        <v>0</v>
      </c>
      <c r="N5218">
        <v>67.22</v>
      </c>
      <c r="O5218" t="s">
        <v>592</v>
      </c>
      <c r="P5218">
        <v>201.66</v>
      </c>
      <c r="Q5218" t="s">
        <v>178</v>
      </c>
    </row>
    <row r="5219" spans="1:17" x14ac:dyDescent="0.25">
      <c r="A5219" t="s">
        <v>1059</v>
      </c>
      <c r="B5219" t="s">
        <v>1058</v>
      </c>
      <c r="C5219" t="s">
        <v>175</v>
      </c>
      <c r="D5219" t="s">
        <v>994</v>
      </c>
      <c r="E5219" t="s">
        <v>995</v>
      </c>
      <c r="F5219">
        <v>1</v>
      </c>
      <c r="G5219" t="s">
        <v>176</v>
      </c>
      <c r="H5219">
        <v>1</v>
      </c>
      <c r="I5219">
        <v>17</v>
      </c>
      <c r="J5219" s="10">
        <v>4</v>
      </c>
      <c r="K5219" s="10">
        <f>SUMIFS(F:F,D:D,DST_123_ÜRETİM_İHTİYAÇ_RAPORU_BURAK_YENI1309[[#This Row],[ALT_KOD]])-(SUMIFS(H:H,D:D,DST_123_ÜRETİM_İHTİYAÇ_RAPORU_BURAK_YENI1309[[#This Row],[ALT_KOD]])+AVERAGEIFS(I:I,D:D,DST_123_ÜRETİM_İHTİYAÇ_RAPORU_BURAK_YENI1309[[#This Row],[ALT_KOD]])+AVERAGEIFS(L:L,D:D,DST_123_ÜRETİM_İHTİYAÇ_RAPORU_BURAK_YENI1309[[#This Row],[ALT_KOD]]))</f>
        <v>-17</v>
      </c>
      <c r="L5219">
        <v>0</v>
      </c>
      <c r="M5219">
        <f>IF((DST_123_ÜRETİM_İHTİYAÇ_RAPORU_BURAK_YENI1309[[#This Row],[SATINALMA]]*DST_123_ÜRETİM_İHTİYAÇ_RAPORU_BURAK_YENI1309[[#This Row],[BIRIM_FIYATLAR]])&lt;1,VALUE("0"),DST_123_ÜRETİM_İHTİYAÇ_RAPORU_BURAK_YENI1309[[#This Row],[SATINALMA]]*DST_123_ÜRETİM_İHTİYAÇ_RAPORU_BURAK_YENI1309[[#This Row],[BIRIM_FIYATLAR]])</f>
        <v>0</v>
      </c>
      <c r="N5219">
        <v>117.85</v>
      </c>
      <c r="O5219" t="s">
        <v>667</v>
      </c>
      <c r="P5219">
        <v>117.85</v>
      </c>
      <c r="Q5219" t="s">
        <v>177</v>
      </c>
    </row>
    <row r="5220" spans="1:17" x14ac:dyDescent="0.25">
      <c r="A5220" t="s">
        <v>1098</v>
      </c>
      <c r="B5220" t="s">
        <v>1096</v>
      </c>
      <c r="C5220" t="s">
        <v>175</v>
      </c>
      <c r="D5220" t="s">
        <v>778</v>
      </c>
      <c r="E5220" t="s">
        <v>132</v>
      </c>
      <c r="F5220">
        <v>10</v>
      </c>
      <c r="G5220" t="s">
        <v>176</v>
      </c>
      <c r="H5220">
        <v>0</v>
      </c>
      <c r="I5220">
        <v>564</v>
      </c>
      <c r="J5220" s="10">
        <v>98</v>
      </c>
      <c r="K5220" s="10">
        <f>SUMIFS(F:F,D:D,DST_123_ÜRETİM_İHTİYAÇ_RAPORU_BURAK_YENI1309[[#This Row],[ALT_KOD]])-(SUMIFS(H:H,D:D,DST_123_ÜRETİM_İHTİYAÇ_RAPORU_BURAK_YENI1309[[#This Row],[ALT_KOD]])+AVERAGEIFS(I:I,D:D,DST_123_ÜRETİM_İHTİYAÇ_RAPORU_BURAK_YENI1309[[#This Row],[ALT_KOD]])+AVERAGEIFS(L:L,D:D,DST_123_ÜRETİM_İHTİYAÇ_RAPORU_BURAK_YENI1309[[#This Row],[ALT_KOD]]))</f>
        <v>-250</v>
      </c>
      <c r="L5220">
        <v>0</v>
      </c>
      <c r="M5220">
        <f>IF((DST_123_ÜRETİM_İHTİYAÇ_RAPORU_BURAK_YENI1309[[#This Row],[SATINALMA]]*DST_123_ÜRETİM_İHTİYAÇ_RAPORU_BURAK_YENI1309[[#This Row],[BIRIM_FIYATLAR]])&lt;1,VALUE("0"),DST_123_ÜRETİM_İHTİYAÇ_RAPORU_BURAK_YENI1309[[#This Row],[SATINALMA]]*DST_123_ÜRETİM_İHTİYAÇ_RAPORU_BURAK_YENI1309[[#This Row],[BIRIM_FIYATLAR]])</f>
        <v>0</v>
      </c>
      <c r="N5220">
        <v>6.67</v>
      </c>
      <c r="O5220" t="s">
        <v>1194</v>
      </c>
      <c r="P5220">
        <v>66.7</v>
      </c>
      <c r="Q5220" t="s">
        <v>221</v>
      </c>
    </row>
    <row r="5221" spans="1:17" x14ac:dyDescent="0.25">
      <c r="A5221" t="s">
        <v>1099</v>
      </c>
      <c r="B5221" t="s">
        <v>1055</v>
      </c>
      <c r="C5221" t="s">
        <v>175</v>
      </c>
      <c r="D5221" t="s">
        <v>1051</v>
      </c>
      <c r="E5221" t="s">
        <v>1052</v>
      </c>
      <c r="F5221">
        <v>1</v>
      </c>
      <c r="G5221" t="s">
        <v>176</v>
      </c>
      <c r="H5221">
        <v>1</v>
      </c>
      <c r="I5221">
        <v>2</v>
      </c>
      <c r="J5221" s="10">
        <v>7</v>
      </c>
      <c r="K5221" s="10">
        <f>SUMIFS(F:F,D:D,DST_123_ÜRETİM_İHTİYAÇ_RAPORU_BURAK_YENI1309[[#This Row],[ALT_KOD]])-(SUMIFS(H:H,D:D,DST_123_ÜRETİM_İHTİYAÇ_RAPORU_BURAK_YENI1309[[#This Row],[ALT_KOD]])+AVERAGEIFS(I:I,D:D,DST_123_ÜRETİM_İHTİYAÇ_RAPORU_BURAK_YENI1309[[#This Row],[ALT_KOD]])+AVERAGEIFS(L:L,D:D,DST_123_ÜRETİM_İHTİYAÇ_RAPORU_BURAK_YENI1309[[#This Row],[ALT_KOD]]))</f>
        <v>10</v>
      </c>
      <c r="L5221">
        <v>0</v>
      </c>
      <c r="M5221">
        <f>IF((DST_123_ÜRETİM_İHTİYAÇ_RAPORU_BURAK_YENI1309[[#This Row],[SATINALMA]]*DST_123_ÜRETİM_İHTİYAÇ_RAPORU_BURAK_YENI1309[[#This Row],[BIRIM_FIYATLAR]])&lt;1,VALUE("0"),DST_123_ÜRETİM_İHTİYAÇ_RAPORU_BURAK_YENI1309[[#This Row],[SATINALMA]]*DST_123_ÜRETİM_İHTİYAÇ_RAPORU_BURAK_YENI1309[[#This Row],[BIRIM_FIYATLAR]])</f>
        <v>121389.3</v>
      </c>
      <c r="N5221">
        <v>12138.93</v>
      </c>
      <c r="O5221" t="s">
        <v>634</v>
      </c>
      <c r="P5221">
        <v>12138.93</v>
      </c>
      <c r="Q5221" t="s">
        <v>177</v>
      </c>
    </row>
    <row r="5222" spans="1:17" x14ac:dyDescent="0.25">
      <c r="A5222" t="s">
        <v>1097</v>
      </c>
      <c r="B5222" t="s">
        <v>1055</v>
      </c>
      <c r="C5222" t="s">
        <v>175</v>
      </c>
      <c r="D5222" t="s">
        <v>1051</v>
      </c>
      <c r="E5222" t="s">
        <v>1052</v>
      </c>
      <c r="F5222">
        <v>1</v>
      </c>
      <c r="G5222" t="s">
        <v>176</v>
      </c>
      <c r="H5222">
        <v>1</v>
      </c>
      <c r="I5222">
        <v>2</v>
      </c>
      <c r="J5222" s="10">
        <v>7</v>
      </c>
      <c r="K5222" s="10">
        <f>SUMIFS(F:F,D:D,DST_123_ÜRETİM_İHTİYAÇ_RAPORU_BURAK_YENI1309[[#This Row],[ALT_KOD]])-(SUMIFS(H:H,D:D,DST_123_ÜRETİM_İHTİYAÇ_RAPORU_BURAK_YENI1309[[#This Row],[ALT_KOD]])+AVERAGEIFS(I:I,D:D,DST_123_ÜRETİM_İHTİYAÇ_RAPORU_BURAK_YENI1309[[#This Row],[ALT_KOD]])+AVERAGEIFS(L:L,D:D,DST_123_ÜRETİM_İHTİYAÇ_RAPORU_BURAK_YENI1309[[#This Row],[ALT_KOD]]))</f>
        <v>10</v>
      </c>
      <c r="L5222">
        <v>0</v>
      </c>
      <c r="M5222">
        <f>IF((DST_123_ÜRETİM_İHTİYAÇ_RAPORU_BURAK_YENI1309[[#This Row],[SATINALMA]]*DST_123_ÜRETİM_İHTİYAÇ_RAPORU_BURAK_YENI1309[[#This Row],[BIRIM_FIYATLAR]])&lt;1,VALUE("0"),DST_123_ÜRETİM_İHTİYAÇ_RAPORU_BURAK_YENI1309[[#This Row],[SATINALMA]]*DST_123_ÜRETİM_İHTİYAÇ_RAPORU_BURAK_YENI1309[[#This Row],[BIRIM_FIYATLAR]])</f>
        <v>121389.3</v>
      </c>
      <c r="N5222">
        <v>12138.93</v>
      </c>
      <c r="O5222" t="s">
        <v>634</v>
      </c>
      <c r="P5222">
        <v>12138.93</v>
      </c>
      <c r="Q5222" t="s">
        <v>177</v>
      </c>
    </row>
    <row r="5223" spans="1:17" x14ac:dyDescent="0.25">
      <c r="A5223" t="s">
        <v>1059</v>
      </c>
      <c r="B5223" t="s">
        <v>1058</v>
      </c>
      <c r="C5223" t="s">
        <v>175</v>
      </c>
      <c r="D5223" t="s">
        <v>80</v>
      </c>
      <c r="E5223" t="s">
        <v>81</v>
      </c>
      <c r="F5223">
        <v>5</v>
      </c>
      <c r="G5223" t="s">
        <v>176</v>
      </c>
      <c r="H5223">
        <v>5</v>
      </c>
      <c r="I5223">
        <v>0</v>
      </c>
      <c r="J5223" s="10">
        <v>10.500000000000064</v>
      </c>
      <c r="K5223" s="10">
        <f>SUMIFS(F:F,D:D,DST_123_ÜRETİM_İHTİYAÇ_RAPORU_BURAK_YENI1309[[#This Row],[ALT_KOD]])-(SUMIFS(H:H,D:D,DST_123_ÜRETİM_İHTİYAÇ_RAPORU_BURAK_YENI1309[[#This Row],[ALT_KOD]])+AVERAGEIFS(I:I,D:D,DST_123_ÜRETİM_İHTİYAÇ_RAPORU_BURAK_YENI1309[[#This Row],[ALT_KOD]])+AVERAGEIFS(L:L,D:D,DST_123_ÜRETİM_İHTİYAÇ_RAPORU_BURAK_YENI1309[[#This Row],[ALT_KOD]]))</f>
        <v>25</v>
      </c>
      <c r="L5223">
        <v>40</v>
      </c>
      <c r="M5223">
        <f>IF((DST_123_ÜRETİM_İHTİYAÇ_RAPORU_BURAK_YENI1309[[#This Row],[SATINALMA]]*DST_123_ÜRETİM_İHTİYAÇ_RAPORU_BURAK_YENI1309[[#This Row],[BIRIM_FIYATLAR]])&lt;1,VALUE("0"),DST_123_ÜRETİM_İHTİYAÇ_RAPORU_BURAK_YENI1309[[#This Row],[SATINALMA]]*DST_123_ÜRETİM_İHTİYAÇ_RAPORU_BURAK_YENI1309[[#This Row],[BIRIM_FIYATLAR]])</f>
        <v>16666.75</v>
      </c>
      <c r="N5223">
        <v>666.67</v>
      </c>
      <c r="O5223" t="s">
        <v>223</v>
      </c>
      <c r="P5223">
        <v>3333.35</v>
      </c>
      <c r="Q5223" t="s">
        <v>181</v>
      </c>
    </row>
    <row r="5224" spans="1:17" x14ac:dyDescent="0.25">
      <c r="A5224" t="s">
        <v>1146</v>
      </c>
      <c r="B5224" t="s">
        <v>1145</v>
      </c>
      <c r="C5224" t="s">
        <v>175</v>
      </c>
      <c r="D5224" t="s">
        <v>781</v>
      </c>
      <c r="E5224" t="s">
        <v>782</v>
      </c>
      <c r="F5224">
        <v>1</v>
      </c>
      <c r="G5224" t="s">
        <v>176</v>
      </c>
      <c r="H5224">
        <v>0</v>
      </c>
      <c r="I5224">
        <v>14</v>
      </c>
      <c r="J5224" s="10">
        <v>9</v>
      </c>
      <c r="K5224" s="10">
        <f>SUMIFS(F:F,D:D,DST_123_ÜRETİM_İHTİYAÇ_RAPORU_BURAK_YENI1309[[#This Row],[ALT_KOD]])-(SUMIFS(H:H,D:D,DST_123_ÜRETİM_İHTİYAÇ_RAPORU_BURAK_YENI1309[[#This Row],[ALT_KOD]])+AVERAGEIFS(I:I,D:D,DST_123_ÜRETİM_İHTİYAÇ_RAPORU_BURAK_YENI1309[[#This Row],[ALT_KOD]])+AVERAGEIFS(L:L,D:D,DST_123_ÜRETİM_İHTİYAÇ_RAPORU_BURAK_YENI1309[[#This Row],[ALT_KOD]]))</f>
        <v>-3</v>
      </c>
      <c r="L5224">
        <v>0</v>
      </c>
      <c r="M5224">
        <f>IF((DST_123_ÜRETİM_İHTİYAÇ_RAPORU_BURAK_YENI1309[[#This Row],[SATINALMA]]*DST_123_ÜRETİM_İHTİYAÇ_RAPORU_BURAK_YENI1309[[#This Row],[BIRIM_FIYATLAR]])&lt;1,VALUE("0"),DST_123_ÜRETİM_İHTİYAÇ_RAPORU_BURAK_YENI1309[[#This Row],[SATINALMA]]*DST_123_ÜRETİM_İHTİYAÇ_RAPORU_BURAK_YENI1309[[#This Row],[BIRIM_FIYATLAR]])</f>
        <v>0</v>
      </c>
      <c r="N5224">
        <v>1020</v>
      </c>
      <c r="O5224" t="s">
        <v>289</v>
      </c>
      <c r="P5224">
        <v>1020</v>
      </c>
      <c r="Q5224" t="s">
        <v>178</v>
      </c>
    </row>
    <row r="5225" spans="1:17" x14ac:dyDescent="0.25">
      <c r="A5225" t="s">
        <v>1144</v>
      </c>
      <c r="B5225" t="s">
        <v>1145</v>
      </c>
      <c r="C5225" t="s">
        <v>175</v>
      </c>
      <c r="D5225" t="s">
        <v>781</v>
      </c>
      <c r="E5225" t="s">
        <v>782</v>
      </c>
      <c r="F5225">
        <v>1</v>
      </c>
      <c r="G5225" t="s">
        <v>176</v>
      </c>
      <c r="H5225">
        <v>0</v>
      </c>
      <c r="I5225">
        <v>14</v>
      </c>
      <c r="J5225" s="10">
        <v>9</v>
      </c>
      <c r="K5225" s="10">
        <f>SUMIFS(F:F,D:D,DST_123_ÜRETİM_İHTİYAÇ_RAPORU_BURAK_YENI1309[[#This Row],[ALT_KOD]])-(SUMIFS(H:H,D:D,DST_123_ÜRETİM_İHTİYAÇ_RAPORU_BURAK_YENI1309[[#This Row],[ALT_KOD]])+AVERAGEIFS(I:I,D:D,DST_123_ÜRETİM_İHTİYAÇ_RAPORU_BURAK_YENI1309[[#This Row],[ALT_KOD]])+AVERAGEIFS(L:L,D:D,DST_123_ÜRETİM_İHTİYAÇ_RAPORU_BURAK_YENI1309[[#This Row],[ALT_KOD]]))</f>
        <v>-3</v>
      </c>
      <c r="L5225">
        <v>0</v>
      </c>
      <c r="M5225">
        <f>IF((DST_123_ÜRETİM_İHTİYAÇ_RAPORU_BURAK_YENI1309[[#This Row],[SATINALMA]]*DST_123_ÜRETİM_İHTİYAÇ_RAPORU_BURAK_YENI1309[[#This Row],[BIRIM_FIYATLAR]])&lt;1,VALUE("0"),DST_123_ÜRETİM_İHTİYAÇ_RAPORU_BURAK_YENI1309[[#This Row],[SATINALMA]]*DST_123_ÜRETİM_İHTİYAÇ_RAPORU_BURAK_YENI1309[[#This Row],[BIRIM_FIYATLAR]])</f>
        <v>0</v>
      </c>
      <c r="N5225">
        <v>1020</v>
      </c>
      <c r="O5225" t="s">
        <v>289</v>
      </c>
      <c r="P5225">
        <v>1020</v>
      </c>
      <c r="Q5225" t="s">
        <v>178</v>
      </c>
    </row>
    <row r="5226" spans="1:17" x14ac:dyDescent="0.25">
      <c r="A5226" t="s">
        <v>1146</v>
      </c>
      <c r="B5226" t="s">
        <v>1145</v>
      </c>
      <c r="C5226" t="s">
        <v>175</v>
      </c>
      <c r="D5226" t="s">
        <v>778</v>
      </c>
      <c r="E5226" t="s">
        <v>132</v>
      </c>
      <c r="F5226">
        <v>14</v>
      </c>
      <c r="G5226" t="s">
        <v>176</v>
      </c>
      <c r="H5226">
        <v>0</v>
      </c>
      <c r="I5226">
        <v>564</v>
      </c>
      <c r="J5226" s="10">
        <v>98</v>
      </c>
      <c r="K5226" s="10">
        <f>SUMIFS(F:F,D:D,DST_123_ÜRETİM_İHTİYAÇ_RAPORU_BURAK_YENI1309[[#This Row],[ALT_KOD]])-(SUMIFS(H:H,D:D,DST_123_ÜRETİM_İHTİYAÇ_RAPORU_BURAK_YENI1309[[#This Row],[ALT_KOD]])+AVERAGEIFS(I:I,D:D,DST_123_ÜRETİM_İHTİYAÇ_RAPORU_BURAK_YENI1309[[#This Row],[ALT_KOD]])+AVERAGEIFS(L:L,D:D,DST_123_ÜRETİM_İHTİYAÇ_RAPORU_BURAK_YENI1309[[#This Row],[ALT_KOD]]))</f>
        <v>-250</v>
      </c>
      <c r="L5226">
        <v>0</v>
      </c>
      <c r="M5226">
        <f>IF((DST_123_ÜRETİM_İHTİYAÇ_RAPORU_BURAK_YENI1309[[#This Row],[SATINALMA]]*DST_123_ÜRETİM_İHTİYAÇ_RAPORU_BURAK_YENI1309[[#This Row],[BIRIM_FIYATLAR]])&lt;1,VALUE("0"),DST_123_ÜRETİM_İHTİYAÇ_RAPORU_BURAK_YENI1309[[#This Row],[SATINALMA]]*DST_123_ÜRETİM_İHTİYAÇ_RAPORU_BURAK_YENI1309[[#This Row],[BIRIM_FIYATLAR]])</f>
        <v>0</v>
      </c>
      <c r="N5226">
        <v>6.67</v>
      </c>
      <c r="O5226" t="s">
        <v>1194</v>
      </c>
      <c r="P5226">
        <v>93.38</v>
      </c>
      <c r="Q5226" t="s">
        <v>221</v>
      </c>
    </row>
    <row r="5227" spans="1:17" x14ac:dyDescent="0.25">
      <c r="A5227" t="s">
        <v>1144</v>
      </c>
      <c r="B5227" t="s">
        <v>1145</v>
      </c>
      <c r="C5227" t="s">
        <v>175</v>
      </c>
      <c r="D5227" t="s">
        <v>778</v>
      </c>
      <c r="E5227" t="s">
        <v>132</v>
      </c>
      <c r="F5227">
        <v>14</v>
      </c>
      <c r="G5227" t="s">
        <v>176</v>
      </c>
      <c r="H5227">
        <v>0</v>
      </c>
      <c r="I5227">
        <v>564</v>
      </c>
      <c r="J5227" s="10">
        <v>98</v>
      </c>
      <c r="K5227" s="10">
        <f>SUMIFS(F:F,D:D,DST_123_ÜRETİM_İHTİYAÇ_RAPORU_BURAK_YENI1309[[#This Row],[ALT_KOD]])-(SUMIFS(H:H,D:D,DST_123_ÜRETİM_İHTİYAÇ_RAPORU_BURAK_YENI1309[[#This Row],[ALT_KOD]])+AVERAGEIFS(I:I,D:D,DST_123_ÜRETİM_İHTİYAÇ_RAPORU_BURAK_YENI1309[[#This Row],[ALT_KOD]])+AVERAGEIFS(L:L,D:D,DST_123_ÜRETİM_İHTİYAÇ_RAPORU_BURAK_YENI1309[[#This Row],[ALT_KOD]]))</f>
        <v>-250</v>
      </c>
      <c r="L5227">
        <v>0</v>
      </c>
      <c r="M5227">
        <f>IF((DST_123_ÜRETİM_İHTİYAÇ_RAPORU_BURAK_YENI1309[[#This Row],[SATINALMA]]*DST_123_ÜRETİM_İHTİYAÇ_RAPORU_BURAK_YENI1309[[#This Row],[BIRIM_FIYATLAR]])&lt;1,VALUE("0"),DST_123_ÜRETİM_İHTİYAÇ_RAPORU_BURAK_YENI1309[[#This Row],[SATINALMA]]*DST_123_ÜRETİM_İHTİYAÇ_RAPORU_BURAK_YENI1309[[#This Row],[BIRIM_FIYATLAR]])</f>
        <v>0</v>
      </c>
      <c r="N5227">
        <v>6.67</v>
      </c>
      <c r="O5227" t="s">
        <v>1194</v>
      </c>
      <c r="P5227">
        <v>93.38</v>
      </c>
      <c r="Q5227" t="s">
        <v>221</v>
      </c>
    </row>
    <row r="5228" spans="1:17" x14ac:dyDescent="0.25">
      <c r="A5228" t="s">
        <v>1196</v>
      </c>
      <c r="B5228" t="s">
        <v>1197</v>
      </c>
      <c r="C5228" t="s">
        <v>175</v>
      </c>
      <c r="D5228" t="s">
        <v>716</v>
      </c>
      <c r="E5228" t="s">
        <v>717</v>
      </c>
      <c r="F5228">
        <v>0.2</v>
      </c>
      <c r="G5228" t="s">
        <v>179</v>
      </c>
      <c r="H5228">
        <v>0</v>
      </c>
      <c r="I5228">
        <v>200</v>
      </c>
      <c r="J5228" s="10">
        <v>85.649999999999977</v>
      </c>
      <c r="K5228" s="10">
        <f>SUMIFS(F:F,D:D,DST_123_ÜRETİM_İHTİYAÇ_RAPORU_BURAK_YENI1309[[#This Row],[ALT_KOD]])-(SUMIFS(H:H,D:D,DST_123_ÜRETİM_İHTİYAÇ_RAPORU_BURAK_YENI1309[[#This Row],[ALT_KOD]])+AVERAGEIFS(I:I,D:D,DST_123_ÜRETİM_İHTİYAÇ_RAPORU_BURAK_YENI1309[[#This Row],[ALT_KOD]])+AVERAGEIFS(L:L,D:D,DST_123_ÜRETİM_İHTİYAÇ_RAPORU_BURAK_YENI1309[[#This Row],[ALT_KOD]]))</f>
        <v>-196.4</v>
      </c>
      <c r="L5228">
        <v>0</v>
      </c>
      <c r="M5228">
        <f>IF((DST_123_ÜRETİM_İHTİYAÇ_RAPORU_BURAK_YENI1309[[#This Row],[SATINALMA]]*DST_123_ÜRETİM_İHTİYAÇ_RAPORU_BURAK_YENI1309[[#This Row],[BIRIM_FIYATLAR]])&lt;1,VALUE("0"),DST_123_ÜRETİM_İHTİYAÇ_RAPORU_BURAK_YENI1309[[#This Row],[SATINALMA]]*DST_123_ÜRETİM_İHTİYAÇ_RAPORU_BURAK_YENI1309[[#This Row],[BIRIM_FIYATLAR]])</f>
        <v>0</v>
      </c>
      <c r="N5228">
        <v>3.62</v>
      </c>
      <c r="O5228" t="s">
        <v>826</v>
      </c>
      <c r="P5228">
        <v>0.72400000000000009</v>
      </c>
      <c r="Q5228" t="s">
        <v>221</v>
      </c>
    </row>
    <row r="5229" spans="1:17" x14ac:dyDescent="0.25">
      <c r="A5229" t="s">
        <v>1196</v>
      </c>
      <c r="B5229" t="s">
        <v>1197</v>
      </c>
      <c r="C5229" t="s">
        <v>175</v>
      </c>
      <c r="D5229" t="s">
        <v>738</v>
      </c>
      <c r="E5229" t="s">
        <v>739</v>
      </c>
      <c r="F5229">
        <v>1</v>
      </c>
      <c r="G5229" t="s">
        <v>176</v>
      </c>
      <c r="H5229">
        <v>0</v>
      </c>
      <c r="I5229">
        <v>10</v>
      </c>
      <c r="J5229" s="10">
        <v>16</v>
      </c>
      <c r="K5229" s="10">
        <f>SUMIFS(F:F,D:D,DST_123_ÜRETİM_İHTİYAÇ_RAPORU_BURAK_YENI1309[[#This Row],[ALT_KOD]])-(SUMIFS(H:H,D:D,DST_123_ÜRETİM_İHTİYAÇ_RAPORU_BURAK_YENI1309[[#This Row],[ALT_KOD]])+AVERAGEIFS(I:I,D:D,DST_123_ÜRETİM_İHTİYAÇ_RAPORU_BURAK_YENI1309[[#This Row],[ALT_KOD]])+AVERAGEIFS(L:L,D:D,DST_123_ÜRETİM_İHTİYAÇ_RAPORU_BURAK_YENI1309[[#This Row],[ALT_KOD]]))</f>
        <v>2</v>
      </c>
      <c r="L5229">
        <v>0</v>
      </c>
      <c r="M5229">
        <f>IF((DST_123_ÜRETİM_İHTİYAÇ_RAPORU_BURAK_YENI1309[[#This Row],[SATINALMA]]*DST_123_ÜRETİM_İHTİYAÇ_RAPORU_BURAK_YENI1309[[#This Row],[BIRIM_FIYATLAR]])&lt;1,VALUE("0"),DST_123_ÜRETİM_İHTİYAÇ_RAPORU_BURAK_YENI1309[[#This Row],[SATINALMA]]*DST_123_ÜRETİM_İHTİYAÇ_RAPORU_BURAK_YENI1309[[#This Row],[BIRIM_FIYATLAR]])</f>
        <v>233.34</v>
      </c>
      <c r="N5229">
        <v>116.67</v>
      </c>
      <c r="O5229" t="s">
        <v>667</v>
      </c>
      <c r="P5229">
        <v>116.67</v>
      </c>
      <c r="Q5229" t="s">
        <v>177</v>
      </c>
    </row>
    <row r="5230" spans="1:17" x14ac:dyDescent="0.25">
      <c r="A5230" t="s">
        <v>1099</v>
      </c>
      <c r="B5230" t="s">
        <v>1055</v>
      </c>
      <c r="C5230" t="s">
        <v>175</v>
      </c>
      <c r="D5230" t="s">
        <v>778</v>
      </c>
      <c r="E5230" t="s">
        <v>132</v>
      </c>
      <c r="F5230">
        <v>16</v>
      </c>
      <c r="G5230" t="s">
        <v>176</v>
      </c>
      <c r="H5230">
        <v>0</v>
      </c>
      <c r="I5230">
        <v>564</v>
      </c>
      <c r="J5230" s="10">
        <v>98</v>
      </c>
      <c r="K5230" s="10">
        <f>SUMIFS(F:F,D:D,DST_123_ÜRETİM_İHTİYAÇ_RAPORU_BURAK_YENI1309[[#This Row],[ALT_KOD]])-(SUMIFS(H:H,D:D,DST_123_ÜRETİM_İHTİYAÇ_RAPORU_BURAK_YENI1309[[#This Row],[ALT_KOD]])+AVERAGEIFS(I:I,D:D,DST_123_ÜRETİM_İHTİYAÇ_RAPORU_BURAK_YENI1309[[#This Row],[ALT_KOD]])+AVERAGEIFS(L:L,D:D,DST_123_ÜRETİM_İHTİYAÇ_RAPORU_BURAK_YENI1309[[#This Row],[ALT_KOD]]))</f>
        <v>-250</v>
      </c>
      <c r="L5230">
        <v>0</v>
      </c>
      <c r="M5230">
        <f>IF((DST_123_ÜRETİM_İHTİYAÇ_RAPORU_BURAK_YENI1309[[#This Row],[SATINALMA]]*DST_123_ÜRETİM_İHTİYAÇ_RAPORU_BURAK_YENI1309[[#This Row],[BIRIM_FIYATLAR]])&lt;1,VALUE("0"),DST_123_ÜRETİM_İHTİYAÇ_RAPORU_BURAK_YENI1309[[#This Row],[SATINALMA]]*DST_123_ÜRETİM_İHTİYAÇ_RAPORU_BURAK_YENI1309[[#This Row],[BIRIM_FIYATLAR]])</f>
        <v>0</v>
      </c>
      <c r="N5230">
        <v>6.67</v>
      </c>
      <c r="O5230" t="s">
        <v>1194</v>
      </c>
      <c r="P5230">
        <v>106.72</v>
      </c>
      <c r="Q5230" t="s">
        <v>221</v>
      </c>
    </row>
    <row r="5231" spans="1:17" x14ac:dyDescent="0.25">
      <c r="A5231" t="s">
        <v>1064</v>
      </c>
      <c r="B5231" t="s">
        <v>1055</v>
      </c>
      <c r="C5231" t="s">
        <v>175</v>
      </c>
      <c r="D5231" t="s">
        <v>285</v>
      </c>
      <c r="E5231" t="s">
        <v>286</v>
      </c>
      <c r="F5231">
        <v>0.4</v>
      </c>
      <c r="G5231" t="s">
        <v>185</v>
      </c>
      <c r="H5231">
        <v>0.4</v>
      </c>
      <c r="I5231">
        <v>0</v>
      </c>
      <c r="J5231" s="10">
        <v>24.129999999999985</v>
      </c>
      <c r="K5231" s="10">
        <f>SUMIFS(F:F,D:D,DST_123_ÜRETİM_İHTİYAÇ_RAPORU_BURAK_YENI1309[[#This Row],[ALT_KOD]])-(SUMIFS(H:H,D:D,DST_123_ÜRETİM_İHTİYAÇ_RAPORU_BURAK_YENI1309[[#This Row],[ALT_KOD]])+AVERAGEIFS(I:I,D:D,DST_123_ÜRETİM_İHTİYAÇ_RAPORU_BURAK_YENI1309[[#This Row],[ALT_KOD]])+AVERAGEIFS(L:L,D:D,DST_123_ÜRETİM_İHTİYAÇ_RAPORU_BURAK_YENI1309[[#This Row],[ALT_KOD]]))</f>
        <v>4.1899999999999995</v>
      </c>
      <c r="L5231">
        <v>0</v>
      </c>
      <c r="M5231">
        <f>IF((DST_123_ÜRETİM_İHTİYAÇ_RAPORU_BURAK_YENI1309[[#This Row],[SATINALMA]]*DST_123_ÜRETİM_İHTİYAÇ_RAPORU_BURAK_YENI1309[[#This Row],[BIRIM_FIYATLAR]])&lt;1,VALUE("0"),DST_123_ÜRETİM_İHTİYAÇ_RAPORU_BURAK_YENI1309[[#This Row],[SATINALMA]]*DST_123_ÜRETİM_İHTİYAÇ_RAPORU_BURAK_YENI1309[[#This Row],[BIRIM_FIYATLAR]])</f>
        <v>1667.7456999999997</v>
      </c>
      <c r="N5231">
        <v>398.03</v>
      </c>
      <c r="O5231" t="s">
        <v>490</v>
      </c>
      <c r="P5231">
        <v>159.21199999999999</v>
      </c>
      <c r="Q5231" t="s">
        <v>183</v>
      </c>
    </row>
    <row r="5232" spans="1:17" x14ac:dyDescent="0.25">
      <c r="A5232" t="s">
        <v>1099</v>
      </c>
      <c r="B5232" t="s">
        <v>1055</v>
      </c>
      <c r="C5232" t="s">
        <v>175</v>
      </c>
      <c r="D5232" t="s">
        <v>607</v>
      </c>
      <c r="E5232" t="s">
        <v>608</v>
      </c>
      <c r="F5232">
        <v>2</v>
      </c>
      <c r="G5232" t="s">
        <v>176</v>
      </c>
      <c r="H5232">
        <v>2</v>
      </c>
      <c r="I5232">
        <v>0</v>
      </c>
      <c r="J5232" s="10">
        <v>10</v>
      </c>
      <c r="K5232" s="10">
        <f>SUMIFS(F:F,D:D,DST_123_ÜRETİM_İHTİYAÇ_RAPORU_BURAK_YENI1309[[#This Row],[ALT_KOD]])-(SUMIFS(H:H,D:D,DST_123_ÜRETİM_İHTİYAÇ_RAPORU_BURAK_YENI1309[[#This Row],[ALT_KOD]])+AVERAGEIFS(I:I,D:D,DST_123_ÜRETİM_İHTİYAÇ_RAPORU_BURAK_YENI1309[[#This Row],[ALT_KOD]])+AVERAGEIFS(L:L,D:D,DST_123_ÜRETİM_İHTİYAÇ_RAPORU_BURAK_YENI1309[[#This Row],[ALT_KOD]]))</f>
        <v>24</v>
      </c>
      <c r="L5232">
        <v>0</v>
      </c>
      <c r="M5232">
        <f>IF((DST_123_ÜRETİM_İHTİYAÇ_RAPORU_BURAK_YENI1309[[#This Row],[SATINALMA]]*DST_123_ÜRETİM_İHTİYAÇ_RAPORU_BURAK_YENI1309[[#This Row],[BIRIM_FIYATLAR]])&lt;1,VALUE("0"),DST_123_ÜRETİM_İHTİYAÇ_RAPORU_BURAK_YENI1309[[#This Row],[SATINALMA]]*DST_123_ÜRETİM_İHTİYAÇ_RAPORU_BURAK_YENI1309[[#This Row],[BIRIM_FIYATLAR]])</f>
        <v>1358.4</v>
      </c>
      <c r="N5232">
        <v>56.6</v>
      </c>
      <c r="O5232" t="s">
        <v>636</v>
      </c>
      <c r="P5232">
        <v>113.2</v>
      </c>
      <c r="Q5232" t="s">
        <v>177</v>
      </c>
    </row>
    <row r="5233" spans="1:17" x14ac:dyDescent="0.25">
      <c r="A5233" t="s">
        <v>1144</v>
      </c>
      <c r="B5233" t="s">
        <v>1145</v>
      </c>
      <c r="C5233" t="s">
        <v>175</v>
      </c>
      <c r="D5233" t="s">
        <v>1062</v>
      </c>
      <c r="E5233" t="s">
        <v>1063</v>
      </c>
      <c r="F5233">
        <v>1</v>
      </c>
      <c r="G5233" t="s">
        <v>176</v>
      </c>
      <c r="H5233">
        <v>1</v>
      </c>
      <c r="I5233">
        <v>4</v>
      </c>
      <c r="J5233" s="10">
        <v>3</v>
      </c>
      <c r="K5233" s="10">
        <f>SUMIFS(F:F,D:D,DST_123_ÜRETİM_İHTİYAÇ_RAPORU_BURAK_YENI1309[[#This Row],[ALT_KOD]])-(SUMIFS(H:H,D:D,DST_123_ÜRETİM_İHTİYAÇ_RAPORU_BURAK_YENI1309[[#This Row],[ALT_KOD]])+AVERAGEIFS(I:I,D:D,DST_123_ÜRETİM_İHTİYAÇ_RAPORU_BURAK_YENI1309[[#This Row],[ALT_KOD]])+AVERAGEIFS(L:L,D:D,DST_123_ÜRETİM_İHTİYAÇ_RAPORU_BURAK_YENI1309[[#This Row],[ALT_KOD]]))</f>
        <v>-4</v>
      </c>
      <c r="L5233">
        <v>0</v>
      </c>
      <c r="M5233">
        <f>IF((DST_123_ÜRETİM_İHTİYAÇ_RAPORU_BURAK_YENI1309[[#This Row],[SATINALMA]]*DST_123_ÜRETİM_İHTİYAÇ_RAPORU_BURAK_YENI1309[[#This Row],[BIRIM_FIYATLAR]])&lt;1,VALUE("0"),DST_123_ÜRETİM_İHTİYAÇ_RAPORU_BURAK_YENI1309[[#This Row],[SATINALMA]]*DST_123_ÜRETİM_İHTİYAÇ_RAPORU_BURAK_YENI1309[[#This Row],[BIRIM_FIYATLAR]])</f>
        <v>0</v>
      </c>
      <c r="N5233">
        <v>12124.73</v>
      </c>
      <c r="O5233" t="s">
        <v>589</v>
      </c>
      <c r="P5233">
        <v>12124.73</v>
      </c>
      <c r="Q5233" t="s">
        <v>177</v>
      </c>
    </row>
    <row r="5234" spans="1:17" x14ac:dyDescent="0.25">
      <c r="A5234" t="s">
        <v>1099</v>
      </c>
      <c r="B5234" t="s">
        <v>1055</v>
      </c>
      <c r="C5234" t="s">
        <v>175</v>
      </c>
      <c r="D5234" t="s">
        <v>738</v>
      </c>
      <c r="E5234" t="s">
        <v>739</v>
      </c>
      <c r="F5234">
        <v>1</v>
      </c>
      <c r="G5234" t="s">
        <v>176</v>
      </c>
      <c r="H5234">
        <v>1</v>
      </c>
      <c r="I5234">
        <v>10</v>
      </c>
      <c r="J5234" s="10">
        <v>16</v>
      </c>
      <c r="K5234" s="10">
        <f>SUMIFS(F:F,D:D,DST_123_ÜRETİM_İHTİYAÇ_RAPORU_BURAK_YENI1309[[#This Row],[ALT_KOD]])-(SUMIFS(H:H,D:D,DST_123_ÜRETİM_İHTİYAÇ_RAPORU_BURAK_YENI1309[[#This Row],[ALT_KOD]])+AVERAGEIFS(I:I,D:D,DST_123_ÜRETİM_İHTİYAÇ_RAPORU_BURAK_YENI1309[[#This Row],[ALT_KOD]])+AVERAGEIFS(L:L,D:D,DST_123_ÜRETİM_İHTİYAÇ_RAPORU_BURAK_YENI1309[[#This Row],[ALT_KOD]]))</f>
        <v>2</v>
      </c>
      <c r="L5234">
        <v>0</v>
      </c>
      <c r="M5234">
        <f>IF((DST_123_ÜRETİM_İHTİYAÇ_RAPORU_BURAK_YENI1309[[#This Row],[SATINALMA]]*DST_123_ÜRETİM_İHTİYAÇ_RAPORU_BURAK_YENI1309[[#This Row],[BIRIM_FIYATLAR]])&lt;1,VALUE("0"),DST_123_ÜRETİM_İHTİYAÇ_RAPORU_BURAK_YENI1309[[#This Row],[SATINALMA]]*DST_123_ÜRETİM_İHTİYAÇ_RAPORU_BURAK_YENI1309[[#This Row],[BIRIM_FIYATLAR]])</f>
        <v>233.34</v>
      </c>
      <c r="N5234">
        <v>116.67</v>
      </c>
      <c r="O5234" t="s">
        <v>667</v>
      </c>
      <c r="P5234">
        <v>116.67</v>
      </c>
      <c r="Q5234" t="s">
        <v>177</v>
      </c>
    </row>
    <row r="5235" spans="1:17" x14ac:dyDescent="0.25">
      <c r="A5235" t="s">
        <v>1150</v>
      </c>
      <c r="B5235" t="s">
        <v>1145</v>
      </c>
      <c r="C5235" t="s">
        <v>175</v>
      </c>
      <c r="D5235" t="s">
        <v>738</v>
      </c>
      <c r="E5235" t="s">
        <v>739</v>
      </c>
      <c r="F5235">
        <v>1</v>
      </c>
      <c r="G5235" t="s">
        <v>176</v>
      </c>
      <c r="H5235">
        <v>0</v>
      </c>
      <c r="I5235">
        <v>10</v>
      </c>
      <c r="J5235" s="10">
        <v>16</v>
      </c>
      <c r="K5235" s="10">
        <f>SUMIFS(F:F,D:D,DST_123_ÜRETİM_İHTİYAÇ_RAPORU_BURAK_YENI1309[[#This Row],[ALT_KOD]])-(SUMIFS(H:H,D:D,DST_123_ÜRETİM_İHTİYAÇ_RAPORU_BURAK_YENI1309[[#This Row],[ALT_KOD]])+AVERAGEIFS(I:I,D:D,DST_123_ÜRETİM_İHTİYAÇ_RAPORU_BURAK_YENI1309[[#This Row],[ALT_KOD]])+AVERAGEIFS(L:L,D:D,DST_123_ÜRETİM_İHTİYAÇ_RAPORU_BURAK_YENI1309[[#This Row],[ALT_KOD]]))</f>
        <v>2</v>
      </c>
      <c r="L5235">
        <v>0</v>
      </c>
      <c r="M5235">
        <f>IF((DST_123_ÜRETİM_İHTİYAÇ_RAPORU_BURAK_YENI1309[[#This Row],[SATINALMA]]*DST_123_ÜRETİM_İHTİYAÇ_RAPORU_BURAK_YENI1309[[#This Row],[BIRIM_FIYATLAR]])&lt;1,VALUE("0"),DST_123_ÜRETİM_İHTİYAÇ_RAPORU_BURAK_YENI1309[[#This Row],[SATINALMA]]*DST_123_ÜRETİM_İHTİYAÇ_RAPORU_BURAK_YENI1309[[#This Row],[BIRIM_FIYATLAR]])</f>
        <v>233.34</v>
      </c>
      <c r="N5235">
        <v>116.67</v>
      </c>
      <c r="O5235" t="s">
        <v>667</v>
      </c>
      <c r="P5235">
        <v>116.67</v>
      </c>
      <c r="Q5235" t="s">
        <v>177</v>
      </c>
    </row>
    <row r="5236" spans="1:17" x14ac:dyDescent="0.25">
      <c r="A5236" t="s">
        <v>1064</v>
      </c>
      <c r="B5236" t="s">
        <v>1055</v>
      </c>
      <c r="C5236" t="s">
        <v>175</v>
      </c>
      <c r="D5236" t="s">
        <v>582</v>
      </c>
      <c r="E5236" t="s">
        <v>583</v>
      </c>
      <c r="F5236">
        <v>5.9</v>
      </c>
      <c r="G5236" t="s">
        <v>185</v>
      </c>
      <c r="H5236">
        <v>0</v>
      </c>
      <c r="I5236">
        <v>0</v>
      </c>
      <c r="J5236" s="10">
        <v>297.39999999999998</v>
      </c>
      <c r="K5236" s="10">
        <f>SUMIFS(F:F,D:D,DST_123_ÜRETİM_İHTİYAÇ_RAPORU_BURAK_YENI1309[[#This Row],[ALT_KOD]])-(SUMIFS(H:H,D:D,DST_123_ÜRETİM_İHTİYAÇ_RAPORU_BURAK_YENI1309[[#This Row],[ALT_KOD]])+AVERAGEIFS(I:I,D:D,DST_123_ÜRETİM_İHTİYAÇ_RAPORU_BURAK_YENI1309[[#This Row],[ALT_KOD]])+AVERAGEIFS(L:L,D:D,DST_123_ÜRETİM_İHTİYAÇ_RAPORU_BURAK_YENI1309[[#This Row],[ALT_KOD]]))</f>
        <v>94.40000000000002</v>
      </c>
      <c r="L5236">
        <v>0</v>
      </c>
      <c r="M5236">
        <f>IF((DST_123_ÜRETİM_İHTİYAÇ_RAPORU_BURAK_YENI1309[[#This Row],[SATINALMA]]*DST_123_ÜRETİM_İHTİYAÇ_RAPORU_BURAK_YENI1309[[#This Row],[BIRIM_FIYATLAR]])&lt;1,VALUE("0"),DST_123_ÜRETİM_İHTİYAÇ_RAPORU_BURAK_YENI1309[[#This Row],[SATINALMA]]*DST_123_ÜRETİM_İHTİYAÇ_RAPORU_BURAK_YENI1309[[#This Row],[BIRIM_FIYATLAR]])</f>
        <v>21972.544000000005</v>
      </c>
      <c r="N5236">
        <v>232.76</v>
      </c>
      <c r="O5236" t="s">
        <v>490</v>
      </c>
      <c r="P5236">
        <v>1373.2840000000001</v>
      </c>
      <c r="Q5236" t="s">
        <v>183</v>
      </c>
    </row>
    <row r="5237" spans="1:17" x14ac:dyDescent="0.25">
      <c r="A5237" t="s">
        <v>1098</v>
      </c>
      <c r="B5237" t="s">
        <v>1096</v>
      </c>
      <c r="C5237" t="s">
        <v>175</v>
      </c>
      <c r="D5237" t="s">
        <v>582</v>
      </c>
      <c r="E5237" t="s">
        <v>583</v>
      </c>
      <c r="F5237">
        <v>5.9</v>
      </c>
      <c r="G5237" t="s">
        <v>185</v>
      </c>
      <c r="H5237">
        <v>0</v>
      </c>
      <c r="I5237">
        <v>0</v>
      </c>
      <c r="J5237" s="10">
        <v>297.39999999999998</v>
      </c>
      <c r="K5237" s="10">
        <f>SUMIFS(F:F,D:D,DST_123_ÜRETİM_İHTİYAÇ_RAPORU_BURAK_YENI1309[[#This Row],[ALT_KOD]])-(SUMIFS(H:H,D:D,DST_123_ÜRETİM_İHTİYAÇ_RAPORU_BURAK_YENI1309[[#This Row],[ALT_KOD]])+AVERAGEIFS(I:I,D:D,DST_123_ÜRETİM_İHTİYAÇ_RAPORU_BURAK_YENI1309[[#This Row],[ALT_KOD]])+AVERAGEIFS(L:L,D:D,DST_123_ÜRETİM_İHTİYAÇ_RAPORU_BURAK_YENI1309[[#This Row],[ALT_KOD]]))</f>
        <v>94.40000000000002</v>
      </c>
      <c r="L5237">
        <v>0</v>
      </c>
      <c r="M5237">
        <f>IF((DST_123_ÜRETİM_İHTİYAÇ_RAPORU_BURAK_YENI1309[[#This Row],[SATINALMA]]*DST_123_ÜRETİM_İHTİYAÇ_RAPORU_BURAK_YENI1309[[#This Row],[BIRIM_FIYATLAR]])&lt;1,VALUE("0"),DST_123_ÜRETİM_İHTİYAÇ_RAPORU_BURAK_YENI1309[[#This Row],[SATINALMA]]*DST_123_ÜRETİM_İHTİYAÇ_RAPORU_BURAK_YENI1309[[#This Row],[BIRIM_FIYATLAR]])</f>
        <v>21972.544000000005</v>
      </c>
      <c r="N5237">
        <v>232.76</v>
      </c>
      <c r="O5237" t="s">
        <v>490</v>
      </c>
      <c r="P5237">
        <v>1373.2840000000001</v>
      </c>
      <c r="Q5237" t="s">
        <v>183</v>
      </c>
    </row>
    <row r="5238" spans="1:17" x14ac:dyDescent="0.25">
      <c r="A5238" t="s">
        <v>1064</v>
      </c>
      <c r="B5238" t="s">
        <v>1055</v>
      </c>
      <c r="C5238" t="s">
        <v>175</v>
      </c>
      <c r="D5238" t="s">
        <v>865</v>
      </c>
      <c r="E5238" t="s">
        <v>644</v>
      </c>
      <c r="F5238">
        <v>3</v>
      </c>
      <c r="G5238" t="s">
        <v>176</v>
      </c>
      <c r="H5238">
        <v>3</v>
      </c>
      <c r="I5238">
        <v>3</v>
      </c>
      <c r="J5238" s="10">
        <v>13</v>
      </c>
      <c r="K5238" s="10">
        <f>SUMIFS(F:F,D:D,DST_123_ÜRETİM_İHTİYAÇ_RAPORU_BURAK_YENI1309[[#This Row],[ALT_KOD]])-(SUMIFS(H:H,D:D,DST_123_ÜRETİM_İHTİYAÇ_RAPORU_BURAK_YENI1309[[#This Row],[ALT_KOD]])+AVERAGEIFS(I:I,D:D,DST_123_ÜRETİM_İHTİYAÇ_RAPORU_BURAK_YENI1309[[#This Row],[ALT_KOD]])+AVERAGEIFS(L:L,D:D,DST_123_ÜRETİM_İHTİYAÇ_RAPORU_BURAK_YENI1309[[#This Row],[ALT_KOD]]))</f>
        <v>12</v>
      </c>
      <c r="L5238">
        <v>0</v>
      </c>
      <c r="M5238">
        <f>IF((DST_123_ÜRETİM_İHTİYAÇ_RAPORU_BURAK_YENI1309[[#This Row],[SATINALMA]]*DST_123_ÜRETİM_İHTİYAÇ_RAPORU_BURAK_YENI1309[[#This Row],[BIRIM_FIYATLAR]])&lt;1,VALUE("0"),DST_123_ÜRETİM_İHTİYAÇ_RAPORU_BURAK_YENI1309[[#This Row],[SATINALMA]]*DST_123_ÜRETİM_İHTİYAÇ_RAPORU_BURAK_YENI1309[[#This Row],[BIRIM_FIYATLAR]])</f>
        <v>43576.08</v>
      </c>
      <c r="N5238">
        <v>3631.34</v>
      </c>
      <c r="O5238" t="s">
        <v>647</v>
      </c>
      <c r="P5238">
        <v>10894.02</v>
      </c>
      <c r="Q5238" t="s">
        <v>177</v>
      </c>
    </row>
    <row r="5239" spans="1:17" x14ac:dyDescent="0.25">
      <c r="A5239" t="s">
        <v>1098</v>
      </c>
      <c r="B5239" t="s">
        <v>1096</v>
      </c>
      <c r="C5239" t="s">
        <v>175</v>
      </c>
      <c r="D5239" t="s">
        <v>865</v>
      </c>
      <c r="E5239" t="s">
        <v>644</v>
      </c>
      <c r="F5239">
        <v>2</v>
      </c>
      <c r="G5239" t="s">
        <v>176</v>
      </c>
      <c r="H5239">
        <v>0</v>
      </c>
      <c r="I5239">
        <v>3</v>
      </c>
      <c r="J5239" s="10">
        <v>13</v>
      </c>
      <c r="K5239" s="10">
        <f>SUMIFS(F:F,D:D,DST_123_ÜRETİM_İHTİYAÇ_RAPORU_BURAK_YENI1309[[#This Row],[ALT_KOD]])-(SUMIFS(H:H,D:D,DST_123_ÜRETİM_İHTİYAÇ_RAPORU_BURAK_YENI1309[[#This Row],[ALT_KOD]])+AVERAGEIFS(I:I,D:D,DST_123_ÜRETİM_İHTİYAÇ_RAPORU_BURAK_YENI1309[[#This Row],[ALT_KOD]])+AVERAGEIFS(L:L,D:D,DST_123_ÜRETİM_İHTİYAÇ_RAPORU_BURAK_YENI1309[[#This Row],[ALT_KOD]]))</f>
        <v>12</v>
      </c>
      <c r="L5239">
        <v>0</v>
      </c>
      <c r="M5239">
        <f>IF((DST_123_ÜRETİM_İHTİYAÇ_RAPORU_BURAK_YENI1309[[#This Row],[SATINALMA]]*DST_123_ÜRETİM_İHTİYAÇ_RAPORU_BURAK_YENI1309[[#This Row],[BIRIM_FIYATLAR]])&lt;1,VALUE("0"),DST_123_ÜRETİM_İHTİYAÇ_RAPORU_BURAK_YENI1309[[#This Row],[SATINALMA]]*DST_123_ÜRETİM_İHTİYAÇ_RAPORU_BURAK_YENI1309[[#This Row],[BIRIM_FIYATLAR]])</f>
        <v>43576.08</v>
      </c>
      <c r="N5239">
        <v>3631.34</v>
      </c>
      <c r="O5239" t="s">
        <v>647</v>
      </c>
      <c r="P5239">
        <v>7262.68</v>
      </c>
      <c r="Q5239" t="s">
        <v>177</v>
      </c>
    </row>
    <row r="5240" spans="1:17" x14ac:dyDescent="0.25">
      <c r="A5240" t="s">
        <v>1196</v>
      </c>
      <c r="B5240" t="s">
        <v>1197</v>
      </c>
      <c r="C5240" t="s">
        <v>175</v>
      </c>
      <c r="D5240" t="s">
        <v>803</v>
      </c>
      <c r="E5240" t="s">
        <v>804</v>
      </c>
      <c r="F5240">
        <v>1</v>
      </c>
      <c r="G5240" t="s">
        <v>176</v>
      </c>
      <c r="H5240">
        <v>0</v>
      </c>
      <c r="I5240">
        <v>7</v>
      </c>
      <c r="J5240" s="10">
        <v>2</v>
      </c>
      <c r="K5240" s="10">
        <f>SUMIFS(F:F,D:D,DST_123_ÜRETİM_İHTİYAÇ_RAPORU_BURAK_YENI1309[[#This Row],[ALT_KOD]])-(SUMIFS(H:H,D:D,DST_123_ÜRETİM_İHTİYAÇ_RAPORU_BURAK_YENI1309[[#This Row],[ALT_KOD]])+AVERAGEIFS(I:I,D:D,DST_123_ÜRETİM_İHTİYAÇ_RAPORU_BURAK_YENI1309[[#This Row],[ALT_KOD]])+AVERAGEIFS(L:L,D:D,DST_123_ÜRETİM_İHTİYAÇ_RAPORU_BURAK_YENI1309[[#This Row],[ALT_KOD]]))</f>
        <v>0</v>
      </c>
      <c r="L5240">
        <v>0</v>
      </c>
      <c r="M5240">
        <f>IF((DST_123_ÜRETİM_İHTİYAÇ_RAPORU_BURAK_YENI1309[[#This Row],[SATINALMA]]*DST_123_ÜRETİM_İHTİYAÇ_RAPORU_BURAK_YENI1309[[#This Row],[BIRIM_FIYATLAR]])&lt;1,VALUE("0"),DST_123_ÜRETİM_İHTİYAÇ_RAPORU_BURAK_YENI1309[[#This Row],[SATINALMA]]*DST_123_ÜRETİM_İHTİYAÇ_RAPORU_BURAK_YENI1309[[#This Row],[BIRIM_FIYATLAR]])</f>
        <v>0</v>
      </c>
      <c r="N5240">
        <v>337.5</v>
      </c>
      <c r="O5240" t="s">
        <v>246</v>
      </c>
      <c r="P5240">
        <v>337.5</v>
      </c>
      <c r="Q5240" t="s">
        <v>177</v>
      </c>
    </row>
    <row r="5241" spans="1:17" x14ac:dyDescent="0.25">
      <c r="A5241" t="s">
        <v>1146</v>
      </c>
      <c r="B5241" t="s">
        <v>1145</v>
      </c>
      <c r="C5241" t="s">
        <v>175</v>
      </c>
      <c r="D5241" t="s">
        <v>558</v>
      </c>
      <c r="E5241" t="s">
        <v>559</v>
      </c>
      <c r="F5241">
        <v>4.25</v>
      </c>
      <c r="G5241" t="s">
        <v>176</v>
      </c>
      <c r="H5241">
        <v>4.25</v>
      </c>
      <c r="I5241">
        <v>34</v>
      </c>
      <c r="J5241" s="10">
        <v>97.880000000000024</v>
      </c>
      <c r="K5241" s="10">
        <f>SUMIFS(F:F,D:D,DST_123_ÜRETİM_İHTİYAÇ_RAPORU_BURAK_YENI1309[[#This Row],[ALT_KOD]])-(SUMIFS(H:H,D:D,DST_123_ÜRETİM_İHTİYAÇ_RAPORU_BURAK_YENI1309[[#This Row],[ALT_KOD]])+AVERAGEIFS(I:I,D:D,DST_123_ÜRETİM_İHTİYAÇ_RAPORU_BURAK_YENI1309[[#This Row],[ALT_KOD]])+AVERAGEIFS(L:L,D:D,DST_123_ÜRETİM_İHTİYAÇ_RAPORU_BURAK_YENI1309[[#This Row],[ALT_KOD]]))</f>
        <v>0.88000000000000256</v>
      </c>
      <c r="L5241">
        <v>0</v>
      </c>
      <c r="M5241">
        <f>IF((DST_123_ÜRETİM_İHTİYAÇ_RAPORU_BURAK_YENI1309[[#This Row],[SATINALMA]]*DST_123_ÜRETİM_İHTİYAÇ_RAPORU_BURAK_YENI1309[[#This Row],[BIRIM_FIYATLAR]])&lt;1,VALUE("0"),DST_123_ÜRETİM_İHTİYAÇ_RAPORU_BURAK_YENI1309[[#This Row],[SATINALMA]]*DST_123_ÜRETİM_İHTİYAÇ_RAPORU_BURAK_YENI1309[[#This Row],[BIRIM_FIYATLAR]])</f>
        <v>48.400000000000141</v>
      </c>
      <c r="N5241">
        <v>55</v>
      </c>
      <c r="O5241" t="s">
        <v>240</v>
      </c>
      <c r="P5241">
        <v>233.75</v>
      </c>
      <c r="Q5241" t="s">
        <v>180</v>
      </c>
    </row>
    <row r="5242" spans="1:17" x14ac:dyDescent="0.25">
      <c r="A5242" t="s">
        <v>1147</v>
      </c>
      <c r="B5242" t="s">
        <v>1145</v>
      </c>
      <c r="C5242" t="s">
        <v>175</v>
      </c>
      <c r="D5242" t="s">
        <v>614</v>
      </c>
      <c r="E5242" t="s">
        <v>615</v>
      </c>
      <c r="F5242">
        <v>1.5</v>
      </c>
      <c r="G5242" t="s">
        <v>185</v>
      </c>
      <c r="H5242">
        <v>0</v>
      </c>
      <c r="I5242">
        <v>39</v>
      </c>
      <c r="J5242" s="10">
        <v>40.000000000000014</v>
      </c>
      <c r="K5242" s="10">
        <f>SUMIFS(F:F,D:D,DST_123_ÜRETİM_İHTİYAÇ_RAPORU_BURAK_YENI1309[[#This Row],[ALT_KOD]])-(SUMIFS(H:H,D:D,DST_123_ÜRETİM_İHTİYAÇ_RAPORU_BURAK_YENI1309[[#This Row],[ALT_KOD]])+AVERAGEIFS(I:I,D:D,DST_123_ÜRETİM_İHTİYAÇ_RAPORU_BURAK_YENI1309[[#This Row],[ALT_KOD]])+AVERAGEIFS(L:L,D:D,DST_123_ÜRETİM_İHTİYAÇ_RAPORU_BURAK_YENI1309[[#This Row],[ALT_KOD]]))</f>
        <v>-18.5</v>
      </c>
      <c r="L5242">
        <v>0</v>
      </c>
      <c r="M5242">
        <f>IF((DST_123_ÜRETİM_İHTİYAÇ_RAPORU_BURAK_YENI1309[[#This Row],[SATINALMA]]*DST_123_ÜRETİM_İHTİYAÇ_RAPORU_BURAK_YENI1309[[#This Row],[BIRIM_FIYATLAR]])&lt;1,VALUE("0"),DST_123_ÜRETİM_İHTİYAÇ_RAPORU_BURAK_YENI1309[[#This Row],[SATINALMA]]*DST_123_ÜRETİM_İHTİYAÇ_RAPORU_BURAK_YENI1309[[#This Row],[BIRIM_FIYATLAR]])</f>
        <v>0</v>
      </c>
      <c r="N5242">
        <v>212.93</v>
      </c>
      <c r="O5242" t="s">
        <v>253</v>
      </c>
      <c r="P5242">
        <v>319.39499999999998</v>
      </c>
      <c r="Q5242" t="s">
        <v>181</v>
      </c>
    </row>
    <row r="5243" spans="1:17" x14ac:dyDescent="0.25">
      <c r="A5243" t="s">
        <v>1100</v>
      </c>
      <c r="B5243" t="s">
        <v>1058</v>
      </c>
      <c r="C5243" t="s">
        <v>175</v>
      </c>
      <c r="D5243" t="s">
        <v>614</v>
      </c>
      <c r="E5243" t="s">
        <v>615</v>
      </c>
      <c r="F5243">
        <v>1.5</v>
      </c>
      <c r="G5243" t="s">
        <v>185</v>
      </c>
      <c r="H5243">
        <v>0</v>
      </c>
      <c r="I5243">
        <v>39</v>
      </c>
      <c r="J5243" s="10">
        <v>40.000000000000014</v>
      </c>
      <c r="K5243" s="10">
        <f>SUMIFS(F:F,D:D,DST_123_ÜRETİM_İHTİYAÇ_RAPORU_BURAK_YENI1309[[#This Row],[ALT_KOD]])-(SUMIFS(H:H,D:D,DST_123_ÜRETİM_İHTİYAÇ_RAPORU_BURAK_YENI1309[[#This Row],[ALT_KOD]])+AVERAGEIFS(I:I,D:D,DST_123_ÜRETİM_İHTİYAÇ_RAPORU_BURAK_YENI1309[[#This Row],[ALT_KOD]])+AVERAGEIFS(L:L,D:D,DST_123_ÜRETİM_İHTİYAÇ_RAPORU_BURAK_YENI1309[[#This Row],[ALT_KOD]]))</f>
        <v>-18.5</v>
      </c>
      <c r="L5243">
        <v>0</v>
      </c>
      <c r="M5243">
        <f>IF((DST_123_ÜRETİM_İHTİYAÇ_RAPORU_BURAK_YENI1309[[#This Row],[SATINALMA]]*DST_123_ÜRETİM_İHTİYAÇ_RAPORU_BURAK_YENI1309[[#This Row],[BIRIM_FIYATLAR]])&lt;1,VALUE("0"),DST_123_ÜRETİM_İHTİYAÇ_RAPORU_BURAK_YENI1309[[#This Row],[SATINALMA]]*DST_123_ÜRETİM_İHTİYAÇ_RAPORU_BURAK_YENI1309[[#This Row],[BIRIM_FIYATLAR]])</f>
        <v>0</v>
      </c>
      <c r="N5243">
        <v>212.93</v>
      </c>
      <c r="O5243" t="s">
        <v>253</v>
      </c>
      <c r="P5243">
        <v>319.39499999999998</v>
      </c>
      <c r="Q5243" t="s">
        <v>181</v>
      </c>
    </row>
    <row r="5244" spans="1:17" x14ac:dyDescent="0.25">
      <c r="A5244" t="s">
        <v>1148</v>
      </c>
      <c r="B5244" t="s">
        <v>1056</v>
      </c>
      <c r="C5244" t="s">
        <v>175</v>
      </c>
      <c r="D5244" t="s">
        <v>614</v>
      </c>
      <c r="E5244" t="s">
        <v>615</v>
      </c>
      <c r="F5244">
        <v>0.5</v>
      </c>
      <c r="G5244" t="s">
        <v>185</v>
      </c>
      <c r="H5244">
        <v>0</v>
      </c>
      <c r="I5244">
        <v>39</v>
      </c>
      <c r="J5244" s="10">
        <v>40.000000000000014</v>
      </c>
      <c r="K5244" s="10">
        <f>SUMIFS(F:F,D:D,DST_123_ÜRETİM_İHTİYAÇ_RAPORU_BURAK_YENI1309[[#This Row],[ALT_KOD]])-(SUMIFS(H:H,D:D,DST_123_ÜRETİM_İHTİYAÇ_RAPORU_BURAK_YENI1309[[#This Row],[ALT_KOD]])+AVERAGEIFS(I:I,D:D,DST_123_ÜRETİM_İHTİYAÇ_RAPORU_BURAK_YENI1309[[#This Row],[ALT_KOD]])+AVERAGEIFS(L:L,D:D,DST_123_ÜRETİM_İHTİYAÇ_RAPORU_BURAK_YENI1309[[#This Row],[ALT_KOD]]))</f>
        <v>-18.5</v>
      </c>
      <c r="L5244">
        <v>0</v>
      </c>
      <c r="M5244">
        <f>IF((DST_123_ÜRETİM_İHTİYAÇ_RAPORU_BURAK_YENI1309[[#This Row],[SATINALMA]]*DST_123_ÜRETİM_İHTİYAÇ_RAPORU_BURAK_YENI1309[[#This Row],[BIRIM_FIYATLAR]])&lt;1,VALUE("0"),DST_123_ÜRETİM_İHTİYAÇ_RAPORU_BURAK_YENI1309[[#This Row],[SATINALMA]]*DST_123_ÜRETİM_İHTİYAÇ_RAPORU_BURAK_YENI1309[[#This Row],[BIRIM_FIYATLAR]])</f>
        <v>0</v>
      </c>
      <c r="N5244">
        <v>212.93</v>
      </c>
      <c r="O5244" t="s">
        <v>253</v>
      </c>
      <c r="P5244">
        <v>106.465</v>
      </c>
      <c r="Q5244" t="s">
        <v>181</v>
      </c>
    </row>
    <row r="5245" spans="1:17" x14ac:dyDescent="0.25">
      <c r="A5245" t="s">
        <v>1060</v>
      </c>
      <c r="B5245" t="s">
        <v>1061</v>
      </c>
      <c r="C5245" t="s">
        <v>175</v>
      </c>
      <c r="D5245" t="s">
        <v>582</v>
      </c>
      <c r="E5245" t="s">
        <v>583</v>
      </c>
      <c r="F5245">
        <v>5.9</v>
      </c>
      <c r="G5245" t="s">
        <v>185</v>
      </c>
      <c r="H5245">
        <v>0</v>
      </c>
      <c r="I5245">
        <v>0</v>
      </c>
      <c r="J5245" s="10">
        <v>297.39999999999998</v>
      </c>
      <c r="K5245" s="10">
        <f>SUMIFS(F:F,D:D,DST_123_ÜRETİM_İHTİYAÇ_RAPORU_BURAK_YENI1309[[#This Row],[ALT_KOD]])-(SUMIFS(H:H,D:D,DST_123_ÜRETİM_İHTİYAÇ_RAPORU_BURAK_YENI1309[[#This Row],[ALT_KOD]])+AVERAGEIFS(I:I,D:D,DST_123_ÜRETİM_İHTİYAÇ_RAPORU_BURAK_YENI1309[[#This Row],[ALT_KOD]])+AVERAGEIFS(L:L,D:D,DST_123_ÜRETİM_İHTİYAÇ_RAPORU_BURAK_YENI1309[[#This Row],[ALT_KOD]]))</f>
        <v>94.40000000000002</v>
      </c>
      <c r="L5245">
        <v>0</v>
      </c>
      <c r="M5245">
        <f>IF((DST_123_ÜRETİM_İHTİYAÇ_RAPORU_BURAK_YENI1309[[#This Row],[SATINALMA]]*DST_123_ÜRETİM_İHTİYAÇ_RAPORU_BURAK_YENI1309[[#This Row],[BIRIM_FIYATLAR]])&lt;1,VALUE("0"),DST_123_ÜRETİM_İHTİYAÇ_RAPORU_BURAK_YENI1309[[#This Row],[SATINALMA]]*DST_123_ÜRETİM_İHTİYAÇ_RAPORU_BURAK_YENI1309[[#This Row],[BIRIM_FIYATLAR]])</f>
        <v>21972.544000000005</v>
      </c>
      <c r="N5245">
        <v>232.76</v>
      </c>
      <c r="O5245" t="s">
        <v>490</v>
      </c>
      <c r="P5245">
        <v>1373.2840000000001</v>
      </c>
      <c r="Q5245" t="s">
        <v>183</v>
      </c>
    </row>
    <row r="5246" spans="1:17" x14ac:dyDescent="0.25">
      <c r="A5246" t="s">
        <v>1057</v>
      </c>
      <c r="B5246" t="s">
        <v>1058</v>
      </c>
      <c r="C5246" t="s">
        <v>175</v>
      </c>
      <c r="D5246" t="s">
        <v>582</v>
      </c>
      <c r="E5246" t="s">
        <v>583</v>
      </c>
      <c r="F5246">
        <v>5.9</v>
      </c>
      <c r="G5246" t="s">
        <v>185</v>
      </c>
      <c r="H5246">
        <v>0</v>
      </c>
      <c r="I5246">
        <v>0</v>
      </c>
      <c r="J5246" s="10">
        <v>297.39999999999998</v>
      </c>
      <c r="K5246" s="10">
        <f>SUMIFS(F:F,D:D,DST_123_ÜRETİM_İHTİYAÇ_RAPORU_BURAK_YENI1309[[#This Row],[ALT_KOD]])-(SUMIFS(H:H,D:D,DST_123_ÜRETİM_İHTİYAÇ_RAPORU_BURAK_YENI1309[[#This Row],[ALT_KOD]])+AVERAGEIFS(I:I,D:D,DST_123_ÜRETİM_İHTİYAÇ_RAPORU_BURAK_YENI1309[[#This Row],[ALT_KOD]])+AVERAGEIFS(L:L,D:D,DST_123_ÜRETİM_İHTİYAÇ_RAPORU_BURAK_YENI1309[[#This Row],[ALT_KOD]]))</f>
        <v>94.40000000000002</v>
      </c>
      <c r="L5246">
        <v>0</v>
      </c>
      <c r="M5246">
        <f>IF((DST_123_ÜRETİM_İHTİYAÇ_RAPORU_BURAK_YENI1309[[#This Row],[SATINALMA]]*DST_123_ÜRETİM_İHTİYAÇ_RAPORU_BURAK_YENI1309[[#This Row],[BIRIM_FIYATLAR]])&lt;1,VALUE("0"),DST_123_ÜRETİM_İHTİYAÇ_RAPORU_BURAK_YENI1309[[#This Row],[SATINALMA]]*DST_123_ÜRETİM_İHTİYAÇ_RAPORU_BURAK_YENI1309[[#This Row],[BIRIM_FIYATLAR]])</f>
        <v>21972.544000000005</v>
      </c>
      <c r="N5246">
        <v>232.76</v>
      </c>
      <c r="O5246" t="s">
        <v>490</v>
      </c>
      <c r="P5246">
        <v>1373.2840000000001</v>
      </c>
      <c r="Q5246" t="s">
        <v>183</v>
      </c>
    </row>
    <row r="5247" spans="1:17" x14ac:dyDescent="0.25">
      <c r="A5247" t="s">
        <v>1098</v>
      </c>
      <c r="B5247" t="s">
        <v>1096</v>
      </c>
      <c r="C5247" t="s">
        <v>175</v>
      </c>
      <c r="D5247" t="s">
        <v>637</v>
      </c>
      <c r="E5247" t="s">
        <v>638</v>
      </c>
      <c r="F5247">
        <v>1</v>
      </c>
      <c r="G5247" t="s">
        <v>176</v>
      </c>
      <c r="H5247">
        <v>0</v>
      </c>
      <c r="I5247">
        <v>19</v>
      </c>
      <c r="J5247" s="10">
        <v>17</v>
      </c>
      <c r="K5247" s="10">
        <f>SUMIFS(F:F,D:D,DST_123_ÜRETİM_İHTİYAÇ_RAPORU_BURAK_YENI1309[[#This Row],[ALT_KOD]])-(SUMIFS(H:H,D:D,DST_123_ÜRETİM_İHTİYAÇ_RAPORU_BURAK_YENI1309[[#This Row],[ALT_KOD]])+AVERAGEIFS(I:I,D:D,DST_123_ÜRETİM_İHTİYAÇ_RAPORU_BURAK_YENI1309[[#This Row],[ALT_KOD]])+AVERAGEIFS(L:L,D:D,DST_123_ÜRETİM_İHTİYAÇ_RAPORU_BURAK_YENI1309[[#This Row],[ALT_KOD]]))</f>
        <v>0</v>
      </c>
      <c r="L5247">
        <v>0</v>
      </c>
      <c r="M5247">
        <f>IF((DST_123_ÜRETİM_İHTİYAÇ_RAPORU_BURAK_YENI1309[[#This Row],[SATINALMA]]*DST_123_ÜRETİM_İHTİYAÇ_RAPORU_BURAK_YENI1309[[#This Row],[BIRIM_FIYATLAR]])&lt;1,VALUE("0"),DST_123_ÜRETİM_İHTİYAÇ_RAPORU_BURAK_YENI1309[[#This Row],[SATINALMA]]*DST_123_ÜRETİM_İHTİYAÇ_RAPORU_BURAK_YENI1309[[#This Row],[BIRIM_FIYATLAR]])</f>
        <v>0</v>
      </c>
      <c r="N5247">
        <v>113.64</v>
      </c>
      <c r="O5247" t="s">
        <v>639</v>
      </c>
      <c r="P5247">
        <v>113.64</v>
      </c>
      <c r="Q5247" t="s">
        <v>640</v>
      </c>
    </row>
    <row r="5248" spans="1:17" x14ac:dyDescent="0.25">
      <c r="A5248" t="s">
        <v>1098</v>
      </c>
      <c r="B5248" t="s">
        <v>1096</v>
      </c>
      <c r="C5248" t="s">
        <v>175</v>
      </c>
      <c r="D5248" t="s">
        <v>830</v>
      </c>
      <c r="E5248" t="s">
        <v>831</v>
      </c>
      <c r="F5248">
        <v>5</v>
      </c>
      <c r="G5248" t="s">
        <v>179</v>
      </c>
      <c r="H5248">
        <v>0</v>
      </c>
      <c r="I5248">
        <v>100</v>
      </c>
      <c r="J5248" s="10">
        <v>0</v>
      </c>
      <c r="K5248" s="10">
        <f>SUMIFS(F:F,D:D,DST_123_ÜRETİM_İHTİYAÇ_RAPORU_BURAK_YENI1309[[#This Row],[ALT_KOD]])-(SUMIFS(H:H,D:D,DST_123_ÜRETİM_İHTİYAÇ_RAPORU_BURAK_YENI1309[[#This Row],[ALT_KOD]])+AVERAGEIFS(I:I,D:D,DST_123_ÜRETİM_İHTİYAÇ_RAPORU_BURAK_YENI1309[[#This Row],[ALT_KOD]])+AVERAGEIFS(L:L,D:D,DST_123_ÜRETİM_İHTİYAÇ_RAPORU_BURAK_YENI1309[[#This Row],[ALT_KOD]]))</f>
        <v>-227.63999999999987</v>
      </c>
      <c r="L5248">
        <v>214.64</v>
      </c>
      <c r="M5248">
        <f>IF((DST_123_ÜRETİM_İHTİYAÇ_RAPORU_BURAK_YENI1309[[#This Row],[SATINALMA]]*DST_123_ÜRETİM_İHTİYAÇ_RAPORU_BURAK_YENI1309[[#This Row],[BIRIM_FIYATLAR]])&lt;1,VALUE("0"),DST_123_ÜRETİM_İHTİYAÇ_RAPORU_BURAK_YENI1309[[#This Row],[SATINALMA]]*DST_123_ÜRETİM_İHTİYAÇ_RAPORU_BURAK_YENI1309[[#This Row],[BIRIM_FIYATLAR]])</f>
        <v>0</v>
      </c>
      <c r="N5248">
        <v>50.81</v>
      </c>
      <c r="O5248" t="s">
        <v>832</v>
      </c>
      <c r="P5248">
        <v>254.05</v>
      </c>
      <c r="Q5248" t="s">
        <v>184</v>
      </c>
    </row>
    <row r="5249" spans="1:17" x14ac:dyDescent="0.25">
      <c r="A5249" t="s">
        <v>1098</v>
      </c>
      <c r="B5249" t="s">
        <v>1096</v>
      </c>
      <c r="C5249" t="s">
        <v>175</v>
      </c>
      <c r="D5249" t="s">
        <v>844</v>
      </c>
      <c r="E5249" t="s">
        <v>845</v>
      </c>
      <c r="F5249">
        <v>4</v>
      </c>
      <c r="G5249" t="s">
        <v>176</v>
      </c>
      <c r="H5249">
        <v>0</v>
      </c>
      <c r="I5249">
        <v>36</v>
      </c>
      <c r="J5249" s="10">
        <v>26</v>
      </c>
      <c r="K5249" s="10">
        <f>SUMIFS(F:F,D:D,DST_123_ÜRETİM_İHTİYAÇ_RAPORU_BURAK_YENI1309[[#This Row],[ALT_KOD]])-(SUMIFS(H:H,D:D,DST_123_ÜRETİM_İHTİYAÇ_RAPORU_BURAK_YENI1309[[#This Row],[ALT_KOD]])+AVERAGEIFS(I:I,D:D,DST_123_ÜRETİM_İHTİYAÇ_RAPORU_BURAK_YENI1309[[#This Row],[ALT_KOD]])+AVERAGEIFS(L:L,D:D,DST_123_ÜRETİM_İHTİYAÇ_RAPORU_BURAK_YENI1309[[#This Row],[ALT_KOD]]))</f>
        <v>1</v>
      </c>
      <c r="L5249">
        <v>0</v>
      </c>
      <c r="M5249">
        <f>IF((DST_123_ÜRETİM_İHTİYAÇ_RAPORU_BURAK_YENI1309[[#This Row],[SATINALMA]]*DST_123_ÜRETİM_İHTİYAÇ_RAPORU_BURAK_YENI1309[[#This Row],[BIRIM_FIYATLAR]])&lt;1,VALUE("0"),DST_123_ÜRETİM_İHTİYAÇ_RAPORU_BURAK_YENI1309[[#This Row],[SATINALMA]]*DST_123_ÜRETİM_İHTİYAÇ_RAPORU_BURAK_YENI1309[[#This Row],[BIRIM_FIYATLAR]])</f>
        <v>348.7</v>
      </c>
      <c r="N5249">
        <v>348.7</v>
      </c>
      <c r="O5249" t="s">
        <v>636</v>
      </c>
      <c r="P5249">
        <v>1394.8</v>
      </c>
      <c r="Q5249" t="s">
        <v>177</v>
      </c>
    </row>
    <row r="5250" spans="1:17" x14ac:dyDescent="0.25">
      <c r="A5250" t="s">
        <v>1150</v>
      </c>
      <c r="B5250" t="s">
        <v>1145</v>
      </c>
      <c r="C5250" t="s">
        <v>175</v>
      </c>
      <c r="D5250" t="s">
        <v>830</v>
      </c>
      <c r="E5250" t="s">
        <v>831</v>
      </c>
      <c r="F5250">
        <v>4</v>
      </c>
      <c r="G5250" t="s">
        <v>179</v>
      </c>
      <c r="H5250">
        <v>0</v>
      </c>
      <c r="I5250">
        <v>100</v>
      </c>
      <c r="J5250" s="10">
        <v>0</v>
      </c>
      <c r="K5250" s="10">
        <f>SUMIFS(F:F,D:D,DST_123_ÜRETİM_İHTİYAÇ_RAPORU_BURAK_YENI1309[[#This Row],[ALT_KOD]])-(SUMIFS(H:H,D:D,DST_123_ÜRETİM_İHTİYAÇ_RAPORU_BURAK_YENI1309[[#This Row],[ALT_KOD]])+AVERAGEIFS(I:I,D:D,DST_123_ÜRETİM_İHTİYAÇ_RAPORU_BURAK_YENI1309[[#This Row],[ALT_KOD]])+AVERAGEIFS(L:L,D:D,DST_123_ÜRETİM_İHTİYAÇ_RAPORU_BURAK_YENI1309[[#This Row],[ALT_KOD]]))</f>
        <v>-227.63999999999987</v>
      </c>
      <c r="L5250">
        <v>214.64</v>
      </c>
      <c r="M5250">
        <f>IF((DST_123_ÜRETİM_İHTİYAÇ_RAPORU_BURAK_YENI1309[[#This Row],[SATINALMA]]*DST_123_ÜRETİM_İHTİYAÇ_RAPORU_BURAK_YENI1309[[#This Row],[BIRIM_FIYATLAR]])&lt;1,VALUE("0"),DST_123_ÜRETİM_İHTİYAÇ_RAPORU_BURAK_YENI1309[[#This Row],[SATINALMA]]*DST_123_ÜRETİM_İHTİYAÇ_RAPORU_BURAK_YENI1309[[#This Row],[BIRIM_FIYATLAR]])</f>
        <v>0</v>
      </c>
      <c r="N5250">
        <v>50.81</v>
      </c>
      <c r="O5250" t="s">
        <v>832</v>
      </c>
      <c r="P5250">
        <v>203.24</v>
      </c>
      <c r="Q5250" t="s">
        <v>184</v>
      </c>
    </row>
    <row r="5251" spans="1:17" x14ac:dyDescent="0.25">
      <c r="A5251" t="s">
        <v>1149</v>
      </c>
      <c r="B5251" t="s">
        <v>1145</v>
      </c>
      <c r="C5251" t="s">
        <v>175</v>
      </c>
      <c r="D5251" t="s">
        <v>1035</v>
      </c>
      <c r="E5251" t="s">
        <v>1036</v>
      </c>
      <c r="F5251">
        <v>1</v>
      </c>
      <c r="G5251" t="s">
        <v>176</v>
      </c>
      <c r="H5251">
        <v>0</v>
      </c>
      <c r="I5251">
        <v>19</v>
      </c>
      <c r="J5251" s="10">
        <v>4</v>
      </c>
      <c r="K5251" s="10">
        <f>SUMIFS(F:F,D:D,DST_123_ÜRETİM_İHTİYAÇ_RAPORU_BURAK_YENI1309[[#This Row],[ALT_KOD]])-(SUMIFS(H:H,D:D,DST_123_ÜRETİM_İHTİYAÇ_RAPORU_BURAK_YENI1309[[#This Row],[ALT_KOD]])+AVERAGEIFS(I:I,D:D,DST_123_ÜRETİM_İHTİYAÇ_RAPORU_BURAK_YENI1309[[#This Row],[ALT_KOD]])+AVERAGEIFS(L:L,D:D,DST_123_ÜRETİM_İHTİYAÇ_RAPORU_BURAK_YENI1309[[#This Row],[ALT_KOD]]))</f>
        <v>-12</v>
      </c>
      <c r="L5251">
        <v>0</v>
      </c>
      <c r="M5251">
        <f>IF((DST_123_ÜRETİM_İHTİYAÇ_RAPORU_BURAK_YENI1309[[#This Row],[SATINALMA]]*DST_123_ÜRETİM_İHTİYAÇ_RAPORU_BURAK_YENI1309[[#This Row],[BIRIM_FIYATLAR]])&lt;1,VALUE("0"),DST_123_ÜRETİM_İHTİYAÇ_RAPORU_BURAK_YENI1309[[#This Row],[SATINALMA]]*DST_123_ÜRETİM_İHTİYAÇ_RAPORU_BURAK_YENI1309[[#This Row],[BIRIM_FIYATLAR]])</f>
        <v>0</v>
      </c>
      <c r="N5251">
        <v>85</v>
      </c>
      <c r="O5251" t="s">
        <v>821</v>
      </c>
      <c r="P5251">
        <v>85</v>
      </c>
      <c r="Q5251" t="s">
        <v>178</v>
      </c>
    </row>
    <row r="5252" spans="1:17" x14ac:dyDescent="0.25">
      <c r="A5252" t="s">
        <v>1146</v>
      </c>
      <c r="B5252" t="s">
        <v>1145</v>
      </c>
      <c r="C5252" t="s">
        <v>175</v>
      </c>
      <c r="D5252" t="s">
        <v>1035</v>
      </c>
      <c r="E5252" t="s">
        <v>1036</v>
      </c>
      <c r="F5252">
        <v>1</v>
      </c>
      <c r="G5252" t="s">
        <v>176</v>
      </c>
      <c r="H5252">
        <v>0</v>
      </c>
      <c r="I5252">
        <v>19</v>
      </c>
      <c r="J5252" s="10">
        <v>4</v>
      </c>
      <c r="K5252" s="10">
        <f>SUMIFS(F:F,D:D,DST_123_ÜRETİM_İHTİYAÇ_RAPORU_BURAK_YENI1309[[#This Row],[ALT_KOD]])-(SUMIFS(H:H,D:D,DST_123_ÜRETİM_İHTİYAÇ_RAPORU_BURAK_YENI1309[[#This Row],[ALT_KOD]])+AVERAGEIFS(I:I,D:D,DST_123_ÜRETİM_İHTİYAÇ_RAPORU_BURAK_YENI1309[[#This Row],[ALT_KOD]])+AVERAGEIFS(L:L,D:D,DST_123_ÜRETİM_İHTİYAÇ_RAPORU_BURAK_YENI1309[[#This Row],[ALT_KOD]]))</f>
        <v>-12</v>
      </c>
      <c r="L5252">
        <v>0</v>
      </c>
      <c r="M5252">
        <f>IF((DST_123_ÜRETİM_İHTİYAÇ_RAPORU_BURAK_YENI1309[[#This Row],[SATINALMA]]*DST_123_ÜRETİM_İHTİYAÇ_RAPORU_BURAK_YENI1309[[#This Row],[BIRIM_FIYATLAR]])&lt;1,VALUE("0"),DST_123_ÜRETİM_İHTİYAÇ_RAPORU_BURAK_YENI1309[[#This Row],[SATINALMA]]*DST_123_ÜRETİM_İHTİYAÇ_RAPORU_BURAK_YENI1309[[#This Row],[BIRIM_FIYATLAR]])</f>
        <v>0</v>
      </c>
      <c r="N5252">
        <v>85</v>
      </c>
      <c r="O5252" t="s">
        <v>821</v>
      </c>
      <c r="P5252">
        <v>85</v>
      </c>
      <c r="Q5252" t="s">
        <v>178</v>
      </c>
    </row>
    <row r="5253" spans="1:17" x14ac:dyDescent="0.25">
      <c r="A5253" t="s">
        <v>1144</v>
      </c>
      <c r="B5253" t="s">
        <v>1145</v>
      </c>
      <c r="C5253" t="s">
        <v>175</v>
      </c>
      <c r="D5253" t="s">
        <v>1035</v>
      </c>
      <c r="E5253" t="s">
        <v>1036</v>
      </c>
      <c r="F5253">
        <v>1</v>
      </c>
      <c r="G5253" t="s">
        <v>176</v>
      </c>
      <c r="H5253">
        <v>0</v>
      </c>
      <c r="I5253">
        <v>19</v>
      </c>
      <c r="J5253" s="10">
        <v>4</v>
      </c>
      <c r="K5253" s="10">
        <f>SUMIFS(F:F,D:D,DST_123_ÜRETİM_İHTİYAÇ_RAPORU_BURAK_YENI1309[[#This Row],[ALT_KOD]])-(SUMIFS(H:H,D:D,DST_123_ÜRETİM_İHTİYAÇ_RAPORU_BURAK_YENI1309[[#This Row],[ALT_KOD]])+AVERAGEIFS(I:I,D:D,DST_123_ÜRETİM_İHTİYAÇ_RAPORU_BURAK_YENI1309[[#This Row],[ALT_KOD]])+AVERAGEIFS(L:L,D:D,DST_123_ÜRETİM_İHTİYAÇ_RAPORU_BURAK_YENI1309[[#This Row],[ALT_KOD]]))</f>
        <v>-12</v>
      </c>
      <c r="L5253">
        <v>0</v>
      </c>
      <c r="M5253">
        <f>IF((DST_123_ÜRETİM_İHTİYAÇ_RAPORU_BURAK_YENI1309[[#This Row],[SATINALMA]]*DST_123_ÜRETİM_İHTİYAÇ_RAPORU_BURAK_YENI1309[[#This Row],[BIRIM_FIYATLAR]])&lt;1,VALUE("0"),DST_123_ÜRETİM_İHTİYAÇ_RAPORU_BURAK_YENI1309[[#This Row],[SATINALMA]]*DST_123_ÜRETİM_İHTİYAÇ_RAPORU_BURAK_YENI1309[[#This Row],[BIRIM_FIYATLAR]])</f>
        <v>0</v>
      </c>
      <c r="N5253">
        <v>85</v>
      </c>
      <c r="O5253" t="s">
        <v>821</v>
      </c>
      <c r="P5253">
        <v>85</v>
      </c>
      <c r="Q5253" t="s">
        <v>178</v>
      </c>
    </row>
    <row r="5254" spans="1:17" x14ac:dyDescent="0.25">
      <c r="A5254" t="s">
        <v>1149</v>
      </c>
      <c r="B5254" t="s">
        <v>1145</v>
      </c>
      <c r="C5254" t="s">
        <v>175</v>
      </c>
      <c r="D5254" t="s">
        <v>844</v>
      </c>
      <c r="E5254" t="s">
        <v>845</v>
      </c>
      <c r="F5254">
        <v>3</v>
      </c>
      <c r="G5254" t="s">
        <v>176</v>
      </c>
      <c r="H5254">
        <v>0</v>
      </c>
      <c r="I5254">
        <v>36</v>
      </c>
      <c r="J5254" s="10">
        <v>26</v>
      </c>
      <c r="K5254" s="10">
        <f>SUMIFS(F:F,D:D,DST_123_ÜRETİM_İHTİYAÇ_RAPORU_BURAK_YENI1309[[#This Row],[ALT_KOD]])-(SUMIFS(H:H,D:D,DST_123_ÜRETİM_İHTİYAÇ_RAPORU_BURAK_YENI1309[[#This Row],[ALT_KOD]])+AVERAGEIFS(I:I,D:D,DST_123_ÜRETİM_İHTİYAÇ_RAPORU_BURAK_YENI1309[[#This Row],[ALT_KOD]])+AVERAGEIFS(L:L,D:D,DST_123_ÜRETİM_İHTİYAÇ_RAPORU_BURAK_YENI1309[[#This Row],[ALT_KOD]]))</f>
        <v>1</v>
      </c>
      <c r="L5254">
        <v>0</v>
      </c>
      <c r="M5254">
        <f>IF((DST_123_ÜRETİM_İHTİYAÇ_RAPORU_BURAK_YENI1309[[#This Row],[SATINALMA]]*DST_123_ÜRETİM_İHTİYAÇ_RAPORU_BURAK_YENI1309[[#This Row],[BIRIM_FIYATLAR]])&lt;1,VALUE("0"),DST_123_ÜRETİM_İHTİYAÇ_RAPORU_BURAK_YENI1309[[#This Row],[SATINALMA]]*DST_123_ÜRETİM_İHTİYAÇ_RAPORU_BURAK_YENI1309[[#This Row],[BIRIM_FIYATLAR]])</f>
        <v>348.7</v>
      </c>
      <c r="N5254">
        <v>348.7</v>
      </c>
      <c r="O5254" t="s">
        <v>636</v>
      </c>
      <c r="P5254">
        <v>1046.0999999999999</v>
      </c>
      <c r="Q5254" t="s">
        <v>177</v>
      </c>
    </row>
    <row r="5255" spans="1:17" x14ac:dyDescent="0.25">
      <c r="A5255" t="s">
        <v>1196</v>
      </c>
      <c r="B5255" t="s">
        <v>1197</v>
      </c>
      <c r="C5255" t="s">
        <v>175</v>
      </c>
      <c r="D5255" t="s">
        <v>1035</v>
      </c>
      <c r="E5255" t="s">
        <v>1036</v>
      </c>
      <c r="F5255">
        <v>1</v>
      </c>
      <c r="G5255" t="s">
        <v>176</v>
      </c>
      <c r="H5255">
        <v>0</v>
      </c>
      <c r="I5255">
        <v>19</v>
      </c>
      <c r="J5255" s="10">
        <v>4</v>
      </c>
      <c r="K5255" s="10">
        <f>SUMIFS(F:F,D:D,DST_123_ÜRETİM_İHTİYAÇ_RAPORU_BURAK_YENI1309[[#This Row],[ALT_KOD]])-(SUMIFS(H:H,D:D,DST_123_ÜRETİM_İHTİYAÇ_RAPORU_BURAK_YENI1309[[#This Row],[ALT_KOD]])+AVERAGEIFS(I:I,D:D,DST_123_ÜRETİM_İHTİYAÇ_RAPORU_BURAK_YENI1309[[#This Row],[ALT_KOD]])+AVERAGEIFS(L:L,D:D,DST_123_ÜRETİM_İHTİYAÇ_RAPORU_BURAK_YENI1309[[#This Row],[ALT_KOD]]))</f>
        <v>-12</v>
      </c>
      <c r="L5255">
        <v>0</v>
      </c>
      <c r="M5255">
        <f>IF((DST_123_ÜRETİM_İHTİYAÇ_RAPORU_BURAK_YENI1309[[#This Row],[SATINALMA]]*DST_123_ÜRETİM_İHTİYAÇ_RAPORU_BURAK_YENI1309[[#This Row],[BIRIM_FIYATLAR]])&lt;1,VALUE("0"),DST_123_ÜRETİM_İHTİYAÇ_RAPORU_BURAK_YENI1309[[#This Row],[SATINALMA]]*DST_123_ÜRETİM_İHTİYAÇ_RAPORU_BURAK_YENI1309[[#This Row],[BIRIM_FIYATLAR]])</f>
        <v>0</v>
      </c>
      <c r="N5255">
        <v>85</v>
      </c>
      <c r="O5255" t="s">
        <v>821</v>
      </c>
      <c r="P5255">
        <v>85</v>
      </c>
      <c r="Q5255" t="s">
        <v>178</v>
      </c>
    </row>
    <row r="5256" spans="1:17" x14ac:dyDescent="0.25">
      <c r="A5256" t="s">
        <v>1196</v>
      </c>
      <c r="B5256" t="s">
        <v>1197</v>
      </c>
      <c r="C5256" t="s">
        <v>175</v>
      </c>
      <c r="D5256" t="s">
        <v>844</v>
      </c>
      <c r="E5256" t="s">
        <v>845</v>
      </c>
      <c r="F5256">
        <v>3</v>
      </c>
      <c r="G5256" t="s">
        <v>176</v>
      </c>
      <c r="H5256">
        <v>0</v>
      </c>
      <c r="I5256">
        <v>36</v>
      </c>
      <c r="J5256" s="10">
        <v>26</v>
      </c>
      <c r="K5256" s="10">
        <f>SUMIFS(F:F,D:D,DST_123_ÜRETİM_İHTİYAÇ_RAPORU_BURAK_YENI1309[[#This Row],[ALT_KOD]])-(SUMIFS(H:H,D:D,DST_123_ÜRETİM_İHTİYAÇ_RAPORU_BURAK_YENI1309[[#This Row],[ALT_KOD]])+AVERAGEIFS(I:I,D:D,DST_123_ÜRETİM_İHTİYAÇ_RAPORU_BURAK_YENI1309[[#This Row],[ALT_KOD]])+AVERAGEIFS(L:L,D:D,DST_123_ÜRETİM_İHTİYAÇ_RAPORU_BURAK_YENI1309[[#This Row],[ALT_KOD]]))</f>
        <v>1</v>
      </c>
      <c r="L5256">
        <v>0</v>
      </c>
      <c r="M5256">
        <f>IF((DST_123_ÜRETİM_İHTİYAÇ_RAPORU_BURAK_YENI1309[[#This Row],[SATINALMA]]*DST_123_ÜRETİM_İHTİYAÇ_RAPORU_BURAK_YENI1309[[#This Row],[BIRIM_FIYATLAR]])&lt;1,VALUE("0"),DST_123_ÜRETİM_İHTİYAÇ_RAPORU_BURAK_YENI1309[[#This Row],[SATINALMA]]*DST_123_ÜRETİM_İHTİYAÇ_RAPORU_BURAK_YENI1309[[#This Row],[BIRIM_FIYATLAR]])</f>
        <v>348.7</v>
      </c>
      <c r="N5256">
        <v>348.7</v>
      </c>
      <c r="O5256" t="s">
        <v>636</v>
      </c>
      <c r="P5256">
        <v>1046.0999999999999</v>
      </c>
      <c r="Q5256" t="s">
        <v>177</v>
      </c>
    </row>
    <row r="5257" spans="1:17" x14ac:dyDescent="0.25">
      <c r="A5257" t="s">
        <v>1099</v>
      </c>
      <c r="B5257" t="s">
        <v>1055</v>
      </c>
      <c r="C5257" t="s">
        <v>175</v>
      </c>
      <c r="D5257" t="s">
        <v>844</v>
      </c>
      <c r="E5257" t="s">
        <v>845</v>
      </c>
      <c r="F5257">
        <v>3</v>
      </c>
      <c r="G5257" t="s">
        <v>176</v>
      </c>
      <c r="H5257">
        <v>3</v>
      </c>
      <c r="I5257">
        <v>36</v>
      </c>
      <c r="J5257" s="10">
        <v>26</v>
      </c>
      <c r="K5257" s="10">
        <f>SUMIFS(F:F,D:D,DST_123_ÜRETİM_İHTİYAÇ_RAPORU_BURAK_YENI1309[[#This Row],[ALT_KOD]])-(SUMIFS(H:H,D:D,DST_123_ÜRETİM_İHTİYAÇ_RAPORU_BURAK_YENI1309[[#This Row],[ALT_KOD]])+AVERAGEIFS(I:I,D:D,DST_123_ÜRETİM_İHTİYAÇ_RAPORU_BURAK_YENI1309[[#This Row],[ALT_KOD]])+AVERAGEIFS(L:L,D:D,DST_123_ÜRETİM_İHTİYAÇ_RAPORU_BURAK_YENI1309[[#This Row],[ALT_KOD]]))</f>
        <v>1</v>
      </c>
      <c r="L5257">
        <v>0</v>
      </c>
      <c r="M5257">
        <f>IF((DST_123_ÜRETİM_İHTİYAÇ_RAPORU_BURAK_YENI1309[[#This Row],[SATINALMA]]*DST_123_ÜRETİM_İHTİYAÇ_RAPORU_BURAK_YENI1309[[#This Row],[BIRIM_FIYATLAR]])&lt;1,VALUE("0"),DST_123_ÜRETİM_İHTİYAÇ_RAPORU_BURAK_YENI1309[[#This Row],[SATINALMA]]*DST_123_ÜRETİM_İHTİYAÇ_RAPORU_BURAK_YENI1309[[#This Row],[BIRIM_FIYATLAR]])</f>
        <v>348.7</v>
      </c>
      <c r="N5257">
        <v>348.7</v>
      </c>
      <c r="O5257" t="s">
        <v>636</v>
      </c>
      <c r="P5257">
        <v>1046.0999999999999</v>
      </c>
      <c r="Q5257" t="s">
        <v>177</v>
      </c>
    </row>
    <row r="5258" spans="1:17" x14ac:dyDescent="0.25">
      <c r="A5258" t="s">
        <v>1059</v>
      </c>
      <c r="B5258" t="s">
        <v>1058</v>
      </c>
      <c r="C5258" t="s">
        <v>175</v>
      </c>
      <c r="D5258" t="s">
        <v>241</v>
      </c>
      <c r="E5258" t="s">
        <v>242</v>
      </c>
      <c r="F5258">
        <v>1</v>
      </c>
      <c r="G5258" t="s">
        <v>176</v>
      </c>
      <c r="H5258">
        <v>1</v>
      </c>
      <c r="I5258">
        <v>49</v>
      </c>
      <c r="J5258" s="10">
        <v>1.6000000000000005</v>
      </c>
      <c r="K5258" s="10">
        <f>SUMIFS(F:F,D:D,DST_123_ÜRETİM_İHTİYAÇ_RAPORU_BURAK_YENI1309[[#This Row],[ALT_KOD]])-(SUMIFS(H:H,D:D,DST_123_ÜRETİM_İHTİYAÇ_RAPORU_BURAK_YENI1309[[#This Row],[ALT_KOD]])+AVERAGEIFS(I:I,D:D,DST_123_ÜRETİM_İHTİYAÇ_RAPORU_BURAK_YENI1309[[#This Row],[ALT_KOD]])+AVERAGEIFS(L:L,D:D,DST_123_ÜRETİM_İHTİYAÇ_RAPORU_BURAK_YENI1309[[#This Row],[ALT_KOD]]))</f>
        <v>-37.599999999999994</v>
      </c>
      <c r="L5258">
        <v>0</v>
      </c>
      <c r="M5258">
        <f>IF((DST_123_ÜRETİM_İHTİYAÇ_RAPORU_BURAK_YENI1309[[#This Row],[SATINALMA]]*DST_123_ÜRETİM_İHTİYAÇ_RAPORU_BURAK_YENI1309[[#This Row],[BIRIM_FIYATLAR]])&lt;1,VALUE("0"),DST_123_ÜRETİM_İHTİYAÇ_RAPORU_BURAK_YENI1309[[#This Row],[SATINALMA]]*DST_123_ÜRETİM_İHTİYAÇ_RAPORU_BURAK_YENI1309[[#This Row],[BIRIM_FIYATLAR]])</f>
        <v>0</v>
      </c>
      <c r="N5258">
        <v>60</v>
      </c>
      <c r="O5258" t="s">
        <v>490</v>
      </c>
      <c r="P5258">
        <v>60</v>
      </c>
      <c r="Q5258" t="s">
        <v>180</v>
      </c>
    </row>
    <row r="5259" spans="1:17" x14ac:dyDescent="0.25">
      <c r="A5259" t="s">
        <v>1146</v>
      </c>
      <c r="B5259" t="s">
        <v>1145</v>
      </c>
      <c r="C5259" t="s">
        <v>175</v>
      </c>
      <c r="D5259" t="s">
        <v>241</v>
      </c>
      <c r="E5259" t="s">
        <v>242</v>
      </c>
      <c r="F5259">
        <v>1</v>
      </c>
      <c r="G5259" t="s">
        <v>176</v>
      </c>
      <c r="H5259">
        <v>1</v>
      </c>
      <c r="I5259">
        <v>49</v>
      </c>
      <c r="J5259" s="10">
        <v>1.6000000000000005</v>
      </c>
      <c r="K5259" s="10">
        <f>SUMIFS(F:F,D:D,DST_123_ÜRETİM_İHTİYAÇ_RAPORU_BURAK_YENI1309[[#This Row],[ALT_KOD]])-(SUMIFS(H:H,D:D,DST_123_ÜRETİM_İHTİYAÇ_RAPORU_BURAK_YENI1309[[#This Row],[ALT_KOD]])+AVERAGEIFS(I:I,D:D,DST_123_ÜRETİM_İHTİYAÇ_RAPORU_BURAK_YENI1309[[#This Row],[ALT_KOD]])+AVERAGEIFS(L:L,D:D,DST_123_ÜRETİM_İHTİYAÇ_RAPORU_BURAK_YENI1309[[#This Row],[ALT_KOD]]))</f>
        <v>-37.599999999999994</v>
      </c>
      <c r="L5259">
        <v>0</v>
      </c>
      <c r="M5259">
        <f>IF((DST_123_ÜRETİM_İHTİYAÇ_RAPORU_BURAK_YENI1309[[#This Row],[SATINALMA]]*DST_123_ÜRETİM_İHTİYAÇ_RAPORU_BURAK_YENI1309[[#This Row],[BIRIM_FIYATLAR]])&lt;1,VALUE("0"),DST_123_ÜRETİM_İHTİYAÇ_RAPORU_BURAK_YENI1309[[#This Row],[SATINALMA]]*DST_123_ÜRETİM_İHTİYAÇ_RAPORU_BURAK_YENI1309[[#This Row],[BIRIM_FIYATLAR]])</f>
        <v>0</v>
      </c>
      <c r="N5259">
        <v>60</v>
      </c>
      <c r="O5259" t="s">
        <v>490</v>
      </c>
      <c r="P5259">
        <v>60</v>
      </c>
      <c r="Q5259" t="s">
        <v>180</v>
      </c>
    </row>
    <row r="5260" spans="1:17" x14ac:dyDescent="0.25">
      <c r="A5260" t="s">
        <v>1060</v>
      </c>
      <c r="B5260" t="s">
        <v>1061</v>
      </c>
      <c r="C5260" t="s">
        <v>175</v>
      </c>
      <c r="D5260" t="s">
        <v>456</v>
      </c>
      <c r="E5260" t="s">
        <v>457</v>
      </c>
      <c r="F5260">
        <v>78</v>
      </c>
      <c r="G5260" t="s">
        <v>176</v>
      </c>
      <c r="H5260">
        <v>78</v>
      </c>
      <c r="I5260">
        <v>3000</v>
      </c>
      <c r="J5260" s="10">
        <v>1138</v>
      </c>
      <c r="K5260" s="10">
        <f>SUMIFS(F:F,D:D,DST_123_ÜRETİM_İHTİYAÇ_RAPORU_BURAK_YENI1309[[#This Row],[ALT_KOD]])-(SUMIFS(H:H,D:D,DST_123_ÜRETİM_İHTİYAÇ_RAPORU_BURAK_YENI1309[[#This Row],[ALT_KOD]])+AVERAGEIFS(I:I,D:D,DST_123_ÜRETİM_İHTİYAÇ_RAPORU_BURAK_YENI1309[[#This Row],[ALT_KOD]])+AVERAGEIFS(L:L,D:D,DST_123_ÜRETİM_İHTİYAÇ_RAPORU_BURAK_YENI1309[[#This Row],[ALT_KOD]]))</f>
        <v>-1738</v>
      </c>
      <c r="L5260">
        <v>0</v>
      </c>
      <c r="M5260">
        <f>IF((DST_123_ÜRETİM_İHTİYAÇ_RAPORU_BURAK_YENI1309[[#This Row],[SATINALMA]]*DST_123_ÜRETİM_İHTİYAÇ_RAPORU_BURAK_YENI1309[[#This Row],[BIRIM_FIYATLAR]])&lt;1,VALUE("0"),DST_123_ÜRETİM_İHTİYAÇ_RAPORU_BURAK_YENI1309[[#This Row],[SATINALMA]]*DST_123_ÜRETİM_İHTİYAÇ_RAPORU_BURAK_YENI1309[[#This Row],[BIRIM_FIYATLAR]])</f>
        <v>0</v>
      </c>
      <c r="N5260">
        <v>0.93</v>
      </c>
      <c r="O5260" t="s">
        <v>882</v>
      </c>
      <c r="P5260">
        <v>72.540000000000006</v>
      </c>
      <c r="Q5260" t="s">
        <v>180</v>
      </c>
    </row>
    <row r="5261" spans="1:17" x14ac:dyDescent="0.25">
      <c r="A5261" t="s">
        <v>1057</v>
      </c>
      <c r="B5261" t="s">
        <v>1058</v>
      </c>
      <c r="C5261" t="s">
        <v>175</v>
      </c>
      <c r="D5261" t="s">
        <v>653</v>
      </c>
      <c r="E5261" t="s">
        <v>654</v>
      </c>
      <c r="F5261">
        <v>0.2</v>
      </c>
      <c r="G5261" t="s">
        <v>185</v>
      </c>
      <c r="H5261">
        <v>0.2</v>
      </c>
      <c r="I5261">
        <v>0</v>
      </c>
      <c r="J5261" s="10">
        <v>2.6000000000000014</v>
      </c>
      <c r="K5261" s="10">
        <f>SUMIFS(F:F,D:D,DST_123_ÜRETİM_İHTİYAÇ_RAPORU_BURAK_YENI1309[[#This Row],[ALT_KOD]])-(SUMIFS(H:H,D:D,DST_123_ÜRETİM_İHTİYAÇ_RAPORU_BURAK_YENI1309[[#This Row],[ALT_KOD]])+AVERAGEIFS(I:I,D:D,DST_123_ÜRETİM_İHTİYAÇ_RAPORU_BURAK_YENI1309[[#This Row],[ALT_KOD]])+AVERAGEIFS(L:L,D:D,DST_123_ÜRETİM_İHTİYAÇ_RAPORU_BURAK_YENI1309[[#This Row],[ALT_KOD]]))</f>
        <v>0.29999999999999982</v>
      </c>
      <c r="L5261">
        <v>0</v>
      </c>
      <c r="M5261">
        <f>IF((DST_123_ÜRETİM_İHTİYAÇ_RAPORU_BURAK_YENI1309[[#This Row],[SATINALMA]]*DST_123_ÜRETİM_İHTİYAÇ_RAPORU_BURAK_YENI1309[[#This Row],[BIRIM_FIYATLAR]])&lt;1,VALUE("0"),DST_123_ÜRETİM_İHTİYAÇ_RAPORU_BURAK_YENI1309[[#This Row],[SATINALMA]]*DST_123_ÜRETİM_İHTİYAÇ_RAPORU_BURAK_YENI1309[[#This Row],[BIRIM_FIYATLAR]])</f>
        <v>193.70099999999988</v>
      </c>
      <c r="N5261">
        <v>645.66999999999996</v>
      </c>
      <c r="O5261" t="s">
        <v>490</v>
      </c>
      <c r="P5261">
        <v>129.13399999999999</v>
      </c>
      <c r="Q5261" t="s">
        <v>183</v>
      </c>
    </row>
    <row r="5262" spans="1:17" x14ac:dyDescent="0.25">
      <c r="A5262" t="s">
        <v>1059</v>
      </c>
      <c r="B5262" t="s">
        <v>1058</v>
      </c>
      <c r="C5262" t="s">
        <v>175</v>
      </c>
      <c r="D5262" t="s">
        <v>114</v>
      </c>
      <c r="E5262" t="s">
        <v>115</v>
      </c>
      <c r="F5262">
        <v>1.171</v>
      </c>
      <c r="G5262" t="s">
        <v>185</v>
      </c>
      <c r="H5262">
        <v>1.171</v>
      </c>
      <c r="I5262">
        <v>0</v>
      </c>
      <c r="J5262" s="10">
        <v>65.03100000000002</v>
      </c>
      <c r="K5262" s="10">
        <f>SUMIFS(F:F,D:D,DST_123_ÜRETİM_İHTİYAÇ_RAPORU_BURAK_YENI1309[[#This Row],[ALT_KOD]])-(SUMIFS(H:H,D:D,DST_123_ÜRETİM_İHTİYAÇ_RAPORU_BURAK_YENI1309[[#This Row],[ALT_KOD]])+AVERAGEIFS(I:I,D:D,DST_123_ÜRETİM_İHTİYAÇ_RAPORU_BURAK_YENI1309[[#This Row],[ALT_KOD]])+AVERAGEIFS(L:L,D:D,DST_123_ÜRETİM_İHTİYAÇ_RAPORU_BURAK_YENI1309[[#This Row],[ALT_KOD]]))</f>
        <v>17.948</v>
      </c>
      <c r="L5262">
        <v>0</v>
      </c>
      <c r="M5262">
        <f>IF((DST_123_ÜRETİM_İHTİYAÇ_RAPORU_BURAK_YENI1309[[#This Row],[SATINALMA]]*DST_123_ÜRETİM_İHTİYAÇ_RAPORU_BURAK_YENI1309[[#This Row],[BIRIM_FIYATLAR]])&lt;1,VALUE("0"),DST_123_ÜRETİM_İHTİYAÇ_RAPORU_BURAK_YENI1309[[#This Row],[SATINALMA]]*DST_123_ÜRETİM_İHTİYAÇ_RAPORU_BURAK_YENI1309[[#This Row],[BIRIM_FIYATLAR]])</f>
        <v>6991.2844399999994</v>
      </c>
      <c r="N5262">
        <v>389.53</v>
      </c>
      <c r="O5262" t="s">
        <v>490</v>
      </c>
      <c r="P5262">
        <v>456.13963000000001</v>
      </c>
      <c r="Q5262" t="s">
        <v>183</v>
      </c>
    </row>
    <row r="5263" spans="1:17" x14ac:dyDescent="0.25">
      <c r="A5263" t="s">
        <v>1146</v>
      </c>
      <c r="B5263" t="s">
        <v>1145</v>
      </c>
      <c r="C5263" t="s">
        <v>175</v>
      </c>
      <c r="D5263" t="s">
        <v>114</v>
      </c>
      <c r="E5263" t="s">
        <v>115</v>
      </c>
      <c r="F5263">
        <v>1.4909999999999999</v>
      </c>
      <c r="G5263" t="s">
        <v>185</v>
      </c>
      <c r="H5263">
        <v>1.4909999999999999</v>
      </c>
      <c r="I5263">
        <v>0</v>
      </c>
      <c r="J5263" s="10">
        <v>65.03100000000002</v>
      </c>
      <c r="K5263" s="10">
        <f>SUMIFS(F:F,D:D,DST_123_ÜRETİM_İHTİYAÇ_RAPORU_BURAK_YENI1309[[#This Row],[ALT_KOD]])-(SUMIFS(H:H,D:D,DST_123_ÜRETİM_İHTİYAÇ_RAPORU_BURAK_YENI1309[[#This Row],[ALT_KOD]])+AVERAGEIFS(I:I,D:D,DST_123_ÜRETİM_İHTİYAÇ_RAPORU_BURAK_YENI1309[[#This Row],[ALT_KOD]])+AVERAGEIFS(L:L,D:D,DST_123_ÜRETİM_İHTİYAÇ_RAPORU_BURAK_YENI1309[[#This Row],[ALT_KOD]]))</f>
        <v>17.948</v>
      </c>
      <c r="L5263">
        <v>0</v>
      </c>
      <c r="M5263">
        <f>IF((DST_123_ÜRETİM_İHTİYAÇ_RAPORU_BURAK_YENI1309[[#This Row],[SATINALMA]]*DST_123_ÜRETİM_İHTİYAÇ_RAPORU_BURAK_YENI1309[[#This Row],[BIRIM_FIYATLAR]])&lt;1,VALUE("0"),DST_123_ÜRETİM_İHTİYAÇ_RAPORU_BURAK_YENI1309[[#This Row],[SATINALMA]]*DST_123_ÜRETİM_İHTİYAÇ_RAPORU_BURAK_YENI1309[[#This Row],[BIRIM_FIYATLAR]])</f>
        <v>6991.2844399999994</v>
      </c>
      <c r="N5263">
        <v>389.53</v>
      </c>
      <c r="O5263" t="s">
        <v>490</v>
      </c>
      <c r="P5263">
        <v>580.78922999999986</v>
      </c>
      <c r="Q5263" t="s">
        <v>183</v>
      </c>
    </row>
    <row r="5264" spans="1:17" x14ac:dyDescent="0.25">
      <c r="A5264" t="s">
        <v>1097</v>
      </c>
      <c r="B5264" t="s">
        <v>1055</v>
      </c>
      <c r="C5264" t="s">
        <v>175</v>
      </c>
      <c r="D5264" t="s">
        <v>114</v>
      </c>
      <c r="E5264" t="s">
        <v>115</v>
      </c>
      <c r="F5264">
        <v>2.5499999999999998</v>
      </c>
      <c r="G5264" t="s">
        <v>185</v>
      </c>
      <c r="H5264">
        <v>2.5499999999999998</v>
      </c>
      <c r="I5264">
        <v>0</v>
      </c>
      <c r="J5264" s="10">
        <v>65.03100000000002</v>
      </c>
      <c r="K5264" s="10">
        <f>SUMIFS(F:F,D:D,DST_123_ÜRETİM_İHTİYAÇ_RAPORU_BURAK_YENI1309[[#This Row],[ALT_KOD]])-(SUMIFS(H:H,D:D,DST_123_ÜRETİM_İHTİYAÇ_RAPORU_BURAK_YENI1309[[#This Row],[ALT_KOD]])+AVERAGEIFS(I:I,D:D,DST_123_ÜRETİM_İHTİYAÇ_RAPORU_BURAK_YENI1309[[#This Row],[ALT_KOD]])+AVERAGEIFS(L:L,D:D,DST_123_ÜRETİM_İHTİYAÇ_RAPORU_BURAK_YENI1309[[#This Row],[ALT_KOD]]))</f>
        <v>17.948</v>
      </c>
      <c r="L5264">
        <v>0</v>
      </c>
      <c r="M5264">
        <f>IF((DST_123_ÜRETİM_İHTİYAÇ_RAPORU_BURAK_YENI1309[[#This Row],[SATINALMA]]*DST_123_ÜRETİM_İHTİYAÇ_RAPORU_BURAK_YENI1309[[#This Row],[BIRIM_FIYATLAR]])&lt;1,VALUE("0"),DST_123_ÜRETİM_İHTİYAÇ_RAPORU_BURAK_YENI1309[[#This Row],[SATINALMA]]*DST_123_ÜRETİM_İHTİYAÇ_RAPORU_BURAK_YENI1309[[#This Row],[BIRIM_FIYATLAR]])</f>
        <v>6991.2844399999994</v>
      </c>
      <c r="N5264">
        <v>389.53</v>
      </c>
      <c r="O5264" t="s">
        <v>490</v>
      </c>
      <c r="P5264">
        <v>993.30149999999981</v>
      </c>
      <c r="Q5264" t="s">
        <v>183</v>
      </c>
    </row>
    <row r="5265" spans="1:17" x14ac:dyDescent="0.25">
      <c r="A5265" t="s">
        <v>1060</v>
      </c>
      <c r="B5265" t="s">
        <v>1061</v>
      </c>
      <c r="C5265" t="s">
        <v>175</v>
      </c>
      <c r="D5265" t="s">
        <v>112</v>
      </c>
      <c r="E5265" t="s">
        <v>113</v>
      </c>
      <c r="F5265">
        <v>1</v>
      </c>
      <c r="G5265" t="s">
        <v>176</v>
      </c>
      <c r="H5265">
        <v>1</v>
      </c>
      <c r="I5265">
        <v>2</v>
      </c>
      <c r="J5265" s="10">
        <v>4</v>
      </c>
      <c r="K5265" s="10">
        <f>SUMIFS(F:F,D:D,DST_123_ÜRETİM_İHTİYAÇ_RAPORU_BURAK_YENI1309[[#This Row],[ALT_KOD]])-(SUMIFS(H:H,D:D,DST_123_ÜRETİM_İHTİYAÇ_RAPORU_BURAK_YENI1309[[#This Row],[ALT_KOD]])+AVERAGEIFS(I:I,D:D,DST_123_ÜRETİM_İHTİYAÇ_RAPORU_BURAK_YENI1309[[#This Row],[ALT_KOD]])+AVERAGEIFS(L:L,D:D,DST_123_ÜRETİM_İHTİYAÇ_RAPORU_BURAK_YENI1309[[#This Row],[ALT_KOD]]))</f>
        <v>5</v>
      </c>
      <c r="L5265">
        <v>0</v>
      </c>
      <c r="M5265">
        <f>IF((DST_123_ÜRETİM_İHTİYAÇ_RAPORU_BURAK_YENI1309[[#This Row],[SATINALMA]]*DST_123_ÜRETİM_İHTİYAÇ_RAPORU_BURAK_YENI1309[[#This Row],[BIRIM_FIYATLAR]])&lt;1,VALUE("0"),DST_123_ÜRETİM_İHTİYAÇ_RAPORU_BURAK_YENI1309[[#This Row],[SATINALMA]]*DST_123_ÜRETİM_İHTİYAÇ_RAPORU_BURAK_YENI1309[[#This Row],[BIRIM_FIYATLAR]])</f>
        <v>37250</v>
      </c>
      <c r="N5265">
        <v>7450</v>
      </c>
      <c r="O5265" t="s">
        <v>584</v>
      </c>
      <c r="P5265">
        <v>7450</v>
      </c>
      <c r="Q5265" t="s">
        <v>177</v>
      </c>
    </row>
    <row r="5266" spans="1:17" x14ac:dyDescent="0.25">
      <c r="A5266" t="s">
        <v>1100</v>
      </c>
      <c r="B5266" t="s">
        <v>1058</v>
      </c>
      <c r="C5266" t="s">
        <v>175</v>
      </c>
      <c r="D5266" t="s">
        <v>844</v>
      </c>
      <c r="E5266" t="s">
        <v>845</v>
      </c>
      <c r="F5266">
        <v>3</v>
      </c>
      <c r="G5266" t="s">
        <v>176</v>
      </c>
      <c r="H5266">
        <v>3</v>
      </c>
      <c r="I5266">
        <v>36</v>
      </c>
      <c r="J5266" s="10">
        <v>26</v>
      </c>
      <c r="K5266" s="10">
        <f>SUMIFS(F:F,D:D,DST_123_ÜRETİM_İHTİYAÇ_RAPORU_BURAK_YENI1309[[#This Row],[ALT_KOD]])-(SUMIFS(H:H,D:D,DST_123_ÜRETİM_İHTİYAÇ_RAPORU_BURAK_YENI1309[[#This Row],[ALT_KOD]])+AVERAGEIFS(I:I,D:D,DST_123_ÜRETİM_İHTİYAÇ_RAPORU_BURAK_YENI1309[[#This Row],[ALT_KOD]])+AVERAGEIFS(L:L,D:D,DST_123_ÜRETİM_İHTİYAÇ_RAPORU_BURAK_YENI1309[[#This Row],[ALT_KOD]]))</f>
        <v>1</v>
      </c>
      <c r="L5266">
        <v>0</v>
      </c>
      <c r="M5266">
        <f>IF((DST_123_ÜRETİM_İHTİYAÇ_RAPORU_BURAK_YENI1309[[#This Row],[SATINALMA]]*DST_123_ÜRETİM_İHTİYAÇ_RAPORU_BURAK_YENI1309[[#This Row],[BIRIM_FIYATLAR]])&lt;1,VALUE("0"),DST_123_ÜRETİM_İHTİYAÇ_RAPORU_BURAK_YENI1309[[#This Row],[SATINALMA]]*DST_123_ÜRETİM_İHTİYAÇ_RAPORU_BURAK_YENI1309[[#This Row],[BIRIM_FIYATLAR]])</f>
        <v>348.7</v>
      </c>
      <c r="N5266">
        <v>348.7</v>
      </c>
      <c r="O5266" t="s">
        <v>636</v>
      </c>
      <c r="P5266">
        <v>1046.0999999999999</v>
      </c>
      <c r="Q5266" t="s">
        <v>177</v>
      </c>
    </row>
    <row r="5267" spans="1:17" x14ac:dyDescent="0.25">
      <c r="A5267" t="s">
        <v>1059</v>
      </c>
      <c r="B5267" t="s">
        <v>1058</v>
      </c>
      <c r="C5267" t="s">
        <v>175</v>
      </c>
      <c r="D5267" t="s">
        <v>996</v>
      </c>
      <c r="E5267" t="s">
        <v>997</v>
      </c>
      <c r="F5267">
        <v>1</v>
      </c>
      <c r="G5267" t="s">
        <v>176</v>
      </c>
      <c r="H5267">
        <v>1</v>
      </c>
      <c r="I5267">
        <v>10</v>
      </c>
      <c r="J5267" s="10">
        <v>2</v>
      </c>
      <c r="K5267" s="10">
        <f>SUMIFS(F:F,D:D,DST_123_ÜRETİM_İHTİYAÇ_RAPORU_BURAK_YENI1309[[#This Row],[ALT_KOD]])-(SUMIFS(H:H,D:D,DST_123_ÜRETİM_İHTİYAÇ_RAPORU_BURAK_YENI1309[[#This Row],[ALT_KOD]])+AVERAGEIFS(I:I,D:D,DST_123_ÜRETİM_İHTİYAÇ_RAPORU_BURAK_YENI1309[[#This Row],[ALT_KOD]])+AVERAGEIFS(L:L,D:D,DST_123_ÜRETİM_İHTİYAÇ_RAPORU_BURAK_YENI1309[[#This Row],[ALT_KOD]]))</f>
        <v>-10</v>
      </c>
      <c r="L5267">
        <v>0</v>
      </c>
      <c r="M5267">
        <f>IF((DST_123_ÜRETİM_İHTİYAÇ_RAPORU_BURAK_YENI1309[[#This Row],[SATINALMA]]*DST_123_ÜRETİM_İHTİYAÇ_RAPORU_BURAK_YENI1309[[#This Row],[BIRIM_FIYATLAR]])&lt;1,VALUE("0"),DST_123_ÜRETİM_İHTİYAÇ_RAPORU_BURAK_YENI1309[[#This Row],[SATINALMA]]*DST_123_ÜRETİM_İHTİYAÇ_RAPORU_BURAK_YENI1309[[#This Row],[BIRIM_FIYATLAR]])</f>
        <v>0</v>
      </c>
      <c r="N5267">
        <v>3400</v>
      </c>
      <c r="O5267" t="s">
        <v>251</v>
      </c>
      <c r="P5267">
        <v>3400</v>
      </c>
      <c r="Q5267" t="s">
        <v>178</v>
      </c>
    </row>
    <row r="5268" spans="1:17" x14ac:dyDescent="0.25">
      <c r="A5268" t="s">
        <v>1099</v>
      </c>
      <c r="B5268" t="s">
        <v>1055</v>
      </c>
      <c r="C5268" t="s">
        <v>175</v>
      </c>
      <c r="D5268" t="s">
        <v>54</v>
      </c>
      <c r="E5268" t="s">
        <v>55</v>
      </c>
      <c r="F5268">
        <v>1</v>
      </c>
      <c r="G5268" t="s">
        <v>176</v>
      </c>
      <c r="H5268">
        <v>0</v>
      </c>
      <c r="I5268">
        <v>9</v>
      </c>
      <c r="J5268" s="10">
        <v>13</v>
      </c>
      <c r="K5268" s="10">
        <f>SUMIFS(F:F,D:D,DST_123_ÜRETİM_İHTİYAÇ_RAPORU_BURAK_YENI1309[[#This Row],[ALT_KOD]])-(SUMIFS(H:H,D:D,DST_123_ÜRETİM_İHTİYAÇ_RAPORU_BURAK_YENI1309[[#This Row],[ALT_KOD]])+AVERAGEIFS(I:I,D:D,DST_123_ÜRETİM_İHTİYAÇ_RAPORU_BURAK_YENI1309[[#This Row],[ALT_KOD]])+AVERAGEIFS(L:L,D:D,DST_123_ÜRETİM_İHTİYAÇ_RAPORU_BURAK_YENI1309[[#This Row],[ALT_KOD]]))</f>
        <v>-1</v>
      </c>
      <c r="L5268">
        <v>4</v>
      </c>
      <c r="M5268">
        <f>IF((DST_123_ÜRETİM_İHTİYAÇ_RAPORU_BURAK_YENI1309[[#This Row],[SATINALMA]]*DST_123_ÜRETİM_İHTİYAÇ_RAPORU_BURAK_YENI1309[[#This Row],[BIRIM_FIYATLAR]])&lt;1,VALUE("0"),DST_123_ÜRETİM_İHTİYAÇ_RAPORU_BURAK_YENI1309[[#This Row],[SATINALMA]]*DST_123_ÜRETİM_İHTİYAÇ_RAPORU_BURAK_YENI1309[[#This Row],[BIRIM_FIYATLAR]])</f>
        <v>0</v>
      </c>
      <c r="N5268">
        <v>1600</v>
      </c>
      <c r="O5268" t="s">
        <v>217</v>
      </c>
      <c r="P5268">
        <v>1600</v>
      </c>
      <c r="Q5268" t="s">
        <v>221</v>
      </c>
    </row>
    <row r="5269" spans="1:17" x14ac:dyDescent="0.25">
      <c r="A5269" t="s">
        <v>1100</v>
      </c>
      <c r="B5269" t="s">
        <v>1058</v>
      </c>
      <c r="C5269" t="s">
        <v>175</v>
      </c>
      <c r="D5269" t="s">
        <v>1039</v>
      </c>
      <c r="E5269" t="s">
        <v>1040</v>
      </c>
      <c r="F5269">
        <v>1</v>
      </c>
      <c r="G5269" t="s">
        <v>176</v>
      </c>
      <c r="H5269">
        <v>1</v>
      </c>
      <c r="I5269">
        <v>2</v>
      </c>
      <c r="J5269" s="10">
        <v>2</v>
      </c>
      <c r="K5269" s="10">
        <f>SUMIFS(F:F,D:D,DST_123_ÜRETİM_İHTİYAÇ_RAPORU_BURAK_YENI1309[[#This Row],[ALT_KOD]])-(SUMIFS(H:H,D:D,DST_123_ÜRETİM_İHTİYAÇ_RAPORU_BURAK_YENI1309[[#This Row],[ALT_KOD]])+AVERAGEIFS(I:I,D:D,DST_123_ÜRETİM_İHTİYAÇ_RAPORU_BURAK_YENI1309[[#This Row],[ALT_KOD]])+AVERAGEIFS(L:L,D:D,DST_123_ÜRETİM_İHTİYAÇ_RAPORU_BURAK_YENI1309[[#This Row],[ALT_KOD]]))</f>
        <v>-2</v>
      </c>
      <c r="L5269">
        <v>0</v>
      </c>
      <c r="M5269">
        <f>IF((DST_123_ÜRETİM_İHTİYAÇ_RAPORU_BURAK_YENI1309[[#This Row],[SATINALMA]]*DST_123_ÜRETİM_İHTİYAÇ_RAPORU_BURAK_YENI1309[[#This Row],[BIRIM_FIYATLAR]])&lt;1,VALUE("0"),DST_123_ÜRETİM_İHTİYAÇ_RAPORU_BURAK_YENI1309[[#This Row],[SATINALMA]]*DST_123_ÜRETİM_İHTİYAÇ_RAPORU_BURAK_YENI1309[[#This Row],[BIRIM_FIYATLAR]])</f>
        <v>0</v>
      </c>
      <c r="N5269">
        <v>400</v>
      </c>
      <c r="O5269" t="s">
        <v>1034</v>
      </c>
      <c r="P5269">
        <v>400</v>
      </c>
      <c r="Q5269" t="s">
        <v>178</v>
      </c>
    </row>
    <row r="5270" spans="1:17" x14ac:dyDescent="0.25">
      <c r="A5270" t="s">
        <v>1097</v>
      </c>
      <c r="B5270" t="s">
        <v>1055</v>
      </c>
      <c r="C5270" t="s">
        <v>175</v>
      </c>
      <c r="D5270" t="s">
        <v>241</v>
      </c>
      <c r="E5270" t="s">
        <v>242</v>
      </c>
      <c r="F5270">
        <v>1.35</v>
      </c>
      <c r="G5270" t="s">
        <v>176</v>
      </c>
      <c r="H5270">
        <v>1.35</v>
      </c>
      <c r="I5270">
        <v>49</v>
      </c>
      <c r="J5270" s="10">
        <v>1.6000000000000005</v>
      </c>
      <c r="K5270" s="10">
        <f>SUMIFS(F:F,D:D,DST_123_ÜRETİM_İHTİYAÇ_RAPORU_BURAK_YENI1309[[#This Row],[ALT_KOD]])-(SUMIFS(H:H,D:D,DST_123_ÜRETİM_İHTİYAÇ_RAPORU_BURAK_YENI1309[[#This Row],[ALT_KOD]])+AVERAGEIFS(I:I,D:D,DST_123_ÜRETİM_İHTİYAÇ_RAPORU_BURAK_YENI1309[[#This Row],[ALT_KOD]])+AVERAGEIFS(L:L,D:D,DST_123_ÜRETİM_İHTİYAÇ_RAPORU_BURAK_YENI1309[[#This Row],[ALT_KOD]]))</f>
        <v>-37.599999999999994</v>
      </c>
      <c r="L5270">
        <v>0</v>
      </c>
      <c r="M5270">
        <f>IF((DST_123_ÜRETİM_İHTİYAÇ_RAPORU_BURAK_YENI1309[[#This Row],[SATINALMA]]*DST_123_ÜRETİM_İHTİYAÇ_RAPORU_BURAK_YENI1309[[#This Row],[BIRIM_FIYATLAR]])&lt;1,VALUE("0"),DST_123_ÜRETİM_İHTİYAÇ_RAPORU_BURAK_YENI1309[[#This Row],[SATINALMA]]*DST_123_ÜRETİM_İHTİYAÇ_RAPORU_BURAK_YENI1309[[#This Row],[BIRIM_FIYATLAR]])</f>
        <v>0</v>
      </c>
      <c r="N5270">
        <v>60</v>
      </c>
      <c r="O5270" t="s">
        <v>490</v>
      </c>
      <c r="P5270">
        <v>81</v>
      </c>
      <c r="Q5270" t="s">
        <v>180</v>
      </c>
    </row>
    <row r="5271" spans="1:17" x14ac:dyDescent="0.25">
      <c r="A5271" t="s">
        <v>1057</v>
      </c>
      <c r="B5271" t="s">
        <v>1058</v>
      </c>
      <c r="C5271" t="s">
        <v>175</v>
      </c>
      <c r="D5271" t="s">
        <v>114</v>
      </c>
      <c r="E5271" t="s">
        <v>115</v>
      </c>
      <c r="F5271">
        <v>1.1709999999999998</v>
      </c>
      <c r="G5271" t="s">
        <v>185</v>
      </c>
      <c r="H5271">
        <v>1.1709999999999998</v>
      </c>
      <c r="I5271">
        <v>0</v>
      </c>
      <c r="J5271" s="10">
        <v>65.03100000000002</v>
      </c>
      <c r="K5271" s="10">
        <f>SUMIFS(F:F,D:D,DST_123_ÜRETİM_İHTİYAÇ_RAPORU_BURAK_YENI1309[[#This Row],[ALT_KOD]])-(SUMIFS(H:H,D:D,DST_123_ÜRETİM_İHTİYAÇ_RAPORU_BURAK_YENI1309[[#This Row],[ALT_KOD]])+AVERAGEIFS(I:I,D:D,DST_123_ÜRETİM_İHTİYAÇ_RAPORU_BURAK_YENI1309[[#This Row],[ALT_KOD]])+AVERAGEIFS(L:L,D:D,DST_123_ÜRETİM_İHTİYAÇ_RAPORU_BURAK_YENI1309[[#This Row],[ALT_KOD]]))</f>
        <v>17.948</v>
      </c>
      <c r="L5271">
        <v>0</v>
      </c>
      <c r="M5271">
        <f>IF((DST_123_ÜRETİM_İHTİYAÇ_RAPORU_BURAK_YENI1309[[#This Row],[SATINALMA]]*DST_123_ÜRETİM_İHTİYAÇ_RAPORU_BURAK_YENI1309[[#This Row],[BIRIM_FIYATLAR]])&lt;1,VALUE("0"),DST_123_ÜRETİM_İHTİYAÇ_RAPORU_BURAK_YENI1309[[#This Row],[SATINALMA]]*DST_123_ÜRETİM_İHTİYAÇ_RAPORU_BURAK_YENI1309[[#This Row],[BIRIM_FIYATLAR]])</f>
        <v>6991.2844399999994</v>
      </c>
      <c r="N5271">
        <v>389.53</v>
      </c>
      <c r="O5271" t="s">
        <v>490</v>
      </c>
      <c r="P5271">
        <v>456.1396299999999</v>
      </c>
      <c r="Q5271" t="s">
        <v>183</v>
      </c>
    </row>
    <row r="5272" spans="1:17" x14ac:dyDescent="0.25">
      <c r="A5272" t="s">
        <v>1060</v>
      </c>
      <c r="B5272" t="s">
        <v>1061</v>
      </c>
      <c r="C5272" t="s">
        <v>175</v>
      </c>
      <c r="D5272" t="s">
        <v>670</v>
      </c>
      <c r="E5272" t="s">
        <v>671</v>
      </c>
      <c r="F5272">
        <v>1</v>
      </c>
      <c r="G5272" t="s">
        <v>176</v>
      </c>
      <c r="H5272">
        <v>1</v>
      </c>
      <c r="I5272">
        <v>12</v>
      </c>
      <c r="J5272" s="10">
        <v>13</v>
      </c>
      <c r="K5272" s="10">
        <f>SUMIFS(F:F,D:D,DST_123_ÜRETİM_İHTİYAÇ_RAPORU_BURAK_YENI1309[[#This Row],[ALT_KOD]])-(SUMIFS(H:H,D:D,DST_123_ÜRETİM_İHTİYAÇ_RAPORU_BURAK_YENI1309[[#This Row],[ALT_KOD]])+AVERAGEIFS(I:I,D:D,DST_123_ÜRETİM_İHTİYAÇ_RAPORU_BURAK_YENI1309[[#This Row],[ALT_KOD]])+AVERAGEIFS(L:L,D:D,DST_123_ÜRETİM_İHTİYAÇ_RAPORU_BURAK_YENI1309[[#This Row],[ALT_KOD]]))</f>
        <v>-5</v>
      </c>
      <c r="L5272">
        <v>0</v>
      </c>
      <c r="M5272">
        <f>IF((DST_123_ÜRETİM_İHTİYAÇ_RAPORU_BURAK_YENI1309[[#This Row],[SATINALMA]]*DST_123_ÜRETİM_İHTİYAÇ_RAPORU_BURAK_YENI1309[[#This Row],[BIRIM_FIYATLAR]])&lt;1,VALUE("0"),DST_123_ÜRETİM_İHTİYAÇ_RAPORU_BURAK_YENI1309[[#This Row],[SATINALMA]]*DST_123_ÜRETİM_İHTİYAÇ_RAPORU_BURAK_YENI1309[[#This Row],[BIRIM_FIYATLAR]])</f>
        <v>0</v>
      </c>
      <c r="N5272">
        <v>28339.38</v>
      </c>
      <c r="O5272" t="s">
        <v>214</v>
      </c>
      <c r="P5272">
        <v>28339.38</v>
      </c>
      <c r="Q5272" t="s">
        <v>177</v>
      </c>
    </row>
    <row r="5273" spans="1:17" x14ac:dyDescent="0.25">
      <c r="A5273" t="s">
        <v>1101</v>
      </c>
      <c r="B5273" t="s">
        <v>1102</v>
      </c>
      <c r="C5273" t="s">
        <v>175</v>
      </c>
      <c r="D5273" t="s">
        <v>783</v>
      </c>
      <c r="E5273" t="s">
        <v>784</v>
      </c>
      <c r="F5273">
        <v>1</v>
      </c>
      <c r="G5273" t="s">
        <v>176</v>
      </c>
      <c r="H5273">
        <v>1</v>
      </c>
      <c r="I5273">
        <v>15</v>
      </c>
      <c r="J5273" s="10">
        <v>11</v>
      </c>
      <c r="K5273" s="10">
        <f>SUMIFS(F:F,D:D,DST_123_ÜRETİM_İHTİYAÇ_RAPORU_BURAK_YENI1309[[#This Row],[ALT_KOD]])-(SUMIFS(H:H,D:D,DST_123_ÜRETİM_İHTİYAÇ_RAPORU_BURAK_YENI1309[[#This Row],[ALT_KOD]])+AVERAGEIFS(I:I,D:D,DST_123_ÜRETİM_İHTİYAÇ_RAPORU_BURAK_YENI1309[[#This Row],[ALT_KOD]])+AVERAGEIFS(L:L,D:D,DST_123_ÜRETİM_İHTİYAÇ_RAPORU_BURAK_YENI1309[[#This Row],[ALT_KOD]]))</f>
        <v>-4</v>
      </c>
      <c r="L5273">
        <v>0</v>
      </c>
      <c r="M5273">
        <f>IF((DST_123_ÜRETİM_İHTİYAÇ_RAPORU_BURAK_YENI1309[[#This Row],[SATINALMA]]*DST_123_ÜRETİM_İHTİYAÇ_RAPORU_BURAK_YENI1309[[#This Row],[BIRIM_FIYATLAR]])&lt;1,VALUE("0"),DST_123_ÜRETİM_İHTİYAÇ_RAPORU_BURAK_YENI1309[[#This Row],[SATINALMA]]*DST_123_ÜRETİM_İHTİYAÇ_RAPORU_BURAK_YENI1309[[#This Row],[BIRIM_FIYATLAR]])</f>
        <v>0</v>
      </c>
      <c r="N5273">
        <v>510</v>
      </c>
      <c r="O5273" t="s">
        <v>289</v>
      </c>
      <c r="P5273">
        <v>510</v>
      </c>
      <c r="Q5273" t="s">
        <v>178</v>
      </c>
    </row>
    <row r="5274" spans="1:17" x14ac:dyDescent="0.25">
      <c r="A5274" t="s">
        <v>1060</v>
      </c>
      <c r="B5274" t="s">
        <v>1061</v>
      </c>
      <c r="C5274" t="s">
        <v>175</v>
      </c>
      <c r="D5274" t="s">
        <v>473</v>
      </c>
      <c r="E5274" t="s">
        <v>474</v>
      </c>
      <c r="F5274">
        <v>30</v>
      </c>
      <c r="G5274" t="s">
        <v>176</v>
      </c>
      <c r="H5274">
        <v>30</v>
      </c>
      <c r="I5274">
        <v>680</v>
      </c>
      <c r="J5274" s="10">
        <v>614</v>
      </c>
      <c r="K5274" s="10">
        <f>SUMIFS(F:F,D:D,DST_123_ÜRETİM_İHTİYAÇ_RAPORU_BURAK_YENI1309[[#This Row],[ALT_KOD]])-(SUMIFS(H:H,D:D,DST_123_ÜRETİM_İHTİYAÇ_RAPORU_BURAK_YENI1309[[#This Row],[ALT_KOD]])+AVERAGEIFS(I:I,D:D,DST_123_ÜRETİM_İHTİYAÇ_RAPORU_BURAK_YENI1309[[#This Row],[ALT_KOD]])+AVERAGEIFS(L:L,D:D,DST_123_ÜRETİM_İHTİYAÇ_RAPORU_BURAK_YENI1309[[#This Row],[ALT_KOD]]))</f>
        <v>118</v>
      </c>
      <c r="L5274">
        <v>0</v>
      </c>
      <c r="M5274">
        <f>IF((DST_123_ÜRETİM_İHTİYAÇ_RAPORU_BURAK_YENI1309[[#This Row],[SATINALMA]]*DST_123_ÜRETİM_İHTİYAÇ_RAPORU_BURAK_YENI1309[[#This Row],[BIRIM_FIYATLAR]])&lt;1,VALUE("0"),DST_123_ÜRETİM_İHTİYAÇ_RAPORU_BURAK_YENI1309[[#This Row],[SATINALMA]]*DST_123_ÜRETİM_İHTİYAÇ_RAPORU_BURAK_YENI1309[[#This Row],[BIRIM_FIYATLAR]])</f>
        <v>247.8</v>
      </c>
      <c r="N5274">
        <v>2.1</v>
      </c>
      <c r="O5274" t="s">
        <v>240</v>
      </c>
      <c r="P5274">
        <v>63</v>
      </c>
      <c r="Q5274" t="s">
        <v>180</v>
      </c>
    </row>
    <row r="5275" spans="1:17" x14ac:dyDescent="0.25">
      <c r="A5275" t="s">
        <v>1060</v>
      </c>
      <c r="B5275" t="s">
        <v>1061</v>
      </c>
      <c r="C5275" t="s">
        <v>175</v>
      </c>
      <c r="D5275" t="s">
        <v>256</v>
      </c>
      <c r="E5275" t="s">
        <v>257</v>
      </c>
      <c r="F5275">
        <v>2.2999999999999998</v>
      </c>
      <c r="G5275" t="s">
        <v>176</v>
      </c>
      <c r="H5275">
        <v>2.2999999999999998</v>
      </c>
      <c r="I5275">
        <v>14</v>
      </c>
      <c r="J5275" s="10">
        <v>6.8000000000000025</v>
      </c>
      <c r="K5275" s="10">
        <f>SUMIFS(F:F,D:D,DST_123_ÜRETİM_İHTİYAÇ_RAPORU_BURAK_YENI1309[[#This Row],[ALT_KOD]])-(SUMIFS(H:H,D:D,DST_123_ÜRETİM_İHTİYAÇ_RAPORU_BURAK_YENI1309[[#This Row],[ALT_KOD]])+AVERAGEIFS(I:I,D:D,DST_123_ÜRETİM_İHTİYAÇ_RAPORU_BURAK_YENI1309[[#This Row],[ALT_KOD]])+AVERAGEIFS(L:L,D:D,DST_123_ÜRETİM_İHTİYAÇ_RAPORU_BURAK_YENI1309[[#This Row],[ALT_KOD]]))</f>
        <v>7.7000000000000028</v>
      </c>
      <c r="L5275">
        <v>12</v>
      </c>
      <c r="M5275">
        <f>IF((DST_123_ÜRETİM_İHTİYAÇ_RAPORU_BURAK_YENI1309[[#This Row],[SATINALMA]]*DST_123_ÜRETİM_İHTİYAÇ_RAPORU_BURAK_YENI1309[[#This Row],[BIRIM_FIYATLAR]])&lt;1,VALUE("0"),DST_123_ÜRETİM_İHTİYAÇ_RAPORU_BURAK_YENI1309[[#This Row],[SATINALMA]]*DST_123_ÜRETİM_İHTİYAÇ_RAPORU_BURAK_YENI1309[[#This Row],[BIRIM_FIYATLAR]])</f>
        <v>2532.1450000000009</v>
      </c>
      <c r="N5275">
        <v>328.85</v>
      </c>
      <c r="O5275" t="s">
        <v>258</v>
      </c>
      <c r="P5275">
        <v>756.35500000000002</v>
      </c>
      <c r="Q5275" t="s">
        <v>183</v>
      </c>
    </row>
    <row r="5276" spans="1:17" x14ac:dyDescent="0.25">
      <c r="A5276" t="s">
        <v>1143</v>
      </c>
      <c r="B5276" t="s">
        <v>1056</v>
      </c>
      <c r="C5276" t="s">
        <v>175</v>
      </c>
      <c r="D5276" t="s">
        <v>378</v>
      </c>
      <c r="E5276" t="s">
        <v>379</v>
      </c>
      <c r="F5276">
        <v>2</v>
      </c>
      <c r="G5276" t="s">
        <v>176</v>
      </c>
      <c r="H5276">
        <v>0</v>
      </c>
      <c r="I5276">
        <v>50</v>
      </c>
      <c r="J5276" s="10">
        <v>33</v>
      </c>
      <c r="K5276" s="10">
        <f>SUMIFS(F:F,D:D,DST_123_ÜRETİM_İHTİYAÇ_RAPORU_BURAK_YENI1309[[#This Row],[ALT_KOD]])-(SUMIFS(H:H,D:D,DST_123_ÜRETİM_İHTİYAÇ_RAPORU_BURAK_YENI1309[[#This Row],[ALT_KOD]])+AVERAGEIFS(I:I,D:D,DST_123_ÜRETİM_İHTİYAÇ_RAPORU_BURAK_YENI1309[[#This Row],[ALT_KOD]])+AVERAGEIFS(L:L,D:D,DST_123_ÜRETİM_İHTİYAÇ_RAPORU_BURAK_YENI1309[[#This Row],[ALT_KOD]]))</f>
        <v>-15</v>
      </c>
      <c r="L5276">
        <v>0</v>
      </c>
      <c r="M5276">
        <f>IF((DST_123_ÜRETİM_İHTİYAÇ_RAPORU_BURAK_YENI1309[[#This Row],[SATINALMA]]*DST_123_ÜRETİM_İHTİYAÇ_RAPORU_BURAK_YENI1309[[#This Row],[BIRIM_FIYATLAR]])&lt;1,VALUE("0"),DST_123_ÜRETİM_İHTİYAÇ_RAPORU_BURAK_YENI1309[[#This Row],[SATINALMA]]*DST_123_ÜRETİM_İHTİYAÇ_RAPORU_BURAK_YENI1309[[#This Row],[BIRIM_FIYATLAR]])</f>
        <v>0</v>
      </c>
      <c r="N5276">
        <v>72.599999999999994</v>
      </c>
      <c r="O5276" t="s">
        <v>240</v>
      </c>
      <c r="P5276">
        <v>145.19999999999999</v>
      </c>
      <c r="Q5276" t="s">
        <v>178</v>
      </c>
    </row>
    <row r="5277" spans="1:17" x14ac:dyDescent="0.25">
      <c r="A5277" t="s">
        <v>1101</v>
      </c>
      <c r="B5277" t="s">
        <v>1102</v>
      </c>
      <c r="C5277" t="s">
        <v>175</v>
      </c>
      <c r="D5277" t="s">
        <v>98</v>
      </c>
      <c r="E5277" t="s">
        <v>248</v>
      </c>
      <c r="F5277">
        <v>8</v>
      </c>
      <c r="G5277" t="s">
        <v>176</v>
      </c>
      <c r="H5277">
        <v>8</v>
      </c>
      <c r="I5277">
        <v>230</v>
      </c>
      <c r="J5277" s="10">
        <v>72</v>
      </c>
      <c r="K5277" s="10">
        <f>SUMIFS(F:F,D:D,DST_123_ÜRETİM_İHTİYAÇ_RAPORU_BURAK_YENI1309[[#This Row],[ALT_KOD]])-(SUMIFS(H:H,D:D,DST_123_ÜRETİM_İHTİYAÇ_RAPORU_BURAK_YENI1309[[#This Row],[ALT_KOD]])+AVERAGEIFS(I:I,D:D,DST_123_ÜRETİM_İHTİYAÇ_RAPORU_BURAK_YENI1309[[#This Row],[ALT_KOD]])+AVERAGEIFS(L:L,D:D,DST_123_ÜRETİM_İHTİYAÇ_RAPORU_BURAK_YENI1309[[#This Row],[ALT_KOD]]))</f>
        <v>-172</v>
      </c>
      <c r="L5277">
        <v>0</v>
      </c>
      <c r="M5277">
        <f>IF((DST_123_ÜRETİM_İHTİYAÇ_RAPORU_BURAK_YENI1309[[#This Row],[SATINALMA]]*DST_123_ÜRETİM_İHTİYAÇ_RAPORU_BURAK_YENI1309[[#This Row],[BIRIM_FIYATLAR]])&lt;1,VALUE("0"),DST_123_ÜRETİM_İHTİYAÇ_RAPORU_BURAK_YENI1309[[#This Row],[SATINALMA]]*DST_123_ÜRETİM_İHTİYAÇ_RAPORU_BURAK_YENI1309[[#This Row],[BIRIM_FIYATLAR]])</f>
        <v>0</v>
      </c>
      <c r="N5277">
        <v>225</v>
      </c>
      <c r="O5277" t="s">
        <v>825</v>
      </c>
      <c r="P5277">
        <v>1800</v>
      </c>
      <c r="Q5277" t="s">
        <v>177</v>
      </c>
    </row>
    <row r="5278" spans="1:17" x14ac:dyDescent="0.25">
      <c r="A5278" t="s">
        <v>1100</v>
      </c>
      <c r="B5278" t="s">
        <v>1058</v>
      </c>
      <c r="C5278" t="s">
        <v>175</v>
      </c>
      <c r="D5278" t="s">
        <v>783</v>
      </c>
      <c r="E5278" t="s">
        <v>784</v>
      </c>
      <c r="F5278">
        <v>1</v>
      </c>
      <c r="G5278" t="s">
        <v>176</v>
      </c>
      <c r="H5278">
        <v>1</v>
      </c>
      <c r="I5278">
        <v>15</v>
      </c>
      <c r="J5278" s="10">
        <v>11</v>
      </c>
      <c r="K5278" s="10">
        <f>SUMIFS(F:F,D:D,DST_123_ÜRETİM_İHTİYAÇ_RAPORU_BURAK_YENI1309[[#This Row],[ALT_KOD]])-(SUMIFS(H:H,D:D,DST_123_ÜRETİM_İHTİYAÇ_RAPORU_BURAK_YENI1309[[#This Row],[ALT_KOD]])+AVERAGEIFS(I:I,D:D,DST_123_ÜRETİM_İHTİYAÇ_RAPORU_BURAK_YENI1309[[#This Row],[ALT_KOD]])+AVERAGEIFS(L:L,D:D,DST_123_ÜRETİM_İHTİYAÇ_RAPORU_BURAK_YENI1309[[#This Row],[ALT_KOD]]))</f>
        <v>-4</v>
      </c>
      <c r="L5278">
        <v>0</v>
      </c>
      <c r="M5278">
        <f>IF((DST_123_ÜRETİM_İHTİYAÇ_RAPORU_BURAK_YENI1309[[#This Row],[SATINALMA]]*DST_123_ÜRETİM_İHTİYAÇ_RAPORU_BURAK_YENI1309[[#This Row],[BIRIM_FIYATLAR]])&lt;1,VALUE("0"),DST_123_ÜRETİM_İHTİYAÇ_RAPORU_BURAK_YENI1309[[#This Row],[SATINALMA]]*DST_123_ÜRETİM_İHTİYAÇ_RAPORU_BURAK_YENI1309[[#This Row],[BIRIM_FIYATLAR]])</f>
        <v>0</v>
      </c>
      <c r="N5278">
        <v>510</v>
      </c>
      <c r="O5278" t="s">
        <v>289</v>
      </c>
      <c r="P5278">
        <v>510</v>
      </c>
      <c r="Q5278" t="s">
        <v>178</v>
      </c>
    </row>
    <row r="5279" spans="1:17" x14ac:dyDescent="0.25">
      <c r="A5279" t="s">
        <v>1059</v>
      </c>
      <c r="B5279" t="s">
        <v>1058</v>
      </c>
      <c r="C5279" t="s">
        <v>175</v>
      </c>
      <c r="D5279" t="s">
        <v>206</v>
      </c>
      <c r="E5279" t="s">
        <v>280</v>
      </c>
      <c r="F5279">
        <v>0.55000000000000004</v>
      </c>
      <c r="G5279" t="s">
        <v>176</v>
      </c>
      <c r="H5279">
        <v>0.55000000000000004</v>
      </c>
      <c r="I5279">
        <v>10</v>
      </c>
      <c r="J5279" s="10">
        <v>126.66400000000034</v>
      </c>
      <c r="K5279" s="10">
        <f>SUMIFS(F:F,D:D,DST_123_ÜRETİM_İHTİYAÇ_RAPORU_BURAK_YENI1309[[#This Row],[ALT_KOD]])-(SUMIFS(H:H,D:D,DST_123_ÜRETİM_İHTİYAÇ_RAPORU_BURAK_YENI1309[[#This Row],[ALT_KOD]])+AVERAGEIFS(I:I,D:D,DST_123_ÜRETİM_İHTİYAÇ_RAPORU_BURAK_YENI1309[[#This Row],[ALT_KOD]])+AVERAGEIFS(L:L,D:D,DST_123_ÜRETİM_İHTİYAÇ_RAPORU_BURAK_YENI1309[[#This Row],[ALT_KOD]]))</f>
        <v>-1.1600000000000001</v>
      </c>
      <c r="L5279">
        <v>0</v>
      </c>
      <c r="M5279">
        <f>IF((DST_123_ÜRETİM_İHTİYAÇ_RAPORU_BURAK_YENI1309[[#This Row],[SATINALMA]]*DST_123_ÜRETİM_İHTİYAÇ_RAPORU_BURAK_YENI1309[[#This Row],[BIRIM_FIYATLAR]])&lt;1,VALUE("0"),DST_123_ÜRETİM_İHTİYAÇ_RAPORU_BURAK_YENI1309[[#This Row],[SATINALMA]]*DST_123_ÜRETİM_İHTİYAÇ_RAPORU_BURAK_YENI1309[[#This Row],[BIRIM_FIYATLAR]])</f>
        <v>0</v>
      </c>
      <c r="N5279">
        <v>185</v>
      </c>
      <c r="O5279" t="s">
        <v>240</v>
      </c>
      <c r="P5279">
        <v>101.75000000000001</v>
      </c>
      <c r="Q5279" t="s">
        <v>180</v>
      </c>
    </row>
    <row r="5280" spans="1:17" x14ac:dyDescent="0.25">
      <c r="A5280" t="s">
        <v>1101</v>
      </c>
      <c r="B5280" t="s">
        <v>1102</v>
      </c>
      <c r="C5280" t="s">
        <v>175</v>
      </c>
      <c r="D5280" t="s">
        <v>206</v>
      </c>
      <c r="E5280" t="s">
        <v>280</v>
      </c>
      <c r="F5280">
        <v>0.69000000000000017</v>
      </c>
      <c r="G5280" t="s">
        <v>176</v>
      </c>
      <c r="H5280">
        <v>0.69000000000000017</v>
      </c>
      <c r="I5280">
        <v>10</v>
      </c>
      <c r="J5280" s="10">
        <v>126.66400000000034</v>
      </c>
      <c r="K5280" s="10">
        <f>SUMIFS(F:F,D:D,DST_123_ÜRETİM_İHTİYAÇ_RAPORU_BURAK_YENI1309[[#This Row],[ALT_KOD]])-(SUMIFS(H:H,D:D,DST_123_ÜRETİM_İHTİYAÇ_RAPORU_BURAK_YENI1309[[#This Row],[ALT_KOD]])+AVERAGEIFS(I:I,D:D,DST_123_ÜRETİM_İHTİYAÇ_RAPORU_BURAK_YENI1309[[#This Row],[ALT_KOD]])+AVERAGEIFS(L:L,D:D,DST_123_ÜRETİM_İHTİYAÇ_RAPORU_BURAK_YENI1309[[#This Row],[ALT_KOD]]))</f>
        <v>-1.1600000000000001</v>
      </c>
      <c r="L5280">
        <v>0</v>
      </c>
      <c r="M5280">
        <f>IF((DST_123_ÜRETİM_İHTİYAÇ_RAPORU_BURAK_YENI1309[[#This Row],[SATINALMA]]*DST_123_ÜRETİM_İHTİYAÇ_RAPORU_BURAK_YENI1309[[#This Row],[BIRIM_FIYATLAR]])&lt;1,VALUE("0"),DST_123_ÜRETİM_İHTİYAÇ_RAPORU_BURAK_YENI1309[[#This Row],[SATINALMA]]*DST_123_ÜRETİM_İHTİYAÇ_RAPORU_BURAK_YENI1309[[#This Row],[BIRIM_FIYATLAR]])</f>
        <v>0</v>
      </c>
      <c r="N5280">
        <v>185</v>
      </c>
      <c r="O5280" t="s">
        <v>240</v>
      </c>
      <c r="P5280">
        <v>127.65000000000003</v>
      </c>
      <c r="Q5280" t="s">
        <v>180</v>
      </c>
    </row>
    <row r="5281" spans="1:17" x14ac:dyDescent="0.25">
      <c r="A5281" t="s">
        <v>1064</v>
      </c>
      <c r="B5281" t="s">
        <v>1055</v>
      </c>
      <c r="C5281" t="s">
        <v>175</v>
      </c>
      <c r="D5281" t="s">
        <v>103</v>
      </c>
      <c r="E5281" t="s">
        <v>288</v>
      </c>
      <c r="F5281">
        <v>5.8</v>
      </c>
      <c r="G5281" t="s">
        <v>176</v>
      </c>
      <c r="H5281">
        <v>0</v>
      </c>
      <c r="I5281">
        <v>87</v>
      </c>
      <c r="J5281" s="10">
        <v>50.899999999999949</v>
      </c>
      <c r="K5281" s="10">
        <f>SUMIFS(F:F,D:D,DST_123_ÜRETİM_İHTİYAÇ_RAPORU_BURAK_YENI1309[[#This Row],[ALT_KOD]])-(SUMIFS(H:H,D:D,DST_123_ÜRETİM_İHTİYAÇ_RAPORU_BURAK_YENI1309[[#This Row],[ALT_KOD]])+AVERAGEIFS(I:I,D:D,DST_123_ÜRETİM_İHTİYAÇ_RAPORU_BURAK_YENI1309[[#This Row],[ALT_KOD]])+AVERAGEIFS(L:L,D:D,DST_123_ÜRETİM_İHTİYAÇ_RAPORU_BURAK_YENI1309[[#This Row],[ALT_KOD]]))</f>
        <v>-43.900000000000006</v>
      </c>
      <c r="L5281">
        <v>0</v>
      </c>
      <c r="M5281">
        <f>IF((DST_123_ÜRETİM_İHTİYAÇ_RAPORU_BURAK_YENI1309[[#This Row],[SATINALMA]]*DST_123_ÜRETİM_İHTİYAÇ_RAPORU_BURAK_YENI1309[[#This Row],[BIRIM_FIYATLAR]])&lt;1,VALUE("0"),DST_123_ÜRETİM_İHTİYAÇ_RAPORU_BURAK_YENI1309[[#This Row],[SATINALMA]]*DST_123_ÜRETİM_İHTİYAÇ_RAPORU_BURAK_YENI1309[[#This Row],[BIRIM_FIYATLAR]])</f>
        <v>0</v>
      </c>
      <c r="N5281">
        <v>122.09</v>
      </c>
      <c r="O5281" t="s">
        <v>250</v>
      </c>
      <c r="P5281">
        <v>708.12199999999996</v>
      </c>
      <c r="Q5281" t="s">
        <v>180</v>
      </c>
    </row>
    <row r="5282" spans="1:17" x14ac:dyDescent="0.25">
      <c r="A5282" t="s">
        <v>1101</v>
      </c>
      <c r="B5282" t="s">
        <v>1102</v>
      </c>
      <c r="C5282" t="s">
        <v>175</v>
      </c>
      <c r="D5282" t="s">
        <v>204</v>
      </c>
      <c r="E5282" t="s">
        <v>205</v>
      </c>
      <c r="F5282">
        <v>1</v>
      </c>
      <c r="G5282" t="s">
        <v>176</v>
      </c>
      <c r="H5282">
        <v>0</v>
      </c>
      <c r="I5282">
        <v>100</v>
      </c>
      <c r="J5282" s="10">
        <v>41</v>
      </c>
      <c r="K5282" s="10">
        <f>SUMIFS(F:F,D:D,DST_123_ÜRETİM_İHTİYAÇ_RAPORU_BURAK_YENI1309[[#This Row],[ALT_KOD]])-(SUMIFS(H:H,D:D,DST_123_ÜRETİM_İHTİYAÇ_RAPORU_BURAK_YENI1309[[#This Row],[ALT_KOD]])+AVERAGEIFS(I:I,D:D,DST_123_ÜRETİM_İHTİYAÇ_RAPORU_BURAK_YENI1309[[#This Row],[ALT_KOD]])+AVERAGEIFS(L:L,D:D,DST_123_ÜRETİM_İHTİYAÇ_RAPORU_BURAK_YENI1309[[#This Row],[ALT_KOD]]))</f>
        <v>-89.5</v>
      </c>
      <c r="L5282">
        <v>0</v>
      </c>
      <c r="M5282">
        <f>IF((DST_123_ÜRETİM_İHTİYAÇ_RAPORU_BURAK_YENI1309[[#This Row],[SATINALMA]]*DST_123_ÜRETİM_İHTİYAÇ_RAPORU_BURAK_YENI1309[[#This Row],[BIRIM_FIYATLAR]])&lt;1,VALUE("0"),DST_123_ÜRETİM_İHTİYAÇ_RAPORU_BURAK_YENI1309[[#This Row],[SATINALMA]]*DST_123_ÜRETİM_İHTİYAÇ_RAPORU_BURAK_YENI1309[[#This Row],[BIRIM_FIYATLAR]])</f>
        <v>0</v>
      </c>
      <c r="N5282">
        <v>60</v>
      </c>
      <c r="O5282" t="s">
        <v>220</v>
      </c>
      <c r="P5282">
        <v>60</v>
      </c>
      <c r="Q5282" t="s">
        <v>180</v>
      </c>
    </row>
    <row r="5283" spans="1:17" x14ac:dyDescent="0.25">
      <c r="A5283" t="s">
        <v>1064</v>
      </c>
      <c r="B5283" t="s">
        <v>1055</v>
      </c>
      <c r="C5283" t="s">
        <v>175</v>
      </c>
      <c r="D5283" t="s">
        <v>9</v>
      </c>
      <c r="E5283" t="s">
        <v>10</v>
      </c>
      <c r="F5283">
        <v>4</v>
      </c>
      <c r="G5283" t="s">
        <v>176</v>
      </c>
      <c r="H5283">
        <v>4</v>
      </c>
      <c r="I5283">
        <v>39</v>
      </c>
      <c r="J5283" s="10">
        <v>32</v>
      </c>
      <c r="K5283" s="10">
        <f>SUMIFS(F:F,D:D,DST_123_ÜRETİM_İHTİYAÇ_RAPORU_BURAK_YENI1309[[#This Row],[ALT_KOD]])-(SUMIFS(H:H,D:D,DST_123_ÜRETİM_İHTİYAÇ_RAPORU_BURAK_YENI1309[[#This Row],[ALT_KOD]])+AVERAGEIFS(I:I,D:D,DST_123_ÜRETİM_İHTİYAÇ_RAPORU_BURAK_YENI1309[[#This Row],[ALT_KOD]])+AVERAGEIFS(L:L,D:D,DST_123_ÜRETİM_İHTİYAÇ_RAPORU_BURAK_YENI1309[[#This Row],[ALT_KOD]]))</f>
        <v>-11</v>
      </c>
      <c r="L5283">
        <v>0</v>
      </c>
      <c r="M5283">
        <f>IF((DST_123_ÜRETİM_İHTİYAÇ_RAPORU_BURAK_YENI1309[[#This Row],[SATINALMA]]*DST_123_ÜRETİM_İHTİYAÇ_RAPORU_BURAK_YENI1309[[#This Row],[BIRIM_FIYATLAR]])&lt;1,VALUE("0"),DST_123_ÜRETİM_İHTİYAÇ_RAPORU_BURAK_YENI1309[[#This Row],[SATINALMA]]*DST_123_ÜRETİM_İHTİYAÇ_RAPORU_BURAK_YENI1309[[#This Row],[BIRIM_FIYATLAR]])</f>
        <v>0</v>
      </c>
      <c r="N5283">
        <v>73.349999999999994</v>
      </c>
      <c r="O5283" t="s">
        <v>227</v>
      </c>
      <c r="P5283">
        <v>293.39999999999998</v>
      </c>
      <c r="Q5283" t="s">
        <v>221</v>
      </c>
    </row>
    <row r="5284" spans="1:17" x14ac:dyDescent="0.25">
      <c r="A5284" t="s">
        <v>1064</v>
      </c>
      <c r="B5284" t="s">
        <v>1055</v>
      </c>
      <c r="C5284" t="s">
        <v>175</v>
      </c>
      <c r="D5284" t="s">
        <v>7</v>
      </c>
      <c r="E5284" t="s">
        <v>8</v>
      </c>
      <c r="F5284">
        <v>1</v>
      </c>
      <c r="G5284" t="s">
        <v>176</v>
      </c>
      <c r="H5284">
        <v>1</v>
      </c>
      <c r="I5284">
        <v>6</v>
      </c>
      <c r="J5284" s="10">
        <v>7</v>
      </c>
      <c r="K5284" s="10">
        <f>SUMIFS(F:F,D:D,DST_123_ÜRETİM_İHTİYAÇ_RAPORU_BURAK_YENI1309[[#This Row],[ALT_KOD]])-(SUMIFS(H:H,D:D,DST_123_ÜRETİM_İHTİYAÇ_RAPORU_BURAK_YENI1309[[#This Row],[ALT_KOD]])+AVERAGEIFS(I:I,D:D,DST_123_ÜRETİM_İHTİYAÇ_RAPORU_BURAK_YENI1309[[#This Row],[ALT_KOD]])+AVERAGEIFS(L:L,D:D,DST_123_ÜRETİM_İHTİYAÇ_RAPORU_BURAK_YENI1309[[#This Row],[ALT_KOD]]))</f>
        <v>2</v>
      </c>
      <c r="L5284">
        <v>0</v>
      </c>
      <c r="M5284">
        <f>IF((DST_123_ÜRETİM_İHTİYAÇ_RAPORU_BURAK_YENI1309[[#This Row],[SATINALMA]]*DST_123_ÜRETİM_İHTİYAÇ_RAPORU_BURAK_YENI1309[[#This Row],[BIRIM_FIYATLAR]])&lt;1,VALUE("0"),DST_123_ÜRETİM_İHTİYAÇ_RAPORU_BURAK_YENI1309[[#This Row],[SATINALMA]]*DST_123_ÜRETİM_İHTİYAÇ_RAPORU_BURAK_YENI1309[[#This Row],[BIRIM_FIYATLAR]])</f>
        <v>4960.92</v>
      </c>
      <c r="N5284">
        <v>2480.46</v>
      </c>
      <c r="O5284" t="s">
        <v>227</v>
      </c>
      <c r="P5284">
        <v>2480.46</v>
      </c>
      <c r="Q5284" t="s">
        <v>221</v>
      </c>
    </row>
    <row r="5285" spans="1:17" x14ac:dyDescent="0.25">
      <c r="A5285" t="s">
        <v>1059</v>
      </c>
      <c r="B5285" t="s">
        <v>1058</v>
      </c>
      <c r="C5285" t="s">
        <v>175</v>
      </c>
      <c r="D5285" t="s">
        <v>98</v>
      </c>
      <c r="E5285" t="s">
        <v>248</v>
      </c>
      <c r="F5285">
        <v>4</v>
      </c>
      <c r="G5285" t="s">
        <v>176</v>
      </c>
      <c r="H5285">
        <v>4</v>
      </c>
      <c r="I5285">
        <v>230</v>
      </c>
      <c r="J5285" s="10">
        <v>72</v>
      </c>
      <c r="K5285" s="10">
        <f>SUMIFS(F:F,D:D,DST_123_ÜRETİM_İHTİYAÇ_RAPORU_BURAK_YENI1309[[#This Row],[ALT_KOD]])-(SUMIFS(H:H,D:D,DST_123_ÜRETİM_İHTİYAÇ_RAPORU_BURAK_YENI1309[[#This Row],[ALT_KOD]])+AVERAGEIFS(I:I,D:D,DST_123_ÜRETİM_İHTİYAÇ_RAPORU_BURAK_YENI1309[[#This Row],[ALT_KOD]])+AVERAGEIFS(L:L,D:D,DST_123_ÜRETİM_İHTİYAÇ_RAPORU_BURAK_YENI1309[[#This Row],[ALT_KOD]]))</f>
        <v>-172</v>
      </c>
      <c r="L5285">
        <v>0</v>
      </c>
      <c r="M5285">
        <f>IF((DST_123_ÜRETİM_İHTİYAÇ_RAPORU_BURAK_YENI1309[[#This Row],[SATINALMA]]*DST_123_ÜRETİM_İHTİYAÇ_RAPORU_BURAK_YENI1309[[#This Row],[BIRIM_FIYATLAR]])&lt;1,VALUE("0"),DST_123_ÜRETİM_İHTİYAÇ_RAPORU_BURAK_YENI1309[[#This Row],[SATINALMA]]*DST_123_ÜRETİM_İHTİYAÇ_RAPORU_BURAK_YENI1309[[#This Row],[BIRIM_FIYATLAR]])</f>
        <v>0</v>
      </c>
      <c r="N5285">
        <v>225</v>
      </c>
      <c r="O5285" t="s">
        <v>825</v>
      </c>
      <c r="P5285">
        <v>900</v>
      </c>
      <c r="Q5285" t="s">
        <v>177</v>
      </c>
    </row>
    <row r="5286" spans="1:17" x14ac:dyDescent="0.25">
      <c r="A5286" t="s">
        <v>1146</v>
      </c>
      <c r="B5286" t="s">
        <v>1145</v>
      </c>
      <c r="C5286" t="s">
        <v>175</v>
      </c>
      <c r="D5286" t="s">
        <v>98</v>
      </c>
      <c r="E5286" t="s">
        <v>248</v>
      </c>
      <c r="F5286">
        <v>7</v>
      </c>
      <c r="G5286" t="s">
        <v>176</v>
      </c>
      <c r="H5286">
        <v>7</v>
      </c>
      <c r="I5286">
        <v>230</v>
      </c>
      <c r="J5286" s="10">
        <v>72</v>
      </c>
      <c r="K5286" s="10">
        <f>SUMIFS(F:F,D:D,DST_123_ÜRETİM_İHTİYAÇ_RAPORU_BURAK_YENI1309[[#This Row],[ALT_KOD]])-(SUMIFS(H:H,D:D,DST_123_ÜRETİM_İHTİYAÇ_RAPORU_BURAK_YENI1309[[#This Row],[ALT_KOD]])+AVERAGEIFS(I:I,D:D,DST_123_ÜRETİM_İHTİYAÇ_RAPORU_BURAK_YENI1309[[#This Row],[ALT_KOD]])+AVERAGEIFS(L:L,D:D,DST_123_ÜRETİM_İHTİYAÇ_RAPORU_BURAK_YENI1309[[#This Row],[ALT_KOD]]))</f>
        <v>-172</v>
      </c>
      <c r="L5286">
        <v>0</v>
      </c>
      <c r="M5286">
        <f>IF((DST_123_ÜRETİM_İHTİYAÇ_RAPORU_BURAK_YENI1309[[#This Row],[SATINALMA]]*DST_123_ÜRETİM_İHTİYAÇ_RAPORU_BURAK_YENI1309[[#This Row],[BIRIM_FIYATLAR]])&lt;1,VALUE("0"),DST_123_ÜRETİM_İHTİYAÇ_RAPORU_BURAK_YENI1309[[#This Row],[SATINALMA]]*DST_123_ÜRETİM_İHTİYAÇ_RAPORU_BURAK_YENI1309[[#This Row],[BIRIM_FIYATLAR]])</f>
        <v>0</v>
      </c>
      <c r="N5286">
        <v>225</v>
      </c>
      <c r="O5286" t="s">
        <v>825</v>
      </c>
      <c r="P5286">
        <v>1575</v>
      </c>
      <c r="Q5286" t="s">
        <v>177</v>
      </c>
    </row>
    <row r="5287" spans="1:17" x14ac:dyDescent="0.25">
      <c r="A5287" t="s">
        <v>1097</v>
      </c>
      <c r="B5287" t="s">
        <v>1055</v>
      </c>
      <c r="C5287" t="s">
        <v>175</v>
      </c>
      <c r="D5287" t="s">
        <v>98</v>
      </c>
      <c r="E5287" t="s">
        <v>248</v>
      </c>
      <c r="F5287">
        <v>9</v>
      </c>
      <c r="G5287" t="s">
        <v>176</v>
      </c>
      <c r="H5287">
        <v>9</v>
      </c>
      <c r="I5287">
        <v>230</v>
      </c>
      <c r="J5287" s="10">
        <v>72</v>
      </c>
      <c r="K5287" s="10">
        <f>SUMIFS(F:F,D:D,DST_123_ÜRETİM_İHTİYAÇ_RAPORU_BURAK_YENI1309[[#This Row],[ALT_KOD]])-(SUMIFS(H:H,D:D,DST_123_ÜRETİM_İHTİYAÇ_RAPORU_BURAK_YENI1309[[#This Row],[ALT_KOD]])+AVERAGEIFS(I:I,D:D,DST_123_ÜRETİM_İHTİYAÇ_RAPORU_BURAK_YENI1309[[#This Row],[ALT_KOD]])+AVERAGEIFS(L:L,D:D,DST_123_ÜRETİM_İHTİYAÇ_RAPORU_BURAK_YENI1309[[#This Row],[ALT_KOD]]))</f>
        <v>-172</v>
      </c>
      <c r="L5287">
        <v>0</v>
      </c>
      <c r="M5287">
        <f>IF((DST_123_ÜRETİM_İHTİYAÇ_RAPORU_BURAK_YENI1309[[#This Row],[SATINALMA]]*DST_123_ÜRETİM_İHTİYAÇ_RAPORU_BURAK_YENI1309[[#This Row],[BIRIM_FIYATLAR]])&lt;1,VALUE("0"),DST_123_ÜRETİM_İHTİYAÇ_RAPORU_BURAK_YENI1309[[#This Row],[SATINALMA]]*DST_123_ÜRETİM_İHTİYAÇ_RAPORU_BURAK_YENI1309[[#This Row],[BIRIM_FIYATLAR]])</f>
        <v>0</v>
      </c>
      <c r="N5287">
        <v>225</v>
      </c>
      <c r="O5287" t="s">
        <v>825</v>
      </c>
      <c r="P5287">
        <v>2025</v>
      </c>
      <c r="Q5287" t="s">
        <v>177</v>
      </c>
    </row>
    <row r="5288" spans="1:17" x14ac:dyDescent="0.25">
      <c r="A5288" t="s">
        <v>1101</v>
      </c>
      <c r="B5288" t="s">
        <v>1102</v>
      </c>
      <c r="C5288" t="s">
        <v>175</v>
      </c>
      <c r="D5288" t="s">
        <v>605</v>
      </c>
      <c r="E5288" t="s">
        <v>606</v>
      </c>
      <c r="F5288">
        <v>4</v>
      </c>
      <c r="G5288" t="s">
        <v>176</v>
      </c>
      <c r="H5288">
        <v>4</v>
      </c>
      <c r="I5288">
        <v>25</v>
      </c>
      <c r="J5288" s="10">
        <v>14</v>
      </c>
      <c r="K5288" s="10">
        <f>SUMIFS(F:F,D:D,DST_123_ÜRETİM_İHTİYAÇ_RAPORU_BURAK_YENI1309[[#This Row],[ALT_KOD]])-(SUMIFS(H:H,D:D,DST_123_ÜRETİM_İHTİYAÇ_RAPORU_BURAK_YENI1309[[#This Row],[ALT_KOD]])+AVERAGEIFS(I:I,D:D,DST_123_ÜRETİM_İHTİYAÇ_RAPORU_BURAK_YENI1309[[#This Row],[ALT_KOD]])+AVERAGEIFS(L:L,D:D,DST_123_ÜRETİM_İHTİYAÇ_RAPORU_BURAK_YENI1309[[#This Row],[ALT_KOD]]))</f>
        <v>7</v>
      </c>
      <c r="L5288">
        <v>0</v>
      </c>
      <c r="M5288">
        <f>IF((DST_123_ÜRETİM_İHTİYAÇ_RAPORU_BURAK_YENI1309[[#This Row],[SATINALMA]]*DST_123_ÜRETİM_İHTİYAÇ_RAPORU_BURAK_YENI1309[[#This Row],[BIRIM_FIYATLAR]])&lt;1,VALUE("0"),DST_123_ÜRETİM_İHTİYAÇ_RAPORU_BURAK_YENI1309[[#This Row],[SATINALMA]]*DST_123_ÜRETİM_İHTİYAÇ_RAPORU_BURAK_YENI1309[[#This Row],[BIRIM_FIYATLAR]])</f>
        <v>1206.6599999999999</v>
      </c>
      <c r="N5288">
        <v>172.38</v>
      </c>
      <c r="O5288" t="s">
        <v>636</v>
      </c>
      <c r="P5288">
        <v>689.52</v>
      </c>
      <c r="Q5288" t="s">
        <v>177</v>
      </c>
    </row>
    <row r="5289" spans="1:17" x14ac:dyDescent="0.25">
      <c r="A5289" t="s">
        <v>1144</v>
      </c>
      <c r="B5289" t="s">
        <v>1145</v>
      </c>
      <c r="C5289" t="s">
        <v>175</v>
      </c>
      <c r="D5289" t="s">
        <v>387</v>
      </c>
      <c r="E5289" t="s">
        <v>388</v>
      </c>
      <c r="F5289">
        <v>7</v>
      </c>
      <c r="G5289" t="s">
        <v>176</v>
      </c>
      <c r="H5289">
        <v>0</v>
      </c>
      <c r="I5289">
        <v>1100</v>
      </c>
      <c r="J5289" s="10">
        <v>780</v>
      </c>
      <c r="K5289" s="10">
        <f>SUMIFS(F:F,D:D,DST_123_ÜRETİM_İHTİYAÇ_RAPORU_BURAK_YENI1309[[#This Row],[ALT_KOD]])-(SUMIFS(H:H,D:D,DST_123_ÜRETİM_İHTİYAÇ_RAPORU_BURAK_YENI1309[[#This Row],[ALT_KOD]])+AVERAGEIFS(I:I,D:D,DST_123_ÜRETİM_İHTİYAÇ_RAPORU_BURAK_YENI1309[[#This Row],[ALT_KOD]])+AVERAGEIFS(L:L,D:D,DST_123_ÜRETİM_İHTİYAÇ_RAPORU_BURAK_YENI1309[[#This Row],[ALT_KOD]]))</f>
        <v>-832</v>
      </c>
      <c r="L5289">
        <v>0</v>
      </c>
      <c r="M5289">
        <f>IF((DST_123_ÜRETİM_İHTİYAÇ_RAPORU_BURAK_YENI1309[[#This Row],[SATINALMA]]*DST_123_ÜRETİM_İHTİYAÇ_RAPORU_BURAK_YENI1309[[#This Row],[BIRIM_FIYATLAR]])&lt;1,VALUE("0"),DST_123_ÜRETİM_İHTİYAÇ_RAPORU_BURAK_YENI1309[[#This Row],[SATINALMA]]*DST_123_ÜRETİM_İHTİYAÇ_RAPORU_BURAK_YENI1309[[#This Row],[BIRIM_FIYATLAR]])</f>
        <v>0</v>
      </c>
      <c r="N5289">
        <v>0.32</v>
      </c>
      <c r="O5289" t="s">
        <v>240</v>
      </c>
      <c r="P5289">
        <v>2.2400000000000002</v>
      </c>
      <c r="Q5289" t="s">
        <v>180</v>
      </c>
    </row>
    <row r="5290" spans="1:17" x14ac:dyDescent="0.25">
      <c r="A5290" t="s">
        <v>1064</v>
      </c>
      <c r="B5290" t="s">
        <v>1055</v>
      </c>
      <c r="C5290" t="s">
        <v>175</v>
      </c>
      <c r="D5290" t="s">
        <v>605</v>
      </c>
      <c r="E5290" t="s">
        <v>606</v>
      </c>
      <c r="F5290">
        <v>2</v>
      </c>
      <c r="G5290" t="s">
        <v>176</v>
      </c>
      <c r="H5290">
        <v>2</v>
      </c>
      <c r="I5290">
        <v>25</v>
      </c>
      <c r="J5290" s="10">
        <v>14</v>
      </c>
      <c r="K5290" s="10">
        <f>SUMIFS(F:F,D:D,DST_123_ÜRETİM_İHTİYAÇ_RAPORU_BURAK_YENI1309[[#This Row],[ALT_KOD]])-(SUMIFS(H:H,D:D,DST_123_ÜRETİM_İHTİYAÇ_RAPORU_BURAK_YENI1309[[#This Row],[ALT_KOD]])+AVERAGEIFS(I:I,D:D,DST_123_ÜRETİM_İHTİYAÇ_RAPORU_BURAK_YENI1309[[#This Row],[ALT_KOD]])+AVERAGEIFS(L:L,D:D,DST_123_ÜRETİM_İHTİYAÇ_RAPORU_BURAK_YENI1309[[#This Row],[ALT_KOD]]))</f>
        <v>7</v>
      </c>
      <c r="L5290">
        <v>0</v>
      </c>
      <c r="M5290">
        <f>IF((DST_123_ÜRETİM_İHTİYAÇ_RAPORU_BURAK_YENI1309[[#This Row],[SATINALMA]]*DST_123_ÜRETİM_İHTİYAÇ_RAPORU_BURAK_YENI1309[[#This Row],[BIRIM_FIYATLAR]])&lt;1,VALUE("0"),DST_123_ÜRETİM_İHTİYAÇ_RAPORU_BURAK_YENI1309[[#This Row],[SATINALMA]]*DST_123_ÜRETİM_İHTİYAÇ_RAPORU_BURAK_YENI1309[[#This Row],[BIRIM_FIYATLAR]])</f>
        <v>1206.6599999999999</v>
      </c>
      <c r="N5290">
        <v>172.38</v>
      </c>
      <c r="O5290" t="s">
        <v>636</v>
      </c>
      <c r="P5290">
        <v>344.76</v>
      </c>
      <c r="Q5290" t="s">
        <v>177</v>
      </c>
    </row>
    <row r="5291" spans="1:17" x14ac:dyDescent="0.25">
      <c r="A5291" t="s">
        <v>1064</v>
      </c>
      <c r="B5291" t="s">
        <v>1055</v>
      </c>
      <c r="C5291" t="s">
        <v>175</v>
      </c>
      <c r="D5291" t="s">
        <v>783</v>
      </c>
      <c r="E5291" t="s">
        <v>784</v>
      </c>
      <c r="F5291">
        <v>1</v>
      </c>
      <c r="G5291" t="s">
        <v>176</v>
      </c>
      <c r="H5291">
        <v>1</v>
      </c>
      <c r="I5291">
        <v>15</v>
      </c>
      <c r="J5291" s="10">
        <v>11</v>
      </c>
      <c r="K5291" s="10">
        <f>SUMIFS(F:F,D:D,DST_123_ÜRETİM_İHTİYAÇ_RAPORU_BURAK_YENI1309[[#This Row],[ALT_KOD]])-(SUMIFS(H:H,D:D,DST_123_ÜRETİM_İHTİYAÇ_RAPORU_BURAK_YENI1309[[#This Row],[ALT_KOD]])+AVERAGEIFS(I:I,D:D,DST_123_ÜRETİM_İHTİYAÇ_RAPORU_BURAK_YENI1309[[#This Row],[ALT_KOD]])+AVERAGEIFS(L:L,D:D,DST_123_ÜRETİM_İHTİYAÇ_RAPORU_BURAK_YENI1309[[#This Row],[ALT_KOD]]))</f>
        <v>-4</v>
      </c>
      <c r="L5291">
        <v>0</v>
      </c>
      <c r="M5291">
        <f>IF((DST_123_ÜRETİM_İHTİYAÇ_RAPORU_BURAK_YENI1309[[#This Row],[SATINALMA]]*DST_123_ÜRETİM_İHTİYAÇ_RAPORU_BURAK_YENI1309[[#This Row],[BIRIM_FIYATLAR]])&lt;1,VALUE("0"),DST_123_ÜRETİM_İHTİYAÇ_RAPORU_BURAK_YENI1309[[#This Row],[SATINALMA]]*DST_123_ÜRETİM_İHTİYAÇ_RAPORU_BURAK_YENI1309[[#This Row],[BIRIM_FIYATLAR]])</f>
        <v>0</v>
      </c>
      <c r="N5291">
        <v>510</v>
      </c>
      <c r="O5291" t="s">
        <v>289</v>
      </c>
      <c r="P5291">
        <v>510</v>
      </c>
      <c r="Q5291" t="s">
        <v>178</v>
      </c>
    </row>
    <row r="5292" spans="1:17" x14ac:dyDescent="0.25">
      <c r="A5292" t="s">
        <v>1097</v>
      </c>
      <c r="B5292" t="s">
        <v>1055</v>
      </c>
      <c r="C5292" t="s">
        <v>175</v>
      </c>
      <c r="D5292" t="s">
        <v>7</v>
      </c>
      <c r="E5292" t="s">
        <v>8</v>
      </c>
      <c r="F5292">
        <v>1</v>
      </c>
      <c r="G5292" t="s">
        <v>176</v>
      </c>
      <c r="H5292">
        <v>1</v>
      </c>
      <c r="I5292">
        <v>6</v>
      </c>
      <c r="J5292" s="10">
        <v>7</v>
      </c>
      <c r="K5292" s="10">
        <f>SUMIFS(F:F,D:D,DST_123_ÜRETİM_İHTİYAÇ_RAPORU_BURAK_YENI1309[[#This Row],[ALT_KOD]])-(SUMIFS(H:H,D:D,DST_123_ÜRETİM_İHTİYAÇ_RAPORU_BURAK_YENI1309[[#This Row],[ALT_KOD]])+AVERAGEIFS(I:I,D:D,DST_123_ÜRETİM_İHTİYAÇ_RAPORU_BURAK_YENI1309[[#This Row],[ALT_KOD]])+AVERAGEIFS(L:L,D:D,DST_123_ÜRETİM_İHTİYAÇ_RAPORU_BURAK_YENI1309[[#This Row],[ALT_KOD]]))</f>
        <v>2</v>
      </c>
      <c r="L5292">
        <v>0</v>
      </c>
      <c r="M5292">
        <f>IF((DST_123_ÜRETİM_İHTİYAÇ_RAPORU_BURAK_YENI1309[[#This Row],[SATINALMA]]*DST_123_ÜRETİM_İHTİYAÇ_RAPORU_BURAK_YENI1309[[#This Row],[BIRIM_FIYATLAR]])&lt;1,VALUE("0"),DST_123_ÜRETİM_İHTİYAÇ_RAPORU_BURAK_YENI1309[[#This Row],[SATINALMA]]*DST_123_ÜRETİM_İHTİYAÇ_RAPORU_BURAK_YENI1309[[#This Row],[BIRIM_FIYATLAR]])</f>
        <v>4960.92</v>
      </c>
      <c r="N5292">
        <v>2480.46</v>
      </c>
      <c r="O5292" t="s">
        <v>227</v>
      </c>
      <c r="P5292">
        <v>2480.46</v>
      </c>
      <c r="Q5292" t="s">
        <v>221</v>
      </c>
    </row>
    <row r="5293" spans="1:17" x14ac:dyDescent="0.25">
      <c r="A5293" t="s">
        <v>1097</v>
      </c>
      <c r="B5293" t="s">
        <v>1055</v>
      </c>
      <c r="C5293" t="s">
        <v>175</v>
      </c>
      <c r="D5293" t="s">
        <v>161</v>
      </c>
      <c r="E5293" t="s">
        <v>162</v>
      </c>
      <c r="F5293">
        <v>1</v>
      </c>
      <c r="G5293" t="s">
        <v>176</v>
      </c>
      <c r="H5293">
        <v>1</v>
      </c>
      <c r="I5293">
        <v>5</v>
      </c>
      <c r="J5293" s="10">
        <v>8</v>
      </c>
      <c r="K5293" s="10">
        <f>SUMIFS(F:F,D:D,DST_123_ÜRETİM_İHTİYAÇ_RAPORU_BURAK_YENI1309[[#This Row],[ALT_KOD]])-(SUMIFS(H:H,D:D,DST_123_ÜRETİM_İHTİYAÇ_RAPORU_BURAK_YENI1309[[#This Row],[ALT_KOD]])+AVERAGEIFS(I:I,D:D,DST_123_ÜRETİM_İHTİYAÇ_RAPORU_BURAK_YENI1309[[#This Row],[ALT_KOD]])+AVERAGEIFS(L:L,D:D,DST_123_ÜRETİM_İHTİYAÇ_RAPORU_BURAK_YENI1309[[#This Row],[ALT_KOD]]))</f>
        <v>5</v>
      </c>
      <c r="L5293">
        <v>0</v>
      </c>
      <c r="M5293">
        <f>IF((DST_123_ÜRETİM_İHTİYAÇ_RAPORU_BURAK_YENI1309[[#This Row],[SATINALMA]]*DST_123_ÜRETİM_İHTİYAÇ_RAPORU_BURAK_YENI1309[[#This Row],[BIRIM_FIYATLAR]])&lt;1,VALUE("0"),DST_123_ÜRETİM_İHTİYAÇ_RAPORU_BURAK_YENI1309[[#This Row],[SATINALMA]]*DST_123_ÜRETİM_İHTİYAÇ_RAPORU_BURAK_YENI1309[[#This Row],[BIRIM_FIYATLAR]])</f>
        <v>30523.449999999997</v>
      </c>
      <c r="N5293">
        <v>6104.69</v>
      </c>
      <c r="O5293" t="s">
        <v>227</v>
      </c>
      <c r="P5293">
        <v>6104.69</v>
      </c>
      <c r="Q5293" t="s">
        <v>221</v>
      </c>
    </row>
    <row r="5294" spans="1:17" x14ac:dyDescent="0.25">
      <c r="A5294" t="s">
        <v>1057</v>
      </c>
      <c r="B5294" t="s">
        <v>1058</v>
      </c>
      <c r="C5294" t="s">
        <v>197</v>
      </c>
      <c r="D5294" t="s">
        <v>793</v>
      </c>
      <c r="E5294" t="s">
        <v>794</v>
      </c>
      <c r="F5294">
        <v>1</v>
      </c>
      <c r="G5294" t="s">
        <v>176</v>
      </c>
      <c r="H5294">
        <v>1</v>
      </c>
      <c r="I5294">
        <v>25</v>
      </c>
      <c r="J5294" s="10">
        <v>4</v>
      </c>
      <c r="K5294" s="10">
        <f>SUMIFS(F:F,D:D,DST_123_ÜRETİM_İHTİYAÇ_RAPORU_BURAK_YENI1309[[#This Row],[ALT_KOD]])-(SUMIFS(H:H,D:D,DST_123_ÜRETİM_İHTİYAÇ_RAPORU_BURAK_YENI1309[[#This Row],[ALT_KOD]])+AVERAGEIFS(I:I,D:D,DST_123_ÜRETİM_İHTİYAÇ_RAPORU_BURAK_YENI1309[[#This Row],[ALT_KOD]])+AVERAGEIFS(L:L,D:D,DST_123_ÜRETİM_İHTİYAÇ_RAPORU_BURAK_YENI1309[[#This Row],[ALT_KOD]]))</f>
        <v>-20</v>
      </c>
      <c r="L5294">
        <v>0</v>
      </c>
      <c r="M5294">
        <f>IF((DST_123_ÜRETİM_İHTİYAÇ_RAPORU_BURAK_YENI1309[[#This Row],[SATINALMA]]*DST_123_ÜRETİM_İHTİYAÇ_RAPORU_BURAK_YENI1309[[#This Row],[BIRIM_FIYATLAR]])&lt;1,VALUE("0"),DST_123_ÜRETİM_İHTİYAÇ_RAPORU_BURAK_YENI1309[[#This Row],[SATINALMA]]*DST_123_ÜRETİM_İHTİYAÇ_RAPORU_BURAK_YENI1309[[#This Row],[BIRIM_FIYATLAR]])</f>
        <v>0</v>
      </c>
      <c r="N5294">
        <v>2800</v>
      </c>
      <c r="O5294" t="s">
        <v>795</v>
      </c>
      <c r="P5294">
        <v>2800</v>
      </c>
      <c r="Q5294" t="s">
        <v>177</v>
      </c>
    </row>
    <row r="5295" spans="1:17" x14ac:dyDescent="0.25">
      <c r="A5295" t="s">
        <v>1059</v>
      </c>
      <c r="B5295" t="s">
        <v>1058</v>
      </c>
      <c r="C5295" t="s">
        <v>197</v>
      </c>
      <c r="D5295" t="s">
        <v>793</v>
      </c>
      <c r="E5295" t="s">
        <v>794</v>
      </c>
      <c r="F5295">
        <v>1</v>
      </c>
      <c r="G5295" t="s">
        <v>176</v>
      </c>
      <c r="H5295">
        <v>1</v>
      </c>
      <c r="I5295">
        <v>25</v>
      </c>
      <c r="J5295" s="10">
        <v>4</v>
      </c>
      <c r="K5295" s="10">
        <f>SUMIFS(F:F,D:D,DST_123_ÜRETİM_İHTİYAÇ_RAPORU_BURAK_YENI1309[[#This Row],[ALT_KOD]])-(SUMIFS(H:H,D:D,DST_123_ÜRETİM_İHTİYAÇ_RAPORU_BURAK_YENI1309[[#This Row],[ALT_KOD]])+AVERAGEIFS(I:I,D:D,DST_123_ÜRETİM_İHTİYAÇ_RAPORU_BURAK_YENI1309[[#This Row],[ALT_KOD]])+AVERAGEIFS(L:L,D:D,DST_123_ÜRETİM_İHTİYAÇ_RAPORU_BURAK_YENI1309[[#This Row],[ALT_KOD]]))</f>
        <v>-20</v>
      </c>
      <c r="L5295">
        <v>0</v>
      </c>
      <c r="M5295">
        <f>IF((DST_123_ÜRETİM_İHTİYAÇ_RAPORU_BURAK_YENI1309[[#This Row],[SATINALMA]]*DST_123_ÜRETİM_İHTİYAÇ_RAPORU_BURAK_YENI1309[[#This Row],[BIRIM_FIYATLAR]])&lt;1,VALUE("0"),DST_123_ÜRETİM_İHTİYAÇ_RAPORU_BURAK_YENI1309[[#This Row],[SATINALMA]]*DST_123_ÜRETİM_İHTİYAÇ_RAPORU_BURAK_YENI1309[[#This Row],[BIRIM_FIYATLAR]])</f>
        <v>0</v>
      </c>
      <c r="N5295">
        <v>2800</v>
      </c>
      <c r="O5295" t="s">
        <v>795</v>
      </c>
      <c r="P5295">
        <v>2800</v>
      </c>
      <c r="Q5295" t="s">
        <v>177</v>
      </c>
    </row>
    <row r="5296" spans="1:17" x14ac:dyDescent="0.25">
      <c r="A5296" t="s">
        <v>1146</v>
      </c>
      <c r="B5296" t="s">
        <v>1145</v>
      </c>
      <c r="C5296" t="s">
        <v>175</v>
      </c>
      <c r="D5296" t="s">
        <v>206</v>
      </c>
      <c r="E5296" t="s">
        <v>280</v>
      </c>
      <c r="F5296">
        <v>0.54999999999999993</v>
      </c>
      <c r="G5296" t="s">
        <v>176</v>
      </c>
      <c r="H5296">
        <v>0.54999999999999993</v>
      </c>
      <c r="I5296">
        <v>10</v>
      </c>
      <c r="J5296" s="10">
        <v>126.66400000000034</v>
      </c>
      <c r="K5296" s="10">
        <f>SUMIFS(F:F,D:D,DST_123_ÜRETİM_İHTİYAÇ_RAPORU_BURAK_YENI1309[[#This Row],[ALT_KOD]])-(SUMIFS(H:H,D:D,DST_123_ÜRETİM_İHTİYAÇ_RAPORU_BURAK_YENI1309[[#This Row],[ALT_KOD]])+AVERAGEIFS(I:I,D:D,DST_123_ÜRETİM_İHTİYAÇ_RAPORU_BURAK_YENI1309[[#This Row],[ALT_KOD]])+AVERAGEIFS(L:L,D:D,DST_123_ÜRETİM_İHTİYAÇ_RAPORU_BURAK_YENI1309[[#This Row],[ALT_KOD]]))</f>
        <v>-1.1600000000000001</v>
      </c>
      <c r="L5296">
        <v>0</v>
      </c>
      <c r="M5296">
        <f>IF((DST_123_ÜRETİM_İHTİYAÇ_RAPORU_BURAK_YENI1309[[#This Row],[SATINALMA]]*DST_123_ÜRETİM_İHTİYAÇ_RAPORU_BURAK_YENI1309[[#This Row],[BIRIM_FIYATLAR]])&lt;1,VALUE("0"),DST_123_ÜRETİM_İHTİYAÇ_RAPORU_BURAK_YENI1309[[#This Row],[SATINALMA]]*DST_123_ÜRETİM_İHTİYAÇ_RAPORU_BURAK_YENI1309[[#This Row],[BIRIM_FIYATLAR]])</f>
        <v>0</v>
      </c>
      <c r="N5296">
        <v>185</v>
      </c>
      <c r="O5296" t="s">
        <v>240</v>
      </c>
      <c r="P5296">
        <v>101.74999999999999</v>
      </c>
      <c r="Q5296" t="s">
        <v>180</v>
      </c>
    </row>
    <row r="5297" spans="1:17" x14ac:dyDescent="0.25">
      <c r="A5297" t="s">
        <v>1196</v>
      </c>
      <c r="B5297" t="s">
        <v>1197</v>
      </c>
      <c r="C5297" t="s">
        <v>175</v>
      </c>
      <c r="D5297" t="s">
        <v>1161</v>
      </c>
      <c r="E5297" t="s">
        <v>1162</v>
      </c>
      <c r="F5297">
        <v>2</v>
      </c>
      <c r="G5297" t="s">
        <v>176</v>
      </c>
      <c r="H5297">
        <v>0</v>
      </c>
      <c r="I5297">
        <v>0</v>
      </c>
      <c r="J5297" s="10">
        <v>0</v>
      </c>
      <c r="K5297" s="10">
        <f>SUMIFS(F:F,D:D,DST_123_ÜRETİM_İHTİYAÇ_RAPORU_BURAK_YENI1309[[#This Row],[ALT_KOD]])-(SUMIFS(H:H,D:D,DST_123_ÜRETİM_İHTİYAÇ_RAPORU_BURAK_YENI1309[[#This Row],[ALT_KOD]])+AVERAGEIFS(I:I,D:D,DST_123_ÜRETİM_İHTİYAÇ_RAPORU_BURAK_YENI1309[[#This Row],[ALT_KOD]])+AVERAGEIFS(L:L,D:D,DST_123_ÜRETİM_İHTİYAÇ_RAPORU_BURAK_YENI1309[[#This Row],[ALT_KOD]]))</f>
        <v>14</v>
      </c>
      <c r="L5297">
        <v>0</v>
      </c>
      <c r="M5297">
        <f>IF((DST_123_ÜRETİM_İHTİYAÇ_RAPORU_BURAK_YENI1309[[#This Row],[SATINALMA]]*DST_123_ÜRETİM_İHTİYAÇ_RAPORU_BURAK_YENI1309[[#This Row],[BIRIM_FIYATLAR]])&lt;1,VALUE("0"),DST_123_ÜRETİM_İHTİYAÇ_RAPORU_BURAK_YENI1309[[#This Row],[SATINALMA]]*DST_123_ÜRETİM_İHTİYAÇ_RAPORU_BURAK_YENI1309[[#This Row],[BIRIM_FIYATLAR]])</f>
        <v>0</v>
      </c>
      <c r="N5297">
        <v>0</v>
      </c>
      <c r="P5297">
        <v>0</v>
      </c>
      <c r="Q5297" t="s">
        <v>221</v>
      </c>
    </row>
    <row r="5298" spans="1:17" x14ac:dyDescent="0.25">
      <c r="A5298" t="s">
        <v>1064</v>
      </c>
      <c r="B5298" t="s">
        <v>1055</v>
      </c>
      <c r="C5298" t="s">
        <v>175</v>
      </c>
      <c r="D5298" t="s">
        <v>802</v>
      </c>
      <c r="E5298" t="s">
        <v>822</v>
      </c>
      <c r="F5298">
        <v>1</v>
      </c>
      <c r="G5298" t="s">
        <v>176</v>
      </c>
      <c r="H5298">
        <v>0</v>
      </c>
      <c r="I5298">
        <v>20.5</v>
      </c>
      <c r="J5298" s="10">
        <v>5</v>
      </c>
      <c r="K5298" s="10">
        <f>SUMIFS(F:F,D:D,DST_123_ÜRETİM_İHTİYAÇ_RAPORU_BURAK_YENI1309[[#This Row],[ALT_KOD]])-(SUMIFS(H:H,D:D,DST_123_ÜRETİM_İHTİYAÇ_RAPORU_BURAK_YENI1309[[#This Row],[ALT_KOD]])+AVERAGEIFS(I:I,D:D,DST_123_ÜRETİM_İHTİYAÇ_RAPORU_BURAK_YENI1309[[#This Row],[ALT_KOD]])+AVERAGEIFS(L:L,D:D,DST_123_ÜRETİM_İHTİYAÇ_RAPORU_BURAK_YENI1309[[#This Row],[ALT_KOD]]))</f>
        <v>-9.5</v>
      </c>
      <c r="L5298">
        <v>0</v>
      </c>
      <c r="M5298">
        <f>IF((DST_123_ÜRETİM_İHTİYAÇ_RAPORU_BURAK_YENI1309[[#This Row],[SATINALMA]]*DST_123_ÜRETİM_İHTİYAÇ_RAPORU_BURAK_YENI1309[[#This Row],[BIRIM_FIYATLAR]])&lt;1,VALUE("0"),DST_123_ÜRETİM_İHTİYAÇ_RAPORU_BURAK_YENI1309[[#This Row],[SATINALMA]]*DST_123_ÜRETİM_İHTİYAÇ_RAPORU_BURAK_YENI1309[[#This Row],[BIRIM_FIYATLAR]])</f>
        <v>0</v>
      </c>
      <c r="N5298">
        <v>175</v>
      </c>
      <c r="O5298" t="s">
        <v>217</v>
      </c>
      <c r="P5298">
        <v>175</v>
      </c>
      <c r="Q5298" t="s">
        <v>180</v>
      </c>
    </row>
    <row r="5299" spans="1:17" x14ac:dyDescent="0.25">
      <c r="A5299" t="s">
        <v>1097</v>
      </c>
      <c r="B5299" t="s">
        <v>1055</v>
      </c>
      <c r="C5299" t="s">
        <v>175</v>
      </c>
      <c r="D5299" t="s">
        <v>137</v>
      </c>
      <c r="E5299" t="s">
        <v>138</v>
      </c>
      <c r="F5299">
        <v>2</v>
      </c>
      <c r="G5299" t="s">
        <v>176</v>
      </c>
      <c r="H5299">
        <v>2</v>
      </c>
      <c r="I5299">
        <v>23</v>
      </c>
      <c r="J5299" s="10">
        <v>22</v>
      </c>
      <c r="K5299" s="10">
        <f>SUMIFS(F:F,D:D,DST_123_ÜRETİM_İHTİYAÇ_RAPORU_BURAK_YENI1309[[#This Row],[ALT_KOD]])-(SUMIFS(H:H,D:D,DST_123_ÜRETİM_İHTİYAÇ_RAPORU_BURAK_YENI1309[[#This Row],[ALT_KOD]])+AVERAGEIFS(I:I,D:D,DST_123_ÜRETİM_İHTİYAÇ_RAPORU_BURAK_YENI1309[[#This Row],[ALT_KOD]])+AVERAGEIFS(L:L,D:D,DST_123_ÜRETİM_İHTİYAÇ_RAPORU_BURAK_YENI1309[[#This Row],[ALT_KOD]]))</f>
        <v>1</v>
      </c>
      <c r="L5299">
        <v>0</v>
      </c>
      <c r="M5299">
        <f>IF((DST_123_ÜRETİM_İHTİYAÇ_RAPORU_BURAK_YENI1309[[#This Row],[SATINALMA]]*DST_123_ÜRETİM_İHTİYAÇ_RAPORU_BURAK_YENI1309[[#This Row],[BIRIM_FIYATLAR]])&lt;1,VALUE("0"),DST_123_ÜRETİM_İHTİYAÇ_RAPORU_BURAK_YENI1309[[#This Row],[SATINALMA]]*DST_123_ÜRETİM_İHTİYAÇ_RAPORU_BURAK_YENI1309[[#This Row],[BIRIM_FIYATLAR]])</f>
        <v>73.349999999999994</v>
      </c>
      <c r="N5299">
        <v>73.349999999999994</v>
      </c>
      <c r="O5299" t="s">
        <v>227</v>
      </c>
      <c r="P5299">
        <v>146.69999999999999</v>
      </c>
      <c r="Q5299" t="s">
        <v>221</v>
      </c>
    </row>
    <row r="5300" spans="1:17" x14ac:dyDescent="0.25">
      <c r="A5300" t="s">
        <v>1095</v>
      </c>
      <c r="B5300" t="s">
        <v>1096</v>
      </c>
      <c r="C5300" t="s">
        <v>175</v>
      </c>
      <c r="D5300" t="s">
        <v>1082</v>
      </c>
      <c r="E5300" t="s">
        <v>1083</v>
      </c>
      <c r="F5300">
        <v>2</v>
      </c>
      <c r="G5300" t="s">
        <v>176</v>
      </c>
      <c r="H5300">
        <v>0</v>
      </c>
      <c r="I5300">
        <v>14</v>
      </c>
      <c r="J5300" s="10">
        <v>19</v>
      </c>
      <c r="K5300" s="10">
        <f>SUMIFS(F:F,D:D,DST_123_ÜRETİM_İHTİYAÇ_RAPORU_BURAK_YENI1309[[#This Row],[ALT_KOD]])-(SUMIFS(H:H,D:D,DST_123_ÜRETİM_İHTİYAÇ_RAPORU_BURAK_YENI1309[[#This Row],[ALT_KOD]])+AVERAGEIFS(I:I,D:D,DST_123_ÜRETİM_İHTİYAÇ_RAPORU_BURAK_YENI1309[[#This Row],[ALT_KOD]])+AVERAGEIFS(L:L,D:D,DST_123_ÜRETİM_İHTİYAÇ_RAPORU_BURAK_YENI1309[[#This Row],[ALT_KOD]]))</f>
        <v>-23</v>
      </c>
      <c r="L5300">
        <v>30</v>
      </c>
      <c r="M5300">
        <f>IF((DST_123_ÜRETİM_İHTİYAÇ_RAPORU_BURAK_YENI1309[[#This Row],[SATINALMA]]*DST_123_ÜRETİM_İHTİYAÇ_RAPORU_BURAK_YENI1309[[#This Row],[BIRIM_FIYATLAR]])&lt;1,VALUE("0"),DST_123_ÜRETİM_İHTİYAÇ_RAPORU_BURAK_YENI1309[[#This Row],[SATINALMA]]*DST_123_ÜRETİM_İHTİYAÇ_RAPORU_BURAK_YENI1309[[#This Row],[BIRIM_FIYATLAR]])</f>
        <v>0</v>
      </c>
      <c r="N5300">
        <v>67.22</v>
      </c>
      <c r="O5300" t="s">
        <v>592</v>
      </c>
      <c r="P5300">
        <v>134.44</v>
      </c>
      <c r="Q5300" t="s">
        <v>178</v>
      </c>
    </row>
    <row r="5301" spans="1:17" x14ac:dyDescent="0.25">
      <c r="A5301" t="s">
        <v>1059</v>
      </c>
      <c r="B5301" t="s">
        <v>1058</v>
      </c>
      <c r="C5301" t="s">
        <v>175</v>
      </c>
      <c r="D5301" t="s">
        <v>1002</v>
      </c>
      <c r="E5301" t="s">
        <v>1003</v>
      </c>
      <c r="F5301">
        <v>1</v>
      </c>
      <c r="G5301" t="s">
        <v>176</v>
      </c>
      <c r="H5301">
        <v>1</v>
      </c>
      <c r="I5301">
        <v>5</v>
      </c>
      <c r="J5301" s="10">
        <v>4</v>
      </c>
      <c r="K5301" s="10">
        <f>SUMIFS(F:F,D:D,DST_123_ÜRETİM_İHTİYAÇ_RAPORU_BURAK_YENI1309[[#This Row],[ALT_KOD]])-(SUMIFS(H:H,D:D,DST_123_ÜRETİM_İHTİYAÇ_RAPORU_BURAK_YENI1309[[#This Row],[ALT_KOD]])+AVERAGEIFS(I:I,D:D,DST_123_ÜRETİM_İHTİYAÇ_RAPORU_BURAK_YENI1309[[#This Row],[ALT_KOD]])+AVERAGEIFS(L:L,D:D,DST_123_ÜRETİM_İHTİYAÇ_RAPORU_BURAK_YENI1309[[#This Row],[ALT_KOD]]))</f>
        <v>-5</v>
      </c>
      <c r="L5301">
        <v>0</v>
      </c>
      <c r="M5301">
        <f>IF((DST_123_ÜRETİM_İHTİYAÇ_RAPORU_BURAK_YENI1309[[#This Row],[SATINALMA]]*DST_123_ÜRETİM_İHTİYAÇ_RAPORU_BURAK_YENI1309[[#This Row],[BIRIM_FIYATLAR]])&lt;1,VALUE("0"),DST_123_ÜRETİM_İHTİYAÇ_RAPORU_BURAK_YENI1309[[#This Row],[SATINALMA]]*DST_123_ÜRETİM_İHTİYAÇ_RAPORU_BURAK_YENI1309[[#This Row],[BIRIM_FIYATLAR]])</f>
        <v>0</v>
      </c>
      <c r="N5301">
        <v>5112.92</v>
      </c>
      <c r="O5301" t="s">
        <v>1004</v>
      </c>
      <c r="P5301">
        <v>5112.92</v>
      </c>
      <c r="Q5301" t="s">
        <v>180</v>
      </c>
    </row>
    <row r="5302" spans="1:17" x14ac:dyDescent="0.25">
      <c r="A5302" t="s">
        <v>1057</v>
      </c>
      <c r="B5302" t="s">
        <v>1058</v>
      </c>
      <c r="C5302" t="s">
        <v>175</v>
      </c>
      <c r="D5302" t="s">
        <v>1013</v>
      </c>
      <c r="E5302" t="s">
        <v>1014</v>
      </c>
      <c r="F5302">
        <v>2</v>
      </c>
      <c r="G5302" t="s">
        <v>176</v>
      </c>
      <c r="H5302">
        <v>2</v>
      </c>
      <c r="I5302">
        <v>21</v>
      </c>
      <c r="J5302" s="10">
        <v>8</v>
      </c>
      <c r="K5302" s="10">
        <f>SUMIFS(F:F,D:D,DST_123_ÜRETİM_İHTİYAÇ_RAPORU_BURAK_YENI1309[[#This Row],[ALT_KOD]])-(SUMIFS(H:H,D:D,DST_123_ÜRETİM_İHTİYAÇ_RAPORU_BURAK_YENI1309[[#This Row],[ALT_KOD]])+AVERAGEIFS(I:I,D:D,DST_123_ÜRETİM_İHTİYAÇ_RAPORU_BURAK_YENI1309[[#This Row],[ALT_KOD]])+AVERAGEIFS(L:L,D:D,DST_123_ÜRETİM_İHTİYAÇ_RAPORU_BURAK_YENI1309[[#This Row],[ALT_KOD]]))</f>
        <v>-21</v>
      </c>
      <c r="L5302">
        <v>0</v>
      </c>
      <c r="M5302">
        <f>IF((DST_123_ÜRETİM_İHTİYAÇ_RAPORU_BURAK_YENI1309[[#This Row],[SATINALMA]]*DST_123_ÜRETİM_İHTİYAÇ_RAPORU_BURAK_YENI1309[[#This Row],[BIRIM_FIYATLAR]])&lt;1,VALUE("0"),DST_123_ÜRETİM_İHTİYAÇ_RAPORU_BURAK_YENI1309[[#This Row],[SATINALMA]]*DST_123_ÜRETİM_İHTİYAÇ_RAPORU_BURAK_YENI1309[[#This Row],[BIRIM_FIYATLAR]])</f>
        <v>0</v>
      </c>
      <c r="N5302">
        <v>451</v>
      </c>
      <c r="O5302" t="s">
        <v>246</v>
      </c>
      <c r="P5302">
        <v>902</v>
      </c>
      <c r="Q5302" t="s">
        <v>177</v>
      </c>
    </row>
    <row r="5303" spans="1:17" x14ac:dyDescent="0.25">
      <c r="A5303" t="s">
        <v>1100</v>
      </c>
      <c r="B5303" t="s">
        <v>1058</v>
      </c>
      <c r="C5303" t="s">
        <v>175</v>
      </c>
      <c r="D5303" t="s">
        <v>120</v>
      </c>
      <c r="E5303" t="s">
        <v>311</v>
      </c>
      <c r="F5303">
        <v>2</v>
      </c>
      <c r="G5303" t="s">
        <v>176</v>
      </c>
      <c r="H5303">
        <v>2</v>
      </c>
      <c r="I5303">
        <v>24</v>
      </c>
      <c r="J5303" s="10">
        <v>18.499999999999982</v>
      </c>
      <c r="K5303" s="10">
        <f>SUMIFS(F:F,D:D,DST_123_ÜRETİM_İHTİYAÇ_RAPORU_BURAK_YENI1309[[#This Row],[ALT_KOD]])-(SUMIFS(H:H,D:D,DST_123_ÜRETİM_İHTİYAÇ_RAPORU_BURAK_YENI1309[[#This Row],[ALT_KOD]])+AVERAGEIFS(I:I,D:D,DST_123_ÜRETİM_İHTİYAÇ_RAPORU_BURAK_YENI1309[[#This Row],[ALT_KOD]])+AVERAGEIFS(L:L,D:D,DST_123_ÜRETİM_İHTİYAÇ_RAPORU_BURAK_YENI1309[[#This Row],[ALT_KOD]]))</f>
        <v>3.899999999999995</v>
      </c>
      <c r="L5303">
        <v>0</v>
      </c>
      <c r="M5303">
        <f>IF((DST_123_ÜRETİM_İHTİYAÇ_RAPORU_BURAK_YENI1309[[#This Row],[SATINALMA]]*DST_123_ÜRETİM_İHTİYAÇ_RAPORU_BURAK_YENI1309[[#This Row],[BIRIM_FIYATLAR]])&lt;1,VALUE("0"),DST_123_ÜRETİM_İHTİYAÇ_RAPORU_BURAK_YENI1309[[#This Row],[SATINALMA]]*DST_123_ÜRETİM_İHTİYAÇ_RAPORU_BURAK_YENI1309[[#This Row],[BIRIM_FIYATLAR]])</f>
        <v>467.99999999999943</v>
      </c>
      <c r="N5303">
        <v>120</v>
      </c>
      <c r="O5303" t="s">
        <v>240</v>
      </c>
      <c r="P5303">
        <v>240</v>
      </c>
      <c r="Q5303" t="s">
        <v>183</v>
      </c>
    </row>
    <row r="5304" spans="1:17" x14ac:dyDescent="0.25">
      <c r="A5304" t="s">
        <v>1060</v>
      </c>
      <c r="B5304" t="s">
        <v>1061</v>
      </c>
      <c r="C5304" t="s">
        <v>175</v>
      </c>
      <c r="D5304" t="s">
        <v>120</v>
      </c>
      <c r="E5304" t="s">
        <v>311</v>
      </c>
      <c r="F5304">
        <v>1.5</v>
      </c>
      <c r="G5304" t="s">
        <v>176</v>
      </c>
      <c r="H5304">
        <v>1.5</v>
      </c>
      <c r="I5304">
        <v>24</v>
      </c>
      <c r="J5304" s="10">
        <v>18.499999999999982</v>
      </c>
      <c r="K5304" s="10">
        <f>SUMIFS(F:F,D:D,DST_123_ÜRETİM_İHTİYAÇ_RAPORU_BURAK_YENI1309[[#This Row],[ALT_KOD]])-(SUMIFS(H:H,D:D,DST_123_ÜRETİM_İHTİYAÇ_RAPORU_BURAK_YENI1309[[#This Row],[ALT_KOD]])+AVERAGEIFS(I:I,D:D,DST_123_ÜRETİM_İHTİYAÇ_RAPORU_BURAK_YENI1309[[#This Row],[ALT_KOD]])+AVERAGEIFS(L:L,D:D,DST_123_ÜRETİM_İHTİYAÇ_RAPORU_BURAK_YENI1309[[#This Row],[ALT_KOD]]))</f>
        <v>3.899999999999995</v>
      </c>
      <c r="L5304">
        <v>0</v>
      </c>
      <c r="M5304">
        <f>IF((DST_123_ÜRETİM_İHTİYAÇ_RAPORU_BURAK_YENI1309[[#This Row],[SATINALMA]]*DST_123_ÜRETİM_İHTİYAÇ_RAPORU_BURAK_YENI1309[[#This Row],[BIRIM_FIYATLAR]])&lt;1,VALUE("0"),DST_123_ÜRETİM_İHTİYAÇ_RAPORU_BURAK_YENI1309[[#This Row],[SATINALMA]]*DST_123_ÜRETİM_İHTİYAÇ_RAPORU_BURAK_YENI1309[[#This Row],[BIRIM_FIYATLAR]])</f>
        <v>467.99999999999943</v>
      </c>
      <c r="N5304">
        <v>120</v>
      </c>
      <c r="O5304" t="s">
        <v>240</v>
      </c>
      <c r="P5304">
        <v>180</v>
      </c>
      <c r="Q5304" t="s">
        <v>183</v>
      </c>
    </row>
    <row r="5305" spans="1:17" x14ac:dyDescent="0.25">
      <c r="A5305" t="s">
        <v>1099</v>
      </c>
      <c r="B5305" t="s">
        <v>1055</v>
      </c>
      <c r="C5305" t="s">
        <v>175</v>
      </c>
      <c r="D5305" t="s">
        <v>137</v>
      </c>
      <c r="E5305" t="s">
        <v>138</v>
      </c>
      <c r="F5305">
        <v>2</v>
      </c>
      <c r="G5305" t="s">
        <v>176</v>
      </c>
      <c r="H5305">
        <v>2</v>
      </c>
      <c r="I5305">
        <v>23</v>
      </c>
      <c r="J5305" s="10">
        <v>22</v>
      </c>
      <c r="K5305" s="10">
        <f>SUMIFS(F:F,D:D,DST_123_ÜRETİM_İHTİYAÇ_RAPORU_BURAK_YENI1309[[#This Row],[ALT_KOD]])-(SUMIFS(H:H,D:D,DST_123_ÜRETİM_İHTİYAÇ_RAPORU_BURAK_YENI1309[[#This Row],[ALT_KOD]])+AVERAGEIFS(I:I,D:D,DST_123_ÜRETİM_İHTİYAÇ_RAPORU_BURAK_YENI1309[[#This Row],[ALT_KOD]])+AVERAGEIFS(L:L,D:D,DST_123_ÜRETİM_İHTİYAÇ_RAPORU_BURAK_YENI1309[[#This Row],[ALT_KOD]]))</f>
        <v>1</v>
      </c>
      <c r="L5305">
        <v>0</v>
      </c>
      <c r="M5305">
        <f>IF((DST_123_ÜRETİM_İHTİYAÇ_RAPORU_BURAK_YENI1309[[#This Row],[SATINALMA]]*DST_123_ÜRETİM_İHTİYAÇ_RAPORU_BURAK_YENI1309[[#This Row],[BIRIM_FIYATLAR]])&lt;1,VALUE("0"),DST_123_ÜRETİM_İHTİYAÇ_RAPORU_BURAK_YENI1309[[#This Row],[SATINALMA]]*DST_123_ÜRETİM_İHTİYAÇ_RAPORU_BURAK_YENI1309[[#This Row],[BIRIM_FIYATLAR]])</f>
        <v>73.349999999999994</v>
      </c>
      <c r="N5305">
        <v>73.349999999999994</v>
      </c>
      <c r="O5305" t="s">
        <v>227</v>
      </c>
      <c r="P5305">
        <v>146.69999999999999</v>
      </c>
      <c r="Q5305" t="s">
        <v>221</v>
      </c>
    </row>
    <row r="5306" spans="1:17" x14ac:dyDescent="0.25">
      <c r="A5306" t="s">
        <v>1099</v>
      </c>
      <c r="B5306" t="s">
        <v>1055</v>
      </c>
      <c r="C5306" t="s">
        <v>175</v>
      </c>
      <c r="D5306" t="s">
        <v>386</v>
      </c>
      <c r="E5306" t="s">
        <v>613</v>
      </c>
      <c r="F5306">
        <v>1</v>
      </c>
      <c r="G5306" t="s">
        <v>182</v>
      </c>
      <c r="H5306">
        <v>0</v>
      </c>
      <c r="I5306">
        <v>0</v>
      </c>
      <c r="J5306" s="10">
        <v>67.08499999999998</v>
      </c>
      <c r="K5306" s="10">
        <f>SUMIFS(F:F,D:D,DST_123_ÜRETİM_İHTİYAÇ_RAPORU_BURAK_YENI1309[[#This Row],[ALT_KOD]])-(SUMIFS(H:H,D:D,DST_123_ÜRETİM_İHTİYAÇ_RAPORU_BURAK_YENI1309[[#This Row],[ALT_KOD]])+AVERAGEIFS(I:I,D:D,DST_123_ÜRETİM_İHTİYAÇ_RAPORU_BURAK_YENI1309[[#This Row],[ALT_KOD]])+AVERAGEIFS(L:L,D:D,DST_123_ÜRETİM_İHTİYAÇ_RAPORU_BURAK_YENI1309[[#This Row],[ALT_KOD]]))</f>
        <v>15</v>
      </c>
      <c r="L5306">
        <v>0</v>
      </c>
      <c r="M5306">
        <f>IF((DST_123_ÜRETİM_İHTİYAÇ_RAPORU_BURAK_YENI1309[[#This Row],[SATINALMA]]*DST_123_ÜRETİM_İHTİYAÇ_RAPORU_BURAK_YENI1309[[#This Row],[BIRIM_FIYATLAR]])&lt;1,VALUE("0"),DST_123_ÜRETİM_İHTİYAÇ_RAPORU_BURAK_YENI1309[[#This Row],[SATINALMA]]*DST_123_ÜRETİM_İHTİYAÇ_RAPORU_BURAK_YENI1309[[#This Row],[BIRIM_FIYATLAR]])</f>
        <v>9778.0499999999993</v>
      </c>
      <c r="N5306">
        <v>651.87</v>
      </c>
      <c r="O5306" t="s">
        <v>223</v>
      </c>
      <c r="P5306">
        <v>651.87</v>
      </c>
      <c r="Q5306" t="s">
        <v>181</v>
      </c>
    </row>
    <row r="5307" spans="1:17" x14ac:dyDescent="0.25">
      <c r="A5307" t="s">
        <v>1057</v>
      </c>
      <c r="B5307" t="s">
        <v>1058</v>
      </c>
      <c r="C5307" t="s">
        <v>175</v>
      </c>
      <c r="D5307" t="s">
        <v>763</v>
      </c>
      <c r="E5307" t="s">
        <v>764</v>
      </c>
      <c r="F5307">
        <v>1</v>
      </c>
      <c r="G5307" t="s">
        <v>176</v>
      </c>
      <c r="H5307">
        <v>1</v>
      </c>
      <c r="I5307">
        <v>12</v>
      </c>
      <c r="J5307" s="10">
        <v>8</v>
      </c>
      <c r="K5307" s="10">
        <f>SUMIFS(F:F,D:D,DST_123_ÜRETİM_İHTİYAÇ_RAPORU_BURAK_YENI1309[[#This Row],[ALT_KOD]])-(SUMIFS(H:H,D:D,DST_123_ÜRETİM_İHTİYAÇ_RAPORU_BURAK_YENI1309[[#This Row],[ALT_KOD]])+AVERAGEIFS(I:I,D:D,DST_123_ÜRETİM_İHTİYAÇ_RAPORU_BURAK_YENI1309[[#This Row],[ALT_KOD]])+AVERAGEIFS(L:L,D:D,DST_123_ÜRETİM_İHTİYAÇ_RAPORU_BURAK_YENI1309[[#This Row],[ALT_KOD]]))</f>
        <v>0</v>
      </c>
      <c r="L5307">
        <v>0</v>
      </c>
      <c r="M5307">
        <f>IF((DST_123_ÜRETİM_İHTİYAÇ_RAPORU_BURAK_YENI1309[[#This Row],[SATINALMA]]*DST_123_ÜRETİM_İHTİYAÇ_RAPORU_BURAK_YENI1309[[#This Row],[BIRIM_FIYATLAR]])&lt;1,VALUE("0"),DST_123_ÜRETİM_İHTİYAÇ_RAPORU_BURAK_YENI1309[[#This Row],[SATINALMA]]*DST_123_ÜRETİM_İHTİYAÇ_RAPORU_BURAK_YENI1309[[#This Row],[BIRIM_FIYATLAR]])</f>
        <v>0</v>
      </c>
      <c r="N5307">
        <v>401.17</v>
      </c>
      <c r="O5307" t="s">
        <v>765</v>
      </c>
      <c r="P5307">
        <v>401.17</v>
      </c>
      <c r="Q5307" t="s">
        <v>221</v>
      </c>
    </row>
    <row r="5308" spans="1:17" x14ac:dyDescent="0.25">
      <c r="A5308" t="s">
        <v>1100</v>
      </c>
      <c r="B5308" t="s">
        <v>1058</v>
      </c>
      <c r="C5308" t="s">
        <v>175</v>
      </c>
      <c r="D5308" t="s">
        <v>108</v>
      </c>
      <c r="E5308" t="s">
        <v>109</v>
      </c>
      <c r="F5308">
        <v>1</v>
      </c>
      <c r="G5308" t="s">
        <v>176</v>
      </c>
      <c r="H5308">
        <v>1</v>
      </c>
      <c r="I5308">
        <v>0</v>
      </c>
      <c r="J5308" s="10">
        <v>5.5699999999999994</v>
      </c>
      <c r="K5308" s="10">
        <f>SUMIFS(F:F,D:D,DST_123_ÜRETİM_İHTİYAÇ_RAPORU_BURAK_YENI1309[[#This Row],[ALT_KOD]])-(SUMIFS(H:H,D:D,DST_123_ÜRETİM_İHTİYAÇ_RAPORU_BURAK_YENI1309[[#This Row],[ALT_KOD]])+AVERAGEIFS(I:I,D:D,DST_123_ÜRETİM_İHTİYAÇ_RAPORU_BURAK_YENI1309[[#This Row],[ALT_KOD]])+AVERAGEIFS(L:L,D:D,DST_123_ÜRETİM_İHTİYAÇ_RAPORU_BURAK_YENI1309[[#This Row],[ALT_KOD]]))</f>
        <v>-2</v>
      </c>
      <c r="L5308">
        <v>7</v>
      </c>
      <c r="M5308">
        <f>IF((DST_123_ÜRETİM_İHTİYAÇ_RAPORU_BURAK_YENI1309[[#This Row],[SATINALMA]]*DST_123_ÜRETİM_İHTİYAÇ_RAPORU_BURAK_YENI1309[[#This Row],[BIRIM_FIYATLAR]])&lt;1,VALUE("0"),DST_123_ÜRETİM_İHTİYAÇ_RAPORU_BURAK_YENI1309[[#This Row],[SATINALMA]]*DST_123_ÜRETİM_İHTİYAÇ_RAPORU_BURAK_YENI1309[[#This Row],[BIRIM_FIYATLAR]])</f>
        <v>0</v>
      </c>
      <c r="N5308">
        <v>1416.67</v>
      </c>
      <c r="O5308" t="s">
        <v>223</v>
      </c>
      <c r="P5308">
        <v>1416.67</v>
      </c>
      <c r="Q5308" t="s">
        <v>181</v>
      </c>
    </row>
    <row r="5309" spans="1:17" x14ac:dyDescent="0.25">
      <c r="A5309" t="s">
        <v>1097</v>
      </c>
      <c r="B5309" t="s">
        <v>1055</v>
      </c>
      <c r="C5309" t="s">
        <v>175</v>
      </c>
      <c r="D5309" t="s">
        <v>697</v>
      </c>
      <c r="E5309" t="s">
        <v>698</v>
      </c>
      <c r="F5309">
        <v>1</v>
      </c>
      <c r="G5309" t="s">
        <v>176</v>
      </c>
      <c r="H5309">
        <v>1</v>
      </c>
      <c r="I5309">
        <v>6</v>
      </c>
      <c r="J5309" s="10">
        <v>5</v>
      </c>
      <c r="K5309" s="10">
        <f>SUMIFS(F:F,D:D,DST_123_ÜRETİM_İHTİYAÇ_RAPORU_BURAK_YENI1309[[#This Row],[ALT_KOD]])-(SUMIFS(H:H,D:D,DST_123_ÜRETİM_İHTİYAÇ_RAPORU_BURAK_YENI1309[[#This Row],[ALT_KOD]])+AVERAGEIFS(I:I,D:D,DST_123_ÜRETİM_İHTİYAÇ_RAPORU_BURAK_YENI1309[[#This Row],[ALT_KOD]])+AVERAGEIFS(L:L,D:D,DST_123_ÜRETİM_İHTİYAÇ_RAPORU_BURAK_YENI1309[[#This Row],[ALT_KOD]]))</f>
        <v>5</v>
      </c>
      <c r="L5309">
        <v>0</v>
      </c>
      <c r="M5309">
        <f>IF((DST_123_ÜRETİM_İHTİYAÇ_RAPORU_BURAK_YENI1309[[#This Row],[SATINALMA]]*DST_123_ÜRETİM_İHTİYAÇ_RAPORU_BURAK_YENI1309[[#This Row],[BIRIM_FIYATLAR]])&lt;1,VALUE("0"),DST_123_ÜRETİM_İHTİYAÇ_RAPORU_BURAK_YENI1309[[#This Row],[SATINALMA]]*DST_123_ÜRETİM_İHTİYAÇ_RAPORU_BURAK_YENI1309[[#This Row],[BIRIM_FIYATLAR]])</f>
        <v>11000</v>
      </c>
      <c r="N5309">
        <v>2200</v>
      </c>
      <c r="O5309" t="s">
        <v>251</v>
      </c>
      <c r="P5309">
        <v>2200</v>
      </c>
      <c r="Q5309" t="s">
        <v>178</v>
      </c>
    </row>
    <row r="5310" spans="1:17" x14ac:dyDescent="0.25">
      <c r="A5310" t="s">
        <v>1097</v>
      </c>
      <c r="B5310" t="s">
        <v>1055</v>
      </c>
      <c r="C5310" t="s">
        <v>175</v>
      </c>
      <c r="D5310" t="s">
        <v>734</v>
      </c>
      <c r="E5310" t="s">
        <v>735</v>
      </c>
      <c r="F5310">
        <v>1</v>
      </c>
      <c r="G5310" t="s">
        <v>176</v>
      </c>
      <c r="H5310">
        <v>1</v>
      </c>
      <c r="I5310">
        <v>10</v>
      </c>
      <c r="J5310" s="10">
        <v>17</v>
      </c>
      <c r="K5310" s="10">
        <f>SUMIFS(F:F,D:D,DST_123_ÜRETİM_İHTİYAÇ_RAPORU_BURAK_YENI1309[[#This Row],[ALT_KOD]])-(SUMIFS(H:H,D:D,DST_123_ÜRETİM_İHTİYAÇ_RAPORU_BURAK_YENI1309[[#This Row],[ALT_KOD]])+AVERAGEIFS(I:I,D:D,DST_123_ÜRETİM_İHTİYAÇ_RAPORU_BURAK_YENI1309[[#This Row],[ALT_KOD]])+AVERAGEIFS(L:L,D:D,DST_123_ÜRETİM_İHTİYAÇ_RAPORU_BURAK_YENI1309[[#This Row],[ALT_KOD]]))</f>
        <v>1</v>
      </c>
      <c r="L5310">
        <v>0</v>
      </c>
      <c r="M5310">
        <f>IF((DST_123_ÜRETİM_İHTİYAÇ_RAPORU_BURAK_YENI1309[[#This Row],[SATINALMA]]*DST_123_ÜRETİM_İHTİYAÇ_RAPORU_BURAK_YENI1309[[#This Row],[BIRIM_FIYATLAR]])&lt;1,VALUE("0"),DST_123_ÜRETİM_İHTİYAÇ_RAPORU_BURAK_YENI1309[[#This Row],[SATINALMA]]*DST_123_ÜRETİM_İHTİYAÇ_RAPORU_BURAK_YENI1309[[#This Row],[BIRIM_FIYATLAR]])</f>
        <v>565.83000000000004</v>
      </c>
      <c r="N5310">
        <v>565.83000000000004</v>
      </c>
      <c r="O5310" t="s">
        <v>667</v>
      </c>
      <c r="P5310">
        <v>565.83000000000004</v>
      </c>
      <c r="Q5310" t="s">
        <v>677</v>
      </c>
    </row>
    <row r="5311" spans="1:17" x14ac:dyDescent="0.25">
      <c r="A5311" t="s">
        <v>1057</v>
      </c>
      <c r="B5311" t="s">
        <v>1058</v>
      </c>
      <c r="C5311" t="s">
        <v>175</v>
      </c>
      <c r="D5311" t="s">
        <v>108</v>
      </c>
      <c r="E5311" t="s">
        <v>109</v>
      </c>
      <c r="F5311">
        <v>1</v>
      </c>
      <c r="G5311" t="s">
        <v>176</v>
      </c>
      <c r="H5311">
        <v>1</v>
      </c>
      <c r="I5311">
        <v>0</v>
      </c>
      <c r="J5311" s="10">
        <v>5.5699999999999994</v>
      </c>
      <c r="K5311" s="10">
        <f>SUMIFS(F:F,D:D,DST_123_ÜRETİM_İHTİYAÇ_RAPORU_BURAK_YENI1309[[#This Row],[ALT_KOD]])-(SUMIFS(H:H,D:D,DST_123_ÜRETİM_İHTİYAÇ_RAPORU_BURAK_YENI1309[[#This Row],[ALT_KOD]])+AVERAGEIFS(I:I,D:D,DST_123_ÜRETİM_İHTİYAÇ_RAPORU_BURAK_YENI1309[[#This Row],[ALT_KOD]])+AVERAGEIFS(L:L,D:D,DST_123_ÜRETİM_İHTİYAÇ_RAPORU_BURAK_YENI1309[[#This Row],[ALT_KOD]]))</f>
        <v>-2</v>
      </c>
      <c r="L5311">
        <v>7</v>
      </c>
      <c r="M5311">
        <f>IF((DST_123_ÜRETİM_İHTİYAÇ_RAPORU_BURAK_YENI1309[[#This Row],[SATINALMA]]*DST_123_ÜRETİM_İHTİYAÇ_RAPORU_BURAK_YENI1309[[#This Row],[BIRIM_FIYATLAR]])&lt;1,VALUE("0"),DST_123_ÜRETİM_İHTİYAÇ_RAPORU_BURAK_YENI1309[[#This Row],[SATINALMA]]*DST_123_ÜRETİM_İHTİYAÇ_RAPORU_BURAK_YENI1309[[#This Row],[BIRIM_FIYATLAR]])</f>
        <v>0</v>
      </c>
      <c r="N5311">
        <v>1416.67</v>
      </c>
      <c r="O5311" t="s">
        <v>223</v>
      </c>
      <c r="P5311">
        <v>1416.67</v>
      </c>
      <c r="Q5311" t="s">
        <v>181</v>
      </c>
    </row>
    <row r="5312" spans="1:17" x14ac:dyDescent="0.25">
      <c r="A5312" t="s">
        <v>1059</v>
      </c>
      <c r="B5312" t="s">
        <v>1058</v>
      </c>
      <c r="C5312" t="s">
        <v>175</v>
      </c>
      <c r="D5312" t="s">
        <v>108</v>
      </c>
      <c r="E5312" t="s">
        <v>109</v>
      </c>
      <c r="F5312">
        <v>1</v>
      </c>
      <c r="G5312" t="s">
        <v>176</v>
      </c>
      <c r="H5312">
        <v>1</v>
      </c>
      <c r="I5312">
        <v>0</v>
      </c>
      <c r="J5312" s="10">
        <v>5.5699999999999994</v>
      </c>
      <c r="K5312" s="10">
        <f>SUMIFS(F:F,D:D,DST_123_ÜRETİM_İHTİYAÇ_RAPORU_BURAK_YENI1309[[#This Row],[ALT_KOD]])-(SUMIFS(H:H,D:D,DST_123_ÜRETİM_İHTİYAÇ_RAPORU_BURAK_YENI1309[[#This Row],[ALT_KOD]])+AVERAGEIFS(I:I,D:D,DST_123_ÜRETİM_İHTİYAÇ_RAPORU_BURAK_YENI1309[[#This Row],[ALT_KOD]])+AVERAGEIFS(L:L,D:D,DST_123_ÜRETİM_İHTİYAÇ_RAPORU_BURAK_YENI1309[[#This Row],[ALT_KOD]]))</f>
        <v>-2</v>
      </c>
      <c r="L5312">
        <v>7</v>
      </c>
      <c r="M5312">
        <f>IF((DST_123_ÜRETİM_İHTİYAÇ_RAPORU_BURAK_YENI1309[[#This Row],[SATINALMA]]*DST_123_ÜRETİM_İHTİYAÇ_RAPORU_BURAK_YENI1309[[#This Row],[BIRIM_FIYATLAR]])&lt;1,VALUE("0"),DST_123_ÜRETİM_İHTİYAÇ_RAPORU_BURAK_YENI1309[[#This Row],[SATINALMA]]*DST_123_ÜRETİM_İHTİYAÇ_RAPORU_BURAK_YENI1309[[#This Row],[BIRIM_FIYATLAR]])</f>
        <v>0</v>
      </c>
      <c r="N5312">
        <v>1416.67</v>
      </c>
      <c r="O5312" t="s">
        <v>223</v>
      </c>
      <c r="P5312">
        <v>1416.67</v>
      </c>
      <c r="Q5312" t="s">
        <v>181</v>
      </c>
    </row>
    <row r="5313" spans="1:17" x14ac:dyDescent="0.25">
      <c r="A5313" t="s">
        <v>1059</v>
      </c>
      <c r="B5313" t="s">
        <v>1058</v>
      </c>
      <c r="C5313" t="s">
        <v>175</v>
      </c>
      <c r="D5313" t="s">
        <v>145</v>
      </c>
      <c r="E5313" t="s">
        <v>146</v>
      </c>
      <c r="F5313">
        <v>2.2999999999999998</v>
      </c>
      <c r="G5313" t="s">
        <v>176</v>
      </c>
      <c r="H5313">
        <v>2.2999999999999998</v>
      </c>
      <c r="I5313">
        <v>0</v>
      </c>
      <c r="J5313" s="10">
        <v>4.0000000000000497</v>
      </c>
      <c r="K5313" s="10">
        <f>SUMIFS(F:F,D:D,DST_123_ÜRETİM_İHTİYAÇ_RAPORU_BURAK_YENI1309[[#This Row],[ALT_KOD]])-(SUMIFS(H:H,D:D,DST_123_ÜRETİM_İHTİYAÇ_RAPORU_BURAK_YENI1309[[#This Row],[ALT_KOD]])+AVERAGEIFS(I:I,D:D,DST_123_ÜRETİM_İHTİYAÇ_RAPORU_BURAK_YENI1309[[#This Row],[ALT_KOD]])+AVERAGEIFS(L:L,D:D,DST_123_ÜRETİM_İHTİYAÇ_RAPORU_BURAK_YENI1309[[#This Row],[ALT_KOD]]))</f>
        <v>28.999999999999993</v>
      </c>
      <c r="L5313">
        <v>22</v>
      </c>
      <c r="M5313">
        <f>IF((DST_123_ÜRETİM_İHTİYAÇ_RAPORU_BURAK_YENI1309[[#This Row],[SATINALMA]]*DST_123_ÜRETİM_İHTİYAÇ_RAPORU_BURAK_YENI1309[[#This Row],[BIRIM_FIYATLAR]])&lt;1,VALUE("0"),DST_123_ÜRETİM_İHTİYAÇ_RAPORU_BURAK_YENI1309[[#This Row],[SATINALMA]]*DST_123_ÜRETİM_İHTİYAÇ_RAPORU_BURAK_YENI1309[[#This Row],[BIRIM_FIYATLAR]])</f>
        <v>30208.429999999993</v>
      </c>
      <c r="N5313">
        <v>1041.67</v>
      </c>
      <c r="O5313" t="s">
        <v>223</v>
      </c>
      <c r="P5313">
        <v>2395.8409999999999</v>
      </c>
      <c r="Q5313" t="s">
        <v>181</v>
      </c>
    </row>
    <row r="5314" spans="1:17" x14ac:dyDescent="0.25">
      <c r="A5314" t="s">
        <v>1101</v>
      </c>
      <c r="B5314" t="s">
        <v>1102</v>
      </c>
      <c r="C5314" t="s">
        <v>175</v>
      </c>
      <c r="D5314" t="s">
        <v>319</v>
      </c>
      <c r="E5314" t="s">
        <v>320</v>
      </c>
      <c r="F5314">
        <v>0.14400000000000002</v>
      </c>
      <c r="G5314" t="s">
        <v>186</v>
      </c>
      <c r="H5314">
        <v>0.14400000000000002</v>
      </c>
      <c r="I5314">
        <v>0</v>
      </c>
      <c r="J5314" s="10">
        <v>4.5430000000000446</v>
      </c>
      <c r="K5314" s="10">
        <f>SUMIFS(F:F,D:D,DST_123_ÜRETİM_İHTİYAÇ_RAPORU_BURAK_YENI1309[[#This Row],[ALT_KOD]])-(SUMIFS(H:H,D:D,DST_123_ÜRETİM_İHTİYAÇ_RAPORU_BURAK_YENI1309[[#This Row],[ALT_KOD]])+AVERAGEIFS(I:I,D:D,DST_123_ÜRETİM_İHTİYAÇ_RAPORU_BURAK_YENI1309[[#This Row],[ALT_KOD]])+AVERAGEIFS(L:L,D:D,DST_123_ÜRETİM_İHTİYAÇ_RAPORU_BURAK_YENI1309[[#This Row],[ALT_KOD]]))</f>
        <v>1.4260000000000002</v>
      </c>
      <c r="L5314">
        <v>0</v>
      </c>
      <c r="M5314">
        <f>IF((DST_123_ÜRETİM_İHTİYAÇ_RAPORU_BURAK_YENI1309[[#This Row],[SATINALMA]]*DST_123_ÜRETİM_İHTİYAÇ_RAPORU_BURAK_YENI1309[[#This Row],[BIRIM_FIYATLAR]])&lt;1,VALUE("0"),DST_123_ÜRETİM_İHTİYAÇ_RAPORU_BURAK_YENI1309[[#This Row],[SATINALMA]]*DST_123_ÜRETİM_İHTİYAÇ_RAPORU_BURAK_YENI1309[[#This Row],[BIRIM_FIYATLAR]])</f>
        <v>27807.000000000004</v>
      </c>
      <c r="N5314">
        <v>19500</v>
      </c>
      <c r="O5314" t="s">
        <v>762</v>
      </c>
      <c r="P5314">
        <v>2808.0000000000005</v>
      </c>
      <c r="Q5314" t="s">
        <v>181</v>
      </c>
    </row>
    <row r="5315" spans="1:17" x14ac:dyDescent="0.25">
      <c r="A5315" t="s">
        <v>1099</v>
      </c>
      <c r="B5315" t="s">
        <v>1055</v>
      </c>
      <c r="C5315" t="s">
        <v>175</v>
      </c>
      <c r="D5315" t="s">
        <v>697</v>
      </c>
      <c r="E5315" t="s">
        <v>698</v>
      </c>
      <c r="F5315">
        <v>1</v>
      </c>
      <c r="G5315" t="s">
        <v>176</v>
      </c>
      <c r="H5315">
        <v>1</v>
      </c>
      <c r="I5315">
        <v>6</v>
      </c>
      <c r="J5315" s="10">
        <v>5</v>
      </c>
      <c r="K5315" s="10">
        <f>SUMIFS(F:F,D:D,DST_123_ÜRETİM_İHTİYAÇ_RAPORU_BURAK_YENI1309[[#This Row],[ALT_KOD]])-(SUMIFS(H:H,D:D,DST_123_ÜRETİM_İHTİYAÇ_RAPORU_BURAK_YENI1309[[#This Row],[ALT_KOD]])+AVERAGEIFS(I:I,D:D,DST_123_ÜRETİM_İHTİYAÇ_RAPORU_BURAK_YENI1309[[#This Row],[ALT_KOD]])+AVERAGEIFS(L:L,D:D,DST_123_ÜRETİM_İHTİYAÇ_RAPORU_BURAK_YENI1309[[#This Row],[ALT_KOD]]))</f>
        <v>5</v>
      </c>
      <c r="L5315">
        <v>0</v>
      </c>
      <c r="M5315">
        <f>IF((DST_123_ÜRETİM_İHTİYAÇ_RAPORU_BURAK_YENI1309[[#This Row],[SATINALMA]]*DST_123_ÜRETİM_İHTİYAÇ_RAPORU_BURAK_YENI1309[[#This Row],[BIRIM_FIYATLAR]])&lt;1,VALUE("0"),DST_123_ÜRETİM_İHTİYAÇ_RAPORU_BURAK_YENI1309[[#This Row],[SATINALMA]]*DST_123_ÜRETİM_İHTİYAÇ_RAPORU_BURAK_YENI1309[[#This Row],[BIRIM_FIYATLAR]])</f>
        <v>11000</v>
      </c>
      <c r="N5315">
        <v>2200</v>
      </c>
      <c r="O5315" t="s">
        <v>251</v>
      </c>
      <c r="P5315">
        <v>2200</v>
      </c>
      <c r="Q5315" t="s">
        <v>178</v>
      </c>
    </row>
    <row r="5316" spans="1:17" x14ac:dyDescent="0.25">
      <c r="A5316" t="s">
        <v>1097</v>
      </c>
      <c r="B5316" t="s">
        <v>1055</v>
      </c>
      <c r="C5316" t="s">
        <v>175</v>
      </c>
      <c r="D5316" t="s">
        <v>1082</v>
      </c>
      <c r="E5316" t="s">
        <v>1083</v>
      </c>
      <c r="F5316">
        <v>2</v>
      </c>
      <c r="G5316" t="s">
        <v>176</v>
      </c>
      <c r="H5316">
        <v>2</v>
      </c>
      <c r="I5316">
        <v>14</v>
      </c>
      <c r="J5316" s="10">
        <v>19</v>
      </c>
      <c r="K5316" s="10">
        <f>SUMIFS(F:F,D:D,DST_123_ÜRETİM_İHTİYAÇ_RAPORU_BURAK_YENI1309[[#This Row],[ALT_KOD]])-(SUMIFS(H:H,D:D,DST_123_ÜRETİM_İHTİYAÇ_RAPORU_BURAK_YENI1309[[#This Row],[ALT_KOD]])+AVERAGEIFS(I:I,D:D,DST_123_ÜRETİM_İHTİYAÇ_RAPORU_BURAK_YENI1309[[#This Row],[ALT_KOD]])+AVERAGEIFS(L:L,D:D,DST_123_ÜRETİM_İHTİYAÇ_RAPORU_BURAK_YENI1309[[#This Row],[ALT_KOD]]))</f>
        <v>-23</v>
      </c>
      <c r="L5316">
        <v>30</v>
      </c>
      <c r="M5316">
        <f>IF((DST_123_ÜRETİM_İHTİYAÇ_RAPORU_BURAK_YENI1309[[#This Row],[SATINALMA]]*DST_123_ÜRETİM_İHTİYAÇ_RAPORU_BURAK_YENI1309[[#This Row],[BIRIM_FIYATLAR]])&lt;1,VALUE("0"),DST_123_ÜRETİM_İHTİYAÇ_RAPORU_BURAK_YENI1309[[#This Row],[SATINALMA]]*DST_123_ÜRETİM_İHTİYAÇ_RAPORU_BURAK_YENI1309[[#This Row],[BIRIM_FIYATLAR]])</f>
        <v>0</v>
      </c>
      <c r="N5316">
        <v>67.22</v>
      </c>
      <c r="O5316" t="s">
        <v>592</v>
      </c>
      <c r="P5316">
        <v>134.44</v>
      </c>
      <c r="Q5316" t="s">
        <v>178</v>
      </c>
    </row>
    <row r="5317" spans="1:17" x14ac:dyDescent="0.25">
      <c r="A5317" t="s">
        <v>1100</v>
      </c>
      <c r="B5317" t="s">
        <v>1058</v>
      </c>
      <c r="C5317" t="s">
        <v>175</v>
      </c>
      <c r="D5317" t="s">
        <v>763</v>
      </c>
      <c r="E5317" t="s">
        <v>764</v>
      </c>
      <c r="F5317">
        <v>1</v>
      </c>
      <c r="G5317" t="s">
        <v>176</v>
      </c>
      <c r="H5317">
        <v>1</v>
      </c>
      <c r="I5317">
        <v>12</v>
      </c>
      <c r="J5317" s="10">
        <v>8</v>
      </c>
      <c r="K5317" s="10">
        <f>SUMIFS(F:F,D:D,DST_123_ÜRETİM_İHTİYAÇ_RAPORU_BURAK_YENI1309[[#This Row],[ALT_KOD]])-(SUMIFS(H:H,D:D,DST_123_ÜRETİM_İHTİYAÇ_RAPORU_BURAK_YENI1309[[#This Row],[ALT_KOD]])+AVERAGEIFS(I:I,D:D,DST_123_ÜRETİM_İHTİYAÇ_RAPORU_BURAK_YENI1309[[#This Row],[ALT_KOD]])+AVERAGEIFS(L:L,D:D,DST_123_ÜRETİM_İHTİYAÇ_RAPORU_BURAK_YENI1309[[#This Row],[ALT_KOD]]))</f>
        <v>0</v>
      </c>
      <c r="L5317">
        <v>0</v>
      </c>
      <c r="M5317">
        <f>IF((DST_123_ÜRETİM_İHTİYAÇ_RAPORU_BURAK_YENI1309[[#This Row],[SATINALMA]]*DST_123_ÜRETİM_İHTİYAÇ_RAPORU_BURAK_YENI1309[[#This Row],[BIRIM_FIYATLAR]])&lt;1,VALUE("0"),DST_123_ÜRETİM_İHTİYAÇ_RAPORU_BURAK_YENI1309[[#This Row],[SATINALMA]]*DST_123_ÜRETİM_İHTİYAÇ_RAPORU_BURAK_YENI1309[[#This Row],[BIRIM_FIYATLAR]])</f>
        <v>0</v>
      </c>
      <c r="N5317">
        <v>401.17</v>
      </c>
      <c r="O5317" t="s">
        <v>765</v>
      </c>
      <c r="P5317">
        <v>401.17</v>
      </c>
      <c r="Q5317" t="s">
        <v>221</v>
      </c>
    </row>
    <row r="5318" spans="1:17" x14ac:dyDescent="0.25">
      <c r="A5318" t="s">
        <v>1099</v>
      </c>
      <c r="B5318" t="s">
        <v>1055</v>
      </c>
      <c r="C5318" t="s">
        <v>175</v>
      </c>
      <c r="D5318" t="s">
        <v>516</v>
      </c>
      <c r="E5318" t="s">
        <v>517</v>
      </c>
      <c r="F5318">
        <v>1.5</v>
      </c>
      <c r="G5318" t="s">
        <v>176</v>
      </c>
      <c r="H5318">
        <v>1.5</v>
      </c>
      <c r="I5318">
        <v>91</v>
      </c>
      <c r="J5318" s="10">
        <v>17.799999999999997</v>
      </c>
      <c r="K5318" s="10">
        <f>SUMIFS(F:F,D:D,DST_123_ÜRETİM_İHTİYAÇ_RAPORU_BURAK_YENI1309[[#This Row],[ALT_KOD]])-(SUMIFS(H:H,D:D,DST_123_ÜRETİM_İHTİYAÇ_RAPORU_BURAK_YENI1309[[#This Row],[ALT_KOD]])+AVERAGEIFS(I:I,D:D,DST_123_ÜRETİM_İHTİYAÇ_RAPORU_BURAK_YENI1309[[#This Row],[ALT_KOD]])+AVERAGEIFS(L:L,D:D,DST_123_ÜRETİM_İHTİYAÇ_RAPORU_BURAK_YENI1309[[#This Row],[ALT_KOD]]))</f>
        <v>-74.5</v>
      </c>
      <c r="L5318">
        <v>0</v>
      </c>
      <c r="M5318">
        <f>IF((DST_123_ÜRETİM_İHTİYAÇ_RAPORU_BURAK_YENI1309[[#This Row],[SATINALMA]]*DST_123_ÜRETİM_İHTİYAÇ_RAPORU_BURAK_YENI1309[[#This Row],[BIRIM_FIYATLAR]])&lt;1,VALUE("0"),DST_123_ÜRETİM_İHTİYAÇ_RAPORU_BURAK_YENI1309[[#This Row],[SATINALMA]]*DST_123_ÜRETİM_İHTİYAÇ_RAPORU_BURAK_YENI1309[[#This Row],[BIRIM_FIYATLAR]])</f>
        <v>0</v>
      </c>
      <c r="N5318">
        <v>85</v>
      </c>
      <c r="O5318" t="s">
        <v>346</v>
      </c>
      <c r="P5318">
        <v>127.5</v>
      </c>
      <c r="Q5318" t="s">
        <v>180</v>
      </c>
    </row>
    <row r="5319" spans="1:17" x14ac:dyDescent="0.25">
      <c r="A5319" t="s">
        <v>1057</v>
      </c>
      <c r="B5319" t="s">
        <v>1058</v>
      </c>
      <c r="C5319" t="s">
        <v>175</v>
      </c>
      <c r="D5319" t="s">
        <v>1090</v>
      </c>
      <c r="E5319" t="s">
        <v>1091</v>
      </c>
      <c r="F5319">
        <v>1</v>
      </c>
      <c r="G5319" t="s">
        <v>176</v>
      </c>
      <c r="H5319">
        <v>1</v>
      </c>
      <c r="I5319">
        <v>1</v>
      </c>
      <c r="J5319" s="10">
        <v>5</v>
      </c>
      <c r="K5319" s="10">
        <f>SUMIFS(F:F,D:D,DST_123_ÜRETİM_İHTİYAÇ_RAPORU_BURAK_YENI1309[[#This Row],[ALT_KOD]])-(SUMIFS(H:H,D:D,DST_123_ÜRETİM_İHTİYAÇ_RAPORU_BURAK_YENI1309[[#This Row],[ALT_KOD]])+AVERAGEIFS(I:I,D:D,DST_123_ÜRETİM_İHTİYAÇ_RAPORU_BURAK_YENI1309[[#This Row],[ALT_KOD]])+AVERAGEIFS(L:L,D:D,DST_123_ÜRETİM_İHTİYAÇ_RAPORU_BURAK_YENI1309[[#This Row],[ALT_KOD]]))</f>
        <v>0</v>
      </c>
      <c r="L5319">
        <v>0</v>
      </c>
      <c r="M5319">
        <f>IF((DST_123_ÜRETİM_İHTİYAÇ_RAPORU_BURAK_YENI1309[[#This Row],[SATINALMA]]*DST_123_ÜRETİM_İHTİYAÇ_RAPORU_BURAK_YENI1309[[#This Row],[BIRIM_FIYATLAR]])&lt;1,VALUE("0"),DST_123_ÜRETİM_İHTİYAÇ_RAPORU_BURAK_YENI1309[[#This Row],[SATINALMA]]*DST_123_ÜRETİM_İHTİYAÇ_RAPORU_BURAK_YENI1309[[#This Row],[BIRIM_FIYATLAR]])</f>
        <v>0</v>
      </c>
      <c r="N5319">
        <v>3500</v>
      </c>
      <c r="O5319" t="s">
        <v>1092</v>
      </c>
      <c r="P5319">
        <v>3500</v>
      </c>
      <c r="Q5319" t="s">
        <v>221</v>
      </c>
    </row>
    <row r="5320" spans="1:17" x14ac:dyDescent="0.25">
      <c r="A5320" t="s">
        <v>1100</v>
      </c>
      <c r="B5320" t="s">
        <v>1058</v>
      </c>
      <c r="C5320" t="s">
        <v>175</v>
      </c>
      <c r="D5320" t="s">
        <v>1090</v>
      </c>
      <c r="E5320" t="s">
        <v>1091</v>
      </c>
      <c r="F5320">
        <v>1</v>
      </c>
      <c r="G5320" t="s">
        <v>176</v>
      </c>
      <c r="H5320">
        <v>1</v>
      </c>
      <c r="I5320">
        <v>1</v>
      </c>
      <c r="J5320" s="10">
        <v>5</v>
      </c>
      <c r="K5320" s="10">
        <f>SUMIFS(F:F,D:D,DST_123_ÜRETİM_İHTİYAÇ_RAPORU_BURAK_YENI1309[[#This Row],[ALT_KOD]])-(SUMIFS(H:H,D:D,DST_123_ÜRETİM_İHTİYAÇ_RAPORU_BURAK_YENI1309[[#This Row],[ALT_KOD]])+AVERAGEIFS(I:I,D:D,DST_123_ÜRETİM_İHTİYAÇ_RAPORU_BURAK_YENI1309[[#This Row],[ALT_KOD]])+AVERAGEIFS(L:L,D:D,DST_123_ÜRETİM_İHTİYAÇ_RAPORU_BURAK_YENI1309[[#This Row],[ALT_KOD]]))</f>
        <v>0</v>
      </c>
      <c r="L5320">
        <v>0</v>
      </c>
      <c r="M5320">
        <f>IF((DST_123_ÜRETİM_İHTİYAÇ_RAPORU_BURAK_YENI1309[[#This Row],[SATINALMA]]*DST_123_ÜRETİM_İHTİYAÇ_RAPORU_BURAK_YENI1309[[#This Row],[BIRIM_FIYATLAR]])&lt;1,VALUE("0"),DST_123_ÜRETİM_İHTİYAÇ_RAPORU_BURAK_YENI1309[[#This Row],[SATINALMA]]*DST_123_ÜRETİM_İHTİYAÇ_RAPORU_BURAK_YENI1309[[#This Row],[BIRIM_FIYATLAR]])</f>
        <v>0</v>
      </c>
      <c r="N5320">
        <v>3500</v>
      </c>
      <c r="O5320" t="s">
        <v>1092</v>
      </c>
      <c r="P5320">
        <v>3500</v>
      </c>
      <c r="Q5320" t="s">
        <v>221</v>
      </c>
    </row>
    <row r="5321" spans="1:17" x14ac:dyDescent="0.25">
      <c r="A5321" t="s">
        <v>1100</v>
      </c>
      <c r="B5321" t="s">
        <v>1058</v>
      </c>
      <c r="C5321" t="s">
        <v>175</v>
      </c>
      <c r="D5321" t="s">
        <v>609</v>
      </c>
      <c r="E5321" t="s">
        <v>610</v>
      </c>
      <c r="F5321">
        <v>0.8</v>
      </c>
      <c r="G5321" t="s">
        <v>176</v>
      </c>
      <c r="H5321">
        <v>0.8</v>
      </c>
      <c r="I5321">
        <v>0</v>
      </c>
      <c r="J5321" s="10">
        <v>11</v>
      </c>
      <c r="K5321" s="10">
        <f>SUMIFS(F:F,D:D,DST_123_ÜRETİM_İHTİYAÇ_RAPORU_BURAK_YENI1309[[#This Row],[ALT_KOD]])-(SUMIFS(H:H,D:D,DST_123_ÜRETİM_İHTİYAÇ_RAPORU_BURAK_YENI1309[[#This Row],[ALT_KOD]])+AVERAGEIFS(I:I,D:D,DST_123_ÜRETİM_İHTİYAÇ_RAPORU_BURAK_YENI1309[[#This Row],[ALT_KOD]])+AVERAGEIFS(L:L,D:D,DST_123_ÜRETİM_İHTİYAÇ_RAPORU_BURAK_YENI1309[[#This Row],[ALT_KOD]]))</f>
        <v>20.000000000000007</v>
      </c>
      <c r="L5321">
        <v>4</v>
      </c>
      <c r="M5321">
        <f>IF((DST_123_ÜRETİM_İHTİYAÇ_RAPORU_BURAK_YENI1309[[#This Row],[SATINALMA]]*DST_123_ÜRETİM_İHTİYAÇ_RAPORU_BURAK_YENI1309[[#This Row],[BIRIM_FIYATLAR]])&lt;1,VALUE("0"),DST_123_ÜRETİM_İHTİYAÇ_RAPORU_BURAK_YENI1309[[#This Row],[SATINALMA]]*DST_123_ÜRETİM_İHTİYAÇ_RAPORU_BURAK_YENI1309[[#This Row],[BIRIM_FIYATLAR]])</f>
        <v>36666.600000000013</v>
      </c>
      <c r="N5321">
        <v>1833.33</v>
      </c>
      <c r="O5321" t="s">
        <v>223</v>
      </c>
      <c r="P5321">
        <v>1466.664</v>
      </c>
      <c r="Q5321" t="s">
        <v>181</v>
      </c>
    </row>
    <row r="5322" spans="1:17" x14ac:dyDescent="0.25">
      <c r="A5322" t="s">
        <v>1196</v>
      </c>
      <c r="B5322" t="s">
        <v>1197</v>
      </c>
      <c r="C5322" t="s">
        <v>175</v>
      </c>
      <c r="D5322" t="s">
        <v>1090</v>
      </c>
      <c r="E5322" t="s">
        <v>1091</v>
      </c>
      <c r="F5322">
        <v>1</v>
      </c>
      <c r="G5322" t="s">
        <v>176</v>
      </c>
      <c r="H5322">
        <v>0</v>
      </c>
      <c r="I5322">
        <v>1</v>
      </c>
      <c r="J5322" s="10">
        <v>5</v>
      </c>
      <c r="K5322" s="10">
        <f>SUMIFS(F:F,D:D,DST_123_ÜRETİM_İHTİYAÇ_RAPORU_BURAK_YENI1309[[#This Row],[ALT_KOD]])-(SUMIFS(H:H,D:D,DST_123_ÜRETİM_İHTİYAÇ_RAPORU_BURAK_YENI1309[[#This Row],[ALT_KOD]])+AVERAGEIFS(I:I,D:D,DST_123_ÜRETİM_İHTİYAÇ_RAPORU_BURAK_YENI1309[[#This Row],[ALT_KOD]])+AVERAGEIFS(L:L,D:D,DST_123_ÜRETİM_İHTİYAÇ_RAPORU_BURAK_YENI1309[[#This Row],[ALT_KOD]]))</f>
        <v>0</v>
      </c>
      <c r="L5322">
        <v>0</v>
      </c>
      <c r="M5322">
        <f>IF((DST_123_ÜRETİM_İHTİYAÇ_RAPORU_BURAK_YENI1309[[#This Row],[SATINALMA]]*DST_123_ÜRETİM_İHTİYAÇ_RAPORU_BURAK_YENI1309[[#This Row],[BIRIM_FIYATLAR]])&lt;1,VALUE("0"),DST_123_ÜRETİM_İHTİYAÇ_RAPORU_BURAK_YENI1309[[#This Row],[SATINALMA]]*DST_123_ÜRETİM_İHTİYAÇ_RAPORU_BURAK_YENI1309[[#This Row],[BIRIM_FIYATLAR]])</f>
        <v>0</v>
      </c>
      <c r="N5322">
        <v>3500</v>
      </c>
      <c r="O5322" t="s">
        <v>1092</v>
      </c>
      <c r="P5322">
        <v>3500</v>
      </c>
      <c r="Q5322" t="s">
        <v>221</v>
      </c>
    </row>
    <row r="5323" spans="1:17" x14ac:dyDescent="0.25">
      <c r="A5323" t="s">
        <v>1100</v>
      </c>
      <c r="B5323" t="s">
        <v>1058</v>
      </c>
      <c r="C5323" t="s">
        <v>175</v>
      </c>
      <c r="D5323" t="s">
        <v>402</v>
      </c>
      <c r="E5323" t="s">
        <v>403</v>
      </c>
      <c r="F5323">
        <v>2</v>
      </c>
      <c r="G5323" t="s">
        <v>176</v>
      </c>
      <c r="H5323">
        <v>2</v>
      </c>
      <c r="I5323">
        <v>24</v>
      </c>
      <c r="J5323" s="10">
        <v>14</v>
      </c>
      <c r="K5323" s="10">
        <f>SUMIFS(F:F,D:D,DST_123_ÜRETİM_İHTİYAÇ_RAPORU_BURAK_YENI1309[[#This Row],[ALT_KOD]])-(SUMIFS(H:H,D:D,DST_123_ÜRETİM_İHTİYAÇ_RAPORU_BURAK_YENI1309[[#This Row],[ALT_KOD]])+AVERAGEIFS(I:I,D:D,DST_123_ÜRETİM_İHTİYAÇ_RAPORU_BURAK_YENI1309[[#This Row],[ALT_KOD]])+AVERAGEIFS(L:L,D:D,DST_123_ÜRETİM_İHTİYAÇ_RAPORU_BURAK_YENI1309[[#This Row],[ALT_KOD]]))</f>
        <v>-15</v>
      </c>
      <c r="L5323">
        <v>0</v>
      </c>
      <c r="M5323">
        <f>IF((DST_123_ÜRETİM_İHTİYAÇ_RAPORU_BURAK_YENI1309[[#This Row],[SATINALMA]]*DST_123_ÜRETİM_İHTİYAÇ_RAPORU_BURAK_YENI1309[[#This Row],[BIRIM_FIYATLAR]])&lt;1,VALUE("0"),DST_123_ÜRETİM_İHTİYAÇ_RAPORU_BURAK_YENI1309[[#This Row],[SATINALMA]]*DST_123_ÜRETİM_İHTİYAÇ_RAPORU_BURAK_YENI1309[[#This Row],[BIRIM_FIYATLAR]])</f>
        <v>0</v>
      </c>
      <c r="N5323">
        <v>15</v>
      </c>
      <c r="O5323" t="s">
        <v>220</v>
      </c>
      <c r="P5323">
        <v>30</v>
      </c>
      <c r="Q5323" t="s">
        <v>221</v>
      </c>
    </row>
    <row r="5324" spans="1:17" x14ac:dyDescent="0.25">
      <c r="A5324" t="s">
        <v>1148</v>
      </c>
      <c r="B5324" t="s">
        <v>1056</v>
      </c>
      <c r="C5324" t="s">
        <v>175</v>
      </c>
      <c r="D5324" t="s">
        <v>582</v>
      </c>
      <c r="E5324" t="s">
        <v>583</v>
      </c>
      <c r="F5324">
        <v>5.9</v>
      </c>
      <c r="G5324" t="s">
        <v>185</v>
      </c>
      <c r="H5324">
        <v>0</v>
      </c>
      <c r="I5324">
        <v>0</v>
      </c>
      <c r="J5324" s="10">
        <v>297.39999999999998</v>
      </c>
      <c r="K5324" s="10">
        <f>SUMIFS(F:F,D:D,DST_123_ÜRETİM_İHTİYAÇ_RAPORU_BURAK_YENI1309[[#This Row],[ALT_KOD]])-(SUMIFS(H:H,D:D,DST_123_ÜRETİM_İHTİYAÇ_RAPORU_BURAK_YENI1309[[#This Row],[ALT_KOD]])+AVERAGEIFS(I:I,D:D,DST_123_ÜRETİM_İHTİYAÇ_RAPORU_BURAK_YENI1309[[#This Row],[ALT_KOD]])+AVERAGEIFS(L:L,D:D,DST_123_ÜRETİM_İHTİYAÇ_RAPORU_BURAK_YENI1309[[#This Row],[ALT_KOD]]))</f>
        <v>94.40000000000002</v>
      </c>
      <c r="L5324">
        <v>0</v>
      </c>
      <c r="M5324">
        <f>IF((DST_123_ÜRETİM_İHTİYAÇ_RAPORU_BURAK_YENI1309[[#This Row],[SATINALMA]]*DST_123_ÜRETİM_İHTİYAÇ_RAPORU_BURAK_YENI1309[[#This Row],[BIRIM_FIYATLAR]])&lt;1,VALUE("0"),DST_123_ÜRETİM_İHTİYAÇ_RAPORU_BURAK_YENI1309[[#This Row],[SATINALMA]]*DST_123_ÜRETİM_İHTİYAÇ_RAPORU_BURAK_YENI1309[[#This Row],[BIRIM_FIYATLAR]])</f>
        <v>21972.544000000005</v>
      </c>
      <c r="N5324">
        <v>232.76</v>
      </c>
      <c r="O5324" t="s">
        <v>490</v>
      </c>
      <c r="P5324">
        <v>1373.2840000000001</v>
      </c>
      <c r="Q5324" t="s">
        <v>183</v>
      </c>
    </row>
    <row r="5325" spans="1:17" x14ac:dyDescent="0.25">
      <c r="A5325" t="s">
        <v>1147</v>
      </c>
      <c r="B5325" t="s">
        <v>1145</v>
      </c>
      <c r="C5325" t="s">
        <v>175</v>
      </c>
      <c r="D5325" t="s">
        <v>865</v>
      </c>
      <c r="E5325" t="s">
        <v>644</v>
      </c>
      <c r="F5325">
        <v>1</v>
      </c>
      <c r="G5325" t="s">
        <v>176</v>
      </c>
      <c r="H5325">
        <v>0</v>
      </c>
      <c r="I5325">
        <v>3</v>
      </c>
      <c r="J5325" s="10">
        <v>13</v>
      </c>
      <c r="K5325" s="10">
        <f>SUMIFS(F:F,D:D,DST_123_ÜRETİM_İHTİYAÇ_RAPORU_BURAK_YENI1309[[#This Row],[ALT_KOD]])-(SUMIFS(H:H,D:D,DST_123_ÜRETİM_İHTİYAÇ_RAPORU_BURAK_YENI1309[[#This Row],[ALT_KOD]])+AVERAGEIFS(I:I,D:D,DST_123_ÜRETİM_İHTİYAÇ_RAPORU_BURAK_YENI1309[[#This Row],[ALT_KOD]])+AVERAGEIFS(L:L,D:D,DST_123_ÜRETİM_İHTİYAÇ_RAPORU_BURAK_YENI1309[[#This Row],[ALT_KOD]]))</f>
        <v>12</v>
      </c>
      <c r="L5325">
        <v>0</v>
      </c>
      <c r="M5325">
        <f>IF((DST_123_ÜRETİM_İHTİYAÇ_RAPORU_BURAK_YENI1309[[#This Row],[SATINALMA]]*DST_123_ÜRETİM_İHTİYAÇ_RAPORU_BURAK_YENI1309[[#This Row],[BIRIM_FIYATLAR]])&lt;1,VALUE("0"),DST_123_ÜRETİM_İHTİYAÇ_RAPORU_BURAK_YENI1309[[#This Row],[SATINALMA]]*DST_123_ÜRETİM_İHTİYAÇ_RAPORU_BURAK_YENI1309[[#This Row],[BIRIM_FIYATLAR]])</f>
        <v>43576.08</v>
      </c>
      <c r="N5325">
        <v>3631.34</v>
      </c>
      <c r="O5325" t="s">
        <v>647</v>
      </c>
      <c r="P5325">
        <v>3631.34</v>
      </c>
      <c r="Q5325" t="s">
        <v>177</v>
      </c>
    </row>
    <row r="5326" spans="1:17" x14ac:dyDescent="0.25">
      <c r="A5326" t="s">
        <v>1148</v>
      </c>
      <c r="B5326" t="s">
        <v>1056</v>
      </c>
      <c r="C5326" t="s">
        <v>175</v>
      </c>
      <c r="D5326" t="s">
        <v>865</v>
      </c>
      <c r="E5326" t="s">
        <v>644</v>
      </c>
      <c r="F5326">
        <v>2</v>
      </c>
      <c r="G5326" t="s">
        <v>176</v>
      </c>
      <c r="H5326">
        <v>0</v>
      </c>
      <c r="I5326">
        <v>3</v>
      </c>
      <c r="J5326" s="10">
        <v>13</v>
      </c>
      <c r="K5326" s="10">
        <f>SUMIFS(F:F,D:D,DST_123_ÜRETİM_İHTİYAÇ_RAPORU_BURAK_YENI1309[[#This Row],[ALT_KOD]])-(SUMIFS(H:H,D:D,DST_123_ÜRETİM_İHTİYAÇ_RAPORU_BURAK_YENI1309[[#This Row],[ALT_KOD]])+AVERAGEIFS(I:I,D:D,DST_123_ÜRETİM_İHTİYAÇ_RAPORU_BURAK_YENI1309[[#This Row],[ALT_KOD]])+AVERAGEIFS(L:L,D:D,DST_123_ÜRETİM_İHTİYAÇ_RAPORU_BURAK_YENI1309[[#This Row],[ALT_KOD]]))</f>
        <v>12</v>
      </c>
      <c r="L5326">
        <v>0</v>
      </c>
      <c r="M5326">
        <f>IF((DST_123_ÜRETİM_İHTİYAÇ_RAPORU_BURAK_YENI1309[[#This Row],[SATINALMA]]*DST_123_ÜRETİM_İHTİYAÇ_RAPORU_BURAK_YENI1309[[#This Row],[BIRIM_FIYATLAR]])&lt;1,VALUE("0"),DST_123_ÜRETİM_İHTİYAÇ_RAPORU_BURAK_YENI1309[[#This Row],[SATINALMA]]*DST_123_ÜRETİM_İHTİYAÇ_RAPORU_BURAK_YENI1309[[#This Row],[BIRIM_FIYATLAR]])</f>
        <v>43576.08</v>
      </c>
      <c r="N5326">
        <v>3631.34</v>
      </c>
      <c r="O5326" t="s">
        <v>647</v>
      </c>
      <c r="P5326">
        <v>7262.68</v>
      </c>
      <c r="Q5326" t="s">
        <v>177</v>
      </c>
    </row>
    <row r="5327" spans="1:17" x14ac:dyDescent="0.25">
      <c r="A5327" t="s">
        <v>1099</v>
      </c>
      <c r="B5327" t="s">
        <v>1055</v>
      </c>
      <c r="C5327" t="s">
        <v>175</v>
      </c>
      <c r="D5327" t="s">
        <v>865</v>
      </c>
      <c r="E5327" t="s">
        <v>644</v>
      </c>
      <c r="F5327">
        <v>3</v>
      </c>
      <c r="G5327" t="s">
        <v>176</v>
      </c>
      <c r="H5327">
        <v>3</v>
      </c>
      <c r="I5327">
        <v>3</v>
      </c>
      <c r="J5327" s="10">
        <v>13</v>
      </c>
      <c r="K5327" s="10">
        <f>SUMIFS(F:F,D:D,DST_123_ÜRETİM_İHTİYAÇ_RAPORU_BURAK_YENI1309[[#This Row],[ALT_KOD]])-(SUMIFS(H:H,D:D,DST_123_ÜRETİM_İHTİYAÇ_RAPORU_BURAK_YENI1309[[#This Row],[ALT_KOD]])+AVERAGEIFS(I:I,D:D,DST_123_ÜRETİM_İHTİYAÇ_RAPORU_BURAK_YENI1309[[#This Row],[ALT_KOD]])+AVERAGEIFS(L:L,D:D,DST_123_ÜRETİM_İHTİYAÇ_RAPORU_BURAK_YENI1309[[#This Row],[ALT_KOD]]))</f>
        <v>12</v>
      </c>
      <c r="L5327">
        <v>0</v>
      </c>
      <c r="M5327">
        <f>IF((DST_123_ÜRETİM_İHTİYAÇ_RAPORU_BURAK_YENI1309[[#This Row],[SATINALMA]]*DST_123_ÜRETİM_İHTİYAÇ_RAPORU_BURAK_YENI1309[[#This Row],[BIRIM_FIYATLAR]])&lt;1,VALUE("0"),DST_123_ÜRETİM_İHTİYAÇ_RAPORU_BURAK_YENI1309[[#This Row],[SATINALMA]]*DST_123_ÜRETİM_İHTİYAÇ_RAPORU_BURAK_YENI1309[[#This Row],[BIRIM_FIYATLAR]])</f>
        <v>43576.08</v>
      </c>
      <c r="N5327">
        <v>3631.34</v>
      </c>
      <c r="O5327" t="s">
        <v>647</v>
      </c>
      <c r="P5327">
        <v>10894.02</v>
      </c>
      <c r="Q5327" t="s">
        <v>177</v>
      </c>
    </row>
    <row r="5328" spans="1:17" x14ac:dyDescent="0.25">
      <c r="A5328" t="s">
        <v>1060</v>
      </c>
      <c r="B5328" t="s">
        <v>1061</v>
      </c>
      <c r="C5328" t="s">
        <v>175</v>
      </c>
      <c r="D5328" t="s">
        <v>94</v>
      </c>
      <c r="E5328" t="s">
        <v>95</v>
      </c>
      <c r="F5328">
        <v>1</v>
      </c>
      <c r="G5328" t="s">
        <v>176</v>
      </c>
      <c r="H5328">
        <v>1</v>
      </c>
      <c r="I5328">
        <v>11</v>
      </c>
      <c r="J5328" s="10">
        <v>8</v>
      </c>
      <c r="K5328" s="10">
        <f>SUMIFS(F:F,D:D,DST_123_ÜRETİM_İHTİYAÇ_RAPORU_BURAK_YENI1309[[#This Row],[ALT_KOD]])-(SUMIFS(H:H,D:D,DST_123_ÜRETİM_İHTİYAÇ_RAPORU_BURAK_YENI1309[[#This Row],[ALT_KOD]])+AVERAGEIFS(I:I,D:D,DST_123_ÜRETİM_İHTİYAÇ_RAPORU_BURAK_YENI1309[[#This Row],[ALT_KOD]])+AVERAGEIFS(L:L,D:D,DST_123_ÜRETİM_İHTİYAÇ_RAPORU_BURAK_YENI1309[[#This Row],[ALT_KOD]]))</f>
        <v>0</v>
      </c>
      <c r="L5328">
        <v>0</v>
      </c>
      <c r="M5328">
        <f>IF((DST_123_ÜRETİM_İHTİYAÇ_RAPORU_BURAK_YENI1309[[#This Row],[SATINALMA]]*DST_123_ÜRETİM_İHTİYAÇ_RAPORU_BURAK_YENI1309[[#This Row],[BIRIM_FIYATLAR]])&lt;1,VALUE("0"),DST_123_ÜRETİM_İHTİYAÇ_RAPORU_BURAK_YENI1309[[#This Row],[SATINALMA]]*DST_123_ÜRETİM_İHTİYAÇ_RAPORU_BURAK_YENI1309[[#This Row],[BIRIM_FIYATLAR]])</f>
        <v>0</v>
      </c>
      <c r="N5328">
        <v>1145.83</v>
      </c>
      <c r="O5328" t="s">
        <v>247</v>
      </c>
      <c r="P5328">
        <v>1145.83</v>
      </c>
      <c r="Q5328" t="s">
        <v>177</v>
      </c>
    </row>
    <row r="5329" spans="1:17" x14ac:dyDescent="0.25">
      <c r="A5329" t="s">
        <v>1060</v>
      </c>
      <c r="B5329" t="s">
        <v>1061</v>
      </c>
      <c r="C5329" t="s">
        <v>175</v>
      </c>
      <c r="D5329" t="s">
        <v>865</v>
      </c>
      <c r="E5329" t="s">
        <v>644</v>
      </c>
      <c r="F5329">
        <v>1</v>
      </c>
      <c r="G5329" t="s">
        <v>176</v>
      </c>
      <c r="H5329">
        <v>1</v>
      </c>
      <c r="I5329">
        <v>3</v>
      </c>
      <c r="J5329" s="10">
        <v>13</v>
      </c>
      <c r="K5329" s="10">
        <f>SUMIFS(F:F,D:D,DST_123_ÜRETİM_İHTİYAÇ_RAPORU_BURAK_YENI1309[[#This Row],[ALT_KOD]])-(SUMIFS(H:H,D:D,DST_123_ÜRETİM_İHTİYAÇ_RAPORU_BURAK_YENI1309[[#This Row],[ALT_KOD]])+AVERAGEIFS(I:I,D:D,DST_123_ÜRETİM_İHTİYAÇ_RAPORU_BURAK_YENI1309[[#This Row],[ALT_KOD]])+AVERAGEIFS(L:L,D:D,DST_123_ÜRETİM_İHTİYAÇ_RAPORU_BURAK_YENI1309[[#This Row],[ALT_KOD]]))</f>
        <v>12</v>
      </c>
      <c r="L5329">
        <v>0</v>
      </c>
      <c r="M5329">
        <f>IF((DST_123_ÜRETİM_İHTİYAÇ_RAPORU_BURAK_YENI1309[[#This Row],[SATINALMA]]*DST_123_ÜRETİM_İHTİYAÇ_RAPORU_BURAK_YENI1309[[#This Row],[BIRIM_FIYATLAR]])&lt;1,VALUE("0"),DST_123_ÜRETİM_İHTİYAÇ_RAPORU_BURAK_YENI1309[[#This Row],[SATINALMA]]*DST_123_ÜRETİM_İHTİYAÇ_RAPORU_BURAK_YENI1309[[#This Row],[BIRIM_FIYATLAR]])</f>
        <v>43576.08</v>
      </c>
      <c r="N5329">
        <v>3631.34</v>
      </c>
      <c r="O5329" t="s">
        <v>647</v>
      </c>
      <c r="P5329">
        <v>3631.34</v>
      </c>
      <c r="Q5329" t="s">
        <v>177</v>
      </c>
    </row>
    <row r="5330" spans="1:17" x14ac:dyDescent="0.25">
      <c r="A5330" t="s">
        <v>1100</v>
      </c>
      <c r="B5330" t="s">
        <v>1058</v>
      </c>
      <c r="C5330" t="s">
        <v>175</v>
      </c>
      <c r="D5330" t="s">
        <v>94</v>
      </c>
      <c r="E5330" t="s">
        <v>95</v>
      </c>
      <c r="F5330">
        <v>1</v>
      </c>
      <c r="G5330" t="s">
        <v>176</v>
      </c>
      <c r="H5330">
        <v>1</v>
      </c>
      <c r="I5330">
        <v>11</v>
      </c>
      <c r="J5330" s="10">
        <v>8</v>
      </c>
      <c r="K5330" s="10">
        <f>SUMIFS(F:F,D:D,DST_123_ÜRETİM_İHTİYAÇ_RAPORU_BURAK_YENI1309[[#This Row],[ALT_KOD]])-(SUMIFS(H:H,D:D,DST_123_ÜRETİM_İHTİYAÇ_RAPORU_BURAK_YENI1309[[#This Row],[ALT_KOD]])+AVERAGEIFS(I:I,D:D,DST_123_ÜRETİM_İHTİYAÇ_RAPORU_BURAK_YENI1309[[#This Row],[ALT_KOD]])+AVERAGEIFS(L:L,D:D,DST_123_ÜRETİM_İHTİYAÇ_RAPORU_BURAK_YENI1309[[#This Row],[ALT_KOD]]))</f>
        <v>0</v>
      </c>
      <c r="L5330">
        <v>0</v>
      </c>
      <c r="M5330">
        <f>IF((DST_123_ÜRETİM_İHTİYAÇ_RAPORU_BURAK_YENI1309[[#This Row],[SATINALMA]]*DST_123_ÜRETİM_İHTİYAÇ_RAPORU_BURAK_YENI1309[[#This Row],[BIRIM_FIYATLAR]])&lt;1,VALUE("0"),DST_123_ÜRETİM_İHTİYAÇ_RAPORU_BURAK_YENI1309[[#This Row],[SATINALMA]]*DST_123_ÜRETİM_İHTİYAÇ_RAPORU_BURAK_YENI1309[[#This Row],[BIRIM_FIYATLAR]])</f>
        <v>0</v>
      </c>
      <c r="N5330">
        <v>1145.83</v>
      </c>
      <c r="O5330" t="s">
        <v>247</v>
      </c>
      <c r="P5330">
        <v>1145.83</v>
      </c>
      <c r="Q5330" t="s">
        <v>177</v>
      </c>
    </row>
    <row r="5331" spans="1:17" x14ac:dyDescent="0.25">
      <c r="A5331" t="s">
        <v>1100</v>
      </c>
      <c r="B5331" t="s">
        <v>1058</v>
      </c>
      <c r="C5331" t="s">
        <v>175</v>
      </c>
      <c r="D5331" t="s">
        <v>917</v>
      </c>
      <c r="E5331" t="s">
        <v>918</v>
      </c>
      <c r="F5331">
        <v>1</v>
      </c>
      <c r="G5331" t="s">
        <v>176</v>
      </c>
      <c r="H5331">
        <v>1</v>
      </c>
      <c r="I5331">
        <v>3</v>
      </c>
      <c r="J5331" s="10">
        <v>1</v>
      </c>
      <c r="K5331" s="10">
        <f>SUMIFS(F:F,D:D,DST_123_ÜRETİM_İHTİYAÇ_RAPORU_BURAK_YENI1309[[#This Row],[ALT_KOD]])-(SUMIFS(H:H,D:D,DST_123_ÜRETİM_İHTİYAÇ_RAPORU_BURAK_YENI1309[[#This Row],[ALT_KOD]])+AVERAGEIFS(I:I,D:D,DST_123_ÜRETİM_İHTİYAÇ_RAPORU_BURAK_YENI1309[[#This Row],[ALT_KOD]])+AVERAGEIFS(L:L,D:D,DST_123_ÜRETİM_İHTİYAÇ_RAPORU_BURAK_YENI1309[[#This Row],[ALT_KOD]]))</f>
        <v>-3</v>
      </c>
      <c r="L5331">
        <v>0</v>
      </c>
      <c r="M5331">
        <f>IF((DST_123_ÜRETİM_İHTİYAÇ_RAPORU_BURAK_YENI1309[[#This Row],[SATINALMA]]*DST_123_ÜRETİM_İHTİYAÇ_RAPORU_BURAK_YENI1309[[#This Row],[BIRIM_FIYATLAR]])&lt;1,VALUE("0"),DST_123_ÜRETİM_İHTİYAÇ_RAPORU_BURAK_YENI1309[[#This Row],[SATINALMA]]*DST_123_ÜRETİM_İHTİYAÇ_RAPORU_BURAK_YENI1309[[#This Row],[BIRIM_FIYATLAR]])</f>
        <v>0</v>
      </c>
      <c r="N5331">
        <v>2000</v>
      </c>
      <c r="O5331" t="s">
        <v>1022</v>
      </c>
      <c r="P5331">
        <v>2000</v>
      </c>
      <c r="Q5331" t="s">
        <v>177</v>
      </c>
    </row>
    <row r="5332" spans="1:17" x14ac:dyDescent="0.25">
      <c r="A5332" t="s">
        <v>1101</v>
      </c>
      <c r="B5332" t="s">
        <v>1102</v>
      </c>
      <c r="C5332" t="s">
        <v>175</v>
      </c>
      <c r="D5332" t="s">
        <v>863</v>
      </c>
      <c r="E5332" t="s">
        <v>864</v>
      </c>
      <c r="F5332">
        <v>2</v>
      </c>
      <c r="G5332" t="s">
        <v>176</v>
      </c>
      <c r="H5332">
        <v>2</v>
      </c>
      <c r="I5332">
        <v>2</v>
      </c>
      <c r="J5332" s="10">
        <v>4</v>
      </c>
      <c r="K5332" s="10">
        <f>SUMIFS(F:F,D:D,DST_123_ÜRETİM_İHTİYAÇ_RAPORU_BURAK_YENI1309[[#This Row],[ALT_KOD]])-(SUMIFS(H:H,D:D,DST_123_ÜRETİM_İHTİYAÇ_RAPORU_BURAK_YENI1309[[#This Row],[ALT_KOD]])+AVERAGEIFS(I:I,D:D,DST_123_ÜRETİM_İHTİYAÇ_RAPORU_BURAK_YENI1309[[#This Row],[ALT_KOD]])+AVERAGEIFS(L:L,D:D,DST_123_ÜRETİM_İHTİYAÇ_RAPORU_BURAK_YENI1309[[#This Row],[ALT_KOD]]))</f>
        <v>0</v>
      </c>
      <c r="L5332">
        <v>0</v>
      </c>
      <c r="M5332">
        <f>IF((DST_123_ÜRETİM_İHTİYAÇ_RAPORU_BURAK_YENI1309[[#This Row],[SATINALMA]]*DST_123_ÜRETİM_İHTİYAÇ_RAPORU_BURAK_YENI1309[[#This Row],[BIRIM_FIYATLAR]])&lt;1,VALUE("0"),DST_123_ÜRETİM_İHTİYAÇ_RAPORU_BURAK_YENI1309[[#This Row],[SATINALMA]]*DST_123_ÜRETİM_İHTİYAÇ_RAPORU_BURAK_YENI1309[[#This Row],[BIRIM_FIYATLAR]])</f>
        <v>0</v>
      </c>
      <c r="N5332">
        <v>4864</v>
      </c>
      <c r="O5332" t="s">
        <v>647</v>
      </c>
      <c r="P5332">
        <v>9728</v>
      </c>
      <c r="Q5332" t="s">
        <v>177</v>
      </c>
    </row>
    <row r="5333" spans="1:17" x14ac:dyDescent="0.25">
      <c r="A5333" t="s">
        <v>1148</v>
      </c>
      <c r="B5333" t="s">
        <v>1056</v>
      </c>
      <c r="C5333" t="s">
        <v>175</v>
      </c>
      <c r="D5333" t="s">
        <v>208</v>
      </c>
      <c r="E5333" t="s">
        <v>284</v>
      </c>
      <c r="F5333">
        <v>25</v>
      </c>
      <c r="G5333" t="s">
        <v>176</v>
      </c>
      <c r="H5333">
        <v>0</v>
      </c>
      <c r="I5333">
        <v>2600</v>
      </c>
      <c r="J5333" s="10">
        <v>292</v>
      </c>
      <c r="K5333" s="10">
        <f>SUMIFS(F:F,D:D,DST_123_ÜRETİM_İHTİYAÇ_RAPORU_BURAK_YENI1309[[#This Row],[ALT_KOD]])-(SUMIFS(H:H,D:D,DST_123_ÜRETİM_İHTİYAÇ_RAPORU_BURAK_YENI1309[[#This Row],[ALT_KOD]])+AVERAGEIFS(I:I,D:D,DST_123_ÜRETİM_İHTİYAÇ_RAPORU_BURAK_YENI1309[[#This Row],[ALT_KOD]])+AVERAGEIFS(L:L,D:D,DST_123_ÜRETİM_İHTİYAÇ_RAPORU_BURAK_YENI1309[[#This Row],[ALT_KOD]]))</f>
        <v>-2145</v>
      </c>
      <c r="L5333">
        <v>0</v>
      </c>
      <c r="M5333">
        <f>IF((DST_123_ÜRETİM_İHTİYAÇ_RAPORU_BURAK_YENI1309[[#This Row],[SATINALMA]]*DST_123_ÜRETİM_İHTİYAÇ_RAPORU_BURAK_YENI1309[[#This Row],[BIRIM_FIYATLAR]])&lt;1,VALUE("0"),DST_123_ÜRETİM_İHTİYAÇ_RAPORU_BURAK_YENI1309[[#This Row],[SATINALMA]]*DST_123_ÜRETİM_İHTİYAÇ_RAPORU_BURAK_YENI1309[[#This Row],[BIRIM_FIYATLAR]])</f>
        <v>0</v>
      </c>
      <c r="N5333">
        <v>0.4</v>
      </c>
      <c r="O5333" t="s">
        <v>240</v>
      </c>
      <c r="P5333">
        <v>10</v>
      </c>
      <c r="Q5333" t="s">
        <v>180</v>
      </c>
    </row>
    <row r="5334" spans="1:17" x14ac:dyDescent="0.25">
      <c r="A5334" t="s">
        <v>1057</v>
      </c>
      <c r="B5334" t="s">
        <v>1058</v>
      </c>
      <c r="C5334" t="s">
        <v>175</v>
      </c>
      <c r="D5334" t="s">
        <v>558</v>
      </c>
      <c r="E5334" t="s">
        <v>559</v>
      </c>
      <c r="F5334">
        <v>1</v>
      </c>
      <c r="G5334" t="s">
        <v>176</v>
      </c>
      <c r="H5334">
        <v>1</v>
      </c>
      <c r="I5334">
        <v>34</v>
      </c>
      <c r="J5334" s="10">
        <v>97.880000000000024</v>
      </c>
      <c r="K5334" s="10">
        <f>SUMIFS(F:F,D:D,DST_123_ÜRETİM_İHTİYAÇ_RAPORU_BURAK_YENI1309[[#This Row],[ALT_KOD]])-(SUMIFS(H:H,D:D,DST_123_ÜRETİM_İHTİYAÇ_RAPORU_BURAK_YENI1309[[#This Row],[ALT_KOD]])+AVERAGEIFS(I:I,D:D,DST_123_ÜRETİM_İHTİYAÇ_RAPORU_BURAK_YENI1309[[#This Row],[ALT_KOD]])+AVERAGEIFS(L:L,D:D,DST_123_ÜRETİM_İHTİYAÇ_RAPORU_BURAK_YENI1309[[#This Row],[ALT_KOD]]))</f>
        <v>0.88000000000000256</v>
      </c>
      <c r="L5334">
        <v>0</v>
      </c>
      <c r="M5334">
        <f>IF((DST_123_ÜRETİM_İHTİYAÇ_RAPORU_BURAK_YENI1309[[#This Row],[SATINALMA]]*DST_123_ÜRETİM_İHTİYAÇ_RAPORU_BURAK_YENI1309[[#This Row],[BIRIM_FIYATLAR]])&lt;1,VALUE("0"),DST_123_ÜRETİM_İHTİYAÇ_RAPORU_BURAK_YENI1309[[#This Row],[SATINALMA]]*DST_123_ÜRETİM_İHTİYAÇ_RAPORU_BURAK_YENI1309[[#This Row],[BIRIM_FIYATLAR]])</f>
        <v>48.400000000000141</v>
      </c>
      <c r="N5334">
        <v>55</v>
      </c>
      <c r="O5334" t="s">
        <v>240</v>
      </c>
      <c r="P5334">
        <v>55</v>
      </c>
      <c r="Q5334" t="s">
        <v>180</v>
      </c>
    </row>
    <row r="5335" spans="1:17" x14ac:dyDescent="0.25">
      <c r="A5335" t="s">
        <v>1059</v>
      </c>
      <c r="B5335" t="s">
        <v>1058</v>
      </c>
      <c r="C5335" t="s">
        <v>175</v>
      </c>
      <c r="D5335" t="s">
        <v>558</v>
      </c>
      <c r="E5335" t="s">
        <v>559</v>
      </c>
      <c r="F5335">
        <v>1</v>
      </c>
      <c r="G5335" t="s">
        <v>176</v>
      </c>
      <c r="H5335">
        <v>1</v>
      </c>
      <c r="I5335">
        <v>34</v>
      </c>
      <c r="J5335" s="10">
        <v>97.880000000000024</v>
      </c>
      <c r="K5335" s="10">
        <f>SUMIFS(F:F,D:D,DST_123_ÜRETİM_İHTİYAÇ_RAPORU_BURAK_YENI1309[[#This Row],[ALT_KOD]])-(SUMIFS(H:H,D:D,DST_123_ÜRETİM_İHTİYAÇ_RAPORU_BURAK_YENI1309[[#This Row],[ALT_KOD]])+AVERAGEIFS(I:I,D:D,DST_123_ÜRETİM_İHTİYAÇ_RAPORU_BURAK_YENI1309[[#This Row],[ALT_KOD]])+AVERAGEIFS(L:L,D:D,DST_123_ÜRETİM_İHTİYAÇ_RAPORU_BURAK_YENI1309[[#This Row],[ALT_KOD]]))</f>
        <v>0.88000000000000256</v>
      </c>
      <c r="L5335">
        <v>0</v>
      </c>
      <c r="M5335">
        <f>IF((DST_123_ÜRETİM_İHTİYAÇ_RAPORU_BURAK_YENI1309[[#This Row],[SATINALMA]]*DST_123_ÜRETİM_İHTİYAÇ_RAPORU_BURAK_YENI1309[[#This Row],[BIRIM_FIYATLAR]])&lt;1,VALUE("0"),DST_123_ÜRETİM_İHTİYAÇ_RAPORU_BURAK_YENI1309[[#This Row],[SATINALMA]]*DST_123_ÜRETİM_İHTİYAÇ_RAPORU_BURAK_YENI1309[[#This Row],[BIRIM_FIYATLAR]])</f>
        <v>48.400000000000141</v>
      </c>
      <c r="N5335">
        <v>55</v>
      </c>
      <c r="O5335" t="s">
        <v>240</v>
      </c>
      <c r="P5335">
        <v>55</v>
      </c>
      <c r="Q5335" t="s">
        <v>180</v>
      </c>
    </row>
    <row r="5336" spans="1:17" x14ac:dyDescent="0.25">
      <c r="A5336" t="s">
        <v>1057</v>
      </c>
      <c r="B5336" t="s">
        <v>1058</v>
      </c>
      <c r="C5336" t="s">
        <v>175</v>
      </c>
      <c r="D5336" t="s">
        <v>255</v>
      </c>
      <c r="E5336" t="s">
        <v>309</v>
      </c>
      <c r="F5336">
        <v>2</v>
      </c>
      <c r="G5336" t="s">
        <v>176</v>
      </c>
      <c r="H5336">
        <v>2</v>
      </c>
      <c r="I5336">
        <v>38</v>
      </c>
      <c r="J5336" s="10">
        <v>20</v>
      </c>
      <c r="K5336" s="10">
        <f>SUMIFS(F:F,D:D,DST_123_ÜRETİM_İHTİYAÇ_RAPORU_BURAK_YENI1309[[#This Row],[ALT_KOD]])-(SUMIFS(H:H,D:D,DST_123_ÜRETİM_İHTİYAÇ_RAPORU_BURAK_YENI1309[[#This Row],[ALT_KOD]])+AVERAGEIFS(I:I,D:D,DST_123_ÜRETİM_İHTİYAÇ_RAPORU_BURAK_YENI1309[[#This Row],[ALT_KOD]])+AVERAGEIFS(L:L,D:D,DST_123_ÜRETİM_İHTİYAÇ_RAPORU_BURAK_YENI1309[[#This Row],[ALT_KOD]]))</f>
        <v>-14</v>
      </c>
      <c r="L5336">
        <v>0</v>
      </c>
      <c r="M5336">
        <f>IF((DST_123_ÜRETİM_İHTİYAÇ_RAPORU_BURAK_YENI1309[[#This Row],[SATINALMA]]*DST_123_ÜRETİM_İHTİYAÇ_RAPORU_BURAK_YENI1309[[#This Row],[BIRIM_FIYATLAR]])&lt;1,VALUE("0"),DST_123_ÜRETİM_İHTİYAÇ_RAPORU_BURAK_YENI1309[[#This Row],[SATINALMA]]*DST_123_ÜRETİM_İHTİYAÇ_RAPORU_BURAK_YENI1309[[#This Row],[BIRIM_FIYATLAR]])</f>
        <v>0</v>
      </c>
      <c r="N5336">
        <v>55</v>
      </c>
      <c r="O5336" t="s">
        <v>826</v>
      </c>
      <c r="P5336">
        <v>110</v>
      </c>
      <c r="Q5336" t="s">
        <v>221</v>
      </c>
    </row>
    <row r="5337" spans="1:17" x14ac:dyDescent="0.25">
      <c r="A5337" t="s">
        <v>1059</v>
      </c>
      <c r="B5337" t="s">
        <v>1058</v>
      </c>
      <c r="C5337" t="s">
        <v>175</v>
      </c>
      <c r="D5337" t="s">
        <v>255</v>
      </c>
      <c r="E5337" t="s">
        <v>309</v>
      </c>
      <c r="F5337">
        <v>2</v>
      </c>
      <c r="G5337" t="s">
        <v>176</v>
      </c>
      <c r="H5337">
        <v>2</v>
      </c>
      <c r="I5337">
        <v>38</v>
      </c>
      <c r="J5337" s="10">
        <v>20</v>
      </c>
      <c r="K5337" s="10">
        <f>SUMIFS(F:F,D:D,DST_123_ÜRETİM_İHTİYAÇ_RAPORU_BURAK_YENI1309[[#This Row],[ALT_KOD]])-(SUMIFS(H:H,D:D,DST_123_ÜRETİM_İHTİYAÇ_RAPORU_BURAK_YENI1309[[#This Row],[ALT_KOD]])+AVERAGEIFS(I:I,D:D,DST_123_ÜRETİM_İHTİYAÇ_RAPORU_BURAK_YENI1309[[#This Row],[ALT_KOD]])+AVERAGEIFS(L:L,D:D,DST_123_ÜRETİM_İHTİYAÇ_RAPORU_BURAK_YENI1309[[#This Row],[ALT_KOD]]))</f>
        <v>-14</v>
      </c>
      <c r="L5337">
        <v>0</v>
      </c>
      <c r="M5337">
        <f>IF((DST_123_ÜRETİM_İHTİYAÇ_RAPORU_BURAK_YENI1309[[#This Row],[SATINALMA]]*DST_123_ÜRETİM_İHTİYAÇ_RAPORU_BURAK_YENI1309[[#This Row],[BIRIM_FIYATLAR]])&lt;1,VALUE("0"),DST_123_ÜRETİM_İHTİYAÇ_RAPORU_BURAK_YENI1309[[#This Row],[SATINALMA]]*DST_123_ÜRETİM_İHTİYAÇ_RAPORU_BURAK_YENI1309[[#This Row],[BIRIM_FIYATLAR]])</f>
        <v>0</v>
      </c>
      <c r="N5337">
        <v>55</v>
      </c>
      <c r="O5337" t="s">
        <v>826</v>
      </c>
      <c r="P5337">
        <v>110</v>
      </c>
      <c r="Q5337" t="s">
        <v>221</v>
      </c>
    </row>
    <row r="5338" spans="1:17" x14ac:dyDescent="0.25">
      <c r="A5338" t="s">
        <v>1100</v>
      </c>
      <c r="B5338" t="s">
        <v>1058</v>
      </c>
      <c r="C5338" t="s">
        <v>175</v>
      </c>
      <c r="D5338" t="s">
        <v>255</v>
      </c>
      <c r="E5338" t="s">
        <v>309</v>
      </c>
      <c r="F5338">
        <v>2</v>
      </c>
      <c r="G5338" t="s">
        <v>176</v>
      </c>
      <c r="H5338">
        <v>2</v>
      </c>
      <c r="I5338">
        <v>38</v>
      </c>
      <c r="J5338" s="10">
        <v>20</v>
      </c>
      <c r="K5338" s="10">
        <f>SUMIFS(F:F,D:D,DST_123_ÜRETİM_İHTİYAÇ_RAPORU_BURAK_YENI1309[[#This Row],[ALT_KOD]])-(SUMIFS(H:H,D:D,DST_123_ÜRETİM_İHTİYAÇ_RAPORU_BURAK_YENI1309[[#This Row],[ALT_KOD]])+AVERAGEIFS(I:I,D:D,DST_123_ÜRETİM_İHTİYAÇ_RAPORU_BURAK_YENI1309[[#This Row],[ALT_KOD]])+AVERAGEIFS(L:L,D:D,DST_123_ÜRETİM_İHTİYAÇ_RAPORU_BURAK_YENI1309[[#This Row],[ALT_KOD]]))</f>
        <v>-14</v>
      </c>
      <c r="L5338">
        <v>0</v>
      </c>
      <c r="M5338">
        <f>IF((DST_123_ÜRETİM_İHTİYAÇ_RAPORU_BURAK_YENI1309[[#This Row],[SATINALMA]]*DST_123_ÜRETİM_İHTİYAÇ_RAPORU_BURAK_YENI1309[[#This Row],[BIRIM_FIYATLAR]])&lt;1,VALUE("0"),DST_123_ÜRETİM_İHTİYAÇ_RAPORU_BURAK_YENI1309[[#This Row],[SATINALMA]]*DST_123_ÜRETİM_İHTİYAÇ_RAPORU_BURAK_YENI1309[[#This Row],[BIRIM_FIYATLAR]])</f>
        <v>0</v>
      </c>
      <c r="N5338">
        <v>55</v>
      </c>
      <c r="O5338" t="s">
        <v>826</v>
      </c>
      <c r="P5338">
        <v>110</v>
      </c>
      <c r="Q5338" t="s">
        <v>221</v>
      </c>
    </row>
    <row r="5339" spans="1:17" x14ac:dyDescent="0.25">
      <c r="A5339" t="s">
        <v>1150</v>
      </c>
      <c r="B5339" t="s">
        <v>1145</v>
      </c>
      <c r="C5339" t="s">
        <v>175</v>
      </c>
      <c r="D5339" t="s">
        <v>701</v>
      </c>
      <c r="E5339" t="s">
        <v>702</v>
      </c>
      <c r="F5339">
        <v>2</v>
      </c>
      <c r="G5339" t="s">
        <v>176</v>
      </c>
      <c r="H5339">
        <v>0</v>
      </c>
      <c r="I5339">
        <v>100</v>
      </c>
      <c r="J5339" s="10">
        <v>52</v>
      </c>
      <c r="K5339" s="10">
        <f>SUMIFS(F:F,D:D,DST_123_ÜRETİM_İHTİYAÇ_RAPORU_BURAK_YENI1309[[#This Row],[ALT_KOD]])-(SUMIFS(H:H,D:D,DST_123_ÜRETİM_İHTİYAÇ_RAPORU_BURAK_YENI1309[[#This Row],[ALT_KOD]])+AVERAGEIFS(I:I,D:D,DST_123_ÜRETİM_İHTİYAÇ_RAPORU_BURAK_YENI1309[[#This Row],[ALT_KOD]])+AVERAGEIFS(L:L,D:D,DST_123_ÜRETİM_İHTİYAÇ_RAPORU_BURAK_YENI1309[[#This Row],[ALT_KOD]]))</f>
        <v>-52</v>
      </c>
      <c r="L5339">
        <v>0</v>
      </c>
      <c r="M5339">
        <f>IF((DST_123_ÜRETİM_İHTİYAÇ_RAPORU_BURAK_YENI1309[[#This Row],[SATINALMA]]*DST_123_ÜRETİM_İHTİYAÇ_RAPORU_BURAK_YENI1309[[#This Row],[BIRIM_FIYATLAR]])&lt;1,VALUE("0"),DST_123_ÜRETİM_İHTİYAÇ_RAPORU_BURAK_YENI1309[[#This Row],[SATINALMA]]*DST_123_ÜRETİM_İHTİYAÇ_RAPORU_BURAK_YENI1309[[#This Row],[BIRIM_FIYATLAR]])</f>
        <v>0</v>
      </c>
      <c r="N5339">
        <v>1.1299999999999999</v>
      </c>
      <c r="O5339" t="s">
        <v>826</v>
      </c>
      <c r="P5339">
        <v>2.2599999999999998</v>
      </c>
      <c r="Q5339" t="s">
        <v>221</v>
      </c>
    </row>
    <row r="5340" spans="1:17" x14ac:dyDescent="0.25">
      <c r="A5340" t="s">
        <v>1150</v>
      </c>
      <c r="B5340" t="s">
        <v>1145</v>
      </c>
      <c r="C5340" t="s">
        <v>175</v>
      </c>
      <c r="D5340" t="s">
        <v>601</v>
      </c>
      <c r="E5340" t="s">
        <v>602</v>
      </c>
      <c r="F5340">
        <v>2</v>
      </c>
      <c r="G5340" t="s">
        <v>176</v>
      </c>
      <c r="H5340">
        <v>0</v>
      </c>
      <c r="I5340">
        <v>24</v>
      </c>
      <c r="J5340" s="10">
        <v>10</v>
      </c>
      <c r="K5340" s="10">
        <f>SUMIFS(F:F,D:D,DST_123_ÜRETİM_İHTİYAÇ_RAPORU_BURAK_YENI1309[[#This Row],[ALT_KOD]])-(SUMIFS(H:H,D:D,DST_123_ÜRETİM_İHTİYAÇ_RAPORU_BURAK_YENI1309[[#This Row],[ALT_KOD]])+AVERAGEIFS(I:I,D:D,DST_123_ÜRETİM_İHTİYAÇ_RAPORU_BURAK_YENI1309[[#This Row],[ALT_KOD]])+AVERAGEIFS(L:L,D:D,DST_123_ÜRETİM_İHTİYAÇ_RAPORU_BURAK_YENI1309[[#This Row],[ALT_KOD]]))</f>
        <v>-8</v>
      </c>
      <c r="L5340">
        <v>0</v>
      </c>
      <c r="M5340">
        <f>IF((DST_123_ÜRETİM_İHTİYAÇ_RAPORU_BURAK_YENI1309[[#This Row],[SATINALMA]]*DST_123_ÜRETİM_İHTİYAÇ_RAPORU_BURAK_YENI1309[[#This Row],[BIRIM_FIYATLAR]])&lt;1,VALUE("0"),DST_123_ÜRETİM_İHTİYAÇ_RAPORU_BURAK_YENI1309[[#This Row],[SATINALMA]]*DST_123_ÜRETİM_İHTİYAÇ_RAPORU_BURAK_YENI1309[[#This Row],[BIRIM_FIYATLAR]])</f>
        <v>0</v>
      </c>
      <c r="N5340">
        <v>50.43</v>
      </c>
      <c r="O5340" t="s">
        <v>636</v>
      </c>
      <c r="P5340">
        <v>100.86</v>
      </c>
      <c r="Q5340" t="s">
        <v>177</v>
      </c>
    </row>
    <row r="5341" spans="1:17" x14ac:dyDescent="0.25">
      <c r="A5341" t="s">
        <v>1149</v>
      </c>
      <c r="B5341" t="s">
        <v>1145</v>
      </c>
      <c r="C5341" t="s">
        <v>175</v>
      </c>
      <c r="D5341" t="s">
        <v>493</v>
      </c>
      <c r="E5341" t="s">
        <v>494</v>
      </c>
      <c r="F5341">
        <v>22</v>
      </c>
      <c r="G5341" t="s">
        <v>495</v>
      </c>
      <c r="H5341">
        <v>0</v>
      </c>
      <c r="I5341">
        <v>200</v>
      </c>
      <c r="J5341" s="10">
        <v>86</v>
      </c>
      <c r="K5341" s="10">
        <f>SUMIFS(F:F,D:D,DST_123_ÜRETİM_İHTİYAÇ_RAPORU_BURAK_YENI1309[[#This Row],[ALT_KOD]])-(SUMIFS(H:H,D:D,DST_123_ÜRETİM_İHTİYAÇ_RAPORU_BURAK_YENI1309[[#This Row],[ALT_KOD]])+AVERAGEIFS(I:I,D:D,DST_123_ÜRETİM_İHTİYAÇ_RAPORU_BURAK_YENI1309[[#This Row],[ALT_KOD]])+AVERAGEIFS(L:L,D:D,DST_123_ÜRETİM_İHTİYAÇ_RAPORU_BURAK_YENI1309[[#This Row],[ALT_KOD]]))</f>
        <v>220</v>
      </c>
      <c r="L5341">
        <v>0</v>
      </c>
      <c r="M5341">
        <f>IF((DST_123_ÜRETİM_İHTİYAÇ_RAPORU_BURAK_YENI1309[[#This Row],[SATINALMA]]*DST_123_ÜRETİM_İHTİYAÇ_RAPORU_BURAK_YENI1309[[#This Row],[BIRIM_FIYATLAR]])&lt;1,VALUE("0"),DST_123_ÜRETİM_İHTİYAÇ_RAPORU_BURAK_YENI1309[[#This Row],[SATINALMA]]*DST_123_ÜRETİM_İHTİYAÇ_RAPORU_BURAK_YENI1309[[#This Row],[BIRIM_FIYATLAR]])</f>
        <v>23100</v>
      </c>
      <c r="N5341">
        <v>105</v>
      </c>
      <c r="O5341" t="s">
        <v>296</v>
      </c>
      <c r="P5341">
        <v>2310</v>
      </c>
      <c r="Q5341" t="s">
        <v>184</v>
      </c>
    </row>
    <row r="5342" spans="1:17" x14ac:dyDescent="0.25">
      <c r="A5342" t="s">
        <v>1147</v>
      </c>
      <c r="B5342" t="s">
        <v>1145</v>
      </c>
      <c r="C5342" t="s">
        <v>175</v>
      </c>
      <c r="D5342" t="s">
        <v>441</v>
      </c>
      <c r="E5342" t="s">
        <v>442</v>
      </c>
      <c r="F5342">
        <v>1</v>
      </c>
      <c r="G5342" t="s">
        <v>176</v>
      </c>
      <c r="H5342">
        <v>0</v>
      </c>
      <c r="I5342">
        <v>23</v>
      </c>
      <c r="J5342" s="10">
        <v>5</v>
      </c>
      <c r="K5342" s="10">
        <f>SUMIFS(F:F,D:D,DST_123_ÜRETİM_İHTİYAÇ_RAPORU_BURAK_YENI1309[[#This Row],[ALT_KOD]])-(SUMIFS(H:H,D:D,DST_123_ÜRETİM_İHTİYAÇ_RAPORU_BURAK_YENI1309[[#This Row],[ALT_KOD]])+AVERAGEIFS(I:I,D:D,DST_123_ÜRETİM_İHTİYAÇ_RAPORU_BURAK_YENI1309[[#This Row],[ALT_KOD]])+AVERAGEIFS(L:L,D:D,DST_123_ÜRETİM_İHTİYAÇ_RAPORU_BURAK_YENI1309[[#This Row],[ALT_KOD]]))</f>
        <v>-11</v>
      </c>
      <c r="L5342">
        <v>0</v>
      </c>
      <c r="M5342">
        <f>IF((DST_123_ÜRETİM_İHTİYAÇ_RAPORU_BURAK_YENI1309[[#This Row],[SATINALMA]]*DST_123_ÜRETİM_İHTİYAÇ_RAPORU_BURAK_YENI1309[[#This Row],[BIRIM_FIYATLAR]])&lt;1,VALUE("0"),DST_123_ÜRETİM_İHTİYAÇ_RAPORU_BURAK_YENI1309[[#This Row],[SATINALMA]]*DST_123_ÜRETİM_İHTİYAÇ_RAPORU_BURAK_YENI1309[[#This Row],[BIRIM_FIYATLAR]])</f>
        <v>0</v>
      </c>
      <c r="N5342">
        <v>360.19</v>
      </c>
      <c r="O5342" t="s">
        <v>636</v>
      </c>
      <c r="P5342">
        <v>360.19</v>
      </c>
      <c r="Q5342" t="s">
        <v>178</v>
      </c>
    </row>
    <row r="5343" spans="1:17" x14ac:dyDescent="0.25">
      <c r="A5343" t="s">
        <v>1146</v>
      </c>
      <c r="B5343" t="s">
        <v>1145</v>
      </c>
      <c r="C5343" t="s">
        <v>175</v>
      </c>
      <c r="D5343" t="s">
        <v>701</v>
      </c>
      <c r="E5343" t="s">
        <v>702</v>
      </c>
      <c r="F5343">
        <v>4</v>
      </c>
      <c r="G5343" t="s">
        <v>176</v>
      </c>
      <c r="H5343">
        <v>0</v>
      </c>
      <c r="I5343">
        <v>100</v>
      </c>
      <c r="J5343" s="10">
        <v>52</v>
      </c>
      <c r="K5343" s="10">
        <f>SUMIFS(F:F,D:D,DST_123_ÜRETİM_İHTİYAÇ_RAPORU_BURAK_YENI1309[[#This Row],[ALT_KOD]])-(SUMIFS(H:H,D:D,DST_123_ÜRETİM_İHTİYAÇ_RAPORU_BURAK_YENI1309[[#This Row],[ALT_KOD]])+AVERAGEIFS(I:I,D:D,DST_123_ÜRETİM_İHTİYAÇ_RAPORU_BURAK_YENI1309[[#This Row],[ALT_KOD]])+AVERAGEIFS(L:L,D:D,DST_123_ÜRETİM_İHTİYAÇ_RAPORU_BURAK_YENI1309[[#This Row],[ALT_KOD]]))</f>
        <v>-52</v>
      </c>
      <c r="L5343">
        <v>0</v>
      </c>
      <c r="M5343">
        <f>IF((DST_123_ÜRETİM_İHTİYAÇ_RAPORU_BURAK_YENI1309[[#This Row],[SATINALMA]]*DST_123_ÜRETİM_İHTİYAÇ_RAPORU_BURAK_YENI1309[[#This Row],[BIRIM_FIYATLAR]])&lt;1,VALUE("0"),DST_123_ÜRETİM_İHTİYAÇ_RAPORU_BURAK_YENI1309[[#This Row],[SATINALMA]]*DST_123_ÜRETİM_İHTİYAÇ_RAPORU_BURAK_YENI1309[[#This Row],[BIRIM_FIYATLAR]])</f>
        <v>0</v>
      </c>
      <c r="N5343">
        <v>1.1299999999999999</v>
      </c>
      <c r="O5343" t="s">
        <v>826</v>
      </c>
      <c r="P5343">
        <v>4.5199999999999996</v>
      </c>
      <c r="Q5343" t="s">
        <v>221</v>
      </c>
    </row>
    <row r="5344" spans="1:17" x14ac:dyDescent="0.25">
      <c r="A5344" t="s">
        <v>1144</v>
      </c>
      <c r="B5344" t="s">
        <v>1145</v>
      </c>
      <c r="C5344" t="s">
        <v>175</v>
      </c>
      <c r="D5344" t="s">
        <v>701</v>
      </c>
      <c r="E5344" t="s">
        <v>702</v>
      </c>
      <c r="F5344">
        <v>2</v>
      </c>
      <c r="G5344" t="s">
        <v>176</v>
      </c>
      <c r="H5344">
        <v>0</v>
      </c>
      <c r="I5344">
        <v>100</v>
      </c>
      <c r="J5344" s="10">
        <v>52</v>
      </c>
      <c r="K5344" s="10">
        <f>SUMIFS(F:F,D:D,DST_123_ÜRETİM_İHTİYAÇ_RAPORU_BURAK_YENI1309[[#This Row],[ALT_KOD]])-(SUMIFS(H:H,D:D,DST_123_ÜRETİM_İHTİYAÇ_RAPORU_BURAK_YENI1309[[#This Row],[ALT_KOD]])+AVERAGEIFS(I:I,D:D,DST_123_ÜRETİM_İHTİYAÇ_RAPORU_BURAK_YENI1309[[#This Row],[ALT_KOD]])+AVERAGEIFS(L:L,D:D,DST_123_ÜRETİM_İHTİYAÇ_RAPORU_BURAK_YENI1309[[#This Row],[ALT_KOD]]))</f>
        <v>-52</v>
      </c>
      <c r="L5344">
        <v>0</v>
      </c>
      <c r="M5344">
        <f>IF((DST_123_ÜRETİM_İHTİYAÇ_RAPORU_BURAK_YENI1309[[#This Row],[SATINALMA]]*DST_123_ÜRETİM_İHTİYAÇ_RAPORU_BURAK_YENI1309[[#This Row],[BIRIM_FIYATLAR]])&lt;1,VALUE("0"),DST_123_ÜRETİM_İHTİYAÇ_RAPORU_BURAK_YENI1309[[#This Row],[SATINALMA]]*DST_123_ÜRETİM_İHTİYAÇ_RAPORU_BURAK_YENI1309[[#This Row],[BIRIM_FIYATLAR]])</f>
        <v>0</v>
      </c>
      <c r="N5344">
        <v>1.1299999999999999</v>
      </c>
      <c r="O5344" t="s">
        <v>826</v>
      </c>
      <c r="P5344">
        <v>2.2599999999999998</v>
      </c>
      <c r="Q5344" t="s">
        <v>221</v>
      </c>
    </row>
    <row r="5345" spans="1:17" x14ac:dyDescent="0.25">
      <c r="A5345" t="s">
        <v>1146</v>
      </c>
      <c r="B5345" t="s">
        <v>1145</v>
      </c>
      <c r="C5345" t="s">
        <v>175</v>
      </c>
      <c r="D5345" t="s">
        <v>601</v>
      </c>
      <c r="E5345" t="s">
        <v>602</v>
      </c>
      <c r="F5345">
        <v>2</v>
      </c>
      <c r="G5345" t="s">
        <v>176</v>
      </c>
      <c r="H5345">
        <v>0</v>
      </c>
      <c r="I5345">
        <v>24</v>
      </c>
      <c r="J5345" s="10">
        <v>10</v>
      </c>
      <c r="K5345" s="10">
        <f>SUMIFS(F:F,D:D,DST_123_ÜRETİM_İHTİYAÇ_RAPORU_BURAK_YENI1309[[#This Row],[ALT_KOD]])-(SUMIFS(H:H,D:D,DST_123_ÜRETİM_İHTİYAÇ_RAPORU_BURAK_YENI1309[[#This Row],[ALT_KOD]])+AVERAGEIFS(I:I,D:D,DST_123_ÜRETİM_İHTİYAÇ_RAPORU_BURAK_YENI1309[[#This Row],[ALT_KOD]])+AVERAGEIFS(L:L,D:D,DST_123_ÜRETİM_İHTİYAÇ_RAPORU_BURAK_YENI1309[[#This Row],[ALT_KOD]]))</f>
        <v>-8</v>
      </c>
      <c r="L5345">
        <v>0</v>
      </c>
      <c r="M5345">
        <f>IF((DST_123_ÜRETİM_İHTİYAÇ_RAPORU_BURAK_YENI1309[[#This Row],[SATINALMA]]*DST_123_ÜRETİM_İHTİYAÇ_RAPORU_BURAK_YENI1309[[#This Row],[BIRIM_FIYATLAR]])&lt;1,VALUE("0"),DST_123_ÜRETİM_İHTİYAÇ_RAPORU_BURAK_YENI1309[[#This Row],[SATINALMA]]*DST_123_ÜRETİM_İHTİYAÇ_RAPORU_BURAK_YENI1309[[#This Row],[BIRIM_FIYATLAR]])</f>
        <v>0</v>
      </c>
      <c r="N5345">
        <v>50.43</v>
      </c>
      <c r="O5345" t="s">
        <v>636</v>
      </c>
      <c r="P5345">
        <v>100.86</v>
      </c>
      <c r="Q5345" t="s">
        <v>177</v>
      </c>
    </row>
    <row r="5346" spans="1:17" x14ac:dyDescent="0.25">
      <c r="A5346" t="s">
        <v>1144</v>
      </c>
      <c r="B5346" t="s">
        <v>1145</v>
      </c>
      <c r="C5346" t="s">
        <v>175</v>
      </c>
      <c r="D5346" t="s">
        <v>601</v>
      </c>
      <c r="E5346" t="s">
        <v>602</v>
      </c>
      <c r="F5346">
        <v>2</v>
      </c>
      <c r="G5346" t="s">
        <v>176</v>
      </c>
      <c r="H5346">
        <v>0</v>
      </c>
      <c r="I5346">
        <v>24</v>
      </c>
      <c r="J5346" s="10">
        <v>10</v>
      </c>
      <c r="K5346" s="10">
        <f>SUMIFS(F:F,D:D,DST_123_ÜRETİM_İHTİYAÇ_RAPORU_BURAK_YENI1309[[#This Row],[ALT_KOD]])-(SUMIFS(H:H,D:D,DST_123_ÜRETİM_İHTİYAÇ_RAPORU_BURAK_YENI1309[[#This Row],[ALT_KOD]])+AVERAGEIFS(I:I,D:D,DST_123_ÜRETİM_İHTİYAÇ_RAPORU_BURAK_YENI1309[[#This Row],[ALT_KOD]])+AVERAGEIFS(L:L,D:D,DST_123_ÜRETİM_İHTİYAÇ_RAPORU_BURAK_YENI1309[[#This Row],[ALT_KOD]]))</f>
        <v>-8</v>
      </c>
      <c r="L5346">
        <v>0</v>
      </c>
      <c r="M5346">
        <f>IF((DST_123_ÜRETİM_İHTİYAÇ_RAPORU_BURAK_YENI1309[[#This Row],[SATINALMA]]*DST_123_ÜRETİM_İHTİYAÇ_RAPORU_BURAK_YENI1309[[#This Row],[BIRIM_FIYATLAR]])&lt;1,VALUE("0"),DST_123_ÜRETİM_İHTİYAÇ_RAPORU_BURAK_YENI1309[[#This Row],[SATINALMA]]*DST_123_ÜRETİM_İHTİYAÇ_RAPORU_BURAK_YENI1309[[#This Row],[BIRIM_FIYATLAR]])</f>
        <v>0</v>
      </c>
      <c r="N5346">
        <v>50.43</v>
      </c>
      <c r="O5346" t="s">
        <v>636</v>
      </c>
      <c r="P5346">
        <v>100.86</v>
      </c>
      <c r="Q5346" t="s">
        <v>177</v>
      </c>
    </row>
    <row r="5347" spans="1:17" x14ac:dyDescent="0.25">
      <c r="A5347" t="s">
        <v>1149</v>
      </c>
      <c r="B5347" t="s">
        <v>1145</v>
      </c>
      <c r="C5347" t="s">
        <v>175</v>
      </c>
      <c r="D5347" t="s">
        <v>601</v>
      </c>
      <c r="E5347" t="s">
        <v>602</v>
      </c>
      <c r="F5347">
        <v>2</v>
      </c>
      <c r="G5347" t="s">
        <v>176</v>
      </c>
      <c r="H5347">
        <v>0</v>
      </c>
      <c r="I5347">
        <v>24</v>
      </c>
      <c r="J5347" s="10">
        <v>10</v>
      </c>
      <c r="K5347" s="10">
        <f>SUMIFS(F:F,D:D,DST_123_ÜRETİM_İHTİYAÇ_RAPORU_BURAK_YENI1309[[#This Row],[ALT_KOD]])-(SUMIFS(H:H,D:D,DST_123_ÜRETİM_İHTİYAÇ_RAPORU_BURAK_YENI1309[[#This Row],[ALT_KOD]])+AVERAGEIFS(I:I,D:D,DST_123_ÜRETİM_İHTİYAÇ_RAPORU_BURAK_YENI1309[[#This Row],[ALT_KOD]])+AVERAGEIFS(L:L,D:D,DST_123_ÜRETİM_İHTİYAÇ_RAPORU_BURAK_YENI1309[[#This Row],[ALT_KOD]]))</f>
        <v>-8</v>
      </c>
      <c r="L5347">
        <v>0</v>
      </c>
      <c r="M5347">
        <f>IF((DST_123_ÜRETİM_İHTİYAÇ_RAPORU_BURAK_YENI1309[[#This Row],[SATINALMA]]*DST_123_ÜRETİM_İHTİYAÇ_RAPORU_BURAK_YENI1309[[#This Row],[BIRIM_FIYATLAR]])&lt;1,VALUE("0"),DST_123_ÜRETİM_İHTİYAÇ_RAPORU_BURAK_YENI1309[[#This Row],[SATINALMA]]*DST_123_ÜRETİM_İHTİYAÇ_RAPORU_BURAK_YENI1309[[#This Row],[BIRIM_FIYATLAR]])</f>
        <v>0</v>
      </c>
      <c r="N5347">
        <v>50.43</v>
      </c>
      <c r="O5347" t="s">
        <v>636</v>
      </c>
      <c r="P5347">
        <v>100.86</v>
      </c>
      <c r="Q5347" t="s">
        <v>177</v>
      </c>
    </row>
    <row r="5348" spans="1:17" x14ac:dyDescent="0.25">
      <c r="A5348" t="s">
        <v>1099</v>
      </c>
      <c r="B5348" t="s">
        <v>1055</v>
      </c>
      <c r="C5348" t="s">
        <v>175</v>
      </c>
      <c r="D5348" t="s">
        <v>701</v>
      </c>
      <c r="E5348" t="s">
        <v>702</v>
      </c>
      <c r="F5348">
        <v>4</v>
      </c>
      <c r="G5348" t="s">
        <v>176</v>
      </c>
      <c r="H5348">
        <v>0</v>
      </c>
      <c r="I5348">
        <v>100</v>
      </c>
      <c r="J5348" s="10">
        <v>52</v>
      </c>
      <c r="K5348" s="10">
        <f>SUMIFS(F:F,D:D,DST_123_ÜRETİM_İHTİYAÇ_RAPORU_BURAK_YENI1309[[#This Row],[ALT_KOD]])-(SUMIFS(H:H,D:D,DST_123_ÜRETİM_İHTİYAÇ_RAPORU_BURAK_YENI1309[[#This Row],[ALT_KOD]])+AVERAGEIFS(I:I,D:D,DST_123_ÜRETİM_İHTİYAÇ_RAPORU_BURAK_YENI1309[[#This Row],[ALT_KOD]])+AVERAGEIFS(L:L,D:D,DST_123_ÜRETİM_İHTİYAÇ_RAPORU_BURAK_YENI1309[[#This Row],[ALT_KOD]]))</f>
        <v>-52</v>
      </c>
      <c r="L5348">
        <v>0</v>
      </c>
      <c r="M5348">
        <f>IF((DST_123_ÜRETİM_İHTİYAÇ_RAPORU_BURAK_YENI1309[[#This Row],[SATINALMA]]*DST_123_ÜRETİM_İHTİYAÇ_RAPORU_BURAK_YENI1309[[#This Row],[BIRIM_FIYATLAR]])&lt;1,VALUE("0"),DST_123_ÜRETİM_İHTİYAÇ_RAPORU_BURAK_YENI1309[[#This Row],[SATINALMA]]*DST_123_ÜRETİM_İHTİYAÇ_RAPORU_BURAK_YENI1309[[#This Row],[BIRIM_FIYATLAR]])</f>
        <v>0</v>
      </c>
      <c r="N5348">
        <v>1.1299999999999999</v>
      </c>
      <c r="O5348" t="s">
        <v>826</v>
      </c>
      <c r="P5348">
        <v>4.5199999999999996</v>
      </c>
      <c r="Q5348" t="s">
        <v>221</v>
      </c>
    </row>
    <row r="5349" spans="1:17" x14ac:dyDescent="0.25">
      <c r="A5349" t="s">
        <v>1196</v>
      </c>
      <c r="B5349" t="s">
        <v>1197</v>
      </c>
      <c r="C5349" t="s">
        <v>175</v>
      </c>
      <c r="D5349" t="s">
        <v>701</v>
      </c>
      <c r="E5349" t="s">
        <v>702</v>
      </c>
      <c r="F5349">
        <v>2</v>
      </c>
      <c r="G5349" t="s">
        <v>176</v>
      </c>
      <c r="H5349">
        <v>0</v>
      </c>
      <c r="I5349">
        <v>100</v>
      </c>
      <c r="J5349" s="10">
        <v>52</v>
      </c>
      <c r="K5349" s="10">
        <f>SUMIFS(F:F,D:D,DST_123_ÜRETİM_İHTİYAÇ_RAPORU_BURAK_YENI1309[[#This Row],[ALT_KOD]])-(SUMIFS(H:H,D:D,DST_123_ÜRETİM_İHTİYAÇ_RAPORU_BURAK_YENI1309[[#This Row],[ALT_KOD]])+AVERAGEIFS(I:I,D:D,DST_123_ÜRETİM_İHTİYAÇ_RAPORU_BURAK_YENI1309[[#This Row],[ALT_KOD]])+AVERAGEIFS(L:L,D:D,DST_123_ÜRETİM_İHTİYAÇ_RAPORU_BURAK_YENI1309[[#This Row],[ALT_KOD]]))</f>
        <v>-52</v>
      </c>
      <c r="L5349">
        <v>0</v>
      </c>
      <c r="M5349">
        <f>IF((DST_123_ÜRETİM_İHTİYAÇ_RAPORU_BURAK_YENI1309[[#This Row],[SATINALMA]]*DST_123_ÜRETİM_İHTİYAÇ_RAPORU_BURAK_YENI1309[[#This Row],[BIRIM_FIYATLAR]])&lt;1,VALUE("0"),DST_123_ÜRETİM_İHTİYAÇ_RAPORU_BURAK_YENI1309[[#This Row],[SATINALMA]]*DST_123_ÜRETİM_İHTİYAÇ_RAPORU_BURAK_YENI1309[[#This Row],[BIRIM_FIYATLAR]])</f>
        <v>0</v>
      </c>
      <c r="N5349">
        <v>1.1299999999999999</v>
      </c>
      <c r="O5349" t="s">
        <v>826</v>
      </c>
      <c r="P5349">
        <v>2.2599999999999998</v>
      </c>
      <c r="Q5349" t="s">
        <v>221</v>
      </c>
    </row>
    <row r="5350" spans="1:17" x14ac:dyDescent="0.25">
      <c r="A5350" t="s">
        <v>1098</v>
      </c>
      <c r="B5350" t="s">
        <v>1096</v>
      </c>
      <c r="C5350" t="s">
        <v>175</v>
      </c>
      <c r="D5350" t="s">
        <v>802</v>
      </c>
      <c r="E5350" t="s">
        <v>822</v>
      </c>
      <c r="F5350">
        <v>1</v>
      </c>
      <c r="G5350" t="s">
        <v>176</v>
      </c>
      <c r="H5350">
        <v>0</v>
      </c>
      <c r="I5350">
        <v>20.5</v>
      </c>
      <c r="J5350" s="10">
        <v>5</v>
      </c>
      <c r="K5350" s="10">
        <f>SUMIFS(F:F,D:D,DST_123_ÜRETİM_İHTİYAÇ_RAPORU_BURAK_YENI1309[[#This Row],[ALT_KOD]])-(SUMIFS(H:H,D:D,DST_123_ÜRETİM_İHTİYAÇ_RAPORU_BURAK_YENI1309[[#This Row],[ALT_KOD]])+AVERAGEIFS(I:I,D:D,DST_123_ÜRETİM_İHTİYAÇ_RAPORU_BURAK_YENI1309[[#This Row],[ALT_KOD]])+AVERAGEIFS(L:L,D:D,DST_123_ÜRETİM_İHTİYAÇ_RAPORU_BURAK_YENI1309[[#This Row],[ALT_KOD]]))</f>
        <v>-9.5</v>
      </c>
      <c r="L5350">
        <v>0</v>
      </c>
      <c r="M5350">
        <f>IF((DST_123_ÜRETİM_İHTİYAÇ_RAPORU_BURAK_YENI1309[[#This Row],[SATINALMA]]*DST_123_ÜRETİM_İHTİYAÇ_RAPORU_BURAK_YENI1309[[#This Row],[BIRIM_FIYATLAR]])&lt;1,VALUE("0"),DST_123_ÜRETİM_İHTİYAÇ_RAPORU_BURAK_YENI1309[[#This Row],[SATINALMA]]*DST_123_ÜRETİM_İHTİYAÇ_RAPORU_BURAK_YENI1309[[#This Row],[BIRIM_FIYATLAR]])</f>
        <v>0</v>
      </c>
      <c r="N5350">
        <v>175</v>
      </c>
      <c r="O5350" t="s">
        <v>217</v>
      </c>
      <c r="P5350">
        <v>175</v>
      </c>
      <c r="Q5350" t="s">
        <v>180</v>
      </c>
    </row>
    <row r="5351" spans="1:17" x14ac:dyDescent="0.25">
      <c r="A5351" t="s">
        <v>1196</v>
      </c>
      <c r="B5351" t="s">
        <v>1197</v>
      </c>
      <c r="C5351" t="s">
        <v>175</v>
      </c>
      <c r="D5351" t="s">
        <v>736</v>
      </c>
      <c r="E5351" t="s">
        <v>737</v>
      </c>
      <c r="F5351">
        <v>1</v>
      </c>
      <c r="G5351" t="s">
        <v>176</v>
      </c>
      <c r="H5351">
        <v>0</v>
      </c>
      <c r="I5351">
        <v>12</v>
      </c>
      <c r="J5351" s="10">
        <v>17</v>
      </c>
      <c r="K5351" s="10">
        <f>SUMIFS(F:F,D:D,DST_123_ÜRETİM_İHTİYAÇ_RAPORU_BURAK_YENI1309[[#This Row],[ALT_KOD]])-(SUMIFS(H:H,D:D,DST_123_ÜRETİM_İHTİYAÇ_RAPORU_BURAK_YENI1309[[#This Row],[ALT_KOD]])+AVERAGEIFS(I:I,D:D,DST_123_ÜRETİM_İHTİYAÇ_RAPORU_BURAK_YENI1309[[#This Row],[ALT_KOD]])+AVERAGEIFS(L:L,D:D,DST_123_ÜRETİM_İHTİYAÇ_RAPORU_BURAK_YENI1309[[#This Row],[ALT_KOD]]))</f>
        <v>-1</v>
      </c>
      <c r="L5351">
        <v>0</v>
      </c>
      <c r="M5351">
        <f>IF((DST_123_ÜRETİM_İHTİYAÇ_RAPORU_BURAK_YENI1309[[#This Row],[SATINALMA]]*DST_123_ÜRETİM_İHTİYAÇ_RAPORU_BURAK_YENI1309[[#This Row],[BIRIM_FIYATLAR]])&lt;1,VALUE("0"),DST_123_ÜRETİM_İHTİYAÇ_RAPORU_BURAK_YENI1309[[#This Row],[SATINALMA]]*DST_123_ÜRETİM_İHTİYAÇ_RAPORU_BURAK_YENI1309[[#This Row],[BIRIM_FIYATLAR]])</f>
        <v>0</v>
      </c>
      <c r="N5351">
        <v>400</v>
      </c>
      <c r="O5351" t="s">
        <v>667</v>
      </c>
      <c r="P5351">
        <v>400</v>
      </c>
      <c r="Q5351" t="s">
        <v>177</v>
      </c>
    </row>
    <row r="5352" spans="1:17" x14ac:dyDescent="0.25">
      <c r="A5352" t="s">
        <v>1196</v>
      </c>
      <c r="B5352" t="s">
        <v>1197</v>
      </c>
      <c r="C5352" t="s">
        <v>175</v>
      </c>
      <c r="D5352" t="s">
        <v>272</v>
      </c>
      <c r="E5352" t="s">
        <v>621</v>
      </c>
      <c r="F5352">
        <v>1</v>
      </c>
      <c r="G5352" t="s">
        <v>176</v>
      </c>
      <c r="H5352">
        <v>0</v>
      </c>
      <c r="I5352">
        <v>11</v>
      </c>
      <c r="J5352" s="10">
        <v>4</v>
      </c>
      <c r="K5352" s="10">
        <f>SUMIFS(F:F,D:D,DST_123_ÜRETİM_İHTİYAÇ_RAPORU_BURAK_YENI1309[[#This Row],[ALT_KOD]])-(SUMIFS(H:H,D:D,DST_123_ÜRETİM_İHTİYAÇ_RAPORU_BURAK_YENI1309[[#This Row],[ALT_KOD]])+AVERAGEIFS(I:I,D:D,DST_123_ÜRETİM_İHTİYAÇ_RAPORU_BURAK_YENI1309[[#This Row],[ALT_KOD]])+AVERAGEIFS(L:L,D:D,DST_123_ÜRETİM_İHTİYAÇ_RAPORU_BURAK_YENI1309[[#This Row],[ALT_KOD]]))</f>
        <v>-4</v>
      </c>
      <c r="L5352">
        <v>0</v>
      </c>
      <c r="M5352">
        <f>IF((DST_123_ÜRETİM_İHTİYAÇ_RAPORU_BURAK_YENI1309[[#This Row],[SATINALMA]]*DST_123_ÜRETİM_İHTİYAÇ_RAPORU_BURAK_YENI1309[[#This Row],[BIRIM_FIYATLAR]])&lt;1,VALUE("0"),DST_123_ÜRETİM_İHTİYAÇ_RAPORU_BURAK_YENI1309[[#This Row],[SATINALMA]]*DST_123_ÜRETİM_İHTİYAÇ_RAPORU_BURAK_YENI1309[[#This Row],[BIRIM_FIYATLAR]])</f>
        <v>0</v>
      </c>
      <c r="N5352">
        <v>1679.53</v>
      </c>
      <c r="O5352" t="s">
        <v>636</v>
      </c>
      <c r="P5352">
        <v>1679.53</v>
      </c>
      <c r="Q5352" t="s">
        <v>178</v>
      </c>
    </row>
    <row r="5353" spans="1:17" x14ac:dyDescent="0.25">
      <c r="A5353" t="s">
        <v>1146</v>
      </c>
      <c r="B5353" t="s">
        <v>1145</v>
      </c>
      <c r="C5353" t="s">
        <v>175</v>
      </c>
      <c r="D5353" t="s">
        <v>19</v>
      </c>
      <c r="E5353" t="s">
        <v>20</v>
      </c>
      <c r="F5353">
        <v>3</v>
      </c>
      <c r="G5353" t="s">
        <v>176</v>
      </c>
      <c r="H5353">
        <v>3</v>
      </c>
      <c r="I5353">
        <v>37</v>
      </c>
      <c r="J5353" s="10">
        <v>28</v>
      </c>
      <c r="K5353" s="10">
        <f>SUMIFS(F:F,D:D,DST_123_ÜRETİM_İHTİYAÇ_RAPORU_BURAK_YENI1309[[#This Row],[ALT_KOD]])-(SUMIFS(H:H,D:D,DST_123_ÜRETİM_İHTİYAÇ_RAPORU_BURAK_YENI1309[[#This Row],[ALT_KOD]])+AVERAGEIFS(I:I,D:D,DST_123_ÜRETİM_İHTİYAÇ_RAPORU_BURAK_YENI1309[[#This Row],[ALT_KOD]])+AVERAGEIFS(L:L,D:D,DST_123_ÜRETİM_İHTİYAÇ_RAPORU_BURAK_YENI1309[[#This Row],[ALT_KOD]]))</f>
        <v>-3</v>
      </c>
      <c r="L5353">
        <v>0</v>
      </c>
      <c r="M5353">
        <f>IF((DST_123_ÜRETİM_İHTİYAÇ_RAPORU_BURAK_YENI1309[[#This Row],[SATINALMA]]*DST_123_ÜRETİM_İHTİYAÇ_RAPORU_BURAK_YENI1309[[#This Row],[BIRIM_FIYATLAR]])&lt;1,VALUE("0"),DST_123_ÜRETİM_İHTİYAÇ_RAPORU_BURAK_YENI1309[[#This Row],[SATINALMA]]*DST_123_ÜRETİM_İHTİYAÇ_RAPORU_BURAK_YENI1309[[#This Row],[BIRIM_FIYATLAR]])</f>
        <v>0</v>
      </c>
      <c r="N5353">
        <v>122.24</v>
      </c>
      <c r="O5353" t="s">
        <v>227</v>
      </c>
      <c r="P5353">
        <v>366.71999999999997</v>
      </c>
      <c r="Q5353" t="s">
        <v>221</v>
      </c>
    </row>
    <row r="5354" spans="1:17" x14ac:dyDescent="0.25">
      <c r="A5354" t="s">
        <v>1064</v>
      </c>
      <c r="B5354" t="s">
        <v>1055</v>
      </c>
      <c r="C5354" t="s">
        <v>175</v>
      </c>
      <c r="D5354" t="s">
        <v>19</v>
      </c>
      <c r="E5354" t="s">
        <v>20</v>
      </c>
      <c r="F5354">
        <v>4</v>
      </c>
      <c r="G5354" t="s">
        <v>176</v>
      </c>
      <c r="H5354">
        <v>4</v>
      </c>
      <c r="I5354">
        <v>37</v>
      </c>
      <c r="J5354" s="10">
        <v>28</v>
      </c>
      <c r="K5354" s="10">
        <f>SUMIFS(F:F,D:D,DST_123_ÜRETİM_İHTİYAÇ_RAPORU_BURAK_YENI1309[[#This Row],[ALT_KOD]])-(SUMIFS(H:H,D:D,DST_123_ÜRETİM_İHTİYAÇ_RAPORU_BURAK_YENI1309[[#This Row],[ALT_KOD]])+AVERAGEIFS(I:I,D:D,DST_123_ÜRETİM_İHTİYAÇ_RAPORU_BURAK_YENI1309[[#This Row],[ALT_KOD]])+AVERAGEIFS(L:L,D:D,DST_123_ÜRETİM_İHTİYAÇ_RAPORU_BURAK_YENI1309[[#This Row],[ALT_KOD]]))</f>
        <v>-3</v>
      </c>
      <c r="L5354">
        <v>0</v>
      </c>
      <c r="M5354">
        <f>IF((DST_123_ÜRETİM_İHTİYAÇ_RAPORU_BURAK_YENI1309[[#This Row],[SATINALMA]]*DST_123_ÜRETİM_İHTİYAÇ_RAPORU_BURAK_YENI1309[[#This Row],[BIRIM_FIYATLAR]])&lt;1,VALUE("0"),DST_123_ÜRETİM_İHTİYAÇ_RAPORU_BURAK_YENI1309[[#This Row],[SATINALMA]]*DST_123_ÜRETİM_İHTİYAÇ_RAPORU_BURAK_YENI1309[[#This Row],[BIRIM_FIYATLAR]])</f>
        <v>0</v>
      </c>
      <c r="N5354">
        <v>122.24</v>
      </c>
      <c r="O5354" t="s">
        <v>227</v>
      </c>
      <c r="P5354">
        <v>488.96</v>
      </c>
      <c r="Q5354" t="s">
        <v>221</v>
      </c>
    </row>
    <row r="5355" spans="1:17" x14ac:dyDescent="0.25">
      <c r="A5355" t="s">
        <v>1097</v>
      </c>
      <c r="B5355" t="s">
        <v>1055</v>
      </c>
      <c r="C5355" t="s">
        <v>175</v>
      </c>
      <c r="D5355" t="s">
        <v>19</v>
      </c>
      <c r="E5355" t="s">
        <v>20</v>
      </c>
      <c r="F5355">
        <v>4</v>
      </c>
      <c r="G5355" t="s">
        <v>176</v>
      </c>
      <c r="H5355">
        <v>4</v>
      </c>
      <c r="I5355">
        <v>37</v>
      </c>
      <c r="J5355" s="10">
        <v>28</v>
      </c>
      <c r="K5355" s="10">
        <f>SUMIFS(F:F,D:D,DST_123_ÜRETİM_İHTİYAÇ_RAPORU_BURAK_YENI1309[[#This Row],[ALT_KOD]])-(SUMIFS(H:H,D:D,DST_123_ÜRETİM_İHTİYAÇ_RAPORU_BURAK_YENI1309[[#This Row],[ALT_KOD]])+AVERAGEIFS(I:I,D:D,DST_123_ÜRETİM_İHTİYAÇ_RAPORU_BURAK_YENI1309[[#This Row],[ALT_KOD]])+AVERAGEIFS(L:L,D:D,DST_123_ÜRETİM_İHTİYAÇ_RAPORU_BURAK_YENI1309[[#This Row],[ALT_KOD]]))</f>
        <v>-3</v>
      </c>
      <c r="L5355">
        <v>0</v>
      </c>
      <c r="M5355">
        <f>IF((DST_123_ÜRETİM_İHTİYAÇ_RAPORU_BURAK_YENI1309[[#This Row],[SATINALMA]]*DST_123_ÜRETİM_İHTİYAÇ_RAPORU_BURAK_YENI1309[[#This Row],[BIRIM_FIYATLAR]])&lt;1,VALUE("0"),DST_123_ÜRETİM_İHTİYAÇ_RAPORU_BURAK_YENI1309[[#This Row],[SATINALMA]]*DST_123_ÜRETİM_İHTİYAÇ_RAPORU_BURAK_YENI1309[[#This Row],[BIRIM_FIYATLAR]])</f>
        <v>0</v>
      </c>
      <c r="N5355">
        <v>122.24</v>
      </c>
      <c r="O5355" t="s">
        <v>227</v>
      </c>
      <c r="P5355">
        <v>488.96</v>
      </c>
      <c r="Q5355" t="s">
        <v>221</v>
      </c>
    </row>
    <row r="5356" spans="1:17" x14ac:dyDescent="0.25">
      <c r="A5356" t="s">
        <v>1059</v>
      </c>
      <c r="B5356" t="s">
        <v>1058</v>
      </c>
      <c r="C5356" t="s">
        <v>175</v>
      </c>
      <c r="D5356" t="s">
        <v>505</v>
      </c>
      <c r="E5356" t="s">
        <v>506</v>
      </c>
      <c r="F5356">
        <v>1</v>
      </c>
      <c r="G5356" t="s">
        <v>176</v>
      </c>
      <c r="H5356">
        <v>1</v>
      </c>
      <c r="I5356">
        <v>42</v>
      </c>
      <c r="J5356" s="10">
        <v>10</v>
      </c>
      <c r="K5356" s="10">
        <f>SUMIFS(F:F,D:D,DST_123_ÜRETİM_İHTİYAÇ_RAPORU_BURAK_YENI1309[[#This Row],[ALT_KOD]])-(SUMIFS(H:H,D:D,DST_123_ÜRETİM_İHTİYAÇ_RAPORU_BURAK_YENI1309[[#This Row],[ALT_KOD]])+AVERAGEIFS(I:I,D:D,DST_123_ÜRETİM_İHTİYAÇ_RAPORU_BURAK_YENI1309[[#This Row],[ALT_KOD]])+AVERAGEIFS(L:L,D:D,DST_123_ÜRETİM_İHTİYAÇ_RAPORU_BURAK_YENI1309[[#This Row],[ALT_KOD]]))</f>
        <v>-30</v>
      </c>
      <c r="L5356">
        <v>0</v>
      </c>
      <c r="M5356">
        <f>IF((DST_123_ÜRETİM_İHTİYAÇ_RAPORU_BURAK_YENI1309[[#This Row],[SATINALMA]]*DST_123_ÜRETİM_İHTİYAÇ_RAPORU_BURAK_YENI1309[[#This Row],[BIRIM_FIYATLAR]])&lt;1,VALUE("0"),DST_123_ÜRETİM_İHTİYAÇ_RAPORU_BURAK_YENI1309[[#This Row],[SATINALMA]]*DST_123_ÜRETİM_İHTİYAÇ_RAPORU_BURAK_YENI1309[[#This Row],[BIRIM_FIYATLAR]])</f>
        <v>0</v>
      </c>
      <c r="N5356">
        <v>142.5</v>
      </c>
      <c r="O5356" t="s">
        <v>826</v>
      </c>
      <c r="P5356">
        <v>142.5</v>
      </c>
      <c r="Q5356" t="s">
        <v>221</v>
      </c>
    </row>
    <row r="5357" spans="1:17" x14ac:dyDescent="0.25">
      <c r="A5357" t="s">
        <v>1064</v>
      </c>
      <c r="B5357" t="s">
        <v>1055</v>
      </c>
      <c r="C5357" t="s">
        <v>175</v>
      </c>
      <c r="D5357" t="s">
        <v>505</v>
      </c>
      <c r="E5357" t="s">
        <v>506</v>
      </c>
      <c r="F5357">
        <v>1</v>
      </c>
      <c r="G5357" t="s">
        <v>176</v>
      </c>
      <c r="H5357">
        <v>1</v>
      </c>
      <c r="I5357">
        <v>42</v>
      </c>
      <c r="J5357" s="10">
        <v>10</v>
      </c>
      <c r="K5357" s="10">
        <f>SUMIFS(F:F,D:D,DST_123_ÜRETİM_İHTİYAÇ_RAPORU_BURAK_YENI1309[[#This Row],[ALT_KOD]])-(SUMIFS(H:H,D:D,DST_123_ÜRETİM_İHTİYAÇ_RAPORU_BURAK_YENI1309[[#This Row],[ALT_KOD]])+AVERAGEIFS(I:I,D:D,DST_123_ÜRETİM_İHTİYAÇ_RAPORU_BURAK_YENI1309[[#This Row],[ALT_KOD]])+AVERAGEIFS(L:L,D:D,DST_123_ÜRETİM_İHTİYAÇ_RAPORU_BURAK_YENI1309[[#This Row],[ALT_KOD]]))</f>
        <v>-30</v>
      </c>
      <c r="L5357">
        <v>0</v>
      </c>
      <c r="M5357">
        <f>IF((DST_123_ÜRETİM_İHTİYAÇ_RAPORU_BURAK_YENI1309[[#This Row],[SATINALMA]]*DST_123_ÜRETİM_İHTİYAÇ_RAPORU_BURAK_YENI1309[[#This Row],[BIRIM_FIYATLAR]])&lt;1,VALUE("0"),DST_123_ÜRETİM_İHTİYAÇ_RAPORU_BURAK_YENI1309[[#This Row],[SATINALMA]]*DST_123_ÜRETİM_İHTİYAÇ_RAPORU_BURAK_YENI1309[[#This Row],[BIRIM_FIYATLAR]])</f>
        <v>0</v>
      </c>
      <c r="N5357">
        <v>142.5</v>
      </c>
      <c r="O5357" t="s">
        <v>826</v>
      </c>
      <c r="P5357">
        <v>142.5</v>
      </c>
      <c r="Q5357" t="s">
        <v>221</v>
      </c>
    </row>
    <row r="5358" spans="1:17" x14ac:dyDescent="0.25">
      <c r="A5358" t="s">
        <v>1057</v>
      </c>
      <c r="B5358" t="s">
        <v>1058</v>
      </c>
      <c r="C5358" t="s">
        <v>175</v>
      </c>
      <c r="D5358" t="s">
        <v>590</v>
      </c>
      <c r="E5358" t="s">
        <v>591</v>
      </c>
      <c r="F5358">
        <v>1</v>
      </c>
      <c r="G5358" t="s">
        <v>176</v>
      </c>
      <c r="H5358">
        <v>1</v>
      </c>
      <c r="I5358">
        <v>4</v>
      </c>
      <c r="J5358" s="10">
        <v>10</v>
      </c>
      <c r="K5358" s="10">
        <f>SUMIFS(F:F,D:D,DST_123_ÜRETİM_İHTİYAÇ_RAPORU_BURAK_YENI1309[[#This Row],[ALT_KOD]])-(SUMIFS(H:H,D:D,DST_123_ÜRETİM_İHTİYAÇ_RAPORU_BURAK_YENI1309[[#This Row],[ALT_KOD]])+AVERAGEIFS(I:I,D:D,DST_123_ÜRETİM_İHTİYAÇ_RAPORU_BURAK_YENI1309[[#This Row],[ALT_KOD]])+AVERAGEIFS(L:L,D:D,DST_123_ÜRETİM_İHTİYAÇ_RAPORU_BURAK_YENI1309[[#This Row],[ALT_KOD]]))</f>
        <v>-3</v>
      </c>
      <c r="L5358">
        <v>10</v>
      </c>
      <c r="M5358">
        <f>IF((DST_123_ÜRETİM_İHTİYAÇ_RAPORU_BURAK_YENI1309[[#This Row],[SATINALMA]]*DST_123_ÜRETİM_İHTİYAÇ_RAPORU_BURAK_YENI1309[[#This Row],[BIRIM_FIYATLAR]])&lt;1,VALUE("0"),DST_123_ÜRETİM_İHTİYAÇ_RAPORU_BURAK_YENI1309[[#This Row],[SATINALMA]]*DST_123_ÜRETİM_İHTİYAÇ_RAPORU_BURAK_YENI1309[[#This Row],[BIRIM_FIYATLAR]])</f>
        <v>0</v>
      </c>
      <c r="N5358">
        <v>583.77</v>
      </c>
      <c r="O5358" t="s">
        <v>592</v>
      </c>
      <c r="P5358">
        <v>583.77</v>
      </c>
      <c r="Q5358" t="s">
        <v>180</v>
      </c>
    </row>
    <row r="5359" spans="1:17" x14ac:dyDescent="0.25">
      <c r="A5359" t="s">
        <v>1097</v>
      </c>
      <c r="B5359" t="s">
        <v>1055</v>
      </c>
      <c r="C5359" t="s">
        <v>175</v>
      </c>
      <c r="D5359" t="s">
        <v>726</v>
      </c>
      <c r="E5359" t="s">
        <v>727</v>
      </c>
      <c r="F5359">
        <v>1</v>
      </c>
      <c r="G5359" t="s">
        <v>176</v>
      </c>
      <c r="H5359">
        <v>1</v>
      </c>
      <c r="I5359">
        <v>3</v>
      </c>
      <c r="J5359" s="10">
        <v>7</v>
      </c>
      <c r="K5359" s="10">
        <f>SUMIFS(F:F,D:D,DST_123_ÜRETİM_İHTİYAÇ_RAPORU_BURAK_YENI1309[[#This Row],[ALT_KOD]])-(SUMIFS(H:H,D:D,DST_123_ÜRETİM_İHTİYAÇ_RAPORU_BURAK_YENI1309[[#This Row],[ALT_KOD]])+AVERAGEIFS(I:I,D:D,DST_123_ÜRETİM_İHTİYAÇ_RAPORU_BURAK_YENI1309[[#This Row],[ALT_KOD]])+AVERAGEIFS(L:L,D:D,DST_123_ÜRETİM_İHTİYAÇ_RAPORU_BURAK_YENI1309[[#This Row],[ALT_KOD]]))</f>
        <v>5</v>
      </c>
      <c r="L5359">
        <v>0</v>
      </c>
      <c r="M5359">
        <f>IF((DST_123_ÜRETİM_İHTİYAÇ_RAPORU_BURAK_YENI1309[[#This Row],[SATINALMA]]*DST_123_ÜRETİM_İHTİYAÇ_RAPORU_BURAK_YENI1309[[#This Row],[BIRIM_FIYATLAR]])&lt;1,VALUE("0"),DST_123_ÜRETİM_İHTİYAÇ_RAPORU_BURAK_YENI1309[[#This Row],[SATINALMA]]*DST_123_ÜRETİM_İHTİYAÇ_RAPORU_BURAK_YENI1309[[#This Row],[BIRIM_FIYATLAR]])</f>
        <v>54497.75</v>
      </c>
      <c r="N5359">
        <v>10899.55</v>
      </c>
      <c r="O5359" t="s">
        <v>634</v>
      </c>
      <c r="P5359">
        <v>10899.55</v>
      </c>
      <c r="Q5359" t="s">
        <v>178</v>
      </c>
    </row>
    <row r="5360" spans="1:17" x14ac:dyDescent="0.25">
      <c r="A5360" t="s">
        <v>1057</v>
      </c>
      <c r="B5360" t="s">
        <v>1058</v>
      </c>
      <c r="C5360" t="s">
        <v>175</v>
      </c>
      <c r="D5360" t="s">
        <v>1015</v>
      </c>
      <c r="E5360" t="s">
        <v>1016</v>
      </c>
      <c r="F5360">
        <v>1</v>
      </c>
      <c r="G5360" t="s">
        <v>176</v>
      </c>
      <c r="H5360">
        <v>1</v>
      </c>
      <c r="I5360">
        <v>8</v>
      </c>
      <c r="J5360" s="10">
        <v>4</v>
      </c>
      <c r="K5360" s="10">
        <f>SUMIFS(F:F,D:D,DST_123_ÜRETİM_İHTİYAÇ_RAPORU_BURAK_YENI1309[[#This Row],[ALT_KOD]])-(SUMIFS(H:H,D:D,DST_123_ÜRETİM_İHTİYAÇ_RAPORU_BURAK_YENI1309[[#This Row],[ALT_KOD]])+AVERAGEIFS(I:I,D:D,DST_123_ÜRETİM_İHTİYAÇ_RAPORU_BURAK_YENI1309[[#This Row],[ALT_KOD]])+AVERAGEIFS(L:L,D:D,DST_123_ÜRETİM_İHTİYAÇ_RAPORU_BURAK_YENI1309[[#This Row],[ALT_KOD]]))</f>
        <v>-8</v>
      </c>
      <c r="L5360">
        <v>0</v>
      </c>
      <c r="M5360">
        <f>IF((DST_123_ÜRETİM_İHTİYAÇ_RAPORU_BURAK_YENI1309[[#This Row],[SATINALMA]]*DST_123_ÜRETİM_İHTİYAÇ_RAPORU_BURAK_YENI1309[[#This Row],[BIRIM_FIYATLAR]])&lt;1,VALUE("0"),DST_123_ÜRETİM_İHTİYAÇ_RAPORU_BURAK_YENI1309[[#This Row],[SATINALMA]]*DST_123_ÜRETİM_İHTİYAÇ_RAPORU_BURAK_YENI1309[[#This Row],[BIRIM_FIYATLAR]])</f>
        <v>0</v>
      </c>
      <c r="N5360">
        <v>250</v>
      </c>
      <c r="O5360" t="s">
        <v>226</v>
      </c>
      <c r="P5360">
        <v>250</v>
      </c>
      <c r="Q5360" t="s">
        <v>180</v>
      </c>
    </row>
    <row r="5361" spans="1:17" x14ac:dyDescent="0.25">
      <c r="A5361" t="s">
        <v>1057</v>
      </c>
      <c r="B5361" t="s">
        <v>1058</v>
      </c>
      <c r="C5361" t="s">
        <v>175</v>
      </c>
      <c r="D5361" t="s">
        <v>802</v>
      </c>
      <c r="E5361" t="s">
        <v>822</v>
      </c>
      <c r="F5361">
        <v>2</v>
      </c>
      <c r="G5361" t="s">
        <v>176</v>
      </c>
      <c r="H5361">
        <v>2</v>
      </c>
      <c r="I5361">
        <v>20.5</v>
      </c>
      <c r="J5361" s="10">
        <v>5</v>
      </c>
      <c r="K5361" s="10">
        <f>SUMIFS(F:F,D:D,DST_123_ÜRETİM_İHTİYAÇ_RAPORU_BURAK_YENI1309[[#This Row],[ALT_KOD]])-(SUMIFS(H:H,D:D,DST_123_ÜRETİM_İHTİYAÇ_RAPORU_BURAK_YENI1309[[#This Row],[ALT_KOD]])+AVERAGEIFS(I:I,D:D,DST_123_ÜRETİM_İHTİYAÇ_RAPORU_BURAK_YENI1309[[#This Row],[ALT_KOD]])+AVERAGEIFS(L:L,D:D,DST_123_ÜRETİM_İHTİYAÇ_RAPORU_BURAK_YENI1309[[#This Row],[ALT_KOD]]))</f>
        <v>-9.5</v>
      </c>
      <c r="L5361">
        <v>0</v>
      </c>
      <c r="M5361">
        <f>IF((DST_123_ÜRETİM_İHTİYAÇ_RAPORU_BURAK_YENI1309[[#This Row],[SATINALMA]]*DST_123_ÜRETİM_İHTİYAÇ_RAPORU_BURAK_YENI1309[[#This Row],[BIRIM_FIYATLAR]])&lt;1,VALUE("0"),DST_123_ÜRETİM_İHTİYAÇ_RAPORU_BURAK_YENI1309[[#This Row],[SATINALMA]]*DST_123_ÜRETİM_İHTİYAÇ_RAPORU_BURAK_YENI1309[[#This Row],[BIRIM_FIYATLAR]])</f>
        <v>0</v>
      </c>
      <c r="N5361">
        <v>175</v>
      </c>
      <c r="O5361" t="s">
        <v>217</v>
      </c>
      <c r="P5361">
        <v>350</v>
      </c>
      <c r="Q5361" t="s">
        <v>180</v>
      </c>
    </row>
    <row r="5362" spans="1:17" x14ac:dyDescent="0.25">
      <c r="A5362" t="s">
        <v>1101</v>
      </c>
      <c r="B5362" t="s">
        <v>1102</v>
      </c>
      <c r="C5362" t="s">
        <v>175</v>
      </c>
      <c r="D5362" t="s">
        <v>726</v>
      </c>
      <c r="E5362" t="s">
        <v>727</v>
      </c>
      <c r="F5362">
        <v>1</v>
      </c>
      <c r="G5362" t="s">
        <v>176</v>
      </c>
      <c r="H5362">
        <v>1</v>
      </c>
      <c r="I5362">
        <v>3</v>
      </c>
      <c r="J5362" s="10">
        <v>7</v>
      </c>
      <c r="K5362" s="10">
        <f>SUMIFS(F:F,D:D,DST_123_ÜRETİM_İHTİYAÇ_RAPORU_BURAK_YENI1309[[#This Row],[ALT_KOD]])-(SUMIFS(H:H,D:D,DST_123_ÜRETİM_İHTİYAÇ_RAPORU_BURAK_YENI1309[[#This Row],[ALT_KOD]])+AVERAGEIFS(I:I,D:D,DST_123_ÜRETİM_İHTİYAÇ_RAPORU_BURAK_YENI1309[[#This Row],[ALT_KOD]])+AVERAGEIFS(L:L,D:D,DST_123_ÜRETİM_İHTİYAÇ_RAPORU_BURAK_YENI1309[[#This Row],[ALT_KOD]]))</f>
        <v>5</v>
      </c>
      <c r="L5362">
        <v>0</v>
      </c>
      <c r="M5362">
        <f>IF((DST_123_ÜRETİM_İHTİYAÇ_RAPORU_BURAK_YENI1309[[#This Row],[SATINALMA]]*DST_123_ÜRETİM_İHTİYAÇ_RAPORU_BURAK_YENI1309[[#This Row],[BIRIM_FIYATLAR]])&lt;1,VALUE("0"),DST_123_ÜRETİM_İHTİYAÇ_RAPORU_BURAK_YENI1309[[#This Row],[SATINALMA]]*DST_123_ÜRETİM_İHTİYAÇ_RAPORU_BURAK_YENI1309[[#This Row],[BIRIM_FIYATLAR]])</f>
        <v>54497.75</v>
      </c>
      <c r="N5362">
        <v>10899.55</v>
      </c>
      <c r="O5362" t="s">
        <v>634</v>
      </c>
      <c r="P5362">
        <v>10899.55</v>
      </c>
      <c r="Q5362" t="s">
        <v>178</v>
      </c>
    </row>
    <row r="5363" spans="1:17" x14ac:dyDescent="0.25">
      <c r="A5363" t="s">
        <v>1060</v>
      </c>
      <c r="B5363" t="s">
        <v>1061</v>
      </c>
      <c r="C5363" t="s">
        <v>175</v>
      </c>
      <c r="D5363" t="s">
        <v>451</v>
      </c>
      <c r="E5363" t="s">
        <v>452</v>
      </c>
      <c r="F5363">
        <v>1</v>
      </c>
      <c r="G5363" t="s">
        <v>176</v>
      </c>
      <c r="H5363">
        <v>1</v>
      </c>
      <c r="I5363">
        <v>4</v>
      </c>
      <c r="J5363" s="10">
        <v>9</v>
      </c>
      <c r="K5363" s="10">
        <f>SUMIFS(F:F,D:D,DST_123_ÜRETİM_İHTİYAÇ_RAPORU_BURAK_YENI1309[[#This Row],[ALT_KOD]])-(SUMIFS(H:H,D:D,DST_123_ÜRETİM_İHTİYAÇ_RAPORU_BURAK_YENI1309[[#This Row],[ALT_KOD]])+AVERAGEIFS(I:I,D:D,DST_123_ÜRETİM_İHTİYAÇ_RAPORU_BURAK_YENI1309[[#This Row],[ALT_KOD]])+AVERAGEIFS(L:L,D:D,DST_123_ÜRETİM_İHTİYAÇ_RAPORU_BURAK_YENI1309[[#This Row],[ALT_KOD]]))</f>
        <v>1</v>
      </c>
      <c r="L5363">
        <v>6</v>
      </c>
      <c r="M5363">
        <f>IF((DST_123_ÜRETİM_İHTİYAÇ_RAPORU_BURAK_YENI1309[[#This Row],[SATINALMA]]*DST_123_ÜRETİM_İHTİYAÇ_RAPORU_BURAK_YENI1309[[#This Row],[BIRIM_FIYATLAR]])&lt;1,VALUE("0"),DST_123_ÜRETİM_İHTİYAÇ_RAPORU_BURAK_YENI1309[[#This Row],[SATINALMA]]*DST_123_ÜRETİM_İHTİYAÇ_RAPORU_BURAK_YENI1309[[#This Row],[BIRIM_FIYATLAR]])</f>
        <v>1600</v>
      </c>
      <c r="N5363">
        <v>1600</v>
      </c>
      <c r="O5363" t="s">
        <v>240</v>
      </c>
      <c r="P5363">
        <v>1600</v>
      </c>
      <c r="Q5363" t="s">
        <v>178</v>
      </c>
    </row>
    <row r="5364" spans="1:17" x14ac:dyDescent="0.25">
      <c r="A5364" t="s">
        <v>1060</v>
      </c>
      <c r="B5364" t="s">
        <v>1061</v>
      </c>
      <c r="C5364" t="s">
        <v>175</v>
      </c>
      <c r="D5364" t="s">
        <v>838</v>
      </c>
      <c r="E5364" t="s">
        <v>839</v>
      </c>
      <c r="F5364">
        <v>0.05</v>
      </c>
      <c r="G5364" t="s">
        <v>179</v>
      </c>
      <c r="H5364">
        <v>0</v>
      </c>
      <c r="I5364">
        <v>0</v>
      </c>
      <c r="J5364" s="10">
        <v>0</v>
      </c>
      <c r="K5364" s="10">
        <f>SUMIFS(F:F,D:D,DST_123_ÜRETİM_İHTİYAÇ_RAPORU_BURAK_YENI1309[[#This Row],[ALT_KOD]])-(SUMIFS(H:H,D:D,DST_123_ÜRETİM_İHTİYAÇ_RAPORU_BURAK_YENI1309[[#This Row],[ALT_KOD]])+AVERAGEIFS(I:I,D:D,DST_123_ÜRETİM_İHTİYAÇ_RAPORU_BURAK_YENI1309[[#This Row],[ALT_KOD]])+AVERAGEIFS(L:L,D:D,DST_123_ÜRETİM_İHTİYAÇ_RAPORU_BURAK_YENI1309[[#This Row],[ALT_KOD]]))</f>
        <v>1.8</v>
      </c>
      <c r="L5364">
        <v>0</v>
      </c>
      <c r="M5364">
        <f>IF((DST_123_ÜRETİM_İHTİYAÇ_RAPORU_BURAK_YENI1309[[#This Row],[SATINALMA]]*DST_123_ÜRETİM_İHTİYAÇ_RAPORU_BURAK_YENI1309[[#This Row],[BIRIM_FIYATLAR]])&lt;1,VALUE("0"),DST_123_ÜRETİM_İHTİYAÇ_RAPORU_BURAK_YENI1309[[#This Row],[SATINALMA]]*DST_123_ÜRETİM_İHTİYAÇ_RAPORU_BURAK_YENI1309[[#This Row],[BIRIM_FIYATLAR]])</f>
        <v>9</v>
      </c>
      <c r="N5364">
        <v>5</v>
      </c>
      <c r="P5364">
        <v>0.25</v>
      </c>
      <c r="Q5364" t="s">
        <v>221</v>
      </c>
    </row>
    <row r="5365" spans="1:17" x14ac:dyDescent="0.25">
      <c r="A5365" t="s">
        <v>1060</v>
      </c>
      <c r="B5365" t="s">
        <v>1061</v>
      </c>
      <c r="C5365" t="s">
        <v>175</v>
      </c>
      <c r="D5365" t="s">
        <v>272</v>
      </c>
      <c r="E5365" t="s">
        <v>621</v>
      </c>
      <c r="F5365">
        <v>1</v>
      </c>
      <c r="G5365" t="s">
        <v>176</v>
      </c>
      <c r="H5365">
        <v>1</v>
      </c>
      <c r="I5365">
        <v>11</v>
      </c>
      <c r="J5365" s="10">
        <v>4</v>
      </c>
      <c r="K5365" s="10">
        <f>SUMIFS(F:F,D:D,DST_123_ÜRETİM_İHTİYAÇ_RAPORU_BURAK_YENI1309[[#This Row],[ALT_KOD]])-(SUMIFS(H:H,D:D,DST_123_ÜRETİM_İHTİYAÇ_RAPORU_BURAK_YENI1309[[#This Row],[ALT_KOD]])+AVERAGEIFS(I:I,D:D,DST_123_ÜRETİM_İHTİYAÇ_RAPORU_BURAK_YENI1309[[#This Row],[ALT_KOD]])+AVERAGEIFS(L:L,D:D,DST_123_ÜRETİM_İHTİYAÇ_RAPORU_BURAK_YENI1309[[#This Row],[ALT_KOD]]))</f>
        <v>-4</v>
      </c>
      <c r="L5365">
        <v>0</v>
      </c>
      <c r="M5365">
        <f>IF((DST_123_ÜRETİM_İHTİYAÇ_RAPORU_BURAK_YENI1309[[#This Row],[SATINALMA]]*DST_123_ÜRETİM_İHTİYAÇ_RAPORU_BURAK_YENI1309[[#This Row],[BIRIM_FIYATLAR]])&lt;1,VALUE("0"),DST_123_ÜRETİM_İHTİYAÇ_RAPORU_BURAK_YENI1309[[#This Row],[SATINALMA]]*DST_123_ÜRETİM_İHTİYAÇ_RAPORU_BURAK_YENI1309[[#This Row],[BIRIM_FIYATLAR]])</f>
        <v>0</v>
      </c>
      <c r="N5365">
        <v>1679.53</v>
      </c>
      <c r="O5365" t="s">
        <v>636</v>
      </c>
      <c r="P5365">
        <v>1679.53</v>
      </c>
      <c r="Q5365" t="s">
        <v>178</v>
      </c>
    </row>
    <row r="5366" spans="1:17" x14ac:dyDescent="0.25">
      <c r="A5366" t="s">
        <v>1150</v>
      </c>
      <c r="B5366" t="s">
        <v>1145</v>
      </c>
      <c r="C5366" t="s">
        <v>175</v>
      </c>
      <c r="D5366" t="s">
        <v>272</v>
      </c>
      <c r="E5366" t="s">
        <v>621</v>
      </c>
      <c r="F5366">
        <v>1</v>
      </c>
      <c r="G5366" t="s">
        <v>176</v>
      </c>
      <c r="H5366">
        <v>1</v>
      </c>
      <c r="I5366">
        <v>11</v>
      </c>
      <c r="J5366" s="10">
        <v>4</v>
      </c>
      <c r="K5366" s="10">
        <f>SUMIFS(F:F,D:D,DST_123_ÜRETİM_İHTİYAÇ_RAPORU_BURAK_YENI1309[[#This Row],[ALT_KOD]])-(SUMIFS(H:H,D:D,DST_123_ÜRETİM_İHTİYAÇ_RAPORU_BURAK_YENI1309[[#This Row],[ALT_KOD]])+AVERAGEIFS(I:I,D:D,DST_123_ÜRETİM_İHTİYAÇ_RAPORU_BURAK_YENI1309[[#This Row],[ALT_KOD]])+AVERAGEIFS(L:L,D:D,DST_123_ÜRETİM_İHTİYAÇ_RAPORU_BURAK_YENI1309[[#This Row],[ALT_KOD]]))</f>
        <v>-4</v>
      </c>
      <c r="L5366">
        <v>0</v>
      </c>
      <c r="M5366">
        <f>IF((DST_123_ÜRETİM_İHTİYAÇ_RAPORU_BURAK_YENI1309[[#This Row],[SATINALMA]]*DST_123_ÜRETİM_İHTİYAÇ_RAPORU_BURAK_YENI1309[[#This Row],[BIRIM_FIYATLAR]])&lt;1,VALUE("0"),DST_123_ÜRETİM_İHTİYAÇ_RAPORU_BURAK_YENI1309[[#This Row],[SATINALMA]]*DST_123_ÜRETİM_İHTİYAÇ_RAPORU_BURAK_YENI1309[[#This Row],[BIRIM_FIYATLAR]])</f>
        <v>0</v>
      </c>
      <c r="N5366">
        <v>1679.53</v>
      </c>
      <c r="O5366" t="s">
        <v>636</v>
      </c>
      <c r="P5366">
        <v>1679.53</v>
      </c>
      <c r="Q5366" t="s">
        <v>178</v>
      </c>
    </row>
    <row r="5367" spans="1:17" x14ac:dyDescent="0.25">
      <c r="A5367" t="s">
        <v>1060</v>
      </c>
      <c r="B5367" t="s">
        <v>1061</v>
      </c>
      <c r="C5367" t="s">
        <v>175</v>
      </c>
      <c r="D5367" t="s">
        <v>505</v>
      </c>
      <c r="E5367" t="s">
        <v>506</v>
      </c>
      <c r="F5367">
        <v>1</v>
      </c>
      <c r="G5367" t="s">
        <v>176</v>
      </c>
      <c r="H5367">
        <v>1</v>
      </c>
      <c r="I5367">
        <v>42</v>
      </c>
      <c r="J5367" s="10">
        <v>10</v>
      </c>
      <c r="K5367" s="10">
        <f>SUMIFS(F:F,D:D,DST_123_ÜRETİM_İHTİYAÇ_RAPORU_BURAK_YENI1309[[#This Row],[ALT_KOD]])-(SUMIFS(H:H,D:D,DST_123_ÜRETİM_İHTİYAÇ_RAPORU_BURAK_YENI1309[[#This Row],[ALT_KOD]])+AVERAGEIFS(I:I,D:D,DST_123_ÜRETİM_İHTİYAÇ_RAPORU_BURAK_YENI1309[[#This Row],[ALT_KOD]])+AVERAGEIFS(L:L,D:D,DST_123_ÜRETİM_İHTİYAÇ_RAPORU_BURAK_YENI1309[[#This Row],[ALT_KOD]]))</f>
        <v>-30</v>
      </c>
      <c r="L5367">
        <v>0</v>
      </c>
      <c r="M5367">
        <f>IF((DST_123_ÜRETİM_İHTİYAÇ_RAPORU_BURAK_YENI1309[[#This Row],[SATINALMA]]*DST_123_ÜRETİM_İHTİYAÇ_RAPORU_BURAK_YENI1309[[#This Row],[BIRIM_FIYATLAR]])&lt;1,VALUE("0"),DST_123_ÜRETİM_İHTİYAÇ_RAPORU_BURAK_YENI1309[[#This Row],[SATINALMA]]*DST_123_ÜRETİM_İHTİYAÇ_RAPORU_BURAK_YENI1309[[#This Row],[BIRIM_FIYATLAR]])</f>
        <v>0</v>
      </c>
      <c r="N5367">
        <v>142.5</v>
      </c>
      <c r="O5367" t="s">
        <v>826</v>
      </c>
      <c r="P5367">
        <v>142.5</v>
      </c>
      <c r="Q5367" t="s">
        <v>221</v>
      </c>
    </row>
    <row r="5368" spans="1:17" x14ac:dyDescent="0.25">
      <c r="A5368" t="s">
        <v>1144</v>
      </c>
      <c r="B5368" t="s">
        <v>1145</v>
      </c>
      <c r="C5368" t="s">
        <v>175</v>
      </c>
      <c r="D5368" t="s">
        <v>736</v>
      </c>
      <c r="E5368" t="s">
        <v>737</v>
      </c>
      <c r="F5368">
        <v>1</v>
      </c>
      <c r="G5368" t="s">
        <v>176</v>
      </c>
      <c r="H5368">
        <v>0</v>
      </c>
      <c r="I5368">
        <v>12</v>
      </c>
      <c r="J5368" s="10">
        <v>17</v>
      </c>
      <c r="K5368" s="10">
        <f>SUMIFS(F:F,D:D,DST_123_ÜRETİM_İHTİYAÇ_RAPORU_BURAK_YENI1309[[#This Row],[ALT_KOD]])-(SUMIFS(H:H,D:D,DST_123_ÜRETİM_İHTİYAÇ_RAPORU_BURAK_YENI1309[[#This Row],[ALT_KOD]])+AVERAGEIFS(I:I,D:D,DST_123_ÜRETİM_İHTİYAÇ_RAPORU_BURAK_YENI1309[[#This Row],[ALT_KOD]])+AVERAGEIFS(L:L,D:D,DST_123_ÜRETİM_İHTİYAÇ_RAPORU_BURAK_YENI1309[[#This Row],[ALT_KOD]]))</f>
        <v>-1</v>
      </c>
      <c r="L5368">
        <v>0</v>
      </c>
      <c r="M5368">
        <f>IF((DST_123_ÜRETİM_İHTİYAÇ_RAPORU_BURAK_YENI1309[[#This Row],[SATINALMA]]*DST_123_ÜRETİM_İHTİYAÇ_RAPORU_BURAK_YENI1309[[#This Row],[BIRIM_FIYATLAR]])&lt;1,VALUE("0"),DST_123_ÜRETİM_İHTİYAÇ_RAPORU_BURAK_YENI1309[[#This Row],[SATINALMA]]*DST_123_ÜRETİM_İHTİYAÇ_RAPORU_BURAK_YENI1309[[#This Row],[BIRIM_FIYATLAR]])</f>
        <v>0</v>
      </c>
      <c r="N5368">
        <v>400</v>
      </c>
      <c r="O5368" t="s">
        <v>667</v>
      </c>
      <c r="P5368">
        <v>400</v>
      </c>
      <c r="Q5368" t="s">
        <v>177</v>
      </c>
    </row>
    <row r="5369" spans="1:17" x14ac:dyDescent="0.25">
      <c r="A5369" t="s">
        <v>1146</v>
      </c>
      <c r="B5369" t="s">
        <v>1145</v>
      </c>
      <c r="C5369" t="s">
        <v>175</v>
      </c>
      <c r="D5369" t="s">
        <v>272</v>
      </c>
      <c r="E5369" t="s">
        <v>621</v>
      </c>
      <c r="F5369">
        <v>1</v>
      </c>
      <c r="G5369" t="s">
        <v>176</v>
      </c>
      <c r="H5369">
        <v>0</v>
      </c>
      <c r="I5369">
        <v>11</v>
      </c>
      <c r="J5369" s="10">
        <v>4</v>
      </c>
      <c r="K5369" s="10">
        <f>SUMIFS(F:F,D:D,DST_123_ÜRETİM_İHTİYAÇ_RAPORU_BURAK_YENI1309[[#This Row],[ALT_KOD]])-(SUMIFS(H:H,D:D,DST_123_ÜRETİM_İHTİYAÇ_RAPORU_BURAK_YENI1309[[#This Row],[ALT_KOD]])+AVERAGEIFS(I:I,D:D,DST_123_ÜRETİM_İHTİYAÇ_RAPORU_BURAK_YENI1309[[#This Row],[ALT_KOD]])+AVERAGEIFS(L:L,D:D,DST_123_ÜRETİM_İHTİYAÇ_RAPORU_BURAK_YENI1309[[#This Row],[ALT_KOD]]))</f>
        <v>-4</v>
      </c>
      <c r="L5369">
        <v>0</v>
      </c>
      <c r="M5369">
        <f>IF((DST_123_ÜRETİM_İHTİYAÇ_RAPORU_BURAK_YENI1309[[#This Row],[SATINALMA]]*DST_123_ÜRETİM_İHTİYAÇ_RAPORU_BURAK_YENI1309[[#This Row],[BIRIM_FIYATLAR]])&lt;1,VALUE("0"),DST_123_ÜRETİM_İHTİYAÇ_RAPORU_BURAK_YENI1309[[#This Row],[SATINALMA]]*DST_123_ÜRETİM_İHTİYAÇ_RAPORU_BURAK_YENI1309[[#This Row],[BIRIM_FIYATLAR]])</f>
        <v>0</v>
      </c>
      <c r="N5369">
        <v>1679.53</v>
      </c>
      <c r="O5369" t="s">
        <v>636</v>
      </c>
      <c r="P5369">
        <v>1679.53</v>
      </c>
      <c r="Q5369" t="s">
        <v>178</v>
      </c>
    </row>
    <row r="5370" spans="1:17" x14ac:dyDescent="0.25">
      <c r="A5370" t="s">
        <v>1196</v>
      </c>
      <c r="B5370" t="s">
        <v>1197</v>
      </c>
      <c r="C5370" t="s">
        <v>175</v>
      </c>
      <c r="D5370" t="s">
        <v>802</v>
      </c>
      <c r="E5370" t="s">
        <v>822</v>
      </c>
      <c r="F5370">
        <v>1</v>
      </c>
      <c r="G5370" t="s">
        <v>176</v>
      </c>
      <c r="H5370">
        <v>0</v>
      </c>
      <c r="I5370">
        <v>20.5</v>
      </c>
      <c r="J5370" s="10">
        <v>5</v>
      </c>
      <c r="K5370" s="10">
        <f>SUMIFS(F:F,D:D,DST_123_ÜRETİM_İHTİYAÇ_RAPORU_BURAK_YENI1309[[#This Row],[ALT_KOD]])-(SUMIFS(H:H,D:D,DST_123_ÜRETİM_İHTİYAÇ_RAPORU_BURAK_YENI1309[[#This Row],[ALT_KOD]])+AVERAGEIFS(I:I,D:D,DST_123_ÜRETİM_İHTİYAÇ_RAPORU_BURAK_YENI1309[[#This Row],[ALT_KOD]])+AVERAGEIFS(L:L,D:D,DST_123_ÜRETİM_İHTİYAÇ_RAPORU_BURAK_YENI1309[[#This Row],[ALT_KOD]]))</f>
        <v>-9.5</v>
      </c>
      <c r="L5370">
        <v>0</v>
      </c>
      <c r="M5370">
        <f>IF((DST_123_ÜRETİM_İHTİYAÇ_RAPORU_BURAK_YENI1309[[#This Row],[SATINALMA]]*DST_123_ÜRETİM_İHTİYAÇ_RAPORU_BURAK_YENI1309[[#This Row],[BIRIM_FIYATLAR]])&lt;1,VALUE("0"),DST_123_ÜRETİM_İHTİYAÇ_RAPORU_BURAK_YENI1309[[#This Row],[SATINALMA]]*DST_123_ÜRETİM_İHTİYAÇ_RAPORU_BURAK_YENI1309[[#This Row],[BIRIM_FIYATLAR]])</f>
        <v>0</v>
      </c>
      <c r="N5370">
        <v>175</v>
      </c>
      <c r="O5370" t="s">
        <v>217</v>
      </c>
      <c r="P5370">
        <v>175</v>
      </c>
      <c r="Q5370" t="s">
        <v>180</v>
      </c>
    </row>
    <row r="5371" spans="1:17" x14ac:dyDescent="0.25">
      <c r="A5371" t="s">
        <v>1144</v>
      </c>
      <c r="B5371" t="s">
        <v>1145</v>
      </c>
      <c r="C5371" t="s">
        <v>175</v>
      </c>
      <c r="D5371" t="s">
        <v>272</v>
      </c>
      <c r="E5371" t="s">
        <v>621</v>
      </c>
      <c r="F5371">
        <v>1</v>
      </c>
      <c r="G5371" t="s">
        <v>176</v>
      </c>
      <c r="H5371">
        <v>1</v>
      </c>
      <c r="I5371">
        <v>11</v>
      </c>
      <c r="J5371" s="10">
        <v>4</v>
      </c>
      <c r="K5371" s="10">
        <f>SUMIFS(F:F,D:D,DST_123_ÜRETİM_İHTİYAÇ_RAPORU_BURAK_YENI1309[[#This Row],[ALT_KOD]])-(SUMIFS(H:H,D:D,DST_123_ÜRETİM_İHTİYAÇ_RAPORU_BURAK_YENI1309[[#This Row],[ALT_KOD]])+AVERAGEIFS(I:I,D:D,DST_123_ÜRETİM_İHTİYAÇ_RAPORU_BURAK_YENI1309[[#This Row],[ALT_KOD]])+AVERAGEIFS(L:L,D:D,DST_123_ÜRETİM_İHTİYAÇ_RAPORU_BURAK_YENI1309[[#This Row],[ALT_KOD]]))</f>
        <v>-4</v>
      </c>
      <c r="L5371">
        <v>0</v>
      </c>
      <c r="M5371">
        <f>IF((DST_123_ÜRETİM_İHTİYAÇ_RAPORU_BURAK_YENI1309[[#This Row],[SATINALMA]]*DST_123_ÜRETİM_İHTİYAÇ_RAPORU_BURAK_YENI1309[[#This Row],[BIRIM_FIYATLAR]])&lt;1,VALUE("0"),DST_123_ÜRETİM_İHTİYAÇ_RAPORU_BURAK_YENI1309[[#This Row],[SATINALMA]]*DST_123_ÜRETİM_İHTİYAÇ_RAPORU_BURAK_YENI1309[[#This Row],[BIRIM_FIYATLAR]])</f>
        <v>0</v>
      </c>
      <c r="N5371">
        <v>1679.53</v>
      </c>
      <c r="O5371" t="s">
        <v>636</v>
      </c>
      <c r="P5371">
        <v>1679.53</v>
      </c>
      <c r="Q5371" t="s">
        <v>178</v>
      </c>
    </row>
    <row r="5372" spans="1:17" x14ac:dyDescent="0.25">
      <c r="A5372" t="s">
        <v>1099</v>
      </c>
      <c r="B5372" t="s">
        <v>1055</v>
      </c>
      <c r="C5372" t="s">
        <v>175</v>
      </c>
      <c r="D5372" t="s">
        <v>19</v>
      </c>
      <c r="E5372" t="s">
        <v>20</v>
      </c>
      <c r="F5372">
        <v>2</v>
      </c>
      <c r="G5372" t="s">
        <v>176</v>
      </c>
      <c r="H5372">
        <v>2</v>
      </c>
      <c r="I5372">
        <v>37</v>
      </c>
      <c r="J5372" s="10">
        <v>28</v>
      </c>
      <c r="K5372" s="10">
        <f>SUMIFS(F:F,D:D,DST_123_ÜRETİM_İHTİYAÇ_RAPORU_BURAK_YENI1309[[#This Row],[ALT_KOD]])-(SUMIFS(H:H,D:D,DST_123_ÜRETİM_İHTİYAÇ_RAPORU_BURAK_YENI1309[[#This Row],[ALT_KOD]])+AVERAGEIFS(I:I,D:D,DST_123_ÜRETİM_İHTİYAÇ_RAPORU_BURAK_YENI1309[[#This Row],[ALT_KOD]])+AVERAGEIFS(L:L,D:D,DST_123_ÜRETİM_İHTİYAÇ_RAPORU_BURAK_YENI1309[[#This Row],[ALT_KOD]]))</f>
        <v>-3</v>
      </c>
      <c r="L5372">
        <v>0</v>
      </c>
      <c r="M5372">
        <f>IF((DST_123_ÜRETİM_İHTİYAÇ_RAPORU_BURAK_YENI1309[[#This Row],[SATINALMA]]*DST_123_ÜRETİM_İHTİYAÇ_RAPORU_BURAK_YENI1309[[#This Row],[BIRIM_FIYATLAR]])&lt;1,VALUE("0"),DST_123_ÜRETİM_İHTİYAÇ_RAPORU_BURAK_YENI1309[[#This Row],[SATINALMA]]*DST_123_ÜRETİM_İHTİYAÇ_RAPORU_BURAK_YENI1309[[#This Row],[BIRIM_FIYATLAR]])</f>
        <v>0</v>
      </c>
      <c r="N5372">
        <v>122.24</v>
      </c>
      <c r="O5372" t="s">
        <v>227</v>
      </c>
      <c r="P5372">
        <v>244.48</v>
      </c>
      <c r="Q5372" t="s">
        <v>221</v>
      </c>
    </row>
    <row r="5373" spans="1:17" x14ac:dyDescent="0.25">
      <c r="A5373" t="s">
        <v>1196</v>
      </c>
      <c r="B5373" t="s">
        <v>1197</v>
      </c>
      <c r="C5373" t="s">
        <v>175</v>
      </c>
      <c r="D5373" t="s">
        <v>655</v>
      </c>
      <c r="E5373" t="s">
        <v>656</v>
      </c>
      <c r="F5373">
        <v>2</v>
      </c>
      <c r="G5373" t="s">
        <v>176</v>
      </c>
      <c r="H5373">
        <v>0</v>
      </c>
      <c r="I5373">
        <v>216</v>
      </c>
      <c r="J5373" s="10">
        <v>118</v>
      </c>
      <c r="K5373" s="10">
        <f>SUMIFS(F:F,D:D,DST_123_ÜRETİM_İHTİYAÇ_RAPORU_BURAK_YENI1309[[#This Row],[ALT_KOD]])-(SUMIFS(H:H,D:D,DST_123_ÜRETİM_İHTİYAÇ_RAPORU_BURAK_YENI1309[[#This Row],[ALT_KOD]])+AVERAGEIFS(I:I,D:D,DST_123_ÜRETİM_İHTİYAÇ_RAPORU_BURAK_YENI1309[[#This Row],[ALT_KOD]])+AVERAGEIFS(L:L,D:D,DST_123_ÜRETİM_İHTİYAÇ_RAPORU_BURAK_YENI1309[[#This Row],[ALT_KOD]]))</f>
        <v>-190</v>
      </c>
      <c r="L5373">
        <v>0</v>
      </c>
      <c r="M5373">
        <f>IF((DST_123_ÜRETİM_İHTİYAÇ_RAPORU_BURAK_YENI1309[[#This Row],[SATINALMA]]*DST_123_ÜRETİM_İHTİYAÇ_RAPORU_BURAK_YENI1309[[#This Row],[BIRIM_FIYATLAR]])&lt;1,VALUE("0"),DST_123_ÜRETİM_İHTİYAÇ_RAPORU_BURAK_YENI1309[[#This Row],[SATINALMA]]*DST_123_ÜRETİM_İHTİYAÇ_RAPORU_BURAK_YENI1309[[#This Row],[BIRIM_FIYATLAR]])</f>
        <v>0</v>
      </c>
      <c r="N5373">
        <v>3.95</v>
      </c>
      <c r="O5373" t="s">
        <v>220</v>
      </c>
      <c r="P5373">
        <v>7.9</v>
      </c>
      <c r="Q5373" t="s">
        <v>221</v>
      </c>
    </row>
    <row r="5374" spans="1:17" x14ac:dyDescent="0.25">
      <c r="A5374" t="s">
        <v>1150</v>
      </c>
      <c r="B5374" t="s">
        <v>1145</v>
      </c>
      <c r="C5374" t="s">
        <v>175</v>
      </c>
      <c r="D5374" t="s">
        <v>336</v>
      </c>
      <c r="E5374" t="s">
        <v>623</v>
      </c>
      <c r="F5374">
        <v>1</v>
      </c>
      <c r="G5374" t="s">
        <v>176</v>
      </c>
      <c r="H5374">
        <v>1</v>
      </c>
      <c r="I5374">
        <v>5</v>
      </c>
      <c r="J5374" s="10">
        <v>4</v>
      </c>
      <c r="K5374" s="10">
        <f>SUMIFS(F:F,D:D,DST_123_ÜRETİM_İHTİYAÇ_RAPORU_BURAK_YENI1309[[#This Row],[ALT_KOD]])-(SUMIFS(H:H,D:D,DST_123_ÜRETİM_İHTİYAÇ_RAPORU_BURAK_YENI1309[[#This Row],[ALT_KOD]])+AVERAGEIFS(I:I,D:D,DST_123_ÜRETİM_İHTİYAÇ_RAPORU_BURAK_YENI1309[[#This Row],[ALT_KOD]])+AVERAGEIFS(L:L,D:D,DST_123_ÜRETİM_İHTİYAÇ_RAPORU_BURAK_YENI1309[[#This Row],[ALT_KOD]]))</f>
        <v>2</v>
      </c>
      <c r="L5374">
        <v>0</v>
      </c>
      <c r="M5374">
        <f>IF((DST_123_ÜRETİM_İHTİYAÇ_RAPORU_BURAK_YENI1309[[#This Row],[SATINALMA]]*DST_123_ÜRETİM_İHTİYAÇ_RAPORU_BURAK_YENI1309[[#This Row],[BIRIM_FIYATLAR]])&lt;1,VALUE("0"),DST_123_ÜRETİM_İHTİYAÇ_RAPORU_BURAK_YENI1309[[#This Row],[SATINALMA]]*DST_123_ÜRETİM_İHTİYAÇ_RAPORU_BURAK_YENI1309[[#This Row],[BIRIM_FIYATLAR]])</f>
        <v>3359.06</v>
      </c>
      <c r="N5374">
        <v>1679.53</v>
      </c>
      <c r="O5374" t="s">
        <v>636</v>
      </c>
      <c r="P5374">
        <v>1679.53</v>
      </c>
      <c r="Q5374" t="s">
        <v>178</v>
      </c>
    </row>
    <row r="5375" spans="1:17" x14ac:dyDescent="0.25">
      <c r="A5375" t="s">
        <v>1060</v>
      </c>
      <c r="B5375" t="s">
        <v>1061</v>
      </c>
      <c r="C5375" t="s">
        <v>175</v>
      </c>
      <c r="D5375" t="s">
        <v>19</v>
      </c>
      <c r="E5375" t="s">
        <v>20</v>
      </c>
      <c r="F5375">
        <v>5</v>
      </c>
      <c r="G5375" t="s">
        <v>176</v>
      </c>
      <c r="H5375">
        <v>5</v>
      </c>
      <c r="I5375">
        <v>37</v>
      </c>
      <c r="J5375" s="10">
        <v>28</v>
      </c>
      <c r="K5375" s="10">
        <f>SUMIFS(F:F,D:D,DST_123_ÜRETİM_İHTİYAÇ_RAPORU_BURAK_YENI1309[[#This Row],[ALT_KOD]])-(SUMIFS(H:H,D:D,DST_123_ÜRETİM_İHTİYAÇ_RAPORU_BURAK_YENI1309[[#This Row],[ALT_KOD]])+AVERAGEIFS(I:I,D:D,DST_123_ÜRETİM_İHTİYAÇ_RAPORU_BURAK_YENI1309[[#This Row],[ALT_KOD]])+AVERAGEIFS(L:L,D:D,DST_123_ÜRETİM_İHTİYAÇ_RAPORU_BURAK_YENI1309[[#This Row],[ALT_KOD]]))</f>
        <v>-3</v>
      </c>
      <c r="L5375">
        <v>0</v>
      </c>
      <c r="M5375">
        <f>IF((DST_123_ÜRETİM_İHTİYAÇ_RAPORU_BURAK_YENI1309[[#This Row],[SATINALMA]]*DST_123_ÜRETİM_İHTİYAÇ_RAPORU_BURAK_YENI1309[[#This Row],[BIRIM_FIYATLAR]])&lt;1,VALUE("0"),DST_123_ÜRETİM_İHTİYAÇ_RAPORU_BURAK_YENI1309[[#This Row],[SATINALMA]]*DST_123_ÜRETİM_İHTİYAÇ_RAPORU_BURAK_YENI1309[[#This Row],[BIRIM_FIYATLAR]])</f>
        <v>0</v>
      </c>
      <c r="N5375">
        <v>122.24</v>
      </c>
      <c r="O5375" t="s">
        <v>227</v>
      </c>
      <c r="P5375">
        <v>611.19999999999993</v>
      </c>
      <c r="Q5375" t="s">
        <v>221</v>
      </c>
    </row>
    <row r="5376" spans="1:17" x14ac:dyDescent="0.25">
      <c r="A5376" t="s">
        <v>1064</v>
      </c>
      <c r="B5376" t="s">
        <v>1055</v>
      </c>
      <c r="C5376" t="s">
        <v>175</v>
      </c>
      <c r="D5376" t="s">
        <v>601</v>
      </c>
      <c r="E5376" t="s">
        <v>602</v>
      </c>
      <c r="F5376">
        <v>2</v>
      </c>
      <c r="G5376" t="s">
        <v>176</v>
      </c>
      <c r="H5376">
        <v>2</v>
      </c>
      <c r="I5376">
        <v>24</v>
      </c>
      <c r="J5376" s="10">
        <v>10</v>
      </c>
      <c r="K5376" s="10">
        <f>SUMIFS(F:F,D:D,DST_123_ÜRETİM_İHTİYAÇ_RAPORU_BURAK_YENI1309[[#This Row],[ALT_KOD]])-(SUMIFS(H:H,D:D,DST_123_ÜRETİM_İHTİYAÇ_RAPORU_BURAK_YENI1309[[#This Row],[ALT_KOD]])+AVERAGEIFS(I:I,D:D,DST_123_ÜRETİM_İHTİYAÇ_RAPORU_BURAK_YENI1309[[#This Row],[ALT_KOD]])+AVERAGEIFS(L:L,D:D,DST_123_ÜRETİM_İHTİYAÇ_RAPORU_BURAK_YENI1309[[#This Row],[ALT_KOD]]))</f>
        <v>-8</v>
      </c>
      <c r="L5376">
        <v>0</v>
      </c>
      <c r="M5376">
        <f>IF((DST_123_ÜRETİM_İHTİYAÇ_RAPORU_BURAK_YENI1309[[#This Row],[SATINALMA]]*DST_123_ÜRETİM_İHTİYAÇ_RAPORU_BURAK_YENI1309[[#This Row],[BIRIM_FIYATLAR]])&lt;1,VALUE("0"),DST_123_ÜRETİM_İHTİYAÇ_RAPORU_BURAK_YENI1309[[#This Row],[SATINALMA]]*DST_123_ÜRETİM_İHTİYAÇ_RAPORU_BURAK_YENI1309[[#This Row],[BIRIM_FIYATLAR]])</f>
        <v>0</v>
      </c>
      <c r="N5376">
        <v>50.43</v>
      </c>
      <c r="O5376" t="s">
        <v>636</v>
      </c>
      <c r="P5376">
        <v>100.86</v>
      </c>
      <c r="Q5376" t="s">
        <v>177</v>
      </c>
    </row>
    <row r="5377" spans="1:17" x14ac:dyDescent="0.25">
      <c r="A5377" t="s">
        <v>1196</v>
      </c>
      <c r="B5377" t="s">
        <v>1197</v>
      </c>
      <c r="C5377" t="s">
        <v>175</v>
      </c>
      <c r="D5377" t="s">
        <v>601</v>
      </c>
      <c r="E5377" t="s">
        <v>602</v>
      </c>
      <c r="F5377">
        <v>2</v>
      </c>
      <c r="G5377" t="s">
        <v>176</v>
      </c>
      <c r="H5377">
        <v>0</v>
      </c>
      <c r="I5377">
        <v>24</v>
      </c>
      <c r="J5377" s="10">
        <v>10</v>
      </c>
      <c r="K5377" s="10">
        <f>SUMIFS(F:F,D:D,DST_123_ÜRETİM_İHTİYAÇ_RAPORU_BURAK_YENI1309[[#This Row],[ALT_KOD]])-(SUMIFS(H:H,D:D,DST_123_ÜRETİM_İHTİYAÇ_RAPORU_BURAK_YENI1309[[#This Row],[ALT_KOD]])+AVERAGEIFS(I:I,D:D,DST_123_ÜRETİM_İHTİYAÇ_RAPORU_BURAK_YENI1309[[#This Row],[ALT_KOD]])+AVERAGEIFS(L:L,D:D,DST_123_ÜRETİM_İHTİYAÇ_RAPORU_BURAK_YENI1309[[#This Row],[ALT_KOD]]))</f>
        <v>-8</v>
      </c>
      <c r="L5377">
        <v>0</v>
      </c>
      <c r="M5377">
        <f>IF((DST_123_ÜRETİM_İHTİYAÇ_RAPORU_BURAK_YENI1309[[#This Row],[SATINALMA]]*DST_123_ÜRETİM_İHTİYAÇ_RAPORU_BURAK_YENI1309[[#This Row],[BIRIM_FIYATLAR]])&lt;1,VALUE("0"),DST_123_ÜRETİM_İHTİYAÇ_RAPORU_BURAK_YENI1309[[#This Row],[SATINALMA]]*DST_123_ÜRETİM_İHTİYAÇ_RAPORU_BURAK_YENI1309[[#This Row],[BIRIM_FIYATLAR]])</f>
        <v>0</v>
      </c>
      <c r="N5377">
        <v>50.43</v>
      </c>
      <c r="O5377" t="s">
        <v>636</v>
      </c>
      <c r="P5377">
        <v>100.86</v>
      </c>
      <c r="Q5377" t="s">
        <v>177</v>
      </c>
    </row>
    <row r="5378" spans="1:17" x14ac:dyDescent="0.25">
      <c r="A5378" t="s">
        <v>1064</v>
      </c>
      <c r="B5378" t="s">
        <v>1055</v>
      </c>
      <c r="C5378" t="s">
        <v>175</v>
      </c>
      <c r="D5378" t="s">
        <v>1080</v>
      </c>
      <c r="E5378" t="s">
        <v>1081</v>
      </c>
      <c r="F5378">
        <v>1</v>
      </c>
      <c r="G5378" t="s">
        <v>176</v>
      </c>
      <c r="H5378">
        <v>1</v>
      </c>
      <c r="I5378">
        <v>1</v>
      </c>
      <c r="J5378" s="10">
        <v>2</v>
      </c>
      <c r="K5378" s="10">
        <f>SUMIFS(F:F,D:D,DST_123_ÜRETİM_İHTİYAÇ_RAPORU_BURAK_YENI1309[[#This Row],[ALT_KOD]])-(SUMIFS(H:H,D:D,DST_123_ÜRETİM_İHTİYAÇ_RAPORU_BURAK_YENI1309[[#This Row],[ALT_KOD]])+AVERAGEIFS(I:I,D:D,DST_123_ÜRETİM_İHTİYAÇ_RAPORU_BURAK_YENI1309[[#This Row],[ALT_KOD]])+AVERAGEIFS(L:L,D:D,DST_123_ÜRETİM_İHTİYAÇ_RAPORU_BURAK_YENI1309[[#This Row],[ALT_KOD]]))</f>
        <v>-1</v>
      </c>
      <c r="L5378">
        <v>0</v>
      </c>
      <c r="M5378">
        <f>IF((DST_123_ÜRETİM_İHTİYAÇ_RAPORU_BURAK_YENI1309[[#This Row],[SATINALMA]]*DST_123_ÜRETİM_İHTİYAÇ_RAPORU_BURAK_YENI1309[[#This Row],[BIRIM_FIYATLAR]])&lt;1,VALUE("0"),DST_123_ÜRETİM_İHTİYAÇ_RAPORU_BURAK_YENI1309[[#This Row],[SATINALMA]]*DST_123_ÜRETİM_İHTİYAÇ_RAPORU_BURAK_YENI1309[[#This Row],[BIRIM_FIYATLAR]])</f>
        <v>0</v>
      </c>
      <c r="N5378">
        <v>1050</v>
      </c>
      <c r="O5378" t="s">
        <v>289</v>
      </c>
      <c r="P5378">
        <v>1050</v>
      </c>
      <c r="Q5378" t="s">
        <v>178</v>
      </c>
    </row>
    <row r="5379" spans="1:17" x14ac:dyDescent="0.25">
      <c r="A5379" t="s">
        <v>1059</v>
      </c>
      <c r="B5379" t="s">
        <v>1058</v>
      </c>
      <c r="C5379" t="s">
        <v>175</v>
      </c>
      <c r="D5379" t="s">
        <v>577</v>
      </c>
      <c r="E5379" t="s">
        <v>578</v>
      </c>
      <c r="F5379">
        <v>0.2</v>
      </c>
      <c r="G5379" t="s">
        <v>185</v>
      </c>
      <c r="H5379">
        <v>0.2</v>
      </c>
      <c r="I5379">
        <v>12</v>
      </c>
      <c r="J5379" s="10">
        <v>1.2000000000000011</v>
      </c>
      <c r="K5379" s="10">
        <f>SUMIFS(F:F,D:D,DST_123_ÜRETİM_İHTİYAÇ_RAPORU_BURAK_YENI1309[[#This Row],[ALT_KOD]])-(SUMIFS(H:H,D:D,DST_123_ÜRETİM_İHTİYAÇ_RAPORU_BURAK_YENI1309[[#This Row],[ALT_KOD]])+AVERAGEIFS(I:I,D:D,DST_123_ÜRETİM_İHTİYAÇ_RAPORU_BURAK_YENI1309[[#This Row],[ALT_KOD]])+AVERAGEIFS(L:L,D:D,DST_123_ÜRETİM_İHTİYAÇ_RAPORU_BURAK_YENI1309[[#This Row],[ALT_KOD]]))</f>
        <v>-10.199999999999999</v>
      </c>
      <c r="L5379">
        <v>0</v>
      </c>
      <c r="M5379">
        <f>IF((DST_123_ÜRETİM_İHTİYAÇ_RAPORU_BURAK_YENI1309[[#This Row],[SATINALMA]]*DST_123_ÜRETİM_İHTİYAÇ_RAPORU_BURAK_YENI1309[[#This Row],[BIRIM_FIYATLAR]])&lt;1,VALUE("0"),DST_123_ÜRETİM_İHTİYAÇ_RAPORU_BURAK_YENI1309[[#This Row],[SATINALMA]]*DST_123_ÜRETİM_İHTİYAÇ_RAPORU_BURAK_YENI1309[[#This Row],[BIRIM_FIYATLAR]])</f>
        <v>0</v>
      </c>
      <c r="N5379">
        <v>221.8</v>
      </c>
      <c r="O5379" t="s">
        <v>490</v>
      </c>
      <c r="P5379">
        <v>44.360000000000007</v>
      </c>
      <c r="Q5379" t="s">
        <v>183</v>
      </c>
    </row>
    <row r="5380" spans="1:17" x14ac:dyDescent="0.25">
      <c r="A5380" t="s">
        <v>1057</v>
      </c>
      <c r="B5380" t="s">
        <v>1058</v>
      </c>
      <c r="C5380" t="s">
        <v>175</v>
      </c>
      <c r="D5380" t="s">
        <v>210</v>
      </c>
      <c r="E5380" t="s">
        <v>211</v>
      </c>
      <c r="F5380">
        <v>1</v>
      </c>
      <c r="G5380" t="s">
        <v>176</v>
      </c>
      <c r="H5380">
        <v>1</v>
      </c>
      <c r="I5380">
        <v>21</v>
      </c>
      <c r="J5380" s="10">
        <v>10</v>
      </c>
      <c r="K5380" s="10">
        <f>SUMIFS(F:F,D:D,DST_123_ÜRETİM_İHTİYAÇ_RAPORU_BURAK_YENI1309[[#This Row],[ALT_KOD]])-(SUMIFS(H:H,D:D,DST_123_ÜRETİM_İHTİYAÇ_RAPORU_BURAK_YENI1309[[#This Row],[ALT_KOD]])+AVERAGEIFS(I:I,D:D,DST_123_ÜRETİM_İHTİYAÇ_RAPORU_BURAK_YENI1309[[#This Row],[ALT_KOD]])+AVERAGEIFS(L:L,D:D,DST_123_ÜRETİM_İHTİYAÇ_RAPORU_BURAK_YENI1309[[#This Row],[ALT_KOD]]))</f>
        <v>-50</v>
      </c>
      <c r="L5380">
        <v>40</v>
      </c>
      <c r="M5380">
        <f>IF((DST_123_ÜRETİM_İHTİYAÇ_RAPORU_BURAK_YENI1309[[#This Row],[SATINALMA]]*DST_123_ÜRETİM_İHTİYAÇ_RAPORU_BURAK_YENI1309[[#This Row],[BIRIM_FIYATLAR]])&lt;1,VALUE("0"),DST_123_ÜRETİM_İHTİYAÇ_RAPORU_BURAK_YENI1309[[#This Row],[SATINALMA]]*DST_123_ÜRETİM_İHTİYAÇ_RAPORU_BURAK_YENI1309[[#This Row],[BIRIM_FIYATLAR]])</f>
        <v>0</v>
      </c>
      <c r="N5380">
        <v>312</v>
      </c>
      <c r="O5380" t="s">
        <v>217</v>
      </c>
      <c r="P5380">
        <v>312</v>
      </c>
      <c r="Q5380" t="s">
        <v>177</v>
      </c>
    </row>
    <row r="5381" spans="1:17" x14ac:dyDescent="0.25">
      <c r="A5381" t="s">
        <v>1059</v>
      </c>
      <c r="B5381" t="s">
        <v>1058</v>
      </c>
      <c r="C5381" t="s">
        <v>175</v>
      </c>
      <c r="D5381" t="s">
        <v>210</v>
      </c>
      <c r="E5381" t="s">
        <v>211</v>
      </c>
      <c r="F5381">
        <v>1</v>
      </c>
      <c r="G5381" t="s">
        <v>176</v>
      </c>
      <c r="H5381">
        <v>1</v>
      </c>
      <c r="I5381">
        <v>21</v>
      </c>
      <c r="J5381" s="10">
        <v>10</v>
      </c>
      <c r="K5381" s="10">
        <f>SUMIFS(F:F,D:D,DST_123_ÜRETİM_İHTİYAÇ_RAPORU_BURAK_YENI1309[[#This Row],[ALT_KOD]])-(SUMIFS(H:H,D:D,DST_123_ÜRETİM_İHTİYAÇ_RAPORU_BURAK_YENI1309[[#This Row],[ALT_KOD]])+AVERAGEIFS(I:I,D:D,DST_123_ÜRETİM_İHTİYAÇ_RAPORU_BURAK_YENI1309[[#This Row],[ALT_KOD]])+AVERAGEIFS(L:L,D:D,DST_123_ÜRETİM_İHTİYAÇ_RAPORU_BURAK_YENI1309[[#This Row],[ALT_KOD]]))</f>
        <v>-50</v>
      </c>
      <c r="L5381">
        <v>40</v>
      </c>
      <c r="M5381">
        <f>IF((DST_123_ÜRETİM_İHTİYAÇ_RAPORU_BURAK_YENI1309[[#This Row],[SATINALMA]]*DST_123_ÜRETİM_İHTİYAÇ_RAPORU_BURAK_YENI1309[[#This Row],[BIRIM_FIYATLAR]])&lt;1,VALUE("0"),DST_123_ÜRETİM_İHTİYAÇ_RAPORU_BURAK_YENI1309[[#This Row],[SATINALMA]]*DST_123_ÜRETİM_İHTİYAÇ_RAPORU_BURAK_YENI1309[[#This Row],[BIRIM_FIYATLAR]])</f>
        <v>0</v>
      </c>
      <c r="N5381">
        <v>312</v>
      </c>
      <c r="O5381" t="s">
        <v>217</v>
      </c>
      <c r="P5381">
        <v>312</v>
      </c>
      <c r="Q5381" t="s">
        <v>177</v>
      </c>
    </row>
    <row r="5382" spans="1:17" x14ac:dyDescent="0.25">
      <c r="A5382" t="s">
        <v>1097</v>
      </c>
      <c r="B5382" t="s">
        <v>1055</v>
      </c>
      <c r="C5382" t="s">
        <v>175</v>
      </c>
      <c r="D5382" t="s">
        <v>210</v>
      </c>
      <c r="E5382" t="s">
        <v>211</v>
      </c>
      <c r="F5382">
        <v>1</v>
      </c>
      <c r="G5382" t="s">
        <v>176</v>
      </c>
      <c r="H5382">
        <v>1</v>
      </c>
      <c r="I5382">
        <v>21</v>
      </c>
      <c r="J5382" s="10">
        <v>10</v>
      </c>
      <c r="K5382" s="10">
        <f>SUMIFS(F:F,D:D,DST_123_ÜRETİM_İHTİYAÇ_RAPORU_BURAK_YENI1309[[#This Row],[ALT_KOD]])-(SUMIFS(H:H,D:D,DST_123_ÜRETİM_İHTİYAÇ_RAPORU_BURAK_YENI1309[[#This Row],[ALT_KOD]])+AVERAGEIFS(I:I,D:D,DST_123_ÜRETİM_İHTİYAÇ_RAPORU_BURAK_YENI1309[[#This Row],[ALT_KOD]])+AVERAGEIFS(L:L,D:D,DST_123_ÜRETİM_İHTİYAÇ_RAPORU_BURAK_YENI1309[[#This Row],[ALT_KOD]]))</f>
        <v>-50</v>
      </c>
      <c r="L5382">
        <v>40</v>
      </c>
      <c r="M5382">
        <f>IF((DST_123_ÜRETİM_İHTİYAÇ_RAPORU_BURAK_YENI1309[[#This Row],[SATINALMA]]*DST_123_ÜRETİM_İHTİYAÇ_RAPORU_BURAK_YENI1309[[#This Row],[BIRIM_FIYATLAR]])&lt;1,VALUE("0"),DST_123_ÜRETİM_İHTİYAÇ_RAPORU_BURAK_YENI1309[[#This Row],[SATINALMA]]*DST_123_ÜRETİM_İHTİYAÇ_RAPORU_BURAK_YENI1309[[#This Row],[BIRIM_FIYATLAR]])</f>
        <v>0</v>
      </c>
      <c r="N5382">
        <v>312</v>
      </c>
      <c r="O5382" t="s">
        <v>217</v>
      </c>
      <c r="P5382">
        <v>312</v>
      </c>
      <c r="Q5382" t="s">
        <v>177</v>
      </c>
    </row>
    <row r="5383" spans="1:17" x14ac:dyDescent="0.25">
      <c r="A5383" t="s">
        <v>1150</v>
      </c>
      <c r="B5383" t="s">
        <v>1145</v>
      </c>
      <c r="C5383" t="s">
        <v>175</v>
      </c>
      <c r="D5383" t="s">
        <v>441</v>
      </c>
      <c r="E5383" t="s">
        <v>442</v>
      </c>
      <c r="F5383">
        <v>1</v>
      </c>
      <c r="G5383" t="s">
        <v>176</v>
      </c>
      <c r="H5383">
        <v>0</v>
      </c>
      <c r="I5383">
        <v>23</v>
      </c>
      <c r="J5383" s="10">
        <v>5</v>
      </c>
      <c r="K5383" s="10">
        <f>SUMIFS(F:F,D:D,DST_123_ÜRETİM_İHTİYAÇ_RAPORU_BURAK_YENI1309[[#This Row],[ALT_KOD]])-(SUMIFS(H:H,D:D,DST_123_ÜRETİM_İHTİYAÇ_RAPORU_BURAK_YENI1309[[#This Row],[ALT_KOD]])+AVERAGEIFS(I:I,D:D,DST_123_ÜRETİM_İHTİYAÇ_RAPORU_BURAK_YENI1309[[#This Row],[ALT_KOD]])+AVERAGEIFS(L:L,D:D,DST_123_ÜRETİM_İHTİYAÇ_RAPORU_BURAK_YENI1309[[#This Row],[ALT_KOD]]))</f>
        <v>-11</v>
      </c>
      <c r="L5383">
        <v>0</v>
      </c>
      <c r="M5383">
        <f>IF((DST_123_ÜRETİM_İHTİYAÇ_RAPORU_BURAK_YENI1309[[#This Row],[SATINALMA]]*DST_123_ÜRETİM_İHTİYAÇ_RAPORU_BURAK_YENI1309[[#This Row],[BIRIM_FIYATLAR]])&lt;1,VALUE("0"),DST_123_ÜRETİM_İHTİYAÇ_RAPORU_BURAK_YENI1309[[#This Row],[SATINALMA]]*DST_123_ÜRETİM_İHTİYAÇ_RAPORU_BURAK_YENI1309[[#This Row],[BIRIM_FIYATLAR]])</f>
        <v>0</v>
      </c>
      <c r="N5383">
        <v>360.19</v>
      </c>
      <c r="O5383" t="s">
        <v>636</v>
      </c>
      <c r="P5383">
        <v>360.19</v>
      </c>
      <c r="Q5383" t="s">
        <v>178</v>
      </c>
    </row>
    <row r="5384" spans="1:17" x14ac:dyDescent="0.25">
      <c r="A5384" t="s">
        <v>1196</v>
      </c>
      <c r="B5384" t="s">
        <v>1197</v>
      </c>
      <c r="C5384" t="s">
        <v>175</v>
      </c>
      <c r="D5384" t="s">
        <v>441</v>
      </c>
      <c r="E5384" t="s">
        <v>442</v>
      </c>
      <c r="F5384">
        <v>1</v>
      </c>
      <c r="G5384" t="s">
        <v>176</v>
      </c>
      <c r="H5384">
        <v>0</v>
      </c>
      <c r="I5384">
        <v>23</v>
      </c>
      <c r="J5384" s="10">
        <v>5</v>
      </c>
      <c r="K5384" s="10">
        <f>SUMIFS(F:F,D:D,DST_123_ÜRETİM_İHTİYAÇ_RAPORU_BURAK_YENI1309[[#This Row],[ALT_KOD]])-(SUMIFS(H:H,D:D,DST_123_ÜRETİM_İHTİYAÇ_RAPORU_BURAK_YENI1309[[#This Row],[ALT_KOD]])+AVERAGEIFS(I:I,D:D,DST_123_ÜRETİM_İHTİYAÇ_RAPORU_BURAK_YENI1309[[#This Row],[ALT_KOD]])+AVERAGEIFS(L:L,D:D,DST_123_ÜRETİM_İHTİYAÇ_RAPORU_BURAK_YENI1309[[#This Row],[ALT_KOD]]))</f>
        <v>-11</v>
      </c>
      <c r="L5384">
        <v>0</v>
      </c>
      <c r="M5384">
        <f>IF((DST_123_ÜRETİM_İHTİYAÇ_RAPORU_BURAK_YENI1309[[#This Row],[SATINALMA]]*DST_123_ÜRETİM_İHTİYAÇ_RAPORU_BURAK_YENI1309[[#This Row],[BIRIM_FIYATLAR]])&lt;1,VALUE("0"),DST_123_ÜRETİM_İHTİYAÇ_RAPORU_BURAK_YENI1309[[#This Row],[SATINALMA]]*DST_123_ÜRETİM_İHTİYAÇ_RAPORU_BURAK_YENI1309[[#This Row],[BIRIM_FIYATLAR]])</f>
        <v>0</v>
      </c>
      <c r="N5384">
        <v>360.19</v>
      </c>
      <c r="O5384" t="s">
        <v>636</v>
      </c>
      <c r="P5384">
        <v>360.19</v>
      </c>
      <c r="Q5384" t="s">
        <v>178</v>
      </c>
    </row>
    <row r="5385" spans="1:17" x14ac:dyDescent="0.25">
      <c r="A5385" t="s">
        <v>1099</v>
      </c>
      <c r="B5385" t="s">
        <v>1055</v>
      </c>
      <c r="C5385" t="s">
        <v>175</v>
      </c>
      <c r="D5385" t="s">
        <v>601</v>
      </c>
      <c r="E5385" t="s">
        <v>602</v>
      </c>
      <c r="F5385">
        <v>2</v>
      </c>
      <c r="G5385" t="s">
        <v>176</v>
      </c>
      <c r="H5385">
        <v>2</v>
      </c>
      <c r="I5385">
        <v>24</v>
      </c>
      <c r="J5385" s="10">
        <v>10</v>
      </c>
      <c r="K5385" s="10">
        <f>SUMIFS(F:F,D:D,DST_123_ÜRETİM_İHTİYAÇ_RAPORU_BURAK_YENI1309[[#This Row],[ALT_KOD]])-(SUMIFS(H:H,D:D,DST_123_ÜRETİM_İHTİYAÇ_RAPORU_BURAK_YENI1309[[#This Row],[ALT_KOD]])+AVERAGEIFS(I:I,D:D,DST_123_ÜRETİM_İHTİYAÇ_RAPORU_BURAK_YENI1309[[#This Row],[ALT_KOD]])+AVERAGEIFS(L:L,D:D,DST_123_ÜRETİM_İHTİYAÇ_RAPORU_BURAK_YENI1309[[#This Row],[ALT_KOD]]))</f>
        <v>-8</v>
      </c>
      <c r="L5385">
        <v>0</v>
      </c>
      <c r="M5385">
        <f>IF((DST_123_ÜRETİM_İHTİYAÇ_RAPORU_BURAK_YENI1309[[#This Row],[SATINALMA]]*DST_123_ÜRETİM_İHTİYAÇ_RAPORU_BURAK_YENI1309[[#This Row],[BIRIM_FIYATLAR]])&lt;1,VALUE("0"),DST_123_ÜRETİM_İHTİYAÇ_RAPORU_BURAK_YENI1309[[#This Row],[SATINALMA]]*DST_123_ÜRETİM_İHTİYAÇ_RAPORU_BURAK_YENI1309[[#This Row],[BIRIM_FIYATLAR]])</f>
        <v>0</v>
      </c>
      <c r="N5385">
        <v>50.43</v>
      </c>
      <c r="O5385" t="s">
        <v>636</v>
      </c>
      <c r="P5385">
        <v>100.86</v>
      </c>
      <c r="Q5385" t="s">
        <v>177</v>
      </c>
    </row>
    <row r="5386" spans="1:17" x14ac:dyDescent="0.25">
      <c r="A5386" t="s">
        <v>1064</v>
      </c>
      <c r="B5386" t="s">
        <v>1055</v>
      </c>
      <c r="C5386" t="s">
        <v>175</v>
      </c>
      <c r="D5386" t="s">
        <v>441</v>
      </c>
      <c r="E5386" t="s">
        <v>442</v>
      </c>
      <c r="F5386">
        <v>1</v>
      </c>
      <c r="G5386" t="s">
        <v>176</v>
      </c>
      <c r="H5386">
        <v>1</v>
      </c>
      <c r="I5386">
        <v>23</v>
      </c>
      <c r="J5386" s="10">
        <v>5</v>
      </c>
      <c r="K5386" s="10">
        <f>SUMIFS(F:F,D:D,DST_123_ÜRETİM_İHTİYAÇ_RAPORU_BURAK_YENI1309[[#This Row],[ALT_KOD]])-(SUMIFS(H:H,D:D,DST_123_ÜRETİM_İHTİYAÇ_RAPORU_BURAK_YENI1309[[#This Row],[ALT_KOD]])+AVERAGEIFS(I:I,D:D,DST_123_ÜRETİM_İHTİYAÇ_RAPORU_BURAK_YENI1309[[#This Row],[ALT_KOD]])+AVERAGEIFS(L:L,D:D,DST_123_ÜRETİM_İHTİYAÇ_RAPORU_BURAK_YENI1309[[#This Row],[ALT_KOD]]))</f>
        <v>-11</v>
      </c>
      <c r="L5386">
        <v>0</v>
      </c>
      <c r="M5386">
        <f>IF((DST_123_ÜRETİM_İHTİYAÇ_RAPORU_BURAK_YENI1309[[#This Row],[SATINALMA]]*DST_123_ÜRETİM_İHTİYAÇ_RAPORU_BURAK_YENI1309[[#This Row],[BIRIM_FIYATLAR]])&lt;1,VALUE("0"),DST_123_ÜRETİM_İHTİYAÇ_RAPORU_BURAK_YENI1309[[#This Row],[SATINALMA]]*DST_123_ÜRETİM_İHTİYAÇ_RAPORU_BURAK_YENI1309[[#This Row],[BIRIM_FIYATLAR]])</f>
        <v>0</v>
      </c>
      <c r="N5386">
        <v>360.19</v>
      </c>
      <c r="O5386" t="s">
        <v>636</v>
      </c>
      <c r="P5386">
        <v>360.19</v>
      </c>
      <c r="Q5386" t="s">
        <v>178</v>
      </c>
    </row>
    <row r="5387" spans="1:17" x14ac:dyDescent="0.25">
      <c r="A5387" t="s">
        <v>1059</v>
      </c>
      <c r="B5387" t="s">
        <v>1058</v>
      </c>
      <c r="C5387" t="s">
        <v>175</v>
      </c>
      <c r="D5387" t="s">
        <v>34</v>
      </c>
      <c r="E5387" t="s">
        <v>35</v>
      </c>
      <c r="F5387">
        <v>1</v>
      </c>
      <c r="G5387" t="s">
        <v>176</v>
      </c>
      <c r="H5387">
        <v>1</v>
      </c>
      <c r="I5387">
        <v>17</v>
      </c>
      <c r="J5387" s="10">
        <v>8</v>
      </c>
      <c r="K5387" s="10">
        <f>SUMIFS(F:F,D:D,DST_123_ÜRETİM_İHTİYAÇ_RAPORU_BURAK_YENI1309[[#This Row],[ALT_KOD]])-(SUMIFS(H:H,D:D,DST_123_ÜRETİM_İHTİYAÇ_RAPORU_BURAK_YENI1309[[#This Row],[ALT_KOD]])+AVERAGEIFS(I:I,D:D,DST_123_ÜRETİM_İHTİYAÇ_RAPORU_BURAK_YENI1309[[#This Row],[ALT_KOD]])+AVERAGEIFS(L:L,D:D,DST_123_ÜRETİM_İHTİYAÇ_RAPORU_BURAK_YENI1309[[#This Row],[ALT_KOD]]))</f>
        <v>-1</v>
      </c>
      <c r="L5387">
        <v>0</v>
      </c>
      <c r="M5387">
        <f>IF((DST_123_ÜRETİM_İHTİYAÇ_RAPORU_BURAK_YENI1309[[#This Row],[SATINALMA]]*DST_123_ÜRETİM_İHTİYAÇ_RAPORU_BURAK_YENI1309[[#This Row],[BIRIM_FIYATLAR]])&lt;1,VALUE("0"),DST_123_ÜRETİM_İHTİYAÇ_RAPORU_BURAK_YENI1309[[#This Row],[SATINALMA]]*DST_123_ÜRETİM_İHTİYAÇ_RAPORU_BURAK_YENI1309[[#This Row],[BIRIM_FIYATLAR]])</f>
        <v>0</v>
      </c>
      <c r="N5387">
        <v>33.340000000000003</v>
      </c>
      <c r="O5387" t="s">
        <v>227</v>
      </c>
      <c r="P5387">
        <v>33.340000000000003</v>
      </c>
      <c r="Q5387" t="s">
        <v>221</v>
      </c>
    </row>
    <row r="5388" spans="1:17" x14ac:dyDescent="0.25">
      <c r="A5388" t="s">
        <v>1146</v>
      </c>
      <c r="B5388" t="s">
        <v>1145</v>
      </c>
      <c r="C5388" t="s">
        <v>175</v>
      </c>
      <c r="D5388" t="s">
        <v>34</v>
      </c>
      <c r="E5388" t="s">
        <v>35</v>
      </c>
      <c r="F5388">
        <v>1</v>
      </c>
      <c r="G5388" t="s">
        <v>176</v>
      </c>
      <c r="H5388">
        <v>1</v>
      </c>
      <c r="I5388">
        <v>17</v>
      </c>
      <c r="J5388" s="10">
        <v>8</v>
      </c>
      <c r="K5388" s="10">
        <f>SUMIFS(F:F,D:D,DST_123_ÜRETİM_İHTİYAÇ_RAPORU_BURAK_YENI1309[[#This Row],[ALT_KOD]])-(SUMIFS(H:H,D:D,DST_123_ÜRETİM_İHTİYAÇ_RAPORU_BURAK_YENI1309[[#This Row],[ALT_KOD]])+AVERAGEIFS(I:I,D:D,DST_123_ÜRETİM_İHTİYAÇ_RAPORU_BURAK_YENI1309[[#This Row],[ALT_KOD]])+AVERAGEIFS(L:L,D:D,DST_123_ÜRETİM_İHTİYAÇ_RAPORU_BURAK_YENI1309[[#This Row],[ALT_KOD]]))</f>
        <v>-1</v>
      </c>
      <c r="L5388">
        <v>0</v>
      </c>
      <c r="M5388">
        <f>IF((DST_123_ÜRETİM_İHTİYAÇ_RAPORU_BURAK_YENI1309[[#This Row],[SATINALMA]]*DST_123_ÜRETİM_İHTİYAÇ_RAPORU_BURAK_YENI1309[[#This Row],[BIRIM_FIYATLAR]])&lt;1,VALUE("0"),DST_123_ÜRETİM_İHTİYAÇ_RAPORU_BURAK_YENI1309[[#This Row],[SATINALMA]]*DST_123_ÜRETİM_İHTİYAÇ_RAPORU_BURAK_YENI1309[[#This Row],[BIRIM_FIYATLAR]])</f>
        <v>0</v>
      </c>
      <c r="N5388">
        <v>33.340000000000003</v>
      </c>
      <c r="O5388" t="s">
        <v>227</v>
      </c>
      <c r="P5388">
        <v>33.340000000000003</v>
      </c>
      <c r="Q5388" t="s">
        <v>221</v>
      </c>
    </row>
    <row r="5389" spans="1:17" x14ac:dyDescent="0.25">
      <c r="A5389" t="s">
        <v>1147</v>
      </c>
      <c r="B5389" t="s">
        <v>1145</v>
      </c>
      <c r="C5389" t="s">
        <v>175</v>
      </c>
      <c r="D5389" t="s">
        <v>446</v>
      </c>
      <c r="E5389" t="s">
        <v>447</v>
      </c>
      <c r="F5389">
        <v>1</v>
      </c>
      <c r="G5389" t="s">
        <v>176</v>
      </c>
      <c r="H5389">
        <v>0</v>
      </c>
      <c r="I5389">
        <v>13</v>
      </c>
      <c r="J5389" s="10">
        <v>13</v>
      </c>
      <c r="K5389" s="10">
        <f>SUMIFS(F:F,D:D,DST_123_ÜRETİM_İHTİYAÇ_RAPORU_BURAK_YENI1309[[#This Row],[ALT_KOD]])-(SUMIFS(H:H,D:D,DST_123_ÜRETİM_İHTİYAÇ_RAPORU_BURAK_YENI1309[[#This Row],[ALT_KOD]])+AVERAGEIFS(I:I,D:D,DST_123_ÜRETİM_İHTİYAÇ_RAPORU_BURAK_YENI1309[[#This Row],[ALT_KOD]])+AVERAGEIFS(L:L,D:D,DST_123_ÜRETİM_İHTİYAÇ_RAPORU_BURAK_YENI1309[[#This Row],[ALT_KOD]]))</f>
        <v>-1</v>
      </c>
      <c r="L5389">
        <v>0</v>
      </c>
      <c r="M5389">
        <f>IF((DST_123_ÜRETİM_İHTİYAÇ_RAPORU_BURAK_YENI1309[[#This Row],[SATINALMA]]*DST_123_ÜRETİM_İHTİYAÇ_RAPORU_BURAK_YENI1309[[#This Row],[BIRIM_FIYATLAR]])&lt;1,VALUE("0"),DST_123_ÜRETİM_İHTİYAÇ_RAPORU_BURAK_YENI1309[[#This Row],[SATINALMA]]*DST_123_ÜRETİM_İHTİYAÇ_RAPORU_BURAK_YENI1309[[#This Row],[BIRIM_FIYATLAR]])</f>
        <v>0</v>
      </c>
      <c r="N5389">
        <v>237.5</v>
      </c>
      <c r="O5389" t="s">
        <v>628</v>
      </c>
      <c r="P5389">
        <v>237.5</v>
      </c>
      <c r="Q5389" t="s">
        <v>180</v>
      </c>
    </row>
    <row r="5390" spans="1:17" x14ac:dyDescent="0.25">
      <c r="A5390" t="s">
        <v>1057</v>
      </c>
      <c r="B5390" t="s">
        <v>1058</v>
      </c>
      <c r="C5390" t="s">
        <v>175</v>
      </c>
      <c r="D5390" t="s">
        <v>84</v>
      </c>
      <c r="E5390" t="s">
        <v>85</v>
      </c>
      <c r="F5390">
        <v>2</v>
      </c>
      <c r="G5390" t="s">
        <v>176</v>
      </c>
      <c r="H5390">
        <v>2</v>
      </c>
      <c r="I5390">
        <v>40</v>
      </c>
      <c r="J5390" s="10">
        <v>16</v>
      </c>
      <c r="K5390" s="10">
        <f>SUMIFS(F:F,D:D,DST_123_ÜRETİM_İHTİYAÇ_RAPORU_BURAK_YENI1309[[#This Row],[ALT_KOD]])-(SUMIFS(H:H,D:D,DST_123_ÜRETİM_İHTİYAÇ_RAPORU_BURAK_YENI1309[[#This Row],[ALT_KOD]])+AVERAGEIFS(I:I,D:D,DST_123_ÜRETİM_İHTİYAÇ_RAPORU_BURAK_YENI1309[[#This Row],[ALT_KOD]])+AVERAGEIFS(L:L,D:D,DST_123_ÜRETİM_İHTİYAÇ_RAPORU_BURAK_YENI1309[[#This Row],[ALT_KOD]]))</f>
        <v>-18</v>
      </c>
      <c r="L5390">
        <v>0</v>
      </c>
      <c r="M5390">
        <f>IF((DST_123_ÜRETİM_İHTİYAÇ_RAPORU_BURAK_YENI1309[[#This Row],[SATINALMA]]*DST_123_ÜRETİM_İHTİYAÇ_RAPORU_BURAK_YENI1309[[#This Row],[BIRIM_FIYATLAR]])&lt;1,VALUE("0"),DST_123_ÜRETİM_İHTİYAÇ_RAPORU_BURAK_YENI1309[[#This Row],[SATINALMA]]*DST_123_ÜRETİM_İHTİYAÇ_RAPORU_BURAK_YENI1309[[#This Row],[BIRIM_FIYATLAR]])</f>
        <v>0</v>
      </c>
      <c r="N5390">
        <v>375</v>
      </c>
      <c r="O5390" t="s">
        <v>247</v>
      </c>
      <c r="P5390">
        <v>750</v>
      </c>
      <c r="Q5390" t="s">
        <v>177</v>
      </c>
    </row>
    <row r="5391" spans="1:17" x14ac:dyDescent="0.25">
      <c r="A5391" t="s">
        <v>1100</v>
      </c>
      <c r="B5391" t="s">
        <v>1058</v>
      </c>
      <c r="C5391" t="s">
        <v>175</v>
      </c>
      <c r="D5391" t="s">
        <v>84</v>
      </c>
      <c r="E5391" t="s">
        <v>85</v>
      </c>
      <c r="F5391">
        <v>2</v>
      </c>
      <c r="G5391" t="s">
        <v>176</v>
      </c>
      <c r="H5391">
        <v>2</v>
      </c>
      <c r="I5391">
        <v>40</v>
      </c>
      <c r="J5391" s="10">
        <v>16</v>
      </c>
      <c r="K5391" s="10">
        <f>SUMIFS(F:F,D:D,DST_123_ÜRETİM_İHTİYAÇ_RAPORU_BURAK_YENI1309[[#This Row],[ALT_KOD]])-(SUMIFS(H:H,D:D,DST_123_ÜRETİM_İHTİYAÇ_RAPORU_BURAK_YENI1309[[#This Row],[ALT_KOD]])+AVERAGEIFS(I:I,D:D,DST_123_ÜRETİM_İHTİYAÇ_RAPORU_BURAK_YENI1309[[#This Row],[ALT_KOD]])+AVERAGEIFS(L:L,D:D,DST_123_ÜRETİM_İHTİYAÇ_RAPORU_BURAK_YENI1309[[#This Row],[ALT_KOD]]))</f>
        <v>-18</v>
      </c>
      <c r="L5391">
        <v>0</v>
      </c>
      <c r="M5391">
        <f>IF((DST_123_ÜRETİM_İHTİYAÇ_RAPORU_BURAK_YENI1309[[#This Row],[SATINALMA]]*DST_123_ÜRETİM_İHTİYAÇ_RAPORU_BURAK_YENI1309[[#This Row],[BIRIM_FIYATLAR]])&lt;1,VALUE("0"),DST_123_ÜRETİM_İHTİYAÇ_RAPORU_BURAK_YENI1309[[#This Row],[SATINALMA]]*DST_123_ÜRETİM_İHTİYAÇ_RAPORU_BURAK_YENI1309[[#This Row],[BIRIM_FIYATLAR]])</f>
        <v>0</v>
      </c>
      <c r="N5391">
        <v>375</v>
      </c>
      <c r="O5391" t="s">
        <v>247</v>
      </c>
      <c r="P5391">
        <v>750</v>
      </c>
      <c r="Q5391" t="s">
        <v>177</v>
      </c>
    </row>
    <row r="5392" spans="1:17" x14ac:dyDescent="0.25">
      <c r="A5392" t="s">
        <v>1150</v>
      </c>
      <c r="B5392" t="s">
        <v>1145</v>
      </c>
      <c r="C5392" t="s">
        <v>175</v>
      </c>
      <c r="D5392" t="s">
        <v>778</v>
      </c>
      <c r="E5392" t="s">
        <v>132</v>
      </c>
      <c r="F5392">
        <v>14</v>
      </c>
      <c r="G5392" t="s">
        <v>176</v>
      </c>
      <c r="H5392">
        <v>0</v>
      </c>
      <c r="I5392">
        <v>564</v>
      </c>
      <c r="J5392" s="10">
        <v>98</v>
      </c>
      <c r="K5392" s="10">
        <f>SUMIFS(F:F,D:D,DST_123_ÜRETİM_İHTİYAÇ_RAPORU_BURAK_YENI1309[[#This Row],[ALT_KOD]])-(SUMIFS(H:H,D:D,DST_123_ÜRETİM_İHTİYAÇ_RAPORU_BURAK_YENI1309[[#This Row],[ALT_KOD]])+AVERAGEIFS(I:I,D:D,DST_123_ÜRETİM_İHTİYAÇ_RAPORU_BURAK_YENI1309[[#This Row],[ALT_KOD]])+AVERAGEIFS(L:L,D:D,DST_123_ÜRETİM_İHTİYAÇ_RAPORU_BURAK_YENI1309[[#This Row],[ALT_KOD]]))</f>
        <v>-250</v>
      </c>
      <c r="L5392">
        <v>0</v>
      </c>
      <c r="M5392">
        <f>IF((DST_123_ÜRETİM_İHTİYAÇ_RAPORU_BURAK_YENI1309[[#This Row],[SATINALMA]]*DST_123_ÜRETİM_İHTİYAÇ_RAPORU_BURAK_YENI1309[[#This Row],[BIRIM_FIYATLAR]])&lt;1,VALUE("0"),DST_123_ÜRETİM_İHTİYAÇ_RAPORU_BURAK_YENI1309[[#This Row],[SATINALMA]]*DST_123_ÜRETİM_İHTİYAÇ_RAPORU_BURAK_YENI1309[[#This Row],[BIRIM_FIYATLAR]])</f>
        <v>0</v>
      </c>
      <c r="N5392">
        <v>6.67</v>
      </c>
      <c r="O5392" t="s">
        <v>1194</v>
      </c>
      <c r="P5392">
        <v>93.38</v>
      </c>
      <c r="Q5392" t="s">
        <v>221</v>
      </c>
    </row>
    <row r="5393" spans="1:17" x14ac:dyDescent="0.25">
      <c r="A5393" t="s">
        <v>1196</v>
      </c>
      <c r="B5393" t="s">
        <v>1197</v>
      </c>
      <c r="C5393" t="s">
        <v>175</v>
      </c>
      <c r="D5393" t="s">
        <v>603</v>
      </c>
      <c r="E5393" t="s">
        <v>604</v>
      </c>
      <c r="F5393">
        <v>2</v>
      </c>
      <c r="G5393" t="s">
        <v>176</v>
      </c>
      <c r="H5393">
        <v>0</v>
      </c>
      <c r="I5393">
        <v>5</v>
      </c>
      <c r="J5393" s="10">
        <v>10</v>
      </c>
      <c r="K5393" s="10">
        <f>SUMIFS(F:F,D:D,DST_123_ÜRETİM_İHTİYAÇ_RAPORU_BURAK_YENI1309[[#This Row],[ALT_KOD]])-(SUMIFS(H:H,D:D,DST_123_ÜRETİM_İHTİYAÇ_RAPORU_BURAK_YENI1309[[#This Row],[ALT_KOD]])+AVERAGEIFS(I:I,D:D,DST_123_ÜRETİM_İHTİYAÇ_RAPORU_BURAK_YENI1309[[#This Row],[ALT_KOD]])+AVERAGEIFS(L:L,D:D,DST_123_ÜRETİM_İHTİYAÇ_RAPORU_BURAK_YENI1309[[#This Row],[ALT_KOD]]))</f>
        <v>11</v>
      </c>
      <c r="L5393">
        <v>0</v>
      </c>
      <c r="M5393">
        <f>IF((DST_123_ÜRETİM_İHTİYAÇ_RAPORU_BURAK_YENI1309[[#This Row],[SATINALMA]]*DST_123_ÜRETİM_İHTİYAÇ_RAPORU_BURAK_YENI1309[[#This Row],[BIRIM_FIYATLAR]])&lt;1,VALUE("0"),DST_123_ÜRETİM_İHTİYAÇ_RAPORU_BURAK_YENI1309[[#This Row],[SATINALMA]]*DST_123_ÜRETİM_İHTİYAÇ_RAPORU_BURAK_YENI1309[[#This Row],[BIRIM_FIYATLAR]])</f>
        <v>832.04</v>
      </c>
      <c r="N5393">
        <v>75.64</v>
      </c>
      <c r="O5393" t="s">
        <v>636</v>
      </c>
      <c r="P5393">
        <v>151.28</v>
      </c>
      <c r="Q5393" t="s">
        <v>177</v>
      </c>
    </row>
    <row r="5394" spans="1:17" x14ac:dyDescent="0.25">
      <c r="A5394" t="s">
        <v>1099</v>
      </c>
      <c r="B5394" t="s">
        <v>1055</v>
      </c>
      <c r="C5394" t="s">
        <v>175</v>
      </c>
      <c r="D5394" t="s">
        <v>732</v>
      </c>
      <c r="E5394" t="s">
        <v>733</v>
      </c>
      <c r="F5394">
        <v>14</v>
      </c>
      <c r="G5394" t="s">
        <v>185</v>
      </c>
      <c r="H5394">
        <v>0</v>
      </c>
      <c r="I5394">
        <v>0</v>
      </c>
      <c r="J5394" s="10">
        <v>62.999999999999986</v>
      </c>
      <c r="K5394" s="10">
        <f>SUMIFS(F:F,D:D,DST_123_ÜRETİM_İHTİYAÇ_RAPORU_BURAK_YENI1309[[#This Row],[ALT_KOD]])-(SUMIFS(H:H,D:D,DST_123_ÜRETİM_İHTİYAÇ_RAPORU_BURAK_YENI1309[[#This Row],[ALT_KOD]])+AVERAGEIFS(I:I,D:D,DST_123_ÜRETİM_İHTİYAÇ_RAPORU_BURAK_YENI1309[[#This Row],[ALT_KOD]])+AVERAGEIFS(L:L,D:D,DST_123_ÜRETİM_İHTİYAÇ_RAPORU_BURAK_YENI1309[[#This Row],[ALT_KOD]]))</f>
        <v>196</v>
      </c>
      <c r="L5394">
        <v>0</v>
      </c>
      <c r="M5394">
        <f>IF((DST_123_ÜRETİM_İHTİYAÇ_RAPORU_BURAK_YENI1309[[#This Row],[SATINALMA]]*DST_123_ÜRETİM_İHTİYAÇ_RAPORU_BURAK_YENI1309[[#This Row],[BIRIM_FIYATLAR]])&lt;1,VALUE("0"),DST_123_ÜRETİM_İHTİYAÇ_RAPORU_BURAK_YENI1309[[#This Row],[SATINALMA]]*DST_123_ÜRETİM_İHTİYAÇ_RAPORU_BURAK_YENI1309[[#This Row],[BIRIM_FIYATLAR]])</f>
        <v>215186.44000000003</v>
      </c>
      <c r="N5394">
        <v>1097.8900000000001</v>
      </c>
      <c r="O5394" t="s">
        <v>648</v>
      </c>
      <c r="P5394">
        <v>15370.460000000001</v>
      </c>
      <c r="Q5394" t="s">
        <v>183</v>
      </c>
    </row>
    <row r="5395" spans="1:17" x14ac:dyDescent="0.25">
      <c r="A5395" t="s">
        <v>1060</v>
      </c>
      <c r="B5395" t="s">
        <v>1061</v>
      </c>
      <c r="C5395" t="s">
        <v>175</v>
      </c>
      <c r="D5395" t="s">
        <v>17</v>
      </c>
      <c r="E5395" t="s">
        <v>18</v>
      </c>
      <c r="F5395">
        <v>1</v>
      </c>
      <c r="G5395" t="s">
        <v>176</v>
      </c>
      <c r="H5395">
        <v>1</v>
      </c>
      <c r="I5395">
        <v>56</v>
      </c>
      <c r="J5395" s="10">
        <v>11</v>
      </c>
      <c r="K5395" s="10">
        <f>SUMIFS(F:F,D:D,DST_123_ÜRETİM_İHTİYAÇ_RAPORU_BURAK_YENI1309[[#This Row],[ALT_KOD]])-(SUMIFS(H:H,D:D,DST_123_ÜRETİM_İHTİYAÇ_RAPORU_BURAK_YENI1309[[#This Row],[ALT_KOD]])+AVERAGEIFS(I:I,D:D,DST_123_ÜRETİM_İHTİYAÇ_RAPORU_BURAK_YENI1309[[#This Row],[ALT_KOD]])+AVERAGEIFS(L:L,D:D,DST_123_ÜRETİM_İHTİYAÇ_RAPORU_BURAK_YENI1309[[#This Row],[ALT_KOD]]))</f>
        <v>-43</v>
      </c>
      <c r="L5395">
        <v>0</v>
      </c>
      <c r="M5395">
        <f>IF((DST_123_ÜRETİM_İHTİYAÇ_RAPORU_BURAK_YENI1309[[#This Row],[SATINALMA]]*DST_123_ÜRETİM_İHTİYAÇ_RAPORU_BURAK_YENI1309[[#This Row],[BIRIM_FIYATLAR]])&lt;1,VALUE("0"),DST_123_ÜRETİM_İHTİYAÇ_RAPORU_BURAK_YENI1309[[#This Row],[SATINALMA]]*DST_123_ÜRETİM_İHTİYAÇ_RAPORU_BURAK_YENI1309[[#This Row],[BIRIM_FIYATLAR]])</f>
        <v>0</v>
      </c>
      <c r="N5395">
        <v>936.72</v>
      </c>
      <c r="O5395" t="s">
        <v>1230</v>
      </c>
      <c r="P5395">
        <v>936.72</v>
      </c>
      <c r="Q5395" t="s">
        <v>221</v>
      </c>
    </row>
    <row r="5396" spans="1:17" x14ac:dyDescent="0.25">
      <c r="A5396" t="s">
        <v>1060</v>
      </c>
      <c r="B5396" t="s">
        <v>1061</v>
      </c>
      <c r="C5396" t="s">
        <v>175</v>
      </c>
      <c r="D5396" t="s">
        <v>738</v>
      </c>
      <c r="E5396" t="s">
        <v>739</v>
      </c>
      <c r="F5396">
        <v>1</v>
      </c>
      <c r="G5396" t="s">
        <v>176</v>
      </c>
      <c r="H5396">
        <v>1</v>
      </c>
      <c r="I5396">
        <v>10</v>
      </c>
      <c r="J5396" s="10">
        <v>16</v>
      </c>
      <c r="K5396" s="10">
        <f>SUMIFS(F:F,D:D,DST_123_ÜRETİM_İHTİYAÇ_RAPORU_BURAK_YENI1309[[#This Row],[ALT_KOD]])-(SUMIFS(H:H,D:D,DST_123_ÜRETİM_İHTİYAÇ_RAPORU_BURAK_YENI1309[[#This Row],[ALT_KOD]])+AVERAGEIFS(I:I,D:D,DST_123_ÜRETİM_İHTİYAÇ_RAPORU_BURAK_YENI1309[[#This Row],[ALT_KOD]])+AVERAGEIFS(L:L,D:D,DST_123_ÜRETİM_İHTİYAÇ_RAPORU_BURAK_YENI1309[[#This Row],[ALT_KOD]]))</f>
        <v>2</v>
      </c>
      <c r="L5396">
        <v>0</v>
      </c>
      <c r="M5396">
        <f>IF((DST_123_ÜRETİM_İHTİYAÇ_RAPORU_BURAK_YENI1309[[#This Row],[SATINALMA]]*DST_123_ÜRETİM_İHTİYAÇ_RAPORU_BURAK_YENI1309[[#This Row],[BIRIM_FIYATLAR]])&lt;1,VALUE("0"),DST_123_ÜRETİM_İHTİYAÇ_RAPORU_BURAK_YENI1309[[#This Row],[SATINALMA]]*DST_123_ÜRETİM_İHTİYAÇ_RAPORU_BURAK_YENI1309[[#This Row],[BIRIM_FIYATLAR]])</f>
        <v>233.34</v>
      </c>
      <c r="N5396">
        <v>116.67</v>
      </c>
      <c r="O5396" t="s">
        <v>667</v>
      </c>
      <c r="P5396">
        <v>116.67</v>
      </c>
      <c r="Q5396" t="s">
        <v>177</v>
      </c>
    </row>
    <row r="5397" spans="1:17" x14ac:dyDescent="0.25">
      <c r="A5397" t="s">
        <v>1146</v>
      </c>
      <c r="B5397" t="s">
        <v>1145</v>
      </c>
      <c r="C5397" t="s">
        <v>175</v>
      </c>
      <c r="D5397" t="s">
        <v>80</v>
      </c>
      <c r="E5397" t="s">
        <v>81</v>
      </c>
      <c r="F5397">
        <v>6</v>
      </c>
      <c r="G5397" t="s">
        <v>176</v>
      </c>
      <c r="H5397">
        <v>6</v>
      </c>
      <c r="I5397">
        <v>0</v>
      </c>
      <c r="J5397" s="10">
        <v>10.500000000000064</v>
      </c>
      <c r="K5397" s="10">
        <f>SUMIFS(F:F,D:D,DST_123_ÜRETİM_İHTİYAÇ_RAPORU_BURAK_YENI1309[[#This Row],[ALT_KOD]])-(SUMIFS(H:H,D:D,DST_123_ÜRETİM_İHTİYAÇ_RAPORU_BURAK_YENI1309[[#This Row],[ALT_KOD]])+AVERAGEIFS(I:I,D:D,DST_123_ÜRETİM_İHTİYAÇ_RAPORU_BURAK_YENI1309[[#This Row],[ALT_KOD]])+AVERAGEIFS(L:L,D:D,DST_123_ÜRETİM_İHTİYAÇ_RAPORU_BURAK_YENI1309[[#This Row],[ALT_KOD]]))</f>
        <v>25</v>
      </c>
      <c r="L5397">
        <v>40</v>
      </c>
      <c r="M5397">
        <f>IF((DST_123_ÜRETİM_İHTİYAÇ_RAPORU_BURAK_YENI1309[[#This Row],[SATINALMA]]*DST_123_ÜRETİM_İHTİYAÇ_RAPORU_BURAK_YENI1309[[#This Row],[BIRIM_FIYATLAR]])&lt;1,VALUE("0"),DST_123_ÜRETİM_İHTİYAÇ_RAPORU_BURAK_YENI1309[[#This Row],[SATINALMA]]*DST_123_ÜRETİM_İHTİYAÇ_RAPORU_BURAK_YENI1309[[#This Row],[BIRIM_FIYATLAR]])</f>
        <v>16666.75</v>
      </c>
      <c r="N5397">
        <v>666.67</v>
      </c>
      <c r="O5397" t="s">
        <v>223</v>
      </c>
      <c r="P5397">
        <v>4000.0199999999995</v>
      </c>
      <c r="Q5397" t="s">
        <v>181</v>
      </c>
    </row>
    <row r="5398" spans="1:17" x14ac:dyDescent="0.25">
      <c r="A5398" t="s">
        <v>1059</v>
      </c>
      <c r="B5398" t="s">
        <v>1058</v>
      </c>
      <c r="C5398" t="s">
        <v>175</v>
      </c>
      <c r="D5398" t="s">
        <v>72</v>
      </c>
      <c r="E5398" t="s">
        <v>73</v>
      </c>
      <c r="F5398">
        <v>1</v>
      </c>
      <c r="G5398" t="s">
        <v>176</v>
      </c>
      <c r="H5398">
        <v>1</v>
      </c>
      <c r="I5398">
        <v>2</v>
      </c>
      <c r="J5398" s="10">
        <v>8</v>
      </c>
      <c r="K5398" s="10">
        <f>SUMIFS(F:F,D:D,DST_123_ÜRETİM_İHTİYAÇ_RAPORU_BURAK_YENI1309[[#This Row],[ALT_KOD]])-(SUMIFS(H:H,D:D,DST_123_ÜRETİM_İHTİYAÇ_RAPORU_BURAK_YENI1309[[#This Row],[ALT_KOD]])+AVERAGEIFS(I:I,D:D,DST_123_ÜRETİM_İHTİYAÇ_RAPORU_BURAK_YENI1309[[#This Row],[ALT_KOD]])+AVERAGEIFS(L:L,D:D,DST_123_ÜRETİM_İHTİYAÇ_RAPORU_BURAK_YENI1309[[#This Row],[ALT_KOD]]))</f>
        <v>8</v>
      </c>
      <c r="L5398">
        <v>0</v>
      </c>
      <c r="M5398">
        <f>IF((DST_123_ÜRETİM_İHTİYAÇ_RAPORU_BURAK_YENI1309[[#This Row],[SATINALMA]]*DST_123_ÜRETİM_İHTİYAÇ_RAPORU_BURAK_YENI1309[[#This Row],[BIRIM_FIYATLAR]])&lt;1,VALUE("0"),DST_123_ÜRETİM_İHTİYAÇ_RAPORU_BURAK_YENI1309[[#This Row],[SATINALMA]]*DST_123_ÜRETİM_İHTİYAÇ_RAPORU_BURAK_YENI1309[[#This Row],[BIRIM_FIYATLAR]])</f>
        <v>70583.44</v>
      </c>
      <c r="N5398">
        <v>8822.93</v>
      </c>
      <c r="O5398" t="s">
        <v>634</v>
      </c>
      <c r="P5398">
        <v>8822.93</v>
      </c>
      <c r="Q5398" t="s">
        <v>178</v>
      </c>
    </row>
    <row r="5399" spans="1:17" x14ac:dyDescent="0.25">
      <c r="A5399" t="s">
        <v>1064</v>
      </c>
      <c r="B5399" t="s">
        <v>1055</v>
      </c>
      <c r="C5399" t="s">
        <v>175</v>
      </c>
      <c r="D5399" t="s">
        <v>237</v>
      </c>
      <c r="E5399" t="s">
        <v>306</v>
      </c>
      <c r="F5399">
        <v>2</v>
      </c>
      <c r="G5399" t="s">
        <v>176</v>
      </c>
      <c r="H5399">
        <v>2</v>
      </c>
      <c r="I5399">
        <v>37</v>
      </c>
      <c r="J5399" s="10">
        <v>20</v>
      </c>
      <c r="K5399" s="10">
        <f>SUMIFS(F:F,D:D,DST_123_ÜRETİM_İHTİYAÇ_RAPORU_BURAK_YENI1309[[#This Row],[ALT_KOD]])-(SUMIFS(H:H,D:D,DST_123_ÜRETİM_İHTİYAÇ_RAPORU_BURAK_YENI1309[[#This Row],[ALT_KOD]])+AVERAGEIFS(I:I,D:D,DST_123_ÜRETİM_İHTİYAÇ_RAPORU_BURAK_YENI1309[[#This Row],[ALT_KOD]])+AVERAGEIFS(L:L,D:D,DST_123_ÜRETİM_İHTİYAÇ_RAPORU_BURAK_YENI1309[[#This Row],[ALT_KOD]]))</f>
        <v>-13</v>
      </c>
      <c r="L5399">
        <v>0</v>
      </c>
      <c r="M5399">
        <f>IF((DST_123_ÜRETİM_İHTİYAÇ_RAPORU_BURAK_YENI1309[[#This Row],[SATINALMA]]*DST_123_ÜRETİM_İHTİYAÇ_RAPORU_BURAK_YENI1309[[#This Row],[BIRIM_FIYATLAR]])&lt;1,VALUE("0"),DST_123_ÜRETİM_İHTİYAÇ_RAPORU_BURAK_YENI1309[[#This Row],[SATINALMA]]*DST_123_ÜRETİM_İHTİYAÇ_RAPORU_BURAK_YENI1309[[#This Row],[BIRIM_FIYATLAR]])</f>
        <v>0</v>
      </c>
      <c r="N5399">
        <v>45.3</v>
      </c>
      <c r="O5399" t="s">
        <v>826</v>
      </c>
      <c r="P5399">
        <v>90.6</v>
      </c>
      <c r="Q5399" t="s">
        <v>221</v>
      </c>
    </row>
    <row r="5400" spans="1:17" x14ac:dyDescent="0.25">
      <c r="A5400" t="s">
        <v>1057</v>
      </c>
      <c r="B5400" t="s">
        <v>1058</v>
      </c>
      <c r="C5400" t="s">
        <v>175</v>
      </c>
      <c r="D5400" t="s">
        <v>17</v>
      </c>
      <c r="E5400" t="s">
        <v>18</v>
      </c>
      <c r="F5400">
        <v>1</v>
      </c>
      <c r="G5400" t="s">
        <v>176</v>
      </c>
      <c r="H5400">
        <v>1</v>
      </c>
      <c r="I5400">
        <v>56</v>
      </c>
      <c r="J5400" s="10">
        <v>11</v>
      </c>
      <c r="K5400" s="10">
        <f>SUMIFS(F:F,D:D,DST_123_ÜRETİM_İHTİYAÇ_RAPORU_BURAK_YENI1309[[#This Row],[ALT_KOD]])-(SUMIFS(H:H,D:D,DST_123_ÜRETİM_İHTİYAÇ_RAPORU_BURAK_YENI1309[[#This Row],[ALT_KOD]])+AVERAGEIFS(I:I,D:D,DST_123_ÜRETİM_İHTİYAÇ_RAPORU_BURAK_YENI1309[[#This Row],[ALT_KOD]])+AVERAGEIFS(L:L,D:D,DST_123_ÜRETİM_İHTİYAÇ_RAPORU_BURAK_YENI1309[[#This Row],[ALT_KOD]]))</f>
        <v>-43</v>
      </c>
      <c r="L5400">
        <v>0</v>
      </c>
      <c r="M5400">
        <f>IF((DST_123_ÜRETİM_İHTİYAÇ_RAPORU_BURAK_YENI1309[[#This Row],[SATINALMA]]*DST_123_ÜRETİM_İHTİYAÇ_RAPORU_BURAK_YENI1309[[#This Row],[BIRIM_FIYATLAR]])&lt;1,VALUE("0"),DST_123_ÜRETİM_İHTİYAÇ_RAPORU_BURAK_YENI1309[[#This Row],[SATINALMA]]*DST_123_ÜRETİM_İHTİYAÇ_RAPORU_BURAK_YENI1309[[#This Row],[BIRIM_FIYATLAR]])</f>
        <v>0</v>
      </c>
      <c r="N5400">
        <v>936.72</v>
      </c>
      <c r="O5400" t="s">
        <v>1230</v>
      </c>
      <c r="P5400">
        <v>936.72</v>
      </c>
      <c r="Q5400" t="s">
        <v>221</v>
      </c>
    </row>
    <row r="5401" spans="1:17" x14ac:dyDescent="0.25">
      <c r="A5401" t="s">
        <v>1097</v>
      </c>
      <c r="B5401" t="s">
        <v>1055</v>
      </c>
      <c r="C5401" t="s">
        <v>175</v>
      </c>
      <c r="D5401" t="s">
        <v>448</v>
      </c>
      <c r="E5401" t="s">
        <v>449</v>
      </c>
      <c r="F5401">
        <v>2</v>
      </c>
      <c r="G5401" t="s">
        <v>176</v>
      </c>
      <c r="H5401">
        <v>2</v>
      </c>
      <c r="I5401">
        <v>27</v>
      </c>
      <c r="J5401" s="10">
        <v>16</v>
      </c>
      <c r="K5401" s="10">
        <f>SUMIFS(F:F,D:D,DST_123_ÜRETİM_İHTİYAÇ_RAPORU_BURAK_YENI1309[[#This Row],[ALT_KOD]])-(SUMIFS(H:H,D:D,DST_123_ÜRETİM_İHTİYAÇ_RAPORU_BURAK_YENI1309[[#This Row],[ALT_KOD]])+AVERAGEIFS(I:I,D:D,DST_123_ÜRETİM_İHTİYAÇ_RAPORU_BURAK_YENI1309[[#This Row],[ALT_KOD]])+AVERAGEIFS(L:L,D:D,DST_123_ÜRETİM_İHTİYAÇ_RAPORU_BURAK_YENI1309[[#This Row],[ALT_KOD]]))</f>
        <v>-3</v>
      </c>
      <c r="L5401">
        <v>0</v>
      </c>
      <c r="M5401">
        <f>IF((DST_123_ÜRETİM_İHTİYAÇ_RAPORU_BURAK_YENI1309[[#This Row],[SATINALMA]]*DST_123_ÜRETİM_İHTİYAÇ_RAPORU_BURAK_YENI1309[[#This Row],[BIRIM_FIYATLAR]])&lt;1,VALUE("0"),DST_123_ÜRETİM_İHTİYAÇ_RAPORU_BURAK_YENI1309[[#This Row],[SATINALMA]]*DST_123_ÜRETİM_İHTİYAÇ_RAPORU_BURAK_YENI1309[[#This Row],[BIRIM_FIYATLAR]])</f>
        <v>0</v>
      </c>
      <c r="N5401">
        <v>66.23</v>
      </c>
      <c r="O5401" t="s">
        <v>227</v>
      </c>
      <c r="P5401">
        <v>132.46</v>
      </c>
      <c r="Q5401" t="s">
        <v>221</v>
      </c>
    </row>
    <row r="5402" spans="1:17" x14ac:dyDescent="0.25">
      <c r="A5402" t="s">
        <v>1099</v>
      </c>
      <c r="B5402" t="s">
        <v>1055</v>
      </c>
      <c r="C5402" t="s">
        <v>175</v>
      </c>
      <c r="D5402" t="s">
        <v>68</v>
      </c>
      <c r="E5402" t="s">
        <v>69</v>
      </c>
      <c r="F5402">
        <v>10.139999999999999</v>
      </c>
      <c r="G5402" t="s">
        <v>185</v>
      </c>
      <c r="H5402">
        <v>0</v>
      </c>
      <c r="I5402">
        <v>134.9</v>
      </c>
      <c r="J5402" s="10">
        <v>46.099999999999767</v>
      </c>
      <c r="K5402" s="10">
        <f>SUMIFS(F:F,D:D,DST_123_ÜRETİM_İHTİYAÇ_RAPORU_BURAK_YENI1309[[#This Row],[ALT_KOD]])-(SUMIFS(H:H,D:D,DST_123_ÜRETİM_İHTİYAÇ_RAPORU_BURAK_YENI1309[[#This Row],[ALT_KOD]])+AVERAGEIFS(I:I,D:D,DST_123_ÜRETİM_İHTİYAÇ_RAPORU_BURAK_YENI1309[[#This Row],[ALT_KOD]])+AVERAGEIFS(L:L,D:D,DST_123_ÜRETİM_İHTİYAÇ_RAPORU_BURAK_YENI1309[[#This Row],[ALT_KOD]]))</f>
        <v>43.169999999999959</v>
      </c>
      <c r="L5402">
        <v>0</v>
      </c>
      <c r="M5402">
        <f>IF((DST_123_ÜRETİM_İHTİYAÇ_RAPORU_BURAK_YENI1309[[#This Row],[SATINALMA]]*DST_123_ÜRETİM_İHTİYAÇ_RAPORU_BURAK_YENI1309[[#This Row],[BIRIM_FIYATLAR]])&lt;1,VALUE("0"),DST_123_ÜRETİM_İHTİYAÇ_RAPORU_BURAK_YENI1309[[#This Row],[SATINALMA]]*DST_123_ÜRETİM_İHTİYAÇ_RAPORU_BURAK_YENI1309[[#This Row],[BIRIM_FIYATLAR]])</f>
        <v>4160.2928999999958</v>
      </c>
      <c r="N5402">
        <v>96.37</v>
      </c>
      <c r="O5402" t="s">
        <v>490</v>
      </c>
      <c r="P5402">
        <v>977.19179999999994</v>
      </c>
      <c r="Q5402" t="s">
        <v>183</v>
      </c>
    </row>
    <row r="5403" spans="1:17" x14ac:dyDescent="0.25">
      <c r="A5403" t="s">
        <v>1101</v>
      </c>
      <c r="B5403" t="s">
        <v>1102</v>
      </c>
      <c r="C5403" t="s">
        <v>175</v>
      </c>
      <c r="D5403" t="s">
        <v>603</v>
      </c>
      <c r="E5403" t="s">
        <v>604</v>
      </c>
      <c r="F5403">
        <v>2</v>
      </c>
      <c r="G5403" t="s">
        <v>176</v>
      </c>
      <c r="H5403">
        <v>2</v>
      </c>
      <c r="I5403">
        <v>5</v>
      </c>
      <c r="J5403" s="10">
        <v>10</v>
      </c>
      <c r="K5403" s="10">
        <f>SUMIFS(F:F,D:D,DST_123_ÜRETİM_İHTİYAÇ_RAPORU_BURAK_YENI1309[[#This Row],[ALT_KOD]])-(SUMIFS(H:H,D:D,DST_123_ÜRETİM_İHTİYAÇ_RAPORU_BURAK_YENI1309[[#This Row],[ALT_KOD]])+AVERAGEIFS(I:I,D:D,DST_123_ÜRETİM_İHTİYAÇ_RAPORU_BURAK_YENI1309[[#This Row],[ALT_KOD]])+AVERAGEIFS(L:L,D:D,DST_123_ÜRETİM_İHTİYAÇ_RAPORU_BURAK_YENI1309[[#This Row],[ALT_KOD]]))</f>
        <v>11</v>
      </c>
      <c r="L5403">
        <v>0</v>
      </c>
      <c r="M5403">
        <f>IF((DST_123_ÜRETİM_İHTİYAÇ_RAPORU_BURAK_YENI1309[[#This Row],[SATINALMA]]*DST_123_ÜRETİM_İHTİYAÇ_RAPORU_BURAK_YENI1309[[#This Row],[BIRIM_FIYATLAR]])&lt;1,VALUE("0"),DST_123_ÜRETİM_İHTİYAÇ_RAPORU_BURAK_YENI1309[[#This Row],[SATINALMA]]*DST_123_ÜRETİM_İHTİYAÇ_RAPORU_BURAK_YENI1309[[#This Row],[BIRIM_FIYATLAR]])</f>
        <v>832.04</v>
      </c>
      <c r="N5403">
        <v>75.64</v>
      </c>
      <c r="O5403" t="s">
        <v>636</v>
      </c>
      <c r="P5403">
        <v>151.28</v>
      </c>
      <c r="Q5403" t="s">
        <v>177</v>
      </c>
    </row>
    <row r="5404" spans="1:17" x14ac:dyDescent="0.25">
      <c r="A5404" t="s">
        <v>1057</v>
      </c>
      <c r="B5404" t="s">
        <v>1058</v>
      </c>
      <c r="C5404" t="s">
        <v>175</v>
      </c>
      <c r="D5404" t="s">
        <v>607</v>
      </c>
      <c r="E5404" t="s">
        <v>608</v>
      </c>
      <c r="F5404">
        <v>2</v>
      </c>
      <c r="G5404" t="s">
        <v>176</v>
      </c>
      <c r="H5404">
        <v>2</v>
      </c>
      <c r="I5404">
        <v>0</v>
      </c>
      <c r="J5404" s="10">
        <v>10</v>
      </c>
      <c r="K5404" s="10">
        <f>SUMIFS(F:F,D:D,DST_123_ÜRETİM_İHTİYAÇ_RAPORU_BURAK_YENI1309[[#This Row],[ALT_KOD]])-(SUMIFS(H:H,D:D,DST_123_ÜRETİM_İHTİYAÇ_RAPORU_BURAK_YENI1309[[#This Row],[ALT_KOD]])+AVERAGEIFS(I:I,D:D,DST_123_ÜRETİM_İHTİYAÇ_RAPORU_BURAK_YENI1309[[#This Row],[ALT_KOD]])+AVERAGEIFS(L:L,D:D,DST_123_ÜRETİM_İHTİYAÇ_RAPORU_BURAK_YENI1309[[#This Row],[ALT_KOD]]))</f>
        <v>24</v>
      </c>
      <c r="L5404">
        <v>0</v>
      </c>
      <c r="M5404">
        <f>IF((DST_123_ÜRETİM_İHTİYAÇ_RAPORU_BURAK_YENI1309[[#This Row],[SATINALMA]]*DST_123_ÜRETİM_İHTİYAÇ_RAPORU_BURAK_YENI1309[[#This Row],[BIRIM_FIYATLAR]])&lt;1,VALUE("0"),DST_123_ÜRETİM_İHTİYAÇ_RAPORU_BURAK_YENI1309[[#This Row],[SATINALMA]]*DST_123_ÜRETİM_İHTİYAÇ_RAPORU_BURAK_YENI1309[[#This Row],[BIRIM_FIYATLAR]])</f>
        <v>1358.4</v>
      </c>
      <c r="N5404">
        <v>56.6</v>
      </c>
      <c r="O5404" t="s">
        <v>636</v>
      </c>
      <c r="P5404">
        <v>113.2</v>
      </c>
      <c r="Q5404" t="s">
        <v>177</v>
      </c>
    </row>
    <row r="5405" spans="1:17" x14ac:dyDescent="0.25">
      <c r="A5405" t="s">
        <v>1100</v>
      </c>
      <c r="B5405" t="s">
        <v>1058</v>
      </c>
      <c r="C5405" t="s">
        <v>175</v>
      </c>
      <c r="D5405" t="s">
        <v>607</v>
      </c>
      <c r="E5405" t="s">
        <v>608</v>
      </c>
      <c r="F5405">
        <v>2</v>
      </c>
      <c r="G5405" t="s">
        <v>176</v>
      </c>
      <c r="H5405">
        <v>2</v>
      </c>
      <c r="I5405">
        <v>0</v>
      </c>
      <c r="J5405" s="10">
        <v>10</v>
      </c>
      <c r="K5405" s="10">
        <f>SUMIFS(F:F,D:D,DST_123_ÜRETİM_İHTİYAÇ_RAPORU_BURAK_YENI1309[[#This Row],[ALT_KOD]])-(SUMIFS(H:H,D:D,DST_123_ÜRETİM_İHTİYAÇ_RAPORU_BURAK_YENI1309[[#This Row],[ALT_KOD]])+AVERAGEIFS(I:I,D:D,DST_123_ÜRETİM_İHTİYAÇ_RAPORU_BURAK_YENI1309[[#This Row],[ALT_KOD]])+AVERAGEIFS(L:L,D:D,DST_123_ÜRETİM_İHTİYAÇ_RAPORU_BURAK_YENI1309[[#This Row],[ALT_KOD]]))</f>
        <v>24</v>
      </c>
      <c r="L5405">
        <v>0</v>
      </c>
      <c r="M5405">
        <f>IF((DST_123_ÜRETİM_İHTİYAÇ_RAPORU_BURAK_YENI1309[[#This Row],[SATINALMA]]*DST_123_ÜRETİM_İHTİYAÇ_RAPORU_BURAK_YENI1309[[#This Row],[BIRIM_FIYATLAR]])&lt;1,VALUE("0"),DST_123_ÜRETİM_İHTİYAÇ_RAPORU_BURAK_YENI1309[[#This Row],[SATINALMA]]*DST_123_ÜRETİM_İHTİYAÇ_RAPORU_BURAK_YENI1309[[#This Row],[BIRIM_FIYATLAR]])</f>
        <v>1358.4</v>
      </c>
      <c r="N5405">
        <v>56.6</v>
      </c>
      <c r="O5405" t="s">
        <v>636</v>
      </c>
      <c r="P5405">
        <v>113.2</v>
      </c>
      <c r="Q5405" t="s">
        <v>177</v>
      </c>
    </row>
    <row r="5406" spans="1:17" x14ac:dyDescent="0.25">
      <c r="A5406" t="s">
        <v>1100</v>
      </c>
      <c r="B5406" t="s">
        <v>1058</v>
      </c>
      <c r="C5406" t="s">
        <v>175</v>
      </c>
      <c r="D5406" t="s">
        <v>1062</v>
      </c>
      <c r="E5406" t="s">
        <v>1063</v>
      </c>
      <c r="F5406">
        <v>1</v>
      </c>
      <c r="G5406" t="s">
        <v>176</v>
      </c>
      <c r="H5406">
        <v>1</v>
      </c>
      <c r="I5406">
        <v>4</v>
      </c>
      <c r="J5406" s="10">
        <v>3</v>
      </c>
      <c r="K5406" s="10">
        <f>SUMIFS(F:F,D:D,DST_123_ÜRETİM_İHTİYAÇ_RAPORU_BURAK_YENI1309[[#This Row],[ALT_KOD]])-(SUMIFS(H:H,D:D,DST_123_ÜRETİM_İHTİYAÇ_RAPORU_BURAK_YENI1309[[#This Row],[ALT_KOD]])+AVERAGEIFS(I:I,D:D,DST_123_ÜRETİM_İHTİYAÇ_RAPORU_BURAK_YENI1309[[#This Row],[ALT_KOD]])+AVERAGEIFS(L:L,D:D,DST_123_ÜRETİM_İHTİYAÇ_RAPORU_BURAK_YENI1309[[#This Row],[ALT_KOD]]))</f>
        <v>-4</v>
      </c>
      <c r="L5406">
        <v>0</v>
      </c>
      <c r="M5406">
        <f>IF((DST_123_ÜRETİM_İHTİYAÇ_RAPORU_BURAK_YENI1309[[#This Row],[SATINALMA]]*DST_123_ÜRETİM_İHTİYAÇ_RAPORU_BURAK_YENI1309[[#This Row],[BIRIM_FIYATLAR]])&lt;1,VALUE("0"),DST_123_ÜRETİM_İHTİYAÇ_RAPORU_BURAK_YENI1309[[#This Row],[SATINALMA]]*DST_123_ÜRETİM_İHTİYAÇ_RAPORU_BURAK_YENI1309[[#This Row],[BIRIM_FIYATLAR]])</f>
        <v>0</v>
      </c>
      <c r="N5406">
        <v>12124.73</v>
      </c>
      <c r="O5406" t="s">
        <v>589</v>
      </c>
      <c r="P5406">
        <v>12124.73</v>
      </c>
      <c r="Q5406" t="s">
        <v>177</v>
      </c>
    </row>
    <row r="5407" spans="1:17" x14ac:dyDescent="0.25">
      <c r="A5407" t="s">
        <v>1057</v>
      </c>
      <c r="B5407" t="s">
        <v>1058</v>
      </c>
      <c r="C5407" t="s">
        <v>175</v>
      </c>
      <c r="D5407" t="s">
        <v>237</v>
      </c>
      <c r="E5407" t="s">
        <v>306</v>
      </c>
      <c r="F5407">
        <v>2</v>
      </c>
      <c r="G5407" t="s">
        <v>176</v>
      </c>
      <c r="H5407">
        <v>2</v>
      </c>
      <c r="I5407">
        <v>37</v>
      </c>
      <c r="J5407" s="10">
        <v>20</v>
      </c>
      <c r="K5407" s="10">
        <f>SUMIFS(F:F,D:D,DST_123_ÜRETİM_İHTİYAÇ_RAPORU_BURAK_YENI1309[[#This Row],[ALT_KOD]])-(SUMIFS(H:H,D:D,DST_123_ÜRETİM_İHTİYAÇ_RAPORU_BURAK_YENI1309[[#This Row],[ALT_KOD]])+AVERAGEIFS(I:I,D:D,DST_123_ÜRETİM_İHTİYAÇ_RAPORU_BURAK_YENI1309[[#This Row],[ALT_KOD]])+AVERAGEIFS(L:L,D:D,DST_123_ÜRETİM_İHTİYAÇ_RAPORU_BURAK_YENI1309[[#This Row],[ALT_KOD]]))</f>
        <v>-13</v>
      </c>
      <c r="L5407">
        <v>0</v>
      </c>
      <c r="M5407">
        <f>IF((DST_123_ÜRETİM_İHTİYAÇ_RAPORU_BURAK_YENI1309[[#This Row],[SATINALMA]]*DST_123_ÜRETİM_İHTİYAÇ_RAPORU_BURAK_YENI1309[[#This Row],[BIRIM_FIYATLAR]])&lt;1,VALUE("0"),DST_123_ÜRETİM_İHTİYAÇ_RAPORU_BURAK_YENI1309[[#This Row],[SATINALMA]]*DST_123_ÜRETİM_İHTİYAÇ_RAPORU_BURAK_YENI1309[[#This Row],[BIRIM_FIYATLAR]])</f>
        <v>0</v>
      </c>
      <c r="N5407">
        <v>45.3</v>
      </c>
      <c r="O5407" t="s">
        <v>826</v>
      </c>
      <c r="P5407">
        <v>90.6</v>
      </c>
      <c r="Q5407" t="s">
        <v>221</v>
      </c>
    </row>
    <row r="5408" spans="1:17" x14ac:dyDescent="0.25">
      <c r="A5408" t="s">
        <v>1100</v>
      </c>
      <c r="B5408" t="s">
        <v>1058</v>
      </c>
      <c r="C5408" t="s">
        <v>175</v>
      </c>
      <c r="D5408" t="s">
        <v>448</v>
      </c>
      <c r="E5408" t="s">
        <v>449</v>
      </c>
      <c r="F5408">
        <v>2</v>
      </c>
      <c r="G5408" t="s">
        <v>176</v>
      </c>
      <c r="H5408">
        <v>2</v>
      </c>
      <c r="I5408">
        <v>27</v>
      </c>
      <c r="J5408" s="10">
        <v>16</v>
      </c>
      <c r="K5408" s="10">
        <f>SUMIFS(F:F,D:D,DST_123_ÜRETİM_İHTİYAÇ_RAPORU_BURAK_YENI1309[[#This Row],[ALT_KOD]])-(SUMIFS(H:H,D:D,DST_123_ÜRETİM_İHTİYAÇ_RAPORU_BURAK_YENI1309[[#This Row],[ALT_KOD]])+AVERAGEIFS(I:I,D:D,DST_123_ÜRETİM_İHTİYAÇ_RAPORU_BURAK_YENI1309[[#This Row],[ALT_KOD]])+AVERAGEIFS(L:L,D:D,DST_123_ÜRETİM_İHTİYAÇ_RAPORU_BURAK_YENI1309[[#This Row],[ALT_KOD]]))</f>
        <v>-3</v>
      </c>
      <c r="L5408">
        <v>0</v>
      </c>
      <c r="M5408">
        <f>IF((DST_123_ÜRETİM_İHTİYAÇ_RAPORU_BURAK_YENI1309[[#This Row],[SATINALMA]]*DST_123_ÜRETİM_İHTİYAÇ_RAPORU_BURAK_YENI1309[[#This Row],[BIRIM_FIYATLAR]])&lt;1,VALUE("0"),DST_123_ÜRETİM_İHTİYAÇ_RAPORU_BURAK_YENI1309[[#This Row],[SATINALMA]]*DST_123_ÜRETİM_İHTİYAÇ_RAPORU_BURAK_YENI1309[[#This Row],[BIRIM_FIYATLAR]])</f>
        <v>0</v>
      </c>
      <c r="N5408">
        <v>66.23</v>
      </c>
      <c r="O5408" t="s">
        <v>227</v>
      </c>
      <c r="P5408">
        <v>132.46</v>
      </c>
      <c r="Q5408" t="s">
        <v>221</v>
      </c>
    </row>
    <row r="5409" spans="1:17" x14ac:dyDescent="0.25">
      <c r="A5409" t="s">
        <v>1064</v>
      </c>
      <c r="B5409" t="s">
        <v>1055</v>
      </c>
      <c r="C5409" t="s">
        <v>175</v>
      </c>
      <c r="D5409" t="s">
        <v>448</v>
      </c>
      <c r="E5409" t="s">
        <v>449</v>
      </c>
      <c r="F5409">
        <v>2</v>
      </c>
      <c r="G5409" t="s">
        <v>176</v>
      </c>
      <c r="H5409">
        <v>2</v>
      </c>
      <c r="I5409">
        <v>27</v>
      </c>
      <c r="J5409" s="10">
        <v>16</v>
      </c>
      <c r="K5409" s="10">
        <f>SUMIFS(F:F,D:D,DST_123_ÜRETİM_İHTİYAÇ_RAPORU_BURAK_YENI1309[[#This Row],[ALT_KOD]])-(SUMIFS(H:H,D:D,DST_123_ÜRETİM_İHTİYAÇ_RAPORU_BURAK_YENI1309[[#This Row],[ALT_KOD]])+AVERAGEIFS(I:I,D:D,DST_123_ÜRETİM_İHTİYAÇ_RAPORU_BURAK_YENI1309[[#This Row],[ALT_KOD]])+AVERAGEIFS(L:L,D:D,DST_123_ÜRETİM_İHTİYAÇ_RAPORU_BURAK_YENI1309[[#This Row],[ALT_KOD]]))</f>
        <v>-3</v>
      </c>
      <c r="L5409">
        <v>0</v>
      </c>
      <c r="M5409">
        <f>IF((DST_123_ÜRETİM_İHTİYAÇ_RAPORU_BURAK_YENI1309[[#This Row],[SATINALMA]]*DST_123_ÜRETİM_İHTİYAÇ_RAPORU_BURAK_YENI1309[[#This Row],[BIRIM_FIYATLAR]])&lt;1,VALUE("0"),DST_123_ÜRETİM_İHTİYAÇ_RAPORU_BURAK_YENI1309[[#This Row],[SATINALMA]]*DST_123_ÜRETİM_İHTİYAÇ_RAPORU_BURAK_YENI1309[[#This Row],[BIRIM_FIYATLAR]])</f>
        <v>0</v>
      </c>
      <c r="N5409">
        <v>66.23</v>
      </c>
      <c r="O5409" t="s">
        <v>227</v>
      </c>
      <c r="P5409">
        <v>132.46</v>
      </c>
      <c r="Q5409" t="s">
        <v>221</v>
      </c>
    </row>
    <row r="5410" spans="1:17" x14ac:dyDescent="0.25">
      <c r="A5410" t="s">
        <v>1146</v>
      </c>
      <c r="B5410" t="s">
        <v>1145</v>
      </c>
      <c r="C5410" t="s">
        <v>175</v>
      </c>
      <c r="D5410" t="s">
        <v>607</v>
      </c>
      <c r="E5410" t="s">
        <v>608</v>
      </c>
      <c r="F5410">
        <v>2</v>
      </c>
      <c r="G5410" t="s">
        <v>176</v>
      </c>
      <c r="H5410">
        <v>0</v>
      </c>
      <c r="I5410">
        <v>0</v>
      </c>
      <c r="J5410" s="10">
        <v>10</v>
      </c>
      <c r="K5410" s="10">
        <f>SUMIFS(F:F,D:D,DST_123_ÜRETİM_İHTİYAÇ_RAPORU_BURAK_YENI1309[[#This Row],[ALT_KOD]])-(SUMIFS(H:H,D:D,DST_123_ÜRETİM_İHTİYAÇ_RAPORU_BURAK_YENI1309[[#This Row],[ALT_KOD]])+AVERAGEIFS(I:I,D:D,DST_123_ÜRETİM_İHTİYAÇ_RAPORU_BURAK_YENI1309[[#This Row],[ALT_KOD]])+AVERAGEIFS(L:L,D:D,DST_123_ÜRETİM_İHTİYAÇ_RAPORU_BURAK_YENI1309[[#This Row],[ALT_KOD]]))</f>
        <v>24</v>
      </c>
      <c r="L5410">
        <v>0</v>
      </c>
      <c r="M5410">
        <f>IF((DST_123_ÜRETİM_İHTİYAÇ_RAPORU_BURAK_YENI1309[[#This Row],[SATINALMA]]*DST_123_ÜRETİM_İHTİYAÇ_RAPORU_BURAK_YENI1309[[#This Row],[BIRIM_FIYATLAR]])&lt;1,VALUE("0"),DST_123_ÜRETİM_İHTİYAÇ_RAPORU_BURAK_YENI1309[[#This Row],[SATINALMA]]*DST_123_ÜRETİM_İHTİYAÇ_RAPORU_BURAK_YENI1309[[#This Row],[BIRIM_FIYATLAR]])</f>
        <v>1358.4</v>
      </c>
      <c r="N5410">
        <v>56.6</v>
      </c>
      <c r="O5410" t="s">
        <v>636</v>
      </c>
      <c r="P5410">
        <v>113.2</v>
      </c>
      <c r="Q5410" t="s">
        <v>177</v>
      </c>
    </row>
    <row r="5411" spans="1:17" x14ac:dyDescent="0.25">
      <c r="A5411" t="s">
        <v>1149</v>
      </c>
      <c r="B5411" t="s">
        <v>1145</v>
      </c>
      <c r="C5411" t="s">
        <v>175</v>
      </c>
      <c r="D5411" t="s">
        <v>738</v>
      </c>
      <c r="E5411" t="s">
        <v>739</v>
      </c>
      <c r="F5411">
        <v>1</v>
      </c>
      <c r="G5411" t="s">
        <v>176</v>
      </c>
      <c r="H5411">
        <v>0</v>
      </c>
      <c r="I5411">
        <v>10</v>
      </c>
      <c r="J5411" s="10">
        <v>16</v>
      </c>
      <c r="K5411" s="10">
        <f>SUMIFS(F:F,D:D,DST_123_ÜRETİM_İHTİYAÇ_RAPORU_BURAK_YENI1309[[#This Row],[ALT_KOD]])-(SUMIFS(H:H,D:D,DST_123_ÜRETİM_İHTİYAÇ_RAPORU_BURAK_YENI1309[[#This Row],[ALT_KOD]])+AVERAGEIFS(I:I,D:D,DST_123_ÜRETİM_İHTİYAÇ_RAPORU_BURAK_YENI1309[[#This Row],[ALT_KOD]])+AVERAGEIFS(L:L,D:D,DST_123_ÜRETİM_İHTİYAÇ_RAPORU_BURAK_YENI1309[[#This Row],[ALT_KOD]]))</f>
        <v>2</v>
      </c>
      <c r="L5411">
        <v>0</v>
      </c>
      <c r="M5411">
        <f>IF((DST_123_ÜRETİM_İHTİYAÇ_RAPORU_BURAK_YENI1309[[#This Row],[SATINALMA]]*DST_123_ÜRETİM_İHTİYAÇ_RAPORU_BURAK_YENI1309[[#This Row],[BIRIM_FIYATLAR]])&lt;1,VALUE("0"),DST_123_ÜRETİM_İHTİYAÇ_RAPORU_BURAK_YENI1309[[#This Row],[SATINALMA]]*DST_123_ÜRETİM_İHTİYAÇ_RAPORU_BURAK_YENI1309[[#This Row],[BIRIM_FIYATLAR]])</f>
        <v>233.34</v>
      </c>
      <c r="N5411">
        <v>116.67</v>
      </c>
      <c r="O5411" t="s">
        <v>667</v>
      </c>
      <c r="P5411">
        <v>116.67</v>
      </c>
      <c r="Q5411" t="s">
        <v>177</v>
      </c>
    </row>
    <row r="5412" spans="1:17" x14ac:dyDescent="0.25">
      <c r="A5412" t="s">
        <v>1150</v>
      </c>
      <c r="B5412" t="s">
        <v>1145</v>
      </c>
      <c r="C5412" t="s">
        <v>175</v>
      </c>
      <c r="D5412" t="s">
        <v>781</v>
      </c>
      <c r="E5412" t="s">
        <v>782</v>
      </c>
      <c r="F5412">
        <v>1</v>
      </c>
      <c r="G5412" t="s">
        <v>176</v>
      </c>
      <c r="H5412">
        <v>0</v>
      </c>
      <c r="I5412">
        <v>14</v>
      </c>
      <c r="J5412" s="10">
        <v>9</v>
      </c>
      <c r="K5412" s="10">
        <f>SUMIFS(F:F,D:D,DST_123_ÜRETİM_İHTİYAÇ_RAPORU_BURAK_YENI1309[[#This Row],[ALT_KOD]])-(SUMIFS(H:H,D:D,DST_123_ÜRETİM_İHTİYAÇ_RAPORU_BURAK_YENI1309[[#This Row],[ALT_KOD]])+AVERAGEIFS(I:I,D:D,DST_123_ÜRETİM_İHTİYAÇ_RAPORU_BURAK_YENI1309[[#This Row],[ALT_KOD]])+AVERAGEIFS(L:L,D:D,DST_123_ÜRETİM_İHTİYAÇ_RAPORU_BURAK_YENI1309[[#This Row],[ALT_KOD]]))</f>
        <v>-3</v>
      </c>
      <c r="L5412">
        <v>0</v>
      </c>
      <c r="M5412">
        <f>IF((DST_123_ÜRETİM_İHTİYAÇ_RAPORU_BURAK_YENI1309[[#This Row],[SATINALMA]]*DST_123_ÜRETİM_İHTİYAÇ_RAPORU_BURAK_YENI1309[[#This Row],[BIRIM_FIYATLAR]])&lt;1,VALUE("0"),DST_123_ÜRETİM_İHTİYAÇ_RAPORU_BURAK_YENI1309[[#This Row],[SATINALMA]]*DST_123_ÜRETİM_İHTİYAÇ_RAPORU_BURAK_YENI1309[[#This Row],[BIRIM_FIYATLAR]])</f>
        <v>0</v>
      </c>
      <c r="N5412">
        <v>1020</v>
      </c>
      <c r="O5412" t="s">
        <v>289</v>
      </c>
      <c r="P5412">
        <v>1020</v>
      </c>
      <c r="Q5412" t="s">
        <v>178</v>
      </c>
    </row>
    <row r="5413" spans="1:17" x14ac:dyDescent="0.25">
      <c r="A5413" t="s">
        <v>1196</v>
      </c>
      <c r="B5413" t="s">
        <v>1197</v>
      </c>
      <c r="C5413" t="s">
        <v>175</v>
      </c>
      <c r="D5413" t="s">
        <v>732</v>
      </c>
      <c r="E5413" t="s">
        <v>733</v>
      </c>
      <c r="F5413">
        <v>16</v>
      </c>
      <c r="G5413" t="s">
        <v>185</v>
      </c>
      <c r="H5413">
        <v>0</v>
      </c>
      <c r="I5413">
        <v>0</v>
      </c>
      <c r="J5413" s="10">
        <v>62.999999999999986</v>
      </c>
      <c r="K5413" s="10">
        <f>SUMIFS(F:F,D:D,DST_123_ÜRETİM_İHTİYAÇ_RAPORU_BURAK_YENI1309[[#This Row],[ALT_KOD]])-(SUMIFS(H:H,D:D,DST_123_ÜRETİM_İHTİYAÇ_RAPORU_BURAK_YENI1309[[#This Row],[ALT_KOD]])+AVERAGEIFS(I:I,D:D,DST_123_ÜRETİM_İHTİYAÇ_RAPORU_BURAK_YENI1309[[#This Row],[ALT_KOD]])+AVERAGEIFS(L:L,D:D,DST_123_ÜRETİM_İHTİYAÇ_RAPORU_BURAK_YENI1309[[#This Row],[ALT_KOD]]))</f>
        <v>196</v>
      </c>
      <c r="L5413">
        <v>0</v>
      </c>
      <c r="M5413">
        <f>IF((DST_123_ÜRETİM_İHTİYAÇ_RAPORU_BURAK_YENI1309[[#This Row],[SATINALMA]]*DST_123_ÜRETİM_İHTİYAÇ_RAPORU_BURAK_YENI1309[[#This Row],[BIRIM_FIYATLAR]])&lt;1,VALUE("0"),DST_123_ÜRETİM_İHTİYAÇ_RAPORU_BURAK_YENI1309[[#This Row],[SATINALMA]]*DST_123_ÜRETİM_İHTİYAÇ_RAPORU_BURAK_YENI1309[[#This Row],[BIRIM_FIYATLAR]])</f>
        <v>215186.44000000003</v>
      </c>
      <c r="N5413">
        <v>1097.8900000000001</v>
      </c>
      <c r="O5413" t="s">
        <v>648</v>
      </c>
      <c r="P5413">
        <v>17566.240000000002</v>
      </c>
      <c r="Q5413" t="s">
        <v>183</v>
      </c>
    </row>
    <row r="5414" spans="1:17" x14ac:dyDescent="0.25">
      <c r="A5414" t="s">
        <v>1100</v>
      </c>
      <c r="B5414" t="s">
        <v>1058</v>
      </c>
      <c r="C5414" t="s">
        <v>175</v>
      </c>
      <c r="D5414" t="s">
        <v>285</v>
      </c>
      <c r="E5414" t="s">
        <v>286</v>
      </c>
      <c r="F5414">
        <v>0.25</v>
      </c>
      <c r="G5414" t="s">
        <v>185</v>
      </c>
      <c r="H5414">
        <v>0.25</v>
      </c>
      <c r="I5414">
        <v>0</v>
      </c>
      <c r="J5414" s="10">
        <v>24.129999999999985</v>
      </c>
      <c r="K5414" s="10">
        <f>SUMIFS(F:F,D:D,DST_123_ÜRETİM_İHTİYAÇ_RAPORU_BURAK_YENI1309[[#This Row],[ALT_KOD]])-(SUMIFS(H:H,D:D,DST_123_ÜRETİM_İHTİYAÇ_RAPORU_BURAK_YENI1309[[#This Row],[ALT_KOD]])+AVERAGEIFS(I:I,D:D,DST_123_ÜRETİM_İHTİYAÇ_RAPORU_BURAK_YENI1309[[#This Row],[ALT_KOD]])+AVERAGEIFS(L:L,D:D,DST_123_ÜRETİM_İHTİYAÇ_RAPORU_BURAK_YENI1309[[#This Row],[ALT_KOD]]))</f>
        <v>4.1899999999999995</v>
      </c>
      <c r="L5414">
        <v>0</v>
      </c>
      <c r="M5414">
        <f>IF((DST_123_ÜRETİM_İHTİYAÇ_RAPORU_BURAK_YENI1309[[#This Row],[SATINALMA]]*DST_123_ÜRETİM_İHTİYAÇ_RAPORU_BURAK_YENI1309[[#This Row],[BIRIM_FIYATLAR]])&lt;1,VALUE("0"),DST_123_ÜRETİM_İHTİYAÇ_RAPORU_BURAK_YENI1309[[#This Row],[SATINALMA]]*DST_123_ÜRETİM_İHTİYAÇ_RAPORU_BURAK_YENI1309[[#This Row],[BIRIM_FIYATLAR]])</f>
        <v>1667.7456999999997</v>
      </c>
      <c r="N5414">
        <v>398.03</v>
      </c>
      <c r="O5414" t="s">
        <v>490</v>
      </c>
      <c r="P5414">
        <v>99.507499999999993</v>
      </c>
      <c r="Q5414" t="s">
        <v>183</v>
      </c>
    </row>
    <row r="5415" spans="1:17" x14ac:dyDescent="0.25">
      <c r="A5415" t="s">
        <v>1057</v>
      </c>
      <c r="B5415" t="s">
        <v>1058</v>
      </c>
      <c r="C5415" t="s">
        <v>175</v>
      </c>
      <c r="D5415" t="s">
        <v>781</v>
      </c>
      <c r="E5415" t="s">
        <v>782</v>
      </c>
      <c r="F5415">
        <v>1</v>
      </c>
      <c r="G5415" t="s">
        <v>176</v>
      </c>
      <c r="H5415">
        <v>1</v>
      </c>
      <c r="I5415">
        <v>14</v>
      </c>
      <c r="J5415" s="10">
        <v>9</v>
      </c>
      <c r="K5415" s="10">
        <f>SUMIFS(F:F,D:D,DST_123_ÜRETİM_İHTİYAÇ_RAPORU_BURAK_YENI1309[[#This Row],[ALT_KOD]])-(SUMIFS(H:H,D:D,DST_123_ÜRETİM_İHTİYAÇ_RAPORU_BURAK_YENI1309[[#This Row],[ALT_KOD]])+AVERAGEIFS(I:I,D:D,DST_123_ÜRETİM_İHTİYAÇ_RAPORU_BURAK_YENI1309[[#This Row],[ALT_KOD]])+AVERAGEIFS(L:L,D:D,DST_123_ÜRETİM_İHTİYAÇ_RAPORU_BURAK_YENI1309[[#This Row],[ALT_KOD]]))</f>
        <v>-3</v>
      </c>
      <c r="L5415">
        <v>0</v>
      </c>
      <c r="M5415">
        <f>IF((DST_123_ÜRETİM_İHTİYAÇ_RAPORU_BURAK_YENI1309[[#This Row],[SATINALMA]]*DST_123_ÜRETİM_İHTİYAÇ_RAPORU_BURAK_YENI1309[[#This Row],[BIRIM_FIYATLAR]])&lt;1,VALUE("0"),DST_123_ÜRETİM_İHTİYAÇ_RAPORU_BURAK_YENI1309[[#This Row],[SATINALMA]]*DST_123_ÜRETİM_İHTİYAÇ_RAPORU_BURAK_YENI1309[[#This Row],[BIRIM_FIYATLAR]])</f>
        <v>0</v>
      </c>
      <c r="N5415">
        <v>1020</v>
      </c>
      <c r="O5415" t="s">
        <v>289</v>
      </c>
      <c r="P5415">
        <v>1020</v>
      </c>
      <c r="Q5415" t="s">
        <v>178</v>
      </c>
    </row>
    <row r="5416" spans="1:17" x14ac:dyDescent="0.25">
      <c r="A5416" t="s">
        <v>1100</v>
      </c>
      <c r="B5416" t="s">
        <v>1058</v>
      </c>
      <c r="C5416" t="s">
        <v>175</v>
      </c>
      <c r="D5416" t="s">
        <v>781</v>
      </c>
      <c r="E5416" t="s">
        <v>782</v>
      </c>
      <c r="F5416">
        <v>1</v>
      </c>
      <c r="G5416" t="s">
        <v>176</v>
      </c>
      <c r="H5416">
        <v>1</v>
      </c>
      <c r="I5416">
        <v>14</v>
      </c>
      <c r="J5416" s="10">
        <v>9</v>
      </c>
      <c r="K5416" s="10">
        <f>SUMIFS(F:F,D:D,DST_123_ÜRETİM_İHTİYAÇ_RAPORU_BURAK_YENI1309[[#This Row],[ALT_KOD]])-(SUMIFS(H:H,D:D,DST_123_ÜRETİM_İHTİYAÇ_RAPORU_BURAK_YENI1309[[#This Row],[ALT_KOD]])+AVERAGEIFS(I:I,D:D,DST_123_ÜRETİM_İHTİYAÇ_RAPORU_BURAK_YENI1309[[#This Row],[ALT_KOD]])+AVERAGEIFS(L:L,D:D,DST_123_ÜRETİM_İHTİYAÇ_RAPORU_BURAK_YENI1309[[#This Row],[ALT_KOD]]))</f>
        <v>-3</v>
      </c>
      <c r="L5416">
        <v>0</v>
      </c>
      <c r="M5416">
        <f>IF((DST_123_ÜRETİM_İHTİYAÇ_RAPORU_BURAK_YENI1309[[#This Row],[SATINALMA]]*DST_123_ÜRETİM_İHTİYAÇ_RAPORU_BURAK_YENI1309[[#This Row],[BIRIM_FIYATLAR]])&lt;1,VALUE("0"),DST_123_ÜRETİM_İHTİYAÇ_RAPORU_BURAK_YENI1309[[#This Row],[SATINALMA]]*DST_123_ÜRETİM_İHTİYAÇ_RAPORU_BURAK_YENI1309[[#This Row],[BIRIM_FIYATLAR]])</f>
        <v>0</v>
      </c>
      <c r="N5416">
        <v>1020</v>
      </c>
      <c r="O5416" t="s">
        <v>289</v>
      </c>
      <c r="P5416">
        <v>1020</v>
      </c>
      <c r="Q5416" t="s">
        <v>178</v>
      </c>
    </row>
    <row r="5417" spans="1:17" x14ac:dyDescent="0.25">
      <c r="A5417" t="s">
        <v>1060</v>
      </c>
      <c r="B5417" t="s">
        <v>1061</v>
      </c>
      <c r="C5417" t="s">
        <v>175</v>
      </c>
      <c r="D5417" t="s">
        <v>781</v>
      </c>
      <c r="E5417" t="s">
        <v>782</v>
      </c>
      <c r="F5417">
        <v>1</v>
      </c>
      <c r="G5417" t="s">
        <v>176</v>
      </c>
      <c r="H5417">
        <v>1</v>
      </c>
      <c r="I5417">
        <v>14</v>
      </c>
      <c r="J5417" s="10">
        <v>9</v>
      </c>
      <c r="K5417" s="10">
        <f>SUMIFS(F:F,D:D,DST_123_ÜRETİM_İHTİYAÇ_RAPORU_BURAK_YENI1309[[#This Row],[ALT_KOD]])-(SUMIFS(H:H,D:D,DST_123_ÜRETİM_İHTİYAÇ_RAPORU_BURAK_YENI1309[[#This Row],[ALT_KOD]])+AVERAGEIFS(I:I,D:D,DST_123_ÜRETİM_İHTİYAÇ_RAPORU_BURAK_YENI1309[[#This Row],[ALT_KOD]])+AVERAGEIFS(L:L,D:D,DST_123_ÜRETİM_İHTİYAÇ_RAPORU_BURAK_YENI1309[[#This Row],[ALT_KOD]]))</f>
        <v>-3</v>
      </c>
      <c r="L5417">
        <v>0</v>
      </c>
      <c r="M5417">
        <f>IF((DST_123_ÜRETİM_İHTİYAÇ_RAPORU_BURAK_YENI1309[[#This Row],[SATINALMA]]*DST_123_ÜRETİM_İHTİYAÇ_RAPORU_BURAK_YENI1309[[#This Row],[BIRIM_FIYATLAR]])&lt;1,VALUE("0"),DST_123_ÜRETİM_İHTİYAÇ_RAPORU_BURAK_YENI1309[[#This Row],[SATINALMA]]*DST_123_ÜRETİM_İHTİYAÇ_RAPORU_BURAK_YENI1309[[#This Row],[BIRIM_FIYATLAR]])</f>
        <v>0</v>
      </c>
      <c r="N5417">
        <v>1020</v>
      </c>
      <c r="O5417" t="s">
        <v>289</v>
      </c>
      <c r="P5417">
        <v>1020</v>
      </c>
      <c r="Q5417" t="s">
        <v>178</v>
      </c>
    </row>
    <row r="5418" spans="1:17" x14ac:dyDescent="0.25">
      <c r="A5418" t="s">
        <v>1097</v>
      </c>
      <c r="B5418" t="s">
        <v>1055</v>
      </c>
      <c r="C5418" t="s">
        <v>175</v>
      </c>
      <c r="D5418" t="s">
        <v>237</v>
      </c>
      <c r="E5418" t="s">
        <v>306</v>
      </c>
      <c r="F5418">
        <v>2</v>
      </c>
      <c r="G5418" t="s">
        <v>176</v>
      </c>
      <c r="H5418">
        <v>2</v>
      </c>
      <c r="I5418">
        <v>37</v>
      </c>
      <c r="J5418" s="10">
        <v>20</v>
      </c>
      <c r="K5418" s="10">
        <f>SUMIFS(F:F,D:D,DST_123_ÜRETİM_İHTİYAÇ_RAPORU_BURAK_YENI1309[[#This Row],[ALT_KOD]])-(SUMIFS(H:H,D:D,DST_123_ÜRETİM_İHTİYAÇ_RAPORU_BURAK_YENI1309[[#This Row],[ALT_KOD]])+AVERAGEIFS(I:I,D:D,DST_123_ÜRETİM_İHTİYAÇ_RAPORU_BURAK_YENI1309[[#This Row],[ALT_KOD]])+AVERAGEIFS(L:L,D:D,DST_123_ÜRETİM_İHTİYAÇ_RAPORU_BURAK_YENI1309[[#This Row],[ALT_KOD]]))</f>
        <v>-13</v>
      </c>
      <c r="L5418">
        <v>0</v>
      </c>
      <c r="M5418">
        <f>IF((DST_123_ÜRETİM_İHTİYAÇ_RAPORU_BURAK_YENI1309[[#This Row],[SATINALMA]]*DST_123_ÜRETİM_İHTİYAÇ_RAPORU_BURAK_YENI1309[[#This Row],[BIRIM_FIYATLAR]])&lt;1,VALUE("0"),DST_123_ÜRETİM_İHTİYAÇ_RAPORU_BURAK_YENI1309[[#This Row],[SATINALMA]]*DST_123_ÜRETİM_İHTİYAÇ_RAPORU_BURAK_YENI1309[[#This Row],[BIRIM_FIYATLAR]])</f>
        <v>0</v>
      </c>
      <c r="N5418">
        <v>45.3</v>
      </c>
      <c r="O5418" t="s">
        <v>826</v>
      </c>
      <c r="P5418">
        <v>90.6</v>
      </c>
      <c r="Q5418" t="s">
        <v>221</v>
      </c>
    </row>
    <row r="5419" spans="1:17" x14ac:dyDescent="0.25">
      <c r="A5419" t="s">
        <v>1149</v>
      </c>
      <c r="B5419" t="s">
        <v>1145</v>
      </c>
      <c r="C5419" t="s">
        <v>175</v>
      </c>
      <c r="D5419" t="s">
        <v>510</v>
      </c>
      <c r="E5419" t="s">
        <v>511</v>
      </c>
      <c r="F5419">
        <v>2</v>
      </c>
      <c r="G5419" t="s">
        <v>176</v>
      </c>
      <c r="H5419">
        <v>0</v>
      </c>
      <c r="I5419">
        <v>0</v>
      </c>
      <c r="J5419" s="10">
        <v>14</v>
      </c>
      <c r="K5419" s="10">
        <f>SUMIFS(F:F,D:D,DST_123_ÜRETİM_İHTİYAÇ_RAPORU_BURAK_YENI1309[[#This Row],[ALT_KOD]])-(SUMIFS(H:H,D:D,DST_123_ÜRETİM_İHTİYAÇ_RAPORU_BURAK_YENI1309[[#This Row],[ALT_KOD]])+AVERAGEIFS(I:I,D:D,DST_123_ÜRETİM_İHTİYAÇ_RAPORU_BURAK_YENI1309[[#This Row],[ALT_KOD]])+AVERAGEIFS(L:L,D:D,DST_123_ÜRETİM_İHTİYAÇ_RAPORU_BURAK_YENI1309[[#This Row],[ALT_KOD]]))</f>
        <v>38</v>
      </c>
      <c r="L5419">
        <v>0</v>
      </c>
      <c r="M5419">
        <f>IF((DST_123_ÜRETİM_İHTİYAÇ_RAPORU_BURAK_YENI1309[[#This Row],[SATINALMA]]*DST_123_ÜRETİM_İHTİYAÇ_RAPORU_BURAK_YENI1309[[#This Row],[BIRIM_FIYATLAR]])&lt;1,VALUE("0"),DST_123_ÜRETİM_İHTİYAÇ_RAPORU_BURAK_YENI1309[[#This Row],[SATINALMA]]*DST_123_ÜRETİM_İHTİYAÇ_RAPORU_BURAK_YENI1309[[#This Row],[BIRIM_FIYATLAR]])</f>
        <v>261.06</v>
      </c>
      <c r="N5419">
        <v>6.87</v>
      </c>
      <c r="O5419" t="s">
        <v>826</v>
      </c>
      <c r="P5419">
        <v>13.74</v>
      </c>
      <c r="Q5419" t="s">
        <v>221</v>
      </c>
    </row>
    <row r="5420" spans="1:17" x14ac:dyDescent="0.25">
      <c r="A5420" t="s">
        <v>1149</v>
      </c>
      <c r="B5420" t="s">
        <v>1145</v>
      </c>
      <c r="C5420" t="s">
        <v>175</v>
      </c>
      <c r="D5420" t="s">
        <v>986</v>
      </c>
      <c r="E5420" t="s">
        <v>987</v>
      </c>
      <c r="F5420">
        <v>2.5</v>
      </c>
      <c r="G5420" t="s">
        <v>185</v>
      </c>
      <c r="H5420">
        <v>0</v>
      </c>
      <c r="I5420">
        <v>139</v>
      </c>
      <c r="J5420" s="10">
        <v>45.499999999999943</v>
      </c>
      <c r="K5420" s="10">
        <f>SUMIFS(F:F,D:D,DST_123_ÜRETİM_İHTİYAÇ_RAPORU_BURAK_YENI1309[[#This Row],[ALT_KOD]])-(SUMIFS(H:H,D:D,DST_123_ÜRETİM_İHTİYAÇ_RAPORU_BURAK_YENI1309[[#This Row],[ALT_KOD]])+AVERAGEIFS(I:I,D:D,DST_123_ÜRETİM_İHTİYAÇ_RAPORU_BURAK_YENI1309[[#This Row],[ALT_KOD]])+AVERAGEIFS(L:L,D:D,DST_123_ÜRETİM_İHTİYAÇ_RAPORU_BURAK_YENI1309[[#This Row],[ALT_KOD]]))</f>
        <v>-124</v>
      </c>
      <c r="L5420">
        <v>0</v>
      </c>
      <c r="M5420">
        <f>IF((DST_123_ÜRETİM_İHTİYAÇ_RAPORU_BURAK_YENI1309[[#This Row],[SATINALMA]]*DST_123_ÜRETİM_İHTİYAÇ_RAPORU_BURAK_YENI1309[[#This Row],[BIRIM_FIYATLAR]])&lt;1,VALUE("0"),DST_123_ÜRETİM_İHTİYAÇ_RAPORU_BURAK_YENI1309[[#This Row],[SATINALMA]]*DST_123_ÜRETİM_İHTİYAÇ_RAPORU_BURAK_YENI1309[[#This Row],[BIRIM_FIYATLAR]])</f>
        <v>0</v>
      </c>
      <c r="N5420">
        <v>233.95</v>
      </c>
      <c r="O5420" t="s">
        <v>490</v>
      </c>
      <c r="P5420">
        <v>584.875</v>
      </c>
      <c r="Q5420" t="s">
        <v>183</v>
      </c>
    </row>
    <row r="5421" spans="1:17" x14ac:dyDescent="0.25">
      <c r="A5421" t="s">
        <v>1144</v>
      </c>
      <c r="B5421" t="s">
        <v>1145</v>
      </c>
      <c r="C5421" t="s">
        <v>175</v>
      </c>
      <c r="D5421" t="s">
        <v>510</v>
      </c>
      <c r="E5421" t="s">
        <v>511</v>
      </c>
      <c r="F5421">
        <v>2</v>
      </c>
      <c r="G5421" t="s">
        <v>176</v>
      </c>
      <c r="H5421">
        <v>0</v>
      </c>
      <c r="I5421">
        <v>0</v>
      </c>
      <c r="J5421" s="10">
        <v>14</v>
      </c>
      <c r="K5421" s="10">
        <f>SUMIFS(F:F,D:D,DST_123_ÜRETİM_İHTİYAÇ_RAPORU_BURAK_YENI1309[[#This Row],[ALT_KOD]])-(SUMIFS(H:H,D:D,DST_123_ÜRETİM_İHTİYAÇ_RAPORU_BURAK_YENI1309[[#This Row],[ALT_KOD]])+AVERAGEIFS(I:I,D:D,DST_123_ÜRETİM_İHTİYAÇ_RAPORU_BURAK_YENI1309[[#This Row],[ALT_KOD]])+AVERAGEIFS(L:L,D:D,DST_123_ÜRETİM_İHTİYAÇ_RAPORU_BURAK_YENI1309[[#This Row],[ALT_KOD]]))</f>
        <v>38</v>
      </c>
      <c r="L5421">
        <v>0</v>
      </c>
      <c r="M5421">
        <f>IF((DST_123_ÜRETİM_İHTİYAÇ_RAPORU_BURAK_YENI1309[[#This Row],[SATINALMA]]*DST_123_ÜRETİM_İHTİYAÇ_RAPORU_BURAK_YENI1309[[#This Row],[BIRIM_FIYATLAR]])&lt;1,VALUE("0"),DST_123_ÜRETİM_İHTİYAÇ_RAPORU_BURAK_YENI1309[[#This Row],[SATINALMA]]*DST_123_ÜRETİM_İHTİYAÇ_RAPORU_BURAK_YENI1309[[#This Row],[BIRIM_FIYATLAR]])</f>
        <v>261.06</v>
      </c>
      <c r="N5421">
        <v>6.87</v>
      </c>
      <c r="O5421" t="s">
        <v>826</v>
      </c>
      <c r="P5421">
        <v>13.74</v>
      </c>
      <c r="Q5421" t="s">
        <v>221</v>
      </c>
    </row>
    <row r="5422" spans="1:17" x14ac:dyDescent="0.25">
      <c r="A5422" t="s">
        <v>1146</v>
      </c>
      <c r="B5422" t="s">
        <v>1145</v>
      </c>
      <c r="C5422" t="s">
        <v>175</v>
      </c>
      <c r="D5422" t="s">
        <v>510</v>
      </c>
      <c r="E5422" t="s">
        <v>511</v>
      </c>
      <c r="F5422">
        <v>2</v>
      </c>
      <c r="G5422" t="s">
        <v>176</v>
      </c>
      <c r="H5422">
        <v>0</v>
      </c>
      <c r="I5422">
        <v>0</v>
      </c>
      <c r="J5422" s="10">
        <v>14</v>
      </c>
      <c r="K5422" s="10">
        <f>SUMIFS(F:F,D:D,DST_123_ÜRETİM_İHTİYAÇ_RAPORU_BURAK_YENI1309[[#This Row],[ALT_KOD]])-(SUMIFS(H:H,D:D,DST_123_ÜRETİM_İHTİYAÇ_RAPORU_BURAK_YENI1309[[#This Row],[ALT_KOD]])+AVERAGEIFS(I:I,D:D,DST_123_ÜRETİM_İHTİYAÇ_RAPORU_BURAK_YENI1309[[#This Row],[ALT_KOD]])+AVERAGEIFS(L:L,D:D,DST_123_ÜRETİM_İHTİYAÇ_RAPORU_BURAK_YENI1309[[#This Row],[ALT_KOD]]))</f>
        <v>38</v>
      </c>
      <c r="L5422">
        <v>0</v>
      </c>
      <c r="M5422">
        <f>IF((DST_123_ÜRETİM_İHTİYAÇ_RAPORU_BURAK_YENI1309[[#This Row],[SATINALMA]]*DST_123_ÜRETİM_İHTİYAÇ_RAPORU_BURAK_YENI1309[[#This Row],[BIRIM_FIYATLAR]])&lt;1,VALUE("0"),DST_123_ÜRETİM_İHTİYAÇ_RAPORU_BURAK_YENI1309[[#This Row],[SATINALMA]]*DST_123_ÜRETİM_İHTİYAÇ_RAPORU_BURAK_YENI1309[[#This Row],[BIRIM_FIYATLAR]])</f>
        <v>261.06</v>
      </c>
      <c r="N5422">
        <v>6.87</v>
      </c>
      <c r="O5422" t="s">
        <v>826</v>
      </c>
      <c r="P5422">
        <v>13.74</v>
      </c>
      <c r="Q5422" t="s">
        <v>221</v>
      </c>
    </row>
    <row r="5423" spans="1:17" x14ac:dyDescent="0.25">
      <c r="A5423" t="s">
        <v>1196</v>
      </c>
      <c r="B5423" t="s">
        <v>1197</v>
      </c>
      <c r="C5423" t="s">
        <v>175</v>
      </c>
      <c r="D5423" t="s">
        <v>986</v>
      </c>
      <c r="E5423" t="s">
        <v>987</v>
      </c>
      <c r="F5423">
        <v>2.5</v>
      </c>
      <c r="G5423" t="s">
        <v>185</v>
      </c>
      <c r="H5423">
        <v>0</v>
      </c>
      <c r="I5423">
        <v>139</v>
      </c>
      <c r="J5423" s="10">
        <v>45.499999999999943</v>
      </c>
      <c r="K5423" s="10">
        <f>SUMIFS(F:F,D:D,DST_123_ÜRETİM_İHTİYAÇ_RAPORU_BURAK_YENI1309[[#This Row],[ALT_KOD]])-(SUMIFS(H:H,D:D,DST_123_ÜRETİM_İHTİYAÇ_RAPORU_BURAK_YENI1309[[#This Row],[ALT_KOD]])+AVERAGEIFS(I:I,D:D,DST_123_ÜRETİM_İHTİYAÇ_RAPORU_BURAK_YENI1309[[#This Row],[ALT_KOD]])+AVERAGEIFS(L:L,D:D,DST_123_ÜRETİM_İHTİYAÇ_RAPORU_BURAK_YENI1309[[#This Row],[ALT_KOD]]))</f>
        <v>-124</v>
      </c>
      <c r="L5423">
        <v>0</v>
      </c>
      <c r="M5423">
        <f>IF((DST_123_ÜRETİM_İHTİYAÇ_RAPORU_BURAK_YENI1309[[#This Row],[SATINALMA]]*DST_123_ÜRETİM_İHTİYAÇ_RAPORU_BURAK_YENI1309[[#This Row],[BIRIM_FIYATLAR]])&lt;1,VALUE("0"),DST_123_ÜRETİM_İHTİYAÇ_RAPORU_BURAK_YENI1309[[#This Row],[SATINALMA]]*DST_123_ÜRETİM_İHTİYAÇ_RAPORU_BURAK_YENI1309[[#This Row],[BIRIM_FIYATLAR]])</f>
        <v>0</v>
      </c>
      <c r="N5423">
        <v>233.95</v>
      </c>
      <c r="O5423" t="s">
        <v>490</v>
      </c>
      <c r="P5423">
        <v>584.875</v>
      </c>
      <c r="Q5423" t="s">
        <v>183</v>
      </c>
    </row>
    <row r="5424" spans="1:17" x14ac:dyDescent="0.25">
      <c r="A5424" t="s">
        <v>1064</v>
      </c>
      <c r="B5424" t="s">
        <v>1055</v>
      </c>
      <c r="C5424" t="s">
        <v>175</v>
      </c>
      <c r="D5424" t="s">
        <v>510</v>
      </c>
      <c r="E5424" t="s">
        <v>511</v>
      </c>
      <c r="F5424">
        <v>2</v>
      </c>
      <c r="G5424" t="s">
        <v>176</v>
      </c>
      <c r="H5424">
        <v>0</v>
      </c>
      <c r="I5424">
        <v>0</v>
      </c>
      <c r="J5424" s="10">
        <v>14</v>
      </c>
      <c r="K5424" s="10">
        <f>SUMIFS(F:F,D:D,DST_123_ÜRETİM_İHTİYAÇ_RAPORU_BURAK_YENI1309[[#This Row],[ALT_KOD]])-(SUMIFS(H:H,D:D,DST_123_ÜRETİM_İHTİYAÇ_RAPORU_BURAK_YENI1309[[#This Row],[ALT_KOD]])+AVERAGEIFS(I:I,D:D,DST_123_ÜRETİM_İHTİYAÇ_RAPORU_BURAK_YENI1309[[#This Row],[ALT_KOD]])+AVERAGEIFS(L:L,D:D,DST_123_ÜRETİM_İHTİYAÇ_RAPORU_BURAK_YENI1309[[#This Row],[ALT_KOD]]))</f>
        <v>38</v>
      </c>
      <c r="L5424">
        <v>0</v>
      </c>
      <c r="M5424">
        <f>IF((DST_123_ÜRETİM_İHTİYAÇ_RAPORU_BURAK_YENI1309[[#This Row],[SATINALMA]]*DST_123_ÜRETİM_İHTİYAÇ_RAPORU_BURAK_YENI1309[[#This Row],[BIRIM_FIYATLAR]])&lt;1,VALUE("0"),DST_123_ÜRETİM_İHTİYAÇ_RAPORU_BURAK_YENI1309[[#This Row],[SATINALMA]]*DST_123_ÜRETİM_İHTİYAÇ_RAPORU_BURAK_YENI1309[[#This Row],[BIRIM_FIYATLAR]])</f>
        <v>261.06</v>
      </c>
      <c r="N5424">
        <v>6.87</v>
      </c>
      <c r="O5424" t="s">
        <v>826</v>
      </c>
      <c r="P5424">
        <v>13.74</v>
      </c>
      <c r="Q5424" t="s">
        <v>221</v>
      </c>
    </row>
    <row r="5425" spans="1:17" x14ac:dyDescent="0.25">
      <c r="A5425" t="s">
        <v>1098</v>
      </c>
      <c r="B5425" t="s">
        <v>1096</v>
      </c>
      <c r="C5425" t="s">
        <v>175</v>
      </c>
      <c r="D5425" t="s">
        <v>510</v>
      </c>
      <c r="E5425" t="s">
        <v>511</v>
      </c>
      <c r="F5425">
        <v>2</v>
      </c>
      <c r="G5425" t="s">
        <v>176</v>
      </c>
      <c r="H5425">
        <v>0</v>
      </c>
      <c r="I5425">
        <v>0</v>
      </c>
      <c r="J5425" s="10">
        <v>14</v>
      </c>
      <c r="K5425" s="10">
        <f>SUMIFS(F:F,D:D,DST_123_ÜRETİM_İHTİYAÇ_RAPORU_BURAK_YENI1309[[#This Row],[ALT_KOD]])-(SUMIFS(H:H,D:D,DST_123_ÜRETİM_İHTİYAÇ_RAPORU_BURAK_YENI1309[[#This Row],[ALT_KOD]])+AVERAGEIFS(I:I,D:D,DST_123_ÜRETİM_İHTİYAÇ_RAPORU_BURAK_YENI1309[[#This Row],[ALT_KOD]])+AVERAGEIFS(L:L,D:D,DST_123_ÜRETİM_İHTİYAÇ_RAPORU_BURAK_YENI1309[[#This Row],[ALT_KOD]]))</f>
        <v>38</v>
      </c>
      <c r="L5425">
        <v>0</v>
      </c>
      <c r="M5425">
        <f>IF((DST_123_ÜRETİM_İHTİYAÇ_RAPORU_BURAK_YENI1309[[#This Row],[SATINALMA]]*DST_123_ÜRETİM_İHTİYAÇ_RAPORU_BURAK_YENI1309[[#This Row],[BIRIM_FIYATLAR]])&lt;1,VALUE("0"),DST_123_ÜRETİM_İHTİYAÇ_RAPORU_BURAK_YENI1309[[#This Row],[SATINALMA]]*DST_123_ÜRETİM_İHTİYAÇ_RAPORU_BURAK_YENI1309[[#This Row],[BIRIM_FIYATLAR]])</f>
        <v>261.06</v>
      </c>
      <c r="N5425">
        <v>6.87</v>
      </c>
      <c r="O5425" t="s">
        <v>826</v>
      </c>
      <c r="P5425">
        <v>13.74</v>
      </c>
      <c r="Q5425" t="s">
        <v>221</v>
      </c>
    </row>
    <row r="5426" spans="1:17" x14ac:dyDescent="0.25">
      <c r="A5426" t="s">
        <v>1064</v>
      </c>
      <c r="B5426" t="s">
        <v>1055</v>
      </c>
      <c r="C5426" t="s">
        <v>175</v>
      </c>
      <c r="D5426" t="s">
        <v>2</v>
      </c>
      <c r="E5426" t="s">
        <v>423</v>
      </c>
      <c r="F5426">
        <v>2</v>
      </c>
      <c r="G5426" t="s">
        <v>176</v>
      </c>
      <c r="H5426">
        <v>2</v>
      </c>
      <c r="I5426">
        <v>20</v>
      </c>
      <c r="J5426" s="10">
        <v>20</v>
      </c>
      <c r="K5426" s="10">
        <f>SUMIFS(F:F,D:D,DST_123_ÜRETİM_İHTİYAÇ_RAPORU_BURAK_YENI1309[[#This Row],[ALT_KOD]])-(SUMIFS(H:H,D:D,DST_123_ÜRETİM_İHTİYAÇ_RAPORU_BURAK_YENI1309[[#This Row],[ALT_KOD]])+AVERAGEIFS(I:I,D:D,DST_123_ÜRETİM_İHTİYAÇ_RAPORU_BURAK_YENI1309[[#This Row],[ALT_KOD]])+AVERAGEIFS(L:L,D:D,DST_123_ÜRETİM_İHTİYAÇ_RAPORU_BURAK_YENI1309[[#This Row],[ALT_KOD]]))</f>
        <v>-6</v>
      </c>
      <c r="L5426">
        <v>10</v>
      </c>
      <c r="M5426">
        <f>IF((DST_123_ÜRETİM_İHTİYAÇ_RAPORU_BURAK_YENI1309[[#This Row],[SATINALMA]]*DST_123_ÜRETİM_İHTİYAÇ_RAPORU_BURAK_YENI1309[[#This Row],[BIRIM_FIYATLAR]])&lt;1,VALUE("0"),DST_123_ÜRETİM_İHTİYAÇ_RAPORU_BURAK_YENI1309[[#This Row],[SATINALMA]]*DST_123_ÜRETİM_İHTİYAÇ_RAPORU_BURAK_YENI1309[[#This Row],[BIRIM_FIYATLAR]])</f>
        <v>0</v>
      </c>
      <c r="N5426">
        <v>400</v>
      </c>
      <c r="O5426" t="s">
        <v>217</v>
      </c>
      <c r="P5426">
        <v>800</v>
      </c>
      <c r="Q5426" t="s">
        <v>221</v>
      </c>
    </row>
    <row r="5427" spans="1:17" x14ac:dyDescent="0.25">
      <c r="A5427" t="s">
        <v>1057</v>
      </c>
      <c r="B5427" t="s">
        <v>1058</v>
      </c>
      <c r="C5427" t="s">
        <v>175</v>
      </c>
      <c r="D5427" t="s">
        <v>236</v>
      </c>
      <c r="E5427" t="s">
        <v>305</v>
      </c>
      <c r="F5427">
        <v>2</v>
      </c>
      <c r="G5427" t="s">
        <v>176</v>
      </c>
      <c r="H5427">
        <v>2</v>
      </c>
      <c r="I5427">
        <v>452</v>
      </c>
      <c r="J5427" s="10">
        <v>25</v>
      </c>
      <c r="K5427" s="10">
        <f>SUMIFS(F:F,D:D,DST_123_ÜRETİM_İHTİYAÇ_RAPORU_BURAK_YENI1309[[#This Row],[ALT_KOD]])-(SUMIFS(H:H,D:D,DST_123_ÜRETİM_İHTİYAÇ_RAPORU_BURAK_YENI1309[[#This Row],[ALT_KOD]])+AVERAGEIFS(I:I,D:D,DST_123_ÜRETİM_İHTİYAÇ_RAPORU_BURAK_YENI1309[[#This Row],[ALT_KOD]])+AVERAGEIFS(L:L,D:D,DST_123_ÜRETİM_İHTİYAÇ_RAPORU_BURAK_YENI1309[[#This Row],[ALT_KOD]]))</f>
        <v>-428</v>
      </c>
      <c r="L5427">
        <v>0</v>
      </c>
      <c r="M5427">
        <f>IF((DST_123_ÜRETİM_İHTİYAÇ_RAPORU_BURAK_YENI1309[[#This Row],[SATINALMA]]*DST_123_ÜRETİM_İHTİYAÇ_RAPORU_BURAK_YENI1309[[#This Row],[BIRIM_FIYATLAR]])&lt;1,VALUE("0"),DST_123_ÜRETİM_İHTİYAÇ_RAPORU_BURAK_YENI1309[[#This Row],[SATINALMA]]*DST_123_ÜRETİM_İHTİYAÇ_RAPORU_BURAK_YENI1309[[#This Row],[BIRIM_FIYATLAR]])</f>
        <v>0</v>
      </c>
      <c r="N5427">
        <v>20</v>
      </c>
      <c r="P5427">
        <v>40</v>
      </c>
      <c r="Q5427" t="s">
        <v>221</v>
      </c>
    </row>
    <row r="5428" spans="1:17" x14ac:dyDescent="0.25">
      <c r="A5428" t="s">
        <v>1057</v>
      </c>
      <c r="B5428" t="s">
        <v>1058</v>
      </c>
      <c r="C5428" t="s">
        <v>175</v>
      </c>
      <c r="D5428" t="s">
        <v>201</v>
      </c>
      <c r="E5428" t="s">
        <v>225</v>
      </c>
      <c r="F5428">
        <v>3</v>
      </c>
      <c r="G5428" t="s">
        <v>176</v>
      </c>
      <c r="H5428">
        <v>3</v>
      </c>
      <c r="I5428">
        <v>65</v>
      </c>
      <c r="J5428" s="10">
        <v>31</v>
      </c>
      <c r="K5428" s="10">
        <f>SUMIFS(F:F,D:D,DST_123_ÜRETİM_İHTİYAÇ_RAPORU_BURAK_YENI1309[[#This Row],[ALT_KOD]])-(SUMIFS(H:H,D:D,DST_123_ÜRETİM_İHTİYAÇ_RAPORU_BURAK_YENI1309[[#This Row],[ALT_KOD]])+AVERAGEIFS(I:I,D:D,DST_123_ÜRETİM_İHTİYAÇ_RAPORU_BURAK_YENI1309[[#This Row],[ALT_KOD]])+AVERAGEIFS(L:L,D:D,DST_123_ÜRETİM_İHTİYAÇ_RAPORU_BURAK_YENI1309[[#This Row],[ALT_KOD]]))</f>
        <v>-31</v>
      </c>
      <c r="L5428">
        <v>0</v>
      </c>
      <c r="M5428">
        <f>IF((DST_123_ÜRETİM_İHTİYAÇ_RAPORU_BURAK_YENI1309[[#This Row],[SATINALMA]]*DST_123_ÜRETİM_İHTİYAÇ_RAPORU_BURAK_YENI1309[[#This Row],[BIRIM_FIYATLAR]])&lt;1,VALUE("0"),DST_123_ÜRETİM_İHTİYAÇ_RAPORU_BURAK_YENI1309[[#This Row],[SATINALMA]]*DST_123_ÜRETİM_İHTİYAÇ_RAPORU_BURAK_YENI1309[[#This Row],[BIRIM_FIYATLAR]])</f>
        <v>0</v>
      </c>
      <c r="N5428">
        <v>45.5</v>
      </c>
      <c r="O5428" t="s">
        <v>504</v>
      </c>
      <c r="P5428">
        <v>136.5</v>
      </c>
      <c r="Q5428" t="s">
        <v>221</v>
      </c>
    </row>
    <row r="5429" spans="1:17" x14ac:dyDescent="0.25">
      <c r="A5429" t="s">
        <v>1060</v>
      </c>
      <c r="B5429" t="s">
        <v>1061</v>
      </c>
      <c r="C5429" t="s">
        <v>175</v>
      </c>
      <c r="D5429" t="s">
        <v>23</v>
      </c>
      <c r="E5429" t="s">
        <v>304</v>
      </c>
      <c r="F5429">
        <v>1</v>
      </c>
      <c r="G5429" t="s">
        <v>176</v>
      </c>
      <c r="H5429">
        <v>0</v>
      </c>
      <c r="I5429">
        <v>0</v>
      </c>
      <c r="J5429" s="10">
        <v>7</v>
      </c>
      <c r="K5429" s="10">
        <f>SUMIFS(F:F,D:D,DST_123_ÜRETİM_İHTİYAÇ_RAPORU_BURAK_YENI1309[[#This Row],[ALT_KOD]])-(SUMIFS(H:H,D:D,DST_123_ÜRETİM_İHTİYAÇ_RAPORU_BURAK_YENI1309[[#This Row],[ALT_KOD]])+AVERAGEIFS(I:I,D:D,DST_123_ÜRETİM_İHTİYAÇ_RAPORU_BURAK_YENI1309[[#This Row],[ALT_KOD]])+AVERAGEIFS(L:L,D:D,DST_123_ÜRETİM_İHTİYAÇ_RAPORU_BURAK_YENI1309[[#This Row],[ALT_KOD]]))</f>
        <v>19</v>
      </c>
      <c r="L5429">
        <v>0</v>
      </c>
      <c r="M5429">
        <f>IF((DST_123_ÜRETİM_İHTİYAÇ_RAPORU_BURAK_YENI1309[[#This Row],[SATINALMA]]*DST_123_ÜRETİM_İHTİYAÇ_RAPORU_BURAK_YENI1309[[#This Row],[BIRIM_FIYATLAR]])&lt;1,VALUE("0"),DST_123_ÜRETİM_İHTİYAÇ_RAPORU_BURAK_YENI1309[[#This Row],[SATINALMA]]*DST_123_ÜRETİM_İHTİYAÇ_RAPORU_BURAK_YENI1309[[#This Row],[BIRIM_FIYATLAR]])</f>
        <v>760</v>
      </c>
      <c r="N5429">
        <v>40</v>
      </c>
      <c r="O5429" t="s">
        <v>635</v>
      </c>
      <c r="P5429">
        <v>40</v>
      </c>
      <c r="Q5429" t="s">
        <v>221</v>
      </c>
    </row>
    <row r="5430" spans="1:17" x14ac:dyDescent="0.25">
      <c r="A5430" t="s">
        <v>1060</v>
      </c>
      <c r="B5430" t="s">
        <v>1061</v>
      </c>
      <c r="C5430" t="s">
        <v>175</v>
      </c>
      <c r="D5430" t="s">
        <v>76</v>
      </c>
      <c r="E5430" t="s">
        <v>77</v>
      </c>
      <c r="F5430">
        <v>4</v>
      </c>
      <c r="G5430" t="s">
        <v>176</v>
      </c>
      <c r="H5430">
        <v>0</v>
      </c>
      <c r="I5430">
        <v>85</v>
      </c>
      <c r="J5430" s="10">
        <v>31</v>
      </c>
      <c r="K5430" s="10">
        <f>SUMIFS(F:F,D:D,DST_123_ÜRETİM_İHTİYAÇ_RAPORU_BURAK_YENI1309[[#This Row],[ALT_KOD]])-(SUMIFS(H:H,D:D,DST_123_ÜRETİM_İHTİYAÇ_RAPORU_BURAK_YENI1309[[#This Row],[ALT_KOD]])+AVERAGEIFS(I:I,D:D,DST_123_ÜRETİM_İHTİYAÇ_RAPORU_BURAK_YENI1309[[#This Row],[ALT_KOD]])+AVERAGEIFS(L:L,D:D,DST_123_ÜRETİM_İHTİYAÇ_RAPORU_BURAK_YENI1309[[#This Row],[ALT_KOD]]))</f>
        <v>-17</v>
      </c>
      <c r="L5430">
        <v>0</v>
      </c>
      <c r="M5430">
        <f>IF((DST_123_ÜRETİM_İHTİYAÇ_RAPORU_BURAK_YENI1309[[#This Row],[SATINALMA]]*DST_123_ÜRETİM_İHTİYAÇ_RAPORU_BURAK_YENI1309[[#This Row],[BIRIM_FIYATLAR]])&lt;1,VALUE("0"),DST_123_ÜRETİM_İHTİYAÇ_RAPORU_BURAK_YENI1309[[#This Row],[SATINALMA]]*DST_123_ÜRETİM_İHTİYAÇ_RAPORU_BURAK_YENI1309[[#This Row],[BIRIM_FIYATLAR]])</f>
        <v>0</v>
      </c>
      <c r="N5430">
        <v>120</v>
      </c>
      <c r="O5430" t="s">
        <v>1152</v>
      </c>
      <c r="P5430">
        <v>480</v>
      </c>
      <c r="Q5430" t="s">
        <v>178</v>
      </c>
    </row>
    <row r="5431" spans="1:17" x14ac:dyDescent="0.25">
      <c r="A5431" t="s">
        <v>1057</v>
      </c>
      <c r="B5431" t="s">
        <v>1058</v>
      </c>
      <c r="C5431" t="s">
        <v>175</v>
      </c>
      <c r="D5431" t="s">
        <v>451</v>
      </c>
      <c r="E5431" t="s">
        <v>452</v>
      </c>
      <c r="F5431">
        <v>1</v>
      </c>
      <c r="G5431" t="s">
        <v>176</v>
      </c>
      <c r="H5431">
        <v>1</v>
      </c>
      <c r="I5431">
        <v>4</v>
      </c>
      <c r="J5431" s="10">
        <v>9</v>
      </c>
      <c r="K5431" s="10">
        <f>SUMIFS(F:F,D:D,DST_123_ÜRETİM_İHTİYAÇ_RAPORU_BURAK_YENI1309[[#This Row],[ALT_KOD]])-(SUMIFS(H:H,D:D,DST_123_ÜRETİM_İHTİYAÇ_RAPORU_BURAK_YENI1309[[#This Row],[ALT_KOD]])+AVERAGEIFS(I:I,D:D,DST_123_ÜRETİM_İHTİYAÇ_RAPORU_BURAK_YENI1309[[#This Row],[ALT_KOD]])+AVERAGEIFS(L:L,D:D,DST_123_ÜRETİM_İHTİYAÇ_RAPORU_BURAK_YENI1309[[#This Row],[ALT_KOD]]))</f>
        <v>1</v>
      </c>
      <c r="L5431">
        <v>6</v>
      </c>
      <c r="M5431">
        <f>IF((DST_123_ÜRETİM_İHTİYAÇ_RAPORU_BURAK_YENI1309[[#This Row],[SATINALMA]]*DST_123_ÜRETİM_İHTİYAÇ_RAPORU_BURAK_YENI1309[[#This Row],[BIRIM_FIYATLAR]])&lt;1,VALUE("0"),DST_123_ÜRETİM_İHTİYAÇ_RAPORU_BURAK_YENI1309[[#This Row],[SATINALMA]]*DST_123_ÜRETİM_İHTİYAÇ_RAPORU_BURAK_YENI1309[[#This Row],[BIRIM_FIYATLAR]])</f>
        <v>1600</v>
      </c>
      <c r="N5431">
        <v>1600</v>
      </c>
      <c r="O5431" t="s">
        <v>240</v>
      </c>
      <c r="P5431">
        <v>1600</v>
      </c>
      <c r="Q5431" t="s">
        <v>178</v>
      </c>
    </row>
    <row r="5432" spans="1:17" x14ac:dyDescent="0.25">
      <c r="A5432" t="s">
        <v>1097</v>
      </c>
      <c r="B5432" t="s">
        <v>1055</v>
      </c>
      <c r="C5432" t="s">
        <v>175</v>
      </c>
      <c r="D5432" t="s">
        <v>78</v>
      </c>
      <c r="E5432" t="s">
        <v>79</v>
      </c>
      <c r="F5432">
        <v>3</v>
      </c>
      <c r="G5432" t="s">
        <v>176</v>
      </c>
      <c r="H5432">
        <v>0</v>
      </c>
      <c r="I5432">
        <v>81</v>
      </c>
      <c r="J5432" s="10">
        <v>5</v>
      </c>
      <c r="K5432" s="10">
        <f>SUMIFS(F:F,D:D,DST_123_ÜRETİM_İHTİYAÇ_RAPORU_BURAK_YENI1309[[#This Row],[ALT_KOD]])-(SUMIFS(H:H,D:D,DST_123_ÜRETİM_İHTİYAÇ_RAPORU_BURAK_YENI1309[[#This Row],[ALT_KOD]])+AVERAGEIFS(I:I,D:D,DST_123_ÜRETİM_İHTİYAÇ_RAPORU_BURAK_YENI1309[[#This Row],[ALT_KOD]])+AVERAGEIFS(L:L,D:D,DST_123_ÜRETİM_İHTİYAÇ_RAPORU_BURAK_YENI1309[[#This Row],[ALT_KOD]]))</f>
        <v>-23</v>
      </c>
      <c r="L5432">
        <v>0</v>
      </c>
      <c r="M5432">
        <f>IF((DST_123_ÜRETİM_İHTİYAÇ_RAPORU_BURAK_YENI1309[[#This Row],[SATINALMA]]*DST_123_ÜRETİM_İHTİYAÇ_RAPORU_BURAK_YENI1309[[#This Row],[BIRIM_FIYATLAR]])&lt;1,VALUE("0"),DST_123_ÜRETİM_İHTİYAÇ_RAPORU_BURAK_YENI1309[[#This Row],[SATINALMA]]*DST_123_ÜRETİM_İHTİYAÇ_RAPORU_BURAK_YENI1309[[#This Row],[BIRIM_FIYATLAR]])</f>
        <v>0</v>
      </c>
      <c r="N5432">
        <v>188</v>
      </c>
      <c r="O5432" t="s">
        <v>240</v>
      </c>
      <c r="P5432">
        <v>564</v>
      </c>
      <c r="Q5432" t="s">
        <v>178</v>
      </c>
    </row>
    <row r="5433" spans="1:17" x14ac:dyDescent="0.25">
      <c r="A5433" t="s">
        <v>1149</v>
      </c>
      <c r="B5433" t="s">
        <v>1145</v>
      </c>
      <c r="C5433" t="s">
        <v>175</v>
      </c>
      <c r="D5433" t="s">
        <v>682</v>
      </c>
      <c r="E5433" t="s">
        <v>683</v>
      </c>
      <c r="F5433">
        <v>2</v>
      </c>
      <c r="G5433" t="s">
        <v>176</v>
      </c>
      <c r="H5433">
        <v>0</v>
      </c>
      <c r="I5433">
        <v>34</v>
      </c>
      <c r="J5433" s="10">
        <v>27</v>
      </c>
      <c r="K5433" s="10">
        <f>SUMIFS(F:F,D:D,DST_123_ÜRETİM_İHTİYAÇ_RAPORU_BURAK_YENI1309[[#This Row],[ALT_KOD]])-(SUMIFS(H:H,D:D,DST_123_ÜRETİM_İHTİYAÇ_RAPORU_BURAK_YENI1309[[#This Row],[ALT_KOD]])+AVERAGEIFS(I:I,D:D,DST_123_ÜRETİM_İHTİYAÇ_RAPORU_BURAK_YENI1309[[#This Row],[ALT_KOD]])+AVERAGEIFS(L:L,D:D,DST_123_ÜRETİM_İHTİYAÇ_RAPORU_BURAK_YENI1309[[#This Row],[ALT_KOD]]))</f>
        <v>-6</v>
      </c>
      <c r="L5433">
        <v>0</v>
      </c>
      <c r="M5433">
        <f>IF((DST_123_ÜRETİM_İHTİYAÇ_RAPORU_BURAK_YENI1309[[#This Row],[SATINALMA]]*DST_123_ÜRETİM_İHTİYAÇ_RAPORU_BURAK_YENI1309[[#This Row],[BIRIM_FIYATLAR]])&lt;1,VALUE("0"),DST_123_ÜRETİM_İHTİYAÇ_RAPORU_BURAK_YENI1309[[#This Row],[SATINALMA]]*DST_123_ÜRETİM_İHTİYAÇ_RAPORU_BURAK_YENI1309[[#This Row],[BIRIM_FIYATLAR]])</f>
        <v>0</v>
      </c>
      <c r="N5433">
        <v>500</v>
      </c>
      <c r="O5433" t="s">
        <v>584</v>
      </c>
      <c r="P5433">
        <v>1000</v>
      </c>
      <c r="Q5433" t="s">
        <v>177</v>
      </c>
    </row>
    <row r="5434" spans="1:17" x14ac:dyDescent="0.25">
      <c r="A5434" t="s">
        <v>1101</v>
      </c>
      <c r="B5434" t="s">
        <v>1102</v>
      </c>
      <c r="C5434" t="s">
        <v>175</v>
      </c>
      <c r="D5434" t="s">
        <v>451</v>
      </c>
      <c r="E5434" t="s">
        <v>452</v>
      </c>
      <c r="F5434">
        <v>1</v>
      </c>
      <c r="G5434" t="s">
        <v>176</v>
      </c>
      <c r="H5434">
        <v>1</v>
      </c>
      <c r="I5434">
        <v>4</v>
      </c>
      <c r="J5434" s="10">
        <v>9</v>
      </c>
      <c r="K5434" s="10">
        <f>SUMIFS(F:F,D:D,DST_123_ÜRETİM_İHTİYAÇ_RAPORU_BURAK_YENI1309[[#This Row],[ALT_KOD]])-(SUMIFS(H:H,D:D,DST_123_ÜRETİM_İHTİYAÇ_RAPORU_BURAK_YENI1309[[#This Row],[ALT_KOD]])+AVERAGEIFS(I:I,D:D,DST_123_ÜRETİM_İHTİYAÇ_RAPORU_BURAK_YENI1309[[#This Row],[ALT_KOD]])+AVERAGEIFS(L:L,D:D,DST_123_ÜRETİM_İHTİYAÇ_RAPORU_BURAK_YENI1309[[#This Row],[ALT_KOD]]))</f>
        <v>1</v>
      </c>
      <c r="L5434">
        <v>6</v>
      </c>
      <c r="M5434">
        <f>IF((DST_123_ÜRETİM_İHTİYAÇ_RAPORU_BURAK_YENI1309[[#This Row],[SATINALMA]]*DST_123_ÜRETİM_İHTİYAÇ_RAPORU_BURAK_YENI1309[[#This Row],[BIRIM_FIYATLAR]])&lt;1,VALUE("0"),DST_123_ÜRETİM_İHTİYAÇ_RAPORU_BURAK_YENI1309[[#This Row],[SATINALMA]]*DST_123_ÜRETİM_İHTİYAÇ_RAPORU_BURAK_YENI1309[[#This Row],[BIRIM_FIYATLAR]])</f>
        <v>1600</v>
      </c>
      <c r="N5434">
        <v>1600</v>
      </c>
      <c r="O5434" t="s">
        <v>240</v>
      </c>
      <c r="P5434">
        <v>1600</v>
      </c>
      <c r="Q5434" t="s">
        <v>178</v>
      </c>
    </row>
    <row r="5435" spans="1:17" x14ac:dyDescent="0.25">
      <c r="A5435" t="s">
        <v>1059</v>
      </c>
      <c r="B5435" t="s">
        <v>1058</v>
      </c>
      <c r="C5435" t="s">
        <v>175</v>
      </c>
      <c r="D5435" t="s">
        <v>19</v>
      </c>
      <c r="E5435" t="s">
        <v>20</v>
      </c>
      <c r="F5435">
        <v>4</v>
      </c>
      <c r="G5435" t="s">
        <v>176</v>
      </c>
      <c r="H5435">
        <v>4</v>
      </c>
      <c r="I5435">
        <v>37</v>
      </c>
      <c r="J5435" s="10">
        <v>28</v>
      </c>
      <c r="K5435" s="10">
        <f>SUMIFS(F:F,D:D,DST_123_ÜRETİM_İHTİYAÇ_RAPORU_BURAK_YENI1309[[#This Row],[ALT_KOD]])-(SUMIFS(H:H,D:D,DST_123_ÜRETİM_İHTİYAÇ_RAPORU_BURAK_YENI1309[[#This Row],[ALT_KOD]])+AVERAGEIFS(I:I,D:D,DST_123_ÜRETİM_İHTİYAÇ_RAPORU_BURAK_YENI1309[[#This Row],[ALT_KOD]])+AVERAGEIFS(L:L,D:D,DST_123_ÜRETİM_İHTİYAÇ_RAPORU_BURAK_YENI1309[[#This Row],[ALT_KOD]]))</f>
        <v>-3</v>
      </c>
      <c r="L5435">
        <v>0</v>
      </c>
      <c r="M5435">
        <f>IF((DST_123_ÜRETİM_İHTİYAÇ_RAPORU_BURAK_YENI1309[[#This Row],[SATINALMA]]*DST_123_ÜRETİM_İHTİYAÇ_RAPORU_BURAK_YENI1309[[#This Row],[BIRIM_FIYATLAR]])&lt;1,VALUE("0"),DST_123_ÜRETİM_İHTİYAÇ_RAPORU_BURAK_YENI1309[[#This Row],[SATINALMA]]*DST_123_ÜRETİM_İHTİYAÇ_RAPORU_BURAK_YENI1309[[#This Row],[BIRIM_FIYATLAR]])</f>
        <v>0</v>
      </c>
      <c r="N5435">
        <v>122.24</v>
      </c>
      <c r="O5435" t="s">
        <v>227</v>
      </c>
      <c r="P5435">
        <v>488.96</v>
      </c>
      <c r="Q5435" t="s">
        <v>221</v>
      </c>
    </row>
    <row r="5436" spans="1:17" x14ac:dyDescent="0.25">
      <c r="A5436" t="s">
        <v>1101</v>
      </c>
      <c r="B5436" t="s">
        <v>1102</v>
      </c>
      <c r="C5436" t="s">
        <v>175</v>
      </c>
      <c r="D5436" t="s">
        <v>590</v>
      </c>
      <c r="E5436" t="s">
        <v>591</v>
      </c>
      <c r="F5436">
        <v>1</v>
      </c>
      <c r="G5436" t="s">
        <v>176</v>
      </c>
      <c r="H5436">
        <v>1</v>
      </c>
      <c r="I5436">
        <v>4</v>
      </c>
      <c r="J5436" s="10">
        <v>10</v>
      </c>
      <c r="K5436" s="10">
        <f>SUMIFS(F:F,D:D,DST_123_ÜRETİM_İHTİYAÇ_RAPORU_BURAK_YENI1309[[#This Row],[ALT_KOD]])-(SUMIFS(H:H,D:D,DST_123_ÜRETİM_İHTİYAÇ_RAPORU_BURAK_YENI1309[[#This Row],[ALT_KOD]])+AVERAGEIFS(I:I,D:D,DST_123_ÜRETİM_İHTİYAÇ_RAPORU_BURAK_YENI1309[[#This Row],[ALT_KOD]])+AVERAGEIFS(L:L,D:D,DST_123_ÜRETİM_İHTİYAÇ_RAPORU_BURAK_YENI1309[[#This Row],[ALT_KOD]]))</f>
        <v>-3</v>
      </c>
      <c r="L5436">
        <v>10</v>
      </c>
      <c r="M5436">
        <f>IF((DST_123_ÜRETİM_İHTİYAÇ_RAPORU_BURAK_YENI1309[[#This Row],[SATINALMA]]*DST_123_ÜRETİM_İHTİYAÇ_RAPORU_BURAK_YENI1309[[#This Row],[BIRIM_FIYATLAR]])&lt;1,VALUE("0"),DST_123_ÜRETİM_İHTİYAÇ_RAPORU_BURAK_YENI1309[[#This Row],[SATINALMA]]*DST_123_ÜRETİM_İHTİYAÇ_RAPORU_BURAK_YENI1309[[#This Row],[BIRIM_FIYATLAR]])</f>
        <v>0</v>
      </c>
      <c r="N5436">
        <v>583.77</v>
      </c>
      <c r="O5436" t="s">
        <v>592</v>
      </c>
      <c r="P5436">
        <v>583.77</v>
      </c>
      <c r="Q5436" t="s">
        <v>180</v>
      </c>
    </row>
    <row r="5437" spans="1:17" x14ac:dyDescent="0.25">
      <c r="A5437" t="s">
        <v>1097</v>
      </c>
      <c r="B5437" t="s">
        <v>1055</v>
      </c>
      <c r="C5437" t="s">
        <v>175</v>
      </c>
      <c r="D5437" t="s">
        <v>1074</v>
      </c>
      <c r="E5437" t="s">
        <v>1075</v>
      </c>
      <c r="F5437">
        <v>2</v>
      </c>
      <c r="G5437" t="s">
        <v>176</v>
      </c>
      <c r="H5437">
        <v>2</v>
      </c>
      <c r="I5437">
        <v>0</v>
      </c>
      <c r="J5437" s="10">
        <v>4</v>
      </c>
      <c r="K5437" s="10">
        <f>SUMIFS(F:F,D:D,DST_123_ÜRETİM_İHTİYAÇ_RAPORU_BURAK_YENI1309[[#This Row],[ALT_KOD]])-(SUMIFS(H:H,D:D,DST_123_ÜRETİM_İHTİYAÇ_RAPORU_BURAK_YENI1309[[#This Row],[ALT_KOD]])+AVERAGEIFS(I:I,D:D,DST_123_ÜRETİM_İHTİYAÇ_RAPORU_BURAK_YENI1309[[#This Row],[ALT_KOD]])+AVERAGEIFS(L:L,D:D,DST_123_ÜRETİM_İHTİYAÇ_RAPORU_BURAK_YENI1309[[#This Row],[ALT_KOD]]))</f>
        <v>0</v>
      </c>
      <c r="L5437">
        <v>0</v>
      </c>
      <c r="M5437">
        <f>IF((DST_123_ÜRETİM_İHTİYAÇ_RAPORU_BURAK_YENI1309[[#This Row],[SATINALMA]]*DST_123_ÜRETİM_İHTİYAÇ_RAPORU_BURAK_YENI1309[[#This Row],[BIRIM_FIYATLAR]])&lt;1,VALUE("0"),DST_123_ÜRETİM_İHTİYAÇ_RAPORU_BURAK_YENI1309[[#This Row],[SATINALMA]]*DST_123_ÜRETİM_İHTİYAÇ_RAPORU_BURAK_YENI1309[[#This Row],[BIRIM_FIYATLAR]])</f>
        <v>0</v>
      </c>
      <c r="N5437">
        <v>4532</v>
      </c>
      <c r="O5437" t="s">
        <v>647</v>
      </c>
      <c r="P5437">
        <v>9064</v>
      </c>
      <c r="Q5437" t="s">
        <v>177</v>
      </c>
    </row>
    <row r="5438" spans="1:17" x14ac:dyDescent="0.25">
      <c r="A5438" t="s">
        <v>1101</v>
      </c>
      <c r="B5438" t="s">
        <v>1102</v>
      </c>
      <c r="C5438" t="s">
        <v>175</v>
      </c>
      <c r="D5438" t="s">
        <v>736</v>
      </c>
      <c r="E5438" t="s">
        <v>737</v>
      </c>
      <c r="F5438">
        <v>1</v>
      </c>
      <c r="G5438" t="s">
        <v>176</v>
      </c>
      <c r="H5438">
        <v>1</v>
      </c>
      <c r="I5438">
        <v>12</v>
      </c>
      <c r="J5438" s="10">
        <v>17</v>
      </c>
      <c r="K5438" s="10">
        <f>SUMIFS(F:F,D:D,DST_123_ÜRETİM_İHTİYAÇ_RAPORU_BURAK_YENI1309[[#This Row],[ALT_KOD]])-(SUMIFS(H:H,D:D,DST_123_ÜRETİM_İHTİYAÇ_RAPORU_BURAK_YENI1309[[#This Row],[ALT_KOD]])+AVERAGEIFS(I:I,D:D,DST_123_ÜRETİM_İHTİYAÇ_RAPORU_BURAK_YENI1309[[#This Row],[ALT_KOD]])+AVERAGEIFS(L:L,D:D,DST_123_ÜRETİM_İHTİYAÇ_RAPORU_BURAK_YENI1309[[#This Row],[ALT_KOD]]))</f>
        <v>-1</v>
      </c>
      <c r="L5438">
        <v>0</v>
      </c>
      <c r="M5438">
        <f>IF((DST_123_ÜRETİM_İHTİYAÇ_RAPORU_BURAK_YENI1309[[#This Row],[SATINALMA]]*DST_123_ÜRETİM_İHTİYAÇ_RAPORU_BURAK_YENI1309[[#This Row],[BIRIM_FIYATLAR]])&lt;1,VALUE("0"),DST_123_ÜRETİM_İHTİYAÇ_RAPORU_BURAK_YENI1309[[#This Row],[SATINALMA]]*DST_123_ÜRETİM_İHTİYAÇ_RAPORU_BURAK_YENI1309[[#This Row],[BIRIM_FIYATLAR]])</f>
        <v>0</v>
      </c>
      <c r="N5438">
        <v>400</v>
      </c>
      <c r="O5438" t="s">
        <v>667</v>
      </c>
      <c r="P5438">
        <v>400</v>
      </c>
      <c r="Q5438" t="s">
        <v>177</v>
      </c>
    </row>
    <row r="5439" spans="1:17" x14ac:dyDescent="0.25">
      <c r="A5439" t="s">
        <v>1060</v>
      </c>
      <c r="B5439" t="s">
        <v>1061</v>
      </c>
      <c r="C5439" t="s">
        <v>175</v>
      </c>
      <c r="D5439" t="s">
        <v>726</v>
      </c>
      <c r="E5439" t="s">
        <v>727</v>
      </c>
      <c r="F5439">
        <v>1</v>
      </c>
      <c r="G5439" t="s">
        <v>176</v>
      </c>
      <c r="H5439">
        <v>1</v>
      </c>
      <c r="I5439">
        <v>3</v>
      </c>
      <c r="J5439" s="10">
        <v>7</v>
      </c>
      <c r="K5439" s="10">
        <f>SUMIFS(F:F,D:D,DST_123_ÜRETİM_İHTİYAÇ_RAPORU_BURAK_YENI1309[[#This Row],[ALT_KOD]])-(SUMIFS(H:H,D:D,DST_123_ÜRETİM_İHTİYAÇ_RAPORU_BURAK_YENI1309[[#This Row],[ALT_KOD]])+AVERAGEIFS(I:I,D:D,DST_123_ÜRETİM_İHTİYAÇ_RAPORU_BURAK_YENI1309[[#This Row],[ALT_KOD]])+AVERAGEIFS(L:L,D:D,DST_123_ÜRETİM_İHTİYAÇ_RAPORU_BURAK_YENI1309[[#This Row],[ALT_KOD]]))</f>
        <v>5</v>
      </c>
      <c r="L5439">
        <v>0</v>
      </c>
      <c r="M5439">
        <f>IF((DST_123_ÜRETİM_İHTİYAÇ_RAPORU_BURAK_YENI1309[[#This Row],[SATINALMA]]*DST_123_ÜRETİM_İHTİYAÇ_RAPORU_BURAK_YENI1309[[#This Row],[BIRIM_FIYATLAR]])&lt;1,VALUE("0"),DST_123_ÜRETİM_İHTİYAÇ_RAPORU_BURAK_YENI1309[[#This Row],[SATINALMA]]*DST_123_ÜRETİM_İHTİYAÇ_RAPORU_BURAK_YENI1309[[#This Row],[BIRIM_FIYATLAR]])</f>
        <v>54497.75</v>
      </c>
      <c r="N5439">
        <v>10899.55</v>
      </c>
      <c r="O5439" t="s">
        <v>634</v>
      </c>
      <c r="P5439">
        <v>10899.55</v>
      </c>
      <c r="Q5439" t="s">
        <v>178</v>
      </c>
    </row>
    <row r="5440" spans="1:17" x14ac:dyDescent="0.25">
      <c r="A5440" t="s">
        <v>1100</v>
      </c>
      <c r="B5440" t="s">
        <v>1058</v>
      </c>
      <c r="C5440" t="s">
        <v>175</v>
      </c>
      <c r="D5440" t="s">
        <v>26</v>
      </c>
      <c r="E5440" t="s">
        <v>27</v>
      </c>
      <c r="F5440">
        <v>1</v>
      </c>
      <c r="G5440" t="s">
        <v>176</v>
      </c>
      <c r="H5440">
        <v>1</v>
      </c>
      <c r="I5440">
        <v>24</v>
      </c>
      <c r="J5440" s="10">
        <v>4</v>
      </c>
      <c r="K5440" s="10">
        <f>SUMIFS(F:F,D:D,DST_123_ÜRETİM_İHTİYAÇ_RAPORU_BURAK_YENI1309[[#This Row],[ALT_KOD]])-(SUMIFS(H:H,D:D,DST_123_ÜRETİM_İHTİYAÇ_RAPORU_BURAK_YENI1309[[#This Row],[ALT_KOD]])+AVERAGEIFS(I:I,D:D,DST_123_ÜRETİM_İHTİYAÇ_RAPORU_BURAK_YENI1309[[#This Row],[ALT_KOD]])+AVERAGEIFS(L:L,D:D,DST_123_ÜRETİM_İHTİYAÇ_RAPORU_BURAK_YENI1309[[#This Row],[ALT_KOD]]))</f>
        <v>-17</v>
      </c>
      <c r="L5440">
        <v>0</v>
      </c>
      <c r="M5440">
        <f>IF((DST_123_ÜRETİM_İHTİYAÇ_RAPORU_BURAK_YENI1309[[#This Row],[SATINALMA]]*DST_123_ÜRETİM_İHTİYAÇ_RAPORU_BURAK_YENI1309[[#This Row],[BIRIM_FIYATLAR]])&lt;1,VALUE("0"),DST_123_ÜRETİM_İHTİYAÇ_RAPORU_BURAK_YENI1309[[#This Row],[SATINALMA]]*DST_123_ÜRETİM_İHTİYAÇ_RAPORU_BURAK_YENI1309[[#This Row],[BIRIM_FIYATLAR]])</f>
        <v>0</v>
      </c>
      <c r="N5440">
        <v>625</v>
      </c>
      <c r="O5440" t="s">
        <v>226</v>
      </c>
      <c r="P5440">
        <v>625</v>
      </c>
      <c r="Q5440" t="s">
        <v>180</v>
      </c>
    </row>
    <row r="5441" spans="1:17" x14ac:dyDescent="0.25">
      <c r="A5441" t="s">
        <v>1144</v>
      </c>
      <c r="B5441" t="s">
        <v>1145</v>
      </c>
      <c r="C5441" t="s">
        <v>175</v>
      </c>
      <c r="D5441" t="s">
        <v>78</v>
      </c>
      <c r="E5441" t="s">
        <v>79</v>
      </c>
      <c r="F5441">
        <v>3</v>
      </c>
      <c r="G5441" t="s">
        <v>176</v>
      </c>
      <c r="H5441">
        <v>0</v>
      </c>
      <c r="I5441">
        <v>81</v>
      </c>
      <c r="J5441" s="10">
        <v>5</v>
      </c>
      <c r="K5441" s="10">
        <f>SUMIFS(F:F,D:D,DST_123_ÜRETİM_İHTİYAÇ_RAPORU_BURAK_YENI1309[[#This Row],[ALT_KOD]])-(SUMIFS(H:H,D:D,DST_123_ÜRETİM_İHTİYAÇ_RAPORU_BURAK_YENI1309[[#This Row],[ALT_KOD]])+AVERAGEIFS(I:I,D:D,DST_123_ÜRETİM_İHTİYAÇ_RAPORU_BURAK_YENI1309[[#This Row],[ALT_KOD]])+AVERAGEIFS(L:L,D:D,DST_123_ÜRETİM_İHTİYAÇ_RAPORU_BURAK_YENI1309[[#This Row],[ALT_KOD]]))</f>
        <v>-23</v>
      </c>
      <c r="L5441">
        <v>0</v>
      </c>
      <c r="M5441">
        <f>IF((DST_123_ÜRETİM_İHTİYAÇ_RAPORU_BURAK_YENI1309[[#This Row],[SATINALMA]]*DST_123_ÜRETİM_İHTİYAÇ_RAPORU_BURAK_YENI1309[[#This Row],[BIRIM_FIYATLAR]])&lt;1,VALUE("0"),DST_123_ÜRETİM_İHTİYAÇ_RAPORU_BURAK_YENI1309[[#This Row],[SATINALMA]]*DST_123_ÜRETİM_İHTİYAÇ_RAPORU_BURAK_YENI1309[[#This Row],[BIRIM_FIYATLAR]])</f>
        <v>0</v>
      </c>
      <c r="N5441">
        <v>188</v>
      </c>
      <c r="O5441" t="s">
        <v>240</v>
      </c>
      <c r="P5441">
        <v>564</v>
      </c>
      <c r="Q5441" t="s">
        <v>178</v>
      </c>
    </row>
    <row r="5442" spans="1:17" x14ac:dyDescent="0.25">
      <c r="A5442" t="s">
        <v>1097</v>
      </c>
      <c r="B5442" t="s">
        <v>1055</v>
      </c>
      <c r="C5442" t="s">
        <v>175</v>
      </c>
      <c r="D5442" t="s">
        <v>23</v>
      </c>
      <c r="E5442" t="s">
        <v>304</v>
      </c>
      <c r="F5442">
        <v>1</v>
      </c>
      <c r="G5442" t="s">
        <v>176</v>
      </c>
      <c r="H5442">
        <v>0</v>
      </c>
      <c r="I5442">
        <v>0</v>
      </c>
      <c r="J5442" s="10">
        <v>7</v>
      </c>
      <c r="K5442" s="10">
        <f>SUMIFS(F:F,D:D,DST_123_ÜRETİM_İHTİYAÇ_RAPORU_BURAK_YENI1309[[#This Row],[ALT_KOD]])-(SUMIFS(H:H,D:D,DST_123_ÜRETİM_İHTİYAÇ_RAPORU_BURAK_YENI1309[[#This Row],[ALT_KOD]])+AVERAGEIFS(I:I,D:D,DST_123_ÜRETİM_İHTİYAÇ_RAPORU_BURAK_YENI1309[[#This Row],[ALT_KOD]])+AVERAGEIFS(L:L,D:D,DST_123_ÜRETİM_İHTİYAÇ_RAPORU_BURAK_YENI1309[[#This Row],[ALT_KOD]]))</f>
        <v>19</v>
      </c>
      <c r="L5442">
        <v>0</v>
      </c>
      <c r="M5442">
        <f>IF((DST_123_ÜRETİM_İHTİYAÇ_RAPORU_BURAK_YENI1309[[#This Row],[SATINALMA]]*DST_123_ÜRETİM_İHTİYAÇ_RAPORU_BURAK_YENI1309[[#This Row],[BIRIM_FIYATLAR]])&lt;1,VALUE("0"),DST_123_ÜRETİM_İHTİYAÇ_RAPORU_BURAK_YENI1309[[#This Row],[SATINALMA]]*DST_123_ÜRETİM_İHTİYAÇ_RAPORU_BURAK_YENI1309[[#This Row],[BIRIM_FIYATLAR]])</f>
        <v>760</v>
      </c>
      <c r="N5442">
        <v>40</v>
      </c>
      <c r="O5442" t="s">
        <v>635</v>
      </c>
      <c r="P5442">
        <v>40</v>
      </c>
      <c r="Q5442" t="s">
        <v>221</v>
      </c>
    </row>
    <row r="5443" spans="1:17" x14ac:dyDescent="0.25">
      <c r="A5443" t="s">
        <v>1059</v>
      </c>
      <c r="B5443" t="s">
        <v>1058</v>
      </c>
      <c r="C5443" t="s">
        <v>175</v>
      </c>
      <c r="D5443" t="s">
        <v>1015</v>
      </c>
      <c r="E5443" t="s">
        <v>1016</v>
      </c>
      <c r="F5443">
        <v>1</v>
      </c>
      <c r="G5443" t="s">
        <v>176</v>
      </c>
      <c r="H5443">
        <v>1</v>
      </c>
      <c r="I5443">
        <v>8</v>
      </c>
      <c r="J5443" s="10">
        <v>4</v>
      </c>
      <c r="K5443" s="10">
        <f>SUMIFS(F:F,D:D,DST_123_ÜRETİM_İHTİYAÇ_RAPORU_BURAK_YENI1309[[#This Row],[ALT_KOD]])-(SUMIFS(H:H,D:D,DST_123_ÜRETİM_İHTİYAÇ_RAPORU_BURAK_YENI1309[[#This Row],[ALT_KOD]])+AVERAGEIFS(I:I,D:D,DST_123_ÜRETİM_İHTİYAÇ_RAPORU_BURAK_YENI1309[[#This Row],[ALT_KOD]])+AVERAGEIFS(L:L,D:D,DST_123_ÜRETİM_İHTİYAÇ_RAPORU_BURAK_YENI1309[[#This Row],[ALT_KOD]]))</f>
        <v>-8</v>
      </c>
      <c r="L5443">
        <v>0</v>
      </c>
      <c r="M5443">
        <f>IF((DST_123_ÜRETİM_İHTİYAÇ_RAPORU_BURAK_YENI1309[[#This Row],[SATINALMA]]*DST_123_ÜRETİM_İHTİYAÇ_RAPORU_BURAK_YENI1309[[#This Row],[BIRIM_FIYATLAR]])&lt;1,VALUE("0"),DST_123_ÜRETİM_İHTİYAÇ_RAPORU_BURAK_YENI1309[[#This Row],[SATINALMA]]*DST_123_ÜRETİM_İHTİYAÇ_RAPORU_BURAK_YENI1309[[#This Row],[BIRIM_FIYATLAR]])</f>
        <v>0</v>
      </c>
      <c r="N5443">
        <v>250</v>
      </c>
      <c r="O5443" t="s">
        <v>226</v>
      </c>
      <c r="P5443">
        <v>250</v>
      </c>
      <c r="Q5443" t="s">
        <v>180</v>
      </c>
    </row>
    <row r="5444" spans="1:17" x14ac:dyDescent="0.25">
      <c r="A5444" t="s">
        <v>1059</v>
      </c>
      <c r="B5444" t="s">
        <v>1058</v>
      </c>
      <c r="C5444" t="s">
        <v>175</v>
      </c>
      <c r="D5444" t="s">
        <v>802</v>
      </c>
      <c r="E5444" t="s">
        <v>822</v>
      </c>
      <c r="F5444">
        <v>2</v>
      </c>
      <c r="G5444" t="s">
        <v>176</v>
      </c>
      <c r="H5444">
        <v>2</v>
      </c>
      <c r="I5444">
        <v>20.5</v>
      </c>
      <c r="J5444" s="10">
        <v>5</v>
      </c>
      <c r="K5444" s="10">
        <f>SUMIFS(F:F,D:D,DST_123_ÜRETİM_İHTİYAÇ_RAPORU_BURAK_YENI1309[[#This Row],[ALT_KOD]])-(SUMIFS(H:H,D:D,DST_123_ÜRETİM_İHTİYAÇ_RAPORU_BURAK_YENI1309[[#This Row],[ALT_KOD]])+AVERAGEIFS(I:I,D:D,DST_123_ÜRETİM_İHTİYAÇ_RAPORU_BURAK_YENI1309[[#This Row],[ALT_KOD]])+AVERAGEIFS(L:L,D:D,DST_123_ÜRETİM_İHTİYAÇ_RAPORU_BURAK_YENI1309[[#This Row],[ALT_KOD]]))</f>
        <v>-9.5</v>
      </c>
      <c r="L5444">
        <v>0</v>
      </c>
      <c r="M5444">
        <f>IF((DST_123_ÜRETİM_İHTİYAÇ_RAPORU_BURAK_YENI1309[[#This Row],[SATINALMA]]*DST_123_ÜRETİM_İHTİYAÇ_RAPORU_BURAK_YENI1309[[#This Row],[BIRIM_FIYATLAR]])&lt;1,VALUE("0"),DST_123_ÜRETİM_İHTİYAÇ_RAPORU_BURAK_YENI1309[[#This Row],[SATINALMA]]*DST_123_ÜRETİM_İHTİYAÇ_RAPORU_BURAK_YENI1309[[#This Row],[BIRIM_FIYATLAR]])</f>
        <v>0</v>
      </c>
      <c r="N5444">
        <v>175</v>
      </c>
      <c r="O5444" t="s">
        <v>217</v>
      </c>
      <c r="P5444">
        <v>350</v>
      </c>
      <c r="Q5444" t="s">
        <v>180</v>
      </c>
    </row>
    <row r="5445" spans="1:17" x14ac:dyDescent="0.25">
      <c r="A5445" t="s">
        <v>1057</v>
      </c>
      <c r="B5445" t="s">
        <v>1058</v>
      </c>
      <c r="C5445" t="s">
        <v>175</v>
      </c>
      <c r="D5445" t="s">
        <v>19</v>
      </c>
      <c r="E5445" t="s">
        <v>20</v>
      </c>
      <c r="F5445">
        <v>4</v>
      </c>
      <c r="G5445" t="s">
        <v>176</v>
      </c>
      <c r="H5445">
        <v>4</v>
      </c>
      <c r="I5445">
        <v>37</v>
      </c>
      <c r="J5445" s="10">
        <v>28</v>
      </c>
      <c r="K5445" s="10">
        <f>SUMIFS(F:F,D:D,DST_123_ÜRETİM_İHTİYAÇ_RAPORU_BURAK_YENI1309[[#This Row],[ALT_KOD]])-(SUMIFS(H:H,D:D,DST_123_ÜRETİM_İHTİYAÇ_RAPORU_BURAK_YENI1309[[#This Row],[ALT_KOD]])+AVERAGEIFS(I:I,D:D,DST_123_ÜRETİM_İHTİYAÇ_RAPORU_BURAK_YENI1309[[#This Row],[ALT_KOD]])+AVERAGEIFS(L:L,D:D,DST_123_ÜRETİM_İHTİYAÇ_RAPORU_BURAK_YENI1309[[#This Row],[ALT_KOD]]))</f>
        <v>-3</v>
      </c>
      <c r="L5445">
        <v>0</v>
      </c>
      <c r="M5445">
        <f>IF((DST_123_ÜRETİM_İHTİYAÇ_RAPORU_BURAK_YENI1309[[#This Row],[SATINALMA]]*DST_123_ÜRETİM_İHTİYAÇ_RAPORU_BURAK_YENI1309[[#This Row],[BIRIM_FIYATLAR]])&lt;1,VALUE("0"),DST_123_ÜRETİM_İHTİYAÇ_RAPORU_BURAK_YENI1309[[#This Row],[SATINALMA]]*DST_123_ÜRETİM_İHTİYAÇ_RAPORU_BURAK_YENI1309[[#This Row],[BIRIM_FIYATLAR]])</f>
        <v>0</v>
      </c>
      <c r="N5445">
        <v>122.24</v>
      </c>
      <c r="O5445" t="s">
        <v>227</v>
      </c>
      <c r="P5445">
        <v>488.96</v>
      </c>
      <c r="Q5445" t="s">
        <v>221</v>
      </c>
    </row>
    <row r="5446" spans="1:17" x14ac:dyDescent="0.25">
      <c r="A5446" t="s">
        <v>1059</v>
      </c>
      <c r="B5446" t="s">
        <v>1058</v>
      </c>
      <c r="C5446" t="s">
        <v>175</v>
      </c>
      <c r="D5446" t="s">
        <v>590</v>
      </c>
      <c r="E5446" t="s">
        <v>591</v>
      </c>
      <c r="F5446">
        <v>1</v>
      </c>
      <c r="G5446" t="s">
        <v>176</v>
      </c>
      <c r="H5446">
        <v>1</v>
      </c>
      <c r="I5446">
        <v>4</v>
      </c>
      <c r="J5446" s="10">
        <v>10</v>
      </c>
      <c r="K5446" s="10">
        <f>SUMIFS(F:F,D:D,DST_123_ÜRETİM_İHTİYAÇ_RAPORU_BURAK_YENI1309[[#This Row],[ALT_KOD]])-(SUMIFS(H:H,D:D,DST_123_ÜRETİM_İHTİYAÇ_RAPORU_BURAK_YENI1309[[#This Row],[ALT_KOD]])+AVERAGEIFS(I:I,D:D,DST_123_ÜRETİM_İHTİYAÇ_RAPORU_BURAK_YENI1309[[#This Row],[ALT_KOD]])+AVERAGEIFS(L:L,D:D,DST_123_ÜRETİM_İHTİYAÇ_RAPORU_BURAK_YENI1309[[#This Row],[ALT_KOD]]))</f>
        <v>-3</v>
      </c>
      <c r="L5446">
        <v>10</v>
      </c>
      <c r="M5446">
        <f>IF((DST_123_ÜRETİM_İHTİYAÇ_RAPORU_BURAK_YENI1309[[#This Row],[SATINALMA]]*DST_123_ÜRETİM_İHTİYAÇ_RAPORU_BURAK_YENI1309[[#This Row],[BIRIM_FIYATLAR]])&lt;1,VALUE("0"),DST_123_ÜRETİM_İHTİYAÇ_RAPORU_BURAK_YENI1309[[#This Row],[SATINALMA]]*DST_123_ÜRETİM_İHTİYAÇ_RAPORU_BURAK_YENI1309[[#This Row],[BIRIM_FIYATLAR]])</f>
        <v>0</v>
      </c>
      <c r="N5446">
        <v>583.77</v>
      </c>
      <c r="O5446" t="s">
        <v>592</v>
      </c>
      <c r="P5446">
        <v>583.77</v>
      </c>
      <c r="Q5446" t="s">
        <v>180</v>
      </c>
    </row>
    <row r="5447" spans="1:17" x14ac:dyDescent="0.25">
      <c r="A5447" t="s">
        <v>1097</v>
      </c>
      <c r="B5447" t="s">
        <v>1055</v>
      </c>
      <c r="C5447" t="s">
        <v>175</v>
      </c>
      <c r="D5447" t="s">
        <v>590</v>
      </c>
      <c r="E5447" t="s">
        <v>591</v>
      </c>
      <c r="F5447">
        <v>1</v>
      </c>
      <c r="G5447" t="s">
        <v>176</v>
      </c>
      <c r="H5447">
        <v>1</v>
      </c>
      <c r="I5447">
        <v>4</v>
      </c>
      <c r="J5447" s="10">
        <v>10</v>
      </c>
      <c r="K5447" s="10">
        <f>SUMIFS(F:F,D:D,DST_123_ÜRETİM_İHTİYAÇ_RAPORU_BURAK_YENI1309[[#This Row],[ALT_KOD]])-(SUMIFS(H:H,D:D,DST_123_ÜRETİM_İHTİYAÇ_RAPORU_BURAK_YENI1309[[#This Row],[ALT_KOD]])+AVERAGEIFS(I:I,D:D,DST_123_ÜRETİM_İHTİYAÇ_RAPORU_BURAK_YENI1309[[#This Row],[ALT_KOD]])+AVERAGEIFS(L:L,D:D,DST_123_ÜRETİM_İHTİYAÇ_RAPORU_BURAK_YENI1309[[#This Row],[ALT_KOD]]))</f>
        <v>-3</v>
      </c>
      <c r="L5447">
        <v>10</v>
      </c>
      <c r="M5447">
        <f>IF((DST_123_ÜRETİM_İHTİYAÇ_RAPORU_BURAK_YENI1309[[#This Row],[SATINALMA]]*DST_123_ÜRETİM_İHTİYAÇ_RAPORU_BURAK_YENI1309[[#This Row],[BIRIM_FIYATLAR]])&lt;1,VALUE("0"),DST_123_ÜRETİM_İHTİYAÇ_RAPORU_BURAK_YENI1309[[#This Row],[SATINALMA]]*DST_123_ÜRETİM_İHTİYAÇ_RAPORU_BURAK_YENI1309[[#This Row],[BIRIM_FIYATLAR]])</f>
        <v>0</v>
      </c>
      <c r="N5447">
        <v>583.77</v>
      </c>
      <c r="O5447" t="s">
        <v>592</v>
      </c>
      <c r="P5447">
        <v>583.77</v>
      </c>
      <c r="Q5447" t="s">
        <v>180</v>
      </c>
    </row>
    <row r="5448" spans="1:17" x14ac:dyDescent="0.25">
      <c r="A5448" t="s">
        <v>1097</v>
      </c>
      <c r="B5448" t="s">
        <v>1055</v>
      </c>
      <c r="C5448" t="s">
        <v>175</v>
      </c>
      <c r="D5448" t="s">
        <v>736</v>
      </c>
      <c r="E5448" t="s">
        <v>737</v>
      </c>
      <c r="F5448">
        <v>1</v>
      </c>
      <c r="G5448" t="s">
        <v>176</v>
      </c>
      <c r="H5448">
        <v>1</v>
      </c>
      <c r="I5448">
        <v>12</v>
      </c>
      <c r="J5448" s="10">
        <v>17</v>
      </c>
      <c r="K5448" s="10">
        <f>SUMIFS(F:F,D:D,DST_123_ÜRETİM_İHTİYAÇ_RAPORU_BURAK_YENI1309[[#This Row],[ALT_KOD]])-(SUMIFS(H:H,D:D,DST_123_ÜRETİM_İHTİYAÇ_RAPORU_BURAK_YENI1309[[#This Row],[ALT_KOD]])+AVERAGEIFS(I:I,D:D,DST_123_ÜRETİM_İHTİYAÇ_RAPORU_BURAK_YENI1309[[#This Row],[ALT_KOD]])+AVERAGEIFS(L:L,D:D,DST_123_ÜRETİM_İHTİYAÇ_RAPORU_BURAK_YENI1309[[#This Row],[ALT_KOD]]))</f>
        <v>-1</v>
      </c>
      <c r="L5448">
        <v>0</v>
      </c>
      <c r="M5448">
        <f>IF((DST_123_ÜRETİM_İHTİYAÇ_RAPORU_BURAK_YENI1309[[#This Row],[SATINALMA]]*DST_123_ÜRETİM_İHTİYAÇ_RAPORU_BURAK_YENI1309[[#This Row],[BIRIM_FIYATLAR]])&lt;1,VALUE("0"),DST_123_ÜRETİM_İHTİYAÇ_RAPORU_BURAK_YENI1309[[#This Row],[SATINALMA]]*DST_123_ÜRETİM_İHTİYAÇ_RAPORU_BURAK_YENI1309[[#This Row],[BIRIM_FIYATLAR]])</f>
        <v>0</v>
      </c>
      <c r="N5448">
        <v>400</v>
      </c>
      <c r="O5448" t="s">
        <v>667</v>
      </c>
      <c r="P5448">
        <v>400</v>
      </c>
      <c r="Q5448" t="s">
        <v>177</v>
      </c>
    </row>
    <row r="5449" spans="1:17" x14ac:dyDescent="0.25">
      <c r="A5449" t="s">
        <v>1099</v>
      </c>
      <c r="B5449" t="s">
        <v>1055</v>
      </c>
      <c r="C5449" t="s">
        <v>175</v>
      </c>
      <c r="D5449" t="s">
        <v>726</v>
      </c>
      <c r="E5449" t="s">
        <v>727</v>
      </c>
      <c r="F5449">
        <v>1</v>
      </c>
      <c r="G5449" t="s">
        <v>176</v>
      </c>
      <c r="H5449">
        <v>1</v>
      </c>
      <c r="I5449">
        <v>3</v>
      </c>
      <c r="J5449" s="10">
        <v>7</v>
      </c>
      <c r="K5449" s="10">
        <f>SUMIFS(F:F,D:D,DST_123_ÜRETİM_İHTİYAÇ_RAPORU_BURAK_YENI1309[[#This Row],[ALT_KOD]])-(SUMIFS(H:H,D:D,DST_123_ÜRETİM_İHTİYAÇ_RAPORU_BURAK_YENI1309[[#This Row],[ALT_KOD]])+AVERAGEIFS(I:I,D:D,DST_123_ÜRETİM_İHTİYAÇ_RAPORU_BURAK_YENI1309[[#This Row],[ALT_KOD]])+AVERAGEIFS(L:L,D:D,DST_123_ÜRETİM_İHTİYAÇ_RAPORU_BURAK_YENI1309[[#This Row],[ALT_KOD]]))</f>
        <v>5</v>
      </c>
      <c r="L5449">
        <v>0</v>
      </c>
      <c r="M5449">
        <f>IF((DST_123_ÜRETİM_İHTİYAÇ_RAPORU_BURAK_YENI1309[[#This Row],[SATINALMA]]*DST_123_ÜRETİM_İHTİYAÇ_RAPORU_BURAK_YENI1309[[#This Row],[BIRIM_FIYATLAR]])&lt;1,VALUE("0"),DST_123_ÜRETİM_İHTİYAÇ_RAPORU_BURAK_YENI1309[[#This Row],[SATINALMA]]*DST_123_ÜRETİM_İHTİYAÇ_RAPORU_BURAK_YENI1309[[#This Row],[BIRIM_FIYATLAR]])</f>
        <v>54497.75</v>
      </c>
      <c r="N5449">
        <v>10899.55</v>
      </c>
      <c r="O5449" t="s">
        <v>634</v>
      </c>
      <c r="P5449">
        <v>10899.55</v>
      </c>
      <c r="Q5449" t="s">
        <v>178</v>
      </c>
    </row>
    <row r="5450" spans="1:17" x14ac:dyDescent="0.25">
      <c r="A5450" t="s">
        <v>1064</v>
      </c>
      <c r="B5450" t="s">
        <v>1055</v>
      </c>
      <c r="C5450" t="s">
        <v>175</v>
      </c>
      <c r="D5450" t="s">
        <v>726</v>
      </c>
      <c r="E5450" t="s">
        <v>727</v>
      </c>
      <c r="F5450">
        <v>1</v>
      </c>
      <c r="G5450" t="s">
        <v>176</v>
      </c>
      <c r="H5450">
        <v>1</v>
      </c>
      <c r="I5450">
        <v>3</v>
      </c>
      <c r="J5450" s="10">
        <v>7</v>
      </c>
      <c r="K5450" s="10">
        <f>SUMIFS(F:F,D:D,DST_123_ÜRETİM_İHTİYAÇ_RAPORU_BURAK_YENI1309[[#This Row],[ALT_KOD]])-(SUMIFS(H:H,D:D,DST_123_ÜRETİM_İHTİYAÇ_RAPORU_BURAK_YENI1309[[#This Row],[ALT_KOD]])+AVERAGEIFS(I:I,D:D,DST_123_ÜRETİM_İHTİYAÇ_RAPORU_BURAK_YENI1309[[#This Row],[ALT_KOD]])+AVERAGEIFS(L:L,D:D,DST_123_ÜRETİM_İHTİYAÇ_RAPORU_BURAK_YENI1309[[#This Row],[ALT_KOD]]))</f>
        <v>5</v>
      </c>
      <c r="L5450">
        <v>0</v>
      </c>
      <c r="M5450">
        <f>IF((DST_123_ÜRETİM_İHTİYAÇ_RAPORU_BURAK_YENI1309[[#This Row],[SATINALMA]]*DST_123_ÜRETİM_İHTİYAÇ_RAPORU_BURAK_YENI1309[[#This Row],[BIRIM_FIYATLAR]])&lt;1,VALUE("0"),DST_123_ÜRETİM_İHTİYAÇ_RAPORU_BURAK_YENI1309[[#This Row],[SATINALMA]]*DST_123_ÜRETİM_İHTİYAÇ_RAPORU_BURAK_YENI1309[[#This Row],[BIRIM_FIYATLAR]])</f>
        <v>54497.75</v>
      </c>
      <c r="N5450">
        <v>10899.55</v>
      </c>
      <c r="O5450" t="s">
        <v>634</v>
      </c>
      <c r="P5450">
        <v>10899.55</v>
      </c>
      <c r="Q5450" t="s">
        <v>178</v>
      </c>
    </row>
    <row r="5451" spans="1:17" x14ac:dyDescent="0.25">
      <c r="A5451" t="s">
        <v>1100</v>
      </c>
      <c r="B5451" t="s">
        <v>1058</v>
      </c>
      <c r="C5451" t="s">
        <v>175</v>
      </c>
      <c r="D5451" t="s">
        <v>272</v>
      </c>
      <c r="E5451" t="s">
        <v>621</v>
      </c>
      <c r="F5451">
        <v>1</v>
      </c>
      <c r="G5451" t="s">
        <v>176</v>
      </c>
      <c r="H5451">
        <v>1</v>
      </c>
      <c r="I5451">
        <v>11</v>
      </c>
      <c r="J5451" s="10">
        <v>4</v>
      </c>
      <c r="K5451" s="10">
        <f>SUMIFS(F:F,D:D,DST_123_ÜRETİM_İHTİYAÇ_RAPORU_BURAK_YENI1309[[#This Row],[ALT_KOD]])-(SUMIFS(H:H,D:D,DST_123_ÜRETİM_İHTİYAÇ_RAPORU_BURAK_YENI1309[[#This Row],[ALT_KOD]])+AVERAGEIFS(I:I,D:D,DST_123_ÜRETİM_İHTİYAÇ_RAPORU_BURAK_YENI1309[[#This Row],[ALT_KOD]])+AVERAGEIFS(L:L,D:D,DST_123_ÜRETİM_İHTİYAÇ_RAPORU_BURAK_YENI1309[[#This Row],[ALT_KOD]]))</f>
        <v>-4</v>
      </c>
      <c r="L5451">
        <v>0</v>
      </c>
      <c r="M5451">
        <f>IF((DST_123_ÜRETİM_İHTİYAÇ_RAPORU_BURAK_YENI1309[[#This Row],[SATINALMA]]*DST_123_ÜRETİM_İHTİYAÇ_RAPORU_BURAK_YENI1309[[#This Row],[BIRIM_FIYATLAR]])&lt;1,VALUE("0"),DST_123_ÜRETİM_İHTİYAÇ_RAPORU_BURAK_YENI1309[[#This Row],[SATINALMA]]*DST_123_ÜRETİM_İHTİYAÇ_RAPORU_BURAK_YENI1309[[#This Row],[BIRIM_FIYATLAR]])</f>
        <v>0</v>
      </c>
      <c r="N5451">
        <v>1679.53</v>
      </c>
      <c r="O5451" t="s">
        <v>636</v>
      </c>
      <c r="P5451">
        <v>1679.53</v>
      </c>
      <c r="Q5451" t="s">
        <v>178</v>
      </c>
    </row>
    <row r="5452" spans="1:17" x14ac:dyDescent="0.25">
      <c r="A5452" t="s">
        <v>1097</v>
      </c>
      <c r="B5452" t="s">
        <v>1055</v>
      </c>
      <c r="C5452" t="s">
        <v>175</v>
      </c>
      <c r="D5452" t="s">
        <v>451</v>
      </c>
      <c r="E5452" t="s">
        <v>452</v>
      </c>
      <c r="F5452">
        <v>1</v>
      </c>
      <c r="G5452" t="s">
        <v>176</v>
      </c>
      <c r="H5452">
        <v>1</v>
      </c>
      <c r="I5452">
        <v>4</v>
      </c>
      <c r="J5452" s="10">
        <v>9</v>
      </c>
      <c r="K5452" s="10">
        <f>SUMIFS(F:F,D:D,DST_123_ÜRETİM_İHTİYAÇ_RAPORU_BURAK_YENI1309[[#This Row],[ALT_KOD]])-(SUMIFS(H:H,D:D,DST_123_ÜRETİM_İHTİYAÇ_RAPORU_BURAK_YENI1309[[#This Row],[ALT_KOD]])+AVERAGEIFS(I:I,D:D,DST_123_ÜRETİM_İHTİYAÇ_RAPORU_BURAK_YENI1309[[#This Row],[ALT_KOD]])+AVERAGEIFS(L:L,D:D,DST_123_ÜRETİM_İHTİYAÇ_RAPORU_BURAK_YENI1309[[#This Row],[ALT_KOD]]))</f>
        <v>1</v>
      </c>
      <c r="L5452">
        <v>6</v>
      </c>
      <c r="M5452">
        <f>IF((DST_123_ÜRETİM_İHTİYAÇ_RAPORU_BURAK_YENI1309[[#This Row],[SATINALMA]]*DST_123_ÜRETİM_İHTİYAÇ_RAPORU_BURAK_YENI1309[[#This Row],[BIRIM_FIYATLAR]])&lt;1,VALUE("0"),DST_123_ÜRETİM_İHTİYAÇ_RAPORU_BURAK_YENI1309[[#This Row],[SATINALMA]]*DST_123_ÜRETİM_İHTİYAÇ_RAPORU_BURAK_YENI1309[[#This Row],[BIRIM_FIYATLAR]])</f>
        <v>1600</v>
      </c>
      <c r="N5452">
        <v>1600</v>
      </c>
      <c r="O5452" t="s">
        <v>240</v>
      </c>
      <c r="P5452">
        <v>1600</v>
      </c>
      <c r="Q5452" t="s">
        <v>178</v>
      </c>
    </row>
    <row r="5453" spans="1:17" x14ac:dyDescent="0.25">
      <c r="A5453" t="s">
        <v>1149</v>
      </c>
      <c r="B5453" t="s">
        <v>1145</v>
      </c>
      <c r="C5453" t="s">
        <v>175</v>
      </c>
      <c r="D5453" t="s">
        <v>726</v>
      </c>
      <c r="E5453" t="s">
        <v>727</v>
      </c>
      <c r="F5453">
        <v>1</v>
      </c>
      <c r="G5453" t="s">
        <v>176</v>
      </c>
      <c r="H5453">
        <v>0</v>
      </c>
      <c r="I5453">
        <v>3</v>
      </c>
      <c r="J5453" s="10">
        <v>7</v>
      </c>
      <c r="K5453" s="10">
        <f>SUMIFS(F:F,D:D,DST_123_ÜRETİM_İHTİYAÇ_RAPORU_BURAK_YENI1309[[#This Row],[ALT_KOD]])-(SUMIFS(H:H,D:D,DST_123_ÜRETİM_İHTİYAÇ_RAPORU_BURAK_YENI1309[[#This Row],[ALT_KOD]])+AVERAGEIFS(I:I,D:D,DST_123_ÜRETİM_İHTİYAÇ_RAPORU_BURAK_YENI1309[[#This Row],[ALT_KOD]])+AVERAGEIFS(L:L,D:D,DST_123_ÜRETİM_İHTİYAÇ_RAPORU_BURAK_YENI1309[[#This Row],[ALT_KOD]]))</f>
        <v>5</v>
      </c>
      <c r="L5453">
        <v>0</v>
      </c>
      <c r="M5453">
        <f>IF((DST_123_ÜRETİM_İHTİYAÇ_RAPORU_BURAK_YENI1309[[#This Row],[SATINALMA]]*DST_123_ÜRETİM_İHTİYAÇ_RAPORU_BURAK_YENI1309[[#This Row],[BIRIM_FIYATLAR]])&lt;1,VALUE("0"),DST_123_ÜRETİM_İHTİYAÇ_RAPORU_BURAK_YENI1309[[#This Row],[SATINALMA]]*DST_123_ÜRETİM_İHTİYAÇ_RAPORU_BURAK_YENI1309[[#This Row],[BIRIM_FIYATLAR]])</f>
        <v>54497.75</v>
      </c>
      <c r="N5453">
        <v>10899.55</v>
      </c>
      <c r="O5453" t="s">
        <v>634</v>
      </c>
      <c r="P5453">
        <v>10899.55</v>
      </c>
      <c r="Q5453" t="s">
        <v>178</v>
      </c>
    </row>
    <row r="5454" spans="1:17" x14ac:dyDescent="0.25">
      <c r="A5454" t="s">
        <v>1057</v>
      </c>
      <c r="B5454" t="s">
        <v>1058</v>
      </c>
      <c r="C5454" t="s">
        <v>175</v>
      </c>
      <c r="D5454" t="s">
        <v>904</v>
      </c>
      <c r="E5454" t="s">
        <v>905</v>
      </c>
      <c r="F5454">
        <v>2</v>
      </c>
      <c r="G5454" t="s">
        <v>176</v>
      </c>
      <c r="H5454">
        <v>2</v>
      </c>
      <c r="I5454">
        <v>3</v>
      </c>
      <c r="J5454" s="10">
        <v>6</v>
      </c>
      <c r="K5454" s="10">
        <f>SUMIFS(F:F,D:D,DST_123_ÜRETİM_İHTİYAÇ_RAPORU_BURAK_YENI1309[[#This Row],[ALT_KOD]])-(SUMIFS(H:H,D:D,DST_123_ÜRETİM_İHTİYAÇ_RAPORU_BURAK_YENI1309[[#This Row],[ALT_KOD]])+AVERAGEIFS(I:I,D:D,DST_123_ÜRETİM_İHTİYAÇ_RAPORU_BURAK_YENI1309[[#This Row],[ALT_KOD]])+AVERAGEIFS(L:L,D:D,DST_123_ÜRETİM_İHTİYAÇ_RAPORU_BURAK_YENI1309[[#This Row],[ALT_KOD]]))</f>
        <v>-3</v>
      </c>
      <c r="L5454">
        <v>0</v>
      </c>
      <c r="M5454">
        <f>IF((DST_123_ÜRETİM_İHTİYAÇ_RAPORU_BURAK_YENI1309[[#This Row],[SATINALMA]]*DST_123_ÜRETİM_İHTİYAÇ_RAPORU_BURAK_YENI1309[[#This Row],[BIRIM_FIYATLAR]])&lt;1,VALUE("0"),DST_123_ÜRETİM_İHTİYAÇ_RAPORU_BURAK_YENI1309[[#This Row],[SATINALMA]]*DST_123_ÜRETİM_İHTİYAÇ_RAPORU_BURAK_YENI1309[[#This Row],[BIRIM_FIYATLAR]])</f>
        <v>0</v>
      </c>
      <c r="N5454">
        <v>100</v>
      </c>
      <c r="O5454" t="s">
        <v>226</v>
      </c>
      <c r="P5454">
        <v>200</v>
      </c>
      <c r="Q5454" t="s">
        <v>180</v>
      </c>
    </row>
    <row r="5455" spans="1:17" x14ac:dyDescent="0.25">
      <c r="A5455" t="s">
        <v>1059</v>
      </c>
      <c r="B5455" t="s">
        <v>1058</v>
      </c>
      <c r="C5455" t="s">
        <v>175</v>
      </c>
      <c r="D5455" t="s">
        <v>201</v>
      </c>
      <c r="E5455" t="s">
        <v>225</v>
      </c>
      <c r="F5455">
        <v>3</v>
      </c>
      <c r="G5455" t="s">
        <v>176</v>
      </c>
      <c r="H5455">
        <v>3</v>
      </c>
      <c r="I5455">
        <v>65</v>
      </c>
      <c r="J5455" s="10">
        <v>31</v>
      </c>
      <c r="K5455" s="10">
        <f>SUMIFS(F:F,D:D,DST_123_ÜRETİM_İHTİYAÇ_RAPORU_BURAK_YENI1309[[#This Row],[ALT_KOD]])-(SUMIFS(H:H,D:D,DST_123_ÜRETİM_İHTİYAÇ_RAPORU_BURAK_YENI1309[[#This Row],[ALT_KOD]])+AVERAGEIFS(I:I,D:D,DST_123_ÜRETİM_İHTİYAÇ_RAPORU_BURAK_YENI1309[[#This Row],[ALT_KOD]])+AVERAGEIFS(L:L,D:D,DST_123_ÜRETİM_İHTİYAÇ_RAPORU_BURAK_YENI1309[[#This Row],[ALT_KOD]]))</f>
        <v>-31</v>
      </c>
      <c r="L5455">
        <v>0</v>
      </c>
      <c r="M5455">
        <f>IF((DST_123_ÜRETİM_İHTİYAÇ_RAPORU_BURAK_YENI1309[[#This Row],[SATINALMA]]*DST_123_ÜRETİM_İHTİYAÇ_RAPORU_BURAK_YENI1309[[#This Row],[BIRIM_FIYATLAR]])&lt;1,VALUE("0"),DST_123_ÜRETİM_İHTİYAÇ_RAPORU_BURAK_YENI1309[[#This Row],[SATINALMA]]*DST_123_ÜRETİM_İHTİYAÇ_RAPORU_BURAK_YENI1309[[#This Row],[BIRIM_FIYATLAR]])</f>
        <v>0</v>
      </c>
      <c r="N5455">
        <v>45.5</v>
      </c>
      <c r="O5455" t="s">
        <v>504</v>
      </c>
      <c r="P5455">
        <v>136.5</v>
      </c>
      <c r="Q5455" t="s">
        <v>221</v>
      </c>
    </row>
    <row r="5456" spans="1:17" x14ac:dyDescent="0.25">
      <c r="A5456" t="s">
        <v>1100</v>
      </c>
      <c r="B5456" t="s">
        <v>1058</v>
      </c>
      <c r="C5456" t="s">
        <v>175</v>
      </c>
      <c r="D5456" t="s">
        <v>201</v>
      </c>
      <c r="E5456" t="s">
        <v>225</v>
      </c>
      <c r="F5456">
        <v>3</v>
      </c>
      <c r="G5456" t="s">
        <v>176</v>
      </c>
      <c r="H5456">
        <v>3</v>
      </c>
      <c r="I5456">
        <v>65</v>
      </c>
      <c r="J5456" s="10">
        <v>31</v>
      </c>
      <c r="K5456" s="10">
        <f>SUMIFS(F:F,D:D,DST_123_ÜRETİM_İHTİYAÇ_RAPORU_BURAK_YENI1309[[#This Row],[ALT_KOD]])-(SUMIFS(H:H,D:D,DST_123_ÜRETİM_İHTİYAÇ_RAPORU_BURAK_YENI1309[[#This Row],[ALT_KOD]])+AVERAGEIFS(I:I,D:D,DST_123_ÜRETİM_İHTİYAÇ_RAPORU_BURAK_YENI1309[[#This Row],[ALT_KOD]])+AVERAGEIFS(L:L,D:D,DST_123_ÜRETİM_İHTİYAÇ_RAPORU_BURAK_YENI1309[[#This Row],[ALT_KOD]]))</f>
        <v>-31</v>
      </c>
      <c r="L5456">
        <v>0</v>
      </c>
      <c r="M5456">
        <f>IF((DST_123_ÜRETİM_İHTİYAÇ_RAPORU_BURAK_YENI1309[[#This Row],[SATINALMA]]*DST_123_ÜRETİM_İHTİYAÇ_RAPORU_BURAK_YENI1309[[#This Row],[BIRIM_FIYATLAR]])&lt;1,VALUE("0"),DST_123_ÜRETİM_İHTİYAÇ_RAPORU_BURAK_YENI1309[[#This Row],[SATINALMA]]*DST_123_ÜRETİM_İHTİYAÇ_RAPORU_BURAK_YENI1309[[#This Row],[BIRIM_FIYATLAR]])</f>
        <v>0</v>
      </c>
      <c r="N5456">
        <v>45.5</v>
      </c>
      <c r="O5456" t="s">
        <v>504</v>
      </c>
      <c r="P5456">
        <v>136.5</v>
      </c>
      <c r="Q5456" t="s">
        <v>221</v>
      </c>
    </row>
    <row r="5457" spans="1:17" x14ac:dyDescent="0.25">
      <c r="A5457" t="s">
        <v>1059</v>
      </c>
      <c r="B5457" t="s">
        <v>1058</v>
      </c>
      <c r="C5457" t="s">
        <v>175</v>
      </c>
      <c r="D5457" t="s">
        <v>510</v>
      </c>
      <c r="E5457" t="s">
        <v>511</v>
      </c>
      <c r="F5457">
        <v>2</v>
      </c>
      <c r="G5457" t="s">
        <v>176</v>
      </c>
      <c r="H5457">
        <v>0</v>
      </c>
      <c r="I5457">
        <v>0</v>
      </c>
      <c r="J5457" s="10">
        <v>14</v>
      </c>
      <c r="K5457" s="10">
        <f>SUMIFS(F:F,D:D,DST_123_ÜRETİM_İHTİYAÇ_RAPORU_BURAK_YENI1309[[#This Row],[ALT_KOD]])-(SUMIFS(H:H,D:D,DST_123_ÜRETİM_İHTİYAÇ_RAPORU_BURAK_YENI1309[[#This Row],[ALT_KOD]])+AVERAGEIFS(I:I,D:D,DST_123_ÜRETİM_İHTİYAÇ_RAPORU_BURAK_YENI1309[[#This Row],[ALT_KOD]])+AVERAGEIFS(L:L,D:D,DST_123_ÜRETİM_İHTİYAÇ_RAPORU_BURAK_YENI1309[[#This Row],[ALT_KOD]]))</f>
        <v>38</v>
      </c>
      <c r="L5457">
        <v>0</v>
      </c>
      <c r="M5457">
        <f>IF((DST_123_ÜRETİM_İHTİYAÇ_RAPORU_BURAK_YENI1309[[#This Row],[SATINALMA]]*DST_123_ÜRETİM_İHTİYAÇ_RAPORU_BURAK_YENI1309[[#This Row],[BIRIM_FIYATLAR]])&lt;1,VALUE("0"),DST_123_ÜRETİM_İHTİYAÇ_RAPORU_BURAK_YENI1309[[#This Row],[SATINALMA]]*DST_123_ÜRETİM_İHTİYAÇ_RAPORU_BURAK_YENI1309[[#This Row],[BIRIM_FIYATLAR]])</f>
        <v>261.06</v>
      </c>
      <c r="N5457">
        <v>6.87</v>
      </c>
      <c r="O5457" t="s">
        <v>826</v>
      </c>
      <c r="P5457">
        <v>13.74</v>
      </c>
      <c r="Q5457" t="s">
        <v>221</v>
      </c>
    </row>
    <row r="5458" spans="1:17" x14ac:dyDescent="0.25">
      <c r="A5458" t="s">
        <v>1099</v>
      </c>
      <c r="B5458" t="s">
        <v>1055</v>
      </c>
      <c r="C5458" t="s">
        <v>175</v>
      </c>
      <c r="D5458" t="s">
        <v>2</v>
      </c>
      <c r="E5458" t="s">
        <v>423</v>
      </c>
      <c r="F5458">
        <v>2</v>
      </c>
      <c r="G5458" t="s">
        <v>176</v>
      </c>
      <c r="H5458">
        <v>0</v>
      </c>
      <c r="I5458">
        <v>20</v>
      </c>
      <c r="J5458" s="10">
        <v>20</v>
      </c>
      <c r="K5458" s="10">
        <f>SUMIFS(F:F,D:D,DST_123_ÜRETİM_İHTİYAÇ_RAPORU_BURAK_YENI1309[[#This Row],[ALT_KOD]])-(SUMIFS(H:H,D:D,DST_123_ÜRETİM_İHTİYAÇ_RAPORU_BURAK_YENI1309[[#This Row],[ALT_KOD]])+AVERAGEIFS(I:I,D:D,DST_123_ÜRETİM_İHTİYAÇ_RAPORU_BURAK_YENI1309[[#This Row],[ALT_KOD]])+AVERAGEIFS(L:L,D:D,DST_123_ÜRETİM_İHTİYAÇ_RAPORU_BURAK_YENI1309[[#This Row],[ALT_KOD]]))</f>
        <v>-6</v>
      </c>
      <c r="L5458">
        <v>10</v>
      </c>
      <c r="M5458">
        <f>IF((DST_123_ÜRETİM_İHTİYAÇ_RAPORU_BURAK_YENI1309[[#This Row],[SATINALMA]]*DST_123_ÜRETİM_İHTİYAÇ_RAPORU_BURAK_YENI1309[[#This Row],[BIRIM_FIYATLAR]])&lt;1,VALUE("0"),DST_123_ÜRETİM_İHTİYAÇ_RAPORU_BURAK_YENI1309[[#This Row],[SATINALMA]]*DST_123_ÜRETİM_İHTİYAÇ_RAPORU_BURAK_YENI1309[[#This Row],[BIRIM_FIYATLAR]])</f>
        <v>0</v>
      </c>
      <c r="N5458">
        <v>400</v>
      </c>
      <c r="O5458" t="s">
        <v>217</v>
      </c>
      <c r="P5458">
        <v>800</v>
      </c>
      <c r="Q5458" t="s">
        <v>221</v>
      </c>
    </row>
    <row r="5459" spans="1:17" x14ac:dyDescent="0.25">
      <c r="A5459" t="s">
        <v>1064</v>
      </c>
      <c r="B5459" t="s">
        <v>1055</v>
      </c>
      <c r="C5459" t="s">
        <v>175</v>
      </c>
      <c r="D5459" t="s">
        <v>123</v>
      </c>
      <c r="E5459" t="s">
        <v>633</v>
      </c>
      <c r="F5459">
        <v>0.2</v>
      </c>
      <c r="G5459" t="s">
        <v>179</v>
      </c>
      <c r="H5459">
        <v>0</v>
      </c>
      <c r="I5459">
        <v>200</v>
      </c>
      <c r="J5459" s="10">
        <v>5.6843418860808015E-14</v>
      </c>
      <c r="K5459" s="10">
        <f>SUMIFS(F:F,D:D,DST_123_ÜRETİM_İHTİYAÇ_RAPORU_BURAK_YENI1309[[#This Row],[ALT_KOD]])-(SUMIFS(H:H,D:D,DST_123_ÜRETİM_İHTİYAÇ_RAPORU_BURAK_YENI1309[[#This Row],[ALT_KOD]])+AVERAGEIFS(I:I,D:D,DST_123_ÜRETİM_İHTİYAÇ_RAPORU_BURAK_YENI1309[[#This Row],[ALT_KOD]])+AVERAGEIFS(L:L,D:D,DST_123_ÜRETİM_İHTİYAÇ_RAPORU_BURAK_YENI1309[[#This Row],[ALT_KOD]]))</f>
        <v>-196.15</v>
      </c>
      <c r="L5459">
        <v>0</v>
      </c>
      <c r="M5459">
        <f>IF((DST_123_ÜRETİM_İHTİYAÇ_RAPORU_BURAK_YENI1309[[#This Row],[SATINALMA]]*DST_123_ÜRETİM_İHTİYAÇ_RAPORU_BURAK_YENI1309[[#This Row],[BIRIM_FIYATLAR]])&lt;1,VALUE("0"),DST_123_ÜRETİM_İHTİYAÇ_RAPORU_BURAK_YENI1309[[#This Row],[SATINALMA]]*DST_123_ÜRETİM_İHTİYAÇ_RAPORU_BURAK_YENI1309[[#This Row],[BIRIM_FIYATLAR]])</f>
        <v>0</v>
      </c>
      <c r="N5459">
        <v>2.89</v>
      </c>
      <c r="O5459" t="s">
        <v>826</v>
      </c>
      <c r="P5459">
        <v>0.57800000000000007</v>
      </c>
      <c r="Q5459" t="s">
        <v>221</v>
      </c>
    </row>
    <row r="5460" spans="1:17" x14ac:dyDescent="0.25">
      <c r="A5460" t="s">
        <v>1060</v>
      </c>
      <c r="B5460" t="s">
        <v>1061</v>
      </c>
      <c r="C5460" t="s">
        <v>175</v>
      </c>
      <c r="D5460" t="s">
        <v>819</v>
      </c>
      <c r="E5460" t="s">
        <v>820</v>
      </c>
      <c r="F5460">
        <v>5</v>
      </c>
      <c r="G5460" t="s">
        <v>176</v>
      </c>
      <c r="H5460">
        <v>5</v>
      </c>
      <c r="I5460">
        <v>15</v>
      </c>
      <c r="J5460" s="10">
        <v>10</v>
      </c>
      <c r="K5460" s="10">
        <f>SUMIFS(F:F,D:D,DST_123_ÜRETİM_İHTİYAÇ_RAPORU_BURAK_YENI1309[[#This Row],[ALT_KOD]])-(SUMIFS(H:H,D:D,DST_123_ÜRETİM_İHTİYAÇ_RAPORU_BURAK_YENI1309[[#This Row],[ALT_KOD]])+AVERAGEIFS(I:I,D:D,DST_123_ÜRETİM_İHTİYAÇ_RAPORU_BURAK_YENI1309[[#This Row],[ALT_KOD]])+AVERAGEIFS(L:L,D:D,DST_123_ÜRETİM_İHTİYAÇ_RAPORU_BURAK_YENI1309[[#This Row],[ALT_KOD]]))</f>
        <v>20</v>
      </c>
      <c r="L5460">
        <v>0</v>
      </c>
      <c r="M5460">
        <f>IF((DST_123_ÜRETİM_İHTİYAÇ_RAPORU_BURAK_YENI1309[[#This Row],[SATINALMA]]*DST_123_ÜRETİM_İHTİYAÇ_RAPORU_BURAK_YENI1309[[#This Row],[BIRIM_FIYATLAR]])&lt;1,VALUE("0"),DST_123_ÜRETİM_İHTİYAÇ_RAPORU_BURAK_YENI1309[[#This Row],[SATINALMA]]*DST_123_ÜRETİM_İHTİYAÇ_RAPORU_BURAK_YENI1309[[#This Row],[BIRIM_FIYATLAR]])</f>
        <v>3545.7999999999997</v>
      </c>
      <c r="N5460">
        <v>177.29</v>
      </c>
      <c r="O5460" t="s">
        <v>275</v>
      </c>
      <c r="P5460">
        <v>886.44999999999993</v>
      </c>
      <c r="Q5460" t="s">
        <v>180</v>
      </c>
    </row>
    <row r="5461" spans="1:17" x14ac:dyDescent="0.25">
      <c r="A5461" t="s">
        <v>1059</v>
      </c>
      <c r="B5461" t="s">
        <v>1058</v>
      </c>
      <c r="C5461" t="s">
        <v>175</v>
      </c>
      <c r="D5461" t="s">
        <v>986</v>
      </c>
      <c r="E5461" t="s">
        <v>987</v>
      </c>
      <c r="F5461">
        <v>2</v>
      </c>
      <c r="G5461" t="s">
        <v>185</v>
      </c>
      <c r="H5461">
        <v>2</v>
      </c>
      <c r="I5461">
        <v>139</v>
      </c>
      <c r="J5461" s="10">
        <v>45.499999999999943</v>
      </c>
      <c r="K5461" s="10">
        <f>SUMIFS(F:F,D:D,DST_123_ÜRETİM_İHTİYAÇ_RAPORU_BURAK_YENI1309[[#This Row],[ALT_KOD]])-(SUMIFS(H:H,D:D,DST_123_ÜRETİM_İHTİYAÇ_RAPORU_BURAK_YENI1309[[#This Row],[ALT_KOD]])+AVERAGEIFS(I:I,D:D,DST_123_ÜRETİM_İHTİYAÇ_RAPORU_BURAK_YENI1309[[#This Row],[ALT_KOD]])+AVERAGEIFS(L:L,D:D,DST_123_ÜRETİM_İHTİYAÇ_RAPORU_BURAK_YENI1309[[#This Row],[ALT_KOD]]))</f>
        <v>-124</v>
      </c>
      <c r="L5461">
        <v>0</v>
      </c>
      <c r="M5461">
        <f>IF((DST_123_ÜRETİM_İHTİYAÇ_RAPORU_BURAK_YENI1309[[#This Row],[SATINALMA]]*DST_123_ÜRETİM_İHTİYAÇ_RAPORU_BURAK_YENI1309[[#This Row],[BIRIM_FIYATLAR]])&lt;1,VALUE("0"),DST_123_ÜRETİM_İHTİYAÇ_RAPORU_BURAK_YENI1309[[#This Row],[SATINALMA]]*DST_123_ÜRETİM_İHTİYAÇ_RAPORU_BURAK_YENI1309[[#This Row],[BIRIM_FIYATLAR]])</f>
        <v>0</v>
      </c>
      <c r="N5461">
        <v>233.95</v>
      </c>
      <c r="O5461" t="s">
        <v>490</v>
      </c>
      <c r="P5461">
        <v>467.9</v>
      </c>
      <c r="Q5461" t="s">
        <v>183</v>
      </c>
    </row>
    <row r="5462" spans="1:17" x14ac:dyDescent="0.25">
      <c r="A5462" t="s">
        <v>1101</v>
      </c>
      <c r="B5462" t="s">
        <v>1102</v>
      </c>
      <c r="C5462" t="s">
        <v>175</v>
      </c>
      <c r="D5462" t="s">
        <v>984</v>
      </c>
      <c r="E5462" t="s">
        <v>985</v>
      </c>
      <c r="F5462">
        <v>1</v>
      </c>
      <c r="G5462" t="s">
        <v>176</v>
      </c>
      <c r="H5462">
        <v>1</v>
      </c>
      <c r="I5462">
        <v>4</v>
      </c>
      <c r="J5462" s="10">
        <v>1</v>
      </c>
      <c r="K5462" s="10">
        <f>SUMIFS(F:F,D:D,DST_123_ÜRETİM_İHTİYAÇ_RAPORU_BURAK_YENI1309[[#This Row],[ALT_KOD]])-(SUMIFS(H:H,D:D,DST_123_ÜRETİM_İHTİYAÇ_RAPORU_BURAK_YENI1309[[#This Row],[ALT_KOD]])+AVERAGEIFS(I:I,D:D,DST_123_ÜRETİM_İHTİYAÇ_RAPORU_BURAK_YENI1309[[#This Row],[ALT_KOD]])+AVERAGEIFS(L:L,D:D,DST_123_ÜRETİM_İHTİYAÇ_RAPORU_BURAK_YENI1309[[#This Row],[ALT_KOD]]))</f>
        <v>-3</v>
      </c>
      <c r="L5462">
        <v>0</v>
      </c>
      <c r="M5462">
        <f>IF((DST_123_ÜRETİM_İHTİYAÇ_RAPORU_BURAK_YENI1309[[#This Row],[SATINALMA]]*DST_123_ÜRETİM_İHTİYAÇ_RAPORU_BURAK_YENI1309[[#This Row],[BIRIM_FIYATLAR]])&lt;1,VALUE("0"),DST_123_ÜRETİM_İHTİYAÇ_RAPORU_BURAK_YENI1309[[#This Row],[SATINALMA]]*DST_123_ÜRETİM_İHTİYAÇ_RAPORU_BURAK_YENI1309[[#This Row],[BIRIM_FIYATLAR]])</f>
        <v>0</v>
      </c>
      <c r="N5462">
        <v>270</v>
      </c>
      <c r="O5462" t="s">
        <v>240</v>
      </c>
      <c r="P5462">
        <v>270</v>
      </c>
      <c r="Q5462" t="s">
        <v>183</v>
      </c>
    </row>
    <row r="5463" spans="1:17" x14ac:dyDescent="0.25">
      <c r="A5463" t="s">
        <v>1100</v>
      </c>
      <c r="B5463" t="s">
        <v>1058</v>
      </c>
      <c r="C5463" t="s">
        <v>175</v>
      </c>
      <c r="D5463" t="s">
        <v>236</v>
      </c>
      <c r="E5463" t="s">
        <v>305</v>
      </c>
      <c r="F5463">
        <v>2</v>
      </c>
      <c r="G5463" t="s">
        <v>176</v>
      </c>
      <c r="H5463">
        <v>2</v>
      </c>
      <c r="I5463">
        <v>452</v>
      </c>
      <c r="J5463" s="10">
        <v>25</v>
      </c>
      <c r="K5463" s="10">
        <f>SUMIFS(F:F,D:D,DST_123_ÜRETİM_İHTİYAÇ_RAPORU_BURAK_YENI1309[[#This Row],[ALT_KOD]])-(SUMIFS(H:H,D:D,DST_123_ÜRETİM_İHTİYAÇ_RAPORU_BURAK_YENI1309[[#This Row],[ALT_KOD]])+AVERAGEIFS(I:I,D:D,DST_123_ÜRETİM_İHTİYAÇ_RAPORU_BURAK_YENI1309[[#This Row],[ALT_KOD]])+AVERAGEIFS(L:L,D:D,DST_123_ÜRETİM_İHTİYAÇ_RAPORU_BURAK_YENI1309[[#This Row],[ALT_KOD]]))</f>
        <v>-428</v>
      </c>
      <c r="L5463">
        <v>0</v>
      </c>
      <c r="M5463">
        <f>IF((DST_123_ÜRETİM_İHTİYAÇ_RAPORU_BURAK_YENI1309[[#This Row],[SATINALMA]]*DST_123_ÜRETİM_İHTİYAÇ_RAPORU_BURAK_YENI1309[[#This Row],[BIRIM_FIYATLAR]])&lt;1,VALUE("0"),DST_123_ÜRETİM_İHTİYAÇ_RAPORU_BURAK_YENI1309[[#This Row],[SATINALMA]]*DST_123_ÜRETİM_İHTİYAÇ_RAPORU_BURAK_YENI1309[[#This Row],[BIRIM_FIYATLAR]])</f>
        <v>0</v>
      </c>
      <c r="N5463">
        <v>20</v>
      </c>
      <c r="P5463">
        <v>40</v>
      </c>
      <c r="Q5463" t="s">
        <v>221</v>
      </c>
    </row>
    <row r="5464" spans="1:17" x14ac:dyDescent="0.25">
      <c r="A5464" t="s">
        <v>1060</v>
      </c>
      <c r="B5464" t="s">
        <v>1061</v>
      </c>
      <c r="C5464" t="s">
        <v>175</v>
      </c>
      <c r="D5464" t="s">
        <v>236</v>
      </c>
      <c r="E5464" t="s">
        <v>305</v>
      </c>
      <c r="F5464">
        <v>2</v>
      </c>
      <c r="G5464" t="s">
        <v>176</v>
      </c>
      <c r="H5464">
        <v>2</v>
      </c>
      <c r="I5464">
        <v>452</v>
      </c>
      <c r="J5464" s="10">
        <v>25</v>
      </c>
      <c r="K5464" s="10">
        <f>SUMIFS(F:F,D:D,DST_123_ÜRETİM_İHTİYAÇ_RAPORU_BURAK_YENI1309[[#This Row],[ALT_KOD]])-(SUMIFS(H:H,D:D,DST_123_ÜRETİM_İHTİYAÇ_RAPORU_BURAK_YENI1309[[#This Row],[ALT_KOD]])+AVERAGEIFS(I:I,D:D,DST_123_ÜRETİM_İHTİYAÇ_RAPORU_BURAK_YENI1309[[#This Row],[ALT_KOD]])+AVERAGEIFS(L:L,D:D,DST_123_ÜRETİM_İHTİYAÇ_RAPORU_BURAK_YENI1309[[#This Row],[ALT_KOD]]))</f>
        <v>-428</v>
      </c>
      <c r="L5464">
        <v>0</v>
      </c>
      <c r="M5464">
        <f>IF((DST_123_ÜRETİM_İHTİYAÇ_RAPORU_BURAK_YENI1309[[#This Row],[SATINALMA]]*DST_123_ÜRETİM_İHTİYAÇ_RAPORU_BURAK_YENI1309[[#This Row],[BIRIM_FIYATLAR]])&lt;1,VALUE("0"),DST_123_ÜRETİM_İHTİYAÇ_RAPORU_BURAK_YENI1309[[#This Row],[SATINALMA]]*DST_123_ÜRETİM_İHTİYAÇ_RAPORU_BURAK_YENI1309[[#This Row],[BIRIM_FIYATLAR]])</f>
        <v>0</v>
      </c>
      <c r="N5464">
        <v>20</v>
      </c>
      <c r="P5464">
        <v>40</v>
      </c>
      <c r="Q5464" t="s">
        <v>221</v>
      </c>
    </row>
    <row r="5465" spans="1:17" x14ac:dyDescent="0.25">
      <c r="A5465" t="s">
        <v>1101</v>
      </c>
      <c r="B5465" t="s">
        <v>1102</v>
      </c>
      <c r="C5465" t="s">
        <v>175</v>
      </c>
      <c r="D5465" t="s">
        <v>2</v>
      </c>
      <c r="E5465" t="s">
        <v>423</v>
      </c>
      <c r="F5465">
        <v>2</v>
      </c>
      <c r="G5465" t="s">
        <v>176</v>
      </c>
      <c r="H5465">
        <v>2</v>
      </c>
      <c r="I5465">
        <v>20</v>
      </c>
      <c r="J5465" s="10">
        <v>20</v>
      </c>
      <c r="K5465" s="10">
        <f>SUMIFS(F:F,D:D,DST_123_ÜRETİM_İHTİYAÇ_RAPORU_BURAK_YENI1309[[#This Row],[ALT_KOD]])-(SUMIFS(H:H,D:D,DST_123_ÜRETİM_İHTİYAÇ_RAPORU_BURAK_YENI1309[[#This Row],[ALT_KOD]])+AVERAGEIFS(I:I,D:D,DST_123_ÜRETİM_İHTİYAÇ_RAPORU_BURAK_YENI1309[[#This Row],[ALT_KOD]])+AVERAGEIFS(L:L,D:D,DST_123_ÜRETİM_İHTİYAÇ_RAPORU_BURAK_YENI1309[[#This Row],[ALT_KOD]]))</f>
        <v>-6</v>
      </c>
      <c r="L5465">
        <v>10</v>
      </c>
      <c r="M5465">
        <f>IF((DST_123_ÜRETİM_İHTİYAÇ_RAPORU_BURAK_YENI1309[[#This Row],[SATINALMA]]*DST_123_ÜRETİM_İHTİYAÇ_RAPORU_BURAK_YENI1309[[#This Row],[BIRIM_FIYATLAR]])&lt;1,VALUE("0"),DST_123_ÜRETİM_İHTİYAÇ_RAPORU_BURAK_YENI1309[[#This Row],[SATINALMA]]*DST_123_ÜRETİM_İHTİYAÇ_RAPORU_BURAK_YENI1309[[#This Row],[BIRIM_FIYATLAR]])</f>
        <v>0</v>
      </c>
      <c r="N5465">
        <v>400</v>
      </c>
      <c r="O5465" t="s">
        <v>217</v>
      </c>
      <c r="P5465">
        <v>800</v>
      </c>
      <c r="Q5465" t="s">
        <v>221</v>
      </c>
    </row>
    <row r="5466" spans="1:17" x14ac:dyDescent="0.25">
      <c r="A5466" t="s">
        <v>1060</v>
      </c>
      <c r="B5466" t="s">
        <v>1061</v>
      </c>
      <c r="C5466" t="s">
        <v>175</v>
      </c>
      <c r="D5466" t="s">
        <v>2</v>
      </c>
      <c r="E5466" t="s">
        <v>423</v>
      </c>
      <c r="F5466">
        <v>2</v>
      </c>
      <c r="G5466" t="s">
        <v>176</v>
      </c>
      <c r="H5466">
        <v>2</v>
      </c>
      <c r="I5466">
        <v>20</v>
      </c>
      <c r="J5466" s="10">
        <v>20</v>
      </c>
      <c r="K5466" s="10">
        <f>SUMIFS(F:F,D:D,DST_123_ÜRETİM_İHTİYAÇ_RAPORU_BURAK_YENI1309[[#This Row],[ALT_KOD]])-(SUMIFS(H:H,D:D,DST_123_ÜRETİM_İHTİYAÇ_RAPORU_BURAK_YENI1309[[#This Row],[ALT_KOD]])+AVERAGEIFS(I:I,D:D,DST_123_ÜRETİM_İHTİYAÇ_RAPORU_BURAK_YENI1309[[#This Row],[ALT_KOD]])+AVERAGEIFS(L:L,D:D,DST_123_ÜRETİM_İHTİYAÇ_RAPORU_BURAK_YENI1309[[#This Row],[ALT_KOD]]))</f>
        <v>-6</v>
      </c>
      <c r="L5466">
        <v>10</v>
      </c>
      <c r="M5466">
        <f>IF((DST_123_ÜRETİM_İHTİYAÇ_RAPORU_BURAK_YENI1309[[#This Row],[SATINALMA]]*DST_123_ÜRETİM_İHTİYAÇ_RAPORU_BURAK_YENI1309[[#This Row],[BIRIM_FIYATLAR]])&lt;1,VALUE("0"),DST_123_ÜRETİM_İHTİYAÇ_RAPORU_BURAK_YENI1309[[#This Row],[SATINALMA]]*DST_123_ÜRETİM_İHTİYAÇ_RAPORU_BURAK_YENI1309[[#This Row],[BIRIM_FIYATLAR]])</f>
        <v>0</v>
      </c>
      <c r="N5466">
        <v>400</v>
      </c>
      <c r="O5466" t="s">
        <v>217</v>
      </c>
      <c r="P5466">
        <v>800</v>
      </c>
      <c r="Q5466" t="s">
        <v>221</v>
      </c>
    </row>
    <row r="5467" spans="1:17" x14ac:dyDescent="0.25">
      <c r="A5467" t="s">
        <v>1097</v>
      </c>
      <c r="B5467" t="s">
        <v>1055</v>
      </c>
      <c r="C5467" t="s">
        <v>175</v>
      </c>
      <c r="D5467" t="s">
        <v>128</v>
      </c>
      <c r="E5467" t="s">
        <v>129</v>
      </c>
      <c r="F5467">
        <v>10.62</v>
      </c>
      <c r="G5467" t="s">
        <v>185</v>
      </c>
      <c r="H5467">
        <v>10.62</v>
      </c>
      <c r="I5467">
        <v>0</v>
      </c>
      <c r="J5467" s="10">
        <v>260.61</v>
      </c>
      <c r="K5467" s="10">
        <f>SUMIFS(F:F,D:D,DST_123_ÜRETİM_İHTİYAÇ_RAPORU_BURAK_YENI1309[[#This Row],[ALT_KOD]])-(SUMIFS(H:H,D:D,DST_123_ÜRETİM_İHTİYAÇ_RAPORU_BURAK_YENI1309[[#This Row],[ALT_KOD]])+AVERAGEIFS(I:I,D:D,DST_123_ÜRETİM_İHTİYAÇ_RAPORU_BURAK_YENI1309[[#This Row],[ALT_KOD]])+AVERAGEIFS(L:L,D:D,DST_123_ÜRETİM_İHTİYAÇ_RAPORU_BURAK_YENI1309[[#This Row],[ALT_KOD]]))</f>
        <v>97.559999999999988</v>
      </c>
      <c r="L5467">
        <v>0</v>
      </c>
      <c r="M5467">
        <f>IF((DST_123_ÜRETİM_İHTİYAÇ_RAPORU_BURAK_YENI1309[[#This Row],[SATINALMA]]*DST_123_ÜRETİM_İHTİYAÇ_RAPORU_BURAK_YENI1309[[#This Row],[BIRIM_FIYATLAR]])&lt;1,VALUE("0"),DST_123_ÜRETİM_İHTİYAÇ_RAPORU_BURAK_YENI1309[[#This Row],[SATINALMA]]*DST_123_ÜRETİM_İHTİYAÇ_RAPORU_BURAK_YENI1309[[#This Row],[BIRIM_FIYATLAR]])</f>
        <v>13285.720799999999</v>
      </c>
      <c r="N5467">
        <v>136.18</v>
      </c>
      <c r="O5467" t="s">
        <v>252</v>
      </c>
      <c r="P5467">
        <v>1446.2316000000001</v>
      </c>
      <c r="Q5467" t="s">
        <v>183</v>
      </c>
    </row>
    <row r="5468" spans="1:17" x14ac:dyDescent="0.25">
      <c r="A5468" t="s">
        <v>1099</v>
      </c>
      <c r="B5468" t="s">
        <v>1055</v>
      </c>
      <c r="C5468" t="s">
        <v>175</v>
      </c>
      <c r="D5468" t="s">
        <v>429</v>
      </c>
      <c r="E5468" t="s">
        <v>430</v>
      </c>
      <c r="F5468">
        <v>1</v>
      </c>
      <c r="G5468" t="s">
        <v>176</v>
      </c>
      <c r="H5468">
        <v>1</v>
      </c>
      <c r="I5468">
        <v>10</v>
      </c>
      <c r="J5468" s="10">
        <v>5</v>
      </c>
      <c r="K5468" s="10">
        <f>SUMIFS(F:F,D:D,DST_123_ÜRETİM_İHTİYAÇ_RAPORU_BURAK_YENI1309[[#This Row],[ALT_KOD]])-(SUMIFS(H:H,D:D,DST_123_ÜRETİM_İHTİYAÇ_RAPORU_BURAK_YENI1309[[#This Row],[ALT_KOD]])+AVERAGEIFS(I:I,D:D,DST_123_ÜRETİM_İHTİYAÇ_RAPORU_BURAK_YENI1309[[#This Row],[ALT_KOD]])+AVERAGEIFS(L:L,D:D,DST_123_ÜRETİM_İHTİYAÇ_RAPORU_BURAK_YENI1309[[#This Row],[ALT_KOD]]))</f>
        <v>-6</v>
      </c>
      <c r="L5468">
        <v>0</v>
      </c>
      <c r="M5468">
        <f>IF((DST_123_ÜRETİM_İHTİYAÇ_RAPORU_BURAK_YENI1309[[#This Row],[SATINALMA]]*DST_123_ÜRETİM_İHTİYAÇ_RAPORU_BURAK_YENI1309[[#This Row],[BIRIM_FIYATLAR]])&lt;1,VALUE("0"),DST_123_ÜRETİM_İHTİYAÇ_RAPORU_BURAK_YENI1309[[#This Row],[SATINALMA]]*DST_123_ÜRETİM_İHTİYAÇ_RAPORU_BURAK_YENI1309[[#This Row],[BIRIM_FIYATLAR]])</f>
        <v>0</v>
      </c>
      <c r="N5468">
        <v>1679.53</v>
      </c>
      <c r="O5468" t="s">
        <v>636</v>
      </c>
      <c r="P5468">
        <v>1679.53</v>
      </c>
      <c r="Q5468" t="s">
        <v>178</v>
      </c>
    </row>
    <row r="5469" spans="1:17" x14ac:dyDescent="0.25">
      <c r="A5469" t="s">
        <v>1064</v>
      </c>
      <c r="B5469" t="s">
        <v>1055</v>
      </c>
      <c r="C5469" t="s">
        <v>175</v>
      </c>
      <c r="D5469" t="s">
        <v>429</v>
      </c>
      <c r="E5469" t="s">
        <v>430</v>
      </c>
      <c r="F5469">
        <v>1</v>
      </c>
      <c r="G5469" t="s">
        <v>176</v>
      </c>
      <c r="H5469">
        <v>1</v>
      </c>
      <c r="I5469">
        <v>10</v>
      </c>
      <c r="J5469" s="10">
        <v>5</v>
      </c>
      <c r="K5469" s="10">
        <f>SUMIFS(F:F,D:D,DST_123_ÜRETİM_İHTİYAÇ_RAPORU_BURAK_YENI1309[[#This Row],[ALT_KOD]])-(SUMIFS(H:H,D:D,DST_123_ÜRETİM_İHTİYAÇ_RAPORU_BURAK_YENI1309[[#This Row],[ALT_KOD]])+AVERAGEIFS(I:I,D:D,DST_123_ÜRETİM_İHTİYAÇ_RAPORU_BURAK_YENI1309[[#This Row],[ALT_KOD]])+AVERAGEIFS(L:L,D:D,DST_123_ÜRETİM_İHTİYAÇ_RAPORU_BURAK_YENI1309[[#This Row],[ALT_KOD]]))</f>
        <v>-6</v>
      </c>
      <c r="L5469">
        <v>0</v>
      </c>
      <c r="M5469">
        <f>IF((DST_123_ÜRETİM_İHTİYAÇ_RAPORU_BURAK_YENI1309[[#This Row],[SATINALMA]]*DST_123_ÜRETİM_İHTİYAÇ_RAPORU_BURAK_YENI1309[[#This Row],[BIRIM_FIYATLAR]])&lt;1,VALUE("0"),DST_123_ÜRETİM_İHTİYAÇ_RAPORU_BURAK_YENI1309[[#This Row],[SATINALMA]]*DST_123_ÜRETİM_İHTİYAÇ_RAPORU_BURAK_YENI1309[[#This Row],[BIRIM_FIYATLAR]])</f>
        <v>0</v>
      </c>
      <c r="N5469">
        <v>1679.53</v>
      </c>
      <c r="O5469" t="s">
        <v>636</v>
      </c>
      <c r="P5469">
        <v>1679.53</v>
      </c>
      <c r="Q5469" t="s">
        <v>178</v>
      </c>
    </row>
    <row r="5470" spans="1:17" x14ac:dyDescent="0.25">
      <c r="A5470" t="s">
        <v>1146</v>
      </c>
      <c r="B5470" t="s">
        <v>1145</v>
      </c>
      <c r="C5470" t="s">
        <v>175</v>
      </c>
      <c r="D5470" t="s">
        <v>986</v>
      </c>
      <c r="E5470" t="s">
        <v>987</v>
      </c>
      <c r="F5470">
        <v>2.5</v>
      </c>
      <c r="G5470" t="s">
        <v>185</v>
      </c>
      <c r="H5470">
        <v>2.5</v>
      </c>
      <c r="I5470">
        <v>139</v>
      </c>
      <c r="J5470" s="10">
        <v>45.499999999999943</v>
      </c>
      <c r="K5470" s="10">
        <f>SUMIFS(F:F,D:D,DST_123_ÜRETİM_İHTİYAÇ_RAPORU_BURAK_YENI1309[[#This Row],[ALT_KOD]])-(SUMIFS(H:H,D:D,DST_123_ÜRETİM_İHTİYAÇ_RAPORU_BURAK_YENI1309[[#This Row],[ALT_KOD]])+AVERAGEIFS(I:I,D:D,DST_123_ÜRETİM_İHTİYAÇ_RAPORU_BURAK_YENI1309[[#This Row],[ALT_KOD]])+AVERAGEIFS(L:L,D:D,DST_123_ÜRETİM_İHTİYAÇ_RAPORU_BURAK_YENI1309[[#This Row],[ALT_KOD]]))</f>
        <v>-124</v>
      </c>
      <c r="L5470">
        <v>0</v>
      </c>
      <c r="M5470">
        <f>IF((DST_123_ÜRETİM_İHTİYAÇ_RAPORU_BURAK_YENI1309[[#This Row],[SATINALMA]]*DST_123_ÜRETİM_İHTİYAÇ_RAPORU_BURAK_YENI1309[[#This Row],[BIRIM_FIYATLAR]])&lt;1,VALUE("0"),DST_123_ÜRETİM_İHTİYAÇ_RAPORU_BURAK_YENI1309[[#This Row],[SATINALMA]]*DST_123_ÜRETİM_İHTİYAÇ_RAPORU_BURAK_YENI1309[[#This Row],[BIRIM_FIYATLAR]])</f>
        <v>0</v>
      </c>
      <c r="N5470">
        <v>233.95</v>
      </c>
      <c r="O5470" t="s">
        <v>490</v>
      </c>
      <c r="P5470">
        <v>584.875</v>
      </c>
      <c r="Q5470" t="s">
        <v>183</v>
      </c>
    </row>
    <row r="5471" spans="1:17" x14ac:dyDescent="0.25">
      <c r="A5471" t="s">
        <v>1101</v>
      </c>
      <c r="B5471" t="s">
        <v>1102</v>
      </c>
      <c r="C5471" t="s">
        <v>175</v>
      </c>
      <c r="D5471" t="s">
        <v>429</v>
      </c>
      <c r="E5471" t="s">
        <v>430</v>
      </c>
      <c r="F5471">
        <v>1</v>
      </c>
      <c r="G5471" t="s">
        <v>176</v>
      </c>
      <c r="H5471">
        <v>1</v>
      </c>
      <c r="I5471">
        <v>10</v>
      </c>
      <c r="J5471" s="10">
        <v>5</v>
      </c>
      <c r="K5471" s="10">
        <f>SUMIFS(F:F,D:D,DST_123_ÜRETİM_İHTİYAÇ_RAPORU_BURAK_YENI1309[[#This Row],[ALT_KOD]])-(SUMIFS(H:H,D:D,DST_123_ÜRETİM_İHTİYAÇ_RAPORU_BURAK_YENI1309[[#This Row],[ALT_KOD]])+AVERAGEIFS(I:I,D:D,DST_123_ÜRETİM_İHTİYAÇ_RAPORU_BURAK_YENI1309[[#This Row],[ALT_KOD]])+AVERAGEIFS(L:L,D:D,DST_123_ÜRETİM_İHTİYAÇ_RAPORU_BURAK_YENI1309[[#This Row],[ALT_KOD]]))</f>
        <v>-6</v>
      </c>
      <c r="L5471">
        <v>0</v>
      </c>
      <c r="M5471">
        <f>IF((DST_123_ÜRETİM_İHTİYAÇ_RAPORU_BURAK_YENI1309[[#This Row],[SATINALMA]]*DST_123_ÜRETİM_İHTİYAÇ_RAPORU_BURAK_YENI1309[[#This Row],[BIRIM_FIYATLAR]])&lt;1,VALUE("0"),DST_123_ÜRETİM_İHTİYAÇ_RAPORU_BURAK_YENI1309[[#This Row],[SATINALMA]]*DST_123_ÜRETİM_İHTİYAÇ_RAPORU_BURAK_YENI1309[[#This Row],[BIRIM_FIYATLAR]])</f>
        <v>0</v>
      </c>
      <c r="N5471">
        <v>1679.53</v>
      </c>
      <c r="O5471" t="s">
        <v>636</v>
      </c>
      <c r="P5471">
        <v>1679.53</v>
      </c>
      <c r="Q5471" t="s">
        <v>178</v>
      </c>
    </row>
    <row r="5472" spans="1:17" x14ac:dyDescent="0.25">
      <c r="A5472" t="s">
        <v>1097</v>
      </c>
      <c r="B5472" t="s">
        <v>1055</v>
      </c>
      <c r="C5472" t="s">
        <v>175</v>
      </c>
      <c r="D5472" t="s">
        <v>429</v>
      </c>
      <c r="E5472" t="s">
        <v>430</v>
      </c>
      <c r="F5472">
        <v>1</v>
      </c>
      <c r="G5472" t="s">
        <v>176</v>
      </c>
      <c r="H5472">
        <v>1</v>
      </c>
      <c r="I5472">
        <v>10</v>
      </c>
      <c r="J5472" s="10">
        <v>5</v>
      </c>
      <c r="K5472" s="10">
        <f>SUMIFS(F:F,D:D,DST_123_ÜRETİM_İHTİYAÇ_RAPORU_BURAK_YENI1309[[#This Row],[ALT_KOD]])-(SUMIFS(H:H,D:D,DST_123_ÜRETİM_İHTİYAÇ_RAPORU_BURAK_YENI1309[[#This Row],[ALT_KOD]])+AVERAGEIFS(I:I,D:D,DST_123_ÜRETİM_İHTİYAÇ_RAPORU_BURAK_YENI1309[[#This Row],[ALT_KOD]])+AVERAGEIFS(L:L,D:D,DST_123_ÜRETİM_İHTİYAÇ_RAPORU_BURAK_YENI1309[[#This Row],[ALT_KOD]]))</f>
        <v>-6</v>
      </c>
      <c r="L5472">
        <v>0</v>
      </c>
      <c r="M5472">
        <f>IF((DST_123_ÜRETİM_İHTİYAÇ_RAPORU_BURAK_YENI1309[[#This Row],[SATINALMA]]*DST_123_ÜRETİM_İHTİYAÇ_RAPORU_BURAK_YENI1309[[#This Row],[BIRIM_FIYATLAR]])&lt;1,VALUE("0"),DST_123_ÜRETİM_İHTİYAÇ_RAPORU_BURAK_YENI1309[[#This Row],[SATINALMA]]*DST_123_ÜRETİM_İHTİYAÇ_RAPORU_BURAK_YENI1309[[#This Row],[BIRIM_FIYATLAR]])</f>
        <v>0</v>
      </c>
      <c r="N5472">
        <v>1679.53</v>
      </c>
      <c r="O5472" t="s">
        <v>636</v>
      </c>
      <c r="P5472">
        <v>1679.53</v>
      </c>
      <c r="Q5472" t="s">
        <v>178</v>
      </c>
    </row>
    <row r="5473" spans="1:17" x14ac:dyDescent="0.25">
      <c r="A5473" t="s">
        <v>1064</v>
      </c>
      <c r="B5473" t="s">
        <v>1055</v>
      </c>
      <c r="C5473" t="s">
        <v>175</v>
      </c>
      <c r="D5473" t="s">
        <v>210</v>
      </c>
      <c r="E5473" t="s">
        <v>211</v>
      </c>
      <c r="F5473">
        <v>1</v>
      </c>
      <c r="G5473" t="s">
        <v>176</v>
      </c>
      <c r="H5473">
        <v>1</v>
      </c>
      <c r="I5473">
        <v>21</v>
      </c>
      <c r="J5473" s="10">
        <v>10</v>
      </c>
      <c r="K5473" s="10">
        <f>SUMIFS(F:F,D:D,DST_123_ÜRETİM_İHTİYAÇ_RAPORU_BURAK_YENI1309[[#This Row],[ALT_KOD]])-(SUMIFS(H:H,D:D,DST_123_ÜRETİM_İHTİYAÇ_RAPORU_BURAK_YENI1309[[#This Row],[ALT_KOD]])+AVERAGEIFS(I:I,D:D,DST_123_ÜRETİM_İHTİYAÇ_RAPORU_BURAK_YENI1309[[#This Row],[ALT_KOD]])+AVERAGEIFS(L:L,D:D,DST_123_ÜRETİM_İHTİYAÇ_RAPORU_BURAK_YENI1309[[#This Row],[ALT_KOD]]))</f>
        <v>-50</v>
      </c>
      <c r="L5473">
        <v>40</v>
      </c>
      <c r="M5473">
        <f>IF((DST_123_ÜRETİM_İHTİYAÇ_RAPORU_BURAK_YENI1309[[#This Row],[SATINALMA]]*DST_123_ÜRETİM_İHTİYAÇ_RAPORU_BURAK_YENI1309[[#This Row],[BIRIM_FIYATLAR]])&lt;1,VALUE("0"),DST_123_ÜRETİM_İHTİYAÇ_RAPORU_BURAK_YENI1309[[#This Row],[SATINALMA]]*DST_123_ÜRETİM_İHTİYAÇ_RAPORU_BURAK_YENI1309[[#This Row],[BIRIM_FIYATLAR]])</f>
        <v>0</v>
      </c>
      <c r="N5473">
        <v>312</v>
      </c>
      <c r="O5473" t="s">
        <v>217</v>
      </c>
      <c r="P5473">
        <v>312</v>
      </c>
      <c r="Q5473" t="s">
        <v>177</v>
      </c>
    </row>
    <row r="5474" spans="1:17" x14ac:dyDescent="0.25">
      <c r="A5474" t="s">
        <v>1097</v>
      </c>
      <c r="B5474" t="s">
        <v>1055</v>
      </c>
      <c r="C5474" t="s">
        <v>175</v>
      </c>
      <c r="D5474" t="s">
        <v>34</v>
      </c>
      <c r="E5474" t="s">
        <v>35</v>
      </c>
      <c r="F5474">
        <v>1</v>
      </c>
      <c r="G5474" t="s">
        <v>176</v>
      </c>
      <c r="H5474">
        <v>1</v>
      </c>
      <c r="I5474">
        <v>17</v>
      </c>
      <c r="J5474" s="10">
        <v>8</v>
      </c>
      <c r="K5474" s="10">
        <f>SUMIFS(F:F,D:D,DST_123_ÜRETİM_İHTİYAÇ_RAPORU_BURAK_YENI1309[[#This Row],[ALT_KOD]])-(SUMIFS(H:H,D:D,DST_123_ÜRETİM_İHTİYAÇ_RAPORU_BURAK_YENI1309[[#This Row],[ALT_KOD]])+AVERAGEIFS(I:I,D:D,DST_123_ÜRETİM_İHTİYAÇ_RAPORU_BURAK_YENI1309[[#This Row],[ALT_KOD]])+AVERAGEIFS(L:L,D:D,DST_123_ÜRETİM_İHTİYAÇ_RAPORU_BURAK_YENI1309[[#This Row],[ALT_KOD]]))</f>
        <v>-1</v>
      </c>
      <c r="L5474">
        <v>0</v>
      </c>
      <c r="M5474">
        <f>IF((DST_123_ÜRETİM_İHTİYAÇ_RAPORU_BURAK_YENI1309[[#This Row],[SATINALMA]]*DST_123_ÜRETİM_İHTİYAÇ_RAPORU_BURAK_YENI1309[[#This Row],[BIRIM_FIYATLAR]])&lt;1,VALUE("0"),DST_123_ÜRETİM_İHTİYAÇ_RAPORU_BURAK_YENI1309[[#This Row],[SATINALMA]]*DST_123_ÜRETİM_İHTİYAÇ_RAPORU_BURAK_YENI1309[[#This Row],[BIRIM_FIYATLAR]])</f>
        <v>0</v>
      </c>
      <c r="N5474">
        <v>33.340000000000003</v>
      </c>
      <c r="O5474" t="s">
        <v>227</v>
      </c>
      <c r="P5474">
        <v>33.340000000000003</v>
      </c>
      <c r="Q5474" t="s">
        <v>221</v>
      </c>
    </row>
    <row r="5475" spans="1:17" x14ac:dyDescent="0.25">
      <c r="A5475" t="s">
        <v>1064</v>
      </c>
      <c r="B5475" t="s">
        <v>1055</v>
      </c>
      <c r="C5475" t="s">
        <v>175</v>
      </c>
      <c r="D5475" t="s">
        <v>758</v>
      </c>
      <c r="E5475" t="s">
        <v>759</v>
      </c>
      <c r="F5475">
        <v>1</v>
      </c>
      <c r="G5475" t="s">
        <v>176</v>
      </c>
      <c r="H5475">
        <v>1</v>
      </c>
      <c r="I5475">
        <v>5</v>
      </c>
      <c r="J5475" s="10">
        <v>6</v>
      </c>
      <c r="K5475" s="10">
        <f>SUMIFS(F:F,D:D,DST_123_ÜRETİM_İHTİYAÇ_RAPORU_BURAK_YENI1309[[#This Row],[ALT_KOD]])-(SUMIFS(H:H,D:D,DST_123_ÜRETİM_İHTİYAÇ_RAPORU_BURAK_YENI1309[[#This Row],[ALT_KOD]])+AVERAGEIFS(I:I,D:D,DST_123_ÜRETİM_İHTİYAÇ_RAPORU_BURAK_YENI1309[[#This Row],[ALT_KOD]])+AVERAGEIFS(L:L,D:D,DST_123_ÜRETİM_İHTİYAÇ_RAPORU_BURAK_YENI1309[[#This Row],[ALT_KOD]]))</f>
        <v>-4</v>
      </c>
      <c r="L5475">
        <v>0</v>
      </c>
      <c r="M5475">
        <f>IF((DST_123_ÜRETİM_İHTİYAÇ_RAPORU_BURAK_YENI1309[[#This Row],[SATINALMA]]*DST_123_ÜRETİM_İHTİYAÇ_RAPORU_BURAK_YENI1309[[#This Row],[BIRIM_FIYATLAR]])&lt;1,VALUE("0"),DST_123_ÜRETİM_İHTİYAÇ_RAPORU_BURAK_YENI1309[[#This Row],[SATINALMA]]*DST_123_ÜRETİM_İHTİYAÇ_RAPORU_BURAK_YENI1309[[#This Row],[BIRIM_FIYATLAR]])</f>
        <v>0</v>
      </c>
      <c r="N5475">
        <v>8495.43</v>
      </c>
      <c r="O5475" t="s">
        <v>275</v>
      </c>
      <c r="P5475">
        <v>8495.43</v>
      </c>
      <c r="Q5475" t="s">
        <v>177</v>
      </c>
    </row>
    <row r="5476" spans="1:17" x14ac:dyDescent="0.25">
      <c r="A5476" t="s">
        <v>1100</v>
      </c>
      <c r="B5476" t="s">
        <v>1058</v>
      </c>
      <c r="C5476" t="s">
        <v>175</v>
      </c>
      <c r="D5476" t="s">
        <v>210</v>
      </c>
      <c r="E5476" t="s">
        <v>211</v>
      </c>
      <c r="F5476">
        <v>1</v>
      </c>
      <c r="G5476" t="s">
        <v>176</v>
      </c>
      <c r="H5476">
        <v>1</v>
      </c>
      <c r="I5476">
        <v>21</v>
      </c>
      <c r="J5476" s="10">
        <v>10</v>
      </c>
      <c r="K5476" s="10">
        <f>SUMIFS(F:F,D:D,DST_123_ÜRETİM_İHTİYAÇ_RAPORU_BURAK_YENI1309[[#This Row],[ALT_KOD]])-(SUMIFS(H:H,D:D,DST_123_ÜRETİM_İHTİYAÇ_RAPORU_BURAK_YENI1309[[#This Row],[ALT_KOD]])+AVERAGEIFS(I:I,D:D,DST_123_ÜRETİM_İHTİYAÇ_RAPORU_BURAK_YENI1309[[#This Row],[ALT_KOD]])+AVERAGEIFS(L:L,D:D,DST_123_ÜRETİM_İHTİYAÇ_RAPORU_BURAK_YENI1309[[#This Row],[ALT_KOD]]))</f>
        <v>-50</v>
      </c>
      <c r="L5476">
        <v>40</v>
      </c>
      <c r="M5476">
        <f>IF((DST_123_ÜRETİM_İHTİYAÇ_RAPORU_BURAK_YENI1309[[#This Row],[SATINALMA]]*DST_123_ÜRETİM_İHTİYAÇ_RAPORU_BURAK_YENI1309[[#This Row],[BIRIM_FIYATLAR]])&lt;1,VALUE("0"),DST_123_ÜRETİM_İHTİYAÇ_RAPORU_BURAK_YENI1309[[#This Row],[SATINALMA]]*DST_123_ÜRETİM_İHTİYAÇ_RAPORU_BURAK_YENI1309[[#This Row],[BIRIM_FIYATLAR]])</f>
        <v>0</v>
      </c>
      <c r="N5476">
        <v>312</v>
      </c>
      <c r="O5476" t="s">
        <v>217</v>
      </c>
      <c r="P5476">
        <v>312</v>
      </c>
      <c r="Q5476" t="s">
        <v>177</v>
      </c>
    </row>
    <row r="5477" spans="1:17" x14ac:dyDescent="0.25">
      <c r="A5477" t="s">
        <v>1101</v>
      </c>
      <c r="B5477" t="s">
        <v>1102</v>
      </c>
      <c r="C5477" t="s">
        <v>175</v>
      </c>
      <c r="D5477" t="s">
        <v>701</v>
      </c>
      <c r="E5477" t="s">
        <v>702</v>
      </c>
      <c r="F5477">
        <v>4</v>
      </c>
      <c r="G5477" t="s">
        <v>176</v>
      </c>
      <c r="H5477">
        <v>0</v>
      </c>
      <c r="I5477">
        <v>100</v>
      </c>
      <c r="J5477" s="10">
        <v>52</v>
      </c>
      <c r="K5477" s="10">
        <f>SUMIFS(F:F,D:D,DST_123_ÜRETİM_İHTİYAÇ_RAPORU_BURAK_YENI1309[[#This Row],[ALT_KOD]])-(SUMIFS(H:H,D:D,DST_123_ÜRETİM_İHTİYAÇ_RAPORU_BURAK_YENI1309[[#This Row],[ALT_KOD]])+AVERAGEIFS(I:I,D:D,DST_123_ÜRETİM_İHTİYAÇ_RAPORU_BURAK_YENI1309[[#This Row],[ALT_KOD]])+AVERAGEIFS(L:L,D:D,DST_123_ÜRETİM_İHTİYAÇ_RAPORU_BURAK_YENI1309[[#This Row],[ALT_KOD]]))</f>
        <v>-52</v>
      </c>
      <c r="L5477">
        <v>0</v>
      </c>
      <c r="M5477">
        <f>IF((DST_123_ÜRETİM_İHTİYAÇ_RAPORU_BURAK_YENI1309[[#This Row],[SATINALMA]]*DST_123_ÜRETİM_İHTİYAÇ_RAPORU_BURAK_YENI1309[[#This Row],[BIRIM_FIYATLAR]])&lt;1,VALUE("0"),DST_123_ÜRETİM_İHTİYAÇ_RAPORU_BURAK_YENI1309[[#This Row],[SATINALMA]]*DST_123_ÜRETİM_İHTİYAÇ_RAPORU_BURAK_YENI1309[[#This Row],[BIRIM_FIYATLAR]])</f>
        <v>0</v>
      </c>
      <c r="N5477">
        <v>1.1299999999999999</v>
      </c>
      <c r="O5477" t="s">
        <v>826</v>
      </c>
      <c r="P5477">
        <v>4.5199999999999996</v>
      </c>
      <c r="Q5477" t="s">
        <v>221</v>
      </c>
    </row>
    <row r="5478" spans="1:17" x14ac:dyDescent="0.25">
      <c r="A5478" t="s">
        <v>1098</v>
      </c>
      <c r="B5478" t="s">
        <v>1096</v>
      </c>
      <c r="C5478" t="s">
        <v>175</v>
      </c>
      <c r="D5478" t="s">
        <v>441</v>
      </c>
      <c r="E5478" t="s">
        <v>442</v>
      </c>
      <c r="F5478">
        <v>1</v>
      </c>
      <c r="G5478" t="s">
        <v>176</v>
      </c>
      <c r="H5478">
        <v>0</v>
      </c>
      <c r="I5478">
        <v>23</v>
      </c>
      <c r="J5478" s="10">
        <v>5</v>
      </c>
      <c r="K5478" s="10">
        <f>SUMIFS(F:F,D:D,DST_123_ÜRETİM_İHTİYAÇ_RAPORU_BURAK_YENI1309[[#This Row],[ALT_KOD]])-(SUMIFS(H:H,D:D,DST_123_ÜRETİM_İHTİYAÇ_RAPORU_BURAK_YENI1309[[#This Row],[ALT_KOD]])+AVERAGEIFS(I:I,D:D,DST_123_ÜRETİM_İHTİYAÇ_RAPORU_BURAK_YENI1309[[#This Row],[ALT_KOD]])+AVERAGEIFS(L:L,D:D,DST_123_ÜRETİM_İHTİYAÇ_RAPORU_BURAK_YENI1309[[#This Row],[ALT_KOD]]))</f>
        <v>-11</v>
      </c>
      <c r="L5478">
        <v>0</v>
      </c>
      <c r="M5478">
        <f>IF((DST_123_ÜRETİM_İHTİYAÇ_RAPORU_BURAK_YENI1309[[#This Row],[SATINALMA]]*DST_123_ÜRETİM_İHTİYAÇ_RAPORU_BURAK_YENI1309[[#This Row],[BIRIM_FIYATLAR]])&lt;1,VALUE("0"),DST_123_ÜRETİM_İHTİYAÇ_RAPORU_BURAK_YENI1309[[#This Row],[SATINALMA]]*DST_123_ÜRETİM_İHTİYAÇ_RAPORU_BURAK_YENI1309[[#This Row],[BIRIM_FIYATLAR]])</f>
        <v>0</v>
      </c>
      <c r="N5478">
        <v>360.19</v>
      </c>
      <c r="O5478" t="s">
        <v>636</v>
      </c>
      <c r="P5478">
        <v>360.19</v>
      </c>
      <c r="Q5478" t="s">
        <v>178</v>
      </c>
    </row>
    <row r="5479" spans="1:17" x14ac:dyDescent="0.25">
      <c r="A5479" t="s">
        <v>1060</v>
      </c>
      <c r="B5479" t="s">
        <v>1061</v>
      </c>
      <c r="C5479" t="s">
        <v>175</v>
      </c>
      <c r="D5479" t="s">
        <v>446</v>
      </c>
      <c r="E5479" t="s">
        <v>447</v>
      </c>
      <c r="F5479">
        <v>1</v>
      </c>
      <c r="G5479" t="s">
        <v>176</v>
      </c>
      <c r="H5479">
        <v>1</v>
      </c>
      <c r="I5479">
        <v>13</v>
      </c>
      <c r="J5479" s="10">
        <v>13</v>
      </c>
      <c r="K5479" s="10">
        <f>SUMIFS(F:F,D:D,DST_123_ÜRETİM_İHTİYAÇ_RAPORU_BURAK_YENI1309[[#This Row],[ALT_KOD]])-(SUMIFS(H:H,D:D,DST_123_ÜRETİM_İHTİYAÇ_RAPORU_BURAK_YENI1309[[#This Row],[ALT_KOD]])+AVERAGEIFS(I:I,D:D,DST_123_ÜRETİM_İHTİYAÇ_RAPORU_BURAK_YENI1309[[#This Row],[ALT_KOD]])+AVERAGEIFS(L:L,D:D,DST_123_ÜRETİM_İHTİYAÇ_RAPORU_BURAK_YENI1309[[#This Row],[ALT_KOD]]))</f>
        <v>-1</v>
      </c>
      <c r="L5479">
        <v>0</v>
      </c>
      <c r="M5479">
        <f>IF((DST_123_ÜRETİM_İHTİYAÇ_RAPORU_BURAK_YENI1309[[#This Row],[SATINALMA]]*DST_123_ÜRETİM_İHTİYAÇ_RAPORU_BURAK_YENI1309[[#This Row],[BIRIM_FIYATLAR]])&lt;1,VALUE("0"),DST_123_ÜRETİM_İHTİYAÇ_RAPORU_BURAK_YENI1309[[#This Row],[SATINALMA]]*DST_123_ÜRETİM_İHTİYAÇ_RAPORU_BURAK_YENI1309[[#This Row],[BIRIM_FIYATLAR]])</f>
        <v>0</v>
      </c>
      <c r="N5479">
        <v>237.5</v>
      </c>
      <c r="O5479" t="s">
        <v>628</v>
      </c>
      <c r="P5479">
        <v>237.5</v>
      </c>
      <c r="Q5479" t="s">
        <v>180</v>
      </c>
    </row>
    <row r="5480" spans="1:17" x14ac:dyDescent="0.25">
      <c r="A5480" t="s">
        <v>1101</v>
      </c>
      <c r="B5480" t="s">
        <v>1102</v>
      </c>
      <c r="C5480" t="s">
        <v>175</v>
      </c>
      <c r="D5480" t="s">
        <v>84</v>
      </c>
      <c r="E5480" t="s">
        <v>85</v>
      </c>
      <c r="F5480">
        <v>2</v>
      </c>
      <c r="G5480" t="s">
        <v>176</v>
      </c>
      <c r="H5480">
        <v>2</v>
      </c>
      <c r="I5480">
        <v>40</v>
      </c>
      <c r="J5480" s="10">
        <v>16</v>
      </c>
      <c r="K5480" s="10">
        <f>SUMIFS(F:F,D:D,DST_123_ÜRETİM_İHTİYAÇ_RAPORU_BURAK_YENI1309[[#This Row],[ALT_KOD]])-(SUMIFS(H:H,D:D,DST_123_ÜRETİM_İHTİYAÇ_RAPORU_BURAK_YENI1309[[#This Row],[ALT_KOD]])+AVERAGEIFS(I:I,D:D,DST_123_ÜRETİM_İHTİYAÇ_RAPORU_BURAK_YENI1309[[#This Row],[ALT_KOD]])+AVERAGEIFS(L:L,D:D,DST_123_ÜRETİM_İHTİYAÇ_RAPORU_BURAK_YENI1309[[#This Row],[ALT_KOD]]))</f>
        <v>-18</v>
      </c>
      <c r="L5480">
        <v>0</v>
      </c>
      <c r="M5480">
        <f>IF((DST_123_ÜRETİM_İHTİYAÇ_RAPORU_BURAK_YENI1309[[#This Row],[SATINALMA]]*DST_123_ÜRETİM_İHTİYAÇ_RAPORU_BURAK_YENI1309[[#This Row],[BIRIM_FIYATLAR]])&lt;1,VALUE("0"),DST_123_ÜRETİM_İHTİYAÇ_RAPORU_BURAK_YENI1309[[#This Row],[SATINALMA]]*DST_123_ÜRETİM_İHTİYAÇ_RAPORU_BURAK_YENI1309[[#This Row],[BIRIM_FIYATLAR]])</f>
        <v>0</v>
      </c>
      <c r="N5480">
        <v>375</v>
      </c>
      <c r="O5480" t="s">
        <v>247</v>
      </c>
      <c r="P5480">
        <v>750</v>
      </c>
      <c r="Q5480" t="s">
        <v>177</v>
      </c>
    </row>
    <row r="5481" spans="1:17" x14ac:dyDescent="0.25">
      <c r="A5481" t="s">
        <v>1150</v>
      </c>
      <c r="B5481" t="s">
        <v>1145</v>
      </c>
      <c r="C5481" t="s">
        <v>175</v>
      </c>
      <c r="D5481" t="s">
        <v>670</v>
      </c>
      <c r="E5481" t="s">
        <v>671</v>
      </c>
      <c r="F5481">
        <v>1</v>
      </c>
      <c r="G5481" t="s">
        <v>176</v>
      </c>
      <c r="H5481">
        <v>1</v>
      </c>
      <c r="I5481">
        <v>12</v>
      </c>
      <c r="J5481" s="10">
        <v>13</v>
      </c>
      <c r="K5481" s="10">
        <f>SUMIFS(F:F,D:D,DST_123_ÜRETİM_İHTİYAÇ_RAPORU_BURAK_YENI1309[[#This Row],[ALT_KOD]])-(SUMIFS(H:H,D:D,DST_123_ÜRETİM_İHTİYAÇ_RAPORU_BURAK_YENI1309[[#This Row],[ALT_KOD]])+AVERAGEIFS(I:I,D:D,DST_123_ÜRETİM_İHTİYAÇ_RAPORU_BURAK_YENI1309[[#This Row],[ALT_KOD]])+AVERAGEIFS(L:L,D:D,DST_123_ÜRETİM_İHTİYAÇ_RAPORU_BURAK_YENI1309[[#This Row],[ALT_KOD]]))</f>
        <v>-5</v>
      </c>
      <c r="L5481">
        <v>0</v>
      </c>
      <c r="M5481">
        <f>IF((DST_123_ÜRETİM_İHTİYAÇ_RAPORU_BURAK_YENI1309[[#This Row],[SATINALMA]]*DST_123_ÜRETİM_İHTİYAÇ_RAPORU_BURAK_YENI1309[[#This Row],[BIRIM_FIYATLAR]])&lt;1,VALUE("0"),DST_123_ÜRETİM_İHTİYAÇ_RAPORU_BURAK_YENI1309[[#This Row],[SATINALMA]]*DST_123_ÜRETİM_İHTİYAÇ_RAPORU_BURAK_YENI1309[[#This Row],[BIRIM_FIYATLAR]])</f>
        <v>0</v>
      </c>
      <c r="N5481">
        <v>28339.38</v>
      </c>
      <c r="O5481" t="s">
        <v>214</v>
      </c>
      <c r="P5481">
        <v>28339.38</v>
      </c>
      <c r="Q5481" t="s">
        <v>177</v>
      </c>
    </row>
    <row r="5482" spans="1:17" x14ac:dyDescent="0.25">
      <c r="A5482" t="s">
        <v>1064</v>
      </c>
      <c r="B5482" t="s">
        <v>1055</v>
      </c>
      <c r="C5482" t="s">
        <v>175</v>
      </c>
      <c r="D5482" t="s">
        <v>54</v>
      </c>
      <c r="E5482" t="s">
        <v>55</v>
      </c>
      <c r="F5482">
        <v>1</v>
      </c>
      <c r="G5482" t="s">
        <v>176</v>
      </c>
      <c r="H5482">
        <v>1</v>
      </c>
      <c r="I5482">
        <v>9</v>
      </c>
      <c r="J5482" s="10">
        <v>13</v>
      </c>
      <c r="K5482" s="10">
        <f>SUMIFS(F:F,D:D,DST_123_ÜRETİM_İHTİYAÇ_RAPORU_BURAK_YENI1309[[#This Row],[ALT_KOD]])-(SUMIFS(H:H,D:D,DST_123_ÜRETİM_İHTİYAÇ_RAPORU_BURAK_YENI1309[[#This Row],[ALT_KOD]])+AVERAGEIFS(I:I,D:D,DST_123_ÜRETİM_İHTİYAÇ_RAPORU_BURAK_YENI1309[[#This Row],[ALT_KOD]])+AVERAGEIFS(L:L,D:D,DST_123_ÜRETİM_İHTİYAÇ_RAPORU_BURAK_YENI1309[[#This Row],[ALT_KOD]]))</f>
        <v>-1</v>
      </c>
      <c r="L5482">
        <v>4</v>
      </c>
      <c r="M5482">
        <f>IF((DST_123_ÜRETİM_İHTİYAÇ_RAPORU_BURAK_YENI1309[[#This Row],[SATINALMA]]*DST_123_ÜRETİM_İHTİYAÇ_RAPORU_BURAK_YENI1309[[#This Row],[BIRIM_FIYATLAR]])&lt;1,VALUE("0"),DST_123_ÜRETİM_İHTİYAÇ_RAPORU_BURAK_YENI1309[[#This Row],[SATINALMA]]*DST_123_ÜRETİM_İHTİYAÇ_RAPORU_BURAK_YENI1309[[#This Row],[BIRIM_FIYATLAR]])</f>
        <v>0</v>
      </c>
      <c r="N5482">
        <v>1600</v>
      </c>
      <c r="O5482" t="s">
        <v>217</v>
      </c>
      <c r="P5482">
        <v>1600</v>
      </c>
      <c r="Q5482" t="s">
        <v>221</v>
      </c>
    </row>
    <row r="5483" spans="1:17" x14ac:dyDescent="0.25">
      <c r="A5483" t="s">
        <v>1101</v>
      </c>
      <c r="B5483" t="s">
        <v>1102</v>
      </c>
      <c r="C5483" t="s">
        <v>175</v>
      </c>
      <c r="D5483" t="s">
        <v>670</v>
      </c>
      <c r="E5483" t="s">
        <v>671</v>
      </c>
      <c r="F5483">
        <v>1</v>
      </c>
      <c r="G5483" t="s">
        <v>176</v>
      </c>
      <c r="H5483">
        <v>1</v>
      </c>
      <c r="I5483">
        <v>12</v>
      </c>
      <c r="J5483" s="10">
        <v>13</v>
      </c>
      <c r="K5483" s="10">
        <f>SUMIFS(F:F,D:D,DST_123_ÜRETİM_İHTİYAÇ_RAPORU_BURAK_YENI1309[[#This Row],[ALT_KOD]])-(SUMIFS(H:H,D:D,DST_123_ÜRETİM_İHTİYAÇ_RAPORU_BURAK_YENI1309[[#This Row],[ALT_KOD]])+AVERAGEIFS(I:I,D:D,DST_123_ÜRETİM_İHTİYAÇ_RAPORU_BURAK_YENI1309[[#This Row],[ALT_KOD]])+AVERAGEIFS(L:L,D:D,DST_123_ÜRETİM_İHTİYAÇ_RAPORU_BURAK_YENI1309[[#This Row],[ALT_KOD]]))</f>
        <v>-5</v>
      </c>
      <c r="L5483">
        <v>0</v>
      </c>
      <c r="M5483">
        <f>IF((DST_123_ÜRETİM_İHTİYAÇ_RAPORU_BURAK_YENI1309[[#This Row],[SATINALMA]]*DST_123_ÜRETİM_İHTİYAÇ_RAPORU_BURAK_YENI1309[[#This Row],[BIRIM_FIYATLAR]])&lt;1,VALUE("0"),DST_123_ÜRETİM_İHTİYAÇ_RAPORU_BURAK_YENI1309[[#This Row],[SATINALMA]]*DST_123_ÜRETİM_İHTİYAÇ_RAPORU_BURAK_YENI1309[[#This Row],[BIRIM_FIYATLAR]])</f>
        <v>0</v>
      </c>
      <c r="N5483">
        <v>28339.38</v>
      </c>
      <c r="O5483" t="s">
        <v>214</v>
      </c>
      <c r="P5483">
        <v>28339.38</v>
      </c>
      <c r="Q5483" t="s">
        <v>177</v>
      </c>
    </row>
    <row r="5484" spans="1:17" x14ac:dyDescent="0.25">
      <c r="A5484" t="s">
        <v>1064</v>
      </c>
      <c r="B5484" t="s">
        <v>1055</v>
      </c>
      <c r="C5484" t="s">
        <v>175</v>
      </c>
      <c r="D5484" t="s">
        <v>670</v>
      </c>
      <c r="E5484" t="s">
        <v>671</v>
      </c>
      <c r="F5484">
        <v>1</v>
      </c>
      <c r="G5484" t="s">
        <v>176</v>
      </c>
      <c r="H5484">
        <v>1</v>
      </c>
      <c r="I5484">
        <v>12</v>
      </c>
      <c r="J5484" s="10">
        <v>13</v>
      </c>
      <c r="K5484" s="10">
        <f>SUMIFS(F:F,D:D,DST_123_ÜRETİM_İHTİYAÇ_RAPORU_BURAK_YENI1309[[#This Row],[ALT_KOD]])-(SUMIFS(H:H,D:D,DST_123_ÜRETİM_İHTİYAÇ_RAPORU_BURAK_YENI1309[[#This Row],[ALT_KOD]])+AVERAGEIFS(I:I,D:D,DST_123_ÜRETİM_İHTİYAÇ_RAPORU_BURAK_YENI1309[[#This Row],[ALT_KOD]])+AVERAGEIFS(L:L,D:D,DST_123_ÜRETİM_İHTİYAÇ_RAPORU_BURAK_YENI1309[[#This Row],[ALT_KOD]]))</f>
        <v>-5</v>
      </c>
      <c r="L5484">
        <v>0</v>
      </c>
      <c r="M5484">
        <f>IF((DST_123_ÜRETİM_İHTİYAÇ_RAPORU_BURAK_YENI1309[[#This Row],[SATINALMA]]*DST_123_ÜRETİM_İHTİYAÇ_RAPORU_BURAK_YENI1309[[#This Row],[BIRIM_FIYATLAR]])&lt;1,VALUE("0"),DST_123_ÜRETİM_İHTİYAÇ_RAPORU_BURAK_YENI1309[[#This Row],[SATINALMA]]*DST_123_ÜRETİM_İHTİYAÇ_RAPORU_BURAK_YENI1309[[#This Row],[BIRIM_FIYATLAR]])</f>
        <v>0</v>
      </c>
      <c r="N5484">
        <v>28339.38</v>
      </c>
      <c r="O5484" t="s">
        <v>214</v>
      </c>
      <c r="P5484">
        <v>28339.38</v>
      </c>
      <c r="Q5484" t="s">
        <v>177</v>
      </c>
    </row>
    <row r="5485" spans="1:17" x14ac:dyDescent="0.25">
      <c r="A5485" t="s">
        <v>1059</v>
      </c>
      <c r="B5485" t="s">
        <v>1058</v>
      </c>
      <c r="C5485" t="s">
        <v>175</v>
      </c>
      <c r="D5485" t="s">
        <v>294</v>
      </c>
      <c r="E5485" t="s">
        <v>295</v>
      </c>
      <c r="F5485">
        <v>3</v>
      </c>
      <c r="G5485" t="s">
        <v>179</v>
      </c>
      <c r="H5485">
        <v>3</v>
      </c>
      <c r="I5485">
        <v>118</v>
      </c>
      <c r="J5485" s="10">
        <v>21</v>
      </c>
      <c r="K5485" s="10">
        <f>SUMIFS(F:F,D:D,DST_123_ÜRETİM_İHTİYAÇ_RAPORU_BURAK_YENI1309[[#This Row],[ALT_KOD]])-(SUMIFS(H:H,D:D,DST_123_ÜRETİM_İHTİYAÇ_RAPORU_BURAK_YENI1309[[#This Row],[ALT_KOD]])+AVERAGEIFS(I:I,D:D,DST_123_ÜRETİM_İHTİYAÇ_RAPORU_BURAK_YENI1309[[#This Row],[ALT_KOD]])+AVERAGEIFS(L:L,D:D,DST_123_ÜRETİM_İHTİYAÇ_RAPORU_BURAK_YENI1309[[#This Row],[ALT_KOD]]))</f>
        <v>-115</v>
      </c>
      <c r="L5485">
        <v>0</v>
      </c>
      <c r="M5485">
        <f>IF((DST_123_ÜRETİM_İHTİYAÇ_RAPORU_BURAK_YENI1309[[#This Row],[SATINALMA]]*DST_123_ÜRETİM_İHTİYAÇ_RAPORU_BURAK_YENI1309[[#This Row],[BIRIM_FIYATLAR]])&lt;1,VALUE("0"),DST_123_ÜRETİM_İHTİYAÇ_RAPORU_BURAK_YENI1309[[#This Row],[SATINALMA]]*DST_123_ÜRETİM_İHTİYAÇ_RAPORU_BURAK_YENI1309[[#This Row],[BIRIM_FIYATLAR]])</f>
        <v>0</v>
      </c>
      <c r="N5485">
        <v>14.33</v>
      </c>
      <c r="O5485" t="s">
        <v>826</v>
      </c>
      <c r="P5485">
        <v>42.99</v>
      </c>
      <c r="Q5485" t="s">
        <v>221</v>
      </c>
    </row>
    <row r="5486" spans="1:17" x14ac:dyDescent="0.25">
      <c r="A5486" t="s">
        <v>1101</v>
      </c>
      <c r="B5486" t="s">
        <v>1102</v>
      </c>
      <c r="C5486" t="s">
        <v>175</v>
      </c>
      <c r="D5486" t="s">
        <v>54</v>
      </c>
      <c r="E5486" t="s">
        <v>55</v>
      </c>
      <c r="F5486">
        <v>1</v>
      </c>
      <c r="G5486" t="s">
        <v>176</v>
      </c>
      <c r="H5486">
        <v>1</v>
      </c>
      <c r="I5486">
        <v>9</v>
      </c>
      <c r="J5486" s="10">
        <v>13</v>
      </c>
      <c r="K5486" s="10">
        <f>SUMIFS(F:F,D:D,DST_123_ÜRETİM_İHTİYAÇ_RAPORU_BURAK_YENI1309[[#This Row],[ALT_KOD]])-(SUMIFS(H:H,D:D,DST_123_ÜRETİM_İHTİYAÇ_RAPORU_BURAK_YENI1309[[#This Row],[ALT_KOD]])+AVERAGEIFS(I:I,D:D,DST_123_ÜRETİM_İHTİYAÇ_RAPORU_BURAK_YENI1309[[#This Row],[ALT_KOD]])+AVERAGEIFS(L:L,D:D,DST_123_ÜRETİM_İHTİYAÇ_RAPORU_BURAK_YENI1309[[#This Row],[ALT_KOD]]))</f>
        <v>-1</v>
      </c>
      <c r="L5486">
        <v>4</v>
      </c>
      <c r="M5486">
        <f>IF((DST_123_ÜRETİM_İHTİYAÇ_RAPORU_BURAK_YENI1309[[#This Row],[SATINALMA]]*DST_123_ÜRETİM_İHTİYAÇ_RAPORU_BURAK_YENI1309[[#This Row],[BIRIM_FIYATLAR]])&lt;1,VALUE("0"),DST_123_ÜRETİM_İHTİYAÇ_RAPORU_BURAK_YENI1309[[#This Row],[SATINALMA]]*DST_123_ÜRETİM_İHTİYAÇ_RAPORU_BURAK_YENI1309[[#This Row],[BIRIM_FIYATLAR]])</f>
        <v>0</v>
      </c>
      <c r="N5486">
        <v>1600</v>
      </c>
      <c r="O5486" t="s">
        <v>217</v>
      </c>
      <c r="P5486">
        <v>1600</v>
      </c>
      <c r="Q5486" t="s">
        <v>221</v>
      </c>
    </row>
    <row r="5487" spans="1:17" x14ac:dyDescent="0.25">
      <c r="A5487" t="s">
        <v>1144</v>
      </c>
      <c r="B5487" t="s">
        <v>1145</v>
      </c>
      <c r="C5487" t="s">
        <v>175</v>
      </c>
      <c r="D5487" t="s">
        <v>670</v>
      </c>
      <c r="E5487" t="s">
        <v>671</v>
      </c>
      <c r="F5487">
        <v>1</v>
      </c>
      <c r="G5487" t="s">
        <v>176</v>
      </c>
      <c r="H5487">
        <v>1</v>
      </c>
      <c r="I5487">
        <v>12</v>
      </c>
      <c r="J5487" s="10">
        <v>13</v>
      </c>
      <c r="K5487" s="10">
        <f>SUMIFS(F:F,D:D,DST_123_ÜRETİM_İHTİYAÇ_RAPORU_BURAK_YENI1309[[#This Row],[ALT_KOD]])-(SUMIFS(H:H,D:D,DST_123_ÜRETİM_İHTİYAÇ_RAPORU_BURAK_YENI1309[[#This Row],[ALT_KOD]])+AVERAGEIFS(I:I,D:D,DST_123_ÜRETİM_İHTİYAÇ_RAPORU_BURAK_YENI1309[[#This Row],[ALT_KOD]])+AVERAGEIFS(L:L,D:D,DST_123_ÜRETİM_İHTİYAÇ_RAPORU_BURAK_YENI1309[[#This Row],[ALT_KOD]]))</f>
        <v>-5</v>
      </c>
      <c r="L5487">
        <v>0</v>
      </c>
      <c r="M5487">
        <f>IF((DST_123_ÜRETİM_İHTİYAÇ_RAPORU_BURAK_YENI1309[[#This Row],[SATINALMA]]*DST_123_ÜRETİM_İHTİYAÇ_RAPORU_BURAK_YENI1309[[#This Row],[BIRIM_FIYATLAR]])&lt;1,VALUE("0"),DST_123_ÜRETİM_İHTİYAÇ_RAPORU_BURAK_YENI1309[[#This Row],[SATINALMA]]*DST_123_ÜRETİM_İHTİYAÇ_RAPORU_BURAK_YENI1309[[#This Row],[BIRIM_FIYATLAR]])</f>
        <v>0</v>
      </c>
      <c r="N5487">
        <v>28339.38</v>
      </c>
      <c r="O5487" t="s">
        <v>214</v>
      </c>
      <c r="P5487">
        <v>28339.38</v>
      </c>
      <c r="Q5487" t="s">
        <v>177</v>
      </c>
    </row>
    <row r="5488" spans="1:17" x14ac:dyDescent="0.25">
      <c r="A5488" t="s">
        <v>1059</v>
      </c>
      <c r="B5488" t="s">
        <v>1058</v>
      </c>
      <c r="C5488" t="s">
        <v>175</v>
      </c>
      <c r="D5488" t="s">
        <v>1041</v>
      </c>
      <c r="E5488" t="s">
        <v>1042</v>
      </c>
      <c r="F5488">
        <v>1</v>
      </c>
      <c r="G5488" t="s">
        <v>176</v>
      </c>
      <c r="H5488">
        <v>1</v>
      </c>
      <c r="I5488">
        <v>2</v>
      </c>
      <c r="J5488" s="10">
        <v>2</v>
      </c>
      <c r="K5488" s="10">
        <f>SUMIFS(F:F,D:D,DST_123_ÜRETİM_İHTİYAÇ_RAPORU_BURAK_YENI1309[[#This Row],[ALT_KOD]])-(SUMIFS(H:H,D:D,DST_123_ÜRETİM_İHTİYAÇ_RAPORU_BURAK_YENI1309[[#This Row],[ALT_KOD]])+AVERAGEIFS(I:I,D:D,DST_123_ÜRETİM_İHTİYAÇ_RAPORU_BURAK_YENI1309[[#This Row],[ALT_KOD]])+AVERAGEIFS(L:L,D:D,DST_123_ÜRETİM_İHTİYAÇ_RAPORU_BURAK_YENI1309[[#This Row],[ALT_KOD]]))</f>
        <v>-2</v>
      </c>
      <c r="L5488">
        <v>0</v>
      </c>
      <c r="M5488">
        <f>IF((DST_123_ÜRETİM_İHTİYAÇ_RAPORU_BURAK_YENI1309[[#This Row],[SATINALMA]]*DST_123_ÜRETİM_İHTİYAÇ_RAPORU_BURAK_YENI1309[[#This Row],[BIRIM_FIYATLAR]])&lt;1,VALUE("0"),DST_123_ÜRETİM_İHTİYAÇ_RAPORU_BURAK_YENI1309[[#This Row],[SATINALMA]]*DST_123_ÜRETİM_İHTİYAÇ_RAPORU_BURAK_YENI1309[[#This Row],[BIRIM_FIYATLAR]])</f>
        <v>0</v>
      </c>
      <c r="N5488">
        <v>400</v>
      </c>
      <c r="O5488" t="s">
        <v>1034</v>
      </c>
      <c r="P5488">
        <v>400</v>
      </c>
      <c r="Q5488" t="s">
        <v>178</v>
      </c>
    </row>
    <row r="5489" spans="1:17" x14ac:dyDescent="0.25">
      <c r="A5489" t="s">
        <v>1060</v>
      </c>
      <c r="B5489" t="s">
        <v>1061</v>
      </c>
      <c r="C5489" t="s">
        <v>175</v>
      </c>
      <c r="D5489" t="s">
        <v>653</v>
      </c>
      <c r="E5489" t="s">
        <v>654</v>
      </c>
      <c r="F5489">
        <v>0.05</v>
      </c>
      <c r="G5489" t="s">
        <v>185</v>
      </c>
      <c r="H5489">
        <v>0.05</v>
      </c>
      <c r="I5489">
        <v>0</v>
      </c>
      <c r="J5489" s="10">
        <v>2.6000000000000014</v>
      </c>
      <c r="K5489" s="10">
        <f>SUMIFS(F:F,D:D,DST_123_ÜRETİM_İHTİYAÇ_RAPORU_BURAK_YENI1309[[#This Row],[ALT_KOD]])-(SUMIFS(H:H,D:D,DST_123_ÜRETİM_İHTİYAÇ_RAPORU_BURAK_YENI1309[[#This Row],[ALT_KOD]])+AVERAGEIFS(I:I,D:D,DST_123_ÜRETİM_İHTİYAÇ_RAPORU_BURAK_YENI1309[[#This Row],[ALT_KOD]])+AVERAGEIFS(L:L,D:D,DST_123_ÜRETİM_İHTİYAÇ_RAPORU_BURAK_YENI1309[[#This Row],[ALT_KOD]]))</f>
        <v>0.29999999999999982</v>
      </c>
      <c r="L5489">
        <v>0</v>
      </c>
      <c r="M5489">
        <f>IF((DST_123_ÜRETİM_İHTİYAÇ_RAPORU_BURAK_YENI1309[[#This Row],[SATINALMA]]*DST_123_ÜRETİM_İHTİYAÇ_RAPORU_BURAK_YENI1309[[#This Row],[BIRIM_FIYATLAR]])&lt;1,VALUE("0"),DST_123_ÜRETİM_İHTİYAÇ_RAPORU_BURAK_YENI1309[[#This Row],[SATINALMA]]*DST_123_ÜRETİM_İHTİYAÇ_RAPORU_BURAK_YENI1309[[#This Row],[BIRIM_FIYATLAR]])</f>
        <v>193.70099999999988</v>
      </c>
      <c r="N5489">
        <v>645.66999999999996</v>
      </c>
      <c r="O5489" t="s">
        <v>490</v>
      </c>
      <c r="P5489">
        <v>32.283499999999997</v>
      </c>
      <c r="Q5489" t="s">
        <v>183</v>
      </c>
    </row>
    <row r="5490" spans="1:17" x14ac:dyDescent="0.25">
      <c r="A5490" t="s">
        <v>1060</v>
      </c>
      <c r="B5490" t="s">
        <v>1061</v>
      </c>
      <c r="C5490" t="s">
        <v>175</v>
      </c>
      <c r="D5490" t="s">
        <v>114</v>
      </c>
      <c r="E5490" t="s">
        <v>115</v>
      </c>
      <c r="F5490">
        <v>1.504</v>
      </c>
      <c r="G5490" t="s">
        <v>185</v>
      </c>
      <c r="H5490">
        <v>1.504</v>
      </c>
      <c r="I5490">
        <v>0</v>
      </c>
      <c r="J5490" s="10">
        <v>65.03100000000002</v>
      </c>
      <c r="K5490" s="10">
        <f>SUMIFS(F:F,D:D,DST_123_ÜRETİM_İHTİYAÇ_RAPORU_BURAK_YENI1309[[#This Row],[ALT_KOD]])-(SUMIFS(H:H,D:D,DST_123_ÜRETİM_İHTİYAÇ_RAPORU_BURAK_YENI1309[[#This Row],[ALT_KOD]])+AVERAGEIFS(I:I,D:D,DST_123_ÜRETİM_İHTİYAÇ_RAPORU_BURAK_YENI1309[[#This Row],[ALT_KOD]])+AVERAGEIFS(L:L,D:D,DST_123_ÜRETİM_İHTİYAÇ_RAPORU_BURAK_YENI1309[[#This Row],[ALT_KOD]]))</f>
        <v>17.948</v>
      </c>
      <c r="L5490">
        <v>0</v>
      </c>
      <c r="M5490">
        <f>IF((DST_123_ÜRETİM_İHTİYAÇ_RAPORU_BURAK_YENI1309[[#This Row],[SATINALMA]]*DST_123_ÜRETİM_İHTİYAÇ_RAPORU_BURAK_YENI1309[[#This Row],[BIRIM_FIYATLAR]])&lt;1,VALUE("0"),DST_123_ÜRETİM_İHTİYAÇ_RAPORU_BURAK_YENI1309[[#This Row],[SATINALMA]]*DST_123_ÜRETİM_İHTİYAÇ_RAPORU_BURAK_YENI1309[[#This Row],[BIRIM_FIYATLAR]])</f>
        <v>6991.2844399999994</v>
      </c>
      <c r="N5490">
        <v>389.53</v>
      </c>
      <c r="O5490" t="s">
        <v>490</v>
      </c>
      <c r="P5490">
        <v>585.85311999999999</v>
      </c>
      <c r="Q5490" t="s">
        <v>183</v>
      </c>
    </row>
    <row r="5491" spans="1:17" x14ac:dyDescent="0.25">
      <c r="A5491" t="s">
        <v>1101</v>
      </c>
      <c r="B5491" t="s">
        <v>1102</v>
      </c>
      <c r="C5491" t="s">
        <v>175</v>
      </c>
      <c r="D5491" t="s">
        <v>110</v>
      </c>
      <c r="E5491" t="s">
        <v>111</v>
      </c>
      <c r="F5491">
        <v>1</v>
      </c>
      <c r="G5491" t="s">
        <v>176</v>
      </c>
      <c r="H5491">
        <v>1</v>
      </c>
      <c r="I5491">
        <v>0</v>
      </c>
      <c r="J5491" s="10">
        <v>10</v>
      </c>
      <c r="K5491" s="10">
        <f>SUMIFS(F:F,D:D,DST_123_ÜRETİM_İHTİYAÇ_RAPORU_BURAK_YENI1309[[#This Row],[ALT_KOD]])-(SUMIFS(H:H,D:D,DST_123_ÜRETİM_İHTİYAÇ_RAPORU_BURAK_YENI1309[[#This Row],[ALT_KOD]])+AVERAGEIFS(I:I,D:D,DST_123_ÜRETİM_İHTİYAÇ_RAPORU_BURAK_YENI1309[[#This Row],[ALT_KOD]])+AVERAGEIFS(L:L,D:D,DST_123_ÜRETİM_İHTİYAÇ_RAPORU_BURAK_YENI1309[[#This Row],[ALT_KOD]]))</f>
        <v>0</v>
      </c>
      <c r="L5491">
        <v>11</v>
      </c>
      <c r="M5491">
        <f>IF((DST_123_ÜRETİM_İHTİYAÇ_RAPORU_BURAK_YENI1309[[#This Row],[SATINALMA]]*DST_123_ÜRETİM_İHTİYAÇ_RAPORU_BURAK_YENI1309[[#This Row],[BIRIM_FIYATLAR]])&lt;1,VALUE("0"),DST_123_ÜRETİM_İHTİYAÇ_RAPORU_BURAK_YENI1309[[#This Row],[SATINALMA]]*DST_123_ÜRETİM_İHTİYAÇ_RAPORU_BURAK_YENI1309[[#This Row],[BIRIM_FIYATLAR]])</f>
        <v>0</v>
      </c>
      <c r="N5491">
        <v>675</v>
      </c>
      <c r="O5491" t="s">
        <v>632</v>
      </c>
      <c r="P5491">
        <v>675</v>
      </c>
      <c r="Q5491" t="s">
        <v>177</v>
      </c>
    </row>
    <row r="5492" spans="1:17" x14ac:dyDescent="0.25">
      <c r="A5492" t="s">
        <v>1064</v>
      </c>
      <c r="B5492" t="s">
        <v>1055</v>
      </c>
      <c r="C5492" t="s">
        <v>175</v>
      </c>
      <c r="D5492" t="s">
        <v>58</v>
      </c>
      <c r="E5492" t="s">
        <v>59</v>
      </c>
      <c r="F5492">
        <v>1</v>
      </c>
      <c r="G5492" t="s">
        <v>176</v>
      </c>
      <c r="H5492">
        <v>1</v>
      </c>
      <c r="I5492">
        <v>17</v>
      </c>
      <c r="J5492" s="10">
        <v>11</v>
      </c>
      <c r="K5492" s="10">
        <f>SUMIFS(F:F,D:D,DST_123_ÜRETİM_İHTİYAÇ_RAPORU_BURAK_YENI1309[[#This Row],[ALT_KOD]])-(SUMIFS(H:H,D:D,DST_123_ÜRETİM_İHTİYAÇ_RAPORU_BURAK_YENI1309[[#This Row],[ALT_KOD]])+AVERAGEIFS(I:I,D:D,DST_123_ÜRETİM_İHTİYAÇ_RAPORU_BURAK_YENI1309[[#This Row],[ALT_KOD]])+AVERAGEIFS(L:L,D:D,DST_123_ÜRETİM_İHTİYAÇ_RAPORU_BURAK_YENI1309[[#This Row],[ALT_KOD]]))</f>
        <v>-5</v>
      </c>
      <c r="L5492">
        <v>0</v>
      </c>
      <c r="M5492">
        <f>IF((DST_123_ÜRETİM_İHTİYAÇ_RAPORU_BURAK_YENI1309[[#This Row],[SATINALMA]]*DST_123_ÜRETİM_İHTİYAÇ_RAPORU_BURAK_YENI1309[[#This Row],[BIRIM_FIYATLAR]])&lt;1,VALUE("0"),DST_123_ÜRETİM_İHTİYAÇ_RAPORU_BURAK_YENI1309[[#This Row],[SATINALMA]]*DST_123_ÜRETİM_İHTİYAÇ_RAPORU_BURAK_YENI1309[[#This Row],[BIRIM_FIYATLAR]])</f>
        <v>0</v>
      </c>
      <c r="N5492">
        <v>1094.4000000000001</v>
      </c>
      <c r="O5492" t="s">
        <v>826</v>
      </c>
      <c r="P5492">
        <v>1094.4000000000001</v>
      </c>
      <c r="Q5492" t="s">
        <v>221</v>
      </c>
    </row>
    <row r="5493" spans="1:17" x14ac:dyDescent="0.25">
      <c r="A5493" t="s">
        <v>1057</v>
      </c>
      <c r="B5493" t="s">
        <v>1058</v>
      </c>
      <c r="C5493" t="s">
        <v>175</v>
      </c>
      <c r="D5493" t="s">
        <v>670</v>
      </c>
      <c r="E5493" t="s">
        <v>671</v>
      </c>
      <c r="F5493">
        <v>1</v>
      </c>
      <c r="G5493" t="s">
        <v>176</v>
      </c>
      <c r="H5493">
        <v>1</v>
      </c>
      <c r="I5493">
        <v>12</v>
      </c>
      <c r="J5493" s="10">
        <v>13</v>
      </c>
      <c r="K5493" s="10">
        <f>SUMIFS(F:F,D:D,DST_123_ÜRETİM_İHTİYAÇ_RAPORU_BURAK_YENI1309[[#This Row],[ALT_KOD]])-(SUMIFS(H:H,D:D,DST_123_ÜRETİM_İHTİYAÇ_RAPORU_BURAK_YENI1309[[#This Row],[ALT_KOD]])+AVERAGEIFS(I:I,D:D,DST_123_ÜRETİM_İHTİYAÇ_RAPORU_BURAK_YENI1309[[#This Row],[ALT_KOD]])+AVERAGEIFS(L:L,D:D,DST_123_ÜRETİM_İHTİYAÇ_RAPORU_BURAK_YENI1309[[#This Row],[ALT_KOD]]))</f>
        <v>-5</v>
      </c>
      <c r="L5493">
        <v>0</v>
      </c>
      <c r="M5493">
        <f>IF((DST_123_ÜRETİM_İHTİYAÇ_RAPORU_BURAK_YENI1309[[#This Row],[SATINALMA]]*DST_123_ÜRETİM_İHTİYAÇ_RAPORU_BURAK_YENI1309[[#This Row],[BIRIM_FIYATLAR]])&lt;1,VALUE("0"),DST_123_ÜRETİM_İHTİYAÇ_RAPORU_BURAK_YENI1309[[#This Row],[SATINALMA]]*DST_123_ÜRETİM_İHTİYAÇ_RAPORU_BURAK_YENI1309[[#This Row],[BIRIM_FIYATLAR]])</f>
        <v>0</v>
      </c>
      <c r="N5493">
        <v>28339.38</v>
      </c>
      <c r="O5493" t="s">
        <v>214</v>
      </c>
      <c r="P5493">
        <v>28339.38</v>
      </c>
      <c r="Q5493" t="s">
        <v>177</v>
      </c>
    </row>
    <row r="5494" spans="1:17" x14ac:dyDescent="0.25">
      <c r="A5494" t="s">
        <v>1101</v>
      </c>
      <c r="B5494" t="s">
        <v>1102</v>
      </c>
      <c r="C5494" t="s">
        <v>175</v>
      </c>
      <c r="D5494" t="s">
        <v>756</v>
      </c>
      <c r="E5494" t="s">
        <v>757</v>
      </c>
      <c r="F5494">
        <v>1</v>
      </c>
      <c r="G5494" t="s">
        <v>176</v>
      </c>
      <c r="H5494">
        <v>1</v>
      </c>
      <c r="I5494">
        <v>2</v>
      </c>
      <c r="J5494" s="10">
        <v>4</v>
      </c>
      <c r="K5494" s="10">
        <f>SUMIFS(F:F,D:D,DST_123_ÜRETİM_İHTİYAÇ_RAPORU_BURAK_YENI1309[[#This Row],[ALT_KOD]])-(SUMIFS(H:H,D:D,DST_123_ÜRETİM_İHTİYAÇ_RAPORU_BURAK_YENI1309[[#This Row],[ALT_KOD]])+AVERAGEIFS(I:I,D:D,DST_123_ÜRETİM_İHTİYAÇ_RAPORU_BURAK_YENI1309[[#This Row],[ALT_KOD]])+AVERAGEIFS(L:L,D:D,DST_123_ÜRETİM_İHTİYAÇ_RAPORU_BURAK_YENI1309[[#This Row],[ALT_KOD]]))</f>
        <v>0</v>
      </c>
      <c r="L5494">
        <v>2</v>
      </c>
      <c r="M5494">
        <f>IF((DST_123_ÜRETİM_İHTİYAÇ_RAPORU_BURAK_YENI1309[[#This Row],[SATINALMA]]*DST_123_ÜRETİM_İHTİYAÇ_RAPORU_BURAK_YENI1309[[#This Row],[BIRIM_FIYATLAR]])&lt;1,VALUE("0"),DST_123_ÜRETİM_İHTİYAÇ_RAPORU_BURAK_YENI1309[[#This Row],[SATINALMA]]*DST_123_ÜRETİM_İHTİYAÇ_RAPORU_BURAK_YENI1309[[#This Row],[BIRIM_FIYATLAR]])</f>
        <v>0</v>
      </c>
      <c r="N5494">
        <v>1667.14</v>
      </c>
      <c r="O5494" t="s">
        <v>632</v>
      </c>
      <c r="P5494">
        <v>1667.14</v>
      </c>
      <c r="Q5494" t="s">
        <v>177</v>
      </c>
    </row>
    <row r="5495" spans="1:17" x14ac:dyDescent="0.25">
      <c r="A5495" t="s">
        <v>1101</v>
      </c>
      <c r="B5495" t="s">
        <v>1102</v>
      </c>
      <c r="C5495" t="s">
        <v>175</v>
      </c>
      <c r="D5495" t="s">
        <v>844</v>
      </c>
      <c r="E5495" t="s">
        <v>845</v>
      </c>
      <c r="F5495">
        <v>3</v>
      </c>
      <c r="G5495" t="s">
        <v>176</v>
      </c>
      <c r="H5495">
        <v>3</v>
      </c>
      <c r="I5495">
        <v>36</v>
      </c>
      <c r="J5495" s="10">
        <v>26</v>
      </c>
      <c r="K5495" s="10">
        <f>SUMIFS(F:F,D:D,DST_123_ÜRETİM_İHTİYAÇ_RAPORU_BURAK_YENI1309[[#This Row],[ALT_KOD]])-(SUMIFS(H:H,D:D,DST_123_ÜRETİM_İHTİYAÇ_RAPORU_BURAK_YENI1309[[#This Row],[ALT_KOD]])+AVERAGEIFS(I:I,D:D,DST_123_ÜRETİM_İHTİYAÇ_RAPORU_BURAK_YENI1309[[#This Row],[ALT_KOD]])+AVERAGEIFS(L:L,D:D,DST_123_ÜRETİM_İHTİYAÇ_RAPORU_BURAK_YENI1309[[#This Row],[ALT_KOD]]))</f>
        <v>1</v>
      </c>
      <c r="L5495">
        <v>0</v>
      </c>
      <c r="M5495">
        <f>IF((DST_123_ÜRETİM_İHTİYAÇ_RAPORU_BURAK_YENI1309[[#This Row],[SATINALMA]]*DST_123_ÜRETİM_İHTİYAÇ_RAPORU_BURAK_YENI1309[[#This Row],[BIRIM_FIYATLAR]])&lt;1,VALUE("0"),DST_123_ÜRETİM_İHTİYAÇ_RAPORU_BURAK_YENI1309[[#This Row],[SATINALMA]]*DST_123_ÜRETİM_İHTİYAÇ_RAPORU_BURAK_YENI1309[[#This Row],[BIRIM_FIYATLAR]])</f>
        <v>348.7</v>
      </c>
      <c r="N5495">
        <v>348.7</v>
      </c>
      <c r="O5495" t="s">
        <v>636</v>
      </c>
      <c r="P5495">
        <v>1046.0999999999999</v>
      </c>
      <c r="Q5495" t="s">
        <v>177</v>
      </c>
    </row>
    <row r="5496" spans="1:17" x14ac:dyDescent="0.25">
      <c r="A5496" t="s">
        <v>1060</v>
      </c>
      <c r="B5496" t="s">
        <v>1061</v>
      </c>
      <c r="C5496" t="s">
        <v>175</v>
      </c>
      <c r="D5496" t="s">
        <v>1035</v>
      </c>
      <c r="E5496" t="s">
        <v>1036</v>
      </c>
      <c r="F5496">
        <v>1</v>
      </c>
      <c r="G5496" t="s">
        <v>176</v>
      </c>
      <c r="H5496">
        <v>1</v>
      </c>
      <c r="I5496">
        <v>19</v>
      </c>
      <c r="J5496" s="10">
        <v>4</v>
      </c>
      <c r="K5496" s="10">
        <f>SUMIFS(F:F,D:D,DST_123_ÜRETİM_İHTİYAÇ_RAPORU_BURAK_YENI1309[[#This Row],[ALT_KOD]])-(SUMIFS(H:H,D:D,DST_123_ÜRETİM_İHTİYAÇ_RAPORU_BURAK_YENI1309[[#This Row],[ALT_KOD]])+AVERAGEIFS(I:I,D:D,DST_123_ÜRETİM_İHTİYAÇ_RAPORU_BURAK_YENI1309[[#This Row],[ALT_KOD]])+AVERAGEIFS(L:L,D:D,DST_123_ÜRETİM_İHTİYAÇ_RAPORU_BURAK_YENI1309[[#This Row],[ALT_KOD]]))</f>
        <v>-12</v>
      </c>
      <c r="L5496">
        <v>0</v>
      </c>
      <c r="M5496">
        <f>IF((DST_123_ÜRETİM_İHTİYAÇ_RAPORU_BURAK_YENI1309[[#This Row],[SATINALMA]]*DST_123_ÜRETİM_İHTİYAÇ_RAPORU_BURAK_YENI1309[[#This Row],[BIRIM_FIYATLAR]])&lt;1,VALUE("0"),DST_123_ÜRETİM_İHTİYAÇ_RAPORU_BURAK_YENI1309[[#This Row],[SATINALMA]]*DST_123_ÜRETİM_İHTİYAÇ_RAPORU_BURAK_YENI1309[[#This Row],[BIRIM_FIYATLAR]])</f>
        <v>0</v>
      </c>
      <c r="N5496">
        <v>85</v>
      </c>
      <c r="O5496" t="s">
        <v>821</v>
      </c>
      <c r="P5496">
        <v>85</v>
      </c>
      <c r="Q5496" t="s">
        <v>178</v>
      </c>
    </row>
    <row r="5497" spans="1:17" x14ac:dyDescent="0.25">
      <c r="A5497" t="s">
        <v>1060</v>
      </c>
      <c r="B5497" t="s">
        <v>1061</v>
      </c>
      <c r="C5497" t="s">
        <v>175</v>
      </c>
      <c r="D5497" t="s">
        <v>817</v>
      </c>
      <c r="E5497" t="s">
        <v>818</v>
      </c>
      <c r="F5497">
        <v>1</v>
      </c>
      <c r="G5497" t="s">
        <v>176</v>
      </c>
      <c r="H5497">
        <v>1</v>
      </c>
      <c r="I5497">
        <v>4</v>
      </c>
      <c r="J5497" s="10">
        <v>3</v>
      </c>
      <c r="K5497" s="10">
        <f>SUMIFS(F:F,D:D,DST_123_ÜRETİM_İHTİYAÇ_RAPORU_BURAK_YENI1309[[#This Row],[ALT_KOD]])-(SUMIFS(H:H,D:D,DST_123_ÜRETİM_İHTİYAÇ_RAPORU_BURAK_YENI1309[[#This Row],[ALT_KOD]])+AVERAGEIFS(I:I,D:D,DST_123_ÜRETİM_İHTİYAÇ_RAPORU_BURAK_YENI1309[[#This Row],[ALT_KOD]])+AVERAGEIFS(L:L,D:D,DST_123_ÜRETİM_İHTİYAÇ_RAPORU_BURAK_YENI1309[[#This Row],[ALT_KOD]]))</f>
        <v>-3</v>
      </c>
      <c r="L5497">
        <v>0</v>
      </c>
      <c r="M5497">
        <f>IF((DST_123_ÜRETİM_İHTİYAÇ_RAPORU_BURAK_YENI1309[[#This Row],[SATINALMA]]*DST_123_ÜRETİM_İHTİYAÇ_RAPORU_BURAK_YENI1309[[#This Row],[BIRIM_FIYATLAR]])&lt;1,VALUE("0"),DST_123_ÜRETİM_İHTİYAÇ_RAPORU_BURAK_YENI1309[[#This Row],[SATINALMA]]*DST_123_ÜRETİM_İHTİYAÇ_RAPORU_BURAK_YENI1309[[#This Row],[BIRIM_FIYATLAR]])</f>
        <v>0</v>
      </c>
      <c r="N5497">
        <v>200</v>
      </c>
      <c r="O5497" t="s">
        <v>696</v>
      </c>
      <c r="P5497">
        <v>200</v>
      </c>
      <c r="Q5497" t="s">
        <v>178</v>
      </c>
    </row>
    <row r="5498" spans="1:17" x14ac:dyDescent="0.25">
      <c r="A5498" t="s">
        <v>1101</v>
      </c>
      <c r="B5498" t="s">
        <v>1102</v>
      </c>
      <c r="C5498" t="s">
        <v>175</v>
      </c>
      <c r="D5498" t="s">
        <v>58</v>
      </c>
      <c r="E5498" t="s">
        <v>59</v>
      </c>
      <c r="F5498">
        <v>1</v>
      </c>
      <c r="G5498" t="s">
        <v>176</v>
      </c>
      <c r="H5498">
        <v>1</v>
      </c>
      <c r="I5498">
        <v>17</v>
      </c>
      <c r="J5498" s="10">
        <v>11</v>
      </c>
      <c r="K5498" s="10">
        <f>SUMIFS(F:F,D:D,DST_123_ÜRETİM_İHTİYAÇ_RAPORU_BURAK_YENI1309[[#This Row],[ALT_KOD]])-(SUMIFS(H:H,D:D,DST_123_ÜRETİM_İHTİYAÇ_RAPORU_BURAK_YENI1309[[#This Row],[ALT_KOD]])+AVERAGEIFS(I:I,D:D,DST_123_ÜRETİM_İHTİYAÇ_RAPORU_BURAK_YENI1309[[#This Row],[ALT_KOD]])+AVERAGEIFS(L:L,D:D,DST_123_ÜRETİM_İHTİYAÇ_RAPORU_BURAK_YENI1309[[#This Row],[ALT_KOD]]))</f>
        <v>-5</v>
      </c>
      <c r="L5498">
        <v>0</v>
      </c>
      <c r="M5498">
        <f>IF((DST_123_ÜRETİM_İHTİYAÇ_RAPORU_BURAK_YENI1309[[#This Row],[SATINALMA]]*DST_123_ÜRETİM_İHTİYAÇ_RAPORU_BURAK_YENI1309[[#This Row],[BIRIM_FIYATLAR]])&lt;1,VALUE("0"),DST_123_ÜRETİM_İHTİYAÇ_RAPORU_BURAK_YENI1309[[#This Row],[SATINALMA]]*DST_123_ÜRETİM_İHTİYAÇ_RAPORU_BURAK_YENI1309[[#This Row],[BIRIM_FIYATLAR]])</f>
        <v>0</v>
      </c>
      <c r="N5498">
        <v>1094.4000000000001</v>
      </c>
      <c r="O5498" t="s">
        <v>826</v>
      </c>
      <c r="P5498">
        <v>1094.4000000000001</v>
      </c>
      <c r="Q5498" t="s">
        <v>221</v>
      </c>
    </row>
    <row r="5499" spans="1:17" x14ac:dyDescent="0.25">
      <c r="A5499" t="s">
        <v>1099</v>
      </c>
      <c r="B5499" t="s">
        <v>1055</v>
      </c>
      <c r="C5499" t="s">
        <v>175</v>
      </c>
      <c r="D5499" t="s">
        <v>445</v>
      </c>
      <c r="E5499" t="s">
        <v>629</v>
      </c>
      <c r="F5499">
        <v>4</v>
      </c>
      <c r="G5499" t="s">
        <v>176</v>
      </c>
      <c r="H5499">
        <v>4</v>
      </c>
      <c r="I5499">
        <v>109</v>
      </c>
      <c r="J5499" s="10">
        <v>34</v>
      </c>
      <c r="K5499" s="10">
        <f>SUMIFS(F:F,D:D,DST_123_ÜRETİM_İHTİYAÇ_RAPORU_BURAK_YENI1309[[#This Row],[ALT_KOD]])-(SUMIFS(H:H,D:D,DST_123_ÜRETİM_İHTİYAÇ_RAPORU_BURAK_YENI1309[[#This Row],[ALT_KOD]])+AVERAGEIFS(I:I,D:D,DST_123_ÜRETİM_İHTİYAÇ_RAPORU_BURAK_YENI1309[[#This Row],[ALT_KOD]])+AVERAGEIFS(L:L,D:D,DST_123_ÜRETİM_İHTİYAÇ_RAPORU_BURAK_YENI1309[[#This Row],[ALT_KOD]]))</f>
        <v>-71</v>
      </c>
      <c r="L5499">
        <v>0</v>
      </c>
      <c r="M5499">
        <f>IF((DST_123_ÜRETİM_İHTİYAÇ_RAPORU_BURAK_YENI1309[[#This Row],[SATINALMA]]*DST_123_ÜRETİM_İHTİYAÇ_RAPORU_BURAK_YENI1309[[#This Row],[BIRIM_FIYATLAR]])&lt;1,VALUE("0"),DST_123_ÜRETİM_İHTİYAÇ_RAPORU_BURAK_YENI1309[[#This Row],[SATINALMA]]*DST_123_ÜRETİM_İHTİYAÇ_RAPORU_BURAK_YENI1309[[#This Row],[BIRIM_FIYATLAR]])</f>
        <v>0</v>
      </c>
      <c r="N5499">
        <v>250</v>
      </c>
      <c r="O5499" t="s">
        <v>628</v>
      </c>
      <c r="P5499">
        <v>1000</v>
      </c>
      <c r="Q5499" t="s">
        <v>180</v>
      </c>
    </row>
    <row r="5500" spans="1:17" x14ac:dyDescent="0.25">
      <c r="A5500" t="s">
        <v>1064</v>
      </c>
      <c r="B5500" t="s">
        <v>1055</v>
      </c>
      <c r="C5500" t="s">
        <v>175</v>
      </c>
      <c r="D5500" t="s">
        <v>445</v>
      </c>
      <c r="E5500" t="s">
        <v>629</v>
      </c>
      <c r="F5500">
        <v>4</v>
      </c>
      <c r="G5500" t="s">
        <v>176</v>
      </c>
      <c r="H5500">
        <v>4</v>
      </c>
      <c r="I5500">
        <v>109</v>
      </c>
      <c r="J5500" s="10">
        <v>34</v>
      </c>
      <c r="K5500" s="10">
        <f>SUMIFS(F:F,D:D,DST_123_ÜRETİM_İHTİYAÇ_RAPORU_BURAK_YENI1309[[#This Row],[ALT_KOD]])-(SUMIFS(H:H,D:D,DST_123_ÜRETİM_İHTİYAÇ_RAPORU_BURAK_YENI1309[[#This Row],[ALT_KOD]])+AVERAGEIFS(I:I,D:D,DST_123_ÜRETİM_İHTİYAÇ_RAPORU_BURAK_YENI1309[[#This Row],[ALT_KOD]])+AVERAGEIFS(L:L,D:D,DST_123_ÜRETİM_İHTİYAÇ_RAPORU_BURAK_YENI1309[[#This Row],[ALT_KOD]]))</f>
        <v>-71</v>
      </c>
      <c r="L5500">
        <v>0</v>
      </c>
      <c r="M5500">
        <f>IF((DST_123_ÜRETİM_İHTİYAÇ_RAPORU_BURAK_YENI1309[[#This Row],[SATINALMA]]*DST_123_ÜRETİM_İHTİYAÇ_RAPORU_BURAK_YENI1309[[#This Row],[BIRIM_FIYATLAR]])&lt;1,VALUE("0"),DST_123_ÜRETİM_İHTİYAÇ_RAPORU_BURAK_YENI1309[[#This Row],[SATINALMA]]*DST_123_ÜRETİM_İHTİYAÇ_RAPORU_BURAK_YENI1309[[#This Row],[BIRIM_FIYATLAR]])</f>
        <v>0</v>
      </c>
      <c r="N5500">
        <v>250</v>
      </c>
      <c r="O5500" t="s">
        <v>628</v>
      </c>
      <c r="P5500">
        <v>1000</v>
      </c>
      <c r="Q5500" t="s">
        <v>180</v>
      </c>
    </row>
    <row r="5501" spans="1:17" x14ac:dyDescent="0.25">
      <c r="A5501" t="s">
        <v>1099</v>
      </c>
      <c r="B5501" t="s">
        <v>1055</v>
      </c>
      <c r="C5501" t="s">
        <v>175</v>
      </c>
      <c r="D5501" t="s">
        <v>114</v>
      </c>
      <c r="E5501" t="s">
        <v>115</v>
      </c>
      <c r="F5501">
        <v>2.0499999999999998</v>
      </c>
      <c r="G5501" t="s">
        <v>185</v>
      </c>
      <c r="H5501">
        <v>2.0499999999999998</v>
      </c>
      <c r="I5501">
        <v>0</v>
      </c>
      <c r="J5501" s="10">
        <v>65.03100000000002</v>
      </c>
      <c r="K5501" s="10">
        <f>SUMIFS(F:F,D:D,DST_123_ÜRETİM_İHTİYAÇ_RAPORU_BURAK_YENI1309[[#This Row],[ALT_KOD]])-(SUMIFS(H:H,D:D,DST_123_ÜRETİM_İHTİYAÇ_RAPORU_BURAK_YENI1309[[#This Row],[ALT_KOD]])+AVERAGEIFS(I:I,D:D,DST_123_ÜRETİM_İHTİYAÇ_RAPORU_BURAK_YENI1309[[#This Row],[ALT_KOD]])+AVERAGEIFS(L:L,D:D,DST_123_ÜRETİM_İHTİYAÇ_RAPORU_BURAK_YENI1309[[#This Row],[ALT_KOD]]))</f>
        <v>17.948</v>
      </c>
      <c r="L5501">
        <v>0</v>
      </c>
      <c r="M5501">
        <f>IF((DST_123_ÜRETİM_İHTİYAÇ_RAPORU_BURAK_YENI1309[[#This Row],[SATINALMA]]*DST_123_ÜRETİM_İHTİYAÇ_RAPORU_BURAK_YENI1309[[#This Row],[BIRIM_FIYATLAR]])&lt;1,VALUE("0"),DST_123_ÜRETİM_İHTİYAÇ_RAPORU_BURAK_YENI1309[[#This Row],[SATINALMA]]*DST_123_ÜRETİM_İHTİYAÇ_RAPORU_BURAK_YENI1309[[#This Row],[BIRIM_FIYATLAR]])</f>
        <v>6991.2844399999994</v>
      </c>
      <c r="N5501">
        <v>389.53</v>
      </c>
      <c r="O5501" t="s">
        <v>490</v>
      </c>
      <c r="P5501">
        <v>798.53649999999982</v>
      </c>
      <c r="Q5501" t="s">
        <v>183</v>
      </c>
    </row>
    <row r="5502" spans="1:17" x14ac:dyDescent="0.25">
      <c r="A5502" t="s">
        <v>1064</v>
      </c>
      <c r="B5502" t="s">
        <v>1055</v>
      </c>
      <c r="C5502" t="s">
        <v>175</v>
      </c>
      <c r="D5502" t="s">
        <v>114</v>
      </c>
      <c r="E5502" t="s">
        <v>115</v>
      </c>
      <c r="F5502">
        <v>2.5500000000000003</v>
      </c>
      <c r="G5502" t="s">
        <v>185</v>
      </c>
      <c r="H5502">
        <v>2.5500000000000003</v>
      </c>
      <c r="I5502">
        <v>0</v>
      </c>
      <c r="J5502" s="10">
        <v>65.03100000000002</v>
      </c>
      <c r="K5502" s="10">
        <f>SUMIFS(F:F,D:D,DST_123_ÜRETİM_İHTİYAÇ_RAPORU_BURAK_YENI1309[[#This Row],[ALT_KOD]])-(SUMIFS(H:H,D:D,DST_123_ÜRETİM_İHTİYAÇ_RAPORU_BURAK_YENI1309[[#This Row],[ALT_KOD]])+AVERAGEIFS(I:I,D:D,DST_123_ÜRETİM_İHTİYAÇ_RAPORU_BURAK_YENI1309[[#This Row],[ALT_KOD]])+AVERAGEIFS(L:L,D:D,DST_123_ÜRETİM_İHTİYAÇ_RAPORU_BURAK_YENI1309[[#This Row],[ALT_KOD]]))</f>
        <v>17.948</v>
      </c>
      <c r="L5502">
        <v>0</v>
      </c>
      <c r="M5502">
        <f>IF((DST_123_ÜRETİM_İHTİYAÇ_RAPORU_BURAK_YENI1309[[#This Row],[SATINALMA]]*DST_123_ÜRETİM_İHTİYAÇ_RAPORU_BURAK_YENI1309[[#This Row],[BIRIM_FIYATLAR]])&lt;1,VALUE("0"),DST_123_ÜRETİM_İHTİYAÇ_RAPORU_BURAK_YENI1309[[#This Row],[SATINALMA]]*DST_123_ÜRETİM_İHTİYAÇ_RAPORU_BURAK_YENI1309[[#This Row],[BIRIM_FIYATLAR]])</f>
        <v>6991.2844399999994</v>
      </c>
      <c r="N5502">
        <v>389.53</v>
      </c>
      <c r="O5502" t="s">
        <v>490</v>
      </c>
      <c r="P5502">
        <v>993.30150000000003</v>
      </c>
      <c r="Q5502" t="s">
        <v>183</v>
      </c>
    </row>
    <row r="5503" spans="1:17" x14ac:dyDescent="0.25">
      <c r="A5503" t="s">
        <v>1064</v>
      </c>
      <c r="B5503" t="s">
        <v>1055</v>
      </c>
      <c r="C5503" t="s">
        <v>175</v>
      </c>
      <c r="D5503" t="s">
        <v>756</v>
      </c>
      <c r="E5503" t="s">
        <v>757</v>
      </c>
      <c r="F5503">
        <v>1</v>
      </c>
      <c r="G5503" t="s">
        <v>176</v>
      </c>
      <c r="H5503">
        <v>1</v>
      </c>
      <c r="I5503">
        <v>2</v>
      </c>
      <c r="J5503" s="10">
        <v>4</v>
      </c>
      <c r="K5503" s="10">
        <f>SUMIFS(F:F,D:D,DST_123_ÜRETİM_İHTİYAÇ_RAPORU_BURAK_YENI1309[[#This Row],[ALT_KOD]])-(SUMIFS(H:H,D:D,DST_123_ÜRETİM_İHTİYAÇ_RAPORU_BURAK_YENI1309[[#This Row],[ALT_KOD]])+AVERAGEIFS(I:I,D:D,DST_123_ÜRETİM_İHTİYAÇ_RAPORU_BURAK_YENI1309[[#This Row],[ALT_KOD]])+AVERAGEIFS(L:L,D:D,DST_123_ÜRETİM_İHTİYAÇ_RAPORU_BURAK_YENI1309[[#This Row],[ALT_KOD]]))</f>
        <v>0</v>
      </c>
      <c r="L5503">
        <v>2</v>
      </c>
      <c r="M5503">
        <f>IF((DST_123_ÜRETİM_İHTİYAÇ_RAPORU_BURAK_YENI1309[[#This Row],[SATINALMA]]*DST_123_ÜRETİM_İHTİYAÇ_RAPORU_BURAK_YENI1309[[#This Row],[BIRIM_FIYATLAR]])&lt;1,VALUE("0"),DST_123_ÜRETİM_İHTİYAÇ_RAPORU_BURAK_YENI1309[[#This Row],[SATINALMA]]*DST_123_ÜRETİM_İHTİYAÇ_RAPORU_BURAK_YENI1309[[#This Row],[BIRIM_FIYATLAR]])</f>
        <v>0</v>
      </c>
      <c r="N5503">
        <v>1667.14</v>
      </c>
      <c r="O5503" t="s">
        <v>632</v>
      </c>
      <c r="P5503">
        <v>1667.14</v>
      </c>
      <c r="Q5503" t="s">
        <v>177</v>
      </c>
    </row>
    <row r="5504" spans="1:17" x14ac:dyDescent="0.25">
      <c r="A5504" t="s">
        <v>1097</v>
      </c>
      <c r="B5504" t="s">
        <v>1055</v>
      </c>
      <c r="C5504" t="s">
        <v>175</v>
      </c>
      <c r="D5504" t="s">
        <v>756</v>
      </c>
      <c r="E5504" t="s">
        <v>757</v>
      </c>
      <c r="F5504">
        <v>1</v>
      </c>
      <c r="G5504" t="s">
        <v>176</v>
      </c>
      <c r="H5504">
        <v>1</v>
      </c>
      <c r="I5504">
        <v>2</v>
      </c>
      <c r="J5504" s="10">
        <v>4</v>
      </c>
      <c r="K5504" s="10">
        <f>SUMIFS(F:F,D:D,DST_123_ÜRETİM_İHTİYAÇ_RAPORU_BURAK_YENI1309[[#This Row],[ALT_KOD]])-(SUMIFS(H:H,D:D,DST_123_ÜRETİM_İHTİYAÇ_RAPORU_BURAK_YENI1309[[#This Row],[ALT_KOD]])+AVERAGEIFS(I:I,D:D,DST_123_ÜRETİM_İHTİYAÇ_RAPORU_BURAK_YENI1309[[#This Row],[ALT_KOD]])+AVERAGEIFS(L:L,D:D,DST_123_ÜRETİM_İHTİYAÇ_RAPORU_BURAK_YENI1309[[#This Row],[ALT_KOD]]))</f>
        <v>0</v>
      </c>
      <c r="L5504">
        <v>2</v>
      </c>
      <c r="M5504">
        <f>IF((DST_123_ÜRETİM_İHTİYAÇ_RAPORU_BURAK_YENI1309[[#This Row],[SATINALMA]]*DST_123_ÜRETİM_İHTİYAÇ_RAPORU_BURAK_YENI1309[[#This Row],[BIRIM_FIYATLAR]])&lt;1,VALUE("0"),DST_123_ÜRETİM_İHTİYAÇ_RAPORU_BURAK_YENI1309[[#This Row],[SATINALMA]]*DST_123_ÜRETİM_İHTİYAÇ_RAPORU_BURAK_YENI1309[[#This Row],[BIRIM_FIYATLAR]])</f>
        <v>0</v>
      </c>
      <c r="N5504">
        <v>1667.14</v>
      </c>
      <c r="O5504" t="s">
        <v>632</v>
      </c>
      <c r="P5504">
        <v>1667.14</v>
      </c>
      <c r="Q5504" t="s">
        <v>177</v>
      </c>
    </row>
    <row r="5505" spans="1:17" x14ac:dyDescent="0.25">
      <c r="A5505" t="s">
        <v>1064</v>
      </c>
      <c r="B5505" t="s">
        <v>1055</v>
      </c>
      <c r="C5505" t="s">
        <v>175</v>
      </c>
      <c r="D5505" t="s">
        <v>844</v>
      </c>
      <c r="E5505" t="s">
        <v>845</v>
      </c>
      <c r="F5505">
        <v>4</v>
      </c>
      <c r="G5505" t="s">
        <v>176</v>
      </c>
      <c r="H5505">
        <v>4</v>
      </c>
      <c r="I5505">
        <v>36</v>
      </c>
      <c r="J5505" s="10">
        <v>26</v>
      </c>
      <c r="K5505" s="10">
        <f>SUMIFS(F:F,D:D,DST_123_ÜRETİM_İHTİYAÇ_RAPORU_BURAK_YENI1309[[#This Row],[ALT_KOD]])-(SUMIFS(H:H,D:D,DST_123_ÜRETİM_İHTİYAÇ_RAPORU_BURAK_YENI1309[[#This Row],[ALT_KOD]])+AVERAGEIFS(I:I,D:D,DST_123_ÜRETİM_İHTİYAÇ_RAPORU_BURAK_YENI1309[[#This Row],[ALT_KOD]])+AVERAGEIFS(L:L,D:D,DST_123_ÜRETİM_İHTİYAÇ_RAPORU_BURAK_YENI1309[[#This Row],[ALT_KOD]]))</f>
        <v>1</v>
      </c>
      <c r="L5505">
        <v>0</v>
      </c>
      <c r="M5505">
        <f>IF((DST_123_ÜRETİM_İHTİYAÇ_RAPORU_BURAK_YENI1309[[#This Row],[SATINALMA]]*DST_123_ÜRETİM_İHTİYAÇ_RAPORU_BURAK_YENI1309[[#This Row],[BIRIM_FIYATLAR]])&lt;1,VALUE("0"),DST_123_ÜRETİM_İHTİYAÇ_RAPORU_BURAK_YENI1309[[#This Row],[SATINALMA]]*DST_123_ÜRETİM_İHTİYAÇ_RAPORU_BURAK_YENI1309[[#This Row],[BIRIM_FIYATLAR]])</f>
        <v>348.7</v>
      </c>
      <c r="N5505">
        <v>348.7</v>
      </c>
      <c r="O5505" t="s">
        <v>636</v>
      </c>
      <c r="P5505">
        <v>1394.8</v>
      </c>
      <c r="Q5505" t="s">
        <v>177</v>
      </c>
    </row>
    <row r="5506" spans="1:17" x14ac:dyDescent="0.25">
      <c r="A5506" t="s">
        <v>1144</v>
      </c>
      <c r="B5506" t="s">
        <v>1145</v>
      </c>
      <c r="C5506" t="s">
        <v>175</v>
      </c>
      <c r="D5506" t="s">
        <v>277</v>
      </c>
      <c r="E5506" t="s">
        <v>316</v>
      </c>
      <c r="F5506">
        <v>1</v>
      </c>
      <c r="G5506" t="s">
        <v>176</v>
      </c>
      <c r="H5506">
        <v>1</v>
      </c>
      <c r="I5506">
        <v>27</v>
      </c>
      <c r="J5506" s="10">
        <v>4</v>
      </c>
      <c r="K5506" s="10">
        <f>SUMIFS(F:F,D:D,DST_123_ÜRETİM_İHTİYAÇ_RAPORU_BURAK_YENI1309[[#This Row],[ALT_KOD]])-(SUMIFS(H:H,D:D,DST_123_ÜRETİM_İHTİYAÇ_RAPORU_BURAK_YENI1309[[#This Row],[ALT_KOD]])+AVERAGEIFS(I:I,D:D,DST_123_ÜRETİM_İHTİYAÇ_RAPORU_BURAK_YENI1309[[#This Row],[ALT_KOD]])+AVERAGEIFS(L:L,D:D,DST_123_ÜRETİM_İHTİYAÇ_RAPORU_BURAK_YENI1309[[#This Row],[ALT_KOD]]))</f>
        <v>-20</v>
      </c>
      <c r="L5506">
        <v>0</v>
      </c>
      <c r="M5506">
        <f>IF((DST_123_ÜRETİM_İHTİYAÇ_RAPORU_BURAK_YENI1309[[#This Row],[SATINALMA]]*DST_123_ÜRETİM_İHTİYAÇ_RAPORU_BURAK_YENI1309[[#This Row],[BIRIM_FIYATLAR]])&lt;1,VALUE("0"),DST_123_ÜRETİM_İHTİYAÇ_RAPORU_BURAK_YENI1309[[#This Row],[SATINALMA]]*DST_123_ÜRETİM_İHTİYAÇ_RAPORU_BURAK_YENI1309[[#This Row],[BIRIM_FIYATLAR]])</f>
        <v>0</v>
      </c>
      <c r="N5506">
        <v>287.13</v>
      </c>
      <c r="O5506" t="s">
        <v>636</v>
      </c>
      <c r="P5506">
        <v>287.13</v>
      </c>
      <c r="Q5506" t="s">
        <v>178</v>
      </c>
    </row>
    <row r="5507" spans="1:17" x14ac:dyDescent="0.25">
      <c r="A5507" t="s">
        <v>1100</v>
      </c>
      <c r="B5507" t="s">
        <v>1058</v>
      </c>
      <c r="C5507" t="s">
        <v>175</v>
      </c>
      <c r="D5507" t="s">
        <v>904</v>
      </c>
      <c r="E5507" t="s">
        <v>905</v>
      </c>
      <c r="F5507">
        <v>2</v>
      </c>
      <c r="G5507" t="s">
        <v>176</v>
      </c>
      <c r="H5507">
        <v>2</v>
      </c>
      <c r="I5507">
        <v>3</v>
      </c>
      <c r="J5507" s="10">
        <v>6</v>
      </c>
      <c r="K5507" s="10">
        <f>SUMIFS(F:F,D:D,DST_123_ÜRETİM_İHTİYAÇ_RAPORU_BURAK_YENI1309[[#This Row],[ALT_KOD]])-(SUMIFS(H:H,D:D,DST_123_ÜRETİM_İHTİYAÇ_RAPORU_BURAK_YENI1309[[#This Row],[ALT_KOD]])+AVERAGEIFS(I:I,D:D,DST_123_ÜRETİM_İHTİYAÇ_RAPORU_BURAK_YENI1309[[#This Row],[ALT_KOD]])+AVERAGEIFS(L:L,D:D,DST_123_ÜRETİM_İHTİYAÇ_RAPORU_BURAK_YENI1309[[#This Row],[ALT_KOD]]))</f>
        <v>-3</v>
      </c>
      <c r="L5507">
        <v>0</v>
      </c>
      <c r="M5507">
        <f>IF((DST_123_ÜRETİM_İHTİYAÇ_RAPORU_BURAK_YENI1309[[#This Row],[SATINALMA]]*DST_123_ÜRETİM_İHTİYAÇ_RAPORU_BURAK_YENI1309[[#This Row],[BIRIM_FIYATLAR]])&lt;1,VALUE("0"),DST_123_ÜRETİM_İHTİYAÇ_RAPORU_BURAK_YENI1309[[#This Row],[SATINALMA]]*DST_123_ÜRETİM_İHTİYAÇ_RAPORU_BURAK_YENI1309[[#This Row],[BIRIM_FIYATLAR]])</f>
        <v>0</v>
      </c>
      <c r="N5507">
        <v>100</v>
      </c>
      <c r="O5507" t="s">
        <v>226</v>
      </c>
      <c r="P5507">
        <v>200</v>
      </c>
      <c r="Q5507" t="s">
        <v>180</v>
      </c>
    </row>
    <row r="5508" spans="1:17" x14ac:dyDescent="0.25">
      <c r="A5508" t="s">
        <v>1148</v>
      </c>
      <c r="B5508" t="s">
        <v>1056</v>
      </c>
      <c r="C5508" t="s">
        <v>175</v>
      </c>
      <c r="D5508" t="s">
        <v>98</v>
      </c>
      <c r="E5508" t="s">
        <v>248</v>
      </c>
      <c r="F5508">
        <v>5</v>
      </c>
      <c r="G5508" t="s">
        <v>176</v>
      </c>
      <c r="H5508">
        <v>0</v>
      </c>
      <c r="I5508">
        <v>230</v>
      </c>
      <c r="J5508" s="10">
        <v>72</v>
      </c>
      <c r="K5508" s="10">
        <f>SUMIFS(F:F,D:D,DST_123_ÜRETİM_İHTİYAÇ_RAPORU_BURAK_YENI1309[[#This Row],[ALT_KOD]])-(SUMIFS(H:H,D:D,DST_123_ÜRETİM_İHTİYAÇ_RAPORU_BURAK_YENI1309[[#This Row],[ALT_KOD]])+AVERAGEIFS(I:I,D:D,DST_123_ÜRETİM_İHTİYAÇ_RAPORU_BURAK_YENI1309[[#This Row],[ALT_KOD]])+AVERAGEIFS(L:L,D:D,DST_123_ÜRETİM_İHTİYAÇ_RAPORU_BURAK_YENI1309[[#This Row],[ALT_KOD]]))</f>
        <v>-172</v>
      </c>
      <c r="L5508">
        <v>0</v>
      </c>
      <c r="M5508">
        <f>IF((DST_123_ÜRETİM_İHTİYAÇ_RAPORU_BURAK_YENI1309[[#This Row],[SATINALMA]]*DST_123_ÜRETİM_İHTİYAÇ_RAPORU_BURAK_YENI1309[[#This Row],[BIRIM_FIYATLAR]])&lt;1,VALUE("0"),DST_123_ÜRETİM_İHTİYAÇ_RAPORU_BURAK_YENI1309[[#This Row],[SATINALMA]]*DST_123_ÜRETİM_İHTİYAÇ_RAPORU_BURAK_YENI1309[[#This Row],[BIRIM_FIYATLAR]])</f>
        <v>0</v>
      </c>
      <c r="N5508">
        <v>225</v>
      </c>
      <c r="O5508" t="s">
        <v>825</v>
      </c>
      <c r="P5508">
        <v>1125</v>
      </c>
      <c r="Q5508" t="s">
        <v>177</v>
      </c>
    </row>
    <row r="5509" spans="1:17" x14ac:dyDescent="0.25">
      <c r="A5509" t="s">
        <v>1099</v>
      </c>
      <c r="B5509" t="s">
        <v>1055</v>
      </c>
      <c r="C5509" t="s">
        <v>175</v>
      </c>
      <c r="D5509" t="s">
        <v>9</v>
      </c>
      <c r="E5509" t="s">
        <v>10</v>
      </c>
      <c r="F5509">
        <v>4</v>
      </c>
      <c r="G5509" t="s">
        <v>176</v>
      </c>
      <c r="H5509">
        <v>4</v>
      </c>
      <c r="I5509">
        <v>39</v>
      </c>
      <c r="J5509" s="10">
        <v>32</v>
      </c>
      <c r="K5509" s="10">
        <f>SUMIFS(F:F,D:D,DST_123_ÜRETİM_İHTİYAÇ_RAPORU_BURAK_YENI1309[[#This Row],[ALT_KOD]])-(SUMIFS(H:H,D:D,DST_123_ÜRETİM_İHTİYAÇ_RAPORU_BURAK_YENI1309[[#This Row],[ALT_KOD]])+AVERAGEIFS(I:I,D:D,DST_123_ÜRETİM_İHTİYAÇ_RAPORU_BURAK_YENI1309[[#This Row],[ALT_KOD]])+AVERAGEIFS(L:L,D:D,DST_123_ÜRETİM_İHTİYAÇ_RAPORU_BURAK_YENI1309[[#This Row],[ALT_KOD]]))</f>
        <v>-11</v>
      </c>
      <c r="L5509">
        <v>0</v>
      </c>
      <c r="M5509">
        <f>IF((DST_123_ÜRETİM_İHTİYAÇ_RAPORU_BURAK_YENI1309[[#This Row],[SATINALMA]]*DST_123_ÜRETİM_İHTİYAÇ_RAPORU_BURAK_YENI1309[[#This Row],[BIRIM_FIYATLAR]])&lt;1,VALUE("0"),DST_123_ÜRETİM_İHTİYAÇ_RAPORU_BURAK_YENI1309[[#This Row],[SATINALMA]]*DST_123_ÜRETİM_İHTİYAÇ_RAPORU_BURAK_YENI1309[[#This Row],[BIRIM_FIYATLAR]])</f>
        <v>0</v>
      </c>
      <c r="N5509">
        <v>73.349999999999994</v>
      </c>
      <c r="O5509" t="s">
        <v>227</v>
      </c>
      <c r="P5509">
        <v>293.39999999999998</v>
      </c>
      <c r="Q5509" t="s">
        <v>221</v>
      </c>
    </row>
    <row r="5510" spans="1:17" x14ac:dyDescent="0.25">
      <c r="A5510" t="s">
        <v>1100</v>
      </c>
      <c r="B5510" t="s">
        <v>1058</v>
      </c>
      <c r="C5510" t="s">
        <v>175</v>
      </c>
      <c r="D5510" t="s">
        <v>11</v>
      </c>
      <c r="E5510" t="s">
        <v>12</v>
      </c>
      <c r="F5510">
        <v>1</v>
      </c>
      <c r="G5510" t="s">
        <v>176</v>
      </c>
      <c r="H5510">
        <v>1</v>
      </c>
      <c r="I5510">
        <v>24</v>
      </c>
      <c r="J5510" s="10">
        <v>9</v>
      </c>
      <c r="K5510" s="10">
        <f>SUMIFS(F:F,D:D,DST_123_ÜRETİM_İHTİYAÇ_RAPORU_BURAK_YENI1309[[#This Row],[ALT_KOD]])-(SUMIFS(H:H,D:D,DST_123_ÜRETİM_İHTİYAÇ_RAPORU_BURAK_YENI1309[[#This Row],[ALT_KOD]])+AVERAGEIFS(I:I,D:D,DST_123_ÜRETİM_İHTİYAÇ_RAPORU_BURAK_YENI1309[[#This Row],[ALT_KOD]])+AVERAGEIFS(L:L,D:D,DST_123_ÜRETİM_İHTİYAÇ_RAPORU_BURAK_YENI1309[[#This Row],[ALT_KOD]]))</f>
        <v>-21</v>
      </c>
      <c r="L5510">
        <v>0</v>
      </c>
      <c r="M5510">
        <f>IF((DST_123_ÜRETİM_İHTİYAÇ_RAPORU_BURAK_YENI1309[[#This Row],[SATINALMA]]*DST_123_ÜRETİM_İHTİYAÇ_RAPORU_BURAK_YENI1309[[#This Row],[BIRIM_FIYATLAR]])&lt;1,VALUE("0"),DST_123_ÜRETİM_İHTİYAÇ_RAPORU_BURAK_YENI1309[[#This Row],[SATINALMA]]*DST_123_ÜRETİM_İHTİYAÇ_RAPORU_BURAK_YENI1309[[#This Row],[BIRIM_FIYATLAR]])</f>
        <v>0</v>
      </c>
      <c r="N5510">
        <v>368.07</v>
      </c>
      <c r="O5510" t="s">
        <v>589</v>
      </c>
      <c r="P5510">
        <v>368.07</v>
      </c>
      <c r="Q5510" t="s">
        <v>221</v>
      </c>
    </row>
    <row r="5511" spans="1:17" x14ac:dyDescent="0.25">
      <c r="A5511" t="s">
        <v>1144</v>
      </c>
      <c r="B5511" t="s">
        <v>1145</v>
      </c>
      <c r="C5511" t="s">
        <v>175</v>
      </c>
      <c r="D5511" t="s">
        <v>5</v>
      </c>
      <c r="E5511" t="s">
        <v>6</v>
      </c>
      <c r="F5511">
        <v>4.0999999999999996</v>
      </c>
      <c r="G5511" t="s">
        <v>179</v>
      </c>
      <c r="H5511">
        <v>0</v>
      </c>
      <c r="I5511">
        <v>100</v>
      </c>
      <c r="J5511" s="10">
        <v>2.0000000000000568</v>
      </c>
      <c r="K5511" s="10">
        <f>SUMIFS(F:F,D:D,DST_123_ÜRETİM_İHTİYAÇ_RAPORU_BURAK_YENI1309[[#This Row],[ALT_KOD]])-(SUMIFS(H:H,D:D,DST_123_ÜRETİM_İHTİYAÇ_RAPORU_BURAK_YENI1309[[#This Row],[ALT_KOD]])+AVERAGEIFS(I:I,D:D,DST_123_ÜRETİM_İHTİYAÇ_RAPORU_BURAK_YENI1309[[#This Row],[ALT_KOD]])+AVERAGEIFS(L:L,D:D,DST_123_ÜRETİM_İHTİYAÇ_RAPORU_BURAK_YENI1309[[#This Row],[ALT_KOD]]))</f>
        <v>-6.4000000000000057</v>
      </c>
      <c r="L5511">
        <v>0</v>
      </c>
      <c r="M5511">
        <f>IF((DST_123_ÜRETİM_İHTİYAÇ_RAPORU_BURAK_YENI1309[[#This Row],[SATINALMA]]*DST_123_ÜRETİM_İHTİYAÇ_RAPORU_BURAK_YENI1309[[#This Row],[BIRIM_FIYATLAR]])&lt;1,VALUE("0"),DST_123_ÜRETİM_İHTİYAÇ_RAPORU_BURAK_YENI1309[[#This Row],[SATINALMA]]*DST_123_ÜRETİM_İHTİYAÇ_RAPORU_BURAK_YENI1309[[#This Row],[BIRIM_FIYATLAR]])</f>
        <v>0</v>
      </c>
      <c r="N5511">
        <v>111</v>
      </c>
      <c r="O5511" t="s">
        <v>826</v>
      </c>
      <c r="P5511">
        <v>455.09999999999997</v>
      </c>
      <c r="Q5511" t="s">
        <v>221</v>
      </c>
    </row>
    <row r="5512" spans="1:17" x14ac:dyDescent="0.25">
      <c r="A5512" t="s">
        <v>1099</v>
      </c>
      <c r="B5512" t="s">
        <v>1055</v>
      </c>
      <c r="C5512" t="s">
        <v>175</v>
      </c>
      <c r="D5512" t="s">
        <v>783</v>
      </c>
      <c r="E5512" t="s">
        <v>784</v>
      </c>
      <c r="F5512">
        <v>1</v>
      </c>
      <c r="G5512" t="s">
        <v>176</v>
      </c>
      <c r="H5512">
        <v>1</v>
      </c>
      <c r="I5512">
        <v>15</v>
      </c>
      <c r="J5512" s="10">
        <v>11</v>
      </c>
      <c r="K5512" s="10">
        <f>SUMIFS(F:F,D:D,DST_123_ÜRETİM_İHTİYAÇ_RAPORU_BURAK_YENI1309[[#This Row],[ALT_KOD]])-(SUMIFS(H:H,D:D,DST_123_ÜRETİM_İHTİYAÇ_RAPORU_BURAK_YENI1309[[#This Row],[ALT_KOD]])+AVERAGEIFS(I:I,D:D,DST_123_ÜRETİM_İHTİYAÇ_RAPORU_BURAK_YENI1309[[#This Row],[ALT_KOD]])+AVERAGEIFS(L:L,D:D,DST_123_ÜRETİM_İHTİYAÇ_RAPORU_BURAK_YENI1309[[#This Row],[ALT_KOD]]))</f>
        <v>-4</v>
      </c>
      <c r="L5512">
        <v>0</v>
      </c>
      <c r="M5512">
        <f>IF((DST_123_ÜRETİM_İHTİYAÇ_RAPORU_BURAK_YENI1309[[#This Row],[SATINALMA]]*DST_123_ÜRETİM_İHTİYAÇ_RAPORU_BURAK_YENI1309[[#This Row],[BIRIM_FIYATLAR]])&lt;1,VALUE("0"),DST_123_ÜRETİM_İHTİYAÇ_RAPORU_BURAK_YENI1309[[#This Row],[SATINALMA]]*DST_123_ÜRETİM_İHTİYAÇ_RAPORU_BURAK_YENI1309[[#This Row],[BIRIM_FIYATLAR]])</f>
        <v>0</v>
      </c>
      <c r="N5512">
        <v>510</v>
      </c>
      <c r="O5512" t="s">
        <v>289</v>
      </c>
      <c r="P5512">
        <v>510</v>
      </c>
      <c r="Q5512" t="s">
        <v>178</v>
      </c>
    </row>
    <row r="5513" spans="1:17" x14ac:dyDescent="0.25">
      <c r="A5513" t="s">
        <v>1057</v>
      </c>
      <c r="B5513" t="s">
        <v>1058</v>
      </c>
      <c r="C5513" t="s">
        <v>175</v>
      </c>
      <c r="D5513" t="s">
        <v>256</v>
      </c>
      <c r="E5513" t="s">
        <v>257</v>
      </c>
      <c r="F5513">
        <v>1.1000000000000001</v>
      </c>
      <c r="G5513" t="s">
        <v>176</v>
      </c>
      <c r="H5513">
        <v>1.1000000000000001</v>
      </c>
      <c r="I5513">
        <v>14</v>
      </c>
      <c r="J5513" s="10">
        <v>6.8000000000000025</v>
      </c>
      <c r="K5513" s="10">
        <f>SUMIFS(F:F,D:D,DST_123_ÜRETİM_İHTİYAÇ_RAPORU_BURAK_YENI1309[[#This Row],[ALT_KOD]])-(SUMIFS(H:H,D:D,DST_123_ÜRETİM_İHTİYAÇ_RAPORU_BURAK_YENI1309[[#This Row],[ALT_KOD]])+AVERAGEIFS(I:I,D:D,DST_123_ÜRETİM_İHTİYAÇ_RAPORU_BURAK_YENI1309[[#This Row],[ALT_KOD]])+AVERAGEIFS(L:L,D:D,DST_123_ÜRETİM_İHTİYAÇ_RAPORU_BURAK_YENI1309[[#This Row],[ALT_KOD]]))</f>
        <v>7.7000000000000028</v>
      </c>
      <c r="L5513">
        <v>12</v>
      </c>
      <c r="M5513">
        <f>IF((DST_123_ÜRETİM_İHTİYAÇ_RAPORU_BURAK_YENI1309[[#This Row],[SATINALMA]]*DST_123_ÜRETİM_İHTİYAÇ_RAPORU_BURAK_YENI1309[[#This Row],[BIRIM_FIYATLAR]])&lt;1,VALUE("0"),DST_123_ÜRETİM_İHTİYAÇ_RAPORU_BURAK_YENI1309[[#This Row],[SATINALMA]]*DST_123_ÜRETİM_İHTİYAÇ_RAPORU_BURAK_YENI1309[[#This Row],[BIRIM_FIYATLAR]])</f>
        <v>2532.1450000000009</v>
      </c>
      <c r="N5513">
        <v>328.85</v>
      </c>
      <c r="O5513" t="s">
        <v>258</v>
      </c>
      <c r="P5513">
        <v>361.73500000000007</v>
      </c>
      <c r="Q5513" t="s">
        <v>183</v>
      </c>
    </row>
    <row r="5514" spans="1:17" x14ac:dyDescent="0.25">
      <c r="A5514" t="s">
        <v>1059</v>
      </c>
      <c r="B5514" t="s">
        <v>1058</v>
      </c>
      <c r="C5514" t="s">
        <v>175</v>
      </c>
      <c r="D5514" t="s">
        <v>256</v>
      </c>
      <c r="E5514" t="s">
        <v>257</v>
      </c>
      <c r="F5514">
        <v>1.1000000000000001</v>
      </c>
      <c r="G5514" t="s">
        <v>176</v>
      </c>
      <c r="H5514">
        <v>1.1000000000000001</v>
      </c>
      <c r="I5514">
        <v>14</v>
      </c>
      <c r="J5514" s="10">
        <v>6.8000000000000025</v>
      </c>
      <c r="K5514" s="10">
        <f>SUMIFS(F:F,D:D,DST_123_ÜRETİM_İHTİYAÇ_RAPORU_BURAK_YENI1309[[#This Row],[ALT_KOD]])-(SUMIFS(H:H,D:D,DST_123_ÜRETİM_İHTİYAÇ_RAPORU_BURAK_YENI1309[[#This Row],[ALT_KOD]])+AVERAGEIFS(I:I,D:D,DST_123_ÜRETİM_İHTİYAÇ_RAPORU_BURAK_YENI1309[[#This Row],[ALT_KOD]])+AVERAGEIFS(L:L,D:D,DST_123_ÜRETİM_İHTİYAÇ_RAPORU_BURAK_YENI1309[[#This Row],[ALT_KOD]]))</f>
        <v>7.7000000000000028</v>
      </c>
      <c r="L5514">
        <v>12</v>
      </c>
      <c r="M5514">
        <f>IF((DST_123_ÜRETİM_İHTİYAÇ_RAPORU_BURAK_YENI1309[[#This Row],[SATINALMA]]*DST_123_ÜRETİM_İHTİYAÇ_RAPORU_BURAK_YENI1309[[#This Row],[BIRIM_FIYATLAR]])&lt;1,VALUE("0"),DST_123_ÜRETİM_İHTİYAÇ_RAPORU_BURAK_YENI1309[[#This Row],[SATINALMA]]*DST_123_ÜRETİM_İHTİYAÇ_RAPORU_BURAK_YENI1309[[#This Row],[BIRIM_FIYATLAR]])</f>
        <v>2532.1450000000009</v>
      </c>
      <c r="N5514">
        <v>328.85</v>
      </c>
      <c r="O5514" t="s">
        <v>258</v>
      </c>
      <c r="P5514">
        <v>361.73500000000007</v>
      </c>
      <c r="Q5514" t="s">
        <v>183</v>
      </c>
    </row>
    <row r="5515" spans="1:17" x14ac:dyDescent="0.25">
      <c r="A5515" t="s">
        <v>1060</v>
      </c>
      <c r="B5515" t="s">
        <v>1061</v>
      </c>
      <c r="C5515" t="s">
        <v>175</v>
      </c>
      <c r="D5515" t="s">
        <v>11</v>
      </c>
      <c r="E5515" t="s">
        <v>12</v>
      </c>
      <c r="F5515">
        <v>1</v>
      </c>
      <c r="G5515" t="s">
        <v>176</v>
      </c>
      <c r="H5515">
        <v>1</v>
      </c>
      <c r="I5515">
        <v>24</v>
      </c>
      <c r="J5515" s="10">
        <v>9</v>
      </c>
      <c r="K5515" s="10">
        <f>SUMIFS(F:F,D:D,DST_123_ÜRETİM_İHTİYAÇ_RAPORU_BURAK_YENI1309[[#This Row],[ALT_KOD]])-(SUMIFS(H:H,D:D,DST_123_ÜRETİM_İHTİYAÇ_RAPORU_BURAK_YENI1309[[#This Row],[ALT_KOD]])+AVERAGEIFS(I:I,D:D,DST_123_ÜRETİM_İHTİYAÇ_RAPORU_BURAK_YENI1309[[#This Row],[ALT_KOD]])+AVERAGEIFS(L:L,D:D,DST_123_ÜRETİM_İHTİYAÇ_RAPORU_BURAK_YENI1309[[#This Row],[ALT_KOD]]))</f>
        <v>-21</v>
      </c>
      <c r="L5515">
        <v>0</v>
      </c>
      <c r="M5515">
        <f>IF((DST_123_ÜRETİM_İHTİYAÇ_RAPORU_BURAK_YENI1309[[#This Row],[SATINALMA]]*DST_123_ÜRETİM_İHTİYAÇ_RAPORU_BURAK_YENI1309[[#This Row],[BIRIM_FIYATLAR]])&lt;1,VALUE("0"),DST_123_ÜRETİM_İHTİYAÇ_RAPORU_BURAK_YENI1309[[#This Row],[SATINALMA]]*DST_123_ÜRETİM_İHTİYAÇ_RAPORU_BURAK_YENI1309[[#This Row],[BIRIM_FIYATLAR]])</f>
        <v>0</v>
      </c>
      <c r="N5515">
        <v>368.07</v>
      </c>
      <c r="O5515" t="s">
        <v>589</v>
      </c>
      <c r="P5515">
        <v>368.07</v>
      </c>
      <c r="Q5515" t="s">
        <v>221</v>
      </c>
    </row>
    <row r="5516" spans="1:17" x14ac:dyDescent="0.25">
      <c r="A5516" t="s">
        <v>1097</v>
      </c>
      <c r="B5516" t="s">
        <v>1055</v>
      </c>
      <c r="C5516" t="s">
        <v>175</v>
      </c>
      <c r="D5516" t="s">
        <v>46</v>
      </c>
      <c r="E5516" t="s">
        <v>47</v>
      </c>
      <c r="F5516">
        <v>4</v>
      </c>
      <c r="G5516" t="s">
        <v>176</v>
      </c>
      <c r="H5516">
        <v>4</v>
      </c>
      <c r="I5516">
        <v>75</v>
      </c>
      <c r="J5516" s="10">
        <v>60</v>
      </c>
      <c r="K5516" s="10">
        <f>SUMIFS(F:F,D:D,DST_123_ÜRETİM_İHTİYAÇ_RAPORU_BURAK_YENI1309[[#This Row],[ALT_KOD]])-(SUMIFS(H:H,D:D,DST_123_ÜRETİM_İHTİYAÇ_RAPORU_BURAK_YENI1309[[#This Row],[ALT_KOD]])+AVERAGEIFS(I:I,D:D,DST_123_ÜRETİM_İHTİYAÇ_RAPORU_BURAK_YENI1309[[#This Row],[ALT_KOD]])+AVERAGEIFS(L:L,D:D,DST_123_ÜRETİM_İHTİYAÇ_RAPORU_BURAK_YENI1309[[#This Row],[ALT_KOD]]))</f>
        <v>-31</v>
      </c>
      <c r="L5516">
        <v>0</v>
      </c>
      <c r="M5516">
        <f>IF((DST_123_ÜRETİM_İHTİYAÇ_RAPORU_BURAK_YENI1309[[#This Row],[SATINALMA]]*DST_123_ÜRETİM_İHTİYAÇ_RAPORU_BURAK_YENI1309[[#This Row],[BIRIM_FIYATLAR]])&lt;1,VALUE("0"),DST_123_ÜRETİM_İHTİYAÇ_RAPORU_BURAK_YENI1309[[#This Row],[SATINALMA]]*DST_123_ÜRETİM_İHTİYAÇ_RAPORU_BURAK_YENI1309[[#This Row],[BIRIM_FIYATLAR]])</f>
        <v>0</v>
      </c>
      <c r="N5516">
        <v>170</v>
      </c>
      <c r="O5516" t="s">
        <v>245</v>
      </c>
      <c r="P5516">
        <v>680</v>
      </c>
      <c r="Q5516" t="s">
        <v>180</v>
      </c>
    </row>
    <row r="5517" spans="1:17" x14ac:dyDescent="0.25">
      <c r="A5517" t="s">
        <v>1097</v>
      </c>
      <c r="B5517" t="s">
        <v>1055</v>
      </c>
      <c r="C5517" t="s">
        <v>175</v>
      </c>
      <c r="D5517" t="s">
        <v>740</v>
      </c>
      <c r="E5517" t="s">
        <v>741</v>
      </c>
      <c r="F5517">
        <v>1</v>
      </c>
      <c r="G5517" t="s">
        <v>176</v>
      </c>
      <c r="H5517">
        <v>1</v>
      </c>
      <c r="I5517">
        <v>17</v>
      </c>
      <c r="J5517" s="10">
        <v>17</v>
      </c>
      <c r="K5517" s="10">
        <f>SUMIFS(F:F,D:D,DST_123_ÜRETİM_İHTİYAÇ_RAPORU_BURAK_YENI1309[[#This Row],[ALT_KOD]])-(SUMIFS(H:H,D:D,DST_123_ÜRETİM_İHTİYAÇ_RAPORU_BURAK_YENI1309[[#This Row],[ALT_KOD]])+AVERAGEIFS(I:I,D:D,DST_123_ÜRETİM_İHTİYAÇ_RAPORU_BURAK_YENI1309[[#This Row],[ALT_KOD]])+AVERAGEIFS(L:L,D:D,DST_123_ÜRETİM_İHTİYAÇ_RAPORU_BURAK_YENI1309[[#This Row],[ALT_KOD]]))</f>
        <v>-6</v>
      </c>
      <c r="L5517">
        <v>0</v>
      </c>
      <c r="M5517">
        <f>IF((DST_123_ÜRETİM_İHTİYAÇ_RAPORU_BURAK_YENI1309[[#This Row],[SATINALMA]]*DST_123_ÜRETİM_İHTİYAÇ_RAPORU_BURAK_YENI1309[[#This Row],[BIRIM_FIYATLAR]])&lt;1,VALUE("0"),DST_123_ÜRETİM_İHTİYAÇ_RAPORU_BURAK_YENI1309[[#This Row],[SATINALMA]]*DST_123_ÜRETİM_İHTİYAÇ_RAPORU_BURAK_YENI1309[[#This Row],[BIRIM_FIYATLAR]])</f>
        <v>0</v>
      </c>
      <c r="N5517">
        <v>41.67</v>
      </c>
      <c r="O5517" t="s">
        <v>667</v>
      </c>
      <c r="P5517">
        <v>41.67</v>
      </c>
      <c r="Q5517" t="s">
        <v>177</v>
      </c>
    </row>
    <row r="5518" spans="1:17" x14ac:dyDescent="0.25">
      <c r="A5518" t="s">
        <v>1059</v>
      </c>
      <c r="B5518" t="s">
        <v>1058</v>
      </c>
      <c r="C5518" t="s">
        <v>175</v>
      </c>
      <c r="D5518" t="s">
        <v>40</v>
      </c>
      <c r="E5518" t="s">
        <v>41</v>
      </c>
      <c r="F5518">
        <v>1</v>
      </c>
      <c r="G5518" t="s">
        <v>176</v>
      </c>
      <c r="H5518">
        <v>1</v>
      </c>
      <c r="I5518">
        <v>28</v>
      </c>
      <c r="J5518" s="10">
        <v>5</v>
      </c>
      <c r="K5518" s="10">
        <f>SUMIFS(F:F,D:D,DST_123_ÜRETİM_İHTİYAÇ_RAPORU_BURAK_YENI1309[[#This Row],[ALT_KOD]])-(SUMIFS(H:H,D:D,DST_123_ÜRETİM_İHTİYAÇ_RAPORU_BURAK_YENI1309[[#This Row],[ALT_KOD]])+AVERAGEIFS(I:I,D:D,DST_123_ÜRETİM_İHTİYAÇ_RAPORU_BURAK_YENI1309[[#This Row],[ALT_KOD]])+AVERAGEIFS(L:L,D:D,DST_123_ÜRETİM_İHTİYAÇ_RAPORU_BURAK_YENI1309[[#This Row],[ALT_KOD]]))</f>
        <v>-28</v>
      </c>
      <c r="L5518">
        <v>0</v>
      </c>
      <c r="M5518">
        <f>IF((DST_123_ÜRETİM_İHTİYAÇ_RAPORU_BURAK_YENI1309[[#This Row],[SATINALMA]]*DST_123_ÜRETİM_İHTİYAÇ_RAPORU_BURAK_YENI1309[[#This Row],[BIRIM_FIYATLAR]])&lt;1,VALUE("0"),DST_123_ÜRETİM_İHTİYAÇ_RAPORU_BURAK_YENI1309[[#This Row],[SATINALMA]]*DST_123_ÜRETİM_İHTİYAÇ_RAPORU_BURAK_YENI1309[[#This Row],[BIRIM_FIYATLAR]])</f>
        <v>0</v>
      </c>
      <c r="N5518">
        <v>90</v>
      </c>
      <c r="O5518" t="s">
        <v>226</v>
      </c>
      <c r="P5518">
        <v>90</v>
      </c>
      <c r="Q5518" t="s">
        <v>180</v>
      </c>
    </row>
    <row r="5519" spans="1:17" x14ac:dyDescent="0.25">
      <c r="A5519" t="s">
        <v>1060</v>
      </c>
      <c r="B5519" t="s">
        <v>1061</v>
      </c>
      <c r="C5519" t="s">
        <v>175</v>
      </c>
      <c r="D5519" t="s">
        <v>38</v>
      </c>
      <c r="E5519" t="s">
        <v>39</v>
      </c>
      <c r="F5519">
        <v>1</v>
      </c>
      <c r="G5519" t="s">
        <v>176</v>
      </c>
      <c r="H5519">
        <v>1</v>
      </c>
      <c r="I5519">
        <v>304</v>
      </c>
      <c r="J5519" s="10">
        <v>13</v>
      </c>
      <c r="K5519" s="10">
        <f>SUMIFS(F:F,D:D,DST_123_ÜRETİM_İHTİYAÇ_RAPORU_BURAK_YENI1309[[#This Row],[ALT_KOD]])-(SUMIFS(H:H,D:D,DST_123_ÜRETİM_İHTİYAÇ_RAPORU_BURAK_YENI1309[[#This Row],[ALT_KOD]])+AVERAGEIFS(I:I,D:D,DST_123_ÜRETİM_İHTİYAÇ_RAPORU_BURAK_YENI1309[[#This Row],[ALT_KOD]])+AVERAGEIFS(L:L,D:D,DST_123_ÜRETİM_İHTİYAÇ_RAPORU_BURAK_YENI1309[[#This Row],[ALT_KOD]]))</f>
        <v>-281</v>
      </c>
      <c r="L5519">
        <v>0</v>
      </c>
      <c r="M5519">
        <f>IF((DST_123_ÜRETİM_İHTİYAÇ_RAPORU_BURAK_YENI1309[[#This Row],[SATINALMA]]*DST_123_ÜRETİM_İHTİYAÇ_RAPORU_BURAK_YENI1309[[#This Row],[BIRIM_FIYATLAR]])&lt;1,VALUE("0"),DST_123_ÜRETİM_İHTİYAÇ_RAPORU_BURAK_YENI1309[[#This Row],[SATINALMA]]*DST_123_ÜRETİM_İHTİYAÇ_RAPORU_BURAK_YENI1309[[#This Row],[BIRIM_FIYATLAR]])</f>
        <v>0</v>
      </c>
      <c r="N5519">
        <v>210</v>
      </c>
      <c r="O5519" t="s">
        <v>220</v>
      </c>
      <c r="P5519">
        <v>210</v>
      </c>
      <c r="Q5519" t="s">
        <v>221</v>
      </c>
    </row>
    <row r="5520" spans="1:17" x14ac:dyDescent="0.25">
      <c r="A5520" t="s">
        <v>1100</v>
      </c>
      <c r="B5520" t="s">
        <v>1058</v>
      </c>
      <c r="C5520" t="s">
        <v>175</v>
      </c>
      <c r="D5520" t="s">
        <v>1107</v>
      </c>
      <c r="E5520" t="s">
        <v>1108</v>
      </c>
      <c r="F5520">
        <v>6</v>
      </c>
      <c r="G5520" t="s">
        <v>182</v>
      </c>
      <c r="H5520">
        <v>6</v>
      </c>
      <c r="I5520">
        <v>0</v>
      </c>
      <c r="J5520" s="10">
        <v>3.0350000000000001</v>
      </c>
      <c r="K5520" s="10">
        <f>SUMIFS(F:F,D:D,DST_123_ÜRETİM_İHTİYAÇ_RAPORU_BURAK_YENI1309[[#This Row],[ALT_KOD]])-(SUMIFS(H:H,D:D,DST_123_ÜRETİM_İHTİYAÇ_RAPORU_BURAK_YENI1309[[#This Row],[ALT_KOD]])+AVERAGEIFS(I:I,D:D,DST_123_ÜRETİM_İHTİYAÇ_RAPORU_BURAK_YENI1309[[#This Row],[ALT_KOD]])+AVERAGEIFS(L:L,D:D,DST_123_ÜRETİM_İHTİYAÇ_RAPORU_BURAK_YENI1309[[#This Row],[ALT_KOD]]))</f>
        <v>0</v>
      </c>
      <c r="L5520">
        <v>0</v>
      </c>
      <c r="M5520">
        <f>IF((DST_123_ÜRETİM_İHTİYAÇ_RAPORU_BURAK_YENI1309[[#This Row],[SATINALMA]]*DST_123_ÜRETİM_İHTİYAÇ_RAPORU_BURAK_YENI1309[[#This Row],[BIRIM_FIYATLAR]])&lt;1,VALUE("0"),DST_123_ÜRETİM_İHTİYAÇ_RAPORU_BURAK_YENI1309[[#This Row],[SATINALMA]]*DST_123_ÜRETİM_İHTİYAÇ_RAPORU_BURAK_YENI1309[[#This Row],[BIRIM_FIYATLAR]])</f>
        <v>0</v>
      </c>
      <c r="N5520">
        <v>202.09</v>
      </c>
      <c r="O5520" t="s">
        <v>223</v>
      </c>
      <c r="P5520">
        <v>1212.54</v>
      </c>
      <c r="Q5520" t="s">
        <v>181</v>
      </c>
    </row>
    <row r="5521" spans="1:17" x14ac:dyDescent="0.25">
      <c r="A5521" t="s">
        <v>1099</v>
      </c>
      <c r="B5521" t="s">
        <v>1055</v>
      </c>
      <c r="C5521" t="s">
        <v>175</v>
      </c>
      <c r="D5521" t="s">
        <v>450</v>
      </c>
      <c r="E5521" t="s">
        <v>624</v>
      </c>
      <c r="F5521">
        <v>2</v>
      </c>
      <c r="G5521" t="s">
        <v>176</v>
      </c>
      <c r="H5521">
        <v>2</v>
      </c>
      <c r="I5521">
        <v>6</v>
      </c>
      <c r="J5521" s="10">
        <v>24</v>
      </c>
      <c r="K5521" s="10">
        <f>SUMIFS(F:F,D:D,DST_123_ÜRETİM_İHTİYAÇ_RAPORU_BURAK_YENI1309[[#This Row],[ALT_KOD]])-(SUMIFS(H:H,D:D,DST_123_ÜRETİM_İHTİYAÇ_RAPORU_BURAK_YENI1309[[#This Row],[ALT_KOD]])+AVERAGEIFS(I:I,D:D,DST_123_ÜRETİM_İHTİYAÇ_RAPORU_BURAK_YENI1309[[#This Row],[ALT_KOD]])+AVERAGEIFS(L:L,D:D,DST_123_ÜRETİM_İHTİYAÇ_RAPORU_BURAK_YENI1309[[#This Row],[ALT_KOD]]))</f>
        <v>10</v>
      </c>
      <c r="L5521">
        <v>0</v>
      </c>
      <c r="M5521">
        <f>IF((DST_123_ÜRETİM_İHTİYAÇ_RAPORU_BURAK_YENI1309[[#This Row],[SATINALMA]]*DST_123_ÜRETİM_İHTİYAÇ_RAPORU_BURAK_YENI1309[[#This Row],[BIRIM_FIYATLAR]])&lt;1,VALUE("0"),DST_123_ÜRETİM_İHTİYAÇ_RAPORU_BURAK_YENI1309[[#This Row],[SATINALMA]]*DST_123_ÜRETİM_İHTİYAÇ_RAPORU_BURAK_YENI1309[[#This Row],[BIRIM_FIYATLAR]])</f>
        <v>149462.5</v>
      </c>
      <c r="N5521">
        <v>14946.25</v>
      </c>
      <c r="O5521" t="s">
        <v>625</v>
      </c>
      <c r="P5521">
        <v>29892.5</v>
      </c>
      <c r="Q5521" t="s">
        <v>178</v>
      </c>
    </row>
    <row r="5522" spans="1:17" x14ac:dyDescent="0.25">
      <c r="A5522" t="s">
        <v>1097</v>
      </c>
      <c r="B5522" t="s">
        <v>1055</v>
      </c>
      <c r="C5522" t="s">
        <v>175</v>
      </c>
      <c r="D5522" t="s">
        <v>426</v>
      </c>
      <c r="E5522" t="s">
        <v>427</v>
      </c>
      <c r="F5522">
        <v>1</v>
      </c>
      <c r="G5522" t="s">
        <v>176</v>
      </c>
      <c r="H5522">
        <v>1</v>
      </c>
      <c r="I5522">
        <v>12</v>
      </c>
      <c r="J5522" s="10">
        <v>9</v>
      </c>
      <c r="K5522" s="10">
        <f>SUMIFS(F:F,D:D,DST_123_ÜRETİM_İHTİYAÇ_RAPORU_BURAK_YENI1309[[#This Row],[ALT_KOD]])-(SUMIFS(H:H,D:D,DST_123_ÜRETİM_İHTİYAÇ_RAPORU_BURAK_YENI1309[[#This Row],[ALT_KOD]])+AVERAGEIFS(I:I,D:D,DST_123_ÜRETİM_İHTİYAÇ_RAPORU_BURAK_YENI1309[[#This Row],[ALT_KOD]])+AVERAGEIFS(L:L,D:D,DST_123_ÜRETİM_İHTİYAÇ_RAPORU_BURAK_YENI1309[[#This Row],[ALT_KOD]]))</f>
        <v>0</v>
      </c>
      <c r="L5522">
        <v>0</v>
      </c>
      <c r="M5522">
        <f>IF((DST_123_ÜRETİM_İHTİYAÇ_RAPORU_BURAK_YENI1309[[#This Row],[SATINALMA]]*DST_123_ÜRETİM_İHTİYAÇ_RAPORU_BURAK_YENI1309[[#This Row],[BIRIM_FIYATLAR]])&lt;1,VALUE("0"),DST_123_ÜRETİM_İHTİYAÇ_RAPORU_BURAK_YENI1309[[#This Row],[SATINALMA]]*DST_123_ÜRETİM_İHTİYAÇ_RAPORU_BURAK_YENI1309[[#This Row],[BIRIM_FIYATLAR]])</f>
        <v>0</v>
      </c>
      <c r="N5522">
        <v>266.72000000000003</v>
      </c>
      <c r="O5522" t="s">
        <v>227</v>
      </c>
      <c r="P5522">
        <v>266.72000000000003</v>
      </c>
      <c r="Q5522" t="s">
        <v>221</v>
      </c>
    </row>
    <row r="5523" spans="1:17" x14ac:dyDescent="0.25">
      <c r="A5523" t="s">
        <v>1057</v>
      </c>
      <c r="B5523" t="s">
        <v>1058</v>
      </c>
      <c r="C5523" t="s">
        <v>175</v>
      </c>
      <c r="D5523" t="s">
        <v>40</v>
      </c>
      <c r="E5523" t="s">
        <v>41</v>
      </c>
      <c r="F5523">
        <v>1</v>
      </c>
      <c r="G5523" t="s">
        <v>176</v>
      </c>
      <c r="H5523">
        <v>1</v>
      </c>
      <c r="I5523">
        <v>28</v>
      </c>
      <c r="J5523" s="10">
        <v>5</v>
      </c>
      <c r="K5523" s="10">
        <f>SUMIFS(F:F,D:D,DST_123_ÜRETİM_İHTİYAÇ_RAPORU_BURAK_YENI1309[[#This Row],[ALT_KOD]])-(SUMIFS(H:H,D:D,DST_123_ÜRETİM_İHTİYAÇ_RAPORU_BURAK_YENI1309[[#This Row],[ALT_KOD]])+AVERAGEIFS(I:I,D:D,DST_123_ÜRETİM_İHTİYAÇ_RAPORU_BURAK_YENI1309[[#This Row],[ALT_KOD]])+AVERAGEIFS(L:L,D:D,DST_123_ÜRETİM_İHTİYAÇ_RAPORU_BURAK_YENI1309[[#This Row],[ALT_KOD]]))</f>
        <v>-28</v>
      </c>
      <c r="L5523">
        <v>0</v>
      </c>
      <c r="M5523">
        <f>IF((DST_123_ÜRETİM_İHTİYAÇ_RAPORU_BURAK_YENI1309[[#This Row],[SATINALMA]]*DST_123_ÜRETİM_İHTİYAÇ_RAPORU_BURAK_YENI1309[[#This Row],[BIRIM_FIYATLAR]])&lt;1,VALUE("0"),DST_123_ÜRETİM_İHTİYAÇ_RAPORU_BURAK_YENI1309[[#This Row],[SATINALMA]]*DST_123_ÜRETİM_İHTİYAÇ_RAPORU_BURAK_YENI1309[[#This Row],[BIRIM_FIYATLAR]])</f>
        <v>0</v>
      </c>
      <c r="N5523">
        <v>90</v>
      </c>
      <c r="O5523" t="s">
        <v>226</v>
      </c>
      <c r="P5523">
        <v>90</v>
      </c>
      <c r="Q5523" t="s">
        <v>180</v>
      </c>
    </row>
    <row r="5524" spans="1:17" x14ac:dyDescent="0.25">
      <c r="A5524" t="s">
        <v>1101</v>
      </c>
      <c r="B5524" t="s">
        <v>1102</v>
      </c>
      <c r="C5524" t="s">
        <v>175</v>
      </c>
      <c r="D5524" t="s">
        <v>46</v>
      </c>
      <c r="E5524" t="s">
        <v>47</v>
      </c>
      <c r="F5524">
        <v>4</v>
      </c>
      <c r="G5524" t="s">
        <v>176</v>
      </c>
      <c r="H5524">
        <v>4</v>
      </c>
      <c r="I5524">
        <v>75</v>
      </c>
      <c r="J5524" s="10">
        <v>60</v>
      </c>
      <c r="K5524" s="10">
        <f>SUMIFS(F:F,D:D,DST_123_ÜRETİM_İHTİYAÇ_RAPORU_BURAK_YENI1309[[#This Row],[ALT_KOD]])-(SUMIFS(H:H,D:D,DST_123_ÜRETİM_İHTİYAÇ_RAPORU_BURAK_YENI1309[[#This Row],[ALT_KOD]])+AVERAGEIFS(I:I,D:D,DST_123_ÜRETİM_İHTİYAÇ_RAPORU_BURAK_YENI1309[[#This Row],[ALT_KOD]])+AVERAGEIFS(L:L,D:D,DST_123_ÜRETİM_İHTİYAÇ_RAPORU_BURAK_YENI1309[[#This Row],[ALT_KOD]]))</f>
        <v>-31</v>
      </c>
      <c r="L5524">
        <v>0</v>
      </c>
      <c r="M5524">
        <f>IF((DST_123_ÜRETİM_İHTİYAÇ_RAPORU_BURAK_YENI1309[[#This Row],[SATINALMA]]*DST_123_ÜRETİM_İHTİYAÇ_RAPORU_BURAK_YENI1309[[#This Row],[BIRIM_FIYATLAR]])&lt;1,VALUE("0"),DST_123_ÜRETİM_İHTİYAÇ_RAPORU_BURAK_YENI1309[[#This Row],[SATINALMA]]*DST_123_ÜRETİM_İHTİYAÇ_RAPORU_BURAK_YENI1309[[#This Row],[BIRIM_FIYATLAR]])</f>
        <v>0</v>
      </c>
      <c r="N5524">
        <v>170</v>
      </c>
      <c r="O5524" t="s">
        <v>245</v>
      </c>
      <c r="P5524">
        <v>680</v>
      </c>
      <c r="Q5524" t="s">
        <v>180</v>
      </c>
    </row>
    <row r="5525" spans="1:17" x14ac:dyDescent="0.25">
      <c r="A5525" t="s">
        <v>1100</v>
      </c>
      <c r="B5525" t="s">
        <v>1058</v>
      </c>
      <c r="C5525" t="s">
        <v>175</v>
      </c>
      <c r="D5525" t="s">
        <v>722</v>
      </c>
      <c r="E5525" t="s">
        <v>723</v>
      </c>
      <c r="F5525">
        <v>4</v>
      </c>
      <c r="G5525" t="s">
        <v>176</v>
      </c>
      <c r="H5525">
        <v>4</v>
      </c>
      <c r="I5525">
        <v>1270</v>
      </c>
      <c r="J5525" s="10">
        <v>698</v>
      </c>
      <c r="K5525" s="10">
        <f>SUMIFS(F:F,D:D,DST_123_ÜRETİM_İHTİYAÇ_RAPORU_BURAK_YENI1309[[#This Row],[ALT_KOD]])-(SUMIFS(H:H,D:D,DST_123_ÜRETİM_İHTİYAÇ_RAPORU_BURAK_YENI1309[[#This Row],[ALT_KOD]])+AVERAGEIFS(I:I,D:D,DST_123_ÜRETİM_İHTİYAÇ_RAPORU_BURAK_YENI1309[[#This Row],[ALT_KOD]])+AVERAGEIFS(L:L,D:D,DST_123_ÜRETİM_İHTİYAÇ_RAPORU_BURAK_YENI1309[[#This Row],[ALT_KOD]]))</f>
        <v>-1174</v>
      </c>
      <c r="L5525">
        <v>0</v>
      </c>
      <c r="M5525">
        <f>IF((DST_123_ÜRETİM_İHTİYAÇ_RAPORU_BURAK_YENI1309[[#This Row],[SATINALMA]]*DST_123_ÜRETİM_İHTİYAÇ_RAPORU_BURAK_YENI1309[[#This Row],[BIRIM_FIYATLAR]])&lt;1,VALUE("0"),DST_123_ÜRETİM_İHTİYAÇ_RAPORU_BURAK_YENI1309[[#This Row],[SATINALMA]]*DST_123_ÜRETİM_İHTİYAÇ_RAPORU_BURAK_YENI1309[[#This Row],[BIRIM_FIYATLAR]])</f>
        <v>0</v>
      </c>
      <c r="N5525">
        <v>0.55000000000000004</v>
      </c>
      <c r="O5525" t="s">
        <v>240</v>
      </c>
      <c r="P5525">
        <v>2.2000000000000002</v>
      </c>
      <c r="Q5525" t="s">
        <v>180</v>
      </c>
    </row>
    <row r="5526" spans="1:17" x14ac:dyDescent="0.25">
      <c r="A5526" t="s">
        <v>1099</v>
      </c>
      <c r="B5526" t="s">
        <v>1055</v>
      </c>
      <c r="C5526" t="s">
        <v>175</v>
      </c>
      <c r="D5526" t="s">
        <v>426</v>
      </c>
      <c r="E5526" t="s">
        <v>427</v>
      </c>
      <c r="F5526">
        <v>1</v>
      </c>
      <c r="G5526" t="s">
        <v>176</v>
      </c>
      <c r="H5526">
        <v>0</v>
      </c>
      <c r="I5526">
        <v>12</v>
      </c>
      <c r="J5526" s="10">
        <v>9</v>
      </c>
      <c r="K5526" s="10">
        <f>SUMIFS(F:F,D:D,DST_123_ÜRETİM_İHTİYAÇ_RAPORU_BURAK_YENI1309[[#This Row],[ALT_KOD]])-(SUMIFS(H:H,D:D,DST_123_ÜRETİM_İHTİYAÇ_RAPORU_BURAK_YENI1309[[#This Row],[ALT_KOD]])+AVERAGEIFS(I:I,D:D,DST_123_ÜRETİM_İHTİYAÇ_RAPORU_BURAK_YENI1309[[#This Row],[ALT_KOD]])+AVERAGEIFS(L:L,D:D,DST_123_ÜRETİM_İHTİYAÇ_RAPORU_BURAK_YENI1309[[#This Row],[ALT_KOD]]))</f>
        <v>0</v>
      </c>
      <c r="L5526">
        <v>0</v>
      </c>
      <c r="M5526">
        <f>IF((DST_123_ÜRETİM_İHTİYAÇ_RAPORU_BURAK_YENI1309[[#This Row],[SATINALMA]]*DST_123_ÜRETİM_İHTİYAÇ_RAPORU_BURAK_YENI1309[[#This Row],[BIRIM_FIYATLAR]])&lt;1,VALUE("0"),DST_123_ÜRETİM_İHTİYAÇ_RAPORU_BURAK_YENI1309[[#This Row],[SATINALMA]]*DST_123_ÜRETİM_İHTİYAÇ_RAPORU_BURAK_YENI1309[[#This Row],[BIRIM_FIYATLAR]])</f>
        <v>0</v>
      </c>
      <c r="N5526">
        <v>266.72000000000003</v>
      </c>
      <c r="O5526" t="s">
        <v>227</v>
      </c>
      <c r="P5526">
        <v>266.72000000000003</v>
      </c>
      <c r="Q5526" t="s">
        <v>221</v>
      </c>
    </row>
    <row r="5527" spans="1:17" x14ac:dyDescent="0.25">
      <c r="A5527" t="s">
        <v>1059</v>
      </c>
      <c r="B5527" t="s">
        <v>1058</v>
      </c>
      <c r="C5527" t="s">
        <v>175</v>
      </c>
      <c r="D5527" t="s">
        <v>642</v>
      </c>
      <c r="E5527" t="s">
        <v>643</v>
      </c>
      <c r="F5527">
        <v>5</v>
      </c>
      <c r="G5527" t="s">
        <v>176</v>
      </c>
      <c r="H5527">
        <v>5</v>
      </c>
      <c r="I5527">
        <v>19</v>
      </c>
      <c r="J5527" s="10">
        <v>19</v>
      </c>
      <c r="K5527" s="10">
        <f>SUMIFS(F:F,D:D,DST_123_ÜRETİM_İHTİYAÇ_RAPORU_BURAK_YENI1309[[#This Row],[ALT_KOD]])-(SUMIFS(H:H,D:D,DST_123_ÜRETİM_İHTİYAÇ_RAPORU_BURAK_YENI1309[[#This Row],[ALT_KOD]])+AVERAGEIFS(I:I,D:D,DST_123_ÜRETİM_İHTİYAÇ_RAPORU_BURAK_YENI1309[[#This Row],[ALT_KOD]])+AVERAGEIFS(L:L,D:D,DST_123_ÜRETİM_İHTİYAÇ_RAPORU_BURAK_YENI1309[[#This Row],[ALT_KOD]]))</f>
        <v>14</v>
      </c>
      <c r="L5527">
        <v>0</v>
      </c>
      <c r="M5527">
        <f>IF((DST_123_ÜRETİM_İHTİYAÇ_RAPORU_BURAK_YENI1309[[#This Row],[SATINALMA]]*DST_123_ÜRETİM_İHTİYAÇ_RAPORU_BURAK_YENI1309[[#This Row],[BIRIM_FIYATLAR]])&lt;1,VALUE("0"),DST_123_ÜRETİM_İHTİYAÇ_RAPORU_BURAK_YENI1309[[#This Row],[SATINALMA]]*DST_123_ÜRETİM_İHTİYAÇ_RAPORU_BURAK_YENI1309[[#This Row],[BIRIM_FIYATLAR]])</f>
        <v>44207.66</v>
      </c>
      <c r="N5527">
        <v>3157.69</v>
      </c>
      <c r="O5527" t="s">
        <v>647</v>
      </c>
      <c r="P5527">
        <v>15788.45</v>
      </c>
      <c r="Q5527" t="s">
        <v>177</v>
      </c>
    </row>
    <row r="5528" spans="1:17" x14ac:dyDescent="0.25">
      <c r="A5528" t="s">
        <v>1057</v>
      </c>
      <c r="B5528" t="s">
        <v>1058</v>
      </c>
      <c r="C5528" t="s">
        <v>175</v>
      </c>
      <c r="D5528" t="s">
        <v>46</v>
      </c>
      <c r="E5528" t="s">
        <v>47</v>
      </c>
      <c r="F5528">
        <v>4</v>
      </c>
      <c r="G5528" t="s">
        <v>176</v>
      </c>
      <c r="H5528">
        <v>4</v>
      </c>
      <c r="I5528">
        <v>75</v>
      </c>
      <c r="J5528" s="10">
        <v>60</v>
      </c>
      <c r="K5528" s="10">
        <f>SUMIFS(F:F,D:D,DST_123_ÜRETİM_İHTİYAÇ_RAPORU_BURAK_YENI1309[[#This Row],[ALT_KOD]])-(SUMIFS(H:H,D:D,DST_123_ÜRETİM_İHTİYAÇ_RAPORU_BURAK_YENI1309[[#This Row],[ALT_KOD]])+AVERAGEIFS(I:I,D:D,DST_123_ÜRETİM_İHTİYAÇ_RAPORU_BURAK_YENI1309[[#This Row],[ALT_KOD]])+AVERAGEIFS(L:L,D:D,DST_123_ÜRETİM_İHTİYAÇ_RAPORU_BURAK_YENI1309[[#This Row],[ALT_KOD]]))</f>
        <v>-31</v>
      </c>
      <c r="L5528">
        <v>0</v>
      </c>
      <c r="M5528">
        <f>IF((DST_123_ÜRETİM_İHTİYAÇ_RAPORU_BURAK_YENI1309[[#This Row],[SATINALMA]]*DST_123_ÜRETİM_İHTİYAÇ_RAPORU_BURAK_YENI1309[[#This Row],[BIRIM_FIYATLAR]])&lt;1,VALUE("0"),DST_123_ÜRETİM_İHTİYAÇ_RAPORU_BURAK_YENI1309[[#This Row],[SATINALMA]]*DST_123_ÜRETİM_İHTİYAÇ_RAPORU_BURAK_YENI1309[[#This Row],[BIRIM_FIYATLAR]])</f>
        <v>0</v>
      </c>
      <c r="N5528">
        <v>170</v>
      </c>
      <c r="O5528" t="s">
        <v>245</v>
      </c>
      <c r="P5528">
        <v>680</v>
      </c>
      <c r="Q5528" t="s">
        <v>180</v>
      </c>
    </row>
    <row r="5529" spans="1:17" x14ac:dyDescent="0.25">
      <c r="A5529" t="s">
        <v>1064</v>
      </c>
      <c r="B5529" t="s">
        <v>1055</v>
      </c>
      <c r="C5529" t="s">
        <v>175</v>
      </c>
      <c r="D5529" t="s">
        <v>443</v>
      </c>
      <c r="E5529" t="s">
        <v>444</v>
      </c>
      <c r="F5529">
        <v>1</v>
      </c>
      <c r="G5529" t="s">
        <v>176</v>
      </c>
      <c r="H5529">
        <v>1</v>
      </c>
      <c r="I5529">
        <v>25</v>
      </c>
      <c r="J5529" s="10">
        <v>5</v>
      </c>
      <c r="K5529" s="10">
        <f>SUMIFS(F:F,D:D,DST_123_ÜRETİM_İHTİYAÇ_RAPORU_BURAK_YENI1309[[#This Row],[ALT_KOD]])-(SUMIFS(H:H,D:D,DST_123_ÜRETİM_İHTİYAÇ_RAPORU_BURAK_YENI1309[[#This Row],[ALT_KOD]])+AVERAGEIFS(I:I,D:D,DST_123_ÜRETİM_İHTİYAÇ_RAPORU_BURAK_YENI1309[[#This Row],[ALT_KOD]])+AVERAGEIFS(L:L,D:D,DST_123_ÜRETİM_İHTİYAÇ_RAPORU_BURAK_YENI1309[[#This Row],[ALT_KOD]]))</f>
        <v>-13</v>
      </c>
      <c r="L5529">
        <v>0</v>
      </c>
      <c r="M5529">
        <f>IF((DST_123_ÜRETİM_İHTİYAÇ_RAPORU_BURAK_YENI1309[[#This Row],[SATINALMA]]*DST_123_ÜRETİM_İHTİYAÇ_RAPORU_BURAK_YENI1309[[#This Row],[BIRIM_FIYATLAR]])&lt;1,VALUE("0"),DST_123_ÜRETİM_İHTİYAÇ_RAPORU_BURAK_YENI1309[[#This Row],[SATINALMA]]*DST_123_ÜRETİM_İHTİYAÇ_RAPORU_BURAK_YENI1309[[#This Row],[BIRIM_FIYATLAR]])</f>
        <v>0</v>
      </c>
      <c r="N5529">
        <v>373.06</v>
      </c>
      <c r="O5529" t="s">
        <v>636</v>
      </c>
      <c r="P5529">
        <v>373.06</v>
      </c>
      <c r="Q5529" t="s">
        <v>178</v>
      </c>
    </row>
    <row r="5530" spans="1:17" x14ac:dyDescent="0.25">
      <c r="A5530" t="s">
        <v>1097</v>
      </c>
      <c r="B5530" t="s">
        <v>1055</v>
      </c>
      <c r="C5530" t="s">
        <v>175</v>
      </c>
      <c r="D5530" t="s">
        <v>443</v>
      </c>
      <c r="E5530" t="s">
        <v>444</v>
      </c>
      <c r="F5530">
        <v>1</v>
      </c>
      <c r="G5530" t="s">
        <v>176</v>
      </c>
      <c r="H5530">
        <v>1</v>
      </c>
      <c r="I5530">
        <v>25</v>
      </c>
      <c r="J5530" s="10">
        <v>5</v>
      </c>
      <c r="K5530" s="10">
        <f>SUMIFS(F:F,D:D,DST_123_ÜRETİM_İHTİYAÇ_RAPORU_BURAK_YENI1309[[#This Row],[ALT_KOD]])-(SUMIFS(H:H,D:D,DST_123_ÜRETİM_İHTİYAÇ_RAPORU_BURAK_YENI1309[[#This Row],[ALT_KOD]])+AVERAGEIFS(I:I,D:D,DST_123_ÜRETİM_İHTİYAÇ_RAPORU_BURAK_YENI1309[[#This Row],[ALT_KOD]])+AVERAGEIFS(L:L,D:D,DST_123_ÜRETİM_İHTİYAÇ_RAPORU_BURAK_YENI1309[[#This Row],[ALT_KOD]]))</f>
        <v>-13</v>
      </c>
      <c r="L5530">
        <v>0</v>
      </c>
      <c r="M5530">
        <f>IF((DST_123_ÜRETİM_İHTİYAÇ_RAPORU_BURAK_YENI1309[[#This Row],[SATINALMA]]*DST_123_ÜRETİM_İHTİYAÇ_RAPORU_BURAK_YENI1309[[#This Row],[BIRIM_FIYATLAR]])&lt;1,VALUE("0"),DST_123_ÜRETİM_İHTİYAÇ_RAPORU_BURAK_YENI1309[[#This Row],[SATINALMA]]*DST_123_ÜRETİM_İHTİYAÇ_RAPORU_BURAK_YENI1309[[#This Row],[BIRIM_FIYATLAR]])</f>
        <v>0</v>
      </c>
      <c r="N5530">
        <v>373.06</v>
      </c>
      <c r="O5530" t="s">
        <v>636</v>
      </c>
      <c r="P5530">
        <v>373.06</v>
      </c>
      <c r="Q5530" t="s">
        <v>178</v>
      </c>
    </row>
    <row r="5531" spans="1:17" x14ac:dyDescent="0.25">
      <c r="A5531" t="s">
        <v>1064</v>
      </c>
      <c r="B5531" t="s">
        <v>1055</v>
      </c>
      <c r="C5531" t="s">
        <v>175</v>
      </c>
      <c r="D5531" t="s">
        <v>450</v>
      </c>
      <c r="E5531" t="s">
        <v>624</v>
      </c>
      <c r="F5531">
        <v>2</v>
      </c>
      <c r="G5531" t="s">
        <v>176</v>
      </c>
      <c r="H5531">
        <v>2</v>
      </c>
      <c r="I5531">
        <v>6</v>
      </c>
      <c r="J5531" s="10">
        <v>24</v>
      </c>
      <c r="K5531" s="10">
        <f>SUMIFS(F:F,D:D,DST_123_ÜRETİM_İHTİYAÇ_RAPORU_BURAK_YENI1309[[#This Row],[ALT_KOD]])-(SUMIFS(H:H,D:D,DST_123_ÜRETİM_İHTİYAÇ_RAPORU_BURAK_YENI1309[[#This Row],[ALT_KOD]])+AVERAGEIFS(I:I,D:D,DST_123_ÜRETİM_İHTİYAÇ_RAPORU_BURAK_YENI1309[[#This Row],[ALT_KOD]])+AVERAGEIFS(L:L,D:D,DST_123_ÜRETİM_İHTİYAÇ_RAPORU_BURAK_YENI1309[[#This Row],[ALT_KOD]]))</f>
        <v>10</v>
      </c>
      <c r="L5531">
        <v>0</v>
      </c>
      <c r="M5531">
        <f>IF((DST_123_ÜRETİM_İHTİYAÇ_RAPORU_BURAK_YENI1309[[#This Row],[SATINALMA]]*DST_123_ÜRETİM_İHTİYAÇ_RAPORU_BURAK_YENI1309[[#This Row],[BIRIM_FIYATLAR]])&lt;1,VALUE("0"),DST_123_ÜRETİM_İHTİYAÇ_RAPORU_BURAK_YENI1309[[#This Row],[SATINALMA]]*DST_123_ÜRETİM_İHTİYAÇ_RAPORU_BURAK_YENI1309[[#This Row],[BIRIM_FIYATLAR]])</f>
        <v>149462.5</v>
      </c>
      <c r="N5531">
        <v>14946.25</v>
      </c>
      <c r="O5531" t="s">
        <v>625</v>
      </c>
      <c r="P5531">
        <v>29892.5</v>
      </c>
      <c r="Q5531" t="s">
        <v>178</v>
      </c>
    </row>
    <row r="5532" spans="1:17" x14ac:dyDescent="0.25">
      <c r="A5532" t="s">
        <v>1060</v>
      </c>
      <c r="B5532" t="s">
        <v>1061</v>
      </c>
      <c r="C5532" t="s">
        <v>175</v>
      </c>
      <c r="D5532" t="s">
        <v>46</v>
      </c>
      <c r="E5532" t="s">
        <v>47</v>
      </c>
      <c r="F5532">
        <v>4</v>
      </c>
      <c r="G5532" t="s">
        <v>176</v>
      </c>
      <c r="H5532">
        <v>4</v>
      </c>
      <c r="I5532">
        <v>75</v>
      </c>
      <c r="J5532" s="10">
        <v>60</v>
      </c>
      <c r="K5532" s="10">
        <f>SUMIFS(F:F,D:D,DST_123_ÜRETİM_İHTİYAÇ_RAPORU_BURAK_YENI1309[[#This Row],[ALT_KOD]])-(SUMIFS(H:H,D:D,DST_123_ÜRETİM_İHTİYAÇ_RAPORU_BURAK_YENI1309[[#This Row],[ALT_KOD]])+AVERAGEIFS(I:I,D:D,DST_123_ÜRETİM_İHTİYAÇ_RAPORU_BURAK_YENI1309[[#This Row],[ALT_KOD]])+AVERAGEIFS(L:L,D:D,DST_123_ÜRETİM_İHTİYAÇ_RAPORU_BURAK_YENI1309[[#This Row],[ALT_KOD]]))</f>
        <v>-31</v>
      </c>
      <c r="L5532">
        <v>0</v>
      </c>
      <c r="M5532">
        <f>IF((DST_123_ÜRETİM_İHTİYAÇ_RAPORU_BURAK_YENI1309[[#This Row],[SATINALMA]]*DST_123_ÜRETİM_İHTİYAÇ_RAPORU_BURAK_YENI1309[[#This Row],[BIRIM_FIYATLAR]])&lt;1,VALUE("0"),DST_123_ÜRETİM_İHTİYAÇ_RAPORU_BURAK_YENI1309[[#This Row],[SATINALMA]]*DST_123_ÜRETİM_İHTİYAÇ_RAPORU_BURAK_YENI1309[[#This Row],[BIRIM_FIYATLAR]])</f>
        <v>0</v>
      </c>
      <c r="N5532">
        <v>170</v>
      </c>
      <c r="O5532" t="s">
        <v>245</v>
      </c>
      <c r="P5532">
        <v>680</v>
      </c>
      <c r="Q5532" t="s">
        <v>180</v>
      </c>
    </row>
    <row r="5533" spans="1:17" x14ac:dyDescent="0.25">
      <c r="A5533" t="s">
        <v>1144</v>
      </c>
      <c r="B5533" t="s">
        <v>1145</v>
      </c>
      <c r="C5533" t="s">
        <v>175</v>
      </c>
      <c r="D5533" t="s">
        <v>278</v>
      </c>
      <c r="E5533" t="s">
        <v>317</v>
      </c>
      <c r="F5533">
        <v>1</v>
      </c>
      <c r="G5533" t="s">
        <v>176</v>
      </c>
      <c r="H5533">
        <v>1</v>
      </c>
      <c r="I5533">
        <v>27</v>
      </c>
      <c r="J5533" s="10">
        <v>4</v>
      </c>
      <c r="K5533" s="10">
        <f>SUMIFS(F:F,D:D,DST_123_ÜRETİM_İHTİYAÇ_RAPORU_BURAK_YENI1309[[#This Row],[ALT_KOD]])-(SUMIFS(H:H,D:D,DST_123_ÜRETİM_İHTİYAÇ_RAPORU_BURAK_YENI1309[[#This Row],[ALT_KOD]])+AVERAGEIFS(I:I,D:D,DST_123_ÜRETİM_İHTİYAÇ_RAPORU_BURAK_YENI1309[[#This Row],[ALT_KOD]])+AVERAGEIFS(L:L,D:D,DST_123_ÜRETİM_İHTİYAÇ_RAPORU_BURAK_YENI1309[[#This Row],[ALT_KOD]]))</f>
        <v>-20</v>
      </c>
      <c r="L5533">
        <v>0</v>
      </c>
      <c r="M5533">
        <f>IF((DST_123_ÜRETİM_İHTİYAÇ_RAPORU_BURAK_YENI1309[[#This Row],[SATINALMA]]*DST_123_ÜRETİM_İHTİYAÇ_RAPORU_BURAK_YENI1309[[#This Row],[BIRIM_FIYATLAR]])&lt;1,VALUE("0"),DST_123_ÜRETİM_İHTİYAÇ_RAPORU_BURAK_YENI1309[[#This Row],[SATINALMA]]*DST_123_ÜRETİM_İHTİYAÇ_RAPORU_BURAK_YENI1309[[#This Row],[BIRIM_FIYATLAR]])</f>
        <v>0</v>
      </c>
      <c r="N5533">
        <v>287.13</v>
      </c>
      <c r="O5533" t="s">
        <v>636</v>
      </c>
      <c r="P5533">
        <v>287.13</v>
      </c>
      <c r="Q5533" t="s">
        <v>178</v>
      </c>
    </row>
    <row r="5534" spans="1:17" x14ac:dyDescent="0.25">
      <c r="A5534" t="s">
        <v>1101</v>
      </c>
      <c r="B5534" t="s">
        <v>1102</v>
      </c>
      <c r="C5534" t="s">
        <v>175</v>
      </c>
      <c r="D5534" t="s">
        <v>445</v>
      </c>
      <c r="E5534" t="s">
        <v>629</v>
      </c>
      <c r="F5534">
        <v>2</v>
      </c>
      <c r="G5534" t="s">
        <v>176</v>
      </c>
      <c r="H5534">
        <v>2</v>
      </c>
      <c r="I5534">
        <v>109</v>
      </c>
      <c r="J5534" s="10">
        <v>34</v>
      </c>
      <c r="K5534" s="10">
        <f>SUMIFS(F:F,D:D,DST_123_ÜRETİM_İHTİYAÇ_RAPORU_BURAK_YENI1309[[#This Row],[ALT_KOD]])-(SUMIFS(H:H,D:D,DST_123_ÜRETİM_İHTİYAÇ_RAPORU_BURAK_YENI1309[[#This Row],[ALT_KOD]])+AVERAGEIFS(I:I,D:D,DST_123_ÜRETİM_İHTİYAÇ_RAPORU_BURAK_YENI1309[[#This Row],[ALT_KOD]])+AVERAGEIFS(L:L,D:D,DST_123_ÜRETİM_İHTİYAÇ_RAPORU_BURAK_YENI1309[[#This Row],[ALT_KOD]]))</f>
        <v>-71</v>
      </c>
      <c r="L5534">
        <v>0</v>
      </c>
      <c r="M5534">
        <f>IF((DST_123_ÜRETİM_İHTİYAÇ_RAPORU_BURAK_YENI1309[[#This Row],[SATINALMA]]*DST_123_ÜRETİM_İHTİYAÇ_RAPORU_BURAK_YENI1309[[#This Row],[BIRIM_FIYATLAR]])&lt;1,VALUE("0"),DST_123_ÜRETİM_İHTİYAÇ_RAPORU_BURAK_YENI1309[[#This Row],[SATINALMA]]*DST_123_ÜRETİM_İHTİYAÇ_RAPORU_BURAK_YENI1309[[#This Row],[BIRIM_FIYATLAR]])</f>
        <v>0</v>
      </c>
      <c r="N5534">
        <v>250</v>
      </c>
      <c r="O5534" t="s">
        <v>628</v>
      </c>
      <c r="P5534">
        <v>500</v>
      </c>
      <c r="Q5534" t="s">
        <v>180</v>
      </c>
    </row>
    <row r="5535" spans="1:17" x14ac:dyDescent="0.25">
      <c r="A5535" t="s">
        <v>1101</v>
      </c>
      <c r="B5535" t="s">
        <v>1102</v>
      </c>
      <c r="C5535" t="s">
        <v>175</v>
      </c>
      <c r="D5535" t="s">
        <v>114</v>
      </c>
      <c r="E5535" t="s">
        <v>115</v>
      </c>
      <c r="F5535">
        <v>1.6700000000000002</v>
      </c>
      <c r="G5535" t="s">
        <v>185</v>
      </c>
      <c r="H5535">
        <v>1.6700000000000002</v>
      </c>
      <c r="I5535">
        <v>0</v>
      </c>
      <c r="J5535" s="10">
        <v>65.03100000000002</v>
      </c>
      <c r="K5535" s="10">
        <f>SUMIFS(F:F,D:D,DST_123_ÜRETİM_İHTİYAÇ_RAPORU_BURAK_YENI1309[[#This Row],[ALT_KOD]])-(SUMIFS(H:H,D:D,DST_123_ÜRETİM_İHTİYAÇ_RAPORU_BURAK_YENI1309[[#This Row],[ALT_KOD]])+AVERAGEIFS(I:I,D:D,DST_123_ÜRETİM_İHTİYAÇ_RAPORU_BURAK_YENI1309[[#This Row],[ALT_KOD]])+AVERAGEIFS(L:L,D:D,DST_123_ÜRETİM_İHTİYAÇ_RAPORU_BURAK_YENI1309[[#This Row],[ALT_KOD]]))</f>
        <v>17.948</v>
      </c>
      <c r="L5535">
        <v>0</v>
      </c>
      <c r="M5535">
        <f>IF((DST_123_ÜRETİM_İHTİYAÇ_RAPORU_BURAK_YENI1309[[#This Row],[SATINALMA]]*DST_123_ÜRETİM_İHTİYAÇ_RAPORU_BURAK_YENI1309[[#This Row],[BIRIM_FIYATLAR]])&lt;1,VALUE("0"),DST_123_ÜRETİM_İHTİYAÇ_RAPORU_BURAK_YENI1309[[#This Row],[SATINALMA]]*DST_123_ÜRETİM_İHTİYAÇ_RAPORU_BURAK_YENI1309[[#This Row],[BIRIM_FIYATLAR]])</f>
        <v>6991.2844399999994</v>
      </c>
      <c r="N5535">
        <v>389.53</v>
      </c>
      <c r="O5535" t="s">
        <v>490</v>
      </c>
      <c r="P5535">
        <v>650.51509999999996</v>
      </c>
      <c r="Q5535" t="s">
        <v>183</v>
      </c>
    </row>
    <row r="5536" spans="1:17" x14ac:dyDescent="0.25">
      <c r="A5536" t="s">
        <v>1060</v>
      </c>
      <c r="B5536" t="s">
        <v>1061</v>
      </c>
      <c r="C5536" t="s">
        <v>175</v>
      </c>
      <c r="D5536" t="s">
        <v>110</v>
      </c>
      <c r="E5536" t="s">
        <v>111</v>
      </c>
      <c r="F5536">
        <v>1</v>
      </c>
      <c r="G5536" t="s">
        <v>176</v>
      </c>
      <c r="H5536">
        <v>1</v>
      </c>
      <c r="I5536">
        <v>0</v>
      </c>
      <c r="J5536" s="10">
        <v>10</v>
      </c>
      <c r="K5536" s="10">
        <f>SUMIFS(F:F,D:D,DST_123_ÜRETİM_İHTİYAÇ_RAPORU_BURAK_YENI1309[[#This Row],[ALT_KOD]])-(SUMIFS(H:H,D:D,DST_123_ÜRETİM_İHTİYAÇ_RAPORU_BURAK_YENI1309[[#This Row],[ALT_KOD]])+AVERAGEIFS(I:I,D:D,DST_123_ÜRETİM_İHTİYAÇ_RAPORU_BURAK_YENI1309[[#This Row],[ALT_KOD]])+AVERAGEIFS(L:L,D:D,DST_123_ÜRETİM_İHTİYAÇ_RAPORU_BURAK_YENI1309[[#This Row],[ALT_KOD]]))</f>
        <v>0</v>
      </c>
      <c r="L5536">
        <v>11</v>
      </c>
      <c r="M5536">
        <f>IF((DST_123_ÜRETİM_İHTİYAÇ_RAPORU_BURAK_YENI1309[[#This Row],[SATINALMA]]*DST_123_ÜRETİM_İHTİYAÇ_RAPORU_BURAK_YENI1309[[#This Row],[BIRIM_FIYATLAR]])&lt;1,VALUE("0"),DST_123_ÜRETİM_İHTİYAÇ_RAPORU_BURAK_YENI1309[[#This Row],[SATINALMA]]*DST_123_ÜRETİM_İHTİYAÇ_RAPORU_BURAK_YENI1309[[#This Row],[BIRIM_FIYATLAR]])</f>
        <v>0</v>
      </c>
      <c r="N5536">
        <v>675</v>
      </c>
      <c r="O5536" t="s">
        <v>632</v>
      </c>
      <c r="P5536">
        <v>675</v>
      </c>
      <c r="Q5536" t="s">
        <v>177</v>
      </c>
    </row>
    <row r="5537" spans="1:17" x14ac:dyDescent="0.25">
      <c r="A5537" t="s">
        <v>1099</v>
      </c>
      <c r="B5537" t="s">
        <v>1055</v>
      </c>
      <c r="C5537" t="s">
        <v>175</v>
      </c>
      <c r="D5537" t="s">
        <v>670</v>
      </c>
      <c r="E5537" t="s">
        <v>671</v>
      </c>
      <c r="F5537">
        <v>1</v>
      </c>
      <c r="G5537" t="s">
        <v>176</v>
      </c>
      <c r="H5537">
        <v>1</v>
      </c>
      <c r="I5537">
        <v>12</v>
      </c>
      <c r="J5537" s="10">
        <v>13</v>
      </c>
      <c r="K5537" s="10">
        <f>SUMIFS(F:F,D:D,DST_123_ÜRETİM_İHTİYAÇ_RAPORU_BURAK_YENI1309[[#This Row],[ALT_KOD]])-(SUMIFS(H:H,D:D,DST_123_ÜRETİM_İHTİYAÇ_RAPORU_BURAK_YENI1309[[#This Row],[ALT_KOD]])+AVERAGEIFS(I:I,D:D,DST_123_ÜRETİM_İHTİYAÇ_RAPORU_BURAK_YENI1309[[#This Row],[ALT_KOD]])+AVERAGEIFS(L:L,D:D,DST_123_ÜRETİM_İHTİYAÇ_RAPORU_BURAK_YENI1309[[#This Row],[ALT_KOD]]))</f>
        <v>-5</v>
      </c>
      <c r="L5537">
        <v>0</v>
      </c>
      <c r="M5537">
        <f>IF((DST_123_ÜRETİM_İHTİYAÇ_RAPORU_BURAK_YENI1309[[#This Row],[SATINALMA]]*DST_123_ÜRETİM_İHTİYAÇ_RAPORU_BURAK_YENI1309[[#This Row],[BIRIM_FIYATLAR]])&lt;1,VALUE("0"),DST_123_ÜRETİM_İHTİYAÇ_RAPORU_BURAK_YENI1309[[#This Row],[SATINALMA]]*DST_123_ÜRETİM_İHTİYAÇ_RAPORU_BURAK_YENI1309[[#This Row],[BIRIM_FIYATLAR]])</f>
        <v>0</v>
      </c>
      <c r="N5537">
        <v>28339.38</v>
      </c>
      <c r="O5537" t="s">
        <v>214</v>
      </c>
      <c r="P5537">
        <v>28339.38</v>
      </c>
      <c r="Q5537" t="s">
        <v>177</v>
      </c>
    </row>
    <row r="5538" spans="1:17" x14ac:dyDescent="0.25">
      <c r="A5538" t="s">
        <v>1059</v>
      </c>
      <c r="B5538" t="s">
        <v>1058</v>
      </c>
      <c r="C5538" t="s">
        <v>175</v>
      </c>
      <c r="D5538" t="s">
        <v>1045</v>
      </c>
      <c r="E5538" t="s">
        <v>1046</v>
      </c>
      <c r="F5538">
        <v>1</v>
      </c>
      <c r="G5538" t="s">
        <v>176</v>
      </c>
      <c r="H5538">
        <v>1</v>
      </c>
      <c r="I5538">
        <v>2</v>
      </c>
      <c r="J5538" s="10">
        <v>2</v>
      </c>
      <c r="K5538" s="10">
        <f>SUMIFS(F:F,D:D,DST_123_ÜRETİM_İHTİYAÇ_RAPORU_BURAK_YENI1309[[#This Row],[ALT_KOD]])-(SUMIFS(H:H,D:D,DST_123_ÜRETİM_İHTİYAÇ_RAPORU_BURAK_YENI1309[[#This Row],[ALT_KOD]])+AVERAGEIFS(I:I,D:D,DST_123_ÜRETİM_İHTİYAÇ_RAPORU_BURAK_YENI1309[[#This Row],[ALT_KOD]])+AVERAGEIFS(L:L,D:D,DST_123_ÜRETİM_İHTİYAÇ_RAPORU_BURAK_YENI1309[[#This Row],[ALT_KOD]]))</f>
        <v>-2</v>
      </c>
      <c r="L5538">
        <v>0</v>
      </c>
      <c r="M5538">
        <f>IF((DST_123_ÜRETİM_İHTİYAÇ_RAPORU_BURAK_YENI1309[[#This Row],[SATINALMA]]*DST_123_ÜRETİM_İHTİYAÇ_RAPORU_BURAK_YENI1309[[#This Row],[BIRIM_FIYATLAR]])&lt;1,VALUE("0"),DST_123_ÜRETİM_İHTİYAÇ_RAPORU_BURAK_YENI1309[[#This Row],[SATINALMA]]*DST_123_ÜRETİM_İHTİYAÇ_RAPORU_BURAK_YENI1309[[#This Row],[BIRIM_FIYATLAR]])</f>
        <v>0</v>
      </c>
      <c r="N5538">
        <v>400</v>
      </c>
      <c r="O5538" t="s">
        <v>1034</v>
      </c>
      <c r="P5538">
        <v>400</v>
      </c>
      <c r="Q5538" t="s">
        <v>178</v>
      </c>
    </row>
    <row r="5539" spans="1:17" x14ac:dyDescent="0.25">
      <c r="A5539" t="s">
        <v>1059</v>
      </c>
      <c r="B5539" t="s">
        <v>1058</v>
      </c>
      <c r="C5539" t="s">
        <v>175</v>
      </c>
      <c r="D5539" t="s">
        <v>471</v>
      </c>
      <c r="E5539" t="s">
        <v>472</v>
      </c>
      <c r="F5539">
        <v>4</v>
      </c>
      <c r="G5539" t="s">
        <v>176</v>
      </c>
      <c r="H5539">
        <v>0</v>
      </c>
      <c r="I5539">
        <v>200</v>
      </c>
      <c r="J5539" s="10">
        <v>343</v>
      </c>
      <c r="K5539" s="10">
        <f>SUMIFS(F:F,D:D,DST_123_ÜRETİM_İHTİYAÇ_RAPORU_BURAK_YENI1309[[#This Row],[ALT_KOD]])-(SUMIFS(H:H,D:D,DST_123_ÜRETİM_İHTİYAÇ_RAPORU_BURAK_YENI1309[[#This Row],[ALT_KOD]])+AVERAGEIFS(I:I,D:D,DST_123_ÜRETİM_İHTİYAÇ_RAPORU_BURAK_YENI1309[[#This Row],[ALT_KOD]])+AVERAGEIFS(L:L,D:D,DST_123_ÜRETİM_İHTİYAÇ_RAPORU_BURAK_YENI1309[[#This Row],[ALT_KOD]]))</f>
        <v>-8</v>
      </c>
      <c r="L5539">
        <v>0</v>
      </c>
      <c r="M5539">
        <f>IF((DST_123_ÜRETİM_İHTİYAÇ_RAPORU_BURAK_YENI1309[[#This Row],[SATINALMA]]*DST_123_ÜRETİM_İHTİYAÇ_RAPORU_BURAK_YENI1309[[#This Row],[BIRIM_FIYATLAR]])&lt;1,VALUE("0"),DST_123_ÜRETİM_İHTİYAÇ_RAPORU_BURAK_YENI1309[[#This Row],[SATINALMA]]*DST_123_ÜRETİM_İHTİYAÇ_RAPORU_BURAK_YENI1309[[#This Row],[BIRIM_FIYATLAR]])</f>
        <v>0</v>
      </c>
      <c r="N5539">
        <v>9</v>
      </c>
      <c r="O5539" t="s">
        <v>240</v>
      </c>
      <c r="P5539">
        <v>36</v>
      </c>
      <c r="Q5539" t="s">
        <v>180</v>
      </c>
    </row>
    <row r="5540" spans="1:17" x14ac:dyDescent="0.25">
      <c r="A5540" t="s">
        <v>1143</v>
      </c>
      <c r="B5540" t="s">
        <v>1056</v>
      </c>
      <c r="C5540" t="s">
        <v>175</v>
      </c>
      <c r="D5540" t="s">
        <v>471</v>
      </c>
      <c r="E5540" t="s">
        <v>472</v>
      </c>
      <c r="F5540">
        <v>4</v>
      </c>
      <c r="G5540" t="s">
        <v>176</v>
      </c>
      <c r="H5540">
        <v>0</v>
      </c>
      <c r="I5540">
        <v>200</v>
      </c>
      <c r="J5540" s="10">
        <v>343</v>
      </c>
      <c r="K5540" s="10">
        <f>SUMIFS(F:F,D:D,DST_123_ÜRETİM_İHTİYAÇ_RAPORU_BURAK_YENI1309[[#This Row],[ALT_KOD]])-(SUMIFS(H:H,D:D,DST_123_ÜRETİM_İHTİYAÇ_RAPORU_BURAK_YENI1309[[#This Row],[ALT_KOD]])+AVERAGEIFS(I:I,D:D,DST_123_ÜRETİM_İHTİYAÇ_RAPORU_BURAK_YENI1309[[#This Row],[ALT_KOD]])+AVERAGEIFS(L:L,D:D,DST_123_ÜRETİM_İHTİYAÇ_RAPORU_BURAK_YENI1309[[#This Row],[ALT_KOD]]))</f>
        <v>-8</v>
      </c>
      <c r="L5540">
        <v>0</v>
      </c>
      <c r="M5540">
        <f>IF((DST_123_ÜRETİM_İHTİYAÇ_RAPORU_BURAK_YENI1309[[#This Row],[SATINALMA]]*DST_123_ÜRETİM_İHTİYAÇ_RAPORU_BURAK_YENI1309[[#This Row],[BIRIM_FIYATLAR]])&lt;1,VALUE("0"),DST_123_ÜRETİM_İHTİYAÇ_RAPORU_BURAK_YENI1309[[#This Row],[SATINALMA]]*DST_123_ÜRETİM_İHTİYAÇ_RAPORU_BURAK_YENI1309[[#This Row],[BIRIM_FIYATLAR]])</f>
        <v>0</v>
      </c>
      <c r="N5540">
        <v>9</v>
      </c>
      <c r="O5540" t="s">
        <v>240</v>
      </c>
      <c r="P5540">
        <v>36</v>
      </c>
      <c r="Q5540" t="s">
        <v>180</v>
      </c>
    </row>
    <row r="5541" spans="1:17" x14ac:dyDescent="0.25">
      <c r="A5541" t="s">
        <v>1143</v>
      </c>
      <c r="B5541" t="s">
        <v>1056</v>
      </c>
      <c r="C5541" t="s">
        <v>175</v>
      </c>
      <c r="D5541" t="s">
        <v>475</v>
      </c>
      <c r="E5541" t="s">
        <v>476</v>
      </c>
      <c r="F5541">
        <v>0.25</v>
      </c>
      <c r="G5541" t="s">
        <v>176</v>
      </c>
      <c r="H5541">
        <v>0</v>
      </c>
      <c r="I5541">
        <v>6</v>
      </c>
      <c r="J5541" s="10">
        <v>1.7763568394002505E-15</v>
      </c>
      <c r="K5541" s="10">
        <f>SUMIFS(F:F,D:D,DST_123_ÜRETİM_İHTİYAÇ_RAPORU_BURAK_YENI1309[[#This Row],[ALT_KOD]])-(SUMIFS(H:H,D:D,DST_123_ÜRETİM_İHTİYAÇ_RAPORU_BURAK_YENI1309[[#This Row],[ALT_KOD]])+AVERAGEIFS(I:I,D:D,DST_123_ÜRETİM_İHTİYAÇ_RAPORU_BURAK_YENI1309[[#This Row],[ALT_KOD]])+AVERAGEIFS(L:L,D:D,DST_123_ÜRETİM_İHTİYAÇ_RAPORU_BURAK_YENI1309[[#This Row],[ALT_KOD]]))</f>
        <v>7.25</v>
      </c>
      <c r="L5541">
        <v>0</v>
      </c>
      <c r="M5541">
        <f>IF((DST_123_ÜRETİM_İHTİYAÇ_RAPORU_BURAK_YENI1309[[#This Row],[SATINALMA]]*DST_123_ÜRETİM_İHTİYAÇ_RAPORU_BURAK_YENI1309[[#This Row],[BIRIM_FIYATLAR]])&lt;1,VALUE("0"),DST_123_ÜRETİM_İHTİYAÇ_RAPORU_BURAK_YENI1309[[#This Row],[SATINALMA]]*DST_123_ÜRETİM_İHTİYAÇ_RAPORU_BURAK_YENI1309[[#This Row],[BIRIM_FIYATLAR]])</f>
        <v>145</v>
      </c>
      <c r="N5541">
        <v>20</v>
      </c>
      <c r="O5541" t="s">
        <v>226</v>
      </c>
      <c r="P5541">
        <v>5</v>
      </c>
      <c r="Q5541" t="s">
        <v>180</v>
      </c>
    </row>
    <row r="5542" spans="1:17" x14ac:dyDescent="0.25">
      <c r="A5542" t="s">
        <v>1059</v>
      </c>
      <c r="B5542" t="s">
        <v>1058</v>
      </c>
      <c r="C5542" t="s">
        <v>175</v>
      </c>
      <c r="D5542" t="s">
        <v>263</v>
      </c>
      <c r="E5542" t="s">
        <v>419</v>
      </c>
      <c r="F5542">
        <v>1</v>
      </c>
      <c r="G5542" t="s">
        <v>176</v>
      </c>
      <c r="H5542">
        <v>1</v>
      </c>
      <c r="I5542">
        <v>4</v>
      </c>
      <c r="J5542" s="10">
        <v>11</v>
      </c>
      <c r="K5542" s="10">
        <f>SUMIFS(F:F,D:D,DST_123_ÜRETİM_İHTİYAÇ_RAPORU_BURAK_YENI1309[[#This Row],[ALT_KOD]])-(SUMIFS(H:H,D:D,DST_123_ÜRETİM_İHTİYAÇ_RAPORU_BURAK_YENI1309[[#This Row],[ALT_KOD]])+AVERAGEIFS(I:I,D:D,DST_123_ÜRETİM_İHTİYAÇ_RAPORU_BURAK_YENI1309[[#This Row],[ALT_KOD]])+AVERAGEIFS(L:L,D:D,DST_123_ÜRETİM_İHTİYAÇ_RAPORU_BURAK_YENI1309[[#This Row],[ALT_KOD]]))</f>
        <v>9</v>
      </c>
      <c r="L5542">
        <v>0</v>
      </c>
      <c r="M5542">
        <f>IF((DST_123_ÜRETİM_İHTİYAÇ_RAPORU_BURAK_YENI1309[[#This Row],[SATINALMA]]*DST_123_ÜRETİM_İHTİYAÇ_RAPORU_BURAK_YENI1309[[#This Row],[BIRIM_FIYATLAR]])&lt;1,VALUE("0"),DST_123_ÜRETİM_İHTİYAÇ_RAPORU_BURAK_YENI1309[[#This Row],[SATINALMA]]*DST_123_ÜRETİM_İHTİYAÇ_RAPORU_BURAK_YENI1309[[#This Row],[BIRIM_FIYATLAR]])</f>
        <v>54009.99</v>
      </c>
      <c r="N5542">
        <v>6001.11</v>
      </c>
      <c r="O5542" t="s">
        <v>227</v>
      </c>
      <c r="P5542">
        <v>6001.11</v>
      </c>
      <c r="Q5542" t="s">
        <v>221</v>
      </c>
    </row>
    <row r="5543" spans="1:17" x14ac:dyDescent="0.25">
      <c r="A5543" t="s">
        <v>1143</v>
      </c>
      <c r="B5543" t="s">
        <v>1056</v>
      </c>
      <c r="C5543" t="s">
        <v>175</v>
      </c>
      <c r="D5543" t="s">
        <v>263</v>
      </c>
      <c r="E5543" t="s">
        <v>419</v>
      </c>
      <c r="F5543">
        <v>1</v>
      </c>
      <c r="G5543" t="s">
        <v>176</v>
      </c>
      <c r="H5543">
        <v>0</v>
      </c>
      <c r="I5543">
        <v>4</v>
      </c>
      <c r="J5543" s="10">
        <v>11</v>
      </c>
      <c r="K5543" s="10">
        <f>SUMIFS(F:F,D:D,DST_123_ÜRETİM_İHTİYAÇ_RAPORU_BURAK_YENI1309[[#This Row],[ALT_KOD]])-(SUMIFS(H:H,D:D,DST_123_ÜRETİM_İHTİYAÇ_RAPORU_BURAK_YENI1309[[#This Row],[ALT_KOD]])+AVERAGEIFS(I:I,D:D,DST_123_ÜRETİM_İHTİYAÇ_RAPORU_BURAK_YENI1309[[#This Row],[ALT_KOD]])+AVERAGEIFS(L:L,D:D,DST_123_ÜRETİM_İHTİYAÇ_RAPORU_BURAK_YENI1309[[#This Row],[ALT_KOD]]))</f>
        <v>9</v>
      </c>
      <c r="L5543">
        <v>0</v>
      </c>
      <c r="M5543">
        <f>IF((DST_123_ÜRETİM_İHTİYAÇ_RAPORU_BURAK_YENI1309[[#This Row],[SATINALMA]]*DST_123_ÜRETİM_İHTİYAÇ_RAPORU_BURAK_YENI1309[[#This Row],[BIRIM_FIYATLAR]])&lt;1,VALUE("0"),DST_123_ÜRETİM_İHTİYAÇ_RAPORU_BURAK_YENI1309[[#This Row],[SATINALMA]]*DST_123_ÜRETİM_İHTİYAÇ_RAPORU_BURAK_YENI1309[[#This Row],[BIRIM_FIYATLAR]])</f>
        <v>54009.99</v>
      </c>
      <c r="N5543">
        <v>6001.11</v>
      </c>
      <c r="O5543" t="s">
        <v>227</v>
      </c>
      <c r="P5543">
        <v>6001.11</v>
      </c>
      <c r="Q5543" t="s">
        <v>221</v>
      </c>
    </row>
    <row r="5544" spans="1:17" x14ac:dyDescent="0.25">
      <c r="A5544" t="s">
        <v>1142</v>
      </c>
      <c r="B5544" t="s">
        <v>1056</v>
      </c>
      <c r="C5544" t="s">
        <v>175</v>
      </c>
      <c r="D5544" t="s">
        <v>1076</v>
      </c>
      <c r="E5544" t="s">
        <v>1077</v>
      </c>
      <c r="F5544">
        <v>1</v>
      </c>
      <c r="G5544" t="s">
        <v>176</v>
      </c>
      <c r="H5544">
        <v>0</v>
      </c>
      <c r="I5544">
        <v>0</v>
      </c>
      <c r="J5544" s="10">
        <v>0</v>
      </c>
      <c r="K5544" s="10">
        <f>SUMIFS(F:F,D:D,DST_123_ÜRETİM_İHTİYAÇ_RAPORU_BURAK_YENI1309[[#This Row],[ALT_KOD]])-(SUMIFS(H:H,D:D,DST_123_ÜRETİM_İHTİYAÇ_RAPORU_BURAK_YENI1309[[#This Row],[ALT_KOD]])+AVERAGEIFS(I:I,D:D,DST_123_ÜRETİM_İHTİYAÇ_RAPORU_BURAK_YENI1309[[#This Row],[ALT_KOD]])+AVERAGEIFS(L:L,D:D,DST_123_ÜRETİM_İHTİYAÇ_RAPORU_BURAK_YENI1309[[#This Row],[ALT_KOD]]))</f>
        <v>15</v>
      </c>
      <c r="L5544">
        <v>0</v>
      </c>
      <c r="M5544">
        <f>IF((DST_123_ÜRETİM_İHTİYAÇ_RAPORU_BURAK_YENI1309[[#This Row],[SATINALMA]]*DST_123_ÜRETİM_İHTİYAÇ_RAPORU_BURAK_YENI1309[[#This Row],[BIRIM_FIYATLAR]])&lt;1,VALUE("0"),DST_123_ÜRETİM_İHTİYAÇ_RAPORU_BURAK_YENI1309[[#This Row],[SATINALMA]]*DST_123_ÜRETİM_İHTİYAÇ_RAPORU_BURAK_YENI1309[[#This Row],[BIRIM_FIYATLAR]])</f>
        <v>0</v>
      </c>
      <c r="N5544">
        <v>0</v>
      </c>
      <c r="P5544">
        <v>0</v>
      </c>
      <c r="Q5544" t="s">
        <v>177</v>
      </c>
    </row>
    <row r="5545" spans="1:17" x14ac:dyDescent="0.25">
      <c r="A5545" t="s">
        <v>1150</v>
      </c>
      <c r="B5545" t="s">
        <v>1145</v>
      </c>
      <c r="C5545" t="s">
        <v>175</v>
      </c>
      <c r="D5545" t="s">
        <v>263</v>
      </c>
      <c r="E5545" t="s">
        <v>419</v>
      </c>
      <c r="F5545">
        <v>1</v>
      </c>
      <c r="G5545" t="s">
        <v>176</v>
      </c>
      <c r="H5545">
        <v>0</v>
      </c>
      <c r="I5545">
        <v>4</v>
      </c>
      <c r="J5545" s="10">
        <v>11</v>
      </c>
      <c r="K5545" s="10">
        <f>SUMIFS(F:F,D:D,DST_123_ÜRETİM_İHTİYAÇ_RAPORU_BURAK_YENI1309[[#This Row],[ALT_KOD]])-(SUMIFS(H:H,D:D,DST_123_ÜRETİM_İHTİYAÇ_RAPORU_BURAK_YENI1309[[#This Row],[ALT_KOD]])+AVERAGEIFS(I:I,D:D,DST_123_ÜRETİM_İHTİYAÇ_RAPORU_BURAK_YENI1309[[#This Row],[ALT_KOD]])+AVERAGEIFS(L:L,D:D,DST_123_ÜRETİM_İHTİYAÇ_RAPORU_BURAK_YENI1309[[#This Row],[ALT_KOD]]))</f>
        <v>9</v>
      </c>
      <c r="L5545">
        <v>0</v>
      </c>
      <c r="M5545">
        <f>IF((DST_123_ÜRETİM_İHTİYAÇ_RAPORU_BURAK_YENI1309[[#This Row],[SATINALMA]]*DST_123_ÜRETİM_İHTİYAÇ_RAPORU_BURAK_YENI1309[[#This Row],[BIRIM_FIYATLAR]])&lt;1,VALUE("0"),DST_123_ÜRETİM_İHTİYAÇ_RAPORU_BURAK_YENI1309[[#This Row],[SATINALMA]]*DST_123_ÜRETİM_İHTİYAÇ_RAPORU_BURAK_YENI1309[[#This Row],[BIRIM_FIYATLAR]])</f>
        <v>54009.99</v>
      </c>
      <c r="N5545">
        <v>6001.11</v>
      </c>
      <c r="O5545" t="s">
        <v>227</v>
      </c>
      <c r="P5545">
        <v>6001.11</v>
      </c>
      <c r="Q5545" t="s">
        <v>221</v>
      </c>
    </row>
    <row r="5546" spans="1:17" x14ac:dyDescent="0.25">
      <c r="A5546" t="s">
        <v>1100</v>
      </c>
      <c r="B5546" t="s">
        <v>1058</v>
      </c>
      <c r="C5546" t="s">
        <v>175</v>
      </c>
      <c r="D5546" t="s">
        <v>1076</v>
      </c>
      <c r="E5546" t="s">
        <v>1077</v>
      </c>
      <c r="F5546">
        <v>1</v>
      </c>
      <c r="G5546" t="s">
        <v>176</v>
      </c>
      <c r="H5546">
        <v>0</v>
      </c>
      <c r="I5546">
        <v>0</v>
      </c>
      <c r="J5546" s="10">
        <v>0</v>
      </c>
      <c r="K5546" s="10">
        <f>SUMIFS(F:F,D:D,DST_123_ÜRETİM_İHTİYAÇ_RAPORU_BURAK_YENI1309[[#This Row],[ALT_KOD]])-(SUMIFS(H:H,D:D,DST_123_ÜRETİM_İHTİYAÇ_RAPORU_BURAK_YENI1309[[#This Row],[ALT_KOD]])+AVERAGEIFS(I:I,D:D,DST_123_ÜRETİM_İHTİYAÇ_RAPORU_BURAK_YENI1309[[#This Row],[ALT_KOD]])+AVERAGEIFS(L:L,D:D,DST_123_ÜRETİM_İHTİYAÇ_RAPORU_BURAK_YENI1309[[#This Row],[ALT_KOD]]))</f>
        <v>15</v>
      </c>
      <c r="L5546">
        <v>0</v>
      </c>
      <c r="M5546">
        <f>IF((DST_123_ÜRETİM_İHTİYAÇ_RAPORU_BURAK_YENI1309[[#This Row],[SATINALMA]]*DST_123_ÜRETİM_İHTİYAÇ_RAPORU_BURAK_YENI1309[[#This Row],[BIRIM_FIYATLAR]])&lt;1,VALUE("0"),DST_123_ÜRETİM_İHTİYAÇ_RAPORU_BURAK_YENI1309[[#This Row],[SATINALMA]]*DST_123_ÜRETİM_İHTİYAÇ_RAPORU_BURAK_YENI1309[[#This Row],[BIRIM_FIYATLAR]])</f>
        <v>0</v>
      </c>
      <c r="N5546">
        <v>0</v>
      </c>
      <c r="P5546">
        <v>0</v>
      </c>
      <c r="Q5546" t="s">
        <v>177</v>
      </c>
    </row>
    <row r="5547" spans="1:17" x14ac:dyDescent="0.25">
      <c r="A5547" t="s">
        <v>1148</v>
      </c>
      <c r="B5547" t="s">
        <v>1056</v>
      </c>
      <c r="C5547" t="s">
        <v>175</v>
      </c>
      <c r="D5547" t="s">
        <v>1076</v>
      </c>
      <c r="E5547" t="s">
        <v>1077</v>
      </c>
      <c r="F5547">
        <v>1</v>
      </c>
      <c r="G5547" t="s">
        <v>176</v>
      </c>
      <c r="H5547">
        <v>0</v>
      </c>
      <c r="I5547">
        <v>0</v>
      </c>
      <c r="J5547" s="10">
        <v>0</v>
      </c>
      <c r="K5547" s="10">
        <f>SUMIFS(F:F,D:D,DST_123_ÜRETİM_İHTİYAÇ_RAPORU_BURAK_YENI1309[[#This Row],[ALT_KOD]])-(SUMIFS(H:H,D:D,DST_123_ÜRETİM_İHTİYAÇ_RAPORU_BURAK_YENI1309[[#This Row],[ALT_KOD]])+AVERAGEIFS(I:I,D:D,DST_123_ÜRETİM_İHTİYAÇ_RAPORU_BURAK_YENI1309[[#This Row],[ALT_KOD]])+AVERAGEIFS(L:L,D:D,DST_123_ÜRETİM_İHTİYAÇ_RAPORU_BURAK_YENI1309[[#This Row],[ALT_KOD]]))</f>
        <v>15</v>
      </c>
      <c r="L5547">
        <v>0</v>
      </c>
      <c r="M5547">
        <f>IF((DST_123_ÜRETİM_İHTİYAÇ_RAPORU_BURAK_YENI1309[[#This Row],[SATINALMA]]*DST_123_ÜRETİM_İHTİYAÇ_RAPORU_BURAK_YENI1309[[#This Row],[BIRIM_FIYATLAR]])&lt;1,VALUE("0"),DST_123_ÜRETİM_İHTİYAÇ_RAPORU_BURAK_YENI1309[[#This Row],[SATINALMA]]*DST_123_ÜRETİM_İHTİYAÇ_RAPORU_BURAK_YENI1309[[#This Row],[BIRIM_FIYATLAR]])</f>
        <v>0</v>
      </c>
      <c r="N5547">
        <v>0</v>
      </c>
      <c r="P5547">
        <v>0</v>
      </c>
      <c r="Q5547" t="s">
        <v>177</v>
      </c>
    </row>
    <row r="5548" spans="1:17" x14ac:dyDescent="0.25">
      <c r="A5548" t="s">
        <v>1098</v>
      </c>
      <c r="B5548" t="s">
        <v>1096</v>
      </c>
      <c r="C5548" t="s">
        <v>175</v>
      </c>
      <c r="D5548" t="s">
        <v>475</v>
      </c>
      <c r="E5548" t="s">
        <v>476</v>
      </c>
      <c r="F5548">
        <v>1</v>
      </c>
      <c r="G5548" t="s">
        <v>176</v>
      </c>
      <c r="H5548">
        <v>0</v>
      </c>
      <c r="I5548">
        <v>6</v>
      </c>
      <c r="J5548" s="10">
        <v>1.7763568394002505E-15</v>
      </c>
      <c r="K5548" s="10">
        <f>SUMIFS(F:F,D:D,DST_123_ÜRETİM_İHTİYAÇ_RAPORU_BURAK_YENI1309[[#This Row],[ALT_KOD]])-(SUMIFS(H:H,D:D,DST_123_ÜRETİM_İHTİYAÇ_RAPORU_BURAK_YENI1309[[#This Row],[ALT_KOD]])+AVERAGEIFS(I:I,D:D,DST_123_ÜRETİM_İHTİYAÇ_RAPORU_BURAK_YENI1309[[#This Row],[ALT_KOD]])+AVERAGEIFS(L:L,D:D,DST_123_ÜRETİM_İHTİYAÇ_RAPORU_BURAK_YENI1309[[#This Row],[ALT_KOD]]))</f>
        <v>7.25</v>
      </c>
      <c r="L5548">
        <v>0</v>
      </c>
      <c r="M5548">
        <f>IF((DST_123_ÜRETİM_İHTİYAÇ_RAPORU_BURAK_YENI1309[[#This Row],[SATINALMA]]*DST_123_ÜRETİM_İHTİYAÇ_RAPORU_BURAK_YENI1309[[#This Row],[BIRIM_FIYATLAR]])&lt;1,VALUE("0"),DST_123_ÜRETİM_İHTİYAÇ_RAPORU_BURAK_YENI1309[[#This Row],[SATINALMA]]*DST_123_ÜRETİM_İHTİYAÇ_RAPORU_BURAK_YENI1309[[#This Row],[BIRIM_FIYATLAR]])</f>
        <v>145</v>
      </c>
      <c r="N5548">
        <v>20</v>
      </c>
      <c r="O5548" t="s">
        <v>226</v>
      </c>
      <c r="P5548">
        <v>20</v>
      </c>
      <c r="Q5548" t="s">
        <v>180</v>
      </c>
    </row>
    <row r="5549" spans="1:17" x14ac:dyDescent="0.25">
      <c r="A5549" t="s">
        <v>1146</v>
      </c>
      <c r="B5549" t="s">
        <v>1145</v>
      </c>
      <c r="C5549" t="s">
        <v>175</v>
      </c>
      <c r="D5549" t="s">
        <v>263</v>
      </c>
      <c r="E5549" t="s">
        <v>419</v>
      </c>
      <c r="F5549">
        <v>1</v>
      </c>
      <c r="G5549" t="s">
        <v>176</v>
      </c>
      <c r="H5549">
        <v>0</v>
      </c>
      <c r="I5549">
        <v>4</v>
      </c>
      <c r="J5549" s="10">
        <v>11</v>
      </c>
      <c r="K5549" s="10">
        <f>SUMIFS(F:F,D:D,DST_123_ÜRETİM_İHTİYAÇ_RAPORU_BURAK_YENI1309[[#This Row],[ALT_KOD]])-(SUMIFS(H:H,D:D,DST_123_ÜRETİM_İHTİYAÇ_RAPORU_BURAK_YENI1309[[#This Row],[ALT_KOD]])+AVERAGEIFS(I:I,D:D,DST_123_ÜRETİM_İHTİYAÇ_RAPORU_BURAK_YENI1309[[#This Row],[ALT_KOD]])+AVERAGEIFS(L:L,D:D,DST_123_ÜRETİM_İHTİYAÇ_RAPORU_BURAK_YENI1309[[#This Row],[ALT_KOD]]))</f>
        <v>9</v>
      </c>
      <c r="L5549">
        <v>0</v>
      </c>
      <c r="M5549">
        <f>IF((DST_123_ÜRETİM_İHTİYAÇ_RAPORU_BURAK_YENI1309[[#This Row],[SATINALMA]]*DST_123_ÜRETİM_İHTİYAÇ_RAPORU_BURAK_YENI1309[[#This Row],[BIRIM_FIYATLAR]])&lt;1,VALUE("0"),DST_123_ÜRETİM_İHTİYAÇ_RAPORU_BURAK_YENI1309[[#This Row],[SATINALMA]]*DST_123_ÜRETİM_İHTİYAÇ_RAPORU_BURAK_YENI1309[[#This Row],[BIRIM_FIYATLAR]])</f>
        <v>54009.99</v>
      </c>
      <c r="N5549">
        <v>6001.11</v>
      </c>
      <c r="O5549" t="s">
        <v>227</v>
      </c>
      <c r="P5549">
        <v>6001.11</v>
      </c>
      <c r="Q5549" t="s">
        <v>221</v>
      </c>
    </row>
    <row r="5550" spans="1:17" x14ac:dyDescent="0.25">
      <c r="A5550" t="s">
        <v>1144</v>
      </c>
      <c r="B5550" t="s">
        <v>1145</v>
      </c>
      <c r="C5550" t="s">
        <v>175</v>
      </c>
      <c r="D5550" t="s">
        <v>263</v>
      </c>
      <c r="E5550" t="s">
        <v>419</v>
      </c>
      <c r="F5550">
        <v>1</v>
      </c>
      <c r="G5550" t="s">
        <v>176</v>
      </c>
      <c r="H5550">
        <v>0</v>
      </c>
      <c r="I5550">
        <v>4</v>
      </c>
      <c r="J5550" s="10">
        <v>11</v>
      </c>
      <c r="K5550" s="10">
        <f>SUMIFS(F:F,D:D,DST_123_ÜRETİM_İHTİYAÇ_RAPORU_BURAK_YENI1309[[#This Row],[ALT_KOD]])-(SUMIFS(H:H,D:D,DST_123_ÜRETİM_İHTİYAÇ_RAPORU_BURAK_YENI1309[[#This Row],[ALT_KOD]])+AVERAGEIFS(I:I,D:D,DST_123_ÜRETİM_İHTİYAÇ_RAPORU_BURAK_YENI1309[[#This Row],[ALT_KOD]])+AVERAGEIFS(L:L,D:D,DST_123_ÜRETİM_İHTİYAÇ_RAPORU_BURAK_YENI1309[[#This Row],[ALT_KOD]]))</f>
        <v>9</v>
      </c>
      <c r="L5550">
        <v>0</v>
      </c>
      <c r="M5550">
        <f>IF((DST_123_ÜRETİM_İHTİYAÇ_RAPORU_BURAK_YENI1309[[#This Row],[SATINALMA]]*DST_123_ÜRETİM_İHTİYAÇ_RAPORU_BURAK_YENI1309[[#This Row],[BIRIM_FIYATLAR]])&lt;1,VALUE("0"),DST_123_ÜRETİM_İHTİYAÇ_RAPORU_BURAK_YENI1309[[#This Row],[SATINALMA]]*DST_123_ÜRETİM_İHTİYAÇ_RAPORU_BURAK_YENI1309[[#This Row],[BIRIM_FIYATLAR]])</f>
        <v>54009.99</v>
      </c>
      <c r="N5550">
        <v>6001.11</v>
      </c>
      <c r="O5550" t="s">
        <v>227</v>
      </c>
      <c r="P5550">
        <v>6001.11</v>
      </c>
      <c r="Q5550" t="s">
        <v>221</v>
      </c>
    </row>
    <row r="5551" spans="1:17" x14ac:dyDescent="0.25">
      <c r="A5551" t="s">
        <v>1101</v>
      </c>
      <c r="B5551" t="s">
        <v>1102</v>
      </c>
      <c r="C5551" t="s">
        <v>175</v>
      </c>
      <c r="D5551" t="s">
        <v>1076</v>
      </c>
      <c r="E5551" t="s">
        <v>1077</v>
      </c>
      <c r="F5551">
        <v>1</v>
      </c>
      <c r="G5551" t="s">
        <v>176</v>
      </c>
      <c r="H5551">
        <v>0</v>
      </c>
      <c r="I5551">
        <v>0</v>
      </c>
      <c r="J5551" s="10">
        <v>0</v>
      </c>
      <c r="K5551" s="10">
        <f>SUMIFS(F:F,D:D,DST_123_ÜRETİM_İHTİYAÇ_RAPORU_BURAK_YENI1309[[#This Row],[ALT_KOD]])-(SUMIFS(H:H,D:D,DST_123_ÜRETİM_İHTİYAÇ_RAPORU_BURAK_YENI1309[[#This Row],[ALT_KOD]])+AVERAGEIFS(I:I,D:D,DST_123_ÜRETİM_İHTİYAÇ_RAPORU_BURAK_YENI1309[[#This Row],[ALT_KOD]])+AVERAGEIFS(L:L,D:D,DST_123_ÜRETİM_İHTİYAÇ_RAPORU_BURAK_YENI1309[[#This Row],[ALT_KOD]]))</f>
        <v>15</v>
      </c>
      <c r="L5551">
        <v>0</v>
      </c>
      <c r="M5551">
        <f>IF((DST_123_ÜRETİM_İHTİYAÇ_RAPORU_BURAK_YENI1309[[#This Row],[SATINALMA]]*DST_123_ÜRETİM_İHTİYAÇ_RAPORU_BURAK_YENI1309[[#This Row],[BIRIM_FIYATLAR]])&lt;1,VALUE("0"),DST_123_ÜRETİM_İHTİYAÇ_RAPORU_BURAK_YENI1309[[#This Row],[SATINALMA]]*DST_123_ÜRETİM_İHTİYAÇ_RAPORU_BURAK_YENI1309[[#This Row],[BIRIM_FIYATLAR]])</f>
        <v>0</v>
      </c>
      <c r="N5551">
        <v>0</v>
      </c>
      <c r="P5551">
        <v>0</v>
      </c>
      <c r="Q5551" t="s">
        <v>177</v>
      </c>
    </row>
    <row r="5552" spans="1:17" x14ac:dyDescent="0.25">
      <c r="A5552" t="s">
        <v>1149</v>
      </c>
      <c r="B5552" t="s">
        <v>1145</v>
      </c>
      <c r="C5552" t="s">
        <v>175</v>
      </c>
      <c r="D5552" t="s">
        <v>1076</v>
      </c>
      <c r="E5552" t="s">
        <v>1077</v>
      </c>
      <c r="F5552">
        <v>1</v>
      </c>
      <c r="G5552" t="s">
        <v>176</v>
      </c>
      <c r="H5552">
        <v>0</v>
      </c>
      <c r="I5552">
        <v>0</v>
      </c>
      <c r="J5552" s="10">
        <v>0</v>
      </c>
      <c r="K5552" s="10">
        <f>SUMIFS(F:F,D:D,DST_123_ÜRETİM_İHTİYAÇ_RAPORU_BURAK_YENI1309[[#This Row],[ALT_KOD]])-(SUMIFS(H:H,D:D,DST_123_ÜRETİM_İHTİYAÇ_RAPORU_BURAK_YENI1309[[#This Row],[ALT_KOD]])+AVERAGEIFS(I:I,D:D,DST_123_ÜRETİM_İHTİYAÇ_RAPORU_BURAK_YENI1309[[#This Row],[ALT_KOD]])+AVERAGEIFS(L:L,D:D,DST_123_ÜRETİM_İHTİYAÇ_RAPORU_BURAK_YENI1309[[#This Row],[ALT_KOD]]))</f>
        <v>15</v>
      </c>
      <c r="L5552">
        <v>0</v>
      </c>
      <c r="M5552">
        <f>IF((DST_123_ÜRETİM_İHTİYAÇ_RAPORU_BURAK_YENI1309[[#This Row],[SATINALMA]]*DST_123_ÜRETİM_İHTİYAÇ_RAPORU_BURAK_YENI1309[[#This Row],[BIRIM_FIYATLAR]])&lt;1,VALUE("0"),DST_123_ÜRETİM_İHTİYAÇ_RAPORU_BURAK_YENI1309[[#This Row],[SATINALMA]]*DST_123_ÜRETİM_İHTİYAÇ_RAPORU_BURAK_YENI1309[[#This Row],[BIRIM_FIYATLAR]])</f>
        <v>0</v>
      </c>
      <c r="N5552">
        <v>0</v>
      </c>
      <c r="P5552">
        <v>0</v>
      </c>
      <c r="Q5552" t="s">
        <v>177</v>
      </c>
    </row>
    <row r="5553" spans="1:17" x14ac:dyDescent="0.25">
      <c r="A5553" t="s">
        <v>1146</v>
      </c>
      <c r="B5553" t="s">
        <v>1145</v>
      </c>
      <c r="C5553" t="s">
        <v>175</v>
      </c>
      <c r="D5553" t="s">
        <v>1076</v>
      </c>
      <c r="E5553" t="s">
        <v>1077</v>
      </c>
      <c r="F5553">
        <v>1</v>
      </c>
      <c r="G5553" t="s">
        <v>176</v>
      </c>
      <c r="H5553">
        <v>0</v>
      </c>
      <c r="I5553">
        <v>0</v>
      </c>
      <c r="J5553" s="10">
        <v>0</v>
      </c>
      <c r="K5553" s="10">
        <f>SUMIFS(F:F,D:D,DST_123_ÜRETİM_İHTİYAÇ_RAPORU_BURAK_YENI1309[[#This Row],[ALT_KOD]])-(SUMIFS(H:H,D:D,DST_123_ÜRETİM_İHTİYAÇ_RAPORU_BURAK_YENI1309[[#This Row],[ALT_KOD]])+AVERAGEIFS(I:I,D:D,DST_123_ÜRETİM_İHTİYAÇ_RAPORU_BURAK_YENI1309[[#This Row],[ALT_KOD]])+AVERAGEIFS(L:L,D:D,DST_123_ÜRETİM_İHTİYAÇ_RAPORU_BURAK_YENI1309[[#This Row],[ALT_KOD]]))</f>
        <v>15</v>
      </c>
      <c r="L5553">
        <v>0</v>
      </c>
      <c r="M5553">
        <f>IF((DST_123_ÜRETİM_İHTİYAÇ_RAPORU_BURAK_YENI1309[[#This Row],[SATINALMA]]*DST_123_ÜRETİM_İHTİYAÇ_RAPORU_BURAK_YENI1309[[#This Row],[BIRIM_FIYATLAR]])&lt;1,VALUE("0"),DST_123_ÜRETİM_İHTİYAÇ_RAPORU_BURAK_YENI1309[[#This Row],[SATINALMA]]*DST_123_ÜRETİM_İHTİYAÇ_RAPORU_BURAK_YENI1309[[#This Row],[BIRIM_FIYATLAR]])</f>
        <v>0</v>
      </c>
      <c r="N5553">
        <v>0</v>
      </c>
      <c r="P5553">
        <v>0</v>
      </c>
      <c r="Q5553" t="s">
        <v>177</v>
      </c>
    </row>
    <row r="5554" spans="1:17" x14ac:dyDescent="0.25">
      <c r="A5554" t="s">
        <v>1144</v>
      </c>
      <c r="B5554" t="s">
        <v>1145</v>
      </c>
      <c r="C5554" t="s">
        <v>175</v>
      </c>
      <c r="D5554" t="s">
        <v>1076</v>
      </c>
      <c r="E5554" t="s">
        <v>1077</v>
      </c>
      <c r="F5554">
        <v>1</v>
      </c>
      <c r="G5554" t="s">
        <v>176</v>
      </c>
      <c r="H5554">
        <v>0</v>
      </c>
      <c r="I5554">
        <v>0</v>
      </c>
      <c r="J5554" s="10">
        <v>0</v>
      </c>
      <c r="K5554" s="10">
        <f>SUMIFS(F:F,D:D,DST_123_ÜRETİM_İHTİYAÇ_RAPORU_BURAK_YENI1309[[#This Row],[ALT_KOD]])-(SUMIFS(H:H,D:D,DST_123_ÜRETİM_İHTİYAÇ_RAPORU_BURAK_YENI1309[[#This Row],[ALT_KOD]])+AVERAGEIFS(I:I,D:D,DST_123_ÜRETİM_İHTİYAÇ_RAPORU_BURAK_YENI1309[[#This Row],[ALT_KOD]])+AVERAGEIFS(L:L,D:D,DST_123_ÜRETİM_İHTİYAÇ_RAPORU_BURAK_YENI1309[[#This Row],[ALT_KOD]]))</f>
        <v>15</v>
      </c>
      <c r="L5554">
        <v>0</v>
      </c>
      <c r="M5554">
        <f>IF((DST_123_ÜRETİM_İHTİYAÇ_RAPORU_BURAK_YENI1309[[#This Row],[SATINALMA]]*DST_123_ÜRETİM_İHTİYAÇ_RAPORU_BURAK_YENI1309[[#This Row],[BIRIM_FIYATLAR]])&lt;1,VALUE("0"),DST_123_ÜRETİM_İHTİYAÇ_RAPORU_BURAK_YENI1309[[#This Row],[SATINALMA]]*DST_123_ÜRETİM_İHTİYAÇ_RAPORU_BURAK_YENI1309[[#This Row],[BIRIM_FIYATLAR]])</f>
        <v>0</v>
      </c>
      <c r="N5554">
        <v>0</v>
      </c>
      <c r="P5554">
        <v>0</v>
      </c>
      <c r="Q5554" t="s">
        <v>177</v>
      </c>
    </row>
    <row r="5555" spans="1:17" x14ac:dyDescent="0.25">
      <c r="A5555" t="s">
        <v>1059</v>
      </c>
      <c r="B5555" t="s">
        <v>1058</v>
      </c>
      <c r="C5555" t="s">
        <v>175</v>
      </c>
      <c r="D5555" t="s">
        <v>207</v>
      </c>
      <c r="E5555" t="s">
        <v>281</v>
      </c>
      <c r="F5555">
        <v>2.5</v>
      </c>
      <c r="G5555" t="s">
        <v>176</v>
      </c>
      <c r="H5555">
        <v>2.5</v>
      </c>
      <c r="I5555">
        <v>52</v>
      </c>
      <c r="J5555" s="10">
        <v>10.269999999999982</v>
      </c>
      <c r="K5555" s="10">
        <f>SUMIFS(F:F,D:D,DST_123_ÜRETİM_İHTİYAÇ_RAPORU_BURAK_YENI1309[[#This Row],[ALT_KOD]])-(SUMIFS(H:H,D:D,DST_123_ÜRETİM_İHTİYAÇ_RAPORU_BURAK_YENI1309[[#This Row],[ALT_KOD]])+AVERAGEIFS(I:I,D:D,DST_123_ÜRETİM_İHTİYAÇ_RAPORU_BURAK_YENI1309[[#This Row],[ALT_KOD]])+AVERAGEIFS(L:L,D:D,DST_123_ÜRETİM_İHTİYAÇ_RAPORU_BURAK_YENI1309[[#This Row],[ALT_KOD]]))</f>
        <v>-5.0300000000000011</v>
      </c>
      <c r="L5555">
        <v>0</v>
      </c>
      <c r="M5555">
        <f>IF((DST_123_ÜRETİM_İHTİYAÇ_RAPORU_BURAK_YENI1309[[#This Row],[SATINALMA]]*DST_123_ÜRETİM_İHTİYAÇ_RAPORU_BURAK_YENI1309[[#This Row],[BIRIM_FIYATLAR]])&lt;1,VALUE("0"),DST_123_ÜRETİM_İHTİYAÇ_RAPORU_BURAK_YENI1309[[#This Row],[SATINALMA]]*DST_123_ÜRETİM_İHTİYAÇ_RAPORU_BURAK_YENI1309[[#This Row],[BIRIM_FIYATLAR]])</f>
        <v>0</v>
      </c>
      <c r="N5555">
        <v>28</v>
      </c>
      <c r="O5555" t="s">
        <v>240</v>
      </c>
      <c r="P5555">
        <v>70</v>
      </c>
      <c r="Q5555" t="s">
        <v>180</v>
      </c>
    </row>
    <row r="5556" spans="1:17" x14ac:dyDescent="0.25">
      <c r="A5556" t="s">
        <v>1099</v>
      </c>
      <c r="B5556" t="s">
        <v>1055</v>
      </c>
      <c r="C5556" t="s">
        <v>175</v>
      </c>
      <c r="D5556" t="s">
        <v>1076</v>
      </c>
      <c r="E5556" t="s">
        <v>1077</v>
      </c>
      <c r="F5556">
        <v>1</v>
      </c>
      <c r="G5556" t="s">
        <v>176</v>
      </c>
      <c r="H5556">
        <v>0</v>
      </c>
      <c r="I5556">
        <v>0</v>
      </c>
      <c r="J5556" s="10">
        <v>0</v>
      </c>
      <c r="K5556" s="10">
        <f>SUMIFS(F:F,D:D,DST_123_ÜRETİM_İHTİYAÇ_RAPORU_BURAK_YENI1309[[#This Row],[ALT_KOD]])-(SUMIFS(H:H,D:D,DST_123_ÜRETİM_İHTİYAÇ_RAPORU_BURAK_YENI1309[[#This Row],[ALT_KOD]])+AVERAGEIFS(I:I,D:D,DST_123_ÜRETİM_İHTİYAÇ_RAPORU_BURAK_YENI1309[[#This Row],[ALT_KOD]])+AVERAGEIFS(L:L,D:D,DST_123_ÜRETİM_İHTİYAÇ_RAPORU_BURAK_YENI1309[[#This Row],[ALT_KOD]]))</f>
        <v>15</v>
      </c>
      <c r="L5556">
        <v>0</v>
      </c>
      <c r="M5556">
        <f>IF((DST_123_ÜRETİM_İHTİYAÇ_RAPORU_BURAK_YENI1309[[#This Row],[SATINALMA]]*DST_123_ÜRETİM_İHTİYAÇ_RAPORU_BURAK_YENI1309[[#This Row],[BIRIM_FIYATLAR]])&lt;1,VALUE("0"),DST_123_ÜRETİM_İHTİYAÇ_RAPORU_BURAK_YENI1309[[#This Row],[SATINALMA]]*DST_123_ÜRETİM_İHTİYAÇ_RAPORU_BURAK_YENI1309[[#This Row],[BIRIM_FIYATLAR]])</f>
        <v>0</v>
      </c>
      <c r="N5556">
        <v>0</v>
      </c>
      <c r="P5556">
        <v>0</v>
      </c>
      <c r="Q5556" t="s">
        <v>177</v>
      </c>
    </row>
    <row r="5557" spans="1:17" x14ac:dyDescent="0.25">
      <c r="A5557" t="s">
        <v>1196</v>
      </c>
      <c r="B5557" t="s">
        <v>1197</v>
      </c>
      <c r="C5557" t="s">
        <v>175</v>
      </c>
      <c r="D5557" t="s">
        <v>1076</v>
      </c>
      <c r="E5557" t="s">
        <v>1077</v>
      </c>
      <c r="F5557">
        <v>1</v>
      </c>
      <c r="G5557" t="s">
        <v>176</v>
      </c>
      <c r="H5557">
        <v>0</v>
      </c>
      <c r="I5557">
        <v>0</v>
      </c>
      <c r="J5557" s="10">
        <v>0</v>
      </c>
      <c r="K5557" s="10">
        <f>SUMIFS(F:F,D:D,DST_123_ÜRETİM_İHTİYAÇ_RAPORU_BURAK_YENI1309[[#This Row],[ALT_KOD]])-(SUMIFS(H:H,D:D,DST_123_ÜRETİM_İHTİYAÇ_RAPORU_BURAK_YENI1309[[#This Row],[ALT_KOD]])+AVERAGEIFS(I:I,D:D,DST_123_ÜRETİM_İHTİYAÇ_RAPORU_BURAK_YENI1309[[#This Row],[ALT_KOD]])+AVERAGEIFS(L:L,D:D,DST_123_ÜRETİM_İHTİYAÇ_RAPORU_BURAK_YENI1309[[#This Row],[ALT_KOD]]))</f>
        <v>15</v>
      </c>
      <c r="L5557">
        <v>0</v>
      </c>
      <c r="M5557">
        <f>IF((DST_123_ÜRETİM_İHTİYAÇ_RAPORU_BURAK_YENI1309[[#This Row],[SATINALMA]]*DST_123_ÜRETİM_İHTİYAÇ_RAPORU_BURAK_YENI1309[[#This Row],[BIRIM_FIYATLAR]])&lt;1,VALUE("0"),DST_123_ÜRETİM_İHTİYAÇ_RAPORU_BURAK_YENI1309[[#This Row],[SATINALMA]]*DST_123_ÜRETİM_İHTİYAÇ_RAPORU_BURAK_YENI1309[[#This Row],[BIRIM_FIYATLAR]])</f>
        <v>0</v>
      </c>
      <c r="N5557">
        <v>0</v>
      </c>
      <c r="P5557">
        <v>0</v>
      </c>
      <c r="Q5557" t="s">
        <v>177</v>
      </c>
    </row>
    <row r="5558" spans="1:17" x14ac:dyDescent="0.25">
      <c r="A5558" t="s">
        <v>1097</v>
      </c>
      <c r="B5558" t="s">
        <v>1055</v>
      </c>
      <c r="C5558" t="s">
        <v>175</v>
      </c>
      <c r="D5558" t="s">
        <v>776</v>
      </c>
      <c r="E5558" t="s">
        <v>777</v>
      </c>
      <c r="F5558">
        <v>1</v>
      </c>
      <c r="G5558" t="s">
        <v>176</v>
      </c>
      <c r="H5558">
        <v>1</v>
      </c>
      <c r="I5558">
        <v>6</v>
      </c>
      <c r="J5558" s="10">
        <v>7</v>
      </c>
      <c r="K5558" s="10">
        <f>SUMIFS(F:F,D:D,DST_123_ÜRETİM_İHTİYAÇ_RAPORU_BURAK_YENI1309[[#This Row],[ALT_KOD]])-(SUMIFS(H:H,D:D,DST_123_ÜRETİM_İHTİYAÇ_RAPORU_BURAK_YENI1309[[#This Row],[ALT_KOD]])+AVERAGEIFS(I:I,D:D,DST_123_ÜRETİM_İHTİYAÇ_RAPORU_BURAK_YENI1309[[#This Row],[ALT_KOD]])+AVERAGEIFS(L:L,D:D,DST_123_ÜRETİM_İHTİYAÇ_RAPORU_BURAK_YENI1309[[#This Row],[ALT_KOD]]))</f>
        <v>5</v>
      </c>
      <c r="L5558">
        <v>0</v>
      </c>
      <c r="M5558">
        <f>IF((DST_123_ÜRETİM_İHTİYAÇ_RAPORU_BURAK_YENI1309[[#This Row],[SATINALMA]]*DST_123_ÜRETİM_İHTİYAÇ_RAPORU_BURAK_YENI1309[[#This Row],[BIRIM_FIYATLAR]])&lt;1,VALUE("0"),DST_123_ÜRETİM_İHTİYAÇ_RAPORU_BURAK_YENI1309[[#This Row],[SATINALMA]]*DST_123_ÜRETİM_İHTİYAÇ_RAPORU_BURAK_YENI1309[[#This Row],[BIRIM_FIYATLAR]])</f>
        <v>12288.25</v>
      </c>
      <c r="N5558">
        <v>2457.65</v>
      </c>
      <c r="O5558" t="s">
        <v>634</v>
      </c>
      <c r="P5558">
        <v>2457.65</v>
      </c>
      <c r="Q5558" t="s">
        <v>177</v>
      </c>
    </row>
    <row r="5559" spans="1:17" x14ac:dyDescent="0.25">
      <c r="A5559" t="s">
        <v>1101</v>
      </c>
      <c r="B5559" t="s">
        <v>1102</v>
      </c>
      <c r="C5559" t="s">
        <v>175</v>
      </c>
      <c r="D5559" t="s">
        <v>263</v>
      </c>
      <c r="E5559" t="s">
        <v>419</v>
      </c>
      <c r="F5559">
        <v>1</v>
      </c>
      <c r="G5559" t="s">
        <v>176</v>
      </c>
      <c r="H5559">
        <v>1</v>
      </c>
      <c r="I5559">
        <v>4</v>
      </c>
      <c r="J5559" s="10">
        <v>11</v>
      </c>
      <c r="K5559" s="10">
        <f>SUMIFS(F:F,D:D,DST_123_ÜRETİM_İHTİYAÇ_RAPORU_BURAK_YENI1309[[#This Row],[ALT_KOD]])-(SUMIFS(H:H,D:D,DST_123_ÜRETİM_İHTİYAÇ_RAPORU_BURAK_YENI1309[[#This Row],[ALT_KOD]])+AVERAGEIFS(I:I,D:D,DST_123_ÜRETİM_İHTİYAÇ_RAPORU_BURAK_YENI1309[[#This Row],[ALT_KOD]])+AVERAGEIFS(L:L,D:D,DST_123_ÜRETİM_İHTİYAÇ_RAPORU_BURAK_YENI1309[[#This Row],[ALT_KOD]]))</f>
        <v>9</v>
      </c>
      <c r="L5559">
        <v>0</v>
      </c>
      <c r="M5559">
        <f>IF((DST_123_ÜRETİM_İHTİYAÇ_RAPORU_BURAK_YENI1309[[#This Row],[SATINALMA]]*DST_123_ÜRETİM_İHTİYAÇ_RAPORU_BURAK_YENI1309[[#This Row],[BIRIM_FIYATLAR]])&lt;1,VALUE("0"),DST_123_ÜRETİM_İHTİYAÇ_RAPORU_BURAK_YENI1309[[#This Row],[SATINALMA]]*DST_123_ÜRETİM_İHTİYAÇ_RAPORU_BURAK_YENI1309[[#This Row],[BIRIM_FIYATLAR]])</f>
        <v>54009.99</v>
      </c>
      <c r="N5559">
        <v>6001.11</v>
      </c>
      <c r="O5559" t="s">
        <v>227</v>
      </c>
      <c r="P5559">
        <v>6001.11</v>
      </c>
      <c r="Q5559" t="s">
        <v>221</v>
      </c>
    </row>
    <row r="5560" spans="1:17" x14ac:dyDescent="0.25">
      <c r="A5560" t="s">
        <v>1150</v>
      </c>
      <c r="B5560" t="s">
        <v>1145</v>
      </c>
      <c r="C5560" t="s">
        <v>175</v>
      </c>
      <c r="D5560" t="s">
        <v>1076</v>
      </c>
      <c r="E5560" t="s">
        <v>1077</v>
      </c>
      <c r="F5560">
        <v>1</v>
      </c>
      <c r="G5560" t="s">
        <v>176</v>
      </c>
      <c r="H5560">
        <v>0</v>
      </c>
      <c r="I5560">
        <v>0</v>
      </c>
      <c r="J5560" s="10">
        <v>0</v>
      </c>
      <c r="K5560" s="10">
        <f>SUMIFS(F:F,D:D,DST_123_ÜRETİM_İHTİYAÇ_RAPORU_BURAK_YENI1309[[#This Row],[ALT_KOD]])-(SUMIFS(H:H,D:D,DST_123_ÜRETİM_İHTİYAÇ_RAPORU_BURAK_YENI1309[[#This Row],[ALT_KOD]])+AVERAGEIFS(I:I,D:D,DST_123_ÜRETİM_İHTİYAÇ_RAPORU_BURAK_YENI1309[[#This Row],[ALT_KOD]])+AVERAGEIFS(L:L,D:D,DST_123_ÜRETİM_İHTİYAÇ_RAPORU_BURAK_YENI1309[[#This Row],[ALT_KOD]]))</f>
        <v>15</v>
      </c>
      <c r="L5560">
        <v>0</v>
      </c>
      <c r="M5560">
        <f>IF((DST_123_ÜRETİM_İHTİYAÇ_RAPORU_BURAK_YENI1309[[#This Row],[SATINALMA]]*DST_123_ÜRETİM_İHTİYAÇ_RAPORU_BURAK_YENI1309[[#This Row],[BIRIM_FIYATLAR]])&lt;1,VALUE("0"),DST_123_ÜRETİM_İHTİYAÇ_RAPORU_BURAK_YENI1309[[#This Row],[SATINALMA]]*DST_123_ÜRETİM_İHTİYAÇ_RAPORU_BURAK_YENI1309[[#This Row],[BIRIM_FIYATLAR]])</f>
        <v>0</v>
      </c>
      <c r="N5560">
        <v>0</v>
      </c>
      <c r="P5560">
        <v>0</v>
      </c>
      <c r="Q5560" t="s">
        <v>177</v>
      </c>
    </row>
    <row r="5561" spans="1:17" x14ac:dyDescent="0.25">
      <c r="A5561" t="s">
        <v>1060</v>
      </c>
      <c r="B5561" t="s">
        <v>1061</v>
      </c>
      <c r="C5561" t="s">
        <v>175</v>
      </c>
      <c r="D5561" t="s">
        <v>404</v>
      </c>
      <c r="E5561" t="s">
        <v>405</v>
      </c>
      <c r="F5561">
        <v>5</v>
      </c>
      <c r="G5561" t="s">
        <v>176</v>
      </c>
      <c r="H5561">
        <v>5</v>
      </c>
      <c r="I5561">
        <v>234</v>
      </c>
      <c r="J5561" s="10">
        <v>30</v>
      </c>
      <c r="K5561" s="10">
        <f>SUMIFS(F:F,D:D,DST_123_ÜRETİM_İHTİYAÇ_RAPORU_BURAK_YENI1309[[#This Row],[ALT_KOD]])-(SUMIFS(H:H,D:D,DST_123_ÜRETİM_İHTİYAÇ_RAPORU_BURAK_YENI1309[[#This Row],[ALT_KOD]])+AVERAGEIFS(I:I,D:D,DST_123_ÜRETİM_İHTİYAÇ_RAPORU_BURAK_YENI1309[[#This Row],[ALT_KOD]])+AVERAGEIFS(L:L,D:D,DST_123_ÜRETİM_İHTİYAÇ_RAPORU_BURAK_YENI1309[[#This Row],[ALT_KOD]]))</f>
        <v>-169</v>
      </c>
      <c r="L5561">
        <v>0</v>
      </c>
      <c r="M5561">
        <f>IF((DST_123_ÜRETİM_İHTİYAÇ_RAPORU_BURAK_YENI1309[[#This Row],[SATINALMA]]*DST_123_ÜRETİM_İHTİYAÇ_RAPORU_BURAK_YENI1309[[#This Row],[BIRIM_FIYATLAR]])&lt;1,VALUE("0"),DST_123_ÜRETİM_İHTİYAÇ_RAPORU_BURAK_YENI1309[[#This Row],[SATINALMA]]*DST_123_ÜRETİM_İHTİYAÇ_RAPORU_BURAK_YENI1309[[#This Row],[BIRIM_FIYATLAR]])</f>
        <v>0</v>
      </c>
      <c r="N5561">
        <v>15.21</v>
      </c>
      <c r="O5561" t="s">
        <v>826</v>
      </c>
      <c r="P5561">
        <v>76.050000000000011</v>
      </c>
      <c r="Q5561" t="s">
        <v>221</v>
      </c>
    </row>
    <row r="5562" spans="1:17" x14ac:dyDescent="0.25">
      <c r="A5562" t="s">
        <v>1196</v>
      </c>
      <c r="B5562" t="s">
        <v>1197</v>
      </c>
      <c r="C5562" t="s">
        <v>175</v>
      </c>
      <c r="D5562" t="s">
        <v>367</v>
      </c>
      <c r="E5562" t="s">
        <v>368</v>
      </c>
      <c r="F5562">
        <v>49</v>
      </c>
      <c r="G5562" t="s">
        <v>176</v>
      </c>
      <c r="H5562">
        <v>0</v>
      </c>
      <c r="I5562">
        <v>1000</v>
      </c>
      <c r="J5562" s="10">
        <v>396</v>
      </c>
      <c r="K5562" s="10">
        <f>SUMIFS(F:F,D:D,DST_123_ÜRETİM_İHTİYAÇ_RAPORU_BURAK_YENI1309[[#This Row],[ALT_KOD]])-(SUMIFS(H:H,D:D,DST_123_ÜRETİM_İHTİYAÇ_RAPORU_BURAK_YENI1309[[#This Row],[ALT_KOD]])+AVERAGEIFS(I:I,D:D,DST_123_ÜRETİM_İHTİYAÇ_RAPORU_BURAK_YENI1309[[#This Row],[ALT_KOD]])+AVERAGEIFS(L:L,D:D,DST_123_ÜRETİM_İHTİYAÇ_RAPORU_BURAK_YENI1309[[#This Row],[ALT_KOD]]))</f>
        <v>-91</v>
      </c>
      <c r="L5562">
        <v>0</v>
      </c>
      <c r="M5562">
        <f>IF((DST_123_ÜRETİM_İHTİYAÇ_RAPORU_BURAK_YENI1309[[#This Row],[SATINALMA]]*DST_123_ÜRETİM_İHTİYAÇ_RAPORU_BURAK_YENI1309[[#This Row],[BIRIM_FIYATLAR]])&lt;1,VALUE("0"),DST_123_ÜRETİM_İHTİYAÇ_RAPORU_BURAK_YENI1309[[#This Row],[SATINALMA]]*DST_123_ÜRETİM_İHTİYAÇ_RAPORU_BURAK_YENI1309[[#This Row],[BIRIM_FIYATLAR]])</f>
        <v>0</v>
      </c>
      <c r="N5562">
        <v>12.5</v>
      </c>
      <c r="O5562" t="s">
        <v>369</v>
      </c>
      <c r="P5562">
        <v>612.5</v>
      </c>
      <c r="Q5562" t="s">
        <v>180</v>
      </c>
    </row>
    <row r="5563" spans="1:17" x14ac:dyDescent="0.25">
      <c r="A5563" t="s">
        <v>1097</v>
      </c>
      <c r="B5563" t="s">
        <v>1055</v>
      </c>
      <c r="C5563" t="s">
        <v>175</v>
      </c>
      <c r="D5563" t="s">
        <v>758</v>
      </c>
      <c r="E5563" t="s">
        <v>759</v>
      </c>
      <c r="F5563">
        <v>1</v>
      </c>
      <c r="G5563" t="s">
        <v>176</v>
      </c>
      <c r="H5563">
        <v>1</v>
      </c>
      <c r="I5563">
        <v>5</v>
      </c>
      <c r="J5563" s="10">
        <v>6</v>
      </c>
      <c r="K5563" s="10">
        <f>SUMIFS(F:F,D:D,DST_123_ÜRETİM_İHTİYAÇ_RAPORU_BURAK_YENI1309[[#This Row],[ALT_KOD]])-(SUMIFS(H:H,D:D,DST_123_ÜRETİM_İHTİYAÇ_RAPORU_BURAK_YENI1309[[#This Row],[ALT_KOD]])+AVERAGEIFS(I:I,D:D,DST_123_ÜRETİM_İHTİYAÇ_RAPORU_BURAK_YENI1309[[#This Row],[ALT_KOD]])+AVERAGEIFS(L:L,D:D,DST_123_ÜRETİM_İHTİYAÇ_RAPORU_BURAK_YENI1309[[#This Row],[ALT_KOD]]))</f>
        <v>-4</v>
      </c>
      <c r="L5563">
        <v>0</v>
      </c>
      <c r="M5563">
        <f>IF((DST_123_ÜRETİM_İHTİYAÇ_RAPORU_BURAK_YENI1309[[#This Row],[SATINALMA]]*DST_123_ÜRETİM_İHTİYAÇ_RAPORU_BURAK_YENI1309[[#This Row],[BIRIM_FIYATLAR]])&lt;1,VALUE("0"),DST_123_ÜRETİM_İHTİYAÇ_RAPORU_BURAK_YENI1309[[#This Row],[SATINALMA]]*DST_123_ÜRETİM_İHTİYAÇ_RAPORU_BURAK_YENI1309[[#This Row],[BIRIM_FIYATLAR]])</f>
        <v>0</v>
      </c>
      <c r="N5563">
        <v>8495.43</v>
      </c>
      <c r="O5563" t="s">
        <v>275</v>
      </c>
      <c r="P5563">
        <v>8495.43</v>
      </c>
      <c r="Q5563" t="s">
        <v>177</v>
      </c>
    </row>
    <row r="5564" spans="1:17" x14ac:dyDescent="0.25">
      <c r="A5564" t="s">
        <v>1101</v>
      </c>
      <c r="B5564" t="s">
        <v>1102</v>
      </c>
      <c r="C5564" t="s">
        <v>175</v>
      </c>
      <c r="D5564" t="s">
        <v>210</v>
      </c>
      <c r="E5564" t="s">
        <v>211</v>
      </c>
      <c r="F5564">
        <v>1</v>
      </c>
      <c r="G5564" t="s">
        <v>176</v>
      </c>
      <c r="H5564">
        <v>1</v>
      </c>
      <c r="I5564">
        <v>21</v>
      </c>
      <c r="J5564" s="10">
        <v>10</v>
      </c>
      <c r="K5564" s="10">
        <f>SUMIFS(F:F,D:D,DST_123_ÜRETİM_İHTİYAÇ_RAPORU_BURAK_YENI1309[[#This Row],[ALT_KOD]])-(SUMIFS(H:H,D:D,DST_123_ÜRETİM_İHTİYAÇ_RAPORU_BURAK_YENI1309[[#This Row],[ALT_KOD]])+AVERAGEIFS(I:I,D:D,DST_123_ÜRETİM_İHTİYAÇ_RAPORU_BURAK_YENI1309[[#This Row],[ALT_KOD]])+AVERAGEIFS(L:L,D:D,DST_123_ÜRETİM_İHTİYAÇ_RAPORU_BURAK_YENI1309[[#This Row],[ALT_KOD]]))</f>
        <v>-50</v>
      </c>
      <c r="L5564">
        <v>40</v>
      </c>
      <c r="M5564">
        <f>IF((DST_123_ÜRETİM_İHTİYAÇ_RAPORU_BURAK_YENI1309[[#This Row],[SATINALMA]]*DST_123_ÜRETİM_İHTİYAÇ_RAPORU_BURAK_YENI1309[[#This Row],[BIRIM_FIYATLAR]])&lt;1,VALUE("0"),DST_123_ÜRETİM_İHTİYAÇ_RAPORU_BURAK_YENI1309[[#This Row],[SATINALMA]]*DST_123_ÜRETİM_İHTİYAÇ_RAPORU_BURAK_YENI1309[[#This Row],[BIRIM_FIYATLAR]])</f>
        <v>0</v>
      </c>
      <c r="N5564">
        <v>312</v>
      </c>
      <c r="O5564" t="s">
        <v>217</v>
      </c>
      <c r="P5564">
        <v>312</v>
      </c>
      <c r="Q5564" t="s">
        <v>177</v>
      </c>
    </row>
    <row r="5565" spans="1:17" x14ac:dyDescent="0.25">
      <c r="A5565" t="s">
        <v>1059</v>
      </c>
      <c r="B5565" t="s">
        <v>1058</v>
      </c>
      <c r="C5565" t="s">
        <v>175</v>
      </c>
      <c r="D5565" t="s">
        <v>934</v>
      </c>
      <c r="E5565" t="s">
        <v>935</v>
      </c>
      <c r="F5565">
        <v>2</v>
      </c>
      <c r="G5565" t="s">
        <v>176</v>
      </c>
      <c r="H5565">
        <v>2</v>
      </c>
      <c r="I5565">
        <v>33</v>
      </c>
      <c r="J5565" s="10">
        <v>16</v>
      </c>
      <c r="K5565" s="10">
        <f>SUMIFS(F:F,D:D,DST_123_ÜRETİM_İHTİYAÇ_RAPORU_BURAK_YENI1309[[#This Row],[ALT_KOD]])-(SUMIFS(H:H,D:D,DST_123_ÜRETİM_İHTİYAÇ_RAPORU_BURAK_YENI1309[[#This Row],[ALT_KOD]])+AVERAGEIFS(I:I,D:D,DST_123_ÜRETİM_İHTİYAÇ_RAPORU_BURAK_YENI1309[[#This Row],[ALT_KOD]])+AVERAGEIFS(L:L,D:D,DST_123_ÜRETİM_İHTİYAÇ_RAPORU_BURAK_YENI1309[[#This Row],[ALT_KOD]]))</f>
        <v>-31</v>
      </c>
      <c r="L5565">
        <v>0</v>
      </c>
      <c r="M5565">
        <f>IF((DST_123_ÜRETİM_İHTİYAÇ_RAPORU_BURAK_YENI1309[[#This Row],[SATINALMA]]*DST_123_ÜRETİM_İHTİYAÇ_RAPORU_BURAK_YENI1309[[#This Row],[BIRIM_FIYATLAR]])&lt;1,VALUE("0"),DST_123_ÜRETİM_İHTİYAÇ_RAPORU_BURAK_YENI1309[[#This Row],[SATINALMA]]*DST_123_ÜRETİM_İHTİYAÇ_RAPORU_BURAK_YENI1309[[#This Row],[BIRIM_FIYATLAR]])</f>
        <v>0</v>
      </c>
      <c r="N5565">
        <v>930</v>
      </c>
      <c r="O5565" t="s">
        <v>220</v>
      </c>
      <c r="P5565">
        <v>1860</v>
      </c>
      <c r="Q5565" t="s">
        <v>221</v>
      </c>
    </row>
    <row r="5566" spans="1:17" x14ac:dyDescent="0.25">
      <c r="A5566" t="s">
        <v>1059</v>
      </c>
      <c r="B5566" t="s">
        <v>1058</v>
      </c>
      <c r="C5566" t="s">
        <v>175</v>
      </c>
      <c r="D5566" t="s">
        <v>84</v>
      </c>
      <c r="E5566" t="s">
        <v>85</v>
      </c>
      <c r="F5566">
        <v>2</v>
      </c>
      <c r="G5566" t="s">
        <v>176</v>
      </c>
      <c r="H5566">
        <v>2</v>
      </c>
      <c r="I5566">
        <v>40</v>
      </c>
      <c r="J5566" s="10">
        <v>16</v>
      </c>
      <c r="K5566" s="10">
        <f>SUMIFS(F:F,D:D,DST_123_ÜRETİM_İHTİYAÇ_RAPORU_BURAK_YENI1309[[#This Row],[ALT_KOD]])-(SUMIFS(H:H,D:D,DST_123_ÜRETİM_İHTİYAÇ_RAPORU_BURAK_YENI1309[[#This Row],[ALT_KOD]])+AVERAGEIFS(I:I,D:D,DST_123_ÜRETİM_İHTİYAÇ_RAPORU_BURAK_YENI1309[[#This Row],[ALT_KOD]])+AVERAGEIFS(L:L,D:D,DST_123_ÜRETİM_İHTİYAÇ_RAPORU_BURAK_YENI1309[[#This Row],[ALT_KOD]]))</f>
        <v>-18</v>
      </c>
      <c r="L5566">
        <v>0</v>
      </c>
      <c r="M5566">
        <f>IF((DST_123_ÜRETİM_İHTİYAÇ_RAPORU_BURAK_YENI1309[[#This Row],[SATINALMA]]*DST_123_ÜRETİM_İHTİYAÇ_RAPORU_BURAK_YENI1309[[#This Row],[BIRIM_FIYATLAR]])&lt;1,VALUE("0"),DST_123_ÜRETİM_İHTİYAÇ_RAPORU_BURAK_YENI1309[[#This Row],[SATINALMA]]*DST_123_ÜRETİM_İHTİYAÇ_RAPORU_BURAK_YENI1309[[#This Row],[BIRIM_FIYATLAR]])</f>
        <v>0</v>
      </c>
      <c r="N5566">
        <v>375</v>
      </c>
      <c r="O5566" t="s">
        <v>247</v>
      </c>
      <c r="P5566">
        <v>750</v>
      </c>
      <c r="Q5566" t="s">
        <v>177</v>
      </c>
    </row>
    <row r="5567" spans="1:17" x14ac:dyDescent="0.25">
      <c r="A5567" t="s">
        <v>1064</v>
      </c>
      <c r="B5567" t="s">
        <v>1055</v>
      </c>
      <c r="C5567" t="s">
        <v>175</v>
      </c>
      <c r="D5567" t="s">
        <v>34</v>
      </c>
      <c r="E5567" t="s">
        <v>35</v>
      </c>
      <c r="F5567">
        <v>1</v>
      </c>
      <c r="G5567" t="s">
        <v>176</v>
      </c>
      <c r="H5567">
        <v>1</v>
      </c>
      <c r="I5567">
        <v>17</v>
      </c>
      <c r="J5567" s="10">
        <v>8</v>
      </c>
      <c r="K5567" s="10">
        <f>SUMIFS(F:F,D:D,DST_123_ÜRETİM_İHTİYAÇ_RAPORU_BURAK_YENI1309[[#This Row],[ALT_KOD]])-(SUMIFS(H:H,D:D,DST_123_ÜRETİM_İHTİYAÇ_RAPORU_BURAK_YENI1309[[#This Row],[ALT_KOD]])+AVERAGEIFS(I:I,D:D,DST_123_ÜRETİM_İHTİYAÇ_RAPORU_BURAK_YENI1309[[#This Row],[ALT_KOD]])+AVERAGEIFS(L:L,D:D,DST_123_ÜRETİM_İHTİYAÇ_RAPORU_BURAK_YENI1309[[#This Row],[ALT_KOD]]))</f>
        <v>-1</v>
      </c>
      <c r="L5567">
        <v>0</v>
      </c>
      <c r="M5567">
        <f>IF((DST_123_ÜRETİM_İHTİYAÇ_RAPORU_BURAK_YENI1309[[#This Row],[SATINALMA]]*DST_123_ÜRETİM_İHTİYAÇ_RAPORU_BURAK_YENI1309[[#This Row],[BIRIM_FIYATLAR]])&lt;1,VALUE("0"),DST_123_ÜRETİM_İHTİYAÇ_RAPORU_BURAK_YENI1309[[#This Row],[SATINALMA]]*DST_123_ÜRETİM_İHTİYAÇ_RAPORU_BURAK_YENI1309[[#This Row],[BIRIM_FIYATLAR]])</f>
        <v>0</v>
      </c>
      <c r="N5567">
        <v>33.340000000000003</v>
      </c>
      <c r="O5567" t="s">
        <v>227</v>
      </c>
      <c r="P5567">
        <v>33.340000000000003</v>
      </c>
      <c r="Q5567" t="s">
        <v>221</v>
      </c>
    </row>
    <row r="5568" spans="1:17" x14ac:dyDescent="0.25">
      <c r="A5568" t="s">
        <v>1100</v>
      </c>
      <c r="B5568" t="s">
        <v>1058</v>
      </c>
      <c r="C5568" t="s">
        <v>175</v>
      </c>
      <c r="D5568" t="s">
        <v>36</v>
      </c>
      <c r="E5568" t="s">
        <v>37</v>
      </c>
      <c r="F5568">
        <v>3</v>
      </c>
      <c r="G5568" t="s">
        <v>176</v>
      </c>
      <c r="H5568">
        <v>3</v>
      </c>
      <c r="I5568">
        <v>29</v>
      </c>
      <c r="J5568" s="10">
        <v>30</v>
      </c>
      <c r="K5568" s="10">
        <f>SUMIFS(F:F,D:D,DST_123_ÜRETİM_İHTİYAÇ_RAPORU_BURAK_YENI1309[[#This Row],[ALT_KOD]])-(SUMIFS(H:H,D:D,DST_123_ÜRETİM_İHTİYAÇ_RAPORU_BURAK_YENI1309[[#This Row],[ALT_KOD]])+AVERAGEIFS(I:I,D:D,DST_123_ÜRETİM_İHTİYAÇ_RAPORU_BURAK_YENI1309[[#This Row],[ALT_KOD]])+AVERAGEIFS(L:L,D:D,DST_123_ÜRETİM_İHTİYAÇ_RAPORU_BURAK_YENI1309[[#This Row],[ALT_KOD]]))</f>
        <v>10</v>
      </c>
      <c r="L5568">
        <v>0</v>
      </c>
      <c r="M5568">
        <f>IF((DST_123_ÜRETİM_İHTİYAÇ_RAPORU_BURAK_YENI1309[[#This Row],[SATINALMA]]*DST_123_ÜRETİM_İHTİYAÇ_RAPORU_BURAK_YENI1309[[#This Row],[BIRIM_FIYATLAR]])&lt;1,VALUE("0"),DST_123_ÜRETİM_İHTİYAÇ_RAPORU_BURAK_YENI1309[[#This Row],[SATINALMA]]*DST_123_ÜRETİM_İHTİYAÇ_RAPORU_BURAK_YENI1309[[#This Row],[BIRIM_FIYATLAR]])</f>
        <v>17500</v>
      </c>
      <c r="N5568">
        <v>1750</v>
      </c>
      <c r="O5568" t="s">
        <v>1220</v>
      </c>
      <c r="P5568">
        <v>5250</v>
      </c>
      <c r="Q5568" t="s">
        <v>221</v>
      </c>
    </row>
    <row r="5569" spans="1:17" x14ac:dyDescent="0.25">
      <c r="A5569" t="s">
        <v>1064</v>
      </c>
      <c r="B5569" t="s">
        <v>1055</v>
      </c>
      <c r="C5569" t="s">
        <v>175</v>
      </c>
      <c r="D5569" t="s">
        <v>36</v>
      </c>
      <c r="E5569" t="s">
        <v>37</v>
      </c>
      <c r="F5569">
        <v>3</v>
      </c>
      <c r="G5569" t="s">
        <v>176</v>
      </c>
      <c r="H5569">
        <v>3</v>
      </c>
      <c r="I5569">
        <v>29</v>
      </c>
      <c r="J5569" s="10">
        <v>30</v>
      </c>
      <c r="K5569" s="10">
        <f>SUMIFS(F:F,D:D,DST_123_ÜRETİM_İHTİYAÇ_RAPORU_BURAK_YENI1309[[#This Row],[ALT_KOD]])-(SUMIFS(H:H,D:D,DST_123_ÜRETİM_İHTİYAÇ_RAPORU_BURAK_YENI1309[[#This Row],[ALT_KOD]])+AVERAGEIFS(I:I,D:D,DST_123_ÜRETİM_İHTİYAÇ_RAPORU_BURAK_YENI1309[[#This Row],[ALT_KOD]])+AVERAGEIFS(L:L,D:D,DST_123_ÜRETİM_İHTİYAÇ_RAPORU_BURAK_YENI1309[[#This Row],[ALT_KOD]]))</f>
        <v>10</v>
      </c>
      <c r="L5569">
        <v>0</v>
      </c>
      <c r="M5569">
        <f>IF((DST_123_ÜRETİM_İHTİYAÇ_RAPORU_BURAK_YENI1309[[#This Row],[SATINALMA]]*DST_123_ÜRETİM_İHTİYAÇ_RAPORU_BURAK_YENI1309[[#This Row],[BIRIM_FIYATLAR]])&lt;1,VALUE("0"),DST_123_ÜRETİM_İHTİYAÇ_RAPORU_BURAK_YENI1309[[#This Row],[SATINALMA]]*DST_123_ÜRETİM_İHTİYAÇ_RAPORU_BURAK_YENI1309[[#This Row],[BIRIM_FIYATLAR]])</f>
        <v>17500</v>
      </c>
      <c r="N5569">
        <v>1750</v>
      </c>
      <c r="O5569" t="s">
        <v>1220</v>
      </c>
      <c r="P5569">
        <v>5250</v>
      </c>
      <c r="Q5569" t="s">
        <v>221</v>
      </c>
    </row>
    <row r="5570" spans="1:17" x14ac:dyDescent="0.25">
      <c r="A5570" t="s">
        <v>1099</v>
      </c>
      <c r="B5570" t="s">
        <v>1055</v>
      </c>
      <c r="C5570" t="s">
        <v>175</v>
      </c>
      <c r="D5570" t="s">
        <v>441</v>
      </c>
      <c r="E5570" t="s">
        <v>442</v>
      </c>
      <c r="F5570">
        <v>1</v>
      </c>
      <c r="G5570" t="s">
        <v>176</v>
      </c>
      <c r="H5570">
        <v>1</v>
      </c>
      <c r="I5570">
        <v>23</v>
      </c>
      <c r="J5570" s="10">
        <v>5</v>
      </c>
      <c r="K5570" s="10">
        <f>SUMIFS(F:F,D:D,DST_123_ÜRETİM_İHTİYAÇ_RAPORU_BURAK_YENI1309[[#This Row],[ALT_KOD]])-(SUMIFS(H:H,D:D,DST_123_ÜRETİM_İHTİYAÇ_RAPORU_BURAK_YENI1309[[#This Row],[ALT_KOD]])+AVERAGEIFS(I:I,D:D,DST_123_ÜRETİM_İHTİYAÇ_RAPORU_BURAK_YENI1309[[#This Row],[ALT_KOD]])+AVERAGEIFS(L:L,D:D,DST_123_ÜRETİM_İHTİYAÇ_RAPORU_BURAK_YENI1309[[#This Row],[ALT_KOD]]))</f>
        <v>-11</v>
      </c>
      <c r="L5570">
        <v>0</v>
      </c>
      <c r="M5570">
        <f>IF((DST_123_ÜRETİM_İHTİYAÇ_RAPORU_BURAK_YENI1309[[#This Row],[SATINALMA]]*DST_123_ÜRETİM_İHTİYAÇ_RAPORU_BURAK_YENI1309[[#This Row],[BIRIM_FIYATLAR]])&lt;1,VALUE("0"),DST_123_ÜRETİM_İHTİYAÇ_RAPORU_BURAK_YENI1309[[#This Row],[SATINALMA]]*DST_123_ÜRETİM_İHTİYAÇ_RAPORU_BURAK_YENI1309[[#This Row],[BIRIM_FIYATLAR]])</f>
        <v>0</v>
      </c>
      <c r="N5570">
        <v>360.19</v>
      </c>
      <c r="O5570" t="s">
        <v>636</v>
      </c>
      <c r="P5570">
        <v>360.19</v>
      </c>
      <c r="Q5570" t="s">
        <v>178</v>
      </c>
    </row>
    <row r="5571" spans="1:17" x14ac:dyDescent="0.25">
      <c r="A5571" t="s">
        <v>1099</v>
      </c>
      <c r="B5571" t="s">
        <v>1055</v>
      </c>
      <c r="C5571" t="s">
        <v>175</v>
      </c>
      <c r="D5571" t="s">
        <v>210</v>
      </c>
      <c r="E5571" t="s">
        <v>211</v>
      </c>
      <c r="F5571">
        <v>1</v>
      </c>
      <c r="G5571" t="s">
        <v>176</v>
      </c>
      <c r="H5571">
        <v>1</v>
      </c>
      <c r="I5571">
        <v>21</v>
      </c>
      <c r="J5571" s="10">
        <v>10</v>
      </c>
      <c r="K5571" s="10">
        <f>SUMIFS(F:F,D:D,DST_123_ÜRETİM_İHTİYAÇ_RAPORU_BURAK_YENI1309[[#This Row],[ALT_KOD]])-(SUMIFS(H:H,D:D,DST_123_ÜRETİM_İHTİYAÇ_RAPORU_BURAK_YENI1309[[#This Row],[ALT_KOD]])+AVERAGEIFS(I:I,D:D,DST_123_ÜRETİM_İHTİYAÇ_RAPORU_BURAK_YENI1309[[#This Row],[ALT_KOD]])+AVERAGEIFS(L:L,D:D,DST_123_ÜRETİM_İHTİYAÇ_RAPORU_BURAK_YENI1309[[#This Row],[ALT_KOD]]))</f>
        <v>-50</v>
      </c>
      <c r="L5571">
        <v>40</v>
      </c>
      <c r="M5571">
        <f>IF((DST_123_ÜRETİM_İHTİYAÇ_RAPORU_BURAK_YENI1309[[#This Row],[SATINALMA]]*DST_123_ÜRETİM_İHTİYAÇ_RAPORU_BURAK_YENI1309[[#This Row],[BIRIM_FIYATLAR]])&lt;1,VALUE("0"),DST_123_ÜRETİM_İHTİYAÇ_RAPORU_BURAK_YENI1309[[#This Row],[SATINALMA]]*DST_123_ÜRETİM_İHTİYAÇ_RAPORU_BURAK_YENI1309[[#This Row],[BIRIM_FIYATLAR]])</f>
        <v>0</v>
      </c>
      <c r="N5571">
        <v>312</v>
      </c>
      <c r="O5571" t="s">
        <v>217</v>
      </c>
      <c r="P5571">
        <v>312</v>
      </c>
      <c r="Q5571" t="s">
        <v>177</v>
      </c>
    </row>
    <row r="5572" spans="1:17" x14ac:dyDescent="0.25">
      <c r="A5572" t="s">
        <v>1099</v>
      </c>
      <c r="B5572" t="s">
        <v>1055</v>
      </c>
      <c r="C5572" t="s">
        <v>175</v>
      </c>
      <c r="D5572" t="s">
        <v>34</v>
      </c>
      <c r="E5572" t="s">
        <v>35</v>
      </c>
      <c r="F5572">
        <v>1</v>
      </c>
      <c r="G5572" t="s">
        <v>176</v>
      </c>
      <c r="H5572">
        <v>1</v>
      </c>
      <c r="I5572">
        <v>17</v>
      </c>
      <c r="J5572" s="10">
        <v>8</v>
      </c>
      <c r="K5572" s="10">
        <f>SUMIFS(F:F,D:D,DST_123_ÜRETİM_İHTİYAÇ_RAPORU_BURAK_YENI1309[[#This Row],[ALT_KOD]])-(SUMIFS(H:H,D:D,DST_123_ÜRETİM_İHTİYAÇ_RAPORU_BURAK_YENI1309[[#This Row],[ALT_KOD]])+AVERAGEIFS(I:I,D:D,DST_123_ÜRETİM_İHTİYAÇ_RAPORU_BURAK_YENI1309[[#This Row],[ALT_KOD]])+AVERAGEIFS(L:L,D:D,DST_123_ÜRETİM_İHTİYAÇ_RAPORU_BURAK_YENI1309[[#This Row],[ALT_KOD]]))</f>
        <v>-1</v>
      </c>
      <c r="L5572">
        <v>0</v>
      </c>
      <c r="M5572">
        <f>IF((DST_123_ÜRETİM_İHTİYAÇ_RAPORU_BURAK_YENI1309[[#This Row],[SATINALMA]]*DST_123_ÜRETİM_İHTİYAÇ_RAPORU_BURAK_YENI1309[[#This Row],[BIRIM_FIYATLAR]])&lt;1,VALUE("0"),DST_123_ÜRETİM_İHTİYAÇ_RAPORU_BURAK_YENI1309[[#This Row],[SATINALMA]]*DST_123_ÜRETİM_İHTİYAÇ_RAPORU_BURAK_YENI1309[[#This Row],[BIRIM_FIYATLAR]])</f>
        <v>0</v>
      </c>
      <c r="N5572">
        <v>33.340000000000003</v>
      </c>
      <c r="O5572" t="s">
        <v>227</v>
      </c>
      <c r="P5572">
        <v>33.340000000000003</v>
      </c>
      <c r="Q5572" t="s">
        <v>221</v>
      </c>
    </row>
    <row r="5573" spans="1:17" x14ac:dyDescent="0.25">
      <c r="A5573" t="s">
        <v>1146</v>
      </c>
      <c r="B5573" t="s">
        <v>1145</v>
      </c>
      <c r="C5573" t="s">
        <v>175</v>
      </c>
      <c r="D5573" t="s">
        <v>238</v>
      </c>
      <c r="E5573" t="s">
        <v>239</v>
      </c>
      <c r="F5573">
        <v>3</v>
      </c>
      <c r="G5573" t="s">
        <v>185</v>
      </c>
      <c r="H5573">
        <v>3</v>
      </c>
      <c r="I5573">
        <v>110</v>
      </c>
      <c r="J5573" s="10">
        <v>57.22</v>
      </c>
      <c r="K5573" s="10">
        <f>SUMIFS(F:F,D:D,DST_123_ÜRETİM_İHTİYAÇ_RAPORU_BURAK_YENI1309[[#This Row],[ALT_KOD]])-(SUMIFS(H:H,D:D,DST_123_ÜRETİM_İHTİYAÇ_RAPORU_BURAK_YENI1309[[#This Row],[ALT_KOD]])+AVERAGEIFS(I:I,D:D,DST_123_ÜRETİM_İHTİYAÇ_RAPORU_BURAK_YENI1309[[#This Row],[ALT_KOD]])+AVERAGEIFS(L:L,D:D,DST_123_ÜRETİM_İHTİYAÇ_RAPORU_BURAK_YENI1309[[#This Row],[ALT_KOD]]))</f>
        <v>-78.660000000000025</v>
      </c>
      <c r="L5573">
        <v>0</v>
      </c>
      <c r="M5573">
        <f>IF((DST_123_ÜRETİM_İHTİYAÇ_RAPORU_BURAK_YENI1309[[#This Row],[SATINALMA]]*DST_123_ÜRETİM_İHTİYAÇ_RAPORU_BURAK_YENI1309[[#This Row],[BIRIM_FIYATLAR]])&lt;1,VALUE("0"),DST_123_ÜRETİM_İHTİYAÇ_RAPORU_BURAK_YENI1309[[#This Row],[SATINALMA]]*DST_123_ÜRETİM_İHTİYAÇ_RAPORU_BURAK_YENI1309[[#This Row],[BIRIM_FIYATLAR]])</f>
        <v>0</v>
      </c>
      <c r="N5573">
        <v>40</v>
      </c>
      <c r="O5573" t="s">
        <v>240</v>
      </c>
      <c r="P5573">
        <v>120</v>
      </c>
      <c r="Q5573" t="s">
        <v>180</v>
      </c>
    </row>
    <row r="5574" spans="1:17" x14ac:dyDescent="0.25">
      <c r="A5574" t="s">
        <v>1060</v>
      </c>
      <c r="B5574" t="s">
        <v>1061</v>
      </c>
      <c r="C5574" t="s">
        <v>175</v>
      </c>
      <c r="D5574" t="s">
        <v>84</v>
      </c>
      <c r="E5574" t="s">
        <v>85</v>
      </c>
      <c r="F5574">
        <v>2</v>
      </c>
      <c r="G5574" t="s">
        <v>176</v>
      </c>
      <c r="H5574">
        <v>2</v>
      </c>
      <c r="I5574">
        <v>40</v>
      </c>
      <c r="J5574" s="10">
        <v>16</v>
      </c>
      <c r="K5574" s="10">
        <f>SUMIFS(F:F,D:D,DST_123_ÜRETİM_İHTİYAÇ_RAPORU_BURAK_YENI1309[[#This Row],[ALT_KOD]])-(SUMIFS(H:H,D:D,DST_123_ÜRETİM_İHTİYAÇ_RAPORU_BURAK_YENI1309[[#This Row],[ALT_KOD]])+AVERAGEIFS(I:I,D:D,DST_123_ÜRETİM_İHTİYAÇ_RAPORU_BURAK_YENI1309[[#This Row],[ALT_KOD]])+AVERAGEIFS(L:L,D:D,DST_123_ÜRETİM_İHTİYAÇ_RAPORU_BURAK_YENI1309[[#This Row],[ALT_KOD]]))</f>
        <v>-18</v>
      </c>
      <c r="L5574">
        <v>0</v>
      </c>
      <c r="M5574">
        <f>IF((DST_123_ÜRETİM_İHTİYAÇ_RAPORU_BURAK_YENI1309[[#This Row],[SATINALMA]]*DST_123_ÜRETİM_İHTİYAÇ_RAPORU_BURAK_YENI1309[[#This Row],[BIRIM_FIYATLAR]])&lt;1,VALUE("0"),DST_123_ÜRETİM_İHTİYAÇ_RAPORU_BURAK_YENI1309[[#This Row],[SATINALMA]]*DST_123_ÜRETİM_İHTİYAÇ_RAPORU_BURAK_YENI1309[[#This Row],[BIRIM_FIYATLAR]])</f>
        <v>0</v>
      </c>
      <c r="N5574">
        <v>375</v>
      </c>
      <c r="O5574" t="s">
        <v>247</v>
      </c>
      <c r="P5574">
        <v>750</v>
      </c>
      <c r="Q5574" t="s">
        <v>177</v>
      </c>
    </row>
    <row r="5575" spans="1:17" x14ac:dyDescent="0.25">
      <c r="A5575" t="s">
        <v>1060</v>
      </c>
      <c r="B5575" t="s">
        <v>1061</v>
      </c>
      <c r="C5575" t="s">
        <v>175</v>
      </c>
      <c r="D5575" t="s">
        <v>758</v>
      </c>
      <c r="E5575" t="s">
        <v>759</v>
      </c>
      <c r="F5575">
        <v>1</v>
      </c>
      <c r="G5575" t="s">
        <v>176</v>
      </c>
      <c r="H5575">
        <v>1</v>
      </c>
      <c r="I5575">
        <v>5</v>
      </c>
      <c r="J5575" s="10">
        <v>6</v>
      </c>
      <c r="K5575" s="10">
        <f>SUMIFS(F:F,D:D,DST_123_ÜRETİM_İHTİYAÇ_RAPORU_BURAK_YENI1309[[#This Row],[ALT_KOD]])-(SUMIFS(H:H,D:D,DST_123_ÜRETİM_İHTİYAÇ_RAPORU_BURAK_YENI1309[[#This Row],[ALT_KOD]])+AVERAGEIFS(I:I,D:D,DST_123_ÜRETİM_İHTİYAÇ_RAPORU_BURAK_YENI1309[[#This Row],[ALT_KOD]])+AVERAGEIFS(L:L,D:D,DST_123_ÜRETİM_İHTİYAÇ_RAPORU_BURAK_YENI1309[[#This Row],[ALT_KOD]]))</f>
        <v>-4</v>
      </c>
      <c r="L5575">
        <v>0</v>
      </c>
      <c r="M5575">
        <f>IF((DST_123_ÜRETİM_İHTİYAÇ_RAPORU_BURAK_YENI1309[[#This Row],[SATINALMA]]*DST_123_ÜRETİM_İHTİYAÇ_RAPORU_BURAK_YENI1309[[#This Row],[BIRIM_FIYATLAR]])&lt;1,VALUE("0"),DST_123_ÜRETİM_İHTİYAÇ_RAPORU_BURAK_YENI1309[[#This Row],[SATINALMA]]*DST_123_ÜRETİM_İHTİYAÇ_RAPORU_BURAK_YENI1309[[#This Row],[BIRIM_FIYATLAR]])</f>
        <v>0</v>
      </c>
      <c r="N5575">
        <v>8495.43</v>
      </c>
      <c r="O5575" t="s">
        <v>275</v>
      </c>
      <c r="P5575">
        <v>8495.43</v>
      </c>
      <c r="Q5575" t="s">
        <v>177</v>
      </c>
    </row>
    <row r="5576" spans="1:17" x14ac:dyDescent="0.25">
      <c r="A5576" t="s">
        <v>1142</v>
      </c>
      <c r="B5576" t="s">
        <v>1056</v>
      </c>
      <c r="C5576" t="s">
        <v>175</v>
      </c>
      <c r="D5576" t="s">
        <v>307</v>
      </c>
      <c r="E5576" t="s">
        <v>308</v>
      </c>
      <c r="F5576">
        <v>1</v>
      </c>
      <c r="G5576" t="s">
        <v>176</v>
      </c>
      <c r="H5576">
        <v>0</v>
      </c>
      <c r="I5576">
        <v>13</v>
      </c>
      <c r="J5576" s="10">
        <v>1</v>
      </c>
      <c r="K5576" s="10">
        <f>SUMIFS(F:F,D:D,DST_123_ÜRETİM_İHTİYAÇ_RAPORU_BURAK_YENI1309[[#This Row],[ALT_KOD]])-(SUMIFS(H:H,D:D,DST_123_ÜRETİM_İHTİYAÇ_RAPORU_BURAK_YENI1309[[#This Row],[ALT_KOD]])+AVERAGEIFS(I:I,D:D,DST_123_ÜRETİM_İHTİYAÇ_RAPORU_BURAK_YENI1309[[#This Row],[ALT_KOD]])+AVERAGEIFS(L:L,D:D,DST_123_ÜRETİM_İHTİYAÇ_RAPORU_BURAK_YENI1309[[#This Row],[ALT_KOD]]))</f>
        <v>24</v>
      </c>
      <c r="L5576">
        <v>0</v>
      </c>
      <c r="M5576">
        <f>IF((DST_123_ÜRETİM_İHTİYAÇ_RAPORU_BURAK_YENI1309[[#This Row],[SATINALMA]]*DST_123_ÜRETİM_İHTİYAÇ_RAPORU_BURAK_YENI1309[[#This Row],[BIRIM_FIYATLAR]])&lt;1,VALUE("0"),DST_123_ÜRETİM_İHTİYAÇ_RAPORU_BURAK_YENI1309[[#This Row],[SATINALMA]]*DST_123_ÜRETİM_İHTİYAÇ_RAPORU_BURAK_YENI1309[[#This Row],[BIRIM_FIYATLAR]])</f>
        <v>1570.08</v>
      </c>
      <c r="N5576">
        <v>65.42</v>
      </c>
      <c r="O5576" t="s">
        <v>628</v>
      </c>
      <c r="P5576">
        <v>65.42</v>
      </c>
      <c r="Q5576" t="s">
        <v>178</v>
      </c>
    </row>
    <row r="5577" spans="1:17" x14ac:dyDescent="0.25">
      <c r="A5577" t="s">
        <v>1099</v>
      </c>
      <c r="B5577" t="s">
        <v>1055</v>
      </c>
      <c r="C5577" t="s">
        <v>175</v>
      </c>
      <c r="D5577" t="s">
        <v>758</v>
      </c>
      <c r="E5577" t="s">
        <v>759</v>
      </c>
      <c r="F5577">
        <v>1</v>
      </c>
      <c r="G5577" t="s">
        <v>176</v>
      </c>
      <c r="H5577">
        <v>1</v>
      </c>
      <c r="I5577">
        <v>5</v>
      </c>
      <c r="J5577" s="10">
        <v>6</v>
      </c>
      <c r="K5577" s="10">
        <f>SUMIFS(F:F,D:D,DST_123_ÜRETİM_İHTİYAÇ_RAPORU_BURAK_YENI1309[[#This Row],[ALT_KOD]])-(SUMIFS(H:H,D:D,DST_123_ÜRETİM_İHTİYAÇ_RAPORU_BURAK_YENI1309[[#This Row],[ALT_KOD]])+AVERAGEIFS(I:I,D:D,DST_123_ÜRETİM_İHTİYAÇ_RAPORU_BURAK_YENI1309[[#This Row],[ALT_KOD]])+AVERAGEIFS(L:L,D:D,DST_123_ÜRETİM_İHTİYAÇ_RAPORU_BURAK_YENI1309[[#This Row],[ALT_KOD]]))</f>
        <v>-4</v>
      </c>
      <c r="L5577">
        <v>0</v>
      </c>
      <c r="M5577">
        <f>IF((DST_123_ÜRETİM_İHTİYAÇ_RAPORU_BURAK_YENI1309[[#This Row],[SATINALMA]]*DST_123_ÜRETİM_İHTİYAÇ_RAPORU_BURAK_YENI1309[[#This Row],[BIRIM_FIYATLAR]])&lt;1,VALUE("0"),DST_123_ÜRETİM_İHTİYAÇ_RAPORU_BURAK_YENI1309[[#This Row],[SATINALMA]]*DST_123_ÜRETİM_İHTİYAÇ_RAPORU_BURAK_YENI1309[[#This Row],[BIRIM_FIYATLAR]])</f>
        <v>0</v>
      </c>
      <c r="N5577">
        <v>8495.43</v>
      </c>
      <c r="O5577" t="s">
        <v>275</v>
      </c>
      <c r="P5577">
        <v>8495.43</v>
      </c>
      <c r="Q5577" t="s">
        <v>177</v>
      </c>
    </row>
    <row r="5578" spans="1:17" x14ac:dyDescent="0.25">
      <c r="A5578" t="s">
        <v>1060</v>
      </c>
      <c r="B5578" t="s">
        <v>1061</v>
      </c>
      <c r="C5578" t="s">
        <v>175</v>
      </c>
      <c r="D5578" t="s">
        <v>210</v>
      </c>
      <c r="E5578" t="s">
        <v>211</v>
      </c>
      <c r="F5578">
        <v>1</v>
      </c>
      <c r="G5578" t="s">
        <v>176</v>
      </c>
      <c r="H5578">
        <v>1</v>
      </c>
      <c r="I5578">
        <v>21</v>
      </c>
      <c r="J5578" s="10">
        <v>10</v>
      </c>
      <c r="K5578" s="10">
        <f>SUMIFS(F:F,D:D,DST_123_ÜRETİM_İHTİYAÇ_RAPORU_BURAK_YENI1309[[#This Row],[ALT_KOD]])-(SUMIFS(H:H,D:D,DST_123_ÜRETİM_İHTİYAÇ_RAPORU_BURAK_YENI1309[[#This Row],[ALT_KOD]])+AVERAGEIFS(I:I,D:D,DST_123_ÜRETİM_İHTİYAÇ_RAPORU_BURAK_YENI1309[[#This Row],[ALT_KOD]])+AVERAGEIFS(L:L,D:D,DST_123_ÜRETİM_İHTİYAÇ_RAPORU_BURAK_YENI1309[[#This Row],[ALT_KOD]]))</f>
        <v>-50</v>
      </c>
      <c r="L5578">
        <v>40</v>
      </c>
      <c r="M5578">
        <f>IF((DST_123_ÜRETİM_İHTİYAÇ_RAPORU_BURAK_YENI1309[[#This Row],[SATINALMA]]*DST_123_ÜRETİM_İHTİYAÇ_RAPORU_BURAK_YENI1309[[#This Row],[BIRIM_FIYATLAR]])&lt;1,VALUE("0"),DST_123_ÜRETİM_İHTİYAÇ_RAPORU_BURAK_YENI1309[[#This Row],[SATINALMA]]*DST_123_ÜRETİM_İHTİYAÇ_RAPORU_BURAK_YENI1309[[#This Row],[BIRIM_FIYATLAR]])</f>
        <v>0</v>
      </c>
      <c r="N5578">
        <v>312</v>
      </c>
      <c r="O5578" t="s">
        <v>217</v>
      </c>
      <c r="P5578">
        <v>312</v>
      </c>
      <c r="Q5578" t="s">
        <v>177</v>
      </c>
    </row>
    <row r="5579" spans="1:17" x14ac:dyDescent="0.25">
      <c r="A5579" t="s">
        <v>1101</v>
      </c>
      <c r="B5579" t="s">
        <v>1102</v>
      </c>
      <c r="C5579" t="s">
        <v>175</v>
      </c>
      <c r="D5579" t="s">
        <v>601</v>
      </c>
      <c r="E5579" t="s">
        <v>602</v>
      </c>
      <c r="F5579">
        <v>2</v>
      </c>
      <c r="G5579" t="s">
        <v>176</v>
      </c>
      <c r="H5579">
        <v>2</v>
      </c>
      <c r="I5579">
        <v>24</v>
      </c>
      <c r="J5579" s="10">
        <v>10</v>
      </c>
      <c r="K5579" s="10">
        <f>SUMIFS(F:F,D:D,DST_123_ÜRETİM_İHTİYAÇ_RAPORU_BURAK_YENI1309[[#This Row],[ALT_KOD]])-(SUMIFS(H:H,D:D,DST_123_ÜRETİM_İHTİYAÇ_RAPORU_BURAK_YENI1309[[#This Row],[ALT_KOD]])+AVERAGEIFS(I:I,D:D,DST_123_ÜRETİM_İHTİYAÇ_RAPORU_BURAK_YENI1309[[#This Row],[ALT_KOD]])+AVERAGEIFS(L:L,D:D,DST_123_ÜRETİM_İHTİYAÇ_RAPORU_BURAK_YENI1309[[#This Row],[ALT_KOD]]))</f>
        <v>-8</v>
      </c>
      <c r="L5579">
        <v>0</v>
      </c>
      <c r="M5579">
        <f>IF((DST_123_ÜRETİM_İHTİYAÇ_RAPORU_BURAK_YENI1309[[#This Row],[SATINALMA]]*DST_123_ÜRETİM_İHTİYAÇ_RAPORU_BURAK_YENI1309[[#This Row],[BIRIM_FIYATLAR]])&lt;1,VALUE("0"),DST_123_ÜRETİM_İHTİYAÇ_RAPORU_BURAK_YENI1309[[#This Row],[SATINALMA]]*DST_123_ÜRETİM_İHTİYAÇ_RAPORU_BURAK_YENI1309[[#This Row],[BIRIM_FIYATLAR]])</f>
        <v>0</v>
      </c>
      <c r="N5579">
        <v>50.43</v>
      </c>
      <c r="O5579" t="s">
        <v>636</v>
      </c>
      <c r="P5579">
        <v>100.86</v>
      </c>
      <c r="Q5579" t="s">
        <v>177</v>
      </c>
    </row>
    <row r="5580" spans="1:17" x14ac:dyDescent="0.25">
      <c r="A5580" t="s">
        <v>1060</v>
      </c>
      <c r="B5580" t="s">
        <v>1061</v>
      </c>
      <c r="C5580" t="s">
        <v>175</v>
      </c>
      <c r="D5580" t="s">
        <v>36</v>
      </c>
      <c r="E5580" t="s">
        <v>37</v>
      </c>
      <c r="F5580">
        <v>3</v>
      </c>
      <c r="G5580" t="s">
        <v>176</v>
      </c>
      <c r="H5580">
        <v>3</v>
      </c>
      <c r="I5580">
        <v>29</v>
      </c>
      <c r="J5580" s="10">
        <v>30</v>
      </c>
      <c r="K5580" s="10">
        <f>SUMIFS(F:F,D:D,DST_123_ÜRETİM_İHTİYAÇ_RAPORU_BURAK_YENI1309[[#This Row],[ALT_KOD]])-(SUMIFS(H:H,D:D,DST_123_ÜRETİM_İHTİYAÇ_RAPORU_BURAK_YENI1309[[#This Row],[ALT_KOD]])+AVERAGEIFS(I:I,D:D,DST_123_ÜRETİM_İHTİYAÇ_RAPORU_BURAK_YENI1309[[#This Row],[ALT_KOD]])+AVERAGEIFS(L:L,D:D,DST_123_ÜRETİM_İHTİYAÇ_RAPORU_BURAK_YENI1309[[#This Row],[ALT_KOD]]))</f>
        <v>10</v>
      </c>
      <c r="L5580">
        <v>0</v>
      </c>
      <c r="M5580">
        <f>IF((DST_123_ÜRETİM_İHTİYAÇ_RAPORU_BURAK_YENI1309[[#This Row],[SATINALMA]]*DST_123_ÜRETİM_İHTİYAÇ_RAPORU_BURAK_YENI1309[[#This Row],[BIRIM_FIYATLAR]])&lt;1,VALUE("0"),DST_123_ÜRETİM_İHTİYAÇ_RAPORU_BURAK_YENI1309[[#This Row],[SATINALMA]]*DST_123_ÜRETİM_İHTİYAÇ_RAPORU_BURAK_YENI1309[[#This Row],[BIRIM_FIYATLAR]])</f>
        <v>17500</v>
      </c>
      <c r="N5580">
        <v>1750</v>
      </c>
      <c r="O5580" t="s">
        <v>1220</v>
      </c>
      <c r="P5580">
        <v>5250</v>
      </c>
      <c r="Q5580" t="s">
        <v>221</v>
      </c>
    </row>
    <row r="5581" spans="1:17" x14ac:dyDescent="0.25">
      <c r="A5581" t="s">
        <v>1060</v>
      </c>
      <c r="B5581" t="s">
        <v>1061</v>
      </c>
      <c r="C5581" t="s">
        <v>175</v>
      </c>
      <c r="D5581" t="s">
        <v>255</v>
      </c>
      <c r="E5581" t="s">
        <v>309</v>
      </c>
      <c r="F5581">
        <v>2</v>
      </c>
      <c r="G5581" t="s">
        <v>176</v>
      </c>
      <c r="H5581">
        <v>2</v>
      </c>
      <c r="I5581">
        <v>38</v>
      </c>
      <c r="J5581" s="10">
        <v>20</v>
      </c>
      <c r="K5581" s="10">
        <f>SUMIFS(F:F,D:D,DST_123_ÜRETİM_İHTİYAÇ_RAPORU_BURAK_YENI1309[[#This Row],[ALT_KOD]])-(SUMIFS(H:H,D:D,DST_123_ÜRETİM_İHTİYAÇ_RAPORU_BURAK_YENI1309[[#This Row],[ALT_KOD]])+AVERAGEIFS(I:I,D:D,DST_123_ÜRETİM_İHTİYAÇ_RAPORU_BURAK_YENI1309[[#This Row],[ALT_KOD]])+AVERAGEIFS(L:L,D:D,DST_123_ÜRETİM_İHTİYAÇ_RAPORU_BURAK_YENI1309[[#This Row],[ALT_KOD]]))</f>
        <v>-14</v>
      </c>
      <c r="L5581">
        <v>0</v>
      </c>
      <c r="M5581">
        <f>IF((DST_123_ÜRETİM_İHTİYAÇ_RAPORU_BURAK_YENI1309[[#This Row],[SATINALMA]]*DST_123_ÜRETİM_İHTİYAÇ_RAPORU_BURAK_YENI1309[[#This Row],[BIRIM_FIYATLAR]])&lt;1,VALUE("0"),DST_123_ÜRETİM_İHTİYAÇ_RAPORU_BURAK_YENI1309[[#This Row],[SATINALMA]]*DST_123_ÜRETİM_İHTİYAÇ_RAPORU_BURAK_YENI1309[[#This Row],[BIRIM_FIYATLAR]])</f>
        <v>0</v>
      </c>
      <c r="N5581">
        <v>55</v>
      </c>
      <c r="O5581" t="s">
        <v>826</v>
      </c>
      <c r="P5581">
        <v>110</v>
      </c>
      <c r="Q5581" t="s">
        <v>221</v>
      </c>
    </row>
    <row r="5582" spans="1:17" x14ac:dyDescent="0.25">
      <c r="A5582" t="s">
        <v>1064</v>
      </c>
      <c r="B5582" t="s">
        <v>1055</v>
      </c>
      <c r="C5582" t="s">
        <v>175</v>
      </c>
      <c r="D5582" t="s">
        <v>558</v>
      </c>
      <c r="E5582" t="s">
        <v>559</v>
      </c>
      <c r="F5582">
        <v>4.38</v>
      </c>
      <c r="G5582" t="s">
        <v>176</v>
      </c>
      <c r="H5582">
        <v>4.38</v>
      </c>
      <c r="I5582">
        <v>34</v>
      </c>
      <c r="J5582" s="10">
        <v>97.880000000000024</v>
      </c>
      <c r="K5582" s="10">
        <f>SUMIFS(F:F,D:D,DST_123_ÜRETİM_İHTİYAÇ_RAPORU_BURAK_YENI1309[[#This Row],[ALT_KOD]])-(SUMIFS(H:H,D:D,DST_123_ÜRETİM_İHTİYAÇ_RAPORU_BURAK_YENI1309[[#This Row],[ALT_KOD]])+AVERAGEIFS(I:I,D:D,DST_123_ÜRETİM_İHTİYAÇ_RAPORU_BURAK_YENI1309[[#This Row],[ALT_KOD]])+AVERAGEIFS(L:L,D:D,DST_123_ÜRETİM_İHTİYAÇ_RAPORU_BURAK_YENI1309[[#This Row],[ALT_KOD]]))</f>
        <v>0.88000000000000256</v>
      </c>
      <c r="L5582">
        <v>0</v>
      </c>
      <c r="M5582">
        <f>IF((DST_123_ÜRETİM_İHTİYAÇ_RAPORU_BURAK_YENI1309[[#This Row],[SATINALMA]]*DST_123_ÜRETİM_İHTİYAÇ_RAPORU_BURAK_YENI1309[[#This Row],[BIRIM_FIYATLAR]])&lt;1,VALUE("0"),DST_123_ÜRETİM_İHTİYAÇ_RAPORU_BURAK_YENI1309[[#This Row],[SATINALMA]]*DST_123_ÜRETİM_İHTİYAÇ_RAPORU_BURAK_YENI1309[[#This Row],[BIRIM_FIYATLAR]])</f>
        <v>48.400000000000141</v>
      </c>
      <c r="N5582">
        <v>55</v>
      </c>
      <c r="O5582" t="s">
        <v>240</v>
      </c>
      <c r="P5582">
        <v>240.9</v>
      </c>
      <c r="Q5582" t="s">
        <v>180</v>
      </c>
    </row>
    <row r="5583" spans="1:17" x14ac:dyDescent="0.25">
      <c r="A5583" t="s">
        <v>1097</v>
      </c>
      <c r="B5583" t="s">
        <v>1055</v>
      </c>
      <c r="C5583" t="s">
        <v>175</v>
      </c>
      <c r="D5583" t="s">
        <v>94</v>
      </c>
      <c r="E5583" t="s">
        <v>95</v>
      </c>
      <c r="F5583">
        <v>2</v>
      </c>
      <c r="G5583" t="s">
        <v>176</v>
      </c>
      <c r="H5583">
        <v>2</v>
      </c>
      <c r="I5583">
        <v>11</v>
      </c>
      <c r="J5583" s="10">
        <v>8</v>
      </c>
      <c r="K5583" s="10">
        <f>SUMIFS(F:F,D:D,DST_123_ÜRETİM_İHTİYAÇ_RAPORU_BURAK_YENI1309[[#This Row],[ALT_KOD]])-(SUMIFS(H:H,D:D,DST_123_ÜRETİM_İHTİYAÇ_RAPORU_BURAK_YENI1309[[#This Row],[ALT_KOD]])+AVERAGEIFS(I:I,D:D,DST_123_ÜRETİM_İHTİYAÇ_RAPORU_BURAK_YENI1309[[#This Row],[ALT_KOD]])+AVERAGEIFS(L:L,D:D,DST_123_ÜRETİM_İHTİYAÇ_RAPORU_BURAK_YENI1309[[#This Row],[ALT_KOD]]))</f>
        <v>0</v>
      </c>
      <c r="L5583">
        <v>0</v>
      </c>
      <c r="M5583">
        <f>IF((DST_123_ÜRETİM_İHTİYAÇ_RAPORU_BURAK_YENI1309[[#This Row],[SATINALMA]]*DST_123_ÜRETİM_İHTİYAÇ_RAPORU_BURAK_YENI1309[[#This Row],[BIRIM_FIYATLAR]])&lt;1,VALUE("0"),DST_123_ÜRETİM_İHTİYAÇ_RAPORU_BURAK_YENI1309[[#This Row],[SATINALMA]]*DST_123_ÜRETİM_İHTİYAÇ_RAPORU_BURAK_YENI1309[[#This Row],[BIRIM_FIYATLAR]])</f>
        <v>0</v>
      </c>
      <c r="N5583">
        <v>1145.83</v>
      </c>
      <c r="O5583" t="s">
        <v>247</v>
      </c>
      <c r="P5583">
        <v>2291.66</v>
      </c>
      <c r="Q5583" t="s">
        <v>177</v>
      </c>
    </row>
    <row r="5584" spans="1:17" x14ac:dyDescent="0.25">
      <c r="A5584" t="s">
        <v>1064</v>
      </c>
      <c r="B5584" t="s">
        <v>1055</v>
      </c>
      <c r="C5584" t="s">
        <v>175</v>
      </c>
      <c r="D5584" t="s">
        <v>255</v>
      </c>
      <c r="E5584" t="s">
        <v>309</v>
      </c>
      <c r="F5584">
        <v>2</v>
      </c>
      <c r="G5584" t="s">
        <v>176</v>
      </c>
      <c r="H5584">
        <v>2</v>
      </c>
      <c r="I5584">
        <v>38</v>
      </c>
      <c r="J5584" s="10">
        <v>20</v>
      </c>
      <c r="K5584" s="10">
        <f>SUMIFS(F:F,D:D,DST_123_ÜRETİM_İHTİYAÇ_RAPORU_BURAK_YENI1309[[#This Row],[ALT_KOD]])-(SUMIFS(H:H,D:D,DST_123_ÜRETİM_İHTİYAÇ_RAPORU_BURAK_YENI1309[[#This Row],[ALT_KOD]])+AVERAGEIFS(I:I,D:D,DST_123_ÜRETİM_İHTİYAÇ_RAPORU_BURAK_YENI1309[[#This Row],[ALT_KOD]])+AVERAGEIFS(L:L,D:D,DST_123_ÜRETİM_İHTİYAÇ_RAPORU_BURAK_YENI1309[[#This Row],[ALT_KOD]]))</f>
        <v>-14</v>
      </c>
      <c r="L5584">
        <v>0</v>
      </c>
      <c r="M5584">
        <f>IF((DST_123_ÜRETİM_İHTİYAÇ_RAPORU_BURAK_YENI1309[[#This Row],[SATINALMA]]*DST_123_ÜRETİM_İHTİYAÇ_RAPORU_BURAK_YENI1309[[#This Row],[BIRIM_FIYATLAR]])&lt;1,VALUE("0"),DST_123_ÜRETİM_İHTİYAÇ_RAPORU_BURAK_YENI1309[[#This Row],[SATINALMA]]*DST_123_ÜRETİM_İHTİYAÇ_RAPORU_BURAK_YENI1309[[#This Row],[BIRIM_FIYATLAR]])</f>
        <v>0</v>
      </c>
      <c r="N5584">
        <v>55</v>
      </c>
      <c r="O5584" t="s">
        <v>826</v>
      </c>
      <c r="P5584">
        <v>110</v>
      </c>
      <c r="Q5584" t="s">
        <v>221</v>
      </c>
    </row>
    <row r="5585" spans="1:17" x14ac:dyDescent="0.25">
      <c r="A5585" t="s">
        <v>1148</v>
      </c>
      <c r="B5585" t="s">
        <v>1056</v>
      </c>
      <c r="C5585" t="s">
        <v>175</v>
      </c>
      <c r="D5585" t="s">
        <v>255</v>
      </c>
      <c r="E5585" t="s">
        <v>309</v>
      </c>
      <c r="F5585">
        <v>2</v>
      </c>
      <c r="G5585" t="s">
        <v>176</v>
      </c>
      <c r="H5585">
        <v>0</v>
      </c>
      <c r="I5585">
        <v>38</v>
      </c>
      <c r="J5585" s="10">
        <v>20</v>
      </c>
      <c r="K5585" s="10">
        <f>SUMIFS(F:F,D:D,DST_123_ÜRETİM_İHTİYAÇ_RAPORU_BURAK_YENI1309[[#This Row],[ALT_KOD]])-(SUMIFS(H:H,D:D,DST_123_ÜRETİM_İHTİYAÇ_RAPORU_BURAK_YENI1309[[#This Row],[ALT_KOD]])+AVERAGEIFS(I:I,D:D,DST_123_ÜRETİM_İHTİYAÇ_RAPORU_BURAK_YENI1309[[#This Row],[ALT_KOD]])+AVERAGEIFS(L:L,D:D,DST_123_ÜRETİM_İHTİYAÇ_RAPORU_BURAK_YENI1309[[#This Row],[ALT_KOD]]))</f>
        <v>-14</v>
      </c>
      <c r="L5585">
        <v>0</v>
      </c>
      <c r="M5585">
        <f>IF((DST_123_ÜRETİM_İHTİYAÇ_RAPORU_BURAK_YENI1309[[#This Row],[SATINALMA]]*DST_123_ÜRETİM_İHTİYAÇ_RAPORU_BURAK_YENI1309[[#This Row],[BIRIM_FIYATLAR]])&lt;1,VALUE("0"),DST_123_ÜRETİM_İHTİYAÇ_RAPORU_BURAK_YENI1309[[#This Row],[SATINALMA]]*DST_123_ÜRETİM_İHTİYAÇ_RAPORU_BURAK_YENI1309[[#This Row],[BIRIM_FIYATLAR]])</f>
        <v>0</v>
      </c>
      <c r="N5585">
        <v>55</v>
      </c>
      <c r="O5585" t="s">
        <v>826</v>
      </c>
      <c r="P5585">
        <v>110</v>
      </c>
      <c r="Q5585" t="s">
        <v>221</v>
      </c>
    </row>
    <row r="5586" spans="1:17" x14ac:dyDescent="0.25">
      <c r="A5586" t="s">
        <v>1149</v>
      </c>
      <c r="B5586" t="s">
        <v>1145</v>
      </c>
      <c r="C5586" t="s">
        <v>175</v>
      </c>
      <c r="D5586" t="s">
        <v>143</v>
      </c>
      <c r="E5586" t="s">
        <v>144</v>
      </c>
      <c r="F5586">
        <v>2</v>
      </c>
      <c r="G5586" t="s">
        <v>176</v>
      </c>
      <c r="H5586">
        <v>0</v>
      </c>
      <c r="I5586">
        <v>0</v>
      </c>
      <c r="J5586" s="10">
        <v>64</v>
      </c>
      <c r="K5586" s="10">
        <f>SUMIFS(F:F,D:D,DST_123_ÜRETİM_İHTİYAÇ_RAPORU_BURAK_YENI1309[[#This Row],[ALT_KOD]])-(SUMIFS(H:H,D:D,DST_123_ÜRETİM_İHTİYAÇ_RAPORU_BURAK_YENI1309[[#This Row],[ALT_KOD]])+AVERAGEIFS(I:I,D:D,DST_123_ÜRETİM_İHTİYAÇ_RAPORU_BURAK_YENI1309[[#This Row],[ALT_KOD]])+AVERAGEIFS(L:L,D:D,DST_123_ÜRETİM_İHTİYAÇ_RAPORU_BURAK_YENI1309[[#This Row],[ALT_KOD]]))</f>
        <v>40</v>
      </c>
      <c r="L5586">
        <v>0</v>
      </c>
      <c r="M5586">
        <f>IF((DST_123_ÜRETİM_İHTİYAÇ_RAPORU_BURAK_YENI1309[[#This Row],[SATINALMA]]*DST_123_ÜRETİM_İHTİYAÇ_RAPORU_BURAK_YENI1309[[#This Row],[BIRIM_FIYATLAR]])&lt;1,VALUE("0"),DST_123_ÜRETİM_İHTİYAÇ_RAPORU_BURAK_YENI1309[[#This Row],[SATINALMA]]*DST_123_ÜRETİM_İHTİYAÇ_RAPORU_BURAK_YENI1309[[#This Row],[BIRIM_FIYATLAR]])</f>
        <v>274.8</v>
      </c>
      <c r="N5586">
        <v>6.87</v>
      </c>
      <c r="O5586" t="s">
        <v>826</v>
      </c>
      <c r="P5586">
        <v>13.74</v>
      </c>
      <c r="Q5586" t="s">
        <v>221</v>
      </c>
    </row>
    <row r="5587" spans="1:17" x14ac:dyDescent="0.25">
      <c r="A5587" t="s">
        <v>1099</v>
      </c>
      <c r="B5587" t="s">
        <v>1055</v>
      </c>
      <c r="C5587" t="s">
        <v>175</v>
      </c>
      <c r="D5587" t="s">
        <v>208</v>
      </c>
      <c r="E5587" t="s">
        <v>284</v>
      </c>
      <c r="F5587">
        <v>31</v>
      </c>
      <c r="G5587" t="s">
        <v>176</v>
      </c>
      <c r="H5587">
        <v>0</v>
      </c>
      <c r="I5587">
        <v>2600</v>
      </c>
      <c r="J5587" s="10">
        <v>292</v>
      </c>
      <c r="K5587" s="10">
        <f>SUMIFS(F:F,D:D,DST_123_ÜRETİM_İHTİYAÇ_RAPORU_BURAK_YENI1309[[#This Row],[ALT_KOD]])-(SUMIFS(H:H,D:D,DST_123_ÜRETİM_İHTİYAÇ_RAPORU_BURAK_YENI1309[[#This Row],[ALT_KOD]])+AVERAGEIFS(I:I,D:D,DST_123_ÜRETİM_İHTİYAÇ_RAPORU_BURAK_YENI1309[[#This Row],[ALT_KOD]])+AVERAGEIFS(L:L,D:D,DST_123_ÜRETİM_İHTİYAÇ_RAPORU_BURAK_YENI1309[[#This Row],[ALT_KOD]]))</f>
        <v>-2145</v>
      </c>
      <c r="L5587">
        <v>0</v>
      </c>
      <c r="M5587">
        <f>IF((DST_123_ÜRETİM_İHTİYAÇ_RAPORU_BURAK_YENI1309[[#This Row],[SATINALMA]]*DST_123_ÜRETİM_İHTİYAÇ_RAPORU_BURAK_YENI1309[[#This Row],[BIRIM_FIYATLAR]])&lt;1,VALUE("0"),DST_123_ÜRETİM_İHTİYAÇ_RAPORU_BURAK_YENI1309[[#This Row],[SATINALMA]]*DST_123_ÜRETİM_İHTİYAÇ_RAPORU_BURAK_YENI1309[[#This Row],[BIRIM_FIYATLAR]])</f>
        <v>0</v>
      </c>
      <c r="N5587">
        <v>0.4</v>
      </c>
      <c r="O5587" t="s">
        <v>240</v>
      </c>
      <c r="P5587">
        <v>12.4</v>
      </c>
      <c r="Q5587" t="s">
        <v>180</v>
      </c>
    </row>
    <row r="5588" spans="1:17" x14ac:dyDescent="0.25">
      <c r="A5588" t="s">
        <v>1148</v>
      </c>
      <c r="B5588" t="s">
        <v>1056</v>
      </c>
      <c r="C5588" t="s">
        <v>175</v>
      </c>
      <c r="D5588" t="s">
        <v>558</v>
      </c>
      <c r="E5588" t="s">
        <v>559</v>
      </c>
      <c r="F5588">
        <v>1</v>
      </c>
      <c r="G5588" t="s">
        <v>176</v>
      </c>
      <c r="H5588">
        <v>0</v>
      </c>
      <c r="I5588">
        <v>34</v>
      </c>
      <c r="J5588" s="10">
        <v>97.880000000000024</v>
      </c>
      <c r="K5588" s="10">
        <f>SUMIFS(F:F,D:D,DST_123_ÜRETİM_İHTİYAÇ_RAPORU_BURAK_YENI1309[[#This Row],[ALT_KOD]])-(SUMIFS(H:H,D:D,DST_123_ÜRETİM_İHTİYAÇ_RAPORU_BURAK_YENI1309[[#This Row],[ALT_KOD]])+AVERAGEIFS(I:I,D:D,DST_123_ÜRETİM_İHTİYAÇ_RAPORU_BURAK_YENI1309[[#This Row],[ALT_KOD]])+AVERAGEIFS(L:L,D:D,DST_123_ÜRETİM_İHTİYAÇ_RAPORU_BURAK_YENI1309[[#This Row],[ALT_KOD]]))</f>
        <v>0.88000000000000256</v>
      </c>
      <c r="L5588">
        <v>0</v>
      </c>
      <c r="M5588">
        <f>IF((DST_123_ÜRETİM_İHTİYAÇ_RAPORU_BURAK_YENI1309[[#This Row],[SATINALMA]]*DST_123_ÜRETİM_İHTİYAÇ_RAPORU_BURAK_YENI1309[[#This Row],[BIRIM_FIYATLAR]])&lt;1,VALUE("0"),DST_123_ÜRETİM_İHTİYAÇ_RAPORU_BURAK_YENI1309[[#This Row],[SATINALMA]]*DST_123_ÜRETİM_İHTİYAÇ_RAPORU_BURAK_YENI1309[[#This Row],[BIRIM_FIYATLAR]])</f>
        <v>48.400000000000141</v>
      </c>
      <c r="N5588">
        <v>55</v>
      </c>
      <c r="O5588" t="s">
        <v>240</v>
      </c>
      <c r="P5588">
        <v>55</v>
      </c>
      <c r="Q5588" t="s">
        <v>180</v>
      </c>
    </row>
    <row r="5589" spans="1:17" x14ac:dyDescent="0.25">
      <c r="A5589" t="s">
        <v>1097</v>
      </c>
      <c r="B5589" t="s">
        <v>1055</v>
      </c>
      <c r="C5589" t="s">
        <v>175</v>
      </c>
      <c r="D5589" t="s">
        <v>658</v>
      </c>
      <c r="E5589" t="s">
        <v>659</v>
      </c>
      <c r="F5589">
        <v>1</v>
      </c>
      <c r="G5589" t="s">
        <v>176</v>
      </c>
      <c r="H5589">
        <v>1</v>
      </c>
      <c r="I5589">
        <v>0</v>
      </c>
      <c r="J5589" s="10">
        <v>65</v>
      </c>
      <c r="K5589" s="10">
        <f>SUMIFS(F:F,D:D,DST_123_ÜRETİM_İHTİYAÇ_RAPORU_BURAK_YENI1309[[#This Row],[ALT_KOD]])-(SUMIFS(H:H,D:D,DST_123_ÜRETİM_İHTİYAÇ_RAPORU_BURAK_YENI1309[[#This Row],[ALT_KOD]])+AVERAGEIFS(I:I,D:D,DST_123_ÜRETİM_İHTİYAÇ_RAPORU_BURAK_YENI1309[[#This Row],[ALT_KOD]])+AVERAGEIFS(L:L,D:D,DST_123_ÜRETİM_İHTİYAÇ_RAPORU_BURAK_YENI1309[[#This Row],[ALT_KOD]]))</f>
        <v>-94</v>
      </c>
      <c r="L5589">
        <v>100</v>
      </c>
      <c r="M5589">
        <f>IF((DST_123_ÜRETİM_İHTİYAÇ_RAPORU_BURAK_YENI1309[[#This Row],[SATINALMA]]*DST_123_ÜRETİM_İHTİYAÇ_RAPORU_BURAK_YENI1309[[#This Row],[BIRIM_FIYATLAR]])&lt;1,VALUE("0"),DST_123_ÜRETİM_İHTİYAÇ_RAPORU_BURAK_YENI1309[[#This Row],[SATINALMA]]*DST_123_ÜRETİM_İHTİYAÇ_RAPORU_BURAK_YENI1309[[#This Row],[BIRIM_FIYATLAR]])</f>
        <v>0</v>
      </c>
      <c r="N5589">
        <v>115</v>
      </c>
      <c r="O5589" t="s">
        <v>240</v>
      </c>
      <c r="P5589">
        <v>115</v>
      </c>
      <c r="Q5589" t="s">
        <v>180</v>
      </c>
    </row>
    <row r="5590" spans="1:17" x14ac:dyDescent="0.25">
      <c r="A5590" t="s">
        <v>1098</v>
      </c>
      <c r="B5590" t="s">
        <v>1096</v>
      </c>
      <c r="C5590" t="s">
        <v>175</v>
      </c>
      <c r="D5590" t="s">
        <v>1076</v>
      </c>
      <c r="E5590" t="s">
        <v>1077</v>
      </c>
      <c r="F5590">
        <v>1</v>
      </c>
      <c r="G5590" t="s">
        <v>176</v>
      </c>
      <c r="H5590">
        <v>0</v>
      </c>
      <c r="I5590">
        <v>0</v>
      </c>
      <c r="J5590" s="10">
        <v>0</v>
      </c>
      <c r="K5590" s="10">
        <f>SUMIFS(F:F,D:D,DST_123_ÜRETİM_İHTİYAÇ_RAPORU_BURAK_YENI1309[[#This Row],[ALT_KOD]])-(SUMIFS(H:H,D:D,DST_123_ÜRETİM_İHTİYAÇ_RAPORU_BURAK_YENI1309[[#This Row],[ALT_KOD]])+AVERAGEIFS(I:I,D:D,DST_123_ÜRETİM_İHTİYAÇ_RAPORU_BURAK_YENI1309[[#This Row],[ALT_KOD]])+AVERAGEIFS(L:L,D:D,DST_123_ÜRETİM_İHTİYAÇ_RAPORU_BURAK_YENI1309[[#This Row],[ALT_KOD]]))</f>
        <v>15</v>
      </c>
      <c r="L5590">
        <v>0</v>
      </c>
      <c r="M5590">
        <f>IF((DST_123_ÜRETİM_İHTİYAÇ_RAPORU_BURAK_YENI1309[[#This Row],[SATINALMA]]*DST_123_ÜRETİM_İHTİYAÇ_RAPORU_BURAK_YENI1309[[#This Row],[BIRIM_FIYATLAR]])&lt;1,VALUE("0"),DST_123_ÜRETİM_İHTİYAÇ_RAPORU_BURAK_YENI1309[[#This Row],[SATINALMA]]*DST_123_ÜRETİM_İHTİYAÇ_RAPORU_BURAK_YENI1309[[#This Row],[BIRIM_FIYATLAR]])</f>
        <v>0</v>
      </c>
      <c r="N5590">
        <v>0</v>
      </c>
      <c r="P5590">
        <v>0</v>
      </c>
      <c r="Q5590" t="s">
        <v>177</v>
      </c>
    </row>
    <row r="5591" spans="1:17" x14ac:dyDescent="0.25">
      <c r="A5591" t="s">
        <v>1060</v>
      </c>
      <c r="B5591" t="s">
        <v>1061</v>
      </c>
      <c r="C5591" t="s">
        <v>175</v>
      </c>
      <c r="D5591" t="s">
        <v>268</v>
      </c>
      <c r="E5591" t="s">
        <v>588</v>
      </c>
      <c r="F5591">
        <v>1</v>
      </c>
      <c r="G5591" t="s">
        <v>176</v>
      </c>
      <c r="H5591">
        <v>1</v>
      </c>
      <c r="I5591">
        <v>1</v>
      </c>
      <c r="J5591" s="10">
        <v>11</v>
      </c>
      <c r="K5591" s="10">
        <f>SUMIFS(F:F,D:D,DST_123_ÜRETİM_İHTİYAÇ_RAPORU_BURAK_YENI1309[[#This Row],[ALT_KOD]])-(SUMIFS(H:H,D:D,DST_123_ÜRETİM_İHTİYAÇ_RAPORU_BURAK_YENI1309[[#This Row],[ALT_KOD]])+AVERAGEIFS(I:I,D:D,DST_123_ÜRETİM_İHTİYAÇ_RAPORU_BURAK_YENI1309[[#This Row],[ALT_KOD]])+AVERAGEIFS(L:L,D:D,DST_123_ÜRETİM_İHTİYAÇ_RAPORU_BURAK_YENI1309[[#This Row],[ALT_KOD]]))</f>
        <v>16</v>
      </c>
      <c r="L5591">
        <v>0</v>
      </c>
      <c r="M5591">
        <f>IF((DST_123_ÜRETİM_İHTİYAÇ_RAPORU_BURAK_YENI1309[[#This Row],[SATINALMA]]*DST_123_ÜRETİM_İHTİYAÇ_RAPORU_BURAK_YENI1309[[#This Row],[BIRIM_FIYATLAR]])&lt;1,VALUE("0"),DST_123_ÜRETİM_İHTİYAÇ_RAPORU_BURAK_YENI1309[[#This Row],[SATINALMA]]*DST_123_ÜRETİM_İHTİYAÇ_RAPORU_BURAK_YENI1309[[#This Row],[BIRIM_FIYATLAR]])</f>
        <v>212968.32000000001</v>
      </c>
      <c r="N5591">
        <v>13310.52</v>
      </c>
      <c r="O5591" t="s">
        <v>589</v>
      </c>
      <c r="P5591">
        <v>13310.52</v>
      </c>
      <c r="Q5591" t="s">
        <v>177</v>
      </c>
    </row>
    <row r="5592" spans="1:17" x14ac:dyDescent="0.25">
      <c r="A5592" t="s">
        <v>1057</v>
      </c>
      <c r="B5592" t="s">
        <v>1058</v>
      </c>
      <c r="C5592" t="s">
        <v>197</v>
      </c>
      <c r="D5592" t="s">
        <v>496</v>
      </c>
      <c r="E5592" t="s">
        <v>497</v>
      </c>
      <c r="F5592">
        <v>1</v>
      </c>
      <c r="G5592" t="s">
        <v>176</v>
      </c>
      <c r="H5592">
        <v>1</v>
      </c>
      <c r="I5592">
        <v>2</v>
      </c>
      <c r="J5592" s="10">
        <v>9</v>
      </c>
      <c r="K5592" s="10">
        <f>SUMIFS(F:F,D:D,DST_123_ÜRETİM_İHTİYAÇ_RAPORU_BURAK_YENI1309[[#This Row],[ALT_KOD]])-(SUMIFS(H:H,D:D,DST_123_ÜRETİM_İHTİYAÇ_RAPORU_BURAK_YENI1309[[#This Row],[ALT_KOD]])+AVERAGEIFS(I:I,D:D,DST_123_ÜRETİM_İHTİYAÇ_RAPORU_BURAK_YENI1309[[#This Row],[ALT_KOD]])+AVERAGEIFS(L:L,D:D,DST_123_ÜRETİM_İHTİYAÇ_RAPORU_BURAK_YENI1309[[#This Row],[ALT_KOD]]))</f>
        <v>10</v>
      </c>
      <c r="L5592">
        <v>0</v>
      </c>
      <c r="M5592">
        <f>IF((DST_123_ÜRETİM_İHTİYAÇ_RAPORU_BURAK_YENI1309[[#This Row],[SATINALMA]]*DST_123_ÜRETİM_İHTİYAÇ_RAPORU_BURAK_YENI1309[[#This Row],[BIRIM_FIYATLAR]])&lt;1,VALUE("0"),DST_123_ÜRETİM_İHTİYAÇ_RAPORU_BURAK_YENI1309[[#This Row],[SATINALMA]]*DST_123_ÜRETİM_İHTİYAÇ_RAPORU_BURAK_YENI1309[[#This Row],[BIRIM_FIYATLAR]])</f>
        <v>0</v>
      </c>
      <c r="O5592" t="s">
        <v>713</v>
      </c>
      <c r="Q5592" t="s">
        <v>760</v>
      </c>
    </row>
    <row r="5593" spans="1:17" x14ac:dyDescent="0.25">
      <c r="A5593" t="s">
        <v>1060</v>
      </c>
      <c r="B5593" t="s">
        <v>1061</v>
      </c>
      <c r="C5593" t="s">
        <v>197</v>
      </c>
      <c r="D5593" t="s">
        <v>496</v>
      </c>
      <c r="E5593" t="s">
        <v>497</v>
      </c>
      <c r="F5593">
        <v>1</v>
      </c>
      <c r="G5593" t="s">
        <v>176</v>
      </c>
      <c r="H5593">
        <v>1</v>
      </c>
      <c r="I5593">
        <v>2</v>
      </c>
      <c r="J5593" s="10">
        <v>9</v>
      </c>
      <c r="K5593" s="10">
        <f>SUMIFS(F:F,D:D,DST_123_ÜRETİM_İHTİYAÇ_RAPORU_BURAK_YENI1309[[#This Row],[ALT_KOD]])-(SUMIFS(H:H,D:D,DST_123_ÜRETİM_İHTİYAÇ_RAPORU_BURAK_YENI1309[[#This Row],[ALT_KOD]])+AVERAGEIFS(I:I,D:D,DST_123_ÜRETİM_İHTİYAÇ_RAPORU_BURAK_YENI1309[[#This Row],[ALT_KOD]])+AVERAGEIFS(L:L,D:D,DST_123_ÜRETİM_İHTİYAÇ_RAPORU_BURAK_YENI1309[[#This Row],[ALT_KOD]]))</f>
        <v>10</v>
      </c>
      <c r="L5593">
        <v>0</v>
      </c>
      <c r="M5593">
        <f>IF((DST_123_ÜRETİM_İHTİYAÇ_RAPORU_BURAK_YENI1309[[#This Row],[SATINALMA]]*DST_123_ÜRETİM_İHTİYAÇ_RAPORU_BURAK_YENI1309[[#This Row],[BIRIM_FIYATLAR]])&lt;1,VALUE("0"),DST_123_ÜRETİM_İHTİYAÇ_RAPORU_BURAK_YENI1309[[#This Row],[SATINALMA]]*DST_123_ÜRETİM_İHTİYAÇ_RAPORU_BURAK_YENI1309[[#This Row],[BIRIM_FIYATLAR]])</f>
        <v>0</v>
      </c>
      <c r="O5593" t="s">
        <v>713</v>
      </c>
      <c r="Q5593" t="s">
        <v>760</v>
      </c>
    </row>
    <row r="5594" spans="1:17" x14ac:dyDescent="0.25">
      <c r="A5594" t="s">
        <v>1098</v>
      </c>
      <c r="B5594" t="s">
        <v>1096</v>
      </c>
      <c r="C5594" t="s">
        <v>175</v>
      </c>
      <c r="D5594" t="s">
        <v>293</v>
      </c>
      <c r="E5594" t="s">
        <v>323</v>
      </c>
      <c r="F5594">
        <v>0.09</v>
      </c>
      <c r="G5594" t="s">
        <v>185</v>
      </c>
      <c r="H5594">
        <v>0</v>
      </c>
      <c r="I5594">
        <v>2.5</v>
      </c>
      <c r="J5594" s="10">
        <v>-4.9960036108132044E-16</v>
      </c>
      <c r="K5594" s="10">
        <f>SUMIFS(F:F,D:D,DST_123_ÜRETİM_İHTİYAÇ_RAPORU_BURAK_YENI1309[[#This Row],[ALT_KOD]])-(SUMIFS(H:H,D:D,DST_123_ÜRETİM_İHTİYAÇ_RAPORU_BURAK_YENI1309[[#This Row],[ALT_KOD]])+AVERAGEIFS(I:I,D:D,DST_123_ÜRETİM_İHTİYAÇ_RAPORU_BURAK_YENI1309[[#This Row],[ALT_KOD]])+AVERAGEIFS(L:L,D:D,DST_123_ÜRETİM_İHTİYAÇ_RAPORU_BURAK_YENI1309[[#This Row],[ALT_KOD]]))</f>
        <v>-0.61999999999999922</v>
      </c>
      <c r="L5594">
        <v>0</v>
      </c>
      <c r="M5594">
        <f>IF((DST_123_ÜRETİM_İHTİYAÇ_RAPORU_BURAK_YENI1309[[#This Row],[SATINALMA]]*DST_123_ÜRETİM_İHTİYAÇ_RAPORU_BURAK_YENI1309[[#This Row],[BIRIM_FIYATLAR]])&lt;1,VALUE("0"),DST_123_ÜRETİM_İHTİYAÇ_RAPORU_BURAK_YENI1309[[#This Row],[SATINALMA]]*DST_123_ÜRETİM_İHTİYAÇ_RAPORU_BURAK_YENI1309[[#This Row],[BIRIM_FIYATLAR]])</f>
        <v>0</v>
      </c>
      <c r="N5594">
        <v>2400</v>
      </c>
      <c r="O5594" t="s">
        <v>220</v>
      </c>
      <c r="P5594">
        <v>216</v>
      </c>
      <c r="Q5594" t="s">
        <v>180</v>
      </c>
    </row>
    <row r="5595" spans="1:17" x14ac:dyDescent="0.25">
      <c r="A5595" t="s">
        <v>1101</v>
      </c>
      <c r="B5595" t="s">
        <v>1102</v>
      </c>
      <c r="C5595" t="s">
        <v>175</v>
      </c>
      <c r="D5595" t="s">
        <v>754</v>
      </c>
      <c r="E5595" t="s">
        <v>755</v>
      </c>
      <c r="F5595">
        <v>1</v>
      </c>
      <c r="G5595" t="s">
        <v>176</v>
      </c>
      <c r="H5595">
        <v>1</v>
      </c>
      <c r="I5595">
        <v>0</v>
      </c>
      <c r="J5595" s="10">
        <v>2</v>
      </c>
      <c r="K5595" s="10">
        <f>SUMIFS(F:F,D:D,DST_123_ÜRETİM_İHTİYAÇ_RAPORU_BURAK_YENI1309[[#This Row],[ALT_KOD]])-(SUMIFS(H:H,D:D,DST_123_ÜRETİM_İHTİYAÇ_RAPORU_BURAK_YENI1309[[#This Row],[ALT_KOD]])+AVERAGEIFS(I:I,D:D,DST_123_ÜRETİM_İHTİYAÇ_RAPORU_BURAK_YENI1309[[#This Row],[ALT_KOD]])+AVERAGEIFS(L:L,D:D,DST_123_ÜRETİM_İHTİYAÇ_RAPORU_BURAK_YENI1309[[#This Row],[ALT_KOD]]))</f>
        <v>3</v>
      </c>
      <c r="L5595">
        <v>0</v>
      </c>
      <c r="M5595">
        <f>IF((DST_123_ÜRETİM_İHTİYAÇ_RAPORU_BURAK_YENI1309[[#This Row],[SATINALMA]]*DST_123_ÜRETİM_İHTİYAÇ_RAPORU_BURAK_YENI1309[[#This Row],[BIRIM_FIYATLAR]])&lt;1,VALUE("0"),DST_123_ÜRETİM_İHTİYAÇ_RAPORU_BURAK_YENI1309[[#This Row],[SATINALMA]]*DST_123_ÜRETİM_İHTİYAÇ_RAPORU_BURAK_YENI1309[[#This Row],[BIRIM_FIYATLAR]])</f>
        <v>97615.14</v>
      </c>
      <c r="N5595">
        <v>32538.38</v>
      </c>
      <c r="O5595" t="s">
        <v>215</v>
      </c>
      <c r="P5595">
        <v>32538.38</v>
      </c>
      <c r="Q5595" t="s">
        <v>177</v>
      </c>
    </row>
    <row r="5596" spans="1:17" x14ac:dyDescent="0.25">
      <c r="A5596" t="s">
        <v>1060</v>
      </c>
      <c r="B5596" t="s">
        <v>1061</v>
      </c>
      <c r="C5596" t="s">
        <v>175</v>
      </c>
      <c r="D5596" t="s">
        <v>772</v>
      </c>
      <c r="E5596" t="s">
        <v>773</v>
      </c>
      <c r="F5596">
        <v>4</v>
      </c>
      <c r="G5596" t="s">
        <v>176</v>
      </c>
      <c r="H5596">
        <v>4</v>
      </c>
      <c r="I5596">
        <v>56.5</v>
      </c>
      <c r="J5596" s="10">
        <v>26</v>
      </c>
      <c r="K5596" s="10">
        <f>SUMIFS(F:F,D:D,DST_123_ÜRETİM_İHTİYAÇ_RAPORU_BURAK_YENI1309[[#This Row],[ALT_KOD]])-(SUMIFS(H:H,D:D,DST_123_ÜRETİM_İHTİYAÇ_RAPORU_BURAK_YENI1309[[#This Row],[ALT_KOD]])+AVERAGEIFS(I:I,D:D,DST_123_ÜRETİM_İHTİYAÇ_RAPORU_BURAK_YENI1309[[#This Row],[ALT_KOD]])+AVERAGEIFS(L:L,D:D,DST_123_ÜRETİM_İHTİYAÇ_RAPORU_BURAK_YENI1309[[#This Row],[ALT_KOD]]))</f>
        <v>-12.5</v>
      </c>
      <c r="L5596">
        <v>0</v>
      </c>
      <c r="M5596">
        <f>IF((DST_123_ÜRETİM_İHTİYAÇ_RAPORU_BURAK_YENI1309[[#This Row],[SATINALMA]]*DST_123_ÜRETİM_İHTİYAÇ_RAPORU_BURAK_YENI1309[[#This Row],[BIRIM_FIYATLAR]])&lt;1,VALUE("0"),DST_123_ÜRETİM_İHTİYAÇ_RAPORU_BURAK_YENI1309[[#This Row],[SATINALMA]]*DST_123_ÜRETİM_İHTİYAÇ_RAPORU_BURAK_YENI1309[[#This Row],[BIRIM_FIYATLAR]])</f>
        <v>0</v>
      </c>
      <c r="N5596">
        <v>200</v>
      </c>
      <c r="O5596" t="s">
        <v>247</v>
      </c>
      <c r="P5596">
        <v>800</v>
      </c>
      <c r="Q5596" t="s">
        <v>177</v>
      </c>
    </row>
    <row r="5597" spans="1:17" x14ac:dyDescent="0.25">
      <c r="A5597" t="s">
        <v>1101</v>
      </c>
      <c r="B5597" t="s">
        <v>1102</v>
      </c>
      <c r="C5597" t="s">
        <v>175</v>
      </c>
      <c r="D5597" t="s">
        <v>599</v>
      </c>
      <c r="E5597" t="s">
        <v>600</v>
      </c>
      <c r="F5597">
        <v>4</v>
      </c>
      <c r="G5597" t="s">
        <v>176</v>
      </c>
      <c r="H5597">
        <v>4</v>
      </c>
      <c r="I5597">
        <v>37</v>
      </c>
      <c r="J5597" s="10">
        <v>14</v>
      </c>
      <c r="K5597" s="10">
        <f>SUMIFS(F:F,D:D,DST_123_ÜRETİM_İHTİYAÇ_RAPORU_BURAK_YENI1309[[#This Row],[ALT_KOD]])-(SUMIFS(H:H,D:D,DST_123_ÜRETİM_İHTİYAÇ_RAPORU_BURAK_YENI1309[[#This Row],[ALT_KOD]])+AVERAGEIFS(I:I,D:D,DST_123_ÜRETİM_İHTİYAÇ_RAPORU_BURAK_YENI1309[[#This Row],[ALT_KOD]])+AVERAGEIFS(L:L,D:D,DST_123_ÜRETİM_İHTİYAÇ_RAPORU_BURAK_YENI1309[[#This Row],[ALT_KOD]]))</f>
        <v>-5</v>
      </c>
      <c r="L5597">
        <v>0</v>
      </c>
      <c r="M5597">
        <f>IF((DST_123_ÜRETİM_İHTİYAÇ_RAPORU_BURAK_YENI1309[[#This Row],[SATINALMA]]*DST_123_ÜRETİM_İHTİYAÇ_RAPORU_BURAK_YENI1309[[#This Row],[BIRIM_FIYATLAR]])&lt;1,VALUE("0"),DST_123_ÜRETİM_İHTİYAÇ_RAPORU_BURAK_YENI1309[[#This Row],[SATINALMA]]*DST_123_ÜRETİM_İHTİYAÇ_RAPORU_BURAK_YENI1309[[#This Row],[BIRIM_FIYATLAR]])</f>
        <v>0</v>
      </c>
      <c r="N5597">
        <v>313.88</v>
      </c>
      <c r="O5597" t="s">
        <v>636</v>
      </c>
      <c r="P5597">
        <v>1255.52</v>
      </c>
      <c r="Q5597" t="s">
        <v>177</v>
      </c>
    </row>
    <row r="5598" spans="1:17" x14ac:dyDescent="0.25">
      <c r="A5598" t="s">
        <v>1057</v>
      </c>
      <c r="B5598" t="s">
        <v>1058</v>
      </c>
      <c r="C5598" t="s">
        <v>175</v>
      </c>
      <c r="D5598" t="s">
        <v>48</v>
      </c>
      <c r="E5598" t="s">
        <v>49</v>
      </c>
      <c r="F5598">
        <v>4</v>
      </c>
      <c r="G5598" t="s">
        <v>176</v>
      </c>
      <c r="H5598">
        <v>4</v>
      </c>
      <c r="I5598">
        <v>21</v>
      </c>
      <c r="J5598" s="10">
        <v>30</v>
      </c>
      <c r="K5598" s="10">
        <f>SUMIFS(F:F,D:D,DST_123_ÜRETİM_İHTİYAÇ_RAPORU_BURAK_YENI1309[[#This Row],[ALT_KOD]])-(SUMIFS(H:H,D:D,DST_123_ÜRETİM_İHTİYAÇ_RAPORU_BURAK_YENI1309[[#This Row],[ALT_KOD]])+AVERAGEIFS(I:I,D:D,DST_123_ÜRETİM_İHTİYAÇ_RAPORU_BURAK_YENI1309[[#This Row],[ALT_KOD]])+AVERAGEIFS(L:L,D:D,DST_123_ÜRETİM_İHTİYAÇ_RAPORU_BURAK_YENI1309[[#This Row],[ALT_KOD]]))</f>
        <v>1</v>
      </c>
      <c r="L5598">
        <v>0</v>
      </c>
      <c r="M5598">
        <f>IF((DST_123_ÜRETİM_İHTİYAÇ_RAPORU_BURAK_YENI1309[[#This Row],[SATINALMA]]*DST_123_ÜRETİM_İHTİYAÇ_RAPORU_BURAK_YENI1309[[#This Row],[BIRIM_FIYATLAR]])&lt;1,VALUE("0"),DST_123_ÜRETİM_İHTİYAÇ_RAPORU_BURAK_YENI1309[[#This Row],[SATINALMA]]*DST_123_ÜRETİM_İHTİYAÇ_RAPORU_BURAK_YENI1309[[#This Row],[BIRIM_FIYATLAR]])</f>
        <v>42</v>
      </c>
      <c r="N5598">
        <v>42</v>
      </c>
      <c r="O5598" t="s">
        <v>245</v>
      </c>
      <c r="P5598">
        <v>168</v>
      </c>
      <c r="Q5598" t="s">
        <v>180</v>
      </c>
    </row>
    <row r="5599" spans="1:17" x14ac:dyDescent="0.25">
      <c r="A5599" t="s">
        <v>1057</v>
      </c>
      <c r="B5599" t="s">
        <v>1058</v>
      </c>
      <c r="C5599" t="s">
        <v>175</v>
      </c>
      <c r="D5599" t="s">
        <v>556</v>
      </c>
      <c r="E5599" t="s">
        <v>557</v>
      </c>
      <c r="F5599">
        <v>0.1</v>
      </c>
      <c r="G5599" t="s">
        <v>176</v>
      </c>
      <c r="H5599">
        <v>0.1</v>
      </c>
      <c r="I5599">
        <v>33</v>
      </c>
      <c r="J5599" s="10">
        <v>6.0999999999999988</v>
      </c>
      <c r="K5599" s="10">
        <f>SUMIFS(F:F,D:D,DST_123_ÜRETİM_İHTİYAÇ_RAPORU_BURAK_YENI1309[[#This Row],[ALT_KOD]])-(SUMIFS(H:H,D:D,DST_123_ÜRETİM_İHTİYAÇ_RAPORU_BURAK_YENI1309[[#This Row],[ALT_KOD]])+AVERAGEIFS(I:I,D:D,DST_123_ÜRETİM_İHTİYAÇ_RAPORU_BURAK_YENI1309[[#This Row],[ALT_KOD]])+AVERAGEIFS(L:L,D:D,DST_123_ÜRETİM_İHTİYAÇ_RAPORU_BURAK_YENI1309[[#This Row],[ALT_KOD]]))</f>
        <v>-32.299999999999997</v>
      </c>
      <c r="L5599">
        <v>0</v>
      </c>
      <c r="M5599">
        <f>IF((DST_123_ÜRETİM_İHTİYAÇ_RAPORU_BURAK_YENI1309[[#This Row],[SATINALMA]]*DST_123_ÜRETİM_İHTİYAÇ_RAPORU_BURAK_YENI1309[[#This Row],[BIRIM_FIYATLAR]])&lt;1,VALUE("0"),DST_123_ÜRETİM_İHTİYAÇ_RAPORU_BURAK_YENI1309[[#This Row],[SATINALMA]]*DST_123_ÜRETİM_İHTİYAÇ_RAPORU_BURAK_YENI1309[[#This Row],[BIRIM_FIYATLAR]])</f>
        <v>0</v>
      </c>
      <c r="N5599">
        <v>25</v>
      </c>
      <c r="O5599" t="s">
        <v>240</v>
      </c>
      <c r="P5599">
        <v>2.5</v>
      </c>
      <c r="Q5599" t="s">
        <v>180</v>
      </c>
    </row>
    <row r="5600" spans="1:17" x14ac:dyDescent="0.25">
      <c r="A5600" t="s">
        <v>1059</v>
      </c>
      <c r="B5600" t="s">
        <v>1058</v>
      </c>
      <c r="C5600" t="s">
        <v>175</v>
      </c>
      <c r="D5600" t="s">
        <v>556</v>
      </c>
      <c r="E5600" t="s">
        <v>557</v>
      </c>
      <c r="F5600">
        <v>0.1</v>
      </c>
      <c r="G5600" t="s">
        <v>176</v>
      </c>
      <c r="H5600">
        <v>0.1</v>
      </c>
      <c r="I5600">
        <v>33</v>
      </c>
      <c r="J5600" s="10">
        <v>6.0999999999999988</v>
      </c>
      <c r="K5600" s="10">
        <f>SUMIFS(F:F,D:D,DST_123_ÜRETİM_İHTİYAÇ_RAPORU_BURAK_YENI1309[[#This Row],[ALT_KOD]])-(SUMIFS(H:H,D:D,DST_123_ÜRETİM_İHTİYAÇ_RAPORU_BURAK_YENI1309[[#This Row],[ALT_KOD]])+AVERAGEIFS(I:I,D:D,DST_123_ÜRETİM_İHTİYAÇ_RAPORU_BURAK_YENI1309[[#This Row],[ALT_KOD]])+AVERAGEIFS(L:L,D:D,DST_123_ÜRETİM_İHTİYAÇ_RAPORU_BURAK_YENI1309[[#This Row],[ALT_KOD]]))</f>
        <v>-32.299999999999997</v>
      </c>
      <c r="L5600">
        <v>0</v>
      </c>
      <c r="M5600">
        <f>IF((DST_123_ÜRETİM_İHTİYAÇ_RAPORU_BURAK_YENI1309[[#This Row],[SATINALMA]]*DST_123_ÜRETİM_İHTİYAÇ_RAPORU_BURAK_YENI1309[[#This Row],[BIRIM_FIYATLAR]])&lt;1,VALUE("0"),DST_123_ÜRETİM_İHTİYAÇ_RAPORU_BURAK_YENI1309[[#This Row],[SATINALMA]]*DST_123_ÜRETİM_İHTİYAÇ_RAPORU_BURAK_YENI1309[[#This Row],[BIRIM_FIYATLAR]])</f>
        <v>0</v>
      </c>
      <c r="N5600">
        <v>25</v>
      </c>
      <c r="O5600" t="s">
        <v>240</v>
      </c>
      <c r="P5600">
        <v>2.5</v>
      </c>
      <c r="Q5600" t="s">
        <v>180</v>
      </c>
    </row>
    <row r="5601" spans="1:17" x14ac:dyDescent="0.25">
      <c r="A5601" t="s">
        <v>1101</v>
      </c>
      <c r="B5601" t="s">
        <v>1102</v>
      </c>
      <c r="C5601" t="s">
        <v>175</v>
      </c>
      <c r="D5601" t="s">
        <v>854</v>
      </c>
      <c r="E5601" t="s">
        <v>855</v>
      </c>
      <c r="F5601">
        <v>1</v>
      </c>
      <c r="G5601" t="s">
        <v>176</v>
      </c>
      <c r="H5601">
        <v>1</v>
      </c>
      <c r="I5601">
        <v>4</v>
      </c>
      <c r="J5601" s="10">
        <v>1</v>
      </c>
      <c r="K5601" s="10">
        <f>SUMIFS(F:F,D:D,DST_123_ÜRETİM_İHTİYAÇ_RAPORU_BURAK_YENI1309[[#This Row],[ALT_KOD]])-(SUMIFS(H:H,D:D,DST_123_ÜRETİM_İHTİYAÇ_RAPORU_BURAK_YENI1309[[#This Row],[ALT_KOD]])+AVERAGEIFS(I:I,D:D,DST_123_ÜRETİM_İHTİYAÇ_RAPORU_BURAK_YENI1309[[#This Row],[ALT_KOD]])+AVERAGEIFS(L:L,D:D,DST_123_ÜRETİM_İHTİYAÇ_RAPORU_BURAK_YENI1309[[#This Row],[ALT_KOD]]))</f>
        <v>-4</v>
      </c>
      <c r="L5601">
        <v>0</v>
      </c>
      <c r="M5601">
        <f>IF((DST_123_ÜRETİM_İHTİYAÇ_RAPORU_BURAK_YENI1309[[#This Row],[SATINALMA]]*DST_123_ÜRETİM_İHTİYAÇ_RAPORU_BURAK_YENI1309[[#This Row],[BIRIM_FIYATLAR]])&lt;1,VALUE("0"),DST_123_ÜRETİM_İHTİYAÇ_RAPORU_BURAK_YENI1309[[#This Row],[SATINALMA]]*DST_123_ÜRETİM_İHTİYAÇ_RAPORU_BURAK_YENI1309[[#This Row],[BIRIM_FIYATLAR]])</f>
        <v>0</v>
      </c>
      <c r="N5601">
        <v>225</v>
      </c>
      <c r="O5601" t="s">
        <v>628</v>
      </c>
      <c r="P5601">
        <v>225</v>
      </c>
      <c r="Q5601" t="s">
        <v>180</v>
      </c>
    </row>
    <row r="5602" spans="1:17" x14ac:dyDescent="0.25">
      <c r="A5602" t="s">
        <v>1098</v>
      </c>
      <c r="B5602" t="s">
        <v>1096</v>
      </c>
      <c r="C5602" t="s">
        <v>175</v>
      </c>
      <c r="D5602" t="s">
        <v>331</v>
      </c>
      <c r="E5602" t="s">
        <v>332</v>
      </c>
      <c r="F5602">
        <v>2</v>
      </c>
      <c r="G5602" t="s">
        <v>176</v>
      </c>
      <c r="H5602">
        <v>0</v>
      </c>
      <c r="I5602">
        <v>809</v>
      </c>
      <c r="J5602" s="10">
        <v>0</v>
      </c>
      <c r="K5602" s="10">
        <f>SUMIFS(F:F,D:D,DST_123_ÜRETİM_İHTİYAÇ_RAPORU_BURAK_YENI1309[[#This Row],[ALT_KOD]])-(SUMIFS(H:H,D:D,DST_123_ÜRETİM_İHTİYAÇ_RAPORU_BURAK_YENI1309[[#This Row],[ALT_KOD]])+AVERAGEIFS(I:I,D:D,DST_123_ÜRETİM_İHTİYAÇ_RAPORU_BURAK_YENI1309[[#This Row],[ALT_KOD]])+AVERAGEIFS(L:L,D:D,DST_123_ÜRETİM_İHTİYAÇ_RAPORU_BURAK_YENI1309[[#This Row],[ALT_KOD]]))</f>
        <v>-768</v>
      </c>
      <c r="L5602">
        <v>0</v>
      </c>
      <c r="M5602">
        <f>IF((DST_123_ÜRETİM_İHTİYAÇ_RAPORU_BURAK_YENI1309[[#This Row],[SATINALMA]]*DST_123_ÜRETİM_İHTİYAÇ_RAPORU_BURAK_YENI1309[[#This Row],[BIRIM_FIYATLAR]])&lt;1,VALUE("0"),DST_123_ÜRETİM_İHTİYAÇ_RAPORU_BURAK_YENI1309[[#This Row],[SATINALMA]]*DST_123_ÜRETİM_İHTİYAÇ_RAPORU_BURAK_YENI1309[[#This Row],[BIRIM_FIYATLAR]])</f>
        <v>0</v>
      </c>
      <c r="N5602">
        <v>2.4</v>
      </c>
      <c r="O5602" t="s">
        <v>240</v>
      </c>
      <c r="P5602">
        <v>4.8</v>
      </c>
      <c r="Q5602" t="s">
        <v>180</v>
      </c>
    </row>
    <row r="5603" spans="1:17" x14ac:dyDescent="0.25">
      <c r="A5603" t="s">
        <v>1144</v>
      </c>
      <c r="B5603" t="s">
        <v>1145</v>
      </c>
      <c r="C5603" t="s">
        <v>175</v>
      </c>
      <c r="D5603" t="s">
        <v>355</v>
      </c>
      <c r="E5603" t="s">
        <v>356</v>
      </c>
      <c r="F5603">
        <v>16</v>
      </c>
      <c r="G5603" t="s">
        <v>176</v>
      </c>
      <c r="H5603">
        <v>0</v>
      </c>
      <c r="I5603">
        <v>4822</v>
      </c>
      <c r="J5603" s="10">
        <v>811</v>
      </c>
      <c r="K5603" s="10">
        <f>SUMIFS(F:F,D:D,DST_123_ÜRETİM_İHTİYAÇ_RAPORU_BURAK_YENI1309[[#This Row],[ALT_KOD]])-(SUMIFS(H:H,D:D,DST_123_ÜRETİM_İHTİYAÇ_RAPORU_BURAK_YENI1309[[#This Row],[ALT_KOD]])+AVERAGEIFS(I:I,D:D,DST_123_ÜRETİM_İHTİYAÇ_RAPORU_BURAK_YENI1309[[#This Row],[ALT_KOD]])+AVERAGEIFS(L:L,D:D,DST_123_ÜRETİM_İHTİYAÇ_RAPORU_BURAK_YENI1309[[#This Row],[ALT_KOD]]))</f>
        <v>-4638</v>
      </c>
      <c r="L5603">
        <v>0</v>
      </c>
      <c r="M5603">
        <f>IF((DST_123_ÜRETİM_İHTİYAÇ_RAPORU_BURAK_YENI1309[[#This Row],[SATINALMA]]*DST_123_ÜRETİM_İHTİYAÇ_RAPORU_BURAK_YENI1309[[#This Row],[BIRIM_FIYATLAR]])&lt;1,VALUE("0"),DST_123_ÜRETİM_İHTİYAÇ_RAPORU_BURAK_YENI1309[[#This Row],[SATINALMA]]*DST_123_ÜRETİM_İHTİYAÇ_RAPORU_BURAK_YENI1309[[#This Row],[BIRIM_FIYATLAR]])</f>
        <v>0</v>
      </c>
      <c r="N5603">
        <v>0.3</v>
      </c>
      <c r="O5603" t="s">
        <v>240</v>
      </c>
      <c r="P5603">
        <v>4.8</v>
      </c>
      <c r="Q5603" t="s">
        <v>180</v>
      </c>
    </row>
    <row r="5604" spans="1:17" x14ac:dyDescent="0.25">
      <c r="A5604" t="s">
        <v>1143</v>
      </c>
      <c r="B5604" t="s">
        <v>1056</v>
      </c>
      <c r="C5604" t="s">
        <v>175</v>
      </c>
      <c r="D5604" t="s">
        <v>42</v>
      </c>
      <c r="E5604" t="s">
        <v>43</v>
      </c>
      <c r="F5604">
        <v>51</v>
      </c>
      <c r="G5604" t="s">
        <v>176</v>
      </c>
      <c r="H5604">
        <v>0</v>
      </c>
      <c r="I5604">
        <v>2800</v>
      </c>
      <c r="J5604" s="10">
        <v>2439</v>
      </c>
      <c r="K5604" s="10">
        <f>SUMIFS(F:F,D:D,DST_123_ÜRETİM_İHTİYAÇ_RAPORU_BURAK_YENI1309[[#This Row],[ALT_KOD]])-(SUMIFS(H:H,D:D,DST_123_ÜRETİM_İHTİYAÇ_RAPORU_BURAK_YENI1309[[#This Row],[ALT_KOD]])+AVERAGEIFS(I:I,D:D,DST_123_ÜRETİM_İHTİYAÇ_RAPORU_BURAK_YENI1309[[#This Row],[ALT_KOD]])+AVERAGEIFS(L:L,D:D,DST_123_ÜRETİM_İHTİYAÇ_RAPORU_BURAK_YENI1309[[#This Row],[ALT_KOD]]))</f>
        <v>-1645</v>
      </c>
      <c r="L5604">
        <v>0</v>
      </c>
      <c r="M5604">
        <f>IF((DST_123_ÜRETİM_İHTİYAÇ_RAPORU_BURAK_YENI1309[[#This Row],[SATINALMA]]*DST_123_ÜRETİM_İHTİYAÇ_RAPORU_BURAK_YENI1309[[#This Row],[BIRIM_FIYATLAR]])&lt;1,VALUE("0"),DST_123_ÜRETİM_İHTİYAÇ_RAPORU_BURAK_YENI1309[[#This Row],[SATINALMA]]*DST_123_ÜRETİM_İHTİYAÇ_RAPORU_BURAK_YENI1309[[#This Row],[BIRIM_FIYATLAR]])</f>
        <v>0</v>
      </c>
      <c r="N5604">
        <v>0.18</v>
      </c>
      <c r="O5604" t="s">
        <v>240</v>
      </c>
      <c r="P5604">
        <v>9.18</v>
      </c>
      <c r="Q5604" t="s">
        <v>180</v>
      </c>
    </row>
    <row r="5605" spans="1:17" x14ac:dyDescent="0.25">
      <c r="A5605" t="s">
        <v>1150</v>
      </c>
      <c r="B5605" t="s">
        <v>1145</v>
      </c>
      <c r="C5605" t="s">
        <v>175</v>
      </c>
      <c r="D5605" t="s">
        <v>957</v>
      </c>
      <c r="E5605" t="s">
        <v>958</v>
      </c>
      <c r="F5605">
        <v>1</v>
      </c>
      <c r="G5605" t="s">
        <v>176</v>
      </c>
      <c r="H5605">
        <v>0</v>
      </c>
      <c r="I5605">
        <v>2</v>
      </c>
      <c r="J5605" s="10">
        <v>1</v>
      </c>
      <c r="K5605" s="10">
        <f>SUMIFS(F:F,D:D,DST_123_ÜRETİM_İHTİYAÇ_RAPORU_BURAK_YENI1309[[#This Row],[ALT_KOD]])-(SUMIFS(H:H,D:D,DST_123_ÜRETİM_İHTİYAÇ_RAPORU_BURAK_YENI1309[[#This Row],[ALT_KOD]])+AVERAGEIFS(I:I,D:D,DST_123_ÜRETİM_İHTİYAÇ_RAPORU_BURAK_YENI1309[[#This Row],[ALT_KOD]])+AVERAGEIFS(L:L,D:D,DST_123_ÜRETİM_İHTİYAÇ_RAPORU_BURAK_YENI1309[[#This Row],[ALT_KOD]]))</f>
        <v>1</v>
      </c>
      <c r="L5605">
        <v>0</v>
      </c>
      <c r="M5605">
        <f>IF((DST_123_ÜRETİM_İHTİYAÇ_RAPORU_BURAK_YENI1309[[#This Row],[SATINALMA]]*DST_123_ÜRETİM_İHTİYAÇ_RAPORU_BURAK_YENI1309[[#This Row],[BIRIM_FIYATLAR]])&lt;1,VALUE("0"),DST_123_ÜRETİM_İHTİYAÇ_RAPORU_BURAK_YENI1309[[#This Row],[SATINALMA]]*DST_123_ÜRETİM_İHTİYAÇ_RAPORU_BURAK_YENI1309[[#This Row],[BIRIM_FIYATLAR]])</f>
        <v>11815.53</v>
      </c>
      <c r="N5605">
        <v>11815.53</v>
      </c>
      <c r="O5605" t="s">
        <v>227</v>
      </c>
      <c r="P5605">
        <v>11815.53</v>
      </c>
      <c r="Q5605" t="s">
        <v>221</v>
      </c>
    </row>
    <row r="5606" spans="1:17" x14ac:dyDescent="0.25">
      <c r="A5606" t="s">
        <v>1098</v>
      </c>
      <c r="B5606" t="s">
        <v>1096</v>
      </c>
      <c r="C5606" t="s">
        <v>175</v>
      </c>
      <c r="D5606" t="s">
        <v>772</v>
      </c>
      <c r="E5606" t="s">
        <v>773</v>
      </c>
      <c r="F5606">
        <v>4</v>
      </c>
      <c r="G5606" t="s">
        <v>176</v>
      </c>
      <c r="H5606">
        <v>0</v>
      </c>
      <c r="I5606">
        <v>56.5</v>
      </c>
      <c r="J5606" s="10">
        <v>26</v>
      </c>
      <c r="K5606" s="10">
        <f>SUMIFS(F:F,D:D,DST_123_ÜRETİM_İHTİYAÇ_RAPORU_BURAK_YENI1309[[#This Row],[ALT_KOD]])-(SUMIFS(H:H,D:D,DST_123_ÜRETİM_İHTİYAÇ_RAPORU_BURAK_YENI1309[[#This Row],[ALT_KOD]])+AVERAGEIFS(I:I,D:D,DST_123_ÜRETİM_İHTİYAÇ_RAPORU_BURAK_YENI1309[[#This Row],[ALT_KOD]])+AVERAGEIFS(L:L,D:D,DST_123_ÜRETİM_İHTİYAÇ_RAPORU_BURAK_YENI1309[[#This Row],[ALT_KOD]]))</f>
        <v>-12.5</v>
      </c>
      <c r="L5606">
        <v>0</v>
      </c>
      <c r="M5606">
        <f>IF((DST_123_ÜRETİM_İHTİYAÇ_RAPORU_BURAK_YENI1309[[#This Row],[SATINALMA]]*DST_123_ÜRETİM_İHTİYAÇ_RAPORU_BURAK_YENI1309[[#This Row],[BIRIM_FIYATLAR]])&lt;1,VALUE("0"),DST_123_ÜRETİM_İHTİYAÇ_RAPORU_BURAK_YENI1309[[#This Row],[SATINALMA]]*DST_123_ÜRETİM_İHTİYAÇ_RAPORU_BURAK_YENI1309[[#This Row],[BIRIM_FIYATLAR]])</f>
        <v>0</v>
      </c>
      <c r="N5606">
        <v>200</v>
      </c>
      <c r="O5606" t="s">
        <v>247</v>
      </c>
      <c r="P5606">
        <v>800</v>
      </c>
      <c r="Q5606" t="s">
        <v>177</v>
      </c>
    </row>
    <row r="5607" spans="1:17" x14ac:dyDescent="0.25">
      <c r="A5607" t="s">
        <v>1196</v>
      </c>
      <c r="B5607" t="s">
        <v>1197</v>
      </c>
      <c r="C5607" t="s">
        <v>175</v>
      </c>
      <c r="D5607" t="s">
        <v>1163</v>
      </c>
      <c r="E5607" t="s">
        <v>1164</v>
      </c>
      <c r="F5607">
        <v>2</v>
      </c>
      <c r="G5607" t="s">
        <v>176</v>
      </c>
      <c r="H5607">
        <v>0</v>
      </c>
      <c r="I5607">
        <v>500</v>
      </c>
      <c r="J5607" s="10">
        <v>500</v>
      </c>
      <c r="K5607" s="10">
        <f>SUMIFS(F:F,D:D,DST_123_ÜRETİM_İHTİYAÇ_RAPORU_BURAK_YENI1309[[#This Row],[ALT_KOD]])-(SUMIFS(H:H,D:D,DST_123_ÜRETİM_İHTİYAÇ_RAPORU_BURAK_YENI1309[[#This Row],[ALT_KOD]])+AVERAGEIFS(I:I,D:D,DST_123_ÜRETİM_İHTİYAÇ_RAPORU_BURAK_YENI1309[[#This Row],[ALT_KOD]])+AVERAGEIFS(L:L,D:D,DST_123_ÜRETİM_İHTİYAÇ_RAPORU_BURAK_YENI1309[[#This Row],[ALT_KOD]]))</f>
        <v>-486</v>
      </c>
      <c r="L5607">
        <v>0</v>
      </c>
      <c r="M5607">
        <f>IF((DST_123_ÜRETİM_İHTİYAÇ_RAPORU_BURAK_YENI1309[[#This Row],[SATINALMA]]*DST_123_ÜRETİM_İHTİYAÇ_RAPORU_BURAK_YENI1309[[#This Row],[BIRIM_FIYATLAR]])&lt;1,VALUE("0"),DST_123_ÜRETİM_İHTİYAÇ_RAPORU_BURAK_YENI1309[[#This Row],[SATINALMA]]*DST_123_ÜRETİM_İHTİYAÇ_RAPORU_BURAK_YENI1309[[#This Row],[BIRIM_FIYATLAR]])</f>
        <v>0</v>
      </c>
      <c r="N5607">
        <v>0.55000000000000004</v>
      </c>
      <c r="O5607" t="s">
        <v>826</v>
      </c>
      <c r="P5607">
        <v>1.1000000000000001</v>
      </c>
      <c r="Q5607" t="s">
        <v>221</v>
      </c>
    </row>
    <row r="5608" spans="1:17" x14ac:dyDescent="0.25">
      <c r="A5608" t="s">
        <v>1057</v>
      </c>
      <c r="B5608" t="s">
        <v>1058</v>
      </c>
      <c r="C5608" t="s">
        <v>175</v>
      </c>
      <c r="D5608" t="s">
        <v>321</v>
      </c>
      <c r="E5608" t="s">
        <v>322</v>
      </c>
      <c r="F5608">
        <v>4</v>
      </c>
      <c r="G5608" t="s">
        <v>176</v>
      </c>
      <c r="H5608">
        <v>4</v>
      </c>
      <c r="I5608">
        <v>84</v>
      </c>
      <c r="J5608" s="10">
        <v>195.90000000000009</v>
      </c>
      <c r="K5608" s="10">
        <f>SUMIFS(F:F,D:D,DST_123_ÜRETİM_İHTİYAÇ_RAPORU_BURAK_YENI1309[[#This Row],[ALT_KOD]])-(SUMIFS(H:H,D:D,DST_123_ÜRETİM_İHTİYAÇ_RAPORU_BURAK_YENI1309[[#This Row],[ALT_KOD]])+AVERAGEIFS(I:I,D:D,DST_123_ÜRETİM_İHTİYAÇ_RAPORU_BURAK_YENI1309[[#This Row],[ALT_KOD]])+AVERAGEIFS(L:L,D:D,DST_123_ÜRETİM_İHTİYAÇ_RAPORU_BURAK_YENI1309[[#This Row],[ALT_KOD]]))</f>
        <v>-24.600000000000023</v>
      </c>
      <c r="L5608">
        <v>0</v>
      </c>
      <c r="M5608">
        <f>IF((DST_123_ÜRETİM_İHTİYAÇ_RAPORU_BURAK_YENI1309[[#This Row],[SATINALMA]]*DST_123_ÜRETİM_İHTİYAÇ_RAPORU_BURAK_YENI1309[[#This Row],[BIRIM_FIYATLAR]])&lt;1,VALUE("0"),DST_123_ÜRETİM_İHTİYAÇ_RAPORU_BURAK_YENI1309[[#This Row],[SATINALMA]]*DST_123_ÜRETİM_İHTİYAÇ_RAPORU_BURAK_YENI1309[[#This Row],[BIRIM_FIYATLAR]])</f>
        <v>0</v>
      </c>
      <c r="N5608">
        <v>29</v>
      </c>
      <c r="O5608" t="s">
        <v>240</v>
      </c>
      <c r="P5608">
        <v>116</v>
      </c>
      <c r="Q5608" t="s">
        <v>180</v>
      </c>
    </row>
    <row r="5609" spans="1:17" x14ac:dyDescent="0.25">
      <c r="A5609" t="s">
        <v>1059</v>
      </c>
      <c r="B5609" t="s">
        <v>1058</v>
      </c>
      <c r="C5609" t="s">
        <v>175</v>
      </c>
      <c r="D5609" t="s">
        <v>321</v>
      </c>
      <c r="E5609" t="s">
        <v>322</v>
      </c>
      <c r="F5609">
        <v>4</v>
      </c>
      <c r="G5609" t="s">
        <v>176</v>
      </c>
      <c r="H5609">
        <v>4</v>
      </c>
      <c r="I5609">
        <v>84</v>
      </c>
      <c r="J5609" s="10">
        <v>195.90000000000009</v>
      </c>
      <c r="K5609" s="10">
        <f>SUMIFS(F:F,D:D,DST_123_ÜRETİM_İHTİYAÇ_RAPORU_BURAK_YENI1309[[#This Row],[ALT_KOD]])-(SUMIFS(H:H,D:D,DST_123_ÜRETİM_İHTİYAÇ_RAPORU_BURAK_YENI1309[[#This Row],[ALT_KOD]])+AVERAGEIFS(I:I,D:D,DST_123_ÜRETİM_İHTİYAÇ_RAPORU_BURAK_YENI1309[[#This Row],[ALT_KOD]])+AVERAGEIFS(L:L,D:D,DST_123_ÜRETİM_İHTİYAÇ_RAPORU_BURAK_YENI1309[[#This Row],[ALT_KOD]]))</f>
        <v>-24.600000000000023</v>
      </c>
      <c r="L5609">
        <v>0</v>
      </c>
      <c r="M5609">
        <f>IF((DST_123_ÜRETİM_İHTİYAÇ_RAPORU_BURAK_YENI1309[[#This Row],[SATINALMA]]*DST_123_ÜRETİM_İHTİYAÇ_RAPORU_BURAK_YENI1309[[#This Row],[BIRIM_FIYATLAR]])&lt;1,VALUE("0"),DST_123_ÜRETİM_İHTİYAÇ_RAPORU_BURAK_YENI1309[[#This Row],[SATINALMA]]*DST_123_ÜRETİM_İHTİYAÇ_RAPORU_BURAK_YENI1309[[#This Row],[BIRIM_FIYATLAR]])</f>
        <v>0</v>
      </c>
      <c r="N5609">
        <v>29</v>
      </c>
      <c r="O5609" t="s">
        <v>240</v>
      </c>
      <c r="P5609">
        <v>116</v>
      </c>
      <c r="Q5609" t="s">
        <v>180</v>
      </c>
    </row>
    <row r="5610" spans="1:17" x14ac:dyDescent="0.25">
      <c r="A5610" t="s">
        <v>1100</v>
      </c>
      <c r="B5610" t="s">
        <v>1058</v>
      </c>
      <c r="C5610" t="s">
        <v>175</v>
      </c>
      <c r="D5610" t="s">
        <v>243</v>
      </c>
      <c r="E5610" t="s">
        <v>244</v>
      </c>
      <c r="F5610">
        <v>1</v>
      </c>
      <c r="G5610" t="s">
        <v>176</v>
      </c>
      <c r="H5610">
        <v>1</v>
      </c>
      <c r="I5610">
        <v>18</v>
      </c>
      <c r="J5610" s="10">
        <v>9</v>
      </c>
      <c r="K5610" s="10">
        <f>SUMIFS(F:F,D:D,DST_123_ÜRETİM_İHTİYAÇ_RAPORU_BURAK_YENI1309[[#This Row],[ALT_KOD]])-(SUMIFS(H:H,D:D,DST_123_ÜRETİM_İHTİYAÇ_RAPORU_BURAK_YENI1309[[#This Row],[ALT_KOD]])+AVERAGEIFS(I:I,D:D,DST_123_ÜRETİM_İHTİYAÇ_RAPORU_BURAK_YENI1309[[#This Row],[ALT_KOD]])+AVERAGEIFS(L:L,D:D,DST_123_ÜRETİM_İHTİYAÇ_RAPORU_BURAK_YENI1309[[#This Row],[ALT_KOD]]))</f>
        <v>-10</v>
      </c>
      <c r="L5610">
        <v>0</v>
      </c>
      <c r="M5610">
        <f>IF((DST_123_ÜRETİM_İHTİYAÇ_RAPORU_BURAK_YENI1309[[#This Row],[SATINALMA]]*DST_123_ÜRETİM_İHTİYAÇ_RAPORU_BURAK_YENI1309[[#This Row],[BIRIM_FIYATLAR]])&lt;1,VALUE("0"),DST_123_ÜRETİM_İHTİYAÇ_RAPORU_BURAK_YENI1309[[#This Row],[SATINALMA]]*DST_123_ÜRETİM_İHTİYAÇ_RAPORU_BURAK_YENI1309[[#This Row],[BIRIM_FIYATLAR]])</f>
        <v>0</v>
      </c>
      <c r="N5610">
        <v>60</v>
      </c>
      <c r="O5610" t="s">
        <v>628</v>
      </c>
      <c r="P5610">
        <v>60</v>
      </c>
      <c r="Q5610" t="s">
        <v>180</v>
      </c>
    </row>
    <row r="5611" spans="1:17" x14ac:dyDescent="0.25">
      <c r="A5611" t="s">
        <v>1100</v>
      </c>
      <c r="B5611" t="s">
        <v>1058</v>
      </c>
      <c r="C5611" t="s">
        <v>175</v>
      </c>
      <c r="D5611" t="s">
        <v>48</v>
      </c>
      <c r="E5611" t="s">
        <v>49</v>
      </c>
      <c r="F5611">
        <v>4</v>
      </c>
      <c r="G5611" t="s">
        <v>176</v>
      </c>
      <c r="H5611">
        <v>4</v>
      </c>
      <c r="I5611">
        <v>21</v>
      </c>
      <c r="J5611" s="10">
        <v>30</v>
      </c>
      <c r="K5611" s="10">
        <f>SUMIFS(F:F,D:D,DST_123_ÜRETİM_İHTİYAÇ_RAPORU_BURAK_YENI1309[[#This Row],[ALT_KOD]])-(SUMIFS(H:H,D:D,DST_123_ÜRETİM_İHTİYAÇ_RAPORU_BURAK_YENI1309[[#This Row],[ALT_KOD]])+AVERAGEIFS(I:I,D:D,DST_123_ÜRETİM_İHTİYAÇ_RAPORU_BURAK_YENI1309[[#This Row],[ALT_KOD]])+AVERAGEIFS(L:L,D:D,DST_123_ÜRETİM_İHTİYAÇ_RAPORU_BURAK_YENI1309[[#This Row],[ALT_KOD]]))</f>
        <v>1</v>
      </c>
      <c r="L5611">
        <v>0</v>
      </c>
      <c r="M5611">
        <f>IF((DST_123_ÜRETİM_İHTİYAÇ_RAPORU_BURAK_YENI1309[[#This Row],[SATINALMA]]*DST_123_ÜRETİM_İHTİYAÇ_RAPORU_BURAK_YENI1309[[#This Row],[BIRIM_FIYATLAR]])&lt;1,VALUE("0"),DST_123_ÜRETİM_İHTİYAÇ_RAPORU_BURAK_YENI1309[[#This Row],[SATINALMA]]*DST_123_ÜRETİM_İHTİYAÇ_RAPORU_BURAK_YENI1309[[#This Row],[BIRIM_FIYATLAR]])</f>
        <v>42</v>
      </c>
      <c r="N5611">
        <v>42</v>
      </c>
      <c r="O5611" t="s">
        <v>245</v>
      </c>
      <c r="P5611">
        <v>168</v>
      </c>
      <c r="Q5611" t="s">
        <v>180</v>
      </c>
    </row>
    <row r="5612" spans="1:17" x14ac:dyDescent="0.25">
      <c r="A5612" t="s">
        <v>1100</v>
      </c>
      <c r="B5612" t="s">
        <v>1058</v>
      </c>
      <c r="C5612" t="s">
        <v>175</v>
      </c>
      <c r="D5612" t="s">
        <v>90</v>
      </c>
      <c r="E5612" t="s">
        <v>91</v>
      </c>
      <c r="F5612">
        <v>1</v>
      </c>
      <c r="G5612" t="s">
        <v>176</v>
      </c>
      <c r="H5612">
        <v>1</v>
      </c>
      <c r="I5612">
        <v>4</v>
      </c>
      <c r="J5612" s="10">
        <v>12</v>
      </c>
      <c r="K5612" s="10">
        <f>SUMIFS(F:F,D:D,DST_123_ÜRETİM_İHTİYAÇ_RAPORU_BURAK_YENI1309[[#This Row],[ALT_KOD]])-(SUMIFS(H:H,D:D,DST_123_ÜRETİM_İHTİYAÇ_RAPORU_BURAK_YENI1309[[#This Row],[ALT_KOD]])+AVERAGEIFS(I:I,D:D,DST_123_ÜRETİM_İHTİYAÇ_RAPORU_BURAK_YENI1309[[#This Row],[ALT_KOD]])+AVERAGEIFS(L:L,D:D,DST_123_ÜRETİM_İHTİYAÇ_RAPORU_BURAK_YENI1309[[#This Row],[ALT_KOD]]))</f>
        <v>7</v>
      </c>
      <c r="L5612">
        <v>0</v>
      </c>
      <c r="M5612">
        <f>IF((DST_123_ÜRETİM_İHTİYAÇ_RAPORU_BURAK_YENI1309[[#This Row],[SATINALMA]]*DST_123_ÜRETİM_İHTİYAÇ_RAPORU_BURAK_YENI1309[[#This Row],[BIRIM_FIYATLAR]])&lt;1,VALUE("0"),DST_123_ÜRETİM_İHTİYAÇ_RAPORU_BURAK_YENI1309[[#This Row],[SATINALMA]]*DST_123_ÜRETİM_İHTİYAÇ_RAPORU_BURAK_YENI1309[[#This Row],[BIRIM_FIYATLAR]])</f>
        <v>12435.01</v>
      </c>
      <c r="N5612">
        <v>1776.43</v>
      </c>
      <c r="O5612" t="s">
        <v>634</v>
      </c>
      <c r="P5612">
        <v>1776.43</v>
      </c>
      <c r="Q5612" t="s">
        <v>178</v>
      </c>
    </row>
    <row r="5613" spans="1:17" x14ac:dyDescent="0.25">
      <c r="A5613" t="s">
        <v>1060</v>
      </c>
      <c r="B5613" t="s">
        <v>1061</v>
      </c>
      <c r="C5613" t="s">
        <v>175</v>
      </c>
      <c r="D5613" t="s">
        <v>90</v>
      </c>
      <c r="E5613" t="s">
        <v>91</v>
      </c>
      <c r="F5613">
        <v>1</v>
      </c>
      <c r="G5613" t="s">
        <v>176</v>
      </c>
      <c r="H5613">
        <v>1</v>
      </c>
      <c r="I5613">
        <v>4</v>
      </c>
      <c r="J5613" s="10">
        <v>12</v>
      </c>
      <c r="K5613" s="10">
        <f>SUMIFS(F:F,D:D,DST_123_ÜRETİM_İHTİYAÇ_RAPORU_BURAK_YENI1309[[#This Row],[ALT_KOD]])-(SUMIFS(H:H,D:D,DST_123_ÜRETİM_İHTİYAÇ_RAPORU_BURAK_YENI1309[[#This Row],[ALT_KOD]])+AVERAGEIFS(I:I,D:D,DST_123_ÜRETİM_İHTİYAÇ_RAPORU_BURAK_YENI1309[[#This Row],[ALT_KOD]])+AVERAGEIFS(L:L,D:D,DST_123_ÜRETİM_İHTİYAÇ_RAPORU_BURAK_YENI1309[[#This Row],[ALT_KOD]]))</f>
        <v>7</v>
      </c>
      <c r="L5613">
        <v>0</v>
      </c>
      <c r="M5613">
        <f>IF((DST_123_ÜRETİM_İHTİYAÇ_RAPORU_BURAK_YENI1309[[#This Row],[SATINALMA]]*DST_123_ÜRETİM_İHTİYAÇ_RAPORU_BURAK_YENI1309[[#This Row],[BIRIM_FIYATLAR]])&lt;1,VALUE("0"),DST_123_ÜRETİM_İHTİYAÇ_RAPORU_BURAK_YENI1309[[#This Row],[SATINALMA]]*DST_123_ÜRETİM_İHTİYAÇ_RAPORU_BURAK_YENI1309[[#This Row],[BIRIM_FIYATLAR]])</f>
        <v>12435.01</v>
      </c>
      <c r="N5613">
        <v>1776.43</v>
      </c>
      <c r="O5613" t="s">
        <v>634</v>
      </c>
      <c r="P5613">
        <v>1776.43</v>
      </c>
      <c r="Q5613" t="s">
        <v>178</v>
      </c>
    </row>
    <row r="5614" spans="1:17" x14ac:dyDescent="0.25">
      <c r="A5614" t="s">
        <v>1059</v>
      </c>
      <c r="B5614" t="s">
        <v>1058</v>
      </c>
      <c r="C5614" t="s">
        <v>175</v>
      </c>
      <c r="D5614" t="s">
        <v>913</v>
      </c>
      <c r="E5614" t="s">
        <v>914</v>
      </c>
      <c r="F5614">
        <v>3</v>
      </c>
      <c r="G5614" t="s">
        <v>179</v>
      </c>
      <c r="H5614">
        <v>0</v>
      </c>
      <c r="I5614">
        <v>100</v>
      </c>
      <c r="J5614" s="10">
        <v>26</v>
      </c>
      <c r="K5614" s="10">
        <f>SUMIFS(F:F,D:D,DST_123_ÜRETİM_İHTİYAÇ_RAPORU_BURAK_YENI1309[[#This Row],[ALT_KOD]])-(SUMIFS(H:H,D:D,DST_123_ÜRETİM_İHTİYAÇ_RAPORU_BURAK_YENI1309[[#This Row],[ALT_KOD]])+AVERAGEIFS(I:I,D:D,DST_123_ÜRETİM_İHTİYAÇ_RAPORU_BURAK_YENI1309[[#This Row],[ALT_KOD]])+AVERAGEIFS(L:L,D:D,DST_123_ÜRETİM_İHTİYAÇ_RAPORU_BURAK_YENI1309[[#This Row],[ALT_KOD]]))</f>
        <v>-85</v>
      </c>
      <c r="L5614">
        <v>0</v>
      </c>
      <c r="M5614">
        <f>IF((DST_123_ÜRETİM_İHTİYAÇ_RAPORU_BURAK_YENI1309[[#This Row],[SATINALMA]]*DST_123_ÜRETİM_İHTİYAÇ_RAPORU_BURAK_YENI1309[[#This Row],[BIRIM_FIYATLAR]])&lt;1,VALUE("0"),DST_123_ÜRETİM_İHTİYAÇ_RAPORU_BURAK_YENI1309[[#This Row],[SATINALMA]]*DST_123_ÜRETİM_İHTİYAÇ_RAPORU_BURAK_YENI1309[[#This Row],[BIRIM_FIYATLAR]])</f>
        <v>0</v>
      </c>
      <c r="N5614">
        <v>49.1</v>
      </c>
      <c r="O5614" t="s">
        <v>826</v>
      </c>
      <c r="P5614">
        <v>147.30000000000001</v>
      </c>
      <c r="Q5614" t="s">
        <v>221</v>
      </c>
    </row>
    <row r="5615" spans="1:17" x14ac:dyDescent="0.25">
      <c r="A5615" t="s">
        <v>1097</v>
      </c>
      <c r="B5615" t="s">
        <v>1055</v>
      </c>
      <c r="C5615" t="s">
        <v>175</v>
      </c>
      <c r="D5615" t="s">
        <v>772</v>
      </c>
      <c r="E5615" t="s">
        <v>773</v>
      </c>
      <c r="F5615">
        <v>2</v>
      </c>
      <c r="G5615" t="s">
        <v>176</v>
      </c>
      <c r="H5615">
        <v>2</v>
      </c>
      <c r="I5615">
        <v>56.5</v>
      </c>
      <c r="J5615" s="10">
        <v>26</v>
      </c>
      <c r="K5615" s="10">
        <f>SUMIFS(F:F,D:D,DST_123_ÜRETİM_İHTİYAÇ_RAPORU_BURAK_YENI1309[[#This Row],[ALT_KOD]])-(SUMIFS(H:H,D:D,DST_123_ÜRETİM_İHTİYAÇ_RAPORU_BURAK_YENI1309[[#This Row],[ALT_KOD]])+AVERAGEIFS(I:I,D:D,DST_123_ÜRETİM_İHTİYAÇ_RAPORU_BURAK_YENI1309[[#This Row],[ALT_KOD]])+AVERAGEIFS(L:L,D:D,DST_123_ÜRETİM_İHTİYAÇ_RAPORU_BURAK_YENI1309[[#This Row],[ALT_KOD]]))</f>
        <v>-12.5</v>
      </c>
      <c r="L5615">
        <v>0</v>
      </c>
      <c r="M5615">
        <f>IF((DST_123_ÜRETİM_İHTİYAÇ_RAPORU_BURAK_YENI1309[[#This Row],[SATINALMA]]*DST_123_ÜRETİM_İHTİYAÇ_RAPORU_BURAK_YENI1309[[#This Row],[BIRIM_FIYATLAR]])&lt;1,VALUE("0"),DST_123_ÜRETİM_İHTİYAÇ_RAPORU_BURAK_YENI1309[[#This Row],[SATINALMA]]*DST_123_ÜRETİM_İHTİYAÇ_RAPORU_BURAK_YENI1309[[#This Row],[BIRIM_FIYATLAR]])</f>
        <v>0</v>
      </c>
      <c r="N5615">
        <v>200</v>
      </c>
      <c r="O5615" t="s">
        <v>247</v>
      </c>
      <c r="P5615">
        <v>400</v>
      </c>
      <c r="Q5615" t="s">
        <v>177</v>
      </c>
    </row>
    <row r="5616" spans="1:17" x14ac:dyDescent="0.25">
      <c r="A5616" t="s">
        <v>1099</v>
      </c>
      <c r="B5616" t="s">
        <v>1055</v>
      </c>
      <c r="C5616" t="s">
        <v>175</v>
      </c>
      <c r="D5616" t="s">
        <v>722</v>
      </c>
      <c r="E5616" t="s">
        <v>723</v>
      </c>
      <c r="F5616">
        <v>8</v>
      </c>
      <c r="G5616" t="s">
        <v>176</v>
      </c>
      <c r="H5616">
        <v>8</v>
      </c>
      <c r="I5616">
        <v>1270</v>
      </c>
      <c r="J5616" s="10">
        <v>698</v>
      </c>
      <c r="K5616" s="10">
        <f>SUMIFS(F:F,D:D,DST_123_ÜRETİM_İHTİYAÇ_RAPORU_BURAK_YENI1309[[#This Row],[ALT_KOD]])-(SUMIFS(H:H,D:D,DST_123_ÜRETİM_İHTİYAÇ_RAPORU_BURAK_YENI1309[[#This Row],[ALT_KOD]])+AVERAGEIFS(I:I,D:D,DST_123_ÜRETİM_İHTİYAÇ_RAPORU_BURAK_YENI1309[[#This Row],[ALT_KOD]])+AVERAGEIFS(L:L,D:D,DST_123_ÜRETİM_İHTİYAÇ_RAPORU_BURAK_YENI1309[[#This Row],[ALT_KOD]]))</f>
        <v>-1174</v>
      </c>
      <c r="L5616">
        <v>0</v>
      </c>
      <c r="M5616">
        <f>IF((DST_123_ÜRETİM_İHTİYAÇ_RAPORU_BURAK_YENI1309[[#This Row],[SATINALMA]]*DST_123_ÜRETİM_İHTİYAÇ_RAPORU_BURAK_YENI1309[[#This Row],[BIRIM_FIYATLAR]])&lt;1,VALUE("0"),DST_123_ÜRETİM_İHTİYAÇ_RAPORU_BURAK_YENI1309[[#This Row],[SATINALMA]]*DST_123_ÜRETİM_İHTİYAÇ_RAPORU_BURAK_YENI1309[[#This Row],[BIRIM_FIYATLAR]])</f>
        <v>0</v>
      </c>
      <c r="N5616">
        <v>0.55000000000000004</v>
      </c>
      <c r="O5616" t="s">
        <v>240</v>
      </c>
      <c r="P5616">
        <v>4.4000000000000004</v>
      </c>
      <c r="Q5616" t="s">
        <v>180</v>
      </c>
    </row>
    <row r="5617" spans="1:17" x14ac:dyDescent="0.25">
      <c r="A5617" t="s">
        <v>1064</v>
      </c>
      <c r="B5617" t="s">
        <v>1055</v>
      </c>
      <c r="C5617" t="s">
        <v>175</v>
      </c>
      <c r="D5617" t="s">
        <v>590</v>
      </c>
      <c r="E5617" t="s">
        <v>591</v>
      </c>
      <c r="F5617">
        <v>1</v>
      </c>
      <c r="G5617" t="s">
        <v>176</v>
      </c>
      <c r="H5617">
        <v>1</v>
      </c>
      <c r="I5617">
        <v>4</v>
      </c>
      <c r="J5617" s="10">
        <v>10</v>
      </c>
      <c r="K5617" s="10">
        <f>SUMIFS(F:F,D:D,DST_123_ÜRETİM_İHTİYAÇ_RAPORU_BURAK_YENI1309[[#This Row],[ALT_KOD]])-(SUMIFS(H:H,D:D,DST_123_ÜRETİM_İHTİYAÇ_RAPORU_BURAK_YENI1309[[#This Row],[ALT_KOD]])+AVERAGEIFS(I:I,D:D,DST_123_ÜRETİM_İHTİYAÇ_RAPORU_BURAK_YENI1309[[#This Row],[ALT_KOD]])+AVERAGEIFS(L:L,D:D,DST_123_ÜRETİM_İHTİYAÇ_RAPORU_BURAK_YENI1309[[#This Row],[ALT_KOD]]))</f>
        <v>-3</v>
      </c>
      <c r="L5617">
        <v>10</v>
      </c>
      <c r="M5617">
        <f>IF((DST_123_ÜRETİM_İHTİYAÇ_RAPORU_BURAK_YENI1309[[#This Row],[SATINALMA]]*DST_123_ÜRETİM_İHTİYAÇ_RAPORU_BURAK_YENI1309[[#This Row],[BIRIM_FIYATLAR]])&lt;1,VALUE("0"),DST_123_ÜRETİM_İHTİYAÇ_RAPORU_BURAK_YENI1309[[#This Row],[SATINALMA]]*DST_123_ÜRETİM_İHTİYAÇ_RAPORU_BURAK_YENI1309[[#This Row],[BIRIM_FIYATLAR]])</f>
        <v>0</v>
      </c>
      <c r="N5617">
        <v>583.77</v>
      </c>
      <c r="O5617" t="s">
        <v>592</v>
      </c>
      <c r="P5617">
        <v>583.77</v>
      </c>
      <c r="Q5617" t="s">
        <v>180</v>
      </c>
    </row>
    <row r="5618" spans="1:17" x14ac:dyDescent="0.25">
      <c r="A5618" t="s">
        <v>1064</v>
      </c>
      <c r="B5618" t="s">
        <v>1055</v>
      </c>
      <c r="C5618" t="s">
        <v>175</v>
      </c>
      <c r="D5618" t="s">
        <v>1074</v>
      </c>
      <c r="E5618" t="s">
        <v>1075</v>
      </c>
      <c r="F5618">
        <v>2</v>
      </c>
      <c r="G5618" t="s">
        <v>176</v>
      </c>
      <c r="H5618">
        <v>2</v>
      </c>
      <c r="I5618">
        <v>0</v>
      </c>
      <c r="J5618" s="10">
        <v>4</v>
      </c>
      <c r="K5618" s="10">
        <f>SUMIFS(F:F,D:D,DST_123_ÜRETİM_İHTİYAÇ_RAPORU_BURAK_YENI1309[[#This Row],[ALT_KOD]])-(SUMIFS(H:H,D:D,DST_123_ÜRETİM_İHTİYAÇ_RAPORU_BURAK_YENI1309[[#This Row],[ALT_KOD]])+AVERAGEIFS(I:I,D:D,DST_123_ÜRETİM_İHTİYAÇ_RAPORU_BURAK_YENI1309[[#This Row],[ALT_KOD]])+AVERAGEIFS(L:L,D:D,DST_123_ÜRETİM_İHTİYAÇ_RAPORU_BURAK_YENI1309[[#This Row],[ALT_KOD]]))</f>
        <v>0</v>
      </c>
      <c r="L5618">
        <v>0</v>
      </c>
      <c r="M5618">
        <f>IF((DST_123_ÜRETİM_İHTİYAÇ_RAPORU_BURAK_YENI1309[[#This Row],[SATINALMA]]*DST_123_ÜRETİM_İHTİYAÇ_RAPORU_BURAK_YENI1309[[#This Row],[BIRIM_FIYATLAR]])&lt;1,VALUE("0"),DST_123_ÜRETİM_İHTİYAÇ_RAPORU_BURAK_YENI1309[[#This Row],[SATINALMA]]*DST_123_ÜRETİM_İHTİYAÇ_RAPORU_BURAK_YENI1309[[#This Row],[BIRIM_FIYATLAR]])</f>
        <v>0</v>
      </c>
      <c r="N5618">
        <v>4532</v>
      </c>
      <c r="O5618" t="s">
        <v>647</v>
      </c>
      <c r="P5618">
        <v>9064</v>
      </c>
      <c r="Q5618" t="s">
        <v>177</v>
      </c>
    </row>
    <row r="5619" spans="1:17" x14ac:dyDescent="0.25">
      <c r="A5619" t="s">
        <v>1099</v>
      </c>
      <c r="B5619" t="s">
        <v>1055</v>
      </c>
      <c r="C5619" t="s">
        <v>175</v>
      </c>
      <c r="D5619" t="s">
        <v>736</v>
      </c>
      <c r="E5619" t="s">
        <v>737</v>
      </c>
      <c r="F5619">
        <v>1</v>
      </c>
      <c r="G5619" t="s">
        <v>176</v>
      </c>
      <c r="H5619">
        <v>1</v>
      </c>
      <c r="I5619">
        <v>12</v>
      </c>
      <c r="J5619" s="10">
        <v>17</v>
      </c>
      <c r="K5619" s="10">
        <f>SUMIFS(F:F,D:D,DST_123_ÜRETİM_İHTİYAÇ_RAPORU_BURAK_YENI1309[[#This Row],[ALT_KOD]])-(SUMIFS(H:H,D:D,DST_123_ÜRETİM_İHTİYAÇ_RAPORU_BURAK_YENI1309[[#This Row],[ALT_KOD]])+AVERAGEIFS(I:I,D:D,DST_123_ÜRETİM_İHTİYAÇ_RAPORU_BURAK_YENI1309[[#This Row],[ALT_KOD]])+AVERAGEIFS(L:L,D:D,DST_123_ÜRETİM_İHTİYAÇ_RAPORU_BURAK_YENI1309[[#This Row],[ALT_KOD]]))</f>
        <v>-1</v>
      </c>
      <c r="L5619">
        <v>0</v>
      </c>
      <c r="M5619">
        <f>IF((DST_123_ÜRETİM_İHTİYAÇ_RAPORU_BURAK_YENI1309[[#This Row],[SATINALMA]]*DST_123_ÜRETİM_İHTİYAÇ_RAPORU_BURAK_YENI1309[[#This Row],[BIRIM_FIYATLAR]])&lt;1,VALUE("0"),DST_123_ÜRETİM_İHTİYAÇ_RAPORU_BURAK_YENI1309[[#This Row],[SATINALMA]]*DST_123_ÜRETİM_İHTİYAÇ_RAPORU_BURAK_YENI1309[[#This Row],[BIRIM_FIYATLAR]])</f>
        <v>0</v>
      </c>
      <c r="N5619">
        <v>400</v>
      </c>
      <c r="O5619" t="s">
        <v>667</v>
      </c>
      <c r="P5619">
        <v>400</v>
      </c>
      <c r="Q5619" t="s">
        <v>177</v>
      </c>
    </row>
    <row r="5620" spans="1:17" x14ac:dyDescent="0.25">
      <c r="A5620" t="s">
        <v>1064</v>
      </c>
      <c r="B5620" t="s">
        <v>1055</v>
      </c>
      <c r="C5620" t="s">
        <v>175</v>
      </c>
      <c r="D5620" t="s">
        <v>736</v>
      </c>
      <c r="E5620" t="s">
        <v>737</v>
      </c>
      <c r="F5620">
        <v>1</v>
      </c>
      <c r="G5620" t="s">
        <v>176</v>
      </c>
      <c r="H5620">
        <v>1</v>
      </c>
      <c r="I5620">
        <v>12</v>
      </c>
      <c r="J5620" s="10">
        <v>17</v>
      </c>
      <c r="K5620" s="10">
        <f>SUMIFS(F:F,D:D,DST_123_ÜRETİM_İHTİYAÇ_RAPORU_BURAK_YENI1309[[#This Row],[ALT_KOD]])-(SUMIFS(H:H,D:D,DST_123_ÜRETİM_İHTİYAÇ_RAPORU_BURAK_YENI1309[[#This Row],[ALT_KOD]])+AVERAGEIFS(I:I,D:D,DST_123_ÜRETİM_İHTİYAÇ_RAPORU_BURAK_YENI1309[[#This Row],[ALT_KOD]])+AVERAGEIFS(L:L,D:D,DST_123_ÜRETİM_İHTİYAÇ_RAPORU_BURAK_YENI1309[[#This Row],[ALT_KOD]]))</f>
        <v>-1</v>
      </c>
      <c r="L5620">
        <v>0</v>
      </c>
      <c r="M5620">
        <f>IF((DST_123_ÜRETİM_İHTİYAÇ_RAPORU_BURAK_YENI1309[[#This Row],[SATINALMA]]*DST_123_ÜRETİM_İHTİYAÇ_RAPORU_BURAK_YENI1309[[#This Row],[BIRIM_FIYATLAR]])&lt;1,VALUE("0"),DST_123_ÜRETİM_İHTİYAÇ_RAPORU_BURAK_YENI1309[[#This Row],[SATINALMA]]*DST_123_ÜRETİM_İHTİYAÇ_RAPORU_BURAK_YENI1309[[#This Row],[BIRIM_FIYATLAR]])</f>
        <v>0</v>
      </c>
      <c r="N5620">
        <v>400</v>
      </c>
      <c r="O5620" t="s">
        <v>667</v>
      </c>
      <c r="P5620">
        <v>400</v>
      </c>
      <c r="Q5620" t="s">
        <v>177</v>
      </c>
    </row>
    <row r="5621" spans="1:17" x14ac:dyDescent="0.25">
      <c r="A5621" t="s">
        <v>1100</v>
      </c>
      <c r="B5621" t="s">
        <v>1058</v>
      </c>
      <c r="C5621" t="s">
        <v>175</v>
      </c>
      <c r="D5621" t="s">
        <v>336</v>
      </c>
      <c r="E5621" t="s">
        <v>623</v>
      </c>
      <c r="F5621">
        <v>1</v>
      </c>
      <c r="G5621" t="s">
        <v>176</v>
      </c>
      <c r="H5621">
        <v>1</v>
      </c>
      <c r="I5621">
        <v>5</v>
      </c>
      <c r="J5621" s="10">
        <v>4</v>
      </c>
      <c r="K5621" s="10">
        <f>SUMIFS(F:F,D:D,DST_123_ÜRETİM_İHTİYAÇ_RAPORU_BURAK_YENI1309[[#This Row],[ALT_KOD]])-(SUMIFS(H:H,D:D,DST_123_ÜRETİM_İHTİYAÇ_RAPORU_BURAK_YENI1309[[#This Row],[ALT_KOD]])+AVERAGEIFS(I:I,D:D,DST_123_ÜRETİM_İHTİYAÇ_RAPORU_BURAK_YENI1309[[#This Row],[ALT_KOD]])+AVERAGEIFS(L:L,D:D,DST_123_ÜRETİM_İHTİYAÇ_RAPORU_BURAK_YENI1309[[#This Row],[ALT_KOD]]))</f>
        <v>2</v>
      </c>
      <c r="L5621">
        <v>0</v>
      </c>
      <c r="M5621">
        <f>IF((DST_123_ÜRETİM_İHTİYAÇ_RAPORU_BURAK_YENI1309[[#This Row],[SATINALMA]]*DST_123_ÜRETİM_İHTİYAÇ_RAPORU_BURAK_YENI1309[[#This Row],[BIRIM_FIYATLAR]])&lt;1,VALUE("0"),DST_123_ÜRETİM_İHTİYAÇ_RAPORU_BURAK_YENI1309[[#This Row],[SATINALMA]]*DST_123_ÜRETİM_İHTİYAÇ_RAPORU_BURAK_YENI1309[[#This Row],[BIRIM_FIYATLAR]])</f>
        <v>3359.06</v>
      </c>
      <c r="N5621">
        <v>1679.53</v>
      </c>
      <c r="O5621" t="s">
        <v>636</v>
      </c>
      <c r="P5621">
        <v>1679.53</v>
      </c>
      <c r="Q5621" t="s">
        <v>178</v>
      </c>
    </row>
    <row r="5622" spans="1:17" x14ac:dyDescent="0.25">
      <c r="A5622" t="s">
        <v>1144</v>
      </c>
      <c r="B5622" t="s">
        <v>1145</v>
      </c>
      <c r="C5622" t="s">
        <v>175</v>
      </c>
      <c r="D5622" t="s">
        <v>336</v>
      </c>
      <c r="E5622" t="s">
        <v>623</v>
      </c>
      <c r="F5622">
        <v>1</v>
      </c>
      <c r="G5622" t="s">
        <v>176</v>
      </c>
      <c r="H5622">
        <v>1</v>
      </c>
      <c r="I5622">
        <v>5</v>
      </c>
      <c r="J5622" s="10">
        <v>4</v>
      </c>
      <c r="K5622" s="10">
        <f>SUMIFS(F:F,D:D,DST_123_ÜRETİM_İHTİYAÇ_RAPORU_BURAK_YENI1309[[#This Row],[ALT_KOD]])-(SUMIFS(H:H,D:D,DST_123_ÜRETİM_İHTİYAÇ_RAPORU_BURAK_YENI1309[[#This Row],[ALT_KOD]])+AVERAGEIFS(I:I,D:D,DST_123_ÜRETİM_İHTİYAÇ_RAPORU_BURAK_YENI1309[[#This Row],[ALT_KOD]])+AVERAGEIFS(L:L,D:D,DST_123_ÜRETİM_İHTİYAÇ_RAPORU_BURAK_YENI1309[[#This Row],[ALT_KOD]]))</f>
        <v>2</v>
      </c>
      <c r="L5622">
        <v>0</v>
      </c>
      <c r="M5622">
        <f>IF((DST_123_ÜRETİM_İHTİYAÇ_RAPORU_BURAK_YENI1309[[#This Row],[SATINALMA]]*DST_123_ÜRETİM_İHTİYAÇ_RAPORU_BURAK_YENI1309[[#This Row],[BIRIM_FIYATLAR]])&lt;1,VALUE("0"),DST_123_ÜRETİM_İHTİYAÇ_RAPORU_BURAK_YENI1309[[#This Row],[SATINALMA]]*DST_123_ÜRETİM_İHTİYAÇ_RAPORU_BURAK_YENI1309[[#This Row],[BIRIM_FIYATLAR]])</f>
        <v>3359.06</v>
      </c>
      <c r="N5622">
        <v>1679.53</v>
      </c>
      <c r="O5622" t="s">
        <v>636</v>
      </c>
      <c r="P5622">
        <v>1679.53</v>
      </c>
      <c r="Q5622" t="s">
        <v>178</v>
      </c>
    </row>
    <row r="5623" spans="1:17" x14ac:dyDescent="0.25">
      <c r="A5623" t="s">
        <v>1064</v>
      </c>
      <c r="B5623" t="s">
        <v>1055</v>
      </c>
      <c r="C5623" t="s">
        <v>175</v>
      </c>
      <c r="D5623" t="s">
        <v>451</v>
      </c>
      <c r="E5623" t="s">
        <v>452</v>
      </c>
      <c r="F5623">
        <v>1</v>
      </c>
      <c r="G5623" t="s">
        <v>176</v>
      </c>
      <c r="H5623">
        <v>1</v>
      </c>
      <c r="I5623">
        <v>4</v>
      </c>
      <c r="J5623" s="10">
        <v>9</v>
      </c>
      <c r="K5623" s="10">
        <f>SUMIFS(F:F,D:D,DST_123_ÜRETİM_İHTİYAÇ_RAPORU_BURAK_YENI1309[[#This Row],[ALT_KOD]])-(SUMIFS(H:H,D:D,DST_123_ÜRETİM_İHTİYAÇ_RAPORU_BURAK_YENI1309[[#This Row],[ALT_KOD]])+AVERAGEIFS(I:I,D:D,DST_123_ÜRETİM_İHTİYAÇ_RAPORU_BURAK_YENI1309[[#This Row],[ALT_KOD]])+AVERAGEIFS(L:L,D:D,DST_123_ÜRETİM_İHTİYAÇ_RAPORU_BURAK_YENI1309[[#This Row],[ALT_KOD]]))</f>
        <v>1</v>
      </c>
      <c r="L5623">
        <v>6</v>
      </c>
      <c r="M5623">
        <f>IF((DST_123_ÜRETİM_İHTİYAÇ_RAPORU_BURAK_YENI1309[[#This Row],[SATINALMA]]*DST_123_ÜRETİM_İHTİYAÇ_RAPORU_BURAK_YENI1309[[#This Row],[BIRIM_FIYATLAR]])&lt;1,VALUE("0"),DST_123_ÜRETİM_İHTİYAÇ_RAPORU_BURAK_YENI1309[[#This Row],[SATINALMA]]*DST_123_ÜRETİM_İHTİYAÇ_RAPORU_BURAK_YENI1309[[#This Row],[BIRIM_FIYATLAR]])</f>
        <v>1600</v>
      </c>
      <c r="N5623">
        <v>1600</v>
      </c>
      <c r="O5623" t="s">
        <v>240</v>
      </c>
      <c r="P5623">
        <v>1600</v>
      </c>
      <c r="Q5623" t="s">
        <v>178</v>
      </c>
    </row>
    <row r="5624" spans="1:17" x14ac:dyDescent="0.25">
      <c r="A5624" t="s">
        <v>1100</v>
      </c>
      <c r="B5624" t="s">
        <v>1058</v>
      </c>
      <c r="C5624" t="s">
        <v>175</v>
      </c>
      <c r="D5624" t="s">
        <v>19</v>
      </c>
      <c r="E5624" t="s">
        <v>20</v>
      </c>
      <c r="F5624">
        <v>3</v>
      </c>
      <c r="G5624" t="s">
        <v>176</v>
      </c>
      <c r="H5624">
        <v>3</v>
      </c>
      <c r="I5624">
        <v>37</v>
      </c>
      <c r="J5624" s="10">
        <v>28</v>
      </c>
      <c r="K5624" s="10">
        <f>SUMIFS(F:F,D:D,DST_123_ÜRETİM_İHTİYAÇ_RAPORU_BURAK_YENI1309[[#This Row],[ALT_KOD]])-(SUMIFS(H:H,D:D,DST_123_ÜRETİM_İHTİYAÇ_RAPORU_BURAK_YENI1309[[#This Row],[ALT_KOD]])+AVERAGEIFS(I:I,D:D,DST_123_ÜRETİM_İHTİYAÇ_RAPORU_BURAK_YENI1309[[#This Row],[ALT_KOD]])+AVERAGEIFS(L:L,D:D,DST_123_ÜRETİM_İHTİYAÇ_RAPORU_BURAK_YENI1309[[#This Row],[ALT_KOD]]))</f>
        <v>-3</v>
      </c>
      <c r="L5624">
        <v>0</v>
      </c>
      <c r="M5624">
        <f>IF((DST_123_ÜRETİM_İHTİYAÇ_RAPORU_BURAK_YENI1309[[#This Row],[SATINALMA]]*DST_123_ÜRETİM_İHTİYAÇ_RAPORU_BURAK_YENI1309[[#This Row],[BIRIM_FIYATLAR]])&lt;1,VALUE("0"),DST_123_ÜRETİM_İHTİYAÇ_RAPORU_BURAK_YENI1309[[#This Row],[SATINALMA]]*DST_123_ÜRETİM_İHTİYAÇ_RAPORU_BURAK_YENI1309[[#This Row],[BIRIM_FIYATLAR]])</f>
        <v>0</v>
      </c>
      <c r="N5624">
        <v>122.24</v>
      </c>
      <c r="O5624" t="s">
        <v>227</v>
      </c>
      <c r="P5624">
        <v>366.71999999999997</v>
      </c>
      <c r="Q5624" t="s">
        <v>221</v>
      </c>
    </row>
    <row r="5625" spans="1:17" x14ac:dyDescent="0.25">
      <c r="A5625" t="s">
        <v>1057</v>
      </c>
      <c r="B5625" t="s">
        <v>1058</v>
      </c>
      <c r="C5625" t="s">
        <v>175</v>
      </c>
      <c r="D5625" t="s">
        <v>505</v>
      </c>
      <c r="E5625" t="s">
        <v>506</v>
      </c>
      <c r="F5625">
        <v>1</v>
      </c>
      <c r="G5625" t="s">
        <v>176</v>
      </c>
      <c r="H5625">
        <v>1</v>
      </c>
      <c r="I5625">
        <v>42</v>
      </c>
      <c r="J5625" s="10">
        <v>10</v>
      </c>
      <c r="K5625" s="10">
        <f>SUMIFS(F:F,D:D,DST_123_ÜRETİM_İHTİYAÇ_RAPORU_BURAK_YENI1309[[#This Row],[ALT_KOD]])-(SUMIFS(H:H,D:D,DST_123_ÜRETİM_İHTİYAÇ_RAPORU_BURAK_YENI1309[[#This Row],[ALT_KOD]])+AVERAGEIFS(I:I,D:D,DST_123_ÜRETİM_İHTİYAÇ_RAPORU_BURAK_YENI1309[[#This Row],[ALT_KOD]])+AVERAGEIFS(L:L,D:D,DST_123_ÜRETİM_İHTİYAÇ_RAPORU_BURAK_YENI1309[[#This Row],[ALT_KOD]]))</f>
        <v>-30</v>
      </c>
      <c r="L5625">
        <v>0</v>
      </c>
      <c r="M5625">
        <f>IF((DST_123_ÜRETİM_İHTİYAÇ_RAPORU_BURAK_YENI1309[[#This Row],[SATINALMA]]*DST_123_ÜRETİM_İHTİYAÇ_RAPORU_BURAK_YENI1309[[#This Row],[BIRIM_FIYATLAR]])&lt;1,VALUE("0"),DST_123_ÜRETİM_İHTİYAÇ_RAPORU_BURAK_YENI1309[[#This Row],[SATINALMA]]*DST_123_ÜRETİM_İHTİYAÇ_RAPORU_BURAK_YENI1309[[#This Row],[BIRIM_FIYATLAR]])</f>
        <v>0</v>
      </c>
      <c r="N5625">
        <v>142.5</v>
      </c>
      <c r="O5625" t="s">
        <v>826</v>
      </c>
      <c r="P5625">
        <v>142.5</v>
      </c>
      <c r="Q5625" t="s">
        <v>221</v>
      </c>
    </row>
    <row r="5626" spans="1:17" x14ac:dyDescent="0.25">
      <c r="A5626" t="s">
        <v>1100</v>
      </c>
      <c r="B5626" t="s">
        <v>1058</v>
      </c>
      <c r="C5626" t="s">
        <v>175</v>
      </c>
      <c r="D5626" t="s">
        <v>505</v>
      </c>
      <c r="E5626" t="s">
        <v>506</v>
      </c>
      <c r="F5626">
        <v>1</v>
      </c>
      <c r="G5626" t="s">
        <v>176</v>
      </c>
      <c r="H5626">
        <v>1</v>
      </c>
      <c r="I5626">
        <v>42</v>
      </c>
      <c r="J5626" s="10">
        <v>10</v>
      </c>
      <c r="K5626" s="10">
        <f>SUMIFS(F:F,D:D,DST_123_ÜRETİM_İHTİYAÇ_RAPORU_BURAK_YENI1309[[#This Row],[ALT_KOD]])-(SUMIFS(H:H,D:D,DST_123_ÜRETİM_İHTİYAÇ_RAPORU_BURAK_YENI1309[[#This Row],[ALT_KOD]])+AVERAGEIFS(I:I,D:D,DST_123_ÜRETİM_İHTİYAÇ_RAPORU_BURAK_YENI1309[[#This Row],[ALT_KOD]])+AVERAGEIFS(L:L,D:D,DST_123_ÜRETİM_İHTİYAÇ_RAPORU_BURAK_YENI1309[[#This Row],[ALT_KOD]]))</f>
        <v>-30</v>
      </c>
      <c r="L5626">
        <v>0</v>
      </c>
      <c r="M5626">
        <f>IF((DST_123_ÜRETİM_İHTİYAÇ_RAPORU_BURAK_YENI1309[[#This Row],[SATINALMA]]*DST_123_ÜRETİM_İHTİYAÇ_RAPORU_BURAK_YENI1309[[#This Row],[BIRIM_FIYATLAR]])&lt;1,VALUE("0"),DST_123_ÜRETİM_İHTİYAÇ_RAPORU_BURAK_YENI1309[[#This Row],[SATINALMA]]*DST_123_ÜRETİM_İHTİYAÇ_RAPORU_BURAK_YENI1309[[#This Row],[BIRIM_FIYATLAR]])</f>
        <v>0</v>
      </c>
      <c r="N5626">
        <v>142.5</v>
      </c>
      <c r="O5626" t="s">
        <v>826</v>
      </c>
      <c r="P5626">
        <v>142.5</v>
      </c>
      <c r="Q5626" t="s">
        <v>221</v>
      </c>
    </row>
    <row r="5627" spans="1:17" x14ac:dyDescent="0.25">
      <c r="A5627" t="s">
        <v>1095</v>
      </c>
      <c r="B5627" t="s">
        <v>1096</v>
      </c>
      <c r="C5627" t="s">
        <v>175</v>
      </c>
      <c r="D5627" t="s">
        <v>76</v>
      </c>
      <c r="E5627" t="s">
        <v>77</v>
      </c>
      <c r="F5627">
        <v>3</v>
      </c>
      <c r="G5627" t="s">
        <v>176</v>
      </c>
      <c r="H5627">
        <v>0</v>
      </c>
      <c r="I5627">
        <v>85</v>
      </c>
      <c r="J5627" s="10">
        <v>31</v>
      </c>
      <c r="K5627" s="10">
        <f>SUMIFS(F:F,D:D,DST_123_ÜRETİM_İHTİYAÇ_RAPORU_BURAK_YENI1309[[#This Row],[ALT_KOD]])-(SUMIFS(H:H,D:D,DST_123_ÜRETİM_İHTİYAÇ_RAPORU_BURAK_YENI1309[[#This Row],[ALT_KOD]])+AVERAGEIFS(I:I,D:D,DST_123_ÜRETİM_İHTİYAÇ_RAPORU_BURAK_YENI1309[[#This Row],[ALT_KOD]])+AVERAGEIFS(L:L,D:D,DST_123_ÜRETİM_İHTİYAÇ_RAPORU_BURAK_YENI1309[[#This Row],[ALT_KOD]]))</f>
        <v>-17</v>
      </c>
      <c r="L5627">
        <v>0</v>
      </c>
      <c r="M5627">
        <f>IF((DST_123_ÜRETİM_İHTİYAÇ_RAPORU_BURAK_YENI1309[[#This Row],[SATINALMA]]*DST_123_ÜRETİM_İHTİYAÇ_RAPORU_BURAK_YENI1309[[#This Row],[BIRIM_FIYATLAR]])&lt;1,VALUE("0"),DST_123_ÜRETİM_İHTİYAÇ_RAPORU_BURAK_YENI1309[[#This Row],[SATINALMA]]*DST_123_ÜRETİM_İHTİYAÇ_RAPORU_BURAK_YENI1309[[#This Row],[BIRIM_FIYATLAR]])</f>
        <v>0</v>
      </c>
      <c r="N5627">
        <v>120</v>
      </c>
      <c r="O5627" t="s">
        <v>1152</v>
      </c>
      <c r="P5627">
        <v>360</v>
      </c>
      <c r="Q5627" t="s">
        <v>178</v>
      </c>
    </row>
    <row r="5628" spans="1:17" x14ac:dyDescent="0.25">
      <c r="A5628" t="s">
        <v>1099</v>
      </c>
      <c r="B5628" t="s">
        <v>1055</v>
      </c>
      <c r="C5628" t="s">
        <v>175</v>
      </c>
      <c r="D5628" t="s">
        <v>590</v>
      </c>
      <c r="E5628" t="s">
        <v>591</v>
      </c>
      <c r="F5628">
        <v>1</v>
      </c>
      <c r="G5628" t="s">
        <v>176</v>
      </c>
      <c r="H5628">
        <v>1</v>
      </c>
      <c r="I5628">
        <v>4</v>
      </c>
      <c r="J5628" s="10">
        <v>10</v>
      </c>
      <c r="K5628" s="10">
        <f>SUMIFS(F:F,D:D,DST_123_ÜRETİM_İHTİYAÇ_RAPORU_BURAK_YENI1309[[#This Row],[ALT_KOD]])-(SUMIFS(H:H,D:D,DST_123_ÜRETİM_İHTİYAÇ_RAPORU_BURAK_YENI1309[[#This Row],[ALT_KOD]])+AVERAGEIFS(I:I,D:D,DST_123_ÜRETİM_İHTİYAÇ_RAPORU_BURAK_YENI1309[[#This Row],[ALT_KOD]])+AVERAGEIFS(L:L,D:D,DST_123_ÜRETİM_İHTİYAÇ_RAPORU_BURAK_YENI1309[[#This Row],[ALT_KOD]]))</f>
        <v>-3</v>
      </c>
      <c r="L5628">
        <v>10</v>
      </c>
      <c r="M5628">
        <f>IF((DST_123_ÜRETİM_İHTİYAÇ_RAPORU_BURAK_YENI1309[[#This Row],[SATINALMA]]*DST_123_ÜRETİM_İHTİYAÇ_RAPORU_BURAK_YENI1309[[#This Row],[BIRIM_FIYATLAR]])&lt;1,VALUE("0"),DST_123_ÜRETİM_İHTİYAÇ_RAPORU_BURAK_YENI1309[[#This Row],[SATINALMA]]*DST_123_ÜRETİM_İHTİYAÇ_RAPORU_BURAK_YENI1309[[#This Row],[BIRIM_FIYATLAR]])</f>
        <v>0</v>
      </c>
      <c r="N5628">
        <v>583.77</v>
      </c>
      <c r="O5628" t="s">
        <v>592</v>
      </c>
      <c r="P5628">
        <v>583.77</v>
      </c>
      <c r="Q5628" t="s">
        <v>180</v>
      </c>
    </row>
    <row r="5629" spans="1:17" x14ac:dyDescent="0.25">
      <c r="A5629" t="s">
        <v>1099</v>
      </c>
      <c r="B5629" t="s">
        <v>1055</v>
      </c>
      <c r="C5629" t="s">
        <v>175</v>
      </c>
      <c r="D5629" t="s">
        <v>451</v>
      </c>
      <c r="E5629" t="s">
        <v>452</v>
      </c>
      <c r="F5629">
        <v>2</v>
      </c>
      <c r="G5629" t="s">
        <v>176</v>
      </c>
      <c r="H5629">
        <v>2</v>
      </c>
      <c r="I5629">
        <v>4</v>
      </c>
      <c r="J5629" s="10">
        <v>9</v>
      </c>
      <c r="K5629" s="10">
        <f>SUMIFS(F:F,D:D,DST_123_ÜRETİM_İHTİYAÇ_RAPORU_BURAK_YENI1309[[#This Row],[ALT_KOD]])-(SUMIFS(H:H,D:D,DST_123_ÜRETİM_İHTİYAÇ_RAPORU_BURAK_YENI1309[[#This Row],[ALT_KOD]])+AVERAGEIFS(I:I,D:D,DST_123_ÜRETİM_İHTİYAÇ_RAPORU_BURAK_YENI1309[[#This Row],[ALT_KOD]])+AVERAGEIFS(L:L,D:D,DST_123_ÜRETİM_İHTİYAÇ_RAPORU_BURAK_YENI1309[[#This Row],[ALT_KOD]]))</f>
        <v>1</v>
      </c>
      <c r="L5629">
        <v>6</v>
      </c>
      <c r="M5629">
        <f>IF((DST_123_ÜRETİM_İHTİYAÇ_RAPORU_BURAK_YENI1309[[#This Row],[SATINALMA]]*DST_123_ÜRETİM_İHTİYAÇ_RAPORU_BURAK_YENI1309[[#This Row],[BIRIM_FIYATLAR]])&lt;1,VALUE("0"),DST_123_ÜRETİM_İHTİYAÇ_RAPORU_BURAK_YENI1309[[#This Row],[SATINALMA]]*DST_123_ÜRETİM_İHTİYAÇ_RAPORU_BURAK_YENI1309[[#This Row],[BIRIM_FIYATLAR]])</f>
        <v>1600</v>
      </c>
      <c r="N5629">
        <v>1600</v>
      </c>
      <c r="O5629" t="s">
        <v>240</v>
      </c>
      <c r="P5629">
        <v>3200</v>
      </c>
      <c r="Q5629" t="s">
        <v>178</v>
      </c>
    </row>
    <row r="5630" spans="1:17" x14ac:dyDescent="0.25">
      <c r="A5630" t="s">
        <v>1142</v>
      </c>
      <c r="B5630" t="s">
        <v>1056</v>
      </c>
      <c r="C5630" t="s">
        <v>175</v>
      </c>
      <c r="D5630" t="s">
        <v>26</v>
      </c>
      <c r="E5630" t="s">
        <v>27</v>
      </c>
      <c r="F5630">
        <v>1</v>
      </c>
      <c r="G5630" t="s">
        <v>176</v>
      </c>
      <c r="H5630">
        <v>0</v>
      </c>
      <c r="I5630">
        <v>24</v>
      </c>
      <c r="J5630" s="10">
        <v>4</v>
      </c>
      <c r="K5630" s="10">
        <f>SUMIFS(F:F,D:D,DST_123_ÜRETİM_İHTİYAÇ_RAPORU_BURAK_YENI1309[[#This Row],[ALT_KOD]])-(SUMIFS(H:H,D:D,DST_123_ÜRETİM_İHTİYAÇ_RAPORU_BURAK_YENI1309[[#This Row],[ALT_KOD]])+AVERAGEIFS(I:I,D:D,DST_123_ÜRETİM_İHTİYAÇ_RAPORU_BURAK_YENI1309[[#This Row],[ALT_KOD]])+AVERAGEIFS(L:L,D:D,DST_123_ÜRETİM_İHTİYAÇ_RAPORU_BURAK_YENI1309[[#This Row],[ALT_KOD]]))</f>
        <v>-17</v>
      </c>
      <c r="L5630">
        <v>0</v>
      </c>
      <c r="M5630">
        <f>IF((DST_123_ÜRETİM_İHTİYAÇ_RAPORU_BURAK_YENI1309[[#This Row],[SATINALMA]]*DST_123_ÜRETİM_İHTİYAÇ_RAPORU_BURAK_YENI1309[[#This Row],[BIRIM_FIYATLAR]])&lt;1,VALUE("0"),DST_123_ÜRETİM_İHTİYAÇ_RAPORU_BURAK_YENI1309[[#This Row],[SATINALMA]]*DST_123_ÜRETİM_İHTİYAÇ_RAPORU_BURAK_YENI1309[[#This Row],[BIRIM_FIYATLAR]])</f>
        <v>0</v>
      </c>
      <c r="N5630">
        <v>625</v>
      </c>
      <c r="O5630" t="s">
        <v>226</v>
      </c>
      <c r="P5630">
        <v>625</v>
      </c>
      <c r="Q5630" t="s">
        <v>180</v>
      </c>
    </row>
    <row r="5631" spans="1:17" x14ac:dyDescent="0.25">
      <c r="A5631" t="s">
        <v>1097</v>
      </c>
      <c r="B5631" t="s">
        <v>1055</v>
      </c>
      <c r="C5631" t="s">
        <v>175</v>
      </c>
      <c r="D5631" t="s">
        <v>64</v>
      </c>
      <c r="E5631" t="s">
        <v>65</v>
      </c>
      <c r="F5631">
        <v>2</v>
      </c>
      <c r="G5631" t="s">
        <v>176</v>
      </c>
      <c r="H5631">
        <v>2</v>
      </c>
      <c r="I5631">
        <v>36</v>
      </c>
      <c r="J5631" s="10">
        <v>12</v>
      </c>
      <c r="K5631" s="10">
        <f>SUMIFS(F:F,D:D,DST_123_ÜRETİM_İHTİYAÇ_RAPORU_BURAK_YENI1309[[#This Row],[ALT_KOD]])-(SUMIFS(H:H,D:D,DST_123_ÜRETİM_İHTİYAÇ_RAPORU_BURAK_YENI1309[[#This Row],[ALT_KOD]])+AVERAGEIFS(I:I,D:D,DST_123_ÜRETİM_İHTİYAÇ_RAPORU_BURAK_YENI1309[[#This Row],[ALT_KOD]])+AVERAGEIFS(L:L,D:D,DST_123_ÜRETİM_İHTİYAÇ_RAPORU_BURAK_YENI1309[[#This Row],[ALT_KOD]]))</f>
        <v>-22</v>
      </c>
      <c r="L5631">
        <v>0</v>
      </c>
      <c r="M5631">
        <f>IF((DST_123_ÜRETİM_İHTİYAÇ_RAPORU_BURAK_YENI1309[[#This Row],[SATINALMA]]*DST_123_ÜRETİM_İHTİYAÇ_RAPORU_BURAK_YENI1309[[#This Row],[BIRIM_FIYATLAR]])&lt;1,VALUE("0"),DST_123_ÜRETİM_İHTİYAÇ_RAPORU_BURAK_YENI1309[[#This Row],[SATINALMA]]*DST_123_ÜRETİM_İHTİYAÇ_RAPORU_BURAK_YENI1309[[#This Row],[BIRIM_FIYATLAR]])</f>
        <v>0</v>
      </c>
      <c r="N5631">
        <v>95</v>
      </c>
      <c r="O5631" t="s">
        <v>217</v>
      </c>
      <c r="P5631">
        <v>190</v>
      </c>
      <c r="Q5631" t="s">
        <v>180</v>
      </c>
    </row>
    <row r="5632" spans="1:17" x14ac:dyDescent="0.25">
      <c r="A5632" t="s">
        <v>1100</v>
      </c>
      <c r="B5632" t="s">
        <v>1058</v>
      </c>
      <c r="C5632" t="s">
        <v>175</v>
      </c>
      <c r="D5632" t="s">
        <v>546</v>
      </c>
      <c r="E5632" t="s">
        <v>547</v>
      </c>
      <c r="F5632">
        <v>2</v>
      </c>
      <c r="G5632" t="s">
        <v>176</v>
      </c>
      <c r="H5632">
        <v>2</v>
      </c>
      <c r="I5632">
        <v>106</v>
      </c>
      <c r="J5632" s="10">
        <v>9</v>
      </c>
      <c r="K5632" s="10">
        <f>SUMIFS(F:F,D:D,DST_123_ÜRETİM_İHTİYAÇ_RAPORU_BURAK_YENI1309[[#This Row],[ALT_KOD]])-(SUMIFS(H:H,D:D,DST_123_ÜRETİM_İHTİYAÇ_RAPORU_BURAK_YENI1309[[#This Row],[ALT_KOD]])+AVERAGEIFS(I:I,D:D,DST_123_ÜRETİM_İHTİYAÇ_RAPORU_BURAK_YENI1309[[#This Row],[ALT_KOD]])+AVERAGEIFS(L:L,D:D,DST_123_ÜRETİM_İHTİYAÇ_RAPORU_BURAK_YENI1309[[#This Row],[ALT_KOD]]))</f>
        <v>-106</v>
      </c>
      <c r="L5632">
        <v>0</v>
      </c>
      <c r="M5632">
        <f>IF((DST_123_ÜRETİM_İHTİYAÇ_RAPORU_BURAK_YENI1309[[#This Row],[SATINALMA]]*DST_123_ÜRETİM_İHTİYAÇ_RAPORU_BURAK_YENI1309[[#This Row],[BIRIM_FIYATLAR]])&lt;1,VALUE("0"),DST_123_ÜRETİM_İHTİYAÇ_RAPORU_BURAK_YENI1309[[#This Row],[SATINALMA]]*DST_123_ÜRETİM_İHTİYAÇ_RAPORU_BURAK_YENI1309[[#This Row],[BIRIM_FIYATLAR]])</f>
        <v>0</v>
      </c>
      <c r="N5632">
        <v>90</v>
      </c>
      <c r="P5632">
        <v>180</v>
      </c>
      <c r="Q5632" t="s">
        <v>180</v>
      </c>
    </row>
    <row r="5633" spans="1:17" x14ac:dyDescent="0.25">
      <c r="A5633" t="s">
        <v>1059</v>
      </c>
      <c r="B5633" t="s">
        <v>1058</v>
      </c>
      <c r="C5633" t="s">
        <v>175</v>
      </c>
      <c r="D5633" t="s">
        <v>124</v>
      </c>
      <c r="E5633" t="s">
        <v>125</v>
      </c>
      <c r="F5633">
        <v>6</v>
      </c>
      <c r="G5633" t="s">
        <v>185</v>
      </c>
      <c r="H5633">
        <v>6</v>
      </c>
      <c r="I5633">
        <v>0</v>
      </c>
      <c r="J5633" s="10">
        <v>297.61</v>
      </c>
      <c r="K5633" s="10">
        <f>SUMIFS(F:F,D:D,DST_123_ÜRETİM_İHTİYAÇ_RAPORU_BURAK_YENI1309[[#This Row],[ALT_KOD]])-(SUMIFS(H:H,D:D,DST_123_ÜRETİM_İHTİYAÇ_RAPORU_BURAK_YENI1309[[#This Row],[ALT_KOD]])+AVERAGEIFS(I:I,D:D,DST_123_ÜRETİM_İHTİYAÇ_RAPORU_BURAK_YENI1309[[#This Row],[ALT_KOD]])+AVERAGEIFS(L:L,D:D,DST_123_ÜRETİM_İHTİYAÇ_RAPORU_BURAK_YENI1309[[#This Row],[ALT_KOD]]))</f>
        <v>97.560000000000016</v>
      </c>
      <c r="L5633">
        <v>0</v>
      </c>
      <c r="M5633">
        <f>IF((DST_123_ÜRETİM_İHTİYAÇ_RAPORU_BURAK_YENI1309[[#This Row],[SATINALMA]]*DST_123_ÜRETİM_İHTİYAÇ_RAPORU_BURAK_YENI1309[[#This Row],[BIRIM_FIYATLAR]])&lt;1,VALUE("0"),DST_123_ÜRETİM_İHTİYAÇ_RAPORU_BURAK_YENI1309[[#This Row],[SATINALMA]]*DST_123_ÜRETİM_İHTİYAÇ_RAPORU_BURAK_YENI1309[[#This Row],[BIRIM_FIYATLAR]])</f>
        <v>13285.720800000003</v>
      </c>
      <c r="N5633">
        <v>136.18</v>
      </c>
      <c r="O5633" t="s">
        <v>252</v>
      </c>
      <c r="P5633">
        <v>817.08</v>
      </c>
      <c r="Q5633" t="s">
        <v>183</v>
      </c>
    </row>
    <row r="5634" spans="1:17" x14ac:dyDescent="0.25">
      <c r="A5634" t="s">
        <v>1146</v>
      </c>
      <c r="B5634" t="s">
        <v>1145</v>
      </c>
      <c r="C5634" t="s">
        <v>175</v>
      </c>
      <c r="D5634" t="s">
        <v>124</v>
      </c>
      <c r="E5634" t="s">
        <v>125</v>
      </c>
      <c r="F5634">
        <v>7</v>
      </c>
      <c r="G5634" t="s">
        <v>185</v>
      </c>
      <c r="H5634">
        <v>7</v>
      </c>
      <c r="I5634">
        <v>0</v>
      </c>
      <c r="J5634" s="10">
        <v>297.61</v>
      </c>
      <c r="K5634" s="10">
        <f>SUMIFS(F:F,D:D,DST_123_ÜRETİM_İHTİYAÇ_RAPORU_BURAK_YENI1309[[#This Row],[ALT_KOD]])-(SUMIFS(H:H,D:D,DST_123_ÜRETİM_İHTİYAÇ_RAPORU_BURAK_YENI1309[[#This Row],[ALT_KOD]])+AVERAGEIFS(I:I,D:D,DST_123_ÜRETİM_İHTİYAÇ_RAPORU_BURAK_YENI1309[[#This Row],[ALT_KOD]])+AVERAGEIFS(L:L,D:D,DST_123_ÜRETİM_İHTİYAÇ_RAPORU_BURAK_YENI1309[[#This Row],[ALT_KOD]]))</f>
        <v>97.560000000000016</v>
      </c>
      <c r="L5634">
        <v>0</v>
      </c>
      <c r="M5634">
        <f>IF((DST_123_ÜRETİM_İHTİYAÇ_RAPORU_BURAK_YENI1309[[#This Row],[SATINALMA]]*DST_123_ÜRETİM_İHTİYAÇ_RAPORU_BURAK_YENI1309[[#This Row],[BIRIM_FIYATLAR]])&lt;1,VALUE("0"),DST_123_ÜRETİM_İHTİYAÇ_RAPORU_BURAK_YENI1309[[#This Row],[SATINALMA]]*DST_123_ÜRETİM_İHTİYAÇ_RAPORU_BURAK_YENI1309[[#This Row],[BIRIM_FIYATLAR]])</f>
        <v>13285.720800000003</v>
      </c>
      <c r="N5634">
        <v>136.18</v>
      </c>
      <c r="O5634" t="s">
        <v>252</v>
      </c>
      <c r="P5634">
        <v>953.26</v>
      </c>
      <c r="Q5634" t="s">
        <v>183</v>
      </c>
    </row>
    <row r="5635" spans="1:17" x14ac:dyDescent="0.25">
      <c r="A5635" t="s">
        <v>1064</v>
      </c>
      <c r="B5635" t="s">
        <v>1055</v>
      </c>
      <c r="C5635" t="s">
        <v>175</v>
      </c>
      <c r="D5635" t="s">
        <v>124</v>
      </c>
      <c r="E5635" t="s">
        <v>125</v>
      </c>
      <c r="F5635">
        <v>10.62</v>
      </c>
      <c r="G5635" t="s">
        <v>185</v>
      </c>
      <c r="H5635">
        <v>10.62</v>
      </c>
      <c r="I5635">
        <v>0</v>
      </c>
      <c r="J5635" s="10">
        <v>297.61</v>
      </c>
      <c r="K5635" s="10">
        <f>SUMIFS(F:F,D:D,DST_123_ÜRETİM_İHTİYAÇ_RAPORU_BURAK_YENI1309[[#This Row],[ALT_KOD]])-(SUMIFS(H:H,D:D,DST_123_ÜRETİM_İHTİYAÇ_RAPORU_BURAK_YENI1309[[#This Row],[ALT_KOD]])+AVERAGEIFS(I:I,D:D,DST_123_ÜRETİM_İHTİYAÇ_RAPORU_BURAK_YENI1309[[#This Row],[ALT_KOD]])+AVERAGEIFS(L:L,D:D,DST_123_ÜRETİM_İHTİYAÇ_RAPORU_BURAK_YENI1309[[#This Row],[ALT_KOD]]))</f>
        <v>97.560000000000016</v>
      </c>
      <c r="L5635">
        <v>0</v>
      </c>
      <c r="M5635">
        <f>IF((DST_123_ÜRETİM_İHTİYAÇ_RAPORU_BURAK_YENI1309[[#This Row],[SATINALMA]]*DST_123_ÜRETİM_İHTİYAÇ_RAPORU_BURAK_YENI1309[[#This Row],[BIRIM_FIYATLAR]])&lt;1,VALUE("0"),DST_123_ÜRETİM_İHTİYAÇ_RAPORU_BURAK_YENI1309[[#This Row],[SATINALMA]]*DST_123_ÜRETİM_İHTİYAÇ_RAPORU_BURAK_YENI1309[[#This Row],[BIRIM_FIYATLAR]])</f>
        <v>13285.720800000003</v>
      </c>
      <c r="N5635">
        <v>136.18</v>
      </c>
      <c r="O5635" t="s">
        <v>252</v>
      </c>
      <c r="P5635">
        <v>1446.2316000000001</v>
      </c>
      <c r="Q5635" t="s">
        <v>183</v>
      </c>
    </row>
    <row r="5636" spans="1:17" x14ac:dyDescent="0.25">
      <c r="A5636" t="s">
        <v>1057</v>
      </c>
      <c r="B5636" t="s">
        <v>1058</v>
      </c>
      <c r="C5636" t="s">
        <v>175</v>
      </c>
      <c r="D5636" t="s">
        <v>580</v>
      </c>
      <c r="E5636" t="s">
        <v>581</v>
      </c>
      <c r="F5636">
        <v>17.8</v>
      </c>
      <c r="G5636" t="s">
        <v>185</v>
      </c>
      <c r="H5636">
        <v>17.8</v>
      </c>
      <c r="I5636">
        <v>60</v>
      </c>
      <c r="J5636" s="10">
        <v>219.95999999999984</v>
      </c>
      <c r="K5636" s="10">
        <f>SUMIFS(F:F,D:D,DST_123_ÜRETİM_İHTİYAÇ_RAPORU_BURAK_YENI1309[[#This Row],[ALT_KOD]])-(SUMIFS(H:H,D:D,DST_123_ÜRETİM_İHTİYAÇ_RAPORU_BURAK_YENI1309[[#This Row],[ALT_KOD]])+AVERAGEIFS(I:I,D:D,DST_123_ÜRETİM_İHTİYAÇ_RAPORU_BURAK_YENI1309[[#This Row],[ALT_KOD]])+AVERAGEIFS(L:L,D:D,DST_123_ÜRETİM_İHTİYAÇ_RAPORU_BURAK_YENI1309[[#This Row],[ALT_KOD]]))</f>
        <v>143.41000000000003</v>
      </c>
      <c r="L5636">
        <v>0</v>
      </c>
      <c r="M5636">
        <f>IF((DST_123_ÜRETİM_İHTİYAÇ_RAPORU_BURAK_YENI1309[[#This Row],[SATINALMA]]*DST_123_ÜRETİM_İHTİYAÇ_RAPORU_BURAK_YENI1309[[#This Row],[BIRIM_FIYATLAR]])&lt;1,VALUE("0"),DST_123_ÜRETİM_İHTİYAÇ_RAPORU_BURAK_YENI1309[[#This Row],[SATINALMA]]*DST_123_ÜRETİM_İHTİYAÇ_RAPORU_BURAK_YENI1309[[#This Row],[BIRIM_FIYATLAR]])</f>
        <v>23533.581000000002</v>
      </c>
      <c r="N5636">
        <v>164.1</v>
      </c>
      <c r="O5636" t="s">
        <v>490</v>
      </c>
      <c r="P5636">
        <v>2920.98</v>
      </c>
      <c r="Q5636" t="s">
        <v>183</v>
      </c>
    </row>
    <row r="5637" spans="1:17" x14ac:dyDescent="0.25">
      <c r="A5637" t="s">
        <v>1099</v>
      </c>
      <c r="B5637" t="s">
        <v>1055</v>
      </c>
      <c r="C5637" t="s">
        <v>175</v>
      </c>
      <c r="D5637" t="s">
        <v>1084</v>
      </c>
      <c r="E5637" t="s">
        <v>1085</v>
      </c>
      <c r="F5637">
        <v>2</v>
      </c>
      <c r="G5637" t="s">
        <v>176</v>
      </c>
      <c r="H5637">
        <v>2</v>
      </c>
      <c r="I5637">
        <v>12</v>
      </c>
      <c r="J5637" s="10">
        <v>18</v>
      </c>
      <c r="K5637" s="10">
        <f>SUMIFS(F:F,D:D,DST_123_ÜRETİM_İHTİYAÇ_RAPORU_BURAK_YENI1309[[#This Row],[ALT_KOD]])-(SUMIFS(H:H,D:D,DST_123_ÜRETİM_İHTİYAÇ_RAPORU_BURAK_YENI1309[[#This Row],[ALT_KOD]])+AVERAGEIFS(I:I,D:D,DST_123_ÜRETİM_İHTİYAÇ_RAPORU_BURAK_YENI1309[[#This Row],[ALT_KOD]])+AVERAGEIFS(L:L,D:D,DST_123_ÜRETİM_İHTİYAÇ_RAPORU_BURAK_YENI1309[[#This Row],[ALT_KOD]]))</f>
        <v>-14</v>
      </c>
      <c r="L5637">
        <v>20</v>
      </c>
      <c r="M5637">
        <f>IF((DST_123_ÜRETİM_İHTİYAÇ_RAPORU_BURAK_YENI1309[[#This Row],[SATINALMA]]*DST_123_ÜRETİM_İHTİYAÇ_RAPORU_BURAK_YENI1309[[#This Row],[BIRIM_FIYATLAR]])&lt;1,VALUE("0"),DST_123_ÜRETİM_İHTİYAÇ_RAPORU_BURAK_YENI1309[[#This Row],[SATINALMA]]*DST_123_ÜRETİM_İHTİYAÇ_RAPORU_BURAK_YENI1309[[#This Row],[BIRIM_FIYATLAR]])</f>
        <v>0</v>
      </c>
      <c r="N5637">
        <v>194</v>
      </c>
      <c r="O5637" t="s">
        <v>217</v>
      </c>
      <c r="P5637">
        <v>388</v>
      </c>
      <c r="Q5637" t="s">
        <v>177</v>
      </c>
    </row>
    <row r="5638" spans="1:17" x14ac:dyDescent="0.25">
      <c r="A5638" t="s">
        <v>1144</v>
      </c>
      <c r="B5638" t="s">
        <v>1145</v>
      </c>
      <c r="C5638" t="s">
        <v>175</v>
      </c>
      <c r="D5638" t="s">
        <v>279</v>
      </c>
      <c r="E5638" t="s">
        <v>318</v>
      </c>
      <c r="F5638">
        <v>1</v>
      </c>
      <c r="G5638" t="s">
        <v>176</v>
      </c>
      <c r="H5638">
        <v>1</v>
      </c>
      <c r="I5638">
        <v>27</v>
      </c>
      <c r="J5638" s="10">
        <v>4</v>
      </c>
      <c r="K5638" s="10">
        <f>SUMIFS(F:F,D:D,DST_123_ÜRETİM_İHTİYAÇ_RAPORU_BURAK_YENI1309[[#This Row],[ALT_KOD]])-(SUMIFS(H:H,D:D,DST_123_ÜRETİM_İHTİYAÇ_RAPORU_BURAK_YENI1309[[#This Row],[ALT_KOD]])+AVERAGEIFS(I:I,D:D,DST_123_ÜRETİM_İHTİYAÇ_RAPORU_BURAK_YENI1309[[#This Row],[ALT_KOD]])+AVERAGEIFS(L:L,D:D,DST_123_ÜRETİM_İHTİYAÇ_RAPORU_BURAK_YENI1309[[#This Row],[ALT_KOD]]))</f>
        <v>-20</v>
      </c>
      <c r="L5638">
        <v>0</v>
      </c>
      <c r="M5638">
        <f>IF((DST_123_ÜRETİM_İHTİYAÇ_RAPORU_BURAK_YENI1309[[#This Row],[SATINALMA]]*DST_123_ÜRETİM_İHTİYAÇ_RAPORU_BURAK_YENI1309[[#This Row],[BIRIM_FIYATLAR]])&lt;1,VALUE("0"),DST_123_ÜRETİM_İHTİYAÇ_RAPORU_BURAK_YENI1309[[#This Row],[SATINALMA]]*DST_123_ÜRETİM_İHTİYAÇ_RAPORU_BURAK_YENI1309[[#This Row],[BIRIM_FIYATLAR]])</f>
        <v>0</v>
      </c>
      <c r="N5638">
        <v>290.73</v>
      </c>
      <c r="O5638" t="s">
        <v>636</v>
      </c>
      <c r="P5638">
        <v>290.73</v>
      </c>
      <c r="Q5638" t="s">
        <v>178</v>
      </c>
    </row>
    <row r="5639" spans="1:17" x14ac:dyDescent="0.25">
      <c r="A5639" t="s">
        <v>1097</v>
      </c>
      <c r="B5639" t="s">
        <v>1055</v>
      </c>
      <c r="C5639" t="s">
        <v>175</v>
      </c>
      <c r="D5639" t="s">
        <v>124</v>
      </c>
      <c r="E5639" t="s">
        <v>125</v>
      </c>
      <c r="F5639">
        <v>10.62</v>
      </c>
      <c r="G5639" t="s">
        <v>185</v>
      </c>
      <c r="H5639">
        <v>10.62</v>
      </c>
      <c r="I5639">
        <v>0</v>
      </c>
      <c r="J5639" s="10">
        <v>297.61</v>
      </c>
      <c r="K5639" s="10">
        <f>SUMIFS(F:F,D:D,DST_123_ÜRETİM_İHTİYAÇ_RAPORU_BURAK_YENI1309[[#This Row],[ALT_KOD]])-(SUMIFS(H:H,D:D,DST_123_ÜRETİM_İHTİYAÇ_RAPORU_BURAK_YENI1309[[#This Row],[ALT_KOD]])+AVERAGEIFS(I:I,D:D,DST_123_ÜRETİM_İHTİYAÇ_RAPORU_BURAK_YENI1309[[#This Row],[ALT_KOD]])+AVERAGEIFS(L:L,D:D,DST_123_ÜRETİM_İHTİYAÇ_RAPORU_BURAK_YENI1309[[#This Row],[ALT_KOD]]))</f>
        <v>97.560000000000016</v>
      </c>
      <c r="L5639">
        <v>0</v>
      </c>
      <c r="M5639">
        <f>IF((DST_123_ÜRETİM_İHTİYAÇ_RAPORU_BURAK_YENI1309[[#This Row],[SATINALMA]]*DST_123_ÜRETİM_İHTİYAÇ_RAPORU_BURAK_YENI1309[[#This Row],[BIRIM_FIYATLAR]])&lt;1,VALUE("0"),DST_123_ÜRETİM_İHTİYAÇ_RAPORU_BURAK_YENI1309[[#This Row],[SATINALMA]]*DST_123_ÜRETİM_İHTİYAÇ_RAPORU_BURAK_YENI1309[[#This Row],[BIRIM_FIYATLAR]])</f>
        <v>13285.720800000003</v>
      </c>
      <c r="N5639">
        <v>136.18</v>
      </c>
      <c r="O5639" t="s">
        <v>252</v>
      </c>
      <c r="P5639">
        <v>1446.2316000000001</v>
      </c>
      <c r="Q5639" t="s">
        <v>183</v>
      </c>
    </row>
    <row r="5640" spans="1:17" x14ac:dyDescent="0.25">
      <c r="A5640" t="s">
        <v>1147</v>
      </c>
      <c r="B5640" t="s">
        <v>1145</v>
      </c>
      <c r="C5640" t="s">
        <v>175</v>
      </c>
      <c r="D5640" t="s">
        <v>276</v>
      </c>
      <c r="E5640" t="s">
        <v>315</v>
      </c>
      <c r="F5640">
        <v>1</v>
      </c>
      <c r="G5640" t="s">
        <v>176</v>
      </c>
      <c r="H5640">
        <v>0</v>
      </c>
      <c r="I5640">
        <v>28</v>
      </c>
      <c r="J5640" s="10">
        <v>4</v>
      </c>
      <c r="K5640" s="10">
        <f>SUMIFS(F:F,D:D,DST_123_ÜRETİM_İHTİYAÇ_RAPORU_BURAK_YENI1309[[#This Row],[ALT_KOD]])-(SUMIFS(H:H,D:D,DST_123_ÜRETİM_İHTİYAÇ_RAPORU_BURAK_YENI1309[[#This Row],[ALT_KOD]])+AVERAGEIFS(I:I,D:D,DST_123_ÜRETİM_İHTİYAÇ_RAPORU_BURAK_YENI1309[[#This Row],[ALT_KOD]])+AVERAGEIFS(L:L,D:D,DST_123_ÜRETİM_İHTİYAÇ_RAPORU_BURAK_YENI1309[[#This Row],[ALT_KOD]]))</f>
        <v>-21</v>
      </c>
      <c r="L5640">
        <v>0</v>
      </c>
      <c r="M5640">
        <f>IF((DST_123_ÜRETİM_İHTİYAÇ_RAPORU_BURAK_YENI1309[[#This Row],[SATINALMA]]*DST_123_ÜRETİM_İHTİYAÇ_RAPORU_BURAK_YENI1309[[#This Row],[BIRIM_FIYATLAR]])&lt;1,VALUE("0"),DST_123_ÜRETİM_İHTİYAÇ_RAPORU_BURAK_YENI1309[[#This Row],[SATINALMA]]*DST_123_ÜRETİM_İHTİYAÇ_RAPORU_BURAK_YENI1309[[#This Row],[BIRIM_FIYATLAR]])</f>
        <v>0</v>
      </c>
      <c r="N5640">
        <v>290.73</v>
      </c>
      <c r="O5640" t="s">
        <v>636</v>
      </c>
      <c r="P5640">
        <v>290.73</v>
      </c>
      <c r="Q5640" t="s">
        <v>178</v>
      </c>
    </row>
    <row r="5641" spans="1:17" x14ac:dyDescent="0.25">
      <c r="A5641" t="s">
        <v>1095</v>
      </c>
      <c r="B5641" t="s">
        <v>1096</v>
      </c>
      <c r="C5641" t="s">
        <v>175</v>
      </c>
      <c r="D5641" t="s">
        <v>560</v>
      </c>
      <c r="E5641" t="s">
        <v>561</v>
      </c>
      <c r="F5641">
        <v>1.5</v>
      </c>
      <c r="G5641" t="s">
        <v>176</v>
      </c>
      <c r="H5641">
        <v>0</v>
      </c>
      <c r="I5641">
        <v>272</v>
      </c>
      <c r="J5641" s="10">
        <v>4.2999999999999652</v>
      </c>
      <c r="K5641" s="10">
        <f>SUMIFS(F:F,D:D,DST_123_ÜRETİM_İHTİYAÇ_RAPORU_BURAK_YENI1309[[#This Row],[ALT_KOD]])-(SUMIFS(H:H,D:D,DST_123_ÜRETİM_İHTİYAÇ_RAPORU_BURAK_YENI1309[[#This Row],[ALT_KOD]])+AVERAGEIFS(I:I,D:D,DST_123_ÜRETİM_İHTİYAÇ_RAPORU_BURAK_YENI1309[[#This Row],[ALT_KOD]])+AVERAGEIFS(L:L,D:D,DST_123_ÜRETİM_İHTİYAÇ_RAPORU_BURAK_YENI1309[[#This Row],[ALT_KOD]]))</f>
        <v>-233.2</v>
      </c>
      <c r="L5641">
        <v>0</v>
      </c>
      <c r="M5641">
        <f>IF((DST_123_ÜRETİM_İHTİYAÇ_RAPORU_BURAK_YENI1309[[#This Row],[SATINALMA]]*DST_123_ÜRETİM_İHTİYAÇ_RAPORU_BURAK_YENI1309[[#This Row],[BIRIM_FIYATLAR]])&lt;1,VALUE("0"),DST_123_ÜRETİM_İHTİYAÇ_RAPORU_BURAK_YENI1309[[#This Row],[SATINALMA]]*DST_123_ÜRETİM_İHTİYAÇ_RAPORU_BURAK_YENI1309[[#This Row],[BIRIM_FIYATLAR]])</f>
        <v>0</v>
      </c>
      <c r="N5641">
        <v>30</v>
      </c>
      <c r="O5641" t="s">
        <v>240</v>
      </c>
      <c r="P5641">
        <v>45</v>
      </c>
      <c r="Q5641" t="s">
        <v>180</v>
      </c>
    </row>
    <row r="5642" spans="1:17" x14ac:dyDescent="0.25">
      <c r="A5642" t="s">
        <v>1099</v>
      </c>
      <c r="B5642" t="s">
        <v>1055</v>
      </c>
      <c r="C5642" t="s">
        <v>175</v>
      </c>
      <c r="D5642" t="s">
        <v>558</v>
      </c>
      <c r="E5642" t="s">
        <v>559</v>
      </c>
      <c r="F5642">
        <v>4.38</v>
      </c>
      <c r="G5642" t="s">
        <v>176</v>
      </c>
      <c r="H5642">
        <v>4.38</v>
      </c>
      <c r="I5642">
        <v>34</v>
      </c>
      <c r="J5642" s="10">
        <v>97.880000000000024</v>
      </c>
      <c r="K5642" s="10">
        <f>SUMIFS(F:F,D:D,DST_123_ÜRETİM_İHTİYAÇ_RAPORU_BURAK_YENI1309[[#This Row],[ALT_KOD]])-(SUMIFS(H:H,D:D,DST_123_ÜRETİM_İHTİYAÇ_RAPORU_BURAK_YENI1309[[#This Row],[ALT_KOD]])+AVERAGEIFS(I:I,D:D,DST_123_ÜRETİM_İHTİYAÇ_RAPORU_BURAK_YENI1309[[#This Row],[ALT_KOD]])+AVERAGEIFS(L:L,D:D,DST_123_ÜRETİM_İHTİYAÇ_RAPORU_BURAK_YENI1309[[#This Row],[ALT_KOD]]))</f>
        <v>0.88000000000000256</v>
      </c>
      <c r="L5642">
        <v>0</v>
      </c>
      <c r="M5642">
        <f>IF((DST_123_ÜRETİM_İHTİYAÇ_RAPORU_BURAK_YENI1309[[#This Row],[SATINALMA]]*DST_123_ÜRETİM_İHTİYAÇ_RAPORU_BURAK_YENI1309[[#This Row],[BIRIM_FIYATLAR]])&lt;1,VALUE("0"),DST_123_ÜRETİM_İHTİYAÇ_RAPORU_BURAK_YENI1309[[#This Row],[SATINALMA]]*DST_123_ÜRETİM_İHTİYAÇ_RAPORU_BURAK_YENI1309[[#This Row],[BIRIM_FIYATLAR]])</f>
        <v>48.400000000000141</v>
      </c>
      <c r="N5642">
        <v>55</v>
      </c>
      <c r="O5642" t="s">
        <v>240</v>
      </c>
      <c r="P5642">
        <v>240.9</v>
      </c>
      <c r="Q5642" t="s">
        <v>180</v>
      </c>
    </row>
    <row r="5643" spans="1:17" x14ac:dyDescent="0.25">
      <c r="A5643" t="s">
        <v>1099</v>
      </c>
      <c r="B5643" t="s">
        <v>1055</v>
      </c>
      <c r="C5643" t="s">
        <v>175</v>
      </c>
      <c r="D5643" t="s">
        <v>94</v>
      </c>
      <c r="E5643" t="s">
        <v>95</v>
      </c>
      <c r="F5643">
        <v>1</v>
      </c>
      <c r="G5643" t="s">
        <v>176</v>
      </c>
      <c r="H5643">
        <v>1</v>
      </c>
      <c r="I5643">
        <v>11</v>
      </c>
      <c r="J5643" s="10">
        <v>8</v>
      </c>
      <c r="K5643" s="10">
        <f>SUMIFS(F:F,D:D,DST_123_ÜRETİM_İHTİYAÇ_RAPORU_BURAK_YENI1309[[#This Row],[ALT_KOD]])-(SUMIFS(H:H,D:D,DST_123_ÜRETİM_İHTİYAÇ_RAPORU_BURAK_YENI1309[[#This Row],[ALT_KOD]])+AVERAGEIFS(I:I,D:D,DST_123_ÜRETİM_İHTİYAÇ_RAPORU_BURAK_YENI1309[[#This Row],[ALT_KOD]])+AVERAGEIFS(L:L,D:D,DST_123_ÜRETİM_İHTİYAÇ_RAPORU_BURAK_YENI1309[[#This Row],[ALT_KOD]]))</f>
        <v>0</v>
      </c>
      <c r="L5643">
        <v>0</v>
      </c>
      <c r="M5643">
        <f>IF((DST_123_ÜRETİM_İHTİYAÇ_RAPORU_BURAK_YENI1309[[#This Row],[SATINALMA]]*DST_123_ÜRETİM_İHTİYAÇ_RAPORU_BURAK_YENI1309[[#This Row],[BIRIM_FIYATLAR]])&lt;1,VALUE("0"),DST_123_ÜRETİM_İHTİYAÇ_RAPORU_BURAK_YENI1309[[#This Row],[SATINALMA]]*DST_123_ÜRETİM_İHTİYAÇ_RAPORU_BURAK_YENI1309[[#This Row],[BIRIM_FIYATLAR]])</f>
        <v>0</v>
      </c>
      <c r="N5643">
        <v>1145.83</v>
      </c>
      <c r="O5643" t="s">
        <v>247</v>
      </c>
      <c r="P5643">
        <v>1145.83</v>
      </c>
      <c r="Q5643" t="s">
        <v>177</v>
      </c>
    </row>
    <row r="5644" spans="1:17" x14ac:dyDescent="0.25">
      <c r="A5644" t="s">
        <v>1064</v>
      </c>
      <c r="B5644" t="s">
        <v>1055</v>
      </c>
      <c r="C5644" t="s">
        <v>175</v>
      </c>
      <c r="D5644" t="s">
        <v>94</v>
      </c>
      <c r="E5644" t="s">
        <v>95</v>
      </c>
      <c r="F5644">
        <v>1</v>
      </c>
      <c r="G5644" t="s">
        <v>176</v>
      </c>
      <c r="H5644">
        <v>1</v>
      </c>
      <c r="I5644">
        <v>11</v>
      </c>
      <c r="J5644" s="10">
        <v>8</v>
      </c>
      <c r="K5644" s="10">
        <f>SUMIFS(F:F,D:D,DST_123_ÜRETİM_İHTİYAÇ_RAPORU_BURAK_YENI1309[[#This Row],[ALT_KOD]])-(SUMIFS(H:H,D:D,DST_123_ÜRETİM_İHTİYAÇ_RAPORU_BURAK_YENI1309[[#This Row],[ALT_KOD]])+AVERAGEIFS(I:I,D:D,DST_123_ÜRETİM_İHTİYAÇ_RAPORU_BURAK_YENI1309[[#This Row],[ALT_KOD]])+AVERAGEIFS(L:L,D:D,DST_123_ÜRETİM_İHTİYAÇ_RAPORU_BURAK_YENI1309[[#This Row],[ALT_KOD]]))</f>
        <v>0</v>
      </c>
      <c r="L5644">
        <v>0</v>
      </c>
      <c r="M5644">
        <f>IF((DST_123_ÜRETİM_İHTİYAÇ_RAPORU_BURAK_YENI1309[[#This Row],[SATINALMA]]*DST_123_ÜRETİM_İHTİYAÇ_RAPORU_BURAK_YENI1309[[#This Row],[BIRIM_FIYATLAR]])&lt;1,VALUE("0"),DST_123_ÜRETİM_İHTİYAÇ_RAPORU_BURAK_YENI1309[[#This Row],[SATINALMA]]*DST_123_ÜRETİM_İHTİYAÇ_RAPORU_BURAK_YENI1309[[#This Row],[BIRIM_FIYATLAR]])</f>
        <v>0</v>
      </c>
      <c r="N5644">
        <v>1145.83</v>
      </c>
      <c r="O5644" t="s">
        <v>247</v>
      </c>
      <c r="P5644">
        <v>1145.83</v>
      </c>
      <c r="Q5644" t="s">
        <v>177</v>
      </c>
    </row>
    <row r="5645" spans="1:17" x14ac:dyDescent="0.25">
      <c r="A5645" t="s">
        <v>1101</v>
      </c>
      <c r="B5645" t="s">
        <v>1102</v>
      </c>
      <c r="C5645" t="s">
        <v>175</v>
      </c>
      <c r="D5645" t="s">
        <v>255</v>
      </c>
      <c r="E5645" t="s">
        <v>309</v>
      </c>
      <c r="F5645">
        <v>2</v>
      </c>
      <c r="G5645" t="s">
        <v>176</v>
      </c>
      <c r="H5645">
        <v>2</v>
      </c>
      <c r="I5645">
        <v>38</v>
      </c>
      <c r="J5645" s="10">
        <v>20</v>
      </c>
      <c r="K5645" s="10">
        <f>SUMIFS(F:F,D:D,DST_123_ÜRETİM_İHTİYAÇ_RAPORU_BURAK_YENI1309[[#This Row],[ALT_KOD]])-(SUMIFS(H:H,D:D,DST_123_ÜRETİM_İHTİYAÇ_RAPORU_BURAK_YENI1309[[#This Row],[ALT_KOD]])+AVERAGEIFS(I:I,D:D,DST_123_ÜRETİM_İHTİYAÇ_RAPORU_BURAK_YENI1309[[#This Row],[ALT_KOD]])+AVERAGEIFS(L:L,D:D,DST_123_ÜRETİM_İHTİYAÇ_RAPORU_BURAK_YENI1309[[#This Row],[ALT_KOD]]))</f>
        <v>-14</v>
      </c>
      <c r="L5645">
        <v>0</v>
      </c>
      <c r="M5645">
        <f>IF((DST_123_ÜRETİM_İHTİYAÇ_RAPORU_BURAK_YENI1309[[#This Row],[SATINALMA]]*DST_123_ÜRETİM_İHTİYAÇ_RAPORU_BURAK_YENI1309[[#This Row],[BIRIM_FIYATLAR]])&lt;1,VALUE("0"),DST_123_ÜRETİM_İHTİYAÇ_RAPORU_BURAK_YENI1309[[#This Row],[SATINALMA]]*DST_123_ÜRETİM_İHTİYAÇ_RAPORU_BURAK_YENI1309[[#This Row],[BIRIM_FIYATLAR]])</f>
        <v>0</v>
      </c>
      <c r="N5645">
        <v>55</v>
      </c>
      <c r="O5645" t="s">
        <v>826</v>
      </c>
      <c r="P5645">
        <v>110</v>
      </c>
      <c r="Q5645" t="s">
        <v>221</v>
      </c>
    </row>
    <row r="5646" spans="1:17" x14ac:dyDescent="0.25">
      <c r="A5646" t="s">
        <v>1060</v>
      </c>
      <c r="B5646" t="s">
        <v>1061</v>
      </c>
      <c r="C5646" t="s">
        <v>175</v>
      </c>
      <c r="D5646" t="s">
        <v>1173</v>
      </c>
      <c r="E5646" t="s">
        <v>1174</v>
      </c>
      <c r="F5646">
        <v>1</v>
      </c>
      <c r="G5646" t="s">
        <v>176</v>
      </c>
      <c r="H5646">
        <v>1</v>
      </c>
      <c r="I5646">
        <v>0</v>
      </c>
      <c r="J5646" s="10">
        <v>1</v>
      </c>
      <c r="K5646" s="10">
        <f>SUMIFS(F:F,D:D,DST_123_ÜRETİM_İHTİYAÇ_RAPORU_BURAK_YENI1309[[#This Row],[ALT_KOD]])-(SUMIFS(H:H,D:D,DST_123_ÜRETİM_İHTİYAÇ_RAPORU_BURAK_YENI1309[[#This Row],[ALT_KOD]])+AVERAGEIFS(I:I,D:D,DST_123_ÜRETİM_İHTİYAÇ_RAPORU_BURAK_YENI1309[[#This Row],[ALT_KOD]])+AVERAGEIFS(L:L,D:D,DST_123_ÜRETİM_İHTİYAÇ_RAPORU_BURAK_YENI1309[[#This Row],[ALT_KOD]]))</f>
        <v>0</v>
      </c>
      <c r="L5646">
        <v>0</v>
      </c>
      <c r="M5646">
        <f>IF((DST_123_ÜRETİM_İHTİYAÇ_RAPORU_BURAK_YENI1309[[#This Row],[SATINALMA]]*DST_123_ÜRETİM_İHTİYAÇ_RAPORU_BURAK_YENI1309[[#This Row],[BIRIM_FIYATLAR]])&lt;1,VALUE("0"),DST_123_ÜRETİM_İHTİYAÇ_RAPORU_BURAK_YENI1309[[#This Row],[SATINALMA]]*DST_123_ÜRETİM_İHTİYAÇ_RAPORU_BURAK_YENI1309[[#This Row],[BIRIM_FIYATLAR]])</f>
        <v>0</v>
      </c>
      <c r="N5646">
        <v>35</v>
      </c>
      <c r="O5646" t="s">
        <v>453</v>
      </c>
      <c r="P5646">
        <v>35</v>
      </c>
      <c r="Q5646" t="s">
        <v>177</v>
      </c>
    </row>
    <row r="5647" spans="1:17" x14ac:dyDescent="0.25">
      <c r="A5647" t="s">
        <v>1101</v>
      </c>
      <c r="B5647" t="s">
        <v>1102</v>
      </c>
      <c r="C5647" t="s">
        <v>175</v>
      </c>
      <c r="D5647" t="s">
        <v>94</v>
      </c>
      <c r="E5647" t="s">
        <v>95</v>
      </c>
      <c r="F5647">
        <v>1</v>
      </c>
      <c r="G5647" t="s">
        <v>176</v>
      </c>
      <c r="H5647">
        <v>1</v>
      </c>
      <c r="I5647">
        <v>11</v>
      </c>
      <c r="J5647" s="10">
        <v>8</v>
      </c>
      <c r="K5647" s="10">
        <f>SUMIFS(F:F,D:D,DST_123_ÜRETİM_İHTİYAÇ_RAPORU_BURAK_YENI1309[[#This Row],[ALT_KOD]])-(SUMIFS(H:H,D:D,DST_123_ÜRETİM_İHTİYAÇ_RAPORU_BURAK_YENI1309[[#This Row],[ALT_KOD]])+AVERAGEIFS(I:I,D:D,DST_123_ÜRETİM_İHTİYAÇ_RAPORU_BURAK_YENI1309[[#This Row],[ALT_KOD]])+AVERAGEIFS(L:L,D:D,DST_123_ÜRETİM_İHTİYAÇ_RAPORU_BURAK_YENI1309[[#This Row],[ALT_KOD]]))</f>
        <v>0</v>
      </c>
      <c r="L5647">
        <v>0</v>
      </c>
      <c r="M5647">
        <f>IF((DST_123_ÜRETİM_İHTİYAÇ_RAPORU_BURAK_YENI1309[[#This Row],[SATINALMA]]*DST_123_ÜRETİM_İHTİYAÇ_RAPORU_BURAK_YENI1309[[#This Row],[BIRIM_FIYATLAR]])&lt;1,VALUE("0"),DST_123_ÜRETİM_İHTİYAÇ_RAPORU_BURAK_YENI1309[[#This Row],[SATINALMA]]*DST_123_ÜRETİM_İHTİYAÇ_RAPORU_BURAK_YENI1309[[#This Row],[BIRIM_FIYATLAR]])</f>
        <v>0</v>
      </c>
      <c r="N5647">
        <v>1145.83</v>
      </c>
      <c r="O5647" t="s">
        <v>247</v>
      </c>
      <c r="P5647">
        <v>1145.83</v>
      </c>
      <c r="Q5647" t="s">
        <v>177</v>
      </c>
    </row>
    <row r="5648" spans="1:17" x14ac:dyDescent="0.25">
      <c r="A5648" t="s">
        <v>1101</v>
      </c>
      <c r="B5648" t="s">
        <v>1102</v>
      </c>
      <c r="C5648" t="s">
        <v>175</v>
      </c>
      <c r="D5648" t="s">
        <v>1123</v>
      </c>
      <c r="E5648" t="s">
        <v>1124</v>
      </c>
      <c r="F5648">
        <v>1</v>
      </c>
      <c r="G5648" t="s">
        <v>176</v>
      </c>
      <c r="H5648">
        <v>1</v>
      </c>
      <c r="I5648">
        <v>3</v>
      </c>
      <c r="J5648" s="10">
        <v>1</v>
      </c>
      <c r="K5648" s="10">
        <f>SUMIFS(F:F,D:D,DST_123_ÜRETİM_İHTİYAÇ_RAPORU_BURAK_YENI1309[[#This Row],[ALT_KOD]])-(SUMIFS(H:H,D:D,DST_123_ÜRETİM_İHTİYAÇ_RAPORU_BURAK_YENI1309[[#This Row],[ALT_KOD]])+AVERAGEIFS(I:I,D:D,DST_123_ÜRETİM_İHTİYAÇ_RAPORU_BURAK_YENI1309[[#This Row],[ALT_KOD]])+AVERAGEIFS(L:L,D:D,DST_123_ÜRETİM_İHTİYAÇ_RAPORU_BURAK_YENI1309[[#This Row],[ALT_KOD]]))</f>
        <v>-1</v>
      </c>
      <c r="L5648">
        <v>0</v>
      </c>
      <c r="M5648">
        <f>IF((DST_123_ÜRETİM_İHTİYAÇ_RAPORU_BURAK_YENI1309[[#This Row],[SATINALMA]]*DST_123_ÜRETİM_İHTİYAÇ_RAPORU_BURAK_YENI1309[[#This Row],[BIRIM_FIYATLAR]])&lt;1,VALUE("0"),DST_123_ÜRETİM_İHTİYAÇ_RAPORU_BURAK_YENI1309[[#This Row],[SATINALMA]]*DST_123_ÜRETİM_İHTİYAÇ_RAPORU_BURAK_YENI1309[[#This Row],[BIRIM_FIYATLAR]])</f>
        <v>0</v>
      </c>
      <c r="N5648">
        <v>3899.59</v>
      </c>
      <c r="O5648" t="s">
        <v>636</v>
      </c>
      <c r="P5648">
        <v>3899.59</v>
      </c>
      <c r="Q5648" t="s">
        <v>177</v>
      </c>
    </row>
    <row r="5649" spans="1:17" x14ac:dyDescent="0.25">
      <c r="A5649" t="s">
        <v>1101</v>
      </c>
      <c r="B5649" t="s">
        <v>1102</v>
      </c>
      <c r="C5649" t="s">
        <v>175</v>
      </c>
      <c r="D5649" t="s">
        <v>865</v>
      </c>
      <c r="E5649" t="s">
        <v>644</v>
      </c>
      <c r="F5649">
        <v>3</v>
      </c>
      <c r="G5649" t="s">
        <v>176</v>
      </c>
      <c r="H5649">
        <v>3</v>
      </c>
      <c r="I5649">
        <v>3</v>
      </c>
      <c r="J5649" s="10">
        <v>13</v>
      </c>
      <c r="K5649" s="10">
        <f>SUMIFS(F:F,D:D,DST_123_ÜRETİM_İHTİYAÇ_RAPORU_BURAK_YENI1309[[#This Row],[ALT_KOD]])-(SUMIFS(H:H,D:D,DST_123_ÜRETİM_İHTİYAÇ_RAPORU_BURAK_YENI1309[[#This Row],[ALT_KOD]])+AVERAGEIFS(I:I,D:D,DST_123_ÜRETİM_İHTİYAÇ_RAPORU_BURAK_YENI1309[[#This Row],[ALT_KOD]])+AVERAGEIFS(L:L,D:D,DST_123_ÜRETİM_İHTİYAÇ_RAPORU_BURAK_YENI1309[[#This Row],[ALT_KOD]]))</f>
        <v>12</v>
      </c>
      <c r="L5649">
        <v>0</v>
      </c>
      <c r="M5649">
        <f>IF((DST_123_ÜRETİM_İHTİYAÇ_RAPORU_BURAK_YENI1309[[#This Row],[SATINALMA]]*DST_123_ÜRETİM_İHTİYAÇ_RAPORU_BURAK_YENI1309[[#This Row],[BIRIM_FIYATLAR]])&lt;1,VALUE("0"),DST_123_ÜRETİM_İHTİYAÇ_RAPORU_BURAK_YENI1309[[#This Row],[SATINALMA]]*DST_123_ÜRETİM_İHTİYAÇ_RAPORU_BURAK_YENI1309[[#This Row],[BIRIM_FIYATLAR]])</f>
        <v>43576.08</v>
      </c>
      <c r="N5649">
        <v>3631.34</v>
      </c>
      <c r="O5649" t="s">
        <v>647</v>
      </c>
      <c r="P5649">
        <v>10894.02</v>
      </c>
      <c r="Q5649" t="s">
        <v>177</v>
      </c>
    </row>
    <row r="5650" spans="1:17" x14ac:dyDescent="0.25">
      <c r="A5650" t="s">
        <v>1097</v>
      </c>
      <c r="B5650" t="s">
        <v>1055</v>
      </c>
      <c r="C5650" t="s">
        <v>175</v>
      </c>
      <c r="D5650" t="s">
        <v>558</v>
      </c>
      <c r="E5650" t="s">
        <v>559</v>
      </c>
      <c r="F5650">
        <v>4.38</v>
      </c>
      <c r="G5650" t="s">
        <v>176</v>
      </c>
      <c r="H5650">
        <v>4.38</v>
      </c>
      <c r="I5650">
        <v>34</v>
      </c>
      <c r="J5650" s="10">
        <v>97.880000000000024</v>
      </c>
      <c r="K5650" s="10">
        <f>SUMIFS(F:F,D:D,DST_123_ÜRETİM_İHTİYAÇ_RAPORU_BURAK_YENI1309[[#This Row],[ALT_KOD]])-(SUMIFS(H:H,D:D,DST_123_ÜRETİM_İHTİYAÇ_RAPORU_BURAK_YENI1309[[#This Row],[ALT_KOD]])+AVERAGEIFS(I:I,D:D,DST_123_ÜRETİM_İHTİYAÇ_RAPORU_BURAK_YENI1309[[#This Row],[ALT_KOD]])+AVERAGEIFS(L:L,D:D,DST_123_ÜRETİM_İHTİYAÇ_RAPORU_BURAK_YENI1309[[#This Row],[ALT_KOD]]))</f>
        <v>0.88000000000000256</v>
      </c>
      <c r="L5650">
        <v>0</v>
      </c>
      <c r="M5650">
        <f>IF((DST_123_ÜRETİM_İHTİYAÇ_RAPORU_BURAK_YENI1309[[#This Row],[SATINALMA]]*DST_123_ÜRETİM_İHTİYAÇ_RAPORU_BURAK_YENI1309[[#This Row],[BIRIM_FIYATLAR]])&lt;1,VALUE("0"),DST_123_ÜRETİM_İHTİYAÇ_RAPORU_BURAK_YENI1309[[#This Row],[SATINALMA]]*DST_123_ÜRETİM_İHTİYAÇ_RAPORU_BURAK_YENI1309[[#This Row],[BIRIM_FIYATLAR]])</f>
        <v>48.400000000000141</v>
      </c>
      <c r="N5650">
        <v>55</v>
      </c>
      <c r="O5650" t="s">
        <v>240</v>
      </c>
      <c r="P5650">
        <v>240.9</v>
      </c>
      <c r="Q5650" t="s">
        <v>180</v>
      </c>
    </row>
    <row r="5651" spans="1:17" x14ac:dyDescent="0.25">
      <c r="A5651" t="s">
        <v>1101</v>
      </c>
      <c r="B5651" t="s">
        <v>1102</v>
      </c>
      <c r="C5651" t="s">
        <v>175</v>
      </c>
      <c r="D5651" t="s">
        <v>856</v>
      </c>
      <c r="E5651" t="s">
        <v>857</v>
      </c>
      <c r="F5651">
        <v>1</v>
      </c>
      <c r="G5651" t="s">
        <v>176</v>
      </c>
      <c r="H5651">
        <v>1</v>
      </c>
      <c r="I5651">
        <v>7</v>
      </c>
      <c r="J5651" s="10">
        <v>1</v>
      </c>
      <c r="K5651" s="10">
        <f>SUMIFS(F:F,D:D,DST_123_ÜRETİM_İHTİYAÇ_RAPORU_BURAK_YENI1309[[#This Row],[ALT_KOD]])-(SUMIFS(H:H,D:D,DST_123_ÜRETİM_İHTİYAÇ_RAPORU_BURAK_YENI1309[[#This Row],[ALT_KOD]])+AVERAGEIFS(I:I,D:D,DST_123_ÜRETİM_İHTİYAÇ_RAPORU_BURAK_YENI1309[[#This Row],[ALT_KOD]])+AVERAGEIFS(L:L,D:D,DST_123_ÜRETİM_İHTİYAÇ_RAPORU_BURAK_YENI1309[[#This Row],[ALT_KOD]]))</f>
        <v>-7</v>
      </c>
      <c r="L5651">
        <v>0</v>
      </c>
      <c r="M5651">
        <f>IF((DST_123_ÜRETİM_İHTİYAÇ_RAPORU_BURAK_YENI1309[[#This Row],[SATINALMA]]*DST_123_ÜRETİM_İHTİYAÇ_RAPORU_BURAK_YENI1309[[#This Row],[BIRIM_FIYATLAR]])&lt;1,VALUE("0"),DST_123_ÜRETİM_İHTİYAÇ_RAPORU_BURAK_YENI1309[[#This Row],[SATINALMA]]*DST_123_ÜRETİM_İHTİYAÇ_RAPORU_BURAK_YENI1309[[#This Row],[BIRIM_FIYATLAR]])</f>
        <v>0</v>
      </c>
      <c r="N5651">
        <v>93.6</v>
      </c>
      <c r="O5651" t="s">
        <v>246</v>
      </c>
      <c r="P5651">
        <v>93.6</v>
      </c>
      <c r="Q5651" t="s">
        <v>177</v>
      </c>
    </row>
    <row r="5652" spans="1:17" x14ac:dyDescent="0.25">
      <c r="A5652" t="s">
        <v>1059</v>
      </c>
      <c r="B5652" t="s">
        <v>1058</v>
      </c>
      <c r="C5652" t="s">
        <v>175</v>
      </c>
      <c r="D5652" t="s">
        <v>94</v>
      </c>
      <c r="E5652" t="s">
        <v>95</v>
      </c>
      <c r="F5652">
        <v>1</v>
      </c>
      <c r="G5652" t="s">
        <v>176</v>
      </c>
      <c r="H5652">
        <v>1</v>
      </c>
      <c r="I5652">
        <v>11</v>
      </c>
      <c r="J5652" s="10">
        <v>8</v>
      </c>
      <c r="K5652" s="10">
        <f>SUMIFS(F:F,D:D,DST_123_ÜRETİM_İHTİYAÇ_RAPORU_BURAK_YENI1309[[#This Row],[ALT_KOD]])-(SUMIFS(H:H,D:D,DST_123_ÜRETİM_İHTİYAÇ_RAPORU_BURAK_YENI1309[[#This Row],[ALT_KOD]])+AVERAGEIFS(I:I,D:D,DST_123_ÜRETİM_İHTİYAÇ_RAPORU_BURAK_YENI1309[[#This Row],[ALT_KOD]])+AVERAGEIFS(L:L,D:D,DST_123_ÜRETİM_İHTİYAÇ_RAPORU_BURAK_YENI1309[[#This Row],[ALT_KOD]]))</f>
        <v>0</v>
      </c>
      <c r="L5652">
        <v>0</v>
      </c>
      <c r="M5652">
        <f>IF((DST_123_ÜRETİM_İHTİYAÇ_RAPORU_BURAK_YENI1309[[#This Row],[SATINALMA]]*DST_123_ÜRETİM_İHTİYAÇ_RAPORU_BURAK_YENI1309[[#This Row],[BIRIM_FIYATLAR]])&lt;1,VALUE("0"),DST_123_ÜRETİM_İHTİYAÇ_RAPORU_BURAK_YENI1309[[#This Row],[SATINALMA]]*DST_123_ÜRETİM_İHTİYAÇ_RAPORU_BURAK_YENI1309[[#This Row],[BIRIM_FIYATLAR]])</f>
        <v>0</v>
      </c>
      <c r="N5652">
        <v>1145.83</v>
      </c>
      <c r="O5652" t="s">
        <v>247</v>
      </c>
      <c r="P5652">
        <v>1145.83</v>
      </c>
      <c r="Q5652" t="s">
        <v>177</v>
      </c>
    </row>
    <row r="5653" spans="1:17" x14ac:dyDescent="0.25">
      <c r="A5653" t="s">
        <v>1097</v>
      </c>
      <c r="B5653" t="s">
        <v>1055</v>
      </c>
      <c r="C5653" t="s">
        <v>175</v>
      </c>
      <c r="D5653" t="s">
        <v>865</v>
      </c>
      <c r="E5653" t="s">
        <v>644</v>
      </c>
      <c r="F5653">
        <v>3</v>
      </c>
      <c r="G5653" t="s">
        <v>176</v>
      </c>
      <c r="H5653">
        <v>3</v>
      </c>
      <c r="I5653">
        <v>3</v>
      </c>
      <c r="J5653" s="10">
        <v>13</v>
      </c>
      <c r="K5653" s="10">
        <f>SUMIFS(F:F,D:D,DST_123_ÜRETİM_İHTİYAÇ_RAPORU_BURAK_YENI1309[[#This Row],[ALT_KOD]])-(SUMIFS(H:H,D:D,DST_123_ÜRETİM_İHTİYAÇ_RAPORU_BURAK_YENI1309[[#This Row],[ALT_KOD]])+AVERAGEIFS(I:I,D:D,DST_123_ÜRETİM_İHTİYAÇ_RAPORU_BURAK_YENI1309[[#This Row],[ALT_KOD]])+AVERAGEIFS(L:L,D:D,DST_123_ÜRETİM_İHTİYAÇ_RAPORU_BURAK_YENI1309[[#This Row],[ALT_KOD]]))</f>
        <v>12</v>
      </c>
      <c r="L5653">
        <v>0</v>
      </c>
      <c r="M5653">
        <f>IF((DST_123_ÜRETİM_İHTİYAÇ_RAPORU_BURAK_YENI1309[[#This Row],[SATINALMA]]*DST_123_ÜRETİM_İHTİYAÇ_RAPORU_BURAK_YENI1309[[#This Row],[BIRIM_FIYATLAR]])&lt;1,VALUE("0"),DST_123_ÜRETİM_İHTİYAÇ_RAPORU_BURAK_YENI1309[[#This Row],[SATINALMA]]*DST_123_ÜRETİM_İHTİYAÇ_RAPORU_BURAK_YENI1309[[#This Row],[BIRIM_FIYATLAR]])</f>
        <v>43576.08</v>
      </c>
      <c r="N5653">
        <v>3631.34</v>
      </c>
      <c r="O5653" t="s">
        <v>647</v>
      </c>
      <c r="P5653">
        <v>10894.02</v>
      </c>
      <c r="Q5653" t="s">
        <v>177</v>
      </c>
    </row>
    <row r="5654" spans="1:17" x14ac:dyDescent="0.25">
      <c r="A5654" t="s">
        <v>1097</v>
      </c>
      <c r="B5654" t="s">
        <v>1055</v>
      </c>
      <c r="C5654" t="s">
        <v>175</v>
      </c>
      <c r="D5654" t="s">
        <v>255</v>
      </c>
      <c r="E5654" t="s">
        <v>309</v>
      </c>
      <c r="F5654">
        <v>2</v>
      </c>
      <c r="G5654" t="s">
        <v>176</v>
      </c>
      <c r="H5654">
        <v>2</v>
      </c>
      <c r="I5654">
        <v>38</v>
      </c>
      <c r="J5654" s="10">
        <v>20</v>
      </c>
      <c r="K5654" s="10">
        <f>SUMIFS(F:F,D:D,DST_123_ÜRETİM_İHTİYAÇ_RAPORU_BURAK_YENI1309[[#This Row],[ALT_KOD]])-(SUMIFS(H:H,D:D,DST_123_ÜRETİM_İHTİYAÇ_RAPORU_BURAK_YENI1309[[#This Row],[ALT_KOD]])+AVERAGEIFS(I:I,D:D,DST_123_ÜRETİM_İHTİYAÇ_RAPORU_BURAK_YENI1309[[#This Row],[ALT_KOD]])+AVERAGEIFS(L:L,D:D,DST_123_ÜRETİM_İHTİYAÇ_RAPORU_BURAK_YENI1309[[#This Row],[ALT_KOD]]))</f>
        <v>-14</v>
      </c>
      <c r="L5654">
        <v>0</v>
      </c>
      <c r="M5654">
        <f>IF((DST_123_ÜRETİM_İHTİYAÇ_RAPORU_BURAK_YENI1309[[#This Row],[SATINALMA]]*DST_123_ÜRETİM_İHTİYAÇ_RAPORU_BURAK_YENI1309[[#This Row],[BIRIM_FIYATLAR]])&lt;1,VALUE("0"),DST_123_ÜRETİM_İHTİYAÇ_RAPORU_BURAK_YENI1309[[#This Row],[SATINALMA]]*DST_123_ÜRETİM_İHTİYAÇ_RAPORU_BURAK_YENI1309[[#This Row],[BIRIM_FIYATLAR]])</f>
        <v>0</v>
      </c>
      <c r="N5654">
        <v>55</v>
      </c>
      <c r="O5654" t="s">
        <v>826</v>
      </c>
      <c r="P5654">
        <v>110</v>
      </c>
      <c r="Q5654" t="s">
        <v>221</v>
      </c>
    </row>
    <row r="5655" spans="1:17" x14ac:dyDescent="0.25">
      <c r="A5655" t="s">
        <v>1148</v>
      </c>
      <c r="B5655" t="s">
        <v>1056</v>
      </c>
      <c r="C5655" t="s">
        <v>175</v>
      </c>
      <c r="D5655" t="s">
        <v>748</v>
      </c>
      <c r="E5655" t="s">
        <v>749</v>
      </c>
      <c r="F5655">
        <v>4</v>
      </c>
      <c r="G5655" t="s">
        <v>176</v>
      </c>
      <c r="H5655">
        <v>0</v>
      </c>
      <c r="I5655">
        <v>0</v>
      </c>
      <c r="J5655" s="10">
        <v>250</v>
      </c>
      <c r="K5655" s="10">
        <f>SUMIFS(F:F,D:D,DST_123_ÜRETİM_İHTİYAÇ_RAPORU_BURAK_YENI1309[[#This Row],[ALT_KOD]])-(SUMIFS(H:H,D:D,DST_123_ÜRETİM_İHTİYAÇ_RAPORU_BURAK_YENI1309[[#This Row],[ALT_KOD]])+AVERAGEIFS(I:I,D:D,DST_123_ÜRETİM_İHTİYAÇ_RAPORU_BURAK_YENI1309[[#This Row],[ALT_KOD]])+AVERAGEIFS(L:L,D:D,DST_123_ÜRETİM_İHTİYAÇ_RAPORU_BURAK_YENI1309[[#This Row],[ALT_KOD]]))</f>
        <v>32</v>
      </c>
      <c r="L5655">
        <v>0</v>
      </c>
      <c r="M5655">
        <f>IF((DST_123_ÜRETİM_İHTİYAÇ_RAPORU_BURAK_YENI1309[[#This Row],[SATINALMA]]*DST_123_ÜRETİM_İHTİYAÇ_RAPORU_BURAK_YENI1309[[#This Row],[BIRIM_FIYATLAR]])&lt;1,VALUE("0"),DST_123_ÜRETİM_İHTİYAÇ_RAPORU_BURAK_YENI1309[[#This Row],[SATINALMA]]*DST_123_ÜRETİM_İHTİYAÇ_RAPORU_BURAK_YENI1309[[#This Row],[BIRIM_FIYATLAR]])</f>
        <v>183.68</v>
      </c>
      <c r="N5655">
        <v>5.74</v>
      </c>
      <c r="O5655" t="s">
        <v>882</v>
      </c>
      <c r="P5655">
        <v>22.96</v>
      </c>
      <c r="Q5655" t="s">
        <v>180</v>
      </c>
    </row>
    <row r="5656" spans="1:17" x14ac:dyDescent="0.25">
      <c r="A5656" t="s">
        <v>1101</v>
      </c>
      <c r="B5656" t="s">
        <v>1102</v>
      </c>
      <c r="C5656" t="s">
        <v>175</v>
      </c>
      <c r="D5656" t="s">
        <v>238</v>
      </c>
      <c r="E5656" t="s">
        <v>239</v>
      </c>
      <c r="F5656">
        <v>6.45</v>
      </c>
      <c r="G5656" t="s">
        <v>185</v>
      </c>
      <c r="H5656">
        <v>6.45</v>
      </c>
      <c r="I5656">
        <v>110</v>
      </c>
      <c r="J5656" s="10">
        <v>57.22</v>
      </c>
      <c r="K5656" s="10">
        <f>SUMIFS(F:F,D:D,DST_123_ÜRETİM_İHTİYAÇ_RAPORU_BURAK_YENI1309[[#This Row],[ALT_KOD]])-(SUMIFS(H:H,D:D,DST_123_ÜRETİM_İHTİYAÇ_RAPORU_BURAK_YENI1309[[#This Row],[ALT_KOD]])+AVERAGEIFS(I:I,D:D,DST_123_ÜRETİM_İHTİYAÇ_RAPORU_BURAK_YENI1309[[#This Row],[ALT_KOD]])+AVERAGEIFS(L:L,D:D,DST_123_ÜRETİM_İHTİYAÇ_RAPORU_BURAK_YENI1309[[#This Row],[ALT_KOD]]))</f>
        <v>-78.660000000000025</v>
      </c>
      <c r="L5656">
        <v>0</v>
      </c>
      <c r="M5656">
        <f>IF((DST_123_ÜRETİM_İHTİYAÇ_RAPORU_BURAK_YENI1309[[#This Row],[SATINALMA]]*DST_123_ÜRETİM_İHTİYAÇ_RAPORU_BURAK_YENI1309[[#This Row],[BIRIM_FIYATLAR]])&lt;1,VALUE("0"),DST_123_ÜRETİM_İHTİYAÇ_RAPORU_BURAK_YENI1309[[#This Row],[SATINALMA]]*DST_123_ÜRETİM_İHTİYAÇ_RAPORU_BURAK_YENI1309[[#This Row],[BIRIM_FIYATLAR]])</f>
        <v>0</v>
      </c>
      <c r="N5656">
        <v>40</v>
      </c>
      <c r="O5656" t="s">
        <v>240</v>
      </c>
      <c r="P5656">
        <v>258</v>
      </c>
      <c r="Q5656" t="s">
        <v>180</v>
      </c>
    </row>
    <row r="5657" spans="1:17" x14ac:dyDescent="0.25">
      <c r="A5657" t="s">
        <v>1196</v>
      </c>
      <c r="B5657" t="s">
        <v>1197</v>
      </c>
      <c r="C5657" t="s">
        <v>175</v>
      </c>
      <c r="D5657" t="s">
        <v>84</v>
      </c>
      <c r="E5657" t="s">
        <v>85</v>
      </c>
      <c r="F5657">
        <v>2</v>
      </c>
      <c r="G5657" t="s">
        <v>176</v>
      </c>
      <c r="H5657">
        <v>0</v>
      </c>
      <c r="I5657">
        <v>40</v>
      </c>
      <c r="J5657" s="10">
        <v>16</v>
      </c>
      <c r="K5657" s="10">
        <f>SUMIFS(F:F,D:D,DST_123_ÜRETİM_İHTİYAÇ_RAPORU_BURAK_YENI1309[[#This Row],[ALT_KOD]])-(SUMIFS(H:H,D:D,DST_123_ÜRETİM_İHTİYAÇ_RAPORU_BURAK_YENI1309[[#This Row],[ALT_KOD]])+AVERAGEIFS(I:I,D:D,DST_123_ÜRETİM_İHTİYAÇ_RAPORU_BURAK_YENI1309[[#This Row],[ALT_KOD]])+AVERAGEIFS(L:L,D:D,DST_123_ÜRETİM_İHTİYAÇ_RAPORU_BURAK_YENI1309[[#This Row],[ALT_KOD]]))</f>
        <v>-18</v>
      </c>
      <c r="L5657">
        <v>0</v>
      </c>
      <c r="M5657">
        <f>IF((DST_123_ÜRETİM_İHTİYAÇ_RAPORU_BURAK_YENI1309[[#This Row],[SATINALMA]]*DST_123_ÜRETİM_İHTİYAÇ_RAPORU_BURAK_YENI1309[[#This Row],[BIRIM_FIYATLAR]])&lt;1,VALUE("0"),DST_123_ÜRETİM_İHTİYAÇ_RAPORU_BURAK_YENI1309[[#This Row],[SATINALMA]]*DST_123_ÜRETİM_İHTİYAÇ_RAPORU_BURAK_YENI1309[[#This Row],[BIRIM_FIYATLAR]])</f>
        <v>0</v>
      </c>
      <c r="N5657">
        <v>375</v>
      </c>
      <c r="O5657" t="s">
        <v>247</v>
      </c>
      <c r="P5657">
        <v>750</v>
      </c>
      <c r="Q5657" t="s">
        <v>177</v>
      </c>
    </row>
    <row r="5658" spans="1:17" x14ac:dyDescent="0.25">
      <c r="A5658" t="s">
        <v>1057</v>
      </c>
      <c r="B5658" t="s">
        <v>1058</v>
      </c>
      <c r="C5658" t="s">
        <v>175</v>
      </c>
      <c r="D5658" t="s">
        <v>238</v>
      </c>
      <c r="E5658" t="s">
        <v>239</v>
      </c>
      <c r="F5658">
        <v>5.25</v>
      </c>
      <c r="G5658" t="s">
        <v>185</v>
      </c>
      <c r="H5658">
        <v>5.25</v>
      </c>
      <c r="I5658">
        <v>110</v>
      </c>
      <c r="J5658" s="10">
        <v>57.22</v>
      </c>
      <c r="K5658" s="10">
        <f>SUMIFS(F:F,D:D,DST_123_ÜRETİM_İHTİYAÇ_RAPORU_BURAK_YENI1309[[#This Row],[ALT_KOD]])-(SUMIFS(H:H,D:D,DST_123_ÜRETİM_İHTİYAÇ_RAPORU_BURAK_YENI1309[[#This Row],[ALT_KOD]])+AVERAGEIFS(I:I,D:D,DST_123_ÜRETİM_İHTİYAÇ_RAPORU_BURAK_YENI1309[[#This Row],[ALT_KOD]])+AVERAGEIFS(L:L,D:D,DST_123_ÜRETİM_İHTİYAÇ_RAPORU_BURAK_YENI1309[[#This Row],[ALT_KOD]]))</f>
        <v>-78.660000000000025</v>
      </c>
      <c r="L5658">
        <v>0</v>
      </c>
      <c r="M5658">
        <f>IF((DST_123_ÜRETİM_İHTİYAÇ_RAPORU_BURAK_YENI1309[[#This Row],[SATINALMA]]*DST_123_ÜRETİM_İHTİYAÇ_RAPORU_BURAK_YENI1309[[#This Row],[BIRIM_FIYATLAR]])&lt;1,VALUE("0"),DST_123_ÜRETİM_İHTİYAÇ_RAPORU_BURAK_YENI1309[[#This Row],[SATINALMA]]*DST_123_ÜRETİM_İHTİYAÇ_RAPORU_BURAK_YENI1309[[#This Row],[BIRIM_FIYATLAR]])</f>
        <v>0</v>
      </c>
      <c r="N5658">
        <v>40</v>
      </c>
      <c r="O5658" t="s">
        <v>240</v>
      </c>
      <c r="P5658">
        <v>210</v>
      </c>
      <c r="Q5658" t="s">
        <v>180</v>
      </c>
    </row>
    <row r="5659" spans="1:17" x14ac:dyDescent="0.25">
      <c r="A5659" t="s">
        <v>1059</v>
      </c>
      <c r="B5659" t="s">
        <v>1058</v>
      </c>
      <c r="C5659" t="s">
        <v>175</v>
      </c>
      <c r="D5659" t="s">
        <v>238</v>
      </c>
      <c r="E5659" t="s">
        <v>239</v>
      </c>
      <c r="F5659">
        <v>5.25</v>
      </c>
      <c r="G5659" t="s">
        <v>185</v>
      </c>
      <c r="H5659">
        <v>5.25</v>
      </c>
      <c r="I5659">
        <v>110</v>
      </c>
      <c r="J5659" s="10">
        <v>57.22</v>
      </c>
      <c r="K5659" s="10">
        <f>SUMIFS(F:F,D:D,DST_123_ÜRETİM_İHTİYAÇ_RAPORU_BURAK_YENI1309[[#This Row],[ALT_KOD]])-(SUMIFS(H:H,D:D,DST_123_ÜRETİM_İHTİYAÇ_RAPORU_BURAK_YENI1309[[#This Row],[ALT_KOD]])+AVERAGEIFS(I:I,D:D,DST_123_ÜRETİM_İHTİYAÇ_RAPORU_BURAK_YENI1309[[#This Row],[ALT_KOD]])+AVERAGEIFS(L:L,D:D,DST_123_ÜRETİM_İHTİYAÇ_RAPORU_BURAK_YENI1309[[#This Row],[ALT_KOD]]))</f>
        <v>-78.660000000000025</v>
      </c>
      <c r="L5659">
        <v>0</v>
      </c>
      <c r="M5659">
        <f>IF((DST_123_ÜRETİM_İHTİYAÇ_RAPORU_BURAK_YENI1309[[#This Row],[SATINALMA]]*DST_123_ÜRETİM_İHTİYAÇ_RAPORU_BURAK_YENI1309[[#This Row],[BIRIM_FIYATLAR]])&lt;1,VALUE("0"),DST_123_ÜRETİM_İHTİYAÇ_RAPORU_BURAK_YENI1309[[#This Row],[SATINALMA]]*DST_123_ÜRETİM_İHTİYAÇ_RAPORU_BURAK_YENI1309[[#This Row],[BIRIM_FIYATLAR]])</f>
        <v>0</v>
      </c>
      <c r="N5659">
        <v>40</v>
      </c>
      <c r="O5659" t="s">
        <v>240</v>
      </c>
      <c r="P5659">
        <v>210</v>
      </c>
      <c r="Q5659" t="s">
        <v>180</v>
      </c>
    </row>
    <row r="5660" spans="1:17" x14ac:dyDescent="0.25">
      <c r="A5660" t="s">
        <v>1097</v>
      </c>
      <c r="B5660" t="s">
        <v>1055</v>
      </c>
      <c r="C5660" t="s">
        <v>175</v>
      </c>
      <c r="D5660" t="s">
        <v>238</v>
      </c>
      <c r="E5660" t="s">
        <v>239</v>
      </c>
      <c r="F5660">
        <v>4.07</v>
      </c>
      <c r="G5660" t="s">
        <v>185</v>
      </c>
      <c r="H5660">
        <v>4.07</v>
      </c>
      <c r="I5660">
        <v>110</v>
      </c>
      <c r="J5660" s="10">
        <v>57.22</v>
      </c>
      <c r="K5660" s="10">
        <f>SUMIFS(F:F,D:D,DST_123_ÜRETİM_İHTİYAÇ_RAPORU_BURAK_YENI1309[[#This Row],[ALT_KOD]])-(SUMIFS(H:H,D:D,DST_123_ÜRETİM_İHTİYAÇ_RAPORU_BURAK_YENI1309[[#This Row],[ALT_KOD]])+AVERAGEIFS(I:I,D:D,DST_123_ÜRETİM_İHTİYAÇ_RAPORU_BURAK_YENI1309[[#This Row],[ALT_KOD]])+AVERAGEIFS(L:L,D:D,DST_123_ÜRETİM_İHTİYAÇ_RAPORU_BURAK_YENI1309[[#This Row],[ALT_KOD]]))</f>
        <v>-78.660000000000025</v>
      </c>
      <c r="L5660">
        <v>0</v>
      </c>
      <c r="M5660">
        <f>IF((DST_123_ÜRETİM_İHTİYAÇ_RAPORU_BURAK_YENI1309[[#This Row],[SATINALMA]]*DST_123_ÜRETİM_İHTİYAÇ_RAPORU_BURAK_YENI1309[[#This Row],[BIRIM_FIYATLAR]])&lt;1,VALUE("0"),DST_123_ÜRETİM_İHTİYAÇ_RAPORU_BURAK_YENI1309[[#This Row],[SATINALMA]]*DST_123_ÜRETİM_İHTİYAÇ_RAPORU_BURAK_YENI1309[[#This Row],[BIRIM_FIYATLAR]])</f>
        <v>0</v>
      </c>
      <c r="N5660">
        <v>40</v>
      </c>
      <c r="O5660" t="s">
        <v>240</v>
      </c>
      <c r="P5660">
        <v>162.80000000000001</v>
      </c>
      <c r="Q5660" t="s">
        <v>180</v>
      </c>
    </row>
    <row r="5661" spans="1:17" x14ac:dyDescent="0.25">
      <c r="A5661" t="s">
        <v>1057</v>
      </c>
      <c r="B5661" t="s">
        <v>1058</v>
      </c>
      <c r="C5661" t="s">
        <v>175</v>
      </c>
      <c r="D5661" t="s">
        <v>446</v>
      </c>
      <c r="E5661" t="s">
        <v>447</v>
      </c>
      <c r="F5661">
        <v>1</v>
      </c>
      <c r="G5661" t="s">
        <v>176</v>
      </c>
      <c r="H5661">
        <v>1</v>
      </c>
      <c r="I5661">
        <v>13</v>
      </c>
      <c r="J5661" s="10">
        <v>13</v>
      </c>
      <c r="K5661" s="10">
        <f>SUMIFS(F:F,D:D,DST_123_ÜRETİM_İHTİYAÇ_RAPORU_BURAK_YENI1309[[#This Row],[ALT_KOD]])-(SUMIFS(H:H,D:D,DST_123_ÜRETİM_İHTİYAÇ_RAPORU_BURAK_YENI1309[[#This Row],[ALT_KOD]])+AVERAGEIFS(I:I,D:D,DST_123_ÜRETİM_İHTİYAÇ_RAPORU_BURAK_YENI1309[[#This Row],[ALT_KOD]])+AVERAGEIFS(L:L,D:D,DST_123_ÜRETİM_İHTİYAÇ_RAPORU_BURAK_YENI1309[[#This Row],[ALT_KOD]]))</f>
        <v>-1</v>
      </c>
      <c r="L5661">
        <v>0</v>
      </c>
      <c r="M5661">
        <f>IF((DST_123_ÜRETİM_İHTİYAÇ_RAPORU_BURAK_YENI1309[[#This Row],[SATINALMA]]*DST_123_ÜRETİM_İHTİYAÇ_RAPORU_BURAK_YENI1309[[#This Row],[BIRIM_FIYATLAR]])&lt;1,VALUE("0"),DST_123_ÜRETİM_İHTİYAÇ_RAPORU_BURAK_YENI1309[[#This Row],[SATINALMA]]*DST_123_ÜRETİM_İHTİYAÇ_RAPORU_BURAK_YENI1309[[#This Row],[BIRIM_FIYATLAR]])</f>
        <v>0</v>
      </c>
      <c r="N5661">
        <v>237.5</v>
      </c>
      <c r="O5661" t="s">
        <v>628</v>
      </c>
      <c r="P5661">
        <v>237.5</v>
      </c>
      <c r="Q5661" t="s">
        <v>180</v>
      </c>
    </row>
    <row r="5662" spans="1:17" x14ac:dyDescent="0.25">
      <c r="A5662" t="s">
        <v>1059</v>
      </c>
      <c r="B5662" t="s">
        <v>1058</v>
      </c>
      <c r="C5662" t="s">
        <v>175</v>
      </c>
      <c r="D5662" t="s">
        <v>446</v>
      </c>
      <c r="E5662" t="s">
        <v>447</v>
      </c>
      <c r="F5662">
        <v>1</v>
      </c>
      <c r="G5662" t="s">
        <v>176</v>
      </c>
      <c r="H5662">
        <v>1</v>
      </c>
      <c r="I5662">
        <v>13</v>
      </c>
      <c r="J5662" s="10">
        <v>13</v>
      </c>
      <c r="K5662" s="10">
        <f>SUMIFS(F:F,D:D,DST_123_ÜRETİM_İHTİYAÇ_RAPORU_BURAK_YENI1309[[#This Row],[ALT_KOD]])-(SUMIFS(H:H,D:D,DST_123_ÜRETİM_İHTİYAÇ_RAPORU_BURAK_YENI1309[[#This Row],[ALT_KOD]])+AVERAGEIFS(I:I,D:D,DST_123_ÜRETİM_İHTİYAÇ_RAPORU_BURAK_YENI1309[[#This Row],[ALT_KOD]])+AVERAGEIFS(L:L,D:D,DST_123_ÜRETİM_İHTİYAÇ_RAPORU_BURAK_YENI1309[[#This Row],[ALT_KOD]]))</f>
        <v>-1</v>
      </c>
      <c r="L5662">
        <v>0</v>
      </c>
      <c r="M5662">
        <f>IF((DST_123_ÜRETİM_İHTİYAÇ_RAPORU_BURAK_YENI1309[[#This Row],[SATINALMA]]*DST_123_ÜRETİM_İHTİYAÇ_RAPORU_BURAK_YENI1309[[#This Row],[BIRIM_FIYATLAR]])&lt;1,VALUE("0"),DST_123_ÜRETİM_İHTİYAÇ_RAPORU_BURAK_YENI1309[[#This Row],[SATINALMA]]*DST_123_ÜRETİM_İHTİYAÇ_RAPORU_BURAK_YENI1309[[#This Row],[BIRIM_FIYATLAR]])</f>
        <v>0</v>
      </c>
      <c r="N5662">
        <v>237.5</v>
      </c>
      <c r="O5662" t="s">
        <v>628</v>
      </c>
      <c r="P5662">
        <v>237.5</v>
      </c>
      <c r="Q5662" t="s">
        <v>180</v>
      </c>
    </row>
    <row r="5663" spans="1:17" x14ac:dyDescent="0.25">
      <c r="A5663" t="s">
        <v>1097</v>
      </c>
      <c r="B5663" t="s">
        <v>1055</v>
      </c>
      <c r="C5663" t="s">
        <v>175</v>
      </c>
      <c r="D5663" t="s">
        <v>446</v>
      </c>
      <c r="E5663" t="s">
        <v>447</v>
      </c>
      <c r="F5663">
        <v>2</v>
      </c>
      <c r="G5663" t="s">
        <v>176</v>
      </c>
      <c r="H5663">
        <v>2</v>
      </c>
      <c r="I5663">
        <v>13</v>
      </c>
      <c r="J5663" s="10">
        <v>13</v>
      </c>
      <c r="K5663" s="10">
        <f>SUMIFS(F:F,D:D,DST_123_ÜRETİM_İHTİYAÇ_RAPORU_BURAK_YENI1309[[#This Row],[ALT_KOD]])-(SUMIFS(H:H,D:D,DST_123_ÜRETİM_İHTİYAÇ_RAPORU_BURAK_YENI1309[[#This Row],[ALT_KOD]])+AVERAGEIFS(I:I,D:D,DST_123_ÜRETİM_İHTİYAÇ_RAPORU_BURAK_YENI1309[[#This Row],[ALT_KOD]])+AVERAGEIFS(L:L,D:D,DST_123_ÜRETİM_İHTİYAÇ_RAPORU_BURAK_YENI1309[[#This Row],[ALT_KOD]]))</f>
        <v>-1</v>
      </c>
      <c r="L5663">
        <v>0</v>
      </c>
      <c r="M5663">
        <f>IF((DST_123_ÜRETİM_İHTİYAÇ_RAPORU_BURAK_YENI1309[[#This Row],[SATINALMA]]*DST_123_ÜRETİM_İHTİYAÇ_RAPORU_BURAK_YENI1309[[#This Row],[BIRIM_FIYATLAR]])&lt;1,VALUE("0"),DST_123_ÜRETİM_İHTİYAÇ_RAPORU_BURAK_YENI1309[[#This Row],[SATINALMA]]*DST_123_ÜRETİM_İHTİYAÇ_RAPORU_BURAK_YENI1309[[#This Row],[BIRIM_FIYATLAR]])</f>
        <v>0</v>
      </c>
      <c r="N5663">
        <v>237.5</v>
      </c>
      <c r="O5663" t="s">
        <v>628</v>
      </c>
      <c r="P5663">
        <v>475</v>
      </c>
      <c r="Q5663" t="s">
        <v>180</v>
      </c>
    </row>
    <row r="5664" spans="1:17" x14ac:dyDescent="0.25">
      <c r="A5664" t="s">
        <v>1149</v>
      </c>
      <c r="B5664" t="s">
        <v>1145</v>
      </c>
      <c r="C5664" t="s">
        <v>175</v>
      </c>
      <c r="D5664" t="s">
        <v>32</v>
      </c>
      <c r="E5664" t="s">
        <v>33</v>
      </c>
      <c r="F5664">
        <v>1</v>
      </c>
      <c r="G5664" t="s">
        <v>176</v>
      </c>
      <c r="H5664">
        <v>0</v>
      </c>
      <c r="I5664">
        <v>0</v>
      </c>
      <c r="J5664" s="10">
        <v>16</v>
      </c>
      <c r="K5664" s="10">
        <f>SUMIFS(F:F,D:D,DST_123_ÜRETİM_İHTİYAÇ_RAPORU_BURAK_YENI1309[[#This Row],[ALT_KOD]])-(SUMIFS(H:H,D:D,DST_123_ÜRETİM_İHTİYAÇ_RAPORU_BURAK_YENI1309[[#This Row],[ALT_KOD]])+AVERAGEIFS(I:I,D:D,DST_123_ÜRETİM_İHTİYAÇ_RAPORU_BURAK_YENI1309[[#This Row],[ALT_KOD]])+AVERAGEIFS(L:L,D:D,DST_123_ÜRETİM_İHTİYAÇ_RAPORU_BURAK_YENI1309[[#This Row],[ALT_KOD]]))</f>
        <v>4</v>
      </c>
      <c r="L5664">
        <v>20</v>
      </c>
      <c r="M5664">
        <f>IF((DST_123_ÜRETİM_İHTİYAÇ_RAPORU_BURAK_YENI1309[[#This Row],[SATINALMA]]*DST_123_ÜRETİM_İHTİYAÇ_RAPORU_BURAK_YENI1309[[#This Row],[BIRIM_FIYATLAR]])&lt;1,VALUE("0"),DST_123_ÜRETİM_İHTİYAÇ_RAPORU_BURAK_YENI1309[[#This Row],[SATINALMA]]*DST_123_ÜRETİM_İHTİYAÇ_RAPORU_BURAK_YENI1309[[#This Row],[BIRIM_FIYATLAR]])</f>
        <v>10905.68</v>
      </c>
      <c r="N5664">
        <v>2726.42</v>
      </c>
      <c r="O5664" t="s">
        <v>1222</v>
      </c>
      <c r="P5664">
        <v>2726.42</v>
      </c>
      <c r="Q5664" t="s">
        <v>184</v>
      </c>
    </row>
    <row r="5665" spans="1:17" x14ac:dyDescent="0.25">
      <c r="A5665" t="s">
        <v>1097</v>
      </c>
      <c r="B5665" t="s">
        <v>1055</v>
      </c>
      <c r="C5665" t="s">
        <v>175</v>
      </c>
      <c r="D5665" t="s">
        <v>601</v>
      </c>
      <c r="E5665" t="s">
        <v>602</v>
      </c>
      <c r="F5665">
        <v>2</v>
      </c>
      <c r="G5665" t="s">
        <v>176</v>
      </c>
      <c r="H5665">
        <v>2</v>
      </c>
      <c r="I5665">
        <v>24</v>
      </c>
      <c r="J5665" s="10">
        <v>10</v>
      </c>
      <c r="K5665" s="10">
        <f>SUMIFS(F:F,D:D,DST_123_ÜRETİM_İHTİYAÇ_RAPORU_BURAK_YENI1309[[#This Row],[ALT_KOD]])-(SUMIFS(H:H,D:D,DST_123_ÜRETİM_İHTİYAÇ_RAPORU_BURAK_YENI1309[[#This Row],[ALT_KOD]])+AVERAGEIFS(I:I,D:D,DST_123_ÜRETİM_İHTİYAÇ_RAPORU_BURAK_YENI1309[[#This Row],[ALT_KOD]])+AVERAGEIFS(L:L,D:D,DST_123_ÜRETİM_İHTİYAÇ_RAPORU_BURAK_YENI1309[[#This Row],[ALT_KOD]]))</f>
        <v>-8</v>
      </c>
      <c r="L5665">
        <v>0</v>
      </c>
      <c r="M5665">
        <f>IF((DST_123_ÜRETİM_İHTİYAÇ_RAPORU_BURAK_YENI1309[[#This Row],[SATINALMA]]*DST_123_ÜRETİM_İHTİYAÇ_RAPORU_BURAK_YENI1309[[#This Row],[BIRIM_FIYATLAR]])&lt;1,VALUE("0"),DST_123_ÜRETİM_İHTİYAÇ_RAPORU_BURAK_YENI1309[[#This Row],[SATINALMA]]*DST_123_ÜRETİM_İHTİYAÇ_RAPORU_BURAK_YENI1309[[#This Row],[BIRIM_FIYATLAR]])</f>
        <v>0</v>
      </c>
      <c r="N5665">
        <v>50.43</v>
      </c>
      <c r="O5665" t="s">
        <v>636</v>
      </c>
      <c r="P5665">
        <v>100.86</v>
      </c>
      <c r="Q5665" t="s">
        <v>177</v>
      </c>
    </row>
    <row r="5666" spans="1:17" x14ac:dyDescent="0.25">
      <c r="A5666" t="s">
        <v>1097</v>
      </c>
      <c r="B5666" t="s">
        <v>1055</v>
      </c>
      <c r="C5666" t="s">
        <v>175</v>
      </c>
      <c r="D5666" t="s">
        <v>1080</v>
      </c>
      <c r="E5666" t="s">
        <v>1081</v>
      </c>
      <c r="F5666">
        <v>1</v>
      </c>
      <c r="G5666" t="s">
        <v>176</v>
      </c>
      <c r="H5666">
        <v>1</v>
      </c>
      <c r="I5666">
        <v>1</v>
      </c>
      <c r="J5666" s="10">
        <v>2</v>
      </c>
      <c r="K5666" s="10">
        <f>SUMIFS(F:F,D:D,DST_123_ÜRETİM_İHTİYAÇ_RAPORU_BURAK_YENI1309[[#This Row],[ALT_KOD]])-(SUMIFS(H:H,D:D,DST_123_ÜRETİM_İHTİYAÇ_RAPORU_BURAK_YENI1309[[#This Row],[ALT_KOD]])+AVERAGEIFS(I:I,D:D,DST_123_ÜRETİM_İHTİYAÇ_RAPORU_BURAK_YENI1309[[#This Row],[ALT_KOD]])+AVERAGEIFS(L:L,D:D,DST_123_ÜRETİM_İHTİYAÇ_RAPORU_BURAK_YENI1309[[#This Row],[ALT_KOD]]))</f>
        <v>-1</v>
      </c>
      <c r="L5666">
        <v>0</v>
      </c>
      <c r="M5666">
        <f>IF((DST_123_ÜRETİM_İHTİYAÇ_RAPORU_BURAK_YENI1309[[#This Row],[SATINALMA]]*DST_123_ÜRETİM_İHTİYAÇ_RAPORU_BURAK_YENI1309[[#This Row],[BIRIM_FIYATLAR]])&lt;1,VALUE("0"),DST_123_ÜRETİM_İHTİYAÇ_RAPORU_BURAK_YENI1309[[#This Row],[SATINALMA]]*DST_123_ÜRETİM_İHTİYAÇ_RAPORU_BURAK_YENI1309[[#This Row],[BIRIM_FIYATLAR]])</f>
        <v>0</v>
      </c>
      <c r="N5666">
        <v>1050</v>
      </c>
      <c r="O5666" t="s">
        <v>289</v>
      </c>
      <c r="P5666">
        <v>1050</v>
      </c>
      <c r="Q5666" t="s">
        <v>178</v>
      </c>
    </row>
    <row r="5667" spans="1:17" x14ac:dyDescent="0.25">
      <c r="A5667" t="s">
        <v>1057</v>
      </c>
      <c r="B5667" t="s">
        <v>1058</v>
      </c>
      <c r="C5667" t="s">
        <v>175</v>
      </c>
      <c r="D5667" t="s">
        <v>36</v>
      </c>
      <c r="E5667" t="s">
        <v>37</v>
      </c>
      <c r="F5667">
        <v>3</v>
      </c>
      <c r="G5667" t="s">
        <v>176</v>
      </c>
      <c r="H5667">
        <v>3</v>
      </c>
      <c r="I5667">
        <v>29</v>
      </c>
      <c r="J5667" s="10">
        <v>30</v>
      </c>
      <c r="K5667" s="10">
        <f>SUMIFS(F:F,D:D,DST_123_ÜRETİM_İHTİYAÇ_RAPORU_BURAK_YENI1309[[#This Row],[ALT_KOD]])-(SUMIFS(H:H,D:D,DST_123_ÜRETİM_İHTİYAÇ_RAPORU_BURAK_YENI1309[[#This Row],[ALT_KOD]])+AVERAGEIFS(I:I,D:D,DST_123_ÜRETİM_İHTİYAÇ_RAPORU_BURAK_YENI1309[[#This Row],[ALT_KOD]])+AVERAGEIFS(L:L,D:D,DST_123_ÜRETİM_İHTİYAÇ_RAPORU_BURAK_YENI1309[[#This Row],[ALT_KOD]]))</f>
        <v>10</v>
      </c>
      <c r="L5667">
        <v>0</v>
      </c>
      <c r="M5667">
        <f>IF((DST_123_ÜRETİM_İHTİYAÇ_RAPORU_BURAK_YENI1309[[#This Row],[SATINALMA]]*DST_123_ÜRETİM_İHTİYAÇ_RAPORU_BURAK_YENI1309[[#This Row],[BIRIM_FIYATLAR]])&lt;1,VALUE("0"),DST_123_ÜRETİM_İHTİYAÇ_RAPORU_BURAK_YENI1309[[#This Row],[SATINALMA]]*DST_123_ÜRETİM_İHTİYAÇ_RAPORU_BURAK_YENI1309[[#This Row],[BIRIM_FIYATLAR]])</f>
        <v>17500</v>
      </c>
      <c r="N5667">
        <v>1750</v>
      </c>
      <c r="O5667" t="s">
        <v>1220</v>
      </c>
      <c r="P5667">
        <v>5250</v>
      </c>
      <c r="Q5667" t="s">
        <v>221</v>
      </c>
    </row>
    <row r="5668" spans="1:17" x14ac:dyDescent="0.25">
      <c r="A5668" t="s">
        <v>1060</v>
      </c>
      <c r="B5668" t="s">
        <v>1061</v>
      </c>
      <c r="C5668" t="s">
        <v>175</v>
      </c>
      <c r="D5668" t="s">
        <v>520</v>
      </c>
      <c r="E5668" t="s">
        <v>521</v>
      </c>
      <c r="F5668">
        <v>5</v>
      </c>
      <c r="G5668" t="s">
        <v>176</v>
      </c>
      <c r="H5668">
        <v>5</v>
      </c>
      <c r="I5668">
        <v>200</v>
      </c>
      <c r="J5668" s="10">
        <v>70</v>
      </c>
      <c r="K5668" s="10">
        <f>SUMIFS(F:F,D:D,DST_123_ÜRETİM_İHTİYAÇ_RAPORU_BURAK_YENI1309[[#This Row],[ALT_KOD]])-(SUMIFS(H:H,D:D,DST_123_ÜRETİM_İHTİYAÇ_RAPORU_BURAK_YENI1309[[#This Row],[ALT_KOD]])+AVERAGEIFS(I:I,D:D,DST_123_ÜRETİM_İHTİYAÇ_RAPORU_BURAK_YENI1309[[#This Row],[ALT_KOD]])+AVERAGEIFS(L:L,D:D,DST_123_ÜRETİM_İHTİYAÇ_RAPORU_BURAK_YENI1309[[#This Row],[ALT_KOD]]))</f>
        <v>-165</v>
      </c>
      <c r="L5668">
        <v>0</v>
      </c>
      <c r="M5668">
        <f>IF((DST_123_ÜRETİM_İHTİYAÇ_RAPORU_BURAK_YENI1309[[#This Row],[SATINALMA]]*DST_123_ÜRETİM_İHTİYAÇ_RAPORU_BURAK_YENI1309[[#This Row],[BIRIM_FIYATLAR]])&lt;1,VALUE("0"),DST_123_ÜRETİM_İHTİYAÇ_RAPORU_BURAK_YENI1309[[#This Row],[SATINALMA]]*DST_123_ÜRETİM_İHTİYAÇ_RAPORU_BURAK_YENI1309[[#This Row],[BIRIM_FIYATLAR]])</f>
        <v>0</v>
      </c>
      <c r="N5668">
        <v>10</v>
      </c>
      <c r="O5668" t="s">
        <v>226</v>
      </c>
      <c r="P5668">
        <v>50</v>
      </c>
      <c r="Q5668" t="s">
        <v>180</v>
      </c>
    </row>
    <row r="5669" spans="1:17" x14ac:dyDescent="0.25">
      <c r="A5669" t="s">
        <v>1057</v>
      </c>
      <c r="B5669" t="s">
        <v>1058</v>
      </c>
      <c r="C5669" t="s">
        <v>175</v>
      </c>
      <c r="D5669" t="s">
        <v>15</v>
      </c>
      <c r="E5669" t="s">
        <v>16</v>
      </c>
      <c r="F5669">
        <v>1</v>
      </c>
      <c r="G5669" t="s">
        <v>176</v>
      </c>
      <c r="H5669">
        <v>1</v>
      </c>
      <c r="I5669">
        <v>7</v>
      </c>
      <c r="J5669" s="10">
        <v>10</v>
      </c>
      <c r="K5669" s="10">
        <f>SUMIFS(F:F,D:D,DST_123_ÜRETİM_İHTİYAÇ_RAPORU_BURAK_YENI1309[[#This Row],[ALT_KOD]])-(SUMIFS(H:H,D:D,DST_123_ÜRETİM_İHTİYAÇ_RAPORU_BURAK_YENI1309[[#This Row],[ALT_KOD]])+AVERAGEIFS(I:I,D:D,DST_123_ÜRETİM_İHTİYAÇ_RAPORU_BURAK_YENI1309[[#This Row],[ALT_KOD]])+AVERAGEIFS(L:L,D:D,DST_123_ÜRETİM_İHTİYAÇ_RAPORU_BURAK_YENI1309[[#This Row],[ALT_KOD]]))</f>
        <v>6</v>
      </c>
      <c r="L5669">
        <v>0</v>
      </c>
      <c r="M5669">
        <f>IF((DST_123_ÜRETİM_İHTİYAÇ_RAPORU_BURAK_YENI1309[[#This Row],[SATINALMA]]*DST_123_ÜRETİM_İHTİYAÇ_RAPORU_BURAK_YENI1309[[#This Row],[BIRIM_FIYATLAR]])&lt;1,VALUE("0"),DST_123_ÜRETİM_İHTİYAÇ_RAPORU_BURAK_YENI1309[[#This Row],[SATINALMA]]*DST_123_ÜRETİM_İHTİYAÇ_RAPORU_BURAK_YENI1309[[#This Row],[BIRIM_FIYATLAR]])</f>
        <v>20303.939999999999</v>
      </c>
      <c r="N5669">
        <v>3383.99</v>
      </c>
      <c r="O5669" t="s">
        <v>215</v>
      </c>
      <c r="P5669">
        <v>3383.99</v>
      </c>
      <c r="Q5669" t="s">
        <v>221</v>
      </c>
    </row>
    <row r="5670" spans="1:17" x14ac:dyDescent="0.25">
      <c r="A5670" t="s">
        <v>1057</v>
      </c>
      <c r="B5670" t="s">
        <v>1058</v>
      </c>
      <c r="C5670" t="s">
        <v>175</v>
      </c>
      <c r="D5670" t="s">
        <v>518</v>
      </c>
      <c r="E5670" t="s">
        <v>519</v>
      </c>
      <c r="F5670">
        <v>3</v>
      </c>
      <c r="G5670" t="s">
        <v>176</v>
      </c>
      <c r="H5670">
        <v>0</v>
      </c>
      <c r="I5670">
        <v>101</v>
      </c>
      <c r="J5670" s="10">
        <v>10.000000000000057</v>
      </c>
      <c r="K5670" s="10">
        <f>SUMIFS(F:F,D:D,DST_123_ÜRETİM_İHTİYAÇ_RAPORU_BURAK_YENI1309[[#This Row],[ALT_KOD]])-(SUMIFS(H:H,D:D,DST_123_ÜRETİM_İHTİYAÇ_RAPORU_BURAK_YENI1309[[#This Row],[ALT_KOD]])+AVERAGEIFS(I:I,D:D,DST_123_ÜRETİM_İHTİYAÇ_RAPORU_BURAK_YENI1309[[#This Row],[ALT_KOD]])+AVERAGEIFS(L:L,D:D,DST_123_ÜRETİM_İHTİYAÇ_RAPORU_BURAK_YENI1309[[#This Row],[ALT_KOD]]))</f>
        <v>-42.539999999999992</v>
      </c>
      <c r="L5670">
        <v>0</v>
      </c>
      <c r="M5670">
        <f>IF((DST_123_ÜRETİM_İHTİYAÇ_RAPORU_BURAK_YENI1309[[#This Row],[SATINALMA]]*DST_123_ÜRETİM_İHTİYAÇ_RAPORU_BURAK_YENI1309[[#This Row],[BIRIM_FIYATLAR]])&lt;1,VALUE("0"),DST_123_ÜRETİM_İHTİYAÇ_RAPORU_BURAK_YENI1309[[#This Row],[SATINALMA]]*DST_123_ÜRETİM_İHTİYAÇ_RAPORU_BURAK_YENI1309[[#This Row],[BIRIM_FIYATLAR]])</f>
        <v>0</v>
      </c>
      <c r="N5670">
        <v>36</v>
      </c>
      <c r="O5670" t="s">
        <v>240</v>
      </c>
      <c r="P5670">
        <v>108</v>
      </c>
      <c r="Q5670" t="s">
        <v>180</v>
      </c>
    </row>
    <row r="5671" spans="1:17" x14ac:dyDescent="0.25">
      <c r="A5671" t="s">
        <v>1060</v>
      </c>
      <c r="B5671" t="s">
        <v>1061</v>
      </c>
      <c r="C5671" t="s">
        <v>175</v>
      </c>
      <c r="D5671" t="s">
        <v>673</v>
      </c>
      <c r="E5671" t="s">
        <v>674</v>
      </c>
      <c r="F5671">
        <v>6</v>
      </c>
      <c r="G5671" t="s">
        <v>176</v>
      </c>
      <c r="H5671">
        <v>0</v>
      </c>
      <c r="I5671">
        <v>150</v>
      </c>
      <c r="J5671" s="10">
        <v>78</v>
      </c>
      <c r="K5671" s="10">
        <f>SUMIFS(F:F,D:D,DST_123_ÜRETİM_İHTİYAÇ_RAPORU_BURAK_YENI1309[[#This Row],[ALT_KOD]])-(SUMIFS(H:H,D:D,DST_123_ÜRETİM_İHTİYAÇ_RAPORU_BURAK_YENI1309[[#This Row],[ALT_KOD]])+AVERAGEIFS(I:I,D:D,DST_123_ÜRETİM_İHTİYAÇ_RAPORU_BURAK_YENI1309[[#This Row],[ALT_KOD]])+AVERAGEIFS(L:L,D:D,DST_123_ÜRETİM_İHTİYAÇ_RAPORU_BURAK_YENI1309[[#This Row],[ALT_KOD]]))</f>
        <v>-48</v>
      </c>
      <c r="L5671">
        <v>0</v>
      </c>
      <c r="M5671">
        <f>IF((DST_123_ÜRETİM_İHTİYAÇ_RAPORU_BURAK_YENI1309[[#This Row],[SATINALMA]]*DST_123_ÜRETİM_İHTİYAÇ_RAPORU_BURAK_YENI1309[[#This Row],[BIRIM_FIYATLAR]])&lt;1,VALUE("0"),DST_123_ÜRETİM_İHTİYAÇ_RAPORU_BURAK_YENI1309[[#This Row],[SATINALMA]]*DST_123_ÜRETİM_İHTİYAÇ_RAPORU_BURAK_YENI1309[[#This Row],[BIRIM_FIYATLAR]])</f>
        <v>0</v>
      </c>
      <c r="N5671">
        <v>20.83</v>
      </c>
      <c r="O5671" t="s">
        <v>226</v>
      </c>
      <c r="P5671">
        <v>124.97999999999999</v>
      </c>
      <c r="Q5671" t="s">
        <v>180</v>
      </c>
    </row>
    <row r="5672" spans="1:17" x14ac:dyDescent="0.25">
      <c r="A5672" t="s">
        <v>1101</v>
      </c>
      <c r="B5672" t="s">
        <v>1102</v>
      </c>
      <c r="C5672" t="s">
        <v>175</v>
      </c>
      <c r="D5672" t="s">
        <v>402</v>
      </c>
      <c r="E5672" t="s">
        <v>403</v>
      </c>
      <c r="F5672">
        <v>2</v>
      </c>
      <c r="G5672" t="s">
        <v>176</v>
      </c>
      <c r="H5672">
        <v>2</v>
      </c>
      <c r="I5672">
        <v>24</v>
      </c>
      <c r="J5672" s="10">
        <v>14</v>
      </c>
      <c r="K5672" s="10">
        <f>SUMIFS(F:F,D:D,DST_123_ÜRETİM_İHTİYAÇ_RAPORU_BURAK_YENI1309[[#This Row],[ALT_KOD]])-(SUMIFS(H:H,D:D,DST_123_ÜRETİM_İHTİYAÇ_RAPORU_BURAK_YENI1309[[#This Row],[ALT_KOD]])+AVERAGEIFS(I:I,D:D,DST_123_ÜRETİM_İHTİYAÇ_RAPORU_BURAK_YENI1309[[#This Row],[ALT_KOD]])+AVERAGEIFS(L:L,D:D,DST_123_ÜRETİM_İHTİYAÇ_RAPORU_BURAK_YENI1309[[#This Row],[ALT_KOD]]))</f>
        <v>-15</v>
      </c>
      <c r="L5672">
        <v>0</v>
      </c>
      <c r="M5672">
        <f>IF((DST_123_ÜRETİM_İHTİYAÇ_RAPORU_BURAK_YENI1309[[#This Row],[SATINALMA]]*DST_123_ÜRETİM_İHTİYAÇ_RAPORU_BURAK_YENI1309[[#This Row],[BIRIM_FIYATLAR]])&lt;1,VALUE("0"),DST_123_ÜRETİM_İHTİYAÇ_RAPORU_BURAK_YENI1309[[#This Row],[SATINALMA]]*DST_123_ÜRETİM_İHTİYAÇ_RAPORU_BURAK_YENI1309[[#This Row],[BIRIM_FIYATLAR]])</f>
        <v>0</v>
      </c>
      <c r="N5672">
        <v>15</v>
      </c>
      <c r="O5672" t="s">
        <v>220</v>
      </c>
      <c r="P5672">
        <v>30</v>
      </c>
      <c r="Q5672" t="s">
        <v>221</v>
      </c>
    </row>
    <row r="5673" spans="1:17" x14ac:dyDescent="0.25">
      <c r="A5673" t="s">
        <v>1059</v>
      </c>
      <c r="B5673" t="s">
        <v>1058</v>
      </c>
      <c r="C5673" t="s">
        <v>175</v>
      </c>
      <c r="D5673" t="s">
        <v>15</v>
      </c>
      <c r="E5673" t="s">
        <v>16</v>
      </c>
      <c r="F5673">
        <v>1</v>
      </c>
      <c r="G5673" t="s">
        <v>176</v>
      </c>
      <c r="H5673">
        <v>1</v>
      </c>
      <c r="I5673">
        <v>7</v>
      </c>
      <c r="J5673" s="10">
        <v>10</v>
      </c>
      <c r="K5673" s="10">
        <f>SUMIFS(F:F,D:D,DST_123_ÜRETİM_İHTİYAÇ_RAPORU_BURAK_YENI1309[[#This Row],[ALT_KOD]])-(SUMIFS(H:H,D:D,DST_123_ÜRETİM_İHTİYAÇ_RAPORU_BURAK_YENI1309[[#This Row],[ALT_KOD]])+AVERAGEIFS(I:I,D:D,DST_123_ÜRETİM_İHTİYAÇ_RAPORU_BURAK_YENI1309[[#This Row],[ALT_KOD]])+AVERAGEIFS(L:L,D:D,DST_123_ÜRETİM_İHTİYAÇ_RAPORU_BURAK_YENI1309[[#This Row],[ALT_KOD]]))</f>
        <v>6</v>
      </c>
      <c r="L5673">
        <v>0</v>
      </c>
      <c r="M5673">
        <f>IF((DST_123_ÜRETİM_İHTİYAÇ_RAPORU_BURAK_YENI1309[[#This Row],[SATINALMA]]*DST_123_ÜRETİM_İHTİYAÇ_RAPORU_BURAK_YENI1309[[#This Row],[BIRIM_FIYATLAR]])&lt;1,VALUE("0"),DST_123_ÜRETİM_İHTİYAÇ_RAPORU_BURAK_YENI1309[[#This Row],[SATINALMA]]*DST_123_ÜRETİM_İHTİYAÇ_RAPORU_BURAK_YENI1309[[#This Row],[BIRIM_FIYATLAR]])</f>
        <v>20303.939999999999</v>
      </c>
      <c r="N5673">
        <v>3383.99</v>
      </c>
      <c r="O5673" t="s">
        <v>215</v>
      </c>
      <c r="P5673">
        <v>3383.99</v>
      </c>
      <c r="Q5673" t="s">
        <v>221</v>
      </c>
    </row>
    <row r="5674" spans="1:17" x14ac:dyDescent="0.25">
      <c r="A5674" t="s">
        <v>1101</v>
      </c>
      <c r="B5674" t="s">
        <v>1102</v>
      </c>
      <c r="C5674" t="s">
        <v>175</v>
      </c>
      <c r="D5674" t="s">
        <v>1090</v>
      </c>
      <c r="E5674" t="s">
        <v>1091</v>
      </c>
      <c r="F5674">
        <v>1</v>
      </c>
      <c r="G5674" t="s">
        <v>176</v>
      </c>
      <c r="H5674">
        <v>1</v>
      </c>
      <c r="I5674">
        <v>1</v>
      </c>
      <c r="J5674" s="10">
        <v>5</v>
      </c>
      <c r="K5674" s="10">
        <f>SUMIFS(F:F,D:D,DST_123_ÜRETİM_İHTİYAÇ_RAPORU_BURAK_YENI1309[[#This Row],[ALT_KOD]])-(SUMIFS(H:H,D:D,DST_123_ÜRETİM_İHTİYAÇ_RAPORU_BURAK_YENI1309[[#This Row],[ALT_KOD]])+AVERAGEIFS(I:I,D:D,DST_123_ÜRETİM_İHTİYAÇ_RAPORU_BURAK_YENI1309[[#This Row],[ALT_KOD]])+AVERAGEIFS(L:L,D:D,DST_123_ÜRETİM_İHTİYAÇ_RAPORU_BURAK_YENI1309[[#This Row],[ALT_KOD]]))</f>
        <v>0</v>
      </c>
      <c r="L5674">
        <v>0</v>
      </c>
      <c r="M5674">
        <f>IF((DST_123_ÜRETİM_İHTİYAÇ_RAPORU_BURAK_YENI1309[[#This Row],[SATINALMA]]*DST_123_ÜRETİM_İHTİYAÇ_RAPORU_BURAK_YENI1309[[#This Row],[BIRIM_FIYATLAR]])&lt;1,VALUE("0"),DST_123_ÜRETİM_İHTİYAÇ_RAPORU_BURAK_YENI1309[[#This Row],[SATINALMA]]*DST_123_ÜRETİM_İHTİYAÇ_RAPORU_BURAK_YENI1309[[#This Row],[BIRIM_FIYATLAR]])</f>
        <v>0</v>
      </c>
      <c r="N5674">
        <v>3500</v>
      </c>
      <c r="O5674" t="s">
        <v>1092</v>
      </c>
      <c r="P5674">
        <v>3500</v>
      </c>
      <c r="Q5674" t="s">
        <v>221</v>
      </c>
    </row>
    <row r="5675" spans="1:17" x14ac:dyDescent="0.25">
      <c r="A5675" t="s">
        <v>1064</v>
      </c>
      <c r="B5675" t="s">
        <v>1055</v>
      </c>
      <c r="C5675" t="s">
        <v>175</v>
      </c>
      <c r="D5675" t="s">
        <v>662</v>
      </c>
      <c r="E5675" t="s">
        <v>663</v>
      </c>
      <c r="F5675">
        <v>18</v>
      </c>
      <c r="G5675" t="s">
        <v>185</v>
      </c>
      <c r="H5675">
        <v>0</v>
      </c>
      <c r="I5675">
        <v>0</v>
      </c>
      <c r="J5675" s="10">
        <v>205.05</v>
      </c>
      <c r="K5675" s="10">
        <f>SUMIFS(F:F,D:D,DST_123_ÜRETİM_İHTİYAÇ_RAPORU_BURAK_YENI1309[[#This Row],[ALT_KOD]])-(SUMIFS(H:H,D:D,DST_123_ÜRETİM_İHTİYAÇ_RAPORU_BURAK_YENI1309[[#This Row],[ALT_KOD]])+AVERAGEIFS(I:I,D:D,DST_123_ÜRETİM_İHTİYAÇ_RAPORU_BURAK_YENI1309[[#This Row],[ALT_KOD]])+AVERAGEIFS(L:L,D:D,DST_123_ÜRETİM_İHTİYAÇ_RAPORU_BURAK_YENI1309[[#This Row],[ALT_KOD]]))</f>
        <v>100</v>
      </c>
      <c r="L5675">
        <v>0</v>
      </c>
      <c r="M5675">
        <f>IF((DST_123_ÜRETİM_İHTİYAÇ_RAPORU_BURAK_YENI1309[[#This Row],[SATINALMA]]*DST_123_ÜRETİM_İHTİYAÇ_RAPORU_BURAK_YENI1309[[#This Row],[BIRIM_FIYATLAR]])&lt;1,VALUE("0"),DST_123_ÜRETİM_İHTİYAÇ_RAPORU_BURAK_YENI1309[[#This Row],[SATINALMA]]*DST_123_ÜRETİM_İHTİYAÇ_RAPORU_BURAK_YENI1309[[#This Row],[BIRIM_FIYATLAR]])</f>
        <v>109467</v>
      </c>
      <c r="N5675">
        <v>1094.67</v>
      </c>
      <c r="O5675" t="s">
        <v>648</v>
      </c>
      <c r="P5675">
        <v>19704.060000000001</v>
      </c>
      <c r="Q5675" t="s">
        <v>183</v>
      </c>
    </row>
    <row r="5676" spans="1:17" x14ac:dyDescent="0.25">
      <c r="A5676" t="s">
        <v>1101</v>
      </c>
      <c r="B5676" t="s">
        <v>1102</v>
      </c>
      <c r="C5676" t="s">
        <v>175</v>
      </c>
      <c r="D5676" t="s">
        <v>626</v>
      </c>
      <c r="E5676" t="s">
        <v>627</v>
      </c>
      <c r="F5676">
        <v>2</v>
      </c>
      <c r="G5676" t="s">
        <v>176</v>
      </c>
      <c r="H5676">
        <v>2</v>
      </c>
      <c r="I5676">
        <v>5</v>
      </c>
      <c r="J5676" s="10">
        <v>24</v>
      </c>
      <c r="K5676" s="10">
        <f>SUMIFS(F:F,D:D,DST_123_ÜRETİM_İHTİYAÇ_RAPORU_BURAK_YENI1309[[#This Row],[ALT_KOD]])-(SUMIFS(H:H,D:D,DST_123_ÜRETİM_İHTİYAÇ_RAPORU_BURAK_YENI1309[[#This Row],[ALT_KOD]])+AVERAGEIFS(I:I,D:D,DST_123_ÜRETİM_İHTİYAÇ_RAPORU_BURAK_YENI1309[[#This Row],[ALT_KOD]])+AVERAGEIFS(L:L,D:D,DST_123_ÜRETİM_İHTİYAÇ_RAPORU_BURAK_YENI1309[[#This Row],[ALT_KOD]]))</f>
        <v>11</v>
      </c>
      <c r="L5676">
        <v>0</v>
      </c>
      <c r="M5676">
        <f>IF((DST_123_ÜRETİM_İHTİYAÇ_RAPORU_BURAK_YENI1309[[#This Row],[SATINALMA]]*DST_123_ÜRETİM_İHTİYAÇ_RAPORU_BURAK_YENI1309[[#This Row],[BIRIM_FIYATLAR]])&lt;1,VALUE("0"),DST_123_ÜRETİM_İHTİYAÇ_RAPORU_BURAK_YENI1309[[#This Row],[SATINALMA]]*DST_123_ÜRETİM_İHTİYAÇ_RAPORU_BURAK_YENI1309[[#This Row],[BIRIM_FIYATLAR]])</f>
        <v>164408.75</v>
      </c>
      <c r="N5676">
        <v>14946.25</v>
      </c>
      <c r="O5676" t="s">
        <v>625</v>
      </c>
      <c r="P5676">
        <v>29892.5</v>
      </c>
      <c r="Q5676" t="s">
        <v>178</v>
      </c>
    </row>
    <row r="5677" spans="1:17" x14ac:dyDescent="0.25">
      <c r="A5677" t="s">
        <v>1179</v>
      </c>
      <c r="B5677" t="s">
        <v>1180</v>
      </c>
      <c r="C5677" t="s">
        <v>175</v>
      </c>
      <c r="D5677" t="s">
        <v>1207</v>
      </c>
      <c r="E5677" t="s">
        <v>1208</v>
      </c>
      <c r="F5677">
        <v>0.28000000000000003</v>
      </c>
      <c r="G5677" t="s">
        <v>176</v>
      </c>
      <c r="H5677">
        <v>0</v>
      </c>
      <c r="I5677">
        <v>0</v>
      </c>
      <c r="J5677" s="10">
        <v>1</v>
      </c>
      <c r="K5677" s="10">
        <f>SUMIFS(F:F,D:D,DST_123_ÜRETİM_İHTİYAÇ_RAPORU_BURAK_YENI1309[[#This Row],[ALT_KOD]])-(SUMIFS(H:H,D:D,DST_123_ÜRETİM_İHTİYAÇ_RAPORU_BURAK_YENI1309[[#This Row],[ALT_KOD]])+AVERAGEIFS(I:I,D:D,DST_123_ÜRETİM_İHTİYAÇ_RAPORU_BURAK_YENI1309[[#This Row],[ALT_KOD]])+AVERAGEIFS(L:L,D:D,DST_123_ÜRETİM_İHTİYAÇ_RAPORU_BURAK_YENI1309[[#This Row],[ALT_KOD]]))</f>
        <v>0.28000000000000003</v>
      </c>
      <c r="L5677">
        <v>0</v>
      </c>
      <c r="M5677">
        <f>IF((DST_123_ÜRETİM_İHTİYAÇ_RAPORU_BURAK_YENI1309[[#This Row],[SATINALMA]]*DST_123_ÜRETİM_İHTİYAÇ_RAPORU_BURAK_YENI1309[[#This Row],[BIRIM_FIYATLAR]])&lt;1,VALUE("0"),DST_123_ÜRETİM_İHTİYAÇ_RAPORU_BURAK_YENI1309[[#This Row],[SATINALMA]]*DST_123_ÜRETİM_İHTİYAÇ_RAPORU_BURAK_YENI1309[[#This Row],[BIRIM_FIYATLAR]])</f>
        <v>75.9696</v>
      </c>
      <c r="N5677">
        <v>271.32</v>
      </c>
      <c r="O5677" t="s">
        <v>490</v>
      </c>
      <c r="P5677">
        <v>75.9696</v>
      </c>
      <c r="Q5677" t="s">
        <v>183</v>
      </c>
    </row>
    <row r="5678" spans="1:17" x14ac:dyDescent="0.25">
      <c r="A5678" t="s">
        <v>1099</v>
      </c>
      <c r="B5678" t="s">
        <v>1055</v>
      </c>
      <c r="C5678" t="s">
        <v>175</v>
      </c>
      <c r="D5678" t="s">
        <v>562</v>
      </c>
      <c r="E5678" t="s">
        <v>563</v>
      </c>
      <c r="F5678">
        <v>7</v>
      </c>
      <c r="G5678" t="s">
        <v>176</v>
      </c>
      <c r="H5678">
        <v>0</v>
      </c>
      <c r="I5678">
        <v>3000</v>
      </c>
      <c r="J5678" s="10">
        <v>0</v>
      </c>
      <c r="K5678" s="10">
        <f>SUMIFS(F:F,D:D,DST_123_ÜRETİM_İHTİYAÇ_RAPORU_BURAK_YENI1309[[#This Row],[ALT_KOD]])-(SUMIFS(H:H,D:D,DST_123_ÜRETİM_İHTİYAÇ_RAPORU_BURAK_YENI1309[[#This Row],[ALT_KOD]])+AVERAGEIFS(I:I,D:D,DST_123_ÜRETİM_İHTİYAÇ_RAPORU_BURAK_YENI1309[[#This Row],[ALT_KOD]])+AVERAGEIFS(L:L,D:D,DST_123_ÜRETİM_İHTİYAÇ_RAPORU_BURAK_YENI1309[[#This Row],[ALT_KOD]]))</f>
        <v>-2847</v>
      </c>
      <c r="L5678">
        <v>0</v>
      </c>
      <c r="M5678">
        <f>IF((DST_123_ÜRETİM_İHTİYAÇ_RAPORU_BURAK_YENI1309[[#This Row],[SATINALMA]]*DST_123_ÜRETİM_İHTİYAÇ_RAPORU_BURAK_YENI1309[[#This Row],[BIRIM_FIYATLAR]])&lt;1,VALUE("0"),DST_123_ÜRETİM_İHTİYAÇ_RAPORU_BURAK_YENI1309[[#This Row],[SATINALMA]]*DST_123_ÜRETİM_İHTİYAÇ_RAPORU_BURAK_YENI1309[[#This Row],[BIRIM_FIYATLAR]])</f>
        <v>0</v>
      </c>
      <c r="N5678">
        <v>0.7</v>
      </c>
      <c r="O5678" t="s">
        <v>240</v>
      </c>
      <c r="P5678">
        <v>4.8999999999999995</v>
      </c>
      <c r="Q5678" t="s">
        <v>180</v>
      </c>
    </row>
    <row r="5679" spans="1:17" x14ac:dyDescent="0.25">
      <c r="A5679" t="s">
        <v>1149</v>
      </c>
      <c r="B5679" t="s">
        <v>1145</v>
      </c>
      <c r="C5679" t="s">
        <v>175</v>
      </c>
      <c r="D5679" t="s">
        <v>609</v>
      </c>
      <c r="E5679" t="s">
        <v>610</v>
      </c>
      <c r="F5679">
        <v>2.8</v>
      </c>
      <c r="G5679" t="s">
        <v>176</v>
      </c>
      <c r="H5679">
        <v>0</v>
      </c>
      <c r="I5679">
        <v>0</v>
      </c>
      <c r="J5679" s="10">
        <v>11</v>
      </c>
      <c r="K5679" s="10">
        <f>SUMIFS(F:F,D:D,DST_123_ÜRETİM_İHTİYAÇ_RAPORU_BURAK_YENI1309[[#This Row],[ALT_KOD]])-(SUMIFS(H:H,D:D,DST_123_ÜRETİM_İHTİYAÇ_RAPORU_BURAK_YENI1309[[#This Row],[ALT_KOD]])+AVERAGEIFS(I:I,D:D,DST_123_ÜRETİM_İHTİYAÇ_RAPORU_BURAK_YENI1309[[#This Row],[ALT_KOD]])+AVERAGEIFS(L:L,D:D,DST_123_ÜRETİM_İHTİYAÇ_RAPORU_BURAK_YENI1309[[#This Row],[ALT_KOD]]))</f>
        <v>20.000000000000007</v>
      </c>
      <c r="L5679">
        <v>4</v>
      </c>
      <c r="M5679">
        <f>IF((DST_123_ÜRETİM_İHTİYAÇ_RAPORU_BURAK_YENI1309[[#This Row],[SATINALMA]]*DST_123_ÜRETİM_İHTİYAÇ_RAPORU_BURAK_YENI1309[[#This Row],[BIRIM_FIYATLAR]])&lt;1,VALUE("0"),DST_123_ÜRETİM_İHTİYAÇ_RAPORU_BURAK_YENI1309[[#This Row],[SATINALMA]]*DST_123_ÜRETİM_İHTİYAÇ_RAPORU_BURAK_YENI1309[[#This Row],[BIRIM_FIYATLAR]])</f>
        <v>36666.600000000013</v>
      </c>
      <c r="N5679">
        <v>1833.33</v>
      </c>
      <c r="O5679" t="s">
        <v>223</v>
      </c>
      <c r="P5679">
        <v>5133.3239999999996</v>
      </c>
      <c r="Q5679" t="s">
        <v>181</v>
      </c>
    </row>
    <row r="5680" spans="1:17" x14ac:dyDescent="0.25">
      <c r="A5680" t="s">
        <v>1142</v>
      </c>
      <c r="B5680" t="s">
        <v>1056</v>
      </c>
      <c r="C5680" t="s">
        <v>175</v>
      </c>
      <c r="D5680" t="s">
        <v>15</v>
      </c>
      <c r="E5680" t="s">
        <v>16</v>
      </c>
      <c r="F5680">
        <v>1</v>
      </c>
      <c r="G5680" t="s">
        <v>176</v>
      </c>
      <c r="H5680">
        <v>0</v>
      </c>
      <c r="I5680">
        <v>7</v>
      </c>
      <c r="J5680" s="10">
        <v>10</v>
      </c>
      <c r="K5680" s="10">
        <f>SUMIFS(F:F,D:D,DST_123_ÜRETİM_İHTİYAÇ_RAPORU_BURAK_YENI1309[[#This Row],[ALT_KOD]])-(SUMIFS(H:H,D:D,DST_123_ÜRETİM_İHTİYAÇ_RAPORU_BURAK_YENI1309[[#This Row],[ALT_KOD]])+AVERAGEIFS(I:I,D:D,DST_123_ÜRETİM_İHTİYAÇ_RAPORU_BURAK_YENI1309[[#This Row],[ALT_KOD]])+AVERAGEIFS(L:L,D:D,DST_123_ÜRETİM_İHTİYAÇ_RAPORU_BURAK_YENI1309[[#This Row],[ALT_KOD]]))</f>
        <v>6</v>
      </c>
      <c r="L5680">
        <v>0</v>
      </c>
      <c r="M5680">
        <f>IF((DST_123_ÜRETİM_İHTİYAÇ_RAPORU_BURAK_YENI1309[[#This Row],[SATINALMA]]*DST_123_ÜRETİM_İHTİYAÇ_RAPORU_BURAK_YENI1309[[#This Row],[BIRIM_FIYATLAR]])&lt;1,VALUE("0"),DST_123_ÜRETİM_İHTİYAÇ_RAPORU_BURAK_YENI1309[[#This Row],[SATINALMA]]*DST_123_ÜRETİM_İHTİYAÇ_RAPORU_BURAK_YENI1309[[#This Row],[BIRIM_FIYATLAR]])</f>
        <v>20303.939999999999</v>
      </c>
      <c r="N5680">
        <v>3383.99</v>
      </c>
      <c r="O5680" t="s">
        <v>215</v>
      </c>
      <c r="P5680">
        <v>3383.99</v>
      </c>
      <c r="Q5680" t="s">
        <v>221</v>
      </c>
    </row>
    <row r="5681" spans="1:17" x14ac:dyDescent="0.25">
      <c r="A5681" t="s">
        <v>1179</v>
      </c>
      <c r="B5681" t="s">
        <v>1180</v>
      </c>
      <c r="C5681" t="s">
        <v>175</v>
      </c>
      <c r="D5681" t="s">
        <v>147</v>
      </c>
      <c r="E5681" t="s">
        <v>148</v>
      </c>
      <c r="F5681">
        <v>2</v>
      </c>
      <c r="G5681" t="s">
        <v>176</v>
      </c>
      <c r="H5681">
        <v>0</v>
      </c>
      <c r="I5681">
        <v>3</v>
      </c>
      <c r="J5681" s="10">
        <v>11</v>
      </c>
      <c r="K5681" s="10">
        <f>SUMIFS(F:F,D:D,DST_123_ÜRETİM_İHTİYAÇ_RAPORU_BURAK_YENI1309[[#This Row],[ALT_KOD]])-(SUMIFS(H:H,D:D,DST_123_ÜRETİM_İHTİYAÇ_RAPORU_BURAK_YENI1309[[#This Row],[ALT_KOD]])+AVERAGEIFS(I:I,D:D,DST_123_ÜRETİM_İHTİYAÇ_RAPORU_BURAK_YENI1309[[#This Row],[ALT_KOD]])+AVERAGEIFS(L:L,D:D,DST_123_ÜRETİM_İHTİYAÇ_RAPORU_BURAK_YENI1309[[#This Row],[ALT_KOD]]))</f>
        <v>7</v>
      </c>
      <c r="L5681">
        <v>0</v>
      </c>
      <c r="M5681">
        <f>IF((DST_123_ÜRETİM_İHTİYAÇ_RAPORU_BURAK_YENI1309[[#This Row],[SATINALMA]]*DST_123_ÜRETİM_İHTİYAÇ_RAPORU_BURAK_YENI1309[[#This Row],[BIRIM_FIYATLAR]])&lt;1,VALUE("0"),DST_123_ÜRETİM_İHTİYAÇ_RAPORU_BURAK_YENI1309[[#This Row],[SATINALMA]]*DST_123_ÜRETİM_İHTİYAÇ_RAPORU_BURAK_YENI1309[[#This Row],[BIRIM_FIYATLAR]])</f>
        <v>22092.98</v>
      </c>
      <c r="N5681">
        <v>3156.14</v>
      </c>
      <c r="O5681" t="s">
        <v>227</v>
      </c>
      <c r="P5681">
        <v>6312.28</v>
      </c>
      <c r="Q5681" t="s">
        <v>221</v>
      </c>
    </row>
    <row r="5682" spans="1:17" x14ac:dyDescent="0.25">
      <c r="A5682" t="s">
        <v>1146</v>
      </c>
      <c r="B5682" t="s">
        <v>1145</v>
      </c>
      <c r="C5682" t="s">
        <v>175</v>
      </c>
      <c r="D5682" t="s">
        <v>518</v>
      </c>
      <c r="E5682" t="s">
        <v>519</v>
      </c>
      <c r="F5682">
        <v>3</v>
      </c>
      <c r="G5682" t="s">
        <v>176</v>
      </c>
      <c r="H5682">
        <v>0</v>
      </c>
      <c r="I5682">
        <v>101</v>
      </c>
      <c r="J5682" s="10">
        <v>10.000000000000057</v>
      </c>
      <c r="K5682" s="10">
        <f>SUMIFS(F:F,D:D,DST_123_ÜRETİM_İHTİYAÇ_RAPORU_BURAK_YENI1309[[#This Row],[ALT_KOD]])-(SUMIFS(H:H,D:D,DST_123_ÜRETİM_İHTİYAÇ_RAPORU_BURAK_YENI1309[[#This Row],[ALT_KOD]])+AVERAGEIFS(I:I,D:D,DST_123_ÜRETİM_İHTİYAÇ_RAPORU_BURAK_YENI1309[[#This Row],[ALT_KOD]])+AVERAGEIFS(L:L,D:D,DST_123_ÜRETİM_İHTİYAÇ_RAPORU_BURAK_YENI1309[[#This Row],[ALT_KOD]]))</f>
        <v>-42.539999999999992</v>
      </c>
      <c r="L5682">
        <v>0</v>
      </c>
      <c r="M5682">
        <f>IF((DST_123_ÜRETİM_İHTİYAÇ_RAPORU_BURAK_YENI1309[[#This Row],[SATINALMA]]*DST_123_ÜRETİM_İHTİYAÇ_RAPORU_BURAK_YENI1309[[#This Row],[BIRIM_FIYATLAR]])&lt;1,VALUE("0"),DST_123_ÜRETİM_İHTİYAÇ_RAPORU_BURAK_YENI1309[[#This Row],[SATINALMA]]*DST_123_ÜRETİM_İHTİYAÇ_RAPORU_BURAK_YENI1309[[#This Row],[BIRIM_FIYATLAR]])</f>
        <v>0</v>
      </c>
      <c r="N5682">
        <v>36</v>
      </c>
      <c r="O5682" t="s">
        <v>240</v>
      </c>
      <c r="P5682">
        <v>108</v>
      </c>
      <c r="Q5682" t="s">
        <v>180</v>
      </c>
    </row>
    <row r="5683" spans="1:17" x14ac:dyDescent="0.25">
      <c r="A5683" t="s">
        <v>1143</v>
      </c>
      <c r="B5683" t="s">
        <v>1056</v>
      </c>
      <c r="C5683" t="s">
        <v>175</v>
      </c>
      <c r="D5683" t="s">
        <v>460</v>
      </c>
      <c r="E5683" t="s">
        <v>461</v>
      </c>
      <c r="F5683">
        <v>1.5</v>
      </c>
      <c r="G5683" t="s">
        <v>176</v>
      </c>
      <c r="H5683">
        <v>0</v>
      </c>
      <c r="I5683">
        <v>48</v>
      </c>
      <c r="J5683" s="10">
        <v>26</v>
      </c>
      <c r="K5683" s="10">
        <f>SUMIFS(F:F,D:D,DST_123_ÜRETİM_İHTİYAÇ_RAPORU_BURAK_YENI1309[[#This Row],[ALT_KOD]])-(SUMIFS(H:H,D:D,DST_123_ÜRETİM_İHTİYAÇ_RAPORU_BURAK_YENI1309[[#This Row],[ALT_KOD]])+AVERAGEIFS(I:I,D:D,DST_123_ÜRETİM_İHTİYAÇ_RAPORU_BURAK_YENI1309[[#This Row],[ALT_KOD]])+AVERAGEIFS(L:L,D:D,DST_123_ÜRETİM_İHTİYAÇ_RAPORU_BURAK_YENI1309[[#This Row],[ALT_KOD]]))</f>
        <v>-19.5</v>
      </c>
      <c r="L5683">
        <v>0</v>
      </c>
      <c r="M5683">
        <f>IF((DST_123_ÜRETİM_İHTİYAÇ_RAPORU_BURAK_YENI1309[[#This Row],[SATINALMA]]*DST_123_ÜRETİM_İHTİYAÇ_RAPORU_BURAK_YENI1309[[#This Row],[BIRIM_FIYATLAR]])&lt;1,VALUE("0"),DST_123_ÜRETİM_İHTİYAÇ_RAPORU_BURAK_YENI1309[[#This Row],[SATINALMA]]*DST_123_ÜRETİM_İHTİYAÇ_RAPORU_BURAK_YENI1309[[#This Row],[BIRIM_FIYATLAR]])</f>
        <v>0</v>
      </c>
      <c r="N5683">
        <v>5</v>
      </c>
      <c r="O5683" t="s">
        <v>240</v>
      </c>
      <c r="P5683">
        <v>7.5</v>
      </c>
      <c r="Q5683" t="s">
        <v>180</v>
      </c>
    </row>
    <row r="5684" spans="1:17" x14ac:dyDescent="0.25">
      <c r="A5684" t="s">
        <v>1059</v>
      </c>
      <c r="B5684" t="s">
        <v>1058</v>
      </c>
      <c r="C5684" t="s">
        <v>175</v>
      </c>
      <c r="D5684" t="s">
        <v>668</v>
      </c>
      <c r="E5684" t="s">
        <v>669</v>
      </c>
      <c r="F5684">
        <v>1</v>
      </c>
      <c r="G5684" t="s">
        <v>176</v>
      </c>
      <c r="H5684">
        <v>1</v>
      </c>
      <c r="I5684">
        <v>13</v>
      </c>
      <c r="J5684" s="10">
        <v>4</v>
      </c>
      <c r="K5684" s="10">
        <f>SUMIFS(F:F,D:D,DST_123_ÜRETİM_İHTİYAÇ_RAPORU_BURAK_YENI1309[[#This Row],[ALT_KOD]])-(SUMIFS(H:H,D:D,DST_123_ÜRETİM_İHTİYAÇ_RAPORU_BURAK_YENI1309[[#This Row],[ALT_KOD]])+AVERAGEIFS(I:I,D:D,DST_123_ÜRETİM_İHTİYAÇ_RAPORU_BURAK_YENI1309[[#This Row],[ALT_KOD]])+AVERAGEIFS(L:L,D:D,DST_123_ÜRETİM_İHTİYAÇ_RAPORU_BURAK_YENI1309[[#This Row],[ALT_KOD]]))</f>
        <v>-6</v>
      </c>
      <c r="L5684">
        <v>0</v>
      </c>
      <c r="M5684">
        <f>IF((DST_123_ÜRETİM_İHTİYAÇ_RAPORU_BURAK_YENI1309[[#This Row],[SATINALMA]]*DST_123_ÜRETİM_İHTİYAÇ_RAPORU_BURAK_YENI1309[[#This Row],[BIRIM_FIYATLAR]])&lt;1,VALUE("0"),DST_123_ÜRETİM_İHTİYAÇ_RAPORU_BURAK_YENI1309[[#This Row],[SATINALMA]]*DST_123_ÜRETİM_İHTİYAÇ_RAPORU_BURAK_YENI1309[[#This Row],[BIRIM_FIYATLAR]])</f>
        <v>0</v>
      </c>
      <c r="N5684">
        <v>1250</v>
      </c>
      <c r="O5684" t="s">
        <v>337</v>
      </c>
      <c r="P5684">
        <v>1250</v>
      </c>
      <c r="Q5684" t="s">
        <v>177</v>
      </c>
    </row>
    <row r="5685" spans="1:17" x14ac:dyDescent="0.25">
      <c r="A5685" t="s">
        <v>1057</v>
      </c>
      <c r="B5685" t="s">
        <v>1058</v>
      </c>
      <c r="C5685" t="s">
        <v>175</v>
      </c>
      <c r="D5685" t="s">
        <v>626</v>
      </c>
      <c r="E5685" t="s">
        <v>627</v>
      </c>
      <c r="F5685">
        <v>2</v>
      </c>
      <c r="G5685" t="s">
        <v>176</v>
      </c>
      <c r="H5685">
        <v>2</v>
      </c>
      <c r="I5685">
        <v>5</v>
      </c>
      <c r="J5685" s="10">
        <v>24</v>
      </c>
      <c r="K5685" s="10">
        <f>SUMIFS(F:F,D:D,DST_123_ÜRETİM_İHTİYAÇ_RAPORU_BURAK_YENI1309[[#This Row],[ALT_KOD]])-(SUMIFS(H:H,D:D,DST_123_ÜRETİM_İHTİYAÇ_RAPORU_BURAK_YENI1309[[#This Row],[ALT_KOD]])+AVERAGEIFS(I:I,D:D,DST_123_ÜRETİM_İHTİYAÇ_RAPORU_BURAK_YENI1309[[#This Row],[ALT_KOD]])+AVERAGEIFS(L:L,D:D,DST_123_ÜRETİM_İHTİYAÇ_RAPORU_BURAK_YENI1309[[#This Row],[ALT_KOD]]))</f>
        <v>11</v>
      </c>
      <c r="L5685">
        <v>0</v>
      </c>
      <c r="M5685">
        <f>IF((DST_123_ÜRETİM_İHTİYAÇ_RAPORU_BURAK_YENI1309[[#This Row],[SATINALMA]]*DST_123_ÜRETİM_İHTİYAÇ_RAPORU_BURAK_YENI1309[[#This Row],[BIRIM_FIYATLAR]])&lt;1,VALUE("0"),DST_123_ÜRETİM_İHTİYAÇ_RAPORU_BURAK_YENI1309[[#This Row],[SATINALMA]]*DST_123_ÜRETİM_İHTİYAÇ_RAPORU_BURAK_YENI1309[[#This Row],[BIRIM_FIYATLAR]])</f>
        <v>164408.75</v>
      </c>
      <c r="N5685">
        <v>14946.25</v>
      </c>
      <c r="O5685" t="s">
        <v>625</v>
      </c>
      <c r="P5685">
        <v>29892.5</v>
      </c>
      <c r="Q5685" t="s">
        <v>178</v>
      </c>
    </row>
    <row r="5686" spans="1:17" x14ac:dyDescent="0.25">
      <c r="A5686" t="s">
        <v>1057</v>
      </c>
      <c r="B5686" t="s">
        <v>1058</v>
      </c>
      <c r="C5686" t="s">
        <v>175</v>
      </c>
      <c r="D5686" t="s">
        <v>460</v>
      </c>
      <c r="E5686" t="s">
        <v>461</v>
      </c>
      <c r="F5686">
        <v>1.5</v>
      </c>
      <c r="G5686" t="s">
        <v>176</v>
      </c>
      <c r="H5686">
        <v>0</v>
      </c>
      <c r="I5686">
        <v>48</v>
      </c>
      <c r="J5686" s="10">
        <v>26</v>
      </c>
      <c r="K5686" s="10">
        <f>SUMIFS(F:F,D:D,DST_123_ÜRETİM_İHTİYAÇ_RAPORU_BURAK_YENI1309[[#This Row],[ALT_KOD]])-(SUMIFS(H:H,D:D,DST_123_ÜRETİM_İHTİYAÇ_RAPORU_BURAK_YENI1309[[#This Row],[ALT_KOD]])+AVERAGEIFS(I:I,D:D,DST_123_ÜRETİM_İHTİYAÇ_RAPORU_BURAK_YENI1309[[#This Row],[ALT_KOD]])+AVERAGEIFS(L:L,D:D,DST_123_ÜRETİM_İHTİYAÇ_RAPORU_BURAK_YENI1309[[#This Row],[ALT_KOD]]))</f>
        <v>-19.5</v>
      </c>
      <c r="L5686">
        <v>0</v>
      </c>
      <c r="M5686">
        <f>IF((DST_123_ÜRETİM_İHTİYAÇ_RAPORU_BURAK_YENI1309[[#This Row],[SATINALMA]]*DST_123_ÜRETİM_İHTİYAÇ_RAPORU_BURAK_YENI1309[[#This Row],[BIRIM_FIYATLAR]])&lt;1,VALUE("0"),DST_123_ÜRETİM_İHTİYAÇ_RAPORU_BURAK_YENI1309[[#This Row],[SATINALMA]]*DST_123_ÜRETİM_İHTİYAÇ_RAPORU_BURAK_YENI1309[[#This Row],[BIRIM_FIYATLAR]])</f>
        <v>0</v>
      </c>
      <c r="N5686">
        <v>5</v>
      </c>
      <c r="O5686" t="s">
        <v>240</v>
      </c>
      <c r="P5686">
        <v>7.5</v>
      </c>
      <c r="Q5686" t="s">
        <v>180</v>
      </c>
    </row>
    <row r="5687" spans="1:17" x14ac:dyDescent="0.25">
      <c r="A5687" t="s">
        <v>1147</v>
      </c>
      <c r="B5687" t="s">
        <v>1145</v>
      </c>
      <c r="C5687" t="s">
        <v>175</v>
      </c>
      <c r="D5687" t="s">
        <v>71</v>
      </c>
      <c r="E5687" t="s">
        <v>249</v>
      </c>
      <c r="F5687">
        <v>8.6</v>
      </c>
      <c r="G5687" t="s">
        <v>176</v>
      </c>
      <c r="H5687">
        <v>0</v>
      </c>
      <c r="I5687">
        <v>96</v>
      </c>
      <c r="J5687" s="10">
        <v>195.44000000000014</v>
      </c>
      <c r="K5687" s="10">
        <f>SUMIFS(F:F,D:D,DST_123_ÜRETİM_İHTİYAÇ_RAPORU_BURAK_YENI1309[[#This Row],[ALT_KOD]])-(SUMIFS(H:H,D:D,DST_123_ÜRETİM_İHTİYAÇ_RAPORU_BURAK_YENI1309[[#This Row],[ALT_KOD]])+AVERAGEIFS(I:I,D:D,DST_123_ÜRETİM_İHTİYAÇ_RAPORU_BURAK_YENI1309[[#This Row],[ALT_KOD]])+AVERAGEIFS(L:L,D:D,DST_123_ÜRETİM_İHTİYAÇ_RAPORU_BURAK_YENI1309[[#This Row],[ALT_KOD]]))</f>
        <v>63.319999999999951</v>
      </c>
      <c r="L5687">
        <v>0</v>
      </c>
      <c r="M5687">
        <f>IF((DST_123_ÜRETİM_İHTİYAÇ_RAPORU_BURAK_YENI1309[[#This Row],[SATINALMA]]*DST_123_ÜRETİM_İHTİYAÇ_RAPORU_BURAK_YENI1309[[#This Row],[BIRIM_FIYATLAR]])&lt;1,VALUE("0"),DST_123_ÜRETİM_İHTİYAÇ_RAPORU_BURAK_YENI1309[[#This Row],[SATINALMA]]*DST_123_ÜRETİM_İHTİYAÇ_RAPORU_BURAK_YENI1309[[#This Row],[BIRIM_FIYATLAR]])</f>
        <v>8163.8475999999937</v>
      </c>
      <c r="N5687">
        <v>128.93</v>
      </c>
      <c r="O5687" t="s">
        <v>250</v>
      </c>
      <c r="P5687">
        <v>1108.798</v>
      </c>
      <c r="Q5687" t="s">
        <v>180</v>
      </c>
    </row>
    <row r="5688" spans="1:17" x14ac:dyDescent="0.25">
      <c r="A5688" t="s">
        <v>1060</v>
      </c>
      <c r="B5688" t="s">
        <v>1061</v>
      </c>
      <c r="C5688" t="s">
        <v>175</v>
      </c>
      <c r="D5688" t="s">
        <v>815</v>
      </c>
      <c r="E5688" t="s">
        <v>816</v>
      </c>
      <c r="F5688">
        <v>1</v>
      </c>
      <c r="G5688" t="s">
        <v>176</v>
      </c>
      <c r="H5688">
        <v>1</v>
      </c>
      <c r="I5688">
        <v>1</v>
      </c>
      <c r="J5688" s="10">
        <v>5</v>
      </c>
      <c r="K5688" s="10">
        <f>SUMIFS(F:F,D:D,DST_123_ÜRETİM_İHTİYAÇ_RAPORU_BURAK_YENI1309[[#This Row],[ALT_KOD]])-(SUMIFS(H:H,D:D,DST_123_ÜRETİM_İHTİYAÇ_RAPORU_BURAK_YENI1309[[#This Row],[ALT_KOD]])+AVERAGEIFS(I:I,D:D,DST_123_ÜRETİM_İHTİYAÇ_RAPORU_BURAK_YENI1309[[#This Row],[ALT_KOD]])+AVERAGEIFS(L:L,D:D,DST_123_ÜRETİM_İHTİYAÇ_RAPORU_BURAK_YENI1309[[#This Row],[ALT_KOD]]))</f>
        <v>0</v>
      </c>
      <c r="L5688">
        <v>0</v>
      </c>
      <c r="M5688">
        <f>IF((DST_123_ÜRETİM_İHTİYAÇ_RAPORU_BURAK_YENI1309[[#This Row],[SATINALMA]]*DST_123_ÜRETİM_İHTİYAÇ_RAPORU_BURAK_YENI1309[[#This Row],[BIRIM_FIYATLAR]])&lt;1,VALUE("0"),DST_123_ÜRETİM_İHTİYAÇ_RAPORU_BURAK_YENI1309[[#This Row],[SATINALMA]]*DST_123_ÜRETİM_İHTİYAÇ_RAPORU_BURAK_YENI1309[[#This Row],[BIRIM_FIYATLAR]])</f>
        <v>0</v>
      </c>
      <c r="N5688">
        <v>250</v>
      </c>
      <c r="O5688" t="s">
        <v>696</v>
      </c>
      <c r="P5688">
        <v>250</v>
      </c>
      <c r="Q5688" t="s">
        <v>178</v>
      </c>
    </row>
    <row r="5689" spans="1:17" x14ac:dyDescent="0.25">
      <c r="A5689" t="s">
        <v>1059</v>
      </c>
      <c r="B5689" t="s">
        <v>1058</v>
      </c>
      <c r="C5689" t="s">
        <v>175</v>
      </c>
      <c r="D5689" t="s">
        <v>28</v>
      </c>
      <c r="E5689" t="s">
        <v>29</v>
      </c>
      <c r="F5689">
        <v>66</v>
      </c>
      <c r="G5689" t="s">
        <v>176</v>
      </c>
      <c r="H5689">
        <v>0</v>
      </c>
      <c r="I5689">
        <v>3000</v>
      </c>
      <c r="J5689" s="10">
        <v>1048</v>
      </c>
      <c r="K5689" s="10">
        <f>SUMIFS(F:F,D:D,DST_123_ÜRETİM_İHTİYAÇ_RAPORU_BURAK_YENI1309[[#This Row],[ALT_KOD]])-(SUMIFS(H:H,D:D,DST_123_ÜRETİM_İHTİYAÇ_RAPORU_BURAK_YENI1309[[#This Row],[ALT_KOD]])+AVERAGEIFS(I:I,D:D,DST_123_ÜRETİM_İHTİYAÇ_RAPORU_BURAK_YENI1309[[#This Row],[ALT_KOD]])+AVERAGEIFS(L:L,D:D,DST_123_ÜRETİM_İHTİYAÇ_RAPORU_BURAK_YENI1309[[#This Row],[ALT_KOD]]))</f>
        <v>-967</v>
      </c>
      <c r="L5689">
        <v>0</v>
      </c>
      <c r="M5689">
        <f>IF((DST_123_ÜRETİM_İHTİYAÇ_RAPORU_BURAK_YENI1309[[#This Row],[SATINALMA]]*DST_123_ÜRETİM_İHTİYAÇ_RAPORU_BURAK_YENI1309[[#This Row],[BIRIM_FIYATLAR]])&lt;1,VALUE("0"),DST_123_ÜRETİM_İHTİYAÇ_RAPORU_BURAK_YENI1309[[#This Row],[SATINALMA]]*DST_123_ÜRETİM_İHTİYAÇ_RAPORU_BURAK_YENI1309[[#This Row],[BIRIM_FIYATLAR]])</f>
        <v>0</v>
      </c>
      <c r="N5689">
        <v>2.92</v>
      </c>
      <c r="O5689" t="s">
        <v>628</v>
      </c>
      <c r="P5689">
        <v>192.72</v>
      </c>
      <c r="Q5689" t="s">
        <v>180</v>
      </c>
    </row>
    <row r="5690" spans="1:17" x14ac:dyDescent="0.25">
      <c r="A5690" t="s">
        <v>1097</v>
      </c>
      <c r="B5690" t="s">
        <v>1055</v>
      </c>
      <c r="C5690" t="s">
        <v>175</v>
      </c>
      <c r="D5690" t="s">
        <v>516</v>
      </c>
      <c r="E5690" t="s">
        <v>517</v>
      </c>
      <c r="F5690">
        <v>1.5</v>
      </c>
      <c r="G5690" t="s">
        <v>176</v>
      </c>
      <c r="H5690">
        <v>1.5</v>
      </c>
      <c r="I5690">
        <v>91</v>
      </c>
      <c r="J5690" s="10">
        <v>17.799999999999997</v>
      </c>
      <c r="K5690" s="10">
        <f>SUMIFS(F:F,D:D,DST_123_ÜRETİM_İHTİYAÇ_RAPORU_BURAK_YENI1309[[#This Row],[ALT_KOD]])-(SUMIFS(H:H,D:D,DST_123_ÜRETİM_İHTİYAÇ_RAPORU_BURAK_YENI1309[[#This Row],[ALT_KOD]])+AVERAGEIFS(I:I,D:D,DST_123_ÜRETİM_İHTİYAÇ_RAPORU_BURAK_YENI1309[[#This Row],[ALT_KOD]])+AVERAGEIFS(L:L,D:D,DST_123_ÜRETİM_İHTİYAÇ_RAPORU_BURAK_YENI1309[[#This Row],[ALT_KOD]]))</f>
        <v>-74.5</v>
      </c>
      <c r="L5690">
        <v>0</v>
      </c>
      <c r="M5690">
        <f>IF((DST_123_ÜRETİM_İHTİYAÇ_RAPORU_BURAK_YENI1309[[#This Row],[SATINALMA]]*DST_123_ÜRETİM_İHTİYAÇ_RAPORU_BURAK_YENI1309[[#This Row],[BIRIM_FIYATLAR]])&lt;1,VALUE("0"),DST_123_ÜRETİM_İHTİYAÇ_RAPORU_BURAK_YENI1309[[#This Row],[SATINALMA]]*DST_123_ÜRETİM_İHTİYAÇ_RAPORU_BURAK_YENI1309[[#This Row],[BIRIM_FIYATLAR]])</f>
        <v>0</v>
      </c>
      <c r="N5690">
        <v>85</v>
      </c>
      <c r="O5690" t="s">
        <v>346</v>
      </c>
      <c r="P5690">
        <v>127.5</v>
      </c>
      <c r="Q5690" t="s">
        <v>180</v>
      </c>
    </row>
    <row r="5691" spans="1:17" x14ac:dyDescent="0.25">
      <c r="A5691" t="s">
        <v>1144</v>
      </c>
      <c r="B5691" t="s">
        <v>1145</v>
      </c>
      <c r="C5691" t="s">
        <v>175</v>
      </c>
      <c r="D5691" t="s">
        <v>386</v>
      </c>
      <c r="E5691" t="s">
        <v>613</v>
      </c>
      <c r="F5691">
        <v>1</v>
      </c>
      <c r="G5691" t="s">
        <v>182</v>
      </c>
      <c r="H5691">
        <v>0</v>
      </c>
      <c r="I5691">
        <v>0</v>
      </c>
      <c r="J5691" s="10">
        <v>67.08499999999998</v>
      </c>
      <c r="K5691" s="10">
        <f>SUMIFS(F:F,D:D,DST_123_ÜRETİM_İHTİYAÇ_RAPORU_BURAK_YENI1309[[#This Row],[ALT_KOD]])-(SUMIFS(H:H,D:D,DST_123_ÜRETİM_İHTİYAÇ_RAPORU_BURAK_YENI1309[[#This Row],[ALT_KOD]])+AVERAGEIFS(I:I,D:D,DST_123_ÜRETİM_İHTİYAÇ_RAPORU_BURAK_YENI1309[[#This Row],[ALT_KOD]])+AVERAGEIFS(L:L,D:D,DST_123_ÜRETİM_İHTİYAÇ_RAPORU_BURAK_YENI1309[[#This Row],[ALT_KOD]]))</f>
        <v>15</v>
      </c>
      <c r="L5691">
        <v>0</v>
      </c>
      <c r="M5691">
        <f>IF((DST_123_ÜRETİM_İHTİYAÇ_RAPORU_BURAK_YENI1309[[#This Row],[SATINALMA]]*DST_123_ÜRETİM_İHTİYAÇ_RAPORU_BURAK_YENI1309[[#This Row],[BIRIM_FIYATLAR]])&lt;1,VALUE("0"),DST_123_ÜRETİM_İHTİYAÇ_RAPORU_BURAK_YENI1309[[#This Row],[SATINALMA]]*DST_123_ÜRETİM_İHTİYAÇ_RAPORU_BURAK_YENI1309[[#This Row],[BIRIM_FIYATLAR]])</f>
        <v>9778.0499999999993</v>
      </c>
      <c r="N5691">
        <v>651.87</v>
      </c>
      <c r="O5691" t="s">
        <v>223</v>
      </c>
      <c r="P5691">
        <v>651.87</v>
      </c>
      <c r="Q5691" t="s">
        <v>181</v>
      </c>
    </row>
    <row r="5692" spans="1:17" x14ac:dyDescent="0.25">
      <c r="A5692" t="s">
        <v>1064</v>
      </c>
      <c r="B5692" t="s">
        <v>1055</v>
      </c>
      <c r="C5692" t="s">
        <v>175</v>
      </c>
      <c r="D5692" t="s">
        <v>763</v>
      </c>
      <c r="E5692" t="s">
        <v>764</v>
      </c>
      <c r="F5692">
        <v>1</v>
      </c>
      <c r="G5692" t="s">
        <v>176</v>
      </c>
      <c r="H5692">
        <v>1</v>
      </c>
      <c r="I5692">
        <v>12</v>
      </c>
      <c r="J5692" s="10">
        <v>8</v>
      </c>
      <c r="K5692" s="10">
        <f>SUMIFS(F:F,D:D,DST_123_ÜRETİM_İHTİYAÇ_RAPORU_BURAK_YENI1309[[#This Row],[ALT_KOD]])-(SUMIFS(H:H,D:D,DST_123_ÜRETİM_İHTİYAÇ_RAPORU_BURAK_YENI1309[[#This Row],[ALT_KOD]])+AVERAGEIFS(I:I,D:D,DST_123_ÜRETİM_İHTİYAÇ_RAPORU_BURAK_YENI1309[[#This Row],[ALT_KOD]])+AVERAGEIFS(L:L,D:D,DST_123_ÜRETİM_İHTİYAÇ_RAPORU_BURAK_YENI1309[[#This Row],[ALT_KOD]]))</f>
        <v>0</v>
      </c>
      <c r="L5692">
        <v>0</v>
      </c>
      <c r="M5692">
        <f>IF((DST_123_ÜRETİM_İHTİYAÇ_RAPORU_BURAK_YENI1309[[#This Row],[SATINALMA]]*DST_123_ÜRETİM_İHTİYAÇ_RAPORU_BURAK_YENI1309[[#This Row],[BIRIM_FIYATLAR]])&lt;1,VALUE("0"),DST_123_ÜRETİM_İHTİYAÇ_RAPORU_BURAK_YENI1309[[#This Row],[SATINALMA]]*DST_123_ÜRETİM_İHTİYAÇ_RAPORU_BURAK_YENI1309[[#This Row],[BIRIM_FIYATLAR]])</f>
        <v>0</v>
      </c>
      <c r="N5692">
        <v>401.17</v>
      </c>
      <c r="O5692" t="s">
        <v>765</v>
      </c>
      <c r="P5692">
        <v>401.17</v>
      </c>
      <c r="Q5692" t="s">
        <v>221</v>
      </c>
    </row>
    <row r="5693" spans="1:17" x14ac:dyDescent="0.25">
      <c r="A5693" t="s">
        <v>1146</v>
      </c>
      <c r="B5693" t="s">
        <v>1145</v>
      </c>
      <c r="C5693" t="s">
        <v>175</v>
      </c>
      <c r="D5693" t="s">
        <v>319</v>
      </c>
      <c r="E5693" t="s">
        <v>320</v>
      </c>
      <c r="F5693">
        <v>0.13</v>
      </c>
      <c r="G5693" t="s">
        <v>186</v>
      </c>
      <c r="H5693">
        <v>0.13</v>
      </c>
      <c r="I5693">
        <v>0</v>
      </c>
      <c r="J5693" s="10">
        <v>4.5430000000000446</v>
      </c>
      <c r="K5693" s="10">
        <f>SUMIFS(F:F,D:D,DST_123_ÜRETİM_İHTİYAÇ_RAPORU_BURAK_YENI1309[[#This Row],[ALT_KOD]])-(SUMIFS(H:H,D:D,DST_123_ÜRETİM_İHTİYAÇ_RAPORU_BURAK_YENI1309[[#This Row],[ALT_KOD]])+AVERAGEIFS(I:I,D:D,DST_123_ÜRETİM_İHTİYAÇ_RAPORU_BURAK_YENI1309[[#This Row],[ALT_KOD]])+AVERAGEIFS(L:L,D:D,DST_123_ÜRETİM_İHTİYAÇ_RAPORU_BURAK_YENI1309[[#This Row],[ALT_KOD]]))</f>
        <v>1.4260000000000002</v>
      </c>
      <c r="L5693">
        <v>0</v>
      </c>
      <c r="M5693">
        <f>IF((DST_123_ÜRETİM_İHTİYAÇ_RAPORU_BURAK_YENI1309[[#This Row],[SATINALMA]]*DST_123_ÜRETİM_İHTİYAÇ_RAPORU_BURAK_YENI1309[[#This Row],[BIRIM_FIYATLAR]])&lt;1,VALUE("0"),DST_123_ÜRETİM_İHTİYAÇ_RAPORU_BURAK_YENI1309[[#This Row],[SATINALMA]]*DST_123_ÜRETİM_İHTİYAÇ_RAPORU_BURAK_YENI1309[[#This Row],[BIRIM_FIYATLAR]])</f>
        <v>27807.000000000004</v>
      </c>
      <c r="N5693">
        <v>19500</v>
      </c>
      <c r="O5693" t="s">
        <v>762</v>
      </c>
      <c r="P5693">
        <v>2535</v>
      </c>
      <c r="Q5693" t="s">
        <v>181</v>
      </c>
    </row>
    <row r="5694" spans="1:17" x14ac:dyDescent="0.25">
      <c r="A5694" t="s">
        <v>1099</v>
      </c>
      <c r="B5694" t="s">
        <v>1055</v>
      </c>
      <c r="C5694" t="s">
        <v>175</v>
      </c>
      <c r="D5694" t="s">
        <v>645</v>
      </c>
      <c r="E5694" t="s">
        <v>646</v>
      </c>
      <c r="F5694">
        <v>1</v>
      </c>
      <c r="G5694" t="s">
        <v>176</v>
      </c>
      <c r="H5694">
        <v>1</v>
      </c>
      <c r="I5694">
        <v>1</v>
      </c>
      <c r="J5694" s="10">
        <v>10</v>
      </c>
      <c r="K5694" s="10">
        <f>SUMIFS(F:F,D:D,DST_123_ÜRETİM_İHTİYAÇ_RAPORU_BURAK_YENI1309[[#This Row],[ALT_KOD]])-(SUMIFS(H:H,D:D,DST_123_ÜRETİM_İHTİYAÇ_RAPORU_BURAK_YENI1309[[#This Row],[ALT_KOD]])+AVERAGEIFS(I:I,D:D,DST_123_ÜRETİM_İHTİYAÇ_RAPORU_BURAK_YENI1309[[#This Row],[ALT_KOD]])+AVERAGEIFS(L:L,D:D,DST_123_ÜRETİM_İHTİYAÇ_RAPORU_BURAK_YENI1309[[#This Row],[ALT_KOD]]))</f>
        <v>11</v>
      </c>
      <c r="L5694">
        <v>0</v>
      </c>
      <c r="M5694">
        <f>IF((DST_123_ÜRETİM_İHTİYAÇ_RAPORU_BURAK_YENI1309[[#This Row],[SATINALMA]]*DST_123_ÜRETİM_İHTİYAÇ_RAPORU_BURAK_YENI1309[[#This Row],[BIRIM_FIYATLAR]])&lt;1,VALUE("0"),DST_123_ÜRETİM_İHTİYAÇ_RAPORU_BURAK_YENI1309[[#This Row],[SATINALMA]]*DST_123_ÜRETİM_İHTİYAÇ_RAPORU_BURAK_YENI1309[[#This Row],[BIRIM_FIYATLAR]])</f>
        <v>20020</v>
      </c>
      <c r="N5694">
        <v>1820</v>
      </c>
      <c r="O5694" t="s">
        <v>262</v>
      </c>
      <c r="P5694">
        <v>1820</v>
      </c>
      <c r="Q5694" t="s">
        <v>641</v>
      </c>
    </row>
    <row r="5695" spans="1:17" x14ac:dyDescent="0.25">
      <c r="A5695" t="s">
        <v>1064</v>
      </c>
      <c r="B5695" t="s">
        <v>1055</v>
      </c>
      <c r="C5695" t="s">
        <v>175</v>
      </c>
      <c r="D5695" t="s">
        <v>754</v>
      </c>
      <c r="E5695" t="s">
        <v>755</v>
      </c>
      <c r="F5695">
        <v>1</v>
      </c>
      <c r="G5695" t="s">
        <v>176</v>
      </c>
      <c r="H5695">
        <v>1</v>
      </c>
      <c r="I5695">
        <v>0</v>
      </c>
      <c r="J5695" s="10">
        <v>2</v>
      </c>
      <c r="K5695" s="10">
        <f>SUMIFS(F:F,D:D,DST_123_ÜRETİM_İHTİYAÇ_RAPORU_BURAK_YENI1309[[#This Row],[ALT_KOD]])-(SUMIFS(H:H,D:D,DST_123_ÜRETİM_İHTİYAÇ_RAPORU_BURAK_YENI1309[[#This Row],[ALT_KOD]])+AVERAGEIFS(I:I,D:D,DST_123_ÜRETİM_İHTİYAÇ_RAPORU_BURAK_YENI1309[[#This Row],[ALT_KOD]])+AVERAGEIFS(L:L,D:D,DST_123_ÜRETİM_İHTİYAÇ_RAPORU_BURAK_YENI1309[[#This Row],[ALT_KOD]]))</f>
        <v>3</v>
      </c>
      <c r="L5695">
        <v>0</v>
      </c>
      <c r="M5695">
        <f>IF((DST_123_ÜRETİM_İHTİYAÇ_RAPORU_BURAK_YENI1309[[#This Row],[SATINALMA]]*DST_123_ÜRETİM_İHTİYAÇ_RAPORU_BURAK_YENI1309[[#This Row],[BIRIM_FIYATLAR]])&lt;1,VALUE("0"),DST_123_ÜRETİM_İHTİYAÇ_RAPORU_BURAK_YENI1309[[#This Row],[SATINALMA]]*DST_123_ÜRETİM_İHTİYAÇ_RAPORU_BURAK_YENI1309[[#This Row],[BIRIM_FIYATLAR]])</f>
        <v>97615.14</v>
      </c>
      <c r="N5695">
        <v>32538.38</v>
      </c>
      <c r="O5695" t="s">
        <v>215</v>
      </c>
      <c r="P5695">
        <v>32538.38</v>
      </c>
      <c r="Q5695" t="s">
        <v>177</v>
      </c>
    </row>
    <row r="5696" spans="1:17" x14ac:dyDescent="0.25">
      <c r="A5696" t="s">
        <v>1064</v>
      </c>
      <c r="B5696" t="s">
        <v>1055</v>
      </c>
      <c r="C5696" t="s">
        <v>175</v>
      </c>
      <c r="D5696" t="s">
        <v>599</v>
      </c>
      <c r="E5696" t="s">
        <v>600</v>
      </c>
      <c r="F5696">
        <v>2</v>
      </c>
      <c r="G5696" t="s">
        <v>176</v>
      </c>
      <c r="H5696">
        <v>2</v>
      </c>
      <c r="I5696">
        <v>37</v>
      </c>
      <c r="J5696" s="10">
        <v>14</v>
      </c>
      <c r="K5696" s="10">
        <f>SUMIFS(F:F,D:D,DST_123_ÜRETİM_İHTİYAÇ_RAPORU_BURAK_YENI1309[[#This Row],[ALT_KOD]])-(SUMIFS(H:H,D:D,DST_123_ÜRETİM_İHTİYAÇ_RAPORU_BURAK_YENI1309[[#This Row],[ALT_KOD]])+AVERAGEIFS(I:I,D:D,DST_123_ÜRETİM_İHTİYAÇ_RAPORU_BURAK_YENI1309[[#This Row],[ALT_KOD]])+AVERAGEIFS(L:L,D:D,DST_123_ÜRETİM_İHTİYAÇ_RAPORU_BURAK_YENI1309[[#This Row],[ALT_KOD]]))</f>
        <v>-5</v>
      </c>
      <c r="L5696">
        <v>0</v>
      </c>
      <c r="M5696">
        <f>IF((DST_123_ÜRETİM_İHTİYAÇ_RAPORU_BURAK_YENI1309[[#This Row],[SATINALMA]]*DST_123_ÜRETİM_İHTİYAÇ_RAPORU_BURAK_YENI1309[[#This Row],[BIRIM_FIYATLAR]])&lt;1,VALUE("0"),DST_123_ÜRETİM_İHTİYAÇ_RAPORU_BURAK_YENI1309[[#This Row],[SATINALMA]]*DST_123_ÜRETİM_İHTİYAÇ_RAPORU_BURAK_YENI1309[[#This Row],[BIRIM_FIYATLAR]])</f>
        <v>0</v>
      </c>
      <c r="N5696">
        <v>313.88</v>
      </c>
      <c r="O5696" t="s">
        <v>636</v>
      </c>
      <c r="P5696">
        <v>627.76</v>
      </c>
      <c r="Q5696" t="s">
        <v>177</v>
      </c>
    </row>
    <row r="5697" spans="1:17" x14ac:dyDescent="0.25">
      <c r="A5697" t="s">
        <v>1101</v>
      </c>
      <c r="B5697" t="s">
        <v>1102</v>
      </c>
      <c r="C5697" t="s">
        <v>175</v>
      </c>
      <c r="D5697" t="s">
        <v>437</v>
      </c>
      <c r="E5697" t="s">
        <v>438</v>
      </c>
      <c r="F5697">
        <v>1</v>
      </c>
      <c r="G5697" t="s">
        <v>176</v>
      </c>
      <c r="H5697">
        <v>1</v>
      </c>
      <c r="I5697">
        <v>24</v>
      </c>
      <c r="J5697" s="10">
        <v>5</v>
      </c>
      <c r="K5697" s="10">
        <f>SUMIFS(F:F,D:D,DST_123_ÜRETİM_İHTİYAÇ_RAPORU_BURAK_YENI1309[[#This Row],[ALT_KOD]])-(SUMIFS(H:H,D:D,DST_123_ÜRETİM_İHTİYAÇ_RAPORU_BURAK_YENI1309[[#This Row],[ALT_KOD]])+AVERAGEIFS(I:I,D:D,DST_123_ÜRETİM_İHTİYAÇ_RAPORU_BURAK_YENI1309[[#This Row],[ALT_KOD]])+AVERAGEIFS(L:L,D:D,DST_123_ÜRETİM_İHTİYAÇ_RAPORU_BURAK_YENI1309[[#This Row],[ALT_KOD]]))</f>
        <v>-12</v>
      </c>
      <c r="L5697">
        <v>0</v>
      </c>
      <c r="M5697">
        <f>IF((DST_123_ÜRETİM_İHTİYAÇ_RAPORU_BURAK_YENI1309[[#This Row],[SATINALMA]]*DST_123_ÜRETİM_İHTİYAÇ_RAPORU_BURAK_YENI1309[[#This Row],[BIRIM_FIYATLAR]])&lt;1,VALUE("0"),DST_123_ÜRETİM_İHTİYAÇ_RAPORU_BURAK_YENI1309[[#This Row],[SATINALMA]]*DST_123_ÜRETİM_İHTİYAÇ_RAPORU_BURAK_YENI1309[[#This Row],[BIRIM_FIYATLAR]])</f>
        <v>0</v>
      </c>
      <c r="N5697">
        <v>360.19</v>
      </c>
      <c r="O5697" t="s">
        <v>636</v>
      </c>
      <c r="P5697">
        <v>360.19</v>
      </c>
      <c r="Q5697" t="s">
        <v>178</v>
      </c>
    </row>
    <row r="5698" spans="1:17" x14ac:dyDescent="0.25">
      <c r="A5698" t="s">
        <v>1101</v>
      </c>
      <c r="B5698" t="s">
        <v>1102</v>
      </c>
      <c r="C5698" t="s">
        <v>175</v>
      </c>
      <c r="D5698" t="s">
        <v>48</v>
      </c>
      <c r="E5698" t="s">
        <v>49</v>
      </c>
      <c r="F5698">
        <v>3</v>
      </c>
      <c r="G5698" t="s">
        <v>176</v>
      </c>
      <c r="H5698">
        <v>3</v>
      </c>
      <c r="I5698">
        <v>21</v>
      </c>
      <c r="J5698" s="10">
        <v>30</v>
      </c>
      <c r="K5698" s="10">
        <f>SUMIFS(F:F,D:D,DST_123_ÜRETİM_İHTİYAÇ_RAPORU_BURAK_YENI1309[[#This Row],[ALT_KOD]])-(SUMIFS(H:H,D:D,DST_123_ÜRETİM_İHTİYAÇ_RAPORU_BURAK_YENI1309[[#This Row],[ALT_KOD]])+AVERAGEIFS(I:I,D:D,DST_123_ÜRETİM_İHTİYAÇ_RAPORU_BURAK_YENI1309[[#This Row],[ALT_KOD]])+AVERAGEIFS(L:L,D:D,DST_123_ÜRETİM_İHTİYAÇ_RAPORU_BURAK_YENI1309[[#This Row],[ALT_KOD]]))</f>
        <v>1</v>
      </c>
      <c r="L5698">
        <v>0</v>
      </c>
      <c r="M5698">
        <f>IF((DST_123_ÜRETİM_İHTİYAÇ_RAPORU_BURAK_YENI1309[[#This Row],[SATINALMA]]*DST_123_ÜRETİM_İHTİYAÇ_RAPORU_BURAK_YENI1309[[#This Row],[BIRIM_FIYATLAR]])&lt;1,VALUE("0"),DST_123_ÜRETİM_İHTİYAÇ_RAPORU_BURAK_YENI1309[[#This Row],[SATINALMA]]*DST_123_ÜRETİM_İHTİYAÇ_RAPORU_BURAK_YENI1309[[#This Row],[BIRIM_FIYATLAR]])</f>
        <v>42</v>
      </c>
      <c r="N5698">
        <v>42</v>
      </c>
      <c r="O5698" t="s">
        <v>245</v>
      </c>
      <c r="P5698">
        <v>126</v>
      </c>
      <c r="Q5698" t="s">
        <v>180</v>
      </c>
    </row>
    <row r="5699" spans="1:17" x14ac:dyDescent="0.25">
      <c r="A5699" t="s">
        <v>1099</v>
      </c>
      <c r="B5699" t="s">
        <v>1055</v>
      </c>
      <c r="C5699" t="s">
        <v>175</v>
      </c>
      <c r="D5699" t="s">
        <v>772</v>
      </c>
      <c r="E5699" t="s">
        <v>773</v>
      </c>
      <c r="F5699">
        <v>2</v>
      </c>
      <c r="G5699" t="s">
        <v>176</v>
      </c>
      <c r="H5699">
        <v>2</v>
      </c>
      <c r="I5699">
        <v>56.5</v>
      </c>
      <c r="J5699" s="10">
        <v>26</v>
      </c>
      <c r="K5699" s="10">
        <f>SUMIFS(F:F,D:D,DST_123_ÜRETİM_İHTİYAÇ_RAPORU_BURAK_YENI1309[[#This Row],[ALT_KOD]])-(SUMIFS(H:H,D:D,DST_123_ÜRETİM_İHTİYAÇ_RAPORU_BURAK_YENI1309[[#This Row],[ALT_KOD]])+AVERAGEIFS(I:I,D:D,DST_123_ÜRETİM_İHTİYAÇ_RAPORU_BURAK_YENI1309[[#This Row],[ALT_KOD]])+AVERAGEIFS(L:L,D:D,DST_123_ÜRETİM_İHTİYAÇ_RAPORU_BURAK_YENI1309[[#This Row],[ALT_KOD]]))</f>
        <v>-12.5</v>
      </c>
      <c r="L5699">
        <v>0</v>
      </c>
      <c r="M5699">
        <f>IF((DST_123_ÜRETİM_İHTİYAÇ_RAPORU_BURAK_YENI1309[[#This Row],[SATINALMA]]*DST_123_ÜRETİM_İHTİYAÇ_RAPORU_BURAK_YENI1309[[#This Row],[BIRIM_FIYATLAR]])&lt;1,VALUE("0"),DST_123_ÜRETİM_İHTİYAÇ_RAPORU_BURAK_YENI1309[[#This Row],[SATINALMA]]*DST_123_ÜRETİM_İHTİYAÇ_RAPORU_BURAK_YENI1309[[#This Row],[BIRIM_FIYATLAR]])</f>
        <v>0</v>
      </c>
      <c r="N5699">
        <v>200</v>
      </c>
      <c r="O5699" t="s">
        <v>247</v>
      </c>
      <c r="P5699">
        <v>400</v>
      </c>
      <c r="Q5699" t="s">
        <v>177</v>
      </c>
    </row>
    <row r="5700" spans="1:17" x14ac:dyDescent="0.25">
      <c r="A5700" t="s">
        <v>1101</v>
      </c>
      <c r="B5700" t="s">
        <v>1102</v>
      </c>
      <c r="C5700" t="s">
        <v>175</v>
      </c>
      <c r="D5700" t="s">
        <v>879</v>
      </c>
      <c r="E5700" t="s">
        <v>880</v>
      </c>
      <c r="F5700">
        <v>1</v>
      </c>
      <c r="G5700" t="s">
        <v>176</v>
      </c>
      <c r="H5700">
        <v>1</v>
      </c>
      <c r="I5700">
        <v>9</v>
      </c>
      <c r="J5700" s="10">
        <v>8</v>
      </c>
      <c r="K5700" s="10">
        <f>SUMIFS(F:F,D:D,DST_123_ÜRETİM_İHTİYAÇ_RAPORU_BURAK_YENI1309[[#This Row],[ALT_KOD]])-(SUMIFS(H:H,D:D,DST_123_ÜRETİM_İHTİYAÇ_RAPORU_BURAK_YENI1309[[#This Row],[ALT_KOD]])+AVERAGEIFS(I:I,D:D,DST_123_ÜRETİM_İHTİYAÇ_RAPORU_BURAK_YENI1309[[#This Row],[ALT_KOD]])+AVERAGEIFS(L:L,D:D,DST_123_ÜRETİM_İHTİYAÇ_RAPORU_BURAK_YENI1309[[#This Row],[ALT_KOD]]))</f>
        <v>-12</v>
      </c>
      <c r="L5700">
        <v>15</v>
      </c>
      <c r="M5700">
        <f>IF((DST_123_ÜRETİM_İHTİYAÇ_RAPORU_BURAK_YENI1309[[#This Row],[SATINALMA]]*DST_123_ÜRETİM_İHTİYAÇ_RAPORU_BURAK_YENI1309[[#This Row],[BIRIM_FIYATLAR]])&lt;1,VALUE("0"),DST_123_ÜRETİM_İHTİYAÇ_RAPORU_BURAK_YENI1309[[#This Row],[SATINALMA]]*DST_123_ÜRETİM_İHTİYAÇ_RAPORU_BURAK_YENI1309[[#This Row],[BIRIM_FIYATLAR]])</f>
        <v>0</v>
      </c>
      <c r="N5700">
        <v>776.15</v>
      </c>
      <c r="O5700" t="s">
        <v>881</v>
      </c>
      <c r="P5700">
        <v>776.15</v>
      </c>
      <c r="Q5700" t="s">
        <v>221</v>
      </c>
    </row>
    <row r="5701" spans="1:17" x14ac:dyDescent="0.25">
      <c r="A5701" t="s">
        <v>1097</v>
      </c>
      <c r="B5701" t="s">
        <v>1055</v>
      </c>
      <c r="C5701" t="s">
        <v>175</v>
      </c>
      <c r="D5701" t="s">
        <v>879</v>
      </c>
      <c r="E5701" t="s">
        <v>880</v>
      </c>
      <c r="F5701">
        <v>1</v>
      </c>
      <c r="G5701" t="s">
        <v>176</v>
      </c>
      <c r="H5701">
        <v>1</v>
      </c>
      <c r="I5701">
        <v>9</v>
      </c>
      <c r="J5701" s="10">
        <v>8</v>
      </c>
      <c r="K5701" s="10">
        <f>SUMIFS(F:F,D:D,DST_123_ÜRETİM_İHTİYAÇ_RAPORU_BURAK_YENI1309[[#This Row],[ALT_KOD]])-(SUMIFS(H:H,D:D,DST_123_ÜRETİM_İHTİYAÇ_RAPORU_BURAK_YENI1309[[#This Row],[ALT_KOD]])+AVERAGEIFS(I:I,D:D,DST_123_ÜRETİM_İHTİYAÇ_RAPORU_BURAK_YENI1309[[#This Row],[ALT_KOD]])+AVERAGEIFS(L:L,D:D,DST_123_ÜRETİM_İHTİYAÇ_RAPORU_BURAK_YENI1309[[#This Row],[ALT_KOD]]))</f>
        <v>-12</v>
      </c>
      <c r="L5701">
        <v>15</v>
      </c>
      <c r="M5701">
        <f>IF((DST_123_ÜRETİM_İHTİYAÇ_RAPORU_BURAK_YENI1309[[#This Row],[SATINALMA]]*DST_123_ÜRETİM_İHTİYAÇ_RAPORU_BURAK_YENI1309[[#This Row],[BIRIM_FIYATLAR]])&lt;1,VALUE("0"),DST_123_ÜRETİM_İHTİYAÇ_RAPORU_BURAK_YENI1309[[#This Row],[SATINALMA]]*DST_123_ÜRETİM_İHTİYAÇ_RAPORU_BURAK_YENI1309[[#This Row],[BIRIM_FIYATLAR]])</f>
        <v>0</v>
      </c>
      <c r="N5701">
        <v>776.15</v>
      </c>
      <c r="O5701" t="s">
        <v>881</v>
      </c>
      <c r="P5701">
        <v>776.15</v>
      </c>
      <c r="Q5701" t="s">
        <v>221</v>
      </c>
    </row>
    <row r="5702" spans="1:17" x14ac:dyDescent="0.25">
      <c r="A5702" t="s">
        <v>1196</v>
      </c>
      <c r="B5702" t="s">
        <v>1197</v>
      </c>
      <c r="C5702" t="s">
        <v>175</v>
      </c>
      <c r="D5702" t="s">
        <v>879</v>
      </c>
      <c r="E5702" t="s">
        <v>880</v>
      </c>
      <c r="F5702">
        <v>1</v>
      </c>
      <c r="G5702" t="s">
        <v>176</v>
      </c>
      <c r="H5702">
        <v>0</v>
      </c>
      <c r="I5702">
        <v>9</v>
      </c>
      <c r="J5702" s="10">
        <v>8</v>
      </c>
      <c r="K5702" s="10">
        <f>SUMIFS(F:F,D:D,DST_123_ÜRETİM_İHTİYAÇ_RAPORU_BURAK_YENI1309[[#This Row],[ALT_KOD]])-(SUMIFS(H:H,D:D,DST_123_ÜRETİM_İHTİYAÇ_RAPORU_BURAK_YENI1309[[#This Row],[ALT_KOD]])+AVERAGEIFS(I:I,D:D,DST_123_ÜRETİM_İHTİYAÇ_RAPORU_BURAK_YENI1309[[#This Row],[ALT_KOD]])+AVERAGEIFS(L:L,D:D,DST_123_ÜRETİM_İHTİYAÇ_RAPORU_BURAK_YENI1309[[#This Row],[ALT_KOD]]))</f>
        <v>-12</v>
      </c>
      <c r="L5702">
        <v>15</v>
      </c>
      <c r="M5702">
        <f>IF((DST_123_ÜRETİM_İHTİYAÇ_RAPORU_BURAK_YENI1309[[#This Row],[SATINALMA]]*DST_123_ÜRETİM_İHTİYAÇ_RAPORU_BURAK_YENI1309[[#This Row],[BIRIM_FIYATLAR]])&lt;1,VALUE("0"),DST_123_ÜRETİM_İHTİYAÇ_RAPORU_BURAK_YENI1309[[#This Row],[SATINALMA]]*DST_123_ÜRETİM_İHTİYAÇ_RAPORU_BURAK_YENI1309[[#This Row],[BIRIM_FIYATLAR]])</f>
        <v>0</v>
      </c>
      <c r="N5702">
        <v>776.15</v>
      </c>
      <c r="O5702" t="s">
        <v>881</v>
      </c>
      <c r="P5702">
        <v>776.15</v>
      </c>
      <c r="Q5702" t="s">
        <v>221</v>
      </c>
    </row>
    <row r="5703" spans="1:17" x14ac:dyDescent="0.25">
      <c r="A5703" t="s">
        <v>1098</v>
      </c>
      <c r="B5703" t="s">
        <v>1096</v>
      </c>
      <c r="C5703" t="s">
        <v>175</v>
      </c>
      <c r="D5703" t="s">
        <v>879</v>
      </c>
      <c r="E5703" t="s">
        <v>880</v>
      </c>
      <c r="F5703">
        <v>1</v>
      </c>
      <c r="G5703" t="s">
        <v>176</v>
      </c>
      <c r="H5703">
        <v>0</v>
      </c>
      <c r="I5703">
        <v>9</v>
      </c>
      <c r="J5703" s="10">
        <v>8</v>
      </c>
      <c r="K5703" s="10">
        <f>SUMIFS(F:F,D:D,DST_123_ÜRETİM_İHTİYAÇ_RAPORU_BURAK_YENI1309[[#This Row],[ALT_KOD]])-(SUMIFS(H:H,D:D,DST_123_ÜRETİM_İHTİYAÇ_RAPORU_BURAK_YENI1309[[#This Row],[ALT_KOD]])+AVERAGEIFS(I:I,D:D,DST_123_ÜRETİM_İHTİYAÇ_RAPORU_BURAK_YENI1309[[#This Row],[ALT_KOD]])+AVERAGEIFS(L:L,D:D,DST_123_ÜRETİM_İHTİYAÇ_RAPORU_BURAK_YENI1309[[#This Row],[ALT_KOD]]))</f>
        <v>-12</v>
      </c>
      <c r="L5703">
        <v>15</v>
      </c>
      <c r="M5703">
        <f>IF((DST_123_ÜRETİM_İHTİYAÇ_RAPORU_BURAK_YENI1309[[#This Row],[SATINALMA]]*DST_123_ÜRETİM_İHTİYAÇ_RAPORU_BURAK_YENI1309[[#This Row],[BIRIM_FIYATLAR]])&lt;1,VALUE("0"),DST_123_ÜRETİM_İHTİYAÇ_RAPORU_BURAK_YENI1309[[#This Row],[SATINALMA]]*DST_123_ÜRETİM_İHTİYAÇ_RAPORU_BURAK_YENI1309[[#This Row],[BIRIM_FIYATLAR]])</f>
        <v>0</v>
      </c>
      <c r="N5703">
        <v>776.15</v>
      </c>
      <c r="O5703" t="s">
        <v>881</v>
      </c>
      <c r="P5703">
        <v>776.15</v>
      </c>
      <c r="Q5703" t="s">
        <v>221</v>
      </c>
    </row>
    <row r="5704" spans="1:17" x14ac:dyDescent="0.25">
      <c r="A5704" t="s">
        <v>1099</v>
      </c>
      <c r="B5704" t="s">
        <v>1055</v>
      </c>
      <c r="C5704" t="s">
        <v>175</v>
      </c>
      <c r="D5704" t="s">
        <v>879</v>
      </c>
      <c r="E5704" t="s">
        <v>880</v>
      </c>
      <c r="F5704">
        <v>1</v>
      </c>
      <c r="G5704" t="s">
        <v>176</v>
      </c>
      <c r="H5704">
        <v>0</v>
      </c>
      <c r="I5704">
        <v>9</v>
      </c>
      <c r="J5704" s="10">
        <v>8</v>
      </c>
      <c r="K5704" s="10">
        <f>SUMIFS(F:F,D:D,DST_123_ÜRETİM_İHTİYAÇ_RAPORU_BURAK_YENI1309[[#This Row],[ALT_KOD]])-(SUMIFS(H:H,D:D,DST_123_ÜRETİM_İHTİYAÇ_RAPORU_BURAK_YENI1309[[#This Row],[ALT_KOD]])+AVERAGEIFS(I:I,D:D,DST_123_ÜRETİM_İHTİYAÇ_RAPORU_BURAK_YENI1309[[#This Row],[ALT_KOD]])+AVERAGEIFS(L:L,D:D,DST_123_ÜRETİM_İHTİYAÇ_RAPORU_BURAK_YENI1309[[#This Row],[ALT_KOD]]))</f>
        <v>-12</v>
      </c>
      <c r="L5704">
        <v>15</v>
      </c>
      <c r="M5704">
        <f>IF((DST_123_ÜRETİM_İHTİYAÇ_RAPORU_BURAK_YENI1309[[#This Row],[SATINALMA]]*DST_123_ÜRETİM_İHTİYAÇ_RAPORU_BURAK_YENI1309[[#This Row],[BIRIM_FIYATLAR]])&lt;1,VALUE("0"),DST_123_ÜRETİM_İHTİYAÇ_RAPORU_BURAK_YENI1309[[#This Row],[SATINALMA]]*DST_123_ÜRETİM_İHTİYAÇ_RAPORU_BURAK_YENI1309[[#This Row],[BIRIM_FIYATLAR]])</f>
        <v>0</v>
      </c>
      <c r="N5704">
        <v>776.15</v>
      </c>
      <c r="O5704" t="s">
        <v>881</v>
      </c>
      <c r="P5704">
        <v>776.15</v>
      </c>
      <c r="Q5704" t="s">
        <v>221</v>
      </c>
    </row>
    <row r="5705" spans="1:17" x14ac:dyDescent="0.25">
      <c r="A5705" t="s">
        <v>1196</v>
      </c>
      <c r="B5705" t="s">
        <v>1197</v>
      </c>
      <c r="C5705" t="s">
        <v>175</v>
      </c>
      <c r="D5705" t="s">
        <v>1177</v>
      </c>
      <c r="E5705" t="s">
        <v>1178</v>
      </c>
      <c r="F5705">
        <v>2</v>
      </c>
      <c r="G5705" t="s">
        <v>176</v>
      </c>
      <c r="H5705">
        <v>0</v>
      </c>
      <c r="I5705">
        <v>500</v>
      </c>
      <c r="J5705" s="10">
        <v>500</v>
      </c>
      <c r="K5705" s="10">
        <f>SUMIFS(F:F,D:D,DST_123_ÜRETİM_İHTİYAÇ_RAPORU_BURAK_YENI1309[[#This Row],[ALT_KOD]])-(SUMIFS(H:H,D:D,DST_123_ÜRETİM_İHTİYAÇ_RAPORU_BURAK_YENI1309[[#This Row],[ALT_KOD]])+AVERAGEIFS(I:I,D:D,DST_123_ÜRETİM_İHTİYAÇ_RAPORU_BURAK_YENI1309[[#This Row],[ALT_KOD]])+AVERAGEIFS(L:L,D:D,DST_123_ÜRETİM_İHTİYAÇ_RAPORU_BURAK_YENI1309[[#This Row],[ALT_KOD]]))</f>
        <v>-486</v>
      </c>
      <c r="L5705">
        <v>0</v>
      </c>
      <c r="M5705">
        <f>IF((DST_123_ÜRETİM_İHTİYAÇ_RAPORU_BURAK_YENI1309[[#This Row],[SATINALMA]]*DST_123_ÜRETİM_İHTİYAÇ_RAPORU_BURAK_YENI1309[[#This Row],[BIRIM_FIYATLAR]])&lt;1,VALUE("0"),DST_123_ÜRETİM_İHTİYAÇ_RAPORU_BURAK_YENI1309[[#This Row],[SATINALMA]]*DST_123_ÜRETİM_İHTİYAÇ_RAPORU_BURAK_YENI1309[[#This Row],[BIRIM_FIYATLAR]])</f>
        <v>0</v>
      </c>
      <c r="N5705">
        <v>0.39</v>
      </c>
      <c r="O5705" t="s">
        <v>826</v>
      </c>
      <c r="P5705">
        <v>0.78</v>
      </c>
      <c r="Q5705" t="s">
        <v>221</v>
      </c>
    </row>
    <row r="5706" spans="1:17" x14ac:dyDescent="0.25">
      <c r="A5706" t="s">
        <v>1057</v>
      </c>
      <c r="B5706" t="s">
        <v>1058</v>
      </c>
      <c r="C5706" t="s">
        <v>175</v>
      </c>
      <c r="D5706" t="s">
        <v>340</v>
      </c>
      <c r="E5706" t="s">
        <v>341</v>
      </c>
      <c r="F5706">
        <v>1.5</v>
      </c>
      <c r="G5706" t="s">
        <v>176</v>
      </c>
      <c r="H5706">
        <v>1.5</v>
      </c>
      <c r="I5706">
        <v>75</v>
      </c>
      <c r="J5706" s="10">
        <v>42.70000000000006</v>
      </c>
      <c r="K5706" s="10">
        <f>SUMIFS(F:F,D:D,DST_123_ÜRETİM_İHTİYAÇ_RAPORU_BURAK_YENI1309[[#This Row],[ALT_KOD]])-(SUMIFS(H:H,D:D,DST_123_ÜRETİM_İHTİYAÇ_RAPORU_BURAK_YENI1309[[#This Row],[ALT_KOD]])+AVERAGEIFS(I:I,D:D,DST_123_ÜRETİM_İHTİYAÇ_RAPORU_BURAK_YENI1309[[#This Row],[ALT_KOD]])+AVERAGEIFS(L:L,D:D,DST_123_ÜRETİM_İHTİYAÇ_RAPORU_BURAK_YENI1309[[#This Row],[ALT_KOD]]))</f>
        <v>-48.040000000000006</v>
      </c>
      <c r="L5706">
        <v>0</v>
      </c>
      <c r="M5706">
        <f>IF((DST_123_ÜRETİM_İHTİYAÇ_RAPORU_BURAK_YENI1309[[#This Row],[SATINALMA]]*DST_123_ÜRETİM_İHTİYAÇ_RAPORU_BURAK_YENI1309[[#This Row],[BIRIM_FIYATLAR]])&lt;1,VALUE("0"),DST_123_ÜRETİM_İHTİYAÇ_RAPORU_BURAK_YENI1309[[#This Row],[SATINALMA]]*DST_123_ÜRETİM_İHTİYAÇ_RAPORU_BURAK_YENI1309[[#This Row],[BIRIM_FIYATLAR]])</f>
        <v>0</v>
      </c>
      <c r="N5706">
        <v>15</v>
      </c>
      <c r="O5706" t="s">
        <v>240</v>
      </c>
      <c r="P5706">
        <v>22.5</v>
      </c>
      <c r="Q5706" t="s">
        <v>180</v>
      </c>
    </row>
    <row r="5707" spans="1:17" x14ac:dyDescent="0.25">
      <c r="A5707" t="s">
        <v>1060</v>
      </c>
      <c r="B5707" t="s">
        <v>1061</v>
      </c>
      <c r="C5707" t="s">
        <v>175</v>
      </c>
      <c r="D5707" t="s">
        <v>340</v>
      </c>
      <c r="E5707" t="s">
        <v>341</v>
      </c>
      <c r="F5707">
        <v>1.5</v>
      </c>
      <c r="G5707" t="s">
        <v>176</v>
      </c>
      <c r="H5707">
        <v>1.5</v>
      </c>
      <c r="I5707">
        <v>75</v>
      </c>
      <c r="J5707" s="10">
        <v>42.70000000000006</v>
      </c>
      <c r="K5707" s="10">
        <f>SUMIFS(F:F,D:D,DST_123_ÜRETİM_İHTİYAÇ_RAPORU_BURAK_YENI1309[[#This Row],[ALT_KOD]])-(SUMIFS(H:H,D:D,DST_123_ÜRETİM_İHTİYAÇ_RAPORU_BURAK_YENI1309[[#This Row],[ALT_KOD]])+AVERAGEIFS(I:I,D:D,DST_123_ÜRETİM_İHTİYAÇ_RAPORU_BURAK_YENI1309[[#This Row],[ALT_KOD]])+AVERAGEIFS(L:L,D:D,DST_123_ÜRETİM_İHTİYAÇ_RAPORU_BURAK_YENI1309[[#This Row],[ALT_KOD]]))</f>
        <v>-48.040000000000006</v>
      </c>
      <c r="L5707">
        <v>0</v>
      </c>
      <c r="M5707">
        <f>IF((DST_123_ÜRETİM_İHTİYAÇ_RAPORU_BURAK_YENI1309[[#This Row],[SATINALMA]]*DST_123_ÜRETİM_İHTİYAÇ_RAPORU_BURAK_YENI1309[[#This Row],[BIRIM_FIYATLAR]])&lt;1,VALUE("0"),DST_123_ÜRETİM_İHTİYAÇ_RAPORU_BURAK_YENI1309[[#This Row],[SATINALMA]]*DST_123_ÜRETİM_İHTİYAÇ_RAPORU_BURAK_YENI1309[[#This Row],[BIRIM_FIYATLAR]])</f>
        <v>0</v>
      </c>
      <c r="N5707">
        <v>15</v>
      </c>
      <c r="O5707" t="s">
        <v>240</v>
      </c>
      <c r="P5707">
        <v>22.5</v>
      </c>
      <c r="Q5707" t="s">
        <v>180</v>
      </c>
    </row>
    <row r="5708" spans="1:17" x14ac:dyDescent="0.25">
      <c r="A5708" t="s">
        <v>1057</v>
      </c>
      <c r="B5708" t="s">
        <v>1058</v>
      </c>
      <c r="C5708" t="s">
        <v>175</v>
      </c>
      <c r="D5708" t="s">
        <v>779</v>
      </c>
      <c r="E5708" t="s">
        <v>780</v>
      </c>
      <c r="F5708">
        <v>2</v>
      </c>
      <c r="G5708" t="s">
        <v>176</v>
      </c>
      <c r="H5708">
        <v>2</v>
      </c>
      <c r="I5708">
        <v>1</v>
      </c>
      <c r="J5708" s="10">
        <v>14</v>
      </c>
      <c r="K5708" s="10">
        <f>SUMIFS(F:F,D:D,DST_123_ÜRETİM_İHTİYAÇ_RAPORU_BURAK_YENI1309[[#This Row],[ALT_KOD]])-(SUMIFS(H:H,D:D,DST_123_ÜRETİM_İHTİYAÇ_RAPORU_BURAK_YENI1309[[#This Row],[ALT_KOD]])+AVERAGEIFS(I:I,D:D,DST_123_ÜRETİM_İHTİYAÇ_RAPORU_BURAK_YENI1309[[#This Row],[ALT_KOD]])+AVERAGEIFS(L:L,D:D,DST_123_ÜRETİM_İHTİYAÇ_RAPORU_BURAK_YENI1309[[#This Row],[ALT_KOD]]))</f>
        <v>25</v>
      </c>
      <c r="L5708">
        <v>0</v>
      </c>
      <c r="M5708">
        <f>IF((DST_123_ÜRETİM_İHTİYAÇ_RAPORU_BURAK_YENI1309[[#This Row],[SATINALMA]]*DST_123_ÜRETİM_İHTİYAÇ_RAPORU_BURAK_YENI1309[[#This Row],[BIRIM_FIYATLAR]])&lt;1,VALUE("0"),DST_123_ÜRETİM_İHTİYAÇ_RAPORU_BURAK_YENI1309[[#This Row],[SATINALMA]]*DST_123_ÜRETİM_İHTİYAÇ_RAPORU_BURAK_YENI1309[[#This Row],[BIRIM_FIYATLAR]])</f>
        <v>11103.25</v>
      </c>
      <c r="N5708">
        <v>444.13</v>
      </c>
      <c r="O5708" t="s">
        <v>589</v>
      </c>
      <c r="P5708">
        <v>888.26</v>
      </c>
      <c r="Q5708" t="s">
        <v>177</v>
      </c>
    </row>
    <row r="5709" spans="1:17" x14ac:dyDescent="0.25">
      <c r="A5709" t="s">
        <v>1059</v>
      </c>
      <c r="B5709" t="s">
        <v>1058</v>
      </c>
      <c r="C5709" t="s">
        <v>175</v>
      </c>
      <c r="D5709" t="s">
        <v>779</v>
      </c>
      <c r="E5709" t="s">
        <v>780</v>
      </c>
      <c r="F5709">
        <v>2</v>
      </c>
      <c r="G5709" t="s">
        <v>176</v>
      </c>
      <c r="H5709">
        <v>2</v>
      </c>
      <c r="I5709">
        <v>1</v>
      </c>
      <c r="J5709" s="10">
        <v>14</v>
      </c>
      <c r="K5709" s="10">
        <f>SUMIFS(F:F,D:D,DST_123_ÜRETİM_İHTİYAÇ_RAPORU_BURAK_YENI1309[[#This Row],[ALT_KOD]])-(SUMIFS(H:H,D:D,DST_123_ÜRETİM_İHTİYAÇ_RAPORU_BURAK_YENI1309[[#This Row],[ALT_KOD]])+AVERAGEIFS(I:I,D:D,DST_123_ÜRETİM_İHTİYAÇ_RAPORU_BURAK_YENI1309[[#This Row],[ALT_KOD]])+AVERAGEIFS(L:L,D:D,DST_123_ÜRETİM_İHTİYAÇ_RAPORU_BURAK_YENI1309[[#This Row],[ALT_KOD]]))</f>
        <v>25</v>
      </c>
      <c r="L5709">
        <v>0</v>
      </c>
      <c r="M5709">
        <f>IF((DST_123_ÜRETİM_İHTİYAÇ_RAPORU_BURAK_YENI1309[[#This Row],[SATINALMA]]*DST_123_ÜRETİM_İHTİYAÇ_RAPORU_BURAK_YENI1309[[#This Row],[BIRIM_FIYATLAR]])&lt;1,VALUE("0"),DST_123_ÜRETİM_İHTİYAÇ_RAPORU_BURAK_YENI1309[[#This Row],[SATINALMA]]*DST_123_ÜRETİM_İHTİYAÇ_RAPORU_BURAK_YENI1309[[#This Row],[BIRIM_FIYATLAR]])</f>
        <v>11103.25</v>
      </c>
      <c r="N5709">
        <v>444.13</v>
      </c>
      <c r="O5709" t="s">
        <v>589</v>
      </c>
      <c r="P5709">
        <v>888.26</v>
      </c>
      <c r="Q5709" t="s">
        <v>177</v>
      </c>
    </row>
    <row r="5710" spans="1:17" x14ac:dyDescent="0.25">
      <c r="A5710" t="s">
        <v>1057</v>
      </c>
      <c r="B5710" t="s">
        <v>1058</v>
      </c>
      <c r="C5710" t="s">
        <v>175</v>
      </c>
      <c r="D5710" t="s">
        <v>106</v>
      </c>
      <c r="E5710" t="s">
        <v>107</v>
      </c>
      <c r="F5710">
        <v>1</v>
      </c>
      <c r="G5710" t="s">
        <v>176</v>
      </c>
      <c r="H5710">
        <v>1</v>
      </c>
      <c r="I5710">
        <v>7</v>
      </c>
      <c r="J5710" s="10">
        <v>10</v>
      </c>
      <c r="K5710" s="10">
        <f>SUMIFS(F:F,D:D,DST_123_ÜRETİM_İHTİYAÇ_RAPORU_BURAK_YENI1309[[#This Row],[ALT_KOD]])-(SUMIFS(H:H,D:D,DST_123_ÜRETİM_İHTİYAÇ_RAPORU_BURAK_YENI1309[[#This Row],[ALT_KOD]])+AVERAGEIFS(I:I,D:D,DST_123_ÜRETİM_İHTİYAÇ_RAPORU_BURAK_YENI1309[[#This Row],[ALT_KOD]])+AVERAGEIFS(L:L,D:D,DST_123_ÜRETİM_İHTİYAÇ_RAPORU_BURAK_YENI1309[[#This Row],[ALT_KOD]]))</f>
        <v>-1</v>
      </c>
      <c r="L5710">
        <v>5</v>
      </c>
      <c r="M5710">
        <f>IF((DST_123_ÜRETİM_İHTİYAÇ_RAPORU_BURAK_YENI1309[[#This Row],[SATINALMA]]*DST_123_ÜRETİM_İHTİYAÇ_RAPORU_BURAK_YENI1309[[#This Row],[BIRIM_FIYATLAR]])&lt;1,VALUE("0"),DST_123_ÜRETİM_İHTİYAÇ_RAPORU_BURAK_YENI1309[[#This Row],[SATINALMA]]*DST_123_ÜRETİM_İHTİYAÇ_RAPORU_BURAK_YENI1309[[#This Row],[BIRIM_FIYATLAR]])</f>
        <v>0</v>
      </c>
      <c r="N5710">
        <v>1200</v>
      </c>
      <c r="O5710" t="s">
        <v>217</v>
      </c>
      <c r="P5710">
        <v>1200</v>
      </c>
      <c r="Q5710" t="s">
        <v>178</v>
      </c>
    </row>
    <row r="5711" spans="1:17" x14ac:dyDescent="0.25">
      <c r="A5711" t="s">
        <v>1060</v>
      </c>
      <c r="B5711" t="s">
        <v>1061</v>
      </c>
      <c r="C5711" t="s">
        <v>175</v>
      </c>
      <c r="D5711" t="s">
        <v>106</v>
      </c>
      <c r="E5711" t="s">
        <v>107</v>
      </c>
      <c r="F5711">
        <v>1</v>
      </c>
      <c r="G5711" t="s">
        <v>176</v>
      </c>
      <c r="H5711">
        <v>1</v>
      </c>
      <c r="I5711">
        <v>7</v>
      </c>
      <c r="J5711" s="10">
        <v>10</v>
      </c>
      <c r="K5711" s="10">
        <f>SUMIFS(F:F,D:D,DST_123_ÜRETİM_İHTİYAÇ_RAPORU_BURAK_YENI1309[[#This Row],[ALT_KOD]])-(SUMIFS(H:H,D:D,DST_123_ÜRETİM_İHTİYAÇ_RAPORU_BURAK_YENI1309[[#This Row],[ALT_KOD]])+AVERAGEIFS(I:I,D:D,DST_123_ÜRETİM_İHTİYAÇ_RAPORU_BURAK_YENI1309[[#This Row],[ALT_KOD]])+AVERAGEIFS(L:L,D:D,DST_123_ÜRETİM_İHTİYAÇ_RAPORU_BURAK_YENI1309[[#This Row],[ALT_KOD]]))</f>
        <v>-1</v>
      </c>
      <c r="L5711">
        <v>5</v>
      </c>
      <c r="M5711">
        <f>IF((DST_123_ÜRETİM_İHTİYAÇ_RAPORU_BURAK_YENI1309[[#This Row],[SATINALMA]]*DST_123_ÜRETİM_İHTİYAÇ_RAPORU_BURAK_YENI1309[[#This Row],[BIRIM_FIYATLAR]])&lt;1,VALUE("0"),DST_123_ÜRETİM_İHTİYAÇ_RAPORU_BURAK_YENI1309[[#This Row],[SATINALMA]]*DST_123_ÜRETİM_İHTİYAÇ_RAPORU_BURAK_YENI1309[[#This Row],[BIRIM_FIYATLAR]])</f>
        <v>0</v>
      </c>
      <c r="N5711">
        <v>1200</v>
      </c>
      <c r="O5711" t="s">
        <v>217</v>
      </c>
      <c r="P5711">
        <v>1200</v>
      </c>
      <c r="Q5711" t="s">
        <v>178</v>
      </c>
    </row>
    <row r="5712" spans="1:17" x14ac:dyDescent="0.25">
      <c r="A5712" t="s">
        <v>1100</v>
      </c>
      <c r="B5712" t="s">
        <v>1058</v>
      </c>
      <c r="C5712" t="s">
        <v>175</v>
      </c>
      <c r="D5712" t="s">
        <v>335</v>
      </c>
      <c r="E5712" t="s">
        <v>622</v>
      </c>
      <c r="F5712">
        <v>1</v>
      </c>
      <c r="G5712" t="s">
        <v>176</v>
      </c>
      <c r="H5712">
        <v>1</v>
      </c>
      <c r="I5712">
        <v>5</v>
      </c>
      <c r="J5712" s="10">
        <v>4</v>
      </c>
      <c r="K5712" s="10">
        <f>SUMIFS(F:F,D:D,DST_123_ÜRETİM_İHTİYAÇ_RAPORU_BURAK_YENI1309[[#This Row],[ALT_KOD]])-(SUMIFS(H:H,D:D,DST_123_ÜRETİM_İHTİYAÇ_RAPORU_BURAK_YENI1309[[#This Row],[ALT_KOD]])+AVERAGEIFS(I:I,D:D,DST_123_ÜRETİM_İHTİYAÇ_RAPORU_BURAK_YENI1309[[#This Row],[ALT_KOD]])+AVERAGEIFS(L:L,D:D,DST_123_ÜRETİM_İHTİYAÇ_RAPORU_BURAK_YENI1309[[#This Row],[ALT_KOD]]))</f>
        <v>2</v>
      </c>
      <c r="L5712">
        <v>0</v>
      </c>
      <c r="M5712">
        <f>IF((DST_123_ÜRETİM_İHTİYAÇ_RAPORU_BURAK_YENI1309[[#This Row],[SATINALMA]]*DST_123_ÜRETİM_İHTİYAÇ_RAPORU_BURAK_YENI1309[[#This Row],[BIRIM_FIYATLAR]])&lt;1,VALUE("0"),DST_123_ÜRETİM_İHTİYAÇ_RAPORU_BURAK_YENI1309[[#This Row],[SATINALMA]]*DST_123_ÜRETİM_İHTİYAÇ_RAPORU_BURAK_YENI1309[[#This Row],[BIRIM_FIYATLAR]])</f>
        <v>3447.58</v>
      </c>
      <c r="N5712">
        <v>1723.79</v>
      </c>
      <c r="O5712" t="s">
        <v>636</v>
      </c>
      <c r="P5712">
        <v>1723.79</v>
      </c>
      <c r="Q5712" t="s">
        <v>178</v>
      </c>
    </row>
    <row r="5713" spans="1:17" x14ac:dyDescent="0.25">
      <c r="A5713" t="s">
        <v>1060</v>
      </c>
      <c r="B5713" t="s">
        <v>1061</v>
      </c>
      <c r="C5713" t="s">
        <v>175</v>
      </c>
      <c r="D5713" t="s">
        <v>335</v>
      </c>
      <c r="E5713" t="s">
        <v>622</v>
      </c>
      <c r="F5713">
        <v>1</v>
      </c>
      <c r="G5713" t="s">
        <v>176</v>
      </c>
      <c r="H5713">
        <v>1</v>
      </c>
      <c r="I5713">
        <v>5</v>
      </c>
      <c r="J5713" s="10">
        <v>4</v>
      </c>
      <c r="K5713" s="10">
        <f>SUMIFS(F:F,D:D,DST_123_ÜRETİM_İHTİYAÇ_RAPORU_BURAK_YENI1309[[#This Row],[ALT_KOD]])-(SUMIFS(H:H,D:D,DST_123_ÜRETİM_İHTİYAÇ_RAPORU_BURAK_YENI1309[[#This Row],[ALT_KOD]])+AVERAGEIFS(I:I,D:D,DST_123_ÜRETİM_İHTİYAÇ_RAPORU_BURAK_YENI1309[[#This Row],[ALT_KOD]])+AVERAGEIFS(L:L,D:D,DST_123_ÜRETİM_İHTİYAÇ_RAPORU_BURAK_YENI1309[[#This Row],[ALT_KOD]]))</f>
        <v>2</v>
      </c>
      <c r="L5713">
        <v>0</v>
      </c>
      <c r="M5713">
        <f>IF((DST_123_ÜRETİM_İHTİYAÇ_RAPORU_BURAK_YENI1309[[#This Row],[SATINALMA]]*DST_123_ÜRETİM_İHTİYAÇ_RAPORU_BURAK_YENI1309[[#This Row],[BIRIM_FIYATLAR]])&lt;1,VALUE("0"),DST_123_ÜRETİM_İHTİYAÇ_RAPORU_BURAK_YENI1309[[#This Row],[SATINALMA]]*DST_123_ÜRETİM_İHTİYAÇ_RAPORU_BURAK_YENI1309[[#This Row],[BIRIM_FIYATLAR]])</f>
        <v>3447.58</v>
      </c>
      <c r="N5713">
        <v>1723.79</v>
      </c>
      <c r="O5713" t="s">
        <v>636</v>
      </c>
      <c r="P5713">
        <v>1723.79</v>
      </c>
      <c r="Q5713" t="s">
        <v>178</v>
      </c>
    </row>
    <row r="5714" spans="1:17" x14ac:dyDescent="0.25">
      <c r="A5714" t="s">
        <v>1150</v>
      </c>
      <c r="B5714" t="s">
        <v>1145</v>
      </c>
      <c r="C5714" t="s">
        <v>175</v>
      </c>
      <c r="D5714" t="s">
        <v>335</v>
      </c>
      <c r="E5714" t="s">
        <v>622</v>
      </c>
      <c r="F5714">
        <v>1</v>
      </c>
      <c r="G5714" t="s">
        <v>176</v>
      </c>
      <c r="H5714">
        <v>1</v>
      </c>
      <c r="I5714">
        <v>5</v>
      </c>
      <c r="J5714" s="10">
        <v>4</v>
      </c>
      <c r="K5714" s="10">
        <f>SUMIFS(F:F,D:D,DST_123_ÜRETİM_İHTİYAÇ_RAPORU_BURAK_YENI1309[[#This Row],[ALT_KOD]])-(SUMIFS(H:H,D:D,DST_123_ÜRETİM_İHTİYAÇ_RAPORU_BURAK_YENI1309[[#This Row],[ALT_KOD]])+AVERAGEIFS(I:I,D:D,DST_123_ÜRETİM_İHTİYAÇ_RAPORU_BURAK_YENI1309[[#This Row],[ALT_KOD]])+AVERAGEIFS(L:L,D:D,DST_123_ÜRETİM_İHTİYAÇ_RAPORU_BURAK_YENI1309[[#This Row],[ALT_KOD]]))</f>
        <v>2</v>
      </c>
      <c r="L5714">
        <v>0</v>
      </c>
      <c r="M5714">
        <f>IF((DST_123_ÜRETİM_İHTİYAÇ_RAPORU_BURAK_YENI1309[[#This Row],[SATINALMA]]*DST_123_ÜRETİM_İHTİYAÇ_RAPORU_BURAK_YENI1309[[#This Row],[BIRIM_FIYATLAR]])&lt;1,VALUE("0"),DST_123_ÜRETİM_İHTİYAÇ_RAPORU_BURAK_YENI1309[[#This Row],[SATINALMA]]*DST_123_ÜRETİM_İHTİYAÇ_RAPORU_BURAK_YENI1309[[#This Row],[BIRIM_FIYATLAR]])</f>
        <v>3447.58</v>
      </c>
      <c r="N5714">
        <v>1723.79</v>
      </c>
      <c r="O5714" t="s">
        <v>636</v>
      </c>
      <c r="P5714">
        <v>1723.79</v>
      </c>
      <c r="Q5714" t="s">
        <v>178</v>
      </c>
    </row>
    <row r="5715" spans="1:17" x14ac:dyDescent="0.25">
      <c r="A5715" t="s">
        <v>1100</v>
      </c>
      <c r="B5715" t="s">
        <v>1058</v>
      </c>
      <c r="C5715" t="s">
        <v>175</v>
      </c>
      <c r="D5715" t="s">
        <v>965</v>
      </c>
      <c r="E5715" t="s">
        <v>966</v>
      </c>
      <c r="F5715">
        <v>1</v>
      </c>
      <c r="G5715" t="s">
        <v>176</v>
      </c>
      <c r="H5715">
        <v>1</v>
      </c>
      <c r="I5715">
        <v>1</v>
      </c>
      <c r="J5715" s="10">
        <v>6</v>
      </c>
      <c r="K5715" s="10">
        <f>SUMIFS(F:F,D:D,DST_123_ÜRETİM_İHTİYAÇ_RAPORU_BURAK_YENI1309[[#This Row],[ALT_KOD]])-(SUMIFS(H:H,D:D,DST_123_ÜRETİM_İHTİYAÇ_RAPORU_BURAK_YENI1309[[#This Row],[ALT_KOD]])+AVERAGEIFS(I:I,D:D,DST_123_ÜRETİM_İHTİYAÇ_RAPORU_BURAK_YENI1309[[#This Row],[ALT_KOD]])+AVERAGEIFS(L:L,D:D,DST_123_ÜRETİM_İHTİYAÇ_RAPORU_BURAK_YENI1309[[#This Row],[ALT_KOD]]))</f>
        <v>2</v>
      </c>
      <c r="L5715">
        <v>0</v>
      </c>
      <c r="M5715">
        <f>IF((DST_123_ÜRETİM_İHTİYAÇ_RAPORU_BURAK_YENI1309[[#This Row],[SATINALMA]]*DST_123_ÜRETİM_İHTİYAÇ_RAPORU_BURAK_YENI1309[[#This Row],[BIRIM_FIYATLAR]])&lt;1,VALUE("0"),DST_123_ÜRETİM_İHTİYAÇ_RAPORU_BURAK_YENI1309[[#This Row],[SATINALMA]]*DST_123_ÜRETİM_İHTİYAÇ_RAPORU_BURAK_YENI1309[[#This Row],[BIRIM_FIYATLAR]])</f>
        <v>16849.34</v>
      </c>
      <c r="N5715">
        <v>8424.67</v>
      </c>
      <c r="O5715" t="s">
        <v>634</v>
      </c>
      <c r="P5715">
        <v>8424.67</v>
      </c>
      <c r="Q5715" t="s">
        <v>177</v>
      </c>
    </row>
    <row r="5716" spans="1:17" x14ac:dyDescent="0.25">
      <c r="A5716" t="s">
        <v>1097</v>
      </c>
      <c r="B5716" t="s">
        <v>1055</v>
      </c>
      <c r="C5716" t="s">
        <v>175</v>
      </c>
      <c r="D5716" t="s">
        <v>106</v>
      </c>
      <c r="E5716" t="s">
        <v>107</v>
      </c>
      <c r="F5716">
        <v>1</v>
      </c>
      <c r="G5716" t="s">
        <v>176</v>
      </c>
      <c r="H5716">
        <v>1</v>
      </c>
      <c r="I5716">
        <v>7</v>
      </c>
      <c r="J5716" s="10">
        <v>10</v>
      </c>
      <c r="K5716" s="10">
        <f>SUMIFS(F:F,D:D,DST_123_ÜRETİM_İHTİYAÇ_RAPORU_BURAK_YENI1309[[#This Row],[ALT_KOD]])-(SUMIFS(H:H,D:D,DST_123_ÜRETİM_İHTİYAÇ_RAPORU_BURAK_YENI1309[[#This Row],[ALT_KOD]])+AVERAGEIFS(I:I,D:D,DST_123_ÜRETİM_İHTİYAÇ_RAPORU_BURAK_YENI1309[[#This Row],[ALT_KOD]])+AVERAGEIFS(L:L,D:D,DST_123_ÜRETİM_İHTİYAÇ_RAPORU_BURAK_YENI1309[[#This Row],[ALT_KOD]]))</f>
        <v>-1</v>
      </c>
      <c r="L5716">
        <v>5</v>
      </c>
      <c r="M5716">
        <f>IF((DST_123_ÜRETİM_İHTİYAÇ_RAPORU_BURAK_YENI1309[[#This Row],[SATINALMA]]*DST_123_ÜRETİM_İHTİYAÇ_RAPORU_BURAK_YENI1309[[#This Row],[BIRIM_FIYATLAR]])&lt;1,VALUE("0"),DST_123_ÜRETİM_İHTİYAÇ_RAPORU_BURAK_YENI1309[[#This Row],[SATINALMA]]*DST_123_ÜRETİM_İHTİYAÇ_RAPORU_BURAK_YENI1309[[#This Row],[BIRIM_FIYATLAR]])</f>
        <v>0</v>
      </c>
      <c r="N5716">
        <v>1200</v>
      </c>
      <c r="O5716" t="s">
        <v>217</v>
      </c>
      <c r="P5716">
        <v>1200</v>
      </c>
      <c r="Q5716" t="s">
        <v>178</v>
      </c>
    </row>
    <row r="5717" spans="1:17" x14ac:dyDescent="0.25">
      <c r="A5717" t="s">
        <v>1100</v>
      </c>
      <c r="B5717" t="s">
        <v>1058</v>
      </c>
      <c r="C5717" t="s">
        <v>175</v>
      </c>
      <c r="D5717" t="s">
        <v>271</v>
      </c>
      <c r="E5717" t="s">
        <v>620</v>
      </c>
      <c r="F5717">
        <v>1</v>
      </c>
      <c r="G5717" t="s">
        <v>176</v>
      </c>
      <c r="H5717">
        <v>1</v>
      </c>
      <c r="I5717">
        <v>8</v>
      </c>
      <c r="J5717" s="10">
        <v>4</v>
      </c>
      <c r="K5717" s="10">
        <f>SUMIFS(F:F,D:D,DST_123_ÜRETİM_İHTİYAÇ_RAPORU_BURAK_YENI1309[[#This Row],[ALT_KOD]])-(SUMIFS(H:H,D:D,DST_123_ÜRETİM_İHTİYAÇ_RAPORU_BURAK_YENI1309[[#This Row],[ALT_KOD]])+AVERAGEIFS(I:I,D:D,DST_123_ÜRETİM_İHTİYAÇ_RAPORU_BURAK_YENI1309[[#This Row],[ALT_KOD]])+AVERAGEIFS(L:L,D:D,DST_123_ÜRETİM_İHTİYAÇ_RAPORU_BURAK_YENI1309[[#This Row],[ALT_KOD]]))</f>
        <v>-1</v>
      </c>
      <c r="L5717">
        <v>0</v>
      </c>
      <c r="M5717">
        <f>IF((DST_123_ÜRETİM_İHTİYAÇ_RAPORU_BURAK_YENI1309[[#This Row],[SATINALMA]]*DST_123_ÜRETİM_İHTİYAÇ_RAPORU_BURAK_YENI1309[[#This Row],[BIRIM_FIYATLAR]])&lt;1,VALUE("0"),DST_123_ÜRETİM_İHTİYAÇ_RAPORU_BURAK_YENI1309[[#This Row],[SATINALMA]]*DST_123_ÜRETİM_İHTİYAÇ_RAPORU_BURAK_YENI1309[[#This Row],[BIRIM_FIYATLAR]])</f>
        <v>0</v>
      </c>
      <c r="N5717">
        <v>1723.79</v>
      </c>
      <c r="O5717" t="s">
        <v>636</v>
      </c>
      <c r="P5717">
        <v>1723.79</v>
      </c>
      <c r="Q5717" t="s">
        <v>178</v>
      </c>
    </row>
    <row r="5718" spans="1:17" x14ac:dyDescent="0.25">
      <c r="A5718" t="s">
        <v>1144</v>
      </c>
      <c r="B5718" t="s">
        <v>1145</v>
      </c>
      <c r="C5718" t="s">
        <v>175</v>
      </c>
      <c r="D5718" t="s">
        <v>271</v>
      </c>
      <c r="E5718" t="s">
        <v>620</v>
      </c>
      <c r="F5718">
        <v>1</v>
      </c>
      <c r="G5718" t="s">
        <v>176</v>
      </c>
      <c r="H5718">
        <v>1</v>
      </c>
      <c r="I5718">
        <v>8</v>
      </c>
      <c r="J5718" s="10">
        <v>4</v>
      </c>
      <c r="K5718" s="10">
        <f>SUMIFS(F:F,D:D,DST_123_ÜRETİM_İHTİYAÇ_RAPORU_BURAK_YENI1309[[#This Row],[ALT_KOD]])-(SUMIFS(H:H,D:D,DST_123_ÜRETİM_İHTİYAÇ_RAPORU_BURAK_YENI1309[[#This Row],[ALT_KOD]])+AVERAGEIFS(I:I,D:D,DST_123_ÜRETİM_İHTİYAÇ_RAPORU_BURAK_YENI1309[[#This Row],[ALT_KOD]])+AVERAGEIFS(L:L,D:D,DST_123_ÜRETİM_İHTİYAÇ_RAPORU_BURAK_YENI1309[[#This Row],[ALT_KOD]]))</f>
        <v>-1</v>
      </c>
      <c r="L5718">
        <v>0</v>
      </c>
      <c r="M5718">
        <f>IF((DST_123_ÜRETİM_İHTİYAÇ_RAPORU_BURAK_YENI1309[[#This Row],[SATINALMA]]*DST_123_ÜRETİM_İHTİYAÇ_RAPORU_BURAK_YENI1309[[#This Row],[BIRIM_FIYATLAR]])&lt;1,VALUE("0"),DST_123_ÜRETİM_İHTİYAÇ_RAPORU_BURAK_YENI1309[[#This Row],[SATINALMA]]*DST_123_ÜRETİM_İHTİYAÇ_RAPORU_BURAK_YENI1309[[#This Row],[BIRIM_FIYATLAR]])</f>
        <v>0</v>
      </c>
      <c r="N5718">
        <v>1723.79</v>
      </c>
      <c r="O5718" t="s">
        <v>636</v>
      </c>
      <c r="P5718">
        <v>1723.79</v>
      </c>
      <c r="Q5718" t="s">
        <v>178</v>
      </c>
    </row>
    <row r="5719" spans="1:17" x14ac:dyDescent="0.25">
      <c r="A5719" t="s">
        <v>1057</v>
      </c>
      <c r="B5719" t="s">
        <v>1058</v>
      </c>
      <c r="C5719" t="s">
        <v>175</v>
      </c>
      <c r="D5719" t="s">
        <v>273</v>
      </c>
      <c r="E5719" t="s">
        <v>274</v>
      </c>
      <c r="F5719">
        <v>1</v>
      </c>
      <c r="G5719" t="s">
        <v>176</v>
      </c>
      <c r="H5719">
        <v>1</v>
      </c>
      <c r="I5719">
        <v>7</v>
      </c>
      <c r="J5719" s="10">
        <v>10</v>
      </c>
      <c r="K5719" s="10">
        <f>SUMIFS(F:F,D:D,DST_123_ÜRETİM_İHTİYAÇ_RAPORU_BURAK_YENI1309[[#This Row],[ALT_KOD]])-(SUMIFS(H:H,D:D,DST_123_ÜRETİM_İHTİYAÇ_RAPORU_BURAK_YENI1309[[#This Row],[ALT_KOD]])+AVERAGEIFS(I:I,D:D,DST_123_ÜRETİM_İHTİYAÇ_RAPORU_BURAK_YENI1309[[#This Row],[ALT_KOD]])+AVERAGEIFS(L:L,D:D,DST_123_ÜRETİM_İHTİYAÇ_RAPORU_BURAK_YENI1309[[#This Row],[ALT_KOD]]))</f>
        <v>4</v>
      </c>
      <c r="L5719">
        <v>0</v>
      </c>
      <c r="M5719">
        <f>IF((DST_123_ÜRETİM_İHTİYAÇ_RAPORU_BURAK_YENI1309[[#This Row],[SATINALMA]]*DST_123_ÜRETİM_İHTİYAÇ_RAPORU_BURAK_YENI1309[[#This Row],[BIRIM_FIYATLAR]])&lt;1,VALUE("0"),DST_123_ÜRETİM_İHTİYAÇ_RAPORU_BURAK_YENI1309[[#This Row],[SATINALMA]]*DST_123_ÜRETİM_İHTİYAÇ_RAPORU_BURAK_YENI1309[[#This Row],[BIRIM_FIYATLAR]])</f>
        <v>1950.24</v>
      </c>
      <c r="N5719">
        <v>487.56</v>
      </c>
      <c r="O5719" t="s">
        <v>275</v>
      </c>
      <c r="P5719">
        <v>487.56</v>
      </c>
      <c r="Q5719" t="s">
        <v>177</v>
      </c>
    </row>
    <row r="5720" spans="1:17" x14ac:dyDescent="0.25">
      <c r="A5720" t="s">
        <v>1100</v>
      </c>
      <c r="B5720" t="s">
        <v>1058</v>
      </c>
      <c r="C5720" t="s">
        <v>175</v>
      </c>
      <c r="D5720" t="s">
        <v>934</v>
      </c>
      <c r="E5720" t="s">
        <v>935</v>
      </c>
      <c r="F5720">
        <v>2</v>
      </c>
      <c r="G5720" t="s">
        <v>176</v>
      </c>
      <c r="H5720">
        <v>2</v>
      </c>
      <c r="I5720">
        <v>33</v>
      </c>
      <c r="J5720" s="10">
        <v>16</v>
      </c>
      <c r="K5720" s="10">
        <f>SUMIFS(F:F,D:D,DST_123_ÜRETİM_İHTİYAÇ_RAPORU_BURAK_YENI1309[[#This Row],[ALT_KOD]])-(SUMIFS(H:H,D:D,DST_123_ÜRETİM_İHTİYAÇ_RAPORU_BURAK_YENI1309[[#This Row],[ALT_KOD]])+AVERAGEIFS(I:I,D:D,DST_123_ÜRETİM_İHTİYAÇ_RAPORU_BURAK_YENI1309[[#This Row],[ALT_KOD]])+AVERAGEIFS(L:L,D:D,DST_123_ÜRETİM_İHTİYAÇ_RAPORU_BURAK_YENI1309[[#This Row],[ALT_KOD]]))</f>
        <v>-31</v>
      </c>
      <c r="L5720">
        <v>0</v>
      </c>
      <c r="M5720">
        <f>IF((DST_123_ÜRETİM_İHTİYAÇ_RAPORU_BURAK_YENI1309[[#This Row],[SATINALMA]]*DST_123_ÜRETİM_İHTİYAÇ_RAPORU_BURAK_YENI1309[[#This Row],[BIRIM_FIYATLAR]])&lt;1,VALUE("0"),DST_123_ÜRETİM_İHTİYAÇ_RAPORU_BURAK_YENI1309[[#This Row],[SATINALMA]]*DST_123_ÜRETİM_İHTİYAÇ_RAPORU_BURAK_YENI1309[[#This Row],[BIRIM_FIYATLAR]])</f>
        <v>0</v>
      </c>
      <c r="N5720">
        <v>930</v>
      </c>
      <c r="O5720" t="s">
        <v>220</v>
      </c>
      <c r="P5720">
        <v>1860</v>
      </c>
      <c r="Q5720" t="s">
        <v>221</v>
      </c>
    </row>
    <row r="5721" spans="1:17" x14ac:dyDescent="0.25">
      <c r="A5721" t="s">
        <v>1101</v>
      </c>
      <c r="B5721" t="s">
        <v>1102</v>
      </c>
      <c r="C5721" t="s">
        <v>175</v>
      </c>
      <c r="D5721" t="s">
        <v>448</v>
      </c>
      <c r="E5721" t="s">
        <v>449</v>
      </c>
      <c r="F5721">
        <v>2</v>
      </c>
      <c r="G5721" t="s">
        <v>176</v>
      </c>
      <c r="H5721">
        <v>2</v>
      </c>
      <c r="I5721">
        <v>27</v>
      </c>
      <c r="J5721" s="10">
        <v>16</v>
      </c>
      <c r="K5721" s="10">
        <f>SUMIFS(F:F,D:D,DST_123_ÜRETİM_İHTİYAÇ_RAPORU_BURAK_YENI1309[[#This Row],[ALT_KOD]])-(SUMIFS(H:H,D:D,DST_123_ÜRETİM_İHTİYAÇ_RAPORU_BURAK_YENI1309[[#This Row],[ALT_KOD]])+AVERAGEIFS(I:I,D:D,DST_123_ÜRETİM_İHTİYAÇ_RAPORU_BURAK_YENI1309[[#This Row],[ALT_KOD]])+AVERAGEIFS(L:L,D:D,DST_123_ÜRETİM_İHTİYAÇ_RAPORU_BURAK_YENI1309[[#This Row],[ALT_KOD]]))</f>
        <v>-3</v>
      </c>
      <c r="L5721">
        <v>0</v>
      </c>
      <c r="M5721">
        <f>IF((DST_123_ÜRETİM_İHTİYAÇ_RAPORU_BURAK_YENI1309[[#This Row],[SATINALMA]]*DST_123_ÜRETİM_İHTİYAÇ_RAPORU_BURAK_YENI1309[[#This Row],[BIRIM_FIYATLAR]])&lt;1,VALUE("0"),DST_123_ÜRETİM_İHTİYAÇ_RAPORU_BURAK_YENI1309[[#This Row],[SATINALMA]]*DST_123_ÜRETİM_İHTİYAÇ_RAPORU_BURAK_YENI1309[[#This Row],[BIRIM_FIYATLAR]])</f>
        <v>0</v>
      </c>
      <c r="N5721">
        <v>66.23</v>
      </c>
      <c r="O5721" t="s">
        <v>227</v>
      </c>
      <c r="P5721">
        <v>132.46</v>
      </c>
      <c r="Q5721" t="s">
        <v>221</v>
      </c>
    </row>
    <row r="5722" spans="1:17" x14ac:dyDescent="0.25">
      <c r="A5722" t="s">
        <v>1144</v>
      </c>
      <c r="B5722" t="s">
        <v>1145</v>
      </c>
      <c r="C5722" t="s">
        <v>175</v>
      </c>
      <c r="D5722" t="s">
        <v>1136</v>
      </c>
      <c r="E5722" t="s">
        <v>1137</v>
      </c>
      <c r="F5722">
        <v>3</v>
      </c>
      <c r="G5722" t="s">
        <v>176</v>
      </c>
      <c r="H5722">
        <v>0</v>
      </c>
      <c r="I5722">
        <v>0</v>
      </c>
      <c r="J5722" s="10">
        <v>0</v>
      </c>
      <c r="K5722" s="10">
        <f>SUMIFS(F:F,D:D,DST_123_ÜRETİM_İHTİYAÇ_RAPORU_BURAK_YENI1309[[#This Row],[ALT_KOD]])-(SUMIFS(H:H,D:D,DST_123_ÜRETİM_İHTİYAÇ_RAPORU_BURAK_YENI1309[[#This Row],[ALT_KOD]])+AVERAGEIFS(I:I,D:D,DST_123_ÜRETİM_İHTİYAÇ_RAPORU_BURAK_YENI1309[[#This Row],[ALT_KOD]])+AVERAGEIFS(L:L,D:D,DST_123_ÜRETİM_İHTİYAÇ_RAPORU_BURAK_YENI1309[[#This Row],[ALT_KOD]]))</f>
        <v>27</v>
      </c>
      <c r="L5722">
        <v>0</v>
      </c>
      <c r="M5722">
        <f>IF((DST_123_ÜRETİM_İHTİYAÇ_RAPORU_BURAK_YENI1309[[#This Row],[SATINALMA]]*DST_123_ÜRETİM_İHTİYAÇ_RAPORU_BURAK_YENI1309[[#This Row],[BIRIM_FIYATLAR]])&lt;1,VALUE("0"),DST_123_ÜRETİM_İHTİYAÇ_RAPORU_BURAK_YENI1309[[#This Row],[SATINALMA]]*DST_123_ÜRETİM_İHTİYAÇ_RAPORU_BURAK_YENI1309[[#This Row],[BIRIM_FIYATLAR]])</f>
        <v>324</v>
      </c>
      <c r="N5722">
        <v>12</v>
      </c>
      <c r="O5722" t="s">
        <v>240</v>
      </c>
      <c r="P5722">
        <v>36</v>
      </c>
      <c r="Q5722" t="s">
        <v>180</v>
      </c>
    </row>
    <row r="5723" spans="1:17" x14ac:dyDescent="0.25">
      <c r="A5723" t="s">
        <v>1064</v>
      </c>
      <c r="B5723" t="s">
        <v>1055</v>
      </c>
      <c r="C5723" t="s">
        <v>175</v>
      </c>
      <c r="D5723" t="s">
        <v>603</v>
      </c>
      <c r="E5723" t="s">
        <v>604</v>
      </c>
      <c r="F5723">
        <v>2</v>
      </c>
      <c r="G5723" t="s">
        <v>176</v>
      </c>
      <c r="H5723">
        <v>2</v>
      </c>
      <c r="I5723">
        <v>5</v>
      </c>
      <c r="J5723" s="10">
        <v>10</v>
      </c>
      <c r="K5723" s="10">
        <f>SUMIFS(F:F,D:D,DST_123_ÜRETİM_İHTİYAÇ_RAPORU_BURAK_YENI1309[[#This Row],[ALT_KOD]])-(SUMIFS(H:H,D:D,DST_123_ÜRETİM_İHTİYAÇ_RAPORU_BURAK_YENI1309[[#This Row],[ALT_KOD]])+AVERAGEIFS(I:I,D:D,DST_123_ÜRETİM_İHTİYAÇ_RAPORU_BURAK_YENI1309[[#This Row],[ALT_KOD]])+AVERAGEIFS(L:L,D:D,DST_123_ÜRETİM_İHTİYAÇ_RAPORU_BURAK_YENI1309[[#This Row],[ALT_KOD]]))</f>
        <v>11</v>
      </c>
      <c r="L5723">
        <v>0</v>
      </c>
      <c r="M5723">
        <f>IF((DST_123_ÜRETİM_İHTİYAÇ_RAPORU_BURAK_YENI1309[[#This Row],[SATINALMA]]*DST_123_ÜRETİM_İHTİYAÇ_RAPORU_BURAK_YENI1309[[#This Row],[BIRIM_FIYATLAR]])&lt;1,VALUE("0"),DST_123_ÜRETİM_İHTİYAÇ_RAPORU_BURAK_YENI1309[[#This Row],[SATINALMA]]*DST_123_ÜRETİM_İHTİYAÇ_RAPORU_BURAK_YENI1309[[#This Row],[BIRIM_FIYATLAR]])</f>
        <v>832.04</v>
      </c>
      <c r="N5723">
        <v>75.64</v>
      </c>
      <c r="O5723" t="s">
        <v>636</v>
      </c>
      <c r="P5723">
        <v>151.28</v>
      </c>
      <c r="Q5723" t="s">
        <v>177</v>
      </c>
    </row>
    <row r="5724" spans="1:17" x14ac:dyDescent="0.25">
      <c r="A5724" t="s">
        <v>1097</v>
      </c>
      <c r="B5724" t="s">
        <v>1055</v>
      </c>
      <c r="C5724" t="s">
        <v>175</v>
      </c>
      <c r="D5724" t="s">
        <v>738</v>
      </c>
      <c r="E5724" t="s">
        <v>739</v>
      </c>
      <c r="F5724">
        <v>1</v>
      </c>
      <c r="G5724" t="s">
        <v>176</v>
      </c>
      <c r="H5724">
        <v>1</v>
      </c>
      <c r="I5724">
        <v>10</v>
      </c>
      <c r="J5724" s="10">
        <v>16</v>
      </c>
      <c r="K5724" s="10">
        <f>SUMIFS(F:F,D:D,DST_123_ÜRETİM_İHTİYAÇ_RAPORU_BURAK_YENI1309[[#This Row],[ALT_KOD]])-(SUMIFS(H:H,D:D,DST_123_ÜRETİM_İHTİYAÇ_RAPORU_BURAK_YENI1309[[#This Row],[ALT_KOD]])+AVERAGEIFS(I:I,D:D,DST_123_ÜRETİM_İHTİYAÇ_RAPORU_BURAK_YENI1309[[#This Row],[ALT_KOD]])+AVERAGEIFS(L:L,D:D,DST_123_ÜRETİM_İHTİYAÇ_RAPORU_BURAK_YENI1309[[#This Row],[ALT_KOD]]))</f>
        <v>2</v>
      </c>
      <c r="L5724">
        <v>0</v>
      </c>
      <c r="M5724">
        <f>IF((DST_123_ÜRETİM_İHTİYAÇ_RAPORU_BURAK_YENI1309[[#This Row],[SATINALMA]]*DST_123_ÜRETİM_İHTİYAÇ_RAPORU_BURAK_YENI1309[[#This Row],[BIRIM_FIYATLAR]])&lt;1,VALUE("0"),DST_123_ÜRETİM_İHTİYAÇ_RAPORU_BURAK_YENI1309[[#This Row],[SATINALMA]]*DST_123_ÜRETİM_İHTİYAÇ_RAPORU_BURAK_YENI1309[[#This Row],[BIRIM_FIYATLAR]])</f>
        <v>233.34</v>
      </c>
      <c r="N5724">
        <v>116.67</v>
      </c>
      <c r="O5724" t="s">
        <v>667</v>
      </c>
      <c r="P5724">
        <v>116.67</v>
      </c>
      <c r="Q5724" t="s">
        <v>177</v>
      </c>
    </row>
    <row r="5725" spans="1:17" x14ac:dyDescent="0.25">
      <c r="A5725" t="s">
        <v>1100</v>
      </c>
      <c r="B5725" t="s">
        <v>1058</v>
      </c>
      <c r="C5725" t="s">
        <v>175</v>
      </c>
      <c r="D5725" t="s">
        <v>80</v>
      </c>
      <c r="E5725" t="s">
        <v>81</v>
      </c>
      <c r="F5725">
        <v>5</v>
      </c>
      <c r="G5725" t="s">
        <v>176</v>
      </c>
      <c r="H5725">
        <v>5</v>
      </c>
      <c r="I5725">
        <v>0</v>
      </c>
      <c r="J5725" s="10">
        <v>10.500000000000064</v>
      </c>
      <c r="K5725" s="10">
        <f>SUMIFS(F:F,D:D,DST_123_ÜRETİM_İHTİYAÇ_RAPORU_BURAK_YENI1309[[#This Row],[ALT_KOD]])-(SUMIFS(H:H,D:D,DST_123_ÜRETİM_İHTİYAÇ_RAPORU_BURAK_YENI1309[[#This Row],[ALT_KOD]])+AVERAGEIFS(I:I,D:D,DST_123_ÜRETİM_İHTİYAÇ_RAPORU_BURAK_YENI1309[[#This Row],[ALT_KOD]])+AVERAGEIFS(L:L,D:D,DST_123_ÜRETİM_İHTİYAÇ_RAPORU_BURAK_YENI1309[[#This Row],[ALT_KOD]]))</f>
        <v>25</v>
      </c>
      <c r="L5725">
        <v>40</v>
      </c>
      <c r="M5725">
        <f>IF((DST_123_ÜRETİM_İHTİYAÇ_RAPORU_BURAK_YENI1309[[#This Row],[SATINALMA]]*DST_123_ÜRETİM_İHTİYAÇ_RAPORU_BURAK_YENI1309[[#This Row],[BIRIM_FIYATLAR]])&lt;1,VALUE("0"),DST_123_ÜRETİM_İHTİYAÇ_RAPORU_BURAK_YENI1309[[#This Row],[SATINALMA]]*DST_123_ÜRETİM_İHTİYAÇ_RAPORU_BURAK_YENI1309[[#This Row],[BIRIM_FIYATLAR]])</f>
        <v>16666.75</v>
      </c>
      <c r="N5725">
        <v>666.67</v>
      </c>
      <c r="O5725" t="s">
        <v>223</v>
      </c>
      <c r="P5725">
        <v>3333.35</v>
      </c>
      <c r="Q5725" t="s">
        <v>181</v>
      </c>
    </row>
    <row r="5726" spans="1:17" x14ac:dyDescent="0.25">
      <c r="A5726" t="s">
        <v>1064</v>
      </c>
      <c r="B5726" t="s">
        <v>1055</v>
      </c>
      <c r="C5726" t="s">
        <v>175</v>
      </c>
      <c r="D5726" t="s">
        <v>80</v>
      </c>
      <c r="E5726" t="s">
        <v>81</v>
      </c>
      <c r="F5726">
        <v>9.5</v>
      </c>
      <c r="G5726" t="s">
        <v>176</v>
      </c>
      <c r="H5726">
        <v>9.5</v>
      </c>
      <c r="I5726">
        <v>0</v>
      </c>
      <c r="J5726" s="10">
        <v>10.500000000000064</v>
      </c>
      <c r="K5726" s="10">
        <f>SUMIFS(F:F,D:D,DST_123_ÜRETİM_İHTİYAÇ_RAPORU_BURAK_YENI1309[[#This Row],[ALT_KOD]])-(SUMIFS(H:H,D:D,DST_123_ÜRETİM_İHTİYAÇ_RAPORU_BURAK_YENI1309[[#This Row],[ALT_KOD]])+AVERAGEIFS(I:I,D:D,DST_123_ÜRETİM_İHTİYAÇ_RAPORU_BURAK_YENI1309[[#This Row],[ALT_KOD]])+AVERAGEIFS(L:L,D:D,DST_123_ÜRETİM_İHTİYAÇ_RAPORU_BURAK_YENI1309[[#This Row],[ALT_KOD]]))</f>
        <v>25</v>
      </c>
      <c r="L5726">
        <v>40</v>
      </c>
      <c r="M5726">
        <f>IF((DST_123_ÜRETİM_İHTİYAÇ_RAPORU_BURAK_YENI1309[[#This Row],[SATINALMA]]*DST_123_ÜRETİM_İHTİYAÇ_RAPORU_BURAK_YENI1309[[#This Row],[BIRIM_FIYATLAR]])&lt;1,VALUE("0"),DST_123_ÜRETİM_İHTİYAÇ_RAPORU_BURAK_YENI1309[[#This Row],[SATINALMA]]*DST_123_ÜRETİM_İHTİYAÇ_RAPORU_BURAK_YENI1309[[#This Row],[BIRIM_FIYATLAR]])</f>
        <v>16666.75</v>
      </c>
      <c r="N5726">
        <v>666.67</v>
      </c>
      <c r="O5726" t="s">
        <v>223</v>
      </c>
      <c r="P5726">
        <v>6333.3649999999998</v>
      </c>
      <c r="Q5726" t="s">
        <v>181</v>
      </c>
    </row>
    <row r="5727" spans="1:17" x14ac:dyDescent="0.25">
      <c r="A5727" t="s">
        <v>1064</v>
      </c>
      <c r="B5727" t="s">
        <v>1055</v>
      </c>
      <c r="C5727" t="s">
        <v>175</v>
      </c>
      <c r="D5727" t="s">
        <v>72</v>
      </c>
      <c r="E5727" t="s">
        <v>73</v>
      </c>
      <c r="F5727">
        <v>1</v>
      </c>
      <c r="G5727" t="s">
        <v>176</v>
      </c>
      <c r="H5727">
        <v>1</v>
      </c>
      <c r="I5727">
        <v>2</v>
      </c>
      <c r="J5727" s="10">
        <v>8</v>
      </c>
      <c r="K5727" s="10">
        <f>SUMIFS(F:F,D:D,DST_123_ÜRETİM_İHTİYAÇ_RAPORU_BURAK_YENI1309[[#This Row],[ALT_KOD]])-(SUMIFS(H:H,D:D,DST_123_ÜRETİM_İHTİYAÇ_RAPORU_BURAK_YENI1309[[#This Row],[ALT_KOD]])+AVERAGEIFS(I:I,D:D,DST_123_ÜRETİM_İHTİYAÇ_RAPORU_BURAK_YENI1309[[#This Row],[ALT_KOD]])+AVERAGEIFS(L:L,D:D,DST_123_ÜRETİM_İHTİYAÇ_RAPORU_BURAK_YENI1309[[#This Row],[ALT_KOD]]))</f>
        <v>8</v>
      </c>
      <c r="L5727">
        <v>0</v>
      </c>
      <c r="M5727">
        <f>IF((DST_123_ÜRETİM_İHTİYAÇ_RAPORU_BURAK_YENI1309[[#This Row],[SATINALMA]]*DST_123_ÜRETİM_İHTİYAÇ_RAPORU_BURAK_YENI1309[[#This Row],[BIRIM_FIYATLAR]])&lt;1,VALUE("0"),DST_123_ÜRETİM_İHTİYAÇ_RAPORU_BURAK_YENI1309[[#This Row],[SATINALMA]]*DST_123_ÜRETİM_İHTİYAÇ_RAPORU_BURAK_YENI1309[[#This Row],[BIRIM_FIYATLAR]])</f>
        <v>70583.44</v>
      </c>
      <c r="N5727">
        <v>8822.93</v>
      </c>
      <c r="O5727" t="s">
        <v>634</v>
      </c>
      <c r="P5727">
        <v>8822.93</v>
      </c>
      <c r="Q5727" t="s">
        <v>178</v>
      </c>
    </row>
    <row r="5728" spans="1:17" x14ac:dyDescent="0.25">
      <c r="A5728" t="s">
        <v>1097</v>
      </c>
      <c r="B5728" t="s">
        <v>1055</v>
      </c>
      <c r="C5728" t="s">
        <v>175</v>
      </c>
      <c r="D5728" t="s">
        <v>17</v>
      </c>
      <c r="E5728" t="s">
        <v>18</v>
      </c>
      <c r="F5728">
        <v>1</v>
      </c>
      <c r="G5728" t="s">
        <v>176</v>
      </c>
      <c r="H5728">
        <v>1</v>
      </c>
      <c r="I5728">
        <v>56</v>
      </c>
      <c r="J5728" s="10">
        <v>11</v>
      </c>
      <c r="K5728" s="10">
        <f>SUMIFS(F:F,D:D,DST_123_ÜRETİM_İHTİYAÇ_RAPORU_BURAK_YENI1309[[#This Row],[ALT_KOD]])-(SUMIFS(H:H,D:D,DST_123_ÜRETİM_İHTİYAÇ_RAPORU_BURAK_YENI1309[[#This Row],[ALT_KOD]])+AVERAGEIFS(I:I,D:D,DST_123_ÜRETİM_İHTİYAÇ_RAPORU_BURAK_YENI1309[[#This Row],[ALT_KOD]])+AVERAGEIFS(L:L,D:D,DST_123_ÜRETİM_İHTİYAÇ_RAPORU_BURAK_YENI1309[[#This Row],[ALT_KOD]]))</f>
        <v>-43</v>
      </c>
      <c r="L5728">
        <v>0</v>
      </c>
      <c r="M5728">
        <f>IF((DST_123_ÜRETİM_İHTİYAÇ_RAPORU_BURAK_YENI1309[[#This Row],[SATINALMA]]*DST_123_ÜRETİM_İHTİYAÇ_RAPORU_BURAK_YENI1309[[#This Row],[BIRIM_FIYATLAR]])&lt;1,VALUE("0"),DST_123_ÜRETİM_İHTİYAÇ_RAPORU_BURAK_YENI1309[[#This Row],[SATINALMA]]*DST_123_ÜRETİM_İHTİYAÇ_RAPORU_BURAK_YENI1309[[#This Row],[BIRIM_FIYATLAR]])</f>
        <v>0</v>
      </c>
      <c r="N5728">
        <v>936.72</v>
      </c>
      <c r="O5728" t="s">
        <v>1230</v>
      </c>
      <c r="P5728">
        <v>936.72</v>
      </c>
      <c r="Q5728" t="s">
        <v>221</v>
      </c>
    </row>
    <row r="5729" spans="1:17" x14ac:dyDescent="0.25">
      <c r="A5729" t="s">
        <v>1057</v>
      </c>
      <c r="B5729" t="s">
        <v>1058</v>
      </c>
      <c r="C5729" t="s">
        <v>175</v>
      </c>
      <c r="D5729" t="s">
        <v>448</v>
      </c>
      <c r="E5729" t="s">
        <v>449</v>
      </c>
      <c r="F5729">
        <v>2</v>
      </c>
      <c r="G5729" t="s">
        <v>176</v>
      </c>
      <c r="H5729">
        <v>2</v>
      </c>
      <c r="I5729">
        <v>27</v>
      </c>
      <c r="J5729" s="10">
        <v>16</v>
      </c>
      <c r="K5729" s="10">
        <f>SUMIFS(F:F,D:D,DST_123_ÜRETİM_İHTİYAÇ_RAPORU_BURAK_YENI1309[[#This Row],[ALT_KOD]])-(SUMIFS(H:H,D:D,DST_123_ÜRETİM_İHTİYAÇ_RAPORU_BURAK_YENI1309[[#This Row],[ALT_KOD]])+AVERAGEIFS(I:I,D:D,DST_123_ÜRETİM_İHTİYAÇ_RAPORU_BURAK_YENI1309[[#This Row],[ALT_KOD]])+AVERAGEIFS(L:L,D:D,DST_123_ÜRETİM_İHTİYAÇ_RAPORU_BURAK_YENI1309[[#This Row],[ALT_KOD]]))</f>
        <v>-3</v>
      </c>
      <c r="L5729">
        <v>0</v>
      </c>
      <c r="M5729">
        <f>IF((DST_123_ÜRETİM_İHTİYAÇ_RAPORU_BURAK_YENI1309[[#This Row],[SATINALMA]]*DST_123_ÜRETİM_İHTİYAÇ_RAPORU_BURAK_YENI1309[[#This Row],[BIRIM_FIYATLAR]])&lt;1,VALUE("0"),DST_123_ÜRETİM_İHTİYAÇ_RAPORU_BURAK_YENI1309[[#This Row],[SATINALMA]]*DST_123_ÜRETİM_İHTİYAÇ_RAPORU_BURAK_YENI1309[[#This Row],[BIRIM_FIYATLAR]])</f>
        <v>0</v>
      </c>
      <c r="N5729">
        <v>66.23</v>
      </c>
      <c r="O5729" t="s">
        <v>227</v>
      </c>
      <c r="P5729">
        <v>132.46</v>
      </c>
      <c r="Q5729" t="s">
        <v>221</v>
      </c>
    </row>
    <row r="5730" spans="1:17" x14ac:dyDescent="0.25">
      <c r="A5730" t="s">
        <v>1097</v>
      </c>
      <c r="B5730" t="s">
        <v>1055</v>
      </c>
      <c r="C5730" t="s">
        <v>175</v>
      </c>
      <c r="D5730" t="s">
        <v>80</v>
      </c>
      <c r="E5730" t="s">
        <v>81</v>
      </c>
      <c r="F5730">
        <v>9.5</v>
      </c>
      <c r="G5730" t="s">
        <v>176</v>
      </c>
      <c r="H5730">
        <v>9.5</v>
      </c>
      <c r="I5730">
        <v>0</v>
      </c>
      <c r="J5730" s="10">
        <v>10.500000000000064</v>
      </c>
      <c r="K5730" s="10">
        <f>SUMIFS(F:F,D:D,DST_123_ÜRETİM_İHTİYAÇ_RAPORU_BURAK_YENI1309[[#This Row],[ALT_KOD]])-(SUMIFS(H:H,D:D,DST_123_ÜRETİM_İHTİYAÇ_RAPORU_BURAK_YENI1309[[#This Row],[ALT_KOD]])+AVERAGEIFS(I:I,D:D,DST_123_ÜRETİM_İHTİYAÇ_RAPORU_BURAK_YENI1309[[#This Row],[ALT_KOD]])+AVERAGEIFS(L:L,D:D,DST_123_ÜRETİM_İHTİYAÇ_RAPORU_BURAK_YENI1309[[#This Row],[ALT_KOD]]))</f>
        <v>25</v>
      </c>
      <c r="L5730">
        <v>40</v>
      </c>
      <c r="M5730">
        <f>IF((DST_123_ÜRETİM_İHTİYAÇ_RAPORU_BURAK_YENI1309[[#This Row],[SATINALMA]]*DST_123_ÜRETİM_İHTİYAÇ_RAPORU_BURAK_YENI1309[[#This Row],[BIRIM_FIYATLAR]])&lt;1,VALUE("0"),DST_123_ÜRETİM_İHTİYAÇ_RAPORU_BURAK_YENI1309[[#This Row],[SATINALMA]]*DST_123_ÜRETİM_İHTİYAÇ_RAPORU_BURAK_YENI1309[[#This Row],[BIRIM_FIYATLAR]])</f>
        <v>16666.75</v>
      </c>
      <c r="N5730">
        <v>666.67</v>
      </c>
      <c r="O5730" t="s">
        <v>223</v>
      </c>
      <c r="P5730">
        <v>6333.3649999999998</v>
      </c>
      <c r="Q5730" t="s">
        <v>181</v>
      </c>
    </row>
    <row r="5731" spans="1:17" x14ac:dyDescent="0.25">
      <c r="A5731" t="s">
        <v>1060</v>
      </c>
      <c r="B5731" t="s">
        <v>1061</v>
      </c>
      <c r="C5731" t="s">
        <v>175</v>
      </c>
      <c r="D5731" t="s">
        <v>67</v>
      </c>
      <c r="E5731" t="s">
        <v>585</v>
      </c>
      <c r="F5731">
        <v>0.5</v>
      </c>
      <c r="G5731" t="s">
        <v>176</v>
      </c>
      <c r="H5731">
        <v>0</v>
      </c>
      <c r="I5731">
        <v>13.5</v>
      </c>
      <c r="J5731" s="10">
        <v>8.5</v>
      </c>
      <c r="K5731" s="10">
        <f>SUMIFS(F:F,D:D,DST_123_ÜRETİM_İHTİYAÇ_RAPORU_BURAK_YENI1309[[#This Row],[ALT_KOD]])-(SUMIFS(H:H,D:D,DST_123_ÜRETİM_İHTİYAÇ_RAPORU_BURAK_YENI1309[[#This Row],[ALT_KOD]])+AVERAGEIFS(I:I,D:D,DST_123_ÜRETİM_İHTİYAÇ_RAPORU_BURAK_YENI1309[[#This Row],[ALT_KOD]])+AVERAGEIFS(L:L,D:D,DST_123_ÜRETİM_İHTİYAÇ_RAPORU_BURAK_YENI1309[[#This Row],[ALT_KOD]]))</f>
        <v>-5.3500000000000014</v>
      </c>
      <c r="L5731">
        <v>0</v>
      </c>
      <c r="M5731">
        <f>IF((DST_123_ÜRETİM_İHTİYAÇ_RAPORU_BURAK_YENI1309[[#This Row],[SATINALMA]]*DST_123_ÜRETİM_İHTİYAÇ_RAPORU_BURAK_YENI1309[[#This Row],[BIRIM_FIYATLAR]])&lt;1,VALUE("0"),DST_123_ÜRETİM_İHTİYAÇ_RAPORU_BURAK_YENI1309[[#This Row],[SATINALMA]]*DST_123_ÜRETİM_İHTİYAÇ_RAPORU_BURAK_YENI1309[[#This Row],[BIRIM_FIYATLAR]])</f>
        <v>0</v>
      </c>
      <c r="N5731">
        <v>1600</v>
      </c>
      <c r="O5731" t="s">
        <v>1053</v>
      </c>
      <c r="P5731">
        <v>800</v>
      </c>
      <c r="Q5731" t="s">
        <v>177</v>
      </c>
    </row>
    <row r="5732" spans="1:17" x14ac:dyDescent="0.25">
      <c r="A5732" t="s">
        <v>1148</v>
      </c>
      <c r="B5732" t="s">
        <v>1056</v>
      </c>
      <c r="C5732" t="s">
        <v>175</v>
      </c>
      <c r="D5732" t="s">
        <v>781</v>
      </c>
      <c r="E5732" t="s">
        <v>782</v>
      </c>
      <c r="F5732">
        <v>1</v>
      </c>
      <c r="G5732" t="s">
        <v>176</v>
      </c>
      <c r="H5732">
        <v>0</v>
      </c>
      <c r="I5732">
        <v>14</v>
      </c>
      <c r="J5732" s="10">
        <v>9</v>
      </c>
      <c r="K5732" s="10">
        <f>SUMIFS(F:F,D:D,DST_123_ÜRETİM_İHTİYAÇ_RAPORU_BURAK_YENI1309[[#This Row],[ALT_KOD]])-(SUMIFS(H:H,D:D,DST_123_ÜRETİM_İHTİYAÇ_RAPORU_BURAK_YENI1309[[#This Row],[ALT_KOD]])+AVERAGEIFS(I:I,D:D,DST_123_ÜRETİM_İHTİYAÇ_RAPORU_BURAK_YENI1309[[#This Row],[ALT_KOD]])+AVERAGEIFS(L:L,D:D,DST_123_ÜRETİM_İHTİYAÇ_RAPORU_BURAK_YENI1309[[#This Row],[ALT_KOD]]))</f>
        <v>-3</v>
      </c>
      <c r="L5732">
        <v>0</v>
      </c>
      <c r="M5732">
        <f>IF((DST_123_ÜRETİM_İHTİYAÇ_RAPORU_BURAK_YENI1309[[#This Row],[SATINALMA]]*DST_123_ÜRETİM_İHTİYAÇ_RAPORU_BURAK_YENI1309[[#This Row],[BIRIM_FIYATLAR]])&lt;1,VALUE("0"),DST_123_ÜRETİM_İHTİYAÇ_RAPORU_BURAK_YENI1309[[#This Row],[SATINALMA]]*DST_123_ÜRETİM_İHTİYAÇ_RAPORU_BURAK_YENI1309[[#This Row],[BIRIM_FIYATLAR]])</f>
        <v>0</v>
      </c>
      <c r="N5732">
        <v>1020</v>
      </c>
      <c r="O5732" t="s">
        <v>289</v>
      </c>
      <c r="P5732">
        <v>1020</v>
      </c>
      <c r="Q5732" t="s">
        <v>178</v>
      </c>
    </row>
    <row r="5733" spans="1:17" x14ac:dyDescent="0.25">
      <c r="A5733" t="s">
        <v>1060</v>
      </c>
      <c r="B5733" t="s">
        <v>1061</v>
      </c>
      <c r="C5733" t="s">
        <v>175</v>
      </c>
      <c r="D5733" t="s">
        <v>988</v>
      </c>
      <c r="E5733" t="s">
        <v>989</v>
      </c>
      <c r="F5733">
        <v>1</v>
      </c>
      <c r="G5733" t="s">
        <v>176</v>
      </c>
      <c r="H5733">
        <v>1</v>
      </c>
      <c r="I5733">
        <v>2</v>
      </c>
      <c r="J5733" s="10">
        <v>1</v>
      </c>
      <c r="K5733" s="10">
        <f>SUMIFS(F:F,D:D,DST_123_ÜRETİM_İHTİYAÇ_RAPORU_BURAK_YENI1309[[#This Row],[ALT_KOD]])-(SUMIFS(H:H,D:D,DST_123_ÜRETİM_İHTİYAÇ_RAPORU_BURAK_YENI1309[[#This Row],[ALT_KOD]])+AVERAGEIFS(I:I,D:D,DST_123_ÜRETİM_İHTİYAÇ_RAPORU_BURAK_YENI1309[[#This Row],[ALT_KOD]])+AVERAGEIFS(L:L,D:D,DST_123_ÜRETİM_İHTİYAÇ_RAPORU_BURAK_YENI1309[[#This Row],[ALT_KOD]]))</f>
        <v>-1</v>
      </c>
      <c r="L5733">
        <v>2</v>
      </c>
      <c r="M5733">
        <f>IF((DST_123_ÜRETİM_İHTİYAÇ_RAPORU_BURAK_YENI1309[[#This Row],[SATINALMA]]*DST_123_ÜRETİM_İHTİYAÇ_RAPORU_BURAK_YENI1309[[#This Row],[BIRIM_FIYATLAR]])&lt;1,VALUE("0"),DST_123_ÜRETİM_İHTİYAÇ_RAPORU_BURAK_YENI1309[[#This Row],[SATINALMA]]*DST_123_ÜRETİM_İHTİYAÇ_RAPORU_BURAK_YENI1309[[#This Row],[BIRIM_FIYATLAR]])</f>
        <v>0</v>
      </c>
      <c r="N5733">
        <v>41000</v>
      </c>
      <c r="O5733" t="s">
        <v>785</v>
      </c>
      <c r="P5733">
        <v>41000</v>
      </c>
      <c r="Q5733" t="s">
        <v>222</v>
      </c>
    </row>
    <row r="5734" spans="1:17" x14ac:dyDescent="0.25">
      <c r="A5734" t="s">
        <v>1101</v>
      </c>
      <c r="B5734" t="s">
        <v>1102</v>
      </c>
      <c r="C5734" t="s">
        <v>175</v>
      </c>
      <c r="D5734" t="s">
        <v>781</v>
      </c>
      <c r="E5734" t="s">
        <v>782</v>
      </c>
      <c r="F5734">
        <v>1</v>
      </c>
      <c r="G5734" t="s">
        <v>176</v>
      </c>
      <c r="H5734">
        <v>1</v>
      </c>
      <c r="I5734">
        <v>14</v>
      </c>
      <c r="J5734" s="10">
        <v>9</v>
      </c>
      <c r="K5734" s="10">
        <f>SUMIFS(F:F,D:D,DST_123_ÜRETİM_İHTİYAÇ_RAPORU_BURAK_YENI1309[[#This Row],[ALT_KOD]])-(SUMIFS(H:H,D:D,DST_123_ÜRETİM_İHTİYAÇ_RAPORU_BURAK_YENI1309[[#This Row],[ALT_KOD]])+AVERAGEIFS(I:I,D:D,DST_123_ÜRETİM_İHTİYAÇ_RAPORU_BURAK_YENI1309[[#This Row],[ALT_KOD]])+AVERAGEIFS(L:L,D:D,DST_123_ÜRETİM_İHTİYAÇ_RAPORU_BURAK_YENI1309[[#This Row],[ALT_KOD]]))</f>
        <v>-3</v>
      </c>
      <c r="L5734">
        <v>0</v>
      </c>
      <c r="M5734">
        <f>IF((DST_123_ÜRETİM_İHTİYAÇ_RAPORU_BURAK_YENI1309[[#This Row],[SATINALMA]]*DST_123_ÜRETİM_İHTİYAÇ_RAPORU_BURAK_YENI1309[[#This Row],[BIRIM_FIYATLAR]])&lt;1,VALUE("0"),DST_123_ÜRETİM_İHTİYAÇ_RAPORU_BURAK_YENI1309[[#This Row],[SATINALMA]]*DST_123_ÜRETİM_İHTİYAÇ_RAPORU_BURAK_YENI1309[[#This Row],[BIRIM_FIYATLAR]])</f>
        <v>0</v>
      </c>
      <c r="N5734">
        <v>1020</v>
      </c>
      <c r="O5734" t="s">
        <v>289</v>
      </c>
      <c r="P5734">
        <v>1020</v>
      </c>
      <c r="Q5734" t="s">
        <v>178</v>
      </c>
    </row>
    <row r="5735" spans="1:17" x14ac:dyDescent="0.25">
      <c r="A5735" t="s">
        <v>1099</v>
      </c>
      <c r="B5735" t="s">
        <v>1055</v>
      </c>
      <c r="C5735" t="s">
        <v>175</v>
      </c>
      <c r="D5735" t="s">
        <v>603</v>
      </c>
      <c r="E5735" t="s">
        <v>604</v>
      </c>
      <c r="F5735">
        <v>2</v>
      </c>
      <c r="G5735" t="s">
        <v>176</v>
      </c>
      <c r="H5735">
        <v>2</v>
      </c>
      <c r="I5735">
        <v>5</v>
      </c>
      <c r="J5735" s="10">
        <v>10</v>
      </c>
      <c r="K5735" s="10">
        <f>SUMIFS(F:F,D:D,DST_123_ÜRETİM_İHTİYAÇ_RAPORU_BURAK_YENI1309[[#This Row],[ALT_KOD]])-(SUMIFS(H:H,D:D,DST_123_ÜRETİM_İHTİYAÇ_RAPORU_BURAK_YENI1309[[#This Row],[ALT_KOD]])+AVERAGEIFS(I:I,D:D,DST_123_ÜRETİM_İHTİYAÇ_RAPORU_BURAK_YENI1309[[#This Row],[ALT_KOD]])+AVERAGEIFS(L:L,D:D,DST_123_ÜRETİM_İHTİYAÇ_RAPORU_BURAK_YENI1309[[#This Row],[ALT_KOD]]))</f>
        <v>11</v>
      </c>
      <c r="L5735">
        <v>0</v>
      </c>
      <c r="M5735">
        <f>IF((DST_123_ÜRETİM_İHTİYAÇ_RAPORU_BURAK_YENI1309[[#This Row],[SATINALMA]]*DST_123_ÜRETİM_İHTİYAÇ_RAPORU_BURAK_YENI1309[[#This Row],[BIRIM_FIYATLAR]])&lt;1,VALUE("0"),DST_123_ÜRETİM_İHTİYAÇ_RAPORU_BURAK_YENI1309[[#This Row],[SATINALMA]]*DST_123_ÜRETİM_İHTİYAÇ_RAPORU_BURAK_YENI1309[[#This Row],[BIRIM_FIYATLAR]])</f>
        <v>832.04</v>
      </c>
      <c r="N5735">
        <v>75.64</v>
      </c>
      <c r="O5735" t="s">
        <v>636</v>
      </c>
      <c r="P5735">
        <v>151.28</v>
      </c>
      <c r="Q5735" t="s">
        <v>177</v>
      </c>
    </row>
    <row r="5736" spans="1:17" x14ac:dyDescent="0.25">
      <c r="A5736" t="s">
        <v>1060</v>
      </c>
      <c r="B5736" t="s">
        <v>1061</v>
      </c>
      <c r="C5736" t="s">
        <v>175</v>
      </c>
      <c r="D5736" t="s">
        <v>607</v>
      </c>
      <c r="E5736" t="s">
        <v>608</v>
      </c>
      <c r="F5736">
        <v>2</v>
      </c>
      <c r="G5736" t="s">
        <v>176</v>
      </c>
      <c r="H5736">
        <v>2</v>
      </c>
      <c r="I5736">
        <v>0</v>
      </c>
      <c r="J5736" s="10">
        <v>10</v>
      </c>
      <c r="K5736" s="10">
        <f>SUMIFS(F:F,D:D,DST_123_ÜRETİM_İHTİYAÇ_RAPORU_BURAK_YENI1309[[#This Row],[ALT_KOD]])-(SUMIFS(H:H,D:D,DST_123_ÜRETİM_İHTİYAÇ_RAPORU_BURAK_YENI1309[[#This Row],[ALT_KOD]])+AVERAGEIFS(I:I,D:D,DST_123_ÜRETİM_İHTİYAÇ_RAPORU_BURAK_YENI1309[[#This Row],[ALT_KOD]])+AVERAGEIFS(L:L,D:D,DST_123_ÜRETİM_İHTİYAÇ_RAPORU_BURAK_YENI1309[[#This Row],[ALT_KOD]]))</f>
        <v>24</v>
      </c>
      <c r="L5736">
        <v>0</v>
      </c>
      <c r="M5736">
        <f>IF((DST_123_ÜRETİM_İHTİYAÇ_RAPORU_BURAK_YENI1309[[#This Row],[SATINALMA]]*DST_123_ÜRETİM_İHTİYAÇ_RAPORU_BURAK_YENI1309[[#This Row],[BIRIM_FIYATLAR]])&lt;1,VALUE("0"),DST_123_ÜRETİM_İHTİYAÇ_RAPORU_BURAK_YENI1309[[#This Row],[SATINALMA]]*DST_123_ÜRETİM_İHTİYAÇ_RAPORU_BURAK_YENI1309[[#This Row],[BIRIM_FIYATLAR]])</f>
        <v>1358.4</v>
      </c>
      <c r="N5736">
        <v>56.6</v>
      </c>
      <c r="O5736" t="s">
        <v>636</v>
      </c>
      <c r="P5736">
        <v>113.2</v>
      </c>
      <c r="Q5736" t="s">
        <v>177</v>
      </c>
    </row>
    <row r="5737" spans="1:17" x14ac:dyDescent="0.25">
      <c r="A5737" t="s">
        <v>1099</v>
      </c>
      <c r="B5737" t="s">
        <v>1055</v>
      </c>
      <c r="C5737" t="s">
        <v>175</v>
      </c>
      <c r="D5737" t="s">
        <v>72</v>
      </c>
      <c r="E5737" t="s">
        <v>73</v>
      </c>
      <c r="F5737">
        <v>1</v>
      </c>
      <c r="G5737" t="s">
        <v>176</v>
      </c>
      <c r="H5737">
        <v>1</v>
      </c>
      <c r="I5737">
        <v>2</v>
      </c>
      <c r="J5737" s="10">
        <v>8</v>
      </c>
      <c r="K5737" s="10">
        <f>SUMIFS(F:F,D:D,DST_123_ÜRETİM_İHTİYAÇ_RAPORU_BURAK_YENI1309[[#This Row],[ALT_KOD]])-(SUMIFS(H:H,D:D,DST_123_ÜRETİM_İHTİYAÇ_RAPORU_BURAK_YENI1309[[#This Row],[ALT_KOD]])+AVERAGEIFS(I:I,D:D,DST_123_ÜRETİM_İHTİYAÇ_RAPORU_BURAK_YENI1309[[#This Row],[ALT_KOD]])+AVERAGEIFS(L:L,D:D,DST_123_ÜRETİM_İHTİYAÇ_RAPORU_BURAK_YENI1309[[#This Row],[ALT_KOD]]))</f>
        <v>8</v>
      </c>
      <c r="L5737">
        <v>0</v>
      </c>
      <c r="M5737">
        <f>IF((DST_123_ÜRETİM_İHTİYAÇ_RAPORU_BURAK_YENI1309[[#This Row],[SATINALMA]]*DST_123_ÜRETİM_İHTİYAÇ_RAPORU_BURAK_YENI1309[[#This Row],[BIRIM_FIYATLAR]])&lt;1,VALUE("0"),DST_123_ÜRETİM_İHTİYAÇ_RAPORU_BURAK_YENI1309[[#This Row],[SATINALMA]]*DST_123_ÜRETİM_İHTİYAÇ_RAPORU_BURAK_YENI1309[[#This Row],[BIRIM_FIYATLAR]])</f>
        <v>70583.44</v>
      </c>
      <c r="N5737">
        <v>8822.93</v>
      </c>
      <c r="O5737" t="s">
        <v>634</v>
      </c>
      <c r="P5737">
        <v>8822.93</v>
      </c>
      <c r="Q5737" t="s">
        <v>178</v>
      </c>
    </row>
    <row r="5738" spans="1:17" x14ac:dyDescent="0.25">
      <c r="A5738" t="s">
        <v>1060</v>
      </c>
      <c r="B5738" t="s">
        <v>1061</v>
      </c>
      <c r="C5738" t="s">
        <v>175</v>
      </c>
      <c r="D5738" t="s">
        <v>237</v>
      </c>
      <c r="E5738" t="s">
        <v>306</v>
      </c>
      <c r="F5738">
        <v>2</v>
      </c>
      <c r="G5738" t="s">
        <v>176</v>
      </c>
      <c r="H5738">
        <v>2</v>
      </c>
      <c r="I5738">
        <v>37</v>
      </c>
      <c r="J5738" s="10">
        <v>20</v>
      </c>
      <c r="K5738" s="10">
        <f>SUMIFS(F:F,D:D,DST_123_ÜRETİM_İHTİYAÇ_RAPORU_BURAK_YENI1309[[#This Row],[ALT_KOD]])-(SUMIFS(H:H,D:D,DST_123_ÜRETİM_İHTİYAÇ_RAPORU_BURAK_YENI1309[[#This Row],[ALT_KOD]])+AVERAGEIFS(I:I,D:D,DST_123_ÜRETİM_İHTİYAÇ_RAPORU_BURAK_YENI1309[[#This Row],[ALT_KOD]])+AVERAGEIFS(L:L,D:D,DST_123_ÜRETİM_İHTİYAÇ_RAPORU_BURAK_YENI1309[[#This Row],[ALT_KOD]]))</f>
        <v>-13</v>
      </c>
      <c r="L5738">
        <v>0</v>
      </c>
      <c r="M5738">
        <f>IF((DST_123_ÜRETİM_İHTİYAÇ_RAPORU_BURAK_YENI1309[[#This Row],[SATINALMA]]*DST_123_ÜRETİM_İHTİYAÇ_RAPORU_BURAK_YENI1309[[#This Row],[BIRIM_FIYATLAR]])&lt;1,VALUE("0"),DST_123_ÜRETİM_İHTİYAÇ_RAPORU_BURAK_YENI1309[[#This Row],[SATINALMA]]*DST_123_ÜRETİM_İHTİYAÇ_RAPORU_BURAK_YENI1309[[#This Row],[BIRIM_FIYATLAR]])</f>
        <v>0</v>
      </c>
      <c r="N5738">
        <v>45.3</v>
      </c>
      <c r="O5738" t="s">
        <v>826</v>
      </c>
      <c r="P5738">
        <v>90.6</v>
      </c>
      <c r="Q5738" t="s">
        <v>221</v>
      </c>
    </row>
    <row r="5739" spans="1:17" x14ac:dyDescent="0.25">
      <c r="A5739" t="s">
        <v>1060</v>
      </c>
      <c r="B5739" t="s">
        <v>1061</v>
      </c>
      <c r="C5739" t="s">
        <v>175</v>
      </c>
      <c r="D5739" t="s">
        <v>448</v>
      </c>
      <c r="E5739" t="s">
        <v>449</v>
      </c>
      <c r="F5739">
        <v>2</v>
      </c>
      <c r="G5739" t="s">
        <v>176</v>
      </c>
      <c r="H5739">
        <v>2</v>
      </c>
      <c r="I5739">
        <v>27</v>
      </c>
      <c r="J5739" s="10">
        <v>16</v>
      </c>
      <c r="K5739" s="10">
        <f>SUMIFS(F:F,D:D,DST_123_ÜRETİM_İHTİYAÇ_RAPORU_BURAK_YENI1309[[#This Row],[ALT_KOD]])-(SUMIFS(H:H,D:D,DST_123_ÜRETİM_İHTİYAÇ_RAPORU_BURAK_YENI1309[[#This Row],[ALT_KOD]])+AVERAGEIFS(I:I,D:D,DST_123_ÜRETİM_İHTİYAÇ_RAPORU_BURAK_YENI1309[[#This Row],[ALT_KOD]])+AVERAGEIFS(L:L,D:D,DST_123_ÜRETİM_İHTİYAÇ_RAPORU_BURAK_YENI1309[[#This Row],[ALT_KOD]]))</f>
        <v>-3</v>
      </c>
      <c r="L5739">
        <v>0</v>
      </c>
      <c r="M5739">
        <f>IF((DST_123_ÜRETİM_İHTİYAÇ_RAPORU_BURAK_YENI1309[[#This Row],[SATINALMA]]*DST_123_ÜRETİM_İHTİYAÇ_RAPORU_BURAK_YENI1309[[#This Row],[BIRIM_FIYATLAR]])&lt;1,VALUE("0"),DST_123_ÜRETİM_İHTİYAÇ_RAPORU_BURAK_YENI1309[[#This Row],[SATINALMA]]*DST_123_ÜRETİM_İHTİYAÇ_RAPORU_BURAK_YENI1309[[#This Row],[BIRIM_FIYATLAR]])</f>
        <v>0</v>
      </c>
      <c r="N5739">
        <v>66.23</v>
      </c>
      <c r="O5739" t="s">
        <v>227</v>
      </c>
      <c r="P5739">
        <v>132.46</v>
      </c>
      <c r="Q5739" t="s">
        <v>221</v>
      </c>
    </row>
    <row r="5740" spans="1:17" x14ac:dyDescent="0.25">
      <c r="A5740" t="s">
        <v>1060</v>
      </c>
      <c r="B5740" t="s">
        <v>1061</v>
      </c>
      <c r="C5740" t="s">
        <v>175</v>
      </c>
      <c r="D5740" t="s">
        <v>68</v>
      </c>
      <c r="E5740" t="s">
        <v>69</v>
      </c>
      <c r="F5740">
        <v>6.5400000000000009</v>
      </c>
      <c r="G5740" t="s">
        <v>185</v>
      </c>
      <c r="H5740">
        <v>6.5400000000000009</v>
      </c>
      <c r="I5740">
        <v>134.9</v>
      </c>
      <c r="J5740" s="10">
        <v>46.099999999999767</v>
      </c>
      <c r="K5740" s="10">
        <f>SUMIFS(F:F,D:D,DST_123_ÜRETİM_İHTİYAÇ_RAPORU_BURAK_YENI1309[[#This Row],[ALT_KOD]])-(SUMIFS(H:H,D:D,DST_123_ÜRETİM_İHTİYAÇ_RAPORU_BURAK_YENI1309[[#This Row],[ALT_KOD]])+AVERAGEIFS(I:I,D:D,DST_123_ÜRETİM_İHTİYAÇ_RAPORU_BURAK_YENI1309[[#This Row],[ALT_KOD]])+AVERAGEIFS(L:L,D:D,DST_123_ÜRETİM_İHTİYAÇ_RAPORU_BURAK_YENI1309[[#This Row],[ALT_KOD]]))</f>
        <v>43.169999999999959</v>
      </c>
      <c r="L5740">
        <v>0</v>
      </c>
      <c r="M5740">
        <f>IF((DST_123_ÜRETİM_İHTİYAÇ_RAPORU_BURAK_YENI1309[[#This Row],[SATINALMA]]*DST_123_ÜRETİM_İHTİYAÇ_RAPORU_BURAK_YENI1309[[#This Row],[BIRIM_FIYATLAR]])&lt;1,VALUE("0"),DST_123_ÜRETİM_İHTİYAÇ_RAPORU_BURAK_YENI1309[[#This Row],[SATINALMA]]*DST_123_ÜRETİM_İHTİYAÇ_RAPORU_BURAK_YENI1309[[#This Row],[BIRIM_FIYATLAR]])</f>
        <v>4160.2928999999958</v>
      </c>
      <c r="N5740">
        <v>96.37</v>
      </c>
      <c r="O5740" t="s">
        <v>490</v>
      </c>
      <c r="P5740">
        <v>630.25980000000015</v>
      </c>
      <c r="Q5740" t="s">
        <v>183</v>
      </c>
    </row>
    <row r="5741" spans="1:17" x14ac:dyDescent="0.25">
      <c r="A5741" t="s">
        <v>1059</v>
      </c>
      <c r="B5741" t="s">
        <v>1058</v>
      </c>
      <c r="C5741" t="s">
        <v>175</v>
      </c>
      <c r="D5741" t="s">
        <v>237</v>
      </c>
      <c r="E5741" t="s">
        <v>306</v>
      </c>
      <c r="F5741">
        <v>2</v>
      </c>
      <c r="G5741" t="s">
        <v>176</v>
      </c>
      <c r="H5741">
        <v>2</v>
      </c>
      <c r="I5741">
        <v>37</v>
      </c>
      <c r="J5741" s="10">
        <v>20</v>
      </c>
      <c r="K5741" s="10">
        <f>SUMIFS(F:F,D:D,DST_123_ÜRETİM_İHTİYAÇ_RAPORU_BURAK_YENI1309[[#This Row],[ALT_KOD]])-(SUMIFS(H:H,D:D,DST_123_ÜRETİM_İHTİYAÇ_RAPORU_BURAK_YENI1309[[#This Row],[ALT_KOD]])+AVERAGEIFS(I:I,D:D,DST_123_ÜRETİM_İHTİYAÇ_RAPORU_BURAK_YENI1309[[#This Row],[ALT_KOD]])+AVERAGEIFS(L:L,D:D,DST_123_ÜRETİM_İHTİYAÇ_RAPORU_BURAK_YENI1309[[#This Row],[ALT_KOD]]))</f>
        <v>-13</v>
      </c>
      <c r="L5741">
        <v>0</v>
      </c>
      <c r="M5741">
        <f>IF((DST_123_ÜRETİM_İHTİYAÇ_RAPORU_BURAK_YENI1309[[#This Row],[SATINALMA]]*DST_123_ÜRETİM_İHTİYAÇ_RAPORU_BURAK_YENI1309[[#This Row],[BIRIM_FIYATLAR]])&lt;1,VALUE("0"),DST_123_ÜRETİM_İHTİYAÇ_RAPORU_BURAK_YENI1309[[#This Row],[SATINALMA]]*DST_123_ÜRETİM_İHTİYAÇ_RAPORU_BURAK_YENI1309[[#This Row],[BIRIM_FIYATLAR]])</f>
        <v>0</v>
      </c>
      <c r="N5741">
        <v>45.3</v>
      </c>
      <c r="O5741" t="s">
        <v>826</v>
      </c>
      <c r="P5741">
        <v>90.6</v>
      </c>
      <c r="Q5741" t="s">
        <v>221</v>
      </c>
    </row>
    <row r="5742" spans="1:17" x14ac:dyDescent="0.25">
      <c r="A5742" t="s">
        <v>1059</v>
      </c>
      <c r="B5742" t="s">
        <v>1058</v>
      </c>
      <c r="C5742" t="s">
        <v>175</v>
      </c>
      <c r="D5742" t="s">
        <v>17</v>
      </c>
      <c r="E5742" t="s">
        <v>18</v>
      </c>
      <c r="F5742">
        <v>1</v>
      </c>
      <c r="G5742" t="s">
        <v>176</v>
      </c>
      <c r="H5742">
        <v>1</v>
      </c>
      <c r="I5742">
        <v>56</v>
      </c>
      <c r="J5742" s="10">
        <v>11</v>
      </c>
      <c r="K5742" s="10">
        <f>SUMIFS(F:F,D:D,DST_123_ÜRETİM_İHTİYAÇ_RAPORU_BURAK_YENI1309[[#This Row],[ALT_KOD]])-(SUMIFS(H:H,D:D,DST_123_ÜRETİM_İHTİYAÇ_RAPORU_BURAK_YENI1309[[#This Row],[ALT_KOD]])+AVERAGEIFS(I:I,D:D,DST_123_ÜRETİM_İHTİYAÇ_RAPORU_BURAK_YENI1309[[#This Row],[ALT_KOD]])+AVERAGEIFS(L:L,D:D,DST_123_ÜRETİM_İHTİYAÇ_RAPORU_BURAK_YENI1309[[#This Row],[ALT_KOD]]))</f>
        <v>-43</v>
      </c>
      <c r="L5742">
        <v>0</v>
      </c>
      <c r="M5742">
        <f>IF((DST_123_ÜRETİM_İHTİYAÇ_RAPORU_BURAK_YENI1309[[#This Row],[SATINALMA]]*DST_123_ÜRETİM_İHTİYAÇ_RAPORU_BURAK_YENI1309[[#This Row],[BIRIM_FIYATLAR]])&lt;1,VALUE("0"),DST_123_ÜRETİM_İHTİYAÇ_RAPORU_BURAK_YENI1309[[#This Row],[SATINALMA]]*DST_123_ÜRETİM_İHTİYAÇ_RAPORU_BURAK_YENI1309[[#This Row],[BIRIM_FIYATLAR]])</f>
        <v>0</v>
      </c>
      <c r="N5742">
        <v>936.72</v>
      </c>
      <c r="O5742" t="s">
        <v>1230</v>
      </c>
      <c r="P5742">
        <v>936.72</v>
      </c>
      <c r="Q5742" t="s">
        <v>221</v>
      </c>
    </row>
    <row r="5743" spans="1:17" x14ac:dyDescent="0.25">
      <c r="A5743" t="s">
        <v>1101</v>
      </c>
      <c r="B5743" t="s">
        <v>1102</v>
      </c>
      <c r="C5743" t="s">
        <v>175</v>
      </c>
      <c r="D5743" t="s">
        <v>17</v>
      </c>
      <c r="E5743" t="s">
        <v>18</v>
      </c>
      <c r="F5743">
        <v>1</v>
      </c>
      <c r="G5743" t="s">
        <v>176</v>
      </c>
      <c r="H5743">
        <v>1</v>
      </c>
      <c r="I5743">
        <v>56</v>
      </c>
      <c r="J5743" s="10">
        <v>11</v>
      </c>
      <c r="K5743" s="10">
        <f>SUMIFS(F:F,D:D,DST_123_ÜRETİM_İHTİYAÇ_RAPORU_BURAK_YENI1309[[#This Row],[ALT_KOD]])-(SUMIFS(H:H,D:D,DST_123_ÜRETİM_İHTİYAÇ_RAPORU_BURAK_YENI1309[[#This Row],[ALT_KOD]])+AVERAGEIFS(I:I,D:D,DST_123_ÜRETİM_İHTİYAÇ_RAPORU_BURAK_YENI1309[[#This Row],[ALT_KOD]])+AVERAGEIFS(L:L,D:D,DST_123_ÜRETİM_İHTİYAÇ_RAPORU_BURAK_YENI1309[[#This Row],[ALT_KOD]]))</f>
        <v>-43</v>
      </c>
      <c r="L5743">
        <v>0</v>
      </c>
      <c r="M5743">
        <f>IF((DST_123_ÜRETİM_İHTİYAÇ_RAPORU_BURAK_YENI1309[[#This Row],[SATINALMA]]*DST_123_ÜRETİM_İHTİYAÇ_RAPORU_BURAK_YENI1309[[#This Row],[BIRIM_FIYATLAR]])&lt;1,VALUE("0"),DST_123_ÜRETİM_İHTİYAÇ_RAPORU_BURAK_YENI1309[[#This Row],[SATINALMA]]*DST_123_ÜRETİM_İHTİYAÇ_RAPORU_BURAK_YENI1309[[#This Row],[BIRIM_FIYATLAR]])</f>
        <v>0</v>
      </c>
      <c r="N5743">
        <v>936.72</v>
      </c>
      <c r="O5743" t="s">
        <v>1230</v>
      </c>
      <c r="P5743">
        <v>936.72</v>
      </c>
      <c r="Q5743" t="s">
        <v>221</v>
      </c>
    </row>
    <row r="5744" spans="1:17" x14ac:dyDescent="0.25">
      <c r="A5744" t="s">
        <v>1097</v>
      </c>
      <c r="B5744" t="s">
        <v>1055</v>
      </c>
      <c r="C5744" t="s">
        <v>175</v>
      </c>
      <c r="D5744" t="s">
        <v>603</v>
      </c>
      <c r="E5744" t="s">
        <v>604</v>
      </c>
      <c r="F5744">
        <v>2</v>
      </c>
      <c r="G5744" t="s">
        <v>176</v>
      </c>
      <c r="H5744">
        <v>2</v>
      </c>
      <c r="I5744">
        <v>5</v>
      </c>
      <c r="J5744" s="10">
        <v>10</v>
      </c>
      <c r="K5744" s="10">
        <f>SUMIFS(F:F,D:D,DST_123_ÜRETİM_İHTİYAÇ_RAPORU_BURAK_YENI1309[[#This Row],[ALT_KOD]])-(SUMIFS(H:H,D:D,DST_123_ÜRETİM_İHTİYAÇ_RAPORU_BURAK_YENI1309[[#This Row],[ALT_KOD]])+AVERAGEIFS(I:I,D:D,DST_123_ÜRETİM_İHTİYAÇ_RAPORU_BURAK_YENI1309[[#This Row],[ALT_KOD]])+AVERAGEIFS(L:L,D:D,DST_123_ÜRETİM_İHTİYAÇ_RAPORU_BURAK_YENI1309[[#This Row],[ALT_KOD]]))</f>
        <v>11</v>
      </c>
      <c r="L5744">
        <v>0</v>
      </c>
      <c r="M5744">
        <f>IF((DST_123_ÜRETİM_İHTİYAÇ_RAPORU_BURAK_YENI1309[[#This Row],[SATINALMA]]*DST_123_ÜRETİM_İHTİYAÇ_RAPORU_BURAK_YENI1309[[#This Row],[BIRIM_FIYATLAR]])&lt;1,VALUE("0"),DST_123_ÜRETİM_İHTİYAÇ_RAPORU_BURAK_YENI1309[[#This Row],[SATINALMA]]*DST_123_ÜRETİM_İHTİYAÇ_RAPORU_BURAK_YENI1309[[#This Row],[BIRIM_FIYATLAR]])</f>
        <v>832.04</v>
      </c>
      <c r="N5744">
        <v>75.64</v>
      </c>
      <c r="O5744" t="s">
        <v>636</v>
      </c>
      <c r="P5744">
        <v>151.28</v>
      </c>
      <c r="Q5744" t="s">
        <v>177</v>
      </c>
    </row>
    <row r="5745" spans="1:17" x14ac:dyDescent="0.25">
      <c r="A5745" t="s">
        <v>1059</v>
      </c>
      <c r="B5745" t="s">
        <v>1058</v>
      </c>
      <c r="C5745" t="s">
        <v>175</v>
      </c>
      <c r="D5745" t="s">
        <v>607</v>
      </c>
      <c r="E5745" t="s">
        <v>608</v>
      </c>
      <c r="F5745">
        <v>2</v>
      </c>
      <c r="G5745" t="s">
        <v>176</v>
      </c>
      <c r="H5745">
        <v>2</v>
      </c>
      <c r="I5745">
        <v>0</v>
      </c>
      <c r="J5745" s="10">
        <v>10</v>
      </c>
      <c r="K5745" s="10">
        <f>SUMIFS(F:F,D:D,DST_123_ÜRETİM_İHTİYAÇ_RAPORU_BURAK_YENI1309[[#This Row],[ALT_KOD]])-(SUMIFS(H:H,D:D,DST_123_ÜRETİM_İHTİYAÇ_RAPORU_BURAK_YENI1309[[#This Row],[ALT_KOD]])+AVERAGEIFS(I:I,D:D,DST_123_ÜRETİM_İHTİYAÇ_RAPORU_BURAK_YENI1309[[#This Row],[ALT_KOD]])+AVERAGEIFS(L:L,D:D,DST_123_ÜRETİM_İHTİYAÇ_RAPORU_BURAK_YENI1309[[#This Row],[ALT_KOD]]))</f>
        <v>24</v>
      </c>
      <c r="L5745">
        <v>0</v>
      </c>
      <c r="M5745">
        <f>IF((DST_123_ÜRETİM_İHTİYAÇ_RAPORU_BURAK_YENI1309[[#This Row],[SATINALMA]]*DST_123_ÜRETİM_İHTİYAÇ_RAPORU_BURAK_YENI1309[[#This Row],[BIRIM_FIYATLAR]])&lt;1,VALUE("0"),DST_123_ÜRETİM_İHTİYAÇ_RAPORU_BURAK_YENI1309[[#This Row],[SATINALMA]]*DST_123_ÜRETİM_İHTİYAÇ_RAPORU_BURAK_YENI1309[[#This Row],[BIRIM_FIYATLAR]])</f>
        <v>1358.4</v>
      </c>
      <c r="N5745">
        <v>56.6</v>
      </c>
      <c r="O5745" t="s">
        <v>636</v>
      </c>
      <c r="P5745">
        <v>113.2</v>
      </c>
      <c r="Q5745" t="s">
        <v>177</v>
      </c>
    </row>
    <row r="5746" spans="1:17" x14ac:dyDescent="0.25">
      <c r="A5746" t="s">
        <v>1064</v>
      </c>
      <c r="B5746" t="s">
        <v>1055</v>
      </c>
      <c r="C5746" t="s">
        <v>175</v>
      </c>
      <c r="D5746" t="s">
        <v>528</v>
      </c>
      <c r="E5746" t="s">
        <v>529</v>
      </c>
      <c r="F5746">
        <v>21</v>
      </c>
      <c r="G5746" t="s">
        <v>176</v>
      </c>
      <c r="H5746">
        <v>0</v>
      </c>
      <c r="I5746">
        <v>1800</v>
      </c>
      <c r="J5746" s="10">
        <v>773</v>
      </c>
      <c r="K5746" s="10">
        <f>SUMIFS(F:F,D:D,DST_123_ÜRETİM_İHTİYAÇ_RAPORU_BURAK_YENI1309[[#This Row],[ALT_KOD]])-(SUMIFS(H:H,D:D,DST_123_ÜRETİM_İHTİYAÇ_RAPORU_BURAK_YENI1309[[#This Row],[ALT_KOD]])+AVERAGEIFS(I:I,D:D,DST_123_ÜRETİM_İHTİYAÇ_RAPORU_BURAK_YENI1309[[#This Row],[ALT_KOD]])+AVERAGEIFS(L:L,D:D,DST_123_ÜRETİM_İHTİYAÇ_RAPORU_BURAK_YENI1309[[#This Row],[ALT_KOD]]))</f>
        <v>-1570</v>
      </c>
      <c r="L5746">
        <v>0</v>
      </c>
      <c r="M5746">
        <f>IF((DST_123_ÜRETİM_İHTİYAÇ_RAPORU_BURAK_YENI1309[[#This Row],[SATINALMA]]*DST_123_ÜRETİM_İHTİYAÇ_RAPORU_BURAK_YENI1309[[#This Row],[BIRIM_FIYATLAR]])&lt;1,VALUE("0"),DST_123_ÜRETİM_İHTİYAÇ_RAPORU_BURAK_YENI1309[[#This Row],[SATINALMA]]*DST_123_ÜRETİM_İHTİYAÇ_RAPORU_BURAK_YENI1309[[#This Row],[BIRIM_FIYATLAR]])</f>
        <v>0</v>
      </c>
      <c r="N5746">
        <v>0.8</v>
      </c>
      <c r="O5746" t="s">
        <v>240</v>
      </c>
      <c r="P5746">
        <v>16.8</v>
      </c>
      <c r="Q5746" t="s">
        <v>180</v>
      </c>
    </row>
    <row r="5747" spans="1:17" x14ac:dyDescent="0.25">
      <c r="A5747" t="s">
        <v>1064</v>
      </c>
      <c r="B5747" t="s">
        <v>1055</v>
      </c>
      <c r="C5747" t="s">
        <v>175</v>
      </c>
      <c r="D5747" t="s">
        <v>64</v>
      </c>
      <c r="E5747" t="s">
        <v>65</v>
      </c>
      <c r="F5747">
        <v>2</v>
      </c>
      <c r="G5747" t="s">
        <v>176</v>
      </c>
      <c r="H5747">
        <v>2</v>
      </c>
      <c r="I5747">
        <v>36</v>
      </c>
      <c r="J5747" s="10">
        <v>12</v>
      </c>
      <c r="K5747" s="10">
        <f>SUMIFS(F:F,D:D,DST_123_ÜRETİM_İHTİYAÇ_RAPORU_BURAK_YENI1309[[#This Row],[ALT_KOD]])-(SUMIFS(H:H,D:D,DST_123_ÜRETİM_İHTİYAÇ_RAPORU_BURAK_YENI1309[[#This Row],[ALT_KOD]])+AVERAGEIFS(I:I,D:D,DST_123_ÜRETİM_İHTİYAÇ_RAPORU_BURAK_YENI1309[[#This Row],[ALT_KOD]])+AVERAGEIFS(L:L,D:D,DST_123_ÜRETİM_İHTİYAÇ_RAPORU_BURAK_YENI1309[[#This Row],[ALT_KOD]]))</f>
        <v>-22</v>
      </c>
      <c r="L5747">
        <v>0</v>
      </c>
      <c r="M5747">
        <f>IF((DST_123_ÜRETİM_İHTİYAÇ_RAPORU_BURAK_YENI1309[[#This Row],[SATINALMA]]*DST_123_ÜRETİM_İHTİYAÇ_RAPORU_BURAK_YENI1309[[#This Row],[BIRIM_FIYATLAR]])&lt;1,VALUE("0"),DST_123_ÜRETİM_İHTİYAÇ_RAPORU_BURAK_YENI1309[[#This Row],[SATINALMA]]*DST_123_ÜRETİM_İHTİYAÇ_RAPORU_BURAK_YENI1309[[#This Row],[BIRIM_FIYATLAR]])</f>
        <v>0</v>
      </c>
      <c r="N5747">
        <v>95</v>
      </c>
      <c r="O5747" t="s">
        <v>217</v>
      </c>
      <c r="P5747">
        <v>190</v>
      </c>
      <c r="Q5747" t="s">
        <v>180</v>
      </c>
    </row>
    <row r="5748" spans="1:17" x14ac:dyDescent="0.25">
      <c r="A5748" t="s">
        <v>1097</v>
      </c>
      <c r="B5748" t="s">
        <v>1055</v>
      </c>
      <c r="C5748" t="s">
        <v>175</v>
      </c>
      <c r="D5748" t="s">
        <v>319</v>
      </c>
      <c r="E5748" t="s">
        <v>320</v>
      </c>
      <c r="F5748">
        <v>0.16400000000000001</v>
      </c>
      <c r="G5748" t="s">
        <v>186</v>
      </c>
      <c r="H5748">
        <v>0.16400000000000001</v>
      </c>
      <c r="I5748">
        <v>0</v>
      </c>
      <c r="J5748" s="10">
        <v>4.5430000000000446</v>
      </c>
      <c r="K5748" s="10">
        <f>SUMIFS(F:F,D:D,DST_123_ÜRETİM_İHTİYAÇ_RAPORU_BURAK_YENI1309[[#This Row],[ALT_KOD]])-(SUMIFS(H:H,D:D,DST_123_ÜRETİM_İHTİYAÇ_RAPORU_BURAK_YENI1309[[#This Row],[ALT_KOD]])+AVERAGEIFS(I:I,D:D,DST_123_ÜRETİM_İHTİYAÇ_RAPORU_BURAK_YENI1309[[#This Row],[ALT_KOD]])+AVERAGEIFS(L:L,D:D,DST_123_ÜRETİM_İHTİYAÇ_RAPORU_BURAK_YENI1309[[#This Row],[ALT_KOD]]))</f>
        <v>1.4260000000000002</v>
      </c>
      <c r="L5748">
        <v>0</v>
      </c>
      <c r="M5748">
        <f>IF((DST_123_ÜRETİM_İHTİYAÇ_RAPORU_BURAK_YENI1309[[#This Row],[SATINALMA]]*DST_123_ÜRETİM_İHTİYAÇ_RAPORU_BURAK_YENI1309[[#This Row],[BIRIM_FIYATLAR]])&lt;1,VALUE("0"),DST_123_ÜRETİM_İHTİYAÇ_RAPORU_BURAK_YENI1309[[#This Row],[SATINALMA]]*DST_123_ÜRETİM_İHTİYAÇ_RAPORU_BURAK_YENI1309[[#This Row],[BIRIM_FIYATLAR]])</f>
        <v>27807.000000000004</v>
      </c>
      <c r="N5748">
        <v>19500</v>
      </c>
      <c r="O5748" t="s">
        <v>762</v>
      </c>
      <c r="P5748">
        <v>3198</v>
      </c>
      <c r="Q5748" t="s">
        <v>181</v>
      </c>
    </row>
    <row r="5749" spans="1:17" x14ac:dyDescent="0.25">
      <c r="A5749" t="s">
        <v>1097</v>
      </c>
      <c r="B5749" t="s">
        <v>1055</v>
      </c>
      <c r="C5749" t="s">
        <v>175</v>
      </c>
      <c r="D5749" t="s">
        <v>680</v>
      </c>
      <c r="E5749" t="s">
        <v>681</v>
      </c>
      <c r="F5749">
        <v>1</v>
      </c>
      <c r="G5749" t="s">
        <v>176</v>
      </c>
      <c r="H5749">
        <v>1</v>
      </c>
      <c r="I5749">
        <v>10</v>
      </c>
      <c r="J5749" s="10">
        <v>4</v>
      </c>
      <c r="K5749" s="10">
        <f>SUMIFS(F:F,D:D,DST_123_ÜRETİM_İHTİYAÇ_RAPORU_BURAK_YENI1309[[#This Row],[ALT_KOD]])-(SUMIFS(H:H,D:D,DST_123_ÜRETİM_İHTİYAÇ_RAPORU_BURAK_YENI1309[[#This Row],[ALT_KOD]])+AVERAGEIFS(I:I,D:D,DST_123_ÜRETİM_İHTİYAÇ_RAPORU_BURAK_YENI1309[[#This Row],[ALT_KOD]])+AVERAGEIFS(L:L,D:D,DST_123_ÜRETİM_İHTİYAÇ_RAPORU_BURAK_YENI1309[[#This Row],[ALT_KOD]]))</f>
        <v>-6</v>
      </c>
      <c r="L5749">
        <v>0</v>
      </c>
      <c r="M5749">
        <f>IF((DST_123_ÜRETİM_İHTİYAÇ_RAPORU_BURAK_YENI1309[[#This Row],[SATINALMA]]*DST_123_ÜRETİM_İHTİYAÇ_RAPORU_BURAK_YENI1309[[#This Row],[BIRIM_FIYATLAR]])&lt;1,VALUE("0"),DST_123_ÜRETİM_İHTİYAÇ_RAPORU_BURAK_YENI1309[[#This Row],[SATINALMA]]*DST_123_ÜRETİM_İHTİYAÇ_RAPORU_BURAK_YENI1309[[#This Row],[BIRIM_FIYATLAR]])</f>
        <v>0</v>
      </c>
      <c r="N5749">
        <v>252</v>
      </c>
      <c r="O5749" t="s">
        <v>246</v>
      </c>
      <c r="P5749">
        <v>252</v>
      </c>
      <c r="Q5749" t="s">
        <v>180</v>
      </c>
    </row>
    <row r="5750" spans="1:17" x14ac:dyDescent="0.25">
      <c r="A5750" t="s">
        <v>1064</v>
      </c>
      <c r="B5750" t="s">
        <v>1055</v>
      </c>
      <c r="C5750" t="s">
        <v>175</v>
      </c>
      <c r="D5750" t="s">
        <v>120</v>
      </c>
      <c r="E5750" t="s">
        <v>311</v>
      </c>
      <c r="F5750">
        <v>2.2999999999999998</v>
      </c>
      <c r="G5750" t="s">
        <v>176</v>
      </c>
      <c r="H5750">
        <v>2.2999999999999998</v>
      </c>
      <c r="I5750">
        <v>24</v>
      </c>
      <c r="J5750" s="10">
        <v>18.499999999999982</v>
      </c>
      <c r="K5750" s="10">
        <f>SUMIFS(F:F,D:D,DST_123_ÜRETİM_İHTİYAÇ_RAPORU_BURAK_YENI1309[[#This Row],[ALT_KOD]])-(SUMIFS(H:H,D:D,DST_123_ÜRETİM_İHTİYAÇ_RAPORU_BURAK_YENI1309[[#This Row],[ALT_KOD]])+AVERAGEIFS(I:I,D:D,DST_123_ÜRETİM_İHTİYAÇ_RAPORU_BURAK_YENI1309[[#This Row],[ALT_KOD]])+AVERAGEIFS(L:L,D:D,DST_123_ÜRETİM_İHTİYAÇ_RAPORU_BURAK_YENI1309[[#This Row],[ALT_KOD]]))</f>
        <v>3.899999999999995</v>
      </c>
      <c r="L5750">
        <v>0</v>
      </c>
      <c r="M5750">
        <f>IF((DST_123_ÜRETİM_İHTİYAÇ_RAPORU_BURAK_YENI1309[[#This Row],[SATINALMA]]*DST_123_ÜRETİM_İHTİYAÇ_RAPORU_BURAK_YENI1309[[#This Row],[BIRIM_FIYATLAR]])&lt;1,VALUE("0"),DST_123_ÜRETİM_İHTİYAÇ_RAPORU_BURAK_YENI1309[[#This Row],[SATINALMA]]*DST_123_ÜRETİM_İHTİYAÇ_RAPORU_BURAK_YENI1309[[#This Row],[BIRIM_FIYATLAR]])</f>
        <v>467.99999999999943</v>
      </c>
      <c r="N5750">
        <v>120</v>
      </c>
      <c r="O5750" t="s">
        <v>240</v>
      </c>
      <c r="P5750">
        <v>276</v>
      </c>
      <c r="Q5750" t="s">
        <v>183</v>
      </c>
    </row>
    <row r="5751" spans="1:17" x14ac:dyDescent="0.25">
      <c r="A5751" t="s">
        <v>1064</v>
      </c>
      <c r="B5751" t="s">
        <v>1055</v>
      </c>
      <c r="C5751" t="s">
        <v>175</v>
      </c>
      <c r="D5751" t="s">
        <v>319</v>
      </c>
      <c r="E5751" t="s">
        <v>320</v>
      </c>
      <c r="F5751">
        <v>0.16400000000000001</v>
      </c>
      <c r="G5751" t="s">
        <v>186</v>
      </c>
      <c r="H5751">
        <v>0.16400000000000001</v>
      </c>
      <c r="I5751">
        <v>0</v>
      </c>
      <c r="J5751" s="10">
        <v>4.5430000000000446</v>
      </c>
      <c r="K5751" s="10">
        <f>SUMIFS(F:F,D:D,DST_123_ÜRETİM_İHTİYAÇ_RAPORU_BURAK_YENI1309[[#This Row],[ALT_KOD]])-(SUMIFS(H:H,D:D,DST_123_ÜRETİM_İHTİYAÇ_RAPORU_BURAK_YENI1309[[#This Row],[ALT_KOD]])+AVERAGEIFS(I:I,D:D,DST_123_ÜRETİM_İHTİYAÇ_RAPORU_BURAK_YENI1309[[#This Row],[ALT_KOD]])+AVERAGEIFS(L:L,D:D,DST_123_ÜRETİM_İHTİYAÇ_RAPORU_BURAK_YENI1309[[#This Row],[ALT_KOD]]))</f>
        <v>1.4260000000000002</v>
      </c>
      <c r="L5751">
        <v>0</v>
      </c>
      <c r="M5751">
        <f>IF((DST_123_ÜRETİM_İHTİYAÇ_RAPORU_BURAK_YENI1309[[#This Row],[SATINALMA]]*DST_123_ÜRETİM_İHTİYAÇ_RAPORU_BURAK_YENI1309[[#This Row],[BIRIM_FIYATLAR]])&lt;1,VALUE("0"),DST_123_ÜRETİM_İHTİYAÇ_RAPORU_BURAK_YENI1309[[#This Row],[SATINALMA]]*DST_123_ÜRETİM_İHTİYAÇ_RAPORU_BURAK_YENI1309[[#This Row],[BIRIM_FIYATLAR]])</f>
        <v>27807.000000000004</v>
      </c>
      <c r="N5751">
        <v>19500</v>
      </c>
      <c r="O5751" t="s">
        <v>762</v>
      </c>
      <c r="P5751">
        <v>3198</v>
      </c>
      <c r="Q5751" t="s">
        <v>181</v>
      </c>
    </row>
    <row r="5752" spans="1:17" x14ac:dyDescent="0.25">
      <c r="A5752" t="s">
        <v>1064</v>
      </c>
      <c r="B5752" t="s">
        <v>1055</v>
      </c>
      <c r="C5752" t="s">
        <v>175</v>
      </c>
      <c r="D5752" t="s">
        <v>697</v>
      </c>
      <c r="E5752" t="s">
        <v>698</v>
      </c>
      <c r="F5752">
        <v>1</v>
      </c>
      <c r="G5752" t="s">
        <v>176</v>
      </c>
      <c r="H5752">
        <v>1</v>
      </c>
      <c r="I5752">
        <v>6</v>
      </c>
      <c r="J5752" s="10">
        <v>5</v>
      </c>
      <c r="K5752" s="10">
        <f>SUMIFS(F:F,D:D,DST_123_ÜRETİM_İHTİYAÇ_RAPORU_BURAK_YENI1309[[#This Row],[ALT_KOD]])-(SUMIFS(H:H,D:D,DST_123_ÜRETİM_İHTİYAÇ_RAPORU_BURAK_YENI1309[[#This Row],[ALT_KOD]])+AVERAGEIFS(I:I,D:D,DST_123_ÜRETİM_İHTİYAÇ_RAPORU_BURAK_YENI1309[[#This Row],[ALT_KOD]])+AVERAGEIFS(L:L,D:D,DST_123_ÜRETİM_İHTİYAÇ_RAPORU_BURAK_YENI1309[[#This Row],[ALT_KOD]]))</f>
        <v>5</v>
      </c>
      <c r="L5752">
        <v>0</v>
      </c>
      <c r="M5752">
        <f>IF((DST_123_ÜRETİM_İHTİYAÇ_RAPORU_BURAK_YENI1309[[#This Row],[SATINALMA]]*DST_123_ÜRETİM_İHTİYAÇ_RAPORU_BURAK_YENI1309[[#This Row],[BIRIM_FIYATLAR]])&lt;1,VALUE("0"),DST_123_ÜRETİM_İHTİYAÇ_RAPORU_BURAK_YENI1309[[#This Row],[SATINALMA]]*DST_123_ÜRETİM_İHTİYAÇ_RAPORU_BURAK_YENI1309[[#This Row],[BIRIM_FIYATLAR]])</f>
        <v>11000</v>
      </c>
      <c r="N5752">
        <v>2200</v>
      </c>
      <c r="O5752" t="s">
        <v>251</v>
      </c>
      <c r="P5752">
        <v>2200</v>
      </c>
      <c r="Q5752" t="s">
        <v>178</v>
      </c>
    </row>
    <row r="5753" spans="1:17" x14ac:dyDescent="0.25">
      <c r="A5753" t="s">
        <v>1064</v>
      </c>
      <c r="B5753" t="s">
        <v>1055</v>
      </c>
      <c r="C5753" t="s">
        <v>175</v>
      </c>
      <c r="D5753" t="s">
        <v>516</v>
      </c>
      <c r="E5753" t="s">
        <v>517</v>
      </c>
      <c r="F5753">
        <v>1.5</v>
      </c>
      <c r="G5753" t="s">
        <v>176</v>
      </c>
      <c r="H5753">
        <v>1.5</v>
      </c>
      <c r="I5753">
        <v>91</v>
      </c>
      <c r="J5753" s="10">
        <v>17.799999999999997</v>
      </c>
      <c r="K5753" s="10">
        <f>SUMIFS(F:F,D:D,DST_123_ÜRETİM_İHTİYAÇ_RAPORU_BURAK_YENI1309[[#This Row],[ALT_KOD]])-(SUMIFS(H:H,D:D,DST_123_ÜRETİM_İHTİYAÇ_RAPORU_BURAK_YENI1309[[#This Row],[ALT_KOD]])+AVERAGEIFS(I:I,D:D,DST_123_ÜRETİM_İHTİYAÇ_RAPORU_BURAK_YENI1309[[#This Row],[ALT_KOD]])+AVERAGEIFS(L:L,D:D,DST_123_ÜRETİM_İHTİYAÇ_RAPORU_BURAK_YENI1309[[#This Row],[ALT_KOD]]))</f>
        <v>-74.5</v>
      </c>
      <c r="L5753">
        <v>0</v>
      </c>
      <c r="M5753">
        <f>IF((DST_123_ÜRETİM_İHTİYAÇ_RAPORU_BURAK_YENI1309[[#This Row],[SATINALMA]]*DST_123_ÜRETİM_İHTİYAÇ_RAPORU_BURAK_YENI1309[[#This Row],[BIRIM_FIYATLAR]])&lt;1,VALUE("0"),DST_123_ÜRETİM_İHTİYAÇ_RAPORU_BURAK_YENI1309[[#This Row],[SATINALMA]]*DST_123_ÜRETİM_İHTİYAÇ_RAPORU_BURAK_YENI1309[[#This Row],[BIRIM_FIYATLAR]])</f>
        <v>0</v>
      </c>
      <c r="N5753">
        <v>85</v>
      </c>
      <c r="O5753" t="s">
        <v>346</v>
      </c>
      <c r="P5753">
        <v>127.5</v>
      </c>
      <c r="Q5753" t="s">
        <v>180</v>
      </c>
    </row>
    <row r="5754" spans="1:17" x14ac:dyDescent="0.25">
      <c r="A5754" t="s">
        <v>1142</v>
      </c>
      <c r="B5754" t="s">
        <v>1056</v>
      </c>
      <c r="C5754" t="s">
        <v>175</v>
      </c>
      <c r="D5754" t="s">
        <v>120</v>
      </c>
      <c r="E5754" t="s">
        <v>311</v>
      </c>
      <c r="F5754">
        <v>1.5</v>
      </c>
      <c r="G5754" t="s">
        <v>176</v>
      </c>
      <c r="H5754">
        <v>0</v>
      </c>
      <c r="I5754">
        <v>24</v>
      </c>
      <c r="J5754" s="10">
        <v>18.499999999999982</v>
      </c>
      <c r="K5754" s="10">
        <f>SUMIFS(F:F,D:D,DST_123_ÜRETİM_İHTİYAÇ_RAPORU_BURAK_YENI1309[[#This Row],[ALT_KOD]])-(SUMIFS(H:H,D:D,DST_123_ÜRETİM_İHTİYAÇ_RAPORU_BURAK_YENI1309[[#This Row],[ALT_KOD]])+AVERAGEIFS(I:I,D:D,DST_123_ÜRETİM_İHTİYAÇ_RAPORU_BURAK_YENI1309[[#This Row],[ALT_KOD]])+AVERAGEIFS(L:L,D:D,DST_123_ÜRETİM_İHTİYAÇ_RAPORU_BURAK_YENI1309[[#This Row],[ALT_KOD]]))</f>
        <v>3.899999999999995</v>
      </c>
      <c r="L5754">
        <v>0</v>
      </c>
      <c r="M5754">
        <f>IF((DST_123_ÜRETİM_İHTİYAÇ_RAPORU_BURAK_YENI1309[[#This Row],[SATINALMA]]*DST_123_ÜRETİM_İHTİYAÇ_RAPORU_BURAK_YENI1309[[#This Row],[BIRIM_FIYATLAR]])&lt;1,VALUE("0"),DST_123_ÜRETİM_İHTİYAÇ_RAPORU_BURAK_YENI1309[[#This Row],[SATINALMA]]*DST_123_ÜRETİM_İHTİYAÇ_RAPORU_BURAK_YENI1309[[#This Row],[BIRIM_FIYATLAR]])</f>
        <v>467.99999999999943</v>
      </c>
      <c r="N5754">
        <v>120</v>
      </c>
      <c r="O5754" t="s">
        <v>240</v>
      </c>
      <c r="P5754">
        <v>180</v>
      </c>
      <c r="Q5754" t="s">
        <v>183</v>
      </c>
    </row>
    <row r="5755" spans="1:17" x14ac:dyDescent="0.25">
      <c r="A5755" t="s">
        <v>1150</v>
      </c>
      <c r="B5755" t="s">
        <v>1145</v>
      </c>
      <c r="C5755" t="s">
        <v>175</v>
      </c>
      <c r="D5755" t="s">
        <v>846</v>
      </c>
      <c r="E5755" t="s">
        <v>847</v>
      </c>
      <c r="F5755">
        <v>2</v>
      </c>
      <c r="G5755" t="s">
        <v>182</v>
      </c>
      <c r="H5755">
        <v>0</v>
      </c>
      <c r="I5755">
        <v>0</v>
      </c>
      <c r="J5755" s="10">
        <v>-1.4210854715202004E-14</v>
      </c>
      <c r="K5755" s="10">
        <f>SUMIFS(F:F,D:D,DST_123_ÜRETİM_İHTİYAÇ_RAPORU_BURAK_YENI1309[[#This Row],[ALT_KOD]])-(SUMIFS(H:H,D:D,DST_123_ÜRETİM_İHTİYAÇ_RAPORU_BURAK_YENI1309[[#This Row],[ALT_KOD]])+AVERAGEIFS(I:I,D:D,DST_123_ÜRETİM_İHTİYAÇ_RAPORU_BURAK_YENI1309[[#This Row],[ALT_KOD]])+AVERAGEIFS(L:L,D:D,DST_123_ÜRETİM_İHTİYAÇ_RAPORU_BURAK_YENI1309[[#This Row],[ALT_KOD]]))</f>
        <v>52</v>
      </c>
      <c r="L5755">
        <v>0</v>
      </c>
      <c r="M5755">
        <f>IF((DST_123_ÜRETİM_İHTİYAÇ_RAPORU_BURAK_YENI1309[[#This Row],[SATINALMA]]*DST_123_ÜRETİM_İHTİYAÇ_RAPORU_BURAK_YENI1309[[#This Row],[BIRIM_FIYATLAR]])&lt;1,VALUE("0"),DST_123_ÜRETİM_İHTİYAÇ_RAPORU_BURAK_YENI1309[[#This Row],[SATINALMA]]*DST_123_ÜRETİM_İHTİYAÇ_RAPORU_BURAK_YENI1309[[#This Row],[BIRIM_FIYATLAR]])</f>
        <v>28423.200000000001</v>
      </c>
      <c r="N5755">
        <v>546.6</v>
      </c>
      <c r="O5755" t="s">
        <v>253</v>
      </c>
      <c r="P5755">
        <v>1093.2</v>
      </c>
      <c r="Q5755" t="s">
        <v>181</v>
      </c>
    </row>
    <row r="5756" spans="1:17" x14ac:dyDescent="0.25">
      <c r="A5756" t="s">
        <v>1099</v>
      </c>
      <c r="B5756" t="s">
        <v>1055</v>
      </c>
      <c r="C5756" t="s">
        <v>175</v>
      </c>
      <c r="D5756" t="s">
        <v>595</v>
      </c>
      <c r="E5756" t="s">
        <v>596</v>
      </c>
      <c r="F5756">
        <v>1</v>
      </c>
      <c r="G5756" t="s">
        <v>176</v>
      </c>
      <c r="H5756">
        <v>1</v>
      </c>
      <c r="I5756">
        <v>18</v>
      </c>
      <c r="J5756" s="10">
        <v>3</v>
      </c>
      <c r="K5756" s="10">
        <f>SUMIFS(F:F,D:D,DST_123_ÜRETİM_İHTİYAÇ_RAPORU_BURAK_YENI1309[[#This Row],[ALT_KOD]])-(SUMIFS(H:H,D:D,DST_123_ÜRETİM_İHTİYAÇ_RAPORU_BURAK_YENI1309[[#This Row],[ALT_KOD]])+AVERAGEIFS(I:I,D:D,DST_123_ÜRETİM_İHTİYAÇ_RAPORU_BURAK_YENI1309[[#This Row],[ALT_KOD]])+AVERAGEIFS(L:L,D:D,DST_123_ÜRETİM_İHTİYAÇ_RAPORU_BURAK_YENI1309[[#This Row],[ALT_KOD]]))</f>
        <v>-1</v>
      </c>
      <c r="L5756">
        <v>0</v>
      </c>
      <c r="M5756">
        <f>IF((DST_123_ÜRETİM_İHTİYAÇ_RAPORU_BURAK_YENI1309[[#This Row],[SATINALMA]]*DST_123_ÜRETİM_İHTİYAÇ_RAPORU_BURAK_YENI1309[[#This Row],[BIRIM_FIYATLAR]])&lt;1,VALUE("0"),DST_123_ÜRETİM_İHTİYAÇ_RAPORU_BURAK_YENI1309[[#This Row],[SATINALMA]]*DST_123_ÜRETİM_İHTİYAÇ_RAPORU_BURAK_YENI1309[[#This Row],[BIRIM_FIYATLAR]])</f>
        <v>0</v>
      </c>
      <c r="N5756">
        <v>4852.33</v>
      </c>
      <c r="O5756" t="s">
        <v>636</v>
      </c>
      <c r="P5756">
        <v>4852.33</v>
      </c>
      <c r="Q5756" t="s">
        <v>177</v>
      </c>
    </row>
    <row r="5757" spans="1:17" x14ac:dyDescent="0.25">
      <c r="A5757" t="s">
        <v>1146</v>
      </c>
      <c r="B5757" t="s">
        <v>1145</v>
      </c>
      <c r="C5757" t="s">
        <v>175</v>
      </c>
      <c r="D5757" t="s">
        <v>92</v>
      </c>
      <c r="E5757" t="s">
        <v>93</v>
      </c>
      <c r="F5757">
        <v>4</v>
      </c>
      <c r="G5757" t="s">
        <v>176</v>
      </c>
      <c r="H5757">
        <v>0</v>
      </c>
      <c r="I5757">
        <v>105</v>
      </c>
      <c r="J5757" s="10">
        <v>56</v>
      </c>
      <c r="K5757" s="10">
        <f>SUMIFS(F:F,D:D,DST_123_ÜRETİM_İHTİYAÇ_RAPORU_BURAK_YENI1309[[#This Row],[ALT_KOD]])-(SUMIFS(H:H,D:D,DST_123_ÜRETİM_İHTİYAÇ_RAPORU_BURAK_YENI1309[[#This Row],[ALT_KOD]])+AVERAGEIFS(I:I,D:D,DST_123_ÜRETİM_İHTİYAÇ_RAPORU_BURAK_YENI1309[[#This Row],[ALT_KOD]])+AVERAGEIFS(L:L,D:D,DST_123_ÜRETİM_İHTİYAÇ_RAPORU_BURAK_YENI1309[[#This Row],[ALT_KOD]]))</f>
        <v>-8</v>
      </c>
      <c r="L5757">
        <v>0</v>
      </c>
      <c r="M5757">
        <f>IF((DST_123_ÜRETİM_İHTİYAÇ_RAPORU_BURAK_YENI1309[[#This Row],[SATINALMA]]*DST_123_ÜRETİM_İHTİYAÇ_RAPORU_BURAK_YENI1309[[#This Row],[BIRIM_FIYATLAR]])&lt;1,VALUE("0"),DST_123_ÜRETİM_İHTİYAÇ_RAPORU_BURAK_YENI1309[[#This Row],[SATINALMA]]*DST_123_ÜRETİM_İHTİYAÇ_RAPORU_BURAK_YENI1309[[#This Row],[BIRIM_FIYATLAR]])</f>
        <v>0</v>
      </c>
      <c r="N5757">
        <v>72.599999999999994</v>
      </c>
      <c r="O5757" t="s">
        <v>240</v>
      </c>
      <c r="P5757">
        <v>290.39999999999998</v>
      </c>
      <c r="Q5757" t="s">
        <v>178</v>
      </c>
    </row>
    <row r="5758" spans="1:17" x14ac:dyDescent="0.25">
      <c r="A5758" t="s">
        <v>1146</v>
      </c>
      <c r="B5758" t="s">
        <v>1145</v>
      </c>
      <c r="C5758" t="s">
        <v>175</v>
      </c>
      <c r="D5758" t="s">
        <v>885</v>
      </c>
      <c r="E5758" t="s">
        <v>886</v>
      </c>
      <c r="F5758">
        <v>50</v>
      </c>
      <c r="G5758" t="s">
        <v>179</v>
      </c>
      <c r="H5758">
        <v>0</v>
      </c>
      <c r="I5758">
        <v>0</v>
      </c>
      <c r="J5758" s="10">
        <v>57</v>
      </c>
      <c r="K5758" s="10">
        <f>SUMIFS(F:F,D:D,DST_123_ÜRETİM_İHTİYAÇ_RAPORU_BURAK_YENI1309[[#This Row],[ALT_KOD]])-(SUMIFS(H:H,D:D,DST_123_ÜRETİM_İHTİYAÇ_RAPORU_BURAK_YENI1309[[#This Row],[ALT_KOD]])+AVERAGEIFS(I:I,D:D,DST_123_ÜRETİM_İHTİYAÇ_RAPORU_BURAK_YENI1309[[#This Row],[ALT_KOD]])+AVERAGEIFS(L:L,D:D,DST_123_ÜRETİM_İHTİYAÇ_RAPORU_BURAK_YENI1309[[#This Row],[ALT_KOD]]))</f>
        <v>350</v>
      </c>
      <c r="L5758">
        <v>0</v>
      </c>
      <c r="M5758">
        <f>IF((DST_123_ÜRETİM_İHTİYAÇ_RAPORU_BURAK_YENI1309[[#This Row],[SATINALMA]]*DST_123_ÜRETİM_İHTİYAÇ_RAPORU_BURAK_YENI1309[[#This Row],[BIRIM_FIYATLAR]])&lt;1,VALUE("0"),DST_123_ÜRETİM_İHTİYAÇ_RAPORU_BURAK_YENI1309[[#This Row],[SATINALMA]]*DST_123_ÜRETİM_İHTİYAÇ_RAPORU_BURAK_YENI1309[[#This Row],[BIRIM_FIYATLAR]])</f>
        <v>3132.4999999999995</v>
      </c>
      <c r="N5758">
        <v>8.9499999999999993</v>
      </c>
      <c r="O5758" t="s">
        <v>223</v>
      </c>
      <c r="P5758">
        <v>447.49999999999994</v>
      </c>
      <c r="Q5758" t="s">
        <v>181</v>
      </c>
    </row>
    <row r="5759" spans="1:17" x14ac:dyDescent="0.25">
      <c r="A5759" t="s">
        <v>1179</v>
      </c>
      <c r="B5759" t="s">
        <v>1180</v>
      </c>
      <c r="C5759" t="s">
        <v>175</v>
      </c>
      <c r="D5759" t="s">
        <v>1209</v>
      </c>
      <c r="E5759" t="s">
        <v>1210</v>
      </c>
      <c r="F5759">
        <v>1</v>
      </c>
      <c r="G5759" t="s">
        <v>176</v>
      </c>
      <c r="H5759">
        <v>1</v>
      </c>
      <c r="I5759">
        <v>0</v>
      </c>
      <c r="J5759" s="10">
        <v>1</v>
      </c>
      <c r="K5759" s="10">
        <f>SUMIFS(F:F,D:D,DST_123_ÜRETİM_İHTİYAÇ_RAPORU_BURAK_YENI1309[[#This Row],[ALT_KOD]])-(SUMIFS(H:H,D:D,DST_123_ÜRETİM_İHTİYAÇ_RAPORU_BURAK_YENI1309[[#This Row],[ALT_KOD]])+AVERAGEIFS(I:I,D:D,DST_123_ÜRETİM_İHTİYAÇ_RAPORU_BURAK_YENI1309[[#This Row],[ALT_KOD]])+AVERAGEIFS(L:L,D:D,DST_123_ÜRETİM_İHTİYAÇ_RAPORU_BURAK_YENI1309[[#This Row],[ALT_KOD]]))</f>
        <v>0</v>
      </c>
      <c r="L5759">
        <v>0</v>
      </c>
      <c r="M5759">
        <f>IF((DST_123_ÜRETİM_İHTİYAÇ_RAPORU_BURAK_YENI1309[[#This Row],[SATINALMA]]*DST_123_ÜRETİM_İHTİYAÇ_RAPORU_BURAK_YENI1309[[#This Row],[BIRIM_FIYATLAR]])&lt;1,VALUE("0"),DST_123_ÜRETİM_İHTİYAÇ_RAPORU_BURAK_YENI1309[[#This Row],[SATINALMA]]*DST_123_ÜRETİM_İHTİYAÇ_RAPORU_BURAK_YENI1309[[#This Row],[BIRIM_FIYATLAR]])</f>
        <v>0</v>
      </c>
      <c r="N5759">
        <v>39845.54</v>
      </c>
      <c r="O5759" t="s">
        <v>215</v>
      </c>
      <c r="P5759">
        <v>39845.54</v>
      </c>
      <c r="Q5759" t="s">
        <v>177</v>
      </c>
    </row>
    <row r="5760" spans="1:17" x14ac:dyDescent="0.25">
      <c r="A5760" t="s">
        <v>1146</v>
      </c>
      <c r="B5760" t="s">
        <v>1145</v>
      </c>
      <c r="C5760" t="s">
        <v>175</v>
      </c>
      <c r="D5760" t="s">
        <v>351</v>
      </c>
      <c r="E5760" t="s">
        <v>352</v>
      </c>
      <c r="F5760">
        <v>229</v>
      </c>
      <c r="G5760" t="s">
        <v>176</v>
      </c>
      <c r="H5760">
        <v>0</v>
      </c>
      <c r="I5760">
        <v>4000</v>
      </c>
      <c r="J5760" s="10">
        <v>7366</v>
      </c>
      <c r="K5760" s="10">
        <f>SUMIFS(F:F,D:D,DST_123_ÜRETİM_İHTİYAÇ_RAPORU_BURAK_YENI1309[[#This Row],[ALT_KOD]])-(SUMIFS(H:H,D:D,DST_123_ÜRETİM_İHTİYAÇ_RAPORU_BURAK_YENI1309[[#This Row],[ALT_KOD]])+AVERAGEIFS(I:I,D:D,DST_123_ÜRETİM_İHTİYAÇ_RAPORU_BURAK_YENI1309[[#This Row],[ALT_KOD]])+AVERAGEIFS(L:L,D:D,DST_123_ÜRETİM_İHTİYAÇ_RAPORU_BURAK_YENI1309[[#This Row],[ALT_KOD]]))</f>
        <v>-714</v>
      </c>
      <c r="L5760">
        <v>0</v>
      </c>
      <c r="M5760">
        <f>IF((DST_123_ÜRETİM_İHTİYAÇ_RAPORU_BURAK_YENI1309[[#This Row],[SATINALMA]]*DST_123_ÜRETİM_İHTİYAÇ_RAPORU_BURAK_YENI1309[[#This Row],[BIRIM_FIYATLAR]])&lt;1,VALUE("0"),DST_123_ÜRETİM_İHTİYAÇ_RAPORU_BURAK_YENI1309[[#This Row],[SATINALMA]]*DST_123_ÜRETİM_İHTİYAÇ_RAPORU_BURAK_YENI1309[[#This Row],[BIRIM_FIYATLAR]])</f>
        <v>0</v>
      </c>
      <c r="N5760">
        <v>0.35</v>
      </c>
      <c r="O5760" t="s">
        <v>240</v>
      </c>
      <c r="P5760">
        <v>80.149999999999991</v>
      </c>
      <c r="Q5760" t="s">
        <v>180</v>
      </c>
    </row>
    <row r="5761" spans="1:17" x14ac:dyDescent="0.25">
      <c r="A5761" t="s">
        <v>1100</v>
      </c>
      <c r="B5761" t="s">
        <v>1058</v>
      </c>
      <c r="C5761" t="s">
        <v>175</v>
      </c>
      <c r="D5761" t="s">
        <v>807</v>
      </c>
      <c r="E5761" t="s">
        <v>808</v>
      </c>
      <c r="F5761">
        <v>1</v>
      </c>
      <c r="G5761" t="s">
        <v>176</v>
      </c>
      <c r="H5761">
        <v>1</v>
      </c>
      <c r="I5761">
        <v>11</v>
      </c>
      <c r="J5761" s="10">
        <v>1</v>
      </c>
      <c r="K5761" s="10">
        <f>SUMIFS(F:F,D:D,DST_123_ÜRETİM_İHTİYAÇ_RAPORU_BURAK_YENI1309[[#This Row],[ALT_KOD]])-(SUMIFS(H:H,D:D,DST_123_ÜRETİM_İHTİYAÇ_RAPORU_BURAK_YENI1309[[#This Row],[ALT_KOD]])+AVERAGEIFS(I:I,D:D,DST_123_ÜRETİM_İHTİYAÇ_RAPORU_BURAK_YENI1309[[#This Row],[ALT_KOD]])+AVERAGEIFS(L:L,D:D,DST_123_ÜRETİM_İHTİYAÇ_RAPORU_BURAK_YENI1309[[#This Row],[ALT_KOD]]))</f>
        <v>-4</v>
      </c>
      <c r="L5761">
        <v>0</v>
      </c>
      <c r="M5761">
        <f>IF((DST_123_ÜRETİM_İHTİYAÇ_RAPORU_BURAK_YENI1309[[#This Row],[SATINALMA]]*DST_123_ÜRETİM_İHTİYAÇ_RAPORU_BURAK_YENI1309[[#This Row],[BIRIM_FIYATLAR]])&lt;1,VALUE("0"),DST_123_ÜRETİM_İHTİYAÇ_RAPORU_BURAK_YENI1309[[#This Row],[SATINALMA]]*DST_123_ÜRETİM_İHTİYAÇ_RAPORU_BURAK_YENI1309[[#This Row],[BIRIM_FIYATLAR]])</f>
        <v>0</v>
      </c>
      <c r="N5761">
        <v>582.5</v>
      </c>
      <c r="O5761" t="s">
        <v>628</v>
      </c>
      <c r="P5761">
        <v>582.5</v>
      </c>
      <c r="Q5761" t="s">
        <v>177</v>
      </c>
    </row>
    <row r="5762" spans="1:17" x14ac:dyDescent="0.25">
      <c r="A5762" t="s">
        <v>1057</v>
      </c>
      <c r="B5762" t="s">
        <v>1058</v>
      </c>
      <c r="C5762" t="s">
        <v>175</v>
      </c>
      <c r="D5762" t="s">
        <v>402</v>
      </c>
      <c r="E5762" t="s">
        <v>403</v>
      </c>
      <c r="F5762">
        <v>2</v>
      </c>
      <c r="G5762" t="s">
        <v>176</v>
      </c>
      <c r="H5762">
        <v>2</v>
      </c>
      <c r="I5762">
        <v>24</v>
      </c>
      <c r="J5762" s="10">
        <v>14</v>
      </c>
      <c r="K5762" s="10">
        <f>SUMIFS(F:F,D:D,DST_123_ÜRETİM_İHTİYAÇ_RAPORU_BURAK_YENI1309[[#This Row],[ALT_KOD]])-(SUMIFS(H:H,D:D,DST_123_ÜRETİM_İHTİYAÇ_RAPORU_BURAK_YENI1309[[#This Row],[ALT_KOD]])+AVERAGEIFS(I:I,D:D,DST_123_ÜRETİM_İHTİYAÇ_RAPORU_BURAK_YENI1309[[#This Row],[ALT_KOD]])+AVERAGEIFS(L:L,D:D,DST_123_ÜRETİM_İHTİYAÇ_RAPORU_BURAK_YENI1309[[#This Row],[ALT_KOD]]))</f>
        <v>-15</v>
      </c>
      <c r="L5762">
        <v>0</v>
      </c>
      <c r="M5762">
        <f>IF((DST_123_ÜRETİM_İHTİYAÇ_RAPORU_BURAK_YENI1309[[#This Row],[SATINALMA]]*DST_123_ÜRETİM_İHTİYAÇ_RAPORU_BURAK_YENI1309[[#This Row],[BIRIM_FIYATLAR]])&lt;1,VALUE("0"),DST_123_ÜRETİM_İHTİYAÇ_RAPORU_BURAK_YENI1309[[#This Row],[SATINALMA]]*DST_123_ÜRETİM_İHTİYAÇ_RAPORU_BURAK_YENI1309[[#This Row],[BIRIM_FIYATLAR]])</f>
        <v>0</v>
      </c>
      <c r="N5762">
        <v>15</v>
      </c>
      <c r="O5762" t="s">
        <v>220</v>
      </c>
      <c r="P5762">
        <v>30</v>
      </c>
      <c r="Q5762" t="s">
        <v>221</v>
      </c>
    </row>
    <row r="5763" spans="1:17" x14ac:dyDescent="0.25">
      <c r="A5763" t="s">
        <v>1059</v>
      </c>
      <c r="B5763" t="s">
        <v>1058</v>
      </c>
      <c r="C5763" t="s">
        <v>175</v>
      </c>
      <c r="D5763" t="s">
        <v>402</v>
      </c>
      <c r="E5763" t="s">
        <v>403</v>
      </c>
      <c r="F5763">
        <v>2</v>
      </c>
      <c r="G5763" t="s">
        <v>176</v>
      </c>
      <c r="H5763">
        <v>2</v>
      </c>
      <c r="I5763">
        <v>24</v>
      </c>
      <c r="J5763" s="10">
        <v>14</v>
      </c>
      <c r="K5763" s="10">
        <f>SUMIFS(F:F,D:D,DST_123_ÜRETİM_İHTİYAÇ_RAPORU_BURAK_YENI1309[[#This Row],[ALT_KOD]])-(SUMIFS(H:H,D:D,DST_123_ÜRETİM_İHTİYAÇ_RAPORU_BURAK_YENI1309[[#This Row],[ALT_KOD]])+AVERAGEIFS(I:I,D:D,DST_123_ÜRETİM_İHTİYAÇ_RAPORU_BURAK_YENI1309[[#This Row],[ALT_KOD]])+AVERAGEIFS(L:L,D:D,DST_123_ÜRETİM_İHTİYAÇ_RAPORU_BURAK_YENI1309[[#This Row],[ALT_KOD]]))</f>
        <v>-15</v>
      </c>
      <c r="L5763">
        <v>0</v>
      </c>
      <c r="M5763">
        <f>IF((DST_123_ÜRETİM_İHTİYAÇ_RAPORU_BURAK_YENI1309[[#This Row],[SATINALMA]]*DST_123_ÜRETİM_İHTİYAÇ_RAPORU_BURAK_YENI1309[[#This Row],[BIRIM_FIYATLAR]])&lt;1,VALUE("0"),DST_123_ÜRETİM_İHTİYAÇ_RAPORU_BURAK_YENI1309[[#This Row],[SATINALMA]]*DST_123_ÜRETİM_İHTİYAÇ_RAPORU_BURAK_YENI1309[[#This Row],[BIRIM_FIYATLAR]])</f>
        <v>0</v>
      </c>
      <c r="N5763">
        <v>15</v>
      </c>
      <c r="O5763" t="s">
        <v>220</v>
      </c>
      <c r="P5763">
        <v>30</v>
      </c>
      <c r="Q5763" t="s">
        <v>221</v>
      </c>
    </row>
    <row r="5764" spans="1:17" x14ac:dyDescent="0.25">
      <c r="A5764" t="s">
        <v>1059</v>
      </c>
      <c r="B5764" t="s">
        <v>1058</v>
      </c>
      <c r="C5764" t="s">
        <v>175</v>
      </c>
      <c r="D5764" t="s">
        <v>1090</v>
      </c>
      <c r="E5764" t="s">
        <v>1091</v>
      </c>
      <c r="F5764">
        <v>1</v>
      </c>
      <c r="G5764" t="s">
        <v>176</v>
      </c>
      <c r="H5764">
        <v>1</v>
      </c>
      <c r="I5764">
        <v>1</v>
      </c>
      <c r="J5764" s="10">
        <v>5</v>
      </c>
      <c r="K5764" s="10">
        <f>SUMIFS(F:F,D:D,DST_123_ÜRETİM_İHTİYAÇ_RAPORU_BURAK_YENI1309[[#This Row],[ALT_KOD]])-(SUMIFS(H:H,D:D,DST_123_ÜRETİM_İHTİYAÇ_RAPORU_BURAK_YENI1309[[#This Row],[ALT_KOD]])+AVERAGEIFS(I:I,D:D,DST_123_ÜRETİM_İHTİYAÇ_RAPORU_BURAK_YENI1309[[#This Row],[ALT_KOD]])+AVERAGEIFS(L:L,D:D,DST_123_ÜRETİM_İHTİYAÇ_RAPORU_BURAK_YENI1309[[#This Row],[ALT_KOD]]))</f>
        <v>0</v>
      </c>
      <c r="L5764">
        <v>0</v>
      </c>
      <c r="M5764">
        <f>IF((DST_123_ÜRETİM_İHTİYAÇ_RAPORU_BURAK_YENI1309[[#This Row],[SATINALMA]]*DST_123_ÜRETİM_İHTİYAÇ_RAPORU_BURAK_YENI1309[[#This Row],[BIRIM_FIYATLAR]])&lt;1,VALUE("0"),DST_123_ÜRETİM_İHTİYAÇ_RAPORU_BURAK_YENI1309[[#This Row],[SATINALMA]]*DST_123_ÜRETİM_İHTİYAÇ_RAPORU_BURAK_YENI1309[[#This Row],[BIRIM_FIYATLAR]])</f>
        <v>0</v>
      </c>
      <c r="N5764">
        <v>3500</v>
      </c>
      <c r="O5764" t="s">
        <v>1092</v>
      </c>
      <c r="P5764">
        <v>3500</v>
      </c>
      <c r="Q5764" t="s">
        <v>221</v>
      </c>
    </row>
    <row r="5765" spans="1:17" x14ac:dyDescent="0.25">
      <c r="A5765" t="s">
        <v>1100</v>
      </c>
      <c r="B5765" t="s">
        <v>1058</v>
      </c>
      <c r="C5765" t="s">
        <v>175</v>
      </c>
      <c r="D5765" t="s">
        <v>70</v>
      </c>
      <c r="E5765" t="s">
        <v>287</v>
      </c>
      <c r="F5765">
        <v>4</v>
      </c>
      <c r="G5765" t="s">
        <v>185</v>
      </c>
      <c r="H5765">
        <v>4</v>
      </c>
      <c r="I5765">
        <v>0</v>
      </c>
      <c r="J5765" s="10">
        <v>233.6899999999996</v>
      </c>
      <c r="K5765" s="10">
        <f>SUMIFS(F:F,D:D,DST_123_ÜRETİM_İHTİYAÇ_RAPORU_BURAK_YENI1309[[#This Row],[ALT_KOD]])-(SUMIFS(H:H,D:D,DST_123_ÜRETİM_İHTİYAÇ_RAPORU_BURAK_YENI1309[[#This Row],[ALT_KOD]])+AVERAGEIFS(I:I,D:D,DST_123_ÜRETİM_İHTİYAÇ_RAPORU_BURAK_YENI1309[[#This Row],[ALT_KOD]])+AVERAGEIFS(L:L,D:D,DST_123_ÜRETİM_İHTİYAÇ_RAPORU_BURAK_YENI1309[[#This Row],[ALT_KOD]]))</f>
        <v>63.129999999999995</v>
      </c>
      <c r="L5765">
        <v>0</v>
      </c>
      <c r="M5765">
        <f>IF((DST_123_ÜRETİM_İHTİYAÇ_RAPORU_BURAK_YENI1309[[#This Row],[SATINALMA]]*DST_123_ÜRETİM_İHTİYAÇ_RAPORU_BURAK_YENI1309[[#This Row],[BIRIM_FIYATLAR]])&lt;1,VALUE("0"),DST_123_ÜRETİM_İHTİYAÇ_RAPORU_BURAK_YENI1309[[#This Row],[SATINALMA]]*DST_123_ÜRETİM_İHTİYAÇ_RAPORU_BURAK_YENI1309[[#This Row],[BIRIM_FIYATLAR]])</f>
        <v>6403.9071999999996</v>
      </c>
      <c r="N5765">
        <v>101.44</v>
      </c>
      <c r="O5765" t="s">
        <v>490</v>
      </c>
      <c r="P5765">
        <v>405.76</v>
      </c>
      <c r="Q5765" t="s">
        <v>183</v>
      </c>
    </row>
    <row r="5766" spans="1:17" x14ac:dyDescent="0.25">
      <c r="A5766" t="s">
        <v>1059</v>
      </c>
      <c r="B5766" t="s">
        <v>1058</v>
      </c>
      <c r="C5766" t="s">
        <v>175</v>
      </c>
      <c r="D5766" t="s">
        <v>462</v>
      </c>
      <c r="E5766" t="s">
        <v>463</v>
      </c>
      <c r="F5766">
        <v>0.7</v>
      </c>
      <c r="G5766" t="s">
        <v>176</v>
      </c>
      <c r="H5766">
        <v>0.7</v>
      </c>
      <c r="I5766">
        <v>0</v>
      </c>
      <c r="J5766" s="10">
        <v>5.5999999999999988</v>
      </c>
      <c r="K5766" s="10">
        <f>SUMIFS(F:F,D:D,DST_123_ÜRETİM_İHTİYAÇ_RAPORU_BURAK_YENI1309[[#This Row],[ALT_KOD]])-(SUMIFS(H:H,D:D,DST_123_ÜRETİM_İHTİYAÇ_RAPORU_BURAK_YENI1309[[#This Row],[ALT_KOD]])+AVERAGEIFS(I:I,D:D,DST_123_ÜRETİM_İHTİYAÇ_RAPORU_BURAK_YENI1309[[#This Row],[ALT_KOD]])+AVERAGEIFS(L:L,D:D,DST_123_ÜRETİM_İHTİYAÇ_RAPORU_BURAK_YENI1309[[#This Row],[ALT_KOD]]))</f>
        <v>7.2</v>
      </c>
      <c r="L5766">
        <v>0</v>
      </c>
      <c r="M5766">
        <f>IF((DST_123_ÜRETİM_İHTİYAÇ_RAPORU_BURAK_YENI1309[[#This Row],[SATINALMA]]*DST_123_ÜRETİM_İHTİYAÇ_RAPORU_BURAK_YENI1309[[#This Row],[BIRIM_FIYATLAR]])&lt;1,VALUE("0"),DST_123_ÜRETİM_İHTİYAÇ_RAPORU_BURAK_YENI1309[[#This Row],[SATINALMA]]*DST_123_ÜRETİM_İHTİYAÇ_RAPORU_BURAK_YENI1309[[#This Row],[BIRIM_FIYATLAR]])</f>
        <v>1170.0719999999999</v>
      </c>
      <c r="N5766">
        <v>162.51</v>
      </c>
      <c r="O5766" t="s">
        <v>490</v>
      </c>
      <c r="P5766">
        <v>113.75699999999999</v>
      </c>
      <c r="Q5766" t="s">
        <v>183</v>
      </c>
    </row>
    <row r="5767" spans="1:17" x14ac:dyDescent="0.25">
      <c r="A5767" t="s">
        <v>1057</v>
      </c>
      <c r="B5767" t="s">
        <v>1058</v>
      </c>
      <c r="C5767" t="s">
        <v>175</v>
      </c>
      <c r="D5767" t="s">
        <v>70</v>
      </c>
      <c r="E5767" t="s">
        <v>287</v>
      </c>
      <c r="F5767">
        <v>4</v>
      </c>
      <c r="G5767" t="s">
        <v>185</v>
      </c>
      <c r="H5767">
        <v>4</v>
      </c>
      <c r="I5767">
        <v>0</v>
      </c>
      <c r="J5767" s="10">
        <v>233.6899999999996</v>
      </c>
      <c r="K5767" s="10">
        <f>SUMIFS(F:F,D:D,DST_123_ÜRETİM_İHTİYAÇ_RAPORU_BURAK_YENI1309[[#This Row],[ALT_KOD]])-(SUMIFS(H:H,D:D,DST_123_ÜRETİM_İHTİYAÇ_RAPORU_BURAK_YENI1309[[#This Row],[ALT_KOD]])+AVERAGEIFS(I:I,D:D,DST_123_ÜRETİM_İHTİYAÇ_RAPORU_BURAK_YENI1309[[#This Row],[ALT_KOD]])+AVERAGEIFS(L:L,D:D,DST_123_ÜRETİM_İHTİYAÇ_RAPORU_BURAK_YENI1309[[#This Row],[ALT_KOD]]))</f>
        <v>63.129999999999995</v>
      </c>
      <c r="L5767">
        <v>0</v>
      </c>
      <c r="M5767">
        <f>IF((DST_123_ÜRETİM_İHTİYAÇ_RAPORU_BURAK_YENI1309[[#This Row],[SATINALMA]]*DST_123_ÜRETİM_İHTİYAÇ_RAPORU_BURAK_YENI1309[[#This Row],[BIRIM_FIYATLAR]])&lt;1,VALUE("0"),DST_123_ÜRETİM_İHTİYAÇ_RAPORU_BURAK_YENI1309[[#This Row],[SATINALMA]]*DST_123_ÜRETİM_İHTİYAÇ_RAPORU_BURAK_YENI1309[[#This Row],[BIRIM_FIYATLAR]])</f>
        <v>6403.9071999999996</v>
      </c>
      <c r="N5767">
        <v>101.44</v>
      </c>
      <c r="O5767" t="s">
        <v>490</v>
      </c>
      <c r="P5767">
        <v>405.76</v>
      </c>
      <c r="Q5767" t="s">
        <v>183</v>
      </c>
    </row>
    <row r="5768" spans="1:17" x14ac:dyDescent="0.25">
      <c r="A5768" t="s">
        <v>1060</v>
      </c>
      <c r="B5768" t="s">
        <v>1061</v>
      </c>
      <c r="C5768" t="s">
        <v>175</v>
      </c>
      <c r="D5768" t="s">
        <v>70</v>
      </c>
      <c r="E5768" t="s">
        <v>287</v>
      </c>
      <c r="F5768">
        <v>5.5</v>
      </c>
      <c r="G5768" t="s">
        <v>185</v>
      </c>
      <c r="H5768">
        <v>5.5</v>
      </c>
      <c r="I5768">
        <v>0</v>
      </c>
      <c r="J5768" s="10">
        <v>233.6899999999996</v>
      </c>
      <c r="K5768" s="10">
        <f>SUMIFS(F:F,D:D,DST_123_ÜRETİM_İHTİYAÇ_RAPORU_BURAK_YENI1309[[#This Row],[ALT_KOD]])-(SUMIFS(H:H,D:D,DST_123_ÜRETİM_İHTİYAÇ_RAPORU_BURAK_YENI1309[[#This Row],[ALT_KOD]])+AVERAGEIFS(I:I,D:D,DST_123_ÜRETİM_İHTİYAÇ_RAPORU_BURAK_YENI1309[[#This Row],[ALT_KOD]])+AVERAGEIFS(L:L,D:D,DST_123_ÜRETİM_İHTİYAÇ_RAPORU_BURAK_YENI1309[[#This Row],[ALT_KOD]]))</f>
        <v>63.129999999999995</v>
      </c>
      <c r="L5768">
        <v>0</v>
      </c>
      <c r="M5768">
        <f>IF((DST_123_ÜRETİM_İHTİYAÇ_RAPORU_BURAK_YENI1309[[#This Row],[SATINALMA]]*DST_123_ÜRETİM_İHTİYAÇ_RAPORU_BURAK_YENI1309[[#This Row],[BIRIM_FIYATLAR]])&lt;1,VALUE("0"),DST_123_ÜRETİM_İHTİYAÇ_RAPORU_BURAK_YENI1309[[#This Row],[SATINALMA]]*DST_123_ÜRETİM_İHTİYAÇ_RAPORU_BURAK_YENI1309[[#This Row],[BIRIM_FIYATLAR]])</f>
        <v>6403.9071999999996</v>
      </c>
      <c r="N5768">
        <v>101.44</v>
      </c>
      <c r="O5768" t="s">
        <v>490</v>
      </c>
      <c r="P5768">
        <v>557.91999999999996</v>
      </c>
      <c r="Q5768" t="s">
        <v>183</v>
      </c>
    </row>
    <row r="5769" spans="1:17" x14ac:dyDescent="0.25">
      <c r="A5769" t="s">
        <v>1101</v>
      </c>
      <c r="B5769" t="s">
        <v>1102</v>
      </c>
      <c r="C5769" t="s">
        <v>175</v>
      </c>
      <c r="D5769" t="s">
        <v>462</v>
      </c>
      <c r="E5769" t="s">
        <v>463</v>
      </c>
      <c r="F5769">
        <v>1.1499999999999999</v>
      </c>
      <c r="G5769" t="s">
        <v>176</v>
      </c>
      <c r="H5769">
        <v>1.1499999999999999</v>
      </c>
      <c r="I5769">
        <v>0</v>
      </c>
      <c r="J5769" s="10">
        <v>5.5999999999999988</v>
      </c>
      <c r="K5769" s="10">
        <f>SUMIFS(F:F,D:D,DST_123_ÜRETİM_İHTİYAÇ_RAPORU_BURAK_YENI1309[[#This Row],[ALT_KOD]])-(SUMIFS(H:H,D:D,DST_123_ÜRETİM_İHTİYAÇ_RAPORU_BURAK_YENI1309[[#This Row],[ALT_KOD]])+AVERAGEIFS(I:I,D:D,DST_123_ÜRETİM_İHTİYAÇ_RAPORU_BURAK_YENI1309[[#This Row],[ALT_KOD]])+AVERAGEIFS(L:L,D:D,DST_123_ÜRETİM_İHTİYAÇ_RAPORU_BURAK_YENI1309[[#This Row],[ALT_KOD]]))</f>
        <v>7.2</v>
      </c>
      <c r="L5769">
        <v>0</v>
      </c>
      <c r="M5769">
        <f>IF((DST_123_ÜRETİM_İHTİYAÇ_RAPORU_BURAK_YENI1309[[#This Row],[SATINALMA]]*DST_123_ÜRETİM_İHTİYAÇ_RAPORU_BURAK_YENI1309[[#This Row],[BIRIM_FIYATLAR]])&lt;1,VALUE("0"),DST_123_ÜRETİM_İHTİYAÇ_RAPORU_BURAK_YENI1309[[#This Row],[SATINALMA]]*DST_123_ÜRETİM_İHTİYAÇ_RAPORU_BURAK_YENI1309[[#This Row],[BIRIM_FIYATLAR]])</f>
        <v>1170.0719999999999</v>
      </c>
      <c r="N5769">
        <v>162.51</v>
      </c>
      <c r="O5769" t="s">
        <v>490</v>
      </c>
      <c r="P5769">
        <v>186.88649999999998</v>
      </c>
      <c r="Q5769" t="s">
        <v>183</v>
      </c>
    </row>
    <row r="5770" spans="1:17" x14ac:dyDescent="0.25">
      <c r="A5770" t="s">
        <v>1059</v>
      </c>
      <c r="B5770" t="s">
        <v>1058</v>
      </c>
      <c r="C5770" t="s">
        <v>175</v>
      </c>
      <c r="D5770" t="s">
        <v>147</v>
      </c>
      <c r="E5770" t="s">
        <v>148</v>
      </c>
      <c r="F5770">
        <v>1</v>
      </c>
      <c r="G5770" t="s">
        <v>176</v>
      </c>
      <c r="H5770">
        <v>1</v>
      </c>
      <c r="I5770">
        <v>3</v>
      </c>
      <c r="J5770" s="10">
        <v>11</v>
      </c>
      <c r="K5770" s="10">
        <f>SUMIFS(F:F,D:D,DST_123_ÜRETİM_İHTİYAÇ_RAPORU_BURAK_YENI1309[[#This Row],[ALT_KOD]])-(SUMIFS(H:H,D:D,DST_123_ÜRETİM_İHTİYAÇ_RAPORU_BURAK_YENI1309[[#This Row],[ALT_KOD]])+AVERAGEIFS(I:I,D:D,DST_123_ÜRETİM_İHTİYAÇ_RAPORU_BURAK_YENI1309[[#This Row],[ALT_KOD]])+AVERAGEIFS(L:L,D:D,DST_123_ÜRETİM_İHTİYAÇ_RAPORU_BURAK_YENI1309[[#This Row],[ALT_KOD]]))</f>
        <v>7</v>
      </c>
      <c r="L5770">
        <v>0</v>
      </c>
      <c r="M5770">
        <f>IF((DST_123_ÜRETİM_İHTİYAÇ_RAPORU_BURAK_YENI1309[[#This Row],[SATINALMA]]*DST_123_ÜRETİM_İHTİYAÇ_RAPORU_BURAK_YENI1309[[#This Row],[BIRIM_FIYATLAR]])&lt;1,VALUE("0"),DST_123_ÜRETİM_İHTİYAÇ_RAPORU_BURAK_YENI1309[[#This Row],[SATINALMA]]*DST_123_ÜRETİM_İHTİYAÇ_RAPORU_BURAK_YENI1309[[#This Row],[BIRIM_FIYATLAR]])</f>
        <v>22092.98</v>
      </c>
      <c r="N5770">
        <v>3156.14</v>
      </c>
      <c r="O5770" t="s">
        <v>227</v>
      </c>
      <c r="P5770">
        <v>3156.14</v>
      </c>
      <c r="Q5770" t="s">
        <v>221</v>
      </c>
    </row>
    <row r="5771" spans="1:17" x14ac:dyDescent="0.25">
      <c r="A5771" t="s">
        <v>1095</v>
      </c>
      <c r="B5771" t="s">
        <v>1096</v>
      </c>
      <c r="C5771" t="s">
        <v>175</v>
      </c>
      <c r="D5771" t="s">
        <v>462</v>
      </c>
      <c r="E5771" t="s">
        <v>463</v>
      </c>
      <c r="F5771">
        <v>1.05</v>
      </c>
      <c r="G5771" t="s">
        <v>176</v>
      </c>
      <c r="H5771">
        <v>0</v>
      </c>
      <c r="I5771">
        <v>0</v>
      </c>
      <c r="J5771" s="10">
        <v>5.5999999999999988</v>
      </c>
      <c r="K5771" s="10">
        <f>SUMIFS(F:F,D:D,DST_123_ÜRETİM_İHTİYAÇ_RAPORU_BURAK_YENI1309[[#This Row],[ALT_KOD]])-(SUMIFS(H:H,D:D,DST_123_ÜRETİM_İHTİYAÇ_RAPORU_BURAK_YENI1309[[#This Row],[ALT_KOD]])+AVERAGEIFS(I:I,D:D,DST_123_ÜRETİM_İHTİYAÇ_RAPORU_BURAK_YENI1309[[#This Row],[ALT_KOD]])+AVERAGEIFS(L:L,D:D,DST_123_ÜRETİM_İHTİYAÇ_RAPORU_BURAK_YENI1309[[#This Row],[ALT_KOD]]))</f>
        <v>7.2</v>
      </c>
      <c r="L5771">
        <v>0</v>
      </c>
      <c r="M5771">
        <f>IF((DST_123_ÜRETİM_İHTİYAÇ_RAPORU_BURAK_YENI1309[[#This Row],[SATINALMA]]*DST_123_ÜRETİM_İHTİYAÇ_RAPORU_BURAK_YENI1309[[#This Row],[BIRIM_FIYATLAR]])&lt;1,VALUE("0"),DST_123_ÜRETİM_İHTİYAÇ_RAPORU_BURAK_YENI1309[[#This Row],[SATINALMA]]*DST_123_ÜRETİM_İHTİYAÇ_RAPORU_BURAK_YENI1309[[#This Row],[BIRIM_FIYATLAR]])</f>
        <v>1170.0719999999999</v>
      </c>
      <c r="N5771">
        <v>162.51</v>
      </c>
      <c r="O5771" t="s">
        <v>490</v>
      </c>
      <c r="P5771">
        <v>170.63550000000001</v>
      </c>
      <c r="Q5771" t="s">
        <v>183</v>
      </c>
    </row>
    <row r="5772" spans="1:17" x14ac:dyDescent="0.25">
      <c r="A5772" t="s">
        <v>1101</v>
      </c>
      <c r="B5772" t="s">
        <v>1102</v>
      </c>
      <c r="C5772" t="s">
        <v>175</v>
      </c>
      <c r="D5772" t="s">
        <v>660</v>
      </c>
      <c r="E5772" t="s">
        <v>661</v>
      </c>
      <c r="F5772">
        <v>1</v>
      </c>
      <c r="G5772" t="s">
        <v>185</v>
      </c>
      <c r="H5772">
        <v>0</v>
      </c>
      <c r="I5772">
        <v>0</v>
      </c>
      <c r="J5772" s="10">
        <v>0</v>
      </c>
      <c r="K5772" s="10">
        <f>SUMIFS(F:F,D:D,DST_123_ÜRETİM_İHTİYAÇ_RAPORU_BURAK_YENI1309[[#This Row],[ALT_KOD]])-(SUMIFS(H:H,D:D,DST_123_ÜRETİM_İHTİYAÇ_RAPORU_BURAK_YENI1309[[#This Row],[ALT_KOD]])+AVERAGEIFS(I:I,D:D,DST_123_ÜRETİM_İHTİYAÇ_RAPORU_BURAK_YENI1309[[#This Row],[ALT_KOD]])+AVERAGEIFS(L:L,D:D,DST_123_ÜRETİM_İHTİYAÇ_RAPORU_BURAK_YENI1309[[#This Row],[ALT_KOD]]))</f>
        <v>19</v>
      </c>
      <c r="L5772">
        <v>0</v>
      </c>
      <c r="M5772">
        <f>IF((DST_123_ÜRETİM_İHTİYAÇ_RAPORU_BURAK_YENI1309[[#This Row],[SATINALMA]]*DST_123_ÜRETİM_İHTİYAÇ_RAPORU_BURAK_YENI1309[[#This Row],[BIRIM_FIYATLAR]])&lt;1,VALUE("0"),DST_123_ÜRETİM_İHTİYAÇ_RAPORU_BURAK_YENI1309[[#This Row],[SATINALMA]]*DST_123_ÜRETİM_İHTİYAÇ_RAPORU_BURAK_YENI1309[[#This Row],[BIRIM_FIYATLAR]])</f>
        <v>1538.6200000000001</v>
      </c>
      <c r="N5772">
        <v>80.98</v>
      </c>
      <c r="O5772" t="s">
        <v>223</v>
      </c>
      <c r="P5772">
        <v>80.98</v>
      </c>
      <c r="Q5772" t="s">
        <v>183</v>
      </c>
    </row>
    <row r="5773" spans="1:17" x14ac:dyDescent="0.25">
      <c r="A5773" t="s">
        <v>1099</v>
      </c>
      <c r="B5773" t="s">
        <v>1055</v>
      </c>
      <c r="C5773" t="s">
        <v>175</v>
      </c>
      <c r="D5773" t="s">
        <v>70</v>
      </c>
      <c r="E5773" t="s">
        <v>287</v>
      </c>
      <c r="F5773">
        <v>10.86</v>
      </c>
      <c r="G5773" t="s">
        <v>185</v>
      </c>
      <c r="H5773">
        <v>10.86</v>
      </c>
      <c r="I5773">
        <v>0</v>
      </c>
      <c r="J5773" s="10">
        <v>233.6899999999996</v>
      </c>
      <c r="K5773" s="10">
        <f>SUMIFS(F:F,D:D,DST_123_ÜRETİM_İHTİYAÇ_RAPORU_BURAK_YENI1309[[#This Row],[ALT_KOD]])-(SUMIFS(H:H,D:D,DST_123_ÜRETİM_İHTİYAÇ_RAPORU_BURAK_YENI1309[[#This Row],[ALT_KOD]])+AVERAGEIFS(I:I,D:D,DST_123_ÜRETİM_İHTİYAÇ_RAPORU_BURAK_YENI1309[[#This Row],[ALT_KOD]])+AVERAGEIFS(L:L,D:D,DST_123_ÜRETİM_İHTİYAÇ_RAPORU_BURAK_YENI1309[[#This Row],[ALT_KOD]]))</f>
        <v>63.129999999999995</v>
      </c>
      <c r="L5773">
        <v>0</v>
      </c>
      <c r="M5773">
        <f>IF((DST_123_ÜRETİM_İHTİYAÇ_RAPORU_BURAK_YENI1309[[#This Row],[SATINALMA]]*DST_123_ÜRETİM_İHTİYAÇ_RAPORU_BURAK_YENI1309[[#This Row],[BIRIM_FIYATLAR]])&lt;1,VALUE("0"),DST_123_ÜRETİM_İHTİYAÇ_RAPORU_BURAK_YENI1309[[#This Row],[SATINALMA]]*DST_123_ÜRETİM_İHTİYAÇ_RAPORU_BURAK_YENI1309[[#This Row],[BIRIM_FIYATLAR]])</f>
        <v>6403.9071999999996</v>
      </c>
      <c r="N5773">
        <v>101.44</v>
      </c>
      <c r="O5773" t="s">
        <v>490</v>
      </c>
      <c r="P5773">
        <v>1101.6383999999998</v>
      </c>
      <c r="Q5773" t="s">
        <v>183</v>
      </c>
    </row>
    <row r="5774" spans="1:17" x14ac:dyDescent="0.25">
      <c r="A5774" t="s">
        <v>1059</v>
      </c>
      <c r="B5774" t="s">
        <v>1058</v>
      </c>
      <c r="C5774" t="s">
        <v>175</v>
      </c>
      <c r="D5774" t="s">
        <v>99</v>
      </c>
      <c r="E5774" t="s">
        <v>100</v>
      </c>
      <c r="F5774">
        <v>24.65</v>
      </c>
      <c r="G5774" t="s">
        <v>185</v>
      </c>
      <c r="H5774">
        <v>24.65</v>
      </c>
      <c r="I5774">
        <v>0</v>
      </c>
      <c r="J5774" s="10">
        <v>437.82000000000016</v>
      </c>
      <c r="K5774" s="10">
        <f>SUMIFS(F:F,D:D,DST_123_ÜRETİM_İHTİYAÇ_RAPORU_BURAK_YENI1309[[#This Row],[ALT_KOD]])-(SUMIFS(H:H,D:D,DST_123_ÜRETİM_İHTİYAÇ_RAPORU_BURAK_YENI1309[[#This Row],[ALT_KOD]])+AVERAGEIFS(I:I,D:D,DST_123_ÜRETİM_İHTİYAÇ_RAPORU_BURAK_YENI1309[[#This Row],[ALT_KOD]])+AVERAGEIFS(L:L,D:D,DST_123_ÜRETİM_İHTİYAÇ_RAPORU_BURAK_YENI1309[[#This Row],[ALT_KOD]]))</f>
        <v>348.62999999999988</v>
      </c>
      <c r="L5774">
        <v>0</v>
      </c>
      <c r="M5774">
        <f>IF((DST_123_ÜRETİM_İHTİYAÇ_RAPORU_BURAK_YENI1309[[#This Row],[SATINALMA]]*DST_123_ÜRETİM_İHTİYAÇ_RAPORU_BURAK_YENI1309[[#This Row],[BIRIM_FIYATLAR]])&lt;1,VALUE("0"),DST_123_ÜRETİM_İHTİYAÇ_RAPORU_BURAK_YENI1309[[#This Row],[SATINALMA]]*DST_123_ÜRETİM_İHTİYAÇ_RAPORU_BURAK_YENI1309[[#This Row],[BIRIM_FIYATLAR]])</f>
        <v>33597.473099999988</v>
      </c>
      <c r="N5774">
        <v>96.37</v>
      </c>
      <c r="O5774" t="s">
        <v>490</v>
      </c>
      <c r="P5774">
        <v>2375.5205000000001</v>
      </c>
      <c r="Q5774" t="s">
        <v>183</v>
      </c>
    </row>
    <row r="5775" spans="1:17" x14ac:dyDescent="0.25">
      <c r="A5775" t="s">
        <v>1146</v>
      </c>
      <c r="B5775" t="s">
        <v>1145</v>
      </c>
      <c r="C5775" t="s">
        <v>175</v>
      </c>
      <c r="D5775" t="s">
        <v>99</v>
      </c>
      <c r="E5775" t="s">
        <v>100</v>
      </c>
      <c r="F5775">
        <v>34.869999999999997</v>
      </c>
      <c r="G5775" t="s">
        <v>185</v>
      </c>
      <c r="H5775">
        <v>34.869999999999997</v>
      </c>
      <c r="I5775">
        <v>0</v>
      </c>
      <c r="J5775" s="10">
        <v>437.82000000000016</v>
      </c>
      <c r="K5775" s="10">
        <f>SUMIFS(F:F,D:D,DST_123_ÜRETİM_İHTİYAÇ_RAPORU_BURAK_YENI1309[[#This Row],[ALT_KOD]])-(SUMIFS(H:H,D:D,DST_123_ÜRETİM_İHTİYAÇ_RAPORU_BURAK_YENI1309[[#This Row],[ALT_KOD]])+AVERAGEIFS(I:I,D:D,DST_123_ÜRETİM_İHTİYAÇ_RAPORU_BURAK_YENI1309[[#This Row],[ALT_KOD]])+AVERAGEIFS(L:L,D:D,DST_123_ÜRETİM_İHTİYAÇ_RAPORU_BURAK_YENI1309[[#This Row],[ALT_KOD]]))</f>
        <v>348.62999999999988</v>
      </c>
      <c r="L5775">
        <v>0</v>
      </c>
      <c r="M5775">
        <f>IF((DST_123_ÜRETİM_İHTİYAÇ_RAPORU_BURAK_YENI1309[[#This Row],[SATINALMA]]*DST_123_ÜRETİM_İHTİYAÇ_RAPORU_BURAK_YENI1309[[#This Row],[BIRIM_FIYATLAR]])&lt;1,VALUE("0"),DST_123_ÜRETİM_İHTİYAÇ_RAPORU_BURAK_YENI1309[[#This Row],[SATINALMA]]*DST_123_ÜRETİM_İHTİYAÇ_RAPORU_BURAK_YENI1309[[#This Row],[BIRIM_FIYATLAR]])</f>
        <v>33597.473099999988</v>
      </c>
      <c r="N5775">
        <v>96.37</v>
      </c>
      <c r="O5775" t="s">
        <v>490</v>
      </c>
      <c r="P5775">
        <v>3360.4218999999998</v>
      </c>
      <c r="Q5775" t="s">
        <v>183</v>
      </c>
    </row>
    <row r="5776" spans="1:17" x14ac:dyDescent="0.25">
      <c r="A5776" t="s">
        <v>1064</v>
      </c>
      <c r="B5776" t="s">
        <v>1055</v>
      </c>
      <c r="C5776" t="s">
        <v>175</v>
      </c>
      <c r="D5776" t="s">
        <v>101</v>
      </c>
      <c r="E5776" t="s">
        <v>102</v>
      </c>
      <c r="F5776">
        <v>3.4400000000000004</v>
      </c>
      <c r="G5776" t="s">
        <v>185</v>
      </c>
      <c r="H5776">
        <v>3.4400000000000004</v>
      </c>
      <c r="I5776">
        <v>66</v>
      </c>
      <c r="J5776" s="10">
        <v>36.349999999999987</v>
      </c>
      <c r="K5776" s="10">
        <f>SUMIFS(F:F,D:D,DST_123_ÜRETİM_İHTİYAÇ_RAPORU_BURAK_YENI1309[[#This Row],[ALT_KOD]])-(SUMIFS(H:H,D:D,DST_123_ÜRETİM_İHTİYAÇ_RAPORU_BURAK_YENI1309[[#This Row],[ALT_KOD]])+AVERAGEIFS(I:I,D:D,DST_123_ÜRETİM_İHTİYAÇ_RAPORU_BURAK_YENI1309[[#This Row],[ALT_KOD]])+AVERAGEIFS(L:L,D:D,DST_123_ÜRETİM_İHTİYAÇ_RAPORU_BURAK_YENI1309[[#This Row],[ALT_KOD]]))</f>
        <v>-17.090000000000018</v>
      </c>
      <c r="L5776">
        <v>0</v>
      </c>
      <c r="M5776">
        <f>IF((DST_123_ÜRETİM_İHTİYAÇ_RAPORU_BURAK_YENI1309[[#This Row],[SATINALMA]]*DST_123_ÜRETİM_İHTİYAÇ_RAPORU_BURAK_YENI1309[[#This Row],[BIRIM_FIYATLAR]])&lt;1,VALUE("0"),DST_123_ÜRETİM_İHTİYAÇ_RAPORU_BURAK_YENI1309[[#This Row],[SATINALMA]]*DST_123_ÜRETİM_İHTİYAÇ_RAPORU_BURAK_YENI1309[[#This Row],[BIRIM_FIYATLAR]])</f>
        <v>0</v>
      </c>
      <c r="N5776">
        <v>129.63</v>
      </c>
      <c r="O5776" t="s">
        <v>240</v>
      </c>
      <c r="P5776">
        <v>445.92720000000003</v>
      </c>
      <c r="Q5776" t="s">
        <v>183</v>
      </c>
    </row>
    <row r="5777" spans="1:17" x14ac:dyDescent="0.25">
      <c r="A5777" t="s">
        <v>1064</v>
      </c>
      <c r="B5777" t="s">
        <v>1055</v>
      </c>
      <c r="C5777" t="s">
        <v>175</v>
      </c>
      <c r="D5777" t="s">
        <v>779</v>
      </c>
      <c r="E5777" t="s">
        <v>780</v>
      </c>
      <c r="F5777">
        <v>2</v>
      </c>
      <c r="G5777" t="s">
        <v>176</v>
      </c>
      <c r="H5777">
        <v>2</v>
      </c>
      <c r="I5777">
        <v>1</v>
      </c>
      <c r="J5777" s="10">
        <v>14</v>
      </c>
      <c r="K5777" s="10">
        <f>SUMIFS(F:F,D:D,DST_123_ÜRETİM_İHTİYAÇ_RAPORU_BURAK_YENI1309[[#This Row],[ALT_KOD]])-(SUMIFS(H:H,D:D,DST_123_ÜRETİM_İHTİYAÇ_RAPORU_BURAK_YENI1309[[#This Row],[ALT_KOD]])+AVERAGEIFS(I:I,D:D,DST_123_ÜRETİM_İHTİYAÇ_RAPORU_BURAK_YENI1309[[#This Row],[ALT_KOD]])+AVERAGEIFS(L:L,D:D,DST_123_ÜRETİM_İHTİYAÇ_RAPORU_BURAK_YENI1309[[#This Row],[ALT_KOD]]))</f>
        <v>25</v>
      </c>
      <c r="L5777">
        <v>0</v>
      </c>
      <c r="M5777">
        <f>IF((DST_123_ÜRETİM_İHTİYAÇ_RAPORU_BURAK_YENI1309[[#This Row],[SATINALMA]]*DST_123_ÜRETİM_İHTİYAÇ_RAPORU_BURAK_YENI1309[[#This Row],[BIRIM_FIYATLAR]])&lt;1,VALUE("0"),DST_123_ÜRETİM_İHTİYAÇ_RAPORU_BURAK_YENI1309[[#This Row],[SATINALMA]]*DST_123_ÜRETİM_İHTİYAÇ_RAPORU_BURAK_YENI1309[[#This Row],[BIRIM_FIYATLAR]])</f>
        <v>11103.25</v>
      </c>
      <c r="N5777">
        <v>444.13</v>
      </c>
      <c r="O5777" t="s">
        <v>589</v>
      </c>
      <c r="P5777">
        <v>888.26</v>
      </c>
      <c r="Q5777" t="s">
        <v>177</v>
      </c>
    </row>
    <row r="5778" spans="1:17" x14ac:dyDescent="0.25">
      <c r="A5778" t="s">
        <v>1099</v>
      </c>
      <c r="B5778" t="s">
        <v>1055</v>
      </c>
      <c r="C5778" t="s">
        <v>175</v>
      </c>
      <c r="D5778" t="s">
        <v>273</v>
      </c>
      <c r="E5778" t="s">
        <v>274</v>
      </c>
      <c r="F5778">
        <v>1</v>
      </c>
      <c r="G5778" t="s">
        <v>176</v>
      </c>
      <c r="H5778">
        <v>1</v>
      </c>
      <c r="I5778">
        <v>7</v>
      </c>
      <c r="J5778" s="10">
        <v>10</v>
      </c>
      <c r="K5778" s="10">
        <f>SUMIFS(F:F,D:D,DST_123_ÜRETİM_İHTİYAÇ_RAPORU_BURAK_YENI1309[[#This Row],[ALT_KOD]])-(SUMIFS(H:H,D:D,DST_123_ÜRETİM_İHTİYAÇ_RAPORU_BURAK_YENI1309[[#This Row],[ALT_KOD]])+AVERAGEIFS(I:I,D:D,DST_123_ÜRETİM_İHTİYAÇ_RAPORU_BURAK_YENI1309[[#This Row],[ALT_KOD]])+AVERAGEIFS(L:L,D:D,DST_123_ÜRETİM_İHTİYAÇ_RAPORU_BURAK_YENI1309[[#This Row],[ALT_KOD]]))</f>
        <v>4</v>
      </c>
      <c r="L5778">
        <v>0</v>
      </c>
      <c r="M5778">
        <f>IF((DST_123_ÜRETİM_İHTİYAÇ_RAPORU_BURAK_YENI1309[[#This Row],[SATINALMA]]*DST_123_ÜRETİM_İHTİYAÇ_RAPORU_BURAK_YENI1309[[#This Row],[BIRIM_FIYATLAR]])&lt;1,VALUE("0"),DST_123_ÜRETİM_İHTİYAÇ_RAPORU_BURAK_YENI1309[[#This Row],[SATINALMA]]*DST_123_ÜRETİM_İHTİYAÇ_RAPORU_BURAK_YENI1309[[#This Row],[BIRIM_FIYATLAR]])</f>
        <v>1950.24</v>
      </c>
      <c r="N5778">
        <v>487.56</v>
      </c>
      <c r="O5778" t="s">
        <v>275</v>
      </c>
      <c r="P5778">
        <v>487.56</v>
      </c>
      <c r="Q5778" t="s">
        <v>177</v>
      </c>
    </row>
    <row r="5779" spans="1:17" x14ac:dyDescent="0.25">
      <c r="A5779" t="s">
        <v>1064</v>
      </c>
      <c r="B5779" t="s">
        <v>1055</v>
      </c>
      <c r="C5779" t="s">
        <v>175</v>
      </c>
      <c r="D5779" t="s">
        <v>340</v>
      </c>
      <c r="E5779" t="s">
        <v>341</v>
      </c>
      <c r="F5779">
        <v>2.4300000000000002</v>
      </c>
      <c r="G5779" t="s">
        <v>176</v>
      </c>
      <c r="H5779">
        <v>2.4300000000000002</v>
      </c>
      <c r="I5779">
        <v>75</v>
      </c>
      <c r="J5779" s="10">
        <v>42.70000000000006</v>
      </c>
      <c r="K5779" s="10">
        <f>SUMIFS(F:F,D:D,DST_123_ÜRETİM_İHTİYAÇ_RAPORU_BURAK_YENI1309[[#This Row],[ALT_KOD]])-(SUMIFS(H:H,D:D,DST_123_ÜRETİM_İHTİYAÇ_RAPORU_BURAK_YENI1309[[#This Row],[ALT_KOD]])+AVERAGEIFS(I:I,D:D,DST_123_ÜRETİM_İHTİYAÇ_RAPORU_BURAK_YENI1309[[#This Row],[ALT_KOD]])+AVERAGEIFS(L:L,D:D,DST_123_ÜRETİM_İHTİYAÇ_RAPORU_BURAK_YENI1309[[#This Row],[ALT_KOD]]))</f>
        <v>-48.040000000000006</v>
      </c>
      <c r="L5779">
        <v>0</v>
      </c>
      <c r="M5779">
        <f>IF((DST_123_ÜRETİM_İHTİYAÇ_RAPORU_BURAK_YENI1309[[#This Row],[SATINALMA]]*DST_123_ÜRETİM_İHTİYAÇ_RAPORU_BURAK_YENI1309[[#This Row],[BIRIM_FIYATLAR]])&lt;1,VALUE("0"),DST_123_ÜRETİM_İHTİYAÇ_RAPORU_BURAK_YENI1309[[#This Row],[SATINALMA]]*DST_123_ÜRETİM_İHTİYAÇ_RAPORU_BURAK_YENI1309[[#This Row],[BIRIM_FIYATLAR]])</f>
        <v>0</v>
      </c>
      <c r="N5779">
        <v>15</v>
      </c>
      <c r="O5779" t="s">
        <v>240</v>
      </c>
      <c r="P5779">
        <v>36.450000000000003</v>
      </c>
      <c r="Q5779" t="s">
        <v>180</v>
      </c>
    </row>
    <row r="5780" spans="1:17" x14ac:dyDescent="0.25">
      <c r="A5780" t="s">
        <v>1097</v>
      </c>
      <c r="B5780" t="s">
        <v>1055</v>
      </c>
      <c r="C5780" t="s">
        <v>175</v>
      </c>
      <c r="D5780" t="s">
        <v>340</v>
      </c>
      <c r="E5780" t="s">
        <v>341</v>
      </c>
      <c r="F5780">
        <v>2.4300000000000002</v>
      </c>
      <c r="G5780" t="s">
        <v>176</v>
      </c>
      <c r="H5780">
        <v>2.4300000000000002</v>
      </c>
      <c r="I5780">
        <v>75</v>
      </c>
      <c r="J5780" s="10">
        <v>42.70000000000006</v>
      </c>
      <c r="K5780" s="10">
        <f>SUMIFS(F:F,D:D,DST_123_ÜRETİM_İHTİYAÇ_RAPORU_BURAK_YENI1309[[#This Row],[ALT_KOD]])-(SUMIFS(H:H,D:D,DST_123_ÜRETİM_İHTİYAÇ_RAPORU_BURAK_YENI1309[[#This Row],[ALT_KOD]])+AVERAGEIFS(I:I,D:D,DST_123_ÜRETİM_İHTİYAÇ_RAPORU_BURAK_YENI1309[[#This Row],[ALT_KOD]])+AVERAGEIFS(L:L,D:D,DST_123_ÜRETİM_İHTİYAÇ_RAPORU_BURAK_YENI1309[[#This Row],[ALT_KOD]]))</f>
        <v>-48.040000000000006</v>
      </c>
      <c r="L5780">
        <v>0</v>
      </c>
      <c r="M5780">
        <f>IF((DST_123_ÜRETİM_İHTİYAÇ_RAPORU_BURAK_YENI1309[[#This Row],[SATINALMA]]*DST_123_ÜRETİM_İHTİYAÇ_RAPORU_BURAK_YENI1309[[#This Row],[BIRIM_FIYATLAR]])&lt;1,VALUE("0"),DST_123_ÜRETİM_İHTİYAÇ_RAPORU_BURAK_YENI1309[[#This Row],[SATINALMA]]*DST_123_ÜRETİM_İHTİYAÇ_RAPORU_BURAK_YENI1309[[#This Row],[BIRIM_FIYATLAR]])</f>
        <v>0</v>
      </c>
      <c r="N5780">
        <v>15</v>
      </c>
      <c r="O5780" t="s">
        <v>240</v>
      </c>
      <c r="P5780">
        <v>36.450000000000003</v>
      </c>
      <c r="Q5780" t="s">
        <v>180</v>
      </c>
    </row>
    <row r="5781" spans="1:17" x14ac:dyDescent="0.25">
      <c r="A5781" t="s">
        <v>1059</v>
      </c>
      <c r="B5781" t="s">
        <v>1058</v>
      </c>
      <c r="C5781" t="s">
        <v>175</v>
      </c>
      <c r="D5781" t="s">
        <v>877</v>
      </c>
      <c r="E5781" t="s">
        <v>878</v>
      </c>
      <c r="F5781">
        <v>2</v>
      </c>
      <c r="G5781" t="s">
        <v>176</v>
      </c>
      <c r="H5781">
        <v>2</v>
      </c>
      <c r="I5781">
        <v>4</v>
      </c>
      <c r="J5781" s="10">
        <v>12</v>
      </c>
      <c r="K5781" s="10">
        <f>SUMIFS(F:F,D:D,DST_123_ÜRETİM_İHTİYAÇ_RAPORU_BURAK_YENI1309[[#This Row],[ALT_KOD]])-(SUMIFS(H:H,D:D,DST_123_ÜRETİM_İHTİYAÇ_RAPORU_BURAK_YENI1309[[#This Row],[ALT_KOD]])+AVERAGEIFS(I:I,D:D,DST_123_ÜRETİM_İHTİYAÇ_RAPORU_BURAK_YENI1309[[#This Row],[ALT_KOD]])+AVERAGEIFS(L:L,D:D,DST_123_ÜRETİM_İHTİYAÇ_RAPORU_BURAK_YENI1309[[#This Row],[ALT_KOD]]))</f>
        <v>-4</v>
      </c>
      <c r="L5781">
        <v>0</v>
      </c>
      <c r="M5781">
        <f>IF((DST_123_ÜRETİM_İHTİYAÇ_RAPORU_BURAK_YENI1309[[#This Row],[SATINALMA]]*DST_123_ÜRETİM_İHTİYAÇ_RAPORU_BURAK_YENI1309[[#This Row],[BIRIM_FIYATLAR]])&lt;1,VALUE("0"),DST_123_ÜRETİM_İHTİYAÇ_RAPORU_BURAK_YENI1309[[#This Row],[SATINALMA]]*DST_123_ÜRETİM_İHTİYAÇ_RAPORU_BURAK_YENI1309[[#This Row],[BIRIM_FIYATLAR]])</f>
        <v>0</v>
      </c>
      <c r="N5781">
        <v>1029.1300000000001</v>
      </c>
      <c r="O5781" t="s">
        <v>636</v>
      </c>
      <c r="P5781">
        <v>2058.2600000000002</v>
      </c>
      <c r="Q5781" t="s">
        <v>178</v>
      </c>
    </row>
    <row r="5782" spans="1:17" x14ac:dyDescent="0.25">
      <c r="A5782" t="s">
        <v>1057</v>
      </c>
      <c r="B5782" t="s">
        <v>1058</v>
      </c>
      <c r="C5782" t="s">
        <v>175</v>
      </c>
      <c r="D5782" t="s">
        <v>294</v>
      </c>
      <c r="E5782" t="s">
        <v>295</v>
      </c>
      <c r="F5782">
        <v>3</v>
      </c>
      <c r="G5782" t="s">
        <v>179</v>
      </c>
      <c r="H5782">
        <v>3</v>
      </c>
      <c r="I5782">
        <v>118</v>
      </c>
      <c r="J5782" s="10">
        <v>21</v>
      </c>
      <c r="K5782" s="10">
        <f>SUMIFS(F:F,D:D,DST_123_ÜRETİM_İHTİYAÇ_RAPORU_BURAK_YENI1309[[#This Row],[ALT_KOD]])-(SUMIFS(H:H,D:D,DST_123_ÜRETİM_İHTİYAÇ_RAPORU_BURAK_YENI1309[[#This Row],[ALT_KOD]])+AVERAGEIFS(I:I,D:D,DST_123_ÜRETİM_İHTİYAÇ_RAPORU_BURAK_YENI1309[[#This Row],[ALT_KOD]])+AVERAGEIFS(L:L,D:D,DST_123_ÜRETİM_İHTİYAÇ_RAPORU_BURAK_YENI1309[[#This Row],[ALT_KOD]]))</f>
        <v>-115</v>
      </c>
      <c r="L5782">
        <v>0</v>
      </c>
      <c r="M5782">
        <f>IF((DST_123_ÜRETİM_İHTİYAÇ_RAPORU_BURAK_YENI1309[[#This Row],[SATINALMA]]*DST_123_ÜRETİM_İHTİYAÇ_RAPORU_BURAK_YENI1309[[#This Row],[BIRIM_FIYATLAR]])&lt;1,VALUE("0"),DST_123_ÜRETİM_İHTİYAÇ_RAPORU_BURAK_YENI1309[[#This Row],[SATINALMA]]*DST_123_ÜRETİM_İHTİYAÇ_RAPORU_BURAK_YENI1309[[#This Row],[BIRIM_FIYATLAR]])</f>
        <v>0</v>
      </c>
      <c r="N5782">
        <v>14.33</v>
      </c>
      <c r="O5782" t="s">
        <v>826</v>
      </c>
      <c r="P5782">
        <v>42.99</v>
      </c>
      <c r="Q5782" t="s">
        <v>221</v>
      </c>
    </row>
    <row r="5783" spans="1:17" x14ac:dyDescent="0.25">
      <c r="A5783" t="s">
        <v>1059</v>
      </c>
      <c r="B5783" t="s">
        <v>1058</v>
      </c>
      <c r="C5783" t="s">
        <v>175</v>
      </c>
      <c r="D5783" t="s">
        <v>0</v>
      </c>
      <c r="E5783" t="s">
        <v>1</v>
      </c>
      <c r="F5783">
        <v>2</v>
      </c>
      <c r="G5783" t="s">
        <v>176</v>
      </c>
      <c r="H5783">
        <v>2</v>
      </c>
      <c r="I5783">
        <v>67</v>
      </c>
      <c r="J5783" s="10">
        <v>24</v>
      </c>
      <c r="K5783" s="10">
        <f>SUMIFS(F:F,D:D,DST_123_ÜRETİM_İHTİYAÇ_RAPORU_BURAK_YENI1309[[#This Row],[ALT_KOD]])-(SUMIFS(H:H,D:D,DST_123_ÜRETİM_İHTİYAÇ_RAPORU_BURAK_YENI1309[[#This Row],[ALT_KOD]])+AVERAGEIFS(I:I,D:D,DST_123_ÜRETİM_İHTİYAÇ_RAPORU_BURAK_YENI1309[[#This Row],[ALT_KOD]])+AVERAGEIFS(L:L,D:D,DST_123_ÜRETİM_İHTİYAÇ_RAPORU_BURAK_YENI1309[[#This Row],[ALT_KOD]]))</f>
        <v>-38</v>
      </c>
      <c r="L5783">
        <v>0</v>
      </c>
      <c r="M5783">
        <f>IF((DST_123_ÜRETİM_İHTİYAÇ_RAPORU_BURAK_YENI1309[[#This Row],[SATINALMA]]*DST_123_ÜRETİM_İHTİYAÇ_RAPORU_BURAK_YENI1309[[#This Row],[BIRIM_FIYATLAR]])&lt;1,VALUE("0"),DST_123_ÜRETİM_İHTİYAÇ_RAPORU_BURAK_YENI1309[[#This Row],[SATINALMA]]*DST_123_ÜRETİM_İHTİYAÇ_RAPORU_BURAK_YENI1309[[#This Row],[BIRIM_FIYATLAR]])</f>
        <v>0</v>
      </c>
      <c r="N5783">
        <v>640</v>
      </c>
      <c r="O5783" t="s">
        <v>220</v>
      </c>
      <c r="P5783">
        <v>1280</v>
      </c>
      <c r="Q5783" t="s">
        <v>221</v>
      </c>
    </row>
    <row r="5784" spans="1:17" x14ac:dyDescent="0.25">
      <c r="A5784" t="s">
        <v>1057</v>
      </c>
      <c r="B5784" t="s">
        <v>1058</v>
      </c>
      <c r="C5784" t="s">
        <v>175</v>
      </c>
      <c r="D5784" t="s">
        <v>58</v>
      </c>
      <c r="E5784" t="s">
        <v>59</v>
      </c>
      <c r="F5784">
        <v>1</v>
      </c>
      <c r="G5784" t="s">
        <v>176</v>
      </c>
      <c r="H5784">
        <v>1</v>
      </c>
      <c r="I5784">
        <v>17</v>
      </c>
      <c r="J5784" s="10">
        <v>11</v>
      </c>
      <c r="K5784" s="10">
        <f>SUMIFS(F:F,D:D,DST_123_ÜRETİM_İHTİYAÇ_RAPORU_BURAK_YENI1309[[#This Row],[ALT_KOD]])-(SUMIFS(H:H,D:D,DST_123_ÜRETİM_İHTİYAÇ_RAPORU_BURAK_YENI1309[[#This Row],[ALT_KOD]])+AVERAGEIFS(I:I,D:D,DST_123_ÜRETİM_İHTİYAÇ_RAPORU_BURAK_YENI1309[[#This Row],[ALT_KOD]])+AVERAGEIFS(L:L,D:D,DST_123_ÜRETİM_İHTİYAÇ_RAPORU_BURAK_YENI1309[[#This Row],[ALT_KOD]]))</f>
        <v>-5</v>
      </c>
      <c r="L5784">
        <v>0</v>
      </c>
      <c r="M5784">
        <f>IF((DST_123_ÜRETİM_İHTİYAÇ_RAPORU_BURAK_YENI1309[[#This Row],[SATINALMA]]*DST_123_ÜRETİM_İHTİYAÇ_RAPORU_BURAK_YENI1309[[#This Row],[BIRIM_FIYATLAR]])&lt;1,VALUE("0"),DST_123_ÜRETİM_İHTİYAÇ_RAPORU_BURAK_YENI1309[[#This Row],[SATINALMA]]*DST_123_ÜRETİM_İHTİYAÇ_RAPORU_BURAK_YENI1309[[#This Row],[BIRIM_FIYATLAR]])</f>
        <v>0</v>
      </c>
      <c r="N5784">
        <v>1094.4000000000001</v>
      </c>
      <c r="O5784" t="s">
        <v>826</v>
      </c>
      <c r="P5784">
        <v>1094.4000000000001</v>
      </c>
      <c r="Q5784" t="s">
        <v>221</v>
      </c>
    </row>
    <row r="5785" spans="1:17" x14ac:dyDescent="0.25">
      <c r="A5785" t="s">
        <v>1059</v>
      </c>
      <c r="B5785" t="s">
        <v>1058</v>
      </c>
      <c r="C5785" t="s">
        <v>175</v>
      </c>
      <c r="D5785" t="s">
        <v>277</v>
      </c>
      <c r="E5785" t="s">
        <v>316</v>
      </c>
      <c r="F5785">
        <v>1</v>
      </c>
      <c r="G5785" t="s">
        <v>176</v>
      </c>
      <c r="H5785">
        <v>0</v>
      </c>
      <c r="I5785">
        <v>27</v>
      </c>
      <c r="J5785" s="10">
        <v>4</v>
      </c>
      <c r="K5785" s="10">
        <f>SUMIFS(F:F,D:D,DST_123_ÜRETİM_İHTİYAÇ_RAPORU_BURAK_YENI1309[[#This Row],[ALT_KOD]])-(SUMIFS(H:H,D:D,DST_123_ÜRETİM_İHTİYAÇ_RAPORU_BURAK_YENI1309[[#This Row],[ALT_KOD]])+AVERAGEIFS(I:I,D:D,DST_123_ÜRETİM_İHTİYAÇ_RAPORU_BURAK_YENI1309[[#This Row],[ALT_KOD]])+AVERAGEIFS(L:L,D:D,DST_123_ÜRETİM_İHTİYAÇ_RAPORU_BURAK_YENI1309[[#This Row],[ALT_KOD]]))</f>
        <v>-20</v>
      </c>
      <c r="L5785">
        <v>0</v>
      </c>
      <c r="M5785">
        <f>IF((DST_123_ÜRETİM_İHTİYAÇ_RAPORU_BURAK_YENI1309[[#This Row],[SATINALMA]]*DST_123_ÜRETİM_İHTİYAÇ_RAPORU_BURAK_YENI1309[[#This Row],[BIRIM_FIYATLAR]])&lt;1,VALUE("0"),DST_123_ÜRETİM_İHTİYAÇ_RAPORU_BURAK_YENI1309[[#This Row],[SATINALMA]]*DST_123_ÜRETİM_İHTİYAÇ_RAPORU_BURAK_YENI1309[[#This Row],[BIRIM_FIYATLAR]])</f>
        <v>0</v>
      </c>
      <c r="N5785">
        <v>287.13</v>
      </c>
      <c r="O5785" t="s">
        <v>636</v>
      </c>
      <c r="P5785">
        <v>287.13</v>
      </c>
      <c r="Q5785" t="s">
        <v>178</v>
      </c>
    </row>
    <row r="5786" spans="1:17" x14ac:dyDescent="0.25">
      <c r="A5786" t="s">
        <v>1100</v>
      </c>
      <c r="B5786" t="s">
        <v>1058</v>
      </c>
      <c r="C5786" t="s">
        <v>175</v>
      </c>
      <c r="D5786" t="s">
        <v>294</v>
      </c>
      <c r="E5786" t="s">
        <v>295</v>
      </c>
      <c r="F5786">
        <v>3</v>
      </c>
      <c r="G5786" t="s">
        <v>179</v>
      </c>
      <c r="H5786">
        <v>3</v>
      </c>
      <c r="I5786">
        <v>118</v>
      </c>
      <c r="J5786" s="10">
        <v>21</v>
      </c>
      <c r="K5786" s="10">
        <f>SUMIFS(F:F,D:D,DST_123_ÜRETİM_İHTİYAÇ_RAPORU_BURAK_YENI1309[[#This Row],[ALT_KOD]])-(SUMIFS(H:H,D:D,DST_123_ÜRETİM_İHTİYAÇ_RAPORU_BURAK_YENI1309[[#This Row],[ALT_KOD]])+AVERAGEIFS(I:I,D:D,DST_123_ÜRETİM_İHTİYAÇ_RAPORU_BURAK_YENI1309[[#This Row],[ALT_KOD]])+AVERAGEIFS(L:L,D:D,DST_123_ÜRETİM_İHTİYAÇ_RAPORU_BURAK_YENI1309[[#This Row],[ALT_KOD]]))</f>
        <v>-115</v>
      </c>
      <c r="L5786">
        <v>0</v>
      </c>
      <c r="M5786">
        <f>IF((DST_123_ÜRETİM_İHTİYAÇ_RAPORU_BURAK_YENI1309[[#This Row],[SATINALMA]]*DST_123_ÜRETİM_İHTİYAÇ_RAPORU_BURAK_YENI1309[[#This Row],[BIRIM_FIYATLAR]])&lt;1,VALUE("0"),DST_123_ÜRETİM_İHTİYAÇ_RAPORU_BURAK_YENI1309[[#This Row],[SATINALMA]]*DST_123_ÜRETİM_İHTİYAÇ_RAPORU_BURAK_YENI1309[[#This Row],[BIRIM_FIYATLAR]])</f>
        <v>0</v>
      </c>
      <c r="N5786">
        <v>14.33</v>
      </c>
      <c r="O5786" t="s">
        <v>826</v>
      </c>
      <c r="P5786">
        <v>42.99</v>
      </c>
      <c r="Q5786" t="s">
        <v>221</v>
      </c>
    </row>
    <row r="5787" spans="1:17" x14ac:dyDescent="0.25">
      <c r="A5787" t="s">
        <v>1100</v>
      </c>
      <c r="B5787" t="s">
        <v>1058</v>
      </c>
      <c r="C5787" t="s">
        <v>175</v>
      </c>
      <c r="D5787" t="s">
        <v>54</v>
      </c>
      <c r="E5787" t="s">
        <v>55</v>
      </c>
      <c r="F5787">
        <v>1</v>
      </c>
      <c r="G5787" t="s">
        <v>176</v>
      </c>
      <c r="H5787">
        <v>1</v>
      </c>
      <c r="I5787">
        <v>9</v>
      </c>
      <c r="J5787" s="10">
        <v>13</v>
      </c>
      <c r="K5787" s="10">
        <f>SUMIFS(F:F,D:D,DST_123_ÜRETİM_İHTİYAÇ_RAPORU_BURAK_YENI1309[[#This Row],[ALT_KOD]])-(SUMIFS(H:H,D:D,DST_123_ÜRETİM_İHTİYAÇ_RAPORU_BURAK_YENI1309[[#This Row],[ALT_KOD]])+AVERAGEIFS(I:I,D:D,DST_123_ÜRETİM_İHTİYAÇ_RAPORU_BURAK_YENI1309[[#This Row],[ALT_KOD]])+AVERAGEIFS(L:L,D:D,DST_123_ÜRETİM_İHTİYAÇ_RAPORU_BURAK_YENI1309[[#This Row],[ALT_KOD]]))</f>
        <v>-1</v>
      </c>
      <c r="L5787">
        <v>4</v>
      </c>
      <c r="M5787">
        <f>IF((DST_123_ÜRETİM_İHTİYAÇ_RAPORU_BURAK_YENI1309[[#This Row],[SATINALMA]]*DST_123_ÜRETİM_İHTİYAÇ_RAPORU_BURAK_YENI1309[[#This Row],[BIRIM_FIYATLAR]])&lt;1,VALUE("0"),DST_123_ÜRETİM_İHTİYAÇ_RAPORU_BURAK_YENI1309[[#This Row],[SATINALMA]]*DST_123_ÜRETİM_İHTİYAÇ_RAPORU_BURAK_YENI1309[[#This Row],[BIRIM_FIYATLAR]])</f>
        <v>0</v>
      </c>
      <c r="N5787">
        <v>1600</v>
      </c>
      <c r="O5787" t="s">
        <v>217</v>
      </c>
      <c r="P5787">
        <v>1600</v>
      </c>
      <c r="Q5787" t="s">
        <v>221</v>
      </c>
    </row>
    <row r="5788" spans="1:17" x14ac:dyDescent="0.25">
      <c r="A5788" t="s">
        <v>1100</v>
      </c>
      <c r="B5788" t="s">
        <v>1058</v>
      </c>
      <c r="C5788" t="s">
        <v>175</v>
      </c>
      <c r="D5788" t="s">
        <v>1035</v>
      </c>
      <c r="E5788" t="s">
        <v>1036</v>
      </c>
      <c r="F5788">
        <v>1</v>
      </c>
      <c r="G5788" t="s">
        <v>176</v>
      </c>
      <c r="H5788">
        <v>1</v>
      </c>
      <c r="I5788">
        <v>19</v>
      </c>
      <c r="J5788" s="10">
        <v>4</v>
      </c>
      <c r="K5788" s="10">
        <f>SUMIFS(F:F,D:D,DST_123_ÜRETİM_İHTİYAÇ_RAPORU_BURAK_YENI1309[[#This Row],[ALT_KOD]])-(SUMIFS(H:H,D:D,DST_123_ÜRETİM_İHTİYAÇ_RAPORU_BURAK_YENI1309[[#This Row],[ALT_KOD]])+AVERAGEIFS(I:I,D:D,DST_123_ÜRETİM_İHTİYAÇ_RAPORU_BURAK_YENI1309[[#This Row],[ALT_KOD]])+AVERAGEIFS(L:L,D:D,DST_123_ÜRETİM_İHTİYAÇ_RAPORU_BURAK_YENI1309[[#This Row],[ALT_KOD]]))</f>
        <v>-12</v>
      </c>
      <c r="L5788">
        <v>0</v>
      </c>
      <c r="M5788">
        <f>IF((DST_123_ÜRETİM_İHTİYAÇ_RAPORU_BURAK_YENI1309[[#This Row],[SATINALMA]]*DST_123_ÜRETİM_İHTİYAÇ_RAPORU_BURAK_YENI1309[[#This Row],[BIRIM_FIYATLAR]])&lt;1,VALUE("0"),DST_123_ÜRETİM_İHTİYAÇ_RAPORU_BURAK_YENI1309[[#This Row],[SATINALMA]]*DST_123_ÜRETİM_İHTİYAÇ_RAPORU_BURAK_YENI1309[[#This Row],[BIRIM_FIYATLAR]])</f>
        <v>0</v>
      </c>
      <c r="N5788">
        <v>85</v>
      </c>
      <c r="O5788" t="s">
        <v>821</v>
      </c>
      <c r="P5788">
        <v>85</v>
      </c>
      <c r="Q5788" t="s">
        <v>178</v>
      </c>
    </row>
    <row r="5789" spans="1:17" x14ac:dyDescent="0.25">
      <c r="A5789" t="s">
        <v>1097</v>
      </c>
      <c r="B5789" t="s">
        <v>1055</v>
      </c>
      <c r="C5789" t="s">
        <v>175</v>
      </c>
      <c r="D5789" t="s">
        <v>0</v>
      </c>
      <c r="E5789" t="s">
        <v>1</v>
      </c>
      <c r="F5789">
        <v>2</v>
      </c>
      <c r="G5789" t="s">
        <v>176</v>
      </c>
      <c r="H5789">
        <v>2</v>
      </c>
      <c r="I5789">
        <v>67</v>
      </c>
      <c r="J5789" s="10">
        <v>24</v>
      </c>
      <c r="K5789" s="10">
        <f>SUMIFS(F:F,D:D,DST_123_ÜRETİM_İHTİYAÇ_RAPORU_BURAK_YENI1309[[#This Row],[ALT_KOD]])-(SUMIFS(H:H,D:D,DST_123_ÜRETİM_İHTİYAÇ_RAPORU_BURAK_YENI1309[[#This Row],[ALT_KOD]])+AVERAGEIFS(I:I,D:D,DST_123_ÜRETİM_İHTİYAÇ_RAPORU_BURAK_YENI1309[[#This Row],[ALT_KOD]])+AVERAGEIFS(L:L,D:D,DST_123_ÜRETİM_İHTİYAÇ_RAPORU_BURAK_YENI1309[[#This Row],[ALT_KOD]]))</f>
        <v>-38</v>
      </c>
      <c r="L5789">
        <v>0</v>
      </c>
      <c r="M5789">
        <f>IF((DST_123_ÜRETİM_İHTİYAÇ_RAPORU_BURAK_YENI1309[[#This Row],[SATINALMA]]*DST_123_ÜRETİM_İHTİYAÇ_RAPORU_BURAK_YENI1309[[#This Row],[BIRIM_FIYATLAR]])&lt;1,VALUE("0"),DST_123_ÜRETİM_İHTİYAÇ_RAPORU_BURAK_YENI1309[[#This Row],[SATINALMA]]*DST_123_ÜRETİM_İHTİYAÇ_RAPORU_BURAK_YENI1309[[#This Row],[BIRIM_FIYATLAR]])</f>
        <v>0</v>
      </c>
      <c r="N5789">
        <v>640</v>
      </c>
      <c r="O5789" t="s">
        <v>220</v>
      </c>
      <c r="P5789">
        <v>1280</v>
      </c>
      <c r="Q5789" t="s">
        <v>221</v>
      </c>
    </row>
    <row r="5790" spans="1:17" x14ac:dyDescent="0.25">
      <c r="A5790" t="s">
        <v>1097</v>
      </c>
      <c r="B5790" t="s">
        <v>1055</v>
      </c>
      <c r="C5790" t="s">
        <v>175</v>
      </c>
      <c r="D5790" t="s">
        <v>58</v>
      </c>
      <c r="E5790" t="s">
        <v>59</v>
      </c>
      <c r="F5790">
        <v>1</v>
      </c>
      <c r="G5790" t="s">
        <v>176</v>
      </c>
      <c r="H5790">
        <v>1</v>
      </c>
      <c r="I5790">
        <v>17</v>
      </c>
      <c r="J5790" s="10">
        <v>11</v>
      </c>
      <c r="K5790" s="10">
        <f>SUMIFS(F:F,D:D,DST_123_ÜRETİM_İHTİYAÇ_RAPORU_BURAK_YENI1309[[#This Row],[ALT_KOD]])-(SUMIFS(H:H,D:D,DST_123_ÜRETİM_İHTİYAÇ_RAPORU_BURAK_YENI1309[[#This Row],[ALT_KOD]])+AVERAGEIFS(I:I,D:D,DST_123_ÜRETİM_İHTİYAÇ_RAPORU_BURAK_YENI1309[[#This Row],[ALT_KOD]])+AVERAGEIFS(L:L,D:D,DST_123_ÜRETİM_İHTİYAÇ_RAPORU_BURAK_YENI1309[[#This Row],[ALT_KOD]]))</f>
        <v>-5</v>
      </c>
      <c r="L5790">
        <v>0</v>
      </c>
      <c r="M5790">
        <f>IF((DST_123_ÜRETİM_İHTİYAÇ_RAPORU_BURAK_YENI1309[[#This Row],[SATINALMA]]*DST_123_ÜRETİM_İHTİYAÇ_RAPORU_BURAK_YENI1309[[#This Row],[BIRIM_FIYATLAR]])&lt;1,VALUE("0"),DST_123_ÜRETİM_İHTİYAÇ_RAPORU_BURAK_YENI1309[[#This Row],[SATINALMA]]*DST_123_ÜRETİM_İHTİYAÇ_RAPORU_BURAK_YENI1309[[#This Row],[BIRIM_FIYATLAR]])</f>
        <v>0</v>
      </c>
      <c r="N5790">
        <v>1094.4000000000001</v>
      </c>
      <c r="O5790" t="s">
        <v>826</v>
      </c>
      <c r="P5790">
        <v>1094.4000000000001</v>
      </c>
      <c r="Q5790" t="s">
        <v>221</v>
      </c>
    </row>
    <row r="5791" spans="1:17" x14ac:dyDescent="0.25">
      <c r="A5791" t="s">
        <v>1097</v>
      </c>
      <c r="B5791" t="s">
        <v>1055</v>
      </c>
      <c r="C5791" t="s">
        <v>175</v>
      </c>
      <c r="D5791" t="s">
        <v>110</v>
      </c>
      <c r="E5791" t="s">
        <v>111</v>
      </c>
      <c r="F5791">
        <v>1</v>
      </c>
      <c r="G5791" t="s">
        <v>176</v>
      </c>
      <c r="H5791">
        <v>1</v>
      </c>
      <c r="I5791">
        <v>0</v>
      </c>
      <c r="J5791" s="10">
        <v>10</v>
      </c>
      <c r="K5791" s="10">
        <f>SUMIFS(F:F,D:D,DST_123_ÜRETİM_İHTİYAÇ_RAPORU_BURAK_YENI1309[[#This Row],[ALT_KOD]])-(SUMIFS(H:H,D:D,DST_123_ÜRETİM_İHTİYAÇ_RAPORU_BURAK_YENI1309[[#This Row],[ALT_KOD]])+AVERAGEIFS(I:I,D:D,DST_123_ÜRETİM_İHTİYAÇ_RAPORU_BURAK_YENI1309[[#This Row],[ALT_KOD]])+AVERAGEIFS(L:L,D:D,DST_123_ÜRETİM_İHTİYAÇ_RAPORU_BURAK_YENI1309[[#This Row],[ALT_KOD]]))</f>
        <v>0</v>
      </c>
      <c r="L5791">
        <v>11</v>
      </c>
      <c r="M5791">
        <f>IF((DST_123_ÜRETİM_İHTİYAÇ_RAPORU_BURAK_YENI1309[[#This Row],[SATINALMA]]*DST_123_ÜRETİM_İHTİYAÇ_RAPORU_BURAK_YENI1309[[#This Row],[BIRIM_FIYATLAR]])&lt;1,VALUE("0"),DST_123_ÜRETİM_İHTİYAÇ_RAPORU_BURAK_YENI1309[[#This Row],[SATINALMA]]*DST_123_ÜRETİM_İHTİYAÇ_RAPORU_BURAK_YENI1309[[#This Row],[BIRIM_FIYATLAR]])</f>
        <v>0</v>
      </c>
      <c r="N5791">
        <v>675</v>
      </c>
      <c r="O5791" t="s">
        <v>632</v>
      </c>
      <c r="P5791">
        <v>675</v>
      </c>
      <c r="Q5791" t="s">
        <v>177</v>
      </c>
    </row>
    <row r="5792" spans="1:17" x14ac:dyDescent="0.25">
      <c r="A5792" t="s">
        <v>1099</v>
      </c>
      <c r="B5792" t="s">
        <v>1055</v>
      </c>
      <c r="C5792" t="s">
        <v>175</v>
      </c>
      <c r="D5792" t="s">
        <v>756</v>
      </c>
      <c r="E5792" t="s">
        <v>757</v>
      </c>
      <c r="F5792">
        <v>1</v>
      </c>
      <c r="G5792" t="s">
        <v>176</v>
      </c>
      <c r="H5792">
        <v>1</v>
      </c>
      <c r="I5792">
        <v>2</v>
      </c>
      <c r="J5792" s="10">
        <v>4</v>
      </c>
      <c r="K5792" s="10">
        <f>SUMIFS(F:F,D:D,DST_123_ÜRETİM_İHTİYAÇ_RAPORU_BURAK_YENI1309[[#This Row],[ALT_KOD]])-(SUMIFS(H:H,D:D,DST_123_ÜRETİM_İHTİYAÇ_RAPORU_BURAK_YENI1309[[#This Row],[ALT_KOD]])+AVERAGEIFS(I:I,D:D,DST_123_ÜRETİM_İHTİYAÇ_RAPORU_BURAK_YENI1309[[#This Row],[ALT_KOD]])+AVERAGEIFS(L:L,D:D,DST_123_ÜRETİM_İHTİYAÇ_RAPORU_BURAK_YENI1309[[#This Row],[ALT_KOD]]))</f>
        <v>0</v>
      </c>
      <c r="L5792">
        <v>2</v>
      </c>
      <c r="M5792">
        <f>IF((DST_123_ÜRETİM_İHTİYAÇ_RAPORU_BURAK_YENI1309[[#This Row],[SATINALMA]]*DST_123_ÜRETİM_İHTİYAÇ_RAPORU_BURAK_YENI1309[[#This Row],[BIRIM_FIYATLAR]])&lt;1,VALUE("0"),DST_123_ÜRETİM_İHTİYAÇ_RAPORU_BURAK_YENI1309[[#This Row],[SATINALMA]]*DST_123_ÜRETİM_İHTİYAÇ_RAPORU_BURAK_YENI1309[[#This Row],[BIRIM_FIYATLAR]])</f>
        <v>0</v>
      </c>
      <c r="N5792">
        <v>1667.14</v>
      </c>
      <c r="O5792" t="s">
        <v>632</v>
      </c>
      <c r="P5792">
        <v>1667.14</v>
      </c>
      <c r="Q5792" t="s">
        <v>177</v>
      </c>
    </row>
    <row r="5793" spans="1:17" x14ac:dyDescent="0.25">
      <c r="A5793" t="s">
        <v>1097</v>
      </c>
      <c r="B5793" t="s">
        <v>1055</v>
      </c>
      <c r="C5793" t="s">
        <v>175</v>
      </c>
      <c r="D5793" t="s">
        <v>844</v>
      </c>
      <c r="E5793" t="s">
        <v>845</v>
      </c>
      <c r="F5793">
        <v>4</v>
      </c>
      <c r="G5793" t="s">
        <v>176</v>
      </c>
      <c r="H5793">
        <v>4</v>
      </c>
      <c r="I5793">
        <v>36</v>
      </c>
      <c r="J5793" s="10">
        <v>26</v>
      </c>
      <c r="K5793" s="10">
        <f>SUMIFS(F:F,D:D,DST_123_ÜRETİM_İHTİYAÇ_RAPORU_BURAK_YENI1309[[#This Row],[ALT_KOD]])-(SUMIFS(H:H,D:D,DST_123_ÜRETİM_İHTİYAÇ_RAPORU_BURAK_YENI1309[[#This Row],[ALT_KOD]])+AVERAGEIFS(I:I,D:D,DST_123_ÜRETİM_İHTİYAÇ_RAPORU_BURAK_YENI1309[[#This Row],[ALT_KOD]])+AVERAGEIFS(L:L,D:D,DST_123_ÜRETİM_İHTİYAÇ_RAPORU_BURAK_YENI1309[[#This Row],[ALT_KOD]]))</f>
        <v>1</v>
      </c>
      <c r="L5793">
        <v>0</v>
      </c>
      <c r="M5793">
        <f>IF((DST_123_ÜRETİM_İHTİYAÇ_RAPORU_BURAK_YENI1309[[#This Row],[SATINALMA]]*DST_123_ÜRETİM_İHTİYAÇ_RAPORU_BURAK_YENI1309[[#This Row],[BIRIM_FIYATLAR]])&lt;1,VALUE("0"),DST_123_ÜRETİM_İHTİYAÇ_RAPORU_BURAK_YENI1309[[#This Row],[SATINALMA]]*DST_123_ÜRETİM_İHTİYAÇ_RAPORU_BURAK_YENI1309[[#This Row],[BIRIM_FIYATLAR]])</f>
        <v>348.7</v>
      </c>
      <c r="N5793">
        <v>348.7</v>
      </c>
      <c r="O5793" t="s">
        <v>636</v>
      </c>
      <c r="P5793">
        <v>1394.8</v>
      </c>
      <c r="Q5793" t="s">
        <v>177</v>
      </c>
    </row>
    <row r="5794" spans="1:17" x14ac:dyDescent="0.25">
      <c r="A5794" t="s">
        <v>1057</v>
      </c>
      <c r="B5794" t="s">
        <v>1058</v>
      </c>
      <c r="C5794" t="s">
        <v>175</v>
      </c>
      <c r="D5794" t="s">
        <v>1035</v>
      </c>
      <c r="E5794" t="s">
        <v>1036</v>
      </c>
      <c r="F5794">
        <v>1</v>
      </c>
      <c r="G5794" t="s">
        <v>176</v>
      </c>
      <c r="H5794">
        <v>1</v>
      </c>
      <c r="I5794">
        <v>19</v>
      </c>
      <c r="J5794" s="10">
        <v>4</v>
      </c>
      <c r="K5794" s="10">
        <f>SUMIFS(F:F,D:D,DST_123_ÜRETİM_İHTİYAÇ_RAPORU_BURAK_YENI1309[[#This Row],[ALT_KOD]])-(SUMIFS(H:H,D:D,DST_123_ÜRETİM_İHTİYAÇ_RAPORU_BURAK_YENI1309[[#This Row],[ALT_KOD]])+AVERAGEIFS(I:I,D:D,DST_123_ÜRETİM_İHTİYAÇ_RAPORU_BURAK_YENI1309[[#This Row],[ALT_KOD]])+AVERAGEIFS(L:L,D:D,DST_123_ÜRETİM_İHTİYAÇ_RAPORU_BURAK_YENI1309[[#This Row],[ALT_KOD]]))</f>
        <v>-12</v>
      </c>
      <c r="L5794">
        <v>0</v>
      </c>
      <c r="M5794">
        <f>IF((DST_123_ÜRETİM_İHTİYAÇ_RAPORU_BURAK_YENI1309[[#This Row],[SATINALMA]]*DST_123_ÜRETİM_İHTİYAÇ_RAPORU_BURAK_YENI1309[[#This Row],[BIRIM_FIYATLAR]])&lt;1,VALUE("0"),DST_123_ÜRETİM_İHTİYAÇ_RAPORU_BURAK_YENI1309[[#This Row],[SATINALMA]]*DST_123_ÜRETİM_İHTİYAÇ_RAPORU_BURAK_YENI1309[[#This Row],[BIRIM_FIYATLAR]])</f>
        <v>0</v>
      </c>
      <c r="N5794">
        <v>85</v>
      </c>
      <c r="O5794" t="s">
        <v>821</v>
      </c>
      <c r="P5794">
        <v>85</v>
      </c>
      <c r="Q5794" t="s">
        <v>178</v>
      </c>
    </row>
    <row r="5795" spans="1:17" x14ac:dyDescent="0.25">
      <c r="A5795" t="s">
        <v>1059</v>
      </c>
      <c r="B5795" t="s">
        <v>1058</v>
      </c>
      <c r="C5795" t="s">
        <v>175</v>
      </c>
      <c r="D5795" t="s">
        <v>1039</v>
      </c>
      <c r="E5795" t="s">
        <v>1040</v>
      </c>
      <c r="F5795">
        <v>1</v>
      </c>
      <c r="G5795" t="s">
        <v>176</v>
      </c>
      <c r="H5795">
        <v>1</v>
      </c>
      <c r="I5795">
        <v>2</v>
      </c>
      <c r="J5795" s="10">
        <v>2</v>
      </c>
      <c r="K5795" s="10">
        <f>SUMIFS(F:F,D:D,DST_123_ÜRETİM_İHTİYAÇ_RAPORU_BURAK_YENI1309[[#This Row],[ALT_KOD]])-(SUMIFS(H:H,D:D,DST_123_ÜRETİM_İHTİYAÇ_RAPORU_BURAK_YENI1309[[#This Row],[ALT_KOD]])+AVERAGEIFS(I:I,D:D,DST_123_ÜRETİM_İHTİYAÇ_RAPORU_BURAK_YENI1309[[#This Row],[ALT_KOD]])+AVERAGEIFS(L:L,D:D,DST_123_ÜRETİM_İHTİYAÇ_RAPORU_BURAK_YENI1309[[#This Row],[ALT_KOD]]))</f>
        <v>-2</v>
      </c>
      <c r="L5795">
        <v>0</v>
      </c>
      <c r="M5795">
        <f>IF((DST_123_ÜRETİM_İHTİYAÇ_RAPORU_BURAK_YENI1309[[#This Row],[SATINALMA]]*DST_123_ÜRETİM_İHTİYAÇ_RAPORU_BURAK_YENI1309[[#This Row],[BIRIM_FIYATLAR]])&lt;1,VALUE("0"),DST_123_ÜRETİM_İHTİYAÇ_RAPORU_BURAK_YENI1309[[#This Row],[SATINALMA]]*DST_123_ÜRETİM_İHTİYAÇ_RAPORU_BURAK_YENI1309[[#This Row],[BIRIM_FIYATLAR]])</f>
        <v>0</v>
      </c>
      <c r="N5795">
        <v>400</v>
      </c>
      <c r="O5795" t="s">
        <v>1034</v>
      </c>
      <c r="P5795">
        <v>400</v>
      </c>
      <c r="Q5795" t="s">
        <v>178</v>
      </c>
    </row>
    <row r="5796" spans="1:17" x14ac:dyDescent="0.25">
      <c r="A5796" t="s">
        <v>1100</v>
      </c>
      <c r="B5796" t="s">
        <v>1058</v>
      </c>
      <c r="C5796" t="s">
        <v>175</v>
      </c>
      <c r="D5796" t="s">
        <v>877</v>
      </c>
      <c r="E5796" t="s">
        <v>878</v>
      </c>
      <c r="F5796">
        <v>2</v>
      </c>
      <c r="G5796" t="s">
        <v>176</v>
      </c>
      <c r="H5796">
        <v>2</v>
      </c>
      <c r="I5796">
        <v>4</v>
      </c>
      <c r="J5796" s="10">
        <v>12</v>
      </c>
      <c r="K5796" s="10">
        <f>SUMIFS(F:F,D:D,DST_123_ÜRETİM_İHTİYAÇ_RAPORU_BURAK_YENI1309[[#This Row],[ALT_KOD]])-(SUMIFS(H:H,D:D,DST_123_ÜRETİM_İHTİYAÇ_RAPORU_BURAK_YENI1309[[#This Row],[ALT_KOD]])+AVERAGEIFS(I:I,D:D,DST_123_ÜRETİM_İHTİYAÇ_RAPORU_BURAK_YENI1309[[#This Row],[ALT_KOD]])+AVERAGEIFS(L:L,D:D,DST_123_ÜRETİM_İHTİYAÇ_RAPORU_BURAK_YENI1309[[#This Row],[ALT_KOD]]))</f>
        <v>-4</v>
      </c>
      <c r="L5796">
        <v>0</v>
      </c>
      <c r="M5796">
        <f>IF((DST_123_ÜRETİM_İHTİYAÇ_RAPORU_BURAK_YENI1309[[#This Row],[SATINALMA]]*DST_123_ÜRETİM_İHTİYAÇ_RAPORU_BURAK_YENI1309[[#This Row],[BIRIM_FIYATLAR]])&lt;1,VALUE("0"),DST_123_ÜRETİM_İHTİYAÇ_RAPORU_BURAK_YENI1309[[#This Row],[SATINALMA]]*DST_123_ÜRETİM_İHTİYAÇ_RAPORU_BURAK_YENI1309[[#This Row],[BIRIM_FIYATLAR]])</f>
        <v>0</v>
      </c>
      <c r="N5796">
        <v>1029.1300000000001</v>
      </c>
      <c r="O5796" t="s">
        <v>636</v>
      </c>
      <c r="P5796">
        <v>2058.2600000000002</v>
      </c>
      <c r="Q5796" t="s">
        <v>178</v>
      </c>
    </row>
    <row r="5797" spans="1:17" x14ac:dyDescent="0.25">
      <c r="A5797" t="s">
        <v>1100</v>
      </c>
      <c r="B5797" t="s">
        <v>1058</v>
      </c>
      <c r="C5797" t="s">
        <v>175</v>
      </c>
      <c r="D5797" t="s">
        <v>114</v>
      </c>
      <c r="E5797" t="s">
        <v>115</v>
      </c>
      <c r="F5797">
        <v>1.0209999999999999</v>
      </c>
      <c r="G5797" t="s">
        <v>185</v>
      </c>
      <c r="H5797">
        <v>1.0209999999999999</v>
      </c>
      <c r="I5797">
        <v>0</v>
      </c>
      <c r="J5797" s="10">
        <v>65.03100000000002</v>
      </c>
      <c r="K5797" s="10">
        <f>SUMIFS(F:F,D:D,DST_123_ÜRETİM_İHTİYAÇ_RAPORU_BURAK_YENI1309[[#This Row],[ALT_KOD]])-(SUMIFS(H:H,D:D,DST_123_ÜRETİM_İHTİYAÇ_RAPORU_BURAK_YENI1309[[#This Row],[ALT_KOD]])+AVERAGEIFS(I:I,D:D,DST_123_ÜRETİM_İHTİYAÇ_RAPORU_BURAK_YENI1309[[#This Row],[ALT_KOD]])+AVERAGEIFS(L:L,D:D,DST_123_ÜRETİM_İHTİYAÇ_RAPORU_BURAK_YENI1309[[#This Row],[ALT_KOD]]))</f>
        <v>17.948</v>
      </c>
      <c r="L5797">
        <v>0</v>
      </c>
      <c r="M5797">
        <f>IF((DST_123_ÜRETİM_İHTİYAÇ_RAPORU_BURAK_YENI1309[[#This Row],[SATINALMA]]*DST_123_ÜRETİM_İHTİYAÇ_RAPORU_BURAK_YENI1309[[#This Row],[BIRIM_FIYATLAR]])&lt;1,VALUE("0"),DST_123_ÜRETİM_İHTİYAÇ_RAPORU_BURAK_YENI1309[[#This Row],[SATINALMA]]*DST_123_ÜRETİM_İHTİYAÇ_RAPORU_BURAK_YENI1309[[#This Row],[BIRIM_FIYATLAR]])</f>
        <v>6991.2844399999994</v>
      </c>
      <c r="N5797">
        <v>389.53</v>
      </c>
      <c r="O5797" t="s">
        <v>490</v>
      </c>
      <c r="P5797">
        <v>397.71012999999994</v>
      </c>
      <c r="Q5797" t="s">
        <v>183</v>
      </c>
    </row>
    <row r="5798" spans="1:17" x14ac:dyDescent="0.25">
      <c r="A5798" t="s">
        <v>1148</v>
      </c>
      <c r="B5798" t="s">
        <v>1056</v>
      </c>
      <c r="C5798" t="s">
        <v>175</v>
      </c>
      <c r="D5798" t="s">
        <v>66</v>
      </c>
      <c r="E5798" t="s">
        <v>1229</v>
      </c>
      <c r="F5798">
        <v>11</v>
      </c>
      <c r="G5798" t="s">
        <v>176</v>
      </c>
      <c r="H5798">
        <v>0</v>
      </c>
      <c r="I5798">
        <v>0</v>
      </c>
      <c r="J5798" s="10">
        <v>128</v>
      </c>
      <c r="K5798" s="10">
        <f>SUMIFS(F:F,D:D,DST_123_ÜRETİM_İHTİYAÇ_RAPORU_BURAK_YENI1309[[#This Row],[ALT_KOD]])-(SUMIFS(H:H,D:D,DST_123_ÜRETİM_İHTİYAÇ_RAPORU_BURAK_YENI1309[[#This Row],[ALT_KOD]])+AVERAGEIFS(I:I,D:D,DST_123_ÜRETİM_İHTİYAÇ_RAPORU_BURAK_YENI1309[[#This Row],[ALT_KOD]])+AVERAGEIFS(L:L,D:D,DST_123_ÜRETİM_İHTİYAÇ_RAPORU_BURAK_YENI1309[[#This Row],[ALT_KOD]]))</f>
        <v>70</v>
      </c>
      <c r="L5798">
        <v>40</v>
      </c>
      <c r="M5798">
        <f>IF((DST_123_ÜRETİM_İHTİYAÇ_RAPORU_BURAK_YENI1309[[#This Row],[SATINALMA]]*DST_123_ÜRETİM_İHTİYAÇ_RAPORU_BURAK_YENI1309[[#This Row],[BIRIM_FIYATLAR]])&lt;1,VALUE("0"),DST_123_ÜRETİM_İHTİYAÇ_RAPORU_BURAK_YENI1309[[#This Row],[SATINALMA]]*DST_123_ÜRETİM_İHTİYAÇ_RAPORU_BURAK_YENI1309[[#This Row],[BIRIM_FIYATLAR]])</f>
        <v>4200</v>
      </c>
      <c r="N5798">
        <v>60</v>
      </c>
      <c r="O5798" t="s">
        <v>821</v>
      </c>
      <c r="P5798">
        <v>660</v>
      </c>
      <c r="Q5798" t="s">
        <v>180</v>
      </c>
    </row>
    <row r="5799" spans="1:17" x14ac:dyDescent="0.25">
      <c r="A5799" t="s">
        <v>1099</v>
      </c>
      <c r="B5799" t="s">
        <v>1055</v>
      </c>
      <c r="C5799" t="s">
        <v>175</v>
      </c>
      <c r="D5799" t="s">
        <v>241</v>
      </c>
      <c r="E5799" t="s">
        <v>242</v>
      </c>
      <c r="F5799">
        <v>1</v>
      </c>
      <c r="G5799" t="s">
        <v>176</v>
      </c>
      <c r="H5799">
        <v>1</v>
      </c>
      <c r="I5799">
        <v>49</v>
      </c>
      <c r="J5799" s="10">
        <v>1.6000000000000005</v>
      </c>
      <c r="K5799" s="10">
        <f>SUMIFS(F:F,D:D,DST_123_ÜRETİM_İHTİYAÇ_RAPORU_BURAK_YENI1309[[#This Row],[ALT_KOD]])-(SUMIFS(H:H,D:D,DST_123_ÜRETİM_İHTİYAÇ_RAPORU_BURAK_YENI1309[[#This Row],[ALT_KOD]])+AVERAGEIFS(I:I,D:D,DST_123_ÜRETİM_İHTİYAÇ_RAPORU_BURAK_YENI1309[[#This Row],[ALT_KOD]])+AVERAGEIFS(L:L,D:D,DST_123_ÜRETİM_İHTİYAÇ_RAPORU_BURAK_YENI1309[[#This Row],[ALT_KOD]]))</f>
        <v>-37.599999999999994</v>
      </c>
      <c r="L5799">
        <v>0</v>
      </c>
      <c r="M5799">
        <f>IF((DST_123_ÜRETİM_İHTİYAÇ_RAPORU_BURAK_YENI1309[[#This Row],[SATINALMA]]*DST_123_ÜRETİM_İHTİYAÇ_RAPORU_BURAK_YENI1309[[#This Row],[BIRIM_FIYATLAR]])&lt;1,VALUE("0"),DST_123_ÜRETİM_İHTİYAÇ_RAPORU_BURAK_YENI1309[[#This Row],[SATINALMA]]*DST_123_ÜRETİM_İHTİYAÇ_RAPORU_BURAK_YENI1309[[#This Row],[BIRIM_FIYATLAR]])</f>
        <v>0</v>
      </c>
      <c r="N5799">
        <v>60</v>
      </c>
      <c r="O5799" t="s">
        <v>490</v>
      </c>
      <c r="P5799">
        <v>60</v>
      </c>
      <c r="Q5799" t="s">
        <v>180</v>
      </c>
    </row>
    <row r="5800" spans="1:17" x14ac:dyDescent="0.25">
      <c r="A5800" t="s">
        <v>1101</v>
      </c>
      <c r="B5800" t="s">
        <v>1102</v>
      </c>
      <c r="C5800" t="s">
        <v>175</v>
      </c>
      <c r="D5800" t="s">
        <v>738</v>
      </c>
      <c r="E5800" t="s">
        <v>739</v>
      </c>
      <c r="F5800">
        <v>1</v>
      </c>
      <c r="G5800" t="s">
        <v>176</v>
      </c>
      <c r="H5800">
        <v>1</v>
      </c>
      <c r="I5800">
        <v>10</v>
      </c>
      <c r="J5800" s="10">
        <v>16</v>
      </c>
      <c r="K5800" s="10">
        <f>SUMIFS(F:F,D:D,DST_123_ÜRETİM_İHTİYAÇ_RAPORU_BURAK_YENI1309[[#This Row],[ALT_KOD]])-(SUMIFS(H:H,D:D,DST_123_ÜRETİM_İHTİYAÇ_RAPORU_BURAK_YENI1309[[#This Row],[ALT_KOD]])+AVERAGEIFS(I:I,D:D,DST_123_ÜRETİM_İHTİYAÇ_RAPORU_BURAK_YENI1309[[#This Row],[ALT_KOD]])+AVERAGEIFS(L:L,D:D,DST_123_ÜRETİM_İHTİYAÇ_RAPORU_BURAK_YENI1309[[#This Row],[ALT_KOD]]))</f>
        <v>2</v>
      </c>
      <c r="L5800">
        <v>0</v>
      </c>
      <c r="M5800">
        <f>IF((DST_123_ÜRETİM_İHTİYAÇ_RAPORU_BURAK_YENI1309[[#This Row],[SATINALMA]]*DST_123_ÜRETİM_İHTİYAÇ_RAPORU_BURAK_YENI1309[[#This Row],[BIRIM_FIYATLAR]])&lt;1,VALUE("0"),DST_123_ÜRETİM_İHTİYAÇ_RAPORU_BURAK_YENI1309[[#This Row],[SATINALMA]]*DST_123_ÜRETİM_İHTİYAÇ_RAPORU_BURAK_YENI1309[[#This Row],[BIRIM_FIYATLAR]])</f>
        <v>233.34</v>
      </c>
      <c r="N5800">
        <v>116.67</v>
      </c>
      <c r="O5800" t="s">
        <v>667</v>
      </c>
      <c r="P5800">
        <v>116.67</v>
      </c>
      <c r="Q5800" t="s">
        <v>177</v>
      </c>
    </row>
    <row r="5801" spans="1:17" x14ac:dyDescent="0.25">
      <c r="A5801" t="s">
        <v>1097</v>
      </c>
      <c r="B5801" t="s">
        <v>1055</v>
      </c>
      <c r="C5801" t="s">
        <v>175</v>
      </c>
      <c r="D5801" t="s">
        <v>72</v>
      </c>
      <c r="E5801" t="s">
        <v>73</v>
      </c>
      <c r="F5801">
        <v>1</v>
      </c>
      <c r="G5801" t="s">
        <v>176</v>
      </c>
      <c r="H5801">
        <v>1</v>
      </c>
      <c r="I5801">
        <v>2</v>
      </c>
      <c r="J5801" s="10">
        <v>8</v>
      </c>
      <c r="K5801" s="10">
        <f>SUMIFS(F:F,D:D,DST_123_ÜRETİM_İHTİYAÇ_RAPORU_BURAK_YENI1309[[#This Row],[ALT_KOD]])-(SUMIFS(H:H,D:D,DST_123_ÜRETİM_İHTİYAÇ_RAPORU_BURAK_YENI1309[[#This Row],[ALT_KOD]])+AVERAGEIFS(I:I,D:D,DST_123_ÜRETİM_İHTİYAÇ_RAPORU_BURAK_YENI1309[[#This Row],[ALT_KOD]])+AVERAGEIFS(L:L,D:D,DST_123_ÜRETİM_İHTİYAÇ_RAPORU_BURAK_YENI1309[[#This Row],[ALT_KOD]]))</f>
        <v>8</v>
      </c>
      <c r="L5801">
        <v>0</v>
      </c>
      <c r="M5801">
        <f>IF((DST_123_ÜRETİM_İHTİYAÇ_RAPORU_BURAK_YENI1309[[#This Row],[SATINALMA]]*DST_123_ÜRETİM_İHTİYAÇ_RAPORU_BURAK_YENI1309[[#This Row],[BIRIM_FIYATLAR]])&lt;1,VALUE("0"),DST_123_ÜRETİM_İHTİYAÇ_RAPORU_BURAK_YENI1309[[#This Row],[SATINALMA]]*DST_123_ÜRETİM_İHTİYAÇ_RAPORU_BURAK_YENI1309[[#This Row],[BIRIM_FIYATLAR]])</f>
        <v>70583.44</v>
      </c>
      <c r="N5801">
        <v>8822.93</v>
      </c>
      <c r="O5801" t="s">
        <v>634</v>
      </c>
      <c r="P5801">
        <v>8822.93</v>
      </c>
      <c r="Q5801" t="s">
        <v>178</v>
      </c>
    </row>
    <row r="5802" spans="1:17" x14ac:dyDescent="0.25">
      <c r="A5802" t="s">
        <v>1059</v>
      </c>
      <c r="B5802" t="s">
        <v>1058</v>
      </c>
      <c r="C5802" t="s">
        <v>175</v>
      </c>
      <c r="D5802" t="s">
        <v>781</v>
      </c>
      <c r="E5802" t="s">
        <v>782</v>
      </c>
      <c r="F5802">
        <v>1</v>
      </c>
      <c r="G5802" t="s">
        <v>176</v>
      </c>
      <c r="H5802">
        <v>1</v>
      </c>
      <c r="I5802">
        <v>14</v>
      </c>
      <c r="J5802" s="10">
        <v>9</v>
      </c>
      <c r="K5802" s="10">
        <f>SUMIFS(F:F,D:D,DST_123_ÜRETİM_İHTİYAÇ_RAPORU_BURAK_YENI1309[[#This Row],[ALT_KOD]])-(SUMIFS(H:H,D:D,DST_123_ÜRETİM_İHTİYAÇ_RAPORU_BURAK_YENI1309[[#This Row],[ALT_KOD]])+AVERAGEIFS(I:I,D:D,DST_123_ÜRETİM_İHTİYAÇ_RAPORU_BURAK_YENI1309[[#This Row],[ALT_KOD]])+AVERAGEIFS(L:L,D:D,DST_123_ÜRETİM_İHTİYAÇ_RAPORU_BURAK_YENI1309[[#This Row],[ALT_KOD]]))</f>
        <v>-3</v>
      </c>
      <c r="L5802">
        <v>0</v>
      </c>
      <c r="M5802">
        <f>IF((DST_123_ÜRETİM_İHTİYAÇ_RAPORU_BURAK_YENI1309[[#This Row],[SATINALMA]]*DST_123_ÜRETİM_İHTİYAÇ_RAPORU_BURAK_YENI1309[[#This Row],[BIRIM_FIYATLAR]])&lt;1,VALUE("0"),DST_123_ÜRETİM_İHTİYAÇ_RAPORU_BURAK_YENI1309[[#This Row],[SATINALMA]]*DST_123_ÜRETİM_İHTİYAÇ_RAPORU_BURAK_YENI1309[[#This Row],[BIRIM_FIYATLAR]])</f>
        <v>0</v>
      </c>
      <c r="N5802">
        <v>1020</v>
      </c>
      <c r="O5802" t="s">
        <v>289</v>
      </c>
      <c r="P5802">
        <v>1020</v>
      </c>
      <c r="Q5802" t="s">
        <v>178</v>
      </c>
    </row>
    <row r="5803" spans="1:17" x14ac:dyDescent="0.25">
      <c r="A5803" t="s">
        <v>1059</v>
      </c>
      <c r="B5803" t="s">
        <v>1058</v>
      </c>
      <c r="C5803" t="s">
        <v>175</v>
      </c>
      <c r="D5803" t="s">
        <v>285</v>
      </c>
      <c r="E5803" t="s">
        <v>286</v>
      </c>
      <c r="F5803">
        <v>0.25</v>
      </c>
      <c r="G5803" t="s">
        <v>185</v>
      </c>
      <c r="H5803">
        <v>0.25</v>
      </c>
      <c r="I5803">
        <v>0</v>
      </c>
      <c r="J5803" s="10">
        <v>24.129999999999985</v>
      </c>
      <c r="K5803" s="10">
        <f>SUMIFS(F:F,D:D,DST_123_ÜRETİM_İHTİYAÇ_RAPORU_BURAK_YENI1309[[#This Row],[ALT_KOD]])-(SUMIFS(H:H,D:D,DST_123_ÜRETİM_İHTİYAÇ_RAPORU_BURAK_YENI1309[[#This Row],[ALT_KOD]])+AVERAGEIFS(I:I,D:D,DST_123_ÜRETİM_İHTİYAÇ_RAPORU_BURAK_YENI1309[[#This Row],[ALT_KOD]])+AVERAGEIFS(L:L,D:D,DST_123_ÜRETİM_İHTİYAÇ_RAPORU_BURAK_YENI1309[[#This Row],[ALT_KOD]]))</f>
        <v>4.1899999999999995</v>
      </c>
      <c r="L5803">
        <v>0</v>
      </c>
      <c r="M5803">
        <f>IF((DST_123_ÜRETİM_İHTİYAÇ_RAPORU_BURAK_YENI1309[[#This Row],[SATINALMA]]*DST_123_ÜRETİM_İHTİYAÇ_RAPORU_BURAK_YENI1309[[#This Row],[BIRIM_FIYATLAR]])&lt;1,VALUE("0"),DST_123_ÜRETİM_İHTİYAÇ_RAPORU_BURAK_YENI1309[[#This Row],[SATINALMA]]*DST_123_ÜRETİM_İHTİYAÇ_RAPORU_BURAK_YENI1309[[#This Row],[BIRIM_FIYATLAR]])</f>
        <v>1667.7456999999997</v>
      </c>
      <c r="N5803">
        <v>398.03</v>
      </c>
      <c r="O5803" t="s">
        <v>490</v>
      </c>
      <c r="P5803">
        <v>99.507499999999993</v>
      </c>
      <c r="Q5803" t="s">
        <v>183</v>
      </c>
    </row>
    <row r="5804" spans="1:17" x14ac:dyDescent="0.25">
      <c r="A5804" t="s">
        <v>1095</v>
      </c>
      <c r="B5804" t="s">
        <v>1096</v>
      </c>
      <c r="C5804" t="s">
        <v>175</v>
      </c>
      <c r="D5804" t="s">
        <v>1051</v>
      </c>
      <c r="E5804" t="s">
        <v>1052</v>
      </c>
      <c r="F5804">
        <v>1</v>
      </c>
      <c r="G5804" t="s">
        <v>176</v>
      </c>
      <c r="H5804">
        <v>0</v>
      </c>
      <c r="I5804">
        <v>2</v>
      </c>
      <c r="J5804" s="10">
        <v>7</v>
      </c>
      <c r="K5804" s="10">
        <f>SUMIFS(F:F,D:D,DST_123_ÜRETİM_İHTİYAÇ_RAPORU_BURAK_YENI1309[[#This Row],[ALT_KOD]])-(SUMIFS(H:H,D:D,DST_123_ÜRETİM_İHTİYAÇ_RAPORU_BURAK_YENI1309[[#This Row],[ALT_KOD]])+AVERAGEIFS(I:I,D:D,DST_123_ÜRETİM_İHTİYAÇ_RAPORU_BURAK_YENI1309[[#This Row],[ALT_KOD]])+AVERAGEIFS(L:L,D:D,DST_123_ÜRETİM_İHTİYAÇ_RAPORU_BURAK_YENI1309[[#This Row],[ALT_KOD]]))</f>
        <v>10</v>
      </c>
      <c r="L5804">
        <v>0</v>
      </c>
      <c r="M5804">
        <f>IF((DST_123_ÜRETİM_İHTİYAÇ_RAPORU_BURAK_YENI1309[[#This Row],[SATINALMA]]*DST_123_ÜRETİM_İHTİYAÇ_RAPORU_BURAK_YENI1309[[#This Row],[BIRIM_FIYATLAR]])&lt;1,VALUE("0"),DST_123_ÜRETİM_İHTİYAÇ_RAPORU_BURAK_YENI1309[[#This Row],[SATINALMA]]*DST_123_ÜRETİM_İHTİYAÇ_RAPORU_BURAK_YENI1309[[#This Row],[BIRIM_FIYATLAR]])</f>
        <v>121389.3</v>
      </c>
      <c r="N5804">
        <v>12138.93</v>
      </c>
      <c r="O5804" t="s">
        <v>634</v>
      </c>
      <c r="P5804">
        <v>12138.93</v>
      </c>
      <c r="Q5804" t="s">
        <v>177</v>
      </c>
    </row>
    <row r="5805" spans="1:17" x14ac:dyDescent="0.25">
      <c r="A5805" t="s">
        <v>1060</v>
      </c>
      <c r="B5805" t="s">
        <v>1061</v>
      </c>
      <c r="C5805" t="s">
        <v>175</v>
      </c>
      <c r="D5805" t="s">
        <v>1051</v>
      </c>
      <c r="E5805" t="s">
        <v>1052</v>
      </c>
      <c r="F5805">
        <v>1</v>
      </c>
      <c r="G5805" t="s">
        <v>176</v>
      </c>
      <c r="H5805">
        <v>1</v>
      </c>
      <c r="I5805">
        <v>2</v>
      </c>
      <c r="J5805" s="10">
        <v>7</v>
      </c>
      <c r="K5805" s="10">
        <f>SUMIFS(F:F,D:D,DST_123_ÜRETİM_İHTİYAÇ_RAPORU_BURAK_YENI1309[[#This Row],[ALT_KOD]])-(SUMIFS(H:H,D:D,DST_123_ÜRETİM_İHTİYAÇ_RAPORU_BURAK_YENI1309[[#This Row],[ALT_KOD]])+AVERAGEIFS(I:I,D:D,DST_123_ÜRETİM_İHTİYAÇ_RAPORU_BURAK_YENI1309[[#This Row],[ALT_KOD]])+AVERAGEIFS(L:L,D:D,DST_123_ÜRETİM_İHTİYAÇ_RAPORU_BURAK_YENI1309[[#This Row],[ALT_KOD]]))</f>
        <v>10</v>
      </c>
      <c r="L5805">
        <v>0</v>
      </c>
      <c r="M5805">
        <f>IF((DST_123_ÜRETİM_İHTİYAÇ_RAPORU_BURAK_YENI1309[[#This Row],[SATINALMA]]*DST_123_ÜRETİM_İHTİYAÇ_RAPORU_BURAK_YENI1309[[#This Row],[BIRIM_FIYATLAR]])&lt;1,VALUE("0"),DST_123_ÜRETİM_İHTİYAÇ_RAPORU_BURAK_YENI1309[[#This Row],[SATINALMA]]*DST_123_ÜRETİM_İHTİYAÇ_RAPORU_BURAK_YENI1309[[#This Row],[BIRIM_FIYATLAR]])</f>
        <v>121389.3</v>
      </c>
      <c r="N5805">
        <v>12138.93</v>
      </c>
      <c r="O5805" t="s">
        <v>634</v>
      </c>
      <c r="P5805">
        <v>12138.93</v>
      </c>
      <c r="Q5805" t="s">
        <v>177</v>
      </c>
    </row>
    <row r="5806" spans="1:17" x14ac:dyDescent="0.25">
      <c r="A5806" t="s">
        <v>1057</v>
      </c>
      <c r="B5806" t="s">
        <v>1058</v>
      </c>
      <c r="C5806" t="s">
        <v>175</v>
      </c>
      <c r="D5806" t="s">
        <v>285</v>
      </c>
      <c r="E5806" t="s">
        <v>286</v>
      </c>
      <c r="F5806">
        <v>0.25</v>
      </c>
      <c r="G5806" t="s">
        <v>185</v>
      </c>
      <c r="H5806">
        <v>0.25</v>
      </c>
      <c r="I5806">
        <v>0</v>
      </c>
      <c r="J5806" s="10">
        <v>24.129999999999985</v>
      </c>
      <c r="K5806" s="10">
        <f>SUMIFS(F:F,D:D,DST_123_ÜRETİM_İHTİYAÇ_RAPORU_BURAK_YENI1309[[#This Row],[ALT_KOD]])-(SUMIFS(H:H,D:D,DST_123_ÜRETİM_İHTİYAÇ_RAPORU_BURAK_YENI1309[[#This Row],[ALT_KOD]])+AVERAGEIFS(I:I,D:D,DST_123_ÜRETİM_İHTİYAÇ_RAPORU_BURAK_YENI1309[[#This Row],[ALT_KOD]])+AVERAGEIFS(L:L,D:D,DST_123_ÜRETİM_İHTİYAÇ_RAPORU_BURAK_YENI1309[[#This Row],[ALT_KOD]]))</f>
        <v>4.1899999999999995</v>
      </c>
      <c r="L5806">
        <v>0</v>
      </c>
      <c r="M5806">
        <f>IF((DST_123_ÜRETİM_İHTİYAÇ_RAPORU_BURAK_YENI1309[[#This Row],[SATINALMA]]*DST_123_ÜRETİM_İHTİYAÇ_RAPORU_BURAK_YENI1309[[#This Row],[BIRIM_FIYATLAR]])&lt;1,VALUE("0"),DST_123_ÜRETİM_İHTİYAÇ_RAPORU_BURAK_YENI1309[[#This Row],[SATINALMA]]*DST_123_ÜRETİM_İHTİYAÇ_RAPORU_BURAK_YENI1309[[#This Row],[BIRIM_FIYATLAR]])</f>
        <v>1667.7456999999997</v>
      </c>
      <c r="N5806">
        <v>398.03</v>
      </c>
      <c r="O5806" t="s">
        <v>490</v>
      </c>
      <c r="P5806">
        <v>99.507499999999993</v>
      </c>
      <c r="Q5806" t="s">
        <v>183</v>
      </c>
    </row>
    <row r="5807" spans="1:17" x14ac:dyDescent="0.25">
      <c r="A5807" t="s">
        <v>1060</v>
      </c>
      <c r="B5807" t="s">
        <v>1061</v>
      </c>
      <c r="C5807" t="s">
        <v>175</v>
      </c>
      <c r="D5807" t="s">
        <v>285</v>
      </c>
      <c r="E5807" t="s">
        <v>286</v>
      </c>
      <c r="F5807">
        <v>0.35</v>
      </c>
      <c r="G5807" t="s">
        <v>185</v>
      </c>
      <c r="H5807">
        <v>0.35</v>
      </c>
      <c r="I5807">
        <v>0</v>
      </c>
      <c r="J5807" s="10">
        <v>24.129999999999985</v>
      </c>
      <c r="K5807" s="10">
        <f>SUMIFS(F:F,D:D,DST_123_ÜRETİM_İHTİYAÇ_RAPORU_BURAK_YENI1309[[#This Row],[ALT_KOD]])-(SUMIFS(H:H,D:D,DST_123_ÜRETİM_İHTİYAÇ_RAPORU_BURAK_YENI1309[[#This Row],[ALT_KOD]])+AVERAGEIFS(I:I,D:D,DST_123_ÜRETİM_İHTİYAÇ_RAPORU_BURAK_YENI1309[[#This Row],[ALT_KOD]])+AVERAGEIFS(L:L,D:D,DST_123_ÜRETİM_İHTİYAÇ_RAPORU_BURAK_YENI1309[[#This Row],[ALT_KOD]]))</f>
        <v>4.1899999999999995</v>
      </c>
      <c r="L5807">
        <v>0</v>
      </c>
      <c r="M5807">
        <f>IF((DST_123_ÜRETİM_İHTİYAÇ_RAPORU_BURAK_YENI1309[[#This Row],[SATINALMA]]*DST_123_ÜRETİM_İHTİYAÇ_RAPORU_BURAK_YENI1309[[#This Row],[BIRIM_FIYATLAR]])&lt;1,VALUE("0"),DST_123_ÜRETİM_İHTİYAÇ_RAPORU_BURAK_YENI1309[[#This Row],[SATINALMA]]*DST_123_ÜRETİM_İHTİYAÇ_RAPORU_BURAK_YENI1309[[#This Row],[BIRIM_FIYATLAR]])</f>
        <v>1667.7456999999997</v>
      </c>
      <c r="N5807">
        <v>398.03</v>
      </c>
      <c r="O5807" t="s">
        <v>490</v>
      </c>
      <c r="P5807">
        <v>139.31049999999999</v>
      </c>
      <c r="Q5807" t="s">
        <v>183</v>
      </c>
    </row>
    <row r="5808" spans="1:17" x14ac:dyDescent="0.25">
      <c r="A5808" t="s">
        <v>1057</v>
      </c>
      <c r="B5808" t="s">
        <v>1058</v>
      </c>
      <c r="C5808" t="s">
        <v>175</v>
      </c>
      <c r="D5808" t="s">
        <v>2</v>
      </c>
      <c r="E5808" t="s">
        <v>423</v>
      </c>
      <c r="F5808">
        <v>2</v>
      </c>
      <c r="G5808" t="s">
        <v>176</v>
      </c>
      <c r="H5808">
        <v>2</v>
      </c>
      <c r="I5808">
        <v>20</v>
      </c>
      <c r="J5808" s="10">
        <v>20</v>
      </c>
      <c r="K5808" s="10">
        <f>SUMIFS(F:F,D:D,DST_123_ÜRETİM_İHTİYAÇ_RAPORU_BURAK_YENI1309[[#This Row],[ALT_KOD]])-(SUMIFS(H:H,D:D,DST_123_ÜRETİM_İHTİYAÇ_RAPORU_BURAK_YENI1309[[#This Row],[ALT_KOD]])+AVERAGEIFS(I:I,D:D,DST_123_ÜRETİM_İHTİYAÇ_RAPORU_BURAK_YENI1309[[#This Row],[ALT_KOD]])+AVERAGEIFS(L:L,D:D,DST_123_ÜRETİM_İHTİYAÇ_RAPORU_BURAK_YENI1309[[#This Row],[ALT_KOD]]))</f>
        <v>-6</v>
      </c>
      <c r="L5808">
        <v>10</v>
      </c>
      <c r="M5808">
        <f>IF((DST_123_ÜRETİM_İHTİYAÇ_RAPORU_BURAK_YENI1309[[#This Row],[SATINALMA]]*DST_123_ÜRETİM_İHTİYAÇ_RAPORU_BURAK_YENI1309[[#This Row],[BIRIM_FIYATLAR]])&lt;1,VALUE("0"),DST_123_ÜRETİM_İHTİYAÇ_RAPORU_BURAK_YENI1309[[#This Row],[SATINALMA]]*DST_123_ÜRETİM_İHTİYAÇ_RAPORU_BURAK_YENI1309[[#This Row],[BIRIM_FIYATLAR]])</f>
        <v>0</v>
      </c>
      <c r="N5808">
        <v>400</v>
      </c>
      <c r="O5808" t="s">
        <v>217</v>
      </c>
      <c r="P5808">
        <v>800</v>
      </c>
      <c r="Q5808" t="s">
        <v>221</v>
      </c>
    </row>
    <row r="5809" spans="1:17" x14ac:dyDescent="0.25">
      <c r="A5809" t="s">
        <v>1097</v>
      </c>
      <c r="B5809" t="s">
        <v>1055</v>
      </c>
      <c r="C5809" t="s">
        <v>175</v>
      </c>
      <c r="D5809" t="s">
        <v>133</v>
      </c>
      <c r="E5809" t="s">
        <v>310</v>
      </c>
      <c r="F5809">
        <v>1</v>
      </c>
      <c r="G5809" t="s">
        <v>176</v>
      </c>
      <c r="H5809">
        <v>1</v>
      </c>
      <c r="I5809">
        <v>15</v>
      </c>
      <c r="J5809" s="10">
        <v>9</v>
      </c>
      <c r="K5809" s="10">
        <f>SUMIFS(F:F,D:D,DST_123_ÜRETİM_İHTİYAÇ_RAPORU_BURAK_YENI1309[[#This Row],[ALT_KOD]])-(SUMIFS(H:H,D:D,DST_123_ÜRETİM_İHTİYAÇ_RAPORU_BURAK_YENI1309[[#This Row],[ALT_KOD]])+AVERAGEIFS(I:I,D:D,DST_123_ÜRETİM_İHTİYAÇ_RAPORU_BURAK_YENI1309[[#This Row],[ALT_KOD]])+AVERAGEIFS(L:L,D:D,DST_123_ÜRETİM_İHTİYAÇ_RAPORU_BURAK_YENI1309[[#This Row],[ALT_KOD]]))</f>
        <v>-3</v>
      </c>
      <c r="L5809">
        <v>0</v>
      </c>
      <c r="M5809">
        <f>IF((DST_123_ÜRETİM_İHTİYAÇ_RAPORU_BURAK_YENI1309[[#This Row],[SATINALMA]]*DST_123_ÜRETİM_İHTİYAÇ_RAPORU_BURAK_YENI1309[[#This Row],[BIRIM_FIYATLAR]])&lt;1,VALUE("0"),DST_123_ÜRETİM_İHTİYAÇ_RAPORU_BURAK_YENI1309[[#This Row],[SATINALMA]]*DST_123_ÜRETİM_İHTİYAÇ_RAPORU_BURAK_YENI1309[[#This Row],[BIRIM_FIYATLAR]])</f>
        <v>0</v>
      </c>
      <c r="N5809">
        <v>224.46</v>
      </c>
      <c r="O5809" t="s">
        <v>826</v>
      </c>
      <c r="P5809">
        <v>224.46</v>
      </c>
      <c r="Q5809" t="s">
        <v>221</v>
      </c>
    </row>
    <row r="5810" spans="1:17" x14ac:dyDescent="0.25">
      <c r="A5810" t="s">
        <v>1101</v>
      </c>
      <c r="B5810" t="s">
        <v>1102</v>
      </c>
      <c r="C5810" t="s">
        <v>175</v>
      </c>
      <c r="D5810" t="s">
        <v>201</v>
      </c>
      <c r="E5810" t="s">
        <v>225</v>
      </c>
      <c r="F5810">
        <v>5</v>
      </c>
      <c r="G5810" t="s">
        <v>176</v>
      </c>
      <c r="H5810">
        <v>5</v>
      </c>
      <c r="I5810">
        <v>65</v>
      </c>
      <c r="J5810" s="10">
        <v>31</v>
      </c>
      <c r="K5810" s="10">
        <f>SUMIFS(F:F,D:D,DST_123_ÜRETİM_İHTİYAÇ_RAPORU_BURAK_YENI1309[[#This Row],[ALT_KOD]])-(SUMIFS(H:H,D:D,DST_123_ÜRETİM_İHTİYAÇ_RAPORU_BURAK_YENI1309[[#This Row],[ALT_KOD]])+AVERAGEIFS(I:I,D:D,DST_123_ÜRETİM_İHTİYAÇ_RAPORU_BURAK_YENI1309[[#This Row],[ALT_KOD]])+AVERAGEIFS(L:L,D:D,DST_123_ÜRETİM_İHTİYAÇ_RAPORU_BURAK_YENI1309[[#This Row],[ALT_KOD]]))</f>
        <v>-31</v>
      </c>
      <c r="L5810">
        <v>0</v>
      </c>
      <c r="M5810">
        <f>IF((DST_123_ÜRETİM_İHTİYAÇ_RAPORU_BURAK_YENI1309[[#This Row],[SATINALMA]]*DST_123_ÜRETİM_İHTİYAÇ_RAPORU_BURAK_YENI1309[[#This Row],[BIRIM_FIYATLAR]])&lt;1,VALUE("0"),DST_123_ÜRETİM_İHTİYAÇ_RAPORU_BURAK_YENI1309[[#This Row],[SATINALMA]]*DST_123_ÜRETİM_İHTİYAÇ_RAPORU_BURAK_YENI1309[[#This Row],[BIRIM_FIYATLAR]])</f>
        <v>0</v>
      </c>
      <c r="N5810">
        <v>45.5</v>
      </c>
      <c r="O5810" t="s">
        <v>504</v>
      </c>
      <c r="P5810">
        <v>227.5</v>
      </c>
      <c r="Q5810" t="s">
        <v>221</v>
      </c>
    </row>
    <row r="5811" spans="1:17" x14ac:dyDescent="0.25">
      <c r="A5811" t="s">
        <v>1100</v>
      </c>
      <c r="B5811" t="s">
        <v>1058</v>
      </c>
      <c r="C5811" t="s">
        <v>175</v>
      </c>
      <c r="D5811" t="s">
        <v>2</v>
      </c>
      <c r="E5811" t="s">
        <v>423</v>
      </c>
      <c r="F5811">
        <v>2</v>
      </c>
      <c r="G5811" t="s">
        <v>176</v>
      </c>
      <c r="H5811">
        <v>2</v>
      </c>
      <c r="I5811">
        <v>20</v>
      </c>
      <c r="J5811" s="10">
        <v>20</v>
      </c>
      <c r="K5811" s="10">
        <f>SUMIFS(F:F,D:D,DST_123_ÜRETİM_İHTİYAÇ_RAPORU_BURAK_YENI1309[[#This Row],[ALT_KOD]])-(SUMIFS(H:H,D:D,DST_123_ÜRETİM_İHTİYAÇ_RAPORU_BURAK_YENI1309[[#This Row],[ALT_KOD]])+AVERAGEIFS(I:I,D:D,DST_123_ÜRETİM_İHTİYAÇ_RAPORU_BURAK_YENI1309[[#This Row],[ALT_KOD]])+AVERAGEIFS(L:L,D:D,DST_123_ÜRETİM_İHTİYAÇ_RAPORU_BURAK_YENI1309[[#This Row],[ALT_KOD]]))</f>
        <v>-6</v>
      </c>
      <c r="L5811">
        <v>10</v>
      </c>
      <c r="M5811">
        <f>IF((DST_123_ÜRETİM_İHTİYAÇ_RAPORU_BURAK_YENI1309[[#This Row],[SATINALMA]]*DST_123_ÜRETİM_İHTİYAÇ_RAPORU_BURAK_YENI1309[[#This Row],[BIRIM_FIYATLAR]])&lt;1,VALUE("0"),DST_123_ÜRETİM_İHTİYAÇ_RAPORU_BURAK_YENI1309[[#This Row],[SATINALMA]]*DST_123_ÜRETİM_İHTİYAÇ_RAPORU_BURAK_YENI1309[[#This Row],[BIRIM_FIYATLAR]])</f>
        <v>0</v>
      </c>
      <c r="N5811">
        <v>400</v>
      </c>
      <c r="O5811" t="s">
        <v>217</v>
      </c>
      <c r="P5811">
        <v>800</v>
      </c>
      <c r="Q5811" t="s">
        <v>221</v>
      </c>
    </row>
    <row r="5812" spans="1:17" x14ac:dyDescent="0.25">
      <c r="A5812" t="s">
        <v>1059</v>
      </c>
      <c r="B5812" t="s">
        <v>1058</v>
      </c>
      <c r="C5812" t="s">
        <v>175</v>
      </c>
      <c r="D5812" t="s">
        <v>236</v>
      </c>
      <c r="E5812" t="s">
        <v>305</v>
      </c>
      <c r="F5812">
        <v>2</v>
      </c>
      <c r="G5812" t="s">
        <v>176</v>
      </c>
      <c r="H5812">
        <v>2</v>
      </c>
      <c r="I5812">
        <v>452</v>
      </c>
      <c r="J5812" s="10">
        <v>25</v>
      </c>
      <c r="K5812" s="10">
        <f>SUMIFS(F:F,D:D,DST_123_ÜRETİM_İHTİYAÇ_RAPORU_BURAK_YENI1309[[#This Row],[ALT_KOD]])-(SUMIFS(H:H,D:D,DST_123_ÜRETİM_İHTİYAÇ_RAPORU_BURAK_YENI1309[[#This Row],[ALT_KOD]])+AVERAGEIFS(I:I,D:D,DST_123_ÜRETİM_İHTİYAÇ_RAPORU_BURAK_YENI1309[[#This Row],[ALT_KOD]])+AVERAGEIFS(L:L,D:D,DST_123_ÜRETİM_İHTİYAÇ_RAPORU_BURAK_YENI1309[[#This Row],[ALT_KOD]]))</f>
        <v>-428</v>
      </c>
      <c r="L5812">
        <v>0</v>
      </c>
      <c r="M5812">
        <f>IF((DST_123_ÜRETİM_İHTİYAÇ_RAPORU_BURAK_YENI1309[[#This Row],[SATINALMA]]*DST_123_ÜRETİM_İHTİYAÇ_RAPORU_BURAK_YENI1309[[#This Row],[BIRIM_FIYATLAR]])&lt;1,VALUE("0"),DST_123_ÜRETİM_İHTİYAÇ_RAPORU_BURAK_YENI1309[[#This Row],[SATINALMA]]*DST_123_ÜRETİM_İHTİYAÇ_RAPORU_BURAK_YENI1309[[#This Row],[BIRIM_FIYATLAR]])</f>
        <v>0</v>
      </c>
      <c r="N5812">
        <v>20</v>
      </c>
      <c r="P5812">
        <v>40</v>
      </c>
      <c r="Q5812" t="s">
        <v>221</v>
      </c>
    </row>
    <row r="5813" spans="1:17" x14ac:dyDescent="0.25">
      <c r="A5813" t="s">
        <v>1101</v>
      </c>
      <c r="B5813" t="s">
        <v>1102</v>
      </c>
      <c r="C5813" t="s">
        <v>175</v>
      </c>
      <c r="D5813" t="s">
        <v>236</v>
      </c>
      <c r="E5813" t="s">
        <v>305</v>
      </c>
      <c r="F5813">
        <v>2</v>
      </c>
      <c r="G5813" t="s">
        <v>176</v>
      </c>
      <c r="H5813">
        <v>2</v>
      </c>
      <c r="I5813">
        <v>452</v>
      </c>
      <c r="J5813" s="10">
        <v>25</v>
      </c>
      <c r="K5813" s="10">
        <f>SUMIFS(F:F,D:D,DST_123_ÜRETİM_İHTİYAÇ_RAPORU_BURAK_YENI1309[[#This Row],[ALT_KOD]])-(SUMIFS(H:H,D:D,DST_123_ÜRETİM_İHTİYAÇ_RAPORU_BURAK_YENI1309[[#This Row],[ALT_KOD]])+AVERAGEIFS(I:I,D:D,DST_123_ÜRETİM_İHTİYAÇ_RAPORU_BURAK_YENI1309[[#This Row],[ALT_KOD]])+AVERAGEIFS(L:L,D:D,DST_123_ÜRETİM_İHTİYAÇ_RAPORU_BURAK_YENI1309[[#This Row],[ALT_KOD]]))</f>
        <v>-428</v>
      </c>
      <c r="L5813">
        <v>0</v>
      </c>
      <c r="M5813">
        <f>IF((DST_123_ÜRETİM_İHTİYAÇ_RAPORU_BURAK_YENI1309[[#This Row],[SATINALMA]]*DST_123_ÜRETİM_İHTİYAÇ_RAPORU_BURAK_YENI1309[[#This Row],[BIRIM_FIYATLAR]])&lt;1,VALUE("0"),DST_123_ÜRETİM_İHTİYAÇ_RAPORU_BURAK_YENI1309[[#This Row],[SATINALMA]]*DST_123_ÜRETİM_İHTİYAÇ_RAPORU_BURAK_YENI1309[[#This Row],[BIRIM_FIYATLAR]])</f>
        <v>0</v>
      </c>
      <c r="N5813">
        <v>20</v>
      </c>
      <c r="P5813">
        <v>40</v>
      </c>
      <c r="Q5813" t="s">
        <v>221</v>
      </c>
    </row>
    <row r="5814" spans="1:17" x14ac:dyDescent="0.25">
      <c r="A5814" t="s">
        <v>1101</v>
      </c>
      <c r="B5814" t="s">
        <v>1102</v>
      </c>
      <c r="C5814" t="s">
        <v>175</v>
      </c>
      <c r="D5814" t="s">
        <v>133</v>
      </c>
      <c r="E5814" t="s">
        <v>310</v>
      </c>
      <c r="F5814">
        <v>1</v>
      </c>
      <c r="G5814" t="s">
        <v>176</v>
      </c>
      <c r="H5814">
        <v>1</v>
      </c>
      <c r="I5814">
        <v>15</v>
      </c>
      <c r="J5814" s="10">
        <v>9</v>
      </c>
      <c r="K5814" s="10">
        <f>SUMIFS(F:F,D:D,DST_123_ÜRETİM_İHTİYAÇ_RAPORU_BURAK_YENI1309[[#This Row],[ALT_KOD]])-(SUMIFS(H:H,D:D,DST_123_ÜRETİM_İHTİYAÇ_RAPORU_BURAK_YENI1309[[#This Row],[ALT_KOD]])+AVERAGEIFS(I:I,D:D,DST_123_ÜRETİM_İHTİYAÇ_RAPORU_BURAK_YENI1309[[#This Row],[ALT_KOD]])+AVERAGEIFS(L:L,D:D,DST_123_ÜRETİM_İHTİYAÇ_RAPORU_BURAK_YENI1309[[#This Row],[ALT_KOD]]))</f>
        <v>-3</v>
      </c>
      <c r="L5814">
        <v>0</v>
      </c>
      <c r="M5814">
        <f>IF((DST_123_ÜRETİM_İHTİYAÇ_RAPORU_BURAK_YENI1309[[#This Row],[SATINALMA]]*DST_123_ÜRETİM_İHTİYAÇ_RAPORU_BURAK_YENI1309[[#This Row],[BIRIM_FIYATLAR]])&lt;1,VALUE("0"),DST_123_ÜRETİM_İHTİYAÇ_RAPORU_BURAK_YENI1309[[#This Row],[SATINALMA]]*DST_123_ÜRETİM_İHTİYAÇ_RAPORU_BURAK_YENI1309[[#This Row],[BIRIM_FIYATLAR]])</f>
        <v>0</v>
      </c>
      <c r="N5814">
        <v>224.46</v>
      </c>
      <c r="O5814" t="s">
        <v>826</v>
      </c>
      <c r="P5814">
        <v>224.46</v>
      </c>
      <c r="Q5814" t="s">
        <v>221</v>
      </c>
    </row>
    <row r="5815" spans="1:17" x14ac:dyDescent="0.25">
      <c r="A5815" t="s">
        <v>1059</v>
      </c>
      <c r="B5815" t="s">
        <v>1058</v>
      </c>
      <c r="C5815" t="s">
        <v>175</v>
      </c>
      <c r="D5815" t="s">
        <v>128</v>
      </c>
      <c r="E5815" t="s">
        <v>129</v>
      </c>
      <c r="F5815">
        <v>6</v>
      </c>
      <c r="G5815" t="s">
        <v>185</v>
      </c>
      <c r="H5815">
        <v>6</v>
      </c>
      <c r="I5815">
        <v>0</v>
      </c>
      <c r="J5815" s="10">
        <v>260.61</v>
      </c>
      <c r="K5815" s="10">
        <f>SUMIFS(F:F,D:D,DST_123_ÜRETİM_İHTİYAÇ_RAPORU_BURAK_YENI1309[[#This Row],[ALT_KOD]])-(SUMIFS(H:H,D:D,DST_123_ÜRETİM_İHTİYAÇ_RAPORU_BURAK_YENI1309[[#This Row],[ALT_KOD]])+AVERAGEIFS(I:I,D:D,DST_123_ÜRETİM_İHTİYAÇ_RAPORU_BURAK_YENI1309[[#This Row],[ALT_KOD]])+AVERAGEIFS(L:L,D:D,DST_123_ÜRETİM_İHTİYAÇ_RAPORU_BURAK_YENI1309[[#This Row],[ALT_KOD]]))</f>
        <v>97.559999999999988</v>
      </c>
      <c r="L5815">
        <v>0</v>
      </c>
      <c r="M5815">
        <f>IF((DST_123_ÜRETİM_İHTİYAÇ_RAPORU_BURAK_YENI1309[[#This Row],[SATINALMA]]*DST_123_ÜRETİM_İHTİYAÇ_RAPORU_BURAK_YENI1309[[#This Row],[BIRIM_FIYATLAR]])&lt;1,VALUE("0"),DST_123_ÜRETİM_İHTİYAÇ_RAPORU_BURAK_YENI1309[[#This Row],[SATINALMA]]*DST_123_ÜRETİM_İHTİYAÇ_RAPORU_BURAK_YENI1309[[#This Row],[BIRIM_FIYATLAR]])</f>
        <v>13285.720799999999</v>
      </c>
      <c r="N5815">
        <v>136.18</v>
      </c>
      <c r="O5815" t="s">
        <v>252</v>
      </c>
      <c r="P5815">
        <v>817.08</v>
      </c>
      <c r="Q5815" t="s">
        <v>183</v>
      </c>
    </row>
    <row r="5816" spans="1:17" x14ac:dyDescent="0.25">
      <c r="A5816" t="s">
        <v>1146</v>
      </c>
      <c r="B5816" t="s">
        <v>1145</v>
      </c>
      <c r="C5816" t="s">
        <v>175</v>
      </c>
      <c r="D5816" t="s">
        <v>128</v>
      </c>
      <c r="E5816" t="s">
        <v>129</v>
      </c>
      <c r="F5816">
        <v>7</v>
      </c>
      <c r="G5816" t="s">
        <v>185</v>
      </c>
      <c r="H5816">
        <v>7</v>
      </c>
      <c r="I5816">
        <v>0</v>
      </c>
      <c r="J5816" s="10">
        <v>260.61</v>
      </c>
      <c r="K5816" s="10">
        <f>SUMIFS(F:F,D:D,DST_123_ÜRETİM_İHTİYAÇ_RAPORU_BURAK_YENI1309[[#This Row],[ALT_KOD]])-(SUMIFS(H:H,D:D,DST_123_ÜRETİM_İHTİYAÇ_RAPORU_BURAK_YENI1309[[#This Row],[ALT_KOD]])+AVERAGEIFS(I:I,D:D,DST_123_ÜRETİM_İHTİYAÇ_RAPORU_BURAK_YENI1309[[#This Row],[ALT_KOD]])+AVERAGEIFS(L:L,D:D,DST_123_ÜRETİM_İHTİYAÇ_RAPORU_BURAK_YENI1309[[#This Row],[ALT_KOD]]))</f>
        <v>97.559999999999988</v>
      </c>
      <c r="L5816">
        <v>0</v>
      </c>
      <c r="M5816">
        <f>IF((DST_123_ÜRETİM_İHTİYAÇ_RAPORU_BURAK_YENI1309[[#This Row],[SATINALMA]]*DST_123_ÜRETİM_İHTİYAÇ_RAPORU_BURAK_YENI1309[[#This Row],[BIRIM_FIYATLAR]])&lt;1,VALUE("0"),DST_123_ÜRETİM_İHTİYAÇ_RAPORU_BURAK_YENI1309[[#This Row],[SATINALMA]]*DST_123_ÜRETİM_İHTİYAÇ_RAPORU_BURAK_YENI1309[[#This Row],[BIRIM_FIYATLAR]])</f>
        <v>13285.720799999999</v>
      </c>
      <c r="N5816">
        <v>136.18</v>
      </c>
      <c r="O5816" t="s">
        <v>252</v>
      </c>
      <c r="P5816">
        <v>953.26</v>
      </c>
      <c r="Q5816" t="s">
        <v>183</v>
      </c>
    </row>
    <row r="5817" spans="1:17" x14ac:dyDescent="0.25">
      <c r="A5817" t="s">
        <v>1100</v>
      </c>
      <c r="B5817" t="s">
        <v>1058</v>
      </c>
      <c r="C5817" t="s">
        <v>175</v>
      </c>
      <c r="D5817" t="s">
        <v>986</v>
      </c>
      <c r="E5817" t="s">
        <v>987</v>
      </c>
      <c r="F5817">
        <v>2</v>
      </c>
      <c r="G5817" t="s">
        <v>185</v>
      </c>
      <c r="H5817">
        <v>2</v>
      </c>
      <c r="I5817">
        <v>139</v>
      </c>
      <c r="J5817" s="10">
        <v>45.499999999999943</v>
      </c>
      <c r="K5817" s="10">
        <f>SUMIFS(F:F,D:D,DST_123_ÜRETİM_İHTİYAÇ_RAPORU_BURAK_YENI1309[[#This Row],[ALT_KOD]])-(SUMIFS(H:H,D:D,DST_123_ÜRETİM_İHTİYAÇ_RAPORU_BURAK_YENI1309[[#This Row],[ALT_KOD]])+AVERAGEIFS(I:I,D:D,DST_123_ÜRETİM_İHTİYAÇ_RAPORU_BURAK_YENI1309[[#This Row],[ALT_KOD]])+AVERAGEIFS(L:L,D:D,DST_123_ÜRETİM_İHTİYAÇ_RAPORU_BURAK_YENI1309[[#This Row],[ALT_KOD]]))</f>
        <v>-124</v>
      </c>
      <c r="L5817">
        <v>0</v>
      </c>
      <c r="M5817">
        <f>IF((DST_123_ÜRETİM_İHTİYAÇ_RAPORU_BURAK_YENI1309[[#This Row],[SATINALMA]]*DST_123_ÜRETİM_İHTİYAÇ_RAPORU_BURAK_YENI1309[[#This Row],[BIRIM_FIYATLAR]])&lt;1,VALUE("0"),DST_123_ÜRETİM_İHTİYAÇ_RAPORU_BURAK_YENI1309[[#This Row],[SATINALMA]]*DST_123_ÜRETİM_İHTİYAÇ_RAPORU_BURAK_YENI1309[[#This Row],[BIRIM_FIYATLAR]])</f>
        <v>0</v>
      </c>
      <c r="N5817">
        <v>233.95</v>
      </c>
      <c r="O5817" t="s">
        <v>490</v>
      </c>
      <c r="P5817">
        <v>467.9</v>
      </c>
      <c r="Q5817" t="s">
        <v>183</v>
      </c>
    </row>
    <row r="5818" spans="1:17" x14ac:dyDescent="0.25">
      <c r="A5818" t="s">
        <v>1064</v>
      </c>
      <c r="B5818" t="s">
        <v>1055</v>
      </c>
      <c r="C5818" t="s">
        <v>175</v>
      </c>
      <c r="D5818" t="s">
        <v>236</v>
      </c>
      <c r="E5818" t="s">
        <v>305</v>
      </c>
      <c r="F5818">
        <v>2</v>
      </c>
      <c r="G5818" t="s">
        <v>176</v>
      </c>
      <c r="H5818">
        <v>2</v>
      </c>
      <c r="I5818">
        <v>452</v>
      </c>
      <c r="J5818" s="10">
        <v>25</v>
      </c>
      <c r="K5818" s="10">
        <f>SUMIFS(F:F,D:D,DST_123_ÜRETİM_İHTİYAÇ_RAPORU_BURAK_YENI1309[[#This Row],[ALT_KOD]])-(SUMIFS(H:H,D:D,DST_123_ÜRETİM_İHTİYAÇ_RAPORU_BURAK_YENI1309[[#This Row],[ALT_KOD]])+AVERAGEIFS(I:I,D:D,DST_123_ÜRETİM_İHTİYAÇ_RAPORU_BURAK_YENI1309[[#This Row],[ALT_KOD]])+AVERAGEIFS(L:L,D:D,DST_123_ÜRETİM_İHTİYAÇ_RAPORU_BURAK_YENI1309[[#This Row],[ALT_KOD]]))</f>
        <v>-428</v>
      </c>
      <c r="L5818">
        <v>0</v>
      </c>
      <c r="M5818">
        <f>IF((DST_123_ÜRETİM_İHTİYAÇ_RAPORU_BURAK_YENI1309[[#This Row],[SATINALMA]]*DST_123_ÜRETİM_İHTİYAÇ_RAPORU_BURAK_YENI1309[[#This Row],[BIRIM_FIYATLAR]])&lt;1,VALUE("0"),DST_123_ÜRETİM_İHTİYAÇ_RAPORU_BURAK_YENI1309[[#This Row],[SATINALMA]]*DST_123_ÜRETİM_İHTİYAÇ_RAPORU_BURAK_YENI1309[[#This Row],[BIRIM_FIYATLAR]])</f>
        <v>0</v>
      </c>
      <c r="N5818">
        <v>20</v>
      </c>
      <c r="P5818">
        <v>40</v>
      </c>
      <c r="Q5818" t="s">
        <v>221</v>
      </c>
    </row>
    <row r="5819" spans="1:17" x14ac:dyDescent="0.25">
      <c r="A5819" t="s">
        <v>1059</v>
      </c>
      <c r="B5819" t="s">
        <v>1058</v>
      </c>
      <c r="C5819" t="s">
        <v>175</v>
      </c>
      <c r="D5819" t="s">
        <v>133</v>
      </c>
      <c r="E5819" t="s">
        <v>310</v>
      </c>
      <c r="F5819">
        <v>1</v>
      </c>
      <c r="G5819" t="s">
        <v>176</v>
      </c>
      <c r="H5819">
        <v>1</v>
      </c>
      <c r="I5819">
        <v>15</v>
      </c>
      <c r="J5819" s="10">
        <v>9</v>
      </c>
      <c r="K5819" s="10">
        <f>SUMIFS(F:F,D:D,DST_123_ÜRETİM_İHTİYAÇ_RAPORU_BURAK_YENI1309[[#This Row],[ALT_KOD]])-(SUMIFS(H:H,D:D,DST_123_ÜRETİM_İHTİYAÇ_RAPORU_BURAK_YENI1309[[#This Row],[ALT_KOD]])+AVERAGEIFS(I:I,D:D,DST_123_ÜRETİM_İHTİYAÇ_RAPORU_BURAK_YENI1309[[#This Row],[ALT_KOD]])+AVERAGEIFS(L:L,D:D,DST_123_ÜRETİM_İHTİYAÇ_RAPORU_BURAK_YENI1309[[#This Row],[ALT_KOD]]))</f>
        <v>-3</v>
      </c>
      <c r="L5819">
        <v>0</v>
      </c>
      <c r="M5819">
        <f>IF((DST_123_ÜRETİM_İHTİYAÇ_RAPORU_BURAK_YENI1309[[#This Row],[SATINALMA]]*DST_123_ÜRETİM_İHTİYAÇ_RAPORU_BURAK_YENI1309[[#This Row],[BIRIM_FIYATLAR]])&lt;1,VALUE("0"),DST_123_ÜRETİM_İHTİYAÇ_RAPORU_BURAK_YENI1309[[#This Row],[SATINALMA]]*DST_123_ÜRETİM_İHTİYAÇ_RAPORU_BURAK_YENI1309[[#This Row],[BIRIM_FIYATLAR]])</f>
        <v>0</v>
      </c>
      <c r="N5819">
        <v>224.46</v>
      </c>
      <c r="O5819" t="s">
        <v>826</v>
      </c>
      <c r="P5819">
        <v>224.46</v>
      </c>
      <c r="Q5819" t="s">
        <v>221</v>
      </c>
    </row>
    <row r="5820" spans="1:17" x14ac:dyDescent="0.25">
      <c r="A5820" t="s">
        <v>1064</v>
      </c>
      <c r="B5820" t="s">
        <v>1055</v>
      </c>
      <c r="C5820" t="s">
        <v>175</v>
      </c>
      <c r="D5820" t="s">
        <v>133</v>
      </c>
      <c r="E5820" t="s">
        <v>310</v>
      </c>
      <c r="F5820">
        <v>1</v>
      </c>
      <c r="G5820" t="s">
        <v>176</v>
      </c>
      <c r="H5820">
        <v>1</v>
      </c>
      <c r="I5820">
        <v>15</v>
      </c>
      <c r="J5820" s="10">
        <v>9</v>
      </c>
      <c r="K5820" s="10">
        <f>SUMIFS(F:F,D:D,DST_123_ÜRETİM_İHTİYAÇ_RAPORU_BURAK_YENI1309[[#This Row],[ALT_KOD]])-(SUMIFS(H:H,D:D,DST_123_ÜRETİM_İHTİYAÇ_RAPORU_BURAK_YENI1309[[#This Row],[ALT_KOD]])+AVERAGEIFS(I:I,D:D,DST_123_ÜRETİM_İHTİYAÇ_RAPORU_BURAK_YENI1309[[#This Row],[ALT_KOD]])+AVERAGEIFS(L:L,D:D,DST_123_ÜRETİM_İHTİYAÇ_RAPORU_BURAK_YENI1309[[#This Row],[ALT_KOD]]))</f>
        <v>-3</v>
      </c>
      <c r="L5820">
        <v>0</v>
      </c>
      <c r="M5820">
        <f>IF((DST_123_ÜRETİM_İHTİYAÇ_RAPORU_BURAK_YENI1309[[#This Row],[SATINALMA]]*DST_123_ÜRETİM_İHTİYAÇ_RAPORU_BURAK_YENI1309[[#This Row],[BIRIM_FIYATLAR]])&lt;1,VALUE("0"),DST_123_ÜRETİM_İHTİYAÇ_RAPORU_BURAK_YENI1309[[#This Row],[SATINALMA]]*DST_123_ÜRETİM_İHTİYAÇ_RAPORU_BURAK_YENI1309[[#This Row],[BIRIM_FIYATLAR]])</f>
        <v>0</v>
      </c>
      <c r="N5820">
        <v>224.46</v>
      </c>
      <c r="O5820" t="s">
        <v>826</v>
      </c>
      <c r="P5820">
        <v>224.46</v>
      </c>
      <c r="Q5820" t="s">
        <v>221</v>
      </c>
    </row>
    <row r="5821" spans="1:17" x14ac:dyDescent="0.25">
      <c r="A5821" t="s">
        <v>1099</v>
      </c>
      <c r="B5821" t="s">
        <v>1055</v>
      </c>
      <c r="C5821" t="s">
        <v>175</v>
      </c>
      <c r="D5821" t="s">
        <v>201</v>
      </c>
      <c r="E5821" t="s">
        <v>225</v>
      </c>
      <c r="F5821">
        <v>4</v>
      </c>
      <c r="G5821" t="s">
        <v>176</v>
      </c>
      <c r="H5821">
        <v>4</v>
      </c>
      <c r="I5821">
        <v>65</v>
      </c>
      <c r="J5821" s="10">
        <v>31</v>
      </c>
      <c r="K5821" s="10">
        <f>SUMIFS(F:F,D:D,DST_123_ÜRETİM_İHTİYAÇ_RAPORU_BURAK_YENI1309[[#This Row],[ALT_KOD]])-(SUMIFS(H:H,D:D,DST_123_ÜRETİM_İHTİYAÇ_RAPORU_BURAK_YENI1309[[#This Row],[ALT_KOD]])+AVERAGEIFS(I:I,D:D,DST_123_ÜRETİM_İHTİYAÇ_RAPORU_BURAK_YENI1309[[#This Row],[ALT_KOD]])+AVERAGEIFS(L:L,D:D,DST_123_ÜRETİM_İHTİYAÇ_RAPORU_BURAK_YENI1309[[#This Row],[ALT_KOD]]))</f>
        <v>-31</v>
      </c>
      <c r="L5821">
        <v>0</v>
      </c>
      <c r="M5821">
        <f>IF((DST_123_ÜRETİM_İHTİYAÇ_RAPORU_BURAK_YENI1309[[#This Row],[SATINALMA]]*DST_123_ÜRETİM_İHTİYAÇ_RAPORU_BURAK_YENI1309[[#This Row],[BIRIM_FIYATLAR]])&lt;1,VALUE("0"),DST_123_ÜRETİM_İHTİYAÇ_RAPORU_BURAK_YENI1309[[#This Row],[SATINALMA]]*DST_123_ÜRETİM_İHTİYAÇ_RAPORU_BURAK_YENI1309[[#This Row],[BIRIM_FIYATLAR]])</f>
        <v>0</v>
      </c>
      <c r="N5821">
        <v>45.5</v>
      </c>
      <c r="O5821" t="s">
        <v>504</v>
      </c>
      <c r="P5821">
        <v>182</v>
      </c>
      <c r="Q5821" t="s">
        <v>221</v>
      </c>
    </row>
    <row r="5822" spans="1:17" x14ac:dyDescent="0.25">
      <c r="A5822" t="s">
        <v>1064</v>
      </c>
      <c r="B5822" t="s">
        <v>1055</v>
      </c>
      <c r="C5822" t="s">
        <v>175</v>
      </c>
      <c r="D5822" t="s">
        <v>201</v>
      </c>
      <c r="E5822" t="s">
        <v>225</v>
      </c>
      <c r="F5822">
        <v>5</v>
      </c>
      <c r="G5822" t="s">
        <v>176</v>
      </c>
      <c r="H5822">
        <v>5</v>
      </c>
      <c r="I5822">
        <v>65</v>
      </c>
      <c r="J5822" s="10">
        <v>31</v>
      </c>
      <c r="K5822" s="10">
        <f>SUMIFS(F:F,D:D,DST_123_ÜRETİM_İHTİYAÇ_RAPORU_BURAK_YENI1309[[#This Row],[ALT_KOD]])-(SUMIFS(H:H,D:D,DST_123_ÜRETİM_İHTİYAÇ_RAPORU_BURAK_YENI1309[[#This Row],[ALT_KOD]])+AVERAGEIFS(I:I,D:D,DST_123_ÜRETİM_İHTİYAÇ_RAPORU_BURAK_YENI1309[[#This Row],[ALT_KOD]])+AVERAGEIFS(L:L,D:D,DST_123_ÜRETİM_İHTİYAÇ_RAPORU_BURAK_YENI1309[[#This Row],[ALT_KOD]]))</f>
        <v>-31</v>
      </c>
      <c r="L5822">
        <v>0</v>
      </c>
      <c r="M5822">
        <f>IF((DST_123_ÜRETİM_İHTİYAÇ_RAPORU_BURAK_YENI1309[[#This Row],[SATINALMA]]*DST_123_ÜRETİM_İHTİYAÇ_RAPORU_BURAK_YENI1309[[#This Row],[BIRIM_FIYATLAR]])&lt;1,VALUE("0"),DST_123_ÜRETİM_İHTİYAÇ_RAPORU_BURAK_YENI1309[[#This Row],[SATINALMA]]*DST_123_ÜRETİM_İHTİYAÇ_RAPORU_BURAK_YENI1309[[#This Row],[BIRIM_FIYATLAR]])</f>
        <v>0</v>
      </c>
      <c r="N5822">
        <v>45.5</v>
      </c>
      <c r="O5822" t="s">
        <v>504</v>
      </c>
      <c r="P5822">
        <v>227.5</v>
      </c>
      <c r="Q5822" t="s">
        <v>221</v>
      </c>
    </row>
    <row r="5823" spans="1:17" x14ac:dyDescent="0.25">
      <c r="A5823" t="s">
        <v>1196</v>
      </c>
      <c r="B5823" t="s">
        <v>1197</v>
      </c>
      <c r="C5823" t="s">
        <v>175</v>
      </c>
      <c r="D5823" t="s">
        <v>347</v>
      </c>
      <c r="E5823" t="s">
        <v>348</v>
      </c>
      <c r="F5823">
        <v>0.1</v>
      </c>
      <c r="G5823" t="s">
        <v>176</v>
      </c>
      <c r="H5823">
        <v>0</v>
      </c>
      <c r="I5823">
        <v>2</v>
      </c>
      <c r="J5823" s="10">
        <v>-6.3837823915946501E-16</v>
      </c>
      <c r="K5823" s="10">
        <f>SUMIFS(F:F,D:D,DST_123_ÜRETİM_İHTİYAÇ_RAPORU_BURAK_YENI1309[[#This Row],[ALT_KOD]])-(SUMIFS(H:H,D:D,DST_123_ÜRETİM_İHTİYAÇ_RAPORU_BURAK_YENI1309[[#This Row],[ALT_KOD]])+AVERAGEIFS(I:I,D:D,DST_123_ÜRETİM_İHTİYAÇ_RAPORU_BURAK_YENI1309[[#This Row],[ALT_KOD]])+AVERAGEIFS(L:L,D:D,DST_123_ÜRETİM_İHTİYAÇ_RAPORU_BURAK_YENI1309[[#This Row],[ALT_KOD]]))</f>
        <v>1.4000000000000004</v>
      </c>
      <c r="L5823">
        <v>0</v>
      </c>
      <c r="M5823">
        <f>IF((DST_123_ÜRETİM_İHTİYAÇ_RAPORU_BURAK_YENI1309[[#This Row],[SATINALMA]]*DST_123_ÜRETİM_İHTİYAÇ_RAPORU_BURAK_YENI1309[[#This Row],[BIRIM_FIYATLAR]])&lt;1,VALUE("0"),DST_123_ÜRETİM_İHTİYAÇ_RAPORU_BURAK_YENI1309[[#This Row],[SATINALMA]]*DST_123_ÜRETİM_İHTİYAÇ_RAPORU_BURAK_YENI1309[[#This Row],[BIRIM_FIYATLAR]])</f>
        <v>3889.2000000000012</v>
      </c>
      <c r="N5823">
        <v>2778</v>
      </c>
      <c r="O5823" t="s">
        <v>217</v>
      </c>
      <c r="P5823">
        <v>277.8</v>
      </c>
      <c r="Q5823" t="s">
        <v>183</v>
      </c>
    </row>
    <row r="5824" spans="1:17" x14ac:dyDescent="0.25">
      <c r="A5824" t="s">
        <v>1060</v>
      </c>
      <c r="B5824" t="s">
        <v>1061</v>
      </c>
      <c r="C5824" t="s">
        <v>175</v>
      </c>
      <c r="D5824" t="s">
        <v>357</v>
      </c>
      <c r="E5824" t="s">
        <v>358</v>
      </c>
      <c r="F5824">
        <v>16</v>
      </c>
      <c r="G5824" t="s">
        <v>176</v>
      </c>
      <c r="H5824">
        <v>16</v>
      </c>
      <c r="I5824">
        <v>500</v>
      </c>
      <c r="J5824" s="10">
        <v>490</v>
      </c>
      <c r="K5824" s="10">
        <f>SUMIFS(F:F,D:D,DST_123_ÜRETİM_İHTİYAÇ_RAPORU_BURAK_YENI1309[[#This Row],[ALT_KOD]])-(SUMIFS(H:H,D:D,DST_123_ÜRETİM_İHTİYAÇ_RAPORU_BURAK_YENI1309[[#This Row],[ALT_KOD]])+AVERAGEIFS(I:I,D:D,DST_123_ÜRETİM_İHTİYAÇ_RAPORU_BURAK_YENI1309[[#This Row],[ALT_KOD]])+AVERAGEIFS(L:L,D:D,DST_123_ÜRETİM_İHTİYAÇ_RAPORU_BURAK_YENI1309[[#This Row],[ALT_KOD]]))</f>
        <v>-294</v>
      </c>
      <c r="L5824">
        <v>0</v>
      </c>
      <c r="M5824">
        <f>IF((DST_123_ÜRETİM_İHTİYAÇ_RAPORU_BURAK_YENI1309[[#This Row],[SATINALMA]]*DST_123_ÜRETİM_İHTİYAÇ_RAPORU_BURAK_YENI1309[[#This Row],[BIRIM_FIYATLAR]])&lt;1,VALUE("0"),DST_123_ÜRETİM_İHTİYAÇ_RAPORU_BURAK_YENI1309[[#This Row],[SATINALMA]]*DST_123_ÜRETİM_İHTİYAÇ_RAPORU_BURAK_YENI1309[[#This Row],[BIRIM_FIYATLAR]])</f>
        <v>0</v>
      </c>
      <c r="N5824">
        <v>1.6</v>
      </c>
      <c r="O5824" t="s">
        <v>240</v>
      </c>
      <c r="P5824">
        <v>25.6</v>
      </c>
      <c r="Q5824" t="s">
        <v>180</v>
      </c>
    </row>
    <row r="5825" spans="1:17" x14ac:dyDescent="0.25">
      <c r="A5825" t="s">
        <v>1101</v>
      </c>
      <c r="B5825" t="s">
        <v>1102</v>
      </c>
      <c r="C5825" t="s">
        <v>175</v>
      </c>
      <c r="D5825" t="s">
        <v>986</v>
      </c>
      <c r="E5825" t="s">
        <v>987</v>
      </c>
      <c r="F5825">
        <v>6</v>
      </c>
      <c r="G5825" t="s">
        <v>185</v>
      </c>
      <c r="H5825">
        <v>6</v>
      </c>
      <c r="I5825">
        <v>139</v>
      </c>
      <c r="J5825" s="10">
        <v>45.499999999999943</v>
      </c>
      <c r="K5825" s="10">
        <f>SUMIFS(F:F,D:D,DST_123_ÜRETİM_İHTİYAÇ_RAPORU_BURAK_YENI1309[[#This Row],[ALT_KOD]])-(SUMIFS(H:H,D:D,DST_123_ÜRETİM_İHTİYAÇ_RAPORU_BURAK_YENI1309[[#This Row],[ALT_KOD]])+AVERAGEIFS(I:I,D:D,DST_123_ÜRETİM_İHTİYAÇ_RAPORU_BURAK_YENI1309[[#This Row],[ALT_KOD]])+AVERAGEIFS(L:L,D:D,DST_123_ÜRETİM_İHTİYAÇ_RAPORU_BURAK_YENI1309[[#This Row],[ALT_KOD]]))</f>
        <v>-124</v>
      </c>
      <c r="L5825">
        <v>0</v>
      </c>
      <c r="M5825">
        <f>IF((DST_123_ÜRETİM_İHTİYAÇ_RAPORU_BURAK_YENI1309[[#This Row],[SATINALMA]]*DST_123_ÜRETİM_İHTİYAÇ_RAPORU_BURAK_YENI1309[[#This Row],[BIRIM_FIYATLAR]])&lt;1,VALUE("0"),DST_123_ÜRETİM_İHTİYAÇ_RAPORU_BURAK_YENI1309[[#This Row],[SATINALMA]]*DST_123_ÜRETİM_İHTİYAÇ_RAPORU_BURAK_YENI1309[[#This Row],[BIRIM_FIYATLAR]])</f>
        <v>0</v>
      </c>
      <c r="N5825">
        <v>233.95</v>
      </c>
      <c r="O5825" t="s">
        <v>490</v>
      </c>
      <c r="P5825">
        <v>1403.6999999999998</v>
      </c>
      <c r="Q5825" t="s">
        <v>183</v>
      </c>
    </row>
    <row r="5826" spans="1:17" x14ac:dyDescent="0.25">
      <c r="A5826" t="s">
        <v>1100</v>
      </c>
      <c r="B5826" t="s">
        <v>1058</v>
      </c>
      <c r="C5826" t="s">
        <v>175</v>
      </c>
      <c r="D5826" t="s">
        <v>873</v>
      </c>
      <c r="E5826" t="s">
        <v>874</v>
      </c>
      <c r="F5826">
        <v>1</v>
      </c>
      <c r="G5826" t="s">
        <v>176</v>
      </c>
      <c r="H5826">
        <v>1</v>
      </c>
      <c r="I5826">
        <v>5</v>
      </c>
      <c r="J5826" s="10">
        <v>6</v>
      </c>
      <c r="K5826" s="10">
        <f>SUMIFS(F:F,D:D,DST_123_ÜRETİM_İHTİYAÇ_RAPORU_BURAK_YENI1309[[#This Row],[ALT_KOD]])-(SUMIFS(H:H,D:D,DST_123_ÜRETİM_İHTİYAÇ_RAPORU_BURAK_YENI1309[[#This Row],[ALT_KOD]])+AVERAGEIFS(I:I,D:D,DST_123_ÜRETİM_İHTİYAÇ_RAPORU_BURAK_YENI1309[[#This Row],[ALT_KOD]])+AVERAGEIFS(L:L,D:D,DST_123_ÜRETİM_İHTİYAÇ_RAPORU_BURAK_YENI1309[[#This Row],[ALT_KOD]]))</f>
        <v>-17</v>
      </c>
      <c r="L5826">
        <v>12</v>
      </c>
      <c r="M5826">
        <f>IF((DST_123_ÜRETİM_İHTİYAÇ_RAPORU_BURAK_YENI1309[[#This Row],[SATINALMA]]*DST_123_ÜRETİM_İHTİYAÇ_RAPORU_BURAK_YENI1309[[#This Row],[BIRIM_FIYATLAR]])&lt;1,VALUE("0"),DST_123_ÜRETİM_İHTİYAÇ_RAPORU_BURAK_YENI1309[[#This Row],[SATINALMA]]*DST_123_ÜRETİM_İHTİYAÇ_RAPORU_BURAK_YENI1309[[#This Row],[BIRIM_FIYATLAR]])</f>
        <v>0</v>
      </c>
      <c r="N5826">
        <v>14305.4</v>
      </c>
      <c r="O5826" t="s">
        <v>872</v>
      </c>
      <c r="P5826">
        <v>14305.4</v>
      </c>
      <c r="Q5826" t="s">
        <v>178</v>
      </c>
    </row>
    <row r="5827" spans="1:17" x14ac:dyDescent="0.25">
      <c r="A5827" t="s">
        <v>1060</v>
      </c>
      <c r="B5827" t="s">
        <v>1061</v>
      </c>
      <c r="C5827" t="s">
        <v>175</v>
      </c>
      <c r="D5827" t="s">
        <v>873</v>
      </c>
      <c r="E5827" t="s">
        <v>874</v>
      </c>
      <c r="F5827">
        <v>1</v>
      </c>
      <c r="G5827" t="s">
        <v>176</v>
      </c>
      <c r="H5827">
        <v>1</v>
      </c>
      <c r="I5827">
        <v>5</v>
      </c>
      <c r="J5827" s="10">
        <v>6</v>
      </c>
      <c r="K5827" s="10">
        <f>SUMIFS(F:F,D:D,DST_123_ÜRETİM_İHTİYAÇ_RAPORU_BURAK_YENI1309[[#This Row],[ALT_KOD]])-(SUMIFS(H:H,D:D,DST_123_ÜRETİM_İHTİYAÇ_RAPORU_BURAK_YENI1309[[#This Row],[ALT_KOD]])+AVERAGEIFS(I:I,D:D,DST_123_ÜRETİM_İHTİYAÇ_RAPORU_BURAK_YENI1309[[#This Row],[ALT_KOD]])+AVERAGEIFS(L:L,D:D,DST_123_ÜRETİM_İHTİYAÇ_RAPORU_BURAK_YENI1309[[#This Row],[ALT_KOD]]))</f>
        <v>-17</v>
      </c>
      <c r="L5827">
        <v>12</v>
      </c>
      <c r="M5827">
        <f>IF((DST_123_ÜRETİM_İHTİYAÇ_RAPORU_BURAK_YENI1309[[#This Row],[SATINALMA]]*DST_123_ÜRETİM_İHTİYAÇ_RAPORU_BURAK_YENI1309[[#This Row],[BIRIM_FIYATLAR]])&lt;1,VALUE("0"),DST_123_ÜRETİM_İHTİYAÇ_RAPORU_BURAK_YENI1309[[#This Row],[SATINALMA]]*DST_123_ÜRETİM_İHTİYAÇ_RAPORU_BURAK_YENI1309[[#This Row],[BIRIM_FIYATLAR]])</f>
        <v>0</v>
      </c>
      <c r="N5827">
        <v>14305.4</v>
      </c>
      <c r="O5827" t="s">
        <v>872</v>
      </c>
      <c r="P5827">
        <v>14305.4</v>
      </c>
      <c r="Q5827" t="s">
        <v>178</v>
      </c>
    </row>
    <row r="5828" spans="1:17" x14ac:dyDescent="0.25">
      <c r="A5828" t="s">
        <v>1097</v>
      </c>
      <c r="B5828" t="s">
        <v>1055</v>
      </c>
      <c r="C5828" t="s">
        <v>175</v>
      </c>
      <c r="D5828" t="s">
        <v>462</v>
      </c>
      <c r="E5828" t="s">
        <v>463</v>
      </c>
      <c r="F5828">
        <v>0.81</v>
      </c>
      <c r="G5828" t="s">
        <v>176</v>
      </c>
      <c r="H5828">
        <v>0.81</v>
      </c>
      <c r="I5828">
        <v>0</v>
      </c>
      <c r="J5828" s="10">
        <v>5.5999999999999988</v>
      </c>
      <c r="K5828" s="10">
        <f>SUMIFS(F:F,D:D,DST_123_ÜRETİM_İHTİYAÇ_RAPORU_BURAK_YENI1309[[#This Row],[ALT_KOD]])-(SUMIFS(H:H,D:D,DST_123_ÜRETİM_İHTİYAÇ_RAPORU_BURAK_YENI1309[[#This Row],[ALT_KOD]])+AVERAGEIFS(I:I,D:D,DST_123_ÜRETİM_İHTİYAÇ_RAPORU_BURAK_YENI1309[[#This Row],[ALT_KOD]])+AVERAGEIFS(L:L,D:D,DST_123_ÜRETİM_İHTİYAÇ_RAPORU_BURAK_YENI1309[[#This Row],[ALT_KOD]]))</f>
        <v>7.2</v>
      </c>
      <c r="L5828">
        <v>0</v>
      </c>
      <c r="M5828">
        <f>IF((DST_123_ÜRETİM_İHTİYAÇ_RAPORU_BURAK_YENI1309[[#This Row],[SATINALMA]]*DST_123_ÜRETİM_İHTİYAÇ_RAPORU_BURAK_YENI1309[[#This Row],[BIRIM_FIYATLAR]])&lt;1,VALUE("0"),DST_123_ÜRETİM_İHTİYAÇ_RAPORU_BURAK_YENI1309[[#This Row],[SATINALMA]]*DST_123_ÜRETİM_İHTİYAÇ_RAPORU_BURAK_YENI1309[[#This Row],[BIRIM_FIYATLAR]])</f>
        <v>1170.0719999999999</v>
      </c>
      <c r="N5828">
        <v>162.51</v>
      </c>
      <c r="O5828" t="s">
        <v>490</v>
      </c>
      <c r="P5828">
        <v>131.63310000000001</v>
      </c>
      <c r="Q5828" t="s">
        <v>183</v>
      </c>
    </row>
    <row r="5829" spans="1:17" x14ac:dyDescent="0.25">
      <c r="A5829" t="s">
        <v>1101</v>
      </c>
      <c r="B5829" t="s">
        <v>1102</v>
      </c>
      <c r="C5829" t="s">
        <v>175</v>
      </c>
      <c r="D5829" t="s">
        <v>609</v>
      </c>
      <c r="E5829" t="s">
        <v>610</v>
      </c>
      <c r="F5829">
        <v>1.8</v>
      </c>
      <c r="G5829" t="s">
        <v>176</v>
      </c>
      <c r="H5829">
        <v>1.8</v>
      </c>
      <c r="I5829">
        <v>0</v>
      </c>
      <c r="J5829" s="10">
        <v>11</v>
      </c>
      <c r="K5829" s="10">
        <f>SUMIFS(F:F,D:D,DST_123_ÜRETİM_İHTİYAÇ_RAPORU_BURAK_YENI1309[[#This Row],[ALT_KOD]])-(SUMIFS(H:H,D:D,DST_123_ÜRETİM_İHTİYAÇ_RAPORU_BURAK_YENI1309[[#This Row],[ALT_KOD]])+AVERAGEIFS(I:I,D:D,DST_123_ÜRETİM_İHTİYAÇ_RAPORU_BURAK_YENI1309[[#This Row],[ALT_KOD]])+AVERAGEIFS(L:L,D:D,DST_123_ÜRETİM_İHTİYAÇ_RAPORU_BURAK_YENI1309[[#This Row],[ALT_KOD]]))</f>
        <v>20.000000000000007</v>
      </c>
      <c r="L5829">
        <v>4</v>
      </c>
      <c r="M5829">
        <f>IF((DST_123_ÜRETİM_İHTİYAÇ_RAPORU_BURAK_YENI1309[[#This Row],[SATINALMA]]*DST_123_ÜRETİM_İHTİYAÇ_RAPORU_BURAK_YENI1309[[#This Row],[BIRIM_FIYATLAR]])&lt;1,VALUE("0"),DST_123_ÜRETİM_İHTİYAÇ_RAPORU_BURAK_YENI1309[[#This Row],[SATINALMA]]*DST_123_ÜRETİM_İHTİYAÇ_RAPORU_BURAK_YENI1309[[#This Row],[BIRIM_FIYATLAR]])</f>
        <v>36666.600000000013</v>
      </c>
      <c r="N5829">
        <v>1833.33</v>
      </c>
      <c r="O5829" t="s">
        <v>223</v>
      </c>
      <c r="P5829">
        <v>3299.9940000000001</v>
      </c>
      <c r="Q5829" t="s">
        <v>181</v>
      </c>
    </row>
    <row r="5830" spans="1:17" x14ac:dyDescent="0.25">
      <c r="A5830" t="s">
        <v>1148</v>
      </c>
      <c r="B5830" t="s">
        <v>1056</v>
      </c>
      <c r="C5830" t="s">
        <v>175</v>
      </c>
      <c r="D5830" t="s">
        <v>28</v>
      </c>
      <c r="E5830" t="s">
        <v>29</v>
      </c>
      <c r="F5830">
        <v>83</v>
      </c>
      <c r="G5830" t="s">
        <v>176</v>
      </c>
      <c r="H5830">
        <v>0</v>
      </c>
      <c r="I5830">
        <v>3000</v>
      </c>
      <c r="J5830" s="10">
        <v>1048</v>
      </c>
      <c r="K5830" s="10">
        <f>SUMIFS(F:F,D:D,DST_123_ÜRETİM_İHTİYAÇ_RAPORU_BURAK_YENI1309[[#This Row],[ALT_KOD]])-(SUMIFS(H:H,D:D,DST_123_ÜRETİM_İHTİYAÇ_RAPORU_BURAK_YENI1309[[#This Row],[ALT_KOD]])+AVERAGEIFS(I:I,D:D,DST_123_ÜRETİM_İHTİYAÇ_RAPORU_BURAK_YENI1309[[#This Row],[ALT_KOD]])+AVERAGEIFS(L:L,D:D,DST_123_ÜRETİM_İHTİYAÇ_RAPORU_BURAK_YENI1309[[#This Row],[ALT_KOD]]))</f>
        <v>-967</v>
      </c>
      <c r="L5830">
        <v>0</v>
      </c>
      <c r="M5830">
        <f>IF((DST_123_ÜRETİM_İHTİYAÇ_RAPORU_BURAK_YENI1309[[#This Row],[SATINALMA]]*DST_123_ÜRETİM_İHTİYAÇ_RAPORU_BURAK_YENI1309[[#This Row],[BIRIM_FIYATLAR]])&lt;1,VALUE("0"),DST_123_ÜRETİM_İHTİYAÇ_RAPORU_BURAK_YENI1309[[#This Row],[SATINALMA]]*DST_123_ÜRETİM_İHTİYAÇ_RAPORU_BURAK_YENI1309[[#This Row],[BIRIM_FIYATLAR]])</f>
        <v>0</v>
      </c>
      <c r="N5830">
        <v>2.92</v>
      </c>
      <c r="O5830" t="s">
        <v>628</v>
      </c>
      <c r="P5830">
        <v>242.35999999999999</v>
      </c>
      <c r="Q5830" t="s">
        <v>180</v>
      </c>
    </row>
    <row r="5831" spans="1:17" x14ac:dyDescent="0.25">
      <c r="A5831" t="s">
        <v>1097</v>
      </c>
      <c r="B5831" t="s">
        <v>1055</v>
      </c>
      <c r="C5831" t="s">
        <v>175</v>
      </c>
      <c r="D5831" t="s">
        <v>15</v>
      </c>
      <c r="E5831" t="s">
        <v>16</v>
      </c>
      <c r="F5831">
        <v>1</v>
      </c>
      <c r="G5831" t="s">
        <v>176</v>
      </c>
      <c r="H5831">
        <v>1</v>
      </c>
      <c r="I5831">
        <v>7</v>
      </c>
      <c r="J5831" s="10">
        <v>10</v>
      </c>
      <c r="K5831" s="10">
        <f>SUMIFS(F:F,D:D,DST_123_ÜRETİM_İHTİYAÇ_RAPORU_BURAK_YENI1309[[#This Row],[ALT_KOD]])-(SUMIFS(H:H,D:D,DST_123_ÜRETİM_İHTİYAÇ_RAPORU_BURAK_YENI1309[[#This Row],[ALT_KOD]])+AVERAGEIFS(I:I,D:D,DST_123_ÜRETİM_İHTİYAÇ_RAPORU_BURAK_YENI1309[[#This Row],[ALT_KOD]])+AVERAGEIFS(L:L,D:D,DST_123_ÜRETİM_İHTİYAÇ_RAPORU_BURAK_YENI1309[[#This Row],[ALT_KOD]]))</f>
        <v>6</v>
      </c>
      <c r="L5831">
        <v>0</v>
      </c>
      <c r="M5831">
        <f>IF((DST_123_ÜRETİM_İHTİYAÇ_RAPORU_BURAK_YENI1309[[#This Row],[SATINALMA]]*DST_123_ÜRETİM_İHTİYAÇ_RAPORU_BURAK_YENI1309[[#This Row],[BIRIM_FIYATLAR]])&lt;1,VALUE("0"),DST_123_ÜRETİM_İHTİYAÇ_RAPORU_BURAK_YENI1309[[#This Row],[SATINALMA]]*DST_123_ÜRETİM_İHTİYAÇ_RAPORU_BURAK_YENI1309[[#This Row],[BIRIM_FIYATLAR]])</f>
        <v>20303.939999999999</v>
      </c>
      <c r="N5831">
        <v>3383.99</v>
      </c>
      <c r="O5831" t="s">
        <v>215</v>
      </c>
      <c r="P5831">
        <v>3383.99</v>
      </c>
      <c r="Q5831" t="s">
        <v>221</v>
      </c>
    </row>
    <row r="5832" spans="1:17" x14ac:dyDescent="0.25">
      <c r="A5832" t="s">
        <v>1097</v>
      </c>
      <c r="B5832" t="s">
        <v>1055</v>
      </c>
      <c r="C5832" t="s">
        <v>175</v>
      </c>
      <c r="D5832" t="s">
        <v>147</v>
      </c>
      <c r="E5832" t="s">
        <v>148</v>
      </c>
      <c r="F5832">
        <v>1</v>
      </c>
      <c r="G5832" t="s">
        <v>176</v>
      </c>
      <c r="H5832">
        <v>1</v>
      </c>
      <c r="I5832">
        <v>3</v>
      </c>
      <c r="J5832" s="10">
        <v>11</v>
      </c>
      <c r="K5832" s="10">
        <f>SUMIFS(F:F,D:D,DST_123_ÜRETİM_İHTİYAÇ_RAPORU_BURAK_YENI1309[[#This Row],[ALT_KOD]])-(SUMIFS(H:H,D:D,DST_123_ÜRETİM_İHTİYAÇ_RAPORU_BURAK_YENI1309[[#This Row],[ALT_KOD]])+AVERAGEIFS(I:I,D:D,DST_123_ÜRETİM_İHTİYAÇ_RAPORU_BURAK_YENI1309[[#This Row],[ALT_KOD]])+AVERAGEIFS(L:L,D:D,DST_123_ÜRETİM_İHTİYAÇ_RAPORU_BURAK_YENI1309[[#This Row],[ALT_KOD]]))</f>
        <v>7</v>
      </c>
      <c r="L5832">
        <v>0</v>
      </c>
      <c r="M5832">
        <f>IF((DST_123_ÜRETİM_İHTİYAÇ_RAPORU_BURAK_YENI1309[[#This Row],[SATINALMA]]*DST_123_ÜRETİM_İHTİYAÇ_RAPORU_BURAK_YENI1309[[#This Row],[BIRIM_FIYATLAR]])&lt;1,VALUE("0"),DST_123_ÜRETİM_İHTİYAÇ_RAPORU_BURAK_YENI1309[[#This Row],[SATINALMA]]*DST_123_ÜRETİM_İHTİYAÇ_RAPORU_BURAK_YENI1309[[#This Row],[BIRIM_FIYATLAR]])</f>
        <v>22092.98</v>
      </c>
      <c r="N5832">
        <v>3156.14</v>
      </c>
      <c r="O5832" t="s">
        <v>227</v>
      </c>
      <c r="P5832">
        <v>3156.14</v>
      </c>
      <c r="Q5832" t="s">
        <v>221</v>
      </c>
    </row>
    <row r="5833" spans="1:17" x14ac:dyDescent="0.25">
      <c r="A5833" t="s">
        <v>1097</v>
      </c>
      <c r="B5833" t="s">
        <v>1055</v>
      </c>
      <c r="C5833" t="s">
        <v>175</v>
      </c>
      <c r="D5833" t="s">
        <v>524</v>
      </c>
      <c r="E5833" t="s">
        <v>525</v>
      </c>
      <c r="F5833">
        <v>9</v>
      </c>
      <c r="G5833" t="s">
        <v>176</v>
      </c>
      <c r="H5833">
        <v>9</v>
      </c>
      <c r="I5833">
        <v>300</v>
      </c>
      <c r="J5833" s="10">
        <v>325</v>
      </c>
      <c r="K5833" s="10">
        <f>SUMIFS(F:F,D:D,DST_123_ÜRETİM_İHTİYAÇ_RAPORU_BURAK_YENI1309[[#This Row],[ALT_KOD]])-(SUMIFS(H:H,D:D,DST_123_ÜRETİM_İHTİYAÇ_RAPORU_BURAK_YENI1309[[#This Row],[ALT_KOD]])+AVERAGEIFS(I:I,D:D,DST_123_ÜRETİM_İHTİYAÇ_RAPORU_BURAK_YENI1309[[#This Row],[ALT_KOD]])+AVERAGEIFS(L:L,D:D,DST_123_ÜRETİM_İHTİYAÇ_RAPORU_BURAK_YENI1309[[#This Row],[ALT_KOD]]))</f>
        <v>-192</v>
      </c>
      <c r="L5833">
        <v>0</v>
      </c>
      <c r="M5833">
        <f>IF((DST_123_ÜRETİM_İHTİYAÇ_RAPORU_BURAK_YENI1309[[#This Row],[SATINALMA]]*DST_123_ÜRETİM_İHTİYAÇ_RAPORU_BURAK_YENI1309[[#This Row],[BIRIM_FIYATLAR]])&lt;1,VALUE("0"),DST_123_ÜRETİM_İHTİYAÇ_RAPORU_BURAK_YENI1309[[#This Row],[SATINALMA]]*DST_123_ÜRETİM_İHTİYAÇ_RAPORU_BURAK_YENI1309[[#This Row],[BIRIM_FIYATLAR]])</f>
        <v>0</v>
      </c>
      <c r="N5833">
        <v>12</v>
      </c>
      <c r="O5833" t="s">
        <v>226</v>
      </c>
      <c r="P5833">
        <v>108</v>
      </c>
      <c r="Q5833" t="s">
        <v>180</v>
      </c>
    </row>
    <row r="5834" spans="1:17" x14ac:dyDescent="0.25">
      <c r="A5834" t="s">
        <v>1148</v>
      </c>
      <c r="B5834" t="s">
        <v>1056</v>
      </c>
      <c r="C5834" t="s">
        <v>175</v>
      </c>
      <c r="D5834" t="s">
        <v>231</v>
      </c>
      <c r="E5834" t="s">
        <v>232</v>
      </c>
      <c r="F5834">
        <v>2</v>
      </c>
      <c r="G5834" t="s">
        <v>176</v>
      </c>
      <c r="H5834">
        <v>0</v>
      </c>
      <c r="I5834">
        <v>239</v>
      </c>
      <c r="J5834" s="10">
        <v>90</v>
      </c>
      <c r="K5834" s="10">
        <f>SUMIFS(F:F,D:D,DST_123_ÜRETİM_İHTİYAÇ_RAPORU_BURAK_YENI1309[[#This Row],[ALT_KOD]])-(SUMIFS(H:H,D:D,DST_123_ÜRETİM_İHTİYAÇ_RAPORU_BURAK_YENI1309[[#This Row],[ALT_KOD]])+AVERAGEIFS(I:I,D:D,DST_123_ÜRETİM_İHTİYAÇ_RAPORU_BURAK_YENI1309[[#This Row],[ALT_KOD]])+AVERAGEIFS(L:L,D:D,DST_123_ÜRETİM_İHTİYAÇ_RAPORU_BURAK_YENI1309[[#This Row],[ALT_KOD]]))</f>
        <v>-201</v>
      </c>
      <c r="L5834">
        <v>0</v>
      </c>
      <c r="M5834">
        <f>IF((DST_123_ÜRETİM_İHTİYAÇ_RAPORU_BURAK_YENI1309[[#This Row],[SATINALMA]]*DST_123_ÜRETİM_İHTİYAÇ_RAPORU_BURAK_YENI1309[[#This Row],[BIRIM_FIYATLAR]])&lt;1,VALUE("0"),DST_123_ÜRETİM_İHTİYAÇ_RAPORU_BURAK_YENI1309[[#This Row],[SATINALMA]]*DST_123_ÜRETİM_İHTİYAÇ_RAPORU_BURAK_YENI1309[[#This Row],[BIRIM_FIYATLAR]])</f>
        <v>0</v>
      </c>
      <c r="N5834">
        <v>4</v>
      </c>
      <c r="O5834" t="s">
        <v>220</v>
      </c>
      <c r="P5834">
        <v>8</v>
      </c>
      <c r="Q5834" t="s">
        <v>221</v>
      </c>
    </row>
    <row r="5835" spans="1:17" x14ac:dyDescent="0.25">
      <c r="A5835" t="s">
        <v>1101</v>
      </c>
      <c r="B5835" t="s">
        <v>1102</v>
      </c>
      <c r="C5835" t="s">
        <v>175</v>
      </c>
      <c r="D5835" t="s">
        <v>147</v>
      </c>
      <c r="E5835" t="s">
        <v>148</v>
      </c>
      <c r="F5835">
        <v>3</v>
      </c>
      <c r="G5835" t="s">
        <v>176</v>
      </c>
      <c r="H5835">
        <v>3</v>
      </c>
      <c r="I5835">
        <v>3</v>
      </c>
      <c r="J5835" s="10">
        <v>11</v>
      </c>
      <c r="K5835" s="10">
        <f>SUMIFS(F:F,D:D,DST_123_ÜRETİM_İHTİYAÇ_RAPORU_BURAK_YENI1309[[#This Row],[ALT_KOD]])-(SUMIFS(H:H,D:D,DST_123_ÜRETİM_İHTİYAÇ_RAPORU_BURAK_YENI1309[[#This Row],[ALT_KOD]])+AVERAGEIFS(I:I,D:D,DST_123_ÜRETİM_İHTİYAÇ_RAPORU_BURAK_YENI1309[[#This Row],[ALT_KOD]])+AVERAGEIFS(L:L,D:D,DST_123_ÜRETİM_İHTİYAÇ_RAPORU_BURAK_YENI1309[[#This Row],[ALT_KOD]]))</f>
        <v>7</v>
      </c>
      <c r="L5835">
        <v>0</v>
      </c>
      <c r="M5835">
        <f>IF((DST_123_ÜRETİM_İHTİYAÇ_RAPORU_BURAK_YENI1309[[#This Row],[SATINALMA]]*DST_123_ÜRETİM_İHTİYAÇ_RAPORU_BURAK_YENI1309[[#This Row],[BIRIM_FIYATLAR]])&lt;1,VALUE("0"),DST_123_ÜRETİM_İHTİYAÇ_RAPORU_BURAK_YENI1309[[#This Row],[SATINALMA]]*DST_123_ÜRETİM_İHTİYAÇ_RAPORU_BURAK_YENI1309[[#This Row],[BIRIM_FIYATLAR]])</f>
        <v>22092.98</v>
      </c>
      <c r="N5835">
        <v>3156.14</v>
      </c>
      <c r="O5835" t="s">
        <v>227</v>
      </c>
      <c r="P5835">
        <v>9468.42</v>
      </c>
      <c r="Q5835" t="s">
        <v>221</v>
      </c>
    </row>
    <row r="5836" spans="1:17" x14ac:dyDescent="0.25">
      <c r="A5836" t="s">
        <v>1064</v>
      </c>
      <c r="B5836" t="s">
        <v>1055</v>
      </c>
      <c r="C5836" t="s">
        <v>175</v>
      </c>
      <c r="D5836" t="s">
        <v>70</v>
      </c>
      <c r="E5836" t="s">
        <v>287</v>
      </c>
      <c r="F5836">
        <v>6.28</v>
      </c>
      <c r="G5836" t="s">
        <v>185</v>
      </c>
      <c r="H5836">
        <v>6.28</v>
      </c>
      <c r="I5836">
        <v>0</v>
      </c>
      <c r="J5836" s="10">
        <v>233.6899999999996</v>
      </c>
      <c r="K5836" s="10">
        <f>SUMIFS(F:F,D:D,DST_123_ÜRETİM_İHTİYAÇ_RAPORU_BURAK_YENI1309[[#This Row],[ALT_KOD]])-(SUMIFS(H:H,D:D,DST_123_ÜRETİM_İHTİYAÇ_RAPORU_BURAK_YENI1309[[#This Row],[ALT_KOD]])+AVERAGEIFS(I:I,D:D,DST_123_ÜRETİM_İHTİYAÇ_RAPORU_BURAK_YENI1309[[#This Row],[ALT_KOD]])+AVERAGEIFS(L:L,D:D,DST_123_ÜRETİM_İHTİYAÇ_RAPORU_BURAK_YENI1309[[#This Row],[ALT_KOD]]))</f>
        <v>63.129999999999995</v>
      </c>
      <c r="L5836">
        <v>0</v>
      </c>
      <c r="M5836">
        <f>IF((DST_123_ÜRETİM_İHTİYAÇ_RAPORU_BURAK_YENI1309[[#This Row],[SATINALMA]]*DST_123_ÜRETİM_İHTİYAÇ_RAPORU_BURAK_YENI1309[[#This Row],[BIRIM_FIYATLAR]])&lt;1,VALUE("0"),DST_123_ÜRETİM_İHTİYAÇ_RAPORU_BURAK_YENI1309[[#This Row],[SATINALMA]]*DST_123_ÜRETİM_İHTİYAÇ_RAPORU_BURAK_YENI1309[[#This Row],[BIRIM_FIYATLAR]])</f>
        <v>6403.9071999999996</v>
      </c>
      <c r="N5836">
        <v>101.44</v>
      </c>
      <c r="O5836" t="s">
        <v>490</v>
      </c>
      <c r="P5836">
        <v>637.04319999999996</v>
      </c>
      <c r="Q5836" t="s">
        <v>183</v>
      </c>
    </row>
    <row r="5837" spans="1:17" x14ac:dyDescent="0.25">
      <c r="A5837" t="s">
        <v>1146</v>
      </c>
      <c r="B5837" t="s">
        <v>1145</v>
      </c>
      <c r="C5837" t="s">
        <v>175</v>
      </c>
      <c r="D5837" t="s">
        <v>462</v>
      </c>
      <c r="E5837" t="s">
        <v>463</v>
      </c>
      <c r="F5837">
        <v>0.54999999999999993</v>
      </c>
      <c r="G5837" t="s">
        <v>176</v>
      </c>
      <c r="H5837">
        <v>0.54999999999999993</v>
      </c>
      <c r="I5837">
        <v>0</v>
      </c>
      <c r="J5837" s="10">
        <v>5.5999999999999988</v>
      </c>
      <c r="K5837" s="10">
        <f>SUMIFS(F:F,D:D,DST_123_ÜRETİM_İHTİYAÇ_RAPORU_BURAK_YENI1309[[#This Row],[ALT_KOD]])-(SUMIFS(H:H,D:D,DST_123_ÜRETİM_İHTİYAÇ_RAPORU_BURAK_YENI1309[[#This Row],[ALT_KOD]])+AVERAGEIFS(I:I,D:D,DST_123_ÜRETİM_İHTİYAÇ_RAPORU_BURAK_YENI1309[[#This Row],[ALT_KOD]])+AVERAGEIFS(L:L,D:D,DST_123_ÜRETİM_İHTİYAÇ_RAPORU_BURAK_YENI1309[[#This Row],[ALT_KOD]]))</f>
        <v>7.2</v>
      </c>
      <c r="L5837">
        <v>0</v>
      </c>
      <c r="M5837">
        <f>IF((DST_123_ÜRETİM_İHTİYAÇ_RAPORU_BURAK_YENI1309[[#This Row],[SATINALMA]]*DST_123_ÜRETİM_İHTİYAÇ_RAPORU_BURAK_YENI1309[[#This Row],[BIRIM_FIYATLAR]])&lt;1,VALUE("0"),DST_123_ÜRETİM_İHTİYAÇ_RAPORU_BURAK_YENI1309[[#This Row],[SATINALMA]]*DST_123_ÜRETİM_İHTİYAÇ_RAPORU_BURAK_YENI1309[[#This Row],[BIRIM_FIYATLAR]])</f>
        <v>1170.0719999999999</v>
      </c>
      <c r="N5837">
        <v>162.51</v>
      </c>
      <c r="O5837" t="s">
        <v>490</v>
      </c>
      <c r="P5837">
        <v>89.380499999999984</v>
      </c>
      <c r="Q5837" t="s">
        <v>183</v>
      </c>
    </row>
    <row r="5838" spans="1:17" x14ac:dyDescent="0.25">
      <c r="A5838" t="s">
        <v>1097</v>
      </c>
      <c r="B5838" t="s">
        <v>1055</v>
      </c>
      <c r="C5838" t="s">
        <v>175</v>
      </c>
      <c r="D5838" t="s">
        <v>28</v>
      </c>
      <c r="E5838" t="s">
        <v>29</v>
      </c>
      <c r="F5838">
        <v>110</v>
      </c>
      <c r="G5838" t="s">
        <v>176</v>
      </c>
      <c r="H5838">
        <v>0</v>
      </c>
      <c r="I5838">
        <v>3000</v>
      </c>
      <c r="J5838" s="10">
        <v>1048</v>
      </c>
      <c r="K5838" s="10">
        <f>SUMIFS(F:F,D:D,DST_123_ÜRETİM_İHTİYAÇ_RAPORU_BURAK_YENI1309[[#This Row],[ALT_KOD]])-(SUMIFS(H:H,D:D,DST_123_ÜRETİM_İHTİYAÇ_RAPORU_BURAK_YENI1309[[#This Row],[ALT_KOD]])+AVERAGEIFS(I:I,D:D,DST_123_ÜRETİM_İHTİYAÇ_RAPORU_BURAK_YENI1309[[#This Row],[ALT_KOD]])+AVERAGEIFS(L:L,D:D,DST_123_ÜRETİM_İHTİYAÇ_RAPORU_BURAK_YENI1309[[#This Row],[ALT_KOD]]))</f>
        <v>-967</v>
      </c>
      <c r="L5838">
        <v>0</v>
      </c>
      <c r="M5838">
        <f>IF((DST_123_ÜRETİM_İHTİYAÇ_RAPORU_BURAK_YENI1309[[#This Row],[SATINALMA]]*DST_123_ÜRETİM_İHTİYAÇ_RAPORU_BURAK_YENI1309[[#This Row],[BIRIM_FIYATLAR]])&lt;1,VALUE("0"),DST_123_ÜRETİM_İHTİYAÇ_RAPORU_BURAK_YENI1309[[#This Row],[SATINALMA]]*DST_123_ÜRETİM_İHTİYAÇ_RAPORU_BURAK_YENI1309[[#This Row],[BIRIM_FIYATLAR]])</f>
        <v>0</v>
      </c>
      <c r="N5838">
        <v>2.92</v>
      </c>
      <c r="O5838" t="s">
        <v>628</v>
      </c>
      <c r="P5838">
        <v>321.2</v>
      </c>
      <c r="Q5838" t="s">
        <v>180</v>
      </c>
    </row>
    <row r="5839" spans="1:17" x14ac:dyDescent="0.25">
      <c r="A5839" t="s">
        <v>1146</v>
      </c>
      <c r="B5839" t="s">
        <v>1145</v>
      </c>
      <c r="C5839" t="s">
        <v>175</v>
      </c>
      <c r="D5839" t="s">
        <v>609</v>
      </c>
      <c r="E5839" t="s">
        <v>610</v>
      </c>
      <c r="F5839">
        <v>2.8</v>
      </c>
      <c r="G5839" t="s">
        <v>176</v>
      </c>
      <c r="H5839">
        <v>2.8</v>
      </c>
      <c r="I5839">
        <v>0</v>
      </c>
      <c r="J5839" s="10">
        <v>11</v>
      </c>
      <c r="K5839" s="10">
        <f>SUMIFS(F:F,D:D,DST_123_ÜRETİM_İHTİYAÇ_RAPORU_BURAK_YENI1309[[#This Row],[ALT_KOD]])-(SUMIFS(H:H,D:D,DST_123_ÜRETİM_İHTİYAÇ_RAPORU_BURAK_YENI1309[[#This Row],[ALT_KOD]])+AVERAGEIFS(I:I,D:D,DST_123_ÜRETİM_İHTİYAÇ_RAPORU_BURAK_YENI1309[[#This Row],[ALT_KOD]])+AVERAGEIFS(L:L,D:D,DST_123_ÜRETİM_İHTİYAÇ_RAPORU_BURAK_YENI1309[[#This Row],[ALT_KOD]]))</f>
        <v>20.000000000000007</v>
      </c>
      <c r="L5839">
        <v>4</v>
      </c>
      <c r="M5839">
        <f>IF((DST_123_ÜRETİM_İHTİYAÇ_RAPORU_BURAK_YENI1309[[#This Row],[SATINALMA]]*DST_123_ÜRETİM_İHTİYAÇ_RAPORU_BURAK_YENI1309[[#This Row],[BIRIM_FIYATLAR]])&lt;1,VALUE("0"),DST_123_ÜRETİM_İHTİYAÇ_RAPORU_BURAK_YENI1309[[#This Row],[SATINALMA]]*DST_123_ÜRETİM_İHTİYAÇ_RAPORU_BURAK_YENI1309[[#This Row],[BIRIM_FIYATLAR]])</f>
        <v>36666.600000000013</v>
      </c>
      <c r="N5839">
        <v>1833.33</v>
      </c>
      <c r="O5839" t="s">
        <v>223</v>
      </c>
      <c r="P5839">
        <v>5133.3239999999996</v>
      </c>
      <c r="Q5839" t="s">
        <v>181</v>
      </c>
    </row>
    <row r="5840" spans="1:17" x14ac:dyDescent="0.25">
      <c r="A5840" t="s">
        <v>1064</v>
      </c>
      <c r="B5840" t="s">
        <v>1055</v>
      </c>
      <c r="C5840" t="s">
        <v>175</v>
      </c>
      <c r="D5840" t="s">
        <v>524</v>
      </c>
      <c r="E5840" t="s">
        <v>525</v>
      </c>
      <c r="F5840">
        <v>9</v>
      </c>
      <c r="G5840" t="s">
        <v>176</v>
      </c>
      <c r="H5840">
        <v>9</v>
      </c>
      <c r="I5840">
        <v>300</v>
      </c>
      <c r="J5840" s="10">
        <v>325</v>
      </c>
      <c r="K5840" s="10">
        <f>SUMIFS(F:F,D:D,DST_123_ÜRETİM_İHTİYAÇ_RAPORU_BURAK_YENI1309[[#This Row],[ALT_KOD]])-(SUMIFS(H:H,D:D,DST_123_ÜRETİM_İHTİYAÇ_RAPORU_BURAK_YENI1309[[#This Row],[ALT_KOD]])+AVERAGEIFS(I:I,D:D,DST_123_ÜRETİM_İHTİYAÇ_RAPORU_BURAK_YENI1309[[#This Row],[ALT_KOD]])+AVERAGEIFS(L:L,D:D,DST_123_ÜRETİM_İHTİYAÇ_RAPORU_BURAK_YENI1309[[#This Row],[ALT_KOD]]))</f>
        <v>-192</v>
      </c>
      <c r="L5840">
        <v>0</v>
      </c>
      <c r="M5840">
        <f>IF((DST_123_ÜRETİM_İHTİYAÇ_RAPORU_BURAK_YENI1309[[#This Row],[SATINALMA]]*DST_123_ÜRETİM_İHTİYAÇ_RAPORU_BURAK_YENI1309[[#This Row],[BIRIM_FIYATLAR]])&lt;1,VALUE("0"),DST_123_ÜRETİM_İHTİYAÇ_RAPORU_BURAK_YENI1309[[#This Row],[SATINALMA]]*DST_123_ÜRETİM_İHTİYAÇ_RAPORU_BURAK_YENI1309[[#This Row],[BIRIM_FIYATLAR]])</f>
        <v>0</v>
      </c>
      <c r="N5840">
        <v>12</v>
      </c>
      <c r="O5840" t="s">
        <v>226</v>
      </c>
      <c r="P5840">
        <v>108</v>
      </c>
      <c r="Q5840" t="s">
        <v>180</v>
      </c>
    </row>
    <row r="5841" spans="1:17" x14ac:dyDescent="0.25">
      <c r="A5841" t="s">
        <v>1064</v>
      </c>
      <c r="B5841" t="s">
        <v>1055</v>
      </c>
      <c r="C5841" t="s">
        <v>175</v>
      </c>
      <c r="D5841" t="s">
        <v>147</v>
      </c>
      <c r="E5841" t="s">
        <v>148</v>
      </c>
      <c r="F5841">
        <v>1</v>
      </c>
      <c r="G5841" t="s">
        <v>176</v>
      </c>
      <c r="H5841">
        <v>1</v>
      </c>
      <c r="I5841">
        <v>3</v>
      </c>
      <c r="J5841" s="10">
        <v>11</v>
      </c>
      <c r="K5841" s="10">
        <f>SUMIFS(F:F,D:D,DST_123_ÜRETİM_İHTİYAÇ_RAPORU_BURAK_YENI1309[[#This Row],[ALT_KOD]])-(SUMIFS(H:H,D:D,DST_123_ÜRETİM_İHTİYAÇ_RAPORU_BURAK_YENI1309[[#This Row],[ALT_KOD]])+AVERAGEIFS(I:I,D:D,DST_123_ÜRETİM_İHTİYAÇ_RAPORU_BURAK_YENI1309[[#This Row],[ALT_KOD]])+AVERAGEIFS(L:L,D:D,DST_123_ÜRETİM_İHTİYAÇ_RAPORU_BURAK_YENI1309[[#This Row],[ALT_KOD]]))</f>
        <v>7</v>
      </c>
      <c r="L5841">
        <v>0</v>
      </c>
      <c r="M5841">
        <f>IF((DST_123_ÜRETİM_İHTİYAÇ_RAPORU_BURAK_YENI1309[[#This Row],[SATINALMA]]*DST_123_ÜRETİM_İHTİYAÇ_RAPORU_BURAK_YENI1309[[#This Row],[BIRIM_FIYATLAR]])&lt;1,VALUE("0"),DST_123_ÜRETİM_İHTİYAÇ_RAPORU_BURAK_YENI1309[[#This Row],[SATINALMA]]*DST_123_ÜRETİM_İHTİYAÇ_RAPORU_BURAK_YENI1309[[#This Row],[BIRIM_FIYATLAR]])</f>
        <v>22092.98</v>
      </c>
      <c r="N5841">
        <v>3156.14</v>
      </c>
      <c r="O5841" t="s">
        <v>227</v>
      </c>
      <c r="P5841">
        <v>3156.14</v>
      </c>
      <c r="Q5841" t="s">
        <v>221</v>
      </c>
    </row>
    <row r="5842" spans="1:17" x14ac:dyDescent="0.25">
      <c r="A5842" t="s">
        <v>1149</v>
      </c>
      <c r="B5842" t="s">
        <v>1145</v>
      </c>
      <c r="C5842" t="s">
        <v>175</v>
      </c>
      <c r="D5842" t="s">
        <v>536</v>
      </c>
      <c r="E5842" t="s">
        <v>537</v>
      </c>
      <c r="F5842">
        <v>45</v>
      </c>
      <c r="G5842" t="s">
        <v>176</v>
      </c>
      <c r="H5842">
        <v>0</v>
      </c>
      <c r="I5842">
        <v>2200</v>
      </c>
      <c r="J5842" s="10">
        <v>0</v>
      </c>
      <c r="K5842" s="10">
        <f>SUMIFS(F:F,D:D,DST_123_ÜRETİM_İHTİYAÇ_RAPORU_BURAK_YENI1309[[#This Row],[ALT_KOD]])-(SUMIFS(H:H,D:D,DST_123_ÜRETİM_İHTİYAÇ_RAPORU_BURAK_YENI1309[[#This Row],[ALT_KOD]])+AVERAGEIFS(I:I,D:D,DST_123_ÜRETİM_İHTİYAÇ_RAPORU_BURAK_YENI1309[[#This Row],[ALT_KOD]])+AVERAGEIFS(L:L,D:D,DST_123_ÜRETİM_İHTİYAÇ_RAPORU_BURAK_YENI1309[[#This Row],[ALT_KOD]]))</f>
        <v>-1626</v>
      </c>
      <c r="L5842">
        <v>0</v>
      </c>
      <c r="M5842">
        <f>IF((DST_123_ÜRETİM_İHTİYAÇ_RAPORU_BURAK_YENI1309[[#This Row],[SATINALMA]]*DST_123_ÜRETİM_İHTİYAÇ_RAPORU_BURAK_YENI1309[[#This Row],[BIRIM_FIYATLAR]])&lt;1,VALUE("0"),DST_123_ÜRETİM_İHTİYAÇ_RAPORU_BURAK_YENI1309[[#This Row],[SATINALMA]]*DST_123_ÜRETİM_İHTİYAÇ_RAPORU_BURAK_YENI1309[[#This Row],[BIRIM_FIYATLAR]])</f>
        <v>0</v>
      </c>
      <c r="N5842">
        <v>0.7</v>
      </c>
      <c r="O5842" t="s">
        <v>240</v>
      </c>
      <c r="P5842">
        <v>31.499999999999996</v>
      </c>
      <c r="Q5842" t="s">
        <v>180</v>
      </c>
    </row>
    <row r="5843" spans="1:17" x14ac:dyDescent="0.25">
      <c r="A5843" t="s">
        <v>1059</v>
      </c>
      <c r="B5843" t="s">
        <v>1058</v>
      </c>
      <c r="C5843" t="s">
        <v>175</v>
      </c>
      <c r="D5843" t="s">
        <v>906</v>
      </c>
      <c r="E5843" t="s">
        <v>907</v>
      </c>
      <c r="F5843">
        <v>1</v>
      </c>
      <c r="G5843" t="s">
        <v>176</v>
      </c>
      <c r="H5843">
        <v>1</v>
      </c>
      <c r="I5843">
        <v>13</v>
      </c>
      <c r="J5843" s="10">
        <v>6</v>
      </c>
      <c r="K5843" s="10">
        <f>SUMIFS(F:F,D:D,DST_123_ÜRETİM_İHTİYAÇ_RAPORU_BURAK_YENI1309[[#This Row],[ALT_KOD]])-(SUMIFS(H:H,D:D,DST_123_ÜRETİM_İHTİYAÇ_RAPORU_BURAK_YENI1309[[#This Row],[ALT_KOD]])+AVERAGEIFS(I:I,D:D,DST_123_ÜRETİM_İHTİYAÇ_RAPORU_BURAK_YENI1309[[#This Row],[ALT_KOD]])+AVERAGEIFS(L:L,D:D,DST_123_ÜRETİM_İHTİYAÇ_RAPORU_BURAK_YENI1309[[#This Row],[ALT_KOD]]))</f>
        <v>-10</v>
      </c>
      <c r="L5843">
        <v>0</v>
      </c>
      <c r="M5843">
        <f>IF((DST_123_ÜRETİM_İHTİYAÇ_RAPORU_BURAK_YENI1309[[#This Row],[SATINALMA]]*DST_123_ÜRETİM_İHTİYAÇ_RAPORU_BURAK_YENI1309[[#This Row],[BIRIM_FIYATLAR]])&lt;1,VALUE("0"),DST_123_ÜRETİM_İHTİYAÇ_RAPORU_BURAK_YENI1309[[#This Row],[SATINALMA]]*DST_123_ÜRETİM_İHTİYAÇ_RAPORU_BURAK_YENI1309[[#This Row],[BIRIM_FIYATLAR]])</f>
        <v>0</v>
      </c>
      <c r="N5843">
        <v>344.14</v>
      </c>
      <c r="O5843" t="s">
        <v>908</v>
      </c>
      <c r="P5843">
        <v>344.14</v>
      </c>
      <c r="Q5843" t="s">
        <v>180</v>
      </c>
    </row>
    <row r="5844" spans="1:17" x14ac:dyDescent="0.25">
      <c r="A5844" t="s">
        <v>1057</v>
      </c>
      <c r="B5844" t="s">
        <v>1058</v>
      </c>
      <c r="C5844" t="s">
        <v>175</v>
      </c>
      <c r="D5844" t="s">
        <v>1010</v>
      </c>
      <c r="E5844" t="s">
        <v>1011</v>
      </c>
      <c r="F5844">
        <v>0.5</v>
      </c>
      <c r="G5844" t="s">
        <v>176</v>
      </c>
      <c r="H5844">
        <v>0.5</v>
      </c>
      <c r="I5844">
        <v>0</v>
      </c>
      <c r="J5844" s="10">
        <v>2</v>
      </c>
      <c r="K5844" s="10">
        <f>SUMIFS(F:F,D:D,DST_123_ÜRETİM_İHTİYAÇ_RAPORU_BURAK_YENI1309[[#This Row],[ALT_KOD]])-(SUMIFS(H:H,D:D,DST_123_ÜRETİM_İHTİYAÇ_RAPORU_BURAK_YENI1309[[#This Row],[ALT_KOD]])+AVERAGEIFS(I:I,D:D,DST_123_ÜRETİM_İHTİYAÇ_RAPORU_BURAK_YENI1309[[#This Row],[ALT_KOD]])+AVERAGEIFS(L:L,D:D,DST_123_ÜRETİM_İHTİYAÇ_RAPORU_BURAK_YENI1309[[#This Row],[ALT_KOD]]))</f>
        <v>0</v>
      </c>
      <c r="L5844">
        <v>0</v>
      </c>
      <c r="M5844">
        <f>IF((DST_123_ÜRETİM_İHTİYAÇ_RAPORU_BURAK_YENI1309[[#This Row],[SATINALMA]]*DST_123_ÜRETİM_İHTİYAÇ_RAPORU_BURAK_YENI1309[[#This Row],[BIRIM_FIYATLAR]])&lt;1,VALUE("0"),DST_123_ÜRETİM_İHTİYAÇ_RAPORU_BURAK_YENI1309[[#This Row],[SATINALMA]]*DST_123_ÜRETİM_İHTİYAÇ_RAPORU_BURAK_YENI1309[[#This Row],[BIRIM_FIYATLAR]])</f>
        <v>0</v>
      </c>
      <c r="N5844">
        <v>2010.25</v>
      </c>
      <c r="O5844" t="s">
        <v>1012</v>
      </c>
      <c r="P5844">
        <v>1005.125</v>
      </c>
      <c r="Q5844" t="s">
        <v>180</v>
      </c>
    </row>
    <row r="5845" spans="1:17" x14ac:dyDescent="0.25">
      <c r="A5845" t="s">
        <v>1098</v>
      </c>
      <c r="B5845" t="s">
        <v>1096</v>
      </c>
      <c r="C5845" t="s">
        <v>175</v>
      </c>
      <c r="D5845" t="s">
        <v>391</v>
      </c>
      <c r="E5845" t="s">
        <v>392</v>
      </c>
      <c r="F5845">
        <v>16.240000000000002</v>
      </c>
      <c r="G5845" t="s">
        <v>176</v>
      </c>
      <c r="H5845">
        <v>0</v>
      </c>
      <c r="I5845">
        <v>0</v>
      </c>
      <c r="J5845" s="10">
        <v>58.050000000000026</v>
      </c>
      <c r="K5845" s="10">
        <f>SUMIFS(F:F,D:D,DST_123_ÜRETİM_İHTİYAÇ_RAPORU_BURAK_YENI1309[[#This Row],[ALT_KOD]])-(SUMIFS(H:H,D:D,DST_123_ÜRETİM_İHTİYAÇ_RAPORU_BURAK_YENI1309[[#This Row],[ALT_KOD]])+AVERAGEIFS(I:I,D:D,DST_123_ÜRETİM_İHTİYAÇ_RAPORU_BURAK_YENI1309[[#This Row],[ALT_KOD]])+AVERAGEIFS(L:L,D:D,DST_123_ÜRETİM_İHTİYAÇ_RAPORU_BURAK_YENI1309[[#This Row],[ALT_KOD]]))</f>
        <v>144.72000000000003</v>
      </c>
      <c r="L5845">
        <v>37</v>
      </c>
      <c r="M5845">
        <f>IF((DST_123_ÜRETİM_İHTİYAÇ_RAPORU_BURAK_YENI1309[[#This Row],[SATINALMA]]*DST_123_ÜRETİM_İHTİYAÇ_RAPORU_BURAK_YENI1309[[#This Row],[BIRIM_FIYATLAR]])&lt;1,VALUE("0"),DST_123_ÜRETİM_İHTİYAÇ_RAPORU_BURAK_YENI1309[[#This Row],[SATINALMA]]*DST_123_ÜRETİM_İHTİYAÇ_RAPORU_BURAK_YENI1309[[#This Row],[BIRIM_FIYATLAR]])</f>
        <v>261099.48240000007</v>
      </c>
      <c r="N5845">
        <v>1804.17</v>
      </c>
      <c r="O5845" t="s">
        <v>223</v>
      </c>
      <c r="P5845">
        <v>29299.720800000006</v>
      </c>
      <c r="Q5845" t="s">
        <v>181</v>
      </c>
    </row>
    <row r="5846" spans="1:17" x14ac:dyDescent="0.25">
      <c r="A5846" t="s">
        <v>1150</v>
      </c>
      <c r="B5846" t="s">
        <v>1145</v>
      </c>
      <c r="C5846" t="s">
        <v>175</v>
      </c>
      <c r="D5846" t="s">
        <v>805</v>
      </c>
      <c r="E5846" t="s">
        <v>806</v>
      </c>
      <c r="F5846">
        <v>1</v>
      </c>
      <c r="G5846" t="s">
        <v>176</v>
      </c>
      <c r="H5846">
        <v>0</v>
      </c>
      <c r="I5846">
        <v>14</v>
      </c>
      <c r="J5846" s="10">
        <v>1</v>
      </c>
      <c r="K5846" s="10">
        <f>SUMIFS(F:F,D:D,DST_123_ÜRETİM_İHTİYAÇ_RAPORU_BURAK_YENI1309[[#This Row],[ALT_KOD]])-(SUMIFS(H:H,D:D,DST_123_ÜRETİM_İHTİYAÇ_RAPORU_BURAK_YENI1309[[#This Row],[ALT_KOD]])+AVERAGEIFS(I:I,D:D,DST_123_ÜRETİM_İHTİYAÇ_RAPORU_BURAK_YENI1309[[#This Row],[ALT_KOD]])+AVERAGEIFS(L:L,D:D,DST_123_ÜRETİM_İHTİYAÇ_RAPORU_BURAK_YENI1309[[#This Row],[ALT_KOD]]))</f>
        <v>-7</v>
      </c>
      <c r="L5846">
        <v>0</v>
      </c>
      <c r="M5846">
        <f>IF((DST_123_ÜRETİM_İHTİYAÇ_RAPORU_BURAK_YENI1309[[#This Row],[SATINALMA]]*DST_123_ÜRETİM_İHTİYAÇ_RAPORU_BURAK_YENI1309[[#This Row],[BIRIM_FIYATLAR]])&lt;1,VALUE("0"),DST_123_ÜRETİM_İHTİYAÇ_RAPORU_BURAK_YENI1309[[#This Row],[SATINALMA]]*DST_123_ÜRETİM_İHTİYAÇ_RAPORU_BURAK_YENI1309[[#This Row],[BIRIM_FIYATLAR]])</f>
        <v>0</v>
      </c>
      <c r="N5846">
        <v>458.33</v>
      </c>
      <c r="O5846" t="s">
        <v>628</v>
      </c>
      <c r="P5846">
        <v>458.33</v>
      </c>
      <c r="Q5846" t="s">
        <v>177</v>
      </c>
    </row>
    <row r="5847" spans="1:17" x14ac:dyDescent="0.25">
      <c r="A5847" t="s">
        <v>1101</v>
      </c>
      <c r="B5847" t="s">
        <v>1102</v>
      </c>
      <c r="C5847" t="s">
        <v>175</v>
      </c>
      <c r="D5847" t="s">
        <v>338</v>
      </c>
      <c r="E5847" t="s">
        <v>339</v>
      </c>
      <c r="F5847">
        <v>7.7500000000000009</v>
      </c>
      <c r="G5847" t="s">
        <v>185</v>
      </c>
      <c r="H5847">
        <v>7.7500000000000009</v>
      </c>
      <c r="I5847">
        <v>0</v>
      </c>
      <c r="J5847" s="10">
        <v>154.94999999999996</v>
      </c>
      <c r="K5847" s="10">
        <f>SUMIFS(F:F,D:D,DST_123_ÜRETİM_İHTİYAÇ_RAPORU_BURAK_YENI1309[[#This Row],[ALT_KOD]])-(SUMIFS(H:H,D:D,DST_123_ÜRETİM_İHTİYAÇ_RAPORU_BURAK_YENI1309[[#This Row],[ALT_KOD]])+AVERAGEIFS(I:I,D:D,DST_123_ÜRETİM_İHTİYAÇ_RAPORU_BURAK_YENI1309[[#This Row],[ALT_KOD]])+AVERAGEIFS(L:L,D:D,DST_123_ÜRETİM_İHTİYAÇ_RAPORU_BURAK_YENI1309[[#This Row],[ALT_KOD]]))</f>
        <v>21.899999999999991</v>
      </c>
      <c r="L5847">
        <v>60</v>
      </c>
      <c r="M5847">
        <f>IF((DST_123_ÜRETİM_İHTİYAÇ_RAPORU_BURAK_YENI1309[[#This Row],[SATINALMA]]*DST_123_ÜRETİM_İHTİYAÇ_RAPORU_BURAK_YENI1309[[#This Row],[BIRIM_FIYATLAR]])&lt;1,VALUE("0"),DST_123_ÜRETİM_İHTİYAÇ_RAPORU_BURAK_YENI1309[[#This Row],[SATINALMA]]*DST_123_ÜRETİM_İHTİYAÇ_RAPORU_BURAK_YENI1309[[#This Row],[BIRIM_FIYATLAR]])</f>
        <v>4265.0249999999987</v>
      </c>
      <c r="N5847">
        <v>194.75</v>
      </c>
      <c r="O5847" t="s">
        <v>490</v>
      </c>
      <c r="P5847">
        <v>1509.3125000000002</v>
      </c>
      <c r="Q5847" t="s">
        <v>183</v>
      </c>
    </row>
    <row r="5848" spans="1:17" x14ac:dyDescent="0.25">
      <c r="A5848" t="s">
        <v>1064</v>
      </c>
      <c r="B5848" t="s">
        <v>1055</v>
      </c>
      <c r="C5848" t="s">
        <v>175</v>
      </c>
      <c r="D5848" t="s">
        <v>116</v>
      </c>
      <c r="E5848" t="s">
        <v>117</v>
      </c>
      <c r="F5848">
        <v>124.54</v>
      </c>
      <c r="G5848" t="s">
        <v>185</v>
      </c>
      <c r="H5848">
        <v>124.54</v>
      </c>
      <c r="I5848">
        <v>-690</v>
      </c>
      <c r="J5848" s="10">
        <v>2123.619999999999</v>
      </c>
      <c r="K5848" s="10">
        <f>SUMIFS(F:F,D:D,DST_123_ÜRETİM_İHTİYAÇ_RAPORU_BURAK_YENI1309[[#This Row],[ALT_KOD]])-(SUMIFS(H:H,D:D,DST_123_ÜRETİM_İHTİYAÇ_RAPORU_BURAK_YENI1309[[#This Row],[ALT_KOD]])+AVERAGEIFS(I:I,D:D,DST_123_ÜRETİM_İHTİYAÇ_RAPORU_BURAK_YENI1309[[#This Row],[ALT_KOD]])+AVERAGEIFS(L:L,D:D,DST_123_ÜRETİM_İHTİYAÇ_RAPORU_BURAK_YENI1309[[#This Row],[ALT_KOD]]))</f>
        <v>1819.8699999999994</v>
      </c>
      <c r="L5848">
        <v>0</v>
      </c>
      <c r="M5848">
        <f>IF((DST_123_ÜRETİM_İHTİYAÇ_RAPORU_BURAK_YENI1309[[#This Row],[SATINALMA]]*DST_123_ÜRETİM_İHTİYAÇ_RAPORU_BURAK_YENI1309[[#This Row],[BIRIM_FIYATLAR]])&lt;1,VALUE("0"),DST_123_ÜRETİM_İHTİYAÇ_RAPORU_BURAK_YENI1309[[#This Row],[SATINALMA]]*DST_123_ÜRETİM_İHTİYAÇ_RAPORU_BURAK_YENI1309[[#This Row],[BIRIM_FIYATLAR]])</f>
        <v>172651.06689999995</v>
      </c>
      <c r="N5848">
        <v>94.87</v>
      </c>
      <c r="O5848" t="s">
        <v>490</v>
      </c>
      <c r="P5848">
        <v>11815.109800000002</v>
      </c>
      <c r="Q5848" t="s">
        <v>183</v>
      </c>
    </row>
    <row r="5849" spans="1:17" x14ac:dyDescent="0.25">
      <c r="A5849" t="s">
        <v>1064</v>
      </c>
      <c r="B5849" t="s">
        <v>1055</v>
      </c>
      <c r="C5849" t="s">
        <v>175</v>
      </c>
      <c r="D5849" t="s">
        <v>391</v>
      </c>
      <c r="E5849" t="s">
        <v>392</v>
      </c>
      <c r="F5849">
        <v>12</v>
      </c>
      <c r="G5849" t="s">
        <v>176</v>
      </c>
      <c r="H5849">
        <v>12</v>
      </c>
      <c r="I5849">
        <v>0</v>
      </c>
      <c r="J5849" s="10">
        <v>58.050000000000026</v>
      </c>
      <c r="K5849" s="10">
        <f>SUMIFS(F:F,D:D,DST_123_ÜRETİM_İHTİYAÇ_RAPORU_BURAK_YENI1309[[#This Row],[ALT_KOD]])-(SUMIFS(H:H,D:D,DST_123_ÜRETİM_İHTİYAÇ_RAPORU_BURAK_YENI1309[[#This Row],[ALT_KOD]])+AVERAGEIFS(I:I,D:D,DST_123_ÜRETİM_İHTİYAÇ_RAPORU_BURAK_YENI1309[[#This Row],[ALT_KOD]])+AVERAGEIFS(L:L,D:D,DST_123_ÜRETİM_İHTİYAÇ_RAPORU_BURAK_YENI1309[[#This Row],[ALT_KOD]]))</f>
        <v>144.72000000000003</v>
      </c>
      <c r="L5849">
        <v>37</v>
      </c>
      <c r="M5849">
        <f>IF((DST_123_ÜRETİM_İHTİYAÇ_RAPORU_BURAK_YENI1309[[#This Row],[SATINALMA]]*DST_123_ÜRETİM_İHTİYAÇ_RAPORU_BURAK_YENI1309[[#This Row],[BIRIM_FIYATLAR]])&lt;1,VALUE("0"),DST_123_ÜRETİM_İHTİYAÇ_RAPORU_BURAK_YENI1309[[#This Row],[SATINALMA]]*DST_123_ÜRETİM_İHTİYAÇ_RAPORU_BURAK_YENI1309[[#This Row],[BIRIM_FIYATLAR]])</f>
        <v>261099.48240000007</v>
      </c>
      <c r="N5849">
        <v>1804.17</v>
      </c>
      <c r="O5849" t="s">
        <v>223</v>
      </c>
      <c r="P5849">
        <v>21650.04</v>
      </c>
      <c r="Q5849" t="s">
        <v>181</v>
      </c>
    </row>
    <row r="5850" spans="1:17" x14ac:dyDescent="0.25">
      <c r="A5850" t="s">
        <v>1064</v>
      </c>
      <c r="B5850" t="s">
        <v>1055</v>
      </c>
      <c r="C5850" t="s">
        <v>175</v>
      </c>
      <c r="D5850" t="s">
        <v>508</v>
      </c>
      <c r="E5850" t="s">
        <v>509</v>
      </c>
      <c r="F5850">
        <v>1</v>
      </c>
      <c r="G5850" t="s">
        <v>176</v>
      </c>
      <c r="H5850">
        <v>1</v>
      </c>
      <c r="I5850">
        <v>4</v>
      </c>
      <c r="J5850" s="10">
        <v>10</v>
      </c>
      <c r="K5850" s="10">
        <f>SUMIFS(F:F,D:D,DST_123_ÜRETİM_İHTİYAÇ_RAPORU_BURAK_YENI1309[[#This Row],[ALT_KOD]])-(SUMIFS(H:H,D:D,DST_123_ÜRETİM_İHTİYAÇ_RAPORU_BURAK_YENI1309[[#This Row],[ALT_KOD]])+AVERAGEIFS(I:I,D:D,DST_123_ÜRETİM_İHTİYAÇ_RAPORU_BURAK_YENI1309[[#This Row],[ALT_KOD]])+AVERAGEIFS(L:L,D:D,DST_123_ÜRETİM_İHTİYAÇ_RAPORU_BURAK_YENI1309[[#This Row],[ALT_KOD]]))</f>
        <v>1</v>
      </c>
      <c r="L5850">
        <v>7</v>
      </c>
      <c r="M5850">
        <f>IF((DST_123_ÜRETİM_İHTİYAÇ_RAPORU_BURAK_YENI1309[[#This Row],[SATINALMA]]*DST_123_ÜRETİM_İHTİYAÇ_RAPORU_BURAK_YENI1309[[#This Row],[BIRIM_FIYATLAR]])&lt;1,VALUE("0"),DST_123_ÜRETİM_İHTİYAÇ_RAPORU_BURAK_YENI1309[[#This Row],[SATINALMA]]*DST_123_ÜRETİM_İHTİYAÇ_RAPORU_BURAK_YENI1309[[#This Row],[BIRIM_FIYATLAR]])</f>
        <v>1535.25</v>
      </c>
      <c r="N5850">
        <v>1535.25</v>
      </c>
      <c r="O5850" t="s">
        <v>507</v>
      </c>
      <c r="P5850">
        <v>1535.25</v>
      </c>
      <c r="Q5850" t="s">
        <v>221</v>
      </c>
    </row>
    <row r="5851" spans="1:17" x14ac:dyDescent="0.25">
      <c r="A5851" t="s">
        <v>1101</v>
      </c>
      <c r="B5851" t="s">
        <v>1102</v>
      </c>
      <c r="C5851" t="s">
        <v>175</v>
      </c>
      <c r="D5851" t="s">
        <v>60</v>
      </c>
      <c r="E5851" t="s">
        <v>61</v>
      </c>
      <c r="F5851">
        <v>1</v>
      </c>
      <c r="G5851" t="s">
        <v>176</v>
      </c>
      <c r="H5851">
        <v>1</v>
      </c>
      <c r="I5851">
        <v>17</v>
      </c>
      <c r="J5851" s="10">
        <v>11</v>
      </c>
      <c r="K5851" s="10">
        <f>SUMIFS(F:F,D:D,DST_123_ÜRETİM_İHTİYAÇ_RAPORU_BURAK_YENI1309[[#This Row],[ALT_KOD]])-(SUMIFS(H:H,D:D,DST_123_ÜRETİM_İHTİYAÇ_RAPORU_BURAK_YENI1309[[#This Row],[ALT_KOD]])+AVERAGEIFS(I:I,D:D,DST_123_ÜRETİM_İHTİYAÇ_RAPORU_BURAK_YENI1309[[#This Row],[ALT_KOD]])+AVERAGEIFS(L:L,D:D,DST_123_ÜRETİM_İHTİYAÇ_RAPORU_BURAK_YENI1309[[#This Row],[ALT_KOD]]))</f>
        <v>-5</v>
      </c>
      <c r="L5851">
        <v>0</v>
      </c>
      <c r="M5851">
        <f>IF((DST_123_ÜRETİM_İHTİYAÇ_RAPORU_BURAK_YENI1309[[#This Row],[SATINALMA]]*DST_123_ÜRETİM_İHTİYAÇ_RAPORU_BURAK_YENI1309[[#This Row],[BIRIM_FIYATLAR]])&lt;1,VALUE("0"),DST_123_ÜRETİM_İHTİYAÇ_RAPORU_BURAK_YENI1309[[#This Row],[SATINALMA]]*DST_123_ÜRETİM_İHTİYAÇ_RAPORU_BURAK_YENI1309[[#This Row],[BIRIM_FIYATLAR]])</f>
        <v>0</v>
      </c>
      <c r="N5851">
        <v>115.6</v>
      </c>
      <c r="O5851" t="s">
        <v>826</v>
      </c>
      <c r="P5851">
        <v>115.6</v>
      </c>
      <c r="Q5851" t="s">
        <v>221</v>
      </c>
    </row>
    <row r="5852" spans="1:17" x14ac:dyDescent="0.25">
      <c r="A5852" t="s">
        <v>1060</v>
      </c>
      <c r="B5852" t="s">
        <v>1061</v>
      </c>
      <c r="C5852" t="s">
        <v>175</v>
      </c>
      <c r="D5852" t="s">
        <v>508</v>
      </c>
      <c r="E5852" t="s">
        <v>509</v>
      </c>
      <c r="F5852">
        <v>1</v>
      </c>
      <c r="G5852" t="s">
        <v>176</v>
      </c>
      <c r="H5852">
        <v>1</v>
      </c>
      <c r="I5852">
        <v>4</v>
      </c>
      <c r="J5852" s="10">
        <v>10</v>
      </c>
      <c r="K5852" s="10">
        <f>SUMIFS(F:F,D:D,DST_123_ÜRETİM_İHTİYAÇ_RAPORU_BURAK_YENI1309[[#This Row],[ALT_KOD]])-(SUMIFS(H:H,D:D,DST_123_ÜRETİM_İHTİYAÇ_RAPORU_BURAK_YENI1309[[#This Row],[ALT_KOD]])+AVERAGEIFS(I:I,D:D,DST_123_ÜRETİM_İHTİYAÇ_RAPORU_BURAK_YENI1309[[#This Row],[ALT_KOD]])+AVERAGEIFS(L:L,D:D,DST_123_ÜRETİM_İHTİYAÇ_RAPORU_BURAK_YENI1309[[#This Row],[ALT_KOD]]))</f>
        <v>1</v>
      </c>
      <c r="L5852">
        <v>7</v>
      </c>
      <c r="M5852">
        <f>IF((DST_123_ÜRETİM_İHTİYAÇ_RAPORU_BURAK_YENI1309[[#This Row],[SATINALMA]]*DST_123_ÜRETİM_İHTİYAÇ_RAPORU_BURAK_YENI1309[[#This Row],[BIRIM_FIYATLAR]])&lt;1,VALUE("0"),DST_123_ÜRETİM_İHTİYAÇ_RAPORU_BURAK_YENI1309[[#This Row],[SATINALMA]]*DST_123_ÜRETİM_İHTİYAÇ_RAPORU_BURAK_YENI1309[[#This Row],[BIRIM_FIYATLAR]])</f>
        <v>1535.25</v>
      </c>
      <c r="N5852">
        <v>1535.25</v>
      </c>
      <c r="O5852" t="s">
        <v>507</v>
      </c>
      <c r="P5852">
        <v>1535.25</v>
      </c>
      <c r="Q5852" t="s">
        <v>221</v>
      </c>
    </row>
    <row r="5853" spans="1:17" x14ac:dyDescent="0.25">
      <c r="A5853" t="s">
        <v>1059</v>
      </c>
      <c r="B5853" t="s">
        <v>1058</v>
      </c>
      <c r="C5853" t="s">
        <v>175</v>
      </c>
      <c r="D5853" t="s">
        <v>299</v>
      </c>
      <c r="E5853" t="s">
        <v>300</v>
      </c>
      <c r="F5853">
        <v>13.5</v>
      </c>
      <c r="G5853" t="s">
        <v>176</v>
      </c>
      <c r="H5853">
        <v>13.5</v>
      </c>
      <c r="I5853">
        <v>180</v>
      </c>
      <c r="J5853" s="10">
        <v>80</v>
      </c>
      <c r="K5853" s="10">
        <f>SUMIFS(F:F,D:D,DST_123_ÜRETİM_İHTİYAÇ_RAPORU_BURAK_YENI1309[[#This Row],[ALT_KOD]])-(SUMIFS(H:H,D:D,DST_123_ÜRETİM_İHTİYAÇ_RAPORU_BURAK_YENI1309[[#This Row],[ALT_KOD]])+AVERAGEIFS(I:I,D:D,DST_123_ÜRETİM_İHTİYAÇ_RAPORU_BURAK_YENI1309[[#This Row],[ALT_KOD]])+AVERAGEIFS(L:L,D:D,DST_123_ÜRETİM_İHTİYAÇ_RAPORU_BURAK_YENI1309[[#This Row],[ALT_KOD]]))</f>
        <v>32</v>
      </c>
      <c r="L5853">
        <v>0</v>
      </c>
      <c r="M5853">
        <f>IF((DST_123_ÜRETİM_İHTİYAÇ_RAPORU_BURAK_YENI1309[[#This Row],[SATINALMA]]*DST_123_ÜRETİM_İHTİYAÇ_RAPORU_BURAK_YENI1309[[#This Row],[BIRIM_FIYATLAR]])&lt;1,VALUE("0"),DST_123_ÜRETİM_İHTİYAÇ_RAPORU_BURAK_YENI1309[[#This Row],[SATINALMA]]*DST_123_ÜRETİM_İHTİYAÇ_RAPORU_BURAK_YENI1309[[#This Row],[BIRIM_FIYATLAR]])</f>
        <v>7680</v>
      </c>
      <c r="N5853">
        <v>240</v>
      </c>
      <c r="O5853" t="s">
        <v>240</v>
      </c>
      <c r="P5853">
        <v>3240</v>
      </c>
      <c r="Q5853" t="s">
        <v>180</v>
      </c>
    </row>
    <row r="5854" spans="1:17" x14ac:dyDescent="0.25">
      <c r="A5854" t="s">
        <v>1060</v>
      </c>
      <c r="B5854" t="s">
        <v>1061</v>
      </c>
      <c r="C5854" t="s">
        <v>175</v>
      </c>
      <c r="D5854" t="s">
        <v>338</v>
      </c>
      <c r="E5854" t="s">
        <v>339</v>
      </c>
      <c r="F5854">
        <v>2.4700000000000002</v>
      </c>
      <c r="G5854" t="s">
        <v>185</v>
      </c>
      <c r="H5854">
        <v>2.4700000000000002</v>
      </c>
      <c r="I5854">
        <v>0</v>
      </c>
      <c r="J5854" s="10">
        <v>154.94999999999996</v>
      </c>
      <c r="K5854" s="10">
        <f>SUMIFS(F:F,D:D,DST_123_ÜRETİM_İHTİYAÇ_RAPORU_BURAK_YENI1309[[#This Row],[ALT_KOD]])-(SUMIFS(H:H,D:D,DST_123_ÜRETİM_İHTİYAÇ_RAPORU_BURAK_YENI1309[[#This Row],[ALT_KOD]])+AVERAGEIFS(I:I,D:D,DST_123_ÜRETİM_İHTİYAÇ_RAPORU_BURAK_YENI1309[[#This Row],[ALT_KOD]])+AVERAGEIFS(L:L,D:D,DST_123_ÜRETİM_İHTİYAÇ_RAPORU_BURAK_YENI1309[[#This Row],[ALT_KOD]]))</f>
        <v>21.899999999999991</v>
      </c>
      <c r="L5854">
        <v>60</v>
      </c>
      <c r="M5854">
        <f>IF((DST_123_ÜRETİM_İHTİYAÇ_RAPORU_BURAK_YENI1309[[#This Row],[SATINALMA]]*DST_123_ÜRETİM_İHTİYAÇ_RAPORU_BURAK_YENI1309[[#This Row],[BIRIM_FIYATLAR]])&lt;1,VALUE("0"),DST_123_ÜRETİM_İHTİYAÇ_RAPORU_BURAK_YENI1309[[#This Row],[SATINALMA]]*DST_123_ÜRETİM_İHTİYAÇ_RAPORU_BURAK_YENI1309[[#This Row],[BIRIM_FIYATLAR]])</f>
        <v>4265.0249999999987</v>
      </c>
      <c r="N5854">
        <v>194.75</v>
      </c>
      <c r="O5854" t="s">
        <v>490</v>
      </c>
      <c r="P5854">
        <v>481.03250000000003</v>
      </c>
      <c r="Q5854" t="s">
        <v>183</v>
      </c>
    </row>
    <row r="5855" spans="1:17" x14ac:dyDescent="0.25">
      <c r="A5855" t="s">
        <v>1101</v>
      </c>
      <c r="B5855" t="s">
        <v>1102</v>
      </c>
      <c r="C5855" t="s">
        <v>175</v>
      </c>
      <c r="D5855" t="s">
        <v>406</v>
      </c>
      <c r="E5855" t="s">
        <v>407</v>
      </c>
      <c r="F5855">
        <v>1</v>
      </c>
      <c r="G5855" t="s">
        <v>176</v>
      </c>
      <c r="H5855">
        <v>1</v>
      </c>
      <c r="I5855">
        <v>34</v>
      </c>
      <c r="J5855" s="10">
        <v>62</v>
      </c>
      <c r="K5855" s="10">
        <f>SUMIFS(F:F,D:D,DST_123_ÜRETİM_İHTİYAÇ_RAPORU_BURAK_YENI1309[[#This Row],[ALT_KOD]])-(SUMIFS(H:H,D:D,DST_123_ÜRETİM_İHTİYAÇ_RAPORU_BURAK_YENI1309[[#This Row],[ALT_KOD]])+AVERAGEIFS(I:I,D:D,DST_123_ÜRETİM_İHTİYAÇ_RAPORU_BURAK_YENI1309[[#This Row],[ALT_KOD]])+AVERAGEIFS(L:L,D:D,DST_123_ÜRETİM_İHTİYAÇ_RAPORU_BURAK_YENI1309[[#This Row],[ALT_KOD]]))</f>
        <v>-12</v>
      </c>
      <c r="L5855">
        <v>0</v>
      </c>
      <c r="M5855">
        <f>IF((DST_123_ÜRETİM_İHTİYAÇ_RAPORU_BURAK_YENI1309[[#This Row],[SATINALMA]]*DST_123_ÜRETİM_İHTİYAÇ_RAPORU_BURAK_YENI1309[[#This Row],[BIRIM_FIYATLAR]])&lt;1,VALUE("0"),DST_123_ÜRETİM_İHTİYAÇ_RAPORU_BURAK_YENI1309[[#This Row],[SATINALMA]]*DST_123_ÜRETİM_İHTİYAÇ_RAPORU_BURAK_YENI1309[[#This Row],[BIRIM_FIYATLAR]])</f>
        <v>0</v>
      </c>
      <c r="N5855">
        <v>19.07</v>
      </c>
      <c r="O5855" t="s">
        <v>826</v>
      </c>
      <c r="P5855">
        <v>19.07</v>
      </c>
      <c r="Q5855" t="s">
        <v>221</v>
      </c>
    </row>
    <row r="5856" spans="1:17" x14ac:dyDescent="0.25">
      <c r="A5856" t="s">
        <v>1150</v>
      </c>
      <c r="B5856" t="s">
        <v>1145</v>
      </c>
      <c r="C5856" t="s">
        <v>175</v>
      </c>
      <c r="D5856" t="s">
        <v>338</v>
      </c>
      <c r="E5856" t="s">
        <v>339</v>
      </c>
      <c r="F5856">
        <v>2.4700000000000002</v>
      </c>
      <c r="G5856" t="s">
        <v>185</v>
      </c>
      <c r="H5856">
        <v>0</v>
      </c>
      <c r="I5856">
        <v>0</v>
      </c>
      <c r="J5856" s="10">
        <v>154.94999999999996</v>
      </c>
      <c r="K5856" s="10">
        <f>SUMIFS(F:F,D:D,DST_123_ÜRETİM_İHTİYAÇ_RAPORU_BURAK_YENI1309[[#This Row],[ALT_KOD]])-(SUMIFS(H:H,D:D,DST_123_ÜRETİM_İHTİYAÇ_RAPORU_BURAK_YENI1309[[#This Row],[ALT_KOD]])+AVERAGEIFS(I:I,D:D,DST_123_ÜRETİM_İHTİYAÇ_RAPORU_BURAK_YENI1309[[#This Row],[ALT_KOD]])+AVERAGEIFS(L:L,D:D,DST_123_ÜRETİM_İHTİYAÇ_RAPORU_BURAK_YENI1309[[#This Row],[ALT_KOD]]))</f>
        <v>21.899999999999991</v>
      </c>
      <c r="L5856">
        <v>60</v>
      </c>
      <c r="M5856">
        <f>IF((DST_123_ÜRETİM_İHTİYAÇ_RAPORU_BURAK_YENI1309[[#This Row],[SATINALMA]]*DST_123_ÜRETİM_İHTİYAÇ_RAPORU_BURAK_YENI1309[[#This Row],[BIRIM_FIYATLAR]])&lt;1,VALUE("0"),DST_123_ÜRETİM_İHTİYAÇ_RAPORU_BURAK_YENI1309[[#This Row],[SATINALMA]]*DST_123_ÜRETİM_İHTİYAÇ_RAPORU_BURAK_YENI1309[[#This Row],[BIRIM_FIYATLAR]])</f>
        <v>4265.0249999999987</v>
      </c>
      <c r="N5856">
        <v>194.75</v>
      </c>
      <c r="O5856" t="s">
        <v>490</v>
      </c>
      <c r="P5856">
        <v>481.03250000000003</v>
      </c>
      <c r="Q5856" t="s">
        <v>183</v>
      </c>
    </row>
    <row r="5857" spans="1:17" x14ac:dyDescent="0.25">
      <c r="A5857" t="s">
        <v>1101</v>
      </c>
      <c r="B5857" t="s">
        <v>1102</v>
      </c>
      <c r="C5857" t="s">
        <v>175</v>
      </c>
      <c r="D5857" t="s">
        <v>290</v>
      </c>
      <c r="E5857" t="s">
        <v>291</v>
      </c>
      <c r="F5857">
        <v>8</v>
      </c>
      <c r="G5857" t="s">
        <v>176</v>
      </c>
      <c r="H5857">
        <v>8</v>
      </c>
      <c r="I5857">
        <v>125</v>
      </c>
      <c r="J5857" s="10">
        <v>54</v>
      </c>
      <c r="K5857" s="10">
        <f>SUMIFS(F:F,D:D,DST_123_ÜRETİM_İHTİYAÇ_RAPORU_BURAK_YENI1309[[#This Row],[ALT_KOD]])-(SUMIFS(H:H,D:D,DST_123_ÜRETİM_İHTİYAÇ_RAPORU_BURAK_YENI1309[[#This Row],[ALT_KOD]])+AVERAGEIFS(I:I,D:D,DST_123_ÜRETİM_İHTİYAÇ_RAPORU_BURAK_YENI1309[[#This Row],[ALT_KOD]])+AVERAGEIFS(L:L,D:D,DST_123_ÜRETİM_İHTİYAÇ_RAPORU_BURAK_YENI1309[[#This Row],[ALT_KOD]]))</f>
        <v>-49</v>
      </c>
      <c r="L5857">
        <v>0</v>
      </c>
      <c r="M5857">
        <f>IF((DST_123_ÜRETİM_İHTİYAÇ_RAPORU_BURAK_YENI1309[[#This Row],[SATINALMA]]*DST_123_ÜRETİM_İHTİYAÇ_RAPORU_BURAK_YENI1309[[#This Row],[BIRIM_FIYATLAR]])&lt;1,VALUE("0"),DST_123_ÜRETİM_İHTİYAÇ_RAPORU_BURAK_YENI1309[[#This Row],[SATINALMA]]*DST_123_ÜRETİM_İHTİYAÇ_RAPORU_BURAK_YENI1309[[#This Row],[BIRIM_FIYATLAR]])</f>
        <v>0</v>
      </c>
      <c r="N5857">
        <v>3.75</v>
      </c>
      <c r="O5857" t="s">
        <v>628</v>
      </c>
      <c r="P5857">
        <v>30</v>
      </c>
      <c r="Q5857" t="s">
        <v>180</v>
      </c>
    </row>
    <row r="5858" spans="1:17" x14ac:dyDescent="0.25">
      <c r="A5858" t="s">
        <v>1059</v>
      </c>
      <c r="B5858" t="s">
        <v>1058</v>
      </c>
      <c r="C5858" t="s">
        <v>175</v>
      </c>
      <c r="D5858" t="s">
        <v>1010</v>
      </c>
      <c r="E5858" t="s">
        <v>1011</v>
      </c>
      <c r="F5858">
        <v>0.5</v>
      </c>
      <c r="G5858" t="s">
        <v>176</v>
      </c>
      <c r="H5858">
        <v>0.5</v>
      </c>
      <c r="I5858">
        <v>0</v>
      </c>
      <c r="J5858" s="10">
        <v>2</v>
      </c>
      <c r="K5858" s="10">
        <f>SUMIFS(F:F,D:D,DST_123_ÜRETİM_İHTİYAÇ_RAPORU_BURAK_YENI1309[[#This Row],[ALT_KOD]])-(SUMIFS(H:H,D:D,DST_123_ÜRETİM_İHTİYAÇ_RAPORU_BURAK_YENI1309[[#This Row],[ALT_KOD]])+AVERAGEIFS(I:I,D:D,DST_123_ÜRETİM_İHTİYAÇ_RAPORU_BURAK_YENI1309[[#This Row],[ALT_KOD]])+AVERAGEIFS(L:L,D:D,DST_123_ÜRETİM_İHTİYAÇ_RAPORU_BURAK_YENI1309[[#This Row],[ALT_KOD]]))</f>
        <v>0</v>
      </c>
      <c r="L5858">
        <v>0</v>
      </c>
      <c r="M5858">
        <f>IF((DST_123_ÜRETİM_İHTİYAÇ_RAPORU_BURAK_YENI1309[[#This Row],[SATINALMA]]*DST_123_ÜRETİM_İHTİYAÇ_RAPORU_BURAK_YENI1309[[#This Row],[BIRIM_FIYATLAR]])&lt;1,VALUE("0"),DST_123_ÜRETİM_İHTİYAÇ_RAPORU_BURAK_YENI1309[[#This Row],[SATINALMA]]*DST_123_ÜRETİM_İHTİYAÇ_RAPORU_BURAK_YENI1309[[#This Row],[BIRIM_FIYATLAR]])</f>
        <v>0</v>
      </c>
      <c r="N5858">
        <v>2010.25</v>
      </c>
      <c r="O5858" t="s">
        <v>1012</v>
      </c>
      <c r="P5858">
        <v>1005.125</v>
      </c>
      <c r="Q5858" t="s">
        <v>180</v>
      </c>
    </row>
    <row r="5859" spans="1:17" x14ac:dyDescent="0.25">
      <c r="A5859" t="s">
        <v>1144</v>
      </c>
      <c r="B5859" t="s">
        <v>1145</v>
      </c>
      <c r="C5859" t="s">
        <v>175</v>
      </c>
      <c r="D5859" t="s">
        <v>327</v>
      </c>
      <c r="E5859" t="s">
        <v>328</v>
      </c>
      <c r="F5859">
        <v>0.05</v>
      </c>
      <c r="G5859" t="s">
        <v>176</v>
      </c>
      <c r="H5859">
        <v>0</v>
      </c>
      <c r="I5859">
        <v>0</v>
      </c>
      <c r="J5859" s="10">
        <v>1.929999999999999</v>
      </c>
      <c r="K5859" s="10">
        <f>SUMIFS(F:F,D:D,DST_123_ÜRETİM_İHTİYAÇ_RAPORU_BURAK_YENI1309[[#This Row],[ALT_KOD]])-(SUMIFS(H:H,D:D,DST_123_ÜRETİM_İHTİYAÇ_RAPORU_BURAK_YENI1309[[#This Row],[ALT_KOD]])+AVERAGEIFS(I:I,D:D,DST_123_ÜRETİM_İHTİYAÇ_RAPORU_BURAK_YENI1309[[#This Row],[ALT_KOD]])+AVERAGEIFS(L:L,D:D,DST_123_ÜRETİM_İHTİYAÇ_RAPORU_BURAK_YENI1309[[#This Row],[ALT_KOD]]))</f>
        <v>1.2600000000000005</v>
      </c>
      <c r="L5859">
        <v>0</v>
      </c>
      <c r="M5859">
        <f>IF((DST_123_ÜRETİM_İHTİYAÇ_RAPORU_BURAK_YENI1309[[#This Row],[SATINALMA]]*DST_123_ÜRETİM_İHTİYAÇ_RAPORU_BURAK_YENI1309[[#This Row],[BIRIM_FIYATLAR]])&lt;1,VALUE("0"),DST_123_ÜRETİM_İHTİYAÇ_RAPORU_BURAK_YENI1309[[#This Row],[SATINALMA]]*DST_123_ÜRETİM_İHTİYAÇ_RAPORU_BURAK_YENI1309[[#This Row],[BIRIM_FIYATLAR]])</f>
        <v>1921.5000000000007</v>
      </c>
      <c r="N5859">
        <v>1525</v>
      </c>
      <c r="O5859" t="s">
        <v>240</v>
      </c>
      <c r="P5859">
        <v>76.25</v>
      </c>
      <c r="Q5859" t="s">
        <v>180</v>
      </c>
    </row>
    <row r="5860" spans="1:17" x14ac:dyDescent="0.25">
      <c r="A5860" t="s">
        <v>1097</v>
      </c>
      <c r="B5860" t="s">
        <v>1055</v>
      </c>
      <c r="C5860" t="s">
        <v>175</v>
      </c>
      <c r="D5860" t="s">
        <v>52</v>
      </c>
      <c r="E5860" t="s">
        <v>53</v>
      </c>
      <c r="F5860">
        <v>1</v>
      </c>
      <c r="G5860" t="s">
        <v>176</v>
      </c>
      <c r="H5860">
        <v>1</v>
      </c>
      <c r="I5860">
        <v>5</v>
      </c>
      <c r="J5860" s="10">
        <v>10</v>
      </c>
      <c r="K5860" s="10">
        <f>SUMIFS(F:F,D:D,DST_123_ÜRETİM_İHTİYAÇ_RAPORU_BURAK_YENI1309[[#This Row],[ALT_KOD]])-(SUMIFS(H:H,D:D,DST_123_ÜRETİM_İHTİYAÇ_RAPORU_BURAK_YENI1309[[#This Row],[ALT_KOD]])+AVERAGEIFS(I:I,D:D,DST_123_ÜRETİM_İHTİYAÇ_RAPORU_BURAK_YENI1309[[#This Row],[ALT_KOD]])+AVERAGEIFS(L:L,D:D,DST_123_ÜRETİM_İHTİYAÇ_RAPORU_BURAK_YENI1309[[#This Row],[ALT_KOD]]))</f>
        <v>7</v>
      </c>
      <c r="L5860">
        <v>0</v>
      </c>
      <c r="M5860">
        <f>IF((DST_123_ÜRETİM_İHTİYAÇ_RAPORU_BURAK_YENI1309[[#This Row],[SATINALMA]]*DST_123_ÜRETİM_İHTİYAÇ_RAPORU_BURAK_YENI1309[[#This Row],[BIRIM_FIYATLAR]])&lt;1,VALUE("0"),DST_123_ÜRETİM_İHTİYAÇ_RAPORU_BURAK_YENI1309[[#This Row],[SATINALMA]]*DST_123_ÜRETİM_İHTİYAÇ_RAPORU_BURAK_YENI1309[[#This Row],[BIRIM_FIYATLAR]])</f>
        <v>85641.010000000009</v>
      </c>
      <c r="N5860">
        <v>12234.43</v>
      </c>
      <c r="O5860" t="s">
        <v>215</v>
      </c>
      <c r="P5860">
        <v>12234.43</v>
      </c>
      <c r="Q5860" t="s">
        <v>221</v>
      </c>
    </row>
    <row r="5861" spans="1:17" x14ac:dyDescent="0.25">
      <c r="A5861" t="s">
        <v>1057</v>
      </c>
      <c r="B5861" t="s">
        <v>1058</v>
      </c>
      <c r="C5861" t="s">
        <v>175</v>
      </c>
      <c r="D5861" t="s">
        <v>508</v>
      </c>
      <c r="E5861" t="s">
        <v>509</v>
      </c>
      <c r="F5861">
        <v>1</v>
      </c>
      <c r="G5861" t="s">
        <v>176</v>
      </c>
      <c r="H5861">
        <v>1</v>
      </c>
      <c r="I5861">
        <v>4</v>
      </c>
      <c r="J5861" s="10">
        <v>10</v>
      </c>
      <c r="K5861" s="10">
        <f>SUMIFS(F:F,D:D,DST_123_ÜRETİM_İHTİYAÇ_RAPORU_BURAK_YENI1309[[#This Row],[ALT_KOD]])-(SUMIFS(H:H,D:D,DST_123_ÜRETİM_İHTİYAÇ_RAPORU_BURAK_YENI1309[[#This Row],[ALT_KOD]])+AVERAGEIFS(I:I,D:D,DST_123_ÜRETİM_İHTİYAÇ_RAPORU_BURAK_YENI1309[[#This Row],[ALT_KOD]])+AVERAGEIFS(L:L,D:D,DST_123_ÜRETİM_İHTİYAÇ_RAPORU_BURAK_YENI1309[[#This Row],[ALT_KOD]]))</f>
        <v>1</v>
      </c>
      <c r="L5861">
        <v>7</v>
      </c>
      <c r="M5861">
        <f>IF((DST_123_ÜRETİM_İHTİYAÇ_RAPORU_BURAK_YENI1309[[#This Row],[SATINALMA]]*DST_123_ÜRETİM_İHTİYAÇ_RAPORU_BURAK_YENI1309[[#This Row],[BIRIM_FIYATLAR]])&lt;1,VALUE("0"),DST_123_ÜRETİM_İHTİYAÇ_RAPORU_BURAK_YENI1309[[#This Row],[SATINALMA]]*DST_123_ÜRETİM_İHTİYAÇ_RAPORU_BURAK_YENI1309[[#This Row],[BIRIM_FIYATLAR]])</f>
        <v>1535.25</v>
      </c>
      <c r="N5861">
        <v>1535.25</v>
      </c>
      <c r="O5861" t="s">
        <v>507</v>
      </c>
      <c r="P5861">
        <v>1535.25</v>
      </c>
      <c r="Q5861" t="s">
        <v>221</v>
      </c>
    </row>
    <row r="5862" spans="1:17" x14ac:dyDescent="0.25">
      <c r="A5862" t="s">
        <v>1057</v>
      </c>
      <c r="B5862" t="s">
        <v>1058</v>
      </c>
      <c r="C5862" t="s">
        <v>175</v>
      </c>
      <c r="D5862" t="s">
        <v>906</v>
      </c>
      <c r="E5862" t="s">
        <v>907</v>
      </c>
      <c r="F5862">
        <v>1</v>
      </c>
      <c r="G5862" t="s">
        <v>176</v>
      </c>
      <c r="H5862">
        <v>1</v>
      </c>
      <c r="I5862">
        <v>13</v>
      </c>
      <c r="J5862" s="10">
        <v>6</v>
      </c>
      <c r="K5862" s="10">
        <f>SUMIFS(F:F,D:D,DST_123_ÜRETİM_İHTİYAÇ_RAPORU_BURAK_YENI1309[[#This Row],[ALT_KOD]])-(SUMIFS(H:H,D:D,DST_123_ÜRETİM_İHTİYAÇ_RAPORU_BURAK_YENI1309[[#This Row],[ALT_KOD]])+AVERAGEIFS(I:I,D:D,DST_123_ÜRETİM_İHTİYAÇ_RAPORU_BURAK_YENI1309[[#This Row],[ALT_KOD]])+AVERAGEIFS(L:L,D:D,DST_123_ÜRETİM_İHTİYAÇ_RAPORU_BURAK_YENI1309[[#This Row],[ALT_KOD]]))</f>
        <v>-10</v>
      </c>
      <c r="L5862">
        <v>0</v>
      </c>
      <c r="M5862">
        <f>IF((DST_123_ÜRETİM_İHTİYAÇ_RAPORU_BURAK_YENI1309[[#This Row],[SATINALMA]]*DST_123_ÜRETİM_İHTİYAÇ_RAPORU_BURAK_YENI1309[[#This Row],[BIRIM_FIYATLAR]])&lt;1,VALUE("0"),DST_123_ÜRETİM_İHTİYAÇ_RAPORU_BURAK_YENI1309[[#This Row],[SATINALMA]]*DST_123_ÜRETİM_İHTİYAÇ_RAPORU_BURAK_YENI1309[[#This Row],[BIRIM_FIYATLAR]])</f>
        <v>0</v>
      </c>
      <c r="N5862">
        <v>344.14</v>
      </c>
      <c r="O5862" t="s">
        <v>908</v>
      </c>
      <c r="P5862">
        <v>344.14</v>
      </c>
      <c r="Q5862" t="s">
        <v>180</v>
      </c>
    </row>
    <row r="5863" spans="1:17" x14ac:dyDescent="0.25">
      <c r="A5863" t="s">
        <v>1100</v>
      </c>
      <c r="B5863" t="s">
        <v>1058</v>
      </c>
      <c r="C5863" t="s">
        <v>175</v>
      </c>
      <c r="D5863" t="s">
        <v>338</v>
      </c>
      <c r="E5863" t="s">
        <v>339</v>
      </c>
      <c r="F5863">
        <v>2.4700000000000002</v>
      </c>
      <c r="G5863" t="s">
        <v>185</v>
      </c>
      <c r="H5863">
        <v>2.4700000000000002</v>
      </c>
      <c r="I5863">
        <v>0</v>
      </c>
      <c r="J5863" s="10">
        <v>154.94999999999996</v>
      </c>
      <c r="K5863" s="10">
        <f>SUMIFS(F:F,D:D,DST_123_ÜRETİM_İHTİYAÇ_RAPORU_BURAK_YENI1309[[#This Row],[ALT_KOD]])-(SUMIFS(H:H,D:D,DST_123_ÜRETİM_İHTİYAÇ_RAPORU_BURAK_YENI1309[[#This Row],[ALT_KOD]])+AVERAGEIFS(I:I,D:D,DST_123_ÜRETİM_İHTİYAÇ_RAPORU_BURAK_YENI1309[[#This Row],[ALT_KOD]])+AVERAGEIFS(L:L,D:D,DST_123_ÜRETİM_İHTİYAÇ_RAPORU_BURAK_YENI1309[[#This Row],[ALT_KOD]]))</f>
        <v>21.899999999999991</v>
      </c>
      <c r="L5863">
        <v>60</v>
      </c>
      <c r="M5863">
        <f>IF((DST_123_ÜRETİM_İHTİYAÇ_RAPORU_BURAK_YENI1309[[#This Row],[SATINALMA]]*DST_123_ÜRETİM_İHTİYAÇ_RAPORU_BURAK_YENI1309[[#This Row],[BIRIM_FIYATLAR]])&lt;1,VALUE("0"),DST_123_ÜRETİM_İHTİYAÇ_RAPORU_BURAK_YENI1309[[#This Row],[SATINALMA]]*DST_123_ÜRETİM_İHTİYAÇ_RAPORU_BURAK_YENI1309[[#This Row],[BIRIM_FIYATLAR]])</f>
        <v>4265.0249999999987</v>
      </c>
      <c r="N5863">
        <v>194.75</v>
      </c>
      <c r="O5863" t="s">
        <v>490</v>
      </c>
      <c r="P5863">
        <v>481.03250000000003</v>
      </c>
      <c r="Q5863" t="s">
        <v>183</v>
      </c>
    </row>
    <row r="5864" spans="1:17" x14ac:dyDescent="0.25">
      <c r="A5864" t="s">
        <v>1064</v>
      </c>
      <c r="B5864" t="s">
        <v>1055</v>
      </c>
      <c r="C5864" t="s">
        <v>175</v>
      </c>
      <c r="D5864" t="s">
        <v>290</v>
      </c>
      <c r="E5864" t="s">
        <v>291</v>
      </c>
      <c r="F5864">
        <v>8</v>
      </c>
      <c r="G5864" t="s">
        <v>176</v>
      </c>
      <c r="H5864">
        <v>8</v>
      </c>
      <c r="I5864">
        <v>125</v>
      </c>
      <c r="J5864" s="10">
        <v>54</v>
      </c>
      <c r="K5864" s="10">
        <f>SUMIFS(F:F,D:D,DST_123_ÜRETİM_İHTİYAÇ_RAPORU_BURAK_YENI1309[[#This Row],[ALT_KOD]])-(SUMIFS(H:H,D:D,DST_123_ÜRETİM_İHTİYAÇ_RAPORU_BURAK_YENI1309[[#This Row],[ALT_KOD]])+AVERAGEIFS(I:I,D:D,DST_123_ÜRETİM_İHTİYAÇ_RAPORU_BURAK_YENI1309[[#This Row],[ALT_KOD]])+AVERAGEIFS(L:L,D:D,DST_123_ÜRETİM_İHTİYAÇ_RAPORU_BURAK_YENI1309[[#This Row],[ALT_KOD]]))</f>
        <v>-49</v>
      </c>
      <c r="L5864">
        <v>0</v>
      </c>
      <c r="M5864">
        <f>IF((DST_123_ÜRETİM_İHTİYAÇ_RAPORU_BURAK_YENI1309[[#This Row],[SATINALMA]]*DST_123_ÜRETİM_İHTİYAÇ_RAPORU_BURAK_YENI1309[[#This Row],[BIRIM_FIYATLAR]])&lt;1,VALUE("0"),DST_123_ÜRETİM_İHTİYAÇ_RAPORU_BURAK_YENI1309[[#This Row],[SATINALMA]]*DST_123_ÜRETİM_İHTİYAÇ_RAPORU_BURAK_YENI1309[[#This Row],[BIRIM_FIYATLAR]])</f>
        <v>0</v>
      </c>
      <c r="N5864">
        <v>3.75</v>
      </c>
      <c r="O5864" t="s">
        <v>628</v>
      </c>
      <c r="P5864">
        <v>30</v>
      </c>
      <c r="Q5864" t="s">
        <v>180</v>
      </c>
    </row>
    <row r="5865" spans="1:17" x14ac:dyDescent="0.25">
      <c r="A5865" t="s">
        <v>1064</v>
      </c>
      <c r="B5865" t="s">
        <v>1055</v>
      </c>
      <c r="C5865" t="s">
        <v>175</v>
      </c>
      <c r="D5865" t="s">
        <v>299</v>
      </c>
      <c r="E5865" t="s">
        <v>300</v>
      </c>
      <c r="F5865">
        <v>14</v>
      </c>
      <c r="G5865" t="s">
        <v>176</v>
      </c>
      <c r="H5865">
        <v>14</v>
      </c>
      <c r="I5865">
        <v>180</v>
      </c>
      <c r="J5865" s="10">
        <v>80</v>
      </c>
      <c r="K5865" s="10">
        <f>SUMIFS(F:F,D:D,DST_123_ÜRETİM_İHTİYAÇ_RAPORU_BURAK_YENI1309[[#This Row],[ALT_KOD]])-(SUMIFS(H:H,D:D,DST_123_ÜRETİM_İHTİYAÇ_RAPORU_BURAK_YENI1309[[#This Row],[ALT_KOD]])+AVERAGEIFS(I:I,D:D,DST_123_ÜRETİM_İHTİYAÇ_RAPORU_BURAK_YENI1309[[#This Row],[ALT_KOD]])+AVERAGEIFS(L:L,D:D,DST_123_ÜRETİM_İHTİYAÇ_RAPORU_BURAK_YENI1309[[#This Row],[ALT_KOD]]))</f>
        <v>32</v>
      </c>
      <c r="L5865">
        <v>0</v>
      </c>
      <c r="M5865">
        <f>IF((DST_123_ÜRETİM_İHTİYAÇ_RAPORU_BURAK_YENI1309[[#This Row],[SATINALMA]]*DST_123_ÜRETİM_İHTİYAÇ_RAPORU_BURAK_YENI1309[[#This Row],[BIRIM_FIYATLAR]])&lt;1,VALUE("0"),DST_123_ÜRETİM_İHTİYAÇ_RAPORU_BURAK_YENI1309[[#This Row],[SATINALMA]]*DST_123_ÜRETİM_İHTİYAÇ_RAPORU_BURAK_YENI1309[[#This Row],[BIRIM_FIYATLAR]])</f>
        <v>7680</v>
      </c>
      <c r="N5865">
        <v>240</v>
      </c>
      <c r="O5865" t="s">
        <v>240</v>
      </c>
      <c r="P5865">
        <v>3360</v>
      </c>
      <c r="Q5865" t="s">
        <v>180</v>
      </c>
    </row>
    <row r="5866" spans="1:17" x14ac:dyDescent="0.25">
      <c r="A5866" t="s">
        <v>1064</v>
      </c>
      <c r="B5866" t="s">
        <v>1055</v>
      </c>
      <c r="C5866" t="s">
        <v>175</v>
      </c>
      <c r="D5866" t="s">
        <v>60</v>
      </c>
      <c r="E5866" t="s">
        <v>61</v>
      </c>
      <c r="F5866">
        <v>1</v>
      </c>
      <c r="G5866" t="s">
        <v>176</v>
      </c>
      <c r="H5866">
        <v>1</v>
      </c>
      <c r="I5866">
        <v>17</v>
      </c>
      <c r="J5866" s="10">
        <v>11</v>
      </c>
      <c r="K5866" s="10">
        <f>SUMIFS(F:F,D:D,DST_123_ÜRETİM_İHTİYAÇ_RAPORU_BURAK_YENI1309[[#This Row],[ALT_KOD]])-(SUMIFS(H:H,D:D,DST_123_ÜRETİM_İHTİYAÇ_RAPORU_BURAK_YENI1309[[#This Row],[ALT_KOD]])+AVERAGEIFS(I:I,D:D,DST_123_ÜRETİM_İHTİYAÇ_RAPORU_BURAK_YENI1309[[#This Row],[ALT_KOD]])+AVERAGEIFS(L:L,D:D,DST_123_ÜRETİM_İHTİYAÇ_RAPORU_BURAK_YENI1309[[#This Row],[ALT_KOD]]))</f>
        <v>-5</v>
      </c>
      <c r="L5866">
        <v>0</v>
      </c>
      <c r="M5866">
        <f>IF((DST_123_ÜRETİM_İHTİYAÇ_RAPORU_BURAK_YENI1309[[#This Row],[SATINALMA]]*DST_123_ÜRETİM_İHTİYAÇ_RAPORU_BURAK_YENI1309[[#This Row],[BIRIM_FIYATLAR]])&lt;1,VALUE("0"),DST_123_ÜRETİM_İHTİYAÇ_RAPORU_BURAK_YENI1309[[#This Row],[SATINALMA]]*DST_123_ÜRETİM_İHTİYAÇ_RAPORU_BURAK_YENI1309[[#This Row],[BIRIM_FIYATLAR]])</f>
        <v>0</v>
      </c>
      <c r="N5866">
        <v>115.6</v>
      </c>
      <c r="O5866" t="s">
        <v>826</v>
      </c>
      <c r="P5866">
        <v>115.6</v>
      </c>
      <c r="Q5866" t="s">
        <v>221</v>
      </c>
    </row>
    <row r="5867" spans="1:17" x14ac:dyDescent="0.25">
      <c r="A5867" t="s">
        <v>1097</v>
      </c>
      <c r="B5867" t="s">
        <v>1055</v>
      </c>
      <c r="C5867" t="s">
        <v>175</v>
      </c>
      <c r="D5867" t="s">
        <v>60</v>
      </c>
      <c r="E5867" t="s">
        <v>61</v>
      </c>
      <c r="F5867">
        <v>1</v>
      </c>
      <c r="G5867" t="s">
        <v>176</v>
      </c>
      <c r="H5867">
        <v>1</v>
      </c>
      <c r="I5867">
        <v>17</v>
      </c>
      <c r="J5867" s="10">
        <v>11</v>
      </c>
      <c r="K5867" s="10">
        <f>SUMIFS(F:F,D:D,DST_123_ÜRETİM_İHTİYAÇ_RAPORU_BURAK_YENI1309[[#This Row],[ALT_KOD]])-(SUMIFS(H:H,D:D,DST_123_ÜRETİM_İHTİYAÇ_RAPORU_BURAK_YENI1309[[#This Row],[ALT_KOD]])+AVERAGEIFS(I:I,D:D,DST_123_ÜRETİM_İHTİYAÇ_RAPORU_BURAK_YENI1309[[#This Row],[ALT_KOD]])+AVERAGEIFS(L:L,D:D,DST_123_ÜRETİM_İHTİYAÇ_RAPORU_BURAK_YENI1309[[#This Row],[ALT_KOD]]))</f>
        <v>-5</v>
      </c>
      <c r="L5867">
        <v>0</v>
      </c>
      <c r="M5867">
        <f>IF((DST_123_ÜRETİM_İHTİYAÇ_RAPORU_BURAK_YENI1309[[#This Row],[SATINALMA]]*DST_123_ÜRETİM_İHTİYAÇ_RAPORU_BURAK_YENI1309[[#This Row],[BIRIM_FIYATLAR]])&lt;1,VALUE("0"),DST_123_ÜRETİM_İHTİYAÇ_RAPORU_BURAK_YENI1309[[#This Row],[SATINALMA]]*DST_123_ÜRETİM_İHTİYAÇ_RAPORU_BURAK_YENI1309[[#This Row],[BIRIM_FIYATLAR]])</f>
        <v>0</v>
      </c>
      <c r="N5867">
        <v>115.6</v>
      </c>
      <c r="O5867" t="s">
        <v>826</v>
      </c>
      <c r="P5867">
        <v>115.6</v>
      </c>
      <c r="Q5867" t="s">
        <v>221</v>
      </c>
    </row>
    <row r="5868" spans="1:17" x14ac:dyDescent="0.25">
      <c r="A5868" t="s">
        <v>1059</v>
      </c>
      <c r="B5868" t="s">
        <v>1058</v>
      </c>
      <c r="C5868" t="s">
        <v>175</v>
      </c>
      <c r="D5868" t="s">
        <v>2</v>
      </c>
      <c r="E5868" t="s">
        <v>423</v>
      </c>
      <c r="F5868">
        <v>2</v>
      </c>
      <c r="G5868" t="s">
        <v>176</v>
      </c>
      <c r="H5868">
        <v>2</v>
      </c>
      <c r="I5868">
        <v>20</v>
      </c>
      <c r="J5868" s="10">
        <v>20</v>
      </c>
      <c r="K5868" s="10">
        <f>SUMIFS(F:F,D:D,DST_123_ÜRETİM_İHTİYAÇ_RAPORU_BURAK_YENI1309[[#This Row],[ALT_KOD]])-(SUMIFS(H:H,D:D,DST_123_ÜRETİM_İHTİYAÇ_RAPORU_BURAK_YENI1309[[#This Row],[ALT_KOD]])+AVERAGEIFS(I:I,D:D,DST_123_ÜRETİM_İHTİYAÇ_RAPORU_BURAK_YENI1309[[#This Row],[ALT_KOD]])+AVERAGEIFS(L:L,D:D,DST_123_ÜRETİM_İHTİYAÇ_RAPORU_BURAK_YENI1309[[#This Row],[ALT_KOD]]))</f>
        <v>-6</v>
      </c>
      <c r="L5868">
        <v>10</v>
      </c>
      <c r="M5868">
        <f>IF((DST_123_ÜRETİM_İHTİYAÇ_RAPORU_BURAK_YENI1309[[#This Row],[SATINALMA]]*DST_123_ÜRETİM_İHTİYAÇ_RAPORU_BURAK_YENI1309[[#This Row],[BIRIM_FIYATLAR]])&lt;1,VALUE("0"),DST_123_ÜRETİM_İHTİYAÇ_RAPORU_BURAK_YENI1309[[#This Row],[SATINALMA]]*DST_123_ÜRETİM_İHTİYAÇ_RAPORU_BURAK_YENI1309[[#This Row],[BIRIM_FIYATLAR]])</f>
        <v>0</v>
      </c>
      <c r="N5868">
        <v>400</v>
      </c>
      <c r="O5868" t="s">
        <v>217</v>
      </c>
      <c r="P5868">
        <v>800</v>
      </c>
      <c r="Q5868" t="s">
        <v>221</v>
      </c>
    </row>
    <row r="5869" spans="1:17" x14ac:dyDescent="0.25">
      <c r="A5869" t="s">
        <v>1097</v>
      </c>
      <c r="B5869" t="s">
        <v>1055</v>
      </c>
      <c r="C5869" t="s">
        <v>175</v>
      </c>
      <c r="D5869" t="s">
        <v>236</v>
      </c>
      <c r="E5869" t="s">
        <v>305</v>
      </c>
      <c r="F5869">
        <v>2</v>
      </c>
      <c r="G5869" t="s">
        <v>176</v>
      </c>
      <c r="H5869">
        <v>2</v>
      </c>
      <c r="I5869">
        <v>452</v>
      </c>
      <c r="J5869" s="10">
        <v>25</v>
      </c>
      <c r="K5869" s="10">
        <f>SUMIFS(F:F,D:D,DST_123_ÜRETİM_İHTİYAÇ_RAPORU_BURAK_YENI1309[[#This Row],[ALT_KOD]])-(SUMIFS(H:H,D:D,DST_123_ÜRETİM_İHTİYAÇ_RAPORU_BURAK_YENI1309[[#This Row],[ALT_KOD]])+AVERAGEIFS(I:I,D:D,DST_123_ÜRETİM_İHTİYAÇ_RAPORU_BURAK_YENI1309[[#This Row],[ALT_KOD]])+AVERAGEIFS(L:L,D:D,DST_123_ÜRETİM_İHTİYAÇ_RAPORU_BURAK_YENI1309[[#This Row],[ALT_KOD]]))</f>
        <v>-428</v>
      </c>
      <c r="L5869">
        <v>0</v>
      </c>
      <c r="M5869">
        <f>IF((DST_123_ÜRETİM_İHTİYAÇ_RAPORU_BURAK_YENI1309[[#This Row],[SATINALMA]]*DST_123_ÜRETİM_İHTİYAÇ_RAPORU_BURAK_YENI1309[[#This Row],[BIRIM_FIYATLAR]])&lt;1,VALUE("0"),DST_123_ÜRETİM_İHTİYAÇ_RAPORU_BURAK_YENI1309[[#This Row],[SATINALMA]]*DST_123_ÜRETİM_İHTİYAÇ_RAPORU_BURAK_YENI1309[[#This Row],[BIRIM_FIYATLAR]])</f>
        <v>0</v>
      </c>
      <c r="N5869">
        <v>20</v>
      </c>
      <c r="P5869">
        <v>40</v>
      </c>
      <c r="Q5869" t="s">
        <v>221</v>
      </c>
    </row>
    <row r="5870" spans="1:17" x14ac:dyDescent="0.25">
      <c r="A5870" t="s">
        <v>1097</v>
      </c>
      <c r="B5870" t="s">
        <v>1055</v>
      </c>
      <c r="C5870" t="s">
        <v>175</v>
      </c>
      <c r="D5870" t="s">
        <v>201</v>
      </c>
      <c r="E5870" t="s">
        <v>225</v>
      </c>
      <c r="F5870">
        <v>5</v>
      </c>
      <c r="G5870" t="s">
        <v>176</v>
      </c>
      <c r="H5870">
        <v>5</v>
      </c>
      <c r="I5870">
        <v>65</v>
      </c>
      <c r="J5870" s="10">
        <v>31</v>
      </c>
      <c r="K5870" s="10">
        <f>SUMIFS(F:F,D:D,DST_123_ÜRETİM_İHTİYAÇ_RAPORU_BURAK_YENI1309[[#This Row],[ALT_KOD]])-(SUMIFS(H:H,D:D,DST_123_ÜRETİM_İHTİYAÇ_RAPORU_BURAK_YENI1309[[#This Row],[ALT_KOD]])+AVERAGEIFS(I:I,D:D,DST_123_ÜRETİM_İHTİYAÇ_RAPORU_BURAK_YENI1309[[#This Row],[ALT_KOD]])+AVERAGEIFS(L:L,D:D,DST_123_ÜRETİM_İHTİYAÇ_RAPORU_BURAK_YENI1309[[#This Row],[ALT_KOD]]))</f>
        <v>-31</v>
      </c>
      <c r="L5870">
        <v>0</v>
      </c>
      <c r="M5870">
        <f>IF((DST_123_ÜRETİM_İHTİYAÇ_RAPORU_BURAK_YENI1309[[#This Row],[SATINALMA]]*DST_123_ÜRETİM_İHTİYAÇ_RAPORU_BURAK_YENI1309[[#This Row],[BIRIM_FIYATLAR]])&lt;1,VALUE("0"),DST_123_ÜRETİM_İHTİYAÇ_RAPORU_BURAK_YENI1309[[#This Row],[SATINALMA]]*DST_123_ÜRETİM_İHTİYAÇ_RAPORU_BURAK_YENI1309[[#This Row],[BIRIM_FIYATLAR]])</f>
        <v>0</v>
      </c>
      <c r="N5870">
        <v>45.5</v>
      </c>
      <c r="O5870" t="s">
        <v>504</v>
      </c>
      <c r="P5870">
        <v>227.5</v>
      </c>
      <c r="Q5870" t="s">
        <v>221</v>
      </c>
    </row>
    <row r="5871" spans="1:17" x14ac:dyDescent="0.25">
      <c r="A5871" t="s">
        <v>1064</v>
      </c>
      <c r="B5871" t="s">
        <v>1055</v>
      </c>
      <c r="C5871" t="s">
        <v>175</v>
      </c>
      <c r="D5871" t="s">
        <v>241</v>
      </c>
      <c r="E5871" t="s">
        <v>242</v>
      </c>
      <c r="F5871">
        <v>1.35</v>
      </c>
      <c r="G5871" t="s">
        <v>176</v>
      </c>
      <c r="H5871">
        <v>1.35</v>
      </c>
      <c r="I5871">
        <v>49</v>
      </c>
      <c r="J5871" s="10">
        <v>1.6000000000000005</v>
      </c>
      <c r="K5871" s="10">
        <f>SUMIFS(F:F,D:D,DST_123_ÜRETİM_İHTİYAÇ_RAPORU_BURAK_YENI1309[[#This Row],[ALT_KOD]])-(SUMIFS(H:H,D:D,DST_123_ÜRETİM_İHTİYAÇ_RAPORU_BURAK_YENI1309[[#This Row],[ALT_KOD]])+AVERAGEIFS(I:I,D:D,DST_123_ÜRETİM_İHTİYAÇ_RAPORU_BURAK_YENI1309[[#This Row],[ALT_KOD]])+AVERAGEIFS(L:L,D:D,DST_123_ÜRETİM_İHTİYAÇ_RAPORU_BURAK_YENI1309[[#This Row],[ALT_KOD]]))</f>
        <v>-37.599999999999994</v>
      </c>
      <c r="L5871">
        <v>0</v>
      </c>
      <c r="M5871">
        <f>IF((DST_123_ÜRETİM_İHTİYAÇ_RAPORU_BURAK_YENI1309[[#This Row],[SATINALMA]]*DST_123_ÜRETİM_İHTİYAÇ_RAPORU_BURAK_YENI1309[[#This Row],[BIRIM_FIYATLAR]])&lt;1,VALUE("0"),DST_123_ÜRETİM_İHTİYAÇ_RAPORU_BURAK_YENI1309[[#This Row],[SATINALMA]]*DST_123_ÜRETİM_İHTİYAÇ_RAPORU_BURAK_YENI1309[[#This Row],[BIRIM_FIYATLAR]])</f>
        <v>0</v>
      </c>
      <c r="N5871">
        <v>60</v>
      </c>
      <c r="O5871" t="s">
        <v>490</v>
      </c>
      <c r="P5871">
        <v>81</v>
      </c>
      <c r="Q5871" t="s">
        <v>180</v>
      </c>
    </row>
    <row r="5872" spans="1:17" x14ac:dyDescent="0.25">
      <c r="A5872" t="s">
        <v>1064</v>
      </c>
      <c r="B5872" t="s">
        <v>1055</v>
      </c>
      <c r="C5872" t="s">
        <v>175</v>
      </c>
      <c r="D5872" t="s">
        <v>110</v>
      </c>
      <c r="E5872" t="s">
        <v>111</v>
      </c>
      <c r="F5872">
        <v>1</v>
      </c>
      <c r="G5872" t="s">
        <v>176</v>
      </c>
      <c r="H5872">
        <v>1</v>
      </c>
      <c r="I5872">
        <v>0</v>
      </c>
      <c r="J5872" s="10">
        <v>10</v>
      </c>
      <c r="K5872" s="10">
        <f>SUMIFS(F:F,D:D,DST_123_ÜRETİM_İHTİYAÇ_RAPORU_BURAK_YENI1309[[#This Row],[ALT_KOD]])-(SUMIFS(H:H,D:D,DST_123_ÜRETİM_İHTİYAÇ_RAPORU_BURAK_YENI1309[[#This Row],[ALT_KOD]])+AVERAGEIFS(I:I,D:D,DST_123_ÜRETİM_İHTİYAÇ_RAPORU_BURAK_YENI1309[[#This Row],[ALT_KOD]])+AVERAGEIFS(L:L,D:D,DST_123_ÜRETİM_İHTİYAÇ_RAPORU_BURAK_YENI1309[[#This Row],[ALT_KOD]]))</f>
        <v>0</v>
      </c>
      <c r="L5872">
        <v>11</v>
      </c>
      <c r="M5872">
        <f>IF((DST_123_ÜRETİM_İHTİYAÇ_RAPORU_BURAK_YENI1309[[#This Row],[SATINALMA]]*DST_123_ÜRETİM_İHTİYAÇ_RAPORU_BURAK_YENI1309[[#This Row],[BIRIM_FIYATLAR]])&lt;1,VALUE("0"),DST_123_ÜRETİM_İHTİYAÇ_RAPORU_BURAK_YENI1309[[#This Row],[SATINALMA]]*DST_123_ÜRETİM_İHTİYAÇ_RAPORU_BURAK_YENI1309[[#This Row],[BIRIM_FIYATLAR]])</f>
        <v>0</v>
      </c>
      <c r="N5872">
        <v>675</v>
      </c>
      <c r="O5872" t="s">
        <v>632</v>
      </c>
      <c r="P5872">
        <v>675</v>
      </c>
      <c r="Q5872" t="s">
        <v>177</v>
      </c>
    </row>
    <row r="5873" spans="1:17" x14ac:dyDescent="0.25">
      <c r="A5873" t="s">
        <v>1064</v>
      </c>
      <c r="B5873" t="s">
        <v>1055</v>
      </c>
      <c r="C5873" t="s">
        <v>175</v>
      </c>
      <c r="D5873" t="s">
        <v>0</v>
      </c>
      <c r="E5873" t="s">
        <v>1</v>
      </c>
      <c r="F5873">
        <v>2</v>
      </c>
      <c r="G5873" t="s">
        <v>176</v>
      </c>
      <c r="H5873">
        <v>2</v>
      </c>
      <c r="I5873">
        <v>67</v>
      </c>
      <c r="J5873" s="10">
        <v>24</v>
      </c>
      <c r="K5873" s="10">
        <f>SUMIFS(F:F,D:D,DST_123_ÜRETİM_İHTİYAÇ_RAPORU_BURAK_YENI1309[[#This Row],[ALT_KOD]])-(SUMIFS(H:H,D:D,DST_123_ÜRETİM_İHTİYAÇ_RAPORU_BURAK_YENI1309[[#This Row],[ALT_KOD]])+AVERAGEIFS(I:I,D:D,DST_123_ÜRETİM_İHTİYAÇ_RAPORU_BURAK_YENI1309[[#This Row],[ALT_KOD]])+AVERAGEIFS(L:L,D:D,DST_123_ÜRETİM_İHTİYAÇ_RAPORU_BURAK_YENI1309[[#This Row],[ALT_KOD]]))</f>
        <v>-38</v>
      </c>
      <c r="L5873">
        <v>0</v>
      </c>
      <c r="M5873">
        <f>IF((DST_123_ÜRETİM_İHTİYAÇ_RAPORU_BURAK_YENI1309[[#This Row],[SATINALMA]]*DST_123_ÜRETİM_İHTİYAÇ_RAPORU_BURAK_YENI1309[[#This Row],[BIRIM_FIYATLAR]])&lt;1,VALUE("0"),DST_123_ÜRETİM_İHTİYAÇ_RAPORU_BURAK_YENI1309[[#This Row],[SATINALMA]]*DST_123_ÜRETİM_İHTİYAÇ_RAPORU_BURAK_YENI1309[[#This Row],[BIRIM_FIYATLAR]])</f>
        <v>0</v>
      </c>
      <c r="N5873">
        <v>640</v>
      </c>
      <c r="O5873" t="s">
        <v>220</v>
      </c>
      <c r="P5873">
        <v>1280</v>
      </c>
      <c r="Q5873" t="s">
        <v>221</v>
      </c>
    </row>
    <row r="5874" spans="1:17" x14ac:dyDescent="0.25">
      <c r="A5874" t="s">
        <v>1059</v>
      </c>
      <c r="B5874" t="s">
        <v>1058</v>
      </c>
      <c r="C5874" t="s">
        <v>175</v>
      </c>
      <c r="D5874" t="s">
        <v>670</v>
      </c>
      <c r="E5874" t="s">
        <v>671</v>
      </c>
      <c r="F5874">
        <v>1</v>
      </c>
      <c r="G5874" t="s">
        <v>176</v>
      </c>
      <c r="H5874">
        <v>1</v>
      </c>
      <c r="I5874">
        <v>12</v>
      </c>
      <c r="J5874" s="10">
        <v>13</v>
      </c>
      <c r="K5874" s="10">
        <f>SUMIFS(F:F,D:D,DST_123_ÜRETİM_İHTİYAÇ_RAPORU_BURAK_YENI1309[[#This Row],[ALT_KOD]])-(SUMIFS(H:H,D:D,DST_123_ÜRETİM_İHTİYAÇ_RAPORU_BURAK_YENI1309[[#This Row],[ALT_KOD]])+AVERAGEIFS(I:I,D:D,DST_123_ÜRETİM_İHTİYAÇ_RAPORU_BURAK_YENI1309[[#This Row],[ALT_KOD]])+AVERAGEIFS(L:L,D:D,DST_123_ÜRETİM_İHTİYAÇ_RAPORU_BURAK_YENI1309[[#This Row],[ALT_KOD]]))</f>
        <v>-5</v>
      </c>
      <c r="L5874">
        <v>0</v>
      </c>
      <c r="M5874">
        <f>IF((DST_123_ÜRETİM_İHTİYAÇ_RAPORU_BURAK_YENI1309[[#This Row],[SATINALMA]]*DST_123_ÜRETİM_İHTİYAÇ_RAPORU_BURAK_YENI1309[[#This Row],[BIRIM_FIYATLAR]])&lt;1,VALUE("0"),DST_123_ÜRETİM_İHTİYAÇ_RAPORU_BURAK_YENI1309[[#This Row],[SATINALMA]]*DST_123_ÜRETİM_İHTİYAÇ_RAPORU_BURAK_YENI1309[[#This Row],[BIRIM_FIYATLAR]])</f>
        <v>0</v>
      </c>
      <c r="N5874">
        <v>28339.38</v>
      </c>
      <c r="O5874" t="s">
        <v>214</v>
      </c>
      <c r="P5874">
        <v>28339.38</v>
      </c>
      <c r="Q5874" t="s">
        <v>177</v>
      </c>
    </row>
    <row r="5875" spans="1:17" x14ac:dyDescent="0.25">
      <c r="A5875" t="s">
        <v>1146</v>
      </c>
      <c r="B5875" t="s">
        <v>1145</v>
      </c>
      <c r="C5875" t="s">
        <v>175</v>
      </c>
      <c r="D5875" t="s">
        <v>670</v>
      </c>
      <c r="E5875" t="s">
        <v>671</v>
      </c>
      <c r="F5875">
        <v>1</v>
      </c>
      <c r="G5875" t="s">
        <v>176</v>
      </c>
      <c r="H5875">
        <v>1</v>
      </c>
      <c r="I5875">
        <v>12</v>
      </c>
      <c r="J5875" s="10">
        <v>13</v>
      </c>
      <c r="K5875" s="10">
        <f>SUMIFS(F:F,D:D,DST_123_ÜRETİM_İHTİYAÇ_RAPORU_BURAK_YENI1309[[#This Row],[ALT_KOD]])-(SUMIFS(H:H,D:D,DST_123_ÜRETİM_İHTİYAÇ_RAPORU_BURAK_YENI1309[[#This Row],[ALT_KOD]])+AVERAGEIFS(I:I,D:D,DST_123_ÜRETİM_İHTİYAÇ_RAPORU_BURAK_YENI1309[[#This Row],[ALT_KOD]])+AVERAGEIFS(L:L,D:D,DST_123_ÜRETİM_İHTİYAÇ_RAPORU_BURAK_YENI1309[[#This Row],[ALT_KOD]]))</f>
        <v>-5</v>
      </c>
      <c r="L5875">
        <v>0</v>
      </c>
      <c r="M5875">
        <f>IF((DST_123_ÜRETİM_İHTİYAÇ_RAPORU_BURAK_YENI1309[[#This Row],[SATINALMA]]*DST_123_ÜRETİM_İHTİYAÇ_RAPORU_BURAK_YENI1309[[#This Row],[BIRIM_FIYATLAR]])&lt;1,VALUE("0"),DST_123_ÜRETİM_İHTİYAÇ_RAPORU_BURAK_YENI1309[[#This Row],[SATINALMA]]*DST_123_ÜRETİM_İHTİYAÇ_RAPORU_BURAK_YENI1309[[#This Row],[BIRIM_FIYATLAR]])</f>
        <v>0</v>
      </c>
      <c r="N5875">
        <v>28339.38</v>
      </c>
      <c r="O5875" t="s">
        <v>214</v>
      </c>
      <c r="P5875">
        <v>28339.38</v>
      </c>
      <c r="Q5875" t="s">
        <v>177</v>
      </c>
    </row>
    <row r="5876" spans="1:17" x14ac:dyDescent="0.25">
      <c r="A5876" t="s">
        <v>1057</v>
      </c>
      <c r="B5876" t="s">
        <v>1058</v>
      </c>
      <c r="C5876" t="s">
        <v>175</v>
      </c>
      <c r="D5876" t="s">
        <v>54</v>
      </c>
      <c r="E5876" t="s">
        <v>55</v>
      </c>
      <c r="F5876">
        <v>1</v>
      </c>
      <c r="G5876" t="s">
        <v>176</v>
      </c>
      <c r="H5876">
        <v>1</v>
      </c>
      <c r="I5876">
        <v>9</v>
      </c>
      <c r="J5876" s="10">
        <v>13</v>
      </c>
      <c r="K5876" s="10">
        <f>SUMIFS(F:F,D:D,DST_123_ÜRETİM_İHTİYAÇ_RAPORU_BURAK_YENI1309[[#This Row],[ALT_KOD]])-(SUMIFS(H:H,D:D,DST_123_ÜRETİM_İHTİYAÇ_RAPORU_BURAK_YENI1309[[#This Row],[ALT_KOD]])+AVERAGEIFS(I:I,D:D,DST_123_ÜRETİM_İHTİYAÇ_RAPORU_BURAK_YENI1309[[#This Row],[ALT_KOD]])+AVERAGEIFS(L:L,D:D,DST_123_ÜRETİM_İHTİYAÇ_RAPORU_BURAK_YENI1309[[#This Row],[ALT_KOD]]))</f>
        <v>-1</v>
      </c>
      <c r="L5876">
        <v>4</v>
      </c>
      <c r="M5876">
        <f>IF((DST_123_ÜRETİM_İHTİYAÇ_RAPORU_BURAK_YENI1309[[#This Row],[SATINALMA]]*DST_123_ÜRETİM_İHTİYAÇ_RAPORU_BURAK_YENI1309[[#This Row],[BIRIM_FIYATLAR]])&lt;1,VALUE("0"),DST_123_ÜRETİM_İHTİYAÇ_RAPORU_BURAK_YENI1309[[#This Row],[SATINALMA]]*DST_123_ÜRETİM_İHTİYAÇ_RAPORU_BURAK_YENI1309[[#This Row],[BIRIM_FIYATLAR]])</f>
        <v>0</v>
      </c>
      <c r="N5876">
        <v>1600</v>
      </c>
      <c r="O5876" t="s">
        <v>217</v>
      </c>
      <c r="P5876">
        <v>1600</v>
      </c>
      <c r="Q5876" t="s">
        <v>221</v>
      </c>
    </row>
    <row r="5877" spans="1:17" x14ac:dyDescent="0.25">
      <c r="A5877" t="s">
        <v>1057</v>
      </c>
      <c r="B5877" t="s">
        <v>1058</v>
      </c>
      <c r="C5877" t="s">
        <v>175</v>
      </c>
      <c r="D5877" t="s">
        <v>62</v>
      </c>
      <c r="E5877" t="s">
        <v>63</v>
      </c>
      <c r="F5877">
        <v>6</v>
      </c>
      <c r="G5877" t="s">
        <v>179</v>
      </c>
      <c r="H5877">
        <v>6</v>
      </c>
      <c r="I5877">
        <v>260</v>
      </c>
      <c r="J5877" s="10">
        <v>0</v>
      </c>
      <c r="K5877" s="10">
        <f>SUMIFS(F:F,D:D,DST_123_ÜRETİM_İHTİYAÇ_RAPORU_BURAK_YENI1309[[#This Row],[ALT_KOD]])-(SUMIFS(H:H,D:D,DST_123_ÜRETİM_İHTİYAÇ_RAPORU_BURAK_YENI1309[[#This Row],[ALT_KOD]])+AVERAGEIFS(I:I,D:D,DST_123_ÜRETİM_İHTİYAÇ_RAPORU_BURAK_YENI1309[[#This Row],[ALT_KOD]])+AVERAGEIFS(L:L,D:D,DST_123_ÜRETİM_İHTİYAÇ_RAPORU_BURAK_YENI1309[[#This Row],[ALT_KOD]]))</f>
        <v>-248</v>
      </c>
      <c r="L5877">
        <v>0</v>
      </c>
      <c r="M5877">
        <f>IF((DST_123_ÜRETİM_İHTİYAÇ_RAPORU_BURAK_YENI1309[[#This Row],[SATINALMA]]*DST_123_ÜRETİM_İHTİYAÇ_RAPORU_BURAK_YENI1309[[#This Row],[BIRIM_FIYATLAR]])&lt;1,VALUE("0"),DST_123_ÜRETİM_İHTİYAÇ_RAPORU_BURAK_YENI1309[[#This Row],[SATINALMA]]*DST_123_ÜRETİM_İHTİYAÇ_RAPORU_BURAK_YENI1309[[#This Row],[BIRIM_FIYATLAR]])</f>
        <v>0</v>
      </c>
      <c r="N5877">
        <v>8.4</v>
      </c>
      <c r="O5877" t="s">
        <v>826</v>
      </c>
      <c r="P5877">
        <v>50.400000000000006</v>
      </c>
      <c r="Q5877" t="s">
        <v>180</v>
      </c>
    </row>
    <row r="5878" spans="1:17" x14ac:dyDescent="0.25">
      <c r="A5878" t="s">
        <v>1059</v>
      </c>
      <c r="B5878" t="s">
        <v>1058</v>
      </c>
      <c r="C5878" t="s">
        <v>175</v>
      </c>
      <c r="D5878" t="s">
        <v>62</v>
      </c>
      <c r="E5878" t="s">
        <v>63</v>
      </c>
      <c r="F5878">
        <v>6</v>
      </c>
      <c r="G5878" t="s">
        <v>179</v>
      </c>
      <c r="H5878">
        <v>6</v>
      </c>
      <c r="I5878">
        <v>260</v>
      </c>
      <c r="J5878" s="10">
        <v>0</v>
      </c>
      <c r="K5878" s="10">
        <f>SUMIFS(F:F,D:D,DST_123_ÜRETİM_İHTİYAÇ_RAPORU_BURAK_YENI1309[[#This Row],[ALT_KOD]])-(SUMIFS(H:H,D:D,DST_123_ÜRETİM_İHTİYAÇ_RAPORU_BURAK_YENI1309[[#This Row],[ALT_KOD]])+AVERAGEIFS(I:I,D:D,DST_123_ÜRETİM_İHTİYAÇ_RAPORU_BURAK_YENI1309[[#This Row],[ALT_KOD]])+AVERAGEIFS(L:L,D:D,DST_123_ÜRETİM_İHTİYAÇ_RAPORU_BURAK_YENI1309[[#This Row],[ALT_KOD]]))</f>
        <v>-248</v>
      </c>
      <c r="L5878">
        <v>0</v>
      </c>
      <c r="M5878">
        <f>IF((DST_123_ÜRETİM_İHTİYAÇ_RAPORU_BURAK_YENI1309[[#This Row],[SATINALMA]]*DST_123_ÜRETİM_İHTİYAÇ_RAPORU_BURAK_YENI1309[[#This Row],[BIRIM_FIYATLAR]])&lt;1,VALUE("0"),DST_123_ÜRETİM_İHTİYAÇ_RAPORU_BURAK_YENI1309[[#This Row],[SATINALMA]]*DST_123_ÜRETİM_İHTİYAÇ_RAPORU_BURAK_YENI1309[[#This Row],[BIRIM_FIYATLAR]])</f>
        <v>0</v>
      </c>
      <c r="N5878">
        <v>8.4</v>
      </c>
      <c r="O5878" t="s">
        <v>826</v>
      </c>
      <c r="P5878">
        <v>50.400000000000006</v>
      </c>
      <c r="Q5878" t="s">
        <v>180</v>
      </c>
    </row>
    <row r="5879" spans="1:17" x14ac:dyDescent="0.25">
      <c r="A5879" t="s">
        <v>1148</v>
      </c>
      <c r="B5879" t="s">
        <v>1056</v>
      </c>
      <c r="C5879" t="s">
        <v>175</v>
      </c>
      <c r="D5879" t="s">
        <v>475</v>
      </c>
      <c r="E5879" t="s">
        <v>476</v>
      </c>
      <c r="F5879">
        <v>1</v>
      </c>
      <c r="G5879" t="s">
        <v>176</v>
      </c>
      <c r="H5879">
        <v>0</v>
      </c>
      <c r="I5879">
        <v>6</v>
      </c>
      <c r="J5879" s="10">
        <v>1.7763568394002505E-15</v>
      </c>
      <c r="K5879" s="10">
        <f>SUMIFS(F:F,D:D,DST_123_ÜRETİM_İHTİYAÇ_RAPORU_BURAK_YENI1309[[#This Row],[ALT_KOD]])-(SUMIFS(H:H,D:D,DST_123_ÜRETİM_İHTİYAÇ_RAPORU_BURAK_YENI1309[[#This Row],[ALT_KOD]])+AVERAGEIFS(I:I,D:D,DST_123_ÜRETİM_İHTİYAÇ_RAPORU_BURAK_YENI1309[[#This Row],[ALT_KOD]])+AVERAGEIFS(L:L,D:D,DST_123_ÜRETİM_İHTİYAÇ_RAPORU_BURAK_YENI1309[[#This Row],[ALT_KOD]]))</f>
        <v>7.25</v>
      </c>
      <c r="L5879">
        <v>0</v>
      </c>
      <c r="M5879">
        <f>IF((DST_123_ÜRETİM_İHTİYAÇ_RAPORU_BURAK_YENI1309[[#This Row],[SATINALMA]]*DST_123_ÜRETİM_İHTİYAÇ_RAPORU_BURAK_YENI1309[[#This Row],[BIRIM_FIYATLAR]])&lt;1,VALUE("0"),DST_123_ÜRETİM_İHTİYAÇ_RAPORU_BURAK_YENI1309[[#This Row],[SATINALMA]]*DST_123_ÜRETİM_İHTİYAÇ_RAPORU_BURAK_YENI1309[[#This Row],[BIRIM_FIYATLAR]])</f>
        <v>145</v>
      </c>
      <c r="N5879">
        <v>20</v>
      </c>
      <c r="O5879" t="s">
        <v>226</v>
      </c>
      <c r="P5879">
        <v>20</v>
      </c>
      <c r="Q5879" t="s">
        <v>180</v>
      </c>
    </row>
    <row r="5880" spans="1:17" x14ac:dyDescent="0.25">
      <c r="A5880" t="s">
        <v>1100</v>
      </c>
      <c r="B5880" t="s">
        <v>1058</v>
      </c>
      <c r="C5880" t="s">
        <v>197</v>
      </c>
      <c r="D5880" t="s">
        <v>1211</v>
      </c>
      <c r="E5880" t="s">
        <v>1212</v>
      </c>
      <c r="F5880">
        <v>1</v>
      </c>
      <c r="G5880" t="s">
        <v>176</v>
      </c>
      <c r="H5880">
        <v>1</v>
      </c>
      <c r="I5880">
        <v>0</v>
      </c>
      <c r="J5880" s="10">
        <v>0</v>
      </c>
      <c r="K5880" s="10">
        <f>SUMIFS(F:F,D:D,DST_123_ÜRETİM_İHTİYAÇ_RAPORU_BURAK_YENI1309[[#This Row],[ALT_KOD]])-(SUMIFS(H:H,D:D,DST_123_ÜRETİM_İHTİYAÇ_RAPORU_BURAK_YENI1309[[#This Row],[ALT_KOD]])+AVERAGEIFS(I:I,D:D,DST_123_ÜRETİM_İHTİYAÇ_RAPORU_BURAK_YENI1309[[#This Row],[ALT_KOD]])+AVERAGEIFS(L:L,D:D,DST_123_ÜRETİM_İHTİYAÇ_RAPORU_BURAK_YENI1309[[#This Row],[ALT_KOD]]))</f>
        <v>0</v>
      </c>
      <c r="L5880">
        <v>0</v>
      </c>
      <c r="M5880">
        <f>IF((DST_123_ÜRETİM_İHTİYAÇ_RAPORU_BURAK_YENI1309[[#This Row],[SATINALMA]]*DST_123_ÜRETİM_İHTİYAÇ_RAPORU_BURAK_YENI1309[[#This Row],[BIRIM_FIYATLAR]])&lt;1,VALUE("0"),DST_123_ÜRETİM_İHTİYAÇ_RAPORU_BURAK_YENI1309[[#This Row],[SATINALMA]]*DST_123_ÜRETİM_İHTİYAÇ_RAPORU_BURAK_YENI1309[[#This Row],[BIRIM_FIYATLAR]])</f>
        <v>0</v>
      </c>
      <c r="O5880" t="s">
        <v>1213</v>
      </c>
      <c r="Q5880" t="s">
        <v>177</v>
      </c>
    </row>
    <row r="5881" spans="1:17" x14ac:dyDescent="0.25">
      <c r="A5881" t="s">
        <v>1095</v>
      </c>
      <c r="B5881" t="s">
        <v>1096</v>
      </c>
      <c r="C5881" t="s">
        <v>175</v>
      </c>
      <c r="D5881" t="s">
        <v>534</v>
      </c>
      <c r="E5881" t="s">
        <v>535</v>
      </c>
      <c r="F5881">
        <v>4</v>
      </c>
      <c r="G5881" t="s">
        <v>176</v>
      </c>
      <c r="H5881">
        <v>0</v>
      </c>
      <c r="I5881">
        <v>212</v>
      </c>
      <c r="J5881" s="10">
        <v>625</v>
      </c>
      <c r="K5881" s="10">
        <f>SUMIFS(F:F,D:D,DST_123_ÜRETİM_İHTİYAÇ_RAPORU_BURAK_YENI1309[[#This Row],[ALT_KOD]])-(SUMIFS(H:H,D:D,DST_123_ÜRETİM_İHTİYAÇ_RAPORU_BURAK_YENI1309[[#This Row],[ALT_KOD]])+AVERAGEIFS(I:I,D:D,DST_123_ÜRETİM_İHTİYAÇ_RAPORU_BURAK_YENI1309[[#This Row],[ALT_KOD]])+AVERAGEIFS(L:L,D:D,DST_123_ÜRETİM_İHTİYAÇ_RAPORU_BURAK_YENI1309[[#This Row],[ALT_KOD]]))</f>
        <v>-146</v>
      </c>
      <c r="L5881">
        <v>0</v>
      </c>
      <c r="M5881">
        <f>IF((DST_123_ÜRETİM_İHTİYAÇ_RAPORU_BURAK_YENI1309[[#This Row],[SATINALMA]]*DST_123_ÜRETİM_İHTİYAÇ_RAPORU_BURAK_YENI1309[[#This Row],[BIRIM_FIYATLAR]])&lt;1,VALUE("0"),DST_123_ÜRETİM_İHTİYAÇ_RAPORU_BURAK_YENI1309[[#This Row],[SATINALMA]]*DST_123_ÜRETİM_İHTİYAÇ_RAPORU_BURAK_YENI1309[[#This Row],[BIRIM_FIYATLAR]])</f>
        <v>0</v>
      </c>
      <c r="N5881">
        <v>3.95</v>
      </c>
      <c r="O5881" t="s">
        <v>240</v>
      </c>
      <c r="P5881">
        <v>15.8</v>
      </c>
      <c r="Q5881" t="s">
        <v>180</v>
      </c>
    </row>
    <row r="5882" spans="1:17" x14ac:dyDescent="0.25">
      <c r="A5882" t="s">
        <v>1142</v>
      </c>
      <c r="B5882" t="s">
        <v>1056</v>
      </c>
      <c r="C5882" t="s">
        <v>175</v>
      </c>
      <c r="D5882" t="s">
        <v>471</v>
      </c>
      <c r="E5882" t="s">
        <v>472</v>
      </c>
      <c r="F5882">
        <v>4</v>
      </c>
      <c r="G5882" t="s">
        <v>176</v>
      </c>
      <c r="H5882">
        <v>0</v>
      </c>
      <c r="I5882">
        <v>200</v>
      </c>
      <c r="J5882" s="10">
        <v>343</v>
      </c>
      <c r="K5882" s="10">
        <f>SUMIFS(F:F,D:D,DST_123_ÜRETİM_İHTİYAÇ_RAPORU_BURAK_YENI1309[[#This Row],[ALT_KOD]])-(SUMIFS(H:H,D:D,DST_123_ÜRETİM_İHTİYAÇ_RAPORU_BURAK_YENI1309[[#This Row],[ALT_KOD]])+AVERAGEIFS(I:I,D:D,DST_123_ÜRETİM_İHTİYAÇ_RAPORU_BURAK_YENI1309[[#This Row],[ALT_KOD]])+AVERAGEIFS(L:L,D:D,DST_123_ÜRETİM_İHTİYAÇ_RAPORU_BURAK_YENI1309[[#This Row],[ALT_KOD]]))</f>
        <v>-8</v>
      </c>
      <c r="L5882">
        <v>0</v>
      </c>
      <c r="M5882">
        <f>IF((DST_123_ÜRETİM_İHTİYAÇ_RAPORU_BURAK_YENI1309[[#This Row],[SATINALMA]]*DST_123_ÜRETİM_İHTİYAÇ_RAPORU_BURAK_YENI1309[[#This Row],[BIRIM_FIYATLAR]])&lt;1,VALUE("0"),DST_123_ÜRETİM_İHTİYAÇ_RAPORU_BURAK_YENI1309[[#This Row],[SATINALMA]]*DST_123_ÜRETİM_İHTİYAÇ_RAPORU_BURAK_YENI1309[[#This Row],[BIRIM_FIYATLAR]])</f>
        <v>0</v>
      </c>
      <c r="N5882">
        <v>9</v>
      </c>
      <c r="O5882" t="s">
        <v>240</v>
      </c>
      <c r="P5882">
        <v>36</v>
      </c>
      <c r="Q5882" t="s">
        <v>180</v>
      </c>
    </row>
    <row r="5883" spans="1:17" x14ac:dyDescent="0.25">
      <c r="A5883" t="s">
        <v>1099</v>
      </c>
      <c r="B5883" t="s">
        <v>1055</v>
      </c>
      <c r="C5883" t="s">
        <v>175</v>
      </c>
      <c r="D5883" t="s">
        <v>282</v>
      </c>
      <c r="E5883" t="s">
        <v>283</v>
      </c>
      <c r="F5883">
        <v>1.46</v>
      </c>
      <c r="G5883" t="s">
        <v>176</v>
      </c>
      <c r="H5883">
        <v>0</v>
      </c>
      <c r="I5883">
        <v>104</v>
      </c>
      <c r="J5883" s="10">
        <v>-3.5527136788005009E-15</v>
      </c>
      <c r="K5883" s="10">
        <f>SUMIFS(F:F,D:D,DST_123_ÜRETİM_İHTİYAÇ_RAPORU_BURAK_YENI1309[[#This Row],[ALT_KOD]])-(SUMIFS(H:H,D:D,DST_123_ÜRETİM_İHTİYAÇ_RAPORU_BURAK_YENI1309[[#This Row],[ALT_KOD]])+AVERAGEIFS(I:I,D:D,DST_123_ÜRETİM_İHTİYAÇ_RAPORU_BURAK_YENI1309[[#This Row],[ALT_KOD]])+AVERAGEIFS(L:L,D:D,DST_123_ÜRETİM_İHTİYAÇ_RAPORU_BURAK_YENI1309[[#This Row],[ALT_KOD]]))</f>
        <v>-81.349999999999994</v>
      </c>
      <c r="L5883">
        <v>0</v>
      </c>
      <c r="M5883">
        <f>IF((DST_123_ÜRETİM_İHTİYAÇ_RAPORU_BURAK_YENI1309[[#This Row],[SATINALMA]]*DST_123_ÜRETİM_İHTİYAÇ_RAPORU_BURAK_YENI1309[[#This Row],[BIRIM_FIYATLAR]])&lt;1,VALUE("0"),DST_123_ÜRETİM_İHTİYAÇ_RAPORU_BURAK_YENI1309[[#This Row],[SATINALMA]]*DST_123_ÜRETİM_İHTİYAÇ_RAPORU_BURAK_YENI1309[[#This Row],[BIRIM_FIYATLAR]])</f>
        <v>0</v>
      </c>
      <c r="N5883">
        <v>22</v>
      </c>
      <c r="O5883" t="s">
        <v>240</v>
      </c>
      <c r="P5883">
        <v>32.119999999999997</v>
      </c>
      <c r="Q5883" t="s">
        <v>180</v>
      </c>
    </row>
    <row r="5884" spans="1:17" x14ac:dyDescent="0.25">
      <c r="A5884" t="s">
        <v>1100</v>
      </c>
      <c r="B5884" t="s">
        <v>1058</v>
      </c>
      <c r="C5884" t="s">
        <v>175</v>
      </c>
      <c r="D5884" t="s">
        <v>207</v>
      </c>
      <c r="E5884" t="s">
        <v>281</v>
      </c>
      <c r="F5884">
        <v>2.5</v>
      </c>
      <c r="G5884" t="s">
        <v>176</v>
      </c>
      <c r="H5884">
        <v>2.5</v>
      </c>
      <c r="I5884">
        <v>52</v>
      </c>
      <c r="J5884" s="10">
        <v>10.269999999999982</v>
      </c>
      <c r="K5884" s="10">
        <f>SUMIFS(F:F,D:D,DST_123_ÜRETİM_İHTİYAÇ_RAPORU_BURAK_YENI1309[[#This Row],[ALT_KOD]])-(SUMIFS(H:H,D:D,DST_123_ÜRETİM_İHTİYAÇ_RAPORU_BURAK_YENI1309[[#This Row],[ALT_KOD]])+AVERAGEIFS(I:I,D:D,DST_123_ÜRETİM_İHTİYAÇ_RAPORU_BURAK_YENI1309[[#This Row],[ALT_KOD]])+AVERAGEIFS(L:L,D:D,DST_123_ÜRETİM_İHTİYAÇ_RAPORU_BURAK_YENI1309[[#This Row],[ALT_KOD]]))</f>
        <v>-5.0300000000000011</v>
      </c>
      <c r="L5884">
        <v>0</v>
      </c>
      <c r="M5884">
        <f>IF((DST_123_ÜRETİM_İHTİYAÇ_RAPORU_BURAK_YENI1309[[#This Row],[SATINALMA]]*DST_123_ÜRETİM_İHTİYAÇ_RAPORU_BURAK_YENI1309[[#This Row],[BIRIM_FIYATLAR]])&lt;1,VALUE("0"),DST_123_ÜRETİM_İHTİYAÇ_RAPORU_BURAK_YENI1309[[#This Row],[SATINALMA]]*DST_123_ÜRETİM_İHTİYAÇ_RAPORU_BURAK_YENI1309[[#This Row],[BIRIM_FIYATLAR]])</f>
        <v>0</v>
      </c>
      <c r="N5884">
        <v>28</v>
      </c>
      <c r="O5884" t="s">
        <v>240</v>
      </c>
      <c r="P5884">
        <v>70</v>
      </c>
      <c r="Q5884" t="s">
        <v>180</v>
      </c>
    </row>
    <row r="5885" spans="1:17" x14ac:dyDescent="0.25">
      <c r="A5885" t="s">
        <v>1099</v>
      </c>
      <c r="B5885" t="s">
        <v>1055</v>
      </c>
      <c r="C5885" t="s">
        <v>175</v>
      </c>
      <c r="D5885" t="s">
        <v>776</v>
      </c>
      <c r="E5885" t="s">
        <v>777</v>
      </c>
      <c r="F5885">
        <v>1</v>
      </c>
      <c r="G5885" t="s">
        <v>176</v>
      </c>
      <c r="H5885">
        <v>1</v>
      </c>
      <c r="I5885">
        <v>6</v>
      </c>
      <c r="J5885" s="10">
        <v>7</v>
      </c>
      <c r="K5885" s="10">
        <f>SUMIFS(F:F,D:D,DST_123_ÜRETİM_İHTİYAÇ_RAPORU_BURAK_YENI1309[[#This Row],[ALT_KOD]])-(SUMIFS(H:H,D:D,DST_123_ÜRETİM_İHTİYAÇ_RAPORU_BURAK_YENI1309[[#This Row],[ALT_KOD]])+AVERAGEIFS(I:I,D:D,DST_123_ÜRETİM_İHTİYAÇ_RAPORU_BURAK_YENI1309[[#This Row],[ALT_KOD]])+AVERAGEIFS(L:L,D:D,DST_123_ÜRETİM_İHTİYAÇ_RAPORU_BURAK_YENI1309[[#This Row],[ALT_KOD]]))</f>
        <v>5</v>
      </c>
      <c r="L5885">
        <v>0</v>
      </c>
      <c r="M5885">
        <f>IF((DST_123_ÜRETİM_İHTİYAÇ_RAPORU_BURAK_YENI1309[[#This Row],[SATINALMA]]*DST_123_ÜRETİM_İHTİYAÇ_RAPORU_BURAK_YENI1309[[#This Row],[BIRIM_FIYATLAR]])&lt;1,VALUE("0"),DST_123_ÜRETİM_İHTİYAÇ_RAPORU_BURAK_YENI1309[[#This Row],[SATINALMA]]*DST_123_ÜRETİM_İHTİYAÇ_RAPORU_BURAK_YENI1309[[#This Row],[BIRIM_FIYATLAR]])</f>
        <v>12288.25</v>
      </c>
      <c r="N5885">
        <v>2457.65</v>
      </c>
      <c r="O5885" t="s">
        <v>634</v>
      </c>
      <c r="P5885">
        <v>2457.65</v>
      </c>
      <c r="Q5885" t="s">
        <v>177</v>
      </c>
    </row>
    <row r="5886" spans="1:17" x14ac:dyDescent="0.25">
      <c r="A5886" t="s">
        <v>1097</v>
      </c>
      <c r="B5886" t="s">
        <v>1055</v>
      </c>
      <c r="C5886" t="s">
        <v>197</v>
      </c>
      <c r="D5886" t="s">
        <v>496</v>
      </c>
      <c r="E5886" t="s">
        <v>497</v>
      </c>
      <c r="F5886">
        <v>1</v>
      </c>
      <c r="G5886" t="s">
        <v>176</v>
      </c>
      <c r="H5886">
        <v>1</v>
      </c>
      <c r="I5886">
        <v>2</v>
      </c>
      <c r="J5886" s="10">
        <v>9</v>
      </c>
      <c r="K5886" s="10">
        <f>SUMIFS(F:F,D:D,DST_123_ÜRETİM_İHTİYAÇ_RAPORU_BURAK_YENI1309[[#This Row],[ALT_KOD]])-(SUMIFS(H:H,D:D,DST_123_ÜRETİM_İHTİYAÇ_RAPORU_BURAK_YENI1309[[#This Row],[ALT_KOD]])+AVERAGEIFS(I:I,D:D,DST_123_ÜRETİM_İHTİYAÇ_RAPORU_BURAK_YENI1309[[#This Row],[ALT_KOD]])+AVERAGEIFS(L:L,D:D,DST_123_ÜRETİM_İHTİYAÇ_RAPORU_BURAK_YENI1309[[#This Row],[ALT_KOD]]))</f>
        <v>10</v>
      </c>
      <c r="L5886">
        <v>0</v>
      </c>
      <c r="M5886">
        <f>IF((DST_123_ÜRETİM_İHTİYAÇ_RAPORU_BURAK_YENI1309[[#This Row],[SATINALMA]]*DST_123_ÜRETİM_İHTİYAÇ_RAPORU_BURAK_YENI1309[[#This Row],[BIRIM_FIYATLAR]])&lt;1,VALUE("0"),DST_123_ÜRETİM_İHTİYAÇ_RAPORU_BURAK_YENI1309[[#This Row],[SATINALMA]]*DST_123_ÜRETİM_İHTİYAÇ_RAPORU_BURAK_YENI1309[[#This Row],[BIRIM_FIYATLAR]])</f>
        <v>0</v>
      </c>
      <c r="O5886" t="s">
        <v>713</v>
      </c>
      <c r="Q5886" t="s">
        <v>760</v>
      </c>
    </row>
    <row r="5887" spans="1:17" x14ac:dyDescent="0.25">
      <c r="A5887" t="s">
        <v>1064</v>
      </c>
      <c r="B5887" t="s">
        <v>1055</v>
      </c>
      <c r="C5887" t="s">
        <v>175</v>
      </c>
      <c r="D5887" t="s">
        <v>435</v>
      </c>
      <c r="E5887" t="s">
        <v>436</v>
      </c>
      <c r="F5887">
        <v>1</v>
      </c>
      <c r="G5887" t="s">
        <v>176</v>
      </c>
      <c r="H5887">
        <v>1</v>
      </c>
      <c r="I5887">
        <v>10</v>
      </c>
      <c r="J5887" s="10">
        <v>5</v>
      </c>
      <c r="K5887" s="10">
        <f>SUMIFS(F:F,D:D,DST_123_ÜRETİM_İHTİYAÇ_RAPORU_BURAK_YENI1309[[#This Row],[ALT_KOD]])-(SUMIFS(H:H,D:D,DST_123_ÜRETİM_İHTİYAÇ_RAPORU_BURAK_YENI1309[[#This Row],[ALT_KOD]])+AVERAGEIFS(I:I,D:D,DST_123_ÜRETİM_İHTİYAÇ_RAPORU_BURAK_YENI1309[[#This Row],[ALT_KOD]])+AVERAGEIFS(L:L,D:D,DST_123_ÜRETİM_İHTİYAÇ_RAPORU_BURAK_YENI1309[[#This Row],[ALT_KOD]]))</f>
        <v>-6</v>
      </c>
      <c r="L5887">
        <v>0</v>
      </c>
      <c r="M5887">
        <f>IF((DST_123_ÜRETİM_İHTİYAÇ_RAPORU_BURAK_YENI1309[[#This Row],[SATINALMA]]*DST_123_ÜRETİM_İHTİYAÇ_RAPORU_BURAK_YENI1309[[#This Row],[BIRIM_FIYATLAR]])&lt;1,VALUE("0"),DST_123_ÜRETİM_İHTİYAÇ_RAPORU_BURAK_YENI1309[[#This Row],[SATINALMA]]*DST_123_ÜRETİM_İHTİYAÇ_RAPORU_BURAK_YENI1309[[#This Row],[BIRIM_FIYATLAR]])</f>
        <v>0</v>
      </c>
      <c r="N5887">
        <v>1723.79</v>
      </c>
      <c r="O5887" t="s">
        <v>636</v>
      </c>
      <c r="P5887">
        <v>1723.79</v>
      </c>
      <c r="Q5887" t="s">
        <v>178</v>
      </c>
    </row>
    <row r="5888" spans="1:17" x14ac:dyDescent="0.25">
      <c r="A5888" t="s">
        <v>1064</v>
      </c>
      <c r="B5888" t="s">
        <v>1055</v>
      </c>
      <c r="C5888" t="s">
        <v>175</v>
      </c>
      <c r="D5888" t="s">
        <v>268</v>
      </c>
      <c r="E5888" t="s">
        <v>588</v>
      </c>
      <c r="F5888">
        <v>1</v>
      </c>
      <c r="G5888" t="s">
        <v>176</v>
      </c>
      <c r="H5888">
        <v>1</v>
      </c>
      <c r="I5888">
        <v>1</v>
      </c>
      <c r="J5888" s="10">
        <v>11</v>
      </c>
      <c r="K5888" s="10">
        <f>SUMIFS(F:F,D:D,DST_123_ÜRETİM_İHTİYAÇ_RAPORU_BURAK_YENI1309[[#This Row],[ALT_KOD]])-(SUMIFS(H:H,D:D,DST_123_ÜRETİM_İHTİYAÇ_RAPORU_BURAK_YENI1309[[#This Row],[ALT_KOD]])+AVERAGEIFS(I:I,D:D,DST_123_ÜRETİM_İHTİYAÇ_RAPORU_BURAK_YENI1309[[#This Row],[ALT_KOD]])+AVERAGEIFS(L:L,D:D,DST_123_ÜRETİM_İHTİYAÇ_RAPORU_BURAK_YENI1309[[#This Row],[ALT_KOD]]))</f>
        <v>16</v>
      </c>
      <c r="L5888">
        <v>0</v>
      </c>
      <c r="M5888">
        <f>IF((DST_123_ÜRETİM_İHTİYAÇ_RAPORU_BURAK_YENI1309[[#This Row],[SATINALMA]]*DST_123_ÜRETİM_İHTİYAÇ_RAPORU_BURAK_YENI1309[[#This Row],[BIRIM_FIYATLAR]])&lt;1,VALUE("0"),DST_123_ÜRETİM_İHTİYAÇ_RAPORU_BURAK_YENI1309[[#This Row],[SATINALMA]]*DST_123_ÜRETİM_İHTİYAÇ_RAPORU_BURAK_YENI1309[[#This Row],[BIRIM_FIYATLAR]])</f>
        <v>212968.32000000001</v>
      </c>
      <c r="N5888">
        <v>13310.52</v>
      </c>
      <c r="O5888" t="s">
        <v>589</v>
      </c>
      <c r="P5888">
        <v>13310.52</v>
      </c>
      <c r="Q5888" t="s">
        <v>177</v>
      </c>
    </row>
    <row r="5889" spans="1:17" x14ac:dyDescent="0.25">
      <c r="A5889" t="s">
        <v>1099</v>
      </c>
      <c r="B5889" t="s">
        <v>1055</v>
      </c>
      <c r="C5889" t="s">
        <v>175</v>
      </c>
      <c r="D5889" t="s">
        <v>435</v>
      </c>
      <c r="E5889" t="s">
        <v>436</v>
      </c>
      <c r="F5889">
        <v>1</v>
      </c>
      <c r="G5889" t="s">
        <v>176</v>
      </c>
      <c r="H5889">
        <v>1</v>
      </c>
      <c r="I5889">
        <v>10</v>
      </c>
      <c r="J5889" s="10">
        <v>5</v>
      </c>
      <c r="K5889" s="10">
        <f>SUMIFS(F:F,D:D,DST_123_ÜRETİM_İHTİYAÇ_RAPORU_BURAK_YENI1309[[#This Row],[ALT_KOD]])-(SUMIFS(H:H,D:D,DST_123_ÜRETİM_İHTİYAÇ_RAPORU_BURAK_YENI1309[[#This Row],[ALT_KOD]])+AVERAGEIFS(I:I,D:D,DST_123_ÜRETİM_İHTİYAÇ_RAPORU_BURAK_YENI1309[[#This Row],[ALT_KOD]])+AVERAGEIFS(L:L,D:D,DST_123_ÜRETİM_İHTİYAÇ_RAPORU_BURAK_YENI1309[[#This Row],[ALT_KOD]]))</f>
        <v>-6</v>
      </c>
      <c r="L5889">
        <v>0</v>
      </c>
      <c r="M5889">
        <f>IF((DST_123_ÜRETİM_İHTİYAÇ_RAPORU_BURAK_YENI1309[[#This Row],[SATINALMA]]*DST_123_ÜRETİM_İHTİYAÇ_RAPORU_BURAK_YENI1309[[#This Row],[BIRIM_FIYATLAR]])&lt;1,VALUE("0"),DST_123_ÜRETİM_İHTİYAÇ_RAPORU_BURAK_YENI1309[[#This Row],[SATINALMA]]*DST_123_ÜRETİM_İHTİYAÇ_RAPORU_BURAK_YENI1309[[#This Row],[BIRIM_FIYATLAR]])</f>
        <v>0</v>
      </c>
      <c r="N5889">
        <v>1723.79</v>
      </c>
      <c r="O5889" t="s">
        <v>636</v>
      </c>
      <c r="P5889">
        <v>1723.79</v>
      </c>
      <c r="Q5889" t="s">
        <v>178</v>
      </c>
    </row>
    <row r="5890" spans="1:17" x14ac:dyDescent="0.25">
      <c r="A5890" t="s">
        <v>1064</v>
      </c>
      <c r="B5890" t="s">
        <v>1055</v>
      </c>
      <c r="C5890" t="s">
        <v>175</v>
      </c>
      <c r="D5890" t="s">
        <v>263</v>
      </c>
      <c r="E5890" t="s">
        <v>419</v>
      </c>
      <c r="F5890">
        <v>1</v>
      </c>
      <c r="G5890" t="s">
        <v>176</v>
      </c>
      <c r="H5890">
        <v>1</v>
      </c>
      <c r="I5890">
        <v>4</v>
      </c>
      <c r="J5890" s="10">
        <v>11</v>
      </c>
      <c r="K5890" s="10">
        <f>SUMIFS(F:F,D:D,DST_123_ÜRETİM_İHTİYAÇ_RAPORU_BURAK_YENI1309[[#This Row],[ALT_KOD]])-(SUMIFS(H:H,D:D,DST_123_ÜRETİM_İHTİYAÇ_RAPORU_BURAK_YENI1309[[#This Row],[ALT_KOD]])+AVERAGEIFS(I:I,D:D,DST_123_ÜRETİM_İHTİYAÇ_RAPORU_BURAK_YENI1309[[#This Row],[ALT_KOD]])+AVERAGEIFS(L:L,D:D,DST_123_ÜRETİM_İHTİYAÇ_RAPORU_BURAK_YENI1309[[#This Row],[ALT_KOD]]))</f>
        <v>9</v>
      </c>
      <c r="L5890">
        <v>0</v>
      </c>
      <c r="M5890">
        <f>IF((DST_123_ÜRETİM_İHTİYAÇ_RAPORU_BURAK_YENI1309[[#This Row],[SATINALMA]]*DST_123_ÜRETİM_İHTİYAÇ_RAPORU_BURAK_YENI1309[[#This Row],[BIRIM_FIYATLAR]])&lt;1,VALUE("0"),DST_123_ÜRETİM_İHTİYAÇ_RAPORU_BURAK_YENI1309[[#This Row],[SATINALMA]]*DST_123_ÜRETİM_İHTİYAÇ_RAPORU_BURAK_YENI1309[[#This Row],[BIRIM_FIYATLAR]])</f>
        <v>54009.99</v>
      </c>
      <c r="N5890">
        <v>6001.11</v>
      </c>
      <c r="O5890" t="s">
        <v>227</v>
      </c>
      <c r="P5890">
        <v>6001.11</v>
      </c>
      <c r="Q5890" t="s">
        <v>221</v>
      </c>
    </row>
    <row r="5891" spans="1:17" x14ac:dyDescent="0.25">
      <c r="A5891" t="s">
        <v>1064</v>
      </c>
      <c r="B5891" t="s">
        <v>1055</v>
      </c>
      <c r="C5891" t="s">
        <v>175</v>
      </c>
      <c r="D5891" t="s">
        <v>658</v>
      </c>
      <c r="E5891" t="s">
        <v>659</v>
      </c>
      <c r="F5891">
        <v>1</v>
      </c>
      <c r="G5891" t="s">
        <v>176</v>
      </c>
      <c r="H5891">
        <v>1</v>
      </c>
      <c r="I5891">
        <v>0</v>
      </c>
      <c r="J5891" s="10">
        <v>65</v>
      </c>
      <c r="K5891" s="10">
        <f>SUMIFS(F:F,D:D,DST_123_ÜRETİM_İHTİYAÇ_RAPORU_BURAK_YENI1309[[#This Row],[ALT_KOD]])-(SUMIFS(H:H,D:D,DST_123_ÜRETİM_İHTİYAÇ_RAPORU_BURAK_YENI1309[[#This Row],[ALT_KOD]])+AVERAGEIFS(I:I,D:D,DST_123_ÜRETİM_İHTİYAÇ_RAPORU_BURAK_YENI1309[[#This Row],[ALT_KOD]])+AVERAGEIFS(L:L,D:D,DST_123_ÜRETİM_İHTİYAÇ_RAPORU_BURAK_YENI1309[[#This Row],[ALT_KOD]]))</f>
        <v>-94</v>
      </c>
      <c r="L5891">
        <v>100</v>
      </c>
      <c r="M5891">
        <f>IF((DST_123_ÜRETİM_İHTİYAÇ_RAPORU_BURAK_YENI1309[[#This Row],[SATINALMA]]*DST_123_ÜRETİM_İHTİYAÇ_RAPORU_BURAK_YENI1309[[#This Row],[BIRIM_FIYATLAR]])&lt;1,VALUE("0"),DST_123_ÜRETİM_İHTİYAÇ_RAPORU_BURAK_YENI1309[[#This Row],[SATINALMA]]*DST_123_ÜRETİM_İHTİYAÇ_RAPORU_BURAK_YENI1309[[#This Row],[BIRIM_FIYATLAR]])</f>
        <v>0</v>
      </c>
      <c r="N5891">
        <v>115</v>
      </c>
      <c r="O5891" t="s">
        <v>240</v>
      </c>
      <c r="P5891">
        <v>115</v>
      </c>
      <c r="Q5891" t="s">
        <v>180</v>
      </c>
    </row>
    <row r="5892" spans="1:17" x14ac:dyDescent="0.25">
      <c r="A5892" t="s">
        <v>1064</v>
      </c>
      <c r="B5892" t="s">
        <v>1055</v>
      </c>
      <c r="C5892" t="s">
        <v>175</v>
      </c>
      <c r="D5892" t="s">
        <v>153</v>
      </c>
      <c r="E5892" t="s">
        <v>154</v>
      </c>
      <c r="F5892">
        <v>6</v>
      </c>
      <c r="G5892" t="s">
        <v>176</v>
      </c>
      <c r="H5892">
        <v>6</v>
      </c>
      <c r="I5892">
        <v>46</v>
      </c>
      <c r="J5892" s="10">
        <v>26</v>
      </c>
      <c r="K5892" s="10">
        <f>SUMIFS(F:F,D:D,DST_123_ÜRETİM_İHTİYAÇ_RAPORU_BURAK_YENI1309[[#This Row],[ALT_KOD]])-(SUMIFS(H:H,D:D,DST_123_ÜRETİM_İHTİYAÇ_RAPORU_BURAK_YENI1309[[#This Row],[ALT_KOD]])+AVERAGEIFS(I:I,D:D,DST_123_ÜRETİM_İHTİYAÇ_RAPORU_BURAK_YENI1309[[#This Row],[ALT_KOD]])+AVERAGEIFS(L:L,D:D,DST_123_ÜRETİM_İHTİYAÇ_RAPORU_BURAK_YENI1309[[#This Row],[ALT_KOD]]))</f>
        <v>-24</v>
      </c>
      <c r="L5892">
        <v>0</v>
      </c>
      <c r="M5892">
        <f>IF((DST_123_ÜRETİM_İHTİYAÇ_RAPORU_BURAK_YENI1309[[#This Row],[SATINALMA]]*DST_123_ÜRETİM_İHTİYAÇ_RAPORU_BURAK_YENI1309[[#This Row],[BIRIM_FIYATLAR]])&lt;1,VALUE("0"),DST_123_ÜRETİM_İHTİYAÇ_RAPORU_BURAK_YENI1309[[#This Row],[SATINALMA]]*DST_123_ÜRETİM_İHTİYAÇ_RAPORU_BURAK_YENI1309[[#This Row],[BIRIM_FIYATLAR]])</f>
        <v>0</v>
      </c>
      <c r="N5892">
        <v>199.45</v>
      </c>
      <c r="O5892" t="s">
        <v>275</v>
      </c>
      <c r="P5892">
        <v>1196.6999999999998</v>
      </c>
      <c r="Q5892" t="s">
        <v>180</v>
      </c>
    </row>
    <row r="5893" spans="1:17" x14ac:dyDescent="0.25">
      <c r="A5893" t="s">
        <v>1097</v>
      </c>
      <c r="B5893" t="s">
        <v>1055</v>
      </c>
      <c r="C5893" t="s">
        <v>175</v>
      </c>
      <c r="D5893" t="s">
        <v>153</v>
      </c>
      <c r="E5893" t="s">
        <v>154</v>
      </c>
      <c r="F5893">
        <v>6</v>
      </c>
      <c r="G5893" t="s">
        <v>176</v>
      </c>
      <c r="H5893">
        <v>6</v>
      </c>
      <c r="I5893">
        <v>46</v>
      </c>
      <c r="J5893" s="10">
        <v>26</v>
      </c>
      <c r="K5893" s="10">
        <f>SUMIFS(F:F,D:D,DST_123_ÜRETİM_İHTİYAÇ_RAPORU_BURAK_YENI1309[[#This Row],[ALT_KOD]])-(SUMIFS(H:H,D:D,DST_123_ÜRETİM_İHTİYAÇ_RAPORU_BURAK_YENI1309[[#This Row],[ALT_KOD]])+AVERAGEIFS(I:I,D:D,DST_123_ÜRETİM_İHTİYAÇ_RAPORU_BURAK_YENI1309[[#This Row],[ALT_KOD]])+AVERAGEIFS(L:L,D:D,DST_123_ÜRETİM_İHTİYAÇ_RAPORU_BURAK_YENI1309[[#This Row],[ALT_KOD]]))</f>
        <v>-24</v>
      </c>
      <c r="L5893">
        <v>0</v>
      </c>
      <c r="M5893">
        <f>IF((DST_123_ÜRETİM_İHTİYAÇ_RAPORU_BURAK_YENI1309[[#This Row],[SATINALMA]]*DST_123_ÜRETİM_İHTİYAÇ_RAPORU_BURAK_YENI1309[[#This Row],[BIRIM_FIYATLAR]])&lt;1,VALUE("0"),DST_123_ÜRETİM_İHTİYAÇ_RAPORU_BURAK_YENI1309[[#This Row],[SATINALMA]]*DST_123_ÜRETİM_İHTİYAÇ_RAPORU_BURAK_YENI1309[[#This Row],[BIRIM_FIYATLAR]])</f>
        <v>0</v>
      </c>
      <c r="N5893">
        <v>199.45</v>
      </c>
      <c r="O5893" t="s">
        <v>275</v>
      </c>
      <c r="P5893">
        <v>1196.6999999999998</v>
      </c>
      <c r="Q5893" t="s">
        <v>180</v>
      </c>
    </row>
    <row r="5894" spans="1:17" x14ac:dyDescent="0.25">
      <c r="A5894" t="s">
        <v>1064</v>
      </c>
      <c r="B5894" t="s">
        <v>1055</v>
      </c>
      <c r="C5894" t="s">
        <v>175</v>
      </c>
      <c r="D5894" t="s">
        <v>776</v>
      </c>
      <c r="E5894" t="s">
        <v>777</v>
      </c>
      <c r="F5894">
        <v>1</v>
      </c>
      <c r="G5894" t="s">
        <v>176</v>
      </c>
      <c r="H5894">
        <v>1</v>
      </c>
      <c r="I5894">
        <v>6</v>
      </c>
      <c r="J5894" s="10">
        <v>7</v>
      </c>
      <c r="K5894" s="10">
        <f>SUMIFS(F:F,D:D,DST_123_ÜRETİM_İHTİYAÇ_RAPORU_BURAK_YENI1309[[#This Row],[ALT_KOD]])-(SUMIFS(H:H,D:D,DST_123_ÜRETİM_İHTİYAÇ_RAPORU_BURAK_YENI1309[[#This Row],[ALT_KOD]])+AVERAGEIFS(I:I,D:D,DST_123_ÜRETİM_İHTİYAÇ_RAPORU_BURAK_YENI1309[[#This Row],[ALT_KOD]])+AVERAGEIFS(L:L,D:D,DST_123_ÜRETİM_İHTİYAÇ_RAPORU_BURAK_YENI1309[[#This Row],[ALT_KOD]]))</f>
        <v>5</v>
      </c>
      <c r="L5894">
        <v>0</v>
      </c>
      <c r="M5894">
        <f>IF((DST_123_ÜRETİM_İHTİYAÇ_RAPORU_BURAK_YENI1309[[#This Row],[SATINALMA]]*DST_123_ÜRETİM_İHTİYAÇ_RAPORU_BURAK_YENI1309[[#This Row],[BIRIM_FIYATLAR]])&lt;1,VALUE("0"),DST_123_ÜRETİM_İHTİYAÇ_RAPORU_BURAK_YENI1309[[#This Row],[SATINALMA]]*DST_123_ÜRETİM_İHTİYAÇ_RAPORU_BURAK_YENI1309[[#This Row],[BIRIM_FIYATLAR]])</f>
        <v>12288.25</v>
      </c>
      <c r="N5894">
        <v>2457.65</v>
      </c>
      <c r="O5894" t="s">
        <v>634</v>
      </c>
      <c r="P5894">
        <v>2457.65</v>
      </c>
      <c r="Q5894" t="s">
        <v>177</v>
      </c>
    </row>
    <row r="5895" spans="1:17" x14ac:dyDescent="0.25">
      <c r="A5895" t="s">
        <v>1064</v>
      </c>
      <c r="B5895" t="s">
        <v>1055</v>
      </c>
      <c r="C5895" t="s">
        <v>175</v>
      </c>
      <c r="D5895" t="s">
        <v>404</v>
      </c>
      <c r="E5895" t="s">
        <v>405</v>
      </c>
      <c r="F5895">
        <v>5</v>
      </c>
      <c r="G5895" t="s">
        <v>176</v>
      </c>
      <c r="H5895">
        <v>5</v>
      </c>
      <c r="I5895">
        <v>234</v>
      </c>
      <c r="J5895" s="10">
        <v>30</v>
      </c>
      <c r="K5895" s="10">
        <f>SUMIFS(F:F,D:D,DST_123_ÜRETİM_İHTİYAÇ_RAPORU_BURAK_YENI1309[[#This Row],[ALT_KOD]])-(SUMIFS(H:H,D:D,DST_123_ÜRETİM_İHTİYAÇ_RAPORU_BURAK_YENI1309[[#This Row],[ALT_KOD]])+AVERAGEIFS(I:I,D:D,DST_123_ÜRETİM_İHTİYAÇ_RAPORU_BURAK_YENI1309[[#This Row],[ALT_KOD]])+AVERAGEIFS(L:L,D:D,DST_123_ÜRETİM_İHTİYAÇ_RAPORU_BURAK_YENI1309[[#This Row],[ALT_KOD]]))</f>
        <v>-169</v>
      </c>
      <c r="L5895">
        <v>0</v>
      </c>
      <c r="M5895">
        <f>IF((DST_123_ÜRETİM_İHTİYAÇ_RAPORU_BURAK_YENI1309[[#This Row],[SATINALMA]]*DST_123_ÜRETİM_İHTİYAÇ_RAPORU_BURAK_YENI1309[[#This Row],[BIRIM_FIYATLAR]])&lt;1,VALUE("0"),DST_123_ÜRETİM_İHTİYAÇ_RAPORU_BURAK_YENI1309[[#This Row],[SATINALMA]]*DST_123_ÜRETİM_İHTİYAÇ_RAPORU_BURAK_YENI1309[[#This Row],[BIRIM_FIYATLAR]])</f>
        <v>0</v>
      </c>
      <c r="N5895">
        <v>15.21</v>
      </c>
      <c r="O5895" t="s">
        <v>826</v>
      </c>
      <c r="P5895">
        <v>76.050000000000011</v>
      </c>
      <c r="Q5895" t="s">
        <v>221</v>
      </c>
    </row>
    <row r="5896" spans="1:17" x14ac:dyDescent="0.25">
      <c r="A5896" t="s">
        <v>1064</v>
      </c>
      <c r="B5896" t="s">
        <v>1055</v>
      </c>
      <c r="C5896" t="s">
        <v>175</v>
      </c>
      <c r="D5896" t="s">
        <v>586</v>
      </c>
      <c r="E5896" t="s">
        <v>587</v>
      </c>
      <c r="F5896">
        <v>1</v>
      </c>
      <c r="G5896" t="s">
        <v>176</v>
      </c>
      <c r="H5896">
        <v>0</v>
      </c>
      <c r="I5896">
        <v>0</v>
      </c>
      <c r="J5896" s="10">
        <v>0</v>
      </c>
      <c r="K5896" s="10">
        <f>SUMIFS(F:F,D:D,DST_123_ÜRETİM_İHTİYAÇ_RAPORU_BURAK_YENI1309[[#This Row],[ALT_KOD]])-(SUMIFS(H:H,D:D,DST_123_ÜRETİM_İHTİYAÇ_RAPORU_BURAK_YENI1309[[#This Row],[ALT_KOD]])+AVERAGEIFS(I:I,D:D,DST_123_ÜRETİM_İHTİYAÇ_RAPORU_BURAK_YENI1309[[#This Row],[ALT_KOD]])+AVERAGEIFS(L:L,D:D,DST_123_ÜRETİM_İHTİYAÇ_RAPORU_BURAK_YENI1309[[#This Row],[ALT_KOD]]))</f>
        <v>9</v>
      </c>
      <c r="L5896">
        <v>0</v>
      </c>
      <c r="M5896">
        <f>IF((DST_123_ÜRETİM_İHTİYAÇ_RAPORU_BURAK_YENI1309[[#This Row],[SATINALMA]]*DST_123_ÜRETİM_İHTİYAÇ_RAPORU_BURAK_YENI1309[[#This Row],[BIRIM_FIYATLAR]])&lt;1,VALUE("0"),DST_123_ÜRETİM_İHTİYAÇ_RAPORU_BURAK_YENI1309[[#This Row],[SATINALMA]]*DST_123_ÜRETİM_İHTİYAÇ_RAPORU_BURAK_YENI1309[[#This Row],[BIRIM_FIYATLAR]])</f>
        <v>540</v>
      </c>
      <c r="N5896">
        <v>60</v>
      </c>
      <c r="O5896" t="s">
        <v>428</v>
      </c>
      <c r="P5896">
        <v>60</v>
      </c>
      <c r="Q5896" t="s">
        <v>177</v>
      </c>
    </row>
    <row r="5897" spans="1:17" x14ac:dyDescent="0.25">
      <c r="A5897" t="s">
        <v>1057</v>
      </c>
      <c r="B5897" t="s">
        <v>1058</v>
      </c>
      <c r="C5897" t="s">
        <v>175</v>
      </c>
      <c r="D5897" t="s">
        <v>514</v>
      </c>
      <c r="E5897" t="s">
        <v>515</v>
      </c>
      <c r="F5897">
        <v>0.6</v>
      </c>
      <c r="G5897" t="s">
        <v>176</v>
      </c>
      <c r="H5897">
        <v>0</v>
      </c>
      <c r="I5897">
        <v>0</v>
      </c>
      <c r="J5897" s="10">
        <v>-1.7763568394002505E-15</v>
      </c>
      <c r="K5897" s="10">
        <f>SUMIFS(F:F,D:D,DST_123_ÜRETİM_İHTİYAÇ_RAPORU_BURAK_YENI1309[[#This Row],[ALT_KOD]])-(SUMIFS(H:H,D:D,DST_123_ÜRETİM_İHTİYAÇ_RAPORU_BURAK_YENI1309[[#This Row],[ALT_KOD]])+AVERAGEIFS(I:I,D:D,DST_123_ÜRETİM_İHTİYAÇ_RAPORU_BURAK_YENI1309[[#This Row],[ALT_KOD]])+AVERAGEIFS(L:L,D:D,DST_123_ÜRETİM_İHTİYAÇ_RAPORU_BURAK_YENI1309[[#This Row],[ALT_KOD]]))</f>
        <v>6.9999999999999991</v>
      </c>
      <c r="L5897">
        <v>0</v>
      </c>
      <c r="M5897">
        <f>IF((DST_123_ÜRETİM_İHTİYAÇ_RAPORU_BURAK_YENI1309[[#This Row],[SATINALMA]]*DST_123_ÜRETİM_İHTİYAÇ_RAPORU_BURAK_YENI1309[[#This Row],[BIRIM_FIYATLAR]])&lt;1,VALUE("0"),DST_123_ÜRETİM_İHTİYAÇ_RAPORU_BURAK_YENI1309[[#This Row],[SATINALMA]]*DST_123_ÜRETİM_İHTİYAÇ_RAPORU_BURAK_YENI1309[[#This Row],[BIRIM_FIYATLAR]])</f>
        <v>489.99999999999994</v>
      </c>
      <c r="N5897">
        <v>70</v>
      </c>
      <c r="O5897" t="s">
        <v>240</v>
      </c>
      <c r="P5897">
        <v>42</v>
      </c>
      <c r="Q5897" t="s">
        <v>180</v>
      </c>
    </row>
    <row r="5898" spans="1:17" x14ac:dyDescent="0.25">
      <c r="A5898" t="s">
        <v>1146</v>
      </c>
      <c r="B5898" t="s">
        <v>1145</v>
      </c>
      <c r="C5898" t="s">
        <v>175</v>
      </c>
      <c r="D5898" t="s">
        <v>471</v>
      </c>
      <c r="E5898" t="s">
        <v>472</v>
      </c>
      <c r="F5898">
        <v>12</v>
      </c>
      <c r="G5898" t="s">
        <v>176</v>
      </c>
      <c r="H5898">
        <v>0</v>
      </c>
      <c r="I5898">
        <v>200</v>
      </c>
      <c r="J5898" s="10">
        <v>343</v>
      </c>
      <c r="K5898" s="10">
        <f>SUMIFS(F:F,D:D,DST_123_ÜRETİM_İHTİYAÇ_RAPORU_BURAK_YENI1309[[#This Row],[ALT_KOD]])-(SUMIFS(H:H,D:D,DST_123_ÜRETİM_İHTİYAÇ_RAPORU_BURAK_YENI1309[[#This Row],[ALT_KOD]])+AVERAGEIFS(I:I,D:D,DST_123_ÜRETİM_İHTİYAÇ_RAPORU_BURAK_YENI1309[[#This Row],[ALT_KOD]])+AVERAGEIFS(L:L,D:D,DST_123_ÜRETİM_İHTİYAÇ_RAPORU_BURAK_YENI1309[[#This Row],[ALT_KOD]]))</f>
        <v>-8</v>
      </c>
      <c r="L5898">
        <v>0</v>
      </c>
      <c r="M5898">
        <f>IF((DST_123_ÜRETİM_İHTİYAÇ_RAPORU_BURAK_YENI1309[[#This Row],[SATINALMA]]*DST_123_ÜRETİM_İHTİYAÇ_RAPORU_BURAK_YENI1309[[#This Row],[BIRIM_FIYATLAR]])&lt;1,VALUE("0"),DST_123_ÜRETİM_İHTİYAÇ_RAPORU_BURAK_YENI1309[[#This Row],[SATINALMA]]*DST_123_ÜRETİM_İHTİYAÇ_RAPORU_BURAK_YENI1309[[#This Row],[BIRIM_FIYATLAR]])</f>
        <v>0</v>
      </c>
      <c r="N5898">
        <v>9</v>
      </c>
      <c r="O5898" t="s">
        <v>240</v>
      </c>
      <c r="P5898">
        <v>108</v>
      </c>
      <c r="Q5898" t="s">
        <v>180</v>
      </c>
    </row>
    <row r="5899" spans="1:17" x14ac:dyDescent="0.25">
      <c r="A5899" t="s">
        <v>1101</v>
      </c>
      <c r="B5899" t="s">
        <v>1102</v>
      </c>
      <c r="C5899" t="s">
        <v>175</v>
      </c>
      <c r="D5899" t="s">
        <v>153</v>
      </c>
      <c r="E5899" t="s">
        <v>154</v>
      </c>
      <c r="F5899">
        <v>3</v>
      </c>
      <c r="G5899" t="s">
        <v>176</v>
      </c>
      <c r="H5899">
        <v>3</v>
      </c>
      <c r="I5899">
        <v>46</v>
      </c>
      <c r="J5899" s="10">
        <v>26</v>
      </c>
      <c r="K5899" s="10">
        <f>SUMIFS(F:F,D:D,DST_123_ÜRETİM_İHTİYAÇ_RAPORU_BURAK_YENI1309[[#This Row],[ALT_KOD]])-(SUMIFS(H:H,D:D,DST_123_ÜRETİM_İHTİYAÇ_RAPORU_BURAK_YENI1309[[#This Row],[ALT_KOD]])+AVERAGEIFS(I:I,D:D,DST_123_ÜRETİM_İHTİYAÇ_RAPORU_BURAK_YENI1309[[#This Row],[ALT_KOD]])+AVERAGEIFS(L:L,D:D,DST_123_ÜRETİM_İHTİYAÇ_RAPORU_BURAK_YENI1309[[#This Row],[ALT_KOD]]))</f>
        <v>-24</v>
      </c>
      <c r="L5899">
        <v>0</v>
      </c>
      <c r="M5899">
        <f>IF((DST_123_ÜRETİM_İHTİYAÇ_RAPORU_BURAK_YENI1309[[#This Row],[SATINALMA]]*DST_123_ÜRETİM_İHTİYAÇ_RAPORU_BURAK_YENI1309[[#This Row],[BIRIM_FIYATLAR]])&lt;1,VALUE("0"),DST_123_ÜRETİM_İHTİYAÇ_RAPORU_BURAK_YENI1309[[#This Row],[SATINALMA]]*DST_123_ÜRETİM_İHTİYAÇ_RAPORU_BURAK_YENI1309[[#This Row],[BIRIM_FIYATLAR]])</f>
        <v>0</v>
      </c>
      <c r="N5899">
        <v>199.45</v>
      </c>
      <c r="O5899" t="s">
        <v>275</v>
      </c>
      <c r="P5899">
        <v>598.34999999999991</v>
      </c>
      <c r="Q5899" t="s">
        <v>180</v>
      </c>
    </row>
    <row r="5900" spans="1:17" x14ac:dyDescent="0.25">
      <c r="A5900" t="s">
        <v>1059</v>
      </c>
      <c r="B5900" t="s">
        <v>1058</v>
      </c>
      <c r="C5900" t="s">
        <v>175</v>
      </c>
      <c r="D5900" t="s">
        <v>1043</v>
      </c>
      <c r="E5900" t="s">
        <v>1044</v>
      </c>
      <c r="F5900">
        <v>1</v>
      </c>
      <c r="G5900" t="s">
        <v>176</v>
      </c>
      <c r="H5900">
        <v>1</v>
      </c>
      <c r="I5900">
        <v>2</v>
      </c>
      <c r="J5900" s="10">
        <v>2</v>
      </c>
      <c r="K5900" s="10">
        <f>SUMIFS(F:F,D:D,DST_123_ÜRETİM_İHTİYAÇ_RAPORU_BURAK_YENI1309[[#This Row],[ALT_KOD]])-(SUMIFS(H:H,D:D,DST_123_ÜRETİM_İHTİYAÇ_RAPORU_BURAK_YENI1309[[#This Row],[ALT_KOD]])+AVERAGEIFS(I:I,D:D,DST_123_ÜRETİM_İHTİYAÇ_RAPORU_BURAK_YENI1309[[#This Row],[ALT_KOD]])+AVERAGEIFS(L:L,D:D,DST_123_ÜRETİM_İHTİYAÇ_RAPORU_BURAK_YENI1309[[#This Row],[ALT_KOD]]))</f>
        <v>-2</v>
      </c>
      <c r="L5900">
        <v>0</v>
      </c>
      <c r="M5900">
        <f>IF((DST_123_ÜRETİM_İHTİYAÇ_RAPORU_BURAK_YENI1309[[#This Row],[SATINALMA]]*DST_123_ÜRETİM_İHTİYAÇ_RAPORU_BURAK_YENI1309[[#This Row],[BIRIM_FIYATLAR]])&lt;1,VALUE("0"),DST_123_ÜRETİM_İHTİYAÇ_RAPORU_BURAK_YENI1309[[#This Row],[SATINALMA]]*DST_123_ÜRETİM_İHTİYAÇ_RAPORU_BURAK_YENI1309[[#This Row],[BIRIM_FIYATLAR]])</f>
        <v>0</v>
      </c>
      <c r="N5900">
        <v>400</v>
      </c>
      <c r="O5900" t="s">
        <v>1034</v>
      </c>
      <c r="P5900">
        <v>400</v>
      </c>
      <c r="Q5900" t="s">
        <v>178</v>
      </c>
    </row>
    <row r="5901" spans="1:17" x14ac:dyDescent="0.25">
      <c r="A5901" t="s">
        <v>1144</v>
      </c>
      <c r="B5901" t="s">
        <v>1145</v>
      </c>
      <c r="C5901" t="s">
        <v>175</v>
      </c>
      <c r="D5901" t="s">
        <v>282</v>
      </c>
      <c r="E5901" t="s">
        <v>283</v>
      </c>
      <c r="F5901">
        <v>1</v>
      </c>
      <c r="G5901" t="s">
        <v>176</v>
      </c>
      <c r="H5901">
        <v>0</v>
      </c>
      <c r="I5901">
        <v>104</v>
      </c>
      <c r="J5901" s="10">
        <v>-3.5527136788005009E-15</v>
      </c>
      <c r="K5901" s="10">
        <f>SUMIFS(F:F,D:D,DST_123_ÜRETİM_İHTİYAÇ_RAPORU_BURAK_YENI1309[[#This Row],[ALT_KOD]])-(SUMIFS(H:H,D:D,DST_123_ÜRETİM_İHTİYAÇ_RAPORU_BURAK_YENI1309[[#This Row],[ALT_KOD]])+AVERAGEIFS(I:I,D:D,DST_123_ÜRETİM_İHTİYAÇ_RAPORU_BURAK_YENI1309[[#This Row],[ALT_KOD]])+AVERAGEIFS(L:L,D:D,DST_123_ÜRETİM_İHTİYAÇ_RAPORU_BURAK_YENI1309[[#This Row],[ALT_KOD]]))</f>
        <v>-81.349999999999994</v>
      </c>
      <c r="L5901">
        <v>0</v>
      </c>
      <c r="M5901">
        <f>IF((DST_123_ÜRETİM_İHTİYAÇ_RAPORU_BURAK_YENI1309[[#This Row],[SATINALMA]]*DST_123_ÜRETİM_İHTİYAÇ_RAPORU_BURAK_YENI1309[[#This Row],[BIRIM_FIYATLAR]])&lt;1,VALUE("0"),DST_123_ÜRETİM_İHTİYAÇ_RAPORU_BURAK_YENI1309[[#This Row],[SATINALMA]]*DST_123_ÜRETİM_İHTİYAÇ_RAPORU_BURAK_YENI1309[[#This Row],[BIRIM_FIYATLAR]])</f>
        <v>0</v>
      </c>
      <c r="N5901">
        <v>22</v>
      </c>
      <c r="O5901" t="s">
        <v>240</v>
      </c>
      <c r="P5901">
        <v>22</v>
      </c>
      <c r="Q5901" t="s">
        <v>180</v>
      </c>
    </row>
    <row r="5902" spans="1:17" x14ac:dyDescent="0.25">
      <c r="A5902" t="s">
        <v>1101</v>
      </c>
      <c r="B5902" t="s">
        <v>1102</v>
      </c>
      <c r="C5902" t="s">
        <v>197</v>
      </c>
      <c r="D5902" t="s">
        <v>496</v>
      </c>
      <c r="E5902" t="s">
        <v>497</v>
      </c>
      <c r="F5902">
        <v>1</v>
      </c>
      <c r="G5902" t="s">
        <v>176</v>
      </c>
      <c r="H5902">
        <v>1</v>
      </c>
      <c r="I5902">
        <v>2</v>
      </c>
      <c r="J5902" s="10">
        <v>9</v>
      </c>
      <c r="K5902" s="10">
        <f>SUMIFS(F:F,D:D,DST_123_ÜRETİM_İHTİYAÇ_RAPORU_BURAK_YENI1309[[#This Row],[ALT_KOD]])-(SUMIFS(H:H,D:D,DST_123_ÜRETİM_İHTİYAÇ_RAPORU_BURAK_YENI1309[[#This Row],[ALT_KOD]])+AVERAGEIFS(I:I,D:D,DST_123_ÜRETİM_İHTİYAÇ_RAPORU_BURAK_YENI1309[[#This Row],[ALT_KOD]])+AVERAGEIFS(L:L,D:D,DST_123_ÜRETİM_İHTİYAÇ_RAPORU_BURAK_YENI1309[[#This Row],[ALT_KOD]]))</f>
        <v>10</v>
      </c>
      <c r="L5902">
        <v>0</v>
      </c>
      <c r="M5902">
        <f>IF((DST_123_ÜRETİM_İHTİYAÇ_RAPORU_BURAK_YENI1309[[#This Row],[SATINALMA]]*DST_123_ÜRETİM_İHTİYAÇ_RAPORU_BURAK_YENI1309[[#This Row],[BIRIM_FIYATLAR]])&lt;1,VALUE("0"),DST_123_ÜRETİM_İHTİYAÇ_RAPORU_BURAK_YENI1309[[#This Row],[SATINALMA]]*DST_123_ÜRETİM_İHTİYAÇ_RAPORU_BURAK_YENI1309[[#This Row],[BIRIM_FIYATLAR]])</f>
        <v>0</v>
      </c>
      <c r="O5902" t="s">
        <v>713</v>
      </c>
      <c r="Q5902" t="s">
        <v>760</v>
      </c>
    </row>
    <row r="5903" spans="1:17" x14ac:dyDescent="0.25">
      <c r="A5903" t="s">
        <v>1179</v>
      </c>
      <c r="B5903" t="s">
        <v>1180</v>
      </c>
      <c r="C5903" t="s">
        <v>175</v>
      </c>
      <c r="D5903" t="s">
        <v>776</v>
      </c>
      <c r="E5903" t="s">
        <v>777</v>
      </c>
      <c r="F5903">
        <v>1</v>
      </c>
      <c r="G5903" t="s">
        <v>176</v>
      </c>
      <c r="H5903">
        <v>1</v>
      </c>
      <c r="I5903">
        <v>6</v>
      </c>
      <c r="J5903" s="10">
        <v>7</v>
      </c>
      <c r="K5903" s="10">
        <f>SUMIFS(F:F,D:D,DST_123_ÜRETİM_İHTİYAÇ_RAPORU_BURAK_YENI1309[[#This Row],[ALT_KOD]])-(SUMIFS(H:H,D:D,DST_123_ÜRETİM_İHTİYAÇ_RAPORU_BURAK_YENI1309[[#This Row],[ALT_KOD]])+AVERAGEIFS(I:I,D:D,DST_123_ÜRETİM_İHTİYAÇ_RAPORU_BURAK_YENI1309[[#This Row],[ALT_KOD]])+AVERAGEIFS(L:L,D:D,DST_123_ÜRETİM_İHTİYAÇ_RAPORU_BURAK_YENI1309[[#This Row],[ALT_KOD]]))</f>
        <v>5</v>
      </c>
      <c r="L5903">
        <v>0</v>
      </c>
      <c r="M5903">
        <f>IF((DST_123_ÜRETİM_İHTİYAÇ_RAPORU_BURAK_YENI1309[[#This Row],[SATINALMA]]*DST_123_ÜRETİM_İHTİYAÇ_RAPORU_BURAK_YENI1309[[#This Row],[BIRIM_FIYATLAR]])&lt;1,VALUE("0"),DST_123_ÜRETİM_İHTİYAÇ_RAPORU_BURAK_YENI1309[[#This Row],[SATINALMA]]*DST_123_ÜRETİM_İHTİYAÇ_RAPORU_BURAK_YENI1309[[#This Row],[BIRIM_FIYATLAR]])</f>
        <v>12288.25</v>
      </c>
      <c r="N5903">
        <v>2457.65</v>
      </c>
      <c r="O5903" t="s">
        <v>634</v>
      </c>
      <c r="P5903">
        <v>2457.65</v>
      </c>
      <c r="Q5903" t="s">
        <v>177</v>
      </c>
    </row>
    <row r="5904" spans="1:17" x14ac:dyDescent="0.25">
      <c r="A5904" t="s">
        <v>1143</v>
      </c>
      <c r="B5904" t="s">
        <v>1056</v>
      </c>
      <c r="C5904" t="s">
        <v>175</v>
      </c>
      <c r="D5904" t="s">
        <v>363</v>
      </c>
      <c r="E5904" t="s">
        <v>364</v>
      </c>
      <c r="F5904">
        <v>6.65</v>
      </c>
      <c r="G5904" t="s">
        <v>179</v>
      </c>
      <c r="H5904">
        <v>0</v>
      </c>
      <c r="I5904">
        <v>100</v>
      </c>
      <c r="J5904" s="10">
        <v>159.90000000000003</v>
      </c>
      <c r="K5904" s="10">
        <f>SUMIFS(F:F,D:D,DST_123_ÜRETİM_İHTİYAÇ_RAPORU_BURAK_YENI1309[[#This Row],[ALT_KOD]])-(SUMIFS(H:H,D:D,DST_123_ÜRETİM_İHTİYAÇ_RAPORU_BURAK_YENI1309[[#This Row],[ALT_KOD]])+AVERAGEIFS(I:I,D:D,DST_123_ÜRETİM_İHTİYAÇ_RAPORU_BURAK_YENI1309[[#This Row],[ALT_KOD]])+AVERAGEIFS(L:L,D:D,DST_123_ÜRETİM_İHTİYAÇ_RAPORU_BURAK_YENI1309[[#This Row],[ALT_KOD]]))</f>
        <v>41.300000000000011</v>
      </c>
      <c r="L5904">
        <v>0</v>
      </c>
      <c r="M5904">
        <f>IF((DST_123_ÜRETİM_İHTİYAÇ_RAPORU_BURAK_YENI1309[[#This Row],[SATINALMA]]*DST_123_ÜRETİM_İHTİYAÇ_RAPORU_BURAK_YENI1309[[#This Row],[BIRIM_FIYATLAR]])&lt;1,VALUE("0"),DST_123_ÜRETİM_İHTİYAÇ_RAPORU_BURAK_YENI1309[[#This Row],[SATINALMA]]*DST_123_ÜRETİM_İHTİYAÇ_RAPORU_BURAK_YENI1309[[#This Row],[BIRIM_FIYATLAR]])</f>
        <v>929.25000000000023</v>
      </c>
      <c r="N5904">
        <v>22.5</v>
      </c>
      <c r="O5904" t="s">
        <v>314</v>
      </c>
      <c r="P5904">
        <v>149.625</v>
      </c>
      <c r="Q5904" t="s">
        <v>178</v>
      </c>
    </row>
    <row r="5905" spans="1:17" x14ac:dyDescent="0.25">
      <c r="A5905" t="s">
        <v>1059</v>
      </c>
      <c r="B5905" t="s">
        <v>1058</v>
      </c>
      <c r="C5905" t="s">
        <v>197</v>
      </c>
      <c r="D5905" t="s">
        <v>496</v>
      </c>
      <c r="E5905" t="s">
        <v>497</v>
      </c>
      <c r="F5905">
        <v>1</v>
      </c>
      <c r="G5905" t="s">
        <v>176</v>
      </c>
      <c r="H5905">
        <v>1</v>
      </c>
      <c r="I5905">
        <v>2</v>
      </c>
      <c r="J5905" s="10">
        <v>9</v>
      </c>
      <c r="K5905" s="10">
        <f>SUMIFS(F:F,D:D,DST_123_ÜRETİM_İHTİYAÇ_RAPORU_BURAK_YENI1309[[#This Row],[ALT_KOD]])-(SUMIFS(H:H,D:D,DST_123_ÜRETİM_İHTİYAÇ_RAPORU_BURAK_YENI1309[[#This Row],[ALT_KOD]])+AVERAGEIFS(I:I,D:D,DST_123_ÜRETİM_İHTİYAÇ_RAPORU_BURAK_YENI1309[[#This Row],[ALT_KOD]])+AVERAGEIFS(L:L,D:D,DST_123_ÜRETİM_İHTİYAÇ_RAPORU_BURAK_YENI1309[[#This Row],[ALT_KOD]]))</f>
        <v>10</v>
      </c>
      <c r="L5905">
        <v>0</v>
      </c>
      <c r="M5905">
        <f>IF((DST_123_ÜRETİM_İHTİYAÇ_RAPORU_BURAK_YENI1309[[#This Row],[SATINALMA]]*DST_123_ÜRETİM_İHTİYAÇ_RAPORU_BURAK_YENI1309[[#This Row],[BIRIM_FIYATLAR]])&lt;1,VALUE("0"),DST_123_ÜRETİM_İHTİYAÇ_RAPORU_BURAK_YENI1309[[#This Row],[SATINALMA]]*DST_123_ÜRETİM_İHTİYAÇ_RAPORU_BURAK_YENI1309[[#This Row],[BIRIM_FIYATLAR]])</f>
        <v>0</v>
      </c>
      <c r="O5905" t="s">
        <v>713</v>
      </c>
      <c r="Q5905" t="s">
        <v>760</v>
      </c>
    </row>
    <row r="5906" spans="1:17" x14ac:dyDescent="0.25">
      <c r="A5906" t="s">
        <v>1101</v>
      </c>
      <c r="B5906" t="s">
        <v>1102</v>
      </c>
      <c r="C5906" t="s">
        <v>175</v>
      </c>
      <c r="D5906" t="s">
        <v>99</v>
      </c>
      <c r="E5906" t="s">
        <v>100</v>
      </c>
      <c r="F5906">
        <v>32.81</v>
      </c>
      <c r="G5906" t="s">
        <v>185</v>
      </c>
      <c r="H5906">
        <v>32.81</v>
      </c>
      <c r="I5906">
        <v>0</v>
      </c>
      <c r="J5906" s="10">
        <v>437.82000000000016</v>
      </c>
      <c r="K5906" s="10">
        <f>SUMIFS(F:F,D:D,DST_123_ÜRETİM_İHTİYAÇ_RAPORU_BURAK_YENI1309[[#This Row],[ALT_KOD]])-(SUMIFS(H:H,D:D,DST_123_ÜRETİM_İHTİYAÇ_RAPORU_BURAK_YENI1309[[#This Row],[ALT_KOD]])+AVERAGEIFS(I:I,D:D,DST_123_ÜRETİM_İHTİYAÇ_RAPORU_BURAK_YENI1309[[#This Row],[ALT_KOD]])+AVERAGEIFS(L:L,D:D,DST_123_ÜRETİM_İHTİYAÇ_RAPORU_BURAK_YENI1309[[#This Row],[ALT_KOD]]))</f>
        <v>348.62999999999988</v>
      </c>
      <c r="L5906">
        <v>0</v>
      </c>
      <c r="M5906">
        <f>IF((DST_123_ÜRETİM_İHTİYAÇ_RAPORU_BURAK_YENI1309[[#This Row],[SATINALMA]]*DST_123_ÜRETİM_İHTİYAÇ_RAPORU_BURAK_YENI1309[[#This Row],[BIRIM_FIYATLAR]])&lt;1,VALUE("0"),DST_123_ÜRETİM_İHTİYAÇ_RAPORU_BURAK_YENI1309[[#This Row],[SATINALMA]]*DST_123_ÜRETİM_İHTİYAÇ_RAPORU_BURAK_YENI1309[[#This Row],[BIRIM_FIYATLAR]])</f>
        <v>33597.473099999988</v>
      </c>
      <c r="N5906">
        <v>96.37</v>
      </c>
      <c r="O5906" t="s">
        <v>490</v>
      </c>
      <c r="P5906">
        <v>3161.8997000000004</v>
      </c>
      <c r="Q5906" t="s">
        <v>183</v>
      </c>
    </row>
    <row r="5907" spans="1:17" x14ac:dyDescent="0.25">
      <c r="A5907" t="s">
        <v>1097</v>
      </c>
      <c r="B5907" t="s">
        <v>1055</v>
      </c>
      <c r="C5907" t="s">
        <v>175</v>
      </c>
      <c r="D5907" t="s">
        <v>99</v>
      </c>
      <c r="E5907" t="s">
        <v>100</v>
      </c>
      <c r="F5907">
        <v>36.03</v>
      </c>
      <c r="G5907" t="s">
        <v>185</v>
      </c>
      <c r="H5907">
        <v>36.03</v>
      </c>
      <c r="I5907">
        <v>0</v>
      </c>
      <c r="J5907" s="10">
        <v>437.82000000000016</v>
      </c>
      <c r="K5907" s="10">
        <f>SUMIFS(F:F,D:D,DST_123_ÜRETİM_İHTİYAÇ_RAPORU_BURAK_YENI1309[[#This Row],[ALT_KOD]])-(SUMIFS(H:H,D:D,DST_123_ÜRETİM_İHTİYAÇ_RAPORU_BURAK_YENI1309[[#This Row],[ALT_KOD]])+AVERAGEIFS(I:I,D:D,DST_123_ÜRETİM_İHTİYAÇ_RAPORU_BURAK_YENI1309[[#This Row],[ALT_KOD]])+AVERAGEIFS(L:L,D:D,DST_123_ÜRETİM_İHTİYAÇ_RAPORU_BURAK_YENI1309[[#This Row],[ALT_KOD]]))</f>
        <v>348.62999999999988</v>
      </c>
      <c r="L5907">
        <v>0</v>
      </c>
      <c r="M5907">
        <f>IF((DST_123_ÜRETİM_İHTİYAÇ_RAPORU_BURAK_YENI1309[[#This Row],[SATINALMA]]*DST_123_ÜRETİM_İHTİYAÇ_RAPORU_BURAK_YENI1309[[#This Row],[BIRIM_FIYATLAR]])&lt;1,VALUE("0"),DST_123_ÜRETİM_İHTİYAÇ_RAPORU_BURAK_YENI1309[[#This Row],[SATINALMA]]*DST_123_ÜRETİM_İHTİYAÇ_RAPORU_BURAK_YENI1309[[#This Row],[BIRIM_FIYATLAR]])</f>
        <v>33597.473099999988</v>
      </c>
      <c r="N5907">
        <v>96.37</v>
      </c>
      <c r="O5907" t="s">
        <v>490</v>
      </c>
      <c r="P5907">
        <v>3472.2111000000004</v>
      </c>
      <c r="Q5907" t="s">
        <v>183</v>
      </c>
    </row>
    <row r="5908" spans="1:17" x14ac:dyDescent="0.25">
      <c r="A5908" t="s">
        <v>1064</v>
      </c>
      <c r="B5908" t="s">
        <v>1055</v>
      </c>
      <c r="C5908" t="s">
        <v>175</v>
      </c>
      <c r="D5908" t="s">
        <v>879</v>
      </c>
      <c r="E5908" t="s">
        <v>880</v>
      </c>
      <c r="F5908">
        <v>1</v>
      </c>
      <c r="G5908" t="s">
        <v>176</v>
      </c>
      <c r="H5908">
        <v>1</v>
      </c>
      <c r="I5908">
        <v>9</v>
      </c>
      <c r="J5908" s="10">
        <v>8</v>
      </c>
      <c r="K5908" s="10">
        <f>SUMIFS(F:F,D:D,DST_123_ÜRETİM_İHTİYAÇ_RAPORU_BURAK_YENI1309[[#This Row],[ALT_KOD]])-(SUMIFS(H:H,D:D,DST_123_ÜRETİM_İHTİYAÇ_RAPORU_BURAK_YENI1309[[#This Row],[ALT_KOD]])+AVERAGEIFS(I:I,D:D,DST_123_ÜRETİM_İHTİYAÇ_RAPORU_BURAK_YENI1309[[#This Row],[ALT_KOD]])+AVERAGEIFS(L:L,D:D,DST_123_ÜRETİM_İHTİYAÇ_RAPORU_BURAK_YENI1309[[#This Row],[ALT_KOD]]))</f>
        <v>-12</v>
      </c>
      <c r="L5908">
        <v>15</v>
      </c>
      <c r="M5908">
        <f>IF((DST_123_ÜRETİM_İHTİYAÇ_RAPORU_BURAK_YENI1309[[#This Row],[SATINALMA]]*DST_123_ÜRETİM_İHTİYAÇ_RAPORU_BURAK_YENI1309[[#This Row],[BIRIM_FIYATLAR]])&lt;1,VALUE("0"),DST_123_ÜRETİM_İHTİYAÇ_RAPORU_BURAK_YENI1309[[#This Row],[SATINALMA]]*DST_123_ÜRETİM_İHTİYAÇ_RAPORU_BURAK_YENI1309[[#This Row],[BIRIM_FIYATLAR]])</f>
        <v>0</v>
      </c>
      <c r="N5908">
        <v>776.15</v>
      </c>
      <c r="O5908" t="s">
        <v>881</v>
      </c>
      <c r="P5908">
        <v>776.15</v>
      </c>
      <c r="Q5908" t="s">
        <v>221</v>
      </c>
    </row>
    <row r="5909" spans="1:17" x14ac:dyDescent="0.25">
      <c r="A5909" t="s">
        <v>1057</v>
      </c>
      <c r="B5909" t="s">
        <v>1058</v>
      </c>
      <c r="C5909" t="s">
        <v>197</v>
      </c>
      <c r="D5909" t="s">
        <v>498</v>
      </c>
      <c r="E5909" t="s">
        <v>499</v>
      </c>
      <c r="F5909">
        <v>1</v>
      </c>
      <c r="G5909" t="s">
        <v>176</v>
      </c>
      <c r="H5909">
        <v>1</v>
      </c>
      <c r="I5909">
        <v>10</v>
      </c>
      <c r="J5909" s="10">
        <v>9</v>
      </c>
      <c r="K5909" s="10">
        <f>SUMIFS(F:F,D:D,DST_123_ÜRETİM_İHTİYAÇ_RAPORU_BURAK_YENI1309[[#This Row],[ALT_KOD]])-(SUMIFS(H:H,D:D,DST_123_ÜRETİM_İHTİYAÇ_RAPORU_BURAK_YENI1309[[#This Row],[ALT_KOD]])+AVERAGEIFS(I:I,D:D,DST_123_ÜRETİM_İHTİYAÇ_RAPORU_BURAK_YENI1309[[#This Row],[ALT_KOD]])+AVERAGEIFS(L:L,D:D,DST_123_ÜRETİM_İHTİYAÇ_RAPORU_BURAK_YENI1309[[#This Row],[ALT_KOD]]))</f>
        <v>2</v>
      </c>
      <c r="L5909">
        <v>0</v>
      </c>
      <c r="M5909">
        <f>IF((DST_123_ÜRETİM_İHTİYAÇ_RAPORU_BURAK_YENI1309[[#This Row],[SATINALMA]]*DST_123_ÜRETİM_İHTİYAÇ_RAPORU_BURAK_YENI1309[[#This Row],[BIRIM_FIYATLAR]])&lt;1,VALUE("0"),DST_123_ÜRETİM_İHTİYAÇ_RAPORU_BURAK_YENI1309[[#This Row],[SATINALMA]]*DST_123_ÜRETİM_İHTİYAÇ_RAPORU_BURAK_YENI1309[[#This Row],[BIRIM_FIYATLAR]])</f>
        <v>0</v>
      </c>
      <c r="O5909" t="s">
        <v>713</v>
      </c>
      <c r="Q5909" t="s">
        <v>760</v>
      </c>
    </row>
    <row r="5910" spans="1:17" x14ac:dyDescent="0.25">
      <c r="A5910" t="s">
        <v>1101</v>
      </c>
      <c r="B5910" t="s">
        <v>1102</v>
      </c>
      <c r="C5910" t="s">
        <v>175</v>
      </c>
      <c r="D5910" t="s">
        <v>779</v>
      </c>
      <c r="E5910" t="s">
        <v>780</v>
      </c>
      <c r="F5910">
        <v>2</v>
      </c>
      <c r="G5910" t="s">
        <v>176</v>
      </c>
      <c r="H5910">
        <v>2</v>
      </c>
      <c r="I5910">
        <v>1</v>
      </c>
      <c r="J5910" s="10">
        <v>14</v>
      </c>
      <c r="K5910" s="10">
        <f>SUMIFS(F:F,D:D,DST_123_ÜRETİM_İHTİYAÇ_RAPORU_BURAK_YENI1309[[#This Row],[ALT_KOD]])-(SUMIFS(H:H,D:D,DST_123_ÜRETİM_İHTİYAÇ_RAPORU_BURAK_YENI1309[[#This Row],[ALT_KOD]])+AVERAGEIFS(I:I,D:D,DST_123_ÜRETİM_İHTİYAÇ_RAPORU_BURAK_YENI1309[[#This Row],[ALT_KOD]])+AVERAGEIFS(L:L,D:D,DST_123_ÜRETİM_İHTİYAÇ_RAPORU_BURAK_YENI1309[[#This Row],[ALT_KOD]]))</f>
        <v>25</v>
      </c>
      <c r="L5910">
        <v>0</v>
      </c>
      <c r="M5910">
        <f>IF((DST_123_ÜRETİM_İHTİYAÇ_RAPORU_BURAK_YENI1309[[#This Row],[SATINALMA]]*DST_123_ÜRETİM_İHTİYAÇ_RAPORU_BURAK_YENI1309[[#This Row],[BIRIM_FIYATLAR]])&lt;1,VALUE("0"),DST_123_ÜRETİM_İHTİYAÇ_RAPORU_BURAK_YENI1309[[#This Row],[SATINALMA]]*DST_123_ÜRETİM_İHTİYAÇ_RAPORU_BURAK_YENI1309[[#This Row],[BIRIM_FIYATLAR]])</f>
        <v>11103.25</v>
      </c>
      <c r="N5910">
        <v>444.13</v>
      </c>
      <c r="O5910" t="s">
        <v>589</v>
      </c>
      <c r="P5910">
        <v>888.26</v>
      </c>
      <c r="Q5910" t="s">
        <v>177</v>
      </c>
    </row>
    <row r="5911" spans="1:17" x14ac:dyDescent="0.25">
      <c r="A5911" t="s">
        <v>1059</v>
      </c>
      <c r="B5911" t="s">
        <v>1058</v>
      </c>
      <c r="C5911" t="s">
        <v>175</v>
      </c>
      <c r="D5911" t="s">
        <v>718</v>
      </c>
      <c r="E5911" t="s">
        <v>719</v>
      </c>
      <c r="F5911">
        <v>1</v>
      </c>
      <c r="G5911" t="s">
        <v>176</v>
      </c>
      <c r="H5911">
        <v>1</v>
      </c>
      <c r="I5911">
        <v>1</v>
      </c>
      <c r="J5911" s="10">
        <v>4</v>
      </c>
      <c r="K5911" s="10">
        <f>SUMIFS(F:F,D:D,DST_123_ÜRETİM_İHTİYAÇ_RAPORU_BURAK_YENI1309[[#This Row],[ALT_KOD]])-(SUMIFS(H:H,D:D,DST_123_ÜRETİM_İHTİYAÇ_RAPORU_BURAK_YENI1309[[#This Row],[ALT_KOD]])+AVERAGEIFS(I:I,D:D,DST_123_ÜRETİM_İHTİYAÇ_RAPORU_BURAK_YENI1309[[#This Row],[ALT_KOD]])+AVERAGEIFS(L:L,D:D,DST_123_ÜRETİM_İHTİYAÇ_RAPORU_BURAK_YENI1309[[#This Row],[ALT_KOD]]))</f>
        <v>13</v>
      </c>
      <c r="L5911">
        <v>0</v>
      </c>
      <c r="M5911">
        <f>IF((DST_123_ÜRETİM_İHTİYAÇ_RAPORU_BURAK_YENI1309[[#This Row],[SATINALMA]]*DST_123_ÜRETİM_İHTİYAÇ_RAPORU_BURAK_YENI1309[[#This Row],[BIRIM_FIYATLAR]])&lt;1,VALUE("0"),DST_123_ÜRETİM_İHTİYAÇ_RAPORU_BURAK_YENI1309[[#This Row],[SATINALMA]]*DST_123_ÜRETİM_İHTİYAÇ_RAPORU_BURAK_YENI1309[[#This Row],[BIRIM_FIYATLAR]])</f>
        <v>168880.14</v>
      </c>
      <c r="N5911">
        <v>12990.78</v>
      </c>
      <c r="O5911" t="s">
        <v>589</v>
      </c>
      <c r="P5911">
        <v>12990.78</v>
      </c>
      <c r="Q5911" t="s">
        <v>177</v>
      </c>
    </row>
    <row r="5912" spans="1:17" x14ac:dyDescent="0.25">
      <c r="A5912" t="s">
        <v>1101</v>
      </c>
      <c r="B5912" t="s">
        <v>1102</v>
      </c>
      <c r="C5912" t="s">
        <v>175</v>
      </c>
      <c r="D5912" t="s">
        <v>106</v>
      </c>
      <c r="E5912" t="s">
        <v>107</v>
      </c>
      <c r="F5912">
        <v>1</v>
      </c>
      <c r="G5912" t="s">
        <v>176</v>
      </c>
      <c r="H5912">
        <v>1</v>
      </c>
      <c r="I5912">
        <v>7</v>
      </c>
      <c r="J5912" s="10">
        <v>10</v>
      </c>
      <c r="K5912" s="10">
        <f>SUMIFS(F:F,D:D,DST_123_ÜRETİM_İHTİYAÇ_RAPORU_BURAK_YENI1309[[#This Row],[ALT_KOD]])-(SUMIFS(H:H,D:D,DST_123_ÜRETİM_İHTİYAÇ_RAPORU_BURAK_YENI1309[[#This Row],[ALT_KOD]])+AVERAGEIFS(I:I,D:D,DST_123_ÜRETİM_İHTİYAÇ_RAPORU_BURAK_YENI1309[[#This Row],[ALT_KOD]])+AVERAGEIFS(L:L,D:D,DST_123_ÜRETİM_İHTİYAÇ_RAPORU_BURAK_YENI1309[[#This Row],[ALT_KOD]]))</f>
        <v>-1</v>
      </c>
      <c r="L5912">
        <v>5</v>
      </c>
      <c r="M5912">
        <f>IF((DST_123_ÜRETİM_İHTİYAÇ_RAPORU_BURAK_YENI1309[[#This Row],[SATINALMA]]*DST_123_ÜRETİM_İHTİYAÇ_RAPORU_BURAK_YENI1309[[#This Row],[BIRIM_FIYATLAR]])&lt;1,VALUE("0"),DST_123_ÜRETİM_İHTİYAÇ_RAPORU_BURAK_YENI1309[[#This Row],[SATINALMA]]*DST_123_ÜRETİM_İHTİYAÇ_RAPORU_BURAK_YENI1309[[#This Row],[BIRIM_FIYATLAR]])</f>
        <v>0</v>
      </c>
      <c r="N5912">
        <v>1200</v>
      </c>
      <c r="O5912" t="s">
        <v>217</v>
      </c>
      <c r="P5912">
        <v>1200</v>
      </c>
      <c r="Q5912" t="s">
        <v>178</v>
      </c>
    </row>
    <row r="5913" spans="1:17" x14ac:dyDescent="0.25">
      <c r="A5913" t="s">
        <v>1060</v>
      </c>
      <c r="B5913" t="s">
        <v>1061</v>
      </c>
      <c r="C5913" t="s">
        <v>175</v>
      </c>
      <c r="D5913" t="s">
        <v>271</v>
      </c>
      <c r="E5913" t="s">
        <v>620</v>
      </c>
      <c r="F5913">
        <v>1</v>
      </c>
      <c r="G5913" t="s">
        <v>176</v>
      </c>
      <c r="H5913">
        <v>1</v>
      </c>
      <c r="I5913">
        <v>8</v>
      </c>
      <c r="J5913" s="10">
        <v>4</v>
      </c>
      <c r="K5913" s="10">
        <f>SUMIFS(F:F,D:D,DST_123_ÜRETİM_İHTİYAÇ_RAPORU_BURAK_YENI1309[[#This Row],[ALT_KOD]])-(SUMIFS(H:H,D:D,DST_123_ÜRETİM_İHTİYAÇ_RAPORU_BURAK_YENI1309[[#This Row],[ALT_KOD]])+AVERAGEIFS(I:I,D:D,DST_123_ÜRETİM_İHTİYAÇ_RAPORU_BURAK_YENI1309[[#This Row],[ALT_KOD]])+AVERAGEIFS(L:L,D:D,DST_123_ÜRETİM_İHTİYAÇ_RAPORU_BURAK_YENI1309[[#This Row],[ALT_KOD]]))</f>
        <v>-1</v>
      </c>
      <c r="L5913">
        <v>0</v>
      </c>
      <c r="M5913">
        <f>IF((DST_123_ÜRETİM_İHTİYAÇ_RAPORU_BURAK_YENI1309[[#This Row],[SATINALMA]]*DST_123_ÜRETİM_İHTİYAÇ_RAPORU_BURAK_YENI1309[[#This Row],[BIRIM_FIYATLAR]])&lt;1,VALUE("0"),DST_123_ÜRETİM_İHTİYAÇ_RAPORU_BURAK_YENI1309[[#This Row],[SATINALMA]]*DST_123_ÜRETİM_İHTİYAÇ_RAPORU_BURAK_YENI1309[[#This Row],[BIRIM_FIYATLAR]])</f>
        <v>0</v>
      </c>
      <c r="N5913">
        <v>1723.79</v>
      </c>
      <c r="O5913" t="s">
        <v>636</v>
      </c>
      <c r="P5913">
        <v>1723.79</v>
      </c>
      <c r="Q5913" t="s">
        <v>178</v>
      </c>
    </row>
    <row r="5914" spans="1:17" x14ac:dyDescent="0.25">
      <c r="A5914" t="s">
        <v>1150</v>
      </c>
      <c r="B5914" t="s">
        <v>1145</v>
      </c>
      <c r="C5914" t="s">
        <v>175</v>
      </c>
      <c r="D5914" t="s">
        <v>271</v>
      </c>
      <c r="E5914" t="s">
        <v>620</v>
      </c>
      <c r="F5914">
        <v>1</v>
      </c>
      <c r="G5914" t="s">
        <v>176</v>
      </c>
      <c r="H5914">
        <v>1</v>
      </c>
      <c r="I5914">
        <v>8</v>
      </c>
      <c r="J5914" s="10">
        <v>4</v>
      </c>
      <c r="K5914" s="10">
        <f>SUMIFS(F:F,D:D,DST_123_ÜRETİM_İHTİYAÇ_RAPORU_BURAK_YENI1309[[#This Row],[ALT_KOD]])-(SUMIFS(H:H,D:D,DST_123_ÜRETİM_İHTİYAÇ_RAPORU_BURAK_YENI1309[[#This Row],[ALT_KOD]])+AVERAGEIFS(I:I,D:D,DST_123_ÜRETİM_İHTİYAÇ_RAPORU_BURAK_YENI1309[[#This Row],[ALT_KOD]])+AVERAGEIFS(L:L,D:D,DST_123_ÜRETİM_İHTİYAÇ_RAPORU_BURAK_YENI1309[[#This Row],[ALT_KOD]]))</f>
        <v>-1</v>
      </c>
      <c r="L5914">
        <v>0</v>
      </c>
      <c r="M5914">
        <f>IF((DST_123_ÜRETİM_İHTİYAÇ_RAPORU_BURAK_YENI1309[[#This Row],[SATINALMA]]*DST_123_ÜRETİM_İHTİYAÇ_RAPORU_BURAK_YENI1309[[#This Row],[BIRIM_FIYATLAR]])&lt;1,VALUE("0"),DST_123_ÜRETİM_İHTİYAÇ_RAPORU_BURAK_YENI1309[[#This Row],[SATINALMA]]*DST_123_ÜRETİM_İHTİYAÇ_RAPORU_BURAK_YENI1309[[#This Row],[BIRIM_FIYATLAR]])</f>
        <v>0</v>
      </c>
      <c r="N5914">
        <v>1723.79</v>
      </c>
      <c r="O5914" t="s">
        <v>636</v>
      </c>
      <c r="P5914">
        <v>1723.79</v>
      </c>
      <c r="Q5914" t="s">
        <v>178</v>
      </c>
    </row>
    <row r="5915" spans="1:17" x14ac:dyDescent="0.25">
      <c r="A5915" t="s">
        <v>1060</v>
      </c>
      <c r="B5915" t="s">
        <v>1061</v>
      </c>
      <c r="C5915" t="s">
        <v>175</v>
      </c>
      <c r="D5915" t="s">
        <v>273</v>
      </c>
      <c r="E5915" t="s">
        <v>274</v>
      </c>
      <c r="F5915">
        <v>1</v>
      </c>
      <c r="G5915" t="s">
        <v>176</v>
      </c>
      <c r="H5915">
        <v>1</v>
      </c>
      <c r="I5915">
        <v>7</v>
      </c>
      <c r="J5915" s="10">
        <v>10</v>
      </c>
      <c r="K5915" s="10">
        <f>SUMIFS(F:F,D:D,DST_123_ÜRETİM_İHTİYAÇ_RAPORU_BURAK_YENI1309[[#This Row],[ALT_KOD]])-(SUMIFS(H:H,D:D,DST_123_ÜRETİM_İHTİYAÇ_RAPORU_BURAK_YENI1309[[#This Row],[ALT_KOD]])+AVERAGEIFS(I:I,D:D,DST_123_ÜRETİM_İHTİYAÇ_RAPORU_BURAK_YENI1309[[#This Row],[ALT_KOD]])+AVERAGEIFS(L:L,D:D,DST_123_ÜRETİM_İHTİYAÇ_RAPORU_BURAK_YENI1309[[#This Row],[ALT_KOD]]))</f>
        <v>4</v>
      </c>
      <c r="L5915">
        <v>0</v>
      </c>
      <c r="M5915">
        <f>IF((DST_123_ÜRETİM_İHTİYAÇ_RAPORU_BURAK_YENI1309[[#This Row],[SATINALMA]]*DST_123_ÜRETİM_İHTİYAÇ_RAPORU_BURAK_YENI1309[[#This Row],[BIRIM_FIYATLAR]])&lt;1,VALUE("0"),DST_123_ÜRETİM_İHTİYAÇ_RAPORU_BURAK_YENI1309[[#This Row],[SATINALMA]]*DST_123_ÜRETİM_İHTİYAÇ_RAPORU_BURAK_YENI1309[[#This Row],[BIRIM_FIYATLAR]])</f>
        <v>1950.24</v>
      </c>
      <c r="N5915">
        <v>487.56</v>
      </c>
      <c r="O5915" t="s">
        <v>275</v>
      </c>
      <c r="P5915">
        <v>487.56</v>
      </c>
      <c r="Q5915" t="s">
        <v>177</v>
      </c>
    </row>
    <row r="5916" spans="1:17" x14ac:dyDescent="0.25">
      <c r="A5916" t="s">
        <v>1059</v>
      </c>
      <c r="B5916" t="s">
        <v>1058</v>
      </c>
      <c r="C5916" t="s">
        <v>197</v>
      </c>
      <c r="D5916" t="s">
        <v>498</v>
      </c>
      <c r="E5916" t="s">
        <v>499</v>
      </c>
      <c r="F5916">
        <v>1</v>
      </c>
      <c r="G5916" t="s">
        <v>176</v>
      </c>
      <c r="H5916">
        <v>1</v>
      </c>
      <c r="I5916">
        <v>10</v>
      </c>
      <c r="J5916" s="10">
        <v>9</v>
      </c>
      <c r="K5916" s="10">
        <f>SUMIFS(F:F,D:D,DST_123_ÜRETİM_İHTİYAÇ_RAPORU_BURAK_YENI1309[[#This Row],[ALT_KOD]])-(SUMIFS(H:H,D:D,DST_123_ÜRETİM_İHTİYAÇ_RAPORU_BURAK_YENI1309[[#This Row],[ALT_KOD]])+AVERAGEIFS(I:I,D:D,DST_123_ÜRETİM_İHTİYAÇ_RAPORU_BURAK_YENI1309[[#This Row],[ALT_KOD]])+AVERAGEIFS(L:L,D:D,DST_123_ÜRETİM_İHTİYAÇ_RAPORU_BURAK_YENI1309[[#This Row],[ALT_KOD]]))</f>
        <v>2</v>
      </c>
      <c r="L5916">
        <v>0</v>
      </c>
      <c r="M5916">
        <f>IF((DST_123_ÜRETİM_İHTİYAÇ_RAPORU_BURAK_YENI1309[[#This Row],[SATINALMA]]*DST_123_ÜRETİM_İHTİYAÇ_RAPORU_BURAK_YENI1309[[#This Row],[BIRIM_FIYATLAR]])&lt;1,VALUE("0"),DST_123_ÜRETİM_İHTİYAÇ_RAPORU_BURAK_YENI1309[[#This Row],[SATINALMA]]*DST_123_ÜRETİM_İHTİYAÇ_RAPORU_BURAK_YENI1309[[#This Row],[BIRIM_FIYATLAR]])</f>
        <v>0</v>
      </c>
      <c r="O5916" t="s">
        <v>713</v>
      </c>
      <c r="Q5916" t="s">
        <v>760</v>
      </c>
    </row>
    <row r="5917" spans="1:17" x14ac:dyDescent="0.25">
      <c r="A5917" t="s">
        <v>1060</v>
      </c>
      <c r="B5917" t="s">
        <v>1061</v>
      </c>
      <c r="C5917" t="s">
        <v>197</v>
      </c>
      <c r="D5917" t="s">
        <v>498</v>
      </c>
      <c r="E5917" t="s">
        <v>499</v>
      </c>
      <c r="F5917">
        <v>1</v>
      </c>
      <c r="G5917" t="s">
        <v>176</v>
      </c>
      <c r="H5917">
        <v>1</v>
      </c>
      <c r="I5917">
        <v>10</v>
      </c>
      <c r="J5917" s="10">
        <v>9</v>
      </c>
      <c r="K5917" s="10">
        <f>SUMIFS(F:F,D:D,DST_123_ÜRETİM_İHTİYAÇ_RAPORU_BURAK_YENI1309[[#This Row],[ALT_KOD]])-(SUMIFS(H:H,D:D,DST_123_ÜRETİM_İHTİYAÇ_RAPORU_BURAK_YENI1309[[#This Row],[ALT_KOD]])+AVERAGEIFS(I:I,D:D,DST_123_ÜRETİM_İHTİYAÇ_RAPORU_BURAK_YENI1309[[#This Row],[ALT_KOD]])+AVERAGEIFS(L:L,D:D,DST_123_ÜRETİM_İHTİYAÇ_RAPORU_BURAK_YENI1309[[#This Row],[ALT_KOD]]))</f>
        <v>2</v>
      </c>
      <c r="L5917">
        <v>0</v>
      </c>
      <c r="M5917">
        <f>IF((DST_123_ÜRETİM_İHTİYAÇ_RAPORU_BURAK_YENI1309[[#This Row],[SATINALMA]]*DST_123_ÜRETİM_İHTİYAÇ_RAPORU_BURAK_YENI1309[[#This Row],[BIRIM_FIYATLAR]])&lt;1,VALUE("0"),DST_123_ÜRETİM_İHTİYAÇ_RAPORU_BURAK_YENI1309[[#This Row],[SATINALMA]]*DST_123_ÜRETİM_İHTİYAÇ_RAPORU_BURAK_YENI1309[[#This Row],[BIRIM_FIYATLAR]])</f>
        <v>0</v>
      </c>
      <c r="O5917" t="s">
        <v>713</v>
      </c>
      <c r="Q5917" t="s">
        <v>760</v>
      </c>
    </row>
    <row r="5918" spans="1:17" x14ac:dyDescent="0.25">
      <c r="A5918" t="s">
        <v>1059</v>
      </c>
      <c r="B5918" t="s">
        <v>1058</v>
      </c>
      <c r="C5918" t="s">
        <v>175</v>
      </c>
      <c r="D5918" t="s">
        <v>106</v>
      </c>
      <c r="E5918" t="s">
        <v>107</v>
      </c>
      <c r="F5918">
        <v>1</v>
      </c>
      <c r="G5918" t="s">
        <v>176</v>
      </c>
      <c r="H5918">
        <v>1</v>
      </c>
      <c r="I5918">
        <v>7</v>
      </c>
      <c r="J5918" s="10">
        <v>10</v>
      </c>
      <c r="K5918" s="10">
        <f>SUMIFS(F:F,D:D,DST_123_ÜRETİM_İHTİYAÇ_RAPORU_BURAK_YENI1309[[#This Row],[ALT_KOD]])-(SUMIFS(H:H,D:D,DST_123_ÜRETİM_İHTİYAÇ_RAPORU_BURAK_YENI1309[[#This Row],[ALT_KOD]])+AVERAGEIFS(I:I,D:D,DST_123_ÜRETİM_İHTİYAÇ_RAPORU_BURAK_YENI1309[[#This Row],[ALT_KOD]])+AVERAGEIFS(L:L,D:D,DST_123_ÜRETİM_İHTİYAÇ_RAPORU_BURAK_YENI1309[[#This Row],[ALT_KOD]]))</f>
        <v>-1</v>
      </c>
      <c r="L5918">
        <v>5</v>
      </c>
      <c r="M5918">
        <f>IF((DST_123_ÜRETİM_İHTİYAÇ_RAPORU_BURAK_YENI1309[[#This Row],[SATINALMA]]*DST_123_ÜRETİM_İHTİYAÇ_RAPORU_BURAK_YENI1309[[#This Row],[BIRIM_FIYATLAR]])&lt;1,VALUE("0"),DST_123_ÜRETİM_İHTİYAÇ_RAPORU_BURAK_YENI1309[[#This Row],[SATINALMA]]*DST_123_ÜRETİM_İHTİYAÇ_RAPORU_BURAK_YENI1309[[#This Row],[BIRIM_FIYATLAR]])</f>
        <v>0</v>
      </c>
      <c r="N5918">
        <v>1200</v>
      </c>
      <c r="O5918" t="s">
        <v>217</v>
      </c>
      <c r="P5918">
        <v>1200</v>
      </c>
      <c r="Q5918" t="s">
        <v>178</v>
      </c>
    </row>
    <row r="5919" spans="1:17" x14ac:dyDescent="0.25">
      <c r="A5919" t="s">
        <v>1057</v>
      </c>
      <c r="B5919" t="s">
        <v>1058</v>
      </c>
      <c r="C5919" t="s">
        <v>175</v>
      </c>
      <c r="D5919" t="s">
        <v>550</v>
      </c>
      <c r="E5919" t="s">
        <v>551</v>
      </c>
      <c r="F5919">
        <v>2</v>
      </c>
      <c r="G5919" t="s">
        <v>176</v>
      </c>
      <c r="H5919">
        <v>2</v>
      </c>
      <c r="I5919">
        <v>35</v>
      </c>
      <c r="J5919" s="10">
        <v>14</v>
      </c>
      <c r="K5919" s="10">
        <f>SUMIFS(F:F,D:D,DST_123_ÜRETİM_İHTİYAÇ_RAPORU_BURAK_YENI1309[[#This Row],[ALT_KOD]])-(SUMIFS(H:H,D:D,DST_123_ÜRETİM_İHTİYAÇ_RAPORU_BURAK_YENI1309[[#This Row],[ALT_KOD]])+AVERAGEIFS(I:I,D:D,DST_123_ÜRETİM_İHTİYAÇ_RAPORU_BURAK_YENI1309[[#This Row],[ALT_KOD]])+AVERAGEIFS(L:L,D:D,DST_123_ÜRETİM_İHTİYAÇ_RAPORU_BURAK_YENI1309[[#This Row],[ALT_KOD]]))</f>
        <v>-11</v>
      </c>
      <c r="L5919">
        <v>0</v>
      </c>
      <c r="M5919">
        <f>IF((DST_123_ÜRETİM_İHTİYAÇ_RAPORU_BURAK_YENI1309[[#This Row],[SATINALMA]]*DST_123_ÜRETİM_İHTİYAÇ_RAPORU_BURAK_YENI1309[[#This Row],[BIRIM_FIYATLAR]])&lt;1,VALUE("0"),DST_123_ÜRETİM_İHTİYAÇ_RAPORU_BURAK_YENI1309[[#This Row],[SATINALMA]]*DST_123_ÜRETİM_İHTİYAÇ_RAPORU_BURAK_YENI1309[[#This Row],[BIRIM_FIYATLAR]])</f>
        <v>0</v>
      </c>
      <c r="N5919">
        <v>43.75</v>
      </c>
      <c r="O5919" t="s">
        <v>490</v>
      </c>
      <c r="P5919">
        <v>87.5</v>
      </c>
      <c r="Q5919" t="s">
        <v>180</v>
      </c>
    </row>
    <row r="5920" spans="1:17" x14ac:dyDescent="0.25">
      <c r="A5920" t="s">
        <v>1059</v>
      </c>
      <c r="B5920" t="s">
        <v>1058</v>
      </c>
      <c r="C5920" t="s">
        <v>175</v>
      </c>
      <c r="D5920" t="s">
        <v>550</v>
      </c>
      <c r="E5920" t="s">
        <v>551</v>
      </c>
      <c r="F5920">
        <v>2</v>
      </c>
      <c r="G5920" t="s">
        <v>176</v>
      </c>
      <c r="H5920">
        <v>2</v>
      </c>
      <c r="I5920">
        <v>35</v>
      </c>
      <c r="J5920" s="10">
        <v>14</v>
      </c>
      <c r="K5920" s="10">
        <f>SUMIFS(F:F,D:D,DST_123_ÜRETİM_İHTİYAÇ_RAPORU_BURAK_YENI1309[[#This Row],[ALT_KOD]])-(SUMIFS(H:H,D:D,DST_123_ÜRETİM_İHTİYAÇ_RAPORU_BURAK_YENI1309[[#This Row],[ALT_KOD]])+AVERAGEIFS(I:I,D:D,DST_123_ÜRETİM_İHTİYAÇ_RAPORU_BURAK_YENI1309[[#This Row],[ALT_KOD]])+AVERAGEIFS(L:L,D:D,DST_123_ÜRETİM_İHTİYAÇ_RAPORU_BURAK_YENI1309[[#This Row],[ALT_KOD]]))</f>
        <v>-11</v>
      </c>
      <c r="L5920">
        <v>0</v>
      </c>
      <c r="M5920">
        <f>IF((DST_123_ÜRETİM_İHTİYAÇ_RAPORU_BURAK_YENI1309[[#This Row],[SATINALMA]]*DST_123_ÜRETİM_İHTİYAÇ_RAPORU_BURAK_YENI1309[[#This Row],[BIRIM_FIYATLAR]])&lt;1,VALUE("0"),DST_123_ÜRETİM_İHTİYAÇ_RAPORU_BURAK_YENI1309[[#This Row],[SATINALMA]]*DST_123_ÜRETİM_İHTİYAÇ_RAPORU_BURAK_YENI1309[[#This Row],[BIRIM_FIYATLAR]])</f>
        <v>0</v>
      </c>
      <c r="N5920">
        <v>43.75</v>
      </c>
      <c r="O5920" t="s">
        <v>490</v>
      </c>
      <c r="P5920">
        <v>87.5</v>
      </c>
      <c r="Q5920" t="s">
        <v>180</v>
      </c>
    </row>
    <row r="5921" spans="1:17" x14ac:dyDescent="0.25">
      <c r="A5921" t="s">
        <v>1057</v>
      </c>
      <c r="B5921" t="s">
        <v>1058</v>
      </c>
      <c r="C5921" t="s">
        <v>175</v>
      </c>
      <c r="D5921" t="s">
        <v>1005</v>
      </c>
      <c r="E5921" t="s">
        <v>1006</v>
      </c>
      <c r="F5921">
        <v>1</v>
      </c>
      <c r="G5921" t="s">
        <v>176</v>
      </c>
      <c r="H5921">
        <v>1</v>
      </c>
      <c r="I5921">
        <v>12</v>
      </c>
      <c r="J5921" s="10">
        <v>4</v>
      </c>
      <c r="K5921" s="10">
        <f>SUMIFS(F:F,D:D,DST_123_ÜRETİM_İHTİYAÇ_RAPORU_BURAK_YENI1309[[#This Row],[ALT_KOD]])-(SUMIFS(H:H,D:D,DST_123_ÜRETİM_İHTİYAÇ_RAPORU_BURAK_YENI1309[[#This Row],[ALT_KOD]])+AVERAGEIFS(I:I,D:D,DST_123_ÜRETİM_İHTİYAÇ_RAPORU_BURAK_YENI1309[[#This Row],[ALT_KOD]])+AVERAGEIFS(L:L,D:D,DST_123_ÜRETİM_İHTİYAÇ_RAPORU_BURAK_YENI1309[[#This Row],[ALT_KOD]]))</f>
        <v>-12</v>
      </c>
      <c r="L5921">
        <v>0</v>
      </c>
      <c r="M5921">
        <f>IF((DST_123_ÜRETİM_İHTİYAÇ_RAPORU_BURAK_YENI1309[[#This Row],[SATINALMA]]*DST_123_ÜRETİM_İHTİYAÇ_RAPORU_BURAK_YENI1309[[#This Row],[BIRIM_FIYATLAR]])&lt;1,VALUE("0"),DST_123_ÜRETİM_İHTİYAÇ_RAPORU_BURAK_YENI1309[[#This Row],[SATINALMA]]*DST_123_ÜRETİM_İHTİYAÇ_RAPORU_BURAK_YENI1309[[#This Row],[BIRIM_FIYATLAR]])</f>
        <v>0</v>
      </c>
      <c r="N5921">
        <v>57.06</v>
      </c>
      <c r="O5921" t="s">
        <v>1007</v>
      </c>
      <c r="P5921">
        <v>57.06</v>
      </c>
      <c r="Q5921" t="s">
        <v>180</v>
      </c>
    </row>
    <row r="5922" spans="1:17" x14ac:dyDescent="0.25">
      <c r="A5922" t="s">
        <v>1100</v>
      </c>
      <c r="B5922" t="s">
        <v>1058</v>
      </c>
      <c r="C5922" t="s">
        <v>175</v>
      </c>
      <c r="D5922" t="s">
        <v>101</v>
      </c>
      <c r="E5922" t="s">
        <v>102</v>
      </c>
      <c r="F5922">
        <v>2.1</v>
      </c>
      <c r="G5922" t="s">
        <v>185</v>
      </c>
      <c r="H5922">
        <v>2.1</v>
      </c>
      <c r="I5922">
        <v>66</v>
      </c>
      <c r="J5922" s="10">
        <v>36.349999999999987</v>
      </c>
      <c r="K5922" s="10">
        <f>SUMIFS(F:F,D:D,DST_123_ÜRETİM_İHTİYAÇ_RAPORU_BURAK_YENI1309[[#This Row],[ALT_KOD]])-(SUMIFS(H:H,D:D,DST_123_ÜRETİM_İHTİYAÇ_RAPORU_BURAK_YENI1309[[#This Row],[ALT_KOD]])+AVERAGEIFS(I:I,D:D,DST_123_ÜRETİM_İHTİYAÇ_RAPORU_BURAK_YENI1309[[#This Row],[ALT_KOD]])+AVERAGEIFS(L:L,D:D,DST_123_ÜRETİM_İHTİYAÇ_RAPORU_BURAK_YENI1309[[#This Row],[ALT_KOD]]))</f>
        <v>-17.090000000000018</v>
      </c>
      <c r="L5922">
        <v>0</v>
      </c>
      <c r="M5922">
        <f>IF((DST_123_ÜRETİM_İHTİYAÇ_RAPORU_BURAK_YENI1309[[#This Row],[SATINALMA]]*DST_123_ÜRETİM_İHTİYAÇ_RAPORU_BURAK_YENI1309[[#This Row],[BIRIM_FIYATLAR]])&lt;1,VALUE("0"),DST_123_ÜRETİM_İHTİYAÇ_RAPORU_BURAK_YENI1309[[#This Row],[SATINALMA]]*DST_123_ÜRETİM_İHTİYAÇ_RAPORU_BURAK_YENI1309[[#This Row],[BIRIM_FIYATLAR]])</f>
        <v>0</v>
      </c>
      <c r="N5922">
        <v>129.63</v>
      </c>
      <c r="O5922" t="s">
        <v>240</v>
      </c>
      <c r="P5922">
        <v>272.22300000000001</v>
      </c>
      <c r="Q5922" t="s">
        <v>183</v>
      </c>
    </row>
    <row r="5923" spans="1:17" x14ac:dyDescent="0.25">
      <c r="A5923" t="s">
        <v>1149</v>
      </c>
      <c r="B5923" t="s">
        <v>1145</v>
      </c>
      <c r="C5923" t="s">
        <v>175</v>
      </c>
      <c r="D5923" t="s">
        <v>569</v>
      </c>
      <c r="E5923" t="s">
        <v>570</v>
      </c>
      <c r="F5923">
        <v>7</v>
      </c>
      <c r="G5923" t="s">
        <v>176</v>
      </c>
      <c r="H5923">
        <v>0</v>
      </c>
      <c r="I5923">
        <v>1000</v>
      </c>
      <c r="J5923" s="10">
        <v>1222</v>
      </c>
      <c r="K5923" s="10">
        <f>SUMIFS(F:F,D:D,DST_123_ÜRETİM_İHTİYAÇ_RAPORU_BURAK_YENI1309[[#This Row],[ALT_KOD]])-(SUMIFS(H:H,D:D,DST_123_ÜRETİM_İHTİYAÇ_RAPORU_BURAK_YENI1309[[#This Row],[ALT_KOD]])+AVERAGEIFS(I:I,D:D,DST_123_ÜRETİM_İHTİYAÇ_RAPORU_BURAK_YENI1309[[#This Row],[ALT_KOD]])+AVERAGEIFS(L:L,D:D,DST_123_ÜRETİM_İHTİYAÇ_RAPORU_BURAK_YENI1309[[#This Row],[ALT_KOD]]))</f>
        <v>-903</v>
      </c>
      <c r="L5923">
        <v>0</v>
      </c>
      <c r="M5923">
        <f>IF((DST_123_ÜRETİM_İHTİYAÇ_RAPORU_BURAK_YENI1309[[#This Row],[SATINALMA]]*DST_123_ÜRETİM_İHTİYAÇ_RAPORU_BURAK_YENI1309[[#This Row],[BIRIM_FIYATLAR]])&lt;1,VALUE("0"),DST_123_ÜRETİM_İHTİYAÇ_RAPORU_BURAK_YENI1309[[#This Row],[SATINALMA]]*DST_123_ÜRETİM_İHTİYAÇ_RAPORU_BURAK_YENI1309[[#This Row],[BIRIM_FIYATLAR]])</f>
        <v>0</v>
      </c>
      <c r="N5923">
        <v>1.1399999999999999</v>
      </c>
      <c r="O5923" t="s">
        <v>882</v>
      </c>
      <c r="P5923">
        <v>7.9799999999999995</v>
      </c>
      <c r="Q5923" t="s">
        <v>180</v>
      </c>
    </row>
    <row r="5924" spans="1:17" x14ac:dyDescent="0.25">
      <c r="A5924" t="s">
        <v>1060</v>
      </c>
      <c r="B5924" t="s">
        <v>1061</v>
      </c>
      <c r="C5924" t="s">
        <v>175</v>
      </c>
      <c r="D5924" t="s">
        <v>550</v>
      </c>
      <c r="E5924" t="s">
        <v>551</v>
      </c>
      <c r="F5924">
        <v>2</v>
      </c>
      <c r="G5924" t="s">
        <v>176</v>
      </c>
      <c r="H5924">
        <v>2</v>
      </c>
      <c r="I5924">
        <v>35</v>
      </c>
      <c r="J5924" s="10">
        <v>14</v>
      </c>
      <c r="K5924" s="10">
        <f>SUMIFS(F:F,D:D,DST_123_ÜRETİM_İHTİYAÇ_RAPORU_BURAK_YENI1309[[#This Row],[ALT_KOD]])-(SUMIFS(H:H,D:D,DST_123_ÜRETİM_İHTİYAÇ_RAPORU_BURAK_YENI1309[[#This Row],[ALT_KOD]])+AVERAGEIFS(I:I,D:D,DST_123_ÜRETİM_İHTİYAÇ_RAPORU_BURAK_YENI1309[[#This Row],[ALT_KOD]])+AVERAGEIFS(L:L,D:D,DST_123_ÜRETİM_İHTİYAÇ_RAPORU_BURAK_YENI1309[[#This Row],[ALT_KOD]]))</f>
        <v>-11</v>
      </c>
      <c r="L5924">
        <v>0</v>
      </c>
      <c r="M5924">
        <f>IF((DST_123_ÜRETİM_İHTİYAÇ_RAPORU_BURAK_YENI1309[[#This Row],[SATINALMA]]*DST_123_ÜRETİM_İHTİYAÇ_RAPORU_BURAK_YENI1309[[#This Row],[BIRIM_FIYATLAR]])&lt;1,VALUE("0"),DST_123_ÜRETİM_İHTİYAÇ_RAPORU_BURAK_YENI1309[[#This Row],[SATINALMA]]*DST_123_ÜRETİM_İHTİYAÇ_RAPORU_BURAK_YENI1309[[#This Row],[BIRIM_FIYATLAR]])</f>
        <v>0</v>
      </c>
      <c r="N5924">
        <v>43.75</v>
      </c>
      <c r="O5924" t="s">
        <v>490</v>
      </c>
      <c r="P5924">
        <v>87.5</v>
      </c>
      <c r="Q5924" t="s">
        <v>180</v>
      </c>
    </row>
    <row r="5925" spans="1:17" x14ac:dyDescent="0.25">
      <c r="A5925" t="s">
        <v>1060</v>
      </c>
      <c r="B5925" t="s">
        <v>1061</v>
      </c>
      <c r="C5925" t="s">
        <v>175</v>
      </c>
      <c r="D5925" t="s">
        <v>101</v>
      </c>
      <c r="E5925" t="s">
        <v>102</v>
      </c>
      <c r="F5925">
        <v>4</v>
      </c>
      <c r="G5925" t="s">
        <v>185</v>
      </c>
      <c r="H5925">
        <v>4</v>
      </c>
      <c r="I5925">
        <v>66</v>
      </c>
      <c r="J5925" s="10">
        <v>36.349999999999987</v>
      </c>
      <c r="K5925" s="10">
        <f>SUMIFS(F:F,D:D,DST_123_ÜRETİM_İHTİYAÇ_RAPORU_BURAK_YENI1309[[#This Row],[ALT_KOD]])-(SUMIFS(H:H,D:D,DST_123_ÜRETİM_İHTİYAÇ_RAPORU_BURAK_YENI1309[[#This Row],[ALT_KOD]])+AVERAGEIFS(I:I,D:D,DST_123_ÜRETİM_İHTİYAÇ_RAPORU_BURAK_YENI1309[[#This Row],[ALT_KOD]])+AVERAGEIFS(L:L,D:D,DST_123_ÜRETİM_İHTİYAÇ_RAPORU_BURAK_YENI1309[[#This Row],[ALT_KOD]]))</f>
        <v>-17.090000000000018</v>
      </c>
      <c r="L5925">
        <v>0</v>
      </c>
      <c r="M5925">
        <f>IF((DST_123_ÜRETİM_İHTİYAÇ_RAPORU_BURAK_YENI1309[[#This Row],[SATINALMA]]*DST_123_ÜRETİM_İHTİYAÇ_RAPORU_BURAK_YENI1309[[#This Row],[BIRIM_FIYATLAR]])&lt;1,VALUE("0"),DST_123_ÜRETİM_İHTİYAÇ_RAPORU_BURAK_YENI1309[[#This Row],[SATINALMA]]*DST_123_ÜRETİM_İHTİYAÇ_RAPORU_BURAK_YENI1309[[#This Row],[BIRIM_FIYATLAR]])</f>
        <v>0</v>
      </c>
      <c r="N5925">
        <v>129.63</v>
      </c>
      <c r="O5925" t="s">
        <v>240</v>
      </c>
      <c r="P5925">
        <v>518.52</v>
      </c>
      <c r="Q5925" t="s">
        <v>183</v>
      </c>
    </row>
    <row r="5926" spans="1:17" x14ac:dyDescent="0.25">
      <c r="A5926" t="s">
        <v>1100</v>
      </c>
      <c r="B5926" t="s">
        <v>1058</v>
      </c>
      <c r="C5926" t="s">
        <v>197</v>
      </c>
      <c r="D5926" t="s">
        <v>498</v>
      </c>
      <c r="E5926" t="s">
        <v>499</v>
      </c>
      <c r="F5926">
        <v>1</v>
      </c>
      <c r="G5926" t="s">
        <v>176</v>
      </c>
      <c r="H5926">
        <v>1</v>
      </c>
      <c r="I5926">
        <v>10</v>
      </c>
      <c r="J5926" s="10">
        <v>9</v>
      </c>
      <c r="K5926" s="10">
        <f>SUMIFS(F:F,D:D,DST_123_ÜRETİM_İHTİYAÇ_RAPORU_BURAK_YENI1309[[#This Row],[ALT_KOD]])-(SUMIFS(H:H,D:D,DST_123_ÜRETİM_İHTİYAÇ_RAPORU_BURAK_YENI1309[[#This Row],[ALT_KOD]])+AVERAGEIFS(I:I,D:D,DST_123_ÜRETİM_İHTİYAÇ_RAPORU_BURAK_YENI1309[[#This Row],[ALT_KOD]])+AVERAGEIFS(L:L,D:D,DST_123_ÜRETİM_İHTİYAÇ_RAPORU_BURAK_YENI1309[[#This Row],[ALT_KOD]]))</f>
        <v>2</v>
      </c>
      <c r="L5926">
        <v>0</v>
      </c>
      <c r="M5926">
        <f>IF((DST_123_ÜRETİM_İHTİYAÇ_RAPORU_BURAK_YENI1309[[#This Row],[SATINALMA]]*DST_123_ÜRETİM_İHTİYAÇ_RAPORU_BURAK_YENI1309[[#This Row],[BIRIM_FIYATLAR]])&lt;1,VALUE("0"),DST_123_ÜRETİM_İHTİYAÇ_RAPORU_BURAK_YENI1309[[#This Row],[SATINALMA]]*DST_123_ÜRETİM_İHTİYAÇ_RAPORU_BURAK_YENI1309[[#This Row],[BIRIM_FIYATLAR]])</f>
        <v>0</v>
      </c>
      <c r="O5926" t="s">
        <v>713</v>
      </c>
      <c r="Q5926" t="s">
        <v>760</v>
      </c>
    </row>
    <row r="5927" spans="1:17" x14ac:dyDescent="0.25">
      <c r="A5927" t="s">
        <v>1095</v>
      </c>
      <c r="B5927" t="s">
        <v>1096</v>
      </c>
      <c r="C5927" t="s">
        <v>197</v>
      </c>
      <c r="D5927" t="s">
        <v>498</v>
      </c>
      <c r="E5927" t="s">
        <v>499</v>
      </c>
      <c r="F5927">
        <v>1</v>
      </c>
      <c r="G5927" t="s">
        <v>176</v>
      </c>
      <c r="H5927">
        <v>0</v>
      </c>
      <c r="I5927">
        <v>10</v>
      </c>
      <c r="J5927" s="10">
        <v>9</v>
      </c>
      <c r="K5927" s="10">
        <f>SUMIFS(F:F,D:D,DST_123_ÜRETİM_İHTİYAÇ_RAPORU_BURAK_YENI1309[[#This Row],[ALT_KOD]])-(SUMIFS(H:H,D:D,DST_123_ÜRETİM_İHTİYAÇ_RAPORU_BURAK_YENI1309[[#This Row],[ALT_KOD]])+AVERAGEIFS(I:I,D:D,DST_123_ÜRETİM_İHTİYAÇ_RAPORU_BURAK_YENI1309[[#This Row],[ALT_KOD]])+AVERAGEIFS(L:L,D:D,DST_123_ÜRETİM_İHTİYAÇ_RAPORU_BURAK_YENI1309[[#This Row],[ALT_KOD]]))</f>
        <v>2</v>
      </c>
      <c r="L5927">
        <v>0</v>
      </c>
      <c r="M5927">
        <f>IF((DST_123_ÜRETİM_İHTİYAÇ_RAPORU_BURAK_YENI1309[[#This Row],[SATINALMA]]*DST_123_ÜRETİM_İHTİYAÇ_RAPORU_BURAK_YENI1309[[#This Row],[BIRIM_FIYATLAR]])&lt;1,VALUE("0"),DST_123_ÜRETİM_İHTİYAÇ_RAPORU_BURAK_YENI1309[[#This Row],[SATINALMA]]*DST_123_ÜRETİM_İHTİYAÇ_RAPORU_BURAK_YENI1309[[#This Row],[BIRIM_FIYATLAR]])</f>
        <v>0</v>
      </c>
      <c r="O5927" t="s">
        <v>713</v>
      </c>
      <c r="Q5927" t="s">
        <v>760</v>
      </c>
    </row>
    <row r="5928" spans="1:17" x14ac:dyDescent="0.25">
      <c r="A5928" t="s">
        <v>1064</v>
      </c>
      <c r="B5928" t="s">
        <v>1055</v>
      </c>
      <c r="C5928" t="s">
        <v>175</v>
      </c>
      <c r="D5928" t="s">
        <v>772</v>
      </c>
      <c r="E5928" t="s">
        <v>773</v>
      </c>
      <c r="F5928">
        <v>4</v>
      </c>
      <c r="G5928" t="s">
        <v>176</v>
      </c>
      <c r="H5928">
        <v>4</v>
      </c>
      <c r="I5928">
        <v>56.5</v>
      </c>
      <c r="J5928" s="10">
        <v>26</v>
      </c>
      <c r="K5928" s="10">
        <f>SUMIFS(F:F,D:D,DST_123_ÜRETİM_İHTİYAÇ_RAPORU_BURAK_YENI1309[[#This Row],[ALT_KOD]])-(SUMIFS(H:H,D:D,DST_123_ÜRETİM_İHTİYAÇ_RAPORU_BURAK_YENI1309[[#This Row],[ALT_KOD]])+AVERAGEIFS(I:I,D:D,DST_123_ÜRETİM_İHTİYAÇ_RAPORU_BURAK_YENI1309[[#This Row],[ALT_KOD]])+AVERAGEIFS(L:L,D:D,DST_123_ÜRETİM_İHTİYAÇ_RAPORU_BURAK_YENI1309[[#This Row],[ALT_KOD]]))</f>
        <v>-12.5</v>
      </c>
      <c r="L5928">
        <v>0</v>
      </c>
      <c r="M5928">
        <f>IF((DST_123_ÜRETİM_İHTİYAÇ_RAPORU_BURAK_YENI1309[[#This Row],[SATINALMA]]*DST_123_ÜRETİM_İHTİYAÇ_RAPORU_BURAK_YENI1309[[#This Row],[BIRIM_FIYATLAR]])&lt;1,VALUE("0"),DST_123_ÜRETİM_İHTİYAÇ_RAPORU_BURAK_YENI1309[[#This Row],[SATINALMA]]*DST_123_ÜRETİM_İHTİYAÇ_RAPORU_BURAK_YENI1309[[#This Row],[BIRIM_FIYATLAR]])</f>
        <v>0</v>
      </c>
      <c r="N5928">
        <v>200</v>
      </c>
      <c r="O5928" t="s">
        <v>247</v>
      </c>
      <c r="P5928">
        <v>800</v>
      </c>
      <c r="Q5928" t="s">
        <v>177</v>
      </c>
    </row>
    <row r="5929" spans="1:17" x14ac:dyDescent="0.25">
      <c r="A5929" t="s">
        <v>1097</v>
      </c>
      <c r="B5929" t="s">
        <v>1055</v>
      </c>
      <c r="C5929" t="s">
        <v>175</v>
      </c>
      <c r="D5929" t="s">
        <v>90</v>
      </c>
      <c r="E5929" t="s">
        <v>91</v>
      </c>
      <c r="F5929">
        <v>1</v>
      </c>
      <c r="G5929" t="s">
        <v>176</v>
      </c>
      <c r="H5929">
        <v>1</v>
      </c>
      <c r="I5929">
        <v>4</v>
      </c>
      <c r="J5929" s="10">
        <v>12</v>
      </c>
      <c r="K5929" s="10">
        <f>SUMIFS(F:F,D:D,DST_123_ÜRETİM_İHTİYAÇ_RAPORU_BURAK_YENI1309[[#This Row],[ALT_KOD]])-(SUMIFS(H:H,D:D,DST_123_ÜRETİM_İHTİYAÇ_RAPORU_BURAK_YENI1309[[#This Row],[ALT_KOD]])+AVERAGEIFS(I:I,D:D,DST_123_ÜRETİM_İHTİYAÇ_RAPORU_BURAK_YENI1309[[#This Row],[ALT_KOD]])+AVERAGEIFS(L:L,D:D,DST_123_ÜRETİM_İHTİYAÇ_RAPORU_BURAK_YENI1309[[#This Row],[ALT_KOD]]))</f>
        <v>7</v>
      </c>
      <c r="L5929">
        <v>0</v>
      </c>
      <c r="M5929">
        <f>IF((DST_123_ÜRETİM_İHTİYAÇ_RAPORU_BURAK_YENI1309[[#This Row],[SATINALMA]]*DST_123_ÜRETİM_İHTİYAÇ_RAPORU_BURAK_YENI1309[[#This Row],[BIRIM_FIYATLAR]])&lt;1,VALUE("0"),DST_123_ÜRETİM_İHTİYAÇ_RAPORU_BURAK_YENI1309[[#This Row],[SATINALMA]]*DST_123_ÜRETİM_İHTİYAÇ_RAPORU_BURAK_YENI1309[[#This Row],[BIRIM_FIYATLAR]])</f>
        <v>12435.01</v>
      </c>
      <c r="N5929">
        <v>1776.43</v>
      </c>
      <c r="O5929" t="s">
        <v>634</v>
      </c>
      <c r="P5929">
        <v>1776.43</v>
      </c>
      <c r="Q5929" t="s">
        <v>178</v>
      </c>
    </row>
    <row r="5930" spans="1:17" x14ac:dyDescent="0.25">
      <c r="A5930" t="s">
        <v>1064</v>
      </c>
      <c r="B5930" t="s">
        <v>1055</v>
      </c>
      <c r="C5930" t="s">
        <v>175</v>
      </c>
      <c r="D5930" t="s">
        <v>437</v>
      </c>
      <c r="E5930" t="s">
        <v>438</v>
      </c>
      <c r="F5930">
        <v>1</v>
      </c>
      <c r="G5930" t="s">
        <v>176</v>
      </c>
      <c r="H5930">
        <v>1</v>
      </c>
      <c r="I5930">
        <v>24</v>
      </c>
      <c r="J5930" s="10">
        <v>5</v>
      </c>
      <c r="K5930" s="10">
        <f>SUMIFS(F:F,D:D,DST_123_ÜRETİM_İHTİYAÇ_RAPORU_BURAK_YENI1309[[#This Row],[ALT_KOD]])-(SUMIFS(H:H,D:D,DST_123_ÜRETİM_İHTİYAÇ_RAPORU_BURAK_YENI1309[[#This Row],[ALT_KOD]])+AVERAGEIFS(I:I,D:D,DST_123_ÜRETİM_İHTİYAÇ_RAPORU_BURAK_YENI1309[[#This Row],[ALT_KOD]])+AVERAGEIFS(L:L,D:D,DST_123_ÜRETİM_İHTİYAÇ_RAPORU_BURAK_YENI1309[[#This Row],[ALT_KOD]]))</f>
        <v>-12</v>
      </c>
      <c r="L5930">
        <v>0</v>
      </c>
      <c r="M5930">
        <f>IF((DST_123_ÜRETİM_İHTİYAÇ_RAPORU_BURAK_YENI1309[[#This Row],[SATINALMA]]*DST_123_ÜRETİM_İHTİYAÇ_RAPORU_BURAK_YENI1309[[#This Row],[BIRIM_FIYATLAR]])&lt;1,VALUE("0"),DST_123_ÜRETİM_İHTİYAÇ_RAPORU_BURAK_YENI1309[[#This Row],[SATINALMA]]*DST_123_ÜRETİM_İHTİYAÇ_RAPORU_BURAK_YENI1309[[#This Row],[BIRIM_FIYATLAR]])</f>
        <v>0</v>
      </c>
      <c r="N5930">
        <v>360.19</v>
      </c>
      <c r="O5930" t="s">
        <v>636</v>
      </c>
      <c r="P5930">
        <v>360.19</v>
      </c>
      <c r="Q5930" t="s">
        <v>178</v>
      </c>
    </row>
    <row r="5931" spans="1:17" x14ac:dyDescent="0.25">
      <c r="A5931" t="s">
        <v>1097</v>
      </c>
      <c r="B5931" t="s">
        <v>1055</v>
      </c>
      <c r="C5931" t="s">
        <v>175</v>
      </c>
      <c r="D5931" t="s">
        <v>437</v>
      </c>
      <c r="E5931" t="s">
        <v>438</v>
      </c>
      <c r="F5931">
        <v>1</v>
      </c>
      <c r="G5931" t="s">
        <v>176</v>
      </c>
      <c r="H5931">
        <v>1</v>
      </c>
      <c r="I5931">
        <v>24</v>
      </c>
      <c r="J5931" s="10">
        <v>5</v>
      </c>
      <c r="K5931" s="10">
        <f>SUMIFS(F:F,D:D,DST_123_ÜRETİM_İHTİYAÇ_RAPORU_BURAK_YENI1309[[#This Row],[ALT_KOD]])-(SUMIFS(H:H,D:D,DST_123_ÜRETİM_İHTİYAÇ_RAPORU_BURAK_YENI1309[[#This Row],[ALT_KOD]])+AVERAGEIFS(I:I,D:D,DST_123_ÜRETİM_İHTİYAÇ_RAPORU_BURAK_YENI1309[[#This Row],[ALT_KOD]])+AVERAGEIFS(L:L,D:D,DST_123_ÜRETİM_İHTİYAÇ_RAPORU_BURAK_YENI1309[[#This Row],[ALT_KOD]]))</f>
        <v>-12</v>
      </c>
      <c r="L5931">
        <v>0</v>
      </c>
      <c r="M5931">
        <f>IF((DST_123_ÜRETİM_İHTİYAÇ_RAPORU_BURAK_YENI1309[[#This Row],[SATINALMA]]*DST_123_ÜRETİM_İHTİYAÇ_RAPORU_BURAK_YENI1309[[#This Row],[BIRIM_FIYATLAR]])&lt;1,VALUE("0"),DST_123_ÜRETİM_İHTİYAÇ_RAPORU_BURAK_YENI1309[[#This Row],[SATINALMA]]*DST_123_ÜRETİM_İHTİYAÇ_RAPORU_BURAK_YENI1309[[#This Row],[BIRIM_FIYATLAR]])</f>
        <v>0</v>
      </c>
      <c r="N5931">
        <v>360.19</v>
      </c>
      <c r="O5931" t="s">
        <v>636</v>
      </c>
      <c r="P5931">
        <v>360.19</v>
      </c>
      <c r="Q5931" t="s">
        <v>178</v>
      </c>
    </row>
    <row r="5932" spans="1:17" x14ac:dyDescent="0.25">
      <c r="A5932" t="s">
        <v>1099</v>
      </c>
      <c r="B5932" t="s">
        <v>1055</v>
      </c>
      <c r="C5932" t="s">
        <v>175</v>
      </c>
      <c r="D5932" t="s">
        <v>321</v>
      </c>
      <c r="E5932" t="s">
        <v>322</v>
      </c>
      <c r="F5932">
        <v>4.3499999999999996</v>
      </c>
      <c r="G5932" t="s">
        <v>176</v>
      </c>
      <c r="H5932">
        <v>4.3499999999999996</v>
      </c>
      <c r="I5932">
        <v>84</v>
      </c>
      <c r="J5932" s="10">
        <v>195.90000000000009</v>
      </c>
      <c r="K5932" s="10">
        <f>SUMIFS(F:F,D:D,DST_123_ÜRETİM_İHTİYAÇ_RAPORU_BURAK_YENI1309[[#This Row],[ALT_KOD]])-(SUMIFS(H:H,D:D,DST_123_ÜRETİM_İHTİYAÇ_RAPORU_BURAK_YENI1309[[#This Row],[ALT_KOD]])+AVERAGEIFS(I:I,D:D,DST_123_ÜRETİM_İHTİYAÇ_RAPORU_BURAK_YENI1309[[#This Row],[ALT_KOD]])+AVERAGEIFS(L:L,D:D,DST_123_ÜRETİM_İHTİYAÇ_RAPORU_BURAK_YENI1309[[#This Row],[ALT_KOD]]))</f>
        <v>-24.600000000000023</v>
      </c>
      <c r="L5932">
        <v>0</v>
      </c>
      <c r="M5932">
        <f>IF((DST_123_ÜRETİM_İHTİYAÇ_RAPORU_BURAK_YENI1309[[#This Row],[SATINALMA]]*DST_123_ÜRETİM_İHTİYAÇ_RAPORU_BURAK_YENI1309[[#This Row],[BIRIM_FIYATLAR]])&lt;1,VALUE("0"),DST_123_ÜRETİM_İHTİYAÇ_RAPORU_BURAK_YENI1309[[#This Row],[SATINALMA]]*DST_123_ÜRETİM_İHTİYAÇ_RAPORU_BURAK_YENI1309[[#This Row],[BIRIM_FIYATLAR]])</f>
        <v>0</v>
      </c>
      <c r="N5932">
        <v>29</v>
      </c>
      <c r="O5932" t="s">
        <v>240</v>
      </c>
      <c r="P5932">
        <v>126.14999999999999</v>
      </c>
      <c r="Q5932" t="s">
        <v>180</v>
      </c>
    </row>
    <row r="5933" spans="1:17" x14ac:dyDescent="0.25">
      <c r="A5933" t="s">
        <v>1064</v>
      </c>
      <c r="B5933" t="s">
        <v>1055</v>
      </c>
      <c r="C5933" t="s">
        <v>175</v>
      </c>
      <c r="D5933" t="s">
        <v>321</v>
      </c>
      <c r="E5933" t="s">
        <v>322</v>
      </c>
      <c r="F5933">
        <v>4.3499999999999996</v>
      </c>
      <c r="G5933" t="s">
        <v>176</v>
      </c>
      <c r="H5933">
        <v>4.3499999999999996</v>
      </c>
      <c r="I5933">
        <v>84</v>
      </c>
      <c r="J5933" s="10">
        <v>195.90000000000009</v>
      </c>
      <c r="K5933" s="10">
        <f>SUMIFS(F:F,D:D,DST_123_ÜRETİM_İHTİYAÇ_RAPORU_BURAK_YENI1309[[#This Row],[ALT_KOD]])-(SUMIFS(H:H,D:D,DST_123_ÜRETİM_İHTİYAÇ_RAPORU_BURAK_YENI1309[[#This Row],[ALT_KOD]])+AVERAGEIFS(I:I,D:D,DST_123_ÜRETİM_İHTİYAÇ_RAPORU_BURAK_YENI1309[[#This Row],[ALT_KOD]])+AVERAGEIFS(L:L,D:D,DST_123_ÜRETİM_İHTİYAÇ_RAPORU_BURAK_YENI1309[[#This Row],[ALT_KOD]]))</f>
        <v>-24.600000000000023</v>
      </c>
      <c r="L5933">
        <v>0</v>
      </c>
      <c r="M5933">
        <f>IF((DST_123_ÜRETİM_İHTİYAÇ_RAPORU_BURAK_YENI1309[[#This Row],[SATINALMA]]*DST_123_ÜRETİM_İHTİYAÇ_RAPORU_BURAK_YENI1309[[#This Row],[BIRIM_FIYATLAR]])&lt;1,VALUE("0"),DST_123_ÜRETİM_İHTİYAÇ_RAPORU_BURAK_YENI1309[[#This Row],[SATINALMA]]*DST_123_ÜRETİM_İHTİYAÇ_RAPORU_BURAK_YENI1309[[#This Row],[BIRIM_FIYATLAR]])</f>
        <v>0</v>
      </c>
      <c r="N5933">
        <v>29</v>
      </c>
      <c r="O5933" t="s">
        <v>240</v>
      </c>
      <c r="P5933">
        <v>126.14999999999999</v>
      </c>
      <c r="Q5933" t="s">
        <v>180</v>
      </c>
    </row>
    <row r="5934" spans="1:17" x14ac:dyDescent="0.25">
      <c r="A5934" t="s">
        <v>1064</v>
      </c>
      <c r="B5934" t="s">
        <v>1055</v>
      </c>
      <c r="C5934" t="s">
        <v>175</v>
      </c>
      <c r="D5934" t="s">
        <v>48</v>
      </c>
      <c r="E5934" t="s">
        <v>49</v>
      </c>
      <c r="F5934">
        <v>4</v>
      </c>
      <c r="G5934" t="s">
        <v>176</v>
      </c>
      <c r="H5934">
        <v>4</v>
      </c>
      <c r="I5934">
        <v>21</v>
      </c>
      <c r="J5934" s="10">
        <v>30</v>
      </c>
      <c r="K5934" s="10">
        <f>SUMIFS(F:F,D:D,DST_123_ÜRETİM_İHTİYAÇ_RAPORU_BURAK_YENI1309[[#This Row],[ALT_KOD]])-(SUMIFS(H:H,D:D,DST_123_ÜRETİM_İHTİYAÇ_RAPORU_BURAK_YENI1309[[#This Row],[ALT_KOD]])+AVERAGEIFS(I:I,D:D,DST_123_ÜRETİM_İHTİYAÇ_RAPORU_BURAK_YENI1309[[#This Row],[ALT_KOD]])+AVERAGEIFS(L:L,D:D,DST_123_ÜRETİM_İHTİYAÇ_RAPORU_BURAK_YENI1309[[#This Row],[ALT_KOD]]))</f>
        <v>1</v>
      </c>
      <c r="L5934">
        <v>0</v>
      </c>
      <c r="M5934">
        <f>IF((DST_123_ÜRETİM_İHTİYAÇ_RAPORU_BURAK_YENI1309[[#This Row],[SATINALMA]]*DST_123_ÜRETİM_İHTİYAÇ_RAPORU_BURAK_YENI1309[[#This Row],[BIRIM_FIYATLAR]])&lt;1,VALUE("0"),DST_123_ÜRETİM_İHTİYAÇ_RAPORU_BURAK_YENI1309[[#This Row],[SATINALMA]]*DST_123_ÜRETİM_İHTİYAÇ_RAPORU_BURAK_YENI1309[[#This Row],[BIRIM_FIYATLAR]])</f>
        <v>42</v>
      </c>
      <c r="N5934">
        <v>42</v>
      </c>
      <c r="O5934" t="s">
        <v>245</v>
      </c>
      <c r="P5934">
        <v>168</v>
      </c>
      <c r="Q5934" t="s">
        <v>180</v>
      </c>
    </row>
    <row r="5935" spans="1:17" x14ac:dyDescent="0.25">
      <c r="A5935" t="s">
        <v>1097</v>
      </c>
      <c r="B5935" t="s">
        <v>1055</v>
      </c>
      <c r="C5935" t="s">
        <v>175</v>
      </c>
      <c r="D5935" t="s">
        <v>48</v>
      </c>
      <c r="E5935" t="s">
        <v>49</v>
      </c>
      <c r="F5935">
        <v>2</v>
      </c>
      <c r="G5935" t="s">
        <v>176</v>
      </c>
      <c r="H5935">
        <v>2</v>
      </c>
      <c r="I5935">
        <v>21</v>
      </c>
      <c r="J5935" s="10">
        <v>30</v>
      </c>
      <c r="K5935" s="10">
        <f>SUMIFS(F:F,D:D,DST_123_ÜRETİM_İHTİYAÇ_RAPORU_BURAK_YENI1309[[#This Row],[ALT_KOD]])-(SUMIFS(H:H,D:D,DST_123_ÜRETİM_İHTİYAÇ_RAPORU_BURAK_YENI1309[[#This Row],[ALT_KOD]])+AVERAGEIFS(I:I,D:D,DST_123_ÜRETİM_İHTİYAÇ_RAPORU_BURAK_YENI1309[[#This Row],[ALT_KOD]])+AVERAGEIFS(L:L,D:D,DST_123_ÜRETİM_İHTİYAÇ_RAPORU_BURAK_YENI1309[[#This Row],[ALT_KOD]]))</f>
        <v>1</v>
      </c>
      <c r="L5935">
        <v>0</v>
      </c>
      <c r="M5935">
        <f>IF((DST_123_ÜRETİM_İHTİYAÇ_RAPORU_BURAK_YENI1309[[#This Row],[SATINALMA]]*DST_123_ÜRETİM_İHTİYAÇ_RAPORU_BURAK_YENI1309[[#This Row],[BIRIM_FIYATLAR]])&lt;1,VALUE("0"),DST_123_ÜRETİM_İHTİYAÇ_RAPORU_BURAK_YENI1309[[#This Row],[SATINALMA]]*DST_123_ÜRETİM_İHTİYAÇ_RAPORU_BURAK_YENI1309[[#This Row],[BIRIM_FIYATLAR]])</f>
        <v>42</v>
      </c>
      <c r="N5935">
        <v>42</v>
      </c>
      <c r="O5935" t="s">
        <v>245</v>
      </c>
      <c r="P5935">
        <v>84</v>
      </c>
      <c r="Q5935" t="s">
        <v>180</v>
      </c>
    </row>
    <row r="5936" spans="1:17" x14ac:dyDescent="0.25">
      <c r="A5936" t="s">
        <v>1146</v>
      </c>
      <c r="B5936" t="s">
        <v>1145</v>
      </c>
      <c r="C5936" t="s">
        <v>175</v>
      </c>
      <c r="D5936" t="s">
        <v>410</v>
      </c>
      <c r="E5936" t="s">
        <v>411</v>
      </c>
      <c r="F5936">
        <v>0.01</v>
      </c>
      <c r="G5936" t="s">
        <v>412</v>
      </c>
      <c r="H5936">
        <v>0</v>
      </c>
      <c r="I5936">
        <v>150</v>
      </c>
      <c r="J5936" s="10">
        <v>0</v>
      </c>
      <c r="K5936" s="10">
        <f>SUMIFS(F:F,D:D,DST_123_ÜRETİM_İHTİYAÇ_RAPORU_BURAK_YENI1309[[#This Row],[ALT_KOD]])-(SUMIFS(H:H,D:D,DST_123_ÜRETİM_İHTİYAÇ_RAPORU_BURAK_YENI1309[[#This Row],[ALT_KOD]])+AVERAGEIFS(I:I,D:D,DST_123_ÜRETİM_İHTİYAÇ_RAPORU_BURAK_YENI1309[[#This Row],[ALT_KOD]])+AVERAGEIFS(L:L,D:D,DST_123_ÜRETİM_İHTİYAÇ_RAPORU_BURAK_YENI1309[[#This Row],[ALT_KOD]]))</f>
        <v>-149.76499999999999</v>
      </c>
      <c r="L5936">
        <v>0</v>
      </c>
      <c r="M5936">
        <f>IF((DST_123_ÜRETİM_İHTİYAÇ_RAPORU_BURAK_YENI1309[[#This Row],[SATINALMA]]*DST_123_ÜRETİM_İHTİYAÇ_RAPORU_BURAK_YENI1309[[#This Row],[BIRIM_FIYATLAR]])&lt;1,VALUE("0"),DST_123_ÜRETİM_İHTİYAÇ_RAPORU_BURAK_YENI1309[[#This Row],[SATINALMA]]*DST_123_ÜRETİM_İHTİYAÇ_RAPORU_BURAK_YENI1309[[#This Row],[BIRIM_FIYATLAR]])</f>
        <v>0</v>
      </c>
      <c r="N5936">
        <v>1.8</v>
      </c>
      <c r="O5936" t="s">
        <v>220</v>
      </c>
      <c r="P5936">
        <v>1.8000000000000002E-2</v>
      </c>
      <c r="Q5936" t="s">
        <v>180</v>
      </c>
    </row>
    <row r="5937" spans="1:17" x14ac:dyDescent="0.25">
      <c r="A5937" t="s">
        <v>1101</v>
      </c>
      <c r="B5937" t="s">
        <v>1102</v>
      </c>
      <c r="C5937" t="s">
        <v>175</v>
      </c>
      <c r="D5937" t="s">
        <v>90</v>
      </c>
      <c r="E5937" t="s">
        <v>91</v>
      </c>
      <c r="F5937">
        <v>1</v>
      </c>
      <c r="G5937" t="s">
        <v>176</v>
      </c>
      <c r="H5937">
        <v>1</v>
      </c>
      <c r="I5937">
        <v>4</v>
      </c>
      <c r="J5937" s="10">
        <v>12</v>
      </c>
      <c r="K5937" s="10">
        <f>SUMIFS(F:F,D:D,DST_123_ÜRETİM_İHTİYAÇ_RAPORU_BURAK_YENI1309[[#This Row],[ALT_KOD]])-(SUMIFS(H:H,D:D,DST_123_ÜRETİM_İHTİYAÇ_RAPORU_BURAK_YENI1309[[#This Row],[ALT_KOD]])+AVERAGEIFS(I:I,D:D,DST_123_ÜRETİM_İHTİYAÇ_RAPORU_BURAK_YENI1309[[#This Row],[ALT_KOD]])+AVERAGEIFS(L:L,D:D,DST_123_ÜRETİM_İHTİYAÇ_RAPORU_BURAK_YENI1309[[#This Row],[ALT_KOD]]))</f>
        <v>7</v>
      </c>
      <c r="L5937">
        <v>0</v>
      </c>
      <c r="M5937">
        <f>IF((DST_123_ÜRETİM_İHTİYAÇ_RAPORU_BURAK_YENI1309[[#This Row],[SATINALMA]]*DST_123_ÜRETİM_İHTİYAÇ_RAPORU_BURAK_YENI1309[[#This Row],[BIRIM_FIYATLAR]])&lt;1,VALUE("0"),DST_123_ÜRETİM_İHTİYAÇ_RAPORU_BURAK_YENI1309[[#This Row],[SATINALMA]]*DST_123_ÜRETİM_İHTİYAÇ_RAPORU_BURAK_YENI1309[[#This Row],[BIRIM_FIYATLAR]])</f>
        <v>12435.01</v>
      </c>
      <c r="N5937">
        <v>1776.43</v>
      </c>
      <c r="O5937" t="s">
        <v>634</v>
      </c>
      <c r="P5937">
        <v>1776.43</v>
      </c>
      <c r="Q5937" t="s">
        <v>178</v>
      </c>
    </row>
    <row r="5938" spans="1:17" x14ac:dyDescent="0.25">
      <c r="A5938" t="s">
        <v>1101</v>
      </c>
      <c r="B5938" t="s">
        <v>1102</v>
      </c>
      <c r="C5938" t="s">
        <v>175</v>
      </c>
      <c r="D5938" t="s">
        <v>321</v>
      </c>
      <c r="E5938" t="s">
        <v>322</v>
      </c>
      <c r="F5938">
        <v>3</v>
      </c>
      <c r="G5938" t="s">
        <v>176</v>
      </c>
      <c r="H5938">
        <v>3</v>
      </c>
      <c r="I5938">
        <v>84</v>
      </c>
      <c r="J5938" s="10">
        <v>195.90000000000009</v>
      </c>
      <c r="K5938" s="10">
        <f>SUMIFS(F:F,D:D,DST_123_ÜRETİM_İHTİYAÇ_RAPORU_BURAK_YENI1309[[#This Row],[ALT_KOD]])-(SUMIFS(H:H,D:D,DST_123_ÜRETİM_İHTİYAÇ_RAPORU_BURAK_YENI1309[[#This Row],[ALT_KOD]])+AVERAGEIFS(I:I,D:D,DST_123_ÜRETİM_İHTİYAÇ_RAPORU_BURAK_YENI1309[[#This Row],[ALT_KOD]])+AVERAGEIFS(L:L,D:D,DST_123_ÜRETİM_İHTİYAÇ_RAPORU_BURAK_YENI1309[[#This Row],[ALT_KOD]]))</f>
        <v>-24.600000000000023</v>
      </c>
      <c r="L5938">
        <v>0</v>
      </c>
      <c r="M5938">
        <f>IF((DST_123_ÜRETİM_İHTİYAÇ_RAPORU_BURAK_YENI1309[[#This Row],[SATINALMA]]*DST_123_ÜRETİM_İHTİYAÇ_RAPORU_BURAK_YENI1309[[#This Row],[BIRIM_FIYATLAR]])&lt;1,VALUE("0"),DST_123_ÜRETİM_İHTİYAÇ_RAPORU_BURAK_YENI1309[[#This Row],[SATINALMA]]*DST_123_ÜRETİM_İHTİYAÇ_RAPORU_BURAK_YENI1309[[#This Row],[BIRIM_FIYATLAR]])</f>
        <v>0</v>
      </c>
      <c r="N5938">
        <v>29</v>
      </c>
      <c r="O5938" t="s">
        <v>240</v>
      </c>
      <c r="P5938">
        <v>87</v>
      </c>
      <c r="Q5938" t="s">
        <v>180</v>
      </c>
    </row>
    <row r="5939" spans="1:17" x14ac:dyDescent="0.25">
      <c r="A5939" t="s">
        <v>1059</v>
      </c>
      <c r="B5939" t="s">
        <v>1058</v>
      </c>
      <c r="C5939" t="s">
        <v>175</v>
      </c>
      <c r="D5939" t="s">
        <v>243</v>
      </c>
      <c r="E5939" t="s">
        <v>244</v>
      </c>
      <c r="F5939">
        <v>1</v>
      </c>
      <c r="G5939" t="s">
        <v>176</v>
      </c>
      <c r="H5939">
        <v>1</v>
      </c>
      <c r="I5939">
        <v>18</v>
      </c>
      <c r="J5939" s="10">
        <v>9</v>
      </c>
      <c r="K5939" s="10">
        <f>SUMIFS(F:F,D:D,DST_123_ÜRETİM_İHTİYAÇ_RAPORU_BURAK_YENI1309[[#This Row],[ALT_KOD]])-(SUMIFS(H:H,D:D,DST_123_ÜRETİM_İHTİYAÇ_RAPORU_BURAK_YENI1309[[#This Row],[ALT_KOD]])+AVERAGEIFS(I:I,D:D,DST_123_ÜRETİM_İHTİYAÇ_RAPORU_BURAK_YENI1309[[#This Row],[ALT_KOD]])+AVERAGEIFS(L:L,D:D,DST_123_ÜRETİM_İHTİYAÇ_RAPORU_BURAK_YENI1309[[#This Row],[ALT_KOD]]))</f>
        <v>-10</v>
      </c>
      <c r="L5939">
        <v>0</v>
      </c>
      <c r="M5939">
        <f>IF((DST_123_ÜRETİM_İHTİYAÇ_RAPORU_BURAK_YENI1309[[#This Row],[SATINALMA]]*DST_123_ÜRETİM_İHTİYAÇ_RAPORU_BURAK_YENI1309[[#This Row],[BIRIM_FIYATLAR]])&lt;1,VALUE("0"),DST_123_ÜRETİM_İHTİYAÇ_RAPORU_BURAK_YENI1309[[#This Row],[SATINALMA]]*DST_123_ÜRETİM_İHTİYAÇ_RAPORU_BURAK_YENI1309[[#This Row],[BIRIM_FIYATLAR]])</f>
        <v>0</v>
      </c>
      <c r="N5939">
        <v>60</v>
      </c>
      <c r="O5939" t="s">
        <v>628</v>
      </c>
      <c r="P5939">
        <v>60</v>
      </c>
      <c r="Q5939" t="s">
        <v>180</v>
      </c>
    </row>
    <row r="5940" spans="1:17" x14ac:dyDescent="0.25">
      <c r="A5940" t="s">
        <v>1059</v>
      </c>
      <c r="B5940" t="s">
        <v>1058</v>
      </c>
      <c r="C5940" t="s">
        <v>175</v>
      </c>
      <c r="D5940" t="s">
        <v>48</v>
      </c>
      <c r="E5940" t="s">
        <v>49</v>
      </c>
      <c r="F5940">
        <v>4</v>
      </c>
      <c r="G5940" t="s">
        <v>176</v>
      </c>
      <c r="H5940">
        <v>4</v>
      </c>
      <c r="I5940">
        <v>21</v>
      </c>
      <c r="J5940" s="10">
        <v>30</v>
      </c>
      <c r="K5940" s="10">
        <f>SUMIFS(F:F,D:D,DST_123_ÜRETİM_İHTİYAÇ_RAPORU_BURAK_YENI1309[[#This Row],[ALT_KOD]])-(SUMIFS(H:H,D:D,DST_123_ÜRETİM_İHTİYAÇ_RAPORU_BURAK_YENI1309[[#This Row],[ALT_KOD]])+AVERAGEIFS(I:I,D:D,DST_123_ÜRETİM_İHTİYAÇ_RAPORU_BURAK_YENI1309[[#This Row],[ALT_KOD]])+AVERAGEIFS(L:L,D:D,DST_123_ÜRETİM_İHTİYAÇ_RAPORU_BURAK_YENI1309[[#This Row],[ALT_KOD]]))</f>
        <v>1</v>
      </c>
      <c r="L5940">
        <v>0</v>
      </c>
      <c r="M5940">
        <f>IF((DST_123_ÜRETİM_İHTİYAÇ_RAPORU_BURAK_YENI1309[[#This Row],[SATINALMA]]*DST_123_ÜRETİM_İHTİYAÇ_RAPORU_BURAK_YENI1309[[#This Row],[BIRIM_FIYATLAR]])&lt;1,VALUE("0"),DST_123_ÜRETİM_İHTİYAÇ_RAPORU_BURAK_YENI1309[[#This Row],[SATINALMA]]*DST_123_ÜRETİM_İHTİYAÇ_RAPORU_BURAK_YENI1309[[#This Row],[BIRIM_FIYATLAR]])</f>
        <v>42</v>
      </c>
      <c r="N5940">
        <v>42</v>
      </c>
      <c r="O5940" t="s">
        <v>245</v>
      </c>
      <c r="P5940">
        <v>168</v>
      </c>
      <c r="Q5940" t="s">
        <v>180</v>
      </c>
    </row>
    <row r="5941" spans="1:17" x14ac:dyDescent="0.25">
      <c r="A5941" t="s">
        <v>1101</v>
      </c>
      <c r="B5941" t="s">
        <v>1102</v>
      </c>
      <c r="C5941" t="s">
        <v>175</v>
      </c>
      <c r="D5941" t="s">
        <v>772</v>
      </c>
      <c r="E5941" t="s">
        <v>773</v>
      </c>
      <c r="F5941">
        <v>4</v>
      </c>
      <c r="G5941" t="s">
        <v>176</v>
      </c>
      <c r="H5941">
        <v>4</v>
      </c>
      <c r="I5941">
        <v>56.5</v>
      </c>
      <c r="J5941" s="10">
        <v>26</v>
      </c>
      <c r="K5941" s="10">
        <f>SUMIFS(F:F,D:D,DST_123_ÜRETİM_İHTİYAÇ_RAPORU_BURAK_YENI1309[[#This Row],[ALT_KOD]])-(SUMIFS(H:H,D:D,DST_123_ÜRETİM_İHTİYAÇ_RAPORU_BURAK_YENI1309[[#This Row],[ALT_KOD]])+AVERAGEIFS(I:I,D:D,DST_123_ÜRETİM_İHTİYAÇ_RAPORU_BURAK_YENI1309[[#This Row],[ALT_KOD]])+AVERAGEIFS(L:L,D:D,DST_123_ÜRETİM_İHTİYAÇ_RAPORU_BURAK_YENI1309[[#This Row],[ALT_KOD]]))</f>
        <v>-12.5</v>
      </c>
      <c r="L5941">
        <v>0</v>
      </c>
      <c r="M5941">
        <f>IF((DST_123_ÜRETİM_İHTİYAÇ_RAPORU_BURAK_YENI1309[[#This Row],[SATINALMA]]*DST_123_ÜRETİM_İHTİYAÇ_RAPORU_BURAK_YENI1309[[#This Row],[BIRIM_FIYATLAR]])&lt;1,VALUE("0"),DST_123_ÜRETİM_İHTİYAÇ_RAPORU_BURAK_YENI1309[[#This Row],[SATINALMA]]*DST_123_ÜRETİM_İHTİYAÇ_RAPORU_BURAK_YENI1309[[#This Row],[BIRIM_FIYATLAR]])</f>
        <v>0</v>
      </c>
      <c r="N5941">
        <v>200</v>
      </c>
      <c r="O5941" t="s">
        <v>247</v>
      </c>
      <c r="P5941">
        <v>800</v>
      </c>
      <c r="Q5941" t="s">
        <v>177</v>
      </c>
    </row>
    <row r="5942" spans="1:17" x14ac:dyDescent="0.25">
      <c r="A5942" t="s">
        <v>1060</v>
      </c>
      <c r="B5942" t="s">
        <v>1061</v>
      </c>
      <c r="C5942" t="s">
        <v>175</v>
      </c>
      <c r="D5942" t="s">
        <v>813</v>
      </c>
      <c r="E5942" t="s">
        <v>814</v>
      </c>
      <c r="F5942">
        <v>1</v>
      </c>
      <c r="G5942" t="s">
        <v>176</v>
      </c>
      <c r="H5942">
        <v>1</v>
      </c>
      <c r="I5942">
        <v>7</v>
      </c>
      <c r="J5942" s="10">
        <v>4</v>
      </c>
      <c r="K5942" s="10">
        <f>SUMIFS(F:F,D:D,DST_123_ÜRETİM_İHTİYAÇ_RAPORU_BURAK_YENI1309[[#This Row],[ALT_KOD]])-(SUMIFS(H:H,D:D,DST_123_ÜRETİM_İHTİYAÇ_RAPORU_BURAK_YENI1309[[#This Row],[ALT_KOD]])+AVERAGEIFS(I:I,D:D,DST_123_ÜRETİM_İHTİYAÇ_RAPORU_BURAK_YENI1309[[#This Row],[ALT_KOD]])+AVERAGEIFS(L:L,D:D,DST_123_ÜRETİM_İHTİYAÇ_RAPORU_BURAK_YENI1309[[#This Row],[ALT_KOD]]))</f>
        <v>-6</v>
      </c>
      <c r="L5942">
        <v>0</v>
      </c>
      <c r="M5942">
        <f>IF((DST_123_ÜRETİM_İHTİYAÇ_RAPORU_BURAK_YENI1309[[#This Row],[SATINALMA]]*DST_123_ÜRETİM_İHTİYAÇ_RAPORU_BURAK_YENI1309[[#This Row],[BIRIM_FIYATLAR]])&lt;1,VALUE("0"),DST_123_ÜRETİM_İHTİYAÇ_RAPORU_BURAK_YENI1309[[#This Row],[SATINALMA]]*DST_123_ÜRETİM_İHTİYAÇ_RAPORU_BURAK_YENI1309[[#This Row],[BIRIM_FIYATLAR]])</f>
        <v>0</v>
      </c>
      <c r="N5942">
        <v>460</v>
      </c>
      <c r="O5942" t="s">
        <v>696</v>
      </c>
      <c r="P5942">
        <v>460</v>
      </c>
      <c r="Q5942" t="s">
        <v>178</v>
      </c>
    </row>
    <row r="5943" spans="1:17" x14ac:dyDescent="0.25">
      <c r="A5943" t="s">
        <v>1100</v>
      </c>
      <c r="B5943" t="s">
        <v>1058</v>
      </c>
      <c r="C5943" t="s">
        <v>175</v>
      </c>
      <c r="D5943" t="s">
        <v>645</v>
      </c>
      <c r="E5943" t="s">
        <v>646</v>
      </c>
      <c r="F5943">
        <v>1</v>
      </c>
      <c r="G5943" t="s">
        <v>176</v>
      </c>
      <c r="H5943">
        <v>1</v>
      </c>
      <c r="I5943">
        <v>1</v>
      </c>
      <c r="J5943" s="10">
        <v>10</v>
      </c>
      <c r="K5943" s="10">
        <f>SUMIFS(F:F,D:D,DST_123_ÜRETİM_İHTİYAÇ_RAPORU_BURAK_YENI1309[[#This Row],[ALT_KOD]])-(SUMIFS(H:H,D:D,DST_123_ÜRETİM_İHTİYAÇ_RAPORU_BURAK_YENI1309[[#This Row],[ALT_KOD]])+AVERAGEIFS(I:I,D:D,DST_123_ÜRETİM_İHTİYAÇ_RAPORU_BURAK_YENI1309[[#This Row],[ALT_KOD]])+AVERAGEIFS(L:L,D:D,DST_123_ÜRETİM_İHTİYAÇ_RAPORU_BURAK_YENI1309[[#This Row],[ALT_KOD]]))</f>
        <v>11</v>
      </c>
      <c r="L5943">
        <v>0</v>
      </c>
      <c r="M5943">
        <f>IF((DST_123_ÜRETİM_İHTİYAÇ_RAPORU_BURAK_YENI1309[[#This Row],[SATINALMA]]*DST_123_ÜRETİM_İHTİYAÇ_RAPORU_BURAK_YENI1309[[#This Row],[BIRIM_FIYATLAR]])&lt;1,VALUE("0"),DST_123_ÜRETİM_İHTİYAÇ_RAPORU_BURAK_YENI1309[[#This Row],[SATINALMA]]*DST_123_ÜRETİM_İHTİYAÇ_RAPORU_BURAK_YENI1309[[#This Row],[BIRIM_FIYATLAR]])</f>
        <v>20020</v>
      </c>
      <c r="N5943">
        <v>1820</v>
      </c>
      <c r="O5943" t="s">
        <v>262</v>
      </c>
      <c r="P5943">
        <v>1820</v>
      </c>
      <c r="Q5943" t="s">
        <v>641</v>
      </c>
    </row>
    <row r="5944" spans="1:17" x14ac:dyDescent="0.25">
      <c r="A5944" t="s">
        <v>1057</v>
      </c>
      <c r="B5944" t="s">
        <v>1058</v>
      </c>
      <c r="C5944" t="s">
        <v>175</v>
      </c>
      <c r="D5944" t="s">
        <v>243</v>
      </c>
      <c r="E5944" t="s">
        <v>244</v>
      </c>
      <c r="F5944">
        <v>1</v>
      </c>
      <c r="G5944" t="s">
        <v>176</v>
      </c>
      <c r="H5944">
        <v>1</v>
      </c>
      <c r="I5944">
        <v>18</v>
      </c>
      <c r="J5944" s="10">
        <v>9</v>
      </c>
      <c r="K5944" s="10">
        <f>SUMIFS(F:F,D:D,DST_123_ÜRETİM_İHTİYAÇ_RAPORU_BURAK_YENI1309[[#This Row],[ALT_KOD]])-(SUMIFS(H:H,D:D,DST_123_ÜRETİM_İHTİYAÇ_RAPORU_BURAK_YENI1309[[#This Row],[ALT_KOD]])+AVERAGEIFS(I:I,D:D,DST_123_ÜRETİM_İHTİYAÇ_RAPORU_BURAK_YENI1309[[#This Row],[ALT_KOD]])+AVERAGEIFS(L:L,D:D,DST_123_ÜRETİM_İHTİYAÇ_RAPORU_BURAK_YENI1309[[#This Row],[ALT_KOD]]))</f>
        <v>-10</v>
      </c>
      <c r="L5944">
        <v>0</v>
      </c>
      <c r="M5944">
        <f>IF((DST_123_ÜRETİM_İHTİYAÇ_RAPORU_BURAK_YENI1309[[#This Row],[SATINALMA]]*DST_123_ÜRETİM_İHTİYAÇ_RAPORU_BURAK_YENI1309[[#This Row],[BIRIM_FIYATLAR]])&lt;1,VALUE("0"),DST_123_ÜRETİM_İHTİYAÇ_RAPORU_BURAK_YENI1309[[#This Row],[SATINALMA]]*DST_123_ÜRETİM_İHTİYAÇ_RAPORU_BURAK_YENI1309[[#This Row],[BIRIM_FIYATLAR]])</f>
        <v>0</v>
      </c>
      <c r="N5944">
        <v>60</v>
      </c>
      <c r="O5944" t="s">
        <v>628</v>
      </c>
      <c r="P5944">
        <v>60</v>
      </c>
      <c r="Q5944" t="s">
        <v>180</v>
      </c>
    </row>
    <row r="5945" spans="1:17" x14ac:dyDescent="0.25">
      <c r="A5945" t="s">
        <v>1057</v>
      </c>
      <c r="B5945" t="s">
        <v>1058</v>
      </c>
      <c r="C5945" t="s">
        <v>175</v>
      </c>
      <c r="D5945" t="s">
        <v>645</v>
      </c>
      <c r="E5945" t="s">
        <v>646</v>
      </c>
      <c r="F5945">
        <v>1</v>
      </c>
      <c r="G5945" t="s">
        <v>176</v>
      </c>
      <c r="H5945">
        <v>1</v>
      </c>
      <c r="I5945">
        <v>1</v>
      </c>
      <c r="J5945" s="10">
        <v>10</v>
      </c>
      <c r="K5945" s="10">
        <f>SUMIFS(F:F,D:D,DST_123_ÜRETİM_İHTİYAÇ_RAPORU_BURAK_YENI1309[[#This Row],[ALT_KOD]])-(SUMIFS(H:H,D:D,DST_123_ÜRETİM_İHTİYAÇ_RAPORU_BURAK_YENI1309[[#This Row],[ALT_KOD]])+AVERAGEIFS(I:I,D:D,DST_123_ÜRETİM_İHTİYAÇ_RAPORU_BURAK_YENI1309[[#This Row],[ALT_KOD]])+AVERAGEIFS(L:L,D:D,DST_123_ÜRETİM_İHTİYAÇ_RAPORU_BURAK_YENI1309[[#This Row],[ALT_KOD]]))</f>
        <v>11</v>
      </c>
      <c r="L5945">
        <v>0</v>
      </c>
      <c r="M5945">
        <f>IF((DST_123_ÜRETİM_İHTİYAÇ_RAPORU_BURAK_YENI1309[[#This Row],[SATINALMA]]*DST_123_ÜRETİM_İHTİYAÇ_RAPORU_BURAK_YENI1309[[#This Row],[BIRIM_FIYATLAR]])&lt;1,VALUE("0"),DST_123_ÜRETİM_İHTİYAÇ_RAPORU_BURAK_YENI1309[[#This Row],[SATINALMA]]*DST_123_ÜRETİM_İHTİYAÇ_RAPORU_BURAK_YENI1309[[#This Row],[BIRIM_FIYATLAR]])</f>
        <v>20020</v>
      </c>
      <c r="N5945">
        <v>1820</v>
      </c>
      <c r="O5945" t="s">
        <v>262</v>
      </c>
      <c r="P5945">
        <v>1820</v>
      </c>
      <c r="Q5945" t="s">
        <v>641</v>
      </c>
    </row>
    <row r="5946" spans="1:17" x14ac:dyDescent="0.25">
      <c r="A5946" t="s">
        <v>1060</v>
      </c>
      <c r="B5946" t="s">
        <v>1061</v>
      </c>
      <c r="C5946" t="s">
        <v>175</v>
      </c>
      <c r="D5946" t="s">
        <v>645</v>
      </c>
      <c r="E5946" t="s">
        <v>646</v>
      </c>
      <c r="F5946">
        <v>1</v>
      </c>
      <c r="G5946" t="s">
        <v>176</v>
      </c>
      <c r="H5946">
        <v>1</v>
      </c>
      <c r="I5946">
        <v>1</v>
      </c>
      <c r="J5946" s="10">
        <v>10</v>
      </c>
      <c r="K5946" s="10">
        <f>SUMIFS(F:F,D:D,DST_123_ÜRETİM_İHTİYAÇ_RAPORU_BURAK_YENI1309[[#This Row],[ALT_KOD]])-(SUMIFS(H:H,D:D,DST_123_ÜRETİM_İHTİYAÇ_RAPORU_BURAK_YENI1309[[#This Row],[ALT_KOD]])+AVERAGEIFS(I:I,D:D,DST_123_ÜRETİM_İHTİYAÇ_RAPORU_BURAK_YENI1309[[#This Row],[ALT_KOD]])+AVERAGEIFS(L:L,D:D,DST_123_ÜRETİM_İHTİYAÇ_RAPORU_BURAK_YENI1309[[#This Row],[ALT_KOD]]))</f>
        <v>11</v>
      </c>
      <c r="L5946">
        <v>0</v>
      </c>
      <c r="M5946">
        <f>IF((DST_123_ÜRETİM_İHTİYAÇ_RAPORU_BURAK_YENI1309[[#This Row],[SATINALMA]]*DST_123_ÜRETİM_İHTİYAÇ_RAPORU_BURAK_YENI1309[[#This Row],[BIRIM_FIYATLAR]])&lt;1,VALUE("0"),DST_123_ÜRETİM_İHTİYAÇ_RAPORU_BURAK_YENI1309[[#This Row],[SATINALMA]]*DST_123_ÜRETİM_İHTİYAÇ_RAPORU_BURAK_YENI1309[[#This Row],[BIRIM_FIYATLAR]])</f>
        <v>20020</v>
      </c>
      <c r="N5946">
        <v>1820</v>
      </c>
      <c r="O5946" t="s">
        <v>262</v>
      </c>
      <c r="P5946">
        <v>1820</v>
      </c>
      <c r="Q5946" t="s">
        <v>641</v>
      </c>
    </row>
    <row r="5947" spans="1:17" x14ac:dyDescent="0.25">
      <c r="A5947" t="s">
        <v>1057</v>
      </c>
      <c r="B5947" t="s">
        <v>1058</v>
      </c>
      <c r="C5947" t="s">
        <v>175</v>
      </c>
      <c r="D5947" t="s">
        <v>957</v>
      </c>
      <c r="E5947" t="s">
        <v>958</v>
      </c>
      <c r="F5947">
        <v>1</v>
      </c>
      <c r="G5947" t="s">
        <v>176</v>
      </c>
      <c r="H5947">
        <v>1</v>
      </c>
      <c r="I5947">
        <v>2</v>
      </c>
      <c r="J5947" s="10">
        <v>1</v>
      </c>
      <c r="K5947" s="10">
        <f>SUMIFS(F:F,D:D,DST_123_ÜRETİM_İHTİYAÇ_RAPORU_BURAK_YENI1309[[#This Row],[ALT_KOD]])-(SUMIFS(H:H,D:D,DST_123_ÜRETİM_İHTİYAÇ_RAPORU_BURAK_YENI1309[[#This Row],[ALT_KOD]])+AVERAGEIFS(I:I,D:D,DST_123_ÜRETİM_İHTİYAÇ_RAPORU_BURAK_YENI1309[[#This Row],[ALT_KOD]])+AVERAGEIFS(L:L,D:D,DST_123_ÜRETİM_İHTİYAÇ_RAPORU_BURAK_YENI1309[[#This Row],[ALT_KOD]]))</f>
        <v>1</v>
      </c>
      <c r="L5947">
        <v>0</v>
      </c>
      <c r="M5947">
        <f>IF((DST_123_ÜRETİM_İHTİYAÇ_RAPORU_BURAK_YENI1309[[#This Row],[SATINALMA]]*DST_123_ÜRETİM_İHTİYAÇ_RAPORU_BURAK_YENI1309[[#This Row],[BIRIM_FIYATLAR]])&lt;1,VALUE("0"),DST_123_ÜRETİM_İHTİYAÇ_RAPORU_BURAK_YENI1309[[#This Row],[SATINALMA]]*DST_123_ÜRETİM_İHTİYAÇ_RAPORU_BURAK_YENI1309[[#This Row],[BIRIM_FIYATLAR]])</f>
        <v>11815.53</v>
      </c>
      <c r="N5947">
        <v>11815.53</v>
      </c>
      <c r="O5947" t="s">
        <v>227</v>
      </c>
      <c r="P5947">
        <v>11815.53</v>
      </c>
      <c r="Q5947" t="s">
        <v>221</v>
      </c>
    </row>
    <row r="5948" spans="1:17" x14ac:dyDescent="0.25">
      <c r="A5948" t="s">
        <v>1098</v>
      </c>
      <c r="B5948" t="s">
        <v>1096</v>
      </c>
      <c r="C5948" t="s">
        <v>175</v>
      </c>
      <c r="D5948" t="s">
        <v>565</v>
      </c>
      <c r="E5948" t="s">
        <v>566</v>
      </c>
      <c r="F5948">
        <v>2</v>
      </c>
      <c r="G5948" t="s">
        <v>176</v>
      </c>
      <c r="H5948">
        <v>0</v>
      </c>
      <c r="I5948">
        <v>26</v>
      </c>
      <c r="J5948" s="10">
        <v>46</v>
      </c>
      <c r="K5948" s="10">
        <f>SUMIFS(F:F,D:D,DST_123_ÜRETİM_İHTİYAÇ_RAPORU_BURAK_YENI1309[[#This Row],[ALT_KOD]])-(SUMIFS(H:H,D:D,DST_123_ÜRETİM_İHTİYAÇ_RAPORU_BURAK_YENI1309[[#This Row],[ALT_KOD]])+AVERAGEIFS(I:I,D:D,DST_123_ÜRETİM_İHTİYAÇ_RAPORU_BURAK_YENI1309[[#This Row],[ALT_KOD]])+AVERAGEIFS(L:L,D:D,DST_123_ÜRETİM_İHTİYAÇ_RAPORU_BURAK_YENI1309[[#This Row],[ALT_KOD]]))</f>
        <v>-10</v>
      </c>
      <c r="L5948">
        <v>0</v>
      </c>
      <c r="M5948">
        <f>IF((DST_123_ÜRETİM_İHTİYAÇ_RAPORU_BURAK_YENI1309[[#This Row],[SATINALMA]]*DST_123_ÜRETİM_İHTİYAÇ_RAPORU_BURAK_YENI1309[[#This Row],[BIRIM_FIYATLAR]])&lt;1,VALUE("0"),DST_123_ÜRETİM_İHTİYAÇ_RAPORU_BURAK_YENI1309[[#This Row],[SATINALMA]]*DST_123_ÜRETİM_İHTİYAÇ_RAPORU_BURAK_YENI1309[[#This Row],[BIRIM_FIYATLAR]])</f>
        <v>0</v>
      </c>
      <c r="N5948">
        <v>12</v>
      </c>
      <c r="O5948" t="s">
        <v>226</v>
      </c>
      <c r="P5948">
        <v>24</v>
      </c>
      <c r="Q5948" t="s">
        <v>180</v>
      </c>
    </row>
    <row r="5949" spans="1:17" x14ac:dyDescent="0.25">
      <c r="A5949" t="s">
        <v>1100</v>
      </c>
      <c r="B5949" t="s">
        <v>1058</v>
      </c>
      <c r="C5949" t="s">
        <v>175</v>
      </c>
      <c r="D5949" t="s">
        <v>268</v>
      </c>
      <c r="E5949" t="s">
        <v>588</v>
      </c>
      <c r="F5949">
        <v>1</v>
      </c>
      <c r="G5949" t="s">
        <v>176</v>
      </c>
      <c r="H5949">
        <v>1</v>
      </c>
      <c r="I5949">
        <v>1</v>
      </c>
      <c r="J5949" s="10">
        <v>11</v>
      </c>
      <c r="K5949" s="10">
        <f>SUMIFS(F:F,D:D,DST_123_ÜRETİM_İHTİYAÇ_RAPORU_BURAK_YENI1309[[#This Row],[ALT_KOD]])-(SUMIFS(H:H,D:D,DST_123_ÜRETİM_İHTİYAÇ_RAPORU_BURAK_YENI1309[[#This Row],[ALT_KOD]])+AVERAGEIFS(I:I,D:D,DST_123_ÜRETİM_İHTİYAÇ_RAPORU_BURAK_YENI1309[[#This Row],[ALT_KOD]])+AVERAGEIFS(L:L,D:D,DST_123_ÜRETİM_İHTİYAÇ_RAPORU_BURAK_YENI1309[[#This Row],[ALT_KOD]]))</f>
        <v>16</v>
      </c>
      <c r="L5949">
        <v>0</v>
      </c>
      <c r="M5949">
        <f>IF((DST_123_ÜRETİM_İHTİYAÇ_RAPORU_BURAK_YENI1309[[#This Row],[SATINALMA]]*DST_123_ÜRETİM_İHTİYAÇ_RAPORU_BURAK_YENI1309[[#This Row],[BIRIM_FIYATLAR]])&lt;1,VALUE("0"),DST_123_ÜRETİM_İHTİYAÇ_RAPORU_BURAK_YENI1309[[#This Row],[SATINALMA]]*DST_123_ÜRETİM_İHTİYAÇ_RAPORU_BURAK_YENI1309[[#This Row],[BIRIM_FIYATLAR]])</f>
        <v>212968.32000000001</v>
      </c>
      <c r="N5949">
        <v>13310.52</v>
      </c>
      <c r="O5949" t="s">
        <v>589</v>
      </c>
      <c r="P5949">
        <v>13310.52</v>
      </c>
      <c r="Q5949" t="s">
        <v>177</v>
      </c>
    </row>
    <row r="5950" spans="1:17" x14ac:dyDescent="0.25">
      <c r="A5950" t="s">
        <v>1100</v>
      </c>
      <c r="B5950" t="s">
        <v>1058</v>
      </c>
      <c r="C5950" t="s">
        <v>175</v>
      </c>
      <c r="D5950" t="s">
        <v>1043</v>
      </c>
      <c r="E5950" t="s">
        <v>1044</v>
      </c>
      <c r="F5950">
        <v>1</v>
      </c>
      <c r="G5950" t="s">
        <v>176</v>
      </c>
      <c r="H5950">
        <v>1</v>
      </c>
      <c r="I5950">
        <v>2</v>
      </c>
      <c r="J5950" s="10">
        <v>2</v>
      </c>
      <c r="K5950" s="10">
        <f>SUMIFS(F:F,D:D,DST_123_ÜRETİM_İHTİYAÇ_RAPORU_BURAK_YENI1309[[#This Row],[ALT_KOD]])-(SUMIFS(H:H,D:D,DST_123_ÜRETİM_İHTİYAÇ_RAPORU_BURAK_YENI1309[[#This Row],[ALT_KOD]])+AVERAGEIFS(I:I,D:D,DST_123_ÜRETİM_İHTİYAÇ_RAPORU_BURAK_YENI1309[[#This Row],[ALT_KOD]])+AVERAGEIFS(L:L,D:D,DST_123_ÜRETİM_İHTİYAÇ_RAPORU_BURAK_YENI1309[[#This Row],[ALT_KOD]]))</f>
        <v>-2</v>
      </c>
      <c r="L5950">
        <v>0</v>
      </c>
      <c r="M5950">
        <f>IF((DST_123_ÜRETİM_İHTİYAÇ_RAPORU_BURAK_YENI1309[[#This Row],[SATINALMA]]*DST_123_ÜRETİM_İHTİYAÇ_RAPORU_BURAK_YENI1309[[#This Row],[BIRIM_FIYATLAR]])&lt;1,VALUE("0"),DST_123_ÜRETİM_İHTİYAÇ_RAPORU_BURAK_YENI1309[[#This Row],[SATINALMA]]*DST_123_ÜRETİM_İHTİYAÇ_RAPORU_BURAK_YENI1309[[#This Row],[BIRIM_FIYATLAR]])</f>
        <v>0</v>
      </c>
      <c r="N5950">
        <v>400</v>
      </c>
      <c r="O5950" t="s">
        <v>1034</v>
      </c>
      <c r="P5950">
        <v>400</v>
      </c>
      <c r="Q5950" t="s">
        <v>178</v>
      </c>
    </row>
    <row r="5951" spans="1:17" x14ac:dyDescent="0.25">
      <c r="A5951" t="s">
        <v>1060</v>
      </c>
      <c r="B5951" t="s">
        <v>1061</v>
      </c>
      <c r="C5951" t="s">
        <v>175</v>
      </c>
      <c r="D5951" t="s">
        <v>471</v>
      </c>
      <c r="E5951" t="s">
        <v>472</v>
      </c>
      <c r="F5951">
        <v>4</v>
      </c>
      <c r="G5951" t="s">
        <v>176</v>
      </c>
      <c r="H5951">
        <v>4</v>
      </c>
      <c r="I5951">
        <v>200</v>
      </c>
      <c r="J5951" s="10">
        <v>343</v>
      </c>
      <c r="K5951" s="10">
        <f>SUMIFS(F:F,D:D,DST_123_ÜRETİM_İHTİYAÇ_RAPORU_BURAK_YENI1309[[#This Row],[ALT_KOD]])-(SUMIFS(H:H,D:D,DST_123_ÜRETİM_İHTİYAÇ_RAPORU_BURAK_YENI1309[[#This Row],[ALT_KOD]])+AVERAGEIFS(I:I,D:D,DST_123_ÜRETİM_İHTİYAÇ_RAPORU_BURAK_YENI1309[[#This Row],[ALT_KOD]])+AVERAGEIFS(L:L,D:D,DST_123_ÜRETİM_İHTİYAÇ_RAPORU_BURAK_YENI1309[[#This Row],[ALT_KOD]]))</f>
        <v>-8</v>
      </c>
      <c r="L5951">
        <v>0</v>
      </c>
      <c r="M5951">
        <f>IF((DST_123_ÜRETİM_İHTİYAÇ_RAPORU_BURAK_YENI1309[[#This Row],[SATINALMA]]*DST_123_ÜRETİM_İHTİYAÇ_RAPORU_BURAK_YENI1309[[#This Row],[BIRIM_FIYATLAR]])&lt;1,VALUE("0"),DST_123_ÜRETİM_İHTİYAÇ_RAPORU_BURAK_YENI1309[[#This Row],[SATINALMA]]*DST_123_ÜRETİM_İHTİYAÇ_RAPORU_BURAK_YENI1309[[#This Row],[BIRIM_FIYATLAR]])</f>
        <v>0</v>
      </c>
      <c r="N5951">
        <v>9</v>
      </c>
      <c r="O5951" t="s">
        <v>240</v>
      </c>
      <c r="P5951">
        <v>36</v>
      </c>
      <c r="Q5951" t="s">
        <v>180</v>
      </c>
    </row>
    <row r="5952" spans="1:17" x14ac:dyDescent="0.25">
      <c r="A5952" t="s">
        <v>1060</v>
      </c>
      <c r="B5952" t="s">
        <v>1061</v>
      </c>
      <c r="C5952" t="s">
        <v>175</v>
      </c>
      <c r="D5952" t="s">
        <v>776</v>
      </c>
      <c r="E5952" t="s">
        <v>777</v>
      </c>
      <c r="F5952">
        <v>1</v>
      </c>
      <c r="G5952" t="s">
        <v>176</v>
      </c>
      <c r="H5952">
        <v>1</v>
      </c>
      <c r="I5952">
        <v>6</v>
      </c>
      <c r="J5952" s="10">
        <v>7</v>
      </c>
      <c r="K5952" s="10">
        <f>SUMIFS(F:F,D:D,DST_123_ÜRETİM_İHTİYAÇ_RAPORU_BURAK_YENI1309[[#This Row],[ALT_KOD]])-(SUMIFS(H:H,D:D,DST_123_ÜRETİM_İHTİYAÇ_RAPORU_BURAK_YENI1309[[#This Row],[ALT_KOD]])+AVERAGEIFS(I:I,D:D,DST_123_ÜRETİM_İHTİYAÇ_RAPORU_BURAK_YENI1309[[#This Row],[ALT_KOD]])+AVERAGEIFS(L:L,D:D,DST_123_ÜRETİM_İHTİYAÇ_RAPORU_BURAK_YENI1309[[#This Row],[ALT_KOD]]))</f>
        <v>5</v>
      </c>
      <c r="L5952">
        <v>0</v>
      </c>
      <c r="M5952">
        <f>IF((DST_123_ÜRETİM_İHTİYAÇ_RAPORU_BURAK_YENI1309[[#This Row],[SATINALMA]]*DST_123_ÜRETİM_İHTİYAÇ_RAPORU_BURAK_YENI1309[[#This Row],[BIRIM_FIYATLAR]])&lt;1,VALUE("0"),DST_123_ÜRETİM_İHTİYAÇ_RAPORU_BURAK_YENI1309[[#This Row],[SATINALMA]]*DST_123_ÜRETİM_İHTİYAÇ_RAPORU_BURAK_YENI1309[[#This Row],[BIRIM_FIYATLAR]])</f>
        <v>12288.25</v>
      </c>
      <c r="N5952">
        <v>2457.65</v>
      </c>
      <c r="O5952" t="s">
        <v>634</v>
      </c>
      <c r="P5952">
        <v>2457.65</v>
      </c>
      <c r="Q5952" t="s">
        <v>177</v>
      </c>
    </row>
    <row r="5953" spans="1:17" x14ac:dyDescent="0.25">
      <c r="A5953" t="s">
        <v>1100</v>
      </c>
      <c r="B5953" t="s">
        <v>1058</v>
      </c>
      <c r="C5953" t="s">
        <v>175</v>
      </c>
      <c r="D5953" t="s">
        <v>263</v>
      </c>
      <c r="E5953" t="s">
        <v>419</v>
      </c>
      <c r="F5953">
        <v>1</v>
      </c>
      <c r="G5953" t="s">
        <v>176</v>
      </c>
      <c r="H5953">
        <v>1</v>
      </c>
      <c r="I5953">
        <v>4</v>
      </c>
      <c r="J5953" s="10">
        <v>11</v>
      </c>
      <c r="K5953" s="10">
        <f>SUMIFS(F:F,D:D,DST_123_ÜRETİM_İHTİYAÇ_RAPORU_BURAK_YENI1309[[#This Row],[ALT_KOD]])-(SUMIFS(H:H,D:D,DST_123_ÜRETİM_İHTİYAÇ_RAPORU_BURAK_YENI1309[[#This Row],[ALT_KOD]])+AVERAGEIFS(I:I,D:D,DST_123_ÜRETİM_İHTİYAÇ_RAPORU_BURAK_YENI1309[[#This Row],[ALT_KOD]])+AVERAGEIFS(L:L,D:D,DST_123_ÜRETİM_İHTİYAÇ_RAPORU_BURAK_YENI1309[[#This Row],[ALT_KOD]]))</f>
        <v>9</v>
      </c>
      <c r="L5953">
        <v>0</v>
      </c>
      <c r="M5953">
        <f>IF((DST_123_ÜRETİM_İHTİYAÇ_RAPORU_BURAK_YENI1309[[#This Row],[SATINALMA]]*DST_123_ÜRETİM_İHTİYAÇ_RAPORU_BURAK_YENI1309[[#This Row],[BIRIM_FIYATLAR]])&lt;1,VALUE("0"),DST_123_ÜRETİM_İHTİYAÇ_RAPORU_BURAK_YENI1309[[#This Row],[SATINALMA]]*DST_123_ÜRETİM_İHTİYAÇ_RAPORU_BURAK_YENI1309[[#This Row],[BIRIM_FIYATLAR]])</f>
        <v>54009.99</v>
      </c>
      <c r="N5953">
        <v>6001.11</v>
      </c>
      <c r="O5953" t="s">
        <v>227</v>
      </c>
      <c r="P5953">
        <v>6001.11</v>
      </c>
      <c r="Q5953" t="s">
        <v>221</v>
      </c>
    </row>
    <row r="5954" spans="1:17" x14ac:dyDescent="0.25">
      <c r="A5954" t="s">
        <v>1060</v>
      </c>
      <c r="B5954" t="s">
        <v>1061</v>
      </c>
      <c r="C5954" t="s">
        <v>175</v>
      </c>
      <c r="D5954" t="s">
        <v>263</v>
      </c>
      <c r="E5954" t="s">
        <v>419</v>
      </c>
      <c r="F5954">
        <v>1</v>
      </c>
      <c r="G5954" t="s">
        <v>176</v>
      </c>
      <c r="H5954">
        <v>1</v>
      </c>
      <c r="I5954">
        <v>4</v>
      </c>
      <c r="J5954" s="10">
        <v>11</v>
      </c>
      <c r="K5954" s="10">
        <f>SUMIFS(F:F,D:D,DST_123_ÜRETİM_İHTİYAÇ_RAPORU_BURAK_YENI1309[[#This Row],[ALT_KOD]])-(SUMIFS(H:H,D:D,DST_123_ÜRETİM_İHTİYAÇ_RAPORU_BURAK_YENI1309[[#This Row],[ALT_KOD]])+AVERAGEIFS(I:I,D:D,DST_123_ÜRETİM_İHTİYAÇ_RAPORU_BURAK_YENI1309[[#This Row],[ALT_KOD]])+AVERAGEIFS(L:L,D:D,DST_123_ÜRETİM_İHTİYAÇ_RAPORU_BURAK_YENI1309[[#This Row],[ALT_KOD]]))</f>
        <v>9</v>
      </c>
      <c r="L5954">
        <v>0</v>
      </c>
      <c r="M5954">
        <f>IF((DST_123_ÜRETİM_İHTİYAÇ_RAPORU_BURAK_YENI1309[[#This Row],[SATINALMA]]*DST_123_ÜRETİM_İHTİYAÇ_RAPORU_BURAK_YENI1309[[#This Row],[BIRIM_FIYATLAR]])&lt;1,VALUE("0"),DST_123_ÜRETİM_İHTİYAÇ_RAPORU_BURAK_YENI1309[[#This Row],[SATINALMA]]*DST_123_ÜRETİM_İHTİYAÇ_RAPORU_BURAK_YENI1309[[#This Row],[BIRIM_FIYATLAR]])</f>
        <v>54009.99</v>
      </c>
      <c r="N5954">
        <v>6001.11</v>
      </c>
      <c r="O5954" t="s">
        <v>227</v>
      </c>
      <c r="P5954">
        <v>6001.11</v>
      </c>
      <c r="Q5954" t="s">
        <v>221</v>
      </c>
    </row>
    <row r="5955" spans="1:17" x14ac:dyDescent="0.25">
      <c r="A5955" t="s">
        <v>1100</v>
      </c>
      <c r="B5955" t="s">
        <v>1058</v>
      </c>
      <c r="C5955" t="s">
        <v>175</v>
      </c>
      <c r="D5955" t="s">
        <v>367</v>
      </c>
      <c r="E5955" t="s">
        <v>368</v>
      </c>
      <c r="F5955">
        <v>47</v>
      </c>
      <c r="G5955" t="s">
        <v>176</v>
      </c>
      <c r="H5955">
        <v>0</v>
      </c>
      <c r="I5955">
        <v>1000</v>
      </c>
      <c r="J5955" s="10">
        <v>396</v>
      </c>
      <c r="K5955" s="10">
        <f>SUMIFS(F:F,D:D,DST_123_ÜRETİM_İHTİYAÇ_RAPORU_BURAK_YENI1309[[#This Row],[ALT_KOD]])-(SUMIFS(H:H,D:D,DST_123_ÜRETİM_İHTİYAÇ_RAPORU_BURAK_YENI1309[[#This Row],[ALT_KOD]])+AVERAGEIFS(I:I,D:D,DST_123_ÜRETİM_İHTİYAÇ_RAPORU_BURAK_YENI1309[[#This Row],[ALT_KOD]])+AVERAGEIFS(L:L,D:D,DST_123_ÜRETİM_İHTİYAÇ_RAPORU_BURAK_YENI1309[[#This Row],[ALT_KOD]]))</f>
        <v>-91</v>
      </c>
      <c r="L5955">
        <v>0</v>
      </c>
      <c r="M5955">
        <f>IF((DST_123_ÜRETİM_İHTİYAÇ_RAPORU_BURAK_YENI1309[[#This Row],[SATINALMA]]*DST_123_ÜRETİM_İHTİYAÇ_RAPORU_BURAK_YENI1309[[#This Row],[BIRIM_FIYATLAR]])&lt;1,VALUE("0"),DST_123_ÜRETİM_İHTİYAÇ_RAPORU_BURAK_YENI1309[[#This Row],[SATINALMA]]*DST_123_ÜRETİM_İHTİYAÇ_RAPORU_BURAK_YENI1309[[#This Row],[BIRIM_FIYATLAR]])</f>
        <v>0</v>
      </c>
      <c r="N5955">
        <v>12.5</v>
      </c>
      <c r="O5955" t="s">
        <v>369</v>
      </c>
      <c r="P5955">
        <v>587.5</v>
      </c>
      <c r="Q5955" t="s">
        <v>180</v>
      </c>
    </row>
    <row r="5956" spans="1:17" x14ac:dyDescent="0.25">
      <c r="A5956" t="s">
        <v>1143</v>
      </c>
      <c r="B5956" t="s">
        <v>1056</v>
      </c>
      <c r="C5956" t="s">
        <v>175</v>
      </c>
      <c r="D5956" t="s">
        <v>367</v>
      </c>
      <c r="E5956" t="s">
        <v>368</v>
      </c>
      <c r="F5956">
        <v>42</v>
      </c>
      <c r="G5956" t="s">
        <v>176</v>
      </c>
      <c r="H5956">
        <v>0</v>
      </c>
      <c r="I5956">
        <v>1000</v>
      </c>
      <c r="J5956" s="10">
        <v>396</v>
      </c>
      <c r="K5956" s="10">
        <f>SUMIFS(F:F,D:D,DST_123_ÜRETİM_İHTİYAÇ_RAPORU_BURAK_YENI1309[[#This Row],[ALT_KOD]])-(SUMIFS(H:H,D:D,DST_123_ÜRETİM_İHTİYAÇ_RAPORU_BURAK_YENI1309[[#This Row],[ALT_KOD]])+AVERAGEIFS(I:I,D:D,DST_123_ÜRETİM_İHTİYAÇ_RAPORU_BURAK_YENI1309[[#This Row],[ALT_KOD]])+AVERAGEIFS(L:L,D:D,DST_123_ÜRETİM_İHTİYAÇ_RAPORU_BURAK_YENI1309[[#This Row],[ALT_KOD]]))</f>
        <v>-91</v>
      </c>
      <c r="L5956">
        <v>0</v>
      </c>
      <c r="M5956">
        <f>IF((DST_123_ÜRETİM_İHTİYAÇ_RAPORU_BURAK_YENI1309[[#This Row],[SATINALMA]]*DST_123_ÜRETİM_İHTİYAÇ_RAPORU_BURAK_YENI1309[[#This Row],[BIRIM_FIYATLAR]])&lt;1,VALUE("0"),DST_123_ÜRETİM_İHTİYAÇ_RAPORU_BURAK_YENI1309[[#This Row],[SATINALMA]]*DST_123_ÜRETİM_İHTİYAÇ_RAPORU_BURAK_YENI1309[[#This Row],[BIRIM_FIYATLAR]])</f>
        <v>0</v>
      </c>
      <c r="N5956">
        <v>12.5</v>
      </c>
      <c r="O5956" t="s">
        <v>369</v>
      </c>
      <c r="P5956">
        <v>525</v>
      </c>
      <c r="Q5956" t="s">
        <v>180</v>
      </c>
    </row>
    <row r="5957" spans="1:17" x14ac:dyDescent="0.25">
      <c r="A5957" t="s">
        <v>1060</v>
      </c>
      <c r="B5957" t="s">
        <v>1061</v>
      </c>
      <c r="C5957" t="s">
        <v>175</v>
      </c>
      <c r="D5957" t="s">
        <v>54</v>
      </c>
      <c r="E5957" t="s">
        <v>55</v>
      </c>
      <c r="F5957">
        <v>1</v>
      </c>
      <c r="G5957" t="s">
        <v>176</v>
      </c>
      <c r="H5957">
        <v>1</v>
      </c>
      <c r="I5957">
        <v>9</v>
      </c>
      <c r="J5957" s="10">
        <v>13</v>
      </c>
      <c r="K5957" s="10">
        <f>SUMIFS(F:F,D:D,DST_123_ÜRETİM_İHTİYAÇ_RAPORU_BURAK_YENI1309[[#This Row],[ALT_KOD]])-(SUMIFS(H:H,D:D,DST_123_ÜRETİM_İHTİYAÇ_RAPORU_BURAK_YENI1309[[#This Row],[ALT_KOD]])+AVERAGEIFS(I:I,D:D,DST_123_ÜRETİM_İHTİYAÇ_RAPORU_BURAK_YENI1309[[#This Row],[ALT_KOD]])+AVERAGEIFS(L:L,D:D,DST_123_ÜRETİM_İHTİYAÇ_RAPORU_BURAK_YENI1309[[#This Row],[ALT_KOD]]))</f>
        <v>-1</v>
      </c>
      <c r="L5957">
        <v>4</v>
      </c>
      <c r="M5957">
        <f>IF((DST_123_ÜRETİM_İHTİYAÇ_RAPORU_BURAK_YENI1309[[#This Row],[SATINALMA]]*DST_123_ÜRETİM_İHTİYAÇ_RAPORU_BURAK_YENI1309[[#This Row],[BIRIM_FIYATLAR]])&lt;1,VALUE("0"),DST_123_ÜRETİM_İHTİYAÇ_RAPORU_BURAK_YENI1309[[#This Row],[SATINALMA]]*DST_123_ÜRETİM_İHTİYAÇ_RAPORU_BURAK_YENI1309[[#This Row],[BIRIM_FIYATLAR]])</f>
        <v>0</v>
      </c>
      <c r="N5957">
        <v>1600</v>
      </c>
      <c r="O5957" t="s">
        <v>217</v>
      </c>
      <c r="P5957">
        <v>1600</v>
      </c>
      <c r="Q5957" t="s">
        <v>221</v>
      </c>
    </row>
    <row r="5958" spans="1:17" x14ac:dyDescent="0.25">
      <c r="A5958" t="s">
        <v>1059</v>
      </c>
      <c r="B5958" t="s">
        <v>1058</v>
      </c>
      <c r="C5958" t="s">
        <v>175</v>
      </c>
      <c r="D5958" t="s">
        <v>58</v>
      </c>
      <c r="E5958" t="s">
        <v>59</v>
      </c>
      <c r="F5958">
        <v>1</v>
      </c>
      <c r="G5958" t="s">
        <v>176</v>
      </c>
      <c r="H5958">
        <v>1</v>
      </c>
      <c r="I5958">
        <v>17</v>
      </c>
      <c r="J5958" s="10">
        <v>11</v>
      </c>
      <c r="K5958" s="10">
        <f>SUMIFS(F:F,D:D,DST_123_ÜRETİM_İHTİYAÇ_RAPORU_BURAK_YENI1309[[#This Row],[ALT_KOD]])-(SUMIFS(H:H,D:D,DST_123_ÜRETİM_İHTİYAÇ_RAPORU_BURAK_YENI1309[[#This Row],[ALT_KOD]])+AVERAGEIFS(I:I,D:D,DST_123_ÜRETİM_İHTİYAÇ_RAPORU_BURAK_YENI1309[[#This Row],[ALT_KOD]])+AVERAGEIFS(L:L,D:D,DST_123_ÜRETİM_İHTİYAÇ_RAPORU_BURAK_YENI1309[[#This Row],[ALT_KOD]]))</f>
        <v>-5</v>
      </c>
      <c r="L5958">
        <v>0</v>
      </c>
      <c r="M5958">
        <f>IF((DST_123_ÜRETİM_İHTİYAÇ_RAPORU_BURAK_YENI1309[[#This Row],[SATINALMA]]*DST_123_ÜRETİM_İHTİYAÇ_RAPORU_BURAK_YENI1309[[#This Row],[BIRIM_FIYATLAR]])&lt;1,VALUE("0"),DST_123_ÜRETİM_İHTİYAÇ_RAPORU_BURAK_YENI1309[[#This Row],[SATINALMA]]*DST_123_ÜRETİM_İHTİYAÇ_RAPORU_BURAK_YENI1309[[#This Row],[BIRIM_FIYATLAR]])</f>
        <v>0</v>
      </c>
      <c r="N5958">
        <v>1094.4000000000001</v>
      </c>
      <c r="O5958" t="s">
        <v>826</v>
      </c>
      <c r="P5958">
        <v>1094.4000000000001</v>
      </c>
      <c r="Q5958" t="s">
        <v>221</v>
      </c>
    </row>
    <row r="5959" spans="1:17" x14ac:dyDescent="0.25">
      <c r="A5959" t="s">
        <v>1059</v>
      </c>
      <c r="B5959" t="s">
        <v>1058</v>
      </c>
      <c r="C5959" t="s">
        <v>175</v>
      </c>
      <c r="D5959" t="s">
        <v>110</v>
      </c>
      <c r="E5959" t="s">
        <v>111</v>
      </c>
      <c r="F5959">
        <v>1</v>
      </c>
      <c r="G5959" t="s">
        <v>176</v>
      </c>
      <c r="H5959">
        <v>1</v>
      </c>
      <c r="I5959">
        <v>0</v>
      </c>
      <c r="J5959" s="10">
        <v>10</v>
      </c>
      <c r="K5959" s="10">
        <f>SUMIFS(F:F,D:D,DST_123_ÜRETİM_İHTİYAÇ_RAPORU_BURAK_YENI1309[[#This Row],[ALT_KOD]])-(SUMIFS(H:H,D:D,DST_123_ÜRETİM_İHTİYAÇ_RAPORU_BURAK_YENI1309[[#This Row],[ALT_KOD]])+AVERAGEIFS(I:I,D:D,DST_123_ÜRETİM_İHTİYAÇ_RAPORU_BURAK_YENI1309[[#This Row],[ALT_KOD]])+AVERAGEIFS(L:L,D:D,DST_123_ÜRETİM_İHTİYAÇ_RAPORU_BURAK_YENI1309[[#This Row],[ALT_KOD]]))</f>
        <v>0</v>
      </c>
      <c r="L5959">
        <v>11</v>
      </c>
      <c r="M5959">
        <f>IF((DST_123_ÜRETİM_İHTİYAÇ_RAPORU_BURAK_YENI1309[[#This Row],[SATINALMA]]*DST_123_ÜRETİM_İHTİYAÇ_RAPORU_BURAK_YENI1309[[#This Row],[BIRIM_FIYATLAR]])&lt;1,VALUE("0"),DST_123_ÜRETİM_İHTİYAÇ_RAPORU_BURAK_YENI1309[[#This Row],[SATINALMA]]*DST_123_ÜRETİM_İHTİYAÇ_RAPORU_BURAK_YENI1309[[#This Row],[BIRIM_FIYATLAR]])</f>
        <v>0</v>
      </c>
      <c r="N5959">
        <v>675</v>
      </c>
      <c r="O5959" t="s">
        <v>632</v>
      </c>
      <c r="P5959">
        <v>675</v>
      </c>
      <c r="Q5959" t="s">
        <v>177</v>
      </c>
    </row>
    <row r="5960" spans="1:17" x14ac:dyDescent="0.25">
      <c r="A5960" t="s">
        <v>1098</v>
      </c>
      <c r="B5960" t="s">
        <v>1096</v>
      </c>
      <c r="C5960" t="s">
        <v>175</v>
      </c>
      <c r="D5960" t="s">
        <v>670</v>
      </c>
      <c r="E5960" t="s">
        <v>671</v>
      </c>
      <c r="F5960">
        <v>1</v>
      </c>
      <c r="G5960" t="s">
        <v>176</v>
      </c>
      <c r="H5960">
        <v>1</v>
      </c>
      <c r="I5960">
        <v>12</v>
      </c>
      <c r="J5960" s="10">
        <v>13</v>
      </c>
      <c r="K5960" s="10">
        <f>SUMIFS(F:F,D:D,DST_123_ÜRETİM_İHTİYAÇ_RAPORU_BURAK_YENI1309[[#This Row],[ALT_KOD]])-(SUMIFS(H:H,D:D,DST_123_ÜRETİM_İHTİYAÇ_RAPORU_BURAK_YENI1309[[#This Row],[ALT_KOD]])+AVERAGEIFS(I:I,D:D,DST_123_ÜRETİM_İHTİYAÇ_RAPORU_BURAK_YENI1309[[#This Row],[ALT_KOD]])+AVERAGEIFS(L:L,D:D,DST_123_ÜRETİM_İHTİYAÇ_RAPORU_BURAK_YENI1309[[#This Row],[ALT_KOD]]))</f>
        <v>-5</v>
      </c>
      <c r="L5960">
        <v>0</v>
      </c>
      <c r="M5960">
        <f>IF((DST_123_ÜRETİM_İHTİYAÇ_RAPORU_BURAK_YENI1309[[#This Row],[SATINALMA]]*DST_123_ÜRETİM_İHTİYAÇ_RAPORU_BURAK_YENI1309[[#This Row],[BIRIM_FIYATLAR]])&lt;1,VALUE("0"),DST_123_ÜRETİM_İHTİYAÇ_RAPORU_BURAK_YENI1309[[#This Row],[SATINALMA]]*DST_123_ÜRETİM_İHTİYAÇ_RAPORU_BURAK_YENI1309[[#This Row],[BIRIM_FIYATLAR]])</f>
        <v>0</v>
      </c>
      <c r="N5960">
        <v>28339.38</v>
      </c>
      <c r="O5960" t="s">
        <v>214</v>
      </c>
      <c r="P5960">
        <v>28339.38</v>
      </c>
      <c r="Q5960" t="s">
        <v>177</v>
      </c>
    </row>
    <row r="5961" spans="1:17" x14ac:dyDescent="0.25">
      <c r="A5961" t="s">
        <v>1100</v>
      </c>
      <c r="B5961" t="s">
        <v>1058</v>
      </c>
      <c r="C5961" t="s">
        <v>175</v>
      </c>
      <c r="D5961" t="s">
        <v>670</v>
      </c>
      <c r="E5961" t="s">
        <v>671</v>
      </c>
      <c r="F5961">
        <v>1</v>
      </c>
      <c r="G5961" t="s">
        <v>176</v>
      </c>
      <c r="H5961">
        <v>1</v>
      </c>
      <c r="I5961">
        <v>12</v>
      </c>
      <c r="J5961" s="10">
        <v>13</v>
      </c>
      <c r="K5961" s="10">
        <f>SUMIFS(F:F,D:D,DST_123_ÜRETİM_İHTİYAÇ_RAPORU_BURAK_YENI1309[[#This Row],[ALT_KOD]])-(SUMIFS(H:H,D:D,DST_123_ÜRETİM_İHTİYAÇ_RAPORU_BURAK_YENI1309[[#This Row],[ALT_KOD]])+AVERAGEIFS(I:I,D:D,DST_123_ÜRETİM_İHTİYAÇ_RAPORU_BURAK_YENI1309[[#This Row],[ALT_KOD]])+AVERAGEIFS(L:L,D:D,DST_123_ÜRETİM_İHTİYAÇ_RAPORU_BURAK_YENI1309[[#This Row],[ALT_KOD]]))</f>
        <v>-5</v>
      </c>
      <c r="L5961">
        <v>0</v>
      </c>
      <c r="M5961">
        <f>IF((DST_123_ÜRETİM_İHTİYAÇ_RAPORU_BURAK_YENI1309[[#This Row],[SATINALMA]]*DST_123_ÜRETİM_İHTİYAÇ_RAPORU_BURAK_YENI1309[[#This Row],[BIRIM_FIYATLAR]])&lt;1,VALUE("0"),DST_123_ÜRETİM_İHTİYAÇ_RAPORU_BURAK_YENI1309[[#This Row],[SATINALMA]]*DST_123_ÜRETİM_İHTİYAÇ_RAPORU_BURAK_YENI1309[[#This Row],[BIRIM_FIYATLAR]])</f>
        <v>0</v>
      </c>
      <c r="N5961">
        <v>28339.38</v>
      </c>
      <c r="O5961" t="s">
        <v>214</v>
      </c>
      <c r="P5961">
        <v>28339.38</v>
      </c>
      <c r="Q5961" t="s">
        <v>177</v>
      </c>
    </row>
    <row r="5962" spans="1:17" x14ac:dyDescent="0.25">
      <c r="A5962" t="s">
        <v>1100</v>
      </c>
      <c r="B5962" t="s">
        <v>1058</v>
      </c>
      <c r="C5962" t="s">
        <v>175</v>
      </c>
      <c r="D5962" t="s">
        <v>1041</v>
      </c>
      <c r="E5962" t="s">
        <v>1042</v>
      </c>
      <c r="F5962">
        <v>1</v>
      </c>
      <c r="G5962" t="s">
        <v>176</v>
      </c>
      <c r="H5962">
        <v>1</v>
      </c>
      <c r="I5962">
        <v>2</v>
      </c>
      <c r="J5962" s="10">
        <v>2</v>
      </c>
      <c r="K5962" s="10">
        <f>SUMIFS(F:F,D:D,DST_123_ÜRETİM_İHTİYAÇ_RAPORU_BURAK_YENI1309[[#This Row],[ALT_KOD]])-(SUMIFS(H:H,D:D,DST_123_ÜRETİM_İHTİYAÇ_RAPORU_BURAK_YENI1309[[#This Row],[ALT_KOD]])+AVERAGEIFS(I:I,D:D,DST_123_ÜRETİM_İHTİYAÇ_RAPORU_BURAK_YENI1309[[#This Row],[ALT_KOD]])+AVERAGEIFS(L:L,D:D,DST_123_ÜRETİM_İHTİYAÇ_RAPORU_BURAK_YENI1309[[#This Row],[ALT_KOD]]))</f>
        <v>-2</v>
      </c>
      <c r="L5962">
        <v>0</v>
      </c>
      <c r="M5962">
        <f>IF((DST_123_ÜRETİM_İHTİYAÇ_RAPORU_BURAK_YENI1309[[#This Row],[SATINALMA]]*DST_123_ÜRETİM_İHTİYAÇ_RAPORU_BURAK_YENI1309[[#This Row],[BIRIM_FIYATLAR]])&lt;1,VALUE("0"),DST_123_ÜRETİM_İHTİYAÇ_RAPORU_BURAK_YENI1309[[#This Row],[SATINALMA]]*DST_123_ÜRETİM_İHTİYAÇ_RAPORU_BURAK_YENI1309[[#This Row],[BIRIM_FIYATLAR]])</f>
        <v>0</v>
      </c>
      <c r="N5962">
        <v>400</v>
      </c>
      <c r="O5962" t="s">
        <v>1034</v>
      </c>
      <c r="P5962">
        <v>400</v>
      </c>
      <c r="Q5962" t="s">
        <v>178</v>
      </c>
    </row>
    <row r="5963" spans="1:17" x14ac:dyDescent="0.25">
      <c r="A5963" t="s">
        <v>1101</v>
      </c>
      <c r="B5963" t="s">
        <v>1102</v>
      </c>
      <c r="C5963" t="s">
        <v>175</v>
      </c>
      <c r="D5963" t="s">
        <v>241</v>
      </c>
      <c r="E5963" t="s">
        <v>242</v>
      </c>
      <c r="F5963">
        <v>1.35</v>
      </c>
      <c r="G5963" t="s">
        <v>176</v>
      </c>
      <c r="H5963">
        <v>1.35</v>
      </c>
      <c r="I5963">
        <v>49</v>
      </c>
      <c r="J5963" s="10">
        <v>1.6000000000000005</v>
      </c>
      <c r="K5963" s="10">
        <f>SUMIFS(F:F,D:D,DST_123_ÜRETİM_İHTİYAÇ_RAPORU_BURAK_YENI1309[[#This Row],[ALT_KOD]])-(SUMIFS(H:H,D:D,DST_123_ÜRETİM_İHTİYAÇ_RAPORU_BURAK_YENI1309[[#This Row],[ALT_KOD]])+AVERAGEIFS(I:I,D:D,DST_123_ÜRETİM_İHTİYAÇ_RAPORU_BURAK_YENI1309[[#This Row],[ALT_KOD]])+AVERAGEIFS(L:L,D:D,DST_123_ÜRETİM_İHTİYAÇ_RAPORU_BURAK_YENI1309[[#This Row],[ALT_KOD]]))</f>
        <v>-37.599999999999994</v>
      </c>
      <c r="L5963">
        <v>0</v>
      </c>
      <c r="M5963">
        <f>IF((DST_123_ÜRETİM_İHTİYAÇ_RAPORU_BURAK_YENI1309[[#This Row],[SATINALMA]]*DST_123_ÜRETİM_İHTİYAÇ_RAPORU_BURAK_YENI1309[[#This Row],[BIRIM_FIYATLAR]])&lt;1,VALUE("0"),DST_123_ÜRETİM_İHTİYAÇ_RAPORU_BURAK_YENI1309[[#This Row],[SATINALMA]]*DST_123_ÜRETİM_İHTİYAÇ_RAPORU_BURAK_YENI1309[[#This Row],[BIRIM_FIYATLAR]])</f>
        <v>0</v>
      </c>
      <c r="N5963">
        <v>60</v>
      </c>
      <c r="O5963" t="s">
        <v>490</v>
      </c>
      <c r="P5963">
        <v>81</v>
      </c>
      <c r="Q5963" t="s">
        <v>180</v>
      </c>
    </row>
    <row r="5964" spans="1:17" x14ac:dyDescent="0.25">
      <c r="A5964" t="s">
        <v>1101</v>
      </c>
      <c r="B5964" t="s">
        <v>1102</v>
      </c>
      <c r="C5964" t="s">
        <v>175</v>
      </c>
      <c r="D5964" t="s">
        <v>653</v>
      </c>
      <c r="E5964" t="s">
        <v>654</v>
      </c>
      <c r="F5964">
        <v>0.2</v>
      </c>
      <c r="G5964" t="s">
        <v>185</v>
      </c>
      <c r="H5964">
        <v>0.2</v>
      </c>
      <c r="I5964">
        <v>0</v>
      </c>
      <c r="J5964" s="10">
        <v>2.6000000000000014</v>
      </c>
      <c r="K5964" s="10">
        <f>SUMIFS(F:F,D:D,DST_123_ÜRETİM_İHTİYAÇ_RAPORU_BURAK_YENI1309[[#This Row],[ALT_KOD]])-(SUMIFS(H:H,D:D,DST_123_ÜRETİM_İHTİYAÇ_RAPORU_BURAK_YENI1309[[#This Row],[ALT_KOD]])+AVERAGEIFS(I:I,D:D,DST_123_ÜRETİM_İHTİYAÇ_RAPORU_BURAK_YENI1309[[#This Row],[ALT_KOD]])+AVERAGEIFS(L:L,D:D,DST_123_ÜRETİM_İHTİYAÇ_RAPORU_BURAK_YENI1309[[#This Row],[ALT_KOD]]))</f>
        <v>0.29999999999999982</v>
      </c>
      <c r="L5964">
        <v>0</v>
      </c>
      <c r="M5964">
        <f>IF((DST_123_ÜRETİM_İHTİYAÇ_RAPORU_BURAK_YENI1309[[#This Row],[SATINALMA]]*DST_123_ÜRETİM_İHTİYAÇ_RAPORU_BURAK_YENI1309[[#This Row],[BIRIM_FIYATLAR]])&lt;1,VALUE("0"),DST_123_ÜRETİM_İHTİYAÇ_RAPORU_BURAK_YENI1309[[#This Row],[SATINALMA]]*DST_123_ÜRETİM_İHTİYAÇ_RAPORU_BURAK_YENI1309[[#This Row],[BIRIM_FIYATLAR]])</f>
        <v>193.70099999999988</v>
      </c>
      <c r="N5964">
        <v>645.66999999999996</v>
      </c>
      <c r="O5964" t="s">
        <v>490</v>
      </c>
      <c r="P5964">
        <v>129.13399999999999</v>
      </c>
      <c r="Q5964" t="s">
        <v>183</v>
      </c>
    </row>
    <row r="5965" spans="1:17" x14ac:dyDescent="0.25">
      <c r="A5965" t="s">
        <v>1150</v>
      </c>
      <c r="B5965" t="s">
        <v>1145</v>
      </c>
      <c r="C5965" t="s">
        <v>175</v>
      </c>
      <c r="D5965" t="s">
        <v>359</v>
      </c>
      <c r="E5965" t="s">
        <v>360</v>
      </c>
      <c r="F5965">
        <v>2</v>
      </c>
      <c r="G5965" t="s">
        <v>176</v>
      </c>
      <c r="H5965">
        <v>0</v>
      </c>
      <c r="I5965">
        <v>14472</v>
      </c>
      <c r="J5965" s="10">
        <v>3376</v>
      </c>
      <c r="K5965" s="10">
        <f>SUMIFS(F:F,D:D,DST_123_ÜRETİM_İHTİYAÇ_RAPORU_BURAK_YENI1309[[#This Row],[ALT_KOD]])-(SUMIFS(H:H,D:D,DST_123_ÜRETİM_İHTİYAÇ_RAPORU_BURAK_YENI1309[[#This Row],[ALT_KOD]])+AVERAGEIFS(I:I,D:D,DST_123_ÜRETİM_İHTİYAÇ_RAPORU_BURAK_YENI1309[[#This Row],[ALT_KOD]])+AVERAGEIFS(L:L,D:D,DST_123_ÜRETİM_İHTİYAÇ_RAPORU_BURAK_YENI1309[[#This Row],[ALT_KOD]]))</f>
        <v>-14340</v>
      </c>
      <c r="L5965">
        <v>0</v>
      </c>
      <c r="M5965">
        <f>IF((DST_123_ÜRETİM_İHTİYAÇ_RAPORU_BURAK_YENI1309[[#This Row],[SATINALMA]]*DST_123_ÜRETİM_İHTİYAÇ_RAPORU_BURAK_YENI1309[[#This Row],[BIRIM_FIYATLAR]])&lt;1,VALUE("0"),DST_123_ÜRETİM_İHTİYAÇ_RAPORU_BURAK_YENI1309[[#This Row],[SATINALMA]]*DST_123_ÜRETİM_İHTİYAÇ_RAPORU_BURAK_YENI1309[[#This Row],[BIRIM_FIYATLAR]])</f>
        <v>0</v>
      </c>
      <c r="N5965">
        <v>0.04</v>
      </c>
      <c r="P5965">
        <v>0.08</v>
      </c>
      <c r="Q5965" t="s">
        <v>180</v>
      </c>
    </row>
    <row r="5966" spans="1:17" x14ac:dyDescent="0.25">
      <c r="A5966" t="s">
        <v>1143</v>
      </c>
      <c r="B5966" t="s">
        <v>1056</v>
      </c>
      <c r="C5966" t="s">
        <v>175</v>
      </c>
      <c r="D5966" t="s">
        <v>359</v>
      </c>
      <c r="E5966" t="s">
        <v>360</v>
      </c>
      <c r="F5966">
        <v>2</v>
      </c>
      <c r="G5966" t="s">
        <v>176</v>
      </c>
      <c r="H5966">
        <v>0</v>
      </c>
      <c r="I5966">
        <v>14472</v>
      </c>
      <c r="J5966" s="10">
        <v>3376</v>
      </c>
      <c r="K5966" s="10">
        <f>SUMIFS(F:F,D:D,DST_123_ÜRETİM_İHTİYAÇ_RAPORU_BURAK_YENI1309[[#This Row],[ALT_KOD]])-(SUMIFS(H:H,D:D,DST_123_ÜRETİM_İHTİYAÇ_RAPORU_BURAK_YENI1309[[#This Row],[ALT_KOD]])+AVERAGEIFS(I:I,D:D,DST_123_ÜRETİM_İHTİYAÇ_RAPORU_BURAK_YENI1309[[#This Row],[ALT_KOD]])+AVERAGEIFS(L:L,D:D,DST_123_ÜRETİM_İHTİYAÇ_RAPORU_BURAK_YENI1309[[#This Row],[ALT_KOD]]))</f>
        <v>-14340</v>
      </c>
      <c r="L5966">
        <v>0</v>
      </c>
      <c r="M5966">
        <f>IF((DST_123_ÜRETİM_İHTİYAÇ_RAPORU_BURAK_YENI1309[[#This Row],[SATINALMA]]*DST_123_ÜRETİM_İHTİYAÇ_RAPORU_BURAK_YENI1309[[#This Row],[BIRIM_FIYATLAR]])&lt;1,VALUE("0"),DST_123_ÜRETİM_İHTİYAÇ_RAPORU_BURAK_YENI1309[[#This Row],[SATINALMA]]*DST_123_ÜRETİM_İHTİYAÇ_RAPORU_BURAK_YENI1309[[#This Row],[BIRIM_FIYATLAR]])</f>
        <v>0</v>
      </c>
      <c r="N5966">
        <v>0.04</v>
      </c>
      <c r="P5966">
        <v>0.08</v>
      </c>
      <c r="Q5966" t="s">
        <v>180</v>
      </c>
    </row>
    <row r="5967" spans="1:17" x14ac:dyDescent="0.25">
      <c r="A5967" t="s">
        <v>1059</v>
      </c>
      <c r="B5967" t="s">
        <v>1058</v>
      </c>
      <c r="C5967" t="s">
        <v>175</v>
      </c>
      <c r="D5967" t="s">
        <v>844</v>
      </c>
      <c r="E5967" t="s">
        <v>845</v>
      </c>
      <c r="F5967">
        <v>3</v>
      </c>
      <c r="G5967" t="s">
        <v>176</v>
      </c>
      <c r="H5967">
        <v>3</v>
      </c>
      <c r="I5967">
        <v>36</v>
      </c>
      <c r="J5967" s="10">
        <v>26</v>
      </c>
      <c r="K5967" s="10">
        <f>SUMIFS(F:F,D:D,DST_123_ÜRETİM_İHTİYAÇ_RAPORU_BURAK_YENI1309[[#This Row],[ALT_KOD]])-(SUMIFS(H:H,D:D,DST_123_ÜRETİM_İHTİYAÇ_RAPORU_BURAK_YENI1309[[#This Row],[ALT_KOD]])+AVERAGEIFS(I:I,D:D,DST_123_ÜRETİM_İHTİYAÇ_RAPORU_BURAK_YENI1309[[#This Row],[ALT_KOD]])+AVERAGEIFS(L:L,D:D,DST_123_ÜRETİM_İHTİYAÇ_RAPORU_BURAK_YENI1309[[#This Row],[ALT_KOD]]))</f>
        <v>1</v>
      </c>
      <c r="L5967">
        <v>0</v>
      </c>
      <c r="M5967">
        <f>IF((DST_123_ÜRETİM_İHTİYAÇ_RAPORU_BURAK_YENI1309[[#This Row],[SATINALMA]]*DST_123_ÜRETİM_İHTİYAÇ_RAPORU_BURAK_YENI1309[[#This Row],[BIRIM_FIYATLAR]])&lt;1,VALUE("0"),DST_123_ÜRETİM_İHTİYAÇ_RAPORU_BURAK_YENI1309[[#This Row],[SATINALMA]]*DST_123_ÜRETİM_İHTİYAÇ_RAPORU_BURAK_YENI1309[[#This Row],[BIRIM_FIYATLAR]])</f>
        <v>348.7</v>
      </c>
      <c r="N5967">
        <v>348.7</v>
      </c>
      <c r="O5967" t="s">
        <v>636</v>
      </c>
      <c r="P5967">
        <v>1046.0999999999999</v>
      </c>
      <c r="Q5967" t="s">
        <v>177</v>
      </c>
    </row>
    <row r="5968" spans="1:17" x14ac:dyDescent="0.25">
      <c r="A5968" t="s">
        <v>1059</v>
      </c>
      <c r="B5968" t="s">
        <v>1058</v>
      </c>
      <c r="C5968" t="s">
        <v>175</v>
      </c>
      <c r="D5968" t="s">
        <v>1035</v>
      </c>
      <c r="E5968" t="s">
        <v>1036</v>
      </c>
      <c r="F5968">
        <v>1</v>
      </c>
      <c r="G5968" t="s">
        <v>176</v>
      </c>
      <c r="H5968">
        <v>1</v>
      </c>
      <c r="I5968">
        <v>19</v>
      </c>
      <c r="J5968" s="10">
        <v>4</v>
      </c>
      <c r="K5968" s="10">
        <f>SUMIFS(F:F,D:D,DST_123_ÜRETİM_İHTİYAÇ_RAPORU_BURAK_YENI1309[[#This Row],[ALT_KOD]])-(SUMIFS(H:H,D:D,DST_123_ÜRETİM_İHTİYAÇ_RAPORU_BURAK_YENI1309[[#This Row],[ALT_KOD]])+AVERAGEIFS(I:I,D:D,DST_123_ÜRETİM_İHTİYAÇ_RAPORU_BURAK_YENI1309[[#This Row],[ALT_KOD]])+AVERAGEIFS(L:L,D:D,DST_123_ÜRETİM_İHTİYAÇ_RAPORU_BURAK_YENI1309[[#This Row],[ALT_KOD]]))</f>
        <v>-12</v>
      </c>
      <c r="L5968">
        <v>0</v>
      </c>
      <c r="M5968">
        <f>IF((DST_123_ÜRETİM_İHTİYAÇ_RAPORU_BURAK_YENI1309[[#This Row],[SATINALMA]]*DST_123_ÜRETİM_İHTİYAÇ_RAPORU_BURAK_YENI1309[[#This Row],[BIRIM_FIYATLAR]])&lt;1,VALUE("0"),DST_123_ÜRETİM_İHTİYAÇ_RAPORU_BURAK_YENI1309[[#This Row],[SATINALMA]]*DST_123_ÜRETİM_İHTİYAÇ_RAPORU_BURAK_YENI1309[[#This Row],[BIRIM_FIYATLAR]])</f>
        <v>0</v>
      </c>
      <c r="N5968">
        <v>85</v>
      </c>
      <c r="O5968" t="s">
        <v>821</v>
      </c>
      <c r="P5968">
        <v>85</v>
      </c>
      <c r="Q5968" t="s">
        <v>178</v>
      </c>
    </row>
    <row r="5969" spans="1:17" x14ac:dyDescent="0.25">
      <c r="A5969" t="s">
        <v>1100</v>
      </c>
      <c r="B5969" t="s">
        <v>1058</v>
      </c>
      <c r="C5969" t="s">
        <v>175</v>
      </c>
      <c r="D5969" t="s">
        <v>278</v>
      </c>
      <c r="E5969" t="s">
        <v>317</v>
      </c>
      <c r="F5969">
        <v>1</v>
      </c>
      <c r="G5969" t="s">
        <v>176</v>
      </c>
      <c r="H5969">
        <v>1</v>
      </c>
      <c r="I5969">
        <v>27</v>
      </c>
      <c r="J5969" s="10">
        <v>4</v>
      </c>
      <c r="K5969" s="10">
        <f>SUMIFS(F:F,D:D,DST_123_ÜRETİM_İHTİYAÇ_RAPORU_BURAK_YENI1309[[#This Row],[ALT_KOD]])-(SUMIFS(H:H,D:D,DST_123_ÜRETİM_İHTİYAÇ_RAPORU_BURAK_YENI1309[[#This Row],[ALT_KOD]])+AVERAGEIFS(I:I,D:D,DST_123_ÜRETİM_İHTİYAÇ_RAPORU_BURAK_YENI1309[[#This Row],[ALT_KOD]])+AVERAGEIFS(L:L,D:D,DST_123_ÜRETİM_İHTİYAÇ_RAPORU_BURAK_YENI1309[[#This Row],[ALT_KOD]]))</f>
        <v>-20</v>
      </c>
      <c r="L5969">
        <v>0</v>
      </c>
      <c r="M5969">
        <f>IF((DST_123_ÜRETİM_İHTİYAÇ_RAPORU_BURAK_YENI1309[[#This Row],[SATINALMA]]*DST_123_ÜRETİM_İHTİYAÇ_RAPORU_BURAK_YENI1309[[#This Row],[BIRIM_FIYATLAR]])&lt;1,VALUE("0"),DST_123_ÜRETİM_İHTİYAÇ_RAPORU_BURAK_YENI1309[[#This Row],[SATINALMA]]*DST_123_ÜRETİM_İHTİYAÇ_RAPORU_BURAK_YENI1309[[#This Row],[BIRIM_FIYATLAR]])</f>
        <v>0</v>
      </c>
      <c r="N5969">
        <v>287.13</v>
      </c>
      <c r="O5969" t="s">
        <v>636</v>
      </c>
      <c r="P5969">
        <v>287.13</v>
      </c>
      <c r="Q5969" t="s">
        <v>178</v>
      </c>
    </row>
    <row r="5970" spans="1:17" x14ac:dyDescent="0.25">
      <c r="A5970" t="s">
        <v>1060</v>
      </c>
      <c r="B5970" t="s">
        <v>1061</v>
      </c>
      <c r="C5970" t="s">
        <v>175</v>
      </c>
      <c r="D5970" t="s">
        <v>278</v>
      </c>
      <c r="E5970" t="s">
        <v>317</v>
      </c>
      <c r="F5970">
        <v>1</v>
      </c>
      <c r="G5970" t="s">
        <v>176</v>
      </c>
      <c r="H5970">
        <v>1</v>
      </c>
      <c r="I5970">
        <v>27</v>
      </c>
      <c r="J5970" s="10">
        <v>4</v>
      </c>
      <c r="K5970" s="10">
        <f>SUMIFS(F:F,D:D,DST_123_ÜRETİM_İHTİYAÇ_RAPORU_BURAK_YENI1309[[#This Row],[ALT_KOD]])-(SUMIFS(H:H,D:D,DST_123_ÜRETİM_İHTİYAÇ_RAPORU_BURAK_YENI1309[[#This Row],[ALT_KOD]])+AVERAGEIFS(I:I,D:D,DST_123_ÜRETİM_İHTİYAÇ_RAPORU_BURAK_YENI1309[[#This Row],[ALT_KOD]])+AVERAGEIFS(L:L,D:D,DST_123_ÜRETİM_İHTİYAÇ_RAPORU_BURAK_YENI1309[[#This Row],[ALT_KOD]]))</f>
        <v>-20</v>
      </c>
      <c r="L5970">
        <v>0</v>
      </c>
      <c r="M5970">
        <f>IF((DST_123_ÜRETİM_İHTİYAÇ_RAPORU_BURAK_YENI1309[[#This Row],[SATINALMA]]*DST_123_ÜRETİM_İHTİYAÇ_RAPORU_BURAK_YENI1309[[#This Row],[BIRIM_FIYATLAR]])&lt;1,VALUE("0"),DST_123_ÜRETİM_İHTİYAÇ_RAPORU_BURAK_YENI1309[[#This Row],[SATINALMA]]*DST_123_ÜRETİM_İHTİYAÇ_RAPORU_BURAK_YENI1309[[#This Row],[BIRIM_FIYATLAR]])</f>
        <v>0</v>
      </c>
      <c r="N5970">
        <v>287.13</v>
      </c>
      <c r="O5970" t="s">
        <v>636</v>
      </c>
      <c r="P5970">
        <v>287.13</v>
      </c>
      <c r="Q5970" t="s">
        <v>178</v>
      </c>
    </row>
    <row r="5971" spans="1:17" x14ac:dyDescent="0.25">
      <c r="A5971" t="s">
        <v>1150</v>
      </c>
      <c r="B5971" t="s">
        <v>1145</v>
      </c>
      <c r="C5971" t="s">
        <v>175</v>
      </c>
      <c r="D5971" t="s">
        <v>278</v>
      </c>
      <c r="E5971" t="s">
        <v>317</v>
      </c>
      <c r="F5971">
        <v>1</v>
      </c>
      <c r="G5971" t="s">
        <v>176</v>
      </c>
      <c r="H5971">
        <v>1</v>
      </c>
      <c r="I5971">
        <v>27</v>
      </c>
      <c r="J5971" s="10">
        <v>4</v>
      </c>
      <c r="K5971" s="10">
        <f>SUMIFS(F:F,D:D,DST_123_ÜRETİM_İHTİYAÇ_RAPORU_BURAK_YENI1309[[#This Row],[ALT_KOD]])-(SUMIFS(H:H,D:D,DST_123_ÜRETİM_İHTİYAÇ_RAPORU_BURAK_YENI1309[[#This Row],[ALT_KOD]])+AVERAGEIFS(I:I,D:D,DST_123_ÜRETİM_İHTİYAÇ_RAPORU_BURAK_YENI1309[[#This Row],[ALT_KOD]])+AVERAGEIFS(L:L,D:D,DST_123_ÜRETİM_İHTİYAÇ_RAPORU_BURAK_YENI1309[[#This Row],[ALT_KOD]]))</f>
        <v>-20</v>
      </c>
      <c r="L5971">
        <v>0</v>
      </c>
      <c r="M5971">
        <f>IF((DST_123_ÜRETİM_İHTİYAÇ_RAPORU_BURAK_YENI1309[[#This Row],[SATINALMA]]*DST_123_ÜRETİM_İHTİYAÇ_RAPORU_BURAK_YENI1309[[#This Row],[BIRIM_FIYATLAR]])&lt;1,VALUE("0"),DST_123_ÜRETİM_İHTİYAÇ_RAPORU_BURAK_YENI1309[[#This Row],[SATINALMA]]*DST_123_ÜRETİM_İHTİYAÇ_RAPORU_BURAK_YENI1309[[#This Row],[BIRIM_FIYATLAR]])</f>
        <v>0</v>
      </c>
      <c r="N5971">
        <v>287.13</v>
      </c>
      <c r="O5971" t="s">
        <v>636</v>
      </c>
      <c r="P5971">
        <v>287.13</v>
      </c>
      <c r="Q5971" t="s">
        <v>178</v>
      </c>
    </row>
    <row r="5972" spans="1:17" x14ac:dyDescent="0.25">
      <c r="A5972" t="s">
        <v>1100</v>
      </c>
      <c r="B5972" t="s">
        <v>1058</v>
      </c>
      <c r="C5972" t="s">
        <v>175</v>
      </c>
      <c r="D5972" t="s">
        <v>0</v>
      </c>
      <c r="E5972" t="s">
        <v>1</v>
      </c>
      <c r="F5972">
        <v>2</v>
      </c>
      <c r="G5972" t="s">
        <v>176</v>
      </c>
      <c r="H5972">
        <v>2</v>
      </c>
      <c r="I5972">
        <v>67</v>
      </c>
      <c r="J5972" s="10">
        <v>24</v>
      </c>
      <c r="K5972" s="10">
        <f>SUMIFS(F:F,D:D,DST_123_ÜRETİM_İHTİYAÇ_RAPORU_BURAK_YENI1309[[#This Row],[ALT_KOD]])-(SUMIFS(H:H,D:D,DST_123_ÜRETİM_İHTİYAÇ_RAPORU_BURAK_YENI1309[[#This Row],[ALT_KOD]])+AVERAGEIFS(I:I,D:D,DST_123_ÜRETİM_İHTİYAÇ_RAPORU_BURAK_YENI1309[[#This Row],[ALT_KOD]])+AVERAGEIFS(L:L,D:D,DST_123_ÜRETİM_İHTİYAÇ_RAPORU_BURAK_YENI1309[[#This Row],[ALT_KOD]]))</f>
        <v>-38</v>
      </c>
      <c r="L5972">
        <v>0</v>
      </c>
      <c r="M5972">
        <f>IF((DST_123_ÜRETİM_İHTİYAÇ_RAPORU_BURAK_YENI1309[[#This Row],[SATINALMA]]*DST_123_ÜRETİM_İHTİYAÇ_RAPORU_BURAK_YENI1309[[#This Row],[BIRIM_FIYATLAR]])&lt;1,VALUE("0"),DST_123_ÜRETİM_İHTİYAÇ_RAPORU_BURAK_YENI1309[[#This Row],[SATINALMA]]*DST_123_ÜRETİM_İHTİYAÇ_RAPORU_BURAK_YENI1309[[#This Row],[BIRIM_FIYATLAR]])</f>
        <v>0</v>
      </c>
      <c r="N5972">
        <v>640</v>
      </c>
      <c r="O5972" t="s">
        <v>220</v>
      </c>
      <c r="P5972">
        <v>1280</v>
      </c>
      <c r="Q5972" t="s">
        <v>221</v>
      </c>
    </row>
    <row r="5973" spans="1:17" x14ac:dyDescent="0.25">
      <c r="A5973" t="s">
        <v>1095</v>
      </c>
      <c r="B5973" t="s">
        <v>1096</v>
      </c>
      <c r="C5973" t="s">
        <v>175</v>
      </c>
      <c r="D5973" t="s">
        <v>157</v>
      </c>
      <c r="E5973" t="s">
        <v>158</v>
      </c>
      <c r="F5973">
        <v>1</v>
      </c>
      <c r="G5973" t="s">
        <v>176</v>
      </c>
      <c r="H5973">
        <v>0</v>
      </c>
      <c r="I5973">
        <v>4</v>
      </c>
      <c r="J5973" s="10">
        <v>22</v>
      </c>
      <c r="K5973" s="10">
        <f>SUMIFS(F:F,D:D,DST_123_ÜRETİM_İHTİYAÇ_RAPORU_BURAK_YENI1309[[#This Row],[ALT_KOD]])-(SUMIFS(H:H,D:D,DST_123_ÜRETİM_İHTİYAÇ_RAPORU_BURAK_YENI1309[[#This Row],[ALT_KOD]])+AVERAGEIFS(I:I,D:D,DST_123_ÜRETİM_İHTİYAÇ_RAPORU_BURAK_YENI1309[[#This Row],[ALT_KOD]])+AVERAGEIFS(L:L,D:D,DST_123_ÜRETİM_İHTİYAÇ_RAPORU_BURAK_YENI1309[[#This Row],[ALT_KOD]]))</f>
        <v>-5</v>
      </c>
      <c r="L5973">
        <v>20</v>
      </c>
      <c r="M5973">
        <f>IF((DST_123_ÜRETİM_İHTİYAÇ_RAPORU_BURAK_YENI1309[[#This Row],[SATINALMA]]*DST_123_ÜRETİM_İHTİYAÇ_RAPORU_BURAK_YENI1309[[#This Row],[BIRIM_FIYATLAR]])&lt;1,VALUE("0"),DST_123_ÜRETİM_İHTİYAÇ_RAPORU_BURAK_YENI1309[[#This Row],[SATINALMA]]*DST_123_ÜRETİM_İHTİYAÇ_RAPORU_BURAK_YENI1309[[#This Row],[BIRIM_FIYATLAR]])</f>
        <v>0</v>
      </c>
      <c r="N5973">
        <v>65</v>
      </c>
      <c r="O5973" t="s">
        <v>761</v>
      </c>
      <c r="P5973">
        <v>65</v>
      </c>
      <c r="Q5973" t="s">
        <v>178</v>
      </c>
    </row>
    <row r="5974" spans="1:17" x14ac:dyDescent="0.25">
      <c r="A5974" t="s">
        <v>1059</v>
      </c>
      <c r="B5974" t="s">
        <v>1058</v>
      </c>
      <c r="C5974" t="s">
        <v>175</v>
      </c>
      <c r="D5974" t="s">
        <v>359</v>
      </c>
      <c r="E5974" t="s">
        <v>360</v>
      </c>
      <c r="F5974">
        <v>18</v>
      </c>
      <c r="G5974" t="s">
        <v>176</v>
      </c>
      <c r="H5974">
        <v>0</v>
      </c>
      <c r="I5974">
        <v>14472</v>
      </c>
      <c r="J5974" s="10">
        <v>3376</v>
      </c>
      <c r="K5974" s="10">
        <f>SUMIFS(F:F,D:D,DST_123_ÜRETİM_İHTİYAÇ_RAPORU_BURAK_YENI1309[[#This Row],[ALT_KOD]])-(SUMIFS(H:H,D:D,DST_123_ÜRETİM_İHTİYAÇ_RAPORU_BURAK_YENI1309[[#This Row],[ALT_KOD]])+AVERAGEIFS(I:I,D:D,DST_123_ÜRETİM_İHTİYAÇ_RAPORU_BURAK_YENI1309[[#This Row],[ALT_KOD]])+AVERAGEIFS(L:L,D:D,DST_123_ÜRETİM_İHTİYAÇ_RAPORU_BURAK_YENI1309[[#This Row],[ALT_KOD]]))</f>
        <v>-14340</v>
      </c>
      <c r="L5974">
        <v>0</v>
      </c>
      <c r="M5974">
        <f>IF((DST_123_ÜRETİM_İHTİYAÇ_RAPORU_BURAK_YENI1309[[#This Row],[SATINALMA]]*DST_123_ÜRETİM_İHTİYAÇ_RAPORU_BURAK_YENI1309[[#This Row],[BIRIM_FIYATLAR]])&lt;1,VALUE("0"),DST_123_ÜRETİM_İHTİYAÇ_RAPORU_BURAK_YENI1309[[#This Row],[SATINALMA]]*DST_123_ÜRETİM_İHTİYAÇ_RAPORU_BURAK_YENI1309[[#This Row],[BIRIM_FIYATLAR]])</f>
        <v>0</v>
      </c>
      <c r="N5974">
        <v>0.04</v>
      </c>
      <c r="P5974">
        <v>0.72</v>
      </c>
      <c r="Q5974" t="s">
        <v>180</v>
      </c>
    </row>
    <row r="5975" spans="1:17" x14ac:dyDescent="0.25">
      <c r="A5975" t="s">
        <v>1095</v>
      </c>
      <c r="B5975" t="s">
        <v>1096</v>
      </c>
      <c r="C5975" t="s">
        <v>175</v>
      </c>
      <c r="D5975" t="s">
        <v>637</v>
      </c>
      <c r="E5975" t="s">
        <v>638</v>
      </c>
      <c r="F5975">
        <v>1</v>
      </c>
      <c r="G5975" t="s">
        <v>176</v>
      </c>
      <c r="H5975">
        <v>0</v>
      </c>
      <c r="I5975">
        <v>19</v>
      </c>
      <c r="J5975" s="10">
        <v>17</v>
      </c>
      <c r="K5975" s="10">
        <f>SUMIFS(F:F,D:D,DST_123_ÜRETİM_İHTİYAÇ_RAPORU_BURAK_YENI1309[[#This Row],[ALT_KOD]])-(SUMIFS(H:H,D:D,DST_123_ÜRETİM_İHTİYAÇ_RAPORU_BURAK_YENI1309[[#This Row],[ALT_KOD]])+AVERAGEIFS(I:I,D:D,DST_123_ÜRETİM_İHTİYAÇ_RAPORU_BURAK_YENI1309[[#This Row],[ALT_KOD]])+AVERAGEIFS(L:L,D:D,DST_123_ÜRETİM_İHTİYAÇ_RAPORU_BURAK_YENI1309[[#This Row],[ALT_KOD]]))</f>
        <v>0</v>
      </c>
      <c r="L5975">
        <v>0</v>
      </c>
      <c r="M5975">
        <f>IF((DST_123_ÜRETİM_İHTİYAÇ_RAPORU_BURAK_YENI1309[[#This Row],[SATINALMA]]*DST_123_ÜRETİM_İHTİYAÇ_RAPORU_BURAK_YENI1309[[#This Row],[BIRIM_FIYATLAR]])&lt;1,VALUE("0"),DST_123_ÜRETİM_İHTİYAÇ_RAPORU_BURAK_YENI1309[[#This Row],[SATINALMA]]*DST_123_ÜRETİM_İHTİYAÇ_RAPORU_BURAK_YENI1309[[#This Row],[BIRIM_FIYATLAR]])</f>
        <v>0</v>
      </c>
      <c r="N5975">
        <v>113.64</v>
      </c>
      <c r="O5975" t="s">
        <v>639</v>
      </c>
      <c r="P5975">
        <v>113.64</v>
      </c>
      <c r="Q5975" t="s">
        <v>640</v>
      </c>
    </row>
  </sheetData>
  <phoneticPr fontId="2" type="noConversion"/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6241F62-85BD-44A4-8EA0-5E8DC7E7050D}">
  <dimension ref="A1:B107"/>
  <sheetViews>
    <sheetView workbookViewId="0">
      <selection activeCell="H37" sqref="H37"/>
    </sheetView>
  </sheetViews>
  <sheetFormatPr defaultRowHeight="15" x14ac:dyDescent="0.25"/>
  <cols>
    <col min="1" max="1" width="16" bestFit="1" customWidth="1"/>
    <col min="2" max="2" width="16.42578125" style="8" bestFit="1" customWidth="1"/>
  </cols>
  <sheetData>
    <row r="1" spans="1:2" x14ac:dyDescent="0.25">
      <c r="A1" s="6" t="s">
        <v>165</v>
      </c>
      <c r="B1" t="s">
        <v>301</v>
      </c>
    </row>
    <row r="3" spans="1:2" x14ac:dyDescent="0.25">
      <c r="A3" s="6" t="s">
        <v>195</v>
      </c>
      <c r="B3" s="8" t="s">
        <v>190</v>
      </c>
    </row>
    <row r="4" spans="1:2" x14ac:dyDescent="0.25">
      <c r="A4" s="7" t="s">
        <v>1060</v>
      </c>
      <c r="B4" s="8">
        <v>512913.53212999977</v>
      </c>
    </row>
    <row r="5" spans="1:2" x14ac:dyDescent="0.25">
      <c r="A5" s="7" t="s">
        <v>1057</v>
      </c>
      <c r="B5" s="8">
        <v>476657.16775000008</v>
      </c>
    </row>
    <row r="6" spans="1:2" x14ac:dyDescent="0.25">
      <c r="A6" s="7" t="s">
        <v>1059</v>
      </c>
      <c r="B6" s="8">
        <v>462077.84624999983</v>
      </c>
    </row>
    <row r="7" spans="1:2" x14ac:dyDescent="0.25">
      <c r="A7" s="7" t="s">
        <v>1064</v>
      </c>
      <c r="B7" s="8">
        <v>536919.12240000011</v>
      </c>
    </row>
    <row r="8" spans="1:2" x14ac:dyDescent="0.25">
      <c r="A8" s="7" t="s">
        <v>1095</v>
      </c>
      <c r="B8" s="8">
        <v>476306.24282999994</v>
      </c>
    </row>
    <row r="9" spans="1:2" x14ac:dyDescent="0.25">
      <c r="A9" s="7" t="s">
        <v>1097</v>
      </c>
      <c r="B9" s="8">
        <v>530229.48890000023</v>
      </c>
    </row>
    <row r="10" spans="1:2" x14ac:dyDescent="0.25">
      <c r="A10" s="7" t="s">
        <v>1098</v>
      </c>
      <c r="B10" s="8">
        <v>482536.11783</v>
      </c>
    </row>
    <row r="11" spans="1:2" x14ac:dyDescent="0.25">
      <c r="A11" s="7" t="s">
        <v>1099</v>
      </c>
      <c r="B11" s="8">
        <v>537458.59770000039</v>
      </c>
    </row>
    <row r="12" spans="1:2" x14ac:dyDescent="0.25">
      <c r="A12" s="7" t="s">
        <v>1100</v>
      </c>
      <c r="B12" s="8">
        <v>443335.56194999994</v>
      </c>
    </row>
    <row r="13" spans="1:2" x14ac:dyDescent="0.25">
      <c r="A13" s="7" t="s">
        <v>1101</v>
      </c>
      <c r="B13" s="8">
        <v>602424.52599999984</v>
      </c>
    </row>
    <row r="14" spans="1:2" x14ac:dyDescent="0.25">
      <c r="A14" s="7" t="s">
        <v>1142</v>
      </c>
      <c r="B14" s="8">
        <v>432562.25244000007</v>
      </c>
    </row>
    <row r="15" spans="1:2" x14ac:dyDescent="0.25">
      <c r="A15" s="7" t="s">
        <v>1143</v>
      </c>
      <c r="B15" s="8">
        <v>553274.18920000026</v>
      </c>
    </row>
    <row r="16" spans="1:2" x14ac:dyDescent="0.25">
      <c r="A16" s="7" t="s">
        <v>1144</v>
      </c>
      <c r="B16" s="8">
        <v>530045.64283000003</v>
      </c>
    </row>
    <row r="17" spans="1:2" x14ac:dyDescent="0.25">
      <c r="A17" s="7" t="s">
        <v>1146</v>
      </c>
      <c r="B17" s="8">
        <v>478456.1657400002</v>
      </c>
    </row>
    <row r="18" spans="1:2" x14ac:dyDescent="0.25">
      <c r="A18" s="7" t="s">
        <v>1147</v>
      </c>
      <c r="B18" s="8">
        <v>487944.85144000011</v>
      </c>
    </row>
    <row r="19" spans="1:2" x14ac:dyDescent="0.25">
      <c r="A19" s="7" t="s">
        <v>1148</v>
      </c>
      <c r="B19" s="8">
        <v>473553.99982999987</v>
      </c>
    </row>
    <row r="20" spans="1:2" x14ac:dyDescent="0.25">
      <c r="A20" s="7" t="s">
        <v>1149</v>
      </c>
      <c r="B20" s="8">
        <v>480097.06543999986</v>
      </c>
    </row>
    <row r="21" spans="1:2" x14ac:dyDescent="0.25">
      <c r="A21" s="7" t="s">
        <v>1150</v>
      </c>
      <c r="B21" s="8">
        <v>538678.20583000011</v>
      </c>
    </row>
    <row r="22" spans="1:2" x14ac:dyDescent="0.25">
      <c r="A22" s="7" t="s">
        <v>1179</v>
      </c>
      <c r="B22" s="8">
        <v>196001.92715</v>
      </c>
    </row>
    <row r="23" spans="1:2" x14ac:dyDescent="0.25">
      <c r="A23" s="7" t="s">
        <v>1196</v>
      </c>
      <c r="B23" s="8">
        <v>529524.08363000012</v>
      </c>
    </row>
    <row r="24" spans="1:2" x14ac:dyDescent="0.25">
      <c r="A24" s="7" t="s">
        <v>196</v>
      </c>
      <c r="B24" s="8">
        <v>9760996.5872699991</v>
      </c>
    </row>
    <row r="25" spans="1:2" x14ac:dyDescent="0.25">
      <c r="B25"/>
    </row>
    <row r="26" spans="1:2" x14ac:dyDescent="0.25">
      <c r="B26"/>
    </row>
    <row r="27" spans="1:2" x14ac:dyDescent="0.25">
      <c r="B27"/>
    </row>
    <row r="28" spans="1:2" x14ac:dyDescent="0.25">
      <c r="B28"/>
    </row>
    <row r="29" spans="1:2" x14ac:dyDescent="0.25">
      <c r="B29"/>
    </row>
    <row r="30" spans="1:2" x14ac:dyDescent="0.25">
      <c r="B30"/>
    </row>
    <row r="31" spans="1:2" x14ac:dyDescent="0.25">
      <c r="B31"/>
    </row>
    <row r="32" spans="1:2" x14ac:dyDescent="0.25">
      <c r="B32"/>
    </row>
    <row r="33" spans="2:2" x14ac:dyDescent="0.25">
      <c r="B33"/>
    </row>
    <row r="34" spans="2:2" x14ac:dyDescent="0.25">
      <c r="B34"/>
    </row>
    <row r="35" spans="2:2" x14ac:dyDescent="0.25">
      <c r="B35"/>
    </row>
    <row r="36" spans="2:2" x14ac:dyDescent="0.25">
      <c r="B36"/>
    </row>
    <row r="37" spans="2:2" x14ac:dyDescent="0.25">
      <c r="B37"/>
    </row>
    <row r="38" spans="2:2" x14ac:dyDescent="0.25">
      <c r="B38"/>
    </row>
    <row r="39" spans="2:2" x14ac:dyDescent="0.25">
      <c r="B39"/>
    </row>
    <row r="40" spans="2:2" x14ac:dyDescent="0.25">
      <c r="B40"/>
    </row>
    <row r="41" spans="2:2" x14ac:dyDescent="0.25">
      <c r="B41"/>
    </row>
    <row r="42" spans="2:2" x14ac:dyDescent="0.25">
      <c r="B42"/>
    </row>
    <row r="43" spans="2:2" x14ac:dyDescent="0.25">
      <c r="B43"/>
    </row>
    <row r="44" spans="2:2" x14ac:dyDescent="0.25">
      <c r="B44"/>
    </row>
    <row r="45" spans="2:2" x14ac:dyDescent="0.25">
      <c r="B45"/>
    </row>
    <row r="46" spans="2:2" x14ac:dyDescent="0.25">
      <c r="B46"/>
    </row>
    <row r="47" spans="2:2" x14ac:dyDescent="0.25">
      <c r="B47"/>
    </row>
    <row r="48" spans="2:2" x14ac:dyDescent="0.25">
      <c r="B48"/>
    </row>
    <row r="49" spans="2:2" x14ac:dyDescent="0.25">
      <c r="B49"/>
    </row>
    <row r="50" spans="2:2" x14ac:dyDescent="0.25">
      <c r="B50"/>
    </row>
    <row r="51" spans="2:2" x14ac:dyDescent="0.25">
      <c r="B51"/>
    </row>
    <row r="52" spans="2:2" x14ac:dyDescent="0.25">
      <c r="B52"/>
    </row>
    <row r="53" spans="2:2" x14ac:dyDescent="0.25">
      <c r="B53"/>
    </row>
    <row r="54" spans="2:2" x14ac:dyDescent="0.25">
      <c r="B54"/>
    </row>
    <row r="55" spans="2:2" x14ac:dyDescent="0.25">
      <c r="B55"/>
    </row>
    <row r="56" spans="2:2" x14ac:dyDescent="0.25">
      <c r="B56"/>
    </row>
    <row r="57" spans="2:2" x14ac:dyDescent="0.25">
      <c r="B57"/>
    </row>
    <row r="58" spans="2:2" x14ac:dyDescent="0.25">
      <c r="B58"/>
    </row>
    <row r="59" spans="2:2" x14ac:dyDescent="0.25">
      <c r="B59"/>
    </row>
    <row r="60" spans="2:2" x14ac:dyDescent="0.25">
      <c r="B60"/>
    </row>
    <row r="61" spans="2:2" x14ac:dyDescent="0.25">
      <c r="B61"/>
    </row>
    <row r="62" spans="2:2" x14ac:dyDescent="0.25">
      <c r="B62"/>
    </row>
    <row r="63" spans="2:2" x14ac:dyDescent="0.25">
      <c r="B63"/>
    </row>
    <row r="64" spans="2:2" x14ac:dyDescent="0.25">
      <c r="B64"/>
    </row>
    <row r="65" spans="2:2" x14ac:dyDescent="0.25">
      <c r="B65"/>
    </row>
    <row r="66" spans="2:2" x14ac:dyDescent="0.25">
      <c r="B66"/>
    </row>
    <row r="67" spans="2:2" x14ac:dyDescent="0.25">
      <c r="B67"/>
    </row>
    <row r="68" spans="2:2" x14ac:dyDescent="0.25">
      <c r="B68"/>
    </row>
    <row r="69" spans="2:2" x14ac:dyDescent="0.25">
      <c r="B69"/>
    </row>
    <row r="70" spans="2:2" x14ac:dyDescent="0.25">
      <c r="B70"/>
    </row>
    <row r="71" spans="2:2" x14ac:dyDescent="0.25">
      <c r="B71"/>
    </row>
    <row r="72" spans="2:2" x14ac:dyDescent="0.25">
      <c r="B72"/>
    </row>
    <row r="73" spans="2:2" x14ac:dyDescent="0.25">
      <c r="B73"/>
    </row>
    <row r="74" spans="2:2" x14ac:dyDescent="0.25">
      <c r="B74"/>
    </row>
    <row r="75" spans="2:2" x14ac:dyDescent="0.25">
      <c r="B75"/>
    </row>
    <row r="76" spans="2:2" x14ac:dyDescent="0.25">
      <c r="B76"/>
    </row>
    <row r="77" spans="2:2" x14ac:dyDescent="0.25">
      <c r="B77"/>
    </row>
    <row r="78" spans="2:2" x14ac:dyDescent="0.25">
      <c r="B78"/>
    </row>
    <row r="79" spans="2:2" x14ac:dyDescent="0.25">
      <c r="B79"/>
    </row>
    <row r="80" spans="2:2" x14ac:dyDescent="0.25">
      <c r="B80"/>
    </row>
    <row r="81" spans="2:2" x14ac:dyDescent="0.25">
      <c r="B81"/>
    </row>
    <row r="82" spans="2:2" x14ac:dyDescent="0.25">
      <c r="B82"/>
    </row>
    <row r="83" spans="2:2" x14ac:dyDescent="0.25">
      <c r="B83"/>
    </row>
    <row r="84" spans="2:2" x14ac:dyDescent="0.25">
      <c r="B84"/>
    </row>
    <row r="85" spans="2:2" x14ac:dyDescent="0.25">
      <c r="B85"/>
    </row>
    <row r="86" spans="2:2" x14ac:dyDescent="0.25">
      <c r="B86"/>
    </row>
    <row r="87" spans="2:2" x14ac:dyDescent="0.25">
      <c r="B87"/>
    </row>
    <row r="88" spans="2:2" x14ac:dyDescent="0.25">
      <c r="B88"/>
    </row>
    <row r="89" spans="2:2" x14ac:dyDescent="0.25">
      <c r="B89"/>
    </row>
    <row r="90" spans="2:2" x14ac:dyDescent="0.25">
      <c r="B90"/>
    </row>
    <row r="91" spans="2:2" x14ac:dyDescent="0.25">
      <c r="B91"/>
    </row>
    <row r="92" spans="2:2" x14ac:dyDescent="0.25">
      <c r="B92"/>
    </row>
    <row r="93" spans="2:2" x14ac:dyDescent="0.25">
      <c r="B93"/>
    </row>
    <row r="94" spans="2:2" x14ac:dyDescent="0.25">
      <c r="B94"/>
    </row>
    <row r="95" spans="2:2" x14ac:dyDescent="0.25">
      <c r="B95"/>
    </row>
    <row r="96" spans="2:2" x14ac:dyDescent="0.25">
      <c r="B96"/>
    </row>
    <row r="97" spans="2:2" x14ac:dyDescent="0.25">
      <c r="B97"/>
    </row>
    <row r="98" spans="2:2" x14ac:dyDescent="0.25">
      <c r="B98"/>
    </row>
    <row r="99" spans="2:2" x14ac:dyDescent="0.25">
      <c r="B99"/>
    </row>
    <row r="100" spans="2:2" x14ac:dyDescent="0.25">
      <c r="B100"/>
    </row>
    <row r="101" spans="2:2" x14ac:dyDescent="0.25">
      <c r="B101"/>
    </row>
    <row r="102" spans="2:2" x14ac:dyDescent="0.25">
      <c r="B102"/>
    </row>
    <row r="103" spans="2:2" x14ac:dyDescent="0.25">
      <c r="B103"/>
    </row>
    <row r="104" spans="2:2" x14ac:dyDescent="0.25">
      <c r="B104"/>
    </row>
    <row r="105" spans="2:2" x14ac:dyDescent="0.25">
      <c r="B105"/>
    </row>
    <row r="106" spans="2:2" x14ac:dyDescent="0.25">
      <c r="B106"/>
    </row>
    <row r="107" spans="2:2" x14ac:dyDescent="0.25">
      <c r="B107"/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1513A0A-8B0C-4650-B79A-769D8D62E3EA}">
  <sheetPr>
    <pageSetUpPr fitToPage="1"/>
  </sheetPr>
  <dimension ref="A7:L783"/>
  <sheetViews>
    <sheetView tabSelected="1" zoomScale="70" zoomScaleNormal="70" workbookViewId="0">
      <pane ySplit="11" topLeftCell="A12" activePane="bottomLeft" state="frozen"/>
      <selection pane="bottomLeft" activeCell="I17" sqref="I17"/>
    </sheetView>
  </sheetViews>
  <sheetFormatPr defaultColWidth="8.85546875" defaultRowHeight="15" x14ac:dyDescent="0.25"/>
  <cols>
    <col min="1" max="1" width="22.42578125" style="2" customWidth="1"/>
    <col min="2" max="2" width="41.42578125" style="2" customWidth="1"/>
    <col min="3" max="3" width="114.85546875" style="3" bestFit="1" customWidth="1"/>
    <col min="4" max="4" width="20" style="3" bestFit="1" customWidth="1"/>
    <col min="5" max="5" width="22.42578125" style="3" bestFit="1" customWidth="1"/>
    <col min="6" max="6" width="16.28515625" style="3" bestFit="1" customWidth="1"/>
    <col min="7" max="7" width="17.28515625" style="3" bestFit="1" customWidth="1"/>
    <col min="8" max="8" width="19.140625" style="5" bestFit="1" customWidth="1"/>
    <col min="9" max="9" width="22.85546875" style="9" bestFit="1" customWidth="1"/>
    <col min="10" max="10" width="17.7109375" style="2" bestFit="1" customWidth="1"/>
    <col min="11" max="11" width="22.140625" style="2" bestFit="1" customWidth="1"/>
    <col min="12" max="12" width="18.28515625" style="2" bestFit="1" customWidth="1"/>
    <col min="13" max="468" width="16.140625" style="2" bestFit="1" customWidth="1"/>
    <col min="469" max="469" width="12.5703125" style="2" bestFit="1" customWidth="1"/>
    <col min="470" max="16384" width="8.85546875" style="2"/>
  </cols>
  <sheetData>
    <row r="7" spans="1:12" x14ac:dyDescent="0.25">
      <c r="K7" s="12">
        <f>SUM(K12:K228)</f>
        <v>3903376.501140004</v>
      </c>
    </row>
    <row r="8" spans="1:12" x14ac:dyDescent="0.25">
      <c r="A8"/>
      <c r="B8"/>
    </row>
    <row r="9" spans="1:12" x14ac:dyDescent="0.25">
      <c r="A9"/>
      <c r="B9"/>
    </row>
    <row r="11" spans="1:12" s="3" customFormat="1" x14ac:dyDescent="0.25">
      <c r="A11" s="17" t="s">
        <v>166</v>
      </c>
      <c r="B11" s="17" t="s">
        <v>167</v>
      </c>
      <c r="C11" s="1" t="s">
        <v>213</v>
      </c>
      <c r="D11" s="3" t="s">
        <v>191</v>
      </c>
      <c r="E11" s="2" t="s">
        <v>298</v>
      </c>
      <c r="F11" s="3" t="s">
        <v>193</v>
      </c>
      <c r="G11" s="2" t="s">
        <v>297</v>
      </c>
      <c r="H11" s="3" t="s">
        <v>192</v>
      </c>
      <c r="I11" s="3" t="s">
        <v>194</v>
      </c>
      <c r="J11" s="4" t="s">
        <v>189</v>
      </c>
      <c r="K11" s="4" t="s">
        <v>190</v>
      </c>
      <c r="L11" s="19" t="s">
        <v>1086</v>
      </c>
    </row>
    <row r="12" spans="1:12" x14ac:dyDescent="0.25">
      <c r="A12" s="2" t="s">
        <v>116</v>
      </c>
      <c r="B12" s="2" t="s">
        <v>117</v>
      </c>
      <c r="C12" s="2" t="s">
        <v>490</v>
      </c>
      <c r="D12" s="23">
        <v>2045.0399999999995</v>
      </c>
      <c r="E12" s="23">
        <v>915.17</v>
      </c>
      <c r="F12" s="23">
        <v>-690</v>
      </c>
      <c r="G12" s="11">
        <v>2123.6199999999981</v>
      </c>
      <c r="H12" s="23">
        <v>0</v>
      </c>
      <c r="I12" s="23">
        <v>1819.8699999999994</v>
      </c>
      <c r="J12" s="4">
        <v>94.869999999999962</v>
      </c>
      <c r="K12" s="4">
        <v>172651.06689999995</v>
      </c>
      <c r="L12" s="20">
        <f>D12-E12-F12-G12-H12</f>
        <v>-303.74999999999864</v>
      </c>
    </row>
    <row r="13" spans="1:12" x14ac:dyDescent="0.25">
      <c r="A13" s="2" t="s">
        <v>836</v>
      </c>
      <c r="B13" s="2" t="s">
        <v>837</v>
      </c>
      <c r="C13" s="2" t="s">
        <v>1020</v>
      </c>
      <c r="D13" s="23">
        <v>1760</v>
      </c>
      <c r="E13" s="23">
        <v>0</v>
      </c>
      <c r="F13" s="23">
        <v>0</v>
      </c>
      <c r="G13" s="11">
        <v>0</v>
      </c>
      <c r="H13" s="23">
        <v>0</v>
      </c>
      <c r="I13" s="23">
        <v>1760</v>
      </c>
      <c r="J13" s="4">
        <v>0</v>
      </c>
      <c r="K13" s="4">
        <v>0</v>
      </c>
      <c r="L13" s="20">
        <f t="shared" ref="L13:L76" si="0">D13-E13-F13-G13-H13</f>
        <v>1760</v>
      </c>
    </row>
    <row r="14" spans="1:12" x14ac:dyDescent="0.25">
      <c r="A14" s="2" t="s">
        <v>478</v>
      </c>
      <c r="B14" s="2" t="s">
        <v>479</v>
      </c>
      <c r="C14" s="2" t="s">
        <v>1021</v>
      </c>
      <c r="D14" s="23">
        <v>860</v>
      </c>
      <c r="E14" s="23">
        <v>0</v>
      </c>
      <c r="F14" s="23">
        <v>0</v>
      </c>
      <c r="G14" s="11">
        <v>1330</v>
      </c>
      <c r="H14" s="23">
        <v>0</v>
      </c>
      <c r="I14" s="23">
        <v>860</v>
      </c>
      <c r="J14" s="4">
        <v>0.40000000000000013</v>
      </c>
      <c r="K14" s="4">
        <v>344</v>
      </c>
      <c r="L14" s="20">
        <f t="shared" si="0"/>
        <v>-470</v>
      </c>
    </row>
    <row r="15" spans="1:12" x14ac:dyDescent="0.25">
      <c r="A15" s="2" t="s">
        <v>82</v>
      </c>
      <c r="B15" s="2" t="s">
        <v>83</v>
      </c>
      <c r="C15" s="2" t="s">
        <v>223</v>
      </c>
      <c r="D15" s="23">
        <v>474.5</v>
      </c>
      <c r="E15" s="23">
        <v>41.5</v>
      </c>
      <c r="F15" s="23">
        <v>0</v>
      </c>
      <c r="G15" s="11">
        <v>134.67999999999964</v>
      </c>
      <c r="H15" s="23">
        <v>13</v>
      </c>
      <c r="I15" s="23">
        <v>420</v>
      </c>
      <c r="J15" s="4">
        <v>228.3</v>
      </c>
      <c r="K15" s="4">
        <v>95886</v>
      </c>
      <c r="L15" s="20">
        <f t="shared" si="0"/>
        <v>285.32000000000039</v>
      </c>
    </row>
    <row r="16" spans="1:12" x14ac:dyDescent="0.25">
      <c r="A16" s="2" t="s">
        <v>611</v>
      </c>
      <c r="B16" s="2" t="s">
        <v>612</v>
      </c>
      <c r="C16" s="2" t="s">
        <v>223</v>
      </c>
      <c r="D16" s="23">
        <v>422</v>
      </c>
      <c r="E16" s="23">
        <v>0</v>
      </c>
      <c r="F16" s="23">
        <v>0</v>
      </c>
      <c r="G16" s="11">
        <v>252.50000000000003</v>
      </c>
      <c r="H16" s="23">
        <v>19.5</v>
      </c>
      <c r="I16" s="23">
        <v>402.5</v>
      </c>
      <c r="J16" s="4">
        <v>203.55000000000004</v>
      </c>
      <c r="K16" s="4">
        <v>81928.875</v>
      </c>
      <c r="L16" s="20">
        <f t="shared" si="0"/>
        <v>149.99999999999997</v>
      </c>
    </row>
    <row r="17" spans="1:12" x14ac:dyDescent="0.25">
      <c r="A17" s="2" t="s">
        <v>885</v>
      </c>
      <c r="B17" s="2" t="s">
        <v>886</v>
      </c>
      <c r="C17" s="2" t="s">
        <v>223</v>
      </c>
      <c r="D17" s="23">
        <v>400</v>
      </c>
      <c r="E17" s="23">
        <v>50</v>
      </c>
      <c r="F17" s="23">
        <v>0</v>
      </c>
      <c r="G17" s="11">
        <v>57</v>
      </c>
      <c r="H17" s="23">
        <v>0</v>
      </c>
      <c r="I17" s="23">
        <v>350</v>
      </c>
      <c r="J17" s="4">
        <v>8.9500000000000011</v>
      </c>
      <c r="K17" s="4">
        <v>3132.4999999999995</v>
      </c>
      <c r="L17" s="20">
        <f t="shared" si="0"/>
        <v>293</v>
      </c>
    </row>
    <row r="18" spans="1:12" x14ac:dyDescent="0.25">
      <c r="A18" s="2" t="s">
        <v>99</v>
      </c>
      <c r="B18" s="2" t="s">
        <v>100</v>
      </c>
      <c r="C18" s="2" t="s">
        <v>490</v>
      </c>
      <c r="D18" s="23">
        <v>622.84999999999991</v>
      </c>
      <c r="E18" s="23">
        <v>274.22000000000003</v>
      </c>
      <c r="F18" s="23">
        <v>0</v>
      </c>
      <c r="G18" s="11">
        <v>437.82</v>
      </c>
      <c r="H18" s="23">
        <v>0</v>
      </c>
      <c r="I18" s="23">
        <v>348.63</v>
      </c>
      <c r="J18" s="4">
        <v>96.369999999999962</v>
      </c>
      <c r="K18" s="4">
        <v>33597.473099999988</v>
      </c>
      <c r="L18" s="20">
        <f t="shared" si="0"/>
        <v>-89.190000000000111</v>
      </c>
    </row>
    <row r="19" spans="1:12" x14ac:dyDescent="0.25">
      <c r="A19" s="2" t="s">
        <v>126</v>
      </c>
      <c r="B19" s="2" t="s">
        <v>127</v>
      </c>
      <c r="C19" s="2" t="s">
        <v>223</v>
      </c>
      <c r="D19" s="23">
        <v>350</v>
      </c>
      <c r="E19" s="23">
        <v>50</v>
      </c>
      <c r="F19" s="23">
        <v>0</v>
      </c>
      <c r="G19" s="11">
        <v>2254.0000000000005</v>
      </c>
      <c r="H19" s="23">
        <v>0</v>
      </c>
      <c r="I19" s="23">
        <v>300</v>
      </c>
      <c r="J19" s="4">
        <v>10.37</v>
      </c>
      <c r="K19" s="4">
        <v>3110.9999999999995</v>
      </c>
      <c r="L19" s="20">
        <f t="shared" si="0"/>
        <v>-1954.0000000000005</v>
      </c>
    </row>
    <row r="20" spans="1:12" x14ac:dyDescent="0.25">
      <c r="A20" s="2" t="s">
        <v>493</v>
      </c>
      <c r="B20" s="2" t="s">
        <v>494</v>
      </c>
      <c r="C20" s="2" t="s">
        <v>296</v>
      </c>
      <c r="D20" s="23">
        <v>420</v>
      </c>
      <c r="E20" s="23">
        <v>0</v>
      </c>
      <c r="F20" s="23">
        <v>200</v>
      </c>
      <c r="G20" s="11">
        <v>86</v>
      </c>
      <c r="H20" s="23">
        <v>0</v>
      </c>
      <c r="I20" s="23">
        <v>220</v>
      </c>
      <c r="J20" s="4">
        <v>105</v>
      </c>
      <c r="K20" s="4">
        <v>23100</v>
      </c>
      <c r="L20" s="20">
        <f t="shared" si="0"/>
        <v>134</v>
      </c>
    </row>
    <row r="21" spans="1:12" x14ac:dyDescent="0.25">
      <c r="A21" s="2" t="s">
        <v>732</v>
      </c>
      <c r="B21" s="2" t="s">
        <v>733</v>
      </c>
      <c r="C21" s="2" t="s">
        <v>648</v>
      </c>
      <c r="D21" s="23">
        <v>196</v>
      </c>
      <c r="E21" s="23">
        <v>0</v>
      </c>
      <c r="F21" s="23">
        <v>0</v>
      </c>
      <c r="G21" s="11">
        <v>62.999999999999993</v>
      </c>
      <c r="H21" s="23">
        <v>0</v>
      </c>
      <c r="I21" s="23">
        <v>196</v>
      </c>
      <c r="J21" s="4">
        <v>1097.8899999999999</v>
      </c>
      <c r="K21" s="4">
        <v>215186.43999999997</v>
      </c>
      <c r="L21" s="20">
        <f t="shared" si="0"/>
        <v>133</v>
      </c>
    </row>
    <row r="22" spans="1:12" x14ac:dyDescent="0.25">
      <c r="A22" s="2" t="s">
        <v>141</v>
      </c>
      <c r="B22" s="2" t="s">
        <v>142</v>
      </c>
      <c r="C22" s="2" t="s">
        <v>742</v>
      </c>
      <c r="D22" s="23">
        <v>344</v>
      </c>
      <c r="E22" s="23">
        <v>0</v>
      </c>
      <c r="F22" s="23">
        <v>150</v>
      </c>
      <c r="G22" s="11">
        <v>0</v>
      </c>
      <c r="H22" s="23">
        <v>0</v>
      </c>
      <c r="I22" s="23">
        <v>194</v>
      </c>
      <c r="J22" s="4">
        <v>27.75</v>
      </c>
      <c r="K22" s="4">
        <v>5383.5</v>
      </c>
      <c r="L22" s="20">
        <f t="shared" si="0"/>
        <v>194</v>
      </c>
    </row>
    <row r="23" spans="1:12" x14ac:dyDescent="0.25">
      <c r="A23" s="2" t="s">
        <v>391</v>
      </c>
      <c r="B23" s="2" t="s">
        <v>392</v>
      </c>
      <c r="C23" s="2" t="s">
        <v>223</v>
      </c>
      <c r="D23" s="23">
        <v>199.22000000000003</v>
      </c>
      <c r="E23" s="23">
        <v>17.5</v>
      </c>
      <c r="F23" s="23">
        <v>0</v>
      </c>
      <c r="G23" s="11">
        <v>58.05000000000004</v>
      </c>
      <c r="H23" s="23">
        <v>37</v>
      </c>
      <c r="I23" s="23">
        <v>144.72000000000006</v>
      </c>
      <c r="J23" s="4">
        <v>1804.1699999999994</v>
      </c>
      <c r="K23" s="4">
        <v>261099.48240000004</v>
      </c>
      <c r="L23" s="20">
        <f t="shared" si="0"/>
        <v>86.669999999999987</v>
      </c>
    </row>
    <row r="24" spans="1:12" x14ac:dyDescent="0.25">
      <c r="A24" s="2" t="s">
        <v>580</v>
      </c>
      <c r="B24" s="2" t="s">
        <v>581</v>
      </c>
      <c r="C24" s="2" t="s">
        <v>490</v>
      </c>
      <c r="D24" s="23">
        <v>412.33000000000004</v>
      </c>
      <c r="E24" s="23">
        <v>208.92000000000002</v>
      </c>
      <c r="F24" s="23">
        <v>60</v>
      </c>
      <c r="G24" s="11">
        <v>219.95999999999995</v>
      </c>
      <c r="H24" s="23">
        <v>0</v>
      </c>
      <c r="I24" s="23">
        <v>143.41000000000003</v>
      </c>
      <c r="J24" s="4">
        <v>164.09999999999997</v>
      </c>
      <c r="K24" s="4">
        <v>23533.581000000002</v>
      </c>
      <c r="L24" s="20">
        <f t="shared" si="0"/>
        <v>-76.549999999999926</v>
      </c>
    </row>
    <row r="25" spans="1:12" x14ac:dyDescent="0.25">
      <c r="A25" s="2" t="s">
        <v>44</v>
      </c>
      <c r="B25" s="2" t="s">
        <v>45</v>
      </c>
      <c r="C25" s="2" t="s">
        <v>240</v>
      </c>
      <c r="D25" s="23">
        <v>294</v>
      </c>
      <c r="E25" s="23">
        <v>0</v>
      </c>
      <c r="F25" s="23">
        <v>170</v>
      </c>
      <c r="G25" s="11">
        <v>18</v>
      </c>
      <c r="H25" s="23">
        <v>0</v>
      </c>
      <c r="I25" s="23">
        <v>124</v>
      </c>
      <c r="J25" s="4">
        <v>16.5</v>
      </c>
      <c r="K25" s="4">
        <v>2046</v>
      </c>
      <c r="L25" s="20">
        <f t="shared" si="0"/>
        <v>106</v>
      </c>
    </row>
    <row r="26" spans="1:12" x14ac:dyDescent="0.25">
      <c r="A26" s="2" t="s">
        <v>750</v>
      </c>
      <c r="B26" s="2" t="s">
        <v>751</v>
      </c>
      <c r="C26" s="2" t="s">
        <v>240</v>
      </c>
      <c r="D26" s="23">
        <v>124</v>
      </c>
      <c r="E26" s="23">
        <v>0</v>
      </c>
      <c r="F26" s="23">
        <v>0</v>
      </c>
      <c r="G26" s="11">
        <v>0</v>
      </c>
      <c r="H26" s="23">
        <v>0</v>
      </c>
      <c r="I26" s="23">
        <v>124</v>
      </c>
      <c r="J26" s="4">
        <v>1.75</v>
      </c>
      <c r="K26" s="4">
        <v>217</v>
      </c>
      <c r="L26" s="20">
        <f t="shared" si="0"/>
        <v>124</v>
      </c>
    </row>
    <row r="27" spans="1:12" x14ac:dyDescent="0.25">
      <c r="A27" s="2" t="s">
        <v>649</v>
      </c>
      <c r="B27" s="2" t="s">
        <v>650</v>
      </c>
      <c r="C27" s="2" t="s">
        <v>648</v>
      </c>
      <c r="D27" s="23">
        <v>119</v>
      </c>
      <c r="E27" s="23">
        <v>0</v>
      </c>
      <c r="F27" s="23">
        <v>0</v>
      </c>
      <c r="G27" s="11">
        <v>65</v>
      </c>
      <c r="H27" s="23">
        <v>0</v>
      </c>
      <c r="I27" s="23">
        <v>119</v>
      </c>
      <c r="J27" s="4">
        <v>1119.9500000000003</v>
      </c>
      <c r="K27" s="4">
        <v>133274.04999999999</v>
      </c>
      <c r="L27" s="20">
        <f t="shared" si="0"/>
        <v>54</v>
      </c>
    </row>
    <row r="28" spans="1:12" x14ac:dyDescent="0.25">
      <c r="A28" s="2" t="s">
        <v>473</v>
      </c>
      <c r="B28" s="2" t="s">
        <v>474</v>
      </c>
      <c r="C28" s="2" t="s">
        <v>240</v>
      </c>
      <c r="D28" s="23">
        <v>828</v>
      </c>
      <c r="E28" s="23">
        <v>30</v>
      </c>
      <c r="F28" s="23">
        <v>680</v>
      </c>
      <c r="G28" s="11">
        <v>614</v>
      </c>
      <c r="H28" s="23">
        <v>0</v>
      </c>
      <c r="I28" s="23">
        <v>118</v>
      </c>
      <c r="J28" s="4">
        <v>2.1000000000000005</v>
      </c>
      <c r="K28" s="4">
        <v>247.8000000000001</v>
      </c>
      <c r="L28" s="20">
        <f t="shared" si="0"/>
        <v>-496</v>
      </c>
    </row>
    <row r="29" spans="1:12" x14ac:dyDescent="0.25">
      <c r="A29" s="2" t="s">
        <v>104</v>
      </c>
      <c r="B29" s="2" t="s">
        <v>105</v>
      </c>
      <c r="C29" s="2" t="s">
        <v>625</v>
      </c>
      <c r="D29" s="23">
        <v>102</v>
      </c>
      <c r="E29" s="23">
        <v>0</v>
      </c>
      <c r="F29" s="23">
        <v>0</v>
      </c>
      <c r="G29" s="11">
        <v>75</v>
      </c>
      <c r="H29" s="23">
        <v>0</v>
      </c>
      <c r="I29" s="23">
        <v>102</v>
      </c>
      <c r="J29" s="4">
        <v>105</v>
      </c>
      <c r="K29" s="4">
        <v>10710</v>
      </c>
      <c r="L29" s="20">
        <f t="shared" si="0"/>
        <v>27</v>
      </c>
    </row>
    <row r="30" spans="1:12" x14ac:dyDescent="0.25">
      <c r="A30" s="2" t="s">
        <v>662</v>
      </c>
      <c r="B30" s="2" t="s">
        <v>663</v>
      </c>
      <c r="C30" s="2" t="s">
        <v>648</v>
      </c>
      <c r="D30" s="23">
        <v>100</v>
      </c>
      <c r="E30" s="23">
        <v>0</v>
      </c>
      <c r="F30" s="23">
        <v>0</v>
      </c>
      <c r="G30" s="11">
        <v>205.04999999999998</v>
      </c>
      <c r="H30" s="23">
        <v>0</v>
      </c>
      <c r="I30" s="23">
        <v>100</v>
      </c>
      <c r="J30" s="4">
        <v>1094.67</v>
      </c>
      <c r="K30" s="4">
        <v>109467</v>
      </c>
      <c r="L30" s="20">
        <f t="shared" si="0"/>
        <v>-105.04999999999998</v>
      </c>
    </row>
    <row r="31" spans="1:12" x14ac:dyDescent="0.25">
      <c r="A31" s="2" t="s">
        <v>124</v>
      </c>
      <c r="B31" s="2" t="s">
        <v>125</v>
      </c>
      <c r="C31" s="2" t="s">
        <v>252</v>
      </c>
      <c r="D31" s="23">
        <v>150.80000000000001</v>
      </c>
      <c r="E31" s="23">
        <v>53.239999999999995</v>
      </c>
      <c r="F31" s="23">
        <v>0</v>
      </c>
      <c r="G31" s="11">
        <v>297.60999999999996</v>
      </c>
      <c r="H31" s="23">
        <v>0</v>
      </c>
      <c r="I31" s="23">
        <v>97.559999999999988</v>
      </c>
      <c r="J31" s="4">
        <v>136.18</v>
      </c>
      <c r="K31" s="4">
        <v>13285.720800000008</v>
      </c>
      <c r="L31" s="20">
        <f t="shared" si="0"/>
        <v>-200.04999999999995</v>
      </c>
    </row>
    <row r="32" spans="1:12" x14ac:dyDescent="0.25">
      <c r="A32" s="2" t="s">
        <v>128</v>
      </c>
      <c r="B32" s="2" t="s">
        <v>129</v>
      </c>
      <c r="C32" s="2" t="s">
        <v>252</v>
      </c>
      <c r="D32" s="23">
        <v>150.79999999999998</v>
      </c>
      <c r="E32" s="23">
        <v>53.239999999999995</v>
      </c>
      <c r="F32" s="23">
        <v>0</v>
      </c>
      <c r="G32" s="11">
        <v>260.61</v>
      </c>
      <c r="H32" s="23">
        <v>0</v>
      </c>
      <c r="I32" s="23">
        <v>97.55999999999996</v>
      </c>
      <c r="J32" s="4">
        <v>136.18</v>
      </c>
      <c r="K32" s="4">
        <v>13285.720800000005</v>
      </c>
      <c r="L32" s="20">
        <f t="shared" si="0"/>
        <v>-163.05000000000001</v>
      </c>
    </row>
    <row r="33" spans="1:12" x14ac:dyDescent="0.25">
      <c r="A33" s="2" t="s">
        <v>582</v>
      </c>
      <c r="B33" s="2" t="s">
        <v>583</v>
      </c>
      <c r="C33" s="2" t="s">
        <v>490</v>
      </c>
      <c r="D33" s="23">
        <v>100.30000000000003</v>
      </c>
      <c r="E33" s="23">
        <v>5.9</v>
      </c>
      <c r="F33" s="23">
        <v>0</v>
      </c>
      <c r="G33" s="11">
        <v>297.39999999999998</v>
      </c>
      <c r="H33" s="23">
        <v>0</v>
      </c>
      <c r="I33" s="23">
        <v>94.400000000000034</v>
      </c>
      <c r="J33" s="4">
        <v>232.7600000000001</v>
      </c>
      <c r="K33" s="4">
        <v>21972.543999999998</v>
      </c>
      <c r="L33" s="20">
        <f t="shared" si="0"/>
        <v>-202.99999999999994</v>
      </c>
    </row>
    <row r="34" spans="1:12" x14ac:dyDescent="0.25">
      <c r="A34" s="2" t="s">
        <v>692</v>
      </c>
      <c r="B34" s="2" t="s">
        <v>693</v>
      </c>
      <c r="C34" s="2" t="s">
        <v>223</v>
      </c>
      <c r="D34" s="23">
        <v>86</v>
      </c>
      <c r="E34" s="23">
        <v>0</v>
      </c>
      <c r="F34" s="23">
        <v>0</v>
      </c>
      <c r="G34" s="11">
        <v>139.97</v>
      </c>
      <c r="H34" s="23">
        <v>11.89</v>
      </c>
      <c r="I34" s="23">
        <v>74.11</v>
      </c>
      <c r="J34" s="4">
        <v>292.90000000000003</v>
      </c>
      <c r="K34" s="4">
        <v>21706.819</v>
      </c>
      <c r="L34" s="20">
        <f t="shared" si="0"/>
        <v>-65.86</v>
      </c>
    </row>
    <row r="35" spans="1:12" x14ac:dyDescent="0.25">
      <c r="A35" s="2" t="s">
        <v>121</v>
      </c>
      <c r="B35" s="2" t="s">
        <v>122</v>
      </c>
      <c r="C35" s="2" t="s">
        <v>1151</v>
      </c>
      <c r="D35" s="23">
        <v>221</v>
      </c>
      <c r="E35" s="23">
        <v>0</v>
      </c>
      <c r="F35" s="23">
        <v>150</v>
      </c>
      <c r="G35" s="11">
        <v>50</v>
      </c>
      <c r="H35" s="23">
        <v>0</v>
      </c>
      <c r="I35" s="23">
        <v>71</v>
      </c>
      <c r="J35" s="4">
        <v>320</v>
      </c>
      <c r="K35" s="4">
        <v>22720</v>
      </c>
      <c r="L35" s="20">
        <f t="shared" si="0"/>
        <v>21</v>
      </c>
    </row>
    <row r="36" spans="1:12" x14ac:dyDescent="0.25">
      <c r="A36" s="2" t="s">
        <v>66</v>
      </c>
      <c r="B36" s="2" t="s">
        <v>1229</v>
      </c>
      <c r="C36" s="2" t="s">
        <v>821</v>
      </c>
      <c r="D36" s="23">
        <v>110</v>
      </c>
      <c r="E36" s="23">
        <v>0</v>
      </c>
      <c r="F36" s="23">
        <v>0</v>
      </c>
      <c r="G36" s="11">
        <v>128</v>
      </c>
      <c r="H36" s="23">
        <v>40</v>
      </c>
      <c r="I36" s="23">
        <v>70</v>
      </c>
      <c r="J36" s="4">
        <v>60</v>
      </c>
      <c r="K36" s="4">
        <v>4200</v>
      </c>
      <c r="L36" s="20">
        <f t="shared" si="0"/>
        <v>-58</v>
      </c>
    </row>
    <row r="37" spans="1:12" x14ac:dyDescent="0.25">
      <c r="A37" s="2" t="s">
        <v>71</v>
      </c>
      <c r="B37" s="2" t="s">
        <v>249</v>
      </c>
      <c r="C37" s="2" t="s">
        <v>250</v>
      </c>
      <c r="D37" s="23">
        <v>166.61999999999995</v>
      </c>
      <c r="E37" s="23">
        <v>7.2999999999999989</v>
      </c>
      <c r="F37" s="23">
        <v>96</v>
      </c>
      <c r="G37" s="11">
        <v>195.44000000000008</v>
      </c>
      <c r="H37" s="23">
        <v>0</v>
      </c>
      <c r="I37" s="23">
        <v>63.319999999999951</v>
      </c>
      <c r="J37" s="4">
        <v>128.93</v>
      </c>
      <c r="K37" s="4">
        <v>8163.847599999991</v>
      </c>
      <c r="L37" s="20">
        <f t="shared" si="0"/>
        <v>-132.12000000000015</v>
      </c>
    </row>
    <row r="38" spans="1:12" x14ac:dyDescent="0.25">
      <c r="A38" s="2" t="s">
        <v>70</v>
      </c>
      <c r="B38" s="2" t="s">
        <v>287</v>
      </c>
      <c r="C38" s="2" t="s">
        <v>490</v>
      </c>
      <c r="D38" s="23">
        <v>122.22</v>
      </c>
      <c r="E38" s="23">
        <v>59.09</v>
      </c>
      <c r="F38" s="23">
        <v>0</v>
      </c>
      <c r="G38" s="11">
        <v>233.6899999999996</v>
      </c>
      <c r="H38" s="23">
        <v>0</v>
      </c>
      <c r="I38" s="23">
        <v>63.130000000000017</v>
      </c>
      <c r="J38" s="4">
        <v>101.44000000000003</v>
      </c>
      <c r="K38" s="4">
        <v>6403.9072000000006</v>
      </c>
      <c r="L38" s="20">
        <f t="shared" si="0"/>
        <v>-170.5599999999996</v>
      </c>
    </row>
    <row r="39" spans="1:12" x14ac:dyDescent="0.25">
      <c r="A39" s="2" t="s">
        <v>491</v>
      </c>
      <c r="B39" s="2" t="s">
        <v>492</v>
      </c>
      <c r="C39" s="2" t="s">
        <v>707</v>
      </c>
      <c r="D39" s="23">
        <v>258</v>
      </c>
      <c r="E39" s="23">
        <v>0</v>
      </c>
      <c r="F39" s="23">
        <v>0</v>
      </c>
      <c r="G39" s="11">
        <v>0</v>
      </c>
      <c r="H39" s="23">
        <v>200</v>
      </c>
      <c r="I39" s="23">
        <v>58</v>
      </c>
      <c r="J39" s="4">
        <v>4.01</v>
      </c>
      <c r="K39" s="4">
        <v>232.57999999999998</v>
      </c>
      <c r="L39" s="20">
        <f t="shared" si="0"/>
        <v>58</v>
      </c>
    </row>
    <row r="40" spans="1:12" x14ac:dyDescent="0.25">
      <c r="A40" s="2" t="s">
        <v>1157</v>
      </c>
      <c r="B40" s="2" t="s">
        <v>1158</v>
      </c>
      <c r="C40" s="2" t="s">
        <v>1020</v>
      </c>
      <c r="D40" s="23">
        <v>56</v>
      </c>
      <c r="E40" s="23">
        <v>0</v>
      </c>
      <c r="F40" s="23">
        <v>0</v>
      </c>
      <c r="G40" s="11">
        <v>0</v>
      </c>
      <c r="H40" s="23">
        <v>0</v>
      </c>
      <c r="I40" s="23">
        <v>56</v>
      </c>
      <c r="J40" s="4">
        <v>0</v>
      </c>
      <c r="K40" s="4">
        <v>0</v>
      </c>
      <c r="L40" s="20">
        <f t="shared" si="0"/>
        <v>56</v>
      </c>
    </row>
    <row r="41" spans="1:12" x14ac:dyDescent="0.25">
      <c r="A41" s="2" t="s">
        <v>768</v>
      </c>
      <c r="B41" s="2" t="s">
        <v>769</v>
      </c>
      <c r="C41" s="2" t="s">
        <v>220</v>
      </c>
      <c r="D41" s="23">
        <v>54</v>
      </c>
      <c r="E41" s="23">
        <v>0</v>
      </c>
      <c r="F41" s="23">
        <v>0</v>
      </c>
      <c r="G41" s="11">
        <v>0</v>
      </c>
      <c r="H41" s="23">
        <v>0</v>
      </c>
      <c r="I41" s="23">
        <v>54</v>
      </c>
      <c r="J41" s="4">
        <v>1.25</v>
      </c>
      <c r="K41" s="4">
        <v>67.5</v>
      </c>
      <c r="L41" s="20">
        <f t="shared" si="0"/>
        <v>54</v>
      </c>
    </row>
    <row r="42" spans="1:12" x14ac:dyDescent="0.25">
      <c r="A42" s="2" t="s">
        <v>766</v>
      </c>
      <c r="B42" s="2" t="s">
        <v>767</v>
      </c>
      <c r="C42" s="2" t="s">
        <v>220</v>
      </c>
      <c r="D42" s="23">
        <v>54</v>
      </c>
      <c r="E42" s="23">
        <v>0</v>
      </c>
      <c r="F42" s="23">
        <v>0</v>
      </c>
      <c r="G42" s="11">
        <v>0</v>
      </c>
      <c r="H42" s="23">
        <v>0</v>
      </c>
      <c r="I42" s="23">
        <v>54</v>
      </c>
      <c r="J42" s="4">
        <v>0.70000000000000007</v>
      </c>
      <c r="K42" s="4">
        <v>37.800000000000004</v>
      </c>
      <c r="L42" s="20">
        <f t="shared" si="0"/>
        <v>54</v>
      </c>
    </row>
    <row r="43" spans="1:12" x14ac:dyDescent="0.25">
      <c r="A43" s="2" t="s">
        <v>770</v>
      </c>
      <c r="B43" s="2" t="s">
        <v>771</v>
      </c>
      <c r="C43" s="2" t="s">
        <v>220</v>
      </c>
      <c r="D43" s="23">
        <v>54</v>
      </c>
      <c r="E43" s="23">
        <v>0</v>
      </c>
      <c r="F43" s="23">
        <v>0</v>
      </c>
      <c r="G43" s="11">
        <v>0</v>
      </c>
      <c r="H43" s="23">
        <v>0</v>
      </c>
      <c r="I43" s="23">
        <v>54</v>
      </c>
      <c r="J43" s="4">
        <v>0.66</v>
      </c>
      <c r="K43" s="4">
        <v>35.639999999999993</v>
      </c>
      <c r="L43" s="20">
        <f t="shared" si="0"/>
        <v>54</v>
      </c>
    </row>
    <row r="44" spans="1:12" x14ac:dyDescent="0.25">
      <c r="A44" s="2" t="s">
        <v>728</v>
      </c>
      <c r="B44" s="2" t="s">
        <v>729</v>
      </c>
      <c r="C44" s="2" t="s">
        <v>223</v>
      </c>
      <c r="D44" s="23">
        <v>63</v>
      </c>
      <c r="E44" s="23">
        <v>9</v>
      </c>
      <c r="F44" s="23">
        <v>0</v>
      </c>
      <c r="G44" s="11">
        <v>344</v>
      </c>
      <c r="H44" s="23">
        <v>0</v>
      </c>
      <c r="I44" s="23">
        <v>54</v>
      </c>
      <c r="J44" s="4">
        <v>20.419999999999998</v>
      </c>
      <c r="K44" s="4">
        <v>1102.68</v>
      </c>
      <c r="L44" s="20">
        <f t="shared" si="0"/>
        <v>-290</v>
      </c>
    </row>
    <row r="45" spans="1:12" x14ac:dyDescent="0.25">
      <c r="A45" s="2" t="s">
        <v>846</v>
      </c>
      <c r="B45" s="2" t="s">
        <v>847</v>
      </c>
      <c r="C45" s="2" t="s">
        <v>253</v>
      </c>
      <c r="D45" s="23">
        <v>52</v>
      </c>
      <c r="E45" s="23">
        <v>0</v>
      </c>
      <c r="F45" s="23">
        <v>0</v>
      </c>
      <c r="G45" s="11">
        <v>-1.4210854715202004E-14</v>
      </c>
      <c r="H45" s="23">
        <v>0</v>
      </c>
      <c r="I45" s="23">
        <v>52</v>
      </c>
      <c r="J45" s="4">
        <v>546.60000000000014</v>
      </c>
      <c r="K45" s="4">
        <v>28423.200000000008</v>
      </c>
      <c r="L45" s="20">
        <f t="shared" si="0"/>
        <v>52.000000000000014</v>
      </c>
    </row>
    <row r="46" spans="1:12" x14ac:dyDescent="0.25">
      <c r="A46" s="2" t="s">
        <v>1125</v>
      </c>
      <c r="B46" s="2" t="s">
        <v>1126</v>
      </c>
      <c r="C46" s="2" t="s">
        <v>223</v>
      </c>
      <c r="D46" s="23">
        <v>50</v>
      </c>
      <c r="E46" s="23">
        <v>0</v>
      </c>
      <c r="F46" s="23">
        <v>0</v>
      </c>
      <c r="G46" s="11">
        <v>9.2500000000000568</v>
      </c>
      <c r="H46" s="23">
        <v>0</v>
      </c>
      <c r="I46" s="23">
        <v>50</v>
      </c>
      <c r="J46" s="4">
        <v>194.54</v>
      </c>
      <c r="K46" s="4">
        <v>9727</v>
      </c>
      <c r="L46" s="20">
        <f t="shared" si="0"/>
        <v>40.749999999999943</v>
      </c>
    </row>
    <row r="47" spans="1:12" x14ac:dyDescent="0.25">
      <c r="A47" s="2" t="s">
        <v>1113</v>
      </c>
      <c r="B47" s="2" t="s">
        <v>1114</v>
      </c>
      <c r="C47" s="2" t="s">
        <v>1020</v>
      </c>
      <c r="D47" s="23">
        <v>50</v>
      </c>
      <c r="E47" s="23">
        <v>0</v>
      </c>
      <c r="F47" s="23">
        <v>0</v>
      </c>
      <c r="G47" s="11">
        <v>0</v>
      </c>
      <c r="H47" s="23">
        <v>0</v>
      </c>
      <c r="I47" s="23">
        <v>50</v>
      </c>
      <c r="J47" s="4">
        <v>2.95</v>
      </c>
      <c r="K47" s="4">
        <v>147.5</v>
      </c>
      <c r="L47" s="20">
        <f t="shared" si="0"/>
        <v>50</v>
      </c>
    </row>
    <row r="48" spans="1:12" x14ac:dyDescent="0.25">
      <c r="A48" s="2" t="s">
        <v>370</v>
      </c>
      <c r="B48" s="2" t="s">
        <v>371</v>
      </c>
      <c r="C48" s="2" t="s">
        <v>240</v>
      </c>
      <c r="D48" s="23">
        <v>214</v>
      </c>
      <c r="E48" s="23">
        <v>0</v>
      </c>
      <c r="F48" s="23">
        <v>166</v>
      </c>
      <c r="G48" s="11">
        <v>61</v>
      </c>
      <c r="H48" s="23">
        <v>0</v>
      </c>
      <c r="I48" s="23">
        <v>48</v>
      </c>
      <c r="J48" s="4">
        <v>20</v>
      </c>
      <c r="K48" s="4">
        <v>960</v>
      </c>
      <c r="L48" s="20">
        <f t="shared" si="0"/>
        <v>-13</v>
      </c>
    </row>
    <row r="49" spans="1:12" x14ac:dyDescent="0.25">
      <c r="A49" s="2" t="s">
        <v>68</v>
      </c>
      <c r="B49" s="2" t="s">
        <v>69</v>
      </c>
      <c r="C49" s="2" t="s">
        <v>490</v>
      </c>
      <c r="D49" s="23">
        <v>184.60999999999999</v>
      </c>
      <c r="E49" s="23">
        <v>6.5400000000000009</v>
      </c>
      <c r="F49" s="23">
        <v>134.90000000000003</v>
      </c>
      <c r="G49" s="11">
        <v>46.099999999999781</v>
      </c>
      <c r="H49" s="23">
        <v>0</v>
      </c>
      <c r="I49" s="23">
        <v>43.169999999999959</v>
      </c>
      <c r="J49" s="4">
        <v>96.369999999999962</v>
      </c>
      <c r="K49" s="4">
        <v>4160.2928999999958</v>
      </c>
      <c r="L49" s="20">
        <f t="shared" si="0"/>
        <v>-2.9299999999998221</v>
      </c>
    </row>
    <row r="50" spans="1:12" x14ac:dyDescent="0.25">
      <c r="A50" s="2" t="s">
        <v>1159</v>
      </c>
      <c r="B50" s="2" t="s">
        <v>1160</v>
      </c>
      <c r="C50" s="2" t="s">
        <v>1021</v>
      </c>
      <c r="D50" s="23">
        <v>42</v>
      </c>
      <c r="E50" s="23">
        <v>0</v>
      </c>
      <c r="F50" s="23">
        <v>0</v>
      </c>
      <c r="G50" s="11">
        <v>0</v>
      </c>
      <c r="H50" s="23">
        <v>0</v>
      </c>
      <c r="I50" s="23">
        <v>42</v>
      </c>
      <c r="J50" s="4">
        <v>0.35999999999999993</v>
      </c>
      <c r="K50" s="4">
        <v>15.120000000000001</v>
      </c>
      <c r="L50" s="20">
        <f t="shared" si="0"/>
        <v>42</v>
      </c>
    </row>
    <row r="51" spans="1:12" x14ac:dyDescent="0.25">
      <c r="A51" s="2" t="s">
        <v>363</v>
      </c>
      <c r="B51" s="2" t="s">
        <v>364</v>
      </c>
      <c r="C51" s="2" t="s">
        <v>314</v>
      </c>
      <c r="D51" s="23">
        <v>141.30000000000001</v>
      </c>
      <c r="E51" s="23">
        <v>0</v>
      </c>
      <c r="F51" s="23">
        <v>100</v>
      </c>
      <c r="G51" s="11">
        <v>159.90000000000006</v>
      </c>
      <c r="H51" s="23">
        <v>0</v>
      </c>
      <c r="I51" s="23">
        <v>41.29999999999999</v>
      </c>
      <c r="J51" s="4">
        <v>22.5</v>
      </c>
      <c r="K51" s="4">
        <v>929.25000000000023</v>
      </c>
      <c r="L51" s="20">
        <f t="shared" si="0"/>
        <v>-118.60000000000005</v>
      </c>
    </row>
    <row r="52" spans="1:12" x14ac:dyDescent="0.25">
      <c r="A52" s="2" t="s">
        <v>361</v>
      </c>
      <c r="B52" s="2" t="s">
        <v>362</v>
      </c>
      <c r="C52" s="2" t="s">
        <v>314</v>
      </c>
      <c r="D52" s="23">
        <v>141.30000000000001</v>
      </c>
      <c r="E52" s="23">
        <v>0</v>
      </c>
      <c r="F52" s="23">
        <v>100</v>
      </c>
      <c r="G52" s="11">
        <v>139.99999999999994</v>
      </c>
      <c r="H52" s="23">
        <v>0</v>
      </c>
      <c r="I52" s="23">
        <v>41.29999999999999</v>
      </c>
      <c r="J52" s="4">
        <v>22.5</v>
      </c>
      <c r="K52" s="4">
        <v>929.25000000000023</v>
      </c>
      <c r="L52" s="20">
        <f t="shared" si="0"/>
        <v>-98.699999999999932</v>
      </c>
    </row>
    <row r="53" spans="1:12" x14ac:dyDescent="0.25">
      <c r="A53" s="2" t="s">
        <v>143</v>
      </c>
      <c r="B53" s="2" t="s">
        <v>144</v>
      </c>
      <c r="C53" s="2" t="s">
        <v>826</v>
      </c>
      <c r="D53" s="23">
        <v>40</v>
      </c>
      <c r="E53" s="23">
        <v>0</v>
      </c>
      <c r="F53" s="23">
        <v>0</v>
      </c>
      <c r="G53" s="11">
        <v>64</v>
      </c>
      <c r="H53" s="23">
        <v>0</v>
      </c>
      <c r="I53" s="23">
        <v>40</v>
      </c>
      <c r="J53" s="4">
        <v>6.870000000000001</v>
      </c>
      <c r="K53" s="4">
        <v>274.80000000000007</v>
      </c>
      <c r="L53" s="20">
        <f t="shared" si="0"/>
        <v>-24</v>
      </c>
    </row>
    <row r="54" spans="1:12" x14ac:dyDescent="0.25">
      <c r="A54" s="2" t="s">
        <v>932</v>
      </c>
      <c r="B54" s="2" t="s">
        <v>933</v>
      </c>
      <c r="C54" s="2" t="s">
        <v>223</v>
      </c>
      <c r="D54" s="23">
        <v>40</v>
      </c>
      <c r="E54" s="23">
        <v>0</v>
      </c>
      <c r="F54" s="23">
        <v>0</v>
      </c>
      <c r="G54" s="11">
        <v>68.954999999999956</v>
      </c>
      <c r="H54" s="23">
        <v>0</v>
      </c>
      <c r="I54" s="23">
        <v>40</v>
      </c>
      <c r="J54" s="4">
        <v>209.54</v>
      </c>
      <c r="K54" s="4">
        <v>8381.6</v>
      </c>
      <c r="L54" s="20">
        <f t="shared" si="0"/>
        <v>-28.954999999999956</v>
      </c>
    </row>
    <row r="55" spans="1:12" x14ac:dyDescent="0.25">
      <c r="A55" s="2" t="s">
        <v>510</v>
      </c>
      <c r="B55" s="2" t="s">
        <v>511</v>
      </c>
      <c r="C55" s="2" t="s">
        <v>826</v>
      </c>
      <c r="D55" s="23">
        <v>38</v>
      </c>
      <c r="E55" s="23">
        <v>0</v>
      </c>
      <c r="F55" s="23">
        <v>0</v>
      </c>
      <c r="G55" s="11">
        <v>14</v>
      </c>
      <c r="H55" s="23">
        <v>0</v>
      </c>
      <c r="I55" s="23">
        <v>38</v>
      </c>
      <c r="J55" s="4">
        <v>6.8700000000000019</v>
      </c>
      <c r="K55" s="4">
        <v>261.06000000000006</v>
      </c>
      <c r="L55" s="20">
        <f t="shared" si="0"/>
        <v>24</v>
      </c>
    </row>
    <row r="56" spans="1:12" x14ac:dyDescent="0.25">
      <c r="A56" s="2" t="s">
        <v>209</v>
      </c>
      <c r="B56" s="2" t="s">
        <v>292</v>
      </c>
      <c r="C56" s="2" t="s">
        <v>228</v>
      </c>
      <c r="D56" s="23">
        <v>33</v>
      </c>
      <c r="E56" s="23">
        <v>0</v>
      </c>
      <c r="F56" s="23">
        <v>0</v>
      </c>
      <c r="G56" s="11">
        <v>0</v>
      </c>
      <c r="H56" s="23">
        <v>0</v>
      </c>
      <c r="I56" s="23">
        <v>33</v>
      </c>
      <c r="J56" s="4">
        <v>0.12</v>
      </c>
      <c r="K56" s="4">
        <v>3.9599999999999995</v>
      </c>
      <c r="L56" s="20">
        <f t="shared" si="0"/>
        <v>33</v>
      </c>
    </row>
    <row r="57" spans="1:12" x14ac:dyDescent="0.25">
      <c r="A57" s="2" t="s">
        <v>748</v>
      </c>
      <c r="B57" s="2" t="s">
        <v>749</v>
      </c>
      <c r="C57" s="2" t="s">
        <v>1021</v>
      </c>
      <c r="D57" s="23">
        <v>32</v>
      </c>
      <c r="E57" s="23">
        <v>0</v>
      </c>
      <c r="F57" s="23">
        <v>0</v>
      </c>
      <c r="G57" s="11">
        <v>250</v>
      </c>
      <c r="H57" s="23">
        <v>0</v>
      </c>
      <c r="I57" s="23">
        <v>32</v>
      </c>
      <c r="J57" s="4">
        <v>5.7400000000000011</v>
      </c>
      <c r="K57" s="4">
        <v>183.68000000000004</v>
      </c>
      <c r="L57" s="20">
        <f t="shared" si="0"/>
        <v>-218</v>
      </c>
    </row>
    <row r="58" spans="1:12" x14ac:dyDescent="0.25">
      <c r="A58" s="2" t="s">
        <v>299</v>
      </c>
      <c r="B58" s="2" t="s">
        <v>300</v>
      </c>
      <c r="C58" s="2" t="s">
        <v>240</v>
      </c>
      <c r="D58" s="23">
        <v>306.5</v>
      </c>
      <c r="E58" s="23">
        <v>94.5</v>
      </c>
      <c r="F58" s="23">
        <v>180</v>
      </c>
      <c r="G58" s="11">
        <v>80</v>
      </c>
      <c r="H58" s="23">
        <v>0</v>
      </c>
      <c r="I58" s="23">
        <v>32</v>
      </c>
      <c r="J58" s="4">
        <v>240</v>
      </c>
      <c r="K58" s="4">
        <v>7680</v>
      </c>
      <c r="L58" s="20">
        <f t="shared" si="0"/>
        <v>-48</v>
      </c>
    </row>
    <row r="59" spans="1:12" x14ac:dyDescent="0.25">
      <c r="A59" s="2" t="s">
        <v>1023</v>
      </c>
      <c r="B59" s="2" t="s">
        <v>1024</v>
      </c>
      <c r="C59" s="2" t="s">
        <v>216</v>
      </c>
      <c r="D59" s="23">
        <v>32</v>
      </c>
      <c r="E59" s="23">
        <v>0</v>
      </c>
      <c r="F59" s="23">
        <v>0</v>
      </c>
      <c r="G59" s="11">
        <v>0</v>
      </c>
      <c r="H59" s="23">
        <v>0</v>
      </c>
      <c r="I59" s="23">
        <v>32</v>
      </c>
      <c r="J59" s="4">
        <v>0.45</v>
      </c>
      <c r="K59" s="4">
        <v>14.4</v>
      </c>
      <c r="L59" s="20">
        <f t="shared" si="0"/>
        <v>32</v>
      </c>
    </row>
    <row r="60" spans="1:12" x14ac:dyDescent="0.25">
      <c r="A60" s="2" t="s">
        <v>500</v>
      </c>
      <c r="B60" s="2" t="s">
        <v>501</v>
      </c>
      <c r="C60" s="2" t="s">
        <v>1020</v>
      </c>
      <c r="D60" s="23">
        <v>30.5</v>
      </c>
      <c r="E60" s="23">
        <v>0</v>
      </c>
      <c r="F60" s="23">
        <v>0</v>
      </c>
      <c r="G60" s="11">
        <v>27</v>
      </c>
      <c r="H60" s="23">
        <v>0</v>
      </c>
      <c r="I60" s="23">
        <v>30.5</v>
      </c>
      <c r="J60" s="4">
        <v>13</v>
      </c>
      <c r="K60" s="4">
        <v>396.5</v>
      </c>
      <c r="L60" s="20">
        <f t="shared" si="0"/>
        <v>3.5</v>
      </c>
    </row>
    <row r="61" spans="1:12" x14ac:dyDescent="0.25">
      <c r="A61" s="2" t="s">
        <v>145</v>
      </c>
      <c r="B61" s="2" t="s">
        <v>146</v>
      </c>
      <c r="C61" s="2" t="s">
        <v>223</v>
      </c>
      <c r="D61" s="23">
        <v>60.899999999999991</v>
      </c>
      <c r="E61" s="23">
        <v>9.8999999999999986</v>
      </c>
      <c r="F61" s="23">
        <v>0</v>
      </c>
      <c r="G61" s="11">
        <v>4.0000000000000506</v>
      </c>
      <c r="H61" s="23">
        <v>22</v>
      </c>
      <c r="I61" s="23">
        <v>28.999999999999993</v>
      </c>
      <c r="J61" s="4">
        <v>1041.6699999999998</v>
      </c>
      <c r="K61" s="4">
        <v>30208.429999999997</v>
      </c>
      <c r="L61" s="20">
        <f t="shared" si="0"/>
        <v>24.999999999999943</v>
      </c>
    </row>
    <row r="62" spans="1:12" x14ac:dyDescent="0.25">
      <c r="A62" s="2" t="s">
        <v>394</v>
      </c>
      <c r="B62" s="2" t="s">
        <v>395</v>
      </c>
      <c r="C62" s="2" t="s">
        <v>628</v>
      </c>
      <c r="D62" s="23">
        <v>34.1</v>
      </c>
      <c r="E62" s="23">
        <v>0</v>
      </c>
      <c r="F62" s="23">
        <v>6</v>
      </c>
      <c r="G62" s="11">
        <v>14.000000000000004</v>
      </c>
      <c r="H62" s="23">
        <v>0</v>
      </c>
      <c r="I62" s="23">
        <v>28.100000000000012</v>
      </c>
      <c r="J62" s="4">
        <v>145.82999999999998</v>
      </c>
      <c r="K62" s="4">
        <v>4097.8230000000021</v>
      </c>
      <c r="L62" s="20">
        <f t="shared" si="0"/>
        <v>14.099999999999998</v>
      </c>
    </row>
    <row r="63" spans="1:12" x14ac:dyDescent="0.25">
      <c r="A63" s="2" t="s">
        <v>1136</v>
      </c>
      <c r="B63" s="2" t="s">
        <v>1137</v>
      </c>
      <c r="C63" s="2" t="s">
        <v>240</v>
      </c>
      <c r="D63" s="23">
        <v>27</v>
      </c>
      <c r="E63" s="23">
        <v>0</v>
      </c>
      <c r="F63" s="23">
        <v>0</v>
      </c>
      <c r="G63" s="11">
        <v>0</v>
      </c>
      <c r="H63" s="23">
        <v>0</v>
      </c>
      <c r="I63" s="23">
        <v>27</v>
      </c>
      <c r="J63" s="4">
        <v>12</v>
      </c>
      <c r="K63" s="4">
        <v>324</v>
      </c>
      <c r="L63" s="20">
        <f t="shared" si="0"/>
        <v>27</v>
      </c>
    </row>
    <row r="64" spans="1:12" x14ac:dyDescent="0.25">
      <c r="A64" s="2" t="s">
        <v>512</v>
      </c>
      <c r="B64" s="16" t="s">
        <v>513</v>
      </c>
      <c r="C64" s="2" t="s">
        <v>262</v>
      </c>
      <c r="D64" s="23">
        <v>40</v>
      </c>
      <c r="E64" s="23">
        <v>10</v>
      </c>
      <c r="F64" s="23">
        <v>4</v>
      </c>
      <c r="G64" s="11">
        <v>10</v>
      </c>
      <c r="H64" s="23">
        <v>0</v>
      </c>
      <c r="I64" s="23">
        <v>26</v>
      </c>
      <c r="J64" s="4">
        <v>1603.3300000000004</v>
      </c>
      <c r="K64" s="4">
        <v>41686.58</v>
      </c>
      <c r="L64" s="20">
        <f t="shared" si="0"/>
        <v>16</v>
      </c>
    </row>
    <row r="65" spans="1:12" x14ac:dyDescent="0.25">
      <c r="A65" s="2" t="s">
        <v>454</v>
      </c>
      <c r="B65" s="2" t="s">
        <v>455</v>
      </c>
      <c r="C65" s="2" t="s">
        <v>887</v>
      </c>
      <c r="D65" s="23">
        <v>26</v>
      </c>
      <c r="E65" s="23">
        <v>0</v>
      </c>
      <c r="F65" s="23">
        <v>0</v>
      </c>
      <c r="G65" s="11">
        <v>93</v>
      </c>
      <c r="H65" s="23">
        <v>0</v>
      </c>
      <c r="I65" s="23">
        <v>26</v>
      </c>
      <c r="J65" s="4">
        <v>13.5</v>
      </c>
      <c r="K65" s="4">
        <v>351</v>
      </c>
      <c r="L65" s="20">
        <f t="shared" si="0"/>
        <v>-67</v>
      </c>
    </row>
    <row r="66" spans="1:12" x14ac:dyDescent="0.25">
      <c r="A66" s="2" t="s">
        <v>779</v>
      </c>
      <c r="B66" s="2" t="s">
        <v>780</v>
      </c>
      <c r="C66" s="2" t="s">
        <v>589</v>
      </c>
      <c r="D66" s="23">
        <v>38</v>
      </c>
      <c r="E66" s="23">
        <v>12</v>
      </c>
      <c r="F66" s="23">
        <v>1</v>
      </c>
      <c r="G66" s="11">
        <v>14</v>
      </c>
      <c r="H66" s="23">
        <v>0</v>
      </c>
      <c r="I66" s="23">
        <v>25</v>
      </c>
      <c r="J66" s="4">
        <v>444.13000000000005</v>
      </c>
      <c r="K66" s="4">
        <v>11103.25</v>
      </c>
      <c r="L66" s="20">
        <f t="shared" si="0"/>
        <v>11</v>
      </c>
    </row>
    <row r="67" spans="1:12" x14ac:dyDescent="0.25">
      <c r="A67" s="2" t="s">
        <v>80</v>
      </c>
      <c r="B67" s="2" t="s">
        <v>81</v>
      </c>
      <c r="C67" s="2" t="s">
        <v>223</v>
      </c>
      <c r="D67" s="23">
        <v>111</v>
      </c>
      <c r="E67" s="23">
        <v>46</v>
      </c>
      <c r="F67" s="23">
        <v>0</v>
      </c>
      <c r="G67" s="11">
        <v>10.50000000000006</v>
      </c>
      <c r="H67" s="23">
        <v>40</v>
      </c>
      <c r="I67" s="23">
        <v>25</v>
      </c>
      <c r="J67" s="4">
        <v>666.67</v>
      </c>
      <c r="K67" s="4">
        <v>16666.75</v>
      </c>
      <c r="L67" s="20">
        <f t="shared" si="0"/>
        <v>14.499999999999943</v>
      </c>
    </row>
    <row r="68" spans="1:12" x14ac:dyDescent="0.25">
      <c r="A68" s="2" t="s">
        <v>774</v>
      </c>
      <c r="B68" s="2" t="s">
        <v>775</v>
      </c>
      <c r="C68" s="2" t="s">
        <v>253</v>
      </c>
      <c r="D68" s="23">
        <v>24</v>
      </c>
      <c r="E68" s="23">
        <v>0</v>
      </c>
      <c r="F68" s="23">
        <v>0</v>
      </c>
      <c r="G68" s="11">
        <v>0</v>
      </c>
      <c r="H68" s="23">
        <v>0</v>
      </c>
      <c r="I68" s="23">
        <v>24</v>
      </c>
      <c r="J68" s="4">
        <v>614.63</v>
      </c>
      <c r="K68" s="4">
        <v>14751.119999999997</v>
      </c>
      <c r="L68" s="20">
        <f t="shared" si="0"/>
        <v>24</v>
      </c>
    </row>
    <row r="69" spans="1:12" x14ac:dyDescent="0.25">
      <c r="A69" s="2" t="s">
        <v>1155</v>
      </c>
      <c r="B69" s="2" t="s">
        <v>1156</v>
      </c>
      <c r="C69" s="2" t="s">
        <v>635</v>
      </c>
      <c r="D69" s="23">
        <v>24</v>
      </c>
      <c r="E69" s="23">
        <v>0</v>
      </c>
      <c r="F69" s="23">
        <v>0</v>
      </c>
      <c r="G69" s="11">
        <v>0</v>
      </c>
      <c r="H69" s="23">
        <v>0</v>
      </c>
      <c r="I69" s="23">
        <v>24</v>
      </c>
      <c r="J69" s="4">
        <v>0.88</v>
      </c>
      <c r="K69" s="4">
        <v>21.12</v>
      </c>
      <c r="L69" s="20">
        <f t="shared" si="0"/>
        <v>24</v>
      </c>
    </row>
    <row r="70" spans="1:12" x14ac:dyDescent="0.25">
      <c r="A70" s="2" t="s">
        <v>607</v>
      </c>
      <c r="B70" s="2" t="s">
        <v>608</v>
      </c>
      <c r="C70" s="2" t="s">
        <v>636</v>
      </c>
      <c r="D70" s="23">
        <v>34</v>
      </c>
      <c r="E70" s="23">
        <v>10</v>
      </c>
      <c r="F70" s="23">
        <v>0</v>
      </c>
      <c r="G70" s="11">
        <v>10</v>
      </c>
      <c r="H70" s="23">
        <v>0</v>
      </c>
      <c r="I70" s="23">
        <v>24</v>
      </c>
      <c r="J70" s="4">
        <v>56.600000000000016</v>
      </c>
      <c r="K70" s="4">
        <v>1358.4</v>
      </c>
      <c r="L70" s="20">
        <f t="shared" si="0"/>
        <v>14</v>
      </c>
    </row>
    <row r="71" spans="1:12" x14ac:dyDescent="0.25">
      <c r="A71" s="2" t="s">
        <v>307</v>
      </c>
      <c r="B71" s="2" t="s">
        <v>308</v>
      </c>
      <c r="C71" s="2" t="s">
        <v>628</v>
      </c>
      <c r="D71" s="23">
        <v>37</v>
      </c>
      <c r="E71" s="23">
        <v>0</v>
      </c>
      <c r="F71" s="23">
        <v>13</v>
      </c>
      <c r="G71" s="11">
        <v>1</v>
      </c>
      <c r="H71" s="23">
        <v>0</v>
      </c>
      <c r="I71" s="23">
        <v>24</v>
      </c>
      <c r="J71" s="4">
        <v>65.42</v>
      </c>
      <c r="K71" s="4">
        <v>1570.0800000000006</v>
      </c>
      <c r="L71" s="20">
        <f t="shared" si="0"/>
        <v>23</v>
      </c>
    </row>
    <row r="72" spans="1:12" x14ac:dyDescent="0.25">
      <c r="A72" s="2" t="s">
        <v>86</v>
      </c>
      <c r="B72" s="2" t="s">
        <v>87</v>
      </c>
      <c r="C72" s="2" t="s">
        <v>240</v>
      </c>
      <c r="D72" s="23">
        <v>70.61999999999999</v>
      </c>
      <c r="E72" s="23">
        <v>0</v>
      </c>
      <c r="F72" s="23">
        <v>47</v>
      </c>
      <c r="G72" s="11">
        <v>1</v>
      </c>
      <c r="H72" s="23">
        <v>0</v>
      </c>
      <c r="I72" s="23">
        <v>23.619999999999997</v>
      </c>
      <c r="J72" s="4">
        <v>100</v>
      </c>
      <c r="K72" s="4">
        <v>2361.9999999999995</v>
      </c>
      <c r="L72" s="20">
        <f t="shared" si="0"/>
        <v>22.61999999999999</v>
      </c>
    </row>
    <row r="73" spans="1:12" x14ac:dyDescent="0.25">
      <c r="A73" s="2" t="s">
        <v>1200</v>
      </c>
      <c r="B73" s="2" t="s">
        <v>1201</v>
      </c>
      <c r="C73" s="2" t="s">
        <v>490</v>
      </c>
      <c r="D73" s="23">
        <v>23.209999999999997</v>
      </c>
      <c r="E73" s="23">
        <v>0</v>
      </c>
      <c r="F73" s="23">
        <v>0</v>
      </c>
      <c r="G73" s="11">
        <v>-2.2026824808563106E-13</v>
      </c>
      <c r="H73" s="23">
        <v>0</v>
      </c>
      <c r="I73" s="23">
        <v>23.209999999999997</v>
      </c>
      <c r="J73" s="4">
        <v>120.68</v>
      </c>
      <c r="K73" s="4">
        <v>2800.9827999999998</v>
      </c>
      <c r="L73" s="20">
        <f t="shared" si="0"/>
        <v>23.210000000000218</v>
      </c>
    </row>
    <row r="74" spans="1:12" x14ac:dyDescent="0.25">
      <c r="A74" s="2" t="s">
        <v>118</v>
      </c>
      <c r="B74" s="2" t="s">
        <v>119</v>
      </c>
      <c r="C74" s="2" t="s">
        <v>240</v>
      </c>
      <c r="D74" s="23">
        <v>106</v>
      </c>
      <c r="E74" s="23">
        <v>0</v>
      </c>
      <c r="F74" s="23">
        <v>84</v>
      </c>
      <c r="G74" s="11">
        <v>36</v>
      </c>
      <c r="H74" s="23">
        <v>0</v>
      </c>
      <c r="I74" s="23">
        <v>22</v>
      </c>
      <c r="J74" s="4">
        <v>20</v>
      </c>
      <c r="K74" s="4">
        <v>440</v>
      </c>
      <c r="L74" s="20">
        <f t="shared" si="0"/>
        <v>-14</v>
      </c>
    </row>
    <row r="75" spans="1:12" x14ac:dyDescent="0.25">
      <c r="A75" s="2" t="s">
        <v>338</v>
      </c>
      <c r="B75" s="2" t="s">
        <v>339</v>
      </c>
      <c r="C75" s="2" t="s">
        <v>490</v>
      </c>
      <c r="D75" s="23">
        <v>136.04</v>
      </c>
      <c r="E75" s="23">
        <v>54.14</v>
      </c>
      <c r="F75" s="23">
        <v>0</v>
      </c>
      <c r="G75" s="11">
        <v>154.94999999999993</v>
      </c>
      <c r="H75" s="23">
        <v>60</v>
      </c>
      <c r="I75" s="23">
        <v>21.899999999999984</v>
      </c>
      <c r="J75" s="4">
        <v>194.75</v>
      </c>
      <c r="K75" s="4">
        <v>4265.0249999999987</v>
      </c>
      <c r="L75" s="20">
        <f t="shared" si="0"/>
        <v>-133.04999999999995</v>
      </c>
    </row>
    <row r="76" spans="1:12" x14ac:dyDescent="0.25">
      <c r="A76" s="2" t="s">
        <v>380</v>
      </c>
      <c r="B76" s="2" t="s">
        <v>381</v>
      </c>
      <c r="C76" s="2" t="s">
        <v>821</v>
      </c>
      <c r="D76" s="23">
        <v>21.1</v>
      </c>
      <c r="E76" s="23">
        <v>0</v>
      </c>
      <c r="F76" s="23">
        <v>0</v>
      </c>
      <c r="G76" s="11">
        <v>20.300000000000086</v>
      </c>
      <c r="H76" s="23">
        <v>0</v>
      </c>
      <c r="I76" s="23">
        <v>21.100000000000005</v>
      </c>
      <c r="J76" s="4">
        <v>115</v>
      </c>
      <c r="K76" s="4">
        <v>2426.5</v>
      </c>
      <c r="L76" s="20">
        <f t="shared" si="0"/>
        <v>0.79999999999991545</v>
      </c>
    </row>
    <row r="77" spans="1:12" x14ac:dyDescent="0.25">
      <c r="A77" s="2" t="s">
        <v>609</v>
      </c>
      <c r="B77" s="2" t="s">
        <v>610</v>
      </c>
      <c r="C77" s="2" t="s">
        <v>223</v>
      </c>
      <c r="D77" s="23">
        <v>29.400000000000006</v>
      </c>
      <c r="E77" s="23">
        <v>5.4</v>
      </c>
      <c r="F77" s="23">
        <v>0</v>
      </c>
      <c r="G77" s="11">
        <v>11</v>
      </c>
      <c r="H77" s="23">
        <v>4</v>
      </c>
      <c r="I77" s="23">
        <v>20.000000000000004</v>
      </c>
      <c r="J77" s="4">
        <v>1833.3300000000011</v>
      </c>
      <c r="K77" s="4">
        <v>36666.600000000013</v>
      </c>
      <c r="L77" s="20">
        <f t="shared" ref="L77:L140" si="1">D77-E77-F77-G77-H77</f>
        <v>9.0000000000000071</v>
      </c>
    </row>
    <row r="78" spans="1:12" x14ac:dyDescent="0.25">
      <c r="A78" s="2" t="s">
        <v>1171</v>
      </c>
      <c r="B78" s="2" t="s">
        <v>1172</v>
      </c>
      <c r="C78" s="2" t="s">
        <v>648</v>
      </c>
      <c r="D78" s="23">
        <v>20</v>
      </c>
      <c r="E78" s="23">
        <v>0</v>
      </c>
      <c r="F78" s="23">
        <v>0</v>
      </c>
      <c r="G78" s="11">
        <v>21</v>
      </c>
      <c r="H78" s="23">
        <v>0</v>
      </c>
      <c r="I78" s="23">
        <v>20</v>
      </c>
      <c r="J78" s="4">
        <v>1097.9000000000001</v>
      </c>
      <c r="K78" s="4">
        <v>21958</v>
      </c>
      <c r="L78" s="20">
        <f t="shared" si="1"/>
        <v>-1</v>
      </c>
    </row>
    <row r="79" spans="1:12" x14ac:dyDescent="0.25">
      <c r="A79" s="2" t="s">
        <v>819</v>
      </c>
      <c r="B79" s="2" t="s">
        <v>820</v>
      </c>
      <c r="C79" s="2" t="s">
        <v>275</v>
      </c>
      <c r="D79" s="23">
        <v>40</v>
      </c>
      <c r="E79" s="23">
        <v>5</v>
      </c>
      <c r="F79" s="23">
        <v>15</v>
      </c>
      <c r="G79" s="11">
        <v>10</v>
      </c>
      <c r="H79" s="23">
        <v>0</v>
      </c>
      <c r="I79" s="23">
        <v>20</v>
      </c>
      <c r="J79" s="4">
        <v>177.29</v>
      </c>
      <c r="K79" s="4">
        <v>3545.7999999999997</v>
      </c>
      <c r="L79" s="20">
        <f t="shared" si="1"/>
        <v>10</v>
      </c>
    </row>
    <row r="80" spans="1:12" x14ac:dyDescent="0.25">
      <c r="A80" s="2" t="s">
        <v>660</v>
      </c>
      <c r="B80" s="2" t="s">
        <v>661</v>
      </c>
      <c r="C80" s="2" t="s">
        <v>223</v>
      </c>
      <c r="D80" s="23">
        <v>19</v>
      </c>
      <c r="E80" s="23">
        <v>0</v>
      </c>
      <c r="F80" s="23">
        <v>0</v>
      </c>
      <c r="G80" s="11">
        <v>0</v>
      </c>
      <c r="H80" s="23">
        <v>0</v>
      </c>
      <c r="I80" s="23">
        <v>19</v>
      </c>
      <c r="J80" s="4">
        <v>80.98</v>
      </c>
      <c r="K80" s="4">
        <v>1538.6199999999997</v>
      </c>
      <c r="L80" s="20">
        <f t="shared" si="1"/>
        <v>19</v>
      </c>
    </row>
    <row r="81" spans="1:12" x14ac:dyDescent="0.25">
      <c r="A81" s="2" t="s">
        <v>23</v>
      </c>
      <c r="B81" s="2" t="s">
        <v>304</v>
      </c>
      <c r="C81" s="2" t="s">
        <v>635</v>
      </c>
      <c r="D81" s="23">
        <v>19</v>
      </c>
      <c r="E81" s="23">
        <v>0</v>
      </c>
      <c r="F81" s="23">
        <v>0</v>
      </c>
      <c r="G81" s="11">
        <v>7</v>
      </c>
      <c r="H81" s="23">
        <v>0</v>
      </c>
      <c r="I81" s="23">
        <v>19</v>
      </c>
      <c r="J81" s="4">
        <v>40</v>
      </c>
      <c r="K81" s="4">
        <v>760</v>
      </c>
      <c r="L81" s="20">
        <f t="shared" si="1"/>
        <v>12</v>
      </c>
    </row>
    <row r="82" spans="1:12" x14ac:dyDescent="0.25">
      <c r="A82" s="2" t="s">
        <v>486</v>
      </c>
      <c r="B82" s="2" t="s">
        <v>487</v>
      </c>
      <c r="C82" s="2" t="s">
        <v>1089</v>
      </c>
      <c r="D82" s="23">
        <v>38</v>
      </c>
      <c r="E82" s="23">
        <v>0</v>
      </c>
      <c r="F82" s="23">
        <v>20</v>
      </c>
      <c r="G82" s="11">
        <v>34</v>
      </c>
      <c r="H82" s="23">
        <v>0</v>
      </c>
      <c r="I82" s="23">
        <v>18</v>
      </c>
      <c r="J82" s="4">
        <v>82</v>
      </c>
      <c r="K82" s="4">
        <v>1476</v>
      </c>
      <c r="L82" s="20">
        <f t="shared" si="1"/>
        <v>-16</v>
      </c>
    </row>
    <row r="83" spans="1:12" x14ac:dyDescent="0.25">
      <c r="A83" s="2" t="s">
        <v>114</v>
      </c>
      <c r="B83" s="2" t="s">
        <v>115</v>
      </c>
      <c r="C83" s="2" t="s">
        <v>490</v>
      </c>
      <c r="D83" s="23">
        <v>33.125999999999998</v>
      </c>
      <c r="E83" s="23">
        <v>15.177999999999997</v>
      </c>
      <c r="F83" s="23">
        <v>0</v>
      </c>
      <c r="G83" s="11">
        <v>65.03100000000002</v>
      </c>
      <c r="H83" s="23">
        <v>0</v>
      </c>
      <c r="I83" s="23">
        <v>17.948</v>
      </c>
      <c r="J83" s="4">
        <v>389.52999999999986</v>
      </c>
      <c r="K83" s="4">
        <v>6991.2844400000013</v>
      </c>
      <c r="L83" s="20">
        <f t="shared" si="1"/>
        <v>-47.08300000000002</v>
      </c>
    </row>
    <row r="84" spans="1:12" x14ac:dyDescent="0.25">
      <c r="A84" s="2" t="s">
        <v>1069</v>
      </c>
      <c r="B84" s="2" t="s">
        <v>1070</v>
      </c>
      <c r="C84" s="2" t="s">
        <v>1020</v>
      </c>
      <c r="D84" s="23">
        <v>16</v>
      </c>
      <c r="E84" s="23">
        <v>0</v>
      </c>
      <c r="F84" s="23">
        <v>0</v>
      </c>
      <c r="G84" s="11">
        <v>0</v>
      </c>
      <c r="H84" s="23">
        <v>0</v>
      </c>
      <c r="I84" s="23">
        <v>16</v>
      </c>
      <c r="J84" s="4">
        <v>0</v>
      </c>
      <c r="K84" s="4">
        <v>0</v>
      </c>
      <c r="L84" s="20">
        <f t="shared" si="1"/>
        <v>16</v>
      </c>
    </row>
    <row r="85" spans="1:12" x14ac:dyDescent="0.25">
      <c r="A85" s="2" t="s">
        <v>1025</v>
      </c>
      <c r="B85" s="2" t="s">
        <v>1026</v>
      </c>
      <c r="C85" s="2" t="s">
        <v>216</v>
      </c>
      <c r="D85" s="23">
        <v>16</v>
      </c>
      <c r="E85" s="23">
        <v>0</v>
      </c>
      <c r="F85" s="23">
        <v>0</v>
      </c>
      <c r="G85" s="11">
        <v>0</v>
      </c>
      <c r="H85" s="23">
        <v>0</v>
      </c>
      <c r="I85" s="23">
        <v>16</v>
      </c>
      <c r="J85" s="4">
        <v>0.35</v>
      </c>
      <c r="K85" s="4">
        <v>5.6</v>
      </c>
      <c r="L85" s="20">
        <f t="shared" si="1"/>
        <v>16</v>
      </c>
    </row>
    <row r="86" spans="1:12" x14ac:dyDescent="0.25">
      <c r="A86" s="2" t="s">
        <v>268</v>
      </c>
      <c r="B86" s="2" t="s">
        <v>588</v>
      </c>
      <c r="C86" s="2" t="s">
        <v>589</v>
      </c>
      <c r="D86" s="23">
        <v>20</v>
      </c>
      <c r="E86" s="23">
        <v>3</v>
      </c>
      <c r="F86" s="23">
        <v>1</v>
      </c>
      <c r="G86" s="11">
        <v>11</v>
      </c>
      <c r="H86" s="23">
        <v>0</v>
      </c>
      <c r="I86" s="23">
        <v>16</v>
      </c>
      <c r="J86" s="4">
        <v>13310.519999999995</v>
      </c>
      <c r="K86" s="4">
        <v>212968.31999999992</v>
      </c>
      <c r="L86" s="20">
        <f t="shared" si="1"/>
        <v>5</v>
      </c>
    </row>
    <row r="87" spans="1:12" x14ac:dyDescent="0.25">
      <c r="A87" s="2" t="s">
        <v>938</v>
      </c>
      <c r="B87" s="2" t="s">
        <v>939</v>
      </c>
      <c r="C87" s="2" t="s">
        <v>940</v>
      </c>
      <c r="D87" s="23">
        <v>16</v>
      </c>
      <c r="E87" s="23">
        <v>0</v>
      </c>
      <c r="F87" s="23">
        <v>0</v>
      </c>
      <c r="G87" s="11">
        <v>4</v>
      </c>
      <c r="H87" s="23">
        <v>0</v>
      </c>
      <c r="I87" s="23">
        <v>16</v>
      </c>
      <c r="J87" s="4">
        <v>90</v>
      </c>
      <c r="K87" s="4">
        <v>1440</v>
      </c>
      <c r="L87" s="20">
        <f t="shared" si="1"/>
        <v>12</v>
      </c>
    </row>
    <row r="88" spans="1:12" x14ac:dyDescent="0.25">
      <c r="A88" s="2" t="s">
        <v>1076</v>
      </c>
      <c r="B88" s="2" t="s">
        <v>1077</v>
      </c>
      <c r="C88" s="2" t="s">
        <v>1020</v>
      </c>
      <c r="D88" s="23">
        <v>15</v>
      </c>
      <c r="E88" s="23">
        <v>0</v>
      </c>
      <c r="F88" s="23">
        <v>0</v>
      </c>
      <c r="G88" s="11">
        <v>0</v>
      </c>
      <c r="H88" s="23">
        <v>0</v>
      </c>
      <c r="I88" s="23">
        <v>15</v>
      </c>
      <c r="J88" s="4">
        <v>0</v>
      </c>
      <c r="K88" s="4">
        <v>0</v>
      </c>
      <c r="L88" s="20">
        <f t="shared" si="1"/>
        <v>15</v>
      </c>
    </row>
    <row r="89" spans="1:12" x14ac:dyDescent="0.25">
      <c r="A89" s="2" t="s">
        <v>386</v>
      </c>
      <c r="B89" s="2" t="s">
        <v>613</v>
      </c>
      <c r="C89" s="2" t="s">
        <v>223</v>
      </c>
      <c r="D89" s="23">
        <v>16</v>
      </c>
      <c r="E89" s="23">
        <v>1</v>
      </c>
      <c r="F89" s="23">
        <v>0</v>
      </c>
      <c r="G89" s="11">
        <v>67.085000000000008</v>
      </c>
      <c r="H89" s="23">
        <v>0</v>
      </c>
      <c r="I89" s="23">
        <v>15</v>
      </c>
      <c r="J89" s="4">
        <v>651.87000000000012</v>
      </c>
      <c r="K89" s="4">
        <v>9778.0499999999993</v>
      </c>
      <c r="L89" s="20">
        <f t="shared" si="1"/>
        <v>-52.085000000000008</v>
      </c>
    </row>
    <row r="90" spans="1:12" x14ac:dyDescent="0.25">
      <c r="A90" s="2" t="s">
        <v>134</v>
      </c>
      <c r="B90" s="2" t="s">
        <v>135</v>
      </c>
      <c r="C90" s="2" t="s">
        <v>672</v>
      </c>
      <c r="D90" s="23">
        <v>154.5</v>
      </c>
      <c r="E90" s="23">
        <v>0</v>
      </c>
      <c r="F90" s="23">
        <v>60</v>
      </c>
      <c r="G90" s="11">
        <v>52</v>
      </c>
      <c r="H90" s="23">
        <v>80</v>
      </c>
      <c r="I90" s="23">
        <v>14.5</v>
      </c>
      <c r="J90" s="4">
        <v>49</v>
      </c>
      <c r="K90" s="4">
        <v>710.5</v>
      </c>
      <c r="L90" s="20">
        <f t="shared" si="1"/>
        <v>-37.5</v>
      </c>
    </row>
    <row r="91" spans="1:12" x14ac:dyDescent="0.25">
      <c r="A91" s="2" t="s">
        <v>1161</v>
      </c>
      <c r="B91" s="2" t="s">
        <v>1162</v>
      </c>
      <c r="C91" s="2" t="s">
        <v>1020</v>
      </c>
      <c r="D91" s="23">
        <v>14</v>
      </c>
      <c r="E91" s="23">
        <v>0</v>
      </c>
      <c r="F91" s="23">
        <v>0</v>
      </c>
      <c r="G91" s="11">
        <v>0</v>
      </c>
      <c r="H91" s="23">
        <v>0</v>
      </c>
      <c r="I91" s="23">
        <v>14</v>
      </c>
      <c r="J91" s="4">
        <v>0</v>
      </c>
      <c r="K91" s="4">
        <v>0</v>
      </c>
      <c r="L91" s="20">
        <f t="shared" si="1"/>
        <v>14</v>
      </c>
    </row>
    <row r="92" spans="1:12" x14ac:dyDescent="0.25">
      <c r="A92" s="2" t="s">
        <v>488</v>
      </c>
      <c r="B92" s="2" t="s">
        <v>489</v>
      </c>
      <c r="C92" s="2" t="s">
        <v>482</v>
      </c>
      <c r="D92" s="23">
        <v>14</v>
      </c>
      <c r="E92" s="23">
        <v>0</v>
      </c>
      <c r="F92" s="23">
        <v>0</v>
      </c>
      <c r="G92" s="11">
        <v>0</v>
      </c>
      <c r="H92" s="23">
        <v>0</v>
      </c>
      <c r="I92" s="23">
        <v>14</v>
      </c>
      <c r="J92" s="4">
        <v>75</v>
      </c>
      <c r="K92" s="4">
        <v>1050</v>
      </c>
      <c r="L92" s="20">
        <f t="shared" si="1"/>
        <v>14</v>
      </c>
    </row>
    <row r="93" spans="1:12" x14ac:dyDescent="0.25">
      <c r="A93" s="2" t="s">
        <v>1153</v>
      </c>
      <c r="B93" s="2" t="s">
        <v>1154</v>
      </c>
      <c r="C93" s="2" t="s">
        <v>628</v>
      </c>
      <c r="D93" s="23">
        <v>45</v>
      </c>
      <c r="E93" s="23">
        <v>0</v>
      </c>
      <c r="F93" s="23">
        <v>31</v>
      </c>
      <c r="G93" s="11">
        <v>20</v>
      </c>
      <c r="H93" s="23">
        <v>0</v>
      </c>
      <c r="I93" s="23">
        <v>14</v>
      </c>
      <c r="J93" s="4">
        <v>87.5</v>
      </c>
      <c r="K93" s="4">
        <v>1225</v>
      </c>
      <c r="L93" s="20">
        <f t="shared" si="1"/>
        <v>-6</v>
      </c>
    </row>
    <row r="94" spans="1:12" x14ac:dyDescent="0.25">
      <c r="A94" s="2" t="s">
        <v>642</v>
      </c>
      <c r="B94" s="16" t="s">
        <v>643</v>
      </c>
      <c r="C94" s="2" t="s">
        <v>647</v>
      </c>
      <c r="D94" s="23">
        <v>52</v>
      </c>
      <c r="E94" s="23">
        <v>19</v>
      </c>
      <c r="F94" s="23">
        <v>19</v>
      </c>
      <c r="G94" s="11">
        <v>19</v>
      </c>
      <c r="H94" s="23">
        <v>0</v>
      </c>
      <c r="I94" s="23">
        <v>14</v>
      </c>
      <c r="J94" s="4">
        <v>3157.69</v>
      </c>
      <c r="K94" s="4">
        <v>44207.660000000018</v>
      </c>
      <c r="L94" s="20">
        <f t="shared" si="1"/>
        <v>-5</v>
      </c>
    </row>
    <row r="95" spans="1:12" x14ac:dyDescent="0.25">
      <c r="A95" s="2" t="s">
        <v>1115</v>
      </c>
      <c r="B95" s="2" t="s">
        <v>1116</v>
      </c>
      <c r="C95" s="2" t="s">
        <v>223</v>
      </c>
      <c r="D95" s="23">
        <v>13</v>
      </c>
      <c r="E95" s="23">
        <v>0</v>
      </c>
      <c r="F95" s="23">
        <v>0</v>
      </c>
      <c r="G95" s="11">
        <v>36.530000000000058</v>
      </c>
      <c r="H95" s="23">
        <v>0</v>
      </c>
      <c r="I95" s="23">
        <v>13</v>
      </c>
      <c r="J95" s="4">
        <v>300.68</v>
      </c>
      <c r="K95" s="4">
        <v>3908.84</v>
      </c>
      <c r="L95" s="20">
        <f t="shared" si="1"/>
        <v>-23.530000000000058</v>
      </c>
    </row>
    <row r="96" spans="1:12" x14ac:dyDescent="0.25">
      <c r="A96" s="2" t="s">
        <v>718</v>
      </c>
      <c r="B96" s="2" t="s">
        <v>719</v>
      </c>
      <c r="C96" s="2" t="s">
        <v>589</v>
      </c>
      <c r="D96" s="23">
        <v>17</v>
      </c>
      <c r="E96" s="23">
        <v>3</v>
      </c>
      <c r="F96" s="23">
        <v>1</v>
      </c>
      <c r="G96" s="11">
        <v>4</v>
      </c>
      <c r="H96" s="23">
        <v>0</v>
      </c>
      <c r="I96" s="23">
        <v>13</v>
      </c>
      <c r="J96" s="4">
        <v>12990.78</v>
      </c>
      <c r="K96" s="4">
        <v>168880.14000000007</v>
      </c>
      <c r="L96" s="20">
        <f t="shared" si="1"/>
        <v>9</v>
      </c>
    </row>
    <row r="97" spans="1:12" x14ac:dyDescent="0.25">
      <c r="A97" s="2" t="s">
        <v>746</v>
      </c>
      <c r="B97" s="2" t="s">
        <v>747</v>
      </c>
      <c r="C97" s="2" t="s">
        <v>887</v>
      </c>
      <c r="D97" s="23">
        <v>16</v>
      </c>
      <c r="E97" s="23">
        <v>0</v>
      </c>
      <c r="F97" s="23">
        <v>3</v>
      </c>
      <c r="G97" s="11">
        <v>0</v>
      </c>
      <c r="H97" s="23">
        <v>0</v>
      </c>
      <c r="I97" s="23">
        <v>13</v>
      </c>
      <c r="J97" s="4">
        <v>54</v>
      </c>
      <c r="K97" s="4">
        <v>702</v>
      </c>
      <c r="L97" s="20">
        <f t="shared" si="1"/>
        <v>13</v>
      </c>
    </row>
    <row r="98" spans="1:12" x14ac:dyDescent="0.25">
      <c r="A98" s="2" t="s">
        <v>259</v>
      </c>
      <c r="B98" s="2" t="s">
        <v>260</v>
      </c>
      <c r="C98" s="2" t="s">
        <v>261</v>
      </c>
      <c r="D98" s="23">
        <v>15.349999999999998</v>
      </c>
      <c r="E98" s="23">
        <v>0.7</v>
      </c>
      <c r="F98" s="23">
        <v>2</v>
      </c>
      <c r="G98" s="11">
        <v>3.3000000000000047</v>
      </c>
      <c r="H98" s="23">
        <v>0</v>
      </c>
      <c r="I98" s="23">
        <v>12.650000000000002</v>
      </c>
      <c r="J98" s="4">
        <v>1622.4000000000005</v>
      </c>
      <c r="K98" s="4">
        <v>20523.359999999993</v>
      </c>
      <c r="L98" s="20">
        <f t="shared" si="1"/>
        <v>9.3499999999999943</v>
      </c>
    </row>
    <row r="99" spans="1:12" x14ac:dyDescent="0.25">
      <c r="A99" s="2" t="s">
        <v>575</v>
      </c>
      <c r="B99" s="2" t="s">
        <v>576</v>
      </c>
      <c r="C99" s="2" t="s">
        <v>250</v>
      </c>
      <c r="D99" s="23">
        <v>97.550000000000011</v>
      </c>
      <c r="E99" s="23">
        <v>0</v>
      </c>
      <c r="F99" s="23">
        <v>85</v>
      </c>
      <c r="G99" s="11">
        <v>3.6500000000000132</v>
      </c>
      <c r="H99" s="23">
        <v>0</v>
      </c>
      <c r="I99" s="23">
        <v>12.550000000000011</v>
      </c>
      <c r="J99" s="4">
        <v>348.1099999999999</v>
      </c>
      <c r="K99" s="4">
        <v>4368.7805000000062</v>
      </c>
      <c r="L99" s="20">
        <f t="shared" si="1"/>
        <v>8.8999999999999986</v>
      </c>
    </row>
    <row r="100" spans="1:12" x14ac:dyDescent="0.25">
      <c r="A100" s="2" t="s">
        <v>865</v>
      </c>
      <c r="B100" s="16" t="s">
        <v>644</v>
      </c>
      <c r="C100" s="2" t="s">
        <v>647</v>
      </c>
      <c r="D100" s="23">
        <v>28</v>
      </c>
      <c r="E100" s="23">
        <v>13</v>
      </c>
      <c r="F100" s="23">
        <v>3</v>
      </c>
      <c r="G100" s="11">
        <v>13</v>
      </c>
      <c r="H100" s="23">
        <v>0</v>
      </c>
      <c r="I100" s="23">
        <v>12</v>
      </c>
      <c r="J100" s="4">
        <v>3631.3399999999992</v>
      </c>
      <c r="K100" s="4">
        <v>43576.08</v>
      </c>
      <c r="L100" s="20">
        <f t="shared" si="1"/>
        <v>-1</v>
      </c>
    </row>
    <row r="101" spans="1:12" x14ac:dyDescent="0.25">
      <c r="A101" s="2" t="s">
        <v>264</v>
      </c>
      <c r="B101" s="2" t="s">
        <v>265</v>
      </c>
      <c r="C101" s="2" t="s">
        <v>214</v>
      </c>
      <c r="D101" s="23">
        <v>19</v>
      </c>
      <c r="E101" s="23">
        <v>7</v>
      </c>
      <c r="F101" s="23">
        <v>0</v>
      </c>
      <c r="G101" s="11">
        <v>8</v>
      </c>
      <c r="H101" s="23">
        <v>0</v>
      </c>
      <c r="I101" s="23">
        <v>12</v>
      </c>
      <c r="J101" s="4">
        <v>4633.3399999999983</v>
      </c>
      <c r="K101" s="4">
        <v>55600.079999999987</v>
      </c>
      <c r="L101" s="20">
        <f t="shared" si="1"/>
        <v>4</v>
      </c>
    </row>
    <row r="102" spans="1:12" x14ac:dyDescent="0.25">
      <c r="A102" s="2" t="s">
        <v>786</v>
      </c>
      <c r="B102" s="2" t="s">
        <v>787</v>
      </c>
      <c r="C102" s="2" t="s">
        <v>826</v>
      </c>
      <c r="D102" s="23">
        <v>11.5</v>
      </c>
      <c r="E102" s="23">
        <v>0</v>
      </c>
      <c r="F102" s="23">
        <v>0</v>
      </c>
      <c r="G102" s="11">
        <v>285.5</v>
      </c>
      <c r="H102" s="23">
        <v>0</v>
      </c>
      <c r="I102" s="23">
        <v>11.5</v>
      </c>
      <c r="J102" s="4">
        <v>57.6</v>
      </c>
      <c r="K102" s="4">
        <v>662.4</v>
      </c>
      <c r="L102" s="20">
        <f t="shared" si="1"/>
        <v>-274</v>
      </c>
    </row>
    <row r="103" spans="1:12" x14ac:dyDescent="0.25">
      <c r="A103" s="2" t="s">
        <v>603</v>
      </c>
      <c r="B103" s="2" t="s">
        <v>604</v>
      </c>
      <c r="C103" s="2" t="s">
        <v>636</v>
      </c>
      <c r="D103" s="23">
        <v>24</v>
      </c>
      <c r="E103" s="23">
        <v>8</v>
      </c>
      <c r="F103" s="23">
        <v>5</v>
      </c>
      <c r="G103" s="11">
        <v>10</v>
      </c>
      <c r="H103" s="23">
        <v>0</v>
      </c>
      <c r="I103" s="23">
        <v>11</v>
      </c>
      <c r="J103" s="4">
        <v>75.64</v>
      </c>
      <c r="K103" s="4">
        <v>832.04</v>
      </c>
      <c r="L103" s="20">
        <f t="shared" si="1"/>
        <v>1</v>
      </c>
    </row>
    <row r="104" spans="1:12" x14ac:dyDescent="0.25">
      <c r="A104" s="2" t="s">
        <v>626</v>
      </c>
      <c r="B104" s="16" t="s">
        <v>627</v>
      </c>
      <c r="C104" s="2" t="s">
        <v>625</v>
      </c>
      <c r="D104" s="23">
        <v>26</v>
      </c>
      <c r="E104" s="23">
        <v>10</v>
      </c>
      <c r="F104" s="23">
        <v>5</v>
      </c>
      <c r="G104" s="11">
        <v>24</v>
      </c>
      <c r="H104" s="23">
        <v>0</v>
      </c>
      <c r="I104" s="23">
        <v>11</v>
      </c>
      <c r="J104" s="4">
        <v>14946.25</v>
      </c>
      <c r="K104" s="4">
        <v>164408.75</v>
      </c>
      <c r="L104" s="20">
        <f t="shared" si="1"/>
        <v>-13</v>
      </c>
    </row>
    <row r="105" spans="1:12" x14ac:dyDescent="0.25">
      <c r="A105" s="2" t="s">
        <v>420</v>
      </c>
      <c r="B105" s="2" t="s">
        <v>421</v>
      </c>
      <c r="C105" s="2" t="s">
        <v>422</v>
      </c>
      <c r="D105" s="23">
        <v>11</v>
      </c>
      <c r="E105" s="23">
        <v>0</v>
      </c>
      <c r="F105" s="23">
        <v>0</v>
      </c>
      <c r="G105" s="11">
        <v>3.0000000000000142</v>
      </c>
      <c r="H105" s="23">
        <v>0</v>
      </c>
      <c r="I105" s="23">
        <v>11</v>
      </c>
      <c r="J105" s="4">
        <v>490.84999999999997</v>
      </c>
      <c r="K105" s="4">
        <v>5399.3499999999995</v>
      </c>
      <c r="L105" s="20">
        <f t="shared" si="1"/>
        <v>7.9999999999999858</v>
      </c>
    </row>
    <row r="106" spans="1:12" x14ac:dyDescent="0.25">
      <c r="A106" s="2" t="s">
        <v>645</v>
      </c>
      <c r="B106" s="2" t="s">
        <v>646</v>
      </c>
      <c r="C106" s="2" t="s">
        <v>262</v>
      </c>
      <c r="D106" s="23">
        <v>20</v>
      </c>
      <c r="E106" s="23">
        <v>8</v>
      </c>
      <c r="F106" s="23">
        <v>1</v>
      </c>
      <c r="G106" s="11">
        <v>10</v>
      </c>
      <c r="H106" s="23">
        <v>0</v>
      </c>
      <c r="I106" s="23">
        <v>11</v>
      </c>
      <c r="J106" s="4">
        <v>1820</v>
      </c>
      <c r="K106" s="4">
        <v>20020</v>
      </c>
      <c r="L106" s="20">
        <f t="shared" si="1"/>
        <v>1</v>
      </c>
    </row>
    <row r="107" spans="1:12" x14ac:dyDescent="0.25">
      <c r="A107" s="2" t="s">
        <v>1051</v>
      </c>
      <c r="B107" s="2" t="s">
        <v>1052</v>
      </c>
      <c r="C107" s="2" t="s">
        <v>634</v>
      </c>
      <c r="D107" s="23">
        <v>16</v>
      </c>
      <c r="E107" s="23">
        <v>4</v>
      </c>
      <c r="F107" s="23">
        <v>2</v>
      </c>
      <c r="G107" s="11">
        <v>7</v>
      </c>
      <c r="H107" s="23">
        <v>0</v>
      </c>
      <c r="I107" s="23">
        <v>10</v>
      </c>
      <c r="J107" s="4">
        <v>12138.929999999997</v>
      </c>
      <c r="K107" s="4">
        <v>121389.30000000003</v>
      </c>
      <c r="L107" s="20">
        <f t="shared" si="1"/>
        <v>3</v>
      </c>
    </row>
    <row r="108" spans="1:12" x14ac:dyDescent="0.25">
      <c r="A108" s="2" t="s">
        <v>496</v>
      </c>
      <c r="B108" s="2" t="s">
        <v>497</v>
      </c>
      <c r="C108" s="2" t="s">
        <v>713</v>
      </c>
      <c r="D108" s="23">
        <v>19</v>
      </c>
      <c r="E108" s="23">
        <v>7</v>
      </c>
      <c r="F108" s="23">
        <v>2</v>
      </c>
      <c r="G108" s="11">
        <v>9</v>
      </c>
      <c r="H108" s="23">
        <v>0</v>
      </c>
      <c r="I108" s="23">
        <v>10</v>
      </c>
      <c r="J108" s="4"/>
      <c r="K108" s="4">
        <v>0</v>
      </c>
      <c r="L108" s="20">
        <f t="shared" si="1"/>
        <v>1</v>
      </c>
    </row>
    <row r="109" spans="1:12" x14ac:dyDescent="0.25">
      <c r="A109" s="2" t="s">
        <v>450</v>
      </c>
      <c r="B109" s="16" t="s">
        <v>624</v>
      </c>
      <c r="C109" s="2" t="s">
        <v>625</v>
      </c>
      <c r="D109" s="23">
        <v>26</v>
      </c>
      <c r="E109" s="23">
        <v>10</v>
      </c>
      <c r="F109" s="23">
        <v>6</v>
      </c>
      <c r="G109" s="11">
        <v>24</v>
      </c>
      <c r="H109" s="23">
        <v>0</v>
      </c>
      <c r="I109" s="23">
        <v>10</v>
      </c>
      <c r="J109" s="4">
        <v>14946.25</v>
      </c>
      <c r="K109" s="4">
        <v>149462.5</v>
      </c>
      <c r="L109" s="20">
        <f t="shared" si="1"/>
        <v>-14</v>
      </c>
    </row>
    <row r="110" spans="1:12" x14ac:dyDescent="0.25">
      <c r="A110" s="2" t="s">
        <v>936</v>
      </c>
      <c r="B110" s="2" t="s">
        <v>937</v>
      </c>
      <c r="C110" s="2" t="s">
        <v>314</v>
      </c>
      <c r="D110" s="23">
        <v>10</v>
      </c>
      <c r="E110" s="23">
        <v>0</v>
      </c>
      <c r="F110" s="23">
        <v>0</v>
      </c>
      <c r="G110" s="11">
        <v>90</v>
      </c>
      <c r="H110" s="23">
        <v>0</v>
      </c>
      <c r="I110" s="23">
        <v>10</v>
      </c>
      <c r="J110" s="4">
        <v>8</v>
      </c>
      <c r="K110" s="4">
        <v>80</v>
      </c>
      <c r="L110" s="20">
        <f t="shared" si="1"/>
        <v>-80</v>
      </c>
    </row>
    <row r="111" spans="1:12" x14ac:dyDescent="0.25">
      <c r="A111" s="2" t="s">
        <v>36</v>
      </c>
      <c r="B111" s="2" t="s">
        <v>37</v>
      </c>
      <c r="C111" s="2" t="s">
        <v>1220</v>
      </c>
      <c r="D111" s="23">
        <v>57</v>
      </c>
      <c r="E111" s="23">
        <v>18</v>
      </c>
      <c r="F111" s="23">
        <v>29</v>
      </c>
      <c r="G111" s="11">
        <v>30</v>
      </c>
      <c r="H111" s="23">
        <v>0</v>
      </c>
      <c r="I111" s="23">
        <v>10</v>
      </c>
      <c r="J111" s="4">
        <v>1750</v>
      </c>
      <c r="K111" s="4">
        <v>17500</v>
      </c>
      <c r="L111" s="20">
        <f t="shared" si="1"/>
        <v>-20</v>
      </c>
    </row>
    <row r="112" spans="1:12" x14ac:dyDescent="0.25">
      <c r="A112" s="2" t="s">
        <v>974</v>
      </c>
      <c r="B112" s="2" t="s">
        <v>975</v>
      </c>
      <c r="C112" s="2" t="s">
        <v>1020</v>
      </c>
      <c r="D112" s="23">
        <v>10</v>
      </c>
      <c r="E112" s="23">
        <v>0</v>
      </c>
      <c r="F112" s="23">
        <v>0</v>
      </c>
      <c r="G112" s="11">
        <v>0</v>
      </c>
      <c r="H112" s="23">
        <v>0</v>
      </c>
      <c r="I112" s="23">
        <v>10</v>
      </c>
      <c r="J112" s="4">
        <v>0.66</v>
      </c>
      <c r="K112" s="4">
        <v>6.6000000000000005</v>
      </c>
      <c r="L112" s="20">
        <f t="shared" si="1"/>
        <v>10</v>
      </c>
    </row>
    <row r="113" spans="1:12" x14ac:dyDescent="0.25">
      <c r="A113" s="2" t="s">
        <v>198</v>
      </c>
      <c r="B113" s="16" t="s">
        <v>199</v>
      </c>
      <c r="C113" s="2" t="s">
        <v>215</v>
      </c>
      <c r="D113" s="23">
        <v>14</v>
      </c>
      <c r="E113" s="23">
        <v>3</v>
      </c>
      <c r="F113" s="23">
        <v>1</v>
      </c>
      <c r="G113" s="11">
        <v>8</v>
      </c>
      <c r="H113" s="23">
        <v>0</v>
      </c>
      <c r="I113" s="23">
        <v>10</v>
      </c>
      <c r="J113" s="4">
        <v>15618.420000000004</v>
      </c>
      <c r="K113" s="4">
        <v>156184.19999999998</v>
      </c>
      <c r="L113" s="20">
        <f t="shared" si="1"/>
        <v>2</v>
      </c>
    </row>
    <row r="114" spans="1:12" x14ac:dyDescent="0.25">
      <c r="A114" s="2" t="s">
        <v>586</v>
      </c>
      <c r="B114" s="2" t="s">
        <v>587</v>
      </c>
      <c r="C114" s="2" t="s">
        <v>428</v>
      </c>
      <c r="D114" s="23">
        <v>9</v>
      </c>
      <c r="E114" s="23">
        <v>0</v>
      </c>
      <c r="F114" s="23">
        <v>0</v>
      </c>
      <c r="G114" s="11">
        <v>0</v>
      </c>
      <c r="H114" s="23">
        <v>0</v>
      </c>
      <c r="I114" s="23">
        <v>9</v>
      </c>
      <c r="J114" s="4">
        <v>60</v>
      </c>
      <c r="K114" s="4">
        <v>540</v>
      </c>
      <c r="L114" s="20">
        <f t="shared" si="1"/>
        <v>9</v>
      </c>
    </row>
    <row r="115" spans="1:12" x14ac:dyDescent="0.25">
      <c r="A115" s="2" t="s">
        <v>833</v>
      </c>
      <c r="B115" s="2" t="s">
        <v>834</v>
      </c>
      <c r="C115" s="2" t="s">
        <v>835</v>
      </c>
      <c r="D115" s="23">
        <v>9</v>
      </c>
      <c r="E115" s="23">
        <v>0</v>
      </c>
      <c r="F115" s="23">
        <v>0</v>
      </c>
      <c r="G115" s="11">
        <v>36.5</v>
      </c>
      <c r="H115" s="23">
        <v>0</v>
      </c>
      <c r="I115" s="23">
        <v>9</v>
      </c>
      <c r="J115" s="4">
        <v>27.81</v>
      </c>
      <c r="K115" s="4">
        <v>250.29000000000002</v>
      </c>
      <c r="L115" s="20">
        <f t="shared" si="1"/>
        <v>-27.5</v>
      </c>
    </row>
    <row r="116" spans="1:12" x14ac:dyDescent="0.25">
      <c r="A116" s="2" t="s">
        <v>686</v>
      </c>
      <c r="B116" s="2" t="s">
        <v>687</v>
      </c>
      <c r="C116" s="2" t="s">
        <v>688</v>
      </c>
      <c r="D116" s="23">
        <v>9</v>
      </c>
      <c r="E116" s="23">
        <v>0</v>
      </c>
      <c r="F116" s="23">
        <v>0</v>
      </c>
      <c r="G116" s="11">
        <v>1</v>
      </c>
      <c r="H116" s="23">
        <v>0</v>
      </c>
      <c r="I116" s="23">
        <v>9</v>
      </c>
      <c r="J116" s="4">
        <v>1541.99</v>
      </c>
      <c r="K116" s="4">
        <v>13877.910000000002</v>
      </c>
      <c r="L116" s="20">
        <f t="shared" si="1"/>
        <v>8</v>
      </c>
    </row>
    <row r="117" spans="1:12" x14ac:dyDescent="0.25">
      <c r="A117" s="2" t="s">
        <v>263</v>
      </c>
      <c r="B117" s="2" t="s">
        <v>419</v>
      </c>
      <c r="C117" s="2" t="s">
        <v>227</v>
      </c>
      <c r="D117" s="23">
        <v>19</v>
      </c>
      <c r="E117" s="23">
        <v>6</v>
      </c>
      <c r="F117" s="23">
        <v>4</v>
      </c>
      <c r="G117" s="11">
        <v>11</v>
      </c>
      <c r="H117" s="23">
        <v>0</v>
      </c>
      <c r="I117" s="23">
        <v>9</v>
      </c>
      <c r="J117" s="4">
        <v>6001.11</v>
      </c>
      <c r="K117" s="4">
        <v>54009.99</v>
      </c>
      <c r="L117" s="20">
        <f t="shared" si="1"/>
        <v>-2</v>
      </c>
    </row>
    <row r="118" spans="1:12" x14ac:dyDescent="0.25">
      <c r="A118" s="2" t="s">
        <v>139</v>
      </c>
      <c r="B118" s="2" t="s">
        <v>140</v>
      </c>
      <c r="C118" s="2" t="s">
        <v>672</v>
      </c>
      <c r="D118" s="23">
        <v>13.8</v>
      </c>
      <c r="E118" s="23">
        <v>0</v>
      </c>
      <c r="F118" s="23">
        <v>0</v>
      </c>
      <c r="G118" s="11">
        <v>6.1000000000000041</v>
      </c>
      <c r="H118" s="23">
        <v>5</v>
      </c>
      <c r="I118" s="23">
        <v>8.7999999999999989</v>
      </c>
      <c r="J118" s="4">
        <v>688.20000000000016</v>
      </c>
      <c r="K118" s="4">
        <v>6056.1600000000026</v>
      </c>
      <c r="L118" s="20">
        <f t="shared" si="1"/>
        <v>2.6999999999999966</v>
      </c>
    </row>
    <row r="119" spans="1:12" x14ac:dyDescent="0.25">
      <c r="A119" s="2" t="s">
        <v>743</v>
      </c>
      <c r="B119" s="2" t="s">
        <v>744</v>
      </c>
      <c r="C119" s="2" t="s">
        <v>745</v>
      </c>
      <c r="D119" s="23">
        <v>8.5</v>
      </c>
      <c r="E119" s="23">
        <v>0</v>
      </c>
      <c r="F119" s="23">
        <v>0</v>
      </c>
      <c r="G119" s="11">
        <v>45.5</v>
      </c>
      <c r="H119" s="23">
        <v>0</v>
      </c>
      <c r="I119" s="23">
        <v>8.5</v>
      </c>
      <c r="J119" s="4">
        <v>169.11</v>
      </c>
      <c r="K119" s="4">
        <v>1437.4349999999999</v>
      </c>
      <c r="L119" s="20">
        <f t="shared" si="1"/>
        <v>-37</v>
      </c>
    </row>
    <row r="120" spans="1:12" x14ac:dyDescent="0.25">
      <c r="A120" s="2" t="s">
        <v>50</v>
      </c>
      <c r="B120" s="16" t="s">
        <v>51</v>
      </c>
      <c r="C120" s="2" t="s">
        <v>215</v>
      </c>
      <c r="D120" s="23">
        <v>17</v>
      </c>
      <c r="E120" s="23">
        <v>5</v>
      </c>
      <c r="F120" s="23">
        <v>4</v>
      </c>
      <c r="G120" s="11">
        <v>10</v>
      </c>
      <c r="H120" s="23">
        <v>0</v>
      </c>
      <c r="I120" s="23">
        <v>8</v>
      </c>
      <c r="J120" s="4">
        <v>5206.1400000000003</v>
      </c>
      <c r="K120" s="4">
        <v>41649.120000000003</v>
      </c>
      <c r="L120" s="20">
        <f t="shared" si="1"/>
        <v>-2</v>
      </c>
    </row>
    <row r="121" spans="1:12" x14ac:dyDescent="0.25">
      <c r="A121" s="2" t="s">
        <v>72</v>
      </c>
      <c r="B121" s="2" t="s">
        <v>73</v>
      </c>
      <c r="C121" s="2" t="s">
        <v>634</v>
      </c>
      <c r="D121" s="23">
        <v>17</v>
      </c>
      <c r="E121" s="23">
        <v>7</v>
      </c>
      <c r="F121" s="23">
        <v>2</v>
      </c>
      <c r="G121" s="11">
        <v>8</v>
      </c>
      <c r="H121" s="23">
        <v>0</v>
      </c>
      <c r="I121" s="23">
        <v>8</v>
      </c>
      <c r="J121" s="4">
        <v>8822.9299999999967</v>
      </c>
      <c r="K121" s="4">
        <v>70583.439999999973</v>
      </c>
      <c r="L121" s="20">
        <f t="shared" si="1"/>
        <v>0</v>
      </c>
    </row>
    <row r="122" spans="1:12" x14ac:dyDescent="0.25">
      <c r="A122" s="2" t="s">
        <v>710</v>
      </c>
      <c r="B122" s="16" t="s">
        <v>711</v>
      </c>
      <c r="C122" s="2" t="s">
        <v>1195</v>
      </c>
      <c r="D122" s="23">
        <v>8</v>
      </c>
      <c r="E122" s="23">
        <v>0</v>
      </c>
      <c r="F122" s="23">
        <v>0</v>
      </c>
      <c r="G122" s="11">
        <v>2</v>
      </c>
      <c r="H122" s="23">
        <v>0</v>
      </c>
      <c r="I122" s="23">
        <v>8</v>
      </c>
      <c r="J122" s="4">
        <v>23970</v>
      </c>
      <c r="K122" s="4">
        <v>191760</v>
      </c>
      <c r="L122" s="20">
        <f t="shared" si="1"/>
        <v>6</v>
      </c>
    </row>
    <row r="123" spans="1:12" x14ac:dyDescent="0.25">
      <c r="A123" s="2" t="s">
        <v>256</v>
      </c>
      <c r="B123" s="2" t="s">
        <v>257</v>
      </c>
      <c r="C123" s="2" t="s">
        <v>258</v>
      </c>
      <c r="D123" s="23">
        <v>41.7</v>
      </c>
      <c r="E123" s="23">
        <v>8</v>
      </c>
      <c r="F123" s="23">
        <v>14</v>
      </c>
      <c r="G123" s="11">
        <v>6.8000000000000007</v>
      </c>
      <c r="H123" s="23">
        <v>12</v>
      </c>
      <c r="I123" s="23">
        <v>7.7</v>
      </c>
      <c r="J123" s="4">
        <v>328.85000000000008</v>
      </c>
      <c r="K123" s="4">
        <v>2532.1450000000018</v>
      </c>
      <c r="L123" s="20">
        <f t="shared" si="1"/>
        <v>0.90000000000000213</v>
      </c>
    </row>
    <row r="124" spans="1:12" x14ac:dyDescent="0.25">
      <c r="A124" s="2" t="s">
        <v>475</v>
      </c>
      <c r="B124" s="2" t="s">
        <v>476</v>
      </c>
      <c r="C124" s="2" t="s">
        <v>887</v>
      </c>
      <c r="D124" s="23">
        <v>13.25</v>
      </c>
      <c r="E124" s="23">
        <v>0</v>
      </c>
      <c r="F124" s="23">
        <v>6</v>
      </c>
      <c r="G124" s="11">
        <v>1.7763568394002505E-15</v>
      </c>
      <c r="H124" s="23">
        <v>0</v>
      </c>
      <c r="I124" s="23">
        <v>7.25</v>
      </c>
      <c r="J124" s="4">
        <v>20</v>
      </c>
      <c r="K124" s="4">
        <v>145</v>
      </c>
      <c r="L124" s="20">
        <f t="shared" si="1"/>
        <v>7.2499999999999982</v>
      </c>
    </row>
    <row r="125" spans="1:12" x14ac:dyDescent="0.25">
      <c r="A125" s="2" t="s">
        <v>462</v>
      </c>
      <c r="B125" s="2" t="s">
        <v>463</v>
      </c>
      <c r="C125" s="2" t="s">
        <v>490</v>
      </c>
      <c r="D125" s="23">
        <v>13.82</v>
      </c>
      <c r="E125" s="23">
        <v>6.62</v>
      </c>
      <c r="F125" s="23">
        <v>0</v>
      </c>
      <c r="G125" s="11">
        <v>5.5999999999999979</v>
      </c>
      <c r="H125" s="23">
        <v>0</v>
      </c>
      <c r="I125" s="23">
        <v>7.2</v>
      </c>
      <c r="J125" s="4">
        <v>162.51000000000008</v>
      </c>
      <c r="K125" s="4">
        <v>1170.0719999999999</v>
      </c>
      <c r="L125" s="20">
        <f t="shared" si="1"/>
        <v>1.6000000000000023</v>
      </c>
    </row>
    <row r="126" spans="1:12" x14ac:dyDescent="0.25">
      <c r="A126" s="2" t="s">
        <v>605</v>
      </c>
      <c r="B126" s="2" t="s">
        <v>606</v>
      </c>
      <c r="C126" s="2" t="s">
        <v>636</v>
      </c>
      <c r="D126" s="23">
        <v>44</v>
      </c>
      <c r="E126" s="23">
        <v>12</v>
      </c>
      <c r="F126" s="23">
        <v>25</v>
      </c>
      <c r="G126" s="11">
        <v>14</v>
      </c>
      <c r="H126" s="23">
        <v>0</v>
      </c>
      <c r="I126" s="23">
        <v>7</v>
      </c>
      <c r="J126" s="4">
        <v>172.38000000000002</v>
      </c>
      <c r="K126" s="4">
        <v>1206.6599999999999</v>
      </c>
      <c r="L126" s="20">
        <f t="shared" si="1"/>
        <v>-7</v>
      </c>
    </row>
    <row r="127" spans="1:12" x14ac:dyDescent="0.25">
      <c r="A127" s="2" t="s">
        <v>90</v>
      </c>
      <c r="B127" s="2" t="s">
        <v>91</v>
      </c>
      <c r="C127" s="2" t="s">
        <v>634</v>
      </c>
      <c r="D127" s="23">
        <v>17</v>
      </c>
      <c r="E127" s="23">
        <v>6</v>
      </c>
      <c r="F127" s="23">
        <v>4</v>
      </c>
      <c r="G127" s="11">
        <v>12</v>
      </c>
      <c r="H127" s="23">
        <v>0</v>
      </c>
      <c r="I127" s="23">
        <v>7</v>
      </c>
      <c r="J127" s="4">
        <v>1776.43</v>
      </c>
      <c r="K127" s="4">
        <v>12435.010000000002</v>
      </c>
      <c r="L127" s="20">
        <f t="shared" si="1"/>
        <v>-5</v>
      </c>
    </row>
    <row r="128" spans="1:12" x14ac:dyDescent="0.25">
      <c r="A128" s="2" t="s">
        <v>147</v>
      </c>
      <c r="B128" s="2" t="s">
        <v>148</v>
      </c>
      <c r="C128" s="2" t="s">
        <v>227</v>
      </c>
      <c r="D128" s="23">
        <v>17</v>
      </c>
      <c r="E128" s="23">
        <v>7</v>
      </c>
      <c r="F128" s="23">
        <v>3</v>
      </c>
      <c r="G128" s="11">
        <v>11</v>
      </c>
      <c r="H128" s="23">
        <v>0</v>
      </c>
      <c r="I128" s="23">
        <v>7</v>
      </c>
      <c r="J128" s="4">
        <v>3156.14</v>
      </c>
      <c r="K128" s="4">
        <v>22092.980000000007</v>
      </c>
      <c r="L128" s="20">
        <f t="shared" si="1"/>
        <v>-4</v>
      </c>
    </row>
    <row r="129" spans="1:12" x14ac:dyDescent="0.25">
      <c r="A129" s="2" t="s">
        <v>52</v>
      </c>
      <c r="B129" s="16" t="s">
        <v>53</v>
      </c>
      <c r="C129" s="2" t="s">
        <v>215</v>
      </c>
      <c r="D129" s="23">
        <v>17</v>
      </c>
      <c r="E129" s="23">
        <v>5</v>
      </c>
      <c r="F129" s="23">
        <v>5</v>
      </c>
      <c r="G129" s="11">
        <v>10</v>
      </c>
      <c r="H129" s="23">
        <v>0</v>
      </c>
      <c r="I129" s="23">
        <v>7</v>
      </c>
      <c r="J129" s="4">
        <v>12234.429999999997</v>
      </c>
      <c r="K129" s="4">
        <v>85641.010000000009</v>
      </c>
      <c r="L129" s="20">
        <f t="shared" si="1"/>
        <v>-3</v>
      </c>
    </row>
    <row r="130" spans="1:12" x14ac:dyDescent="0.25">
      <c r="A130" s="2" t="s">
        <v>514</v>
      </c>
      <c r="B130" s="2" t="s">
        <v>515</v>
      </c>
      <c r="C130" s="2" t="s">
        <v>240</v>
      </c>
      <c r="D130" s="23">
        <v>6.9999999999999991</v>
      </c>
      <c r="E130" s="23">
        <v>0</v>
      </c>
      <c r="F130" s="23">
        <v>0</v>
      </c>
      <c r="G130" s="11">
        <v>-1.7763568394002505E-15</v>
      </c>
      <c r="H130" s="23">
        <v>0</v>
      </c>
      <c r="I130" s="23">
        <v>6.9999999999999982</v>
      </c>
      <c r="J130" s="4">
        <v>70</v>
      </c>
      <c r="K130" s="4">
        <v>489.99999999999989</v>
      </c>
      <c r="L130" s="20">
        <f t="shared" si="1"/>
        <v>7.0000000000000009</v>
      </c>
    </row>
    <row r="131" spans="1:12" x14ac:dyDescent="0.25">
      <c r="A131" s="2" t="s">
        <v>943</v>
      </c>
      <c r="B131" s="2" t="s">
        <v>944</v>
      </c>
      <c r="C131" s="2" t="s">
        <v>240</v>
      </c>
      <c r="D131" s="23">
        <v>6.5</v>
      </c>
      <c r="E131" s="23">
        <v>0</v>
      </c>
      <c r="F131" s="23">
        <v>0</v>
      </c>
      <c r="G131" s="11">
        <v>0</v>
      </c>
      <c r="H131" s="23">
        <v>0</v>
      </c>
      <c r="I131" s="23">
        <v>6.5</v>
      </c>
      <c r="J131" s="4">
        <v>38</v>
      </c>
      <c r="K131" s="4">
        <v>247</v>
      </c>
      <c r="L131" s="20">
        <f t="shared" si="1"/>
        <v>6.5</v>
      </c>
    </row>
    <row r="132" spans="1:12" x14ac:dyDescent="0.25">
      <c r="A132" s="2" t="s">
        <v>927</v>
      </c>
      <c r="B132" s="2" t="s">
        <v>928</v>
      </c>
      <c r="C132" s="2" t="s">
        <v>628</v>
      </c>
      <c r="D132" s="23">
        <v>6</v>
      </c>
      <c r="E132" s="23">
        <v>0</v>
      </c>
      <c r="F132" s="23">
        <v>0</v>
      </c>
      <c r="G132" s="11">
        <v>246</v>
      </c>
      <c r="H132" s="23">
        <v>0</v>
      </c>
      <c r="I132" s="23">
        <v>6</v>
      </c>
      <c r="J132" s="4">
        <v>5.4200000000000008</v>
      </c>
      <c r="K132" s="4">
        <v>32.519999999999989</v>
      </c>
      <c r="L132" s="20">
        <f t="shared" si="1"/>
        <v>-240</v>
      </c>
    </row>
    <row r="133" spans="1:12" x14ac:dyDescent="0.25">
      <c r="A133" s="2" t="s">
        <v>976</v>
      </c>
      <c r="B133" s="2" t="s">
        <v>977</v>
      </c>
      <c r="C133" s="2" t="s">
        <v>978</v>
      </c>
      <c r="D133" s="23">
        <v>12</v>
      </c>
      <c r="E133" s="23">
        <v>0</v>
      </c>
      <c r="F133" s="23">
        <v>0</v>
      </c>
      <c r="G133" s="11">
        <v>0</v>
      </c>
      <c r="H133" s="23">
        <v>6</v>
      </c>
      <c r="I133" s="23">
        <v>6</v>
      </c>
      <c r="J133" s="4">
        <v>2670.24</v>
      </c>
      <c r="K133" s="4">
        <v>16021.439999999997</v>
      </c>
      <c r="L133" s="20">
        <f t="shared" si="1"/>
        <v>6</v>
      </c>
    </row>
    <row r="134" spans="1:12" x14ac:dyDescent="0.25">
      <c r="A134" s="2" t="s">
        <v>909</v>
      </c>
      <c r="B134" s="2" t="s">
        <v>910</v>
      </c>
      <c r="C134" s="2" t="s">
        <v>1020</v>
      </c>
      <c r="D134" s="23">
        <v>6</v>
      </c>
      <c r="E134" s="23">
        <v>0</v>
      </c>
      <c r="F134" s="23">
        <v>0</v>
      </c>
      <c r="G134" s="11">
        <v>106</v>
      </c>
      <c r="H134" s="23">
        <v>0</v>
      </c>
      <c r="I134" s="23">
        <v>6</v>
      </c>
      <c r="J134" s="4">
        <v>0.28999999999999998</v>
      </c>
      <c r="K134" s="4">
        <v>1.7399999999999998</v>
      </c>
      <c r="L134" s="20">
        <f t="shared" si="1"/>
        <v>-100</v>
      </c>
    </row>
    <row r="135" spans="1:12" x14ac:dyDescent="0.25">
      <c r="A135" s="2" t="s">
        <v>15</v>
      </c>
      <c r="B135" s="2" t="s">
        <v>16</v>
      </c>
      <c r="C135" s="2" t="s">
        <v>215</v>
      </c>
      <c r="D135" s="23">
        <v>18</v>
      </c>
      <c r="E135" s="23">
        <v>5</v>
      </c>
      <c r="F135" s="23">
        <v>7</v>
      </c>
      <c r="G135" s="11">
        <v>10</v>
      </c>
      <c r="H135" s="23">
        <v>0</v>
      </c>
      <c r="I135" s="23">
        <v>6</v>
      </c>
      <c r="J135" s="4">
        <v>3383.9899999999984</v>
      </c>
      <c r="K135" s="4">
        <v>20303.939999999999</v>
      </c>
      <c r="L135" s="20">
        <f t="shared" si="1"/>
        <v>-4</v>
      </c>
    </row>
    <row r="136" spans="1:12" x14ac:dyDescent="0.25">
      <c r="A136" s="2" t="s">
        <v>413</v>
      </c>
      <c r="B136" s="2" t="s">
        <v>664</v>
      </c>
      <c r="C136" s="2" t="s">
        <v>635</v>
      </c>
      <c r="D136" s="23">
        <v>5.0999999999999996</v>
      </c>
      <c r="E136" s="23">
        <v>0</v>
      </c>
      <c r="F136" s="23">
        <v>0</v>
      </c>
      <c r="G136" s="11">
        <v>93.799999999999983</v>
      </c>
      <c r="H136" s="23">
        <v>0</v>
      </c>
      <c r="I136" s="23">
        <v>5.0999999999999988</v>
      </c>
      <c r="J136" s="4">
        <v>6.7699999999999969</v>
      </c>
      <c r="K136" s="4">
        <v>34.527000000000001</v>
      </c>
      <c r="L136" s="20">
        <f t="shared" si="1"/>
        <v>-88.699999999999989</v>
      </c>
    </row>
    <row r="137" spans="1:12" x14ac:dyDescent="0.25">
      <c r="A137" s="2" t="s">
        <v>161</v>
      </c>
      <c r="B137" s="2" t="s">
        <v>162</v>
      </c>
      <c r="C137" s="2" t="s">
        <v>227</v>
      </c>
      <c r="D137" s="23">
        <v>14</v>
      </c>
      <c r="E137" s="23">
        <v>4</v>
      </c>
      <c r="F137" s="23">
        <v>5</v>
      </c>
      <c r="G137" s="11">
        <v>8</v>
      </c>
      <c r="H137" s="23">
        <v>0</v>
      </c>
      <c r="I137" s="23">
        <v>5</v>
      </c>
      <c r="J137" s="4">
        <v>6104.6900000000014</v>
      </c>
      <c r="K137" s="4">
        <v>30523.450000000008</v>
      </c>
      <c r="L137" s="20">
        <f t="shared" si="1"/>
        <v>-3</v>
      </c>
    </row>
    <row r="138" spans="1:12" x14ac:dyDescent="0.25">
      <c r="A138" s="2" t="s">
        <v>776</v>
      </c>
      <c r="B138" s="16" t="s">
        <v>777</v>
      </c>
      <c r="C138" s="2" t="s">
        <v>634</v>
      </c>
      <c r="D138" s="23">
        <v>18</v>
      </c>
      <c r="E138" s="23">
        <v>7</v>
      </c>
      <c r="F138" s="23">
        <v>6</v>
      </c>
      <c r="G138" s="11">
        <v>7</v>
      </c>
      <c r="H138" s="23">
        <v>0</v>
      </c>
      <c r="I138" s="23">
        <v>5</v>
      </c>
      <c r="J138" s="4">
        <v>2457.6500000000005</v>
      </c>
      <c r="K138" s="4">
        <v>12288.25</v>
      </c>
      <c r="L138" s="20">
        <f t="shared" si="1"/>
        <v>-2</v>
      </c>
    </row>
    <row r="139" spans="1:12" x14ac:dyDescent="0.25">
      <c r="A139" s="2" t="s">
        <v>112</v>
      </c>
      <c r="B139" s="2" t="s">
        <v>113</v>
      </c>
      <c r="C139" s="2" t="s">
        <v>584</v>
      </c>
      <c r="D139" s="23">
        <v>11</v>
      </c>
      <c r="E139" s="23">
        <v>4</v>
      </c>
      <c r="F139" s="23">
        <v>2</v>
      </c>
      <c r="G139" s="11">
        <v>4</v>
      </c>
      <c r="H139" s="23">
        <v>0</v>
      </c>
      <c r="I139" s="23">
        <v>5</v>
      </c>
      <c r="J139" s="4">
        <v>7450</v>
      </c>
      <c r="K139" s="4">
        <v>37250</v>
      </c>
      <c r="L139" s="20">
        <f t="shared" si="1"/>
        <v>1</v>
      </c>
    </row>
    <row r="140" spans="1:12" x14ac:dyDescent="0.25">
      <c r="A140" s="2" t="s">
        <v>697</v>
      </c>
      <c r="B140" s="2" t="s">
        <v>698</v>
      </c>
      <c r="C140" s="2" t="s">
        <v>251</v>
      </c>
      <c r="D140" s="23">
        <v>15</v>
      </c>
      <c r="E140" s="23">
        <v>4</v>
      </c>
      <c r="F140" s="23">
        <v>6</v>
      </c>
      <c r="G140" s="11">
        <v>5</v>
      </c>
      <c r="H140" s="23">
        <v>0</v>
      </c>
      <c r="I140" s="23">
        <v>5</v>
      </c>
      <c r="J140" s="4">
        <v>2200</v>
      </c>
      <c r="K140" s="4">
        <v>11000</v>
      </c>
      <c r="L140" s="20">
        <f t="shared" si="1"/>
        <v>0</v>
      </c>
    </row>
    <row r="141" spans="1:12" x14ac:dyDescent="0.25">
      <c r="A141" s="2" t="s">
        <v>726</v>
      </c>
      <c r="B141" s="2" t="s">
        <v>727</v>
      </c>
      <c r="C141" s="2" t="s">
        <v>634</v>
      </c>
      <c r="D141" s="23">
        <v>13</v>
      </c>
      <c r="E141" s="23">
        <v>5</v>
      </c>
      <c r="F141" s="23">
        <v>3</v>
      </c>
      <c r="G141" s="11">
        <v>7</v>
      </c>
      <c r="H141" s="23">
        <v>0</v>
      </c>
      <c r="I141" s="23">
        <v>5</v>
      </c>
      <c r="J141" s="4">
        <v>10899.550000000001</v>
      </c>
      <c r="K141" s="4">
        <v>54497.75</v>
      </c>
      <c r="L141" s="20">
        <f t="shared" ref="L141:L204" si="2">D141-E141-F141-G141-H141</f>
        <v>-2</v>
      </c>
    </row>
    <row r="142" spans="1:12" x14ac:dyDescent="0.25">
      <c r="A142" s="2" t="s">
        <v>149</v>
      </c>
      <c r="B142" s="2" t="s">
        <v>150</v>
      </c>
      <c r="C142" s="2" t="s">
        <v>672</v>
      </c>
      <c r="D142" s="23">
        <v>14.600000000000001</v>
      </c>
      <c r="E142" s="23">
        <v>0</v>
      </c>
      <c r="F142" s="23">
        <v>5</v>
      </c>
      <c r="G142" s="11">
        <v>0</v>
      </c>
      <c r="H142" s="23">
        <v>5</v>
      </c>
      <c r="I142" s="23">
        <v>4.6000000000000014</v>
      </c>
      <c r="J142" s="4">
        <v>1147</v>
      </c>
      <c r="K142" s="4">
        <v>5276.2000000000025</v>
      </c>
      <c r="L142" s="20">
        <f t="shared" si="2"/>
        <v>4.6000000000000014</v>
      </c>
    </row>
    <row r="143" spans="1:12" x14ac:dyDescent="0.25">
      <c r="A143" s="2" t="s">
        <v>970</v>
      </c>
      <c r="B143" s="2" t="s">
        <v>971</v>
      </c>
      <c r="C143" s="2" t="s">
        <v>223</v>
      </c>
      <c r="D143" s="23">
        <v>4.4400000000000004</v>
      </c>
      <c r="E143" s="23">
        <v>0</v>
      </c>
      <c r="F143" s="23">
        <v>0</v>
      </c>
      <c r="G143" s="11">
        <v>30.759999999999998</v>
      </c>
      <c r="H143" s="23">
        <v>0</v>
      </c>
      <c r="I143" s="23">
        <v>4.4399999999999995</v>
      </c>
      <c r="J143" s="4">
        <v>1748.2099999999996</v>
      </c>
      <c r="K143" s="4">
        <v>7762.0524000000005</v>
      </c>
      <c r="L143" s="20">
        <f t="shared" si="2"/>
        <v>-26.319999999999997</v>
      </c>
    </row>
    <row r="144" spans="1:12" x14ac:dyDescent="0.25">
      <c r="A144" s="2" t="s">
        <v>285</v>
      </c>
      <c r="B144" s="2" t="s">
        <v>286</v>
      </c>
      <c r="C144" s="2" t="s">
        <v>490</v>
      </c>
      <c r="D144" s="23">
        <v>6.45</v>
      </c>
      <c r="E144" s="23">
        <v>2.2600000000000002</v>
      </c>
      <c r="F144" s="23">
        <v>0</v>
      </c>
      <c r="G144" s="11">
        <v>24.129999999999992</v>
      </c>
      <c r="H144" s="23">
        <v>0</v>
      </c>
      <c r="I144" s="23">
        <v>4.1899999999999986</v>
      </c>
      <c r="J144" s="4">
        <v>398.02999999999986</v>
      </c>
      <c r="K144" s="4">
        <v>1667.7456999999997</v>
      </c>
      <c r="L144" s="20">
        <f t="shared" si="2"/>
        <v>-19.939999999999991</v>
      </c>
    </row>
    <row r="145" spans="1:12" x14ac:dyDescent="0.25">
      <c r="A145" s="2" t="s">
        <v>923</v>
      </c>
      <c r="B145" s="2" t="s">
        <v>924</v>
      </c>
      <c r="C145" s="2" t="s">
        <v>635</v>
      </c>
      <c r="D145" s="23">
        <v>4</v>
      </c>
      <c r="E145" s="23">
        <v>0</v>
      </c>
      <c r="F145" s="23">
        <v>0</v>
      </c>
      <c r="G145" s="11">
        <v>0</v>
      </c>
      <c r="H145" s="23">
        <v>0</v>
      </c>
      <c r="I145" s="23">
        <v>4</v>
      </c>
      <c r="J145" s="4">
        <v>10</v>
      </c>
      <c r="K145" s="4">
        <v>40</v>
      </c>
      <c r="L145" s="20">
        <f t="shared" si="2"/>
        <v>4</v>
      </c>
    </row>
    <row r="146" spans="1:12" x14ac:dyDescent="0.25">
      <c r="A146" s="2" t="s">
        <v>468</v>
      </c>
      <c r="B146" s="2" t="s">
        <v>579</v>
      </c>
      <c r="C146" s="2" t="s">
        <v>393</v>
      </c>
      <c r="D146" s="23">
        <v>37</v>
      </c>
      <c r="E146" s="23">
        <v>3</v>
      </c>
      <c r="F146" s="23">
        <v>30</v>
      </c>
      <c r="G146" s="11">
        <v>21.5</v>
      </c>
      <c r="H146" s="23">
        <v>0</v>
      </c>
      <c r="I146" s="23">
        <v>4</v>
      </c>
      <c r="J146" s="4">
        <v>118.14000000000004</v>
      </c>
      <c r="K146" s="4">
        <v>472.56000000000017</v>
      </c>
      <c r="L146" s="20">
        <f t="shared" si="2"/>
        <v>-17.5</v>
      </c>
    </row>
    <row r="147" spans="1:12" x14ac:dyDescent="0.25">
      <c r="A147" s="2" t="s">
        <v>32</v>
      </c>
      <c r="B147" s="2" t="s">
        <v>33</v>
      </c>
      <c r="C147" s="2" t="s">
        <v>1222</v>
      </c>
      <c r="D147" s="23">
        <v>24</v>
      </c>
      <c r="E147" s="23">
        <v>0</v>
      </c>
      <c r="F147" s="23">
        <v>0</v>
      </c>
      <c r="G147" s="11">
        <v>16</v>
      </c>
      <c r="H147" s="23">
        <v>20</v>
      </c>
      <c r="I147" s="23">
        <v>4</v>
      </c>
      <c r="J147" s="4">
        <v>2726.4199999999992</v>
      </c>
      <c r="K147" s="4">
        <v>10905.679999999997</v>
      </c>
      <c r="L147" s="20">
        <f t="shared" si="2"/>
        <v>-12</v>
      </c>
    </row>
    <row r="148" spans="1:12" x14ac:dyDescent="0.25">
      <c r="A148" s="2" t="s">
        <v>273</v>
      </c>
      <c r="B148" s="2" t="s">
        <v>274</v>
      </c>
      <c r="C148" s="2" t="s">
        <v>275</v>
      </c>
      <c r="D148" s="23">
        <v>19</v>
      </c>
      <c r="E148" s="23">
        <v>8</v>
      </c>
      <c r="F148" s="23">
        <v>7</v>
      </c>
      <c r="G148" s="11">
        <v>10</v>
      </c>
      <c r="H148" s="23">
        <v>0</v>
      </c>
      <c r="I148" s="23">
        <v>4</v>
      </c>
      <c r="J148" s="4">
        <v>487.56000000000006</v>
      </c>
      <c r="K148" s="4">
        <v>1950.2400000000002</v>
      </c>
      <c r="L148" s="20">
        <f t="shared" si="2"/>
        <v>-6</v>
      </c>
    </row>
    <row r="149" spans="1:12" x14ac:dyDescent="0.25">
      <c r="A149" s="2" t="s">
        <v>1225</v>
      </c>
      <c r="B149" s="2" t="s">
        <v>1226</v>
      </c>
      <c r="C149" s="2" t="s">
        <v>634</v>
      </c>
      <c r="D149" s="23">
        <v>4</v>
      </c>
      <c r="E149" s="23">
        <v>0</v>
      </c>
      <c r="F149" s="23">
        <v>0</v>
      </c>
      <c r="G149" s="11">
        <v>0</v>
      </c>
      <c r="H149" s="23">
        <v>0</v>
      </c>
      <c r="I149" s="23">
        <v>4</v>
      </c>
      <c r="J149" s="4">
        <v>3589.41</v>
      </c>
      <c r="K149" s="4">
        <v>14357.64</v>
      </c>
      <c r="L149" s="20">
        <f t="shared" si="2"/>
        <v>4</v>
      </c>
    </row>
    <row r="150" spans="1:12" x14ac:dyDescent="0.25">
      <c r="A150" s="2" t="s">
        <v>120</v>
      </c>
      <c r="B150" s="2" t="s">
        <v>311</v>
      </c>
      <c r="C150" s="2" t="s">
        <v>240</v>
      </c>
      <c r="D150" s="23">
        <v>33.699999999999996</v>
      </c>
      <c r="E150" s="23">
        <v>5.8</v>
      </c>
      <c r="F150" s="23">
        <v>24</v>
      </c>
      <c r="G150" s="11">
        <v>18.499999999999986</v>
      </c>
      <c r="H150" s="23">
        <v>0</v>
      </c>
      <c r="I150" s="23">
        <v>3.8999999999999928</v>
      </c>
      <c r="J150" s="4">
        <v>120</v>
      </c>
      <c r="K150" s="4">
        <v>467.99999999999932</v>
      </c>
      <c r="L150" s="20">
        <f t="shared" si="2"/>
        <v>-14.599999999999991</v>
      </c>
    </row>
    <row r="151" spans="1:12" x14ac:dyDescent="0.25">
      <c r="A151" s="2" t="s">
        <v>1187</v>
      </c>
      <c r="B151" s="2" t="s">
        <v>1188</v>
      </c>
      <c r="C151" s="2" t="s">
        <v>490</v>
      </c>
      <c r="D151" s="23">
        <v>3.4499999999999997</v>
      </c>
      <c r="E151" s="23">
        <v>0</v>
      </c>
      <c r="F151" s="23">
        <v>0</v>
      </c>
      <c r="G151" s="11">
        <v>0</v>
      </c>
      <c r="H151" s="23">
        <v>0</v>
      </c>
      <c r="I151" s="23">
        <v>3.4499999999999997</v>
      </c>
      <c r="J151" s="4">
        <v>115.78</v>
      </c>
      <c r="K151" s="4">
        <v>399.44099999999997</v>
      </c>
      <c r="L151" s="20">
        <f t="shared" si="2"/>
        <v>3.4499999999999997</v>
      </c>
    </row>
    <row r="152" spans="1:12" x14ac:dyDescent="0.25">
      <c r="A152" s="2" t="s">
        <v>1103</v>
      </c>
      <c r="B152" s="2" t="s">
        <v>1104</v>
      </c>
      <c r="C152" s="2" t="s">
        <v>1020</v>
      </c>
      <c r="D152" s="23">
        <v>3</v>
      </c>
      <c r="E152" s="23">
        <v>0</v>
      </c>
      <c r="F152" s="23">
        <v>0</v>
      </c>
      <c r="G152" s="11">
        <v>0</v>
      </c>
      <c r="H152" s="23">
        <v>0</v>
      </c>
      <c r="I152" s="23">
        <v>3</v>
      </c>
      <c r="J152" s="4">
        <v>96</v>
      </c>
      <c r="K152" s="4">
        <v>288</v>
      </c>
      <c r="L152" s="20">
        <f t="shared" si="2"/>
        <v>3</v>
      </c>
    </row>
    <row r="153" spans="1:12" x14ac:dyDescent="0.25">
      <c r="A153" s="2" t="s">
        <v>754</v>
      </c>
      <c r="B153" s="2" t="s">
        <v>755</v>
      </c>
      <c r="C153" s="2" t="s">
        <v>215</v>
      </c>
      <c r="D153" s="23">
        <v>5</v>
      </c>
      <c r="E153" s="23">
        <v>2</v>
      </c>
      <c r="F153" s="23">
        <v>0</v>
      </c>
      <c r="G153" s="11">
        <v>2</v>
      </c>
      <c r="H153" s="23">
        <v>0</v>
      </c>
      <c r="I153" s="23">
        <v>3</v>
      </c>
      <c r="J153" s="4">
        <v>32538.379999999997</v>
      </c>
      <c r="K153" s="4">
        <v>97615.14</v>
      </c>
      <c r="L153" s="20">
        <f t="shared" si="2"/>
        <v>1</v>
      </c>
    </row>
    <row r="154" spans="1:12" x14ac:dyDescent="0.25">
      <c r="A154" s="2" t="s">
        <v>1131</v>
      </c>
      <c r="B154" s="2" t="s">
        <v>1132</v>
      </c>
      <c r="C154" s="2" t="s">
        <v>227</v>
      </c>
      <c r="D154" s="23">
        <v>3</v>
      </c>
      <c r="E154" s="23">
        <v>0</v>
      </c>
      <c r="F154" s="23">
        <v>0</v>
      </c>
      <c r="G154" s="11">
        <v>0</v>
      </c>
      <c r="H154" s="23">
        <v>0</v>
      </c>
      <c r="I154" s="23">
        <v>3</v>
      </c>
      <c r="J154" s="4">
        <v>13650.01</v>
      </c>
      <c r="K154" s="4">
        <v>40950.03</v>
      </c>
      <c r="L154" s="20">
        <f t="shared" si="2"/>
        <v>3</v>
      </c>
    </row>
    <row r="155" spans="1:12" x14ac:dyDescent="0.25">
      <c r="A155" s="2" t="s">
        <v>324</v>
      </c>
      <c r="B155" s="2" t="s">
        <v>325</v>
      </c>
      <c r="C155" s="2" t="s">
        <v>326</v>
      </c>
      <c r="D155" s="23">
        <v>2.5820000000000007</v>
      </c>
      <c r="E155" s="23">
        <v>0</v>
      </c>
      <c r="F155" s="23">
        <v>0</v>
      </c>
      <c r="G155" s="11">
        <v>1.7763568394002505E-15</v>
      </c>
      <c r="H155" s="23">
        <v>0</v>
      </c>
      <c r="I155" s="23">
        <v>2.5820000000000007</v>
      </c>
      <c r="J155" s="4">
        <v>1575</v>
      </c>
      <c r="K155" s="4">
        <v>4066.65</v>
      </c>
      <c r="L155" s="20">
        <f t="shared" si="2"/>
        <v>2.581999999999999</v>
      </c>
    </row>
    <row r="156" spans="1:12" x14ac:dyDescent="0.25">
      <c r="A156" s="2" t="s">
        <v>552</v>
      </c>
      <c r="B156" s="2" t="s">
        <v>553</v>
      </c>
      <c r="C156" s="2" t="s">
        <v>240</v>
      </c>
      <c r="D156" s="23">
        <v>16.57</v>
      </c>
      <c r="E156" s="23">
        <v>0</v>
      </c>
      <c r="F156" s="23">
        <v>14</v>
      </c>
      <c r="G156" s="11">
        <v>9.9999999999999964</v>
      </c>
      <c r="H156" s="23">
        <v>0</v>
      </c>
      <c r="I156" s="23">
        <v>2.5700000000000003</v>
      </c>
      <c r="J156" s="4">
        <v>215</v>
      </c>
      <c r="K156" s="4">
        <v>552.54999999999995</v>
      </c>
      <c r="L156" s="20">
        <f t="shared" si="2"/>
        <v>-7.4299999999999962</v>
      </c>
    </row>
    <row r="157" spans="1:12" x14ac:dyDescent="0.25">
      <c r="A157" s="2" t="s">
        <v>1071</v>
      </c>
      <c r="B157" s="2" t="s">
        <v>1072</v>
      </c>
      <c r="C157" s="2" t="s">
        <v>887</v>
      </c>
      <c r="D157" s="23">
        <v>2.5</v>
      </c>
      <c r="E157" s="23">
        <v>0</v>
      </c>
      <c r="F157" s="23">
        <v>0</v>
      </c>
      <c r="G157" s="11">
        <v>-1.7763568394002505E-15</v>
      </c>
      <c r="H157" s="23">
        <v>0</v>
      </c>
      <c r="I157" s="23">
        <v>2.5</v>
      </c>
      <c r="J157" s="4">
        <v>83.33</v>
      </c>
      <c r="K157" s="4">
        <v>208.32499999999999</v>
      </c>
      <c r="L157" s="20">
        <f t="shared" si="2"/>
        <v>2.5000000000000018</v>
      </c>
    </row>
    <row r="158" spans="1:12" x14ac:dyDescent="0.25">
      <c r="A158" s="2" t="s">
        <v>498</v>
      </c>
      <c r="B158" s="2" t="s">
        <v>499</v>
      </c>
      <c r="C158" s="2" t="s">
        <v>713</v>
      </c>
      <c r="D158" s="23">
        <v>19</v>
      </c>
      <c r="E158" s="23">
        <v>7</v>
      </c>
      <c r="F158" s="23">
        <v>10</v>
      </c>
      <c r="G158" s="11">
        <v>9</v>
      </c>
      <c r="H158" s="23">
        <v>0</v>
      </c>
      <c r="I158" s="23">
        <v>2</v>
      </c>
      <c r="J158" s="4"/>
      <c r="K158" s="4">
        <v>0</v>
      </c>
      <c r="L158" s="20">
        <f t="shared" si="2"/>
        <v>-7</v>
      </c>
    </row>
    <row r="159" spans="1:12" x14ac:dyDescent="0.25">
      <c r="A159" s="2" t="s">
        <v>947</v>
      </c>
      <c r="B159" s="2" t="s">
        <v>948</v>
      </c>
      <c r="C159" s="2" t="s">
        <v>227</v>
      </c>
      <c r="D159" s="23">
        <v>7</v>
      </c>
      <c r="E159" s="23">
        <v>5</v>
      </c>
      <c r="F159" s="23">
        <v>0</v>
      </c>
      <c r="G159" s="11">
        <v>7</v>
      </c>
      <c r="H159" s="23">
        <v>0</v>
      </c>
      <c r="I159" s="23">
        <v>2</v>
      </c>
      <c r="J159" s="4">
        <v>4000.7399999999989</v>
      </c>
      <c r="K159" s="4">
        <v>8001.4799999999977</v>
      </c>
      <c r="L159" s="20">
        <f t="shared" si="2"/>
        <v>-5</v>
      </c>
    </row>
    <row r="160" spans="1:12" x14ac:dyDescent="0.25">
      <c r="A160" s="2" t="s">
        <v>738</v>
      </c>
      <c r="B160" s="16" t="s">
        <v>739</v>
      </c>
      <c r="C160" s="2" t="s">
        <v>667</v>
      </c>
      <c r="D160" s="23">
        <v>16</v>
      </c>
      <c r="E160" s="23">
        <v>4</v>
      </c>
      <c r="F160" s="23">
        <v>10</v>
      </c>
      <c r="G160" s="11">
        <v>16</v>
      </c>
      <c r="H160" s="23">
        <v>0</v>
      </c>
      <c r="I160" s="23">
        <v>2</v>
      </c>
      <c r="J160" s="4">
        <v>116.67000000000003</v>
      </c>
      <c r="K160" s="4">
        <v>233.34000000000006</v>
      </c>
      <c r="L160" s="20">
        <f t="shared" si="2"/>
        <v>-14</v>
      </c>
    </row>
    <row r="161" spans="1:12" x14ac:dyDescent="0.25">
      <c r="A161" s="2" t="s">
        <v>1140</v>
      </c>
      <c r="B161" s="2" t="s">
        <v>1141</v>
      </c>
      <c r="C161" s="2" t="s">
        <v>1020</v>
      </c>
      <c r="D161" s="23">
        <v>2</v>
      </c>
      <c r="E161" s="23">
        <v>0</v>
      </c>
      <c r="F161" s="23">
        <v>0</v>
      </c>
      <c r="G161" s="11">
        <v>0</v>
      </c>
      <c r="H161" s="23">
        <v>0</v>
      </c>
      <c r="I161" s="23">
        <v>2</v>
      </c>
      <c r="J161" s="4">
        <v>0</v>
      </c>
      <c r="K161" s="4">
        <v>0</v>
      </c>
      <c r="L161" s="20">
        <f t="shared" si="2"/>
        <v>2</v>
      </c>
    </row>
    <row r="162" spans="1:12" x14ac:dyDescent="0.25">
      <c r="A162" s="2" t="s">
        <v>1133</v>
      </c>
      <c r="B162" s="2" t="s">
        <v>1134</v>
      </c>
      <c r="C162" s="2" t="s">
        <v>712</v>
      </c>
      <c r="D162" s="23">
        <v>2</v>
      </c>
      <c r="E162" s="23">
        <v>0</v>
      </c>
      <c r="F162" s="23">
        <v>0</v>
      </c>
      <c r="G162" s="11">
        <v>0</v>
      </c>
      <c r="H162" s="23">
        <v>0</v>
      </c>
      <c r="I162" s="23">
        <v>2</v>
      </c>
      <c r="J162" s="4">
        <v>24464.05</v>
      </c>
      <c r="K162" s="4">
        <v>48928.1</v>
      </c>
      <c r="L162" s="20">
        <f t="shared" si="2"/>
        <v>2</v>
      </c>
    </row>
    <row r="163" spans="1:12" x14ac:dyDescent="0.25">
      <c r="A163" s="2" t="s">
        <v>7</v>
      </c>
      <c r="B163" s="2" t="s">
        <v>8</v>
      </c>
      <c r="C163" s="2" t="s">
        <v>227</v>
      </c>
      <c r="D163" s="23">
        <v>14</v>
      </c>
      <c r="E163" s="23">
        <v>6</v>
      </c>
      <c r="F163" s="23">
        <v>6</v>
      </c>
      <c r="G163" s="11">
        <v>7</v>
      </c>
      <c r="H163" s="23">
        <v>0</v>
      </c>
      <c r="I163" s="23">
        <v>2</v>
      </c>
      <c r="J163" s="4">
        <v>2480.4599999999996</v>
      </c>
      <c r="K163" s="4">
        <v>4960.9199999999992</v>
      </c>
      <c r="L163" s="20">
        <f t="shared" si="2"/>
        <v>-5</v>
      </c>
    </row>
    <row r="164" spans="1:12" x14ac:dyDescent="0.25">
      <c r="A164" s="2" t="s">
        <v>335</v>
      </c>
      <c r="B164" s="2" t="s">
        <v>622</v>
      </c>
      <c r="C164" s="2" t="s">
        <v>636</v>
      </c>
      <c r="D164" s="23">
        <v>11</v>
      </c>
      <c r="E164" s="23">
        <v>4</v>
      </c>
      <c r="F164" s="23">
        <v>5</v>
      </c>
      <c r="G164" s="11">
        <v>4</v>
      </c>
      <c r="H164" s="23">
        <v>0</v>
      </c>
      <c r="I164" s="23">
        <v>2</v>
      </c>
      <c r="J164" s="4">
        <v>1723.7900000000006</v>
      </c>
      <c r="K164" s="4">
        <v>3447.5800000000013</v>
      </c>
      <c r="L164" s="20">
        <f t="shared" si="2"/>
        <v>-2</v>
      </c>
    </row>
    <row r="165" spans="1:12" x14ac:dyDescent="0.25">
      <c r="A165" s="2" t="s">
        <v>965</v>
      </c>
      <c r="B165" s="2" t="s">
        <v>966</v>
      </c>
      <c r="C165" s="2" t="s">
        <v>634</v>
      </c>
      <c r="D165" s="23">
        <v>6</v>
      </c>
      <c r="E165" s="23">
        <v>3</v>
      </c>
      <c r="F165" s="23">
        <v>1</v>
      </c>
      <c r="G165" s="11">
        <v>6</v>
      </c>
      <c r="H165" s="23">
        <v>0</v>
      </c>
      <c r="I165" s="23">
        <v>2</v>
      </c>
      <c r="J165" s="4">
        <v>8424.67</v>
      </c>
      <c r="K165" s="4">
        <v>16849.34</v>
      </c>
      <c r="L165" s="20">
        <f t="shared" si="2"/>
        <v>-4</v>
      </c>
    </row>
    <row r="166" spans="1:12" x14ac:dyDescent="0.25">
      <c r="A166" s="2" t="s">
        <v>336</v>
      </c>
      <c r="B166" s="2" t="s">
        <v>623</v>
      </c>
      <c r="C166" s="2" t="s">
        <v>636</v>
      </c>
      <c r="D166" s="23">
        <v>11</v>
      </c>
      <c r="E166" s="23">
        <v>4</v>
      </c>
      <c r="F166" s="23">
        <v>5</v>
      </c>
      <c r="G166" s="11">
        <v>4</v>
      </c>
      <c r="H166" s="23">
        <v>0</v>
      </c>
      <c r="I166" s="23">
        <v>2</v>
      </c>
      <c r="J166" s="4">
        <v>1679.5300000000002</v>
      </c>
      <c r="K166" s="4">
        <v>3359.0600000000004</v>
      </c>
      <c r="L166" s="20">
        <f t="shared" si="2"/>
        <v>-2</v>
      </c>
    </row>
    <row r="167" spans="1:12" x14ac:dyDescent="0.25">
      <c r="A167" s="2" t="s">
        <v>372</v>
      </c>
      <c r="B167" s="2" t="s">
        <v>373</v>
      </c>
      <c r="C167" s="2" t="s">
        <v>821</v>
      </c>
      <c r="D167" s="23">
        <v>107</v>
      </c>
      <c r="E167" s="23">
        <v>0</v>
      </c>
      <c r="F167" s="23">
        <v>65</v>
      </c>
      <c r="G167" s="11">
        <v>54</v>
      </c>
      <c r="H167" s="23">
        <v>40</v>
      </c>
      <c r="I167" s="23">
        <v>2</v>
      </c>
      <c r="J167" s="4">
        <v>74</v>
      </c>
      <c r="K167" s="4">
        <v>148</v>
      </c>
      <c r="L167" s="20">
        <f t="shared" si="2"/>
        <v>-52</v>
      </c>
    </row>
    <row r="168" spans="1:12" x14ac:dyDescent="0.25">
      <c r="A168" s="2" t="s">
        <v>941</v>
      </c>
      <c r="B168" s="2" t="s">
        <v>942</v>
      </c>
      <c r="C168" s="2" t="s">
        <v>1054</v>
      </c>
      <c r="D168" s="23">
        <v>5</v>
      </c>
      <c r="E168" s="23">
        <v>1</v>
      </c>
      <c r="F168" s="23">
        <v>2</v>
      </c>
      <c r="G168" s="11">
        <v>1</v>
      </c>
      <c r="H168" s="23">
        <v>0</v>
      </c>
      <c r="I168" s="23">
        <v>2</v>
      </c>
      <c r="J168" s="4">
        <v>9940.35</v>
      </c>
      <c r="K168" s="4">
        <v>19880.7</v>
      </c>
      <c r="L168" s="20">
        <f t="shared" si="2"/>
        <v>1</v>
      </c>
    </row>
    <row r="169" spans="1:12" x14ac:dyDescent="0.25">
      <c r="A169" s="2" t="s">
        <v>838</v>
      </c>
      <c r="B169" s="2" t="s">
        <v>839</v>
      </c>
      <c r="C169" s="2" t="s">
        <v>1020</v>
      </c>
      <c r="D169" s="23">
        <v>1.8</v>
      </c>
      <c r="E169" s="23">
        <v>0</v>
      </c>
      <c r="F169" s="23">
        <v>0</v>
      </c>
      <c r="G169" s="11">
        <v>0</v>
      </c>
      <c r="H169" s="23">
        <v>0</v>
      </c>
      <c r="I169" s="23">
        <v>1.8000000000000003</v>
      </c>
      <c r="J169" s="4">
        <v>5</v>
      </c>
      <c r="K169" s="4">
        <v>9</v>
      </c>
      <c r="L169" s="20">
        <f t="shared" si="2"/>
        <v>1.8</v>
      </c>
    </row>
    <row r="170" spans="1:12" x14ac:dyDescent="0.25">
      <c r="A170" s="2" t="s">
        <v>1017</v>
      </c>
      <c r="B170" s="2" t="s">
        <v>1018</v>
      </c>
      <c r="C170" s="2" t="s">
        <v>1019</v>
      </c>
      <c r="D170" s="23">
        <v>1.8</v>
      </c>
      <c r="E170" s="23">
        <v>0</v>
      </c>
      <c r="F170" s="23">
        <v>0</v>
      </c>
      <c r="G170" s="11">
        <v>23.200000000000003</v>
      </c>
      <c r="H170" s="23">
        <v>0</v>
      </c>
      <c r="I170" s="23">
        <v>1.8</v>
      </c>
      <c r="J170" s="4">
        <v>200</v>
      </c>
      <c r="K170" s="4">
        <v>360</v>
      </c>
      <c r="L170" s="20">
        <f t="shared" si="2"/>
        <v>-21.400000000000002</v>
      </c>
    </row>
    <row r="171" spans="1:12" x14ac:dyDescent="0.25">
      <c r="A171" s="2" t="s">
        <v>319</v>
      </c>
      <c r="B171" s="2" t="s">
        <v>320</v>
      </c>
      <c r="C171" s="2" t="s">
        <v>762</v>
      </c>
      <c r="D171" s="23">
        <v>2.4870000000000001</v>
      </c>
      <c r="E171" s="23">
        <v>1.0609999999999999</v>
      </c>
      <c r="F171" s="23">
        <v>0</v>
      </c>
      <c r="G171" s="11">
        <v>4.5430000000000446</v>
      </c>
      <c r="H171" s="23">
        <v>0</v>
      </c>
      <c r="I171" s="23">
        <v>1.4260000000000008</v>
      </c>
      <c r="J171" s="4">
        <v>19500</v>
      </c>
      <c r="K171" s="4">
        <v>27807.000000000007</v>
      </c>
      <c r="L171" s="20">
        <f t="shared" si="2"/>
        <v>-3.1170000000000444</v>
      </c>
    </row>
    <row r="172" spans="1:12" x14ac:dyDescent="0.25">
      <c r="A172" s="2" t="s">
        <v>347</v>
      </c>
      <c r="B172" s="2" t="s">
        <v>348</v>
      </c>
      <c r="C172" s="2" t="s">
        <v>217</v>
      </c>
      <c r="D172" s="23">
        <v>3.4000000000000004</v>
      </c>
      <c r="E172" s="23">
        <v>0</v>
      </c>
      <c r="F172" s="23">
        <v>2</v>
      </c>
      <c r="G172" s="11">
        <v>-6.3837823915946501E-16</v>
      </c>
      <c r="H172" s="23">
        <v>0</v>
      </c>
      <c r="I172" s="23">
        <v>1.3999999999999997</v>
      </c>
      <c r="J172" s="4">
        <v>2778</v>
      </c>
      <c r="K172" s="4">
        <v>3889.2000000000021</v>
      </c>
      <c r="L172" s="20">
        <f t="shared" si="2"/>
        <v>1.400000000000001</v>
      </c>
    </row>
    <row r="173" spans="1:12" x14ac:dyDescent="0.25">
      <c r="A173" s="2" t="s">
        <v>327</v>
      </c>
      <c r="B173" s="2" t="s">
        <v>328</v>
      </c>
      <c r="C173" s="2" t="s">
        <v>240</v>
      </c>
      <c r="D173" s="23">
        <v>1.2600000000000005</v>
      </c>
      <c r="E173" s="23">
        <v>0</v>
      </c>
      <c r="F173" s="23">
        <v>0</v>
      </c>
      <c r="G173" s="11">
        <v>1.9299999999999993</v>
      </c>
      <c r="H173" s="23">
        <v>0</v>
      </c>
      <c r="I173" s="23">
        <v>1.2600000000000007</v>
      </c>
      <c r="J173" s="4">
        <v>1525</v>
      </c>
      <c r="K173" s="4">
        <v>1921.5000000000005</v>
      </c>
      <c r="L173" s="20">
        <f t="shared" si="2"/>
        <v>-0.66999999999999882</v>
      </c>
    </row>
    <row r="174" spans="1:12" x14ac:dyDescent="0.25">
      <c r="A174" s="2" t="s">
        <v>990</v>
      </c>
      <c r="B174" s="2" t="s">
        <v>991</v>
      </c>
      <c r="C174" s="2" t="s">
        <v>696</v>
      </c>
      <c r="D174" s="23">
        <v>1.2</v>
      </c>
      <c r="E174" s="23">
        <v>0</v>
      </c>
      <c r="F174" s="23">
        <v>0</v>
      </c>
      <c r="G174" s="11">
        <v>50</v>
      </c>
      <c r="H174" s="23">
        <v>0</v>
      </c>
      <c r="I174" s="23">
        <v>1.2</v>
      </c>
      <c r="J174" s="4">
        <v>94.04</v>
      </c>
      <c r="K174" s="4">
        <v>112.848</v>
      </c>
      <c r="L174" s="20">
        <f t="shared" si="2"/>
        <v>-48.8</v>
      </c>
    </row>
    <row r="175" spans="1:12" x14ac:dyDescent="0.25">
      <c r="A175" s="2" t="s">
        <v>451</v>
      </c>
      <c r="B175" s="2" t="s">
        <v>452</v>
      </c>
      <c r="C175" s="2" t="s">
        <v>240</v>
      </c>
      <c r="D175" s="23">
        <v>20</v>
      </c>
      <c r="E175" s="23">
        <v>9</v>
      </c>
      <c r="F175" s="23">
        <v>4</v>
      </c>
      <c r="G175" s="11">
        <v>9</v>
      </c>
      <c r="H175" s="23">
        <v>6</v>
      </c>
      <c r="I175" s="23">
        <v>1</v>
      </c>
      <c r="J175" s="4">
        <v>1600</v>
      </c>
      <c r="K175" s="4">
        <v>1600</v>
      </c>
      <c r="L175" s="20">
        <f t="shared" si="2"/>
        <v>-8</v>
      </c>
    </row>
    <row r="176" spans="1:12" x14ac:dyDescent="0.25">
      <c r="A176" s="2" t="s">
        <v>1117</v>
      </c>
      <c r="B176" s="2" t="s">
        <v>1118</v>
      </c>
      <c r="C176" s="2" t="s">
        <v>223</v>
      </c>
      <c r="D176" s="23">
        <v>1</v>
      </c>
      <c r="E176" s="23">
        <v>0</v>
      </c>
      <c r="F176" s="23">
        <v>0</v>
      </c>
      <c r="G176" s="11">
        <v>26.754999999999999</v>
      </c>
      <c r="H176" s="23">
        <v>0</v>
      </c>
      <c r="I176" s="23">
        <v>1</v>
      </c>
      <c r="J176" s="4">
        <v>882.72</v>
      </c>
      <c r="K176" s="4">
        <v>882.72</v>
      </c>
      <c r="L176" s="20">
        <f t="shared" si="2"/>
        <v>-25.754999999999999</v>
      </c>
    </row>
    <row r="177" spans="1:12" x14ac:dyDescent="0.25">
      <c r="A177" s="2" t="s">
        <v>1189</v>
      </c>
      <c r="B177" s="2" t="s">
        <v>1190</v>
      </c>
      <c r="C177" s="2" t="s">
        <v>1186</v>
      </c>
      <c r="D177" s="23">
        <v>1</v>
      </c>
      <c r="E177" s="23">
        <v>0</v>
      </c>
      <c r="F177" s="23">
        <v>0</v>
      </c>
      <c r="G177" s="11">
        <v>0</v>
      </c>
      <c r="H177" s="23">
        <v>0</v>
      </c>
      <c r="I177" s="23">
        <v>1</v>
      </c>
      <c r="J177" s="4">
        <v>17633.25</v>
      </c>
      <c r="K177" s="4">
        <v>17633.25</v>
      </c>
      <c r="L177" s="20">
        <f t="shared" si="2"/>
        <v>1</v>
      </c>
    </row>
    <row r="178" spans="1:12" x14ac:dyDescent="0.25">
      <c r="A178" s="2" t="s">
        <v>1111</v>
      </c>
      <c r="B178" s="2" t="s">
        <v>1112</v>
      </c>
      <c r="C178" s="2" t="s">
        <v>1020</v>
      </c>
      <c r="D178" s="23">
        <v>1</v>
      </c>
      <c r="E178" s="23">
        <v>0</v>
      </c>
      <c r="F178" s="23">
        <v>0</v>
      </c>
      <c r="G178" s="11">
        <v>0</v>
      </c>
      <c r="H178" s="23">
        <v>0</v>
      </c>
      <c r="I178" s="23">
        <v>1</v>
      </c>
      <c r="J178" s="4">
        <v>2.12</v>
      </c>
      <c r="K178" s="4">
        <v>2.12</v>
      </c>
      <c r="L178" s="20">
        <f t="shared" si="2"/>
        <v>1</v>
      </c>
    </row>
    <row r="179" spans="1:12" x14ac:dyDescent="0.25">
      <c r="A179" s="2" t="s">
        <v>844</v>
      </c>
      <c r="B179" s="2" t="s">
        <v>845</v>
      </c>
      <c r="C179" s="2" t="s">
        <v>636</v>
      </c>
      <c r="D179" s="23">
        <v>63</v>
      </c>
      <c r="E179" s="23">
        <v>26</v>
      </c>
      <c r="F179" s="23">
        <v>36</v>
      </c>
      <c r="G179" s="11">
        <v>26</v>
      </c>
      <c r="H179" s="23">
        <v>0</v>
      </c>
      <c r="I179" s="23">
        <v>1</v>
      </c>
      <c r="J179" s="4">
        <v>348.69999999999987</v>
      </c>
      <c r="K179" s="4">
        <v>348.69999999999987</v>
      </c>
      <c r="L179" s="20">
        <f t="shared" si="2"/>
        <v>-25</v>
      </c>
    </row>
    <row r="180" spans="1:12" x14ac:dyDescent="0.25">
      <c r="A180" s="2" t="s">
        <v>967</v>
      </c>
      <c r="B180" s="2" t="s">
        <v>968</v>
      </c>
      <c r="C180" s="2" t="s">
        <v>969</v>
      </c>
      <c r="D180" s="23">
        <v>3</v>
      </c>
      <c r="E180" s="23">
        <v>0</v>
      </c>
      <c r="F180" s="23">
        <v>2</v>
      </c>
      <c r="G180" s="11">
        <v>3.5527136788005009E-15</v>
      </c>
      <c r="H180" s="23">
        <v>0</v>
      </c>
      <c r="I180" s="23">
        <v>1</v>
      </c>
      <c r="J180" s="4">
        <v>155</v>
      </c>
      <c r="K180" s="4">
        <v>155</v>
      </c>
      <c r="L180" s="20">
        <f t="shared" si="2"/>
        <v>0.99999999999999645</v>
      </c>
    </row>
    <row r="181" spans="1:12" x14ac:dyDescent="0.25">
      <c r="A181" s="2" t="s">
        <v>957</v>
      </c>
      <c r="B181" s="2" t="s">
        <v>958</v>
      </c>
      <c r="C181" s="2" t="s">
        <v>227</v>
      </c>
      <c r="D181" s="23">
        <v>4</v>
      </c>
      <c r="E181" s="23">
        <v>1</v>
      </c>
      <c r="F181" s="23">
        <v>2</v>
      </c>
      <c r="G181" s="11">
        <v>1</v>
      </c>
      <c r="H181" s="23">
        <v>0</v>
      </c>
      <c r="I181" s="23">
        <v>1</v>
      </c>
      <c r="J181" s="4">
        <v>11815.53</v>
      </c>
      <c r="K181" s="4">
        <v>11815.53</v>
      </c>
      <c r="L181" s="20">
        <f t="shared" si="2"/>
        <v>0</v>
      </c>
    </row>
    <row r="182" spans="1:12" x14ac:dyDescent="0.25">
      <c r="A182" s="2" t="s">
        <v>1093</v>
      </c>
      <c r="B182" s="2" t="s">
        <v>1094</v>
      </c>
      <c r="C182" s="2" t="s">
        <v>1020</v>
      </c>
      <c r="D182" s="23">
        <v>1</v>
      </c>
      <c r="E182" s="23">
        <v>0</v>
      </c>
      <c r="F182" s="23">
        <v>0</v>
      </c>
      <c r="G182" s="11">
        <v>0</v>
      </c>
      <c r="H182" s="23">
        <v>0</v>
      </c>
      <c r="I182" s="23">
        <v>1</v>
      </c>
      <c r="J182" s="4">
        <v>0</v>
      </c>
      <c r="K182" s="4">
        <v>0</v>
      </c>
      <c r="L182" s="20">
        <f t="shared" si="2"/>
        <v>1</v>
      </c>
    </row>
    <row r="183" spans="1:12" x14ac:dyDescent="0.25">
      <c r="A183" s="2" t="s">
        <v>734</v>
      </c>
      <c r="B183" s="16" t="s">
        <v>735</v>
      </c>
      <c r="C183" s="2" t="s">
        <v>667</v>
      </c>
      <c r="D183" s="23">
        <v>16</v>
      </c>
      <c r="E183" s="23">
        <v>5</v>
      </c>
      <c r="F183" s="23">
        <v>10</v>
      </c>
      <c r="G183" s="11">
        <v>17</v>
      </c>
      <c r="H183" s="23">
        <v>0</v>
      </c>
      <c r="I183" s="23">
        <v>1</v>
      </c>
      <c r="J183" s="4">
        <v>565.83000000000004</v>
      </c>
      <c r="K183" s="4">
        <v>565.83000000000004</v>
      </c>
      <c r="L183" s="20">
        <f t="shared" si="2"/>
        <v>-16</v>
      </c>
    </row>
    <row r="184" spans="1:12" x14ac:dyDescent="0.25">
      <c r="A184" s="2" t="s">
        <v>955</v>
      </c>
      <c r="B184" s="2" t="s">
        <v>956</v>
      </c>
      <c r="C184" s="2" t="s">
        <v>215</v>
      </c>
      <c r="D184" s="23">
        <v>2</v>
      </c>
      <c r="E184" s="23">
        <v>1</v>
      </c>
      <c r="F184" s="23">
        <v>0</v>
      </c>
      <c r="G184" s="11">
        <v>1</v>
      </c>
      <c r="H184" s="23">
        <v>0</v>
      </c>
      <c r="I184" s="23">
        <v>1</v>
      </c>
      <c r="J184" s="4">
        <v>65075.75</v>
      </c>
      <c r="K184" s="4">
        <v>65075.75</v>
      </c>
      <c r="L184" s="20">
        <f t="shared" si="2"/>
        <v>0</v>
      </c>
    </row>
    <row r="185" spans="1:12" x14ac:dyDescent="0.25">
      <c r="A185" s="2" t="s">
        <v>508</v>
      </c>
      <c r="B185" s="2" t="s">
        <v>509</v>
      </c>
      <c r="C185" s="2" t="s">
        <v>507</v>
      </c>
      <c r="D185" s="23">
        <v>19</v>
      </c>
      <c r="E185" s="23">
        <v>7</v>
      </c>
      <c r="F185" s="23">
        <v>4</v>
      </c>
      <c r="G185" s="11">
        <v>10</v>
      </c>
      <c r="H185" s="23">
        <v>7</v>
      </c>
      <c r="I185" s="23">
        <v>1</v>
      </c>
      <c r="J185" s="4">
        <v>1535.25</v>
      </c>
      <c r="K185" s="4">
        <v>1535.25</v>
      </c>
      <c r="L185" s="20">
        <f t="shared" si="2"/>
        <v>-9</v>
      </c>
    </row>
    <row r="186" spans="1:12" x14ac:dyDescent="0.25">
      <c r="A186" s="2" t="s">
        <v>714</v>
      </c>
      <c r="B186" s="2" t="s">
        <v>715</v>
      </c>
      <c r="C186" s="2" t="s">
        <v>215</v>
      </c>
      <c r="D186" s="23">
        <v>10</v>
      </c>
      <c r="E186" s="23">
        <v>4</v>
      </c>
      <c r="F186" s="23">
        <v>5</v>
      </c>
      <c r="G186" s="11">
        <v>4</v>
      </c>
      <c r="H186" s="23">
        <v>0</v>
      </c>
      <c r="I186" s="23">
        <v>1</v>
      </c>
      <c r="J186" s="4">
        <v>400</v>
      </c>
      <c r="K186" s="4">
        <v>400</v>
      </c>
      <c r="L186" s="20">
        <f t="shared" si="2"/>
        <v>-3</v>
      </c>
    </row>
    <row r="187" spans="1:12" x14ac:dyDescent="0.25">
      <c r="A187" s="2" t="s">
        <v>137</v>
      </c>
      <c r="B187" s="2" t="s">
        <v>138</v>
      </c>
      <c r="C187" s="2" t="s">
        <v>227</v>
      </c>
      <c r="D187" s="23">
        <v>41</v>
      </c>
      <c r="E187" s="23">
        <v>17</v>
      </c>
      <c r="F187" s="23">
        <v>23</v>
      </c>
      <c r="G187" s="11">
        <v>22</v>
      </c>
      <c r="H187" s="23">
        <v>0</v>
      </c>
      <c r="I187" s="23">
        <v>1</v>
      </c>
      <c r="J187" s="4">
        <v>73.350000000000009</v>
      </c>
      <c r="K187" s="4">
        <v>73.350000000000009</v>
      </c>
      <c r="L187" s="20">
        <f t="shared" si="2"/>
        <v>-21</v>
      </c>
    </row>
    <row r="188" spans="1:12" x14ac:dyDescent="0.25">
      <c r="A188" s="2" t="s">
        <v>1216</v>
      </c>
      <c r="B188" s="2" t="s">
        <v>1217</v>
      </c>
      <c r="C188" s="2" t="s">
        <v>829</v>
      </c>
      <c r="D188" s="23">
        <v>1</v>
      </c>
      <c r="E188" s="23">
        <v>0</v>
      </c>
      <c r="F188" s="23">
        <v>0</v>
      </c>
      <c r="G188" s="11">
        <v>0</v>
      </c>
      <c r="H188" s="23">
        <v>0</v>
      </c>
      <c r="I188" s="23">
        <v>1</v>
      </c>
      <c r="J188" s="4">
        <v>8250</v>
      </c>
      <c r="K188" s="4">
        <v>8250</v>
      </c>
      <c r="L188" s="20">
        <f t="shared" si="2"/>
        <v>1</v>
      </c>
    </row>
    <row r="189" spans="1:12" x14ac:dyDescent="0.25">
      <c r="A189" s="2" t="s">
        <v>48</v>
      </c>
      <c r="B189" s="2" t="s">
        <v>49</v>
      </c>
      <c r="C189" s="2" t="s">
        <v>245</v>
      </c>
      <c r="D189" s="23">
        <v>45</v>
      </c>
      <c r="E189" s="23">
        <v>23</v>
      </c>
      <c r="F189" s="23">
        <v>21</v>
      </c>
      <c r="G189" s="11">
        <v>30</v>
      </c>
      <c r="H189" s="23">
        <v>0</v>
      </c>
      <c r="I189" s="23">
        <v>1</v>
      </c>
      <c r="J189" s="4">
        <v>42</v>
      </c>
      <c r="K189" s="4">
        <v>42</v>
      </c>
      <c r="L189" s="20">
        <f t="shared" si="2"/>
        <v>-29</v>
      </c>
    </row>
    <row r="190" spans="1:12" x14ac:dyDescent="0.25">
      <c r="A190" s="2" t="s">
        <v>1184</v>
      </c>
      <c r="B190" s="2" t="s">
        <v>1185</v>
      </c>
      <c r="C190" s="2" t="s">
        <v>1186</v>
      </c>
      <c r="D190" s="23">
        <v>1</v>
      </c>
      <c r="E190" s="23">
        <v>0</v>
      </c>
      <c r="F190" s="23">
        <v>0</v>
      </c>
      <c r="G190" s="11">
        <v>1</v>
      </c>
      <c r="H190" s="23">
        <v>0</v>
      </c>
      <c r="I190" s="23">
        <v>1</v>
      </c>
      <c r="J190" s="4">
        <v>16009.7</v>
      </c>
      <c r="K190" s="4">
        <v>16009.7</v>
      </c>
      <c r="L190" s="20">
        <f t="shared" si="2"/>
        <v>0</v>
      </c>
    </row>
    <row r="191" spans="1:12" x14ac:dyDescent="0.25">
      <c r="A191" s="2" t="s">
        <v>558</v>
      </c>
      <c r="B191" s="2" t="s">
        <v>559</v>
      </c>
      <c r="C191" s="2" t="s">
        <v>240</v>
      </c>
      <c r="D191" s="23">
        <v>59.52</v>
      </c>
      <c r="E191" s="23">
        <v>24.639999999999997</v>
      </c>
      <c r="F191" s="23">
        <v>34</v>
      </c>
      <c r="G191" s="11">
        <v>97.880000000000052</v>
      </c>
      <c r="H191" s="23">
        <v>0</v>
      </c>
      <c r="I191" s="23">
        <v>0.88000000000000256</v>
      </c>
      <c r="J191" s="4">
        <v>55</v>
      </c>
      <c r="K191" s="4">
        <v>48.400000000000119</v>
      </c>
      <c r="L191" s="20">
        <f t="shared" si="2"/>
        <v>-97.000000000000043</v>
      </c>
    </row>
    <row r="192" spans="1:12" x14ac:dyDescent="0.25">
      <c r="A192" s="2" t="s">
        <v>896</v>
      </c>
      <c r="B192" s="2" t="s">
        <v>897</v>
      </c>
      <c r="C192" s="2" t="s">
        <v>898</v>
      </c>
      <c r="D192" s="23">
        <v>0.8</v>
      </c>
      <c r="E192" s="23">
        <v>0</v>
      </c>
      <c r="F192" s="23">
        <v>0</v>
      </c>
      <c r="G192" s="11">
        <v>0</v>
      </c>
      <c r="H192" s="23">
        <v>0</v>
      </c>
      <c r="I192" s="23">
        <v>0.8</v>
      </c>
      <c r="J192" s="4">
        <v>500</v>
      </c>
      <c r="K192" s="4">
        <v>400</v>
      </c>
      <c r="L192" s="20">
        <f t="shared" si="2"/>
        <v>0.8</v>
      </c>
    </row>
    <row r="193" spans="1:12" x14ac:dyDescent="0.25">
      <c r="A193" s="2" t="s">
        <v>1065</v>
      </c>
      <c r="B193" s="2" t="s">
        <v>1066</v>
      </c>
      <c r="C193" s="2" t="s">
        <v>1020</v>
      </c>
      <c r="D193" s="23">
        <v>0.8</v>
      </c>
      <c r="E193" s="23">
        <v>0</v>
      </c>
      <c r="F193" s="23">
        <v>0</v>
      </c>
      <c r="G193" s="11">
        <v>0</v>
      </c>
      <c r="H193" s="23">
        <v>0</v>
      </c>
      <c r="I193" s="23">
        <v>0.8</v>
      </c>
      <c r="J193" s="4">
        <v>3</v>
      </c>
      <c r="K193" s="4">
        <v>2.4000000000000004</v>
      </c>
      <c r="L193" s="20">
        <f t="shared" si="2"/>
        <v>0.8</v>
      </c>
    </row>
    <row r="194" spans="1:12" x14ac:dyDescent="0.25">
      <c r="A194" s="2" t="s">
        <v>921</v>
      </c>
      <c r="B194" s="2" t="s">
        <v>922</v>
      </c>
      <c r="C194" s="2" t="s">
        <v>1020</v>
      </c>
      <c r="D194" s="23">
        <v>0.75</v>
      </c>
      <c r="E194" s="23">
        <v>0</v>
      </c>
      <c r="F194" s="23">
        <v>0</v>
      </c>
      <c r="G194" s="11">
        <v>0</v>
      </c>
      <c r="H194" s="23">
        <v>0</v>
      </c>
      <c r="I194" s="23">
        <v>0.75</v>
      </c>
      <c r="J194" s="4">
        <v>99</v>
      </c>
      <c r="K194" s="4">
        <v>74.25</v>
      </c>
      <c r="L194" s="20">
        <f t="shared" si="2"/>
        <v>0.75</v>
      </c>
    </row>
    <row r="195" spans="1:12" x14ac:dyDescent="0.25">
      <c r="A195" s="2" t="s">
        <v>1121</v>
      </c>
      <c r="B195" s="2" t="s">
        <v>1122</v>
      </c>
      <c r="C195" s="2" t="s">
        <v>490</v>
      </c>
      <c r="D195" s="23">
        <v>0.60000000000000009</v>
      </c>
      <c r="E195" s="23">
        <v>0</v>
      </c>
      <c r="F195" s="23">
        <v>0</v>
      </c>
      <c r="G195" s="11">
        <v>0</v>
      </c>
      <c r="H195" s="23">
        <v>0</v>
      </c>
      <c r="I195" s="23">
        <v>0.60000000000000009</v>
      </c>
      <c r="J195" s="4">
        <v>210.82000000000002</v>
      </c>
      <c r="K195" s="4">
        <v>126.49200000000002</v>
      </c>
      <c r="L195" s="20">
        <f t="shared" si="2"/>
        <v>0.60000000000000009</v>
      </c>
    </row>
    <row r="196" spans="1:12" x14ac:dyDescent="0.25">
      <c r="A196" s="2" t="s">
        <v>1214</v>
      </c>
      <c r="B196" s="2" t="s">
        <v>1215</v>
      </c>
      <c r="C196" s="2" t="s">
        <v>1193</v>
      </c>
      <c r="D196" s="23">
        <v>0.6</v>
      </c>
      <c r="E196" s="23">
        <v>0</v>
      </c>
      <c r="F196" s="23">
        <v>0</v>
      </c>
      <c r="G196" s="11">
        <v>22</v>
      </c>
      <c r="H196" s="23">
        <v>0</v>
      </c>
      <c r="I196" s="23">
        <v>0.6</v>
      </c>
      <c r="J196" s="4">
        <v>270.91000000000003</v>
      </c>
      <c r="K196" s="4">
        <v>162.54600000000002</v>
      </c>
      <c r="L196" s="20">
        <f t="shared" si="2"/>
        <v>-21.4</v>
      </c>
    </row>
    <row r="197" spans="1:12" x14ac:dyDescent="0.25">
      <c r="A197" s="2" t="s">
        <v>894</v>
      </c>
      <c r="B197" s="2" t="s">
        <v>895</v>
      </c>
      <c r="C197" s="2" t="s">
        <v>887</v>
      </c>
      <c r="D197" s="23">
        <v>0.37</v>
      </c>
      <c r="E197" s="23">
        <v>0</v>
      </c>
      <c r="F197" s="23">
        <v>0</v>
      </c>
      <c r="G197" s="11">
        <v>1.3045120539345589E-15</v>
      </c>
      <c r="H197" s="23">
        <v>0</v>
      </c>
      <c r="I197" s="23">
        <v>0.37000000000000005</v>
      </c>
      <c r="J197" s="4">
        <v>142.5</v>
      </c>
      <c r="K197" s="4">
        <v>52.725000000000009</v>
      </c>
      <c r="L197" s="20">
        <f t="shared" si="2"/>
        <v>0.36999999999999866</v>
      </c>
    </row>
    <row r="198" spans="1:12" x14ac:dyDescent="0.25">
      <c r="A198" s="2" t="s">
        <v>653</v>
      </c>
      <c r="B198" s="2" t="s">
        <v>654</v>
      </c>
      <c r="C198" s="2" t="s">
        <v>490</v>
      </c>
      <c r="D198" s="23">
        <v>1.2</v>
      </c>
      <c r="E198" s="23">
        <v>0.90000000000000013</v>
      </c>
      <c r="F198" s="23">
        <v>0</v>
      </c>
      <c r="G198" s="11">
        <v>2.6000000000000014</v>
      </c>
      <c r="H198" s="23">
        <v>0</v>
      </c>
      <c r="I198" s="23">
        <v>0.29999999999999982</v>
      </c>
      <c r="J198" s="4">
        <v>645.66999999999996</v>
      </c>
      <c r="K198" s="4">
        <v>193.70099999999988</v>
      </c>
      <c r="L198" s="20">
        <f t="shared" si="2"/>
        <v>-2.3000000000000016</v>
      </c>
    </row>
    <row r="199" spans="1:12" x14ac:dyDescent="0.25">
      <c r="A199" s="2" t="s">
        <v>1207</v>
      </c>
      <c r="B199" s="2" t="s">
        <v>1208</v>
      </c>
      <c r="C199" s="2" t="s">
        <v>490</v>
      </c>
      <c r="D199" s="23">
        <v>0.28000000000000003</v>
      </c>
      <c r="E199" s="23">
        <v>0</v>
      </c>
      <c r="F199" s="23">
        <v>0</v>
      </c>
      <c r="G199" s="11">
        <v>1</v>
      </c>
      <c r="H199" s="23">
        <v>0</v>
      </c>
      <c r="I199" s="23">
        <v>0.28000000000000003</v>
      </c>
      <c r="J199" s="4">
        <v>271.32</v>
      </c>
      <c r="K199" s="4">
        <v>75.9696</v>
      </c>
      <c r="L199" s="20">
        <f t="shared" si="2"/>
        <v>-0.72</v>
      </c>
    </row>
    <row r="200" spans="1:12" x14ac:dyDescent="0.25">
      <c r="A200" s="2" t="s">
        <v>530</v>
      </c>
      <c r="B200" s="2" t="s">
        <v>531</v>
      </c>
      <c r="C200" s="2" t="s">
        <v>240</v>
      </c>
      <c r="D200" s="23">
        <v>6.2999999999999989</v>
      </c>
      <c r="E200" s="23">
        <v>1.1000000000000001</v>
      </c>
      <c r="F200" s="23">
        <v>5</v>
      </c>
      <c r="G200" s="11">
        <v>9.7999999999999918</v>
      </c>
      <c r="H200" s="23">
        <v>0</v>
      </c>
      <c r="I200" s="23">
        <v>0.19999999999999929</v>
      </c>
      <c r="J200" s="4">
        <v>38</v>
      </c>
      <c r="K200" s="4">
        <v>7.5999999999999686</v>
      </c>
      <c r="L200" s="20">
        <f t="shared" si="2"/>
        <v>-9.5999999999999925</v>
      </c>
    </row>
    <row r="201" spans="1:12" x14ac:dyDescent="0.25">
      <c r="A201" s="2" t="s">
        <v>863</v>
      </c>
      <c r="B201" s="16" t="s">
        <v>864</v>
      </c>
      <c r="C201" s="2" t="s">
        <v>647</v>
      </c>
      <c r="D201" s="23">
        <v>6</v>
      </c>
      <c r="E201" s="23">
        <v>4</v>
      </c>
      <c r="F201" s="23">
        <v>2</v>
      </c>
      <c r="G201" s="11">
        <v>4</v>
      </c>
      <c r="H201" s="23">
        <v>0</v>
      </c>
      <c r="I201" s="23">
        <v>0</v>
      </c>
      <c r="J201" s="4">
        <v>4864</v>
      </c>
      <c r="K201" s="4">
        <v>0</v>
      </c>
      <c r="L201" s="20">
        <f t="shared" si="2"/>
        <v>-4</v>
      </c>
    </row>
    <row r="202" spans="1:12" x14ac:dyDescent="0.25">
      <c r="A202" s="2" t="s">
        <v>1010</v>
      </c>
      <c r="B202" s="2" t="s">
        <v>1011</v>
      </c>
      <c r="C202" s="2" t="s">
        <v>1012</v>
      </c>
      <c r="D202" s="23">
        <v>1</v>
      </c>
      <c r="E202" s="23">
        <v>1</v>
      </c>
      <c r="F202" s="23">
        <v>0</v>
      </c>
      <c r="G202" s="11">
        <v>2</v>
      </c>
      <c r="H202" s="23">
        <v>0</v>
      </c>
      <c r="I202" s="23">
        <v>0</v>
      </c>
      <c r="J202" s="4">
        <v>2010.25</v>
      </c>
      <c r="K202" s="4">
        <v>0</v>
      </c>
      <c r="L202" s="20">
        <f t="shared" si="2"/>
        <v>-2</v>
      </c>
    </row>
    <row r="203" spans="1:12" x14ac:dyDescent="0.25">
      <c r="A203" s="2" t="s">
        <v>637</v>
      </c>
      <c r="B203" s="2" t="s">
        <v>638</v>
      </c>
      <c r="C203" s="2" t="s">
        <v>639</v>
      </c>
      <c r="D203" s="23">
        <v>19</v>
      </c>
      <c r="E203" s="23">
        <v>0</v>
      </c>
      <c r="F203" s="23">
        <v>19</v>
      </c>
      <c r="G203" s="11">
        <v>17</v>
      </c>
      <c r="H203" s="23">
        <v>0</v>
      </c>
      <c r="I203" s="23">
        <v>0</v>
      </c>
      <c r="J203" s="4">
        <v>113.64000000000004</v>
      </c>
      <c r="K203" s="4">
        <v>0</v>
      </c>
      <c r="L203" s="20">
        <f t="shared" si="2"/>
        <v>-17</v>
      </c>
    </row>
    <row r="204" spans="1:12" x14ac:dyDescent="0.25">
      <c r="A204" s="2" t="s">
        <v>763</v>
      </c>
      <c r="B204" s="2" t="s">
        <v>764</v>
      </c>
      <c r="C204" s="2" t="s">
        <v>765</v>
      </c>
      <c r="D204" s="23">
        <v>19</v>
      </c>
      <c r="E204" s="23">
        <v>7</v>
      </c>
      <c r="F204" s="23">
        <v>12</v>
      </c>
      <c r="G204" s="11">
        <v>8</v>
      </c>
      <c r="H204" s="23">
        <v>0</v>
      </c>
      <c r="I204" s="23">
        <v>0</v>
      </c>
      <c r="J204" s="4">
        <v>401.17</v>
      </c>
      <c r="K204" s="4">
        <v>0</v>
      </c>
      <c r="L204" s="20">
        <f t="shared" si="2"/>
        <v>-8</v>
      </c>
    </row>
    <row r="205" spans="1:12" x14ac:dyDescent="0.25">
      <c r="A205" s="2" t="s">
        <v>665</v>
      </c>
      <c r="B205" s="16" t="s">
        <v>666</v>
      </c>
      <c r="C205" s="2" t="s">
        <v>829</v>
      </c>
      <c r="D205" s="23">
        <v>23</v>
      </c>
      <c r="E205" s="23">
        <v>3</v>
      </c>
      <c r="F205" s="23">
        <v>0</v>
      </c>
      <c r="G205" s="11">
        <v>4</v>
      </c>
      <c r="H205" s="23">
        <v>20</v>
      </c>
      <c r="I205" s="23">
        <v>0</v>
      </c>
      <c r="J205" s="4">
        <v>28000</v>
      </c>
      <c r="K205" s="4">
        <v>0</v>
      </c>
      <c r="L205" s="20">
        <f t="shared" ref="L205:L268" si="3">D205-E205-F205-G205-H205</f>
        <v>-4</v>
      </c>
    </row>
    <row r="206" spans="1:12" x14ac:dyDescent="0.25">
      <c r="A206" s="2" t="s">
        <v>1211</v>
      </c>
      <c r="B206" s="16" t="s">
        <v>1212</v>
      </c>
      <c r="C206" s="2" t="s">
        <v>1213</v>
      </c>
      <c r="D206" s="23">
        <v>1</v>
      </c>
      <c r="E206" s="23">
        <v>1</v>
      </c>
      <c r="F206" s="23">
        <v>0</v>
      </c>
      <c r="G206" s="11">
        <v>0</v>
      </c>
      <c r="H206" s="23">
        <v>0</v>
      </c>
      <c r="I206" s="23">
        <v>0</v>
      </c>
      <c r="J206" s="4"/>
      <c r="K206" s="4">
        <v>0</v>
      </c>
      <c r="L206" s="20">
        <f t="shared" si="3"/>
        <v>0</v>
      </c>
    </row>
    <row r="207" spans="1:12" x14ac:dyDescent="0.25">
      <c r="A207" s="2" t="s">
        <v>803</v>
      </c>
      <c r="B207" s="2" t="s">
        <v>804</v>
      </c>
      <c r="C207" s="2" t="s">
        <v>246</v>
      </c>
      <c r="D207" s="23">
        <v>8</v>
      </c>
      <c r="E207" s="23">
        <v>1</v>
      </c>
      <c r="F207" s="23">
        <v>7</v>
      </c>
      <c r="G207" s="11">
        <v>2</v>
      </c>
      <c r="H207" s="23">
        <v>0</v>
      </c>
      <c r="I207" s="23">
        <v>0</v>
      </c>
      <c r="J207" s="4">
        <v>337.5</v>
      </c>
      <c r="K207" s="4">
        <v>0</v>
      </c>
      <c r="L207" s="20">
        <f t="shared" si="3"/>
        <v>-2</v>
      </c>
    </row>
    <row r="208" spans="1:12" x14ac:dyDescent="0.25">
      <c r="A208" s="2" t="s">
        <v>1090</v>
      </c>
      <c r="B208" s="2" t="s">
        <v>1091</v>
      </c>
      <c r="C208" s="2" t="s">
        <v>1092</v>
      </c>
      <c r="D208" s="23">
        <v>6</v>
      </c>
      <c r="E208" s="23">
        <v>5</v>
      </c>
      <c r="F208" s="23">
        <v>1</v>
      </c>
      <c r="G208" s="11">
        <v>5</v>
      </c>
      <c r="H208" s="23">
        <v>0</v>
      </c>
      <c r="I208" s="23">
        <v>0</v>
      </c>
      <c r="J208" s="4">
        <v>3500</v>
      </c>
      <c r="K208" s="4">
        <v>0</v>
      </c>
      <c r="L208" s="20">
        <f t="shared" si="3"/>
        <v>-5</v>
      </c>
    </row>
    <row r="209" spans="1:12" x14ac:dyDescent="0.25">
      <c r="A209" s="2" t="s">
        <v>1218</v>
      </c>
      <c r="B209" s="2" t="s">
        <v>1219</v>
      </c>
      <c r="C209" s="2" t="s">
        <v>227</v>
      </c>
      <c r="D209" s="23">
        <v>1</v>
      </c>
      <c r="E209" s="23">
        <v>0</v>
      </c>
      <c r="F209" s="23">
        <v>0</v>
      </c>
      <c r="G209" s="11">
        <v>1</v>
      </c>
      <c r="H209" s="23">
        <v>1</v>
      </c>
      <c r="I209" s="23">
        <v>0</v>
      </c>
      <c r="J209" s="4">
        <v>3321</v>
      </c>
      <c r="K209" s="4">
        <v>0</v>
      </c>
      <c r="L209" s="20">
        <f t="shared" si="3"/>
        <v>-1</v>
      </c>
    </row>
    <row r="210" spans="1:12" x14ac:dyDescent="0.25">
      <c r="A210" s="2" t="s">
        <v>426</v>
      </c>
      <c r="B210" s="2" t="s">
        <v>427</v>
      </c>
      <c r="C210" s="2" t="s">
        <v>227</v>
      </c>
      <c r="D210" s="23">
        <v>19</v>
      </c>
      <c r="E210" s="23">
        <v>7</v>
      </c>
      <c r="F210" s="23">
        <v>12</v>
      </c>
      <c r="G210" s="11">
        <v>9</v>
      </c>
      <c r="H210" s="23">
        <v>0</v>
      </c>
      <c r="I210" s="23">
        <v>0</v>
      </c>
      <c r="J210" s="4">
        <v>266.72000000000014</v>
      </c>
      <c r="K210" s="4">
        <v>0</v>
      </c>
      <c r="L210" s="20">
        <f t="shared" si="3"/>
        <v>-9</v>
      </c>
    </row>
    <row r="211" spans="1:12" x14ac:dyDescent="0.25">
      <c r="A211" s="2" t="s">
        <v>1209</v>
      </c>
      <c r="B211" s="2" t="s">
        <v>1210</v>
      </c>
      <c r="C211" s="2" t="s">
        <v>215</v>
      </c>
      <c r="D211" s="23">
        <v>1</v>
      </c>
      <c r="E211" s="23">
        <v>1</v>
      </c>
      <c r="F211" s="23">
        <v>0</v>
      </c>
      <c r="G211" s="11">
        <v>1</v>
      </c>
      <c r="H211" s="23">
        <v>0</v>
      </c>
      <c r="I211" s="23">
        <v>0</v>
      </c>
      <c r="J211" s="4">
        <v>39845.54</v>
      </c>
      <c r="K211" s="4">
        <v>0</v>
      </c>
      <c r="L211" s="20">
        <f t="shared" si="3"/>
        <v>-1</v>
      </c>
    </row>
    <row r="212" spans="1:12" x14ac:dyDescent="0.25">
      <c r="A212" s="2" t="s">
        <v>961</v>
      </c>
      <c r="B212" s="2" t="s">
        <v>962</v>
      </c>
      <c r="C212" s="2" t="s">
        <v>1073</v>
      </c>
      <c r="D212" s="23">
        <v>4</v>
      </c>
      <c r="E212" s="23">
        <v>0</v>
      </c>
      <c r="F212" s="23">
        <v>4</v>
      </c>
      <c r="G212" s="11">
        <v>2</v>
      </c>
      <c r="H212" s="23">
        <v>0</v>
      </c>
      <c r="I212" s="23">
        <v>0</v>
      </c>
      <c r="J212" s="4">
        <v>2249.17</v>
      </c>
      <c r="K212" s="4">
        <v>0</v>
      </c>
      <c r="L212" s="20">
        <f t="shared" si="3"/>
        <v>-2</v>
      </c>
    </row>
    <row r="213" spans="1:12" x14ac:dyDescent="0.25">
      <c r="A213" s="2" t="s">
        <v>1173</v>
      </c>
      <c r="B213" s="2" t="s">
        <v>1174</v>
      </c>
      <c r="C213" s="2" t="s">
        <v>453</v>
      </c>
      <c r="D213" s="23">
        <v>1</v>
      </c>
      <c r="E213" s="23">
        <v>1</v>
      </c>
      <c r="F213" s="23">
        <v>0</v>
      </c>
      <c r="G213" s="11">
        <v>1</v>
      </c>
      <c r="H213" s="23">
        <v>0</v>
      </c>
      <c r="I213" s="23">
        <v>0</v>
      </c>
      <c r="J213" s="4">
        <v>35</v>
      </c>
      <c r="K213" s="4">
        <v>0</v>
      </c>
      <c r="L213" s="20">
        <f t="shared" si="3"/>
        <v>-1</v>
      </c>
    </row>
    <row r="214" spans="1:12" x14ac:dyDescent="0.25">
      <c r="A214" s="2" t="s">
        <v>1074</v>
      </c>
      <c r="B214" s="2" t="s">
        <v>1075</v>
      </c>
      <c r="C214" s="2" t="s">
        <v>647</v>
      </c>
      <c r="D214" s="23">
        <v>4</v>
      </c>
      <c r="E214" s="23">
        <v>4</v>
      </c>
      <c r="F214" s="23">
        <v>0</v>
      </c>
      <c r="G214" s="11">
        <v>4</v>
      </c>
      <c r="H214" s="23">
        <v>0</v>
      </c>
      <c r="I214" s="23">
        <v>0</v>
      </c>
      <c r="J214" s="4">
        <v>4532</v>
      </c>
      <c r="K214" s="4">
        <v>0</v>
      </c>
      <c r="L214" s="20">
        <f t="shared" si="3"/>
        <v>-4</v>
      </c>
    </row>
    <row r="215" spans="1:12" x14ac:dyDescent="0.25">
      <c r="A215" s="2" t="s">
        <v>919</v>
      </c>
      <c r="B215" s="2" t="s">
        <v>920</v>
      </c>
      <c r="C215" s="2" t="s">
        <v>507</v>
      </c>
      <c r="D215" s="23">
        <v>2</v>
      </c>
      <c r="E215" s="23">
        <v>1</v>
      </c>
      <c r="F215" s="23">
        <v>0</v>
      </c>
      <c r="G215" s="11">
        <v>1</v>
      </c>
      <c r="H215" s="23">
        <v>1</v>
      </c>
      <c r="I215" s="23">
        <v>0</v>
      </c>
      <c r="J215" s="4">
        <v>12601.06</v>
      </c>
      <c r="K215" s="4">
        <v>0</v>
      </c>
      <c r="L215" s="20">
        <f t="shared" si="3"/>
        <v>-1</v>
      </c>
    </row>
    <row r="216" spans="1:12" x14ac:dyDescent="0.25">
      <c r="A216" s="2" t="s">
        <v>96</v>
      </c>
      <c r="B216" s="2" t="s">
        <v>97</v>
      </c>
      <c r="C216" s="2" t="s">
        <v>632</v>
      </c>
      <c r="D216" s="23">
        <v>11</v>
      </c>
      <c r="E216" s="23">
        <v>4</v>
      </c>
      <c r="F216" s="23">
        <v>0</v>
      </c>
      <c r="G216" s="11">
        <v>5</v>
      </c>
      <c r="H216" s="23">
        <v>7</v>
      </c>
      <c r="I216" s="23">
        <v>0</v>
      </c>
      <c r="J216" s="4">
        <v>1491.6700000000003</v>
      </c>
      <c r="K216" s="4">
        <v>0</v>
      </c>
      <c r="L216" s="20">
        <f t="shared" si="3"/>
        <v>-5</v>
      </c>
    </row>
    <row r="217" spans="1:12" x14ac:dyDescent="0.25">
      <c r="A217" s="2" t="s">
        <v>788</v>
      </c>
      <c r="B217" s="2" t="s">
        <v>789</v>
      </c>
      <c r="C217" s="2" t="s">
        <v>227</v>
      </c>
      <c r="D217" s="23">
        <v>4</v>
      </c>
      <c r="E217" s="23">
        <v>0</v>
      </c>
      <c r="F217" s="23">
        <v>4</v>
      </c>
      <c r="G217" s="11">
        <v>2</v>
      </c>
      <c r="H217" s="23">
        <v>0</v>
      </c>
      <c r="I217" s="23">
        <v>0</v>
      </c>
      <c r="J217" s="4">
        <v>3467.31</v>
      </c>
      <c r="K217" s="4">
        <v>0</v>
      </c>
      <c r="L217" s="20">
        <f t="shared" si="3"/>
        <v>-2</v>
      </c>
    </row>
    <row r="218" spans="1:12" x14ac:dyDescent="0.25">
      <c r="A218" s="2" t="s">
        <v>815</v>
      </c>
      <c r="B218" s="2" t="s">
        <v>816</v>
      </c>
      <c r="C218" s="2" t="s">
        <v>696</v>
      </c>
      <c r="D218" s="23">
        <v>2</v>
      </c>
      <c r="E218" s="23">
        <v>1</v>
      </c>
      <c r="F218" s="23">
        <v>1</v>
      </c>
      <c r="G218" s="11">
        <v>5</v>
      </c>
      <c r="H218" s="23">
        <v>0</v>
      </c>
      <c r="I218" s="23">
        <v>0</v>
      </c>
      <c r="J218" s="4">
        <v>250</v>
      </c>
      <c r="K218" s="4">
        <v>0</v>
      </c>
      <c r="L218" s="20">
        <f t="shared" si="3"/>
        <v>-5</v>
      </c>
    </row>
    <row r="219" spans="1:12" x14ac:dyDescent="0.25">
      <c r="A219" s="2" t="s">
        <v>1107</v>
      </c>
      <c r="B219" s="2" t="s">
        <v>1108</v>
      </c>
      <c r="C219" s="2" t="s">
        <v>223</v>
      </c>
      <c r="D219" s="23">
        <v>6</v>
      </c>
      <c r="E219" s="23">
        <v>6</v>
      </c>
      <c r="F219" s="23">
        <v>0</v>
      </c>
      <c r="G219" s="11">
        <v>3.0350000000000001</v>
      </c>
      <c r="H219" s="23">
        <v>0</v>
      </c>
      <c r="I219" s="23">
        <v>0</v>
      </c>
      <c r="J219" s="4">
        <v>202.09</v>
      </c>
      <c r="K219" s="4">
        <v>0</v>
      </c>
      <c r="L219" s="20">
        <f t="shared" si="3"/>
        <v>-3.0350000000000001</v>
      </c>
    </row>
    <row r="220" spans="1:12" x14ac:dyDescent="0.25">
      <c r="A220" s="2" t="s">
        <v>1223</v>
      </c>
      <c r="B220" s="2" t="s">
        <v>1224</v>
      </c>
      <c r="C220" s="2" t="s">
        <v>634</v>
      </c>
      <c r="D220" s="23">
        <v>1</v>
      </c>
      <c r="E220" s="23">
        <v>0</v>
      </c>
      <c r="F220" s="23">
        <v>1</v>
      </c>
      <c r="G220" s="11">
        <v>0</v>
      </c>
      <c r="H220" s="23">
        <v>0</v>
      </c>
      <c r="I220" s="23">
        <v>0</v>
      </c>
      <c r="J220" s="4">
        <v>4396.6000000000004</v>
      </c>
      <c r="K220" s="4">
        <v>0</v>
      </c>
      <c r="L220" s="20">
        <f t="shared" si="3"/>
        <v>0</v>
      </c>
    </row>
    <row r="221" spans="1:12" x14ac:dyDescent="0.25">
      <c r="A221" s="2" t="s">
        <v>949</v>
      </c>
      <c r="B221" s="2" t="s">
        <v>950</v>
      </c>
      <c r="C221" s="2" t="s">
        <v>634</v>
      </c>
      <c r="D221" s="23">
        <v>4</v>
      </c>
      <c r="E221" s="23">
        <v>0</v>
      </c>
      <c r="F221" s="23">
        <v>4</v>
      </c>
      <c r="G221" s="11">
        <v>4</v>
      </c>
      <c r="H221" s="23">
        <v>0</v>
      </c>
      <c r="I221" s="23">
        <v>0</v>
      </c>
      <c r="J221" s="4">
        <v>3256.79</v>
      </c>
      <c r="K221" s="4">
        <v>0</v>
      </c>
      <c r="L221" s="20">
        <f t="shared" si="3"/>
        <v>-4</v>
      </c>
    </row>
    <row r="222" spans="1:12" x14ac:dyDescent="0.25">
      <c r="A222" s="2" t="s">
        <v>110</v>
      </c>
      <c r="B222" s="16" t="s">
        <v>111</v>
      </c>
      <c r="C222" s="2"/>
      <c r="D222" s="23">
        <v>19</v>
      </c>
      <c r="E222" s="23">
        <v>8</v>
      </c>
      <c r="F222" s="23">
        <v>0</v>
      </c>
      <c r="G222" s="11">
        <v>10</v>
      </c>
      <c r="H222" s="23">
        <v>11</v>
      </c>
      <c r="I222" s="23">
        <v>0</v>
      </c>
      <c r="J222" s="4">
        <v>675</v>
      </c>
      <c r="K222" s="4">
        <v>0</v>
      </c>
      <c r="L222" s="20">
        <f t="shared" si="3"/>
        <v>-10</v>
      </c>
    </row>
    <row r="223" spans="1:12" x14ac:dyDescent="0.25">
      <c r="A223" s="2" t="s">
        <v>756</v>
      </c>
      <c r="B223" s="2" t="s">
        <v>757</v>
      </c>
      <c r="C223" s="2" t="s">
        <v>632</v>
      </c>
      <c r="D223" s="23">
        <v>8</v>
      </c>
      <c r="E223" s="23">
        <v>4</v>
      </c>
      <c r="F223" s="23">
        <v>2</v>
      </c>
      <c r="G223" s="11">
        <v>4</v>
      </c>
      <c r="H223" s="23">
        <v>2</v>
      </c>
      <c r="I223" s="23">
        <v>0</v>
      </c>
      <c r="J223" s="4">
        <v>1667.1399999999999</v>
      </c>
      <c r="K223" s="4">
        <v>0</v>
      </c>
      <c r="L223" s="20">
        <f t="shared" si="3"/>
        <v>-4</v>
      </c>
    </row>
    <row r="224" spans="1:12" x14ac:dyDescent="0.25">
      <c r="A224" s="2" t="s">
        <v>694</v>
      </c>
      <c r="B224" s="2" t="s">
        <v>695</v>
      </c>
      <c r="C224" s="2" t="s">
        <v>887</v>
      </c>
      <c r="D224" s="23">
        <v>10</v>
      </c>
      <c r="E224" s="23">
        <v>6</v>
      </c>
      <c r="F224" s="23">
        <v>4</v>
      </c>
      <c r="G224" s="11">
        <v>6</v>
      </c>
      <c r="H224" s="23">
        <v>0</v>
      </c>
      <c r="I224" s="23">
        <v>0</v>
      </c>
      <c r="J224" s="4">
        <v>260</v>
      </c>
      <c r="K224" s="4">
        <v>0</v>
      </c>
      <c r="L224" s="20">
        <f t="shared" si="3"/>
        <v>-6</v>
      </c>
    </row>
    <row r="225" spans="1:12" x14ac:dyDescent="0.25">
      <c r="A225" s="2" t="s">
        <v>94</v>
      </c>
      <c r="B225" s="2" t="s">
        <v>95</v>
      </c>
      <c r="C225" s="2" t="s">
        <v>247</v>
      </c>
      <c r="D225" s="23">
        <v>20</v>
      </c>
      <c r="E225" s="23">
        <v>9</v>
      </c>
      <c r="F225" s="23">
        <v>11</v>
      </c>
      <c r="G225" s="11">
        <v>8</v>
      </c>
      <c r="H225" s="23">
        <v>0</v>
      </c>
      <c r="I225" s="23">
        <v>0</v>
      </c>
      <c r="J225" s="4">
        <v>1145.8300000000002</v>
      </c>
      <c r="K225" s="4">
        <v>0</v>
      </c>
      <c r="L225" s="20">
        <f t="shared" si="3"/>
        <v>-8</v>
      </c>
    </row>
    <row r="226" spans="1:12" x14ac:dyDescent="0.25">
      <c r="A226" s="2" t="s">
        <v>293</v>
      </c>
      <c r="B226" s="2" t="s">
        <v>323</v>
      </c>
      <c r="C226" s="2" t="s">
        <v>220</v>
      </c>
      <c r="D226" s="23">
        <v>1.8800000000000008</v>
      </c>
      <c r="E226" s="23">
        <v>0</v>
      </c>
      <c r="F226" s="23">
        <v>2.5</v>
      </c>
      <c r="G226" s="11">
        <v>-4.9960036108132044E-16</v>
      </c>
      <c r="H226" s="23">
        <v>0</v>
      </c>
      <c r="I226" s="23">
        <v>-0.61999999999999922</v>
      </c>
      <c r="J226" s="4">
        <v>2400</v>
      </c>
      <c r="K226" s="4">
        <v>0</v>
      </c>
      <c r="L226" s="20">
        <f t="shared" si="3"/>
        <v>-0.61999999999999877</v>
      </c>
    </row>
    <row r="227" spans="1:12" x14ac:dyDescent="0.25">
      <c r="A227" s="2" t="s">
        <v>342</v>
      </c>
      <c r="B227" s="2" t="s">
        <v>343</v>
      </c>
      <c r="C227" s="2" t="s">
        <v>217</v>
      </c>
      <c r="D227" s="23">
        <v>1.1500000000000004</v>
      </c>
      <c r="E227" s="23">
        <v>0</v>
      </c>
      <c r="F227" s="23">
        <v>2</v>
      </c>
      <c r="G227" s="11">
        <v>1.7763568394002505E-15</v>
      </c>
      <c r="H227" s="23">
        <v>0</v>
      </c>
      <c r="I227" s="23">
        <v>-0.84999999999999964</v>
      </c>
      <c r="J227" s="4">
        <v>1400</v>
      </c>
      <c r="K227" s="4">
        <v>0</v>
      </c>
      <c r="L227" s="20">
        <f t="shared" si="3"/>
        <v>-0.85000000000000142</v>
      </c>
    </row>
    <row r="228" spans="1:12" x14ac:dyDescent="0.25">
      <c r="A228" s="2" t="s">
        <v>446</v>
      </c>
      <c r="B228" s="2" t="s">
        <v>447</v>
      </c>
      <c r="C228" s="2" t="s">
        <v>628</v>
      </c>
      <c r="D228" s="23">
        <v>22</v>
      </c>
      <c r="E228" s="23">
        <v>10</v>
      </c>
      <c r="F228" s="23">
        <v>13</v>
      </c>
      <c r="G228" s="11">
        <v>13</v>
      </c>
      <c r="H228" s="23">
        <v>0</v>
      </c>
      <c r="I228" s="23">
        <v>-1</v>
      </c>
      <c r="J228" s="4">
        <v>237.5</v>
      </c>
      <c r="K228" s="4">
        <v>0</v>
      </c>
      <c r="L228" s="20">
        <f t="shared" si="3"/>
        <v>-14</v>
      </c>
    </row>
    <row r="229" spans="1:12" x14ac:dyDescent="0.25">
      <c r="A229" s="2" t="s">
        <v>1080</v>
      </c>
      <c r="B229" s="2" t="s">
        <v>1081</v>
      </c>
      <c r="C229" s="2" t="s">
        <v>289</v>
      </c>
      <c r="D229" s="23">
        <v>2</v>
      </c>
      <c r="E229" s="23">
        <v>2</v>
      </c>
      <c r="F229" s="23">
        <v>1</v>
      </c>
      <c r="G229" s="11">
        <v>2</v>
      </c>
      <c r="H229" s="23">
        <v>0</v>
      </c>
      <c r="I229" s="23">
        <v>-1</v>
      </c>
      <c r="J229" s="4">
        <v>1050</v>
      </c>
      <c r="K229" s="4">
        <v>0</v>
      </c>
      <c r="L229" s="20">
        <f t="shared" si="3"/>
        <v>-3</v>
      </c>
    </row>
    <row r="230" spans="1:12" x14ac:dyDescent="0.25">
      <c r="A230" s="2" t="s">
        <v>988</v>
      </c>
      <c r="B230" s="2" t="s">
        <v>989</v>
      </c>
      <c r="C230" s="2" t="s">
        <v>785</v>
      </c>
      <c r="D230" s="23">
        <v>4</v>
      </c>
      <c r="E230" s="23">
        <v>1</v>
      </c>
      <c r="F230" s="23">
        <v>2</v>
      </c>
      <c r="G230" s="11">
        <v>1</v>
      </c>
      <c r="H230" s="23">
        <v>2</v>
      </c>
      <c r="I230" s="23">
        <v>-1</v>
      </c>
      <c r="J230" s="4">
        <v>41000</v>
      </c>
      <c r="K230" s="4">
        <v>0</v>
      </c>
      <c r="L230" s="20">
        <f t="shared" si="3"/>
        <v>-2</v>
      </c>
    </row>
    <row r="231" spans="1:12" x14ac:dyDescent="0.25">
      <c r="A231" s="2" t="s">
        <v>736</v>
      </c>
      <c r="B231" s="16" t="s">
        <v>737</v>
      </c>
      <c r="C231" s="2" t="s">
        <v>667</v>
      </c>
      <c r="D231" s="23">
        <v>16</v>
      </c>
      <c r="E231" s="23">
        <v>5</v>
      </c>
      <c r="F231" s="23">
        <v>12</v>
      </c>
      <c r="G231" s="11">
        <v>17</v>
      </c>
      <c r="H231" s="23">
        <v>0</v>
      </c>
      <c r="I231" s="23">
        <v>-1</v>
      </c>
      <c r="J231" s="4">
        <v>400</v>
      </c>
      <c r="K231" s="4">
        <v>0</v>
      </c>
      <c r="L231" s="20">
        <f t="shared" si="3"/>
        <v>-18</v>
      </c>
    </row>
    <row r="232" spans="1:12" x14ac:dyDescent="0.25">
      <c r="A232" s="2" t="s">
        <v>595</v>
      </c>
      <c r="B232" s="2" t="s">
        <v>596</v>
      </c>
      <c r="C232" s="2" t="s">
        <v>636</v>
      </c>
      <c r="D232" s="23">
        <v>19</v>
      </c>
      <c r="E232" s="23">
        <v>2</v>
      </c>
      <c r="F232" s="23">
        <v>18</v>
      </c>
      <c r="G232" s="11">
        <v>3</v>
      </c>
      <c r="H232" s="23">
        <v>0</v>
      </c>
      <c r="I232" s="23">
        <v>-1</v>
      </c>
      <c r="J232" s="4">
        <v>4852.3300000000008</v>
      </c>
      <c r="K232" s="4">
        <v>0</v>
      </c>
      <c r="L232" s="20">
        <f t="shared" si="3"/>
        <v>-4</v>
      </c>
    </row>
    <row r="233" spans="1:12" x14ac:dyDescent="0.25">
      <c r="A233" s="2" t="s">
        <v>981</v>
      </c>
      <c r="B233" s="2" t="s">
        <v>982</v>
      </c>
      <c r="C233" s="2" t="s">
        <v>983</v>
      </c>
      <c r="D233" s="23">
        <v>3</v>
      </c>
      <c r="E233" s="23">
        <v>0</v>
      </c>
      <c r="F233" s="23">
        <v>4</v>
      </c>
      <c r="G233" s="11">
        <v>0</v>
      </c>
      <c r="H233" s="23">
        <v>0</v>
      </c>
      <c r="I233" s="23">
        <v>-1</v>
      </c>
      <c r="J233" s="4">
        <v>3017.33</v>
      </c>
      <c r="K233" s="4">
        <v>0</v>
      </c>
      <c r="L233" s="20">
        <f t="shared" si="3"/>
        <v>-1</v>
      </c>
    </row>
    <row r="234" spans="1:12" x14ac:dyDescent="0.25">
      <c r="A234" s="2" t="s">
        <v>106</v>
      </c>
      <c r="B234" s="2" t="s">
        <v>107</v>
      </c>
      <c r="C234" s="2" t="s">
        <v>217</v>
      </c>
      <c r="D234" s="23">
        <v>19</v>
      </c>
      <c r="E234" s="23">
        <v>8</v>
      </c>
      <c r="F234" s="23">
        <v>7</v>
      </c>
      <c r="G234" s="11">
        <v>10</v>
      </c>
      <c r="H234" s="23">
        <v>5</v>
      </c>
      <c r="I234" s="23">
        <v>-1</v>
      </c>
      <c r="J234" s="4">
        <v>1200</v>
      </c>
      <c r="K234" s="4">
        <v>0</v>
      </c>
      <c r="L234" s="20">
        <f t="shared" si="3"/>
        <v>-11</v>
      </c>
    </row>
    <row r="235" spans="1:12" x14ac:dyDescent="0.25">
      <c r="A235" s="2" t="s">
        <v>271</v>
      </c>
      <c r="B235" s="2" t="s">
        <v>620</v>
      </c>
      <c r="C235" s="2" t="s">
        <v>636</v>
      </c>
      <c r="D235" s="23">
        <v>11</v>
      </c>
      <c r="E235" s="23">
        <v>4</v>
      </c>
      <c r="F235" s="23">
        <v>8</v>
      </c>
      <c r="G235" s="11">
        <v>4</v>
      </c>
      <c r="H235" s="23">
        <v>0</v>
      </c>
      <c r="I235" s="23">
        <v>-1</v>
      </c>
      <c r="J235" s="4">
        <v>1723.7900000000006</v>
      </c>
      <c r="K235" s="4">
        <v>0</v>
      </c>
      <c r="L235" s="20">
        <f t="shared" si="3"/>
        <v>-5</v>
      </c>
    </row>
    <row r="236" spans="1:12" x14ac:dyDescent="0.25">
      <c r="A236" s="2" t="s">
        <v>269</v>
      </c>
      <c r="B236" s="2" t="s">
        <v>270</v>
      </c>
      <c r="C236" s="2" t="s">
        <v>220</v>
      </c>
      <c r="D236" s="23">
        <v>19</v>
      </c>
      <c r="E236" s="23">
        <v>7</v>
      </c>
      <c r="F236" s="23">
        <v>13</v>
      </c>
      <c r="G236" s="11">
        <v>9</v>
      </c>
      <c r="H236" s="23">
        <v>0</v>
      </c>
      <c r="I236" s="23">
        <v>-1</v>
      </c>
      <c r="J236" s="4">
        <v>270</v>
      </c>
      <c r="K236" s="4">
        <v>0</v>
      </c>
      <c r="L236" s="20">
        <f t="shared" si="3"/>
        <v>-10</v>
      </c>
    </row>
    <row r="237" spans="1:12" x14ac:dyDescent="0.25">
      <c r="A237" s="2" t="s">
        <v>54</v>
      </c>
      <c r="B237" s="2" t="s">
        <v>55</v>
      </c>
      <c r="C237" s="2" t="s">
        <v>217</v>
      </c>
      <c r="D237" s="23">
        <v>19</v>
      </c>
      <c r="E237" s="23">
        <v>7</v>
      </c>
      <c r="F237" s="23">
        <v>9</v>
      </c>
      <c r="G237" s="11">
        <v>13</v>
      </c>
      <c r="H237" s="23">
        <v>4</v>
      </c>
      <c r="I237" s="23">
        <v>-1</v>
      </c>
      <c r="J237" s="4">
        <v>1600</v>
      </c>
      <c r="K237" s="4">
        <v>0</v>
      </c>
      <c r="L237" s="20">
        <f t="shared" si="3"/>
        <v>-14</v>
      </c>
    </row>
    <row r="238" spans="1:12" x14ac:dyDescent="0.25">
      <c r="A238" s="2" t="s">
        <v>34</v>
      </c>
      <c r="B238" s="2" t="s">
        <v>35</v>
      </c>
      <c r="C238" s="2" t="s">
        <v>227</v>
      </c>
      <c r="D238" s="23">
        <v>23</v>
      </c>
      <c r="E238" s="23">
        <v>7</v>
      </c>
      <c r="F238" s="23">
        <v>17</v>
      </c>
      <c r="G238" s="11">
        <v>8</v>
      </c>
      <c r="H238" s="23">
        <v>0</v>
      </c>
      <c r="I238" s="23">
        <v>-1</v>
      </c>
      <c r="J238" s="4">
        <v>33.340000000000018</v>
      </c>
      <c r="K238" s="4">
        <v>0</v>
      </c>
      <c r="L238" s="20">
        <f t="shared" si="3"/>
        <v>-9</v>
      </c>
    </row>
    <row r="239" spans="1:12" x14ac:dyDescent="0.25">
      <c r="A239" s="2" t="s">
        <v>1123</v>
      </c>
      <c r="B239" s="2" t="s">
        <v>1124</v>
      </c>
      <c r="C239" s="2" t="s">
        <v>636</v>
      </c>
      <c r="D239" s="23">
        <v>3</v>
      </c>
      <c r="E239" s="23">
        <v>1</v>
      </c>
      <c r="F239" s="23">
        <v>3</v>
      </c>
      <c r="G239" s="11">
        <v>1</v>
      </c>
      <c r="H239" s="23">
        <v>0</v>
      </c>
      <c r="I239" s="23">
        <v>-1</v>
      </c>
      <c r="J239" s="4">
        <v>3899.59</v>
      </c>
      <c r="K239" s="4">
        <v>0</v>
      </c>
      <c r="L239" s="20">
        <f t="shared" si="3"/>
        <v>-2</v>
      </c>
    </row>
    <row r="240" spans="1:12" x14ac:dyDescent="0.25">
      <c r="A240" s="2" t="s">
        <v>752</v>
      </c>
      <c r="B240" s="16" t="s">
        <v>753</v>
      </c>
      <c r="C240" s="2" t="s">
        <v>584</v>
      </c>
      <c r="D240" s="23">
        <v>6</v>
      </c>
      <c r="E240" s="23">
        <v>3</v>
      </c>
      <c r="F240" s="23">
        <v>4</v>
      </c>
      <c r="G240" s="11">
        <v>3</v>
      </c>
      <c r="H240" s="23">
        <v>0</v>
      </c>
      <c r="I240" s="23">
        <v>-1</v>
      </c>
      <c r="J240" s="4">
        <v>7450</v>
      </c>
      <c r="K240" s="4">
        <v>0</v>
      </c>
      <c r="L240" s="20">
        <f t="shared" si="3"/>
        <v>-4</v>
      </c>
    </row>
    <row r="241" spans="1:12" x14ac:dyDescent="0.25">
      <c r="A241" s="2" t="s">
        <v>1087</v>
      </c>
      <c r="B241" s="2" t="s">
        <v>1088</v>
      </c>
      <c r="C241" s="2" t="s">
        <v>1054</v>
      </c>
      <c r="D241" s="23">
        <v>1</v>
      </c>
      <c r="E241" s="23">
        <v>0</v>
      </c>
      <c r="F241" s="23">
        <v>2</v>
      </c>
      <c r="G241" s="11">
        <v>0</v>
      </c>
      <c r="H241" s="23">
        <v>0</v>
      </c>
      <c r="I241" s="23">
        <v>-1</v>
      </c>
      <c r="J241" s="4">
        <v>13859.07</v>
      </c>
      <c r="K241" s="4">
        <v>0</v>
      </c>
      <c r="L241" s="20">
        <f t="shared" si="3"/>
        <v>-1</v>
      </c>
    </row>
    <row r="242" spans="1:12" x14ac:dyDescent="0.25">
      <c r="A242" s="2" t="s">
        <v>206</v>
      </c>
      <c r="B242" s="2" t="s">
        <v>280</v>
      </c>
      <c r="C242" s="2" t="s">
        <v>240</v>
      </c>
      <c r="D242" s="23">
        <v>15.536000000000001</v>
      </c>
      <c r="E242" s="23">
        <v>6.6960000000000006</v>
      </c>
      <c r="F242" s="23">
        <v>10</v>
      </c>
      <c r="G242" s="11">
        <v>126.66400000000036</v>
      </c>
      <c r="H242" s="23">
        <v>0</v>
      </c>
      <c r="I242" s="23">
        <v>-1.1600000000000001</v>
      </c>
      <c r="J242" s="4">
        <v>185</v>
      </c>
      <c r="K242" s="4">
        <v>0</v>
      </c>
      <c r="L242" s="20">
        <f t="shared" si="3"/>
        <v>-127.82400000000035</v>
      </c>
    </row>
    <row r="243" spans="1:12" x14ac:dyDescent="0.25">
      <c r="A243" s="2" t="s">
        <v>1078</v>
      </c>
      <c r="B243" s="2" t="s">
        <v>1079</v>
      </c>
      <c r="C243" s="2" t="s">
        <v>592</v>
      </c>
      <c r="D243" s="23">
        <v>18</v>
      </c>
      <c r="E243" s="23">
        <v>7</v>
      </c>
      <c r="F243" s="23">
        <v>3</v>
      </c>
      <c r="G243" s="11">
        <v>8</v>
      </c>
      <c r="H243" s="23">
        <v>10</v>
      </c>
      <c r="I243" s="23">
        <v>-2</v>
      </c>
      <c r="J243" s="4">
        <v>3097.6299999999992</v>
      </c>
      <c r="K243" s="4">
        <v>0</v>
      </c>
      <c r="L243" s="20">
        <f t="shared" si="3"/>
        <v>-10</v>
      </c>
    </row>
    <row r="244" spans="1:12" x14ac:dyDescent="0.25">
      <c r="A244" s="2" t="s">
        <v>1032</v>
      </c>
      <c r="B244" s="2" t="s">
        <v>1033</v>
      </c>
      <c r="C244" s="2" t="s">
        <v>1034</v>
      </c>
      <c r="D244" s="23">
        <v>2</v>
      </c>
      <c r="E244" s="23">
        <v>2</v>
      </c>
      <c r="F244" s="23">
        <v>2</v>
      </c>
      <c r="G244" s="11">
        <v>2</v>
      </c>
      <c r="H244" s="23">
        <v>0</v>
      </c>
      <c r="I244" s="23">
        <v>-2</v>
      </c>
      <c r="J244" s="4">
        <v>400</v>
      </c>
      <c r="K244" s="4">
        <v>0</v>
      </c>
      <c r="L244" s="20">
        <f t="shared" si="3"/>
        <v>-4</v>
      </c>
    </row>
    <row r="245" spans="1:12" x14ac:dyDescent="0.25">
      <c r="A245" s="2" t="s">
        <v>1041</v>
      </c>
      <c r="B245" s="2" t="s">
        <v>1042</v>
      </c>
      <c r="C245" s="2" t="s">
        <v>1034</v>
      </c>
      <c r="D245" s="23">
        <v>2</v>
      </c>
      <c r="E245" s="23">
        <v>2</v>
      </c>
      <c r="F245" s="23">
        <v>2</v>
      </c>
      <c r="G245" s="11">
        <v>2</v>
      </c>
      <c r="H245" s="23">
        <v>0</v>
      </c>
      <c r="I245" s="23">
        <v>-2</v>
      </c>
      <c r="J245" s="4">
        <v>400</v>
      </c>
      <c r="K245" s="4">
        <v>0</v>
      </c>
      <c r="L245" s="20">
        <f t="shared" si="3"/>
        <v>-4</v>
      </c>
    </row>
    <row r="246" spans="1:12" x14ac:dyDescent="0.25">
      <c r="A246" s="2" t="s">
        <v>1039</v>
      </c>
      <c r="B246" s="2" t="s">
        <v>1040</v>
      </c>
      <c r="C246" s="2" t="s">
        <v>1034</v>
      </c>
      <c r="D246" s="23">
        <v>2</v>
      </c>
      <c r="E246" s="23">
        <v>2</v>
      </c>
      <c r="F246" s="23">
        <v>2</v>
      </c>
      <c r="G246" s="11">
        <v>2</v>
      </c>
      <c r="H246" s="23">
        <v>0</v>
      </c>
      <c r="I246" s="23">
        <v>-2</v>
      </c>
      <c r="J246" s="4">
        <v>400</v>
      </c>
      <c r="K246" s="4">
        <v>0</v>
      </c>
      <c r="L246" s="20">
        <f t="shared" si="3"/>
        <v>-4</v>
      </c>
    </row>
    <row r="247" spans="1:12" x14ac:dyDescent="0.25">
      <c r="A247" s="2" t="s">
        <v>1037</v>
      </c>
      <c r="B247" s="2" t="s">
        <v>1038</v>
      </c>
      <c r="C247" s="2" t="s">
        <v>1034</v>
      </c>
      <c r="D247" s="23">
        <v>2</v>
      </c>
      <c r="E247" s="23">
        <v>2</v>
      </c>
      <c r="F247" s="23">
        <v>2</v>
      </c>
      <c r="G247" s="11">
        <v>2</v>
      </c>
      <c r="H247" s="23">
        <v>0</v>
      </c>
      <c r="I247" s="23">
        <v>-2</v>
      </c>
      <c r="J247" s="4">
        <v>400</v>
      </c>
      <c r="K247" s="4">
        <v>0</v>
      </c>
      <c r="L247" s="20">
        <f t="shared" si="3"/>
        <v>-4</v>
      </c>
    </row>
    <row r="248" spans="1:12" x14ac:dyDescent="0.25">
      <c r="A248" s="2" t="s">
        <v>1227</v>
      </c>
      <c r="B248" s="2" t="s">
        <v>1228</v>
      </c>
      <c r="C248" s="2" t="s">
        <v>634</v>
      </c>
      <c r="D248" s="23">
        <v>2</v>
      </c>
      <c r="E248" s="23">
        <v>2</v>
      </c>
      <c r="F248" s="23">
        <v>2</v>
      </c>
      <c r="G248" s="11">
        <v>2</v>
      </c>
      <c r="H248" s="23">
        <v>0</v>
      </c>
      <c r="I248" s="23">
        <v>-2</v>
      </c>
      <c r="J248" s="4">
        <v>1802.17</v>
      </c>
      <c r="K248" s="4">
        <v>0</v>
      </c>
      <c r="L248" s="20">
        <f t="shared" si="3"/>
        <v>-4</v>
      </c>
    </row>
    <row r="249" spans="1:12" x14ac:dyDescent="0.25">
      <c r="A249" s="2" t="s">
        <v>1043</v>
      </c>
      <c r="B249" s="2" t="s">
        <v>1044</v>
      </c>
      <c r="C249" s="2" t="s">
        <v>1034</v>
      </c>
      <c r="D249" s="23">
        <v>2</v>
      </c>
      <c r="E249" s="23">
        <v>2</v>
      </c>
      <c r="F249" s="23">
        <v>2</v>
      </c>
      <c r="G249" s="11">
        <v>2</v>
      </c>
      <c r="H249" s="23">
        <v>0</v>
      </c>
      <c r="I249" s="23">
        <v>-2</v>
      </c>
      <c r="J249" s="4">
        <v>400</v>
      </c>
      <c r="K249" s="4">
        <v>0</v>
      </c>
      <c r="L249" s="20">
        <f t="shared" si="3"/>
        <v>-4</v>
      </c>
    </row>
    <row r="250" spans="1:12" x14ac:dyDescent="0.25">
      <c r="A250" s="2" t="s">
        <v>1045</v>
      </c>
      <c r="B250" s="2" t="s">
        <v>1046</v>
      </c>
      <c r="C250" s="2" t="s">
        <v>1034</v>
      </c>
      <c r="D250" s="23">
        <v>2</v>
      </c>
      <c r="E250" s="23">
        <v>2</v>
      </c>
      <c r="F250" s="23">
        <v>2</v>
      </c>
      <c r="G250" s="11">
        <v>2</v>
      </c>
      <c r="H250" s="23">
        <v>0</v>
      </c>
      <c r="I250" s="23">
        <v>-2</v>
      </c>
      <c r="J250" s="4">
        <v>400</v>
      </c>
      <c r="K250" s="4">
        <v>0</v>
      </c>
      <c r="L250" s="20">
        <f t="shared" si="3"/>
        <v>-4</v>
      </c>
    </row>
    <row r="251" spans="1:12" x14ac:dyDescent="0.25">
      <c r="A251" s="2" t="s">
        <v>376</v>
      </c>
      <c r="B251" s="2" t="s">
        <v>377</v>
      </c>
      <c r="C251" s="2" t="s">
        <v>821</v>
      </c>
      <c r="D251" s="23">
        <v>56</v>
      </c>
      <c r="E251" s="23">
        <v>0</v>
      </c>
      <c r="F251" s="23">
        <v>38</v>
      </c>
      <c r="G251" s="11">
        <v>25</v>
      </c>
      <c r="H251" s="23">
        <v>20</v>
      </c>
      <c r="I251" s="23">
        <v>-2</v>
      </c>
      <c r="J251" s="4">
        <v>245</v>
      </c>
      <c r="K251" s="4">
        <v>0</v>
      </c>
      <c r="L251" s="20">
        <f t="shared" si="3"/>
        <v>-27</v>
      </c>
    </row>
    <row r="252" spans="1:12" x14ac:dyDescent="0.25">
      <c r="A252" s="2" t="s">
        <v>108</v>
      </c>
      <c r="B252" s="2" t="s">
        <v>109</v>
      </c>
      <c r="C252" s="2" t="s">
        <v>223</v>
      </c>
      <c r="D252" s="23">
        <v>8</v>
      </c>
      <c r="E252" s="23">
        <v>3</v>
      </c>
      <c r="F252" s="23">
        <v>0</v>
      </c>
      <c r="G252" s="11">
        <v>5.5699999999999994</v>
      </c>
      <c r="H252" s="23">
        <v>7</v>
      </c>
      <c r="I252" s="23">
        <v>-2</v>
      </c>
      <c r="J252" s="4">
        <v>1416.67</v>
      </c>
      <c r="K252" s="4">
        <v>0</v>
      </c>
      <c r="L252" s="20">
        <f t="shared" si="3"/>
        <v>-7.5699999999999994</v>
      </c>
    </row>
    <row r="253" spans="1:12" x14ac:dyDescent="0.25">
      <c r="A253" s="2" t="s">
        <v>398</v>
      </c>
      <c r="B253" s="2" t="s">
        <v>399</v>
      </c>
      <c r="C253" s="2" t="s">
        <v>1020</v>
      </c>
      <c r="D253" s="23">
        <v>0.24999999999999997</v>
      </c>
      <c r="E253" s="23">
        <v>0</v>
      </c>
      <c r="F253" s="23">
        <v>3</v>
      </c>
      <c r="G253" s="11">
        <v>0</v>
      </c>
      <c r="H253" s="23">
        <v>0</v>
      </c>
      <c r="I253" s="23">
        <v>-2.75</v>
      </c>
      <c r="J253" s="4">
        <v>148.30999999999997</v>
      </c>
      <c r="K253" s="4">
        <v>0</v>
      </c>
      <c r="L253" s="20">
        <f t="shared" si="3"/>
        <v>-2.75</v>
      </c>
    </row>
    <row r="254" spans="1:12" x14ac:dyDescent="0.25">
      <c r="A254" s="2" t="s">
        <v>850</v>
      </c>
      <c r="B254" s="2" t="s">
        <v>851</v>
      </c>
      <c r="C254" s="2" t="s">
        <v>240</v>
      </c>
      <c r="D254" s="23">
        <v>7</v>
      </c>
      <c r="E254" s="23">
        <v>0</v>
      </c>
      <c r="F254" s="23">
        <v>10</v>
      </c>
      <c r="G254" s="11">
        <v>3</v>
      </c>
      <c r="H254" s="23">
        <v>0</v>
      </c>
      <c r="I254" s="23">
        <v>-3</v>
      </c>
      <c r="J254" s="4">
        <v>45</v>
      </c>
      <c r="K254" s="4">
        <v>0</v>
      </c>
      <c r="L254" s="20">
        <f t="shared" si="3"/>
        <v>-6</v>
      </c>
    </row>
    <row r="255" spans="1:12" x14ac:dyDescent="0.25">
      <c r="A255" s="2" t="s">
        <v>1202</v>
      </c>
      <c r="B255" s="2" t="s">
        <v>1203</v>
      </c>
      <c r="C255" s="2" t="s">
        <v>289</v>
      </c>
      <c r="D255" s="23">
        <v>1</v>
      </c>
      <c r="E255" s="23">
        <v>0</v>
      </c>
      <c r="F255" s="23">
        <v>4</v>
      </c>
      <c r="G255" s="11">
        <v>0</v>
      </c>
      <c r="H255" s="23">
        <v>0</v>
      </c>
      <c r="I255" s="23">
        <v>-3</v>
      </c>
      <c r="J255" s="4">
        <v>873.08</v>
      </c>
      <c r="K255" s="4">
        <v>0</v>
      </c>
      <c r="L255" s="20">
        <f t="shared" si="3"/>
        <v>-3</v>
      </c>
    </row>
    <row r="256" spans="1:12" x14ac:dyDescent="0.25">
      <c r="A256" s="2" t="s">
        <v>448</v>
      </c>
      <c r="B256" s="2" t="s">
        <v>449</v>
      </c>
      <c r="C256" s="2" t="s">
        <v>227</v>
      </c>
      <c r="D256" s="23">
        <v>38</v>
      </c>
      <c r="E256" s="23">
        <v>14</v>
      </c>
      <c r="F256" s="23">
        <v>27</v>
      </c>
      <c r="G256" s="11">
        <v>16</v>
      </c>
      <c r="H256" s="23">
        <v>0</v>
      </c>
      <c r="I256" s="23">
        <v>-3</v>
      </c>
      <c r="J256" s="4">
        <v>66.23</v>
      </c>
      <c r="K256" s="4">
        <v>0</v>
      </c>
      <c r="L256" s="20">
        <f t="shared" si="3"/>
        <v>-19</v>
      </c>
    </row>
    <row r="257" spans="1:12" x14ac:dyDescent="0.25">
      <c r="A257" s="2" t="s">
        <v>984</v>
      </c>
      <c r="B257" s="2" t="s">
        <v>985</v>
      </c>
      <c r="C257" s="2" t="s">
        <v>240</v>
      </c>
      <c r="D257" s="23">
        <v>2</v>
      </c>
      <c r="E257" s="23">
        <v>1</v>
      </c>
      <c r="F257" s="23">
        <v>4</v>
      </c>
      <c r="G257" s="11">
        <v>1</v>
      </c>
      <c r="H257" s="23">
        <v>0</v>
      </c>
      <c r="I257" s="23">
        <v>-3</v>
      </c>
      <c r="J257" s="4">
        <v>270</v>
      </c>
      <c r="K257" s="4">
        <v>0</v>
      </c>
      <c r="L257" s="20">
        <f t="shared" si="3"/>
        <v>-4</v>
      </c>
    </row>
    <row r="258" spans="1:12" x14ac:dyDescent="0.25">
      <c r="A258" s="2" t="s">
        <v>781</v>
      </c>
      <c r="B258" s="2" t="s">
        <v>782</v>
      </c>
      <c r="C258" s="2" t="s">
        <v>289</v>
      </c>
      <c r="D258" s="23">
        <v>17</v>
      </c>
      <c r="E258" s="23">
        <v>6</v>
      </c>
      <c r="F258" s="23">
        <v>14</v>
      </c>
      <c r="G258" s="11">
        <v>9</v>
      </c>
      <c r="H258" s="23">
        <v>0</v>
      </c>
      <c r="I258" s="23">
        <v>-3</v>
      </c>
      <c r="J258" s="4">
        <v>1020</v>
      </c>
      <c r="K258" s="4">
        <v>0</v>
      </c>
      <c r="L258" s="20">
        <f t="shared" si="3"/>
        <v>-12</v>
      </c>
    </row>
    <row r="259" spans="1:12" x14ac:dyDescent="0.25">
      <c r="A259" s="2" t="s">
        <v>904</v>
      </c>
      <c r="B259" s="2" t="s">
        <v>905</v>
      </c>
      <c r="C259" s="2" t="s">
        <v>887</v>
      </c>
      <c r="D259" s="23">
        <v>6</v>
      </c>
      <c r="E259" s="23">
        <v>6</v>
      </c>
      <c r="F259" s="23">
        <v>3</v>
      </c>
      <c r="G259" s="11">
        <v>6</v>
      </c>
      <c r="H259" s="23">
        <v>0</v>
      </c>
      <c r="I259" s="23">
        <v>-3</v>
      </c>
      <c r="J259" s="4">
        <v>100</v>
      </c>
      <c r="K259" s="4">
        <v>0</v>
      </c>
      <c r="L259" s="20">
        <f t="shared" si="3"/>
        <v>-9</v>
      </c>
    </row>
    <row r="260" spans="1:12" x14ac:dyDescent="0.25">
      <c r="A260" s="2" t="s">
        <v>590</v>
      </c>
      <c r="B260" s="2" t="s">
        <v>591</v>
      </c>
      <c r="C260" s="2" t="s">
        <v>592</v>
      </c>
      <c r="D260" s="23">
        <v>19</v>
      </c>
      <c r="E260" s="23">
        <v>8</v>
      </c>
      <c r="F260" s="23">
        <v>4</v>
      </c>
      <c r="G260" s="11">
        <v>10</v>
      </c>
      <c r="H260" s="23">
        <v>10</v>
      </c>
      <c r="I260" s="23">
        <v>-3</v>
      </c>
      <c r="J260" s="4">
        <v>583.77000000000021</v>
      </c>
      <c r="K260" s="4">
        <v>0</v>
      </c>
      <c r="L260" s="20">
        <f t="shared" si="3"/>
        <v>-13</v>
      </c>
    </row>
    <row r="261" spans="1:12" x14ac:dyDescent="0.25">
      <c r="A261" s="2" t="s">
        <v>817</v>
      </c>
      <c r="B261" s="2" t="s">
        <v>818</v>
      </c>
      <c r="C261" s="2" t="s">
        <v>696</v>
      </c>
      <c r="D261" s="23">
        <v>2</v>
      </c>
      <c r="E261" s="23">
        <v>1</v>
      </c>
      <c r="F261" s="23">
        <v>4</v>
      </c>
      <c r="G261" s="11">
        <v>3</v>
      </c>
      <c r="H261" s="23">
        <v>0</v>
      </c>
      <c r="I261" s="23">
        <v>-3</v>
      </c>
      <c r="J261" s="4">
        <v>200</v>
      </c>
      <c r="K261" s="4">
        <v>0</v>
      </c>
      <c r="L261" s="20">
        <f t="shared" si="3"/>
        <v>-6</v>
      </c>
    </row>
    <row r="262" spans="1:12" x14ac:dyDescent="0.25">
      <c r="A262" s="2" t="s">
        <v>19</v>
      </c>
      <c r="B262" s="2" t="s">
        <v>20</v>
      </c>
      <c r="C262" s="2" t="s">
        <v>227</v>
      </c>
      <c r="D262" s="23">
        <v>70</v>
      </c>
      <c r="E262" s="23">
        <v>36</v>
      </c>
      <c r="F262" s="23">
        <v>37</v>
      </c>
      <c r="G262" s="11">
        <v>28</v>
      </c>
      <c r="H262" s="23">
        <v>0</v>
      </c>
      <c r="I262" s="23">
        <v>-3</v>
      </c>
      <c r="J262" s="4">
        <v>122.23999999999997</v>
      </c>
      <c r="K262" s="4">
        <v>0</v>
      </c>
      <c r="L262" s="20">
        <f t="shared" si="3"/>
        <v>-31</v>
      </c>
    </row>
    <row r="263" spans="1:12" x14ac:dyDescent="0.25">
      <c r="A263" s="2" t="s">
        <v>917</v>
      </c>
      <c r="B263" s="2" t="s">
        <v>918</v>
      </c>
      <c r="C263" s="2" t="s">
        <v>1022</v>
      </c>
      <c r="D263" s="23">
        <v>1</v>
      </c>
      <c r="E263" s="23">
        <v>1</v>
      </c>
      <c r="F263" s="23">
        <v>3</v>
      </c>
      <c r="G263" s="11">
        <v>1</v>
      </c>
      <c r="H263" s="23">
        <v>0</v>
      </c>
      <c r="I263" s="23">
        <v>-3</v>
      </c>
      <c r="J263" s="4">
        <v>2000</v>
      </c>
      <c r="K263" s="4">
        <v>0</v>
      </c>
      <c r="L263" s="20">
        <f t="shared" si="3"/>
        <v>-4</v>
      </c>
    </row>
    <row r="264" spans="1:12" x14ac:dyDescent="0.25">
      <c r="A264" s="2" t="s">
        <v>349</v>
      </c>
      <c r="B264" s="2" t="s">
        <v>350</v>
      </c>
      <c r="C264" s="2" t="s">
        <v>887</v>
      </c>
      <c r="D264" s="23">
        <v>9</v>
      </c>
      <c r="E264" s="23">
        <v>0</v>
      </c>
      <c r="F264" s="23">
        <v>12</v>
      </c>
      <c r="G264" s="11">
        <v>3</v>
      </c>
      <c r="H264" s="23">
        <v>0</v>
      </c>
      <c r="I264" s="23">
        <v>-3</v>
      </c>
      <c r="J264" s="4">
        <v>130</v>
      </c>
      <c r="K264" s="4">
        <v>0</v>
      </c>
      <c r="L264" s="20">
        <f t="shared" si="3"/>
        <v>-6</v>
      </c>
    </row>
    <row r="265" spans="1:12" x14ac:dyDescent="0.25">
      <c r="A265" s="2" t="s">
        <v>133</v>
      </c>
      <c r="B265" s="2" t="s">
        <v>310</v>
      </c>
      <c r="C265" s="2" t="s">
        <v>826</v>
      </c>
      <c r="D265" s="23">
        <v>19</v>
      </c>
      <c r="E265" s="23">
        <v>7</v>
      </c>
      <c r="F265" s="23">
        <v>15</v>
      </c>
      <c r="G265" s="11">
        <v>9</v>
      </c>
      <c r="H265" s="23">
        <v>0</v>
      </c>
      <c r="I265" s="23">
        <v>-3</v>
      </c>
      <c r="J265" s="4">
        <v>224.45999999999998</v>
      </c>
      <c r="K265" s="4">
        <v>0</v>
      </c>
      <c r="L265" s="20">
        <f t="shared" si="3"/>
        <v>-12</v>
      </c>
    </row>
    <row r="266" spans="1:12" x14ac:dyDescent="0.25">
      <c r="A266" s="2" t="s">
        <v>1062</v>
      </c>
      <c r="B266" s="2" t="s">
        <v>1063</v>
      </c>
      <c r="C266" s="2" t="s">
        <v>589</v>
      </c>
      <c r="D266" s="23">
        <v>2</v>
      </c>
      <c r="E266" s="23">
        <v>2</v>
      </c>
      <c r="F266" s="23">
        <v>4</v>
      </c>
      <c r="G266" s="11">
        <v>3</v>
      </c>
      <c r="H266" s="23">
        <v>0</v>
      </c>
      <c r="I266" s="23">
        <v>-4</v>
      </c>
      <c r="J266" s="4">
        <v>12124.73</v>
      </c>
      <c r="K266" s="4">
        <v>0</v>
      </c>
      <c r="L266" s="20">
        <f t="shared" si="3"/>
        <v>-7</v>
      </c>
    </row>
    <row r="267" spans="1:12" x14ac:dyDescent="0.25">
      <c r="A267" s="2" t="s">
        <v>431</v>
      </c>
      <c r="B267" s="2" t="s">
        <v>432</v>
      </c>
      <c r="C267" s="2" t="s">
        <v>636</v>
      </c>
      <c r="D267" s="23">
        <v>8</v>
      </c>
      <c r="E267" s="23">
        <v>4</v>
      </c>
      <c r="F267" s="23">
        <v>8</v>
      </c>
      <c r="G267" s="11">
        <v>5</v>
      </c>
      <c r="H267" s="23">
        <v>0</v>
      </c>
      <c r="I267" s="23">
        <v>-4</v>
      </c>
      <c r="J267" s="4">
        <v>1723.7900000000004</v>
      </c>
      <c r="K267" s="4">
        <v>0</v>
      </c>
      <c r="L267" s="20">
        <f t="shared" si="3"/>
        <v>-9</v>
      </c>
    </row>
    <row r="268" spans="1:12" x14ac:dyDescent="0.25">
      <c r="A268" s="2" t="s">
        <v>783</v>
      </c>
      <c r="B268" s="2" t="s">
        <v>784</v>
      </c>
      <c r="C268" s="2" t="s">
        <v>289</v>
      </c>
      <c r="D268" s="23">
        <v>19</v>
      </c>
      <c r="E268" s="23">
        <v>8</v>
      </c>
      <c r="F268" s="23">
        <v>15</v>
      </c>
      <c r="G268" s="11">
        <v>11</v>
      </c>
      <c r="H268" s="23">
        <v>0</v>
      </c>
      <c r="I268" s="23">
        <v>-4</v>
      </c>
      <c r="J268" s="4">
        <v>510</v>
      </c>
      <c r="K268" s="4">
        <v>0</v>
      </c>
      <c r="L268" s="20">
        <f t="shared" si="3"/>
        <v>-15</v>
      </c>
    </row>
    <row r="269" spans="1:12" x14ac:dyDescent="0.25">
      <c r="A269" s="2" t="s">
        <v>875</v>
      </c>
      <c r="B269" s="2" t="s">
        <v>876</v>
      </c>
      <c r="C269" s="2" t="s">
        <v>636</v>
      </c>
      <c r="D269" s="23">
        <v>6</v>
      </c>
      <c r="E269" s="23">
        <v>6</v>
      </c>
      <c r="F269" s="23">
        <v>4</v>
      </c>
      <c r="G269" s="11">
        <v>12</v>
      </c>
      <c r="H269" s="23">
        <v>0</v>
      </c>
      <c r="I269" s="23">
        <v>-4</v>
      </c>
      <c r="J269" s="4">
        <v>1028.6099999999999</v>
      </c>
      <c r="K269" s="4">
        <v>0</v>
      </c>
      <c r="L269" s="20">
        <f t="shared" ref="L269:L332" si="4">D269-E269-F269-G269-H269</f>
        <v>-16</v>
      </c>
    </row>
    <row r="270" spans="1:12" x14ac:dyDescent="0.25">
      <c r="A270" s="2" t="s">
        <v>1204</v>
      </c>
      <c r="B270" s="2" t="s">
        <v>1205</v>
      </c>
      <c r="C270" s="2" t="s">
        <v>1206</v>
      </c>
      <c r="D270" s="23">
        <v>2</v>
      </c>
      <c r="E270" s="23">
        <v>0</v>
      </c>
      <c r="F270" s="23">
        <v>6</v>
      </c>
      <c r="G270" s="11">
        <v>0</v>
      </c>
      <c r="H270" s="23">
        <v>0</v>
      </c>
      <c r="I270" s="23">
        <v>-4</v>
      </c>
      <c r="J270" s="4">
        <v>129.16999999999999</v>
      </c>
      <c r="K270" s="4">
        <v>0</v>
      </c>
      <c r="L270" s="20">
        <f t="shared" si="4"/>
        <v>-4</v>
      </c>
    </row>
    <row r="271" spans="1:12" x14ac:dyDescent="0.25">
      <c r="A271" s="2" t="s">
        <v>877</v>
      </c>
      <c r="B271" s="2" t="s">
        <v>878</v>
      </c>
      <c r="C271" s="2" t="s">
        <v>636</v>
      </c>
      <c r="D271" s="23">
        <v>6</v>
      </c>
      <c r="E271" s="23">
        <v>6</v>
      </c>
      <c r="F271" s="23">
        <v>4</v>
      </c>
      <c r="G271" s="11">
        <v>12</v>
      </c>
      <c r="H271" s="23">
        <v>0</v>
      </c>
      <c r="I271" s="23">
        <v>-4</v>
      </c>
      <c r="J271" s="4">
        <v>1029.1300000000001</v>
      </c>
      <c r="K271" s="4">
        <v>0</v>
      </c>
      <c r="L271" s="20">
        <f t="shared" si="4"/>
        <v>-16</v>
      </c>
    </row>
    <row r="272" spans="1:12" x14ac:dyDescent="0.25">
      <c r="A272" s="2" t="s">
        <v>854</v>
      </c>
      <c r="B272" s="2" t="s">
        <v>855</v>
      </c>
      <c r="C272" s="2" t="s">
        <v>628</v>
      </c>
      <c r="D272" s="23">
        <v>1</v>
      </c>
      <c r="E272" s="23">
        <v>1</v>
      </c>
      <c r="F272" s="23">
        <v>4</v>
      </c>
      <c r="G272" s="11">
        <v>1</v>
      </c>
      <c r="H272" s="23">
        <v>0</v>
      </c>
      <c r="I272" s="23">
        <v>-4</v>
      </c>
      <c r="J272" s="4">
        <v>225</v>
      </c>
      <c r="K272" s="4">
        <v>0</v>
      </c>
      <c r="L272" s="20">
        <f t="shared" si="4"/>
        <v>-5</v>
      </c>
    </row>
    <row r="273" spans="1:12" x14ac:dyDescent="0.25">
      <c r="A273" s="2" t="s">
        <v>758</v>
      </c>
      <c r="B273" s="16" t="s">
        <v>759</v>
      </c>
      <c r="C273" s="2" t="s">
        <v>275</v>
      </c>
      <c r="D273" s="23">
        <v>6</v>
      </c>
      <c r="E273" s="23">
        <v>5</v>
      </c>
      <c r="F273" s="23">
        <v>5</v>
      </c>
      <c r="G273" s="11">
        <v>6</v>
      </c>
      <c r="H273" s="23">
        <v>0</v>
      </c>
      <c r="I273" s="23">
        <v>-4</v>
      </c>
      <c r="J273" s="4">
        <v>8495.43</v>
      </c>
      <c r="K273" s="4">
        <v>0</v>
      </c>
      <c r="L273" s="20">
        <f t="shared" si="4"/>
        <v>-10</v>
      </c>
    </row>
    <row r="274" spans="1:12" x14ac:dyDescent="0.25">
      <c r="A274" s="2" t="s">
        <v>272</v>
      </c>
      <c r="B274" s="2" t="s">
        <v>621</v>
      </c>
      <c r="C274" s="2" t="s">
        <v>636</v>
      </c>
      <c r="D274" s="23">
        <v>11</v>
      </c>
      <c r="E274" s="23">
        <v>4</v>
      </c>
      <c r="F274" s="23">
        <v>11</v>
      </c>
      <c r="G274" s="11">
        <v>4</v>
      </c>
      <c r="H274" s="23">
        <v>0</v>
      </c>
      <c r="I274" s="23">
        <v>-4</v>
      </c>
      <c r="J274" s="4">
        <v>1679.5300000000002</v>
      </c>
      <c r="K274" s="4">
        <v>0</v>
      </c>
      <c r="L274" s="20">
        <f t="shared" si="4"/>
        <v>-8</v>
      </c>
    </row>
    <row r="275" spans="1:12" x14ac:dyDescent="0.25">
      <c r="A275" s="2" t="s">
        <v>807</v>
      </c>
      <c r="B275" s="2" t="s">
        <v>808</v>
      </c>
      <c r="C275" s="2" t="s">
        <v>628</v>
      </c>
      <c r="D275" s="23">
        <v>8</v>
      </c>
      <c r="E275" s="23">
        <v>1</v>
      </c>
      <c r="F275" s="23">
        <v>11</v>
      </c>
      <c r="G275" s="11">
        <v>1</v>
      </c>
      <c r="H275" s="23">
        <v>0</v>
      </c>
      <c r="I275" s="23">
        <v>-4</v>
      </c>
      <c r="J275" s="4">
        <v>582.5</v>
      </c>
      <c r="K275" s="4">
        <v>0</v>
      </c>
      <c r="L275" s="20">
        <f t="shared" si="4"/>
        <v>-5</v>
      </c>
    </row>
    <row r="276" spans="1:12" x14ac:dyDescent="0.25">
      <c r="A276" s="2" t="s">
        <v>1109</v>
      </c>
      <c r="B276" s="2" t="s">
        <v>1110</v>
      </c>
      <c r="C276" s="2" t="s">
        <v>887</v>
      </c>
      <c r="D276" s="23">
        <v>0.9</v>
      </c>
      <c r="E276" s="23">
        <v>0</v>
      </c>
      <c r="F276" s="23">
        <v>5</v>
      </c>
      <c r="G276" s="11">
        <v>3.5527136788005009E-15</v>
      </c>
      <c r="H276" s="23">
        <v>0</v>
      </c>
      <c r="I276" s="23">
        <v>-4.0999999999999996</v>
      </c>
      <c r="J276" s="4">
        <v>196</v>
      </c>
      <c r="K276" s="4">
        <v>0</v>
      </c>
      <c r="L276" s="20">
        <f t="shared" si="4"/>
        <v>-4.1000000000000032</v>
      </c>
    </row>
    <row r="277" spans="1:12" x14ac:dyDescent="0.25">
      <c r="A277" s="2" t="s">
        <v>675</v>
      </c>
      <c r="B277" s="2" t="s">
        <v>676</v>
      </c>
      <c r="C277" s="2" t="s">
        <v>254</v>
      </c>
      <c r="D277" s="23">
        <v>15</v>
      </c>
      <c r="E277" s="23">
        <v>0</v>
      </c>
      <c r="F277" s="23">
        <v>20</v>
      </c>
      <c r="G277" s="11">
        <v>16</v>
      </c>
      <c r="H277" s="23">
        <v>0</v>
      </c>
      <c r="I277" s="23">
        <v>-5</v>
      </c>
      <c r="J277" s="4">
        <v>97.169999999999987</v>
      </c>
      <c r="K277" s="4">
        <v>0</v>
      </c>
      <c r="L277" s="20">
        <f t="shared" si="4"/>
        <v>-21</v>
      </c>
    </row>
    <row r="278" spans="1:12" x14ac:dyDescent="0.25">
      <c r="A278" s="2" t="s">
        <v>842</v>
      </c>
      <c r="B278" s="2" t="s">
        <v>843</v>
      </c>
      <c r="C278" s="2" t="s">
        <v>667</v>
      </c>
      <c r="D278" s="23">
        <v>1</v>
      </c>
      <c r="E278" s="23">
        <v>0</v>
      </c>
      <c r="F278" s="23">
        <v>6</v>
      </c>
      <c r="G278" s="11">
        <v>0</v>
      </c>
      <c r="H278" s="23">
        <v>0</v>
      </c>
      <c r="I278" s="23">
        <v>-5</v>
      </c>
      <c r="J278" s="4">
        <v>749.17</v>
      </c>
      <c r="K278" s="4">
        <v>0</v>
      </c>
      <c r="L278" s="20">
        <f t="shared" si="4"/>
        <v>-5</v>
      </c>
    </row>
    <row r="279" spans="1:12" x14ac:dyDescent="0.25">
      <c r="A279" s="2" t="s">
        <v>599</v>
      </c>
      <c r="B279" s="2" t="s">
        <v>600</v>
      </c>
      <c r="C279" s="2" t="s">
        <v>636</v>
      </c>
      <c r="D279" s="23">
        <v>44</v>
      </c>
      <c r="E279" s="23">
        <v>12</v>
      </c>
      <c r="F279" s="23">
        <v>37</v>
      </c>
      <c r="G279" s="11">
        <v>14</v>
      </c>
      <c r="H279" s="23">
        <v>0</v>
      </c>
      <c r="I279" s="23">
        <v>-5</v>
      </c>
      <c r="J279" s="4">
        <v>313.88000000000005</v>
      </c>
      <c r="K279" s="4">
        <v>0</v>
      </c>
      <c r="L279" s="20">
        <f t="shared" si="4"/>
        <v>-19</v>
      </c>
    </row>
    <row r="280" spans="1:12" x14ac:dyDescent="0.25">
      <c r="A280" s="2" t="s">
        <v>58</v>
      </c>
      <c r="B280" s="2" t="s">
        <v>59</v>
      </c>
      <c r="C280" s="2" t="s">
        <v>826</v>
      </c>
      <c r="D280" s="23">
        <v>19</v>
      </c>
      <c r="E280" s="23">
        <v>7</v>
      </c>
      <c r="F280" s="23">
        <v>17</v>
      </c>
      <c r="G280" s="11">
        <v>11</v>
      </c>
      <c r="H280" s="23">
        <v>0</v>
      </c>
      <c r="I280" s="23">
        <v>-5</v>
      </c>
      <c r="J280" s="4">
        <v>1094.4000000000001</v>
      </c>
      <c r="K280" s="4">
        <v>0</v>
      </c>
      <c r="L280" s="20">
        <f t="shared" si="4"/>
        <v>-16</v>
      </c>
    </row>
    <row r="281" spans="1:12" x14ac:dyDescent="0.25">
      <c r="A281" s="2" t="s">
        <v>157</v>
      </c>
      <c r="B281" s="2" t="s">
        <v>158</v>
      </c>
      <c r="C281" s="2" t="s">
        <v>761</v>
      </c>
      <c r="D281" s="23">
        <v>19</v>
      </c>
      <c r="E281" s="23">
        <v>0</v>
      </c>
      <c r="F281" s="23">
        <v>4</v>
      </c>
      <c r="G281" s="11">
        <v>22</v>
      </c>
      <c r="H281" s="23">
        <v>20</v>
      </c>
      <c r="I281" s="23">
        <v>-5</v>
      </c>
      <c r="J281" s="4">
        <v>65</v>
      </c>
      <c r="K281" s="4">
        <v>0</v>
      </c>
      <c r="L281" s="20">
        <f t="shared" si="4"/>
        <v>-27</v>
      </c>
    </row>
    <row r="282" spans="1:12" x14ac:dyDescent="0.25">
      <c r="A282" s="2" t="s">
        <v>670</v>
      </c>
      <c r="B282" s="2" t="s">
        <v>671</v>
      </c>
      <c r="C282" s="2" t="s">
        <v>214</v>
      </c>
      <c r="D282" s="23">
        <v>19</v>
      </c>
      <c r="E282" s="23">
        <v>12</v>
      </c>
      <c r="F282" s="23">
        <v>12</v>
      </c>
      <c r="G282" s="11">
        <v>13</v>
      </c>
      <c r="H282" s="23">
        <v>0</v>
      </c>
      <c r="I282" s="23">
        <v>-5</v>
      </c>
      <c r="J282" s="4">
        <v>28339.379999999997</v>
      </c>
      <c r="K282" s="4">
        <v>0</v>
      </c>
      <c r="L282" s="20">
        <f t="shared" si="4"/>
        <v>-18</v>
      </c>
    </row>
    <row r="283" spans="1:12" x14ac:dyDescent="0.25">
      <c r="A283" s="2" t="s">
        <v>60</v>
      </c>
      <c r="B283" s="2" t="s">
        <v>61</v>
      </c>
      <c r="C283" s="2" t="s">
        <v>826</v>
      </c>
      <c r="D283" s="23">
        <v>19</v>
      </c>
      <c r="E283" s="23">
        <v>7</v>
      </c>
      <c r="F283" s="23">
        <v>17</v>
      </c>
      <c r="G283" s="11">
        <v>11</v>
      </c>
      <c r="H283" s="23">
        <v>0</v>
      </c>
      <c r="I283" s="23">
        <v>-5</v>
      </c>
      <c r="J283" s="4">
        <v>115.59999999999995</v>
      </c>
      <c r="K283" s="4">
        <v>0</v>
      </c>
      <c r="L283" s="20">
        <f t="shared" si="4"/>
        <v>-16</v>
      </c>
    </row>
    <row r="284" spans="1:12" x14ac:dyDescent="0.25">
      <c r="A284" s="2" t="s">
        <v>1002</v>
      </c>
      <c r="B284" s="2" t="s">
        <v>1003</v>
      </c>
      <c r="C284" s="2" t="s">
        <v>1004</v>
      </c>
      <c r="D284" s="23">
        <v>2</v>
      </c>
      <c r="E284" s="23">
        <v>2</v>
      </c>
      <c r="F284" s="23">
        <v>5</v>
      </c>
      <c r="G284" s="11">
        <v>4</v>
      </c>
      <c r="H284" s="23">
        <v>0</v>
      </c>
      <c r="I284" s="23">
        <v>-5</v>
      </c>
      <c r="J284" s="4">
        <v>5112.92</v>
      </c>
      <c r="K284" s="4">
        <v>0</v>
      </c>
      <c r="L284" s="20">
        <f t="shared" si="4"/>
        <v>-9</v>
      </c>
    </row>
    <row r="285" spans="1:12" x14ac:dyDescent="0.25">
      <c r="A285" s="2" t="s">
        <v>207</v>
      </c>
      <c r="B285" s="2" t="s">
        <v>281</v>
      </c>
      <c r="C285" s="2" t="s">
        <v>240</v>
      </c>
      <c r="D285" s="23">
        <v>56.97</v>
      </c>
      <c r="E285" s="23">
        <v>10</v>
      </c>
      <c r="F285" s="23">
        <v>52</v>
      </c>
      <c r="G285" s="11">
        <v>10.269999999999982</v>
      </c>
      <c r="H285" s="23">
        <v>0</v>
      </c>
      <c r="I285" s="23">
        <v>-5.0300000000000011</v>
      </c>
      <c r="J285" s="4">
        <v>28</v>
      </c>
      <c r="K285" s="4">
        <v>0</v>
      </c>
      <c r="L285" s="20">
        <f t="shared" si="4"/>
        <v>-15.299999999999983</v>
      </c>
    </row>
    <row r="286" spans="1:12" x14ac:dyDescent="0.25">
      <c r="A286" s="2" t="s">
        <v>67</v>
      </c>
      <c r="B286" s="2" t="s">
        <v>585</v>
      </c>
      <c r="C286" s="2" t="s">
        <v>1053</v>
      </c>
      <c r="D286" s="23">
        <v>8.1499999999999986</v>
      </c>
      <c r="E286" s="23">
        <v>0</v>
      </c>
      <c r="F286" s="23">
        <v>13.5</v>
      </c>
      <c r="G286" s="11">
        <v>8.5</v>
      </c>
      <c r="H286" s="23">
        <v>0</v>
      </c>
      <c r="I286" s="23">
        <v>-5.3499999999999988</v>
      </c>
      <c r="J286" s="4">
        <v>1600</v>
      </c>
      <c r="K286" s="4">
        <v>0</v>
      </c>
      <c r="L286" s="20">
        <f t="shared" si="4"/>
        <v>-13.850000000000001</v>
      </c>
    </row>
    <row r="287" spans="1:12" x14ac:dyDescent="0.25">
      <c r="A287" s="2" t="s">
        <v>458</v>
      </c>
      <c r="B287" s="2" t="s">
        <v>459</v>
      </c>
      <c r="C287" s="2" t="s">
        <v>216</v>
      </c>
      <c r="D287" s="23">
        <v>0.67000000000000015</v>
      </c>
      <c r="E287" s="23">
        <v>0.17</v>
      </c>
      <c r="F287" s="23">
        <v>6</v>
      </c>
      <c r="G287" s="11">
        <v>22.530000000000015</v>
      </c>
      <c r="H287" s="23">
        <v>0</v>
      </c>
      <c r="I287" s="23">
        <v>-5.5</v>
      </c>
      <c r="J287" s="4">
        <v>133</v>
      </c>
      <c r="K287" s="4">
        <v>0</v>
      </c>
      <c r="L287" s="20">
        <f t="shared" si="4"/>
        <v>-28.030000000000015</v>
      </c>
    </row>
    <row r="288" spans="1:12" x14ac:dyDescent="0.25">
      <c r="A288" s="2" t="s">
        <v>429</v>
      </c>
      <c r="B288" s="2" t="s">
        <v>430</v>
      </c>
      <c r="C288" s="2" t="s">
        <v>636</v>
      </c>
      <c r="D288" s="23">
        <v>8</v>
      </c>
      <c r="E288" s="23">
        <v>4</v>
      </c>
      <c r="F288" s="23">
        <v>10</v>
      </c>
      <c r="G288" s="11">
        <v>5</v>
      </c>
      <c r="H288" s="23">
        <v>0</v>
      </c>
      <c r="I288" s="23">
        <v>-6</v>
      </c>
      <c r="J288" s="4">
        <v>1679.5300000000002</v>
      </c>
      <c r="K288" s="4">
        <v>0</v>
      </c>
      <c r="L288" s="20">
        <f t="shared" si="4"/>
        <v>-11</v>
      </c>
    </row>
    <row r="289" spans="1:12" x14ac:dyDescent="0.25">
      <c r="A289" s="2" t="s">
        <v>682</v>
      </c>
      <c r="B289" s="2" t="s">
        <v>683</v>
      </c>
      <c r="C289" s="2" t="s">
        <v>584</v>
      </c>
      <c r="D289" s="23">
        <v>28</v>
      </c>
      <c r="E289" s="23">
        <v>0</v>
      </c>
      <c r="F289" s="23">
        <v>34</v>
      </c>
      <c r="G289" s="11">
        <v>27</v>
      </c>
      <c r="H289" s="23">
        <v>0</v>
      </c>
      <c r="I289" s="23">
        <v>-6</v>
      </c>
      <c r="J289" s="4">
        <v>500</v>
      </c>
      <c r="K289" s="4">
        <v>0</v>
      </c>
      <c r="L289" s="20">
        <f t="shared" si="4"/>
        <v>-33</v>
      </c>
    </row>
    <row r="290" spans="1:12" x14ac:dyDescent="0.25">
      <c r="A290" s="2" t="s">
        <v>740</v>
      </c>
      <c r="B290" s="16" t="s">
        <v>741</v>
      </c>
      <c r="C290" s="2" t="s">
        <v>667</v>
      </c>
      <c r="D290" s="23">
        <v>16</v>
      </c>
      <c r="E290" s="23">
        <v>5</v>
      </c>
      <c r="F290" s="23">
        <v>17</v>
      </c>
      <c r="G290" s="11">
        <v>17</v>
      </c>
      <c r="H290" s="23">
        <v>0</v>
      </c>
      <c r="I290" s="23">
        <v>-6</v>
      </c>
      <c r="J290" s="4">
        <v>41.67</v>
      </c>
      <c r="K290" s="4">
        <v>0</v>
      </c>
      <c r="L290" s="20">
        <f t="shared" si="4"/>
        <v>-23</v>
      </c>
    </row>
    <row r="291" spans="1:12" x14ac:dyDescent="0.25">
      <c r="A291" s="2" t="s">
        <v>435</v>
      </c>
      <c r="B291" s="2" t="s">
        <v>436</v>
      </c>
      <c r="C291" s="2" t="s">
        <v>636</v>
      </c>
      <c r="D291" s="23">
        <v>8</v>
      </c>
      <c r="E291" s="23">
        <v>4</v>
      </c>
      <c r="F291" s="23">
        <v>10</v>
      </c>
      <c r="G291" s="11">
        <v>5</v>
      </c>
      <c r="H291" s="23">
        <v>0</v>
      </c>
      <c r="I291" s="23">
        <v>-6</v>
      </c>
      <c r="J291" s="4">
        <v>1723.7900000000004</v>
      </c>
      <c r="K291" s="4">
        <v>0</v>
      </c>
      <c r="L291" s="20">
        <f t="shared" si="4"/>
        <v>-11</v>
      </c>
    </row>
    <row r="292" spans="1:12" x14ac:dyDescent="0.25">
      <c r="A292" s="2" t="s">
        <v>998</v>
      </c>
      <c r="B292" s="2" t="s">
        <v>999</v>
      </c>
      <c r="C292" s="2" t="s">
        <v>887</v>
      </c>
      <c r="D292" s="23">
        <v>4</v>
      </c>
      <c r="E292" s="23">
        <v>4</v>
      </c>
      <c r="F292" s="23">
        <v>6</v>
      </c>
      <c r="G292" s="11">
        <v>8</v>
      </c>
      <c r="H292" s="23">
        <v>0</v>
      </c>
      <c r="I292" s="23">
        <v>-6</v>
      </c>
      <c r="J292" s="4">
        <v>225</v>
      </c>
      <c r="K292" s="4">
        <v>0</v>
      </c>
      <c r="L292" s="20">
        <f t="shared" si="4"/>
        <v>-14</v>
      </c>
    </row>
    <row r="293" spans="1:12" x14ac:dyDescent="0.25">
      <c r="A293" s="2" t="s">
        <v>680</v>
      </c>
      <c r="B293" s="2" t="s">
        <v>681</v>
      </c>
      <c r="C293" s="2" t="s">
        <v>246</v>
      </c>
      <c r="D293" s="23">
        <v>7</v>
      </c>
      <c r="E293" s="23">
        <v>3</v>
      </c>
      <c r="F293" s="23">
        <v>10</v>
      </c>
      <c r="G293" s="11">
        <v>4</v>
      </c>
      <c r="H293" s="23">
        <v>0</v>
      </c>
      <c r="I293" s="23">
        <v>-6</v>
      </c>
      <c r="J293" s="4">
        <v>252</v>
      </c>
      <c r="K293" s="4">
        <v>0</v>
      </c>
      <c r="L293" s="20">
        <f t="shared" si="4"/>
        <v>-10</v>
      </c>
    </row>
    <row r="294" spans="1:12" x14ac:dyDescent="0.25">
      <c r="A294" s="2" t="s">
        <v>813</v>
      </c>
      <c r="B294" s="2" t="s">
        <v>814</v>
      </c>
      <c r="C294" s="2" t="s">
        <v>696</v>
      </c>
      <c r="D294" s="23">
        <v>2</v>
      </c>
      <c r="E294" s="23">
        <v>1</v>
      </c>
      <c r="F294" s="23">
        <v>7</v>
      </c>
      <c r="G294" s="11">
        <v>4</v>
      </c>
      <c r="H294" s="23">
        <v>0</v>
      </c>
      <c r="I294" s="23">
        <v>-6</v>
      </c>
      <c r="J294" s="4">
        <v>460</v>
      </c>
      <c r="K294" s="4">
        <v>0</v>
      </c>
      <c r="L294" s="20">
        <f t="shared" si="4"/>
        <v>-10</v>
      </c>
    </row>
    <row r="295" spans="1:12" x14ac:dyDescent="0.25">
      <c r="A295" s="2" t="s">
        <v>333</v>
      </c>
      <c r="B295" s="2" t="s">
        <v>334</v>
      </c>
      <c r="C295" s="2" t="s">
        <v>887</v>
      </c>
      <c r="D295" s="23">
        <v>19</v>
      </c>
      <c r="E295" s="23">
        <v>0</v>
      </c>
      <c r="F295" s="23">
        <v>25</v>
      </c>
      <c r="G295" s="11">
        <v>18</v>
      </c>
      <c r="H295" s="23">
        <v>0</v>
      </c>
      <c r="I295" s="23">
        <v>-6</v>
      </c>
      <c r="J295" s="4">
        <v>225</v>
      </c>
      <c r="K295" s="4">
        <v>0</v>
      </c>
      <c r="L295" s="20">
        <f t="shared" si="4"/>
        <v>-24</v>
      </c>
    </row>
    <row r="296" spans="1:12" x14ac:dyDescent="0.25">
      <c r="A296" s="2" t="s">
        <v>2</v>
      </c>
      <c r="B296" s="2" t="s">
        <v>423</v>
      </c>
      <c r="C296" s="2" t="s">
        <v>217</v>
      </c>
      <c r="D296" s="23">
        <v>38</v>
      </c>
      <c r="E296" s="23">
        <v>14</v>
      </c>
      <c r="F296" s="23">
        <v>20</v>
      </c>
      <c r="G296" s="11">
        <v>20</v>
      </c>
      <c r="H296" s="23">
        <v>10</v>
      </c>
      <c r="I296" s="23">
        <v>-6</v>
      </c>
      <c r="J296" s="4">
        <v>400</v>
      </c>
      <c r="K296" s="4">
        <v>0</v>
      </c>
      <c r="L296" s="20">
        <f t="shared" si="4"/>
        <v>-26</v>
      </c>
    </row>
    <row r="297" spans="1:12" x14ac:dyDescent="0.25">
      <c r="A297" s="2" t="s">
        <v>668</v>
      </c>
      <c r="B297" s="2" t="s">
        <v>669</v>
      </c>
      <c r="C297" s="2" t="s">
        <v>337</v>
      </c>
      <c r="D297" s="23">
        <v>11</v>
      </c>
      <c r="E297" s="23">
        <v>4</v>
      </c>
      <c r="F297" s="23">
        <v>13</v>
      </c>
      <c r="G297" s="11">
        <v>4</v>
      </c>
      <c r="H297" s="23">
        <v>0</v>
      </c>
      <c r="I297" s="23">
        <v>-6</v>
      </c>
      <c r="J297" s="4">
        <v>1250</v>
      </c>
      <c r="K297" s="4">
        <v>0</v>
      </c>
      <c r="L297" s="20">
        <f t="shared" si="4"/>
        <v>-10</v>
      </c>
    </row>
    <row r="298" spans="1:12" x14ac:dyDescent="0.25">
      <c r="A298" s="2" t="s">
        <v>899</v>
      </c>
      <c r="B298" s="2" t="s">
        <v>900</v>
      </c>
      <c r="C298" s="2" t="s">
        <v>901</v>
      </c>
      <c r="D298" s="23">
        <v>3.9</v>
      </c>
      <c r="E298" s="23">
        <v>0</v>
      </c>
      <c r="F298" s="23">
        <v>0</v>
      </c>
      <c r="G298" s="11">
        <v>3.5527136788005009E-15</v>
      </c>
      <c r="H298" s="23">
        <v>10</v>
      </c>
      <c r="I298" s="23">
        <v>-6.1000000000000005</v>
      </c>
      <c r="J298" s="4">
        <v>255.54999999999998</v>
      </c>
      <c r="K298" s="4">
        <v>0</v>
      </c>
      <c r="L298" s="20">
        <f t="shared" si="4"/>
        <v>-6.1000000000000032</v>
      </c>
    </row>
    <row r="299" spans="1:12" x14ac:dyDescent="0.25">
      <c r="A299" s="2" t="s">
        <v>5</v>
      </c>
      <c r="B299" s="2" t="s">
        <v>6</v>
      </c>
      <c r="C299" s="2" t="s">
        <v>826</v>
      </c>
      <c r="D299" s="23">
        <v>93.6</v>
      </c>
      <c r="E299" s="23">
        <v>0</v>
      </c>
      <c r="F299" s="23">
        <v>100</v>
      </c>
      <c r="G299" s="11">
        <v>2.0000000000000568</v>
      </c>
      <c r="H299" s="23">
        <v>0</v>
      </c>
      <c r="I299" s="23">
        <v>-6.4000000000000057</v>
      </c>
      <c r="J299" s="4">
        <v>111</v>
      </c>
      <c r="K299" s="4">
        <v>0</v>
      </c>
      <c r="L299" s="20">
        <f t="shared" si="4"/>
        <v>-8.4000000000000625</v>
      </c>
    </row>
    <row r="300" spans="1:12" x14ac:dyDescent="0.25">
      <c r="A300" s="2" t="s">
        <v>856</v>
      </c>
      <c r="B300" s="2" t="s">
        <v>857</v>
      </c>
      <c r="C300" s="2" t="s">
        <v>246</v>
      </c>
      <c r="D300" s="23">
        <v>1</v>
      </c>
      <c r="E300" s="23">
        <v>1</v>
      </c>
      <c r="F300" s="23">
        <v>7</v>
      </c>
      <c r="G300" s="11">
        <v>1</v>
      </c>
      <c r="H300" s="23">
        <v>0</v>
      </c>
      <c r="I300" s="23">
        <v>-7</v>
      </c>
      <c r="J300" s="4">
        <v>93.6</v>
      </c>
      <c r="K300" s="4">
        <v>0</v>
      </c>
      <c r="L300" s="20">
        <f t="shared" si="4"/>
        <v>-8</v>
      </c>
    </row>
    <row r="301" spans="1:12" x14ac:dyDescent="0.25">
      <c r="A301" s="2" t="s">
        <v>805</v>
      </c>
      <c r="B301" s="2" t="s">
        <v>806</v>
      </c>
      <c r="C301" s="2" t="s">
        <v>628</v>
      </c>
      <c r="D301" s="23">
        <v>8</v>
      </c>
      <c r="E301" s="23">
        <v>1</v>
      </c>
      <c r="F301" s="23">
        <v>14</v>
      </c>
      <c r="G301" s="11">
        <v>1</v>
      </c>
      <c r="H301" s="23">
        <v>0</v>
      </c>
      <c r="I301" s="23">
        <v>-7</v>
      </c>
      <c r="J301" s="4">
        <v>458.33</v>
      </c>
      <c r="K301" s="4">
        <v>0</v>
      </c>
      <c r="L301" s="20">
        <f t="shared" si="4"/>
        <v>-8</v>
      </c>
    </row>
    <row r="302" spans="1:12" s="18" customFormat="1" x14ac:dyDescent="0.25">
      <c r="A302" s="2" t="s">
        <v>24</v>
      </c>
      <c r="B302" s="2" t="s">
        <v>25</v>
      </c>
      <c r="C302" s="2" t="s">
        <v>628</v>
      </c>
      <c r="D302" s="23">
        <v>23</v>
      </c>
      <c r="E302" s="23">
        <v>0</v>
      </c>
      <c r="F302" s="23">
        <v>30</v>
      </c>
      <c r="G302" s="11">
        <v>20</v>
      </c>
      <c r="H302" s="23">
        <v>0</v>
      </c>
      <c r="I302" s="23">
        <v>-7</v>
      </c>
      <c r="J302" s="4">
        <v>62.5</v>
      </c>
      <c r="K302" s="4">
        <v>0</v>
      </c>
      <c r="L302" s="20">
        <f t="shared" si="4"/>
        <v>-27</v>
      </c>
    </row>
    <row r="303" spans="1:12" x14ac:dyDescent="0.25">
      <c r="A303" s="2" t="s">
        <v>573</v>
      </c>
      <c r="B303" s="2" t="s">
        <v>574</v>
      </c>
      <c r="C303" s="2" t="s">
        <v>240</v>
      </c>
      <c r="D303" s="23">
        <v>16.399999999999995</v>
      </c>
      <c r="E303" s="23">
        <v>0</v>
      </c>
      <c r="F303" s="23">
        <v>24</v>
      </c>
      <c r="G303" s="11">
        <v>-3.5527136788005009E-14</v>
      </c>
      <c r="H303" s="23">
        <v>0</v>
      </c>
      <c r="I303" s="23">
        <v>-7.6000000000000059</v>
      </c>
      <c r="J303" s="4">
        <v>120</v>
      </c>
      <c r="K303" s="4">
        <v>0</v>
      </c>
      <c r="L303" s="20">
        <f t="shared" si="4"/>
        <v>-7.5999999999999694</v>
      </c>
    </row>
    <row r="304" spans="1:12" x14ac:dyDescent="0.25">
      <c r="A304" s="2" t="s">
        <v>601</v>
      </c>
      <c r="B304" s="2" t="s">
        <v>602</v>
      </c>
      <c r="C304" s="2" t="s">
        <v>636</v>
      </c>
      <c r="D304" s="23">
        <v>24</v>
      </c>
      <c r="E304" s="23">
        <v>8</v>
      </c>
      <c r="F304" s="23">
        <v>24</v>
      </c>
      <c r="G304" s="11">
        <v>10</v>
      </c>
      <c r="H304" s="23">
        <v>0</v>
      </c>
      <c r="I304" s="23">
        <v>-8</v>
      </c>
      <c r="J304" s="4">
        <v>50.43</v>
      </c>
      <c r="K304" s="4">
        <v>0</v>
      </c>
      <c r="L304" s="20">
        <f t="shared" si="4"/>
        <v>-18</v>
      </c>
    </row>
    <row r="305" spans="1:12" x14ac:dyDescent="0.25">
      <c r="A305" s="2" t="s">
        <v>471</v>
      </c>
      <c r="B305" s="2" t="s">
        <v>472</v>
      </c>
      <c r="C305" s="2" t="s">
        <v>240</v>
      </c>
      <c r="D305" s="23">
        <v>196</v>
      </c>
      <c r="E305" s="23">
        <v>4</v>
      </c>
      <c r="F305" s="23">
        <v>200</v>
      </c>
      <c r="G305" s="11">
        <v>343</v>
      </c>
      <c r="H305" s="23">
        <v>0</v>
      </c>
      <c r="I305" s="23">
        <v>-8</v>
      </c>
      <c r="J305" s="4">
        <v>9</v>
      </c>
      <c r="K305" s="4">
        <v>0</v>
      </c>
      <c r="L305" s="20">
        <f t="shared" si="4"/>
        <v>-351</v>
      </c>
    </row>
    <row r="306" spans="1:12" x14ac:dyDescent="0.25">
      <c r="A306" s="2" t="s">
        <v>684</v>
      </c>
      <c r="B306" s="2" t="s">
        <v>685</v>
      </c>
      <c r="C306" s="2" t="s">
        <v>584</v>
      </c>
      <c r="D306" s="23">
        <v>15</v>
      </c>
      <c r="E306" s="23">
        <v>0</v>
      </c>
      <c r="F306" s="23">
        <v>23</v>
      </c>
      <c r="G306" s="11">
        <v>17</v>
      </c>
      <c r="H306" s="23">
        <v>0</v>
      </c>
      <c r="I306" s="23">
        <v>-8</v>
      </c>
      <c r="J306" s="4">
        <v>750</v>
      </c>
      <c r="K306" s="4">
        <v>0</v>
      </c>
      <c r="L306" s="20">
        <f t="shared" si="4"/>
        <v>-25</v>
      </c>
    </row>
    <row r="307" spans="1:12" x14ac:dyDescent="0.25">
      <c r="A307" s="2" t="s">
        <v>1015</v>
      </c>
      <c r="B307" s="2" t="s">
        <v>1016</v>
      </c>
      <c r="C307" s="2" t="s">
        <v>887</v>
      </c>
      <c r="D307" s="23">
        <v>2</v>
      </c>
      <c r="E307" s="23">
        <v>2</v>
      </c>
      <c r="F307" s="23">
        <v>8</v>
      </c>
      <c r="G307" s="11">
        <v>4</v>
      </c>
      <c r="H307" s="23">
        <v>0</v>
      </c>
      <c r="I307" s="23">
        <v>-8</v>
      </c>
      <c r="J307" s="4">
        <v>250</v>
      </c>
      <c r="K307" s="4">
        <v>0</v>
      </c>
      <c r="L307" s="20">
        <f t="shared" si="4"/>
        <v>-12</v>
      </c>
    </row>
    <row r="308" spans="1:12" x14ac:dyDescent="0.25">
      <c r="A308" s="2" t="s">
        <v>433</v>
      </c>
      <c r="B308" s="2" t="s">
        <v>434</v>
      </c>
      <c r="C308" s="2" t="s">
        <v>636</v>
      </c>
      <c r="D308" s="23">
        <v>8</v>
      </c>
      <c r="E308" s="23">
        <v>4</v>
      </c>
      <c r="F308" s="23">
        <v>12</v>
      </c>
      <c r="G308" s="11">
        <v>5</v>
      </c>
      <c r="H308" s="23">
        <v>0</v>
      </c>
      <c r="I308" s="23">
        <v>-8</v>
      </c>
      <c r="J308" s="4">
        <v>1679.5300000000002</v>
      </c>
      <c r="K308" s="4">
        <v>0</v>
      </c>
      <c r="L308" s="20">
        <f t="shared" si="4"/>
        <v>-13</v>
      </c>
    </row>
    <row r="309" spans="1:12" x14ac:dyDescent="0.25">
      <c r="A309" s="2" t="s">
        <v>374</v>
      </c>
      <c r="B309" s="2" t="s">
        <v>375</v>
      </c>
      <c r="C309" s="2" t="s">
        <v>240</v>
      </c>
      <c r="D309" s="23">
        <v>34</v>
      </c>
      <c r="E309" s="23">
        <v>0</v>
      </c>
      <c r="F309" s="23">
        <v>42</v>
      </c>
      <c r="G309" s="11">
        <v>34</v>
      </c>
      <c r="H309" s="23">
        <v>0</v>
      </c>
      <c r="I309" s="23">
        <v>-8</v>
      </c>
      <c r="J309" s="4">
        <v>65</v>
      </c>
      <c r="K309" s="4">
        <v>0</v>
      </c>
      <c r="L309" s="20">
        <f t="shared" si="4"/>
        <v>-42</v>
      </c>
    </row>
    <row r="310" spans="1:12" x14ac:dyDescent="0.25">
      <c r="A310" s="2" t="s">
        <v>21</v>
      </c>
      <c r="B310" s="2" t="s">
        <v>22</v>
      </c>
      <c r="C310" s="2" t="s">
        <v>826</v>
      </c>
      <c r="D310" s="23">
        <v>92</v>
      </c>
      <c r="E310" s="23">
        <v>0</v>
      </c>
      <c r="F310" s="23">
        <v>100</v>
      </c>
      <c r="G310" s="11">
        <v>105.5</v>
      </c>
      <c r="H310" s="23">
        <v>0</v>
      </c>
      <c r="I310" s="23">
        <v>-8</v>
      </c>
      <c r="J310" s="4">
        <v>131.25</v>
      </c>
      <c r="K310" s="4">
        <v>0</v>
      </c>
      <c r="L310" s="20">
        <f t="shared" si="4"/>
        <v>-113.5</v>
      </c>
    </row>
    <row r="311" spans="1:12" x14ac:dyDescent="0.25">
      <c r="A311" s="2" t="s">
        <v>92</v>
      </c>
      <c r="B311" s="2" t="s">
        <v>93</v>
      </c>
      <c r="C311" s="2" t="s">
        <v>240</v>
      </c>
      <c r="D311" s="23">
        <v>97</v>
      </c>
      <c r="E311" s="23">
        <v>0</v>
      </c>
      <c r="F311" s="23">
        <v>105</v>
      </c>
      <c r="G311" s="11">
        <v>56</v>
      </c>
      <c r="H311" s="23">
        <v>0</v>
      </c>
      <c r="I311" s="23">
        <v>-8</v>
      </c>
      <c r="J311" s="4">
        <v>72.599999999999994</v>
      </c>
      <c r="K311" s="4">
        <v>0</v>
      </c>
      <c r="L311" s="20">
        <f t="shared" si="4"/>
        <v>-64</v>
      </c>
    </row>
    <row r="312" spans="1:12" x14ac:dyDescent="0.25">
      <c r="A312" s="2" t="s">
        <v>802</v>
      </c>
      <c r="B312" s="2" t="s">
        <v>822</v>
      </c>
      <c r="C312" s="2" t="s">
        <v>217</v>
      </c>
      <c r="D312" s="23">
        <v>19</v>
      </c>
      <c r="E312" s="23">
        <v>8</v>
      </c>
      <c r="F312" s="23">
        <v>20.5</v>
      </c>
      <c r="G312" s="11">
        <v>5</v>
      </c>
      <c r="H312" s="23">
        <v>0</v>
      </c>
      <c r="I312" s="23">
        <v>-9.5</v>
      </c>
      <c r="J312" s="4">
        <v>175</v>
      </c>
      <c r="K312" s="4">
        <v>0</v>
      </c>
      <c r="L312" s="20">
        <f t="shared" si="4"/>
        <v>-14.5</v>
      </c>
    </row>
    <row r="313" spans="1:12" x14ac:dyDescent="0.25">
      <c r="A313" s="2" t="s">
        <v>565</v>
      </c>
      <c r="B313" s="2" t="s">
        <v>566</v>
      </c>
      <c r="C313" s="2" t="s">
        <v>887</v>
      </c>
      <c r="D313" s="23">
        <v>16</v>
      </c>
      <c r="E313" s="23">
        <v>0</v>
      </c>
      <c r="F313" s="23">
        <v>26</v>
      </c>
      <c r="G313" s="11">
        <v>46</v>
      </c>
      <c r="H313" s="23">
        <v>0</v>
      </c>
      <c r="I313" s="23">
        <v>-10</v>
      </c>
      <c r="J313" s="4">
        <v>12</v>
      </c>
      <c r="K313" s="4">
        <v>0</v>
      </c>
      <c r="L313" s="20">
        <f t="shared" si="4"/>
        <v>-56</v>
      </c>
    </row>
    <row r="314" spans="1:12" x14ac:dyDescent="0.25">
      <c r="A314" s="2" t="s">
        <v>906</v>
      </c>
      <c r="B314" s="2" t="s">
        <v>907</v>
      </c>
      <c r="C314" s="2" t="s">
        <v>908</v>
      </c>
      <c r="D314" s="23">
        <v>6</v>
      </c>
      <c r="E314" s="23">
        <v>3</v>
      </c>
      <c r="F314" s="23">
        <v>13</v>
      </c>
      <c r="G314" s="11">
        <v>6</v>
      </c>
      <c r="H314" s="23">
        <v>0</v>
      </c>
      <c r="I314" s="23">
        <v>-10</v>
      </c>
      <c r="J314" s="4">
        <v>344.13999999999993</v>
      </c>
      <c r="K314" s="4">
        <v>0</v>
      </c>
      <c r="L314" s="20">
        <f t="shared" si="4"/>
        <v>-16</v>
      </c>
    </row>
    <row r="315" spans="1:12" x14ac:dyDescent="0.25">
      <c r="A315" s="2" t="s">
        <v>266</v>
      </c>
      <c r="B315" s="2" t="s">
        <v>267</v>
      </c>
      <c r="C315" s="2" t="s">
        <v>887</v>
      </c>
      <c r="D315" s="23">
        <v>20</v>
      </c>
      <c r="E315" s="23">
        <v>0</v>
      </c>
      <c r="F315" s="23">
        <v>30</v>
      </c>
      <c r="G315" s="11">
        <v>0</v>
      </c>
      <c r="H315" s="23">
        <v>0</v>
      </c>
      <c r="I315" s="23">
        <v>-10</v>
      </c>
      <c r="J315" s="4">
        <v>60</v>
      </c>
      <c r="K315" s="4">
        <v>0</v>
      </c>
      <c r="L315" s="20">
        <f t="shared" si="4"/>
        <v>-10</v>
      </c>
    </row>
    <row r="316" spans="1:12" x14ac:dyDescent="0.25">
      <c r="A316" s="2" t="s">
        <v>243</v>
      </c>
      <c r="B316" s="2" t="s">
        <v>244</v>
      </c>
      <c r="C316" s="2" t="s">
        <v>628</v>
      </c>
      <c r="D316" s="23">
        <v>17</v>
      </c>
      <c r="E316" s="23">
        <v>9</v>
      </c>
      <c r="F316" s="23">
        <v>18</v>
      </c>
      <c r="G316" s="11">
        <v>9</v>
      </c>
      <c r="H316" s="23">
        <v>0</v>
      </c>
      <c r="I316" s="23">
        <v>-10</v>
      </c>
      <c r="J316" s="4">
        <v>60</v>
      </c>
      <c r="K316" s="4">
        <v>0</v>
      </c>
      <c r="L316" s="20">
        <f t="shared" si="4"/>
        <v>-19</v>
      </c>
    </row>
    <row r="317" spans="1:12" x14ac:dyDescent="0.25">
      <c r="A317" s="2" t="s">
        <v>996</v>
      </c>
      <c r="B317" s="2" t="s">
        <v>997</v>
      </c>
      <c r="C317" s="2" t="s">
        <v>251</v>
      </c>
      <c r="D317" s="23">
        <v>2</v>
      </c>
      <c r="E317" s="23">
        <v>2</v>
      </c>
      <c r="F317" s="23">
        <v>10</v>
      </c>
      <c r="G317" s="11">
        <v>2</v>
      </c>
      <c r="H317" s="23">
        <v>0</v>
      </c>
      <c r="I317" s="23">
        <v>-10</v>
      </c>
      <c r="J317" s="4">
        <v>3400</v>
      </c>
      <c r="K317" s="4">
        <v>0</v>
      </c>
      <c r="L317" s="20">
        <f t="shared" si="4"/>
        <v>-12</v>
      </c>
    </row>
    <row r="318" spans="1:12" x14ac:dyDescent="0.25">
      <c r="A318" s="2" t="s">
        <v>577</v>
      </c>
      <c r="B318" s="2" t="s">
        <v>578</v>
      </c>
      <c r="C318" s="2" t="s">
        <v>490</v>
      </c>
      <c r="D318" s="23">
        <v>1.9999999999999998</v>
      </c>
      <c r="E318" s="23">
        <v>0.2</v>
      </c>
      <c r="F318" s="23">
        <v>12</v>
      </c>
      <c r="G318" s="11">
        <v>1.2000000000000011</v>
      </c>
      <c r="H318" s="23">
        <v>0</v>
      </c>
      <c r="I318" s="23">
        <v>-10.200000000000001</v>
      </c>
      <c r="J318" s="4">
        <v>221.8</v>
      </c>
      <c r="K318" s="4">
        <v>0</v>
      </c>
      <c r="L318" s="20">
        <f t="shared" si="4"/>
        <v>-11.4</v>
      </c>
    </row>
    <row r="319" spans="1:12" x14ac:dyDescent="0.25">
      <c r="A319" s="2" t="s">
        <v>526</v>
      </c>
      <c r="B319" s="2" t="s">
        <v>527</v>
      </c>
      <c r="C319" s="2" t="s">
        <v>254</v>
      </c>
      <c r="D319" s="23">
        <v>9.6</v>
      </c>
      <c r="E319" s="23">
        <v>0</v>
      </c>
      <c r="F319" s="23">
        <v>20</v>
      </c>
      <c r="G319" s="11">
        <v>0</v>
      </c>
      <c r="H319" s="23">
        <v>0</v>
      </c>
      <c r="I319" s="23">
        <v>-10.400000000000002</v>
      </c>
      <c r="J319" s="4">
        <v>38.329999999999991</v>
      </c>
      <c r="K319" s="4">
        <v>0</v>
      </c>
      <c r="L319" s="20">
        <f t="shared" si="4"/>
        <v>-10.4</v>
      </c>
    </row>
    <row r="320" spans="1:12" x14ac:dyDescent="0.25">
      <c r="A320" s="2" t="s">
        <v>550</v>
      </c>
      <c r="B320" s="2" t="s">
        <v>551</v>
      </c>
      <c r="C320" s="2" t="s">
        <v>490</v>
      </c>
      <c r="D320" s="23">
        <v>36</v>
      </c>
      <c r="E320" s="23">
        <v>12</v>
      </c>
      <c r="F320" s="23">
        <v>35</v>
      </c>
      <c r="G320" s="11">
        <v>14</v>
      </c>
      <c r="H320" s="23">
        <v>0</v>
      </c>
      <c r="I320" s="23">
        <v>-11</v>
      </c>
      <c r="J320" s="4">
        <v>43.75</v>
      </c>
      <c r="K320" s="4">
        <v>0</v>
      </c>
      <c r="L320" s="20">
        <f t="shared" si="4"/>
        <v>-25</v>
      </c>
    </row>
    <row r="321" spans="1:12" x14ac:dyDescent="0.25">
      <c r="A321" s="2" t="s">
        <v>441</v>
      </c>
      <c r="B321" s="2" t="s">
        <v>442</v>
      </c>
      <c r="C321" s="2" t="s">
        <v>636</v>
      </c>
      <c r="D321" s="23">
        <v>16</v>
      </c>
      <c r="E321" s="23">
        <v>4</v>
      </c>
      <c r="F321" s="23">
        <v>23</v>
      </c>
      <c r="G321" s="11">
        <v>5</v>
      </c>
      <c r="H321" s="23">
        <v>0</v>
      </c>
      <c r="I321" s="23">
        <v>-11</v>
      </c>
      <c r="J321" s="4">
        <v>360.18999999999988</v>
      </c>
      <c r="K321" s="4">
        <v>0</v>
      </c>
      <c r="L321" s="20">
        <f t="shared" si="4"/>
        <v>-16</v>
      </c>
    </row>
    <row r="322" spans="1:12" x14ac:dyDescent="0.25">
      <c r="A322" s="2" t="s">
        <v>329</v>
      </c>
      <c r="B322" s="2" t="s">
        <v>330</v>
      </c>
      <c r="C322" s="2" t="s">
        <v>240</v>
      </c>
      <c r="D322" s="23">
        <v>107</v>
      </c>
      <c r="E322" s="23">
        <v>0</v>
      </c>
      <c r="F322" s="23">
        <v>118</v>
      </c>
      <c r="G322" s="11">
        <v>18</v>
      </c>
      <c r="H322" s="23">
        <v>0</v>
      </c>
      <c r="I322" s="23">
        <v>-11</v>
      </c>
      <c r="J322" s="4">
        <v>14.5</v>
      </c>
      <c r="K322" s="4">
        <v>0</v>
      </c>
      <c r="L322" s="20">
        <f t="shared" si="4"/>
        <v>-29</v>
      </c>
    </row>
    <row r="323" spans="1:12" x14ac:dyDescent="0.25">
      <c r="A323" s="2" t="s">
        <v>9</v>
      </c>
      <c r="B323" s="2" t="s">
        <v>10</v>
      </c>
      <c r="C323" s="2" t="s">
        <v>227</v>
      </c>
      <c r="D323" s="23">
        <v>56</v>
      </c>
      <c r="E323" s="23">
        <v>28</v>
      </c>
      <c r="F323" s="23">
        <v>39</v>
      </c>
      <c r="G323" s="11">
        <v>32</v>
      </c>
      <c r="H323" s="23">
        <v>0</v>
      </c>
      <c r="I323" s="23">
        <v>-11</v>
      </c>
      <c r="J323" s="4">
        <v>73.350000000000009</v>
      </c>
      <c r="K323" s="4">
        <v>0</v>
      </c>
      <c r="L323" s="20">
        <f t="shared" si="4"/>
        <v>-43</v>
      </c>
    </row>
    <row r="324" spans="1:12" x14ac:dyDescent="0.25">
      <c r="A324" s="2" t="s">
        <v>879</v>
      </c>
      <c r="B324" s="2" t="s">
        <v>880</v>
      </c>
      <c r="C324" s="2" t="s">
        <v>881</v>
      </c>
      <c r="D324" s="23">
        <v>20</v>
      </c>
      <c r="E324" s="23">
        <v>8</v>
      </c>
      <c r="F324" s="23">
        <v>9</v>
      </c>
      <c r="G324" s="11">
        <v>8</v>
      </c>
      <c r="H324" s="23">
        <v>15</v>
      </c>
      <c r="I324" s="23">
        <v>-12</v>
      </c>
      <c r="J324" s="4">
        <v>776.14999999999975</v>
      </c>
      <c r="K324" s="4">
        <v>0</v>
      </c>
      <c r="L324" s="20">
        <f t="shared" si="4"/>
        <v>-20</v>
      </c>
    </row>
    <row r="325" spans="1:12" x14ac:dyDescent="0.25">
      <c r="A325" s="2" t="s">
        <v>437</v>
      </c>
      <c r="B325" s="2" t="s">
        <v>438</v>
      </c>
      <c r="C325" s="2" t="s">
        <v>636</v>
      </c>
      <c r="D325" s="23">
        <v>16</v>
      </c>
      <c r="E325" s="23">
        <v>4</v>
      </c>
      <c r="F325" s="23">
        <v>24</v>
      </c>
      <c r="G325" s="11">
        <v>5</v>
      </c>
      <c r="H325" s="23">
        <v>0</v>
      </c>
      <c r="I325" s="23">
        <v>-12</v>
      </c>
      <c r="J325" s="4">
        <v>360.18999999999988</v>
      </c>
      <c r="K325" s="4">
        <v>0</v>
      </c>
      <c r="L325" s="20">
        <f t="shared" si="4"/>
        <v>-17</v>
      </c>
    </row>
    <row r="326" spans="1:12" x14ac:dyDescent="0.25">
      <c r="A326" s="2" t="s">
        <v>1035</v>
      </c>
      <c r="B326" s="2" t="s">
        <v>1036</v>
      </c>
      <c r="C326" s="2" t="s">
        <v>821</v>
      </c>
      <c r="D326" s="23">
        <v>11</v>
      </c>
      <c r="E326" s="23">
        <v>4</v>
      </c>
      <c r="F326" s="23">
        <v>19</v>
      </c>
      <c r="G326" s="11">
        <v>4</v>
      </c>
      <c r="H326" s="23">
        <v>0</v>
      </c>
      <c r="I326" s="23">
        <v>-12</v>
      </c>
      <c r="J326" s="4">
        <v>85</v>
      </c>
      <c r="K326" s="4">
        <v>0</v>
      </c>
      <c r="L326" s="20">
        <f t="shared" si="4"/>
        <v>-16</v>
      </c>
    </row>
    <row r="327" spans="1:12" x14ac:dyDescent="0.25">
      <c r="A327" s="2" t="s">
        <v>406</v>
      </c>
      <c r="B327" s="2" t="s">
        <v>407</v>
      </c>
      <c r="C327" s="2" t="s">
        <v>826</v>
      </c>
      <c r="D327" s="23">
        <v>26</v>
      </c>
      <c r="E327" s="23">
        <v>4</v>
      </c>
      <c r="F327" s="23">
        <v>34</v>
      </c>
      <c r="G327" s="11">
        <v>62</v>
      </c>
      <c r="H327" s="23">
        <v>0</v>
      </c>
      <c r="I327" s="23">
        <v>-12</v>
      </c>
      <c r="J327" s="4">
        <v>19.069999999999997</v>
      </c>
      <c r="K327" s="4">
        <v>0</v>
      </c>
      <c r="L327" s="20">
        <f t="shared" si="4"/>
        <v>-74</v>
      </c>
    </row>
    <row r="328" spans="1:12" x14ac:dyDescent="0.25">
      <c r="A328" s="2" t="s">
        <v>1005</v>
      </c>
      <c r="B328" s="2" t="s">
        <v>1006</v>
      </c>
      <c r="C328" s="2" t="s">
        <v>1007</v>
      </c>
      <c r="D328" s="23">
        <v>2</v>
      </c>
      <c r="E328" s="23">
        <v>2</v>
      </c>
      <c r="F328" s="23">
        <v>12</v>
      </c>
      <c r="G328" s="11">
        <v>4</v>
      </c>
      <c r="H328" s="23">
        <v>0</v>
      </c>
      <c r="I328" s="23">
        <v>-12</v>
      </c>
      <c r="J328" s="4">
        <v>57.06</v>
      </c>
      <c r="K328" s="4">
        <v>0</v>
      </c>
      <c r="L328" s="20">
        <f t="shared" si="4"/>
        <v>-16</v>
      </c>
    </row>
    <row r="329" spans="1:12" x14ac:dyDescent="0.25">
      <c r="A329" s="2" t="s">
        <v>689</v>
      </c>
      <c r="B329" s="2" t="s">
        <v>690</v>
      </c>
      <c r="C329" s="2" t="s">
        <v>691</v>
      </c>
      <c r="D329" s="23">
        <v>16</v>
      </c>
      <c r="E329" s="23">
        <v>5</v>
      </c>
      <c r="F329" s="23">
        <v>23</v>
      </c>
      <c r="G329" s="11">
        <v>5</v>
      </c>
      <c r="H329" s="23">
        <v>0</v>
      </c>
      <c r="I329" s="23">
        <v>-12</v>
      </c>
      <c r="J329" s="4">
        <v>871.93000000000018</v>
      </c>
      <c r="K329" s="4">
        <v>0</v>
      </c>
      <c r="L329" s="20">
        <f t="shared" si="4"/>
        <v>-17</v>
      </c>
    </row>
    <row r="330" spans="1:12" x14ac:dyDescent="0.25">
      <c r="A330" s="2" t="s">
        <v>772</v>
      </c>
      <c r="B330" s="2" t="s">
        <v>773</v>
      </c>
      <c r="C330" s="2" t="s">
        <v>247</v>
      </c>
      <c r="D330" s="23">
        <v>72</v>
      </c>
      <c r="E330" s="23">
        <v>28</v>
      </c>
      <c r="F330" s="23">
        <v>56.5</v>
      </c>
      <c r="G330" s="11">
        <v>26</v>
      </c>
      <c r="H330" s="23">
        <v>0</v>
      </c>
      <c r="I330" s="23">
        <v>-12.5</v>
      </c>
      <c r="J330" s="4">
        <v>200</v>
      </c>
      <c r="K330" s="4">
        <v>0</v>
      </c>
      <c r="L330" s="20">
        <f t="shared" si="4"/>
        <v>-38.5</v>
      </c>
    </row>
    <row r="331" spans="1:12" x14ac:dyDescent="0.25">
      <c r="A331" s="2" t="s">
        <v>443</v>
      </c>
      <c r="B331" s="2" t="s">
        <v>444</v>
      </c>
      <c r="C331" s="2" t="s">
        <v>636</v>
      </c>
      <c r="D331" s="23">
        <v>16</v>
      </c>
      <c r="E331" s="23">
        <v>4</v>
      </c>
      <c r="F331" s="23">
        <v>25</v>
      </c>
      <c r="G331" s="11">
        <v>5</v>
      </c>
      <c r="H331" s="23">
        <v>0</v>
      </c>
      <c r="I331" s="23">
        <v>-13</v>
      </c>
      <c r="J331" s="4">
        <v>373.06000000000012</v>
      </c>
      <c r="K331" s="4">
        <v>0</v>
      </c>
      <c r="L331" s="20">
        <f t="shared" si="4"/>
        <v>-18</v>
      </c>
    </row>
    <row r="332" spans="1:12" x14ac:dyDescent="0.25">
      <c r="A332" s="2" t="s">
        <v>848</v>
      </c>
      <c r="B332" s="2" t="s">
        <v>849</v>
      </c>
      <c r="C332" s="2" t="s">
        <v>1135</v>
      </c>
      <c r="D332" s="23">
        <v>9</v>
      </c>
      <c r="E332" s="23">
        <v>0</v>
      </c>
      <c r="F332" s="23">
        <v>22</v>
      </c>
      <c r="G332" s="11">
        <v>18</v>
      </c>
      <c r="H332" s="23">
        <v>0</v>
      </c>
      <c r="I332" s="23">
        <v>-13</v>
      </c>
      <c r="J332" s="4">
        <v>19.600000000000001</v>
      </c>
      <c r="K332" s="4">
        <v>0</v>
      </c>
      <c r="L332" s="20">
        <f t="shared" si="4"/>
        <v>-31</v>
      </c>
    </row>
    <row r="333" spans="1:12" x14ac:dyDescent="0.25">
      <c r="A333" s="2" t="s">
        <v>597</v>
      </c>
      <c r="B333" s="2" t="s">
        <v>598</v>
      </c>
      <c r="C333" s="2" t="s">
        <v>636</v>
      </c>
      <c r="D333" s="23">
        <v>24</v>
      </c>
      <c r="E333" s="23">
        <v>8</v>
      </c>
      <c r="F333" s="23">
        <v>29</v>
      </c>
      <c r="G333" s="11">
        <v>9</v>
      </c>
      <c r="H333" s="23">
        <v>0</v>
      </c>
      <c r="I333" s="23">
        <v>-13</v>
      </c>
      <c r="J333" s="4">
        <v>355.05000000000013</v>
      </c>
      <c r="K333" s="4">
        <v>0</v>
      </c>
      <c r="L333" s="20">
        <f t="shared" ref="L333:L396" si="5">D333-E333-F333-G333-H333</f>
        <v>-22</v>
      </c>
    </row>
    <row r="334" spans="1:12" x14ac:dyDescent="0.25">
      <c r="A334" s="2" t="s">
        <v>382</v>
      </c>
      <c r="B334" s="2" t="s">
        <v>383</v>
      </c>
      <c r="C334" s="2" t="s">
        <v>240</v>
      </c>
      <c r="D334" s="23">
        <v>19</v>
      </c>
      <c r="E334" s="23">
        <v>0</v>
      </c>
      <c r="F334" s="23">
        <v>32</v>
      </c>
      <c r="G334" s="11">
        <v>22</v>
      </c>
      <c r="H334" s="23">
        <v>0</v>
      </c>
      <c r="I334" s="23">
        <v>-13</v>
      </c>
      <c r="J334" s="4">
        <v>34</v>
      </c>
      <c r="K334" s="4">
        <v>0</v>
      </c>
      <c r="L334" s="20">
        <f t="shared" si="5"/>
        <v>-35</v>
      </c>
    </row>
    <row r="335" spans="1:12" x14ac:dyDescent="0.25">
      <c r="A335" s="2" t="s">
        <v>237</v>
      </c>
      <c r="B335" s="2" t="s">
        <v>306</v>
      </c>
      <c r="C335" s="2" t="s">
        <v>826</v>
      </c>
      <c r="D335" s="23">
        <v>38</v>
      </c>
      <c r="E335" s="23">
        <v>14</v>
      </c>
      <c r="F335" s="23">
        <v>37</v>
      </c>
      <c r="G335" s="11">
        <v>20</v>
      </c>
      <c r="H335" s="23">
        <v>0</v>
      </c>
      <c r="I335" s="23">
        <v>-13</v>
      </c>
      <c r="J335" s="4">
        <v>45.299999999999983</v>
      </c>
      <c r="K335" s="4">
        <v>0</v>
      </c>
      <c r="L335" s="20">
        <f t="shared" si="5"/>
        <v>-33</v>
      </c>
    </row>
    <row r="336" spans="1:12" x14ac:dyDescent="0.25">
      <c r="A336" s="2" t="s">
        <v>593</v>
      </c>
      <c r="B336" s="2" t="s">
        <v>594</v>
      </c>
      <c r="C336" s="2" t="s">
        <v>1034</v>
      </c>
      <c r="D336" s="23">
        <v>44</v>
      </c>
      <c r="E336" s="23">
        <v>12</v>
      </c>
      <c r="F336" s="23">
        <v>46</v>
      </c>
      <c r="G336" s="11">
        <v>12</v>
      </c>
      <c r="H336" s="23">
        <v>0</v>
      </c>
      <c r="I336" s="23">
        <v>-14</v>
      </c>
      <c r="J336" s="4">
        <v>100</v>
      </c>
      <c r="K336" s="4">
        <v>0</v>
      </c>
      <c r="L336" s="20">
        <f t="shared" si="5"/>
        <v>-26</v>
      </c>
    </row>
    <row r="337" spans="1:12" x14ac:dyDescent="0.25">
      <c r="A337" s="2" t="s">
        <v>1084</v>
      </c>
      <c r="B337" s="2" t="s">
        <v>1085</v>
      </c>
      <c r="C337" s="2" t="s">
        <v>217</v>
      </c>
      <c r="D337" s="23">
        <v>34</v>
      </c>
      <c r="E337" s="23">
        <v>16</v>
      </c>
      <c r="F337" s="23">
        <v>12</v>
      </c>
      <c r="G337" s="11">
        <v>18</v>
      </c>
      <c r="H337" s="23">
        <v>20</v>
      </c>
      <c r="I337" s="23">
        <v>-14</v>
      </c>
      <c r="J337" s="4">
        <v>194</v>
      </c>
      <c r="K337" s="4">
        <v>0</v>
      </c>
      <c r="L337" s="20">
        <f t="shared" si="5"/>
        <v>-32</v>
      </c>
    </row>
    <row r="338" spans="1:12" x14ac:dyDescent="0.25">
      <c r="A338" s="2" t="s">
        <v>1181</v>
      </c>
      <c r="B338" s="2" t="s">
        <v>1182</v>
      </c>
      <c r="C338" s="2" t="s">
        <v>1183</v>
      </c>
      <c r="D338" s="23">
        <v>1</v>
      </c>
      <c r="E338" s="23">
        <v>1</v>
      </c>
      <c r="F338" s="23">
        <v>14</v>
      </c>
      <c r="G338" s="11">
        <v>1</v>
      </c>
      <c r="H338" s="23">
        <v>0</v>
      </c>
      <c r="I338" s="23">
        <v>-14</v>
      </c>
      <c r="J338" s="4">
        <v>762.72</v>
      </c>
      <c r="K338" s="4">
        <v>0</v>
      </c>
      <c r="L338" s="20">
        <f t="shared" si="5"/>
        <v>-15</v>
      </c>
    </row>
    <row r="339" spans="1:12" x14ac:dyDescent="0.25">
      <c r="A339" s="2" t="s">
        <v>255</v>
      </c>
      <c r="B339" s="2" t="s">
        <v>309</v>
      </c>
      <c r="C339" s="2" t="s">
        <v>826</v>
      </c>
      <c r="D339" s="23">
        <v>38</v>
      </c>
      <c r="E339" s="23">
        <v>14</v>
      </c>
      <c r="F339" s="23">
        <v>38</v>
      </c>
      <c r="G339" s="11">
        <v>20</v>
      </c>
      <c r="H339" s="23">
        <v>0</v>
      </c>
      <c r="I339" s="23">
        <v>-14</v>
      </c>
      <c r="J339" s="4">
        <v>55</v>
      </c>
      <c r="K339" s="4">
        <v>0</v>
      </c>
      <c r="L339" s="20">
        <f t="shared" si="5"/>
        <v>-34</v>
      </c>
    </row>
    <row r="340" spans="1:12" x14ac:dyDescent="0.25">
      <c r="A340" s="18" t="s">
        <v>378</v>
      </c>
      <c r="B340" s="18" t="s">
        <v>379</v>
      </c>
      <c r="C340" s="18" t="s">
        <v>240</v>
      </c>
      <c r="D340" s="24">
        <v>35</v>
      </c>
      <c r="E340" s="24">
        <v>0</v>
      </c>
      <c r="F340" s="24">
        <v>50</v>
      </c>
      <c r="G340" s="21">
        <v>33</v>
      </c>
      <c r="H340" s="24">
        <v>0</v>
      </c>
      <c r="I340" s="24">
        <v>-15</v>
      </c>
      <c r="J340" s="22">
        <v>72.599999999999994</v>
      </c>
      <c r="K340" s="22">
        <v>0</v>
      </c>
      <c r="L340" s="20">
        <f t="shared" si="5"/>
        <v>-48</v>
      </c>
    </row>
    <row r="341" spans="1:12" x14ac:dyDescent="0.25">
      <c r="A341" s="2" t="s">
        <v>402</v>
      </c>
      <c r="B341" s="2" t="s">
        <v>403</v>
      </c>
      <c r="C341" s="2" t="s">
        <v>220</v>
      </c>
      <c r="D341" s="23">
        <v>20</v>
      </c>
      <c r="E341" s="23">
        <v>11</v>
      </c>
      <c r="F341" s="23">
        <v>24</v>
      </c>
      <c r="G341" s="11">
        <v>14</v>
      </c>
      <c r="H341" s="23">
        <v>0</v>
      </c>
      <c r="I341" s="23">
        <v>-15</v>
      </c>
      <c r="J341" s="4">
        <v>15</v>
      </c>
      <c r="K341" s="4">
        <v>0</v>
      </c>
      <c r="L341" s="20">
        <f t="shared" si="5"/>
        <v>-29</v>
      </c>
    </row>
    <row r="342" spans="1:12" x14ac:dyDescent="0.25">
      <c r="A342" s="2" t="s">
        <v>571</v>
      </c>
      <c r="B342" s="2" t="s">
        <v>572</v>
      </c>
      <c r="C342" s="2" t="s">
        <v>887</v>
      </c>
      <c r="D342" s="23">
        <v>34.799999999999997</v>
      </c>
      <c r="E342" s="23">
        <v>0</v>
      </c>
      <c r="F342" s="23">
        <v>50</v>
      </c>
      <c r="G342" s="11">
        <v>-1.4210854715202004E-14</v>
      </c>
      <c r="H342" s="23">
        <v>0</v>
      </c>
      <c r="I342" s="23">
        <v>-15.199999999999998</v>
      </c>
      <c r="J342" s="4">
        <v>11</v>
      </c>
      <c r="K342" s="4">
        <v>0</v>
      </c>
      <c r="L342" s="20">
        <f t="shared" si="5"/>
        <v>-15.199999999999989</v>
      </c>
    </row>
    <row r="343" spans="1:12" x14ac:dyDescent="0.25">
      <c r="A343" s="2" t="s">
        <v>790</v>
      </c>
      <c r="B343" s="2" t="s">
        <v>828</v>
      </c>
      <c r="C343" s="2" t="s">
        <v>791</v>
      </c>
      <c r="D343" s="23">
        <v>84</v>
      </c>
      <c r="E343" s="23">
        <v>0</v>
      </c>
      <c r="F343" s="23">
        <v>100</v>
      </c>
      <c r="G343" s="11">
        <v>50</v>
      </c>
      <c r="H343" s="23">
        <v>0</v>
      </c>
      <c r="I343" s="23">
        <v>-16</v>
      </c>
      <c r="J343" s="4">
        <v>46</v>
      </c>
      <c r="K343" s="4">
        <v>0</v>
      </c>
      <c r="L343" s="20">
        <f t="shared" si="5"/>
        <v>-66</v>
      </c>
    </row>
    <row r="344" spans="1:12" x14ac:dyDescent="0.25">
      <c r="A344" s="2" t="s">
        <v>439</v>
      </c>
      <c r="B344" s="2" t="s">
        <v>440</v>
      </c>
      <c r="C344" s="2" t="s">
        <v>636</v>
      </c>
      <c r="D344" s="23">
        <v>16</v>
      </c>
      <c r="E344" s="23">
        <v>4</v>
      </c>
      <c r="F344" s="23">
        <v>28</v>
      </c>
      <c r="G344" s="11">
        <v>5</v>
      </c>
      <c r="H344" s="23">
        <v>0</v>
      </c>
      <c r="I344" s="23">
        <v>-16</v>
      </c>
      <c r="J344" s="4">
        <v>373.06000000000012</v>
      </c>
      <c r="K344" s="4">
        <v>0</v>
      </c>
      <c r="L344" s="20">
        <f t="shared" si="5"/>
        <v>-21</v>
      </c>
    </row>
    <row r="345" spans="1:12" x14ac:dyDescent="0.25">
      <c r="A345" s="2" t="s">
        <v>929</v>
      </c>
      <c r="B345" s="2" t="s">
        <v>930</v>
      </c>
      <c r="C345" s="2" t="s">
        <v>931</v>
      </c>
      <c r="D345" s="23">
        <v>9</v>
      </c>
      <c r="E345" s="23">
        <v>9</v>
      </c>
      <c r="F345" s="23">
        <v>16</v>
      </c>
      <c r="G345" s="11">
        <v>9</v>
      </c>
      <c r="H345" s="23">
        <v>0</v>
      </c>
      <c r="I345" s="23">
        <v>-16</v>
      </c>
      <c r="J345" s="4">
        <v>110</v>
      </c>
      <c r="K345" s="4">
        <v>0</v>
      </c>
      <c r="L345" s="20">
        <f t="shared" si="5"/>
        <v>-25</v>
      </c>
    </row>
    <row r="346" spans="1:12" x14ac:dyDescent="0.25">
      <c r="A346" s="2" t="s">
        <v>542</v>
      </c>
      <c r="B346" s="2" t="s">
        <v>543</v>
      </c>
      <c r="C346" s="2" t="s">
        <v>1020</v>
      </c>
      <c r="D346" s="23">
        <v>1</v>
      </c>
      <c r="E346" s="23">
        <v>0</v>
      </c>
      <c r="F346" s="23">
        <v>18</v>
      </c>
      <c r="G346" s="11">
        <v>28</v>
      </c>
      <c r="H346" s="23">
        <v>0</v>
      </c>
      <c r="I346" s="23">
        <v>-17</v>
      </c>
      <c r="J346" s="4">
        <v>2</v>
      </c>
      <c r="K346" s="4">
        <v>0</v>
      </c>
      <c r="L346" s="20">
        <f t="shared" si="5"/>
        <v>-45</v>
      </c>
    </row>
    <row r="347" spans="1:12" x14ac:dyDescent="0.25">
      <c r="A347" s="2" t="s">
        <v>873</v>
      </c>
      <c r="B347" s="2" t="s">
        <v>874</v>
      </c>
      <c r="C347" s="2" t="s">
        <v>872</v>
      </c>
      <c r="D347" s="23">
        <v>3</v>
      </c>
      <c r="E347" s="23">
        <v>3</v>
      </c>
      <c r="F347" s="23">
        <v>5</v>
      </c>
      <c r="G347" s="11">
        <v>6</v>
      </c>
      <c r="H347" s="23">
        <v>12</v>
      </c>
      <c r="I347" s="23">
        <v>-17</v>
      </c>
      <c r="J347" s="4">
        <v>14305.4</v>
      </c>
      <c r="K347" s="4">
        <v>0</v>
      </c>
      <c r="L347" s="20">
        <f t="shared" si="5"/>
        <v>-23</v>
      </c>
    </row>
    <row r="348" spans="1:12" x14ac:dyDescent="0.25">
      <c r="A348" s="2" t="s">
        <v>994</v>
      </c>
      <c r="B348" s="2" t="s">
        <v>995</v>
      </c>
      <c r="C348" s="2" t="s">
        <v>667</v>
      </c>
      <c r="D348" s="23">
        <v>2</v>
      </c>
      <c r="E348" s="23">
        <v>2</v>
      </c>
      <c r="F348" s="23">
        <v>17</v>
      </c>
      <c r="G348" s="11">
        <v>4</v>
      </c>
      <c r="H348" s="23">
        <v>0</v>
      </c>
      <c r="I348" s="23">
        <v>-17</v>
      </c>
      <c r="J348" s="4">
        <v>117.85</v>
      </c>
      <c r="K348" s="4">
        <v>0</v>
      </c>
      <c r="L348" s="20">
        <f t="shared" si="5"/>
        <v>-21</v>
      </c>
    </row>
    <row r="349" spans="1:12" x14ac:dyDescent="0.25">
      <c r="A349" s="2" t="s">
        <v>618</v>
      </c>
      <c r="B349" s="2" t="s">
        <v>827</v>
      </c>
      <c r="C349" s="2" t="s">
        <v>821</v>
      </c>
      <c r="D349" s="23">
        <v>20</v>
      </c>
      <c r="E349" s="23">
        <v>0</v>
      </c>
      <c r="F349" s="23">
        <v>37</v>
      </c>
      <c r="G349" s="11">
        <v>2</v>
      </c>
      <c r="H349" s="23">
        <v>0</v>
      </c>
      <c r="I349" s="23">
        <v>-17</v>
      </c>
      <c r="J349" s="4">
        <v>82.59999999999998</v>
      </c>
      <c r="K349" s="4">
        <v>0</v>
      </c>
      <c r="L349" s="20">
        <f t="shared" si="5"/>
        <v>-19</v>
      </c>
    </row>
    <row r="350" spans="1:12" x14ac:dyDescent="0.25">
      <c r="A350" s="2" t="s">
        <v>76</v>
      </c>
      <c r="B350" s="2" t="s">
        <v>77</v>
      </c>
      <c r="C350" s="2" t="s">
        <v>1152</v>
      </c>
      <c r="D350" s="23">
        <v>68</v>
      </c>
      <c r="E350" s="23">
        <v>0</v>
      </c>
      <c r="F350" s="23">
        <v>85</v>
      </c>
      <c r="G350" s="11">
        <v>31</v>
      </c>
      <c r="H350" s="23">
        <v>0</v>
      </c>
      <c r="I350" s="23">
        <v>-17</v>
      </c>
      <c r="J350" s="4">
        <v>120</v>
      </c>
      <c r="K350" s="4">
        <v>0</v>
      </c>
      <c r="L350" s="20">
        <f t="shared" si="5"/>
        <v>-48</v>
      </c>
    </row>
    <row r="351" spans="1:12" x14ac:dyDescent="0.25">
      <c r="A351" s="2" t="s">
        <v>26</v>
      </c>
      <c r="B351" s="2" t="s">
        <v>27</v>
      </c>
      <c r="C351" s="2" t="s">
        <v>887</v>
      </c>
      <c r="D351" s="23">
        <v>11</v>
      </c>
      <c r="E351" s="23">
        <v>4</v>
      </c>
      <c r="F351" s="23">
        <v>24</v>
      </c>
      <c r="G351" s="11">
        <v>4</v>
      </c>
      <c r="H351" s="23">
        <v>0</v>
      </c>
      <c r="I351" s="23">
        <v>-17</v>
      </c>
      <c r="J351" s="4">
        <v>625</v>
      </c>
      <c r="K351" s="4">
        <v>0</v>
      </c>
      <c r="L351" s="20">
        <f t="shared" si="5"/>
        <v>-21</v>
      </c>
    </row>
    <row r="352" spans="1:12" x14ac:dyDescent="0.25">
      <c r="A352" s="2" t="s">
        <v>101</v>
      </c>
      <c r="B352" s="2" t="s">
        <v>102</v>
      </c>
      <c r="C352" s="2" t="s">
        <v>240</v>
      </c>
      <c r="D352" s="23">
        <v>75.059999999999988</v>
      </c>
      <c r="E352" s="23">
        <v>26.150000000000002</v>
      </c>
      <c r="F352" s="23">
        <v>66</v>
      </c>
      <c r="G352" s="11">
        <v>36.349999999999987</v>
      </c>
      <c r="H352" s="23">
        <v>0</v>
      </c>
      <c r="I352" s="23">
        <v>-17.090000000000025</v>
      </c>
      <c r="J352" s="4">
        <v>129.63000000000005</v>
      </c>
      <c r="K352" s="4">
        <v>0</v>
      </c>
      <c r="L352" s="20">
        <f t="shared" si="5"/>
        <v>-53.440000000000005</v>
      </c>
    </row>
    <row r="353" spans="1:12" x14ac:dyDescent="0.25">
      <c r="A353" s="2" t="s">
        <v>400</v>
      </c>
      <c r="B353" s="2" t="s">
        <v>401</v>
      </c>
      <c r="C353" s="2" t="s">
        <v>220</v>
      </c>
      <c r="D353" s="23">
        <v>20</v>
      </c>
      <c r="E353" s="23">
        <v>11</v>
      </c>
      <c r="F353" s="23">
        <v>27</v>
      </c>
      <c r="G353" s="11">
        <v>14</v>
      </c>
      <c r="H353" s="23">
        <v>0</v>
      </c>
      <c r="I353" s="23">
        <v>-18</v>
      </c>
      <c r="J353" s="4">
        <v>15</v>
      </c>
      <c r="K353" s="4">
        <v>0</v>
      </c>
      <c r="L353" s="20">
        <f t="shared" si="5"/>
        <v>-32</v>
      </c>
    </row>
    <row r="354" spans="1:12" x14ac:dyDescent="0.25">
      <c r="A354" s="2" t="s">
        <v>84</v>
      </c>
      <c r="B354" s="2" t="s">
        <v>85</v>
      </c>
      <c r="C354" s="2" t="s">
        <v>247</v>
      </c>
      <c r="D354" s="23">
        <v>38</v>
      </c>
      <c r="E354" s="23">
        <v>16</v>
      </c>
      <c r="F354" s="23">
        <v>40</v>
      </c>
      <c r="G354" s="11">
        <v>16</v>
      </c>
      <c r="H354" s="23">
        <v>0</v>
      </c>
      <c r="I354" s="23">
        <v>-18</v>
      </c>
      <c r="J354" s="4">
        <v>375</v>
      </c>
      <c r="K354" s="4">
        <v>0</v>
      </c>
      <c r="L354" s="20">
        <f t="shared" si="5"/>
        <v>-34</v>
      </c>
    </row>
    <row r="355" spans="1:12" x14ac:dyDescent="0.25">
      <c r="A355" s="2" t="s">
        <v>614</v>
      </c>
      <c r="B355" s="2" t="s">
        <v>615</v>
      </c>
      <c r="C355" s="2" t="s">
        <v>253</v>
      </c>
      <c r="D355" s="23">
        <v>20.5</v>
      </c>
      <c r="E355" s="23">
        <v>0</v>
      </c>
      <c r="F355" s="23">
        <v>39</v>
      </c>
      <c r="G355" s="11">
        <v>40.000000000000007</v>
      </c>
      <c r="H355" s="23">
        <v>0</v>
      </c>
      <c r="I355" s="23">
        <v>-18.5</v>
      </c>
      <c r="J355" s="4">
        <v>212.92999999999992</v>
      </c>
      <c r="K355" s="4">
        <v>0</v>
      </c>
      <c r="L355" s="20">
        <f t="shared" si="5"/>
        <v>-58.500000000000007</v>
      </c>
    </row>
    <row r="356" spans="1:12" x14ac:dyDescent="0.25">
      <c r="A356" s="2" t="s">
        <v>469</v>
      </c>
      <c r="B356" s="2" t="s">
        <v>470</v>
      </c>
      <c r="C356" s="2" t="s">
        <v>821</v>
      </c>
      <c r="D356" s="23">
        <v>20</v>
      </c>
      <c r="E356" s="23">
        <v>0</v>
      </c>
      <c r="F356" s="23">
        <v>39</v>
      </c>
      <c r="G356" s="11">
        <v>2</v>
      </c>
      <c r="H356" s="23">
        <v>0</v>
      </c>
      <c r="I356" s="23">
        <v>-19</v>
      </c>
      <c r="J356" s="4">
        <v>65</v>
      </c>
      <c r="K356" s="4">
        <v>0</v>
      </c>
      <c r="L356" s="20">
        <f t="shared" si="5"/>
        <v>-21</v>
      </c>
    </row>
    <row r="357" spans="1:12" x14ac:dyDescent="0.25">
      <c r="A357" s="2" t="s">
        <v>460</v>
      </c>
      <c r="B357" s="2" t="s">
        <v>461</v>
      </c>
      <c r="C357" s="2" t="s">
        <v>240</v>
      </c>
      <c r="D357" s="23">
        <v>28.5</v>
      </c>
      <c r="E357" s="23">
        <v>0</v>
      </c>
      <c r="F357" s="23">
        <v>48</v>
      </c>
      <c r="G357" s="11">
        <v>26</v>
      </c>
      <c r="H357" s="23">
        <v>0</v>
      </c>
      <c r="I357" s="23">
        <v>-19.5</v>
      </c>
      <c r="J357" s="4">
        <v>5</v>
      </c>
      <c r="K357" s="4">
        <v>0</v>
      </c>
      <c r="L357" s="20">
        <f t="shared" si="5"/>
        <v>-45.5</v>
      </c>
    </row>
    <row r="358" spans="1:12" x14ac:dyDescent="0.25">
      <c r="A358" s="2" t="s">
        <v>279</v>
      </c>
      <c r="B358" s="2" t="s">
        <v>318</v>
      </c>
      <c r="C358" s="2" t="s">
        <v>636</v>
      </c>
      <c r="D358" s="23">
        <v>11</v>
      </c>
      <c r="E358" s="23">
        <v>4</v>
      </c>
      <c r="F358" s="23">
        <v>27</v>
      </c>
      <c r="G358" s="11">
        <v>4</v>
      </c>
      <c r="H358" s="23">
        <v>0</v>
      </c>
      <c r="I358" s="23">
        <v>-20</v>
      </c>
      <c r="J358" s="4">
        <v>290.73</v>
      </c>
      <c r="K358" s="4">
        <v>0</v>
      </c>
      <c r="L358" s="20">
        <f t="shared" si="5"/>
        <v>-24</v>
      </c>
    </row>
    <row r="359" spans="1:12" x14ac:dyDescent="0.25">
      <c r="A359" s="2" t="s">
        <v>277</v>
      </c>
      <c r="B359" s="2" t="s">
        <v>316</v>
      </c>
      <c r="C359" s="2" t="s">
        <v>636</v>
      </c>
      <c r="D359" s="23">
        <v>11</v>
      </c>
      <c r="E359" s="23">
        <v>4</v>
      </c>
      <c r="F359" s="23">
        <v>27</v>
      </c>
      <c r="G359" s="11">
        <v>4</v>
      </c>
      <c r="H359" s="23">
        <v>0</v>
      </c>
      <c r="I359" s="23">
        <v>-20</v>
      </c>
      <c r="J359" s="4">
        <v>287.13000000000005</v>
      </c>
      <c r="K359" s="4">
        <v>0</v>
      </c>
      <c r="L359" s="20">
        <f t="shared" si="5"/>
        <v>-24</v>
      </c>
    </row>
    <row r="360" spans="1:12" x14ac:dyDescent="0.25">
      <c r="A360" s="2" t="s">
        <v>793</v>
      </c>
      <c r="B360" s="2" t="s">
        <v>794</v>
      </c>
      <c r="C360" s="2" t="s">
        <v>795</v>
      </c>
      <c r="D360" s="23">
        <v>9</v>
      </c>
      <c r="E360" s="23">
        <v>4</v>
      </c>
      <c r="F360" s="23">
        <v>25</v>
      </c>
      <c r="G360" s="11">
        <v>4</v>
      </c>
      <c r="H360" s="23">
        <v>0</v>
      </c>
      <c r="I360" s="23">
        <v>-20</v>
      </c>
      <c r="J360" s="4">
        <v>2800</v>
      </c>
      <c r="K360" s="4">
        <v>0</v>
      </c>
      <c r="L360" s="20">
        <f t="shared" si="5"/>
        <v>-24</v>
      </c>
    </row>
    <row r="361" spans="1:12" x14ac:dyDescent="0.25">
      <c r="A361" s="2" t="s">
        <v>278</v>
      </c>
      <c r="B361" s="2" t="s">
        <v>317</v>
      </c>
      <c r="C361" s="2" t="s">
        <v>636</v>
      </c>
      <c r="D361" s="23">
        <v>11</v>
      </c>
      <c r="E361" s="23">
        <v>4</v>
      </c>
      <c r="F361" s="23">
        <v>27</v>
      </c>
      <c r="G361" s="11">
        <v>4</v>
      </c>
      <c r="H361" s="23">
        <v>0</v>
      </c>
      <c r="I361" s="23">
        <v>-20</v>
      </c>
      <c r="J361" s="4">
        <v>287.13000000000005</v>
      </c>
      <c r="K361" s="4">
        <v>0</v>
      </c>
      <c r="L361" s="20">
        <f t="shared" si="5"/>
        <v>-24</v>
      </c>
    </row>
    <row r="362" spans="1:12" x14ac:dyDescent="0.25">
      <c r="A362" s="2" t="s">
        <v>1013</v>
      </c>
      <c r="B362" s="2" t="s">
        <v>1014</v>
      </c>
      <c r="C362" s="2" t="s">
        <v>246</v>
      </c>
      <c r="D362" s="23">
        <v>4</v>
      </c>
      <c r="E362" s="23">
        <v>4</v>
      </c>
      <c r="F362" s="23">
        <v>21</v>
      </c>
      <c r="G362" s="11">
        <v>8</v>
      </c>
      <c r="H362" s="23">
        <v>0</v>
      </c>
      <c r="I362" s="23">
        <v>-21</v>
      </c>
      <c r="J362" s="4">
        <v>451</v>
      </c>
      <c r="K362" s="4">
        <v>0</v>
      </c>
      <c r="L362" s="20">
        <f t="shared" si="5"/>
        <v>-29</v>
      </c>
    </row>
    <row r="363" spans="1:12" x14ac:dyDescent="0.25">
      <c r="A363" s="2" t="s">
        <v>11</v>
      </c>
      <c r="B363" s="2" t="s">
        <v>12</v>
      </c>
      <c r="C363" s="2" t="s">
        <v>589</v>
      </c>
      <c r="D363" s="23">
        <v>8</v>
      </c>
      <c r="E363" s="23">
        <v>5</v>
      </c>
      <c r="F363" s="23">
        <v>24</v>
      </c>
      <c r="G363" s="11">
        <v>9</v>
      </c>
      <c r="H363" s="23">
        <v>0</v>
      </c>
      <c r="I363" s="23">
        <v>-21</v>
      </c>
      <c r="J363" s="4">
        <v>368.07000000000005</v>
      </c>
      <c r="K363" s="4">
        <v>0</v>
      </c>
      <c r="L363" s="20">
        <f t="shared" si="5"/>
        <v>-30</v>
      </c>
    </row>
    <row r="364" spans="1:12" x14ac:dyDescent="0.25">
      <c r="A364" s="2" t="s">
        <v>276</v>
      </c>
      <c r="B364" s="2" t="s">
        <v>315</v>
      </c>
      <c r="C364" s="2" t="s">
        <v>636</v>
      </c>
      <c r="D364" s="23">
        <v>11</v>
      </c>
      <c r="E364" s="23">
        <v>4</v>
      </c>
      <c r="F364" s="23">
        <v>28</v>
      </c>
      <c r="G364" s="11">
        <v>4</v>
      </c>
      <c r="H364" s="23">
        <v>0</v>
      </c>
      <c r="I364" s="23">
        <v>-21</v>
      </c>
      <c r="J364" s="4">
        <v>290.73</v>
      </c>
      <c r="K364" s="4">
        <v>0</v>
      </c>
      <c r="L364" s="20">
        <f t="shared" si="5"/>
        <v>-25</v>
      </c>
    </row>
    <row r="365" spans="1:12" x14ac:dyDescent="0.25">
      <c r="A365" s="2" t="s">
        <v>64</v>
      </c>
      <c r="B365" s="2" t="s">
        <v>65</v>
      </c>
      <c r="C365" s="2" t="s">
        <v>217</v>
      </c>
      <c r="D365" s="23">
        <v>23</v>
      </c>
      <c r="E365" s="23">
        <v>9</v>
      </c>
      <c r="F365" s="23">
        <v>36</v>
      </c>
      <c r="G365" s="11">
        <v>12</v>
      </c>
      <c r="H365" s="23">
        <v>0</v>
      </c>
      <c r="I365" s="23">
        <v>-22</v>
      </c>
      <c r="J365" s="4">
        <v>95</v>
      </c>
      <c r="K365" s="4">
        <v>0</v>
      </c>
      <c r="L365" s="20">
        <f t="shared" si="5"/>
        <v>-34</v>
      </c>
    </row>
    <row r="366" spans="1:12" x14ac:dyDescent="0.25">
      <c r="A366" s="2" t="s">
        <v>384</v>
      </c>
      <c r="B366" s="2" t="s">
        <v>385</v>
      </c>
      <c r="C366" s="2" t="s">
        <v>628</v>
      </c>
      <c r="D366" s="23">
        <v>473</v>
      </c>
      <c r="E366" s="23">
        <v>0</v>
      </c>
      <c r="F366" s="23">
        <v>495</v>
      </c>
      <c r="G366" s="11">
        <v>146</v>
      </c>
      <c r="H366" s="23">
        <v>0</v>
      </c>
      <c r="I366" s="23">
        <v>-22</v>
      </c>
      <c r="J366" s="4">
        <v>3.75</v>
      </c>
      <c r="K366" s="4">
        <v>0</v>
      </c>
      <c r="L366" s="20">
        <f t="shared" si="5"/>
        <v>-168</v>
      </c>
    </row>
    <row r="367" spans="1:12" x14ac:dyDescent="0.25">
      <c r="A367" s="2" t="s">
        <v>1082</v>
      </c>
      <c r="B367" s="2" t="s">
        <v>1083</v>
      </c>
      <c r="C367" s="2" t="s">
        <v>592</v>
      </c>
      <c r="D367" s="23">
        <v>40</v>
      </c>
      <c r="E367" s="23">
        <v>19</v>
      </c>
      <c r="F367" s="23">
        <v>14</v>
      </c>
      <c r="G367" s="11">
        <v>19</v>
      </c>
      <c r="H367" s="23">
        <v>30</v>
      </c>
      <c r="I367" s="23">
        <v>-23</v>
      </c>
      <c r="J367" s="4">
        <v>67.220000000000013</v>
      </c>
      <c r="K367" s="4">
        <v>0</v>
      </c>
      <c r="L367" s="20">
        <f t="shared" si="5"/>
        <v>-42</v>
      </c>
    </row>
    <row r="368" spans="1:12" x14ac:dyDescent="0.25">
      <c r="A368" s="2" t="s">
        <v>78</v>
      </c>
      <c r="B368" s="2" t="s">
        <v>79</v>
      </c>
      <c r="C368" s="2" t="s">
        <v>240</v>
      </c>
      <c r="D368" s="23">
        <v>58</v>
      </c>
      <c r="E368" s="23">
        <v>0</v>
      </c>
      <c r="F368" s="23">
        <v>81</v>
      </c>
      <c r="G368" s="11">
        <v>5</v>
      </c>
      <c r="H368" s="23">
        <v>0</v>
      </c>
      <c r="I368" s="23">
        <v>-23</v>
      </c>
      <c r="J368" s="4">
        <v>188</v>
      </c>
      <c r="K368" s="4">
        <v>0</v>
      </c>
      <c r="L368" s="20">
        <f t="shared" si="5"/>
        <v>-28</v>
      </c>
    </row>
    <row r="369" spans="1:12" x14ac:dyDescent="0.25">
      <c r="A369" s="2" t="s">
        <v>153</v>
      </c>
      <c r="B369" s="2" t="s">
        <v>154</v>
      </c>
      <c r="C369" s="2" t="s">
        <v>275</v>
      </c>
      <c r="D369" s="23">
        <v>43</v>
      </c>
      <c r="E369" s="23">
        <v>21</v>
      </c>
      <c r="F369" s="23">
        <v>46</v>
      </c>
      <c r="G369" s="11">
        <v>26</v>
      </c>
      <c r="H369" s="23">
        <v>0</v>
      </c>
      <c r="I369" s="23">
        <v>-24</v>
      </c>
      <c r="J369" s="4">
        <v>199.45000000000002</v>
      </c>
      <c r="K369" s="4">
        <v>0</v>
      </c>
      <c r="L369" s="20">
        <f t="shared" si="5"/>
        <v>-50</v>
      </c>
    </row>
    <row r="370" spans="1:12" x14ac:dyDescent="0.25">
      <c r="A370" s="2" t="s">
        <v>312</v>
      </c>
      <c r="B370" s="2" t="s">
        <v>313</v>
      </c>
      <c r="C370" s="2" t="s">
        <v>314</v>
      </c>
      <c r="D370" s="23">
        <v>101</v>
      </c>
      <c r="E370" s="23">
        <v>0</v>
      </c>
      <c r="F370" s="23">
        <v>125</v>
      </c>
      <c r="G370" s="11">
        <v>16.5</v>
      </c>
      <c r="H370" s="23">
        <v>0</v>
      </c>
      <c r="I370" s="23">
        <v>-24</v>
      </c>
      <c r="J370" s="4">
        <v>80.839999999999989</v>
      </c>
      <c r="K370" s="4">
        <v>0</v>
      </c>
      <c r="L370" s="20">
        <f t="shared" si="5"/>
        <v>-40.5</v>
      </c>
    </row>
    <row r="371" spans="1:12" x14ac:dyDescent="0.25">
      <c r="A371" s="2" t="s">
        <v>74</v>
      </c>
      <c r="B371" s="2" t="s">
        <v>75</v>
      </c>
      <c r="C371" s="2" t="s">
        <v>821</v>
      </c>
      <c r="D371" s="23">
        <v>50</v>
      </c>
      <c r="E371" s="23">
        <v>0</v>
      </c>
      <c r="F371" s="23">
        <v>24</v>
      </c>
      <c r="G371" s="11">
        <v>30</v>
      </c>
      <c r="H371" s="23">
        <v>50</v>
      </c>
      <c r="I371" s="23">
        <v>-24</v>
      </c>
      <c r="J371" s="4">
        <v>37</v>
      </c>
      <c r="K371" s="4">
        <v>0</v>
      </c>
      <c r="L371" s="20">
        <f t="shared" si="5"/>
        <v>-54</v>
      </c>
    </row>
    <row r="372" spans="1:12" x14ac:dyDescent="0.25">
      <c r="A372" s="2" t="s">
        <v>321</v>
      </c>
      <c r="B372" s="2" t="s">
        <v>322</v>
      </c>
      <c r="C372" s="2" t="s">
        <v>240</v>
      </c>
      <c r="D372" s="23">
        <v>96.449999999999989</v>
      </c>
      <c r="E372" s="23">
        <v>37.050000000000004</v>
      </c>
      <c r="F372" s="23">
        <v>84</v>
      </c>
      <c r="G372" s="11">
        <v>195.90000000000009</v>
      </c>
      <c r="H372" s="23">
        <v>0</v>
      </c>
      <c r="I372" s="23">
        <v>-24.600000000000023</v>
      </c>
      <c r="J372" s="4">
        <v>29</v>
      </c>
      <c r="K372" s="4">
        <v>0</v>
      </c>
      <c r="L372" s="20">
        <f t="shared" si="5"/>
        <v>-220.50000000000011</v>
      </c>
    </row>
    <row r="373" spans="1:12" x14ac:dyDescent="0.25">
      <c r="A373" s="2" t="s">
        <v>1138</v>
      </c>
      <c r="B373" s="2" t="s">
        <v>1139</v>
      </c>
      <c r="C373" s="2" t="s">
        <v>636</v>
      </c>
      <c r="D373" s="23">
        <v>2</v>
      </c>
      <c r="E373" s="23">
        <v>0</v>
      </c>
      <c r="F373" s="23">
        <v>29</v>
      </c>
      <c r="G373" s="11">
        <v>0</v>
      </c>
      <c r="H373" s="23">
        <v>0</v>
      </c>
      <c r="I373" s="23">
        <v>-27</v>
      </c>
      <c r="J373" s="4">
        <v>213.48</v>
      </c>
      <c r="K373" s="4">
        <v>0</v>
      </c>
      <c r="L373" s="20">
        <f t="shared" si="5"/>
        <v>-27</v>
      </c>
    </row>
    <row r="374" spans="1:12" x14ac:dyDescent="0.25">
      <c r="A374" s="2" t="s">
        <v>963</v>
      </c>
      <c r="B374" s="2" t="s">
        <v>964</v>
      </c>
      <c r="C374" s="2" t="s">
        <v>887</v>
      </c>
      <c r="D374" s="23">
        <v>12</v>
      </c>
      <c r="E374" s="23">
        <v>0</v>
      </c>
      <c r="F374" s="23">
        <v>40</v>
      </c>
      <c r="G374" s="11">
        <v>0</v>
      </c>
      <c r="H374" s="23">
        <v>0</v>
      </c>
      <c r="I374" s="23">
        <v>-28</v>
      </c>
      <c r="J374" s="4">
        <v>33</v>
      </c>
      <c r="K374" s="4">
        <v>0</v>
      </c>
      <c r="L374" s="20">
        <f t="shared" si="5"/>
        <v>-28</v>
      </c>
    </row>
    <row r="375" spans="1:12" x14ac:dyDescent="0.25">
      <c r="A375" s="2" t="s">
        <v>389</v>
      </c>
      <c r="B375" s="2" t="s">
        <v>390</v>
      </c>
      <c r="C375" s="2" t="s">
        <v>1021</v>
      </c>
      <c r="D375" s="23">
        <v>72</v>
      </c>
      <c r="E375" s="23">
        <v>0</v>
      </c>
      <c r="F375" s="23">
        <v>100</v>
      </c>
      <c r="G375" s="11">
        <v>352</v>
      </c>
      <c r="H375" s="23">
        <v>0</v>
      </c>
      <c r="I375" s="23">
        <v>-28</v>
      </c>
      <c r="J375" s="4">
        <v>6.3999999999999995</v>
      </c>
      <c r="K375" s="4">
        <v>0</v>
      </c>
      <c r="L375" s="20">
        <f t="shared" si="5"/>
        <v>-380</v>
      </c>
    </row>
    <row r="376" spans="1:12" x14ac:dyDescent="0.25">
      <c r="A376" s="2" t="s">
        <v>1000</v>
      </c>
      <c r="B376" s="2" t="s">
        <v>1001</v>
      </c>
      <c r="C376" s="2" t="s">
        <v>254</v>
      </c>
      <c r="D376" s="23">
        <v>2</v>
      </c>
      <c r="E376" s="23">
        <v>0</v>
      </c>
      <c r="F376" s="23">
        <v>30</v>
      </c>
      <c r="G376" s="11">
        <v>5.7000000000000028</v>
      </c>
      <c r="H376" s="23">
        <v>0</v>
      </c>
      <c r="I376" s="23">
        <v>-28</v>
      </c>
      <c r="J376" s="4">
        <v>199.37</v>
      </c>
      <c r="K376" s="4">
        <v>0</v>
      </c>
      <c r="L376" s="20">
        <f t="shared" si="5"/>
        <v>-33.700000000000003</v>
      </c>
    </row>
    <row r="377" spans="1:12" x14ac:dyDescent="0.25">
      <c r="A377" s="2" t="s">
        <v>40</v>
      </c>
      <c r="B377" s="2" t="s">
        <v>41</v>
      </c>
      <c r="C377" s="2" t="s">
        <v>887</v>
      </c>
      <c r="D377" s="23">
        <v>5</v>
      </c>
      <c r="E377" s="23">
        <v>5</v>
      </c>
      <c r="F377" s="23">
        <v>28</v>
      </c>
      <c r="G377" s="11">
        <v>5</v>
      </c>
      <c r="H377" s="23">
        <v>0</v>
      </c>
      <c r="I377" s="23">
        <v>-28</v>
      </c>
      <c r="J377" s="4">
        <v>90</v>
      </c>
      <c r="K377" s="4">
        <v>0</v>
      </c>
      <c r="L377" s="20">
        <f t="shared" si="5"/>
        <v>-33</v>
      </c>
    </row>
    <row r="378" spans="1:12" x14ac:dyDescent="0.25">
      <c r="A378" s="2" t="s">
        <v>484</v>
      </c>
      <c r="B378" s="2" t="s">
        <v>485</v>
      </c>
      <c r="C378" s="2" t="s">
        <v>482</v>
      </c>
      <c r="D378" s="23">
        <v>6</v>
      </c>
      <c r="E378" s="23">
        <v>0</v>
      </c>
      <c r="F378" s="23">
        <v>35</v>
      </c>
      <c r="G378" s="11">
        <v>8</v>
      </c>
      <c r="H378" s="23">
        <v>0</v>
      </c>
      <c r="I378" s="23">
        <v>-29</v>
      </c>
      <c r="J378" s="4">
        <v>94.17</v>
      </c>
      <c r="K378" s="4">
        <v>0</v>
      </c>
      <c r="L378" s="20">
        <f t="shared" si="5"/>
        <v>-37</v>
      </c>
    </row>
    <row r="379" spans="1:12" x14ac:dyDescent="0.25">
      <c r="A379" s="2" t="s">
        <v>505</v>
      </c>
      <c r="B379" s="2" t="s">
        <v>506</v>
      </c>
      <c r="C379" s="2" t="s">
        <v>826</v>
      </c>
      <c r="D379" s="23">
        <v>19</v>
      </c>
      <c r="E379" s="23">
        <v>7</v>
      </c>
      <c r="F379" s="23">
        <v>42</v>
      </c>
      <c r="G379" s="11">
        <v>10</v>
      </c>
      <c r="H379" s="23">
        <v>0</v>
      </c>
      <c r="I379" s="23">
        <v>-30</v>
      </c>
      <c r="J379" s="4">
        <v>142.5</v>
      </c>
      <c r="K379" s="4">
        <v>0</v>
      </c>
      <c r="L379" s="20">
        <f t="shared" si="5"/>
        <v>-40</v>
      </c>
    </row>
    <row r="380" spans="1:12" x14ac:dyDescent="0.25">
      <c r="A380" s="2" t="s">
        <v>46</v>
      </c>
      <c r="B380" s="2" t="s">
        <v>47</v>
      </c>
      <c r="C380" s="2" t="s">
        <v>245</v>
      </c>
      <c r="D380" s="23">
        <v>76</v>
      </c>
      <c r="E380" s="23">
        <v>32</v>
      </c>
      <c r="F380" s="23">
        <v>75</v>
      </c>
      <c r="G380" s="11">
        <v>60</v>
      </c>
      <c r="H380" s="23">
        <v>0</v>
      </c>
      <c r="I380" s="23">
        <v>-31</v>
      </c>
      <c r="J380" s="4">
        <v>170</v>
      </c>
      <c r="K380" s="4">
        <v>0</v>
      </c>
      <c r="L380" s="20">
        <f t="shared" si="5"/>
        <v>-91</v>
      </c>
    </row>
    <row r="381" spans="1:12" x14ac:dyDescent="0.25">
      <c r="A381" s="2" t="s">
        <v>201</v>
      </c>
      <c r="B381" s="2" t="s">
        <v>225</v>
      </c>
      <c r="C381" s="2" t="s">
        <v>504</v>
      </c>
      <c r="D381" s="23">
        <v>65</v>
      </c>
      <c r="E381" s="23">
        <v>31</v>
      </c>
      <c r="F381" s="23">
        <v>65</v>
      </c>
      <c r="G381" s="11">
        <v>31</v>
      </c>
      <c r="H381" s="23">
        <v>0</v>
      </c>
      <c r="I381" s="23">
        <v>-31</v>
      </c>
      <c r="J381" s="4">
        <v>45.5</v>
      </c>
      <c r="K381" s="4">
        <v>0</v>
      </c>
      <c r="L381" s="20">
        <f t="shared" si="5"/>
        <v>-62</v>
      </c>
    </row>
    <row r="382" spans="1:12" x14ac:dyDescent="0.25">
      <c r="A382" s="2" t="s">
        <v>934</v>
      </c>
      <c r="B382" s="2" t="s">
        <v>935</v>
      </c>
      <c r="C382" s="2" t="s">
        <v>220</v>
      </c>
      <c r="D382" s="23">
        <v>8</v>
      </c>
      <c r="E382" s="23">
        <v>6</v>
      </c>
      <c r="F382" s="23">
        <v>33</v>
      </c>
      <c r="G382" s="11">
        <v>16</v>
      </c>
      <c r="H382" s="23">
        <v>0</v>
      </c>
      <c r="I382" s="23">
        <v>-31</v>
      </c>
      <c r="J382" s="4">
        <v>930</v>
      </c>
      <c r="K382" s="4">
        <v>0</v>
      </c>
      <c r="L382" s="20">
        <f t="shared" si="5"/>
        <v>-47</v>
      </c>
    </row>
    <row r="383" spans="1:12" x14ac:dyDescent="0.25">
      <c r="A383" s="2" t="s">
        <v>1191</v>
      </c>
      <c r="B383" s="2" t="s">
        <v>1192</v>
      </c>
      <c r="C383" s="2" t="s">
        <v>1193</v>
      </c>
      <c r="D383" s="23">
        <v>0.6</v>
      </c>
      <c r="E383" s="23">
        <v>0</v>
      </c>
      <c r="F383" s="23">
        <v>32</v>
      </c>
      <c r="G383" s="11">
        <v>60</v>
      </c>
      <c r="H383" s="23">
        <v>0</v>
      </c>
      <c r="I383" s="23">
        <v>-31.400000000000002</v>
      </c>
      <c r="J383" s="4">
        <v>110</v>
      </c>
      <c r="K383" s="4">
        <v>0</v>
      </c>
      <c r="L383" s="20">
        <f t="shared" si="5"/>
        <v>-91.4</v>
      </c>
    </row>
    <row r="384" spans="1:12" x14ac:dyDescent="0.25">
      <c r="A384" s="2" t="s">
        <v>1067</v>
      </c>
      <c r="B384" s="2" t="s">
        <v>1068</v>
      </c>
      <c r="C384" s="2" t="s">
        <v>826</v>
      </c>
      <c r="D384" s="23">
        <v>68</v>
      </c>
      <c r="E384" s="23">
        <v>0</v>
      </c>
      <c r="F384" s="23">
        <v>100</v>
      </c>
      <c r="G384" s="11">
        <v>84</v>
      </c>
      <c r="H384" s="23">
        <v>0</v>
      </c>
      <c r="I384" s="23">
        <v>-32</v>
      </c>
      <c r="J384" s="4">
        <v>14.85</v>
      </c>
      <c r="K384" s="4">
        <v>0</v>
      </c>
      <c r="L384" s="20">
        <f t="shared" si="5"/>
        <v>-116</v>
      </c>
    </row>
    <row r="385" spans="1:12" x14ac:dyDescent="0.25">
      <c r="A385" s="2" t="s">
        <v>556</v>
      </c>
      <c r="B385" s="2" t="s">
        <v>557</v>
      </c>
      <c r="C385" s="2" t="s">
        <v>240</v>
      </c>
      <c r="D385" s="23">
        <v>1.0999999999999999</v>
      </c>
      <c r="E385" s="23">
        <v>0.4</v>
      </c>
      <c r="F385" s="23">
        <v>33</v>
      </c>
      <c r="G385" s="11">
        <v>6.1</v>
      </c>
      <c r="H385" s="23">
        <v>0</v>
      </c>
      <c r="I385" s="23">
        <v>-32.300000000000004</v>
      </c>
      <c r="J385" s="4">
        <v>25</v>
      </c>
      <c r="K385" s="4">
        <v>0</v>
      </c>
      <c r="L385" s="20">
        <f t="shared" si="5"/>
        <v>-38.4</v>
      </c>
    </row>
    <row r="386" spans="1:12" x14ac:dyDescent="0.25">
      <c r="A386" s="2" t="s">
        <v>353</v>
      </c>
      <c r="B386" s="2" t="s">
        <v>354</v>
      </c>
      <c r="C386" s="2" t="s">
        <v>1021</v>
      </c>
      <c r="D386" s="23">
        <v>358</v>
      </c>
      <c r="E386" s="23">
        <v>0</v>
      </c>
      <c r="F386" s="23">
        <v>391</v>
      </c>
      <c r="G386" s="11">
        <v>150</v>
      </c>
      <c r="H386" s="23">
        <v>0</v>
      </c>
      <c r="I386" s="23">
        <v>-33</v>
      </c>
      <c r="J386" s="4">
        <v>10.650000000000002</v>
      </c>
      <c r="K386" s="4">
        <v>0</v>
      </c>
      <c r="L386" s="20">
        <f t="shared" si="5"/>
        <v>-183</v>
      </c>
    </row>
    <row r="387" spans="1:12" x14ac:dyDescent="0.25">
      <c r="A387" s="2" t="s">
        <v>418</v>
      </c>
      <c r="B387" s="2" t="s">
        <v>1221</v>
      </c>
      <c r="C387" s="2" t="s">
        <v>628</v>
      </c>
      <c r="D387" s="23">
        <v>115</v>
      </c>
      <c r="E387" s="23">
        <v>0</v>
      </c>
      <c r="F387" s="23">
        <v>148</v>
      </c>
      <c r="G387" s="11">
        <v>59</v>
      </c>
      <c r="H387" s="23">
        <v>0</v>
      </c>
      <c r="I387" s="23">
        <v>-33</v>
      </c>
      <c r="J387" s="4">
        <v>24.170000000000009</v>
      </c>
      <c r="K387" s="4">
        <v>0</v>
      </c>
      <c r="L387" s="20">
        <f t="shared" si="5"/>
        <v>-92</v>
      </c>
    </row>
    <row r="388" spans="1:12" x14ac:dyDescent="0.25">
      <c r="A388" s="2" t="s">
        <v>1030</v>
      </c>
      <c r="B388" s="2" t="s">
        <v>1031</v>
      </c>
      <c r="C388" s="2" t="s">
        <v>453</v>
      </c>
      <c r="D388" s="23">
        <v>4.375</v>
      </c>
      <c r="E388" s="23">
        <v>0</v>
      </c>
      <c r="F388" s="23">
        <v>40</v>
      </c>
      <c r="G388" s="11">
        <v>20</v>
      </c>
      <c r="H388" s="23">
        <v>0</v>
      </c>
      <c r="I388" s="23">
        <v>-35.625</v>
      </c>
      <c r="J388" s="4">
        <v>54.170000000000009</v>
      </c>
      <c r="K388" s="4">
        <v>0</v>
      </c>
      <c r="L388" s="20">
        <f t="shared" si="5"/>
        <v>-55.625</v>
      </c>
    </row>
    <row r="389" spans="1:12" x14ac:dyDescent="0.25">
      <c r="A389" s="2" t="s">
        <v>241</v>
      </c>
      <c r="B389" s="2" t="s">
        <v>242</v>
      </c>
      <c r="C389" s="2" t="s">
        <v>490</v>
      </c>
      <c r="D389" s="23">
        <v>21.450000000000003</v>
      </c>
      <c r="E389" s="23">
        <v>10.049999999999999</v>
      </c>
      <c r="F389" s="23">
        <v>49</v>
      </c>
      <c r="G389" s="11">
        <v>1.6000000000000012</v>
      </c>
      <c r="H389" s="23">
        <v>0</v>
      </c>
      <c r="I389" s="23">
        <v>-37.600000000000009</v>
      </c>
      <c r="J389" s="4">
        <v>60</v>
      </c>
      <c r="K389" s="4">
        <v>0</v>
      </c>
      <c r="L389" s="20">
        <f t="shared" si="5"/>
        <v>-39.199999999999996</v>
      </c>
    </row>
    <row r="390" spans="1:12" x14ac:dyDescent="0.25">
      <c r="A390" s="2" t="s">
        <v>0</v>
      </c>
      <c r="B390" s="2" t="s">
        <v>1</v>
      </c>
      <c r="C390" s="2" t="s">
        <v>220</v>
      </c>
      <c r="D390" s="23">
        <v>44</v>
      </c>
      <c r="E390" s="23">
        <v>15</v>
      </c>
      <c r="F390" s="23">
        <v>67</v>
      </c>
      <c r="G390" s="11">
        <v>24</v>
      </c>
      <c r="H390" s="23">
        <v>0</v>
      </c>
      <c r="I390" s="23">
        <v>-38</v>
      </c>
      <c r="J390" s="4">
        <v>640</v>
      </c>
      <c r="K390" s="4">
        <v>0</v>
      </c>
      <c r="L390" s="20">
        <f t="shared" si="5"/>
        <v>-62</v>
      </c>
    </row>
    <row r="391" spans="1:12" x14ac:dyDescent="0.25">
      <c r="A391" s="2" t="s">
        <v>796</v>
      </c>
      <c r="B391" s="2" t="s">
        <v>797</v>
      </c>
      <c r="C391" s="2" t="s">
        <v>887</v>
      </c>
      <c r="D391" s="23">
        <v>60</v>
      </c>
      <c r="E391" s="23">
        <v>0</v>
      </c>
      <c r="F391" s="23">
        <v>100</v>
      </c>
      <c r="G391" s="11">
        <v>161</v>
      </c>
      <c r="H391" s="23">
        <v>0</v>
      </c>
      <c r="I391" s="23">
        <v>-40</v>
      </c>
      <c r="J391" s="4">
        <v>12</v>
      </c>
      <c r="K391" s="4">
        <v>0</v>
      </c>
      <c r="L391" s="20">
        <f t="shared" si="5"/>
        <v>-201</v>
      </c>
    </row>
    <row r="392" spans="1:12" x14ac:dyDescent="0.25">
      <c r="A392" s="2" t="s">
        <v>892</v>
      </c>
      <c r="B392" s="2" t="s">
        <v>893</v>
      </c>
      <c r="C392" s="2" t="s">
        <v>215</v>
      </c>
      <c r="D392" s="23">
        <v>9</v>
      </c>
      <c r="E392" s="23">
        <v>0</v>
      </c>
      <c r="F392" s="23">
        <v>50</v>
      </c>
      <c r="G392" s="11">
        <v>7.1054273576010019E-15</v>
      </c>
      <c r="H392" s="23">
        <v>0</v>
      </c>
      <c r="I392" s="23">
        <v>-41</v>
      </c>
      <c r="J392" s="4">
        <v>150</v>
      </c>
      <c r="K392" s="4">
        <v>0</v>
      </c>
      <c r="L392" s="20">
        <f t="shared" si="5"/>
        <v>-41.000000000000007</v>
      </c>
    </row>
    <row r="393" spans="1:12" x14ac:dyDescent="0.25">
      <c r="A393" s="2" t="s">
        <v>518</v>
      </c>
      <c r="B393" s="2" t="s">
        <v>519</v>
      </c>
      <c r="C393" s="2" t="s">
        <v>240</v>
      </c>
      <c r="D393" s="23">
        <v>58.460000000000008</v>
      </c>
      <c r="E393" s="23">
        <v>0</v>
      </c>
      <c r="F393" s="23">
        <v>101</v>
      </c>
      <c r="G393" s="11">
        <v>10.000000000000057</v>
      </c>
      <c r="H393" s="23">
        <v>0</v>
      </c>
      <c r="I393" s="23">
        <v>-42.539999999999978</v>
      </c>
      <c r="J393" s="4">
        <v>36</v>
      </c>
      <c r="K393" s="4">
        <v>0</v>
      </c>
      <c r="L393" s="20">
        <f t="shared" si="5"/>
        <v>-52.540000000000049</v>
      </c>
    </row>
    <row r="394" spans="1:12" x14ac:dyDescent="0.25">
      <c r="A394" s="2" t="s">
        <v>17</v>
      </c>
      <c r="B394" s="2" t="s">
        <v>18</v>
      </c>
      <c r="C394" s="2" t="s">
        <v>1230</v>
      </c>
      <c r="D394" s="23">
        <v>20</v>
      </c>
      <c r="E394" s="23">
        <v>7</v>
      </c>
      <c r="F394" s="23">
        <v>56</v>
      </c>
      <c r="G394" s="11">
        <v>11</v>
      </c>
      <c r="H394" s="23">
        <v>0</v>
      </c>
      <c r="I394" s="23">
        <v>-43</v>
      </c>
      <c r="J394" s="4">
        <v>936.71999999999991</v>
      </c>
      <c r="K394" s="4">
        <v>0</v>
      </c>
      <c r="L394" s="20">
        <f t="shared" si="5"/>
        <v>-54</v>
      </c>
    </row>
    <row r="395" spans="1:12" x14ac:dyDescent="0.25">
      <c r="A395" s="2" t="s">
        <v>103</v>
      </c>
      <c r="B395" s="2" t="s">
        <v>288</v>
      </c>
      <c r="C395" s="2" t="s">
        <v>250</v>
      </c>
      <c r="D395" s="23">
        <v>43.099999999999994</v>
      </c>
      <c r="E395" s="23">
        <v>0</v>
      </c>
      <c r="F395" s="23">
        <v>87</v>
      </c>
      <c r="G395" s="11">
        <v>50.899999999999963</v>
      </c>
      <c r="H395" s="23">
        <v>0</v>
      </c>
      <c r="I395" s="23">
        <v>-43.899999999999991</v>
      </c>
      <c r="J395" s="4">
        <v>122.08999999999999</v>
      </c>
      <c r="K395" s="4">
        <v>0</v>
      </c>
      <c r="L395" s="20">
        <f t="shared" si="5"/>
        <v>-94.799999999999969</v>
      </c>
    </row>
    <row r="396" spans="1:12" x14ac:dyDescent="0.25">
      <c r="A396" s="2" t="s">
        <v>953</v>
      </c>
      <c r="B396" s="2" t="s">
        <v>954</v>
      </c>
      <c r="C396" s="2" t="s">
        <v>636</v>
      </c>
      <c r="D396" s="23">
        <v>6</v>
      </c>
      <c r="E396" s="23">
        <v>2</v>
      </c>
      <c r="F396" s="23">
        <v>48</v>
      </c>
      <c r="G396" s="11">
        <v>2</v>
      </c>
      <c r="H396" s="23">
        <v>0</v>
      </c>
      <c r="I396" s="23">
        <v>-44</v>
      </c>
      <c r="J396" s="4">
        <v>428.62999999999994</v>
      </c>
      <c r="K396" s="4">
        <v>0</v>
      </c>
      <c r="L396" s="20">
        <f t="shared" si="5"/>
        <v>-46</v>
      </c>
    </row>
    <row r="397" spans="1:12" x14ac:dyDescent="0.25">
      <c r="A397" s="2" t="s">
        <v>88</v>
      </c>
      <c r="B397" s="2" t="s">
        <v>89</v>
      </c>
      <c r="C397" s="2" t="s">
        <v>314</v>
      </c>
      <c r="D397" s="23">
        <v>80.899999999999991</v>
      </c>
      <c r="E397" s="23">
        <v>0</v>
      </c>
      <c r="F397" s="23">
        <v>125</v>
      </c>
      <c r="G397" s="11">
        <v>37.499999999999901</v>
      </c>
      <c r="H397" s="23">
        <v>0</v>
      </c>
      <c r="I397" s="23">
        <v>-44.100000000000016</v>
      </c>
      <c r="J397" s="4">
        <v>44</v>
      </c>
      <c r="K397" s="4">
        <v>0</v>
      </c>
      <c r="L397" s="20">
        <f t="shared" ref="L397:L460" si="6">D397-E397-F397-G397-H397</f>
        <v>-81.599999999999909</v>
      </c>
    </row>
    <row r="398" spans="1:12" x14ac:dyDescent="0.25">
      <c r="A398" s="2" t="s">
        <v>202</v>
      </c>
      <c r="B398" s="2" t="s">
        <v>203</v>
      </c>
      <c r="C398" s="2" t="s">
        <v>235</v>
      </c>
      <c r="D398" s="23">
        <v>2.6139999999999999</v>
      </c>
      <c r="E398" s="23">
        <v>0</v>
      </c>
      <c r="F398" s="23">
        <v>50</v>
      </c>
      <c r="G398" s="11">
        <v>-1.4210854715202004E-14</v>
      </c>
      <c r="H398" s="23">
        <v>0</v>
      </c>
      <c r="I398" s="23">
        <v>-47.385999999999989</v>
      </c>
      <c r="J398" s="4">
        <v>10.610000000000005</v>
      </c>
      <c r="K398" s="4">
        <v>0</v>
      </c>
      <c r="L398" s="20">
        <f t="shared" si="6"/>
        <v>-47.385999999999989</v>
      </c>
    </row>
    <row r="399" spans="1:12" x14ac:dyDescent="0.25">
      <c r="A399" s="2" t="s">
        <v>159</v>
      </c>
      <c r="B399" s="2" t="s">
        <v>160</v>
      </c>
      <c r="C399" s="2" t="s">
        <v>619</v>
      </c>
      <c r="D399" s="23">
        <v>4.6100000000000003</v>
      </c>
      <c r="E399" s="23">
        <v>0</v>
      </c>
      <c r="F399" s="23">
        <v>52</v>
      </c>
      <c r="G399" s="11">
        <v>38.620000000000005</v>
      </c>
      <c r="H399" s="23">
        <v>0</v>
      </c>
      <c r="I399" s="23">
        <v>-47.389999999999993</v>
      </c>
      <c r="J399" s="4">
        <v>126.35999999999999</v>
      </c>
      <c r="K399" s="4">
        <v>0</v>
      </c>
      <c r="L399" s="20">
        <f t="shared" si="6"/>
        <v>-86.01</v>
      </c>
    </row>
    <row r="400" spans="1:12" x14ac:dyDescent="0.25">
      <c r="A400" s="2" t="s">
        <v>414</v>
      </c>
      <c r="B400" s="2" t="s">
        <v>415</v>
      </c>
      <c r="C400" s="2" t="s">
        <v>826</v>
      </c>
      <c r="D400" s="23">
        <v>2.2000000000000011</v>
      </c>
      <c r="E400" s="23">
        <v>0</v>
      </c>
      <c r="F400" s="23">
        <v>50</v>
      </c>
      <c r="G400" s="11">
        <v>2.8310687127941492E-15</v>
      </c>
      <c r="H400" s="23">
        <v>0</v>
      </c>
      <c r="I400" s="23">
        <v>-47.799999999999983</v>
      </c>
      <c r="J400" s="4">
        <v>25.410000000000011</v>
      </c>
      <c r="K400" s="4">
        <v>0</v>
      </c>
      <c r="L400" s="20">
        <f t="shared" si="6"/>
        <v>-47.8</v>
      </c>
    </row>
    <row r="401" spans="1:12" x14ac:dyDescent="0.25">
      <c r="A401" s="2" t="s">
        <v>972</v>
      </c>
      <c r="B401" s="2" t="s">
        <v>973</v>
      </c>
      <c r="C401" s="2" t="s">
        <v>314</v>
      </c>
      <c r="D401" s="23">
        <v>2</v>
      </c>
      <c r="E401" s="23">
        <v>0</v>
      </c>
      <c r="F401" s="23">
        <v>50</v>
      </c>
      <c r="G401" s="11">
        <v>0</v>
      </c>
      <c r="H401" s="23">
        <v>0</v>
      </c>
      <c r="I401" s="23">
        <v>-48</v>
      </c>
      <c r="J401" s="4">
        <v>180</v>
      </c>
      <c r="K401" s="4">
        <v>0</v>
      </c>
      <c r="L401" s="20">
        <f t="shared" si="6"/>
        <v>-48</v>
      </c>
    </row>
    <row r="402" spans="1:12" x14ac:dyDescent="0.25">
      <c r="A402" s="2" t="s">
        <v>673</v>
      </c>
      <c r="B402" s="2" t="s">
        <v>674</v>
      </c>
      <c r="C402" s="2" t="s">
        <v>887</v>
      </c>
      <c r="D402" s="23">
        <v>102</v>
      </c>
      <c r="E402" s="23">
        <v>0</v>
      </c>
      <c r="F402" s="23">
        <v>150</v>
      </c>
      <c r="G402" s="11">
        <v>78</v>
      </c>
      <c r="H402" s="23">
        <v>0</v>
      </c>
      <c r="I402" s="23">
        <v>-48</v>
      </c>
      <c r="J402" s="4">
        <v>20.829999999999991</v>
      </c>
      <c r="K402" s="4">
        <v>0</v>
      </c>
      <c r="L402" s="20">
        <f t="shared" si="6"/>
        <v>-126</v>
      </c>
    </row>
    <row r="403" spans="1:12" x14ac:dyDescent="0.25">
      <c r="A403" s="2" t="s">
        <v>340</v>
      </c>
      <c r="B403" s="2" t="s">
        <v>341</v>
      </c>
      <c r="C403" s="2" t="s">
        <v>240</v>
      </c>
      <c r="D403" s="23">
        <v>37.819999999999993</v>
      </c>
      <c r="E403" s="23">
        <v>10.86</v>
      </c>
      <c r="F403" s="23">
        <v>75</v>
      </c>
      <c r="G403" s="11">
        <v>42.700000000000053</v>
      </c>
      <c r="H403" s="23">
        <v>0</v>
      </c>
      <c r="I403" s="23">
        <v>-48.039999999999992</v>
      </c>
      <c r="J403" s="4">
        <v>15</v>
      </c>
      <c r="K403" s="4">
        <v>0</v>
      </c>
      <c r="L403" s="20">
        <f t="shared" si="6"/>
        <v>-90.740000000000066</v>
      </c>
    </row>
    <row r="404" spans="1:12" x14ac:dyDescent="0.25">
      <c r="A404" s="2" t="s">
        <v>290</v>
      </c>
      <c r="B404" s="2" t="s">
        <v>291</v>
      </c>
      <c r="C404" s="2" t="s">
        <v>628</v>
      </c>
      <c r="D404" s="23">
        <v>132</v>
      </c>
      <c r="E404" s="23">
        <v>56</v>
      </c>
      <c r="F404" s="23">
        <v>125</v>
      </c>
      <c r="G404" s="11">
        <v>54</v>
      </c>
      <c r="H404" s="23">
        <v>0</v>
      </c>
      <c r="I404" s="23">
        <v>-49</v>
      </c>
      <c r="J404" s="4">
        <v>3.75</v>
      </c>
      <c r="K404" s="4">
        <v>0</v>
      </c>
      <c r="L404" s="20">
        <f t="shared" si="6"/>
        <v>-103</v>
      </c>
    </row>
    <row r="405" spans="1:12" x14ac:dyDescent="0.25">
      <c r="A405" s="2" t="s">
        <v>210</v>
      </c>
      <c r="B405" s="2" t="s">
        <v>211</v>
      </c>
      <c r="C405" s="2" t="s">
        <v>217</v>
      </c>
      <c r="D405" s="23">
        <v>19</v>
      </c>
      <c r="E405" s="23">
        <v>8</v>
      </c>
      <c r="F405" s="23">
        <v>21</v>
      </c>
      <c r="G405" s="11">
        <v>10</v>
      </c>
      <c r="H405" s="23">
        <v>40</v>
      </c>
      <c r="I405" s="23">
        <v>-50</v>
      </c>
      <c r="J405" s="4">
        <v>312</v>
      </c>
      <c r="K405" s="4">
        <v>0</v>
      </c>
      <c r="L405" s="20">
        <f t="shared" si="6"/>
        <v>-60</v>
      </c>
    </row>
    <row r="406" spans="1:12" x14ac:dyDescent="0.25">
      <c r="A406" s="2" t="s">
        <v>1008</v>
      </c>
      <c r="B406" s="2" t="s">
        <v>1009</v>
      </c>
      <c r="C406" s="2" t="s">
        <v>254</v>
      </c>
      <c r="D406" s="23">
        <v>4</v>
      </c>
      <c r="E406" s="23">
        <v>0</v>
      </c>
      <c r="F406" s="23">
        <v>54</v>
      </c>
      <c r="G406" s="11">
        <v>10</v>
      </c>
      <c r="H406" s="23">
        <v>0</v>
      </c>
      <c r="I406" s="23">
        <v>-50</v>
      </c>
      <c r="J406" s="4">
        <v>105.6</v>
      </c>
      <c r="K406" s="4">
        <v>0</v>
      </c>
      <c r="L406" s="20">
        <f t="shared" si="6"/>
        <v>-60</v>
      </c>
    </row>
    <row r="407" spans="1:12" x14ac:dyDescent="0.25">
      <c r="A407" s="2" t="s">
        <v>1127</v>
      </c>
      <c r="B407" s="2" t="s">
        <v>1128</v>
      </c>
      <c r="C407" s="2" t="s">
        <v>745</v>
      </c>
      <c r="D407" s="23">
        <v>9.5</v>
      </c>
      <c r="E407" s="23">
        <v>0</v>
      </c>
      <c r="F407" s="23">
        <v>60</v>
      </c>
      <c r="G407" s="11">
        <v>50</v>
      </c>
      <c r="H407" s="23">
        <v>0</v>
      </c>
      <c r="I407" s="23">
        <v>-50.5</v>
      </c>
      <c r="J407" s="4">
        <v>265</v>
      </c>
      <c r="K407" s="4">
        <v>0</v>
      </c>
      <c r="L407" s="20">
        <f t="shared" si="6"/>
        <v>-100.5</v>
      </c>
    </row>
    <row r="408" spans="1:12" x14ac:dyDescent="0.25">
      <c r="A408" s="2" t="s">
        <v>701</v>
      </c>
      <c r="B408" s="2" t="s">
        <v>702</v>
      </c>
      <c r="C408" s="2" t="s">
        <v>826</v>
      </c>
      <c r="D408" s="23">
        <v>48</v>
      </c>
      <c r="E408" s="23">
        <v>0</v>
      </c>
      <c r="F408" s="23">
        <v>100</v>
      </c>
      <c r="G408" s="11">
        <v>52</v>
      </c>
      <c r="H408" s="23">
        <v>0</v>
      </c>
      <c r="I408" s="23">
        <v>-52</v>
      </c>
      <c r="J408" s="4">
        <v>1.1299999999999994</v>
      </c>
      <c r="K408" s="4">
        <v>0</v>
      </c>
      <c r="L408" s="20">
        <f t="shared" si="6"/>
        <v>-104</v>
      </c>
    </row>
    <row r="409" spans="1:12" x14ac:dyDescent="0.25">
      <c r="A409" s="2" t="s">
        <v>724</v>
      </c>
      <c r="B409" s="2" t="s">
        <v>725</v>
      </c>
      <c r="C409" s="2" t="s">
        <v>240</v>
      </c>
      <c r="D409" s="23">
        <v>5</v>
      </c>
      <c r="E409" s="23">
        <v>4</v>
      </c>
      <c r="F409" s="23">
        <v>54</v>
      </c>
      <c r="G409" s="11">
        <v>6</v>
      </c>
      <c r="H409" s="23">
        <v>0</v>
      </c>
      <c r="I409" s="23">
        <v>-53</v>
      </c>
      <c r="J409" s="4">
        <v>16.5</v>
      </c>
      <c r="K409" s="4">
        <v>0</v>
      </c>
      <c r="L409" s="20">
        <f t="shared" si="6"/>
        <v>-59</v>
      </c>
    </row>
    <row r="410" spans="1:12" x14ac:dyDescent="0.25">
      <c r="A410" s="2" t="s">
        <v>870</v>
      </c>
      <c r="B410" s="2" t="s">
        <v>871</v>
      </c>
      <c r="C410" s="2" t="s">
        <v>872</v>
      </c>
      <c r="D410" s="23">
        <v>12</v>
      </c>
      <c r="E410" s="23">
        <v>0</v>
      </c>
      <c r="F410" s="23">
        <v>0</v>
      </c>
      <c r="G410" s="11">
        <v>8</v>
      </c>
      <c r="H410" s="23">
        <v>72</v>
      </c>
      <c r="I410" s="23">
        <v>-60</v>
      </c>
      <c r="J410" s="4">
        <v>5265.79</v>
      </c>
      <c r="K410" s="4">
        <v>0</v>
      </c>
      <c r="L410" s="20">
        <f t="shared" si="6"/>
        <v>-68</v>
      </c>
    </row>
    <row r="411" spans="1:12" x14ac:dyDescent="0.25">
      <c r="A411" s="2" t="s">
        <v>480</v>
      </c>
      <c r="B411" s="2" t="s">
        <v>481</v>
      </c>
      <c r="C411" s="2" t="s">
        <v>1021</v>
      </c>
      <c r="D411" s="23">
        <v>378</v>
      </c>
      <c r="E411" s="23">
        <v>0</v>
      </c>
      <c r="F411" s="23">
        <v>442</v>
      </c>
      <c r="G411" s="11">
        <v>0</v>
      </c>
      <c r="H411" s="23">
        <v>0</v>
      </c>
      <c r="I411" s="23">
        <v>-64</v>
      </c>
      <c r="J411" s="4">
        <v>9.3499999999999979</v>
      </c>
      <c r="K411" s="4">
        <v>0</v>
      </c>
      <c r="L411" s="20">
        <f t="shared" si="6"/>
        <v>-64</v>
      </c>
    </row>
    <row r="412" spans="1:12" x14ac:dyDescent="0.25">
      <c r="A412" s="2" t="s">
        <v>858</v>
      </c>
      <c r="B412" s="2" t="s">
        <v>859</v>
      </c>
      <c r="C412" s="2" t="s">
        <v>860</v>
      </c>
      <c r="D412" s="23">
        <v>36</v>
      </c>
      <c r="E412" s="23">
        <v>0</v>
      </c>
      <c r="F412" s="23">
        <v>100</v>
      </c>
      <c r="G412" s="11">
        <v>0</v>
      </c>
      <c r="H412" s="23">
        <v>0</v>
      </c>
      <c r="I412" s="23">
        <v>-64</v>
      </c>
      <c r="J412" s="4">
        <v>21.45</v>
      </c>
      <c r="K412" s="4">
        <v>0</v>
      </c>
      <c r="L412" s="20">
        <f t="shared" si="6"/>
        <v>-64</v>
      </c>
    </row>
    <row r="413" spans="1:12" x14ac:dyDescent="0.25">
      <c r="A413" s="2" t="s">
        <v>959</v>
      </c>
      <c r="B413" s="2" t="s">
        <v>960</v>
      </c>
      <c r="C413" s="2" t="s">
        <v>887</v>
      </c>
      <c r="D413" s="23">
        <v>24</v>
      </c>
      <c r="E413" s="23">
        <v>0</v>
      </c>
      <c r="F413" s="23">
        <v>92</v>
      </c>
      <c r="G413" s="11">
        <v>0</v>
      </c>
      <c r="H413" s="23">
        <v>0</v>
      </c>
      <c r="I413" s="23">
        <v>-68</v>
      </c>
      <c r="J413" s="4">
        <v>33</v>
      </c>
      <c r="K413" s="4">
        <v>0</v>
      </c>
      <c r="L413" s="20">
        <f t="shared" si="6"/>
        <v>-68</v>
      </c>
    </row>
    <row r="414" spans="1:12" x14ac:dyDescent="0.25">
      <c r="A414" s="2" t="s">
        <v>445</v>
      </c>
      <c r="B414" s="2" t="s">
        <v>629</v>
      </c>
      <c r="C414" s="2" t="s">
        <v>628</v>
      </c>
      <c r="D414" s="23">
        <v>52</v>
      </c>
      <c r="E414" s="23">
        <v>14</v>
      </c>
      <c r="F414" s="23">
        <v>109</v>
      </c>
      <c r="G414" s="11">
        <v>34</v>
      </c>
      <c r="H414" s="23">
        <v>0</v>
      </c>
      <c r="I414" s="23">
        <v>-71</v>
      </c>
      <c r="J414" s="4">
        <v>250</v>
      </c>
      <c r="K414" s="4">
        <v>0</v>
      </c>
      <c r="L414" s="20">
        <f t="shared" si="6"/>
        <v>-105</v>
      </c>
    </row>
    <row r="415" spans="1:12" x14ac:dyDescent="0.25">
      <c r="A415" s="2" t="s">
        <v>516</v>
      </c>
      <c r="B415" s="2" t="s">
        <v>517</v>
      </c>
      <c r="C415" s="2" t="s">
        <v>346</v>
      </c>
      <c r="D415" s="23">
        <v>26</v>
      </c>
      <c r="E415" s="23">
        <v>9.5</v>
      </c>
      <c r="F415" s="23">
        <v>91</v>
      </c>
      <c r="G415" s="11">
        <v>17.800000000000004</v>
      </c>
      <c r="H415" s="23">
        <v>0</v>
      </c>
      <c r="I415" s="23">
        <v>-74.5</v>
      </c>
      <c r="J415" s="4">
        <v>85</v>
      </c>
      <c r="K415" s="4">
        <v>0</v>
      </c>
      <c r="L415" s="20">
        <f t="shared" si="6"/>
        <v>-92.300000000000011</v>
      </c>
    </row>
    <row r="416" spans="1:12" x14ac:dyDescent="0.25">
      <c r="A416" s="2" t="s">
        <v>3</v>
      </c>
      <c r="B416" s="2" t="s">
        <v>4</v>
      </c>
      <c r="C416" s="2" t="s">
        <v>1151</v>
      </c>
      <c r="D416" s="23">
        <v>74</v>
      </c>
      <c r="E416" s="23">
        <v>0</v>
      </c>
      <c r="F416" s="23">
        <v>150</v>
      </c>
      <c r="G416" s="11">
        <v>0</v>
      </c>
      <c r="H416" s="23">
        <v>0</v>
      </c>
      <c r="I416" s="23">
        <v>-76</v>
      </c>
      <c r="J416" s="4">
        <v>320</v>
      </c>
      <c r="K416" s="4">
        <v>0</v>
      </c>
      <c r="L416" s="20">
        <f t="shared" si="6"/>
        <v>-76</v>
      </c>
    </row>
    <row r="417" spans="1:12" x14ac:dyDescent="0.25">
      <c r="A417" s="2" t="s">
        <v>502</v>
      </c>
      <c r="B417" s="2" t="s">
        <v>503</v>
      </c>
      <c r="C417" s="2" t="s">
        <v>504</v>
      </c>
      <c r="D417" s="23">
        <v>38</v>
      </c>
      <c r="E417" s="23">
        <v>0</v>
      </c>
      <c r="F417" s="23">
        <v>115</v>
      </c>
      <c r="G417" s="11">
        <v>2</v>
      </c>
      <c r="H417" s="23">
        <v>0</v>
      </c>
      <c r="I417" s="23">
        <v>-77</v>
      </c>
      <c r="J417" s="4">
        <v>0.44000000000000017</v>
      </c>
      <c r="K417" s="4">
        <v>0</v>
      </c>
      <c r="L417" s="20">
        <f t="shared" si="6"/>
        <v>-79</v>
      </c>
    </row>
    <row r="418" spans="1:12" x14ac:dyDescent="0.25">
      <c r="A418" s="2" t="s">
        <v>238</v>
      </c>
      <c r="B418" s="2" t="s">
        <v>239</v>
      </c>
      <c r="C418" s="2" t="s">
        <v>240</v>
      </c>
      <c r="D418" s="23">
        <v>70.139999999999986</v>
      </c>
      <c r="E418" s="23">
        <v>38.800000000000004</v>
      </c>
      <c r="F418" s="23">
        <v>110</v>
      </c>
      <c r="G418" s="11">
        <v>57.220000000000013</v>
      </c>
      <c r="H418" s="23">
        <v>0</v>
      </c>
      <c r="I418" s="23">
        <v>-78.660000000000053</v>
      </c>
      <c r="J418" s="4">
        <v>40</v>
      </c>
      <c r="K418" s="4">
        <v>0</v>
      </c>
      <c r="L418" s="20">
        <f t="shared" si="6"/>
        <v>-135.88000000000005</v>
      </c>
    </row>
    <row r="419" spans="1:12" x14ac:dyDescent="0.25">
      <c r="A419" s="2" t="s">
        <v>979</v>
      </c>
      <c r="B419" s="2" t="s">
        <v>980</v>
      </c>
      <c r="C419" s="2" t="s">
        <v>220</v>
      </c>
      <c r="D419" s="23">
        <v>0.32</v>
      </c>
      <c r="E419" s="23">
        <v>0</v>
      </c>
      <c r="F419" s="23">
        <v>80</v>
      </c>
      <c r="G419" s="11">
        <v>56.839999999999961</v>
      </c>
      <c r="H419" s="23">
        <v>0</v>
      </c>
      <c r="I419" s="23">
        <v>-79.680000000000007</v>
      </c>
      <c r="J419" s="4">
        <v>9.5</v>
      </c>
      <c r="K419" s="4">
        <v>0</v>
      </c>
      <c r="L419" s="20">
        <f t="shared" si="6"/>
        <v>-136.51999999999998</v>
      </c>
    </row>
    <row r="420" spans="1:12" x14ac:dyDescent="0.25">
      <c r="A420" s="2" t="s">
        <v>282</v>
      </c>
      <c r="B420" s="2" t="s">
        <v>283</v>
      </c>
      <c r="C420" s="2" t="s">
        <v>240</v>
      </c>
      <c r="D420" s="23">
        <v>22.650000000000002</v>
      </c>
      <c r="E420" s="23">
        <v>0</v>
      </c>
      <c r="F420" s="23">
        <v>104</v>
      </c>
      <c r="G420" s="11">
        <v>-3.5527136788005009E-15</v>
      </c>
      <c r="H420" s="23">
        <v>0</v>
      </c>
      <c r="I420" s="23">
        <v>-81.34999999999998</v>
      </c>
      <c r="J420" s="4">
        <v>22</v>
      </c>
      <c r="K420" s="4">
        <v>0</v>
      </c>
      <c r="L420" s="20">
        <f t="shared" si="6"/>
        <v>-81.349999999999994</v>
      </c>
    </row>
    <row r="421" spans="1:12" x14ac:dyDescent="0.25">
      <c r="A421" s="2" t="s">
        <v>811</v>
      </c>
      <c r="B421" s="2" t="s">
        <v>812</v>
      </c>
      <c r="C421" s="2" t="s">
        <v>1021</v>
      </c>
      <c r="D421" s="23">
        <v>16</v>
      </c>
      <c r="E421" s="23">
        <v>0</v>
      </c>
      <c r="F421" s="23">
        <v>100</v>
      </c>
      <c r="G421" s="11">
        <v>138</v>
      </c>
      <c r="H421" s="23">
        <v>0</v>
      </c>
      <c r="I421" s="23">
        <v>-84</v>
      </c>
      <c r="J421" s="4">
        <v>8</v>
      </c>
      <c r="K421" s="4">
        <v>0</v>
      </c>
      <c r="L421" s="20">
        <f t="shared" si="6"/>
        <v>-222</v>
      </c>
    </row>
    <row r="422" spans="1:12" x14ac:dyDescent="0.25">
      <c r="A422" s="2" t="s">
        <v>915</v>
      </c>
      <c r="B422" s="2" t="s">
        <v>916</v>
      </c>
      <c r="C422" s="2" t="s">
        <v>826</v>
      </c>
      <c r="D422" s="23">
        <v>15</v>
      </c>
      <c r="E422" s="23">
        <v>0</v>
      </c>
      <c r="F422" s="23">
        <v>100</v>
      </c>
      <c r="G422" s="11">
        <v>26</v>
      </c>
      <c r="H422" s="23">
        <v>0</v>
      </c>
      <c r="I422" s="23">
        <v>-85</v>
      </c>
      <c r="J422" s="4">
        <v>49.1</v>
      </c>
      <c r="K422" s="4">
        <v>0</v>
      </c>
      <c r="L422" s="20">
        <f t="shared" si="6"/>
        <v>-111</v>
      </c>
    </row>
    <row r="423" spans="1:12" x14ac:dyDescent="0.25">
      <c r="A423" s="2" t="s">
        <v>913</v>
      </c>
      <c r="B423" s="2" t="s">
        <v>914</v>
      </c>
      <c r="C423" s="2" t="s">
        <v>826</v>
      </c>
      <c r="D423" s="23">
        <v>15</v>
      </c>
      <c r="E423" s="23">
        <v>0</v>
      </c>
      <c r="F423" s="23">
        <v>100</v>
      </c>
      <c r="G423" s="11">
        <v>26</v>
      </c>
      <c r="H423" s="23">
        <v>0</v>
      </c>
      <c r="I423" s="23">
        <v>-85</v>
      </c>
      <c r="J423" s="4">
        <v>49.1</v>
      </c>
      <c r="K423" s="4">
        <v>0</v>
      </c>
      <c r="L423" s="20">
        <f t="shared" si="6"/>
        <v>-111</v>
      </c>
    </row>
    <row r="424" spans="1:12" x14ac:dyDescent="0.25">
      <c r="A424" s="2" t="s">
        <v>204</v>
      </c>
      <c r="B424" s="2" t="s">
        <v>205</v>
      </c>
      <c r="C424" s="2" t="s">
        <v>220</v>
      </c>
      <c r="D424" s="23">
        <v>10.5</v>
      </c>
      <c r="E424" s="23">
        <v>0</v>
      </c>
      <c r="F424" s="23">
        <v>100</v>
      </c>
      <c r="G424" s="11">
        <v>41</v>
      </c>
      <c r="H424" s="23">
        <v>0</v>
      </c>
      <c r="I424" s="23">
        <v>-89.5</v>
      </c>
      <c r="J424" s="4">
        <v>60</v>
      </c>
      <c r="K424" s="4">
        <v>0</v>
      </c>
      <c r="L424" s="20">
        <f t="shared" si="6"/>
        <v>-130.5</v>
      </c>
    </row>
    <row r="425" spans="1:12" x14ac:dyDescent="0.25">
      <c r="A425" s="2" t="s">
        <v>902</v>
      </c>
      <c r="B425" s="2" t="s">
        <v>903</v>
      </c>
      <c r="C425" s="2" t="s">
        <v>1020</v>
      </c>
      <c r="D425" s="23">
        <v>12</v>
      </c>
      <c r="E425" s="23">
        <v>0</v>
      </c>
      <c r="F425" s="23">
        <v>102</v>
      </c>
      <c r="G425" s="11">
        <v>0</v>
      </c>
      <c r="H425" s="23">
        <v>0</v>
      </c>
      <c r="I425" s="23">
        <v>-90</v>
      </c>
      <c r="J425" s="4">
        <v>7</v>
      </c>
      <c r="K425" s="4">
        <v>0</v>
      </c>
      <c r="L425" s="20">
        <f t="shared" si="6"/>
        <v>-90</v>
      </c>
    </row>
    <row r="426" spans="1:12" x14ac:dyDescent="0.25">
      <c r="A426" s="2" t="s">
        <v>477</v>
      </c>
      <c r="B426" s="2" t="s">
        <v>564</v>
      </c>
      <c r="C426" s="2" t="s">
        <v>240</v>
      </c>
      <c r="D426" s="23">
        <v>9.5</v>
      </c>
      <c r="E426" s="23">
        <v>0</v>
      </c>
      <c r="F426" s="23">
        <v>100</v>
      </c>
      <c r="G426" s="11">
        <v>0</v>
      </c>
      <c r="H426" s="23">
        <v>0</v>
      </c>
      <c r="I426" s="23">
        <v>-90.5</v>
      </c>
      <c r="J426" s="4">
        <v>13.5</v>
      </c>
      <c r="K426" s="4">
        <v>0</v>
      </c>
      <c r="L426" s="20">
        <f t="shared" si="6"/>
        <v>-90.5</v>
      </c>
    </row>
    <row r="427" spans="1:12" x14ac:dyDescent="0.25">
      <c r="A427" s="2" t="s">
        <v>367</v>
      </c>
      <c r="B427" s="2" t="s">
        <v>368</v>
      </c>
      <c r="C427" s="2" t="s">
        <v>369</v>
      </c>
      <c r="D427" s="23">
        <v>909</v>
      </c>
      <c r="E427" s="23">
        <v>0</v>
      </c>
      <c r="F427" s="23">
        <v>1000</v>
      </c>
      <c r="G427" s="11">
        <v>396</v>
      </c>
      <c r="H427" s="23">
        <v>0</v>
      </c>
      <c r="I427" s="23">
        <v>-91</v>
      </c>
      <c r="J427" s="4">
        <v>12.5</v>
      </c>
      <c r="K427" s="4">
        <v>0</v>
      </c>
      <c r="L427" s="20">
        <f t="shared" si="6"/>
        <v>-487</v>
      </c>
    </row>
    <row r="428" spans="1:12" x14ac:dyDescent="0.25">
      <c r="A428" s="2" t="s">
        <v>658</v>
      </c>
      <c r="B428" s="2" t="s">
        <v>659</v>
      </c>
      <c r="C428" s="2" t="s">
        <v>240</v>
      </c>
      <c r="D428" s="23">
        <v>8</v>
      </c>
      <c r="E428" s="23">
        <v>2</v>
      </c>
      <c r="F428" s="23">
        <v>0</v>
      </c>
      <c r="G428" s="11">
        <v>65</v>
      </c>
      <c r="H428" s="23">
        <v>100</v>
      </c>
      <c r="I428" s="23">
        <v>-94</v>
      </c>
      <c r="J428" s="4">
        <v>115</v>
      </c>
      <c r="K428" s="4">
        <v>0</v>
      </c>
      <c r="L428" s="20">
        <f t="shared" si="6"/>
        <v>-159</v>
      </c>
    </row>
    <row r="429" spans="1:12" x14ac:dyDescent="0.25">
      <c r="A429" s="2" t="s">
        <v>945</v>
      </c>
      <c r="B429" s="2" t="s">
        <v>946</v>
      </c>
      <c r="C429" s="2" t="s">
        <v>240</v>
      </c>
      <c r="D429" s="23">
        <v>6</v>
      </c>
      <c r="E429" s="23">
        <v>0</v>
      </c>
      <c r="F429" s="23">
        <v>100</v>
      </c>
      <c r="G429" s="11">
        <v>1016</v>
      </c>
      <c r="H429" s="23">
        <v>0</v>
      </c>
      <c r="I429" s="23">
        <v>-94</v>
      </c>
      <c r="J429" s="4">
        <v>1.3</v>
      </c>
      <c r="K429" s="4">
        <v>0</v>
      </c>
      <c r="L429" s="20">
        <f t="shared" si="6"/>
        <v>-1110</v>
      </c>
    </row>
    <row r="430" spans="1:12" x14ac:dyDescent="0.25">
      <c r="A430" s="2" t="s">
        <v>823</v>
      </c>
      <c r="B430" s="2" t="s">
        <v>824</v>
      </c>
      <c r="C430" s="2" t="s">
        <v>1021</v>
      </c>
      <c r="D430" s="23">
        <v>88</v>
      </c>
      <c r="E430" s="23">
        <v>8</v>
      </c>
      <c r="F430" s="23">
        <v>175</v>
      </c>
      <c r="G430" s="11">
        <v>0</v>
      </c>
      <c r="H430" s="23">
        <v>0</v>
      </c>
      <c r="I430" s="23">
        <v>-95</v>
      </c>
      <c r="J430" s="4">
        <v>8.42</v>
      </c>
      <c r="K430" s="4">
        <v>0</v>
      </c>
      <c r="L430" s="20">
        <f t="shared" si="6"/>
        <v>-95</v>
      </c>
    </row>
    <row r="431" spans="1:12" x14ac:dyDescent="0.25">
      <c r="A431" s="2" t="s">
        <v>1198</v>
      </c>
      <c r="B431" s="2" t="s">
        <v>1199</v>
      </c>
      <c r="C431" s="2" t="s">
        <v>761</v>
      </c>
      <c r="D431" s="23">
        <v>16</v>
      </c>
      <c r="E431" s="23">
        <v>0</v>
      </c>
      <c r="F431" s="23">
        <v>113</v>
      </c>
      <c r="G431" s="11">
        <v>0</v>
      </c>
      <c r="H431" s="23">
        <v>0</v>
      </c>
      <c r="I431" s="23">
        <v>-97</v>
      </c>
      <c r="J431" s="4">
        <v>75</v>
      </c>
      <c r="K431" s="4">
        <v>0</v>
      </c>
      <c r="L431" s="20">
        <f t="shared" si="6"/>
        <v>-97</v>
      </c>
    </row>
    <row r="432" spans="1:12" x14ac:dyDescent="0.25">
      <c r="A432" s="2" t="s">
        <v>13</v>
      </c>
      <c r="B432" s="2" t="s">
        <v>14</v>
      </c>
      <c r="C432" s="2" t="s">
        <v>635</v>
      </c>
      <c r="D432" s="23">
        <v>3</v>
      </c>
      <c r="E432" s="23">
        <v>0</v>
      </c>
      <c r="F432" s="23">
        <v>100</v>
      </c>
      <c r="G432" s="11">
        <v>1.1368683772161603E-13</v>
      </c>
      <c r="H432" s="23">
        <v>0</v>
      </c>
      <c r="I432" s="23">
        <v>-97</v>
      </c>
      <c r="J432" s="4">
        <v>24</v>
      </c>
      <c r="K432" s="4">
        <v>0</v>
      </c>
      <c r="L432" s="20">
        <f t="shared" si="6"/>
        <v>-97.000000000000114</v>
      </c>
    </row>
    <row r="433" spans="1:12" x14ac:dyDescent="0.25">
      <c r="A433" s="2" t="s">
        <v>1129</v>
      </c>
      <c r="B433" s="2" t="s">
        <v>1130</v>
      </c>
      <c r="C433" s="2" t="s">
        <v>240</v>
      </c>
      <c r="D433" s="23">
        <v>5</v>
      </c>
      <c r="E433" s="23">
        <v>5</v>
      </c>
      <c r="F433" s="23">
        <v>100</v>
      </c>
      <c r="G433" s="11">
        <v>117</v>
      </c>
      <c r="H433" s="23">
        <v>0</v>
      </c>
      <c r="I433" s="23">
        <v>-100</v>
      </c>
      <c r="J433" s="4">
        <v>13.5</v>
      </c>
      <c r="K433" s="4">
        <v>0</v>
      </c>
      <c r="L433" s="20">
        <f t="shared" si="6"/>
        <v>-217</v>
      </c>
    </row>
    <row r="434" spans="1:12" x14ac:dyDescent="0.25">
      <c r="A434" s="2" t="s">
        <v>546</v>
      </c>
      <c r="B434" s="2" t="s">
        <v>547</v>
      </c>
      <c r="C434" s="2" t="s">
        <v>1020</v>
      </c>
      <c r="D434" s="23">
        <v>9</v>
      </c>
      <c r="E434" s="23">
        <v>9</v>
      </c>
      <c r="F434" s="23">
        <v>106</v>
      </c>
      <c r="G434" s="11">
        <v>9</v>
      </c>
      <c r="H434" s="23">
        <v>0</v>
      </c>
      <c r="I434" s="23">
        <v>-106</v>
      </c>
      <c r="J434" s="4">
        <v>90</v>
      </c>
      <c r="K434" s="4">
        <v>0</v>
      </c>
      <c r="L434" s="20">
        <f t="shared" si="6"/>
        <v>-115</v>
      </c>
    </row>
    <row r="435" spans="1:12" x14ac:dyDescent="0.25">
      <c r="A435" s="2" t="s">
        <v>616</v>
      </c>
      <c r="B435" s="2" t="s">
        <v>617</v>
      </c>
      <c r="C435" s="2" t="s">
        <v>1020</v>
      </c>
      <c r="D435" s="23">
        <v>5</v>
      </c>
      <c r="E435" s="23">
        <v>0</v>
      </c>
      <c r="F435" s="23">
        <v>114</v>
      </c>
      <c r="G435" s="11">
        <v>0</v>
      </c>
      <c r="H435" s="23">
        <v>0</v>
      </c>
      <c r="I435" s="23">
        <v>-109</v>
      </c>
      <c r="J435" s="4">
        <v>10</v>
      </c>
      <c r="K435" s="4">
        <v>0</v>
      </c>
      <c r="L435" s="20">
        <f t="shared" si="6"/>
        <v>-109</v>
      </c>
    </row>
    <row r="436" spans="1:12" x14ac:dyDescent="0.25">
      <c r="A436" s="2" t="s">
        <v>294</v>
      </c>
      <c r="B436" s="2" t="s">
        <v>295</v>
      </c>
      <c r="C436" s="2" t="s">
        <v>826</v>
      </c>
      <c r="D436" s="23">
        <v>12</v>
      </c>
      <c r="E436" s="23">
        <v>9</v>
      </c>
      <c r="F436" s="23">
        <v>118</v>
      </c>
      <c r="G436" s="11">
        <v>21</v>
      </c>
      <c r="H436" s="23">
        <v>0</v>
      </c>
      <c r="I436" s="23">
        <v>-115</v>
      </c>
      <c r="J436" s="4">
        <v>14.33</v>
      </c>
      <c r="K436" s="4">
        <v>0</v>
      </c>
      <c r="L436" s="20">
        <f t="shared" si="6"/>
        <v>-136</v>
      </c>
    </row>
    <row r="437" spans="1:12" x14ac:dyDescent="0.25">
      <c r="A437" s="2" t="s">
        <v>699</v>
      </c>
      <c r="B437" s="2" t="s">
        <v>700</v>
      </c>
      <c r="C437" s="2" t="s">
        <v>220</v>
      </c>
      <c r="D437" s="23">
        <v>21</v>
      </c>
      <c r="E437" s="23">
        <v>5</v>
      </c>
      <c r="F437" s="23">
        <v>135</v>
      </c>
      <c r="G437" s="11">
        <v>7</v>
      </c>
      <c r="H437" s="23">
        <v>0</v>
      </c>
      <c r="I437" s="23">
        <v>-119</v>
      </c>
      <c r="J437" s="4">
        <v>39.600000000000009</v>
      </c>
      <c r="K437" s="4">
        <v>0</v>
      </c>
      <c r="L437" s="20">
        <f t="shared" si="6"/>
        <v>-126</v>
      </c>
    </row>
    <row r="438" spans="1:12" x14ac:dyDescent="0.25">
      <c r="A438" s="2" t="s">
        <v>56</v>
      </c>
      <c r="B438" s="2" t="s">
        <v>57</v>
      </c>
      <c r="C438" s="2" t="s">
        <v>826</v>
      </c>
      <c r="D438" s="23">
        <v>24</v>
      </c>
      <c r="E438" s="23">
        <v>6</v>
      </c>
      <c r="F438" s="23">
        <v>140</v>
      </c>
      <c r="G438" s="11">
        <v>0</v>
      </c>
      <c r="H438" s="23">
        <v>0</v>
      </c>
      <c r="I438" s="23">
        <v>-122</v>
      </c>
      <c r="J438" s="4">
        <v>25.42</v>
      </c>
      <c r="K438" s="4">
        <v>0</v>
      </c>
      <c r="L438" s="20">
        <f t="shared" si="6"/>
        <v>-122</v>
      </c>
    </row>
    <row r="439" spans="1:12" x14ac:dyDescent="0.25">
      <c r="A439" s="2" t="s">
        <v>986</v>
      </c>
      <c r="B439" s="2" t="s">
        <v>987</v>
      </c>
      <c r="C439" s="2" t="s">
        <v>490</v>
      </c>
      <c r="D439" s="23">
        <v>29.5</v>
      </c>
      <c r="E439" s="23">
        <v>14.5</v>
      </c>
      <c r="F439" s="23">
        <v>139</v>
      </c>
      <c r="G439" s="11">
        <v>45.499999999999943</v>
      </c>
      <c r="H439" s="23">
        <v>0</v>
      </c>
      <c r="I439" s="23">
        <v>-124</v>
      </c>
      <c r="J439" s="4">
        <v>233.95</v>
      </c>
      <c r="K439" s="4">
        <v>0</v>
      </c>
      <c r="L439" s="20">
        <f t="shared" si="6"/>
        <v>-169.49999999999994</v>
      </c>
    </row>
    <row r="440" spans="1:12" x14ac:dyDescent="0.25">
      <c r="A440" s="2" t="s">
        <v>852</v>
      </c>
      <c r="B440" s="2" t="s">
        <v>853</v>
      </c>
      <c r="C440" s="2" t="s">
        <v>1021</v>
      </c>
      <c r="D440" s="23">
        <v>116</v>
      </c>
      <c r="E440" s="23">
        <v>0</v>
      </c>
      <c r="F440" s="23">
        <v>250</v>
      </c>
      <c r="G440" s="11">
        <v>835</v>
      </c>
      <c r="H440" s="23">
        <v>0</v>
      </c>
      <c r="I440" s="23">
        <v>-134</v>
      </c>
      <c r="J440" s="4">
        <v>1.5799999999999998</v>
      </c>
      <c r="K440" s="4">
        <v>0</v>
      </c>
      <c r="L440" s="20">
        <f t="shared" si="6"/>
        <v>-969</v>
      </c>
    </row>
    <row r="441" spans="1:12" x14ac:dyDescent="0.25">
      <c r="A441" s="2" t="s">
        <v>861</v>
      </c>
      <c r="B441" s="2" t="s">
        <v>862</v>
      </c>
      <c r="C441" s="2" t="s">
        <v>860</v>
      </c>
      <c r="D441" s="23">
        <v>36</v>
      </c>
      <c r="E441" s="23">
        <v>0</v>
      </c>
      <c r="F441" s="23">
        <v>178</v>
      </c>
      <c r="G441" s="11">
        <v>0</v>
      </c>
      <c r="H441" s="23">
        <v>0</v>
      </c>
      <c r="I441" s="23">
        <v>-142</v>
      </c>
      <c r="J441" s="4">
        <v>3.4500000000000006</v>
      </c>
      <c r="K441" s="4">
        <v>0</v>
      </c>
      <c r="L441" s="20">
        <f t="shared" si="6"/>
        <v>-142</v>
      </c>
    </row>
    <row r="442" spans="1:12" x14ac:dyDescent="0.25">
      <c r="A442" s="2" t="s">
        <v>534</v>
      </c>
      <c r="B442" s="2" t="s">
        <v>535</v>
      </c>
      <c r="C442" s="2" t="s">
        <v>240</v>
      </c>
      <c r="D442" s="23">
        <v>66</v>
      </c>
      <c r="E442" s="23">
        <v>0</v>
      </c>
      <c r="F442" s="23">
        <v>212</v>
      </c>
      <c r="G442" s="11">
        <v>625</v>
      </c>
      <c r="H442" s="23">
        <v>0</v>
      </c>
      <c r="I442" s="23">
        <v>-146</v>
      </c>
      <c r="J442" s="4">
        <v>3.9500000000000006</v>
      </c>
      <c r="K442" s="4">
        <v>0</v>
      </c>
      <c r="L442" s="20">
        <f t="shared" si="6"/>
        <v>-771</v>
      </c>
    </row>
    <row r="443" spans="1:12" x14ac:dyDescent="0.25">
      <c r="A443" s="2" t="s">
        <v>410</v>
      </c>
      <c r="B443" s="2" t="s">
        <v>411</v>
      </c>
      <c r="C443" s="2" t="s">
        <v>220</v>
      </c>
      <c r="D443" s="23">
        <v>0.23500000000000001</v>
      </c>
      <c r="E443" s="23">
        <v>0</v>
      </c>
      <c r="F443" s="23">
        <v>150</v>
      </c>
      <c r="G443" s="11">
        <v>0</v>
      </c>
      <c r="H443" s="23">
        <v>0</v>
      </c>
      <c r="I443" s="23">
        <v>-149.76499999999993</v>
      </c>
      <c r="J443" s="4">
        <v>1.8</v>
      </c>
      <c r="K443" s="4">
        <v>0</v>
      </c>
      <c r="L443" s="20">
        <f t="shared" si="6"/>
        <v>-149.76499999999999</v>
      </c>
    </row>
    <row r="444" spans="1:12" x14ac:dyDescent="0.25">
      <c r="A444" s="2" t="s">
        <v>520</v>
      </c>
      <c r="B444" s="2" t="s">
        <v>521</v>
      </c>
      <c r="C444" s="2" t="s">
        <v>887</v>
      </c>
      <c r="D444" s="23">
        <v>40</v>
      </c>
      <c r="E444" s="23">
        <v>5</v>
      </c>
      <c r="F444" s="23">
        <v>200</v>
      </c>
      <c r="G444" s="11">
        <v>70</v>
      </c>
      <c r="H444" s="23">
        <v>0</v>
      </c>
      <c r="I444" s="23">
        <v>-165</v>
      </c>
      <c r="J444" s="4">
        <v>10</v>
      </c>
      <c r="K444" s="4">
        <v>0</v>
      </c>
      <c r="L444" s="20">
        <f t="shared" si="6"/>
        <v>-235</v>
      </c>
    </row>
    <row r="445" spans="1:12" x14ac:dyDescent="0.25">
      <c r="A445" s="2" t="s">
        <v>538</v>
      </c>
      <c r="B445" s="2" t="s">
        <v>539</v>
      </c>
      <c r="C445" s="2" t="s">
        <v>1020</v>
      </c>
      <c r="D445" s="23">
        <v>86</v>
      </c>
      <c r="E445" s="23">
        <v>2</v>
      </c>
      <c r="F445" s="23">
        <v>250</v>
      </c>
      <c r="G445" s="11">
        <v>3</v>
      </c>
      <c r="H445" s="23">
        <v>0</v>
      </c>
      <c r="I445" s="23">
        <v>-166</v>
      </c>
      <c r="J445" s="4">
        <v>2</v>
      </c>
      <c r="K445" s="4">
        <v>0</v>
      </c>
      <c r="L445" s="20">
        <f t="shared" si="6"/>
        <v>-169</v>
      </c>
    </row>
    <row r="446" spans="1:12" x14ac:dyDescent="0.25">
      <c r="A446" s="2" t="s">
        <v>464</v>
      </c>
      <c r="B446" s="2" t="s">
        <v>465</v>
      </c>
      <c r="C446" s="2" t="s">
        <v>240</v>
      </c>
      <c r="D446" s="23">
        <v>56</v>
      </c>
      <c r="E446" s="23">
        <v>0</v>
      </c>
      <c r="F446" s="23">
        <v>222</v>
      </c>
      <c r="G446" s="11">
        <v>2</v>
      </c>
      <c r="H446" s="23">
        <v>0</v>
      </c>
      <c r="I446" s="23">
        <v>-166</v>
      </c>
      <c r="J446" s="4">
        <v>11.5</v>
      </c>
      <c r="K446" s="4">
        <v>0</v>
      </c>
      <c r="L446" s="20">
        <f t="shared" si="6"/>
        <v>-168</v>
      </c>
    </row>
    <row r="447" spans="1:12" x14ac:dyDescent="0.25">
      <c r="A447" s="2" t="s">
        <v>404</v>
      </c>
      <c r="B447" s="2" t="s">
        <v>405</v>
      </c>
      <c r="C447" s="2" t="s">
        <v>826</v>
      </c>
      <c r="D447" s="23">
        <v>75</v>
      </c>
      <c r="E447" s="23">
        <v>10</v>
      </c>
      <c r="F447" s="23">
        <v>234</v>
      </c>
      <c r="G447" s="11">
        <v>30</v>
      </c>
      <c r="H447" s="23">
        <v>0</v>
      </c>
      <c r="I447" s="23">
        <v>-169</v>
      </c>
      <c r="J447" s="4">
        <v>15.210000000000006</v>
      </c>
      <c r="K447" s="4">
        <v>0</v>
      </c>
      <c r="L447" s="20">
        <f t="shared" si="6"/>
        <v>-199</v>
      </c>
    </row>
    <row r="448" spans="1:12" x14ac:dyDescent="0.25">
      <c r="A448" s="2" t="s">
        <v>98</v>
      </c>
      <c r="B448" s="2" t="s">
        <v>248</v>
      </c>
      <c r="C448" s="2" t="s">
        <v>825</v>
      </c>
      <c r="D448" s="23">
        <v>123</v>
      </c>
      <c r="E448" s="23">
        <v>65</v>
      </c>
      <c r="F448" s="23">
        <v>230</v>
      </c>
      <c r="G448" s="11">
        <v>72</v>
      </c>
      <c r="H448" s="23">
        <v>0</v>
      </c>
      <c r="I448" s="23">
        <v>-172</v>
      </c>
      <c r="J448" s="4">
        <v>225</v>
      </c>
      <c r="K448" s="4">
        <v>0</v>
      </c>
      <c r="L448" s="20">
        <f t="shared" si="6"/>
        <v>-244</v>
      </c>
    </row>
    <row r="449" spans="1:12" x14ac:dyDescent="0.25">
      <c r="A449" s="2" t="s">
        <v>424</v>
      </c>
      <c r="B449" s="2" t="s">
        <v>425</v>
      </c>
      <c r="C449" s="2" t="s">
        <v>220</v>
      </c>
      <c r="D449" s="23">
        <v>1</v>
      </c>
      <c r="E449" s="23">
        <v>1</v>
      </c>
      <c r="F449" s="23">
        <v>181</v>
      </c>
      <c r="G449" s="11">
        <v>3</v>
      </c>
      <c r="H449" s="23">
        <v>0</v>
      </c>
      <c r="I449" s="23">
        <v>-181</v>
      </c>
      <c r="J449" s="4">
        <v>39.6</v>
      </c>
      <c r="K449" s="4">
        <v>0</v>
      </c>
      <c r="L449" s="20">
        <f t="shared" si="6"/>
        <v>-184</v>
      </c>
    </row>
    <row r="450" spans="1:12" x14ac:dyDescent="0.25">
      <c r="A450" s="2" t="s">
        <v>809</v>
      </c>
      <c r="B450" s="2" t="s">
        <v>810</v>
      </c>
      <c r="C450" s="2" t="s">
        <v>1021</v>
      </c>
      <c r="D450" s="23">
        <v>16</v>
      </c>
      <c r="E450" s="23">
        <v>0</v>
      </c>
      <c r="F450" s="23">
        <v>200</v>
      </c>
      <c r="G450" s="11">
        <v>180</v>
      </c>
      <c r="H450" s="23">
        <v>0</v>
      </c>
      <c r="I450" s="23">
        <v>-184</v>
      </c>
      <c r="J450" s="4">
        <v>5.04</v>
      </c>
      <c r="K450" s="4">
        <v>0</v>
      </c>
      <c r="L450" s="20">
        <f t="shared" si="6"/>
        <v>-364</v>
      </c>
    </row>
    <row r="451" spans="1:12" x14ac:dyDescent="0.25">
      <c r="A451" s="2" t="s">
        <v>233</v>
      </c>
      <c r="B451" s="2" t="s">
        <v>234</v>
      </c>
      <c r="C451" s="2" t="s">
        <v>220</v>
      </c>
      <c r="D451" s="23">
        <v>38</v>
      </c>
      <c r="E451" s="23">
        <v>0</v>
      </c>
      <c r="F451" s="23">
        <v>222</v>
      </c>
      <c r="G451" s="11">
        <v>90</v>
      </c>
      <c r="H451" s="23">
        <v>0</v>
      </c>
      <c r="I451" s="23">
        <v>-184</v>
      </c>
      <c r="J451" s="4">
        <v>4</v>
      </c>
      <c r="K451" s="4">
        <v>0</v>
      </c>
      <c r="L451" s="20">
        <f t="shared" si="6"/>
        <v>-274</v>
      </c>
    </row>
    <row r="452" spans="1:12" x14ac:dyDescent="0.25">
      <c r="A452" s="2" t="s">
        <v>344</v>
      </c>
      <c r="B452" s="2" t="s">
        <v>345</v>
      </c>
      <c r="C452" s="2" t="s">
        <v>346</v>
      </c>
      <c r="D452" s="23">
        <v>42</v>
      </c>
      <c r="E452" s="23">
        <v>0</v>
      </c>
      <c r="F452" s="23">
        <v>228</v>
      </c>
      <c r="G452" s="11">
        <v>4.2632564145606011E-14</v>
      </c>
      <c r="H452" s="23">
        <v>0</v>
      </c>
      <c r="I452" s="23">
        <v>-186</v>
      </c>
      <c r="J452" s="4">
        <v>6</v>
      </c>
      <c r="K452" s="4">
        <v>0</v>
      </c>
      <c r="L452" s="20">
        <f t="shared" si="6"/>
        <v>-186.00000000000006</v>
      </c>
    </row>
    <row r="453" spans="1:12" x14ac:dyDescent="0.25">
      <c r="A453" s="2" t="s">
        <v>798</v>
      </c>
      <c r="B453" s="2" t="s">
        <v>799</v>
      </c>
      <c r="C453" s="2" t="s">
        <v>887</v>
      </c>
      <c r="D453" s="23">
        <v>12</v>
      </c>
      <c r="E453" s="23">
        <v>0</v>
      </c>
      <c r="F453" s="23">
        <v>200</v>
      </c>
      <c r="G453" s="11">
        <v>0</v>
      </c>
      <c r="H453" s="23">
        <v>0</v>
      </c>
      <c r="I453" s="23">
        <v>-188</v>
      </c>
      <c r="J453" s="4">
        <v>10</v>
      </c>
      <c r="K453" s="4">
        <v>0</v>
      </c>
      <c r="L453" s="20">
        <f t="shared" si="6"/>
        <v>-188</v>
      </c>
    </row>
    <row r="454" spans="1:12" x14ac:dyDescent="0.25">
      <c r="A454" s="2" t="s">
        <v>655</v>
      </c>
      <c r="B454" s="2" t="s">
        <v>656</v>
      </c>
      <c r="C454" s="2" t="s">
        <v>220</v>
      </c>
      <c r="D454" s="23">
        <v>26</v>
      </c>
      <c r="E454" s="23">
        <v>0</v>
      </c>
      <c r="F454" s="23">
        <v>216</v>
      </c>
      <c r="G454" s="11">
        <v>118</v>
      </c>
      <c r="H454" s="23">
        <v>0</v>
      </c>
      <c r="I454" s="23">
        <v>-190</v>
      </c>
      <c r="J454" s="4">
        <v>3.9500000000000006</v>
      </c>
      <c r="K454" s="4">
        <v>0</v>
      </c>
      <c r="L454" s="20">
        <f t="shared" si="6"/>
        <v>-308</v>
      </c>
    </row>
    <row r="455" spans="1:12" x14ac:dyDescent="0.25">
      <c r="A455" s="2" t="s">
        <v>720</v>
      </c>
      <c r="B455" s="2" t="s">
        <v>721</v>
      </c>
      <c r="C455" s="2" t="s">
        <v>887</v>
      </c>
      <c r="D455" s="23">
        <v>10</v>
      </c>
      <c r="E455" s="23">
        <v>0</v>
      </c>
      <c r="F455" s="23">
        <v>200</v>
      </c>
      <c r="G455" s="11">
        <v>88</v>
      </c>
      <c r="H455" s="23">
        <v>0</v>
      </c>
      <c r="I455" s="23">
        <v>-190</v>
      </c>
      <c r="J455" s="4">
        <v>10</v>
      </c>
      <c r="K455" s="4">
        <v>0</v>
      </c>
      <c r="L455" s="20">
        <f t="shared" si="6"/>
        <v>-278</v>
      </c>
    </row>
    <row r="456" spans="1:12" x14ac:dyDescent="0.25">
      <c r="A456" s="2" t="s">
        <v>524</v>
      </c>
      <c r="B456" s="2" t="s">
        <v>525</v>
      </c>
      <c r="C456" s="2" t="s">
        <v>887</v>
      </c>
      <c r="D456" s="23">
        <v>148</v>
      </c>
      <c r="E456" s="23">
        <v>40</v>
      </c>
      <c r="F456" s="23">
        <v>300</v>
      </c>
      <c r="G456" s="11">
        <v>325</v>
      </c>
      <c r="H456" s="23">
        <v>0</v>
      </c>
      <c r="I456" s="23">
        <v>-192</v>
      </c>
      <c r="J456" s="4">
        <v>12</v>
      </c>
      <c r="K456" s="4">
        <v>0</v>
      </c>
      <c r="L456" s="20">
        <f t="shared" si="6"/>
        <v>-517</v>
      </c>
    </row>
    <row r="457" spans="1:12" x14ac:dyDescent="0.25">
      <c r="A457" s="2" t="s">
        <v>123</v>
      </c>
      <c r="B457" s="2" t="s">
        <v>633</v>
      </c>
      <c r="C457" s="2" t="s">
        <v>826</v>
      </c>
      <c r="D457" s="23">
        <v>3.8500000000000005</v>
      </c>
      <c r="E457" s="23">
        <v>0</v>
      </c>
      <c r="F457" s="23">
        <v>200</v>
      </c>
      <c r="G457" s="11">
        <v>5.6843418860808015E-14</v>
      </c>
      <c r="H457" s="23">
        <v>0</v>
      </c>
      <c r="I457" s="23">
        <v>-196.15000000000006</v>
      </c>
      <c r="J457" s="4">
        <v>2.89</v>
      </c>
      <c r="K457" s="4">
        <v>0</v>
      </c>
      <c r="L457" s="20">
        <f t="shared" si="6"/>
        <v>-196.15000000000006</v>
      </c>
    </row>
    <row r="458" spans="1:12" x14ac:dyDescent="0.25">
      <c r="A458" s="2" t="s">
        <v>716</v>
      </c>
      <c r="B458" s="2" t="s">
        <v>717</v>
      </c>
      <c r="C458" s="2" t="s">
        <v>826</v>
      </c>
      <c r="D458" s="23">
        <v>3.600000000000001</v>
      </c>
      <c r="E458" s="23">
        <v>0</v>
      </c>
      <c r="F458" s="23">
        <v>200</v>
      </c>
      <c r="G458" s="11">
        <v>85.65000000000002</v>
      </c>
      <c r="H458" s="23">
        <v>0</v>
      </c>
      <c r="I458" s="23">
        <v>-196.40000000000006</v>
      </c>
      <c r="J458" s="4">
        <v>3.6199999999999992</v>
      </c>
      <c r="K458" s="4">
        <v>0</v>
      </c>
      <c r="L458" s="20">
        <f t="shared" si="6"/>
        <v>-282.05</v>
      </c>
    </row>
    <row r="459" spans="1:12" x14ac:dyDescent="0.25">
      <c r="A459" s="2" t="s">
        <v>155</v>
      </c>
      <c r="B459" s="2" t="s">
        <v>156</v>
      </c>
      <c r="C459" s="2" t="s">
        <v>635</v>
      </c>
      <c r="D459" s="23">
        <v>1.05</v>
      </c>
      <c r="E459" s="23">
        <v>0</v>
      </c>
      <c r="F459" s="23">
        <v>200</v>
      </c>
      <c r="G459" s="11">
        <v>74.999999999999957</v>
      </c>
      <c r="H459" s="23">
        <v>0</v>
      </c>
      <c r="I459" s="23">
        <v>-198.95000000000002</v>
      </c>
      <c r="J459" s="4">
        <v>7.3999999999999995</v>
      </c>
      <c r="K459" s="4">
        <v>0</v>
      </c>
      <c r="L459" s="20">
        <f t="shared" si="6"/>
        <v>-273.94999999999993</v>
      </c>
    </row>
    <row r="460" spans="1:12" x14ac:dyDescent="0.25">
      <c r="A460" s="2" t="s">
        <v>229</v>
      </c>
      <c r="B460" s="2" t="s">
        <v>230</v>
      </c>
      <c r="C460" s="2" t="s">
        <v>220</v>
      </c>
      <c r="D460" s="23">
        <v>38</v>
      </c>
      <c r="E460" s="23">
        <v>0</v>
      </c>
      <c r="F460" s="23">
        <v>238</v>
      </c>
      <c r="G460" s="11">
        <v>90</v>
      </c>
      <c r="H460" s="23">
        <v>0</v>
      </c>
      <c r="I460" s="23">
        <v>-200</v>
      </c>
      <c r="J460" s="4">
        <v>4</v>
      </c>
      <c r="K460" s="4">
        <v>0</v>
      </c>
      <c r="L460" s="20">
        <f t="shared" si="6"/>
        <v>-290</v>
      </c>
    </row>
    <row r="461" spans="1:12" x14ac:dyDescent="0.25">
      <c r="A461" s="2" t="s">
        <v>231</v>
      </c>
      <c r="B461" s="2" t="s">
        <v>232</v>
      </c>
      <c r="C461" s="2" t="s">
        <v>220</v>
      </c>
      <c r="D461" s="23">
        <v>38</v>
      </c>
      <c r="E461" s="23">
        <v>0</v>
      </c>
      <c r="F461" s="23">
        <v>239</v>
      </c>
      <c r="G461" s="11">
        <v>90</v>
      </c>
      <c r="H461" s="23">
        <v>0</v>
      </c>
      <c r="I461" s="23">
        <v>-201</v>
      </c>
      <c r="J461" s="4">
        <v>4</v>
      </c>
      <c r="K461" s="4">
        <v>0</v>
      </c>
      <c r="L461" s="20">
        <f t="shared" ref="L461:L524" si="7">D461-E461-F461-G461-H461</f>
        <v>-291</v>
      </c>
    </row>
    <row r="462" spans="1:12" x14ac:dyDescent="0.25">
      <c r="A462" s="2" t="s">
        <v>703</v>
      </c>
      <c r="B462" s="2" t="s">
        <v>704</v>
      </c>
      <c r="C462" s="2" t="s">
        <v>826</v>
      </c>
      <c r="D462" s="23">
        <v>48</v>
      </c>
      <c r="E462" s="23">
        <v>0</v>
      </c>
      <c r="F462" s="23">
        <v>250</v>
      </c>
      <c r="G462" s="11">
        <v>302</v>
      </c>
      <c r="H462" s="23">
        <v>0</v>
      </c>
      <c r="I462" s="23">
        <v>-202</v>
      </c>
      <c r="J462" s="4">
        <v>0.90000000000000024</v>
      </c>
      <c r="K462" s="4">
        <v>0</v>
      </c>
      <c r="L462" s="20">
        <f t="shared" si="7"/>
        <v>-504</v>
      </c>
    </row>
    <row r="463" spans="1:12" x14ac:dyDescent="0.25">
      <c r="A463" s="2" t="s">
        <v>522</v>
      </c>
      <c r="B463" s="2" t="s">
        <v>523</v>
      </c>
      <c r="C463" s="2" t="s">
        <v>887</v>
      </c>
      <c r="D463" s="23">
        <v>19.060000000000002</v>
      </c>
      <c r="E463" s="23">
        <v>0</v>
      </c>
      <c r="F463" s="23">
        <v>235</v>
      </c>
      <c r="G463" s="11">
        <v>-7.460698725481052E-14</v>
      </c>
      <c r="H463" s="23">
        <v>0</v>
      </c>
      <c r="I463" s="23">
        <v>-215.94000000000003</v>
      </c>
      <c r="J463" s="4">
        <v>15</v>
      </c>
      <c r="K463" s="4">
        <v>0</v>
      </c>
      <c r="L463" s="20">
        <f t="shared" si="7"/>
        <v>-215.93999999999991</v>
      </c>
    </row>
    <row r="464" spans="1:12" x14ac:dyDescent="0.25">
      <c r="A464" s="2" t="s">
        <v>532</v>
      </c>
      <c r="B464" s="2" t="s">
        <v>533</v>
      </c>
      <c r="C464" s="2" t="s">
        <v>224</v>
      </c>
      <c r="D464" s="23">
        <v>180</v>
      </c>
      <c r="E464" s="23">
        <v>0</v>
      </c>
      <c r="F464" s="23">
        <v>0</v>
      </c>
      <c r="G464" s="11">
        <v>0</v>
      </c>
      <c r="H464" s="23">
        <v>400</v>
      </c>
      <c r="I464" s="23">
        <v>-220</v>
      </c>
      <c r="J464" s="4">
        <v>5</v>
      </c>
      <c r="K464" s="4">
        <v>0</v>
      </c>
      <c r="L464" s="20">
        <f t="shared" si="7"/>
        <v>-220</v>
      </c>
    </row>
    <row r="465" spans="1:12" x14ac:dyDescent="0.25">
      <c r="A465" s="2" t="s">
        <v>1047</v>
      </c>
      <c r="B465" s="2" t="s">
        <v>1048</v>
      </c>
      <c r="C465" s="2" t="s">
        <v>887</v>
      </c>
      <c r="D465" s="23">
        <v>8</v>
      </c>
      <c r="E465" s="23">
        <v>0</v>
      </c>
      <c r="F465" s="23">
        <v>233</v>
      </c>
      <c r="G465" s="11">
        <v>0</v>
      </c>
      <c r="H465" s="23">
        <v>0</v>
      </c>
      <c r="I465" s="23">
        <v>-225</v>
      </c>
      <c r="J465" s="4">
        <v>7</v>
      </c>
      <c r="K465" s="4">
        <v>0</v>
      </c>
      <c r="L465" s="20">
        <f t="shared" si="7"/>
        <v>-225</v>
      </c>
    </row>
    <row r="466" spans="1:12" x14ac:dyDescent="0.25">
      <c r="A466" s="2" t="s">
        <v>830</v>
      </c>
      <c r="B466" s="2" t="s">
        <v>831</v>
      </c>
      <c r="C466" s="2" t="s">
        <v>832</v>
      </c>
      <c r="D466" s="23">
        <v>87</v>
      </c>
      <c r="E466" s="23">
        <v>0</v>
      </c>
      <c r="F466" s="23">
        <v>100</v>
      </c>
      <c r="G466" s="11">
        <v>0</v>
      </c>
      <c r="H466" s="23">
        <v>214.6399999999999</v>
      </c>
      <c r="I466" s="23">
        <v>-227.6399999999999</v>
      </c>
      <c r="J466" s="4">
        <v>50.809999999999981</v>
      </c>
      <c r="K466" s="4">
        <v>0</v>
      </c>
      <c r="L466" s="20">
        <f t="shared" si="7"/>
        <v>-227.6399999999999</v>
      </c>
    </row>
    <row r="467" spans="1:12" x14ac:dyDescent="0.25">
      <c r="A467" s="2" t="s">
        <v>560</v>
      </c>
      <c r="B467" s="2" t="s">
        <v>561</v>
      </c>
      <c r="C467" s="2" t="s">
        <v>240</v>
      </c>
      <c r="D467" s="23">
        <v>41.5</v>
      </c>
      <c r="E467" s="23">
        <v>2.7</v>
      </c>
      <c r="F467" s="23">
        <v>272</v>
      </c>
      <c r="G467" s="11">
        <v>4.299999999999967</v>
      </c>
      <c r="H467" s="23">
        <v>0</v>
      </c>
      <c r="I467" s="23">
        <v>-233.1999999999999</v>
      </c>
      <c r="J467" s="4">
        <v>30</v>
      </c>
      <c r="K467" s="4">
        <v>0</v>
      </c>
      <c r="L467" s="20">
        <f t="shared" si="7"/>
        <v>-237.49999999999994</v>
      </c>
    </row>
    <row r="468" spans="1:12" x14ac:dyDescent="0.25">
      <c r="A468" s="2" t="s">
        <v>1169</v>
      </c>
      <c r="B468" s="2" t="s">
        <v>1170</v>
      </c>
      <c r="C468" s="2" t="s">
        <v>826</v>
      </c>
      <c r="D468" s="23">
        <v>14</v>
      </c>
      <c r="E468" s="23">
        <v>0</v>
      </c>
      <c r="F468" s="23">
        <v>250</v>
      </c>
      <c r="G468" s="11">
        <v>250</v>
      </c>
      <c r="H468" s="23">
        <v>0</v>
      </c>
      <c r="I468" s="23">
        <v>-236</v>
      </c>
      <c r="J468" s="4">
        <v>1.07</v>
      </c>
      <c r="K468" s="4">
        <v>0</v>
      </c>
      <c r="L468" s="20">
        <f t="shared" si="7"/>
        <v>-486</v>
      </c>
    </row>
    <row r="469" spans="1:12" x14ac:dyDescent="0.25">
      <c r="A469" s="2" t="s">
        <v>868</v>
      </c>
      <c r="B469" s="2" t="s">
        <v>869</v>
      </c>
      <c r="C469" s="2" t="s">
        <v>240</v>
      </c>
      <c r="D469" s="23">
        <v>9</v>
      </c>
      <c r="E469" s="23">
        <v>0</v>
      </c>
      <c r="F469" s="23">
        <v>252</v>
      </c>
      <c r="G469" s="11">
        <v>51</v>
      </c>
      <c r="H469" s="23">
        <v>0</v>
      </c>
      <c r="I469" s="23">
        <v>-243</v>
      </c>
      <c r="J469" s="4">
        <v>8</v>
      </c>
      <c r="K469" s="4">
        <v>0</v>
      </c>
      <c r="L469" s="20">
        <f t="shared" si="7"/>
        <v>-294</v>
      </c>
    </row>
    <row r="470" spans="1:12" x14ac:dyDescent="0.25">
      <c r="A470" s="2" t="s">
        <v>678</v>
      </c>
      <c r="B470" s="2" t="s">
        <v>679</v>
      </c>
      <c r="C470" s="2" t="s">
        <v>887</v>
      </c>
      <c r="D470" s="23">
        <v>105</v>
      </c>
      <c r="E470" s="23">
        <v>0</v>
      </c>
      <c r="F470" s="23">
        <v>350</v>
      </c>
      <c r="G470" s="11">
        <v>210</v>
      </c>
      <c r="H470" s="23">
        <v>0</v>
      </c>
      <c r="I470" s="23">
        <v>-245</v>
      </c>
      <c r="J470" s="4">
        <v>4</v>
      </c>
      <c r="K470" s="4">
        <v>0</v>
      </c>
      <c r="L470" s="20">
        <f t="shared" si="7"/>
        <v>-455</v>
      </c>
    </row>
    <row r="471" spans="1:12" x14ac:dyDescent="0.25">
      <c r="A471" s="2" t="s">
        <v>62</v>
      </c>
      <c r="B471" s="2" t="s">
        <v>63</v>
      </c>
      <c r="C471" s="2" t="s">
        <v>826</v>
      </c>
      <c r="D471" s="23">
        <v>24</v>
      </c>
      <c r="E471" s="23">
        <v>12</v>
      </c>
      <c r="F471" s="23">
        <v>260</v>
      </c>
      <c r="G471" s="11">
        <v>0</v>
      </c>
      <c r="H471" s="23">
        <v>0</v>
      </c>
      <c r="I471" s="23">
        <v>-248</v>
      </c>
      <c r="J471" s="4">
        <v>8.4</v>
      </c>
      <c r="K471" s="4">
        <v>0</v>
      </c>
      <c r="L471" s="20">
        <f t="shared" si="7"/>
        <v>-248</v>
      </c>
    </row>
    <row r="472" spans="1:12" x14ac:dyDescent="0.25">
      <c r="A472" s="2" t="s">
        <v>730</v>
      </c>
      <c r="B472" s="2" t="s">
        <v>731</v>
      </c>
      <c r="C472" s="2" t="s">
        <v>220</v>
      </c>
      <c r="D472" s="23">
        <v>16</v>
      </c>
      <c r="E472" s="23">
        <v>0</v>
      </c>
      <c r="F472" s="23">
        <v>265</v>
      </c>
      <c r="G472" s="11">
        <v>94</v>
      </c>
      <c r="H472" s="23">
        <v>0</v>
      </c>
      <c r="I472" s="23">
        <v>-249</v>
      </c>
      <c r="J472" s="4">
        <v>4</v>
      </c>
      <c r="K472" s="4">
        <v>0</v>
      </c>
      <c r="L472" s="20">
        <f t="shared" si="7"/>
        <v>-343</v>
      </c>
    </row>
    <row r="473" spans="1:12" x14ac:dyDescent="0.25">
      <c r="A473" s="2" t="s">
        <v>778</v>
      </c>
      <c r="B473" s="2" t="s">
        <v>132</v>
      </c>
      <c r="C473" s="2" t="s">
        <v>1194</v>
      </c>
      <c r="D473" s="23">
        <v>314</v>
      </c>
      <c r="E473" s="23">
        <v>0</v>
      </c>
      <c r="F473" s="23">
        <v>564</v>
      </c>
      <c r="G473" s="11">
        <v>98</v>
      </c>
      <c r="H473" s="23">
        <v>0</v>
      </c>
      <c r="I473" s="23">
        <v>-250</v>
      </c>
      <c r="J473" s="4">
        <v>6.6700000000000008</v>
      </c>
      <c r="K473" s="4">
        <v>0</v>
      </c>
      <c r="L473" s="20">
        <f t="shared" si="7"/>
        <v>-348</v>
      </c>
    </row>
    <row r="474" spans="1:12" x14ac:dyDescent="0.25">
      <c r="A474" s="2" t="s">
        <v>218</v>
      </c>
      <c r="B474" s="2" t="s">
        <v>219</v>
      </c>
      <c r="C474" s="2" t="s">
        <v>220</v>
      </c>
      <c r="D474" s="23">
        <v>28</v>
      </c>
      <c r="E474" s="23">
        <v>0</v>
      </c>
      <c r="F474" s="23">
        <v>288</v>
      </c>
      <c r="G474" s="11">
        <v>94</v>
      </c>
      <c r="H474" s="23">
        <v>0</v>
      </c>
      <c r="I474" s="23">
        <v>-260</v>
      </c>
      <c r="J474" s="4">
        <v>4</v>
      </c>
      <c r="K474" s="4">
        <v>0</v>
      </c>
      <c r="L474" s="20">
        <f t="shared" si="7"/>
        <v>-354</v>
      </c>
    </row>
    <row r="475" spans="1:12" x14ac:dyDescent="0.25">
      <c r="A475" s="2" t="s">
        <v>38</v>
      </c>
      <c r="B475" s="2" t="s">
        <v>39</v>
      </c>
      <c r="C475" s="2" t="s">
        <v>220</v>
      </c>
      <c r="D475" s="23">
        <v>30</v>
      </c>
      <c r="E475" s="23">
        <v>7</v>
      </c>
      <c r="F475" s="23">
        <v>304</v>
      </c>
      <c r="G475" s="11">
        <v>13</v>
      </c>
      <c r="H475" s="23">
        <v>0</v>
      </c>
      <c r="I475" s="23">
        <v>-281</v>
      </c>
      <c r="J475" s="4">
        <v>210</v>
      </c>
      <c r="K475" s="4">
        <v>0</v>
      </c>
      <c r="L475" s="20">
        <f t="shared" si="7"/>
        <v>-294</v>
      </c>
    </row>
    <row r="476" spans="1:12" x14ac:dyDescent="0.25">
      <c r="A476" s="2" t="s">
        <v>840</v>
      </c>
      <c r="B476" s="2" t="s">
        <v>841</v>
      </c>
      <c r="C476" s="2" t="s">
        <v>224</v>
      </c>
      <c r="D476" s="23">
        <v>111</v>
      </c>
      <c r="E476" s="23">
        <v>0</v>
      </c>
      <c r="F476" s="23">
        <v>0</v>
      </c>
      <c r="G476" s="11">
        <v>165</v>
      </c>
      <c r="H476" s="23">
        <v>400</v>
      </c>
      <c r="I476" s="23">
        <v>-289</v>
      </c>
      <c r="J476" s="4">
        <v>5</v>
      </c>
      <c r="K476" s="4">
        <v>0</v>
      </c>
      <c r="L476" s="20">
        <f t="shared" si="7"/>
        <v>-454</v>
      </c>
    </row>
    <row r="477" spans="1:12" x14ac:dyDescent="0.25">
      <c r="A477" s="2" t="s">
        <v>357</v>
      </c>
      <c r="B477" s="2" t="s">
        <v>358</v>
      </c>
      <c r="C477" s="2" t="s">
        <v>240</v>
      </c>
      <c r="D477" s="23">
        <v>222</v>
      </c>
      <c r="E477" s="23">
        <v>16</v>
      </c>
      <c r="F477" s="23">
        <v>500</v>
      </c>
      <c r="G477" s="11">
        <v>490</v>
      </c>
      <c r="H477" s="23">
        <v>0</v>
      </c>
      <c r="I477" s="23">
        <v>-294</v>
      </c>
      <c r="J477" s="4">
        <v>1.6000000000000005</v>
      </c>
      <c r="K477" s="4">
        <v>0</v>
      </c>
      <c r="L477" s="20">
        <f t="shared" si="7"/>
        <v>-784</v>
      </c>
    </row>
    <row r="478" spans="1:12" x14ac:dyDescent="0.25">
      <c r="A478" s="2" t="s">
        <v>651</v>
      </c>
      <c r="B478" s="2" t="s">
        <v>652</v>
      </c>
      <c r="C478" s="2" t="s">
        <v>1021</v>
      </c>
      <c r="D478" s="23">
        <v>493</v>
      </c>
      <c r="E478" s="23">
        <v>25</v>
      </c>
      <c r="F478" s="23">
        <v>776</v>
      </c>
      <c r="G478" s="11">
        <v>367</v>
      </c>
      <c r="H478" s="23">
        <v>0</v>
      </c>
      <c r="I478" s="23">
        <v>-308</v>
      </c>
      <c r="J478" s="4">
        <v>3.4600000000000004</v>
      </c>
      <c r="K478" s="4">
        <v>0</v>
      </c>
      <c r="L478" s="20">
        <f t="shared" si="7"/>
        <v>-675</v>
      </c>
    </row>
    <row r="479" spans="1:12" x14ac:dyDescent="0.25">
      <c r="A479" s="2" t="s">
        <v>792</v>
      </c>
      <c r="B479" s="2" t="s">
        <v>136</v>
      </c>
      <c r="C479" s="2" t="s">
        <v>504</v>
      </c>
      <c r="D479" s="23">
        <v>150</v>
      </c>
      <c r="E479" s="23">
        <v>0</v>
      </c>
      <c r="F479" s="23">
        <v>524</v>
      </c>
      <c r="G479" s="11">
        <v>352</v>
      </c>
      <c r="H479" s="23">
        <v>0</v>
      </c>
      <c r="I479" s="23">
        <v>-374</v>
      </c>
      <c r="J479" s="4">
        <v>8.0999999999999979</v>
      </c>
      <c r="K479" s="4">
        <v>0</v>
      </c>
      <c r="L479" s="20">
        <f t="shared" si="7"/>
        <v>-726</v>
      </c>
    </row>
    <row r="480" spans="1:12" x14ac:dyDescent="0.25">
      <c r="A480" s="2" t="s">
        <v>800</v>
      </c>
      <c r="B480" s="2" t="s">
        <v>801</v>
      </c>
      <c r="C480" s="2" t="s">
        <v>887</v>
      </c>
      <c r="D480" s="23">
        <v>12</v>
      </c>
      <c r="E480" s="23">
        <v>0</v>
      </c>
      <c r="F480" s="23">
        <v>400</v>
      </c>
      <c r="G480" s="11">
        <v>0</v>
      </c>
      <c r="H480" s="23">
        <v>0</v>
      </c>
      <c r="I480" s="23">
        <v>-388</v>
      </c>
      <c r="J480" s="4">
        <v>10</v>
      </c>
      <c r="K480" s="4">
        <v>0</v>
      </c>
      <c r="L480" s="20">
        <f t="shared" si="7"/>
        <v>-388</v>
      </c>
    </row>
    <row r="481" spans="1:12" x14ac:dyDescent="0.25">
      <c r="A481" s="2" t="s">
        <v>866</v>
      </c>
      <c r="B481" s="2" t="s">
        <v>867</v>
      </c>
      <c r="C481" s="2" t="s">
        <v>240</v>
      </c>
      <c r="D481" s="23">
        <v>22</v>
      </c>
      <c r="E481" s="23">
        <v>0</v>
      </c>
      <c r="F481" s="23">
        <v>415</v>
      </c>
      <c r="G481" s="11">
        <v>0</v>
      </c>
      <c r="H481" s="23">
        <v>0</v>
      </c>
      <c r="I481" s="23">
        <v>-393</v>
      </c>
      <c r="J481" s="4">
        <v>4.25</v>
      </c>
      <c r="K481" s="4">
        <v>0</v>
      </c>
      <c r="L481" s="20">
        <f t="shared" si="7"/>
        <v>-393</v>
      </c>
    </row>
    <row r="482" spans="1:12" x14ac:dyDescent="0.25">
      <c r="A482" s="2" t="s">
        <v>708</v>
      </c>
      <c r="B482" s="2" t="s">
        <v>709</v>
      </c>
      <c r="C482" s="2" t="s">
        <v>635</v>
      </c>
      <c r="D482" s="23">
        <v>12</v>
      </c>
      <c r="E482" s="23">
        <v>9</v>
      </c>
      <c r="F482" s="23">
        <v>400</v>
      </c>
      <c r="G482" s="11">
        <v>32</v>
      </c>
      <c r="H482" s="23">
        <v>0</v>
      </c>
      <c r="I482" s="23">
        <v>-397</v>
      </c>
      <c r="J482" s="4">
        <v>11.5</v>
      </c>
      <c r="K482" s="4">
        <v>0</v>
      </c>
      <c r="L482" s="20">
        <f t="shared" si="7"/>
        <v>-429</v>
      </c>
    </row>
    <row r="483" spans="1:12" x14ac:dyDescent="0.25">
      <c r="A483" s="2" t="s">
        <v>883</v>
      </c>
      <c r="B483" s="2" t="s">
        <v>884</v>
      </c>
      <c r="C483" s="2" t="s">
        <v>1020</v>
      </c>
      <c r="D483" s="23">
        <v>72</v>
      </c>
      <c r="E483" s="23">
        <v>0</v>
      </c>
      <c r="F483" s="23">
        <v>480</v>
      </c>
      <c r="G483" s="11">
        <v>0</v>
      </c>
      <c r="H483" s="23">
        <v>0</v>
      </c>
      <c r="I483" s="23">
        <v>-408</v>
      </c>
      <c r="J483" s="4">
        <v>4</v>
      </c>
      <c r="K483" s="4">
        <v>0</v>
      </c>
      <c r="L483" s="20">
        <f t="shared" si="7"/>
        <v>-408</v>
      </c>
    </row>
    <row r="484" spans="1:12" x14ac:dyDescent="0.25">
      <c r="A484" s="2" t="s">
        <v>548</v>
      </c>
      <c r="B484" s="2" t="s">
        <v>549</v>
      </c>
      <c r="C484" s="2" t="s">
        <v>628</v>
      </c>
      <c r="D484" s="23">
        <v>520</v>
      </c>
      <c r="E484" s="23">
        <v>134</v>
      </c>
      <c r="F484" s="23">
        <v>800</v>
      </c>
      <c r="G484" s="11">
        <v>0</v>
      </c>
      <c r="H484" s="23">
        <v>0</v>
      </c>
      <c r="I484" s="23">
        <v>-414</v>
      </c>
      <c r="J484" s="4">
        <v>13.75</v>
      </c>
      <c r="K484" s="4">
        <v>0</v>
      </c>
      <c r="L484" s="20">
        <f t="shared" si="7"/>
        <v>-414</v>
      </c>
    </row>
    <row r="485" spans="1:12" x14ac:dyDescent="0.25">
      <c r="A485" s="2" t="s">
        <v>236</v>
      </c>
      <c r="B485" s="2" t="s">
        <v>305</v>
      </c>
      <c r="C485" s="2" t="s">
        <v>1020</v>
      </c>
      <c r="D485" s="23">
        <v>38</v>
      </c>
      <c r="E485" s="23">
        <v>14</v>
      </c>
      <c r="F485" s="23">
        <v>452</v>
      </c>
      <c r="G485" s="11">
        <v>25</v>
      </c>
      <c r="H485" s="23">
        <v>0</v>
      </c>
      <c r="I485" s="23">
        <v>-428</v>
      </c>
      <c r="J485" s="4">
        <v>20</v>
      </c>
      <c r="K485" s="4">
        <v>0</v>
      </c>
      <c r="L485" s="20">
        <f t="shared" si="7"/>
        <v>-453</v>
      </c>
    </row>
    <row r="486" spans="1:12" x14ac:dyDescent="0.25">
      <c r="A486" s="2" t="s">
        <v>416</v>
      </c>
      <c r="B486" s="2" t="s">
        <v>417</v>
      </c>
      <c r="C486" s="2" t="s">
        <v>628</v>
      </c>
      <c r="D486" s="23">
        <v>550</v>
      </c>
      <c r="E486" s="23">
        <v>0</v>
      </c>
      <c r="F486" s="23">
        <v>1000</v>
      </c>
      <c r="G486" s="11">
        <v>4807</v>
      </c>
      <c r="H486" s="23">
        <v>0</v>
      </c>
      <c r="I486" s="23">
        <v>-450</v>
      </c>
      <c r="J486" s="4">
        <v>0.29999999999999993</v>
      </c>
      <c r="K486" s="4">
        <v>0</v>
      </c>
      <c r="L486" s="20">
        <f t="shared" si="7"/>
        <v>-5257</v>
      </c>
    </row>
    <row r="487" spans="1:12" x14ac:dyDescent="0.25">
      <c r="A487" s="2" t="s">
        <v>1119</v>
      </c>
      <c r="B487" s="2" t="s">
        <v>1120</v>
      </c>
      <c r="C487" s="2" t="s">
        <v>1020</v>
      </c>
      <c r="D487" s="23">
        <v>9</v>
      </c>
      <c r="E487" s="23">
        <v>0</v>
      </c>
      <c r="F487" s="23">
        <v>480</v>
      </c>
      <c r="G487" s="11">
        <v>0</v>
      </c>
      <c r="H487" s="23">
        <v>0</v>
      </c>
      <c r="I487" s="23">
        <v>-471</v>
      </c>
      <c r="J487" s="4">
        <v>5</v>
      </c>
      <c r="K487" s="4">
        <v>0</v>
      </c>
      <c r="L487" s="20">
        <f t="shared" si="7"/>
        <v>-471</v>
      </c>
    </row>
    <row r="488" spans="1:12" x14ac:dyDescent="0.25">
      <c r="A488" s="2" t="s">
        <v>1163</v>
      </c>
      <c r="B488" s="2" t="s">
        <v>1164</v>
      </c>
      <c r="C488" s="2" t="s">
        <v>826</v>
      </c>
      <c r="D488" s="23">
        <v>14</v>
      </c>
      <c r="E488" s="23">
        <v>0</v>
      </c>
      <c r="F488" s="23">
        <v>500</v>
      </c>
      <c r="G488" s="11">
        <v>500</v>
      </c>
      <c r="H488" s="23">
        <v>0</v>
      </c>
      <c r="I488" s="23">
        <v>-486</v>
      </c>
      <c r="J488" s="4">
        <v>0.54999999999999993</v>
      </c>
      <c r="K488" s="4">
        <v>0</v>
      </c>
      <c r="L488" s="20">
        <f t="shared" si="7"/>
        <v>-986</v>
      </c>
    </row>
    <row r="489" spans="1:12" x14ac:dyDescent="0.25">
      <c r="A489" s="2" t="s">
        <v>1167</v>
      </c>
      <c r="B489" s="2" t="s">
        <v>1168</v>
      </c>
      <c r="C489" s="2" t="s">
        <v>826</v>
      </c>
      <c r="D489" s="23">
        <v>14</v>
      </c>
      <c r="E489" s="23">
        <v>0</v>
      </c>
      <c r="F489" s="23">
        <v>500</v>
      </c>
      <c r="G489" s="11">
        <v>500</v>
      </c>
      <c r="H489" s="23">
        <v>0</v>
      </c>
      <c r="I489" s="23">
        <v>-486</v>
      </c>
      <c r="J489" s="4">
        <v>0.54999999999999993</v>
      </c>
      <c r="K489" s="4">
        <v>0</v>
      </c>
      <c r="L489" s="20">
        <f t="shared" si="7"/>
        <v>-986</v>
      </c>
    </row>
    <row r="490" spans="1:12" x14ac:dyDescent="0.25">
      <c r="A490" s="2" t="s">
        <v>1175</v>
      </c>
      <c r="B490" s="2" t="s">
        <v>1176</v>
      </c>
      <c r="C490" s="2" t="s">
        <v>826</v>
      </c>
      <c r="D490" s="23">
        <v>14</v>
      </c>
      <c r="E490" s="23">
        <v>0</v>
      </c>
      <c r="F490" s="23">
        <v>500</v>
      </c>
      <c r="G490" s="11">
        <v>500</v>
      </c>
      <c r="H490" s="23">
        <v>0</v>
      </c>
      <c r="I490" s="23">
        <v>-486</v>
      </c>
      <c r="J490" s="4">
        <v>0.65</v>
      </c>
      <c r="K490" s="4">
        <v>0</v>
      </c>
      <c r="L490" s="20">
        <f t="shared" si="7"/>
        <v>-986</v>
      </c>
    </row>
    <row r="491" spans="1:12" x14ac:dyDescent="0.25">
      <c r="A491" s="2" t="s">
        <v>1177</v>
      </c>
      <c r="B491" s="2" t="s">
        <v>1178</v>
      </c>
      <c r="C491" s="2" t="s">
        <v>826</v>
      </c>
      <c r="D491" s="23">
        <v>14</v>
      </c>
      <c r="E491" s="23">
        <v>0</v>
      </c>
      <c r="F491" s="23">
        <v>500</v>
      </c>
      <c r="G491" s="11">
        <v>500</v>
      </c>
      <c r="H491" s="23">
        <v>0</v>
      </c>
      <c r="I491" s="23">
        <v>-486</v>
      </c>
      <c r="J491" s="4">
        <v>0.39000000000000007</v>
      </c>
      <c r="K491" s="4">
        <v>0</v>
      </c>
      <c r="L491" s="20">
        <f t="shared" si="7"/>
        <v>-986</v>
      </c>
    </row>
    <row r="492" spans="1:12" x14ac:dyDescent="0.25">
      <c r="A492" s="2" t="s">
        <v>1105</v>
      </c>
      <c r="B492" s="2" t="s">
        <v>1106</v>
      </c>
      <c r="C492" s="2" t="s">
        <v>346</v>
      </c>
      <c r="D492" s="23">
        <v>1</v>
      </c>
      <c r="E492" s="23">
        <v>0</v>
      </c>
      <c r="F492" s="23">
        <v>500</v>
      </c>
      <c r="G492" s="11">
        <v>0</v>
      </c>
      <c r="H492" s="23">
        <v>0</v>
      </c>
      <c r="I492" s="23">
        <v>-499</v>
      </c>
      <c r="J492" s="4">
        <v>4</v>
      </c>
      <c r="K492" s="4">
        <v>0</v>
      </c>
      <c r="L492" s="20">
        <f t="shared" si="7"/>
        <v>-499</v>
      </c>
    </row>
    <row r="493" spans="1:12" x14ac:dyDescent="0.25">
      <c r="A493" s="2" t="s">
        <v>890</v>
      </c>
      <c r="B493" s="2" t="s">
        <v>891</v>
      </c>
      <c r="C493" s="2" t="s">
        <v>240</v>
      </c>
      <c r="D493" s="23">
        <v>16</v>
      </c>
      <c r="E493" s="23">
        <v>0</v>
      </c>
      <c r="F493" s="23">
        <v>634</v>
      </c>
      <c r="G493" s="11">
        <v>0</v>
      </c>
      <c r="H493" s="23">
        <v>0</v>
      </c>
      <c r="I493" s="23">
        <v>-618</v>
      </c>
      <c r="J493" s="4">
        <v>1</v>
      </c>
      <c r="K493" s="4">
        <v>0</v>
      </c>
      <c r="L493" s="20">
        <f t="shared" si="7"/>
        <v>-618</v>
      </c>
    </row>
    <row r="494" spans="1:12" x14ac:dyDescent="0.25">
      <c r="A494" s="2" t="s">
        <v>351</v>
      </c>
      <c r="B494" s="2" t="s">
        <v>352</v>
      </c>
      <c r="C494" s="2" t="s">
        <v>240</v>
      </c>
      <c r="D494" s="23">
        <v>3286</v>
      </c>
      <c r="E494" s="23">
        <v>0</v>
      </c>
      <c r="F494" s="23">
        <v>4000</v>
      </c>
      <c r="G494" s="11">
        <v>7366</v>
      </c>
      <c r="H494" s="23">
        <v>0</v>
      </c>
      <c r="I494" s="23">
        <v>-714</v>
      </c>
      <c r="J494" s="4">
        <v>0.34999999999999987</v>
      </c>
      <c r="K494" s="4">
        <v>0</v>
      </c>
      <c r="L494" s="20">
        <f t="shared" si="7"/>
        <v>-8080</v>
      </c>
    </row>
    <row r="495" spans="1:12" x14ac:dyDescent="0.25">
      <c r="A495" s="2" t="s">
        <v>130</v>
      </c>
      <c r="B495" s="2" t="s">
        <v>131</v>
      </c>
      <c r="C495" s="2" t="s">
        <v>240</v>
      </c>
      <c r="D495" s="23">
        <v>2003</v>
      </c>
      <c r="E495" s="23">
        <v>0</v>
      </c>
      <c r="F495" s="23">
        <v>2750</v>
      </c>
      <c r="G495" s="11">
        <v>0</v>
      </c>
      <c r="H495" s="23">
        <v>0</v>
      </c>
      <c r="I495" s="23">
        <v>-747</v>
      </c>
      <c r="J495" s="4">
        <v>0.69999999999999973</v>
      </c>
      <c r="K495" s="4">
        <v>0</v>
      </c>
      <c r="L495" s="20">
        <f t="shared" si="7"/>
        <v>-747</v>
      </c>
    </row>
    <row r="496" spans="1:12" x14ac:dyDescent="0.25">
      <c r="A496" s="2" t="s">
        <v>331</v>
      </c>
      <c r="B496" s="2" t="s">
        <v>332</v>
      </c>
      <c r="C496" s="2" t="s">
        <v>240</v>
      </c>
      <c r="D496" s="23">
        <v>41</v>
      </c>
      <c r="E496" s="23">
        <v>0</v>
      </c>
      <c r="F496" s="23">
        <v>809</v>
      </c>
      <c r="G496" s="11">
        <v>0</v>
      </c>
      <c r="H496" s="23">
        <v>0</v>
      </c>
      <c r="I496" s="23">
        <v>-768</v>
      </c>
      <c r="J496" s="4">
        <v>2.3999999999999995</v>
      </c>
      <c r="K496" s="4">
        <v>0</v>
      </c>
      <c r="L496" s="20">
        <f t="shared" si="7"/>
        <v>-768</v>
      </c>
    </row>
    <row r="497" spans="1:12" x14ac:dyDescent="0.25">
      <c r="A497" s="2" t="s">
        <v>387</v>
      </c>
      <c r="B497" s="2" t="s">
        <v>388</v>
      </c>
      <c r="C497" s="2" t="s">
        <v>240</v>
      </c>
      <c r="D497" s="23">
        <v>268</v>
      </c>
      <c r="E497" s="23">
        <v>0</v>
      </c>
      <c r="F497" s="23">
        <v>1100</v>
      </c>
      <c r="G497" s="11">
        <v>780</v>
      </c>
      <c r="H497" s="23">
        <v>0</v>
      </c>
      <c r="I497" s="23">
        <v>-832</v>
      </c>
      <c r="J497" s="4">
        <v>0.32000000000000006</v>
      </c>
      <c r="K497" s="4">
        <v>0</v>
      </c>
      <c r="L497" s="20">
        <f t="shared" si="7"/>
        <v>-1612</v>
      </c>
    </row>
    <row r="498" spans="1:12" x14ac:dyDescent="0.25">
      <c r="A498" s="2" t="s">
        <v>1027</v>
      </c>
      <c r="B498" s="2" t="s">
        <v>1028</v>
      </c>
      <c r="C498" s="2" t="s">
        <v>1029</v>
      </c>
      <c r="D498" s="23">
        <v>8</v>
      </c>
      <c r="E498" s="23">
        <v>0</v>
      </c>
      <c r="F498" s="23">
        <v>842</v>
      </c>
      <c r="G498" s="11">
        <v>0</v>
      </c>
      <c r="H498" s="23">
        <v>0</v>
      </c>
      <c r="I498" s="23">
        <v>-834</v>
      </c>
      <c r="J498" s="4">
        <v>0.93</v>
      </c>
      <c r="K498" s="4">
        <v>0</v>
      </c>
      <c r="L498" s="20">
        <f t="shared" si="7"/>
        <v>-834</v>
      </c>
    </row>
    <row r="499" spans="1:12" x14ac:dyDescent="0.25">
      <c r="A499" s="2" t="s">
        <v>151</v>
      </c>
      <c r="B499" s="2" t="s">
        <v>152</v>
      </c>
      <c r="C499" s="2" t="s">
        <v>240</v>
      </c>
      <c r="D499" s="23">
        <v>140</v>
      </c>
      <c r="E499" s="23">
        <v>0</v>
      </c>
      <c r="F499" s="23">
        <v>1000</v>
      </c>
      <c r="G499" s="11">
        <v>439.00000000000023</v>
      </c>
      <c r="H499" s="23">
        <v>0</v>
      </c>
      <c r="I499" s="23">
        <v>-860</v>
      </c>
      <c r="J499" s="4">
        <v>0.5</v>
      </c>
      <c r="K499" s="4">
        <v>0</v>
      </c>
      <c r="L499" s="20">
        <f t="shared" si="7"/>
        <v>-1299.0000000000002</v>
      </c>
    </row>
    <row r="500" spans="1:12" x14ac:dyDescent="0.25">
      <c r="A500" s="2" t="s">
        <v>569</v>
      </c>
      <c r="B500" s="2" t="s">
        <v>570</v>
      </c>
      <c r="C500" s="2" t="s">
        <v>1021</v>
      </c>
      <c r="D500" s="23">
        <v>97</v>
      </c>
      <c r="E500" s="23">
        <v>0</v>
      </c>
      <c r="F500" s="23">
        <v>1000</v>
      </c>
      <c r="G500" s="11">
        <v>1222</v>
      </c>
      <c r="H500" s="23">
        <v>0</v>
      </c>
      <c r="I500" s="23">
        <v>-903</v>
      </c>
      <c r="J500" s="4">
        <v>1.1400000000000001</v>
      </c>
      <c r="K500" s="4">
        <v>0</v>
      </c>
      <c r="L500" s="20">
        <f t="shared" si="7"/>
        <v>-2125</v>
      </c>
    </row>
    <row r="501" spans="1:12" x14ac:dyDescent="0.25">
      <c r="A501" s="2" t="s">
        <v>992</v>
      </c>
      <c r="B501" s="2" t="s">
        <v>993</v>
      </c>
      <c r="C501" s="2" t="s">
        <v>1021</v>
      </c>
      <c r="D501" s="23">
        <v>86</v>
      </c>
      <c r="E501" s="23">
        <v>0</v>
      </c>
      <c r="F501" s="23">
        <v>1000</v>
      </c>
      <c r="G501" s="11">
        <v>3505</v>
      </c>
      <c r="H501" s="23">
        <v>0</v>
      </c>
      <c r="I501" s="23">
        <v>-914</v>
      </c>
      <c r="J501" s="4">
        <v>0.63</v>
      </c>
      <c r="K501" s="4">
        <v>0</v>
      </c>
      <c r="L501" s="20">
        <f t="shared" si="7"/>
        <v>-4419</v>
      </c>
    </row>
    <row r="502" spans="1:12" x14ac:dyDescent="0.25">
      <c r="A502" s="2" t="s">
        <v>911</v>
      </c>
      <c r="B502" s="2" t="s">
        <v>912</v>
      </c>
      <c r="C502" s="2" t="s">
        <v>240</v>
      </c>
      <c r="D502" s="23">
        <v>64</v>
      </c>
      <c r="E502" s="23">
        <v>0</v>
      </c>
      <c r="F502" s="23">
        <v>1000</v>
      </c>
      <c r="G502" s="11">
        <v>0</v>
      </c>
      <c r="H502" s="23">
        <v>0</v>
      </c>
      <c r="I502" s="23">
        <v>-936</v>
      </c>
      <c r="J502" s="4">
        <v>0.15</v>
      </c>
      <c r="K502" s="4">
        <v>0</v>
      </c>
      <c r="L502" s="20">
        <f t="shared" si="7"/>
        <v>-936</v>
      </c>
    </row>
    <row r="503" spans="1:12" x14ac:dyDescent="0.25">
      <c r="A503" s="2" t="s">
        <v>544</v>
      </c>
      <c r="B503" s="2" t="s">
        <v>545</v>
      </c>
      <c r="C503" s="2" t="s">
        <v>240</v>
      </c>
      <c r="D503" s="23">
        <v>40</v>
      </c>
      <c r="E503" s="23">
        <v>0</v>
      </c>
      <c r="F503" s="23">
        <v>1000</v>
      </c>
      <c r="G503" s="11">
        <v>0</v>
      </c>
      <c r="H503" s="23">
        <v>0</v>
      </c>
      <c r="I503" s="23">
        <v>-960</v>
      </c>
      <c r="J503" s="4">
        <v>0.6399999999999999</v>
      </c>
      <c r="K503" s="4">
        <v>0</v>
      </c>
      <c r="L503" s="20">
        <f t="shared" si="7"/>
        <v>-960</v>
      </c>
    </row>
    <row r="504" spans="1:12" x14ac:dyDescent="0.25">
      <c r="A504" s="2" t="s">
        <v>540</v>
      </c>
      <c r="B504" s="2" t="s">
        <v>541</v>
      </c>
      <c r="C504" s="2" t="s">
        <v>240</v>
      </c>
      <c r="D504" s="23">
        <v>36</v>
      </c>
      <c r="E504" s="23">
        <v>0</v>
      </c>
      <c r="F504" s="23">
        <v>1000</v>
      </c>
      <c r="G504" s="11">
        <v>0</v>
      </c>
      <c r="H504" s="23">
        <v>0</v>
      </c>
      <c r="I504" s="23">
        <v>-964</v>
      </c>
      <c r="J504" s="4">
        <v>1.2</v>
      </c>
      <c r="K504" s="4">
        <v>0</v>
      </c>
      <c r="L504" s="20">
        <f t="shared" si="7"/>
        <v>-964</v>
      </c>
    </row>
    <row r="505" spans="1:12" x14ac:dyDescent="0.25">
      <c r="A505" s="2" t="s">
        <v>28</v>
      </c>
      <c r="B505" s="2" t="s">
        <v>29</v>
      </c>
      <c r="C505" s="2" t="s">
        <v>628</v>
      </c>
      <c r="D505" s="23">
        <v>2033</v>
      </c>
      <c r="E505" s="23">
        <v>0</v>
      </c>
      <c r="F505" s="23">
        <v>3000</v>
      </c>
      <c r="G505" s="11">
        <v>1048</v>
      </c>
      <c r="H505" s="23">
        <v>0</v>
      </c>
      <c r="I505" s="23">
        <v>-967</v>
      </c>
      <c r="J505" s="4">
        <v>2.9200000000000008</v>
      </c>
      <c r="K505" s="4">
        <v>0</v>
      </c>
      <c r="L505" s="20">
        <f t="shared" si="7"/>
        <v>-2015</v>
      </c>
    </row>
    <row r="506" spans="1:12" x14ac:dyDescent="0.25">
      <c r="A506" s="2" t="s">
        <v>951</v>
      </c>
      <c r="B506" s="2" t="s">
        <v>952</v>
      </c>
      <c r="C506" s="2" t="s">
        <v>240</v>
      </c>
      <c r="D506" s="23">
        <v>16</v>
      </c>
      <c r="E506" s="23">
        <v>0</v>
      </c>
      <c r="F506" s="23">
        <v>996</v>
      </c>
      <c r="G506" s="11">
        <v>0</v>
      </c>
      <c r="H506" s="23">
        <v>0</v>
      </c>
      <c r="I506" s="23">
        <v>-980</v>
      </c>
      <c r="J506" s="4">
        <v>1.8</v>
      </c>
      <c r="K506" s="4">
        <v>0</v>
      </c>
      <c r="L506" s="20">
        <f t="shared" si="7"/>
        <v>-980</v>
      </c>
    </row>
    <row r="507" spans="1:12" x14ac:dyDescent="0.25">
      <c r="A507" s="2" t="s">
        <v>1165</v>
      </c>
      <c r="B507" s="2" t="s">
        <v>1166</v>
      </c>
      <c r="C507" s="2" t="s">
        <v>826</v>
      </c>
      <c r="D507" s="23">
        <v>14</v>
      </c>
      <c r="E507" s="23">
        <v>0</v>
      </c>
      <c r="F507" s="23">
        <v>1000</v>
      </c>
      <c r="G507" s="11">
        <v>1000</v>
      </c>
      <c r="H507" s="23">
        <v>0</v>
      </c>
      <c r="I507" s="23">
        <v>-986</v>
      </c>
      <c r="J507" s="4">
        <v>0.28000000000000003</v>
      </c>
      <c r="K507" s="4">
        <v>0</v>
      </c>
      <c r="L507" s="20">
        <f t="shared" si="7"/>
        <v>-1986</v>
      </c>
    </row>
    <row r="508" spans="1:12" x14ac:dyDescent="0.25">
      <c r="A508" s="2" t="s">
        <v>722</v>
      </c>
      <c r="B508" s="2" t="s">
        <v>723</v>
      </c>
      <c r="C508" s="2" t="s">
        <v>240</v>
      </c>
      <c r="D508" s="23">
        <v>124</v>
      </c>
      <c r="E508" s="23">
        <v>28</v>
      </c>
      <c r="F508" s="23">
        <v>1270</v>
      </c>
      <c r="G508" s="11">
        <v>698</v>
      </c>
      <c r="H508" s="23">
        <v>0</v>
      </c>
      <c r="I508" s="23">
        <v>-1174</v>
      </c>
      <c r="J508" s="4">
        <v>0.54999999999999993</v>
      </c>
      <c r="K508" s="4">
        <v>0</v>
      </c>
      <c r="L508" s="20">
        <f t="shared" si="7"/>
        <v>-1872</v>
      </c>
    </row>
    <row r="509" spans="1:12" x14ac:dyDescent="0.25">
      <c r="A509" s="2" t="s">
        <v>705</v>
      </c>
      <c r="B509" s="2" t="s">
        <v>706</v>
      </c>
      <c r="C509" s="2" t="s">
        <v>240</v>
      </c>
      <c r="D509" s="23">
        <v>104</v>
      </c>
      <c r="E509" s="23">
        <v>0</v>
      </c>
      <c r="F509" s="23">
        <v>1400</v>
      </c>
      <c r="G509" s="11">
        <v>602</v>
      </c>
      <c r="H509" s="23">
        <v>0</v>
      </c>
      <c r="I509" s="23">
        <v>-1296</v>
      </c>
      <c r="J509" s="4">
        <v>0.59999999999999987</v>
      </c>
      <c r="K509" s="4">
        <v>0</v>
      </c>
      <c r="L509" s="20">
        <f t="shared" si="7"/>
        <v>-1898</v>
      </c>
    </row>
    <row r="510" spans="1:12" x14ac:dyDescent="0.25">
      <c r="A510" s="2" t="s">
        <v>630</v>
      </c>
      <c r="B510" s="2" t="s">
        <v>631</v>
      </c>
      <c r="C510" s="2" t="s">
        <v>628</v>
      </c>
      <c r="D510" s="23">
        <v>6687</v>
      </c>
      <c r="E510" s="23">
        <v>0</v>
      </c>
      <c r="F510" s="23">
        <v>8000</v>
      </c>
      <c r="G510" s="11">
        <v>11449</v>
      </c>
      <c r="H510" s="23">
        <v>0</v>
      </c>
      <c r="I510" s="23">
        <v>-1313</v>
      </c>
      <c r="J510" s="4">
        <v>0.53999999999999992</v>
      </c>
      <c r="K510" s="4">
        <v>0</v>
      </c>
      <c r="L510" s="20">
        <f t="shared" si="7"/>
        <v>-12762</v>
      </c>
    </row>
    <row r="511" spans="1:12" x14ac:dyDescent="0.25">
      <c r="A511" s="2" t="s">
        <v>396</v>
      </c>
      <c r="B511" s="2" t="s">
        <v>397</v>
      </c>
      <c r="C511" s="2" t="s">
        <v>240</v>
      </c>
      <c r="D511" s="23">
        <v>469</v>
      </c>
      <c r="E511" s="23">
        <v>0</v>
      </c>
      <c r="F511" s="23">
        <v>2000</v>
      </c>
      <c r="G511" s="11">
        <v>7604</v>
      </c>
      <c r="H511" s="23">
        <v>0</v>
      </c>
      <c r="I511" s="23">
        <v>-1531</v>
      </c>
      <c r="J511" s="4">
        <v>0.29999999999999993</v>
      </c>
      <c r="K511" s="4">
        <v>0</v>
      </c>
      <c r="L511" s="20">
        <f t="shared" si="7"/>
        <v>-9135</v>
      </c>
    </row>
    <row r="512" spans="1:12" x14ac:dyDescent="0.25">
      <c r="A512" s="2" t="s">
        <v>528</v>
      </c>
      <c r="B512" s="2" t="s">
        <v>529</v>
      </c>
      <c r="C512" s="2" t="s">
        <v>240</v>
      </c>
      <c r="D512" s="23">
        <v>230</v>
      </c>
      <c r="E512" s="23">
        <v>0</v>
      </c>
      <c r="F512" s="23">
        <v>1800</v>
      </c>
      <c r="G512" s="11">
        <v>773</v>
      </c>
      <c r="H512" s="23">
        <v>0</v>
      </c>
      <c r="I512" s="23">
        <v>-1570</v>
      </c>
      <c r="J512" s="4">
        <v>0.80000000000000027</v>
      </c>
      <c r="K512" s="4">
        <v>0</v>
      </c>
      <c r="L512" s="20">
        <f t="shared" si="7"/>
        <v>-2343</v>
      </c>
    </row>
    <row r="513" spans="1:12" x14ac:dyDescent="0.25">
      <c r="A513" s="2" t="s">
        <v>536</v>
      </c>
      <c r="B513" s="2" t="s">
        <v>537</v>
      </c>
      <c r="C513" s="2" t="s">
        <v>240</v>
      </c>
      <c r="D513" s="23">
        <v>574</v>
      </c>
      <c r="E513" s="23">
        <v>0</v>
      </c>
      <c r="F513" s="23">
        <v>2200</v>
      </c>
      <c r="G513" s="11">
        <v>0</v>
      </c>
      <c r="H513" s="23">
        <v>0</v>
      </c>
      <c r="I513" s="23">
        <v>-1626</v>
      </c>
      <c r="J513" s="4">
        <v>0.69999999999999973</v>
      </c>
      <c r="K513" s="4">
        <v>0</v>
      </c>
      <c r="L513" s="20">
        <f t="shared" si="7"/>
        <v>-1626</v>
      </c>
    </row>
    <row r="514" spans="1:12" x14ac:dyDescent="0.25">
      <c r="A514" s="2" t="s">
        <v>42</v>
      </c>
      <c r="B514" s="2" t="s">
        <v>43</v>
      </c>
      <c r="C514" s="2" t="s">
        <v>240</v>
      </c>
      <c r="D514" s="23">
        <v>1155</v>
      </c>
      <c r="E514" s="23">
        <v>0</v>
      </c>
      <c r="F514" s="23">
        <v>2800</v>
      </c>
      <c r="G514" s="11">
        <v>2439</v>
      </c>
      <c r="H514" s="23">
        <v>0</v>
      </c>
      <c r="I514" s="23">
        <v>-1645</v>
      </c>
      <c r="J514" s="4">
        <v>0.18000000000000005</v>
      </c>
      <c r="K514" s="4">
        <v>0</v>
      </c>
      <c r="L514" s="20">
        <f t="shared" si="7"/>
        <v>-4084</v>
      </c>
    </row>
    <row r="515" spans="1:12" x14ac:dyDescent="0.25">
      <c r="A515" s="2" t="s">
        <v>456</v>
      </c>
      <c r="B515" s="2" t="s">
        <v>457</v>
      </c>
      <c r="C515" s="2" t="s">
        <v>1021</v>
      </c>
      <c r="D515" s="23">
        <v>1340</v>
      </c>
      <c r="E515" s="23">
        <v>78</v>
      </c>
      <c r="F515" s="23">
        <v>3000</v>
      </c>
      <c r="G515" s="11">
        <v>1138</v>
      </c>
      <c r="H515" s="23">
        <v>0</v>
      </c>
      <c r="I515" s="23">
        <v>-1738</v>
      </c>
      <c r="J515" s="4">
        <v>0.92999999999999994</v>
      </c>
      <c r="K515" s="4">
        <v>0</v>
      </c>
      <c r="L515" s="20">
        <f t="shared" si="7"/>
        <v>-2876</v>
      </c>
    </row>
    <row r="516" spans="1:12" x14ac:dyDescent="0.25">
      <c r="A516" s="2" t="s">
        <v>554</v>
      </c>
      <c r="B516" s="2" t="s">
        <v>555</v>
      </c>
      <c r="C516" s="2" t="s">
        <v>1020</v>
      </c>
      <c r="D516" s="23">
        <v>28</v>
      </c>
      <c r="E516" s="23">
        <v>0</v>
      </c>
      <c r="F516" s="23">
        <v>2080</v>
      </c>
      <c r="G516" s="11">
        <v>84</v>
      </c>
      <c r="H516" s="23">
        <v>0</v>
      </c>
      <c r="I516" s="23">
        <v>-2052</v>
      </c>
      <c r="J516" s="4">
        <v>0.28999999999999998</v>
      </c>
      <c r="K516" s="4">
        <v>0</v>
      </c>
      <c r="L516" s="20">
        <f t="shared" si="7"/>
        <v>-2136</v>
      </c>
    </row>
    <row r="517" spans="1:12" x14ac:dyDescent="0.25">
      <c r="A517" s="2" t="s">
        <v>208</v>
      </c>
      <c r="B517" s="2" t="s">
        <v>284</v>
      </c>
      <c r="C517" s="2" t="s">
        <v>240</v>
      </c>
      <c r="D517" s="23">
        <v>455</v>
      </c>
      <c r="E517" s="23">
        <v>0</v>
      </c>
      <c r="F517" s="23">
        <v>2600</v>
      </c>
      <c r="G517" s="11">
        <v>292</v>
      </c>
      <c r="H517" s="23">
        <v>0</v>
      </c>
      <c r="I517" s="23">
        <v>-2145</v>
      </c>
      <c r="J517" s="4">
        <v>0.40000000000000013</v>
      </c>
      <c r="K517" s="4">
        <v>0</v>
      </c>
      <c r="L517" s="20">
        <f t="shared" si="7"/>
        <v>-2437</v>
      </c>
    </row>
    <row r="518" spans="1:12" x14ac:dyDescent="0.25">
      <c r="A518" s="2" t="s">
        <v>408</v>
      </c>
      <c r="B518" s="2" t="s">
        <v>409</v>
      </c>
      <c r="C518" s="2" t="s">
        <v>220</v>
      </c>
      <c r="D518" s="23">
        <v>386</v>
      </c>
      <c r="E518" s="23">
        <v>0</v>
      </c>
      <c r="F518" s="23">
        <v>2698</v>
      </c>
      <c r="G518" s="11">
        <v>0</v>
      </c>
      <c r="H518" s="23">
        <v>0</v>
      </c>
      <c r="I518" s="23">
        <v>-2312</v>
      </c>
      <c r="J518" s="4">
        <v>1.5500000000000005</v>
      </c>
      <c r="K518" s="4">
        <v>0</v>
      </c>
      <c r="L518" s="20">
        <f t="shared" si="7"/>
        <v>-2312</v>
      </c>
    </row>
    <row r="519" spans="1:12" x14ac:dyDescent="0.25">
      <c r="A519" s="2" t="s">
        <v>562</v>
      </c>
      <c r="B519" s="2" t="s">
        <v>563</v>
      </c>
      <c r="C519" s="2" t="s">
        <v>240</v>
      </c>
      <c r="D519" s="23">
        <v>153</v>
      </c>
      <c r="E519" s="23">
        <v>0</v>
      </c>
      <c r="F519" s="23">
        <v>3000</v>
      </c>
      <c r="G519" s="11">
        <v>0</v>
      </c>
      <c r="H519" s="23">
        <v>0</v>
      </c>
      <c r="I519" s="23">
        <v>-2847</v>
      </c>
      <c r="J519" s="4">
        <v>0.69999999999999973</v>
      </c>
      <c r="K519" s="4">
        <v>0</v>
      </c>
      <c r="L519" s="20">
        <f t="shared" si="7"/>
        <v>-2847</v>
      </c>
    </row>
    <row r="520" spans="1:12" x14ac:dyDescent="0.25">
      <c r="A520" s="2" t="s">
        <v>1049</v>
      </c>
      <c r="B520" s="2" t="s">
        <v>1050</v>
      </c>
      <c r="C520" s="2" t="s">
        <v>240</v>
      </c>
      <c r="D520" s="23">
        <v>16</v>
      </c>
      <c r="E520" s="23">
        <v>0</v>
      </c>
      <c r="F520" s="23">
        <v>3000</v>
      </c>
      <c r="G520" s="11">
        <v>10000</v>
      </c>
      <c r="H520" s="23">
        <v>0</v>
      </c>
      <c r="I520" s="23">
        <v>-2984</v>
      </c>
      <c r="J520" s="4">
        <v>0.3</v>
      </c>
      <c r="K520" s="4">
        <v>0</v>
      </c>
      <c r="L520" s="20">
        <f t="shared" si="7"/>
        <v>-12984</v>
      </c>
    </row>
    <row r="521" spans="1:12" x14ac:dyDescent="0.25">
      <c r="A521" s="2" t="s">
        <v>365</v>
      </c>
      <c r="B521" s="2" t="s">
        <v>366</v>
      </c>
      <c r="C521" s="2" t="s">
        <v>240</v>
      </c>
      <c r="D521" s="23">
        <v>298</v>
      </c>
      <c r="E521" s="23">
        <v>0</v>
      </c>
      <c r="F521" s="23">
        <v>3750</v>
      </c>
      <c r="G521" s="11">
        <v>674</v>
      </c>
      <c r="H521" s="23">
        <v>0</v>
      </c>
      <c r="I521" s="23">
        <v>-3452</v>
      </c>
      <c r="J521" s="4">
        <v>0.20000000000000007</v>
      </c>
      <c r="K521" s="4">
        <v>0</v>
      </c>
      <c r="L521" s="20">
        <f t="shared" si="7"/>
        <v>-4126</v>
      </c>
    </row>
    <row r="522" spans="1:12" x14ac:dyDescent="0.25">
      <c r="A522" s="2" t="s">
        <v>567</v>
      </c>
      <c r="B522" s="18" t="s">
        <v>568</v>
      </c>
      <c r="C522" s="2" t="s">
        <v>240</v>
      </c>
      <c r="D522" s="23">
        <v>1180</v>
      </c>
      <c r="E522" s="23">
        <v>0</v>
      </c>
      <c r="F522" s="23">
        <v>5000</v>
      </c>
      <c r="G522" s="11">
        <v>0</v>
      </c>
      <c r="H522" s="23">
        <v>0</v>
      </c>
      <c r="I522" s="23">
        <v>-3820</v>
      </c>
      <c r="J522" s="4">
        <v>0.59999999999999987</v>
      </c>
      <c r="K522" s="4">
        <v>0</v>
      </c>
      <c r="L522" s="20">
        <f t="shared" si="7"/>
        <v>-3820</v>
      </c>
    </row>
    <row r="523" spans="1:12" x14ac:dyDescent="0.25">
      <c r="A523" s="2" t="s">
        <v>30</v>
      </c>
      <c r="B523" s="2" t="s">
        <v>31</v>
      </c>
      <c r="C523" s="2" t="s">
        <v>1020</v>
      </c>
      <c r="D523" s="23">
        <v>674</v>
      </c>
      <c r="E523" s="23">
        <v>0</v>
      </c>
      <c r="F523" s="23">
        <v>4500</v>
      </c>
      <c r="G523" s="11">
        <v>2426</v>
      </c>
      <c r="H523" s="23">
        <v>0</v>
      </c>
      <c r="I523" s="23">
        <v>-3826</v>
      </c>
      <c r="J523" s="4">
        <v>1</v>
      </c>
      <c r="K523" s="4">
        <v>0</v>
      </c>
      <c r="L523" s="20">
        <f t="shared" si="7"/>
        <v>-6252</v>
      </c>
    </row>
    <row r="524" spans="1:12" x14ac:dyDescent="0.25">
      <c r="A524" s="2" t="s">
        <v>355</v>
      </c>
      <c r="B524" s="2" t="s">
        <v>356</v>
      </c>
      <c r="C524" s="2" t="s">
        <v>240</v>
      </c>
      <c r="D524" s="23">
        <v>184</v>
      </c>
      <c r="E524" s="23">
        <v>0</v>
      </c>
      <c r="F524" s="23">
        <v>4822</v>
      </c>
      <c r="G524" s="11">
        <v>811</v>
      </c>
      <c r="H524" s="23">
        <v>0</v>
      </c>
      <c r="I524" s="23">
        <v>-4638</v>
      </c>
      <c r="J524" s="4">
        <v>0.29999999999999993</v>
      </c>
      <c r="K524" s="4">
        <v>0</v>
      </c>
      <c r="L524" s="20">
        <f t="shared" si="7"/>
        <v>-5449</v>
      </c>
    </row>
    <row r="525" spans="1:12" x14ac:dyDescent="0.25">
      <c r="A525" s="2" t="s">
        <v>888</v>
      </c>
      <c r="B525" s="2" t="s">
        <v>889</v>
      </c>
      <c r="C525" s="2" t="s">
        <v>1020</v>
      </c>
      <c r="D525" s="23">
        <v>75</v>
      </c>
      <c r="E525" s="23">
        <v>0</v>
      </c>
      <c r="F525" s="23">
        <v>5200</v>
      </c>
      <c r="G525" s="11">
        <v>0</v>
      </c>
      <c r="H525" s="23">
        <v>0</v>
      </c>
      <c r="I525" s="23">
        <v>-5125</v>
      </c>
      <c r="J525" s="4">
        <v>0.08</v>
      </c>
      <c r="K525" s="4">
        <v>0</v>
      </c>
      <c r="L525" s="20">
        <f t="shared" ref="L525:L574" si="8">D525-E525-F525-G525-H525</f>
        <v>-5125</v>
      </c>
    </row>
    <row r="526" spans="1:12" x14ac:dyDescent="0.25">
      <c r="A526" s="2" t="s">
        <v>466</v>
      </c>
      <c r="B526" s="2" t="s">
        <v>467</v>
      </c>
      <c r="C526" s="2" t="s">
        <v>826</v>
      </c>
      <c r="D526" s="23">
        <v>1930</v>
      </c>
      <c r="E526" s="23">
        <v>0</v>
      </c>
      <c r="F526" s="23">
        <v>7500</v>
      </c>
      <c r="G526" s="11">
        <v>0</v>
      </c>
      <c r="H526" s="23">
        <v>0</v>
      </c>
      <c r="I526" s="23">
        <v>-5570</v>
      </c>
      <c r="J526" s="4">
        <v>0.80000000000000027</v>
      </c>
      <c r="K526" s="4">
        <v>0</v>
      </c>
      <c r="L526" s="20">
        <f t="shared" si="8"/>
        <v>-5570</v>
      </c>
    </row>
    <row r="527" spans="1:12" x14ac:dyDescent="0.25">
      <c r="A527" s="2" t="s">
        <v>925</v>
      </c>
      <c r="B527" s="2" t="s">
        <v>926</v>
      </c>
      <c r="C527" s="2" t="s">
        <v>1020</v>
      </c>
      <c r="D527" s="23">
        <v>8</v>
      </c>
      <c r="E527" s="23">
        <v>0</v>
      </c>
      <c r="F527" s="23">
        <v>6400</v>
      </c>
      <c r="G527" s="11">
        <v>186.50000000000003</v>
      </c>
      <c r="H527" s="23">
        <v>0</v>
      </c>
      <c r="I527" s="23">
        <v>-6392</v>
      </c>
      <c r="J527" s="4">
        <v>2.1</v>
      </c>
      <c r="K527" s="4">
        <v>0</v>
      </c>
      <c r="L527" s="20">
        <f t="shared" si="8"/>
        <v>-6578.5</v>
      </c>
    </row>
    <row r="528" spans="1:12" x14ac:dyDescent="0.25">
      <c r="A528" s="2" t="s">
        <v>359</v>
      </c>
      <c r="B528" s="2" t="s">
        <v>360</v>
      </c>
      <c r="C528" s="2" t="s">
        <v>1020</v>
      </c>
      <c r="D528" s="23">
        <v>132</v>
      </c>
      <c r="E528" s="23">
        <v>0</v>
      </c>
      <c r="F528" s="23">
        <v>14472</v>
      </c>
      <c r="G528" s="11">
        <v>3376</v>
      </c>
      <c r="H528" s="23">
        <v>0</v>
      </c>
      <c r="I528" s="23">
        <v>-14340</v>
      </c>
      <c r="J528" s="4">
        <v>4.0000000000000008E-2</v>
      </c>
      <c r="K528" s="4">
        <v>0</v>
      </c>
      <c r="L528" s="20">
        <f t="shared" si="8"/>
        <v>-17716</v>
      </c>
    </row>
    <row r="529" spans="1:12" x14ac:dyDescent="0.25">
      <c r="A529"/>
      <c r="B529"/>
      <c r="C529"/>
      <c r="D529"/>
      <c r="E529"/>
      <c r="F529"/>
      <c r="G529"/>
      <c r="H529"/>
      <c r="I529"/>
      <c r="J529"/>
      <c r="K529"/>
      <c r="L529" s="20">
        <f t="shared" si="8"/>
        <v>0</v>
      </c>
    </row>
    <row r="530" spans="1:12" x14ac:dyDescent="0.25">
      <c r="A530"/>
      <c r="B530"/>
      <c r="C530"/>
      <c r="D530"/>
      <c r="E530"/>
      <c r="F530"/>
      <c r="G530"/>
      <c r="H530"/>
      <c r="I530"/>
      <c r="J530"/>
      <c r="K530"/>
      <c r="L530" s="20">
        <f t="shared" si="8"/>
        <v>0</v>
      </c>
    </row>
    <row r="531" spans="1:12" x14ac:dyDescent="0.25">
      <c r="A531"/>
      <c r="B531"/>
      <c r="C531"/>
      <c r="D531"/>
      <c r="E531"/>
      <c r="F531"/>
      <c r="G531"/>
      <c r="H531"/>
      <c r="I531"/>
      <c r="J531"/>
      <c r="K531"/>
      <c r="L531" s="20">
        <f t="shared" si="8"/>
        <v>0</v>
      </c>
    </row>
    <row r="532" spans="1:12" x14ac:dyDescent="0.25">
      <c r="A532"/>
      <c r="B532"/>
      <c r="C532"/>
      <c r="D532"/>
      <c r="E532"/>
      <c r="F532"/>
      <c r="G532"/>
      <c r="H532"/>
      <c r="I532"/>
      <c r="J532"/>
      <c r="K532"/>
      <c r="L532" s="20">
        <f t="shared" si="8"/>
        <v>0</v>
      </c>
    </row>
    <row r="533" spans="1:12" x14ac:dyDescent="0.25">
      <c r="A533"/>
      <c r="B533"/>
      <c r="C533"/>
      <c r="D533"/>
      <c r="E533"/>
      <c r="F533"/>
      <c r="G533"/>
      <c r="H533"/>
      <c r="I533"/>
      <c r="J533"/>
      <c r="K533"/>
      <c r="L533" s="20">
        <f t="shared" si="8"/>
        <v>0</v>
      </c>
    </row>
    <row r="534" spans="1:12" x14ac:dyDescent="0.25">
      <c r="A534"/>
      <c r="B534"/>
      <c r="C534"/>
      <c r="D534"/>
      <c r="E534"/>
      <c r="F534"/>
      <c r="G534"/>
      <c r="H534"/>
      <c r="I534"/>
      <c r="J534"/>
      <c r="K534"/>
      <c r="L534" s="20">
        <f t="shared" si="8"/>
        <v>0</v>
      </c>
    </row>
    <row r="535" spans="1:12" x14ac:dyDescent="0.25">
      <c r="A535"/>
      <c r="B535"/>
      <c r="C535"/>
      <c r="D535"/>
      <c r="E535"/>
      <c r="F535"/>
      <c r="G535"/>
      <c r="H535"/>
      <c r="I535"/>
      <c r="J535"/>
      <c r="K535"/>
      <c r="L535" s="20">
        <f t="shared" si="8"/>
        <v>0</v>
      </c>
    </row>
    <row r="536" spans="1:12" x14ac:dyDescent="0.25">
      <c r="A536"/>
      <c r="B536"/>
      <c r="C536"/>
      <c r="D536"/>
      <c r="E536"/>
      <c r="F536"/>
      <c r="G536"/>
      <c r="H536"/>
      <c r="I536"/>
      <c r="J536"/>
      <c r="K536"/>
      <c r="L536" s="20">
        <f t="shared" si="8"/>
        <v>0</v>
      </c>
    </row>
    <row r="537" spans="1:12" x14ac:dyDescent="0.25">
      <c r="A537"/>
      <c r="B537"/>
      <c r="C537"/>
      <c r="D537"/>
      <c r="E537"/>
      <c r="F537"/>
      <c r="G537"/>
      <c r="H537"/>
      <c r="I537"/>
      <c r="J537"/>
      <c r="K537"/>
      <c r="L537" s="20">
        <f t="shared" si="8"/>
        <v>0</v>
      </c>
    </row>
    <row r="538" spans="1:12" x14ac:dyDescent="0.25">
      <c r="A538"/>
      <c r="B538"/>
      <c r="C538"/>
      <c r="D538"/>
      <c r="E538"/>
      <c r="F538"/>
      <c r="G538"/>
      <c r="H538"/>
      <c r="I538"/>
      <c r="J538"/>
      <c r="K538"/>
      <c r="L538" s="20">
        <f t="shared" si="8"/>
        <v>0</v>
      </c>
    </row>
    <row r="539" spans="1:12" x14ac:dyDescent="0.25">
      <c r="A539"/>
      <c r="B539"/>
      <c r="C539"/>
      <c r="D539"/>
      <c r="E539"/>
      <c r="F539"/>
      <c r="G539"/>
      <c r="H539"/>
      <c r="I539"/>
      <c r="J539"/>
      <c r="K539"/>
      <c r="L539" s="20">
        <f t="shared" si="8"/>
        <v>0</v>
      </c>
    </row>
    <row r="540" spans="1:12" x14ac:dyDescent="0.25">
      <c r="A540"/>
      <c r="B540"/>
      <c r="C540"/>
      <c r="D540"/>
      <c r="E540"/>
      <c r="F540"/>
      <c r="G540"/>
      <c r="H540"/>
      <c r="I540"/>
      <c r="J540"/>
      <c r="K540"/>
      <c r="L540" s="20">
        <f t="shared" si="8"/>
        <v>0</v>
      </c>
    </row>
    <row r="541" spans="1:12" x14ac:dyDescent="0.25">
      <c r="A541"/>
      <c r="B541"/>
      <c r="C541"/>
      <c r="D541"/>
      <c r="E541"/>
      <c r="F541"/>
      <c r="G541"/>
      <c r="H541"/>
      <c r="I541"/>
      <c r="J541"/>
      <c r="K541"/>
      <c r="L541" s="20">
        <f t="shared" si="8"/>
        <v>0</v>
      </c>
    </row>
    <row r="542" spans="1:12" x14ac:dyDescent="0.25">
      <c r="A542"/>
      <c r="B542"/>
      <c r="C542"/>
      <c r="D542"/>
      <c r="E542"/>
      <c r="F542"/>
      <c r="G542"/>
      <c r="H542"/>
      <c r="I542"/>
      <c r="J542"/>
      <c r="K542"/>
      <c r="L542" s="20">
        <f t="shared" si="8"/>
        <v>0</v>
      </c>
    </row>
    <row r="543" spans="1:12" x14ac:dyDescent="0.25">
      <c r="A543"/>
      <c r="B543"/>
      <c r="C543"/>
      <c r="D543"/>
      <c r="E543"/>
      <c r="F543"/>
      <c r="G543"/>
      <c r="H543"/>
      <c r="I543"/>
      <c r="J543"/>
      <c r="K543"/>
      <c r="L543" s="20">
        <f t="shared" si="8"/>
        <v>0</v>
      </c>
    </row>
    <row r="544" spans="1:12" x14ac:dyDescent="0.25">
      <c r="A544"/>
      <c r="B544"/>
      <c r="C544"/>
      <c r="D544"/>
      <c r="E544"/>
      <c r="F544"/>
      <c r="G544"/>
      <c r="H544"/>
      <c r="I544"/>
      <c r="J544"/>
      <c r="K544"/>
      <c r="L544" s="20">
        <f t="shared" si="8"/>
        <v>0</v>
      </c>
    </row>
    <row r="545" spans="1:12" x14ac:dyDescent="0.25">
      <c r="A545"/>
      <c r="B545"/>
      <c r="C545"/>
      <c r="D545"/>
      <c r="E545"/>
      <c r="F545"/>
      <c r="G545"/>
      <c r="H545"/>
      <c r="I545"/>
      <c r="J545"/>
      <c r="K545"/>
      <c r="L545" s="20">
        <f t="shared" si="8"/>
        <v>0</v>
      </c>
    </row>
    <row r="546" spans="1:12" x14ac:dyDescent="0.25">
      <c r="A546"/>
      <c r="B546"/>
      <c r="C546"/>
      <c r="D546"/>
      <c r="E546"/>
      <c r="F546"/>
      <c r="G546"/>
      <c r="H546"/>
      <c r="I546"/>
      <c r="J546"/>
      <c r="K546"/>
      <c r="L546" s="20">
        <f t="shared" si="8"/>
        <v>0</v>
      </c>
    </row>
    <row r="547" spans="1:12" x14ac:dyDescent="0.25">
      <c r="A547"/>
      <c r="B547"/>
      <c r="C547"/>
      <c r="D547"/>
      <c r="E547"/>
      <c r="F547"/>
      <c r="G547"/>
      <c r="H547"/>
      <c r="I547"/>
      <c r="J547"/>
      <c r="K547"/>
      <c r="L547" s="20">
        <f t="shared" si="8"/>
        <v>0</v>
      </c>
    </row>
    <row r="548" spans="1:12" x14ac:dyDescent="0.25">
      <c r="A548"/>
      <c r="B548"/>
      <c r="C548"/>
      <c r="D548"/>
      <c r="E548"/>
      <c r="F548"/>
      <c r="G548"/>
      <c r="H548"/>
      <c r="I548"/>
      <c r="J548"/>
      <c r="K548"/>
      <c r="L548" s="20">
        <f t="shared" si="8"/>
        <v>0</v>
      </c>
    </row>
    <row r="549" spans="1:12" x14ac:dyDescent="0.25">
      <c r="A549"/>
      <c r="B549"/>
      <c r="C549"/>
      <c r="D549"/>
      <c r="E549"/>
      <c r="F549"/>
      <c r="G549"/>
      <c r="H549"/>
      <c r="I549"/>
      <c r="J549"/>
      <c r="K549"/>
      <c r="L549" s="20">
        <f t="shared" si="8"/>
        <v>0</v>
      </c>
    </row>
    <row r="550" spans="1:12" x14ac:dyDescent="0.25">
      <c r="A550"/>
      <c r="B550"/>
      <c r="C550"/>
      <c r="D550"/>
      <c r="E550"/>
      <c r="F550"/>
      <c r="G550"/>
      <c r="H550"/>
      <c r="I550"/>
      <c r="J550"/>
      <c r="K550"/>
      <c r="L550" s="20">
        <f t="shared" si="8"/>
        <v>0</v>
      </c>
    </row>
    <row r="551" spans="1:12" x14ac:dyDescent="0.25">
      <c r="A551"/>
      <c r="B551"/>
      <c r="C551"/>
      <c r="D551"/>
      <c r="E551"/>
      <c r="F551"/>
      <c r="G551"/>
      <c r="H551"/>
      <c r="I551"/>
      <c r="J551"/>
      <c r="K551"/>
      <c r="L551" s="20">
        <f t="shared" si="8"/>
        <v>0</v>
      </c>
    </row>
    <row r="552" spans="1:12" x14ac:dyDescent="0.25">
      <c r="A552"/>
      <c r="B552"/>
      <c r="C552"/>
      <c r="D552"/>
      <c r="E552"/>
      <c r="F552"/>
      <c r="G552"/>
      <c r="H552"/>
      <c r="I552"/>
      <c r="J552"/>
      <c r="K552"/>
      <c r="L552" s="20">
        <f t="shared" si="8"/>
        <v>0</v>
      </c>
    </row>
    <row r="553" spans="1:12" x14ac:dyDescent="0.25">
      <c r="A553"/>
      <c r="B553"/>
      <c r="C553"/>
      <c r="D553"/>
      <c r="E553"/>
      <c r="F553"/>
      <c r="G553"/>
      <c r="H553"/>
      <c r="I553"/>
      <c r="J553"/>
      <c r="K553"/>
      <c r="L553" s="20">
        <f t="shared" si="8"/>
        <v>0</v>
      </c>
    </row>
    <row r="554" spans="1:12" x14ac:dyDescent="0.25">
      <c r="A554"/>
      <c r="B554"/>
      <c r="C554"/>
      <c r="D554"/>
      <c r="E554"/>
      <c r="F554"/>
      <c r="G554"/>
      <c r="H554"/>
      <c r="I554"/>
      <c r="J554"/>
      <c r="K554"/>
      <c r="L554" s="20">
        <f t="shared" si="8"/>
        <v>0</v>
      </c>
    </row>
    <row r="555" spans="1:12" x14ac:dyDescent="0.25">
      <c r="A555"/>
      <c r="B555"/>
      <c r="C555"/>
      <c r="D555"/>
      <c r="E555"/>
      <c r="F555"/>
      <c r="G555"/>
      <c r="H555"/>
      <c r="I555"/>
      <c r="J555"/>
      <c r="K555"/>
      <c r="L555" s="20">
        <f t="shared" si="8"/>
        <v>0</v>
      </c>
    </row>
    <row r="556" spans="1:12" x14ac:dyDescent="0.25">
      <c r="A556"/>
      <c r="B556"/>
      <c r="C556"/>
      <c r="D556"/>
      <c r="E556"/>
      <c r="F556"/>
      <c r="G556"/>
      <c r="H556"/>
      <c r="I556"/>
      <c r="J556"/>
      <c r="K556"/>
      <c r="L556" s="20">
        <f t="shared" si="8"/>
        <v>0</v>
      </c>
    </row>
    <row r="557" spans="1:12" x14ac:dyDescent="0.25">
      <c r="A557"/>
      <c r="B557"/>
      <c r="C557"/>
      <c r="D557"/>
      <c r="E557"/>
      <c r="F557"/>
      <c r="G557"/>
      <c r="H557"/>
      <c r="I557"/>
      <c r="J557"/>
      <c r="K557"/>
      <c r="L557" s="20">
        <f t="shared" si="8"/>
        <v>0</v>
      </c>
    </row>
    <row r="558" spans="1:12" x14ac:dyDescent="0.25">
      <c r="A558"/>
      <c r="B558"/>
      <c r="C558"/>
      <c r="D558"/>
      <c r="E558"/>
      <c r="F558"/>
      <c r="G558"/>
      <c r="H558"/>
      <c r="I558"/>
      <c r="J558"/>
      <c r="K558"/>
      <c r="L558" s="20">
        <f t="shared" si="8"/>
        <v>0</v>
      </c>
    </row>
    <row r="559" spans="1:12" x14ac:dyDescent="0.25">
      <c r="A559"/>
      <c r="B559"/>
      <c r="C559"/>
      <c r="D559"/>
      <c r="E559"/>
      <c r="F559"/>
      <c r="G559"/>
      <c r="H559"/>
      <c r="I559"/>
      <c r="J559"/>
      <c r="K559"/>
      <c r="L559" s="20">
        <f t="shared" si="8"/>
        <v>0</v>
      </c>
    </row>
    <row r="560" spans="1:12" x14ac:dyDescent="0.25">
      <c r="A560"/>
      <c r="B560"/>
      <c r="C560"/>
      <c r="D560"/>
      <c r="E560"/>
      <c r="F560"/>
      <c r="G560"/>
      <c r="H560"/>
      <c r="I560"/>
      <c r="J560"/>
      <c r="K560"/>
      <c r="L560" s="20">
        <f t="shared" si="8"/>
        <v>0</v>
      </c>
    </row>
    <row r="561" spans="1:12" x14ac:dyDescent="0.25">
      <c r="A561"/>
      <c r="B561"/>
      <c r="C561"/>
      <c r="D561"/>
      <c r="E561"/>
      <c r="F561"/>
      <c r="G561"/>
      <c r="H561"/>
      <c r="I561"/>
      <c r="J561"/>
      <c r="K561"/>
      <c r="L561" s="20">
        <f t="shared" si="8"/>
        <v>0</v>
      </c>
    </row>
    <row r="562" spans="1:12" x14ac:dyDescent="0.25">
      <c r="A562"/>
      <c r="B562"/>
      <c r="C562"/>
      <c r="D562"/>
      <c r="E562"/>
      <c r="F562"/>
      <c r="G562"/>
      <c r="H562"/>
      <c r="I562"/>
      <c r="J562"/>
      <c r="K562"/>
      <c r="L562" s="20">
        <f t="shared" si="8"/>
        <v>0</v>
      </c>
    </row>
    <row r="563" spans="1:12" x14ac:dyDescent="0.25">
      <c r="A563"/>
      <c r="B563"/>
      <c r="C563"/>
      <c r="D563"/>
      <c r="E563"/>
      <c r="F563"/>
      <c r="G563"/>
      <c r="H563"/>
      <c r="I563"/>
      <c r="J563"/>
      <c r="K563"/>
      <c r="L563" s="20">
        <f t="shared" si="8"/>
        <v>0</v>
      </c>
    </row>
    <row r="564" spans="1:12" x14ac:dyDescent="0.25">
      <c r="A564"/>
      <c r="B564"/>
      <c r="C564"/>
      <c r="D564"/>
      <c r="E564"/>
      <c r="F564"/>
      <c r="G564"/>
      <c r="H564"/>
      <c r="I564"/>
      <c r="J564"/>
      <c r="K564"/>
      <c r="L564" s="20">
        <f t="shared" si="8"/>
        <v>0</v>
      </c>
    </row>
    <row r="565" spans="1:12" x14ac:dyDescent="0.25">
      <c r="A565"/>
      <c r="B565"/>
      <c r="C565"/>
      <c r="D565"/>
      <c r="E565"/>
      <c r="F565"/>
      <c r="G565"/>
      <c r="H565"/>
      <c r="I565"/>
      <c r="J565"/>
      <c r="K565"/>
      <c r="L565" s="20">
        <f t="shared" si="8"/>
        <v>0</v>
      </c>
    </row>
    <row r="566" spans="1:12" x14ac:dyDescent="0.25">
      <c r="A566"/>
      <c r="B566"/>
      <c r="C566"/>
      <c r="D566"/>
      <c r="E566"/>
      <c r="F566"/>
      <c r="G566"/>
      <c r="H566"/>
      <c r="I566"/>
      <c r="J566"/>
      <c r="K566"/>
      <c r="L566" s="20">
        <f t="shared" si="8"/>
        <v>0</v>
      </c>
    </row>
    <row r="567" spans="1:12" x14ac:dyDescent="0.25">
      <c r="A567"/>
      <c r="B567"/>
      <c r="C567"/>
      <c r="D567"/>
      <c r="E567"/>
      <c r="F567"/>
      <c r="G567"/>
      <c r="H567"/>
      <c r="I567"/>
      <c r="J567"/>
      <c r="K567"/>
      <c r="L567" s="20">
        <f t="shared" si="8"/>
        <v>0</v>
      </c>
    </row>
    <row r="568" spans="1:12" x14ac:dyDescent="0.25">
      <c r="A568"/>
      <c r="B568"/>
      <c r="C568"/>
      <c r="D568"/>
      <c r="E568"/>
      <c r="F568"/>
      <c r="G568"/>
      <c r="H568"/>
      <c r="I568"/>
      <c r="J568"/>
      <c r="K568"/>
      <c r="L568" s="20">
        <f t="shared" si="8"/>
        <v>0</v>
      </c>
    </row>
    <row r="569" spans="1:12" x14ac:dyDescent="0.25">
      <c r="A569"/>
      <c r="B569"/>
      <c r="C569"/>
      <c r="D569"/>
      <c r="E569"/>
      <c r="F569"/>
      <c r="G569"/>
      <c r="H569"/>
      <c r="I569"/>
      <c r="J569"/>
      <c r="K569"/>
      <c r="L569" s="20">
        <f t="shared" si="8"/>
        <v>0</v>
      </c>
    </row>
    <row r="570" spans="1:12" x14ac:dyDescent="0.25">
      <c r="A570"/>
      <c r="B570"/>
      <c r="C570"/>
      <c r="D570"/>
      <c r="E570"/>
      <c r="F570"/>
      <c r="G570"/>
      <c r="H570"/>
      <c r="I570"/>
      <c r="J570"/>
      <c r="K570"/>
      <c r="L570" s="20">
        <f t="shared" si="8"/>
        <v>0</v>
      </c>
    </row>
    <row r="571" spans="1:12" x14ac:dyDescent="0.25">
      <c r="A571"/>
      <c r="B571"/>
      <c r="C571"/>
      <c r="D571"/>
      <c r="E571"/>
      <c r="F571"/>
      <c r="G571"/>
      <c r="H571"/>
      <c r="I571"/>
      <c r="J571"/>
      <c r="K571"/>
      <c r="L571" s="20">
        <f t="shared" si="8"/>
        <v>0</v>
      </c>
    </row>
    <row r="572" spans="1:12" x14ac:dyDescent="0.25">
      <c r="A572"/>
      <c r="B572"/>
      <c r="C572"/>
      <c r="D572"/>
      <c r="E572"/>
      <c r="F572"/>
      <c r="G572"/>
      <c r="H572"/>
      <c r="I572"/>
      <c r="J572"/>
      <c r="K572"/>
      <c r="L572" s="20">
        <f t="shared" si="8"/>
        <v>0</v>
      </c>
    </row>
    <row r="573" spans="1:12" x14ac:dyDescent="0.25">
      <c r="A573"/>
      <c r="B573"/>
      <c r="C573"/>
      <c r="D573"/>
      <c r="E573"/>
      <c r="F573"/>
      <c r="G573"/>
      <c r="H573"/>
      <c r="I573"/>
      <c r="J573"/>
      <c r="K573"/>
      <c r="L573" s="20">
        <f t="shared" si="8"/>
        <v>0</v>
      </c>
    </row>
    <row r="574" spans="1:12" x14ac:dyDescent="0.25">
      <c r="A574"/>
      <c r="B574"/>
      <c r="C574"/>
      <c r="D574"/>
      <c r="E574"/>
      <c r="F574"/>
      <c r="G574"/>
      <c r="H574"/>
      <c r="I574"/>
      <c r="J574"/>
      <c r="K574"/>
      <c r="L574" s="20">
        <f t="shared" si="8"/>
        <v>0</v>
      </c>
    </row>
    <row r="575" spans="1:12" x14ac:dyDescent="0.25">
      <c r="A575"/>
      <c r="B575"/>
      <c r="C575"/>
      <c r="D575"/>
      <c r="E575"/>
      <c r="F575"/>
      <c r="G575"/>
      <c r="H575"/>
      <c r="I575"/>
      <c r="J575"/>
      <c r="K575"/>
    </row>
    <row r="576" spans="1:12" x14ac:dyDescent="0.25">
      <c r="A576"/>
      <c r="B576"/>
      <c r="C576"/>
      <c r="D576"/>
      <c r="E576"/>
      <c r="F576"/>
      <c r="G576"/>
      <c r="H576"/>
      <c r="I576"/>
      <c r="J576"/>
      <c r="K576"/>
    </row>
    <row r="577" spans="1:11" x14ac:dyDescent="0.25">
      <c r="A577"/>
      <c r="B577"/>
      <c r="C577"/>
      <c r="D577"/>
      <c r="E577"/>
      <c r="F577"/>
      <c r="G577"/>
      <c r="H577"/>
      <c r="I577"/>
      <c r="J577"/>
      <c r="K577"/>
    </row>
    <row r="578" spans="1:11" x14ac:dyDescent="0.25">
      <c r="A578"/>
      <c r="B578"/>
      <c r="C578"/>
      <c r="D578"/>
      <c r="E578"/>
      <c r="F578"/>
      <c r="G578"/>
      <c r="H578"/>
      <c r="I578"/>
      <c r="J578"/>
      <c r="K578"/>
    </row>
    <row r="579" spans="1:11" x14ac:dyDescent="0.25">
      <c r="A579"/>
      <c r="B579"/>
      <c r="C579"/>
      <c r="D579"/>
      <c r="E579"/>
      <c r="F579"/>
      <c r="G579"/>
      <c r="H579"/>
      <c r="I579"/>
      <c r="J579"/>
      <c r="K579"/>
    </row>
    <row r="580" spans="1:11" x14ac:dyDescent="0.25">
      <c r="A580"/>
      <c r="B580"/>
      <c r="C580"/>
      <c r="D580"/>
      <c r="E580"/>
      <c r="F580"/>
      <c r="G580"/>
      <c r="H580"/>
      <c r="I580"/>
      <c r="J580"/>
      <c r="K580"/>
    </row>
    <row r="581" spans="1:11" x14ac:dyDescent="0.25">
      <c r="A581"/>
      <c r="B581"/>
      <c r="C581"/>
      <c r="D581"/>
      <c r="E581"/>
      <c r="F581"/>
      <c r="G581"/>
      <c r="H581"/>
      <c r="I581"/>
      <c r="J581"/>
      <c r="K581"/>
    </row>
    <row r="582" spans="1:11" x14ac:dyDescent="0.25">
      <c r="A582"/>
      <c r="B582"/>
      <c r="C582"/>
      <c r="D582"/>
      <c r="E582"/>
      <c r="F582"/>
      <c r="G582"/>
      <c r="H582"/>
      <c r="I582"/>
      <c r="J582"/>
      <c r="K582"/>
    </row>
    <row r="583" spans="1:11" x14ac:dyDescent="0.25">
      <c r="A583"/>
      <c r="B583"/>
      <c r="C583"/>
      <c r="D583"/>
      <c r="E583"/>
      <c r="F583"/>
      <c r="G583"/>
      <c r="H583"/>
      <c r="I583"/>
      <c r="J583"/>
      <c r="K583"/>
    </row>
    <row r="584" spans="1:11" x14ac:dyDescent="0.25">
      <c r="A584"/>
      <c r="B584"/>
      <c r="C584"/>
      <c r="D584"/>
      <c r="E584"/>
      <c r="F584"/>
      <c r="G584"/>
      <c r="H584"/>
      <c r="I584"/>
      <c r="J584"/>
      <c r="K584"/>
    </row>
    <row r="585" spans="1:11" x14ac:dyDescent="0.25">
      <c r="A585"/>
      <c r="B585"/>
      <c r="C585"/>
      <c r="D585"/>
      <c r="E585"/>
      <c r="F585"/>
      <c r="G585"/>
      <c r="H585"/>
      <c r="I585"/>
      <c r="J585"/>
      <c r="K585"/>
    </row>
    <row r="586" spans="1:11" x14ac:dyDescent="0.25">
      <c r="A586"/>
      <c r="B586"/>
      <c r="C586"/>
      <c r="D586"/>
      <c r="E586"/>
      <c r="F586"/>
      <c r="G586"/>
      <c r="H586"/>
      <c r="I586"/>
      <c r="J586"/>
      <c r="K586"/>
    </row>
    <row r="587" spans="1:11" x14ac:dyDescent="0.25">
      <c r="A587"/>
      <c r="B587"/>
      <c r="C587"/>
      <c r="D587"/>
      <c r="E587"/>
      <c r="F587"/>
      <c r="G587"/>
      <c r="H587"/>
      <c r="I587"/>
      <c r="J587"/>
      <c r="K587"/>
    </row>
    <row r="588" spans="1:11" x14ac:dyDescent="0.25">
      <c r="A588"/>
      <c r="B588"/>
      <c r="C588"/>
      <c r="D588"/>
      <c r="E588"/>
      <c r="F588"/>
      <c r="G588"/>
      <c r="H588"/>
      <c r="I588"/>
      <c r="J588"/>
      <c r="K588"/>
    </row>
    <row r="589" spans="1:11" x14ac:dyDescent="0.25">
      <c r="A589"/>
      <c r="B589"/>
      <c r="C589"/>
      <c r="D589"/>
      <c r="E589"/>
      <c r="F589"/>
      <c r="G589"/>
      <c r="H589"/>
      <c r="I589"/>
      <c r="J589"/>
      <c r="K589"/>
    </row>
    <row r="590" spans="1:11" x14ac:dyDescent="0.25">
      <c r="A590"/>
      <c r="B590"/>
      <c r="C590"/>
      <c r="D590"/>
      <c r="E590"/>
      <c r="F590"/>
      <c r="G590"/>
      <c r="H590"/>
      <c r="I590"/>
      <c r="J590"/>
      <c r="K590"/>
    </row>
    <row r="591" spans="1:11" x14ac:dyDescent="0.25">
      <c r="A591"/>
      <c r="B591"/>
      <c r="C591"/>
      <c r="D591"/>
      <c r="E591"/>
      <c r="F591"/>
      <c r="G591"/>
      <c r="H591"/>
      <c r="I591"/>
      <c r="J591"/>
      <c r="K591"/>
    </row>
    <row r="592" spans="1:11" x14ac:dyDescent="0.25">
      <c r="A592"/>
      <c r="B592"/>
      <c r="C592"/>
      <c r="D592"/>
      <c r="E592"/>
      <c r="F592"/>
      <c r="G592"/>
      <c r="H592"/>
      <c r="I592"/>
      <c r="J592"/>
      <c r="K592"/>
    </row>
    <row r="593" spans="1:11" x14ac:dyDescent="0.25">
      <c r="A593"/>
      <c r="B593"/>
      <c r="C593"/>
      <c r="D593"/>
      <c r="E593"/>
      <c r="F593"/>
      <c r="G593"/>
      <c r="H593"/>
      <c r="I593"/>
      <c r="J593"/>
      <c r="K593"/>
    </row>
    <row r="594" spans="1:11" x14ac:dyDescent="0.25">
      <c r="A594"/>
      <c r="B594"/>
      <c r="C594"/>
      <c r="D594"/>
      <c r="E594"/>
      <c r="F594"/>
      <c r="G594"/>
      <c r="H594"/>
      <c r="I594"/>
      <c r="J594"/>
      <c r="K594"/>
    </row>
    <row r="595" spans="1:11" x14ac:dyDescent="0.25">
      <c r="A595"/>
      <c r="B595"/>
      <c r="C595"/>
      <c r="D595"/>
      <c r="E595"/>
      <c r="F595"/>
      <c r="G595"/>
      <c r="H595"/>
      <c r="I595"/>
      <c r="J595"/>
      <c r="K595"/>
    </row>
    <row r="596" spans="1:11" x14ac:dyDescent="0.25">
      <c r="A596"/>
      <c r="B596"/>
      <c r="C596"/>
      <c r="D596"/>
      <c r="E596"/>
      <c r="F596"/>
      <c r="G596"/>
      <c r="H596"/>
      <c r="I596"/>
      <c r="J596"/>
      <c r="K596"/>
    </row>
    <row r="597" spans="1:11" x14ac:dyDescent="0.25">
      <c r="A597"/>
      <c r="B597"/>
      <c r="C597"/>
      <c r="D597"/>
      <c r="E597"/>
      <c r="F597"/>
      <c r="G597"/>
      <c r="H597"/>
      <c r="I597"/>
      <c r="J597"/>
      <c r="K597"/>
    </row>
    <row r="598" spans="1:11" x14ac:dyDescent="0.25">
      <c r="A598"/>
      <c r="B598"/>
      <c r="C598"/>
      <c r="D598"/>
      <c r="E598"/>
      <c r="F598"/>
      <c r="G598"/>
      <c r="H598"/>
      <c r="I598"/>
      <c r="J598"/>
      <c r="K598"/>
    </row>
    <row r="599" spans="1:11" x14ac:dyDescent="0.25">
      <c r="A599"/>
      <c r="B599"/>
      <c r="C599"/>
      <c r="D599"/>
      <c r="E599"/>
      <c r="F599"/>
      <c r="G599"/>
      <c r="H599"/>
      <c r="I599"/>
      <c r="J599"/>
      <c r="K599"/>
    </row>
    <row r="600" spans="1:11" x14ac:dyDescent="0.25">
      <c r="A600"/>
      <c r="B600"/>
      <c r="C600"/>
      <c r="D600"/>
      <c r="E600"/>
      <c r="F600"/>
      <c r="G600"/>
      <c r="H600"/>
      <c r="I600"/>
      <c r="J600"/>
      <c r="K600"/>
    </row>
    <row r="601" spans="1:11" x14ac:dyDescent="0.25">
      <c r="A601"/>
      <c r="B601"/>
      <c r="C601"/>
      <c r="D601"/>
      <c r="E601"/>
      <c r="F601"/>
      <c r="G601"/>
      <c r="H601"/>
      <c r="I601"/>
      <c r="J601"/>
      <c r="K601"/>
    </row>
    <row r="602" spans="1:11" x14ac:dyDescent="0.25">
      <c r="A602"/>
      <c r="B602"/>
      <c r="C602"/>
      <c r="D602"/>
      <c r="E602"/>
      <c r="F602"/>
      <c r="G602"/>
      <c r="H602"/>
      <c r="I602"/>
      <c r="J602"/>
      <c r="K602"/>
    </row>
    <row r="603" spans="1:11" x14ac:dyDescent="0.25">
      <c r="A603"/>
      <c r="B603"/>
      <c r="C603"/>
      <c r="D603"/>
      <c r="E603"/>
      <c r="F603"/>
      <c r="G603"/>
      <c r="H603"/>
      <c r="I603"/>
      <c r="J603"/>
      <c r="K603"/>
    </row>
    <row r="604" spans="1:11" x14ac:dyDescent="0.25">
      <c r="A604"/>
      <c r="B604"/>
      <c r="C604"/>
      <c r="D604"/>
      <c r="E604"/>
      <c r="F604"/>
      <c r="G604"/>
      <c r="H604"/>
      <c r="I604"/>
      <c r="J604"/>
      <c r="K604"/>
    </row>
    <row r="605" spans="1:11" x14ac:dyDescent="0.25">
      <c r="A605"/>
      <c r="B605"/>
      <c r="C605"/>
      <c r="D605"/>
      <c r="E605"/>
      <c r="F605"/>
      <c r="G605"/>
      <c r="H605"/>
      <c r="I605"/>
      <c r="J605"/>
      <c r="K605"/>
    </row>
    <row r="606" spans="1:11" x14ac:dyDescent="0.25">
      <c r="A606"/>
      <c r="B606"/>
      <c r="C606"/>
      <c r="D606"/>
      <c r="E606"/>
      <c r="F606"/>
      <c r="G606"/>
      <c r="H606"/>
      <c r="I606"/>
      <c r="J606"/>
      <c r="K606"/>
    </row>
    <row r="607" spans="1:11" x14ac:dyDescent="0.25">
      <c r="A607"/>
      <c r="B607"/>
      <c r="C607"/>
      <c r="D607"/>
      <c r="E607"/>
      <c r="F607"/>
      <c r="G607"/>
      <c r="H607"/>
      <c r="I607"/>
      <c r="J607"/>
      <c r="K607"/>
    </row>
    <row r="608" spans="1:11" x14ac:dyDescent="0.25">
      <c r="A608"/>
      <c r="B608"/>
      <c r="C608"/>
      <c r="D608"/>
      <c r="E608"/>
      <c r="F608"/>
      <c r="G608"/>
      <c r="H608"/>
      <c r="I608"/>
      <c r="J608"/>
      <c r="K608"/>
    </row>
    <row r="609" spans="1:11" x14ac:dyDescent="0.25">
      <c r="A609"/>
      <c r="B609"/>
      <c r="C609"/>
      <c r="D609"/>
      <c r="E609"/>
      <c r="F609"/>
      <c r="G609"/>
      <c r="H609"/>
      <c r="I609"/>
      <c r="J609"/>
      <c r="K609"/>
    </row>
    <row r="610" spans="1:11" x14ac:dyDescent="0.25">
      <c r="A610"/>
      <c r="B610"/>
      <c r="C610"/>
      <c r="D610"/>
      <c r="E610"/>
      <c r="F610"/>
      <c r="G610"/>
      <c r="H610"/>
      <c r="I610"/>
      <c r="J610"/>
      <c r="K610"/>
    </row>
    <row r="611" spans="1:11" x14ac:dyDescent="0.25">
      <c r="A611"/>
      <c r="B611"/>
      <c r="C611"/>
      <c r="D611"/>
      <c r="E611"/>
      <c r="F611"/>
      <c r="G611"/>
      <c r="H611"/>
      <c r="I611"/>
      <c r="J611"/>
      <c r="K611"/>
    </row>
    <row r="612" spans="1:11" x14ac:dyDescent="0.25">
      <c r="A612"/>
      <c r="B612"/>
      <c r="C612"/>
      <c r="D612"/>
      <c r="E612"/>
      <c r="F612"/>
      <c r="G612"/>
      <c r="H612"/>
      <c r="I612"/>
      <c r="J612"/>
      <c r="K612"/>
    </row>
    <row r="613" spans="1:11" x14ac:dyDescent="0.25">
      <c r="A613"/>
      <c r="B613"/>
      <c r="C613"/>
      <c r="D613"/>
      <c r="E613"/>
      <c r="F613"/>
      <c r="G613"/>
      <c r="H613"/>
      <c r="I613"/>
      <c r="J613"/>
      <c r="K613"/>
    </row>
    <row r="614" spans="1:11" x14ac:dyDescent="0.25">
      <c r="A614"/>
      <c r="B614"/>
      <c r="C614"/>
      <c r="D614"/>
      <c r="E614"/>
      <c r="F614"/>
      <c r="G614"/>
      <c r="H614"/>
      <c r="I614"/>
      <c r="J614"/>
      <c r="K614"/>
    </row>
    <row r="615" spans="1:11" x14ac:dyDescent="0.25">
      <c r="A615"/>
      <c r="B615"/>
      <c r="C615"/>
      <c r="D615"/>
      <c r="E615"/>
      <c r="F615"/>
      <c r="G615"/>
      <c r="H615"/>
      <c r="I615"/>
      <c r="J615"/>
      <c r="K615"/>
    </row>
    <row r="616" spans="1:11" x14ac:dyDescent="0.25">
      <c r="A616"/>
      <c r="B616"/>
      <c r="C616"/>
      <c r="D616"/>
      <c r="E616"/>
      <c r="F616"/>
      <c r="G616"/>
      <c r="H616"/>
      <c r="I616"/>
      <c r="J616"/>
      <c r="K616"/>
    </row>
    <row r="617" spans="1:11" x14ac:dyDescent="0.25">
      <c r="A617"/>
      <c r="B617"/>
      <c r="C617"/>
      <c r="D617"/>
      <c r="E617"/>
      <c r="F617"/>
      <c r="G617"/>
      <c r="H617"/>
      <c r="I617"/>
      <c r="J617"/>
      <c r="K617"/>
    </row>
    <row r="618" spans="1:11" x14ac:dyDescent="0.25">
      <c r="A618"/>
      <c r="B618"/>
      <c r="C618"/>
      <c r="D618"/>
      <c r="E618"/>
      <c r="F618"/>
      <c r="G618"/>
      <c r="H618"/>
      <c r="I618"/>
      <c r="J618"/>
      <c r="K618"/>
    </row>
    <row r="619" spans="1:11" x14ac:dyDescent="0.25">
      <c r="A619"/>
      <c r="B619"/>
      <c r="C619"/>
      <c r="D619"/>
      <c r="E619"/>
      <c r="F619"/>
      <c r="G619"/>
      <c r="H619"/>
      <c r="I619"/>
      <c r="J619"/>
      <c r="K619"/>
    </row>
    <row r="620" spans="1:11" x14ac:dyDescent="0.25">
      <c r="A620"/>
      <c r="B620"/>
      <c r="C620"/>
      <c r="D620"/>
      <c r="E620"/>
      <c r="F620"/>
      <c r="G620"/>
      <c r="H620"/>
      <c r="I620"/>
      <c r="J620"/>
      <c r="K620"/>
    </row>
    <row r="621" spans="1:11" x14ac:dyDescent="0.25">
      <c r="A621"/>
      <c r="B621"/>
      <c r="C621"/>
      <c r="D621"/>
      <c r="E621"/>
      <c r="F621"/>
      <c r="G621"/>
      <c r="H621"/>
      <c r="I621"/>
      <c r="J621"/>
      <c r="K621"/>
    </row>
    <row r="622" spans="1:11" x14ac:dyDescent="0.25">
      <c r="A622"/>
      <c r="B622"/>
      <c r="C622"/>
      <c r="D622"/>
      <c r="E622"/>
      <c r="F622"/>
      <c r="G622"/>
      <c r="H622"/>
      <c r="I622"/>
      <c r="J622"/>
      <c r="K622"/>
    </row>
    <row r="623" spans="1:11" x14ac:dyDescent="0.25">
      <c r="A623"/>
      <c r="B623"/>
      <c r="C623"/>
      <c r="D623"/>
      <c r="E623"/>
      <c r="F623"/>
      <c r="G623"/>
      <c r="H623"/>
      <c r="I623"/>
      <c r="J623"/>
      <c r="K623"/>
    </row>
    <row r="624" spans="1:11" x14ac:dyDescent="0.25">
      <c r="A624"/>
      <c r="B624"/>
      <c r="C624"/>
      <c r="D624"/>
      <c r="E624"/>
      <c r="F624"/>
      <c r="G624"/>
      <c r="H624"/>
      <c r="I624"/>
      <c r="J624"/>
      <c r="K624"/>
    </row>
    <row r="625" spans="1:11" x14ac:dyDescent="0.25">
      <c r="A625"/>
      <c r="B625"/>
      <c r="C625"/>
      <c r="D625"/>
      <c r="E625"/>
      <c r="F625"/>
      <c r="G625"/>
      <c r="H625"/>
      <c r="I625"/>
      <c r="J625"/>
      <c r="K625"/>
    </row>
    <row r="626" spans="1:11" x14ac:dyDescent="0.25">
      <c r="A626"/>
      <c r="B626"/>
      <c r="C626"/>
      <c r="D626"/>
      <c r="E626"/>
      <c r="F626"/>
      <c r="G626"/>
      <c r="H626"/>
      <c r="I626"/>
      <c r="J626"/>
      <c r="K626"/>
    </row>
    <row r="627" spans="1:11" x14ac:dyDescent="0.25">
      <c r="A627"/>
      <c r="B627"/>
      <c r="C627"/>
      <c r="D627"/>
      <c r="E627"/>
      <c r="F627"/>
      <c r="G627"/>
      <c r="H627"/>
      <c r="I627"/>
      <c r="J627"/>
      <c r="K627"/>
    </row>
    <row r="628" spans="1:11" x14ac:dyDescent="0.25">
      <c r="A628"/>
      <c r="B628"/>
      <c r="C628"/>
      <c r="D628"/>
      <c r="E628"/>
      <c r="F628"/>
      <c r="G628"/>
      <c r="H628"/>
      <c r="I628"/>
      <c r="J628"/>
      <c r="K628"/>
    </row>
    <row r="629" spans="1:11" x14ac:dyDescent="0.25">
      <c r="A629"/>
      <c r="B629"/>
      <c r="C629"/>
      <c r="D629"/>
      <c r="E629"/>
      <c r="F629"/>
      <c r="G629"/>
      <c r="H629"/>
      <c r="I629"/>
      <c r="J629"/>
      <c r="K629"/>
    </row>
    <row r="630" spans="1:11" x14ac:dyDescent="0.25">
      <c r="A630"/>
      <c r="B630"/>
      <c r="C630"/>
      <c r="D630"/>
      <c r="E630"/>
      <c r="F630"/>
      <c r="G630"/>
      <c r="H630"/>
      <c r="I630"/>
      <c r="J630"/>
      <c r="K630"/>
    </row>
    <row r="631" spans="1:11" x14ac:dyDescent="0.25">
      <c r="A631"/>
      <c r="B631"/>
      <c r="C631"/>
      <c r="D631"/>
      <c r="E631"/>
      <c r="F631"/>
      <c r="G631"/>
      <c r="H631"/>
      <c r="I631"/>
      <c r="J631"/>
      <c r="K631"/>
    </row>
    <row r="632" spans="1:11" x14ac:dyDescent="0.25">
      <c r="A632"/>
      <c r="B632"/>
      <c r="C632"/>
      <c r="D632"/>
      <c r="E632"/>
      <c r="F632"/>
      <c r="G632"/>
      <c r="H632"/>
      <c r="I632"/>
      <c r="J632"/>
      <c r="K632"/>
    </row>
    <row r="633" spans="1:11" x14ac:dyDescent="0.25">
      <c r="A633"/>
      <c r="B633"/>
      <c r="C633"/>
      <c r="D633"/>
      <c r="E633"/>
      <c r="F633"/>
      <c r="G633"/>
      <c r="H633"/>
      <c r="I633"/>
      <c r="J633"/>
      <c r="K633"/>
    </row>
    <row r="634" spans="1:11" x14ac:dyDescent="0.25">
      <c r="A634"/>
      <c r="B634"/>
      <c r="C634"/>
      <c r="D634"/>
      <c r="E634"/>
      <c r="F634"/>
      <c r="G634"/>
      <c r="H634"/>
      <c r="I634"/>
      <c r="J634"/>
      <c r="K634"/>
    </row>
    <row r="635" spans="1:11" x14ac:dyDescent="0.25">
      <c r="A635"/>
      <c r="B635"/>
      <c r="C635"/>
      <c r="D635"/>
      <c r="E635"/>
      <c r="F635"/>
      <c r="G635"/>
      <c r="H635"/>
      <c r="I635"/>
      <c r="J635"/>
      <c r="K635"/>
    </row>
    <row r="636" spans="1:11" x14ac:dyDescent="0.25">
      <c r="A636"/>
      <c r="B636"/>
      <c r="C636"/>
      <c r="D636"/>
      <c r="E636"/>
      <c r="F636"/>
      <c r="G636"/>
      <c r="H636"/>
      <c r="I636"/>
      <c r="J636"/>
      <c r="K636"/>
    </row>
    <row r="637" spans="1:11" x14ac:dyDescent="0.25">
      <c r="A637"/>
      <c r="B637"/>
      <c r="C637"/>
      <c r="D637"/>
      <c r="E637"/>
      <c r="F637"/>
      <c r="G637"/>
      <c r="H637"/>
      <c r="I637"/>
      <c r="J637"/>
      <c r="K637"/>
    </row>
    <row r="638" spans="1:11" x14ac:dyDescent="0.25">
      <c r="A638"/>
      <c r="B638"/>
      <c r="C638"/>
      <c r="D638"/>
      <c r="E638"/>
      <c r="F638"/>
      <c r="G638"/>
      <c r="H638"/>
      <c r="I638"/>
      <c r="J638"/>
      <c r="K638"/>
    </row>
    <row r="639" spans="1:11" x14ac:dyDescent="0.25">
      <c r="A639"/>
      <c r="B639"/>
      <c r="C639"/>
      <c r="D639"/>
      <c r="E639"/>
      <c r="F639"/>
      <c r="G639"/>
      <c r="H639"/>
      <c r="I639"/>
      <c r="J639"/>
      <c r="K639"/>
    </row>
    <row r="640" spans="1:11" x14ac:dyDescent="0.25">
      <c r="A640"/>
      <c r="B640"/>
      <c r="C640"/>
      <c r="D640"/>
      <c r="E640"/>
      <c r="F640"/>
      <c r="G640"/>
      <c r="H640"/>
      <c r="I640"/>
      <c r="J640"/>
      <c r="K640"/>
    </row>
    <row r="641" spans="1:11" x14ac:dyDescent="0.25">
      <c r="A641"/>
      <c r="B641"/>
      <c r="C641"/>
      <c r="D641"/>
      <c r="E641"/>
      <c r="F641"/>
      <c r="G641"/>
      <c r="H641"/>
      <c r="I641"/>
      <c r="J641"/>
      <c r="K641"/>
    </row>
    <row r="642" spans="1:11" x14ac:dyDescent="0.25">
      <c r="A642"/>
      <c r="B642"/>
      <c r="C642"/>
      <c r="D642"/>
      <c r="E642"/>
      <c r="F642"/>
      <c r="G642"/>
      <c r="H642"/>
      <c r="I642"/>
      <c r="J642"/>
      <c r="K642"/>
    </row>
    <row r="643" spans="1:11" x14ac:dyDescent="0.25">
      <c r="A643"/>
      <c r="B643"/>
      <c r="C643"/>
      <c r="D643"/>
      <c r="E643"/>
      <c r="F643"/>
      <c r="G643"/>
      <c r="H643"/>
      <c r="I643"/>
      <c r="J643"/>
      <c r="K643"/>
    </row>
    <row r="644" spans="1:11" x14ac:dyDescent="0.25">
      <c r="A644"/>
      <c r="B644"/>
      <c r="C644"/>
      <c r="D644"/>
      <c r="E644"/>
      <c r="F644"/>
      <c r="G644"/>
      <c r="H644"/>
      <c r="I644"/>
      <c r="J644"/>
      <c r="K644"/>
    </row>
    <row r="645" spans="1:11" x14ac:dyDescent="0.25">
      <c r="A645"/>
      <c r="B645"/>
      <c r="C645"/>
      <c r="D645"/>
      <c r="E645"/>
      <c r="F645"/>
      <c r="G645"/>
      <c r="H645"/>
      <c r="I645"/>
      <c r="J645"/>
      <c r="K645"/>
    </row>
    <row r="646" spans="1:11" x14ac:dyDescent="0.25">
      <c r="A646"/>
      <c r="B646"/>
      <c r="C646"/>
      <c r="D646"/>
      <c r="E646"/>
      <c r="F646"/>
      <c r="G646"/>
      <c r="H646"/>
      <c r="I646"/>
      <c r="J646"/>
      <c r="K646"/>
    </row>
    <row r="647" spans="1:11" x14ac:dyDescent="0.25">
      <c r="A647"/>
      <c r="B647"/>
      <c r="C647"/>
      <c r="D647"/>
      <c r="E647"/>
      <c r="F647"/>
      <c r="G647"/>
      <c r="H647"/>
      <c r="I647"/>
      <c r="J647"/>
      <c r="K647"/>
    </row>
    <row r="648" spans="1:11" x14ac:dyDescent="0.25">
      <c r="A648"/>
      <c r="B648"/>
      <c r="C648"/>
      <c r="D648"/>
      <c r="E648"/>
      <c r="F648"/>
      <c r="G648"/>
      <c r="H648"/>
      <c r="I648"/>
      <c r="J648"/>
      <c r="K648"/>
    </row>
    <row r="649" spans="1:11" x14ac:dyDescent="0.25">
      <c r="A649"/>
      <c r="B649"/>
      <c r="C649"/>
      <c r="D649"/>
      <c r="E649"/>
      <c r="F649"/>
      <c r="G649"/>
      <c r="H649"/>
      <c r="I649"/>
      <c r="J649"/>
      <c r="K649"/>
    </row>
    <row r="650" spans="1:11" x14ac:dyDescent="0.25">
      <c r="A650"/>
      <c r="B650"/>
      <c r="C650"/>
      <c r="D650"/>
      <c r="E650"/>
      <c r="F650"/>
      <c r="G650"/>
      <c r="H650"/>
      <c r="I650"/>
      <c r="J650"/>
      <c r="K650"/>
    </row>
    <row r="651" spans="1:11" x14ac:dyDescent="0.25">
      <c r="A651"/>
      <c r="B651"/>
      <c r="C651"/>
      <c r="D651"/>
      <c r="E651"/>
      <c r="F651"/>
      <c r="G651"/>
      <c r="H651"/>
      <c r="I651"/>
      <c r="J651"/>
      <c r="K651"/>
    </row>
    <row r="652" spans="1:11" x14ac:dyDescent="0.25">
      <c r="A652"/>
      <c r="B652"/>
      <c r="C652"/>
      <c r="D652"/>
      <c r="E652"/>
      <c r="F652"/>
      <c r="G652"/>
      <c r="H652"/>
      <c r="I652"/>
      <c r="J652"/>
      <c r="K652"/>
    </row>
    <row r="653" spans="1:11" x14ac:dyDescent="0.25">
      <c r="A653"/>
      <c r="B653"/>
      <c r="C653"/>
      <c r="D653"/>
      <c r="E653"/>
      <c r="F653"/>
      <c r="G653"/>
      <c r="H653"/>
      <c r="I653"/>
      <c r="J653"/>
      <c r="K653"/>
    </row>
    <row r="654" spans="1:11" x14ac:dyDescent="0.25">
      <c r="A654"/>
      <c r="B654"/>
      <c r="C654"/>
      <c r="D654"/>
      <c r="E654"/>
      <c r="F654"/>
      <c r="G654"/>
      <c r="H654"/>
      <c r="I654"/>
      <c r="J654"/>
      <c r="K654"/>
    </row>
    <row r="655" spans="1:11" x14ac:dyDescent="0.25">
      <c r="A655"/>
      <c r="B655"/>
      <c r="C655"/>
      <c r="D655"/>
      <c r="E655"/>
      <c r="F655"/>
      <c r="G655"/>
      <c r="H655"/>
      <c r="I655"/>
      <c r="J655"/>
      <c r="K655"/>
    </row>
    <row r="656" spans="1:11" x14ac:dyDescent="0.25">
      <c r="A656"/>
      <c r="B656"/>
      <c r="C656"/>
      <c r="D656"/>
      <c r="E656"/>
      <c r="F656"/>
      <c r="G656"/>
      <c r="H656"/>
      <c r="I656"/>
      <c r="J656"/>
      <c r="K656"/>
    </row>
    <row r="657" spans="1:11" x14ac:dyDescent="0.25">
      <c r="A657"/>
      <c r="B657"/>
      <c r="C657"/>
      <c r="D657"/>
      <c r="E657"/>
      <c r="F657"/>
      <c r="G657"/>
      <c r="H657"/>
      <c r="I657"/>
      <c r="J657"/>
      <c r="K657"/>
    </row>
    <row r="658" spans="1:11" x14ac:dyDescent="0.25">
      <c r="A658"/>
      <c r="B658"/>
      <c r="C658"/>
      <c r="D658"/>
      <c r="E658"/>
      <c r="F658"/>
      <c r="G658"/>
      <c r="H658"/>
      <c r="I658"/>
      <c r="J658"/>
      <c r="K658"/>
    </row>
    <row r="659" spans="1:11" x14ac:dyDescent="0.25">
      <c r="A659"/>
      <c r="B659"/>
      <c r="C659"/>
      <c r="D659"/>
      <c r="E659"/>
      <c r="F659"/>
      <c r="G659"/>
      <c r="H659"/>
      <c r="I659"/>
      <c r="J659"/>
      <c r="K659"/>
    </row>
    <row r="660" spans="1:11" x14ac:dyDescent="0.25">
      <c r="A660"/>
      <c r="B660"/>
      <c r="C660"/>
      <c r="D660"/>
      <c r="E660"/>
      <c r="F660"/>
      <c r="G660"/>
      <c r="H660"/>
      <c r="I660"/>
      <c r="J660"/>
      <c r="K660"/>
    </row>
    <row r="661" spans="1:11" x14ac:dyDescent="0.25">
      <c r="A661"/>
      <c r="B661"/>
      <c r="C661"/>
      <c r="D661"/>
      <c r="E661"/>
      <c r="F661"/>
      <c r="G661"/>
      <c r="H661"/>
      <c r="I661"/>
      <c r="J661"/>
      <c r="K661"/>
    </row>
    <row r="662" spans="1:11" x14ac:dyDescent="0.25">
      <c r="A662"/>
      <c r="B662"/>
      <c r="C662"/>
      <c r="D662"/>
      <c r="E662"/>
      <c r="F662"/>
      <c r="G662"/>
      <c r="H662"/>
      <c r="I662"/>
      <c r="J662"/>
      <c r="K662"/>
    </row>
    <row r="663" spans="1:11" x14ac:dyDescent="0.25">
      <c r="A663"/>
      <c r="B663"/>
      <c r="C663"/>
      <c r="D663"/>
      <c r="E663"/>
      <c r="F663"/>
      <c r="G663"/>
      <c r="H663"/>
      <c r="I663"/>
      <c r="J663"/>
      <c r="K663"/>
    </row>
    <row r="664" spans="1:11" x14ac:dyDescent="0.25">
      <c r="A664"/>
      <c r="B664"/>
      <c r="C664"/>
      <c r="D664"/>
      <c r="E664"/>
      <c r="F664"/>
      <c r="G664"/>
      <c r="H664"/>
      <c r="I664"/>
      <c r="J664"/>
      <c r="K664"/>
    </row>
    <row r="665" spans="1:11" x14ac:dyDescent="0.25">
      <c r="A665"/>
      <c r="B665"/>
      <c r="C665"/>
      <c r="D665"/>
      <c r="E665"/>
      <c r="F665"/>
      <c r="G665"/>
      <c r="H665"/>
      <c r="I665"/>
      <c r="J665"/>
      <c r="K665"/>
    </row>
    <row r="666" spans="1:11" x14ac:dyDescent="0.25">
      <c r="A666"/>
      <c r="B666"/>
      <c r="C666"/>
      <c r="D666"/>
      <c r="E666"/>
      <c r="F666"/>
      <c r="G666"/>
      <c r="H666"/>
      <c r="I666"/>
      <c r="J666"/>
      <c r="K666"/>
    </row>
    <row r="667" spans="1:11" x14ac:dyDescent="0.25">
      <c r="A667"/>
      <c r="B667"/>
      <c r="C667"/>
      <c r="D667"/>
      <c r="E667"/>
      <c r="F667"/>
      <c r="G667"/>
      <c r="H667"/>
      <c r="I667"/>
      <c r="J667"/>
      <c r="K667"/>
    </row>
    <row r="668" spans="1:11" x14ac:dyDescent="0.25">
      <c r="A668"/>
      <c r="B668"/>
      <c r="C668"/>
      <c r="D668"/>
      <c r="E668"/>
      <c r="F668"/>
      <c r="G668"/>
      <c r="H668"/>
      <c r="I668"/>
      <c r="J668"/>
      <c r="K668"/>
    </row>
    <row r="669" spans="1:11" x14ac:dyDescent="0.25">
      <c r="A669"/>
      <c r="B669"/>
      <c r="C669"/>
      <c r="D669"/>
      <c r="E669"/>
      <c r="F669"/>
      <c r="G669"/>
      <c r="H669"/>
      <c r="I669"/>
      <c r="J669"/>
      <c r="K669"/>
    </row>
    <row r="670" spans="1:11" x14ac:dyDescent="0.25">
      <c r="A670"/>
      <c r="B670"/>
      <c r="C670"/>
      <c r="D670"/>
      <c r="E670"/>
      <c r="F670"/>
      <c r="G670"/>
      <c r="H670"/>
      <c r="I670"/>
      <c r="J670"/>
      <c r="K670"/>
    </row>
    <row r="671" spans="1:11" x14ac:dyDescent="0.25">
      <c r="A671"/>
      <c r="B671"/>
      <c r="C671"/>
      <c r="D671"/>
      <c r="E671"/>
      <c r="F671"/>
      <c r="G671"/>
      <c r="H671"/>
      <c r="I671"/>
      <c r="J671"/>
      <c r="K671"/>
    </row>
    <row r="672" spans="1:11" x14ac:dyDescent="0.25">
      <c r="A672"/>
      <c r="B672"/>
      <c r="C672"/>
      <c r="D672"/>
      <c r="E672"/>
      <c r="F672"/>
      <c r="G672"/>
      <c r="H672"/>
      <c r="I672"/>
      <c r="J672"/>
      <c r="K672"/>
    </row>
    <row r="673" spans="1:11" x14ac:dyDescent="0.25">
      <c r="A673"/>
      <c r="B673"/>
      <c r="C673"/>
      <c r="D673"/>
      <c r="E673"/>
      <c r="F673"/>
      <c r="G673"/>
      <c r="H673"/>
      <c r="I673"/>
      <c r="J673"/>
      <c r="K673"/>
    </row>
    <row r="674" spans="1:11" x14ac:dyDescent="0.25">
      <c r="A674"/>
      <c r="B674"/>
      <c r="C674"/>
      <c r="D674"/>
      <c r="E674"/>
      <c r="F674"/>
      <c r="G674"/>
      <c r="H674"/>
      <c r="I674"/>
      <c r="J674"/>
      <c r="K674"/>
    </row>
    <row r="675" spans="1:11" x14ac:dyDescent="0.25">
      <c r="A675"/>
      <c r="B675"/>
      <c r="C675"/>
      <c r="D675"/>
      <c r="E675"/>
      <c r="F675"/>
      <c r="G675"/>
      <c r="H675"/>
      <c r="I675"/>
      <c r="J675"/>
      <c r="K675"/>
    </row>
    <row r="676" spans="1:11" x14ac:dyDescent="0.25">
      <c r="A676"/>
      <c r="B676"/>
      <c r="C676"/>
      <c r="D676"/>
      <c r="E676"/>
      <c r="F676"/>
      <c r="G676"/>
      <c r="H676"/>
      <c r="I676"/>
      <c r="J676"/>
      <c r="K676"/>
    </row>
    <row r="677" spans="1:11" x14ac:dyDescent="0.25">
      <c r="A677"/>
      <c r="B677"/>
      <c r="C677"/>
      <c r="D677"/>
      <c r="E677"/>
      <c r="F677"/>
      <c r="G677"/>
      <c r="H677"/>
      <c r="I677"/>
      <c r="J677"/>
      <c r="K677"/>
    </row>
    <row r="678" spans="1:11" x14ac:dyDescent="0.25">
      <c r="A678"/>
      <c r="B678"/>
      <c r="C678"/>
      <c r="D678"/>
      <c r="E678"/>
      <c r="F678"/>
      <c r="G678"/>
      <c r="H678"/>
      <c r="I678"/>
      <c r="J678"/>
      <c r="K678"/>
    </row>
    <row r="679" spans="1:11" x14ac:dyDescent="0.25">
      <c r="A679"/>
      <c r="B679"/>
      <c r="C679"/>
      <c r="D679"/>
      <c r="E679"/>
      <c r="F679"/>
      <c r="G679"/>
      <c r="H679"/>
      <c r="I679"/>
      <c r="J679"/>
      <c r="K679"/>
    </row>
    <row r="680" spans="1:11" x14ac:dyDescent="0.25">
      <c r="A680"/>
      <c r="B680"/>
      <c r="C680"/>
      <c r="D680"/>
      <c r="E680"/>
      <c r="F680"/>
      <c r="G680"/>
      <c r="H680"/>
      <c r="I680"/>
      <c r="J680"/>
      <c r="K680"/>
    </row>
    <row r="681" spans="1:11" x14ac:dyDescent="0.25">
      <c r="A681"/>
      <c r="B681"/>
      <c r="C681"/>
      <c r="D681"/>
      <c r="E681"/>
      <c r="F681"/>
      <c r="G681"/>
      <c r="H681"/>
      <c r="I681"/>
      <c r="J681"/>
      <c r="K681"/>
    </row>
    <row r="682" spans="1:11" x14ac:dyDescent="0.25">
      <c r="A682"/>
      <c r="B682"/>
      <c r="C682"/>
      <c r="D682"/>
      <c r="E682"/>
      <c r="F682"/>
      <c r="G682"/>
      <c r="H682"/>
      <c r="I682"/>
      <c r="J682"/>
      <c r="K682"/>
    </row>
    <row r="683" spans="1:11" x14ac:dyDescent="0.25">
      <c r="A683"/>
      <c r="B683"/>
      <c r="C683"/>
      <c r="D683"/>
      <c r="E683"/>
      <c r="F683"/>
      <c r="G683"/>
      <c r="H683"/>
      <c r="I683"/>
      <c r="J683"/>
      <c r="K683"/>
    </row>
    <row r="684" spans="1:11" x14ac:dyDescent="0.25">
      <c r="A684"/>
      <c r="B684"/>
      <c r="C684"/>
      <c r="D684"/>
      <c r="E684"/>
      <c r="F684"/>
      <c r="G684"/>
      <c r="H684"/>
      <c r="I684"/>
      <c r="J684"/>
      <c r="K684"/>
    </row>
    <row r="685" spans="1:11" x14ac:dyDescent="0.25">
      <c r="A685"/>
      <c r="B685"/>
      <c r="C685"/>
      <c r="D685"/>
      <c r="E685"/>
      <c r="F685"/>
      <c r="G685"/>
      <c r="H685"/>
      <c r="I685"/>
      <c r="J685"/>
      <c r="K685"/>
    </row>
    <row r="686" spans="1:11" x14ac:dyDescent="0.25">
      <c r="A686"/>
      <c r="B686"/>
      <c r="C686"/>
      <c r="D686"/>
      <c r="E686"/>
      <c r="F686"/>
      <c r="G686"/>
      <c r="H686"/>
      <c r="I686"/>
      <c r="J686"/>
      <c r="K686"/>
    </row>
    <row r="687" spans="1:11" x14ac:dyDescent="0.25">
      <c r="A687"/>
      <c r="B687"/>
      <c r="C687"/>
      <c r="D687"/>
      <c r="E687"/>
      <c r="F687"/>
      <c r="G687"/>
      <c r="H687"/>
      <c r="I687"/>
      <c r="J687"/>
      <c r="K687"/>
    </row>
    <row r="688" spans="1:11" x14ac:dyDescent="0.25">
      <c r="A688"/>
      <c r="B688"/>
      <c r="C688"/>
      <c r="D688"/>
      <c r="E688"/>
      <c r="F688"/>
      <c r="G688"/>
      <c r="H688"/>
      <c r="I688"/>
      <c r="J688"/>
      <c r="K688"/>
    </row>
    <row r="689" spans="1:11" x14ac:dyDescent="0.25">
      <c r="A689"/>
      <c r="B689"/>
      <c r="C689"/>
      <c r="D689"/>
      <c r="E689"/>
      <c r="F689"/>
      <c r="G689"/>
      <c r="H689"/>
      <c r="I689"/>
      <c r="J689"/>
      <c r="K689"/>
    </row>
    <row r="690" spans="1:11" x14ac:dyDescent="0.25">
      <c r="A690"/>
      <c r="B690"/>
      <c r="C690"/>
      <c r="D690"/>
      <c r="E690"/>
      <c r="F690"/>
      <c r="G690"/>
      <c r="H690"/>
      <c r="I690"/>
      <c r="J690"/>
      <c r="K690"/>
    </row>
    <row r="691" spans="1:11" x14ac:dyDescent="0.25">
      <c r="A691"/>
      <c r="B691"/>
      <c r="C691"/>
      <c r="D691"/>
      <c r="E691"/>
      <c r="F691"/>
      <c r="G691"/>
      <c r="H691"/>
      <c r="I691"/>
      <c r="J691"/>
      <c r="K691"/>
    </row>
    <row r="692" spans="1:11" x14ac:dyDescent="0.25">
      <c r="A692"/>
      <c r="B692"/>
      <c r="C692"/>
      <c r="D692"/>
      <c r="E692"/>
      <c r="F692"/>
      <c r="G692"/>
      <c r="H692"/>
      <c r="I692"/>
      <c r="J692"/>
      <c r="K692"/>
    </row>
    <row r="693" spans="1:11" x14ac:dyDescent="0.25">
      <c r="A693"/>
      <c r="B693"/>
      <c r="C693"/>
      <c r="D693"/>
      <c r="E693"/>
      <c r="F693"/>
      <c r="G693"/>
      <c r="H693"/>
      <c r="I693"/>
      <c r="J693"/>
      <c r="K693"/>
    </row>
    <row r="694" spans="1:11" x14ac:dyDescent="0.25">
      <c r="A694"/>
      <c r="B694"/>
      <c r="C694"/>
      <c r="D694"/>
      <c r="E694"/>
      <c r="F694"/>
      <c r="G694"/>
      <c r="H694"/>
      <c r="I694"/>
      <c r="J694"/>
      <c r="K694"/>
    </row>
    <row r="695" spans="1:11" x14ac:dyDescent="0.25">
      <c r="A695"/>
      <c r="B695"/>
      <c r="C695"/>
      <c r="D695"/>
      <c r="E695"/>
      <c r="F695"/>
      <c r="G695"/>
      <c r="H695"/>
      <c r="I695"/>
      <c r="J695"/>
      <c r="K695"/>
    </row>
    <row r="696" spans="1:11" x14ac:dyDescent="0.25">
      <c r="A696"/>
      <c r="B696"/>
      <c r="C696"/>
      <c r="D696"/>
      <c r="E696"/>
      <c r="F696"/>
      <c r="G696"/>
      <c r="H696"/>
      <c r="I696"/>
      <c r="J696"/>
      <c r="K696"/>
    </row>
    <row r="697" spans="1:11" x14ac:dyDescent="0.25">
      <c r="A697"/>
      <c r="B697"/>
      <c r="C697"/>
      <c r="D697"/>
      <c r="E697"/>
      <c r="F697"/>
      <c r="G697"/>
      <c r="H697"/>
      <c r="I697"/>
      <c r="J697"/>
      <c r="K697"/>
    </row>
    <row r="698" spans="1:11" x14ac:dyDescent="0.25">
      <c r="A698"/>
      <c r="B698"/>
      <c r="C698"/>
      <c r="D698"/>
      <c r="E698"/>
      <c r="F698"/>
      <c r="G698"/>
      <c r="H698"/>
      <c r="I698"/>
      <c r="J698"/>
      <c r="K698"/>
    </row>
    <row r="699" spans="1:11" x14ac:dyDescent="0.25">
      <c r="A699"/>
      <c r="B699"/>
      <c r="C699"/>
      <c r="D699"/>
      <c r="E699"/>
      <c r="F699"/>
      <c r="G699"/>
      <c r="H699"/>
      <c r="I699"/>
      <c r="J699"/>
      <c r="K699"/>
    </row>
    <row r="700" spans="1:11" x14ac:dyDescent="0.25">
      <c r="A700"/>
      <c r="B700"/>
      <c r="C700"/>
      <c r="D700"/>
      <c r="E700"/>
      <c r="F700"/>
      <c r="G700"/>
      <c r="H700"/>
      <c r="I700"/>
      <c r="J700"/>
      <c r="K700"/>
    </row>
    <row r="701" spans="1:11" x14ac:dyDescent="0.25">
      <c r="A701"/>
      <c r="B701"/>
      <c r="C701"/>
      <c r="D701"/>
      <c r="E701"/>
      <c r="F701"/>
      <c r="G701"/>
      <c r="H701"/>
      <c r="I701"/>
      <c r="J701"/>
      <c r="K701"/>
    </row>
    <row r="702" spans="1:11" x14ac:dyDescent="0.25">
      <c r="A702"/>
      <c r="B702"/>
      <c r="C702"/>
      <c r="D702"/>
      <c r="E702"/>
      <c r="F702"/>
      <c r="G702"/>
      <c r="H702"/>
      <c r="I702"/>
      <c r="J702"/>
      <c r="K702"/>
    </row>
    <row r="703" spans="1:11" x14ac:dyDescent="0.25">
      <c r="A703"/>
      <c r="B703"/>
      <c r="C703"/>
      <c r="D703"/>
      <c r="E703"/>
      <c r="F703"/>
      <c r="G703"/>
      <c r="H703"/>
      <c r="I703"/>
      <c r="J703"/>
      <c r="K703"/>
    </row>
    <row r="704" spans="1:11" x14ac:dyDescent="0.25">
      <c r="A704"/>
      <c r="B704"/>
      <c r="C704"/>
      <c r="D704"/>
      <c r="E704"/>
      <c r="F704"/>
      <c r="G704"/>
      <c r="H704"/>
      <c r="I704"/>
      <c r="J704"/>
      <c r="K704"/>
    </row>
    <row r="705" spans="1:11" x14ac:dyDescent="0.25">
      <c r="A705"/>
      <c r="B705"/>
      <c r="C705"/>
      <c r="D705"/>
      <c r="E705"/>
      <c r="F705"/>
      <c r="G705"/>
      <c r="H705"/>
      <c r="I705"/>
      <c r="J705"/>
      <c r="K705"/>
    </row>
    <row r="706" spans="1:11" x14ac:dyDescent="0.25">
      <c r="A706"/>
      <c r="B706"/>
      <c r="C706"/>
      <c r="D706"/>
      <c r="E706"/>
      <c r="F706"/>
      <c r="G706"/>
      <c r="H706"/>
      <c r="I706"/>
      <c r="J706"/>
      <c r="K706"/>
    </row>
    <row r="707" spans="1:11" x14ac:dyDescent="0.25">
      <c r="A707"/>
      <c r="B707"/>
      <c r="C707"/>
      <c r="D707"/>
      <c r="E707"/>
      <c r="F707"/>
      <c r="G707"/>
      <c r="H707"/>
      <c r="I707"/>
      <c r="J707"/>
      <c r="K707"/>
    </row>
    <row r="708" spans="1:11" x14ac:dyDescent="0.25">
      <c r="A708"/>
      <c r="B708"/>
      <c r="C708"/>
      <c r="D708"/>
      <c r="E708"/>
      <c r="F708"/>
      <c r="G708"/>
      <c r="H708"/>
      <c r="I708"/>
      <c r="J708"/>
      <c r="K708"/>
    </row>
    <row r="709" spans="1:11" x14ac:dyDescent="0.25">
      <c r="A709"/>
      <c r="B709"/>
      <c r="C709"/>
      <c r="D709"/>
      <c r="E709"/>
      <c r="F709"/>
      <c r="G709"/>
      <c r="H709"/>
      <c r="I709"/>
      <c r="J709"/>
      <c r="K709"/>
    </row>
    <row r="710" spans="1:11" x14ac:dyDescent="0.25">
      <c r="A710"/>
      <c r="B710"/>
      <c r="C710"/>
      <c r="D710"/>
      <c r="E710"/>
      <c r="F710"/>
      <c r="G710"/>
      <c r="H710"/>
      <c r="I710"/>
      <c r="J710"/>
      <c r="K710"/>
    </row>
    <row r="711" spans="1:11" x14ac:dyDescent="0.25">
      <c r="A711"/>
      <c r="B711"/>
      <c r="C711"/>
      <c r="D711"/>
      <c r="E711"/>
      <c r="F711"/>
      <c r="G711"/>
      <c r="H711"/>
      <c r="I711"/>
      <c r="J711"/>
      <c r="K711"/>
    </row>
    <row r="712" spans="1:11" x14ac:dyDescent="0.25">
      <c r="A712"/>
      <c r="B712"/>
      <c r="C712"/>
      <c r="D712"/>
      <c r="E712"/>
      <c r="F712"/>
      <c r="G712"/>
      <c r="H712"/>
      <c r="I712"/>
      <c r="J712"/>
      <c r="K712"/>
    </row>
    <row r="713" spans="1:11" x14ac:dyDescent="0.25">
      <c r="A713"/>
      <c r="B713"/>
      <c r="C713"/>
      <c r="D713"/>
      <c r="E713"/>
      <c r="F713"/>
      <c r="G713"/>
      <c r="H713"/>
      <c r="I713"/>
      <c r="J713"/>
      <c r="K713"/>
    </row>
    <row r="714" spans="1:11" x14ac:dyDescent="0.25">
      <c r="A714"/>
      <c r="B714"/>
      <c r="C714"/>
      <c r="D714"/>
      <c r="E714"/>
      <c r="F714"/>
      <c r="G714"/>
      <c r="H714"/>
      <c r="I714"/>
      <c r="J714"/>
      <c r="K714"/>
    </row>
    <row r="715" spans="1:11" x14ac:dyDescent="0.25">
      <c r="A715"/>
      <c r="B715"/>
      <c r="C715"/>
      <c r="D715"/>
      <c r="E715"/>
      <c r="F715"/>
      <c r="G715"/>
      <c r="H715"/>
      <c r="I715"/>
      <c r="J715"/>
      <c r="K715"/>
    </row>
    <row r="716" spans="1:11" x14ac:dyDescent="0.25">
      <c r="A716"/>
      <c r="B716"/>
      <c r="C716"/>
      <c r="D716"/>
      <c r="E716"/>
      <c r="F716"/>
      <c r="G716"/>
      <c r="H716"/>
      <c r="I716"/>
      <c r="J716"/>
      <c r="K716"/>
    </row>
    <row r="717" spans="1:11" x14ac:dyDescent="0.25">
      <c r="A717"/>
      <c r="B717"/>
      <c r="C717"/>
      <c r="D717"/>
      <c r="E717"/>
      <c r="F717"/>
      <c r="G717"/>
      <c r="H717"/>
      <c r="I717"/>
      <c r="J717"/>
      <c r="K717"/>
    </row>
    <row r="718" spans="1:11" x14ac:dyDescent="0.25">
      <c r="A718"/>
      <c r="B718"/>
      <c r="C718"/>
      <c r="D718"/>
      <c r="E718"/>
      <c r="F718"/>
      <c r="G718"/>
      <c r="H718"/>
      <c r="I718"/>
      <c r="J718"/>
      <c r="K718"/>
    </row>
    <row r="719" spans="1:11" x14ac:dyDescent="0.25">
      <c r="A719"/>
      <c r="B719"/>
      <c r="C719"/>
      <c r="D719"/>
      <c r="E719"/>
      <c r="F719"/>
      <c r="G719"/>
      <c r="H719"/>
      <c r="I719"/>
      <c r="J719"/>
      <c r="K719"/>
    </row>
    <row r="720" spans="1:11" x14ac:dyDescent="0.25">
      <c r="A720"/>
      <c r="B720"/>
      <c r="C720"/>
      <c r="D720"/>
      <c r="E720"/>
      <c r="F720"/>
      <c r="G720"/>
      <c r="H720"/>
      <c r="I720"/>
      <c r="J720"/>
      <c r="K720"/>
    </row>
    <row r="721" spans="1:11" x14ac:dyDescent="0.25">
      <c r="A721"/>
      <c r="B721"/>
      <c r="C721"/>
      <c r="D721"/>
      <c r="E721"/>
      <c r="F721"/>
      <c r="G721"/>
      <c r="H721"/>
      <c r="I721"/>
      <c r="J721"/>
      <c r="K721"/>
    </row>
    <row r="722" spans="1:11" x14ac:dyDescent="0.25">
      <c r="A722"/>
      <c r="B722"/>
      <c r="C722"/>
      <c r="D722"/>
      <c r="E722"/>
      <c r="F722"/>
      <c r="G722"/>
      <c r="H722"/>
      <c r="I722"/>
      <c r="J722"/>
      <c r="K722"/>
    </row>
    <row r="723" spans="1:11" x14ac:dyDescent="0.25">
      <c r="A723"/>
      <c r="B723"/>
      <c r="C723"/>
      <c r="D723"/>
      <c r="E723"/>
      <c r="F723"/>
      <c r="G723"/>
      <c r="H723"/>
      <c r="I723"/>
      <c r="J723"/>
      <c r="K723"/>
    </row>
    <row r="724" spans="1:11" x14ac:dyDescent="0.25">
      <c r="A724"/>
      <c r="B724"/>
      <c r="C724"/>
      <c r="D724"/>
      <c r="E724"/>
      <c r="F724"/>
      <c r="G724"/>
      <c r="H724"/>
      <c r="I724"/>
      <c r="J724"/>
      <c r="K724"/>
    </row>
    <row r="725" spans="1:11" x14ac:dyDescent="0.25">
      <c r="A725"/>
      <c r="B725"/>
      <c r="C725"/>
      <c r="D725"/>
      <c r="E725"/>
      <c r="F725"/>
      <c r="G725"/>
      <c r="H725"/>
      <c r="I725"/>
      <c r="J725"/>
      <c r="K725"/>
    </row>
    <row r="726" spans="1:11" x14ac:dyDescent="0.25">
      <c r="A726"/>
      <c r="B726"/>
      <c r="C726"/>
      <c r="D726"/>
      <c r="E726"/>
      <c r="F726"/>
      <c r="G726"/>
      <c r="H726"/>
      <c r="I726"/>
      <c r="J726"/>
      <c r="K726"/>
    </row>
    <row r="727" spans="1:11" x14ac:dyDescent="0.25">
      <c r="A727"/>
      <c r="B727"/>
      <c r="C727"/>
      <c r="D727"/>
      <c r="E727"/>
      <c r="F727"/>
      <c r="G727"/>
      <c r="H727"/>
      <c r="I727"/>
      <c r="J727"/>
      <c r="K727"/>
    </row>
    <row r="728" spans="1:11" x14ac:dyDescent="0.25">
      <c r="A728"/>
      <c r="B728"/>
      <c r="C728"/>
      <c r="D728"/>
      <c r="E728"/>
      <c r="F728"/>
      <c r="G728"/>
      <c r="H728"/>
      <c r="I728"/>
      <c r="J728"/>
      <c r="K728"/>
    </row>
    <row r="729" spans="1:11" x14ac:dyDescent="0.25">
      <c r="A729"/>
      <c r="B729"/>
      <c r="C729"/>
      <c r="D729"/>
      <c r="E729"/>
      <c r="F729"/>
      <c r="G729"/>
      <c r="H729"/>
      <c r="I729"/>
      <c r="J729"/>
      <c r="K729"/>
    </row>
    <row r="730" spans="1:11" x14ac:dyDescent="0.25">
      <c r="A730"/>
      <c r="B730"/>
      <c r="C730"/>
      <c r="D730"/>
      <c r="E730"/>
      <c r="F730"/>
      <c r="G730"/>
      <c r="H730"/>
      <c r="I730"/>
      <c r="J730"/>
      <c r="K730"/>
    </row>
    <row r="731" spans="1:11" x14ac:dyDescent="0.25">
      <c r="A731"/>
      <c r="B731"/>
      <c r="C731"/>
      <c r="D731"/>
      <c r="E731"/>
      <c r="F731"/>
      <c r="G731"/>
      <c r="H731"/>
      <c r="I731"/>
      <c r="J731"/>
      <c r="K731"/>
    </row>
    <row r="732" spans="1:11" x14ac:dyDescent="0.25">
      <c r="A732"/>
      <c r="B732"/>
      <c r="C732"/>
      <c r="D732"/>
      <c r="E732"/>
      <c r="F732"/>
      <c r="G732"/>
      <c r="H732"/>
      <c r="I732"/>
      <c r="J732"/>
      <c r="K732"/>
    </row>
    <row r="733" spans="1:11" x14ac:dyDescent="0.25">
      <c r="A733"/>
      <c r="B733"/>
      <c r="C733"/>
      <c r="D733"/>
      <c r="E733"/>
      <c r="F733"/>
      <c r="G733"/>
      <c r="H733"/>
      <c r="I733"/>
      <c r="J733"/>
      <c r="K733"/>
    </row>
    <row r="734" spans="1:11" x14ac:dyDescent="0.25">
      <c r="A734"/>
      <c r="B734"/>
      <c r="C734"/>
      <c r="D734"/>
      <c r="E734"/>
      <c r="F734"/>
      <c r="G734"/>
      <c r="H734"/>
      <c r="I734"/>
      <c r="J734"/>
      <c r="K734"/>
    </row>
    <row r="735" spans="1:11" x14ac:dyDescent="0.25">
      <c r="A735"/>
      <c r="B735"/>
      <c r="C735"/>
      <c r="D735"/>
      <c r="E735"/>
      <c r="F735"/>
      <c r="G735"/>
      <c r="H735"/>
      <c r="I735"/>
      <c r="J735"/>
      <c r="K735"/>
    </row>
    <row r="736" spans="1:11" x14ac:dyDescent="0.25">
      <c r="A736"/>
      <c r="B736"/>
      <c r="C736"/>
      <c r="D736"/>
      <c r="E736"/>
      <c r="F736"/>
      <c r="G736"/>
      <c r="H736"/>
      <c r="I736"/>
      <c r="J736"/>
      <c r="K736"/>
    </row>
    <row r="737" spans="1:11" x14ac:dyDescent="0.25">
      <c r="A737"/>
      <c r="B737"/>
      <c r="C737"/>
      <c r="D737"/>
      <c r="E737"/>
      <c r="F737"/>
      <c r="G737"/>
      <c r="H737"/>
      <c r="I737"/>
      <c r="J737"/>
      <c r="K737"/>
    </row>
    <row r="738" spans="1:11" x14ac:dyDescent="0.25">
      <c r="A738"/>
      <c r="B738"/>
      <c r="C738"/>
      <c r="D738"/>
      <c r="E738"/>
      <c r="F738"/>
      <c r="G738"/>
      <c r="H738"/>
      <c r="I738"/>
      <c r="J738"/>
      <c r="K738"/>
    </row>
    <row r="739" spans="1:11" x14ac:dyDescent="0.25">
      <c r="A739"/>
      <c r="B739"/>
      <c r="C739"/>
      <c r="D739"/>
      <c r="E739"/>
      <c r="F739"/>
      <c r="G739"/>
      <c r="H739"/>
      <c r="I739"/>
      <c r="J739"/>
      <c r="K739"/>
    </row>
    <row r="740" spans="1:11" x14ac:dyDescent="0.25">
      <c r="A740"/>
      <c r="B740"/>
      <c r="C740"/>
      <c r="D740"/>
      <c r="E740"/>
      <c r="F740"/>
      <c r="G740"/>
      <c r="H740"/>
      <c r="I740"/>
      <c r="J740"/>
      <c r="K740"/>
    </row>
    <row r="741" spans="1:11" x14ac:dyDescent="0.25">
      <c r="A741"/>
      <c r="B741"/>
      <c r="C741"/>
      <c r="D741"/>
      <c r="E741"/>
      <c r="F741"/>
      <c r="G741"/>
      <c r="H741"/>
      <c r="I741"/>
      <c r="J741"/>
      <c r="K741"/>
    </row>
    <row r="742" spans="1:11" x14ac:dyDescent="0.25">
      <c r="A742"/>
      <c r="B742"/>
      <c r="C742"/>
      <c r="D742"/>
      <c r="E742"/>
      <c r="F742"/>
      <c r="G742"/>
      <c r="H742"/>
      <c r="I742"/>
      <c r="J742"/>
      <c r="K742"/>
    </row>
    <row r="743" spans="1:11" x14ac:dyDescent="0.25">
      <c r="A743"/>
      <c r="B743"/>
      <c r="C743"/>
      <c r="D743"/>
      <c r="E743"/>
      <c r="F743"/>
      <c r="G743"/>
      <c r="H743"/>
      <c r="I743"/>
      <c r="J743"/>
      <c r="K743"/>
    </row>
    <row r="744" spans="1:11" x14ac:dyDescent="0.25">
      <c r="A744"/>
      <c r="B744"/>
      <c r="C744"/>
      <c r="D744"/>
      <c r="E744"/>
      <c r="F744"/>
      <c r="G744"/>
      <c r="H744"/>
      <c r="I744"/>
      <c r="J744"/>
      <c r="K744"/>
    </row>
    <row r="745" spans="1:11" x14ac:dyDescent="0.25">
      <c r="A745"/>
      <c r="B745"/>
      <c r="C745"/>
      <c r="D745"/>
      <c r="E745"/>
      <c r="F745"/>
      <c r="G745"/>
      <c r="H745"/>
      <c r="I745"/>
      <c r="J745"/>
      <c r="K745"/>
    </row>
    <row r="746" spans="1:11" x14ac:dyDescent="0.25">
      <c r="A746"/>
      <c r="B746"/>
      <c r="C746"/>
      <c r="D746"/>
      <c r="E746"/>
      <c r="F746"/>
      <c r="G746"/>
      <c r="H746"/>
      <c r="I746"/>
      <c r="J746"/>
      <c r="K746"/>
    </row>
    <row r="747" spans="1:11" x14ac:dyDescent="0.25">
      <c r="A747"/>
      <c r="B747"/>
      <c r="C747"/>
      <c r="D747"/>
      <c r="E747"/>
      <c r="F747"/>
      <c r="G747"/>
      <c r="H747"/>
      <c r="I747"/>
      <c r="J747"/>
      <c r="K747"/>
    </row>
    <row r="748" spans="1:11" x14ac:dyDescent="0.25">
      <c r="A748"/>
      <c r="B748"/>
      <c r="C748"/>
      <c r="D748"/>
      <c r="E748"/>
      <c r="F748"/>
      <c r="G748"/>
      <c r="H748"/>
      <c r="I748"/>
      <c r="J748"/>
      <c r="K748"/>
    </row>
    <row r="749" spans="1:11" x14ac:dyDescent="0.25">
      <c r="A749"/>
      <c r="B749"/>
      <c r="C749"/>
      <c r="D749"/>
      <c r="E749"/>
      <c r="F749"/>
      <c r="G749"/>
      <c r="H749"/>
      <c r="I749"/>
      <c r="J749"/>
      <c r="K749"/>
    </row>
    <row r="750" spans="1:11" x14ac:dyDescent="0.25">
      <c r="A750"/>
      <c r="B750"/>
      <c r="C750"/>
      <c r="D750"/>
      <c r="E750"/>
      <c r="F750"/>
      <c r="G750"/>
      <c r="H750"/>
      <c r="I750"/>
      <c r="J750"/>
      <c r="K750"/>
    </row>
    <row r="751" spans="1:11" x14ac:dyDescent="0.25">
      <c r="A751"/>
      <c r="B751"/>
      <c r="C751"/>
      <c r="D751"/>
      <c r="E751"/>
      <c r="F751"/>
      <c r="G751"/>
      <c r="H751"/>
      <c r="I751"/>
      <c r="J751"/>
      <c r="K751"/>
    </row>
    <row r="752" spans="1:11" x14ac:dyDescent="0.25">
      <c r="A752"/>
      <c r="B752"/>
      <c r="C752"/>
      <c r="D752"/>
      <c r="E752"/>
      <c r="F752"/>
      <c r="G752"/>
      <c r="H752"/>
      <c r="I752"/>
      <c r="J752"/>
      <c r="K752"/>
    </row>
    <row r="753" spans="1:11" x14ac:dyDescent="0.25">
      <c r="A753"/>
      <c r="B753"/>
      <c r="C753"/>
      <c r="D753"/>
      <c r="E753"/>
      <c r="F753"/>
      <c r="G753"/>
      <c r="H753"/>
      <c r="I753"/>
      <c r="J753"/>
      <c r="K753"/>
    </row>
    <row r="754" spans="1:11" x14ac:dyDescent="0.25">
      <c r="A754"/>
      <c r="B754"/>
      <c r="C754"/>
      <c r="D754"/>
      <c r="E754"/>
      <c r="F754"/>
      <c r="G754"/>
      <c r="H754"/>
      <c r="I754"/>
      <c r="J754"/>
      <c r="K754"/>
    </row>
    <row r="755" spans="1:11" x14ac:dyDescent="0.25">
      <c r="A755"/>
      <c r="B755"/>
      <c r="C755"/>
      <c r="D755"/>
      <c r="E755"/>
      <c r="F755"/>
      <c r="G755"/>
      <c r="H755"/>
      <c r="I755"/>
      <c r="J755"/>
      <c r="K755"/>
    </row>
    <row r="756" spans="1:11" x14ac:dyDescent="0.25">
      <c r="A756"/>
      <c r="B756"/>
      <c r="C756"/>
      <c r="D756"/>
      <c r="E756"/>
      <c r="F756"/>
      <c r="G756"/>
      <c r="H756"/>
      <c r="I756"/>
      <c r="J756"/>
      <c r="K756"/>
    </row>
    <row r="757" spans="1:11" x14ac:dyDescent="0.25">
      <c r="A757"/>
      <c r="B757"/>
      <c r="C757"/>
      <c r="D757"/>
      <c r="E757"/>
      <c r="F757"/>
      <c r="G757"/>
      <c r="H757"/>
      <c r="I757"/>
      <c r="J757"/>
      <c r="K757"/>
    </row>
    <row r="758" spans="1:11" x14ac:dyDescent="0.25">
      <c r="A758"/>
      <c r="B758"/>
      <c r="C758"/>
      <c r="D758"/>
      <c r="E758"/>
      <c r="F758"/>
      <c r="G758"/>
      <c r="H758"/>
      <c r="I758"/>
      <c r="J758"/>
      <c r="K758"/>
    </row>
    <row r="759" spans="1:11" x14ac:dyDescent="0.25">
      <c r="A759"/>
      <c r="B759"/>
      <c r="C759"/>
      <c r="D759"/>
      <c r="E759"/>
      <c r="F759"/>
      <c r="G759"/>
      <c r="H759"/>
      <c r="I759"/>
      <c r="J759"/>
      <c r="K759"/>
    </row>
    <row r="760" spans="1:11" x14ac:dyDescent="0.25">
      <c r="A760"/>
      <c r="B760"/>
      <c r="C760"/>
      <c r="D760"/>
      <c r="E760"/>
      <c r="F760"/>
      <c r="G760"/>
      <c r="H760"/>
      <c r="I760"/>
      <c r="J760"/>
      <c r="K760"/>
    </row>
    <row r="761" spans="1:11" x14ac:dyDescent="0.25">
      <c r="A761"/>
      <c r="B761"/>
      <c r="C761"/>
      <c r="D761"/>
      <c r="E761"/>
      <c r="F761"/>
      <c r="G761"/>
      <c r="H761"/>
      <c r="I761"/>
      <c r="J761"/>
      <c r="K761"/>
    </row>
    <row r="762" spans="1:11" x14ac:dyDescent="0.25">
      <c r="A762"/>
      <c r="B762"/>
      <c r="C762"/>
      <c r="D762"/>
      <c r="E762"/>
      <c r="F762"/>
      <c r="G762"/>
      <c r="H762"/>
      <c r="I762"/>
      <c r="J762"/>
      <c r="K762"/>
    </row>
    <row r="763" spans="1:11" x14ac:dyDescent="0.25">
      <c r="A763"/>
      <c r="B763"/>
      <c r="C763"/>
      <c r="D763"/>
      <c r="E763"/>
      <c r="F763"/>
      <c r="G763"/>
      <c r="H763"/>
      <c r="I763"/>
      <c r="J763"/>
      <c r="K763"/>
    </row>
    <row r="764" spans="1:11" x14ac:dyDescent="0.25">
      <c r="A764"/>
      <c r="B764"/>
      <c r="C764"/>
      <c r="D764"/>
      <c r="E764"/>
      <c r="F764"/>
      <c r="G764"/>
      <c r="H764"/>
      <c r="I764"/>
      <c r="J764"/>
      <c r="K764"/>
    </row>
    <row r="765" spans="1:11" x14ac:dyDescent="0.25">
      <c r="A765"/>
      <c r="B765"/>
      <c r="C765"/>
      <c r="D765"/>
      <c r="E765"/>
      <c r="F765"/>
      <c r="G765"/>
      <c r="H765"/>
      <c r="I765"/>
      <c r="J765"/>
      <c r="K765"/>
    </row>
    <row r="766" spans="1:11" x14ac:dyDescent="0.25">
      <c r="A766"/>
      <c r="B766"/>
      <c r="C766"/>
      <c r="D766"/>
      <c r="E766"/>
      <c r="F766"/>
      <c r="G766"/>
      <c r="H766"/>
      <c r="I766"/>
      <c r="J766"/>
      <c r="K766"/>
    </row>
    <row r="767" spans="1:11" x14ac:dyDescent="0.25">
      <c r="A767"/>
      <c r="B767"/>
      <c r="C767"/>
      <c r="D767"/>
      <c r="E767"/>
      <c r="F767"/>
      <c r="G767"/>
      <c r="H767"/>
      <c r="I767"/>
      <c r="J767"/>
      <c r="K767"/>
    </row>
    <row r="768" spans="1:11" x14ac:dyDescent="0.25">
      <c r="A768"/>
      <c r="B768"/>
      <c r="C768"/>
      <c r="D768"/>
      <c r="E768"/>
      <c r="F768"/>
      <c r="G768"/>
      <c r="H768"/>
      <c r="I768"/>
      <c r="J768"/>
      <c r="K768"/>
    </row>
    <row r="769" spans="1:11" x14ac:dyDescent="0.25">
      <c r="A769"/>
      <c r="B769"/>
      <c r="C769"/>
      <c r="D769"/>
      <c r="E769"/>
      <c r="F769"/>
      <c r="G769"/>
      <c r="H769"/>
      <c r="I769"/>
      <c r="J769"/>
      <c r="K769"/>
    </row>
    <row r="770" spans="1:11" x14ac:dyDescent="0.25">
      <c r="A770"/>
      <c r="B770"/>
      <c r="C770"/>
      <c r="D770"/>
      <c r="E770"/>
      <c r="F770"/>
      <c r="G770"/>
      <c r="H770"/>
      <c r="I770"/>
      <c r="J770"/>
      <c r="K770"/>
    </row>
    <row r="771" spans="1:11" x14ac:dyDescent="0.25">
      <c r="A771"/>
      <c r="B771"/>
      <c r="C771"/>
      <c r="D771"/>
      <c r="E771"/>
      <c r="F771"/>
      <c r="G771"/>
      <c r="H771"/>
      <c r="I771"/>
      <c r="J771"/>
      <c r="K771"/>
    </row>
    <row r="772" spans="1:11" x14ac:dyDescent="0.25">
      <c r="A772"/>
      <c r="B772"/>
      <c r="C772"/>
      <c r="D772"/>
      <c r="E772"/>
      <c r="F772"/>
      <c r="G772"/>
      <c r="H772"/>
      <c r="I772"/>
      <c r="J772"/>
      <c r="K772"/>
    </row>
    <row r="773" spans="1:11" x14ac:dyDescent="0.25">
      <c r="A773"/>
      <c r="B773"/>
      <c r="C773"/>
      <c r="D773"/>
      <c r="E773"/>
      <c r="F773"/>
      <c r="G773"/>
      <c r="H773"/>
      <c r="I773"/>
      <c r="J773"/>
      <c r="K773"/>
    </row>
    <row r="774" spans="1:11" x14ac:dyDescent="0.25">
      <c r="A774"/>
      <c r="B774"/>
      <c r="C774"/>
      <c r="D774"/>
      <c r="E774"/>
      <c r="F774"/>
      <c r="G774"/>
      <c r="H774"/>
      <c r="I774"/>
      <c r="J774"/>
      <c r="K774"/>
    </row>
    <row r="775" spans="1:11" x14ac:dyDescent="0.25">
      <c r="A775"/>
      <c r="B775"/>
      <c r="C775"/>
      <c r="D775"/>
      <c r="E775"/>
      <c r="F775"/>
      <c r="G775"/>
      <c r="H775"/>
      <c r="I775"/>
      <c r="J775"/>
      <c r="K775"/>
    </row>
    <row r="776" spans="1:11" x14ac:dyDescent="0.25">
      <c r="A776"/>
      <c r="B776"/>
      <c r="C776"/>
      <c r="D776"/>
      <c r="E776"/>
      <c r="F776"/>
      <c r="G776"/>
      <c r="H776"/>
      <c r="I776"/>
      <c r="J776"/>
      <c r="K776"/>
    </row>
    <row r="777" spans="1:11" x14ac:dyDescent="0.25">
      <c r="A777"/>
      <c r="B777"/>
      <c r="C777"/>
      <c r="D777"/>
      <c r="E777"/>
      <c r="F777"/>
      <c r="G777"/>
      <c r="H777"/>
      <c r="I777"/>
      <c r="J777"/>
      <c r="K777"/>
    </row>
    <row r="778" spans="1:11" x14ac:dyDescent="0.25">
      <c r="A778"/>
      <c r="B778"/>
      <c r="C778"/>
      <c r="D778"/>
      <c r="E778"/>
      <c r="F778"/>
      <c r="G778"/>
      <c r="H778"/>
      <c r="I778"/>
      <c r="J778"/>
      <c r="K778"/>
    </row>
    <row r="779" spans="1:11" x14ac:dyDescent="0.25">
      <c r="A779"/>
      <c r="B779"/>
      <c r="C779"/>
      <c r="D779"/>
      <c r="E779"/>
      <c r="F779"/>
      <c r="G779"/>
      <c r="H779"/>
      <c r="I779"/>
      <c r="J779"/>
      <c r="K779"/>
    </row>
    <row r="780" spans="1:11" x14ac:dyDescent="0.25">
      <c r="A780"/>
      <c r="B780"/>
      <c r="C780"/>
      <c r="D780"/>
      <c r="E780"/>
      <c r="F780"/>
      <c r="G780"/>
      <c r="H780"/>
      <c r="I780"/>
      <c r="J780"/>
      <c r="K780"/>
    </row>
    <row r="781" spans="1:11" x14ac:dyDescent="0.25">
      <c r="A781"/>
      <c r="B781"/>
      <c r="C781"/>
      <c r="D781"/>
      <c r="E781"/>
      <c r="F781"/>
      <c r="G781"/>
      <c r="H781"/>
      <c r="I781"/>
      <c r="J781"/>
      <c r="K781"/>
    </row>
    <row r="782" spans="1:11" x14ac:dyDescent="0.25">
      <c r="A782"/>
      <c r="B782"/>
      <c r="C782"/>
      <c r="D782"/>
      <c r="E782"/>
      <c r="F782"/>
      <c r="G782"/>
      <c r="H782"/>
      <c r="I782"/>
      <c r="J782"/>
      <c r="K782"/>
    </row>
    <row r="783" spans="1:11" x14ac:dyDescent="0.25">
      <c r="A783"/>
      <c r="B783"/>
      <c r="C783"/>
      <c r="D783"/>
      <c r="E783"/>
      <c r="F783"/>
      <c r="G783"/>
      <c r="H783"/>
      <c r="I783"/>
      <c r="J783"/>
      <c r="K783"/>
    </row>
  </sheetData>
  <autoFilter ref="A11:L663" xr:uid="{41513A0A-8B0C-4650-B79A-769D8D62E3EA}"/>
  <pageMargins left="0.70866141732283472" right="0.70866141732283472" top="0.74803149606299213" bottom="0.74803149606299213" header="0.31496062992125984" footer="0.31496062992125984"/>
  <pageSetup paperSize="9" scale="42" orientation="portrait" r:id="rId2"/>
  <drawing r:id="rId3"/>
  <legacyDrawing r:id="rId4"/>
  <extLst>
    <ext xmlns:x14="http://schemas.microsoft.com/office/spreadsheetml/2009/9/main" uri="{A8765BA9-456A-4dab-B4F3-ACF838C121DE}">
      <x14:slicerList>
        <x14:slicer r:id="rId5"/>
      </x14:slicerList>
    </ext>
  </extLst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3A915D32-66EE-4844-BFFE-D2FF47DC0E83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Çalışma Sayfaları</vt:lpstr>
      </vt:variant>
      <vt:variant>
        <vt:i4>4</vt:i4>
      </vt:variant>
      <vt:variant>
        <vt:lpstr>Adlandırılmış Aralıklar</vt:lpstr>
      </vt:variant>
      <vt:variant>
        <vt:i4>1</vt:i4>
      </vt:variant>
    </vt:vector>
  </HeadingPairs>
  <TitlesOfParts>
    <vt:vector size="5" baseType="lpstr">
      <vt:lpstr>ÖRNEK PİVOT</vt:lpstr>
      <vt:lpstr>ÜRETİM İHTİYAÇ RAPORU</vt:lpstr>
      <vt:lpstr>PROJE MALİYET</vt:lpstr>
      <vt:lpstr>SATINALMA</vt:lpstr>
      <vt:lpstr>SATINALMA!Yazdırma_Alanı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Burak KANBEROGLU</dc:creator>
  <cp:lastModifiedBy>Osman Ertuğral</cp:lastModifiedBy>
  <cp:lastPrinted>2026-04-09T07:10:41Z</cp:lastPrinted>
  <dcterms:created xsi:type="dcterms:W3CDTF">2015-06-05T18:19:34Z</dcterms:created>
  <dcterms:modified xsi:type="dcterms:W3CDTF">2026-04-16T11:27:21Z</dcterms:modified>
</cp:coreProperties>
</file>